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.xml" ContentType="application/vnd.openxmlformats-officedocument.spreadsheetml.table+xml"/>
  <Override PartName="/xl/worksheets/sheet17.xml" ContentType="application/vnd.openxmlformats-officedocument.spreadsheetml.worksheet+xml"/>
  <Override PartName="/xl/tables/table2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3.xml" ContentType="application/vnd.openxmlformats-officedocument.spreadsheetml.table+xml"/>
  <Override PartName="/xl/worksheets/sheet20.xml" ContentType="application/vnd.openxmlformats-officedocument.spreadsheetml.worksheet+xml"/>
  <Override PartName="/xl/tables/table4.xml" ContentType="application/vnd.openxmlformats-officedocument.spreadsheetml.table+xml"/>
  <Override PartName="/xl/worksheets/sheet21.xml" ContentType="application/vnd.openxmlformats-officedocument.spreadsheetml.worksheet+xml"/>
  <Override PartName="/xl/tables/table5.xml" ContentType="application/vnd.openxmlformats-officedocument.spreadsheetml.table+xml"/>
  <Override PartName="/xl/worksheets/sheet22.xml" ContentType="application/vnd.openxmlformats-officedocument.spreadsheetml.worksheet+xml"/>
  <Override PartName="/xl/tables/table6.xml" ContentType="application/vnd.openxmlformats-officedocument.spreadsheetml.table+xml"/>
  <Override PartName="/xl/worksheets/sheet23.xml" ContentType="application/vnd.openxmlformats-officedocument.spreadsheetml.worksheet+xml"/>
  <Override PartName="/xl/tables/table7.xml" ContentType="application/vnd.openxmlformats-officedocument.spreadsheetml.table+xml"/>
  <Override PartName="/xl/worksheets/sheet24.xml" ContentType="application/vnd.openxmlformats-officedocument.spreadsheetml.worksheet+xml"/>
  <Override PartName="/xl/tables/table8.xml" ContentType="application/vnd.openxmlformats-officedocument.spreadsheetml.table+xml"/>
  <Override PartName="/xl/worksheets/sheet25.xml" ContentType="application/vnd.openxmlformats-officedocument.spreadsheetml.worksheet+xml"/>
  <Override PartName="/xl/tables/table9.xml" ContentType="application/vnd.openxmlformats-officedocument.spreadsheetml.table+xml"/>
  <Override PartName="/xl/worksheets/sheet26.xml" ContentType="application/vnd.openxmlformats-officedocument.spreadsheetml.worksheet+xml"/>
  <Override PartName="/xl/tables/table10.xml" ContentType="application/vnd.openxmlformats-officedocument.spreadsheetml.table+xml"/>
  <Override PartName="/xl/worksheets/sheet27.xml" ContentType="application/vnd.openxmlformats-officedocument.spreadsheetml.worksheet+xml"/>
  <Override PartName="/xl/tables/table11.xml" ContentType="application/vnd.openxmlformats-officedocument.spreadsheetml.table+xml"/>
  <Override PartName="/xl/worksheets/sheet28.xml" ContentType="application/vnd.openxmlformats-officedocument.spreadsheetml.worksheet+xml"/>
  <Override PartName="/xl/tables/table12.xml" ContentType="application/vnd.openxmlformats-officedocument.spreadsheetml.table+xml"/>
  <Override PartName="/xl/worksheets/sheet29.xml" ContentType="application/vnd.openxmlformats-officedocument.spreadsheetml.worksheet+xml"/>
  <Override PartName="/xl/tables/table13.xml" ContentType="application/vnd.openxmlformats-officedocument.spreadsheetml.table+xml"/>
  <Override PartName="/xl/worksheets/sheet30.xml" ContentType="application/vnd.openxmlformats-officedocument.spreadsheetml.worksheet+xml"/>
  <Override PartName="/xl/tables/table14.xml" ContentType="application/vnd.openxmlformats-officedocument.spreadsheetml.table+xml"/>
  <Override PartName="/xl/worksheets/sheet31.xml" ContentType="application/vnd.openxmlformats-officedocument.spreadsheetml.worksheet+xml"/>
  <Override PartName="/xl/tables/table15.xml" ContentType="application/vnd.openxmlformats-officedocument.spreadsheetml.table+xml"/>
  <Override PartName="/xl/worksheets/sheet32.xml" ContentType="application/vnd.openxmlformats-officedocument.spreadsheetml.worksheet+xml"/>
  <Override PartName="/xl/tables/table16.xml" ContentType="application/vnd.openxmlformats-officedocument.spreadsheetml.table+xml"/>
  <Override PartName="/xl/worksheets/sheet33.xml" ContentType="application/vnd.openxmlformats-officedocument.spreadsheetml.worksheet+xml"/>
  <Override PartName="/xl/tables/table17.xml" ContentType="application/vnd.openxmlformats-officedocument.spreadsheetml.table+xml"/>
  <Override PartName="/xl/worksheets/sheet34.xml" ContentType="application/vnd.openxmlformats-officedocument.spreadsheetml.worksheet+xml"/>
  <Override PartName="/xl/tables/table18.xml" ContentType="application/vnd.openxmlformats-officedocument.spreadsheetml.table+xml"/>
  <Override PartName="/xl/worksheets/sheet35.xml" ContentType="application/vnd.openxmlformats-officedocument.spreadsheetml.worksheet+xml"/>
  <Override PartName="/xl/tables/table19.xml" ContentType="application/vnd.openxmlformats-officedocument.spreadsheetml.table+xml"/>
  <Override PartName="/xl/worksheets/sheet36.xml" ContentType="application/vnd.openxmlformats-officedocument.spreadsheetml.worksheet+xml"/>
  <Override PartName="/xl/tables/table20.xml" ContentType="application/vnd.openxmlformats-officedocument.spreadsheetml.table+xml"/>
  <Override PartName="/xl/worksheets/sheet37.xml" ContentType="application/vnd.openxmlformats-officedocument.spreadsheetml.worksheet+xml"/>
  <Override PartName="/xl/tables/table21.xml" ContentType="application/vnd.openxmlformats-officedocument.spreadsheetml.table+xml"/>
  <Override PartName="/xl/worksheets/sheet38.xml" ContentType="application/vnd.openxmlformats-officedocument.spreadsheetml.worksheet+xml"/>
  <Override PartName="/xl/tables/table22.xml" ContentType="application/vnd.openxmlformats-officedocument.spreadsheetml.table+xml"/>
  <Override PartName="/xl/worksheets/sheet39.xml" ContentType="application/vnd.openxmlformats-officedocument.spreadsheetml.worksheet+xml"/>
  <Override PartName="/xl/tables/table23.xml" ContentType="application/vnd.openxmlformats-officedocument.spreadsheetml.table+xml"/>
  <Override PartName="/xl/worksheets/sheet40.xml" ContentType="application/vnd.openxmlformats-officedocument.spreadsheetml.worksheet+xml"/>
  <Override PartName="/xl/tables/table24.xml" ContentType="application/vnd.openxmlformats-officedocument.spreadsheetml.table+xml"/>
  <Override PartName="/xl/worksheets/sheet41.xml" ContentType="application/vnd.openxmlformats-officedocument.spreadsheetml.worksheet+xml"/>
  <Override PartName="/xl/tables/table25.xml" ContentType="application/vnd.openxmlformats-officedocument.spreadsheetml.table+xml"/>
  <Override PartName="/xl/worksheets/sheet42.xml" ContentType="application/vnd.openxmlformats-officedocument.spreadsheetml.worksheet+xml"/>
  <Override PartName="/xl/tables/table26.xml" ContentType="application/vnd.openxmlformats-officedocument.spreadsheetml.table+xml"/>
  <Override PartName="/xl/worksheets/sheet43.xml" ContentType="application/vnd.openxmlformats-officedocument.spreadsheetml.worksheet+xml"/>
  <Override PartName="/xl/tables/table27.xml" ContentType="application/vnd.openxmlformats-officedocument.spreadsheetml.table+xml"/>
  <Override PartName="/xl/worksheets/sheet44.xml" ContentType="application/vnd.openxmlformats-officedocument.spreadsheetml.worksheet+xml"/>
  <Override PartName="/xl/tables/table28.xml" ContentType="application/vnd.openxmlformats-officedocument.spreadsheetml.table+xml"/>
  <Override PartName="/xl/worksheets/sheet45.xml" ContentType="application/vnd.openxmlformats-officedocument.spreadsheetml.worksheet+xml"/>
  <Override PartName="/xl/tables/table29.xml" ContentType="application/vnd.openxmlformats-officedocument.spreadsheetml.table+xml"/>
  <Override PartName="/xl/worksheets/sheet46.xml" ContentType="application/vnd.openxmlformats-officedocument.spreadsheetml.worksheet+xml"/>
  <Override PartName="/xl/tables/table30.xml" ContentType="application/vnd.openxmlformats-officedocument.spreadsheetml.table+xml"/>
  <Override PartName="/xl/worksheets/sheet47.xml" ContentType="application/vnd.openxmlformats-officedocument.spreadsheetml.worksheet+xml"/>
  <Override PartName="/xl/tables/table31.xml" ContentType="application/vnd.openxmlformats-officedocument.spreadsheetml.table+xml"/>
  <Override PartName="/xl/worksheets/sheet48.xml" ContentType="application/vnd.openxmlformats-officedocument.spreadsheetml.worksheet+xml"/>
  <Override PartName="/xl/tables/table32.xml" ContentType="application/vnd.openxmlformats-officedocument.spreadsheetml.table+xml"/>
  <Override PartName="/xl/worksheets/sheet49.xml" ContentType="application/vnd.openxmlformats-officedocument.spreadsheetml.worksheet+xml"/>
  <Override PartName="/xl/tables/table33.xml" ContentType="application/vnd.openxmlformats-officedocument.spreadsheetml.table+xml"/>
  <Override PartName="/xl/worksheets/sheet50.xml" ContentType="application/vnd.openxmlformats-officedocument.spreadsheetml.worksheet+xml"/>
  <Override PartName="/xl/tables/table34.xml" ContentType="application/vnd.openxmlformats-officedocument.spreadsheetml.table+xml"/>
  <Override PartName="/xl/worksheets/sheet51.xml" ContentType="application/vnd.openxmlformats-officedocument.spreadsheetml.worksheet+xml"/>
  <Override PartName="/xl/tables/table35.xml" ContentType="application/vnd.openxmlformats-officedocument.spreadsheetml.table+xml"/>
  <Override PartName="/xl/worksheets/sheet52.xml" ContentType="application/vnd.openxmlformats-officedocument.spreadsheetml.worksheet+xml"/>
  <Override PartName="/xl/tables/table36.xml" ContentType="application/vnd.openxmlformats-officedocument.spreadsheetml.table+xml"/>
  <Override PartName="/xl/worksheets/sheet53.xml" ContentType="application/vnd.openxmlformats-officedocument.spreadsheetml.worksheet+xml"/>
  <Override PartName="/xl/tables/table37.xml" ContentType="application/vnd.openxmlformats-officedocument.spreadsheetml.table+xml"/>
  <Override PartName="/xl/worksheets/sheet54.xml" ContentType="application/vnd.openxmlformats-officedocument.spreadsheetml.worksheet+xml"/>
  <Override PartName="/xl/tables/table38.xml" ContentType="application/vnd.openxmlformats-officedocument.spreadsheetml.table+xml"/>
  <Override PartName="/xl/worksheets/sheet55.xml" ContentType="application/vnd.openxmlformats-officedocument.spreadsheetml.worksheet+xml"/>
  <Override PartName="/xl/tables/table39.xml" ContentType="application/vnd.openxmlformats-officedocument.spreadsheetml.table+xml"/>
  <Override PartName="/xl/worksheets/sheet56.xml" ContentType="application/vnd.openxmlformats-officedocument.spreadsheetml.worksheet+xml"/>
  <Override PartName="/xl/tables/table40.xml" ContentType="application/vnd.openxmlformats-officedocument.spreadsheetml.table+xml"/>
  <Override PartName="/xl/worksheets/sheet57.xml" ContentType="application/vnd.openxmlformats-officedocument.spreadsheetml.worksheet+xml"/>
  <Override PartName="/xl/tables/table41.xml" ContentType="application/vnd.openxmlformats-officedocument.spreadsheetml.table+xml"/>
  <Override PartName="/xl/worksheets/sheet58.xml" ContentType="application/vnd.openxmlformats-officedocument.spreadsheetml.worksheet+xml"/>
  <Override PartName="/xl/tables/table42.xml" ContentType="application/vnd.openxmlformats-officedocument.spreadsheetml.table+xml"/>
  <Override PartName="/xl/worksheets/sheet59.xml" ContentType="application/vnd.openxmlformats-officedocument.spreadsheetml.worksheet+xml"/>
  <Override PartName="/xl/tables/table43.xml" ContentType="application/vnd.openxmlformats-officedocument.spreadsheetml.table+xml"/>
  <Override PartName="/xl/worksheets/sheet60.xml" ContentType="application/vnd.openxmlformats-officedocument.spreadsheetml.worksheet+xml"/>
  <Override PartName="/xl/tables/table44.xml" ContentType="application/vnd.openxmlformats-officedocument.spreadsheetml.table+xml"/>
  <Override PartName="/xl/worksheets/sheet61.xml" ContentType="application/vnd.openxmlformats-officedocument.spreadsheetml.worksheet+xml"/>
  <Override PartName="/xl/tables/table45.xml" ContentType="application/vnd.openxmlformats-officedocument.spreadsheetml.table+xml"/>
  <Override PartName="/xl/worksheets/sheet62.xml" ContentType="application/vnd.openxmlformats-officedocument.spreadsheetml.worksheet+xml"/>
  <Override PartName="/xl/tables/table4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00_HOME" sheetId="1" state="visible" r:id="rId1"/>
    <sheet xmlns:r="http://schemas.openxmlformats.org/officeDocument/2006/relationships" name="NAVIGATION" sheetId="2" state="visible" r:id="rId2"/>
    <sheet xmlns:r="http://schemas.openxmlformats.org/officeDocument/2006/relationships" name="SEARCH" sheetId="3" state="visible" r:id="rId3"/>
    <sheet xmlns:r="http://schemas.openxmlformats.org/officeDocument/2006/relationships" name="PACKAGING_CONFIGURATIONS" sheetId="4" state="visible" r:id="rId4"/>
    <sheet xmlns:r="http://schemas.openxmlformats.org/officeDocument/2006/relationships" name="PRODUCT_MASTER" sheetId="5" state="visible" r:id="rId5"/>
    <sheet xmlns:r="http://schemas.openxmlformats.org/officeDocument/2006/relationships" name="COMPONENT_MASTER" sheetId="6" state="visible" r:id="rId6"/>
    <sheet xmlns:r="http://schemas.openxmlformats.org/officeDocument/2006/relationships" name="DOCUMENT_CENTER" sheetId="7" state="visible" r:id="rId7"/>
    <sheet xmlns:r="http://schemas.openxmlformats.org/officeDocument/2006/relationships" name="TECHNICAL_FILES" sheetId="8" state="visible" r:id="rId8"/>
    <sheet xmlns:r="http://schemas.openxmlformats.org/officeDocument/2006/relationships" name="DECLARATIONS_OF_CONFORMITY" sheetId="9" state="visible" r:id="rId9"/>
    <sheet xmlns:r="http://schemas.openxmlformats.org/officeDocument/2006/relationships" name="LABELS" sheetId="10" state="visible" r:id="rId10"/>
    <sheet xmlns:r="http://schemas.openxmlformats.org/officeDocument/2006/relationships" name="SHIPMENT_STATEMENTS" sheetId="11" state="visible" r:id="rId11"/>
    <sheet xmlns:r="http://schemas.openxmlformats.org/officeDocument/2006/relationships" name="SHIPMENTS" sheetId="12" state="visible" r:id="rId12"/>
    <sheet xmlns:r="http://schemas.openxmlformats.org/officeDocument/2006/relationships" name="DOC_ENGINE_MAP" sheetId="13" state="visible" r:id="rId13"/>
    <sheet xmlns:r="http://schemas.openxmlformats.org/officeDocument/2006/relationships" name="00_README" sheetId="14" state="visible" r:id="rId14"/>
    <sheet xmlns:r="http://schemas.openxmlformats.org/officeDocument/2006/relationships" name="01_DASHBOARD" sheetId="15" state="visible" r:id="rId15"/>
    <sheet xmlns:r="http://schemas.openxmlformats.org/officeDocument/2006/relationships" name="02_RELEASE_CONTROL" sheetId="16" state="visible" r:id="rId16"/>
    <sheet xmlns:r="http://schemas.openxmlformats.org/officeDocument/2006/relationships" name="03_DATA_DICTIONARY" sheetId="17" state="visible" r:id="rId17"/>
    <sheet xmlns:r="http://schemas.openxmlformats.org/officeDocument/2006/relationships" name="04_IMPORT_GUIDE" sheetId="18" state="visible" r:id="rId18"/>
    <sheet xmlns:r="http://schemas.openxmlformats.org/officeDocument/2006/relationships" name="SYS_WORKBOOK_INFO" sheetId="19" state="visible" r:id="rId19"/>
    <sheet xmlns:r="http://schemas.openxmlformats.org/officeDocument/2006/relationships" name="SYS_PARAMETER" sheetId="20" state="visible" r:id="rId20"/>
    <sheet xmlns:r="http://schemas.openxmlformats.org/officeDocument/2006/relationships" name="LKP_STATUS" sheetId="21" state="visible" r:id="rId21"/>
    <sheet xmlns:r="http://schemas.openxmlformats.org/officeDocument/2006/relationships" name="LKP_UOM" sheetId="22" state="visible" r:id="rId22"/>
    <sheet xmlns:r="http://schemas.openxmlformats.org/officeDocument/2006/relationships" name="LKP_PACKAGING_LEVEL" sheetId="23" state="visible" r:id="rId23"/>
    <sheet xmlns:r="http://schemas.openxmlformats.org/officeDocument/2006/relationships" name="LKP_PACKAGING_FUNCTION" sheetId="24" state="visible" r:id="rId24"/>
    <sheet xmlns:r="http://schemas.openxmlformats.org/officeDocument/2006/relationships" name="LKP_COMPONENT_TYPE" sheetId="25" state="visible" r:id="rId25"/>
    <sheet xmlns:r="http://schemas.openxmlformats.org/officeDocument/2006/relationships" name="LKP_MATERIAL_FAMILY" sheetId="26" state="visible" r:id="rId26"/>
    <sheet xmlns:r="http://schemas.openxmlformats.org/officeDocument/2006/relationships" name="LKP_PPWR_MATERIAL_CATEGORY" sheetId="27" state="visible" r:id="rId27"/>
    <sheet xmlns:r="http://schemas.openxmlformats.org/officeDocument/2006/relationships" name="LKP_MATERIAL" sheetId="28" state="visible" r:id="rId28"/>
    <sheet xmlns:r="http://schemas.openxmlformats.org/officeDocument/2006/relationships" name="LKP_RECYCLABILITY_CLASS" sheetId="29" state="visible" r:id="rId29"/>
    <sheet xmlns:r="http://schemas.openxmlformats.org/officeDocument/2006/relationships" name="LKP_OWNERSHIP_TYPE" sheetId="30" state="visible" r:id="rId30"/>
    <sheet xmlns:r="http://schemas.openxmlformats.org/officeDocument/2006/relationships" name="LKP_TRANSPORT_UNIT_TYPE" sheetId="31" state="visible" r:id="rId31"/>
    <sheet xmlns:r="http://schemas.openxmlformats.org/officeDocument/2006/relationships" name="LKP_LINE_ROLE" sheetId="32" state="visible" r:id="rId32"/>
    <sheet xmlns:r="http://schemas.openxmlformats.org/officeDocument/2006/relationships" name="LKP_PRODUCT_CATEGORY" sheetId="33" state="visible" r:id="rId33"/>
    <sheet xmlns:r="http://schemas.openxmlformats.org/officeDocument/2006/relationships" name="LKP_COUNTRY" sheetId="34" state="visible" r:id="rId34"/>
    <sheet xmlns:r="http://schemas.openxmlformats.org/officeDocument/2006/relationships" name="LKP_TRANSPORT_MODE" sheetId="35" state="visible" r:id="rId35"/>
    <sheet xmlns:r="http://schemas.openxmlformats.org/officeDocument/2006/relationships" name="LKP_INCOTERM" sheetId="36" state="visible" r:id="rId36"/>
    <sheet xmlns:r="http://schemas.openxmlformats.org/officeDocument/2006/relationships" name="LKP_STATEMENT_TYPE" sheetId="37" state="visible" r:id="rId37"/>
    <sheet xmlns:r="http://schemas.openxmlformats.org/officeDocument/2006/relationships" name="LKP_DOCUMENT_TYPE" sheetId="38" state="visible" r:id="rId38"/>
    <sheet xmlns:r="http://schemas.openxmlformats.org/officeDocument/2006/relationships" name="LKP_SCENARIO_TYPE" sheetId="39" state="visible" r:id="rId39"/>
    <sheet xmlns:r="http://schemas.openxmlformats.org/officeDocument/2006/relationships" name="LEGAL_ENTITY" sheetId="40" state="visible" r:id="rId40"/>
    <sheet xmlns:r="http://schemas.openxmlformats.org/officeDocument/2006/relationships" name="PERSON" sheetId="41" state="visible" r:id="rId41"/>
    <sheet xmlns:r="http://schemas.openxmlformats.org/officeDocument/2006/relationships" name="SUPPLIER" sheetId="42" state="visible" r:id="rId42"/>
    <sheet xmlns:r="http://schemas.openxmlformats.org/officeDocument/2006/relationships" name="CUSTOMER" sheetId="43" state="visible" r:id="rId43"/>
    <sheet xmlns:r="http://schemas.openxmlformats.org/officeDocument/2006/relationships" name="PLANT" sheetId="44" state="visible" r:id="rId44"/>
    <sheet xmlns:r="http://schemas.openxmlformats.org/officeDocument/2006/relationships" name="PRODUCT" sheetId="45" state="visible" r:id="rId45"/>
    <sheet xmlns:r="http://schemas.openxmlformats.org/officeDocument/2006/relationships" name="COMPONENT" sheetId="46" state="visible" r:id="rId46"/>
    <sheet xmlns:r="http://schemas.openxmlformats.org/officeDocument/2006/relationships" name="COMPONENT_MATERIAL" sheetId="47" state="visible" r:id="rId47"/>
    <sheet xmlns:r="http://schemas.openxmlformats.org/officeDocument/2006/relationships" name="PACKAGING_CONFIGURATION" sheetId="48" state="visible" r:id="rId48"/>
    <sheet xmlns:r="http://schemas.openxmlformats.org/officeDocument/2006/relationships" name="PACKAGING_CONFIGURATION_LINE" sheetId="49" state="visible" r:id="rId49"/>
    <sheet xmlns:r="http://schemas.openxmlformats.org/officeDocument/2006/relationships" name="TRANSPORT_CONFIGURATION" sheetId="50" state="visible" r:id="rId50"/>
    <sheet xmlns:r="http://schemas.openxmlformats.org/officeDocument/2006/relationships" name="TRANSPORT_CONFIGURATION_LINE" sheetId="51" state="visible" r:id="rId51"/>
    <sheet xmlns:r="http://schemas.openxmlformats.org/officeDocument/2006/relationships" name="COMMERCIAL_SCENARIO" sheetId="52" state="visible" r:id="rId52"/>
    <sheet xmlns:r="http://schemas.openxmlformats.org/officeDocument/2006/relationships" name="SHIPMENT" sheetId="53" state="visible" r:id="rId53"/>
    <sheet xmlns:r="http://schemas.openxmlformats.org/officeDocument/2006/relationships" name="SHIPMENT_LINE" sheetId="54" state="visible" r:id="rId54"/>
    <sheet xmlns:r="http://schemas.openxmlformats.org/officeDocument/2006/relationships" name="TECHNICAL_FILE" sheetId="55" state="visible" r:id="rId55"/>
    <sheet xmlns:r="http://schemas.openxmlformats.org/officeDocument/2006/relationships" name="DECLARATION_OF_CONFORMITY" sheetId="56" state="visible" r:id="rId56"/>
    <sheet xmlns:r="http://schemas.openxmlformats.org/officeDocument/2006/relationships" name="STATEMENT" sheetId="57" state="visible" r:id="rId57"/>
    <sheet xmlns:r="http://schemas.openxmlformats.org/officeDocument/2006/relationships" name="STATEMENT_SHIPMENT" sheetId="58" state="visible" r:id="rId58"/>
    <sheet xmlns:r="http://schemas.openxmlformats.org/officeDocument/2006/relationships" name="STATEMENT_LINE" sheetId="59" state="visible" r:id="rId59"/>
    <sheet xmlns:r="http://schemas.openxmlformats.org/officeDocument/2006/relationships" name="DOCUMENT_LIBRARY" sheetId="60" state="visible" r:id="rId60"/>
    <sheet xmlns:r="http://schemas.openxmlformats.org/officeDocument/2006/relationships" name="DOCUMENT_LINK" sheetId="61" state="visible" r:id="rId61"/>
    <sheet xmlns:r="http://schemas.openxmlformats.org/officeDocument/2006/relationships" name="ZZ_QA_WEIGHT_FIXTURE" sheetId="62" state="visible" r:id="rId62"/>
  </sheets>
  <definedNames>
    <definedName name="NR_COMMERCIAL_SCENARIO_ID">COMMERCIAL_SCENARIO!$A$2:$A$5000</definedName>
    <definedName name="NR_COMPONENT_ID">COMPONENT!$A$2:$A$5000</definedName>
    <definedName name="NR_COMPONENT_MATERIAL_ID">COMPONENT_MATERIAL!$A$2:$A$5000</definedName>
    <definedName name="NR_COMPONENT_TYPE_ID">LKP_COMPONENT_TYPE!$A$2:$A$5000</definedName>
    <definedName name="NR_COUNTRY_ID">LKP_COUNTRY!$A$2:$A$5000</definedName>
    <definedName name="NR_CUSTOMER_ID">CUSTOMER!$A$2:$A$5000</definedName>
    <definedName name="NR_DECLARATION_OF_CONFORMITY_ID">DECLARATION_OF_CONFORMITY!$A$2:$A$5000</definedName>
    <definedName name="NR_DOCUMENT_ID">DOCUMENT_LIBRARY!$A$2:$A$5000</definedName>
    <definedName name="NR_DOCUMENT_LINK_ID">DOCUMENT_LINK!$A$2:$A$5000</definedName>
    <definedName name="NR_DOCUMENT_TYPE_ID">LKP_DOCUMENT_TYPE!$A$2:$A$5000</definedName>
    <definedName name="NR_INCOTERM_ID">LKP_INCOTERM!$A$2:$A$5000</definedName>
    <definedName name="NR_INFO_KEY">SYS_WORKBOOK_INFO!$A$2:$A$5000</definedName>
    <definedName name="NR_LEGAL_ENTITY_ID">LEGAL_ENTITY!$A$2:$A$5000</definedName>
    <definedName name="NR_LINE_ROLE_ID">LKP_LINE_ROLE!$A$2:$A$5000</definedName>
    <definedName name="NR_MATERIAL_FAMILY_ID">LKP_MATERIAL_FAMILY!$A$2:$A$5000</definedName>
    <definedName name="NR_MATERIAL_ID">LKP_MATERIAL!$A$2:$A$5000</definedName>
    <definedName name="NR_OWNERSHIP_TYPE_ID">LKP_OWNERSHIP_TYPE!$A$2:$A$5000</definedName>
    <definedName name="NR_PACKAGING_CONFIGURATION_ID">PACKAGING_CONFIGURATION!$A$2:$A$5000</definedName>
    <definedName name="NR_PACKAGING_CONFIGURATION_LINE_ID">PACKAGING_CONFIGURATION_LINE!$A$2:$A$5000</definedName>
    <definedName name="NR_PACKAGING_FUNCTION_ID">LKP_PACKAGING_FUNCTION!$A$2:$A$5000</definedName>
    <definedName name="NR_PACKAGING_LEVEL_ID">LKP_PACKAGING_LEVEL!$A$2:$A$5000</definedName>
    <definedName name="NR_PARAMETER_ID">SYS_PARAMETER!$A$2:$A$5000</definedName>
    <definedName name="NR_PERSON_ID">PERSON!$A$2:$A$5000</definedName>
    <definedName name="NR_PLANT_ID">PLANT!$A$2:$A$5000</definedName>
    <definedName name="NR_PPWR_MATERIAL_CATEGORY_ID">LKP_PPWR_MATERIAL_CATEGORY!$A$2:$A$5000</definedName>
    <definedName name="NR_PRODUCT_CATEGORY_ID">LKP_PRODUCT_CATEGORY!$A$2:$A$5000</definedName>
    <definedName name="NR_PRODUCT_ID">PRODUCT!$A$2:$A$5000</definedName>
    <definedName name="NR_RECYCLABILITY_CLASS_ID">LKP_RECYCLABILITY_CLASS!$A$2:$A$5000</definedName>
    <definedName name="NR_SCENARIO_TYPE_ID">LKP_SCENARIO_TYPE!$A$2:$A$5000</definedName>
    <definedName name="NR_SHIPMENT_ID">SHIPMENT!$A$2:$A$5000</definedName>
    <definedName name="NR_SHIPMENT_LINE_ID">SHIPMENT_LINE!$A$2:$A$5000</definedName>
    <definedName name="NR_STATEMENT_ID">STATEMENT!$A$2:$A$5000</definedName>
    <definedName name="NR_STATEMENT_LINE_ID">STATEMENT_LINE!$A$2:$A$5000</definedName>
    <definedName name="NR_STATEMENT_SHIPMENT_ID">STATEMENT_SHIPMENT!$A$2:$A$5000</definedName>
    <definedName name="NR_STATEMENT_TYPE_ID">LKP_STATEMENT_TYPE!$A$2:$A$5000</definedName>
    <definedName name="NR_STATUS_ID">LKP_STATUS!$A$2:$A$5000</definedName>
    <definedName name="NR_SUPPLIER_ID">SUPPLIER!$A$2:$A$5000</definedName>
    <definedName name="NR_TECHNICAL_FILE_ID">TECHNICAL_FILE!$A$2:$A$5000</definedName>
    <definedName name="NR_TRANSPORT_CONFIGURATION_ID">TRANSPORT_CONFIGURATION!$A$2:$A$5000</definedName>
    <definedName name="NR_TRANSPORT_CONFIGURATION_LINE_ID">TRANSPORT_CONFIGURATION_LINE!$A$2:$A$5000</definedName>
    <definedName name="NR_TRANSPORT_MODE_ID">LKP_TRANSPORT_MODE!$A$2:$A$5000</definedName>
    <definedName name="NR_TRANSPORT_UNIT_TYPE_ID">LKP_TRANSPORT_UNIT_TYPE!$A$2:$A$5000</definedName>
    <definedName name="NR_UOM_ID">LKP_UOM!$A$2:$A$5000</definedName>
    <definedName name="_xlnm._FilterDatabase" localSheetId="0" hidden="1">'00_HOME'!$A$5:$C$5</definedName>
    <definedName name="_xlnm._FilterDatabase" localSheetId="3" hidden="1">'PACKAGING_CONFIGURATIONS'!$A$1:$N$248</definedName>
    <definedName name="_xlnm._FilterDatabase" localSheetId="4" hidden="1">'PRODUCT_MASTER'!$A$1:$H$2047</definedName>
    <definedName name="_xlnm._FilterDatabase" localSheetId="5" hidden="1">'COMPONENT_MASTER'!$A$1:$I$113</definedName>
    <definedName name="_xlnm._FilterDatabase" localSheetId="6" hidden="1">'DOCUMENT_CENTER'!$A$1:$R$248</definedName>
    <definedName name="_xlnm._FilterDatabase" localSheetId="7" hidden="1">'TECHNICAL_FILES'!$A$1:$M$248</definedName>
    <definedName name="_xlnm._FilterDatabase" localSheetId="8" hidden="1">'DECLARATIONS_OF_CONFORMITY'!$A$1:$K$248</definedName>
    <definedName name="_xlnm._FilterDatabase" localSheetId="9" hidden="1">'LABELS'!$A$1:$I$248</definedName>
    <definedName name="_xlnm._FilterDatabase" localSheetId="10" hidden="1">'SHIPMENT_STATEMENTS'!$A$1:$I$248</definedName>
    <definedName name="_xlnm._FilterDatabase" localSheetId="12" hidden="1">'DOC_ENGINE_MAP'!$A$3:$F$12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\ hh:mm:ss"/>
    <numFmt numFmtId="165" formatCode="dd\.mm\.yyyy"/>
  </numFmts>
  <fonts count="12">
    <font>
      <name val="Calibri"/>
      <family val="2"/>
      <color theme="1"/>
      <sz val="11"/>
      <scheme val="minor"/>
    </font>
    <font>
      <name val="Tahoma"/>
      <b val="1"/>
      <color rgb="FFFFFFFF"/>
      <sz val="10"/>
    </font>
    <font>
      <name val="Tahoma"/>
      <color rgb="FF1A1A1A"/>
      <sz val="9"/>
    </font>
    <font>
      <name val="Tahoma"/>
      <b val="1"/>
      <color rgb="FF1F4E79"/>
      <sz val="16"/>
    </font>
    <font>
      <name val="Tahoma"/>
      <color rgb="FF1A1A1A"/>
      <sz val="10"/>
    </font>
    <font>
      <name val="Tahoma"/>
      <b val="1"/>
      <color rgb="FF1F4E79"/>
      <sz val="12"/>
    </font>
    <font>
      <name val="Tahoma"/>
      <b val="1"/>
      <color rgb="001F4E79"/>
      <sz val="18"/>
    </font>
    <font>
      <name val="Tahoma"/>
      <color rgb="001A1A1A"/>
      <sz val="9"/>
    </font>
    <font>
      <name val="Tahoma"/>
      <i val="1"/>
      <color rgb="001A1A1A"/>
      <sz val="9"/>
    </font>
    <font>
      <name val="Tahoma"/>
      <b val="1"/>
      <color rgb="00FFFFFF"/>
      <sz val="10"/>
    </font>
    <font>
      <name val="Tahoma"/>
      <b val="1"/>
      <color rgb="001F4E79"/>
      <sz val="12"/>
    </font>
    <font>
      <name val="Tahoma"/>
      <color rgb="000563C1"/>
      <sz val="9"/>
      <u val="single"/>
    </font>
  </fonts>
  <fills count="11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D6EAF8"/>
      </patternFill>
    </fill>
    <fill>
      <patternFill patternType="solid">
        <fgColor rgb="00D6EAF8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4" fillId="6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4" fontId="2" fillId="5" borderId="1" applyAlignment="1" pivotButton="0" quotePrefix="0" xfId="0">
      <alignment vertical="center"/>
    </xf>
    <xf numFmtId="49" fontId="2" fillId="4" borderId="1" applyAlignment="1" pivotButton="0" quotePrefix="0" xfId="0">
      <alignment vertical="center"/>
    </xf>
    <xf numFmtId="1" fontId="2" fillId="4" borderId="1" applyAlignment="1" pivotButton="0" quotePrefix="0" xfId="0">
      <alignment vertical="center"/>
    </xf>
    <xf numFmtId="49" fontId="2" fillId="6" borderId="1" applyAlignment="1" pivotButton="0" quotePrefix="0" xfId="0">
      <alignment vertical="center"/>
    </xf>
    <xf numFmtId="2" fontId="2" fillId="4" borderId="1" applyAlignment="1" pivotButton="0" quotePrefix="0" xfId="0">
      <alignment vertical="center"/>
    </xf>
    <xf numFmtId="165" fontId="2" fillId="4" borderId="1" applyAlignment="1" pivotButton="0" quotePrefix="0" xfId="0">
      <alignment vertical="center"/>
    </xf>
    <xf numFmtId="164" fontId="2" fillId="4" borderId="1" applyAlignment="1" pivotButton="0" quotePrefix="0" xfId="0">
      <alignment vertical="center"/>
    </xf>
    <xf numFmtId="49" fontId="4" fillId="0" borderId="0" pivotButton="0" quotePrefix="0" xfId="0"/>
    <xf numFmtId="2" fontId="4" fillId="0" borderId="0" pivotButton="0" quotePrefix="0" xfId="0"/>
    <xf numFmtId="2" fontId="5" fillId="0" borderId="0" pivotButton="0" quotePrefix="0" xfId="0"/>
    <xf numFmtId="49" fontId="0" fillId="0" borderId="0" pivotButton="0" quotePrefix="0" xfId="0"/>
    <xf numFmtId="0" fontId="6" fillId="0" borderId="0" pivotButton="0" quotePrefix="0" xfId="0"/>
    <xf numFmtId="0" fontId="7" fillId="7" borderId="0" pivotButton="0" quotePrefix="0" xfId="0"/>
    <xf numFmtId="0" fontId="8" fillId="0" borderId="0" pivotButton="0" quotePrefix="0" xfId="0"/>
    <xf numFmtId="0" fontId="9" fillId="8" borderId="2" applyAlignment="1" pivotButton="0" quotePrefix="0" xfId="0">
      <alignment horizontal="center" vertical="center" wrapText="1"/>
    </xf>
    <xf numFmtId="0" fontId="7" fillId="9" borderId="2" pivotButton="0" quotePrefix="0" xfId="0"/>
    <xf numFmtId="0" fontId="7" fillId="0" borderId="2" pivotButton="0" quotePrefix="0" xfId="0"/>
    <xf numFmtId="0" fontId="10" fillId="0" borderId="0" pivotButton="0" quotePrefix="0" xfId="0"/>
    <xf numFmtId="0" fontId="11" fillId="0" borderId="0" pivotButton="0" quotePrefix="0" xfId="0"/>
    <xf numFmtId="0" fontId="10" fillId="10" borderId="0" pivotButton="0" quotePrefix="0" xfId="0"/>
    <xf numFmtId="0" fontId="7" fillId="0" borderId="0" pivotButton="0" quotePrefix="0" xfId="0"/>
    <xf numFmtId="0" fontId="0" fillId="10" borderId="2" pivotButton="0" quotePrefix="0" xfId="0"/>
    <xf numFmtId="0" fontId="11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styles" Target="styles.xml" Id="rId63"/><Relationship Type="http://schemas.openxmlformats.org/officeDocument/2006/relationships/theme" Target="theme/theme1.xml" Id="rId64"/></Relationships>
</file>

<file path=xl/tables/table1.xml><?xml version="1.0" encoding="utf-8"?>
<table xmlns="http://schemas.openxmlformats.org/spreadsheetml/2006/main" id="1" name="T_UI_RELEASE_CONTROL" displayName="T_UI_RELEASE_CONTROL" ref="A4:H16" headerRowCount="1">
  <autoFilter ref="A4:H16"/>
  <tableColumns count="8">
    <tableColumn id="1" name="Control Area"/>
    <tableColumn id="2" name="Rule"/>
    <tableColumn id="3" name="Error Count"/>
    <tableColumn id="4" name="Warning Count"/>
    <tableColumn id="5" name="Status"/>
    <tableColumn id="6" name="Blocking?"/>
    <tableColumn id="7" name="Responsible Role"/>
    <tableColumn id="8" name="Note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_UI_DATA_DICTIONARY" displayName="T_UI_DATA_DICTIONARY" ref="A4:L331" headerRowCount="1">
  <autoFilter ref="A4:L331"/>
  <tableColumns count="12">
    <tableColumn id="1" name="Table"/>
    <tableColumn id="2" name="Column"/>
    <tableColumn id="3" name="Data Type"/>
    <tableColumn id="4" name="Required"/>
    <tableColumn id="5" name="PK"/>
    <tableColumn id="6" name="FK"/>
    <tableColumn id="7" name="FK Target"/>
    <tableColumn id="8" name="Business Meaning"/>
    <tableColumn id="9" name="Data Owner"/>
    <tableColumn id="10" name="Update Frequency"/>
    <tableColumn id="11" name="Validation Rule"/>
    <tableColumn id="12" name="System / User Managed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_SYS_WORKBOOK_INFO" displayName="T_SYS_WORKBOOK_INFO" ref="A1:C12" headerRowCount="1">
  <autoFilter ref="A1:C12"/>
  <tableColumns count="3">
    <tableColumn id="1" name="INFO_KEY"/>
    <tableColumn id="2" name="INFO_VALUE"/>
    <tableColumn id="3" name="UPDATED_A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T_SYS_PARAMETER" displayName="T_SYS_PARAMETER" ref="A1:D7" headerRowCount="1">
  <autoFilter ref="A1:D7"/>
  <tableColumns count="4">
    <tableColumn id="1" name="PARAMETER_ID"/>
    <tableColumn id="2" name="PARAMETER_CODE"/>
    <tableColumn id="3" name="PARAMETER_VALUE"/>
    <tableColumn id="4" name="DESCRIPTION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T_LKP_STATUS" displayName="T_LKP_STATUS" ref="A1:F9" headerRowCount="1">
  <autoFilter ref="A1:F9"/>
  <tableColumns count="6">
    <tableColumn id="1" name="STATUS_ID"/>
    <tableColumn id="2" name="STATUS_CODE"/>
    <tableColumn id="3" name="STATUS_NAME"/>
    <tableColumn id="4" name="STATUS_DOMAIN"/>
    <tableColumn id="5" name="IS_EDITABLE"/>
    <tableColumn id="6" name="SORT_ORDER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T_LKP_UOM" displayName="T_LKP_UOM" ref="A1:D9" headerRowCount="1">
  <autoFilter ref="A1:D9"/>
  <tableColumns count="4">
    <tableColumn id="1" name="UOM_ID"/>
    <tableColumn id="2" name="UOM_CODE"/>
    <tableColumn id="3" name="UOM_NAME"/>
    <tableColumn id="4" name="UOM_DIMENSION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7" name="T_LKP_PACKAGING_LEVEL" displayName="T_LKP_PACKAGING_LEVEL" ref="A1:D4" headerRowCount="1">
  <autoFilter ref="A1:D4"/>
  <tableColumns count="4">
    <tableColumn id="1" name="PACKAGING_LEVEL_ID"/>
    <tableColumn id="2" name="PACKAGING_LEVEL_CODE"/>
    <tableColumn id="3" name="PACKAGING_LEVEL_NAME"/>
    <tableColumn id="4" name="SORT_ORDER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8" name="T_LKP_PACKAGING_FUNCTION" displayName="T_LKP_PACKAGING_FUNCTION" ref="A1:C4" headerRowCount="1">
  <autoFilter ref="A1:C4"/>
  <tableColumns count="3">
    <tableColumn id="1" name="PACKAGING_FUNCTION_ID"/>
    <tableColumn id="2" name="PACKAGING_FUNCTION_CODE"/>
    <tableColumn id="3" name="PACKAGING_FUNCTION_NAME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9" name="T_LKP_COMPONENT_TYPE" displayName="T_LKP_COMPONENT_TYPE" ref="A1:D15" headerRowCount="1">
  <autoFilter ref="A1:D15"/>
  <tableColumns count="4">
    <tableColumn id="1" name="COMPONENT_TYPE_ID"/>
    <tableColumn id="2" name="COMPONENT_TYPE_CODE"/>
    <tableColumn id="3" name="COMPONENT_TYPE_NAME"/>
    <tableColumn id="4" name="DEFAULT_PACKAGING_LEVEL_ID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0" name="T_LKP_MATERIAL_FAMILY" displayName="T_LKP_MATERIAL_FAMILY" ref="A1:C7" headerRowCount="1">
  <autoFilter ref="A1:C7"/>
  <tableColumns count="3">
    <tableColumn id="1" name="MATERIAL_FAMILY_ID"/>
    <tableColumn id="2" name="MATERIAL_FAMILY_CODE"/>
    <tableColumn id="3" name="MATERIAL_FAMILY_NAME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id="11" name="T_LKP_PPWR_MATERIAL_CATEGORY" displayName="T_LKP_PPWR_MATERIAL_CATEGORY" ref="A1:C8" headerRowCount="1">
  <autoFilter ref="A1:C8"/>
  <tableColumns count="3">
    <tableColumn id="1" name="PPWR_MATERIAL_CATEGORY_ID"/>
    <tableColumn id="2" name="PPWR_MATERIAL_CATEGORY_CODE"/>
    <tableColumn id="3" name="PPWR_MATERIAL_CATEGORY_NAME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id="12" name="T_LKP_MATERIAL" displayName="T_LKP_MATERIAL" ref="A1:G11" headerRowCount="1">
  <autoFilter ref="A1:G11"/>
  <tableColumns count="7">
    <tableColumn id="1" name="MATERIAL_ID"/>
    <tableColumn id="2" name="MATERIAL_CODE"/>
    <tableColumn id="3" name="MATERIAL_NAME"/>
    <tableColumn id="4" name="MATERIAL_FAMILY_ID"/>
    <tableColumn id="5" name="PPWR_MATERIAL_CATEGORY_ID"/>
    <tableColumn id="6" name="IS_COMPOSITE"/>
    <tableColumn id="7" name="NOTES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id="13" name="T_LKP_RECYCLABILITY_CLASS" displayName="T_LKP_RECYCLABILITY_CLASS" ref="A1:C5" headerRowCount="1">
  <autoFilter ref="A1:C5"/>
  <tableColumns count="3">
    <tableColumn id="1" name="RECYCLABILITY_CLASS_ID"/>
    <tableColumn id="2" name="RECYCLABILITY_CLASS_CODE"/>
    <tableColumn id="3" name="RECYCLABILITY_CLASS_NAME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id="14" name="T_LKP_OWNERSHIP_TYPE" displayName="T_LKP_OWNERSHIP_TYPE" ref="A1:C5" headerRowCount="1">
  <autoFilter ref="A1:C5"/>
  <tableColumns count="3">
    <tableColumn id="1" name="OWNERSHIP_TYPE_ID"/>
    <tableColumn id="2" name="OWNERSHIP_TYPE_CODE"/>
    <tableColumn id="3" name="OWNERSHIP_TYPE_NAME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id="15" name="T_LKP_TRANSPORT_UNIT_TYPE" displayName="T_LKP_TRANSPORT_UNIT_TYPE" ref="A1:C6" headerRowCount="1">
  <autoFilter ref="A1:C6"/>
  <tableColumns count="3">
    <tableColumn id="1" name="TRANSPORT_UNIT_TYPE_ID"/>
    <tableColumn id="2" name="TRANSPORT_UNIT_TYPE_CODE"/>
    <tableColumn id="3" name="TRANSPORT_UNIT_TYPE_NAME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id="16" name="T_LKP_LINE_ROLE" displayName="T_LKP_LINE_ROLE" ref="A1:C19" headerRowCount="1">
  <autoFilter ref="A1:C19"/>
  <tableColumns count="3">
    <tableColumn id="1" name="LINE_ROLE_ID"/>
    <tableColumn id="2" name="LINE_ROLE_CODE"/>
    <tableColumn id="3" name="LINE_ROLE_NAME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id="17" name="T_LKP_PRODUCT_CATEGORY" displayName="T_LKP_PRODUCT_CATEGORY" ref="A1:C4" headerRowCount="1">
  <autoFilter ref="A1:C4"/>
  <tableColumns count="3">
    <tableColumn id="1" name="PRODUCT_CATEGORY_ID"/>
    <tableColumn id="2" name="PRODUCT_CATEGORY_CODE"/>
    <tableColumn id="3" name="PRODUCT_CATEGORY_NAME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id="18" name="T_LKP_COUNTRY" displayName="T_LKP_COUNTRY" ref="A1:E11" headerRowCount="1">
  <autoFilter ref="A1:E11"/>
  <tableColumns count="5">
    <tableColumn id="1" name="COUNTRY_ID"/>
    <tableColumn id="2" name="ISO2"/>
    <tableColumn id="3" name="ISO3"/>
    <tableColumn id="4" name="COUNTRY_NAME"/>
    <tableColumn id="5" name="IS_EU_MARKET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id="19" name="T_LKP_TRANSPORT_MODE" displayName="T_LKP_TRANSPORT_MODE" ref="A1:C6" headerRowCount="1">
  <autoFilter ref="A1:C6"/>
  <tableColumns count="3">
    <tableColumn id="1" name="TRANSPORT_MODE_ID"/>
    <tableColumn id="2" name="TRANSPORT_MODE_CODE"/>
    <tableColumn id="3" name="TRANSPORT_MODE_NAME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id="20" name="T_LKP_INCOTERM" displayName="T_LKP_INCOTERM" ref="A1:C12" headerRowCount="1">
  <autoFilter ref="A1:C12"/>
  <tableColumns count="3">
    <tableColumn id="1" name="INCOTERM_ID"/>
    <tableColumn id="2" name="INCOTERM_CODE"/>
    <tableColumn id="3" name="INCOTERM_NAME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id="21" name="T_LKP_STATEMENT_TYPE" displayName="T_LKP_STATEMENT_TYPE" ref="A1:C4" headerRowCount="1">
  <autoFilter ref="A1:C4"/>
  <tableColumns count="3">
    <tableColumn id="1" name="STATEMENT_TYPE_ID"/>
    <tableColumn id="2" name="STATEMENT_TYPE_CODE"/>
    <tableColumn id="3" name="STATEMENT_TYPE_NAME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id="22" name="T_LKP_DOCUMENT_TYPE" displayName="T_LKP_DOCUMENT_TYPE" ref="A1:C14" headerRowCount="1">
  <autoFilter ref="A1:C14"/>
  <tableColumns count="3">
    <tableColumn id="1" name="DOCUMENT_TYPE_ID"/>
    <tableColumn id="2" name="DOCUMENT_TYPE_CODE"/>
    <tableColumn id="3" name="DOCUMENT_TYPE_NAME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id="23" name="T_LKP_SCENARIO_TYPE" displayName="T_LKP_SCENARIO_TYPE" ref="A1:C6" headerRowCount="1">
  <autoFilter ref="A1:C6"/>
  <tableColumns count="3">
    <tableColumn id="1" name="SCENARIO_TYPE_ID"/>
    <tableColumn id="2" name="SCENARIO_TYPE_CODE"/>
    <tableColumn id="3" name="SCENARIO_TYPE_NAME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id="24" name="T_LEGAL_ENTITY" displayName="T_LEGAL_ENTITY" ref="A1:F2" headerRowCount="1">
  <autoFilter ref="A1:F2"/>
  <tableColumns count="6">
    <tableColumn id="1" name="LEGAL_ENTITY_ID"/>
    <tableColumn id="2" name="LEGAL_ENTITY_CODE"/>
    <tableColumn id="3" name="LEGAL_ENTITY_NAME"/>
    <tableColumn id="4" name="COUNTRY_ID"/>
    <tableColumn id="5" name="STATUS_ID"/>
    <tableColumn id="6" name="NOTES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id="25" name="T_PERSON" displayName="T_PERSON" ref="A1:F2" headerRowCount="1">
  <autoFilter ref="A1:F2"/>
  <tableColumns count="6">
    <tableColumn id="1" name="PERSON_ID"/>
    <tableColumn id="2" name="PERSON_CODE"/>
    <tableColumn id="3" name="FULL_NAME"/>
    <tableColumn id="4" name="EMAIL"/>
    <tableColumn id="5" name="JOB_TITLE"/>
    <tableColumn id="6" name="STATUS_ID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id="26" name="T_SUPPLIER" displayName="T_SUPPLIER" ref="A1:G2" headerRowCount="1">
  <autoFilter ref="A1:G2"/>
  <tableColumns count="7">
    <tableColumn id="1" name="SUPPLIER_ID"/>
    <tableColumn id="2" name="SUPPLIER_CODE"/>
    <tableColumn id="3" name="SUPPLIER_NAME"/>
    <tableColumn id="4" name="COUNTRY_ID"/>
    <tableColumn id="5" name="STATUS_ID"/>
    <tableColumn id="6" name="EXTERNAL_REF"/>
    <tableColumn id="7" name="NOTES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id="27" name="T_CUSTOMER" displayName="T_CUSTOMER" ref="A1:G2" headerRowCount="1">
  <autoFilter ref="A1:G2"/>
  <tableColumns count="7">
    <tableColumn id="1" name="CUSTOMER_ID"/>
    <tableColumn id="2" name="CUSTOMER_CODE"/>
    <tableColumn id="3" name="CUSTOMER_NAME"/>
    <tableColumn id="4" name="COUNTRY_ID"/>
    <tableColumn id="5" name="STATUS_ID"/>
    <tableColumn id="6" name="EXTERNAL_REF"/>
    <tableColumn id="7" name="NOTES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id="28" name="T_PLANT" displayName="T_PLANT" ref="A1:G2" headerRowCount="1">
  <autoFilter ref="A1:G2"/>
  <tableColumns count="7">
    <tableColumn id="1" name="PLANT_ID"/>
    <tableColumn id="2" name="PLANT_CODE"/>
    <tableColumn id="3" name="PLANT_NAME"/>
    <tableColumn id="4" name="LEGAL_ENTITY_ID"/>
    <tableColumn id="5" name="COUNTRY_ID"/>
    <tableColumn id="6" name="STATUS_ID"/>
    <tableColumn id="7" name="EXTERNAL_REF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id="29" name="T_PRODUCT" displayName="T_PRODUCT" ref="A1:O2047" headerRowCount="1">
  <autoFilter ref="A1:O2047"/>
  <tableColumns count="15">
    <tableColumn id="1" name="PRODUCT_ID"/>
    <tableColumn id="2" name="PRODUCT_CODE"/>
    <tableColumn id="3" name="PRODUCT_NAME"/>
    <tableColumn id="4" name="PRODUCT_CATEGORY_ID"/>
    <tableColumn id="5" name="NET_WEIGHT_G"/>
    <tableColumn id="6" name="LENGTH_MM"/>
    <tableColumn id="7" name="WIDTH_MM"/>
    <tableColumn id="8" name="HEIGHT_MM"/>
    <tableColumn id="9" name="STATUS_ID"/>
    <tableColumn id="10" name="EFFECTIVE_FROM"/>
    <tableColumn id="11" name="EFFECTIVE_TO"/>
    <tableColumn id="12" name="EXTERNAL_REF"/>
    <tableColumn id="13" name="NOTES"/>
    <tableColumn id="14" name="CREATED_AT"/>
    <tableColumn id="15" name="UPDATED_A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id="30" name="T_COMPONENT" displayName="T_COMPONENT" ref="A1:W113" headerRowCount="1">
  <autoFilter ref="A1:W113"/>
  <tableColumns count="23">
    <tableColumn id="1" name="COMPONENT_ID"/>
    <tableColumn id="2" name="COMPONENT_CODE"/>
    <tableColumn id="3" name="COMPONENT_NAME"/>
    <tableColumn id="4" name="COMPONENT_TYPE_ID"/>
    <tableColumn id="5" name="PACKAGING_LEVEL_ID"/>
    <tableColumn id="6" name="PACKAGING_FUNCTION_ID"/>
    <tableColumn id="7" name="OWNERSHIP_TYPE_ID"/>
    <tableColumn id="8" name="SUPPLIER_ID"/>
    <tableColumn id="9" name="WEIGHT_G"/>
    <tableColumn id="10" name="LENGTH_MM"/>
    <tableColumn id="11" name="WIDTH_MM"/>
    <tableColumn id="12" name="HEIGHT_MM"/>
    <tableColumn id="13" name="RECYCLED_CONTENT_PCT"/>
    <tableColumn id="14" name="RECYCLABILITY_CLASS_ID"/>
    <tableColumn id="15" name="REUSE_CYCLE_TARGET"/>
    <tableColumn id="16" name="SPEC_REF"/>
    <tableColumn id="17" name="STATUS_ID"/>
    <tableColumn id="18" name="EFFECTIVE_FROM"/>
    <tableColumn id="19" name="EFFECTIVE_TO"/>
    <tableColumn id="20" name="EXTERNAL_REF"/>
    <tableColumn id="21" name="NOTES"/>
    <tableColumn id="22" name="CREATED_AT"/>
    <tableColumn id="23" name="UPDATED_A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id="31" name="T_COMPONENT_MATERIAL" displayName="T_COMPONENT_MATERIAL" ref="A1:F52" headerRowCount="1">
  <autoFilter ref="A1:F52"/>
  <tableColumns count="6">
    <tableColumn id="1" name="COMPONENT_MATERIAL_ID"/>
    <tableColumn id="2" name="COMPONENT_ID"/>
    <tableColumn id="3" name="MATERIAL_ID"/>
    <tableColumn id="4" name="SHARE_PCT"/>
    <tableColumn id="5" name="SORT_ORDER"/>
    <tableColumn id="6" name="NOTES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id="32" name="T_PACKAGING_CONFIGURATION" displayName="T_PACKAGING_CONFIGURATION" ref="A1:L248" headerRowCount="1">
  <autoFilter ref="A1:L248"/>
  <tableColumns count="12">
    <tableColumn id="1" name="PACKAGING_CONFIGURATION_ID"/>
    <tableColumn id="2" name="CONFIG_GROUP_CODE"/>
    <tableColumn id="3" name="REVISION_NO"/>
    <tableColumn id="4" name="PACKAGING_CONFIGURATION_NAME"/>
    <tableColumn id="5" name="DESCRIPTION"/>
    <tableColumn id="6" name="SUPERSEDES_ID"/>
    <tableColumn id="7" name="STATUS_ID"/>
    <tableColumn id="8" name="EFFECTIVE_FROM"/>
    <tableColumn id="9" name="EFFECTIVE_TO"/>
    <tableColumn id="10" name="NOTES"/>
    <tableColumn id="11" name="CREATED_AT"/>
    <tableColumn id="12" name="UPDATED_AT"/>
  </tableColumns>
  <tableStyleInfo showFirstColumn="0" showLastColumn="0" showRowStripes="1" showColumnStripes="0"/>
</table>
</file>

<file path=xl/tables/table33.xml><?xml version="1.0" encoding="utf-8"?>
<table xmlns="http://schemas.openxmlformats.org/spreadsheetml/2006/main" id="33" name="T_PACKAGING_CONFIGURATION_LINE" displayName="T_PACKAGING_CONFIGURATION_LINE" ref="A1:H1691" headerRowCount="1">
  <autoFilter ref="A1:H1691"/>
  <tableColumns count="8">
    <tableColumn id="1" name="PACKAGING_CONFIGURATION_LINE_ID"/>
    <tableColumn id="2" name="PACKAGING_CONFIGURATION_ID"/>
    <tableColumn id="3" name="COMPONENT_ID"/>
    <tableColumn id="4" name="QUANTITY"/>
    <tableColumn id="5" name="LINE_ROLE_ID"/>
    <tableColumn id="6" name="SORT_ORDER"/>
    <tableColumn id="7" name="IS_OPTIONAL"/>
    <tableColumn id="8" name="NOTES"/>
  </tableColumns>
  <tableStyleInfo showFirstColumn="0" showLastColumn="0" showRowStripes="1" showColumnStripes="0"/>
</table>
</file>

<file path=xl/tables/table34.xml><?xml version="1.0" encoding="utf-8"?>
<table xmlns="http://schemas.openxmlformats.org/spreadsheetml/2006/main" id="34" name="T_TRANSPORT_CONFIGURATION" displayName="T_TRANSPORT_CONFIGURATION" ref="A1:Q248" headerRowCount="1">
  <autoFilter ref="A1:Q248"/>
  <tableColumns count="17">
    <tableColumn id="1" name="TRANSPORT_CONFIGURATION_ID"/>
    <tableColumn id="2" name="CONFIG_GROUP_CODE"/>
    <tableColumn id="3" name="REVISION_NO"/>
    <tableColumn id="4" name="TRANSPORT_CONFIGURATION_NAME"/>
    <tableColumn id="5" name="PACKAGING_CONFIGURATION_ID"/>
    <tableColumn id="6" name="TRANSPORT_UNIT_TYPE_ID"/>
    <tableColumn id="7" name="UNITS_PER_LAYER"/>
    <tableColumn id="8" name="LAYERS_PER_UNIT"/>
    <tableColumn id="9" name="CONTAINER_PAYLOAD_UNITS"/>
    <tableColumn id="10" name="MAX_GROSS_WEIGHT_KG"/>
    <tableColumn id="11" name="SUPERSEDES_ID"/>
    <tableColumn id="12" name="STATUS_ID"/>
    <tableColumn id="13" name="EFFECTIVE_FROM"/>
    <tableColumn id="14" name="EFFECTIVE_TO"/>
    <tableColumn id="15" name="NOTES"/>
    <tableColumn id="16" name="CREATED_AT"/>
    <tableColumn id="17" name="UPDATED_AT"/>
  </tableColumns>
  <tableStyleInfo showFirstColumn="0" showLastColumn="0" showRowStripes="1" showColumnStripes="0"/>
</table>
</file>

<file path=xl/tables/table35.xml><?xml version="1.0" encoding="utf-8"?>
<table xmlns="http://schemas.openxmlformats.org/spreadsheetml/2006/main" id="35" name="T_TRANSPORT_CONFIGURATION_LINE" displayName="T_TRANSPORT_CONFIGURATION_LINE" ref="A1:G43" headerRowCount="1">
  <autoFilter ref="A1:G43"/>
  <tableColumns count="7">
    <tableColumn id="1" name="TRANSPORT_CONFIGURATION_LINE_ID"/>
    <tableColumn id="2" name="TRANSPORT_CONFIGURATION_ID"/>
    <tableColumn id="3" name="COMPONENT_ID"/>
    <tableColumn id="4" name="QUANTITY_PER_TRANSPORT_UNIT"/>
    <tableColumn id="5" name="LINE_ROLE_ID"/>
    <tableColumn id="6" name="SORT_ORDER"/>
    <tableColumn id="7" name="NOTES"/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id="36" name="T_COMMERCIAL_SCENARIO" displayName="T_COMMERCIAL_SCENARIO" ref="A1:P1918" headerRowCount="1">
  <autoFilter ref="A1:P1918"/>
  <tableColumns count="16">
    <tableColumn id="1" name="COMMERCIAL_SCENARIO_ID"/>
    <tableColumn id="2" name="COMMERCIAL_SCENARIO_CODE"/>
    <tableColumn id="3" name="COMMERCIAL_SCENARIO_NAME"/>
    <tableColumn id="4" name="SCENARIO_TYPE_ID"/>
    <tableColumn id="5" name="PRODUCT_ID"/>
    <tableColumn id="6" name="TRANSPORT_CONFIGURATION_ID"/>
    <tableColumn id="7" name="CUSTOMER_ID"/>
    <tableColumn id="8" name="DESTINATION_COUNTRY_ID"/>
    <tableColumn id="9" name="INCOTERM_ID"/>
    <tableColumn id="10" name="TRANSPORT_MODE_ID"/>
    <tableColumn id="11" name="STATUS_ID"/>
    <tableColumn id="12" name="VALID_FROM"/>
    <tableColumn id="13" name="VALID_TO"/>
    <tableColumn id="14" name="NOTES"/>
    <tableColumn id="15" name="CREATED_AT"/>
    <tableColumn id="16" name="UPDATED_AT"/>
  </tableColumns>
  <tableStyleInfo showFirstColumn="0" showLastColumn="0" showRowStripes="1" showColumnStripes="0"/>
</table>
</file>

<file path=xl/tables/table37.xml><?xml version="1.0" encoding="utf-8"?>
<table xmlns="http://schemas.openxmlformats.org/spreadsheetml/2006/main" id="37" name="T_SHIPMENT" displayName="T_SHIPMENT" ref="A1:P2" headerRowCount="1">
  <autoFilter ref="A1:P2"/>
  <tableColumns count="16">
    <tableColumn id="1" name="SHIPMENT_ID"/>
    <tableColumn id="2" name="SHIPMENT_NUMBER"/>
    <tableColumn id="3" name="COMMERCIAL_SCENARIO_ID"/>
    <tableColumn id="4" name="PLANT_ID"/>
    <tableColumn id="5" name="SHIP_DATE"/>
    <tableColumn id="6" name="QTY_PRODUCT_UNITS"/>
    <tableColumn id="7" name="PACKAGING_CONFIGURATION_ID"/>
    <tableColumn id="8" name="TRANSPORT_CONFIGURATION_ID"/>
    <tableColumn id="9" name="DESTINATION_COUNTRY_ID"/>
    <tableColumn id="10" name="TRANSPORT_MODE_ID"/>
    <tableColumn id="11" name="STATUS_ID"/>
    <tableColumn id="12" name="EXTERNAL_REF"/>
    <tableColumn id="13" name="NOTES"/>
    <tableColumn id="14" name="CONFIRMED_AT"/>
    <tableColumn id="15" name="CREATED_AT"/>
    <tableColumn id="16" name="UPDATED_AT"/>
  </tableColumns>
  <tableStyleInfo showFirstColumn="0" showLastColumn="0" showRowStripes="1" showColumnStripes="0"/>
</table>
</file>

<file path=xl/tables/table38.xml><?xml version="1.0" encoding="utf-8"?>
<table xmlns="http://schemas.openxmlformats.org/spreadsheetml/2006/main" id="38" name="T_SHIPMENT_LINE" displayName="T_SHIPMENT_LINE" ref="A1:L2" headerRowCount="1">
  <autoFilter ref="A1:L2"/>
  <tableColumns count="12">
    <tableColumn id="1" name="SHIPMENT_LINE_ID"/>
    <tableColumn id="2" name="SHIPMENT_ID"/>
    <tableColumn id="3" name="COMPONENT_ID"/>
    <tableColumn id="4" name="MATERIAL_ID"/>
    <tableColumn id="5" name="PACKAGING_LEVEL_ID"/>
    <tableColumn id="6" name="PACKAGING_FUNCTION_ID"/>
    <tableColumn id="7" name="OWNERSHIP_TYPE_ID"/>
    <tableColumn id="8" name="COMPONENT_QTY"/>
    <tableColumn id="9" name="WEIGHT_G"/>
    <tableColumn id="10" name="RECYCLED_CONTENT_PCT"/>
    <tableColumn id="11" name="SOURCE_LAYER"/>
    <tableColumn id="12" name="NOTES"/>
  </tableColumns>
  <tableStyleInfo showFirstColumn="0" showLastColumn="0" showRowStripes="1" showColumnStripes="0"/>
</table>
</file>

<file path=xl/tables/table39.xml><?xml version="1.0" encoding="utf-8"?>
<table xmlns="http://schemas.openxmlformats.org/spreadsheetml/2006/main" id="39" name="T_TECHNICAL_FILE" displayName="T_TECHNICAL_FILE" ref="A1:R248" headerRowCount="1">
  <autoFilter ref="A1:R248"/>
  <tableColumns count="18">
    <tableColumn id="1" name="TECHNICAL_FILE_ID"/>
    <tableColumn id="2" name="TECHNICAL_FILE_CODE"/>
    <tableColumn id="3" name="TITLE"/>
    <tableColumn id="4" name="COMPONENT_ID"/>
    <tableColumn id="5" name="PACKAGING_CONFIGURATION_ID"/>
    <tableColumn id="6" name="TRANSPORT_CONFIGURATION_ID"/>
    <tableColumn id="7" name="REVISION_NO"/>
    <tableColumn id="8" name="ASSESSMENT_DATE"/>
    <tableColumn id="9" name="RECYCLABILITY_SUMMARY"/>
    <tableColumn id="10" name="SUBSTANCE_OF_CONCERN_NOTES"/>
    <tableColumn id="11" name="DESIGN_FOR_RECYCLING_NOTES"/>
    <tableColumn id="12" name="OWNER_PERSON_ID"/>
    <tableColumn id="13" name="STATUS_ID"/>
    <tableColumn id="14" name="EFFECTIVE_FROM"/>
    <tableColumn id="15" name="EFFECTIVE_TO"/>
    <tableColumn id="16" name="NOTES"/>
    <tableColumn id="17" name="CREATED_AT"/>
    <tableColumn id="18" name="UPDATED_AT"/>
  </tableColumns>
  <tableStyleInfo showFirstColumn="0" showLastColumn="0" showRowStripes="1" showColumnStripes="0"/>
</table>
</file>

<file path=xl/tables/table40.xml><?xml version="1.0" encoding="utf-8"?>
<table xmlns="http://schemas.openxmlformats.org/spreadsheetml/2006/main" id="40" name="T_DECLARATION_OF_CONFORMITY" displayName="T_DECLARATION_OF_CONFORMITY" ref="A1:S248" headerRowCount="1">
  <autoFilter ref="A1:S248"/>
  <tableColumns count="19">
    <tableColumn id="1" name="DECLARATION_OF_CONFORMITY_ID"/>
    <tableColumn id="2" name="DOC_NUMBER"/>
    <tableColumn id="3" name="TITLE"/>
    <tableColumn id="4" name="LEGAL_ENTITY_ID"/>
    <tableColumn id="5" name="PRODUCT_ID"/>
    <tableColumn id="6" name="PACKAGING_CONFIGURATION_ID"/>
    <tableColumn id="7" name="TRANSPORT_CONFIGURATION_ID"/>
    <tableColumn id="8" name="TECHNICAL_FILE_ID"/>
    <tableColumn id="9" name="RESPONSIBLE_PERSON_ID"/>
    <tableColumn id="10" name="REGULATION_REFERENCE"/>
    <tableColumn id="11" name="CONFORMITY_STATEMENT"/>
    <tableColumn id="12" name="ISSUE_DATE"/>
    <tableColumn id="13" name="VALID_UNTIL"/>
    <tableColumn id="14" name="REVISION_NO"/>
    <tableColumn id="15" name="STATUS_ID"/>
    <tableColumn id="16" name="APPROVED_AT"/>
    <tableColumn id="17" name="NOTES"/>
    <tableColumn id="18" name="CREATED_AT"/>
    <tableColumn id="19" name="UPDATED_AT"/>
  </tableColumns>
  <tableStyleInfo showFirstColumn="0" showLastColumn="0" showRowStripes="1" showColumnStripes="0"/>
</table>
</file>

<file path=xl/tables/table41.xml><?xml version="1.0" encoding="utf-8"?>
<table xmlns="http://schemas.openxmlformats.org/spreadsheetml/2006/main" id="41" name="T_STATEMENT" displayName="T_STATEMENT" ref="A1:N248" headerRowCount="1">
  <autoFilter ref="A1:N248"/>
  <tableColumns count="14">
    <tableColumn id="1" name="STATEMENT_ID"/>
    <tableColumn id="2" name="STATEMENT_CODE"/>
    <tableColumn id="3" name="STATEMENT_TYPE_ID"/>
    <tableColumn id="4" name="LEGAL_ENTITY_ID"/>
    <tableColumn id="5" name="COUNTRY_ID"/>
    <tableColumn id="6" name="PERIOD_YEAR"/>
    <tableColumn id="7" name="PERIOD_MONTH"/>
    <tableColumn id="8" name="PERIOD_FROM"/>
    <tableColumn id="9" name="PERIOD_TO"/>
    <tableColumn id="10" name="STATUS_ID"/>
    <tableColumn id="11" name="GENERATED_AT"/>
    <tableColumn id="12" name="APPROVED_BY_PERSON_ID"/>
    <tableColumn id="13" name="APPROVED_AT"/>
    <tableColumn id="14" name="NOTES"/>
  </tableColumns>
  <tableStyleInfo showFirstColumn="0" showLastColumn="0" showRowStripes="1" showColumnStripes="0"/>
</table>
</file>

<file path=xl/tables/table42.xml><?xml version="1.0" encoding="utf-8"?>
<table xmlns="http://schemas.openxmlformats.org/spreadsheetml/2006/main" id="42" name="T_STATEMENT_SHIPMENT" displayName="T_STATEMENT_SHIPMENT" ref="A1:D2" headerRowCount="1">
  <autoFilter ref="A1:D2"/>
  <tableColumns count="4">
    <tableColumn id="1" name="STATEMENT_SHIPMENT_ID"/>
    <tableColumn id="2" name="STATEMENT_ID"/>
    <tableColumn id="3" name="SHIPMENT_ID"/>
    <tableColumn id="4" name="INCLUDED_AT"/>
  </tableColumns>
  <tableStyleInfo showFirstColumn="0" showLastColumn="0" showRowStripes="1" showColumnStripes="0"/>
</table>
</file>

<file path=xl/tables/table43.xml><?xml version="1.0" encoding="utf-8"?>
<table xmlns="http://schemas.openxmlformats.org/spreadsheetml/2006/main" id="43" name="T_STATEMENT_LINE" displayName="T_STATEMENT_LINE" ref="A1:I2" headerRowCount="1">
  <autoFilter ref="A1:I2"/>
  <tableColumns count="9">
    <tableColumn id="1" name="STATEMENT_LINE_ID"/>
    <tableColumn id="2" name="STATEMENT_ID"/>
    <tableColumn id="3" name="MATERIAL_ID"/>
    <tableColumn id="4" name="PACKAGING_LEVEL_ID"/>
    <tableColumn id="5" name="OWNERSHIP_TYPE_ID"/>
    <tableColumn id="6" name="TOTAL_WEIGHT_KG"/>
    <tableColumn id="7" name="RECYCLED_CONTENT_WEIGHT_KG"/>
    <tableColumn id="8" name="SOURCE_SHIPMENT_COUNT"/>
    <tableColumn id="9" name="NOTES"/>
  </tableColumns>
  <tableStyleInfo showFirstColumn="0" showLastColumn="0" showRowStripes="1" showColumnStripes="0"/>
</table>
</file>

<file path=xl/tables/table44.xml><?xml version="1.0" encoding="utf-8"?>
<table xmlns="http://schemas.openxmlformats.org/spreadsheetml/2006/main" id="44" name="T_DOCUMENT_LIBRARY" displayName="T_DOCUMENT_LIBRARY" ref="A1:K989" headerRowCount="1">
  <autoFilter ref="A1:K989"/>
  <tableColumns count="11">
    <tableColumn id="1" name="DOCUMENT_ID"/>
    <tableColumn id="2" name="DOCUMENT_CODE"/>
    <tableColumn id="3" name="DOCUMENT_TITLE"/>
    <tableColumn id="4" name="DOCUMENT_TYPE_ID"/>
    <tableColumn id="5" name="FILE_URI"/>
    <tableColumn id="6" name="FILE_HASH"/>
    <tableColumn id="7" name="ISSUE_DATE"/>
    <tableColumn id="8" name="STATUS_ID"/>
    <tableColumn id="9" name="NOTES"/>
    <tableColumn id="10" name="CREATED_AT"/>
    <tableColumn id="11" name="UPDATED_AT"/>
  </tableColumns>
  <tableStyleInfo showFirstColumn="0" showLastColumn="0" showRowStripes="1" showColumnStripes="0"/>
</table>
</file>

<file path=xl/tables/table45.xml><?xml version="1.0" encoding="utf-8"?>
<table xmlns="http://schemas.openxmlformats.org/spreadsheetml/2006/main" id="45" name="T_DOCUMENT_LINK" displayName="T_DOCUMENT_LINK" ref="A1:K989" headerRowCount="1">
  <autoFilter ref="A1:K989"/>
  <tableColumns count="11">
    <tableColumn id="1" name="DOCUMENT_LINK_ID"/>
    <tableColumn id="2" name="DOCUMENT_ID"/>
    <tableColumn id="3" name="COMPONENT_ID"/>
    <tableColumn id="4" name="PRODUCT_ID"/>
    <tableColumn id="5" name="PACKAGING_CONFIGURATION_ID"/>
    <tableColumn id="6" name="TRANSPORT_CONFIGURATION_ID"/>
    <tableColumn id="7" name="TECHNICAL_FILE_ID"/>
    <tableColumn id="8" name="DECLARATION_OF_CONFORMITY_ID"/>
    <tableColumn id="9" name="STATEMENT_ID"/>
    <tableColumn id="10" name="SORT_ORDER"/>
    <tableColumn id="11" name="NOTES"/>
  </tableColumns>
  <tableStyleInfo showFirstColumn="0" showLastColumn="0" showRowStripes="1" showColumnStripes="0"/>
</table>
</file>

<file path=xl/tables/table46.xml><?xml version="1.0" encoding="utf-8"?>
<table xmlns="http://schemas.openxmlformats.org/spreadsheetml/2006/main" id="46" name="T_QA_WEIGHT_FIXTURE" displayName="T_QA_WEIGHT_FIXTURE" ref="A4:G6" headerRowCount="1">
  <autoFilter ref="A4:G6"/>
  <tableColumns count="7">
    <tableColumn id="1" name="LINE_NO"/>
    <tableColumn id="2" name="COMPONENT_ID"/>
    <tableColumn id="3" name="COMPONENT_ERP_CODE"/>
    <tableColumn id="4" name="COMPONENT_NAME"/>
    <tableColumn id="5" name="QUANTITY"/>
    <tableColumn id="6" name="WEIGHT_G"/>
    <tableColumn id="7" name="LINE_WEIGHT_G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29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30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31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37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38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39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40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41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42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43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44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_rels/sheet45.xml.rels><Relationships xmlns="http://schemas.openxmlformats.org/package/2006/relationships"><Relationship Type="http://schemas.openxmlformats.org/officeDocument/2006/relationships/table" Target="/xl/tables/table29.xml" Id="rId1"/></Relationships>
</file>

<file path=xl/worksheets/_rels/sheet46.xml.rels><Relationships xmlns="http://schemas.openxmlformats.org/package/2006/relationships"><Relationship Type="http://schemas.openxmlformats.org/officeDocument/2006/relationships/table" Target="/xl/tables/table30.xml" Id="rId1"/></Relationships>
</file>

<file path=xl/worksheets/_rels/sheet47.xml.rels><Relationships xmlns="http://schemas.openxmlformats.org/package/2006/relationships"><Relationship Type="http://schemas.openxmlformats.org/officeDocument/2006/relationships/table" Target="/xl/tables/table31.xml" Id="rId1"/></Relationships>
</file>

<file path=xl/worksheets/_rels/sheet48.xml.rels><Relationships xmlns="http://schemas.openxmlformats.org/package/2006/relationships"><Relationship Type="http://schemas.openxmlformats.org/officeDocument/2006/relationships/table" Target="/xl/tables/table32.xml" Id="rId1"/></Relationships>
</file>

<file path=xl/worksheets/_rels/sheet49.xml.rels><Relationships xmlns="http://schemas.openxmlformats.org/package/2006/relationships"><Relationship Type="http://schemas.openxmlformats.org/officeDocument/2006/relationships/table" Target="/xl/tables/table33.xml" Id="rId1"/></Relationships>
</file>

<file path=xl/worksheets/_rels/sheet50.xml.rels><Relationships xmlns="http://schemas.openxmlformats.org/package/2006/relationships"><Relationship Type="http://schemas.openxmlformats.org/officeDocument/2006/relationships/table" Target="/xl/tables/table34.xml" Id="rId1"/></Relationships>
</file>

<file path=xl/worksheets/_rels/sheet51.xml.rels><Relationships xmlns="http://schemas.openxmlformats.org/package/2006/relationships"><Relationship Type="http://schemas.openxmlformats.org/officeDocument/2006/relationships/table" Target="/xl/tables/table35.xml" Id="rId1"/></Relationships>
</file>

<file path=xl/worksheets/_rels/sheet52.xml.rels><Relationships xmlns="http://schemas.openxmlformats.org/package/2006/relationships"><Relationship Type="http://schemas.openxmlformats.org/officeDocument/2006/relationships/table" Target="/xl/tables/table36.xml" Id="rId1"/></Relationships>
</file>

<file path=xl/worksheets/_rels/sheet53.xml.rels><Relationships xmlns="http://schemas.openxmlformats.org/package/2006/relationships"><Relationship Type="http://schemas.openxmlformats.org/officeDocument/2006/relationships/table" Target="/xl/tables/table37.xml" Id="rId1"/></Relationships>
</file>

<file path=xl/worksheets/_rels/sheet54.xml.rels><Relationships xmlns="http://schemas.openxmlformats.org/package/2006/relationships"><Relationship Type="http://schemas.openxmlformats.org/officeDocument/2006/relationships/table" Target="/xl/tables/table38.xml" Id="rId1"/></Relationships>
</file>

<file path=xl/worksheets/_rels/sheet55.xml.rels><Relationships xmlns="http://schemas.openxmlformats.org/package/2006/relationships"><Relationship Type="http://schemas.openxmlformats.org/officeDocument/2006/relationships/table" Target="/xl/tables/table39.xml" Id="rId1"/></Relationships>
</file>

<file path=xl/worksheets/_rels/sheet56.xml.rels><Relationships xmlns="http://schemas.openxmlformats.org/package/2006/relationships"><Relationship Type="http://schemas.openxmlformats.org/officeDocument/2006/relationships/table" Target="/xl/tables/table40.xml" Id="rId1"/></Relationships>
</file>

<file path=xl/worksheets/_rels/sheet57.xml.rels><Relationships xmlns="http://schemas.openxmlformats.org/package/2006/relationships"><Relationship Type="http://schemas.openxmlformats.org/officeDocument/2006/relationships/table" Target="/xl/tables/table41.xml" Id="rId1"/></Relationships>
</file>

<file path=xl/worksheets/_rels/sheet58.xml.rels><Relationships xmlns="http://schemas.openxmlformats.org/package/2006/relationships"><Relationship Type="http://schemas.openxmlformats.org/officeDocument/2006/relationships/table" Target="/xl/tables/table42.xml" Id="rId1"/></Relationships>
</file>

<file path=xl/worksheets/_rels/sheet59.xml.rels><Relationships xmlns="http://schemas.openxmlformats.org/package/2006/relationships"><Relationship Type="http://schemas.openxmlformats.org/officeDocument/2006/relationships/table" Target="/xl/tables/table43.xml" Id="rId1"/></Relationships>
</file>

<file path=xl/worksheets/_rels/sheet60.xml.rels><Relationships xmlns="http://schemas.openxmlformats.org/package/2006/relationships"><Relationship Type="http://schemas.openxmlformats.org/officeDocument/2006/relationships/table" Target="/xl/tables/table44.xml" Id="rId1"/></Relationships>
</file>

<file path=xl/worksheets/_rels/sheet61.xml.rels><Relationships xmlns="http://schemas.openxmlformats.org/package/2006/relationships"><Relationship Type="http://schemas.openxmlformats.org/officeDocument/2006/relationships/table" Target="/xl/tables/table45.xml" Id="rId1"/></Relationships>
</file>

<file path=xl/worksheets/_rels/sheet62.xml.rels><Relationships xmlns="http://schemas.openxmlformats.org/package/2006/relationships"><Relationship Type="http://schemas.openxmlformats.org/officeDocument/2006/relationships/table" Target="/xl/tables/table4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</cols>
  <sheetData>
    <row r="1">
      <c r="A1" s="20" t="inlineStr">
        <is>
          <t>İnci Akü PPWR Packaging Information Management System — Rev.00</t>
        </is>
      </c>
    </row>
    <row r="2">
      <c r="A2" s="21" t="inlineStr">
        <is>
          <t>Production Master Data: LOADED  |  Golden Variant Register: 247 / 247  |  Document Pack: 988 / 988 GENERATED  |  Document Registry: 988 / 988 LINKED  |  Blocking QA Errors: 0</t>
        </is>
      </c>
    </row>
    <row r="3">
      <c r="A3" s="22" t="inlineStr">
        <is>
          <t>Legal signatures are NOT completed in this workbook. Word files remain the controlled legal documents.</t>
        </is>
      </c>
    </row>
    <row r="5" ht="28" customHeight="1">
      <c r="A5" s="23" t="inlineStr">
        <is>
          <t>KPI</t>
        </is>
      </c>
      <c r="B5" s="23" t="inlineStr">
        <is>
          <t>Count</t>
        </is>
      </c>
      <c r="C5" s="23" t="inlineStr">
        <is>
          <t>Status</t>
        </is>
      </c>
    </row>
    <row r="6">
      <c r="A6" s="24" t="inlineStr">
        <is>
          <t>Final Packaging Configurations</t>
        </is>
      </c>
      <c r="B6" s="24" t="n">
        <v>247</v>
      </c>
      <c r="C6" s="24" t="inlineStr">
        <is>
          <t>LOADED</t>
        </is>
      </c>
    </row>
    <row r="7">
      <c r="A7" s="25" t="inlineStr">
        <is>
          <t>Starter</t>
        </is>
      </c>
      <c r="B7" s="25" t="n">
        <v>240</v>
      </c>
      <c r="C7" s="25" t="inlineStr">
        <is>
          <t>LOADED</t>
        </is>
      </c>
    </row>
    <row r="8">
      <c r="A8" s="24" t="inlineStr">
        <is>
          <t>Industrial</t>
        </is>
      </c>
      <c r="B8" s="24" t="n">
        <v>3</v>
      </c>
      <c r="C8" s="24" t="inlineStr">
        <is>
          <t>LOADED</t>
        </is>
      </c>
    </row>
    <row r="9">
      <c r="A9" s="25" t="inlineStr">
        <is>
          <t>Container / Loading</t>
        </is>
      </c>
      <c r="B9" s="25" t="n">
        <v>4</v>
      </c>
      <c r="C9" s="25" t="inlineStr">
        <is>
          <t>LOADED</t>
        </is>
      </c>
    </row>
    <row r="10">
      <c r="A10" s="24" t="inlineStr">
        <is>
          <t>BOM Lines</t>
        </is>
      </c>
      <c r="B10" s="24" t="n">
        <v>1690</v>
      </c>
      <c r="C10" s="24" t="inlineStr">
        <is>
          <t>LOADED</t>
        </is>
      </c>
    </row>
    <row r="11">
      <c r="A11" s="25" t="inlineStr">
        <is>
          <t>Components</t>
        </is>
      </c>
      <c r="B11" s="25" t="n">
        <v>112</v>
      </c>
      <c r="C11" s="25" t="inlineStr">
        <is>
          <t>LOADED</t>
        </is>
      </c>
    </row>
    <row r="12">
      <c r="A12" s="24" t="inlineStr">
        <is>
          <t>Products</t>
        </is>
      </c>
      <c r="B12" s="24" t="n">
        <v>2046</v>
      </c>
      <c r="C12" s="24" t="inlineStr">
        <is>
          <t>LOADED</t>
        </is>
      </c>
    </row>
    <row r="13">
      <c r="A13" s="25" t="inlineStr">
        <is>
          <t>Technical Files</t>
        </is>
      </c>
      <c r="B13" s="25" t="n">
        <v>247</v>
      </c>
      <c r="C13" s="25" t="inlineStr">
        <is>
          <t>GENERATED</t>
        </is>
      </c>
    </row>
    <row r="14">
      <c r="A14" s="24" t="inlineStr">
        <is>
          <t>EU Declarations of Conformity</t>
        </is>
      </c>
      <c r="B14" s="24" t="n">
        <v>247</v>
      </c>
      <c r="C14" s="24" t="inlineStr">
        <is>
          <t>GENERATED</t>
        </is>
      </c>
    </row>
    <row r="15">
      <c r="A15" s="25" t="inlineStr">
        <is>
          <t>Labels</t>
        </is>
      </c>
      <c r="B15" s="25" t="n">
        <v>247</v>
      </c>
      <c r="C15" s="25" t="inlineStr">
        <is>
          <t>GENERATED</t>
        </is>
      </c>
    </row>
    <row r="16">
      <c r="A16" s="24" t="inlineStr">
        <is>
          <t>Shipment Statements</t>
        </is>
      </c>
      <c r="B16" s="24" t="n">
        <v>247</v>
      </c>
      <c r="C16" s="24" t="inlineStr">
        <is>
          <t>GENERATED</t>
        </is>
      </c>
    </row>
    <row r="17">
      <c r="A17" s="25" t="inlineStr">
        <is>
          <t>Total Documents</t>
        </is>
      </c>
      <c r="B17" s="25" t="n">
        <v>988</v>
      </c>
      <c r="C17" s="25" t="inlineStr">
        <is>
          <t>GENERATED</t>
        </is>
      </c>
    </row>
    <row r="18">
      <c r="A18" s="24" t="inlineStr">
        <is>
          <t>Document Registry Linked</t>
        </is>
      </c>
      <c r="B18" s="24" t="inlineStr">
        <is>
          <t>988 / 988</t>
        </is>
      </c>
      <c r="C18" s="24" t="inlineStr">
        <is>
          <t>LINKED</t>
        </is>
      </c>
    </row>
    <row r="19">
      <c r="A19" s="25" t="inlineStr">
        <is>
          <t>Blocking QA Errors</t>
        </is>
      </c>
      <c r="B19" s="25" t="n">
        <v>0</v>
      </c>
      <c r="C19" s="25" t="inlineStr">
        <is>
          <t>PASS</t>
        </is>
      </c>
    </row>
    <row r="22">
      <c r="A22" s="26" t="inlineStr">
        <is>
          <t>Quick navigation</t>
        </is>
      </c>
    </row>
    <row r="23">
      <c r="A23" s="27">
        <f>HYPERLINK("#'PACKAGING_CONFIGURATIONS'!A1","Packaging Configurations")</f>
        <v/>
      </c>
    </row>
    <row r="24">
      <c r="A24" s="27">
        <f>HYPERLINK("#'PRODUCT_MASTER'!A1","Products")</f>
        <v/>
      </c>
    </row>
    <row r="25">
      <c r="A25" s="27">
        <f>HYPERLINK("#'COMPONENT_MASTER'!A1","Components")</f>
        <v/>
      </c>
    </row>
    <row r="26">
      <c r="A26" s="27">
        <f>HYPERLINK("#'TECHNICAL_FILES'!A1","Technical Files")</f>
        <v/>
      </c>
    </row>
    <row r="27">
      <c r="A27" s="27">
        <f>HYPERLINK("#'DECLARATIONS_OF_CONFORMITY'!A1","Declarations of Conformity")</f>
        <v/>
      </c>
    </row>
    <row r="28">
      <c r="A28" s="27">
        <f>HYPERLINK("#'LABELS'!A1","Labels")</f>
        <v/>
      </c>
    </row>
    <row r="29">
      <c r="A29" s="27">
        <f>HYPERLINK("#'SHIPMENT_STATEMENTS'!A1","Shipment Statements")</f>
        <v/>
      </c>
    </row>
    <row r="30">
      <c r="A30" s="27">
        <f>HYPERLINK("#'DOCUMENT_CENTER'!A1","Document Center")</f>
        <v/>
      </c>
    </row>
    <row r="31">
      <c r="A31" s="27">
        <f>HYPERLINK("#'SEARCH'!A1","Search")</f>
        <v/>
      </c>
    </row>
    <row r="32">
      <c r="A32" s="27">
        <f>HYPERLINK("#'NAVIGATION'!A1","Navigation")</f>
        <v/>
      </c>
    </row>
  </sheetData>
  <autoFilter ref="A5:C5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4"/>
  <sheetViews>
    <sheetView showGridLines="0" workbookViewId="0">
      <selection activeCell="A1" sqref="A1"/>
    </sheetView>
  </sheetViews>
  <sheetFormatPr baseColWidth="8" defaultRowHeight="15"/>
  <cols>
    <col width="48" customWidth="1" min="1" max="1"/>
  </cols>
  <sheetData>
    <row r="1">
      <c r="A1" s="20" t="inlineStr">
        <is>
          <t>NAVIGATION</t>
        </is>
      </c>
    </row>
    <row r="3">
      <c r="A3" s="28" t="inlineStr">
        <is>
          <t>HOME</t>
        </is>
      </c>
    </row>
    <row r="4">
      <c r="A4" s="27">
        <f>HYPERLINK("#'00_HOME'!A1","00_HOME")</f>
        <v/>
      </c>
    </row>
    <row r="5">
      <c r="A5" s="27">
        <f>HYPERLINK("#'01_DASHBOARD'!A1","01_DASHBOARD")</f>
        <v/>
      </c>
    </row>
    <row r="6">
      <c r="A6" s="27">
        <f>HYPERLINK("#'02_RELEASE_CONTROL'!A1","02_RELEASE_CONTROL")</f>
        <v/>
      </c>
    </row>
    <row r="8">
      <c r="A8" s="28" t="inlineStr">
        <is>
          <t>PACKAGING</t>
        </is>
      </c>
    </row>
    <row r="9">
      <c r="A9" s="27">
        <f>HYPERLINK("#'PACKAGING_CONFIGURATIONS'!A1","PACKAGING_CONFIGURATIONS")</f>
        <v/>
      </c>
    </row>
    <row r="11">
      <c r="A11" s="28" t="inlineStr">
        <is>
          <t>PRODUCTS</t>
        </is>
      </c>
    </row>
    <row r="12">
      <c r="A12" s="27">
        <f>HYPERLINK("#'PRODUCT_MASTER'!A1","PRODUCT_MASTER")</f>
        <v/>
      </c>
    </row>
    <row r="14">
      <c r="A14" s="28" t="inlineStr">
        <is>
          <t>COMPONENTS</t>
        </is>
      </c>
    </row>
    <row r="15">
      <c r="A15" s="27">
        <f>HYPERLINK("#'COMPONENT_MASTER'!A1","COMPONENT_MASTER")</f>
        <v/>
      </c>
    </row>
    <row r="17">
      <c r="A17" s="28" t="inlineStr">
        <is>
          <t>DOCUMENTS</t>
        </is>
      </c>
    </row>
    <row r="18">
      <c r="A18" s="27">
        <f>HYPERLINK("#'DOCUMENT_CENTER'!A1","DOCUMENT_CENTER")</f>
        <v/>
      </c>
    </row>
    <row r="19">
      <c r="A19" s="27">
        <f>HYPERLINK("#'TECHNICAL_FILES'!A1","TECHNICAL_FILES")</f>
        <v/>
      </c>
    </row>
    <row r="20">
      <c r="A20" s="27">
        <f>HYPERLINK("#'DECLARATIONS_OF_CONFORMITY'!A1","DECLARATIONS_OF_CONFORMITY")</f>
        <v/>
      </c>
    </row>
    <row r="21">
      <c r="A21" s="27">
        <f>HYPERLINK("#'LABELS'!A1","LABELS")</f>
        <v/>
      </c>
    </row>
    <row r="22">
      <c r="A22" s="27">
        <f>HYPERLINK("#'SHIPMENT_STATEMENTS'!A1","SHIPMENT_STATEMENTS")</f>
        <v/>
      </c>
    </row>
    <row r="24">
      <c r="A24" s="28" t="inlineStr">
        <is>
          <t>OPERATIONS</t>
        </is>
      </c>
    </row>
    <row r="25">
      <c r="A25" s="27">
        <f>HYPERLINK("#'SHIPMENTS'!A1","SHIPMENTS")</f>
        <v/>
      </c>
    </row>
    <row r="26">
      <c r="A26" s="27">
        <f>HYPERLINK("#'SEARCH'!A1","SEARCH")</f>
        <v/>
      </c>
    </row>
    <row r="28">
      <c r="A28" s="28" t="inlineStr">
        <is>
          <t>DATABASE</t>
        </is>
      </c>
    </row>
    <row r="29">
      <c r="A29" s="27">
        <f>HYPERLINK("#'PACKAGING_CONFIGURATION'!A1","PACKAGING_CONFIGURATION")</f>
        <v/>
      </c>
    </row>
    <row r="30">
      <c r="A30" s="27">
        <f>HYPERLINK("#'PACKAGING_CONFIGURATION_LINE'!A1","PACKAGING_CONFIGURATION_LINE")</f>
        <v/>
      </c>
    </row>
    <row r="31">
      <c r="A31" s="27">
        <f>HYPERLINK("#'PRODUCT'!A1","PRODUCT")</f>
        <v/>
      </c>
    </row>
    <row r="32">
      <c r="A32" s="27">
        <f>HYPERLINK("#'COMPONENT'!A1","COMPONENT")</f>
        <v/>
      </c>
    </row>
    <row r="33">
      <c r="A33" s="27">
        <f>HYPERLINK("#'DOCUMENT_LIBRARY'!A1","DOCUMENT_LIBRARY")</f>
        <v/>
      </c>
    </row>
    <row r="34">
      <c r="A34" s="27">
        <f>HYPERLINK("#'DOCUMENT_LINK'!A1","DOCUMENT_LINK")</f>
        <v/>
      </c>
    </row>
    <row r="36">
      <c r="A36" s="28" t="inlineStr">
        <is>
          <t>LOOKUPS</t>
        </is>
      </c>
    </row>
    <row r="37">
      <c r="A37" s="27">
        <f>HYPERLINK("#'LKP_STATUS'!A1","LKP_STATUS")</f>
        <v/>
      </c>
    </row>
    <row r="38">
      <c r="A38" s="27">
        <f>HYPERLINK("#'LKP_DOCUMENT_TYPE'!A1","LKP_DOCUMENT_TYPE")</f>
        <v/>
      </c>
    </row>
    <row r="39">
      <c r="A39" s="27">
        <f>HYPERLINK("#'LKP_MATERIAL_FAMILY'!A1","LKP_MATERIAL_FAMILY")</f>
        <v/>
      </c>
    </row>
    <row r="41">
      <c r="A41" s="28" t="inlineStr">
        <is>
          <t>SYSTEM</t>
        </is>
      </c>
    </row>
    <row r="42">
      <c r="A42" s="27">
        <f>HYPERLINK("#'SYS_WORKBOOK_INFO'!A1","SYS_WORKBOOK_INFO")</f>
        <v/>
      </c>
    </row>
    <row r="43">
      <c r="A43" s="27">
        <f>HYPERLINK("#'DOC_ENGINE_MAP'!A1","DOC_ENGINE_MAP")</f>
        <v/>
      </c>
    </row>
    <row r="44">
      <c r="A44" s="27">
        <f>HYPERLINK("#'00_README'!A1","00_README")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20" t="inlineStr">
        <is>
          <t>SEARCH</t>
        </is>
      </c>
    </row>
    <row r="2">
      <c r="A2" s="29" t="inlineStr">
        <is>
          <t>Use AutoFilter on DOCUMENT_CENTER / PACKAGING_CONFIGURATIONS / TECHNICAL_FILES (or Ctrl+F). Optional single-key lookup below uses XLOOKUP when available.</t>
        </is>
      </c>
    </row>
    <row r="4">
      <c r="A4" s="26" t="inlineStr">
        <is>
          <t>Lookup key</t>
        </is>
      </c>
      <c r="B4" s="30" t="inlineStr"/>
    </row>
    <row r="5">
      <c r="A5" t="inlineStr">
        <is>
          <t>Examples</t>
        </is>
      </c>
      <c r="B5" s="29" t="inlineStr">
        <is>
          <t>ST-051-STD-01 | IA-ST-051-STD-01 | IA-ST-CFG-0122 | IA-PPWR-TF-ST-051-STD-01-R00 | 1011935 | 4000782</t>
        </is>
      </c>
    </row>
    <row r="7">
      <c r="A7" s="26" t="inlineStr">
        <is>
          <t>Packaging Set → Configuration ID</t>
        </is>
      </c>
    </row>
    <row r="8">
      <c r="A8" t="inlineStr">
        <is>
          <t>Configuration ID</t>
        </is>
      </c>
      <c r="B8" s="29">
        <f>IF(B4="","",IFERROR(XLOOKUP(B4,PACKAGING_CONFIGURATIONS!A:A,PACKAGING_CONFIGURATIONS!B:B),"Not found / use AutoFilter"))</f>
        <v/>
      </c>
    </row>
    <row r="9">
      <c r="A9" t="inlineStr">
        <is>
          <t>Family</t>
        </is>
      </c>
      <c r="B9" s="29">
        <f>IF(B4="","",IFERROR(XLOOKUP(B4,PACKAGING_CONFIGURATIONS!A:A,PACKAGING_CONFIGURATIONS!D:D),""))</f>
        <v/>
      </c>
    </row>
    <row r="10">
      <c r="A10" t="inlineStr">
        <is>
          <t>Technical File</t>
        </is>
      </c>
      <c r="B10" s="29">
        <f>IF(B4="","",IFERROR(XLOOKUP(B4,PACKAGING_CONFIGURATIONS!A:A,PACKAGING_CONFIGURATIONS!K:K),""))</f>
        <v/>
      </c>
    </row>
    <row r="12">
      <c r="A12" s="26" t="inlineStr">
        <is>
          <t>Module shortcuts</t>
        </is>
      </c>
    </row>
    <row r="13">
      <c r="A13" s="27">
        <f>HYPERLINK("#'DOCUMENT_CENTER'!A1","Document Center (filter here)")</f>
        <v/>
      </c>
    </row>
    <row r="14">
      <c r="A14" s="27">
        <f>HYPERLINK("#'PACKAGING_CONFIGURATIONS'!A1","Packaging Configurations")</f>
        <v/>
      </c>
    </row>
    <row r="15">
      <c r="A15" s="27">
        <f>HYPERLINK("#'TECHNICAL_FILES'!A1","Technical Files")</f>
        <v/>
      </c>
    </row>
    <row r="16">
      <c r="A16" s="27">
        <f>HYPERLINK("#'PRODUCT_MASTER'!A1","Product Master")</f>
        <v/>
      </c>
    </row>
    <row r="17">
      <c r="A17" s="27">
        <f>HYPERLINK("#'COMPONENT_MASTER'!A1","Component Master")</f>
        <v/>
      </c>
    </row>
  </sheetData>
  <mergeCells count="1"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28" customHeight="1">
      <c r="A1" s="23" t="inlineStr">
        <is>
          <t>Packaging Set Code</t>
        </is>
      </c>
      <c r="B1" s="23" t="inlineStr">
        <is>
          <t>Final Configuration ID</t>
        </is>
      </c>
      <c r="C1" s="23" t="inlineStr">
        <is>
          <t>Source Configuration ID</t>
        </is>
      </c>
      <c r="D1" s="23" t="inlineStr">
        <is>
          <t>Family</t>
        </is>
      </c>
      <c r="E1" s="23" t="inlineStr">
        <is>
          <t>Packaging Description</t>
        </is>
      </c>
      <c r="F1" s="23" t="inlineStr">
        <is>
          <t>Variant Basis TR</t>
        </is>
      </c>
      <c r="G1" s="23" t="inlineStr">
        <is>
          <t>Variant Basis EN</t>
        </is>
      </c>
      <c r="H1" s="23" t="inlineStr">
        <is>
          <t>Packaging Tare kg</t>
        </is>
      </c>
      <c r="I1" s="23" t="inlineStr">
        <is>
          <t>Product Count</t>
        </is>
      </c>
      <c r="J1" s="23" t="inlineStr">
        <is>
          <t>BOM Line Count</t>
        </is>
      </c>
      <c r="K1" s="23" t="inlineStr">
        <is>
          <t>Technical File</t>
        </is>
      </c>
      <c r="L1" s="23" t="inlineStr">
        <is>
          <t>DoC</t>
        </is>
      </c>
      <c r="M1" s="23" t="inlineStr">
        <is>
          <t>Label</t>
        </is>
      </c>
      <c r="N1" s="23" t="inlineStr">
        <is>
          <t>Statement</t>
        </is>
      </c>
    </row>
    <row r="2">
      <c r="A2" s="25" t="inlineStr">
        <is>
          <t>CNT-20-EUR-01</t>
        </is>
      </c>
      <c r="B2" s="25" t="inlineStr">
        <is>
          <t>IA-CNT-20-EUR-01</t>
        </is>
      </c>
      <c r="C2" s="25" t="inlineStr">
        <is>
          <t>IA-CNT-20-EUR</t>
        </is>
      </c>
      <c r="D2" s="25" t="inlineStr">
        <is>
          <t>CONTAINER</t>
        </is>
      </c>
      <c r="E2" s="25" t="inlineStr">
        <is>
          <t>Container loading | OSB (5501806): 11 adet | Separatör (4000130): 10 adet</t>
        </is>
      </c>
      <c r="F2" s="25" t="inlineStr">
        <is>
          <t>Container loading | OSB (5501806): 11 adet | Separatör (4000130): 10 adet</t>
        </is>
      </c>
      <c r="G2" s="25" t="inlineStr">
        <is>
          <t>Container loading | OSB (5501806): 11 pcs | Separator (4000130): 10 pcs</t>
        </is>
      </c>
      <c r="H2" s="25" t="n">
        <v>83.06</v>
      </c>
      <c r="I2" s="25" t="n">
        <v>0</v>
      </c>
      <c r="J2" s="25" t="n">
        <v>8</v>
      </c>
      <c r="K2" s="25" t="inlineStr">
        <is>
          <t>IA-PPWR-TF-CNT-20-EUR-01-R00</t>
        </is>
      </c>
      <c r="L2" s="25" t="inlineStr">
        <is>
          <t>IA-PPWR-DOC-CNT-20-EUR-01-R00</t>
        </is>
      </c>
      <c r="M2" s="25" t="inlineStr">
        <is>
          <t>IA-PPWR-LBL-CNT-20-EUR-01-R00</t>
        </is>
      </c>
      <c r="N2" s="25" t="inlineStr">
        <is>
          <t>IA-PPWR-STM-CNT-20-EUR-01-R00</t>
        </is>
      </c>
    </row>
    <row r="3">
      <c r="A3" s="25" t="inlineStr">
        <is>
          <t>CNT-20-STD-01</t>
        </is>
      </c>
      <c r="B3" s="25" t="inlineStr">
        <is>
          <t>IA-CNT-20-STD-01</t>
        </is>
      </c>
      <c r="C3" s="25" t="inlineStr">
        <is>
          <t>IA-CNT-20-STD</t>
        </is>
      </c>
      <c r="D3" s="25" t="inlineStr">
        <is>
          <t>CONTAINER</t>
        </is>
      </c>
      <c r="E3" s="25" t="inlineStr">
        <is>
          <t>Container loading | OSB (5501805): 10 adet | Separatör (4000130): 10 adet</t>
        </is>
      </c>
      <c r="F3" s="25" t="inlineStr">
        <is>
          <t>Container loading | OSB (5501805): 10 adet | Separatör (4000130): 10 adet</t>
        </is>
      </c>
      <c r="G3" s="25" t="inlineStr">
        <is>
          <t>Container loading | OSB (5501805): 10 pcs | Separator (4000130): 10 pcs</t>
        </is>
      </c>
      <c r="H3" s="25" t="n">
        <v>78.06</v>
      </c>
      <c r="I3" s="25" t="n">
        <v>0</v>
      </c>
      <c r="J3" s="25" t="n">
        <v>8</v>
      </c>
      <c r="K3" s="25" t="inlineStr">
        <is>
          <t>IA-PPWR-TF-CNT-20-STD-01-R00</t>
        </is>
      </c>
      <c r="L3" s="25" t="inlineStr">
        <is>
          <t>IA-PPWR-DOC-CNT-20-STD-01-R00</t>
        </is>
      </c>
      <c r="M3" s="25" t="inlineStr">
        <is>
          <t>IA-PPWR-LBL-CNT-20-STD-01-R00</t>
        </is>
      </c>
      <c r="N3" s="25" t="inlineStr">
        <is>
          <t>IA-PPWR-STM-CNT-20-STD-01-R00</t>
        </is>
      </c>
    </row>
    <row r="4">
      <c r="A4" s="25" t="inlineStr">
        <is>
          <t>CNT-40-IND-01</t>
        </is>
      </c>
      <c r="B4" s="25" t="inlineStr">
        <is>
          <t>IA-CNT-40-IND-01</t>
        </is>
      </c>
      <c r="C4" s="25" t="inlineStr">
        <is>
          <t>IA-CNT-40-IND</t>
        </is>
      </c>
      <c r="D4" s="25" t="inlineStr">
        <is>
          <t>CONTAINER</t>
        </is>
      </c>
      <c r="E4" s="25" t="inlineStr">
        <is>
          <t>Container loading | Hava yastığı (5500759): 26 adet | Bağlama halatı (5500762): 12 m</t>
        </is>
      </c>
      <c r="F4" s="25" t="inlineStr">
        <is>
          <t>Container loading | Hava yastığı (5500759): 26 adet | Bağlama halatı (5500762): 12 m</t>
        </is>
      </c>
      <c r="G4" s="25" t="inlineStr">
        <is>
          <t>Container loading | Air dunnage (5500759): 26 pcs | Lashing rope (5500762): 12 m</t>
        </is>
      </c>
      <c r="H4" s="25" t="n">
        <v>12.76</v>
      </c>
      <c r="I4" s="25" t="n">
        <v>0</v>
      </c>
      <c r="J4" s="25" t="n">
        <v>5</v>
      </c>
      <c r="K4" s="25" t="inlineStr">
        <is>
          <t>IA-PPWR-TF-CNT-40-IND-01-R00</t>
        </is>
      </c>
      <c r="L4" s="25" t="inlineStr">
        <is>
          <t>IA-PPWR-DOC-CNT-40-IND-01-R00</t>
        </is>
      </c>
      <c r="M4" s="25" t="inlineStr">
        <is>
          <t>IA-PPWR-LBL-CNT-40-IND-01-R00</t>
        </is>
      </c>
      <c r="N4" s="25" t="inlineStr">
        <is>
          <t>IA-PPWR-STM-CNT-40-IND-01-R00</t>
        </is>
      </c>
    </row>
    <row r="5">
      <c r="A5" s="25" t="inlineStr">
        <is>
          <t>CNT-DE-HAM-01</t>
        </is>
      </c>
      <c r="B5" s="25" t="inlineStr">
        <is>
          <t>IA-CNT-DE-HAM-01</t>
        </is>
      </c>
      <c r="C5" s="25" t="inlineStr">
        <is>
          <t>IA-CNT-DE-HAMBURG</t>
        </is>
      </c>
      <c r="D5" s="25" t="inlineStr">
        <is>
          <t>CONTAINER</t>
        </is>
      </c>
      <c r="E5" s="25" t="inlineStr">
        <is>
          <t>Container loading | Sabitleme Tahtası ( 206×9×9 ) (Hamburg): 2 adet</t>
        </is>
      </c>
      <c r="F5" s="25" t="inlineStr">
        <is>
          <t>Container loading | Sabitleme Tahtası ( 206×9×9 ) (Hamburg): 2 adet</t>
        </is>
      </c>
      <c r="G5" s="25" t="inlineStr">
        <is>
          <t>Container loading | Sabitleme Tahtası ( 206×9×9 ) (Hamburg): 2 pcs</t>
        </is>
      </c>
      <c r="H5" s="25" t="n">
        <v>194</v>
      </c>
      <c r="I5" s="25" t="n">
        <v>0</v>
      </c>
      <c r="J5" s="25" t="n">
        <v>3</v>
      </c>
      <c r="K5" s="25" t="inlineStr">
        <is>
          <t>IA-PPWR-TF-CNT-DE-HAM-01-R00</t>
        </is>
      </c>
      <c r="L5" s="25" t="inlineStr">
        <is>
          <t>IA-PPWR-DOC-CNT-DE-HAM-01-R00</t>
        </is>
      </c>
      <c r="M5" s="25" t="inlineStr">
        <is>
          <t>IA-PPWR-LBL-CNT-DE-HAM-01-R00</t>
        </is>
      </c>
      <c r="N5" s="25" t="inlineStr">
        <is>
          <t>IA-PPWR-STM-CNT-DE-HAM-01-R00</t>
        </is>
      </c>
    </row>
    <row r="6">
      <c r="A6" s="25" t="inlineStr">
        <is>
          <t>IND-24V-01</t>
        </is>
      </c>
      <c r="B6" s="25" t="inlineStr">
        <is>
          <t>IA-IND-24V-01</t>
        </is>
      </c>
      <c r="C6" s="25" t="inlineStr">
        <is>
          <t>IA-IND-24V</t>
        </is>
      </c>
      <c r="D6" s="25" t="inlineStr">
        <is>
          <t>INDUSTRIAL</t>
        </is>
      </c>
      <c r="E6" s="25" t="inlineStr">
        <is>
          <t>24V | Palet (4001005): 1 adet</t>
        </is>
      </c>
      <c r="F6" s="25" t="inlineStr">
        <is>
          <t>24V | Palet (4001005): 1 adet</t>
        </is>
      </c>
      <c r="G6" s="25" t="inlineStr">
        <is>
          <t>24V | Pallet (4001005): 1 pc</t>
        </is>
      </c>
      <c r="H6" s="25" t="n">
        <v>27.388</v>
      </c>
      <c r="I6" s="25" t="n">
        <v>0</v>
      </c>
      <c r="J6" s="25" t="n">
        <v>6</v>
      </c>
      <c r="K6" s="25" t="inlineStr">
        <is>
          <t>IA-PPWR-TF-IND-24V-01-R00</t>
        </is>
      </c>
      <c r="L6" s="25" t="inlineStr">
        <is>
          <t>IA-PPWR-DOC-IND-24V-01-R00</t>
        </is>
      </c>
      <c r="M6" s="25" t="inlineStr">
        <is>
          <t>IA-PPWR-LBL-IND-24V-01-R00</t>
        </is>
      </c>
      <c r="N6" s="25" t="inlineStr">
        <is>
          <t>IA-PPWR-STM-IND-24V-01-R00</t>
        </is>
      </c>
    </row>
    <row r="7">
      <c r="A7" s="25" t="inlineStr">
        <is>
          <t>IND-48V-01</t>
        </is>
      </c>
      <c r="B7" s="25" t="inlineStr">
        <is>
          <t>IA-IND-48V-01</t>
        </is>
      </c>
      <c r="C7" s="25" t="inlineStr">
        <is>
          <t>IA-IND-48V</t>
        </is>
      </c>
      <c r="D7" s="25" t="inlineStr">
        <is>
          <t>INDUSTRIAL</t>
        </is>
      </c>
      <c r="E7" s="25" t="inlineStr">
        <is>
          <t>48V | Palet (4001005): 1 adet</t>
        </is>
      </c>
      <c r="F7" s="25" t="inlineStr">
        <is>
          <t>48V | Palet (4001005): 1 adet</t>
        </is>
      </c>
      <c r="G7" s="25" t="inlineStr">
        <is>
          <t>48V | Pallet (4001005): 1 pc</t>
        </is>
      </c>
      <c r="H7" s="25" t="n">
        <v>27.5767</v>
      </c>
      <c r="I7" s="25" t="n">
        <v>0</v>
      </c>
      <c r="J7" s="25" t="n">
        <v>6</v>
      </c>
      <c r="K7" s="25" t="inlineStr">
        <is>
          <t>IA-PPWR-TF-IND-48V-01-R00</t>
        </is>
      </c>
      <c r="L7" s="25" t="inlineStr">
        <is>
          <t>IA-PPWR-DOC-IND-48V-01-R00</t>
        </is>
      </c>
      <c r="M7" s="25" t="inlineStr">
        <is>
          <t>IA-PPWR-LBL-IND-48V-01-R00</t>
        </is>
      </c>
      <c r="N7" s="25" t="inlineStr">
        <is>
          <t>IA-PPWR-STM-IND-48V-01-R00</t>
        </is>
      </c>
    </row>
    <row r="8">
      <c r="A8" s="25" t="inlineStr">
        <is>
          <t>IND-80V-01</t>
        </is>
      </c>
      <c r="B8" s="25" t="inlineStr">
        <is>
          <t>IA-IND-80V-01</t>
        </is>
      </c>
      <c r="C8" s="25" t="inlineStr">
        <is>
          <t>IA-IND-80V</t>
        </is>
      </c>
      <c r="D8" s="25" t="inlineStr">
        <is>
          <t>INDUSTRIAL</t>
        </is>
      </c>
      <c r="E8" s="25" t="inlineStr">
        <is>
          <t>80V | Palet (4000973): 1 adet</t>
        </is>
      </c>
      <c r="F8" s="25" t="inlineStr">
        <is>
          <t>80V | Palet (4000973): 1 adet</t>
        </is>
      </c>
      <c r="G8" s="25" t="inlineStr">
        <is>
          <t>80V | Pallet (4000973): 1 pc</t>
        </is>
      </c>
      <c r="H8" s="25" t="n">
        <v>32.63147</v>
      </c>
      <c r="I8" s="25" t="n">
        <v>0</v>
      </c>
      <c r="J8" s="25" t="n">
        <v>6</v>
      </c>
      <c r="K8" s="25" t="inlineStr">
        <is>
          <t>IA-PPWR-TF-IND-80V-01-R00</t>
        </is>
      </c>
      <c r="L8" s="25" t="inlineStr">
        <is>
          <t>IA-PPWR-DOC-IND-80V-01-R00</t>
        </is>
      </c>
      <c r="M8" s="25" t="inlineStr">
        <is>
          <t>IA-PPWR-LBL-IND-80V-01-R00</t>
        </is>
      </c>
      <c r="N8" s="25" t="inlineStr">
        <is>
          <t>IA-PPWR-STM-IND-80V-01-R00</t>
        </is>
      </c>
    </row>
    <row r="9">
      <c r="A9" s="25" t="inlineStr">
        <is>
          <t>ST-012-EUR-01</t>
        </is>
      </c>
      <c r="B9" s="25" t="inlineStr">
        <is>
          <t>IA-ST-012-EUR-01</t>
        </is>
      </c>
      <c r="C9" s="25" t="inlineStr">
        <is>
          <t>IA-ST-CFG-0004</t>
        </is>
      </c>
      <c r="D9" s="25" t="inlineStr">
        <is>
          <t>STARTER</t>
        </is>
      </c>
      <c r="E9" s="25" t="inlineStr">
        <is>
          <t>C | Palet (4000038): 1 adet | Köşebent (4000590): 4 adet</t>
        </is>
      </c>
      <c r="F9" s="25" t="inlineStr">
        <is>
          <t>C | Palet (4000038): 1 adet | Köşebent (4000590): 4 adet</t>
        </is>
      </c>
      <c r="G9" s="25" t="inlineStr">
        <is>
          <t>C | Pallet (4000038): 1 pc | Edge protector (4000590): 4 pcs</t>
        </is>
      </c>
      <c r="H9" s="25" t="n">
        <v>29.326</v>
      </c>
      <c r="I9" s="25" t="n">
        <v>1</v>
      </c>
      <c r="J9" s="25" t="n">
        <v>7</v>
      </c>
      <c r="K9" s="25" t="inlineStr">
        <is>
          <t>IA-PPWR-TF-ST-012-EUR-01-R00</t>
        </is>
      </c>
      <c r="L9" s="25" t="inlineStr">
        <is>
          <t>IA-PPWR-DOC-ST-012-EUR-01-R00</t>
        </is>
      </c>
      <c r="M9" s="25" t="inlineStr">
        <is>
          <t>IA-PPWR-LBL-ST-012-EUR-01-R00</t>
        </is>
      </c>
      <c r="N9" s="25" t="inlineStr">
        <is>
          <t>IA-PPWR-STM-ST-012-EUR-01-R00</t>
        </is>
      </c>
    </row>
    <row r="10">
      <c r="A10" s="25" t="inlineStr">
        <is>
          <t>ST-012-EUR-02</t>
        </is>
      </c>
      <c r="B10" s="25" t="inlineStr">
        <is>
          <t>IA-ST-012-EUR-02</t>
        </is>
      </c>
      <c r="C10" s="25" t="inlineStr">
        <is>
          <t>IA-ST-CFG-0005</t>
        </is>
      </c>
      <c r="D10" s="25" t="inlineStr">
        <is>
          <t>STARTER</t>
        </is>
      </c>
      <c r="E10" s="25" t="inlineStr">
        <is>
          <t>L6 | Palet (4000038): 1 adet | Köşebent (4000590): 4 adet</t>
        </is>
      </c>
      <c r="F10" s="25" t="inlineStr">
        <is>
          <t>L6 | Palet (4000038): 1 adet | Köşebent (4000590): 4 adet</t>
        </is>
      </c>
      <c r="G10" s="25" t="inlineStr">
        <is>
          <t>L6 | Pallet (4000038): 1 pc | Edge protector (4000590): 4 pcs</t>
        </is>
      </c>
      <c r="H10" s="25" t="n">
        <v>27.526</v>
      </c>
      <c r="I10" s="25" t="n">
        <v>1</v>
      </c>
      <c r="J10" s="25" t="n">
        <v>6</v>
      </c>
      <c r="K10" s="25" t="inlineStr">
        <is>
          <t>IA-PPWR-TF-ST-012-EUR-02-R00</t>
        </is>
      </c>
      <c r="L10" s="25" t="inlineStr">
        <is>
          <t>IA-PPWR-DOC-ST-012-EUR-02-R00</t>
        </is>
      </c>
      <c r="M10" s="25" t="inlineStr">
        <is>
          <t>IA-PPWR-LBL-ST-012-EUR-02-R00</t>
        </is>
      </c>
      <c r="N10" s="25" t="inlineStr">
        <is>
          <t>IA-PPWR-STM-ST-012-EUR-02-R00</t>
        </is>
      </c>
    </row>
    <row r="11">
      <c r="A11" s="25" t="inlineStr">
        <is>
          <t>ST-012-EUR-03</t>
        </is>
      </c>
      <c r="B11" s="25" t="inlineStr">
        <is>
          <t>IA-ST-012-EUR-03</t>
        </is>
      </c>
      <c r="C11" s="25" t="inlineStr">
        <is>
          <t>IA-ST-CFG-0006</t>
        </is>
      </c>
      <c r="D11" s="25" t="inlineStr">
        <is>
          <t>STARTER</t>
        </is>
      </c>
      <c r="E11" s="25" t="inlineStr">
        <is>
          <t>C | Palet (4000038): 1 adet | Köşebent (4000590): 2 adet</t>
        </is>
      </c>
      <c r="F11" s="25" t="inlineStr">
        <is>
          <t>C | Palet (4000038): 1 adet | Köşebent (4000590): 2 adet</t>
        </is>
      </c>
      <c r="G11" s="25" t="inlineStr">
        <is>
          <t>C | Pallet (4000038): 1 pc | Edge protector (4000590): 2 pcs</t>
        </is>
      </c>
      <c r="H11" s="25" t="n">
        <v>29.0392</v>
      </c>
      <c r="I11" s="25" t="n">
        <v>2</v>
      </c>
      <c r="J11" s="25" t="n">
        <v>7</v>
      </c>
      <c r="K11" s="25" t="inlineStr">
        <is>
          <t>IA-PPWR-TF-ST-012-EUR-03-R00</t>
        </is>
      </c>
      <c r="L11" s="25" t="inlineStr">
        <is>
          <t>IA-PPWR-DOC-ST-012-EUR-03-R00</t>
        </is>
      </c>
      <c r="M11" s="25" t="inlineStr">
        <is>
          <t>IA-PPWR-LBL-ST-012-EUR-03-R00</t>
        </is>
      </c>
      <c r="N11" s="25" t="inlineStr">
        <is>
          <t>IA-PPWR-STM-ST-012-EUR-03-R00</t>
        </is>
      </c>
    </row>
    <row r="12">
      <c r="A12" s="25" t="inlineStr">
        <is>
          <t>ST-018-EUR-01</t>
        </is>
      </c>
      <c r="B12" s="25" t="inlineStr">
        <is>
          <t>IA-ST-018-EUR-01</t>
        </is>
      </c>
      <c r="C12" s="25" t="inlineStr">
        <is>
          <t>IA-ST-CFG-0012</t>
        </is>
      </c>
      <c r="D12" s="25" t="inlineStr">
        <is>
          <t>STARTER</t>
        </is>
      </c>
      <c r="E12" s="25" t="inlineStr">
        <is>
          <t>C | Palet (4000038): 1 adet | Köşebent (4001160): 4 adet</t>
        </is>
      </c>
      <c r="F12" s="25" t="inlineStr">
        <is>
          <t>C | Palet (4000038): 1 adet | Köşebent (4001160): 4 adet</t>
        </is>
      </c>
      <c r="G12" s="25" t="inlineStr">
        <is>
          <t>C | Pallet (4000038): 1 pc | Edge protector (4001160): 4 pcs</t>
        </is>
      </c>
      <c r="H12" s="25" t="n">
        <v>32.434</v>
      </c>
      <c r="I12" s="25" t="n">
        <v>1</v>
      </c>
      <c r="J12" s="25" t="n">
        <v>9</v>
      </c>
      <c r="K12" s="25" t="inlineStr">
        <is>
          <t>IA-PPWR-TF-ST-018-EUR-01-R00</t>
        </is>
      </c>
      <c r="L12" s="25" t="inlineStr">
        <is>
          <t>IA-PPWR-DOC-ST-018-EUR-01-R00</t>
        </is>
      </c>
      <c r="M12" s="25" t="inlineStr">
        <is>
          <t>IA-PPWR-LBL-ST-018-EUR-01-R00</t>
        </is>
      </c>
      <c r="N12" s="25" t="inlineStr">
        <is>
          <t>IA-PPWR-STM-ST-018-EUR-01-R00</t>
        </is>
      </c>
    </row>
    <row r="13">
      <c r="A13" s="25" t="inlineStr">
        <is>
          <t>ST-018-EUR-02</t>
        </is>
      </c>
      <c r="B13" s="25" t="inlineStr">
        <is>
          <t>IA-ST-018-EUR-02</t>
        </is>
      </c>
      <c r="C13" s="25" t="inlineStr">
        <is>
          <t>IA-ST-CFG-0013</t>
        </is>
      </c>
      <c r="D13" s="25" t="inlineStr">
        <is>
          <t>STARTER</t>
        </is>
      </c>
      <c r="E13" s="25" t="inlineStr">
        <is>
          <t>C | Palet (4000038): 1 adet | Köşebent (4000590): 4 adet</t>
        </is>
      </c>
      <c r="F13" s="25" t="inlineStr">
        <is>
          <t>C | Palet (4000038): 1 adet | Köşebent (4000590): 4 adet</t>
        </is>
      </c>
      <c r="G13" s="25" t="inlineStr">
        <is>
          <t>C | Pallet (4000038): 1 pc | Edge protector (4000590): 4 pcs</t>
        </is>
      </c>
      <c r="H13" s="25" t="n">
        <v>30.194</v>
      </c>
      <c r="I13" s="25" t="n">
        <v>4</v>
      </c>
      <c r="J13" s="25" t="n">
        <v>7</v>
      </c>
      <c r="K13" s="25" t="inlineStr">
        <is>
          <t>IA-PPWR-TF-ST-018-EUR-02-R00</t>
        </is>
      </c>
      <c r="L13" s="25" t="inlineStr">
        <is>
          <t>IA-PPWR-DOC-ST-018-EUR-02-R00</t>
        </is>
      </c>
      <c r="M13" s="25" t="inlineStr">
        <is>
          <t>IA-PPWR-LBL-ST-018-EUR-02-R00</t>
        </is>
      </c>
      <c r="N13" s="25" t="inlineStr">
        <is>
          <t>IA-PPWR-STM-ST-018-EUR-02-R00</t>
        </is>
      </c>
    </row>
    <row r="14">
      <c r="A14" s="25" t="inlineStr">
        <is>
          <t>ST-018-EUR-03</t>
        </is>
      </c>
      <c r="B14" s="25" t="inlineStr">
        <is>
          <t>IA-ST-018-EUR-03</t>
        </is>
      </c>
      <c r="C14" s="25" t="inlineStr">
        <is>
          <t>IA-ST-CFG-0014</t>
        </is>
      </c>
      <c r="D14" s="25" t="inlineStr">
        <is>
          <t>STARTER</t>
        </is>
      </c>
      <c r="E14" s="25" t="inlineStr">
        <is>
          <t>C | Palet (4000038): 1 adet | Shrink film (4000557): 1.08 kg | Köşebent (4000590): 2 adet</t>
        </is>
      </c>
      <c r="F14" s="25" t="inlineStr">
        <is>
          <t>C | Palet (4000038): 1 adet | Shrink film (4000557): 1.08 kg | Köşebent (4000590): 2 adet</t>
        </is>
      </c>
      <c r="G14" s="25" t="inlineStr">
        <is>
          <t>C | Pallet (4000038): 1 pc | Shrink film (4000557): 1.08 kg | Edge protector (4000590): 2 pcs</t>
        </is>
      </c>
      <c r="H14" s="25" t="n">
        <v>30.9872</v>
      </c>
      <c r="I14" s="25" t="n">
        <v>23</v>
      </c>
      <c r="J14" s="25" t="n">
        <v>8</v>
      </c>
      <c r="K14" s="25" t="inlineStr">
        <is>
          <t>IA-PPWR-TF-ST-018-EUR-03-R00</t>
        </is>
      </c>
      <c r="L14" s="25" t="inlineStr">
        <is>
          <t>IA-PPWR-DOC-ST-018-EUR-03-R00</t>
        </is>
      </c>
      <c r="M14" s="25" t="inlineStr">
        <is>
          <t>IA-PPWR-LBL-ST-018-EUR-03-R00</t>
        </is>
      </c>
      <c r="N14" s="25" t="inlineStr">
        <is>
          <t>IA-PPWR-STM-ST-018-EUR-03-R00</t>
        </is>
      </c>
    </row>
    <row r="15">
      <c r="A15" s="25" t="inlineStr">
        <is>
          <t>ST-018-EUR-04</t>
        </is>
      </c>
      <c r="B15" s="25" t="inlineStr">
        <is>
          <t>IA-ST-018-EUR-04</t>
        </is>
      </c>
      <c r="C15" s="25" t="inlineStr">
        <is>
          <t>IA-ST-CFG-0015</t>
        </is>
      </c>
      <c r="D15" s="25" t="inlineStr">
        <is>
          <t>STARTER</t>
        </is>
      </c>
      <c r="E15" s="25" t="inlineStr">
        <is>
          <t>C | Palet (4000038): 1 adet | Honeycomb (4001186): 3 adet</t>
        </is>
      </c>
      <c r="F15" s="25" t="inlineStr">
        <is>
          <t>C | Palet (4000038): 1 adet | Honeycomb (4001186): 3 adet</t>
        </is>
      </c>
      <c r="G15" s="25" t="inlineStr">
        <is>
          <t>C | Pallet (4000038): 1 pc | Honeycomb (4001186): 3 pcs</t>
        </is>
      </c>
      <c r="H15" s="25" t="n">
        <v>30.0392</v>
      </c>
      <c r="I15" s="25" t="n">
        <v>6</v>
      </c>
      <c r="J15" s="25" t="n">
        <v>7</v>
      </c>
      <c r="K15" s="25" t="inlineStr">
        <is>
          <t>IA-PPWR-TF-ST-018-EUR-04-R00</t>
        </is>
      </c>
      <c r="L15" s="25" t="inlineStr">
        <is>
          <t>IA-PPWR-DOC-ST-018-EUR-04-R00</t>
        </is>
      </c>
      <c r="M15" s="25" t="inlineStr">
        <is>
          <t>IA-PPWR-LBL-ST-018-EUR-04-R00</t>
        </is>
      </c>
      <c r="N15" s="25" t="inlineStr">
        <is>
          <t>IA-PPWR-STM-ST-018-EUR-04-R00</t>
        </is>
      </c>
    </row>
    <row r="16">
      <c r="A16" s="25" t="inlineStr">
        <is>
          <t>ST-018-EUR-05</t>
        </is>
      </c>
      <c r="B16" s="25" t="inlineStr">
        <is>
          <t>IA-ST-018-EUR-05</t>
        </is>
      </c>
      <c r="C16" s="25" t="inlineStr">
        <is>
          <t>IA-ST-CFG-0016</t>
        </is>
      </c>
      <c r="D16" s="25" t="inlineStr">
        <is>
          <t>STARTER</t>
        </is>
      </c>
      <c r="E16" s="25" t="inlineStr">
        <is>
          <t>C | Palet (4000038): 1 adet | Çember (4000450): kullanılmaz</t>
        </is>
      </c>
      <c r="F16" s="25" t="inlineStr">
        <is>
          <t>C | Palet (4000038): 1 adet | Çember (4000450): kullanılmaz</t>
        </is>
      </c>
      <c r="G16" s="25" t="inlineStr">
        <is>
          <t>C | Pallet (4000038): 1 pc | Strap (4000450): not used</t>
        </is>
      </c>
      <c r="H16" s="25" t="n">
        <v>30.7004</v>
      </c>
      <c r="I16" s="25" t="n">
        <v>7</v>
      </c>
      <c r="J16" s="25" t="n">
        <v>6</v>
      </c>
      <c r="K16" s="25" t="inlineStr">
        <is>
          <t>IA-PPWR-TF-ST-018-EUR-05-R00</t>
        </is>
      </c>
      <c r="L16" s="25" t="inlineStr">
        <is>
          <t>IA-PPWR-DOC-ST-018-EUR-05-R00</t>
        </is>
      </c>
      <c r="M16" s="25" t="inlineStr">
        <is>
          <t>IA-PPWR-LBL-ST-018-EUR-05-R00</t>
        </is>
      </c>
      <c r="N16" s="25" t="inlineStr">
        <is>
          <t>IA-PPWR-STM-ST-018-EUR-05-R00</t>
        </is>
      </c>
    </row>
    <row r="17">
      <c r="A17" s="25" t="inlineStr">
        <is>
          <t>ST-021-EUR-01</t>
        </is>
      </c>
      <c r="B17" s="25" t="inlineStr">
        <is>
          <t>IA-ST-021-EUR-01</t>
        </is>
      </c>
      <c r="C17" s="25" t="inlineStr">
        <is>
          <t>IA-ST-CFG-0027</t>
        </is>
      </c>
      <c r="D17" s="25" t="inlineStr">
        <is>
          <t>STARTER</t>
        </is>
      </c>
      <c r="E17" s="25" t="inlineStr">
        <is>
          <t>B | B TİPİ PVC üst kapak (4000591): 21 adet</t>
        </is>
      </c>
      <c r="F17" s="25" t="inlineStr">
        <is>
          <t>B | B TİPİ PVC üst kapak (4000591): 21 adet</t>
        </is>
      </c>
      <c r="G17" s="25" t="inlineStr">
        <is>
          <t>B | B TİPİ PVC upper cover (4000591): 21 pcs</t>
        </is>
      </c>
      <c r="H17" s="25" t="n">
        <v>32.37481</v>
      </c>
      <c r="I17" s="25" t="n">
        <v>1</v>
      </c>
      <c r="J17" s="25" t="n">
        <v>9</v>
      </c>
      <c r="K17" s="25" t="inlineStr">
        <is>
          <t>IA-PPWR-TF-ST-021-EUR-01-R00</t>
        </is>
      </c>
      <c r="L17" s="25" t="inlineStr">
        <is>
          <t>IA-PPWR-DOC-ST-021-EUR-01-R00</t>
        </is>
      </c>
      <c r="M17" s="25" t="inlineStr">
        <is>
          <t>IA-PPWR-LBL-ST-021-EUR-01-R00</t>
        </is>
      </c>
      <c r="N17" s="25" t="inlineStr">
        <is>
          <t>IA-PPWR-STM-ST-021-EUR-01-R00</t>
        </is>
      </c>
    </row>
    <row r="18">
      <c r="A18" s="25" t="inlineStr">
        <is>
          <t>ST-021-EUR-02</t>
        </is>
      </c>
      <c r="B18" s="25" t="inlineStr">
        <is>
          <t>IA-ST-021-EUR-02</t>
        </is>
      </c>
      <c r="C18" s="25" t="inlineStr">
        <is>
          <t>IA-ST-CFG-0028</t>
        </is>
      </c>
      <c r="D18" s="25" t="inlineStr">
        <is>
          <t>STARTER</t>
        </is>
      </c>
      <c r="E18" s="25" t="inlineStr">
        <is>
          <t>B | Palet (4000038): 1 adet | Köşebent (4000590): 4 adet</t>
        </is>
      </c>
      <c r="F18" s="25" t="inlineStr">
        <is>
          <t>B | Palet (4000038): 1 adet | Köşebent (4000590): 4 adet</t>
        </is>
      </c>
      <c r="G18" s="25" t="inlineStr">
        <is>
          <t>B | Pallet (4000038): 1 pc | Edge protector (4000590): 4 pcs</t>
        </is>
      </c>
      <c r="H18" s="25" t="n">
        <v>29.9</v>
      </c>
      <c r="I18" s="25" t="n">
        <v>3</v>
      </c>
      <c r="J18" s="25" t="n">
        <v>7</v>
      </c>
      <c r="K18" s="25" t="inlineStr">
        <is>
          <t>IA-PPWR-TF-ST-021-EUR-02-R00</t>
        </is>
      </c>
      <c r="L18" s="25" t="inlineStr">
        <is>
          <t>IA-PPWR-DOC-ST-021-EUR-02-R00</t>
        </is>
      </c>
      <c r="M18" s="25" t="inlineStr">
        <is>
          <t>IA-PPWR-LBL-ST-021-EUR-02-R00</t>
        </is>
      </c>
      <c r="N18" s="25" t="inlineStr">
        <is>
          <t>IA-PPWR-STM-ST-021-EUR-02-R00</t>
        </is>
      </c>
    </row>
    <row r="19">
      <c r="A19" s="25" t="inlineStr">
        <is>
          <t>ST-021-EUR-03</t>
        </is>
      </c>
      <c r="B19" s="25" t="inlineStr">
        <is>
          <t>IA-ST-021-EUR-03</t>
        </is>
      </c>
      <c r="C19" s="25" t="inlineStr">
        <is>
          <t>IA-ST-CFG-0029</t>
        </is>
      </c>
      <c r="D19" s="25" t="inlineStr">
        <is>
          <t>STARTER</t>
        </is>
      </c>
      <c r="E19" s="25" t="inlineStr">
        <is>
          <t>B | Palet (4000038): 1 adet | Shrink film (4000557): 1.155 kg | EPS (4001290): 21 adet</t>
        </is>
      </c>
      <c r="F19" s="25" t="inlineStr">
        <is>
          <t>B | Palet (4000038): 1 adet | Shrink film (4000557): 1.155 kg | EPS (4001290): 21 adet</t>
        </is>
      </c>
      <c r="G19" s="25" t="inlineStr">
        <is>
          <t>B | Pallet (4000038): 1 pc | Shrink film (4000557): 1.155 kg | EPS (4001290): 21 pcs</t>
        </is>
      </c>
      <c r="H19" s="25" t="n">
        <v>30.7682</v>
      </c>
      <c r="I19" s="25" t="n">
        <v>22</v>
      </c>
      <c r="J19" s="25" t="n">
        <v>8</v>
      </c>
      <c r="K19" s="25" t="inlineStr">
        <is>
          <t>IA-PPWR-TF-ST-021-EUR-03-R00</t>
        </is>
      </c>
      <c r="L19" s="25" t="inlineStr">
        <is>
          <t>IA-PPWR-DOC-ST-021-EUR-03-R00</t>
        </is>
      </c>
      <c r="M19" s="25" t="inlineStr">
        <is>
          <t>IA-PPWR-LBL-ST-021-EUR-03-R00</t>
        </is>
      </c>
      <c r="N19" s="25" t="inlineStr">
        <is>
          <t>IA-PPWR-STM-ST-021-EUR-03-R00</t>
        </is>
      </c>
    </row>
    <row r="20">
      <c r="A20" s="25" t="inlineStr">
        <is>
          <t>ST-021-EUR-04</t>
        </is>
      </c>
      <c r="B20" s="25" t="inlineStr">
        <is>
          <t>IA-ST-021-EUR-04</t>
        </is>
      </c>
      <c r="C20" s="25" t="inlineStr">
        <is>
          <t>IA-ST-CFG-0030</t>
        </is>
      </c>
      <c r="D20" s="25" t="inlineStr">
        <is>
          <t>STARTER</t>
        </is>
      </c>
      <c r="E20" s="25" t="inlineStr">
        <is>
          <t>B | Palet (4000038): 1 adet | Honeycomb (4001186): 3 adet</t>
        </is>
      </c>
      <c r="F20" s="25" t="inlineStr">
        <is>
          <t>B | Palet (4000038): 1 adet | Honeycomb (4001186): 3 adet</t>
        </is>
      </c>
      <c r="G20" s="25" t="inlineStr">
        <is>
          <t>B | Pallet (4000038): 1 pc | Honeycomb (4001186): 3 pcs</t>
        </is>
      </c>
      <c r="H20" s="25" t="n">
        <v>30.0392</v>
      </c>
      <c r="I20" s="25" t="n">
        <v>16</v>
      </c>
      <c r="J20" s="25" t="n">
        <v>7</v>
      </c>
      <c r="K20" s="25" t="inlineStr">
        <is>
          <t>IA-PPWR-TF-ST-021-EUR-04-R00</t>
        </is>
      </c>
      <c r="L20" s="25" t="inlineStr">
        <is>
          <t>IA-PPWR-DOC-ST-021-EUR-04-R00</t>
        </is>
      </c>
      <c r="M20" s="25" t="inlineStr">
        <is>
          <t>IA-PPWR-LBL-ST-021-EUR-04-R00</t>
        </is>
      </c>
      <c r="N20" s="25" t="inlineStr">
        <is>
          <t>IA-PPWR-STM-ST-021-EUR-04-R00</t>
        </is>
      </c>
    </row>
    <row r="21">
      <c r="A21" s="25" t="inlineStr">
        <is>
          <t>ST-021-EUR-05</t>
        </is>
      </c>
      <c r="B21" s="25" t="inlineStr">
        <is>
          <t>IA-ST-021-EUR-05</t>
        </is>
      </c>
      <c r="C21" s="25" t="inlineStr">
        <is>
          <t>IA-ST-CFG-0031</t>
        </is>
      </c>
      <c r="D21" s="25" t="inlineStr">
        <is>
          <t>STARTER</t>
        </is>
      </c>
      <c r="E21" s="25" t="inlineStr">
        <is>
          <t>B | Palet (4000038): 1 adet | Shrink film (4000557): kullanılmaz | Köşebent (4000590): 2 adet | EPS (4001290): 21 adet</t>
        </is>
      </c>
      <c r="F21" s="25" t="inlineStr">
        <is>
          <t>B | Palet (4000038): 1 adet | Shrink film (4000557): kullanılmaz | Köşebent (4000590): 2 adet | EPS (4001290): 21 adet</t>
        </is>
      </c>
      <c r="G21" s="25" t="inlineStr">
        <is>
          <t>B | Pallet (4000038): 1 pc | Shrink film (4000557): not used | Edge protector (4000590): 2 pcs | EPS (4001290): 21 pcs</t>
        </is>
      </c>
      <c r="H21" s="25" t="n">
        <v>29.6132</v>
      </c>
      <c r="I21" s="25" t="n">
        <v>1</v>
      </c>
      <c r="J21" s="25" t="n">
        <v>7</v>
      </c>
      <c r="K21" s="25" t="inlineStr">
        <is>
          <t>IA-PPWR-TF-ST-021-EUR-05-R00</t>
        </is>
      </c>
      <c r="L21" s="25" t="inlineStr">
        <is>
          <t>IA-PPWR-DOC-ST-021-EUR-05-R00</t>
        </is>
      </c>
      <c r="M21" s="25" t="inlineStr">
        <is>
          <t>IA-PPWR-LBL-ST-021-EUR-05-R00</t>
        </is>
      </c>
      <c r="N21" s="25" t="inlineStr">
        <is>
          <t>IA-PPWR-STM-ST-021-EUR-05-R00</t>
        </is>
      </c>
    </row>
    <row r="22">
      <c r="A22" s="25" t="inlineStr">
        <is>
          <t>ST-021-STD-01</t>
        </is>
      </c>
      <c r="B22" s="25" t="inlineStr">
        <is>
          <t>IA-ST-021-STD-01</t>
        </is>
      </c>
      <c r="C22" s="25" t="inlineStr">
        <is>
          <t>IA-ST-CFG-0020</t>
        </is>
      </c>
      <c r="D22" s="25" t="inlineStr">
        <is>
          <t>STARTER</t>
        </is>
      </c>
      <c r="E22" s="25" t="inlineStr">
        <is>
          <t>C | Palet (4000037): 1 adet | Streç ped (4000301): 0.175 kg</t>
        </is>
      </c>
      <c r="F22" s="25" t="inlineStr">
        <is>
          <t>C | Palet (4000037): 1 adet | Streç ped (4000301): 0.175 kg</t>
        </is>
      </c>
      <c r="G22" s="25" t="inlineStr">
        <is>
          <t>C | Pallet (4000037): 1 pc | Stretch pad (4000301): 0.175 kg</t>
        </is>
      </c>
      <c r="H22" s="25" t="n">
        <v>31.8142</v>
      </c>
      <c r="I22" s="25" t="n">
        <v>1</v>
      </c>
      <c r="J22" s="25" t="n">
        <v>8</v>
      </c>
      <c r="K22" s="25" t="inlineStr">
        <is>
          <t>IA-PPWR-TF-ST-021-STD-01-R00</t>
        </is>
      </c>
      <c r="L22" s="25" t="inlineStr">
        <is>
          <t>IA-PPWR-DOC-ST-021-STD-01-R00</t>
        </is>
      </c>
      <c r="M22" s="25" t="inlineStr">
        <is>
          <t>IA-PPWR-LBL-ST-021-STD-01-R00</t>
        </is>
      </c>
      <c r="N22" s="25" t="inlineStr">
        <is>
          <t>IA-PPWR-STM-ST-021-STD-01-R00</t>
        </is>
      </c>
    </row>
    <row r="23">
      <c r="A23" s="25" t="inlineStr">
        <is>
          <t>ST-021-STD-02</t>
        </is>
      </c>
      <c r="B23" s="25" t="inlineStr">
        <is>
          <t>IA-ST-021-STD-02</t>
        </is>
      </c>
      <c r="C23" s="25" t="inlineStr">
        <is>
          <t>IA-ST-CFG-0021</t>
        </is>
      </c>
      <c r="D23" s="25" t="inlineStr">
        <is>
          <t>STARTER</t>
        </is>
      </c>
      <c r="E23" s="25" t="inlineStr">
        <is>
          <t>C | Palet (4000037): 1 adet | Köşebent (4000590): 4 adet</t>
        </is>
      </c>
      <c r="F23" s="25" t="inlineStr">
        <is>
          <t>C | Palet (4000037): 1 adet | Köşebent (4000590): 4 adet</t>
        </is>
      </c>
      <c r="G23" s="25" t="inlineStr">
        <is>
          <t>C | Pallet (4000037): 1 pc | Edge protector (4000590): 4 pcs</t>
        </is>
      </c>
      <c r="H23" s="25" t="n">
        <v>32.112</v>
      </c>
      <c r="I23" s="25" t="n">
        <v>1</v>
      </c>
      <c r="J23" s="25" t="n">
        <v>8</v>
      </c>
      <c r="K23" s="25" t="inlineStr">
        <is>
          <t>IA-PPWR-TF-ST-021-STD-02-R00</t>
        </is>
      </c>
      <c r="L23" s="25" t="inlineStr">
        <is>
          <t>IA-PPWR-DOC-ST-021-STD-02-R00</t>
        </is>
      </c>
      <c r="M23" s="25" t="inlineStr">
        <is>
          <t>IA-PPWR-LBL-ST-021-STD-02-R00</t>
        </is>
      </c>
      <c r="N23" s="25" t="inlineStr">
        <is>
          <t>IA-PPWR-STM-ST-021-STD-02-R00</t>
        </is>
      </c>
    </row>
    <row r="24">
      <c r="A24" s="25" t="inlineStr">
        <is>
          <t>ST-021-STD-03</t>
        </is>
      </c>
      <c r="B24" s="25" t="inlineStr">
        <is>
          <t>IA-ST-021-STD-03</t>
        </is>
      </c>
      <c r="C24" s="25" t="inlineStr">
        <is>
          <t>IA-ST-CFG-0023</t>
        </is>
      </c>
      <c r="D24" s="25" t="inlineStr">
        <is>
          <t>STARTER</t>
        </is>
      </c>
      <c r="E24" s="25" t="inlineStr">
        <is>
          <t>C | Palet (4000037): 1 adet | Streç ped (4000301): 0.186 kg | Köşebent (4000590): 2 adet</t>
        </is>
      </c>
      <c r="F24" s="25" t="inlineStr">
        <is>
          <t>C | Palet (4000037): 1 adet | Streç ped (4000301): 0.186 kg | Köşebent (4000590): 2 adet</t>
        </is>
      </c>
      <c r="G24" s="25" t="inlineStr">
        <is>
          <t>C | Pallet (4000037): 1 pc | Stretch pad (4000301): 0.186 kg | Edge protector (4000590): 2 pcs</t>
        </is>
      </c>
      <c r="H24" s="25" t="n">
        <v>31.8252</v>
      </c>
      <c r="I24" s="25" t="n">
        <v>52</v>
      </c>
      <c r="J24" s="25" t="n">
        <v>8</v>
      </c>
      <c r="K24" s="25" t="inlineStr">
        <is>
          <t>IA-PPWR-TF-ST-021-STD-03-R00</t>
        </is>
      </c>
      <c r="L24" s="25" t="inlineStr">
        <is>
          <t>IA-PPWR-DOC-ST-021-STD-03-R00</t>
        </is>
      </c>
      <c r="M24" s="25" t="inlineStr">
        <is>
          <t>IA-PPWR-LBL-ST-021-STD-03-R00</t>
        </is>
      </c>
      <c r="N24" s="25" t="inlineStr">
        <is>
          <t>IA-PPWR-STM-ST-021-STD-03-R00</t>
        </is>
      </c>
    </row>
    <row r="25">
      <c r="A25" s="25" t="inlineStr">
        <is>
          <t>ST-021-STD-04</t>
        </is>
      </c>
      <c r="B25" s="25" t="inlineStr">
        <is>
          <t>IA-ST-021-STD-04</t>
        </is>
      </c>
      <c r="C25" s="25" t="inlineStr">
        <is>
          <t>IA-ST-CFG-0024</t>
        </is>
      </c>
      <c r="D25" s="25" t="inlineStr">
        <is>
          <t>STARTER</t>
        </is>
      </c>
      <c r="E25" s="25" t="inlineStr">
        <is>
          <t>C | Palet (4000037): 1 adet | Çember (4000450): kullanılmaz</t>
        </is>
      </c>
      <c r="F25" s="25" t="inlineStr">
        <is>
          <t>C | Palet (4000037): 1 adet | Çember (4000450): kullanılmaz</t>
        </is>
      </c>
      <c r="G25" s="25" t="inlineStr">
        <is>
          <t>C | Pallet (4000037): 1 pc | Strap (4000450): not used</t>
        </is>
      </c>
      <c r="H25" s="25" t="n">
        <v>31.5384</v>
      </c>
      <c r="I25" s="25" t="n">
        <v>24</v>
      </c>
      <c r="J25" s="25" t="n">
        <v>6</v>
      </c>
      <c r="K25" s="25" t="inlineStr">
        <is>
          <t>IA-PPWR-TF-ST-021-STD-04-R00</t>
        </is>
      </c>
      <c r="L25" s="25" t="inlineStr">
        <is>
          <t>IA-PPWR-DOC-ST-021-STD-04-R00</t>
        </is>
      </c>
      <c r="M25" s="25" t="inlineStr">
        <is>
          <t>IA-PPWR-LBL-ST-021-STD-04-R00</t>
        </is>
      </c>
      <c r="N25" s="25" t="inlineStr">
        <is>
          <t>IA-PPWR-STM-ST-021-STD-04-R00</t>
        </is>
      </c>
    </row>
    <row r="26">
      <c r="A26" s="25" t="inlineStr">
        <is>
          <t>ST-021-STD-05</t>
        </is>
      </c>
      <c r="B26" s="25" t="inlineStr">
        <is>
          <t>IA-ST-021-STD-05</t>
        </is>
      </c>
      <c r="C26" s="25" t="inlineStr">
        <is>
          <t>IA-ST-CFG-0025</t>
        </is>
      </c>
      <c r="D26" s="25" t="inlineStr">
        <is>
          <t>STARTER</t>
        </is>
      </c>
      <c r="E26" s="25" t="inlineStr">
        <is>
          <t>C | Palet (4000037): 1 adet | Shrink film (4001177): 0.597 kg</t>
        </is>
      </c>
      <c r="F26" s="25" t="inlineStr">
        <is>
          <t>C | Palet (4000037): 1 adet | Shrink film (4001177): 0.597 kg</t>
        </is>
      </c>
      <c r="G26" s="25" t="inlineStr">
        <is>
          <t>C | Pallet (4000037): 1 pc | Shrink film (4001177): 0.597 kg</t>
        </is>
      </c>
      <c r="H26" s="25" t="n">
        <v>30.983</v>
      </c>
      <c r="I26" s="25" t="n">
        <v>1</v>
      </c>
      <c r="J26" s="25" t="n">
        <v>7</v>
      </c>
      <c r="K26" s="25" t="inlineStr">
        <is>
          <t>IA-PPWR-TF-ST-021-STD-05-R00</t>
        </is>
      </c>
      <c r="L26" s="25" t="inlineStr">
        <is>
          <t>IA-PPWR-DOC-ST-021-STD-05-R00</t>
        </is>
      </c>
      <c r="M26" s="25" t="inlineStr">
        <is>
          <t>IA-PPWR-LBL-ST-021-STD-05-R00</t>
        </is>
      </c>
      <c r="N26" s="25" t="inlineStr">
        <is>
          <t>IA-PPWR-STM-ST-021-STD-05-R00</t>
        </is>
      </c>
    </row>
    <row r="27">
      <c r="A27" s="25" t="inlineStr">
        <is>
          <t>ST-024-EUR-01</t>
        </is>
      </c>
      <c r="B27" s="25" t="inlineStr">
        <is>
          <t>IA-ST-024-EUR-01</t>
        </is>
      </c>
      <c r="C27" s="25" t="inlineStr">
        <is>
          <t>IA-ST-CFG-0035</t>
        </is>
      </c>
      <c r="D27" s="25" t="inlineStr">
        <is>
          <t>STARTER</t>
        </is>
      </c>
      <c r="E27" s="25" t="inlineStr">
        <is>
          <t>TRACTOR | Palet (4000038): 1 adet | Honeycomb (4001186): 2 adet</t>
        </is>
      </c>
      <c r="F27" s="25" t="inlineStr">
        <is>
          <t>TRACTOR | Palet (4000038): 1 adet | Honeycomb (4001186): 2 adet</t>
        </is>
      </c>
      <c r="G27" s="25" t="inlineStr">
        <is>
          <t>TRACTOR | Pallet (4000038): 1 pc | Honeycomb (4001186): 2 pcs</t>
        </is>
      </c>
      <c r="H27" s="25" t="n">
        <v>36.726</v>
      </c>
      <c r="I27" s="25" t="n">
        <v>1</v>
      </c>
      <c r="J27" s="25" t="n">
        <v>8</v>
      </c>
      <c r="K27" s="25" t="inlineStr">
        <is>
          <t>IA-PPWR-TF-ST-024-EUR-01-R00</t>
        </is>
      </c>
      <c r="L27" s="25" t="inlineStr">
        <is>
          <t>IA-PPWR-DOC-ST-024-EUR-01-R00</t>
        </is>
      </c>
      <c r="M27" s="25" t="inlineStr">
        <is>
          <t>IA-PPWR-LBL-ST-024-EUR-01-R00</t>
        </is>
      </c>
      <c r="N27" s="25" t="inlineStr">
        <is>
          <t>IA-PPWR-STM-ST-024-EUR-01-R00</t>
        </is>
      </c>
    </row>
    <row r="28">
      <c r="A28" s="25" t="inlineStr">
        <is>
          <t>ST-024-EUR-02</t>
        </is>
      </c>
      <c r="B28" s="25" t="inlineStr">
        <is>
          <t>IA-ST-024-EUR-02</t>
        </is>
      </c>
      <c r="C28" s="25" t="inlineStr">
        <is>
          <t>IA-ST-CFG-0037</t>
        </is>
      </c>
      <c r="D28" s="25" t="inlineStr">
        <is>
          <t>STARTER</t>
        </is>
      </c>
      <c r="E28" s="25" t="inlineStr">
        <is>
          <t>A | A TİPİ VAKUM PVC PVC üst kapak (4000720): 24 adet</t>
        </is>
      </c>
      <c r="F28" s="25" t="inlineStr">
        <is>
          <t>A | A TİPİ VAKUM PVC PVC üst kapak (4000720): 24 adet</t>
        </is>
      </c>
      <c r="G28" s="25" t="inlineStr">
        <is>
          <t>A | A TİPİ VAKUM PVC PVC upper cover (4000720): 24 pcs</t>
        </is>
      </c>
      <c r="H28" s="25" t="n">
        <v>32.84464</v>
      </c>
      <c r="I28" s="25" t="n">
        <v>1</v>
      </c>
      <c r="J28" s="25" t="n">
        <v>9</v>
      </c>
      <c r="K28" s="25" t="inlineStr">
        <is>
          <t>IA-PPWR-TF-ST-024-EUR-02-R00</t>
        </is>
      </c>
      <c r="L28" s="25" t="inlineStr">
        <is>
          <t>IA-PPWR-DOC-ST-024-EUR-02-R00</t>
        </is>
      </c>
      <c r="M28" s="25" t="inlineStr">
        <is>
          <t>IA-PPWR-LBL-ST-024-EUR-02-R00</t>
        </is>
      </c>
      <c r="N28" s="25" t="inlineStr">
        <is>
          <t>IA-PPWR-STM-ST-024-EUR-02-R00</t>
        </is>
      </c>
    </row>
    <row r="29">
      <c r="A29" s="25" t="inlineStr">
        <is>
          <t>ST-024-EUR-03</t>
        </is>
      </c>
      <c r="B29" s="25" t="inlineStr">
        <is>
          <t>IA-ST-024-EUR-03</t>
        </is>
      </c>
      <c r="C29" s="25" t="inlineStr">
        <is>
          <t>IA-ST-CFG-0038</t>
        </is>
      </c>
      <c r="D29" s="25" t="inlineStr">
        <is>
          <t>STARTER</t>
        </is>
      </c>
      <c r="E29" s="25" t="inlineStr">
        <is>
          <t>A | Palet (4000038): 1 adet | Köşebent (4000590): 4 adet</t>
        </is>
      </c>
      <c r="F29" s="25" t="inlineStr">
        <is>
          <t>A | Palet (4000038): 1 adet | Köşebent (4000590): 4 adet</t>
        </is>
      </c>
      <c r="G29" s="25" t="inlineStr">
        <is>
          <t>A | Pallet (4000038): 1 pc | Edge protector (4000590): 4 pcs</t>
        </is>
      </c>
      <c r="H29" s="25" t="n">
        <v>29.63</v>
      </c>
      <c r="I29" s="25" t="n">
        <v>2</v>
      </c>
      <c r="J29" s="25" t="n">
        <v>7</v>
      </c>
      <c r="K29" s="25" t="inlineStr">
        <is>
          <t>IA-PPWR-TF-ST-024-EUR-03-R00</t>
        </is>
      </c>
      <c r="L29" s="25" t="inlineStr">
        <is>
          <t>IA-PPWR-DOC-ST-024-EUR-03-R00</t>
        </is>
      </c>
      <c r="M29" s="25" t="inlineStr">
        <is>
          <t>IA-PPWR-LBL-ST-024-EUR-03-R00</t>
        </is>
      </c>
      <c r="N29" s="25" t="inlineStr">
        <is>
          <t>IA-PPWR-STM-ST-024-EUR-03-R00</t>
        </is>
      </c>
    </row>
    <row r="30">
      <c r="A30" s="25" t="inlineStr">
        <is>
          <t>ST-024-EUR-04</t>
        </is>
      </c>
      <c r="B30" s="25" t="inlineStr">
        <is>
          <t>IA-ST-024-EUR-04</t>
        </is>
      </c>
      <c r="C30" s="25" t="inlineStr">
        <is>
          <t>IA-ST-CFG-0039</t>
        </is>
      </c>
      <c r="D30" s="25" t="inlineStr">
        <is>
          <t>STARTER</t>
        </is>
      </c>
      <c r="E30" s="25" t="inlineStr">
        <is>
          <t>A | Palet (4000038): 1 adet | Köşebent (4000590): 2 adet</t>
        </is>
      </c>
      <c r="F30" s="25" t="inlineStr">
        <is>
          <t>A | Palet (4000038): 1 adet | Köşebent (4000590): 2 adet</t>
        </is>
      </c>
      <c r="G30" s="25" t="inlineStr">
        <is>
          <t>A | Pallet (4000038): 1 pc | Edge protector (4000590): 2 pcs</t>
        </is>
      </c>
      <c r="H30" s="25" t="n">
        <v>30.6632</v>
      </c>
      <c r="I30" s="25" t="n">
        <v>18</v>
      </c>
      <c r="J30" s="25" t="n">
        <v>8</v>
      </c>
      <c r="K30" s="25" t="inlineStr">
        <is>
          <t>IA-PPWR-TF-ST-024-EUR-04-R00</t>
        </is>
      </c>
      <c r="L30" s="25" t="inlineStr">
        <is>
          <t>IA-PPWR-DOC-ST-024-EUR-04-R00</t>
        </is>
      </c>
      <c r="M30" s="25" t="inlineStr">
        <is>
          <t>IA-PPWR-LBL-ST-024-EUR-04-R00</t>
        </is>
      </c>
      <c r="N30" s="25" t="inlineStr">
        <is>
          <t>IA-PPWR-STM-ST-024-EUR-04-R00</t>
        </is>
      </c>
    </row>
    <row r="31">
      <c r="A31" s="25" t="inlineStr">
        <is>
          <t>ST-024-STD-01</t>
        </is>
      </c>
      <c r="B31" s="25" t="inlineStr">
        <is>
          <t>IA-ST-024-STD-01</t>
        </is>
      </c>
      <c r="C31" s="25" t="inlineStr">
        <is>
          <t>IA-ST-CFG-0034</t>
        </is>
      </c>
      <c r="D31" s="25" t="inlineStr">
        <is>
          <t>STARTER</t>
        </is>
      </c>
      <c r="E31" s="25" t="inlineStr">
        <is>
          <t>C | Palet (4000037): 1 adet | EPS (4001281): 24 adet</t>
        </is>
      </c>
      <c r="F31" s="25" t="inlineStr">
        <is>
          <t>C | Palet (4000037): 1 adet | EPS (4001281): 24 adet</t>
        </is>
      </c>
      <c r="G31" s="25" t="inlineStr">
        <is>
          <t>C | Pallet (4000037): 1 pc | EPS (4001281): 24 pcs</t>
        </is>
      </c>
      <c r="H31" s="25" t="n">
        <v>31.23</v>
      </c>
      <c r="I31" s="25" t="n">
        <v>1</v>
      </c>
      <c r="J31" s="25" t="n">
        <v>7</v>
      </c>
      <c r="K31" s="25" t="inlineStr">
        <is>
          <t>IA-PPWR-TF-ST-024-STD-01-R00</t>
        </is>
      </c>
      <c r="L31" s="25" t="inlineStr">
        <is>
          <t>IA-PPWR-DOC-ST-024-STD-01-R00</t>
        </is>
      </c>
      <c r="M31" s="25" t="inlineStr">
        <is>
          <t>IA-PPWR-LBL-ST-024-STD-01-R00</t>
        </is>
      </c>
      <c r="N31" s="25" t="inlineStr">
        <is>
          <t>IA-PPWR-STM-ST-024-STD-01-R00</t>
        </is>
      </c>
    </row>
    <row r="32">
      <c r="A32" s="25" t="inlineStr">
        <is>
          <t>ST-027-STD90-01</t>
        </is>
      </c>
      <c r="B32" s="25" t="inlineStr">
        <is>
          <t>IA-ST-027-STD90-01</t>
        </is>
      </c>
      <c r="C32" s="25" t="inlineStr">
        <is>
          <t>IA-ST-CFG-0043</t>
        </is>
      </c>
      <c r="D32" s="25" t="inlineStr">
        <is>
          <t>STARTER</t>
        </is>
      </c>
      <c r="E32" s="25" t="inlineStr">
        <is>
          <t>TANK | TANK PVC üst kapak (4000493): 27 adet | Çember (4000450): 7 m</t>
        </is>
      </c>
      <c r="F32" s="25" t="inlineStr">
        <is>
          <t>TANK | TANK PVC üst kapak (4000493): 27 adet | Çember (4000450): 7 m</t>
        </is>
      </c>
      <c r="G32" s="25" t="inlineStr">
        <is>
          <t>TANK | TANK PVC upper cover (4000493): 27 pcs | Strap (4000450): 7 m</t>
        </is>
      </c>
      <c r="H32" s="25" t="n">
        <v>25.58996</v>
      </c>
      <c r="I32" s="25" t="n">
        <v>1</v>
      </c>
      <c r="J32" s="25" t="n">
        <v>8</v>
      </c>
      <c r="K32" s="25" t="inlineStr">
        <is>
          <t>IA-PPWR-TF-ST-027-STD90-01-R00</t>
        </is>
      </c>
      <c r="L32" s="25" t="inlineStr">
        <is>
          <t>IA-PPWR-DOC-ST-027-STD90-01-R00</t>
        </is>
      </c>
      <c r="M32" s="25" t="inlineStr">
        <is>
          <t>IA-PPWR-LBL-ST-027-STD90-01-R00</t>
        </is>
      </c>
      <c r="N32" s="25" t="inlineStr">
        <is>
          <t>IA-PPWR-STM-ST-027-STD90-01-R00</t>
        </is>
      </c>
    </row>
    <row r="33">
      <c r="A33" s="25" t="inlineStr">
        <is>
          <t>ST-027-STD90-02</t>
        </is>
      </c>
      <c r="B33" s="25" t="inlineStr">
        <is>
          <t>IA-ST-027-STD90-02</t>
        </is>
      </c>
      <c r="C33" s="25" t="inlineStr">
        <is>
          <t>IA-ST-CFG-0044</t>
        </is>
      </c>
      <c r="D33" s="25" t="inlineStr">
        <is>
          <t>STARTER</t>
        </is>
      </c>
      <c r="E33" s="25" t="inlineStr">
        <is>
          <t>TANK | TANK PVC üst kapak (4000493): 27 adet | Çember (4000450): kullanılmaz</t>
        </is>
      </c>
      <c r="F33" s="25" t="inlineStr">
        <is>
          <t>TANK | TANK PVC üst kapak (4000493): 27 adet | Çember (4000450): kullanılmaz</t>
        </is>
      </c>
      <c r="G33" s="25" t="inlineStr">
        <is>
          <t>TANK | TANK PVC upper cover (4000493): 27 pcs | Strap (4000450): not used</t>
        </is>
      </c>
      <c r="H33" s="25" t="n">
        <v>25.50316</v>
      </c>
      <c r="I33" s="25" t="n">
        <v>1</v>
      </c>
      <c r="J33" s="25" t="n">
        <v>7</v>
      </c>
      <c r="K33" s="25" t="inlineStr">
        <is>
          <t>IA-PPWR-TF-ST-027-STD90-02-R00</t>
        </is>
      </c>
      <c r="L33" s="25" t="inlineStr">
        <is>
          <t>IA-PPWR-DOC-ST-027-STD90-02-R00</t>
        </is>
      </c>
      <c r="M33" s="25" t="inlineStr">
        <is>
          <t>IA-PPWR-LBL-ST-027-STD90-02-R00</t>
        </is>
      </c>
      <c r="N33" s="25" t="inlineStr">
        <is>
          <t>IA-PPWR-STM-ST-027-STD90-02-R00</t>
        </is>
      </c>
    </row>
    <row r="34">
      <c r="A34" s="25" t="inlineStr">
        <is>
          <t>ST-028-STD-01</t>
        </is>
      </c>
      <c r="B34" s="25" t="inlineStr">
        <is>
          <t>IA-ST-028-STD-01</t>
        </is>
      </c>
      <c r="C34" s="25" t="inlineStr">
        <is>
          <t>IA-ST-CFG-0045</t>
        </is>
      </c>
      <c r="D34" s="25" t="inlineStr">
        <is>
          <t>STARTER</t>
        </is>
      </c>
      <c r="E34" s="25" t="inlineStr">
        <is>
          <t>L6 | Palet (4000037): 1 adet | Shrink film (4000608): 1.12 kg</t>
        </is>
      </c>
      <c r="F34" s="25" t="inlineStr">
        <is>
          <t>L6 | Palet (4000037): 1 adet | Shrink film (4000608): 1.12 kg</t>
        </is>
      </c>
      <c r="G34" s="25" t="inlineStr">
        <is>
          <t>L6 | Pallet (4000037): 1 pc | Shrink film (4000608): 1.12 kg</t>
        </is>
      </c>
      <c r="H34" s="25" t="n">
        <v>29.056</v>
      </c>
      <c r="I34" s="25" t="n">
        <v>1</v>
      </c>
      <c r="J34" s="25" t="n">
        <v>7</v>
      </c>
      <c r="K34" s="25" t="inlineStr">
        <is>
          <t>IA-PPWR-TF-ST-028-STD-01-R00</t>
        </is>
      </c>
      <c r="L34" s="25" t="inlineStr">
        <is>
          <t>IA-PPWR-DOC-ST-028-STD-01-R00</t>
        </is>
      </c>
      <c r="M34" s="25" t="inlineStr">
        <is>
          <t>IA-PPWR-LBL-ST-028-STD-01-R00</t>
        </is>
      </c>
      <c r="N34" s="25" t="inlineStr">
        <is>
          <t>IA-PPWR-STM-ST-028-STD-01-R00</t>
        </is>
      </c>
    </row>
    <row r="35">
      <c r="A35" s="25" t="inlineStr">
        <is>
          <t>ST-030-STD-01</t>
        </is>
      </c>
      <c r="B35" s="25" t="inlineStr">
        <is>
          <t>IA-ST-030-STD-01</t>
        </is>
      </c>
      <c r="C35" s="25" t="inlineStr">
        <is>
          <t>IA-ST-CFG-0046</t>
        </is>
      </c>
      <c r="D35" s="25" t="inlineStr">
        <is>
          <t>STARTER</t>
        </is>
      </c>
      <c r="E35" s="25" t="inlineStr">
        <is>
          <t>L5 | Palet (4000037): 1 adet | Shrink film (4000608): 1.2 kg</t>
        </is>
      </c>
      <c r="F35" s="25" t="inlineStr">
        <is>
          <t>L5 | Palet (4000037): 1 adet | Shrink film (4000608): 1.2 kg</t>
        </is>
      </c>
      <c r="G35" s="25" t="inlineStr">
        <is>
          <t>L5 | Pallet (4000037): 1 pc | Shrink film (4000608): 1.2 kg</t>
        </is>
      </c>
      <c r="H35" s="25" t="n">
        <v>29.136</v>
      </c>
      <c r="I35" s="25" t="n">
        <v>1</v>
      </c>
      <c r="J35" s="25" t="n">
        <v>7</v>
      </c>
      <c r="K35" s="25" t="inlineStr">
        <is>
          <t>IA-PPWR-TF-ST-030-STD-01-R00</t>
        </is>
      </c>
      <c r="L35" s="25" t="inlineStr">
        <is>
          <t>IA-PPWR-DOC-ST-030-STD-01-R00</t>
        </is>
      </c>
      <c r="M35" s="25" t="inlineStr">
        <is>
          <t>IA-PPWR-LBL-ST-030-STD-01-R00</t>
        </is>
      </c>
      <c r="N35" s="25" t="inlineStr">
        <is>
          <t>IA-PPWR-STM-ST-030-STD-01-R00</t>
        </is>
      </c>
    </row>
    <row r="36">
      <c r="A36" s="25" t="inlineStr">
        <is>
          <t>ST-030-STD-02</t>
        </is>
      </c>
      <c r="B36" s="25" t="inlineStr">
        <is>
          <t>IA-ST-030-STD-02</t>
        </is>
      </c>
      <c r="C36" s="25" t="inlineStr">
        <is>
          <t>IA-ST-CFG-0047</t>
        </is>
      </c>
      <c r="D36" s="25" t="inlineStr">
        <is>
          <t>STARTER</t>
        </is>
      </c>
      <c r="E36" s="25" t="inlineStr">
        <is>
          <t>A | Palet (4000037): 1 adet | Shrink film (4000557): 1.65 kg | Köşebent (4000590): 4 adet</t>
        </is>
      </c>
      <c r="F36" s="25" t="inlineStr">
        <is>
          <t>A | Palet (4000037): 1 adet | Shrink film (4000557): 1.65 kg | Köşebent (4000590): 4 adet</t>
        </is>
      </c>
      <c r="G36" s="25" t="inlineStr">
        <is>
          <t>A | Pallet (4000037): 1 pc | Shrink film (4000557): 1.65 kg | Edge protector (4000590): 4 pcs</t>
        </is>
      </c>
      <c r="H36" s="25" t="n">
        <v>31.986</v>
      </c>
      <c r="I36" s="25" t="n">
        <v>2</v>
      </c>
      <c r="J36" s="25" t="n">
        <v>8</v>
      </c>
      <c r="K36" s="25" t="inlineStr">
        <is>
          <t>IA-PPWR-TF-ST-030-STD-02-R00</t>
        </is>
      </c>
      <c r="L36" s="25" t="inlineStr">
        <is>
          <t>IA-PPWR-DOC-ST-030-STD-02-R00</t>
        </is>
      </c>
      <c r="M36" s="25" t="inlineStr">
        <is>
          <t>IA-PPWR-LBL-ST-030-STD-02-R00</t>
        </is>
      </c>
      <c r="N36" s="25" t="inlineStr">
        <is>
          <t>IA-PPWR-STM-ST-030-STD-02-R00</t>
        </is>
      </c>
    </row>
    <row r="37">
      <c r="A37" s="25" t="inlineStr">
        <is>
          <t>ST-030-STD-03</t>
        </is>
      </c>
      <c r="B37" s="25" t="inlineStr">
        <is>
          <t>IA-ST-030-STD-03</t>
        </is>
      </c>
      <c r="C37" s="25" t="inlineStr">
        <is>
          <t>IA-ST-CFG-0048</t>
        </is>
      </c>
      <c r="D37" s="25" t="inlineStr">
        <is>
          <t>STARTER</t>
        </is>
      </c>
      <c r="E37" s="25" t="inlineStr">
        <is>
          <t>B | Palet (4000037): 1 adet | Shrink film (4000557): 1.65 kg | Köşebent (4000590): 4 adet</t>
        </is>
      </c>
      <c r="F37" s="25" t="inlineStr">
        <is>
          <t>B | Palet (4000037): 1 adet | Shrink film (4000557): 1.65 kg | Köşebent (4000590): 4 adet</t>
        </is>
      </c>
      <c r="G37" s="25" t="inlineStr">
        <is>
          <t>B | Pallet (4000037): 1 pc | Shrink film (4000557): 1.65 kg | Edge protector (4000590): 4 pcs</t>
        </is>
      </c>
      <c r="H37" s="25" t="n">
        <v>32.676</v>
      </c>
      <c r="I37" s="25" t="n">
        <v>2</v>
      </c>
      <c r="J37" s="25" t="n">
        <v>8</v>
      </c>
      <c r="K37" s="25" t="inlineStr">
        <is>
          <t>IA-PPWR-TF-ST-030-STD-03-R00</t>
        </is>
      </c>
      <c r="L37" s="25" t="inlineStr">
        <is>
          <t>IA-PPWR-DOC-ST-030-STD-03-R00</t>
        </is>
      </c>
      <c r="M37" s="25" t="inlineStr">
        <is>
          <t>IA-PPWR-LBL-ST-030-STD-03-R00</t>
        </is>
      </c>
      <c r="N37" s="25" t="inlineStr">
        <is>
          <t>IA-PPWR-STM-ST-030-STD-03-R00</t>
        </is>
      </c>
    </row>
    <row r="38">
      <c r="A38" s="25" t="inlineStr">
        <is>
          <t>ST-030-STD-04</t>
        </is>
      </c>
      <c r="B38" s="25" t="inlineStr">
        <is>
          <t>IA-ST-030-STD-04</t>
        </is>
      </c>
      <c r="C38" s="25" t="inlineStr">
        <is>
          <t>IA-ST-CFG-0049</t>
        </is>
      </c>
      <c r="D38" s="25" t="inlineStr">
        <is>
          <t>STARTER</t>
        </is>
      </c>
      <c r="E38" s="25" t="inlineStr">
        <is>
          <t>A | Palet (4000037): 1 adet | Shrink film (4000557): kullanılmaz | Köşebent (4000590): 4 adet</t>
        </is>
      </c>
      <c r="F38" s="25" t="inlineStr">
        <is>
          <t>A | Palet (4000037): 1 adet | Shrink film (4000557): kullanılmaz | Köşebent (4000590): 4 adet</t>
        </is>
      </c>
      <c r="G38" s="25" t="inlineStr">
        <is>
          <t>A | Pallet (4000037): 1 pc | Shrink film (4000557): not used | Edge protector (4000590): 4 pcs</t>
        </is>
      </c>
      <c r="H38" s="25" t="n">
        <v>30.336</v>
      </c>
      <c r="I38" s="25" t="n">
        <v>2</v>
      </c>
      <c r="J38" s="25" t="n">
        <v>7</v>
      </c>
      <c r="K38" s="25" t="inlineStr">
        <is>
          <t>IA-PPWR-TF-ST-030-STD-04-R00</t>
        </is>
      </c>
      <c r="L38" s="25" t="inlineStr">
        <is>
          <t>IA-PPWR-DOC-ST-030-STD-04-R00</t>
        </is>
      </c>
      <c r="M38" s="25" t="inlineStr">
        <is>
          <t>IA-PPWR-LBL-ST-030-STD-04-R00</t>
        </is>
      </c>
      <c r="N38" s="25" t="inlineStr">
        <is>
          <t>IA-PPWR-STM-ST-030-STD-04-R00</t>
        </is>
      </c>
    </row>
    <row r="39">
      <c r="A39" s="25" t="inlineStr">
        <is>
          <t>ST-030-STD-05</t>
        </is>
      </c>
      <c r="B39" s="25" t="inlineStr">
        <is>
          <t>IA-ST-030-STD-05</t>
        </is>
      </c>
      <c r="C39" s="25" t="inlineStr">
        <is>
          <t>IA-ST-CFG-0051</t>
        </is>
      </c>
      <c r="D39" s="25" t="inlineStr">
        <is>
          <t>STARTER</t>
        </is>
      </c>
      <c r="E39" s="25" t="inlineStr">
        <is>
          <t>A | Palet (4000037): 1 adet | Köşebent (4000590): 2 adet</t>
        </is>
      </c>
      <c r="F39" s="25" t="inlineStr">
        <is>
          <t>A | Palet (4000037): 1 adet | Köşebent (4000590): 2 adet</t>
        </is>
      </c>
      <c r="G39" s="25" t="inlineStr">
        <is>
          <t>A | Pallet (4000037): 1 pc | Edge protector (4000590): 2 pcs</t>
        </is>
      </c>
      <c r="H39" s="25" t="n">
        <v>31.6992</v>
      </c>
      <c r="I39" s="25" t="n">
        <v>34</v>
      </c>
      <c r="J39" s="25" t="n">
        <v>8</v>
      </c>
      <c r="K39" s="25" t="inlineStr">
        <is>
          <t>IA-PPWR-TF-ST-030-STD-05-R00</t>
        </is>
      </c>
      <c r="L39" s="25" t="inlineStr">
        <is>
          <t>IA-PPWR-DOC-ST-030-STD-05-R00</t>
        </is>
      </c>
      <c r="M39" s="25" t="inlineStr">
        <is>
          <t>IA-PPWR-LBL-ST-030-STD-05-R00</t>
        </is>
      </c>
      <c r="N39" s="25" t="inlineStr">
        <is>
          <t>IA-PPWR-STM-ST-030-STD-05-R00</t>
        </is>
      </c>
    </row>
    <row r="40">
      <c r="A40" s="25" t="inlineStr">
        <is>
          <t>ST-030-STD-06</t>
        </is>
      </c>
      <c r="B40" s="25" t="inlineStr">
        <is>
          <t>IA-ST-030-STD-06</t>
        </is>
      </c>
      <c r="C40" s="25" t="inlineStr">
        <is>
          <t>IA-ST-CFG-0052</t>
        </is>
      </c>
      <c r="D40" s="25" t="inlineStr">
        <is>
          <t>STARTER</t>
        </is>
      </c>
      <c r="E40" s="25" t="inlineStr">
        <is>
          <t>B | Palet (4000037): 1 adet | Köşebent (4000590): 2 adet</t>
        </is>
      </c>
      <c r="F40" s="25" t="inlineStr">
        <is>
          <t>B | Palet (4000037): 1 adet | Köşebent (4000590): 2 adet</t>
        </is>
      </c>
      <c r="G40" s="25" t="inlineStr">
        <is>
          <t>B | Pallet (4000037): 1 pc | Edge protector (4000590): 2 pcs</t>
        </is>
      </c>
      <c r="H40" s="25" t="n">
        <v>32.3892</v>
      </c>
      <c r="I40" s="25" t="n">
        <v>59</v>
      </c>
      <c r="J40" s="25" t="n">
        <v>8</v>
      </c>
      <c r="K40" s="25" t="inlineStr">
        <is>
          <t>IA-PPWR-TF-ST-030-STD-06-R00</t>
        </is>
      </c>
      <c r="L40" s="25" t="inlineStr">
        <is>
          <t>IA-PPWR-DOC-ST-030-STD-06-R00</t>
        </is>
      </c>
      <c r="M40" s="25" t="inlineStr">
        <is>
          <t>IA-PPWR-LBL-ST-030-STD-06-R00</t>
        </is>
      </c>
      <c r="N40" s="25" t="inlineStr">
        <is>
          <t>IA-PPWR-STM-ST-030-STD-06-R00</t>
        </is>
      </c>
    </row>
    <row r="41">
      <c r="A41" s="25" t="inlineStr">
        <is>
          <t>ST-030-STD-07</t>
        </is>
      </c>
      <c r="B41" s="25" t="inlineStr">
        <is>
          <t>IA-ST-030-STD-07</t>
        </is>
      </c>
      <c r="C41" s="25" t="inlineStr">
        <is>
          <t>IA-ST-CFG-0053</t>
        </is>
      </c>
      <c r="D41" s="25" t="inlineStr">
        <is>
          <t>STARTER</t>
        </is>
      </c>
      <c r="E41" s="25" t="inlineStr">
        <is>
          <t>B | Palet (4000037): 1 adet | Çember (4000450): 7 m | Köşebent (4000590): 4 adet</t>
        </is>
      </c>
      <c r="F41" s="25" t="inlineStr">
        <is>
          <t>B | Palet (4000037): 1 adet | Çember (4000450): 7 m | Köşebent (4000590): 4 adet</t>
        </is>
      </c>
      <c r="G41" s="25" t="inlineStr">
        <is>
          <t>B | Pallet (4000037): 1 pc | Strap (4000450): 7 m | Edge protector (4000590): 4 pcs</t>
        </is>
      </c>
      <c r="H41" s="25" t="n">
        <v>30.9392</v>
      </c>
      <c r="I41" s="25" t="n">
        <v>1</v>
      </c>
      <c r="J41" s="25" t="n">
        <v>7</v>
      </c>
      <c r="K41" s="25" t="inlineStr">
        <is>
          <t>IA-PPWR-TF-ST-030-STD-07-R00</t>
        </is>
      </c>
      <c r="L41" s="25" t="inlineStr">
        <is>
          <t>IA-PPWR-DOC-ST-030-STD-07-R00</t>
        </is>
      </c>
      <c r="M41" s="25" t="inlineStr">
        <is>
          <t>IA-PPWR-LBL-ST-030-STD-07-R00</t>
        </is>
      </c>
      <c r="N41" s="25" t="inlineStr">
        <is>
          <t>IA-PPWR-STM-ST-030-STD-07-R00</t>
        </is>
      </c>
    </row>
    <row r="42">
      <c r="A42" s="25" t="inlineStr">
        <is>
          <t>ST-030-STD-08</t>
        </is>
      </c>
      <c r="B42" s="25" t="inlineStr">
        <is>
          <t>IA-ST-030-STD-08</t>
        </is>
      </c>
      <c r="C42" s="25" t="inlineStr">
        <is>
          <t>IA-ST-CFG-0054</t>
        </is>
      </c>
      <c r="D42" s="25" t="inlineStr">
        <is>
          <t>STARTER</t>
        </is>
      </c>
      <c r="E42" s="25" t="inlineStr">
        <is>
          <t>A | Palet (4000037): 1 adet | Çember (4000450): kullanılmaz</t>
        </is>
      </c>
      <c r="F42" s="25" t="inlineStr">
        <is>
          <t>A | Palet (4000037): 1 adet | Çember (4000450): kullanılmaz</t>
        </is>
      </c>
      <c r="G42" s="25" t="inlineStr">
        <is>
          <t>A | Pallet (4000037): 1 pc | Strap (4000450): not used</t>
        </is>
      </c>
      <c r="H42" s="25" t="n">
        <v>31.4124</v>
      </c>
      <c r="I42" s="25" t="n">
        <v>13</v>
      </c>
      <c r="J42" s="25" t="n">
        <v>6</v>
      </c>
      <c r="K42" s="25" t="inlineStr">
        <is>
          <t>IA-PPWR-TF-ST-030-STD-08-R00</t>
        </is>
      </c>
      <c r="L42" s="25" t="inlineStr">
        <is>
          <t>IA-PPWR-DOC-ST-030-STD-08-R00</t>
        </is>
      </c>
      <c r="M42" s="25" t="inlineStr">
        <is>
          <t>IA-PPWR-LBL-ST-030-STD-08-R00</t>
        </is>
      </c>
      <c r="N42" s="25" t="inlineStr">
        <is>
          <t>IA-PPWR-STM-ST-030-STD-08-R00</t>
        </is>
      </c>
    </row>
    <row r="43">
      <c r="A43" s="25" t="inlineStr">
        <is>
          <t>ST-030-STD-09</t>
        </is>
      </c>
      <c r="B43" s="25" t="inlineStr">
        <is>
          <t>IA-ST-030-STD-09</t>
        </is>
      </c>
      <c r="C43" s="25" t="inlineStr">
        <is>
          <t>IA-ST-CFG-0055</t>
        </is>
      </c>
      <c r="D43" s="25" t="inlineStr">
        <is>
          <t>STARTER</t>
        </is>
      </c>
      <c r="E43" s="25" t="inlineStr">
        <is>
          <t>B | Palet (4000037): 1 adet | Çember (4000450): kullanılmaz</t>
        </is>
      </c>
      <c r="F43" s="25" t="inlineStr">
        <is>
          <t>B | Palet (4000037): 1 adet | Çember (4000450): kullanılmaz</t>
        </is>
      </c>
      <c r="G43" s="25" t="inlineStr">
        <is>
          <t>B | Pallet (4000037): 1 pc | Strap (4000450): not used</t>
        </is>
      </c>
      <c r="H43" s="25" t="n">
        <v>32.1024</v>
      </c>
      <c r="I43" s="25" t="n">
        <v>20</v>
      </c>
      <c r="J43" s="25" t="n">
        <v>6</v>
      </c>
      <c r="K43" s="25" t="inlineStr">
        <is>
          <t>IA-PPWR-TF-ST-030-STD-09-R00</t>
        </is>
      </c>
      <c r="L43" s="25" t="inlineStr">
        <is>
          <t>IA-PPWR-DOC-ST-030-STD-09-R00</t>
        </is>
      </c>
      <c r="M43" s="25" t="inlineStr">
        <is>
          <t>IA-PPWR-LBL-ST-030-STD-09-R00</t>
        </is>
      </c>
      <c r="N43" s="25" t="inlineStr">
        <is>
          <t>IA-PPWR-STM-ST-030-STD-09-R00</t>
        </is>
      </c>
    </row>
    <row r="44">
      <c r="A44" s="25" t="inlineStr">
        <is>
          <t>ST-030-STD-10</t>
        </is>
      </c>
      <c r="B44" s="25" t="inlineStr">
        <is>
          <t>IA-ST-030-STD-10</t>
        </is>
      </c>
      <c r="C44" s="25" t="inlineStr">
        <is>
          <t>IA-ST-CFG-0056</t>
        </is>
      </c>
      <c r="D44" s="25" t="inlineStr">
        <is>
          <t>STARTER</t>
        </is>
      </c>
      <c r="E44" s="25" t="inlineStr">
        <is>
          <t>A | Palet (4000037): 1 adet | Shrink film (4001177): 0.597 kg</t>
        </is>
      </c>
      <c r="F44" s="25" t="inlineStr">
        <is>
          <t>A | Palet (4000037): 1 adet | Shrink film (4001177): 0.597 kg</t>
        </is>
      </c>
      <c r="G44" s="25" t="inlineStr">
        <is>
          <t>A | Pallet (4000037): 1 pc | Shrink film (4001177): 0.597 kg</t>
        </is>
      </c>
      <c r="H44" s="25" t="n">
        <v>30.467</v>
      </c>
      <c r="I44" s="25" t="n">
        <v>2</v>
      </c>
      <c r="J44" s="25" t="n">
        <v>7</v>
      </c>
      <c r="K44" s="25" t="inlineStr">
        <is>
          <t>IA-PPWR-TF-ST-030-STD-10-R00</t>
        </is>
      </c>
      <c r="L44" s="25" t="inlineStr">
        <is>
          <t>IA-PPWR-DOC-ST-030-STD-10-R00</t>
        </is>
      </c>
      <c r="M44" s="25" t="inlineStr">
        <is>
          <t>IA-PPWR-LBL-ST-030-STD-10-R00</t>
        </is>
      </c>
      <c r="N44" s="25" t="inlineStr">
        <is>
          <t>IA-PPWR-STM-ST-030-STD-10-R00</t>
        </is>
      </c>
    </row>
    <row r="45">
      <c r="A45" s="25" t="inlineStr">
        <is>
          <t>ST-030-STD-11</t>
        </is>
      </c>
      <c r="B45" s="25" t="inlineStr">
        <is>
          <t>IA-ST-030-STD-11</t>
        </is>
      </c>
      <c r="C45" s="25" t="inlineStr">
        <is>
          <t>IA-ST-CFG-0057</t>
        </is>
      </c>
      <c r="D45" s="25" t="inlineStr">
        <is>
          <t>STARTER</t>
        </is>
      </c>
      <c r="E45" s="25" t="inlineStr">
        <is>
          <t>B | Palet (4000037): 1 adet | Shrink film (4001177): 0.597 kg</t>
        </is>
      </c>
      <c r="F45" s="25" t="inlineStr">
        <is>
          <t>B | Palet (4000037): 1 adet | Shrink film (4001177): 0.597 kg</t>
        </is>
      </c>
      <c r="G45" s="25" t="inlineStr">
        <is>
          <t>B | Pallet (4000037): 1 pc | Shrink film (4001177): 0.597 kg</t>
        </is>
      </c>
      <c r="H45" s="25" t="n">
        <v>31.157</v>
      </c>
      <c r="I45" s="25" t="n">
        <v>3</v>
      </c>
      <c r="J45" s="25" t="n">
        <v>7</v>
      </c>
      <c r="K45" s="25" t="inlineStr">
        <is>
          <t>IA-PPWR-TF-ST-030-STD-11-R00</t>
        </is>
      </c>
      <c r="L45" s="25" t="inlineStr">
        <is>
          <t>IA-PPWR-DOC-ST-030-STD-11-R00</t>
        </is>
      </c>
      <c r="M45" s="25" t="inlineStr">
        <is>
          <t>IA-PPWR-LBL-ST-030-STD-11-R00</t>
        </is>
      </c>
      <c r="N45" s="25" t="inlineStr">
        <is>
          <t>IA-PPWR-STM-ST-030-STD-11-R00</t>
        </is>
      </c>
    </row>
    <row r="46">
      <c r="A46" s="25" t="inlineStr">
        <is>
          <t>ST-033-EUR-01</t>
        </is>
      </c>
      <c r="B46" s="25" t="inlineStr">
        <is>
          <t>IA-ST-033-EUR-01</t>
        </is>
      </c>
      <c r="C46" s="25" t="inlineStr">
        <is>
          <t>IA-ST-CFG-0058</t>
        </is>
      </c>
      <c r="D46" s="25" t="inlineStr">
        <is>
          <t>STARTER</t>
        </is>
      </c>
      <c r="E46" s="25" t="inlineStr">
        <is>
          <t>L6 | Palet (4000038): 1 adet | Köşebent (4000590): 4 adet</t>
        </is>
      </c>
      <c r="F46" s="25" t="inlineStr">
        <is>
          <t>L6 | Palet (4000038): 1 adet | Köşebent (4000590): 4 adet</t>
        </is>
      </c>
      <c r="G46" s="25" t="inlineStr">
        <is>
          <t>L6 | Pallet (4000038): 1 pc | Edge protector (4000590): 4 pcs</t>
        </is>
      </c>
      <c r="H46" s="25" t="n">
        <v>27.926</v>
      </c>
      <c r="I46" s="25" t="n">
        <v>3</v>
      </c>
      <c r="J46" s="25" t="n">
        <v>6</v>
      </c>
      <c r="K46" s="25" t="inlineStr">
        <is>
          <t>IA-PPWR-TF-ST-033-EUR-01-R00</t>
        </is>
      </c>
      <c r="L46" s="25" t="inlineStr">
        <is>
          <t>IA-PPWR-DOC-ST-033-EUR-01-R00</t>
        </is>
      </c>
      <c r="M46" s="25" t="inlineStr">
        <is>
          <t>IA-PPWR-LBL-ST-033-EUR-01-R00</t>
        </is>
      </c>
      <c r="N46" s="25" t="inlineStr">
        <is>
          <t>IA-PPWR-STM-ST-033-EUR-01-R00</t>
        </is>
      </c>
    </row>
    <row r="47">
      <c r="A47" s="25" t="inlineStr">
        <is>
          <t>ST-034-STD-01</t>
        </is>
      </c>
      <c r="B47" s="25" t="inlineStr">
        <is>
          <t>IA-ST-034-STD-01</t>
        </is>
      </c>
      <c r="C47" s="25" t="inlineStr">
        <is>
          <t>IA-ST-CFG-0059</t>
        </is>
      </c>
      <c r="D47" s="25" t="inlineStr">
        <is>
          <t>STARTER</t>
        </is>
      </c>
      <c r="E47" s="25" t="inlineStr">
        <is>
          <t>D31 | D31 YUASA penceresiz Orta Doğu dış koli (4001108): 34 adet</t>
        </is>
      </c>
      <c r="F47" s="25" t="inlineStr">
        <is>
          <t>D31 | D31 YUASA penceresiz Orta Doğu dış koli (4001108): 34 adet</t>
        </is>
      </c>
      <c r="G47" s="25" t="inlineStr">
        <is>
          <t>D31 | D31 YUASA windowless Middle East outer carton (4001108): 34 pcs</t>
        </is>
      </c>
      <c r="H47" s="25" t="n">
        <v>40.7776</v>
      </c>
      <c r="I47" s="25" t="n">
        <v>2</v>
      </c>
      <c r="J47" s="25" t="n">
        <v>8</v>
      </c>
      <c r="K47" s="25" t="inlineStr">
        <is>
          <t>IA-PPWR-TF-ST-034-STD-01-R00</t>
        </is>
      </c>
      <c r="L47" s="25" t="inlineStr">
        <is>
          <t>IA-PPWR-DOC-ST-034-STD-01-R00</t>
        </is>
      </c>
      <c r="M47" s="25" t="inlineStr">
        <is>
          <t>IA-PPWR-LBL-ST-034-STD-01-R00</t>
        </is>
      </c>
      <c r="N47" s="25" t="inlineStr">
        <is>
          <t>IA-PPWR-STM-ST-034-STD-01-R00</t>
        </is>
      </c>
    </row>
    <row r="48">
      <c r="A48" s="25" t="inlineStr">
        <is>
          <t>ST-034-STD-02</t>
        </is>
      </c>
      <c r="B48" s="25" t="inlineStr">
        <is>
          <t>IA-ST-034-STD-02</t>
        </is>
      </c>
      <c r="C48" s="25" t="inlineStr">
        <is>
          <t>IA-ST-CFG-0060</t>
        </is>
      </c>
      <c r="D48" s="25" t="inlineStr">
        <is>
          <t>STARTER</t>
        </is>
      </c>
      <c r="E48" s="25" t="inlineStr">
        <is>
          <t>L4 | L4 YUASA penceresiz Orta Doğu dış koli (4001313): 34 adet</t>
        </is>
      </c>
      <c r="F48" s="25" t="inlineStr">
        <is>
          <t>L4 | L4 YUASA penceresiz Orta Doğu dış koli (4001313): 34 adet</t>
        </is>
      </c>
      <c r="G48" s="25" t="inlineStr">
        <is>
          <t>L4 | L4 YUASA windowless Middle East outer carton (4001313): 34 pcs</t>
        </is>
      </c>
      <c r="H48" s="25" t="n">
        <v>37.296</v>
      </c>
      <c r="I48" s="25" t="n">
        <v>1</v>
      </c>
      <c r="J48" s="25" t="n">
        <v>7</v>
      </c>
      <c r="K48" s="25" t="inlineStr">
        <is>
          <t>IA-PPWR-TF-ST-034-STD-02-R00</t>
        </is>
      </c>
      <c r="L48" s="25" t="inlineStr">
        <is>
          <t>IA-PPWR-DOC-ST-034-STD-02-R00</t>
        </is>
      </c>
      <c r="M48" s="25" t="inlineStr">
        <is>
          <t>IA-PPWR-LBL-ST-034-STD-02-R00</t>
        </is>
      </c>
      <c r="N48" s="25" t="inlineStr">
        <is>
          <t>IA-PPWR-STM-ST-034-STD-02-R00</t>
        </is>
      </c>
    </row>
    <row r="49">
      <c r="A49" s="25" t="inlineStr">
        <is>
          <t>ST-036-EUR-01</t>
        </is>
      </c>
      <c r="B49" s="25" t="inlineStr">
        <is>
          <t>IA-ST-036-EUR-01</t>
        </is>
      </c>
      <c r="C49" s="25" t="inlineStr">
        <is>
          <t>IA-ST-CFG-0062</t>
        </is>
      </c>
      <c r="D49" s="25" t="inlineStr">
        <is>
          <t>STARTER</t>
        </is>
      </c>
      <c r="E49" s="25" t="inlineStr">
        <is>
          <t>L6 | L6 İnci AGM LEO 105AH940A pencereli dış koli (4001360): 36 adet</t>
        </is>
      </c>
      <c r="F49" s="25" t="inlineStr">
        <is>
          <t>L6 | L6 İnci AGM LEO 105AH940A pencereli dış koli (4001360): 36 adet</t>
        </is>
      </c>
      <c r="G49" s="25" t="inlineStr">
        <is>
          <t>L6 | L6 İnci AGM LEO 105AH940A windowed outer carton (4001360): 36 pcs</t>
        </is>
      </c>
      <c r="H49" s="25" t="n">
        <v>43.186</v>
      </c>
      <c r="I49" s="25" t="n">
        <v>1</v>
      </c>
      <c r="J49" s="25" t="n">
        <v>7</v>
      </c>
      <c r="K49" s="25" t="inlineStr">
        <is>
          <t>IA-PPWR-TF-ST-036-EUR-01-R00</t>
        </is>
      </c>
      <c r="L49" s="25" t="inlineStr">
        <is>
          <t>IA-PPWR-DOC-ST-036-EUR-01-R00</t>
        </is>
      </c>
      <c r="M49" s="25" t="inlineStr">
        <is>
          <t>IA-PPWR-LBL-ST-036-EUR-01-R00</t>
        </is>
      </c>
      <c r="N49" s="25" t="inlineStr">
        <is>
          <t>IA-PPWR-STM-ST-036-EUR-01-R00</t>
        </is>
      </c>
    </row>
    <row r="50">
      <c r="A50" s="25" t="inlineStr">
        <is>
          <t>ST-036-EUR-02</t>
        </is>
      </c>
      <c r="B50" s="25" t="inlineStr">
        <is>
          <t>IA-ST-036-EUR-02</t>
        </is>
      </c>
      <c r="C50" s="25" t="inlineStr">
        <is>
          <t>IA-ST-CFG-0065</t>
        </is>
      </c>
      <c r="D50" s="25" t="inlineStr">
        <is>
          <t>STARTER</t>
        </is>
      </c>
      <c r="E50" s="25" t="inlineStr">
        <is>
          <t>NS40 | Palet (4000038): 1 adet | EPS (4000573): 8 adet</t>
        </is>
      </c>
      <c r="F50" s="25" t="inlineStr">
        <is>
          <t>NS40 | Palet (4000038): 1 adet | EPS (4000573): 8 adet</t>
        </is>
      </c>
      <c r="G50" s="25" t="inlineStr">
        <is>
          <t>NS40 | Pallet (4000038): 1 pc | EPS (4000573): 8 pcs</t>
        </is>
      </c>
      <c r="H50" s="25" t="n">
        <v>27.942</v>
      </c>
      <c r="I50" s="25" t="n">
        <v>1</v>
      </c>
      <c r="J50" s="25" t="n">
        <v>7</v>
      </c>
      <c r="K50" s="25" t="inlineStr">
        <is>
          <t>IA-PPWR-TF-ST-036-EUR-02-R00</t>
        </is>
      </c>
      <c r="L50" s="25" t="inlineStr">
        <is>
          <t>IA-PPWR-DOC-ST-036-EUR-02-R00</t>
        </is>
      </c>
      <c r="M50" s="25" t="inlineStr">
        <is>
          <t>IA-PPWR-LBL-ST-036-EUR-02-R00</t>
        </is>
      </c>
      <c r="N50" s="25" t="inlineStr">
        <is>
          <t>IA-PPWR-STM-ST-036-EUR-02-R00</t>
        </is>
      </c>
    </row>
    <row r="51">
      <c r="A51" s="25" t="inlineStr">
        <is>
          <t>ST-036-EUR-03</t>
        </is>
      </c>
      <c r="B51" s="25" t="inlineStr">
        <is>
          <t>IA-ST-036-EUR-03</t>
        </is>
      </c>
      <c r="C51" s="25" t="inlineStr">
        <is>
          <t>IA-ST-CFG-0066</t>
        </is>
      </c>
      <c r="D51" s="25" t="inlineStr">
        <is>
          <t>STARTER</t>
        </is>
      </c>
      <c r="E51" s="25" t="inlineStr">
        <is>
          <t>L6, L5 | Palet (4000038): 1 adet | Köşebent (4000590): 4 adet</t>
        </is>
      </c>
      <c r="F51" s="25" t="inlineStr">
        <is>
          <t>L6, L5 | Palet (4000038): 1 adet | Köşebent (4000590): 4 adet</t>
        </is>
      </c>
      <c r="G51" s="25" t="inlineStr">
        <is>
          <t>L6, L5 | Pallet (4000038): 1 pc | Edge protector (4000590): 4 pcs</t>
        </is>
      </c>
      <c r="H51" s="25" t="n">
        <v>29.366</v>
      </c>
      <c r="I51" s="25" t="n">
        <v>7</v>
      </c>
      <c r="J51" s="25" t="n">
        <v>7</v>
      </c>
      <c r="K51" s="25" t="inlineStr">
        <is>
          <t>IA-PPWR-TF-ST-036-EUR-03-R00</t>
        </is>
      </c>
      <c r="L51" s="25" t="inlineStr">
        <is>
          <t>IA-PPWR-DOC-ST-036-EUR-03-R00</t>
        </is>
      </c>
      <c r="M51" s="25" t="inlineStr">
        <is>
          <t>IA-PPWR-LBL-ST-036-EUR-03-R00</t>
        </is>
      </c>
      <c r="N51" s="25" t="inlineStr">
        <is>
          <t>IA-PPWR-STM-ST-036-EUR-03-R00</t>
        </is>
      </c>
    </row>
    <row r="52">
      <c r="A52" s="25" t="inlineStr">
        <is>
          <t>ST-036-EUR-04</t>
        </is>
      </c>
      <c r="B52" s="25" t="inlineStr">
        <is>
          <t>IA-ST-036-EUR-04</t>
        </is>
      </c>
      <c r="C52" s="25" t="inlineStr">
        <is>
          <t>IA-ST-CFG-0068</t>
        </is>
      </c>
      <c r="D52" s="25" t="inlineStr">
        <is>
          <t>STARTER</t>
        </is>
      </c>
      <c r="E52" s="25" t="inlineStr">
        <is>
          <t>L5, L6, LB5 | Palet (4000038): 1 adet | Köşebent (4000590): 4 adet</t>
        </is>
      </c>
      <c r="F52" s="25" t="inlineStr">
        <is>
          <t>L5, L6, LB5 | Palet (4000038): 1 adet | Köşebent (4000590): 4 adet</t>
        </is>
      </c>
      <c r="G52" s="25" t="inlineStr">
        <is>
          <t>L5, L6, LB5 | Pallet (4000038): 1 pc | Edge protector (4000590): 4 pcs</t>
        </is>
      </c>
      <c r="H52" s="25" t="n">
        <v>27.926</v>
      </c>
      <c r="I52" s="25" t="n">
        <v>27</v>
      </c>
      <c r="J52" s="25" t="n">
        <v>6</v>
      </c>
      <c r="K52" s="25" t="inlineStr">
        <is>
          <t>IA-PPWR-TF-ST-036-EUR-04-R00</t>
        </is>
      </c>
      <c r="L52" s="25" t="inlineStr">
        <is>
          <t>IA-PPWR-DOC-ST-036-EUR-04-R00</t>
        </is>
      </c>
      <c r="M52" s="25" t="inlineStr">
        <is>
          <t>IA-PPWR-LBL-ST-036-EUR-04-R00</t>
        </is>
      </c>
      <c r="N52" s="25" t="inlineStr">
        <is>
          <t>IA-PPWR-STM-ST-036-EUR-04-R00</t>
        </is>
      </c>
    </row>
    <row r="53">
      <c r="A53" s="25" t="inlineStr">
        <is>
          <t>ST-036-EUR-05</t>
        </is>
      </c>
      <c r="B53" s="25" t="inlineStr">
        <is>
          <t>IA-ST-036-EUR-05</t>
        </is>
      </c>
      <c r="C53" s="25" t="inlineStr">
        <is>
          <t>IA-ST-CFG-0070</t>
        </is>
      </c>
      <c r="D53" s="25" t="inlineStr">
        <is>
          <t>STARTER</t>
        </is>
      </c>
      <c r="E53" s="25" t="inlineStr">
        <is>
          <t>TRACTORL | TRAKTÖR PVC üst kapak (4000494): 36 adet</t>
        </is>
      </c>
      <c r="F53" s="25" t="inlineStr">
        <is>
          <t>TRACTORL | TRAKTÖR PVC üst kapak (4000494): 36 adet</t>
        </is>
      </c>
      <c r="G53" s="25" t="inlineStr">
        <is>
          <t>TRACTORL | TRAKTÖR PVC upper cover (4000494): 36 pcs</t>
        </is>
      </c>
      <c r="H53" s="25" t="n">
        <v>31.98368</v>
      </c>
      <c r="I53" s="25" t="n">
        <v>3</v>
      </c>
      <c r="J53" s="25" t="n">
        <v>8</v>
      </c>
      <c r="K53" s="25" t="inlineStr">
        <is>
          <t>IA-PPWR-TF-ST-036-EUR-05-R00</t>
        </is>
      </c>
      <c r="L53" s="25" t="inlineStr">
        <is>
          <t>IA-PPWR-DOC-ST-036-EUR-05-R00</t>
        </is>
      </c>
      <c r="M53" s="25" t="inlineStr">
        <is>
          <t>IA-PPWR-LBL-ST-036-EUR-05-R00</t>
        </is>
      </c>
      <c r="N53" s="25" t="inlineStr">
        <is>
          <t>IA-PPWR-STM-ST-036-EUR-05-R00</t>
        </is>
      </c>
    </row>
    <row r="54">
      <c r="A54" s="25" t="inlineStr">
        <is>
          <t>ST-036-EUR-06</t>
        </is>
      </c>
      <c r="B54" s="25" t="inlineStr">
        <is>
          <t>IA-ST-036-EUR-06</t>
        </is>
      </c>
      <c r="C54" s="25" t="inlineStr">
        <is>
          <t>IA-ST-CFG-0071</t>
        </is>
      </c>
      <c r="D54" s="25" t="inlineStr">
        <is>
          <t>STARTER</t>
        </is>
      </c>
      <c r="E54" s="25" t="inlineStr">
        <is>
          <t>L6, L5 | Palet (4000038): 1 adet | Köşebent (4000590): 2 adet | Shrink film (4000608): 1.44 kg</t>
        </is>
      </c>
      <c r="F54" s="25" t="inlineStr">
        <is>
          <t>L6, L5 | Palet (4000038): 1 adet | Köşebent (4000590): 2 adet | Shrink film (4000608): 1.44 kg</t>
        </is>
      </c>
      <c r="G54" s="25" t="inlineStr">
        <is>
          <t>L6, L5 | Pallet (4000038): 1 pc | Edge protector (4000590): 2 pcs | Shrink film (4000608): 1.44 kg</t>
        </is>
      </c>
      <c r="H54" s="25" t="n">
        <v>29.0792</v>
      </c>
      <c r="I54" s="25" t="n">
        <v>9</v>
      </c>
      <c r="J54" s="25" t="n">
        <v>7</v>
      </c>
      <c r="K54" s="25" t="inlineStr">
        <is>
          <t>IA-PPWR-TF-ST-036-EUR-06-R00</t>
        </is>
      </c>
      <c r="L54" s="25" t="inlineStr">
        <is>
          <t>IA-PPWR-DOC-ST-036-EUR-06-R00</t>
        </is>
      </c>
      <c r="M54" s="25" t="inlineStr">
        <is>
          <t>IA-PPWR-LBL-ST-036-EUR-06-R00</t>
        </is>
      </c>
      <c r="N54" s="25" t="inlineStr">
        <is>
          <t>IA-PPWR-STM-ST-036-EUR-06-R00</t>
        </is>
      </c>
    </row>
    <row r="55">
      <c r="A55" s="25" t="inlineStr">
        <is>
          <t>ST-036-EUR-07</t>
        </is>
      </c>
      <c r="B55" s="25" t="inlineStr">
        <is>
          <t>IA-ST-036-EUR-07</t>
        </is>
      </c>
      <c r="C55" s="25" t="inlineStr">
        <is>
          <t>IA-ST-CFG-0072</t>
        </is>
      </c>
      <c r="D55" s="25" t="inlineStr">
        <is>
          <t>STARTER</t>
        </is>
      </c>
      <c r="E55" s="25" t="inlineStr">
        <is>
          <t>L6, L5 | Palet (4000038): 1 adet | Shrink film (4000608): kullanılmaz</t>
        </is>
      </c>
      <c r="F55" s="25" t="inlineStr">
        <is>
          <t>L6, L5 | Palet (4000038): 1 adet | Shrink film (4000608): kullanılmaz</t>
        </is>
      </c>
      <c r="G55" s="25" t="inlineStr">
        <is>
          <t>L6, L5 | Pallet (4000038): 1 pc | Shrink film (4000608): not used</t>
        </is>
      </c>
      <c r="H55" s="25" t="n">
        <v>27.6392</v>
      </c>
      <c r="I55" s="25" t="n">
        <v>7</v>
      </c>
      <c r="J55" s="25" t="n">
        <v>6</v>
      </c>
      <c r="K55" s="25" t="inlineStr">
        <is>
          <t>IA-PPWR-TF-ST-036-EUR-07-R00</t>
        </is>
      </c>
      <c r="L55" s="25" t="inlineStr">
        <is>
          <t>IA-PPWR-DOC-ST-036-EUR-07-R00</t>
        </is>
      </c>
      <c r="M55" s="25" t="inlineStr">
        <is>
          <t>IA-PPWR-LBL-ST-036-EUR-07-R00</t>
        </is>
      </c>
      <c r="N55" s="25" t="inlineStr">
        <is>
          <t>IA-PPWR-STM-ST-036-EUR-07-R00</t>
        </is>
      </c>
    </row>
    <row r="56">
      <c r="A56" s="25" t="inlineStr">
        <is>
          <t>ST-036-STD-01</t>
        </is>
      </c>
      <c r="B56" s="25" t="inlineStr">
        <is>
          <t>IA-ST-036-STD-01</t>
        </is>
      </c>
      <c r="C56" s="25" t="inlineStr">
        <is>
          <t>IA-ST-CFG-0061</t>
        </is>
      </c>
      <c r="D56" s="25" t="inlineStr">
        <is>
          <t>STARTER</t>
        </is>
      </c>
      <c r="E56" s="25" t="inlineStr">
        <is>
          <t>L3 | L3 YUASA penceresiz Orta Doğu dış koli (4001103): 36 adet</t>
        </is>
      </c>
      <c r="F56" s="25" t="inlineStr">
        <is>
          <t>L3 | L3 YUASA penceresiz Orta Doğu dış koli (4001103): 36 adet</t>
        </is>
      </c>
      <c r="G56" s="25" t="inlineStr">
        <is>
          <t>L3 | L3 YUASA windowless Middle East outer carton (4001103): 36 pcs</t>
        </is>
      </c>
      <c r="H56" s="25" t="n">
        <v>37.796</v>
      </c>
      <c r="I56" s="25" t="n">
        <v>1</v>
      </c>
      <c r="J56" s="25" t="n">
        <v>7</v>
      </c>
      <c r="K56" s="25" t="inlineStr">
        <is>
          <t>IA-PPWR-TF-ST-036-STD-01-R00</t>
        </is>
      </c>
      <c r="L56" s="25" t="inlineStr">
        <is>
          <t>IA-PPWR-DOC-ST-036-STD-01-R00</t>
        </is>
      </c>
      <c r="M56" s="25" t="inlineStr">
        <is>
          <t>IA-PPWR-LBL-ST-036-STD-01-R00</t>
        </is>
      </c>
      <c r="N56" s="25" t="inlineStr">
        <is>
          <t>IA-PPWR-STM-ST-036-STD-01-R00</t>
        </is>
      </c>
    </row>
    <row r="57">
      <c r="A57" s="25" t="inlineStr">
        <is>
          <t>ST-036-STD-02</t>
        </is>
      </c>
      <c r="B57" s="25" t="inlineStr">
        <is>
          <t>IA-ST-036-STD-02</t>
        </is>
      </c>
      <c r="C57" s="25" t="inlineStr">
        <is>
          <t>IA-ST-CFG-0063</t>
        </is>
      </c>
      <c r="D57" s="25" t="inlineStr">
        <is>
          <t>STARTER</t>
        </is>
      </c>
      <c r="E57" s="25" t="inlineStr">
        <is>
          <t>L4 | Palet (4000037): 1 adet | Separatör (4000130): 3 adet</t>
        </is>
      </c>
      <c r="F57" s="25" t="inlineStr">
        <is>
          <t>L4 | Palet (4000037): 1 adet | Separatör (4000130): 3 adet</t>
        </is>
      </c>
      <c r="G57" s="25" t="inlineStr">
        <is>
          <t>L4 | Pallet (4000037): 1 pc | Separator (4000130): 3 pcs</t>
        </is>
      </c>
      <c r="H57" s="25" t="n">
        <v>29.16</v>
      </c>
      <c r="I57" s="25" t="n">
        <v>1</v>
      </c>
      <c r="J57" s="25" t="n">
        <v>7</v>
      </c>
      <c r="K57" s="25" t="inlineStr">
        <is>
          <t>IA-PPWR-TF-ST-036-STD-02-R00</t>
        </is>
      </c>
      <c r="L57" s="25" t="inlineStr">
        <is>
          <t>IA-PPWR-DOC-ST-036-STD-02-R00</t>
        </is>
      </c>
      <c r="M57" s="25" t="inlineStr">
        <is>
          <t>IA-PPWR-LBL-ST-036-STD-02-R00</t>
        </is>
      </c>
      <c r="N57" s="25" t="inlineStr">
        <is>
          <t>IA-PPWR-STM-ST-036-STD-02-R00</t>
        </is>
      </c>
    </row>
    <row r="58">
      <c r="A58" s="25" t="inlineStr">
        <is>
          <t>ST-036-STD-03</t>
        </is>
      </c>
      <c r="B58" s="25" t="inlineStr">
        <is>
          <t>IA-ST-036-STD-03</t>
        </is>
      </c>
      <c r="C58" s="25" t="inlineStr">
        <is>
          <t>IA-ST-CFG-0064</t>
        </is>
      </c>
      <c r="D58" s="25" t="inlineStr">
        <is>
          <t>STARTER</t>
        </is>
      </c>
      <c r="E58" s="25" t="inlineStr">
        <is>
          <t>L4 | Palet (4000037): 1 adet | Separatör (4000130): 4 adet</t>
        </is>
      </c>
      <c r="F58" s="25" t="inlineStr">
        <is>
          <t>L4 | Palet (4000037): 1 adet | Separatör (4000130): 4 adet</t>
        </is>
      </c>
      <c r="G58" s="25" t="inlineStr">
        <is>
          <t>L4 | Pallet (4000037): 1 pc | Separator (4000130): 4 pcs</t>
        </is>
      </c>
      <c r="H58" s="25" t="n">
        <v>29.1432</v>
      </c>
      <c r="I58" s="25" t="n">
        <v>1</v>
      </c>
      <c r="J58" s="25" t="n">
        <v>7</v>
      </c>
      <c r="K58" s="25" t="inlineStr">
        <is>
          <t>IA-PPWR-TF-ST-036-STD-03-R00</t>
        </is>
      </c>
      <c r="L58" s="25" t="inlineStr">
        <is>
          <t>IA-PPWR-DOC-ST-036-STD-03-R00</t>
        </is>
      </c>
      <c r="M58" s="25" t="inlineStr">
        <is>
          <t>IA-PPWR-LBL-ST-036-STD-03-R00</t>
        </is>
      </c>
      <c r="N58" s="25" t="inlineStr">
        <is>
          <t>IA-PPWR-STM-ST-036-STD-03-R00</t>
        </is>
      </c>
    </row>
    <row r="59">
      <c r="A59" s="25" t="inlineStr">
        <is>
          <t>ST-042-EUR-01</t>
        </is>
      </c>
      <c r="B59" s="25" t="inlineStr">
        <is>
          <t>IA-ST-042-EUR-01</t>
        </is>
      </c>
      <c r="C59" s="25" t="inlineStr">
        <is>
          <t>IA-ST-CFG-0077</t>
        </is>
      </c>
      <c r="D59" s="25" t="inlineStr">
        <is>
          <t>STARTER</t>
        </is>
      </c>
      <c r="E59" s="25" t="inlineStr">
        <is>
          <t>D31 | D31 YUASA penceresiz Orta Doğu dış koli (4001108): 42 adet</t>
        </is>
      </c>
      <c r="F59" s="25" t="inlineStr">
        <is>
          <t>D31 | D31 YUASA penceresiz Orta Doğu dış koli (4001108): 42 adet</t>
        </is>
      </c>
      <c r="G59" s="25" t="inlineStr">
        <is>
          <t>D31 | D31 YUASA windowless Middle East outer carton (4001108): 42 pcs</t>
        </is>
      </c>
      <c r="H59" s="25" t="n">
        <v>44.0068</v>
      </c>
      <c r="I59" s="25" t="n">
        <v>1</v>
      </c>
      <c r="J59" s="25" t="n">
        <v>8</v>
      </c>
      <c r="K59" s="25" t="inlineStr">
        <is>
          <t>IA-PPWR-TF-ST-042-EUR-01-R00</t>
        </is>
      </c>
      <c r="L59" s="25" t="inlineStr">
        <is>
          <t>IA-PPWR-DOC-ST-042-EUR-01-R00</t>
        </is>
      </c>
      <c r="M59" s="25" t="inlineStr">
        <is>
          <t>IA-PPWR-LBL-ST-042-EUR-01-R00</t>
        </is>
      </c>
      <c r="N59" s="25" t="inlineStr">
        <is>
          <t>IA-PPWR-STM-ST-042-EUR-01-R00</t>
        </is>
      </c>
    </row>
    <row r="60">
      <c r="A60" s="25" t="inlineStr">
        <is>
          <t>ST-042-EUR-02</t>
        </is>
      </c>
      <c r="B60" s="25" t="inlineStr">
        <is>
          <t>IA-ST-042-EUR-02</t>
        </is>
      </c>
      <c r="C60" s="25" t="inlineStr">
        <is>
          <t>IA-ST-CFG-0085</t>
        </is>
      </c>
      <c r="D60" s="25" t="inlineStr">
        <is>
          <t>STARTER</t>
        </is>
      </c>
      <c r="E60" s="25" t="inlineStr">
        <is>
          <t>L4, LB4 | Palet (4000038): 1 adet | Köşebent (4000590): 4 adet</t>
        </is>
      </c>
      <c r="F60" s="25" t="inlineStr">
        <is>
          <t>L4, LB4 | Palet (4000038): 1 adet | Köşebent (4000590): 4 adet</t>
        </is>
      </c>
      <c r="G60" s="25" t="inlineStr">
        <is>
          <t>L4, LB4 | Pallet (4000038): 1 pc | Edge protector (4000590): 4 pcs</t>
        </is>
      </c>
      <c r="H60" s="25" t="n">
        <v>27.926</v>
      </c>
      <c r="I60" s="25" t="n">
        <v>30</v>
      </c>
      <c r="J60" s="25" t="n">
        <v>6</v>
      </c>
      <c r="K60" s="25" t="inlineStr">
        <is>
          <t>IA-PPWR-TF-ST-042-EUR-02-R00</t>
        </is>
      </c>
      <c r="L60" s="25" t="inlineStr">
        <is>
          <t>IA-PPWR-DOC-ST-042-EUR-02-R00</t>
        </is>
      </c>
      <c r="M60" s="25" t="inlineStr">
        <is>
          <t>IA-PPWR-LBL-ST-042-EUR-02-R00</t>
        </is>
      </c>
      <c r="N60" s="25" t="inlineStr">
        <is>
          <t>IA-PPWR-STM-ST-042-EUR-02-R00</t>
        </is>
      </c>
    </row>
    <row r="61">
      <c r="A61" s="25" t="inlineStr">
        <is>
          <t>ST-042-EUR-03</t>
        </is>
      </c>
      <c r="B61" s="25" t="inlineStr">
        <is>
          <t>IA-ST-042-EUR-03</t>
        </is>
      </c>
      <c r="C61" s="25" t="inlineStr">
        <is>
          <t>IA-ST-CFG-0086</t>
        </is>
      </c>
      <c r="D61" s="25" t="inlineStr">
        <is>
          <t>STARTER</t>
        </is>
      </c>
      <c r="E61" s="25" t="inlineStr">
        <is>
          <t>L4, LB4 | Palet (4000038): 1 adet | Shrink film (4000554): 1.428 kg</t>
        </is>
      </c>
      <c r="F61" s="25" t="inlineStr">
        <is>
          <t>L4, LB4 | Palet (4000038): 1 adet | Shrink film (4000554): 1.428 kg</t>
        </is>
      </c>
      <c r="G61" s="25" t="inlineStr">
        <is>
          <t>L4, LB4 | Pallet (4000038): 1 pc | Shrink film (4000554): 1.428 kg</t>
        </is>
      </c>
      <c r="H61" s="25" t="n">
        <v>29.0672</v>
      </c>
      <c r="I61" s="25" t="n">
        <v>7</v>
      </c>
      <c r="J61" s="25" t="n">
        <v>7</v>
      </c>
      <c r="K61" s="25" t="inlineStr">
        <is>
          <t>IA-PPWR-TF-ST-042-EUR-03-R00</t>
        </is>
      </c>
      <c r="L61" s="25" t="inlineStr">
        <is>
          <t>IA-PPWR-DOC-ST-042-EUR-03-R00</t>
        </is>
      </c>
      <c r="M61" s="25" t="inlineStr">
        <is>
          <t>IA-PPWR-LBL-ST-042-EUR-03-R00</t>
        </is>
      </c>
      <c r="N61" s="25" t="inlineStr">
        <is>
          <t>IA-PPWR-STM-ST-042-EUR-03-R00</t>
        </is>
      </c>
    </row>
    <row r="62">
      <c r="A62" s="25" t="inlineStr">
        <is>
          <t>ST-042-EUR-04</t>
        </is>
      </c>
      <c r="B62" s="25" t="inlineStr">
        <is>
          <t>IA-ST-042-EUR-04</t>
        </is>
      </c>
      <c r="C62" s="25" t="inlineStr">
        <is>
          <t>IA-ST-CFG-0087</t>
        </is>
      </c>
      <c r="D62" s="25" t="inlineStr">
        <is>
          <t>STARTER</t>
        </is>
      </c>
      <c r="E62" s="25" t="inlineStr">
        <is>
          <t>L4, LB4 | Palet (4000038): 1 adet | Shrink film (4000554): kullanılmaz | Köşebent (4000590): 2 adet</t>
        </is>
      </c>
      <c r="F62" s="25" t="inlineStr">
        <is>
          <t>L4, LB4 | Palet (4000038): 1 adet | Shrink film (4000554): kullanılmaz | Köşebent (4000590): 2 adet</t>
        </is>
      </c>
      <c r="G62" s="25" t="inlineStr">
        <is>
          <t>L4, LB4 | Pallet (4000038): 1 pc | Shrink film (4000554): not used | Edge protector (4000590): 2 pcs</t>
        </is>
      </c>
      <c r="H62" s="25" t="n">
        <v>27.6392</v>
      </c>
      <c r="I62" s="25" t="n">
        <v>7</v>
      </c>
      <c r="J62" s="25" t="n">
        <v>6</v>
      </c>
      <c r="K62" s="25" t="inlineStr">
        <is>
          <t>IA-PPWR-TF-ST-042-EUR-04-R00</t>
        </is>
      </c>
      <c r="L62" s="25" t="inlineStr">
        <is>
          <t>IA-PPWR-DOC-ST-042-EUR-04-R00</t>
        </is>
      </c>
      <c r="M62" s="25" t="inlineStr">
        <is>
          <t>IA-PPWR-LBL-ST-042-EUR-04-R00</t>
        </is>
      </c>
      <c r="N62" s="25" t="inlineStr">
        <is>
          <t>IA-PPWR-STM-ST-042-EUR-04-R00</t>
        </is>
      </c>
    </row>
    <row r="63">
      <c r="A63" s="25" t="inlineStr">
        <is>
          <t>ST-042-STD-01</t>
        </is>
      </c>
      <c r="B63" s="25" t="inlineStr">
        <is>
          <t>IA-ST-042-STD-01</t>
        </is>
      </c>
      <c r="C63" s="25" t="inlineStr">
        <is>
          <t>IA-ST-CFG-0075</t>
        </is>
      </c>
      <c r="D63" s="25" t="inlineStr">
        <is>
          <t>STARTER</t>
        </is>
      </c>
      <c r="E63" s="25" t="inlineStr">
        <is>
          <t>D23 | D23 YUASA penceresiz Orta Doğu dış koli (4001106): 42 adet</t>
        </is>
      </c>
      <c r="F63" s="25" t="inlineStr">
        <is>
          <t>D23 | D23 YUASA penceresiz Orta Doğu dış koli (4001106): 42 adet</t>
        </is>
      </c>
      <c r="G63" s="25" t="inlineStr">
        <is>
          <t>D23 | D23 YUASA windowless Middle East outer carton (4001106): 42 pcs</t>
        </is>
      </c>
      <c r="H63" s="25" t="n">
        <v>41.02094</v>
      </c>
      <c r="I63" s="25" t="n">
        <v>1</v>
      </c>
      <c r="J63" s="25" t="n">
        <v>8</v>
      </c>
      <c r="K63" s="25" t="inlineStr">
        <is>
          <t>IA-PPWR-TF-ST-042-STD-01-R00</t>
        </is>
      </c>
      <c r="L63" s="25" t="inlineStr">
        <is>
          <t>IA-PPWR-DOC-ST-042-STD-01-R00</t>
        </is>
      </c>
      <c r="M63" s="25" t="inlineStr">
        <is>
          <t>IA-PPWR-LBL-ST-042-STD-01-R00</t>
        </is>
      </c>
      <c r="N63" s="25" t="inlineStr">
        <is>
          <t>IA-PPWR-STM-ST-042-STD-01-R00</t>
        </is>
      </c>
    </row>
    <row r="64">
      <c r="A64" s="25" t="inlineStr">
        <is>
          <t>ST-042-STD-02</t>
        </is>
      </c>
      <c r="B64" s="25" t="inlineStr">
        <is>
          <t>IA-ST-042-STD-02</t>
        </is>
      </c>
      <c r="C64" s="25" t="inlineStr">
        <is>
          <t>IA-ST-CFG-0076</t>
        </is>
      </c>
      <c r="D64" s="25" t="inlineStr">
        <is>
          <t>STARTER</t>
        </is>
      </c>
      <c r="E64" s="25" t="inlineStr">
        <is>
          <t>L6 | L6 EAS AGM S&amp;S 105AH 940A pencereli dış koli (4001399): 42 adet</t>
        </is>
      </c>
      <c r="F64" s="25" t="inlineStr">
        <is>
          <t>L6 | L6 EAS AGM S&amp;S 105AH 940A pencereli dış koli (4001399): 42 adet</t>
        </is>
      </c>
      <c r="G64" s="25" t="inlineStr">
        <is>
          <t>L6 | L6 EAS AGM S&amp;S 105AH 940A windowed outer carton (4001399): 42 pcs</t>
        </is>
      </c>
      <c r="H64" s="25" t="n">
        <v>46.286</v>
      </c>
      <c r="I64" s="25" t="n">
        <v>1</v>
      </c>
      <c r="J64" s="25" t="n">
        <v>7</v>
      </c>
      <c r="K64" s="25" t="inlineStr">
        <is>
          <t>IA-PPWR-TF-ST-042-STD-02-R00</t>
        </is>
      </c>
      <c r="L64" s="25" t="inlineStr">
        <is>
          <t>IA-PPWR-DOC-ST-042-STD-02-R00</t>
        </is>
      </c>
      <c r="M64" s="25" t="inlineStr">
        <is>
          <t>IA-PPWR-LBL-ST-042-STD-02-R00</t>
        </is>
      </c>
      <c r="N64" s="25" t="inlineStr">
        <is>
          <t>IA-PPWR-STM-ST-042-STD-02-R00</t>
        </is>
      </c>
    </row>
    <row r="65">
      <c r="A65" s="25" t="inlineStr">
        <is>
          <t>ST-042-STD-03</t>
        </is>
      </c>
      <c r="B65" s="25" t="inlineStr">
        <is>
          <t>IA-ST-042-STD-03</t>
        </is>
      </c>
      <c r="C65" s="25" t="inlineStr">
        <is>
          <t>IA-ST-CFG-0078</t>
        </is>
      </c>
      <c r="D65" s="25" t="inlineStr">
        <is>
          <t>STARTER</t>
        </is>
      </c>
      <c r="E65" s="25" t="inlineStr">
        <is>
          <t>L3 | Palet (4000037): 1 adet | Separatör (4000130): 3 adet</t>
        </is>
      </c>
      <c r="F65" s="25" t="inlineStr">
        <is>
          <t>L3 | Palet (4000037): 1 adet | Separatör (4000130): 3 adet</t>
        </is>
      </c>
      <c r="G65" s="25" t="inlineStr">
        <is>
          <t>L3 | Pallet (4000037): 1 pc | Separator (4000130): 3 pcs</t>
        </is>
      </c>
      <c r="H65" s="25" t="n">
        <v>29.323</v>
      </c>
      <c r="I65" s="25" t="n">
        <v>1</v>
      </c>
      <c r="J65" s="25" t="n">
        <v>7</v>
      </c>
      <c r="K65" s="25" t="inlineStr">
        <is>
          <t>IA-PPWR-TF-ST-042-STD-03-R00</t>
        </is>
      </c>
      <c r="L65" s="25" t="inlineStr">
        <is>
          <t>IA-PPWR-DOC-ST-042-STD-03-R00</t>
        </is>
      </c>
      <c r="M65" s="25" t="inlineStr">
        <is>
          <t>IA-PPWR-LBL-ST-042-STD-03-R00</t>
        </is>
      </c>
      <c r="N65" s="25" t="inlineStr">
        <is>
          <t>IA-PPWR-STM-ST-042-STD-03-R00</t>
        </is>
      </c>
    </row>
    <row r="66">
      <c r="A66" s="25" t="inlineStr">
        <is>
          <t>ST-042-STD-04</t>
        </is>
      </c>
      <c r="B66" s="25" t="inlineStr">
        <is>
          <t>IA-ST-042-STD-04</t>
        </is>
      </c>
      <c r="C66" s="25" t="inlineStr">
        <is>
          <t>IA-ST-CFG-0079</t>
        </is>
      </c>
      <c r="D66" s="25" t="inlineStr">
        <is>
          <t>STARTER</t>
        </is>
      </c>
      <c r="E66" s="25" t="inlineStr">
        <is>
          <t>L3 | Palet (4000037): 1 adet | Separatör (4000130): 4 adet</t>
        </is>
      </c>
      <c r="F66" s="25" t="inlineStr">
        <is>
          <t>L3 | Palet (4000037): 1 adet | Separatör (4000130): 4 adet</t>
        </is>
      </c>
      <c r="G66" s="25" t="inlineStr">
        <is>
          <t>L3 | Pallet (4000037): 1 pc | Separator (4000130): 4 pcs</t>
        </is>
      </c>
      <c r="H66" s="25" t="n">
        <v>29.3062</v>
      </c>
      <c r="I66" s="25" t="n">
        <v>1</v>
      </c>
      <c r="J66" s="25" t="n">
        <v>7</v>
      </c>
      <c r="K66" s="25" t="inlineStr">
        <is>
          <t>IA-PPWR-TF-ST-042-STD-04-R00</t>
        </is>
      </c>
      <c r="L66" s="25" t="inlineStr">
        <is>
          <t>IA-PPWR-DOC-ST-042-STD-04-R00</t>
        </is>
      </c>
      <c r="M66" s="25" t="inlineStr">
        <is>
          <t>IA-PPWR-LBL-ST-042-STD-04-R00</t>
        </is>
      </c>
      <c r="N66" s="25" t="inlineStr">
        <is>
          <t>IA-PPWR-STM-ST-042-STD-04-R00</t>
        </is>
      </c>
    </row>
    <row r="67">
      <c r="A67" s="25" t="inlineStr">
        <is>
          <t>ST-042-STD-05</t>
        </is>
      </c>
      <c r="B67" s="25" t="inlineStr">
        <is>
          <t>IA-ST-042-STD-05</t>
        </is>
      </c>
      <c r="C67" s="25" t="inlineStr">
        <is>
          <t>IA-ST-CFG-0080</t>
        </is>
      </c>
      <c r="D67" s="25" t="inlineStr">
        <is>
          <t>STARTER</t>
        </is>
      </c>
      <c r="E67" s="25" t="inlineStr">
        <is>
          <t>L6 | Palet (4000037): 1 adet | Çember (4000450): 7 m</t>
        </is>
      </c>
      <c r="F67" s="25" t="inlineStr">
        <is>
          <t>L6 | Palet (4000037): 1 adet | Çember (4000450): 7 m</t>
        </is>
      </c>
      <c r="G67" s="25" t="inlineStr">
        <is>
          <t>L6 | Pallet (4000037): 1 pc | Strap (4000450): 7 m</t>
        </is>
      </c>
      <c r="H67" s="25" t="n">
        <v>29.5992</v>
      </c>
      <c r="I67" s="25" t="n">
        <v>11</v>
      </c>
      <c r="J67" s="25" t="n">
        <v>7</v>
      </c>
      <c r="K67" s="25" t="inlineStr">
        <is>
          <t>IA-PPWR-TF-ST-042-STD-05-R00</t>
        </is>
      </c>
      <c r="L67" s="25" t="inlineStr">
        <is>
          <t>IA-PPWR-DOC-ST-042-STD-05-R00</t>
        </is>
      </c>
      <c r="M67" s="25" t="inlineStr">
        <is>
          <t>IA-PPWR-LBL-ST-042-STD-05-R00</t>
        </is>
      </c>
      <c r="N67" s="25" t="inlineStr">
        <is>
          <t>IA-PPWR-STM-ST-042-STD-05-R00</t>
        </is>
      </c>
    </row>
    <row r="68">
      <c r="A68" s="25" t="inlineStr">
        <is>
          <t>ST-042-STD-06</t>
        </is>
      </c>
      <c r="B68" s="25" t="inlineStr">
        <is>
          <t>IA-ST-042-STD-06</t>
        </is>
      </c>
      <c r="C68" s="25" t="inlineStr">
        <is>
          <t>IA-ST-CFG-0081</t>
        </is>
      </c>
      <c r="D68" s="25" t="inlineStr">
        <is>
          <t>STARTER</t>
        </is>
      </c>
      <c r="E68" s="25" t="inlineStr">
        <is>
          <t>L6 | Palet (4000037): 1 adet | Çember (4000450): kullanılmaz</t>
        </is>
      </c>
      <c r="F68" s="25" t="inlineStr">
        <is>
          <t>L6 | Palet (4000037): 1 adet | Çember (4000450): kullanılmaz</t>
        </is>
      </c>
      <c r="G68" s="25" t="inlineStr">
        <is>
          <t>L6 | Pallet (4000037): 1 pc | Strap (4000450): not used</t>
        </is>
      </c>
      <c r="H68" s="25" t="n">
        <v>29.3124</v>
      </c>
      <c r="I68" s="25" t="n">
        <v>6</v>
      </c>
      <c r="J68" s="25" t="n">
        <v>5</v>
      </c>
      <c r="K68" s="25" t="inlineStr">
        <is>
          <t>IA-PPWR-TF-ST-042-STD-06-R00</t>
        </is>
      </c>
      <c r="L68" s="25" t="inlineStr">
        <is>
          <t>IA-PPWR-DOC-ST-042-STD-06-R00</t>
        </is>
      </c>
      <c r="M68" s="25" t="inlineStr">
        <is>
          <t>IA-PPWR-LBL-ST-042-STD-06-R00</t>
        </is>
      </c>
      <c r="N68" s="25" t="inlineStr">
        <is>
          <t>IA-PPWR-STM-ST-042-STD-06-R00</t>
        </is>
      </c>
    </row>
    <row r="69">
      <c r="A69" s="25" t="inlineStr">
        <is>
          <t>ST-042-STD-07</t>
        </is>
      </c>
      <c r="B69" s="25" t="inlineStr">
        <is>
          <t>IA-ST-042-STD-07</t>
        </is>
      </c>
      <c r="C69" s="25" t="inlineStr">
        <is>
          <t>IA-ST-CFG-0082</t>
        </is>
      </c>
      <c r="D69" s="25" t="inlineStr">
        <is>
          <t>STARTER</t>
        </is>
      </c>
      <c r="E69" s="25" t="inlineStr">
        <is>
          <t>L6 | Palet (4000037): 1 adet | Köşebent (4000590): 2 adet | Shrink film (4001177): 0.597 kg</t>
        </is>
      </c>
      <c r="F69" s="25" t="inlineStr">
        <is>
          <t>L6 | Palet (4000037): 1 adet | Köşebent (4000590): 2 adet | Shrink film (4001177): 0.597 kg</t>
        </is>
      </c>
      <c r="G69" s="25" t="inlineStr">
        <is>
          <t>L6 | Pallet (4000037): 1 pc | Edge protector (4000590): 2 pcs | Shrink film (4001177): 0.597 kg</t>
        </is>
      </c>
      <c r="H69" s="25" t="n">
        <v>28.417</v>
      </c>
      <c r="I69" s="25" t="n">
        <v>1</v>
      </c>
      <c r="J69" s="25" t="n">
        <v>6</v>
      </c>
      <c r="K69" s="25" t="inlineStr">
        <is>
          <t>IA-PPWR-TF-ST-042-STD-07-R00</t>
        </is>
      </c>
      <c r="L69" s="25" t="inlineStr">
        <is>
          <t>IA-PPWR-DOC-ST-042-STD-07-R00</t>
        </is>
      </c>
      <c r="M69" s="25" t="inlineStr">
        <is>
          <t>IA-PPWR-LBL-ST-042-STD-07-R00</t>
        </is>
      </c>
      <c r="N69" s="25" t="inlineStr">
        <is>
          <t>IA-PPWR-STM-ST-042-STD-07-R00</t>
        </is>
      </c>
    </row>
    <row r="70">
      <c r="A70" s="25" t="inlineStr">
        <is>
          <t>ST-042-STD-08</t>
        </is>
      </c>
      <c r="B70" s="25" t="inlineStr">
        <is>
          <t>IA-ST-042-STD-08</t>
        </is>
      </c>
      <c r="C70" s="25" t="inlineStr">
        <is>
          <t>IA-ST-CFG-0083</t>
        </is>
      </c>
      <c r="D70" s="25" t="inlineStr">
        <is>
          <t>STARTER</t>
        </is>
      </c>
      <c r="E70" s="25" t="inlineStr">
        <is>
          <t>L6 | Palet (4000037): 1 adet | Köşebent (4000590): 4 adet</t>
        </is>
      </c>
      <c r="F70" s="25" t="inlineStr">
        <is>
          <t>L6 | Palet (4000037): 1 adet | Köşebent (4000590): 4 adet</t>
        </is>
      </c>
      <c r="G70" s="25" t="inlineStr">
        <is>
          <t>L6 | Pallet (4000037): 1 pc | Edge protector (4000590): 4 pcs</t>
        </is>
      </c>
      <c r="H70" s="25" t="n">
        <v>28.617</v>
      </c>
      <c r="I70" s="25" t="n">
        <v>1</v>
      </c>
      <c r="J70" s="25" t="n">
        <v>6</v>
      </c>
      <c r="K70" s="25" t="inlineStr">
        <is>
          <t>IA-PPWR-TF-ST-042-STD-08-R00</t>
        </is>
      </c>
      <c r="L70" s="25" t="inlineStr">
        <is>
          <t>IA-PPWR-DOC-ST-042-STD-08-R00</t>
        </is>
      </c>
      <c r="M70" s="25" t="inlineStr">
        <is>
          <t>IA-PPWR-LBL-ST-042-STD-08-R00</t>
        </is>
      </c>
      <c r="N70" s="25" t="inlineStr">
        <is>
          <t>IA-PPWR-STM-ST-042-STD-08-R00</t>
        </is>
      </c>
    </row>
    <row r="71">
      <c r="A71" s="25" t="inlineStr">
        <is>
          <t>ST-044-STD-01</t>
        </is>
      </c>
      <c r="B71" s="25" t="inlineStr">
        <is>
          <t>IA-ST-044-STD-01</t>
        </is>
      </c>
      <c r="C71" s="25" t="inlineStr">
        <is>
          <t>IA-ST-CFG-0088</t>
        </is>
      </c>
      <c r="D71" s="25" t="inlineStr">
        <is>
          <t>STARTER</t>
        </is>
      </c>
      <c r="E71" s="25" t="inlineStr">
        <is>
          <t>L2 | L2 YUASA penceresiz Orta Doğu dış koli (4001102): 44 adet</t>
        </is>
      </c>
      <c r="F71" s="25" t="inlineStr">
        <is>
          <t>L2 | L2 YUASA penceresiz Orta Doğu dış koli (4001102): 44 adet</t>
        </is>
      </c>
      <c r="G71" s="25" t="inlineStr">
        <is>
          <t>L2 | L2 YUASA windowless Middle East outer carton (4001102): 44 pcs</t>
        </is>
      </c>
      <c r="H71" s="25" t="n">
        <v>39.356</v>
      </c>
      <c r="I71" s="25" t="n">
        <v>1</v>
      </c>
      <c r="J71" s="25" t="n">
        <v>7</v>
      </c>
      <c r="K71" s="25" t="inlineStr">
        <is>
          <t>IA-PPWR-TF-ST-044-STD-01-R00</t>
        </is>
      </c>
      <c r="L71" s="25" t="inlineStr">
        <is>
          <t>IA-PPWR-DOC-ST-044-STD-01-R00</t>
        </is>
      </c>
      <c r="M71" s="25" t="inlineStr">
        <is>
          <t>IA-PPWR-LBL-ST-044-STD-01-R00</t>
        </is>
      </c>
      <c r="N71" s="25" t="inlineStr">
        <is>
          <t>IA-PPWR-STM-ST-044-STD-01-R00</t>
        </is>
      </c>
    </row>
    <row r="72">
      <c r="A72" s="25" t="inlineStr">
        <is>
          <t>ST-045-EUR-01</t>
        </is>
      </c>
      <c r="B72" s="25" t="inlineStr">
        <is>
          <t>IA-ST-045-EUR-01</t>
        </is>
      </c>
      <c r="C72" s="25" t="inlineStr">
        <is>
          <t>IA-ST-CFG-0103</t>
        </is>
      </c>
      <c r="D72" s="25" t="inlineStr">
        <is>
          <t>STARTER</t>
        </is>
      </c>
      <c r="E72" s="25" t="inlineStr">
        <is>
          <t>L3 | Palet (4000038): 1 adet | Köşebent (4000590): 4 adet</t>
        </is>
      </c>
      <c r="F72" s="25" t="inlineStr">
        <is>
          <t>L3 | Palet (4000038): 1 adet | Köşebent (4000590): 4 adet</t>
        </is>
      </c>
      <c r="G72" s="25" t="inlineStr">
        <is>
          <t>L3 | Pallet (4000038): 1 pc | Edge protector (4000590): 4 pcs</t>
        </is>
      </c>
      <c r="H72" s="25" t="n">
        <v>27.926</v>
      </c>
      <c r="I72" s="25" t="n">
        <v>6</v>
      </c>
      <c r="J72" s="25" t="n">
        <v>6</v>
      </c>
      <c r="K72" s="25" t="inlineStr">
        <is>
          <t>IA-PPWR-TF-ST-045-EUR-01-R00</t>
        </is>
      </c>
      <c r="L72" s="25" t="inlineStr">
        <is>
          <t>IA-PPWR-DOC-ST-045-EUR-01-R00</t>
        </is>
      </c>
      <c r="M72" s="25" t="inlineStr">
        <is>
          <t>IA-PPWR-LBL-ST-045-EUR-01-R00</t>
        </is>
      </c>
      <c r="N72" s="25" t="inlineStr">
        <is>
          <t>IA-PPWR-STM-ST-045-EUR-01-R00</t>
        </is>
      </c>
    </row>
    <row r="73">
      <c r="A73" s="25" t="inlineStr">
        <is>
          <t>ST-045-STD-01</t>
        </is>
      </c>
      <c r="B73" s="25" t="inlineStr">
        <is>
          <t>IA-ST-045-STD-01</t>
        </is>
      </c>
      <c r="C73" s="25" t="inlineStr">
        <is>
          <t>IA-ST-CFG-0089</t>
        </is>
      </c>
      <c r="D73" s="25" t="inlineStr">
        <is>
          <t>STARTER</t>
        </is>
      </c>
      <c r="E73" s="25" t="inlineStr">
        <is>
          <t>L5 | L5 YUASA penceresiz Orta Doğu dış koli (4001105): 45 adet</t>
        </is>
      </c>
      <c r="F73" s="25" t="inlineStr">
        <is>
          <t>L5 | L5 YUASA penceresiz Orta Doğu dış koli (4001105): 45 adet</t>
        </is>
      </c>
      <c r="G73" s="25" t="inlineStr">
        <is>
          <t>L5 | L5 YUASA windowless Middle East outer carton (4001105): 45 pcs</t>
        </is>
      </c>
      <c r="H73" s="25" t="n">
        <v>43.916</v>
      </c>
      <c r="I73" s="25" t="n">
        <v>1</v>
      </c>
      <c r="J73" s="25" t="n">
        <v>7</v>
      </c>
      <c r="K73" s="25" t="inlineStr">
        <is>
          <t>IA-PPWR-TF-ST-045-STD-01-R00</t>
        </is>
      </c>
      <c r="L73" s="25" t="inlineStr">
        <is>
          <t>IA-PPWR-DOC-ST-045-STD-01-R00</t>
        </is>
      </c>
      <c r="M73" s="25" t="inlineStr">
        <is>
          <t>IA-PPWR-LBL-ST-045-STD-01-R00</t>
        </is>
      </c>
      <c r="N73" s="25" t="inlineStr">
        <is>
          <t>IA-PPWR-STM-ST-045-STD-01-R00</t>
        </is>
      </c>
    </row>
    <row r="74">
      <c r="A74" s="25" t="inlineStr">
        <is>
          <t>ST-045-STD-02</t>
        </is>
      </c>
      <c r="B74" s="25" t="inlineStr">
        <is>
          <t>IA-ST-045-STD-02</t>
        </is>
      </c>
      <c r="C74" s="25" t="inlineStr">
        <is>
          <t>IA-ST-CFG-0090</t>
        </is>
      </c>
      <c r="D74" s="25" t="inlineStr">
        <is>
          <t>STARTER</t>
        </is>
      </c>
      <c r="E74" s="25" t="inlineStr">
        <is>
          <t>L5 | L5 İnci AGM LEO 95AH 870A pencereli dış koli (4001194): 45 adet</t>
        </is>
      </c>
      <c r="F74" s="25" t="inlineStr">
        <is>
          <t>L5 | L5 İnci AGM LEO 95AH 870A pencereli dış koli (4001194): 45 adet</t>
        </is>
      </c>
      <c r="G74" s="25" t="inlineStr">
        <is>
          <t>L5 | L5 İnci AGM LEO 95AH 870A windowed outer carton (4001194): 45 pcs</t>
        </is>
      </c>
      <c r="H74" s="25" t="n">
        <v>44.336</v>
      </c>
      <c r="I74" s="25" t="n">
        <v>1</v>
      </c>
      <c r="J74" s="25" t="n">
        <v>7</v>
      </c>
      <c r="K74" s="25" t="inlineStr">
        <is>
          <t>IA-PPWR-TF-ST-045-STD-02-R00</t>
        </is>
      </c>
      <c r="L74" s="25" t="inlineStr">
        <is>
          <t>IA-PPWR-DOC-ST-045-STD-02-R00</t>
        </is>
      </c>
      <c r="M74" s="25" t="inlineStr">
        <is>
          <t>IA-PPWR-LBL-ST-045-STD-02-R00</t>
        </is>
      </c>
      <c r="N74" s="25" t="inlineStr">
        <is>
          <t>IA-PPWR-STM-ST-045-STD-02-R00</t>
        </is>
      </c>
    </row>
    <row r="75">
      <c r="A75" s="25" t="inlineStr">
        <is>
          <t>ST-045-STD-03</t>
        </is>
      </c>
      <c r="B75" s="25" t="inlineStr">
        <is>
          <t>IA-ST-045-STD-03</t>
        </is>
      </c>
      <c r="C75" s="25" t="inlineStr">
        <is>
          <t>IA-ST-CFG-0091</t>
        </is>
      </c>
      <c r="D75" s="25" t="inlineStr">
        <is>
          <t>STARTER</t>
        </is>
      </c>
      <c r="E75" s="25" t="inlineStr">
        <is>
          <t>L5 | L5 EAS AGM S&amp;S 95AH 870A pencereli dış koli (4001398): 45 adet</t>
        </is>
      </c>
      <c r="F75" s="25" t="inlineStr">
        <is>
          <t>L5 | L5 EAS AGM S&amp;S 95AH 870A pencereli dış koli (4001398): 45 adet</t>
        </is>
      </c>
      <c r="G75" s="25" t="inlineStr">
        <is>
          <t>L5 | L5 EAS AGM S&amp;S 95AH 870A windowed outer carton (4001398): 45 pcs</t>
        </is>
      </c>
      <c r="H75" s="25" t="n">
        <v>44.336</v>
      </c>
      <c r="I75" s="25" t="n">
        <v>1</v>
      </c>
      <c r="J75" s="25" t="n">
        <v>7</v>
      </c>
      <c r="K75" s="25" t="inlineStr">
        <is>
          <t>IA-PPWR-TF-ST-045-STD-03-R00</t>
        </is>
      </c>
      <c r="L75" s="25" t="inlineStr">
        <is>
          <t>IA-PPWR-DOC-ST-045-STD-03-R00</t>
        </is>
      </c>
      <c r="M75" s="25" t="inlineStr">
        <is>
          <t>IA-PPWR-LBL-ST-045-STD-03-R00</t>
        </is>
      </c>
      <c r="N75" s="25" t="inlineStr">
        <is>
          <t>IA-PPWR-STM-ST-045-STD-03-R00</t>
        </is>
      </c>
    </row>
    <row r="76">
      <c r="A76" s="25" t="inlineStr">
        <is>
          <t>ST-045-STD-04</t>
        </is>
      </c>
      <c r="B76" s="25" t="inlineStr">
        <is>
          <t>IA-ST-045-STD-04</t>
        </is>
      </c>
      <c r="C76" s="25" t="inlineStr">
        <is>
          <t>IA-ST-CFG-0092</t>
        </is>
      </c>
      <c r="D76" s="25" t="inlineStr">
        <is>
          <t>STARTER</t>
        </is>
      </c>
      <c r="E76" s="25" t="inlineStr">
        <is>
          <t>L5 | Palet (4000037): 1 adet | Separatör (4000130): 4 adet | Streç ped (4000301): 0.186 kg | Köşebent (4000590): 4 adet</t>
        </is>
      </c>
      <c r="F76" s="25" t="inlineStr">
        <is>
          <t>L5 | Palet (4000037): 1 adet | Separatör (4000130): 4 adet | Streç ped (4000301): 0.186 kg | Köşebent (4000590): 4 adet</t>
        </is>
      </c>
      <c r="G76" s="25" t="inlineStr">
        <is>
          <t>L5 | Pallet (4000037): 1 pc | Separator (4000130): 4 pcs | Stretch pad (4000301): 0.186 kg | Edge protector (4000590): 4 pcs</t>
        </is>
      </c>
      <c r="H76" s="25" t="n">
        <v>28.206</v>
      </c>
      <c r="I76" s="25" t="n">
        <v>1</v>
      </c>
      <c r="J76" s="25" t="n">
        <v>6</v>
      </c>
      <c r="K76" s="25" t="inlineStr">
        <is>
          <t>IA-PPWR-TF-ST-045-STD-04-R00</t>
        </is>
      </c>
      <c r="L76" s="25" t="inlineStr">
        <is>
          <t>IA-PPWR-DOC-ST-045-STD-04-R00</t>
        </is>
      </c>
      <c r="M76" s="25" t="inlineStr">
        <is>
          <t>IA-PPWR-LBL-ST-045-STD-04-R00</t>
        </is>
      </c>
      <c r="N76" s="25" t="inlineStr">
        <is>
          <t>IA-PPWR-STM-ST-045-STD-04-R00</t>
        </is>
      </c>
    </row>
    <row r="77">
      <c r="A77" s="25" t="inlineStr">
        <is>
          <t>ST-045-STD-05</t>
        </is>
      </c>
      <c r="B77" s="25" t="inlineStr">
        <is>
          <t>IA-ST-045-STD-05</t>
        </is>
      </c>
      <c r="C77" s="25" t="inlineStr">
        <is>
          <t>IA-ST-CFG-0093</t>
        </is>
      </c>
      <c r="D77" s="25" t="inlineStr">
        <is>
          <t>STARTER</t>
        </is>
      </c>
      <c r="E77" s="25" t="inlineStr">
        <is>
          <t>TRACTORL, TRACTOR | TRAKTÖR PVC üst kapak (4000494): 45 adet | Köşebent (4000590): 2 adet</t>
        </is>
      </c>
      <c r="F77" s="25" t="inlineStr">
        <is>
          <t>TRACTORL, TRACTOR | TRAKTÖR PVC üst kapak (4000494): 45 adet | Köşebent (4000590): 2 adet</t>
        </is>
      </c>
      <c r="G77" s="25" t="inlineStr">
        <is>
          <t>TRACTORL, TRACTOR | TRAKTÖR PVC upper cover (4000494): 45 pcs | Edge protector (4000590): 2 pcs</t>
        </is>
      </c>
      <c r="H77" s="25" t="n">
        <v>33.3498</v>
      </c>
      <c r="I77" s="25" t="n">
        <v>18</v>
      </c>
      <c r="J77" s="25" t="n">
        <v>8</v>
      </c>
      <c r="K77" s="25" t="inlineStr">
        <is>
          <t>IA-PPWR-TF-ST-045-STD-05-R00</t>
        </is>
      </c>
      <c r="L77" s="25" t="inlineStr">
        <is>
          <t>IA-PPWR-DOC-ST-045-STD-05-R00</t>
        </is>
      </c>
      <c r="M77" s="25" t="inlineStr">
        <is>
          <t>IA-PPWR-LBL-ST-045-STD-05-R00</t>
        </is>
      </c>
      <c r="N77" s="25" t="inlineStr">
        <is>
          <t>IA-PPWR-STM-ST-045-STD-05-R00</t>
        </is>
      </c>
    </row>
    <row r="78">
      <c r="A78" s="25" t="inlineStr">
        <is>
          <t>ST-045-STD-06</t>
        </is>
      </c>
      <c r="B78" s="25" t="inlineStr">
        <is>
          <t>IA-ST-045-STD-06</t>
        </is>
      </c>
      <c r="C78" s="25" t="inlineStr">
        <is>
          <t>IA-ST-CFG-0094</t>
        </is>
      </c>
      <c r="D78" s="25" t="inlineStr">
        <is>
          <t>STARTER</t>
        </is>
      </c>
      <c r="E78" s="25" t="inlineStr">
        <is>
          <t>L5 | Palet (4000037): 1 adet | Çember (4000450): 7 m | Shrink film (4000608): kullanılmaz</t>
        </is>
      </c>
      <c r="F78" s="25" t="inlineStr">
        <is>
          <t>L5 | Palet (4000037): 1 adet | Çember (4000450): 7 m | Shrink film (4000608): kullanılmaz</t>
        </is>
      </c>
      <c r="G78" s="25" t="inlineStr">
        <is>
          <t>L5 | Pallet (4000037): 1 pc | Strap (4000450): 7 m | Shrink film (4000608): not used</t>
        </is>
      </c>
      <c r="H78" s="25" t="n">
        <v>27.9192</v>
      </c>
      <c r="I78" s="25" t="n">
        <v>1</v>
      </c>
      <c r="J78" s="25" t="n">
        <v>6</v>
      </c>
      <c r="K78" s="25" t="inlineStr">
        <is>
          <t>IA-PPWR-TF-ST-045-STD-06-R00</t>
        </is>
      </c>
      <c r="L78" s="25" t="inlineStr">
        <is>
          <t>IA-PPWR-DOC-ST-045-STD-06-R00</t>
        </is>
      </c>
      <c r="M78" s="25" t="inlineStr">
        <is>
          <t>IA-PPWR-LBL-ST-045-STD-06-R00</t>
        </is>
      </c>
      <c r="N78" s="25" t="inlineStr">
        <is>
          <t>IA-PPWR-STM-ST-045-STD-06-R00</t>
        </is>
      </c>
    </row>
    <row r="79">
      <c r="A79" s="25" t="inlineStr">
        <is>
          <t>ST-045-STD-07</t>
        </is>
      </c>
      <c r="B79" s="25" t="inlineStr">
        <is>
          <t>IA-ST-045-STD-07</t>
        </is>
      </c>
      <c r="C79" s="25" t="inlineStr">
        <is>
          <t>IA-ST-CFG-0095</t>
        </is>
      </c>
      <c r="D79" s="25" t="inlineStr">
        <is>
          <t>STARTER</t>
        </is>
      </c>
      <c r="E79" s="25" t="inlineStr">
        <is>
          <t>LB5 | Palet (4000037): 1 adet | Shrink film (4000608): 1.53 kg</t>
        </is>
      </c>
      <c r="F79" s="25" t="inlineStr">
        <is>
          <t>LB5 | Palet (4000037): 1 adet | Shrink film (4000608): 1.53 kg</t>
        </is>
      </c>
      <c r="G79" s="25" t="inlineStr">
        <is>
          <t>LB5 | Pallet (4000037): 1 pc | Shrink film (4000608): 1.53 kg</t>
        </is>
      </c>
      <c r="H79" s="25" t="n">
        <v>29.4492</v>
      </c>
      <c r="I79" s="25" t="n">
        <v>1</v>
      </c>
      <c r="J79" s="25" t="n">
        <v>7</v>
      </c>
      <c r="K79" s="25" t="inlineStr">
        <is>
          <t>IA-PPWR-TF-ST-045-STD-07-R00</t>
        </is>
      </c>
      <c r="L79" s="25" t="inlineStr">
        <is>
          <t>IA-PPWR-DOC-ST-045-STD-07-R00</t>
        </is>
      </c>
      <c r="M79" s="25" t="inlineStr">
        <is>
          <t>IA-PPWR-LBL-ST-045-STD-07-R00</t>
        </is>
      </c>
      <c r="N79" s="25" t="inlineStr">
        <is>
          <t>IA-PPWR-STM-ST-045-STD-07-R00</t>
        </is>
      </c>
    </row>
    <row r="80">
      <c r="A80" s="25" t="inlineStr">
        <is>
          <t>ST-045-STD-08</t>
        </is>
      </c>
      <c r="B80" s="25" t="inlineStr">
        <is>
          <t>IA-ST-045-STD-08</t>
        </is>
      </c>
      <c r="C80" s="25" t="inlineStr">
        <is>
          <t>IA-ST-CFG-0096</t>
        </is>
      </c>
      <c r="D80" s="25" t="inlineStr">
        <is>
          <t>STARTER</t>
        </is>
      </c>
      <c r="E80" s="25" t="inlineStr">
        <is>
          <t>L5 | Palet (4000037): 1 adet | Köşebent (4000590): 2 adet | Shrink film (4000608): 1.8 kg</t>
        </is>
      </c>
      <c r="F80" s="25" t="inlineStr">
        <is>
          <t>L5 | Palet (4000037): 1 adet | Köşebent (4000590): 2 adet | Shrink film (4000608): 1.8 kg</t>
        </is>
      </c>
      <c r="G80" s="25" t="inlineStr">
        <is>
          <t>L5 | Pallet (4000037): 1 pc | Edge protector (4000590): 2 pcs | Shrink film (4000608): 1.8 kg</t>
        </is>
      </c>
      <c r="H80" s="25" t="n">
        <v>29.7192</v>
      </c>
      <c r="I80" s="25" t="n">
        <v>77</v>
      </c>
      <c r="J80" s="25" t="n">
        <v>7</v>
      </c>
      <c r="K80" s="25" t="inlineStr">
        <is>
          <t>IA-PPWR-TF-ST-045-STD-08-R00</t>
        </is>
      </c>
      <c r="L80" s="25" t="inlineStr">
        <is>
          <t>IA-PPWR-DOC-ST-045-STD-08-R00</t>
        </is>
      </c>
      <c r="M80" s="25" t="inlineStr">
        <is>
          <t>IA-PPWR-LBL-ST-045-STD-08-R00</t>
        </is>
      </c>
      <c r="N80" s="25" t="inlineStr">
        <is>
          <t>IA-PPWR-STM-ST-045-STD-08-R00</t>
        </is>
      </c>
    </row>
    <row r="81">
      <c r="A81" s="25" t="inlineStr">
        <is>
          <t>ST-045-STD-09</t>
        </is>
      </c>
      <c r="B81" s="25" t="inlineStr">
        <is>
          <t>IA-ST-045-STD-09</t>
        </is>
      </c>
      <c r="C81" s="25" t="inlineStr">
        <is>
          <t>IA-ST-CFG-0097</t>
        </is>
      </c>
      <c r="D81" s="25" t="inlineStr">
        <is>
          <t>STARTER</t>
        </is>
      </c>
      <c r="E81" s="25" t="inlineStr">
        <is>
          <t>TRACTORL, TRACTOR | TRAKTÖR PVC üst kapak (4000494): 45 adet | Köşebent (4000590): kullanılmaz</t>
        </is>
      </c>
      <c r="F81" s="25" t="inlineStr">
        <is>
          <t>TRACTORL, TRACTOR | TRAKTÖR PVC üst kapak (4000494): 45 adet | Köşebent (4000590): kullanılmaz</t>
        </is>
      </c>
      <c r="G81" s="25" t="inlineStr">
        <is>
          <t>TRACTORL, TRACTOR | TRAKTÖR PVC upper cover (4000494): 45 pcs | Edge protector (4000590): not used</t>
        </is>
      </c>
      <c r="H81" s="25" t="n">
        <v>33.063</v>
      </c>
      <c r="I81" s="25" t="n">
        <v>14</v>
      </c>
      <c r="J81" s="25" t="n">
        <v>6</v>
      </c>
      <c r="K81" s="25" t="inlineStr">
        <is>
          <t>IA-PPWR-TF-ST-045-STD-09-R00</t>
        </is>
      </c>
      <c r="L81" s="25" t="inlineStr">
        <is>
          <t>IA-PPWR-DOC-ST-045-STD-09-R00</t>
        </is>
      </c>
      <c r="M81" s="25" t="inlineStr">
        <is>
          <t>IA-PPWR-LBL-ST-045-STD-09-R00</t>
        </is>
      </c>
      <c r="N81" s="25" t="inlineStr">
        <is>
          <t>IA-PPWR-STM-ST-045-STD-09-R00</t>
        </is>
      </c>
    </row>
    <row r="82">
      <c r="A82" s="25" t="inlineStr">
        <is>
          <t>ST-045-STD-10</t>
        </is>
      </c>
      <c r="B82" s="25" t="inlineStr">
        <is>
          <t>IA-ST-045-STD-10</t>
        </is>
      </c>
      <c r="C82" s="25" t="inlineStr">
        <is>
          <t>IA-ST-CFG-0098</t>
        </is>
      </c>
      <c r="D82" s="25" t="inlineStr">
        <is>
          <t>STARTER</t>
        </is>
      </c>
      <c r="E82" s="25" t="inlineStr">
        <is>
          <t>L5 | Palet (4000037): 1 adet | Çember (4000450): kullanılmaz</t>
        </is>
      </c>
      <c r="F82" s="25" t="inlineStr">
        <is>
          <t>L5 | Palet (4000037): 1 adet | Çember (4000450): kullanılmaz</t>
        </is>
      </c>
      <c r="G82" s="25" t="inlineStr">
        <is>
          <t>L5 | Pallet (4000037): 1 pc | Strap (4000450): not used</t>
        </is>
      </c>
      <c r="H82" s="25" t="n">
        <v>29.4324</v>
      </c>
      <c r="I82" s="25" t="n">
        <v>18</v>
      </c>
      <c r="J82" s="25" t="n">
        <v>5</v>
      </c>
      <c r="K82" s="25" t="inlineStr">
        <is>
          <t>IA-PPWR-TF-ST-045-STD-10-R00</t>
        </is>
      </c>
      <c r="L82" s="25" t="inlineStr">
        <is>
          <t>IA-PPWR-DOC-ST-045-STD-10-R00</t>
        </is>
      </c>
      <c r="M82" s="25" t="inlineStr">
        <is>
          <t>IA-PPWR-LBL-ST-045-STD-10-R00</t>
        </is>
      </c>
      <c r="N82" s="25" t="inlineStr">
        <is>
          <t>IA-PPWR-STM-ST-045-STD-10-R00</t>
        </is>
      </c>
    </row>
    <row r="83">
      <c r="A83" s="25" t="inlineStr">
        <is>
          <t>ST-045-STD-11</t>
        </is>
      </c>
      <c r="B83" s="25" t="inlineStr">
        <is>
          <t>IA-ST-045-STD-11</t>
        </is>
      </c>
      <c r="C83" s="25" t="inlineStr">
        <is>
          <t>IA-ST-CFG-0099</t>
        </is>
      </c>
      <c r="D83" s="25" t="inlineStr">
        <is>
          <t>STARTER</t>
        </is>
      </c>
      <c r="E83" s="25" t="inlineStr">
        <is>
          <t>TRACTOR | Palet (4000037): 1 adet | Shrink film (4001177): 0.597 kg</t>
        </is>
      </c>
      <c r="F83" s="25" t="inlineStr">
        <is>
          <t>TRACTOR | Palet (4000037): 1 adet | Shrink film (4001177): 0.597 kg</t>
        </is>
      </c>
      <c r="G83" s="25" t="inlineStr">
        <is>
          <t>TRACTOR | Pallet (4000037): 1 pc | Shrink film (4001177): 0.597 kg</t>
        </is>
      </c>
      <c r="H83" s="25" t="n">
        <v>28.649</v>
      </c>
      <c r="I83" s="25" t="n">
        <v>2</v>
      </c>
      <c r="J83" s="25" t="n">
        <v>7</v>
      </c>
      <c r="K83" s="25" t="inlineStr">
        <is>
          <t>IA-PPWR-TF-ST-045-STD-11-R00</t>
        </is>
      </c>
      <c r="L83" s="25" t="inlineStr">
        <is>
          <t>IA-PPWR-DOC-ST-045-STD-11-R00</t>
        </is>
      </c>
      <c r="M83" s="25" t="inlineStr">
        <is>
          <t>IA-PPWR-LBL-ST-045-STD-11-R00</t>
        </is>
      </c>
      <c r="N83" s="25" t="inlineStr">
        <is>
          <t>IA-PPWR-STM-ST-045-STD-11-R00</t>
        </is>
      </c>
    </row>
    <row r="84">
      <c r="A84" s="25" t="inlineStr">
        <is>
          <t>ST-045-STD-12</t>
        </is>
      </c>
      <c r="B84" s="25" t="inlineStr">
        <is>
          <t>IA-ST-045-STD-12</t>
        </is>
      </c>
      <c r="C84" s="25" t="inlineStr">
        <is>
          <t>IA-ST-CFG-0100</t>
        </is>
      </c>
      <c r="D84" s="25" t="inlineStr">
        <is>
          <t>STARTER</t>
        </is>
      </c>
      <c r="E84" s="25" t="inlineStr">
        <is>
          <t>L5 | Palet (4000037): 1 adet | Köşebent (4000590): 2 adet | Shrink film (4001177): 0.597 kg</t>
        </is>
      </c>
      <c r="F84" s="25" t="inlineStr">
        <is>
          <t>L5 | Palet (4000037): 1 adet | Köşebent (4000590): 2 adet | Shrink film (4001177): 0.597 kg</t>
        </is>
      </c>
      <c r="G84" s="25" t="inlineStr">
        <is>
          <t>L5 | Pallet (4000037): 1 pc | Edge protector (4000590): 2 pcs | Shrink film (4001177): 0.597 kg</t>
        </is>
      </c>
      <c r="H84" s="25" t="n">
        <v>28.417</v>
      </c>
      <c r="I84" s="25" t="n">
        <v>1</v>
      </c>
      <c r="J84" s="25" t="n">
        <v>6</v>
      </c>
      <c r="K84" s="25" t="inlineStr">
        <is>
          <t>IA-PPWR-TF-ST-045-STD-12-R00</t>
        </is>
      </c>
      <c r="L84" s="25" t="inlineStr">
        <is>
          <t>IA-PPWR-DOC-ST-045-STD-12-R00</t>
        </is>
      </c>
      <c r="M84" s="25" t="inlineStr">
        <is>
          <t>IA-PPWR-LBL-ST-045-STD-12-R00</t>
        </is>
      </c>
      <c r="N84" s="25" t="inlineStr">
        <is>
          <t>IA-PPWR-STM-ST-045-STD-12-R00</t>
        </is>
      </c>
    </row>
    <row r="85">
      <c r="A85" s="25" t="inlineStr">
        <is>
          <t>ST-045-STD-13</t>
        </is>
      </c>
      <c r="B85" s="25" t="inlineStr">
        <is>
          <t>IA-ST-045-STD-13</t>
        </is>
      </c>
      <c r="C85" s="25" t="inlineStr">
        <is>
          <t>IA-ST-CFG-0101</t>
        </is>
      </c>
      <c r="D85" s="25" t="inlineStr">
        <is>
          <t>STARTER</t>
        </is>
      </c>
      <c r="E85" s="25" t="inlineStr">
        <is>
          <t>L5 | Palet (4000037): 1 adet | Köşebent (4000590): 4 adet | Shrink film (4001177): 0.597 kg</t>
        </is>
      </c>
      <c r="F85" s="25" t="inlineStr">
        <is>
          <t>L5 | Palet (4000037): 1 adet | Köşebent (4000590): 4 adet | Shrink film (4001177): 0.597 kg</t>
        </is>
      </c>
      <c r="G85" s="25" t="inlineStr">
        <is>
          <t>L5 | Pallet (4000037): 1 pc | Edge protector (4000590): 4 pcs | Shrink film (4001177): 0.597 kg</t>
        </is>
      </c>
      <c r="H85" s="25" t="n">
        <v>28.617</v>
      </c>
      <c r="I85" s="25" t="n">
        <v>2</v>
      </c>
      <c r="J85" s="25" t="n">
        <v>6</v>
      </c>
      <c r="K85" s="25" t="inlineStr">
        <is>
          <t>IA-PPWR-TF-ST-045-STD-13-R00</t>
        </is>
      </c>
      <c r="L85" s="25" t="inlineStr">
        <is>
          <t>IA-PPWR-DOC-ST-045-STD-13-R00</t>
        </is>
      </c>
      <c r="M85" s="25" t="inlineStr">
        <is>
          <t>IA-PPWR-LBL-ST-045-STD-13-R00</t>
        </is>
      </c>
      <c r="N85" s="25" t="inlineStr">
        <is>
          <t>IA-PPWR-STM-ST-045-STD-13-R00</t>
        </is>
      </c>
    </row>
    <row r="86">
      <c r="A86" s="25" t="inlineStr">
        <is>
          <t>ST-045-STD-14</t>
        </is>
      </c>
      <c r="B86" s="25" t="inlineStr">
        <is>
          <t>IA-ST-045-STD-14</t>
        </is>
      </c>
      <c r="C86" s="25" t="inlineStr">
        <is>
          <t>IA-ST-CFG-0102</t>
        </is>
      </c>
      <c r="D86" s="25" t="inlineStr">
        <is>
          <t>STARTER</t>
        </is>
      </c>
      <c r="E86" s="25" t="inlineStr">
        <is>
          <t>L5 | Palet (4000037): 1 adet | Separatör (4000130): 5 adet</t>
        </is>
      </c>
      <c r="F86" s="25" t="inlineStr">
        <is>
          <t>L5 | Palet (4000037): 1 adet | Separatör (4000130): 5 adet</t>
        </is>
      </c>
      <c r="G86" s="25" t="inlineStr">
        <is>
          <t>L5 | Pallet (4000037): 1 pc | Separator (4000130): 5 pcs</t>
        </is>
      </c>
      <c r="H86" s="25" t="n">
        <v>28.476</v>
      </c>
      <c r="I86" s="25" t="n">
        <v>1</v>
      </c>
      <c r="J86" s="25" t="n">
        <v>6</v>
      </c>
      <c r="K86" s="25" t="inlineStr">
        <is>
          <t>IA-PPWR-TF-ST-045-STD-14-R00</t>
        </is>
      </c>
      <c r="L86" s="25" t="inlineStr">
        <is>
          <t>IA-PPWR-DOC-ST-045-STD-14-R00</t>
        </is>
      </c>
      <c r="M86" s="25" t="inlineStr">
        <is>
          <t>IA-PPWR-LBL-ST-045-STD-14-R00</t>
        </is>
      </c>
      <c r="N86" s="25" t="inlineStr">
        <is>
          <t>IA-PPWR-STM-ST-045-STD-14-R00</t>
        </is>
      </c>
    </row>
    <row r="87">
      <c r="A87" s="25" t="inlineStr">
        <is>
          <t>ST-048-EUR-01</t>
        </is>
      </c>
      <c r="B87" s="25" t="inlineStr">
        <is>
          <t>IA-ST-048-EUR-01</t>
        </is>
      </c>
      <c r="C87" s="25" t="inlineStr">
        <is>
          <t>IA-ST-CFG-0105</t>
        </is>
      </c>
      <c r="D87" s="25" t="inlineStr">
        <is>
          <t>STARTER</t>
        </is>
      </c>
      <c r="E87" s="25" t="inlineStr">
        <is>
          <t>L5 | L5 İnci AGM LEO 95AH 870A pencereli dış koli (4001194): 48 adet</t>
        </is>
      </c>
      <c r="F87" s="25" t="inlineStr">
        <is>
          <t>L5 | L5 İnci AGM LEO 95AH 870A pencereli dış koli (4001194): 48 adet</t>
        </is>
      </c>
      <c r="G87" s="25" t="inlineStr">
        <is>
          <t>L5 | L5 İnci AGM LEO 95AH 870A windowed outer carton (4001194): 48 pcs</t>
        </is>
      </c>
      <c r="H87" s="25" t="n">
        <v>44.6524</v>
      </c>
      <c r="I87" s="25" t="n">
        <v>1</v>
      </c>
      <c r="J87" s="25" t="n">
        <v>6</v>
      </c>
      <c r="K87" s="25" t="inlineStr">
        <is>
          <t>IA-PPWR-TF-ST-048-EUR-01-R00</t>
        </is>
      </c>
      <c r="L87" s="25" t="inlineStr">
        <is>
          <t>IA-PPWR-DOC-ST-048-EUR-01-R00</t>
        </is>
      </c>
      <c r="M87" s="25" t="inlineStr">
        <is>
          <t>IA-PPWR-LBL-ST-048-EUR-01-R00</t>
        </is>
      </c>
      <c r="N87" s="25" t="inlineStr">
        <is>
          <t>IA-PPWR-STM-ST-048-EUR-01-R00</t>
        </is>
      </c>
    </row>
    <row r="88">
      <c r="A88" s="25" t="inlineStr">
        <is>
          <t>ST-048-EUR-02</t>
        </is>
      </c>
      <c r="B88" s="25" t="inlineStr">
        <is>
          <t>IA-ST-048-EUR-02</t>
        </is>
      </c>
      <c r="C88" s="25" t="inlineStr">
        <is>
          <t>IA-ST-CFG-0107</t>
        </is>
      </c>
      <c r="D88" s="25" t="inlineStr">
        <is>
          <t>STARTER</t>
        </is>
      </c>
      <c r="E88" s="25" t="inlineStr">
        <is>
          <t>D26 | D26 PVC üst kapak (4000440): 48 adet</t>
        </is>
      </c>
      <c r="F88" s="25" t="inlineStr">
        <is>
          <t>D26 | D26 PVC üst kapak (4000440): 48 adet</t>
        </is>
      </c>
      <c r="G88" s="25" t="inlineStr">
        <is>
          <t>D26 | D26 PVC upper cover (4000440): 48 pcs</t>
        </is>
      </c>
      <c r="H88" s="25" t="n">
        <v>32.3872</v>
      </c>
      <c r="I88" s="25" t="n">
        <v>11</v>
      </c>
      <c r="J88" s="25" t="n">
        <v>8</v>
      </c>
      <c r="K88" s="25" t="inlineStr">
        <is>
          <t>IA-PPWR-TF-ST-048-EUR-02-R00</t>
        </is>
      </c>
      <c r="L88" s="25" t="inlineStr">
        <is>
          <t>IA-PPWR-DOC-ST-048-EUR-02-R00</t>
        </is>
      </c>
      <c r="M88" s="25" t="inlineStr">
        <is>
          <t>IA-PPWR-LBL-ST-048-EUR-02-R00</t>
        </is>
      </c>
      <c r="N88" s="25" t="inlineStr">
        <is>
          <t>IA-PPWR-STM-ST-048-EUR-02-R00</t>
        </is>
      </c>
    </row>
    <row r="89">
      <c r="A89" s="25" t="inlineStr">
        <is>
          <t>ST-048-EUR-03</t>
        </is>
      </c>
      <c r="B89" s="25" t="inlineStr">
        <is>
          <t>IA-ST-048-EUR-03</t>
        </is>
      </c>
      <c r="C89" s="25" t="inlineStr">
        <is>
          <t>IA-ST-CFG-0109</t>
        </is>
      </c>
      <c r="D89" s="25" t="inlineStr">
        <is>
          <t>STARTER</t>
        </is>
      </c>
      <c r="E89" s="25" t="inlineStr">
        <is>
          <t>D31 | Palet (4000038): 1 adet | EPS (4000573): 24 adet</t>
        </is>
      </c>
      <c r="F89" s="25" t="inlineStr">
        <is>
          <t>D31 | Palet (4000038): 1 adet | EPS (4000573): 24 adet</t>
        </is>
      </c>
      <c r="G89" s="25" t="inlineStr">
        <is>
          <t>D31 | Pallet (4000038): 1 pc | EPS (4000573): 24 pcs</t>
        </is>
      </c>
      <c r="H89" s="25" t="n">
        <v>29.174</v>
      </c>
      <c r="I89" s="25" t="n">
        <v>1</v>
      </c>
      <c r="J89" s="25" t="n">
        <v>7</v>
      </c>
      <c r="K89" s="25" t="inlineStr">
        <is>
          <t>IA-PPWR-TF-ST-048-EUR-03-R00</t>
        </is>
      </c>
      <c r="L89" s="25" t="inlineStr">
        <is>
          <t>IA-PPWR-DOC-ST-048-EUR-03-R00</t>
        </is>
      </c>
      <c r="M89" s="25" t="inlineStr">
        <is>
          <t>IA-PPWR-LBL-ST-048-EUR-03-R00</t>
        </is>
      </c>
      <c r="N89" s="25" t="inlineStr">
        <is>
          <t>IA-PPWR-STM-ST-048-EUR-03-R00</t>
        </is>
      </c>
    </row>
    <row r="90">
      <c r="A90" s="25" t="inlineStr">
        <is>
          <t>ST-048-EUR-04</t>
        </is>
      </c>
      <c r="B90" s="25" t="inlineStr">
        <is>
          <t>IA-ST-048-EUR-04</t>
        </is>
      </c>
      <c r="C90" s="25" t="inlineStr">
        <is>
          <t>IA-ST-CFG-0110</t>
        </is>
      </c>
      <c r="D90" s="25" t="inlineStr">
        <is>
          <t>STARTER</t>
        </is>
      </c>
      <c r="E90" s="25" t="inlineStr">
        <is>
          <t>L5 | Palet (4000038): 1 adet | Shrink film (4000608): 1.92 kg</t>
        </is>
      </c>
      <c r="F90" s="25" t="inlineStr">
        <is>
          <t>L5 | Palet (4000038): 1 adet | Shrink film (4000608): 1.92 kg</t>
        </is>
      </c>
      <c r="G90" s="25" t="inlineStr">
        <is>
          <t>L5 | Pallet (4000038): 1 pc | Shrink film (4000608): 1.92 kg</t>
        </is>
      </c>
      <c r="H90" s="25" t="n">
        <v>30.046</v>
      </c>
      <c r="I90" s="25" t="n">
        <v>1</v>
      </c>
      <c r="J90" s="25" t="n">
        <v>7</v>
      </c>
      <c r="K90" s="25" t="inlineStr">
        <is>
          <t>IA-PPWR-TF-ST-048-EUR-04-R00</t>
        </is>
      </c>
      <c r="L90" s="25" t="inlineStr">
        <is>
          <t>IA-PPWR-DOC-ST-048-EUR-04-R00</t>
        </is>
      </c>
      <c r="M90" s="25" t="inlineStr">
        <is>
          <t>IA-PPWR-LBL-ST-048-EUR-04-R00</t>
        </is>
      </c>
      <c r="N90" s="25" t="inlineStr">
        <is>
          <t>IA-PPWR-STM-ST-048-EUR-04-R00</t>
        </is>
      </c>
    </row>
    <row r="91">
      <c r="A91" s="25" t="inlineStr">
        <is>
          <t>ST-048-EUR-05</t>
        </is>
      </c>
      <c r="B91" s="25" t="inlineStr">
        <is>
          <t>IA-ST-048-EUR-05</t>
        </is>
      </c>
      <c r="C91" s="25" t="inlineStr">
        <is>
          <t>IA-ST-CFG-0111</t>
        </is>
      </c>
      <c r="D91" s="25" t="inlineStr">
        <is>
          <t>STARTER</t>
        </is>
      </c>
      <c r="E91" s="25" t="inlineStr">
        <is>
          <t>D31 | Palet (4000038): 1 adet | Honeycomb (4001186): 3 adet</t>
        </is>
      </c>
      <c r="F91" s="25" t="inlineStr">
        <is>
          <t>D31 | Palet (4000038): 1 adet | Honeycomb (4001186): 3 adet</t>
        </is>
      </c>
      <c r="G91" s="25" t="inlineStr">
        <is>
          <t>D31 | Pallet (4000038): 1 pc | Honeycomb (4001186): 3 pcs</t>
        </is>
      </c>
      <c r="H91" s="25" t="n">
        <v>30.326</v>
      </c>
      <c r="I91" s="25" t="n">
        <v>9</v>
      </c>
      <c r="J91" s="25" t="n">
        <v>7</v>
      </c>
      <c r="K91" s="25" t="inlineStr">
        <is>
          <t>IA-PPWR-TF-ST-048-EUR-05-R00</t>
        </is>
      </c>
      <c r="L91" s="25" t="inlineStr">
        <is>
          <t>IA-PPWR-DOC-ST-048-EUR-05-R00</t>
        </is>
      </c>
      <c r="M91" s="25" t="inlineStr">
        <is>
          <t>IA-PPWR-LBL-ST-048-EUR-05-R00</t>
        </is>
      </c>
      <c r="N91" s="25" t="inlineStr">
        <is>
          <t>IA-PPWR-STM-ST-048-EUR-05-R00</t>
        </is>
      </c>
    </row>
    <row r="92">
      <c r="A92" s="25" t="inlineStr">
        <is>
          <t>ST-048-EUR-06</t>
        </is>
      </c>
      <c r="B92" s="25" t="inlineStr">
        <is>
          <t>IA-ST-048-EUR-06</t>
        </is>
      </c>
      <c r="C92" s="25" t="inlineStr">
        <is>
          <t>IA-ST-CFG-0112</t>
        </is>
      </c>
      <c r="D92" s="25" t="inlineStr">
        <is>
          <t>STARTER</t>
        </is>
      </c>
      <c r="E92" s="25" t="inlineStr">
        <is>
          <t>D31 | Palet (4000038): 1 adet | Köşebent (4000590): 4 adet | EPS (4001247): 3 adet</t>
        </is>
      </c>
      <c r="F92" s="25" t="inlineStr">
        <is>
          <t>D31 | Palet (4000038): 1 adet | Köşebent (4000590): 4 adet | EPS (4001247): 3 adet</t>
        </is>
      </c>
      <c r="G92" s="25" t="inlineStr">
        <is>
          <t>D31 | Pallet (4000038): 1 pc | Edge protector (4000590): 4 pcs | EPS (4001247): 3 pcs</t>
        </is>
      </c>
      <c r="H92" s="25" t="n">
        <v>27.506</v>
      </c>
      <c r="I92" s="25" t="n">
        <v>4</v>
      </c>
      <c r="J92" s="25" t="n">
        <v>7</v>
      </c>
      <c r="K92" s="25" t="inlineStr">
        <is>
          <t>IA-PPWR-TF-ST-048-EUR-06-R00</t>
        </is>
      </c>
      <c r="L92" s="25" t="inlineStr">
        <is>
          <t>IA-PPWR-DOC-ST-048-EUR-06-R00</t>
        </is>
      </c>
      <c r="M92" s="25" t="inlineStr">
        <is>
          <t>IA-PPWR-LBL-ST-048-EUR-06-R00</t>
        </is>
      </c>
      <c r="N92" s="25" t="inlineStr">
        <is>
          <t>IA-PPWR-STM-ST-048-EUR-06-R00</t>
        </is>
      </c>
    </row>
    <row r="93">
      <c r="A93" s="25" t="inlineStr">
        <is>
          <t>ST-048-EUR-07</t>
        </is>
      </c>
      <c r="B93" s="25" t="inlineStr">
        <is>
          <t>IA-ST-048-EUR-07</t>
        </is>
      </c>
      <c r="C93" s="25" t="inlineStr">
        <is>
          <t>IA-ST-CFG-0113</t>
        </is>
      </c>
      <c r="D93" s="25" t="inlineStr">
        <is>
          <t>STARTER</t>
        </is>
      </c>
      <c r="E93" s="25" t="inlineStr">
        <is>
          <t>L3 | Palet (4000038): 1 adet | Köşebent (4000590): 4 adet</t>
        </is>
      </c>
      <c r="F93" s="25" t="inlineStr">
        <is>
          <t>L3 | Palet (4000038): 1 adet | Köşebent (4000590): 4 adet</t>
        </is>
      </c>
      <c r="G93" s="25" t="inlineStr">
        <is>
          <t>L3 | Pallet (4000038): 1 pc | Edge protector (4000590): 4 pcs</t>
        </is>
      </c>
      <c r="H93" s="25" t="n">
        <v>27.926</v>
      </c>
      <c r="I93" s="25" t="n">
        <v>14</v>
      </c>
      <c r="J93" s="25" t="n">
        <v>6</v>
      </c>
      <c r="K93" s="25" t="inlineStr">
        <is>
          <t>IA-PPWR-TF-ST-048-EUR-07-R00</t>
        </is>
      </c>
      <c r="L93" s="25" t="inlineStr">
        <is>
          <t>IA-PPWR-DOC-ST-048-EUR-07-R00</t>
        </is>
      </c>
      <c r="M93" s="25" t="inlineStr">
        <is>
          <t>IA-PPWR-LBL-ST-048-EUR-07-R00</t>
        </is>
      </c>
      <c r="N93" s="25" t="inlineStr">
        <is>
          <t>IA-PPWR-STM-ST-048-EUR-07-R00</t>
        </is>
      </c>
    </row>
    <row r="94">
      <c r="A94" s="25" t="inlineStr">
        <is>
          <t>ST-048-EUR-08</t>
        </is>
      </c>
      <c r="B94" s="25" t="inlineStr">
        <is>
          <t>IA-ST-048-EUR-08</t>
        </is>
      </c>
      <c r="C94" s="25" t="inlineStr">
        <is>
          <t>IA-ST-CFG-0114</t>
        </is>
      </c>
      <c r="D94" s="25" t="inlineStr">
        <is>
          <t>STARTER</t>
        </is>
      </c>
      <c r="E94" s="25" t="inlineStr">
        <is>
          <t>L5 | Palet (4000038): 1 adet | Köşebent (4000590): 4 adet | Shrink film (4000608): kullanılmaz</t>
        </is>
      </c>
      <c r="F94" s="25" t="inlineStr">
        <is>
          <t>L5 | Palet (4000038): 1 adet | Köşebent (4000590): 4 adet | Shrink film (4000608): kullanılmaz</t>
        </is>
      </c>
      <c r="G94" s="25" t="inlineStr">
        <is>
          <t>L5 | Pallet (4000038): 1 pc | Edge protector (4000590): 4 pcs | Shrink film (4000608): not used</t>
        </is>
      </c>
      <c r="H94" s="25" t="n">
        <v>28.126</v>
      </c>
      <c r="I94" s="25" t="n">
        <v>5</v>
      </c>
      <c r="J94" s="25" t="n">
        <v>6</v>
      </c>
      <c r="K94" s="25" t="inlineStr">
        <is>
          <t>IA-PPWR-TF-ST-048-EUR-08-R00</t>
        </is>
      </c>
      <c r="L94" s="25" t="inlineStr">
        <is>
          <t>IA-PPWR-DOC-ST-048-EUR-08-R00</t>
        </is>
      </c>
      <c r="M94" s="25" t="inlineStr">
        <is>
          <t>IA-PPWR-LBL-ST-048-EUR-08-R00</t>
        </is>
      </c>
      <c r="N94" s="25" t="inlineStr">
        <is>
          <t>IA-PPWR-STM-ST-048-EUR-08-R00</t>
        </is>
      </c>
    </row>
    <row r="95">
      <c r="A95" s="25" t="inlineStr">
        <is>
          <t>ST-048-EUR-09</t>
        </is>
      </c>
      <c r="B95" s="25" t="inlineStr">
        <is>
          <t>IA-ST-048-EUR-09</t>
        </is>
      </c>
      <c r="C95" s="25" t="inlineStr">
        <is>
          <t>IA-ST-CFG-0115</t>
        </is>
      </c>
      <c r="D95" s="25" t="inlineStr">
        <is>
          <t>STARTER</t>
        </is>
      </c>
      <c r="E95" s="25" t="inlineStr">
        <is>
          <t>D31 | D31 PVC üst kapak (4001310): 48 adet</t>
        </is>
      </c>
      <c r="F95" s="25" t="inlineStr">
        <is>
          <t>D31 | D31 PVC üst kapak (4001310): 48 adet</t>
        </is>
      </c>
      <c r="G95" s="25" t="inlineStr">
        <is>
          <t>D31 | D31 PVC upper cover (4001310): 48 pcs</t>
        </is>
      </c>
      <c r="H95" s="25" t="n">
        <v>32.8524</v>
      </c>
      <c r="I95" s="25" t="n">
        <v>23</v>
      </c>
      <c r="J95" s="25" t="n">
        <v>8</v>
      </c>
      <c r="K95" s="25" t="inlineStr">
        <is>
          <t>IA-PPWR-TF-ST-048-EUR-09-R00</t>
        </is>
      </c>
      <c r="L95" s="25" t="inlineStr">
        <is>
          <t>IA-PPWR-DOC-ST-048-EUR-09-R00</t>
        </is>
      </c>
      <c r="M95" s="25" t="inlineStr">
        <is>
          <t>IA-PPWR-LBL-ST-048-EUR-09-R00</t>
        </is>
      </c>
      <c r="N95" s="25" t="inlineStr">
        <is>
          <t>IA-PPWR-STM-ST-048-EUR-09-R00</t>
        </is>
      </c>
    </row>
    <row r="96">
      <c r="A96" s="25" t="inlineStr">
        <is>
          <t>ST-048-EUR-10</t>
        </is>
      </c>
      <c r="B96" s="25" t="inlineStr">
        <is>
          <t>IA-ST-048-EUR-10</t>
        </is>
      </c>
      <c r="C96" s="25" t="inlineStr">
        <is>
          <t>IA-ST-CFG-0116</t>
        </is>
      </c>
      <c r="D96" s="25" t="inlineStr">
        <is>
          <t>STARTER</t>
        </is>
      </c>
      <c r="E96" s="25" t="inlineStr">
        <is>
          <t>L5, LB5 | Palet (4000038): 1 adet | Shrink film (4000608): 1.92 kg</t>
        </is>
      </c>
      <c r="F96" s="25" t="inlineStr">
        <is>
          <t>L5, LB5 | Palet (4000038): 1 adet | Shrink film (4000608): 1.92 kg</t>
        </is>
      </c>
      <c r="G96" s="25" t="inlineStr">
        <is>
          <t>L5, LB5 | Pallet (4000038): 1 pc | Shrink film (4000608): 1.92 kg</t>
        </is>
      </c>
      <c r="H96" s="25" t="n">
        <v>29.7592</v>
      </c>
      <c r="I96" s="25" t="n">
        <v>28</v>
      </c>
      <c r="J96" s="25" t="n">
        <v>7</v>
      </c>
      <c r="K96" s="25" t="inlineStr">
        <is>
          <t>IA-PPWR-TF-ST-048-EUR-10-R00</t>
        </is>
      </c>
      <c r="L96" s="25" t="inlineStr">
        <is>
          <t>IA-PPWR-DOC-ST-048-EUR-10-R00</t>
        </is>
      </c>
      <c r="M96" s="25" t="inlineStr">
        <is>
          <t>IA-PPWR-LBL-ST-048-EUR-10-R00</t>
        </is>
      </c>
      <c r="N96" s="25" t="inlineStr">
        <is>
          <t>IA-PPWR-STM-ST-048-EUR-10-R00</t>
        </is>
      </c>
    </row>
    <row r="97">
      <c r="A97" s="25" t="inlineStr">
        <is>
          <t>ST-048-EUR-11</t>
        </is>
      </c>
      <c r="B97" s="25" t="inlineStr">
        <is>
          <t>IA-ST-048-EUR-11</t>
        </is>
      </c>
      <c r="C97" s="25" t="inlineStr">
        <is>
          <t>IA-ST-CFG-0117</t>
        </is>
      </c>
      <c r="D97" s="25" t="inlineStr">
        <is>
          <t>STARTER</t>
        </is>
      </c>
      <c r="E97" s="25" t="inlineStr">
        <is>
          <t>D31 | Palet (4000038): 1 adet | Köşebent (4000590): 2 adet | EPS (4001247): 3 adet</t>
        </is>
      </c>
      <c r="F97" s="25" t="inlineStr">
        <is>
          <t>D31 | Palet (4000038): 1 adet | Köşebent (4000590): 2 adet | EPS (4001247): 3 adet</t>
        </is>
      </c>
      <c r="G97" s="25" t="inlineStr">
        <is>
          <t>D31 | Pallet (4000038): 1 pc | Edge protector (4000590): 2 pcs | EPS (4001247): 3 pcs</t>
        </is>
      </c>
      <c r="H97" s="25" t="n">
        <v>27.8192</v>
      </c>
      <c r="I97" s="25" t="n">
        <v>1</v>
      </c>
      <c r="J97" s="25" t="n">
        <v>7</v>
      </c>
      <c r="K97" s="25" t="inlineStr">
        <is>
          <t>IA-PPWR-TF-ST-048-EUR-11-R00</t>
        </is>
      </c>
      <c r="L97" s="25" t="inlineStr">
        <is>
          <t>IA-PPWR-DOC-ST-048-EUR-11-R00</t>
        </is>
      </c>
      <c r="M97" s="25" t="inlineStr">
        <is>
          <t>IA-PPWR-LBL-ST-048-EUR-11-R00</t>
        </is>
      </c>
      <c r="N97" s="25" t="inlineStr">
        <is>
          <t>IA-PPWR-STM-ST-048-EUR-11-R00</t>
        </is>
      </c>
    </row>
    <row r="98">
      <c r="A98" s="25" t="inlineStr">
        <is>
          <t>ST-048-EUR-12</t>
        </is>
      </c>
      <c r="B98" s="25" t="inlineStr">
        <is>
          <t>IA-ST-048-EUR-12</t>
        </is>
      </c>
      <c r="C98" s="25" t="inlineStr">
        <is>
          <t>IA-ST-CFG-0118</t>
        </is>
      </c>
      <c r="D98" s="25" t="inlineStr">
        <is>
          <t>STARTER</t>
        </is>
      </c>
      <c r="E98" s="25" t="inlineStr">
        <is>
          <t>LB5, L5 | Palet (4000038): 1 adet | Köşebent (4000590): 2 adet</t>
        </is>
      </c>
      <c r="F98" s="25" t="inlineStr">
        <is>
          <t>LB5, L5 | Palet (4000038): 1 adet | Köşebent (4000590): 2 adet</t>
        </is>
      </c>
      <c r="G98" s="25" t="inlineStr">
        <is>
          <t>LB5, L5 | Pallet (4000038): 1 pc | Edge protector (4000590): 2 pcs</t>
        </is>
      </c>
      <c r="H98" s="25" t="n">
        <v>27.8392</v>
      </c>
      <c r="I98" s="25" t="n">
        <v>5</v>
      </c>
      <c r="J98" s="25" t="n">
        <v>6</v>
      </c>
      <c r="K98" s="25" t="inlineStr">
        <is>
          <t>IA-PPWR-TF-ST-048-EUR-12-R00</t>
        </is>
      </c>
      <c r="L98" s="25" t="inlineStr">
        <is>
          <t>IA-PPWR-DOC-ST-048-EUR-12-R00</t>
        </is>
      </c>
      <c r="M98" s="25" t="inlineStr">
        <is>
          <t>IA-PPWR-LBL-ST-048-EUR-12-R00</t>
        </is>
      </c>
      <c r="N98" s="25" t="inlineStr">
        <is>
          <t>IA-PPWR-STM-ST-048-EUR-12-R00</t>
        </is>
      </c>
    </row>
    <row r="99">
      <c r="A99" s="25" t="inlineStr">
        <is>
          <t>ST-048-STD-01</t>
        </is>
      </c>
      <c r="B99" s="25" t="inlineStr">
        <is>
          <t>IA-ST-048-STD-01</t>
        </is>
      </c>
      <c r="C99" s="25" t="inlineStr">
        <is>
          <t>IA-ST-CFG-0104</t>
        </is>
      </c>
      <c r="D99" s="25" t="inlineStr">
        <is>
          <t>STARTER</t>
        </is>
      </c>
      <c r="E99" s="25" t="inlineStr">
        <is>
          <t>L1 | L1 YUASA penceresiz Orta Doğu dış koli (4001312): 48 adet</t>
        </is>
      </c>
      <c r="F99" s="25" t="inlineStr">
        <is>
          <t>L1 | L1 YUASA penceresiz Orta Doğu dış koli (4001312): 48 adet</t>
        </is>
      </c>
      <c r="G99" s="25" t="inlineStr">
        <is>
          <t>L1 | L1 YUASA windowless Middle East outer carton (4001312): 48 pcs</t>
        </is>
      </c>
      <c r="H99" s="25" t="n">
        <v>40.316</v>
      </c>
      <c r="I99" s="25" t="n">
        <v>1</v>
      </c>
      <c r="J99" s="25" t="n">
        <v>7</v>
      </c>
      <c r="K99" s="25" t="inlineStr">
        <is>
          <t>IA-PPWR-TF-ST-048-STD-01-R00</t>
        </is>
      </c>
      <c r="L99" s="25" t="inlineStr">
        <is>
          <t>IA-PPWR-DOC-ST-048-STD-01-R00</t>
        </is>
      </c>
      <c r="M99" s="25" t="inlineStr">
        <is>
          <t>IA-PPWR-LBL-ST-048-STD-01-R00</t>
        </is>
      </c>
      <c r="N99" s="25" t="inlineStr">
        <is>
          <t>IA-PPWR-STM-ST-048-STD-01-R00</t>
        </is>
      </c>
    </row>
    <row r="100">
      <c r="A100" s="25" t="inlineStr">
        <is>
          <t>ST-048-STD-02</t>
        </is>
      </c>
      <c r="B100" s="25" t="inlineStr">
        <is>
          <t>IA-ST-048-STD-02</t>
        </is>
      </c>
      <c r="C100" s="25" t="inlineStr">
        <is>
          <t>IA-ST-CFG-0106</t>
        </is>
      </c>
      <c r="D100" s="25" t="inlineStr">
        <is>
          <t>STARTER</t>
        </is>
      </c>
      <c r="E100" s="25" t="inlineStr">
        <is>
          <t>L2 | Palet (4000037): 1 adet | Shrink film (4000558): 1.824 kg</t>
        </is>
      </c>
      <c r="F100" s="25" t="inlineStr">
        <is>
          <t>L2 | Palet (4000037): 1 adet | Shrink film (4000558): 1.824 kg</t>
        </is>
      </c>
      <c r="G100" s="25" t="inlineStr">
        <is>
          <t>L2 | Pallet (4000037): 1 pc | Shrink film (4000558): 1.824 kg</t>
        </is>
      </c>
      <c r="H100" s="25" t="n">
        <v>29.76</v>
      </c>
      <c r="I100" s="25" t="n">
        <v>1</v>
      </c>
      <c r="J100" s="25" t="n">
        <v>7</v>
      </c>
      <c r="K100" s="25" t="inlineStr">
        <is>
          <t>IA-PPWR-TF-ST-048-STD-02-R00</t>
        </is>
      </c>
      <c r="L100" s="25" t="inlineStr">
        <is>
          <t>IA-PPWR-DOC-ST-048-STD-02-R00</t>
        </is>
      </c>
      <c r="M100" s="25" t="inlineStr">
        <is>
          <t>IA-PPWR-LBL-ST-048-STD-02-R00</t>
        </is>
      </c>
      <c r="N100" s="25" t="inlineStr">
        <is>
          <t>IA-PPWR-STM-ST-048-STD-02-R00</t>
        </is>
      </c>
    </row>
    <row r="101">
      <c r="A101" s="25" t="inlineStr">
        <is>
          <t>ST-051-EUR-01</t>
        </is>
      </c>
      <c r="B101" s="25" t="inlineStr">
        <is>
          <t>IA-ST-051-EUR-01</t>
        </is>
      </c>
      <c r="C101" s="25" t="inlineStr">
        <is>
          <t>IA-ST-CFG-0132</t>
        </is>
      </c>
      <c r="D101" s="25" t="inlineStr">
        <is>
          <t>STARTER</t>
        </is>
      </c>
      <c r="E101" s="25" t="inlineStr">
        <is>
          <t>LB3, L3 | Palet (4000038): 1 adet | Köşebent (4000590): 4 adet</t>
        </is>
      </c>
      <c r="F101" s="25" t="inlineStr">
        <is>
          <t>LB3, L3 | Palet (4000038): 1 adet | Köşebent (4000590): 4 adet</t>
        </is>
      </c>
      <c r="G101" s="25" t="inlineStr">
        <is>
          <t>LB3, L3 | Pallet (4000038): 1 pc | Edge protector (4000590): 4 pcs</t>
        </is>
      </c>
      <c r="H101" s="25" t="n">
        <v>27.926</v>
      </c>
      <c r="I101" s="25" t="n">
        <v>46</v>
      </c>
      <c r="J101" s="25" t="n">
        <v>6</v>
      </c>
      <c r="K101" s="25" t="inlineStr">
        <is>
          <t>IA-PPWR-TF-ST-051-EUR-01-R00</t>
        </is>
      </c>
      <c r="L101" s="25" t="inlineStr">
        <is>
          <t>IA-PPWR-DOC-ST-051-EUR-01-R00</t>
        </is>
      </c>
      <c r="M101" s="25" t="inlineStr">
        <is>
          <t>IA-PPWR-LBL-ST-051-EUR-01-R00</t>
        </is>
      </c>
      <c r="N101" s="25" t="inlineStr">
        <is>
          <t>IA-PPWR-STM-ST-051-EUR-01-R00</t>
        </is>
      </c>
    </row>
    <row r="102">
      <c r="A102" s="25" t="inlineStr">
        <is>
          <t>ST-051-EUR-02</t>
        </is>
      </c>
      <c r="B102" s="25" t="inlineStr">
        <is>
          <t>IA-ST-051-EUR-02</t>
        </is>
      </c>
      <c r="C102" s="25" t="inlineStr">
        <is>
          <t>IA-ST-CFG-0133</t>
        </is>
      </c>
      <c r="D102" s="25" t="inlineStr">
        <is>
          <t>STARTER</t>
        </is>
      </c>
      <c r="E102" s="25" t="inlineStr">
        <is>
          <t>LB3 | Palet (4000038): 1 adet | Shrink film (4000558): 1.579 kg</t>
        </is>
      </c>
      <c r="F102" s="25" t="inlineStr">
        <is>
          <t>LB3 | Palet (4000038): 1 adet | Shrink film (4000558): 1.579 kg</t>
        </is>
      </c>
      <c r="G102" s="25" t="inlineStr">
        <is>
          <t>LB3 | Pallet (4000038): 1 pc | Shrink film (4000558): 1.579 kg</t>
        </is>
      </c>
      <c r="H102" s="25" t="n">
        <v>29.2182</v>
      </c>
      <c r="I102" s="25" t="n">
        <v>1</v>
      </c>
      <c r="J102" s="25" t="n">
        <v>7</v>
      </c>
      <c r="K102" s="25" t="inlineStr">
        <is>
          <t>IA-PPWR-TF-ST-051-EUR-02-R00</t>
        </is>
      </c>
      <c r="L102" s="25" t="inlineStr">
        <is>
          <t>IA-PPWR-DOC-ST-051-EUR-02-R00</t>
        </is>
      </c>
      <c r="M102" s="25" t="inlineStr">
        <is>
          <t>IA-PPWR-LBL-ST-051-EUR-02-R00</t>
        </is>
      </c>
      <c r="N102" s="25" t="inlineStr">
        <is>
          <t>IA-PPWR-STM-ST-051-EUR-02-R00</t>
        </is>
      </c>
    </row>
    <row r="103">
      <c r="A103" s="25" t="inlineStr">
        <is>
          <t>ST-051-EUR-03</t>
        </is>
      </c>
      <c r="B103" s="25" t="inlineStr">
        <is>
          <t>IA-ST-051-EUR-03</t>
        </is>
      </c>
      <c r="C103" s="25" t="inlineStr">
        <is>
          <t>IA-ST-CFG-0134</t>
        </is>
      </c>
      <c r="D103" s="25" t="inlineStr">
        <is>
          <t>STARTER</t>
        </is>
      </c>
      <c r="E103" s="25" t="inlineStr">
        <is>
          <t>L3 | Palet (4000038): 1 adet | Shrink film (4000558): 1.684 kg</t>
        </is>
      </c>
      <c r="F103" s="25" t="inlineStr">
        <is>
          <t>L3 | Palet (4000038): 1 adet | Shrink film (4000558): 1.684 kg</t>
        </is>
      </c>
      <c r="G103" s="25" t="inlineStr">
        <is>
          <t>L3 | Pallet (4000038): 1 pc | Shrink film (4000558): 1.684 kg</t>
        </is>
      </c>
      <c r="H103" s="25" t="n">
        <v>29.3232</v>
      </c>
      <c r="I103" s="25" t="n">
        <v>6</v>
      </c>
      <c r="J103" s="25" t="n">
        <v>7</v>
      </c>
      <c r="K103" s="25" t="inlineStr">
        <is>
          <t>IA-PPWR-TF-ST-051-EUR-03-R00</t>
        </is>
      </c>
      <c r="L103" s="25" t="inlineStr">
        <is>
          <t>IA-PPWR-DOC-ST-051-EUR-03-R00</t>
        </is>
      </c>
      <c r="M103" s="25" t="inlineStr">
        <is>
          <t>IA-PPWR-LBL-ST-051-EUR-03-R00</t>
        </is>
      </c>
      <c r="N103" s="25" t="inlineStr">
        <is>
          <t>IA-PPWR-STM-ST-051-EUR-03-R00</t>
        </is>
      </c>
    </row>
    <row r="104">
      <c r="A104" s="25" t="inlineStr">
        <is>
          <t>ST-051-EUR-04</t>
        </is>
      </c>
      <c r="B104" s="25" t="inlineStr">
        <is>
          <t>IA-ST-051-EUR-04</t>
        </is>
      </c>
      <c r="C104" s="25" t="inlineStr">
        <is>
          <t>IA-ST-CFG-0135</t>
        </is>
      </c>
      <c r="D104" s="25" t="inlineStr">
        <is>
          <t>STARTER</t>
        </is>
      </c>
      <c r="E104" s="25" t="inlineStr">
        <is>
          <t>L3, LB3 | Palet (4000038): 1 adet | Köşebent (4000590): 2 adet</t>
        </is>
      </c>
      <c r="F104" s="25" t="inlineStr">
        <is>
          <t>L3, LB3 | Palet (4000038): 1 adet | Köşebent (4000590): 2 adet</t>
        </is>
      </c>
      <c r="G104" s="25" t="inlineStr">
        <is>
          <t>L3, LB3 | Pallet (4000038): 1 pc | Edge protector (4000590): 2 pcs</t>
        </is>
      </c>
      <c r="H104" s="25" t="n">
        <v>27.6392</v>
      </c>
      <c r="I104" s="25" t="n">
        <v>11</v>
      </c>
      <c r="J104" s="25" t="n">
        <v>6</v>
      </c>
      <c r="K104" s="25" t="inlineStr">
        <is>
          <t>IA-PPWR-TF-ST-051-EUR-04-R00</t>
        </is>
      </c>
      <c r="L104" s="25" t="inlineStr">
        <is>
          <t>IA-PPWR-DOC-ST-051-EUR-04-R00</t>
        </is>
      </c>
      <c r="M104" s="25" t="inlineStr">
        <is>
          <t>IA-PPWR-LBL-ST-051-EUR-04-R00</t>
        </is>
      </c>
      <c r="N104" s="25" t="inlineStr">
        <is>
          <t>IA-PPWR-STM-ST-051-EUR-04-R00</t>
        </is>
      </c>
    </row>
    <row r="105">
      <c r="A105" s="25" t="inlineStr">
        <is>
          <t>ST-051-STD-01</t>
        </is>
      </c>
      <c r="B105" s="25" t="inlineStr">
        <is>
          <t>IA-ST-051-STD-01</t>
        </is>
      </c>
      <c r="C105" s="25" t="inlineStr">
        <is>
          <t>IA-ST-CFG-0122</t>
        </is>
      </c>
      <c r="D105" s="25" t="inlineStr">
        <is>
          <t>STARTER</t>
        </is>
      </c>
      <c r="E105" s="25" t="inlineStr">
        <is>
          <t>D31 | Köşebent (4000033): 6 adet | D31 EAS Activa penceresiz dış koli (4000782): 51 adet</t>
        </is>
      </c>
      <c r="F105" s="25" t="inlineStr">
        <is>
          <t>D31 | Köşebent (4000033): 6 adet | D31 EAS Activa penceresiz dış koli (4000782): 51 adet</t>
        </is>
      </c>
      <c r="G105" s="25" t="inlineStr">
        <is>
          <t>D31 | Edge protector (4000033): 6 pcs | D31 EAS Activa windowless outer carton (4000782): 51 pcs</t>
        </is>
      </c>
      <c r="H105" s="25" t="n">
        <v>47.0384</v>
      </c>
      <c r="I105" s="25" t="n">
        <v>3</v>
      </c>
      <c r="J105" s="25" t="n">
        <v>8</v>
      </c>
      <c r="K105" s="25" t="inlineStr">
        <is>
          <t>IA-PPWR-TF-ST-051-STD-01-R00</t>
        </is>
      </c>
      <c r="L105" s="25" t="inlineStr">
        <is>
          <t>IA-PPWR-DOC-ST-051-STD-01-R00</t>
        </is>
      </c>
      <c r="M105" s="25" t="inlineStr">
        <is>
          <t>IA-PPWR-LBL-ST-051-STD-01-R00</t>
        </is>
      </c>
      <c r="N105" s="25" t="inlineStr">
        <is>
          <t>IA-PPWR-STM-ST-051-STD-01-R00</t>
        </is>
      </c>
    </row>
    <row r="106">
      <c r="A106" s="25" t="inlineStr">
        <is>
          <t>ST-051-STD-02</t>
        </is>
      </c>
      <c r="B106" s="25" t="inlineStr">
        <is>
          <t>IA-ST-051-STD-02</t>
        </is>
      </c>
      <c r="C106" s="25" t="inlineStr">
        <is>
          <t>IA-ST-CFG-0123</t>
        </is>
      </c>
      <c r="D106" s="25" t="inlineStr">
        <is>
          <t>STARTER</t>
        </is>
      </c>
      <c r="E106" s="25" t="inlineStr">
        <is>
          <t>D31 | D31 YUASA penceresiz Orta Doğu dış koli (4001108): 51 adet</t>
        </is>
      </c>
      <c r="F106" s="25" t="inlineStr">
        <is>
          <t>D31 | D31 YUASA penceresiz Orta Doğu dış koli (4001108): 51 adet</t>
        </is>
      </c>
      <c r="G106" s="25" t="inlineStr">
        <is>
          <t>D31 | D31 YUASA windowless Middle East outer carton (4001108): 51 pcs</t>
        </is>
      </c>
      <c r="H106" s="25" t="n">
        <v>47.0384</v>
      </c>
      <c r="I106" s="25" t="n">
        <v>1</v>
      </c>
      <c r="J106" s="25" t="n">
        <v>8</v>
      </c>
      <c r="K106" s="25" t="inlineStr">
        <is>
          <t>IA-PPWR-TF-ST-051-STD-02-R00</t>
        </is>
      </c>
      <c r="L106" s="25" t="inlineStr">
        <is>
          <t>IA-PPWR-DOC-ST-051-STD-02-R00</t>
        </is>
      </c>
      <c r="M106" s="25" t="inlineStr">
        <is>
          <t>IA-PPWR-LBL-ST-051-STD-02-R00</t>
        </is>
      </c>
      <c r="N106" s="25" t="inlineStr">
        <is>
          <t>IA-PPWR-STM-ST-051-STD-02-R00</t>
        </is>
      </c>
    </row>
    <row r="107">
      <c r="A107" s="25" t="inlineStr">
        <is>
          <t>ST-051-STD-03</t>
        </is>
      </c>
      <c r="B107" s="25" t="inlineStr">
        <is>
          <t>IA-ST-051-STD-03</t>
        </is>
      </c>
      <c r="C107" s="25" t="inlineStr">
        <is>
          <t>IA-ST-CFG-0124</t>
        </is>
      </c>
      <c r="D107" s="25" t="inlineStr">
        <is>
          <t>STARTER</t>
        </is>
      </c>
      <c r="E107" s="25" t="inlineStr">
        <is>
          <t>L4 | L4 YUASA penceresiz Orta Doğu dış koli (4001313): 51 adet</t>
        </is>
      </c>
      <c r="F107" s="25" t="inlineStr">
        <is>
          <t>L4 | L4 YUASA penceresiz Orta Doğu dış koli (4001313): 51 adet</t>
        </is>
      </c>
      <c r="G107" s="25" t="inlineStr">
        <is>
          <t>L4 | L4 YUASA windowless Middle East outer carton (4001313): 51 pcs</t>
        </is>
      </c>
      <c r="H107" s="25" t="n">
        <v>41.816</v>
      </c>
      <c r="I107" s="25" t="n">
        <v>1</v>
      </c>
      <c r="J107" s="25" t="n">
        <v>7</v>
      </c>
      <c r="K107" s="25" t="inlineStr">
        <is>
          <t>IA-PPWR-TF-ST-051-STD-03-R00</t>
        </is>
      </c>
      <c r="L107" s="25" t="inlineStr">
        <is>
          <t>IA-PPWR-DOC-ST-051-STD-03-R00</t>
        </is>
      </c>
      <c r="M107" s="25" t="inlineStr">
        <is>
          <t>IA-PPWR-LBL-ST-051-STD-03-R00</t>
        </is>
      </c>
      <c r="N107" s="25" t="inlineStr">
        <is>
          <t>IA-PPWR-STM-ST-051-STD-03-R00</t>
        </is>
      </c>
    </row>
    <row r="108">
      <c r="A108" s="25" t="inlineStr">
        <is>
          <t>ST-051-STD-04</t>
        </is>
      </c>
      <c r="B108" s="25" t="inlineStr">
        <is>
          <t>IA-ST-051-STD-04</t>
        </is>
      </c>
      <c r="C108" s="25" t="inlineStr">
        <is>
          <t>IA-ST-CFG-0125</t>
        </is>
      </c>
      <c r="D108" s="25" t="inlineStr">
        <is>
          <t>STARTER</t>
        </is>
      </c>
      <c r="E108" s="25" t="inlineStr">
        <is>
          <t>D31 | Köşebent (4000033): 8 adet | D31 EAS Activa penceresiz dış koli (4000782): 51 adet</t>
        </is>
      </c>
      <c r="F108" s="25" t="inlineStr">
        <is>
          <t>D31 | Köşebent (4000033): 8 adet | D31 EAS Activa penceresiz dış koli (4000782): 51 adet</t>
        </is>
      </c>
      <c r="G108" s="25" t="inlineStr">
        <is>
          <t>D31 | Edge protector (4000033): 8 pcs | D31 EAS Activa windowless outer carton (4000782): 51 pcs</t>
        </is>
      </c>
      <c r="H108" s="25" t="n">
        <v>47.4584</v>
      </c>
      <c r="I108" s="25" t="n">
        <v>1</v>
      </c>
      <c r="J108" s="25" t="n">
        <v>8</v>
      </c>
      <c r="K108" s="25" t="inlineStr">
        <is>
          <t>IA-PPWR-TF-ST-051-STD-04-R00</t>
        </is>
      </c>
      <c r="L108" s="25" t="inlineStr">
        <is>
          <t>IA-PPWR-DOC-ST-051-STD-04-R00</t>
        </is>
      </c>
      <c r="M108" s="25" t="inlineStr">
        <is>
          <t>IA-PPWR-LBL-ST-051-STD-04-R00</t>
        </is>
      </c>
      <c r="N108" s="25" t="inlineStr">
        <is>
          <t>IA-PPWR-STM-ST-051-STD-04-R00</t>
        </is>
      </c>
    </row>
    <row r="109">
      <c r="A109" s="25" t="inlineStr">
        <is>
          <t>ST-051-STD-05</t>
        </is>
      </c>
      <c r="B109" s="25" t="inlineStr">
        <is>
          <t>IA-ST-051-STD-05</t>
        </is>
      </c>
      <c r="C109" s="25" t="inlineStr">
        <is>
          <t>IA-ST-CFG-0126</t>
        </is>
      </c>
      <c r="D109" s="25" t="inlineStr">
        <is>
          <t>STARTER</t>
        </is>
      </c>
      <c r="E109" s="25" t="inlineStr">
        <is>
          <t>D31 | D31 BLIZZARO SILVERLINE penceresiz dış koli (4001433): 51 adet</t>
        </is>
      </c>
      <c r="F109" s="25" t="inlineStr">
        <is>
          <t>D31 | D31 BLIZZARO SILVERLINE penceresiz dış koli (4001433): 51 adet</t>
        </is>
      </c>
      <c r="G109" s="25" t="inlineStr">
        <is>
          <t>D31 | D31 BLIZZARO SILVERLINE windowless outer carton (4001433): 51 pcs</t>
        </is>
      </c>
      <c r="H109" s="25" t="n">
        <v>47.4584</v>
      </c>
      <c r="I109" s="25" t="n">
        <v>5</v>
      </c>
      <c r="J109" s="25" t="n">
        <v>8</v>
      </c>
      <c r="K109" s="25" t="inlineStr">
        <is>
          <t>IA-PPWR-TF-ST-051-STD-05-R00</t>
        </is>
      </c>
      <c r="L109" s="25" t="inlineStr">
        <is>
          <t>IA-PPWR-DOC-ST-051-STD-05-R00</t>
        </is>
      </c>
      <c r="M109" s="25" t="inlineStr">
        <is>
          <t>IA-PPWR-LBL-ST-051-STD-05-R00</t>
        </is>
      </c>
      <c r="N109" s="25" t="inlineStr">
        <is>
          <t>IA-PPWR-STM-ST-051-STD-05-R00</t>
        </is>
      </c>
    </row>
    <row r="110">
      <c r="A110" s="25" t="inlineStr">
        <is>
          <t>ST-051-STD-06</t>
        </is>
      </c>
      <c r="B110" s="25" t="inlineStr">
        <is>
          <t>IA-ST-051-STD-06</t>
        </is>
      </c>
      <c r="C110" s="25" t="inlineStr">
        <is>
          <t>IA-ST-CFG-0127</t>
        </is>
      </c>
      <c r="D110" s="25" t="inlineStr">
        <is>
          <t>STARTER</t>
        </is>
      </c>
      <c r="E110" s="25" t="inlineStr">
        <is>
          <t>L4 | L4 EAS AGM S&amp;S 80AH 800A pencereli dış koli (4001397): 51 adet</t>
        </is>
      </c>
      <c r="F110" s="25" t="inlineStr">
        <is>
          <t>L4 | L4 EAS AGM S&amp;S 80AH 800A pencereli dış koli (4001397): 51 adet</t>
        </is>
      </c>
      <c r="G110" s="25" t="inlineStr">
        <is>
          <t>L4 | L4 EAS AGM S&amp;S 80AH 800A windowed outer carton (4001397): 51 pcs</t>
        </is>
      </c>
      <c r="H110" s="25" t="n">
        <v>43.256</v>
      </c>
      <c r="I110" s="25" t="n">
        <v>1</v>
      </c>
      <c r="J110" s="25" t="n">
        <v>7</v>
      </c>
      <c r="K110" s="25" t="inlineStr">
        <is>
          <t>IA-PPWR-TF-ST-051-STD-06-R00</t>
        </is>
      </c>
      <c r="L110" s="25" t="inlineStr">
        <is>
          <t>IA-PPWR-DOC-ST-051-STD-06-R00</t>
        </is>
      </c>
      <c r="M110" s="25" t="inlineStr">
        <is>
          <t>IA-PPWR-LBL-ST-051-STD-06-R00</t>
        </is>
      </c>
      <c r="N110" s="25" t="inlineStr">
        <is>
          <t>IA-PPWR-STM-ST-051-STD-06-R00</t>
        </is>
      </c>
    </row>
    <row r="111">
      <c r="A111" s="25" t="inlineStr">
        <is>
          <t>ST-051-STD-07</t>
        </is>
      </c>
      <c r="B111" s="25" t="inlineStr">
        <is>
          <t>IA-ST-051-STD-07</t>
        </is>
      </c>
      <c r="C111" s="25" t="inlineStr">
        <is>
          <t>IA-ST-CFG-0128</t>
        </is>
      </c>
      <c r="D111" s="25" t="inlineStr">
        <is>
          <t>STARTER</t>
        </is>
      </c>
      <c r="E111" s="25" t="inlineStr">
        <is>
          <t>D31 | D31 İnci FORMULA-MAXIMA penceresiz dış koli (4001211): 51 adet | Separatör (4000130): 5 adet</t>
        </is>
      </c>
      <c r="F111" s="25" t="inlineStr">
        <is>
          <t>D31 | D31 İnci FORMULA-MAXIMA penceresiz dış koli (4001211): 51 adet | Separatör (4000130): 5 adet</t>
        </is>
      </c>
      <c r="G111" s="25" t="inlineStr">
        <is>
          <t>D31 | D31 İnci FORMULA-MAXIMA windowless outer carton (4001211): 51 pcs | Separator (4000130): 5 pcs</t>
        </is>
      </c>
      <c r="H111" s="25" t="n">
        <v>47.7284</v>
      </c>
      <c r="I111" s="25" t="n">
        <v>4</v>
      </c>
      <c r="J111" s="25" t="n">
        <v>8</v>
      </c>
      <c r="K111" s="25" t="inlineStr">
        <is>
          <t>IA-PPWR-TF-ST-051-STD-07-R00</t>
        </is>
      </c>
      <c r="L111" s="25" t="inlineStr">
        <is>
          <t>IA-PPWR-DOC-ST-051-STD-07-R00</t>
        </is>
      </c>
      <c r="M111" s="25" t="inlineStr">
        <is>
          <t>IA-PPWR-LBL-ST-051-STD-07-R00</t>
        </is>
      </c>
      <c r="N111" s="25" t="inlineStr">
        <is>
          <t>IA-PPWR-STM-ST-051-STD-07-R00</t>
        </is>
      </c>
    </row>
    <row r="112">
      <c r="A112" s="25" t="inlineStr">
        <is>
          <t>ST-051-STD-08</t>
        </is>
      </c>
      <c r="B112" s="25" t="inlineStr">
        <is>
          <t>IA-ST-051-STD-08</t>
        </is>
      </c>
      <c r="C112" s="25" t="inlineStr">
        <is>
          <t>IA-ST-CFG-0129</t>
        </is>
      </c>
      <c r="D112" s="25" t="inlineStr">
        <is>
          <t>STARTER</t>
        </is>
      </c>
      <c r="E112" s="25" t="inlineStr">
        <is>
          <t>D31 | D31 İnci FORMULA-MAXIMA penceresiz dış koli (4001211): 51 adet | Köşebent (4000590): 8 adet</t>
        </is>
      </c>
      <c r="F112" s="25" t="inlineStr">
        <is>
          <t>D31 | D31 İnci FORMULA-MAXIMA penceresiz dış koli (4001211): 51 adet | Köşebent (4000590): 8 adet</t>
        </is>
      </c>
      <c r="G112" s="25" t="inlineStr">
        <is>
          <t>D31 | D31 İnci FORMULA-MAXIMA windowless outer carton (4001211): 51 pcs | Edge protector (4000590): 8 pcs</t>
        </is>
      </c>
      <c r="H112" s="25" t="n">
        <v>46.5784</v>
      </c>
      <c r="I112" s="25" t="n">
        <v>1</v>
      </c>
      <c r="J112" s="25" t="n">
        <v>8</v>
      </c>
      <c r="K112" s="25" t="inlineStr">
        <is>
          <t>IA-PPWR-TF-ST-051-STD-08-R00</t>
        </is>
      </c>
      <c r="L112" s="25" t="inlineStr">
        <is>
          <t>IA-PPWR-DOC-ST-051-STD-08-R00</t>
        </is>
      </c>
      <c r="M112" s="25" t="inlineStr">
        <is>
          <t>IA-PPWR-LBL-ST-051-STD-08-R00</t>
        </is>
      </c>
      <c r="N112" s="25" t="inlineStr">
        <is>
          <t>IA-PPWR-STM-ST-051-STD-08-R00</t>
        </is>
      </c>
    </row>
    <row r="113">
      <c r="A113" s="25" t="inlineStr">
        <is>
          <t>ST-054-EUR-01</t>
        </is>
      </c>
      <c r="B113" s="25" t="inlineStr">
        <is>
          <t>IA-ST-054-EUR-01</t>
        </is>
      </c>
      <c r="C113" s="25" t="inlineStr">
        <is>
          <t>IA-ST-CFG-0149</t>
        </is>
      </c>
      <c r="D113" s="25" t="inlineStr">
        <is>
          <t>STARTER</t>
        </is>
      </c>
      <c r="E113" s="25" t="inlineStr">
        <is>
          <t>L2 | Palet (4000038): 1 adet | Köşebent (4000590): 4 adet</t>
        </is>
      </c>
      <c r="F113" s="25" t="inlineStr">
        <is>
          <t>L2 | Palet (4000038): 1 adet | Köşebent (4000590): 4 adet</t>
        </is>
      </c>
      <c r="G113" s="25" t="inlineStr">
        <is>
          <t>L2 | Pallet (4000038): 1 pc | Edge protector (4000590): 4 pcs</t>
        </is>
      </c>
      <c r="H113" s="25" t="n">
        <v>27.926</v>
      </c>
      <c r="I113" s="25" t="n">
        <v>2</v>
      </c>
      <c r="J113" s="25" t="n">
        <v>6</v>
      </c>
      <c r="K113" s="25" t="inlineStr">
        <is>
          <t>IA-PPWR-TF-ST-054-EUR-01-R00</t>
        </is>
      </c>
      <c r="L113" s="25" t="inlineStr">
        <is>
          <t>IA-PPWR-DOC-ST-054-EUR-01-R00</t>
        </is>
      </c>
      <c r="M113" s="25" t="inlineStr">
        <is>
          <t>IA-PPWR-LBL-ST-054-EUR-01-R00</t>
        </is>
      </c>
      <c r="N113" s="25" t="inlineStr">
        <is>
          <t>IA-PPWR-STM-ST-054-EUR-01-R00</t>
        </is>
      </c>
    </row>
    <row r="114">
      <c r="A114" s="25" t="inlineStr">
        <is>
          <t>ST-054-STD-01</t>
        </is>
      </c>
      <c r="B114" s="25" t="inlineStr">
        <is>
          <t>IA-ST-054-STD-01</t>
        </is>
      </c>
      <c r="C114" s="25" t="inlineStr">
        <is>
          <t>IA-ST-CFG-0137</t>
        </is>
      </c>
      <c r="D114" s="25" t="inlineStr">
        <is>
          <t>STARTER</t>
        </is>
      </c>
      <c r="E114" s="25" t="inlineStr">
        <is>
          <t>L3 | L3 YUASA penceresiz Orta Doğu dış koli (4001103): 54 adet</t>
        </is>
      </c>
      <c r="F114" s="25" t="inlineStr">
        <is>
          <t>L3 | L3 YUASA penceresiz Orta Doğu dış koli (4001103): 54 adet</t>
        </is>
      </c>
      <c r="G114" s="25" t="inlineStr">
        <is>
          <t>L3 | L3 YUASA windowless Middle East outer carton (4001103): 54 pcs</t>
        </is>
      </c>
      <c r="H114" s="25" t="n">
        <v>42.566</v>
      </c>
      <c r="I114" s="25" t="n">
        <v>1</v>
      </c>
      <c r="J114" s="25" t="n">
        <v>7</v>
      </c>
      <c r="K114" s="25" t="inlineStr">
        <is>
          <t>IA-PPWR-TF-ST-054-STD-01-R00</t>
        </is>
      </c>
      <c r="L114" s="25" t="inlineStr">
        <is>
          <t>IA-PPWR-DOC-ST-054-STD-01-R00</t>
        </is>
      </c>
      <c r="M114" s="25" t="inlineStr">
        <is>
          <t>IA-PPWR-LBL-ST-054-STD-01-R00</t>
        </is>
      </c>
      <c r="N114" s="25" t="inlineStr">
        <is>
          <t>IA-PPWR-STM-ST-054-STD-01-R00</t>
        </is>
      </c>
    </row>
    <row r="115">
      <c r="A115" s="25" t="inlineStr">
        <is>
          <t>ST-054-STD-02</t>
        </is>
      </c>
      <c r="B115" s="25" t="inlineStr">
        <is>
          <t>IA-ST-054-STD-02</t>
        </is>
      </c>
      <c r="C115" s="25" t="inlineStr">
        <is>
          <t>IA-ST-CFG-0138</t>
        </is>
      </c>
      <c r="D115" s="25" t="inlineStr">
        <is>
          <t>STARTER</t>
        </is>
      </c>
      <c r="E115" s="25" t="inlineStr">
        <is>
          <t>L3 | L3 İnci AGM LEO 70AH 760A pencereli dış koli (4001237): 54 adet</t>
        </is>
      </c>
      <c r="F115" s="25" t="inlineStr">
        <is>
          <t>L3 | L3 İnci AGM LEO 70AH 760A pencereli dış koli (4001237): 54 adet</t>
        </is>
      </c>
      <c r="G115" s="25" t="inlineStr">
        <is>
          <t>L3 | L3 İnci AGM LEO 70AH 760A windowed outer carton (4001237): 54 pcs</t>
        </is>
      </c>
      <c r="H115" s="25" t="n">
        <v>42.986</v>
      </c>
      <c r="I115" s="25" t="n">
        <v>1</v>
      </c>
      <c r="J115" s="25" t="n">
        <v>7</v>
      </c>
      <c r="K115" s="25" t="inlineStr">
        <is>
          <t>IA-PPWR-TF-ST-054-STD-02-R00</t>
        </is>
      </c>
      <c r="L115" s="25" t="inlineStr">
        <is>
          <t>IA-PPWR-DOC-ST-054-STD-02-R00</t>
        </is>
      </c>
      <c r="M115" s="25" t="inlineStr">
        <is>
          <t>IA-PPWR-LBL-ST-054-STD-02-R00</t>
        </is>
      </c>
      <c r="N115" s="25" t="inlineStr">
        <is>
          <t>IA-PPWR-STM-ST-054-STD-02-R00</t>
        </is>
      </c>
    </row>
    <row r="116">
      <c r="A116" s="25" t="inlineStr">
        <is>
          <t>ST-054-STD-03</t>
        </is>
      </c>
      <c r="B116" s="25" t="inlineStr">
        <is>
          <t>IA-ST-054-STD-03</t>
        </is>
      </c>
      <c r="C116" s="25" t="inlineStr">
        <is>
          <t>IA-ST-CFG-0139</t>
        </is>
      </c>
      <c r="D116" s="25" t="inlineStr">
        <is>
          <t>STARTER</t>
        </is>
      </c>
      <c r="E116" s="25" t="inlineStr">
        <is>
          <t>L3 | L3 EAS AGM S&amp;S 70AH 760A pencereli dış koli (4001396): 54 adet</t>
        </is>
      </c>
      <c r="F116" s="25" t="inlineStr">
        <is>
          <t>L3 | L3 EAS AGM S&amp;S 70AH 760A pencereli dış koli (4001396): 54 adet</t>
        </is>
      </c>
      <c r="G116" s="25" t="inlineStr">
        <is>
          <t>L3 | L3 EAS AGM S&amp;S 70AH 760A windowed outer carton (4001396): 54 pcs</t>
        </is>
      </c>
      <c r="H116" s="25" t="n">
        <v>42.986</v>
      </c>
      <c r="I116" s="25" t="n">
        <v>1</v>
      </c>
      <c r="J116" s="25" t="n">
        <v>7</v>
      </c>
      <c r="K116" s="25" t="inlineStr">
        <is>
          <t>IA-PPWR-TF-ST-054-STD-03-R00</t>
        </is>
      </c>
      <c r="L116" s="25" t="inlineStr">
        <is>
          <t>IA-PPWR-DOC-ST-054-STD-03-R00</t>
        </is>
      </c>
      <c r="M116" s="25" t="inlineStr">
        <is>
          <t>IA-PPWR-LBL-ST-054-STD-03-R00</t>
        </is>
      </c>
      <c r="N116" s="25" t="inlineStr">
        <is>
          <t>IA-PPWR-STM-ST-054-STD-03-R00</t>
        </is>
      </c>
    </row>
    <row r="117">
      <c r="A117" s="25" t="inlineStr">
        <is>
          <t>ST-054-STD-04</t>
        </is>
      </c>
      <c r="B117" s="25" t="inlineStr">
        <is>
          <t>IA-ST-054-STD-04</t>
        </is>
      </c>
      <c r="C117" s="25" t="inlineStr">
        <is>
          <t>IA-ST-CFG-0140</t>
        </is>
      </c>
      <c r="D117" s="25" t="inlineStr">
        <is>
          <t>STARTER</t>
        </is>
      </c>
      <c r="E117" s="25" t="inlineStr">
        <is>
          <t>D31 | Palet (4000037): 1 adet | EPS (4000370): 3 adet | Köşebent (4000590): 4 adet</t>
        </is>
      </c>
      <c r="F117" s="25" t="inlineStr">
        <is>
          <t>D31 | Palet (4000037): 1 adet | EPS (4000370): 3 adet | Köşebent (4000590): 4 adet</t>
        </is>
      </c>
      <c r="G117" s="25" t="inlineStr">
        <is>
          <t>D31 | Pallet (4000037): 1 pc | EPS (4000370): 3 pcs | Edge protector (4000590): 4 pcs</t>
        </is>
      </c>
      <c r="H117" s="25" t="n">
        <v>28.518</v>
      </c>
      <c r="I117" s="25" t="n">
        <v>1</v>
      </c>
      <c r="J117" s="25" t="n">
        <v>7</v>
      </c>
      <c r="K117" s="25" t="inlineStr">
        <is>
          <t>IA-PPWR-TF-ST-054-STD-04-R00</t>
        </is>
      </c>
      <c r="L117" s="25" t="inlineStr">
        <is>
          <t>IA-PPWR-DOC-ST-054-STD-04-R00</t>
        </is>
      </c>
      <c r="M117" s="25" t="inlineStr">
        <is>
          <t>IA-PPWR-LBL-ST-054-STD-04-R00</t>
        </is>
      </c>
      <c r="N117" s="25" t="inlineStr">
        <is>
          <t>IA-PPWR-STM-ST-054-STD-04-R00</t>
        </is>
      </c>
    </row>
    <row r="118">
      <c r="A118" s="25" t="inlineStr">
        <is>
          <t>ST-054-STD-05</t>
        </is>
      </c>
      <c r="B118" s="25" t="inlineStr">
        <is>
          <t>IA-ST-054-STD-05</t>
        </is>
      </c>
      <c r="C118" s="25" t="inlineStr">
        <is>
          <t>IA-ST-CFG-0141</t>
        </is>
      </c>
      <c r="D118" s="25" t="inlineStr">
        <is>
          <t>STARTER</t>
        </is>
      </c>
      <c r="E118" s="25" t="inlineStr">
        <is>
          <t>D31 | Köşebent (4000590): 4 adet | D31 PVC üst kapak (4001310): 54 adet</t>
        </is>
      </c>
      <c r="F118" s="25" t="inlineStr">
        <is>
          <t>D31 | Köşebent (4000590): 4 adet | D31 PVC üst kapak (4001310): 54 adet</t>
        </is>
      </c>
      <c r="G118" s="25" t="inlineStr">
        <is>
          <t>D31 | Edge protector (4000590): 4 pcs | D31 PVC upper cover (4001310): 54 pcs</t>
        </is>
      </c>
      <c r="H118" s="25" t="n">
        <v>34.0706</v>
      </c>
      <c r="I118" s="25" t="n">
        <v>2</v>
      </c>
      <c r="J118" s="25" t="n">
        <v>8</v>
      </c>
      <c r="K118" s="25" t="inlineStr">
        <is>
          <t>IA-PPWR-TF-ST-054-STD-05-R00</t>
        </is>
      </c>
      <c r="L118" s="25" t="inlineStr">
        <is>
          <t>IA-PPWR-DOC-ST-054-STD-05-R00</t>
        </is>
      </c>
      <c r="M118" s="25" t="inlineStr">
        <is>
          <t>IA-PPWR-LBL-ST-054-STD-05-R00</t>
        </is>
      </c>
      <c r="N118" s="25" t="inlineStr">
        <is>
          <t>IA-PPWR-STM-ST-054-STD-05-R00</t>
        </is>
      </c>
    </row>
    <row r="119">
      <c r="A119" s="25" t="inlineStr">
        <is>
          <t>ST-054-STD-06</t>
        </is>
      </c>
      <c r="B119" s="25" t="inlineStr">
        <is>
          <t>IA-ST-054-STD-06</t>
        </is>
      </c>
      <c r="C119" s="25" t="inlineStr">
        <is>
          <t>IA-ST-CFG-0142</t>
        </is>
      </c>
      <c r="D119" s="25" t="inlineStr">
        <is>
          <t>STARTER</t>
        </is>
      </c>
      <c r="E119" s="25" t="inlineStr">
        <is>
          <t>L4, LB4 | Palet (4000037): 1 adet | Köşebent (4000590): 2 adet</t>
        </is>
      </c>
      <c r="F119" s="25" t="inlineStr">
        <is>
          <t>L4, LB4 | Palet (4000037): 1 adet | Köşebent (4000590): 2 adet</t>
        </is>
      </c>
      <c r="G119" s="25" t="inlineStr">
        <is>
          <t>L4, LB4 | Pallet (4000037): 1 pc | Edge protector (4000590): 2 pcs</t>
        </is>
      </c>
      <c r="H119" s="25" t="n">
        <v>29.7552</v>
      </c>
      <c r="I119" s="25" t="n">
        <v>23</v>
      </c>
      <c r="J119" s="25" t="n">
        <v>7</v>
      </c>
      <c r="K119" s="25" t="inlineStr">
        <is>
          <t>IA-PPWR-TF-ST-054-STD-06-R00</t>
        </is>
      </c>
      <c r="L119" s="25" t="inlineStr">
        <is>
          <t>IA-PPWR-DOC-ST-054-STD-06-R00</t>
        </is>
      </c>
      <c r="M119" s="25" t="inlineStr">
        <is>
          <t>IA-PPWR-LBL-ST-054-STD-06-R00</t>
        </is>
      </c>
      <c r="N119" s="25" t="inlineStr">
        <is>
          <t>IA-PPWR-STM-ST-054-STD-06-R00</t>
        </is>
      </c>
    </row>
    <row r="120">
      <c r="A120" s="25" t="inlineStr">
        <is>
          <t>ST-054-STD-07</t>
        </is>
      </c>
      <c r="B120" s="25" t="inlineStr">
        <is>
          <t>IA-ST-054-STD-07</t>
        </is>
      </c>
      <c r="C120" s="25" t="inlineStr">
        <is>
          <t>IA-ST-CFG-0143</t>
        </is>
      </c>
      <c r="D120" s="25" t="inlineStr">
        <is>
          <t>STARTER</t>
        </is>
      </c>
      <c r="E120" s="25" t="inlineStr">
        <is>
          <t>D31 | D31 PVC üst kapak (4001310): 54 adet | Köşebent (4000590): 2 adet</t>
        </is>
      </c>
      <c r="F120" s="25" t="inlineStr">
        <is>
          <t>D31 | D31 PVC üst kapak (4001310): 54 adet | Köşebent (4000590): 2 adet</t>
        </is>
      </c>
      <c r="G120" s="25" t="inlineStr">
        <is>
          <t>D31 | D31 PVC upper cover (4001310): 54 pcs | Edge protector (4000590): 2 pcs</t>
        </is>
      </c>
      <c r="H120" s="25" t="n">
        <v>33.7838</v>
      </c>
      <c r="I120" s="25" t="n">
        <v>70</v>
      </c>
      <c r="J120" s="25" t="n">
        <v>8</v>
      </c>
      <c r="K120" s="25" t="inlineStr">
        <is>
          <t>IA-PPWR-TF-ST-054-STD-07-R00</t>
        </is>
      </c>
      <c r="L120" s="25" t="inlineStr">
        <is>
          <t>IA-PPWR-DOC-ST-054-STD-07-R00</t>
        </is>
      </c>
      <c r="M120" s="25" t="inlineStr">
        <is>
          <t>IA-PPWR-LBL-ST-054-STD-07-R00</t>
        </is>
      </c>
      <c r="N120" s="25" t="inlineStr">
        <is>
          <t>IA-PPWR-STM-ST-054-STD-07-R00</t>
        </is>
      </c>
    </row>
    <row r="121">
      <c r="A121" s="25" t="inlineStr">
        <is>
          <t>ST-054-STD-08</t>
        </is>
      </c>
      <c r="B121" s="25" t="inlineStr">
        <is>
          <t>IA-ST-054-STD-08</t>
        </is>
      </c>
      <c r="C121" s="25" t="inlineStr">
        <is>
          <t>IA-ST-CFG-0144</t>
        </is>
      </c>
      <c r="D121" s="25" t="inlineStr">
        <is>
          <t>STARTER</t>
        </is>
      </c>
      <c r="E121" s="25" t="inlineStr">
        <is>
          <t>L4, LB4 | Palet (4000037): 1 adet | Köşebent (4000590): kullanılmaz</t>
        </is>
      </c>
      <c r="F121" s="25" t="inlineStr">
        <is>
          <t>L4, LB4 | Palet (4000037): 1 adet | Köşebent (4000590): kullanılmaz</t>
        </is>
      </c>
      <c r="G121" s="25" t="inlineStr">
        <is>
          <t>L4, LB4 | Pallet (4000037): 1 pc | Edge protector (4000590): not used</t>
        </is>
      </c>
      <c r="H121" s="25" t="n">
        <v>29.4684</v>
      </c>
      <c r="I121" s="25" t="n">
        <v>5</v>
      </c>
      <c r="J121" s="25" t="n">
        <v>5</v>
      </c>
      <c r="K121" s="25" t="inlineStr">
        <is>
          <t>IA-PPWR-TF-ST-054-STD-08-R00</t>
        </is>
      </c>
      <c r="L121" s="25" t="inlineStr">
        <is>
          <t>IA-PPWR-DOC-ST-054-STD-08-R00</t>
        </is>
      </c>
      <c r="M121" s="25" t="inlineStr">
        <is>
          <t>IA-PPWR-LBL-ST-054-STD-08-R00</t>
        </is>
      </c>
      <c r="N121" s="25" t="inlineStr">
        <is>
          <t>IA-PPWR-STM-ST-054-STD-08-R00</t>
        </is>
      </c>
    </row>
    <row r="122">
      <c r="A122" s="25" t="inlineStr">
        <is>
          <t>ST-054-STD-09</t>
        </is>
      </c>
      <c r="B122" s="25" t="inlineStr">
        <is>
          <t>IA-ST-054-STD-09</t>
        </is>
      </c>
      <c r="C122" s="25" t="inlineStr">
        <is>
          <t>IA-ST-CFG-0145</t>
        </is>
      </c>
      <c r="D122" s="25" t="inlineStr">
        <is>
          <t>STARTER</t>
        </is>
      </c>
      <c r="E122" s="25" t="inlineStr">
        <is>
          <t>D31 | D31 PVC üst kapak (4001310): 54 adet | Çember (4000450): kullanılmaz</t>
        </is>
      </c>
      <c r="F122" s="25" t="inlineStr">
        <is>
          <t>D31 | D31 PVC üst kapak (4001310): 54 adet | Çember (4000450): kullanılmaz</t>
        </is>
      </c>
      <c r="G122" s="25" t="inlineStr">
        <is>
          <t>D31 | D31 PVC upper cover (4001310): 54 pcs | Strap (4000450): not used</t>
        </is>
      </c>
      <c r="H122" s="25" t="n">
        <v>33.497</v>
      </c>
      <c r="I122" s="25" t="n">
        <v>17</v>
      </c>
      <c r="J122" s="25" t="n">
        <v>6</v>
      </c>
      <c r="K122" s="25" t="inlineStr">
        <is>
          <t>IA-PPWR-TF-ST-054-STD-09-R00</t>
        </is>
      </c>
      <c r="L122" s="25" t="inlineStr">
        <is>
          <t>IA-PPWR-DOC-ST-054-STD-09-R00</t>
        </is>
      </c>
      <c r="M122" s="25" t="inlineStr">
        <is>
          <t>IA-PPWR-LBL-ST-054-STD-09-R00</t>
        </is>
      </c>
      <c r="N122" s="25" t="inlineStr">
        <is>
          <t>IA-PPWR-STM-ST-054-STD-09-R00</t>
        </is>
      </c>
    </row>
    <row r="123">
      <c r="A123" s="25" t="inlineStr">
        <is>
          <t>ST-054-STD-10</t>
        </is>
      </c>
      <c r="B123" s="25" t="inlineStr">
        <is>
          <t>IA-ST-054-STD-10</t>
        </is>
      </c>
      <c r="C123" s="25" t="inlineStr">
        <is>
          <t>IA-ST-CFG-0146</t>
        </is>
      </c>
      <c r="D123" s="25" t="inlineStr">
        <is>
          <t>STARTER</t>
        </is>
      </c>
      <c r="E123" s="25" t="inlineStr">
        <is>
          <t>D31 | Palet (4000037): 1 adet | Shrink film (4001177): 0.597 kg</t>
        </is>
      </c>
      <c r="F123" s="25" t="inlineStr">
        <is>
          <t>D31 | Palet (4000037): 1 adet | Shrink film (4001177): 0.597 kg</t>
        </is>
      </c>
      <c r="G123" s="25" t="inlineStr">
        <is>
          <t>D31 | Pallet (4000037): 1 pc | Shrink film (4001177): 0.597 kg</t>
        </is>
      </c>
      <c r="H123" s="25" t="n">
        <v>28.649</v>
      </c>
      <c r="I123" s="25" t="n">
        <v>4</v>
      </c>
      <c r="J123" s="25" t="n">
        <v>7</v>
      </c>
      <c r="K123" s="25" t="inlineStr">
        <is>
          <t>IA-PPWR-TF-ST-054-STD-10-R00</t>
        </is>
      </c>
      <c r="L123" s="25" t="inlineStr">
        <is>
          <t>IA-PPWR-DOC-ST-054-STD-10-R00</t>
        </is>
      </c>
      <c r="M123" s="25" t="inlineStr">
        <is>
          <t>IA-PPWR-LBL-ST-054-STD-10-R00</t>
        </is>
      </c>
      <c r="N123" s="25" t="inlineStr">
        <is>
          <t>IA-PPWR-STM-ST-054-STD-10-R00</t>
        </is>
      </c>
    </row>
    <row r="124">
      <c r="A124" s="25" t="inlineStr">
        <is>
          <t>ST-054-STD-11</t>
        </is>
      </c>
      <c r="B124" s="25" t="inlineStr">
        <is>
          <t>IA-ST-054-STD-11</t>
        </is>
      </c>
      <c r="C124" s="25" t="inlineStr">
        <is>
          <t>IA-ST-CFG-0147</t>
        </is>
      </c>
      <c r="D124" s="25" t="inlineStr">
        <is>
          <t>STARTER</t>
        </is>
      </c>
      <c r="E124" s="25" t="inlineStr">
        <is>
          <t>L4 | Palet (4000037): 1 adet | Shrink film (4001177): 0.597 kg</t>
        </is>
      </c>
      <c r="F124" s="25" t="inlineStr">
        <is>
          <t>L4 | Palet (4000037): 1 adet | Shrink film (4001177): 0.597 kg</t>
        </is>
      </c>
      <c r="G124" s="25" t="inlineStr">
        <is>
          <t>L4 | Pallet (4000037): 1 pc | Shrink film (4001177): 0.597 kg</t>
        </is>
      </c>
      <c r="H124" s="25" t="n">
        <v>28.417</v>
      </c>
      <c r="I124" s="25" t="n">
        <v>1</v>
      </c>
      <c r="J124" s="25" t="n">
        <v>6</v>
      </c>
      <c r="K124" s="25" t="inlineStr">
        <is>
          <t>IA-PPWR-TF-ST-054-STD-11-R00</t>
        </is>
      </c>
      <c r="L124" s="25" t="inlineStr">
        <is>
          <t>IA-PPWR-DOC-ST-054-STD-11-R00</t>
        </is>
      </c>
      <c r="M124" s="25" t="inlineStr">
        <is>
          <t>IA-PPWR-LBL-ST-054-STD-11-R00</t>
        </is>
      </c>
      <c r="N124" s="25" t="inlineStr">
        <is>
          <t>IA-PPWR-STM-ST-054-STD-11-R00</t>
        </is>
      </c>
    </row>
    <row r="125">
      <c r="A125" s="25" t="inlineStr">
        <is>
          <t>ST-054-STD-12</t>
        </is>
      </c>
      <c r="B125" s="25" t="inlineStr">
        <is>
          <t>IA-ST-054-STD-12</t>
        </is>
      </c>
      <c r="C125" s="25" t="inlineStr">
        <is>
          <t>IA-ST-CFG-0148</t>
        </is>
      </c>
      <c r="D125" s="25" t="inlineStr">
        <is>
          <t>STARTER</t>
        </is>
      </c>
      <c r="E125" s="25" t="inlineStr">
        <is>
          <t>LB4 | Palet (4000037): 1 adet | Shrink film (4001177): 0.597 kg</t>
        </is>
      </c>
      <c r="F125" s="25" t="inlineStr">
        <is>
          <t>LB4 | Palet (4000037): 1 adet | Shrink film (4001177): 0.597 kg</t>
        </is>
      </c>
      <c r="G125" s="25" t="inlineStr">
        <is>
          <t>LB4 | Pallet (4000037): 1 pc | Shrink film (4001177): 0.597 kg</t>
        </is>
      </c>
      <c r="H125" s="25" t="n">
        <v>28.617</v>
      </c>
      <c r="I125" s="25" t="n">
        <v>1</v>
      </c>
      <c r="J125" s="25" t="n">
        <v>6</v>
      </c>
      <c r="K125" s="25" t="inlineStr">
        <is>
          <t>IA-PPWR-TF-ST-054-STD-12-R00</t>
        </is>
      </c>
      <c r="L125" s="25" t="inlineStr">
        <is>
          <t>IA-PPWR-DOC-ST-054-STD-12-R00</t>
        </is>
      </c>
      <c r="M125" s="25" t="inlineStr">
        <is>
          <t>IA-PPWR-LBL-ST-054-STD-12-R00</t>
        </is>
      </c>
      <c r="N125" s="25" t="inlineStr">
        <is>
          <t>IA-PPWR-STM-ST-054-STD-12-R00</t>
        </is>
      </c>
    </row>
    <row r="126">
      <c r="A126" s="25" t="inlineStr">
        <is>
          <t>ST-056-EUR-01</t>
        </is>
      </c>
      <c r="B126" s="25" t="inlineStr">
        <is>
          <t>IA-ST-056-EUR-01</t>
        </is>
      </c>
      <c r="C126" s="25" t="inlineStr">
        <is>
          <t>IA-ST-CFG-0150</t>
        </is>
      </c>
      <c r="D126" s="25" t="inlineStr">
        <is>
          <t>STARTER</t>
        </is>
      </c>
      <c r="E126" s="25" t="inlineStr">
        <is>
          <t>L4 | L4 İnci AGM LEO 80AH 800A pencereli dış koli (4001341): 56 adet</t>
        </is>
      </c>
      <c r="F126" s="25" t="inlineStr">
        <is>
          <t>L4 | L4 İnci AGM LEO 80AH 800A pencereli dış koli (4001341): 56 adet</t>
        </is>
      </c>
      <c r="G126" s="25" t="inlineStr">
        <is>
          <t>L4 | L4 İnci AGM LEO 80AH 800A windowed outer carton (4001341): 56 pcs</t>
        </is>
      </c>
      <c r="H126" s="25" t="n">
        <v>44.106</v>
      </c>
      <c r="I126" s="25" t="n">
        <v>1</v>
      </c>
      <c r="J126" s="25" t="n">
        <v>7</v>
      </c>
      <c r="K126" s="25" t="inlineStr">
        <is>
          <t>IA-PPWR-TF-ST-056-EUR-01-R00</t>
        </is>
      </c>
      <c r="L126" s="25" t="inlineStr">
        <is>
          <t>IA-PPWR-DOC-ST-056-EUR-01-R00</t>
        </is>
      </c>
      <c r="M126" s="25" t="inlineStr">
        <is>
          <t>IA-PPWR-LBL-ST-056-EUR-01-R00</t>
        </is>
      </c>
      <c r="N126" s="25" t="inlineStr">
        <is>
          <t>IA-PPWR-STM-ST-056-EUR-01-R00</t>
        </is>
      </c>
    </row>
    <row r="127">
      <c r="A127" s="25" t="inlineStr">
        <is>
          <t>ST-056-EUR-02</t>
        </is>
      </c>
      <c r="B127" s="25" t="inlineStr">
        <is>
          <t>IA-ST-056-EUR-02</t>
        </is>
      </c>
      <c r="C127" s="25" t="inlineStr">
        <is>
          <t>IA-ST-CFG-0151</t>
        </is>
      </c>
      <c r="D127" s="25" t="inlineStr">
        <is>
          <t>STARTER</t>
        </is>
      </c>
      <c r="E127" s="25" t="inlineStr">
        <is>
          <t>L4, LB4 | Palet (4000038): 1 adet | Köşebent (4000590): 4 adet</t>
        </is>
      </c>
      <c r="F127" s="25" t="inlineStr">
        <is>
          <t>L4, LB4 | Palet (4000038): 1 adet | Köşebent (4000590): 4 adet</t>
        </is>
      </c>
      <c r="G127" s="25" t="inlineStr">
        <is>
          <t>L4, LB4 | Pallet (4000038): 1 pc | Edge protector (4000590): 4 pcs</t>
        </is>
      </c>
      <c r="H127" s="25" t="n">
        <v>28.126</v>
      </c>
      <c r="I127" s="25" t="n">
        <v>8</v>
      </c>
      <c r="J127" s="25" t="n">
        <v>6</v>
      </c>
      <c r="K127" s="25" t="inlineStr">
        <is>
          <t>IA-PPWR-TF-ST-056-EUR-02-R00</t>
        </is>
      </c>
      <c r="L127" s="25" t="inlineStr">
        <is>
          <t>IA-PPWR-DOC-ST-056-EUR-02-R00</t>
        </is>
      </c>
      <c r="M127" s="25" t="inlineStr">
        <is>
          <t>IA-PPWR-LBL-ST-056-EUR-02-R00</t>
        </is>
      </c>
      <c r="N127" s="25" t="inlineStr">
        <is>
          <t>IA-PPWR-STM-ST-056-EUR-02-R00</t>
        </is>
      </c>
    </row>
    <row r="128">
      <c r="A128" s="25" t="inlineStr">
        <is>
          <t>ST-056-EUR-03</t>
        </is>
      </c>
      <c r="B128" s="25" t="inlineStr">
        <is>
          <t>IA-ST-056-EUR-03</t>
        </is>
      </c>
      <c r="C128" s="25" t="inlineStr">
        <is>
          <t>IA-ST-CFG-0152</t>
        </is>
      </c>
      <c r="D128" s="25" t="inlineStr">
        <is>
          <t>STARTER</t>
        </is>
      </c>
      <c r="E128" s="25" t="inlineStr">
        <is>
          <t>L4, LB4 | Palet (4000038): 1 adet | Shrink film (4000554): 1.904 kg</t>
        </is>
      </c>
      <c r="F128" s="25" t="inlineStr">
        <is>
          <t>L4, LB4 | Palet (4000038): 1 adet | Shrink film (4000554): 1.904 kg</t>
        </is>
      </c>
      <c r="G128" s="25" t="inlineStr">
        <is>
          <t>L4, LB4 | Pallet (4000038): 1 pc | Shrink film (4000554): 1.904 kg</t>
        </is>
      </c>
      <c r="H128" s="25" t="n">
        <v>29.7432</v>
      </c>
      <c r="I128" s="25" t="n">
        <v>18</v>
      </c>
      <c r="J128" s="25" t="n">
        <v>7</v>
      </c>
      <c r="K128" s="25" t="inlineStr">
        <is>
          <t>IA-PPWR-TF-ST-056-EUR-03-R00</t>
        </is>
      </c>
      <c r="L128" s="25" t="inlineStr">
        <is>
          <t>IA-PPWR-DOC-ST-056-EUR-03-R00</t>
        </is>
      </c>
      <c r="M128" s="25" t="inlineStr">
        <is>
          <t>IA-PPWR-LBL-ST-056-EUR-03-R00</t>
        </is>
      </c>
      <c r="N128" s="25" t="inlineStr">
        <is>
          <t>IA-PPWR-STM-ST-056-EUR-03-R00</t>
        </is>
      </c>
    </row>
    <row r="129">
      <c r="A129" s="25" t="inlineStr">
        <is>
          <t>ST-056-EUR-04</t>
        </is>
      </c>
      <c r="B129" s="25" t="inlineStr">
        <is>
          <t>IA-ST-056-EUR-04</t>
        </is>
      </c>
      <c r="C129" s="25" t="inlineStr">
        <is>
          <t>IA-ST-CFG-0153</t>
        </is>
      </c>
      <c r="D129" s="25" t="inlineStr">
        <is>
          <t>STARTER</t>
        </is>
      </c>
      <c r="E129" s="25" t="inlineStr">
        <is>
          <t>LB4, L4 | Palet (4000038): 1 adet | Köşebent (4000590): 2 adet</t>
        </is>
      </c>
      <c r="F129" s="25" t="inlineStr">
        <is>
          <t>LB4, L4 | Palet (4000038): 1 adet | Köşebent (4000590): 2 adet</t>
        </is>
      </c>
      <c r="G129" s="25" t="inlineStr">
        <is>
          <t>LB4, L4 | Pallet (4000038): 1 pc | Edge protector (4000590): 2 pcs</t>
        </is>
      </c>
      <c r="H129" s="25" t="n">
        <v>27.8392</v>
      </c>
      <c r="I129" s="25" t="n">
        <v>5</v>
      </c>
      <c r="J129" s="25" t="n">
        <v>6</v>
      </c>
      <c r="K129" s="25" t="inlineStr">
        <is>
          <t>IA-PPWR-TF-ST-056-EUR-04-R00</t>
        </is>
      </c>
      <c r="L129" s="25" t="inlineStr">
        <is>
          <t>IA-PPWR-DOC-ST-056-EUR-04-R00</t>
        </is>
      </c>
      <c r="M129" s="25" t="inlineStr">
        <is>
          <t>IA-PPWR-LBL-ST-056-EUR-04-R00</t>
        </is>
      </c>
      <c r="N129" s="25" t="inlineStr">
        <is>
          <t>IA-PPWR-STM-ST-056-EUR-04-R00</t>
        </is>
      </c>
    </row>
    <row r="130">
      <c r="A130" s="25" t="inlineStr">
        <is>
          <t>ST-057-EUR-01</t>
        </is>
      </c>
      <c r="B130" s="25" t="inlineStr">
        <is>
          <t>IA-ST-057-EUR-01</t>
        </is>
      </c>
      <c r="C130" s="25" t="inlineStr">
        <is>
          <t>IA-ST-CFG-0160</t>
        </is>
      </c>
      <c r="D130" s="25" t="inlineStr">
        <is>
          <t>STARTER</t>
        </is>
      </c>
      <c r="E130" s="25" t="inlineStr">
        <is>
          <t>D26 | Palet (4000038): 1 adet | Honeycomb (4001186): 3 adet</t>
        </is>
      </c>
      <c r="F130" s="25" t="inlineStr">
        <is>
          <t>D26 | Palet (4000038): 1 adet | Honeycomb (4001186): 3 adet</t>
        </is>
      </c>
      <c r="G130" s="25" t="inlineStr">
        <is>
          <t>D26 | Pallet (4000038): 1 pc | Honeycomb (4001186): 3 pcs</t>
        </is>
      </c>
      <c r="H130" s="25" t="n">
        <v>30.326</v>
      </c>
      <c r="I130" s="25" t="n">
        <v>7</v>
      </c>
      <c r="J130" s="25" t="n">
        <v>7</v>
      </c>
      <c r="K130" s="25" t="inlineStr">
        <is>
          <t>IA-PPWR-TF-ST-057-EUR-01-R00</t>
        </is>
      </c>
      <c r="L130" s="25" t="inlineStr">
        <is>
          <t>IA-PPWR-DOC-ST-057-EUR-01-R00</t>
        </is>
      </c>
      <c r="M130" s="25" t="inlineStr">
        <is>
          <t>IA-PPWR-LBL-ST-057-EUR-01-R00</t>
        </is>
      </c>
      <c r="N130" s="25" t="inlineStr">
        <is>
          <t>IA-PPWR-STM-ST-057-EUR-01-R00</t>
        </is>
      </c>
    </row>
    <row r="131">
      <c r="A131" s="25" t="inlineStr">
        <is>
          <t>ST-057-EUR-02</t>
        </is>
      </c>
      <c r="B131" s="25" t="inlineStr">
        <is>
          <t>IA-ST-057-EUR-02</t>
        </is>
      </c>
      <c r="C131" s="25" t="inlineStr">
        <is>
          <t>IA-ST-CFG-0161</t>
        </is>
      </c>
      <c r="D131" s="25" t="inlineStr">
        <is>
          <t>STARTER</t>
        </is>
      </c>
      <c r="E131" s="25" t="inlineStr">
        <is>
          <t>D26 | Palet (4000038): 1 adet | EPS (4001247): 3 adet</t>
        </is>
      </c>
      <c r="F131" s="25" t="inlineStr">
        <is>
          <t>D26 | Palet (4000038): 1 adet | EPS (4001247): 3 adet</t>
        </is>
      </c>
      <c r="G131" s="25" t="inlineStr">
        <is>
          <t>D26 | Pallet (4000038): 1 pc | EPS (4001247): 3 pcs</t>
        </is>
      </c>
      <c r="H131" s="25" t="n">
        <v>27.506</v>
      </c>
      <c r="I131" s="25" t="n">
        <v>2</v>
      </c>
      <c r="J131" s="25" t="n">
        <v>7</v>
      </c>
      <c r="K131" s="25" t="inlineStr">
        <is>
          <t>IA-PPWR-TF-ST-057-EUR-02-R00</t>
        </is>
      </c>
      <c r="L131" s="25" t="inlineStr">
        <is>
          <t>IA-PPWR-DOC-ST-057-EUR-02-R00</t>
        </is>
      </c>
      <c r="M131" s="25" t="inlineStr">
        <is>
          <t>IA-PPWR-LBL-ST-057-EUR-02-R00</t>
        </is>
      </c>
      <c r="N131" s="25" t="inlineStr">
        <is>
          <t>IA-PPWR-STM-ST-057-EUR-02-R00</t>
        </is>
      </c>
    </row>
    <row r="132">
      <c r="A132" s="25" t="inlineStr">
        <is>
          <t>ST-057-EUR-03</t>
        </is>
      </c>
      <c r="B132" s="25" t="inlineStr">
        <is>
          <t>IA-ST-057-EUR-03</t>
        </is>
      </c>
      <c r="C132" s="25" t="inlineStr">
        <is>
          <t>IA-ST-CFG-0162</t>
        </is>
      </c>
      <c r="D132" s="25" t="inlineStr">
        <is>
          <t>STARTER</t>
        </is>
      </c>
      <c r="E132" s="25" t="inlineStr">
        <is>
          <t>L2, LB2 | Palet (4000038): 1 adet | Köşebent (4000590): 4 adet</t>
        </is>
      </c>
      <c r="F132" s="25" t="inlineStr">
        <is>
          <t>L2, LB2 | Palet (4000038): 1 adet | Köşebent (4000590): 4 adet</t>
        </is>
      </c>
      <c r="G132" s="25" t="inlineStr">
        <is>
          <t>L2, LB2 | Pallet (4000038): 1 pc | Edge protector (4000590): 4 pcs</t>
        </is>
      </c>
      <c r="H132" s="25" t="n">
        <v>27.926</v>
      </c>
      <c r="I132" s="25" t="n">
        <v>38</v>
      </c>
      <c r="J132" s="25" t="n">
        <v>6</v>
      </c>
      <c r="K132" s="25" t="inlineStr">
        <is>
          <t>IA-PPWR-TF-ST-057-EUR-03-R00</t>
        </is>
      </c>
      <c r="L132" s="25" t="inlineStr">
        <is>
          <t>IA-PPWR-DOC-ST-057-EUR-03-R00</t>
        </is>
      </c>
      <c r="M132" s="25" t="inlineStr">
        <is>
          <t>IA-PPWR-LBL-ST-057-EUR-03-R00</t>
        </is>
      </c>
      <c r="N132" s="25" t="inlineStr">
        <is>
          <t>IA-PPWR-STM-ST-057-EUR-03-R00</t>
        </is>
      </c>
    </row>
    <row r="133">
      <c r="A133" s="25" t="inlineStr">
        <is>
          <t>ST-057-EUR-04</t>
        </is>
      </c>
      <c r="B133" s="25" t="inlineStr">
        <is>
          <t>IA-ST-057-EUR-04</t>
        </is>
      </c>
      <c r="C133" s="25" t="inlineStr">
        <is>
          <t>IA-ST-CFG-0163</t>
        </is>
      </c>
      <c r="D133" s="25" t="inlineStr">
        <is>
          <t>STARTER</t>
        </is>
      </c>
      <c r="E133" s="25" t="inlineStr">
        <is>
          <t>L2, LB2 | Palet (4000038): 1 adet | Shrink film (4000558): 2.166 kg</t>
        </is>
      </c>
      <c r="F133" s="25" t="inlineStr">
        <is>
          <t>L2, LB2 | Palet (4000038): 1 adet | Shrink film (4000558): 2.166 kg</t>
        </is>
      </c>
      <c r="G133" s="25" t="inlineStr">
        <is>
          <t>L2, LB2 | Pallet (4000038): 1 pc | Shrink film (4000558): 2.166 kg</t>
        </is>
      </c>
      <c r="H133" s="25" t="n">
        <v>29.8052</v>
      </c>
      <c r="I133" s="25" t="n">
        <v>9</v>
      </c>
      <c r="J133" s="25" t="n">
        <v>7</v>
      </c>
      <c r="K133" s="25" t="inlineStr">
        <is>
          <t>IA-PPWR-TF-ST-057-EUR-04-R00</t>
        </is>
      </c>
      <c r="L133" s="25" t="inlineStr">
        <is>
          <t>IA-PPWR-DOC-ST-057-EUR-04-R00</t>
        </is>
      </c>
      <c r="M133" s="25" t="inlineStr">
        <is>
          <t>IA-PPWR-LBL-ST-057-EUR-04-R00</t>
        </is>
      </c>
      <c r="N133" s="25" t="inlineStr">
        <is>
          <t>IA-PPWR-STM-ST-057-EUR-04-R00</t>
        </is>
      </c>
    </row>
    <row r="134">
      <c r="A134" s="25" t="inlineStr">
        <is>
          <t>ST-057-EUR-05</t>
        </is>
      </c>
      <c r="B134" s="25" t="inlineStr">
        <is>
          <t>IA-ST-057-EUR-05</t>
        </is>
      </c>
      <c r="C134" s="25" t="inlineStr">
        <is>
          <t>IA-ST-CFG-0164</t>
        </is>
      </c>
      <c r="D134" s="25" t="inlineStr">
        <is>
          <t>STARTER</t>
        </is>
      </c>
      <c r="E134" s="25" t="inlineStr">
        <is>
          <t>L2, LB2 | Palet (4000038): 1 adet | Shrink film (4000558): kullanılmaz | Köşebent (4000590): 2 adet</t>
        </is>
      </c>
      <c r="F134" s="25" t="inlineStr">
        <is>
          <t>L2, LB2 | Palet (4000038): 1 adet | Shrink film (4000558): kullanılmaz | Köşebent (4000590): 2 adet</t>
        </is>
      </c>
      <c r="G134" s="25" t="inlineStr">
        <is>
          <t>L2, LB2 | Pallet (4000038): 1 pc | Shrink film (4000558): not used | Edge protector (4000590): 2 pcs</t>
        </is>
      </c>
      <c r="H134" s="25" t="n">
        <v>27.6392</v>
      </c>
      <c r="I134" s="25" t="n">
        <v>10</v>
      </c>
      <c r="J134" s="25" t="n">
        <v>6</v>
      </c>
      <c r="K134" s="25" t="inlineStr">
        <is>
          <t>IA-PPWR-TF-ST-057-EUR-05-R00</t>
        </is>
      </c>
      <c r="L134" s="25" t="inlineStr">
        <is>
          <t>IA-PPWR-DOC-ST-057-EUR-05-R00</t>
        </is>
      </c>
      <c r="M134" s="25" t="inlineStr">
        <is>
          <t>IA-PPWR-LBL-ST-057-EUR-05-R00</t>
        </is>
      </c>
      <c r="N134" s="25" t="inlineStr">
        <is>
          <t>IA-PPWR-STM-ST-057-EUR-05-R00</t>
        </is>
      </c>
    </row>
    <row r="135">
      <c r="A135" s="25" t="inlineStr">
        <is>
          <t>ST-057-STD-01</t>
        </is>
      </c>
      <c r="B135" s="25" t="inlineStr">
        <is>
          <t>IA-ST-057-STD-01</t>
        </is>
      </c>
      <c r="C135" s="25" t="inlineStr">
        <is>
          <t>IA-ST-CFG-0155</t>
        </is>
      </c>
      <c r="D135" s="25" t="inlineStr">
        <is>
          <t>STARTER</t>
        </is>
      </c>
      <c r="E135" s="25" t="inlineStr">
        <is>
          <t>D26 | D26 İnciEFBPANTERA pencereli YÜKSEK DL dış koli (4001271): 57 adet</t>
        </is>
      </c>
      <c r="F135" s="25" t="inlineStr">
        <is>
          <t>D26 | D26 İnciEFBPANTERA pencereli YÜKSEK DL dış koli (4001271): 57 adet</t>
        </is>
      </c>
      <c r="G135" s="25" t="inlineStr">
        <is>
          <t>D26 | D26 İnciEFBPANTERA windowed YÜKSEK DL outer carton (4001271): 57 pcs</t>
        </is>
      </c>
      <c r="H135" s="25" t="n">
        <v>50.954</v>
      </c>
      <c r="I135" s="25" t="n">
        <v>1</v>
      </c>
      <c r="J135" s="25" t="n">
        <v>8</v>
      </c>
      <c r="K135" s="25" t="inlineStr">
        <is>
          <t>IA-PPWR-TF-ST-057-STD-01-R00</t>
        </is>
      </c>
      <c r="L135" s="25" t="inlineStr">
        <is>
          <t>IA-PPWR-DOC-ST-057-STD-01-R00</t>
        </is>
      </c>
      <c r="M135" s="25" t="inlineStr">
        <is>
          <t>IA-PPWR-LBL-ST-057-STD-01-R00</t>
        </is>
      </c>
      <c r="N135" s="25" t="inlineStr">
        <is>
          <t>IA-PPWR-STM-ST-057-STD-01-R00</t>
        </is>
      </c>
    </row>
    <row r="136">
      <c r="A136" s="25" t="inlineStr">
        <is>
          <t>ST-057-STD-02</t>
        </is>
      </c>
      <c r="B136" s="25" t="inlineStr">
        <is>
          <t>IA-ST-057-STD-02</t>
        </is>
      </c>
      <c r="C136" s="25" t="inlineStr">
        <is>
          <t>IA-ST-CFG-0156</t>
        </is>
      </c>
      <c r="D136" s="25" t="inlineStr">
        <is>
          <t>STARTER</t>
        </is>
      </c>
      <c r="E136" s="25" t="inlineStr">
        <is>
          <t>D26 | D26 EAS Activa penceresiz (YÜKSEK) dış koli (4001287): 57 adet</t>
        </is>
      </c>
      <c r="F136" s="25" t="inlineStr">
        <is>
          <t>D26 | D26 EAS Activa penceresiz (YÜKSEK) dış koli (4001287): 57 adet</t>
        </is>
      </c>
      <c r="G136" s="25" t="inlineStr">
        <is>
          <t>D26 | D26 EAS Activa windowless (YÜKSEK) outer carton (4001287): 57 pcs</t>
        </is>
      </c>
      <c r="H136" s="25" t="n">
        <v>50.954</v>
      </c>
      <c r="I136" s="25" t="n">
        <v>1</v>
      </c>
      <c r="J136" s="25" t="n">
        <v>8</v>
      </c>
      <c r="K136" s="25" t="inlineStr">
        <is>
          <t>IA-PPWR-TF-ST-057-STD-02-R00</t>
        </is>
      </c>
      <c r="L136" s="25" t="inlineStr">
        <is>
          <t>IA-PPWR-DOC-ST-057-STD-02-R00</t>
        </is>
      </c>
      <c r="M136" s="25" t="inlineStr">
        <is>
          <t>IA-PPWR-LBL-ST-057-STD-02-R00</t>
        </is>
      </c>
      <c r="N136" s="25" t="inlineStr">
        <is>
          <t>IA-PPWR-STM-ST-057-STD-02-R00</t>
        </is>
      </c>
    </row>
    <row r="137">
      <c r="A137" s="25" t="inlineStr">
        <is>
          <t>ST-057-STD-03</t>
        </is>
      </c>
      <c r="B137" s="25" t="inlineStr">
        <is>
          <t>IA-ST-057-STD-03</t>
        </is>
      </c>
      <c r="C137" s="25" t="inlineStr">
        <is>
          <t>IA-ST-CFG-0157</t>
        </is>
      </c>
      <c r="D137" s="25" t="inlineStr">
        <is>
          <t>STARTER</t>
        </is>
      </c>
      <c r="E137" s="25" t="inlineStr">
        <is>
          <t>D26 | D26 YUASA ORTADOĞU penceresiz dış koli (4001289): 57 adet</t>
        </is>
      </c>
      <c r="F137" s="25" t="inlineStr">
        <is>
          <t>D26 | D26 YUASA ORTADOĞU penceresiz dış koli (4001289): 57 adet</t>
        </is>
      </c>
      <c r="G137" s="25" t="inlineStr">
        <is>
          <t>D26 | D26 YUASA ORTADOĞU windowless outer carton (4001289): 57 pcs</t>
        </is>
      </c>
      <c r="H137" s="25" t="n">
        <v>50.954</v>
      </c>
      <c r="I137" s="25" t="n">
        <v>2</v>
      </c>
      <c r="J137" s="25" t="n">
        <v>8</v>
      </c>
      <c r="K137" s="25" t="inlineStr">
        <is>
          <t>IA-PPWR-TF-ST-057-STD-03-R00</t>
        </is>
      </c>
      <c r="L137" s="25" t="inlineStr">
        <is>
          <t>IA-PPWR-DOC-ST-057-STD-03-R00</t>
        </is>
      </c>
      <c r="M137" s="25" t="inlineStr">
        <is>
          <t>IA-PPWR-LBL-ST-057-STD-03-R00</t>
        </is>
      </c>
      <c r="N137" s="25" t="inlineStr">
        <is>
          <t>IA-PPWR-STM-ST-057-STD-03-R00</t>
        </is>
      </c>
    </row>
    <row r="138">
      <c r="A138" s="25" t="inlineStr">
        <is>
          <t>ST-060-EUR-01</t>
        </is>
      </c>
      <c r="B138" s="25" t="inlineStr">
        <is>
          <t>IA-ST-060-EUR-01</t>
        </is>
      </c>
      <c r="C138" s="25" t="inlineStr">
        <is>
          <t>IA-ST-CFG-0170</t>
        </is>
      </c>
      <c r="D138" s="25" t="inlineStr">
        <is>
          <t>STARTER</t>
        </is>
      </c>
      <c r="E138" s="25" t="inlineStr">
        <is>
          <t>D23 | D23 YUASA penceresiz Orta Doğu dış koli (4001106): 60 adet</t>
        </is>
      </c>
      <c r="F138" s="25" t="inlineStr">
        <is>
          <t>D23 | D23 YUASA penceresiz Orta Doğu dış koli (4001106): 60 adet</t>
        </is>
      </c>
      <c r="G138" s="25" t="inlineStr">
        <is>
          <t>D23 | D23 YUASA windowless Middle East outer carton (4001106): 60 pcs</t>
        </is>
      </c>
      <c r="H138" s="25" t="n">
        <v>46.6702</v>
      </c>
      <c r="I138" s="25" t="n">
        <v>1</v>
      </c>
      <c r="J138" s="25" t="n">
        <v>8</v>
      </c>
      <c r="K138" s="25" t="inlineStr">
        <is>
          <t>IA-PPWR-TF-ST-060-EUR-01-R00</t>
        </is>
      </c>
      <c r="L138" s="25" t="inlineStr">
        <is>
          <t>IA-PPWR-DOC-ST-060-EUR-01-R00</t>
        </is>
      </c>
      <c r="M138" s="25" t="inlineStr">
        <is>
          <t>IA-PPWR-LBL-ST-060-EUR-01-R00</t>
        </is>
      </c>
      <c r="N138" s="25" t="inlineStr">
        <is>
          <t>IA-PPWR-STM-ST-060-EUR-01-R00</t>
        </is>
      </c>
    </row>
    <row r="139">
      <c r="A139" s="25" t="inlineStr">
        <is>
          <t>ST-060-EUR-02</t>
        </is>
      </c>
      <c r="B139" s="25" t="inlineStr">
        <is>
          <t>IA-ST-060-EUR-02</t>
        </is>
      </c>
      <c r="C139" s="25" t="inlineStr">
        <is>
          <t>IA-ST-CFG-0171</t>
        </is>
      </c>
      <c r="D139" s="25" t="inlineStr">
        <is>
          <t>STARTER</t>
        </is>
      </c>
      <c r="E139" s="25" t="inlineStr">
        <is>
          <t>D23 | D23 PVC üst kapak (4000461): 60 adet</t>
        </is>
      </c>
      <c r="F139" s="25" t="inlineStr">
        <is>
          <t>D23 | D23 PVC üst kapak (4000461): 60 adet</t>
        </is>
      </c>
      <c r="G139" s="25" t="inlineStr">
        <is>
          <t>D23 | D23 PVC upper cover (4000461): 60 pcs</t>
        </is>
      </c>
      <c r="H139" s="25" t="n">
        <v>32.9834</v>
      </c>
      <c r="I139" s="25" t="n">
        <v>13</v>
      </c>
      <c r="J139" s="25" t="n">
        <v>8</v>
      </c>
      <c r="K139" s="25" t="inlineStr">
        <is>
          <t>IA-PPWR-TF-ST-060-EUR-02-R00</t>
        </is>
      </c>
      <c r="L139" s="25" t="inlineStr">
        <is>
          <t>IA-PPWR-DOC-ST-060-EUR-02-R00</t>
        </is>
      </c>
      <c r="M139" s="25" t="inlineStr">
        <is>
          <t>IA-PPWR-LBL-ST-060-EUR-02-R00</t>
        </is>
      </c>
      <c r="N139" s="25" t="inlineStr">
        <is>
          <t>IA-PPWR-STM-ST-060-EUR-02-R00</t>
        </is>
      </c>
    </row>
    <row r="140">
      <c r="A140" s="25" t="inlineStr">
        <is>
          <t>ST-060-STD-01</t>
        </is>
      </c>
      <c r="B140" s="25" t="inlineStr">
        <is>
          <t>IA-ST-060-STD-01</t>
        </is>
      </c>
      <c r="C140" s="25" t="inlineStr">
        <is>
          <t>IA-ST-CFG-0165</t>
        </is>
      </c>
      <c r="D140" s="25" t="inlineStr">
        <is>
          <t>STARTER</t>
        </is>
      </c>
      <c r="E140" s="25" t="inlineStr">
        <is>
          <t>L5 | L5 EAS Activa penceresiz dış koli (4001006): 60 adet</t>
        </is>
      </c>
      <c r="F140" s="25" t="inlineStr">
        <is>
          <t>L5 | L5 EAS Activa penceresiz dış koli (4001006): 60 adet</t>
        </is>
      </c>
      <c r="G140" s="25" t="inlineStr">
        <is>
          <t>L5 | L5 EAS Activa windowless outer carton (4001006): 60 pcs</t>
        </is>
      </c>
      <c r="H140" s="25" t="n">
        <v>49.136</v>
      </c>
      <c r="I140" s="25" t="n">
        <v>2</v>
      </c>
      <c r="J140" s="25" t="n">
        <v>7</v>
      </c>
      <c r="K140" s="25" t="inlineStr">
        <is>
          <t>IA-PPWR-TF-ST-060-STD-01-R00</t>
        </is>
      </c>
      <c r="L140" s="25" t="inlineStr">
        <is>
          <t>IA-PPWR-DOC-ST-060-STD-01-R00</t>
        </is>
      </c>
      <c r="M140" s="25" t="inlineStr">
        <is>
          <t>IA-PPWR-LBL-ST-060-STD-01-R00</t>
        </is>
      </c>
      <c r="N140" s="25" t="inlineStr">
        <is>
          <t>IA-PPWR-STM-ST-060-STD-01-R00</t>
        </is>
      </c>
    </row>
    <row r="141">
      <c r="A141" s="25" t="inlineStr">
        <is>
          <t>ST-060-STD-02</t>
        </is>
      </c>
      <c r="B141" s="25" t="inlineStr">
        <is>
          <t>IA-ST-060-STD-02</t>
        </is>
      </c>
      <c r="C141" s="25" t="inlineStr">
        <is>
          <t>IA-ST-CFG-0166</t>
        </is>
      </c>
      <c r="D141" s="25" t="inlineStr">
        <is>
          <t>STARTER</t>
        </is>
      </c>
      <c r="E141" s="25" t="inlineStr">
        <is>
          <t>L5 | L5 YUASA penceresiz Orta Doğu dış koli (4001105): 60 adet</t>
        </is>
      </c>
      <c r="F141" s="25" t="inlineStr">
        <is>
          <t>L5 | L5 YUASA penceresiz Orta Doğu dış koli (4001105): 60 adet</t>
        </is>
      </c>
      <c r="G141" s="25" t="inlineStr">
        <is>
          <t>L5 | L5 YUASA windowless Middle East outer carton (4001105): 60 pcs</t>
        </is>
      </c>
      <c r="H141" s="25" t="n">
        <v>49.136</v>
      </c>
      <c r="I141" s="25" t="n">
        <v>2</v>
      </c>
      <c r="J141" s="25" t="n">
        <v>7</v>
      </c>
      <c r="K141" s="25" t="inlineStr">
        <is>
          <t>IA-PPWR-TF-ST-060-STD-02-R00</t>
        </is>
      </c>
      <c r="L141" s="25" t="inlineStr">
        <is>
          <t>IA-PPWR-DOC-ST-060-STD-02-R00</t>
        </is>
      </c>
      <c r="M141" s="25" t="inlineStr">
        <is>
          <t>IA-PPWR-LBL-ST-060-STD-02-R00</t>
        </is>
      </c>
      <c r="N141" s="25" t="inlineStr">
        <is>
          <t>IA-PPWR-STM-ST-060-STD-02-R00</t>
        </is>
      </c>
    </row>
    <row r="142">
      <c r="A142" s="25" t="inlineStr">
        <is>
          <t>ST-060-STD-03</t>
        </is>
      </c>
      <c r="B142" s="25" t="inlineStr">
        <is>
          <t>IA-ST-060-STD-03</t>
        </is>
      </c>
      <c r="C142" s="25" t="inlineStr">
        <is>
          <t>IA-ST-CFG-0167</t>
        </is>
      </c>
      <c r="D142" s="25" t="inlineStr">
        <is>
          <t>STARTER</t>
        </is>
      </c>
      <c r="E142" s="25" t="inlineStr">
        <is>
          <t>L5 | L5 İnci EFB MAX TIGRIS pencereli 2020 dış koli (4001274): 60 adet</t>
        </is>
      </c>
      <c r="F142" s="25" t="inlineStr">
        <is>
          <t>L5 | L5 İnci EFB MAX TIGRIS pencereli 2020 dış koli (4001274): 60 adet</t>
        </is>
      </c>
      <c r="G142" s="25" t="inlineStr">
        <is>
          <t>L5 | L5 İnci EFB MAX TIGRIS windowed 2020 outer carton (4001274): 60 pcs</t>
        </is>
      </c>
      <c r="H142" s="25" t="n">
        <v>49.136</v>
      </c>
      <c r="I142" s="25" t="n">
        <v>1</v>
      </c>
      <c r="J142" s="25" t="n">
        <v>7</v>
      </c>
      <c r="K142" s="25" t="inlineStr">
        <is>
          <t>IA-PPWR-TF-ST-060-STD-03-R00</t>
        </is>
      </c>
      <c r="L142" s="25" t="inlineStr">
        <is>
          <t>IA-PPWR-DOC-ST-060-STD-03-R00</t>
        </is>
      </c>
      <c r="M142" s="25" t="inlineStr">
        <is>
          <t>IA-PPWR-LBL-ST-060-STD-03-R00</t>
        </is>
      </c>
      <c r="N142" s="25" t="inlineStr">
        <is>
          <t>IA-PPWR-STM-ST-060-STD-03-R00</t>
        </is>
      </c>
    </row>
    <row r="143">
      <c r="A143" s="25" t="inlineStr">
        <is>
          <t>ST-060-STD-04</t>
        </is>
      </c>
      <c r="B143" s="25" t="inlineStr">
        <is>
          <t>IA-ST-060-STD-04</t>
        </is>
      </c>
      <c r="C143" s="25" t="inlineStr">
        <is>
          <t>IA-ST-CFG-0168</t>
        </is>
      </c>
      <c r="D143" s="25" t="inlineStr">
        <is>
          <t>STARTER</t>
        </is>
      </c>
      <c r="E143" s="25" t="inlineStr">
        <is>
          <t>L5 | L5 İnciEFBPANTRA pencereli 90AH830A DL dış koli (4001320): 60 adet</t>
        </is>
      </c>
      <c r="F143" s="25" t="inlineStr">
        <is>
          <t>L5 | L5 İnciEFBPANTRA pencereli 90AH830A DL dış koli (4001320): 60 adet</t>
        </is>
      </c>
      <c r="G143" s="25" t="inlineStr">
        <is>
          <t>L5 | L5 İnciEFBPANTRA windowed 90AH830A DL outer carton (4001320): 60 pcs</t>
        </is>
      </c>
      <c r="H143" s="25" t="n">
        <v>49.136</v>
      </c>
      <c r="I143" s="25" t="n">
        <v>1</v>
      </c>
      <c r="J143" s="25" t="n">
        <v>7</v>
      </c>
      <c r="K143" s="25" t="inlineStr">
        <is>
          <t>IA-PPWR-TF-ST-060-STD-04-R00</t>
        </is>
      </c>
      <c r="L143" s="25" t="inlineStr">
        <is>
          <t>IA-PPWR-DOC-ST-060-STD-04-R00</t>
        </is>
      </c>
      <c r="M143" s="25" t="inlineStr">
        <is>
          <t>IA-PPWR-LBL-ST-060-STD-04-R00</t>
        </is>
      </c>
      <c r="N143" s="25" t="inlineStr">
        <is>
          <t>IA-PPWR-STM-ST-060-STD-04-R00</t>
        </is>
      </c>
    </row>
    <row r="144">
      <c r="A144" s="25" t="inlineStr">
        <is>
          <t>ST-060-STD-05</t>
        </is>
      </c>
      <c r="B144" s="25" t="inlineStr">
        <is>
          <t>IA-ST-060-STD-05</t>
        </is>
      </c>
      <c r="C144" s="25" t="inlineStr">
        <is>
          <t>IA-ST-CFG-0169</t>
        </is>
      </c>
      <c r="D144" s="25" t="inlineStr">
        <is>
          <t>STARTER</t>
        </is>
      </c>
      <c r="E144" s="25" t="inlineStr">
        <is>
          <t>L5 | L5 İnci FORMULA-MAXIMA 2019 dış koli (4001208): 60 adet</t>
        </is>
      </c>
      <c r="F144" s="25" t="inlineStr">
        <is>
          <t>L5 | L5 İnci FORMULA-MAXIMA 2019 dış koli (4001208): 60 adet</t>
        </is>
      </c>
      <c r="G144" s="25" t="inlineStr">
        <is>
          <t>L5 | L5 İnci FORMULA-MAXIMA 2019 outer carton (4001208): 60 pcs</t>
        </is>
      </c>
      <c r="H144" s="25" t="n">
        <v>49.556</v>
      </c>
      <c r="I144" s="25" t="n">
        <v>1</v>
      </c>
      <c r="J144" s="25" t="n">
        <v>7</v>
      </c>
      <c r="K144" s="25" t="inlineStr">
        <is>
          <t>IA-PPWR-TF-ST-060-STD-05-R00</t>
        </is>
      </c>
      <c r="L144" s="25" t="inlineStr">
        <is>
          <t>IA-PPWR-DOC-ST-060-STD-05-R00</t>
        </is>
      </c>
      <c r="M144" s="25" t="inlineStr">
        <is>
          <t>IA-PPWR-LBL-ST-060-STD-05-R00</t>
        </is>
      </c>
      <c r="N144" s="25" t="inlineStr">
        <is>
          <t>IA-PPWR-STM-ST-060-STD-05-R00</t>
        </is>
      </c>
    </row>
    <row r="145">
      <c r="A145" s="25" t="inlineStr">
        <is>
          <t>ST-063-EUR-01</t>
        </is>
      </c>
      <c r="B145" s="25" t="inlineStr">
        <is>
          <t>IA-ST-063-EUR-01</t>
        </is>
      </c>
      <c r="C145" s="25" t="inlineStr">
        <is>
          <t>IA-ST-CFG-0188</t>
        </is>
      </c>
      <c r="D145" s="25" t="inlineStr">
        <is>
          <t>STARTER</t>
        </is>
      </c>
      <c r="E145" s="25" t="inlineStr">
        <is>
          <t>D23 | Palet (4000038): 1 adet | Honeycomb (4001186): 3 adet</t>
        </is>
      </c>
      <c r="F145" s="25" t="inlineStr">
        <is>
          <t>D23 | Palet (4000038): 1 adet | Honeycomb (4001186): 3 adet</t>
        </is>
      </c>
      <c r="G145" s="25" t="inlineStr">
        <is>
          <t>D23 | Pallet (4000038): 1 pc | Honeycomb (4001186): 3 pcs</t>
        </is>
      </c>
      <c r="H145" s="25" t="n">
        <v>30.326</v>
      </c>
      <c r="I145" s="25" t="n">
        <v>7</v>
      </c>
      <c r="J145" s="25" t="n">
        <v>7</v>
      </c>
      <c r="K145" s="25" t="inlineStr">
        <is>
          <t>IA-PPWR-TF-ST-063-EUR-01-R00</t>
        </is>
      </c>
      <c r="L145" s="25" t="inlineStr">
        <is>
          <t>IA-PPWR-DOC-ST-063-EUR-01-R00</t>
        </is>
      </c>
      <c r="M145" s="25" t="inlineStr">
        <is>
          <t>IA-PPWR-LBL-ST-063-EUR-01-R00</t>
        </is>
      </c>
      <c r="N145" s="25" t="inlineStr">
        <is>
          <t>IA-PPWR-STM-ST-063-EUR-01-R00</t>
        </is>
      </c>
    </row>
    <row r="146">
      <c r="A146" s="25" t="inlineStr">
        <is>
          <t>ST-063-EUR-02</t>
        </is>
      </c>
      <c r="B146" s="25" t="inlineStr">
        <is>
          <t>IA-ST-063-EUR-02</t>
        </is>
      </c>
      <c r="C146" s="25" t="inlineStr">
        <is>
          <t>IA-ST-CFG-0189</t>
        </is>
      </c>
      <c r="D146" s="25" t="inlineStr">
        <is>
          <t>STARTER</t>
        </is>
      </c>
      <c r="E146" s="25" t="inlineStr">
        <is>
          <t>D23 | Palet (4000038): 1 adet | EPS (4001247): 3 adet</t>
        </is>
      </c>
      <c r="F146" s="25" t="inlineStr">
        <is>
          <t>D23 | Palet (4000038): 1 adet | EPS (4001247): 3 adet</t>
        </is>
      </c>
      <c r="G146" s="25" t="inlineStr">
        <is>
          <t>D23 | Pallet (4000038): 1 pc | EPS (4001247): 3 pcs</t>
        </is>
      </c>
      <c r="H146" s="25" t="n">
        <v>27.506</v>
      </c>
      <c r="I146" s="25" t="n">
        <v>3</v>
      </c>
      <c r="J146" s="25" t="n">
        <v>7</v>
      </c>
      <c r="K146" s="25" t="inlineStr">
        <is>
          <t>IA-PPWR-TF-ST-063-EUR-02-R00</t>
        </is>
      </c>
      <c r="L146" s="25" t="inlineStr">
        <is>
          <t>IA-PPWR-DOC-ST-063-EUR-02-R00</t>
        </is>
      </c>
      <c r="M146" s="25" t="inlineStr">
        <is>
          <t>IA-PPWR-LBL-ST-063-EUR-02-R00</t>
        </is>
      </c>
      <c r="N146" s="25" t="inlineStr">
        <is>
          <t>IA-PPWR-STM-ST-063-EUR-02-R00</t>
        </is>
      </c>
    </row>
    <row r="147">
      <c r="A147" s="25" t="inlineStr">
        <is>
          <t>ST-063-STD-01</t>
        </is>
      </c>
      <c r="B147" s="25" t="inlineStr">
        <is>
          <t>IA-ST-063-STD-01</t>
        </is>
      </c>
      <c r="C147" s="25" t="inlineStr">
        <is>
          <t>IA-ST-CFG-0172</t>
        </is>
      </c>
      <c r="D147" s="25" t="inlineStr">
        <is>
          <t>STARTER</t>
        </is>
      </c>
      <c r="E147" s="25" t="inlineStr">
        <is>
          <t>D23 | D23 İnci EFBPANTERA YÜKSEK PENLİ DL dış koli (4001270): 63 adet</t>
        </is>
      </c>
      <c r="F147" s="25" t="inlineStr">
        <is>
          <t>D23 | D23 İnci EFBPANTERA YÜKSEK PENLİ DL dış koli (4001270): 63 adet</t>
        </is>
      </c>
      <c r="G147" s="25" t="inlineStr">
        <is>
          <t>D23 | D23 İnci EFBPANTERA YÜKSEK PENLİ DL outer carton (4001270): 63 pcs</t>
        </is>
      </c>
      <c r="H147" s="25" t="n">
        <v>47.40341</v>
      </c>
      <c r="I147" s="25" t="n">
        <v>1</v>
      </c>
      <c r="J147" s="25" t="n">
        <v>8</v>
      </c>
      <c r="K147" s="25" t="inlineStr">
        <is>
          <t>IA-PPWR-TF-ST-063-STD-01-R00</t>
        </is>
      </c>
      <c r="L147" s="25" t="inlineStr">
        <is>
          <t>IA-PPWR-DOC-ST-063-STD-01-R00</t>
        </is>
      </c>
      <c r="M147" s="25" t="inlineStr">
        <is>
          <t>IA-PPWR-LBL-ST-063-STD-01-R00</t>
        </is>
      </c>
      <c r="N147" s="25" t="inlineStr">
        <is>
          <t>IA-PPWR-STM-ST-063-STD-01-R00</t>
        </is>
      </c>
    </row>
    <row r="148">
      <c r="A148" s="25" t="inlineStr">
        <is>
          <t>ST-063-STD-02</t>
        </is>
      </c>
      <c r="B148" s="25" t="inlineStr">
        <is>
          <t>IA-ST-063-STD-02</t>
        </is>
      </c>
      <c r="C148" s="25" t="inlineStr">
        <is>
          <t>IA-ST-CFG-0173</t>
        </is>
      </c>
      <c r="D148" s="25" t="inlineStr">
        <is>
          <t>STARTER</t>
        </is>
      </c>
      <c r="E148" s="25" t="inlineStr">
        <is>
          <t>D26 | Palet (4000037): 1 adet | Separatör (4000130): 1 adet | EPS (4000370): 3 adet</t>
        </is>
      </c>
      <c r="F148" s="25" t="inlineStr">
        <is>
          <t>D26 | Palet (4000037): 1 adet | Separatör (4000130): 1 adet | EPS (4000370): 3 adet</t>
        </is>
      </c>
      <c r="G148" s="25" t="inlineStr">
        <is>
          <t>D26 | Pallet (4000037): 1 pc | Separator (4000130): 1 pc | EPS (4000370): 3 pcs</t>
        </is>
      </c>
      <c r="H148" s="25" t="n">
        <v>27.708</v>
      </c>
      <c r="I148" s="25" t="n">
        <v>2</v>
      </c>
      <c r="J148" s="25" t="n">
        <v>7</v>
      </c>
      <c r="K148" s="25" t="inlineStr">
        <is>
          <t>IA-PPWR-TF-ST-063-STD-02-R00</t>
        </is>
      </c>
      <c r="L148" s="25" t="inlineStr">
        <is>
          <t>IA-PPWR-DOC-ST-063-STD-02-R00</t>
        </is>
      </c>
      <c r="M148" s="25" t="inlineStr">
        <is>
          <t>IA-PPWR-LBL-ST-063-STD-02-R00</t>
        </is>
      </c>
      <c r="N148" s="25" t="inlineStr">
        <is>
          <t>IA-PPWR-STM-ST-063-STD-02-R00</t>
        </is>
      </c>
    </row>
    <row r="149">
      <c r="A149" s="25" t="inlineStr">
        <is>
          <t>ST-063-STD-03</t>
        </is>
      </c>
      <c r="B149" s="25" t="inlineStr">
        <is>
          <t>IA-ST-063-STD-03</t>
        </is>
      </c>
      <c r="C149" s="25" t="inlineStr">
        <is>
          <t>IA-ST-CFG-0174</t>
        </is>
      </c>
      <c r="D149" s="25" t="inlineStr">
        <is>
          <t>STARTER</t>
        </is>
      </c>
      <c r="E149" s="25" t="inlineStr">
        <is>
          <t>D26 | Separatör (4000130): 1 adet | D26 PVC üst kapak (4000440): 63 adet</t>
        </is>
      </c>
      <c r="F149" s="25" t="inlineStr">
        <is>
          <t>D26 | Separatör (4000130): 1 adet | D26 PVC üst kapak (4000440): 63 adet</t>
        </is>
      </c>
      <c r="G149" s="25" t="inlineStr">
        <is>
          <t>D26 | Separator (4000130): 1 pc | D26 PVC upper cover (4000440): 63 pcs</t>
        </is>
      </c>
      <c r="H149" s="25" t="n">
        <v>33.628</v>
      </c>
      <c r="I149" s="25" t="n">
        <v>1</v>
      </c>
      <c r="J149" s="25" t="n">
        <v>8</v>
      </c>
      <c r="K149" s="25" t="inlineStr">
        <is>
          <t>IA-PPWR-TF-ST-063-STD-03-R00</t>
        </is>
      </c>
      <c r="L149" s="25" t="inlineStr">
        <is>
          <t>IA-PPWR-DOC-ST-063-STD-03-R00</t>
        </is>
      </c>
      <c r="M149" s="25" t="inlineStr">
        <is>
          <t>IA-PPWR-LBL-ST-063-STD-03-R00</t>
        </is>
      </c>
      <c r="N149" s="25" t="inlineStr">
        <is>
          <t>IA-PPWR-STM-ST-063-STD-03-R00</t>
        </is>
      </c>
    </row>
    <row r="150">
      <c r="A150" s="25" t="inlineStr">
        <is>
          <t>ST-063-STD-04</t>
        </is>
      </c>
      <c r="B150" s="25" t="inlineStr">
        <is>
          <t>IA-ST-063-STD-04</t>
        </is>
      </c>
      <c r="C150" s="25" t="inlineStr">
        <is>
          <t>IA-ST-CFG-0175</t>
        </is>
      </c>
      <c r="D150" s="25" t="inlineStr">
        <is>
          <t>STARTER</t>
        </is>
      </c>
      <c r="E150" s="25" t="inlineStr">
        <is>
          <t>D26 | D26 PVC üst kapak (4000440): 63 adet | Köşebent (4000590): 2 adet</t>
        </is>
      </c>
      <c r="F150" s="25" t="inlineStr">
        <is>
          <t>D26 | D26 PVC üst kapak (4000440): 63 adet | Köşebent (4000590): 2 adet</t>
        </is>
      </c>
      <c r="G150" s="25" t="inlineStr">
        <is>
          <t>D26 | D26 PVC upper cover (4000440): 63 pcs | Edge protector (4000590): 2 pcs</t>
        </is>
      </c>
      <c r="H150" s="25" t="n">
        <v>34.1512</v>
      </c>
      <c r="I150" s="25" t="n">
        <v>54</v>
      </c>
      <c r="J150" s="25" t="n">
        <v>8</v>
      </c>
      <c r="K150" s="25" t="inlineStr">
        <is>
          <t>IA-PPWR-TF-ST-063-STD-04-R00</t>
        </is>
      </c>
      <c r="L150" s="25" t="inlineStr">
        <is>
          <t>IA-PPWR-DOC-ST-063-STD-04-R00</t>
        </is>
      </c>
      <c r="M150" s="25" t="inlineStr">
        <is>
          <t>IA-PPWR-LBL-ST-063-STD-04-R00</t>
        </is>
      </c>
      <c r="N150" s="25" t="inlineStr">
        <is>
          <t>IA-PPWR-STM-ST-063-STD-04-R00</t>
        </is>
      </c>
    </row>
    <row r="151">
      <c r="A151" s="25" t="inlineStr">
        <is>
          <t>ST-063-STD-05</t>
        </is>
      </c>
      <c r="B151" s="25" t="inlineStr">
        <is>
          <t>IA-ST-063-STD-05</t>
        </is>
      </c>
      <c r="C151" s="25" t="inlineStr">
        <is>
          <t>IA-ST-CFG-0176</t>
        </is>
      </c>
      <c r="D151" s="25" t="inlineStr">
        <is>
          <t>STARTER</t>
        </is>
      </c>
      <c r="E151" s="25" t="inlineStr">
        <is>
          <t>D26 | D26 PVC üst kapak (4000440): 63 adet | Çember (4000450): kullanılmaz</t>
        </is>
      </c>
      <c r="F151" s="25" t="inlineStr">
        <is>
          <t>D26 | D26 PVC üst kapak (4000440): 63 adet | Çember (4000450): kullanılmaz</t>
        </is>
      </c>
      <c r="G151" s="25" t="inlineStr">
        <is>
          <t>D26 | D26 PVC upper cover (4000440): 63 pcs | Strap (4000450): not used</t>
        </is>
      </c>
      <c r="H151" s="25" t="n">
        <v>33.8644</v>
      </c>
      <c r="I151" s="25" t="n">
        <v>8</v>
      </c>
      <c r="J151" s="25" t="n">
        <v>6</v>
      </c>
      <c r="K151" s="25" t="inlineStr">
        <is>
          <t>IA-PPWR-TF-ST-063-STD-05-R00</t>
        </is>
      </c>
      <c r="L151" s="25" t="inlineStr">
        <is>
          <t>IA-PPWR-DOC-ST-063-STD-05-R00</t>
        </is>
      </c>
      <c r="M151" s="25" t="inlineStr">
        <is>
          <t>IA-PPWR-LBL-ST-063-STD-05-R00</t>
        </is>
      </c>
      <c r="N151" s="25" t="inlineStr">
        <is>
          <t>IA-PPWR-STM-ST-063-STD-05-R00</t>
        </is>
      </c>
    </row>
    <row r="152">
      <c r="A152" s="25" t="inlineStr">
        <is>
          <t>ST-063-STD-06</t>
        </is>
      </c>
      <c r="B152" s="25" t="inlineStr">
        <is>
          <t>IA-ST-063-STD-06</t>
        </is>
      </c>
      <c r="C152" s="25" t="inlineStr">
        <is>
          <t>IA-ST-CFG-0177</t>
        </is>
      </c>
      <c r="D152" s="25" t="inlineStr">
        <is>
          <t>STARTER</t>
        </is>
      </c>
      <c r="E152" s="25" t="inlineStr">
        <is>
          <t>L3 | Palet (4000037): 1 adet | Köşebent (4000590): 4 adet</t>
        </is>
      </c>
      <c r="F152" s="25" t="inlineStr">
        <is>
          <t>L3 | Palet (4000037): 1 adet | Köşebent (4000590): 4 adet</t>
        </is>
      </c>
      <c r="G152" s="25" t="inlineStr">
        <is>
          <t>L3 | Pallet (4000037): 1 pc | Edge protector (4000590): 4 pcs</t>
        </is>
      </c>
      <c r="H152" s="25" t="n">
        <v>28.206</v>
      </c>
      <c r="I152" s="25" t="n">
        <v>1</v>
      </c>
      <c r="J152" s="25" t="n">
        <v>6</v>
      </c>
      <c r="K152" s="25" t="inlineStr">
        <is>
          <t>IA-PPWR-TF-ST-063-STD-06-R00</t>
        </is>
      </c>
      <c r="L152" s="25" t="inlineStr">
        <is>
          <t>IA-PPWR-DOC-ST-063-STD-06-R00</t>
        </is>
      </c>
      <c r="M152" s="25" t="inlineStr">
        <is>
          <t>IA-PPWR-LBL-ST-063-STD-06-R00</t>
        </is>
      </c>
      <c r="N152" s="25" t="inlineStr">
        <is>
          <t>IA-PPWR-STM-ST-063-STD-06-R00</t>
        </is>
      </c>
    </row>
    <row r="153">
      <c r="A153" s="25" t="inlineStr">
        <is>
          <t>ST-063-STD-07</t>
        </is>
      </c>
      <c r="B153" s="25" t="inlineStr">
        <is>
          <t>IA-ST-063-STD-07</t>
        </is>
      </c>
      <c r="C153" s="25" t="inlineStr">
        <is>
          <t>IA-ST-CFG-0178</t>
        </is>
      </c>
      <c r="D153" s="25" t="inlineStr">
        <is>
          <t>STARTER</t>
        </is>
      </c>
      <c r="E153" s="25" t="inlineStr">
        <is>
          <t>LB3 | Palet (4000037): 1 adet | Shrink film (4000558): 1.95 kg | Köşebent (4000590): 2 adet</t>
        </is>
      </c>
      <c r="F153" s="25" t="inlineStr">
        <is>
          <t>LB3 | Palet (4000037): 1 adet | Shrink film (4000558): 1.95 kg | Köşebent (4000590): 2 adet</t>
        </is>
      </c>
      <c r="G153" s="25" t="inlineStr">
        <is>
          <t>LB3 | Pallet (4000037): 1 pc | Shrink film (4000558): 1.95 kg | Edge protector (4000590): 2 pcs</t>
        </is>
      </c>
      <c r="H153" s="25" t="n">
        <v>29.8692</v>
      </c>
      <c r="I153" s="25" t="n">
        <v>25</v>
      </c>
      <c r="J153" s="25" t="n">
        <v>7</v>
      </c>
      <c r="K153" s="25" t="inlineStr">
        <is>
          <t>IA-PPWR-TF-ST-063-STD-07-R00</t>
        </is>
      </c>
      <c r="L153" s="25" t="inlineStr">
        <is>
          <t>IA-PPWR-DOC-ST-063-STD-07-R00</t>
        </is>
      </c>
      <c r="M153" s="25" t="inlineStr">
        <is>
          <t>IA-PPWR-LBL-ST-063-STD-07-R00</t>
        </is>
      </c>
      <c r="N153" s="25" t="inlineStr">
        <is>
          <t>IA-PPWR-STM-ST-063-STD-07-R00</t>
        </is>
      </c>
    </row>
    <row r="154">
      <c r="A154" s="25" t="inlineStr">
        <is>
          <t>ST-063-STD-08</t>
        </is>
      </c>
      <c r="B154" s="25" t="inlineStr">
        <is>
          <t>IA-ST-063-STD-08</t>
        </is>
      </c>
      <c r="C154" s="25" t="inlineStr">
        <is>
          <t>IA-ST-CFG-0179</t>
        </is>
      </c>
      <c r="D154" s="25" t="inlineStr">
        <is>
          <t>STARTER</t>
        </is>
      </c>
      <c r="E154" s="25" t="inlineStr">
        <is>
          <t>L3 | Palet (4000037): 1 adet | Separatör (4000130): 4 adet | Shrink film (4000558): 2.08 kg</t>
        </is>
      </c>
      <c r="F154" s="25" t="inlineStr">
        <is>
          <t>L3 | Palet (4000037): 1 adet | Separatör (4000130): 4 adet | Shrink film (4000558): 2.08 kg</t>
        </is>
      </c>
      <c r="G154" s="25" t="inlineStr">
        <is>
          <t>L3 | Pallet (4000037): 1 pc | Separator (4000130): 4 pcs | Shrink film (4000558): 2.08 kg</t>
        </is>
      </c>
      <c r="H154" s="25" t="n">
        <v>29.9992</v>
      </c>
      <c r="I154" s="25" t="n">
        <v>95</v>
      </c>
      <c r="J154" s="25" t="n">
        <v>7</v>
      </c>
      <c r="K154" s="25" t="inlineStr">
        <is>
          <t>IA-PPWR-TF-ST-063-STD-08-R00</t>
        </is>
      </c>
      <c r="L154" s="25" t="inlineStr">
        <is>
          <t>IA-PPWR-DOC-ST-063-STD-08-R00</t>
        </is>
      </c>
      <c r="M154" s="25" t="inlineStr">
        <is>
          <t>IA-PPWR-LBL-ST-063-STD-08-R00</t>
        </is>
      </c>
      <c r="N154" s="25" t="inlineStr">
        <is>
          <t>IA-PPWR-STM-ST-063-STD-08-R00</t>
        </is>
      </c>
    </row>
    <row r="155">
      <c r="A155" s="25" t="inlineStr">
        <is>
          <t>ST-063-STD-09</t>
        </is>
      </c>
      <c r="B155" s="25" t="inlineStr">
        <is>
          <t>IA-ST-063-STD-09</t>
        </is>
      </c>
      <c r="C155" s="25" t="inlineStr">
        <is>
          <t>IA-ST-CFG-0180</t>
        </is>
      </c>
      <c r="D155" s="25" t="inlineStr">
        <is>
          <t>STARTER</t>
        </is>
      </c>
      <c r="E155" s="25" t="inlineStr">
        <is>
          <t>LB3 | Palet (4000037): 1 adet | Shrink film (4000558): kullanılmaz</t>
        </is>
      </c>
      <c r="F155" s="25" t="inlineStr">
        <is>
          <t>LB3 | Palet (4000037): 1 adet | Shrink film (4000558): kullanılmaz</t>
        </is>
      </c>
      <c r="G155" s="25" t="inlineStr">
        <is>
          <t>LB3 | Pallet (4000037): 1 pc | Shrink film (4000558): not used</t>
        </is>
      </c>
      <c r="H155" s="25" t="n">
        <v>27.9192</v>
      </c>
      <c r="I155" s="25" t="n">
        <v>1</v>
      </c>
      <c r="J155" s="25" t="n">
        <v>6</v>
      </c>
      <c r="K155" s="25" t="inlineStr">
        <is>
          <t>IA-PPWR-TF-ST-063-STD-09-R00</t>
        </is>
      </c>
      <c r="L155" s="25" t="inlineStr">
        <is>
          <t>IA-PPWR-DOC-ST-063-STD-09-R00</t>
        </is>
      </c>
      <c r="M155" s="25" t="inlineStr">
        <is>
          <t>IA-PPWR-LBL-ST-063-STD-09-R00</t>
        </is>
      </c>
      <c r="N155" s="25" t="inlineStr">
        <is>
          <t>IA-PPWR-STM-ST-063-STD-09-R00</t>
        </is>
      </c>
    </row>
    <row r="156">
      <c r="A156" s="25" t="inlineStr">
        <is>
          <t>ST-063-STD-10</t>
        </is>
      </c>
      <c r="B156" s="25" t="inlineStr">
        <is>
          <t>IA-ST-063-STD-10</t>
        </is>
      </c>
      <c r="C156" s="25" t="inlineStr">
        <is>
          <t>IA-ST-CFG-0181</t>
        </is>
      </c>
      <c r="D156" s="25" t="inlineStr">
        <is>
          <t>STARTER</t>
        </is>
      </c>
      <c r="E156" s="25" t="inlineStr">
        <is>
          <t>LB3 | Palet (4000037): 1 adet | Köşebent (4000590): kullanılmaz</t>
        </is>
      </c>
      <c r="F156" s="25" t="inlineStr">
        <is>
          <t>LB3 | Palet (4000037): 1 adet | Köşebent (4000590): kullanılmaz</t>
        </is>
      </c>
      <c r="G156" s="25" t="inlineStr">
        <is>
          <t>LB3 | Pallet (4000037): 1 pc | Edge protector (4000590): not used</t>
        </is>
      </c>
      <c r="H156" s="25" t="n">
        <v>29.5824</v>
      </c>
      <c r="I156" s="25" t="n">
        <v>12</v>
      </c>
      <c r="J156" s="25" t="n">
        <v>5</v>
      </c>
      <c r="K156" s="25" t="inlineStr">
        <is>
          <t>IA-PPWR-TF-ST-063-STD-10-R00</t>
        </is>
      </c>
      <c r="L156" s="25" t="inlineStr">
        <is>
          <t>IA-PPWR-DOC-ST-063-STD-10-R00</t>
        </is>
      </c>
      <c r="M156" s="25" t="inlineStr">
        <is>
          <t>IA-PPWR-LBL-ST-063-STD-10-R00</t>
        </is>
      </c>
      <c r="N156" s="25" t="inlineStr">
        <is>
          <t>IA-PPWR-STM-ST-063-STD-10-R00</t>
        </is>
      </c>
    </row>
    <row r="157">
      <c r="A157" s="25" t="inlineStr">
        <is>
          <t>ST-063-STD-11</t>
        </is>
      </c>
      <c r="B157" s="25" t="inlineStr">
        <is>
          <t>IA-ST-063-STD-11</t>
        </is>
      </c>
      <c r="C157" s="25" t="inlineStr">
        <is>
          <t>IA-ST-CFG-0182</t>
        </is>
      </c>
      <c r="D157" s="25" t="inlineStr">
        <is>
          <t>STARTER</t>
        </is>
      </c>
      <c r="E157" s="25" t="inlineStr">
        <is>
          <t>L3, LB3 | Palet (4000037): 1 adet | Shrink film (4000558): 2.08 kg</t>
        </is>
      </c>
      <c r="F157" s="25" t="inlineStr">
        <is>
          <t>L3, LB3 | Palet (4000037): 1 adet | Shrink film (4000558): 2.08 kg</t>
        </is>
      </c>
      <c r="G157" s="25" t="inlineStr">
        <is>
          <t>L3, LB3 | Pallet (4000037): 1 pc | Shrink film (4000558): 2.08 kg</t>
        </is>
      </c>
      <c r="H157" s="25" t="n">
        <v>29.7124</v>
      </c>
      <c r="I157" s="25" t="n">
        <v>26</v>
      </c>
      <c r="J157" s="25" t="n">
        <v>5</v>
      </c>
      <c r="K157" s="25" t="inlineStr">
        <is>
          <t>IA-PPWR-TF-ST-063-STD-11-R00</t>
        </is>
      </c>
      <c r="L157" s="25" t="inlineStr">
        <is>
          <t>IA-PPWR-DOC-ST-063-STD-11-R00</t>
        </is>
      </c>
      <c r="M157" s="25" t="inlineStr">
        <is>
          <t>IA-PPWR-LBL-ST-063-STD-11-R00</t>
        </is>
      </c>
      <c r="N157" s="25" t="inlineStr">
        <is>
          <t>IA-PPWR-STM-ST-063-STD-11-R00</t>
        </is>
      </c>
    </row>
    <row r="158">
      <c r="A158" s="25" t="inlineStr">
        <is>
          <t>ST-063-STD-12</t>
        </is>
      </c>
      <c r="B158" s="25" t="inlineStr">
        <is>
          <t>IA-ST-063-STD-12</t>
        </is>
      </c>
      <c r="C158" s="25" t="inlineStr">
        <is>
          <t>IA-ST-CFG-0183</t>
        </is>
      </c>
      <c r="D158" s="25" t="inlineStr">
        <is>
          <t>STARTER</t>
        </is>
      </c>
      <c r="E158" s="25" t="inlineStr">
        <is>
          <t>D26 | Palet (4000037): 1 adet | Shrink film (4001177): 0.597 kg</t>
        </is>
      </c>
      <c r="F158" s="25" t="inlineStr">
        <is>
          <t>D26 | Palet (4000037): 1 adet | Shrink film (4001177): 0.597 kg</t>
        </is>
      </c>
      <c r="G158" s="25" t="inlineStr">
        <is>
          <t>D26 | Pallet (4000037): 1 pc | Shrink film (4001177): 0.597 kg</t>
        </is>
      </c>
      <c r="H158" s="25" t="n">
        <v>28.649</v>
      </c>
      <c r="I158" s="25" t="n">
        <v>7</v>
      </c>
      <c r="J158" s="25" t="n">
        <v>7</v>
      </c>
      <c r="K158" s="25" t="inlineStr">
        <is>
          <t>IA-PPWR-TF-ST-063-STD-12-R00</t>
        </is>
      </c>
      <c r="L158" s="25" t="inlineStr">
        <is>
          <t>IA-PPWR-DOC-ST-063-STD-12-R00</t>
        </is>
      </c>
      <c r="M158" s="25" t="inlineStr">
        <is>
          <t>IA-PPWR-LBL-ST-063-STD-12-R00</t>
        </is>
      </c>
      <c r="N158" s="25" t="inlineStr">
        <is>
          <t>IA-PPWR-STM-ST-063-STD-12-R00</t>
        </is>
      </c>
    </row>
    <row r="159">
      <c r="A159" s="25" t="inlineStr">
        <is>
          <t>ST-063-STD-13</t>
        </is>
      </c>
      <c r="B159" s="25" t="inlineStr">
        <is>
          <t>IA-ST-063-STD-13</t>
        </is>
      </c>
      <c r="C159" s="25" t="inlineStr">
        <is>
          <t>IA-ST-CFG-0184</t>
        </is>
      </c>
      <c r="D159" s="25" t="inlineStr">
        <is>
          <t>STARTER</t>
        </is>
      </c>
      <c r="E159" s="25" t="inlineStr">
        <is>
          <t>L3 | Palet (4000037): 1 adet | Shrink film (4001177): 0.597 kg</t>
        </is>
      </c>
      <c r="F159" s="25" t="inlineStr">
        <is>
          <t>L3 | Palet (4000037): 1 adet | Shrink film (4001177): 0.597 kg</t>
        </is>
      </c>
      <c r="G159" s="25" t="inlineStr">
        <is>
          <t>L3 | Pallet (4000037): 1 pc | Shrink film (4001177): 0.597 kg</t>
        </is>
      </c>
      <c r="H159" s="25" t="n">
        <v>28.417</v>
      </c>
      <c r="I159" s="25" t="n">
        <v>1</v>
      </c>
      <c r="J159" s="25" t="n">
        <v>6</v>
      </c>
      <c r="K159" s="25" t="inlineStr">
        <is>
          <t>IA-PPWR-TF-ST-063-STD-13-R00</t>
        </is>
      </c>
      <c r="L159" s="25" t="inlineStr">
        <is>
          <t>IA-PPWR-DOC-ST-063-STD-13-R00</t>
        </is>
      </c>
      <c r="M159" s="25" t="inlineStr">
        <is>
          <t>IA-PPWR-LBL-ST-063-STD-13-R00</t>
        </is>
      </c>
      <c r="N159" s="25" t="inlineStr">
        <is>
          <t>IA-PPWR-STM-ST-063-STD-13-R00</t>
        </is>
      </c>
    </row>
    <row r="160">
      <c r="A160" s="25" t="inlineStr">
        <is>
          <t>ST-063-STD-14</t>
        </is>
      </c>
      <c r="B160" s="25" t="inlineStr">
        <is>
          <t>IA-ST-063-STD-14</t>
        </is>
      </c>
      <c r="C160" s="25" t="inlineStr">
        <is>
          <t>IA-ST-CFG-0185</t>
        </is>
      </c>
      <c r="D160" s="25" t="inlineStr">
        <is>
          <t>STARTER</t>
        </is>
      </c>
      <c r="E160" s="25" t="inlineStr">
        <is>
          <t>LB3, L3 | Palet (4000037): 1 adet | Shrink film (4001177): 0.597 kg</t>
        </is>
      </c>
      <c r="F160" s="25" t="inlineStr">
        <is>
          <t>LB3, L3 | Palet (4000037): 1 adet | Shrink film (4001177): 0.597 kg</t>
        </is>
      </c>
      <c r="G160" s="25" t="inlineStr">
        <is>
          <t>LB3, L3 | Pallet (4000037): 1 pc | Shrink film (4001177): 0.597 kg</t>
        </is>
      </c>
      <c r="H160" s="25" t="n">
        <v>28.617</v>
      </c>
      <c r="I160" s="25" t="n">
        <v>8</v>
      </c>
      <c r="J160" s="25" t="n">
        <v>6</v>
      </c>
      <c r="K160" s="25" t="inlineStr">
        <is>
          <t>IA-PPWR-TF-ST-063-STD-14-R00</t>
        </is>
      </c>
      <c r="L160" s="25" t="inlineStr">
        <is>
          <t>IA-PPWR-DOC-ST-063-STD-14-R00</t>
        </is>
      </c>
      <c r="M160" s="25" t="inlineStr">
        <is>
          <t>IA-PPWR-LBL-ST-063-STD-14-R00</t>
        </is>
      </c>
      <c r="N160" s="25" t="inlineStr">
        <is>
          <t>IA-PPWR-STM-ST-063-STD-14-R00</t>
        </is>
      </c>
    </row>
    <row r="161">
      <c r="A161" s="25" t="inlineStr">
        <is>
          <t>ST-063-STD-15</t>
        </is>
      </c>
      <c r="B161" s="25" t="inlineStr">
        <is>
          <t>IA-ST-063-STD-15</t>
        </is>
      </c>
      <c r="C161" s="25" t="inlineStr">
        <is>
          <t>IA-ST-CFG-0186</t>
        </is>
      </c>
      <c r="D161" s="25" t="inlineStr">
        <is>
          <t>STARTER</t>
        </is>
      </c>
      <c r="E161" s="25" t="inlineStr">
        <is>
          <t>L3 | Palet (4000037): 1 adet | Separatör (4000130): 5 adet</t>
        </is>
      </c>
      <c r="F161" s="25" t="inlineStr">
        <is>
          <t>L3 | Palet (4000037): 1 adet | Separatör (4000130): 5 adet</t>
        </is>
      </c>
      <c r="G161" s="25" t="inlineStr">
        <is>
          <t>L3 | Pallet (4000037): 1 pc | Separator (4000130): 5 pcs</t>
        </is>
      </c>
      <c r="H161" s="25" t="n">
        <v>30.2692</v>
      </c>
      <c r="I161" s="25" t="n">
        <v>2</v>
      </c>
      <c r="J161" s="25" t="n">
        <v>7</v>
      </c>
      <c r="K161" s="25" t="inlineStr">
        <is>
          <t>IA-PPWR-TF-ST-063-STD-15-R00</t>
        </is>
      </c>
      <c r="L161" s="25" t="inlineStr">
        <is>
          <t>IA-PPWR-DOC-ST-063-STD-15-R00</t>
        </is>
      </c>
      <c r="M161" s="25" t="inlineStr">
        <is>
          <t>IA-PPWR-LBL-ST-063-STD-15-R00</t>
        </is>
      </c>
      <c r="N161" s="25" t="inlineStr">
        <is>
          <t>IA-PPWR-STM-ST-063-STD-15-R00</t>
        </is>
      </c>
    </row>
    <row r="162">
      <c r="A162" s="25" t="inlineStr">
        <is>
          <t>ST-064-EUR-01</t>
        </is>
      </c>
      <c r="B162" s="25" t="inlineStr">
        <is>
          <t>IA-ST-064-EUR-01</t>
        </is>
      </c>
      <c r="C162" s="25" t="inlineStr">
        <is>
          <t>IA-ST-CFG-0190</t>
        </is>
      </c>
      <c r="D162" s="25" t="inlineStr">
        <is>
          <t>STARTER</t>
        </is>
      </c>
      <c r="E162" s="25" t="inlineStr">
        <is>
          <t>L3 | L3 İnci AGM LEO 70AH 760A pencereli dış koli (4001237): 64 adet</t>
        </is>
      </c>
      <c r="F162" s="25" t="inlineStr">
        <is>
          <t>L3 | L3 İnci AGM LEO 70AH 760A pencereli dış koli (4001237): 64 adet</t>
        </is>
      </c>
      <c r="G162" s="25" t="inlineStr">
        <is>
          <t>L3 | L3 İnci AGM LEO 70AH 760A windowed outer carton (4001237): 64 pcs</t>
        </is>
      </c>
      <c r="H162" s="25" t="n">
        <v>44.8124</v>
      </c>
      <c r="I162" s="25" t="n">
        <v>1</v>
      </c>
      <c r="J162" s="25" t="n">
        <v>6</v>
      </c>
      <c r="K162" s="25" t="inlineStr">
        <is>
          <t>IA-PPWR-TF-ST-064-EUR-01-R00</t>
        </is>
      </c>
      <c r="L162" s="25" t="inlineStr">
        <is>
          <t>IA-PPWR-DOC-ST-064-EUR-01-R00</t>
        </is>
      </c>
      <c r="M162" s="25" t="inlineStr">
        <is>
          <t>IA-PPWR-LBL-ST-064-EUR-01-R00</t>
        </is>
      </c>
      <c r="N162" s="25" t="inlineStr">
        <is>
          <t>IA-PPWR-STM-ST-064-EUR-01-R00</t>
        </is>
      </c>
    </row>
    <row r="163">
      <c r="A163" s="25" t="inlineStr">
        <is>
          <t>ST-066-STD-01</t>
        </is>
      </c>
      <c r="B163" s="25" t="inlineStr">
        <is>
          <t>IA-ST-066-STD-01</t>
        </is>
      </c>
      <c r="C163" s="25" t="inlineStr">
        <is>
          <t>IA-ST-CFG-0191</t>
        </is>
      </c>
      <c r="D163" s="25" t="inlineStr">
        <is>
          <t>STARTER</t>
        </is>
      </c>
      <c r="E163" s="25" t="inlineStr">
        <is>
          <t>L2 | L2 YUASA penceresiz Orta Doğu dış koli (4001102): 66 adet</t>
        </is>
      </c>
      <c r="F163" s="25" t="inlineStr">
        <is>
          <t>L2 | L2 YUASA penceresiz Orta Doğu dış koli (4001102): 66 adet</t>
        </is>
      </c>
      <c r="G163" s="25" t="inlineStr">
        <is>
          <t>L2 | L2 YUASA windowless Middle East outer carton (4001102): 66 pcs</t>
        </is>
      </c>
      <c r="H163" s="25" t="n">
        <v>44.906</v>
      </c>
      <c r="I163" s="25" t="n">
        <v>1</v>
      </c>
      <c r="J163" s="25" t="n">
        <v>7</v>
      </c>
      <c r="K163" s="25" t="inlineStr">
        <is>
          <t>IA-PPWR-TF-ST-066-STD-01-R00</t>
        </is>
      </c>
      <c r="L163" s="25" t="inlineStr">
        <is>
          <t>IA-PPWR-DOC-ST-066-STD-01-R00</t>
        </is>
      </c>
      <c r="M163" s="25" t="inlineStr">
        <is>
          <t>IA-PPWR-LBL-ST-066-STD-01-R00</t>
        </is>
      </c>
      <c r="N163" s="25" t="inlineStr">
        <is>
          <t>IA-PPWR-STM-ST-066-STD-01-R00</t>
        </is>
      </c>
    </row>
    <row r="164">
      <c r="A164" s="25" t="inlineStr">
        <is>
          <t>ST-066-STD-02</t>
        </is>
      </c>
      <c r="B164" s="25" t="inlineStr">
        <is>
          <t>IA-ST-066-STD-02</t>
        </is>
      </c>
      <c r="C164" s="25" t="inlineStr">
        <is>
          <t>IA-ST-CFG-0192</t>
        </is>
      </c>
      <c r="D164" s="25" t="inlineStr">
        <is>
          <t>STARTER</t>
        </is>
      </c>
      <c r="E164" s="25" t="inlineStr">
        <is>
          <t>L2 | L2 İnci AGM LEO 60AH 680A pencereli dış koli (4001340): 66 adet</t>
        </is>
      </c>
      <c r="F164" s="25" t="inlineStr">
        <is>
          <t>L2 | L2 İnci AGM LEO 60AH 680A pencereli dış koli (4001340): 66 adet</t>
        </is>
      </c>
      <c r="G164" s="25" t="inlineStr">
        <is>
          <t>L2 | L2 İnci AGM LEO 60AH 680A windowed outer carton (4001340): 66 pcs</t>
        </is>
      </c>
      <c r="H164" s="25" t="n">
        <v>45.326</v>
      </c>
      <c r="I164" s="25" t="n">
        <v>1</v>
      </c>
      <c r="J164" s="25" t="n">
        <v>7</v>
      </c>
      <c r="K164" s="25" t="inlineStr">
        <is>
          <t>IA-PPWR-TF-ST-066-STD-02-R00</t>
        </is>
      </c>
      <c r="L164" s="25" t="inlineStr">
        <is>
          <t>IA-PPWR-DOC-ST-066-STD-02-R00</t>
        </is>
      </c>
      <c r="M164" s="25" t="inlineStr">
        <is>
          <t>IA-PPWR-LBL-ST-066-STD-02-R00</t>
        </is>
      </c>
      <c r="N164" s="25" t="inlineStr">
        <is>
          <t>IA-PPWR-STM-ST-066-STD-02-R00</t>
        </is>
      </c>
    </row>
    <row r="165">
      <c r="A165" s="25" t="inlineStr">
        <is>
          <t>ST-066-STD-03</t>
        </is>
      </c>
      <c r="B165" s="25" t="inlineStr">
        <is>
          <t>IA-ST-066-STD-03</t>
        </is>
      </c>
      <c r="C165" s="25" t="inlineStr">
        <is>
          <t>IA-ST-CFG-0193</t>
        </is>
      </c>
      <c r="D165" s="25" t="inlineStr">
        <is>
          <t>STARTER</t>
        </is>
      </c>
      <c r="E165" s="25" t="inlineStr">
        <is>
          <t>L2 | L2 EAS AGM S&amp;S 60AH 680A pencereli dış koli (4001395): 66 adet</t>
        </is>
      </c>
      <c r="F165" s="25" t="inlineStr">
        <is>
          <t>L2 | L2 EAS AGM S&amp;S 60AH 680A pencereli dış koli (4001395): 66 adet</t>
        </is>
      </c>
      <c r="G165" s="25" t="inlineStr">
        <is>
          <t>L2 | L2 EAS AGM S&amp;S 60AH 680A windowed outer carton (4001395): 66 pcs</t>
        </is>
      </c>
      <c r="H165" s="25" t="n">
        <v>45.326</v>
      </c>
      <c r="I165" s="25" t="n">
        <v>1</v>
      </c>
      <c r="J165" s="25" t="n">
        <v>7</v>
      </c>
      <c r="K165" s="25" t="inlineStr">
        <is>
          <t>IA-PPWR-TF-ST-066-STD-03-R00</t>
        </is>
      </c>
      <c r="L165" s="25" t="inlineStr">
        <is>
          <t>IA-PPWR-DOC-ST-066-STD-03-R00</t>
        </is>
      </c>
      <c r="M165" s="25" t="inlineStr">
        <is>
          <t>IA-PPWR-LBL-ST-066-STD-03-R00</t>
        </is>
      </c>
      <c r="N165" s="25" t="inlineStr">
        <is>
          <t>IA-PPWR-STM-ST-066-STD-03-R00</t>
        </is>
      </c>
    </row>
    <row r="166">
      <c r="A166" s="25" t="inlineStr">
        <is>
          <t>ST-068-EUR-01</t>
        </is>
      </c>
      <c r="B166" s="25" t="inlineStr">
        <is>
          <t>IA-ST-068-EUR-01</t>
        </is>
      </c>
      <c r="C166" s="25" t="inlineStr">
        <is>
          <t>IA-ST-CFG-0198</t>
        </is>
      </c>
      <c r="D166" s="25" t="inlineStr">
        <is>
          <t>STARTER</t>
        </is>
      </c>
      <c r="E166" s="25" t="inlineStr">
        <is>
          <t>L3, LB3 | Palet (4000038): 1 adet | Köşebent (4000590): 4 adet</t>
        </is>
      </c>
      <c r="F166" s="25" t="inlineStr">
        <is>
          <t>L3, LB3 | Palet (4000038): 1 adet | Köşebent (4000590): 4 adet</t>
        </is>
      </c>
      <c r="G166" s="25" t="inlineStr">
        <is>
          <t>L3, LB3 | Pallet (4000038): 1 pc | Edge protector (4000590): 4 pcs</t>
        </is>
      </c>
      <c r="H166" s="25" t="n">
        <v>28.126</v>
      </c>
      <c r="I166" s="25" t="n">
        <v>10</v>
      </c>
      <c r="J166" s="25" t="n">
        <v>6</v>
      </c>
      <c r="K166" s="25" t="inlineStr">
        <is>
          <t>IA-PPWR-TF-ST-068-EUR-01-R00</t>
        </is>
      </c>
      <c r="L166" s="25" t="inlineStr">
        <is>
          <t>IA-PPWR-DOC-ST-068-EUR-01-R00</t>
        </is>
      </c>
      <c r="M166" s="25" t="inlineStr">
        <is>
          <t>IA-PPWR-LBL-ST-068-EUR-01-R00</t>
        </is>
      </c>
      <c r="N166" s="25" t="inlineStr">
        <is>
          <t>IA-PPWR-STM-ST-068-EUR-01-R00</t>
        </is>
      </c>
    </row>
    <row r="167">
      <c r="A167" s="25" t="inlineStr">
        <is>
          <t>ST-068-EUR-02</t>
        </is>
      </c>
      <c r="B167" s="25" t="inlineStr">
        <is>
          <t>IA-ST-068-EUR-02</t>
        </is>
      </c>
      <c r="C167" s="25" t="inlineStr">
        <is>
          <t>IA-ST-CFG-0199</t>
        </is>
      </c>
      <c r="D167" s="25" t="inlineStr">
        <is>
          <t>STARTER</t>
        </is>
      </c>
      <c r="E167" s="25" t="inlineStr">
        <is>
          <t>LB3 | Palet (4000038): 1 adet | Shrink film (4000558): 2.105 kg</t>
        </is>
      </c>
      <c r="F167" s="25" t="inlineStr">
        <is>
          <t>LB3 | Palet (4000038): 1 adet | Shrink film (4000558): 2.105 kg</t>
        </is>
      </c>
      <c r="G167" s="25" t="inlineStr">
        <is>
          <t>LB3 | Pallet (4000038): 1 pc | Shrink film (4000558): 2.105 kg</t>
        </is>
      </c>
      <c r="H167" s="25" t="n">
        <v>29.9442</v>
      </c>
      <c r="I167" s="25" t="n">
        <v>13</v>
      </c>
      <c r="J167" s="25" t="n">
        <v>7</v>
      </c>
      <c r="K167" s="25" t="inlineStr">
        <is>
          <t>IA-PPWR-TF-ST-068-EUR-02-R00</t>
        </is>
      </c>
      <c r="L167" s="25" t="inlineStr">
        <is>
          <t>IA-PPWR-DOC-ST-068-EUR-02-R00</t>
        </is>
      </c>
      <c r="M167" s="25" t="inlineStr">
        <is>
          <t>IA-PPWR-LBL-ST-068-EUR-02-R00</t>
        </is>
      </c>
      <c r="N167" s="25" t="inlineStr">
        <is>
          <t>IA-PPWR-STM-ST-068-EUR-02-R00</t>
        </is>
      </c>
    </row>
    <row r="168">
      <c r="A168" s="25" t="inlineStr">
        <is>
          <t>ST-068-EUR-03</t>
        </is>
      </c>
      <c r="B168" s="25" t="inlineStr">
        <is>
          <t>IA-ST-068-EUR-03</t>
        </is>
      </c>
      <c r="C168" s="25" t="inlineStr">
        <is>
          <t>IA-ST-CFG-0200</t>
        </is>
      </c>
      <c r="D168" s="25" t="inlineStr">
        <is>
          <t>STARTER</t>
        </is>
      </c>
      <c r="E168" s="25" t="inlineStr">
        <is>
          <t>L3 | Palet (4000038): 1 adet | Shrink film (4000558): 2.245 kg</t>
        </is>
      </c>
      <c r="F168" s="25" t="inlineStr">
        <is>
          <t>L3 | Palet (4000038): 1 adet | Shrink film (4000558): 2.245 kg</t>
        </is>
      </c>
      <c r="G168" s="25" t="inlineStr">
        <is>
          <t>L3 | Pallet (4000038): 1 pc | Shrink film (4000558): 2.245 kg</t>
        </is>
      </c>
      <c r="H168" s="25" t="n">
        <v>30.0842</v>
      </c>
      <c r="I168" s="25" t="n">
        <v>25</v>
      </c>
      <c r="J168" s="25" t="n">
        <v>7</v>
      </c>
      <c r="K168" s="25" t="inlineStr">
        <is>
          <t>IA-PPWR-TF-ST-068-EUR-03-R00</t>
        </is>
      </c>
      <c r="L168" s="25" t="inlineStr">
        <is>
          <t>IA-PPWR-DOC-ST-068-EUR-03-R00</t>
        </is>
      </c>
      <c r="M168" s="25" t="inlineStr">
        <is>
          <t>IA-PPWR-LBL-ST-068-EUR-03-R00</t>
        </is>
      </c>
      <c r="N168" s="25" t="inlineStr">
        <is>
          <t>IA-PPWR-STM-ST-068-EUR-03-R00</t>
        </is>
      </c>
    </row>
    <row r="169">
      <c r="A169" s="25" t="inlineStr">
        <is>
          <t>ST-068-EUR-04</t>
        </is>
      </c>
      <c r="B169" s="25" t="inlineStr">
        <is>
          <t>IA-ST-068-EUR-04</t>
        </is>
      </c>
      <c r="C169" s="25" t="inlineStr">
        <is>
          <t>IA-ST-CFG-0201</t>
        </is>
      </c>
      <c r="D169" s="25" t="inlineStr">
        <is>
          <t>STARTER</t>
        </is>
      </c>
      <c r="E169" s="25" t="inlineStr">
        <is>
          <t>LB3, L3 | Palet (4000038): 1 adet | Köşebent (4000590): 2 adet</t>
        </is>
      </c>
      <c r="F169" s="25" t="inlineStr">
        <is>
          <t>LB3, L3 | Palet (4000038): 1 adet | Köşebent (4000590): 2 adet</t>
        </is>
      </c>
      <c r="G169" s="25" t="inlineStr">
        <is>
          <t>LB3, L3 | Pallet (4000038): 1 pc | Edge protector (4000590): 2 pcs</t>
        </is>
      </c>
      <c r="H169" s="25" t="n">
        <v>27.8392</v>
      </c>
      <c r="I169" s="25" t="n">
        <v>7</v>
      </c>
      <c r="J169" s="25" t="n">
        <v>6</v>
      </c>
      <c r="K169" s="25" t="inlineStr">
        <is>
          <t>IA-PPWR-TF-ST-068-EUR-04-R00</t>
        </is>
      </c>
      <c r="L169" s="25" t="inlineStr">
        <is>
          <t>IA-PPWR-DOC-ST-068-EUR-04-R00</t>
        </is>
      </c>
      <c r="M169" s="25" t="inlineStr">
        <is>
          <t>IA-PPWR-LBL-ST-068-EUR-04-R00</t>
        </is>
      </c>
      <c r="N169" s="25" t="inlineStr">
        <is>
          <t>IA-PPWR-STM-ST-068-EUR-04-R00</t>
        </is>
      </c>
    </row>
    <row r="170">
      <c r="A170" s="25" t="inlineStr">
        <is>
          <t>ST-068-STD-01</t>
        </is>
      </c>
      <c r="B170" s="25" t="inlineStr">
        <is>
          <t>IA-ST-068-STD-01</t>
        </is>
      </c>
      <c r="C170" s="25" t="inlineStr">
        <is>
          <t>IA-ST-CFG-0194</t>
        </is>
      </c>
      <c r="D170" s="25" t="inlineStr">
        <is>
          <t>STARTER</t>
        </is>
      </c>
      <c r="E170" s="25" t="inlineStr">
        <is>
          <t>LB4 | LB4 YUASA penceresiz Orta Doğu dış koli (4001104): 68 adet</t>
        </is>
      </c>
      <c r="F170" s="25" t="inlineStr">
        <is>
          <t>LB4 | LB4 YUASA penceresiz Orta Doğu dış koli (4001104): 68 adet</t>
        </is>
      </c>
      <c r="G170" s="25" t="inlineStr">
        <is>
          <t>LB4 | LB4 YUASA windowless Middle East outer carton (4001104): 68 pcs</t>
        </is>
      </c>
      <c r="H170" s="25" t="n">
        <v>47.696</v>
      </c>
      <c r="I170" s="25" t="n">
        <v>1</v>
      </c>
      <c r="J170" s="25" t="n">
        <v>7</v>
      </c>
      <c r="K170" s="25" t="inlineStr">
        <is>
          <t>IA-PPWR-TF-ST-068-STD-01-R00</t>
        </is>
      </c>
      <c r="L170" s="25" t="inlineStr">
        <is>
          <t>IA-PPWR-DOC-ST-068-STD-01-R00</t>
        </is>
      </c>
      <c r="M170" s="25" t="inlineStr">
        <is>
          <t>IA-PPWR-LBL-ST-068-STD-01-R00</t>
        </is>
      </c>
      <c r="N170" s="25" t="inlineStr">
        <is>
          <t>IA-PPWR-STM-ST-068-STD-01-R00</t>
        </is>
      </c>
    </row>
    <row r="171">
      <c r="A171" s="25" t="inlineStr">
        <is>
          <t>ST-068-STD-02</t>
        </is>
      </c>
      <c r="B171" s="25" t="inlineStr">
        <is>
          <t>IA-ST-068-STD-02</t>
        </is>
      </c>
      <c r="C171" s="25" t="inlineStr">
        <is>
          <t>IA-ST-CFG-0195</t>
        </is>
      </c>
      <c r="D171" s="25" t="inlineStr">
        <is>
          <t>STARTER</t>
        </is>
      </c>
      <c r="E171" s="25" t="inlineStr">
        <is>
          <t>L4 | L4 İnci EFB MAX TIGRIS pencereli 2020 dış koli (4001275): 68 adet</t>
        </is>
      </c>
      <c r="F171" s="25" t="inlineStr">
        <is>
          <t>L4 | L4 İnci EFB MAX TIGRIS pencereli 2020 dış koli (4001275): 68 adet</t>
        </is>
      </c>
      <c r="G171" s="25" t="inlineStr">
        <is>
          <t>L4 | L4 İnci EFB MAX TIGRIS windowed 2020 outer carton (4001275): 68 pcs</t>
        </is>
      </c>
      <c r="H171" s="25" t="n">
        <v>47.696</v>
      </c>
      <c r="I171" s="25" t="n">
        <v>1</v>
      </c>
      <c r="J171" s="25" t="n">
        <v>7</v>
      </c>
      <c r="K171" s="25" t="inlineStr">
        <is>
          <t>IA-PPWR-TF-ST-068-STD-02-R00</t>
        </is>
      </c>
      <c r="L171" s="25" t="inlineStr">
        <is>
          <t>IA-PPWR-DOC-ST-068-STD-02-R00</t>
        </is>
      </c>
      <c r="M171" s="25" t="inlineStr">
        <is>
          <t>IA-PPWR-LBL-ST-068-STD-02-R00</t>
        </is>
      </c>
      <c r="N171" s="25" t="inlineStr">
        <is>
          <t>IA-PPWR-STM-ST-068-STD-02-R00</t>
        </is>
      </c>
    </row>
    <row r="172">
      <c r="A172" s="25" t="inlineStr">
        <is>
          <t>ST-068-STD-03</t>
        </is>
      </c>
      <c r="B172" s="25" t="inlineStr">
        <is>
          <t>IA-ST-068-STD-03</t>
        </is>
      </c>
      <c r="C172" s="25" t="inlineStr">
        <is>
          <t>IA-ST-CFG-0196</t>
        </is>
      </c>
      <c r="D172" s="25" t="inlineStr">
        <is>
          <t>STARTER</t>
        </is>
      </c>
      <c r="E172" s="25" t="inlineStr">
        <is>
          <t>LB4 | LB4 İnci EFB PANTERA pencereli DL dış koli (4001316): 68 adet</t>
        </is>
      </c>
      <c r="F172" s="25" t="inlineStr">
        <is>
          <t>LB4 | LB4 İnci EFB PANTERA pencereli DL dış koli (4001316): 68 adet</t>
        </is>
      </c>
      <c r="G172" s="25" t="inlineStr">
        <is>
          <t>LB4 | LB4 İnci EFB PANTERA windowed DL outer carton (4001316): 68 pcs</t>
        </is>
      </c>
      <c r="H172" s="25" t="n">
        <v>47.696</v>
      </c>
      <c r="I172" s="25" t="n">
        <v>1</v>
      </c>
      <c r="J172" s="25" t="n">
        <v>7</v>
      </c>
      <c r="K172" s="25" t="inlineStr">
        <is>
          <t>IA-PPWR-TF-ST-068-STD-03-R00</t>
        </is>
      </c>
      <c r="L172" s="25" t="inlineStr">
        <is>
          <t>IA-PPWR-DOC-ST-068-STD-03-R00</t>
        </is>
      </c>
      <c r="M172" s="25" t="inlineStr">
        <is>
          <t>IA-PPWR-LBL-ST-068-STD-03-R00</t>
        </is>
      </c>
      <c r="N172" s="25" t="inlineStr">
        <is>
          <t>IA-PPWR-STM-ST-068-STD-03-R00</t>
        </is>
      </c>
    </row>
    <row r="173">
      <c r="A173" s="25" t="inlineStr">
        <is>
          <t>ST-068-STD-04</t>
        </is>
      </c>
      <c r="B173" s="25" t="inlineStr">
        <is>
          <t>IA-ST-068-STD-04</t>
        </is>
      </c>
      <c r="C173" s="25" t="inlineStr">
        <is>
          <t>IA-ST-CFG-0197</t>
        </is>
      </c>
      <c r="D173" s="25" t="inlineStr">
        <is>
          <t>STARTER</t>
        </is>
      </c>
      <c r="E173" s="25" t="inlineStr">
        <is>
          <t>L4 | L4 İnci EFB PANTERA pencereli DL dış koli (4001318): 68 adet</t>
        </is>
      </c>
      <c r="F173" s="25" t="inlineStr">
        <is>
          <t>L4 | L4 İnci EFB PANTERA pencereli DL dış koli (4001318): 68 adet</t>
        </is>
      </c>
      <c r="G173" s="25" t="inlineStr">
        <is>
          <t>L4 | L4 İnci EFB PANTERA windowed DL outer carton (4001318): 68 pcs</t>
        </is>
      </c>
      <c r="H173" s="25" t="n">
        <v>47.696</v>
      </c>
      <c r="I173" s="25" t="n">
        <v>1</v>
      </c>
      <c r="J173" s="25" t="n">
        <v>7</v>
      </c>
      <c r="K173" s="25" t="inlineStr">
        <is>
          <t>IA-PPWR-TF-ST-068-STD-04-R00</t>
        </is>
      </c>
      <c r="L173" s="25" t="inlineStr">
        <is>
          <t>IA-PPWR-DOC-ST-068-STD-04-R00</t>
        </is>
      </c>
      <c r="M173" s="25" t="inlineStr">
        <is>
          <t>IA-PPWR-LBL-ST-068-STD-04-R00</t>
        </is>
      </c>
      <c r="N173" s="25" t="inlineStr">
        <is>
          <t>IA-PPWR-STM-ST-068-STD-04-R00</t>
        </is>
      </c>
    </row>
    <row r="174">
      <c r="A174" s="25" t="inlineStr">
        <is>
          <t>ST-072-EUR-01</t>
        </is>
      </c>
      <c r="B174" s="25" t="inlineStr">
        <is>
          <t>IA-ST-072-EUR-01</t>
        </is>
      </c>
      <c r="C174" s="25" t="inlineStr">
        <is>
          <t>IA-ST-CFG-0204</t>
        </is>
      </c>
      <c r="D174" s="25" t="inlineStr">
        <is>
          <t>STARTER</t>
        </is>
      </c>
      <c r="E174" s="25" t="inlineStr">
        <is>
          <t>LB1 | Palet (4000038): 1 adet | Shrink film (4000556): 1.945 kg</t>
        </is>
      </c>
      <c r="F174" s="25" t="inlineStr">
        <is>
          <t>LB1 | Palet (4000038): 1 adet | Shrink film (4000556): 1.945 kg</t>
        </is>
      </c>
      <c r="G174" s="25" t="inlineStr">
        <is>
          <t>LB1 | Pallet (4000038): 1 pc | Shrink film (4000556): 1.945 kg</t>
        </is>
      </c>
      <c r="H174" s="25" t="n">
        <v>29.8042</v>
      </c>
      <c r="I174" s="25" t="n">
        <v>2</v>
      </c>
      <c r="J174" s="25" t="n">
        <v>7</v>
      </c>
      <c r="K174" s="25" t="inlineStr">
        <is>
          <t>IA-PPWR-TF-ST-072-EUR-01-R00</t>
        </is>
      </c>
      <c r="L174" s="25" t="inlineStr">
        <is>
          <t>IA-PPWR-DOC-ST-072-EUR-01-R00</t>
        </is>
      </c>
      <c r="M174" s="25" t="inlineStr">
        <is>
          <t>IA-PPWR-LBL-ST-072-EUR-01-R00</t>
        </is>
      </c>
      <c r="N174" s="25" t="inlineStr">
        <is>
          <t>IA-PPWR-STM-ST-072-EUR-01-R00</t>
        </is>
      </c>
    </row>
    <row r="175">
      <c r="A175" s="25" t="inlineStr">
        <is>
          <t>ST-072-EUR-02</t>
        </is>
      </c>
      <c r="B175" s="25" t="inlineStr">
        <is>
          <t>IA-ST-072-EUR-02</t>
        </is>
      </c>
      <c r="C175" s="25" t="inlineStr">
        <is>
          <t>IA-ST-CFG-0205</t>
        </is>
      </c>
      <c r="D175" s="25" t="inlineStr">
        <is>
          <t>STARTER</t>
        </is>
      </c>
      <c r="E175" s="25" t="inlineStr">
        <is>
          <t>L1 | Palet (4000038): 1 adet | Shrink film (4000556): 2.375 kg</t>
        </is>
      </c>
      <c r="F175" s="25" t="inlineStr">
        <is>
          <t>L1 | Palet (4000038): 1 adet | Shrink film (4000556): 2.375 kg</t>
        </is>
      </c>
      <c r="G175" s="25" t="inlineStr">
        <is>
          <t>L1 | Pallet (4000038): 1 pc | Shrink film (4000556): 2.375 kg</t>
        </is>
      </c>
      <c r="H175" s="25" t="n">
        <v>30.2342</v>
      </c>
      <c r="I175" s="25" t="n">
        <v>1</v>
      </c>
      <c r="J175" s="25" t="n">
        <v>7</v>
      </c>
      <c r="K175" s="25" t="inlineStr">
        <is>
          <t>IA-PPWR-TF-ST-072-EUR-02-R00</t>
        </is>
      </c>
      <c r="L175" s="25" t="inlineStr">
        <is>
          <t>IA-PPWR-DOC-ST-072-EUR-02-R00</t>
        </is>
      </c>
      <c r="M175" s="25" t="inlineStr">
        <is>
          <t>IA-PPWR-LBL-ST-072-EUR-02-R00</t>
        </is>
      </c>
      <c r="N175" s="25" t="inlineStr">
        <is>
          <t>IA-PPWR-STM-ST-072-EUR-02-R00</t>
        </is>
      </c>
    </row>
    <row r="176">
      <c r="A176" s="25" t="inlineStr">
        <is>
          <t>ST-072-EUR-03</t>
        </is>
      </c>
      <c r="B176" s="25" t="inlineStr">
        <is>
          <t>IA-ST-072-EUR-03</t>
        </is>
      </c>
      <c r="C176" s="25" t="inlineStr">
        <is>
          <t>IA-ST-CFG-0206</t>
        </is>
      </c>
      <c r="D176" s="25" t="inlineStr">
        <is>
          <t>STARTER</t>
        </is>
      </c>
      <c r="E176" s="25" t="inlineStr">
        <is>
          <t>LB1, L1 | Palet (4000038): 1 adet | Köşebent (4000033): 2 adet</t>
        </is>
      </c>
      <c r="F176" s="25" t="inlineStr">
        <is>
          <t>LB1, L1 | Palet (4000038): 1 adet | Köşebent (4000033): 2 adet</t>
        </is>
      </c>
      <c r="G176" s="25" t="inlineStr">
        <is>
          <t>LB1, L1 | Pallet (4000038): 1 pc | Edge protector (4000033): 2 pcs</t>
        </is>
      </c>
      <c r="H176" s="25" t="n">
        <v>27.8592</v>
      </c>
      <c r="I176" s="25" t="n">
        <v>8</v>
      </c>
      <c r="J176" s="25" t="n">
        <v>6</v>
      </c>
      <c r="K176" s="25" t="inlineStr">
        <is>
          <t>IA-PPWR-TF-ST-072-EUR-03-R00</t>
        </is>
      </c>
      <c r="L176" s="25" t="inlineStr">
        <is>
          <t>IA-PPWR-DOC-ST-072-EUR-03-R00</t>
        </is>
      </c>
      <c r="M176" s="25" t="inlineStr">
        <is>
          <t>IA-PPWR-LBL-ST-072-EUR-03-R00</t>
        </is>
      </c>
      <c r="N176" s="25" t="inlineStr">
        <is>
          <t>IA-PPWR-STM-ST-072-EUR-03-R00</t>
        </is>
      </c>
    </row>
    <row r="177">
      <c r="A177" s="25" t="inlineStr">
        <is>
          <t>ST-072-EUR-04</t>
        </is>
      </c>
      <c r="B177" s="25" t="inlineStr">
        <is>
          <t>IA-ST-072-EUR-04</t>
        </is>
      </c>
      <c r="C177" s="25" t="inlineStr">
        <is>
          <t>IA-ST-CFG-0209</t>
        </is>
      </c>
      <c r="D177" s="25" t="inlineStr">
        <is>
          <t>STARTER</t>
        </is>
      </c>
      <c r="E177" s="25" t="inlineStr">
        <is>
          <t>L1, LB1 | Palet (4000038): 1 adet | Köşebent (4000033): 4 adet</t>
        </is>
      </c>
      <c r="F177" s="25" t="inlineStr">
        <is>
          <t>L1, LB1 | Palet (4000038): 1 adet | Köşebent (4000033): 4 adet</t>
        </is>
      </c>
      <c r="G177" s="25" t="inlineStr">
        <is>
          <t>L1, LB1 | Pallet (4000038): 1 pc | Edge protector (4000033): 4 pcs</t>
        </is>
      </c>
      <c r="H177" s="25" t="n">
        <v>28.366</v>
      </c>
      <c r="I177" s="25" t="n">
        <v>21</v>
      </c>
      <c r="J177" s="25" t="n">
        <v>6</v>
      </c>
      <c r="K177" s="25" t="inlineStr">
        <is>
          <t>IA-PPWR-TF-ST-072-EUR-04-R00</t>
        </is>
      </c>
      <c r="L177" s="25" t="inlineStr">
        <is>
          <t>IA-PPWR-DOC-ST-072-EUR-04-R00</t>
        </is>
      </c>
      <c r="M177" s="25" t="inlineStr">
        <is>
          <t>IA-PPWR-LBL-ST-072-EUR-04-R00</t>
        </is>
      </c>
      <c r="N177" s="25" t="inlineStr">
        <is>
          <t>IA-PPWR-STM-ST-072-EUR-04-R00</t>
        </is>
      </c>
    </row>
    <row r="178">
      <c r="A178" s="25" t="inlineStr">
        <is>
          <t>ST-072-EUR-05</t>
        </is>
      </c>
      <c r="B178" s="25" t="inlineStr">
        <is>
          <t>IA-ST-072-EUR-05</t>
        </is>
      </c>
      <c r="C178" s="25" t="inlineStr">
        <is>
          <t>IA-ST-CFG-0235</t>
        </is>
      </c>
      <c r="D178" s="25" t="inlineStr">
        <is>
          <t>STARTER</t>
        </is>
      </c>
      <c r="E178" s="25" t="inlineStr">
        <is>
          <t>NS60 | NS60 PVC üst kapak (4000602): 72 adet</t>
        </is>
      </c>
      <c r="F178" s="25" t="inlineStr">
        <is>
          <t>NS60 | NS60 PVC üst kapak (4000602): 72 adet</t>
        </is>
      </c>
      <c r="G178" s="25" t="inlineStr">
        <is>
          <t>NS60 | NS60 PVC upper cover (4000602): 72 pcs</t>
        </is>
      </c>
      <c r="H178" s="25" t="n">
        <v>33.2594</v>
      </c>
      <c r="I178" s="25" t="n">
        <v>11</v>
      </c>
      <c r="J178" s="25" t="n">
        <v>8</v>
      </c>
      <c r="K178" s="25" t="inlineStr">
        <is>
          <t>IA-PPWR-TF-ST-072-EUR-05-R00</t>
        </is>
      </c>
      <c r="L178" s="25" t="inlineStr">
        <is>
          <t>IA-PPWR-DOC-ST-072-EUR-05-R00</t>
        </is>
      </c>
      <c r="M178" s="25" t="inlineStr">
        <is>
          <t>IA-PPWR-LBL-ST-072-EUR-05-R00</t>
        </is>
      </c>
      <c r="N178" s="25" t="inlineStr">
        <is>
          <t>IA-PPWR-STM-ST-072-EUR-05-R00</t>
        </is>
      </c>
    </row>
    <row r="179">
      <c r="A179" s="25" t="inlineStr">
        <is>
          <t>ST-072-EUR-06</t>
        </is>
      </c>
      <c r="B179" s="25" t="inlineStr">
        <is>
          <t>IA-ST-072-EUR-06</t>
        </is>
      </c>
      <c r="C179" s="25" t="inlineStr">
        <is>
          <t>IA-ST-CFG-0236</t>
        </is>
      </c>
      <c r="D179" s="25" t="inlineStr">
        <is>
          <t>STARTER</t>
        </is>
      </c>
      <c r="E179" s="25" t="inlineStr">
        <is>
          <t>L0 | Palet (4000038): 1 adet | Köşebent (4000590): 4 adet</t>
        </is>
      </c>
      <c r="F179" s="25" t="inlineStr">
        <is>
          <t>L0 | Palet (4000038): 1 adet | Köşebent (4000590): 4 adet</t>
        </is>
      </c>
      <c r="G179" s="25" t="inlineStr">
        <is>
          <t>L0 | Pallet (4000038): 1 pc | Edge protector (4000590): 4 pcs</t>
        </is>
      </c>
      <c r="H179" s="25" t="n">
        <v>27.926</v>
      </c>
      <c r="I179" s="25" t="n">
        <v>2</v>
      </c>
      <c r="J179" s="25" t="n">
        <v>6</v>
      </c>
      <c r="K179" s="25" t="inlineStr">
        <is>
          <t>IA-PPWR-TF-ST-072-EUR-06-R00</t>
        </is>
      </c>
      <c r="L179" s="25" t="inlineStr">
        <is>
          <t>IA-PPWR-DOC-ST-072-EUR-06-R00</t>
        </is>
      </c>
      <c r="M179" s="25" t="inlineStr">
        <is>
          <t>IA-PPWR-LBL-ST-072-EUR-06-R00</t>
        </is>
      </c>
      <c r="N179" s="25" t="inlineStr">
        <is>
          <t>IA-PPWR-STM-ST-072-EUR-06-R00</t>
        </is>
      </c>
    </row>
    <row r="180">
      <c r="A180" s="25" t="inlineStr">
        <is>
          <t>ST-072-STD-01</t>
        </is>
      </c>
      <c r="B180" s="25" t="inlineStr">
        <is>
          <t>IA-ST-072-STD-01</t>
        </is>
      </c>
      <c r="C180" s="25" t="inlineStr">
        <is>
          <t>IA-ST-CFG-0210</t>
        </is>
      </c>
      <c r="D180" s="25" t="inlineStr">
        <is>
          <t>STARTER</t>
        </is>
      </c>
      <c r="E180" s="25" t="inlineStr">
        <is>
          <t>L3 | L3 EAS Activa penceresiz dış koli (4000646): 72 adet</t>
        </is>
      </c>
      <c r="F180" s="25" t="inlineStr">
        <is>
          <t>L3 | L3 EAS Activa penceresiz dış koli (4000646): 72 adet</t>
        </is>
      </c>
      <c r="G180" s="25" t="inlineStr">
        <is>
          <t>L3 | L3 EAS Activa windowless outer carton (4000646): 72 pcs</t>
        </is>
      </c>
      <c r="H180" s="25" t="n">
        <v>47.336</v>
      </c>
      <c r="I180" s="25" t="n">
        <v>2</v>
      </c>
      <c r="J180" s="25" t="n">
        <v>7</v>
      </c>
      <c r="K180" s="25" t="inlineStr">
        <is>
          <t>IA-PPWR-TF-ST-072-STD-01-R00</t>
        </is>
      </c>
      <c r="L180" s="25" t="inlineStr">
        <is>
          <t>IA-PPWR-DOC-ST-072-STD-01-R00</t>
        </is>
      </c>
      <c r="M180" s="25" t="inlineStr">
        <is>
          <t>IA-PPWR-LBL-ST-072-STD-01-R00</t>
        </is>
      </c>
      <c r="N180" s="25" t="inlineStr">
        <is>
          <t>IA-PPWR-STM-ST-072-STD-01-R00</t>
        </is>
      </c>
    </row>
    <row r="181">
      <c r="A181" s="25" t="inlineStr">
        <is>
          <t>ST-072-STD-02</t>
        </is>
      </c>
      <c r="B181" s="25" t="inlineStr">
        <is>
          <t>IA-ST-072-STD-02</t>
        </is>
      </c>
      <c r="C181" s="25" t="inlineStr">
        <is>
          <t>IA-ST-CFG-0211</t>
        </is>
      </c>
      <c r="D181" s="25" t="inlineStr">
        <is>
          <t>STARTER</t>
        </is>
      </c>
      <c r="E181" s="25" t="inlineStr">
        <is>
          <t>LB3 | LB3 İnci EFB PANTERA pencereli DL dış koli (4001314): 72 adet</t>
        </is>
      </c>
      <c r="F181" s="25" t="inlineStr">
        <is>
          <t>LB3 | LB3 İnci EFB PANTERA pencereli DL dış koli (4001314): 72 adet</t>
        </is>
      </c>
      <c r="G181" s="25" t="inlineStr">
        <is>
          <t>LB3 | LB3 İnci EFB PANTERA windowed DL outer carton (4001314): 72 pcs</t>
        </is>
      </c>
      <c r="H181" s="25" t="n">
        <v>50.936</v>
      </c>
      <c r="I181" s="25" t="n">
        <v>1</v>
      </c>
      <c r="J181" s="25" t="n">
        <v>7</v>
      </c>
      <c r="K181" s="25" t="inlineStr">
        <is>
          <t>IA-PPWR-TF-ST-072-STD-02-R00</t>
        </is>
      </c>
      <c r="L181" s="25" t="inlineStr">
        <is>
          <t>IA-PPWR-DOC-ST-072-STD-02-R00</t>
        </is>
      </c>
      <c r="M181" s="25" t="inlineStr">
        <is>
          <t>IA-PPWR-LBL-ST-072-STD-02-R00</t>
        </is>
      </c>
      <c r="N181" s="25" t="inlineStr">
        <is>
          <t>IA-PPWR-STM-ST-072-STD-02-R00</t>
        </is>
      </c>
    </row>
    <row r="182">
      <c r="A182" s="25" t="inlineStr">
        <is>
          <t>ST-072-STD-03</t>
        </is>
      </c>
      <c r="B182" s="25" t="inlineStr">
        <is>
          <t>IA-ST-072-STD-03</t>
        </is>
      </c>
      <c r="C182" s="25" t="inlineStr">
        <is>
          <t>IA-ST-CFG-0212</t>
        </is>
      </c>
      <c r="D182" s="25" t="inlineStr">
        <is>
          <t>STARTER</t>
        </is>
      </c>
      <c r="E182" s="25" t="inlineStr">
        <is>
          <t>L3 | L3 İnci EFB PANTERA pencereli DL dış koli (4001315): 72 adet</t>
        </is>
      </c>
      <c r="F182" s="25" t="inlineStr">
        <is>
          <t>L3 | L3 İnci EFB PANTERA pencereli DL dış koli (4001315): 72 adet</t>
        </is>
      </c>
      <c r="G182" s="25" t="inlineStr">
        <is>
          <t>L3 | L3 İnci EFB PANTERA windowed DL outer carton (4001315): 72 pcs</t>
        </is>
      </c>
      <c r="H182" s="25" t="n">
        <v>47.336</v>
      </c>
      <c r="I182" s="25" t="n">
        <v>1</v>
      </c>
      <c r="J182" s="25" t="n">
        <v>7</v>
      </c>
      <c r="K182" s="25" t="inlineStr">
        <is>
          <t>IA-PPWR-TF-ST-072-STD-03-R00</t>
        </is>
      </c>
      <c r="L182" s="25" t="inlineStr">
        <is>
          <t>IA-PPWR-DOC-ST-072-STD-03-R00</t>
        </is>
      </c>
      <c r="M182" s="25" t="inlineStr">
        <is>
          <t>IA-PPWR-LBL-ST-072-STD-03-R00</t>
        </is>
      </c>
      <c r="N182" s="25" t="inlineStr">
        <is>
          <t>IA-PPWR-STM-ST-072-STD-03-R00</t>
        </is>
      </c>
    </row>
    <row r="183">
      <c r="A183" s="25" t="inlineStr">
        <is>
          <t>ST-072-STD-04</t>
        </is>
      </c>
      <c r="B183" s="25" t="inlineStr">
        <is>
          <t>IA-ST-072-STD-04</t>
        </is>
      </c>
      <c r="C183" s="25" t="inlineStr">
        <is>
          <t>IA-ST-CFG-0213</t>
        </is>
      </c>
      <c r="D183" s="25" t="inlineStr">
        <is>
          <t>STARTER</t>
        </is>
      </c>
      <c r="E183" s="25" t="inlineStr">
        <is>
          <t>L3 | L3 EAS EFB MAX pencereli 2024 dış koli (4001411): 72 adet</t>
        </is>
      </c>
      <c r="F183" s="25" t="inlineStr">
        <is>
          <t>L3 | L3 EAS EFB MAX pencereli 2024 dış koli (4001411): 72 adet</t>
        </is>
      </c>
      <c r="G183" s="25" t="inlineStr">
        <is>
          <t>L3 | L3 EAS EFB MAX windowed 2024 outer carton (4001411): 72 pcs</t>
        </is>
      </c>
      <c r="H183" s="25" t="n">
        <v>47.336</v>
      </c>
      <c r="I183" s="25" t="n">
        <v>1</v>
      </c>
      <c r="J183" s="25" t="n">
        <v>7</v>
      </c>
      <c r="K183" s="25" t="inlineStr">
        <is>
          <t>IA-PPWR-TF-ST-072-STD-04-R00</t>
        </is>
      </c>
      <c r="L183" s="25" t="inlineStr">
        <is>
          <t>IA-PPWR-DOC-ST-072-STD-04-R00</t>
        </is>
      </c>
      <c r="M183" s="25" t="inlineStr">
        <is>
          <t>IA-PPWR-LBL-ST-072-STD-04-R00</t>
        </is>
      </c>
      <c r="N183" s="25" t="inlineStr">
        <is>
          <t>IA-PPWR-STM-ST-072-STD-04-R00</t>
        </is>
      </c>
    </row>
    <row r="184">
      <c r="A184" s="25" t="inlineStr">
        <is>
          <t>ST-072-STD-05</t>
        </is>
      </c>
      <c r="B184" s="25" t="inlineStr">
        <is>
          <t>IA-ST-072-STD-05</t>
        </is>
      </c>
      <c r="C184" s="25" t="inlineStr">
        <is>
          <t>IA-ST-CFG-0214</t>
        </is>
      </c>
      <c r="D184" s="25" t="inlineStr">
        <is>
          <t>STARTER</t>
        </is>
      </c>
      <c r="E184" s="25" t="inlineStr">
        <is>
          <t>L1 | L1 EAS AGM S&amp;S 50AH 560A pencereli dış koli (4001394): 72 adet</t>
        </is>
      </c>
      <c r="F184" s="25" t="inlineStr">
        <is>
          <t>L1 | L1 EAS AGM S&amp;S 50AH 560A pencereli dış koli (4001394): 72 adet</t>
        </is>
      </c>
      <c r="G184" s="25" t="inlineStr">
        <is>
          <t>L1 | L1 EAS AGM S&amp;S 50AH 560A windowed outer carton (4001394): 72 pcs</t>
        </is>
      </c>
      <c r="H184" s="25" t="n">
        <v>46.766</v>
      </c>
      <c r="I184" s="25" t="n">
        <v>1</v>
      </c>
      <c r="J184" s="25" t="n">
        <v>7</v>
      </c>
      <c r="K184" s="25" t="inlineStr">
        <is>
          <t>IA-PPWR-TF-ST-072-STD-05-R00</t>
        </is>
      </c>
      <c r="L184" s="25" t="inlineStr">
        <is>
          <t>IA-PPWR-DOC-ST-072-STD-05-R00</t>
        </is>
      </c>
      <c r="M184" s="25" t="inlineStr">
        <is>
          <t>IA-PPWR-LBL-ST-072-STD-05-R00</t>
        </is>
      </c>
      <c r="N184" s="25" t="inlineStr">
        <is>
          <t>IA-PPWR-STM-ST-072-STD-05-R00</t>
        </is>
      </c>
    </row>
    <row r="185">
      <c r="A185" s="25" t="inlineStr">
        <is>
          <t>ST-072-STD-06</t>
        </is>
      </c>
      <c r="B185" s="25" t="inlineStr">
        <is>
          <t>IA-ST-072-STD-06</t>
        </is>
      </c>
      <c r="C185" s="25" t="inlineStr">
        <is>
          <t>IA-ST-CFG-0215</t>
        </is>
      </c>
      <c r="D185" s="25" t="inlineStr">
        <is>
          <t>STARTER</t>
        </is>
      </c>
      <c r="E185" s="25" t="inlineStr">
        <is>
          <t>L3 | L3 HUGEL ULTRA penceresiz 2013 TAS. dış koli (4000865): 72 adet</t>
        </is>
      </c>
      <c r="F185" s="25" t="inlineStr">
        <is>
          <t>L3 | L3 HUGEL ULTRA penceresiz 2013 TAS. dış koli (4000865): 72 adet</t>
        </is>
      </c>
      <c r="G185" s="25" t="inlineStr">
        <is>
          <t>L3 | L3 HUGEL ULTRA windowless 2013 TAS. outer carton (4000865): 72 pcs</t>
        </is>
      </c>
      <c r="H185" s="25" t="n">
        <v>47.756</v>
      </c>
      <c r="I185" s="25" t="n">
        <v>1</v>
      </c>
      <c r="J185" s="25" t="n">
        <v>7</v>
      </c>
      <c r="K185" s="25" t="inlineStr">
        <is>
          <t>IA-PPWR-TF-ST-072-STD-06-R00</t>
        </is>
      </c>
      <c r="L185" s="25" t="inlineStr">
        <is>
          <t>IA-PPWR-DOC-ST-072-STD-06-R00</t>
        </is>
      </c>
      <c r="M185" s="25" t="inlineStr">
        <is>
          <t>IA-PPWR-LBL-ST-072-STD-06-R00</t>
        </is>
      </c>
      <c r="N185" s="25" t="inlineStr">
        <is>
          <t>IA-PPWR-STM-ST-072-STD-06-R00</t>
        </is>
      </c>
    </row>
    <row r="186">
      <c r="A186" s="25" t="inlineStr">
        <is>
          <t>ST-072-STD-07</t>
        </is>
      </c>
      <c r="B186" s="25" t="inlineStr">
        <is>
          <t>IA-ST-072-STD-07</t>
        </is>
      </c>
      <c r="C186" s="25" t="inlineStr">
        <is>
          <t>IA-ST-CFG-0216</t>
        </is>
      </c>
      <c r="D186" s="25" t="inlineStr">
        <is>
          <t>STARTER</t>
        </is>
      </c>
      <c r="E186" s="25" t="inlineStr">
        <is>
          <t>LB3 | LB3 İnci FORMULA-MAXIMA 2019 dış koli (4001205): 72 adet</t>
        </is>
      </c>
      <c r="F186" s="25" t="inlineStr">
        <is>
          <t>LB3 | LB3 İnci FORMULA-MAXIMA 2019 dış koli (4001205): 72 adet</t>
        </is>
      </c>
      <c r="G186" s="25" t="inlineStr">
        <is>
          <t>LB3 | LB3 İnci FORMULA-MAXIMA 2019 outer carton (4001205): 72 pcs</t>
        </is>
      </c>
      <c r="H186" s="25" t="n">
        <v>50.636</v>
      </c>
      <c r="I186" s="25" t="n">
        <v>1</v>
      </c>
      <c r="J186" s="25" t="n">
        <v>7</v>
      </c>
      <c r="K186" s="25" t="inlineStr">
        <is>
          <t>IA-PPWR-TF-ST-072-STD-07-R00</t>
        </is>
      </c>
      <c r="L186" s="25" t="inlineStr">
        <is>
          <t>IA-PPWR-DOC-ST-072-STD-07-R00</t>
        </is>
      </c>
      <c r="M186" s="25" t="inlineStr">
        <is>
          <t>IA-PPWR-LBL-ST-072-STD-07-R00</t>
        </is>
      </c>
      <c r="N186" s="25" t="inlineStr">
        <is>
          <t>IA-PPWR-STM-ST-072-STD-07-R00</t>
        </is>
      </c>
    </row>
    <row r="187">
      <c r="A187" s="25" t="inlineStr">
        <is>
          <t>ST-072-STD-08</t>
        </is>
      </c>
      <c r="B187" s="25" t="inlineStr">
        <is>
          <t>IA-ST-072-STD-08</t>
        </is>
      </c>
      <c r="C187" s="25" t="inlineStr">
        <is>
          <t>IA-ST-CFG-0217</t>
        </is>
      </c>
      <c r="D187" s="25" t="inlineStr">
        <is>
          <t>STARTER</t>
        </is>
      </c>
      <c r="E187" s="25" t="inlineStr">
        <is>
          <t>D23 | Palet (4000037): 1 adet | Separatör (4000130): 1 adet</t>
        </is>
      </c>
      <c r="F187" s="25" t="inlineStr">
        <is>
          <t>D23 | Palet (4000037): 1 adet | Separatör (4000130): 1 adet</t>
        </is>
      </c>
      <c r="G187" s="25" t="inlineStr">
        <is>
          <t>D23 | Pallet (4000037): 1 pc | Separator (4000130): 1 pc</t>
        </is>
      </c>
      <c r="H187" s="25" t="n">
        <v>27.708</v>
      </c>
      <c r="I187" s="25" t="n">
        <v>1</v>
      </c>
      <c r="J187" s="25" t="n">
        <v>7</v>
      </c>
      <c r="K187" s="25" t="inlineStr">
        <is>
          <t>IA-PPWR-TF-ST-072-STD-08-R00</t>
        </is>
      </c>
      <c r="L187" s="25" t="inlineStr">
        <is>
          <t>IA-PPWR-DOC-ST-072-STD-08-R00</t>
        </is>
      </c>
      <c r="M187" s="25" t="inlineStr">
        <is>
          <t>IA-PPWR-LBL-ST-072-STD-08-R00</t>
        </is>
      </c>
      <c r="N187" s="25" t="inlineStr">
        <is>
          <t>IA-PPWR-STM-ST-072-STD-08-R00</t>
        </is>
      </c>
    </row>
    <row r="188">
      <c r="A188" s="25" t="inlineStr">
        <is>
          <t>ST-072-STD-09</t>
        </is>
      </c>
      <c r="B188" s="25" t="inlineStr">
        <is>
          <t>IA-ST-072-STD-09</t>
        </is>
      </c>
      <c r="C188" s="25" t="inlineStr">
        <is>
          <t>IA-ST-CFG-0218</t>
        </is>
      </c>
      <c r="D188" s="25" t="inlineStr">
        <is>
          <t>STARTER</t>
        </is>
      </c>
      <c r="E188" s="25" t="inlineStr">
        <is>
          <t>L2 | Palet (4000037): 1 adet | Shrink film (4000558): 2.736 kg</t>
        </is>
      </c>
      <c r="F188" s="25" t="inlineStr">
        <is>
          <t>L2 | Palet (4000037): 1 adet | Shrink film (4000558): 2.736 kg</t>
        </is>
      </c>
      <c r="G188" s="25" t="inlineStr">
        <is>
          <t>L2 | Pallet (4000037): 1 pc | Shrink film (4000558): 2.736 kg</t>
        </is>
      </c>
      <c r="H188" s="25" t="n">
        <v>30.942</v>
      </c>
      <c r="I188" s="25" t="n">
        <v>1</v>
      </c>
      <c r="J188" s="25" t="n">
        <v>7</v>
      </c>
      <c r="K188" s="25" t="inlineStr">
        <is>
          <t>IA-PPWR-TF-ST-072-STD-09-R00</t>
        </is>
      </c>
      <c r="L188" s="25" t="inlineStr">
        <is>
          <t>IA-PPWR-DOC-ST-072-STD-09-R00</t>
        </is>
      </c>
      <c r="M188" s="25" t="inlineStr">
        <is>
          <t>IA-PPWR-LBL-ST-072-STD-09-R00</t>
        </is>
      </c>
      <c r="N188" s="25" t="inlineStr">
        <is>
          <t>IA-PPWR-STM-ST-072-STD-09-R00</t>
        </is>
      </c>
    </row>
    <row r="189">
      <c r="A189" s="25" t="inlineStr">
        <is>
          <t>ST-072-STD-10</t>
        </is>
      </c>
      <c r="B189" s="25" t="inlineStr">
        <is>
          <t>IA-ST-072-STD-10</t>
        </is>
      </c>
      <c r="C189" s="25" t="inlineStr">
        <is>
          <t>IA-ST-CFG-0219</t>
        </is>
      </c>
      <c r="D189" s="25" t="inlineStr">
        <is>
          <t>STARTER</t>
        </is>
      </c>
      <c r="E189" s="25" t="inlineStr">
        <is>
          <t>D23 | D23 PVC üst kapak (4000461): 72 adet | Köşebent (4000590): 2 adet</t>
        </is>
      </c>
      <c r="F189" s="25" t="inlineStr">
        <is>
          <t>D23 | D23 PVC üst kapak (4000461): 72 adet | Köşebent (4000590): 2 adet</t>
        </is>
      </c>
      <c r="G189" s="25" t="inlineStr">
        <is>
          <t>D23 | D23 PVC upper cover (4000461): 72 pcs | Edge protector (4000590): 2 pcs</t>
        </is>
      </c>
      <c r="H189" s="25" t="n">
        <v>34.33224</v>
      </c>
      <c r="I189" s="25" t="n">
        <v>43</v>
      </c>
      <c r="J189" s="25" t="n">
        <v>8</v>
      </c>
      <c r="K189" s="25" t="inlineStr">
        <is>
          <t>IA-PPWR-TF-ST-072-STD-10-R00</t>
        </is>
      </c>
      <c r="L189" s="25" t="inlineStr">
        <is>
          <t>IA-PPWR-DOC-ST-072-STD-10-R00</t>
        </is>
      </c>
      <c r="M189" s="25" t="inlineStr">
        <is>
          <t>IA-PPWR-LBL-ST-072-STD-10-R00</t>
        </is>
      </c>
      <c r="N189" s="25" t="inlineStr">
        <is>
          <t>IA-PPWR-STM-ST-072-STD-10-R00</t>
        </is>
      </c>
    </row>
    <row r="190">
      <c r="A190" s="25" t="inlineStr">
        <is>
          <t>ST-072-STD-11</t>
        </is>
      </c>
      <c r="B190" s="25" t="inlineStr">
        <is>
          <t>IA-ST-072-STD-11</t>
        </is>
      </c>
      <c r="C190" s="25" t="inlineStr">
        <is>
          <t>IA-ST-CFG-0220</t>
        </is>
      </c>
      <c r="D190" s="25" t="inlineStr">
        <is>
          <t>STARTER</t>
        </is>
      </c>
      <c r="E190" s="25" t="inlineStr">
        <is>
          <t>D20 | D20 PVC üst kapak (4000490): 72 adet | Köşebent (4000590): 2 adet</t>
        </is>
      </c>
      <c r="F190" s="25" t="inlineStr">
        <is>
          <t>D20 | D20 PVC üst kapak (4000490): 72 adet | Köşebent (4000590): 2 adet</t>
        </is>
      </c>
      <c r="G190" s="25" t="inlineStr">
        <is>
          <t>D20 | D20 PVC upper cover (4000490): 72 pcs | Edge protector (4000590): 2 pcs</t>
        </is>
      </c>
      <c r="H190" s="25" t="n">
        <v>30.33912</v>
      </c>
      <c r="I190" s="25" t="n">
        <v>2</v>
      </c>
      <c r="J190" s="25" t="n">
        <v>8</v>
      </c>
      <c r="K190" s="25" t="inlineStr">
        <is>
          <t>IA-PPWR-TF-ST-072-STD-11-R00</t>
        </is>
      </c>
      <c r="L190" s="25" t="inlineStr">
        <is>
          <t>IA-PPWR-DOC-ST-072-STD-11-R00</t>
        </is>
      </c>
      <c r="M190" s="25" t="inlineStr">
        <is>
          <t>IA-PPWR-LBL-ST-072-STD-11-R00</t>
        </is>
      </c>
      <c r="N190" s="25" t="inlineStr">
        <is>
          <t>IA-PPWR-STM-ST-072-STD-11-R00</t>
        </is>
      </c>
    </row>
    <row r="191">
      <c r="A191" s="25" t="inlineStr">
        <is>
          <t>ST-072-STD-12</t>
        </is>
      </c>
      <c r="B191" s="25" t="inlineStr">
        <is>
          <t>IA-ST-072-STD-12</t>
        </is>
      </c>
      <c r="C191" s="25" t="inlineStr">
        <is>
          <t>IA-ST-CFG-0221</t>
        </is>
      </c>
      <c r="D191" s="25" t="inlineStr">
        <is>
          <t>STARTER</t>
        </is>
      </c>
      <c r="E191" s="25" t="inlineStr">
        <is>
          <t>L4 | Palet (4000037): 1 adet | Shrink film (4000554): 2.448 kg</t>
        </is>
      </c>
      <c r="F191" s="25" t="inlineStr">
        <is>
          <t>L4 | Palet (4000037): 1 adet | Shrink film (4000554): 2.448 kg</t>
        </is>
      </c>
      <c r="G191" s="25" t="inlineStr">
        <is>
          <t>L4 | Pallet (4000037): 1 pc | Shrink film (4000554): 2.448 kg</t>
        </is>
      </c>
      <c r="H191" s="25" t="n">
        <v>30.3672</v>
      </c>
      <c r="I191" s="25" t="n">
        <v>4</v>
      </c>
      <c r="J191" s="25" t="n">
        <v>7</v>
      </c>
      <c r="K191" s="25" t="inlineStr">
        <is>
          <t>IA-PPWR-TF-ST-072-STD-12-R00</t>
        </is>
      </c>
      <c r="L191" s="25" t="inlineStr">
        <is>
          <t>IA-PPWR-DOC-ST-072-STD-12-R00</t>
        </is>
      </c>
      <c r="M191" s="25" t="inlineStr">
        <is>
          <t>IA-PPWR-LBL-ST-072-STD-12-R00</t>
        </is>
      </c>
      <c r="N191" s="25" t="inlineStr">
        <is>
          <t>IA-PPWR-STM-ST-072-STD-12-R00</t>
        </is>
      </c>
    </row>
    <row r="192">
      <c r="A192" s="25" t="inlineStr">
        <is>
          <t>ST-072-STD-13</t>
        </is>
      </c>
      <c r="B192" s="25" t="inlineStr">
        <is>
          <t>IA-ST-072-STD-13</t>
        </is>
      </c>
      <c r="C192" s="25" t="inlineStr">
        <is>
          <t>IA-ST-CFG-0222</t>
        </is>
      </c>
      <c r="D192" s="25" t="inlineStr">
        <is>
          <t>STARTER</t>
        </is>
      </c>
      <c r="E192" s="25" t="inlineStr">
        <is>
          <t>L2, LB2 | Palet (4000037): 1 adet | Köşebent (4000590): 2 adet</t>
        </is>
      </c>
      <c r="F192" s="25" t="inlineStr">
        <is>
          <t>L2, LB2 | Palet (4000037): 1 adet | Köşebent (4000590): 2 adet</t>
        </is>
      </c>
      <c r="G192" s="25" t="inlineStr">
        <is>
          <t>L2, LB2 | Pallet (4000037): 1 pc | Edge protector (4000590): 2 pcs</t>
        </is>
      </c>
      <c r="H192" s="25" t="n">
        <v>30.6552</v>
      </c>
      <c r="I192" s="25" t="n">
        <v>125</v>
      </c>
      <c r="J192" s="25" t="n">
        <v>7</v>
      </c>
      <c r="K192" s="25" t="inlineStr">
        <is>
          <t>IA-PPWR-TF-ST-072-STD-13-R00</t>
        </is>
      </c>
      <c r="L192" s="25" t="inlineStr">
        <is>
          <t>IA-PPWR-DOC-ST-072-STD-13-R00</t>
        </is>
      </c>
      <c r="M192" s="25" t="inlineStr">
        <is>
          <t>IA-PPWR-LBL-ST-072-STD-13-R00</t>
        </is>
      </c>
      <c r="N192" s="25" t="inlineStr">
        <is>
          <t>IA-PPWR-STM-ST-072-STD-13-R00</t>
        </is>
      </c>
    </row>
    <row r="193">
      <c r="A193" s="25" t="inlineStr">
        <is>
          <t>ST-072-STD-14</t>
        </is>
      </c>
      <c r="B193" s="25" t="inlineStr">
        <is>
          <t>IA-ST-072-STD-14</t>
        </is>
      </c>
      <c r="C193" s="25" t="inlineStr">
        <is>
          <t>IA-ST-CFG-0223</t>
        </is>
      </c>
      <c r="D193" s="25" t="inlineStr">
        <is>
          <t>STARTER</t>
        </is>
      </c>
      <c r="E193" s="25" t="inlineStr">
        <is>
          <t>LB2, L2 | Palet (4000037): 1 adet | Separatör (4000130): 4 adet</t>
        </is>
      </c>
      <c r="F193" s="25" t="inlineStr">
        <is>
          <t>LB2, L2 | Palet (4000037): 1 adet | Separatör (4000130): 4 adet</t>
        </is>
      </c>
      <c r="G193" s="25" t="inlineStr">
        <is>
          <t>LB2, L2 | Pallet (4000037): 1 pc | Separator (4000130): 4 pcs</t>
        </is>
      </c>
      <c r="H193" s="25" t="n">
        <v>27.9192</v>
      </c>
      <c r="I193" s="25" t="n">
        <v>2</v>
      </c>
      <c r="J193" s="25" t="n">
        <v>6</v>
      </c>
      <c r="K193" s="25" t="inlineStr">
        <is>
          <t>IA-PPWR-TF-ST-072-STD-14-R00</t>
        </is>
      </c>
      <c r="L193" s="25" t="inlineStr">
        <is>
          <t>IA-PPWR-DOC-ST-072-STD-14-R00</t>
        </is>
      </c>
      <c r="M193" s="25" t="inlineStr">
        <is>
          <t>IA-PPWR-LBL-ST-072-STD-14-R00</t>
        </is>
      </c>
      <c r="N193" s="25" t="inlineStr">
        <is>
          <t>IA-PPWR-STM-ST-072-STD-14-R00</t>
        </is>
      </c>
    </row>
    <row r="194">
      <c r="A194" s="25" t="inlineStr">
        <is>
          <t>ST-072-STD-15</t>
        </is>
      </c>
      <c r="B194" s="25" t="inlineStr">
        <is>
          <t>IA-ST-072-STD-15</t>
        </is>
      </c>
      <c r="C194" s="25" t="inlineStr">
        <is>
          <t>IA-ST-CFG-0224</t>
        </is>
      </c>
      <c r="D194" s="25" t="inlineStr">
        <is>
          <t>STARTER</t>
        </is>
      </c>
      <c r="E194" s="25" t="inlineStr">
        <is>
          <t>D23 | D23 PVC üst kapak (4000461): 72 adet | Çember (4000450): kullanılmaz</t>
        </is>
      </c>
      <c r="F194" s="25" t="inlineStr">
        <is>
          <t>D23 | D23 PVC üst kapak (4000461): 72 adet | Çember (4000450): kullanılmaz</t>
        </is>
      </c>
      <c r="G194" s="25" t="inlineStr">
        <is>
          <t>D23 | D23 PVC upper cover (4000461): 72 pcs | Strap (4000450): not used</t>
        </is>
      </c>
      <c r="H194" s="25" t="n">
        <v>34.04544</v>
      </c>
      <c r="I194" s="25" t="n">
        <v>5</v>
      </c>
      <c r="J194" s="25" t="n">
        <v>6</v>
      </c>
      <c r="K194" s="25" t="inlineStr">
        <is>
          <t>IA-PPWR-TF-ST-072-STD-15-R00</t>
        </is>
      </c>
      <c r="L194" s="25" t="inlineStr">
        <is>
          <t>IA-PPWR-DOC-ST-072-STD-15-R00</t>
        </is>
      </c>
      <c r="M194" s="25" t="inlineStr">
        <is>
          <t>IA-PPWR-LBL-ST-072-STD-15-R00</t>
        </is>
      </c>
      <c r="N194" s="25" t="inlineStr">
        <is>
          <t>IA-PPWR-STM-ST-072-STD-15-R00</t>
        </is>
      </c>
    </row>
    <row r="195">
      <c r="A195" s="25" t="inlineStr">
        <is>
          <t>ST-072-STD-16</t>
        </is>
      </c>
      <c r="B195" s="25" t="inlineStr">
        <is>
          <t>IA-ST-072-STD-16</t>
        </is>
      </c>
      <c r="C195" s="25" t="inlineStr">
        <is>
          <t>IA-ST-CFG-0225</t>
        </is>
      </c>
      <c r="D195" s="25" t="inlineStr">
        <is>
          <t>STARTER</t>
        </is>
      </c>
      <c r="E195" s="25" t="inlineStr">
        <is>
          <t>D20 | D20 PVC üst kapak (4000490): 72 adet | Köşebent (4000590): kullanılmaz</t>
        </is>
      </c>
      <c r="F195" s="25" t="inlineStr">
        <is>
          <t>D20 | D20 PVC üst kapak (4000490): 72 adet | Köşebent (4000590): kullanılmaz</t>
        </is>
      </c>
      <c r="G195" s="25" t="inlineStr">
        <is>
          <t>D20 | D20 PVC upper cover (4000490): 72 pcs | Edge protector (4000590): not used</t>
        </is>
      </c>
      <c r="H195" s="25" t="n">
        <v>30.05232</v>
      </c>
      <c r="I195" s="25" t="n">
        <v>5</v>
      </c>
      <c r="J195" s="25" t="n">
        <v>6</v>
      </c>
      <c r="K195" s="25" t="inlineStr">
        <is>
          <t>IA-PPWR-TF-ST-072-STD-16-R00</t>
        </is>
      </c>
      <c r="L195" s="25" t="inlineStr">
        <is>
          <t>IA-PPWR-DOC-ST-072-STD-16-R00</t>
        </is>
      </c>
      <c r="M195" s="25" t="inlineStr">
        <is>
          <t>IA-PPWR-LBL-ST-072-STD-16-R00</t>
        </is>
      </c>
      <c r="N195" s="25" t="inlineStr">
        <is>
          <t>IA-PPWR-STM-ST-072-STD-16-R00</t>
        </is>
      </c>
    </row>
    <row r="196">
      <c r="A196" s="25" t="inlineStr">
        <is>
          <t>ST-072-STD-17</t>
        </is>
      </c>
      <c r="B196" s="25" t="inlineStr">
        <is>
          <t>IA-ST-072-STD-17</t>
        </is>
      </c>
      <c r="C196" s="25" t="inlineStr">
        <is>
          <t>IA-ST-CFG-0226</t>
        </is>
      </c>
      <c r="D196" s="25" t="inlineStr">
        <is>
          <t>STARTER</t>
        </is>
      </c>
      <c r="E196" s="25" t="inlineStr">
        <is>
          <t>L2 | Palet (4000037): 1 adet | Shrink film (4000558): 2.376 kg</t>
        </is>
      </c>
      <c r="F196" s="25" t="inlineStr">
        <is>
          <t>L2 | Palet (4000037): 1 adet | Shrink film (4000558): 2.376 kg</t>
        </is>
      </c>
      <c r="G196" s="25" t="inlineStr">
        <is>
          <t>L2 | Pallet (4000037): 1 pc | Shrink film (4000558): 2.376 kg</t>
        </is>
      </c>
      <c r="H196" s="25" t="n">
        <v>30.0084</v>
      </c>
      <c r="I196" s="25" t="n">
        <v>1</v>
      </c>
      <c r="J196" s="25" t="n">
        <v>5</v>
      </c>
      <c r="K196" s="25" t="inlineStr">
        <is>
          <t>IA-PPWR-TF-ST-072-STD-17-R00</t>
        </is>
      </c>
      <c r="L196" s="25" t="inlineStr">
        <is>
          <t>IA-PPWR-DOC-ST-072-STD-17-R00</t>
        </is>
      </c>
      <c r="M196" s="25" t="inlineStr">
        <is>
          <t>IA-PPWR-LBL-ST-072-STD-17-R00</t>
        </is>
      </c>
      <c r="N196" s="25" t="inlineStr">
        <is>
          <t>IA-PPWR-STM-ST-072-STD-17-R00</t>
        </is>
      </c>
    </row>
    <row r="197">
      <c r="A197" s="25" t="inlineStr">
        <is>
          <t>ST-072-STD-18</t>
        </is>
      </c>
      <c r="B197" s="25" t="inlineStr">
        <is>
          <t>IA-ST-072-STD-18</t>
        </is>
      </c>
      <c r="C197" s="25" t="inlineStr">
        <is>
          <t>IA-ST-CFG-0227</t>
        </is>
      </c>
      <c r="D197" s="25" t="inlineStr">
        <is>
          <t>STARTER</t>
        </is>
      </c>
      <c r="E197" s="25" t="inlineStr">
        <is>
          <t>L2, LB2 | Palet (4000037): 1 adet | Köşebent (4000590): kullanılmaz</t>
        </is>
      </c>
      <c r="F197" s="25" t="inlineStr">
        <is>
          <t>L2, LB2 | Palet (4000037): 1 adet | Köşebent (4000590): kullanılmaz</t>
        </is>
      </c>
      <c r="G197" s="25" t="inlineStr">
        <is>
          <t>L2, LB2 | Pallet (4000037): 1 pc | Edge protector (4000590): not used</t>
        </is>
      </c>
      <c r="H197" s="25" t="n">
        <v>30.3684</v>
      </c>
      <c r="I197" s="25" t="n">
        <v>18</v>
      </c>
      <c r="J197" s="25" t="n">
        <v>5</v>
      </c>
      <c r="K197" s="25" t="inlineStr">
        <is>
          <t>IA-PPWR-TF-ST-072-STD-18-R00</t>
        </is>
      </c>
      <c r="L197" s="25" t="inlineStr">
        <is>
          <t>IA-PPWR-DOC-ST-072-STD-18-R00</t>
        </is>
      </c>
      <c r="M197" s="25" t="inlineStr">
        <is>
          <t>IA-PPWR-LBL-ST-072-STD-18-R00</t>
        </is>
      </c>
      <c r="N197" s="25" t="inlineStr">
        <is>
          <t>IA-PPWR-STM-ST-072-STD-18-R00</t>
        </is>
      </c>
    </row>
    <row r="198">
      <c r="A198" s="25" t="inlineStr">
        <is>
          <t>ST-072-STD-19</t>
        </is>
      </c>
      <c r="B198" s="25" t="inlineStr">
        <is>
          <t>IA-ST-072-STD-19</t>
        </is>
      </c>
      <c r="C198" s="25" t="inlineStr">
        <is>
          <t>IA-ST-CFG-0228</t>
        </is>
      </c>
      <c r="D198" s="25" t="inlineStr">
        <is>
          <t>STARTER</t>
        </is>
      </c>
      <c r="E198" s="25" t="inlineStr">
        <is>
          <t>D23 | Palet (4000037): 1 adet | Shrink film (4001177): 0.597 kg</t>
        </is>
      </c>
      <c r="F198" s="25" t="inlineStr">
        <is>
          <t>D23 | Palet (4000037): 1 adet | Shrink film (4001177): 0.597 kg</t>
        </is>
      </c>
      <c r="G198" s="25" t="inlineStr">
        <is>
          <t>D23 | Pallet (4000037): 1 pc | Shrink film (4001177): 0.597 kg</t>
        </is>
      </c>
      <c r="H198" s="25" t="n">
        <v>28.649</v>
      </c>
      <c r="I198" s="25" t="n">
        <v>3</v>
      </c>
      <c r="J198" s="25" t="n">
        <v>7</v>
      </c>
      <c r="K198" s="25" t="inlineStr">
        <is>
          <t>IA-PPWR-TF-ST-072-STD-19-R00</t>
        </is>
      </c>
      <c r="L198" s="25" t="inlineStr">
        <is>
          <t>IA-PPWR-DOC-ST-072-STD-19-R00</t>
        </is>
      </c>
      <c r="M198" s="25" t="inlineStr">
        <is>
          <t>IA-PPWR-LBL-ST-072-STD-19-R00</t>
        </is>
      </c>
      <c r="N198" s="25" t="inlineStr">
        <is>
          <t>IA-PPWR-STM-ST-072-STD-19-R00</t>
        </is>
      </c>
    </row>
    <row r="199">
      <c r="A199" s="25" t="inlineStr">
        <is>
          <t>ST-072-STD-20</t>
        </is>
      </c>
      <c r="B199" s="25" t="inlineStr">
        <is>
          <t>IA-ST-072-STD-20</t>
        </is>
      </c>
      <c r="C199" s="25" t="inlineStr">
        <is>
          <t>IA-ST-CFG-0229</t>
        </is>
      </c>
      <c r="D199" s="25" t="inlineStr">
        <is>
          <t>STARTER</t>
        </is>
      </c>
      <c r="E199" s="25" t="inlineStr">
        <is>
          <t>L2 | Palet (4000037): 1 adet | Köşebent (4000590): 2 adet</t>
        </is>
      </c>
      <c r="F199" s="25" t="inlineStr">
        <is>
          <t>L2 | Palet (4000037): 1 adet | Köşebent (4000590): 2 adet</t>
        </is>
      </c>
      <c r="G199" s="25" t="inlineStr">
        <is>
          <t>L2 | Pallet (4000037): 1 pc | Edge protector (4000590): 2 pcs</t>
        </is>
      </c>
      <c r="H199" s="25" t="n">
        <v>28.417</v>
      </c>
      <c r="I199" s="25" t="n">
        <v>1</v>
      </c>
      <c r="J199" s="25" t="n">
        <v>6</v>
      </c>
      <c r="K199" s="25" t="inlineStr">
        <is>
          <t>IA-PPWR-TF-ST-072-STD-20-R00</t>
        </is>
      </c>
      <c r="L199" s="25" t="inlineStr">
        <is>
          <t>IA-PPWR-DOC-ST-072-STD-20-R00</t>
        </is>
      </c>
      <c r="M199" s="25" t="inlineStr">
        <is>
          <t>IA-PPWR-LBL-ST-072-STD-20-R00</t>
        </is>
      </c>
      <c r="N199" s="25" t="inlineStr">
        <is>
          <t>IA-PPWR-STM-ST-072-STD-20-R00</t>
        </is>
      </c>
    </row>
    <row r="200">
      <c r="A200" s="25" t="inlineStr">
        <is>
          <t>ST-072-STD-21</t>
        </is>
      </c>
      <c r="B200" s="25" t="inlineStr">
        <is>
          <t>IA-ST-072-STD-21</t>
        </is>
      </c>
      <c r="C200" s="25" t="inlineStr">
        <is>
          <t>IA-ST-CFG-0230</t>
        </is>
      </c>
      <c r="D200" s="25" t="inlineStr">
        <is>
          <t>STARTER</t>
        </is>
      </c>
      <c r="E200" s="25" t="inlineStr">
        <is>
          <t>L2 | Palet (4000037): 1 adet | Köşebent (4000590): 4 adet | Shrink film (4001177): 0.597 kg</t>
        </is>
      </c>
      <c r="F200" s="25" t="inlineStr">
        <is>
          <t>L2 | Palet (4000037): 1 adet | Köşebent (4000590): 4 adet | Shrink film (4001177): 0.597 kg</t>
        </is>
      </c>
      <c r="G200" s="25" t="inlineStr">
        <is>
          <t>L2 | Pallet (4000037): 1 pc | Edge protector (4000590): 4 pcs | Shrink film (4001177): 0.597 kg</t>
        </is>
      </c>
      <c r="H200" s="25" t="n">
        <v>28.617</v>
      </c>
      <c r="I200" s="25" t="n">
        <v>9</v>
      </c>
      <c r="J200" s="25" t="n">
        <v>6</v>
      </c>
      <c r="K200" s="25" t="inlineStr">
        <is>
          <t>IA-PPWR-TF-ST-072-STD-21-R00</t>
        </is>
      </c>
      <c r="L200" s="25" t="inlineStr">
        <is>
          <t>IA-PPWR-DOC-ST-072-STD-21-R00</t>
        </is>
      </c>
      <c r="M200" s="25" t="inlineStr">
        <is>
          <t>IA-PPWR-LBL-ST-072-STD-21-R00</t>
        </is>
      </c>
      <c r="N200" s="25" t="inlineStr">
        <is>
          <t>IA-PPWR-STM-ST-072-STD-21-R00</t>
        </is>
      </c>
    </row>
    <row r="201">
      <c r="A201" s="25" t="inlineStr">
        <is>
          <t>ST-072-STD-22</t>
        </is>
      </c>
      <c r="B201" s="25" t="inlineStr">
        <is>
          <t>IA-ST-072-STD-22</t>
        </is>
      </c>
      <c r="C201" s="25" t="inlineStr">
        <is>
          <t>IA-ST-CFG-0231</t>
        </is>
      </c>
      <c r="D201" s="25" t="inlineStr">
        <is>
          <t>STARTER</t>
        </is>
      </c>
      <c r="E201" s="25" t="inlineStr">
        <is>
          <t>L4, LB4 | Palet (4000037): 1 adet | Köşebent (4000590): 2 adet</t>
        </is>
      </c>
      <c r="F201" s="25" t="inlineStr">
        <is>
          <t>L4, LB4 | Palet (4000037): 1 adet | Köşebent (4000590): 2 adet</t>
        </is>
      </c>
      <c r="G201" s="25" t="inlineStr">
        <is>
          <t>L4, LB4 | Pallet (4000037): 1 pc | Edge protector (4000590): 2 pcs</t>
        </is>
      </c>
      <c r="H201" s="25" t="n">
        <v>30.6372</v>
      </c>
      <c r="I201" s="25" t="n">
        <v>21</v>
      </c>
      <c r="J201" s="25" t="n">
        <v>7</v>
      </c>
      <c r="K201" s="25" t="inlineStr">
        <is>
          <t>IA-PPWR-TF-ST-072-STD-22-R00</t>
        </is>
      </c>
      <c r="L201" s="25" t="inlineStr">
        <is>
          <t>IA-PPWR-DOC-ST-072-STD-22-R00</t>
        </is>
      </c>
      <c r="M201" s="25" t="inlineStr">
        <is>
          <t>IA-PPWR-LBL-ST-072-STD-22-R00</t>
        </is>
      </c>
      <c r="N201" s="25" t="inlineStr">
        <is>
          <t>IA-PPWR-STM-ST-072-STD-22-R00</t>
        </is>
      </c>
    </row>
    <row r="202">
      <c r="A202" s="25" t="inlineStr">
        <is>
          <t>ST-072-STD-23</t>
        </is>
      </c>
      <c r="B202" s="25" t="inlineStr">
        <is>
          <t>IA-ST-072-STD-23</t>
        </is>
      </c>
      <c r="C202" s="25" t="inlineStr">
        <is>
          <t>IA-ST-CFG-0232</t>
        </is>
      </c>
      <c r="D202" s="25" t="inlineStr">
        <is>
          <t>STARTER</t>
        </is>
      </c>
      <c r="E202" s="25" t="inlineStr">
        <is>
          <t>L4 | Palet (4000037): 1 adet | Separatör (4000130): 5 adet</t>
        </is>
      </c>
      <c r="F202" s="25" t="inlineStr">
        <is>
          <t>L4 | Palet (4000037): 1 adet | Separatör (4000130): 5 adet</t>
        </is>
      </c>
      <c r="G202" s="25" t="inlineStr">
        <is>
          <t>L4 | Pallet (4000037): 1 pc | Separator (4000130): 5 pcs</t>
        </is>
      </c>
      <c r="H202" s="25" t="n">
        <v>28.1892</v>
      </c>
      <c r="I202" s="25" t="n">
        <v>1</v>
      </c>
      <c r="J202" s="25" t="n">
        <v>6</v>
      </c>
      <c r="K202" s="25" t="inlineStr">
        <is>
          <t>IA-PPWR-TF-ST-072-STD-23-R00</t>
        </is>
      </c>
      <c r="L202" s="25" t="inlineStr">
        <is>
          <t>IA-PPWR-DOC-ST-072-STD-23-R00</t>
        </is>
      </c>
      <c r="M202" s="25" t="inlineStr">
        <is>
          <t>IA-PPWR-LBL-ST-072-STD-23-R00</t>
        </is>
      </c>
      <c r="N202" s="25" t="inlineStr">
        <is>
          <t>IA-PPWR-STM-ST-072-STD-23-R00</t>
        </is>
      </c>
    </row>
    <row r="203">
      <c r="A203" s="25" t="inlineStr">
        <is>
          <t>ST-072-STD-24</t>
        </is>
      </c>
      <c r="B203" s="25" t="inlineStr">
        <is>
          <t>IA-ST-072-STD-24</t>
        </is>
      </c>
      <c r="C203" s="25" t="inlineStr">
        <is>
          <t>IA-ST-CFG-0233</t>
        </is>
      </c>
      <c r="D203" s="25" t="inlineStr">
        <is>
          <t>STARTER</t>
        </is>
      </c>
      <c r="E203" s="25" t="inlineStr">
        <is>
          <t>L4, LB4 | Palet (4000037): 1 adet | Köşebent (4000590): kullanılmaz</t>
        </is>
      </c>
      <c r="F203" s="25" t="inlineStr">
        <is>
          <t>L4, LB4 | Palet (4000037): 1 adet | Köşebent (4000590): kullanılmaz</t>
        </is>
      </c>
      <c r="G203" s="25" t="inlineStr">
        <is>
          <t>L4, LB4 | Pallet (4000037): 1 pc | Edge protector (4000590): not used</t>
        </is>
      </c>
      <c r="H203" s="25" t="n">
        <v>30.3504</v>
      </c>
      <c r="I203" s="25" t="n">
        <v>7</v>
      </c>
      <c r="J203" s="25" t="n">
        <v>5</v>
      </c>
      <c r="K203" s="25" t="inlineStr">
        <is>
          <t>IA-PPWR-TF-ST-072-STD-24-R00</t>
        </is>
      </c>
      <c r="L203" s="25" t="inlineStr">
        <is>
          <t>IA-PPWR-DOC-ST-072-STD-24-R00</t>
        </is>
      </c>
      <c r="M203" s="25" t="inlineStr">
        <is>
          <t>IA-PPWR-LBL-ST-072-STD-24-R00</t>
        </is>
      </c>
      <c r="N203" s="25" t="inlineStr">
        <is>
          <t>IA-PPWR-STM-ST-072-STD-24-R00</t>
        </is>
      </c>
    </row>
    <row r="204">
      <c r="A204" s="25" t="inlineStr">
        <is>
          <t>ST-072-STD-25</t>
        </is>
      </c>
      <c r="B204" s="25" t="inlineStr">
        <is>
          <t>IA-ST-072-STD-25</t>
        </is>
      </c>
      <c r="C204" s="25" t="inlineStr">
        <is>
          <t>IA-ST-CFG-0234</t>
        </is>
      </c>
      <c r="D204" s="25" t="inlineStr">
        <is>
          <t>STARTER</t>
        </is>
      </c>
      <c r="E204" s="25" t="inlineStr">
        <is>
          <t>LB4 | Palet (4000037): 1 adet | Shrink film (4001177): 0.597 kg</t>
        </is>
      </c>
      <c r="F204" s="25" t="inlineStr">
        <is>
          <t>LB4 | Palet (4000037): 1 adet | Shrink film (4001177): 0.597 kg</t>
        </is>
      </c>
      <c r="G204" s="25" t="inlineStr">
        <is>
          <t>LB4 | Pallet (4000037): 1 pc | Shrink film (4001177): 0.597 kg</t>
        </is>
      </c>
      <c r="H204" s="25" t="n">
        <v>28.887</v>
      </c>
      <c r="I204" s="25" t="n">
        <v>1</v>
      </c>
      <c r="J204" s="25" t="n">
        <v>6</v>
      </c>
      <c r="K204" s="25" t="inlineStr">
        <is>
          <t>IA-PPWR-TF-ST-072-STD-25-R00</t>
        </is>
      </c>
      <c r="L204" s="25" t="inlineStr">
        <is>
          <t>IA-PPWR-DOC-ST-072-STD-25-R00</t>
        </is>
      </c>
      <c r="M204" s="25" t="inlineStr">
        <is>
          <t>IA-PPWR-LBL-ST-072-STD-25-R00</t>
        </is>
      </c>
      <c r="N204" s="25" t="inlineStr">
        <is>
          <t>IA-PPWR-STM-ST-072-STD-25-R00</t>
        </is>
      </c>
    </row>
    <row r="205">
      <c r="A205" s="25" t="inlineStr">
        <is>
          <t>ST-076-EUR-01</t>
        </is>
      </c>
      <c r="B205" s="25" t="inlineStr">
        <is>
          <t>IA-ST-076-EUR-01</t>
        </is>
      </c>
      <c r="C205" s="25" t="inlineStr">
        <is>
          <t>IA-ST-CFG-0238</t>
        </is>
      </c>
      <c r="D205" s="25" t="inlineStr">
        <is>
          <t>STARTER</t>
        </is>
      </c>
      <c r="E205" s="25" t="inlineStr">
        <is>
          <t>L2 | L2 İnci AGM LEO 60AH 680A pencereli dış koli (4001340): 76 adet</t>
        </is>
      </c>
      <c r="F205" s="25" t="inlineStr">
        <is>
          <t>L2 | L2 İnci AGM LEO 60AH 680A pencereli dış koli (4001340): 76 adet</t>
        </is>
      </c>
      <c r="G205" s="25" t="inlineStr">
        <is>
          <t>L2 | L2 İnci AGM LEO 60AH 680A windowed outer carton (4001340): 76 pcs</t>
        </is>
      </c>
      <c r="H205" s="25" t="n">
        <v>47.226</v>
      </c>
      <c r="I205" s="25" t="n">
        <v>1</v>
      </c>
      <c r="J205" s="25" t="n">
        <v>7</v>
      </c>
      <c r="K205" s="25" t="inlineStr">
        <is>
          <t>IA-PPWR-TF-ST-076-EUR-01-R00</t>
        </is>
      </c>
      <c r="L205" s="25" t="inlineStr">
        <is>
          <t>IA-PPWR-DOC-ST-076-EUR-01-R00</t>
        </is>
      </c>
      <c r="M205" s="25" t="inlineStr">
        <is>
          <t>IA-PPWR-LBL-ST-076-EUR-01-R00</t>
        </is>
      </c>
      <c r="N205" s="25" t="inlineStr">
        <is>
          <t>IA-PPWR-STM-ST-076-EUR-01-R00</t>
        </is>
      </c>
    </row>
    <row r="206">
      <c r="A206" s="25" t="inlineStr">
        <is>
          <t>ST-076-EUR-02</t>
        </is>
      </c>
      <c r="B206" s="25" t="inlineStr">
        <is>
          <t>IA-ST-076-EUR-02</t>
        </is>
      </c>
      <c r="C206" s="25" t="inlineStr">
        <is>
          <t>IA-ST-CFG-0239</t>
        </is>
      </c>
      <c r="D206" s="25" t="inlineStr">
        <is>
          <t>STARTER</t>
        </is>
      </c>
      <c r="E206" s="25" t="inlineStr">
        <is>
          <t>L2, LB2 | Palet (4000038): 1 adet | Köşebent (4000590): 4 adet</t>
        </is>
      </c>
      <c r="F206" s="25" t="inlineStr">
        <is>
          <t>L2, LB2 | Palet (4000038): 1 adet | Köşebent (4000590): 4 adet</t>
        </is>
      </c>
      <c r="G206" s="25" t="inlineStr">
        <is>
          <t>L2, LB2 | Pallet (4000038): 1 pc | Edge protector (4000590): 4 pcs</t>
        </is>
      </c>
      <c r="H206" s="25" t="n">
        <v>28.126</v>
      </c>
      <c r="I206" s="25" t="n">
        <v>9</v>
      </c>
      <c r="J206" s="25" t="n">
        <v>6</v>
      </c>
      <c r="K206" s="25" t="inlineStr">
        <is>
          <t>IA-PPWR-TF-ST-076-EUR-02-R00</t>
        </is>
      </c>
      <c r="L206" s="25" t="inlineStr">
        <is>
          <t>IA-PPWR-DOC-ST-076-EUR-02-R00</t>
        </is>
      </c>
      <c r="M206" s="25" t="inlineStr">
        <is>
          <t>IA-PPWR-LBL-ST-076-EUR-02-R00</t>
        </is>
      </c>
      <c r="N206" s="25" t="inlineStr">
        <is>
          <t>IA-PPWR-STM-ST-076-EUR-02-R00</t>
        </is>
      </c>
    </row>
    <row r="207">
      <c r="A207" s="25" t="inlineStr">
        <is>
          <t>ST-076-EUR-03</t>
        </is>
      </c>
      <c r="B207" s="25" t="inlineStr">
        <is>
          <t>IA-ST-076-EUR-03</t>
        </is>
      </c>
      <c r="C207" s="25" t="inlineStr">
        <is>
          <t>IA-ST-CFG-0240</t>
        </is>
      </c>
      <c r="D207" s="25" t="inlineStr">
        <is>
          <t>STARTER</t>
        </is>
      </c>
      <c r="E207" s="25" t="inlineStr">
        <is>
          <t>L2, LB2 | Palet (4000038): 1 adet | Shrink film (4000558): 2.888 kg</t>
        </is>
      </c>
      <c r="F207" s="25" t="inlineStr">
        <is>
          <t>L2, LB2 | Palet (4000038): 1 adet | Shrink film (4000558): 2.888 kg</t>
        </is>
      </c>
      <c r="G207" s="25" t="inlineStr">
        <is>
          <t>L2, LB2 | Pallet (4000038): 1 pc | Shrink film (4000558): 2.888 kg</t>
        </is>
      </c>
      <c r="H207" s="25" t="n">
        <v>30.7272</v>
      </c>
      <c r="I207" s="25" t="n">
        <v>36</v>
      </c>
      <c r="J207" s="25" t="n">
        <v>7</v>
      </c>
      <c r="K207" s="25" t="inlineStr">
        <is>
          <t>IA-PPWR-TF-ST-076-EUR-03-R00</t>
        </is>
      </c>
      <c r="L207" s="25" t="inlineStr">
        <is>
          <t>IA-PPWR-DOC-ST-076-EUR-03-R00</t>
        </is>
      </c>
      <c r="M207" s="25" t="inlineStr">
        <is>
          <t>IA-PPWR-LBL-ST-076-EUR-03-R00</t>
        </is>
      </c>
      <c r="N207" s="25" t="inlineStr">
        <is>
          <t>IA-PPWR-STM-ST-076-EUR-03-R00</t>
        </is>
      </c>
    </row>
    <row r="208">
      <c r="A208" s="25" t="inlineStr">
        <is>
          <t>ST-076-EUR-04</t>
        </is>
      </c>
      <c r="B208" s="25" t="inlineStr">
        <is>
          <t>IA-ST-076-EUR-04</t>
        </is>
      </c>
      <c r="C208" s="25" t="inlineStr">
        <is>
          <t>IA-ST-CFG-0241</t>
        </is>
      </c>
      <c r="D208" s="25" t="inlineStr">
        <is>
          <t>STARTER</t>
        </is>
      </c>
      <c r="E208" s="25" t="inlineStr">
        <is>
          <t>LB2, L2 | Palet (4000038): 1 adet | Köşebent (4000590): 2 adet</t>
        </is>
      </c>
      <c r="F208" s="25" t="inlineStr">
        <is>
          <t>LB2, L2 | Palet (4000038): 1 adet | Köşebent (4000590): 2 adet</t>
        </is>
      </c>
      <c r="G208" s="25" t="inlineStr">
        <is>
          <t>LB2, L2 | Pallet (4000038): 1 pc | Edge protector (4000590): 2 pcs</t>
        </is>
      </c>
      <c r="H208" s="25" t="n">
        <v>27.8392</v>
      </c>
      <c r="I208" s="25" t="n">
        <v>5</v>
      </c>
      <c r="J208" s="25" t="n">
        <v>6</v>
      </c>
      <c r="K208" s="25" t="inlineStr">
        <is>
          <t>IA-PPWR-TF-ST-076-EUR-04-R00</t>
        </is>
      </c>
      <c r="L208" s="25" t="inlineStr">
        <is>
          <t>IA-PPWR-DOC-ST-076-EUR-04-R00</t>
        </is>
      </c>
      <c r="M208" s="25" t="inlineStr">
        <is>
          <t>IA-PPWR-LBL-ST-076-EUR-04-R00</t>
        </is>
      </c>
      <c r="N208" s="25" t="inlineStr">
        <is>
          <t>IA-PPWR-STM-ST-076-EUR-04-R00</t>
        </is>
      </c>
    </row>
    <row r="209">
      <c r="A209" s="25" t="inlineStr">
        <is>
          <t>ST-080-EUR-01</t>
        </is>
      </c>
      <c r="B209" s="25" t="inlineStr">
        <is>
          <t>IA-ST-080-EUR-01</t>
        </is>
      </c>
      <c r="C209" s="25" t="inlineStr">
        <is>
          <t>IA-ST-CFG-0243</t>
        </is>
      </c>
      <c r="D209" s="25" t="inlineStr">
        <is>
          <t>STARTER</t>
        </is>
      </c>
      <c r="E209" s="25" t="inlineStr">
        <is>
          <t>L1 | L1 İnci AGM LEO 50AH 560A pencereli dış koli (4001393): 80 adet</t>
        </is>
      </c>
      <c r="F209" s="25" t="inlineStr">
        <is>
          <t>L1 | L1 İnci AGM LEO 50AH 560A pencereli dış koli (4001393): 80 adet</t>
        </is>
      </c>
      <c r="G209" s="25" t="inlineStr">
        <is>
          <t>L1 | L1 İnci AGM LEO 50AH 560A windowed outer carton (4001393): 80 pcs</t>
        </is>
      </c>
      <c r="H209" s="25" t="n">
        <v>48.606</v>
      </c>
      <c r="I209" s="25" t="n">
        <v>1</v>
      </c>
      <c r="J209" s="25" t="n">
        <v>7</v>
      </c>
      <c r="K209" s="25" t="inlineStr">
        <is>
          <t>IA-PPWR-TF-ST-080-EUR-01-R00</t>
        </is>
      </c>
      <c r="L209" s="25" t="inlineStr">
        <is>
          <t>IA-PPWR-DOC-ST-080-EUR-01-R00</t>
        </is>
      </c>
      <c r="M209" s="25" t="inlineStr">
        <is>
          <t>IA-PPWR-LBL-ST-080-EUR-01-R00</t>
        </is>
      </c>
      <c r="N209" s="25" t="inlineStr">
        <is>
          <t>IA-PPWR-STM-ST-080-EUR-01-R00</t>
        </is>
      </c>
    </row>
    <row r="210">
      <c r="A210" s="25" t="inlineStr">
        <is>
          <t>ST-081-EUR-01</t>
        </is>
      </c>
      <c r="B210" s="25" t="inlineStr">
        <is>
          <t>IA-ST-081-EUR-01</t>
        </is>
      </c>
      <c r="C210" s="25" t="inlineStr">
        <is>
          <t>IA-ST-CFG-0245</t>
        </is>
      </c>
      <c r="D210" s="25" t="inlineStr">
        <is>
          <t>STARTER</t>
        </is>
      </c>
      <c r="E210" s="25" t="inlineStr">
        <is>
          <t>NS60 | Palet (4000038): 1 adet | Honeycomb (4001186): 3 adet</t>
        </is>
      </c>
      <c r="F210" s="25" t="inlineStr">
        <is>
          <t>NS60 | Palet (4000038): 1 adet | Honeycomb (4001186): 3 adet</t>
        </is>
      </c>
      <c r="G210" s="25" t="inlineStr">
        <is>
          <t>NS60 | Pallet (4000038): 1 pc | Honeycomb (4001186): 3 pcs</t>
        </is>
      </c>
      <c r="H210" s="25" t="n">
        <v>30.326</v>
      </c>
      <c r="I210" s="25" t="n">
        <v>1</v>
      </c>
      <c r="J210" s="25" t="n">
        <v>7</v>
      </c>
      <c r="K210" s="25" t="inlineStr">
        <is>
          <t>IA-PPWR-TF-ST-081-EUR-01-R00</t>
        </is>
      </c>
      <c r="L210" s="25" t="inlineStr">
        <is>
          <t>IA-PPWR-DOC-ST-081-EUR-01-R00</t>
        </is>
      </c>
      <c r="M210" s="25" t="inlineStr">
        <is>
          <t>IA-PPWR-LBL-ST-081-EUR-01-R00</t>
        </is>
      </c>
      <c r="N210" s="25" t="inlineStr">
        <is>
          <t>IA-PPWR-STM-ST-081-EUR-01-R00</t>
        </is>
      </c>
    </row>
    <row r="211">
      <c r="A211" s="25" t="inlineStr">
        <is>
          <t>ST-087-EUR-01</t>
        </is>
      </c>
      <c r="B211" s="25" t="inlineStr">
        <is>
          <t>IA-ST-087-EUR-01</t>
        </is>
      </c>
      <c r="C211" s="25" t="inlineStr">
        <is>
          <t>IA-ST-CFG-0253</t>
        </is>
      </c>
      <c r="D211" s="25" t="inlineStr">
        <is>
          <t>STARTER</t>
        </is>
      </c>
      <c r="E211" s="25" t="inlineStr">
        <is>
          <t>NS40 | NS40 PVC üst kapak (4000601): 87 adet</t>
        </is>
      </c>
      <c r="F211" s="25" t="inlineStr">
        <is>
          <t>NS40 | NS40 PVC üst kapak (4000601): 87 adet</t>
        </is>
      </c>
      <c r="G211" s="25" t="inlineStr">
        <is>
          <t>NS40 | NS40 PVC upper cover (4000601): 87 pcs</t>
        </is>
      </c>
      <c r="H211" s="25" t="n">
        <v>33.11851</v>
      </c>
      <c r="I211" s="25" t="n">
        <v>3</v>
      </c>
      <c r="J211" s="25" t="n">
        <v>8</v>
      </c>
      <c r="K211" s="25" t="inlineStr">
        <is>
          <t>IA-PPWR-TF-ST-087-EUR-01-R00</t>
        </is>
      </c>
      <c r="L211" s="25" t="inlineStr">
        <is>
          <t>IA-PPWR-DOC-ST-087-EUR-01-R00</t>
        </is>
      </c>
      <c r="M211" s="25" t="inlineStr">
        <is>
          <t>IA-PPWR-LBL-ST-087-EUR-01-R00</t>
        </is>
      </c>
      <c r="N211" s="25" t="inlineStr">
        <is>
          <t>IA-PPWR-STM-ST-087-EUR-01-R00</t>
        </is>
      </c>
    </row>
    <row r="212">
      <c r="A212" s="25" t="inlineStr">
        <is>
          <t>ST-087-STD-01</t>
        </is>
      </c>
      <c r="B212" s="25" t="inlineStr">
        <is>
          <t>IA-ST-087-STD-01</t>
        </is>
      </c>
      <c r="C212" s="25" t="inlineStr">
        <is>
          <t>IA-ST-CFG-0246</t>
        </is>
      </c>
      <c r="D212" s="25" t="inlineStr">
        <is>
          <t>STARTER</t>
        </is>
      </c>
      <c r="E212" s="25" t="inlineStr">
        <is>
          <t>L1 | Palet (4000037): 1 adet | Köşebent (4000033): 2 adet</t>
        </is>
      </c>
      <c r="F212" s="25" t="inlineStr">
        <is>
          <t>L1 | Palet (4000037): 1 adet | Köşebent (4000033): 2 adet</t>
        </is>
      </c>
      <c r="G212" s="25" t="inlineStr">
        <is>
          <t>L1 | Pallet (4000037): 1 pc | Edge protector (4000033): 2 pcs</t>
        </is>
      </c>
      <c r="H212" s="25" t="n">
        <v>28.1392</v>
      </c>
      <c r="I212" s="25" t="n">
        <v>2</v>
      </c>
      <c r="J212" s="25" t="n">
        <v>6</v>
      </c>
      <c r="K212" s="25" t="inlineStr">
        <is>
          <t>IA-PPWR-TF-ST-087-STD-01-R00</t>
        </is>
      </c>
      <c r="L212" s="25" t="inlineStr">
        <is>
          <t>IA-PPWR-DOC-ST-087-STD-01-R00</t>
        </is>
      </c>
      <c r="M212" s="25" t="inlineStr">
        <is>
          <t>IA-PPWR-LBL-ST-087-STD-01-R00</t>
        </is>
      </c>
      <c r="N212" s="25" t="inlineStr">
        <is>
          <t>IA-PPWR-STM-ST-087-STD-01-R00</t>
        </is>
      </c>
    </row>
    <row r="213">
      <c r="A213" s="25" t="inlineStr">
        <is>
          <t>ST-087-STD-02</t>
        </is>
      </c>
      <c r="B213" s="25" t="inlineStr">
        <is>
          <t>IA-ST-087-STD-02</t>
        </is>
      </c>
      <c r="C213" s="25" t="inlineStr">
        <is>
          <t>IA-ST-CFG-0247</t>
        </is>
      </c>
      <c r="D213" s="25" t="inlineStr">
        <is>
          <t>STARTER</t>
        </is>
      </c>
      <c r="E213" s="25" t="inlineStr">
        <is>
          <t>LB1 | Palet (4000037): 1 adet | Köşebent (4000033): 2 adet</t>
        </is>
      </c>
      <c r="F213" s="25" t="inlineStr">
        <is>
          <t>LB1 | Palet (4000037): 1 adet | Köşebent (4000033): 2 adet</t>
        </is>
      </c>
      <c r="G213" s="25" t="inlineStr">
        <is>
          <t>LB1 | Pallet (4000037): 1 pc | Edge protector (4000033): 2 pcs</t>
        </is>
      </c>
      <c r="H213" s="25" t="n">
        <v>30.4892</v>
      </c>
      <c r="I213" s="25" t="n">
        <v>12</v>
      </c>
      <c r="J213" s="25" t="n">
        <v>7</v>
      </c>
      <c r="K213" s="25" t="inlineStr">
        <is>
          <t>IA-PPWR-TF-ST-087-STD-02-R00</t>
        </is>
      </c>
      <c r="L213" s="25" t="inlineStr">
        <is>
          <t>IA-PPWR-DOC-ST-087-STD-02-R00</t>
        </is>
      </c>
      <c r="M213" s="25" t="inlineStr">
        <is>
          <t>IA-PPWR-LBL-ST-087-STD-02-R00</t>
        </is>
      </c>
      <c r="N213" s="25" t="inlineStr">
        <is>
          <t>IA-PPWR-STM-ST-087-STD-02-R00</t>
        </is>
      </c>
    </row>
    <row r="214">
      <c r="A214" s="25" t="inlineStr">
        <is>
          <t>ST-087-STD-03</t>
        </is>
      </c>
      <c r="B214" s="25" t="inlineStr">
        <is>
          <t>IA-ST-087-STD-03</t>
        </is>
      </c>
      <c r="C214" s="25" t="inlineStr">
        <is>
          <t>IA-ST-CFG-0248</t>
        </is>
      </c>
      <c r="D214" s="25" t="inlineStr">
        <is>
          <t>STARTER</t>
        </is>
      </c>
      <c r="E214" s="25" t="inlineStr">
        <is>
          <t>L1, LB1 | Palet (4000037): 1 adet | Köşebent (4000033): 2 adet</t>
        </is>
      </c>
      <c r="F214" s="25" t="inlineStr">
        <is>
          <t>L1, LB1 | Palet (4000037): 1 adet | Köşebent (4000033): 2 adet</t>
        </is>
      </c>
      <c r="G214" s="25" t="inlineStr">
        <is>
          <t>L1, LB1 | Pallet (4000037): 1 pc | Edge protector (4000033): 2 pcs</t>
        </is>
      </c>
      <c r="H214" s="25" t="n">
        <v>31.0092</v>
      </c>
      <c r="I214" s="25" t="n">
        <v>27</v>
      </c>
      <c r="J214" s="25" t="n">
        <v>7</v>
      </c>
      <c r="K214" s="25" t="inlineStr">
        <is>
          <t>IA-PPWR-TF-ST-087-STD-03-R00</t>
        </is>
      </c>
      <c r="L214" s="25" t="inlineStr">
        <is>
          <t>IA-PPWR-DOC-ST-087-STD-03-R00</t>
        </is>
      </c>
      <c r="M214" s="25" t="inlineStr">
        <is>
          <t>IA-PPWR-LBL-ST-087-STD-03-R00</t>
        </is>
      </c>
      <c r="N214" s="25" t="inlineStr">
        <is>
          <t>IA-PPWR-STM-ST-087-STD-03-R00</t>
        </is>
      </c>
    </row>
    <row r="215">
      <c r="A215" s="25" t="inlineStr">
        <is>
          <t>ST-087-STD-04</t>
        </is>
      </c>
      <c r="B215" s="25" t="inlineStr">
        <is>
          <t>IA-ST-087-STD-04</t>
        </is>
      </c>
      <c r="C215" s="25" t="inlineStr">
        <is>
          <t>IA-ST-CFG-0249</t>
        </is>
      </c>
      <c r="D215" s="25" t="inlineStr">
        <is>
          <t>STARTER</t>
        </is>
      </c>
      <c r="E215" s="25" t="inlineStr">
        <is>
          <t>LB1, L1 | Palet (4000037): 1 adet | Shrink film (4001177): 0.597 kg</t>
        </is>
      </c>
      <c r="F215" s="25" t="inlineStr">
        <is>
          <t>LB1, L1 | Palet (4000037): 1 adet | Shrink film (4001177): 0.597 kg</t>
        </is>
      </c>
      <c r="G215" s="25" t="inlineStr">
        <is>
          <t>LB1, L1 | Pallet (4000037): 1 pc | Shrink film (4001177): 0.597 kg</t>
        </is>
      </c>
      <c r="H215" s="25" t="n">
        <v>29.057</v>
      </c>
      <c r="I215" s="25" t="n">
        <v>5</v>
      </c>
      <c r="J215" s="25" t="n">
        <v>6</v>
      </c>
      <c r="K215" s="25" t="inlineStr">
        <is>
          <t>IA-PPWR-TF-ST-087-STD-04-R00</t>
        </is>
      </c>
      <c r="L215" s="25" t="inlineStr">
        <is>
          <t>IA-PPWR-DOC-ST-087-STD-04-R00</t>
        </is>
      </c>
      <c r="M215" s="25" t="inlineStr">
        <is>
          <t>IA-PPWR-LBL-ST-087-STD-04-R00</t>
        </is>
      </c>
      <c r="N215" s="25" t="inlineStr">
        <is>
          <t>IA-PPWR-STM-ST-087-STD-04-R00</t>
        </is>
      </c>
    </row>
    <row r="216">
      <c r="A216" s="25" t="inlineStr">
        <is>
          <t>ST-087-STD-05</t>
        </is>
      </c>
      <c r="B216" s="25" t="inlineStr">
        <is>
          <t>IA-ST-087-STD-05</t>
        </is>
      </c>
      <c r="C216" s="25" t="inlineStr">
        <is>
          <t>IA-ST-CFG-0250</t>
        </is>
      </c>
      <c r="D216" s="25" t="inlineStr">
        <is>
          <t>STARTER</t>
        </is>
      </c>
      <c r="E216" s="25" t="inlineStr">
        <is>
          <t>NS60 | NS60 EAS Activa penceresiz dış koli (4000631): 87 adet</t>
        </is>
      </c>
      <c r="F216" s="25" t="inlineStr">
        <is>
          <t>NS60 | NS60 EAS Activa penceresiz dış koli (4000631): 87 adet</t>
        </is>
      </c>
      <c r="G216" s="25" t="inlineStr">
        <is>
          <t>NS60 | NS60 EAS Activa windowless outer carton (4000631): 87 pcs</t>
        </is>
      </c>
      <c r="H216" s="25" t="n">
        <v>49.6589</v>
      </c>
      <c r="I216" s="25" t="n">
        <v>1</v>
      </c>
      <c r="J216" s="25" t="n">
        <v>8</v>
      </c>
      <c r="K216" s="25" t="inlineStr">
        <is>
          <t>IA-PPWR-TF-ST-087-STD-05-R00</t>
        </is>
      </c>
      <c r="L216" s="25" t="inlineStr">
        <is>
          <t>IA-PPWR-DOC-ST-087-STD-05-R00</t>
        </is>
      </c>
      <c r="M216" s="25" t="inlineStr">
        <is>
          <t>IA-PPWR-LBL-ST-087-STD-05-R00</t>
        </is>
      </c>
      <c r="N216" s="25" t="inlineStr">
        <is>
          <t>IA-PPWR-STM-ST-087-STD-05-R00</t>
        </is>
      </c>
    </row>
    <row r="217">
      <c r="A217" s="25" t="inlineStr">
        <is>
          <t>ST-087-STD-06</t>
        </is>
      </c>
      <c r="B217" s="25" t="inlineStr">
        <is>
          <t>IA-ST-087-STD-06</t>
        </is>
      </c>
      <c r="C217" s="25" t="inlineStr">
        <is>
          <t>IA-ST-CFG-0251</t>
        </is>
      </c>
      <c r="D217" s="25" t="inlineStr">
        <is>
          <t>STARTER</t>
        </is>
      </c>
      <c r="E217" s="25" t="inlineStr">
        <is>
          <t>LB1 | Palet (4000037): 1 adet | Köşebent (4000033): kullanılmaz</t>
        </is>
      </c>
      <c r="F217" s="25" t="inlineStr">
        <is>
          <t>LB1 | Palet (4000037): 1 adet | Köşebent (4000033): kullanılmaz</t>
        </is>
      </c>
      <c r="G217" s="25" t="inlineStr">
        <is>
          <t>LB1 | Pallet (4000037): 1 pc | Edge protector (4000033): not used</t>
        </is>
      </c>
      <c r="H217" s="25" t="n">
        <v>29.9824</v>
      </c>
      <c r="I217" s="25" t="n">
        <v>4</v>
      </c>
      <c r="J217" s="25" t="n">
        <v>5</v>
      </c>
      <c r="K217" s="25" t="inlineStr">
        <is>
          <t>IA-PPWR-TF-ST-087-STD-06-R00</t>
        </is>
      </c>
      <c r="L217" s="25" t="inlineStr">
        <is>
          <t>IA-PPWR-DOC-ST-087-STD-06-R00</t>
        </is>
      </c>
      <c r="M217" s="25" t="inlineStr">
        <is>
          <t>IA-PPWR-LBL-ST-087-STD-06-R00</t>
        </is>
      </c>
      <c r="N217" s="25" t="inlineStr">
        <is>
          <t>IA-PPWR-STM-ST-087-STD-06-R00</t>
        </is>
      </c>
    </row>
    <row r="218">
      <c r="A218" s="25" t="inlineStr">
        <is>
          <t>ST-087-STD-07</t>
        </is>
      </c>
      <c r="B218" s="25" t="inlineStr">
        <is>
          <t>IA-ST-087-STD-07</t>
        </is>
      </c>
      <c r="C218" s="25" t="inlineStr">
        <is>
          <t>IA-ST-CFG-0252</t>
        </is>
      </c>
      <c r="D218" s="25" t="inlineStr">
        <is>
          <t>STARTER</t>
        </is>
      </c>
      <c r="E218" s="25" t="inlineStr">
        <is>
          <t>L1, LB1 | Palet (4000037): 1 adet | Köşebent (4000033): kullanılmaz</t>
        </is>
      </c>
      <c r="F218" s="25" t="inlineStr">
        <is>
          <t>L1, LB1 | Palet (4000037): 1 adet | Köşebent (4000033): kullanılmaz</t>
        </is>
      </c>
      <c r="G218" s="25" t="inlineStr">
        <is>
          <t>L1, LB1 | Pallet (4000037): 1 pc | Edge protector (4000033): not used</t>
        </is>
      </c>
      <c r="H218" s="25" t="n">
        <v>30.5024</v>
      </c>
      <c r="I218" s="25" t="n">
        <v>2</v>
      </c>
      <c r="J218" s="25" t="n">
        <v>5</v>
      </c>
      <c r="K218" s="25" t="inlineStr">
        <is>
          <t>IA-PPWR-TF-ST-087-STD-07-R00</t>
        </is>
      </c>
      <c r="L218" s="25" t="inlineStr">
        <is>
          <t>IA-PPWR-DOC-ST-087-STD-07-R00</t>
        </is>
      </c>
      <c r="M218" s="25" t="inlineStr">
        <is>
          <t>IA-PPWR-LBL-ST-087-STD-07-R00</t>
        </is>
      </c>
      <c r="N218" s="25" t="inlineStr">
        <is>
          <t>IA-PPWR-STM-ST-087-STD-07-R00</t>
        </is>
      </c>
    </row>
    <row r="219">
      <c r="A219" s="25" t="inlineStr">
        <is>
          <t>ST-088-STD-01</t>
        </is>
      </c>
      <c r="B219" s="25" t="inlineStr">
        <is>
          <t>IA-ST-088-STD-01</t>
        </is>
      </c>
      <c r="C219" s="25" t="inlineStr">
        <is>
          <t>IA-ST-CFG-0254</t>
        </is>
      </c>
      <c r="D219" s="25" t="inlineStr">
        <is>
          <t>STARTER</t>
        </is>
      </c>
      <c r="E219" s="25" t="inlineStr">
        <is>
          <t>L2 | L2 EAS Activa penceresiz dış koli (4000644): 88 adet</t>
        </is>
      </c>
      <c r="F219" s="25" t="inlineStr">
        <is>
          <t>L2 | L2 EAS Activa penceresiz dış koli (4000644): 88 adet</t>
        </is>
      </c>
      <c r="G219" s="25" t="inlineStr">
        <is>
          <t>L2 | L2 EAS Activa windowless outer carton (4000644): 88 pcs</t>
        </is>
      </c>
      <c r="H219" s="25" t="n">
        <v>50.456</v>
      </c>
      <c r="I219" s="25" t="n">
        <v>3</v>
      </c>
      <c r="J219" s="25" t="n">
        <v>7</v>
      </c>
      <c r="K219" s="25" t="inlineStr">
        <is>
          <t>IA-PPWR-TF-ST-088-STD-01-R00</t>
        </is>
      </c>
      <c r="L219" s="25" t="inlineStr">
        <is>
          <t>IA-PPWR-DOC-ST-088-STD-01-R00</t>
        </is>
      </c>
      <c r="M219" s="25" t="inlineStr">
        <is>
          <t>IA-PPWR-LBL-ST-088-STD-01-R00</t>
        </is>
      </c>
      <c r="N219" s="25" t="inlineStr">
        <is>
          <t>IA-PPWR-STM-ST-088-STD-01-R00</t>
        </is>
      </c>
    </row>
    <row r="220">
      <c r="A220" s="25" t="inlineStr">
        <is>
          <t>ST-088-STD-02</t>
        </is>
      </c>
      <c r="B220" s="25" t="inlineStr">
        <is>
          <t>IA-ST-088-STD-02</t>
        </is>
      </c>
      <c r="C220" s="25" t="inlineStr">
        <is>
          <t>IA-ST-CFG-0255</t>
        </is>
      </c>
      <c r="D220" s="25" t="inlineStr">
        <is>
          <t>STARTER</t>
        </is>
      </c>
      <c r="E220" s="25" t="inlineStr">
        <is>
          <t>L2 | L2 YUASA penceresiz Orta Doğu dış koli (4001102): 88 adet</t>
        </is>
      </c>
      <c r="F220" s="25" t="inlineStr">
        <is>
          <t>L2 | L2 YUASA penceresiz Orta Doğu dış koli (4001102): 88 adet</t>
        </is>
      </c>
      <c r="G220" s="25" t="inlineStr">
        <is>
          <t>L2 | L2 YUASA windowless Middle East outer carton (4001102): 88 pcs</t>
        </is>
      </c>
      <c r="H220" s="25" t="n">
        <v>50.456</v>
      </c>
      <c r="I220" s="25" t="n">
        <v>2</v>
      </c>
      <c r="J220" s="25" t="n">
        <v>7</v>
      </c>
      <c r="K220" s="25" t="inlineStr">
        <is>
          <t>IA-PPWR-TF-ST-088-STD-02-R00</t>
        </is>
      </c>
      <c r="L220" s="25" t="inlineStr">
        <is>
          <t>IA-PPWR-DOC-ST-088-STD-02-R00</t>
        </is>
      </c>
      <c r="M220" s="25" t="inlineStr">
        <is>
          <t>IA-PPWR-LBL-ST-088-STD-02-R00</t>
        </is>
      </c>
      <c r="N220" s="25" t="inlineStr">
        <is>
          <t>IA-PPWR-STM-ST-088-STD-02-R00</t>
        </is>
      </c>
    </row>
    <row r="221">
      <c r="A221" s="25" t="inlineStr">
        <is>
          <t>ST-088-STD-03</t>
        </is>
      </c>
      <c r="B221" s="25" t="inlineStr">
        <is>
          <t>IA-ST-088-STD-03</t>
        </is>
      </c>
      <c r="C221" s="25" t="inlineStr">
        <is>
          <t>IA-ST-CFG-0256</t>
        </is>
      </c>
      <c r="D221" s="25" t="inlineStr">
        <is>
          <t>STARTER</t>
        </is>
      </c>
      <c r="E221" s="25" t="inlineStr">
        <is>
          <t>L2 | L2 İnci EFB MAX TIGRIS pencereli 2020 dış koli (4001272): 88 adet</t>
        </is>
      </c>
      <c r="F221" s="25" t="inlineStr">
        <is>
          <t>L2 | L2 İnci EFB MAX TIGRIS pencereli 2020 dış koli (4001272): 88 adet</t>
        </is>
      </c>
      <c r="G221" s="25" t="inlineStr">
        <is>
          <t>L2 | L2 İnci EFB MAX TIGRIS windowed 2020 outer carton (4001272): 88 pcs</t>
        </is>
      </c>
      <c r="H221" s="25" t="n">
        <v>50.456</v>
      </c>
      <c r="I221" s="25" t="n">
        <v>1</v>
      </c>
      <c r="J221" s="25" t="n">
        <v>7</v>
      </c>
      <c r="K221" s="25" t="inlineStr">
        <is>
          <t>IA-PPWR-TF-ST-088-STD-03-R00</t>
        </is>
      </c>
      <c r="L221" s="25" t="inlineStr">
        <is>
          <t>IA-PPWR-DOC-ST-088-STD-03-R00</t>
        </is>
      </c>
      <c r="M221" s="25" t="inlineStr">
        <is>
          <t>IA-PPWR-LBL-ST-088-STD-03-R00</t>
        </is>
      </c>
      <c r="N221" s="25" t="inlineStr">
        <is>
          <t>IA-PPWR-STM-ST-088-STD-03-R00</t>
        </is>
      </c>
    </row>
    <row r="222">
      <c r="A222" s="25" t="inlineStr">
        <is>
          <t>ST-088-STD-04</t>
        </is>
      </c>
      <c r="B222" s="25" t="inlineStr">
        <is>
          <t>IA-ST-088-STD-04</t>
        </is>
      </c>
      <c r="C222" s="25" t="inlineStr">
        <is>
          <t>IA-ST-CFG-0257</t>
        </is>
      </c>
      <c r="D222" s="25" t="inlineStr">
        <is>
          <t>STARTER</t>
        </is>
      </c>
      <c r="E222" s="25" t="inlineStr">
        <is>
          <t>L2 | L2 İnci EFB PANTERA pencereli DL dış koli (4001317): 88 adet</t>
        </is>
      </c>
      <c r="F222" s="25" t="inlineStr">
        <is>
          <t>L2 | L2 İnci EFB PANTERA pencereli DL dış koli (4001317): 88 adet</t>
        </is>
      </c>
      <c r="G222" s="25" t="inlineStr">
        <is>
          <t>L2 | L2 İnci EFB PANTERA windowed DL outer carton (4001317): 88 pcs</t>
        </is>
      </c>
      <c r="H222" s="25" t="n">
        <v>50.456</v>
      </c>
      <c r="I222" s="25" t="n">
        <v>1</v>
      </c>
      <c r="J222" s="25" t="n">
        <v>7</v>
      </c>
      <c r="K222" s="25" t="inlineStr">
        <is>
          <t>IA-PPWR-TF-ST-088-STD-04-R00</t>
        </is>
      </c>
      <c r="L222" s="25" t="inlineStr">
        <is>
          <t>IA-PPWR-DOC-ST-088-STD-04-R00</t>
        </is>
      </c>
      <c r="M222" s="25" t="inlineStr">
        <is>
          <t>IA-PPWR-LBL-ST-088-STD-04-R00</t>
        </is>
      </c>
      <c r="N222" s="25" t="inlineStr">
        <is>
          <t>IA-PPWR-STM-ST-088-STD-04-R00</t>
        </is>
      </c>
    </row>
    <row r="223">
      <c r="A223" s="25" t="inlineStr">
        <is>
          <t>ST-088-STD-05</t>
        </is>
      </c>
      <c r="B223" s="25" t="inlineStr">
        <is>
          <t>IA-ST-088-STD-05</t>
        </is>
      </c>
      <c r="C223" s="25" t="inlineStr">
        <is>
          <t>IA-ST-CFG-0258</t>
        </is>
      </c>
      <c r="D223" s="25" t="inlineStr">
        <is>
          <t>STARTER</t>
        </is>
      </c>
      <c r="E223" s="25" t="inlineStr">
        <is>
          <t>L2 | L2 EAS EFB MAX pencereli 2024 dış koli (4001410): 88 adet</t>
        </is>
      </c>
      <c r="F223" s="25" t="inlineStr">
        <is>
          <t>L2 | L2 EAS EFB MAX pencereli 2024 dış koli (4001410): 88 adet</t>
        </is>
      </c>
      <c r="G223" s="25" t="inlineStr">
        <is>
          <t>L2 | L2 EAS EFB MAX windowed 2024 outer carton (4001410): 88 pcs</t>
        </is>
      </c>
      <c r="H223" s="25" t="n">
        <v>50.456</v>
      </c>
      <c r="I223" s="25" t="n">
        <v>1</v>
      </c>
      <c r="J223" s="25" t="n">
        <v>7</v>
      </c>
      <c r="K223" s="25" t="inlineStr">
        <is>
          <t>IA-PPWR-TF-ST-088-STD-05-R00</t>
        </is>
      </c>
      <c r="L223" s="25" t="inlineStr">
        <is>
          <t>IA-PPWR-DOC-ST-088-STD-05-R00</t>
        </is>
      </c>
      <c r="M223" s="25" t="inlineStr">
        <is>
          <t>IA-PPWR-LBL-ST-088-STD-05-R00</t>
        </is>
      </c>
      <c r="N223" s="25" t="inlineStr">
        <is>
          <t>IA-PPWR-STM-ST-088-STD-05-R00</t>
        </is>
      </c>
    </row>
    <row r="224">
      <c r="A224" s="25" t="inlineStr">
        <is>
          <t>ST-088-STD-06</t>
        </is>
      </c>
      <c r="B224" s="25" t="inlineStr">
        <is>
          <t>IA-ST-088-STD-06</t>
        </is>
      </c>
      <c r="C224" s="25" t="inlineStr">
        <is>
          <t>IA-ST-CFG-0259</t>
        </is>
      </c>
      <c r="D224" s="25" t="inlineStr">
        <is>
          <t>STARTER</t>
        </is>
      </c>
      <c r="E224" s="25" t="inlineStr">
        <is>
          <t>L2 | L2 BLIZZARO SILVERLINE penceresiz dış koli (4001434): 88 adet</t>
        </is>
      </c>
      <c r="F224" s="25" t="inlineStr">
        <is>
          <t>L2 | L2 BLIZZARO SILVERLINE penceresiz dış koli (4001434): 88 adet</t>
        </is>
      </c>
      <c r="G224" s="25" t="inlineStr">
        <is>
          <t>L2 | L2 BLIZZARO SILVERLINE windowless outer carton (4001434): 88 pcs</t>
        </is>
      </c>
      <c r="H224" s="25" t="n">
        <v>50.606</v>
      </c>
      <c r="I224" s="25" t="n">
        <v>2</v>
      </c>
      <c r="J224" s="25" t="n">
        <v>7</v>
      </c>
      <c r="K224" s="25" t="inlineStr">
        <is>
          <t>IA-PPWR-TF-ST-088-STD-06-R00</t>
        </is>
      </c>
      <c r="L224" s="25" t="inlineStr">
        <is>
          <t>IA-PPWR-DOC-ST-088-STD-06-R00</t>
        </is>
      </c>
      <c r="M224" s="25" t="inlineStr">
        <is>
          <t>IA-PPWR-LBL-ST-088-STD-06-R00</t>
        </is>
      </c>
      <c r="N224" s="25" t="inlineStr">
        <is>
          <t>IA-PPWR-STM-ST-088-STD-06-R00</t>
        </is>
      </c>
    </row>
    <row r="225">
      <c r="A225" s="25" t="inlineStr">
        <is>
          <t>ST-088-STD-07</t>
        </is>
      </c>
      <c r="B225" s="25" t="inlineStr">
        <is>
          <t>IA-ST-088-STD-07</t>
        </is>
      </c>
      <c r="C225" s="25" t="inlineStr">
        <is>
          <t>IA-ST-CFG-0260</t>
        </is>
      </c>
      <c r="D225" s="25" t="inlineStr">
        <is>
          <t>STARTER</t>
        </is>
      </c>
      <c r="E225" s="25" t="inlineStr">
        <is>
          <t>LB2 | LB2 İnci FORMULA-MAXIMA 2019 dış koli (4001203): 88 adet</t>
        </is>
      </c>
      <c r="F225" s="25" t="inlineStr">
        <is>
          <t>LB2 | LB2 İnci FORMULA-MAXIMA 2019 dış koli (4001203): 88 adet</t>
        </is>
      </c>
      <c r="G225" s="25" t="inlineStr">
        <is>
          <t>LB2 | LB2 İnci FORMULA-MAXIMA 2019 outer carton (4001203): 88 pcs</t>
        </is>
      </c>
      <c r="H225" s="25" t="n">
        <v>49.116</v>
      </c>
      <c r="I225" s="25" t="n">
        <v>1</v>
      </c>
      <c r="J225" s="25" t="n">
        <v>7</v>
      </c>
      <c r="K225" s="25" t="inlineStr">
        <is>
          <t>IA-PPWR-TF-ST-088-STD-07-R00</t>
        </is>
      </c>
      <c r="L225" s="25" t="inlineStr">
        <is>
          <t>IA-PPWR-DOC-ST-088-STD-07-R00</t>
        </is>
      </c>
      <c r="M225" s="25" t="inlineStr">
        <is>
          <t>IA-PPWR-LBL-ST-088-STD-07-R00</t>
        </is>
      </c>
      <c r="N225" s="25" t="inlineStr">
        <is>
          <t>IA-PPWR-STM-ST-088-STD-07-R00</t>
        </is>
      </c>
    </row>
    <row r="226">
      <c r="A226" s="25" t="inlineStr">
        <is>
          <t>ST-088-STD-08</t>
        </is>
      </c>
      <c r="B226" s="25" t="inlineStr">
        <is>
          <t>IA-ST-088-STD-08</t>
        </is>
      </c>
      <c r="C226" s="25" t="inlineStr">
        <is>
          <t>IA-ST-CFG-0261</t>
        </is>
      </c>
      <c r="D226" s="25" t="inlineStr">
        <is>
          <t>STARTER</t>
        </is>
      </c>
      <c r="E226" s="25" t="inlineStr">
        <is>
          <t>L2 | L2 İnci FORMULA-MAXIMA penceresiz dış koli (4001419): 88 adet</t>
        </is>
      </c>
      <c r="F226" s="25" t="inlineStr">
        <is>
          <t>L2 | L2 İnci FORMULA-MAXIMA penceresiz dış koli (4001419): 88 adet</t>
        </is>
      </c>
      <c r="G226" s="25" t="inlineStr">
        <is>
          <t>L2 | L2 İnci FORMULA-MAXIMA windowless outer carton (4001419): 88 pcs</t>
        </is>
      </c>
      <c r="H226" s="25" t="n">
        <v>50.876</v>
      </c>
      <c r="I226" s="25" t="n">
        <v>2</v>
      </c>
      <c r="J226" s="25" t="n">
        <v>7</v>
      </c>
      <c r="K226" s="25" t="inlineStr">
        <is>
          <t>IA-PPWR-TF-ST-088-STD-08-R00</t>
        </is>
      </c>
      <c r="L226" s="25" t="inlineStr">
        <is>
          <t>IA-PPWR-DOC-ST-088-STD-08-R00</t>
        </is>
      </c>
      <c r="M226" s="25" t="inlineStr">
        <is>
          <t>IA-PPWR-LBL-ST-088-STD-08-R00</t>
        </is>
      </c>
      <c r="N226" s="25" t="inlineStr">
        <is>
          <t>IA-PPWR-STM-ST-088-STD-08-R00</t>
        </is>
      </c>
    </row>
    <row r="227">
      <c r="A227" s="25" t="inlineStr">
        <is>
          <t>ST-090-STD-01</t>
        </is>
      </c>
      <c r="B227" s="25" t="inlineStr">
        <is>
          <t>IA-ST-090-STD-01</t>
        </is>
      </c>
      <c r="C227" s="25" t="inlineStr">
        <is>
          <t>IA-ST-CFG-0262</t>
        </is>
      </c>
      <c r="D227" s="25" t="inlineStr">
        <is>
          <t>STARTER</t>
        </is>
      </c>
      <c r="E227" s="25" t="inlineStr">
        <is>
          <t>L0 | Palet (4000037): 1 adet | Shrink film (4000555): 2.166 kg</t>
        </is>
      </c>
      <c r="F227" s="25" t="inlineStr">
        <is>
          <t>L0 | Palet (4000037): 1 adet | Shrink film (4000555): 2.166 kg</t>
        </is>
      </c>
      <c r="G227" s="25" t="inlineStr">
        <is>
          <t>L0 | Pallet (4000037): 1 pc | Shrink film (4000555): 2.166 kg</t>
        </is>
      </c>
      <c r="H227" s="25" t="n">
        <v>30.0852</v>
      </c>
      <c r="I227" s="25" t="n">
        <v>3</v>
      </c>
      <c r="J227" s="25" t="n">
        <v>7</v>
      </c>
      <c r="K227" s="25" t="inlineStr">
        <is>
          <t>IA-PPWR-TF-ST-090-STD-01-R00</t>
        </is>
      </c>
      <c r="L227" s="25" t="inlineStr">
        <is>
          <t>IA-PPWR-DOC-ST-090-STD-01-R00</t>
        </is>
      </c>
      <c r="M227" s="25" t="inlineStr">
        <is>
          <t>IA-PPWR-LBL-ST-090-STD-01-R00</t>
        </is>
      </c>
      <c r="N227" s="25" t="inlineStr">
        <is>
          <t>IA-PPWR-STM-ST-090-STD-01-R00</t>
        </is>
      </c>
    </row>
    <row r="228">
      <c r="A228" s="25" t="inlineStr">
        <is>
          <t>ST-090-STD-02</t>
        </is>
      </c>
      <c r="B228" s="25" t="inlineStr">
        <is>
          <t>IA-ST-090-STD-02</t>
        </is>
      </c>
      <c r="C228" s="25" t="inlineStr">
        <is>
          <t>IA-ST-CFG-0263</t>
        </is>
      </c>
      <c r="D228" s="25" t="inlineStr">
        <is>
          <t>STARTER</t>
        </is>
      </c>
      <c r="E228" s="25" t="inlineStr">
        <is>
          <t>L0 | Palet (4000037): 1 adet | Shrink film (4001177): 0.597 kg</t>
        </is>
      </c>
      <c r="F228" s="25" t="inlineStr">
        <is>
          <t>L0 | Palet (4000037): 1 adet | Shrink film (4001177): 0.597 kg</t>
        </is>
      </c>
      <c r="G228" s="25" t="inlineStr">
        <is>
          <t>L0 | Pallet (4000037): 1 pc | Shrink film (4001177): 0.597 kg</t>
        </is>
      </c>
      <c r="H228" s="25" t="n">
        <v>28.649</v>
      </c>
      <c r="I228" s="25" t="n">
        <v>3</v>
      </c>
      <c r="J228" s="25" t="n">
        <v>7</v>
      </c>
      <c r="K228" s="25" t="inlineStr">
        <is>
          <t>IA-PPWR-TF-ST-090-STD-02-R00</t>
        </is>
      </c>
      <c r="L228" s="25" t="inlineStr">
        <is>
          <t>IA-PPWR-DOC-ST-090-STD-02-R00</t>
        </is>
      </c>
      <c r="M228" s="25" t="inlineStr">
        <is>
          <t>IA-PPWR-LBL-ST-090-STD-02-R00</t>
        </is>
      </c>
      <c r="N228" s="25" t="inlineStr">
        <is>
          <t>IA-PPWR-STM-ST-090-STD-02-R00</t>
        </is>
      </c>
    </row>
    <row r="229">
      <c r="A229" s="25" t="inlineStr">
        <is>
          <t>ST-096-EUR-01</t>
        </is>
      </c>
      <c r="B229" s="25" t="inlineStr">
        <is>
          <t>IA-ST-096-EUR-01</t>
        </is>
      </c>
      <c r="C229" s="25" t="inlineStr">
        <is>
          <t>IA-ST-CFG-0264</t>
        </is>
      </c>
      <c r="D229" s="25" t="inlineStr">
        <is>
          <t>STARTER</t>
        </is>
      </c>
      <c r="E229" s="25" t="inlineStr">
        <is>
          <t>LB1 | Palet (4000038): 1 adet | Shrink film (4000556): 2.594 kg</t>
        </is>
      </c>
      <c r="F229" s="25" t="inlineStr">
        <is>
          <t>LB1 | Palet (4000038): 1 adet | Shrink film (4000556): 2.594 kg</t>
        </is>
      </c>
      <c r="G229" s="25" t="inlineStr">
        <is>
          <t>LB1 | Pallet (4000038): 1 pc | Shrink film (4000556): 2.594 kg</t>
        </is>
      </c>
      <c r="H229" s="25" t="n">
        <v>30.6532</v>
      </c>
      <c r="I229" s="25" t="n">
        <v>6</v>
      </c>
      <c r="J229" s="25" t="n">
        <v>7</v>
      </c>
      <c r="K229" s="25" t="inlineStr">
        <is>
          <t>IA-PPWR-TF-ST-096-EUR-01-R00</t>
        </is>
      </c>
      <c r="L229" s="25" t="inlineStr">
        <is>
          <t>IA-PPWR-DOC-ST-096-EUR-01-R00</t>
        </is>
      </c>
      <c r="M229" s="25" t="inlineStr">
        <is>
          <t>IA-PPWR-LBL-ST-096-EUR-01-R00</t>
        </is>
      </c>
      <c r="N229" s="25" t="inlineStr">
        <is>
          <t>IA-PPWR-STM-ST-096-EUR-01-R00</t>
        </is>
      </c>
    </row>
    <row r="230">
      <c r="A230" s="25" t="inlineStr">
        <is>
          <t>ST-096-EUR-02</t>
        </is>
      </c>
      <c r="B230" s="25" t="inlineStr">
        <is>
          <t>IA-ST-096-EUR-02</t>
        </is>
      </c>
      <c r="C230" s="25" t="inlineStr">
        <is>
          <t>IA-ST-CFG-0265</t>
        </is>
      </c>
      <c r="D230" s="25" t="inlineStr">
        <is>
          <t>STARTER</t>
        </is>
      </c>
      <c r="E230" s="25" t="inlineStr">
        <is>
          <t>L1 | Palet (4000038): 1 adet | Shrink film (4000556): 3.167 kg</t>
        </is>
      </c>
      <c r="F230" s="25" t="inlineStr">
        <is>
          <t>L1 | Palet (4000038): 1 adet | Shrink film (4000556): 3.167 kg</t>
        </is>
      </c>
      <c r="G230" s="25" t="inlineStr">
        <is>
          <t>L1 | Pallet (4000038): 1 pc | Shrink film (4000556): 3.167 kg</t>
        </is>
      </c>
      <c r="H230" s="25" t="n">
        <v>31.0262</v>
      </c>
      <c r="I230" s="25" t="n">
        <v>1</v>
      </c>
      <c r="J230" s="25" t="n">
        <v>7</v>
      </c>
      <c r="K230" s="25" t="inlineStr">
        <is>
          <t>IA-PPWR-TF-ST-096-EUR-02-R00</t>
        </is>
      </c>
      <c r="L230" s="25" t="inlineStr">
        <is>
          <t>IA-PPWR-DOC-ST-096-EUR-02-R00</t>
        </is>
      </c>
      <c r="M230" s="25" t="inlineStr">
        <is>
          <t>IA-PPWR-LBL-ST-096-EUR-02-R00</t>
        </is>
      </c>
      <c r="N230" s="25" t="inlineStr">
        <is>
          <t>IA-PPWR-STM-ST-096-EUR-02-R00</t>
        </is>
      </c>
    </row>
    <row r="231">
      <c r="A231" s="25" t="inlineStr">
        <is>
          <t>ST-096-EUR-03</t>
        </is>
      </c>
      <c r="B231" s="25" t="inlineStr">
        <is>
          <t>IA-ST-096-EUR-03</t>
        </is>
      </c>
      <c r="C231" s="25" t="inlineStr">
        <is>
          <t>IA-ST-CFG-0266</t>
        </is>
      </c>
      <c r="D231" s="25" t="inlineStr">
        <is>
          <t>STARTER</t>
        </is>
      </c>
      <c r="E231" s="25" t="inlineStr">
        <is>
          <t>L1, LB1 | Palet (4000038): 1 adet | Shrink film (4000556): 3.167 kg</t>
        </is>
      </c>
      <c r="F231" s="25" t="inlineStr">
        <is>
          <t>L1, LB1 | Palet (4000038): 1 adet | Shrink film (4000556): 3.167 kg</t>
        </is>
      </c>
      <c r="G231" s="25" t="inlineStr">
        <is>
          <t>L1, LB1 | Pallet (4000038): 1 pc | Shrink film (4000556): 3.167 kg</t>
        </is>
      </c>
      <c r="H231" s="25" t="n">
        <v>31.2262</v>
      </c>
      <c r="I231" s="25" t="n">
        <v>10</v>
      </c>
      <c r="J231" s="25" t="n">
        <v>7</v>
      </c>
      <c r="K231" s="25" t="inlineStr">
        <is>
          <t>IA-PPWR-TF-ST-096-EUR-03-R00</t>
        </is>
      </c>
      <c r="L231" s="25" t="inlineStr">
        <is>
          <t>IA-PPWR-DOC-ST-096-EUR-03-R00</t>
        </is>
      </c>
      <c r="M231" s="25" t="inlineStr">
        <is>
          <t>IA-PPWR-LBL-ST-096-EUR-03-R00</t>
        </is>
      </c>
      <c r="N231" s="25" t="inlineStr">
        <is>
          <t>IA-PPWR-STM-ST-096-EUR-03-R00</t>
        </is>
      </c>
    </row>
    <row r="232">
      <c r="A232" s="25" t="inlineStr">
        <is>
          <t>ST-096-EUR-04</t>
        </is>
      </c>
      <c r="B232" s="25" t="inlineStr">
        <is>
          <t>IA-ST-096-EUR-04</t>
        </is>
      </c>
      <c r="C232" s="25" t="inlineStr">
        <is>
          <t>IA-ST-CFG-0267</t>
        </is>
      </c>
      <c r="D232" s="25" t="inlineStr">
        <is>
          <t>STARTER</t>
        </is>
      </c>
      <c r="E232" s="25" t="inlineStr">
        <is>
          <t>L1 | Palet (4000038): 1 adet | Shrink film (4000556): kullanılmaz</t>
        </is>
      </c>
      <c r="F232" s="25" t="inlineStr">
        <is>
          <t>L1 | Palet (4000038): 1 adet | Shrink film (4000556): kullanılmaz</t>
        </is>
      </c>
      <c r="G232" s="25" t="inlineStr">
        <is>
          <t>L1 | Pallet (4000038): 1 pc | Shrink film (4000556): not used</t>
        </is>
      </c>
      <c r="H232" s="25" t="n">
        <v>27.8592</v>
      </c>
      <c r="I232" s="25" t="n">
        <v>1</v>
      </c>
      <c r="J232" s="25" t="n">
        <v>6</v>
      </c>
      <c r="K232" s="25" t="inlineStr">
        <is>
          <t>IA-PPWR-TF-ST-096-EUR-04-R00</t>
        </is>
      </c>
      <c r="L232" s="25" t="inlineStr">
        <is>
          <t>IA-PPWR-DOC-ST-096-EUR-04-R00</t>
        </is>
      </c>
      <c r="M232" s="25" t="inlineStr">
        <is>
          <t>IA-PPWR-LBL-ST-096-EUR-04-R00</t>
        </is>
      </c>
      <c r="N232" s="25" t="inlineStr">
        <is>
          <t>IA-PPWR-STM-ST-096-EUR-04-R00</t>
        </is>
      </c>
    </row>
    <row r="233">
      <c r="A233" s="25" t="inlineStr">
        <is>
          <t>ST-096-EUR-05</t>
        </is>
      </c>
      <c r="B233" s="25" t="inlineStr">
        <is>
          <t>IA-ST-096-EUR-05</t>
        </is>
      </c>
      <c r="C233" s="25" t="inlineStr">
        <is>
          <t>IA-ST-CFG-0268</t>
        </is>
      </c>
      <c r="D233" s="25" t="inlineStr">
        <is>
          <t>STARTER</t>
        </is>
      </c>
      <c r="E233" s="25" t="inlineStr">
        <is>
          <t>LB1 | Palet (4000038): 1 adet | Shrink film (4000556): kullanılmaz</t>
        </is>
      </c>
      <c r="F233" s="25" t="inlineStr">
        <is>
          <t>LB1 | Palet (4000038): 1 adet | Shrink film (4000556): kullanılmaz</t>
        </is>
      </c>
      <c r="G233" s="25" t="inlineStr">
        <is>
          <t>LB1 | Pallet (4000038): 1 pc | Shrink film (4000556): not used</t>
        </is>
      </c>
      <c r="H233" s="25" t="n">
        <v>28.0592</v>
      </c>
      <c r="I233" s="25" t="n">
        <v>1</v>
      </c>
      <c r="J233" s="25" t="n">
        <v>6</v>
      </c>
      <c r="K233" s="25" t="inlineStr">
        <is>
          <t>IA-PPWR-TF-ST-096-EUR-05-R00</t>
        </is>
      </c>
      <c r="L233" s="25" t="inlineStr">
        <is>
          <t>IA-PPWR-DOC-ST-096-EUR-05-R00</t>
        </is>
      </c>
      <c r="M233" s="25" t="inlineStr">
        <is>
          <t>IA-PPWR-LBL-ST-096-EUR-05-R00</t>
        </is>
      </c>
      <c r="N233" s="25" t="inlineStr">
        <is>
          <t>IA-PPWR-STM-ST-096-EUR-05-R00</t>
        </is>
      </c>
    </row>
    <row r="234">
      <c r="A234" s="25" t="inlineStr">
        <is>
          <t>ST-096-EUR-06</t>
        </is>
      </c>
      <c r="B234" s="25" t="inlineStr">
        <is>
          <t>IA-ST-096-EUR-06</t>
        </is>
      </c>
      <c r="C234" s="25" t="inlineStr">
        <is>
          <t>IA-ST-CFG-0269</t>
        </is>
      </c>
      <c r="D234" s="25" t="inlineStr">
        <is>
          <t>STARTER</t>
        </is>
      </c>
      <c r="E234" s="25" t="inlineStr">
        <is>
          <t>L1, LB1 | Palet (4000038): 1 adet | Köşebent (4000033): 4 adet</t>
        </is>
      </c>
      <c r="F234" s="25" t="inlineStr">
        <is>
          <t>L1, LB1 | Palet (4000038): 1 adet | Köşebent (4000033): 4 adet</t>
        </is>
      </c>
      <c r="G234" s="25" t="inlineStr">
        <is>
          <t>L1, LB1 | Pallet (4000038): 1 pc | Edge protector (4000033): 4 pcs</t>
        </is>
      </c>
      <c r="H234" s="25" t="n">
        <v>28.566</v>
      </c>
      <c r="I234" s="25" t="n">
        <v>4</v>
      </c>
      <c r="J234" s="25" t="n">
        <v>6</v>
      </c>
      <c r="K234" s="25" t="inlineStr">
        <is>
          <t>IA-PPWR-TF-ST-096-EUR-06-R00</t>
        </is>
      </c>
      <c r="L234" s="25" t="inlineStr">
        <is>
          <t>IA-PPWR-DOC-ST-096-EUR-06-R00</t>
        </is>
      </c>
      <c r="M234" s="25" t="inlineStr">
        <is>
          <t>IA-PPWR-LBL-ST-096-EUR-06-R00</t>
        </is>
      </c>
      <c r="N234" s="25" t="inlineStr">
        <is>
          <t>IA-PPWR-STM-ST-096-EUR-06-R00</t>
        </is>
      </c>
    </row>
    <row r="235">
      <c r="A235" s="25" t="inlineStr">
        <is>
          <t>ST-096-EUR-07</t>
        </is>
      </c>
      <c r="B235" s="25" t="inlineStr">
        <is>
          <t>IA-ST-096-EUR-07</t>
        </is>
      </c>
      <c r="C235" s="25" t="inlineStr">
        <is>
          <t>IA-ST-CFG-0275</t>
        </is>
      </c>
      <c r="D235" s="25" t="inlineStr">
        <is>
          <t>STARTER</t>
        </is>
      </c>
      <c r="E235" s="25" t="inlineStr">
        <is>
          <t>L0 | Palet (4000038): 1 adet | Köşebent (4000590): 4 adet</t>
        </is>
      </c>
      <c r="F235" s="25" t="inlineStr">
        <is>
          <t>L0 | Palet (4000038): 1 adet | Köşebent (4000590): 4 adet</t>
        </is>
      </c>
      <c r="G235" s="25" t="inlineStr">
        <is>
          <t>L0 | Pallet (4000038): 1 pc | Edge protector (4000590): 4 pcs</t>
        </is>
      </c>
      <c r="H235" s="25" t="n">
        <v>28.126</v>
      </c>
      <c r="I235" s="25" t="n">
        <v>2</v>
      </c>
      <c r="J235" s="25" t="n">
        <v>6</v>
      </c>
      <c r="K235" s="25" t="inlineStr">
        <is>
          <t>IA-PPWR-TF-ST-096-EUR-07-R00</t>
        </is>
      </c>
      <c r="L235" s="25" t="inlineStr">
        <is>
          <t>IA-PPWR-DOC-ST-096-EUR-07-R00</t>
        </is>
      </c>
      <c r="M235" s="25" t="inlineStr">
        <is>
          <t>IA-PPWR-LBL-ST-096-EUR-07-R00</t>
        </is>
      </c>
      <c r="N235" s="25" t="inlineStr">
        <is>
          <t>IA-PPWR-STM-ST-096-EUR-07-R00</t>
        </is>
      </c>
    </row>
    <row r="236">
      <c r="A236" s="25" t="inlineStr">
        <is>
          <t>ST-096-EUR-08</t>
        </is>
      </c>
      <c r="B236" s="25" t="inlineStr">
        <is>
          <t>IA-ST-096-EUR-08</t>
        </is>
      </c>
      <c r="C236" s="25" t="inlineStr">
        <is>
          <t>IA-ST-CFG-0276</t>
        </is>
      </c>
      <c r="D236" s="25" t="inlineStr">
        <is>
          <t>STARTER</t>
        </is>
      </c>
      <c r="E236" s="25" t="inlineStr">
        <is>
          <t>L0 | Palet (4000038): 1 adet | Separatör (4000609): 4 adet</t>
        </is>
      </c>
      <c r="F236" s="25" t="inlineStr">
        <is>
          <t>L0 | Palet (4000038): 1 adet | Separatör (4000609): 4 adet</t>
        </is>
      </c>
      <c r="G236" s="25" t="inlineStr">
        <is>
          <t>L0 | Pallet (4000038): 1 pc | Separator (4000609): 4 pcs</t>
        </is>
      </c>
      <c r="H236" s="25" t="n">
        <v>29.9492</v>
      </c>
      <c r="I236" s="25" t="n">
        <v>2</v>
      </c>
      <c r="J236" s="25" t="n">
        <v>7</v>
      </c>
      <c r="K236" s="25" t="inlineStr">
        <is>
          <t>IA-PPWR-TF-ST-096-EUR-08-R00</t>
        </is>
      </c>
      <c r="L236" s="25" t="inlineStr">
        <is>
          <t>IA-PPWR-DOC-ST-096-EUR-08-R00</t>
        </is>
      </c>
      <c r="M236" s="25" t="inlineStr">
        <is>
          <t>IA-PPWR-LBL-ST-096-EUR-08-R00</t>
        </is>
      </c>
      <c r="N236" s="25" t="inlineStr">
        <is>
          <t>IA-PPWR-STM-ST-096-EUR-08-R00</t>
        </is>
      </c>
    </row>
    <row r="237">
      <c r="A237" s="25" t="inlineStr">
        <is>
          <t>ST-096-EUR-09</t>
        </is>
      </c>
      <c r="B237" s="25" t="inlineStr">
        <is>
          <t>IA-ST-096-EUR-09</t>
        </is>
      </c>
      <c r="C237" s="25" t="inlineStr">
        <is>
          <t>IA-ST-CFG-0277</t>
        </is>
      </c>
      <c r="D237" s="25" t="inlineStr">
        <is>
          <t>STARTER</t>
        </is>
      </c>
      <c r="E237" s="25" t="inlineStr">
        <is>
          <t>L0 | Palet (4000038): 1 adet | Shrink film (4000555): 2.31 kg | Separatör (4000609): 5 adet</t>
        </is>
      </c>
      <c r="F237" s="25" t="inlineStr">
        <is>
          <t>L0 | Palet (4000038): 1 adet | Shrink film (4000555): 2.31 kg | Separatör (4000609): 5 adet</t>
        </is>
      </c>
      <c r="G237" s="25" t="inlineStr">
        <is>
          <t>L0 | Pallet (4000038): 1 pc | Shrink film (4000555): 2.31 kg | Separator (4000609): 5 pcs</t>
        </is>
      </c>
      <c r="H237" s="25" t="n">
        <v>30.1492</v>
      </c>
      <c r="I237" s="25" t="n">
        <v>1</v>
      </c>
      <c r="J237" s="25" t="n">
        <v>7</v>
      </c>
      <c r="K237" s="25" t="inlineStr">
        <is>
          <t>IA-PPWR-TF-ST-096-EUR-09-R00</t>
        </is>
      </c>
      <c r="L237" s="25" t="inlineStr">
        <is>
          <t>IA-PPWR-DOC-ST-096-EUR-09-R00</t>
        </is>
      </c>
      <c r="M237" s="25" t="inlineStr">
        <is>
          <t>IA-PPWR-LBL-ST-096-EUR-09-R00</t>
        </is>
      </c>
      <c r="N237" s="25" t="inlineStr">
        <is>
          <t>IA-PPWR-STM-ST-096-EUR-09-R00</t>
        </is>
      </c>
    </row>
    <row r="238">
      <c r="A238" s="25" t="inlineStr">
        <is>
          <t>ST-096-EUR-10</t>
        </is>
      </c>
      <c r="B238" s="25" t="inlineStr">
        <is>
          <t>IA-ST-096-EUR-10</t>
        </is>
      </c>
      <c r="C238" s="25" t="inlineStr">
        <is>
          <t>IA-ST-CFG-0278</t>
        </is>
      </c>
      <c r="D238" s="25" t="inlineStr">
        <is>
          <t>STARTER</t>
        </is>
      </c>
      <c r="E238" s="25" t="inlineStr">
        <is>
          <t>L0 | Palet (4000038): 1 adet | Shrink film (4000555): kullanılmaz | Köşebent (4000590): 2 adet</t>
        </is>
      </c>
      <c r="F238" s="25" t="inlineStr">
        <is>
          <t>L0 | Palet (4000038): 1 adet | Shrink film (4000555): kullanılmaz | Köşebent (4000590): 2 adet</t>
        </is>
      </c>
      <c r="G238" s="25" t="inlineStr">
        <is>
          <t>L0 | Pallet (4000038): 1 pc | Shrink film (4000555): not used | Edge protector (4000590): 2 pcs</t>
        </is>
      </c>
      <c r="H238" s="25" t="n">
        <v>27.8392</v>
      </c>
      <c r="I238" s="25" t="n">
        <v>1</v>
      </c>
      <c r="J238" s="25" t="n">
        <v>6</v>
      </c>
      <c r="K238" s="25" t="inlineStr">
        <is>
          <t>IA-PPWR-TF-ST-096-EUR-10-R00</t>
        </is>
      </c>
      <c r="L238" s="25" t="inlineStr">
        <is>
          <t>IA-PPWR-DOC-ST-096-EUR-10-R00</t>
        </is>
      </c>
      <c r="M238" s="25" t="inlineStr">
        <is>
          <t>IA-PPWR-LBL-ST-096-EUR-10-R00</t>
        </is>
      </c>
      <c r="N238" s="25" t="inlineStr">
        <is>
          <t>IA-PPWR-STM-ST-096-EUR-10-R00</t>
        </is>
      </c>
    </row>
    <row r="239">
      <c r="A239" s="25" t="inlineStr">
        <is>
          <t>ST-096-STD-01</t>
        </is>
      </c>
      <c r="B239" s="25" t="inlineStr">
        <is>
          <t>IA-ST-096-STD-01</t>
        </is>
      </c>
      <c r="C239" s="25" t="inlineStr">
        <is>
          <t>IA-ST-CFG-0270</t>
        </is>
      </c>
      <c r="D239" s="25" t="inlineStr">
        <is>
          <t>STARTER</t>
        </is>
      </c>
      <c r="E239" s="25" t="inlineStr">
        <is>
          <t>L1 | L1 EAS Activa penceresiz dış koli (4000645): 96 adet</t>
        </is>
      </c>
      <c r="F239" s="25" t="inlineStr">
        <is>
          <t>L1 | L1 EAS Activa penceresiz dış koli (4000645): 96 adet</t>
        </is>
      </c>
      <c r="G239" s="25" t="inlineStr">
        <is>
          <t>L1 | L1 EAS Activa windowless outer carton (4000645): 96 pcs</t>
        </is>
      </c>
      <c r="H239" s="25" t="n">
        <v>53.336</v>
      </c>
      <c r="I239" s="25" t="n">
        <v>1</v>
      </c>
      <c r="J239" s="25" t="n">
        <v>7</v>
      </c>
      <c r="K239" s="25" t="inlineStr">
        <is>
          <t>IA-PPWR-TF-ST-096-STD-01-R00</t>
        </is>
      </c>
      <c r="L239" s="25" t="inlineStr">
        <is>
          <t>IA-PPWR-DOC-ST-096-STD-01-R00</t>
        </is>
      </c>
      <c r="M239" s="25" t="inlineStr">
        <is>
          <t>IA-PPWR-LBL-ST-096-STD-01-R00</t>
        </is>
      </c>
      <c r="N239" s="25" t="inlineStr">
        <is>
          <t>IA-PPWR-STM-ST-096-STD-01-R00</t>
        </is>
      </c>
    </row>
    <row r="240">
      <c r="A240" s="25" t="inlineStr">
        <is>
          <t>ST-096-STD-02</t>
        </is>
      </c>
      <c r="B240" s="25" t="inlineStr">
        <is>
          <t>IA-ST-096-STD-02</t>
        </is>
      </c>
      <c r="C240" s="25" t="inlineStr">
        <is>
          <t>IA-ST-CFG-0271</t>
        </is>
      </c>
      <c r="D240" s="25" t="inlineStr">
        <is>
          <t>STARTER</t>
        </is>
      </c>
      <c r="E240" s="25" t="inlineStr">
        <is>
          <t>LB1 | LB1 İnci FORMULA-MAXIMA 2019 dış koli (4001201): 96 adet</t>
        </is>
      </c>
      <c r="F240" s="25" t="inlineStr">
        <is>
          <t>LB1 | LB1 İnci FORMULA-MAXIMA 2019 dış koli (4001201): 96 adet</t>
        </is>
      </c>
      <c r="G240" s="25" t="inlineStr">
        <is>
          <t>LB1 | LB1 İnci FORMULA-MAXIMA 2019 outer carton (4001201): 96 pcs</t>
        </is>
      </c>
      <c r="H240" s="25" t="n">
        <v>47.996</v>
      </c>
      <c r="I240" s="25" t="n">
        <v>1</v>
      </c>
      <c r="J240" s="25" t="n">
        <v>7</v>
      </c>
      <c r="K240" s="25" t="inlineStr">
        <is>
          <t>IA-PPWR-TF-ST-096-STD-02-R00</t>
        </is>
      </c>
      <c r="L240" s="25" t="inlineStr">
        <is>
          <t>IA-PPWR-DOC-ST-096-STD-02-R00</t>
        </is>
      </c>
      <c r="M240" s="25" t="inlineStr">
        <is>
          <t>IA-PPWR-LBL-ST-096-STD-02-R00</t>
        </is>
      </c>
      <c r="N240" s="25" t="inlineStr">
        <is>
          <t>IA-PPWR-STM-ST-096-STD-02-R00</t>
        </is>
      </c>
    </row>
    <row r="241">
      <c r="A241" s="25" t="inlineStr">
        <is>
          <t>ST-096-STD-03</t>
        </is>
      </c>
      <c r="B241" s="25" t="inlineStr">
        <is>
          <t>IA-ST-096-STD-03</t>
        </is>
      </c>
      <c r="C241" s="25" t="inlineStr">
        <is>
          <t>IA-ST-CFG-0272</t>
        </is>
      </c>
      <c r="D241" s="25" t="inlineStr">
        <is>
          <t>STARTER</t>
        </is>
      </c>
      <c r="E241" s="25" t="inlineStr">
        <is>
          <t>NS60 | NS60 PVC üst kapak (4000602): 96 adet | Köşebent (4000590): 4 adet</t>
        </is>
      </c>
      <c r="F241" s="25" t="inlineStr">
        <is>
          <t>NS60 | NS60 PVC üst kapak (4000602): 96 adet | Köşebent (4000590): 4 adet</t>
        </is>
      </c>
      <c r="G241" s="25" t="inlineStr">
        <is>
          <t>NS60 | NS60 PVC upper cover (4000602): 96 pcs | Edge protector (4000590): 4 pcs</t>
        </is>
      </c>
      <c r="H241" s="25" t="n">
        <v>35.3172</v>
      </c>
      <c r="I241" s="25" t="n">
        <v>38</v>
      </c>
      <c r="J241" s="25" t="n">
        <v>8</v>
      </c>
      <c r="K241" s="25" t="inlineStr">
        <is>
          <t>IA-PPWR-TF-ST-096-STD-03-R00</t>
        </is>
      </c>
      <c r="L241" s="25" t="inlineStr">
        <is>
          <t>IA-PPWR-DOC-ST-096-STD-03-R00</t>
        </is>
      </c>
      <c r="M241" s="25" t="inlineStr">
        <is>
          <t>IA-PPWR-LBL-ST-096-STD-03-R00</t>
        </is>
      </c>
      <c r="N241" s="25" t="inlineStr">
        <is>
          <t>IA-PPWR-STM-ST-096-STD-03-R00</t>
        </is>
      </c>
    </row>
    <row r="242">
      <c r="A242" s="25" t="inlineStr">
        <is>
          <t>ST-096-STD-04</t>
        </is>
      </c>
      <c r="B242" s="25" t="inlineStr">
        <is>
          <t>IA-ST-096-STD-04</t>
        </is>
      </c>
      <c r="C242" s="25" t="inlineStr">
        <is>
          <t>IA-ST-CFG-0273</t>
        </is>
      </c>
      <c r="D242" s="25" t="inlineStr">
        <is>
          <t>STARTER</t>
        </is>
      </c>
      <c r="E242" s="25" t="inlineStr">
        <is>
          <t>NS60 | NS60 PVC üst kapak (4000602): 96 adet | Çember (4000450): kullanılmaz</t>
        </is>
      </c>
      <c r="F242" s="25" t="inlineStr">
        <is>
          <t>NS60 | NS60 PVC üst kapak (4000602): 96 adet | Çember (4000450): kullanılmaz</t>
        </is>
      </c>
      <c r="G242" s="25" t="inlineStr">
        <is>
          <t>NS60 | NS60 PVC upper cover (4000602): 96 pcs | Strap (4000450): not used</t>
        </is>
      </c>
      <c r="H242" s="25" t="n">
        <v>34.7436</v>
      </c>
      <c r="I242" s="25" t="n">
        <v>8</v>
      </c>
      <c r="J242" s="25" t="n">
        <v>6</v>
      </c>
      <c r="K242" s="25" t="inlineStr">
        <is>
          <t>IA-PPWR-TF-ST-096-STD-04-R00</t>
        </is>
      </c>
      <c r="L242" s="25" t="inlineStr">
        <is>
          <t>IA-PPWR-DOC-ST-096-STD-04-R00</t>
        </is>
      </c>
      <c r="M242" s="25" t="inlineStr">
        <is>
          <t>IA-PPWR-LBL-ST-096-STD-04-R00</t>
        </is>
      </c>
      <c r="N242" s="25" t="inlineStr">
        <is>
          <t>IA-PPWR-STM-ST-096-STD-04-R00</t>
        </is>
      </c>
    </row>
    <row r="243">
      <c r="A243" s="25" t="inlineStr">
        <is>
          <t>ST-096-STD-05</t>
        </is>
      </c>
      <c r="B243" s="25" t="inlineStr">
        <is>
          <t>IA-ST-096-STD-05</t>
        </is>
      </c>
      <c r="C243" s="25" t="inlineStr">
        <is>
          <t>IA-ST-CFG-0274</t>
        </is>
      </c>
      <c r="D243" s="25" t="inlineStr">
        <is>
          <t>STARTER</t>
        </is>
      </c>
      <c r="E243" s="25" t="inlineStr">
        <is>
          <t>NS60 | Palet (4000037): 1 adet | Shrink film (4001177): 0.597 kg</t>
        </is>
      </c>
      <c r="F243" s="25" t="inlineStr">
        <is>
          <t>NS60 | Palet (4000037): 1 adet | Shrink film (4001177): 0.597 kg</t>
        </is>
      </c>
      <c r="G243" s="25" t="inlineStr">
        <is>
          <t>NS60 | Pallet (4000037): 1 pc | Shrink film (4001177): 0.597 kg</t>
        </is>
      </c>
      <c r="H243" s="25" t="n">
        <v>28.649</v>
      </c>
      <c r="I243" s="25" t="n">
        <v>6</v>
      </c>
      <c r="J243" s="25" t="n">
        <v>7</v>
      </c>
      <c r="K243" s="25" t="inlineStr">
        <is>
          <t>IA-PPWR-TF-ST-096-STD-05-R00</t>
        </is>
      </c>
      <c r="L243" s="25" t="inlineStr">
        <is>
          <t>IA-PPWR-DOC-ST-096-STD-05-R00</t>
        </is>
      </c>
      <c r="M243" s="25" t="inlineStr">
        <is>
          <t>IA-PPWR-LBL-ST-096-STD-05-R00</t>
        </is>
      </c>
      <c r="N243" s="25" t="inlineStr">
        <is>
          <t>IA-PPWR-STM-ST-096-STD-05-R00</t>
        </is>
      </c>
    </row>
    <row r="244">
      <c r="A244" s="25" t="inlineStr">
        <is>
          <t>ST-105-STD-01</t>
        </is>
      </c>
      <c r="B244" s="25" t="inlineStr">
        <is>
          <t>IA-ST-105-STD-01</t>
        </is>
      </c>
      <c r="C244" s="25" t="inlineStr">
        <is>
          <t>IA-ST-CFG-0282</t>
        </is>
      </c>
      <c r="D244" s="25" t="inlineStr">
        <is>
          <t>STARTER</t>
        </is>
      </c>
      <c r="E244" s="25" t="inlineStr">
        <is>
          <t>NS40 | NS40 EAS Activa penceresiz B00 dış koli (4000630): 105 adet</t>
        </is>
      </c>
      <c r="F244" s="25" t="inlineStr">
        <is>
          <t>NS40 | NS40 EAS Activa penceresiz B00 dış koli (4000630): 105 adet</t>
        </is>
      </c>
      <c r="G244" s="25" t="inlineStr">
        <is>
          <t>NS40 | NS40 EAS Activa windowless B00 outer carton (4000630): 105 pcs</t>
        </is>
      </c>
      <c r="H244" s="25" t="n">
        <v>54.97265</v>
      </c>
      <c r="I244" s="25" t="n">
        <v>1</v>
      </c>
      <c r="J244" s="25" t="n">
        <v>8</v>
      </c>
      <c r="K244" s="25" t="inlineStr">
        <is>
          <t>IA-PPWR-TF-ST-105-STD-01-R00</t>
        </is>
      </c>
      <c r="L244" s="25" t="inlineStr">
        <is>
          <t>IA-PPWR-DOC-ST-105-STD-01-R00</t>
        </is>
      </c>
      <c r="M244" s="25" t="inlineStr">
        <is>
          <t>IA-PPWR-LBL-ST-105-STD-01-R00</t>
        </is>
      </c>
      <c r="N244" s="25" t="inlineStr">
        <is>
          <t>IA-PPWR-STM-ST-105-STD-01-R00</t>
        </is>
      </c>
    </row>
    <row r="245">
      <c r="A245" s="25" t="inlineStr">
        <is>
          <t>ST-105-STD-02</t>
        </is>
      </c>
      <c r="B245" s="25" t="inlineStr">
        <is>
          <t>IA-ST-105-STD-02</t>
        </is>
      </c>
      <c r="C245" s="25" t="inlineStr">
        <is>
          <t>IA-ST-CFG-0283</t>
        </is>
      </c>
      <c r="D245" s="25" t="inlineStr">
        <is>
          <t>STARTER</t>
        </is>
      </c>
      <c r="E245" s="25" t="inlineStr">
        <is>
          <t>NS40 | NS40 İnci FORMULA-MAXIMA B00 2019 dış koli (4001212): 105 adet</t>
        </is>
      </c>
      <c r="F245" s="25" t="inlineStr">
        <is>
          <t>NS40 | NS40 İnci FORMULA-MAXIMA B00 2019 dış koli (4001212): 105 adet</t>
        </is>
      </c>
      <c r="G245" s="25" t="inlineStr">
        <is>
          <t>NS40 | NS40 İnci FORMULA-MAXIMA B00 2019 outer carton (4001212): 105 pcs</t>
        </is>
      </c>
      <c r="H245" s="25" t="n">
        <v>55.66265</v>
      </c>
      <c r="I245" s="25" t="n">
        <v>1</v>
      </c>
      <c r="J245" s="25" t="n">
        <v>8</v>
      </c>
      <c r="K245" s="25" t="inlineStr">
        <is>
          <t>IA-PPWR-TF-ST-105-STD-02-R00</t>
        </is>
      </c>
      <c r="L245" s="25" t="inlineStr">
        <is>
          <t>IA-PPWR-DOC-ST-105-STD-02-R00</t>
        </is>
      </c>
      <c r="M245" s="25" t="inlineStr">
        <is>
          <t>IA-PPWR-LBL-ST-105-STD-02-R00</t>
        </is>
      </c>
      <c r="N245" s="25" t="inlineStr">
        <is>
          <t>IA-PPWR-STM-ST-105-STD-02-R00</t>
        </is>
      </c>
    </row>
    <row r="246">
      <c r="A246" s="25" t="inlineStr">
        <is>
          <t>ST-120-STD-01</t>
        </is>
      </c>
      <c r="B246" s="25" t="inlineStr">
        <is>
          <t>IA-ST-120-STD-01</t>
        </is>
      </c>
      <c r="C246" s="25" t="inlineStr">
        <is>
          <t>IA-ST-CFG-0284</t>
        </is>
      </c>
      <c r="D246" s="25" t="inlineStr">
        <is>
          <t>STARTER</t>
        </is>
      </c>
      <c r="E246" s="25" t="inlineStr">
        <is>
          <t>NS40 | NS40 PVC üst kapak (4000601): 120 adet | Köşebent (4000590): 4 adet</t>
        </is>
      </c>
      <c r="F246" s="25" t="inlineStr">
        <is>
          <t>NS40 | NS40 PVC üst kapak (4000601): 120 adet | Köşebent (4000590): 4 adet</t>
        </is>
      </c>
      <c r="G246" s="25" t="inlineStr">
        <is>
          <t>NS40 | NS40 PVC upper cover (4000601): 120 pcs | Edge protector (4000590): 4 pcs</t>
        </is>
      </c>
      <c r="H246" s="25" t="n">
        <v>35.3676</v>
      </c>
      <c r="I246" s="25" t="n">
        <v>30</v>
      </c>
      <c r="J246" s="25" t="n">
        <v>8</v>
      </c>
      <c r="K246" s="25" t="inlineStr">
        <is>
          <t>IA-PPWR-TF-ST-120-STD-01-R00</t>
        </is>
      </c>
      <c r="L246" s="25" t="inlineStr">
        <is>
          <t>IA-PPWR-DOC-ST-120-STD-01-R00</t>
        </is>
      </c>
      <c r="M246" s="25" t="inlineStr">
        <is>
          <t>IA-PPWR-LBL-ST-120-STD-01-R00</t>
        </is>
      </c>
      <c r="N246" s="25" t="inlineStr">
        <is>
          <t>IA-PPWR-STM-ST-120-STD-01-R00</t>
        </is>
      </c>
    </row>
    <row r="247">
      <c r="A247" s="25" t="inlineStr">
        <is>
          <t>ST-120-STD-02</t>
        </is>
      </c>
      <c r="B247" s="25" t="inlineStr">
        <is>
          <t>IA-ST-120-STD-02</t>
        </is>
      </c>
      <c r="C247" s="25" t="inlineStr">
        <is>
          <t>IA-ST-CFG-0285</t>
        </is>
      </c>
      <c r="D247" s="25" t="inlineStr">
        <is>
          <t>STARTER</t>
        </is>
      </c>
      <c r="E247" s="25" t="inlineStr">
        <is>
          <t>NS40 | NS40 PVC üst kapak (4000601): 120 adet | Çember (4000450): kullanılmaz</t>
        </is>
      </c>
      <c r="F247" s="25" t="inlineStr">
        <is>
          <t>NS40 | NS40 PVC üst kapak (4000601): 120 adet | Çember (4000450): kullanılmaz</t>
        </is>
      </c>
      <c r="G247" s="25" t="inlineStr">
        <is>
          <t>NS40 | NS40 PVC upper cover (4000601): 120 pcs | Strap (4000450): not used</t>
        </is>
      </c>
      <c r="H247" s="25" t="n">
        <v>34.794</v>
      </c>
      <c r="I247" s="25" t="n">
        <v>2</v>
      </c>
      <c r="J247" s="25" t="n">
        <v>6</v>
      </c>
      <c r="K247" s="25" t="inlineStr">
        <is>
          <t>IA-PPWR-TF-ST-120-STD-02-R00</t>
        </is>
      </c>
      <c r="L247" s="25" t="inlineStr">
        <is>
          <t>IA-PPWR-DOC-ST-120-STD-02-R00</t>
        </is>
      </c>
      <c r="M247" s="25" t="inlineStr">
        <is>
          <t>IA-PPWR-LBL-ST-120-STD-02-R00</t>
        </is>
      </c>
      <c r="N247" s="25" t="inlineStr">
        <is>
          <t>IA-PPWR-STM-ST-120-STD-02-R00</t>
        </is>
      </c>
    </row>
    <row r="248">
      <c r="A248" s="25" t="inlineStr">
        <is>
          <t>ST-120-STD-03</t>
        </is>
      </c>
      <c r="B248" s="25" t="inlineStr">
        <is>
          <t>IA-ST-120-STD-03</t>
        </is>
      </c>
      <c r="C248" s="25" t="inlineStr">
        <is>
          <t>IA-ST-CFG-0286</t>
        </is>
      </c>
      <c r="D248" s="25" t="inlineStr">
        <is>
          <t>STARTER</t>
        </is>
      </c>
      <c r="E248" s="25" t="inlineStr">
        <is>
          <t>NS40 | Palet (4000037): 1 adet | Shrink film (4001177): 0.597 kg</t>
        </is>
      </c>
      <c r="F248" s="25" t="inlineStr">
        <is>
          <t>NS40 | Palet (4000037): 1 adet | Shrink film (4001177): 0.597 kg</t>
        </is>
      </c>
      <c r="G248" s="25" t="inlineStr">
        <is>
          <t>NS40 | Pallet (4000037): 1 pc | Shrink film (4001177): 0.597 kg</t>
        </is>
      </c>
      <c r="H248" s="25" t="n">
        <v>28.649</v>
      </c>
      <c r="I248" s="25" t="n">
        <v>4</v>
      </c>
      <c r="J248" s="25" t="n">
        <v>7</v>
      </c>
      <c r="K248" s="25" t="inlineStr">
        <is>
          <t>IA-PPWR-TF-ST-120-STD-03-R00</t>
        </is>
      </c>
      <c r="L248" s="25" t="inlineStr">
        <is>
          <t>IA-PPWR-DOC-ST-120-STD-03-R00</t>
        </is>
      </c>
      <c r="M248" s="25" t="inlineStr">
        <is>
          <t>IA-PPWR-LBL-ST-120-STD-03-R00</t>
        </is>
      </c>
      <c r="N248" s="25" t="inlineStr">
        <is>
          <t>IA-PPWR-STM-ST-120-STD-03-R00</t>
        </is>
      </c>
    </row>
  </sheetData>
  <autoFilter ref="A1:N24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23" t="inlineStr">
        <is>
          <t>Product Code</t>
        </is>
      </c>
      <c r="B1" s="23" t="inlineStr">
        <is>
          <t>Technical Description</t>
        </is>
      </c>
      <c r="C1" s="23" t="inlineStr">
        <is>
          <t>Category</t>
        </is>
      </c>
      <c r="D1" s="23" t="inlineStr">
        <is>
          <t>Mapped Packaging Set Code</t>
        </is>
      </c>
      <c r="E1" s="23" t="inlineStr">
        <is>
          <t>Configuration ID</t>
        </is>
      </c>
      <c r="F1" s="23" t="inlineStr">
        <is>
          <t>Source Configuration ID</t>
        </is>
      </c>
      <c r="G1" s="23" t="inlineStr">
        <is>
          <t>Packaging Tare</t>
        </is>
      </c>
      <c r="H1" s="23" t="inlineStr">
        <is>
          <t>Document Pack Status</t>
        </is>
      </c>
    </row>
    <row r="2">
      <c r="A2" s="25" t="inlineStr">
        <is>
          <t>1000069</t>
        </is>
      </c>
      <c r="B2" s="25" t="inlineStr">
        <is>
          <t>AKÜ,C-FLAT,DK,200AH,İNCİ SUPRA SENTOR</t>
        </is>
      </c>
      <c r="C2" s="25" t="inlineStr">
        <is>
          <t>1</t>
        </is>
      </c>
      <c r="D2" s="25" t="inlineStr">
        <is>
          <t>ST-021-STD-03</t>
        </is>
      </c>
      <c r="E2" s="25" t="inlineStr">
        <is>
          <t>IA-ST-021-STD-03</t>
        </is>
      </c>
      <c r="F2" s="25" t="inlineStr">
        <is>
          <t>IA-ST-CFG-0023</t>
        </is>
      </c>
      <c r="G2" s="25" t="n">
        <v>31.8252</v>
      </c>
      <c r="H2" s="25" t="inlineStr">
        <is>
          <t>988-pack GENERATED</t>
        </is>
      </c>
    </row>
    <row r="3">
      <c r="A3" s="25" t="inlineStr">
        <is>
          <t>1000441</t>
        </is>
      </c>
      <c r="B3" s="25" t="inlineStr">
        <is>
          <t>AKÜ,A-FLAT,DK,120AH,EAS PRIDE,İÇ PYS</t>
        </is>
      </c>
      <c r="C3" s="25" t="inlineStr">
        <is>
          <t>1</t>
        </is>
      </c>
      <c r="D3" s="25" t="inlineStr">
        <is>
          <t>ST-030-STD-08</t>
        </is>
      </c>
      <c r="E3" s="25" t="inlineStr">
        <is>
          <t>IA-ST-030-STD-08</t>
        </is>
      </c>
      <c r="F3" s="25" t="inlineStr">
        <is>
          <t>IA-ST-CFG-0054</t>
        </is>
      </c>
      <c r="G3" s="25" t="n">
        <v>31.4124</v>
      </c>
      <c r="H3" s="25" t="inlineStr">
        <is>
          <t>988-pack GENERATED</t>
        </is>
      </c>
    </row>
    <row r="4">
      <c r="A4" s="25" t="inlineStr">
        <is>
          <t>1000442</t>
        </is>
      </c>
      <c r="B4" s="25" t="inlineStr">
        <is>
          <t>AKÜ,A-FLAT,DK,135AH,EAS PRIDE,İÇ PYS</t>
        </is>
      </c>
      <c r="C4" s="25" t="inlineStr">
        <is>
          <t>1</t>
        </is>
      </c>
      <c r="D4" s="25" t="inlineStr">
        <is>
          <t>ST-030-STD-08</t>
        </is>
      </c>
      <c r="E4" s="25" t="inlineStr">
        <is>
          <t>IA-ST-030-STD-08</t>
        </is>
      </c>
      <c r="F4" s="25" t="inlineStr">
        <is>
          <t>IA-ST-CFG-0054</t>
        </is>
      </c>
      <c r="G4" s="25" t="n">
        <v>31.4124</v>
      </c>
      <c r="H4" s="25" t="inlineStr">
        <is>
          <t>988-pack GENERATED</t>
        </is>
      </c>
    </row>
    <row r="5">
      <c r="A5" s="25" t="inlineStr">
        <is>
          <t>1000445</t>
        </is>
      </c>
      <c r="B5" s="25" t="inlineStr">
        <is>
          <t>AKÜ,B-FLAT,DK,180AH,EAS PRIDE,İÇ PYS</t>
        </is>
      </c>
      <c r="C5" s="25" t="inlineStr">
        <is>
          <t>1</t>
        </is>
      </c>
      <c r="D5" s="25" t="inlineStr">
        <is>
          <t>ST-030-STD-09</t>
        </is>
      </c>
      <c r="E5" s="25" t="inlineStr">
        <is>
          <t>IA-ST-030-STD-09</t>
        </is>
      </c>
      <c r="F5" s="25" t="inlineStr">
        <is>
          <t>IA-ST-CFG-0055</t>
        </is>
      </c>
      <c r="G5" s="25" t="n">
        <v>32.1024</v>
      </c>
      <c r="H5" s="25" t="inlineStr">
        <is>
          <t>988-pack GENERATED</t>
        </is>
      </c>
    </row>
    <row r="6">
      <c r="A6" s="25" t="inlineStr">
        <is>
          <t>1000448</t>
        </is>
      </c>
      <c r="B6" s="25" t="inlineStr">
        <is>
          <t>AKÜ,C-FLAT,DK,200AH,EAS PRIDE,İÇ PYS</t>
        </is>
      </c>
      <c r="C6" s="25" t="inlineStr">
        <is>
          <t>1</t>
        </is>
      </c>
      <c r="D6" s="25" t="inlineStr">
        <is>
          <t>ST-021-STD-04</t>
        </is>
      </c>
      <c r="E6" s="25" t="inlineStr">
        <is>
          <t>IA-ST-021-STD-04</t>
        </is>
      </c>
      <c r="F6" s="25" t="inlineStr">
        <is>
          <t>IA-ST-CFG-0024</t>
        </is>
      </c>
      <c r="G6" s="25" t="n">
        <v>31.5384</v>
      </c>
      <c r="H6" s="25" t="inlineStr">
        <is>
          <t>988-pack GENERATED</t>
        </is>
      </c>
    </row>
    <row r="7">
      <c r="A7" s="25" t="inlineStr">
        <is>
          <t>1000890</t>
        </is>
      </c>
      <c r="B7" s="25" t="inlineStr">
        <is>
          <t>AKÜ,A-FLAT,DK,120AH,İNCİ SUPRA SENTOR</t>
        </is>
      </c>
      <c r="C7" s="25" t="inlineStr">
        <is>
          <t>1</t>
        </is>
      </c>
      <c r="D7" s="25" t="inlineStr">
        <is>
          <t>ST-030-STD-05</t>
        </is>
      </c>
      <c r="E7" s="25" t="inlineStr">
        <is>
          <t>IA-ST-030-STD-05</t>
        </is>
      </c>
      <c r="F7" s="25" t="inlineStr">
        <is>
          <t>IA-ST-CFG-0051</t>
        </is>
      </c>
      <c r="G7" s="25" t="n">
        <v>31.6992</v>
      </c>
      <c r="H7" s="25" t="inlineStr">
        <is>
          <t>988-pack GENERATED</t>
        </is>
      </c>
    </row>
    <row r="8">
      <c r="A8" s="25" t="inlineStr">
        <is>
          <t>1001102</t>
        </is>
      </c>
      <c r="B8" s="25" t="inlineStr">
        <is>
          <t>AKÜ,C-FLAT,DK,225AH,EAS PRIDE,İÇ PYS</t>
        </is>
      </c>
      <c r="C8" s="25" t="inlineStr">
        <is>
          <t>1</t>
        </is>
      </c>
      <c r="D8" s="25" t="inlineStr">
        <is>
          <t>ST-021-STD-04</t>
        </is>
      </c>
      <c r="E8" s="25" t="inlineStr">
        <is>
          <t>IA-ST-021-STD-04</t>
        </is>
      </c>
      <c r="F8" s="25" t="inlineStr">
        <is>
          <t>IA-ST-CFG-0024</t>
        </is>
      </c>
      <c r="G8" s="25" t="n">
        <v>31.5384</v>
      </c>
      <c r="H8" s="25" t="inlineStr">
        <is>
          <t>988-pack GENERATED</t>
        </is>
      </c>
    </row>
    <row r="9">
      <c r="A9" s="25" t="inlineStr">
        <is>
          <t>1002103</t>
        </is>
      </c>
      <c r="B9" s="25" t="inlineStr">
        <is>
          <t>AKÜ,TRAKTÖRL,DK,115AH,EAS PRIDE,İÇ PYS</t>
        </is>
      </c>
      <c r="C9" s="25" t="inlineStr">
        <is>
          <t>1</t>
        </is>
      </c>
      <c r="D9" s="25" t="inlineStr">
        <is>
          <t>ST-045-STD-09</t>
        </is>
      </c>
      <c r="E9" s="25" t="inlineStr">
        <is>
          <t>IA-ST-045-STD-09</t>
        </is>
      </c>
      <c r="F9" s="25" t="inlineStr">
        <is>
          <t>IA-ST-CFG-0097</t>
        </is>
      </c>
      <c r="G9" s="25" t="n">
        <v>33.063</v>
      </c>
      <c r="H9" s="25" t="inlineStr">
        <is>
          <t>988-pack GENERATED</t>
        </is>
      </c>
    </row>
    <row r="10">
      <c r="A10" s="25" t="inlineStr">
        <is>
          <t>1002104</t>
        </is>
      </c>
      <c r="B10" s="25" t="inlineStr">
        <is>
          <t>AKÜ,TRAKTÖR,DK,125AH,EAS PRIDE,İÇ PYS</t>
        </is>
      </c>
      <c r="C10" s="25" t="inlineStr">
        <is>
          <t>1</t>
        </is>
      </c>
      <c r="D10" s="25" t="inlineStr">
        <is>
          <t>ST-045-STD-09</t>
        </is>
      </c>
      <c r="E10" s="25" t="inlineStr">
        <is>
          <t>IA-ST-045-STD-09</t>
        </is>
      </c>
      <c r="F10" s="25" t="inlineStr">
        <is>
          <t>IA-ST-CFG-0097</t>
        </is>
      </c>
      <c r="G10" s="25" t="n">
        <v>33.063</v>
      </c>
      <c r="H10" s="25" t="inlineStr">
        <is>
          <t>988-pack GENERATED</t>
        </is>
      </c>
    </row>
    <row r="11">
      <c r="A11" s="25" t="inlineStr">
        <is>
          <t>1002216</t>
        </is>
      </c>
      <c r="B11" s="25" t="inlineStr">
        <is>
          <t>AKÜ,B-FLAT,DK,180AH,İNCİ SUPRA,EEC MISIR</t>
        </is>
      </c>
      <c r="C11" s="25" t="inlineStr">
        <is>
          <t>1</t>
        </is>
      </c>
      <c r="D11" s="25" t="inlineStr">
        <is>
          <t>ST-030-STD-06</t>
        </is>
      </c>
      <c r="E11" s="25" t="inlineStr">
        <is>
          <t>IA-ST-030-STD-06</t>
        </is>
      </c>
      <c r="F11" s="25" t="inlineStr">
        <is>
          <t>IA-ST-CFG-0052</t>
        </is>
      </c>
      <c r="G11" s="25" t="n">
        <v>32.3892</v>
      </c>
      <c r="H11" s="25" t="inlineStr">
        <is>
          <t>988-pack GENERATED</t>
        </is>
      </c>
    </row>
    <row r="12">
      <c r="A12" s="25" t="inlineStr">
        <is>
          <t>1002422</t>
        </is>
      </c>
      <c r="B12" s="25" t="inlineStr">
        <is>
          <t>AKÜ,B-FLAT,DK,170AH,HUGEL ACTION</t>
        </is>
      </c>
      <c r="C12" s="25" t="inlineStr">
        <is>
          <t>1</t>
        </is>
      </c>
      <c r="D12" s="25" t="inlineStr">
        <is>
          <t>ST-030-STD-06</t>
        </is>
      </c>
      <c r="E12" s="25" t="inlineStr">
        <is>
          <t>IA-ST-030-STD-06</t>
        </is>
      </c>
      <c r="F12" s="25" t="inlineStr">
        <is>
          <t>IA-ST-CFG-0052</t>
        </is>
      </c>
      <c r="G12" s="25" t="n">
        <v>32.3892</v>
      </c>
      <c r="H12" s="25" t="inlineStr">
        <is>
          <t>988-pack GENERATED</t>
        </is>
      </c>
    </row>
    <row r="13">
      <c r="A13" s="25" t="inlineStr">
        <is>
          <t>1002873</t>
        </is>
      </c>
      <c r="B13" s="25" t="inlineStr">
        <is>
          <t>AKÜ,A-FLAT,DK,135AH,HUGEL ACTION</t>
        </is>
      </c>
      <c r="C13" s="25" t="inlineStr">
        <is>
          <t>1</t>
        </is>
      </c>
      <c r="D13" s="25" t="inlineStr">
        <is>
          <t>ST-030-STD-05</t>
        </is>
      </c>
      <c r="E13" s="25" t="inlineStr">
        <is>
          <t>IA-ST-030-STD-05</t>
        </is>
      </c>
      <c r="F13" s="25" t="inlineStr">
        <is>
          <t>IA-ST-CFG-0051</t>
        </is>
      </c>
      <c r="G13" s="25" t="n">
        <v>31.6992</v>
      </c>
      <c r="H13" s="25" t="inlineStr">
        <is>
          <t>988-pack GENERATED</t>
        </is>
      </c>
    </row>
    <row r="14">
      <c r="A14" s="25" t="inlineStr">
        <is>
          <t>1003150</t>
        </is>
      </c>
      <c r="B14" s="25" t="inlineStr">
        <is>
          <t>AKÜ,A-FLAT,DK,135AH,İNCİ,SUPRA SENTOR</t>
        </is>
      </c>
      <c r="C14" s="25" t="inlineStr">
        <is>
          <t>1</t>
        </is>
      </c>
      <c r="D14" s="25" t="inlineStr">
        <is>
          <t>ST-030-STD-05</t>
        </is>
      </c>
      <c r="E14" s="25" t="inlineStr">
        <is>
          <t>IA-ST-030-STD-05</t>
        </is>
      </c>
      <c r="F14" s="25" t="inlineStr">
        <is>
          <t>IA-ST-CFG-0051</t>
        </is>
      </c>
      <c r="G14" s="25" t="n">
        <v>31.6992</v>
      </c>
      <c r="H14" s="25" t="inlineStr">
        <is>
          <t>988-pack GENERATED</t>
        </is>
      </c>
    </row>
    <row r="15">
      <c r="A15" s="25" t="inlineStr">
        <is>
          <t>1003275</t>
        </is>
      </c>
      <c r="B15" s="25" t="inlineStr">
        <is>
          <t>AKÜ,C-FLAT,DK,240AH,İNCİ SUPRA SENTOR</t>
        </is>
      </c>
      <c r="C15" s="25" t="inlineStr">
        <is>
          <t>1</t>
        </is>
      </c>
      <c r="D15" s="25" t="inlineStr">
        <is>
          <t>ST-021-STD-03</t>
        </is>
      </c>
      <c r="E15" s="25" t="inlineStr">
        <is>
          <t>IA-ST-021-STD-03</t>
        </is>
      </c>
      <c r="F15" s="25" t="inlineStr">
        <is>
          <t>IA-ST-CFG-0023</t>
        </is>
      </c>
      <c r="G15" s="25" t="n">
        <v>31.8252</v>
      </c>
      <c r="H15" s="25" t="inlineStr">
        <is>
          <t>988-pack GENERATED</t>
        </is>
      </c>
    </row>
    <row r="16">
      <c r="A16" s="25" t="inlineStr">
        <is>
          <t>1003330</t>
        </is>
      </c>
      <c r="B16" s="25" t="inlineStr">
        <is>
          <t>AKÜ,B-FLAT,DK,180AH,HUGEL ACTION</t>
        </is>
      </c>
      <c r="C16" s="25" t="inlineStr">
        <is>
          <t>1</t>
        </is>
      </c>
      <c r="D16" s="25" t="inlineStr">
        <is>
          <t>ST-030-STD-06</t>
        </is>
      </c>
      <c r="E16" s="25" t="inlineStr">
        <is>
          <t>IA-ST-030-STD-06</t>
        </is>
      </c>
      <c r="F16" s="25" t="inlineStr">
        <is>
          <t>IA-ST-CFG-0052</t>
        </is>
      </c>
      <c r="G16" s="25" t="n">
        <v>32.3892</v>
      </c>
      <c r="H16" s="25" t="inlineStr">
        <is>
          <t>988-pack GENERATED</t>
        </is>
      </c>
    </row>
    <row r="17">
      <c r="A17" s="25" t="inlineStr">
        <is>
          <t>1003332</t>
        </is>
      </c>
      <c r="B17" s="25" t="inlineStr">
        <is>
          <t>AKÜ,B-FLAT,DK,180AH,HUGEL ACTION</t>
        </is>
      </c>
      <c r="C17" s="25" t="inlineStr">
        <is>
          <t>1</t>
        </is>
      </c>
      <c r="D17" s="25" t="inlineStr">
        <is>
          <t>ST-030-STD-06</t>
        </is>
      </c>
      <c r="E17" s="25" t="inlineStr">
        <is>
          <t>IA-ST-030-STD-06</t>
        </is>
      </c>
      <c r="F17" s="25" t="inlineStr">
        <is>
          <t>IA-ST-CFG-0052</t>
        </is>
      </c>
      <c r="G17" s="25" t="n">
        <v>32.3892</v>
      </c>
      <c r="H17" s="25" t="inlineStr">
        <is>
          <t>988-pack GENERATED</t>
        </is>
      </c>
    </row>
    <row r="18">
      <c r="A18" s="25" t="inlineStr">
        <is>
          <t>1003341</t>
        </is>
      </c>
      <c r="B18" s="25" t="inlineStr">
        <is>
          <t>AKÜ,A-FLAT,DK,120AH,HUGEL ACTION</t>
        </is>
      </c>
      <c r="C18" s="25" t="inlineStr">
        <is>
          <t>1</t>
        </is>
      </c>
      <c r="D18" s="25" t="inlineStr">
        <is>
          <t>ST-030-STD-05</t>
        </is>
      </c>
      <c r="E18" s="25" t="inlineStr">
        <is>
          <t>IA-ST-030-STD-05</t>
        </is>
      </c>
      <c r="F18" s="25" t="inlineStr">
        <is>
          <t>IA-ST-CFG-0051</t>
        </is>
      </c>
      <c r="G18" s="25" t="n">
        <v>31.6992</v>
      </c>
      <c r="H18" s="25" t="inlineStr">
        <is>
          <t>988-pack GENERATED</t>
        </is>
      </c>
    </row>
    <row r="19">
      <c r="A19" s="25" t="inlineStr">
        <is>
          <t>1003383</t>
        </is>
      </c>
      <c r="B19" s="25" t="inlineStr">
        <is>
          <t>AKÜ,C-FLAT,DK,200AH,HUGEL ACTION</t>
        </is>
      </c>
      <c r="C19" s="25" t="inlineStr">
        <is>
          <t>1</t>
        </is>
      </c>
      <c r="D19" s="25" t="inlineStr">
        <is>
          <t>ST-021-STD-03</t>
        </is>
      </c>
      <c r="E19" s="25" t="inlineStr">
        <is>
          <t>IA-ST-021-STD-03</t>
        </is>
      </c>
      <c r="F19" s="25" t="inlineStr">
        <is>
          <t>IA-ST-CFG-0023</t>
        </is>
      </c>
      <c r="G19" s="25" t="n">
        <v>31.8252</v>
      </c>
      <c r="H19" s="25" t="inlineStr">
        <is>
          <t>988-pack GENERATED</t>
        </is>
      </c>
    </row>
    <row r="20">
      <c r="A20" s="25" t="inlineStr">
        <is>
          <t>1003403</t>
        </is>
      </c>
      <c r="B20" s="25" t="inlineStr">
        <is>
          <t>AKÜ,C-FLAT,DK,240AH,EAS PRIDE,İÇ PYS</t>
        </is>
      </c>
      <c r="C20" s="25" t="inlineStr">
        <is>
          <t>1</t>
        </is>
      </c>
      <c r="D20" s="25" t="inlineStr">
        <is>
          <t>ST-021-STD-04</t>
        </is>
      </c>
      <c r="E20" s="25" t="inlineStr">
        <is>
          <t>IA-ST-021-STD-04</t>
        </is>
      </c>
      <c r="F20" s="25" t="inlineStr">
        <is>
          <t>IA-ST-CFG-0024</t>
        </is>
      </c>
      <c r="G20" s="25" t="n">
        <v>31.5384</v>
      </c>
      <c r="H20" s="25" t="inlineStr">
        <is>
          <t>988-pack GENERATED</t>
        </is>
      </c>
    </row>
    <row r="21">
      <c r="A21" s="25" t="inlineStr">
        <is>
          <t>1003539</t>
        </is>
      </c>
      <c r="B21" s="25" t="inlineStr">
        <is>
          <t>AKÜ,B-FLAT,DK,180AH,EAS PRIDE</t>
        </is>
      </c>
      <c r="C21" s="25" t="inlineStr">
        <is>
          <t>1</t>
        </is>
      </c>
      <c r="D21" s="25" t="inlineStr">
        <is>
          <t>ST-030-STD-06</t>
        </is>
      </c>
      <c r="E21" s="25" t="inlineStr">
        <is>
          <t>IA-ST-030-STD-06</t>
        </is>
      </c>
      <c r="F21" s="25" t="inlineStr">
        <is>
          <t>IA-ST-CFG-0052</t>
        </is>
      </c>
      <c r="G21" s="25" t="n">
        <v>32.3892</v>
      </c>
      <c r="H21" s="25" t="inlineStr">
        <is>
          <t>988-pack GENERATED</t>
        </is>
      </c>
    </row>
    <row r="22">
      <c r="A22" s="25" t="inlineStr">
        <is>
          <t>1003643</t>
        </is>
      </c>
      <c r="B22" s="25" t="inlineStr">
        <is>
          <t>AKÜ,B-FLAT,DK,180AH,HUGEL ACTION,EURO</t>
        </is>
      </c>
      <c r="C22" s="25" t="inlineStr">
        <is>
          <t>1</t>
        </is>
      </c>
      <c r="D22" s="25" t="inlineStr">
        <is>
          <t>ST-021-EUR-03</t>
        </is>
      </c>
      <c r="E22" s="25" t="inlineStr">
        <is>
          <t>IA-ST-021-EUR-03</t>
        </is>
      </c>
      <c r="F22" s="25" t="inlineStr">
        <is>
          <t>IA-ST-CFG-0029</t>
        </is>
      </c>
      <c r="G22" s="25" t="n">
        <v>30.7682</v>
      </c>
      <c r="H22" s="25" t="inlineStr">
        <is>
          <t>988-pack GENERATED</t>
        </is>
      </c>
    </row>
    <row r="23">
      <c r="A23" s="25" t="inlineStr">
        <is>
          <t>1003800</t>
        </is>
      </c>
      <c r="B23" s="25" t="inlineStr">
        <is>
          <t>AKÜ,B-FLAT,DK,180AH,BLİZZARO TRENDLINE</t>
        </is>
      </c>
      <c r="C23" s="25" t="inlineStr">
        <is>
          <t>1</t>
        </is>
      </c>
      <c r="D23" s="25" t="inlineStr">
        <is>
          <t>ST-030-STD-06</t>
        </is>
      </c>
      <c r="E23" s="25" t="inlineStr">
        <is>
          <t>IA-ST-030-STD-06</t>
        </is>
      </c>
      <c r="F23" s="25" t="inlineStr">
        <is>
          <t>IA-ST-CFG-0052</t>
        </is>
      </c>
      <c r="G23" s="25" t="n">
        <v>32.3892</v>
      </c>
      <c r="H23" s="25" t="inlineStr">
        <is>
          <t>988-pack GENERATED</t>
        </is>
      </c>
    </row>
    <row r="24">
      <c r="A24" s="25" t="inlineStr">
        <is>
          <t>1003973</t>
        </is>
      </c>
      <c r="B24" s="25" t="inlineStr">
        <is>
          <t>AKÜ,TRAKTÖRL,DK,105AH,EAS PRIDE,İÇ PYS</t>
        </is>
      </c>
      <c r="C24" s="25" t="inlineStr">
        <is>
          <t>1</t>
        </is>
      </c>
      <c r="D24" s="25" t="inlineStr">
        <is>
          <t>ST-045-STD-09</t>
        </is>
      </c>
      <c r="E24" s="25" t="inlineStr">
        <is>
          <t>IA-ST-045-STD-09</t>
        </is>
      </c>
      <c r="F24" s="25" t="inlineStr">
        <is>
          <t>IA-ST-CFG-0097</t>
        </is>
      </c>
      <c r="G24" s="25" t="n">
        <v>33.063</v>
      </c>
      <c r="H24" s="25" t="inlineStr">
        <is>
          <t>988-pack GENERATED</t>
        </is>
      </c>
    </row>
    <row r="25">
      <c r="A25" s="25" t="inlineStr">
        <is>
          <t>1003974</t>
        </is>
      </c>
      <c r="B25" s="25" t="inlineStr">
        <is>
          <t>AKÜ,TRACTORL,DK,105AH,BLIZZTRENDL,JANENE</t>
        </is>
      </c>
      <c r="C25" s="25" t="inlineStr">
        <is>
          <t>1</t>
        </is>
      </c>
      <c r="D25" s="25" t="inlineStr">
        <is>
          <t>ST-045-STD-05</t>
        </is>
      </c>
      <c r="E25" s="25" t="inlineStr">
        <is>
          <t>IA-ST-045-STD-05</t>
        </is>
      </c>
      <c r="F25" s="25" t="inlineStr">
        <is>
          <t>IA-ST-CFG-0093</t>
        </is>
      </c>
      <c r="G25" s="25" t="n">
        <v>33.3498</v>
      </c>
      <c r="H25" s="25" t="inlineStr">
        <is>
          <t>988-pack GENERATED</t>
        </is>
      </c>
    </row>
    <row r="26">
      <c r="A26" s="25" t="inlineStr">
        <is>
          <t>1003977</t>
        </is>
      </c>
      <c r="B26" s="25" t="inlineStr">
        <is>
          <t>AKÜ,TRACTORL,DK,105AH,İNCİ SUPRA SENTOR</t>
        </is>
      </c>
      <c r="C26" s="25" t="inlineStr">
        <is>
          <t>1</t>
        </is>
      </c>
      <c r="D26" s="25" t="inlineStr">
        <is>
          <t>ST-045-STD-05</t>
        </is>
      </c>
      <c r="E26" s="25" t="inlineStr">
        <is>
          <t>IA-ST-045-STD-05</t>
        </is>
      </c>
      <c r="F26" s="25" t="inlineStr">
        <is>
          <t>IA-ST-CFG-0093</t>
        </is>
      </c>
      <c r="G26" s="25" t="n">
        <v>33.3498</v>
      </c>
      <c r="H26" s="25" t="inlineStr">
        <is>
          <t>988-pack GENERATED</t>
        </is>
      </c>
    </row>
    <row r="27">
      <c r="A27" s="25" t="inlineStr">
        <is>
          <t>1004031</t>
        </is>
      </c>
      <c r="B27" s="25" t="inlineStr">
        <is>
          <t>AKÜ,B-FLAT,DK,150AH,EAS PRIDE,İÇ PYS</t>
        </is>
      </c>
      <c r="C27" s="25" t="inlineStr">
        <is>
          <t>1</t>
        </is>
      </c>
      <c r="D27" s="25" t="inlineStr">
        <is>
          <t>ST-030-STD-09</t>
        </is>
      </c>
      <c r="E27" s="25" t="inlineStr">
        <is>
          <t>IA-ST-030-STD-09</t>
        </is>
      </c>
      <c r="F27" s="25" t="inlineStr">
        <is>
          <t>IA-ST-CFG-0055</t>
        </is>
      </c>
      <c r="G27" s="25" t="n">
        <v>32.1024</v>
      </c>
      <c r="H27" s="25" t="inlineStr">
        <is>
          <t>988-pack GENERATED</t>
        </is>
      </c>
    </row>
    <row r="28">
      <c r="A28" s="25" t="inlineStr">
        <is>
          <t>1004037</t>
        </is>
      </c>
      <c r="B28" s="25" t="inlineStr">
        <is>
          <t>AKÜ SULU,B-EX,150AH,HUGEL</t>
        </is>
      </c>
      <c r="C28" s="25" t="inlineStr">
        <is>
          <t>1</t>
        </is>
      </c>
      <c r="D28" s="25" t="inlineStr">
        <is>
          <t>ST-030-STD-06</t>
        </is>
      </c>
      <c r="E28" s="25" t="inlineStr">
        <is>
          <t>IA-ST-030-STD-06</t>
        </is>
      </c>
      <c r="F28" s="25" t="inlineStr">
        <is>
          <t>IA-ST-CFG-0052</t>
        </is>
      </c>
      <c r="G28" s="25" t="n">
        <v>32.3892</v>
      </c>
      <c r="H28" s="25" t="inlineStr">
        <is>
          <t>988-pack GENERATED</t>
        </is>
      </c>
    </row>
    <row r="29">
      <c r="A29" s="25" t="inlineStr">
        <is>
          <t>1004067</t>
        </is>
      </c>
      <c r="B29" s="25" t="inlineStr">
        <is>
          <t>AKÜ,B-FLAT,DK,152AH,HUGEL ACTION,SHAWKAT</t>
        </is>
      </c>
      <c r="C29" s="25" t="inlineStr">
        <is>
          <t>1</t>
        </is>
      </c>
      <c r="D29" s="25" t="inlineStr">
        <is>
          <t>ST-030-STD-06</t>
        </is>
      </c>
      <c r="E29" s="25" t="inlineStr">
        <is>
          <t>IA-ST-030-STD-06</t>
        </is>
      </c>
      <c r="F29" s="25" t="inlineStr">
        <is>
          <t>IA-ST-CFG-0052</t>
        </is>
      </c>
      <c r="G29" s="25" t="n">
        <v>32.3892</v>
      </c>
      <c r="H29" s="25" t="inlineStr">
        <is>
          <t>988-pack GENERATED</t>
        </is>
      </c>
    </row>
    <row r="30">
      <c r="A30" s="25" t="inlineStr">
        <is>
          <t>1004234</t>
        </is>
      </c>
      <c r="B30" s="25" t="inlineStr">
        <is>
          <t>AKÜ,B-FLAT,DK,165AH EAS PRIDE,İÇ PYS</t>
        </is>
      </c>
      <c r="C30" s="25" t="inlineStr">
        <is>
          <t>1</t>
        </is>
      </c>
      <c r="D30" s="25" t="inlineStr">
        <is>
          <t>ST-030-STD-09</t>
        </is>
      </c>
      <c r="E30" s="25" t="inlineStr">
        <is>
          <t>IA-ST-030-STD-09</t>
        </is>
      </c>
      <c r="F30" s="25" t="inlineStr">
        <is>
          <t>IA-ST-CFG-0055</t>
        </is>
      </c>
      <c r="G30" s="25" t="n">
        <v>32.1024</v>
      </c>
      <c r="H30" s="25" t="inlineStr">
        <is>
          <t>988-pack GENERATED</t>
        </is>
      </c>
    </row>
    <row r="31">
      <c r="A31" s="25" t="inlineStr">
        <is>
          <t>1004293</t>
        </is>
      </c>
      <c r="B31" s="25" t="inlineStr">
        <is>
          <t>AKÜ,A-FLAT,DK,135AH,HUGEL ACTION,İÇ PYS</t>
        </is>
      </c>
      <c r="C31" s="25" t="inlineStr">
        <is>
          <t>1</t>
        </is>
      </c>
      <c r="D31" s="25" t="inlineStr">
        <is>
          <t>ST-030-STD-08</t>
        </is>
      </c>
      <c r="E31" s="25" t="inlineStr">
        <is>
          <t>IA-ST-030-STD-08</t>
        </is>
      </c>
      <c r="F31" s="25" t="inlineStr">
        <is>
          <t>IA-ST-CFG-0054</t>
        </is>
      </c>
      <c r="G31" s="25" t="n">
        <v>31.4124</v>
      </c>
      <c r="H31" s="25" t="inlineStr">
        <is>
          <t>988-pack GENERATED</t>
        </is>
      </c>
    </row>
    <row r="32">
      <c r="A32" s="25" t="inlineStr">
        <is>
          <t>1004297</t>
        </is>
      </c>
      <c r="B32" s="25" t="inlineStr">
        <is>
          <t>AKÜ,B-FLAT,DK,180AH,HUGEL ACTION,İÇ PYS</t>
        </is>
      </c>
      <c r="C32" s="25" t="inlineStr">
        <is>
          <t>1</t>
        </is>
      </c>
      <c r="D32" s="25" t="inlineStr">
        <is>
          <t>ST-030-STD-09</t>
        </is>
      </c>
      <c r="E32" s="25" t="inlineStr">
        <is>
          <t>IA-ST-030-STD-09</t>
        </is>
      </c>
      <c r="F32" s="25" t="inlineStr">
        <is>
          <t>IA-ST-CFG-0055</t>
        </is>
      </c>
      <c r="G32" s="25" t="n">
        <v>32.1024</v>
      </c>
      <c r="H32" s="25" t="inlineStr">
        <is>
          <t>988-pack GENERATED</t>
        </is>
      </c>
    </row>
    <row r="33">
      <c r="A33" s="25" t="inlineStr">
        <is>
          <t>1004304</t>
        </is>
      </c>
      <c r="B33" s="25" t="inlineStr">
        <is>
          <t>AKÜ,C-FLAT,DK,240AH,HUGEL ACTION,İÇ PYS</t>
        </is>
      </c>
      <c r="C33" s="25" t="inlineStr">
        <is>
          <t>1</t>
        </is>
      </c>
      <c r="D33" s="25" t="inlineStr">
        <is>
          <t>ST-021-STD-04</t>
        </is>
      </c>
      <c r="E33" s="25" t="inlineStr">
        <is>
          <t>IA-ST-021-STD-04</t>
        </is>
      </c>
      <c r="F33" s="25" t="inlineStr">
        <is>
          <t>IA-ST-CFG-0024</t>
        </is>
      </c>
      <c r="G33" s="25" t="n">
        <v>31.5384</v>
      </c>
      <c r="H33" s="25" t="inlineStr">
        <is>
          <t>988-pack GENERATED</t>
        </is>
      </c>
    </row>
    <row r="34">
      <c r="A34" s="25" t="inlineStr">
        <is>
          <t>1004497</t>
        </is>
      </c>
      <c r="B34" s="25" t="inlineStr">
        <is>
          <t>AKÜ,A-FLAT,DK,135AH,BLIZZARO TRENDLINE</t>
        </is>
      </c>
      <c r="C34" s="25" t="inlineStr">
        <is>
          <t>1</t>
        </is>
      </c>
      <c r="D34" s="25" t="inlineStr">
        <is>
          <t>ST-030-STD-05</t>
        </is>
      </c>
      <c r="E34" s="25" t="inlineStr">
        <is>
          <t>IA-ST-030-STD-05</t>
        </is>
      </c>
      <c r="F34" s="25" t="inlineStr">
        <is>
          <t>IA-ST-CFG-0051</t>
        </is>
      </c>
      <c r="G34" s="25" t="n">
        <v>31.6992</v>
      </c>
      <c r="H34" s="25" t="inlineStr">
        <is>
          <t>988-pack GENERATED</t>
        </is>
      </c>
    </row>
    <row r="35">
      <c r="A35" s="29" t="inlineStr">
        <is>
          <t>1004590</t>
        </is>
      </c>
      <c r="B35" s="29" t="inlineStr">
        <is>
          <t>AKÜ,TRACTOR,DK,125AH,B00,SUPRA,AIOS OEM</t>
        </is>
      </c>
      <c r="C35" s="29" t="inlineStr">
        <is>
          <t>1</t>
        </is>
      </c>
      <c r="H35" s="29" t="inlineStr">
        <is>
          <t>NO MAPPING</t>
        </is>
      </c>
    </row>
    <row r="36">
      <c r="A36" s="29" t="inlineStr">
        <is>
          <t>1004591</t>
        </is>
      </c>
      <c r="B36" s="29" t="inlineStr">
        <is>
          <t>AKÜ,TRACTORL,DK,105AH,B01,SUPRA,AIOS OEM</t>
        </is>
      </c>
      <c r="C36" s="29" t="inlineStr">
        <is>
          <t>1</t>
        </is>
      </c>
      <c r="H36" s="29" t="inlineStr">
        <is>
          <t>NO MAPPING</t>
        </is>
      </c>
    </row>
    <row r="37">
      <c r="A37" s="29" t="inlineStr">
        <is>
          <t>1004599</t>
        </is>
      </c>
      <c r="B37" s="29" t="inlineStr">
        <is>
          <t>AKÜ,TRACTORL,DK,115AH,B00,İNCİSUPR,TEMSA</t>
        </is>
      </c>
      <c r="C37" s="29" t="inlineStr">
        <is>
          <t>1</t>
        </is>
      </c>
      <c r="H37" s="29" t="inlineStr">
        <is>
          <t>NO MAPPING</t>
        </is>
      </c>
    </row>
    <row r="38">
      <c r="A38" s="29" t="inlineStr">
        <is>
          <t>1004600</t>
        </is>
      </c>
      <c r="B38" s="29" t="inlineStr">
        <is>
          <t>AKÜ,TRACTORL,DK,105AH,İNCİSUPRA,TEMSAOEM</t>
        </is>
      </c>
      <c r="C38" s="29" t="inlineStr">
        <is>
          <t>1</t>
        </is>
      </c>
      <c r="H38" s="29" t="inlineStr">
        <is>
          <t>NO MAPPING</t>
        </is>
      </c>
    </row>
    <row r="39">
      <c r="A39" s="25" t="inlineStr">
        <is>
          <t>1005175</t>
        </is>
      </c>
      <c r="B39" s="25" t="inlineStr">
        <is>
          <t>AKÜ,B-FLAT,DK,180AH,İNCİ SUPRA SENT,EURO</t>
        </is>
      </c>
      <c r="C39" s="25" t="inlineStr">
        <is>
          <t>1</t>
        </is>
      </c>
      <c r="D39" s="25" t="inlineStr">
        <is>
          <t>ST-021-EUR-03</t>
        </is>
      </c>
      <c r="E39" s="25" t="inlineStr">
        <is>
          <t>IA-ST-021-EUR-03</t>
        </is>
      </c>
      <c r="F39" s="25" t="inlineStr">
        <is>
          <t>IA-ST-CFG-0029</t>
        </is>
      </c>
      <c r="G39" s="25" t="n">
        <v>30.7682</v>
      </c>
      <c r="H39" s="25" t="inlineStr">
        <is>
          <t>988-pack GENERATED</t>
        </is>
      </c>
    </row>
    <row r="40">
      <c r="A40" s="25" t="inlineStr">
        <is>
          <t>1005176</t>
        </is>
      </c>
      <c r="B40" s="25" t="inlineStr">
        <is>
          <t>AKÜ,C-FLAT,DK,225AH,İNCİ SUPRA SENT,EURO</t>
        </is>
      </c>
      <c r="C40" s="25" t="inlineStr">
        <is>
          <t>1</t>
        </is>
      </c>
      <c r="D40" s="25" t="inlineStr">
        <is>
          <t>ST-018-EUR-03</t>
        </is>
      </c>
      <c r="E40" s="25" t="inlineStr">
        <is>
          <t>IA-ST-018-EUR-03</t>
        </is>
      </c>
      <c r="F40" s="25" t="inlineStr">
        <is>
          <t>IA-ST-CFG-0014</t>
        </is>
      </c>
      <c r="G40" s="25" t="n">
        <v>30.9872</v>
      </c>
      <c r="H40" s="25" t="inlineStr">
        <is>
          <t>988-pack GENERATED</t>
        </is>
      </c>
    </row>
    <row r="41">
      <c r="A41" s="29" t="inlineStr">
        <is>
          <t>1005491</t>
        </is>
      </c>
      <c r="B41" s="29" t="inlineStr">
        <is>
          <t>AKÜ,TRACTORL,DK,105AH,CARGO,MAKO,OES</t>
        </is>
      </c>
      <c r="C41" s="29" t="inlineStr">
        <is>
          <t>1</t>
        </is>
      </c>
      <c r="H41" s="29" t="inlineStr">
        <is>
          <t>NO MAPPING</t>
        </is>
      </c>
    </row>
    <row r="42">
      <c r="A42" s="29" t="inlineStr">
        <is>
          <t>1005780</t>
        </is>
      </c>
      <c r="B42" s="29" t="inlineStr">
        <is>
          <t>AKÜ,C-IGYA,DK,225AH,İNCİ SUPRA,TEMSA OEM</t>
        </is>
      </c>
      <c r="C42" s="29" t="inlineStr">
        <is>
          <t>1</t>
        </is>
      </c>
      <c r="H42" s="29" t="inlineStr">
        <is>
          <t>NO MAPPING</t>
        </is>
      </c>
    </row>
    <row r="43">
      <c r="A43" s="29" t="inlineStr">
        <is>
          <t>1005826</t>
        </is>
      </c>
      <c r="B43" s="29" t="inlineStr">
        <is>
          <t>AKÜ,C-IGYA,DK,210AH,İNCİ SUPRASENTOR,BMC</t>
        </is>
      </c>
      <c r="C43" s="29" t="inlineStr">
        <is>
          <t>1</t>
        </is>
      </c>
      <c r="H43" s="29" t="inlineStr">
        <is>
          <t>NO MAPPING</t>
        </is>
      </c>
    </row>
    <row r="44">
      <c r="A44" s="29" t="inlineStr">
        <is>
          <t>1005827</t>
        </is>
      </c>
      <c r="B44" s="29" t="inlineStr">
        <is>
          <t>AKÜ,C-IGYA,DK,225AH,İNCİ SUPRA,BMC,HORT</t>
        </is>
      </c>
      <c r="C44" s="29" t="inlineStr">
        <is>
          <t>1</t>
        </is>
      </c>
      <c r="H44" s="29" t="inlineStr">
        <is>
          <t>NO MAPPING</t>
        </is>
      </c>
    </row>
    <row r="45">
      <c r="A45" s="29" t="inlineStr">
        <is>
          <t>1005828</t>
        </is>
      </c>
      <c r="B45" s="29" t="inlineStr">
        <is>
          <t>AKÜ,B-FLAT,DK,180AH,İNCİ SUPRASENTOR,BMC</t>
        </is>
      </c>
      <c r="C45" s="29" t="inlineStr">
        <is>
          <t>1</t>
        </is>
      </c>
      <c r="H45" s="29" t="inlineStr">
        <is>
          <t>NO MAPPING</t>
        </is>
      </c>
    </row>
    <row r="46">
      <c r="A46" s="29" t="inlineStr">
        <is>
          <t>1005829</t>
        </is>
      </c>
      <c r="B46" s="29" t="inlineStr">
        <is>
          <t>AKÜ,B-IGYA,DK,180AH,SUPRA,BMCOTOBÜS,HORT</t>
        </is>
      </c>
      <c r="C46" s="29" t="inlineStr">
        <is>
          <t>1</t>
        </is>
      </c>
      <c r="H46" s="29" t="inlineStr">
        <is>
          <t>NO MAPPING</t>
        </is>
      </c>
    </row>
    <row r="47">
      <c r="A47" s="29" t="inlineStr">
        <is>
          <t>1005833</t>
        </is>
      </c>
      <c r="B47" s="29" t="inlineStr">
        <is>
          <t>AKÜ,TRACTORL,DK,115AH,B01,SUPRA,ERKUNT</t>
        </is>
      </c>
      <c r="C47" s="29" t="inlineStr">
        <is>
          <t>1</t>
        </is>
      </c>
      <c r="H47" s="29" t="inlineStr">
        <is>
          <t>NO MAPPING</t>
        </is>
      </c>
    </row>
    <row r="48">
      <c r="A48" s="29" t="inlineStr">
        <is>
          <t>1005922</t>
        </is>
      </c>
      <c r="B48" s="29" t="inlineStr">
        <is>
          <t>AKÜ,TRACTORL,DK,105AH,B01,SUPRA,ERKUNT</t>
        </is>
      </c>
      <c r="C48" s="29" t="inlineStr">
        <is>
          <t>1</t>
        </is>
      </c>
      <c r="H48" s="29" t="inlineStr">
        <is>
          <t>NO MAPPING</t>
        </is>
      </c>
    </row>
    <row r="49">
      <c r="A49" s="29" t="inlineStr">
        <is>
          <t>1006036</t>
        </is>
      </c>
      <c r="B49" s="29" t="inlineStr">
        <is>
          <t>AKÜ,A-FLAT,DK,135AH,CARGO,MAKO,OES</t>
        </is>
      </c>
      <c r="C49" s="29" t="inlineStr">
        <is>
          <t>1</t>
        </is>
      </c>
      <c r="H49" s="29" t="inlineStr">
        <is>
          <t>NO MAPPING</t>
        </is>
      </c>
    </row>
    <row r="50">
      <c r="A50" s="29" t="inlineStr">
        <is>
          <t>1006037</t>
        </is>
      </c>
      <c r="B50" s="29" t="inlineStr">
        <is>
          <t>AKÜ,B-FLAT,DK,150AH,CARGO,MAKO,OES</t>
        </is>
      </c>
      <c r="C50" s="29" t="inlineStr">
        <is>
          <t>1</t>
        </is>
      </c>
      <c r="H50" s="29" t="inlineStr">
        <is>
          <t>NO MAPPING</t>
        </is>
      </c>
    </row>
    <row r="51">
      <c r="A51" s="29" t="inlineStr">
        <is>
          <t>1006039</t>
        </is>
      </c>
      <c r="B51" s="29" t="inlineStr">
        <is>
          <t>AKÜ,B-FLAT,DK,180AH,CARGO,MAKO,OES</t>
        </is>
      </c>
      <c r="C51" s="29" t="inlineStr">
        <is>
          <t>1</t>
        </is>
      </c>
      <c r="H51" s="29" t="inlineStr">
        <is>
          <t>NO MAPPING</t>
        </is>
      </c>
    </row>
    <row r="52">
      <c r="A52" s="25" t="inlineStr">
        <is>
          <t>1006040</t>
        </is>
      </c>
      <c r="B52" s="25" t="inlineStr">
        <is>
          <t>AKÜ,C-FLAT,DK,200AH,CARGO,MAKO,OES</t>
        </is>
      </c>
      <c r="C52" s="25" t="inlineStr">
        <is>
          <t>1</t>
        </is>
      </c>
      <c r="D52" s="25" t="inlineStr">
        <is>
          <t>ST-018-EUR-05</t>
        </is>
      </c>
      <c r="E52" s="25" t="inlineStr">
        <is>
          <t>IA-ST-018-EUR-05</t>
        </is>
      </c>
      <c r="F52" s="25" t="inlineStr">
        <is>
          <t>IA-ST-CFG-0016</t>
        </is>
      </c>
      <c r="G52" s="25" t="n">
        <v>30.7004</v>
      </c>
      <c r="H52" s="25" t="inlineStr">
        <is>
          <t>988-pack GENERATED</t>
        </is>
      </c>
    </row>
    <row r="53">
      <c r="A53" s="25" t="inlineStr">
        <is>
          <t>1006041</t>
        </is>
      </c>
      <c r="B53" s="25" t="inlineStr">
        <is>
          <t>AKÜ,C-FLAT,DK,225AH,CARGO,MAKO,OES</t>
        </is>
      </c>
      <c r="C53" s="25" t="inlineStr">
        <is>
          <t>1</t>
        </is>
      </c>
      <c r="D53" s="25" t="inlineStr">
        <is>
          <t>ST-018-EUR-05</t>
        </is>
      </c>
      <c r="E53" s="25" t="inlineStr">
        <is>
          <t>IA-ST-018-EUR-05</t>
        </is>
      </c>
      <c r="F53" s="25" t="inlineStr">
        <is>
          <t>IA-ST-CFG-0016</t>
        </is>
      </c>
      <c r="G53" s="25" t="n">
        <v>30.7004</v>
      </c>
      <c r="H53" s="25" t="inlineStr">
        <is>
          <t>988-pack GENERATED</t>
        </is>
      </c>
    </row>
    <row r="54">
      <c r="A54" s="29" t="inlineStr">
        <is>
          <t>1006054</t>
        </is>
      </c>
      <c r="B54" s="29" t="inlineStr">
        <is>
          <t>AKÜ,C-IGYA,DK,240AH,İNCİ SUPRASENTOR,BMC</t>
        </is>
      </c>
      <c r="C54" s="29" t="inlineStr">
        <is>
          <t>1</t>
        </is>
      </c>
      <c r="H54" s="29" t="inlineStr">
        <is>
          <t>NO MAPPING</t>
        </is>
      </c>
    </row>
    <row r="55">
      <c r="A55" s="25" t="inlineStr">
        <is>
          <t>1006077</t>
        </is>
      </c>
      <c r="B55" s="25" t="inlineStr">
        <is>
          <t>AKÜ,A-IGYASMF,DK,120AH,İNCİFORMULATAURUS</t>
        </is>
      </c>
      <c r="C55" s="25" t="inlineStr">
        <is>
          <t>1</t>
        </is>
      </c>
      <c r="D55" s="25" t="inlineStr">
        <is>
          <t>ST-030-STD-05</t>
        </is>
      </c>
      <c r="E55" s="25" t="inlineStr">
        <is>
          <t>IA-ST-030-STD-05</t>
        </is>
      </c>
      <c r="F55" s="25" t="inlineStr">
        <is>
          <t>IA-ST-CFG-0051</t>
        </is>
      </c>
      <c r="G55" s="25" t="n">
        <v>31.6992</v>
      </c>
      <c r="H55" s="25" t="inlineStr">
        <is>
          <t>988-pack GENERATED</t>
        </is>
      </c>
    </row>
    <row r="56">
      <c r="A56" s="25" t="inlineStr">
        <is>
          <t>1006081</t>
        </is>
      </c>
      <c r="B56" s="25" t="inlineStr">
        <is>
          <t>AKÜ,A-IGYASMF,DK,135AH,İNCİFORMULATAURUS</t>
        </is>
      </c>
      <c r="C56" s="25" t="inlineStr">
        <is>
          <t>1</t>
        </is>
      </c>
      <c r="D56" s="25" t="inlineStr">
        <is>
          <t>ST-030-STD-05</t>
        </is>
      </c>
      <c r="E56" s="25" t="inlineStr">
        <is>
          <t>IA-ST-030-STD-05</t>
        </is>
      </c>
      <c r="F56" s="25" t="inlineStr">
        <is>
          <t>IA-ST-CFG-0051</t>
        </is>
      </c>
      <c r="G56" s="25" t="n">
        <v>31.6992</v>
      </c>
      <c r="H56" s="25" t="inlineStr">
        <is>
          <t>988-pack GENERATED</t>
        </is>
      </c>
    </row>
    <row r="57">
      <c r="A57" s="25" t="inlineStr">
        <is>
          <t>1006083</t>
        </is>
      </c>
      <c r="B57" s="25" t="inlineStr">
        <is>
          <t>AKÜ,A-IGYASMF,DK,140AH,İNCİFORMULATAURUS</t>
        </is>
      </c>
      <c r="C57" s="25" t="inlineStr">
        <is>
          <t>1</t>
        </is>
      </c>
      <c r="D57" s="25" t="inlineStr">
        <is>
          <t>ST-030-STD-05</t>
        </is>
      </c>
      <c r="E57" s="25" t="inlineStr">
        <is>
          <t>IA-ST-030-STD-05</t>
        </is>
      </c>
      <c r="F57" s="25" t="inlineStr">
        <is>
          <t>IA-ST-CFG-0051</t>
        </is>
      </c>
      <c r="G57" s="25" t="n">
        <v>31.6992</v>
      </c>
      <c r="H57" s="25" t="inlineStr">
        <is>
          <t>988-pack GENERATED</t>
        </is>
      </c>
    </row>
    <row r="58">
      <c r="A58" s="25" t="inlineStr">
        <is>
          <t>1006152</t>
        </is>
      </c>
      <c r="B58" s="25" t="inlineStr">
        <is>
          <t>AKÜ,B-IGYASMF,DK150AH,FORMULA,EEC MISIR</t>
        </is>
      </c>
      <c r="C58" s="25" t="inlineStr">
        <is>
          <t>1</t>
        </is>
      </c>
      <c r="D58" s="25" t="inlineStr">
        <is>
          <t>ST-030-STD-06</t>
        </is>
      </c>
      <c r="E58" s="25" t="inlineStr">
        <is>
          <t>IA-ST-030-STD-06</t>
        </is>
      </c>
      <c r="F58" s="25" t="inlineStr">
        <is>
          <t>IA-ST-CFG-0052</t>
        </is>
      </c>
      <c r="G58" s="25" t="n">
        <v>32.3892</v>
      </c>
      <c r="H58" s="25" t="inlineStr">
        <is>
          <t>988-pack GENERATED</t>
        </is>
      </c>
    </row>
    <row r="59">
      <c r="A59" s="25" t="inlineStr">
        <is>
          <t>1006165</t>
        </is>
      </c>
      <c r="B59" s="25" t="inlineStr">
        <is>
          <t>AKÜ,B-IGYASMF,DK,150AH,HUGEL ULTRA</t>
        </is>
      </c>
      <c r="C59" s="25" t="inlineStr">
        <is>
          <t>1</t>
        </is>
      </c>
      <c r="D59" s="25" t="inlineStr">
        <is>
          <t>ST-030-STD-06</t>
        </is>
      </c>
      <c r="E59" s="25" t="inlineStr">
        <is>
          <t>IA-ST-030-STD-06</t>
        </is>
      </c>
      <c r="F59" s="25" t="inlineStr">
        <is>
          <t>IA-ST-CFG-0052</t>
        </is>
      </c>
      <c r="G59" s="25" t="n">
        <v>32.3892</v>
      </c>
      <c r="H59" s="25" t="inlineStr">
        <is>
          <t>988-pack GENERATED</t>
        </is>
      </c>
    </row>
    <row r="60">
      <c r="A60" s="25" t="inlineStr">
        <is>
          <t>1006428</t>
        </is>
      </c>
      <c r="B60" s="25" t="inlineStr">
        <is>
          <t>AKÜ,B-FLAT,DK,165AH,BLIZARO TREND,JANENE</t>
        </is>
      </c>
      <c r="C60" s="25" t="inlineStr">
        <is>
          <t>1</t>
        </is>
      </c>
      <c r="D60" s="25" t="inlineStr">
        <is>
          <t>ST-030-STD-06</t>
        </is>
      </c>
      <c r="E60" s="25" t="inlineStr">
        <is>
          <t>IA-ST-030-STD-06</t>
        </is>
      </c>
      <c r="F60" s="25" t="inlineStr">
        <is>
          <t>IA-ST-CFG-0052</t>
        </is>
      </c>
      <c r="G60" s="25" t="n">
        <v>32.3892</v>
      </c>
      <c r="H60" s="25" t="inlineStr">
        <is>
          <t>988-pack GENERATED</t>
        </is>
      </c>
    </row>
    <row r="61">
      <c r="A61" s="25" t="inlineStr">
        <is>
          <t>1006519</t>
        </is>
      </c>
      <c r="B61" s="25" t="inlineStr">
        <is>
          <t>AKÜ,C-IGYASMF,DK,200AH,İNCİFORMULATAURUS</t>
        </is>
      </c>
      <c r="C61" s="25" t="inlineStr">
        <is>
          <t>1</t>
        </is>
      </c>
      <c r="D61" s="25" t="inlineStr">
        <is>
          <t>ST-021-STD-03</t>
        </is>
      </c>
      <c r="E61" s="25" t="inlineStr">
        <is>
          <t>IA-ST-021-STD-03</t>
        </is>
      </c>
      <c r="F61" s="25" t="inlineStr">
        <is>
          <t>IA-ST-CFG-0023</t>
        </is>
      </c>
      <c r="G61" s="25" t="n">
        <v>31.8252</v>
      </c>
      <c r="H61" s="25" t="inlineStr">
        <is>
          <t>988-pack GENERATED</t>
        </is>
      </c>
    </row>
    <row r="62">
      <c r="A62" s="25" t="inlineStr">
        <is>
          <t>1006640</t>
        </is>
      </c>
      <c r="B62" s="25" t="inlineStr">
        <is>
          <t>AKÜ,C-IGYASMF,DK,240AH,EAS ACTIVA</t>
        </is>
      </c>
      <c r="C62" s="25" t="inlineStr">
        <is>
          <t>1</t>
        </is>
      </c>
      <c r="D62" s="25" t="inlineStr">
        <is>
          <t>ST-021-STD-03</t>
        </is>
      </c>
      <c r="E62" s="25" t="inlineStr">
        <is>
          <t>IA-ST-021-STD-03</t>
        </is>
      </c>
      <c r="F62" s="25" t="inlineStr">
        <is>
          <t>IA-ST-CFG-0023</t>
        </is>
      </c>
      <c r="G62" s="25" t="n">
        <v>31.8252</v>
      </c>
      <c r="H62" s="25" t="inlineStr">
        <is>
          <t>988-pack GENERATED</t>
        </is>
      </c>
    </row>
    <row r="63">
      <c r="A63" s="25" t="inlineStr">
        <is>
          <t>1006646</t>
        </is>
      </c>
      <c r="B63" s="25" t="inlineStr">
        <is>
          <t>AKÜ,A-IGYASMF,DK,120AH,HUGEL ULTRA</t>
        </is>
      </c>
      <c r="C63" s="25" t="inlineStr">
        <is>
          <t>1</t>
        </is>
      </c>
      <c r="D63" s="25" t="inlineStr">
        <is>
          <t>ST-030-STD-05</t>
        </is>
      </c>
      <c r="E63" s="25" t="inlineStr">
        <is>
          <t>IA-ST-030-STD-05</t>
        </is>
      </c>
      <c r="F63" s="25" t="inlineStr">
        <is>
          <t>IA-ST-CFG-0051</t>
        </is>
      </c>
      <c r="G63" s="25" t="n">
        <v>31.6992</v>
      </c>
      <c r="H63" s="25" t="inlineStr">
        <is>
          <t>988-pack GENERATED</t>
        </is>
      </c>
    </row>
    <row r="64">
      <c r="A64" s="25" t="inlineStr">
        <is>
          <t>1006652</t>
        </is>
      </c>
      <c r="B64" s="25" t="inlineStr">
        <is>
          <t>AKÜ,LB2,DK,65AH,IGYA SMF,STARTCRAFT</t>
        </is>
      </c>
      <c r="C64" s="25" t="inlineStr">
        <is>
          <t>1</t>
        </is>
      </c>
      <c r="D64" s="25" t="inlineStr">
        <is>
          <t>ST-076-EUR-04</t>
        </is>
      </c>
      <c r="E64" s="25" t="inlineStr">
        <is>
          <t>IA-ST-076-EUR-04</t>
        </is>
      </c>
      <c r="F64" s="25" t="inlineStr">
        <is>
          <t>IA-ST-CFG-0241</t>
        </is>
      </c>
      <c r="G64" s="25" t="n">
        <v>27.8392</v>
      </c>
      <c r="H64" s="25" t="inlineStr">
        <is>
          <t>988-pack GENERATED</t>
        </is>
      </c>
    </row>
    <row r="65">
      <c r="A65" s="25" t="inlineStr">
        <is>
          <t>1006654</t>
        </is>
      </c>
      <c r="B65" s="25" t="inlineStr">
        <is>
          <t>AKÜ,LB3,DK,75AH,IGYA SMF,STARTCRAFT</t>
        </is>
      </c>
      <c r="C65" s="25" t="inlineStr">
        <is>
          <t>1</t>
        </is>
      </c>
      <c r="D65" s="25" t="inlineStr">
        <is>
          <t>ST-068-EUR-04</t>
        </is>
      </c>
      <c r="E65" s="25" t="inlineStr">
        <is>
          <t>IA-ST-068-EUR-04</t>
        </is>
      </c>
      <c r="F65" s="25" t="inlineStr">
        <is>
          <t>IA-ST-CFG-0201</t>
        </is>
      </c>
      <c r="G65" s="25" t="n">
        <v>27.8392</v>
      </c>
      <c r="H65" s="25" t="inlineStr">
        <is>
          <t>988-pack GENERATED</t>
        </is>
      </c>
    </row>
    <row r="66">
      <c r="A66" s="25" t="inlineStr">
        <is>
          <t>1006658</t>
        </is>
      </c>
      <c r="B66" s="25" t="inlineStr">
        <is>
          <t>AKÜ,LB5,DK,100AH,IGYA SMF,STARTCRAFT</t>
        </is>
      </c>
      <c r="C66" s="25" t="inlineStr">
        <is>
          <t>1</t>
        </is>
      </c>
      <c r="D66" s="25" t="inlineStr">
        <is>
          <t>ST-048-EUR-12</t>
        </is>
      </c>
      <c r="E66" s="25" t="inlineStr">
        <is>
          <t>IA-ST-048-EUR-12</t>
        </is>
      </c>
      <c r="F66" s="25" t="inlineStr">
        <is>
          <t>IA-ST-CFG-0118</t>
        </is>
      </c>
      <c r="G66" s="25" t="n">
        <v>27.8392</v>
      </c>
      <c r="H66" s="25" t="inlineStr">
        <is>
          <t>988-pack GENERATED</t>
        </is>
      </c>
    </row>
    <row r="67">
      <c r="A67" s="25" t="inlineStr">
        <is>
          <t>1007017</t>
        </is>
      </c>
      <c r="B67" s="25" t="inlineStr">
        <is>
          <t>AKÜ,A-IGYSMF,DK,140AH,TPOWERPARTS,TEKSAN</t>
        </is>
      </c>
      <c r="C67" s="25" t="inlineStr">
        <is>
          <t>1</t>
        </is>
      </c>
      <c r="D67" s="25" t="inlineStr">
        <is>
          <t>ST-024-EUR-04</t>
        </is>
      </c>
      <c r="E67" s="25" t="inlineStr">
        <is>
          <t>IA-ST-024-EUR-04</t>
        </is>
      </c>
      <c r="F67" s="25" t="inlineStr">
        <is>
          <t>IA-ST-CFG-0039</t>
        </is>
      </c>
      <c r="G67" s="25" t="n">
        <v>30.6632</v>
      </c>
      <c r="H67" s="25" t="inlineStr">
        <is>
          <t>988-pack GENERATED</t>
        </is>
      </c>
    </row>
    <row r="68">
      <c r="A68" s="25" t="inlineStr">
        <is>
          <t>1007018</t>
        </is>
      </c>
      <c r="B68" s="25" t="inlineStr">
        <is>
          <t>AKÜ,B-IGYSMF,DK,180AH,TPOWERPARTS,TEKSAN</t>
        </is>
      </c>
      <c r="C68" s="25" t="inlineStr">
        <is>
          <t>1</t>
        </is>
      </c>
      <c r="D68" s="25" t="inlineStr">
        <is>
          <t>ST-021-EUR-03</t>
        </is>
      </c>
      <c r="E68" s="25" t="inlineStr">
        <is>
          <t>IA-ST-021-EUR-03</t>
        </is>
      </c>
      <c r="F68" s="25" t="inlineStr">
        <is>
          <t>IA-ST-CFG-0029</t>
        </is>
      </c>
      <c r="G68" s="25" t="n">
        <v>30.7682</v>
      </c>
      <c r="H68" s="25" t="inlineStr">
        <is>
          <t>988-pack GENERATED</t>
        </is>
      </c>
    </row>
    <row r="69">
      <c r="A69" s="25" t="inlineStr">
        <is>
          <t>1007482</t>
        </is>
      </c>
      <c r="B69" s="25" t="inlineStr">
        <is>
          <t>AKÜ,C-IGYASMF,DK,200AH,İNCİFORMULATAURUS</t>
        </is>
      </c>
      <c r="C69" s="25" t="inlineStr">
        <is>
          <t>1</t>
        </is>
      </c>
      <c r="D69" s="25" t="inlineStr">
        <is>
          <t>ST-021-STD-03</t>
        </is>
      </c>
      <c r="E69" s="25" t="inlineStr">
        <is>
          <t>IA-ST-021-STD-03</t>
        </is>
      </c>
      <c r="F69" s="25" t="inlineStr">
        <is>
          <t>IA-ST-CFG-0023</t>
        </is>
      </c>
      <c r="G69" s="25" t="n">
        <v>31.8252</v>
      </c>
      <c r="H69" s="25" t="inlineStr">
        <is>
          <t>988-pack GENERATED</t>
        </is>
      </c>
    </row>
    <row r="70">
      <c r="A70" s="25" t="inlineStr">
        <is>
          <t>1007590</t>
        </is>
      </c>
      <c r="B70" s="25" t="inlineStr">
        <is>
          <t>AKÜ,A-IGYASMF,DK,140AH,HUGEL ULTRA</t>
        </is>
      </c>
      <c r="C70" s="25" t="inlineStr">
        <is>
          <t>1</t>
        </is>
      </c>
      <c r="D70" s="25" t="inlineStr">
        <is>
          <t>ST-030-STD-05</t>
        </is>
      </c>
      <c r="E70" s="25" t="inlineStr">
        <is>
          <t>IA-ST-030-STD-05</t>
        </is>
      </c>
      <c r="F70" s="25" t="inlineStr">
        <is>
          <t>IA-ST-CFG-0051</t>
        </is>
      </c>
      <c r="G70" s="25" t="n">
        <v>31.6992</v>
      </c>
      <c r="H70" s="25" t="inlineStr">
        <is>
          <t>988-pack GENERATED</t>
        </is>
      </c>
    </row>
    <row r="71">
      <c r="A71" s="25" t="inlineStr">
        <is>
          <t>1007599</t>
        </is>
      </c>
      <c r="B71" s="25" t="inlineStr">
        <is>
          <t>AKÜ,TRACTORL,DK,105AH,İNCİ SUPRA,SHAWKAT</t>
        </is>
      </c>
      <c r="C71" s="25" t="inlineStr">
        <is>
          <t>1</t>
        </is>
      </c>
      <c r="D71" s="25" t="inlineStr">
        <is>
          <t>ST-045-STD-05</t>
        </is>
      </c>
      <c r="E71" s="25" t="inlineStr">
        <is>
          <t>IA-ST-045-STD-05</t>
        </is>
      </c>
      <c r="F71" s="25" t="inlineStr">
        <is>
          <t>IA-ST-CFG-0093</t>
        </is>
      </c>
      <c r="G71" s="25" t="n">
        <v>33.3498</v>
      </c>
      <c r="H71" s="25" t="inlineStr">
        <is>
          <t>988-pack GENERATED</t>
        </is>
      </c>
    </row>
    <row r="72">
      <c r="A72" s="25" t="inlineStr">
        <is>
          <t>1007600</t>
        </is>
      </c>
      <c r="B72" s="25" t="inlineStr">
        <is>
          <t>AKÜ,A-FLAT,DK,120AH,İNCİ SUPRA,SHAWKAT</t>
        </is>
      </c>
      <c r="C72" s="25" t="inlineStr">
        <is>
          <t>1</t>
        </is>
      </c>
      <c r="D72" s="25" t="inlineStr">
        <is>
          <t>ST-030-STD-05</t>
        </is>
      </c>
      <c r="E72" s="25" t="inlineStr">
        <is>
          <t>IA-ST-030-STD-05</t>
        </is>
      </c>
      <c r="F72" s="25" t="inlineStr">
        <is>
          <t>IA-ST-CFG-0051</t>
        </is>
      </c>
      <c r="G72" s="25" t="n">
        <v>31.6992</v>
      </c>
      <c r="H72" s="25" t="inlineStr">
        <is>
          <t>988-pack GENERATED</t>
        </is>
      </c>
    </row>
    <row r="73">
      <c r="A73" s="25" t="inlineStr">
        <is>
          <t>1007601</t>
        </is>
      </c>
      <c r="B73" s="25" t="inlineStr">
        <is>
          <t>AKÜ,A-FLAT,DK,137AH,İNCİ SUPRA,SHAWKAT</t>
        </is>
      </c>
      <c r="C73" s="25" t="inlineStr">
        <is>
          <t>1</t>
        </is>
      </c>
      <c r="D73" s="25" t="inlineStr">
        <is>
          <t>ST-030-STD-05</t>
        </is>
      </c>
      <c r="E73" s="25" t="inlineStr">
        <is>
          <t>IA-ST-030-STD-05</t>
        </is>
      </c>
      <c r="F73" s="25" t="inlineStr">
        <is>
          <t>IA-ST-CFG-0051</t>
        </is>
      </c>
      <c r="G73" s="25" t="n">
        <v>31.6992</v>
      </c>
      <c r="H73" s="25" t="inlineStr">
        <is>
          <t>988-pack GENERATED</t>
        </is>
      </c>
    </row>
    <row r="74">
      <c r="A74" s="25" t="inlineStr">
        <is>
          <t>1007602</t>
        </is>
      </c>
      <c r="B74" s="25" t="inlineStr">
        <is>
          <t>AKÜ,B-FLAT,DK,152AH,İNCİ SUPRA,SHAWKAT</t>
        </is>
      </c>
      <c r="C74" s="25" t="inlineStr">
        <is>
          <t>1</t>
        </is>
      </c>
      <c r="D74" s="25" t="inlineStr">
        <is>
          <t>ST-030-STD-06</t>
        </is>
      </c>
      <c r="E74" s="25" t="inlineStr">
        <is>
          <t>IA-ST-030-STD-06</t>
        </is>
      </c>
      <c r="F74" s="25" t="inlineStr">
        <is>
          <t>IA-ST-CFG-0052</t>
        </is>
      </c>
      <c r="G74" s="25" t="n">
        <v>32.3892</v>
      </c>
      <c r="H74" s="25" t="inlineStr">
        <is>
          <t>988-pack GENERATED</t>
        </is>
      </c>
    </row>
    <row r="75">
      <c r="A75" s="25" t="inlineStr">
        <is>
          <t>1007643</t>
        </is>
      </c>
      <c r="B75" s="25" t="inlineStr">
        <is>
          <t>AKÜ,A-FLAT,120AH,HUGEL ACTION,SHAWKAT</t>
        </is>
      </c>
      <c r="C75" s="25" t="inlineStr">
        <is>
          <t>1</t>
        </is>
      </c>
      <c r="D75" s="25" t="inlineStr">
        <is>
          <t>ST-030-STD-05</t>
        </is>
      </c>
      <c r="E75" s="25" t="inlineStr">
        <is>
          <t>IA-ST-030-STD-05</t>
        </is>
      </c>
      <c r="F75" s="25" t="inlineStr">
        <is>
          <t>IA-ST-CFG-0051</t>
        </is>
      </c>
      <c r="G75" s="25" t="n">
        <v>31.6992</v>
      </c>
      <c r="H75" s="25" t="inlineStr">
        <is>
          <t>988-pack GENERATED</t>
        </is>
      </c>
    </row>
    <row r="76">
      <c r="A76" s="25" t="inlineStr">
        <is>
          <t>1007653</t>
        </is>
      </c>
      <c r="B76" s="25" t="inlineStr">
        <is>
          <t>AKÜ,TRACTORL,DK105AH,HUGELACTION,SHAWKAT</t>
        </is>
      </c>
      <c r="C76" s="25" t="inlineStr">
        <is>
          <t>1</t>
        </is>
      </c>
      <c r="D76" s="25" t="inlineStr">
        <is>
          <t>ST-045-STD-05</t>
        </is>
      </c>
      <c r="E76" s="25" t="inlineStr">
        <is>
          <t>IA-ST-045-STD-05</t>
        </is>
      </c>
      <c r="F76" s="25" t="inlineStr">
        <is>
          <t>IA-ST-CFG-0093</t>
        </is>
      </c>
      <c r="G76" s="25" t="n">
        <v>33.3498</v>
      </c>
      <c r="H76" s="25" t="inlineStr">
        <is>
          <t>988-pack GENERATED</t>
        </is>
      </c>
    </row>
    <row r="77">
      <c r="A77" s="25" t="inlineStr">
        <is>
          <t>1007778</t>
        </is>
      </c>
      <c r="B77" s="25" t="inlineStr">
        <is>
          <t>AKÜ,B-IGYASMF,DK180AH,HUGELULTRA,SHAWKAT</t>
        </is>
      </c>
      <c r="C77" s="25" t="inlineStr">
        <is>
          <t>1</t>
        </is>
      </c>
      <c r="D77" s="25" t="inlineStr">
        <is>
          <t>ST-030-STD-06</t>
        </is>
      </c>
      <c r="E77" s="25" t="inlineStr">
        <is>
          <t>IA-ST-030-STD-06</t>
        </is>
      </c>
      <c r="F77" s="25" t="inlineStr">
        <is>
          <t>IA-ST-CFG-0052</t>
        </is>
      </c>
      <c r="G77" s="25" t="n">
        <v>32.3892</v>
      </c>
      <c r="H77" s="25" t="inlineStr">
        <is>
          <t>988-pack GENERATED</t>
        </is>
      </c>
    </row>
    <row r="78">
      <c r="A78" s="25" t="inlineStr">
        <is>
          <t>1007985</t>
        </is>
      </c>
      <c r="B78" s="25" t="inlineStr">
        <is>
          <t>AKÜ,TRACTL,DK,115AH,HUGEL ACTION,SHAWKAT</t>
        </is>
      </c>
      <c r="C78" s="25" t="inlineStr">
        <is>
          <t>1</t>
        </is>
      </c>
      <c r="D78" s="25" t="inlineStr">
        <is>
          <t>ST-045-STD-05</t>
        </is>
      </c>
      <c r="E78" s="25" t="inlineStr">
        <is>
          <t>IA-ST-045-STD-05</t>
        </is>
      </c>
      <c r="F78" s="25" t="inlineStr">
        <is>
          <t>IA-ST-CFG-0093</t>
        </is>
      </c>
      <c r="G78" s="25" t="n">
        <v>33.3498</v>
      </c>
      <c r="H78" s="25" t="inlineStr">
        <is>
          <t>988-pack GENERATED</t>
        </is>
      </c>
    </row>
    <row r="79">
      <c r="A79" s="25" t="inlineStr">
        <is>
          <t>1007995</t>
        </is>
      </c>
      <c r="B79" s="25" t="inlineStr">
        <is>
          <t>AKÜ,C-FLAT,DK,240AH,HUGEL ACTION,SHAWKAT</t>
        </is>
      </c>
      <c r="C79" s="25" t="inlineStr">
        <is>
          <t>1</t>
        </is>
      </c>
      <c r="D79" s="25" t="inlineStr">
        <is>
          <t>ST-021-STD-03</t>
        </is>
      </c>
      <c r="E79" s="25" t="inlineStr">
        <is>
          <t>IA-ST-021-STD-03</t>
        </is>
      </c>
      <c r="F79" s="25" t="inlineStr">
        <is>
          <t>IA-ST-CFG-0023</t>
        </is>
      </c>
      <c r="G79" s="25" t="n">
        <v>31.8252</v>
      </c>
      <c r="H79" s="25" t="inlineStr">
        <is>
          <t>988-pack GENERATED</t>
        </is>
      </c>
    </row>
    <row r="80">
      <c r="A80" s="25" t="inlineStr">
        <is>
          <t>1008110</t>
        </is>
      </c>
      <c r="B80" s="25" t="inlineStr">
        <is>
          <t>AKÜ,C-IGYASMF,DK,240AH,İNCİFORMULA,EURO</t>
        </is>
      </c>
      <c r="C80" s="25" t="inlineStr">
        <is>
          <t>1</t>
        </is>
      </c>
      <c r="D80" s="25" t="inlineStr">
        <is>
          <t>ST-018-EUR-03</t>
        </is>
      </c>
      <c r="E80" s="25" t="inlineStr">
        <is>
          <t>IA-ST-018-EUR-03</t>
        </is>
      </c>
      <c r="F80" s="25" t="inlineStr">
        <is>
          <t>IA-ST-CFG-0014</t>
        </is>
      </c>
      <c r="G80" s="25" t="n">
        <v>30.9872</v>
      </c>
      <c r="H80" s="25" t="inlineStr">
        <is>
          <t>988-pack GENERATED</t>
        </is>
      </c>
    </row>
    <row r="81">
      <c r="A81" s="25" t="inlineStr">
        <is>
          <t>1008113</t>
        </is>
      </c>
      <c r="B81" s="25" t="inlineStr">
        <is>
          <t>AKÜ,A-IGYASMF,DK,140AH,İNCİ FORM,EURO</t>
        </is>
      </c>
      <c r="C81" s="25" t="inlineStr">
        <is>
          <t>1</t>
        </is>
      </c>
      <c r="D81" s="25" t="inlineStr">
        <is>
          <t>ST-024-EUR-04</t>
        </is>
      </c>
      <c r="E81" s="25" t="inlineStr">
        <is>
          <t>IA-ST-024-EUR-04</t>
        </is>
      </c>
      <c r="F81" s="25" t="inlineStr">
        <is>
          <t>IA-ST-CFG-0039</t>
        </is>
      </c>
      <c r="G81" s="25" t="n">
        <v>30.6632</v>
      </c>
      <c r="H81" s="25" t="inlineStr">
        <is>
          <t>988-pack GENERATED</t>
        </is>
      </c>
    </row>
    <row r="82">
      <c r="A82" s="29" t="inlineStr">
        <is>
          <t>1008180</t>
        </is>
      </c>
      <c r="B82" s="29" t="inlineStr">
        <is>
          <t>AKÜ,B-IGYA,TK,180AH,İNCİ SUPRA,TEMSA OEM</t>
        </is>
      </c>
      <c r="C82" s="29" t="inlineStr">
        <is>
          <t>1</t>
        </is>
      </c>
      <c r="H82" s="29" t="inlineStr">
        <is>
          <t>NO MAPPING</t>
        </is>
      </c>
    </row>
    <row r="83">
      <c r="A83" s="29" t="inlineStr">
        <is>
          <t>1008246</t>
        </is>
      </c>
      <c r="B83" s="29" t="inlineStr">
        <is>
          <t>AKÜ,L6,DK,KAMINA,110AH 950A,FIAT,OES</t>
        </is>
      </c>
      <c r="C83" s="29" t="inlineStr">
        <is>
          <t>1</t>
        </is>
      </c>
      <c r="H83" s="29" t="inlineStr">
        <is>
          <t>NO MAPPING</t>
        </is>
      </c>
    </row>
    <row r="84">
      <c r="A84" s="29" t="inlineStr">
        <is>
          <t>1008310</t>
        </is>
      </c>
      <c r="B84" s="29" t="inlineStr">
        <is>
          <t>AKÜ,C-IGYA,TK,225AH,İNCİ SUPRA,TEMSA OEM</t>
        </is>
      </c>
      <c r="C84" s="29" t="inlineStr">
        <is>
          <t>1</t>
        </is>
      </c>
      <c r="H84" s="29" t="inlineStr">
        <is>
          <t>NO MAPPING</t>
        </is>
      </c>
    </row>
    <row r="85">
      <c r="A85" s="25" t="inlineStr">
        <is>
          <t>1008311</t>
        </is>
      </c>
      <c r="B85" s="25" t="inlineStr">
        <is>
          <t>AKÜ,LB4,DK,85AH,IGYA SMF,STARTCRAFT</t>
        </is>
      </c>
      <c r="C85" s="25" t="inlineStr">
        <is>
          <t>1</t>
        </is>
      </c>
      <c r="D85" s="25" t="inlineStr">
        <is>
          <t>ST-056-EUR-04</t>
        </is>
      </c>
      <c r="E85" s="25" t="inlineStr">
        <is>
          <t>IA-ST-056-EUR-04</t>
        </is>
      </c>
      <c r="F85" s="25" t="inlineStr">
        <is>
          <t>IA-ST-CFG-0153</t>
        </is>
      </c>
      <c r="G85" s="25" t="n">
        <v>27.8392</v>
      </c>
      <c r="H85" s="25" t="inlineStr">
        <is>
          <t>988-pack GENERATED</t>
        </is>
      </c>
    </row>
    <row r="86">
      <c r="A86" s="29" t="inlineStr">
        <is>
          <t>1008364</t>
        </is>
      </c>
      <c r="B86" s="29" t="inlineStr">
        <is>
          <t>AKÜ,B-FLAT,DK,180AH,İNCİ SUPRA,TEMSA OEM</t>
        </is>
      </c>
      <c r="C86" s="29" t="inlineStr">
        <is>
          <t>1</t>
        </is>
      </c>
      <c r="H86" s="29" t="inlineStr">
        <is>
          <t>NO MAPPING</t>
        </is>
      </c>
    </row>
    <row r="87">
      <c r="A87" s="29" t="inlineStr">
        <is>
          <t>1008365</t>
        </is>
      </c>
      <c r="B87" s="29" t="inlineStr">
        <is>
          <t>AKÜ,C-FLAT,DK,225AH,İNCİ SUPRA,TEMSA OEM</t>
        </is>
      </c>
      <c r="C87" s="29" t="inlineStr">
        <is>
          <t>1</t>
        </is>
      </c>
      <c r="H87" s="29" t="inlineStr">
        <is>
          <t>NO MAPPING</t>
        </is>
      </c>
    </row>
    <row r="88">
      <c r="A88" s="25" t="inlineStr">
        <is>
          <t>1008522</t>
        </is>
      </c>
      <c r="B88" s="25" t="inlineStr">
        <is>
          <t>AKÜ AGM,L3,DK,70AH,EAS AGM,EURO</t>
        </is>
      </c>
      <c r="C88" s="25" t="inlineStr">
        <is>
          <t>1</t>
        </is>
      </c>
      <c r="D88" s="25" t="inlineStr">
        <is>
          <t>ST-068-EUR-03</t>
        </is>
      </c>
      <c r="E88" s="25" t="inlineStr">
        <is>
          <t>IA-ST-068-EUR-03</t>
        </is>
      </c>
      <c r="F88" s="25" t="inlineStr">
        <is>
          <t>IA-ST-CFG-0200</t>
        </is>
      </c>
      <c r="G88" s="25" t="n">
        <v>30.0842</v>
      </c>
      <c r="H88" s="25" t="inlineStr">
        <is>
          <t>988-pack GENERATED</t>
        </is>
      </c>
    </row>
    <row r="89">
      <c r="A89" s="25" t="inlineStr">
        <is>
          <t>1008524</t>
        </is>
      </c>
      <c r="B89" s="25" t="inlineStr">
        <is>
          <t>AKÜ AGM,L5,DK,92AH,BLIZZARO AGM S&amp;S,EURO</t>
        </is>
      </c>
      <c r="C89" s="25" t="inlineStr">
        <is>
          <t>1</t>
        </is>
      </c>
      <c r="D89" s="25" t="inlineStr">
        <is>
          <t>ST-048-EUR-10</t>
        </is>
      </c>
      <c r="E89" s="25" t="inlineStr">
        <is>
          <t>IA-ST-048-EUR-10</t>
        </is>
      </c>
      <c r="F89" s="25" t="inlineStr">
        <is>
          <t>IA-ST-CFG-0116</t>
        </is>
      </c>
      <c r="G89" s="25" t="n">
        <v>29.7592</v>
      </c>
      <c r="H89" s="25" t="inlineStr">
        <is>
          <t>988-pack GENERATED</t>
        </is>
      </c>
    </row>
    <row r="90">
      <c r="A90" s="25" t="inlineStr">
        <is>
          <t>1008527</t>
        </is>
      </c>
      <c r="B90" s="25" t="inlineStr">
        <is>
          <t>AKÜ,C-FLAT,DK,225AH,EAS PRIDE</t>
        </is>
      </c>
      <c r="C90" s="25" t="inlineStr">
        <is>
          <t>1</t>
        </is>
      </c>
      <c r="D90" s="25" t="inlineStr">
        <is>
          <t>ST-021-STD-03</t>
        </is>
      </c>
      <c r="E90" s="25" t="inlineStr">
        <is>
          <t>IA-ST-021-STD-03</t>
        </is>
      </c>
      <c r="F90" s="25" t="inlineStr">
        <is>
          <t>IA-ST-CFG-0023</t>
        </is>
      </c>
      <c r="G90" s="25" t="n">
        <v>31.8252</v>
      </c>
      <c r="H90" s="25" t="inlineStr">
        <is>
          <t>988-pack GENERATED</t>
        </is>
      </c>
    </row>
    <row r="91">
      <c r="A91" s="29" t="inlineStr">
        <is>
          <t>1008599</t>
        </is>
      </c>
      <c r="B91" s="29" t="inlineStr">
        <is>
          <t>AKÜ,C-IGYSMF,DK240AH,İNCİFORMTAURS,TEMSA</t>
        </is>
      </c>
      <c r="C91" s="29" t="inlineStr">
        <is>
          <t>1</t>
        </is>
      </c>
      <c r="H91" s="29" t="inlineStr">
        <is>
          <t>NO MAPPING</t>
        </is>
      </c>
    </row>
    <row r="92">
      <c r="A92" s="25" t="inlineStr">
        <is>
          <t>1008731</t>
        </is>
      </c>
      <c r="B92" s="25" t="inlineStr">
        <is>
          <t>AKÜ,TRAKTÖRL,DK,115AH,EAS PRIDE,İÇ PYS</t>
        </is>
      </c>
      <c r="C92" s="25" t="inlineStr">
        <is>
          <t>1</t>
        </is>
      </c>
      <c r="D92" s="25" t="inlineStr">
        <is>
          <t>ST-045-STD-09</t>
        </is>
      </c>
      <c r="E92" s="25" t="inlineStr">
        <is>
          <t>IA-ST-045-STD-09</t>
        </is>
      </c>
      <c r="F92" s="25" t="inlineStr">
        <is>
          <t>IA-ST-CFG-0097</t>
        </is>
      </c>
      <c r="G92" s="25" t="n">
        <v>33.063</v>
      </c>
      <c r="H92" s="25" t="inlineStr">
        <is>
          <t>988-pack GENERATED</t>
        </is>
      </c>
    </row>
    <row r="93">
      <c r="A93" s="25" t="inlineStr">
        <is>
          <t>1008794</t>
        </is>
      </c>
      <c r="B93" s="25" t="inlineStr">
        <is>
          <t>AKÜ,B-FLAT,DK,190AH,HUGEL ACTION,METRA</t>
        </is>
      </c>
      <c r="C93" s="25" t="inlineStr">
        <is>
          <t>1</t>
        </is>
      </c>
      <c r="D93" s="25" t="inlineStr">
        <is>
          <t>ST-030-STD-06</t>
        </is>
      </c>
      <c r="E93" s="25" t="inlineStr">
        <is>
          <t>IA-ST-030-STD-06</t>
        </is>
      </c>
      <c r="F93" s="25" t="inlineStr">
        <is>
          <t>IA-ST-CFG-0052</t>
        </is>
      </c>
      <c r="G93" s="25" t="n">
        <v>32.3892</v>
      </c>
      <c r="H93" s="25" t="inlineStr">
        <is>
          <t>988-pack GENERATED</t>
        </is>
      </c>
    </row>
    <row r="94">
      <c r="A94" s="25" t="inlineStr">
        <is>
          <t>1008836</t>
        </is>
      </c>
      <c r="B94" s="25" t="inlineStr">
        <is>
          <t>AKÜ,C-IGYASMF,DK,225AH,HUGELULTRA,NASA</t>
        </is>
      </c>
      <c r="C94" s="25" t="inlineStr">
        <is>
          <t>1</t>
        </is>
      </c>
      <c r="D94" s="25" t="inlineStr">
        <is>
          <t>ST-021-STD-03</t>
        </is>
      </c>
      <c r="E94" s="25" t="inlineStr">
        <is>
          <t>IA-ST-021-STD-03</t>
        </is>
      </c>
      <c r="F94" s="25" t="inlineStr">
        <is>
          <t>IA-ST-CFG-0023</t>
        </is>
      </c>
      <c r="G94" s="25" t="n">
        <v>31.8252</v>
      </c>
      <c r="H94" s="25" t="inlineStr">
        <is>
          <t>988-pack GENERATED</t>
        </is>
      </c>
    </row>
    <row r="95">
      <c r="A95" s="25" t="inlineStr">
        <is>
          <t>1008839</t>
        </is>
      </c>
      <c r="B95" s="25" t="inlineStr">
        <is>
          <t>AKÜ,A-IGYASMF,DK,140AH,HUGEL ULTRA,NASA</t>
        </is>
      </c>
      <c r="C95" s="25" t="inlineStr">
        <is>
          <t>1</t>
        </is>
      </c>
      <c r="D95" s="25" t="inlineStr">
        <is>
          <t>ST-030-STD-05</t>
        </is>
      </c>
      <c r="E95" s="25" t="inlineStr">
        <is>
          <t>IA-ST-030-STD-05</t>
        </is>
      </c>
      <c r="F95" s="25" t="inlineStr">
        <is>
          <t>IA-ST-CFG-0051</t>
        </is>
      </c>
      <c r="G95" s="25" t="n">
        <v>31.6992</v>
      </c>
      <c r="H95" s="25" t="inlineStr">
        <is>
          <t>988-pack GENERATED</t>
        </is>
      </c>
    </row>
    <row r="96">
      <c r="A96" s="25" t="inlineStr">
        <is>
          <t>1008854</t>
        </is>
      </c>
      <c r="B96" s="25" t="inlineStr">
        <is>
          <t>AKÜ SULU,L6,DK,105AH,KAMINA,PSA,EF,OES</t>
        </is>
      </c>
      <c r="C96" s="25" t="inlineStr">
        <is>
          <t>1</t>
        </is>
      </c>
      <c r="D96" s="25" t="inlineStr">
        <is>
          <t>ST-012-EUR-02</t>
        </is>
      </c>
      <c r="E96" s="25" t="inlineStr">
        <is>
          <t>IA-ST-012-EUR-02</t>
        </is>
      </c>
      <c r="F96" s="25" t="inlineStr">
        <is>
          <t>IA-ST-CFG-0005</t>
        </is>
      </c>
      <c r="G96" s="25" t="n">
        <v>27.526</v>
      </c>
      <c r="H96" s="25" t="inlineStr">
        <is>
          <t>988-pack GENERATED</t>
        </is>
      </c>
    </row>
    <row r="97">
      <c r="A97" s="25" t="inlineStr">
        <is>
          <t>1008926</t>
        </is>
      </c>
      <c r="B97" s="25" t="inlineStr">
        <is>
          <t>AKÜ,TRACTORL,DK,105AH,HUGEL ACTION,İÇPYS</t>
        </is>
      </c>
      <c r="C97" s="25" t="inlineStr">
        <is>
          <t>1</t>
        </is>
      </c>
      <c r="D97" s="25" t="inlineStr">
        <is>
          <t>ST-045-STD-09</t>
        </is>
      </c>
      <c r="E97" s="25" t="inlineStr">
        <is>
          <t>IA-ST-045-STD-09</t>
        </is>
      </c>
      <c r="F97" s="25" t="inlineStr">
        <is>
          <t>IA-ST-CFG-0097</t>
        </is>
      </c>
      <c r="G97" s="25" t="n">
        <v>33.063</v>
      </c>
      <c r="H97" s="25" t="inlineStr">
        <is>
          <t>988-pack GENERATED</t>
        </is>
      </c>
    </row>
    <row r="98">
      <c r="A98" s="25" t="inlineStr">
        <is>
          <t>1008964</t>
        </is>
      </c>
      <c r="B98" s="25" t="inlineStr">
        <is>
          <t>AKÜ SULU,TRC,DK,125AH,HUGEL ACTION,NASA</t>
        </is>
      </c>
      <c r="C98" s="25" t="inlineStr">
        <is>
          <t>1</t>
        </is>
      </c>
      <c r="D98" s="25" t="inlineStr">
        <is>
          <t>ST-045-STD-05</t>
        </is>
      </c>
      <c r="E98" s="25" t="inlineStr">
        <is>
          <t>IA-ST-045-STD-05</t>
        </is>
      </c>
      <c r="F98" s="25" t="inlineStr">
        <is>
          <t>IA-ST-CFG-0093</t>
        </is>
      </c>
      <c r="G98" s="25" t="n">
        <v>33.3498</v>
      </c>
      <c r="H98" s="25" t="inlineStr">
        <is>
          <t>988-pack GENERATED</t>
        </is>
      </c>
    </row>
    <row r="99">
      <c r="A99" s="29" t="inlineStr">
        <is>
          <t>1009029</t>
        </is>
      </c>
      <c r="B99" s="29" t="inlineStr">
        <is>
          <t>AKÜ SULU,AGM,L6,DK,105AH,KAMN,BMC</t>
        </is>
      </c>
      <c r="C99" s="29" t="inlineStr">
        <is>
          <t>1</t>
        </is>
      </c>
      <c r="H99" s="29" t="inlineStr">
        <is>
          <t>NO MAPPING</t>
        </is>
      </c>
    </row>
    <row r="100">
      <c r="A100" s="29" t="inlineStr">
        <is>
          <t>1009087</t>
        </is>
      </c>
      <c r="B100" s="29" t="inlineStr">
        <is>
          <t>AKÜ,TRACTOR,TK,125AH,B01,SUPRA,ERKUNT</t>
        </is>
      </c>
      <c r="C100" s="29" t="inlineStr">
        <is>
          <t>1</t>
        </is>
      </c>
      <c r="H100" s="29" t="inlineStr">
        <is>
          <t>NO MAPPING</t>
        </is>
      </c>
    </row>
    <row r="101">
      <c r="A101" s="25" t="inlineStr">
        <is>
          <t>1009116</t>
        </is>
      </c>
      <c r="B101" s="25" t="inlineStr">
        <is>
          <t>AKÜ,B-IGYASMF,DK,180AH,İNCİFORMULA,EURO</t>
        </is>
      </c>
      <c r="C101" s="25" t="inlineStr">
        <is>
          <t>1</t>
        </is>
      </c>
      <c r="D101" s="25" t="inlineStr">
        <is>
          <t>ST-021-EUR-03</t>
        </is>
      </c>
      <c r="E101" s="25" t="inlineStr">
        <is>
          <t>IA-ST-021-EUR-03</t>
        </is>
      </c>
      <c r="F101" s="25" t="inlineStr">
        <is>
          <t>IA-ST-CFG-0029</t>
        </is>
      </c>
      <c r="G101" s="25" t="n">
        <v>30.7682</v>
      </c>
      <c r="H101" s="25" t="inlineStr">
        <is>
          <t>988-pack GENERATED</t>
        </is>
      </c>
    </row>
    <row r="102">
      <c r="A102" s="25" t="inlineStr">
        <is>
          <t>1009129</t>
        </is>
      </c>
      <c r="B102" s="25" t="inlineStr">
        <is>
          <t>AKÜ,C-IGYASMF,DK,225AH,BİZZAROSILVERLN</t>
        </is>
      </c>
      <c r="C102" s="25" t="inlineStr">
        <is>
          <t>1</t>
        </is>
      </c>
      <c r="D102" s="25" t="inlineStr">
        <is>
          <t>ST-021-STD-03</t>
        </is>
      </c>
      <c r="E102" s="25" t="inlineStr">
        <is>
          <t>IA-ST-021-STD-03</t>
        </is>
      </c>
      <c r="F102" s="25" t="inlineStr">
        <is>
          <t>IA-ST-CFG-0023</t>
        </is>
      </c>
      <c r="G102" s="25" t="n">
        <v>31.8252</v>
      </c>
      <c r="H102" s="25" t="inlineStr">
        <is>
          <t>988-pack GENERATED</t>
        </is>
      </c>
    </row>
    <row r="103">
      <c r="A103" s="25" t="inlineStr">
        <is>
          <t>1009148</t>
        </is>
      </c>
      <c r="B103" s="25" t="inlineStr">
        <is>
          <t>AKÜ,C-IGYASMF,DK,225AH,HUGELULTRA,NACITA</t>
        </is>
      </c>
      <c r="C103" s="25" t="inlineStr">
        <is>
          <t>1</t>
        </is>
      </c>
      <c r="D103" s="25" t="inlineStr">
        <is>
          <t>ST-021-STD-03</t>
        </is>
      </c>
      <c r="E103" s="25" t="inlineStr">
        <is>
          <t>IA-ST-021-STD-03</t>
        </is>
      </c>
      <c r="F103" s="25" t="inlineStr">
        <is>
          <t>IA-ST-CFG-0023</t>
        </is>
      </c>
      <c r="G103" s="25" t="n">
        <v>31.8252</v>
      </c>
      <c r="H103" s="25" t="inlineStr">
        <is>
          <t>988-pack GENERATED</t>
        </is>
      </c>
    </row>
    <row r="104">
      <c r="A104" s="25" t="inlineStr">
        <is>
          <t>1009149</t>
        </is>
      </c>
      <c r="B104" s="25" t="inlineStr">
        <is>
          <t>AKÜ,C-IGYASMF,DK,200AH,HUGELULTRA,NACITA</t>
        </is>
      </c>
      <c r="C104" s="25" t="inlineStr">
        <is>
          <t>1</t>
        </is>
      </c>
      <c r="D104" s="25" t="inlineStr">
        <is>
          <t>ST-021-STD-03</t>
        </is>
      </c>
      <c r="E104" s="25" t="inlineStr">
        <is>
          <t>IA-ST-021-STD-03</t>
        </is>
      </c>
      <c r="F104" s="25" t="inlineStr">
        <is>
          <t>IA-ST-CFG-0023</t>
        </is>
      </c>
      <c r="G104" s="25" t="n">
        <v>31.8252</v>
      </c>
      <c r="H104" s="25" t="inlineStr">
        <is>
          <t>988-pack GENERATED</t>
        </is>
      </c>
    </row>
    <row r="105">
      <c r="A105" s="25" t="inlineStr">
        <is>
          <t>1009163</t>
        </is>
      </c>
      <c r="B105" s="25" t="inlineStr">
        <is>
          <t>AKÜ,C-IGYASMF,DK,200AH,BLIZSILVRL,MISIR</t>
        </is>
      </c>
      <c r="C105" s="25" t="inlineStr">
        <is>
          <t>1</t>
        </is>
      </c>
      <c r="D105" s="25" t="inlineStr">
        <is>
          <t>ST-021-STD-03</t>
        </is>
      </c>
      <c r="E105" s="25" t="inlineStr">
        <is>
          <t>IA-ST-021-STD-03</t>
        </is>
      </c>
      <c r="F105" s="25" t="inlineStr">
        <is>
          <t>IA-ST-CFG-0023</t>
        </is>
      </c>
      <c r="G105" s="25" t="n">
        <v>31.8252</v>
      </c>
      <c r="H105" s="25" t="inlineStr">
        <is>
          <t>988-pack GENERATED</t>
        </is>
      </c>
    </row>
    <row r="106">
      <c r="A106" s="25" t="inlineStr">
        <is>
          <t>1009175</t>
        </is>
      </c>
      <c r="B106" s="25" t="inlineStr">
        <is>
          <t>AKÜ,B-IGYASMF,DK,150AH,HUGELULTRA,NACITA</t>
        </is>
      </c>
      <c r="C106" s="25" t="inlineStr">
        <is>
          <t>1</t>
        </is>
      </c>
      <c r="D106" s="25" t="inlineStr">
        <is>
          <t>ST-030-STD-06</t>
        </is>
      </c>
      <c r="E106" s="25" t="inlineStr">
        <is>
          <t>IA-ST-030-STD-06</t>
        </is>
      </c>
      <c r="F106" s="25" t="inlineStr">
        <is>
          <t>IA-ST-CFG-0052</t>
        </is>
      </c>
      <c r="G106" s="25" t="n">
        <v>32.3892</v>
      </c>
      <c r="H106" s="25" t="inlineStr">
        <is>
          <t>988-pack GENERATED</t>
        </is>
      </c>
    </row>
    <row r="107">
      <c r="A107" s="25" t="inlineStr">
        <is>
          <t>1009176</t>
        </is>
      </c>
      <c r="B107" s="25" t="inlineStr">
        <is>
          <t>AKÜ,B-IGYASMF,DK,150AH,BLIZSILVRL,MISIR</t>
        </is>
      </c>
      <c r="C107" s="25" t="inlineStr">
        <is>
          <t>1</t>
        </is>
      </c>
      <c r="D107" s="25" t="inlineStr">
        <is>
          <t>ST-030-STD-06</t>
        </is>
      </c>
      <c r="E107" s="25" t="inlineStr">
        <is>
          <t>IA-ST-030-STD-06</t>
        </is>
      </c>
      <c r="F107" s="25" t="inlineStr">
        <is>
          <t>IA-ST-CFG-0052</t>
        </is>
      </c>
      <c r="G107" s="25" t="n">
        <v>32.3892</v>
      </c>
      <c r="H107" s="25" t="inlineStr">
        <is>
          <t>988-pack GENERATED</t>
        </is>
      </c>
    </row>
    <row r="108">
      <c r="A108" s="25" t="inlineStr">
        <is>
          <t>1009270</t>
        </is>
      </c>
      <c r="B108" s="25" t="inlineStr">
        <is>
          <t>AKÜ,B-FLAT,DK,150AH,YUASA-CV,İÇ PYS</t>
        </is>
      </c>
      <c r="C108" s="25" t="inlineStr">
        <is>
          <t>1</t>
        </is>
      </c>
      <c r="D108" s="25" t="inlineStr">
        <is>
          <t>ST-030-STD-09</t>
        </is>
      </c>
      <c r="E108" s="25" t="inlineStr">
        <is>
          <t>IA-ST-030-STD-09</t>
        </is>
      </c>
      <c r="F108" s="25" t="inlineStr">
        <is>
          <t>IA-ST-CFG-0055</t>
        </is>
      </c>
      <c r="G108" s="25" t="n">
        <v>32.1024</v>
      </c>
      <c r="H108" s="25" t="inlineStr">
        <is>
          <t>988-pack GENERATED</t>
        </is>
      </c>
    </row>
    <row r="109">
      <c r="A109" s="25" t="inlineStr">
        <is>
          <t>1009271</t>
        </is>
      </c>
      <c r="B109" s="25" t="inlineStr">
        <is>
          <t>AKÜ,B-FLAT,DK,180AH,YUASA-CV,İÇ PYS</t>
        </is>
      </c>
      <c r="C109" s="25" t="inlineStr">
        <is>
          <t>1</t>
        </is>
      </c>
      <c r="D109" s="25" t="inlineStr">
        <is>
          <t>ST-030-STD-09</t>
        </is>
      </c>
      <c r="E109" s="25" t="inlineStr">
        <is>
          <t>IA-ST-030-STD-09</t>
        </is>
      </c>
      <c r="F109" s="25" t="inlineStr">
        <is>
          <t>IA-ST-CFG-0055</t>
        </is>
      </c>
      <c r="G109" s="25" t="n">
        <v>32.1024</v>
      </c>
      <c r="H109" s="25" t="inlineStr">
        <is>
          <t>988-pack GENERATED</t>
        </is>
      </c>
    </row>
    <row r="110">
      <c r="A110" s="25" t="inlineStr">
        <is>
          <t>1009273</t>
        </is>
      </c>
      <c r="B110" s="25" t="inlineStr">
        <is>
          <t>AKÜ,C-FLAT,DK,225AH,YUASA-CV,İÇ PYS</t>
        </is>
      </c>
      <c r="C110" s="25" t="inlineStr">
        <is>
          <t>1</t>
        </is>
      </c>
      <c r="D110" s="25" t="inlineStr">
        <is>
          <t>ST-021-STD-04</t>
        </is>
      </c>
      <c r="E110" s="25" t="inlineStr">
        <is>
          <t>IA-ST-021-STD-04</t>
        </is>
      </c>
      <c r="F110" s="25" t="inlineStr">
        <is>
          <t>IA-ST-CFG-0024</t>
        </is>
      </c>
      <c r="G110" s="25" t="n">
        <v>31.5384</v>
      </c>
      <c r="H110" s="25" t="inlineStr">
        <is>
          <t>988-pack GENERATED</t>
        </is>
      </c>
    </row>
    <row r="111">
      <c r="A111" s="25" t="inlineStr">
        <is>
          <t>1009285</t>
        </is>
      </c>
      <c r="B111" s="25" t="inlineStr">
        <is>
          <t>AKÜ AGM,L5AGM,DK,92AH,HUGEL AGM S&amp;S,NASA</t>
        </is>
      </c>
      <c r="C111" s="25" t="inlineStr">
        <is>
          <t>1</t>
        </is>
      </c>
      <c r="D111" s="25" t="inlineStr">
        <is>
          <t>ST-045-STD-08</t>
        </is>
      </c>
      <c r="E111" s="25" t="inlineStr">
        <is>
          <t>IA-ST-045-STD-08</t>
        </is>
      </c>
      <c r="F111" s="25" t="inlineStr">
        <is>
          <t>IA-ST-CFG-0096</t>
        </is>
      </c>
      <c r="G111" s="25" t="n">
        <v>29.7192</v>
      </c>
      <c r="H111" s="25" t="inlineStr">
        <is>
          <t>988-pack GENERATED</t>
        </is>
      </c>
    </row>
    <row r="112">
      <c r="A112" s="25" t="inlineStr">
        <is>
          <t>1009287</t>
        </is>
      </c>
      <c r="B112" s="25" t="inlineStr">
        <is>
          <t>AKÜ,B-IGYASMF,DK,150AH,EAS ACTIVA,ATWAN</t>
        </is>
      </c>
      <c r="C112" s="25" t="inlineStr">
        <is>
          <t>1</t>
        </is>
      </c>
      <c r="D112" s="25" t="inlineStr">
        <is>
          <t>ST-030-STD-06</t>
        </is>
      </c>
      <c r="E112" s="25" t="inlineStr">
        <is>
          <t>IA-ST-030-STD-06</t>
        </is>
      </c>
      <c r="F112" s="25" t="inlineStr">
        <is>
          <t>IA-ST-CFG-0052</t>
        </is>
      </c>
      <c r="G112" s="25" t="n">
        <v>32.3892</v>
      </c>
      <c r="H112" s="25" t="inlineStr">
        <is>
          <t>988-pack GENERATED</t>
        </is>
      </c>
    </row>
    <row r="113">
      <c r="A113" s="25" t="inlineStr">
        <is>
          <t>1009288</t>
        </is>
      </c>
      <c r="B113" s="25" t="inlineStr">
        <is>
          <t>AKÜ,C-IGYASMF,DK,200AH,EAS ACTIVA,ATWAN</t>
        </is>
      </c>
      <c r="C113" s="25" t="inlineStr">
        <is>
          <t>1</t>
        </is>
      </c>
      <c r="D113" s="25" t="inlineStr">
        <is>
          <t>ST-021-STD-03</t>
        </is>
      </c>
      <c r="E113" s="25" t="inlineStr">
        <is>
          <t>IA-ST-021-STD-03</t>
        </is>
      </c>
      <c r="F113" s="25" t="inlineStr">
        <is>
          <t>IA-ST-CFG-0023</t>
        </is>
      </c>
      <c r="G113" s="25" t="n">
        <v>31.8252</v>
      </c>
      <c r="H113" s="25" t="inlineStr">
        <is>
          <t>988-pack GENERATED</t>
        </is>
      </c>
    </row>
    <row r="114">
      <c r="A114" s="25" t="inlineStr">
        <is>
          <t>1009430</t>
        </is>
      </c>
      <c r="B114" s="25" t="inlineStr">
        <is>
          <t>AKÜ,B-IGYASMF,DK,180AH,HUGEL ULTRA,NASA</t>
        </is>
      </c>
      <c r="C114" s="25" t="inlineStr">
        <is>
          <t>1</t>
        </is>
      </c>
      <c r="D114" s="25" t="inlineStr">
        <is>
          <t>ST-030-STD-06</t>
        </is>
      </c>
      <c r="E114" s="25" t="inlineStr">
        <is>
          <t>IA-ST-030-STD-06</t>
        </is>
      </c>
      <c r="F114" s="25" t="inlineStr">
        <is>
          <t>IA-ST-CFG-0052</t>
        </is>
      </c>
      <c r="G114" s="25" t="n">
        <v>32.3892</v>
      </c>
      <c r="H114" s="25" t="inlineStr">
        <is>
          <t>988-pack GENERATED</t>
        </is>
      </c>
    </row>
    <row r="115">
      <c r="A115" s="25" t="inlineStr">
        <is>
          <t>1009483</t>
        </is>
      </c>
      <c r="B115" s="25" t="inlineStr">
        <is>
          <t>AKÜ SULU,L0,DK,40AH,SMF 202,GS</t>
        </is>
      </c>
      <c r="C115" s="25" t="inlineStr">
        <is>
          <t>1</t>
        </is>
      </c>
      <c r="D115" s="25" t="inlineStr">
        <is>
          <t>ST-072-EUR-06</t>
        </is>
      </c>
      <c r="E115" s="25" t="inlineStr">
        <is>
          <t>IA-ST-072-EUR-06</t>
        </is>
      </c>
      <c r="F115" s="25" t="inlineStr">
        <is>
          <t>IA-ST-CFG-0236</t>
        </is>
      </c>
      <c r="G115" s="25" t="n">
        <v>27.926</v>
      </c>
      <c r="H115" s="25" t="inlineStr">
        <is>
          <t>988-pack GENERATED</t>
        </is>
      </c>
    </row>
    <row r="116">
      <c r="A116" s="25" t="inlineStr">
        <is>
          <t>1009802</t>
        </is>
      </c>
      <c r="B116" s="25" t="inlineStr">
        <is>
          <t>AKÜ,C-IGYASMF,DK,200AH,FORMULA,EECMISIR</t>
        </is>
      </c>
      <c r="C116" s="25" t="inlineStr">
        <is>
          <t>1</t>
        </is>
      </c>
      <c r="D116" s="25" t="inlineStr">
        <is>
          <t>ST-021-STD-03</t>
        </is>
      </c>
      <c r="E116" s="25" t="inlineStr">
        <is>
          <t>IA-ST-021-STD-03</t>
        </is>
      </c>
      <c r="F116" s="25" t="inlineStr">
        <is>
          <t>IA-ST-CFG-0023</t>
        </is>
      </c>
      <c r="G116" s="25" t="n">
        <v>31.8252</v>
      </c>
      <c r="H116" s="25" t="inlineStr">
        <is>
          <t>988-pack GENERATED</t>
        </is>
      </c>
    </row>
    <row r="117">
      <c r="A117" s="25" t="inlineStr">
        <is>
          <t>1009849</t>
        </is>
      </c>
      <c r="B117" s="25" t="inlineStr">
        <is>
          <t>AKÜ,LB1,DK,50AH,IGYA SMF,STARTCRAFT</t>
        </is>
      </c>
      <c r="C117" s="25" t="inlineStr">
        <is>
          <t>1</t>
        </is>
      </c>
      <c r="D117" s="25" t="inlineStr">
        <is>
          <t>ST-096-EUR-05</t>
        </is>
      </c>
      <c r="E117" s="25" t="inlineStr">
        <is>
          <t>IA-ST-096-EUR-05</t>
        </is>
      </c>
      <c r="F117" s="25" t="inlineStr">
        <is>
          <t>IA-ST-CFG-0268</t>
        </is>
      </c>
      <c r="G117" s="25" t="n">
        <v>28.0592</v>
      </c>
      <c r="H117" s="25" t="inlineStr">
        <is>
          <t>988-pack GENERATED</t>
        </is>
      </c>
    </row>
    <row r="118">
      <c r="A118" s="29" t="inlineStr">
        <is>
          <t>1009868</t>
        </is>
      </c>
      <c r="B118" s="29" t="inlineStr">
        <is>
          <t>AKÜ,B-FLAT,DK,180AH,FORD YP</t>
        </is>
      </c>
      <c r="C118" s="29" t="inlineStr">
        <is>
          <t>1</t>
        </is>
      </c>
      <c r="H118" s="29" t="inlineStr">
        <is>
          <t>NO MAPPING</t>
        </is>
      </c>
    </row>
    <row r="119">
      <c r="A119" s="29" t="inlineStr">
        <is>
          <t>1009869</t>
        </is>
      </c>
      <c r="B119" s="29" t="inlineStr">
        <is>
          <t>AKÜ,C-FLAT,DK,225AH,FORD YP</t>
        </is>
      </c>
      <c r="C119" s="29" t="inlineStr">
        <is>
          <t>1</t>
        </is>
      </c>
      <c r="H119" s="29" t="inlineStr">
        <is>
          <t>NO MAPPING</t>
        </is>
      </c>
    </row>
    <row r="120">
      <c r="A120" s="25" t="inlineStr">
        <is>
          <t>1009874</t>
        </is>
      </c>
      <c r="B120" s="25" t="inlineStr">
        <is>
          <t>AKÜ,L3,DK,80AH,IGYA SMF,BOOSTER PREMIUM</t>
        </is>
      </c>
      <c r="C120" s="25" t="inlineStr">
        <is>
          <t>1</t>
        </is>
      </c>
      <c r="D120" s="25" t="inlineStr">
        <is>
          <t>ST-068-EUR-03</t>
        </is>
      </c>
      <c r="E120" s="25" t="inlineStr">
        <is>
          <t>IA-ST-068-EUR-03</t>
        </is>
      </c>
      <c r="F120" s="25" t="inlineStr">
        <is>
          <t>IA-ST-CFG-0200</t>
        </is>
      </c>
      <c r="G120" s="25" t="n">
        <v>30.0842</v>
      </c>
      <c r="H120" s="25" t="inlineStr">
        <is>
          <t>988-pack GENERATED</t>
        </is>
      </c>
    </row>
    <row r="121">
      <c r="A121" s="29" t="inlineStr">
        <is>
          <t>1009878</t>
        </is>
      </c>
      <c r="B121" s="29" t="inlineStr">
        <is>
          <t>AKÜ,C-FLAT,DK,225AH,İNCİ SUPRASENTOR,BMC</t>
        </is>
      </c>
      <c r="C121" s="29" t="inlineStr">
        <is>
          <t>1</t>
        </is>
      </c>
      <c r="H121" s="29" t="inlineStr">
        <is>
          <t>NO MAPPING</t>
        </is>
      </c>
    </row>
    <row r="122">
      <c r="A122" s="25" t="inlineStr">
        <is>
          <t>1009888</t>
        </is>
      </c>
      <c r="B122" s="25" t="inlineStr">
        <is>
          <t>AKÜ AGM,L6,DK,105AH,İNCİ AGM LEO,CELLMAX</t>
        </is>
      </c>
      <c r="C122" s="25" t="inlineStr">
        <is>
          <t>1</t>
        </is>
      </c>
      <c r="D122" s="25" t="inlineStr">
        <is>
          <t>ST-042-STD-05</t>
        </is>
      </c>
      <c r="E122" s="25" t="inlineStr">
        <is>
          <t>IA-ST-042-STD-05</t>
        </is>
      </c>
      <c r="F122" s="25" t="inlineStr">
        <is>
          <t>IA-ST-CFG-0080</t>
        </is>
      </c>
      <c r="G122" s="25" t="n">
        <v>29.5992</v>
      </c>
      <c r="H122" s="25" t="inlineStr">
        <is>
          <t>988-pack GENERATED</t>
        </is>
      </c>
    </row>
    <row r="123">
      <c r="A123" s="25" t="inlineStr">
        <is>
          <t>1009892</t>
        </is>
      </c>
      <c r="B123" s="25" t="inlineStr">
        <is>
          <t>AKÜ,TRACTORL,DK,115AH,OTOPRATİK,İÇ PYS</t>
        </is>
      </c>
      <c r="C123" s="25" t="inlineStr">
        <is>
          <t>1</t>
        </is>
      </c>
      <c r="D123" s="25" t="inlineStr">
        <is>
          <t>ST-045-STD-09</t>
        </is>
      </c>
      <c r="E123" s="25" t="inlineStr">
        <is>
          <t>IA-ST-045-STD-09</t>
        </is>
      </c>
      <c r="F123" s="25" t="inlineStr">
        <is>
          <t>IA-ST-CFG-0097</t>
        </is>
      </c>
      <c r="G123" s="25" t="n">
        <v>33.063</v>
      </c>
      <c r="H123" s="25" t="inlineStr">
        <is>
          <t>988-pack GENERATED</t>
        </is>
      </c>
    </row>
    <row r="124">
      <c r="A124" s="25" t="inlineStr">
        <is>
          <t>1009898</t>
        </is>
      </c>
      <c r="B124" s="25" t="inlineStr">
        <is>
          <t>AKÜ,TRACTOR,DK,125AH,ISUZU OES</t>
        </is>
      </c>
      <c r="C124" s="25" t="inlineStr">
        <is>
          <t>1</t>
        </is>
      </c>
      <c r="D124" s="25" t="inlineStr">
        <is>
          <t>ST-045-STD-05</t>
        </is>
      </c>
      <c r="E124" s="25" t="inlineStr">
        <is>
          <t>IA-ST-045-STD-05</t>
        </is>
      </c>
      <c r="F124" s="25" t="inlineStr">
        <is>
          <t>IA-ST-CFG-0093</t>
        </is>
      </c>
      <c r="G124" s="25" t="n">
        <v>33.3498</v>
      </c>
      <c r="H124" s="25" t="inlineStr">
        <is>
          <t>988-pack GENERATED</t>
        </is>
      </c>
    </row>
    <row r="125">
      <c r="A125" s="25" t="inlineStr">
        <is>
          <t>1009899</t>
        </is>
      </c>
      <c r="B125" s="25" t="inlineStr">
        <is>
          <t>AKÜ,TRACTORL,DK,105AH,ISUZU OES</t>
        </is>
      </c>
      <c r="C125" s="25" t="inlineStr">
        <is>
          <t>1</t>
        </is>
      </c>
      <c r="D125" s="25" t="inlineStr">
        <is>
          <t>ST-045-STD-05</t>
        </is>
      </c>
      <c r="E125" s="25" t="inlineStr">
        <is>
          <t>IA-ST-045-STD-05</t>
        </is>
      </c>
      <c r="F125" s="25" t="inlineStr">
        <is>
          <t>IA-ST-CFG-0093</t>
        </is>
      </c>
      <c r="G125" s="25" t="n">
        <v>33.3498</v>
      </c>
      <c r="H125" s="25" t="inlineStr">
        <is>
          <t>988-pack GENERATED</t>
        </is>
      </c>
    </row>
    <row r="126">
      <c r="A126" s="25" t="inlineStr">
        <is>
          <t>1009931</t>
        </is>
      </c>
      <c r="B126" s="25" t="inlineStr">
        <is>
          <t>AKÜ,D23,DK,70AH,IGYA SMF,BOOSTER PREMIUM</t>
        </is>
      </c>
      <c r="C126" s="25" t="inlineStr">
        <is>
          <t>1</t>
        </is>
      </c>
      <c r="D126" s="25" t="inlineStr">
        <is>
          <t>ST-060-EUR-02</t>
        </is>
      </c>
      <c r="E126" s="25" t="inlineStr">
        <is>
          <t>IA-ST-060-EUR-02</t>
        </is>
      </c>
      <c r="F126" s="25" t="inlineStr">
        <is>
          <t>IA-ST-CFG-0171</t>
        </is>
      </c>
      <c r="G126" s="25" t="n">
        <v>32.9834</v>
      </c>
      <c r="H126" s="25" t="inlineStr">
        <is>
          <t>988-pack GENERATED</t>
        </is>
      </c>
    </row>
    <row r="127">
      <c r="A127" s="25" t="inlineStr">
        <is>
          <t>1009937</t>
        </is>
      </c>
      <c r="B127" s="25" t="inlineStr">
        <is>
          <t>AKÜ AGM,L5,DK,92AH,VRLA,BOOSTER PREMIUM</t>
        </is>
      </c>
      <c r="C127" s="25" t="inlineStr">
        <is>
          <t>1</t>
        </is>
      </c>
      <c r="D127" s="25" t="inlineStr">
        <is>
          <t>ST-048-EUR-10</t>
        </is>
      </c>
      <c r="E127" s="25" t="inlineStr">
        <is>
          <t>IA-ST-048-EUR-10</t>
        </is>
      </c>
      <c r="F127" s="25" t="inlineStr">
        <is>
          <t>IA-ST-CFG-0116</t>
        </is>
      </c>
      <c r="G127" s="25" t="n">
        <v>29.7592</v>
      </c>
      <c r="H127" s="25" t="inlineStr">
        <is>
          <t>988-pack GENERATED</t>
        </is>
      </c>
    </row>
    <row r="128">
      <c r="A128" s="25" t="inlineStr">
        <is>
          <t>1009938</t>
        </is>
      </c>
      <c r="B128" s="25" t="inlineStr">
        <is>
          <t>AKÜ,D31,TK,100AH,IGYASMF,BOOSTER PREMIUM</t>
        </is>
      </c>
      <c r="C128" s="25" t="inlineStr">
        <is>
          <t>1</t>
        </is>
      </c>
      <c r="D128" s="25" t="inlineStr">
        <is>
          <t>ST-048-EUR-09</t>
        </is>
      </c>
      <c r="E128" s="25" t="inlineStr">
        <is>
          <t>IA-ST-048-EUR-09</t>
        </is>
      </c>
      <c r="F128" s="25" t="inlineStr">
        <is>
          <t>IA-ST-CFG-0115</t>
        </is>
      </c>
      <c r="G128" s="25" t="n">
        <v>32.8524</v>
      </c>
      <c r="H128" s="25" t="inlineStr">
        <is>
          <t>988-pack GENERATED</t>
        </is>
      </c>
    </row>
    <row r="129">
      <c r="A129" s="25" t="inlineStr">
        <is>
          <t>1009939</t>
        </is>
      </c>
      <c r="B129" s="25" t="inlineStr">
        <is>
          <t>AKÜ,D31,DK,100AH,IGYASMF,BOOSTER PREMIUM</t>
        </is>
      </c>
      <c r="C129" s="25" t="inlineStr">
        <is>
          <t>1</t>
        </is>
      </c>
      <c r="D129" s="25" t="inlineStr">
        <is>
          <t>ST-048-EUR-09</t>
        </is>
      </c>
      <c r="E129" s="25" t="inlineStr">
        <is>
          <t>IA-ST-048-EUR-09</t>
        </is>
      </c>
      <c r="F129" s="25" t="inlineStr">
        <is>
          <t>IA-ST-CFG-0115</t>
        </is>
      </c>
      <c r="G129" s="25" t="n">
        <v>32.8524</v>
      </c>
      <c r="H129" s="25" t="inlineStr">
        <is>
          <t>988-pack GENERATED</t>
        </is>
      </c>
    </row>
    <row r="130">
      <c r="A130" s="25" t="inlineStr">
        <is>
          <t>1009950</t>
        </is>
      </c>
      <c r="B130" s="25" t="inlineStr">
        <is>
          <t>AKÜ,L4,DK,85AH,IGYA SMF,BOOSTER PREMIUM</t>
        </is>
      </c>
      <c r="C130" s="25" t="inlineStr">
        <is>
          <t>1</t>
        </is>
      </c>
      <c r="D130" s="25" t="inlineStr">
        <is>
          <t>ST-056-EUR-03</t>
        </is>
      </c>
      <c r="E130" s="25" t="inlineStr">
        <is>
          <t>IA-ST-056-EUR-03</t>
        </is>
      </c>
      <c r="F130" s="25" t="inlineStr">
        <is>
          <t>IA-ST-CFG-0152</t>
        </is>
      </c>
      <c r="G130" s="25" t="n">
        <v>29.7432</v>
      </c>
      <c r="H130" s="25" t="inlineStr">
        <is>
          <t>988-pack GENERATED</t>
        </is>
      </c>
    </row>
    <row r="131">
      <c r="A131" s="25" t="inlineStr">
        <is>
          <t>1009973</t>
        </is>
      </c>
      <c r="B131" s="25" t="inlineStr">
        <is>
          <t>AKÜ,NS60,DK,45AH,IGYA SMF,NS60L MF,LUCAS</t>
        </is>
      </c>
      <c r="C131" s="25" t="inlineStr">
        <is>
          <t>1</t>
        </is>
      </c>
      <c r="D131" s="25" t="inlineStr">
        <is>
          <t>ST-096-STD-03</t>
        </is>
      </c>
      <c r="E131" s="25" t="inlineStr">
        <is>
          <t>IA-ST-096-STD-03</t>
        </is>
      </c>
      <c r="F131" s="25" t="inlineStr">
        <is>
          <t>IA-ST-CFG-0272</t>
        </is>
      </c>
      <c r="G131" s="25" t="n">
        <v>35.3172</v>
      </c>
      <c r="H131" s="25" t="inlineStr">
        <is>
          <t>988-pack GENERATED</t>
        </is>
      </c>
    </row>
    <row r="132">
      <c r="A132" s="25" t="inlineStr">
        <is>
          <t>1009975</t>
        </is>
      </c>
      <c r="B132" s="25" t="inlineStr">
        <is>
          <t>AKÜ,D31,DK,70AH,IGYA SMF,N70ZL,LUCAS</t>
        </is>
      </c>
      <c r="C132" s="25" t="inlineStr">
        <is>
          <t>1</t>
        </is>
      </c>
      <c r="D132" s="25" t="inlineStr">
        <is>
          <t>ST-054-STD-07</t>
        </is>
      </c>
      <c r="E132" s="25" t="inlineStr">
        <is>
          <t>IA-ST-054-STD-07</t>
        </is>
      </c>
      <c r="F132" s="25" t="inlineStr">
        <is>
          <t>IA-ST-CFG-0143</t>
        </is>
      </c>
      <c r="G132" s="25" t="n">
        <v>33.7838</v>
      </c>
      <c r="H132" s="25" t="inlineStr">
        <is>
          <t>988-pack GENERATED</t>
        </is>
      </c>
    </row>
    <row r="133">
      <c r="A133" s="25" t="inlineStr">
        <is>
          <t>1009976</t>
        </is>
      </c>
      <c r="B133" s="25" t="inlineStr">
        <is>
          <t>AKÜ,NS40,DK,35AH,IGYA SMFNS40ZL MF,LUCAS</t>
        </is>
      </c>
      <c r="C133" s="25" t="inlineStr">
        <is>
          <t>1</t>
        </is>
      </c>
      <c r="D133" s="25" t="inlineStr">
        <is>
          <t>ST-120-STD-01</t>
        </is>
      </c>
      <c r="E133" s="25" t="inlineStr">
        <is>
          <t>IA-ST-120-STD-01</t>
        </is>
      </c>
      <c r="F133" s="25" t="inlineStr">
        <is>
          <t>IA-ST-CFG-0284</t>
        </is>
      </c>
      <c r="G133" s="25" t="n">
        <v>35.3676</v>
      </c>
      <c r="H133" s="25" t="inlineStr">
        <is>
          <t>988-pack GENERATED</t>
        </is>
      </c>
    </row>
    <row r="134">
      <c r="A134" s="25" t="inlineStr">
        <is>
          <t>1009977</t>
        </is>
      </c>
      <c r="B134" s="25" t="inlineStr">
        <is>
          <t>AKÜ,D31,DK,80AH,IGYA SMF,N80L,LUCAS</t>
        </is>
      </c>
      <c r="C134" s="25" t="inlineStr">
        <is>
          <t>1</t>
        </is>
      </c>
      <c r="D134" s="25" t="inlineStr">
        <is>
          <t>ST-054-STD-07</t>
        </is>
      </c>
      <c r="E134" s="25" t="inlineStr">
        <is>
          <t>IA-ST-054-STD-07</t>
        </is>
      </c>
      <c r="F134" s="25" t="inlineStr">
        <is>
          <t>IA-ST-CFG-0143</t>
        </is>
      </c>
      <c r="G134" s="25" t="n">
        <v>33.7838</v>
      </c>
      <c r="H134" s="25" t="inlineStr">
        <is>
          <t>988-pack GENERATED</t>
        </is>
      </c>
    </row>
    <row r="135">
      <c r="A135" s="25" t="inlineStr">
        <is>
          <t>1009978</t>
        </is>
      </c>
      <c r="B135" s="25" t="inlineStr">
        <is>
          <t>AKÜ,D31,TK,90AH,IGYASMF,105D31R MF,LUCAS</t>
        </is>
      </c>
      <c r="C135" s="25" t="inlineStr">
        <is>
          <t>1</t>
        </is>
      </c>
      <c r="D135" s="25" t="inlineStr">
        <is>
          <t>ST-054-STD-07</t>
        </is>
      </c>
      <c r="E135" s="25" t="inlineStr">
        <is>
          <t>IA-ST-054-STD-07</t>
        </is>
      </c>
      <c r="F135" s="25" t="inlineStr">
        <is>
          <t>IA-ST-CFG-0143</t>
        </is>
      </c>
      <c r="G135" s="25" t="n">
        <v>33.7838</v>
      </c>
      <c r="H135" s="25" t="inlineStr">
        <is>
          <t>988-pack GENERATED</t>
        </is>
      </c>
    </row>
    <row r="136">
      <c r="A136" s="25" t="inlineStr">
        <is>
          <t>1009979</t>
        </is>
      </c>
      <c r="B136" s="25" t="inlineStr">
        <is>
          <t>AKÜ,L5,DK,100AH,IGYA SMF,TD100L MF,LUCAS</t>
        </is>
      </c>
      <c r="C136" s="25" t="inlineStr">
        <is>
          <t>1</t>
        </is>
      </c>
      <c r="D136" s="25" t="inlineStr">
        <is>
          <t>ST-045-STD-08</t>
        </is>
      </c>
      <c r="E136" s="25" t="inlineStr">
        <is>
          <t>IA-ST-045-STD-08</t>
        </is>
      </c>
      <c r="F136" s="25" t="inlineStr">
        <is>
          <t>IA-ST-CFG-0096</t>
        </is>
      </c>
      <c r="G136" s="25" t="n">
        <v>29.7192</v>
      </c>
      <c r="H136" s="25" t="inlineStr">
        <is>
          <t>988-pack GENERATED</t>
        </is>
      </c>
    </row>
    <row r="137">
      <c r="A137" s="25" t="inlineStr">
        <is>
          <t>1009980</t>
        </is>
      </c>
      <c r="B137" s="25" t="inlineStr">
        <is>
          <t>AKÜ,D23,DK,60AH,IGYA SMF,75D23L,LUCAS</t>
        </is>
      </c>
      <c r="C137" s="25" t="inlineStr">
        <is>
          <t>1</t>
        </is>
      </c>
      <c r="D137" s="25" t="inlineStr">
        <is>
          <t>ST-072-STD-10</t>
        </is>
      </c>
      <c r="E137" s="25" t="inlineStr">
        <is>
          <t>IA-ST-072-STD-10</t>
        </is>
      </c>
      <c r="F137" s="25" t="inlineStr">
        <is>
          <t>IA-ST-CFG-0219</t>
        </is>
      </c>
      <c r="G137" s="25" t="n">
        <v>34.33224</v>
      </c>
      <c r="H137" s="25" t="inlineStr">
        <is>
          <t>988-pack GENERATED</t>
        </is>
      </c>
    </row>
    <row r="138">
      <c r="A138" s="25" t="inlineStr">
        <is>
          <t>1009981</t>
        </is>
      </c>
      <c r="B138" s="25" t="inlineStr">
        <is>
          <t>AKÜ,L3,DK,75AH,IGYA SMF,DIN75L,LUCAS</t>
        </is>
      </c>
      <c r="C138" s="25" t="inlineStr">
        <is>
          <t>1</t>
        </is>
      </c>
      <c r="D138" s="25" t="inlineStr">
        <is>
          <t>ST-063-STD-08</t>
        </is>
      </c>
      <c r="E138" s="25" t="inlineStr">
        <is>
          <t>IA-ST-063-STD-08</t>
        </is>
      </c>
      <c r="F138" s="25" t="inlineStr">
        <is>
          <t>IA-ST-CFG-0179</t>
        </is>
      </c>
      <c r="G138" s="25" t="n">
        <v>29.9992</v>
      </c>
      <c r="H138" s="25" t="inlineStr">
        <is>
          <t>988-pack GENERATED</t>
        </is>
      </c>
    </row>
    <row r="139">
      <c r="A139" s="25" t="inlineStr">
        <is>
          <t>1009982</t>
        </is>
      </c>
      <c r="B139" s="25" t="inlineStr">
        <is>
          <t>AKÜ,B-IGYASMF,DK,150AH,N150 MF,LUCAS</t>
        </is>
      </c>
      <c r="C139" s="25" t="inlineStr">
        <is>
          <t>1</t>
        </is>
      </c>
      <c r="D139" s="25" t="inlineStr">
        <is>
          <t>ST-030-STD-06</t>
        </is>
      </c>
      <c r="E139" s="25" t="inlineStr">
        <is>
          <t>IA-ST-030-STD-06</t>
        </is>
      </c>
      <c r="F139" s="25" t="inlineStr">
        <is>
          <t>IA-ST-CFG-0052</t>
        </is>
      </c>
      <c r="G139" s="25" t="n">
        <v>32.3892</v>
      </c>
      <c r="H139" s="25" t="inlineStr">
        <is>
          <t>988-pack GENERATED</t>
        </is>
      </c>
    </row>
    <row r="140">
      <c r="A140" s="25" t="inlineStr">
        <is>
          <t>1009983</t>
        </is>
      </c>
      <c r="B140" s="25" t="inlineStr">
        <is>
          <t>AKÜ,A-IGYASMF,DK,120AH,N120 MF,LUCAS</t>
        </is>
      </c>
      <c r="C140" s="25" t="inlineStr">
        <is>
          <t>1</t>
        </is>
      </c>
      <c r="D140" s="25" t="inlineStr">
        <is>
          <t>ST-030-STD-05</t>
        </is>
      </c>
      <c r="E140" s="25" t="inlineStr">
        <is>
          <t>IA-ST-030-STD-05</t>
        </is>
      </c>
      <c r="F140" s="25" t="inlineStr">
        <is>
          <t>IA-ST-CFG-0051</t>
        </is>
      </c>
      <c r="G140" s="25" t="n">
        <v>31.6992</v>
      </c>
      <c r="H140" s="25" t="inlineStr">
        <is>
          <t>988-pack GENERATED</t>
        </is>
      </c>
    </row>
    <row r="141">
      <c r="A141" s="25" t="inlineStr">
        <is>
          <t>1009984</t>
        </is>
      </c>
      <c r="B141" s="25" t="inlineStr">
        <is>
          <t>AKÜ,C-IGYASMF,DK,200AH,N200 MF,LUCAS</t>
        </is>
      </c>
      <c r="C141" s="25" t="inlineStr">
        <is>
          <t>1</t>
        </is>
      </c>
      <c r="D141" s="25" t="inlineStr">
        <is>
          <t>ST-021-STD-03</t>
        </is>
      </c>
      <c r="E141" s="25" t="inlineStr">
        <is>
          <t>IA-ST-021-STD-03</t>
        </is>
      </c>
      <c r="F141" s="25" t="inlineStr">
        <is>
          <t>IA-ST-CFG-0023</t>
        </is>
      </c>
      <c r="G141" s="25" t="n">
        <v>31.8252</v>
      </c>
      <c r="H141" s="25" t="inlineStr">
        <is>
          <t>988-pack GENERATED</t>
        </is>
      </c>
    </row>
    <row r="142">
      <c r="A142" s="25" t="inlineStr">
        <is>
          <t>1009985</t>
        </is>
      </c>
      <c r="B142" s="25" t="inlineStr">
        <is>
          <t>AKÜ,L1,DK,44AH,IGYA SMF,DIN44L,LUCAS</t>
        </is>
      </c>
      <c r="C142" s="25" t="inlineStr">
        <is>
          <t>1</t>
        </is>
      </c>
      <c r="D142" s="25" t="inlineStr">
        <is>
          <t>ST-087-STD-03</t>
        </is>
      </c>
      <c r="E142" s="25" t="inlineStr">
        <is>
          <t>IA-ST-087-STD-03</t>
        </is>
      </c>
      <c r="F142" s="25" t="inlineStr">
        <is>
          <t>IA-ST-CFG-0248</t>
        </is>
      </c>
      <c r="G142" s="25" t="n">
        <v>31.0092</v>
      </c>
      <c r="H142" s="25" t="inlineStr">
        <is>
          <t>988-pack GENERATED</t>
        </is>
      </c>
    </row>
    <row r="143">
      <c r="A143" s="25" t="inlineStr">
        <is>
          <t>1009986</t>
        </is>
      </c>
      <c r="B143" s="25" t="inlineStr">
        <is>
          <t>AKÜ,L2,DK,62AH,IGYA SMF,DIN62L,LUCAS</t>
        </is>
      </c>
      <c r="C143" s="25" t="inlineStr">
        <is>
          <t>1</t>
        </is>
      </c>
      <c r="D143" s="25" t="inlineStr">
        <is>
          <t>ST-072-STD-13</t>
        </is>
      </c>
      <c r="E143" s="25" t="inlineStr">
        <is>
          <t>IA-ST-072-STD-13</t>
        </is>
      </c>
      <c r="F143" s="25" t="inlineStr">
        <is>
          <t>IA-ST-CFG-0222</t>
        </is>
      </c>
      <c r="G143" s="25" t="n">
        <v>30.6552</v>
      </c>
      <c r="H143" s="25" t="inlineStr">
        <is>
          <t>988-pack GENERATED</t>
        </is>
      </c>
    </row>
    <row r="144">
      <c r="A144" s="25" t="inlineStr">
        <is>
          <t>1009997</t>
        </is>
      </c>
      <c r="B144" s="25" t="inlineStr">
        <is>
          <t>AKÜ,LB2,DK60AH,IGYSMF,EFBS&amp;S,BOOSTERPREM</t>
        </is>
      </c>
      <c r="C144" s="25" t="inlineStr">
        <is>
          <t>1</t>
        </is>
      </c>
      <c r="D144" s="25" t="inlineStr">
        <is>
          <t>ST-076-EUR-03</t>
        </is>
      </c>
      <c r="E144" s="25" t="inlineStr">
        <is>
          <t>IA-ST-076-EUR-03</t>
        </is>
      </c>
      <c r="F144" s="25" t="inlineStr">
        <is>
          <t>IA-ST-CFG-0240</t>
        </is>
      </c>
      <c r="G144" s="25" t="n">
        <v>30.7272</v>
      </c>
      <c r="H144" s="25" t="inlineStr">
        <is>
          <t>988-pack GENERATED</t>
        </is>
      </c>
    </row>
    <row r="145">
      <c r="A145" s="25" t="inlineStr">
        <is>
          <t>1010000</t>
        </is>
      </c>
      <c r="B145" s="25" t="inlineStr">
        <is>
          <t>AKÜ,B-IGYASMF,DK,180AH,SILVER,SCHNAPP</t>
        </is>
      </c>
      <c r="C145" s="25" t="inlineStr">
        <is>
          <t>1</t>
        </is>
      </c>
      <c r="D145" s="25" t="inlineStr">
        <is>
          <t>ST-030-STD-11</t>
        </is>
      </c>
      <c r="E145" s="25" t="inlineStr">
        <is>
          <t>IA-ST-030-STD-11</t>
        </is>
      </c>
      <c r="F145" s="25" t="inlineStr">
        <is>
          <t>IA-ST-CFG-0057</t>
        </is>
      </c>
      <c r="G145" s="25" t="n">
        <v>31.157</v>
      </c>
      <c r="H145" s="25" t="inlineStr">
        <is>
          <t>988-pack GENERATED</t>
        </is>
      </c>
    </row>
    <row r="146">
      <c r="A146" s="25" t="inlineStr">
        <is>
          <t>1010001</t>
        </is>
      </c>
      <c r="B146" s="25" t="inlineStr">
        <is>
          <t>AKÜ,C-IGYASMF,DK,225AH,SILVER,SCHNAPP</t>
        </is>
      </c>
      <c r="C146" s="25" t="inlineStr">
        <is>
          <t>1</t>
        </is>
      </c>
      <c r="D146" s="25" t="inlineStr">
        <is>
          <t>ST-021-STD-05</t>
        </is>
      </c>
      <c r="E146" s="25" t="inlineStr">
        <is>
          <t>IA-ST-021-STD-05</t>
        </is>
      </c>
      <c r="F146" s="25" t="inlineStr">
        <is>
          <t>IA-ST-CFG-0025</t>
        </is>
      </c>
      <c r="G146" s="25" t="n">
        <v>30.983</v>
      </c>
      <c r="H146" s="25" t="inlineStr">
        <is>
          <t>988-pack GENERATED</t>
        </is>
      </c>
    </row>
    <row r="147">
      <c r="A147" s="25" t="inlineStr">
        <is>
          <t>1010002</t>
        </is>
      </c>
      <c r="B147" s="25" t="inlineStr">
        <is>
          <t>AKÜ,B-IGYASMF,DK,170AH,STRONG,SCHNAPP</t>
        </is>
      </c>
      <c r="C147" s="25" t="inlineStr">
        <is>
          <t>1</t>
        </is>
      </c>
      <c r="D147" s="25" t="inlineStr">
        <is>
          <t>ST-030-STD-11</t>
        </is>
      </c>
      <c r="E147" s="25" t="inlineStr">
        <is>
          <t>IA-ST-030-STD-11</t>
        </is>
      </c>
      <c r="F147" s="25" t="inlineStr">
        <is>
          <t>IA-ST-CFG-0057</t>
        </is>
      </c>
      <c r="G147" s="25" t="n">
        <v>31.157</v>
      </c>
      <c r="H147" s="25" t="inlineStr">
        <is>
          <t>988-pack GENERATED</t>
        </is>
      </c>
    </row>
    <row r="148">
      <c r="A148" s="25" t="inlineStr">
        <is>
          <t>1010003</t>
        </is>
      </c>
      <c r="B148" s="25" t="inlineStr">
        <is>
          <t>AKÜ,A-IGYASMF,DK,145AH,STRONG,SCHNAPP</t>
        </is>
      </c>
      <c r="C148" s="25" t="inlineStr">
        <is>
          <t>1</t>
        </is>
      </c>
      <c r="D148" s="25" t="inlineStr">
        <is>
          <t>ST-030-STD-10</t>
        </is>
      </c>
      <c r="E148" s="25" t="inlineStr">
        <is>
          <t>IA-ST-030-STD-10</t>
        </is>
      </c>
      <c r="F148" s="25" t="inlineStr">
        <is>
          <t>IA-ST-CFG-0056</t>
        </is>
      </c>
      <c r="G148" s="25" t="n">
        <v>30.467</v>
      </c>
      <c r="H148" s="25" t="inlineStr">
        <is>
          <t>988-pack GENERATED</t>
        </is>
      </c>
    </row>
    <row r="149">
      <c r="A149" s="25" t="inlineStr">
        <is>
          <t>1010037</t>
        </is>
      </c>
      <c r="B149" s="25" t="inlineStr">
        <is>
          <t>AKÜ,L5,DK,92AH,VRLA,AGM S&amp;S,FORD OES</t>
        </is>
      </c>
      <c r="C149" s="25" t="inlineStr">
        <is>
          <t>1</t>
        </is>
      </c>
      <c r="D149" s="25" t="inlineStr">
        <is>
          <t>ST-045-STD-08</t>
        </is>
      </c>
      <c r="E149" s="25" t="inlineStr">
        <is>
          <t>IA-ST-045-STD-08</t>
        </is>
      </c>
      <c r="F149" s="25" t="inlineStr">
        <is>
          <t>IA-ST-CFG-0096</t>
        </is>
      </c>
      <c r="G149" s="25" t="n">
        <v>29.7192</v>
      </c>
      <c r="H149" s="25" t="inlineStr">
        <is>
          <t>988-pack GENERATED</t>
        </is>
      </c>
    </row>
    <row r="150">
      <c r="A150" s="25" t="inlineStr">
        <is>
          <t>1010038</t>
        </is>
      </c>
      <c r="B150" s="25" t="inlineStr">
        <is>
          <t>AKÜ,L3,DK,70AH,VRLA,AGM S&amp;S,FORD OES</t>
        </is>
      </c>
      <c r="C150" s="25" t="inlineStr">
        <is>
          <t>1</t>
        </is>
      </c>
      <c r="D150" s="25" t="inlineStr">
        <is>
          <t>ST-063-STD-08</t>
        </is>
      </c>
      <c r="E150" s="25" t="inlineStr">
        <is>
          <t>IA-ST-063-STD-08</t>
        </is>
      </c>
      <c r="F150" s="25" t="inlineStr">
        <is>
          <t>IA-ST-CFG-0179</t>
        </is>
      </c>
      <c r="G150" s="25" t="n">
        <v>29.9992</v>
      </c>
      <c r="H150" s="25" t="inlineStr">
        <is>
          <t>988-pack GENERATED</t>
        </is>
      </c>
    </row>
    <row r="151">
      <c r="A151" s="25" t="inlineStr">
        <is>
          <t>1010043</t>
        </is>
      </c>
      <c r="B151" s="25" t="inlineStr">
        <is>
          <t>AKÜ,D31,TK,80AH,IGYA SMF,N80,LUCAS</t>
        </is>
      </c>
      <c r="C151" s="25" t="inlineStr">
        <is>
          <t>1</t>
        </is>
      </c>
      <c r="D151" s="25" t="inlineStr">
        <is>
          <t>ST-054-STD-07</t>
        </is>
      </c>
      <c r="E151" s="25" t="inlineStr">
        <is>
          <t>IA-ST-054-STD-07</t>
        </is>
      </c>
      <c r="F151" s="25" t="inlineStr">
        <is>
          <t>IA-ST-CFG-0143</t>
        </is>
      </c>
      <c r="G151" s="25" t="n">
        <v>33.7838</v>
      </c>
      <c r="H151" s="25" t="inlineStr">
        <is>
          <t>988-pack GENERATED</t>
        </is>
      </c>
    </row>
    <row r="152">
      <c r="A152" s="25" t="inlineStr">
        <is>
          <t>1010050</t>
        </is>
      </c>
      <c r="B152" s="25" t="inlineStr">
        <is>
          <t>AKÜ,A-IGYASMF,DK,140AH,N140,LUCAS</t>
        </is>
      </c>
      <c r="C152" s="25" t="inlineStr">
        <is>
          <t>1</t>
        </is>
      </c>
      <c r="D152" s="25" t="inlineStr">
        <is>
          <t>ST-030-STD-05</t>
        </is>
      </c>
      <c r="E152" s="25" t="inlineStr">
        <is>
          <t>IA-ST-030-STD-05</t>
        </is>
      </c>
      <c r="F152" s="25" t="inlineStr">
        <is>
          <t>IA-ST-CFG-0051</t>
        </is>
      </c>
      <c r="G152" s="25" t="n">
        <v>31.6992</v>
      </c>
      <c r="H152" s="25" t="inlineStr">
        <is>
          <t>988-pack GENERATED</t>
        </is>
      </c>
    </row>
    <row r="153">
      <c r="A153" s="25" t="inlineStr">
        <is>
          <t>1010051</t>
        </is>
      </c>
      <c r="B153" s="25" t="inlineStr">
        <is>
          <t>AKÜ,B-IGYASMF,DK,180AH,N180,LUCAS</t>
        </is>
      </c>
      <c r="C153" s="25" t="inlineStr">
        <is>
          <t>1</t>
        </is>
      </c>
      <c r="D153" s="25" t="inlineStr">
        <is>
          <t>ST-030-STD-06</t>
        </is>
      </c>
      <c r="E153" s="25" t="inlineStr">
        <is>
          <t>IA-ST-030-STD-06</t>
        </is>
      </c>
      <c r="F153" s="25" t="inlineStr">
        <is>
          <t>IA-ST-CFG-0052</t>
        </is>
      </c>
      <c r="G153" s="25" t="n">
        <v>32.3892</v>
      </c>
      <c r="H153" s="25" t="inlineStr">
        <is>
          <t>988-pack GENERATED</t>
        </is>
      </c>
    </row>
    <row r="154">
      <c r="A154" s="25" t="inlineStr">
        <is>
          <t>1010052</t>
        </is>
      </c>
      <c r="B154" s="25" t="inlineStr">
        <is>
          <t>AKÜ,D31,DK,90AH,IGYA SMF,105D31L,LUCAS</t>
        </is>
      </c>
      <c r="C154" s="25" t="inlineStr">
        <is>
          <t>1</t>
        </is>
      </c>
      <c r="D154" s="25" t="inlineStr">
        <is>
          <t>ST-054-STD-07</t>
        </is>
      </c>
      <c r="E154" s="25" t="inlineStr">
        <is>
          <t>IA-ST-054-STD-07</t>
        </is>
      </c>
      <c r="F154" s="25" t="inlineStr">
        <is>
          <t>IA-ST-CFG-0143</t>
        </is>
      </c>
      <c r="G154" s="25" t="n">
        <v>33.7838</v>
      </c>
      <c r="H154" s="25" t="inlineStr">
        <is>
          <t>988-pack GENERATED</t>
        </is>
      </c>
    </row>
    <row r="155">
      <c r="A155" s="25" t="inlineStr">
        <is>
          <t>1010063</t>
        </is>
      </c>
      <c r="B155" s="25" t="inlineStr">
        <is>
          <t>AKÜ,TRACTOR,DK,142AH,Y1000,YBX1657,GYEUR</t>
        </is>
      </c>
      <c r="C155" s="25" t="inlineStr">
        <is>
          <t>1</t>
        </is>
      </c>
      <c r="D155" s="25" t="inlineStr">
        <is>
          <t>ST-024-EUR-01</t>
        </is>
      </c>
      <c r="E155" s="25" t="inlineStr">
        <is>
          <t>IA-ST-024-EUR-01</t>
        </is>
      </c>
      <c r="F155" s="25" t="inlineStr">
        <is>
          <t>IA-ST-CFG-0035</t>
        </is>
      </c>
      <c r="G155" s="25" t="n">
        <v>36.726</v>
      </c>
      <c r="H155" s="25" t="inlineStr">
        <is>
          <t>988-pack GENERATED</t>
        </is>
      </c>
    </row>
    <row r="156">
      <c r="A156" s="25" t="inlineStr">
        <is>
          <t>1010068</t>
        </is>
      </c>
      <c r="B156" s="25" t="inlineStr">
        <is>
          <t>AKÜ,TRACTORL,DK,105AH,OTOPRATİK, İÇ PYS</t>
        </is>
      </c>
      <c r="C156" s="25" t="inlineStr">
        <is>
          <t>1</t>
        </is>
      </c>
      <c r="D156" s="25" t="inlineStr">
        <is>
          <t>ST-045-STD-09</t>
        </is>
      </c>
      <c r="E156" s="25" t="inlineStr">
        <is>
          <t>IA-ST-045-STD-09</t>
        </is>
      </c>
      <c r="F156" s="25" t="inlineStr">
        <is>
          <t>IA-ST-CFG-0097</t>
        </is>
      </c>
      <c r="G156" s="25" t="n">
        <v>33.063</v>
      </c>
      <c r="H156" s="25" t="inlineStr">
        <is>
          <t>988-pack GENERATED</t>
        </is>
      </c>
    </row>
    <row r="157">
      <c r="A157" s="25" t="inlineStr">
        <is>
          <t>1010069</t>
        </is>
      </c>
      <c r="B157" s="25" t="inlineStr">
        <is>
          <t>AKÜ,C-FLAT,DK,240AH,OTOPRATİK,İÇ PYS</t>
        </is>
      </c>
      <c r="C157" s="25" t="inlineStr">
        <is>
          <t>1</t>
        </is>
      </c>
      <c r="D157" s="25" t="inlineStr">
        <is>
          <t>ST-021-STD-04</t>
        </is>
      </c>
      <c r="E157" s="25" t="inlineStr">
        <is>
          <t>IA-ST-021-STD-04</t>
        </is>
      </c>
      <c r="F157" s="25" t="inlineStr">
        <is>
          <t>IA-ST-CFG-0024</t>
        </is>
      </c>
      <c r="G157" s="25" t="n">
        <v>31.5384</v>
      </c>
      <c r="H157" s="25" t="inlineStr">
        <is>
          <t>988-pack GENERATED</t>
        </is>
      </c>
    </row>
    <row r="158">
      <c r="A158" s="25" t="inlineStr">
        <is>
          <t>1010103</t>
        </is>
      </c>
      <c r="B158" s="25" t="inlineStr">
        <is>
          <t>AKÜ,A-IGYASMF,DK,120AH,BLIZSILVER,JANENE</t>
        </is>
      </c>
      <c r="C158" s="25" t="inlineStr">
        <is>
          <t>1</t>
        </is>
      </c>
      <c r="D158" s="25" t="inlineStr">
        <is>
          <t>ST-030-STD-05</t>
        </is>
      </c>
      <c r="E158" s="25" t="inlineStr">
        <is>
          <t>IA-ST-030-STD-05</t>
        </is>
      </c>
      <c r="F158" s="25" t="inlineStr">
        <is>
          <t>IA-ST-CFG-0051</t>
        </is>
      </c>
      <c r="G158" s="25" t="n">
        <v>31.6992</v>
      </c>
      <c r="H158" s="25" t="inlineStr">
        <is>
          <t>988-pack GENERATED</t>
        </is>
      </c>
    </row>
    <row r="159">
      <c r="A159" s="25" t="inlineStr">
        <is>
          <t>1010104</t>
        </is>
      </c>
      <c r="B159" s="25" t="inlineStr">
        <is>
          <t>AKÜ,B-IGYASMF,DK,170AH,BLIZZARO,JANENE</t>
        </is>
      </c>
      <c r="C159" s="25" t="inlineStr">
        <is>
          <t>1</t>
        </is>
      </c>
      <c r="D159" s="25" t="inlineStr">
        <is>
          <t>ST-030-STD-06</t>
        </is>
      </c>
      <c r="E159" s="25" t="inlineStr">
        <is>
          <t>IA-ST-030-STD-06</t>
        </is>
      </c>
      <c r="F159" s="25" t="inlineStr">
        <is>
          <t>IA-ST-CFG-0052</t>
        </is>
      </c>
      <c r="G159" s="25" t="n">
        <v>32.3892</v>
      </c>
      <c r="H159" s="25" t="inlineStr">
        <is>
          <t>988-pack GENERATED</t>
        </is>
      </c>
    </row>
    <row r="160">
      <c r="A160" s="25" t="inlineStr">
        <is>
          <t>1010105</t>
        </is>
      </c>
      <c r="B160" s="25" t="inlineStr">
        <is>
          <t>AKÜ,C-IGYASMF,DK,225AH,BİZZARO,JANENE</t>
        </is>
      </c>
      <c r="C160" s="25" t="inlineStr">
        <is>
          <t>1</t>
        </is>
      </c>
      <c r="D160" s="25" t="inlineStr">
        <is>
          <t>ST-021-STD-03</t>
        </is>
      </c>
      <c r="E160" s="25" t="inlineStr">
        <is>
          <t>IA-ST-021-STD-03</t>
        </is>
      </c>
      <c r="F160" s="25" t="inlineStr">
        <is>
          <t>IA-ST-CFG-0023</t>
        </is>
      </c>
      <c r="G160" s="25" t="n">
        <v>31.8252</v>
      </c>
      <c r="H160" s="25" t="inlineStr">
        <is>
          <t>988-pack GENERATED</t>
        </is>
      </c>
    </row>
    <row r="161">
      <c r="A161" s="25" t="inlineStr">
        <is>
          <t>1010110</t>
        </is>
      </c>
      <c r="B161" s="25" t="inlineStr">
        <is>
          <t>AKÜ AGM,L3,DK,70AH,BLIZZARO AGM,JANENE</t>
        </is>
      </c>
      <c r="C161" s="25" t="inlineStr">
        <is>
          <t>1</t>
        </is>
      </c>
      <c r="D161" s="25" t="inlineStr">
        <is>
          <t>ST-063-STD-08</t>
        </is>
      </c>
      <c r="E161" s="25" t="inlineStr">
        <is>
          <t>IA-ST-063-STD-08</t>
        </is>
      </c>
      <c r="F161" s="25" t="inlineStr">
        <is>
          <t>IA-ST-CFG-0179</t>
        </is>
      </c>
      <c r="G161" s="25" t="n">
        <v>29.9992</v>
      </c>
      <c r="H161" s="25" t="inlineStr">
        <is>
          <t>988-pack GENERATED</t>
        </is>
      </c>
    </row>
    <row r="162">
      <c r="A162" s="25" t="inlineStr">
        <is>
          <t>1010111</t>
        </is>
      </c>
      <c r="B162" s="25" t="inlineStr">
        <is>
          <t>AKÜ AGM,L5,DK,92AH,BLIZZARO AGM,JANENE</t>
        </is>
      </c>
      <c r="C162" s="25" t="inlineStr">
        <is>
          <t>1</t>
        </is>
      </c>
      <c r="D162" s="25" t="inlineStr">
        <is>
          <t>ST-045-STD-08</t>
        </is>
      </c>
      <c r="E162" s="25" t="inlineStr">
        <is>
          <t>IA-ST-045-STD-08</t>
        </is>
      </c>
      <c r="F162" s="25" t="inlineStr">
        <is>
          <t>IA-ST-CFG-0096</t>
        </is>
      </c>
      <c r="G162" s="25" t="n">
        <v>29.7192</v>
      </c>
      <c r="H162" s="25" t="inlineStr">
        <is>
          <t>988-pack GENERATED</t>
        </is>
      </c>
    </row>
    <row r="163">
      <c r="A163" s="25" t="inlineStr">
        <is>
          <t>1010160</t>
        </is>
      </c>
      <c r="B163" s="25" t="inlineStr">
        <is>
          <t>AKÜ SULU,D20,DK,55AH,İNCİ MAXIM A,İÇ PYS</t>
        </is>
      </c>
      <c r="C163" s="25" t="inlineStr">
        <is>
          <t>1</t>
        </is>
      </c>
      <c r="D163" s="25" t="inlineStr">
        <is>
          <t>ST-072-STD-16</t>
        </is>
      </c>
      <c r="E163" s="25" t="inlineStr">
        <is>
          <t>IA-ST-072-STD-16</t>
        </is>
      </c>
      <c r="F163" s="25" t="inlineStr">
        <is>
          <t>IA-ST-CFG-0225</t>
        </is>
      </c>
      <c r="G163" s="25" t="n">
        <v>30.05232</v>
      </c>
      <c r="H163" s="25" t="inlineStr">
        <is>
          <t>988-pack GENERATED</t>
        </is>
      </c>
    </row>
    <row r="164">
      <c r="A164" s="25" t="inlineStr">
        <is>
          <t>1010161</t>
        </is>
      </c>
      <c r="B164" s="25" t="inlineStr">
        <is>
          <t>AKÜ SULU,D20,TK,55AH,İNCİ MAXIM A,İÇ PYS</t>
        </is>
      </c>
      <c r="C164" s="25" t="inlineStr">
        <is>
          <t>1</t>
        </is>
      </c>
      <c r="D164" s="25" t="inlineStr">
        <is>
          <t>ST-072-STD-16</t>
        </is>
      </c>
      <c r="E164" s="25" t="inlineStr">
        <is>
          <t>IA-ST-072-STD-16</t>
        </is>
      </c>
      <c r="F164" s="25" t="inlineStr">
        <is>
          <t>IA-ST-CFG-0225</t>
        </is>
      </c>
      <c r="G164" s="25" t="n">
        <v>30.05232</v>
      </c>
      <c r="H164" s="25" t="inlineStr">
        <is>
          <t>988-pack GENERATED</t>
        </is>
      </c>
    </row>
    <row r="165">
      <c r="A165" s="25" t="inlineStr">
        <is>
          <t>1010168</t>
        </is>
      </c>
      <c r="B165" s="25" t="inlineStr">
        <is>
          <t>AKÜ,C-FLAT,DK,200AH,İNCİ MARINE,İÇ PYS</t>
        </is>
      </c>
      <c r="C165" s="25" t="inlineStr">
        <is>
          <t>1</t>
        </is>
      </c>
      <c r="D165" s="25" t="inlineStr">
        <is>
          <t>ST-021-STD-04</t>
        </is>
      </c>
      <c r="E165" s="25" t="inlineStr">
        <is>
          <t>IA-ST-021-STD-04</t>
        </is>
      </c>
      <c r="F165" s="25" t="inlineStr">
        <is>
          <t>IA-ST-CFG-0024</t>
        </is>
      </c>
      <c r="G165" s="25" t="n">
        <v>31.5384</v>
      </c>
      <c r="H165" s="25" t="inlineStr">
        <is>
          <t>988-pack GENERATED</t>
        </is>
      </c>
    </row>
    <row r="166">
      <c r="A166" s="25" t="inlineStr">
        <is>
          <t>1010170</t>
        </is>
      </c>
      <c r="B166" s="25" t="inlineStr">
        <is>
          <t>AKÜ SULU,TANK,DK,125AH,İNCİ SUPRA,İÇ PYS</t>
        </is>
      </c>
      <c r="C166" s="25" t="inlineStr">
        <is>
          <t>1</t>
        </is>
      </c>
      <c r="D166" s="25" t="inlineStr">
        <is>
          <t>ST-027-STD90-02</t>
        </is>
      </c>
      <c r="E166" s="25" t="inlineStr">
        <is>
          <t>IA-ST-027-STD90-02</t>
        </is>
      </c>
      <c r="F166" s="25" t="inlineStr">
        <is>
          <t>IA-ST-CFG-0044</t>
        </is>
      </c>
      <c r="G166" s="25" t="n">
        <v>25.50316</v>
      </c>
      <c r="H166" s="25" t="inlineStr">
        <is>
          <t>988-pack GENERATED</t>
        </is>
      </c>
    </row>
    <row r="167">
      <c r="A167" s="25" t="inlineStr">
        <is>
          <t>1010171</t>
        </is>
      </c>
      <c r="B167" s="25" t="inlineStr">
        <is>
          <t>AKÜ SULU,TRAKTÖRL,DK105AH,İNCİSUPRAİÇPYS</t>
        </is>
      </c>
      <c r="C167" s="25" t="inlineStr">
        <is>
          <t>1</t>
        </is>
      </c>
      <c r="D167" s="25" t="inlineStr">
        <is>
          <t>ST-045-STD-09</t>
        </is>
      </c>
      <c r="E167" s="25" t="inlineStr">
        <is>
          <t>IA-ST-045-STD-09</t>
        </is>
      </c>
      <c r="F167" s="25" t="inlineStr">
        <is>
          <t>IA-ST-CFG-0097</t>
        </is>
      </c>
      <c r="G167" s="25" t="n">
        <v>33.063</v>
      </c>
      <c r="H167" s="25" t="inlineStr">
        <is>
          <t>988-pack GENERATED</t>
        </is>
      </c>
    </row>
    <row r="168">
      <c r="A168" s="25" t="inlineStr">
        <is>
          <t>1010175</t>
        </is>
      </c>
      <c r="B168" s="25" t="inlineStr">
        <is>
          <t>AKÜ,TRAKTÖR,DK,125AH,İNCİ MARINE,İÇPYS</t>
        </is>
      </c>
      <c r="C168" s="25" t="inlineStr">
        <is>
          <t>1</t>
        </is>
      </c>
      <c r="D168" s="25" t="inlineStr">
        <is>
          <t>ST-045-STD-09</t>
        </is>
      </c>
      <c r="E168" s="25" t="inlineStr">
        <is>
          <t>IA-ST-045-STD-09</t>
        </is>
      </c>
      <c r="F168" s="25" t="inlineStr">
        <is>
          <t>IA-ST-CFG-0097</t>
        </is>
      </c>
      <c r="G168" s="25" t="n">
        <v>33.063</v>
      </c>
      <c r="H168" s="25" t="inlineStr">
        <is>
          <t>988-pack GENERATED</t>
        </is>
      </c>
    </row>
    <row r="169">
      <c r="A169" s="25" t="inlineStr">
        <is>
          <t>1010192</t>
        </is>
      </c>
      <c r="B169" s="25" t="inlineStr">
        <is>
          <t>AKÜ AGM,L3,DK,70AH,İNCİ AGM LEO,İÇ PYS</t>
        </is>
      </c>
      <c r="C169" s="25" t="inlineStr">
        <is>
          <t>1</t>
        </is>
      </c>
      <c r="D169" s="25" t="inlineStr">
        <is>
          <t>ST-064-EUR-01</t>
        </is>
      </c>
      <c r="E169" s="25" t="inlineStr">
        <is>
          <t>IA-ST-064-EUR-01</t>
        </is>
      </c>
      <c r="F169" s="25" t="inlineStr">
        <is>
          <t>IA-ST-CFG-0190</t>
        </is>
      </c>
      <c r="G169" s="25" t="n">
        <v>44.8124</v>
      </c>
      <c r="H169" s="25" t="inlineStr">
        <is>
          <t>988-pack GENERATED</t>
        </is>
      </c>
    </row>
    <row r="170">
      <c r="A170" s="25" t="inlineStr">
        <is>
          <t>1010193</t>
        </is>
      </c>
      <c r="B170" s="25" t="inlineStr">
        <is>
          <t>AKÜ AGM,L5,DK,95AH,İNCİ AGM LEO,İÇ PYS</t>
        </is>
      </c>
      <c r="C170" s="25" t="inlineStr">
        <is>
          <t>1</t>
        </is>
      </c>
      <c r="D170" s="25" t="inlineStr">
        <is>
          <t>ST-048-EUR-01</t>
        </is>
      </c>
      <c r="E170" s="25" t="inlineStr">
        <is>
          <t>IA-ST-048-EUR-01</t>
        </is>
      </c>
      <c r="F170" s="25" t="inlineStr">
        <is>
          <t>IA-ST-CFG-0105</t>
        </is>
      </c>
      <c r="G170" s="25" t="n">
        <v>44.6524</v>
      </c>
      <c r="H170" s="25" t="inlineStr">
        <is>
          <t>988-pack GENERATED</t>
        </is>
      </c>
    </row>
    <row r="171">
      <c r="A171" s="25" t="inlineStr">
        <is>
          <t>1010194</t>
        </is>
      </c>
      <c r="B171" s="25" t="inlineStr">
        <is>
          <t>AKÜ,B-FLAT,DK,180AH,İNCİ SUPRASENT,İÇPYS</t>
        </is>
      </c>
      <c r="C171" s="25" t="inlineStr">
        <is>
          <t>1</t>
        </is>
      </c>
      <c r="D171" s="25" t="inlineStr">
        <is>
          <t>ST-030-STD-09</t>
        </is>
      </c>
      <c r="E171" s="25" t="inlineStr">
        <is>
          <t>IA-ST-030-STD-09</t>
        </is>
      </c>
      <c r="F171" s="25" t="inlineStr">
        <is>
          <t>IA-ST-CFG-0055</t>
        </is>
      </c>
      <c r="G171" s="25" t="n">
        <v>32.1024</v>
      </c>
      <c r="H171" s="25" t="inlineStr">
        <is>
          <t>988-pack GENERATED</t>
        </is>
      </c>
    </row>
    <row r="172">
      <c r="A172" s="25" t="inlineStr">
        <is>
          <t>1010195</t>
        </is>
      </c>
      <c r="B172" s="25" t="inlineStr">
        <is>
          <t>AKÜ,A-FLAT,DK,135AH,İNCİ SUPRASENT,İÇPYS</t>
        </is>
      </c>
      <c r="C172" s="25" t="inlineStr">
        <is>
          <t>1</t>
        </is>
      </c>
      <c r="D172" s="25" t="inlineStr">
        <is>
          <t>ST-030-STD-08</t>
        </is>
      </c>
      <c r="E172" s="25" t="inlineStr">
        <is>
          <t>IA-ST-030-STD-08</t>
        </is>
      </c>
      <c r="F172" s="25" t="inlineStr">
        <is>
          <t>IA-ST-CFG-0054</t>
        </is>
      </c>
      <c r="G172" s="25" t="n">
        <v>31.4124</v>
      </c>
      <c r="H172" s="25" t="inlineStr">
        <is>
          <t>988-pack GENERATED</t>
        </is>
      </c>
    </row>
    <row r="173">
      <c r="A173" s="25" t="inlineStr">
        <is>
          <t>1010196</t>
        </is>
      </c>
      <c r="B173" s="25" t="inlineStr">
        <is>
          <t>AKÜ,B-FLAT,DK,150AH,İNCİ SUPRASENT,İÇPYS</t>
        </is>
      </c>
      <c r="C173" s="25" t="inlineStr">
        <is>
          <t>1</t>
        </is>
      </c>
      <c r="D173" s="25" t="inlineStr">
        <is>
          <t>ST-030-STD-09</t>
        </is>
      </c>
      <c r="E173" s="25" t="inlineStr">
        <is>
          <t>IA-ST-030-STD-09</t>
        </is>
      </c>
      <c r="F173" s="25" t="inlineStr">
        <is>
          <t>IA-ST-CFG-0055</t>
        </is>
      </c>
      <c r="G173" s="25" t="n">
        <v>32.1024</v>
      </c>
      <c r="H173" s="25" t="inlineStr">
        <is>
          <t>988-pack GENERATED</t>
        </is>
      </c>
    </row>
    <row r="174">
      <c r="A174" s="25" t="inlineStr">
        <is>
          <t>1010198</t>
        </is>
      </c>
      <c r="B174" s="25" t="inlineStr">
        <is>
          <t>AKÜ,B-FLAT,DK,165AH,İNCİ SUPRASENT,İÇPYS</t>
        </is>
      </c>
      <c r="C174" s="25" t="inlineStr">
        <is>
          <t>1</t>
        </is>
      </c>
      <c r="D174" s="25" t="inlineStr">
        <is>
          <t>ST-030-STD-09</t>
        </is>
      </c>
      <c r="E174" s="25" t="inlineStr">
        <is>
          <t>IA-ST-030-STD-09</t>
        </is>
      </c>
      <c r="F174" s="25" t="inlineStr">
        <is>
          <t>IA-ST-CFG-0055</t>
        </is>
      </c>
      <c r="G174" s="25" t="n">
        <v>32.1024</v>
      </c>
      <c r="H174" s="25" t="inlineStr">
        <is>
          <t>988-pack GENERATED</t>
        </is>
      </c>
    </row>
    <row r="175">
      <c r="A175" s="25" t="inlineStr">
        <is>
          <t>1010199</t>
        </is>
      </c>
      <c r="B175" s="25" t="inlineStr">
        <is>
          <t>AKÜ,C-FLAT,DK,200AH,İNCİ SUPRASENT,İÇPYS</t>
        </is>
      </c>
      <c r="C175" s="25" t="inlineStr">
        <is>
          <t>1</t>
        </is>
      </c>
      <c r="D175" s="25" t="inlineStr">
        <is>
          <t>ST-021-STD-04</t>
        </is>
      </c>
      <c r="E175" s="25" t="inlineStr">
        <is>
          <t>IA-ST-021-STD-04</t>
        </is>
      </c>
      <c r="F175" s="25" t="inlineStr">
        <is>
          <t>IA-ST-CFG-0024</t>
        </is>
      </c>
      <c r="G175" s="25" t="n">
        <v>31.5384</v>
      </c>
      <c r="H175" s="25" t="inlineStr">
        <is>
          <t>988-pack GENERATED</t>
        </is>
      </c>
    </row>
    <row r="176">
      <c r="A176" s="25" t="inlineStr">
        <is>
          <t>1010200</t>
        </is>
      </c>
      <c r="B176" s="25" t="inlineStr">
        <is>
          <t>AKÜ,C-FLAT,DK,225AH,İNCİ SUPRASENT,İÇPYS</t>
        </is>
      </c>
      <c r="C176" s="25" t="inlineStr">
        <is>
          <t>1</t>
        </is>
      </c>
      <c r="D176" s="25" t="inlineStr">
        <is>
          <t>ST-021-STD-04</t>
        </is>
      </c>
      <c r="E176" s="25" t="inlineStr">
        <is>
          <t>IA-ST-021-STD-04</t>
        </is>
      </c>
      <c r="F176" s="25" t="inlineStr">
        <is>
          <t>IA-ST-CFG-0024</t>
        </is>
      </c>
      <c r="G176" s="25" t="n">
        <v>31.5384</v>
      </c>
      <c r="H176" s="25" t="inlineStr">
        <is>
          <t>988-pack GENERATED</t>
        </is>
      </c>
    </row>
    <row r="177">
      <c r="A177" s="25" t="inlineStr">
        <is>
          <t>1010202</t>
        </is>
      </c>
      <c r="B177" s="25" t="inlineStr">
        <is>
          <t>AKÜ,C-FLAT,DK,240AH,İNCİ SUPRASENT,İÇPYS</t>
        </is>
      </c>
      <c r="C177" s="25" t="inlineStr">
        <is>
          <t>1</t>
        </is>
      </c>
      <c r="D177" s="25" t="inlineStr">
        <is>
          <t>ST-021-STD-04</t>
        </is>
      </c>
      <c r="E177" s="25" t="inlineStr">
        <is>
          <t>IA-ST-021-STD-04</t>
        </is>
      </c>
      <c r="F177" s="25" t="inlineStr">
        <is>
          <t>IA-ST-CFG-0024</t>
        </is>
      </c>
      <c r="G177" s="25" t="n">
        <v>31.5384</v>
      </c>
      <c r="H177" s="25" t="inlineStr">
        <is>
          <t>988-pack GENERATED</t>
        </is>
      </c>
    </row>
    <row r="178">
      <c r="A178" s="25" t="inlineStr">
        <is>
          <t>1010204</t>
        </is>
      </c>
      <c r="B178" s="25" t="inlineStr">
        <is>
          <t>AKÜ SULU,TRAKTÖRL,DK115AHİNCİSUPRA,İÇPYS</t>
        </is>
      </c>
      <c r="C178" s="25" t="inlineStr">
        <is>
          <t>1</t>
        </is>
      </c>
      <c r="D178" s="25" t="inlineStr">
        <is>
          <t>ST-045-STD-09</t>
        </is>
      </c>
      <c r="E178" s="25" t="inlineStr">
        <is>
          <t>IA-ST-045-STD-09</t>
        </is>
      </c>
      <c r="F178" s="25" t="inlineStr">
        <is>
          <t>IA-ST-CFG-0097</t>
        </is>
      </c>
      <c r="G178" s="25" t="n">
        <v>33.063</v>
      </c>
      <c r="H178" s="25" t="inlineStr">
        <is>
          <t>988-pack GENERATED</t>
        </is>
      </c>
    </row>
    <row r="179">
      <c r="A179" s="25" t="inlineStr">
        <is>
          <t>1010205</t>
        </is>
      </c>
      <c r="B179" s="25" t="inlineStr">
        <is>
          <t>AKÜ,A-FLAT,DK,120AH,İNCİ SUPRASENT,İÇPYS</t>
        </is>
      </c>
      <c r="C179" s="25" t="inlineStr">
        <is>
          <t>1</t>
        </is>
      </c>
      <c r="D179" s="25" t="inlineStr">
        <is>
          <t>ST-030-STD-08</t>
        </is>
      </c>
      <c r="E179" s="25" t="inlineStr">
        <is>
          <t>IA-ST-030-STD-08</t>
        </is>
      </c>
      <c r="F179" s="25" t="inlineStr">
        <is>
          <t>IA-ST-CFG-0054</t>
        </is>
      </c>
      <c r="G179" s="25" t="n">
        <v>31.4124</v>
      </c>
      <c r="H179" s="25" t="inlineStr">
        <is>
          <t>988-pack GENERATED</t>
        </is>
      </c>
    </row>
    <row r="180">
      <c r="A180" s="25" t="inlineStr">
        <is>
          <t>1010208</t>
        </is>
      </c>
      <c r="B180" s="25" t="inlineStr">
        <is>
          <t>AKÜ SULU,TRAKTÖR,DK125AH,İNCİSUPRA,İÇPYS</t>
        </is>
      </c>
      <c r="C180" s="25" t="inlineStr">
        <is>
          <t>1</t>
        </is>
      </c>
      <c r="D180" s="25" t="inlineStr">
        <is>
          <t>ST-045-STD-09</t>
        </is>
      </c>
      <c r="E180" s="25" t="inlineStr">
        <is>
          <t>IA-ST-045-STD-09</t>
        </is>
      </c>
      <c r="F180" s="25" t="inlineStr">
        <is>
          <t>IA-ST-CFG-0097</t>
        </is>
      </c>
      <c r="G180" s="25" t="n">
        <v>33.063</v>
      </c>
      <c r="H180" s="25" t="inlineStr">
        <is>
          <t>988-pack GENERATED</t>
        </is>
      </c>
    </row>
    <row r="181">
      <c r="A181" s="25" t="inlineStr">
        <is>
          <t>1010220</t>
        </is>
      </c>
      <c r="B181" s="25" t="inlineStr">
        <is>
          <t>AKÜ SULU,TRAKTÖRL,DK115AHİNCİSUPRA,İÇPYS</t>
        </is>
      </c>
      <c r="C181" s="25" t="inlineStr">
        <is>
          <t>1</t>
        </is>
      </c>
      <c r="D181" s="25" t="inlineStr">
        <is>
          <t>ST-045-STD-09</t>
        </is>
      </c>
      <c r="E181" s="25" t="inlineStr">
        <is>
          <t>IA-ST-045-STD-09</t>
        </is>
      </c>
      <c r="F181" s="25" t="inlineStr">
        <is>
          <t>IA-ST-CFG-0097</t>
        </is>
      </c>
      <c r="G181" s="25" t="n">
        <v>33.063</v>
      </c>
      <c r="H181" s="25" t="inlineStr">
        <is>
          <t>988-pack GENERATED</t>
        </is>
      </c>
    </row>
    <row r="182">
      <c r="A182" s="25" t="inlineStr">
        <is>
          <t>1010228</t>
        </is>
      </c>
      <c r="B182" s="25" t="inlineStr">
        <is>
          <t>AKÜ,L6,DK,110AH,KAMINA,İNCİ SUPRA,İÇPYS</t>
        </is>
      </c>
      <c r="C182" s="25" t="inlineStr">
        <is>
          <t>1</t>
        </is>
      </c>
      <c r="D182" s="25" t="inlineStr">
        <is>
          <t>ST-042-STD-06</t>
        </is>
      </c>
      <c r="E182" s="25" t="inlineStr">
        <is>
          <t>IA-ST-042-STD-06</t>
        </is>
      </c>
      <c r="F182" s="25" t="inlineStr">
        <is>
          <t>IA-ST-CFG-0081</t>
        </is>
      </c>
      <c r="G182" s="25" t="n">
        <v>29.3124</v>
      </c>
      <c r="H182" s="25" t="inlineStr">
        <is>
          <t>988-pack GENERATED</t>
        </is>
      </c>
    </row>
    <row r="183">
      <c r="A183" s="25" t="inlineStr">
        <is>
          <t>1010265</t>
        </is>
      </c>
      <c r="B183" s="25" t="inlineStr">
        <is>
          <t>AKÜ,D20,DK,55AH,KSK,İNCİ MAXIMA,DIŞ PYS</t>
        </is>
      </c>
      <c r="C183" s="25" t="inlineStr">
        <is>
          <t>1</t>
        </is>
      </c>
      <c r="D183" s="25" t="inlineStr">
        <is>
          <t>ST-072-STD-11</t>
        </is>
      </c>
      <c r="E183" s="25" t="inlineStr">
        <is>
          <t>IA-ST-072-STD-11</t>
        </is>
      </c>
      <c r="F183" s="25" t="inlineStr">
        <is>
          <t>IA-ST-CFG-0220</t>
        </is>
      </c>
      <c r="G183" s="25" t="n">
        <v>30.33912</v>
      </c>
      <c r="H183" s="25" t="inlineStr">
        <is>
          <t>988-pack GENERATED</t>
        </is>
      </c>
    </row>
    <row r="184">
      <c r="A184" s="25" t="inlineStr">
        <is>
          <t>1010398</t>
        </is>
      </c>
      <c r="B184" s="25" t="inlineStr">
        <is>
          <t>AKÜ,A-IGYASMF,DK,145AH,SILVER,SCHNAPP</t>
        </is>
      </c>
      <c r="C184" s="25" t="inlineStr">
        <is>
          <t>1</t>
        </is>
      </c>
      <c r="D184" s="25" t="inlineStr">
        <is>
          <t>ST-030-STD-10</t>
        </is>
      </c>
      <c r="E184" s="25" t="inlineStr">
        <is>
          <t>IA-ST-030-STD-10</t>
        </is>
      </c>
      <c r="F184" s="25" t="inlineStr">
        <is>
          <t>IA-ST-CFG-0056</t>
        </is>
      </c>
      <c r="G184" s="25" t="n">
        <v>30.467</v>
      </c>
      <c r="H184" s="25" t="inlineStr">
        <is>
          <t>988-pack GENERATED</t>
        </is>
      </c>
    </row>
    <row r="185">
      <c r="A185" s="25" t="inlineStr">
        <is>
          <t>1010399</t>
        </is>
      </c>
      <c r="B185" s="25" t="inlineStr">
        <is>
          <t>AKÜ,B-IGYASMF,DK,170AH,SILVER,SCHNAPP</t>
        </is>
      </c>
      <c r="C185" s="25" t="inlineStr">
        <is>
          <t>1</t>
        </is>
      </c>
      <c r="D185" s="25" t="inlineStr">
        <is>
          <t>ST-030-STD-11</t>
        </is>
      </c>
      <c r="E185" s="25" t="inlineStr">
        <is>
          <t>IA-ST-030-STD-11</t>
        </is>
      </c>
      <c r="F185" s="25" t="inlineStr">
        <is>
          <t>IA-ST-CFG-0057</t>
        </is>
      </c>
      <c r="G185" s="25" t="n">
        <v>31.157</v>
      </c>
      <c r="H185" s="25" t="inlineStr">
        <is>
          <t>988-pack GENERATED</t>
        </is>
      </c>
    </row>
    <row r="186">
      <c r="A186" s="29" t="inlineStr">
        <is>
          <t>1010423</t>
        </is>
      </c>
      <c r="B186" s="29" t="inlineStr">
        <is>
          <t>AKÜ,B-IGYSMF,DK150AH,İNCİFORMTAURS,BMC-2</t>
        </is>
      </c>
      <c r="C186" s="29" t="inlineStr">
        <is>
          <t>1</t>
        </is>
      </c>
      <c r="H186" s="29" t="inlineStr">
        <is>
          <t>NO MAPPING</t>
        </is>
      </c>
    </row>
    <row r="187">
      <c r="A187" s="25" t="inlineStr">
        <is>
          <t>1010437</t>
        </is>
      </c>
      <c r="B187" s="25" t="inlineStr">
        <is>
          <t>AKÜ,C-FLAT,DK,240AH,İNCİ SUPRA,SHAWKAT</t>
        </is>
      </c>
      <c r="C187" s="25" t="inlineStr">
        <is>
          <t>1</t>
        </is>
      </c>
      <c r="D187" s="25" t="inlineStr">
        <is>
          <t>ST-021-STD-03</t>
        </is>
      </c>
      <c r="E187" s="25" t="inlineStr">
        <is>
          <t>IA-ST-021-STD-03</t>
        </is>
      </c>
      <c r="F187" s="25" t="inlineStr">
        <is>
          <t>IA-ST-CFG-0023</t>
        </is>
      </c>
      <c r="G187" s="25" t="n">
        <v>31.8252</v>
      </c>
      <c r="H187" s="25" t="inlineStr">
        <is>
          <t>988-pack GENERATED</t>
        </is>
      </c>
    </row>
    <row r="188">
      <c r="A188" s="25" t="inlineStr">
        <is>
          <t>1010438</t>
        </is>
      </c>
      <c r="B188" s="25" t="inlineStr">
        <is>
          <t>AKÜ,C-FLAT,DK,225AH,İNCİ SUPRA SENTOR</t>
        </is>
      </c>
      <c r="C188" s="25" t="inlineStr">
        <is>
          <t>1</t>
        </is>
      </c>
      <c r="D188" s="25" t="inlineStr">
        <is>
          <t>ST-021-STD-03</t>
        </is>
      </c>
      <c r="E188" s="25" t="inlineStr">
        <is>
          <t>IA-ST-021-STD-03</t>
        </is>
      </c>
      <c r="F188" s="25" t="inlineStr">
        <is>
          <t>IA-ST-CFG-0023</t>
        </is>
      </c>
      <c r="G188" s="25" t="n">
        <v>31.8252</v>
      </c>
      <c r="H188" s="25" t="inlineStr">
        <is>
          <t>988-pack GENERATED</t>
        </is>
      </c>
    </row>
    <row r="189">
      <c r="A189" s="25" t="inlineStr">
        <is>
          <t>1010440</t>
        </is>
      </c>
      <c r="B189" s="25" t="inlineStr">
        <is>
          <t>AKÜ,C-IGYASMF,DK,240AH,İNCİFORMULATAURUS</t>
        </is>
      </c>
      <c r="C189" s="25" t="inlineStr">
        <is>
          <t>1</t>
        </is>
      </c>
      <c r="D189" s="25" t="inlineStr">
        <is>
          <t>ST-021-STD-03</t>
        </is>
      </c>
      <c r="E189" s="25" t="inlineStr">
        <is>
          <t>IA-ST-021-STD-03</t>
        </is>
      </c>
      <c r="F189" s="25" t="inlineStr">
        <is>
          <t>IA-ST-CFG-0023</t>
        </is>
      </c>
      <c r="G189" s="25" t="n">
        <v>31.8252</v>
      </c>
      <c r="H189" s="25" t="inlineStr">
        <is>
          <t>988-pack GENERATED</t>
        </is>
      </c>
    </row>
    <row r="190">
      <c r="A190" s="25" t="inlineStr">
        <is>
          <t>1010441</t>
        </is>
      </c>
      <c r="B190" s="25" t="inlineStr">
        <is>
          <t>AKÜ AGM,L5,DK,95AH,İNCİ AGM LEO,EURO</t>
        </is>
      </c>
      <c r="C190" s="25" t="inlineStr">
        <is>
          <t>1</t>
        </is>
      </c>
      <c r="D190" s="25" t="inlineStr">
        <is>
          <t>ST-048-EUR-10</t>
        </is>
      </c>
      <c r="E190" s="25" t="inlineStr">
        <is>
          <t>IA-ST-048-EUR-10</t>
        </is>
      </c>
      <c r="F190" s="25" t="inlineStr">
        <is>
          <t>IA-ST-CFG-0116</t>
        </is>
      </c>
      <c r="G190" s="25" t="n">
        <v>29.7592</v>
      </c>
      <c r="H190" s="25" t="inlineStr">
        <is>
          <t>988-pack GENERATED</t>
        </is>
      </c>
    </row>
    <row r="191">
      <c r="A191" s="25" t="inlineStr">
        <is>
          <t>1010445</t>
        </is>
      </c>
      <c r="B191" s="25" t="inlineStr">
        <is>
          <t>AKÜ,B-IGYASMF,DK190AH,B03,İNCİFORMTAURUS</t>
        </is>
      </c>
      <c r="C191" s="25" t="inlineStr">
        <is>
          <t>1</t>
        </is>
      </c>
      <c r="D191" s="25" t="inlineStr">
        <is>
          <t>ST-030-STD-06</t>
        </is>
      </c>
      <c r="E191" s="25" t="inlineStr">
        <is>
          <t>IA-ST-030-STD-06</t>
        </is>
      </c>
      <c r="F191" s="25" t="inlineStr">
        <is>
          <t>IA-ST-CFG-0052</t>
        </is>
      </c>
      <c r="G191" s="25" t="n">
        <v>32.3892</v>
      </c>
      <c r="H191" s="25" t="inlineStr">
        <is>
          <t>988-pack GENERATED</t>
        </is>
      </c>
    </row>
    <row r="192">
      <c r="A192" s="25" t="inlineStr">
        <is>
          <t>1010446</t>
        </is>
      </c>
      <c r="B192" s="25" t="inlineStr">
        <is>
          <t>AKÜ,B-IGYASMF,DK,150AH,İNCİFORMULATAURUS</t>
        </is>
      </c>
      <c r="C192" s="25" t="inlineStr">
        <is>
          <t>1</t>
        </is>
      </c>
      <c r="D192" s="25" t="inlineStr">
        <is>
          <t>ST-030-STD-06</t>
        </is>
      </c>
      <c r="E192" s="25" t="inlineStr">
        <is>
          <t>IA-ST-030-STD-06</t>
        </is>
      </c>
      <c r="F192" s="25" t="inlineStr">
        <is>
          <t>IA-ST-CFG-0052</t>
        </is>
      </c>
      <c r="G192" s="25" t="n">
        <v>32.3892</v>
      </c>
      <c r="H192" s="25" t="inlineStr">
        <is>
          <t>988-pack GENERATED</t>
        </is>
      </c>
    </row>
    <row r="193">
      <c r="A193" s="25" t="inlineStr">
        <is>
          <t>1010448</t>
        </is>
      </c>
      <c r="B193" s="25" t="inlineStr">
        <is>
          <t>AKÜ,A-IGYASMF,DK,120AH,İNCİFORMULATAURUS</t>
        </is>
      </c>
      <c r="C193" s="25" t="inlineStr">
        <is>
          <t>1</t>
        </is>
      </c>
      <c r="D193" s="25" t="inlineStr">
        <is>
          <t>ST-030-STD-05</t>
        </is>
      </c>
      <c r="E193" s="25" t="inlineStr">
        <is>
          <t>IA-ST-030-STD-05</t>
        </is>
      </c>
      <c r="F193" s="25" t="inlineStr">
        <is>
          <t>IA-ST-CFG-0051</t>
        </is>
      </c>
      <c r="G193" s="25" t="n">
        <v>31.6992</v>
      </c>
      <c r="H193" s="25" t="inlineStr">
        <is>
          <t>988-pack GENERATED</t>
        </is>
      </c>
    </row>
    <row r="194">
      <c r="A194" s="25" t="inlineStr">
        <is>
          <t>1010451</t>
        </is>
      </c>
      <c r="B194" s="25" t="inlineStr">
        <is>
          <t>AKÜ,C-IGYASMF,DK,240AH,İNCİFORMULATAURUS</t>
        </is>
      </c>
      <c r="C194" s="25" t="inlineStr">
        <is>
          <t>1</t>
        </is>
      </c>
      <c r="D194" s="25" t="inlineStr">
        <is>
          <t>ST-021-STD-03</t>
        </is>
      </c>
      <c r="E194" s="25" t="inlineStr">
        <is>
          <t>IA-ST-021-STD-03</t>
        </is>
      </c>
      <c r="F194" s="25" t="inlineStr">
        <is>
          <t>IA-ST-CFG-0023</t>
        </is>
      </c>
      <c r="G194" s="25" t="n">
        <v>31.8252</v>
      </c>
      <c r="H194" s="25" t="inlineStr">
        <is>
          <t>988-pack GENERATED</t>
        </is>
      </c>
    </row>
    <row r="195">
      <c r="A195" s="25" t="inlineStr">
        <is>
          <t>1010452</t>
        </is>
      </c>
      <c r="B195" s="25" t="inlineStr">
        <is>
          <t>AKÜ,C-FLAT,DK,225AH,İNCİ SUPRA SENTOR</t>
        </is>
      </c>
      <c r="C195" s="25" t="inlineStr">
        <is>
          <t>1</t>
        </is>
      </c>
      <c r="D195" s="25" t="inlineStr">
        <is>
          <t>ST-021-STD-03</t>
        </is>
      </c>
      <c r="E195" s="25" t="inlineStr">
        <is>
          <t>IA-ST-021-STD-03</t>
        </is>
      </c>
      <c r="F195" s="25" t="inlineStr">
        <is>
          <t>IA-ST-CFG-0023</t>
        </is>
      </c>
      <c r="G195" s="25" t="n">
        <v>31.8252</v>
      </c>
      <c r="H195" s="25" t="inlineStr">
        <is>
          <t>988-pack GENERATED</t>
        </is>
      </c>
    </row>
    <row r="196">
      <c r="A196" s="25" t="inlineStr">
        <is>
          <t>1010458</t>
        </is>
      </c>
      <c r="B196" s="25" t="inlineStr">
        <is>
          <t>AKÜ,B-FLAT,DK,170AH,İNCİ SUPRA SENTOR</t>
        </is>
      </c>
      <c r="C196" s="25" t="inlineStr">
        <is>
          <t>1</t>
        </is>
      </c>
      <c r="D196" s="25" t="inlineStr">
        <is>
          <t>ST-030-STD-06</t>
        </is>
      </c>
      <c r="E196" s="25" t="inlineStr">
        <is>
          <t>IA-ST-030-STD-06</t>
        </is>
      </c>
      <c r="F196" s="25" t="inlineStr">
        <is>
          <t>IA-ST-CFG-0052</t>
        </is>
      </c>
      <c r="G196" s="25" t="n">
        <v>32.3892</v>
      </c>
      <c r="H196" s="25" t="inlineStr">
        <is>
          <t>988-pack GENERATED</t>
        </is>
      </c>
    </row>
    <row r="197">
      <c r="A197" s="25" t="inlineStr">
        <is>
          <t>1010469</t>
        </is>
      </c>
      <c r="B197" s="25" t="inlineStr">
        <is>
          <t>AKÜ,TRACTOR,DK,125AH,İNCİ SUPRA SENTOR</t>
        </is>
      </c>
      <c r="C197" s="25" t="inlineStr">
        <is>
          <t>1</t>
        </is>
      </c>
      <c r="D197" s="25" t="inlineStr">
        <is>
          <t>ST-045-STD-05</t>
        </is>
      </c>
      <c r="E197" s="25" t="inlineStr">
        <is>
          <t>IA-ST-045-STD-05</t>
        </is>
      </c>
      <c r="F197" s="25" t="inlineStr">
        <is>
          <t>IA-ST-CFG-0093</t>
        </is>
      </c>
      <c r="G197" s="25" t="n">
        <v>33.3498</v>
      </c>
      <c r="H197" s="25" t="inlineStr">
        <is>
          <t>988-pack GENERATED</t>
        </is>
      </c>
    </row>
    <row r="198">
      <c r="A198" s="25" t="inlineStr">
        <is>
          <t>1010471</t>
        </is>
      </c>
      <c r="B198" s="25" t="inlineStr">
        <is>
          <t>AKÜ,TRACTORL,DK,115AH,İNCİ SUPRA,SHAWKAT</t>
        </is>
      </c>
      <c r="C198" s="25" t="inlineStr">
        <is>
          <t>1</t>
        </is>
      </c>
      <c r="D198" s="25" t="inlineStr">
        <is>
          <t>ST-045-STD-05</t>
        </is>
      </c>
      <c r="E198" s="25" t="inlineStr">
        <is>
          <t>IA-ST-045-STD-05</t>
        </is>
      </c>
      <c r="F198" s="25" t="inlineStr">
        <is>
          <t>IA-ST-CFG-0093</t>
        </is>
      </c>
      <c r="G198" s="25" t="n">
        <v>33.3498</v>
      </c>
      <c r="H198" s="25" t="inlineStr">
        <is>
          <t>988-pack GENERATED</t>
        </is>
      </c>
    </row>
    <row r="199">
      <c r="A199" s="25" t="inlineStr">
        <is>
          <t>1010479</t>
        </is>
      </c>
      <c r="B199" s="25" t="inlineStr">
        <is>
          <t>AKÜ,B-FLAT,DK,150AH,İNCİ SUPRA SENTOR</t>
        </is>
      </c>
      <c r="C199" s="25" t="inlineStr">
        <is>
          <t>1</t>
        </is>
      </c>
      <c r="D199" s="25" t="inlineStr">
        <is>
          <t>ST-030-STD-06</t>
        </is>
      </c>
      <c r="E199" s="25" t="inlineStr">
        <is>
          <t>IA-ST-030-STD-06</t>
        </is>
      </c>
      <c r="F199" s="25" t="inlineStr">
        <is>
          <t>IA-ST-CFG-0052</t>
        </is>
      </c>
      <c r="G199" s="25" t="n">
        <v>32.3892</v>
      </c>
      <c r="H199" s="25" t="inlineStr">
        <is>
          <t>988-pack GENERATED</t>
        </is>
      </c>
    </row>
    <row r="200">
      <c r="A200" s="25" t="inlineStr">
        <is>
          <t>1010484</t>
        </is>
      </c>
      <c r="B200" s="25" t="inlineStr">
        <is>
          <t>AKÜ,B-IGYASMF,DK,170AH,İNCİFORMULATAURUS</t>
        </is>
      </c>
      <c r="C200" s="25" t="inlineStr">
        <is>
          <t>1</t>
        </is>
      </c>
      <c r="D200" s="25" t="inlineStr">
        <is>
          <t>ST-030-STD-06</t>
        </is>
      </c>
      <c r="E200" s="25" t="inlineStr">
        <is>
          <t>IA-ST-030-STD-06</t>
        </is>
      </c>
      <c r="F200" s="25" t="inlineStr">
        <is>
          <t>IA-ST-CFG-0052</t>
        </is>
      </c>
      <c r="G200" s="25" t="n">
        <v>32.3892</v>
      </c>
      <c r="H200" s="25" t="inlineStr">
        <is>
          <t>988-pack GENERATED</t>
        </is>
      </c>
    </row>
    <row r="201">
      <c r="A201" s="25" t="inlineStr">
        <is>
          <t>1010501</t>
        </is>
      </c>
      <c r="B201" s="25" t="inlineStr">
        <is>
          <t>AKÜ,A-FLAT,DK,140AH,İNCİ SUPRA SENTOR</t>
        </is>
      </c>
      <c r="C201" s="25" t="inlineStr">
        <is>
          <t>1</t>
        </is>
      </c>
      <c r="D201" s="25" t="inlineStr">
        <is>
          <t>ST-030-STD-05</t>
        </is>
      </c>
      <c r="E201" s="25" t="inlineStr">
        <is>
          <t>IA-ST-030-STD-05</t>
        </is>
      </c>
      <c r="F201" s="25" t="inlineStr">
        <is>
          <t>IA-ST-CFG-0051</t>
        </is>
      </c>
      <c r="G201" s="25" t="n">
        <v>31.6992</v>
      </c>
      <c r="H201" s="25" t="inlineStr">
        <is>
          <t>988-pack GENERATED</t>
        </is>
      </c>
    </row>
    <row r="202">
      <c r="A202" s="25" t="inlineStr">
        <is>
          <t>1010502</t>
        </is>
      </c>
      <c r="B202" s="25" t="inlineStr">
        <is>
          <t>AKÜ,B-FLAT,DK,190AH,İNCİ SUPRASENT,METRA</t>
        </is>
      </c>
      <c r="C202" s="25" t="inlineStr">
        <is>
          <t>1</t>
        </is>
      </c>
      <c r="D202" s="25" t="inlineStr">
        <is>
          <t>ST-030-STD-06</t>
        </is>
      </c>
      <c r="E202" s="25" t="inlineStr">
        <is>
          <t>IA-ST-030-STD-06</t>
        </is>
      </c>
      <c r="F202" s="25" t="inlineStr">
        <is>
          <t>IA-ST-CFG-0052</t>
        </is>
      </c>
      <c r="G202" s="25" t="n">
        <v>32.3892</v>
      </c>
      <c r="H202" s="25" t="inlineStr">
        <is>
          <t>988-pack GENERATED</t>
        </is>
      </c>
    </row>
    <row r="203">
      <c r="A203" s="25" t="inlineStr">
        <is>
          <t>1010532</t>
        </is>
      </c>
      <c r="B203" s="25" t="inlineStr">
        <is>
          <t>AKÜ,C-FLAT,DK,225AH,İNCİ SUPRA,SHAWKAT</t>
        </is>
      </c>
      <c r="C203" s="25" t="inlineStr">
        <is>
          <t>1</t>
        </is>
      </c>
      <c r="D203" s="25" t="inlineStr">
        <is>
          <t>ST-021-STD-03</t>
        </is>
      </c>
      <c r="E203" s="25" t="inlineStr">
        <is>
          <t>IA-ST-021-STD-03</t>
        </is>
      </c>
      <c r="F203" s="25" t="inlineStr">
        <is>
          <t>IA-ST-CFG-0023</t>
        </is>
      </c>
      <c r="G203" s="25" t="n">
        <v>31.8252</v>
      </c>
      <c r="H203" s="25" t="inlineStr">
        <is>
          <t>988-pack GENERATED</t>
        </is>
      </c>
    </row>
    <row r="204">
      <c r="A204" s="25" t="inlineStr">
        <is>
          <t>1010542</t>
        </is>
      </c>
      <c r="B204" s="25" t="inlineStr">
        <is>
          <t>AKÜ,B-FLAT,DK,180AH,İNCİ SUPRA,SHAWKAT</t>
        </is>
      </c>
      <c r="C204" s="25" t="inlineStr">
        <is>
          <t>1</t>
        </is>
      </c>
      <c r="D204" s="25" t="inlineStr">
        <is>
          <t>ST-030-STD-06</t>
        </is>
      </c>
      <c r="E204" s="25" t="inlineStr">
        <is>
          <t>IA-ST-030-STD-06</t>
        </is>
      </c>
      <c r="F204" s="25" t="inlineStr">
        <is>
          <t>IA-ST-CFG-0052</t>
        </is>
      </c>
      <c r="G204" s="25" t="n">
        <v>32.3892</v>
      </c>
      <c r="H204" s="25" t="inlineStr">
        <is>
          <t>988-pack GENERATED</t>
        </is>
      </c>
    </row>
    <row r="205">
      <c r="A205" s="25" t="inlineStr">
        <is>
          <t>1010584</t>
        </is>
      </c>
      <c r="B205" s="25" t="inlineStr">
        <is>
          <t>AKÜ SULU,TRACTR,DK,125AH,SILVER,SCHNAPP</t>
        </is>
      </c>
      <c r="C205" s="25" t="inlineStr">
        <is>
          <t>1</t>
        </is>
      </c>
      <c r="D205" s="25" t="inlineStr">
        <is>
          <t>ST-045-STD-11</t>
        </is>
      </c>
      <c r="E205" s="25" t="inlineStr">
        <is>
          <t>IA-ST-045-STD-11</t>
        </is>
      </c>
      <c r="F205" s="25" t="inlineStr">
        <is>
          <t>IA-ST-CFG-0099</t>
        </is>
      </c>
      <c r="G205" s="25" t="n">
        <v>28.649</v>
      </c>
      <c r="H205" s="25" t="inlineStr">
        <is>
          <t>988-pack GENERATED</t>
        </is>
      </c>
    </row>
    <row r="206">
      <c r="A206" s="29" t="inlineStr">
        <is>
          <t>1010690</t>
        </is>
      </c>
      <c r="B206" s="29" t="inlineStr">
        <is>
          <t>AKÜ,C-IGYASMF,DK,220AH,MERCEDES/SHD,YP</t>
        </is>
      </c>
      <c r="C206" s="29" t="inlineStr">
        <is>
          <t>1</t>
        </is>
      </c>
      <c r="H206" s="29" t="inlineStr">
        <is>
          <t>NO MAPPING</t>
        </is>
      </c>
    </row>
    <row r="207">
      <c r="A207" s="29" t="inlineStr">
        <is>
          <t>1010842</t>
        </is>
      </c>
      <c r="B207" s="29" t="inlineStr">
        <is>
          <t>AKÜ AGM,L3,DK,70AH,MM AGM S&amp;S,MM OES</t>
        </is>
      </c>
      <c r="C207" s="29" t="inlineStr">
        <is>
          <t>1</t>
        </is>
      </c>
      <c r="H207" s="29" t="inlineStr">
        <is>
          <t>NO MAPPING</t>
        </is>
      </c>
    </row>
    <row r="208">
      <c r="A208" s="29" t="inlineStr">
        <is>
          <t>1010843</t>
        </is>
      </c>
      <c r="B208" s="29" t="inlineStr">
        <is>
          <t>AKÜ AGM,L5,DK,92AH,MM AGM S&amp;S,MM OES</t>
        </is>
      </c>
      <c r="C208" s="29" t="inlineStr">
        <is>
          <t>1</t>
        </is>
      </c>
      <c r="H208" s="29" t="inlineStr">
        <is>
          <t>NO MAPPING</t>
        </is>
      </c>
    </row>
    <row r="209">
      <c r="A209" s="25" t="inlineStr">
        <is>
          <t>1010863</t>
        </is>
      </c>
      <c r="B209" s="25" t="inlineStr">
        <is>
          <t>AKÜ,B-FLAT,DK,170AH,MERCEDES DAİMLER,OES</t>
        </is>
      </c>
      <c r="C209" s="25" t="inlineStr">
        <is>
          <t>1</t>
        </is>
      </c>
      <c r="D209" s="25" t="inlineStr">
        <is>
          <t>ST-021-EUR-01</t>
        </is>
      </c>
      <c r="E209" s="25" t="inlineStr">
        <is>
          <t>IA-ST-021-EUR-01</t>
        </is>
      </c>
      <c r="F209" s="25" t="inlineStr">
        <is>
          <t>IA-ST-CFG-0027</t>
        </is>
      </c>
      <c r="G209" s="25" t="n">
        <v>32.37481</v>
      </c>
      <c r="H209" s="25" t="inlineStr">
        <is>
          <t>988-pack GENERATED</t>
        </is>
      </c>
    </row>
    <row r="210">
      <c r="A210" s="25" t="inlineStr">
        <is>
          <t>1010864</t>
        </is>
      </c>
      <c r="B210" s="25" t="inlineStr">
        <is>
          <t>AKÜ,A-FLAT,DK,140AH,MERCEDES DAİMLER,OES</t>
        </is>
      </c>
      <c r="C210" s="25" t="inlineStr">
        <is>
          <t>1</t>
        </is>
      </c>
      <c r="D210" s="25" t="inlineStr">
        <is>
          <t>ST-024-EUR-02</t>
        </is>
      </c>
      <c r="E210" s="25" t="inlineStr">
        <is>
          <t>IA-ST-024-EUR-02</t>
        </is>
      </c>
      <c r="F210" s="25" t="inlineStr">
        <is>
          <t>IA-ST-CFG-0037</t>
        </is>
      </c>
      <c r="G210" s="25" t="n">
        <v>32.84464</v>
      </c>
      <c r="H210" s="25" t="inlineStr">
        <is>
          <t>988-pack GENERATED</t>
        </is>
      </c>
    </row>
    <row r="211">
      <c r="A211" s="25" t="inlineStr">
        <is>
          <t>1010891</t>
        </is>
      </c>
      <c r="B211" s="25" t="inlineStr">
        <is>
          <t>AKÜ,A-IGYASMF,DK,140AH,EAS ACTIVA</t>
        </is>
      </c>
      <c r="C211" s="25" t="inlineStr">
        <is>
          <t>1</t>
        </is>
      </c>
      <c r="D211" s="25" t="inlineStr">
        <is>
          <t>ST-030-STD-05</t>
        </is>
      </c>
      <c r="E211" s="25" t="inlineStr">
        <is>
          <t>IA-ST-030-STD-05</t>
        </is>
      </c>
      <c r="F211" s="25" t="inlineStr">
        <is>
          <t>IA-ST-CFG-0051</t>
        </is>
      </c>
      <c r="G211" s="25" t="n">
        <v>31.6992</v>
      </c>
      <c r="H211" s="25" t="inlineStr">
        <is>
          <t>988-pack GENERATED</t>
        </is>
      </c>
    </row>
    <row r="212">
      <c r="A212" s="25" t="inlineStr">
        <is>
          <t>1010899</t>
        </is>
      </c>
      <c r="B212" s="25" t="inlineStr">
        <is>
          <t>AKÜ,LB3,DK,75AH,IGYA,DIN75MF,RACER POWER</t>
        </is>
      </c>
      <c r="C212" s="25" t="inlineStr">
        <is>
          <t>1</t>
        </is>
      </c>
      <c r="D212" s="25" t="inlineStr">
        <is>
          <t>ST-063-STD-07</t>
        </is>
      </c>
      <c r="E212" s="25" t="inlineStr">
        <is>
          <t>IA-ST-063-STD-07</t>
        </is>
      </c>
      <c r="F212" s="25" t="inlineStr">
        <is>
          <t>IA-ST-CFG-0178</t>
        </is>
      </c>
      <c r="G212" s="25" t="n">
        <v>29.8692</v>
      </c>
      <c r="H212" s="25" t="inlineStr">
        <is>
          <t>988-pack GENERATED</t>
        </is>
      </c>
    </row>
    <row r="213">
      <c r="A213" s="25" t="inlineStr">
        <is>
          <t>1010902</t>
        </is>
      </c>
      <c r="B213" s="25" t="inlineStr">
        <is>
          <t>AKÜ,D31DK100AH,IGYA,MF135D31L,RACERPOWER</t>
        </is>
      </c>
      <c r="C213" s="25" t="inlineStr">
        <is>
          <t>1</t>
        </is>
      </c>
      <c r="D213" s="25" t="inlineStr">
        <is>
          <t>ST-054-STD-07</t>
        </is>
      </c>
      <c r="E213" s="25" t="inlineStr">
        <is>
          <t>IA-ST-054-STD-07</t>
        </is>
      </c>
      <c r="F213" s="25" t="inlineStr">
        <is>
          <t>IA-ST-CFG-0143</t>
        </is>
      </c>
      <c r="G213" s="25" t="n">
        <v>33.7838</v>
      </c>
      <c r="H213" s="25" t="inlineStr">
        <is>
          <t>988-pack GENERATED</t>
        </is>
      </c>
    </row>
    <row r="214">
      <c r="A214" s="25" t="inlineStr">
        <is>
          <t>1010906</t>
        </is>
      </c>
      <c r="B214" s="25" t="inlineStr">
        <is>
          <t>AKÜ,D31,DK90AH,IGYA,MF105D31L,RACERPOWER</t>
        </is>
      </c>
      <c r="C214" s="25" t="inlineStr">
        <is>
          <t>1</t>
        </is>
      </c>
      <c r="D214" s="25" t="inlineStr">
        <is>
          <t>ST-054-STD-07</t>
        </is>
      </c>
      <c r="E214" s="25" t="inlineStr">
        <is>
          <t>IA-ST-054-STD-07</t>
        </is>
      </c>
      <c r="F214" s="25" t="inlineStr">
        <is>
          <t>IA-ST-CFG-0143</t>
        </is>
      </c>
      <c r="G214" s="25" t="n">
        <v>33.7838</v>
      </c>
      <c r="H214" s="25" t="inlineStr">
        <is>
          <t>988-pack GENERATED</t>
        </is>
      </c>
    </row>
    <row r="215">
      <c r="A215" s="25" t="inlineStr">
        <is>
          <t>1010907</t>
        </is>
      </c>
      <c r="B215" s="25" t="inlineStr">
        <is>
          <t>AKÜ,L5,DK,100AH,IGYA,MF60038,RACERPOWER</t>
        </is>
      </c>
      <c r="C215" s="25" t="inlineStr">
        <is>
          <t>1</t>
        </is>
      </c>
      <c r="D215" s="25" t="inlineStr">
        <is>
          <t>ST-045-STD-08</t>
        </is>
      </c>
      <c r="E215" s="25" t="inlineStr">
        <is>
          <t>IA-ST-045-STD-08</t>
        </is>
      </c>
      <c r="F215" s="25" t="inlineStr">
        <is>
          <t>IA-ST-CFG-0096</t>
        </is>
      </c>
      <c r="G215" s="25" t="n">
        <v>29.7192</v>
      </c>
      <c r="H215" s="25" t="inlineStr">
        <is>
          <t>988-pack GENERATED</t>
        </is>
      </c>
    </row>
    <row r="216">
      <c r="A216" s="25" t="inlineStr">
        <is>
          <t>1010944</t>
        </is>
      </c>
      <c r="B216" s="25" t="inlineStr">
        <is>
          <t>AKÜ,B-FLAT,DK,180AH,ENERGY MAX</t>
        </is>
      </c>
      <c r="C216" s="25" t="inlineStr">
        <is>
          <t>1</t>
        </is>
      </c>
      <c r="D216" s="25" t="inlineStr">
        <is>
          <t>ST-030-STD-06</t>
        </is>
      </c>
      <c r="E216" s="25" t="inlineStr">
        <is>
          <t>IA-ST-030-STD-06</t>
        </is>
      </c>
      <c r="F216" s="25" t="inlineStr">
        <is>
          <t>IA-ST-CFG-0052</t>
        </is>
      </c>
      <c r="G216" s="25" t="n">
        <v>32.3892</v>
      </c>
      <c r="H216" s="25" t="inlineStr">
        <is>
          <t>988-pack GENERATED</t>
        </is>
      </c>
    </row>
    <row r="217">
      <c r="A217" s="25" t="inlineStr">
        <is>
          <t>1010991</t>
        </is>
      </c>
      <c r="B217" s="25" t="inlineStr">
        <is>
          <t>AKÜ AGM,L3,DK,70AH,İNCİ AGM S&amp;S,Y.DIŞI</t>
        </is>
      </c>
      <c r="C217" s="25" t="inlineStr">
        <is>
          <t>1</t>
        </is>
      </c>
      <c r="D217" s="25" t="inlineStr">
        <is>
          <t>ST-063-STD-15</t>
        </is>
      </c>
      <c r="E217" s="25" t="inlineStr">
        <is>
          <t>IA-ST-063-STD-15</t>
        </is>
      </c>
      <c r="F217" s="25" t="inlineStr">
        <is>
          <t>IA-ST-CFG-0186</t>
        </is>
      </c>
      <c r="G217" s="25" t="n">
        <v>30.2692</v>
      </c>
      <c r="H217" s="25" t="inlineStr">
        <is>
          <t>988-pack GENERATED</t>
        </is>
      </c>
    </row>
    <row r="218">
      <c r="A218" s="25" t="inlineStr">
        <is>
          <t>1010998</t>
        </is>
      </c>
      <c r="B218" s="25" t="inlineStr">
        <is>
          <t>AKÜ,C-FLAT,DK,225AH,YUASA-CV,SHAWKAT</t>
        </is>
      </c>
      <c r="C218" s="25" t="inlineStr">
        <is>
          <t>1</t>
        </is>
      </c>
      <c r="D218" s="25" t="inlineStr">
        <is>
          <t>ST-021-STD-01</t>
        </is>
      </c>
      <c r="E218" s="25" t="inlineStr">
        <is>
          <t>IA-ST-021-STD-01</t>
        </is>
      </c>
      <c r="F218" s="25" t="inlineStr">
        <is>
          <t>IA-ST-CFG-0020</t>
        </is>
      </c>
      <c r="G218" s="25" t="n">
        <v>31.8142</v>
      </c>
      <c r="H218" s="25" t="inlineStr">
        <is>
          <t>988-pack GENERATED</t>
        </is>
      </c>
    </row>
    <row r="219">
      <c r="A219" s="25" t="inlineStr">
        <is>
          <t>1011012</t>
        </is>
      </c>
      <c r="B219" s="25" t="inlineStr">
        <is>
          <t>AKÜ,L2,DK65AH,IGYASMF,İNCİ EFB MAX,İÇPYS</t>
        </is>
      </c>
      <c r="C219" s="25" t="inlineStr">
        <is>
          <t>1</t>
        </is>
      </c>
      <c r="D219" s="25" t="inlineStr">
        <is>
          <t>ST-088-STD-03</t>
        </is>
      </c>
      <c r="E219" s="25" t="inlineStr">
        <is>
          <t>IA-ST-088-STD-03</t>
        </is>
      </c>
      <c r="F219" s="25" t="inlineStr">
        <is>
          <t>IA-ST-CFG-0256</t>
        </is>
      </c>
      <c r="G219" s="25" t="n">
        <v>50.456</v>
      </c>
      <c r="H219" s="25" t="inlineStr">
        <is>
          <t>988-pack GENERATED</t>
        </is>
      </c>
    </row>
    <row r="220">
      <c r="A220" s="25" t="inlineStr">
        <is>
          <t>1011013</t>
        </is>
      </c>
      <c r="B220" s="25" t="inlineStr">
        <is>
          <t>AKÜ,L3,DK75AH,IGYASMF,İNCİ EFB MAX,İÇPYS</t>
        </is>
      </c>
      <c r="C220" s="25" t="inlineStr">
        <is>
          <t>1</t>
        </is>
      </c>
      <c r="D220" s="25" t="inlineStr">
        <is>
          <t>ST-063-STD-11</t>
        </is>
      </c>
      <c r="E220" s="25" t="inlineStr">
        <is>
          <t>IA-ST-063-STD-11</t>
        </is>
      </c>
      <c r="F220" s="25" t="inlineStr">
        <is>
          <t>IA-ST-CFG-0182</t>
        </is>
      </c>
      <c r="G220" s="25" t="n">
        <v>29.7124</v>
      </c>
      <c r="H220" s="25" t="inlineStr">
        <is>
          <t>988-pack GENERATED</t>
        </is>
      </c>
    </row>
    <row r="221">
      <c r="A221" s="25" t="inlineStr">
        <is>
          <t>1011014</t>
        </is>
      </c>
      <c r="B221" s="25" t="inlineStr">
        <is>
          <t>AKÜ,L5,DK,100AH,IGYASMF,İNCİEFBMAX,İÇPYS</t>
        </is>
      </c>
      <c r="C221" s="25" t="inlineStr">
        <is>
          <t>1</t>
        </is>
      </c>
      <c r="D221" s="25" t="inlineStr">
        <is>
          <t>ST-060-STD-03</t>
        </is>
      </c>
      <c r="E221" s="25" t="inlineStr">
        <is>
          <t>IA-ST-060-STD-03</t>
        </is>
      </c>
      <c r="F221" s="25" t="inlineStr">
        <is>
          <t>IA-ST-CFG-0167</t>
        </is>
      </c>
      <c r="G221" s="25" t="n">
        <v>49.136</v>
      </c>
      <c r="H221" s="25" t="inlineStr">
        <is>
          <t>988-pack GENERATED</t>
        </is>
      </c>
    </row>
    <row r="222">
      <c r="A222" s="25" t="inlineStr">
        <is>
          <t>1011015</t>
        </is>
      </c>
      <c r="B222" s="25" t="inlineStr">
        <is>
          <t>AKÜ,L4,DK85AH,IGYSMF,İNCİ EFB MAX,İÇ PYS</t>
        </is>
      </c>
      <c r="C222" s="25" t="inlineStr">
        <is>
          <t>1</t>
        </is>
      </c>
      <c r="D222" s="25" t="inlineStr">
        <is>
          <t>ST-068-STD-02</t>
        </is>
      </c>
      <c r="E222" s="25" t="inlineStr">
        <is>
          <t>IA-ST-068-STD-02</t>
        </is>
      </c>
      <c r="F222" s="25" t="inlineStr">
        <is>
          <t>IA-ST-CFG-0195</t>
        </is>
      </c>
      <c r="G222" s="25" t="n">
        <v>47.696</v>
      </c>
      <c r="H222" s="25" t="inlineStr">
        <is>
          <t>988-pack GENERATED</t>
        </is>
      </c>
    </row>
    <row r="223">
      <c r="A223" s="25" t="inlineStr">
        <is>
          <t>1011016</t>
        </is>
      </c>
      <c r="B223" s="25" t="inlineStr">
        <is>
          <t>AKÜ,D23,DK65AH,IGYSMF,İNCİEFBPANTR,İÇPYS</t>
        </is>
      </c>
      <c r="C223" s="25" t="inlineStr">
        <is>
          <t>1</t>
        </is>
      </c>
      <c r="D223" s="25" t="inlineStr">
        <is>
          <t>ST-063-STD-01</t>
        </is>
      </c>
      <c r="E223" s="25" t="inlineStr">
        <is>
          <t>IA-ST-063-STD-01</t>
        </is>
      </c>
      <c r="F223" s="25" t="inlineStr">
        <is>
          <t>IA-ST-CFG-0172</t>
        </is>
      </c>
      <c r="G223" s="25" t="n">
        <v>47.40341</v>
      </c>
      <c r="H223" s="25" t="inlineStr">
        <is>
          <t>988-pack GENERATED</t>
        </is>
      </c>
    </row>
    <row r="224">
      <c r="A224" s="25" t="inlineStr">
        <is>
          <t>1011017</t>
        </is>
      </c>
      <c r="B224" s="25" t="inlineStr">
        <is>
          <t>AKÜ,D26,DK72AH,IGYSMF,İNCİEFBPANTR,İÇPYS</t>
        </is>
      </c>
      <c r="C224" s="25" t="inlineStr">
        <is>
          <t>1</t>
        </is>
      </c>
      <c r="D224" s="25" t="inlineStr">
        <is>
          <t>ST-057-STD-01</t>
        </is>
      </c>
      <c r="E224" s="25" t="inlineStr">
        <is>
          <t>IA-ST-057-STD-01</t>
        </is>
      </c>
      <c r="F224" s="25" t="inlineStr">
        <is>
          <t>IA-ST-CFG-0155</t>
        </is>
      </c>
      <c r="G224" s="25" t="n">
        <v>50.954</v>
      </c>
      <c r="H224" s="25" t="inlineStr">
        <is>
          <t>988-pack GENERATED</t>
        </is>
      </c>
    </row>
    <row r="225">
      <c r="A225" s="29" t="inlineStr">
        <is>
          <t>1011025</t>
        </is>
      </c>
      <c r="B225" s="29" t="inlineStr">
        <is>
          <t>AKÜ,L3,DK,VRLA,AGM 70AH 760A,ERP-TR</t>
        </is>
      </c>
      <c r="C225" s="29" t="inlineStr">
        <is>
          <t>1</t>
        </is>
      </c>
      <c r="H225" s="29" t="inlineStr">
        <is>
          <t>NO MAPPING</t>
        </is>
      </c>
    </row>
    <row r="226">
      <c r="A226" s="25" t="inlineStr">
        <is>
          <t>1011027</t>
        </is>
      </c>
      <c r="B226" s="25" t="inlineStr">
        <is>
          <t>AKÜ SULU,TRCL,DK,115AH,HUGEL ACTION,NASA</t>
        </is>
      </c>
      <c r="C226" s="25" t="inlineStr">
        <is>
          <t>1</t>
        </is>
      </c>
      <c r="D226" s="25" t="inlineStr">
        <is>
          <t>ST-045-STD-05</t>
        </is>
      </c>
      <c r="E226" s="25" t="inlineStr">
        <is>
          <t>IA-ST-045-STD-05</t>
        </is>
      </c>
      <c r="F226" s="25" t="inlineStr">
        <is>
          <t>IA-ST-CFG-0093</t>
        </is>
      </c>
      <c r="G226" s="25" t="n">
        <v>33.3498</v>
      </c>
      <c r="H226" s="25" t="inlineStr">
        <is>
          <t>988-pack GENERATED</t>
        </is>
      </c>
    </row>
    <row r="227">
      <c r="A227" s="25" t="inlineStr">
        <is>
          <t>1011048</t>
        </is>
      </c>
      <c r="B227" s="25" t="inlineStr">
        <is>
          <t>AKÜ,L3,DK,75AH,IGYA SMF,Y3000,YBX3096,Yİ</t>
        </is>
      </c>
      <c r="C227" s="25" t="inlineStr">
        <is>
          <t>1</t>
        </is>
      </c>
      <c r="D227" s="25" t="inlineStr">
        <is>
          <t>ST-063-STD-11</t>
        </is>
      </c>
      <c r="E227" s="25" t="inlineStr">
        <is>
          <t>IA-ST-063-STD-11</t>
        </is>
      </c>
      <c r="F227" s="25" t="inlineStr">
        <is>
          <t>IA-ST-CFG-0182</t>
        </is>
      </c>
      <c r="G227" s="25" t="n">
        <v>29.7124</v>
      </c>
      <c r="H227" s="25" t="inlineStr">
        <is>
          <t>988-pack GENERATED</t>
        </is>
      </c>
    </row>
    <row r="228">
      <c r="A228" s="25" t="inlineStr">
        <is>
          <t>1011103</t>
        </is>
      </c>
      <c r="B228" s="25" t="inlineStr">
        <is>
          <t>AKÜ,L3,DK,76AH,IGYSMF,SILVERTÜRKMENİSTAN</t>
        </is>
      </c>
      <c r="C228" s="25" t="inlineStr">
        <is>
          <t>1</t>
        </is>
      </c>
      <c r="D228" s="25" t="inlineStr">
        <is>
          <t>ST-063-STD-08</t>
        </is>
      </c>
      <c r="E228" s="25" t="inlineStr">
        <is>
          <t>IA-ST-063-STD-08</t>
        </is>
      </c>
      <c r="F228" s="25" t="inlineStr">
        <is>
          <t>IA-ST-CFG-0179</t>
        </is>
      </c>
      <c r="G228" s="25" t="n">
        <v>29.9992</v>
      </c>
      <c r="H228" s="25" t="inlineStr">
        <is>
          <t>988-pack GENERATED</t>
        </is>
      </c>
    </row>
    <row r="229">
      <c r="A229" s="25" t="inlineStr">
        <is>
          <t>1011129</t>
        </is>
      </c>
      <c r="B229" s="25" t="inlineStr">
        <is>
          <t>AKÜ,B-FLAT,DK,190AH,SILVER,TÜRKMENİSTAN</t>
        </is>
      </c>
      <c r="C229" s="25" t="inlineStr">
        <is>
          <t>1</t>
        </is>
      </c>
      <c r="D229" s="25" t="inlineStr">
        <is>
          <t>ST-030-STD-06</t>
        </is>
      </c>
      <c r="E229" s="25" t="inlineStr">
        <is>
          <t>IA-ST-030-STD-06</t>
        </is>
      </c>
      <c r="F229" s="25" t="inlineStr">
        <is>
          <t>IA-ST-CFG-0052</t>
        </is>
      </c>
      <c r="G229" s="25" t="n">
        <v>32.3892</v>
      </c>
      <c r="H229" s="25" t="inlineStr">
        <is>
          <t>988-pack GENERATED</t>
        </is>
      </c>
    </row>
    <row r="230">
      <c r="A230" s="25" t="inlineStr">
        <is>
          <t>1011152</t>
        </is>
      </c>
      <c r="B230" s="25" t="inlineStr">
        <is>
          <t>AKÜ,D26,TK75AH,IGYASMF,İNCİFORMULA,İÇPYS</t>
        </is>
      </c>
      <c r="C230" s="25" t="inlineStr">
        <is>
          <t>1</t>
        </is>
      </c>
      <c r="D230" s="25" t="inlineStr">
        <is>
          <t>ST-063-STD-05</t>
        </is>
      </c>
      <c r="E230" s="25" t="inlineStr">
        <is>
          <t>IA-ST-063-STD-05</t>
        </is>
      </c>
      <c r="F230" s="25" t="inlineStr">
        <is>
          <t>IA-ST-CFG-0176</t>
        </is>
      </c>
      <c r="G230" s="25" t="n">
        <v>33.8644</v>
      </c>
      <c r="H230" s="25" t="inlineStr">
        <is>
          <t>988-pack GENERATED</t>
        </is>
      </c>
    </row>
    <row r="231">
      <c r="A231" s="25" t="inlineStr">
        <is>
          <t>1011153</t>
        </is>
      </c>
      <c r="B231" s="25" t="inlineStr">
        <is>
          <t>AKÜ,D26,DK75AH,IGYASMF,İNCİFORMULA,İÇPYS</t>
        </is>
      </c>
      <c r="C231" s="25" t="inlineStr">
        <is>
          <t>1</t>
        </is>
      </c>
      <c r="D231" s="25" t="inlineStr">
        <is>
          <t>ST-063-STD-05</t>
        </is>
      </c>
      <c r="E231" s="25" t="inlineStr">
        <is>
          <t>IA-ST-063-STD-05</t>
        </is>
      </c>
      <c r="F231" s="25" t="inlineStr">
        <is>
          <t>IA-ST-CFG-0176</t>
        </is>
      </c>
      <c r="G231" s="25" t="n">
        <v>33.8644</v>
      </c>
      <c r="H231" s="25" t="inlineStr">
        <is>
          <t>988-pack GENERATED</t>
        </is>
      </c>
    </row>
    <row r="232">
      <c r="A232" s="25" t="inlineStr">
        <is>
          <t>1011154</t>
        </is>
      </c>
      <c r="B232" s="25" t="inlineStr">
        <is>
          <t>AKÜ,D31,TK90AH,IGYASMF,İNCİFORMULA,İÇPYS</t>
        </is>
      </c>
      <c r="C232" s="25" t="inlineStr">
        <is>
          <t>1</t>
        </is>
      </c>
      <c r="D232" s="25" t="inlineStr">
        <is>
          <t>ST-054-STD-09</t>
        </is>
      </c>
      <c r="E232" s="25" t="inlineStr">
        <is>
          <t>IA-ST-054-STD-09</t>
        </is>
      </c>
      <c r="F232" s="25" t="inlineStr">
        <is>
          <t>IA-ST-CFG-0145</t>
        </is>
      </c>
      <c r="G232" s="25" t="n">
        <v>33.497</v>
      </c>
      <c r="H232" s="25" t="inlineStr">
        <is>
          <t>988-pack GENERATED</t>
        </is>
      </c>
    </row>
    <row r="233">
      <c r="A233" s="25" t="inlineStr">
        <is>
          <t>1011155</t>
        </is>
      </c>
      <c r="B233" s="25" t="inlineStr">
        <is>
          <t>AKÜ,D31,DK90AH,IGYASMF,İNCİFORMULA,İÇPYS</t>
        </is>
      </c>
      <c r="C233" s="25" t="inlineStr">
        <is>
          <t>1</t>
        </is>
      </c>
      <c r="D233" s="25" t="inlineStr">
        <is>
          <t>ST-054-STD-09</t>
        </is>
      </c>
      <c r="E233" s="25" t="inlineStr">
        <is>
          <t>IA-ST-054-STD-09</t>
        </is>
      </c>
      <c r="F233" s="25" t="inlineStr">
        <is>
          <t>IA-ST-CFG-0145</t>
        </is>
      </c>
      <c r="G233" s="25" t="n">
        <v>33.497</v>
      </c>
      <c r="H233" s="25" t="inlineStr">
        <is>
          <t>988-pack GENERATED</t>
        </is>
      </c>
    </row>
    <row r="234">
      <c r="A234" s="25" t="inlineStr">
        <is>
          <t>1011156</t>
        </is>
      </c>
      <c r="B234" s="25" t="inlineStr">
        <is>
          <t>AKÜ,L2,DK,60AH,IGYASMF,İNCİFORMULA,İÇPYS</t>
        </is>
      </c>
      <c r="C234" s="25" t="inlineStr">
        <is>
          <t>1</t>
        </is>
      </c>
      <c r="D234" s="25" t="inlineStr">
        <is>
          <t>ST-072-STD-18</t>
        </is>
      </c>
      <c r="E234" s="25" t="inlineStr">
        <is>
          <t>IA-ST-072-STD-18</t>
        </is>
      </c>
      <c r="F234" s="25" t="inlineStr">
        <is>
          <t>IA-ST-CFG-0227</t>
        </is>
      </c>
      <c r="G234" s="25" t="n">
        <v>30.3684</v>
      </c>
      <c r="H234" s="25" t="inlineStr">
        <is>
          <t>988-pack GENERATED</t>
        </is>
      </c>
    </row>
    <row r="235">
      <c r="A235" s="25" t="inlineStr">
        <is>
          <t>1011157</t>
        </is>
      </c>
      <c r="B235" s="25" t="inlineStr">
        <is>
          <t>AKÜ,L3,DK,72AH,IGYASMF,İNCİFORMULA,İÇPYS</t>
        </is>
      </c>
      <c r="C235" s="25" t="inlineStr">
        <is>
          <t>1</t>
        </is>
      </c>
      <c r="D235" s="25" t="inlineStr">
        <is>
          <t>ST-063-STD-11</t>
        </is>
      </c>
      <c r="E235" s="25" t="inlineStr">
        <is>
          <t>IA-ST-063-STD-11</t>
        </is>
      </c>
      <c r="F235" s="25" t="inlineStr">
        <is>
          <t>IA-ST-CFG-0182</t>
        </is>
      </c>
      <c r="G235" s="25" t="n">
        <v>29.7124</v>
      </c>
      <c r="H235" s="25" t="inlineStr">
        <is>
          <t>988-pack GENERATED</t>
        </is>
      </c>
    </row>
    <row r="236">
      <c r="A236" s="25" t="inlineStr">
        <is>
          <t>1011158</t>
        </is>
      </c>
      <c r="B236" s="25" t="inlineStr">
        <is>
          <t>AKÜ,L3,DK,72AH,IGYASMF,İNCİFORMULA,İÇPYS</t>
        </is>
      </c>
      <c r="C236" s="25" t="inlineStr">
        <is>
          <t>1</t>
        </is>
      </c>
      <c r="D236" s="25" t="inlineStr">
        <is>
          <t>ST-063-STD-11</t>
        </is>
      </c>
      <c r="E236" s="25" t="inlineStr">
        <is>
          <t>IA-ST-063-STD-11</t>
        </is>
      </c>
      <c r="F236" s="25" t="inlineStr">
        <is>
          <t>IA-ST-CFG-0182</t>
        </is>
      </c>
      <c r="G236" s="25" t="n">
        <v>29.7124</v>
      </c>
      <c r="H236" s="25" t="inlineStr">
        <is>
          <t>988-pack GENERATED</t>
        </is>
      </c>
    </row>
    <row r="237">
      <c r="A237" s="25" t="inlineStr">
        <is>
          <t>1011159</t>
        </is>
      </c>
      <c r="B237" s="25" t="inlineStr">
        <is>
          <t>AKÜ,L3,TK,72AH,IGYASMF,İNCİFORMULA,İÇPYS</t>
        </is>
      </c>
      <c r="C237" s="25" t="inlineStr">
        <is>
          <t>1</t>
        </is>
      </c>
      <c r="D237" s="25" t="inlineStr">
        <is>
          <t>ST-063-STD-11</t>
        </is>
      </c>
      <c r="E237" s="25" t="inlineStr">
        <is>
          <t>IA-ST-063-STD-11</t>
        </is>
      </c>
      <c r="F237" s="25" t="inlineStr">
        <is>
          <t>IA-ST-CFG-0182</t>
        </is>
      </c>
      <c r="G237" s="25" t="n">
        <v>29.7124</v>
      </c>
      <c r="H237" s="25" t="inlineStr">
        <is>
          <t>988-pack GENERATED</t>
        </is>
      </c>
    </row>
    <row r="238">
      <c r="A238" s="25" t="inlineStr">
        <is>
          <t>1011160</t>
        </is>
      </c>
      <c r="B238" s="25" t="inlineStr">
        <is>
          <t>AKÜ,L5,DK,92AH,IGYASMF,İNCİFORMULA,İÇPYS</t>
        </is>
      </c>
      <c r="C238" s="25" t="inlineStr">
        <is>
          <t>1</t>
        </is>
      </c>
      <c r="D238" s="25" t="inlineStr">
        <is>
          <t>ST-045-STD-10</t>
        </is>
      </c>
      <c r="E238" s="25" t="inlineStr">
        <is>
          <t>IA-ST-045-STD-10</t>
        </is>
      </c>
      <c r="F238" s="25" t="inlineStr">
        <is>
          <t>IA-ST-CFG-0098</t>
        </is>
      </c>
      <c r="G238" s="25" t="n">
        <v>29.4324</v>
      </c>
      <c r="H238" s="25" t="inlineStr">
        <is>
          <t>988-pack GENERATED</t>
        </is>
      </c>
    </row>
    <row r="239">
      <c r="A239" s="25" t="inlineStr">
        <is>
          <t>1011161</t>
        </is>
      </c>
      <c r="B239" s="25" t="inlineStr">
        <is>
          <t>AKÜ,LB1,DK50AH,IGYASMF,İNCİFORMULA,İÇPYS</t>
        </is>
      </c>
      <c r="C239" s="25" t="inlineStr">
        <is>
          <t>1</t>
        </is>
      </c>
      <c r="D239" s="25" t="inlineStr">
        <is>
          <t>ST-087-STD-06</t>
        </is>
      </c>
      <c r="E239" s="25" t="inlineStr">
        <is>
          <t>IA-ST-087-STD-06</t>
        </is>
      </c>
      <c r="F239" s="25" t="inlineStr">
        <is>
          <t>IA-ST-CFG-0251</t>
        </is>
      </c>
      <c r="G239" s="25" t="n">
        <v>29.9824</v>
      </c>
      <c r="H239" s="25" t="inlineStr">
        <is>
          <t>988-pack GENERATED</t>
        </is>
      </c>
    </row>
    <row r="240">
      <c r="A240" s="25" t="inlineStr">
        <is>
          <t>1011163</t>
        </is>
      </c>
      <c r="B240" s="25" t="inlineStr">
        <is>
          <t>AKÜ,LB3,DK66AH,IGYASMF,İNCİFORMULA,İÇPYS</t>
        </is>
      </c>
      <c r="C240" s="25" t="inlineStr">
        <is>
          <t>1</t>
        </is>
      </c>
      <c r="D240" s="25" t="inlineStr">
        <is>
          <t>ST-063-STD-10</t>
        </is>
      </c>
      <c r="E240" s="25" t="inlineStr">
        <is>
          <t>IA-ST-063-STD-10</t>
        </is>
      </c>
      <c r="F240" s="25" t="inlineStr">
        <is>
          <t>IA-ST-CFG-0181</t>
        </is>
      </c>
      <c r="G240" s="25" t="n">
        <v>29.5824</v>
      </c>
      <c r="H240" s="25" t="inlineStr">
        <is>
          <t>988-pack GENERATED</t>
        </is>
      </c>
    </row>
    <row r="241">
      <c r="A241" s="25" t="inlineStr">
        <is>
          <t>1011164</t>
        </is>
      </c>
      <c r="B241" s="25" t="inlineStr">
        <is>
          <t>AKÜ,LB4,DK82AH,IGYASMF,İNCİFORMULA,İÇPYS</t>
        </is>
      </c>
      <c r="C241" s="25" t="inlineStr">
        <is>
          <t>1</t>
        </is>
      </c>
      <c r="D241" s="25" t="inlineStr">
        <is>
          <t>ST-072-STD-24</t>
        </is>
      </c>
      <c r="E241" s="25" t="inlineStr">
        <is>
          <t>IA-ST-072-STD-24</t>
        </is>
      </c>
      <c r="F241" s="25" t="inlineStr">
        <is>
          <t>IA-ST-CFG-0233</t>
        </is>
      </c>
      <c r="G241" s="25" t="n">
        <v>30.3504</v>
      </c>
      <c r="H241" s="25" t="inlineStr">
        <is>
          <t>988-pack GENERATED</t>
        </is>
      </c>
    </row>
    <row r="242">
      <c r="A242" s="25" t="inlineStr">
        <is>
          <t>1011165</t>
        </is>
      </c>
      <c r="B242" s="25" t="inlineStr">
        <is>
          <t>AKÜ,NS60,TK45AH,IGYSMF,İNCİFORMULA,İÇPYS</t>
        </is>
      </c>
      <c r="C242" s="25" t="inlineStr">
        <is>
          <t>1</t>
        </is>
      </c>
      <c r="D242" s="25" t="inlineStr">
        <is>
          <t>ST-096-STD-04</t>
        </is>
      </c>
      <c r="E242" s="25" t="inlineStr">
        <is>
          <t>IA-ST-096-STD-04</t>
        </is>
      </c>
      <c r="F242" s="25" t="inlineStr">
        <is>
          <t>IA-ST-CFG-0273</t>
        </is>
      </c>
      <c r="G242" s="25" t="n">
        <v>34.7436</v>
      </c>
      <c r="H242" s="25" t="inlineStr">
        <is>
          <t>988-pack GENERATED</t>
        </is>
      </c>
    </row>
    <row r="243">
      <c r="A243" s="25" t="inlineStr">
        <is>
          <t>1011166</t>
        </is>
      </c>
      <c r="B243" s="25" t="inlineStr">
        <is>
          <t>AKÜ,NS60,DK45AH,IGYSMF,İNCİFORMULA,İÇPYS</t>
        </is>
      </c>
      <c r="C243" s="25" t="inlineStr">
        <is>
          <t>1</t>
        </is>
      </c>
      <c r="D243" s="25" t="inlineStr">
        <is>
          <t>ST-096-STD-04</t>
        </is>
      </c>
      <c r="E243" s="25" t="inlineStr">
        <is>
          <t>IA-ST-096-STD-04</t>
        </is>
      </c>
      <c r="F243" s="25" t="inlineStr">
        <is>
          <t>IA-ST-CFG-0273</t>
        </is>
      </c>
      <c r="G243" s="25" t="n">
        <v>34.7436</v>
      </c>
      <c r="H243" s="25" t="inlineStr">
        <is>
          <t>988-pack GENERATED</t>
        </is>
      </c>
    </row>
    <row r="244">
      <c r="A244" s="25" t="inlineStr">
        <is>
          <t>1011167</t>
        </is>
      </c>
      <c r="B244" s="25" t="inlineStr">
        <is>
          <t>AKÜ,D23,DK,68AH,IGYASMF,İNCİMAXIMA,İÇPYS</t>
        </is>
      </c>
      <c r="C244" s="25" t="inlineStr">
        <is>
          <t>1</t>
        </is>
      </c>
      <c r="D244" s="25" t="inlineStr">
        <is>
          <t>ST-072-STD-15</t>
        </is>
      </c>
      <c r="E244" s="25" t="inlineStr">
        <is>
          <t>IA-ST-072-STD-15</t>
        </is>
      </c>
      <c r="F244" s="25" t="inlineStr">
        <is>
          <t>IA-ST-CFG-0224</t>
        </is>
      </c>
      <c r="G244" s="25" t="n">
        <v>34.04544</v>
      </c>
      <c r="H244" s="25" t="inlineStr">
        <is>
          <t>988-pack GENERATED</t>
        </is>
      </c>
    </row>
    <row r="245">
      <c r="A245" s="25" t="inlineStr">
        <is>
          <t>1011168</t>
        </is>
      </c>
      <c r="B245" s="25" t="inlineStr">
        <is>
          <t>AKÜ,D26,DK,80AH,IGYASMF,İNCİMAXIMA,İÇPYS</t>
        </is>
      </c>
      <c r="C245" s="25" t="inlineStr">
        <is>
          <t>1</t>
        </is>
      </c>
      <c r="D245" s="25" t="inlineStr">
        <is>
          <t>ST-063-STD-05</t>
        </is>
      </c>
      <c r="E245" s="25" t="inlineStr">
        <is>
          <t>IA-ST-063-STD-05</t>
        </is>
      </c>
      <c r="F245" s="25" t="inlineStr">
        <is>
          <t>IA-ST-CFG-0176</t>
        </is>
      </c>
      <c r="G245" s="25" t="n">
        <v>33.8644</v>
      </c>
      <c r="H245" s="25" t="inlineStr">
        <is>
          <t>988-pack GENERATED</t>
        </is>
      </c>
    </row>
    <row r="246">
      <c r="A246" s="25" t="inlineStr">
        <is>
          <t>1011169</t>
        </is>
      </c>
      <c r="B246" s="25" t="inlineStr">
        <is>
          <t>AKÜ,D31,DK100AH,IGYASMF,İNCİMAXIMA,İÇPYS</t>
        </is>
      </c>
      <c r="C246" s="25" t="inlineStr">
        <is>
          <t>1</t>
        </is>
      </c>
      <c r="D246" s="25" t="inlineStr">
        <is>
          <t>ST-054-STD-09</t>
        </is>
      </c>
      <c r="E246" s="25" t="inlineStr">
        <is>
          <t>IA-ST-054-STD-09</t>
        </is>
      </c>
      <c r="F246" s="25" t="inlineStr">
        <is>
          <t>IA-ST-CFG-0145</t>
        </is>
      </c>
      <c r="G246" s="25" t="n">
        <v>33.497</v>
      </c>
      <c r="H246" s="25" t="inlineStr">
        <is>
          <t>988-pack GENERATED</t>
        </is>
      </c>
    </row>
    <row r="247">
      <c r="A247" s="25" t="inlineStr">
        <is>
          <t>1011170</t>
        </is>
      </c>
      <c r="B247" s="25" t="inlineStr">
        <is>
          <t>AKÜ,L1,DK,54AH,IGYASMF,İNCİ MAXIMA,İÇPYS</t>
        </is>
      </c>
      <c r="C247" s="25" t="inlineStr">
        <is>
          <t>1</t>
        </is>
      </c>
      <c r="D247" s="25" t="inlineStr">
        <is>
          <t>ST-087-STD-07</t>
        </is>
      </c>
      <c r="E247" s="25" t="inlineStr">
        <is>
          <t>IA-ST-087-STD-07</t>
        </is>
      </c>
      <c r="F247" s="25" t="inlineStr">
        <is>
          <t>IA-ST-CFG-0252</t>
        </is>
      </c>
      <c r="G247" s="25" t="n">
        <v>30.5024</v>
      </c>
      <c r="H247" s="25" t="inlineStr">
        <is>
          <t>988-pack GENERATED</t>
        </is>
      </c>
    </row>
    <row r="248">
      <c r="A248" s="25" t="inlineStr">
        <is>
          <t>1011171</t>
        </is>
      </c>
      <c r="B248" s="25" t="inlineStr">
        <is>
          <t>AKÜ,LB1,DK,52AH,IGYASMF,İNCİMAXIMA,İÇPYS</t>
        </is>
      </c>
      <c r="C248" s="25" t="inlineStr">
        <is>
          <t>1</t>
        </is>
      </c>
      <c r="D248" s="25" t="inlineStr">
        <is>
          <t>ST-087-STD-07</t>
        </is>
      </c>
      <c r="E248" s="25" t="inlineStr">
        <is>
          <t>IA-ST-087-STD-07</t>
        </is>
      </c>
      <c r="F248" s="25" t="inlineStr">
        <is>
          <t>IA-ST-CFG-0252</t>
        </is>
      </c>
      <c r="G248" s="25" t="n">
        <v>30.5024</v>
      </c>
      <c r="H248" s="25" t="inlineStr">
        <is>
          <t>988-pack GENERATED</t>
        </is>
      </c>
    </row>
    <row r="249">
      <c r="A249" s="25" t="inlineStr">
        <is>
          <t>1011172</t>
        </is>
      </c>
      <c r="B249" s="25" t="inlineStr">
        <is>
          <t>AKÜ,L2,65AH,DK,IGYASMF,İNCİ MAXIMA,İÇPYS</t>
        </is>
      </c>
      <c r="C249" s="25" t="inlineStr">
        <is>
          <t>1</t>
        </is>
      </c>
      <c r="D249" s="25" t="inlineStr">
        <is>
          <t>ST-072-STD-18</t>
        </is>
      </c>
      <c r="E249" s="25" t="inlineStr">
        <is>
          <t>IA-ST-072-STD-18</t>
        </is>
      </c>
      <c r="F249" s="25" t="inlineStr">
        <is>
          <t>IA-ST-CFG-0227</t>
        </is>
      </c>
      <c r="G249" s="25" t="n">
        <v>30.3684</v>
      </c>
      <c r="H249" s="25" t="inlineStr">
        <is>
          <t>988-pack GENERATED</t>
        </is>
      </c>
    </row>
    <row r="250">
      <c r="A250" s="25" t="inlineStr">
        <is>
          <t>1011173</t>
        </is>
      </c>
      <c r="B250" s="25" t="inlineStr">
        <is>
          <t>AKÜ,LB2,DK,60AH,IGYASMF,İNCİMAXIMA,İÇPYS</t>
        </is>
      </c>
      <c r="C250" s="25" t="inlineStr">
        <is>
          <t>1</t>
        </is>
      </c>
      <c r="D250" s="25" t="inlineStr">
        <is>
          <t>ST-072-STD-18</t>
        </is>
      </c>
      <c r="E250" s="25" t="inlineStr">
        <is>
          <t>IA-ST-072-STD-18</t>
        </is>
      </c>
      <c r="F250" s="25" t="inlineStr">
        <is>
          <t>IA-ST-CFG-0227</t>
        </is>
      </c>
      <c r="G250" s="25" t="n">
        <v>30.3684</v>
      </c>
      <c r="H250" s="25" t="inlineStr">
        <is>
          <t>988-pack GENERATED</t>
        </is>
      </c>
    </row>
    <row r="251">
      <c r="A251" s="25" t="inlineStr">
        <is>
          <t>1011174</t>
        </is>
      </c>
      <c r="B251" s="25" t="inlineStr">
        <is>
          <t>AKÜ,L3,DK,80AH,IGYASMF,İNCİ MAXIMA,İÇPYS</t>
        </is>
      </c>
      <c r="C251" s="25" t="inlineStr">
        <is>
          <t>1</t>
        </is>
      </c>
      <c r="D251" s="25" t="inlineStr">
        <is>
          <t>ST-063-STD-11</t>
        </is>
      </c>
      <c r="E251" s="25" t="inlineStr">
        <is>
          <t>IA-ST-063-STD-11</t>
        </is>
      </c>
      <c r="F251" s="25" t="inlineStr">
        <is>
          <t>IA-ST-CFG-0182</t>
        </is>
      </c>
      <c r="G251" s="25" t="n">
        <v>29.7124</v>
      </c>
      <c r="H251" s="25" t="inlineStr">
        <is>
          <t>988-pack GENERATED</t>
        </is>
      </c>
    </row>
    <row r="252">
      <c r="A252" s="25" t="inlineStr">
        <is>
          <t>1011175</t>
        </is>
      </c>
      <c r="B252" s="25" t="inlineStr">
        <is>
          <t>AKÜ,L3,DK,80AH,IGYASMF,İNCİ MAXIMA,İÇPYS</t>
        </is>
      </c>
      <c r="C252" s="25" t="inlineStr">
        <is>
          <t>1</t>
        </is>
      </c>
      <c r="D252" s="25" t="inlineStr">
        <is>
          <t>ST-063-STD-11</t>
        </is>
      </c>
      <c r="E252" s="25" t="inlineStr">
        <is>
          <t>IA-ST-063-STD-11</t>
        </is>
      </c>
      <c r="F252" s="25" t="inlineStr">
        <is>
          <t>IA-ST-CFG-0182</t>
        </is>
      </c>
      <c r="G252" s="25" t="n">
        <v>29.7124</v>
      </c>
      <c r="H252" s="25" t="inlineStr">
        <is>
          <t>988-pack GENERATED</t>
        </is>
      </c>
    </row>
    <row r="253">
      <c r="A253" s="25" t="inlineStr">
        <is>
          <t>1011176</t>
        </is>
      </c>
      <c r="B253" s="25" t="inlineStr">
        <is>
          <t>AKÜ,LB3,DK,72AH,IGYASMF,İNCİMAXIMA,İÇPYS</t>
        </is>
      </c>
      <c r="C253" s="25" t="inlineStr">
        <is>
          <t>1</t>
        </is>
      </c>
      <c r="D253" s="25" t="inlineStr">
        <is>
          <t>ST-063-STD-10</t>
        </is>
      </c>
      <c r="E253" s="25" t="inlineStr">
        <is>
          <t>IA-ST-063-STD-10</t>
        </is>
      </c>
      <c r="F253" s="25" t="inlineStr">
        <is>
          <t>IA-ST-CFG-0181</t>
        </is>
      </c>
      <c r="G253" s="25" t="n">
        <v>29.5824</v>
      </c>
      <c r="H253" s="25" t="inlineStr">
        <is>
          <t>988-pack GENERATED</t>
        </is>
      </c>
    </row>
    <row r="254">
      <c r="A254" s="25" t="inlineStr">
        <is>
          <t>1011177</t>
        </is>
      </c>
      <c r="B254" s="25" t="inlineStr">
        <is>
          <t>AKÜ,L4,TK,90AH,IGYASMF,İNCİ MAXIMA,İÇPYS</t>
        </is>
      </c>
      <c r="C254" s="25" t="inlineStr">
        <is>
          <t>1</t>
        </is>
      </c>
      <c r="D254" s="25" t="inlineStr">
        <is>
          <t>ST-072-STD-24</t>
        </is>
      </c>
      <c r="E254" s="25" t="inlineStr">
        <is>
          <t>IA-ST-072-STD-24</t>
        </is>
      </c>
      <c r="F254" s="25" t="inlineStr">
        <is>
          <t>IA-ST-CFG-0233</t>
        </is>
      </c>
      <c r="G254" s="25" t="n">
        <v>30.3504</v>
      </c>
      <c r="H254" s="25" t="inlineStr">
        <is>
          <t>988-pack GENERATED</t>
        </is>
      </c>
    </row>
    <row r="255">
      <c r="A255" s="25" t="inlineStr">
        <is>
          <t>1011178</t>
        </is>
      </c>
      <c r="B255" s="25" t="inlineStr">
        <is>
          <t>AKÜ,LB4,DK,85AH,IGYASMF,İNCİMAXIMA,İÇPYS</t>
        </is>
      </c>
      <c r="C255" s="25" t="inlineStr">
        <is>
          <t>1</t>
        </is>
      </c>
      <c r="D255" s="25" t="inlineStr">
        <is>
          <t>ST-072-STD-24</t>
        </is>
      </c>
      <c r="E255" s="25" t="inlineStr">
        <is>
          <t>IA-ST-072-STD-24</t>
        </is>
      </c>
      <c r="F255" s="25" t="inlineStr">
        <is>
          <t>IA-ST-CFG-0233</t>
        </is>
      </c>
      <c r="G255" s="25" t="n">
        <v>30.3504</v>
      </c>
      <c r="H255" s="25" t="inlineStr">
        <is>
          <t>988-pack GENERATED</t>
        </is>
      </c>
    </row>
    <row r="256">
      <c r="A256" s="25" t="inlineStr">
        <is>
          <t>1011180</t>
        </is>
      </c>
      <c r="B256" s="25" t="inlineStr">
        <is>
          <t>AKÜ,NS40,DK,42AH,IGYSMF,İNCİMAXIMA,İÇPYS</t>
        </is>
      </c>
      <c r="C256" s="25" t="inlineStr">
        <is>
          <t>1</t>
        </is>
      </c>
      <c r="D256" s="25" t="inlineStr">
        <is>
          <t>ST-120-STD-02</t>
        </is>
      </c>
      <c r="E256" s="25" t="inlineStr">
        <is>
          <t>IA-ST-120-STD-02</t>
        </is>
      </c>
      <c r="F256" s="25" t="inlineStr">
        <is>
          <t>IA-ST-CFG-0285</t>
        </is>
      </c>
      <c r="G256" s="25" t="n">
        <v>34.794</v>
      </c>
      <c r="H256" s="25" t="inlineStr">
        <is>
          <t>988-pack GENERATED</t>
        </is>
      </c>
    </row>
    <row r="257">
      <c r="A257" s="25" t="inlineStr">
        <is>
          <t>1011181</t>
        </is>
      </c>
      <c r="B257" s="25" t="inlineStr">
        <is>
          <t>AKÜ,NS60,DK,55AH,IGYSMF,İNCİMAXIMA,İÇPYS</t>
        </is>
      </c>
      <c r="C257" s="25" t="inlineStr">
        <is>
          <t>1</t>
        </is>
      </c>
      <c r="D257" s="25" t="inlineStr">
        <is>
          <t>ST-096-STD-04</t>
        </is>
      </c>
      <c r="E257" s="25" t="inlineStr">
        <is>
          <t>IA-ST-096-STD-04</t>
        </is>
      </c>
      <c r="F257" s="25" t="inlineStr">
        <is>
          <t>IA-ST-CFG-0273</t>
        </is>
      </c>
      <c r="G257" s="25" t="n">
        <v>34.7436</v>
      </c>
      <c r="H257" s="25" t="inlineStr">
        <is>
          <t>988-pack GENERATED</t>
        </is>
      </c>
    </row>
    <row r="258">
      <c r="A258" s="25" t="inlineStr">
        <is>
          <t>1011184</t>
        </is>
      </c>
      <c r="B258" s="25" t="inlineStr">
        <is>
          <t>AKÜ,L2,DK,60AH,IGYASMF,İNCİ EFBS&amp;S,İÇPYS</t>
        </is>
      </c>
      <c r="C258" s="25" t="inlineStr">
        <is>
          <t>1</t>
        </is>
      </c>
      <c r="D258" s="25" t="inlineStr">
        <is>
          <t>ST-088-STD-04</t>
        </is>
      </c>
      <c r="E258" s="25" t="inlineStr">
        <is>
          <t>IA-ST-088-STD-04</t>
        </is>
      </c>
      <c r="F258" s="25" t="inlineStr">
        <is>
          <t>IA-ST-CFG-0257</t>
        </is>
      </c>
      <c r="G258" s="25" t="n">
        <v>50.456</v>
      </c>
      <c r="H258" s="25" t="inlineStr">
        <is>
          <t>988-pack GENERATED</t>
        </is>
      </c>
    </row>
    <row r="259">
      <c r="A259" s="25" t="inlineStr">
        <is>
          <t>1011186</t>
        </is>
      </c>
      <c r="B259" s="25" t="inlineStr">
        <is>
          <t>AKÜ,LB3,DK,65AH,IGYASMF,İNCİEFBS&amp;S,İÇPYS</t>
        </is>
      </c>
      <c r="C259" s="25" t="inlineStr">
        <is>
          <t>1</t>
        </is>
      </c>
      <c r="D259" s="25" t="inlineStr">
        <is>
          <t>ST-072-STD-02</t>
        </is>
      </c>
      <c r="E259" s="25" t="inlineStr">
        <is>
          <t>IA-ST-072-STD-02</t>
        </is>
      </c>
      <c r="F259" s="25" t="inlineStr">
        <is>
          <t>IA-ST-CFG-0211</t>
        </is>
      </c>
      <c r="G259" s="25" t="n">
        <v>50.936</v>
      </c>
      <c r="H259" s="25" t="inlineStr">
        <is>
          <t>988-pack GENERATED</t>
        </is>
      </c>
    </row>
    <row r="260">
      <c r="A260" s="25" t="inlineStr">
        <is>
          <t>1011187</t>
        </is>
      </c>
      <c r="B260" s="25" t="inlineStr">
        <is>
          <t>AKÜ,L3,DK,72AH,IGYASMF,İNCİ EFBS&amp;S,İÇPYS</t>
        </is>
      </c>
      <c r="C260" s="25" t="inlineStr">
        <is>
          <t>1</t>
        </is>
      </c>
      <c r="D260" s="25" t="inlineStr">
        <is>
          <t>ST-072-STD-03</t>
        </is>
      </c>
      <c r="E260" s="25" t="inlineStr">
        <is>
          <t>IA-ST-072-STD-03</t>
        </is>
      </c>
      <c r="F260" s="25" t="inlineStr">
        <is>
          <t>IA-ST-CFG-0212</t>
        </is>
      </c>
      <c r="G260" s="25" t="n">
        <v>47.336</v>
      </c>
      <c r="H260" s="25" t="inlineStr">
        <is>
          <t>988-pack GENERATED</t>
        </is>
      </c>
    </row>
    <row r="261">
      <c r="A261" s="25" t="inlineStr">
        <is>
          <t>1011188</t>
        </is>
      </c>
      <c r="B261" s="25" t="inlineStr">
        <is>
          <t>AKÜ,LB4,DK,75AH,IGYASMF,İNCİEFBS&amp;S,İÇPYS</t>
        </is>
      </c>
      <c r="C261" s="25" t="inlineStr">
        <is>
          <t>1</t>
        </is>
      </c>
      <c r="D261" s="25" t="inlineStr">
        <is>
          <t>ST-068-STD-03</t>
        </is>
      </c>
      <c r="E261" s="25" t="inlineStr">
        <is>
          <t>IA-ST-068-STD-03</t>
        </is>
      </c>
      <c r="F261" s="25" t="inlineStr">
        <is>
          <t>IA-ST-CFG-0196</t>
        </is>
      </c>
      <c r="G261" s="25" t="n">
        <v>47.696</v>
      </c>
      <c r="H261" s="25" t="inlineStr">
        <is>
          <t>988-pack GENERATED</t>
        </is>
      </c>
    </row>
    <row r="262">
      <c r="A262" s="25" t="inlineStr">
        <is>
          <t>1011189</t>
        </is>
      </c>
      <c r="B262" s="25" t="inlineStr">
        <is>
          <t>AKÜ,L4,DK,80AH,IGYASMF,İNCİ EFBS&amp;S,İÇPYS</t>
        </is>
      </c>
      <c r="C262" s="25" t="inlineStr">
        <is>
          <t>1</t>
        </is>
      </c>
      <c r="D262" s="25" t="inlineStr">
        <is>
          <t>ST-068-STD-04</t>
        </is>
      </c>
      <c r="E262" s="25" t="inlineStr">
        <is>
          <t>IA-ST-068-STD-04</t>
        </is>
      </c>
      <c r="F262" s="25" t="inlineStr">
        <is>
          <t>IA-ST-CFG-0197</t>
        </is>
      </c>
      <c r="G262" s="25" t="n">
        <v>47.696</v>
      </c>
      <c r="H262" s="25" t="inlineStr">
        <is>
          <t>988-pack GENERATED</t>
        </is>
      </c>
    </row>
    <row r="263">
      <c r="A263" s="25" t="inlineStr">
        <is>
          <t>1011191</t>
        </is>
      </c>
      <c r="B263" s="25" t="inlineStr">
        <is>
          <t>AKÜ,L5,DK,90AH,IGYSMF,İNCİEFBPANTR,İÇPYS</t>
        </is>
      </c>
      <c r="C263" s="25" t="inlineStr">
        <is>
          <t>1</t>
        </is>
      </c>
      <c r="D263" s="25" t="inlineStr">
        <is>
          <t>ST-060-STD-04</t>
        </is>
      </c>
      <c r="E263" s="25" t="inlineStr">
        <is>
          <t>IA-ST-060-STD-04</t>
        </is>
      </c>
      <c r="F263" s="25" t="inlineStr">
        <is>
          <t>IA-ST-CFG-0168</t>
        </is>
      </c>
      <c r="G263" s="25" t="n">
        <v>49.136</v>
      </c>
      <c r="H263" s="25" t="inlineStr">
        <is>
          <t>988-pack GENERATED</t>
        </is>
      </c>
    </row>
    <row r="264">
      <c r="A264" s="25" t="inlineStr">
        <is>
          <t>1011192</t>
        </is>
      </c>
      <c r="B264" s="25" t="inlineStr">
        <is>
          <t>AKÜ,L5,DK,90AH,IGYASMF,İNCİ MARINE,İÇPYS</t>
        </is>
      </c>
      <c r="C264" s="25" t="inlineStr">
        <is>
          <t>1</t>
        </is>
      </c>
      <c r="D264" s="25" t="inlineStr">
        <is>
          <t>ST-045-STD-10</t>
        </is>
      </c>
      <c r="E264" s="25" t="inlineStr">
        <is>
          <t>IA-ST-045-STD-10</t>
        </is>
      </c>
      <c r="F264" s="25" t="inlineStr">
        <is>
          <t>IA-ST-CFG-0098</t>
        </is>
      </c>
      <c r="G264" s="25" t="n">
        <v>29.4324</v>
      </c>
      <c r="H264" s="25" t="inlineStr">
        <is>
          <t>988-pack GENERATED</t>
        </is>
      </c>
    </row>
    <row r="265">
      <c r="A265" s="25" t="inlineStr">
        <is>
          <t>1011193</t>
        </is>
      </c>
      <c r="B265" s="25" t="inlineStr">
        <is>
          <t>AKÜ,L2,DK,65AH,IGYASMF,İNCİ TAKSİ,İÇ PYS</t>
        </is>
      </c>
      <c r="C265" s="25" t="inlineStr">
        <is>
          <t>1</t>
        </is>
      </c>
      <c r="D265" s="25" t="inlineStr">
        <is>
          <t>ST-072-STD-18</t>
        </is>
      </c>
      <c r="E265" s="25" t="inlineStr">
        <is>
          <t>IA-ST-072-STD-18</t>
        </is>
      </c>
      <c r="F265" s="25" t="inlineStr">
        <is>
          <t>IA-ST-CFG-0227</t>
        </is>
      </c>
      <c r="G265" s="25" t="n">
        <v>30.3684</v>
      </c>
      <c r="H265" s="25" t="inlineStr">
        <is>
          <t>988-pack GENERATED</t>
        </is>
      </c>
    </row>
    <row r="266">
      <c r="A266" s="25" t="inlineStr">
        <is>
          <t>1011194</t>
        </is>
      </c>
      <c r="B266" s="25" t="inlineStr">
        <is>
          <t>AKÜ,L3,DK,72AH,IGYASMF,İNCİ TAKSİ,İÇ PYS</t>
        </is>
      </c>
      <c r="C266" s="25" t="inlineStr">
        <is>
          <t>1</t>
        </is>
      </c>
      <c r="D266" s="25" t="inlineStr">
        <is>
          <t>ST-063-STD-11</t>
        </is>
      </c>
      <c r="E266" s="25" t="inlineStr">
        <is>
          <t>IA-ST-063-STD-11</t>
        </is>
      </c>
      <c r="F266" s="25" t="inlineStr">
        <is>
          <t>IA-ST-CFG-0182</t>
        </is>
      </c>
      <c r="G266" s="25" t="n">
        <v>29.7124</v>
      </c>
      <c r="H266" s="25" t="inlineStr">
        <is>
          <t>988-pack GENERATED</t>
        </is>
      </c>
    </row>
    <row r="267">
      <c r="A267" s="25" t="inlineStr">
        <is>
          <t>1011195</t>
        </is>
      </c>
      <c r="B267" s="25" t="inlineStr">
        <is>
          <t>AKÜ,D26,DK,75AH,IGYASMF,EAS ACTIVA,İÇPYS</t>
        </is>
      </c>
      <c r="C267" s="25" t="inlineStr">
        <is>
          <t>1</t>
        </is>
      </c>
      <c r="D267" s="25" t="inlineStr">
        <is>
          <t>ST-063-STD-05</t>
        </is>
      </c>
      <c r="E267" s="25" t="inlineStr">
        <is>
          <t>IA-ST-063-STD-05</t>
        </is>
      </c>
      <c r="F267" s="25" t="inlineStr">
        <is>
          <t>IA-ST-CFG-0176</t>
        </is>
      </c>
      <c r="G267" s="25" t="n">
        <v>33.8644</v>
      </c>
      <c r="H267" s="25" t="inlineStr">
        <is>
          <t>988-pack GENERATED</t>
        </is>
      </c>
    </row>
    <row r="268">
      <c r="A268" s="25" t="inlineStr">
        <is>
          <t>1011196</t>
        </is>
      </c>
      <c r="B268" s="25" t="inlineStr">
        <is>
          <t>AKÜ,D31,DK,90AH,IGYASMF,EAS ACTIVA,İÇPYS</t>
        </is>
      </c>
      <c r="C268" s="25" t="inlineStr">
        <is>
          <t>1</t>
        </is>
      </c>
      <c r="D268" s="25" t="inlineStr">
        <is>
          <t>ST-054-STD-09</t>
        </is>
      </c>
      <c r="E268" s="25" t="inlineStr">
        <is>
          <t>IA-ST-054-STD-09</t>
        </is>
      </c>
      <c r="F268" s="25" t="inlineStr">
        <is>
          <t>IA-ST-CFG-0145</t>
        </is>
      </c>
      <c r="G268" s="25" t="n">
        <v>33.497</v>
      </c>
      <c r="H268" s="25" t="inlineStr">
        <is>
          <t>988-pack GENERATED</t>
        </is>
      </c>
    </row>
    <row r="269">
      <c r="A269" s="25" t="inlineStr">
        <is>
          <t>1011197</t>
        </is>
      </c>
      <c r="B269" s="25" t="inlineStr">
        <is>
          <t>AKÜ,D31,TK,90AH,IGYASMF,EAS ACTIVA,İÇPYS</t>
        </is>
      </c>
      <c r="C269" s="25" t="inlineStr">
        <is>
          <t>1</t>
        </is>
      </c>
      <c r="D269" s="25" t="inlineStr">
        <is>
          <t>ST-054-STD-09</t>
        </is>
      </c>
      <c r="E269" s="25" t="inlineStr">
        <is>
          <t>IA-ST-054-STD-09</t>
        </is>
      </c>
      <c r="F269" s="25" t="inlineStr">
        <is>
          <t>IA-ST-CFG-0145</t>
        </is>
      </c>
      <c r="G269" s="25" t="n">
        <v>33.497</v>
      </c>
      <c r="H269" s="25" t="inlineStr">
        <is>
          <t>988-pack GENERATED</t>
        </is>
      </c>
    </row>
    <row r="270">
      <c r="A270" s="25" t="inlineStr">
        <is>
          <t>1011199</t>
        </is>
      </c>
      <c r="B270" s="25" t="inlineStr">
        <is>
          <t>AKÜ,LB1,DK,50AH,IGYASMF,EAS ACTIVA,İÇPYS</t>
        </is>
      </c>
      <c r="C270" s="25" t="inlineStr">
        <is>
          <t>1</t>
        </is>
      </c>
      <c r="D270" s="25" t="inlineStr">
        <is>
          <t>ST-087-STD-06</t>
        </is>
      </c>
      <c r="E270" s="25" t="inlineStr">
        <is>
          <t>IA-ST-087-STD-06</t>
        </is>
      </c>
      <c r="F270" s="25" t="inlineStr">
        <is>
          <t>IA-ST-CFG-0251</t>
        </is>
      </c>
      <c r="G270" s="25" t="n">
        <v>29.9824</v>
      </c>
      <c r="H270" s="25" t="inlineStr">
        <is>
          <t>988-pack GENERATED</t>
        </is>
      </c>
    </row>
    <row r="271">
      <c r="A271" s="25" t="inlineStr">
        <is>
          <t>1011200</t>
        </is>
      </c>
      <c r="B271" s="25" t="inlineStr">
        <is>
          <t>AKÜ,L2,DK,60AH,IGYASMF,EAS ACTIVA,İÇ PYS</t>
        </is>
      </c>
      <c r="C271" s="25" t="inlineStr">
        <is>
          <t>1</t>
        </is>
      </c>
      <c r="D271" s="25" t="inlineStr">
        <is>
          <t>ST-072-STD-18</t>
        </is>
      </c>
      <c r="E271" s="25" t="inlineStr">
        <is>
          <t>IA-ST-072-STD-18</t>
        </is>
      </c>
      <c r="F271" s="25" t="inlineStr">
        <is>
          <t>IA-ST-CFG-0227</t>
        </is>
      </c>
      <c r="G271" s="25" t="n">
        <v>30.3684</v>
      </c>
      <c r="H271" s="25" t="inlineStr">
        <is>
          <t>988-pack GENERATED</t>
        </is>
      </c>
    </row>
    <row r="272">
      <c r="A272" s="25" t="inlineStr">
        <is>
          <t>1011203</t>
        </is>
      </c>
      <c r="B272" s="25" t="inlineStr">
        <is>
          <t>AKÜ,LB3,DK,66AH,IGYASMF,EAS ACTIVA,İÇPYS</t>
        </is>
      </c>
      <c r="C272" s="25" t="inlineStr">
        <is>
          <t>1</t>
        </is>
      </c>
      <c r="D272" s="25" t="inlineStr">
        <is>
          <t>ST-063-STD-10</t>
        </is>
      </c>
      <c r="E272" s="25" t="inlineStr">
        <is>
          <t>IA-ST-063-STD-10</t>
        </is>
      </c>
      <c r="F272" s="25" t="inlineStr">
        <is>
          <t>IA-ST-CFG-0181</t>
        </is>
      </c>
      <c r="G272" s="25" t="n">
        <v>29.5824</v>
      </c>
      <c r="H272" s="25" t="inlineStr">
        <is>
          <t>988-pack GENERATED</t>
        </is>
      </c>
    </row>
    <row r="273">
      <c r="A273" s="25" t="inlineStr">
        <is>
          <t>1011204</t>
        </is>
      </c>
      <c r="B273" s="25" t="inlineStr">
        <is>
          <t>AKÜ,L3,DKB13,72AH,IGYASMF,EASACTIVAİÇPYS</t>
        </is>
      </c>
      <c r="C273" s="25" t="inlineStr">
        <is>
          <t>1</t>
        </is>
      </c>
      <c r="D273" s="25" t="inlineStr">
        <is>
          <t>ST-063-STD-11</t>
        </is>
      </c>
      <c r="E273" s="25" t="inlineStr">
        <is>
          <t>IA-ST-063-STD-11</t>
        </is>
      </c>
      <c r="F273" s="25" t="inlineStr">
        <is>
          <t>IA-ST-CFG-0182</t>
        </is>
      </c>
      <c r="G273" s="25" t="n">
        <v>29.7124</v>
      </c>
      <c r="H273" s="25" t="inlineStr">
        <is>
          <t>988-pack GENERATED</t>
        </is>
      </c>
    </row>
    <row r="274">
      <c r="A274" s="25" t="inlineStr">
        <is>
          <t>1011205</t>
        </is>
      </c>
      <c r="B274" s="25" t="inlineStr">
        <is>
          <t>AKÜ,L3,DKB01,72AH,IGYASMF,EASACTIVAİÇPYS</t>
        </is>
      </c>
      <c r="C274" s="25" t="inlineStr">
        <is>
          <t>1</t>
        </is>
      </c>
      <c r="D274" s="25" t="inlineStr">
        <is>
          <t>ST-063-STD-11</t>
        </is>
      </c>
      <c r="E274" s="25" t="inlineStr">
        <is>
          <t>IA-ST-063-STD-11</t>
        </is>
      </c>
      <c r="F274" s="25" t="inlineStr">
        <is>
          <t>IA-ST-CFG-0182</t>
        </is>
      </c>
      <c r="G274" s="25" t="n">
        <v>29.7124</v>
      </c>
      <c r="H274" s="25" t="inlineStr">
        <is>
          <t>988-pack GENERATED</t>
        </is>
      </c>
    </row>
    <row r="275">
      <c r="A275" s="25" t="inlineStr">
        <is>
          <t>1011207</t>
        </is>
      </c>
      <c r="B275" s="25" t="inlineStr">
        <is>
          <t>AKÜ,L5,DK,92AH,IGYASMF,EAS ACTIVA,İÇ PYS</t>
        </is>
      </c>
      <c r="C275" s="25" t="inlineStr">
        <is>
          <t>1</t>
        </is>
      </c>
      <c r="D275" s="25" t="inlineStr">
        <is>
          <t>ST-045-STD-10</t>
        </is>
      </c>
      <c r="E275" s="25" t="inlineStr">
        <is>
          <t>IA-ST-045-STD-10</t>
        </is>
      </c>
      <c r="F275" s="25" t="inlineStr">
        <is>
          <t>IA-ST-CFG-0098</t>
        </is>
      </c>
      <c r="G275" s="25" t="n">
        <v>29.4324</v>
      </c>
      <c r="H275" s="25" t="inlineStr">
        <is>
          <t>988-pack GENERATED</t>
        </is>
      </c>
    </row>
    <row r="276">
      <c r="A276" s="25" t="inlineStr">
        <is>
          <t>1011209</t>
        </is>
      </c>
      <c r="B276" s="25" t="inlineStr">
        <is>
          <t>AKÜ,LB4,DK,82AH,IGYASMF,EAS ACTIVA,İÇPYS</t>
        </is>
      </c>
      <c r="C276" s="25" t="inlineStr">
        <is>
          <t>1</t>
        </is>
      </c>
      <c r="D276" s="25" t="inlineStr">
        <is>
          <t>ST-072-STD-24</t>
        </is>
      </c>
      <c r="E276" s="25" t="inlineStr">
        <is>
          <t>IA-ST-072-STD-24</t>
        </is>
      </c>
      <c r="F276" s="25" t="inlineStr">
        <is>
          <t>IA-ST-CFG-0233</t>
        </is>
      </c>
      <c r="G276" s="25" t="n">
        <v>30.3504</v>
      </c>
      <c r="H276" s="25" t="inlineStr">
        <is>
          <t>988-pack GENERATED</t>
        </is>
      </c>
    </row>
    <row r="277">
      <c r="A277" s="25" t="inlineStr">
        <is>
          <t>1011211</t>
        </is>
      </c>
      <c r="B277" s="25" t="inlineStr">
        <is>
          <t>AKÜ,NS60,DK,45AH,IGYASMF,EASACTIVA,İÇPYS</t>
        </is>
      </c>
      <c r="C277" s="25" t="inlineStr">
        <is>
          <t>1</t>
        </is>
      </c>
      <c r="D277" s="25" t="inlineStr">
        <is>
          <t>ST-096-STD-04</t>
        </is>
      </c>
      <c r="E277" s="25" t="inlineStr">
        <is>
          <t>IA-ST-096-STD-04</t>
        </is>
      </c>
      <c r="F277" s="25" t="inlineStr">
        <is>
          <t>IA-ST-CFG-0273</t>
        </is>
      </c>
      <c r="G277" s="25" t="n">
        <v>34.7436</v>
      </c>
      <c r="H277" s="25" t="inlineStr">
        <is>
          <t>988-pack GENERATED</t>
        </is>
      </c>
    </row>
    <row r="278">
      <c r="A278" s="25" t="inlineStr">
        <is>
          <t>1011212</t>
        </is>
      </c>
      <c r="B278" s="25" t="inlineStr">
        <is>
          <t>AKÜ,NS60,TK,45AH,IGYASMF,EASACTIVA,İÇPYS</t>
        </is>
      </c>
      <c r="C278" s="25" t="inlineStr">
        <is>
          <t>1</t>
        </is>
      </c>
      <c r="D278" s="25" t="inlineStr">
        <is>
          <t>ST-096-STD-04</t>
        </is>
      </c>
      <c r="E278" s="25" t="inlineStr">
        <is>
          <t>IA-ST-096-STD-04</t>
        </is>
      </c>
      <c r="F278" s="25" t="inlineStr">
        <is>
          <t>IA-ST-CFG-0273</t>
        </is>
      </c>
      <c r="G278" s="25" t="n">
        <v>34.7436</v>
      </c>
      <c r="H278" s="25" t="inlineStr">
        <is>
          <t>988-pack GENERATED</t>
        </is>
      </c>
    </row>
    <row r="279">
      <c r="A279" s="25" t="inlineStr">
        <is>
          <t>1011215</t>
        </is>
      </c>
      <c r="B279" s="25" t="inlineStr">
        <is>
          <t>AKÜ,L2,DK,60AH,IGYASMF,EAS EFBS&amp;S,İÇ PYS</t>
        </is>
      </c>
      <c r="C279" s="25" t="inlineStr">
        <is>
          <t>1</t>
        </is>
      </c>
      <c r="D279" s="25" t="inlineStr">
        <is>
          <t>ST-072-STD-18</t>
        </is>
      </c>
      <c r="E279" s="25" t="inlineStr">
        <is>
          <t>IA-ST-072-STD-18</t>
        </is>
      </c>
      <c r="F279" s="25" t="inlineStr">
        <is>
          <t>IA-ST-CFG-0227</t>
        </is>
      </c>
      <c r="G279" s="25" t="n">
        <v>30.3684</v>
      </c>
      <c r="H279" s="25" t="inlineStr">
        <is>
          <t>988-pack GENERATED</t>
        </is>
      </c>
    </row>
    <row r="280">
      <c r="A280" s="25" t="inlineStr">
        <is>
          <t>1011216</t>
        </is>
      </c>
      <c r="B280" s="25" t="inlineStr">
        <is>
          <t>AKÜ,L3,DK,72AH,IGYASMF,EAS EFBS&amp;S,İÇ PYS</t>
        </is>
      </c>
      <c r="C280" s="25" t="inlineStr">
        <is>
          <t>1</t>
        </is>
      </c>
      <c r="D280" s="25" t="inlineStr">
        <is>
          <t>ST-063-STD-11</t>
        </is>
      </c>
      <c r="E280" s="25" t="inlineStr">
        <is>
          <t>IA-ST-063-STD-11</t>
        </is>
      </c>
      <c r="F280" s="25" t="inlineStr">
        <is>
          <t>IA-ST-CFG-0182</t>
        </is>
      </c>
      <c r="G280" s="25" t="n">
        <v>29.7124</v>
      </c>
      <c r="H280" s="25" t="inlineStr">
        <is>
          <t>988-pack GENERATED</t>
        </is>
      </c>
    </row>
    <row r="281">
      <c r="A281" s="25" t="inlineStr">
        <is>
          <t>1011218</t>
        </is>
      </c>
      <c r="B281" s="25" t="inlineStr">
        <is>
          <t>AKÜ,D31,DK90AH,IGYSMF,HUGEL ACTION,İÇPYS</t>
        </is>
      </c>
      <c r="C281" s="25" t="inlineStr">
        <is>
          <t>1</t>
        </is>
      </c>
      <c r="D281" s="25" t="inlineStr">
        <is>
          <t>ST-054-STD-09</t>
        </is>
      </c>
      <c r="E281" s="25" t="inlineStr">
        <is>
          <t>IA-ST-054-STD-09</t>
        </is>
      </c>
      <c r="F281" s="25" t="inlineStr">
        <is>
          <t>IA-ST-CFG-0145</t>
        </is>
      </c>
      <c r="G281" s="25" t="n">
        <v>33.497</v>
      </c>
      <c r="H281" s="25" t="inlineStr">
        <is>
          <t>988-pack GENERATED</t>
        </is>
      </c>
    </row>
    <row r="282">
      <c r="A282" s="25" t="inlineStr">
        <is>
          <t>1011223</t>
        </is>
      </c>
      <c r="B282" s="25" t="inlineStr">
        <is>
          <t>AKÜ,LB2,DK55AH,IGYASMF,HUGELACTION,İÇPYS</t>
        </is>
      </c>
      <c r="C282" s="25" t="inlineStr">
        <is>
          <t>1</t>
        </is>
      </c>
      <c r="D282" s="25" t="inlineStr">
        <is>
          <t>ST-072-STD-18</t>
        </is>
      </c>
      <c r="E282" s="25" t="inlineStr">
        <is>
          <t>IA-ST-072-STD-18</t>
        </is>
      </c>
      <c r="F282" s="25" t="inlineStr">
        <is>
          <t>IA-ST-CFG-0227</t>
        </is>
      </c>
      <c r="G282" s="25" t="n">
        <v>30.3684</v>
      </c>
      <c r="H282" s="25" t="inlineStr">
        <is>
          <t>988-pack GENERATED</t>
        </is>
      </c>
    </row>
    <row r="283">
      <c r="A283" s="25" t="inlineStr">
        <is>
          <t>1011224</t>
        </is>
      </c>
      <c r="B283" s="25" t="inlineStr">
        <is>
          <t>AKÜ,L2,DK,60AH,IGYASMF,HUGEL ULTRA,İÇPYS</t>
        </is>
      </c>
      <c r="C283" s="25" t="inlineStr">
        <is>
          <t>1</t>
        </is>
      </c>
      <c r="D283" s="25" t="inlineStr">
        <is>
          <t>ST-072-STD-18</t>
        </is>
      </c>
      <c r="E283" s="25" t="inlineStr">
        <is>
          <t>IA-ST-072-STD-18</t>
        </is>
      </c>
      <c r="F283" s="25" t="inlineStr">
        <is>
          <t>IA-ST-CFG-0227</t>
        </is>
      </c>
      <c r="G283" s="25" t="n">
        <v>30.3684</v>
      </c>
      <c r="H283" s="25" t="inlineStr">
        <is>
          <t>988-pack GENERATED</t>
        </is>
      </c>
    </row>
    <row r="284">
      <c r="A284" s="25" t="inlineStr">
        <is>
          <t>1011225</t>
        </is>
      </c>
      <c r="B284" s="25" t="inlineStr">
        <is>
          <t>AKÜ,L3,DK,72AH,IGYASMF,HUGELACTION,İÇPYS</t>
        </is>
      </c>
      <c r="C284" s="25" t="inlineStr">
        <is>
          <t>1</t>
        </is>
      </c>
      <c r="D284" s="25" t="inlineStr">
        <is>
          <t>ST-063-STD-11</t>
        </is>
      </c>
      <c r="E284" s="25" t="inlineStr">
        <is>
          <t>IA-ST-063-STD-11</t>
        </is>
      </c>
      <c r="F284" s="25" t="inlineStr">
        <is>
          <t>IA-ST-CFG-0182</t>
        </is>
      </c>
      <c r="G284" s="25" t="n">
        <v>29.7124</v>
      </c>
      <c r="H284" s="25" t="inlineStr">
        <is>
          <t>988-pack GENERATED</t>
        </is>
      </c>
    </row>
    <row r="285">
      <c r="A285" s="25" t="inlineStr">
        <is>
          <t>1011229</t>
        </is>
      </c>
      <c r="B285" s="25" t="inlineStr">
        <is>
          <t>AKÜ,L5,DK100AH,IGYASMF,HUGEL ULTRA,İÇPYS</t>
        </is>
      </c>
      <c r="C285" s="25" t="inlineStr">
        <is>
          <t>1</t>
        </is>
      </c>
      <c r="D285" s="25" t="inlineStr">
        <is>
          <t>ST-045-STD-10</t>
        </is>
      </c>
      <c r="E285" s="25" t="inlineStr">
        <is>
          <t>IA-ST-045-STD-10</t>
        </is>
      </c>
      <c r="F285" s="25" t="inlineStr">
        <is>
          <t>IA-ST-CFG-0098</t>
        </is>
      </c>
      <c r="G285" s="25" t="n">
        <v>29.4324</v>
      </c>
      <c r="H285" s="25" t="inlineStr">
        <is>
          <t>988-pack GENERATED</t>
        </is>
      </c>
    </row>
    <row r="286">
      <c r="A286" s="25" t="inlineStr">
        <is>
          <t>1011230</t>
        </is>
      </c>
      <c r="B286" s="25" t="inlineStr">
        <is>
          <t>AKÜ,L2,DK,60AH,IGYA SMF,OTOPRATİK,İÇ PYS</t>
        </is>
      </c>
      <c r="C286" s="25" t="inlineStr">
        <is>
          <t>1</t>
        </is>
      </c>
      <c r="D286" s="25" t="inlineStr">
        <is>
          <t>ST-072-STD-18</t>
        </is>
      </c>
      <c r="E286" s="25" t="inlineStr">
        <is>
          <t>IA-ST-072-STD-18</t>
        </is>
      </c>
      <c r="F286" s="25" t="inlineStr">
        <is>
          <t>IA-ST-CFG-0227</t>
        </is>
      </c>
      <c r="G286" s="25" t="n">
        <v>30.3684</v>
      </c>
      <c r="H286" s="25" t="inlineStr">
        <is>
          <t>988-pack GENERATED</t>
        </is>
      </c>
    </row>
    <row r="287">
      <c r="A287" s="25" t="inlineStr">
        <is>
          <t>1011231</t>
        </is>
      </c>
      <c r="B287" s="25" t="inlineStr">
        <is>
          <t>AKÜ,L3,DK,72AH,B01,IGYA,OTOPRATİK,İÇ PYS</t>
        </is>
      </c>
      <c r="C287" s="25" t="inlineStr">
        <is>
          <t>1</t>
        </is>
      </c>
      <c r="D287" s="25" t="inlineStr">
        <is>
          <t>ST-063-STD-11</t>
        </is>
      </c>
      <c r="E287" s="25" t="inlineStr">
        <is>
          <t>IA-ST-063-STD-11</t>
        </is>
      </c>
      <c r="F287" s="25" t="inlineStr">
        <is>
          <t>IA-ST-CFG-0182</t>
        </is>
      </c>
      <c r="G287" s="25" t="n">
        <v>29.7124</v>
      </c>
      <c r="H287" s="25" t="inlineStr">
        <is>
          <t>988-pack GENERATED</t>
        </is>
      </c>
    </row>
    <row r="288">
      <c r="A288" s="25" t="inlineStr">
        <is>
          <t>1011232</t>
        </is>
      </c>
      <c r="B288" s="25" t="inlineStr">
        <is>
          <t>AKÜ,D31,DK,90AH,IGYASMF,OTOPRATİK,İÇ PYS</t>
        </is>
      </c>
      <c r="C288" s="25" t="inlineStr">
        <is>
          <t>1</t>
        </is>
      </c>
      <c r="D288" s="25" t="inlineStr">
        <is>
          <t>ST-054-STD-09</t>
        </is>
      </c>
      <c r="E288" s="25" t="inlineStr">
        <is>
          <t>IA-ST-054-STD-09</t>
        </is>
      </c>
      <c r="F288" s="25" t="inlineStr">
        <is>
          <t>IA-ST-CFG-0145</t>
        </is>
      </c>
      <c r="G288" s="25" t="n">
        <v>33.497</v>
      </c>
      <c r="H288" s="25" t="inlineStr">
        <is>
          <t>988-pack GENERATED</t>
        </is>
      </c>
    </row>
    <row r="289">
      <c r="A289" s="25" t="inlineStr">
        <is>
          <t>1011253</t>
        </is>
      </c>
      <c r="B289" s="25" t="inlineStr">
        <is>
          <t>AKÜ,D26,DK,75AH,IGYA,MF90D26L,RACERPOWER</t>
        </is>
      </c>
      <c r="C289" s="25" t="inlineStr">
        <is>
          <t>1</t>
        </is>
      </c>
      <c r="D289" s="25" t="inlineStr">
        <is>
          <t>ST-063-STD-04</t>
        </is>
      </c>
      <c r="E289" s="25" t="inlineStr">
        <is>
          <t>IA-ST-063-STD-04</t>
        </is>
      </c>
      <c r="F289" s="25" t="inlineStr">
        <is>
          <t>IA-ST-CFG-0175</t>
        </is>
      </c>
      <c r="G289" s="25" t="n">
        <v>34.1512</v>
      </c>
      <c r="H289" s="25" t="inlineStr">
        <is>
          <t>988-pack GENERATED</t>
        </is>
      </c>
    </row>
    <row r="290">
      <c r="A290" s="25" t="inlineStr">
        <is>
          <t>1011269</t>
        </is>
      </c>
      <c r="B290" s="25" t="inlineStr">
        <is>
          <t>AKÜ,D26,DK,66AH,IGYA SMF,NS70L,LUCAS</t>
        </is>
      </c>
      <c r="C290" s="25" t="inlineStr">
        <is>
          <t>1</t>
        </is>
      </c>
      <c r="D290" s="25" t="inlineStr">
        <is>
          <t>ST-063-STD-04</t>
        </is>
      </c>
      <c r="E290" s="25" t="inlineStr">
        <is>
          <t>IA-ST-063-STD-04</t>
        </is>
      </c>
      <c r="F290" s="25" t="inlineStr">
        <is>
          <t>IA-ST-CFG-0175</t>
        </is>
      </c>
      <c r="G290" s="25" t="n">
        <v>34.1512</v>
      </c>
      <c r="H290" s="25" t="inlineStr">
        <is>
          <t>988-pack GENERATED</t>
        </is>
      </c>
    </row>
    <row r="291">
      <c r="A291" s="25" t="inlineStr">
        <is>
          <t>1011270</t>
        </is>
      </c>
      <c r="B291" s="25" t="inlineStr">
        <is>
          <t>AKÜ,D26,TK,66AH,IGYA SMF,NS70,LUCAS</t>
        </is>
      </c>
      <c r="C291" s="25" t="inlineStr">
        <is>
          <t>1</t>
        </is>
      </c>
      <c r="D291" s="25" t="inlineStr">
        <is>
          <t>ST-063-STD-04</t>
        </is>
      </c>
      <c r="E291" s="25" t="inlineStr">
        <is>
          <t>IA-ST-063-STD-04</t>
        </is>
      </c>
      <c r="F291" s="25" t="inlineStr">
        <is>
          <t>IA-ST-CFG-0175</t>
        </is>
      </c>
      <c r="G291" s="25" t="n">
        <v>34.1512</v>
      </c>
      <c r="H291" s="25" t="inlineStr">
        <is>
          <t>988-pack GENERATED</t>
        </is>
      </c>
    </row>
    <row r="292">
      <c r="A292" s="25" t="inlineStr">
        <is>
          <t>1011299</t>
        </is>
      </c>
      <c r="B292" s="25" t="inlineStr">
        <is>
          <t>AKÜ,A-FLAT,DK,135AH,ENERGY MAX</t>
        </is>
      </c>
      <c r="C292" s="25" t="inlineStr">
        <is>
          <t>1</t>
        </is>
      </c>
      <c r="D292" s="25" t="inlineStr">
        <is>
          <t>ST-030-STD-05</t>
        </is>
      </c>
      <c r="E292" s="25" t="inlineStr">
        <is>
          <t>IA-ST-030-STD-05</t>
        </is>
      </c>
      <c r="F292" s="25" t="inlineStr">
        <is>
          <t>IA-ST-CFG-0051</t>
        </is>
      </c>
      <c r="G292" s="25" t="n">
        <v>31.6992</v>
      </c>
      <c r="H292" s="25" t="inlineStr">
        <is>
          <t>988-pack GENERATED</t>
        </is>
      </c>
    </row>
    <row r="293">
      <c r="A293" s="25" t="inlineStr">
        <is>
          <t>1011300</t>
        </is>
      </c>
      <c r="B293" s="25" t="inlineStr">
        <is>
          <t>AKÜ AGM,L3,DK,70AH,BLIZZARO AGM S&amp;S</t>
        </is>
      </c>
      <c r="C293" s="25" t="inlineStr">
        <is>
          <t>1</t>
        </is>
      </c>
      <c r="D293" s="25" t="inlineStr">
        <is>
          <t>ST-063-STD-08</t>
        </is>
      </c>
      <c r="E293" s="25" t="inlineStr">
        <is>
          <t>IA-ST-063-STD-08</t>
        </is>
      </c>
      <c r="F293" s="25" t="inlineStr">
        <is>
          <t>IA-ST-CFG-0179</t>
        </is>
      </c>
      <c r="G293" s="25" t="n">
        <v>29.9992</v>
      </c>
      <c r="H293" s="25" t="inlineStr">
        <is>
          <t>988-pack GENERATED</t>
        </is>
      </c>
    </row>
    <row r="294">
      <c r="A294" s="25" t="inlineStr">
        <is>
          <t>1011301</t>
        </is>
      </c>
      <c r="B294" s="25" t="inlineStr">
        <is>
          <t>AKÜ AGM,L5,DK,92AH,BLIZZARO AGM S&amp;S</t>
        </is>
      </c>
      <c r="C294" s="25" t="inlineStr">
        <is>
          <t>1</t>
        </is>
      </c>
      <c r="D294" s="25" t="inlineStr">
        <is>
          <t>ST-045-STD-08</t>
        </is>
      </c>
      <c r="E294" s="25" t="inlineStr">
        <is>
          <t>IA-ST-045-STD-08</t>
        </is>
      </c>
      <c r="F294" s="25" t="inlineStr">
        <is>
          <t>IA-ST-CFG-0096</t>
        </is>
      </c>
      <c r="G294" s="25" t="n">
        <v>29.7192</v>
      </c>
      <c r="H294" s="25" t="inlineStr">
        <is>
          <t>988-pack GENERATED</t>
        </is>
      </c>
    </row>
    <row r="295">
      <c r="A295" s="25" t="inlineStr">
        <is>
          <t>1011307</t>
        </is>
      </c>
      <c r="B295" s="25" t="inlineStr">
        <is>
          <t>AKÜ,A-FLAT,DK,135AH,İNCİ SUPRA,TRADING</t>
        </is>
      </c>
      <c r="C295" s="25" t="inlineStr">
        <is>
          <t>1</t>
        </is>
      </c>
      <c r="D295" s="25" t="inlineStr">
        <is>
          <t>ST-024-EUR-04</t>
        </is>
      </c>
      <c r="E295" s="25" t="inlineStr">
        <is>
          <t>IA-ST-024-EUR-04</t>
        </is>
      </c>
      <c r="F295" s="25" t="inlineStr">
        <is>
          <t>IA-ST-CFG-0039</t>
        </is>
      </c>
      <c r="G295" s="25" t="n">
        <v>30.6632</v>
      </c>
      <c r="H295" s="25" t="inlineStr">
        <is>
          <t>988-pack GENERATED</t>
        </is>
      </c>
    </row>
    <row r="296">
      <c r="A296" s="25" t="inlineStr">
        <is>
          <t>1011324</t>
        </is>
      </c>
      <c r="B296" s="25" t="inlineStr">
        <is>
          <t>AKÜ AGM,L5,DK,92AH,İNCİ AGM,Y.DIŞI</t>
        </is>
      </c>
      <c r="C296" s="25" t="inlineStr">
        <is>
          <t>1</t>
        </is>
      </c>
      <c r="D296" s="25" t="inlineStr">
        <is>
          <t>ST-045-STD-08</t>
        </is>
      </c>
      <c r="E296" s="25" t="inlineStr">
        <is>
          <t>IA-ST-045-STD-08</t>
        </is>
      </c>
      <c r="F296" s="25" t="inlineStr">
        <is>
          <t>IA-ST-CFG-0096</t>
        </is>
      </c>
      <c r="G296" s="25" t="n">
        <v>29.7192</v>
      </c>
      <c r="H296" s="25" t="inlineStr">
        <is>
          <t>988-pack GENERATED</t>
        </is>
      </c>
    </row>
    <row r="297">
      <c r="A297" s="25" t="inlineStr">
        <is>
          <t>1011330</t>
        </is>
      </c>
      <c r="B297" s="25" t="inlineStr">
        <is>
          <t>AKÜ,D31,TK100AH,IGYA,ORIGINALEDITION,FQS</t>
        </is>
      </c>
      <c r="C297" s="25" t="inlineStr">
        <is>
          <t>1</t>
        </is>
      </c>
      <c r="D297" s="25" t="inlineStr">
        <is>
          <t>ST-048-EUR-09</t>
        </is>
      </c>
      <c r="E297" s="25" t="inlineStr">
        <is>
          <t>IA-ST-048-EUR-09</t>
        </is>
      </c>
      <c r="F297" s="25" t="inlineStr">
        <is>
          <t>IA-ST-CFG-0115</t>
        </is>
      </c>
      <c r="G297" s="25" t="n">
        <v>32.8524</v>
      </c>
      <c r="H297" s="25" t="inlineStr">
        <is>
          <t>988-pack GENERATED</t>
        </is>
      </c>
    </row>
    <row r="298">
      <c r="A298" s="25" t="inlineStr">
        <is>
          <t>1011332</t>
        </is>
      </c>
      <c r="B298" s="25" t="inlineStr">
        <is>
          <t>AKÜ,D31,TK,95AH,IGYA,BLACK EDITION,FQS</t>
        </is>
      </c>
      <c r="C298" s="25" t="inlineStr">
        <is>
          <t>1</t>
        </is>
      </c>
      <c r="D298" s="25" t="inlineStr">
        <is>
          <t>ST-048-EUR-09</t>
        </is>
      </c>
      <c r="E298" s="25" t="inlineStr">
        <is>
          <t>IA-ST-048-EUR-09</t>
        </is>
      </c>
      <c r="F298" s="25" t="inlineStr">
        <is>
          <t>IA-ST-CFG-0115</t>
        </is>
      </c>
      <c r="G298" s="25" t="n">
        <v>32.8524</v>
      </c>
      <c r="H298" s="25" t="inlineStr">
        <is>
          <t>988-pack GENERATED</t>
        </is>
      </c>
    </row>
    <row r="299">
      <c r="A299" s="25" t="inlineStr">
        <is>
          <t>1011347</t>
        </is>
      </c>
      <c r="B299" s="25" t="inlineStr">
        <is>
          <t>AKÜ,B-FLAT,DK,180AH,İNCİ SUPRA SENTOR</t>
        </is>
      </c>
      <c r="C299" s="25" t="inlineStr">
        <is>
          <t>1</t>
        </is>
      </c>
      <c r="D299" s="25" t="inlineStr">
        <is>
          <t>ST-030-STD-06</t>
        </is>
      </c>
      <c r="E299" s="25" t="inlineStr">
        <is>
          <t>IA-ST-030-STD-06</t>
        </is>
      </c>
      <c r="F299" s="25" t="inlineStr">
        <is>
          <t>IA-ST-CFG-0052</t>
        </is>
      </c>
      <c r="G299" s="25" t="n">
        <v>32.3892</v>
      </c>
      <c r="H299" s="25" t="inlineStr">
        <is>
          <t>988-pack GENERATED</t>
        </is>
      </c>
    </row>
    <row r="300">
      <c r="A300" s="25" t="inlineStr">
        <is>
          <t>1011375</t>
        </is>
      </c>
      <c r="B300" s="25" t="inlineStr">
        <is>
          <t>AKÜ AGM,L5,DK,92AH,VRLA,EAS AGM S&amp;S</t>
        </is>
      </c>
      <c r="C300" s="25" t="inlineStr">
        <is>
          <t>1</t>
        </is>
      </c>
      <c r="D300" s="25" t="inlineStr">
        <is>
          <t>ST-045-STD-08</t>
        </is>
      </c>
      <c r="E300" s="25" t="inlineStr">
        <is>
          <t>IA-ST-045-STD-08</t>
        </is>
      </c>
      <c r="F300" s="25" t="inlineStr">
        <is>
          <t>IA-ST-CFG-0096</t>
        </is>
      </c>
      <c r="G300" s="25" t="n">
        <v>29.7192</v>
      </c>
      <c r="H300" s="25" t="inlineStr">
        <is>
          <t>988-pack GENERATED</t>
        </is>
      </c>
    </row>
    <row r="301">
      <c r="A301" s="25" t="inlineStr">
        <is>
          <t>1011398</t>
        </is>
      </c>
      <c r="B301" s="25" t="inlineStr">
        <is>
          <t>AKÜ,L2,DK,65,AH,IGYA,BPOWERSUPR,POLONYA</t>
        </is>
      </c>
      <c r="C301" s="25" t="inlineStr">
        <is>
          <t>1</t>
        </is>
      </c>
      <c r="D301" s="25" t="inlineStr">
        <is>
          <t>ST-057-EUR-05</t>
        </is>
      </c>
      <c r="E301" s="25" t="inlineStr">
        <is>
          <t>IA-ST-057-EUR-05</t>
        </is>
      </c>
      <c r="F301" s="25" t="inlineStr">
        <is>
          <t>IA-ST-CFG-0164</t>
        </is>
      </c>
      <c r="G301" s="25" t="n">
        <v>27.6392</v>
      </c>
      <c r="H301" s="25" t="inlineStr">
        <is>
          <t>988-pack GENERATED</t>
        </is>
      </c>
    </row>
    <row r="302">
      <c r="A302" s="29" t="inlineStr">
        <is>
          <t>1011471</t>
        </is>
      </c>
      <c r="B302" s="29" t="inlineStr">
        <is>
          <t>AKÜ,C-IGYASMF,DK,220AH,MERCEDES/SHD BUS</t>
        </is>
      </c>
      <c r="C302" s="29" t="inlineStr">
        <is>
          <t>1</t>
        </is>
      </c>
      <c r="H302" s="29" t="inlineStr">
        <is>
          <t>NO MAPPING</t>
        </is>
      </c>
    </row>
    <row r="303">
      <c r="A303" s="25" t="inlineStr">
        <is>
          <t>1011486</t>
        </is>
      </c>
      <c r="B303" s="25" t="inlineStr">
        <is>
          <t>AKÜ,L1,DK,54AH,IGYASMF,GYEUR,YBX5012-054</t>
        </is>
      </c>
      <c r="C303" s="25" t="inlineStr">
        <is>
          <t>1</t>
        </is>
      </c>
      <c r="D303" s="25" t="inlineStr">
        <is>
          <t>ST-072-EUR-04</t>
        </is>
      </c>
      <c r="E303" s="25" t="inlineStr">
        <is>
          <t>IA-ST-072-EUR-04</t>
        </is>
      </c>
      <c r="F303" s="25" t="inlineStr">
        <is>
          <t>IA-ST-CFG-0209</t>
        </is>
      </c>
      <c r="G303" s="25" t="n">
        <v>28.366</v>
      </c>
      <c r="H303" s="25" t="inlineStr">
        <is>
          <t>988-pack GENERATED</t>
        </is>
      </c>
    </row>
    <row r="304">
      <c r="A304" s="25" t="inlineStr">
        <is>
          <t>1011492</t>
        </is>
      </c>
      <c r="B304" s="25" t="inlineStr">
        <is>
          <t>AKÜ,LB4,DK85AH,IGYASMF,GYEUR,YBX5110-085</t>
        </is>
      </c>
      <c r="C304" s="25" t="inlineStr">
        <is>
          <t>1</t>
        </is>
      </c>
      <c r="D304" s="25" t="inlineStr">
        <is>
          <t>ST-042-EUR-02</t>
        </is>
      </c>
      <c r="E304" s="25" t="inlineStr">
        <is>
          <t>IA-ST-042-EUR-02</t>
        </is>
      </c>
      <c r="F304" s="25" t="inlineStr">
        <is>
          <t>IA-ST-CFG-0085</t>
        </is>
      </c>
      <c r="G304" s="25" t="n">
        <v>27.926</v>
      </c>
      <c r="H304" s="25" t="inlineStr">
        <is>
          <t>988-pack GENERATED</t>
        </is>
      </c>
    </row>
    <row r="305">
      <c r="A305" s="25" t="inlineStr">
        <is>
          <t>1011493</t>
        </is>
      </c>
      <c r="B305" s="25" t="inlineStr">
        <is>
          <t>AKÜ,B-FLAT,DK,180AH,HUGEL ACTION,SHAWKAT</t>
        </is>
      </c>
      <c r="C305" s="25" t="inlineStr">
        <is>
          <t>1</t>
        </is>
      </c>
      <c r="D305" s="25" t="inlineStr">
        <is>
          <t>ST-030-STD-06</t>
        </is>
      </c>
      <c r="E305" s="25" t="inlineStr">
        <is>
          <t>IA-ST-030-STD-06</t>
        </is>
      </c>
      <c r="F305" s="25" t="inlineStr">
        <is>
          <t>IA-ST-CFG-0052</t>
        </is>
      </c>
      <c r="G305" s="25" t="n">
        <v>32.3892</v>
      </c>
      <c r="H305" s="25" t="inlineStr">
        <is>
          <t>988-pack GENERATED</t>
        </is>
      </c>
    </row>
    <row r="306">
      <c r="A306" s="29" t="inlineStr">
        <is>
          <t>1011505</t>
        </is>
      </c>
      <c r="B306" s="29" t="inlineStr">
        <is>
          <t>AKÜ,C-IGYASMF,DK,220AH,MRCDS/SHD,AKSARAY</t>
        </is>
      </c>
      <c r="C306" s="29" t="inlineStr">
        <is>
          <t>1</t>
        </is>
      </c>
      <c r="H306" s="29" t="inlineStr">
        <is>
          <t>NO MAPPING</t>
        </is>
      </c>
    </row>
    <row r="307">
      <c r="A307" s="25" t="inlineStr">
        <is>
          <t>1011548</t>
        </is>
      </c>
      <c r="B307" s="25" t="inlineStr">
        <is>
          <t>AKÜ,D23,DK,65AH,IGYASMF,İNCİ EFB PANTERA</t>
        </is>
      </c>
      <c r="C307" s="25" t="inlineStr">
        <is>
          <t>1</t>
        </is>
      </c>
      <c r="D307" s="25" t="inlineStr">
        <is>
          <t>ST-072-STD-10</t>
        </is>
      </c>
      <c r="E307" s="25" t="inlineStr">
        <is>
          <t>IA-ST-072-STD-10</t>
        </is>
      </c>
      <c r="F307" s="25" t="inlineStr">
        <is>
          <t>IA-ST-CFG-0219</t>
        </is>
      </c>
      <c r="G307" s="25" t="n">
        <v>34.33224</v>
      </c>
      <c r="H307" s="25" t="inlineStr">
        <is>
          <t>988-pack GENERATED</t>
        </is>
      </c>
    </row>
    <row r="308">
      <c r="A308" s="25" t="inlineStr">
        <is>
          <t>1011549</t>
        </is>
      </c>
      <c r="B308" s="25" t="inlineStr">
        <is>
          <t>AKÜ,D26,DK,72AH,IGYASMF,İNCİ EFB PANTERA</t>
        </is>
      </c>
      <c r="C308" s="25" t="inlineStr">
        <is>
          <t>1</t>
        </is>
      </c>
      <c r="D308" s="25" t="inlineStr">
        <is>
          <t>ST-063-STD-04</t>
        </is>
      </c>
      <c r="E308" s="25" t="inlineStr">
        <is>
          <t>IA-ST-063-STD-04</t>
        </is>
      </c>
      <c r="F308" s="25" t="inlineStr">
        <is>
          <t>IA-ST-CFG-0175</t>
        </is>
      </c>
      <c r="G308" s="25" t="n">
        <v>34.1512</v>
      </c>
      <c r="H308" s="25" t="inlineStr">
        <is>
          <t>988-pack GENERATED</t>
        </is>
      </c>
    </row>
    <row r="309">
      <c r="A309" s="25" t="inlineStr">
        <is>
          <t>1011558</t>
        </is>
      </c>
      <c r="B309" s="25" t="inlineStr">
        <is>
          <t>AKÜLB2DK60AH,IGYSMF,EFBEDIXYEL,CANARIBAT</t>
        </is>
      </c>
      <c r="C309" s="25" t="inlineStr">
        <is>
          <t>1</t>
        </is>
      </c>
      <c r="D309" s="25" t="inlineStr">
        <is>
          <t>ST-076-EUR-03</t>
        </is>
      </c>
      <c r="E309" s="25" t="inlineStr">
        <is>
          <t>IA-ST-076-EUR-03</t>
        </is>
      </c>
      <c r="F309" s="25" t="inlineStr">
        <is>
          <t>IA-ST-CFG-0240</t>
        </is>
      </c>
      <c r="G309" s="25" t="n">
        <v>30.7272</v>
      </c>
      <c r="H309" s="25" t="inlineStr">
        <is>
          <t>988-pack GENERATED</t>
        </is>
      </c>
    </row>
    <row r="310">
      <c r="A310" s="25" t="inlineStr">
        <is>
          <t>1011559</t>
        </is>
      </c>
      <c r="B310" s="25" t="inlineStr">
        <is>
          <t>AKÜ,L2DK60AH,IGYSMF,EFBEDIXYEL,CANARIBAT</t>
        </is>
      </c>
      <c r="C310" s="25" t="inlineStr">
        <is>
          <t>1</t>
        </is>
      </c>
      <c r="D310" s="25" t="inlineStr">
        <is>
          <t>ST-076-EUR-03</t>
        </is>
      </c>
      <c r="E310" s="25" t="inlineStr">
        <is>
          <t>IA-ST-076-EUR-03</t>
        </is>
      </c>
      <c r="F310" s="25" t="inlineStr">
        <is>
          <t>IA-ST-CFG-0240</t>
        </is>
      </c>
      <c r="G310" s="25" t="n">
        <v>30.7272</v>
      </c>
      <c r="H310" s="25" t="inlineStr">
        <is>
          <t>988-pack GENERATED</t>
        </is>
      </c>
    </row>
    <row r="311">
      <c r="A311" s="25" t="inlineStr">
        <is>
          <t>1011560</t>
        </is>
      </c>
      <c r="B311" s="25" t="inlineStr">
        <is>
          <t>AKÜLB3DK65AH,IGYSMF,EFBEDIXYEL,CANARIBAT</t>
        </is>
      </c>
      <c r="C311" s="25" t="inlineStr">
        <is>
          <t>1</t>
        </is>
      </c>
      <c r="D311" s="25" t="inlineStr">
        <is>
          <t>ST-068-EUR-02</t>
        </is>
      </c>
      <c r="E311" s="25" t="inlineStr">
        <is>
          <t>IA-ST-068-EUR-02</t>
        </is>
      </c>
      <c r="F311" s="25" t="inlineStr">
        <is>
          <t>IA-ST-CFG-0199</t>
        </is>
      </c>
      <c r="G311" s="25" t="n">
        <v>29.9442</v>
      </c>
      <c r="H311" s="25" t="inlineStr">
        <is>
          <t>988-pack GENERATED</t>
        </is>
      </c>
    </row>
    <row r="312">
      <c r="A312" s="25" t="inlineStr">
        <is>
          <t>1011561</t>
        </is>
      </c>
      <c r="B312" s="25" t="inlineStr">
        <is>
          <t>AKÜ,L3DK72AH,IGYSMF,EFBEDIXYEL,CANARIBAT</t>
        </is>
      </c>
      <c r="C312" s="25" t="inlineStr">
        <is>
          <t>1</t>
        </is>
      </c>
      <c r="D312" s="25" t="inlineStr">
        <is>
          <t>ST-068-EUR-03</t>
        </is>
      </c>
      <c r="E312" s="25" t="inlineStr">
        <is>
          <t>IA-ST-068-EUR-03</t>
        </is>
      </c>
      <c r="F312" s="25" t="inlineStr">
        <is>
          <t>IA-ST-CFG-0200</t>
        </is>
      </c>
      <c r="G312" s="25" t="n">
        <v>30.0842</v>
      </c>
      <c r="H312" s="25" t="inlineStr">
        <is>
          <t>988-pack GENERATED</t>
        </is>
      </c>
    </row>
    <row r="313">
      <c r="A313" s="25" t="inlineStr">
        <is>
          <t>1011573</t>
        </is>
      </c>
      <c r="B313" s="25" t="inlineStr">
        <is>
          <t>AKÜLB2DK60AH,IGYSMF,EFBEDIXBLU,CANARIBAT</t>
        </is>
      </c>
      <c r="C313" s="25" t="inlineStr">
        <is>
          <t>1</t>
        </is>
      </c>
      <c r="D313" s="25" t="inlineStr">
        <is>
          <t>ST-076-EUR-03</t>
        </is>
      </c>
      <c r="E313" s="25" t="inlineStr">
        <is>
          <t>IA-ST-076-EUR-03</t>
        </is>
      </c>
      <c r="F313" s="25" t="inlineStr">
        <is>
          <t>IA-ST-CFG-0240</t>
        </is>
      </c>
      <c r="G313" s="25" t="n">
        <v>30.7272</v>
      </c>
      <c r="H313" s="25" t="inlineStr">
        <is>
          <t>988-pack GENERATED</t>
        </is>
      </c>
    </row>
    <row r="314">
      <c r="A314" s="25" t="inlineStr">
        <is>
          <t>1011574</t>
        </is>
      </c>
      <c r="B314" s="25" t="inlineStr">
        <is>
          <t>AKÜ,L2DK60AH,IGYSMF,EFBEDIXBLU,CANARIBAT</t>
        </is>
      </c>
      <c r="C314" s="25" t="inlineStr">
        <is>
          <t>1</t>
        </is>
      </c>
      <c r="D314" s="25" t="inlineStr">
        <is>
          <t>ST-076-EUR-03</t>
        </is>
      </c>
      <c r="E314" s="25" t="inlineStr">
        <is>
          <t>IA-ST-076-EUR-03</t>
        </is>
      </c>
      <c r="F314" s="25" t="inlineStr">
        <is>
          <t>IA-ST-CFG-0240</t>
        </is>
      </c>
      <c r="G314" s="25" t="n">
        <v>30.7272</v>
      </c>
      <c r="H314" s="25" t="inlineStr">
        <is>
          <t>988-pack GENERATED</t>
        </is>
      </c>
    </row>
    <row r="315">
      <c r="A315" s="25" t="inlineStr">
        <is>
          <t>1011575</t>
        </is>
      </c>
      <c r="B315" s="25" t="inlineStr">
        <is>
          <t>AKÜLB3DK65AH,IGYSMF,EFBEDIXBLU,CANARIBAT</t>
        </is>
      </c>
      <c r="C315" s="25" t="inlineStr">
        <is>
          <t>1</t>
        </is>
      </c>
      <c r="D315" s="25" t="inlineStr">
        <is>
          <t>ST-068-EUR-02</t>
        </is>
      </c>
      <c r="E315" s="25" t="inlineStr">
        <is>
          <t>IA-ST-068-EUR-02</t>
        </is>
      </c>
      <c r="F315" s="25" t="inlineStr">
        <is>
          <t>IA-ST-CFG-0199</t>
        </is>
      </c>
      <c r="G315" s="25" t="n">
        <v>29.9442</v>
      </c>
      <c r="H315" s="25" t="inlineStr">
        <is>
          <t>988-pack GENERATED</t>
        </is>
      </c>
    </row>
    <row r="316">
      <c r="A316" s="25" t="inlineStr">
        <is>
          <t>1011576</t>
        </is>
      </c>
      <c r="B316" s="25" t="inlineStr">
        <is>
          <t>AKÜ,L3DK72AH,IGYSMF,EFBEDIXBLU,CANARIBAT</t>
        </is>
      </c>
      <c r="C316" s="25" t="inlineStr">
        <is>
          <t>1</t>
        </is>
      </c>
      <c r="D316" s="25" t="inlineStr">
        <is>
          <t>ST-068-EUR-03</t>
        </is>
      </c>
      <c r="E316" s="25" t="inlineStr">
        <is>
          <t>IA-ST-068-EUR-03</t>
        </is>
      </c>
      <c r="F316" s="25" t="inlineStr">
        <is>
          <t>IA-ST-CFG-0200</t>
        </is>
      </c>
      <c r="G316" s="25" t="n">
        <v>30.0842</v>
      </c>
      <c r="H316" s="25" t="inlineStr">
        <is>
          <t>988-pack GENERATED</t>
        </is>
      </c>
    </row>
    <row r="317">
      <c r="A317" s="25" t="inlineStr">
        <is>
          <t>1011578</t>
        </is>
      </c>
      <c r="B317" s="25" t="inlineStr">
        <is>
          <t>AKÜ,L3,DK,70AH,AGM,EDIX BLUE,CANARIBAT</t>
        </is>
      </c>
      <c r="C317" s="25" t="inlineStr">
        <is>
          <t>1</t>
        </is>
      </c>
      <c r="D317" s="25" t="inlineStr">
        <is>
          <t>ST-068-EUR-03</t>
        </is>
      </c>
      <c r="E317" s="25" t="inlineStr">
        <is>
          <t>IA-ST-068-EUR-03</t>
        </is>
      </c>
      <c r="F317" s="25" t="inlineStr">
        <is>
          <t>IA-ST-CFG-0200</t>
        </is>
      </c>
      <c r="G317" s="25" t="n">
        <v>30.0842</v>
      </c>
      <c r="H317" s="25" t="inlineStr">
        <is>
          <t>988-pack GENERATED</t>
        </is>
      </c>
    </row>
    <row r="318">
      <c r="A318" s="25" t="inlineStr">
        <is>
          <t>1011579</t>
        </is>
      </c>
      <c r="B318" s="25" t="inlineStr">
        <is>
          <t>AKÜ,L5,DK,92AH,AGM,EDIX BLUE,CANARIBAT</t>
        </is>
      </c>
      <c r="C318" s="25" t="inlineStr">
        <is>
          <t>1</t>
        </is>
      </c>
      <c r="D318" s="25" t="inlineStr">
        <is>
          <t>ST-048-EUR-10</t>
        </is>
      </c>
      <c r="E318" s="25" t="inlineStr">
        <is>
          <t>IA-ST-048-EUR-10</t>
        </is>
      </c>
      <c r="F318" s="25" t="inlineStr">
        <is>
          <t>IA-ST-CFG-0116</t>
        </is>
      </c>
      <c r="G318" s="25" t="n">
        <v>29.7592</v>
      </c>
      <c r="H318" s="25" t="inlineStr">
        <is>
          <t>988-pack GENERATED</t>
        </is>
      </c>
    </row>
    <row r="319">
      <c r="A319" s="25" t="inlineStr">
        <is>
          <t>1011580</t>
        </is>
      </c>
      <c r="B319" s="25" t="inlineStr">
        <is>
          <t>AKÜ,LB1,DK44AH,IGYSMF,EDIXBLUE,CANARIBAT</t>
        </is>
      </c>
      <c r="C319" s="25" t="inlineStr">
        <is>
          <t>1</t>
        </is>
      </c>
      <c r="D319" s="25" t="inlineStr">
        <is>
          <t>ST-096-EUR-01</t>
        </is>
      </c>
      <c r="E319" s="25" t="inlineStr">
        <is>
          <t>IA-ST-096-EUR-01</t>
        </is>
      </c>
      <c r="F319" s="25" t="inlineStr">
        <is>
          <t>IA-ST-CFG-0264</t>
        </is>
      </c>
      <c r="G319" s="25" t="n">
        <v>30.6532</v>
      </c>
      <c r="H319" s="25" t="inlineStr">
        <is>
          <t>988-pack GENERATED</t>
        </is>
      </c>
    </row>
    <row r="320">
      <c r="A320" s="25" t="inlineStr">
        <is>
          <t>1011582</t>
        </is>
      </c>
      <c r="B320" s="25" t="inlineStr">
        <is>
          <t>AKÜ,LB3,DK75AH,IGYSMF,EDIXBLUE,CANARIBAT</t>
        </is>
      </c>
      <c r="C320" s="25" t="inlineStr">
        <is>
          <t>1</t>
        </is>
      </c>
      <c r="D320" s="25" t="inlineStr">
        <is>
          <t>ST-068-EUR-02</t>
        </is>
      </c>
      <c r="E320" s="25" t="inlineStr">
        <is>
          <t>IA-ST-068-EUR-02</t>
        </is>
      </c>
      <c r="F320" s="25" t="inlineStr">
        <is>
          <t>IA-ST-CFG-0199</t>
        </is>
      </c>
      <c r="G320" s="25" t="n">
        <v>29.9442</v>
      </c>
      <c r="H320" s="25" t="inlineStr">
        <is>
          <t>988-pack GENERATED</t>
        </is>
      </c>
    </row>
    <row r="321">
      <c r="A321" s="25" t="inlineStr">
        <is>
          <t>1011583</t>
        </is>
      </c>
      <c r="B321" s="25" t="inlineStr">
        <is>
          <t>AKÜ,L5,DK,95AH,IGYSMF,EDIXBLUE,CANARIBAT</t>
        </is>
      </c>
      <c r="C321" s="25" t="inlineStr">
        <is>
          <t>1</t>
        </is>
      </c>
      <c r="D321" s="25" t="inlineStr">
        <is>
          <t>ST-048-EUR-10</t>
        </is>
      </c>
      <c r="E321" s="25" t="inlineStr">
        <is>
          <t>IA-ST-048-EUR-10</t>
        </is>
      </c>
      <c r="F321" s="25" t="inlineStr">
        <is>
          <t>IA-ST-CFG-0116</t>
        </is>
      </c>
      <c r="G321" s="25" t="n">
        <v>29.7592</v>
      </c>
      <c r="H321" s="25" t="inlineStr">
        <is>
          <t>988-pack GENERATED</t>
        </is>
      </c>
    </row>
    <row r="322">
      <c r="A322" s="25" t="inlineStr">
        <is>
          <t>1011584</t>
        </is>
      </c>
      <c r="B322" s="25" t="inlineStr">
        <is>
          <t>AKÜ,D31,DK100AH,IGYSMF,EDIXBLU,CANARIBAT</t>
        </is>
      </c>
      <c r="C322" s="25" t="inlineStr">
        <is>
          <t>1</t>
        </is>
      </c>
      <c r="D322" s="25" t="inlineStr">
        <is>
          <t>ST-048-EUR-09</t>
        </is>
      </c>
      <c r="E322" s="25" t="inlineStr">
        <is>
          <t>IA-ST-048-EUR-09</t>
        </is>
      </c>
      <c r="F322" s="25" t="inlineStr">
        <is>
          <t>IA-ST-CFG-0115</t>
        </is>
      </c>
      <c r="G322" s="25" t="n">
        <v>32.8524</v>
      </c>
      <c r="H322" s="25" t="inlineStr">
        <is>
          <t>988-pack GENERATED</t>
        </is>
      </c>
    </row>
    <row r="323">
      <c r="A323" s="25" t="inlineStr">
        <is>
          <t>1011585</t>
        </is>
      </c>
      <c r="B323" s="25" t="inlineStr">
        <is>
          <t>AKÜ,D31,TK100AH,IGYSMF,EDIXBLU,CANARIBAT</t>
        </is>
      </c>
      <c r="C323" s="25" t="inlineStr">
        <is>
          <t>1</t>
        </is>
      </c>
      <c r="D323" s="25" t="inlineStr">
        <is>
          <t>ST-048-EUR-09</t>
        </is>
      </c>
      <c r="E323" s="25" t="inlineStr">
        <is>
          <t>IA-ST-048-EUR-09</t>
        </is>
      </c>
      <c r="F323" s="25" t="inlineStr">
        <is>
          <t>IA-ST-CFG-0115</t>
        </is>
      </c>
      <c r="G323" s="25" t="n">
        <v>32.8524</v>
      </c>
      <c r="H323" s="25" t="inlineStr">
        <is>
          <t>988-pack GENERATED</t>
        </is>
      </c>
    </row>
    <row r="324">
      <c r="A324" s="25" t="inlineStr">
        <is>
          <t>1011586</t>
        </is>
      </c>
      <c r="B324" s="25" t="inlineStr">
        <is>
          <t>AKÜ,A-IGYASMF,DK140AH,EDIXBLUE,CANARIBAT</t>
        </is>
      </c>
      <c r="C324" s="25" t="inlineStr">
        <is>
          <t>1</t>
        </is>
      </c>
      <c r="D324" s="25" t="inlineStr">
        <is>
          <t>ST-024-EUR-04</t>
        </is>
      </c>
      <c r="E324" s="25" t="inlineStr">
        <is>
          <t>IA-ST-024-EUR-04</t>
        </is>
      </c>
      <c r="F324" s="25" t="inlineStr">
        <is>
          <t>IA-ST-CFG-0039</t>
        </is>
      </c>
      <c r="G324" s="25" t="n">
        <v>30.6632</v>
      </c>
      <c r="H324" s="25" t="inlineStr">
        <is>
          <t>988-pack GENERATED</t>
        </is>
      </c>
    </row>
    <row r="325">
      <c r="A325" s="25" t="inlineStr">
        <is>
          <t>1011614</t>
        </is>
      </c>
      <c r="B325" s="25" t="inlineStr">
        <is>
          <t>AKÜ,LB3DK65AH,IGYSMF,NONAMEGYEUR7100-065</t>
        </is>
      </c>
      <c r="C325" s="25" t="inlineStr">
        <is>
          <t>1</t>
        </is>
      </c>
      <c r="D325" s="25" t="inlineStr">
        <is>
          <t>ST-051-EUR-01</t>
        </is>
      </c>
      <c r="E325" s="25" t="inlineStr">
        <is>
          <t>IA-ST-051-EUR-01</t>
        </is>
      </c>
      <c r="F325" s="25" t="inlineStr">
        <is>
          <t>IA-ST-CFG-0132</t>
        </is>
      </c>
      <c r="G325" s="25" t="n">
        <v>27.926</v>
      </c>
      <c r="H325" s="25" t="inlineStr">
        <is>
          <t>988-pack GENERATED</t>
        </is>
      </c>
    </row>
    <row r="326">
      <c r="A326" s="25" t="inlineStr">
        <is>
          <t>1011615</t>
        </is>
      </c>
      <c r="B326" s="25" t="inlineStr">
        <is>
          <t>AKÜ,LB4DK75AH,IGYSMF,NONAMEGYEUR7110-075</t>
        </is>
      </c>
      <c r="C326" s="25" t="inlineStr">
        <is>
          <t>1</t>
        </is>
      </c>
      <c r="D326" s="25" t="inlineStr">
        <is>
          <t>ST-042-EUR-02</t>
        </is>
      </c>
      <c r="E326" s="25" t="inlineStr">
        <is>
          <t>IA-ST-042-EUR-02</t>
        </is>
      </c>
      <c r="F326" s="25" t="inlineStr">
        <is>
          <t>IA-ST-CFG-0085</t>
        </is>
      </c>
      <c r="G326" s="25" t="n">
        <v>27.926</v>
      </c>
      <c r="H326" s="25" t="inlineStr">
        <is>
          <t>988-pack GENERATED</t>
        </is>
      </c>
    </row>
    <row r="327">
      <c r="A327" s="25" t="inlineStr">
        <is>
          <t>1011632</t>
        </is>
      </c>
      <c r="B327" s="25" t="inlineStr">
        <is>
          <t>AKÜ,D23,DK65AH,IGYSMF,EFB S&amp;S HUGEL,NASA</t>
        </is>
      </c>
      <c r="C327" s="25" t="inlineStr">
        <is>
          <t>1</t>
        </is>
      </c>
      <c r="D327" s="25" t="inlineStr">
        <is>
          <t>ST-072-STD-10</t>
        </is>
      </c>
      <c r="E327" s="25" t="inlineStr">
        <is>
          <t>IA-ST-072-STD-10</t>
        </is>
      </c>
      <c r="F327" s="25" t="inlineStr">
        <is>
          <t>IA-ST-CFG-0219</t>
        </is>
      </c>
      <c r="G327" s="25" t="n">
        <v>34.33224</v>
      </c>
      <c r="H327" s="25" t="inlineStr">
        <is>
          <t>988-pack GENERATED</t>
        </is>
      </c>
    </row>
    <row r="328">
      <c r="A328" s="25" t="inlineStr">
        <is>
          <t>1011637</t>
        </is>
      </c>
      <c r="B328" s="25" t="inlineStr">
        <is>
          <t>AKÜ,LB3,DK65AH,IGYASMF,YBX7100-065,GYEUR</t>
        </is>
      </c>
      <c r="C328" s="25" t="inlineStr">
        <is>
          <t>1</t>
        </is>
      </c>
      <c r="D328" s="25" t="inlineStr">
        <is>
          <t>ST-051-EUR-01</t>
        </is>
      </c>
      <c r="E328" s="25" t="inlineStr">
        <is>
          <t>IA-ST-051-EUR-01</t>
        </is>
      </c>
      <c r="F328" s="25" t="inlineStr">
        <is>
          <t>IA-ST-CFG-0132</t>
        </is>
      </c>
      <c r="G328" s="25" t="n">
        <v>27.926</v>
      </c>
      <c r="H328" s="25" t="inlineStr">
        <is>
          <t>988-pack GENERATED</t>
        </is>
      </c>
    </row>
    <row r="329">
      <c r="A329" s="25" t="inlineStr">
        <is>
          <t>1011638</t>
        </is>
      </c>
      <c r="B329" s="25" t="inlineStr">
        <is>
          <t>AKÜ,LB4,DK75AH,IGYASMF,YBX7110-075,GYEUR</t>
        </is>
      </c>
      <c r="C329" s="25" t="inlineStr">
        <is>
          <t>1</t>
        </is>
      </c>
      <c r="D329" s="25" t="inlineStr">
        <is>
          <t>ST-042-EUR-02</t>
        </is>
      </c>
      <c r="E329" s="25" t="inlineStr">
        <is>
          <t>IA-ST-042-EUR-02</t>
        </is>
      </c>
      <c r="F329" s="25" t="inlineStr">
        <is>
          <t>IA-ST-CFG-0085</t>
        </is>
      </c>
      <c r="G329" s="25" t="n">
        <v>27.926</v>
      </c>
      <c r="H329" s="25" t="inlineStr">
        <is>
          <t>988-pack GENERATED</t>
        </is>
      </c>
    </row>
    <row r="330">
      <c r="A330" s="25" t="inlineStr">
        <is>
          <t>1011661</t>
        </is>
      </c>
      <c r="B330" s="25" t="inlineStr">
        <is>
          <t>AKÜ,B-FLAT,DK,190AH,BLIZZARO TRENDLINE</t>
        </is>
      </c>
      <c r="C330" s="25" t="inlineStr">
        <is>
          <t>1</t>
        </is>
      </c>
      <c r="D330" s="25" t="inlineStr">
        <is>
          <t>ST-030-STD-06</t>
        </is>
      </c>
      <c r="E330" s="25" t="inlineStr">
        <is>
          <t>IA-ST-030-STD-06</t>
        </is>
      </c>
      <c r="F330" s="25" t="inlineStr">
        <is>
          <t>IA-ST-CFG-0052</t>
        </is>
      </c>
      <c r="G330" s="25" t="n">
        <v>32.3892</v>
      </c>
      <c r="H330" s="25" t="inlineStr">
        <is>
          <t>988-pack GENERATED</t>
        </is>
      </c>
    </row>
    <row r="331">
      <c r="A331" s="25" t="inlineStr">
        <is>
          <t>1011685</t>
        </is>
      </c>
      <c r="B331" s="25" t="inlineStr">
        <is>
          <t>AKÜ,LB3,DK,71AH,IGYASMF,Y3000,YBX3100,Yİ</t>
        </is>
      </c>
      <c r="C331" s="25" t="inlineStr">
        <is>
          <t>1</t>
        </is>
      </c>
      <c r="D331" s="25" t="inlineStr">
        <is>
          <t>ST-063-STD-11</t>
        </is>
      </c>
      <c r="E331" s="25" t="inlineStr">
        <is>
          <t>IA-ST-063-STD-11</t>
        </is>
      </c>
      <c r="F331" s="25" t="inlineStr">
        <is>
          <t>IA-ST-CFG-0182</t>
        </is>
      </c>
      <c r="G331" s="25" t="n">
        <v>29.7124</v>
      </c>
      <c r="H331" s="25" t="inlineStr">
        <is>
          <t>988-pack GENERATED</t>
        </is>
      </c>
    </row>
    <row r="332">
      <c r="A332" s="25" t="inlineStr">
        <is>
          <t>1011687</t>
        </is>
      </c>
      <c r="B332" s="25" t="inlineStr">
        <is>
          <t>AKÜ,L4,DK,80AH,IGYSMF,EFBS&amp;S,BOOSTERPREM</t>
        </is>
      </c>
      <c r="C332" s="25" t="inlineStr">
        <is>
          <t>1</t>
        </is>
      </c>
      <c r="D332" s="25" t="inlineStr">
        <is>
          <t>ST-056-EUR-03</t>
        </is>
      </c>
      <c r="E332" s="25" t="inlineStr">
        <is>
          <t>IA-ST-056-EUR-03</t>
        </is>
      </c>
      <c r="F332" s="25" t="inlineStr">
        <is>
          <t>IA-ST-CFG-0152</t>
        </is>
      </c>
      <c r="G332" s="25" t="n">
        <v>29.7432</v>
      </c>
      <c r="H332" s="25" t="inlineStr">
        <is>
          <t>988-pack GENERATED</t>
        </is>
      </c>
    </row>
    <row r="333">
      <c r="A333" s="25" t="inlineStr">
        <is>
          <t>1011689</t>
        </is>
      </c>
      <c r="B333" s="25" t="inlineStr">
        <is>
          <t>AKÜ,L5,DK,102AH,IGYA SMF,OTOPRATİK,İÇPYS</t>
        </is>
      </c>
      <c r="C333" s="25" t="inlineStr">
        <is>
          <t>1</t>
        </is>
      </c>
      <c r="D333" s="25" t="inlineStr">
        <is>
          <t>ST-045-STD-10</t>
        </is>
      </c>
      <c r="E333" s="25" t="inlineStr">
        <is>
          <t>IA-ST-045-STD-10</t>
        </is>
      </c>
      <c r="F333" s="25" t="inlineStr">
        <is>
          <t>IA-ST-CFG-0098</t>
        </is>
      </c>
      <c r="G333" s="25" t="n">
        <v>29.4324</v>
      </c>
      <c r="H333" s="25" t="inlineStr">
        <is>
          <t>988-pack GENERATED</t>
        </is>
      </c>
    </row>
    <row r="334">
      <c r="A334" s="25" t="inlineStr">
        <is>
          <t>1011738</t>
        </is>
      </c>
      <c r="B334" s="25" t="inlineStr">
        <is>
          <t>AKÜ AGM,L3,DK,70AH,İNCİ AGM,EURO,Y.DIŞI</t>
        </is>
      </c>
      <c r="C334" s="25" t="inlineStr">
        <is>
          <t>1</t>
        </is>
      </c>
      <c r="D334" s="25" t="inlineStr">
        <is>
          <t>ST-068-EUR-03</t>
        </is>
      </c>
      <c r="E334" s="25" t="inlineStr">
        <is>
          <t>IA-ST-068-EUR-03</t>
        </is>
      </c>
      <c r="F334" s="25" t="inlineStr">
        <is>
          <t>IA-ST-CFG-0200</t>
        </is>
      </c>
      <c r="G334" s="25" t="n">
        <v>30.0842</v>
      </c>
      <c r="H334" s="25" t="inlineStr">
        <is>
          <t>988-pack GENERATED</t>
        </is>
      </c>
    </row>
    <row r="335">
      <c r="A335" s="25" t="inlineStr">
        <is>
          <t>1011746</t>
        </is>
      </c>
      <c r="B335" s="25" t="inlineStr">
        <is>
          <t>AKÜ,B-FLAT,DK,190AH,SUNTECH,TÜRKMENİSTAN</t>
        </is>
      </c>
      <c r="C335" s="25" t="inlineStr">
        <is>
          <t>1</t>
        </is>
      </c>
      <c r="D335" s="25" t="inlineStr">
        <is>
          <t>ST-030-STD-06</t>
        </is>
      </c>
      <c r="E335" s="25" t="inlineStr">
        <is>
          <t>IA-ST-030-STD-06</t>
        </is>
      </c>
      <c r="F335" s="25" t="inlineStr">
        <is>
          <t>IA-ST-CFG-0052</t>
        </is>
      </c>
      <c r="G335" s="25" t="n">
        <v>32.3892</v>
      </c>
      <c r="H335" s="25" t="inlineStr">
        <is>
          <t>988-pack GENERATED</t>
        </is>
      </c>
    </row>
    <row r="336">
      <c r="A336" s="25" t="inlineStr">
        <is>
          <t>1011760</t>
        </is>
      </c>
      <c r="B336" s="25" t="inlineStr">
        <is>
          <t>AKÜ,L2,DK,65AH,IGYASMF,EFBYBX7027-065,Yİ</t>
        </is>
      </c>
      <c r="C336" s="25" t="inlineStr">
        <is>
          <t>1</t>
        </is>
      </c>
      <c r="D336" s="25" t="inlineStr">
        <is>
          <t>ST-072-STD-18</t>
        </is>
      </c>
      <c r="E336" s="25" t="inlineStr">
        <is>
          <t>IA-ST-072-STD-18</t>
        </is>
      </c>
      <c r="F336" s="25" t="inlineStr">
        <is>
          <t>IA-ST-CFG-0227</t>
        </is>
      </c>
      <c r="G336" s="25" t="n">
        <v>30.3684</v>
      </c>
      <c r="H336" s="25" t="inlineStr">
        <is>
          <t>988-pack GENERATED</t>
        </is>
      </c>
    </row>
    <row r="337">
      <c r="A337" s="25" t="inlineStr">
        <is>
          <t>1011761</t>
        </is>
      </c>
      <c r="B337" s="25" t="inlineStr">
        <is>
          <t>AKÜ,L3,DK,75AH,IGYASMF,EFBYBX7096-075,Yİ</t>
        </is>
      </c>
      <c r="C337" s="25" t="inlineStr">
        <is>
          <t>1</t>
        </is>
      </c>
      <c r="D337" s="25" t="inlineStr">
        <is>
          <t>ST-063-STD-11</t>
        </is>
      </c>
      <c r="E337" s="25" t="inlineStr">
        <is>
          <t>IA-ST-063-STD-11</t>
        </is>
      </c>
      <c r="F337" s="25" t="inlineStr">
        <is>
          <t>IA-ST-CFG-0182</t>
        </is>
      </c>
      <c r="G337" s="25" t="n">
        <v>29.7124</v>
      </c>
      <c r="H337" s="25" t="inlineStr">
        <is>
          <t>988-pack GENERATED</t>
        </is>
      </c>
    </row>
    <row r="338">
      <c r="A338" s="25" t="inlineStr">
        <is>
          <t>1011762</t>
        </is>
      </c>
      <c r="B338" s="25" t="inlineStr">
        <is>
          <t>AKÜ,L4,DK,85AH,IGYSMF,EFB YBX7115-085,Yİ</t>
        </is>
      </c>
      <c r="C338" s="25" t="inlineStr">
        <is>
          <t>1</t>
        </is>
      </c>
      <c r="D338" s="25" t="inlineStr">
        <is>
          <t>ST-054-STD-08</t>
        </is>
      </c>
      <c r="E338" s="25" t="inlineStr">
        <is>
          <t>IA-ST-054-STD-08</t>
        </is>
      </c>
      <c r="F338" s="25" t="inlineStr">
        <is>
          <t>IA-ST-CFG-0144</t>
        </is>
      </c>
      <c r="G338" s="25" t="n">
        <v>29.4684</v>
      </c>
      <c r="H338" s="25" t="inlineStr">
        <is>
          <t>988-pack GENERATED</t>
        </is>
      </c>
    </row>
    <row r="339">
      <c r="A339" s="25" t="inlineStr">
        <is>
          <t>1011763</t>
        </is>
      </c>
      <c r="B339" s="25" t="inlineStr">
        <is>
          <t>AKÜ,LB3,DK65AH,IGYSMF,EFB YBX7100-065,Yİ</t>
        </is>
      </c>
      <c r="C339" s="25" t="inlineStr">
        <is>
          <t>1</t>
        </is>
      </c>
      <c r="D339" s="25" t="inlineStr">
        <is>
          <t>ST-063-STD-10</t>
        </is>
      </c>
      <c r="E339" s="25" t="inlineStr">
        <is>
          <t>IA-ST-063-STD-10</t>
        </is>
      </c>
      <c r="F339" s="25" t="inlineStr">
        <is>
          <t>IA-ST-CFG-0181</t>
        </is>
      </c>
      <c r="G339" s="25" t="n">
        <v>29.5824</v>
      </c>
      <c r="H339" s="25" t="inlineStr">
        <is>
          <t>988-pack GENERATED</t>
        </is>
      </c>
    </row>
    <row r="340">
      <c r="A340" s="25" t="inlineStr">
        <is>
          <t>1011764</t>
        </is>
      </c>
      <c r="B340" s="25" t="inlineStr">
        <is>
          <t>AKÜ,LB4,DK75AH,IGYSMF,EFB YBX7110-075,Yİ</t>
        </is>
      </c>
      <c r="C340" s="25" t="inlineStr">
        <is>
          <t>1</t>
        </is>
      </c>
      <c r="D340" s="25" t="inlineStr">
        <is>
          <t>ST-054-STD-08</t>
        </is>
      </c>
      <c r="E340" s="25" t="inlineStr">
        <is>
          <t>IA-ST-054-STD-08</t>
        </is>
      </c>
      <c r="F340" s="25" t="inlineStr">
        <is>
          <t>IA-ST-CFG-0144</t>
        </is>
      </c>
      <c r="G340" s="25" t="n">
        <v>29.4684</v>
      </c>
      <c r="H340" s="25" t="inlineStr">
        <is>
          <t>988-pack GENERATED</t>
        </is>
      </c>
    </row>
    <row r="341">
      <c r="A341" s="25" t="inlineStr">
        <is>
          <t>1011785</t>
        </is>
      </c>
      <c r="B341" s="25" t="inlineStr">
        <is>
          <t>AKÜ,D23,DK,60AH,IGYA SMF,HUGEL ACTN,NASA</t>
        </is>
      </c>
      <c r="C341" s="25" t="inlineStr">
        <is>
          <t>1</t>
        </is>
      </c>
      <c r="D341" s="25" t="inlineStr">
        <is>
          <t>ST-072-STD-10</t>
        </is>
      </c>
      <c r="E341" s="25" t="inlineStr">
        <is>
          <t>IA-ST-072-STD-10</t>
        </is>
      </c>
      <c r="F341" s="25" t="inlineStr">
        <is>
          <t>IA-ST-CFG-0219</t>
        </is>
      </c>
      <c r="G341" s="25" t="n">
        <v>34.33224</v>
      </c>
      <c r="H341" s="25" t="inlineStr">
        <is>
          <t>988-pack GENERATED</t>
        </is>
      </c>
    </row>
    <row r="342">
      <c r="A342" s="25" t="inlineStr">
        <is>
          <t>1011786</t>
        </is>
      </c>
      <c r="B342" s="25" t="inlineStr">
        <is>
          <t>AKÜ,D23,DK,50AH,IGYASMF,İNCİ FORM TAURUS</t>
        </is>
      </c>
      <c r="C342" s="25" t="inlineStr">
        <is>
          <t>1</t>
        </is>
      </c>
      <c r="D342" s="25" t="inlineStr">
        <is>
          <t>ST-072-STD-10</t>
        </is>
      </c>
      <c r="E342" s="25" t="inlineStr">
        <is>
          <t>IA-ST-072-STD-10</t>
        </is>
      </c>
      <c r="F342" s="25" t="inlineStr">
        <is>
          <t>IA-ST-CFG-0219</t>
        </is>
      </c>
      <c r="G342" s="25" t="n">
        <v>34.33224</v>
      </c>
      <c r="H342" s="25" t="inlineStr">
        <is>
          <t>988-pack GENERATED</t>
        </is>
      </c>
    </row>
    <row r="343">
      <c r="A343" s="25" t="inlineStr">
        <is>
          <t>1011787</t>
        </is>
      </c>
      <c r="B343" s="25" t="inlineStr">
        <is>
          <t>AKÜ,D23,DK,60AH,IGYA SMF,İNCİ FORMTAURUS</t>
        </is>
      </c>
      <c r="C343" s="25" t="inlineStr">
        <is>
          <t>1</t>
        </is>
      </c>
      <c r="D343" s="25" t="inlineStr">
        <is>
          <t>ST-072-STD-10</t>
        </is>
      </c>
      <c r="E343" s="25" t="inlineStr">
        <is>
          <t>IA-ST-072-STD-10</t>
        </is>
      </c>
      <c r="F343" s="25" t="inlineStr">
        <is>
          <t>IA-ST-CFG-0219</t>
        </is>
      </c>
      <c r="G343" s="25" t="n">
        <v>34.33224</v>
      </c>
      <c r="H343" s="25" t="inlineStr">
        <is>
          <t>988-pack GENERATED</t>
        </is>
      </c>
    </row>
    <row r="344">
      <c r="A344" s="25" t="inlineStr">
        <is>
          <t>1011788</t>
        </is>
      </c>
      <c r="B344" s="25" t="inlineStr">
        <is>
          <t>AKÜ D23,DK,50AH,IGYASMF,BLIZ.SILV,JANENE</t>
        </is>
      </c>
      <c r="C344" s="25" t="inlineStr">
        <is>
          <t>1</t>
        </is>
      </c>
      <c r="D344" s="25" t="inlineStr">
        <is>
          <t>ST-072-STD-10</t>
        </is>
      </c>
      <c r="E344" s="25" t="inlineStr">
        <is>
          <t>IA-ST-072-STD-10</t>
        </is>
      </c>
      <c r="F344" s="25" t="inlineStr">
        <is>
          <t>IA-ST-CFG-0219</t>
        </is>
      </c>
      <c r="G344" s="25" t="n">
        <v>34.33224</v>
      </c>
      <c r="H344" s="25" t="inlineStr">
        <is>
          <t>988-pack GENERATED</t>
        </is>
      </c>
    </row>
    <row r="345">
      <c r="A345" s="25" t="inlineStr">
        <is>
          <t>1011790</t>
        </is>
      </c>
      <c r="B345" s="25" t="inlineStr">
        <is>
          <t>AKÜ,D23,DK,60AH,IGYASMF,BLIZZARO SILVERL</t>
        </is>
      </c>
      <c r="C345" s="25" t="inlineStr">
        <is>
          <t>1</t>
        </is>
      </c>
      <c r="D345" s="25" t="inlineStr">
        <is>
          <t>ST-072-STD-10</t>
        </is>
      </c>
      <c r="E345" s="25" t="inlineStr">
        <is>
          <t>IA-ST-072-STD-10</t>
        </is>
      </c>
      <c r="F345" s="25" t="inlineStr">
        <is>
          <t>IA-ST-CFG-0219</t>
        </is>
      </c>
      <c r="G345" s="25" t="n">
        <v>34.33224</v>
      </c>
      <c r="H345" s="25" t="inlineStr">
        <is>
          <t>988-pack GENERATED</t>
        </is>
      </c>
    </row>
    <row r="346">
      <c r="A346" s="25" t="inlineStr">
        <is>
          <t>1011791</t>
        </is>
      </c>
      <c r="B346" s="25" t="inlineStr">
        <is>
          <t>AKÜ,D23,TK,60AH,IGYSMF,BLIZZARO SILVERLN</t>
        </is>
      </c>
      <c r="C346" s="25" t="inlineStr">
        <is>
          <t>1</t>
        </is>
      </c>
      <c r="D346" s="25" t="inlineStr">
        <is>
          <t>ST-072-STD-10</t>
        </is>
      </c>
      <c r="E346" s="25" t="inlineStr">
        <is>
          <t>IA-ST-072-STD-10</t>
        </is>
      </c>
      <c r="F346" s="25" t="inlineStr">
        <is>
          <t>IA-ST-CFG-0219</t>
        </is>
      </c>
      <c r="G346" s="25" t="n">
        <v>34.33224</v>
      </c>
      <c r="H346" s="25" t="inlineStr">
        <is>
          <t>988-pack GENERATED</t>
        </is>
      </c>
    </row>
    <row r="347">
      <c r="A347" s="25" t="inlineStr">
        <is>
          <t>1011792</t>
        </is>
      </c>
      <c r="B347" s="25" t="inlineStr">
        <is>
          <t>AKÜ,D23,60AH,IGYSMF,BLIZZ.SILVERLN,MISIR</t>
        </is>
      </c>
      <c r="C347" s="25" t="inlineStr">
        <is>
          <t>1</t>
        </is>
      </c>
      <c r="D347" s="25" t="inlineStr">
        <is>
          <t>ST-072-STD-10</t>
        </is>
      </c>
      <c r="E347" s="25" t="inlineStr">
        <is>
          <t>IA-ST-072-STD-10</t>
        </is>
      </c>
      <c r="F347" s="25" t="inlineStr">
        <is>
          <t>IA-ST-CFG-0219</t>
        </is>
      </c>
      <c r="G347" s="25" t="n">
        <v>34.33224</v>
      </c>
      <c r="H347" s="25" t="inlineStr">
        <is>
          <t>988-pack GENERATED</t>
        </is>
      </c>
    </row>
    <row r="348">
      <c r="A348" s="25" t="inlineStr">
        <is>
          <t>1011795</t>
        </is>
      </c>
      <c r="B348" s="25" t="inlineStr">
        <is>
          <t>AKÜ,D23,DK,68AH,IGYA SMF,İNCİ FORM TAURS</t>
        </is>
      </c>
      <c r="C348" s="25" t="inlineStr">
        <is>
          <t>1</t>
        </is>
      </c>
      <c r="D348" s="25" t="inlineStr">
        <is>
          <t>ST-072-STD-10</t>
        </is>
      </c>
      <c r="E348" s="25" t="inlineStr">
        <is>
          <t>IA-ST-072-STD-10</t>
        </is>
      </c>
      <c r="F348" s="25" t="inlineStr">
        <is>
          <t>IA-ST-CFG-0219</t>
        </is>
      </c>
      <c r="G348" s="25" t="n">
        <v>34.33224</v>
      </c>
      <c r="H348" s="25" t="inlineStr">
        <is>
          <t>988-pack GENERATED</t>
        </is>
      </c>
    </row>
    <row r="349">
      <c r="A349" s="25" t="inlineStr">
        <is>
          <t>1011798</t>
        </is>
      </c>
      <c r="B349" s="25" t="inlineStr">
        <is>
          <t>AKÜ,NS60,TK,45AH,IGYASMF,İNCİTAURUS,İNCE</t>
        </is>
      </c>
      <c r="C349" s="25" t="inlineStr">
        <is>
          <t>1</t>
        </is>
      </c>
      <c r="D349" s="25" t="inlineStr">
        <is>
          <t>ST-096-STD-03</t>
        </is>
      </c>
      <c r="E349" s="25" t="inlineStr">
        <is>
          <t>IA-ST-096-STD-03</t>
        </is>
      </c>
      <c r="F349" s="25" t="inlineStr">
        <is>
          <t>IA-ST-CFG-0272</t>
        </is>
      </c>
      <c r="G349" s="25" t="n">
        <v>35.3172</v>
      </c>
      <c r="H349" s="25" t="inlineStr">
        <is>
          <t>988-pack GENERATED</t>
        </is>
      </c>
    </row>
    <row r="350">
      <c r="A350" s="25" t="inlineStr">
        <is>
          <t>1011799</t>
        </is>
      </c>
      <c r="B350" s="25" t="inlineStr">
        <is>
          <t>AKÜ,NS60,TK,45AH,IGYASMF,BLIZSILVER,İNCE</t>
        </is>
      </c>
      <c r="C350" s="25" t="inlineStr">
        <is>
          <t>1</t>
        </is>
      </c>
      <c r="D350" s="25" t="inlineStr">
        <is>
          <t>ST-096-STD-03</t>
        </is>
      </c>
      <c r="E350" s="25" t="inlineStr">
        <is>
          <t>IA-ST-096-STD-03</t>
        </is>
      </c>
      <c r="F350" s="25" t="inlineStr">
        <is>
          <t>IA-ST-CFG-0272</t>
        </is>
      </c>
      <c r="G350" s="25" t="n">
        <v>35.3172</v>
      </c>
      <c r="H350" s="25" t="inlineStr">
        <is>
          <t>988-pack GENERATED</t>
        </is>
      </c>
    </row>
    <row r="351">
      <c r="A351" s="25" t="inlineStr">
        <is>
          <t>1011801</t>
        </is>
      </c>
      <c r="B351" s="25" t="inlineStr">
        <is>
          <t>AKÜ,NS60,DK,45AH,IGYASMF,HUGEL,İNCE,NASA</t>
        </is>
      </c>
      <c r="C351" s="25" t="inlineStr">
        <is>
          <t>1</t>
        </is>
      </c>
      <c r="D351" s="25" t="inlineStr">
        <is>
          <t>ST-096-STD-03</t>
        </is>
      </c>
      <c r="E351" s="25" t="inlineStr">
        <is>
          <t>IA-ST-096-STD-03</t>
        </is>
      </c>
      <c r="F351" s="25" t="inlineStr">
        <is>
          <t>IA-ST-CFG-0272</t>
        </is>
      </c>
      <c r="G351" s="25" t="n">
        <v>35.3172</v>
      </c>
      <c r="H351" s="25" t="inlineStr">
        <is>
          <t>988-pack GENERATED</t>
        </is>
      </c>
    </row>
    <row r="352">
      <c r="A352" s="25" t="inlineStr">
        <is>
          <t>1011805</t>
        </is>
      </c>
      <c r="B352" s="25" t="inlineStr">
        <is>
          <t>AKÜ,NS60,DK,45AH,IGYASMF,HUGELULTRA,ISBC</t>
        </is>
      </c>
      <c r="C352" s="25" t="inlineStr">
        <is>
          <t>1</t>
        </is>
      </c>
      <c r="D352" s="25" t="inlineStr">
        <is>
          <t>ST-096-STD-03</t>
        </is>
      </c>
      <c r="E352" s="25" t="inlineStr">
        <is>
          <t>IA-ST-096-STD-03</t>
        </is>
      </c>
      <c r="F352" s="25" t="inlineStr">
        <is>
          <t>IA-ST-CFG-0272</t>
        </is>
      </c>
      <c r="G352" s="25" t="n">
        <v>35.3172</v>
      </c>
      <c r="H352" s="25" t="inlineStr">
        <is>
          <t>988-pack GENERATED</t>
        </is>
      </c>
    </row>
    <row r="353">
      <c r="A353" s="25" t="inlineStr">
        <is>
          <t>1011806</t>
        </is>
      </c>
      <c r="B353" s="25" t="inlineStr">
        <is>
          <t>AKÜ,NS60,DK,45AH,IGYASMF,HUGELULTRA,İNCE</t>
        </is>
      </c>
      <c r="C353" s="25" t="inlineStr">
        <is>
          <t>1</t>
        </is>
      </c>
      <c r="D353" s="25" t="inlineStr">
        <is>
          <t>ST-096-STD-03</t>
        </is>
      </c>
      <c r="E353" s="25" t="inlineStr">
        <is>
          <t>IA-ST-096-STD-03</t>
        </is>
      </c>
      <c r="F353" s="25" t="inlineStr">
        <is>
          <t>IA-ST-CFG-0272</t>
        </is>
      </c>
      <c r="G353" s="25" t="n">
        <v>35.3172</v>
      </c>
      <c r="H353" s="25" t="inlineStr">
        <is>
          <t>988-pack GENERATED</t>
        </is>
      </c>
    </row>
    <row r="354">
      <c r="A354" s="25" t="inlineStr">
        <is>
          <t>1011808</t>
        </is>
      </c>
      <c r="B354" s="25" t="inlineStr">
        <is>
          <t>AKÜ,NS60,DK,45AH,IGYASMF,HUGELULTRNACITA</t>
        </is>
      </c>
      <c r="C354" s="25" t="inlineStr">
        <is>
          <t>1</t>
        </is>
      </c>
      <c r="D354" s="25" t="inlineStr">
        <is>
          <t>ST-096-STD-03</t>
        </is>
      </c>
      <c r="E354" s="25" t="inlineStr">
        <is>
          <t>IA-ST-096-STD-03</t>
        </is>
      </c>
      <c r="F354" s="25" t="inlineStr">
        <is>
          <t>IA-ST-CFG-0272</t>
        </is>
      </c>
      <c r="G354" s="25" t="n">
        <v>35.3172</v>
      </c>
      <c r="H354" s="25" t="inlineStr">
        <is>
          <t>988-pack GENERATED</t>
        </is>
      </c>
    </row>
    <row r="355">
      <c r="A355" s="25" t="inlineStr">
        <is>
          <t>1011810</t>
        </is>
      </c>
      <c r="B355" s="25" t="inlineStr">
        <is>
          <t>AKÜ,NS60,DK,45AH,IGYASMF,BLIZ,İNCE,MISIR</t>
        </is>
      </c>
      <c r="C355" s="25" t="inlineStr">
        <is>
          <t>1</t>
        </is>
      </c>
      <c r="D355" s="25" t="inlineStr">
        <is>
          <t>ST-096-STD-03</t>
        </is>
      </c>
      <c r="E355" s="25" t="inlineStr">
        <is>
          <t>IA-ST-096-STD-03</t>
        </is>
      </c>
      <c r="F355" s="25" t="inlineStr">
        <is>
          <t>IA-ST-CFG-0272</t>
        </is>
      </c>
      <c r="G355" s="25" t="n">
        <v>35.3172</v>
      </c>
      <c r="H355" s="25" t="inlineStr">
        <is>
          <t>988-pack GENERATED</t>
        </is>
      </c>
    </row>
    <row r="356">
      <c r="A356" s="25" t="inlineStr">
        <is>
          <t>1011811</t>
        </is>
      </c>
      <c r="B356" s="25" t="inlineStr">
        <is>
          <t>AKÜ,NS60,DK45AH,IGYASFM,HUGEL,İNCENACITA</t>
        </is>
      </c>
      <c r="C356" s="25" t="inlineStr">
        <is>
          <t>1</t>
        </is>
      </c>
      <c r="D356" s="25" t="inlineStr">
        <is>
          <t>ST-096-STD-03</t>
        </is>
      </c>
      <c r="E356" s="25" t="inlineStr">
        <is>
          <t>IA-ST-096-STD-03</t>
        </is>
      </c>
      <c r="F356" s="25" t="inlineStr">
        <is>
          <t>IA-ST-CFG-0272</t>
        </is>
      </c>
      <c r="G356" s="25" t="n">
        <v>35.3172</v>
      </c>
      <c r="H356" s="25" t="inlineStr">
        <is>
          <t>988-pack GENERATED</t>
        </is>
      </c>
    </row>
    <row r="357">
      <c r="A357" s="25" t="inlineStr">
        <is>
          <t>1011812</t>
        </is>
      </c>
      <c r="B357" s="25" t="inlineStr">
        <is>
          <t>AKÜ,NS60,DK45AH,IGYASMF,BLIZSILVR,MISIR</t>
        </is>
      </c>
      <c r="C357" s="25" t="inlineStr">
        <is>
          <t>1</t>
        </is>
      </c>
      <c r="D357" s="25" t="inlineStr">
        <is>
          <t>ST-096-STD-03</t>
        </is>
      </c>
      <c r="E357" s="25" t="inlineStr">
        <is>
          <t>IA-ST-096-STD-03</t>
        </is>
      </c>
      <c r="F357" s="25" t="inlineStr">
        <is>
          <t>IA-ST-CFG-0272</t>
        </is>
      </c>
      <c r="G357" s="25" t="n">
        <v>35.3172</v>
      </c>
      <c r="H357" s="25" t="inlineStr">
        <is>
          <t>988-pack GENERATED</t>
        </is>
      </c>
    </row>
    <row r="358">
      <c r="A358" s="25" t="inlineStr">
        <is>
          <t>1011813</t>
        </is>
      </c>
      <c r="B358" s="25" t="inlineStr">
        <is>
          <t>AKÜ,NS60,DK45AH,IGYSMF,EAS,İNCEKOLİATWAN</t>
        </is>
      </c>
      <c r="C358" s="25" t="inlineStr">
        <is>
          <t>1</t>
        </is>
      </c>
      <c r="D358" s="25" t="inlineStr">
        <is>
          <t>ST-087-STD-05</t>
        </is>
      </c>
      <c r="E358" s="25" t="inlineStr">
        <is>
          <t>IA-ST-087-STD-05</t>
        </is>
      </c>
      <c r="F358" s="25" t="inlineStr">
        <is>
          <t>IA-ST-CFG-0250</t>
        </is>
      </c>
      <c r="G358" s="25" t="n">
        <v>49.6589</v>
      </c>
      <c r="H358" s="25" t="inlineStr">
        <is>
          <t>988-pack GENERATED</t>
        </is>
      </c>
    </row>
    <row r="359">
      <c r="A359" s="25" t="inlineStr">
        <is>
          <t>1011814</t>
        </is>
      </c>
      <c r="B359" s="25" t="inlineStr">
        <is>
          <t>AKÜ,NS60,DK,45AH,IGYA SMF,İNCİ,EEC MISIR</t>
        </is>
      </c>
      <c r="C359" s="25" t="inlineStr">
        <is>
          <t>1</t>
        </is>
      </c>
      <c r="D359" s="25" t="inlineStr">
        <is>
          <t>ST-096-STD-03</t>
        </is>
      </c>
      <c r="E359" s="25" t="inlineStr">
        <is>
          <t>IA-ST-096-STD-03</t>
        </is>
      </c>
      <c r="F359" s="25" t="inlineStr">
        <is>
          <t>IA-ST-CFG-0272</t>
        </is>
      </c>
      <c r="G359" s="25" t="n">
        <v>35.3172</v>
      </c>
      <c r="H359" s="25" t="inlineStr">
        <is>
          <t>988-pack GENERATED</t>
        </is>
      </c>
    </row>
    <row r="360">
      <c r="A360" s="25" t="inlineStr">
        <is>
          <t>1011815</t>
        </is>
      </c>
      <c r="B360" s="25" t="inlineStr">
        <is>
          <t>AKÜ,NS60,DK,55AH,IGYA SMF,İNCİ TAURUS</t>
        </is>
      </c>
      <c r="C360" s="25" t="inlineStr">
        <is>
          <t>1</t>
        </is>
      </c>
      <c r="D360" s="25" t="inlineStr">
        <is>
          <t>ST-096-STD-03</t>
        </is>
      </c>
      <c r="E360" s="25" t="inlineStr">
        <is>
          <t>IA-ST-096-STD-03</t>
        </is>
      </c>
      <c r="F360" s="25" t="inlineStr">
        <is>
          <t>IA-ST-CFG-0272</t>
        </is>
      </c>
      <c r="G360" s="25" t="n">
        <v>35.3172</v>
      </c>
      <c r="H360" s="25" t="inlineStr">
        <is>
          <t>988-pack GENERATED</t>
        </is>
      </c>
    </row>
    <row r="361">
      <c r="A361" s="25" t="inlineStr">
        <is>
          <t>1011816</t>
        </is>
      </c>
      <c r="B361" s="25" t="inlineStr">
        <is>
          <t>AKÜ,NS60,DK,45AH,IGYASMF,İNCİTAURUS,İNCE</t>
        </is>
      </c>
      <c r="C361" s="25" t="inlineStr">
        <is>
          <t>1</t>
        </is>
      </c>
      <c r="D361" s="25" t="inlineStr">
        <is>
          <t>ST-096-STD-03</t>
        </is>
      </c>
      <c r="E361" s="25" t="inlineStr">
        <is>
          <t>IA-ST-096-STD-03</t>
        </is>
      </c>
      <c r="F361" s="25" t="inlineStr">
        <is>
          <t>IA-ST-CFG-0272</t>
        </is>
      </c>
      <c r="G361" s="25" t="n">
        <v>35.3172</v>
      </c>
      <c r="H361" s="25" t="inlineStr">
        <is>
          <t>988-pack GENERATED</t>
        </is>
      </c>
    </row>
    <row r="362">
      <c r="A362" s="25" t="inlineStr">
        <is>
          <t>1011817</t>
        </is>
      </c>
      <c r="B362" s="25" t="inlineStr">
        <is>
          <t>AKÜ,NS60,DK,45AH,IGYASMF,BLIZ,İNCEJANENE</t>
        </is>
      </c>
      <c r="C362" s="25" t="inlineStr">
        <is>
          <t>1</t>
        </is>
      </c>
      <c r="D362" s="25" t="inlineStr">
        <is>
          <t>ST-096-STD-03</t>
        </is>
      </c>
      <c r="E362" s="25" t="inlineStr">
        <is>
          <t>IA-ST-096-STD-03</t>
        </is>
      </c>
      <c r="F362" s="25" t="inlineStr">
        <is>
          <t>IA-ST-CFG-0272</t>
        </is>
      </c>
      <c r="G362" s="25" t="n">
        <v>35.3172</v>
      </c>
      <c r="H362" s="25" t="inlineStr">
        <is>
          <t>988-pack GENERATED</t>
        </is>
      </c>
    </row>
    <row r="363">
      <c r="A363" s="25" t="inlineStr">
        <is>
          <t>1011827</t>
        </is>
      </c>
      <c r="B363" s="25" t="inlineStr">
        <is>
          <t>AKÜ,NS40,DK,35AH,IGYASMF,HUGEL,İNCE,NASA</t>
        </is>
      </c>
      <c r="C363" s="25" t="inlineStr">
        <is>
          <t>1</t>
        </is>
      </c>
      <c r="D363" s="25" t="inlineStr">
        <is>
          <t>ST-120-STD-01</t>
        </is>
      </c>
      <c r="E363" s="25" t="inlineStr">
        <is>
          <t>IA-ST-120-STD-01</t>
        </is>
      </c>
      <c r="F363" s="25" t="inlineStr">
        <is>
          <t>IA-ST-CFG-0284</t>
        </is>
      </c>
      <c r="G363" s="25" t="n">
        <v>35.3676</v>
      </c>
      <c r="H363" s="25" t="inlineStr">
        <is>
          <t>988-pack GENERATED</t>
        </is>
      </c>
    </row>
    <row r="364">
      <c r="A364" s="25" t="inlineStr">
        <is>
          <t>1011828</t>
        </is>
      </c>
      <c r="B364" s="25" t="inlineStr">
        <is>
          <t>AKÜ,NS40,DK,35AH,IGYASMF,BLIZ,İNCE,MISIR</t>
        </is>
      </c>
      <c r="C364" s="25" t="inlineStr">
        <is>
          <t>1</t>
        </is>
      </c>
      <c r="D364" s="25" t="inlineStr">
        <is>
          <t>ST-120-STD-01</t>
        </is>
      </c>
      <c r="E364" s="25" t="inlineStr">
        <is>
          <t>IA-ST-120-STD-01</t>
        </is>
      </c>
      <c r="F364" s="25" t="inlineStr">
        <is>
          <t>IA-ST-CFG-0284</t>
        </is>
      </c>
      <c r="G364" s="25" t="n">
        <v>35.3676</v>
      </c>
      <c r="H364" s="25" t="inlineStr">
        <is>
          <t>988-pack GENERATED</t>
        </is>
      </c>
    </row>
    <row r="365">
      <c r="A365" s="25" t="inlineStr">
        <is>
          <t>1011829</t>
        </is>
      </c>
      <c r="B365" s="25" t="inlineStr">
        <is>
          <t>AKÜ,NS40,DK,35AH,IGYSMF,HUGEL,İNCENACITA</t>
        </is>
      </c>
      <c r="C365" s="25" t="inlineStr">
        <is>
          <t>1</t>
        </is>
      </c>
      <c r="D365" s="25" t="inlineStr">
        <is>
          <t>ST-120-STD-01</t>
        </is>
      </c>
      <c r="E365" s="25" t="inlineStr">
        <is>
          <t>IA-ST-120-STD-01</t>
        </is>
      </c>
      <c r="F365" s="25" t="inlineStr">
        <is>
          <t>IA-ST-CFG-0284</t>
        </is>
      </c>
      <c r="G365" s="25" t="n">
        <v>35.3676</v>
      </c>
      <c r="H365" s="25" t="inlineStr">
        <is>
          <t>988-pack GENERATED</t>
        </is>
      </c>
    </row>
    <row r="366">
      <c r="A366" s="25" t="inlineStr">
        <is>
          <t>1011830</t>
        </is>
      </c>
      <c r="B366" s="25" t="inlineStr">
        <is>
          <t>AKÜ,NS40,DK,35AH,IGYA SMF,EAS,İNCE,ATWAN</t>
        </is>
      </c>
      <c r="C366" s="25" t="inlineStr">
        <is>
          <t>1</t>
        </is>
      </c>
      <c r="D366" s="25" t="inlineStr">
        <is>
          <t>ST-105-STD-01</t>
        </is>
      </c>
      <c r="E366" s="25" t="inlineStr">
        <is>
          <t>IA-ST-105-STD-01</t>
        </is>
      </c>
      <c r="F366" s="25" t="inlineStr">
        <is>
          <t>IA-ST-CFG-0282</t>
        </is>
      </c>
      <c r="G366" s="25" t="n">
        <v>54.97265</v>
      </c>
      <c r="H366" s="25" t="inlineStr">
        <is>
          <t>988-pack GENERATED</t>
        </is>
      </c>
    </row>
    <row r="367">
      <c r="A367" s="25" t="inlineStr">
        <is>
          <t>1011831</t>
        </is>
      </c>
      <c r="B367" s="25" t="inlineStr">
        <is>
          <t>AKÜ,NS40,DK,35AH,IGYSMF,İNCİTAU,İNCE,EEC</t>
        </is>
      </c>
      <c r="C367" s="25" t="inlineStr">
        <is>
          <t>1</t>
        </is>
      </c>
      <c r="D367" s="25" t="inlineStr">
        <is>
          <t>ST-120-STD-01</t>
        </is>
      </c>
      <c r="E367" s="25" t="inlineStr">
        <is>
          <t>IA-ST-120-STD-01</t>
        </is>
      </c>
      <c r="F367" s="25" t="inlineStr">
        <is>
          <t>IA-ST-CFG-0284</t>
        </is>
      </c>
      <c r="G367" s="25" t="n">
        <v>35.3676</v>
      </c>
      <c r="H367" s="25" t="inlineStr">
        <is>
          <t>988-pack GENERATED</t>
        </is>
      </c>
    </row>
    <row r="368">
      <c r="A368" s="25" t="inlineStr">
        <is>
          <t>1011832</t>
        </is>
      </c>
      <c r="B368" s="25" t="inlineStr">
        <is>
          <t>AKÜ,NS40,DK,42AH,IGYASMF,İNCİTAURUS,İNCE</t>
        </is>
      </c>
      <c r="C368" s="25" t="inlineStr">
        <is>
          <t>1</t>
        </is>
      </c>
      <c r="D368" s="25" t="inlineStr">
        <is>
          <t>ST-120-STD-01</t>
        </is>
      </c>
      <c r="E368" s="25" t="inlineStr">
        <is>
          <t>IA-ST-120-STD-01</t>
        </is>
      </c>
      <c r="F368" s="25" t="inlineStr">
        <is>
          <t>IA-ST-CFG-0284</t>
        </is>
      </c>
      <c r="G368" s="25" t="n">
        <v>35.3676</v>
      </c>
      <c r="H368" s="25" t="inlineStr">
        <is>
          <t>988-pack GENERATED</t>
        </is>
      </c>
    </row>
    <row r="369">
      <c r="A369" s="25" t="inlineStr">
        <is>
          <t>1011834</t>
        </is>
      </c>
      <c r="B369" s="25" t="inlineStr">
        <is>
          <t>AKÜ,NS40,DK,42AH,IGYSMF,BLIZ,İNCE,JANENE</t>
        </is>
      </c>
      <c r="C369" s="25" t="inlineStr">
        <is>
          <t>1</t>
        </is>
      </c>
      <c r="D369" s="25" t="inlineStr">
        <is>
          <t>ST-120-STD-01</t>
        </is>
      </c>
      <c r="E369" s="25" t="inlineStr">
        <is>
          <t>IA-ST-120-STD-01</t>
        </is>
      </c>
      <c r="F369" s="25" t="inlineStr">
        <is>
          <t>IA-ST-CFG-0284</t>
        </is>
      </c>
      <c r="G369" s="25" t="n">
        <v>35.3676</v>
      </c>
      <c r="H369" s="25" t="inlineStr">
        <is>
          <t>988-pack GENERATED</t>
        </is>
      </c>
    </row>
    <row r="370">
      <c r="A370" s="25" t="inlineStr">
        <is>
          <t>1011835</t>
        </is>
      </c>
      <c r="B370" s="25" t="inlineStr">
        <is>
          <t>AKÜ,NS40,DK,25AH,IGYA SMF,EAS,İNCE,ATWAN</t>
        </is>
      </c>
      <c r="C370" s="25" t="inlineStr">
        <is>
          <t>1</t>
        </is>
      </c>
      <c r="D370" s="25" t="inlineStr">
        <is>
          <t>ST-120-STD-01</t>
        </is>
      </c>
      <c r="E370" s="25" t="inlineStr">
        <is>
          <t>IA-ST-120-STD-01</t>
        </is>
      </c>
      <c r="F370" s="25" t="inlineStr">
        <is>
          <t>IA-ST-CFG-0284</t>
        </is>
      </c>
      <c r="G370" s="25" t="n">
        <v>35.3676</v>
      </c>
      <c r="H370" s="25" t="inlineStr">
        <is>
          <t>988-pack GENERATED</t>
        </is>
      </c>
    </row>
    <row r="371">
      <c r="A371" s="25" t="inlineStr">
        <is>
          <t>1011836</t>
        </is>
      </c>
      <c r="B371" s="25" t="inlineStr">
        <is>
          <t>AKÜ,NS40,DK,25AH,IGYSMF,HUGEL,İNCENACITA</t>
        </is>
      </c>
      <c r="C371" s="25" t="inlineStr">
        <is>
          <t>1</t>
        </is>
      </c>
      <c r="D371" s="25" t="inlineStr">
        <is>
          <t>ST-120-STD-01</t>
        </is>
      </c>
      <c r="E371" s="25" t="inlineStr">
        <is>
          <t>IA-ST-120-STD-01</t>
        </is>
      </c>
      <c r="F371" s="25" t="inlineStr">
        <is>
          <t>IA-ST-CFG-0284</t>
        </is>
      </c>
      <c r="G371" s="25" t="n">
        <v>35.3676</v>
      </c>
      <c r="H371" s="25" t="inlineStr">
        <is>
          <t>988-pack GENERATED</t>
        </is>
      </c>
    </row>
    <row r="372">
      <c r="A372" s="25" t="inlineStr">
        <is>
          <t>1011838</t>
        </is>
      </c>
      <c r="B372" s="25" t="inlineStr">
        <is>
          <t>AKÜ,NS40,DK,42AH,IGYASMF,BLIZ,İNCEJANENE</t>
        </is>
      </c>
      <c r="C372" s="25" t="inlineStr">
        <is>
          <t>1</t>
        </is>
      </c>
      <c r="D372" s="25" t="inlineStr">
        <is>
          <t>ST-120-STD-01</t>
        </is>
      </c>
      <c r="E372" s="25" t="inlineStr">
        <is>
          <t>IA-ST-120-STD-01</t>
        </is>
      </c>
      <c r="F372" s="25" t="inlineStr">
        <is>
          <t>IA-ST-CFG-0284</t>
        </is>
      </c>
      <c r="G372" s="25" t="n">
        <v>35.3676</v>
      </c>
      <c r="H372" s="25" t="inlineStr">
        <is>
          <t>988-pack GENERATED</t>
        </is>
      </c>
    </row>
    <row r="373">
      <c r="A373" s="25" t="inlineStr">
        <is>
          <t>1011843</t>
        </is>
      </c>
      <c r="B373" s="25" t="inlineStr">
        <is>
          <t>AKÜ,D23,DK,68AH,IGYA SMF,HUGEL ULTRA</t>
        </is>
      </c>
      <c r="C373" s="25" t="inlineStr">
        <is>
          <t>1</t>
        </is>
      </c>
      <c r="D373" s="25" t="inlineStr">
        <is>
          <t>ST-072-STD-10</t>
        </is>
      </c>
      <c r="E373" s="25" t="inlineStr">
        <is>
          <t>IA-ST-072-STD-10</t>
        </is>
      </c>
      <c r="F373" s="25" t="inlineStr">
        <is>
          <t>IA-ST-CFG-0219</t>
        </is>
      </c>
      <c r="G373" s="25" t="n">
        <v>34.33224</v>
      </c>
      <c r="H373" s="25" t="inlineStr">
        <is>
          <t>988-pack GENERATED</t>
        </is>
      </c>
    </row>
    <row r="374">
      <c r="A374" s="25" t="inlineStr">
        <is>
          <t>1011845</t>
        </is>
      </c>
      <c r="B374" s="25" t="inlineStr">
        <is>
          <t>AKÜ,D23,DK,60AH,IGY SMF,HUGEL,NACITA</t>
        </is>
      </c>
      <c r="C374" s="25" t="inlineStr">
        <is>
          <t>1</t>
        </is>
      </c>
      <c r="D374" s="25" t="inlineStr">
        <is>
          <t>ST-072-STD-10</t>
        </is>
      </c>
      <c r="E374" s="25" t="inlineStr">
        <is>
          <t>IA-ST-072-STD-10</t>
        </is>
      </c>
      <c r="F374" s="25" t="inlineStr">
        <is>
          <t>IA-ST-CFG-0219</t>
        </is>
      </c>
      <c r="G374" s="25" t="n">
        <v>34.33224</v>
      </c>
      <c r="H374" s="25" t="inlineStr">
        <is>
          <t>988-pack GENERATED</t>
        </is>
      </c>
    </row>
    <row r="375">
      <c r="A375" s="25" t="inlineStr">
        <is>
          <t>1011852</t>
        </is>
      </c>
      <c r="B375" s="25" t="inlineStr">
        <is>
          <t>AKÜ,D23,DK,60AH,IGYASMF,İNCİ FORM TAURUS</t>
        </is>
      </c>
      <c r="C375" s="25" t="inlineStr">
        <is>
          <t>1</t>
        </is>
      </c>
      <c r="D375" s="25" t="inlineStr">
        <is>
          <t>ST-072-STD-10</t>
        </is>
      </c>
      <c r="E375" s="25" t="inlineStr">
        <is>
          <t>IA-ST-072-STD-10</t>
        </is>
      </c>
      <c r="F375" s="25" t="inlineStr">
        <is>
          <t>IA-ST-CFG-0219</t>
        </is>
      </c>
      <c r="G375" s="25" t="n">
        <v>34.33224</v>
      </c>
      <c r="H375" s="25" t="inlineStr">
        <is>
          <t>988-pack GENERATED</t>
        </is>
      </c>
    </row>
    <row r="376">
      <c r="A376" s="25" t="inlineStr">
        <is>
          <t>1011853</t>
        </is>
      </c>
      <c r="B376" s="25" t="inlineStr">
        <is>
          <t>AKÜ,D23,DK,60AH,B01,IGY SMF,İNCİ FORMULA</t>
        </is>
      </c>
      <c r="C376" s="25" t="inlineStr">
        <is>
          <t>1</t>
        </is>
      </c>
      <c r="D376" s="25" t="inlineStr">
        <is>
          <t>ST-072-STD-10</t>
        </is>
      </c>
      <c r="E376" s="25" t="inlineStr">
        <is>
          <t>IA-ST-072-STD-10</t>
        </is>
      </c>
      <c r="F376" s="25" t="inlineStr">
        <is>
          <t>IA-ST-CFG-0219</t>
        </is>
      </c>
      <c r="G376" s="25" t="n">
        <v>34.33224</v>
      </c>
      <c r="H376" s="25" t="inlineStr">
        <is>
          <t>988-pack GENERATED</t>
        </is>
      </c>
    </row>
    <row r="377">
      <c r="A377" s="25" t="inlineStr">
        <is>
          <t>1011854</t>
        </is>
      </c>
      <c r="B377" s="25" t="inlineStr">
        <is>
          <t>AKÜ,LB4,DK,75AH,IGYASMF,İNCİ EFB PANTERA</t>
        </is>
      </c>
      <c r="C377" s="25" t="inlineStr">
        <is>
          <t>1</t>
        </is>
      </c>
      <c r="D377" s="25" t="inlineStr">
        <is>
          <t>ST-054-STD-06</t>
        </is>
      </c>
      <c r="E377" s="25" t="inlineStr">
        <is>
          <t>IA-ST-054-STD-06</t>
        </is>
      </c>
      <c r="F377" s="25" t="inlineStr">
        <is>
          <t>IA-ST-CFG-0142</t>
        </is>
      </c>
      <c r="G377" s="25" t="n">
        <v>29.7552</v>
      </c>
      <c r="H377" s="25" t="inlineStr">
        <is>
          <t>988-pack GENERATED</t>
        </is>
      </c>
    </row>
    <row r="378">
      <c r="A378" s="25" t="inlineStr">
        <is>
          <t>1011855</t>
        </is>
      </c>
      <c r="B378" s="25" t="inlineStr">
        <is>
          <t>AKÜ,D23,DK,60AH,IGY SMF,EAS ACTIVA,ATWAN</t>
        </is>
      </c>
      <c r="C378" s="25" t="inlineStr">
        <is>
          <t>1</t>
        </is>
      </c>
      <c r="D378" s="25" t="inlineStr">
        <is>
          <t>ST-072-STD-10</t>
        </is>
      </c>
      <c r="E378" s="25" t="inlineStr">
        <is>
          <t>IA-ST-072-STD-10</t>
        </is>
      </c>
      <c r="F378" s="25" t="inlineStr">
        <is>
          <t>IA-ST-CFG-0219</t>
        </is>
      </c>
      <c r="G378" s="25" t="n">
        <v>34.33224</v>
      </c>
      <c r="H378" s="25" t="inlineStr">
        <is>
          <t>988-pack GENERATED</t>
        </is>
      </c>
    </row>
    <row r="379">
      <c r="A379" s="25" t="inlineStr">
        <is>
          <t>1011861</t>
        </is>
      </c>
      <c r="B379" s="25" t="inlineStr">
        <is>
          <t>AKÜ,LB3,DK,66AH,IGYA SMF,HUGEL ACTION</t>
        </is>
      </c>
      <c r="C379" s="25" t="inlineStr">
        <is>
          <t>1</t>
        </is>
      </c>
      <c r="D379" s="25" t="inlineStr">
        <is>
          <t>ST-063-STD-07</t>
        </is>
      </c>
      <c r="E379" s="25" t="inlineStr">
        <is>
          <t>IA-ST-063-STD-07</t>
        </is>
      </c>
      <c r="F379" s="25" t="inlineStr">
        <is>
          <t>IA-ST-CFG-0178</t>
        </is>
      </c>
      <c r="G379" s="25" t="n">
        <v>29.8692</v>
      </c>
      <c r="H379" s="25" t="inlineStr">
        <is>
          <t>988-pack GENERATED</t>
        </is>
      </c>
    </row>
    <row r="380">
      <c r="A380" s="25" t="inlineStr">
        <is>
          <t>1011862</t>
        </is>
      </c>
      <c r="B380" s="25" t="inlineStr">
        <is>
          <t>AKÜ,LB3,DK,66AH,IGYASMF,HUGEL ULTRA,NASA</t>
        </is>
      </c>
      <c r="C380" s="25" t="inlineStr">
        <is>
          <t>1</t>
        </is>
      </c>
      <c r="D380" s="25" t="inlineStr">
        <is>
          <t>ST-063-STD-07</t>
        </is>
      </c>
      <c r="E380" s="25" t="inlineStr">
        <is>
          <t>IA-ST-063-STD-07</t>
        </is>
      </c>
      <c r="F380" s="25" t="inlineStr">
        <is>
          <t>IA-ST-CFG-0178</t>
        </is>
      </c>
      <c r="G380" s="25" t="n">
        <v>29.8692</v>
      </c>
      <c r="H380" s="25" t="inlineStr">
        <is>
          <t>988-pack GENERATED</t>
        </is>
      </c>
    </row>
    <row r="381">
      <c r="A381" s="25" t="inlineStr">
        <is>
          <t>1011863</t>
        </is>
      </c>
      <c r="B381" s="25" t="inlineStr">
        <is>
          <t>AKÜ,LB3,DK,72AH,IGYASMF,BLIZSILVR,MISIR</t>
        </is>
      </c>
      <c r="C381" s="25" t="inlineStr">
        <is>
          <t>1</t>
        </is>
      </c>
      <c r="D381" s="25" t="inlineStr">
        <is>
          <t>ST-063-STD-07</t>
        </is>
      </c>
      <c r="E381" s="25" t="inlineStr">
        <is>
          <t>IA-ST-063-STD-07</t>
        </is>
      </c>
      <c r="F381" s="25" t="inlineStr">
        <is>
          <t>IA-ST-CFG-0178</t>
        </is>
      </c>
      <c r="G381" s="25" t="n">
        <v>29.8692</v>
      </c>
      <c r="H381" s="25" t="inlineStr">
        <is>
          <t>988-pack GENERATED</t>
        </is>
      </c>
    </row>
    <row r="382">
      <c r="A382" s="25" t="inlineStr">
        <is>
          <t>1011867</t>
        </is>
      </c>
      <c r="B382" s="25" t="inlineStr">
        <is>
          <t>AKÜ,LB3,DK,65AH,IGYASMF,İNCİ EFB PANTERA</t>
        </is>
      </c>
      <c r="C382" s="25" t="inlineStr">
        <is>
          <t>1</t>
        </is>
      </c>
      <c r="D382" s="25" t="inlineStr">
        <is>
          <t>ST-063-STD-07</t>
        </is>
      </c>
      <c r="E382" s="25" t="inlineStr">
        <is>
          <t>IA-ST-063-STD-07</t>
        </is>
      </c>
      <c r="F382" s="25" t="inlineStr">
        <is>
          <t>IA-ST-CFG-0178</t>
        </is>
      </c>
      <c r="G382" s="25" t="n">
        <v>29.8692</v>
      </c>
      <c r="H382" s="25" t="inlineStr">
        <is>
          <t>988-pack GENERATED</t>
        </is>
      </c>
    </row>
    <row r="383">
      <c r="A383" s="25" t="inlineStr">
        <is>
          <t>1011868</t>
        </is>
      </c>
      <c r="B383" s="25" t="inlineStr">
        <is>
          <t>AKÜ,LB3,DK,72AH,IGYA SMF,İNCİ FORMTAURUS</t>
        </is>
      </c>
      <c r="C383" s="25" t="inlineStr">
        <is>
          <t>1</t>
        </is>
      </c>
      <c r="D383" s="25" t="inlineStr">
        <is>
          <t>ST-063-STD-07</t>
        </is>
      </c>
      <c r="E383" s="25" t="inlineStr">
        <is>
          <t>IA-ST-063-STD-07</t>
        </is>
      </c>
      <c r="F383" s="25" t="inlineStr">
        <is>
          <t>IA-ST-CFG-0178</t>
        </is>
      </c>
      <c r="G383" s="25" t="n">
        <v>29.8692</v>
      </c>
      <c r="H383" s="25" t="inlineStr">
        <is>
          <t>988-pack GENERATED</t>
        </is>
      </c>
    </row>
    <row r="384">
      <c r="A384" s="25" t="inlineStr">
        <is>
          <t>1011875</t>
        </is>
      </c>
      <c r="B384" s="25" t="inlineStr">
        <is>
          <t>AKÜ,LB2,DK,62AH,IGYASMF,İNCİ FORM TAURUS</t>
        </is>
      </c>
      <c r="C384" s="25" t="inlineStr">
        <is>
          <t>1</t>
        </is>
      </c>
      <c r="D384" s="25" t="inlineStr">
        <is>
          <t>ST-072-STD-13</t>
        </is>
      </c>
      <c r="E384" s="25" t="inlineStr">
        <is>
          <t>IA-ST-072-STD-13</t>
        </is>
      </c>
      <c r="F384" s="25" t="inlineStr">
        <is>
          <t>IA-ST-CFG-0222</t>
        </is>
      </c>
      <c r="G384" s="25" t="n">
        <v>30.6552</v>
      </c>
      <c r="H384" s="25" t="inlineStr">
        <is>
          <t>988-pack GENERATED</t>
        </is>
      </c>
    </row>
    <row r="385">
      <c r="A385" s="25" t="inlineStr">
        <is>
          <t>1011877</t>
        </is>
      </c>
      <c r="B385" s="25" t="inlineStr">
        <is>
          <t>AKÜ,LB1,DK,44AH,IGYA SMF,EAS ACTIVA</t>
        </is>
      </c>
      <c r="C385" s="25" t="inlineStr">
        <is>
          <t>1</t>
        </is>
      </c>
      <c r="D385" s="25" t="inlineStr">
        <is>
          <t>ST-087-STD-02</t>
        </is>
      </c>
      <c r="E385" s="25" t="inlineStr">
        <is>
          <t>IA-ST-087-STD-02</t>
        </is>
      </c>
      <c r="F385" s="25" t="inlineStr">
        <is>
          <t>IA-ST-CFG-0247</t>
        </is>
      </c>
      <c r="G385" s="25" t="n">
        <v>30.4892</v>
      </c>
      <c r="H385" s="25" t="inlineStr">
        <is>
          <t>988-pack GENERATED</t>
        </is>
      </c>
    </row>
    <row r="386">
      <c r="A386" s="25" t="inlineStr">
        <is>
          <t>1011878</t>
        </is>
      </c>
      <c r="B386" s="25" t="inlineStr">
        <is>
          <t>AKÜ,LB1,DK,50AH,IGYASMF,İNCİ FORM TAURUS</t>
        </is>
      </c>
      <c r="C386" s="25" t="inlineStr">
        <is>
          <t>1</t>
        </is>
      </c>
      <c r="D386" s="25" t="inlineStr">
        <is>
          <t>ST-087-STD-02</t>
        </is>
      </c>
      <c r="E386" s="25" t="inlineStr">
        <is>
          <t>IA-ST-087-STD-02</t>
        </is>
      </c>
      <c r="F386" s="25" t="inlineStr">
        <is>
          <t>IA-ST-CFG-0247</t>
        </is>
      </c>
      <c r="G386" s="25" t="n">
        <v>30.4892</v>
      </c>
      <c r="H386" s="25" t="inlineStr">
        <is>
          <t>988-pack GENERATED</t>
        </is>
      </c>
    </row>
    <row r="387">
      <c r="A387" s="25" t="inlineStr">
        <is>
          <t>1011881</t>
        </is>
      </c>
      <c r="B387" s="25" t="inlineStr">
        <is>
          <t>AKÜ,D26,DK,60AH,IGYASMF,BLIZSILVR,JANENE</t>
        </is>
      </c>
      <c r="C387" s="25" t="inlineStr">
        <is>
          <t>1</t>
        </is>
      </c>
      <c r="D387" s="25" t="inlineStr">
        <is>
          <t>ST-063-STD-04</t>
        </is>
      </c>
      <c r="E387" s="25" t="inlineStr">
        <is>
          <t>IA-ST-063-STD-04</t>
        </is>
      </c>
      <c r="F387" s="25" t="inlineStr">
        <is>
          <t>IA-ST-CFG-0175</t>
        </is>
      </c>
      <c r="G387" s="25" t="n">
        <v>34.1512</v>
      </c>
      <c r="H387" s="25" t="inlineStr">
        <is>
          <t>988-pack GENERATED</t>
        </is>
      </c>
    </row>
    <row r="388">
      <c r="A388" s="25" t="inlineStr">
        <is>
          <t>1011882</t>
        </is>
      </c>
      <c r="B388" s="25" t="inlineStr">
        <is>
          <t>AKÜ,D26,TK,60AH,IGYASMF,BLIZSILVR,JANENE</t>
        </is>
      </c>
      <c r="C388" s="25" t="inlineStr">
        <is>
          <t>1</t>
        </is>
      </c>
      <c r="D388" s="25" t="inlineStr">
        <is>
          <t>ST-063-STD-04</t>
        </is>
      </c>
      <c r="E388" s="25" t="inlineStr">
        <is>
          <t>IA-ST-063-STD-04</t>
        </is>
      </c>
      <c r="F388" s="25" t="inlineStr">
        <is>
          <t>IA-ST-CFG-0175</t>
        </is>
      </c>
      <c r="G388" s="25" t="n">
        <v>34.1512</v>
      </c>
      <c r="H388" s="25" t="inlineStr">
        <is>
          <t>988-pack GENERATED</t>
        </is>
      </c>
    </row>
    <row r="389">
      <c r="A389" s="25" t="inlineStr">
        <is>
          <t>1011883</t>
        </is>
      </c>
      <c r="B389" s="25" t="inlineStr">
        <is>
          <t>AKÜ,D26,TK,72AH,IGY SMF,BLIZZARO,SILVER</t>
        </is>
      </c>
      <c r="C389" s="25" t="inlineStr">
        <is>
          <t>1</t>
        </is>
      </c>
      <c r="D389" s="25" t="inlineStr">
        <is>
          <t>ST-063-STD-04</t>
        </is>
      </c>
      <c r="E389" s="25" t="inlineStr">
        <is>
          <t>IA-ST-063-STD-04</t>
        </is>
      </c>
      <c r="F389" s="25" t="inlineStr">
        <is>
          <t>IA-ST-CFG-0175</t>
        </is>
      </c>
      <c r="G389" s="25" t="n">
        <v>34.1512</v>
      </c>
      <c r="H389" s="25" t="inlineStr">
        <is>
          <t>988-pack GENERATED</t>
        </is>
      </c>
    </row>
    <row r="390">
      <c r="A390" s="25" t="inlineStr">
        <is>
          <t>1011887</t>
        </is>
      </c>
      <c r="B390" s="25" t="inlineStr">
        <is>
          <t>AKÜ,D26,TK,72AH,IGYSMF,HUGELULTRA,NACITA</t>
        </is>
      </c>
      <c r="C390" s="25" t="inlineStr">
        <is>
          <t>1</t>
        </is>
      </c>
      <c r="D390" s="25" t="inlineStr">
        <is>
          <t>ST-063-STD-04</t>
        </is>
      </c>
      <c r="E390" s="25" t="inlineStr">
        <is>
          <t>IA-ST-063-STD-04</t>
        </is>
      </c>
      <c r="F390" s="25" t="inlineStr">
        <is>
          <t>IA-ST-CFG-0175</t>
        </is>
      </c>
      <c r="G390" s="25" t="n">
        <v>34.1512</v>
      </c>
      <c r="H390" s="25" t="inlineStr">
        <is>
          <t>988-pack GENERATED</t>
        </is>
      </c>
    </row>
    <row r="391">
      <c r="A391" s="25" t="inlineStr">
        <is>
          <t>1011888</t>
        </is>
      </c>
      <c r="B391" s="25" t="inlineStr">
        <is>
          <t>AKÜ,D26,TK,60AH,IGYSMF,HUGELULTRA,NACITA</t>
        </is>
      </c>
      <c r="C391" s="25" t="inlineStr">
        <is>
          <t>1</t>
        </is>
      </c>
      <c r="D391" s="25" t="inlineStr">
        <is>
          <t>ST-063-STD-04</t>
        </is>
      </c>
      <c r="E391" s="25" t="inlineStr">
        <is>
          <t>IA-ST-063-STD-04</t>
        </is>
      </c>
      <c r="F391" s="25" t="inlineStr">
        <is>
          <t>IA-ST-CFG-0175</t>
        </is>
      </c>
      <c r="G391" s="25" t="n">
        <v>34.1512</v>
      </c>
      <c r="H391" s="25" t="inlineStr">
        <is>
          <t>988-pack GENERATED</t>
        </is>
      </c>
    </row>
    <row r="392">
      <c r="A392" s="25" t="inlineStr">
        <is>
          <t>1011890</t>
        </is>
      </c>
      <c r="B392" s="25" t="inlineStr">
        <is>
          <t>AKÜ,D26,TK,75AH,IGYSMF,İNCİTAURS,SHAWKAT</t>
        </is>
      </c>
      <c r="C392" s="25" t="inlineStr">
        <is>
          <t>1</t>
        </is>
      </c>
      <c r="D392" s="25" t="inlineStr">
        <is>
          <t>ST-063-STD-04</t>
        </is>
      </c>
      <c r="E392" s="25" t="inlineStr">
        <is>
          <t>IA-ST-063-STD-04</t>
        </is>
      </c>
      <c r="F392" s="25" t="inlineStr">
        <is>
          <t>IA-ST-CFG-0175</t>
        </is>
      </c>
      <c r="G392" s="25" t="n">
        <v>34.1512</v>
      </c>
      <c r="H392" s="25" t="inlineStr">
        <is>
          <t>988-pack GENERATED</t>
        </is>
      </c>
    </row>
    <row r="393">
      <c r="A393" s="25" t="inlineStr">
        <is>
          <t>1011893</t>
        </is>
      </c>
      <c r="B393" s="25" t="inlineStr">
        <is>
          <t>AKÜ,L5,DK,88AH,IGYASMF,HUGEL ACTION,NASA</t>
        </is>
      </c>
      <c r="C393" s="25" t="inlineStr">
        <is>
          <t>1</t>
        </is>
      </c>
      <c r="D393" s="25" t="inlineStr">
        <is>
          <t>ST-045-STD-08</t>
        </is>
      </c>
      <c r="E393" s="25" t="inlineStr">
        <is>
          <t>IA-ST-045-STD-08</t>
        </is>
      </c>
      <c r="F393" s="25" t="inlineStr">
        <is>
          <t>IA-ST-CFG-0096</t>
        </is>
      </c>
      <c r="G393" s="25" t="n">
        <v>29.7192</v>
      </c>
      <c r="H393" s="25" t="inlineStr">
        <is>
          <t>988-pack GENERATED</t>
        </is>
      </c>
    </row>
    <row r="394">
      <c r="A394" s="25" t="inlineStr">
        <is>
          <t>1011894</t>
        </is>
      </c>
      <c r="B394" s="25" t="inlineStr">
        <is>
          <t>AKÜ,L5,DK,100AH,IGYA SMF,HUGEL ULTRA</t>
        </is>
      </c>
      <c r="C394" s="25" t="inlineStr">
        <is>
          <t>1</t>
        </is>
      </c>
      <c r="D394" s="25" t="inlineStr">
        <is>
          <t>ST-045-STD-08</t>
        </is>
      </c>
      <c r="E394" s="25" t="inlineStr">
        <is>
          <t>IA-ST-045-STD-08</t>
        </is>
      </c>
      <c r="F394" s="25" t="inlineStr">
        <is>
          <t>IA-ST-CFG-0096</t>
        </is>
      </c>
      <c r="G394" s="25" t="n">
        <v>29.7192</v>
      </c>
      <c r="H394" s="25" t="inlineStr">
        <is>
          <t>988-pack GENERATED</t>
        </is>
      </c>
    </row>
    <row r="395">
      <c r="A395" s="25" t="inlineStr">
        <is>
          <t>1011895</t>
        </is>
      </c>
      <c r="B395" s="25" t="inlineStr">
        <is>
          <t>AKÜ,L5,DK,100AH,IGYA SMF,HUGEL ACTION</t>
        </is>
      </c>
      <c r="C395" s="25" t="inlineStr">
        <is>
          <t>1</t>
        </is>
      </c>
      <c r="D395" s="25" t="inlineStr">
        <is>
          <t>ST-045-STD-08</t>
        </is>
      </c>
      <c r="E395" s="25" t="inlineStr">
        <is>
          <t>IA-ST-045-STD-08</t>
        </is>
      </c>
      <c r="F395" s="25" t="inlineStr">
        <is>
          <t>IA-ST-CFG-0096</t>
        </is>
      </c>
      <c r="G395" s="25" t="n">
        <v>29.7192</v>
      </c>
      <c r="H395" s="25" t="inlineStr">
        <is>
          <t>988-pack GENERATED</t>
        </is>
      </c>
    </row>
    <row r="396">
      <c r="A396" s="25" t="inlineStr">
        <is>
          <t>1011896</t>
        </is>
      </c>
      <c r="B396" s="25" t="inlineStr">
        <is>
          <t>AKÜ,D26,DK,72AH,IGYASMF,HUGEL ULTRA,NASA</t>
        </is>
      </c>
      <c r="C396" s="25" t="inlineStr">
        <is>
          <t>1</t>
        </is>
      </c>
      <c r="D396" s="25" t="inlineStr">
        <is>
          <t>ST-063-STD-04</t>
        </is>
      </c>
      <c r="E396" s="25" t="inlineStr">
        <is>
          <t>IA-ST-063-STD-04</t>
        </is>
      </c>
      <c r="F396" s="25" t="inlineStr">
        <is>
          <t>IA-ST-CFG-0175</t>
        </is>
      </c>
      <c r="G396" s="25" t="n">
        <v>34.1512</v>
      </c>
      <c r="H396" s="25" t="inlineStr">
        <is>
          <t>988-pack GENERATED</t>
        </is>
      </c>
    </row>
    <row r="397">
      <c r="A397" s="25" t="inlineStr">
        <is>
          <t>1011897</t>
        </is>
      </c>
      <c r="B397" s="25" t="inlineStr">
        <is>
          <t>AKÜ,L5,DK,100AH,IGYA SMF,EAS ACTIVA</t>
        </is>
      </c>
      <c r="C397" s="25" t="inlineStr">
        <is>
          <t>1</t>
        </is>
      </c>
      <c r="D397" s="25" t="inlineStr">
        <is>
          <t>ST-045-STD-08</t>
        </is>
      </c>
      <c r="E397" s="25" t="inlineStr">
        <is>
          <t>IA-ST-045-STD-08</t>
        </is>
      </c>
      <c r="F397" s="25" t="inlineStr">
        <is>
          <t>IA-ST-CFG-0096</t>
        </is>
      </c>
      <c r="G397" s="25" t="n">
        <v>29.7192</v>
      </c>
      <c r="H397" s="25" t="inlineStr">
        <is>
          <t>988-pack GENERATED</t>
        </is>
      </c>
    </row>
    <row r="398">
      <c r="A398" s="25" t="inlineStr">
        <is>
          <t>1011898</t>
        </is>
      </c>
      <c r="B398" s="25" t="inlineStr">
        <is>
          <t>AKÜ,D26,TK,72AH,IGY SMF,ULTRA,NASA,7014</t>
        </is>
      </c>
      <c r="C398" s="25" t="inlineStr">
        <is>
          <t>1</t>
        </is>
      </c>
      <c r="D398" s="25" t="inlineStr">
        <is>
          <t>ST-063-STD-04</t>
        </is>
      </c>
      <c r="E398" s="25" t="inlineStr">
        <is>
          <t>IA-ST-063-STD-04</t>
        </is>
      </c>
      <c r="F398" s="25" t="inlineStr">
        <is>
          <t>IA-ST-CFG-0175</t>
        </is>
      </c>
      <c r="G398" s="25" t="n">
        <v>34.1512</v>
      </c>
      <c r="H398" s="25" t="inlineStr">
        <is>
          <t>988-pack GENERATED</t>
        </is>
      </c>
    </row>
    <row r="399">
      <c r="A399" s="25" t="inlineStr">
        <is>
          <t>1011899</t>
        </is>
      </c>
      <c r="B399" s="25" t="inlineStr">
        <is>
          <t>AKÜ,L5,DK,100AH,IGYASMF,BLIZZARO SILVERL</t>
        </is>
      </c>
      <c r="C399" s="25" t="inlineStr">
        <is>
          <t>1</t>
        </is>
      </c>
      <c r="D399" s="25" t="inlineStr">
        <is>
          <t>ST-045-STD-08</t>
        </is>
      </c>
      <c r="E399" s="25" t="inlineStr">
        <is>
          <t>IA-ST-045-STD-08</t>
        </is>
      </c>
      <c r="F399" s="25" t="inlineStr">
        <is>
          <t>IA-ST-CFG-0096</t>
        </is>
      </c>
      <c r="G399" s="25" t="n">
        <v>29.7192</v>
      </c>
      <c r="H399" s="25" t="inlineStr">
        <is>
          <t>988-pack GENERATED</t>
        </is>
      </c>
    </row>
    <row r="400">
      <c r="A400" s="25" t="inlineStr">
        <is>
          <t>1011900</t>
        </is>
      </c>
      <c r="B400" s="25" t="inlineStr">
        <is>
          <t>AKÜ,D26,DK,72AH,IGYASMF,BLIZZAROSILVERLN</t>
        </is>
      </c>
      <c r="C400" s="25" t="inlineStr">
        <is>
          <t>1</t>
        </is>
      </c>
      <c r="D400" s="25" t="inlineStr">
        <is>
          <t>ST-063-STD-04</t>
        </is>
      </c>
      <c r="E400" s="25" t="inlineStr">
        <is>
          <t>IA-ST-063-STD-04</t>
        </is>
      </c>
      <c r="F400" s="25" t="inlineStr">
        <is>
          <t>IA-ST-CFG-0175</t>
        </is>
      </c>
      <c r="G400" s="25" t="n">
        <v>34.1512</v>
      </c>
      <c r="H400" s="25" t="inlineStr">
        <is>
          <t>988-pack GENERATED</t>
        </is>
      </c>
    </row>
    <row r="401">
      <c r="A401" s="25" t="inlineStr">
        <is>
          <t>1011901</t>
        </is>
      </c>
      <c r="B401" s="25" t="inlineStr">
        <is>
          <t>AKÜ,L5,DK,100AH,IGYSMF,BLIZSILVER,JANENE</t>
        </is>
      </c>
      <c r="C401" s="25" t="inlineStr">
        <is>
          <t>1</t>
        </is>
      </c>
      <c r="D401" s="25" t="inlineStr">
        <is>
          <t>ST-045-STD-08</t>
        </is>
      </c>
      <c r="E401" s="25" t="inlineStr">
        <is>
          <t>IA-ST-045-STD-08</t>
        </is>
      </c>
      <c r="F401" s="25" t="inlineStr">
        <is>
          <t>IA-ST-CFG-0096</t>
        </is>
      </c>
      <c r="G401" s="25" t="n">
        <v>29.7192</v>
      </c>
      <c r="H401" s="25" t="inlineStr">
        <is>
          <t>988-pack GENERATED</t>
        </is>
      </c>
    </row>
    <row r="402">
      <c r="A402" s="25" t="inlineStr">
        <is>
          <t>1011903</t>
        </is>
      </c>
      <c r="B402" s="25" t="inlineStr">
        <is>
          <t>AKÜ,D26,DK,75AH,IGYSMF,İNCİTAURS,SHAWKAT</t>
        </is>
      </c>
      <c r="C402" s="25" t="inlineStr">
        <is>
          <t>1</t>
        </is>
      </c>
      <c r="D402" s="25" t="inlineStr">
        <is>
          <t>ST-063-STD-04</t>
        </is>
      </c>
      <c r="E402" s="25" t="inlineStr">
        <is>
          <t>IA-ST-063-STD-04</t>
        </is>
      </c>
      <c r="F402" s="25" t="inlineStr">
        <is>
          <t>IA-ST-CFG-0175</t>
        </is>
      </c>
      <c r="G402" s="25" t="n">
        <v>34.1512</v>
      </c>
      <c r="H402" s="25" t="inlineStr">
        <is>
          <t>988-pack GENERATED</t>
        </is>
      </c>
    </row>
    <row r="403">
      <c r="A403" s="25" t="inlineStr">
        <is>
          <t>1011904</t>
        </is>
      </c>
      <c r="B403" s="25" t="inlineStr">
        <is>
          <t>AKÜ,D26,TK,72AH,IGYASMF,İNCİ FORM TAURUS</t>
        </is>
      </c>
      <c r="C403" s="25" t="inlineStr">
        <is>
          <t>1</t>
        </is>
      </c>
      <c r="D403" s="25" t="inlineStr">
        <is>
          <t>ST-063-STD-04</t>
        </is>
      </c>
      <c r="E403" s="25" t="inlineStr">
        <is>
          <t>IA-ST-063-STD-04</t>
        </is>
      </c>
      <c r="F403" s="25" t="inlineStr">
        <is>
          <t>IA-ST-CFG-0175</t>
        </is>
      </c>
      <c r="G403" s="25" t="n">
        <v>34.1512</v>
      </c>
      <c r="H403" s="25" t="inlineStr">
        <is>
          <t>988-pack GENERATED</t>
        </is>
      </c>
    </row>
    <row r="404">
      <c r="A404" s="25" t="inlineStr">
        <is>
          <t>1011906</t>
        </is>
      </c>
      <c r="B404" s="25" t="inlineStr">
        <is>
          <t>AKÜ,D26,DK,72AH,IGYA SMF,HUGEL ULTRA</t>
        </is>
      </c>
      <c r="C404" s="25" t="inlineStr">
        <is>
          <t>1</t>
        </is>
      </c>
      <c r="D404" s="25" t="inlineStr">
        <is>
          <t>ST-063-STD-04</t>
        </is>
      </c>
      <c r="E404" s="25" t="inlineStr">
        <is>
          <t>IA-ST-063-STD-04</t>
        </is>
      </c>
      <c r="F404" s="25" t="inlineStr">
        <is>
          <t>IA-ST-CFG-0175</t>
        </is>
      </c>
      <c r="G404" s="25" t="n">
        <v>34.1512</v>
      </c>
      <c r="H404" s="25" t="inlineStr">
        <is>
          <t>988-pack GENERATED</t>
        </is>
      </c>
    </row>
    <row r="405">
      <c r="A405" s="25" t="inlineStr">
        <is>
          <t>1011907</t>
        </is>
      </c>
      <c r="B405" s="25" t="inlineStr">
        <is>
          <t>AKÜ,D26,TK,72AH,IGYA SMF,HUGEL ULTRA</t>
        </is>
      </c>
      <c r="C405" s="25" t="inlineStr">
        <is>
          <t>1</t>
        </is>
      </c>
      <c r="D405" s="25" t="inlineStr">
        <is>
          <t>ST-063-STD-04</t>
        </is>
      </c>
      <c r="E405" s="25" t="inlineStr">
        <is>
          <t>IA-ST-063-STD-04</t>
        </is>
      </c>
      <c r="F405" s="25" t="inlineStr">
        <is>
          <t>IA-ST-CFG-0175</t>
        </is>
      </c>
      <c r="G405" s="25" t="n">
        <v>34.1512</v>
      </c>
      <c r="H405" s="25" t="inlineStr">
        <is>
          <t>988-pack GENERATED</t>
        </is>
      </c>
    </row>
    <row r="406">
      <c r="A406" s="25" t="inlineStr">
        <is>
          <t>1011908</t>
        </is>
      </c>
      <c r="B406" s="25" t="inlineStr">
        <is>
          <t>AKÜ,D26,DK,66AH,IGYASMF,BLIZSILVR,MISIR</t>
        </is>
      </c>
      <c r="C406" s="25" t="inlineStr">
        <is>
          <t>1</t>
        </is>
      </c>
      <c r="D406" s="25" t="inlineStr">
        <is>
          <t>ST-063-STD-04</t>
        </is>
      </c>
      <c r="E406" s="25" t="inlineStr">
        <is>
          <t>IA-ST-063-STD-04</t>
        </is>
      </c>
      <c r="F406" s="25" t="inlineStr">
        <is>
          <t>IA-ST-CFG-0175</t>
        </is>
      </c>
      <c r="G406" s="25" t="n">
        <v>34.1512</v>
      </c>
      <c r="H406" s="25" t="inlineStr">
        <is>
          <t>988-pack GENERATED</t>
        </is>
      </c>
    </row>
    <row r="407">
      <c r="A407" s="25" t="inlineStr">
        <is>
          <t>1011909</t>
        </is>
      </c>
      <c r="B407" s="25" t="inlineStr">
        <is>
          <t>AKÜ,D31,DK,100AH,IGYA SMF,İNCİ TAURUS</t>
        </is>
      </c>
      <c r="C407" s="25" t="inlineStr">
        <is>
          <t>1</t>
        </is>
      </c>
      <c r="D407" s="25" t="inlineStr">
        <is>
          <t>ST-054-STD-07</t>
        </is>
      </c>
      <c r="E407" s="25" t="inlineStr">
        <is>
          <t>IA-ST-054-STD-07</t>
        </is>
      </c>
      <c r="F407" s="25" t="inlineStr">
        <is>
          <t>IA-ST-CFG-0143</t>
        </is>
      </c>
      <c r="G407" s="25" t="n">
        <v>33.7838</v>
      </c>
      <c r="H407" s="25" t="inlineStr">
        <is>
          <t>988-pack GENERATED</t>
        </is>
      </c>
    </row>
    <row r="408">
      <c r="A408" s="25" t="inlineStr">
        <is>
          <t>1011910</t>
        </is>
      </c>
      <c r="B408" s="25" t="inlineStr">
        <is>
          <t>AKÜ,D31,DK,100AH,IGYA SMF,HUGEL ULTRA</t>
        </is>
      </c>
      <c r="C408" s="25" t="inlineStr">
        <is>
          <t>1</t>
        </is>
      </c>
      <c r="D408" s="25" t="inlineStr">
        <is>
          <t>ST-054-STD-07</t>
        </is>
      </c>
      <c r="E408" s="25" t="inlineStr">
        <is>
          <t>IA-ST-054-STD-07</t>
        </is>
      </c>
      <c r="F408" s="25" t="inlineStr">
        <is>
          <t>IA-ST-CFG-0143</t>
        </is>
      </c>
      <c r="G408" s="25" t="n">
        <v>33.7838</v>
      </c>
      <c r="H408" s="25" t="inlineStr">
        <is>
          <t>988-pack GENERATED</t>
        </is>
      </c>
    </row>
    <row r="409">
      <c r="A409" s="25" t="inlineStr">
        <is>
          <t>1011911</t>
        </is>
      </c>
      <c r="B409" s="25" t="inlineStr">
        <is>
          <t>AKÜ,D31,TK,100AH,IGYA SMF,HUGEL ULTRA</t>
        </is>
      </c>
      <c r="C409" s="25" t="inlineStr">
        <is>
          <t>1</t>
        </is>
      </c>
      <c r="D409" s="25" t="inlineStr">
        <is>
          <t>ST-054-STD-07</t>
        </is>
      </c>
      <c r="E409" s="25" t="inlineStr">
        <is>
          <t>IA-ST-054-STD-07</t>
        </is>
      </c>
      <c r="F409" s="25" t="inlineStr">
        <is>
          <t>IA-ST-CFG-0143</t>
        </is>
      </c>
      <c r="G409" s="25" t="n">
        <v>33.7838</v>
      </c>
      <c r="H409" s="25" t="inlineStr">
        <is>
          <t>988-pack GENERATED</t>
        </is>
      </c>
    </row>
    <row r="410">
      <c r="A410" s="25" t="inlineStr">
        <is>
          <t>1011912</t>
        </is>
      </c>
      <c r="B410" s="25" t="inlineStr">
        <is>
          <t>AKÜ,D31,DK,90AH,IGYA SMF,HUGEL ULTRA</t>
        </is>
      </c>
      <c r="C410" s="25" t="inlineStr">
        <is>
          <t>1</t>
        </is>
      </c>
      <c r="D410" s="25" t="inlineStr">
        <is>
          <t>ST-054-STD-07</t>
        </is>
      </c>
      <c r="E410" s="25" t="inlineStr">
        <is>
          <t>IA-ST-054-STD-07</t>
        </is>
      </c>
      <c r="F410" s="25" t="inlineStr">
        <is>
          <t>IA-ST-CFG-0143</t>
        </is>
      </c>
      <c r="G410" s="25" t="n">
        <v>33.7838</v>
      </c>
      <c r="H410" s="25" t="inlineStr">
        <is>
          <t>988-pack GENERATED</t>
        </is>
      </c>
    </row>
    <row r="411">
      <c r="A411" s="25" t="inlineStr">
        <is>
          <t>1011913</t>
        </is>
      </c>
      <c r="B411" s="25" t="inlineStr">
        <is>
          <t>AKÜ,D31,TK,90AH,IGYA,FORMLA,KOLİEECMISIR</t>
        </is>
      </c>
      <c r="C411" s="25" t="inlineStr">
        <is>
          <t>1</t>
        </is>
      </c>
      <c r="D411" s="25" t="inlineStr">
        <is>
          <t>ST-051-STD-07</t>
        </is>
      </c>
      <c r="E411" s="25" t="inlineStr">
        <is>
          <t>IA-ST-051-STD-07</t>
        </is>
      </c>
      <c r="F411" s="25" t="inlineStr">
        <is>
          <t>IA-ST-CFG-0128</t>
        </is>
      </c>
      <c r="G411" s="25" t="n">
        <v>47.7284</v>
      </c>
      <c r="H411" s="25" t="inlineStr">
        <is>
          <t>988-pack GENERATED</t>
        </is>
      </c>
    </row>
    <row r="412">
      <c r="A412" s="25" t="inlineStr">
        <is>
          <t>1011914</t>
        </is>
      </c>
      <c r="B412" s="25" t="inlineStr">
        <is>
          <t>AKÜ,D31,TK,90AH,IGYA SMF,HUGEL ULTRA</t>
        </is>
      </c>
      <c r="C412" s="25" t="inlineStr">
        <is>
          <t>1</t>
        </is>
      </c>
      <c r="D412" s="25" t="inlineStr">
        <is>
          <t>ST-054-STD-07</t>
        </is>
      </c>
      <c r="E412" s="25" t="inlineStr">
        <is>
          <t>IA-ST-054-STD-07</t>
        </is>
      </c>
      <c r="F412" s="25" t="inlineStr">
        <is>
          <t>IA-ST-CFG-0143</t>
        </is>
      </c>
      <c r="G412" s="25" t="n">
        <v>33.7838</v>
      </c>
      <c r="H412" s="25" t="inlineStr">
        <is>
          <t>988-pack GENERATED</t>
        </is>
      </c>
    </row>
    <row r="413">
      <c r="A413" s="25" t="inlineStr">
        <is>
          <t>1011915</t>
        </is>
      </c>
      <c r="B413" s="25" t="inlineStr">
        <is>
          <t>AKÜ,D31,DK,90AH,IGYA SMF,BLIZZAROSILVERL</t>
        </is>
      </c>
      <c r="C413" s="25" t="inlineStr">
        <is>
          <t>1</t>
        </is>
      </c>
      <c r="D413" s="25" t="inlineStr">
        <is>
          <t>ST-054-STD-07</t>
        </is>
      </c>
      <c r="E413" s="25" t="inlineStr">
        <is>
          <t>IA-ST-054-STD-07</t>
        </is>
      </c>
      <c r="F413" s="25" t="inlineStr">
        <is>
          <t>IA-ST-CFG-0143</t>
        </is>
      </c>
      <c r="G413" s="25" t="n">
        <v>33.7838</v>
      </c>
      <c r="H413" s="25" t="inlineStr">
        <is>
          <t>988-pack GENERATED</t>
        </is>
      </c>
    </row>
    <row r="414">
      <c r="A414" s="25" t="inlineStr">
        <is>
          <t>1011916</t>
        </is>
      </c>
      <c r="B414" s="25" t="inlineStr">
        <is>
          <t>AKÜ,D31,TK,90AH,IGY SMF,BLIZ SILV,JANENE</t>
        </is>
      </c>
      <c r="C414" s="25" t="inlineStr">
        <is>
          <t>1</t>
        </is>
      </c>
      <c r="D414" s="25" t="inlineStr">
        <is>
          <t>ST-054-STD-07</t>
        </is>
      </c>
      <c r="E414" s="25" t="inlineStr">
        <is>
          <t>IA-ST-054-STD-07</t>
        </is>
      </c>
      <c r="F414" s="25" t="inlineStr">
        <is>
          <t>IA-ST-CFG-0143</t>
        </is>
      </c>
      <c r="G414" s="25" t="n">
        <v>33.7838</v>
      </c>
      <c r="H414" s="25" t="inlineStr">
        <is>
          <t>988-pack GENERATED</t>
        </is>
      </c>
    </row>
    <row r="415">
      <c r="A415" s="25" t="inlineStr">
        <is>
          <t>1011918</t>
        </is>
      </c>
      <c r="B415" s="25" t="inlineStr">
        <is>
          <t>AKÜ,D31,DK,90AH,IGY SMF,BLIZ SILV,JANENE</t>
        </is>
      </c>
      <c r="C415" s="25" t="inlineStr">
        <is>
          <t>1</t>
        </is>
      </c>
      <c r="D415" s="25" t="inlineStr">
        <is>
          <t>ST-054-STD-07</t>
        </is>
      </c>
      <c r="E415" s="25" t="inlineStr">
        <is>
          <t>IA-ST-054-STD-07</t>
        </is>
      </c>
      <c r="F415" s="25" t="inlineStr">
        <is>
          <t>IA-ST-CFG-0143</t>
        </is>
      </c>
      <c r="G415" s="25" t="n">
        <v>33.7838</v>
      </c>
      <c r="H415" s="25" t="inlineStr">
        <is>
          <t>988-pack GENERATED</t>
        </is>
      </c>
    </row>
    <row r="416">
      <c r="A416" s="25" t="inlineStr">
        <is>
          <t>1011919</t>
        </is>
      </c>
      <c r="B416" s="25" t="inlineStr">
        <is>
          <t>AKÜ,D31,DK,80AH,IGY SMF,FORMULA TAURUS</t>
        </is>
      </c>
      <c r="C416" s="25" t="inlineStr">
        <is>
          <t>1</t>
        </is>
      </c>
      <c r="D416" s="25" t="inlineStr">
        <is>
          <t>ST-054-STD-07</t>
        </is>
      </c>
      <c r="E416" s="25" t="inlineStr">
        <is>
          <t>IA-ST-054-STD-07</t>
        </is>
      </c>
      <c r="F416" s="25" t="inlineStr">
        <is>
          <t>IA-ST-CFG-0143</t>
        </is>
      </c>
      <c r="G416" s="25" t="n">
        <v>33.7838</v>
      </c>
      <c r="H416" s="25" t="inlineStr">
        <is>
          <t>988-pack GENERATED</t>
        </is>
      </c>
    </row>
    <row r="417">
      <c r="A417" s="25" t="inlineStr">
        <is>
          <t>1011920</t>
        </is>
      </c>
      <c r="B417" s="25" t="inlineStr">
        <is>
          <t>AKÜ,D31,DK,80AH,IGYA SMF,HUGEL ULTRA</t>
        </is>
      </c>
      <c r="C417" s="25" t="inlineStr">
        <is>
          <t>1</t>
        </is>
      </c>
      <c r="D417" s="25" t="inlineStr">
        <is>
          <t>ST-054-STD-07</t>
        </is>
      </c>
      <c r="E417" s="25" t="inlineStr">
        <is>
          <t>IA-ST-054-STD-07</t>
        </is>
      </c>
      <c r="F417" s="25" t="inlineStr">
        <is>
          <t>IA-ST-CFG-0143</t>
        </is>
      </c>
      <c r="G417" s="25" t="n">
        <v>33.7838</v>
      </c>
      <c r="H417" s="25" t="inlineStr">
        <is>
          <t>988-pack GENERATED</t>
        </is>
      </c>
    </row>
    <row r="418">
      <c r="A418" s="25" t="inlineStr">
        <is>
          <t>1011925</t>
        </is>
      </c>
      <c r="B418" s="25" t="inlineStr">
        <is>
          <t>AKÜ,D31,TK100AH,IGYSMF,HUGELULTRA,NACITA</t>
        </is>
      </c>
      <c r="C418" s="25" t="inlineStr">
        <is>
          <t>1</t>
        </is>
      </c>
      <c r="D418" s="25" t="inlineStr">
        <is>
          <t>ST-054-STD-07</t>
        </is>
      </c>
      <c r="E418" s="25" t="inlineStr">
        <is>
          <t>IA-ST-054-STD-07</t>
        </is>
      </c>
      <c r="F418" s="25" t="inlineStr">
        <is>
          <t>IA-ST-CFG-0143</t>
        </is>
      </c>
      <c r="G418" s="25" t="n">
        <v>33.7838</v>
      </c>
      <c r="H418" s="25" t="inlineStr">
        <is>
          <t>988-pack GENERATED</t>
        </is>
      </c>
    </row>
    <row r="419">
      <c r="A419" s="25" t="inlineStr">
        <is>
          <t>1011926</t>
        </is>
      </c>
      <c r="B419" s="25" t="inlineStr">
        <is>
          <t>AKÜ,D31,TK,80AH,IGYSMF,HUGELULTRA,NACITA</t>
        </is>
      </c>
      <c r="C419" s="25" t="inlineStr">
        <is>
          <t>1</t>
        </is>
      </c>
      <c r="D419" s="25" t="inlineStr">
        <is>
          <t>ST-054-STD-07</t>
        </is>
      </c>
      <c r="E419" s="25" t="inlineStr">
        <is>
          <t>IA-ST-054-STD-07</t>
        </is>
      </c>
      <c r="F419" s="25" t="inlineStr">
        <is>
          <t>IA-ST-CFG-0143</t>
        </is>
      </c>
      <c r="G419" s="25" t="n">
        <v>33.7838</v>
      </c>
      <c r="H419" s="25" t="inlineStr">
        <is>
          <t>988-pack GENERATED</t>
        </is>
      </c>
    </row>
    <row r="420">
      <c r="A420" s="25" t="inlineStr">
        <is>
          <t>1011927</t>
        </is>
      </c>
      <c r="B420" s="25" t="inlineStr">
        <is>
          <t>AKÜ,D31,TK,90AH,IGYSMF,HUGEL ULTR,NACITA</t>
        </is>
      </c>
      <c r="C420" s="25" t="inlineStr">
        <is>
          <t>1</t>
        </is>
      </c>
      <c r="D420" s="25" t="inlineStr">
        <is>
          <t>ST-054-STD-07</t>
        </is>
      </c>
      <c r="E420" s="25" t="inlineStr">
        <is>
          <t>IA-ST-054-STD-07</t>
        </is>
      </c>
      <c r="F420" s="25" t="inlineStr">
        <is>
          <t>IA-ST-CFG-0143</t>
        </is>
      </c>
      <c r="G420" s="25" t="n">
        <v>33.7838</v>
      </c>
      <c r="H420" s="25" t="inlineStr">
        <is>
          <t>988-pack GENERATED</t>
        </is>
      </c>
    </row>
    <row r="421">
      <c r="A421" s="25" t="inlineStr">
        <is>
          <t>1011930</t>
        </is>
      </c>
      <c r="B421" s="25" t="inlineStr">
        <is>
          <t>AKÜ,D31,TK,80AH,IGYASMF,BLIZSILVR,MISIR</t>
        </is>
      </c>
      <c r="C421" s="25" t="inlineStr">
        <is>
          <t>1</t>
        </is>
      </c>
      <c r="D421" s="25" t="inlineStr">
        <is>
          <t>ST-051-STD-05</t>
        </is>
      </c>
      <c r="E421" s="25" t="inlineStr">
        <is>
          <t>IA-ST-051-STD-05</t>
        </is>
      </c>
      <c r="F421" s="25" t="inlineStr">
        <is>
          <t>IA-ST-CFG-0126</t>
        </is>
      </c>
      <c r="G421" s="25" t="n">
        <v>47.4584</v>
      </c>
      <c r="H421" s="25" t="inlineStr">
        <is>
          <t>988-pack GENERATED</t>
        </is>
      </c>
    </row>
    <row r="422">
      <c r="A422" s="25" t="inlineStr">
        <is>
          <t>1011931</t>
        </is>
      </c>
      <c r="B422" s="25" t="inlineStr">
        <is>
          <t>AKÜ,D31,DK,80AH,IGYASMF,BLIZSILVR,MISIR</t>
        </is>
      </c>
      <c r="C422" s="25" t="inlineStr">
        <is>
          <t>1</t>
        </is>
      </c>
      <c r="D422" s="25" t="inlineStr">
        <is>
          <t>ST-051-STD-05</t>
        </is>
      </c>
      <c r="E422" s="25" t="inlineStr">
        <is>
          <t>IA-ST-051-STD-05</t>
        </is>
      </c>
      <c r="F422" s="25" t="inlineStr">
        <is>
          <t>IA-ST-CFG-0126</t>
        </is>
      </c>
      <c r="G422" s="25" t="n">
        <v>47.4584</v>
      </c>
      <c r="H422" s="25" t="inlineStr">
        <is>
          <t>988-pack GENERATED</t>
        </is>
      </c>
    </row>
    <row r="423">
      <c r="A423" s="25" t="inlineStr">
        <is>
          <t>1011932</t>
        </is>
      </c>
      <c r="B423" s="25" t="inlineStr">
        <is>
          <t>AKÜ,D31,TK,90AH,IGYASMF,İNCİ FORM TAURUS</t>
        </is>
      </c>
      <c r="C423" s="25" t="inlineStr">
        <is>
          <t>1</t>
        </is>
      </c>
      <c r="D423" s="25" t="inlineStr">
        <is>
          <t>ST-054-STD-07</t>
        </is>
      </c>
      <c r="E423" s="25" t="inlineStr">
        <is>
          <t>IA-ST-054-STD-07</t>
        </is>
      </c>
      <c r="F423" s="25" t="inlineStr">
        <is>
          <t>IA-ST-CFG-0143</t>
        </is>
      </c>
      <c r="G423" s="25" t="n">
        <v>33.7838</v>
      </c>
      <c r="H423" s="25" t="inlineStr">
        <is>
          <t>988-pack GENERATED</t>
        </is>
      </c>
    </row>
    <row r="424">
      <c r="A424" s="25" t="inlineStr">
        <is>
          <t>1011933</t>
        </is>
      </c>
      <c r="B424" s="25" t="inlineStr">
        <is>
          <t>AKÜ,D31,TK,90AH,IGYSMF,BLIZZ.SILVR,MISIR</t>
        </is>
      </c>
      <c r="C424" s="25" t="inlineStr">
        <is>
          <t>1</t>
        </is>
      </c>
      <c r="D424" s="25" t="inlineStr">
        <is>
          <t>ST-051-STD-05</t>
        </is>
      </c>
      <c r="E424" s="25" t="inlineStr">
        <is>
          <t>IA-ST-051-STD-05</t>
        </is>
      </c>
      <c r="F424" s="25" t="inlineStr">
        <is>
          <t>IA-ST-CFG-0126</t>
        </is>
      </c>
      <c r="G424" s="25" t="n">
        <v>47.4584</v>
      </c>
      <c r="H424" s="25" t="inlineStr">
        <is>
          <t>988-pack GENERATED</t>
        </is>
      </c>
    </row>
    <row r="425">
      <c r="A425" s="25" t="inlineStr">
        <is>
          <t>1011934</t>
        </is>
      </c>
      <c r="B425" s="25" t="inlineStr">
        <is>
          <t>AKÜ,D31,DK,90AH,IGYSMF,BLIZZ.SILVR,MISIR</t>
        </is>
      </c>
      <c r="C425" s="25" t="inlineStr">
        <is>
          <t>1</t>
        </is>
      </c>
      <c r="D425" s="25" t="inlineStr">
        <is>
          <t>ST-051-STD-05</t>
        </is>
      </c>
      <c r="E425" s="25" t="inlineStr">
        <is>
          <t>IA-ST-051-STD-05</t>
        </is>
      </c>
      <c r="F425" s="25" t="inlineStr">
        <is>
          <t>IA-ST-CFG-0126</t>
        </is>
      </c>
      <c r="G425" s="25" t="n">
        <v>47.4584</v>
      </c>
      <c r="H425" s="25" t="inlineStr">
        <is>
          <t>988-pack GENERATED</t>
        </is>
      </c>
    </row>
    <row r="426">
      <c r="A426" s="25" t="inlineStr">
        <is>
          <t>1011935</t>
        </is>
      </c>
      <c r="B426" s="25" t="inlineStr">
        <is>
          <t>AKÜ,D31,TK,80AH,IGYASMF,EAS KOLİLİ,ATWAN</t>
        </is>
      </c>
      <c r="C426" s="25" t="inlineStr">
        <is>
          <t>1</t>
        </is>
      </c>
      <c r="D426" s="25" t="inlineStr">
        <is>
          <t>ST-051-STD-01</t>
        </is>
      </c>
      <c r="E426" s="25" t="inlineStr">
        <is>
          <t>IA-ST-051-STD-01</t>
        </is>
      </c>
      <c r="F426" s="25" t="inlineStr">
        <is>
          <t>IA-ST-CFG-0122</t>
        </is>
      </c>
      <c r="G426" s="25" t="n">
        <v>47.0384</v>
      </c>
      <c r="H426" s="25" t="inlineStr">
        <is>
          <t>988-pack GENERATED</t>
        </is>
      </c>
    </row>
    <row r="427">
      <c r="A427" s="25" t="inlineStr">
        <is>
          <t>1011936</t>
        </is>
      </c>
      <c r="B427" s="25" t="inlineStr">
        <is>
          <t>AKÜ,D31,TK,90AH,IGYASMF,EAS KOLİLİ,ATWAN</t>
        </is>
      </c>
      <c r="C427" s="25" t="inlineStr">
        <is>
          <t>1</t>
        </is>
      </c>
      <c r="D427" s="25" t="inlineStr">
        <is>
          <t>ST-051-STD-01</t>
        </is>
      </c>
      <c r="E427" s="25" t="inlineStr">
        <is>
          <t>IA-ST-051-STD-01</t>
        </is>
      </c>
      <c r="F427" s="25" t="inlineStr">
        <is>
          <t>IA-ST-CFG-0122</t>
        </is>
      </c>
      <c r="G427" s="25" t="n">
        <v>47.0384</v>
      </c>
      <c r="H427" s="25" t="inlineStr">
        <is>
          <t>988-pack GENERATED</t>
        </is>
      </c>
    </row>
    <row r="428">
      <c r="A428" s="25" t="inlineStr">
        <is>
          <t>1011937</t>
        </is>
      </c>
      <c r="B428" s="25" t="inlineStr">
        <is>
          <t>AKÜ,D31,TK,100AH,IGYSMF,HUGEL ULTRA,NASA</t>
        </is>
      </c>
      <c r="C428" s="25" t="inlineStr">
        <is>
          <t>1</t>
        </is>
      </c>
      <c r="D428" s="25" t="inlineStr">
        <is>
          <t>ST-054-STD-07</t>
        </is>
      </c>
      <c r="E428" s="25" t="inlineStr">
        <is>
          <t>IA-ST-054-STD-07</t>
        </is>
      </c>
      <c r="F428" s="25" t="inlineStr">
        <is>
          <t>IA-ST-CFG-0143</t>
        </is>
      </c>
      <c r="G428" s="25" t="n">
        <v>33.7838</v>
      </c>
      <c r="H428" s="25" t="inlineStr">
        <is>
          <t>988-pack GENERATED</t>
        </is>
      </c>
    </row>
    <row r="429">
      <c r="A429" s="25" t="inlineStr">
        <is>
          <t>1011938</t>
        </is>
      </c>
      <c r="B429" s="25" t="inlineStr">
        <is>
          <t>AKÜ,D31,DK,100AH,IGY SMF,HUGEL,NASA</t>
        </is>
      </c>
      <c r="C429" s="25" t="inlineStr">
        <is>
          <t>1</t>
        </is>
      </c>
      <c r="D429" s="25" t="inlineStr">
        <is>
          <t>ST-054-STD-07</t>
        </is>
      </c>
      <c r="E429" s="25" t="inlineStr">
        <is>
          <t>IA-ST-054-STD-07</t>
        </is>
      </c>
      <c r="F429" s="25" t="inlineStr">
        <is>
          <t>IA-ST-CFG-0143</t>
        </is>
      </c>
      <c r="G429" s="25" t="n">
        <v>33.7838</v>
      </c>
      <c r="H429" s="25" t="inlineStr">
        <is>
          <t>988-pack GENERATED</t>
        </is>
      </c>
    </row>
    <row r="430">
      <c r="A430" s="25" t="inlineStr">
        <is>
          <t>1011939</t>
        </is>
      </c>
      <c r="B430" s="25" t="inlineStr">
        <is>
          <t>AKÜ,D31,TK,100AH,IGYSMF,EAS,KOLİLİ,ATWAN</t>
        </is>
      </c>
      <c r="C430" s="25" t="inlineStr">
        <is>
          <t>1</t>
        </is>
      </c>
      <c r="D430" s="25" t="inlineStr">
        <is>
          <t>ST-051-STD-01</t>
        </is>
      </c>
      <c r="E430" s="25" t="inlineStr">
        <is>
          <t>IA-ST-051-STD-01</t>
        </is>
      </c>
      <c r="F430" s="25" t="inlineStr">
        <is>
          <t>IA-ST-CFG-0122</t>
        </is>
      </c>
      <c r="G430" s="25" t="n">
        <v>47.0384</v>
      </c>
      <c r="H430" s="25" t="inlineStr">
        <is>
          <t>988-pack GENERATED</t>
        </is>
      </c>
    </row>
    <row r="431">
      <c r="A431" s="25" t="inlineStr">
        <is>
          <t>1011940</t>
        </is>
      </c>
      <c r="B431" s="25" t="inlineStr">
        <is>
          <t>AKÜ,D31,TK,80AH,IGYA,FORMLA,KOLİEECMISIR</t>
        </is>
      </c>
      <c r="C431" s="25" t="inlineStr">
        <is>
          <t>1</t>
        </is>
      </c>
      <c r="D431" s="25" t="inlineStr">
        <is>
          <t>ST-051-STD-07</t>
        </is>
      </c>
      <c r="E431" s="25" t="inlineStr">
        <is>
          <t>IA-ST-051-STD-07</t>
        </is>
      </c>
      <c r="F431" s="25" t="inlineStr">
        <is>
          <t>IA-ST-CFG-0128</t>
        </is>
      </c>
      <c r="G431" s="25" t="n">
        <v>47.7284</v>
      </c>
      <c r="H431" s="25" t="inlineStr">
        <is>
          <t>988-pack GENERATED</t>
        </is>
      </c>
    </row>
    <row r="432">
      <c r="A432" s="25" t="inlineStr">
        <is>
          <t>1011941</t>
        </is>
      </c>
      <c r="B432" s="25" t="inlineStr">
        <is>
          <t>AKÜ,D31,DK,80AH,IGYA,FORMLA,KOLİEECMISIR</t>
        </is>
      </c>
      <c r="C432" s="25" t="inlineStr">
        <is>
          <t>1</t>
        </is>
      </c>
      <c r="D432" s="25" t="inlineStr">
        <is>
          <t>ST-051-STD-07</t>
        </is>
      </c>
      <c r="E432" s="25" t="inlineStr">
        <is>
          <t>IA-ST-051-STD-07</t>
        </is>
      </c>
      <c r="F432" s="25" t="inlineStr">
        <is>
          <t>IA-ST-CFG-0128</t>
        </is>
      </c>
      <c r="G432" s="25" t="n">
        <v>47.7284</v>
      </c>
      <c r="H432" s="25" t="inlineStr">
        <is>
          <t>988-pack GENERATED</t>
        </is>
      </c>
    </row>
    <row r="433">
      <c r="A433" s="25" t="inlineStr">
        <is>
          <t>1011945</t>
        </is>
      </c>
      <c r="B433" s="25" t="inlineStr">
        <is>
          <t>AKÜ,D31,DK,90AH,IGYSMF,HUGELULTRA,NACITA</t>
        </is>
      </c>
      <c r="C433" s="25" t="inlineStr">
        <is>
          <t>1</t>
        </is>
      </c>
      <c r="D433" s="25" t="inlineStr">
        <is>
          <t>ST-054-STD-07</t>
        </is>
      </c>
      <c r="E433" s="25" t="inlineStr">
        <is>
          <t>IA-ST-054-STD-07</t>
        </is>
      </c>
      <c r="F433" s="25" t="inlineStr">
        <is>
          <t>IA-ST-CFG-0143</t>
        </is>
      </c>
      <c r="G433" s="25" t="n">
        <v>33.7838</v>
      </c>
      <c r="H433" s="25" t="inlineStr">
        <is>
          <t>988-pack GENERATED</t>
        </is>
      </c>
    </row>
    <row r="434">
      <c r="A434" s="25" t="inlineStr">
        <is>
          <t>1011946</t>
        </is>
      </c>
      <c r="B434" s="25" t="inlineStr">
        <is>
          <t>AKÜ,D31,DK,90AH,IGY SMF,İNCİ FORMULA</t>
        </is>
      </c>
      <c r="C434" s="25" t="inlineStr">
        <is>
          <t>1</t>
        </is>
      </c>
      <c r="D434" s="25" t="inlineStr">
        <is>
          <t>ST-054-STD-07</t>
        </is>
      </c>
      <c r="E434" s="25" t="inlineStr">
        <is>
          <t>IA-ST-054-STD-07</t>
        </is>
      </c>
      <c r="F434" s="25" t="inlineStr">
        <is>
          <t>IA-ST-CFG-0143</t>
        </is>
      </c>
      <c r="G434" s="25" t="n">
        <v>33.7838</v>
      </c>
      <c r="H434" s="25" t="inlineStr">
        <is>
          <t>988-pack GENERATED</t>
        </is>
      </c>
    </row>
    <row r="435">
      <c r="A435" s="25" t="inlineStr">
        <is>
          <t>1011948</t>
        </is>
      </c>
      <c r="B435" s="25" t="inlineStr">
        <is>
          <t>AKÜ,D31,TK,90AH,IGY SMF,İNCİ FORMULA</t>
        </is>
      </c>
      <c r="C435" s="25" t="inlineStr">
        <is>
          <t>1</t>
        </is>
      </c>
      <c r="D435" s="25" t="inlineStr">
        <is>
          <t>ST-054-STD-07</t>
        </is>
      </c>
      <c r="E435" s="25" t="inlineStr">
        <is>
          <t>IA-ST-054-STD-07</t>
        </is>
      </c>
      <c r="F435" s="25" t="inlineStr">
        <is>
          <t>IA-ST-CFG-0143</t>
        </is>
      </c>
      <c r="G435" s="25" t="n">
        <v>33.7838</v>
      </c>
      <c r="H435" s="25" t="inlineStr">
        <is>
          <t>988-pack GENERATED</t>
        </is>
      </c>
    </row>
    <row r="436">
      <c r="A436" s="25" t="inlineStr">
        <is>
          <t>1011950</t>
        </is>
      </c>
      <c r="B436" s="25" t="inlineStr">
        <is>
          <t>AKÜ,D31,TK,100AH,IGYASMF,İNCİ FORM TAURS</t>
        </is>
      </c>
      <c r="C436" s="25" t="inlineStr">
        <is>
          <t>1</t>
        </is>
      </c>
      <c r="D436" s="25" t="inlineStr">
        <is>
          <t>ST-054-STD-07</t>
        </is>
      </c>
      <c r="E436" s="25" t="inlineStr">
        <is>
          <t>IA-ST-054-STD-07</t>
        </is>
      </c>
      <c r="F436" s="25" t="inlineStr">
        <is>
          <t>IA-ST-CFG-0143</t>
        </is>
      </c>
      <c r="G436" s="25" t="n">
        <v>33.7838</v>
      </c>
      <c r="H436" s="25" t="inlineStr">
        <is>
          <t>988-pack GENERATED</t>
        </is>
      </c>
    </row>
    <row r="437">
      <c r="A437" s="25" t="inlineStr">
        <is>
          <t>1011952</t>
        </is>
      </c>
      <c r="B437" s="25" t="inlineStr">
        <is>
          <t>AKÜ,D31,DK,100AH,IGYASMF,İNCİ FORM TAURS</t>
        </is>
      </c>
      <c r="C437" s="25" t="inlineStr">
        <is>
          <t>1</t>
        </is>
      </c>
      <c r="D437" s="25" t="inlineStr">
        <is>
          <t>ST-054-STD-07</t>
        </is>
      </c>
      <c r="E437" s="25" t="inlineStr">
        <is>
          <t>IA-ST-054-STD-07</t>
        </is>
      </c>
      <c r="F437" s="25" t="inlineStr">
        <is>
          <t>IA-ST-CFG-0143</t>
        </is>
      </c>
      <c r="G437" s="25" t="n">
        <v>33.7838</v>
      </c>
      <c r="H437" s="25" t="inlineStr">
        <is>
          <t>988-pack GENERATED</t>
        </is>
      </c>
    </row>
    <row r="438">
      <c r="A438" s="25" t="inlineStr">
        <is>
          <t>1011956</t>
        </is>
      </c>
      <c r="B438" s="25" t="inlineStr">
        <is>
          <t>AKÜ,D31,DK,80AH,IGYASMF,EAS ACTIVA,ATWAN</t>
        </is>
      </c>
      <c r="C438" s="25" t="inlineStr">
        <is>
          <t>1</t>
        </is>
      </c>
      <c r="D438" s="25" t="inlineStr">
        <is>
          <t>ST-054-STD-07</t>
        </is>
      </c>
      <c r="E438" s="25" t="inlineStr">
        <is>
          <t>IA-ST-054-STD-07</t>
        </is>
      </c>
      <c r="F438" s="25" t="inlineStr">
        <is>
          <t>IA-ST-CFG-0143</t>
        </is>
      </c>
      <c r="G438" s="25" t="n">
        <v>33.7838</v>
      </c>
      <c r="H438" s="25" t="inlineStr">
        <is>
          <t>988-pack GENERATED</t>
        </is>
      </c>
    </row>
    <row r="439">
      <c r="A439" s="25" t="inlineStr">
        <is>
          <t>1011960</t>
        </is>
      </c>
      <c r="B439" s="25" t="inlineStr">
        <is>
          <t>AKÜ,L5,DK,100AH,IGYSMF,İNCİTAUR,EECMISIR</t>
        </is>
      </c>
      <c r="C439" s="25" t="inlineStr">
        <is>
          <t>1</t>
        </is>
      </c>
      <c r="D439" s="25" t="inlineStr">
        <is>
          <t>ST-045-STD-08</t>
        </is>
      </c>
      <c r="E439" s="25" t="inlineStr">
        <is>
          <t>IA-ST-045-STD-08</t>
        </is>
      </c>
      <c r="F439" s="25" t="inlineStr">
        <is>
          <t>IA-ST-CFG-0096</t>
        </is>
      </c>
      <c r="G439" s="25" t="n">
        <v>29.7192</v>
      </c>
      <c r="H439" s="25" t="inlineStr">
        <is>
          <t>988-pack GENERATED</t>
        </is>
      </c>
    </row>
    <row r="440">
      <c r="A440" s="25" t="inlineStr">
        <is>
          <t>1011961</t>
        </is>
      </c>
      <c r="B440" s="25" t="inlineStr">
        <is>
          <t>AKÜ,L5,DK,100AH,IGYA SMF,HUGEL ULTRA</t>
        </is>
      </c>
      <c r="C440" s="25" t="inlineStr">
        <is>
          <t>1</t>
        </is>
      </c>
      <c r="D440" s="25" t="inlineStr">
        <is>
          <t>ST-045-STD-08</t>
        </is>
      </c>
      <c r="E440" s="25" t="inlineStr">
        <is>
          <t>IA-ST-045-STD-08</t>
        </is>
      </c>
      <c r="F440" s="25" t="inlineStr">
        <is>
          <t>IA-ST-CFG-0096</t>
        </is>
      </c>
      <c r="G440" s="25" t="n">
        <v>29.7192</v>
      </c>
      <c r="H440" s="25" t="inlineStr">
        <is>
          <t>988-pack GENERATED</t>
        </is>
      </c>
    </row>
    <row r="441">
      <c r="A441" s="25" t="inlineStr">
        <is>
          <t>1011965</t>
        </is>
      </c>
      <c r="B441" s="25" t="inlineStr">
        <is>
          <t>AKÜ,L5,DK,90AH,IGYA SMF,İNCİ EFB PANTERA</t>
        </is>
      </c>
      <c r="C441" s="25" t="inlineStr">
        <is>
          <t>1</t>
        </is>
      </c>
      <c r="D441" s="25" t="inlineStr">
        <is>
          <t>ST-045-STD-08</t>
        </is>
      </c>
      <c r="E441" s="25" t="inlineStr">
        <is>
          <t>IA-ST-045-STD-08</t>
        </is>
      </c>
      <c r="F441" s="25" t="inlineStr">
        <is>
          <t>IA-ST-CFG-0096</t>
        </is>
      </c>
      <c r="G441" s="25" t="n">
        <v>29.7192</v>
      </c>
      <c r="H441" s="25" t="inlineStr">
        <is>
          <t>988-pack GENERATED</t>
        </is>
      </c>
    </row>
    <row r="442">
      <c r="A442" s="25" t="inlineStr">
        <is>
          <t>1011966</t>
        </is>
      </c>
      <c r="B442" s="25" t="inlineStr">
        <is>
          <t>AKÜ,L5,DK,100AH,IGYASMF,İNCİEFBMAXTIGRIS</t>
        </is>
      </c>
      <c r="C442" s="25" t="inlineStr">
        <is>
          <t>1</t>
        </is>
      </c>
      <c r="D442" s="25" t="inlineStr">
        <is>
          <t>ST-045-STD-08</t>
        </is>
      </c>
      <c r="E442" s="25" t="inlineStr">
        <is>
          <t>IA-ST-045-STD-08</t>
        </is>
      </c>
      <c r="F442" s="25" t="inlineStr">
        <is>
          <t>IA-ST-CFG-0096</t>
        </is>
      </c>
      <c r="G442" s="25" t="n">
        <v>29.7192</v>
      </c>
      <c r="H442" s="25" t="inlineStr">
        <is>
          <t>988-pack GENERATED</t>
        </is>
      </c>
    </row>
    <row r="443">
      <c r="A443" s="25" t="inlineStr">
        <is>
          <t>1011967</t>
        </is>
      </c>
      <c r="B443" s="25" t="inlineStr">
        <is>
          <t>AKÜ,L5,DK,100AH,IGYASMF,HUGELULTR,NACITA</t>
        </is>
      </c>
      <c r="C443" s="25" t="inlineStr">
        <is>
          <t>1</t>
        </is>
      </c>
      <c r="D443" s="25" t="inlineStr">
        <is>
          <t>ST-045-STD-08</t>
        </is>
      </c>
      <c r="E443" s="25" t="inlineStr">
        <is>
          <t>IA-ST-045-STD-08</t>
        </is>
      </c>
      <c r="F443" s="25" t="inlineStr">
        <is>
          <t>IA-ST-CFG-0096</t>
        </is>
      </c>
      <c r="G443" s="25" t="n">
        <v>29.7192</v>
      </c>
      <c r="H443" s="25" t="inlineStr">
        <is>
          <t>988-pack GENERATED</t>
        </is>
      </c>
    </row>
    <row r="444">
      <c r="A444" s="25" t="inlineStr">
        <is>
          <t>1011968</t>
        </is>
      </c>
      <c r="B444" s="25" t="inlineStr">
        <is>
          <t>AKÜ,L5,DK,100AH,IGYASMF,BLIZSILVER,MISIR</t>
        </is>
      </c>
      <c r="C444" s="25" t="inlineStr">
        <is>
          <t>1</t>
        </is>
      </c>
      <c r="D444" s="25" t="inlineStr">
        <is>
          <t>ST-045-STD-08</t>
        </is>
      </c>
      <c r="E444" s="25" t="inlineStr">
        <is>
          <t>IA-ST-045-STD-08</t>
        </is>
      </c>
      <c r="F444" s="25" t="inlineStr">
        <is>
          <t>IA-ST-CFG-0096</t>
        </is>
      </c>
      <c r="G444" s="25" t="n">
        <v>29.7192</v>
      </c>
      <c r="H444" s="25" t="inlineStr">
        <is>
          <t>988-pack GENERATED</t>
        </is>
      </c>
    </row>
    <row r="445">
      <c r="A445" s="25" t="inlineStr">
        <is>
          <t>1011969</t>
        </is>
      </c>
      <c r="B445" s="25" t="inlineStr">
        <is>
          <t>AKÜ,L5,DK,90AH,IGYASMF,HUGELULTRA,NACITA</t>
        </is>
      </c>
      <c r="C445" s="25" t="inlineStr">
        <is>
          <t>1</t>
        </is>
      </c>
      <c r="D445" s="25" t="inlineStr">
        <is>
          <t>ST-045-STD-08</t>
        </is>
      </c>
      <c r="E445" s="25" t="inlineStr">
        <is>
          <t>IA-ST-045-STD-08</t>
        </is>
      </c>
      <c r="F445" s="25" t="inlineStr">
        <is>
          <t>IA-ST-CFG-0096</t>
        </is>
      </c>
      <c r="G445" s="25" t="n">
        <v>29.7192</v>
      </c>
      <c r="H445" s="25" t="inlineStr">
        <is>
          <t>988-pack GENERATED</t>
        </is>
      </c>
    </row>
    <row r="446">
      <c r="A446" s="25" t="inlineStr">
        <is>
          <t>1011970</t>
        </is>
      </c>
      <c r="B446" s="25" t="inlineStr">
        <is>
          <t>AKÜ,L5,DK,90AH,IGYASMF,BLIZSILVER,MISIR</t>
        </is>
      </c>
      <c r="C446" s="25" t="inlineStr">
        <is>
          <t>1</t>
        </is>
      </c>
      <c r="D446" s="25" t="inlineStr">
        <is>
          <t>ST-045-STD-08</t>
        </is>
      </c>
      <c r="E446" s="25" t="inlineStr">
        <is>
          <t>IA-ST-045-STD-08</t>
        </is>
      </c>
      <c r="F446" s="25" t="inlineStr">
        <is>
          <t>IA-ST-CFG-0096</t>
        </is>
      </c>
      <c r="G446" s="25" t="n">
        <v>29.7192</v>
      </c>
      <c r="H446" s="25" t="inlineStr">
        <is>
          <t>988-pack GENERATED</t>
        </is>
      </c>
    </row>
    <row r="447">
      <c r="A447" s="25" t="inlineStr">
        <is>
          <t>1011971</t>
        </is>
      </c>
      <c r="B447" s="25" t="inlineStr">
        <is>
          <t>AKÜ,L5,DK,88AH,IGYSMF,EASACTVKOLİLİATWAN</t>
        </is>
      </c>
      <c r="C447" s="25" t="inlineStr">
        <is>
          <t>1</t>
        </is>
      </c>
      <c r="D447" s="25" t="inlineStr">
        <is>
          <t>ST-060-STD-01</t>
        </is>
      </c>
      <c r="E447" s="25" t="inlineStr">
        <is>
          <t>IA-ST-060-STD-01</t>
        </is>
      </c>
      <c r="F447" s="25" t="inlineStr">
        <is>
          <t>IA-ST-CFG-0165</t>
        </is>
      </c>
      <c r="G447" s="25" t="n">
        <v>49.136</v>
      </c>
      <c r="H447" s="25" t="inlineStr">
        <is>
          <t>988-pack GENERATED</t>
        </is>
      </c>
    </row>
    <row r="448">
      <c r="A448" s="25" t="inlineStr">
        <is>
          <t>1011972</t>
        </is>
      </c>
      <c r="B448" s="25" t="inlineStr">
        <is>
          <t>AKÜ,L5,DK,102AH,IGYASMF,İNCİ FORM TAURUS</t>
        </is>
      </c>
      <c r="C448" s="25" t="inlineStr">
        <is>
          <t>1</t>
        </is>
      </c>
      <c r="D448" s="25" t="inlineStr">
        <is>
          <t>ST-045-STD-08</t>
        </is>
      </c>
      <c r="E448" s="25" t="inlineStr">
        <is>
          <t>IA-ST-045-STD-08</t>
        </is>
      </c>
      <c r="F448" s="25" t="inlineStr">
        <is>
          <t>IA-ST-CFG-0096</t>
        </is>
      </c>
      <c r="G448" s="25" t="n">
        <v>29.7192</v>
      </c>
      <c r="H448" s="25" t="inlineStr">
        <is>
          <t>988-pack GENERATED</t>
        </is>
      </c>
    </row>
    <row r="449">
      <c r="A449" s="25" t="inlineStr">
        <is>
          <t>1011974</t>
        </is>
      </c>
      <c r="B449" s="25" t="inlineStr">
        <is>
          <t>AKÜ,L5,DK,100AH,IGYASMF,İNCİ FORM TAURUS</t>
        </is>
      </c>
      <c r="C449" s="25" t="inlineStr">
        <is>
          <t>1</t>
        </is>
      </c>
      <c r="D449" s="25" t="inlineStr">
        <is>
          <t>ST-045-STD-08</t>
        </is>
      </c>
      <c r="E449" s="25" t="inlineStr">
        <is>
          <t>IA-ST-045-STD-08</t>
        </is>
      </c>
      <c r="F449" s="25" t="inlineStr">
        <is>
          <t>IA-ST-CFG-0096</t>
        </is>
      </c>
      <c r="G449" s="25" t="n">
        <v>29.7192</v>
      </c>
      <c r="H449" s="25" t="inlineStr">
        <is>
          <t>988-pack GENERATED</t>
        </is>
      </c>
    </row>
    <row r="450">
      <c r="A450" s="25" t="inlineStr">
        <is>
          <t>1011977</t>
        </is>
      </c>
      <c r="B450" s="25" t="inlineStr">
        <is>
          <t>AKÜ,L5,DK,90AH,IGYSMF,İNCİTAURS,EECMISIR</t>
        </is>
      </c>
      <c r="C450" s="25" t="inlineStr">
        <is>
          <t>1</t>
        </is>
      </c>
      <c r="D450" s="25" t="inlineStr">
        <is>
          <t>ST-045-STD-08</t>
        </is>
      </c>
      <c r="E450" s="25" t="inlineStr">
        <is>
          <t>IA-ST-045-STD-08</t>
        </is>
      </c>
      <c r="F450" s="25" t="inlineStr">
        <is>
          <t>IA-ST-CFG-0096</t>
        </is>
      </c>
      <c r="G450" s="25" t="n">
        <v>29.7192</v>
      </c>
      <c r="H450" s="25" t="inlineStr">
        <is>
          <t>988-pack GENERATED</t>
        </is>
      </c>
    </row>
    <row r="451">
      <c r="A451" s="25" t="inlineStr">
        <is>
          <t>1011981</t>
        </is>
      </c>
      <c r="B451" s="25" t="inlineStr">
        <is>
          <t>AKÜ,L5,DK,100AH,IGYA SMF,ENERGY MAX</t>
        </is>
      </c>
      <c r="C451" s="25" t="inlineStr">
        <is>
          <t>1</t>
        </is>
      </c>
      <c r="D451" s="25" t="inlineStr">
        <is>
          <t>ST-045-STD-08</t>
        </is>
      </c>
      <c r="E451" s="25" t="inlineStr">
        <is>
          <t>IA-ST-045-STD-08</t>
        </is>
      </c>
      <c r="F451" s="25" t="inlineStr">
        <is>
          <t>IA-ST-CFG-0096</t>
        </is>
      </c>
      <c r="G451" s="25" t="n">
        <v>29.7192</v>
      </c>
      <c r="H451" s="25" t="inlineStr">
        <is>
          <t>988-pack GENERATED</t>
        </is>
      </c>
    </row>
    <row r="452">
      <c r="A452" s="25" t="inlineStr">
        <is>
          <t>1011982</t>
        </is>
      </c>
      <c r="B452" s="25" t="inlineStr">
        <is>
          <t>AKÜ,L4,DK,82AH,IGYA SMF,HUGEL ULTRA</t>
        </is>
      </c>
      <c r="C452" s="25" t="inlineStr">
        <is>
          <t>1</t>
        </is>
      </c>
      <c r="D452" s="25" t="inlineStr">
        <is>
          <t>ST-072-STD-22</t>
        </is>
      </c>
      <c r="E452" s="25" t="inlineStr">
        <is>
          <t>IA-ST-072-STD-22</t>
        </is>
      </c>
      <c r="F452" s="25" t="inlineStr">
        <is>
          <t>IA-ST-CFG-0231</t>
        </is>
      </c>
      <c r="G452" s="25" t="n">
        <v>30.6372</v>
      </c>
      <c r="H452" s="25" t="inlineStr">
        <is>
          <t>988-pack GENERATED</t>
        </is>
      </c>
    </row>
    <row r="453">
      <c r="A453" s="25" t="inlineStr">
        <is>
          <t>1011983</t>
        </is>
      </c>
      <c r="B453" s="25" t="inlineStr">
        <is>
          <t>AKÜ,L4,DK,82AH,IGYASMF,BLİZSILVER,JANENE</t>
        </is>
      </c>
      <c r="C453" s="25" t="inlineStr">
        <is>
          <t>1</t>
        </is>
      </c>
      <c r="D453" s="25" t="inlineStr">
        <is>
          <t>ST-072-STD-22</t>
        </is>
      </c>
      <c r="E453" s="25" t="inlineStr">
        <is>
          <t>IA-ST-072-STD-22</t>
        </is>
      </c>
      <c r="F453" s="25" t="inlineStr">
        <is>
          <t>IA-ST-CFG-0231</t>
        </is>
      </c>
      <c r="G453" s="25" t="n">
        <v>30.6372</v>
      </c>
      <c r="H453" s="25" t="inlineStr">
        <is>
          <t>988-pack GENERATED</t>
        </is>
      </c>
    </row>
    <row r="454">
      <c r="A454" s="25" t="inlineStr">
        <is>
          <t>1011985</t>
        </is>
      </c>
      <c r="B454" s="25" t="inlineStr">
        <is>
          <t>AKÜ,L1,DK,50AH,IGYASMF,HUGEL ACTION,NASA</t>
        </is>
      </c>
      <c r="C454" s="25" t="inlineStr">
        <is>
          <t>1</t>
        </is>
      </c>
      <c r="D454" s="25" t="inlineStr">
        <is>
          <t>ST-087-STD-03</t>
        </is>
      </c>
      <c r="E454" s="25" t="inlineStr">
        <is>
          <t>IA-ST-087-STD-03</t>
        </is>
      </c>
      <c r="F454" s="25" t="inlineStr">
        <is>
          <t>IA-ST-CFG-0248</t>
        </is>
      </c>
      <c r="G454" s="25" t="n">
        <v>31.0092</v>
      </c>
      <c r="H454" s="25" t="inlineStr">
        <is>
          <t>988-pack GENERATED</t>
        </is>
      </c>
    </row>
    <row r="455">
      <c r="A455" s="25" t="inlineStr">
        <is>
          <t>1011986</t>
        </is>
      </c>
      <c r="B455" s="25" t="inlineStr">
        <is>
          <t>AKÜ,L1,DK,45AH,IGYA SMF,HUGEL ACTION</t>
        </is>
      </c>
      <c r="C455" s="25" t="inlineStr">
        <is>
          <t>1</t>
        </is>
      </c>
      <c r="D455" s="25" t="inlineStr">
        <is>
          <t>ST-087-STD-03</t>
        </is>
      </c>
      <c r="E455" s="25" t="inlineStr">
        <is>
          <t>IA-ST-087-STD-03</t>
        </is>
      </c>
      <c r="F455" s="25" t="inlineStr">
        <is>
          <t>IA-ST-CFG-0248</t>
        </is>
      </c>
      <c r="G455" s="25" t="n">
        <v>31.0092</v>
      </c>
      <c r="H455" s="25" t="inlineStr">
        <is>
          <t>988-pack GENERATED</t>
        </is>
      </c>
    </row>
    <row r="456">
      <c r="A456" s="25" t="inlineStr">
        <is>
          <t>1011987</t>
        </is>
      </c>
      <c r="B456" s="25" t="inlineStr">
        <is>
          <t>AKÜ,L1,DK,50AH,IGYASMF,BLIZ SILVR,JANENE</t>
        </is>
      </c>
      <c r="C456" s="25" t="inlineStr">
        <is>
          <t>1</t>
        </is>
      </c>
      <c r="D456" s="25" t="inlineStr">
        <is>
          <t>ST-087-STD-03</t>
        </is>
      </c>
      <c r="E456" s="25" t="inlineStr">
        <is>
          <t>IA-ST-087-STD-03</t>
        </is>
      </c>
      <c r="F456" s="25" t="inlineStr">
        <is>
          <t>IA-ST-CFG-0248</t>
        </is>
      </c>
      <c r="G456" s="25" t="n">
        <v>31.0092</v>
      </c>
      <c r="H456" s="25" t="inlineStr">
        <is>
          <t>988-pack GENERATED</t>
        </is>
      </c>
    </row>
    <row r="457">
      <c r="A457" s="25" t="inlineStr">
        <is>
          <t>1011988</t>
        </is>
      </c>
      <c r="B457" s="25" t="inlineStr">
        <is>
          <t>AKÜ,L1,DK,44AH,IGYASMF,HUGELULTRA,NACITA</t>
        </is>
      </c>
      <c r="C457" s="25" t="inlineStr">
        <is>
          <t>1</t>
        </is>
      </c>
      <c r="D457" s="25" t="inlineStr">
        <is>
          <t>ST-087-STD-03</t>
        </is>
      </c>
      <c r="E457" s="25" t="inlineStr">
        <is>
          <t>IA-ST-087-STD-03</t>
        </is>
      </c>
      <c r="F457" s="25" t="inlineStr">
        <is>
          <t>IA-ST-CFG-0248</t>
        </is>
      </c>
      <c r="G457" s="25" t="n">
        <v>31.0092</v>
      </c>
      <c r="H457" s="25" t="inlineStr">
        <is>
          <t>988-pack GENERATED</t>
        </is>
      </c>
    </row>
    <row r="458">
      <c r="A458" s="25" t="inlineStr">
        <is>
          <t>1011989</t>
        </is>
      </c>
      <c r="B458" s="25" t="inlineStr">
        <is>
          <t>AKÜ,L1,DK,44AH,IGYASMF,BLIZSILVRL,MISIR</t>
        </is>
      </c>
      <c r="C458" s="25" t="inlineStr">
        <is>
          <t>1</t>
        </is>
      </c>
      <c r="D458" s="25" t="inlineStr">
        <is>
          <t>ST-087-STD-03</t>
        </is>
      </c>
      <c r="E458" s="25" t="inlineStr">
        <is>
          <t>IA-ST-087-STD-03</t>
        </is>
      </c>
      <c r="F458" s="25" t="inlineStr">
        <is>
          <t>IA-ST-CFG-0248</t>
        </is>
      </c>
      <c r="G458" s="25" t="n">
        <v>31.0092</v>
      </c>
      <c r="H458" s="25" t="inlineStr">
        <is>
          <t>988-pack GENERATED</t>
        </is>
      </c>
    </row>
    <row r="459">
      <c r="A459" s="25" t="inlineStr">
        <is>
          <t>1011990</t>
        </is>
      </c>
      <c r="B459" s="25" t="inlineStr">
        <is>
          <t>AKÜ,L1,DK,44AH,IGY SMF,HUGEL ULTRA,GULF</t>
        </is>
      </c>
      <c r="C459" s="25" t="inlineStr">
        <is>
          <t>1</t>
        </is>
      </c>
      <c r="D459" s="25" t="inlineStr">
        <is>
          <t>ST-087-STD-03</t>
        </is>
      </c>
      <c r="E459" s="25" t="inlineStr">
        <is>
          <t>IA-ST-087-STD-03</t>
        </is>
      </c>
      <c r="F459" s="25" t="inlineStr">
        <is>
          <t>IA-ST-CFG-0248</t>
        </is>
      </c>
      <c r="G459" s="25" t="n">
        <v>31.0092</v>
      </c>
      <c r="H459" s="25" t="inlineStr">
        <is>
          <t>988-pack GENERATED</t>
        </is>
      </c>
    </row>
    <row r="460">
      <c r="A460" s="25" t="inlineStr">
        <is>
          <t>1011991</t>
        </is>
      </c>
      <c r="B460" s="25" t="inlineStr">
        <is>
          <t>AKÜ,L1,DK,44AH,IGYA SMF,İNCİ FORMULA</t>
        </is>
      </c>
      <c r="C460" s="25" t="inlineStr">
        <is>
          <t>1</t>
        </is>
      </c>
      <c r="D460" s="25" t="inlineStr">
        <is>
          <t>ST-087-STD-03</t>
        </is>
      </c>
      <c r="E460" s="25" t="inlineStr">
        <is>
          <t>IA-ST-087-STD-03</t>
        </is>
      </c>
      <c r="F460" s="25" t="inlineStr">
        <is>
          <t>IA-ST-CFG-0248</t>
        </is>
      </c>
      <c r="G460" s="25" t="n">
        <v>31.0092</v>
      </c>
      <c r="H460" s="25" t="inlineStr">
        <is>
          <t>988-pack GENERATED</t>
        </is>
      </c>
    </row>
    <row r="461">
      <c r="A461" s="25" t="inlineStr">
        <is>
          <t>1011992</t>
        </is>
      </c>
      <c r="B461" s="25" t="inlineStr">
        <is>
          <t>AKÜ,L1,DK,50AH,IGYA SMF,İNCİ FORM TAURUS</t>
        </is>
      </c>
      <c r="C461" s="25" t="inlineStr">
        <is>
          <t>1</t>
        </is>
      </c>
      <c r="D461" s="25" t="inlineStr">
        <is>
          <t>ST-087-STD-03</t>
        </is>
      </c>
      <c r="E461" s="25" t="inlineStr">
        <is>
          <t>IA-ST-087-STD-03</t>
        </is>
      </c>
      <c r="F461" s="25" t="inlineStr">
        <is>
          <t>IA-ST-CFG-0248</t>
        </is>
      </c>
      <c r="G461" s="25" t="n">
        <v>31.0092</v>
      </c>
      <c r="H461" s="25" t="inlineStr">
        <is>
          <t>988-pack GENERATED</t>
        </is>
      </c>
    </row>
    <row r="462">
      <c r="A462" s="25" t="inlineStr">
        <is>
          <t>1011999</t>
        </is>
      </c>
      <c r="B462" s="25" t="inlineStr">
        <is>
          <t>AKÜ,L4,DK,80AH,IGYA SMF,İNCİ EFB PANTERA</t>
        </is>
      </c>
      <c r="C462" s="25" t="inlineStr">
        <is>
          <t>1</t>
        </is>
      </c>
      <c r="D462" s="25" t="inlineStr">
        <is>
          <t>ST-054-STD-06</t>
        </is>
      </c>
      <c r="E462" s="25" t="inlineStr">
        <is>
          <t>IA-ST-054-STD-06</t>
        </is>
      </c>
      <c r="F462" s="25" t="inlineStr">
        <is>
          <t>IA-ST-CFG-0142</t>
        </is>
      </c>
      <c r="G462" s="25" t="n">
        <v>29.7552</v>
      </c>
      <c r="H462" s="25" t="inlineStr">
        <is>
          <t>988-pack GENERATED</t>
        </is>
      </c>
    </row>
    <row r="463">
      <c r="A463" s="25" t="inlineStr">
        <is>
          <t>1012001</t>
        </is>
      </c>
      <c r="B463" s="25" t="inlineStr">
        <is>
          <t>AKÜ,L4,DK,82AH,IGYA SMF,İNCİ FORM TAURUS</t>
        </is>
      </c>
      <c r="C463" s="25" t="inlineStr">
        <is>
          <t>1</t>
        </is>
      </c>
      <c r="D463" s="25" t="inlineStr">
        <is>
          <t>ST-072-STD-22</t>
        </is>
      </c>
      <c r="E463" s="25" t="inlineStr">
        <is>
          <t>IA-ST-072-STD-22</t>
        </is>
      </c>
      <c r="F463" s="25" t="inlineStr">
        <is>
          <t>IA-ST-CFG-0231</t>
        </is>
      </c>
      <c r="G463" s="25" t="n">
        <v>30.6372</v>
      </c>
      <c r="H463" s="25" t="inlineStr">
        <is>
          <t>988-pack GENERATED</t>
        </is>
      </c>
    </row>
    <row r="464">
      <c r="A464" s="25" t="inlineStr">
        <is>
          <t>1012003</t>
        </is>
      </c>
      <c r="B464" s="25" t="inlineStr">
        <is>
          <t>AKÜ,L2,DK,55AH,IGYA SMF,HUGEL ULTRA,NASA</t>
        </is>
      </c>
      <c r="C464" s="25" t="inlineStr">
        <is>
          <t>1</t>
        </is>
      </c>
      <c r="D464" s="25" t="inlineStr">
        <is>
          <t>ST-072-STD-13</t>
        </is>
      </c>
      <c r="E464" s="25" t="inlineStr">
        <is>
          <t>IA-ST-072-STD-13</t>
        </is>
      </c>
      <c r="F464" s="25" t="inlineStr">
        <is>
          <t>IA-ST-CFG-0222</t>
        </is>
      </c>
      <c r="G464" s="25" t="n">
        <v>30.6552</v>
      </c>
      <c r="H464" s="25" t="inlineStr">
        <is>
          <t>988-pack GENERATED</t>
        </is>
      </c>
    </row>
    <row r="465">
      <c r="A465" s="25" t="inlineStr">
        <is>
          <t>1012004</t>
        </is>
      </c>
      <c r="B465" s="25" t="inlineStr">
        <is>
          <t>AKÜ,L2,DK,62AH,IGYA SMF,HUGEL ULTRA</t>
        </is>
      </c>
      <c r="C465" s="25" t="inlineStr">
        <is>
          <t>1</t>
        </is>
      </c>
      <c r="D465" s="25" t="inlineStr">
        <is>
          <t>ST-072-STD-13</t>
        </is>
      </c>
      <c r="E465" s="25" t="inlineStr">
        <is>
          <t>IA-ST-072-STD-13</t>
        </is>
      </c>
      <c r="F465" s="25" t="inlineStr">
        <is>
          <t>IA-ST-CFG-0222</t>
        </is>
      </c>
      <c r="G465" s="25" t="n">
        <v>30.6552</v>
      </c>
      <c r="H465" s="25" t="inlineStr">
        <is>
          <t>988-pack GENERATED</t>
        </is>
      </c>
    </row>
    <row r="466">
      <c r="A466" s="25" t="inlineStr">
        <is>
          <t>1012006</t>
        </is>
      </c>
      <c r="B466" s="25" t="inlineStr">
        <is>
          <t>AKÜ,L2,DK,55AH,IGYA SMF,HUGEL ACTION</t>
        </is>
      </c>
      <c r="C466" s="25" t="inlineStr">
        <is>
          <t>1</t>
        </is>
      </c>
      <c r="D466" s="25" t="inlineStr">
        <is>
          <t>ST-072-STD-13</t>
        </is>
      </c>
      <c r="E466" s="25" t="inlineStr">
        <is>
          <t>IA-ST-072-STD-13</t>
        </is>
      </c>
      <c r="F466" s="25" t="inlineStr">
        <is>
          <t>IA-ST-CFG-0222</t>
        </is>
      </c>
      <c r="G466" s="25" t="n">
        <v>30.6552</v>
      </c>
      <c r="H466" s="25" t="inlineStr">
        <is>
          <t>988-pack GENERATED</t>
        </is>
      </c>
    </row>
    <row r="467">
      <c r="A467" s="25" t="inlineStr">
        <is>
          <t>1012007</t>
        </is>
      </c>
      <c r="B467" s="25" t="inlineStr">
        <is>
          <t>AKÜ,L2,DK,60AH,IGYA SMF,HUGEL ACTION</t>
        </is>
      </c>
      <c r="C467" s="25" t="inlineStr">
        <is>
          <t>1</t>
        </is>
      </c>
      <c r="D467" s="25" t="inlineStr">
        <is>
          <t>ST-072-STD-13</t>
        </is>
      </c>
      <c r="E467" s="25" t="inlineStr">
        <is>
          <t>IA-ST-072-STD-13</t>
        </is>
      </c>
      <c r="F467" s="25" t="inlineStr">
        <is>
          <t>IA-ST-CFG-0222</t>
        </is>
      </c>
      <c r="G467" s="25" t="n">
        <v>30.6552</v>
      </c>
      <c r="H467" s="25" t="inlineStr">
        <is>
          <t>988-pack GENERATED</t>
        </is>
      </c>
    </row>
    <row r="468">
      <c r="A468" s="25" t="inlineStr">
        <is>
          <t>1012009</t>
        </is>
      </c>
      <c r="B468" s="25" t="inlineStr">
        <is>
          <t>AKÜ,L2,DK,60AH,IGYASMF,BLIZ SILVR,JANENE</t>
        </is>
      </c>
      <c r="C468" s="25" t="inlineStr">
        <is>
          <t>1</t>
        </is>
      </c>
      <c r="D468" s="25" t="inlineStr">
        <is>
          <t>ST-072-STD-13</t>
        </is>
      </c>
      <c r="E468" s="25" t="inlineStr">
        <is>
          <t>IA-ST-072-STD-13</t>
        </is>
      </c>
      <c r="F468" s="25" t="inlineStr">
        <is>
          <t>IA-ST-CFG-0222</t>
        </is>
      </c>
      <c r="G468" s="25" t="n">
        <v>30.6552</v>
      </c>
      <c r="H468" s="25" t="inlineStr">
        <is>
          <t>988-pack GENERATED</t>
        </is>
      </c>
    </row>
    <row r="469">
      <c r="A469" s="25" t="inlineStr">
        <is>
          <t>1012010</t>
        </is>
      </c>
      <c r="B469" s="25" t="inlineStr">
        <is>
          <t>AKÜ,L2,DK,55AH,IGYASMF,BLIZ.TREND,JANENE</t>
        </is>
      </c>
      <c r="C469" s="25" t="inlineStr">
        <is>
          <t>1</t>
        </is>
      </c>
      <c r="D469" s="25" t="inlineStr">
        <is>
          <t>ST-072-STD-13</t>
        </is>
      </c>
      <c r="E469" s="25" t="inlineStr">
        <is>
          <t>IA-ST-072-STD-13</t>
        </is>
      </c>
      <c r="F469" s="25" t="inlineStr">
        <is>
          <t>IA-ST-CFG-0222</t>
        </is>
      </c>
      <c r="G469" s="25" t="n">
        <v>30.6552</v>
      </c>
      <c r="H469" s="25" t="inlineStr">
        <is>
          <t>988-pack GENERATED</t>
        </is>
      </c>
    </row>
    <row r="470">
      <c r="A470" s="25" t="inlineStr">
        <is>
          <t>1012011</t>
        </is>
      </c>
      <c r="B470" s="25" t="inlineStr">
        <is>
          <t>AKÜ,L2,DK,62AH,IGYA,FORMLA,KOLİ,EECMISIR</t>
        </is>
      </c>
      <c r="C470" s="25" t="inlineStr">
        <is>
          <t>1</t>
        </is>
      </c>
      <c r="D470" s="25" t="inlineStr">
        <is>
          <t>ST-088-STD-08</t>
        </is>
      </c>
      <c r="E470" s="25" t="inlineStr">
        <is>
          <t>IA-ST-088-STD-08</t>
        </is>
      </c>
      <c r="F470" s="25" t="inlineStr">
        <is>
          <t>IA-ST-CFG-0261</t>
        </is>
      </c>
      <c r="G470" s="25" t="n">
        <v>50.876</v>
      </c>
      <c r="H470" s="25" t="inlineStr">
        <is>
          <t>988-pack GENERATED</t>
        </is>
      </c>
    </row>
    <row r="471">
      <c r="A471" s="25" t="inlineStr">
        <is>
          <t>1012013</t>
        </is>
      </c>
      <c r="B471" s="25" t="inlineStr">
        <is>
          <t>AKÜ,L3,DK,72AH,IGYASMF,HUGEL ACTION,NASA</t>
        </is>
      </c>
      <c r="C471" s="25" t="inlineStr">
        <is>
          <t>1</t>
        </is>
      </c>
      <c r="D471" s="25" t="inlineStr">
        <is>
          <t>ST-063-STD-08</t>
        </is>
      </c>
      <c r="E471" s="25" t="inlineStr">
        <is>
          <t>IA-ST-063-STD-08</t>
        </is>
      </c>
      <c r="F471" s="25" t="inlineStr">
        <is>
          <t>IA-ST-CFG-0179</t>
        </is>
      </c>
      <c r="G471" s="25" t="n">
        <v>29.9992</v>
      </c>
      <c r="H471" s="25" t="inlineStr">
        <is>
          <t>988-pack GENERATED</t>
        </is>
      </c>
    </row>
    <row r="472">
      <c r="A472" s="25" t="inlineStr">
        <is>
          <t>1012014</t>
        </is>
      </c>
      <c r="B472" s="25" t="inlineStr">
        <is>
          <t>AKÜ,L3,DK,75AH,IGYA SMF,HUGEL ULTRA</t>
        </is>
      </c>
      <c r="C472" s="25" t="inlineStr">
        <is>
          <t>1</t>
        </is>
      </c>
      <c r="D472" s="25" t="inlineStr">
        <is>
          <t>ST-063-STD-08</t>
        </is>
      </c>
      <c r="E472" s="25" t="inlineStr">
        <is>
          <t>IA-ST-063-STD-08</t>
        </is>
      </c>
      <c r="F472" s="25" t="inlineStr">
        <is>
          <t>IA-ST-CFG-0179</t>
        </is>
      </c>
      <c r="G472" s="25" t="n">
        <v>29.9992</v>
      </c>
      <c r="H472" s="25" t="inlineStr">
        <is>
          <t>988-pack GENERATED</t>
        </is>
      </c>
    </row>
    <row r="473">
      <c r="A473" s="25" t="inlineStr">
        <is>
          <t>1012015</t>
        </is>
      </c>
      <c r="B473" s="25" t="inlineStr">
        <is>
          <t>AKÜ,L3,DK,75AH,IGYA SMF,HUGEL ULTRA</t>
        </is>
      </c>
      <c r="C473" s="25" t="inlineStr">
        <is>
          <t>1</t>
        </is>
      </c>
      <c r="D473" s="25" t="inlineStr">
        <is>
          <t>ST-063-STD-08</t>
        </is>
      </c>
      <c r="E473" s="25" t="inlineStr">
        <is>
          <t>IA-ST-063-STD-08</t>
        </is>
      </c>
      <c r="F473" s="25" t="inlineStr">
        <is>
          <t>IA-ST-CFG-0179</t>
        </is>
      </c>
      <c r="G473" s="25" t="n">
        <v>29.9992</v>
      </c>
      <c r="H473" s="25" t="inlineStr">
        <is>
          <t>988-pack GENERATED</t>
        </is>
      </c>
    </row>
    <row r="474">
      <c r="A474" s="25" t="inlineStr">
        <is>
          <t>1012016</t>
        </is>
      </c>
      <c r="B474" s="25" t="inlineStr">
        <is>
          <t>AKÜ,L3,DK,72AH,IGYA SMF,HUGEL ACTION</t>
        </is>
      </c>
      <c r="C474" s="25" t="inlineStr">
        <is>
          <t>1</t>
        </is>
      </c>
      <c r="D474" s="25" t="inlineStr">
        <is>
          <t>ST-063-STD-08</t>
        </is>
      </c>
      <c r="E474" s="25" t="inlineStr">
        <is>
          <t>IA-ST-063-STD-08</t>
        </is>
      </c>
      <c r="F474" s="25" t="inlineStr">
        <is>
          <t>IA-ST-CFG-0179</t>
        </is>
      </c>
      <c r="G474" s="25" t="n">
        <v>29.9992</v>
      </c>
      <c r="H474" s="25" t="inlineStr">
        <is>
          <t>988-pack GENERATED</t>
        </is>
      </c>
    </row>
    <row r="475">
      <c r="A475" s="25" t="inlineStr">
        <is>
          <t>1012017</t>
        </is>
      </c>
      <c r="B475" s="25" t="inlineStr">
        <is>
          <t>AKÜ,L3,TK,75AH,IGYA SMF,HUGEL ULTRA</t>
        </is>
      </c>
      <c r="C475" s="25" t="inlineStr">
        <is>
          <t>1</t>
        </is>
      </c>
      <c r="D475" s="25" t="inlineStr">
        <is>
          <t>ST-063-STD-08</t>
        </is>
      </c>
      <c r="E475" s="25" t="inlineStr">
        <is>
          <t>IA-ST-063-STD-08</t>
        </is>
      </c>
      <c r="F475" s="25" t="inlineStr">
        <is>
          <t>IA-ST-CFG-0179</t>
        </is>
      </c>
      <c r="G475" s="25" t="n">
        <v>29.9992</v>
      </c>
      <c r="H475" s="25" t="inlineStr">
        <is>
          <t>988-pack GENERATED</t>
        </is>
      </c>
    </row>
    <row r="476">
      <c r="A476" s="25" t="inlineStr">
        <is>
          <t>1012019</t>
        </is>
      </c>
      <c r="B476" s="25" t="inlineStr">
        <is>
          <t>AKÜ,L2,DK,55AH,IGYASMF,HUGEL ULTRA,ATLAS</t>
        </is>
      </c>
      <c r="C476" s="25" t="inlineStr">
        <is>
          <t>1</t>
        </is>
      </c>
      <c r="D476" s="25" t="inlineStr">
        <is>
          <t>ST-072-STD-13</t>
        </is>
      </c>
      <c r="E476" s="25" t="inlineStr">
        <is>
          <t>IA-ST-072-STD-13</t>
        </is>
      </c>
      <c r="F476" s="25" t="inlineStr">
        <is>
          <t>IA-ST-CFG-0222</t>
        </is>
      </c>
      <c r="G476" s="25" t="n">
        <v>30.6552</v>
      </c>
      <c r="H476" s="25" t="inlineStr">
        <is>
          <t>988-pack GENERATED</t>
        </is>
      </c>
    </row>
    <row r="477">
      <c r="A477" s="25" t="inlineStr">
        <is>
          <t>1012020</t>
        </is>
      </c>
      <c r="B477" s="25" t="inlineStr">
        <is>
          <t>AKÜ,L3,DK,74AH,IGYA SMF,HUGEL ACTION</t>
        </is>
      </c>
      <c r="C477" s="25" t="inlineStr">
        <is>
          <t>1</t>
        </is>
      </c>
      <c r="D477" s="25" t="inlineStr">
        <is>
          <t>ST-063-STD-08</t>
        </is>
      </c>
      <c r="E477" s="25" t="inlineStr">
        <is>
          <t>IA-ST-063-STD-08</t>
        </is>
      </c>
      <c r="F477" s="25" t="inlineStr">
        <is>
          <t>IA-ST-CFG-0179</t>
        </is>
      </c>
      <c r="G477" s="25" t="n">
        <v>29.9992</v>
      </c>
      <c r="H477" s="25" t="inlineStr">
        <is>
          <t>988-pack GENERATED</t>
        </is>
      </c>
    </row>
    <row r="478">
      <c r="A478" s="25" t="inlineStr">
        <is>
          <t>1012022</t>
        </is>
      </c>
      <c r="B478" s="25" t="inlineStr">
        <is>
          <t>AKÜ,L3,DK,75AH,IGYA SMF,EAS ACTIVA</t>
        </is>
      </c>
      <c r="C478" s="25" t="inlineStr">
        <is>
          <t>1</t>
        </is>
      </c>
      <c r="D478" s="25" t="inlineStr">
        <is>
          <t>ST-063-STD-08</t>
        </is>
      </c>
      <c r="E478" s="25" t="inlineStr">
        <is>
          <t>IA-ST-063-STD-08</t>
        </is>
      </c>
      <c r="F478" s="25" t="inlineStr">
        <is>
          <t>IA-ST-CFG-0179</t>
        </is>
      </c>
      <c r="G478" s="25" t="n">
        <v>29.9992</v>
      </c>
      <c r="H478" s="25" t="inlineStr">
        <is>
          <t>988-pack GENERATED</t>
        </is>
      </c>
    </row>
    <row r="479">
      <c r="A479" s="25" t="inlineStr">
        <is>
          <t>1012023</t>
        </is>
      </c>
      <c r="B479" s="25" t="inlineStr">
        <is>
          <t>AKÜ,L2,DK,60AH,IGYSMF,İNCİEFBPANT,MIRKAZ</t>
        </is>
      </c>
      <c r="C479" s="25" t="inlineStr">
        <is>
          <t>1</t>
        </is>
      </c>
      <c r="D479" s="25" t="inlineStr">
        <is>
          <t>ST-072-STD-13</t>
        </is>
      </c>
      <c r="E479" s="25" t="inlineStr">
        <is>
          <t>IA-ST-072-STD-13</t>
        </is>
      </c>
      <c r="F479" s="25" t="inlineStr">
        <is>
          <t>IA-ST-CFG-0222</t>
        </is>
      </c>
      <c r="G479" s="25" t="n">
        <v>30.6552</v>
      </c>
      <c r="H479" s="25" t="inlineStr">
        <is>
          <t>988-pack GENERATED</t>
        </is>
      </c>
    </row>
    <row r="480">
      <c r="A480" s="25" t="inlineStr">
        <is>
          <t>1012024</t>
        </is>
      </c>
      <c r="B480" s="25" t="inlineStr">
        <is>
          <t>AKÜ,L3,DK,75AH,IGYASMF,BLIZSILVER,JANENE</t>
        </is>
      </c>
      <c r="C480" s="25" t="inlineStr">
        <is>
          <t>1</t>
        </is>
      </c>
      <c r="D480" s="25" t="inlineStr">
        <is>
          <t>ST-063-STD-08</t>
        </is>
      </c>
      <c r="E480" s="25" t="inlineStr">
        <is>
          <t>IA-ST-063-STD-08</t>
        </is>
      </c>
      <c r="F480" s="25" t="inlineStr">
        <is>
          <t>IA-ST-CFG-0179</t>
        </is>
      </c>
      <c r="G480" s="25" t="n">
        <v>29.9992</v>
      </c>
      <c r="H480" s="25" t="inlineStr">
        <is>
          <t>988-pack GENERATED</t>
        </is>
      </c>
    </row>
    <row r="481">
      <c r="A481" s="25" t="inlineStr">
        <is>
          <t>1012025</t>
        </is>
      </c>
      <c r="B481" s="25" t="inlineStr">
        <is>
          <t>AKÜ,L3,DK,75AH,IGYSMF,İNCİTAUR,EEC MISIR</t>
        </is>
      </c>
      <c r="C481" s="25" t="inlineStr">
        <is>
          <t>1</t>
        </is>
      </c>
      <c r="D481" s="25" t="inlineStr">
        <is>
          <t>ST-063-STD-08</t>
        </is>
      </c>
      <c r="E481" s="25" t="inlineStr">
        <is>
          <t>IA-ST-063-STD-08</t>
        </is>
      </c>
      <c r="F481" s="25" t="inlineStr">
        <is>
          <t>IA-ST-CFG-0179</t>
        </is>
      </c>
      <c r="G481" s="25" t="n">
        <v>29.9992</v>
      </c>
      <c r="H481" s="25" t="inlineStr">
        <is>
          <t>988-pack GENERATED</t>
        </is>
      </c>
    </row>
    <row r="482">
      <c r="A482" s="25" t="inlineStr">
        <is>
          <t>1012027</t>
        </is>
      </c>
      <c r="B482" s="25" t="inlineStr">
        <is>
          <t>AKÜ,L3,DK,75AH,IGYASMF,BLIZZARO SILVERLN</t>
        </is>
      </c>
      <c r="C482" s="25" t="inlineStr">
        <is>
          <t>1</t>
        </is>
      </c>
      <c r="D482" s="25" t="inlineStr">
        <is>
          <t>ST-063-STD-08</t>
        </is>
      </c>
      <c r="E482" s="25" t="inlineStr">
        <is>
          <t>IA-ST-063-STD-08</t>
        </is>
      </c>
      <c r="F482" s="25" t="inlineStr">
        <is>
          <t>IA-ST-CFG-0179</t>
        </is>
      </c>
      <c r="G482" s="25" t="n">
        <v>29.9992</v>
      </c>
      <c r="H482" s="25" t="inlineStr">
        <is>
          <t>988-pack GENERATED</t>
        </is>
      </c>
    </row>
    <row r="483">
      <c r="A483" s="25" t="inlineStr">
        <is>
          <t>1012030</t>
        </is>
      </c>
      <c r="B483" s="25" t="inlineStr">
        <is>
          <t>AKÜ,L2,DK,62AH,IGYASMF,HUGELULTRA,NACITA</t>
        </is>
      </c>
      <c r="C483" s="25" t="inlineStr">
        <is>
          <t>1</t>
        </is>
      </c>
      <c r="D483" s="25" t="inlineStr">
        <is>
          <t>ST-072-STD-13</t>
        </is>
      </c>
      <c r="E483" s="25" t="inlineStr">
        <is>
          <t>IA-ST-072-STD-13</t>
        </is>
      </c>
      <c r="F483" s="25" t="inlineStr">
        <is>
          <t>IA-ST-CFG-0222</t>
        </is>
      </c>
      <c r="G483" s="25" t="n">
        <v>30.6552</v>
      </c>
      <c r="H483" s="25" t="inlineStr">
        <is>
          <t>988-pack GENERATED</t>
        </is>
      </c>
    </row>
    <row r="484">
      <c r="A484" s="25" t="inlineStr">
        <is>
          <t>1012031</t>
        </is>
      </c>
      <c r="B484" s="25" t="inlineStr">
        <is>
          <t>AKÜ,L2,TK,62AH,IGYASMF,HUGELULTRA,NACITA</t>
        </is>
      </c>
      <c r="C484" s="25" t="inlineStr">
        <is>
          <t>1</t>
        </is>
      </c>
      <c r="D484" s="25" t="inlineStr">
        <is>
          <t>ST-072-STD-13</t>
        </is>
      </c>
      <c r="E484" s="25" t="inlineStr">
        <is>
          <t>IA-ST-072-STD-13</t>
        </is>
      </c>
      <c r="F484" s="25" t="inlineStr">
        <is>
          <t>IA-ST-CFG-0222</t>
        </is>
      </c>
      <c r="G484" s="25" t="n">
        <v>30.6552</v>
      </c>
      <c r="H484" s="25" t="inlineStr">
        <is>
          <t>988-pack GENERATED</t>
        </is>
      </c>
    </row>
    <row r="485">
      <c r="A485" s="25" t="inlineStr">
        <is>
          <t>1012032</t>
        </is>
      </c>
      <c r="B485" s="25" t="inlineStr">
        <is>
          <t>AKÜ,L3,DK,72AH,IGYA SMF,HUGEL ULTRA</t>
        </is>
      </c>
      <c r="C485" s="25" t="inlineStr">
        <is>
          <t>1</t>
        </is>
      </c>
      <c r="D485" s="25" t="inlineStr">
        <is>
          <t>ST-063-STD-08</t>
        </is>
      </c>
      <c r="E485" s="25" t="inlineStr">
        <is>
          <t>IA-ST-063-STD-08</t>
        </is>
      </c>
      <c r="F485" s="25" t="inlineStr">
        <is>
          <t>IA-ST-CFG-0179</t>
        </is>
      </c>
      <c r="G485" s="25" t="n">
        <v>29.9992</v>
      </c>
      <c r="H485" s="25" t="inlineStr">
        <is>
          <t>988-pack GENERATED</t>
        </is>
      </c>
    </row>
    <row r="486">
      <c r="A486" s="25" t="inlineStr">
        <is>
          <t>1012034</t>
        </is>
      </c>
      <c r="B486" s="25" t="inlineStr">
        <is>
          <t>AKÜ,L2,DK,62AH,IGYASMF,BLIZSILVRL,MISIR</t>
        </is>
      </c>
      <c r="C486" s="25" t="inlineStr">
        <is>
          <t>1</t>
        </is>
      </c>
      <c r="D486" s="25" t="inlineStr">
        <is>
          <t>ST-088-STD-06</t>
        </is>
      </c>
      <c r="E486" s="25" t="inlineStr">
        <is>
          <t>IA-ST-088-STD-06</t>
        </is>
      </c>
      <c r="F486" s="25" t="inlineStr">
        <is>
          <t>IA-ST-CFG-0259</t>
        </is>
      </c>
      <c r="G486" s="25" t="n">
        <v>50.606</v>
      </c>
      <c r="H486" s="25" t="inlineStr">
        <is>
          <t>988-pack GENERATED</t>
        </is>
      </c>
    </row>
    <row r="487">
      <c r="A487" s="25" t="inlineStr">
        <is>
          <t>1012035</t>
        </is>
      </c>
      <c r="B487" s="25" t="inlineStr">
        <is>
          <t>AKÜ,L2,TK,62AH,IGYASMF,BLIZSILVRL,MISIR</t>
        </is>
      </c>
      <c r="C487" s="25" t="inlineStr">
        <is>
          <t>1</t>
        </is>
      </c>
      <c r="D487" s="25" t="inlineStr">
        <is>
          <t>ST-088-STD-06</t>
        </is>
      </c>
      <c r="E487" s="25" t="inlineStr">
        <is>
          <t>IA-ST-088-STD-06</t>
        </is>
      </c>
      <c r="F487" s="25" t="inlineStr">
        <is>
          <t>IA-ST-CFG-0259</t>
        </is>
      </c>
      <c r="G487" s="25" t="n">
        <v>50.606</v>
      </c>
      <c r="H487" s="25" t="inlineStr">
        <is>
          <t>988-pack GENERATED</t>
        </is>
      </c>
    </row>
    <row r="488">
      <c r="A488" s="25" t="inlineStr">
        <is>
          <t>1012036</t>
        </is>
      </c>
      <c r="B488" s="25" t="inlineStr">
        <is>
          <t>AKÜ,L2,DK,60AH,IGY SMF,HUGEL ULTRA</t>
        </is>
      </c>
      <c r="C488" s="25" t="inlineStr">
        <is>
          <t>1</t>
        </is>
      </c>
      <c r="D488" s="25" t="inlineStr">
        <is>
          <t>ST-072-STD-13</t>
        </is>
      </c>
      <c r="E488" s="25" t="inlineStr">
        <is>
          <t>IA-ST-072-STD-13</t>
        </is>
      </c>
      <c r="F488" s="25" t="inlineStr">
        <is>
          <t>IA-ST-CFG-0222</t>
        </is>
      </c>
      <c r="G488" s="25" t="n">
        <v>30.6552</v>
      </c>
      <c r="H488" s="25" t="inlineStr">
        <is>
          <t>988-pack GENERATED</t>
        </is>
      </c>
    </row>
    <row r="489">
      <c r="A489" s="25" t="inlineStr">
        <is>
          <t>1012037</t>
        </is>
      </c>
      <c r="B489" s="25" t="inlineStr">
        <is>
          <t>AKÜ,L3,DK,75AH,IGYA SMF,ENERGY MAX</t>
        </is>
      </c>
      <c r="C489" s="25" t="inlineStr">
        <is>
          <t>1</t>
        </is>
      </c>
      <c r="D489" s="25" t="inlineStr">
        <is>
          <t>ST-063-STD-08</t>
        </is>
      </c>
      <c r="E489" s="25" t="inlineStr">
        <is>
          <t>IA-ST-063-STD-08</t>
        </is>
      </c>
      <c r="F489" s="25" t="inlineStr">
        <is>
          <t>IA-ST-CFG-0179</t>
        </is>
      </c>
      <c r="G489" s="25" t="n">
        <v>29.9992</v>
      </c>
      <c r="H489" s="25" t="inlineStr">
        <is>
          <t>988-pack GENERATED</t>
        </is>
      </c>
    </row>
    <row r="490">
      <c r="A490" s="25" t="inlineStr">
        <is>
          <t>1012038</t>
        </is>
      </c>
      <c r="B490" s="25" t="inlineStr">
        <is>
          <t>AKÜ,L2,DK,60AH,IGY SMF,EFBS&amp;S HUGEL,NASA</t>
        </is>
      </c>
      <c r="C490" s="25" t="inlineStr">
        <is>
          <t>1</t>
        </is>
      </c>
      <c r="D490" s="25" t="inlineStr">
        <is>
          <t>ST-072-STD-13</t>
        </is>
      </c>
      <c r="E490" s="25" t="inlineStr">
        <is>
          <t>IA-ST-072-STD-13</t>
        </is>
      </c>
      <c r="F490" s="25" t="inlineStr">
        <is>
          <t>IA-ST-CFG-0222</t>
        </is>
      </c>
      <c r="G490" s="25" t="n">
        <v>30.6552</v>
      </c>
      <c r="H490" s="25" t="inlineStr">
        <is>
          <t>988-pack GENERATED</t>
        </is>
      </c>
    </row>
    <row r="491">
      <c r="A491" s="25" t="inlineStr">
        <is>
          <t>1012040</t>
        </is>
      </c>
      <c r="B491" s="25" t="inlineStr">
        <is>
          <t>AKÜ,L3,DK,72AH,IGYSMF,İNCİEFBPANT,MIRKAZ</t>
        </is>
      </c>
      <c r="C491" s="25" t="inlineStr">
        <is>
          <t>1</t>
        </is>
      </c>
      <c r="D491" s="25" t="inlineStr">
        <is>
          <t>ST-063-STD-08</t>
        </is>
      </c>
      <c r="E491" s="25" t="inlineStr">
        <is>
          <t>IA-ST-063-STD-08</t>
        </is>
      </c>
      <c r="F491" s="25" t="inlineStr">
        <is>
          <t>IA-ST-CFG-0179</t>
        </is>
      </c>
      <c r="G491" s="25" t="n">
        <v>29.9992</v>
      </c>
      <c r="H491" s="25" t="inlineStr">
        <is>
          <t>988-pack GENERATED</t>
        </is>
      </c>
    </row>
    <row r="492">
      <c r="A492" s="25" t="inlineStr">
        <is>
          <t>1012041</t>
        </is>
      </c>
      <c r="B492" s="25" t="inlineStr">
        <is>
          <t>AKÜ,L2,DK,62AH,IGYASMF,EASACTVKOLİ,ATWAN</t>
        </is>
      </c>
      <c r="C492" s="25" t="inlineStr">
        <is>
          <t>1</t>
        </is>
      </c>
      <c r="D492" s="25" t="inlineStr">
        <is>
          <t>ST-088-STD-01</t>
        </is>
      </c>
      <c r="E492" s="25" t="inlineStr">
        <is>
          <t>IA-ST-088-STD-01</t>
        </is>
      </c>
      <c r="F492" s="25" t="inlineStr">
        <is>
          <t>IA-ST-CFG-0254</t>
        </is>
      </c>
      <c r="G492" s="25" t="n">
        <v>50.456</v>
      </c>
      <c r="H492" s="25" t="inlineStr">
        <is>
          <t>988-pack GENERATED</t>
        </is>
      </c>
    </row>
    <row r="493">
      <c r="A493" s="25" t="inlineStr">
        <is>
          <t>1012042</t>
        </is>
      </c>
      <c r="B493" s="25" t="inlineStr">
        <is>
          <t>AKÜ,L2,TK,62AH,IGYSMF,EAS ACTVKOLİ,ATWAN</t>
        </is>
      </c>
      <c r="C493" s="25" t="inlineStr">
        <is>
          <t>1</t>
        </is>
      </c>
      <c r="D493" s="25" t="inlineStr">
        <is>
          <t>ST-088-STD-01</t>
        </is>
      </c>
      <c r="E493" s="25" t="inlineStr">
        <is>
          <t>IA-ST-088-STD-01</t>
        </is>
      </c>
      <c r="F493" s="25" t="inlineStr">
        <is>
          <t>IA-ST-CFG-0254</t>
        </is>
      </c>
      <c r="G493" s="25" t="n">
        <v>50.456</v>
      </c>
      <c r="H493" s="25" t="inlineStr">
        <is>
          <t>988-pack GENERATED</t>
        </is>
      </c>
    </row>
    <row r="494">
      <c r="A494" s="25" t="inlineStr">
        <is>
          <t>1012043</t>
        </is>
      </c>
      <c r="B494" s="25" t="inlineStr">
        <is>
          <t>AKÜ,L3,DK,72AH,IGYA SMF,HUGEL EFB S&amp;S</t>
        </is>
      </c>
      <c r="C494" s="25" t="inlineStr">
        <is>
          <t>1</t>
        </is>
      </c>
      <c r="D494" s="25" t="inlineStr">
        <is>
          <t>ST-063-STD-08</t>
        </is>
      </c>
      <c r="E494" s="25" t="inlineStr">
        <is>
          <t>IA-ST-063-STD-08</t>
        </is>
      </c>
      <c r="F494" s="25" t="inlineStr">
        <is>
          <t>IA-ST-CFG-0179</t>
        </is>
      </c>
      <c r="G494" s="25" t="n">
        <v>29.9992</v>
      </c>
      <c r="H494" s="25" t="inlineStr">
        <is>
          <t>988-pack GENERATED</t>
        </is>
      </c>
    </row>
    <row r="495">
      <c r="A495" s="25" t="inlineStr">
        <is>
          <t>1012046</t>
        </is>
      </c>
      <c r="B495" s="25" t="inlineStr">
        <is>
          <t>AKÜ,L3,DK,72AH,IGYASMF,HUGEL EFBS&amp;S,NASA</t>
        </is>
      </c>
      <c r="C495" s="25" t="inlineStr">
        <is>
          <t>1</t>
        </is>
      </c>
      <c r="D495" s="25" t="inlineStr">
        <is>
          <t>ST-063-STD-08</t>
        </is>
      </c>
      <c r="E495" s="25" t="inlineStr">
        <is>
          <t>IA-ST-063-STD-08</t>
        </is>
      </c>
      <c r="F495" s="25" t="inlineStr">
        <is>
          <t>IA-ST-CFG-0179</t>
        </is>
      </c>
      <c r="G495" s="25" t="n">
        <v>29.9992</v>
      </c>
      <c r="H495" s="25" t="inlineStr">
        <is>
          <t>988-pack GENERATED</t>
        </is>
      </c>
    </row>
    <row r="496">
      <c r="A496" s="25" t="inlineStr">
        <is>
          <t>1012048</t>
        </is>
      </c>
      <c r="B496" s="25" t="inlineStr">
        <is>
          <t>AKÜ,L3,DK,66AH,IGYASMF,HUGELULTRA,NACITA</t>
        </is>
      </c>
      <c r="C496" s="25" t="inlineStr">
        <is>
          <t>1</t>
        </is>
      </c>
      <c r="D496" s="25" t="inlineStr">
        <is>
          <t>ST-063-STD-08</t>
        </is>
      </c>
      <c r="E496" s="25" t="inlineStr">
        <is>
          <t>IA-ST-063-STD-08</t>
        </is>
      </c>
      <c r="F496" s="25" t="inlineStr">
        <is>
          <t>IA-ST-CFG-0179</t>
        </is>
      </c>
      <c r="G496" s="25" t="n">
        <v>29.9992</v>
      </c>
      <c r="H496" s="25" t="inlineStr">
        <is>
          <t>988-pack GENERATED</t>
        </is>
      </c>
    </row>
    <row r="497">
      <c r="A497" s="25" t="inlineStr">
        <is>
          <t>1012050</t>
        </is>
      </c>
      <c r="B497" s="25" t="inlineStr">
        <is>
          <t>AKÜ,L3,DK,75AH,IGYASMF,BLIZSILVRL,MISIR</t>
        </is>
      </c>
      <c r="C497" s="25" t="inlineStr">
        <is>
          <t>1</t>
        </is>
      </c>
      <c r="D497" s="25" t="inlineStr">
        <is>
          <t>ST-063-STD-08</t>
        </is>
      </c>
      <c r="E497" s="25" t="inlineStr">
        <is>
          <t>IA-ST-063-STD-08</t>
        </is>
      </c>
      <c r="F497" s="25" t="inlineStr">
        <is>
          <t>IA-ST-CFG-0179</t>
        </is>
      </c>
      <c r="G497" s="25" t="n">
        <v>29.9992</v>
      </c>
      <c r="H497" s="25" t="inlineStr">
        <is>
          <t>988-pack GENERATED</t>
        </is>
      </c>
    </row>
    <row r="498">
      <c r="A498" s="25" t="inlineStr">
        <is>
          <t>1012051</t>
        </is>
      </c>
      <c r="B498" s="25" t="inlineStr">
        <is>
          <t>AKÜ,L2,TK,62AH,IGYA SMF,İNCİ FORM TAURUS</t>
        </is>
      </c>
      <c r="C498" s="25" t="inlineStr">
        <is>
          <t>1</t>
        </is>
      </c>
      <c r="D498" s="25" t="inlineStr">
        <is>
          <t>ST-072-STD-13</t>
        </is>
      </c>
      <c r="E498" s="25" t="inlineStr">
        <is>
          <t>IA-ST-072-STD-13</t>
        </is>
      </c>
      <c r="F498" s="25" t="inlineStr">
        <is>
          <t>IA-ST-CFG-0222</t>
        </is>
      </c>
      <c r="G498" s="25" t="n">
        <v>30.6552</v>
      </c>
      <c r="H498" s="25" t="inlineStr">
        <is>
          <t>988-pack GENERATED</t>
        </is>
      </c>
    </row>
    <row r="499">
      <c r="A499" s="25" t="inlineStr">
        <is>
          <t>1012052</t>
        </is>
      </c>
      <c r="B499" s="25" t="inlineStr">
        <is>
          <t>AKÜ,L2,DK,62AH,IGYA SMF,İNCİ FORM TAURUS</t>
        </is>
      </c>
      <c r="C499" s="25" t="inlineStr">
        <is>
          <t>1</t>
        </is>
      </c>
      <c r="D499" s="25" t="inlineStr">
        <is>
          <t>ST-072-STD-13</t>
        </is>
      </c>
      <c r="E499" s="25" t="inlineStr">
        <is>
          <t>IA-ST-072-STD-13</t>
        </is>
      </c>
      <c r="F499" s="25" t="inlineStr">
        <is>
          <t>IA-ST-CFG-0222</t>
        </is>
      </c>
      <c r="G499" s="25" t="n">
        <v>30.6552</v>
      </c>
      <c r="H499" s="25" t="inlineStr">
        <is>
          <t>988-pack GENERATED</t>
        </is>
      </c>
    </row>
    <row r="500">
      <c r="A500" s="25" t="inlineStr">
        <is>
          <t>1012053</t>
        </is>
      </c>
      <c r="B500" s="25" t="inlineStr">
        <is>
          <t>AKÜ,L3,DK,75AH,IGYASMF,HUGELULTRA,NACITA</t>
        </is>
      </c>
      <c r="C500" s="25" t="inlineStr">
        <is>
          <t>1</t>
        </is>
      </c>
      <c r="D500" s="25" t="inlineStr">
        <is>
          <t>ST-063-STD-08</t>
        </is>
      </c>
      <c r="E500" s="25" t="inlineStr">
        <is>
          <t>IA-ST-063-STD-08</t>
        </is>
      </c>
      <c r="F500" s="25" t="inlineStr">
        <is>
          <t>IA-ST-CFG-0179</t>
        </is>
      </c>
      <c r="G500" s="25" t="n">
        <v>29.9992</v>
      </c>
      <c r="H500" s="25" t="inlineStr">
        <is>
          <t>988-pack GENERATED</t>
        </is>
      </c>
    </row>
    <row r="501">
      <c r="A501" s="25" t="inlineStr">
        <is>
          <t>1012054</t>
        </is>
      </c>
      <c r="B501" s="25" t="inlineStr">
        <is>
          <t>AKÜ,L2,DK,62AH,IGY SMF,İNCİ FORMULA</t>
        </is>
      </c>
      <c r="C501" s="25" t="inlineStr">
        <is>
          <t>1</t>
        </is>
      </c>
      <c r="D501" s="25" t="inlineStr">
        <is>
          <t>ST-072-STD-13</t>
        </is>
      </c>
      <c r="E501" s="25" t="inlineStr">
        <is>
          <t>IA-ST-072-STD-13</t>
        </is>
      </c>
      <c r="F501" s="25" t="inlineStr">
        <is>
          <t>IA-ST-CFG-0222</t>
        </is>
      </c>
      <c r="G501" s="25" t="n">
        <v>30.6552</v>
      </c>
      <c r="H501" s="25" t="inlineStr">
        <is>
          <t>988-pack GENERATED</t>
        </is>
      </c>
    </row>
    <row r="502">
      <c r="A502" s="25" t="inlineStr">
        <is>
          <t>1012055</t>
        </is>
      </c>
      <c r="B502" s="25" t="inlineStr">
        <is>
          <t>AKÜ,L3,DK,66AH,IGYA SMF,EAS KOLİLİ,ATWAN</t>
        </is>
      </c>
      <c r="C502" s="25" t="inlineStr">
        <is>
          <t>1</t>
        </is>
      </c>
      <c r="D502" s="25" t="inlineStr">
        <is>
          <t>ST-072-STD-01</t>
        </is>
      </c>
      <c r="E502" s="25" t="inlineStr">
        <is>
          <t>IA-ST-072-STD-01</t>
        </is>
      </c>
      <c r="F502" s="25" t="inlineStr">
        <is>
          <t>IA-ST-CFG-0210</t>
        </is>
      </c>
      <c r="G502" s="25" t="n">
        <v>47.336</v>
      </c>
      <c r="H502" s="25" t="inlineStr">
        <is>
          <t>988-pack GENERATED</t>
        </is>
      </c>
    </row>
    <row r="503">
      <c r="A503" s="25" t="inlineStr">
        <is>
          <t>1012056</t>
        </is>
      </c>
      <c r="B503" s="25" t="inlineStr">
        <is>
          <t>AKÜ,L2,DK,55AH,IGYA SMF,İNCİ FORM TAURUS</t>
        </is>
      </c>
      <c r="C503" s="25" t="inlineStr">
        <is>
          <t>1</t>
        </is>
      </c>
      <c r="D503" s="25" t="inlineStr">
        <is>
          <t>ST-072-STD-13</t>
        </is>
      </c>
      <c r="E503" s="25" t="inlineStr">
        <is>
          <t>IA-ST-072-STD-13</t>
        </is>
      </c>
      <c r="F503" s="25" t="inlineStr">
        <is>
          <t>IA-ST-CFG-0222</t>
        </is>
      </c>
      <c r="G503" s="25" t="n">
        <v>30.6552</v>
      </c>
      <c r="H503" s="25" t="inlineStr">
        <is>
          <t>988-pack GENERATED</t>
        </is>
      </c>
    </row>
    <row r="504">
      <c r="A504" s="25" t="inlineStr">
        <is>
          <t>1012057</t>
        </is>
      </c>
      <c r="B504" s="25" t="inlineStr">
        <is>
          <t>AKÜ,L3,DK,75AH,IGYA SMF,EAS KOLİLİ,ATWAN</t>
        </is>
      </c>
      <c r="C504" s="25" t="inlineStr">
        <is>
          <t>1</t>
        </is>
      </c>
      <c r="D504" s="25" t="inlineStr">
        <is>
          <t>ST-072-STD-01</t>
        </is>
      </c>
      <c r="E504" s="25" t="inlineStr">
        <is>
          <t>IA-ST-072-STD-01</t>
        </is>
      </c>
      <c r="F504" s="25" t="inlineStr">
        <is>
          <t>IA-ST-CFG-0210</t>
        </is>
      </c>
      <c r="G504" s="25" t="n">
        <v>47.336</v>
      </c>
      <c r="H504" s="25" t="inlineStr">
        <is>
          <t>988-pack GENERATED</t>
        </is>
      </c>
    </row>
    <row r="505">
      <c r="A505" s="25" t="inlineStr">
        <is>
          <t>1012058</t>
        </is>
      </c>
      <c r="B505" s="25" t="inlineStr">
        <is>
          <t>AKÜ,L2,DK,60AH,IGYA SMF,İNCİ FORM TAURUS</t>
        </is>
      </c>
      <c r="C505" s="25" t="inlineStr">
        <is>
          <t>1</t>
        </is>
      </c>
      <c r="D505" s="25" t="inlineStr">
        <is>
          <t>ST-072-STD-13</t>
        </is>
      </c>
      <c r="E505" s="25" t="inlineStr">
        <is>
          <t>IA-ST-072-STD-13</t>
        </is>
      </c>
      <c r="F505" s="25" t="inlineStr">
        <is>
          <t>IA-ST-CFG-0222</t>
        </is>
      </c>
      <c r="G505" s="25" t="n">
        <v>30.6552</v>
      </c>
      <c r="H505" s="25" t="inlineStr">
        <is>
          <t>988-pack GENERATED</t>
        </is>
      </c>
    </row>
    <row r="506">
      <c r="A506" s="25" t="inlineStr">
        <is>
          <t>1012060</t>
        </is>
      </c>
      <c r="B506" s="25" t="inlineStr">
        <is>
          <t>AKÜ,L3,TK,75AH,IGYA SMF,İNCİ FORM TAURUS</t>
        </is>
      </c>
      <c r="C506" s="25" t="inlineStr">
        <is>
          <t>1</t>
        </is>
      </c>
      <c r="D506" s="25" t="inlineStr">
        <is>
          <t>ST-063-STD-08</t>
        </is>
      </c>
      <c r="E506" s="25" t="inlineStr">
        <is>
          <t>IA-ST-063-STD-08</t>
        </is>
      </c>
      <c r="F506" s="25" t="inlineStr">
        <is>
          <t>IA-ST-CFG-0179</t>
        </is>
      </c>
      <c r="G506" s="25" t="n">
        <v>29.9992</v>
      </c>
      <c r="H506" s="25" t="inlineStr">
        <is>
          <t>988-pack GENERATED</t>
        </is>
      </c>
    </row>
    <row r="507">
      <c r="A507" s="25" t="inlineStr">
        <is>
          <t>1012062</t>
        </is>
      </c>
      <c r="B507" s="25" t="inlineStr">
        <is>
          <t>AKÜ,L2,TK,62AH,IGYA,FORMLA,KOLİ,EECMISIR</t>
        </is>
      </c>
      <c r="C507" s="25" t="inlineStr">
        <is>
          <t>1</t>
        </is>
      </c>
      <c r="D507" s="25" t="inlineStr">
        <is>
          <t>ST-088-STD-08</t>
        </is>
      </c>
      <c r="E507" s="25" t="inlineStr">
        <is>
          <t>IA-ST-088-STD-08</t>
        </is>
      </c>
      <c r="F507" s="25" t="inlineStr">
        <is>
          <t>IA-ST-CFG-0261</t>
        </is>
      </c>
      <c r="G507" s="25" t="n">
        <v>50.876</v>
      </c>
      <c r="H507" s="25" t="inlineStr">
        <is>
          <t>988-pack GENERATED</t>
        </is>
      </c>
    </row>
    <row r="508">
      <c r="A508" s="25" t="inlineStr">
        <is>
          <t>1012063</t>
        </is>
      </c>
      <c r="B508" s="25" t="inlineStr">
        <is>
          <t>AKÜ,L3,DK,75AH,IGYA SMF,İNCİ FORM TAURUS</t>
        </is>
      </c>
      <c r="C508" s="25" t="inlineStr">
        <is>
          <t>1</t>
        </is>
      </c>
      <c r="D508" s="25" t="inlineStr">
        <is>
          <t>ST-063-STD-08</t>
        </is>
      </c>
      <c r="E508" s="25" t="inlineStr">
        <is>
          <t>IA-ST-063-STD-08</t>
        </is>
      </c>
      <c r="F508" s="25" t="inlineStr">
        <is>
          <t>IA-ST-CFG-0179</t>
        </is>
      </c>
      <c r="G508" s="25" t="n">
        <v>29.9992</v>
      </c>
      <c r="H508" s="25" t="inlineStr">
        <is>
          <t>988-pack GENERATED</t>
        </is>
      </c>
    </row>
    <row r="509">
      <c r="A509" s="25" t="inlineStr">
        <is>
          <t>1012067</t>
        </is>
      </c>
      <c r="B509" s="25" t="inlineStr">
        <is>
          <t>AKÜ,L3,DK,72AH,IGYA SMF,İNCİ FORM TAURUS</t>
        </is>
      </c>
      <c r="C509" s="25" t="inlineStr">
        <is>
          <t>1</t>
        </is>
      </c>
      <c r="D509" s="25" t="inlineStr">
        <is>
          <t>ST-063-STD-08</t>
        </is>
      </c>
      <c r="E509" s="25" t="inlineStr">
        <is>
          <t>IA-ST-063-STD-08</t>
        </is>
      </c>
      <c r="F509" s="25" t="inlineStr">
        <is>
          <t>IA-ST-CFG-0179</t>
        </is>
      </c>
      <c r="G509" s="25" t="n">
        <v>29.9992</v>
      </c>
      <c r="H509" s="25" t="inlineStr">
        <is>
          <t>988-pack GENERATED</t>
        </is>
      </c>
    </row>
    <row r="510">
      <c r="A510" s="25" t="inlineStr">
        <is>
          <t>1012085</t>
        </is>
      </c>
      <c r="B510" s="25" t="inlineStr">
        <is>
          <t>AKÜ,D31,DK,80AH,IGYSMF,HUGELULTRA,NACITA</t>
        </is>
      </c>
      <c r="C510" s="25" t="inlineStr">
        <is>
          <t>1</t>
        </is>
      </c>
      <c r="D510" s="25" t="inlineStr">
        <is>
          <t>ST-054-STD-07</t>
        </is>
      </c>
      <c r="E510" s="25" t="inlineStr">
        <is>
          <t>IA-ST-054-STD-07</t>
        </is>
      </c>
      <c r="F510" s="25" t="inlineStr">
        <is>
          <t>IA-ST-CFG-0143</t>
        </is>
      </c>
      <c r="G510" s="25" t="n">
        <v>33.7838</v>
      </c>
      <c r="H510" s="25" t="inlineStr">
        <is>
          <t>988-pack GENERATED</t>
        </is>
      </c>
    </row>
    <row r="511">
      <c r="A511" s="25" t="inlineStr">
        <is>
          <t>1012089</t>
        </is>
      </c>
      <c r="B511" s="25" t="inlineStr">
        <is>
          <t>AKÜ,L3,DK,72AH,IGYASMF,NOYPANISSANEFBOES</t>
        </is>
      </c>
      <c r="C511" s="25" t="inlineStr">
        <is>
          <t>1</t>
        </is>
      </c>
      <c r="D511" s="25" t="inlineStr">
        <is>
          <t>ST-063-STD-08</t>
        </is>
      </c>
      <c r="E511" s="25" t="inlineStr">
        <is>
          <t>IA-ST-063-STD-08</t>
        </is>
      </c>
      <c r="F511" s="25" t="inlineStr">
        <is>
          <t>IA-ST-CFG-0179</t>
        </is>
      </c>
      <c r="G511" s="25" t="n">
        <v>29.9992</v>
      </c>
      <c r="H511" s="25" t="inlineStr">
        <is>
          <t>988-pack GENERATED</t>
        </is>
      </c>
    </row>
    <row r="512">
      <c r="A512" s="25" t="inlineStr">
        <is>
          <t>1012090</t>
        </is>
      </c>
      <c r="B512" s="25" t="inlineStr">
        <is>
          <t>AKÜ,L2,DK,63AH,IGYASMF,NOYPANISSANEFBOES</t>
        </is>
      </c>
      <c r="C512" s="25" t="inlineStr">
        <is>
          <t>1</t>
        </is>
      </c>
      <c r="D512" s="25" t="inlineStr">
        <is>
          <t>ST-072-STD-13</t>
        </is>
      </c>
      <c r="E512" s="25" t="inlineStr">
        <is>
          <t>IA-ST-072-STD-13</t>
        </is>
      </c>
      <c r="F512" s="25" t="inlineStr">
        <is>
          <t>IA-ST-CFG-0222</t>
        </is>
      </c>
      <c r="G512" s="25" t="n">
        <v>30.6552</v>
      </c>
      <c r="H512" s="25" t="inlineStr">
        <is>
          <t>988-pack GENERATED</t>
        </is>
      </c>
    </row>
    <row r="513">
      <c r="A513" s="25" t="inlineStr">
        <is>
          <t>1012091</t>
        </is>
      </c>
      <c r="B513" s="25" t="inlineStr">
        <is>
          <t>AKÜ,L1,DK,50AH,IGYA SMF,NOYPA-NISSAN,OES</t>
        </is>
      </c>
      <c r="C513" s="25" t="inlineStr">
        <is>
          <t>1</t>
        </is>
      </c>
      <c r="D513" s="25" t="inlineStr">
        <is>
          <t>ST-087-STD-03</t>
        </is>
      </c>
      <c r="E513" s="25" t="inlineStr">
        <is>
          <t>IA-ST-087-STD-03</t>
        </is>
      </c>
      <c r="F513" s="25" t="inlineStr">
        <is>
          <t>IA-ST-CFG-0248</t>
        </is>
      </c>
      <c r="G513" s="25" t="n">
        <v>31.0092</v>
      </c>
      <c r="H513" s="25" t="inlineStr">
        <is>
          <t>988-pack GENERATED</t>
        </is>
      </c>
    </row>
    <row r="514">
      <c r="A514" s="25" t="inlineStr">
        <is>
          <t>1012092</t>
        </is>
      </c>
      <c r="B514" s="25" t="inlineStr">
        <is>
          <t>AKÜ,L2,DK,60AH,IGYA SMF,NOYPA-NISSAN,OES</t>
        </is>
      </c>
      <c r="C514" s="25" t="inlineStr">
        <is>
          <t>1</t>
        </is>
      </c>
      <c r="D514" s="25" t="inlineStr">
        <is>
          <t>ST-072-STD-13</t>
        </is>
      </c>
      <c r="E514" s="25" t="inlineStr">
        <is>
          <t>IA-ST-072-STD-13</t>
        </is>
      </c>
      <c r="F514" s="25" t="inlineStr">
        <is>
          <t>IA-ST-CFG-0222</t>
        </is>
      </c>
      <c r="G514" s="25" t="n">
        <v>30.6552</v>
      </c>
      <c r="H514" s="25" t="inlineStr">
        <is>
          <t>988-pack GENERATED</t>
        </is>
      </c>
    </row>
    <row r="515">
      <c r="A515" s="25" t="inlineStr">
        <is>
          <t>1012093</t>
        </is>
      </c>
      <c r="B515" s="25" t="inlineStr">
        <is>
          <t>AKÜ,L3,DK,70AH,IGYA SMF,NOYPA-NISSAN,OES</t>
        </is>
      </c>
      <c r="C515" s="25" t="inlineStr">
        <is>
          <t>1</t>
        </is>
      </c>
      <c r="D515" s="25" t="inlineStr">
        <is>
          <t>ST-063-STD-08</t>
        </is>
      </c>
      <c r="E515" s="25" t="inlineStr">
        <is>
          <t>IA-ST-063-STD-08</t>
        </is>
      </c>
      <c r="F515" s="25" t="inlineStr">
        <is>
          <t>IA-ST-CFG-0179</t>
        </is>
      </c>
      <c r="G515" s="25" t="n">
        <v>29.9992</v>
      </c>
      <c r="H515" s="25" t="inlineStr">
        <is>
          <t>988-pack GENERATED</t>
        </is>
      </c>
    </row>
    <row r="516">
      <c r="A516" s="25" t="inlineStr">
        <is>
          <t>1012094</t>
        </is>
      </c>
      <c r="B516" s="25" t="inlineStr">
        <is>
          <t>AKÜ,L2,DK,60AH,IGYA SMF,TEMSA EFB,YP,OES</t>
        </is>
      </c>
      <c r="C516" s="25" t="inlineStr">
        <is>
          <t>1</t>
        </is>
      </c>
      <c r="D516" s="25" t="inlineStr">
        <is>
          <t>ST-072-STD-18</t>
        </is>
      </c>
      <c r="E516" s="25" t="inlineStr">
        <is>
          <t>IA-ST-072-STD-18</t>
        </is>
      </c>
      <c r="F516" s="25" t="inlineStr">
        <is>
          <t>IA-ST-CFG-0227</t>
        </is>
      </c>
      <c r="G516" s="25" t="n">
        <v>30.3684</v>
      </c>
      <c r="H516" s="25" t="inlineStr">
        <is>
          <t>988-pack GENERATED</t>
        </is>
      </c>
    </row>
    <row r="517">
      <c r="A517" s="25" t="inlineStr">
        <is>
          <t>1012095</t>
        </is>
      </c>
      <c r="B517" s="25" t="inlineStr">
        <is>
          <t>AKÜ,L2,DK,60AH,IGYA SMF,TEMSA,YP,OES</t>
        </is>
      </c>
      <c r="C517" s="25" t="inlineStr">
        <is>
          <t>1</t>
        </is>
      </c>
      <c r="D517" s="25" t="inlineStr">
        <is>
          <t>ST-072-STD-18</t>
        </is>
      </c>
      <c r="E517" s="25" t="inlineStr">
        <is>
          <t>IA-ST-072-STD-18</t>
        </is>
      </c>
      <c r="F517" s="25" t="inlineStr">
        <is>
          <t>IA-ST-CFG-0227</t>
        </is>
      </c>
      <c r="G517" s="25" t="n">
        <v>30.3684</v>
      </c>
      <c r="H517" s="25" t="inlineStr">
        <is>
          <t>988-pack GENERATED</t>
        </is>
      </c>
    </row>
    <row r="518">
      <c r="A518" s="25" t="inlineStr">
        <is>
          <t>1012096</t>
        </is>
      </c>
      <c r="B518" s="25" t="inlineStr">
        <is>
          <t>AKÜ,D26,TK,75AH,IGYA SMF,TEMSA,YP,OES</t>
        </is>
      </c>
      <c r="C518" s="25" t="inlineStr">
        <is>
          <t>1</t>
        </is>
      </c>
      <c r="D518" s="25" t="inlineStr">
        <is>
          <t>ST-063-STD-05</t>
        </is>
      </c>
      <c r="E518" s="25" t="inlineStr">
        <is>
          <t>IA-ST-063-STD-05</t>
        </is>
      </c>
      <c r="F518" s="25" t="inlineStr">
        <is>
          <t>IA-ST-CFG-0176</t>
        </is>
      </c>
      <c r="G518" s="25" t="n">
        <v>33.8644</v>
      </c>
      <c r="H518" s="25" t="inlineStr">
        <is>
          <t>988-pack GENERATED</t>
        </is>
      </c>
    </row>
    <row r="519">
      <c r="A519" s="25" t="inlineStr">
        <is>
          <t>1012097</t>
        </is>
      </c>
      <c r="B519" s="25" t="inlineStr">
        <is>
          <t>AKÜ,L2,DK,IGYA SMF,EFB 60AH 560A,OV</t>
        </is>
      </c>
      <c r="C519" s="25" t="inlineStr">
        <is>
          <t>1</t>
        </is>
      </c>
      <c r="D519" s="25" t="inlineStr">
        <is>
          <t>ST-057-EUR-03</t>
        </is>
      </c>
      <c r="E519" s="25" t="inlineStr">
        <is>
          <t>IA-ST-057-EUR-03</t>
        </is>
      </c>
      <c r="F519" s="25" t="inlineStr">
        <is>
          <t>IA-ST-CFG-0162</t>
        </is>
      </c>
      <c r="G519" s="25" t="n">
        <v>27.926</v>
      </c>
      <c r="H519" s="25" t="inlineStr">
        <is>
          <t>988-pack GENERATED</t>
        </is>
      </c>
    </row>
    <row r="520">
      <c r="A520" s="25" t="inlineStr">
        <is>
          <t>1012098</t>
        </is>
      </c>
      <c r="B520" s="25" t="inlineStr">
        <is>
          <t>AKÜ,LB2,DK,IGYA SMF,60AH 510A,OV</t>
        </is>
      </c>
      <c r="C520" s="25" t="inlineStr">
        <is>
          <t>1</t>
        </is>
      </c>
      <c r="D520" s="25" t="inlineStr">
        <is>
          <t>ST-057-EUR-03</t>
        </is>
      </c>
      <c r="E520" s="25" t="inlineStr">
        <is>
          <t>IA-ST-057-EUR-03</t>
        </is>
      </c>
      <c r="F520" s="25" t="inlineStr">
        <is>
          <t>IA-ST-CFG-0162</t>
        </is>
      </c>
      <c r="G520" s="25" t="n">
        <v>27.926</v>
      </c>
      <c r="H520" s="25" t="inlineStr">
        <is>
          <t>988-pack GENERATED</t>
        </is>
      </c>
    </row>
    <row r="521">
      <c r="A521" s="25" t="inlineStr">
        <is>
          <t>1012099</t>
        </is>
      </c>
      <c r="B521" s="25" t="inlineStr">
        <is>
          <t>AKÜ,LB1,DK,IGYA SMF,50AH 420A,OV</t>
        </is>
      </c>
      <c r="C521" s="25" t="inlineStr">
        <is>
          <t>1</t>
        </is>
      </c>
      <c r="D521" s="25" t="inlineStr">
        <is>
          <t>ST-072-EUR-04</t>
        </is>
      </c>
      <c r="E521" s="25" t="inlineStr">
        <is>
          <t>IA-ST-072-EUR-04</t>
        </is>
      </c>
      <c r="F521" s="25" t="inlineStr">
        <is>
          <t>IA-ST-CFG-0209</t>
        </is>
      </c>
      <c r="G521" s="25" t="n">
        <v>28.366</v>
      </c>
      <c r="H521" s="25" t="inlineStr">
        <is>
          <t>988-pack GENERATED</t>
        </is>
      </c>
    </row>
    <row r="522">
      <c r="A522" s="25" t="inlineStr">
        <is>
          <t>1012100</t>
        </is>
      </c>
      <c r="B522" s="25" t="inlineStr">
        <is>
          <t>AKÜ,LB4,DK,IGYA SMF,75AH 720A,OV</t>
        </is>
      </c>
      <c r="C522" s="25" t="inlineStr">
        <is>
          <t>1</t>
        </is>
      </c>
      <c r="D522" s="25" t="inlineStr">
        <is>
          <t>ST-042-EUR-02</t>
        </is>
      </c>
      <c r="E522" s="25" t="inlineStr">
        <is>
          <t>IA-ST-042-EUR-02</t>
        </is>
      </c>
      <c r="F522" s="25" t="inlineStr">
        <is>
          <t>IA-ST-CFG-0085</t>
        </is>
      </c>
      <c r="G522" s="25" t="n">
        <v>27.926</v>
      </c>
      <c r="H522" s="25" t="inlineStr">
        <is>
          <t>988-pack GENERATED</t>
        </is>
      </c>
    </row>
    <row r="523">
      <c r="A523" s="25" t="inlineStr">
        <is>
          <t>1012101</t>
        </is>
      </c>
      <c r="B523" s="25" t="inlineStr">
        <is>
          <t>AKÜ,LB3,DK,IGYA SMF,65AH 640A,OV</t>
        </is>
      </c>
      <c r="C523" s="25" t="inlineStr">
        <is>
          <t>1</t>
        </is>
      </c>
      <c r="D523" s="25" t="inlineStr">
        <is>
          <t>ST-051-EUR-01</t>
        </is>
      </c>
      <c r="E523" s="25" t="inlineStr">
        <is>
          <t>IA-ST-051-EUR-01</t>
        </is>
      </c>
      <c r="F523" s="25" t="inlineStr">
        <is>
          <t>IA-ST-CFG-0132</t>
        </is>
      </c>
      <c r="G523" s="25" t="n">
        <v>27.926</v>
      </c>
      <c r="H523" s="25" t="inlineStr">
        <is>
          <t>988-pack GENERATED</t>
        </is>
      </c>
    </row>
    <row r="524">
      <c r="A524" s="25" t="inlineStr">
        <is>
          <t>1012102</t>
        </is>
      </c>
      <c r="B524" s="25" t="inlineStr">
        <is>
          <t>AKÜ,LB3,DK,IGYA SMF,70AH 750A,OV</t>
        </is>
      </c>
      <c r="C524" s="25" t="inlineStr">
        <is>
          <t>1</t>
        </is>
      </c>
      <c r="D524" s="25" t="inlineStr">
        <is>
          <t>ST-051-EUR-01</t>
        </is>
      </c>
      <c r="E524" s="25" t="inlineStr">
        <is>
          <t>IA-ST-051-EUR-01</t>
        </is>
      </c>
      <c r="F524" s="25" t="inlineStr">
        <is>
          <t>IA-ST-CFG-0132</t>
        </is>
      </c>
      <c r="G524" s="25" t="n">
        <v>27.926</v>
      </c>
      <c r="H524" s="25" t="inlineStr">
        <is>
          <t>988-pack GENERATED</t>
        </is>
      </c>
    </row>
    <row r="525">
      <c r="A525" s="25" t="inlineStr">
        <is>
          <t>1012103</t>
        </is>
      </c>
      <c r="B525" s="25" t="inlineStr">
        <is>
          <t>AKÜ,L3,DK,IGYA SMF,70AH 720A,OV</t>
        </is>
      </c>
      <c r="C525" s="25" t="inlineStr">
        <is>
          <t>1</t>
        </is>
      </c>
      <c r="D525" s="25" t="inlineStr">
        <is>
          <t>ST-051-EUR-01</t>
        </is>
      </c>
      <c r="E525" s="25" t="inlineStr">
        <is>
          <t>IA-ST-051-EUR-01</t>
        </is>
      </c>
      <c r="F525" s="25" t="inlineStr">
        <is>
          <t>IA-ST-CFG-0132</t>
        </is>
      </c>
      <c r="G525" s="25" t="n">
        <v>27.926</v>
      </c>
      <c r="H525" s="25" t="inlineStr">
        <is>
          <t>988-pack GENERATED</t>
        </is>
      </c>
    </row>
    <row r="526">
      <c r="A526" s="25" t="inlineStr">
        <is>
          <t>1012104</t>
        </is>
      </c>
      <c r="B526" s="25" t="inlineStr">
        <is>
          <t>AKÜ,L3,DK,IGYA SMF,70AH 640A,OV</t>
        </is>
      </c>
      <c r="C526" s="25" t="inlineStr">
        <is>
          <t>1</t>
        </is>
      </c>
      <c r="D526" s="25" t="inlineStr">
        <is>
          <t>ST-051-EUR-01</t>
        </is>
      </c>
      <c r="E526" s="25" t="inlineStr">
        <is>
          <t>IA-ST-051-EUR-01</t>
        </is>
      </c>
      <c r="F526" s="25" t="inlineStr">
        <is>
          <t>IA-ST-CFG-0132</t>
        </is>
      </c>
      <c r="G526" s="25" t="n">
        <v>27.926</v>
      </c>
      <c r="H526" s="25" t="inlineStr">
        <is>
          <t>988-pack GENERATED</t>
        </is>
      </c>
    </row>
    <row r="527">
      <c r="A527" s="25" t="inlineStr">
        <is>
          <t>1012105</t>
        </is>
      </c>
      <c r="B527" s="25" t="inlineStr">
        <is>
          <t>AKÜ,L2,DK,IGYA SMF,60AH 540A,OV</t>
        </is>
      </c>
      <c r="C527" s="25" t="inlineStr">
        <is>
          <t>1</t>
        </is>
      </c>
      <c r="D527" s="25" t="inlineStr">
        <is>
          <t>ST-057-EUR-03</t>
        </is>
      </c>
      <c r="E527" s="25" t="inlineStr">
        <is>
          <t>IA-ST-057-EUR-03</t>
        </is>
      </c>
      <c r="F527" s="25" t="inlineStr">
        <is>
          <t>IA-ST-CFG-0162</t>
        </is>
      </c>
      <c r="G527" s="25" t="n">
        <v>27.926</v>
      </c>
      <c r="H527" s="25" t="inlineStr">
        <is>
          <t>988-pack GENERATED</t>
        </is>
      </c>
    </row>
    <row r="528">
      <c r="A528" s="25" t="inlineStr">
        <is>
          <t>1012106</t>
        </is>
      </c>
      <c r="B528" s="25" t="inlineStr">
        <is>
          <t>AKÜ,L2,DK,IGYA SMF,60AH 640A,OV</t>
        </is>
      </c>
      <c r="C528" s="25" t="inlineStr">
        <is>
          <t>1</t>
        </is>
      </c>
      <c r="D528" s="25" t="inlineStr">
        <is>
          <t>ST-057-EUR-03</t>
        </is>
      </c>
      <c r="E528" s="25" t="inlineStr">
        <is>
          <t>IA-ST-057-EUR-03</t>
        </is>
      </c>
      <c r="F528" s="25" t="inlineStr">
        <is>
          <t>IA-ST-CFG-0162</t>
        </is>
      </c>
      <c r="G528" s="25" t="n">
        <v>27.926</v>
      </c>
      <c r="H528" s="25" t="inlineStr">
        <is>
          <t>988-pack GENERATED</t>
        </is>
      </c>
    </row>
    <row r="529">
      <c r="A529" s="25" t="inlineStr">
        <is>
          <t>1012108</t>
        </is>
      </c>
      <c r="B529" s="25" t="inlineStr">
        <is>
          <t>AKÜ,LB2,DK,IGYA SMF,60AH 510A,OV</t>
        </is>
      </c>
      <c r="C529" s="25" t="inlineStr">
        <is>
          <t>1</t>
        </is>
      </c>
      <c r="D529" s="25" t="inlineStr">
        <is>
          <t>ST-057-EUR-03</t>
        </is>
      </c>
      <c r="E529" s="25" t="inlineStr">
        <is>
          <t>IA-ST-057-EUR-03</t>
        </is>
      </c>
      <c r="F529" s="25" t="inlineStr">
        <is>
          <t>IA-ST-CFG-0162</t>
        </is>
      </c>
      <c r="G529" s="25" t="n">
        <v>27.926</v>
      </c>
      <c r="H529" s="25" t="inlineStr">
        <is>
          <t>988-pack GENERATED</t>
        </is>
      </c>
    </row>
    <row r="530">
      <c r="A530" s="25" t="inlineStr">
        <is>
          <t>1012109</t>
        </is>
      </c>
      <c r="B530" s="25" t="inlineStr">
        <is>
          <t>AKÜ,LB3,DK,IGYA SMF,65AH 640A,OV</t>
        </is>
      </c>
      <c r="C530" s="25" t="inlineStr">
        <is>
          <t>1</t>
        </is>
      </c>
      <c r="D530" s="25" t="inlineStr">
        <is>
          <t>ST-051-EUR-01</t>
        </is>
      </c>
      <c r="E530" s="25" t="inlineStr">
        <is>
          <t>IA-ST-051-EUR-01</t>
        </is>
      </c>
      <c r="F530" s="25" t="inlineStr">
        <is>
          <t>IA-ST-CFG-0132</t>
        </is>
      </c>
      <c r="G530" s="25" t="n">
        <v>27.926</v>
      </c>
      <c r="H530" s="25" t="inlineStr">
        <is>
          <t>988-pack GENERATED</t>
        </is>
      </c>
    </row>
    <row r="531">
      <c r="A531" s="25" t="inlineStr">
        <is>
          <t>1012110</t>
        </is>
      </c>
      <c r="B531" s="25" t="inlineStr">
        <is>
          <t>AKÜ,LB3,DK,IGYA SMF,70AH 750A,OV</t>
        </is>
      </c>
      <c r="C531" s="25" t="inlineStr">
        <is>
          <t>1</t>
        </is>
      </c>
      <c r="D531" s="25" t="inlineStr">
        <is>
          <t>ST-051-EUR-01</t>
        </is>
      </c>
      <c r="E531" s="25" t="inlineStr">
        <is>
          <t>IA-ST-051-EUR-01</t>
        </is>
      </c>
      <c r="F531" s="25" t="inlineStr">
        <is>
          <t>IA-ST-CFG-0132</t>
        </is>
      </c>
      <c r="G531" s="25" t="n">
        <v>27.926</v>
      </c>
      <c r="H531" s="25" t="inlineStr">
        <is>
          <t>988-pack GENERATED</t>
        </is>
      </c>
    </row>
    <row r="532">
      <c r="A532" s="25" t="inlineStr">
        <is>
          <t>1012111</t>
        </is>
      </c>
      <c r="B532" s="25" t="inlineStr">
        <is>
          <t>AKÜ,LB1,DK,IGYA SMF,50AH 420A,OV</t>
        </is>
      </c>
      <c r="C532" s="25" t="inlineStr">
        <is>
          <t>1</t>
        </is>
      </c>
      <c r="D532" s="25" t="inlineStr">
        <is>
          <t>ST-072-EUR-04</t>
        </is>
      </c>
      <c r="E532" s="25" t="inlineStr">
        <is>
          <t>IA-ST-072-EUR-04</t>
        </is>
      </c>
      <c r="F532" s="25" t="inlineStr">
        <is>
          <t>IA-ST-CFG-0209</t>
        </is>
      </c>
      <c r="G532" s="25" t="n">
        <v>28.366</v>
      </c>
      <c r="H532" s="25" t="inlineStr">
        <is>
          <t>988-pack GENERATED</t>
        </is>
      </c>
    </row>
    <row r="533">
      <c r="A533" s="25" t="inlineStr">
        <is>
          <t>1012112</t>
        </is>
      </c>
      <c r="B533" s="25" t="inlineStr">
        <is>
          <t>AKÜ,LB4,DK,IGYA SMF,75AH 720A,OV</t>
        </is>
      </c>
      <c r="C533" s="25" t="inlineStr">
        <is>
          <t>1</t>
        </is>
      </c>
      <c r="D533" s="25" t="inlineStr">
        <is>
          <t>ST-042-EUR-02</t>
        </is>
      </c>
      <c r="E533" s="25" t="inlineStr">
        <is>
          <t>IA-ST-042-EUR-02</t>
        </is>
      </c>
      <c r="F533" s="25" t="inlineStr">
        <is>
          <t>IA-ST-CFG-0085</t>
        </is>
      </c>
      <c r="G533" s="25" t="n">
        <v>27.926</v>
      </c>
      <c r="H533" s="25" t="inlineStr">
        <is>
          <t>988-pack GENERATED</t>
        </is>
      </c>
    </row>
    <row r="534">
      <c r="A534" s="25" t="inlineStr">
        <is>
          <t>1012122</t>
        </is>
      </c>
      <c r="B534" s="25" t="inlineStr">
        <is>
          <t>AKÜ,LB4,DK85AH,IGYASMF,GYEUR,HAL5110-085</t>
        </is>
      </c>
      <c r="C534" s="25" t="inlineStr">
        <is>
          <t>1</t>
        </is>
      </c>
      <c r="D534" s="25" t="inlineStr">
        <is>
          <t>ST-042-EUR-02</t>
        </is>
      </c>
      <c r="E534" s="25" t="inlineStr">
        <is>
          <t>IA-ST-042-EUR-02</t>
        </is>
      </c>
      <c r="F534" s="25" t="inlineStr">
        <is>
          <t>IA-ST-CFG-0085</t>
        </is>
      </c>
      <c r="G534" s="25" t="n">
        <v>27.926</v>
      </c>
      <c r="H534" s="25" t="inlineStr">
        <is>
          <t>988-pack GENERATED</t>
        </is>
      </c>
    </row>
    <row r="535">
      <c r="A535" s="25" t="inlineStr">
        <is>
          <t>1012123</t>
        </is>
      </c>
      <c r="B535" s="25" t="inlineStr">
        <is>
          <t>AKÜ,LB3,DK65AH,IGYASMF,GYEUR,HEB7100-065</t>
        </is>
      </c>
      <c r="C535" s="25" t="inlineStr">
        <is>
          <t>1</t>
        </is>
      </c>
      <c r="D535" s="25" t="inlineStr">
        <is>
          <t>ST-051-EUR-01</t>
        </is>
      </c>
      <c r="E535" s="25" t="inlineStr">
        <is>
          <t>IA-ST-051-EUR-01</t>
        </is>
      </c>
      <c r="F535" s="25" t="inlineStr">
        <is>
          <t>IA-ST-CFG-0132</t>
        </is>
      </c>
      <c r="G535" s="25" t="n">
        <v>27.926</v>
      </c>
      <c r="H535" s="25" t="inlineStr">
        <is>
          <t>988-pack GENERATED</t>
        </is>
      </c>
    </row>
    <row r="536">
      <c r="A536" s="25" t="inlineStr">
        <is>
          <t>1012124</t>
        </is>
      </c>
      <c r="B536" s="25" t="inlineStr">
        <is>
          <t>AKÜ,LB4,DK75AH,IGYASMF,GYEUR,HEB7110-075</t>
        </is>
      </c>
      <c r="C536" s="25" t="inlineStr">
        <is>
          <t>1</t>
        </is>
      </c>
      <c r="D536" s="25" t="inlineStr">
        <is>
          <t>ST-042-EUR-02</t>
        </is>
      </c>
      <c r="E536" s="25" t="inlineStr">
        <is>
          <t>IA-ST-042-EUR-02</t>
        </is>
      </c>
      <c r="F536" s="25" t="inlineStr">
        <is>
          <t>IA-ST-CFG-0085</t>
        </is>
      </c>
      <c r="G536" s="25" t="n">
        <v>27.926</v>
      </c>
      <c r="H536" s="25" t="inlineStr">
        <is>
          <t>988-pack GENERATED</t>
        </is>
      </c>
    </row>
    <row r="537">
      <c r="A537" s="25" t="inlineStr">
        <is>
          <t>1012125</t>
        </is>
      </c>
      <c r="B537" s="25" t="inlineStr">
        <is>
          <t>AKÜ,L1,DK,54AH,IGYASMF,GYEUR,HAL5012-054</t>
        </is>
      </c>
      <c r="C537" s="25" t="inlineStr">
        <is>
          <t>1</t>
        </is>
      </c>
      <c r="D537" s="25" t="inlineStr">
        <is>
          <t>ST-072-EUR-04</t>
        </is>
      </c>
      <c r="E537" s="25" t="inlineStr">
        <is>
          <t>IA-ST-072-EUR-04</t>
        </is>
      </c>
      <c r="F537" s="25" t="inlineStr">
        <is>
          <t>IA-ST-CFG-0209</t>
        </is>
      </c>
      <c r="G537" s="25" t="n">
        <v>28.366</v>
      </c>
      <c r="H537" s="25" t="inlineStr">
        <is>
          <t>988-pack GENERATED</t>
        </is>
      </c>
    </row>
    <row r="538">
      <c r="A538" s="25" t="inlineStr">
        <is>
          <t>1012132</t>
        </is>
      </c>
      <c r="B538" s="25" t="inlineStr">
        <is>
          <t>AKÜ,AGM,L6,DK,105AH,AGM S&amp;S 1662,SCHNAPP</t>
        </is>
      </c>
      <c r="C538" s="25" t="inlineStr">
        <is>
          <t>1</t>
        </is>
      </c>
      <c r="D538" s="25" t="inlineStr">
        <is>
          <t>ST-042-STD-07</t>
        </is>
      </c>
      <c r="E538" s="25" t="inlineStr">
        <is>
          <t>IA-ST-042-STD-07</t>
        </is>
      </c>
      <c r="F538" s="25" t="inlineStr">
        <is>
          <t>IA-ST-CFG-0082</t>
        </is>
      </c>
      <c r="G538" s="25" t="n">
        <v>28.417</v>
      </c>
      <c r="H538" s="25" t="inlineStr">
        <is>
          <t>988-pack GENERATED</t>
        </is>
      </c>
    </row>
    <row r="539">
      <c r="A539" s="25" t="inlineStr">
        <is>
          <t>1012136</t>
        </is>
      </c>
      <c r="B539" s="25" t="inlineStr">
        <is>
          <t>AKÜ,LB2,DK,62AH,IGYA SMF,HUGEL ULTRA</t>
        </is>
      </c>
      <c r="C539" s="25" t="inlineStr">
        <is>
          <t>1</t>
        </is>
      </c>
      <c r="D539" s="25" t="inlineStr">
        <is>
          <t>ST-072-STD-13</t>
        </is>
      </c>
      <c r="E539" s="25" t="inlineStr">
        <is>
          <t>IA-ST-072-STD-13</t>
        </is>
      </c>
      <c r="F539" s="25" t="inlineStr">
        <is>
          <t>IA-ST-CFG-0222</t>
        </is>
      </c>
      <c r="G539" s="25" t="n">
        <v>30.6552</v>
      </c>
      <c r="H539" s="25" t="inlineStr">
        <is>
          <t>988-pack GENERATED</t>
        </is>
      </c>
    </row>
    <row r="540">
      <c r="A540" s="25" t="inlineStr">
        <is>
          <t>1012137</t>
        </is>
      </c>
      <c r="B540" s="25" t="inlineStr">
        <is>
          <t>AKÜ,LB3,DK,70AH,IGYA SMF,HUGEL ULTRA</t>
        </is>
      </c>
      <c r="C540" s="25" t="inlineStr">
        <is>
          <t>1</t>
        </is>
      </c>
      <c r="D540" s="25" t="inlineStr">
        <is>
          <t>ST-063-STD-07</t>
        </is>
      </c>
      <c r="E540" s="25" t="inlineStr">
        <is>
          <t>IA-ST-063-STD-07</t>
        </is>
      </c>
      <c r="F540" s="25" t="inlineStr">
        <is>
          <t>IA-ST-CFG-0178</t>
        </is>
      </c>
      <c r="G540" s="25" t="n">
        <v>29.8692</v>
      </c>
      <c r="H540" s="25" t="inlineStr">
        <is>
          <t>988-pack GENERATED</t>
        </is>
      </c>
    </row>
    <row r="541">
      <c r="A541" s="25" t="inlineStr">
        <is>
          <t>1012138</t>
        </is>
      </c>
      <c r="B541" s="25" t="inlineStr">
        <is>
          <t>AKÜ,L4,DK,82AH,IGYA SMF,HUGEL ULTRA</t>
        </is>
      </c>
      <c r="C541" s="25" t="inlineStr">
        <is>
          <t>1</t>
        </is>
      </c>
      <c r="D541" s="25" t="inlineStr">
        <is>
          <t>ST-072-STD-22</t>
        </is>
      </c>
      <c r="E541" s="25" t="inlineStr">
        <is>
          <t>IA-ST-072-STD-22</t>
        </is>
      </c>
      <c r="F541" s="25" t="inlineStr">
        <is>
          <t>IA-ST-CFG-0231</t>
        </is>
      </c>
      <c r="G541" s="25" t="n">
        <v>30.6372</v>
      </c>
      <c r="H541" s="25" t="inlineStr">
        <is>
          <t>988-pack GENERATED</t>
        </is>
      </c>
    </row>
    <row r="542">
      <c r="A542" s="25" t="inlineStr">
        <is>
          <t>1012139</t>
        </is>
      </c>
      <c r="B542" s="25" t="inlineStr">
        <is>
          <t>AKÜ,LB3,DK,72AH,IGYSMF,BLIZZARO SILVERLN</t>
        </is>
      </c>
      <c r="C542" s="25" t="inlineStr">
        <is>
          <t>1</t>
        </is>
      </c>
      <c r="D542" s="25" t="inlineStr">
        <is>
          <t>ST-063-STD-07</t>
        </is>
      </c>
      <c r="E542" s="25" t="inlineStr">
        <is>
          <t>IA-ST-063-STD-07</t>
        </is>
      </c>
      <c r="F542" s="25" t="inlineStr">
        <is>
          <t>IA-ST-CFG-0178</t>
        </is>
      </c>
      <c r="G542" s="25" t="n">
        <v>29.8692</v>
      </c>
      <c r="H542" s="25" t="inlineStr">
        <is>
          <t>988-pack GENERATED</t>
        </is>
      </c>
    </row>
    <row r="543">
      <c r="A543" s="25" t="inlineStr">
        <is>
          <t>1012141</t>
        </is>
      </c>
      <c r="B543" s="25" t="inlineStr">
        <is>
          <t>AKÜ,L3,DK,72AH,IGYSMF,BLIZZAROS&amp;S,JANENE</t>
        </is>
      </c>
      <c r="C543" s="25" t="inlineStr">
        <is>
          <t>1</t>
        </is>
      </c>
      <c r="D543" s="25" t="inlineStr">
        <is>
          <t>ST-063-STD-08</t>
        </is>
      </c>
      <c r="E543" s="25" t="inlineStr">
        <is>
          <t>IA-ST-063-STD-08</t>
        </is>
      </c>
      <c r="F543" s="25" t="inlineStr">
        <is>
          <t>IA-ST-CFG-0179</t>
        </is>
      </c>
      <c r="G543" s="25" t="n">
        <v>29.9992</v>
      </c>
      <c r="H543" s="25" t="inlineStr">
        <is>
          <t>988-pack GENERATED</t>
        </is>
      </c>
    </row>
    <row r="544">
      <c r="A544" s="25" t="inlineStr">
        <is>
          <t>1012144</t>
        </is>
      </c>
      <c r="B544" s="25" t="inlineStr">
        <is>
          <t>AKÜ,LB1,DK,50AH,IGYA SMF,HUGEL ULTRA</t>
        </is>
      </c>
      <c r="C544" s="25" t="inlineStr">
        <is>
          <t>1</t>
        </is>
      </c>
      <c r="D544" s="25" t="inlineStr">
        <is>
          <t>ST-087-STD-02</t>
        </is>
      </c>
      <c r="E544" s="25" t="inlineStr">
        <is>
          <t>IA-ST-087-STD-02</t>
        </is>
      </c>
      <c r="F544" s="25" t="inlineStr">
        <is>
          <t>IA-ST-CFG-0247</t>
        </is>
      </c>
      <c r="G544" s="25" t="n">
        <v>30.4892</v>
      </c>
      <c r="H544" s="25" t="inlineStr">
        <is>
          <t>988-pack GENERATED</t>
        </is>
      </c>
    </row>
    <row r="545">
      <c r="A545" s="25" t="inlineStr">
        <is>
          <t>1012146</t>
        </is>
      </c>
      <c r="B545" s="25" t="inlineStr">
        <is>
          <t>AKÜ,L2,DK,60AH,IGYASMF,İNCİ,CEZAYİR CIMA</t>
        </is>
      </c>
      <c r="C545" s="25" t="inlineStr">
        <is>
          <t>1</t>
        </is>
      </c>
      <c r="D545" s="25" t="inlineStr">
        <is>
          <t>ST-072-STD-13</t>
        </is>
      </c>
      <c r="E545" s="25" t="inlineStr">
        <is>
          <t>IA-ST-072-STD-13</t>
        </is>
      </c>
      <c r="F545" s="25" t="inlineStr">
        <is>
          <t>IA-ST-CFG-0222</t>
        </is>
      </c>
      <c r="G545" s="25" t="n">
        <v>30.6552</v>
      </c>
      <c r="H545" s="25" t="inlineStr">
        <is>
          <t>988-pack GENERATED</t>
        </is>
      </c>
    </row>
    <row r="546">
      <c r="A546" s="25" t="inlineStr">
        <is>
          <t>1012147</t>
        </is>
      </c>
      <c r="B546" s="25" t="inlineStr">
        <is>
          <t>AKÜ,L4,DK,80AH,IGYSMF,BLIZEFB S&amp;S,JANENE</t>
        </is>
      </c>
      <c r="C546" s="25" t="inlineStr">
        <is>
          <t>1</t>
        </is>
      </c>
      <c r="D546" s="25" t="inlineStr">
        <is>
          <t>ST-054-STD-06</t>
        </is>
      </c>
      <c r="E546" s="25" t="inlineStr">
        <is>
          <t>IA-ST-054-STD-06</t>
        </is>
      </c>
      <c r="F546" s="25" t="inlineStr">
        <is>
          <t>IA-ST-CFG-0142</t>
        </is>
      </c>
      <c r="G546" s="25" t="n">
        <v>29.7552</v>
      </c>
      <c r="H546" s="25" t="inlineStr">
        <is>
          <t>988-pack GENERATED</t>
        </is>
      </c>
    </row>
    <row r="547">
      <c r="A547" s="25" t="inlineStr">
        <is>
          <t>1012149</t>
        </is>
      </c>
      <c r="B547" s="25" t="inlineStr">
        <is>
          <t>AKÜ,NS60,DK,45AH,IGYSMF,BLIZZAROSILVRLNE</t>
        </is>
      </c>
      <c r="C547" s="25" t="inlineStr">
        <is>
          <t>1</t>
        </is>
      </c>
      <c r="D547" s="25" t="inlineStr">
        <is>
          <t>ST-096-STD-03</t>
        </is>
      </c>
      <c r="E547" s="25" t="inlineStr">
        <is>
          <t>IA-ST-096-STD-03</t>
        </is>
      </c>
      <c r="F547" s="25" t="inlineStr">
        <is>
          <t>IA-ST-CFG-0272</t>
        </is>
      </c>
      <c r="G547" s="25" t="n">
        <v>35.3172</v>
      </c>
      <c r="H547" s="25" t="inlineStr">
        <is>
          <t>988-pack GENERATED</t>
        </is>
      </c>
    </row>
    <row r="548">
      <c r="A548" s="25" t="inlineStr">
        <is>
          <t>1012150</t>
        </is>
      </c>
      <c r="B548" s="25" t="inlineStr">
        <is>
          <t>AKÜ,D26,DK,75AH,IGYASMF,İNCİ FORM TAURUS</t>
        </is>
      </c>
      <c r="C548" s="25" t="inlineStr">
        <is>
          <t>1</t>
        </is>
      </c>
      <c r="D548" s="25" t="inlineStr">
        <is>
          <t>ST-063-STD-04</t>
        </is>
      </c>
      <c r="E548" s="25" t="inlineStr">
        <is>
          <t>IA-ST-063-STD-04</t>
        </is>
      </c>
      <c r="F548" s="25" t="inlineStr">
        <is>
          <t>IA-ST-CFG-0175</t>
        </is>
      </c>
      <c r="G548" s="25" t="n">
        <v>34.1512</v>
      </c>
      <c r="H548" s="25" t="inlineStr">
        <is>
          <t>988-pack GENERATED</t>
        </is>
      </c>
    </row>
    <row r="549">
      <c r="A549" s="25" t="inlineStr">
        <is>
          <t>1012155</t>
        </is>
      </c>
      <c r="B549" s="25" t="inlineStr">
        <is>
          <t>AKÜ,D26,TK,66AH,IGYASMF,BLIZSILVR,MISIR</t>
        </is>
      </c>
      <c r="C549" s="25" t="inlineStr">
        <is>
          <t>1</t>
        </is>
      </c>
      <c r="D549" s="25" t="inlineStr">
        <is>
          <t>ST-063-STD-04</t>
        </is>
      </c>
      <c r="E549" s="25" t="inlineStr">
        <is>
          <t>IA-ST-063-STD-04</t>
        </is>
      </c>
      <c r="F549" s="25" t="inlineStr">
        <is>
          <t>IA-ST-CFG-0175</t>
        </is>
      </c>
      <c r="G549" s="25" t="n">
        <v>34.1512</v>
      </c>
      <c r="H549" s="25" t="inlineStr">
        <is>
          <t>988-pack GENERATED</t>
        </is>
      </c>
    </row>
    <row r="550">
      <c r="A550" s="25" t="inlineStr">
        <is>
          <t>1012156</t>
        </is>
      </c>
      <c r="B550" s="25" t="inlineStr">
        <is>
          <t>AKÜ,D26,TK,72AH,IGYASMF,EAS KOLİLİ,ATWAN</t>
        </is>
      </c>
      <c r="C550" s="25" t="inlineStr">
        <is>
          <t>1</t>
        </is>
      </c>
      <c r="D550" s="25" t="inlineStr">
        <is>
          <t>ST-057-STD-02</t>
        </is>
      </c>
      <c r="E550" s="25" t="inlineStr">
        <is>
          <t>IA-ST-057-STD-02</t>
        </is>
      </c>
      <c r="F550" s="25" t="inlineStr">
        <is>
          <t>IA-ST-CFG-0156</t>
        </is>
      </c>
      <c r="G550" s="25" t="n">
        <v>50.954</v>
      </c>
      <c r="H550" s="25" t="inlineStr">
        <is>
          <t>988-pack GENERATED</t>
        </is>
      </c>
    </row>
    <row r="551">
      <c r="A551" s="25" t="inlineStr">
        <is>
          <t>1012160</t>
        </is>
      </c>
      <c r="B551" s="25" t="inlineStr">
        <is>
          <t>AKÜ,L5,DK,100AH,IGYASMF,EAS KOLİLİ,ATWAN</t>
        </is>
      </c>
      <c r="C551" s="25" t="inlineStr">
        <is>
          <t>1</t>
        </is>
      </c>
      <c r="D551" s="25" t="inlineStr">
        <is>
          <t>ST-060-STD-01</t>
        </is>
      </c>
      <c r="E551" s="25" t="inlineStr">
        <is>
          <t>IA-ST-060-STD-01</t>
        </is>
      </c>
      <c r="F551" s="25" t="inlineStr">
        <is>
          <t>IA-ST-CFG-0165</t>
        </is>
      </c>
      <c r="G551" s="25" t="n">
        <v>49.136</v>
      </c>
      <c r="H551" s="25" t="inlineStr">
        <is>
          <t>988-pack GENERATED</t>
        </is>
      </c>
    </row>
    <row r="552">
      <c r="A552" s="25" t="inlineStr">
        <is>
          <t>1012162</t>
        </is>
      </c>
      <c r="B552" s="25" t="inlineStr">
        <is>
          <t>AKÜ,L1,DK,44AH,IGYA SMF,EAS KOLİLİ,ATWAN</t>
        </is>
      </c>
      <c r="C552" s="25" t="inlineStr">
        <is>
          <t>1</t>
        </is>
      </c>
      <c r="D552" s="25" t="inlineStr">
        <is>
          <t>ST-096-STD-01</t>
        </is>
      </c>
      <c r="E552" s="25" t="inlineStr">
        <is>
          <t>IA-ST-096-STD-01</t>
        </is>
      </c>
      <c r="F552" s="25" t="inlineStr">
        <is>
          <t>IA-ST-CFG-0270</t>
        </is>
      </c>
      <c r="G552" s="25" t="n">
        <v>53.336</v>
      </c>
      <c r="H552" s="25" t="inlineStr">
        <is>
          <t>988-pack GENERATED</t>
        </is>
      </c>
    </row>
    <row r="553">
      <c r="A553" s="25" t="inlineStr">
        <is>
          <t>1012165</t>
        </is>
      </c>
      <c r="B553" s="25" t="inlineStr">
        <is>
          <t>AKÜ,L2,DK,60AH,IGYA SMF,İNCİ FORM TAURUS</t>
        </is>
      </c>
      <c r="C553" s="25" t="inlineStr">
        <is>
          <t>1</t>
        </is>
      </c>
      <c r="D553" s="25" t="inlineStr">
        <is>
          <t>ST-072-STD-13</t>
        </is>
      </c>
      <c r="E553" s="25" t="inlineStr">
        <is>
          <t>IA-ST-072-STD-13</t>
        </is>
      </c>
      <c r="F553" s="25" t="inlineStr">
        <is>
          <t>IA-ST-CFG-0222</t>
        </is>
      </c>
      <c r="G553" s="25" t="n">
        <v>30.6552</v>
      </c>
      <c r="H553" s="25" t="inlineStr">
        <is>
          <t>988-pack GENERATED</t>
        </is>
      </c>
    </row>
    <row r="554">
      <c r="A554" s="25" t="inlineStr">
        <is>
          <t>1012166</t>
        </is>
      </c>
      <c r="B554" s="25" t="inlineStr">
        <is>
          <t>AKÜ,D26,DK,75AH,IGYASMF,İNCİ FORM TAURUS</t>
        </is>
      </c>
      <c r="C554" s="25" t="inlineStr">
        <is>
          <t>1</t>
        </is>
      </c>
      <c r="D554" s="25" t="inlineStr">
        <is>
          <t>ST-063-STD-04</t>
        </is>
      </c>
      <c r="E554" s="25" t="inlineStr">
        <is>
          <t>IA-ST-063-STD-04</t>
        </is>
      </c>
      <c r="F554" s="25" t="inlineStr">
        <is>
          <t>IA-ST-CFG-0175</t>
        </is>
      </c>
      <c r="G554" s="25" t="n">
        <v>34.1512</v>
      </c>
      <c r="H554" s="25" t="inlineStr">
        <is>
          <t>988-pack GENERATED</t>
        </is>
      </c>
    </row>
    <row r="555">
      <c r="A555" s="25" t="inlineStr">
        <is>
          <t>1012170</t>
        </is>
      </c>
      <c r="B555" s="25" t="inlineStr">
        <is>
          <t>AKÜ,LB1,DK,45AH,IGYASMF,Y3000,YBX3063,Yİ</t>
        </is>
      </c>
      <c r="C555" s="25" t="inlineStr">
        <is>
          <t>1</t>
        </is>
      </c>
      <c r="D555" s="25" t="inlineStr">
        <is>
          <t>ST-087-STD-06</t>
        </is>
      </c>
      <c r="E555" s="25" t="inlineStr">
        <is>
          <t>IA-ST-087-STD-06</t>
        </is>
      </c>
      <c r="F555" s="25" t="inlineStr">
        <is>
          <t>IA-ST-CFG-0251</t>
        </is>
      </c>
      <c r="G555" s="25" t="n">
        <v>29.9824</v>
      </c>
      <c r="H555" s="25" t="inlineStr">
        <is>
          <t>988-pack GENERATED</t>
        </is>
      </c>
    </row>
    <row r="556">
      <c r="A556" s="25" t="inlineStr">
        <is>
          <t>1012172</t>
        </is>
      </c>
      <c r="B556" s="25" t="inlineStr">
        <is>
          <t>AKÜ,L2,DK,60AH,IGYA SMF,Y3000,YBX3027,Yİ</t>
        </is>
      </c>
      <c r="C556" s="25" t="inlineStr">
        <is>
          <t>1</t>
        </is>
      </c>
      <c r="D556" s="25" t="inlineStr">
        <is>
          <t>ST-072-STD-17</t>
        </is>
      </c>
      <c r="E556" s="25" t="inlineStr">
        <is>
          <t>IA-ST-072-STD-17</t>
        </is>
      </c>
      <c r="F556" s="25" t="inlineStr">
        <is>
          <t>IA-ST-CFG-0226</t>
        </is>
      </c>
      <c r="G556" s="25" t="n">
        <v>30.0084</v>
      </c>
      <c r="H556" s="25" t="inlineStr">
        <is>
          <t>988-pack GENERATED</t>
        </is>
      </c>
    </row>
    <row r="557">
      <c r="A557" s="25" t="inlineStr">
        <is>
          <t>1012175</t>
        </is>
      </c>
      <c r="B557" s="25" t="inlineStr">
        <is>
          <t>AKÜ,L5,DK,95AH,IGYA SMF,Y3000,YBX3019,Yİ</t>
        </is>
      </c>
      <c r="C557" s="25" t="inlineStr">
        <is>
          <t>1</t>
        </is>
      </c>
      <c r="D557" s="25" t="inlineStr">
        <is>
          <t>ST-045-STD-10</t>
        </is>
      </c>
      <c r="E557" s="25" t="inlineStr">
        <is>
          <t>IA-ST-045-STD-10</t>
        </is>
      </c>
      <c r="F557" s="25" t="inlineStr">
        <is>
          <t>IA-ST-CFG-0098</t>
        </is>
      </c>
      <c r="G557" s="25" t="n">
        <v>29.4324</v>
      </c>
      <c r="H557" s="25" t="inlineStr">
        <is>
          <t>988-pack GENERATED</t>
        </is>
      </c>
    </row>
    <row r="558">
      <c r="A558" s="25" t="inlineStr">
        <is>
          <t>1012179</t>
        </is>
      </c>
      <c r="B558" s="25" t="inlineStr">
        <is>
          <t>AKÜ,D31,DK,90AH,IGYASMF,Y3000,YBX3335,Yİ</t>
        </is>
      </c>
      <c r="C558" s="25" t="inlineStr">
        <is>
          <t>1</t>
        </is>
      </c>
      <c r="D558" s="25" t="inlineStr">
        <is>
          <t>ST-054-STD-09</t>
        </is>
      </c>
      <c r="E558" s="25" t="inlineStr">
        <is>
          <t>IA-ST-054-STD-09</t>
        </is>
      </c>
      <c r="F558" s="25" t="inlineStr">
        <is>
          <t>IA-ST-CFG-0145</t>
        </is>
      </c>
      <c r="G558" s="25" t="n">
        <v>33.497</v>
      </c>
      <c r="H558" s="25" t="inlineStr">
        <is>
          <t>988-pack GENERATED</t>
        </is>
      </c>
    </row>
    <row r="559">
      <c r="A559" s="25" t="inlineStr">
        <is>
          <t>1012181</t>
        </is>
      </c>
      <c r="B559" s="25" t="inlineStr">
        <is>
          <t>AKÜ,B-FLAT,DK,190AH,İNCİ SUPRA SENTOR</t>
        </is>
      </c>
      <c r="C559" s="25" t="inlineStr">
        <is>
          <t>1</t>
        </is>
      </c>
      <c r="D559" s="25" t="inlineStr">
        <is>
          <t>ST-030-STD-06</t>
        </is>
      </c>
      <c r="E559" s="25" t="inlineStr">
        <is>
          <t>IA-ST-030-STD-06</t>
        </is>
      </c>
      <c r="F559" s="25" t="inlineStr">
        <is>
          <t>IA-ST-CFG-0052</t>
        </is>
      </c>
      <c r="G559" s="25" t="n">
        <v>32.3892</v>
      </c>
      <c r="H559" s="25" t="inlineStr">
        <is>
          <t>988-pack GENERATED</t>
        </is>
      </c>
    </row>
    <row r="560">
      <c r="A560" s="25" t="inlineStr">
        <is>
          <t>1012183</t>
        </is>
      </c>
      <c r="B560" s="25" t="inlineStr">
        <is>
          <t>AKÜ,L2,DK,60AH,IGYASMF,BLIZZARO SILVERLN</t>
        </is>
      </c>
      <c r="C560" s="25" t="inlineStr">
        <is>
          <t>1</t>
        </is>
      </c>
      <c r="D560" s="25" t="inlineStr">
        <is>
          <t>ST-072-STD-13</t>
        </is>
      </c>
      <c r="E560" s="25" t="inlineStr">
        <is>
          <t>IA-ST-072-STD-13</t>
        </is>
      </c>
      <c r="F560" s="25" t="inlineStr">
        <is>
          <t>IA-ST-CFG-0222</t>
        </is>
      </c>
      <c r="G560" s="25" t="n">
        <v>30.6552</v>
      </c>
      <c r="H560" s="25" t="inlineStr">
        <is>
          <t>988-pack GENERATED</t>
        </is>
      </c>
    </row>
    <row r="561">
      <c r="A561" s="25" t="inlineStr">
        <is>
          <t>1012185</t>
        </is>
      </c>
      <c r="B561" s="25" t="inlineStr">
        <is>
          <t>AKÜ,L2,DK,60AH,IGYSMF,BLIZAROTREND,METRA</t>
        </is>
      </c>
      <c r="C561" s="25" t="inlineStr">
        <is>
          <t>1</t>
        </is>
      </c>
      <c r="D561" s="25" t="inlineStr">
        <is>
          <t>ST-072-STD-13</t>
        </is>
      </c>
      <c r="E561" s="25" t="inlineStr">
        <is>
          <t>IA-ST-072-STD-13</t>
        </is>
      </c>
      <c r="F561" s="25" t="inlineStr">
        <is>
          <t>IA-ST-CFG-0222</t>
        </is>
      </c>
      <c r="G561" s="25" t="n">
        <v>30.6552</v>
      </c>
      <c r="H561" s="25" t="inlineStr">
        <is>
          <t>988-pack GENERATED</t>
        </is>
      </c>
    </row>
    <row r="562">
      <c r="A562" s="25" t="inlineStr">
        <is>
          <t>1012187</t>
        </is>
      </c>
      <c r="B562" s="25" t="inlineStr">
        <is>
          <t>AKÜ,L2,TK,60AH,IGYSMF,HUGEL ACTION,METRA</t>
        </is>
      </c>
      <c r="C562" s="25" t="inlineStr">
        <is>
          <t>1</t>
        </is>
      </c>
      <c r="D562" s="25" t="inlineStr">
        <is>
          <t>ST-072-STD-13</t>
        </is>
      </c>
      <c r="E562" s="25" t="inlineStr">
        <is>
          <t>IA-ST-072-STD-13</t>
        </is>
      </c>
      <c r="F562" s="25" t="inlineStr">
        <is>
          <t>IA-ST-CFG-0222</t>
        </is>
      </c>
      <c r="G562" s="25" t="n">
        <v>30.6552</v>
      </c>
      <c r="H562" s="25" t="inlineStr">
        <is>
          <t>988-pack GENERATED</t>
        </is>
      </c>
    </row>
    <row r="563">
      <c r="A563" s="25" t="inlineStr">
        <is>
          <t>1012188</t>
        </is>
      </c>
      <c r="B563" s="25" t="inlineStr">
        <is>
          <t>AKÜ,L2,TK,60AH,IGYSMF,BLIZAROTREND,METRA</t>
        </is>
      </c>
      <c r="C563" s="25" t="inlineStr">
        <is>
          <t>1</t>
        </is>
      </c>
      <c r="D563" s="25" t="inlineStr">
        <is>
          <t>ST-072-STD-13</t>
        </is>
      </c>
      <c r="E563" s="25" t="inlineStr">
        <is>
          <t>IA-ST-072-STD-13</t>
        </is>
      </c>
      <c r="F563" s="25" t="inlineStr">
        <is>
          <t>IA-ST-CFG-0222</t>
        </is>
      </c>
      <c r="G563" s="25" t="n">
        <v>30.6552</v>
      </c>
      <c r="H563" s="25" t="inlineStr">
        <is>
          <t>988-pack GENERATED</t>
        </is>
      </c>
    </row>
    <row r="564">
      <c r="A564" s="25" t="inlineStr">
        <is>
          <t>1012190</t>
        </is>
      </c>
      <c r="B564" s="25" t="inlineStr">
        <is>
          <t>AKÜ,L2,DK,65AH,IGYSMF,İNCİMAXIMA,DIŞ PYS</t>
        </is>
      </c>
      <c r="C564" s="25" t="inlineStr">
        <is>
          <t>1</t>
        </is>
      </c>
      <c r="D564" s="25" t="inlineStr">
        <is>
          <t>ST-072-STD-13</t>
        </is>
      </c>
      <c r="E564" s="25" t="inlineStr">
        <is>
          <t>IA-ST-072-STD-13</t>
        </is>
      </c>
      <c r="F564" s="25" t="inlineStr">
        <is>
          <t>IA-ST-CFG-0222</t>
        </is>
      </c>
      <c r="G564" s="25" t="n">
        <v>30.6552</v>
      </c>
      <c r="H564" s="25" t="inlineStr">
        <is>
          <t>988-pack GENERATED</t>
        </is>
      </c>
    </row>
    <row r="565">
      <c r="A565" s="25" t="inlineStr">
        <is>
          <t>1012191</t>
        </is>
      </c>
      <c r="B565" s="25" t="inlineStr">
        <is>
          <t>AKÜ,L2,DK,60AH,IGYA SMF,İNCİ SUPRA,METRA</t>
        </is>
      </c>
      <c r="C565" s="25" t="inlineStr">
        <is>
          <t>1</t>
        </is>
      </c>
      <c r="D565" s="25" t="inlineStr">
        <is>
          <t>ST-072-STD-13</t>
        </is>
      </c>
      <c r="E565" s="25" t="inlineStr">
        <is>
          <t>IA-ST-072-STD-13</t>
        </is>
      </c>
      <c r="F565" s="25" t="inlineStr">
        <is>
          <t>IA-ST-CFG-0222</t>
        </is>
      </c>
      <c r="G565" s="25" t="n">
        <v>30.6552</v>
      </c>
      <c r="H565" s="25" t="inlineStr">
        <is>
          <t>988-pack GENERATED</t>
        </is>
      </c>
    </row>
    <row r="566">
      <c r="A566" s="25" t="inlineStr">
        <is>
          <t>1012192</t>
        </is>
      </c>
      <c r="B566" s="25" t="inlineStr">
        <is>
          <t>AKÜ,L2,TK,60AH,IGYA SMF,İNCİ SUPRA,METRA</t>
        </is>
      </c>
      <c r="C566" s="25" t="inlineStr">
        <is>
          <t>1</t>
        </is>
      </c>
      <c r="D566" s="25" t="inlineStr">
        <is>
          <t>ST-072-STD-13</t>
        </is>
      </c>
      <c r="E566" s="25" t="inlineStr">
        <is>
          <t>IA-ST-072-STD-13</t>
        </is>
      </c>
      <c r="F566" s="25" t="inlineStr">
        <is>
          <t>IA-ST-CFG-0222</t>
        </is>
      </c>
      <c r="G566" s="25" t="n">
        <v>30.6552</v>
      </c>
      <c r="H566" s="25" t="inlineStr">
        <is>
          <t>988-pack GENERATED</t>
        </is>
      </c>
    </row>
    <row r="567">
      <c r="A567" s="25" t="inlineStr">
        <is>
          <t>1012193</t>
        </is>
      </c>
      <c r="B567" s="25" t="inlineStr">
        <is>
          <t>AKÜ,L2,TK,65AH,IGYSMF,İNCİ MAXIMA,DIŞPYS</t>
        </is>
      </c>
      <c r="C567" s="25" t="inlineStr">
        <is>
          <t>1</t>
        </is>
      </c>
      <c r="D567" s="25" t="inlineStr">
        <is>
          <t>ST-072-STD-13</t>
        </is>
      </c>
      <c r="E567" s="25" t="inlineStr">
        <is>
          <t>IA-ST-072-STD-13</t>
        </is>
      </c>
      <c r="F567" s="25" t="inlineStr">
        <is>
          <t>IA-ST-CFG-0222</t>
        </is>
      </c>
      <c r="G567" s="25" t="n">
        <v>30.6552</v>
      </c>
      <c r="H567" s="25" t="inlineStr">
        <is>
          <t>988-pack GENERATED</t>
        </is>
      </c>
    </row>
    <row r="568">
      <c r="A568" s="25" t="inlineStr">
        <is>
          <t>1012238</t>
        </is>
      </c>
      <c r="B568" s="25" t="inlineStr">
        <is>
          <t>AKÜ,L1,DK,50AH,IGYSMF,İNCİ SUPRA,METRA</t>
        </is>
      </c>
      <c r="C568" s="25" t="inlineStr">
        <is>
          <t>1</t>
        </is>
      </c>
      <c r="D568" s="25" t="inlineStr">
        <is>
          <t>ST-087-STD-03</t>
        </is>
      </c>
      <c r="E568" s="25" t="inlineStr">
        <is>
          <t>IA-ST-087-STD-03</t>
        </is>
      </c>
      <c r="F568" s="25" t="inlineStr">
        <is>
          <t>IA-ST-CFG-0248</t>
        </is>
      </c>
      <c r="G568" s="25" t="n">
        <v>31.0092</v>
      </c>
      <c r="H568" s="25" t="inlineStr">
        <is>
          <t>988-pack GENERATED</t>
        </is>
      </c>
    </row>
    <row r="569">
      <c r="A569" s="25" t="inlineStr">
        <is>
          <t>1012239</t>
        </is>
      </c>
      <c r="B569" s="25" t="inlineStr">
        <is>
          <t>AKÜ,L1,DK,52AH,IGYA SMF,İNCİ FORM TAURUS</t>
        </is>
      </c>
      <c r="C569" s="25" t="inlineStr">
        <is>
          <t>1</t>
        </is>
      </c>
      <c r="D569" s="25" t="inlineStr">
        <is>
          <t>ST-087-STD-03</t>
        </is>
      </c>
      <c r="E569" s="25" t="inlineStr">
        <is>
          <t>IA-ST-087-STD-03</t>
        </is>
      </c>
      <c r="F569" s="25" t="inlineStr">
        <is>
          <t>IA-ST-CFG-0248</t>
        </is>
      </c>
      <c r="G569" s="25" t="n">
        <v>31.0092</v>
      </c>
      <c r="H569" s="25" t="inlineStr">
        <is>
          <t>988-pack GENERATED</t>
        </is>
      </c>
    </row>
    <row r="570">
      <c r="A570" s="25" t="inlineStr">
        <is>
          <t>1012246</t>
        </is>
      </c>
      <c r="B570" s="25" t="inlineStr">
        <is>
          <t>AKÜ,D31,DK100AH,IGYSMF,İNCİMAXIMA,DIŞPYS</t>
        </is>
      </c>
      <c r="C570" s="25" t="inlineStr">
        <is>
          <t>1</t>
        </is>
      </c>
      <c r="D570" s="25" t="inlineStr">
        <is>
          <t>ST-054-STD-07</t>
        </is>
      </c>
      <c r="E570" s="25" t="inlineStr">
        <is>
          <t>IA-ST-054-STD-07</t>
        </is>
      </c>
      <c r="F570" s="25" t="inlineStr">
        <is>
          <t>IA-ST-CFG-0143</t>
        </is>
      </c>
      <c r="G570" s="25" t="n">
        <v>33.7838</v>
      </c>
      <c r="H570" s="25" t="inlineStr">
        <is>
          <t>988-pack GENERATED</t>
        </is>
      </c>
    </row>
    <row r="571">
      <c r="A571" s="25" t="inlineStr">
        <is>
          <t>1012248</t>
        </is>
      </c>
      <c r="B571" s="25" t="inlineStr">
        <is>
          <t>AKÜ,D31,TK100AH,IGYSMF,İNCİMAXIMA,DIŞPYS</t>
        </is>
      </c>
      <c r="C571" s="25" t="inlineStr">
        <is>
          <t>1</t>
        </is>
      </c>
      <c r="D571" s="25" t="inlineStr">
        <is>
          <t>ST-054-STD-07</t>
        </is>
      </c>
      <c r="E571" s="25" t="inlineStr">
        <is>
          <t>IA-ST-054-STD-07</t>
        </is>
      </c>
      <c r="F571" s="25" t="inlineStr">
        <is>
          <t>IA-ST-CFG-0143</t>
        </is>
      </c>
      <c r="G571" s="25" t="n">
        <v>33.7838</v>
      </c>
      <c r="H571" s="25" t="inlineStr">
        <is>
          <t>988-pack GENERATED</t>
        </is>
      </c>
    </row>
    <row r="572">
      <c r="A572" s="25" t="inlineStr">
        <is>
          <t>1012249</t>
        </is>
      </c>
      <c r="B572" s="25" t="inlineStr">
        <is>
          <t>AKÜ,D31DK95AH,IGYSMF,GRİSYH,SILVR,SCHNPP</t>
        </is>
      </c>
      <c r="C572" s="25" t="inlineStr">
        <is>
          <t>1</t>
        </is>
      </c>
      <c r="D572" s="25" t="inlineStr">
        <is>
          <t>ST-054-STD-10</t>
        </is>
      </c>
      <c r="E572" s="25" t="inlineStr">
        <is>
          <t>IA-ST-054-STD-10</t>
        </is>
      </c>
      <c r="F572" s="25" t="inlineStr">
        <is>
          <t>IA-ST-CFG-0146</t>
        </is>
      </c>
      <c r="G572" s="25" t="n">
        <v>28.649</v>
      </c>
      <c r="H572" s="25" t="inlineStr">
        <is>
          <t>988-pack GENERATED</t>
        </is>
      </c>
    </row>
    <row r="573">
      <c r="A573" s="25" t="inlineStr">
        <is>
          <t>1012250</t>
        </is>
      </c>
      <c r="B573" s="25" t="inlineStr">
        <is>
          <t>AKÜD31DK95AH,IGYSMF,GRİSYH,STRONG,SCHNPP</t>
        </is>
      </c>
      <c r="C573" s="25" t="inlineStr">
        <is>
          <t>1</t>
        </is>
      </c>
      <c r="D573" s="25" t="inlineStr">
        <is>
          <t>ST-054-STD-10</t>
        </is>
      </c>
      <c r="E573" s="25" t="inlineStr">
        <is>
          <t>IA-ST-054-STD-10</t>
        </is>
      </c>
      <c r="F573" s="25" t="inlineStr">
        <is>
          <t>IA-ST-CFG-0146</t>
        </is>
      </c>
      <c r="G573" s="25" t="n">
        <v>28.649</v>
      </c>
      <c r="H573" s="25" t="inlineStr">
        <is>
          <t>988-pack GENERATED</t>
        </is>
      </c>
    </row>
    <row r="574">
      <c r="A574" s="25" t="inlineStr">
        <is>
          <t>1012251</t>
        </is>
      </c>
      <c r="B574" s="25" t="inlineStr">
        <is>
          <t>AKÜD31TK95AH,IGYSMF,GRİSYH,STRONG,SCHNPP</t>
        </is>
      </c>
      <c r="C574" s="25" t="inlineStr">
        <is>
          <t>1</t>
        </is>
      </c>
      <c r="D574" s="25" t="inlineStr">
        <is>
          <t>ST-054-STD-10</t>
        </is>
      </c>
      <c r="E574" s="25" t="inlineStr">
        <is>
          <t>IA-ST-054-STD-10</t>
        </is>
      </c>
      <c r="F574" s="25" t="inlineStr">
        <is>
          <t>IA-ST-CFG-0146</t>
        </is>
      </c>
      <c r="G574" s="25" t="n">
        <v>28.649</v>
      </c>
      <c r="H574" s="25" t="inlineStr">
        <is>
          <t>988-pack GENERATED</t>
        </is>
      </c>
    </row>
    <row r="575">
      <c r="A575" s="25" t="inlineStr">
        <is>
          <t>1012254</t>
        </is>
      </c>
      <c r="B575" s="25" t="inlineStr">
        <is>
          <t>AKÜ,L5,DK,92AH,IGYA SMF,İNCİ SUPRA,METRA</t>
        </is>
      </c>
      <c r="C575" s="25" t="inlineStr">
        <is>
          <t>1</t>
        </is>
      </c>
      <c r="D575" s="25" t="inlineStr">
        <is>
          <t>ST-045-STD-08</t>
        </is>
      </c>
      <c r="E575" s="25" t="inlineStr">
        <is>
          <t>IA-ST-045-STD-08</t>
        </is>
      </c>
      <c r="F575" s="25" t="inlineStr">
        <is>
          <t>IA-ST-CFG-0096</t>
        </is>
      </c>
      <c r="G575" s="25" t="n">
        <v>29.7192</v>
      </c>
      <c r="H575" s="25" t="inlineStr">
        <is>
          <t>988-pack GENERATED</t>
        </is>
      </c>
    </row>
    <row r="576">
      <c r="A576" s="25" t="inlineStr">
        <is>
          <t>1012257</t>
        </is>
      </c>
      <c r="B576" s="25" t="inlineStr">
        <is>
          <t>AKÜ,L5,DK,102AH,IGYSMF,İNCİMAXIMA,DIŞPYS</t>
        </is>
      </c>
      <c r="C576" s="25" t="inlineStr">
        <is>
          <t>1</t>
        </is>
      </c>
      <c r="D576" s="25" t="inlineStr">
        <is>
          <t>ST-045-STD-08</t>
        </is>
      </c>
      <c r="E576" s="25" t="inlineStr">
        <is>
          <t>IA-ST-045-STD-08</t>
        </is>
      </c>
      <c r="F576" s="25" t="inlineStr">
        <is>
          <t>IA-ST-CFG-0096</t>
        </is>
      </c>
      <c r="G576" s="25" t="n">
        <v>29.7192</v>
      </c>
      <c r="H576" s="25" t="inlineStr">
        <is>
          <t>988-pack GENERATED</t>
        </is>
      </c>
    </row>
    <row r="577">
      <c r="A577" s="25" t="inlineStr">
        <is>
          <t>1012258</t>
        </is>
      </c>
      <c r="B577" s="25" t="inlineStr">
        <is>
          <t>AKÜ,L5,DK,100AH,IGYASMF,İNCİ FORM TAURUS</t>
        </is>
      </c>
      <c r="C577" s="25" t="inlineStr">
        <is>
          <t>1</t>
        </is>
      </c>
      <c r="D577" s="25" t="inlineStr">
        <is>
          <t>ST-045-STD-08</t>
        </is>
      </c>
      <c r="E577" s="25" t="inlineStr">
        <is>
          <t>IA-ST-045-STD-08</t>
        </is>
      </c>
      <c r="F577" s="25" t="inlineStr">
        <is>
          <t>IA-ST-CFG-0096</t>
        </is>
      </c>
      <c r="G577" s="25" t="n">
        <v>29.7192</v>
      </c>
      <c r="H577" s="25" t="inlineStr">
        <is>
          <t>988-pack GENERATED</t>
        </is>
      </c>
    </row>
    <row r="578">
      <c r="A578" s="25" t="inlineStr">
        <is>
          <t>1012259</t>
        </is>
      </c>
      <c r="B578" s="25" t="inlineStr">
        <is>
          <t>AKÜ L5,DK,105AH,IGYASMF,İNCİ FORM TAURUS</t>
        </is>
      </c>
      <c r="C578" s="25" t="inlineStr">
        <is>
          <t>1</t>
        </is>
      </c>
      <c r="D578" s="25" t="inlineStr">
        <is>
          <t>ST-045-STD-08</t>
        </is>
      </c>
      <c r="E578" s="25" t="inlineStr">
        <is>
          <t>IA-ST-045-STD-08</t>
        </is>
      </c>
      <c r="F578" s="25" t="inlineStr">
        <is>
          <t>IA-ST-CFG-0096</t>
        </is>
      </c>
      <c r="G578" s="25" t="n">
        <v>29.7192</v>
      </c>
      <c r="H578" s="25" t="inlineStr">
        <is>
          <t>988-pack GENERATED</t>
        </is>
      </c>
    </row>
    <row r="579">
      <c r="A579" s="25" t="inlineStr">
        <is>
          <t>1012264</t>
        </is>
      </c>
      <c r="B579" s="25" t="inlineStr">
        <is>
          <t>AKÜ,L5,DK,100AH,IGYA SMF,SILVER SCHNAP</t>
        </is>
      </c>
      <c r="C579" s="25" t="inlineStr">
        <is>
          <t>1</t>
        </is>
      </c>
      <c r="D579" s="25" t="inlineStr">
        <is>
          <t>ST-045-STD-13</t>
        </is>
      </c>
      <c r="E579" s="25" t="inlineStr">
        <is>
          <t>IA-ST-045-STD-13</t>
        </is>
      </c>
      <c r="F579" s="25" t="inlineStr">
        <is>
          <t>IA-ST-CFG-0101</t>
        </is>
      </c>
      <c r="G579" s="25" t="n">
        <v>28.617</v>
      </c>
      <c r="H579" s="25" t="inlineStr">
        <is>
          <t>988-pack GENERATED</t>
        </is>
      </c>
    </row>
    <row r="580">
      <c r="A580" s="25" t="inlineStr">
        <is>
          <t>1012265</t>
        </is>
      </c>
      <c r="B580" s="25" t="inlineStr">
        <is>
          <t>AKÜ,L5,DK,100AH,IGYA SMF,STRONG SCHNAP</t>
        </is>
      </c>
      <c r="C580" s="25" t="inlineStr">
        <is>
          <t>1</t>
        </is>
      </c>
      <c r="D580" s="25" t="inlineStr">
        <is>
          <t>ST-045-STD-13</t>
        </is>
      </c>
      <c r="E580" s="25" t="inlineStr">
        <is>
          <t>IA-ST-045-STD-13</t>
        </is>
      </c>
      <c r="F580" s="25" t="inlineStr">
        <is>
          <t>IA-ST-CFG-0101</t>
        </is>
      </c>
      <c r="G580" s="25" t="n">
        <v>28.617</v>
      </c>
      <c r="H580" s="25" t="inlineStr">
        <is>
          <t>988-pack GENERATED</t>
        </is>
      </c>
    </row>
    <row r="581">
      <c r="A581" s="25" t="inlineStr">
        <is>
          <t>1012274</t>
        </is>
      </c>
      <c r="B581" s="25" t="inlineStr">
        <is>
          <t>AKÜ,D26,DK,72AH,IGYASMF,İNCİ FORM TAURUS</t>
        </is>
      </c>
      <c r="C581" s="25" t="inlineStr">
        <is>
          <t>1</t>
        </is>
      </c>
      <c r="D581" s="25" t="inlineStr">
        <is>
          <t>ST-063-STD-04</t>
        </is>
      </c>
      <c r="E581" s="25" t="inlineStr">
        <is>
          <t>IA-ST-063-STD-04</t>
        </is>
      </c>
      <c r="F581" s="25" t="inlineStr">
        <is>
          <t>IA-ST-CFG-0175</t>
        </is>
      </c>
      <c r="G581" s="25" t="n">
        <v>34.1512</v>
      </c>
      <c r="H581" s="25" t="inlineStr">
        <is>
          <t>988-pack GENERATED</t>
        </is>
      </c>
    </row>
    <row r="582">
      <c r="A582" s="25" t="inlineStr">
        <is>
          <t>1012275</t>
        </is>
      </c>
      <c r="B582" s="25" t="inlineStr">
        <is>
          <t>AKÜ,D26,DK,80AH,IGYSMF,İNCİMAXIMA,DIŞPYS</t>
        </is>
      </c>
      <c r="C582" s="25" t="inlineStr">
        <is>
          <t>1</t>
        </is>
      </c>
      <c r="D582" s="25" t="inlineStr">
        <is>
          <t>ST-063-STD-04</t>
        </is>
      </c>
      <c r="E582" s="25" t="inlineStr">
        <is>
          <t>IA-ST-063-STD-04</t>
        </is>
      </c>
      <c r="F582" s="25" t="inlineStr">
        <is>
          <t>IA-ST-CFG-0175</t>
        </is>
      </c>
      <c r="G582" s="25" t="n">
        <v>34.1512</v>
      </c>
      <c r="H582" s="25" t="inlineStr">
        <is>
          <t>988-pack GENERATED</t>
        </is>
      </c>
    </row>
    <row r="583">
      <c r="A583" s="25" t="inlineStr">
        <is>
          <t>1012276</t>
        </is>
      </c>
      <c r="B583" s="25" t="inlineStr">
        <is>
          <t>AKÜD26,DK65AH,IGYSMF,GRİSYH,STRONG,SCHNP</t>
        </is>
      </c>
      <c r="C583" s="25" t="inlineStr">
        <is>
          <t>1</t>
        </is>
      </c>
      <c r="D583" s="25" t="inlineStr">
        <is>
          <t>ST-063-STD-12</t>
        </is>
      </c>
      <c r="E583" s="25" t="inlineStr">
        <is>
          <t>IA-ST-063-STD-12</t>
        </is>
      </c>
      <c r="F583" s="25" t="inlineStr">
        <is>
          <t>IA-ST-CFG-0183</t>
        </is>
      </c>
      <c r="G583" s="25" t="n">
        <v>28.649</v>
      </c>
      <c r="H583" s="25" t="inlineStr">
        <is>
          <t>988-pack GENERATED</t>
        </is>
      </c>
    </row>
    <row r="584">
      <c r="A584" s="25" t="inlineStr">
        <is>
          <t>1012277</t>
        </is>
      </c>
      <c r="B584" s="25" t="inlineStr">
        <is>
          <t>AKÜD26,DK65AH,IGYSMF,GRİSYH,SILVER,SCHNP</t>
        </is>
      </c>
      <c r="C584" s="25" t="inlineStr">
        <is>
          <t>1</t>
        </is>
      </c>
      <c r="D584" s="25" t="inlineStr">
        <is>
          <t>ST-063-STD-12</t>
        </is>
      </c>
      <c r="E584" s="25" t="inlineStr">
        <is>
          <t>IA-ST-063-STD-12</t>
        </is>
      </c>
      <c r="F584" s="25" t="inlineStr">
        <is>
          <t>IA-ST-CFG-0183</t>
        </is>
      </c>
      <c r="G584" s="25" t="n">
        <v>28.649</v>
      </c>
      <c r="H584" s="25" t="inlineStr">
        <is>
          <t>988-pack GENERATED</t>
        </is>
      </c>
    </row>
    <row r="585">
      <c r="A585" s="25" t="inlineStr">
        <is>
          <t>1012279</t>
        </is>
      </c>
      <c r="B585" s="25" t="inlineStr">
        <is>
          <t>AKÜD26,DK80AH,IGYSMF,GRİSYH,SILVER,SCHNP</t>
        </is>
      </c>
      <c r="C585" s="25" t="inlineStr">
        <is>
          <t>1</t>
        </is>
      </c>
      <c r="D585" s="25" t="inlineStr">
        <is>
          <t>ST-063-STD-12</t>
        </is>
      </c>
      <c r="E585" s="25" t="inlineStr">
        <is>
          <t>IA-ST-063-STD-12</t>
        </is>
      </c>
      <c r="F585" s="25" t="inlineStr">
        <is>
          <t>IA-ST-CFG-0183</t>
        </is>
      </c>
      <c r="G585" s="25" t="n">
        <v>28.649</v>
      </c>
      <c r="H585" s="25" t="inlineStr">
        <is>
          <t>988-pack GENERATED</t>
        </is>
      </c>
    </row>
    <row r="586">
      <c r="A586" s="25" t="inlineStr">
        <is>
          <t>1012280</t>
        </is>
      </c>
      <c r="B586" s="25" t="inlineStr">
        <is>
          <t>AKÜD26,DK80AH,IGYSMF,GRİSYH,STRONG,SCHNP</t>
        </is>
      </c>
      <c r="C586" s="25" t="inlineStr">
        <is>
          <t>1</t>
        </is>
      </c>
      <c r="D586" s="25" t="inlineStr">
        <is>
          <t>ST-063-STD-12</t>
        </is>
      </c>
      <c r="E586" s="25" t="inlineStr">
        <is>
          <t>IA-ST-063-STD-12</t>
        </is>
      </c>
      <c r="F586" s="25" t="inlineStr">
        <is>
          <t>IA-ST-CFG-0183</t>
        </is>
      </c>
      <c r="G586" s="25" t="n">
        <v>28.649</v>
      </c>
      <c r="H586" s="25" t="inlineStr">
        <is>
          <t>988-pack GENERATED</t>
        </is>
      </c>
    </row>
    <row r="587">
      <c r="A587" s="25" t="inlineStr">
        <is>
          <t>1012286</t>
        </is>
      </c>
      <c r="B587" s="25" t="inlineStr">
        <is>
          <t>AKÜ,D23DK60AH,IGYSMF,GRİSYH,STRONG,SCHNP</t>
        </is>
      </c>
      <c r="C587" s="25" t="inlineStr">
        <is>
          <t>1</t>
        </is>
      </c>
      <c r="D587" s="25" t="inlineStr">
        <is>
          <t>ST-072-STD-19</t>
        </is>
      </c>
      <c r="E587" s="25" t="inlineStr">
        <is>
          <t>IA-ST-072-STD-19</t>
        </is>
      </c>
      <c r="F587" s="25" t="inlineStr">
        <is>
          <t>IA-ST-CFG-0228</t>
        </is>
      </c>
      <c r="G587" s="25" t="n">
        <v>28.649</v>
      </c>
      <c r="H587" s="25" t="inlineStr">
        <is>
          <t>988-pack GENERATED</t>
        </is>
      </c>
    </row>
    <row r="588">
      <c r="A588" s="25" t="inlineStr">
        <is>
          <t>1012287</t>
        </is>
      </c>
      <c r="B588" s="25" t="inlineStr">
        <is>
          <t>AKÜ,D23,DK,68AH,IGYA SMF,MAXIMA,DIŞ PYS</t>
        </is>
      </c>
      <c r="C588" s="25" t="inlineStr">
        <is>
          <t>1</t>
        </is>
      </c>
      <c r="D588" s="25" t="inlineStr">
        <is>
          <t>ST-072-STD-10</t>
        </is>
      </c>
      <c r="E588" s="25" t="inlineStr">
        <is>
          <t>IA-ST-072-STD-10</t>
        </is>
      </c>
      <c r="F588" s="25" t="inlineStr">
        <is>
          <t>IA-ST-CFG-0219</t>
        </is>
      </c>
      <c r="G588" s="25" t="n">
        <v>34.33224</v>
      </c>
      <c r="H588" s="25" t="inlineStr">
        <is>
          <t>988-pack GENERATED</t>
        </is>
      </c>
    </row>
    <row r="589">
      <c r="A589" s="25" t="inlineStr">
        <is>
          <t>1012288</t>
        </is>
      </c>
      <c r="B589" s="25" t="inlineStr">
        <is>
          <t>AKÜD23DK60AH,IGYSMF,GRİSYH,SILVER,SCHNAP</t>
        </is>
      </c>
      <c r="C589" s="25" t="inlineStr">
        <is>
          <t>1</t>
        </is>
      </c>
      <c r="D589" s="25" t="inlineStr">
        <is>
          <t>ST-072-STD-19</t>
        </is>
      </c>
      <c r="E589" s="25" t="inlineStr">
        <is>
          <t>IA-ST-072-STD-19</t>
        </is>
      </c>
      <c r="F589" s="25" t="inlineStr">
        <is>
          <t>IA-ST-CFG-0228</t>
        </is>
      </c>
      <c r="G589" s="25" t="n">
        <v>28.649</v>
      </c>
      <c r="H589" s="25" t="inlineStr">
        <is>
          <t>988-pack GENERATED</t>
        </is>
      </c>
    </row>
    <row r="590">
      <c r="A590" s="25" t="inlineStr">
        <is>
          <t>1012289</t>
        </is>
      </c>
      <c r="B590" s="25" t="inlineStr">
        <is>
          <t>AKÜ,D23,TK,62AH,IGYA,B0,İNCİTAUR,SHAWKAT</t>
        </is>
      </c>
      <c r="C590" s="25" t="inlineStr">
        <is>
          <t>1</t>
        </is>
      </c>
      <c r="D590" s="25" t="inlineStr">
        <is>
          <t>ST-072-STD-10</t>
        </is>
      </c>
      <c r="E590" s="25" t="inlineStr">
        <is>
          <t>IA-ST-072-STD-10</t>
        </is>
      </c>
      <c r="F590" s="25" t="inlineStr">
        <is>
          <t>IA-ST-CFG-0219</t>
        </is>
      </c>
      <c r="G590" s="25" t="n">
        <v>34.33224</v>
      </c>
      <c r="H590" s="25" t="inlineStr">
        <is>
          <t>988-pack GENERATED</t>
        </is>
      </c>
    </row>
    <row r="591">
      <c r="A591" s="25" t="inlineStr">
        <is>
          <t>1012292</t>
        </is>
      </c>
      <c r="B591" s="25" t="inlineStr">
        <is>
          <t>AKÜ,D23,TK,60AH,IGYASMF,İNCİ FORM TAURUS</t>
        </is>
      </c>
      <c r="C591" s="25" t="inlineStr">
        <is>
          <t>1</t>
        </is>
      </c>
      <c r="D591" s="25" t="inlineStr">
        <is>
          <t>ST-072-STD-10</t>
        </is>
      </c>
      <c r="E591" s="25" t="inlineStr">
        <is>
          <t>IA-ST-072-STD-10</t>
        </is>
      </c>
      <c r="F591" s="25" t="inlineStr">
        <is>
          <t>IA-ST-CFG-0219</t>
        </is>
      </c>
      <c r="G591" s="25" t="n">
        <v>34.33224</v>
      </c>
      <c r="H591" s="25" t="inlineStr">
        <is>
          <t>988-pack GENERATED</t>
        </is>
      </c>
    </row>
    <row r="592">
      <c r="A592" s="25" t="inlineStr">
        <is>
          <t>1012296</t>
        </is>
      </c>
      <c r="B592" s="25" t="inlineStr">
        <is>
          <t>AKÜ,D23,TK,60AH,IGYSMF,B01,BLIZZARO SILV</t>
        </is>
      </c>
      <c r="C592" s="25" t="inlineStr">
        <is>
          <t>1</t>
        </is>
      </c>
      <c r="D592" s="25" t="inlineStr">
        <is>
          <t>ST-072-STD-10</t>
        </is>
      </c>
      <c r="E592" s="25" t="inlineStr">
        <is>
          <t>IA-ST-072-STD-10</t>
        </is>
      </c>
      <c r="F592" s="25" t="inlineStr">
        <is>
          <t>IA-ST-CFG-0219</t>
        </is>
      </c>
      <c r="G592" s="25" t="n">
        <v>34.33224</v>
      </c>
      <c r="H592" s="25" t="inlineStr">
        <is>
          <t>988-pack GENERATED</t>
        </is>
      </c>
    </row>
    <row r="593">
      <c r="A593" s="25" t="inlineStr">
        <is>
          <t>1012298</t>
        </is>
      </c>
      <c r="B593" s="25" t="inlineStr">
        <is>
          <t>AKÜ,D23,DK,60AH,IGYSMF,İNCİTAUR,EECMISIR</t>
        </is>
      </c>
      <c r="C593" s="25" t="inlineStr">
        <is>
          <t>1</t>
        </is>
      </c>
      <c r="D593" s="25" t="inlineStr">
        <is>
          <t>ST-072-STD-10</t>
        </is>
      </c>
      <c r="E593" s="25" t="inlineStr">
        <is>
          <t>IA-ST-072-STD-10</t>
        </is>
      </c>
      <c r="F593" s="25" t="inlineStr">
        <is>
          <t>IA-ST-CFG-0219</t>
        </is>
      </c>
      <c r="G593" s="25" t="n">
        <v>34.33224</v>
      </c>
      <c r="H593" s="25" t="inlineStr">
        <is>
          <t>988-pack GENERATED</t>
        </is>
      </c>
    </row>
    <row r="594">
      <c r="A594" s="25" t="inlineStr">
        <is>
          <t>1012304</t>
        </is>
      </c>
      <c r="B594" s="25" t="inlineStr">
        <is>
          <t>AKÜ,LB1,DK,43AH,IGYA SMF,SILVER SCHNAP</t>
        </is>
      </c>
      <c r="C594" s="25" t="inlineStr">
        <is>
          <t>1</t>
        </is>
      </c>
      <c r="D594" s="25" t="inlineStr">
        <is>
          <t>ST-087-STD-04</t>
        </is>
      </c>
      <c r="E594" s="25" t="inlineStr">
        <is>
          <t>IA-ST-087-STD-04</t>
        </is>
      </c>
      <c r="F594" s="25" t="inlineStr">
        <is>
          <t>IA-ST-CFG-0249</t>
        </is>
      </c>
      <c r="G594" s="25" t="n">
        <v>29.057</v>
      </c>
      <c r="H594" s="25" t="inlineStr">
        <is>
          <t>988-pack GENERATED</t>
        </is>
      </c>
    </row>
    <row r="595">
      <c r="A595" s="25" t="inlineStr">
        <is>
          <t>1012306</t>
        </is>
      </c>
      <c r="B595" s="25" t="inlineStr">
        <is>
          <t>AKÜD26,TK80AH,IGYSMF,GRİSYH,STRONG,SCHNP</t>
        </is>
      </c>
      <c r="C595" s="25" t="inlineStr">
        <is>
          <t>1</t>
        </is>
      </c>
      <c r="D595" s="25" t="inlineStr">
        <is>
          <t>ST-063-STD-12</t>
        </is>
      </c>
      <c r="E595" s="25" t="inlineStr">
        <is>
          <t>IA-ST-063-STD-12</t>
        </is>
      </c>
      <c r="F595" s="25" t="inlineStr">
        <is>
          <t>IA-ST-CFG-0183</t>
        </is>
      </c>
      <c r="G595" s="25" t="n">
        <v>28.649</v>
      </c>
      <c r="H595" s="25" t="inlineStr">
        <is>
          <t>988-pack GENERATED</t>
        </is>
      </c>
    </row>
    <row r="596">
      <c r="A596" s="25" t="inlineStr">
        <is>
          <t>1012307</t>
        </is>
      </c>
      <c r="B596" s="25" t="inlineStr">
        <is>
          <t>AKÜ,LB2,DK,45AH,IGYASMF,İNCİ FORM TAURUS</t>
        </is>
      </c>
      <c r="C596" s="25" t="inlineStr">
        <is>
          <t>1</t>
        </is>
      </c>
      <c r="D596" s="25" t="inlineStr">
        <is>
          <t>ST-072-STD-13</t>
        </is>
      </c>
      <c r="E596" s="25" t="inlineStr">
        <is>
          <t>IA-ST-072-STD-13</t>
        </is>
      </c>
      <c r="F596" s="25" t="inlineStr">
        <is>
          <t>IA-ST-CFG-0222</t>
        </is>
      </c>
      <c r="G596" s="25" t="n">
        <v>30.6552</v>
      </c>
      <c r="H596" s="25" t="inlineStr">
        <is>
          <t>988-pack GENERATED</t>
        </is>
      </c>
    </row>
    <row r="597">
      <c r="A597" s="25" t="inlineStr">
        <is>
          <t>1012309</t>
        </is>
      </c>
      <c r="B597" s="25" t="inlineStr">
        <is>
          <t>AKÜD26,TK80AH,IGYSMFG,RİSYH,SILVER,SCHNP</t>
        </is>
      </c>
      <c r="C597" s="25" t="inlineStr">
        <is>
          <t>1</t>
        </is>
      </c>
      <c r="D597" s="25" t="inlineStr">
        <is>
          <t>ST-063-STD-12</t>
        </is>
      </c>
      <c r="E597" s="25" t="inlineStr">
        <is>
          <t>IA-ST-063-STD-12</t>
        </is>
      </c>
      <c r="F597" s="25" t="inlineStr">
        <is>
          <t>IA-ST-CFG-0183</t>
        </is>
      </c>
      <c r="G597" s="25" t="n">
        <v>28.649</v>
      </c>
      <c r="H597" s="25" t="inlineStr">
        <is>
          <t>988-pack GENERATED</t>
        </is>
      </c>
    </row>
    <row r="598">
      <c r="A598" s="25" t="inlineStr">
        <is>
          <t>1012313</t>
        </is>
      </c>
      <c r="B598" s="25" t="inlineStr">
        <is>
          <t>AKÜ LB2,DK,60AH,IGYASMF,İNCİMAXIMADIŞPYS</t>
        </is>
      </c>
      <c r="C598" s="25" t="inlineStr">
        <is>
          <t>1</t>
        </is>
      </c>
      <c r="D598" s="25" t="inlineStr">
        <is>
          <t>ST-072-STD-13</t>
        </is>
      </c>
      <c r="E598" s="25" t="inlineStr">
        <is>
          <t>IA-ST-072-STD-13</t>
        </is>
      </c>
      <c r="F598" s="25" t="inlineStr">
        <is>
          <t>IA-ST-CFG-0222</t>
        </is>
      </c>
      <c r="G598" s="25" t="n">
        <v>30.6552</v>
      </c>
      <c r="H598" s="25" t="inlineStr">
        <is>
          <t>988-pack GENERATED</t>
        </is>
      </c>
    </row>
    <row r="599">
      <c r="A599" s="25" t="inlineStr">
        <is>
          <t>1012314</t>
        </is>
      </c>
      <c r="B599" s="25" t="inlineStr">
        <is>
          <t>AKÜ,LB2,DK,60AH,IGYASMF,İNCİ SUPRA,METRA</t>
        </is>
      </c>
      <c r="C599" s="25" t="inlineStr">
        <is>
          <t>1</t>
        </is>
      </c>
      <c r="D599" s="25" t="inlineStr">
        <is>
          <t>ST-072-STD-13</t>
        </is>
      </c>
      <c r="E599" s="25" t="inlineStr">
        <is>
          <t>IA-ST-072-STD-13</t>
        </is>
      </c>
      <c r="F599" s="25" t="inlineStr">
        <is>
          <t>IA-ST-CFG-0222</t>
        </is>
      </c>
      <c r="G599" s="25" t="n">
        <v>30.6552</v>
      </c>
      <c r="H599" s="25" t="inlineStr">
        <is>
          <t>988-pack GENERATED</t>
        </is>
      </c>
    </row>
    <row r="600">
      <c r="A600" s="25" t="inlineStr">
        <is>
          <t>1012320</t>
        </is>
      </c>
      <c r="B600" s="25" t="inlineStr">
        <is>
          <t>AKÜ,D26,TK,72AH,IGYSMF,İNCİTAUR,EECMISIR</t>
        </is>
      </c>
      <c r="C600" s="25" t="inlineStr">
        <is>
          <t>1</t>
        </is>
      </c>
      <c r="D600" s="25" t="inlineStr">
        <is>
          <t>ST-063-STD-04</t>
        </is>
      </c>
      <c r="E600" s="25" t="inlineStr">
        <is>
          <t>IA-ST-063-STD-04</t>
        </is>
      </c>
      <c r="F600" s="25" t="inlineStr">
        <is>
          <t>IA-ST-CFG-0175</t>
        </is>
      </c>
      <c r="G600" s="25" t="n">
        <v>34.1512</v>
      </c>
      <c r="H600" s="25" t="inlineStr">
        <is>
          <t>988-pack GENERATED</t>
        </is>
      </c>
    </row>
    <row r="601">
      <c r="A601" s="25" t="inlineStr">
        <is>
          <t>1012332</t>
        </is>
      </c>
      <c r="B601" s="25" t="inlineStr">
        <is>
          <t>AKÜL1,DK50AH,IGYSMF,GRİSYH,STRONG,SCHNPP</t>
        </is>
      </c>
      <c r="C601" s="25" t="inlineStr">
        <is>
          <t>1</t>
        </is>
      </c>
      <c r="D601" s="25" t="inlineStr">
        <is>
          <t>ST-087-STD-04</t>
        </is>
      </c>
      <c r="E601" s="25" t="inlineStr">
        <is>
          <t>IA-ST-087-STD-04</t>
        </is>
      </c>
      <c r="F601" s="25" t="inlineStr">
        <is>
          <t>IA-ST-CFG-0249</t>
        </is>
      </c>
      <c r="G601" s="25" t="n">
        <v>29.057</v>
      </c>
      <c r="H601" s="25" t="inlineStr">
        <is>
          <t>988-pack GENERATED</t>
        </is>
      </c>
    </row>
    <row r="602">
      <c r="A602" s="25" t="inlineStr">
        <is>
          <t>1012333</t>
        </is>
      </c>
      <c r="B602" s="25" t="inlineStr">
        <is>
          <t>AKÜ,LB3,DK,72AH,IGYASMF,İNCİMAXIMADIŞPYS</t>
        </is>
      </c>
      <c r="C602" s="25" t="inlineStr">
        <is>
          <t>1</t>
        </is>
      </c>
      <c r="D602" s="25" t="inlineStr">
        <is>
          <t>ST-063-STD-07</t>
        </is>
      </c>
      <c r="E602" s="25" t="inlineStr">
        <is>
          <t>IA-ST-063-STD-07</t>
        </is>
      </c>
      <c r="F602" s="25" t="inlineStr">
        <is>
          <t>IA-ST-CFG-0178</t>
        </is>
      </c>
      <c r="G602" s="25" t="n">
        <v>29.8692</v>
      </c>
      <c r="H602" s="25" t="inlineStr">
        <is>
          <t>988-pack GENERATED</t>
        </is>
      </c>
    </row>
    <row r="603">
      <c r="A603" s="25" t="inlineStr">
        <is>
          <t>1012334</t>
        </is>
      </c>
      <c r="B603" s="25" t="inlineStr">
        <is>
          <t>AKÜ,LB3,DK,75AH,IGYASMF,İNCİ SUPRA,METRA</t>
        </is>
      </c>
      <c r="C603" s="25" t="inlineStr">
        <is>
          <t>1</t>
        </is>
      </c>
      <c r="D603" s="25" t="inlineStr">
        <is>
          <t>ST-063-STD-07</t>
        </is>
      </c>
      <c r="E603" s="25" t="inlineStr">
        <is>
          <t>IA-ST-063-STD-07</t>
        </is>
      </c>
      <c r="F603" s="25" t="inlineStr">
        <is>
          <t>IA-ST-CFG-0178</t>
        </is>
      </c>
      <c r="G603" s="25" t="n">
        <v>29.8692</v>
      </c>
      <c r="H603" s="25" t="inlineStr">
        <is>
          <t>988-pack GENERATED</t>
        </is>
      </c>
    </row>
    <row r="604">
      <c r="A604" s="25" t="inlineStr">
        <is>
          <t>1012335</t>
        </is>
      </c>
      <c r="B604" s="25" t="inlineStr">
        <is>
          <t>AKÜ,LB3,DK,72AH,IGYSMF,İNCİTAUR,EECMISIR</t>
        </is>
      </c>
      <c r="C604" s="25" t="inlineStr">
        <is>
          <t>1</t>
        </is>
      </c>
      <c r="D604" s="25" t="inlineStr">
        <is>
          <t>ST-063-STD-07</t>
        </is>
      </c>
      <c r="E604" s="25" t="inlineStr">
        <is>
          <t>IA-ST-063-STD-07</t>
        </is>
      </c>
      <c r="F604" s="25" t="inlineStr">
        <is>
          <t>IA-ST-CFG-0178</t>
        </is>
      </c>
      <c r="G604" s="25" t="n">
        <v>29.8692</v>
      </c>
      <c r="H604" s="25" t="inlineStr">
        <is>
          <t>988-pack GENERATED</t>
        </is>
      </c>
    </row>
    <row r="605">
      <c r="A605" s="25" t="inlineStr">
        <is>
          <t>1012336</t>
        </is>
      </c>
      <c r="B605" s="25" t="inlineStr">
        <is>
          <t>AKÜL1,DK50AH,IGYSMF,GRİSYH,SILVER,SCHNPP</t>
        </is>
      </c>
      <c r="C605" s="25" t="inlineStr">
        <is>
          <t>1</t>
        </is>
      </c>
      <c r="D605" s="25" t="inlineStr">
        <is>
          <t>ST-087-STD-04</t>
        </is>
      </c>
      <c r="E605" s="25" t="inlineStr">
        <is>
          <t>IA-ST-087-STD-04</t>
        </is>
      </c>
      <c r="F605" s="25" t="inlineStr">
        <is>
          <t>IA-ST-CFG-0249</t>
        </is>
      </c>
      <c r="G605" s="25" t="n">
        <v>29.057</v>
      </c>
      <c r="H605" s="25" t="inlineStr">
        <is>
          <t>988-pack GENERATED</t>
        </is>
      </c>
    </row>
    <row r="606">
      <c r="A606" s="25" t="inlineStr">
        <is>
          <t>1012337</t>
        </is>
      </c>
      <c r="B606" s="25" t="inlineStr">
        <is>
          <t>AKÜ,LB3,DK,66AH,IGYA SMF,STRONG,SCHNAPP</t>
        </is>
      </c>
      <c r="C606" s="25" t="inlineStr">
        <is>
          <t>1</t>
        </is>
      </c>
      <c r="D606" s="25" t="inlineStr">
        <is>
          <t>ST-063-STD-14</t>
        </is>
      </c>
      <c r="E606" s="25" t="inlineStr">
        <is>
          <t>IA-ST-063-STD-14</t>
        </is>
      </c>
      <c r="F606" s="25" t="inlineStr">
        <is>
          <t>IA-ST-CFG-0185</t>
        </is>
      </c>
      <c r="G606" s="25" t="n">
        <v>28.617</v>
      </c>
      <c r="H606" s="25" t="inlineStr">
        <is>
          <t>988-pack GENERATED</t>
        </is>
      </c>
    </row>
    <row r="607">
      <c r="A607" s="25" t="inlineStr">
        <is>
          <t>1012339</t>
        </is>
      </c>
      <c r="B607" s="25" t="inlineStr">
        <is>
          <t>AKÜL1,TK50AH,IGYSMF,GRİSYH,SILVER,SCHNAP</t>
        </is>
      </c>
      <c r="C607" s="25" t="inlineStr">
        <is>
          <t>1</t>
        </is>
      </c>
      <c r="D607" s="25" t="inlineStr">
        <is>
          <t>ST-087-STD-04</t>
        </is>
      </c>
      <c r="E607" s="25" t="inlineStr">
        <is>
          <t>IA-ST-087-STD-04</t>
        </is>
      </c>
      <c r="F607" s="25" t="inlineStr">
        <is>
          <t>IA-ST-CFG-0249</t>
        </is>
      </c>
      <c r="G607" s="25" t="n">
        <v>29.057</v>
      </c>
      <c r="H607" s="25" t="inlineStr">
        <is>
          <t>988-pack GENERATED</t>
        </is>
      </c>
    </row>
    <row r="608">
      <c r="A608" s="25" t="inlineStr">
        <is>
          <t>1012340</t>
        </is>
      </c>
      <c r="B608" s="25" t="inlineStr">
        <is>
          <t>AKÜ,LB3,DK,66AH,IGYA SMF,SILVER,SCHNAPP</t>
        </is>
      </c>
      <c r="C608" s="25" t="inlineStr">
        <is>
          <t>1</t>
        </is>
      </c>
      <c r="D608" s="25" t="inlineStr">
        <is>
          <t>ST-063-STD-14</t>
        </is>
      </c>
      <c r="E608" s="25" t="inlineStr">
        <is>
          <t>IA-ST-063-STD-14</t>
        </is>
      </c>
      <c r="F608" s="25" t="inlineStr">
        <is>
          <t>IA-ST-CFG-0185</t>
        </is>
      </c>
      <c r="G608" s="25" t="n">
        <v>28.617</v>
      </c>
      <c r="H608" s="25" t="inlineStr">
        <is>
          <t>988-pack GENERATED</t>
        </is>
      </c>
    </row>
    <row r="609">
      <c r="A609" s="25" t="inlineStr">
        <is>
          <t>1012341</t>
        </is>
      </c>
      <c r="B609" s="25" t="inlineStr">
        <is>
          <t>AKÜ,LB4,DK,82AH,IGYASMF,İNCİ FORM TAURUS</t>
        </is>
      </c>
      <c r="C609" s="25" t="inlineStr">
        <is>
          <t>1</t>
        </is>
      </c>
      <c r="D609" s="25" t="inlineStr">
        <is>
          <t>ST-072-STD-22</t>
        </is>
      </c>
      <c r="E609" s="25" t="inlineStr">
        <is>
          <t>IA-ST-072-STD-22</t>
        </is>
      </c>
      <c r="F609" s="25" t="inlineStr">
        <is>
          <t>IA-ST-CFG-0231</t>
        </is>
      </c>
      <c r="G609" s="25" t="n">
        <v>30.6372</v>
      </c>
      <c r="H609" s="25" t="inlineStr">
        <is>
          <t>988-pack GENERATED</t>
        </is>
      </c>
    </row>
    <row r="610">
      <c r="A610" s="25" t="inlineStr">
        <is>
          <t>1012342</t>
        </is>
      </c>
      <c r="B610" s="25" t="inlineStr">
        <is>
          <t>AKÜ,LB4,DK,80AH,IGYA SMF,EAS ACTIVA</t>
        </is>
      </c>
      <c r="C610" s="25" t="inlineStr">
        <is>
          <t>1</t>
        </is>
      </c>
      <c r="D610" s="25" t="inlineStr">
        <is>
          <t>ST-072-STD-22</t>
        </is>
      </c>
      <c r="E610" s="25" t="inlineStr">
        <is>
          <t>IA-ST-072-STD-22</t>
        </is>
      </c>
      <c r="F610" s="25" t="inlineStr">
        <is>
          <t>IA-ST-CFG-0231</t>
        </is>
      </c>
      <c r="G610" s="25" t="n">
        <v>30.6372</v>
      </c>
      <c r="H610" s="25" t="inlineStr">
        <is>
          <t>988-pack GENERATED</t>
        </is>
      </c>
    </row>
    <row r="611">
      <c r="A611" s="25" t="inlineStr">
        <is>
          <t>1012345</t>
        </is>
      </c>
      <c r="B611" s="25" t="inlineStr">
        <is>
          <t>AKÜ,LB4,DK,85AH,IGYASMF,İNCİMAXIMADIŞPYS</t>
        </is>
      </c>
      <c r="C611" s="25" t="inlineStr">
        <is>
          <t>1</t>
        </is>
      </c>
      <c r="D611" s="25" t="inlineStr">
        <is>
          <t>ST-072-STD-22</t>
        </is>
      </c>
      <c r="E611" s="25" t="inlineStr">
        <is>
          <t>IA-ST-072-STD-22</t>
        </is>
      </c>
      <c r="F611" s="25" t="inlineStr">
        <is>
          <t>IA-ST-CFG-0231</t>
        </is>
      </c>
      <c r="G611" s="25" t="n">
        <v>30.6372</v>
      </c>
      <c r="H611" s="25" t="inlineStr">
        <is>
          <t>988-pack GENERATED</t>
        </is>
      </c>
    </row>
    <row r="612">
      <c r="A612" s="25" t="inlineStr">
        <is>
          <t>1012346</t>
        </is>
      </c>
      <c r="B612" s="25" t="inlineStr">
        <is>
          <t>AKÜ,LB4,DK,82AH,IGYASMF,İNCİ FORM TAURUS</t>
        </is>
      </c>
      <c r="C612" s="25" t="inlineStr">
        <is>
          <t>1</t>
        </is>
      </c>
      <c r="D612" s="25" t="inlineStr">
        <is>
          <t>ST-072-STD-22</t>
        </is>
      </c>
      <c r="E612" s="25" t="inlineStr">
        <is>
          <t>IA-ST-072-STD-22</t>
        </is>
      </c>
      <c r="F612" s="25" t="inlineStr">
        <is>
          <t>IA-ST-CFG-0231</t>
        </is>
      </c>
      <c r="G612" s="25" t="n">
        <v>30.6372</v>
      </c>
      <c r="H612" s="25" t="inlineStr">
        <is>
          <t>988-pack GENERATED</t>
        </is>
      </c>
    </row>
    <row r="613">
      <c r="A613" s="25" t="inlineStr">
        <is>
          <t>1012348</t>
        </is>
      </c>
      <c r="B613" s="25" t="inlineStr">
        <is>
          <t>AKÜ,LB4,DK,80AH,IGYA SMF,SILVER SCHNAP</t>
        </is>
      </c>
      <c r="C613" s="25" t="inlineStr">
        <is>
          <t>1</t>
        </is>
      </c>
      <c r="D613" s="25" t="inlineStr">
        <is>
          <t>ST-072-STD-25</t>
        </is>
      </c>
      <c r="E613" s="25" t="inlineStr">
        <is>
          <t>IA-ST-072-STD-25</t>
        </is>
      </c>
      <c r="F613" s="25" t="inlineStr">
        <is>
          <t>IA-ST-CFG-0234</t>
        </is>
      </c>
      <c r="G613" s="25" t="n">
        <v>28.887</v>
      </c>
      <c r="H613" s="25" t="inlineStr">
        <is>
          <t>988-pack GENERATED</t>
        </is>
      </c>
    </row>
    <row r="614">
      <c r="A614" s="25" t="inlineStr">
        <is>
          <t>1012349</t>
        </is>
      </c>
      <c r="B614" s="25" t="inlineStr">
        <is>
          <t>AKÜ,LB4,DK,75AH,IGYA SMF,EFB S&amp;S,SCHNAPP</t>
        </is>
      </c>
      <c r="C614" s="25" t="inlineStr">
        <is>
          <t>1</t>
        </is>
      </c>
      <c r="D614" s="25" t="inlineStr">
        <is>
          <t>ST-054-STD-12</t>
        </is>
      </c>
      <c r="E614" s="25" t="inlineStr">
        <is>
          <t>IA-ST-054-STD-12</t>
        </is>
      </c>
      <c r="F614" s="25" t="inlineStr">
        <is>
          <t>IA-ST-CFG-0148</t>
        </is>
      </c>
      <c r="G614" s="25" t="n">
        <v>28.617</v>
      </c>
      <c r="H614" s="25" t="inlineStr">
        <is>
          <t>988-pack GENERATED</t>
        </is>
      </c>
    </row>
    <row r="615">
      <c r="A615" s="25" t="inlineStr">
        <is>
          <t>1012355</t>
        </is>
      </c>
      <c r="B615" s="25" t="inlineStr">
        <is>
          <t>AKUL1,TK50AH,IGYSMF,GRİSYH,STRONG,SCHNPP</t>
        </is>
      </c>
      <c r="C615" s="25" t="inlineStr">
        <is>
          <t>1</t>
        </is>
      </c>
      <c r="D615" s="25" t="inlineStr">
        <is>
          <t>ST-087-STD-04</t>
        </is>
      </c>
      <c r="E615" s="25" t="inlineStr">
        <is>
          <t>IA-ST-087-STD-04</t>
        </is>
      </c>
      <c r="F615" s="25" t="inlineStr">
        <is>
          <t>IA-ST-CFG-0249</t>
        </is>
      </c>
      <c r="G615" s="25" t="n">
        <v>29.057</v>
      </c>
      <c r="H615" s="25" t="inlineStr">
        <is>
          <t>988-pack GENERATED</t>
        </is>
      </c>
    </row>
    <row r="616">
      <c r="A616" s="25" t="inlineStr">
        <is>
          <t>1012364</t>
        </is>
      </c>
      <c r="B616" s="25" t="inlineStr">
        <is>
          <t>AKUD31TK95AH,IGYSMF,GRİSYH,SILVER,SCHNPP</t>
        </is>
      </c>
      <c r="C616" s="25" t="inlineStr">
        <is>
          <t>1</t>
        </is>
      </c>
      <c r="D616" s="25" t="inlineStr">
        <is>
          <t>ST-054-STD-10</t>
        </is>
      </c>
      <c r="E616" s="25" t="inlineStr">
        <is>
          <t>IA-ST-054-STD-10</t>
        </is>
      </c>
      <c r="F616" s="25" t="inlineStr">
        <is>
          <t>IA-ST-CFG-0146</t>
        </is>
      </c>
      <c r="G616" s="25" t="n">
        <v>28.649</v>
      </c>
      <c r="H616" s="25" t="inlineStr">
        <is>
          <t>988-pack GENERATED</t>
        </is>
      </c>
    </row>
    <row r="617">
      <c r="A617" s="25" t="inlineStr">
        <is>
          <t>1012365</t>
        </is>
      </c>
      <c r="B617" s="25" t="inlineStr">
        <is>
          <t>AKÜ,NS40,TK,42AH,IGYA SMF,HUGEL ULTRA</t>
        </is>
      </c>
      <c r="C617" s="25" t="inlineStr">
        <is>
          <t>1</t>
        </is>
      </c>
      <c r="D617" s="25" t="inlineStr">
        <is>
          <t>ST-120-STD-01</t>
        </is>
      </c>
      <c r="E617" s="25" t="inlineStr">
        <is>
          <t>IA-ST-120-STD-01</t>
        </is>
      </c>
      <c r="F617" s="25" t="inlineStr">
        <is>
          <t>IA-ST-CFG-0284</t>
        </is>
      </c>
      <c r="G617" s="25" t="n">
        <v>35.3676</v>
      </c>
      <c r="H617" s="25" t="inlineStr">
        <is>
          <t>988-pack GENERATED</t>
        </is>
      </c>
    </row>
    <row r="618">
      <c r="A618" s="25" t="inlineStr">
        <is>
          <t>1012372</t>
        </is>
      </c>
      <c r="B618" s="25" t="inlineStr">
        <is>
          <t>AKÜ,L2,DK,55AH,IGYA SMF,İNCİ SUPRA,METRA</t>
        </is>
      </c>
      <c r="C618" s="25" t="inlineStr">
        <is>
          <t>1</t>
        </is>
      </c>
      <c r="D618" s="25" t="inlineStr">
        <is>
          <t>ST-072-STD-13</t>
        </is>
      </c>
      <c r="E618" s="25" t="inlineStr">
        <is>
          <t>IA-ST-072-STD-13</t>
        </is>
      </c>
      <c r="F618" s="25" t="inlineStr">
        <is>
          <t>IA-ST-CFG-0222</t>
        </is>
      </c>
      <c r="G618" s="25" t="n">
        <v>30.6552</v>
      </c>
      <c r="H618" s="25" t="inlineStr">
        <is>
          <t>988-pack GENERATED</t>
        </is>
      </c>
    </row>
    <row r="619">
      <c r="A619" s="25" t="inlineStr">
        <is>
          <t>1012379</t>
        </is>
      </c>
      <c r="B619" s="25" t="inlineStr">
        <is>
          <t>AKÜL2,DK55AH,IGYSMF,GRİSYH,STRONG,SCHNAP</t>
        </is>
      </c>
      <c r="C619" s="25" t="inlineStr">
        <is>
          <t>1</t>
        </is>
      </c>
      <c r="D619" s="25" t="inlineStr">
        <is>
          <t>ST-072-STD-21</t>
        </is>
      </c>
      <c r="E619" s="25" t="inlineStr">
        <is>
          <t>IA-ST-072-STD-21</t>
        </is>
      </c>
      <c r="F619" s="25" t="inlineStr">
        <is>
          <t>IA-ST-CFG-0230</t>
        </is>
      </c>
      <c r="G619" s="25" t="n">
        <v>28.617</v>
      </c>
      <c r="H619" s="25" t="inlineStr">
        <is>
          <t>988-pack GENERATED</t>
        </is>
      </c>
    </row>
    <row r="620">
      <c r="A620" s="25" t="inlineStr">
        <is>
          <t>1012382</t>
        </is>
      </c>
      <c r="B620" s="25" t="inlineStr">
        <is>
          <t>AKÜL2,TK55AH,IGYSMF,GRİSYH,STRONG,SCHNAP</t>
        </is>
      </c>
      <c r="C620" s="25" t="inlineStr">
        <is>
          <t>1</t>
        </is>
      </c>
      <c r="D620" s="25" t="inlineStr">
        <is>
          <t>ST-072-STD-21</t>
        </is>
      </c>
      <c r="E620" s="25" t="inlineStr">
        <is>
          <t>IA-ST-072-STD-21</t>
        </is>
      </c>
      <c r="F620" s="25" t="inlineStr">
        <is>
          <t>IA-ST-CFG-0230</t>
        </is>
      </c>
      <c r="G620" s="25" t="n">
        <v>28.617</v>
      </c>
      <c r="H620" s="25" t="inlineStr">
        <is>
          <t>988-pack GENERATED</t>
        </is>
      </c>
    </row>
    <row r="621">
      <c r="A621" s="25" t="inlineStr">
        <is>
          <t>1012383</t>
        </is>
      </c>
      <c r="B621" s="25" t="inlineStr">
        <is>
          <t>AKÜL2,DK55AH,IGYSMF,GRİSYH,SILVER,SCHNAP</t>
        </is>
      </c>
      <c r="C621" s="25" t="inlineStr">
        <is>
          <t>1</t>
        </is>
      </c>
      <c r="D621" s="25" t="inlineStr">
        <is>
          <t>ST-072-STD-21</t>
        </is>
      </c>
      <c r="E621" s="25" t="inlineStr">
        <is>
          <t>IA-ST-072-STD-21</t>
        </is>
      </c>
      <c r="F621" s="25" t="inlineStr">
        <is>
          <t>IA-ST-CFG-0230</t>
        </is>
      </c>
      <c r="G621" s="25" t="n">
        <v>28.617</v>
      </c>
      <c r="H621" s="25" t="inlineStr">
        <is>
          <t>988-pack GENERATED</t>
        </is>
      </c>
    </row>
    <row r="622">
      <c r="A622" s="25" t="inlineStr">
        <is>
          <t>1012386</t>
        </is>
      </c>
      <c r="B622" s="25" t="inlineStr">
        <is>
          <t>AKÜL2,TK55AH,IGYSMF,GRİSYH,SILVER,SCHNAP</t>
        </is>
      </c>
      <c r="C622" s="25" t="inlineStr">
        <is>
          <t>1</t>
        </is>
      </c>
      <c r="D622" s="25" t="inlineStr">
        <is>
          <t>ST-072-STD-21</t>
        </is>
      </c>
      <c r="E622" s="25" t="inlineStr">
        <is>
          <t>IA-ST-072-STD-21</t>
        </is>
      </c>
      <c r="F622" s="25" t="inlineStr">
        <is>
          <t>IA-ST-CFG-0230</t>
        </is>
      </c>
      <c r="G622" s="25" t="n">
        <v>28.617</v>
      </c>
      <c r="H622" s="25" t="inlineStr">
        <is>
          <t>988-pack GENERATED</t>
        </is>
      </c>
    </row>
    <row r="623">
      <c r="A623" s="25" t="inlineStr">
        <is>
          <t>1012389</t>
        </is>
      </c>
      <c r="B623" s="25" t="inlineStr">
        <is>
          <t>AKÜL2,DK62AH,IGYSMF,GRİSYH,SILVER,SCHNAP</t>
        </is>
      </c>
      <c r="C623" s="25" t="inlineStr">
        <is>
          <t>1</t>
        </is>
      </c>
      <c r="D623" s="25" t="inlineStr">
        <is>
          <t>ST-072-STD-21</t>
        </is>
      </c>
      <c r="E623" s="25" t="inlineStr">
        <is>
          <t>IA-ST-072-STD-21</t>
        </is>
      </c>
      <c r="F623" s="25" t="inlineStr">
        <is>
          <t>IA-ST-CFG-0230</t>
        </is>
      </c>
      <c r="G623" s="25" t="n">
        <v>28.617</v>
      </c>
      <c r="H623" s="25" t="inlineStr">
        <is>
          <t>988-pack GENERATED</t>
        </is>
      </c>
    </row>
    <row r="624">
      <c r="A624" s="25" t="inlineStr">
        <is>
          <t>1012391</t>
        </is>
      </c>
      <c r="B624" s="25" t="inlineStr">
        <is>
          <t>AKÜL2,DK62AH,IGYSMF,GRİSYH,STRONG,SCHNAP</t>
        </is>
      </c>
      <c r="C624" s="25" t="inlineStr">
        <is>
          <t>1</t>
        </is>
      </c>
      <c r="D624" s="25" t="inlineStr">
        <is>
          <t>ST-072-STD-21</t>
        </is>
      </c>
      <c r="E624" s="25" t="inlineStr">
        <is>
          <t>IA-ST-072-STD-21</t>
        </is>
      </c>
      <c r="F624" s="25" t="inlineStr">
        <is>
          <t>IA-ST-CFG-0230</t>
        </is>
      </c>
      <c r="G624" s="25" t="n">
        <v>28.617</v>
      </c>
      <c r="H624" s="25" t="inlineStr">
        <is>
          <t>988-pack GENERATED</t>
        </is>
      </c>
    </row>
    <row r="625">
      <c r="A625" s="25" t="inlineStr">
        <is>
          <t>1012392</t>
        </is>
      </c>
      <c r="B625" s="25" t="inlineStr">
        <is>
          <t>AKÜL2,TK62AH,IGYSMF,GRİSYH,STRONG,SCHNAP</t>
        </is>
      </c>
      <c r="C625" s="25" t="inlineStr">
        <is>
          <t>1</t>
        </is>
      </c>
      <c r="D625" s="25" t="inlineStr">
        <is>
          <t>ST-072-STD-21</t>
        </is>
      </c>
      <c r="E625" s="25" t="inlineStr">
        <is>
          <t>IA-ST-072-STD-21</t>
        </is>
      </c>
      <c r="F625" s="25" t="inlineStr">
        <is>
          <t>IA-ST-CFG-0230</t>
        </is>
      </c>
      <c r="G625" s="25" t="n">
        <v>28.617</v>
      </c>
      <c r="H625" s="25" t="inlineStr">
        <is>
          <t>988-pack GENERATED</t>
        </is>
      </c>
    </row>
    <row r="626">
      <c r="A626" s="25" t="inlineStr">
        <is>
          <t>1012394</t>
        </is>
      </c>
      <c r="B626" s="25" t="inlineStr">
        <is>
          <t>AKÜ,L2,DK,60AH,IGYA SMF,EFB S&amp;S,SCHNAPP</t>
        </is>
      </c>
      <c r="C626" s="25" t="inlineStr">
        <is>
          <t>1</t>
        </is>
      </c>
      <c r="D626" s="25" t="inlineStr">
        <is>
          <t>ST-072-STD-21</t>
        </is>
      </c>
      <c r="E626" s="25" t="inlineStr">
        <is>
          <t>IA-ST-072-STD-21</t>
        </is>
      </c>
      <c r="F626" s="25" t="inlineStr">
        <is>
          <t>IA-ST-CFG-0230</t>
        </is>
      </c>
      <c r="G626" s="25" t="n">
        <v>28.617</v>
      </c>
      <c r="H626" s="25" t="inlineStr">
        <is>
          <t>988-pack GENERATED</t>
        </is>
      </c>
    </row>
    <row r="627">
      <c r="A627" s="25" t="inlineStr">
        <is>
          <t>1012396</t>
        </is>
      </c>
      <c r="B627" s="25" t="inlineStr">
        <is>
          <t>AKÜ,L4,DK,82AH,IGYA,NONAME,94R-860,HYTEC</t>
        </is>
      </c>
      <c r="C627" s="25" t="inlineStr">
        <is>
          <t>1</t>
        </is>
      </c>
      <c r="D627" s="25" t="inlineStr">
        <is>
          <t>ST-072-STD-23</t>
        </is>
      </c>
      <c r="E627" s="25" t="inlineStr">
        <is>
          <t>IA-ST-072-STD-23</t>
        </is>
      </c>
      <c r="F627" s="25" t="inlineStr">
        <is>
          <t>IA-ST-CFG-0232</t>
        </is>
      </c>
      <c r="G627" s="25" t="n">
        <v>28.1892</v>
      </c>
      <c r="H627" s="25" t="inlineStr">
        <is>
          <t>988-pack GENERATED</t>
        </is>
      </c>
    </row>
    <row r="628">
      <c r="A628" s="25" t="inlineStr">
        <is>
          <t>1012404</t>
        </is>
      </c>
      <c r="B628" s="25" t="inlineStr">
        <is>
          <t>AKÜ,L5,DK,100AH,IGYA SMF,EAS EFB S&amp;S</t>
        </is>
      </c>
      <c r="C628" s="25" t="inlineStr">
        <is>
          <t>1</t>
        </is>
      </c>
      <c r="D628" s="25" t="inlineStr">
        <is>
          <t>ST-045-STD-08</t>
        </is>
      </c>
      <c r="E628" s="25" t="inlineStr">
        <is>
          <t>IA-ST-045-STD-08</t>
        </is>
      </c>
      <c r="F628" s="25" t="inlineStr">
        <is>
          <t>IA-ST-CFG-0096</t>
        </is>
      </c>
      <c r="G628" s="25" t="n">
        <v>29.7192</v>
      </c>
      <c r="H628" s="25" t="inlineStr">
        <is>
          <t>988-pack GENERATED</t>
        </is>
      </c>
    </row>
    <row r="629">
      <c r="A629" s="25" t="inlineStr">
        <is>
          <t>1012405</t>
        </is>
      </c>
      <c r="B629" s="25" t="inlineStr">
        <is>
          <t>AKÜ,L5,DK,100AH,IGYA SMF,HUGEL EFB S&amp;S</t>
        </is>
      </c>
      <c r="C629" s="25" t="inlineStr">
        <is>
          <t>1</t>
        </is>
      </c>
      <c r="D629" s="25" t="inlineStr">
        <is>
          <t>ST-045-STD-08</t>
        </is>
      </c>
      <c r="E629" s="25" t="inlineStr">
        <is>
          <t>IA-ST-045-STD-08</t>
        </is>
      </c>
      <c r="F629" s="25" t="inlineStr">
        <is>
          <t>IA-ST-CFG-0096</t>
        </is>
      </c>
      <c r="G629" s="25" t="n">
        <v>29.7192</v>
      </c>
      <c r="H629" s="25" t="inlineStr">
        <is>
          <t>988-pack GENERATED</t>
        </is>
      </c>
    </row>
    <row r="630">
      <c r="A630" s="25" t="inlineStr">
        <is>
          <t>1012407</t>
        </is>
      </c>
      <c r="B630" s="25" t="inlineStr">
        <is>
          <t>AKÜ,L5,DK100AH,IGYASMF,BLIZZARS&amp;S,JANENE</t>
        </is>
      </c>
      <c r="C630" s="25" t="inlineStr">
        <is>
          <t>1</t>
        </is>
      </c>
      <c r="D630" s="25" t="inlineStr">
        <is>
          <t>ST-045-STD-08</t>
        </is>
      </c>
      <c r="E630" s="25" t="inlineStr">
        <is>
          <t>IA-ST-045-STD-08</t>
        </is>
      </c>
      <c r="F630" s="25" t="inlineStr">
        <is>
          <t>IA-ST-CFG-0096</t>
        </is>
      </c>
      <c r="G630" s="25" t="n">
        <v>29.7192</v>
      </c>
      <c r="H630" s="25" t="inlineStr">
        <is>
          <t>988-pack GENERATED</t>
        </is>
      </c>
    </row>
    <row r="631">
      <c r="A631" s="25" t="inlineStr">
        <is>
          <t>1012408</t>
        </is>
      </c>
      <c r="B631" s="25" t="inlineStr">
        <is>
          <t>AKÜ,L5,DK,100AH,IGYASMF,BLIZZARO EFB S&amp;S</t>
        </is>
      </c>
      <c r="C631" s="25" t="inlineStr">
        <is>
          <t>1</t>
        </is>
      </c>
      <c r="D631" s="25" t="inlineStr">
        <is>
          <t>ST-045-STD-08</t>
        </is>
      </c>
      <c r="E631" s="25" t="inlineStr">
        <is>
          <t>IA-ST-045-STD-08</t>
        </is>
      </c>
      <c r="F631" s="25" t="inlineStr">
        <is>
          <t>IA-ST-CFG-0096</t>
        </is>
      </c>
      <c r="G631" s="25" t="n">
        <v>29.7192</v>
      </c>
      <c r="H631" s="25" t="inlineStr">
        <is>
          <t>988-pack GENERATED</t>
        </is>
      </c>
    </row>
    <row r="632">
      <c r="A632" s="25" t="inlineStr">
        <is>
          <t>1012413</t>
        </is>
      </c>
      <c r="B632" s="25" t="inlineStr">
        <is>
          <t>AKÜ,L3,DK,66AH,IGYA SMF,İNCİ FORM TAURUS</t>
        </is>
      </c>
      <c r="C632" s="25" t="inlineStr">
        <is>
          <t>1</t>
        </is>
      </c>
      <c r="D632" s="25" t="inlineStr">
        <is>
          <t>ST-063-STD-08</t>
        </is>
      </c>
      <c r="E632" s="25" t="inlineStr">
        <is>
          <t>IA-ST-063-STD-08</t>
        </is>
      </c>
      <c r="F632" s="25" t="inlineStr">
        <is>
          <t>IA-ST-CFG-0179</t>
        </is>
      </c>
      <c r="G632" s="25" t="n">
        <v>29.9992</v>
      </c>
      <c r="H632" s="25" t="inlineStr">
        <is>
          <t>988-pack GENERATED</t>
        </is>
      </c>
    </row>
    <row r="633">
      <c r="A633" s="25" t="inlineStr">
        <is>
          <t>1012414</t>
        </is>
      </c>
      <c r="B633" s="25" t="inlineStr">
        <is>
          <t>AKÜL3,DK,75AH,IGYSMF,BLIZZAROTREND,METRA</t>
        </is>
      </c>
      <c r="C633" s="25" t="inlineStr">
        <is>
          <t>1</t>
        </is>
      </c>
      <c r="D633" s="25" t="inlineStr">
        <is>
          <t>ST-063-STD-08</t>
        </is>
      </c>
      <c r="E633" s="25" t="inlineStr">
        <is>
          <t>IA-ST-063-STD-08</t>
        </is>
      </c>
      <c r="F633" s="25" t="inlineStr">
        <is>
          <t>IA-ST-CFG-0179</t>
        </is>
      </c>
      <c r="G633" s="25" t="n">
        <v>29.9992</v>
      </c>
      <c r="H633" s="25" t="inlineStr">
        <is>
          <t>988-pack GENERATED</t>
        </is>
      </c>
    </row>
    <row r="634">
      <c r="A634" s="25" t="inlineStr">
        <is>
          <t>1012416</t>
        </is>
      </c>
      <c r="B634" s="25" t="inlineStr">
        <is>
          <t>AKÜ,L3,DK,80AH,IGYSMF,İNCİMAXIMA,DIŞ PYS</t>
        </is>
      </c>
      <c r="C634" s="25" t="inlineStr">
        <is>
          <t>1</t>
        </is>
      </c>
      <c r="D634" s="25" t="inlineStr">
        <is>
          <t>ST-063-STD-08</t>
        </is>
      </c>
      <c r="E634" s="25" t="inlineStr">
        <is>
          <t>IA-ST-063-STD-08</t>
        </is>
      </c>
      <c r="F634" s="25" t="inlineStr">
        <is>
          <t>IA-ST-CFG-0179</t>
        </is>
      </c>
      <c r="G634" s="25" t="n">
        <v>29.9992</v>
      </c>
      <c r="H634" s="25" t="inlineStr">
        <is>
          <t>988-pack GENERATED</t>
        </is>
      </c>
    </row>
    <row r="635">
      <c r="A635" s="25" t="inlineStr">
        <is>
          <t>1012417</t>
        </is>
      </c>
      <c r="B635" s="25" t="inlineStr">
        <is>
          <t>AKÜ,L3,TK,75AH,IGYSMF,İNCİ SUPRA,METRA</t>
        </is>
      </c>
      <c r="C635" s="25" t="inlineStr">
        <is>
          <t>1</t>
        </is>
      </c>
      <c r="D635" s="25" t="inlineStr">
        <is>
          <t>ST-063-STD-08</t>
        </is>
      </c>
      <c r="E635" s="25" t="inlineStr">
        <is>
          <t>IA-ST-063-STD-08</t>
        </is>
      </c>
      <c r="F635" s="25" t="inlineStr">
        <is>
          <t>IA-ST-CFG-0179</t>
        </is>
      </c>
      <c r="G635" s="25" t="n">
        <v>29.9992</v>
      </c>
      <c r="H635" s="25" t="inlineStr">
        <is>
          <t>988-pack GENERATED</t>
        </is>
      </c>
    </row>
    <row r="636">
      <c r="A636" s="25" t="inlineStr">
        <is>
          <t>1012418</t>
        </is>
      </c>
      <c r="B636" s="25" t="inlineStr">
        <is>
          <t>AKÜ,L3,DK,75AH,IGYSMF,İNCİ SUPRA,METRA</t>
        </is>
      </c>
      <c r="C636" s="25" t="inlineStr">
        <is>
          <t>1</t>
        </is>
      </c>
      <c r="D636" s="25" t="inlineStr">
        <is>
          <t>ST-063-STD-08</t>
        </is>
      </c>
      <c r="E636" s="25" t="inlineStr">
        <is>
          <t>IA-ST-063-STD-08</t>
        </is>
      </c>
      <c r="F636" s="25" t="inlineStr">
        <is>
          <t>IA-ST-CFG-0179</t>
        </is>
      </c>
      <c r="G636" s="25" t="n">
        <v>29.9992</v>
      </c>
      <c r="H636" s="25" t="inlineStr">
        <is>
          <t>988-pack GENERATED</t>
        </is>
      </c>
    </row>
    <row r="637">
      <c r="A637" s="25" t="inlineStr">
        <is>
          <t>1012425</t>
        </is>
      </c>
      <c r="B637" s="25" t="inlineStr">
        <is>
          <t>AKÜ,L3,DK72AH,IGYSMF,GRİSYH,SILVR,SCHNAP</t>
        </is>
      </c>
      <c r="C637" s="25" t="inlineStr">
        <is>
          <t>1</t>
        </is>
      </c>
      <c r="D637" s="25" t="inlineStr">
        <is>
          <t>ST-063-STD-14</t>
        </is>
      </c>
      <c r="E637" s="25" t="inlineStr">
        <is>
          <t>IA-ST-063-STD-14</t>
        </is>
      </c>
      <c r="F637" s="25" t="inlineStr">
        <is>
          <t>IA-ST-CFG-0185</t>
        </is>
      </c>
      <c r="G637" s="25" t="n">
        <v>28.617</v>
      </c>
      <c r="H637" s="25" t="inlineStr">
        <is>
          <t>988-pack GENERATED</t>
        </is>
      </c>
    </row>
    <row r="638">
      <c r="A638" s="25" t="inlineStr">
        <is>
          <t>1012426</t>
        </is>
      </c>
      <c r="B638" s="25" t="inlineStr">
        <is>
          <t>AKÜ,L3,DK72AH,IGYSMF,GRİSYH,STRONG,SCHNP</t>
        </is>
      </c>
      <c r="C638" s="25" t="inlineStr">
        <is>
          <t>1</t>
        </is>
      </c>
      <c r="D638" s="25" t="inlineStr">
        <is>
          <t>ST-063-STD-14</t>
        </is>
      </c>
      <c r="E638" s="25" t="inlineStr">
        <is>
          <t>IA-ST-063-STD-14</t>
        </is>
      </c>
      <c r="F638" s="25" t="inlineStr">
        <is>
          <t>IA-ST-CFG-0185</t>
        </is>
      </c>
      <c r="G638" s="25" t="n">
        <v>28.617</v>
      </c>
      <c r="H638" s="25" t="inlineStr">
        <is>
          <t>988-pack GENERATED</t>
        </is>
      </c>
    </row>
    <row r="639">
      <c r="A639" s="25" t="inlineStr">
        <is>
          <t>1012428</t>
        </is>
      </c>
      <c r="B639" s="25" t="inlineStr">
        <is>
          <t>AKÜ,L3,DK,70AH,IGYA SMF,EFB S&amp;S,SCHNAPP</t>
        </is>
      </c>
      <c r="C639" s="25" t="inlineStr">
        <is>
          <t>1</t>
        </is>
      </c>
      <c r="D639" s="25" t="inlineStr">
        <is>
          <t>ST-063-STD-14</t>
        </is>
      </c>
      <c r="E639" s="25" t="inlineStr">
        <is>
          <t>IA-ST-063-STD-14</t>
        </is>
      </c>
      <c r="F639" s="25" t="inlineStr">
        <is>
          <t>IA-ST-CFG-0185</t>
        </is>
      </c>
      <c r="G639" s="25" t="n">
        <v>28.617</v>
      </c>
      <c r="H639" s="25" t="inlineStr">
        <is>
          <t>988-pack GENERATED</t>
        </is>
      </c>
    </row>
    <row r="640">
      <c r="A640" s="25" t="inlineStr">
        <is>
          <t>1012429</t>
        </is>
      </c>
      <c r="B640" s="25" t="inlineStr">
        <is>
          <t>AKÜ,L3,TK72AH,IGYSMF,GRİSYH,STRONG,SCHNP</t>
        </is>
      </c>
      <c r="C640" s="25" t="inlineStr">
        <is>
          <t>1</t>
        </is>
      </c>
      <c r="D640" s="25" t="inlineStr">
        <is>
          <t>ST-063-STD-14</t>
        </is>
      </c>
      <c r="E640" s="25" t="inlineStr">
        <is>
          <t>IA-ST-063-STD-14</t>
        </is>
      </c>
      <c r="F640" s="25" t="inlineStr">
        <is>
          <t>IA-ST-CFG-0185</t>
        </is>
      </c>
      <c r="G640" s="25" t="n">
        <v>28.617</v>
      </c>
      <c r="H640" s="25" t="inlineStr">
        <is>
          <t>988-pack GENERATED</t>
        </is>
      </c>
    </row>
    <row r="641">
      <c r="A641" s="25" t="inlineStr">
        <is>
          <t>1012431</t>
        </is>
      </c>
      <c r="B641" s="25" t="inlineStr">
        <is>
          <t>AKÜ,L4,DK,90AH,IGYSMF,İNCİMAXIMA,DIŞ PYS</t>
        </is>
      </c>
      <c r="C641" s="25" t="inlineStr">
        <is>
          <t>1</t>
        </is>
      </c>
      <c r="D641" s="25" t="inlineStr">
        <is>
          <t>ST-072-STD-22</t>
        </is>
      </c>
      <c r="E641" s="25" t="inlineStr">
        <is>
          <t>IA-ST-072-STD-22</t>
        </is>
      </c>
      <c r="F641" s="25" t="inlineStr">
        <is>
          <t>IA-ST-CFG-0231</t>
        </is>
      </c>
      <c r="G641" s="25" t="n">
        <v>30.6372</v>
      </c>
      <c r="H641" s="25" t="inlineStr">
        <is>
          <t>988-pack GENERATED</t>
        </is>
      </c>
    </row>
    <row r="642">
      <c r="A642" s="25" t="inlineStr">
        <is>
          <t>1012432</t>
        </is>
      </c>
      <c r="B642" s="25" t="inlineStr">
        <is>
          <t>AKÜ AGM,L2,DK,60AH,İNCİ AGM LEO,İÇ PYS</t>
        </is>
      </c>
      <c r="C642" s="25" t="inlineStr">
        <is>
          <t>1</t>
        </is>
      </c>
      <c r="D642" s="25" t="inlineStr">
        <is>
          <t>ST-076-EUR-01</t>
        </is>
      </c>
      <c r="E642" s="25" t="inlineStr">
        <is>
          <t>IA-ST-076-EUR-01</t>
        </is>
      </c>
      <c r="F642" s="25" t="inlineStr">
        <is>
          <t>IA-ST-CFG-0238</t>
        </is>
      </c>
      <c r="G642" s="25" t="n">
        <v>47.226</v>
      </c>
      <c r="H642" s="25" t="inlineStr">
        <is>
          <t>988-pack GENERATED</t>
        </is>
      </c>
    </row>
    <row r="643">
      <c r="A643" s="25" t="inlineStr">
        <is>
          <t>1012433</t>
        </is>
      </c>
      <c r="B643" s="25" t="inlineStr">
        <is>
          <t>AKÜ AGM,L4,DK,80AH,İNCİ AGM LEO,İÇ PYS</t>
        </is>
      </c>
      <c r="C643" s="25" t="inlineStr">
        <is>
          <t>1</t>
        </is>
      </c>
      <c r="D643" s="25" t="inlineStr">
        <is>
          <t>ST-056-EUR-01</t>
        </is>
      </c>
      <c r="E643" s="25" t="inlineStr">
        <is>
          <t>IA-ST-056-EUR-01</t>
        </is>
      </c>
      <c r="F643" s="25" t="inlineStr">
        <is>
          <t>IA-ST-CFG-0150</t>
        </is>
      </c>
      <c r="G643" s="25" t="n">
        <v>44.106</v>
      </c>
      <c r="H643" s="25" t="inlineStr">
        <is>
          <t>988-pack GENERATED</t>
        </is>
      </c>
    </row>
    <row r="644">
      <c r="A644" s="25" t="inlineStr">
        <is>
          <t>1012435</t>
        </is>
      </c>
      <c r="B644" s="25" t="inlineStr">
        <is>
          <t>AKÜ,NS60,TK,45AH,IGYA SMF,HUGEL ULTRA</t>
        </is>
      </c>
      <c r="C644" s="25" t="inlineStr">
        <is>
          <t>1</t>
        </is>
      </c>
      <c r="D644" s="25" t="inlineStr">
        <is>
          <t>ST-096-STD-03</t>
        </is>
      </c>
      <c r="E644" s="25" t="inlineStr">
        <is>
          <t>IA-ST-096-STD-03</t>
        </is>
      </c>
      <c r="F644" s="25" t="inlineStr">
        <is>
          <t>IA-ST-CFG-0272</t>
        </is>
      </c>
      <c r="G644" s="25" t="n">
        <v>35.3172</v>
      </c>
      <c r="H644" s="25" t="inlineStr">
        <is>
          <t>988-pack GENERATED</t>
        </is>
      </c>
    </row>
    <row r="645">
      <c r="A645" s="25" t="inlineStr">
        <is>
          <t>1012437</t>
        </is>
      </c>
      <c r="B645" s="25" t="inlineStr">
        <is>
          <t>AKÜ,NS60,DK,45AH,IGYA SMF,HUGEL ULTRA</t>
        </is>
      </c>
      <c r="C645" s="25" t="inlineStr">
        <is>
          <t>1</t>
        </is>
      </c>
      <c r="D645" s="25" t="inlineStr">
        <is>
          <t>ST-096-STD-03</t>
        </is>
      </c>
      <c r="E645" s="25" t="inlineStr">
        <is>
          <t>IA-ST-096-STD-03</t>
        </is>
      </c>
      <c r="F645" s="25" t="inlineStr">
        <is>
          <t>IA-ST-CFG-0272</t>
        </is>
      </c>
      <c r="G645" s="25" t="n">
        <v>35.3172</v>
      </c>
      <c r="H645" s="25" t="inlineStr">
        <is>
          <t>988-pack GENERATED</t>
        </is>
      </c>
    </row>
    <row r="646">
      <c r="A646" s="25" t="inlineStr">
        <is>
          <t>1012443</t>
        </is>
      </c>
      <c r="B646" s="25" t="inlineStr">
        <is>
          <t>AKÜ,NS60,DK,45AH,IGYA SMF,SILVER SCHNAP</t>
        </is>
      </c>
      <c r="C646" s="25" t="inlineStr">
        <is>
          <t>1</t>
        </is>
      </c>
      <c r="D646" s="25" t="inlineStr">
        <is>
          <t>ST-096-STD-05</t>
        </is>
      </c>
      <c r="E646" s="25" t="inlineStr">
        <is>
          <t>IA-ST-096-STD-05</t>
        </is>
      </c>
      <c r="F646" s="25" t="inlineStr">
        <is>
          <t>IA-ST-CFG-0274</t>
        </is>
      </c>
      <c r="G646" s="25" t="n">
        <v>28.649</v>
      </c>
      <c r="H646" s="25" t="inlineStr">
        <is>
          <t>988-pack GENERATED</t>
        </is>
      </c>
    </row>
    <row r="647">
      <c r="A647" s="25" t="inlineStr">
        <is>
          <t>1012444</t>
        </is>
      </c>
      <c r="B647" s="25" t="inlineStr">
        <is>
          <t>AKÜ,NS60,DK,45AH,IGYA SMF,STRONG SCHNAP</t>
        </is>
      </c>
      <c r="C647" s="25" t="inlineStr">
        <is>
          <t>1</t>
        </is>
      </c>
      <c r="D647" s="25" t="inlineStr">
        <is>
          <t>ST-096-STD-05</t>
        </is>
      </c>
      <c r="E647" s="25" t="inlineStr">
        <is>
          <t>IA-ST-096-STD-05</t>
        </is>
      </c>
      <c r="F647" s="25" t="inlineStr">
        <is>
          <t>IA-ST-CFG-0274</t>
        </is>
      </c>
      <c r="G647" s="25" t="n">
        <v>28.649</v>
      </c>
      <c r="H647" s="25" t="inlineStr">
        <is>
          <t>988-pack GENERATED</t>
        </is>
      </c>
    </row>
    <row r="648">
      <c r="A648" s="25" t="inlineStr">
        <is>
          <t>1012446</t>
        </is>
      </c>
      <c r="B648" s="25" t="inlineStr">
        <is>
          <t>AKÜ,NS40,DK,40AH,B1,IGYASMF,STRONGSCHNAP</t>
        </is>
      </c>
      <c r="C648" s="25" t="inlineStr">
        <is>
          <t>1</t>
        </is>
      </c>
      <c r="D648" s="25" t="inlineStr">
        <is>
          <t>ST-120-STD-03</t>
        </is>
      </c>
      <c r="E648" s="25" t="inlineStr">
        <is>
          <t>IA-ST-120-STD-03</t>
        </is>
      </c>
      <c r="F648" s="25" t="inlineStr">
        <is>
          <t>IA-ST-CFG-0286</t>
        </is>
      </c>
      <c r="G648" s="25" t="n">
        <v>28.649</v>
      </c>
      <c r="H648" s="25" t="inlineStr">
        <is>
          <t>988-pack GENERATED</t>
        </is>
      </c>
    </row>
    <row r="649">
      <c r="A649" s="25" t="inlineStr">
        <is>
          <t>1012447</t>
        </is>
      </c>
      <c r="B649" s="25" t="inlineStr">
        <is>
          <t>AKÜ,NS40,DK,40AH,B1,IGYASMF,SILVERSCHNAP</t>
        </is>
      </c>
      <c r="C649" s="25" t="inlineStr">
        <is>
          <t>1</t>
        </is>
      </c>
      <c r="D649" s="25" t="inlineStr">
        <is>
          <t>ST-120-STD-03</t>
        </is>
      </c>
      <c r="E649" s="25" t="inlineStr">
        <is>
          <t>IA-ST-120-STD-03</t>
        </is>
      </c>
      <c r="F649" s="25" t="inlineStr">
        <is>
          <t>IA-ST-CFG-0286</t>
        </is>
      </c>
      <c r="G649" s="25" t="n">
        <v>28.649</v>
      </c>
      <c r="H649" s="25" t="inlineStr">
        <is>
          <t>988-pack GENERATED</t>
        </is>
      </c>
    </row>
    <row r="650">
      <c r="A650" s="25" t="inlineStr">
        <is>
          <t>1012448</t>
        </is>
      </c>
      <c r="B650" s="25" t="inlineStr">
        <is>
          <t>AKÜ,NS40,DK,40AH,B0,IGYASMF,STRONGSCHNAP</t>
        </is>
      </c>
      <c r="C650" s="25" t="inlineStr">
        <is>
          <t>1</t>
        </is>
      </c>
      <c r="D650" s="25" t="inlineStr">
        <is>
          <t>ST-120-STD-03</t>
        </is>
      </c>
      <c r="E650" s="25" t="inlineStr">
        <is>
          <t>IA-ST-120-STD-03</t>
        </is>
      </c>
      <c r="F650" s="25" t="inlineStr">
        <is>
          <t>IA-ST-CFG-0286</t>
        </is>
      </c>
      <c r="G650" s="25" t="n">
        <v>28.649</v>
      </c>
      <c r="H650" s="25" t="inlineStr">
        <is>
          <t>988-pack GENERATED</t>
        </is>
      </c>
    </row>
    <row r="651">
      <c r="A651" s="25" t="inlineStr">
        <is>
          <t>1012449</t>
        </is>
      </c>
      <c r="B651" s="25" t="inlineStr">
        <is>
          <t>AKÜ,NS40,DK,40AH,B0,IGYASMF,SILVERSCHNAP</t>
        </is>
      </c>
      <c r="C651" s="25" t="inlineStr">
        <is>
          <t>1</t>
        </is>
      </c>
      <c r="D651" s="25" t="inlineStr">
        <is>
          <t>ST-120-STD-03</t>
        </is>
      </c>
      <c r="E651" s="25" t="inlineStr">
        <is>
          <t>IA-ST-120-STD-03</t>
        </is>
      </c>
      <c r="F651" s="25" t="inlineStr">
        <is>
          <t>IA-ST-CFG-0286</t>
        </is>
      </c>
      <c r="G651" s="25" t="n">
        <v>28.649</v>
      </c>
      <c r="H651" s="25" t="inlineStr">
        <is>
          <t>988-pack GENERATED</t>
        </is>
      </c>
    </row>
    <row r="652">
      <c r="A652" s="25" t="inlineStr">
        <is>
          <t>1012451</t>
        </is>
      </c>
      <c r="B652" s="25" t="inlineStr">
        <is>
          <t>AKÜ,NS60,TK,45AH,IGYSMF,İNCİ TAUR,DIŞPYS</t>
        </is>
      </c>
      <c r="C652" s="25" t="inlineStr">
        <is>
          <t>1</t>
        </is>
      </c>
      <c r="D652" s="25" t="inlineStr">
        <is>
          <t>ST-096-STD-03</t>
        </is>
      </c>
      <c r="E652" s="25" t="inlineStr">
        <is>
          <t>IA-ST-096-STD-03</t>
        </is>
      </c>
      <c r="F652" s="25" t="inlineStr">
        <is>
          <t>IA-ST-CFG-0272</t>
        </is>
      </c>
      <c r="G652" s="25" t="n">
        <v>35.3172</v>
      </c>
      <c r="H652" s="25" t="inlineStr">
        <is>
          <t>988-pack GENERATED</t>
        </is>
      </c>
    </row>
    <row r="653">
      <c r="A653" s="25" t="inlineStr">
        <is>
          <t>1012452</t>
        </is>
      </c>
      <c r="B653" s="25" t="inlineStr">
        <is>
          <t>AKÜ,NS40,DK,42AH,IGYSMF,İNCİ FORM TAURUS</t>
        </is>
      </c>
      <c r="C653" s="25" t="inlineStr">
        <is>
          <t>1</t>
        </is>
      </c>
      <c r="D653" s="25" t="inlineStr">
        <is>
          <t>ST-120-STD-01</t>
        </is>
      </c>
      <c r="E653" s="25" t="inlineStr">
        <is>
          <t>IA-ST-120-STD-01</t>
        </is>
      </c>
      <c r="F653" s="25" t="inlineStr">
        <is>
          <t>IA-ST-CFG-0284</t>
        </is>
      </c>
      <c r="G653" s="25" t="n">
        <v>35.3676</v>
      </c>
      <c r="H653" s="25" t="inlineStr">
        <is>
          <t>988-pack GENERATED</t>
        </is>
      </c>
    </row>
    <row r="654">
      <c r="A654" s="25" t="inlineStr">
        <is>
          <t>1012453</t>
        </is>
      </c>
      <c r="B654" s="25" t="inlineStr">
        <is>
          <t>KÜ,NS40,TK,42AH,IGYSMF,İNCİ FORM TAURUS</t>
        </is>
      </c>
      <c r="C654" s="25" t="inlineStr">
        <is>
          <t>1</t>
        </is>
      </c>
      <c r="D654" s="25" t="inlineStr">
        <is>
          <t>ST-120-STD-01</t>
        </is>
      </c>
      <c r="E654" s="25" t="inlineStr">
        <is>
          <t>IA-ST-120-STD-01</t>
        </is>
      </c>
      <c r="F654" s="25" t="inlineStr">
        <is>
          <t>IA-ST-CFG-0284</t>
        </is>
      </c>
      <c r="G654" s="25" t="n">
        <v>35.3676</v>
      </c>
      <c r="H654" s="25" t="inlineStr">
        <is>
          <t>988-pack GENERATED</t>
        </is>
      </c>
    </row>
    <row r="655">
      <c r="A655" s="25" t="inlineStr">
        <is>
          <t>1012457</t>
        </is>
      </c>
      <c r="B655" s="25" t="inlineStr">
        <is>
          <t>AKÜ,NS60,DK,45AH,IGYA SMF,STRONG SCHNAP</t>
        </is>
      </c>
      <c r="C655" s="25" t="inlineStr">
        <is>
          <t>1</t>
        </is>
      </c>
      <c r="D655" s="25" t="inlineStr">
        <is>
          <t>ST-096-STD-05</t>
        </is>
      </c>
      <c r="E655" s="25" t="inlineStr">
        <is>
          <t>IA-ST-096-STD-05</t>
        </is>
      </c>
      <c r="F655" s="25" t="inlineStr">
        <is>
          <t>IA-ST-CFG-0274</t>
        </is>
      </c>
      <c r="G655" s="25" t="n">
        <v>28.649</v>
      </c>
      <c r="H655" s="25" t="inlineStr">
        <is>
          <t>988-pack GENERATED</t>
        </is>
      </c>
    </row>
    <row r="656">
      <c r="A656" s="25" t="inlineStr">
        <is>
          <t>1012458</t>
        </is>
      </c>
      <c r="B656" s="25" t="inlineStr">
        <is>
          <t>AKÜ,NS60,TK,45AH,IGYA SMF,STRONG SCHNAP</t>
        </is>
      </c>
      <c r="C656" s="25" t="inlineStr">
        <is>
          <t>1</t>
        </is>
      </c>
      <c r="D656" s="25" t="inlineStr">
        <is>
          <t>ST-096-STD-05</t>
        </is>
      </c>
      <c r="E656" s="25" t="inlineStr">
        <is>
          <t>IA-ST-096-STD-05</t>
        </is>
      </c>
      <c r="F656" s="25" t="inlineStr">
        <is>
          <t>IA-ST-CFG-0274</t>
        </is>
      </c>
      <c r="G656" s="25" t="n">
        <v>28.649</v>
      </c>
      <c r="H656" s="25" t="inlineStr">
        <is>
          <t>988-pack GENERATED</t>
        </is>
      </c>
    </row>
    <row r="657">
      <c r="A657" s="25" t="inlineStr">
        <is>
          <t>1012464</t>
        </is>
      </c>
      <c r="B657" s="25" t="inlineStr">
        <is>
          <t>AKÜ,NS60,DK,45AH,IGYA SMF,SILVER SCHNAP</t>
        </is>
      </c>
      <c r="C657" s="25" t="inlineStr">
        <is>
          <t>1</t>
        </is>
      </c>
      <c r="D657" s="25" t="inlineStr">
        <is>
          <t>ST-096-STD-05</t>
        </is>
      </c>
      <c r="E657" s="25" t="inlineStr">
        <is>
          <t>IA-ST-096-STD-05</t>
        </is>
      </c>
      <c r="F657" s="25" t="inlineStr">
        <is>
          <t>IA-ST-CFG-0274</t>
        </is>
      </c>
      <c r="G657" s="25" t="n">
        <v>28.649</v>
      </c>
      <c r="H657" s="25" t="inlineStr">
        <is>
          <t>988-pack GENERATED</t>
        </is>
      </c>
    </row>
    <row r="658">
      <c r="A658" s="25" t="inlineStr">
        <is>
          <t>1012465</t>
        </is>
      </c>
      <c r="B658" s="25" t="inlineStr">
        <is>
          <t>AKÜ,NS60,TK,45AH,IGYA SMF,SILVER SCHNAP</t>
        </is>
      </c>
      <c r="C658" s="25" t="inlineStr">
        <is>
          <t>1</t>
        </is>
      </c>
      <c r="D658" s="25" t="inlineStr">
        <is>
          <t>ST-096-STD-05</t>
        </is>
      </c>
      <c r="E658" s="25" t="inlineStr">
        <is>
          <t>IA-ST-096-STD-05</t>
        </is>
      </c>
      <c r="F658" s="25" t="inlineStr">
        <is>
          <t>IA-ST-CFG-0274</t>
        </is>
      </c>
      <c r="G658" s="25" t="n">
        <v>28.649</v>
      </c>
      <c r="H658" s="25" t="inlineStr">
        <is>
          <t>988-pack GENERATED</t>
        </is>
      </c>
    </row>
    <row r="659">
      <c r="A659" s="25" t="inlineStr">
        <is>
          <t>1012467</t>
        </is>
      </c>
      <c r="B659" s="25" t="inlineStr">
        <is>
          <t>AKÜ,NS60,DK45AH,IGYSMF,İNCİTAUR,EECMISIR</t>
        </is>
      </c>
      <c r="C659" s="25" t="inlineStr">
        <is>
          <t>1</t>
        </is>
      </c>
      <c r="D659" s="25" t="inlineStr">
        <is>
          <t>ST-096-STD-03</t>
        </is>
      </c>
      <c r="E659" s="25" t="inlineStr">
        <is>
          <t>IA-ST-096-STD-03</t>
        </is>
      </c>
      <c r="F659" s="25" t="inlineStr">
        <is>
          <t>IA-ST-CFG-0272</t>
        </is>
      </c>
      <c r="G659" s="25" t="n">
        <v>35.3172</v>
      </c>
      <c r="H659" s="25" t="inlineStr">
        <is>
          <t>988-pack GENERATED</t>
        </is>
      </c>
    </row>
    <row r="660">
      <c r="A660" s="25" t="inlineStr">
        <is>
          <t>1012468</t>
        </is>
      </c>
      <c r="B660" s="25" t="inlineStr">
        <is>
          <t>AKÜ AGM,L6,DK,105AH,İNCİ AGM LEO,İÇ PYS</t>
        </is>
      </c>
      <c r="C660" s="25" t="inlineStr">
        <is>
          <t>1</t>
        </is>
      </c>
      <c r="D660" s="25" t="inlineStr">
        <is>
          <t>ST-036-EUR-01</t>
        </is>
      </c>
      <c r="E660" s="25" t="inlineStr">
        <is>
          <t>IA-ST-036-EUR-01</t>
        </is>
      </c>
      <c r="F660" s="25" t="inlineStr">
        <is>
          <t>IA-ST-CFG-0062</t>
        </is>
      </c>
      <c r="G660" s="25" t="n">
        <v>43.186</v>
      </c>
      <c r="H660" s="25" t="inlineStr">
        <is>
          <t>988-pack GENERATED</t>
        </is>
      </c>
    </row>
    <row r="661">
      <c r="A661" s="25" t="inlineStr">
        <is>
          <t>1012469</t>
        </is>
      </c>
      <c r="B661" s="25" t="inlineStr">
        <is>
          <t>AKÜ,D26,TK,75AH,IGYA SMF,İNCİ TAURUS</t>
        </is>
      </c>
      <c r="C661" s="25" t="inlineStr">
        <is>
          <t>1</t>
        </is>
      </c>
      <c r="D661" s="25" t="inlineStr">
        <is>
          <t>ST-063-STD-04</t>
        </is>
      </c>
      <c r="E661" s="25" t="inlineStr">
        <is>
          <t>IA-ST-063-STD-04</t>
        </is>
      </c>
      <c r="F661" s="25" t="inlineStr">
        <is>
          <t>IA-ST-CFG-0175</t>
        </is>
      </c>
      <c r="G661" s="25" t="n">
        <v>34.1512</v>
      </c>
      <c r="H661" s="25" t="inlineStr">
        <is>
          <t>988-pack GENERATED</t>
        </is>
      </c>
    </row>
    <row r="662">
      <c r="A662" s="25" t="inlineStr">
        <is>
          <t>1012470</t>
        </is>
      </c>
      <c r="B662" s="25" t="inlineStr">
        <is>
          <t>AKÜ,L1,DK,46AH,IGYA SMF,HUGEL ULTRA</t>
        </is>
      </c>
      <c r="C662" s="25" t="inlineStr">
        <is>
          <t>1</t>
        </is>
      </c>
      <c r="D662" s="25" t="inlineStr">
        <is>
          <t>ST-087-STD-03</t>
        </is>
      </c>
      <c r="E662" s="25" t="inlineStr">
        <is>
          <t>IA-ST-087-STD-03</t>
        </is>
      </c>
      <c r="F662" s="25" t="inlineStr">
        <is>
          <t>IA-ST-CFG-0248</t>
        </is>
      </c>
      <c r="G662" s="25" t="n">
        <v>31.0092</v>
      </c>
      <c r="H662" s="25" t="inlineStr">
        <is>
          <t>988-pack GENERATED</t>
        </is>
      </c>
    </row>
    <row r="663">
      <c r="A663" s="25" t="inlineStr">
        <is>
          <t>1012471</t>
        </is>
      </c>
      <c r="B663" s="25" t="inlineStr">
        <is>
          <t>AKÜ,LB3,DK,66AH,IGYA SMF,HUGEL ULTRA</t>
        </is>
      </c>
      <c r="C663" s="25" t="inlineStr">
        <is>
          <t>1</t>
        </is>
      </c>
      <c r="D663" s="25" t="inlineStr">
        <is>
          <t>ST-063-STD-07</t>
        </is>
      </c>
      <c r="E663" s="25" t="inlineStr">
        <is>
          <t>IA-ST-063-STD-07</t>
        </is>
      </c>
      <c r="F663" s="25" t="inlineStr">
        <is>
          <t>IA-ST-CFG-0178</t>
        </is>
      </c>
      <c r="G663" s="25" t="n">
        <v>29.8692</v>
      </c>
      <c r="H663" s="25" t="inlineStr">
        <is>
          <t>988-pack GENERATED</t>
        </is>
      </c>
    </row>
    <row r="664">
      <c r="A664" s="25" t="inlineStr">
        <is>
          <t>1012472</t>
        </is>
      </c>
      <c r="B664" s="25" t="inlineStr">
        <is>
          <t>AKÜ,L2,DK,55AH,IGYA SMF,HUGEL ULTRA</t>
        </is>
      </c>
      <c r="C664" s="25" t="inlineStr">
        <is>
          <t>1</t>
        </is>
      </c>
      <c r="D664" s="25" t="inlineStr">
        <is>
          <t>ST-072-STD-13</t>
        </is>
      </c>
      <c r="E664" s="25" t="inlineStr">
        <is>
          <t>IA-ST-072-STD-13</t>
        </is>
      </c>
      <c r="F664" s="25" t="inlineStr">
        <is>
          <t>IA-ST-CFG-0222</t>
        </is>
      </c>
      <c r="G664" s="25" t="n">
        <v>30.6552</v>
      </c>
      <c r="H664" s="25" t="inlineStr">
        <is>
          <t>988-pack GENERATED</t>
        </is>
      </c>
    </row>
    <row r="665">
      <c r="A665" s="25" t="inlineStr">
        <is>
          <t>1012473</t>
        </is>
      </c>
      <c r="B665" s="25" t="inlineStr">
        <is>
          <t>AKÜ,LB2,DK,60AH,IGYA SMF,EAS ACTIVA</t>
        </is>
      </c>
      <c r="C665" s="25" t="inlineStr">
        <is>
          <t>1</t>
        </is>
      </c>
      <c r="D665" s="25" t="inlineStr">
        <is>
          <t>ST-072-STD-13</t>
        </is>
      </c>
      <c r="E665" s="25" t="inlineStr">
        <is>
          <t>IA-ST-072-STD-13</t>
        </is>
      </c>
      <c r="F665" s="25" t="inlineStr">
        <is>
          <t>IA-ST-CFG-0222</t>
        </is>
      </c>
      <c r="G665" s="25" t="n">
        <v>30.6552</v>
      </c>
      <c r="H665" s="25" t="inlineStr">
        <is>
          <t>988-pack GENERATED</t>
        </is>
      </c>
    </row>
    <row r="666">
      <c r="A666" s="25" t="inlineStr">
        <is>
          <t>1012474</t>
        </is>
      </c>
      <c r="B666" s="25" t="inlineStr">
        <is>
          <t>AKÜ,L4,DK,82AH,IGYA SMF,HUGEL ACTION</t>
        </is>
      </c>
      <c r="C666" s="25" t="inlineStr">
        <is>
          <t>1</t>
        </is>
      </c>
      <c r="D666" s="25" t="inlineStr">
        <is>
          <t>ST-072-STD-22</t>
        </is>
      </c>
      <c r="E666" s="25" t="inlineStr">
        <is>
          <t>IA-ST-072-STD-22</t>
        </is>
      </c>
      <c r="F666" s="25" t="inlineStr">
        <is>
          <t>IA-ST-CFG-0231</t>
        </is>
      </c>
      <c r="G666" s="25" t="n">
        <v>30.6372</v>
      </c>
      <c r="H666" s="25" t="inlineStr">
        <is>
          <t>988-pack GENERATED</t>
        </is>
      </c>
    </row>
    <row r="667">
      <c r="A667" s="25" t="inlineStr">
        <is>
          <t>1012477</t>
        </is>
      </c>
      <c r="B667" s="25" t="inlineStr">
        <is>
          <t>AKÜ,D31,DK,100AH,IGYA SMF,EAS ACTIVA</t>
        </is>
      </c>
      <c r="C667" s="25" t="inlineStr">
        <is>
          <t>1</t>
        </is>
      </c>
      <c r="D667" s="25" t="inlineStr">
        <is>
          <t>ST-054-STD-07</t>
        </is>
      </c>
      <c r="E667" s="25" t="inlineStr">
        <is>
          <t>IA-ST-054-STD-07</t>
        </is>
      </c>
      <c r="F667" s="25" t="inlineStr">
        <is>
          <t>IA-ST-CFG-0143</t>
        </is>
      </c>
      <c r="G667" s="25" t="n">
        <v>33.7838</v>
      </c>
      <c r="H667" s="25" t="inlineStr">
        <is>
          <t>988-pack GENERATED</t>
        </is>
      </c>
    </row>
    <row r="668">
      <c r="A668" s="25" t="inlineStr">
        <is>
          <t>1012479</t>
        </is>
      </c>
      <c r="B668" s="25" t="inlineStr">
        <is>
          <t>AKÜ,D31,DK,100AH,IGYSMF,BLİZZARO SILVERL</t>
        </is>
      </c>
      <c r="C668" s="25" t="inlineStr">
        <is>
          <t>1</t>
        </is>
      </c>
      <c r="D668" s="25" t="inlineStr">
        <is>
          <t>ST-054-STD-07</t>
        </is>
      </c>
      <c r="E668" s="25" t="inlineStr">
        <is>
          <t>IA-ST-054-STD-07</t>
        </is>
      </c>
      <c r="F668" s="25" t="inlineStr">
        <is>
          <t>IA-ST-CFG-0143</t>
        </is>
      </c>
      <c r="G668" s="25" t="n">
        <v>33.7838</v>
      </c>
      <c r="H668" s="25" t="inlineStr">
        <is>
          <t>988-pack GENERATED</t>
        </is>
      </c>
    </row>
    <row r="669">
      <c r="A669" s="25" t="inlineStr">
        <is>
          <t>1012480</t>
        </is>
      </c>
      <c r="B669" s="25" t="inlineStr">
        <is>
          <t>AKÜ,D31,TK,100AH,IGYSMF,BLİZZARO SILVERL</t>
        </is>
      </c>
      <c r="C669" s="25" t="inlineStr">
        <is>
          <t>1</t>
        </is>
      </c>
      <c r="D669" s="25" t="inlineStr">
        <is>
          <t>ST-054-STD-07</t>
        </is>
      </c>
      <c r="E669" s="25" t="inlineStr">
        <is>
          <t>IA-ST-054-STD-07</t>
        </is>
      </c>
      <c r="F669" s="25" t="inlineStr">
        <is>
          <t>IA-ST-CFG-0143</t>
        </is>
      </c>
      <c r="G669" s="25" t="n">
        <v>33.7838</v>
      </c>
      <c r="H669" s="25" t="inlineStr">
        <is>
          <t>988-pack GENERATED</t>
        </is>
      </c>
    </row>
    <row r="670">
      <c r="A670" s="25" t="inlineStr">
        <is>
          <t>1012484</t>
        </is>
      </c>
      <c r="B670" s="25" t="inlineStr">
        <is>
          <t>AKÜ,LB2,DK,60AH,IGYA SMF,EAS ACTIVA,EURO</t>
        </is>
      </c>
      <c r="C670" s="25" t="inlineStr">
        <is>
          <t>1</t>
        </is>
      </c>
      <c r="D670" s="25" t="inlineStr">
        <is>
          <t>ST-076-EUR-03</t>
        </is>
      </c>
      <c r="E670" s="25" t="inlineStr">
        <is>
          <t>IA-ST-076-EUR-03</t>
        </is>
      </c>
      <c r="F670" s="25" t="inlineStr">
        <is>
          <t>IA-ST-CFG-0240</t>
        </is>
      </c>
      <c r="G670" s="25" t="n">
        <v>30.7272</v>
      </c>
      <c r="H670" s="25" t="inlineStr">
        <is>
          <t>988-pack GENERATED</t>
        </is>
      </c>
    </row>
    <row r="671">
      <c r="A671" s="25" t="inlineStr">
        <is>
          <t>1012485</t>
        </is>
      </c>
      <c r="B671" s="25" t="inlineStr">
        <is>
          <t>AKÜ,L3,DK,75AH,IGYA SMF,EAS ACTIVA,EURO</t>
        </is>
      </c>
      <c r="C671" s="25" t="inlineStr">
        <is>
          <t>1</t>
        </is>
      </c>
      <c r="D671" s="25" t="inlineStr">
        <is>
          <t>ST-068-EUR-03</t>
        </is>
      </c>
      <c r="E671" s="25" t="inlineStr">
        <is>
          <t>IA-ST-068-EUR-03</t>
        </is>
      </c>
      <c r="F671" s="25" t="inlineStr">
        <is>
          <t>IA-ST-CFG-0200</t>
        </is>
      </c>
      <c r="G671" s="25" t="n">
        <v>30.0842</v>
      </c>
      <c r="H671" s="25" t="inlineStr">
        <is>
          <t>988-pack GENERATED</t>
        </is>
      </c>
    </row>
    <row r="672">
      <c r="A672" s="25" t="inlineStr">
        <is>
          <t>1012486</t>
        </is>
      </c>
      <c r="B672" s="25" t="inlineStr">
        <is>
          <t>AKÜ,LB2,DK,60AH,IGYASMF,BLIZZARO SILVERL</t>
        </is>
      </c>
      <c r="C672" s="25" t="inlineStr">
        <is>
          <t>1</t>
        </is>
      </c>
      <c r="D672" s="25" t="inlineStr">
        <is>
          <t>ST-072-STD-13</t>
        </is>
      </c>
      <c r="E672" s="25" t="inlineStr">
        <is>
          <t>IA-ST-072-STD-13</t>
        </is>
      </c>
      <c r="F672" s="25" t="inlineStr">
        <is>
          <t>IA-ST-CFG-0222</t>
        </is>
      </c>
      <c r="G672" s="25" t="n">
        <v>30.6552</v>
      </c>
      <c r="H672" s="25" t="inlineStr">
        <is>
          <t>988-pack GENERATED</t>
        </is>
      </c>
    </row>
    <row r="673">
      <c r="A673" s="25" t="inlineStr">
        <is>
          <t>1012487</t>
        </is>
      </c>
      <c r="B673" s="25" t="inlineStr">
        <is>
          <t>AKÜ,LB3,DK,72AH,IGYA SMF,EAS ACTIVA,EURO</t>
        </is>
      </c>
      <c r="C673" s="25" t="inlineStr">
        <is>
          <t>1</t>
        </is>
      </c>
      <c r="D673" s="25" t="inlineStr">
        <is>
          <t>ST-068-EUR-02</t>
        </is>
      </c>
      <c r="E673" s="25" t="inlineStr">
        <is>
          <t>IA-ST-068-EUR-02</t>
        </is>
      </c>
      <c r="F673" s="25" t="inlineStr">
        <is>
          <t>IA-ST-CFG-0199</t>
        </is>
      </c>
      <c r="G673" s="25" t="n">
        <v>29.9442</v>
      </c>
      <c r="H673" s="25" t="inlineStr">
        <is>
          <t>988-pack GENERATED</t>
        </is>
      </c>
    </row>
    <row r="674">
      <c r="A674" s="25" t="inlineStr">
        <is>
          <t>1012488</t>
        </is>
      </c>
      <c r="B674" s="25" t="inlineStr">
        <is>
          <t>AKÜ,L2,DK,60AH,IGYA SMF,İNCİ EFB PANTERA</t>
        </is>
      </c>
      <c r="C674" s="25" t="inlineStr">
        <is>
          <t>1</t>
        </is>
      </c>
      <c r="D674" s="25" t="inlineStr">
        <is>
          <t>ST-072-STD-13</t>
        </is>
      </c>
      <c r="E674" s="25" t="inlineStr">
        <is>
          <t>IA-ST-072-STD-13</t>
        </is>
      </c>
      <c r="F674" s="25" t="inlineStr">
        <is>
          <t>IA-ST-CFG-0222</t>
        </is>
      </c>
      <c r="G674" s="25" t="n">
        <v>30.6552</v>
      </c>
      <c r="H674" s="25" t="inlineStr">
        <is>
          <t>988-pack GENERATED</t>
        </is>
      </c>
    </row>
    <row r="675">
      <c r="A675" s="25" t="inlineStr">
        <is>
          <t>1012490</t>
        </is>
      </c>
      <c r="B675" s="25" t="inlineStr">
        <is>
          <t>AKÜ,L1,DK,50AH,IGYA SMF,BLIZZARO SILVERL</t>
        </is>
      </c>
      <c r="C675" s="25" t="inlineStr">
        <is>
          <t>1</t>
        </is>
      </c>
      <c r="D675" s="25" t="inlineStr">
        <is>
          <t>ST-087-STD-03</t>
        </is>
      </c>
      <c r="E675" s="25" t="inlineStr">
        <is>
          <t>IA-ST-087-STD-03</t>
        </is>
      </c>
      <c r="F675" s="25" t="inlineStr">
        <is>
          <t>IA-ST-CFG-0248</t>
        </is>
      </c>
      <c r="G675" s="25" t="n">
        <v>31.0092</v>
      </c>
      <c r="H675" s="25" t="inlineStr">
        <is>
          <t>988-pack GENERATED</t>
        </is>
      </c>
    </row>
    <row r="676">
      <c r="A676" s="25" t="inlineStr">
        <is>
          <t>1012491</t>
        </is>
      </c>
      <c r="B676" s="25" t="inlineStr">
        <is>
          <t>AKÜ,LB1,DK,50AH,IGYASMF,BLIZZARO SILVERL</t>
        </is>
      </c>
      <c r="C676" s="25" t="inlineStr">
        <is>
          <t>1</t>
        </is>
      </c>
      <c r="D676" s="25" t="inlineStr">
        <is>
          <t>ST-087-STD-02</t>
        </is>
      </c>
      <c r="E676" s="25" t="inlineStr">
        <is>
          <t>IA-ST-087-STD-02</t>
        </is>
      </c>
      <c r="F676" s="25" t="inlineStr">
        <is>
          <t>IA-ST-CFG-0247</t>
        </is>
      </c>
      <c r="G676" s="25" t="n">
        <v>30.4892</v>
      </c>
      <c r="H676" s="25" t="inlineStr">
        <is>
          <t>988-pack GENERATED</t>
        </is>
      </c>
    </row>
    <row r="677">
      <c r="A677" s="25" t="inlineStr">
        <is>
          <t>1012497</t>
        </is>
      </c>
      <c r="B677" s="25" t="inlineStr">
        <is>
          <t>AKÜ,NS60,TK,45AH,IGYASMF,EAS ACTIVA,EURO</t>
        </is>
      </c>
      <c r="C677" s="25" t="inlineStr">
        <is>
          <t>1</t>
        </is>
      </c>
      <c r="D677" s="25" t="inlineStr">
        <is>
          <t>ST-072-EUR-05</t>
        </is>
      </c>
      <c r="E677" s="25" t="inlineStr">
        <is>
          <t>IA-ST-072-EUR-05</t>
        </is>
      </c>
      <c r="F677" s="25" t="inlineStr">
        <is>
          <t>IA-ST-CFG-0235</t>
        </is>
      </c>
      <c r="G677" s="25" t="n">
        <v>33.2594</v>
      </c>
      <c r="H677" s="25" t="inlineStr">
        <is>
          <t>988-pack GENERATED</t>
        </is>
      </c>
    </row>
    <row r="678">
      <c r="A678" s="25" t="inlineStr">
        <is>
          <t>1012504</t>
        </is>
      </c>
      <c r="B678" s="25" t="inlineStr">
        <is>
          <t>AKÜ,L3,DK,72AH,IGYA SMF,EAS EFB S&amp;S</t>
        </is>
      </c>
      <c r="C678" s="25" t="inlineStr">
        <is>
          <t>1</t>
        </is>
      </c>
      <c r="D678" s="25" t="inlineStr">
        <is>
          <t>ST-063-STD-08</t>
        </is>
      </c>
      <c r="E678" s="25" t="inlineStr">
        <is>
          <t>IA-ST-063-STD-08</t>
        </is>
      </c>
      <c r="F678" s="25" t="inlineStr">
        <is>
          <t>IA-ST-CFG-0179</t>
        </is>
      </c>
      <c r="G678" s="25" t="n">
        <v>29.9992</v>
      </c>
      <c r="H678" s="25" t="inlineStr">
        <is>
          <t>988-pack GENERATED</t>
        </is>
      </c>
    </row>
    <row r="679">
      <c r="A679" s="25" t="inlineStr">
        <is>
          <t>1012506</t>
        </is>
      </c>
      <c r="B679" s="25" t="inlineStr">
        <is>
          <t>AKÜ,NS40,DK,42AH,IGYASMF,EAS ACTIVA,EURO</t>
        </is>
      </c>
      <c r="C679" s="25" t="inlineStr">
        <is>
          <t>1</t>
        </is>
      </c>
      <c r="D679" s="25" t="inlineStr">
        <is>
          <t>ST-087-EUR-01</t>
        </is>
      </c>
      <c r="E679" s="25" t="inlineStr">
        <is>
          <t>IA-ST-087-EUR-01</t>
        </is>
      </c>
      <c r="F679" s="25" t="inlineStr">
        <is>
          <t>IA-ST-CFG-0253</t>
        </is>
      </c>
      <c r="G679" s="25" t="n">
        <v>33.11851</v>
      </c>
      <c r="H679" s="25" t="inlineStr">
        <is>
          <t>988-pack GENERATED</t>
        </is>
      </c>
    </row>
    <row r="680">
      <c r="A680" s="25" t="inlineStr">
        <is>
          <t>1012507</t>
        </is>
      </c>
      <c r="B680" s="25" t="inlineStr">
        <is>
          <t>AKÜ,D23,DK,60AH,IGYASMF,EAS ACTIVA,EURO</t>
        </is>
      </c>
      <c r="C680" s="25" t="inlineStr">
        <is>
          <t>1</t>
        </is>
      </c>
      <c r="D680" s="25" t="inlineStr">
        <is>
          <t>ST-060-EUR-02</t>
        </is>
      </c>
      <c r="E680" s="25" t="inlineStr">
        <is>
          <t>IA-ST-060-EUR-02</t>
        </is>
      </c>
      <c r="F680" s="25" t="inlineStr">
        <is>
          <t>IA-ST-CFG-0171</t>
        </is>
      </c>
      <c r="G680" s="25" t="n">
        <v>32.9834</v>
      </c>
      <c r="H680" s="25" t="inlineStr">
        <is>
          <t>988-pack GENERATED</t>
        </is>
      </c>
    </row>
    <row r="681">
      <c r="A681" s="25" t="inlineStr">
        <is>
          <t>1012508</t>
        </is>
      </c>
      <c r="B681" s="25" t="inlineStr">
        <is>
          <t>AKÜ,NS60,DK,45AH,IGYASMF,EAS ACTIVA,EURO</t>
        </is>
      </c>
      <c r="C681" s="25" t="inlineStr">
        <is>
          <t>1</t>
        </is>
      </c>
      <c r="D681" s="25" t="inlineStr">
        <is>
          <t>ST-072-EUR-05</t>
        </is>
      </c>
      <c r="E681" s="25" t="inlineStr">
        <is>
          <t>IA-ST-072-EUR-05</t>
        </is>
      </c>
      <c r="F681" s="25" t="inlineStr">
        <is>
          <t>IA-ST-CFG-0235</t>
        </is>
      </c>
      <c r="G681" s="25" t="n">
        <v>33.2594</v>
      </c>
      <c r="H681" s="25" t="inlineStr">
        <is>
          <t>988-pack GENERATED</t>
        </is>
      </c>
    </row>
    <row r="682">
      <c r="A682" s="25" t="inlineStr">
        <is>
          <t>1012515</t>
        </is>
      </c>
      <c r="B682" s="25" t="inlineStr">
        <is>
          <t>AKÜ,D23,DK,65AH,IGYA SMF,EFB S&amp;S,SCHNAPP</t>
        </is>
      </c>
      <c r="C682" s="25" t="inlineStr">
        <is>
          <t>1</t>
        </is>
      </c>
      <c r="D682" s="25" t="inlineStr">
        <is>
          <t>ST-072-STD-19</t>
        </is>
      </c>
      <c r="E682" s="25" t="inlineStr">
        <is>
          <t>IA-ST-072-STD-19</t>
        </is>
      </c>
      <c r="F682" s="25" t="inlineStr">
        <is>
          <t>IA-ST-CFG-0228</t>
        </is>
      </c>
      <c r="G682" s="25" t="n">
        <v>28.649</v>
      </c>
      <c r="H682" s="25" t="inlineStr">
        <is>
          <t>988-pack GENERATED</t>
        </is>
      </c>
    </row>
    <row r="683">
      <c r="A683" s="25" t="inlineStr">
        <is>
          <t>1012516</t>
        </is>
      </c>
      <c r="B683" s="25" t="inlineStr">
        <is>
          <t>AKÜ,C-FLAT,DK,225AH,HUGEL ACTION,TRADING</t>
        </is>
      </c>
      <c r="C683" s="25" t="inlineStr">
        <is>
          <t>1</t>
        </is>
      </c>
      <c r="D683" s="25" t="inlineStr">
        <is>
          <t>ST-018-EUR-03</t>
        </is>
      </c>
      <c r="E683" s="25" t="inlineStr">
        <is>
          <t>IA-ST-018-EUR-03</t>
        </is>
      </c>
      <c r="F683" s="25" t="inlineStr">
        <is>
          <t>IA-ST-CFG-0014</t>
        </is>
      </c>
      <c r="G683" s="25" t="n">
        <v>30.9872</v>
      </c>
      <c r="H683" s="25" t="inlineStr">
        <is>
          <t>988-pack GENERATED</t>
        </is>
      </c>
    </row>
    <row r="684">
      <c r="A684" s="25" t="inlineStr">
        <is>
          <t>1012520</t>
        </is>
      </c>
      <c r="B684" s="25" t="inlineStr">
        <is>
          <t>AKÜ,L3,DK,72AH,IGYASMF,HUGEL EFBS&amp;S,EURO</t>
        </is>
      </c>
      <c r="C684" s="25" t="inlineStr">
        <is>
          <t>1</t>
        </is>
      </c>
      <c r="D684" s="25" t="inlineStr">
        <is>
          <t>ST-068-EUR-03</t>
        </is>
      </c>
      <c r="E684" s="25" t="inlineStr">
        <is>
          <t>IA-ST-068-EUR-03</t>
        </is>
      </c>
      <c r="F684" s="25" t="inlineStr">
        <is>
          <t>IA-ST-CFG-0200</t>
        </is>
      </c>
      <c r="G684" s="25" t="n">
        <v>30.0842</v>
      </c>
      <c r="H684" s="25" t="inlineStr">
        <is>
          <t>988-pack GENERATED</t>
        </is>
      </c>
    </row>
    <row r="685">
      <c r="A685" s="25" t="inlineStr">
        <is>
          <t>1012524</t>
        </is>
      </c>
      <c r="B685" s="25" t="inlineStr">
        <is>
          <t>AKÜ,L2,DK,60AH,IGYA SMF,HUGEL ULTRA,EURO</t>
        </is>
      </c>
      <c r="C685" s="25" t="inlineStr">
        <is>
          <t>1</t>
        </is>
      </c>
      <c r="D685" s="25" t="inlineStr">
        <is>
          <t>ST-076-EUR-03</t>
        </is>
      </c>
      <c r="E685" s="25" t="inlineStr">
        <is>
          <t>IA-ST-076-EUR-03</t>
        </is>
      </c>
      <c r="F685" s="25" t="inlineStr">
        <is>
          <t>IA-ST-CFG-0240</t>
        </is>
      </c>
      <c r="G685" s="25" t="n">
        <v>30.7272</v>
      </c>
      <c r="H685" s="25" t="inlineStr">
        <is>
          <t>988-pack GENERATED</t>
        </is>
      </c>
    </row>
    <row r="686">
      <c r="A686" s="25" t="inlineStr">
        <is>
          <t>1012526</t>
        </is>
      </c>
      <c r="B686" s="25" t="inlineStr">
        <is>
          <t>AKÜ,L5,DK,100AH,IGYASMF,HUGEL ULTRA,EURO</t>
        </is>
      </c>
      <c r="C686" s="25" t="inlineStr">
        <is>
          <t>1</t>
        </is>
      </c>
      <c r="D686" s="25" t="inlineStr">
        <is>
          <t>ST-048-EUR-10</t>
        </is>
      </c>
      <c r="E686" s="25" t="inlineStr">
        <is>
          <t>IA-ST-048-EUR-10</t>
        </is>
      </c>
      <c r="F686" s="25" t="inlineStr">
        <is>
          <t>IA-ST-CFG-0116</t>
        </is>
      </c>
      <c r="G686" s="25" t="n">
        <v>29.7592</v>
      </c>
      <c r="H686" s="25" t="inlineStr">
        <is>
          <t>988-pack GENERATED</t>
        </is>
      </c>
    </row>
    <row r="687">
      <c r="A687" s="25" t="inlineStr">
        <is>
          <t>1012528</t>
        </is>
      </c>
      <c r="B687" s="25" t="inlineStr">
        <is>
          <t>AKÜ,L3,DK,75AH,IGYA SMF,HUGEL ULTRA,EURO</t>
        </is>
      </c>
      <c r="C687" s="25" t="inlineStr">
        <is>
          <t>1</t>
        </is>
      </c>
      <c r="D687" s="25" t="inlineStr">
        <is>
          <t>ST-068-EUR-03</t>
        </is>
      </c>
      <c r="E687" s="25" t="inlineStr">
        <is>
          <t>IA-ST-068-EUR-03</t>
        </is>
      </c>
      <c r="F687" s="25" t="inlineStr">
        <is>
          <t>IA-ST-CFG-0200</t>
        </is>
      </c>
      <c r="G687" s="25" t="n">
        <v>30.0842</v>
      </c>
      <c r="H687" s="25" t="inlineStr">
        <is>
          <t>988-pack GENERATED</t>
        </is>
      </c>
    </row>
    <row r="688">
      <c r="A688" s="25" t="inlineStr">
        <is>
          <t>1012534</t>
        </is>
      </c>
      <c r="B688" s="25" t="inlineStr">
        <is>
          <t>AKÜ,L2,DK,60AH,IGYA SMF,EAS ACTIVA</t>
        </is>
      </c>
      <c r="C688" s="25" t="inlineStr">
        <is>
          <t>1</t>
        </is>
      </c>
      <c r="D688" s="25" t="inlineStr">
        <is>
          <t>ST-072-STD-13</t>
        </is>
      </c>
      <c r="E688" s="25" t="inlineStr">
        <is>
          <t>IA-ST-072-STD-13</t>
        </is>
      </c>
      <c r="F688" s="25" t="inlineStr">
        <is>
          <t>IA-ST-CFG-0222</t>
        </is>
      </c>
      <c r="G688" s="25" t="n">
        <v>30.6552</v>
      </c>
      <c r="H688" s="25" t="inlineStr">
        <is>
          <t>988-pack GENERATED</t>
        </is>
      </c>
    </row>
    <row r="689">
      <c r="A689" s="25" t="inlineStr">
        <is>
          <t>1012535</t>
        </is>
      </c>
      <c r="B689" s="25" t="inlineStr">
        <is>
          <t>AKÜ,LB1,DK,46AH,IGYA SMF,HUGEL ULTRA</t>
        </is>
      </c>
      <c r="C689" s="25" t="inlineStr">
        <is>
          <t>1</t>
        </is>
      </c>
      <c r="D689" s="25" t="inlineStr">
        <is>
          <t>ST-087-STD-02</t>
        </is>
      </c>
      <c r="E689" s="25" t="inlineStr">
        <is>
          <t>IA-ST-087-STD-02</t>
        </is>
      </c>
      <c r="F689" s="25" t="inlineStr">
        <is>
          <t>IA-ST-CFG-0247</t>
        </is>
      </c>
      <c r="G689" s="25" t="n">
        <v>30.4892</v>
      </c>
      <c r="H689" s="25" t="inlineStr">
        <is>
          <t>988-pack GENERATED</t>
        </is>
      </c>
    </row>
    <row r="690">
      <c r="A690" s="25" t="inlineStr">
        <is>
          <t>1012537</t>
        </is>
      </c>
      <c r="B690" s="25" t="inlineStr">
        <is>
          <t>AKÜ,L3,DK,66AH,IGYA SMF,HUGEL ACTION</t>
        </is>
      </c>
      <c r="C690" s="25" t="inlineStr">
        <is>
          <t>1</t>
        </is>
      </c>
      <c r="D690" s="25" t="inlineStr">
        <is>
          <t>ST-063-STD-08</t>
        </is>
      </c>
      <c r="E690" s="25" t="inlineStr">
        <is>
          <t>IA-ST-063-STD-08</t>
        </is>
      </c>
      <c r="F690" s="25" t="inlineStr">
        <is>
          <t>IA-ST-CFG-0179</t>
        </is>
      </c>
      <c r="G690" s="25" t="n">
        <v>29.9992</v>
      </c>
      <c r="H690" s="25" t="inlineStr">
        <is>
          <t>988-pack GENERATED</t>
        </is>
      </c>
    </row>
    <row r="691">
      <c r="A691" s="25" t="inlineStr">
        <is>
          <t>1012541</t>
        </is>
      </c>
      <c r="B691" s="25" t="inlineStr">
        <is>
          <t>AKÜ,D31,TK,100AH,IGYA SMF,EAS ACTIVA</t>
        </is>
      </c>
      <c r="C691" s="25" t="inlineStr">
        <is>
          <t>1</t>
        </is>
      </c>
      <c r="D691" s="25" t="inlineStr">
        <is>
          <t>ST-054-STD-07</t>
        </is>
      </c>
      <c r="E691" s="25" t="inlineStr">
        <is>
          <t>IA-ST-054-STD-07</t>
        </is>
      </c>
      <c r="F691" s="25" t="inlineStr">
        <is>
          <t>IA-ST-CFG-0143</t>
        </is>
      </c>
      <c r="G691" s="25" t="n">
        <v>33.7838</v>
      </c>
      <c r="H691" s="25" t="inlineStr">
        <is>
          <t>988-pack GENERATED</t>
        </is>
      </c>
    </row>
    <row r="692">
      <c r="A692" s="25" t="inlineStr">
        <is>
          <t>1012543</t>
        </is>
      </c>
      <c r="B692" s="25" t="inlineStr">
        <is>
          <t>AKÜ,D23,DK,50AH,IGYA SMF,HUGEL ULTRA</t>
        </is>
      </c>
      <c r="C692" s="25" t="inlineStr">
        <is>
          <t>1</t>
        </is>
      </c>
      <c r="D692" s="25" t="inlineStr">
        <is>
          <t>ST-072-STD-10</t>
        </is>
      </c>
      <c r="E692" s="25" t="inlineStr">
        <is>
          <t>IA-ST-072-STD-10</t>
        </is>
      </c>
      <c r="F692" s="25" t="inlineStr">
        <is>
          <t>IA-ST-CFG-0219</t>
        </is>
      </c>
      <c r="G692" s="25" t="n">
        <v>34.33224</v>
      </c>
      <c r="H692" s="25" t="inlineStr">
        <is>
          <t>988-pack GENERATED</t>
        </is>
      </c>
    </row>
    <row r="693">
      <c r="A693" s="25" t="inlineStr">
        <is>
          <t>1012549</t>
        </is>
      </c>
      <c r="B693" s="25" t="inlineStr">
        <is>
          <t>AKÜ,L3,DK,72AH,IGYASMF,BLIZZARO SILVERLN</t>
        </is>
      </c>
      <c r="C693" s="25" t="inlineStr">
        <is>
          <t>1</t>
        </is>
      </c>
      <c r="D693" s="25" t="inlineStr">
        <is>
          <t>ST-063-STD-08</t>
        </is>
      </c>
      <c r="E693" s="25" t="inlineStr">
        <is>
          <t>IA-ST-063-STD-08</t>
        </is>
      </c>
      <c r="F693" s="25" t="inlineStr">
        <is>
          <t>IA-ST-CFG-0179</t>
        </is>
      </c>
      <c r="G693" s="25" t="n">
        <v>29.9992</v>
      </c>
      <c r="H693" s="25" t="inlineStr">
        <is>
          <t>988-pack GENERATED</t>
        </is>
      </c>
    </row>
    <row r="694">
      <c r="A694" s="25" t="inlineStr">
        <is>
          <t>1012550</t>
        </is>
      </c>
      <c r="B694" s="25" t="inlineStr">
        <is>
          <t>AKÜ,D31,DK,70AH,IGYASMF,İNCİ FORM TAURUS</t>
        </is>
      </c>
      <c r="C694" s="25" t="inlineStr">
        <is>
          <t>1</t>
        </is>
      </c>
      <c r="D694" s="25" t="inlineStr">
        <is>
          <t>ST-054-STD-07</t>
        </is>
      </c>
      <c r="E694" s="25" t="inlineStr">
        <is>
          <t>IA-ST-054-STD-07</t>
        </is>
      </c>
      <c r="F694" s="25" t="inlineStr">
        <is>
          <t>IA-ST-CFG-0143</t>
        </is>
      </c>
      <c r="G694" s="25" t="n">
        <v>33.7838</v>
      </c>
      <c r="H694" s="25" t="inlineStr">
        <is>
          <t>988-pack GENERATED</t>
        </is>
      </c>
    </row>
    <row r="695">
      <c r="A695" s="25" t="inlineStr">
        <is>
          <t>1012551</t>
        </is>
      </c>
      <c r="B695" s="25" t="inlineStr">
        <is>
          <t>AKÜ,D31,TK,70AH,IGYASMF,İNCİ FORM TAURUS</t>
        </is>
      </c>
      <c r="C695" s="25" t="inlineStr">
        <is>
          <t>1</t>
        </is>
      </c>
      <c r="D695" s="25" t="inlineStr">
        <is>
          <t>ST-054-STD-07</t>
        </is>
      </c>
      <c r="E695" s="25" t="inlineStr">
        <is>
          <t>IA-ST-054-STD-07</t>
        </is>
      </c>
      <c r="F695" s="25" t="inlineStr">
        <is>
          <t>IA-ST-CFG-0143</t>
        </is>
      </c>
      <c r="G695" s="25" t="n">
        <v>33.7838</v>
      </c>
      <c r="H695" s="25" t="inlineStr">
        <is>
          <t>988-pack GENERATED</t>
        </is>
      </c>
    </row>
    <row r="696">
      <c r="A696" s="25" t="inlineStr">
        <is>
          <t>1012553</t>
        </is>
      </c>
      <c r="B696" s="25" t="inlineStr">
        <is>
          <t>AKÜ,NS60,DK,45AH,IGYA SMF,EAS ACTIVA</t>
        </is>
      </c>
      <c r="C696" s="25" t="inlineStr">
        <is>
          <t>1</t>
        </is>
      </c>
      <c r="D696" s="25" t="inlineStr">
        <is>
          <t>ST-096-STD-03</t>
        </is>
      </c>
      <c r="E696" s="25" t="inlineStr">
        <is>
          <t>IA-ST-096-STD-03</t>
        </is>
      </c>
      <c r="F696" s="25" t="inlineStr">
        <is>
          <t>IA-ST-CFG-0272</t>
        </is>
      </c>
      <c r="G696" s="25" t="n">
        <v>35.3172</v>
      </c>
      <c r="H696" s="25" t="inlineStr">
        <is>
          <t>988-pack GENERATED</t>
        </is>
      </c>
    </row>
    <row r="697">
      <c r="A697" s="25" t="inlineStr">
        <is>
          <t>1012555</t>
        </is>
      </c>
      <c r="B697" s="25" t="inlineStr">
        <is>
          <t>AKÜ,NS40,DK,35AH,IGYSMF,BLIZZARO SILVERL</t>
        </is>
      </c>
      <c r="C697" s="25" t="inlineStr">
        <is>
          <t>1</t>
        </is>
      </c>
      <c r="D697" s="25" t="inlineStr">
        <is>
          <t>ST-120-STD-01</t>
        </is>
      </c>
      <c r="E697" s="25" t="inlineStr">
        <is>
          <t>IA-ST-120-STD-01</t>
        </is>
      </c>
      <c r="F697" s="25" t="inlineStr">
        <is>
          <t>IA-ST-CFG-0284</t>
        </is>
      </c>
      <c r="G697" s="25" t="n">
        <v>35.3676</v>
      </c>
      <c r="H697" s="25" t="inlineStr">
        <is>
          <t>988-pack GENERATED</t>
        </is>
      </c>
    </row>
    <row r="698">
      <c r="A698" s="25" t="inlineStr">
        <is>
          <t>1012559</t>
        </is>
      </c>
      <c r="B698" s="25" t="inlineStr">
        <is>
          <t>AKÜ,LB1,DK,44AH,IGYASMF,İNCİ FORM TAURUS</t>
        </is>
      </c>
      <c r="C698" s="25" t="inlineStr">
        <is>
          <t>1</t>
        </is>
      </c>
      <c r="D698" s="25" t="inlineStr">
        <is>
          <t>ST-087-STD-02</t>
        </is>
      </c>
      <c r="E698" s="25" t="inlineStr">
        <is>
          <t>IA-ST-087-STD-02</t>
        </is>
      </c>
      <c r="F698" s="25" t="inlineStr">
        <is>
          <t>IA-ST-CFG-0247</t>
        </is>
      </c>
      <c r="G698" s="25" t="n">
        <v>30.4892</v>
      </c>
      <c r="H698" s="25" t="inlineStr">
        <is>
          <t>988-pack GENERATED</t>
        </is>
      </c>
    </row>
    <row r="699">
      <c r="A699" s="25" t="inlineStr">
        <is>
          <t>1012560</t>
        </is>
      </c>
      <c r="B699" s="25" t="inlineStr">
        <is>
          <t>AKÜ,L2,TK,55AH,IGYA SMF,İNCİ FORM TAURUS</t>
        </is>
      </c>
      <c r="C699" s="25" t="inlineStr">
        <is>
          <t>1</t>
        </is>
      </c>
      <c r="D699" s="25" t="inlineStr">
        <is>
          <t>ST-072-STD-13</t>
        </is>
      </c>
      <c r="E699" s="25" t="inlineStr">
        <is>
          <t>IA-ST-072-STD-13</t>
        </is>
      </c>
      <c r="F699" s="25" t="inlineStr">
        <is>
          <t>IA-ST-CFG-0222</t>
        </is>
      </c>
      <c r="G699" s="25" t="n">
        <v>30.6552</v>
      </c>
      <c r="H699" s="25" t="inlineStr">
        <is>
          <t>988-pack GENERATED</t>
        </is>
      </c>
    </row>
    <row r="700">
      <c r="A700" s="25" t="inlineStr">
        <is>
          <t>1012562</t>
        </is>
      </c>
      <c r="B700" s="25" t="inlineStr">
        <is>
          <t>AKÜ,L5,DK,90AH,IGYA SMF,İNCİ FORM TAURUS</t>
        </is>
      </c>
      <c r="C700" s="25" t="inlineStr">
        <is>
          <t>1</t>
        </is>
      </c>
      <c r="D700" s="25" t="inlineStr">
        <is>
          <t>ST-045-STD-08</t>
        </is>
      </c>
      <c r="E700" s="25" t="inlineStr">
        <is>
          <t>IA-ST-045-STD-08</t>
        </is>
      </c>
      <c r="F700" s="25" t="inlineStr">
        <is>
          <t>IA-ST-CFG-0096</t>
        </is>
      </c>
      <c r="G700" s="25" t="n">
        <v>29.7192</v>
      </c>
      <c r="H700" s="25" t="inlineStr">
        <is>
          <t>988-pack GENERATED</t>
        </is>
      </c>
    </row>
    <row r="701">
      <c r="A701" s="25" t="inlineStr">
        <is>
          <t>1012563</t>
        </is>
      </c>
      <c r="B701" s="25" t="inlineStr">
        <is>
          <t>AKÜ,LB3,DK,72AH,IGYSMF,İNCİFORMTAUR,EURO</t>
        </is>
      </c>
      <c r="C701" s="25" t="inlineStr">
        <is>
          <t>1</t>
        </is>
      </c>
      <c r="D701" s="25" t="inlineStr">
        <is>
          <t>ST-068-EUR-02</t>
        </is>
      </c>
      <c r="E701" s="25" t="inlineStr">
        <is>
          <t>IA-ST-068-EUR-02</t>
        </is>
      </c>
      <c r="F701" s="25" t="inlineStr">
        <is>
          <t>IA-ST-CFG-0199</t>
        </is>
      </c>
      <c r="G701" s="25" t="n">
        <v>29.9442</v>
      </c>
      <c r="H701" s="25" t="inlineStr">
        <is>
          <t>988-pack GENERATED</t>
        </is>
      </c>
    </row>
    <row r="702">
      <c r="A702" s="25" t="inlineStr">
        <is>
          <t>1012568</t>
        </is>
      </c>
      <c r="B702" s="25" t="inlineStr">
        <is>
          <t>AKÜ,D26,DK,75AH,IGYA SMF,HUGEL ULTRA</t>
        </is>
      </c>
      <c r="C702" s="25" t="inlineStr">
        <is>
          <t>1</t>
        </is>
      </c>
      <c r="D702" s="25" t="inlineStr">
        <is>
          <t>ST-063-STD-04</t>
        </is>
      </c>
      <c r="E702" s="25" t="inlineStr">
        <is>
          <t>IA-ST-063-STD-04</t>
        </is>
      </c>
      <c r="F702" s="25" t="inlineStr">
        <is>
          <t>IA-ST-CFG-0175</t>
        </is>
      </c>
      <c r="G702" s="25" t="n">
        <v>34.1512</v>
      </c>
      <c r="H702" s="25" t="inlineStr">
        <is>
          <t>988-pack GENERATED</t>
        </is>
      </c>
    </row>
    <row r="703">
      <c r="A703" s="25" t="inlineStr">
        <is>
          <t>1012570</t>
        </is>
      </c>
      <c r="B703" s="25" t="inlineStr">
        <is>
          <t>AKÜ,LB2,DK,62AH,IGYSMF,İNCİFORMTAUR,EURO</t>
        </is>
      </c>
      <c r="C703" s="25" t="inlineStr">
        <is>
          <t>1</t>
        </is>
      </c>
      <c r="D703" s="25" t="inlineStr">
        <is>
          <t>ST-076-EUR-03</t>
        </is>
      </c>
      <c r="E703" s="25" t="inlineStr">
        <is>
          <t>IA-ST-076-EUR-03</t>
        </is>
      </c>
      <c r="F703" s="25" t="inlineStr">
        <is>
          <t>IA-ST-CFG-0240</t>
        </is>
      </c>
      <c r="G703" s="25" t="n">
        <v>30.7272</v>
      </c>
      <c r="H703" s="25" t="inlineStr">
        <is>
          <t>988-pack GENERATED</t>
        </is>
      </c>
    </row>
    <row r="704">
      <c r="A704" s="25" t="inlineStr">
        <is>
          <t>1012577</t>
        </is>
      </c>
      <c r="B704" s="25" t="inlineStr">
        <is>
          <t>AKÜ,L2,DK,55AH,IGYSMF,EAS ACTVKOLİ,ATWAN</t>
        </is>
      </c>
      <c r="C704" s="25" t="inlineStr">
        <is>
          <t>1</t>
        </is>
      </c>
      <c r="D704" s="25" t="inlineStr">
        <is>
          <t>ST-088-STD-01</t>
        </is>
      </c>
      <c r="E704" s="25" t="inlineStr">
        <is>
          <t>IA-ST-088-STD-01</t>
        </is>
      </c>
      <c r="F704" s="25" t="inlineStr">
        <is>
          <t>IA-ST-CFG-0254</t>
        </is>
      </c>
      <c r="G704" s="25" t="n">
        <v>50.456</v>
      </c>
      <c r="H704" s="25" t="inlineStr">
        <is>
          <t>988-pack GENERATED</t>
        </is>
      </c>
    </row>
    <row r="705">
      <c r="A705" s="25" t="inlineStr">
        <is>
          <t>1012578</t>
        </is>
      </c>
      <c r="B705" s="25" t="inlineStr">
        <is>
          <t>AKÜ,D31,TK,100AH,IGYSMF,İNCİ FORM TAURUS</t>
        </is>
      </c>
      <c r="C705" s="25" t="inlineStr">
        <is>
          <t>1</t>
        </is>
      </c>
      <c r="D705" s="25" t="inlineStr">
        <is>
          <t>ST-054-STD-07</t>
        </is>
      </c>
      <c r="E705" s="25" t="inlineStr">
        <is>
          <t>IA-ST-054-STD-07</t>
        </is>
      </c>
      <c r="F705" s="25" t="inlineStr">
        <is>
          <t>IA-ST-CFG-0143</t>
        </is>
      </c>
      <c r="G705" s="25" t="n">
        <v>33.7838</v>
      </c>
      <c r="H705" s="25" t="inlineStr">
        <is>
          <t>988-pack GENERATED</t>
        </is>
      </c>
    </row>
    <row r="706">
      <c r="A706" s="25" t="inlineStr">
        <is>
          <t>1012583</t>
        </is>
      </c>
      <c r="B706" s="25" t="inlineStr">
        <is>
          <t>AKÜ,NS60,DK,45AH,IGYSMF,İNCİ FORM TAURUS</t>
        </is>
      </c>
      <c r="C706" s="25" t="inlineStr">
        <is>
          <t>1</t>
        </is>
      </c>
      <c r="D706" s="25" t="inlineStr">
        <is>
          <t>ST-096-STD-03</t>
        </is>
      </c>
      <c r="E706" s="25" t="inlineStr">
        <is>
          <t>IA-ST-096-STD-03</t>
        </is>
      </c>
      <c r="F706" s="25" t="inlineStr">
        <is>
          <t>IA-ST-CFG-0272</t>
        </is>
      </c>
      <c r="G706" s="25" t="n">
        <v>35.3172</v>
      </c>
      <c r="H706" s="25" t="inlineStr">
        <is>
          <t>988-pack GENERATED</t>
        </is>
      </c>
    </row>
    <row r="707">
      <c r="A707" s="25" t="inlineStr">
        <is>
          <t>1012584</t>
        </is>
      </c>
      <c r="B707" s="25" t="inlineStr">
        <is>
          <t>AKÜ,L2,TK,55AH,IGYA SMF,İNCİ FORM TAURUS</t>
        </is>
      </c>
      <c r="C707" s="25" t="inlineStr">
        <is>
          <t>1</t>
        </is>
      </c>
      <c r="D707" s="25" t="inlineStr">
        <is>
          <t>ST-072-STD-13</t>
        </is>
      </c>
      <c r="E707" s="25" t="inlineStr">
        <is>
          <t>IA-ST-072-STD-13</t>
        </is>
      </c>
      <c r="F707" s="25" t="inlineStr">
        <is>
          <t>IA-ST-CFG-0222</t>
        </is>
      </c>
      <c r="G707" s="25" t="n">
        <v>30.6552</v>
      </c>
      <c r="H707" s="25" t="inlineStr">
        <is>
          <t>988-pack GENERATED</t>
        </is>
      </c>
    </row>
    <row r="708">
      <c r="A708" s="25" t="inlineStr">
        <is>
          <t>1012586</t>
        </is>
      </c>
      <c r="B708" s="25" t="inlineStr">
        <is>
          <t>AKÜ,LB3,DK,70AH,IGYASMF,İNCİ FORM TAURUS</t>
        </is>
      </c>
      <c r="C708" s="25" t="inlineStr">
        <is>
          <t>1</t>
        </is>
      </c>
      <c r="D708" s="25" t="inlineStr">
        <is>
          <t>ST-063-STD-07</t>
        </is>
      </c>
      <c r="E708" s="25" t="inlineStr">
        <is>
          <t>IA-ST-063-STD-07</t>
        </is>
      </c>
      <c r="F708" s="25" t="inlineStr">
        <is>
          <t>IA-ST-CFG-0178</t>
        </is>
      </c>
      <c r="G708" s="25" t="n">
        <v>29.8692</v>
      </c>
      <c r="H708" s="25" t="inlineStr">
        <is>
          <t>988-pack GENERATED</t>
        </is>
      </c>
    </row>
    <row r="709">
      <c r="A709" s="25" t="inlineStr">
        <is>
          <t>1012587</t>
        </is>
      </c>
      <c r="B709" s="25" t="inlineStr">
        <is>
          <t>AKÜ,LB2,DK,60AH,IGYASMF,İNCİ FORM TAURUS</t>
        </is>
      </c>
      <c r="C709" s="25" t="inlineStr">
        <is>
          <t>1</t>
        </is>
      </c>
      <c r="D709" s="25" t="inlineStr">
        <is>
          <t>ST-072-STD-13</t>
        </is>
      </c>
      <c r="E709" s="25" t="inlineStr">
        <is>
          <t>IA-ST-072-STD-13</t>
        </is>
      </c>
      <c r="F709" s="25" t="inlineStr">
        <is>
          <t>IA-ST-CFG-0222</t>
        </is>
      </c>
      <c r="G709" s="25" t="n">
        <v>30.6552</v>
      </c>
      <c r="H709" s="25" t="inlineStr">
        <is>
          <t>988-pack GENERATED</t>
        </is>
      </c>
    </row>
    <row r="710">
      <c r="A710" s="25" t="inlineStr">
        <is>
          <t>1012588</t>
        </is>
      </c>
      <c r="B710" s="25" t="inlineStr">
        <is>
          <t>AKÜ,L5,DK,92AH,IGYA SMF,İNCİ FORM TAURUS</t>
        </is>
      </c>
      <c r="C710" s="25" t="inlineStr">
        <is>
          <t>1</t>
        </is>
      </c>
      <c r="D710" s="25" t="inlineStr">
        <is>
          <t>ST-045-STD-08</t>
        </is>
      </c>
      <c r="E710" s="25" t="inlineStr">
        <is>
          <t>IA-ST-045-STD-08</t>
        </is>
      </c>
      <c r="F710" s="25" t="inlineStr">
        <is>
          <t>IA-ST-CFG-0096</t>
        </is>
      </c>
      <c r="G710" s="25" t="n">
        <v>29.7192</v>
      </c>
      <c r="H710" s="25" t="inlineStr">
        <is>
          <t>988-pack GENERATED</t>
        </is>
      </c>
    </row>
    <row r="711">
      <c r="A711" s="25" t="inlineStr">
        <is>
          <t>1012597</t>
        </is>
      </c>
      <c r="B711" s="25" t="inlineStr">
        <is>
          <t>AKÜ,LB2,DK60AH,IGYSMF,BLIZZAROS&amp;S,JANENE</t>
        </is>
      </c>
      <c r="C711" s="25" t="inlineStr">
        <is>
          <t>1</t>
        </is>
      </c>
      <c r="D711" s="25" t="inlineStr">
        <is>
          <t>ST-072-STD-13</t>
        </is>
      </c>
      <c r="E711" s="25" t="inlineStr">
        <is>
          <t>IA-ST-072-STD-13</t>
        </is>
      </c>
      <c r="F711" s="25" t="inlineStr">
        <is>
          <t>IA-ST-CFG-0222</t>
        </is>
      </c>
      <c r="G711" s="25" t="n">
        <v>30.6552</v>
      </c>
      <c r="H711" s="25" t="inlineStr">
        <is>
          <t>988-pack GENERATED</t>
        </is>
      </c>
    </row>
    <row r="712">
      <c r="A712" s="25" t="inlineStr">
        <is>
          <t>1012599</t>
        </is>
      </c>
      <c r="B712" s="25" t="inlineStr">
        <is>
          <t>AKÜ,L2,DK,60AH,IGYSMF,HUGELULTRA,TÜRKMEN</t>
        </is>
      </c>
      <c r="C712" s="25" t="inlineStr">
        <is>
          <t>1</t>
        </is>
      </c>
      <c r="D712" s="25" t="inlineStr">
        <is>
          <t>ST-072-STD-13</t>
        </is>
      </c>
      <c r="E712" s="25" t="inlineStr">
        <is>
          <t>IA-ST-072-STD-13</t>
        </is>
      </c>
      <c r="F712" s="25" t="inlineStr">
        <is>
          <t>IA-ST-CFG-0222</t>
        </is>
      </c>
      <c r="G712" s="25" t="n">
        <v>30.6552</v>
      </c>
      <c r="H712" s="25" t="inlineStr">
        <is>
          <t>988-pack GENERATED</t>
        </is>
      </c>
    </row>
    <row r="713">
      <c r="A713" s="25" t="inlineStr">
        <is>
          <t>1012600</t>
        </is>
      </c>
      <c r="B713" s="25" t="inlineStr">
        <is>
          <t>AKÜ,LB4,DK,80AH,IGYA SMF,EAS ACTIVA,EURO</t>
        </is>
      </c>
      <c r="C713" s="25" t="inlineStr">
        <is>
          <t>1</t>
        </is>
      </c>
      <c r="D713" s="25" t="inlineStr">
        <is>
          <t>ST-056-EUR-03</t>
        </is>
      </c>
      <c r="E713" s="25" t="inlineStr">
        <is>
          <t>IA-ST-056-EUR-03</t>
        </is>
      </c>
      <c r="F713" s="25" t="inlineStr">
        <is>
          <t>IA-ST-CFG-0152</t>
        </is>
      </c>
      <c r="G713" s="25" t="n">
        <v>29.7432</v>
      </c>
      <c r="H713" s="25" t="inlineStr">
        <is>
          <t>988-pack GENERATED</t>
        </is>
      </c>
    </row>
    <row r="714">
      <c r="A714" s="25" t="inlineStr">
        <is>
          <t>1012612</t>
        </is>
      </c>
      <c r="B714" s="25" t="inlineStr">
        <is>
          <t>AKÜ,LB2,DK,60AH,IGYSMF,İNCİ FORM,TRADING</t>
        </is>
      </c>
      <c r="C714" s="25" t="inlineStr">
        <is>
          <t>1</t>
        </is>
      </c>
      <c r="D714" s="25" t="inlineStr">
        <is>
          <t>ST-057-EUR-04</t>
        </is>
      </c>
      <c r="E714" s="25" t="inlineStr">
        <is>
          <t>IA-ST-057-EUR-04</t>
        </is>
      </c>
      <c r="F714" s="25" t="inlineStr">
        <is>
          <t>IA-ST-CFG-0163</t>
        </is>
      </c>
      <c r="G714" s="25" t="n">
        <v>29.8052</v>
      </c>
      <c r="H714" s="25" t="inlineStr">
        <is>
          <t>988-pack GENERATED</t>
        </is>
      </c>
    </row>
    <row r="715">
      <c r="A715" s="25" t="inlineStr">
        <is>
          <t>1012613</t>
        </is>
      </c>
      <c r="B715" s="25" t="inlineStr">
        <is>
          <t>AKÜ,L3,DK,75AH,IGYASMF,İNCİ FORM,TRADING</t>
        </is>
      </c>
      <c r="C715" s="25" t="inlineStr">
        <is>
          <t>1</t>
        </is>
      </c>
      <c r="D715" s="25" t="inlineStr">
        <is>
          <t>ST-051-EUR-03</t>
        </is>
      </c>
      <c r="E715" s="25" t="inlineStr">
        <is>
          <t>IA-ST-051-EUR-03</t>
        </is>
      </c>
      <c r="F715" s="25" t="inlineStr">
        <is>
          <t>IA-ST-CFG-0134</t>
        </is>
      </c>
      <c r="G715" s="25" t="n">
        <v>29.3232</v>
      </c>
      <c r="H715" s="25" t="inlineStr">
        <is>
          <t>988-pack GENERATED</t>
        </is>
      </c>
    </row>
    <row r="716">
      <c r="A716" s="25" t="inlineStr">
        <is>
          <t>1012614</t>
        </is>
      </c>
      <c r="B716" s="25" t="inlineStr">
        <is>
          <t>AKÜ,L4,DK,82AH,IGYASMF,İNCİ FORM,TRADING</t>
        </is>
      </c>
      <c r="C716" s="25" t="inlineStr">
        <is>
          <t>1</t>
        </is>
      </c>
      <c r="D716" s="25" t="inlineStr">
        <is>
          <t>ST-042-EUR-03</t>
        </is>
      </c>
      <c r="E716" s="25" t="inlineStr">
        <is>
          <t>IA-ST-042-EUR-03</t>
        </is>
      </c>
      <c r="F716" s="25" t="inlineStr">
        <is>
          <t>IA-ST-CFG-0086</t>
        </is>
      </c>
      <c r="G716" s="25" t="n">
        <v>29.0672</v>
      </c>
      <c r="H716" s="25" t="inlineStr">
        <is>
          <t>988-pack GENERATED</t>
        </is>
      </c>
    </row>
    <row r="717">
      <c r="A717" s="25" t="inlineStr">
        <is>
          <t>1012615</t>
        </is>
      </c>
      <c r="B717" s="25" t="inlineStr">
        <is>
          <t>AKÜ,L5,DK,100AH,IGYSMF,İNCİ FORM,TRADING</t>
        </is>
      </c>
      <c r="C717" s="25" t="inlineStr">
        <is>
          <t>1</t>
        </is>
      </c>
      <c r="D717" s="25" t="inlineStr">
        <is>
          <t>ST-036-EUR-06</t>
        </is>
      </c>
      <c r="E717" s="25" t="inlineStr">
        <is>
          <t>IA-ST-036-EUR-06</t>
        </is>
      </c>
      <c r="F717" s="25" t="inlineStr">
        <is>
          <t>IA-ST-CFG-0071</t>
        </is>
      </c>
      <c r="G717" s="25" t="n">
        <v>29.0792</v>
      </c>
      <c r="H717" s="25" t="inlineStr">
        <is>
          <t>988-pack GENERATED</t>
        </is>
      </c>
    </row>
    <row r="718">
      <c r="A718" s="25" t="inlineStr">
        <is>
          <t>1012618</t>
        </is>
      </c>
      <c r="B718" s="25" t="inlineStr">
        <is>
          <t>AKÜ,L3,DK,75AH,IGYSMF,HUGELULTRA,TRADING</t>
        </is>
      </c>
      <c r="C718" s="25" t="inlineStr">
        <is>
          <t>1</t>
        </is>
      </c>
      <c r="D718" s="25" t="inlineStr">
        <is>
          <t>ST-051-EUR-03</t>
        </is>
      </c>
      <c r="E718" s="25" t="inlineStr">
        <is>
          <t>IA-ST-051-EUR-03</t>
        </is>
      </c>
      <c r="F718" s="25" t="inlineStr">
        <is>
          <t>IA-ST-CFG-0134</t>
        </is>
      </c>
      <c r="G718" s="25" t="n">
        <v>29.3232</v>
      </c>
      <c r="H718" s="25" t="inlineStr">
        <is>
          <t>988-pack GENERATED</t>
        </is>
      </c>
    </row>
    <row r="719">
      <c r="A719" s="25" t="inlineStr">
        <is>
          <t>1012619</t>
        </is>
      </c>
      <c r="B719" s="25" t="inlineStr">
        <is>
          <t>AKÜ,L4,DK,82AH,IGYSMF,HUGELULTRA,TRADING</t>
        </is>
      </c>
      <c r="C719" s="25" t="inlineStr">
        <is>
          <t>1</t>
        </is>
      </c>
      <c r="D719" s="25" t="inlineStr">
        <is>
          <t>ST-042-EUR-03</t>
        </is>
      </c>
      <c r="E719" s="25" t="inlineStr">
        <is>
          <t>IA-ST-042-EUR-03</t>
        </is>
      </c>
      <c r="F719" s="25" t="inlineStr">
        <is>
          <t>IA-ST-CFG-0086</t>
        </is>
      </c>
      <c r="G719" s="25" t="n">
        <v>29.0672</v>
      </c>
      <c r="H719" s="25" t="inlineStr">
        <is>
          <t>988-pack GENERATED</t>
        </is>
      </c>
    </row>
    <row r="720">
      <c r="A720" s="25" t="inlineStr">
        <is>
          <t>1012620</t>
        </is>
      </c>
      <c r="B720" s="25" t="inlineStr">
        <is>
          <t>AKÜ,L5,DK,100AH,IGYSMF,HUGELULTR,TRADING</t>
        </is>
      </c>
      <c r="C720" s="25" t="inlineStr">
        <is>
          <t>1</t>
        </is>
      </c>
      <c r="D720" s="25" t="inlineStr">
        <is>
          <t>ST-036-EUR-06</t>
        </is>
      </c>
      <c r="E720" s="25" t="inlineStr">
        <is>
          <t>IA-ST-036-EUR-06</t>
        </is>
      </c>
      <c r="F720" s="25" t="inlineStr">
        <is>
          <t>IA-ST-CFG-0071</t>
        </is>
      </c>
      <c r="G720" s="25" t="n">
        <v>29.0792</v>
      </c>
      <c r="H720" s="25" t="inlineStr">
        <is>
          <t>988-pack GENERATED</t>
        </is>
      </c>
    </row>
    <row r="721">
      <c r="A721" s="25" t="inlineStr">
        <is>
          <t>1012624</t>
        </is>
      </c>
      <c r="B721" s="25" t="inlineStr">
        <is>
          <t>AKÜ,LB1,DK,44AH,IGYSMF,İNCİ FORM,TRADING</t>
        </is>
      </c>
      <c r="C721" s="25" t="inlineStr">
        <is>
          <t>1</t>
        </is>
      </c>
      <c r="D721" s="25" t="inlineStr">
        <is>
          <t>ST-072-EUR-01</t>
        </is>
      </c>
      <c r="E721" s="25" t="inlineStr">
        <is>
          <t>IA-ST-072-EUR-01</t>
        </is>
      </c>
      <c r="F721" s="25" t="inlineStr">
        <is>
          <t>IA-ST-CFG-0204</t>
        </is>
      </c>
      <c r="G721" s="25" t="n">
        <v>29.8042</v>
      </c>
      <c r="H721" s="25" t="inlineStr">
        <is>
          <t>988-pack GENERATED</t>
        </is>
      </c>
    </row>
    <row r="722">
      <c r="A722" s="25" t="inlineStr">
        <is>
          <t>1012628</t>
        </is>
      </c>
      <c r="B722" s="25" t="inlineStr">
        <is>
          <t>AKÜ,L1,DK,54AH,IGYA SMF,İNCİ MAXIMA,EURO</t>
        </is>
      </c>
      <c r="C722" s="25" t="inlineStr">
        <is>
          <t>1</t>
        </is>
      </c>
      <c r="D722" s="25" t="inlineStr">
        <is>
          <t>ST-096-EUR-02</t>
        </is>
      </c>
      <c r="E722" s="25" t="inlineStr">
        <is>
          <t>IA-ST-096-EUR-02</t>
        </is>
      </c>
      <c r="F722" s="25" t="inlineStr">
        <is>
          <t>IA-ST-CFG-0265</t>
        </is>
      </c>
      <c r="G722" s="25" t="n">
        <v>31.0262</v>
      </c>
      <c r="H722" s="25" t="inlineStr">
        <is>
          <t>988-pack GENERATED</t>
        </is>
      </c>
    </row>
    <row r="723">
      <c r="A723" s="25" t="inlineStr">
        <is>
          <t>1012629</t>
        </is>
      </c>
      <c r="B723" s="25" t="inlineStr">
        <is>
          <t>AKÜ,LB1,DK,44AH,IGYSMF,HUGELULTR,TRADING</t>
        </is>
      </c>
      <c r="C723" s="25" t="inlineStr">
        <is>
          <t>1</t>
        </is>
      </c>
      <c r="D723" s="25" t="inlineStr">
        <is>
          <t>ST-072-EUR-01</t>
        </is>
      </c>
      <c r="E723" s="25" t="inlineStr">
        <is>
          <t>IA-ST-072-EUR-01</t>
        </is>
      </c>
      <c r="F723" s="25" t="inlineStr">
        <is>
          <t>IA-ST-CFG-0204</t>
        </is>
      </c>
      <c r="G723" s="25" t="n">
        <v>29.8042</v>
      </c>
      <c r="H723" s="25" t="inlineStr">
        <is>
          <t>988-pack GENERATED</t>
        </is>
      </c>
    </row>
    <row r="724">
      <c r="A724" s="25" t="inlineStr">
        <is>
          <t>1012630</t>
        </is>
      </c>
      <c r="B724" s="25" t="inlineStr">
        <is>
          <t>AKÜ,L2,DK,62AH,IGYSMF,HUGELULTRA,TÜRKMEN</t>
        </is>
      </c>
      <c r="C724" s="25" t="inlineStr">
        <is>
          <t>1</t>
        </is>
      </c>
      <c r="D724" s="25" t="inlineStr">
        <is>
          <t>ST-072-STD-13</t>
        </is>
      </c>
      <c r="E724" s="25" t="inlineStr">
        <is>
          <t>IA-ST-072-STD-13</t>
        </is>
      </c>
      <c r="F724" s="25" t="inlineStr">
        <is>
          <t>IA-ST-CFG-0222</t>
        </is>
      </c>
      <c r="G724" s="25" t="n">
        <v>30.6552</v>
      </c>
      <c r="H724" s="25" t="inlineStr">
        <is>
          <t>988-pack GENERATED</t>
        </is>
      </c>
    </row>
    <row r="725">
      <c r="A725" s="25" t="inlineStr">
        <is>
          <t>1012631</t>
        </is>
      </c>
      <c r="B725" s="25" t="inlineStr">
        <is>
          <t>AKÜ,L2,DK,60AH,IGYASMF,İNCİ FORM,TRADING</t>
        </is>
      </c>
      <c r="C725" s="25" t="inlineStr">
        <is>
          <t>1</t>
        </is>
      </c>
      <c r="D725" s="25" t="inlineStr">
        <is>
          <t>ST-057-EUR-04</t>
        </is>
      </c>
      <c r="E725" s="25" t="inlineStr">
        <is>
          <t>IA-ST-057-EUR-04</t>
        </is>
      </c>
      <c r="F725" s="25" t="inlineStr">
        <is>
          <t>IA-ST-CFG-0163</t>
        </is>
      </c>
      <c r="G725" s="25" t="n">
        <v>29.8052</v>
      </c>
      <c r="H725" s="25" t="inlineStr">
        <is>
          <t>988-pack GENERATED</t>
        </is>
      </c>
    </row>
    <row r="726">
      <c r="A726" s="25" t="inlineStr">
        <is>
          <t>1012632</t>
        </is>
      </c>
      <c r="B726" s="25" t="inlineStr">
        <is>
          <t>AKÜ,L2,DK,60AH,IGYSMF,HUGELULTRA,TRADING</t>
        </is>
      </c>
      <c r="C726" s="25" t="inlineStr">
        <is>
          <t>1</t>
        </is>
      </c>
      <c r="D726" s="25" t="inlineStr">
        <is>
          <t>ST-057-EUR-04</t>
        </is>
      </c>
      <c r="E726" s="25" t="inlineStr">
        <is>
          <t>IA-ST-057-EUR-04</t>
        </is>
      </c>
      <c r="F726" s="25" t="inlineStr">
        <is>
          <t>IA-ST-CFG-0163</t>
        </is>
      </c>
      <c r="G726" s="25" t="n">
        <v>29.8052</v>
      </c>
      <c r="H726" s="25" t="inlineStr">
        <is>
          <t>988-pack GENERATED</t>
        </is>
      </c>
    </row>
    <row r="727">
      <c r="A727" s="29" t="inlineStr">
        <is>
          <t>1012633</t>
        </is>
      </c>
      <c r="B727" s="29" t="inlineStr">
        <is>
          <t>AKÜ,L1,DK,50Ah,IGYA SMF,FIAT,52200683</t>
        </is>
      </c>
      <c r="C727" s="29" t="inlineStr">
        <is>
          <t>1</t>
        </is>
      </c>
      <c r="H727" s="29" t="inlineStr">
        <is>
          <t>NO MAPPING</t>
        </is>
      </c>
    </row>
    <row r="728">
      <c r="A728" s="25" t="inlineStr">
        <is>
          <t>1012638</t>
        </is>
      </c>
      <c r="B728" s="25" t="inlineStr">
        <is>
          <t>AKÜ,L1,DK,52AH,IGYSMF,Y3000EXPORT,KOLİLİ</t>
        </is>
      </c>
      <c r="C728" s="25" t="inlineStr">
        <is>
          <t>1</t>
        </is>
      </c>
      <c r="D728" s="25" t="inlineStr">
        <is>
          <t>ST-048-STD-01</t>
        </is>
      </c>
      <c r="E728" s="25" t="inlineStr">
        <is>
          <t>IA-ST-048-STD-01</t>
        </is>
      </c>
      <c r="F728" s="25" t="inlineStr">
        <is>
          <t>IA-ST-CFG-0104</t>
        </is>
      </c>
      <c r="G728" s="25" t="n">
        <v>40.316</v>
      </c>
      <c r="H728" s="25" t="inlineStr">
        <is>
          <t>988-pack GENERATED</t>
        </is>
      </c>
    </row>
    <row r="729">
      <c r="A729" s="25" t="inlineStr">
        <is>
          <t>1012641</t>
        </is>
      </c>
      <c r="B729" s="25" t="inlineStr">
        <is>
          <t>AKÜ,L4,DK,82AH,IGYSMF,Y3000EXPORT,KOLİLİ</t>
        </is>
      </c>
      <c r="C729" s="25" t="inlineStr">
        <is>
          <t>1</t>
        </is>
      </c>
      <c r="D729" s="25" t="inlineStr">
        <is>
          <t>ST-034-STD-02</t>
        </is>
      </c>
      <c r="E729" s="25" t="inlineStr">
        <is>
          <t>IA-ST-034-STD-02</t>
        </is>
      </c>
      <c r="F729" s="25" t="inlineStr">
        <is>
          <t>IA-ST-CFG-0060</t>
        </is>
      </c>
      <c r="G729" s="25" t="n">
        <v>37.296</v>
      </c>
      <c r="H729" s="25" t="inlineStr">
        <is>
          <t>988-pack GENERATED</t>
        </is>
      </c>
    </row>
    <row r="730">
      <c r="A730" s="25" t="inlineStr">
        <is>
          <t>1012643</t>
        </is>
      </c>
      <c r="B730" s="25" t="inlineStr">
        <is>
          <t>AKÜ,D23,TK60AH,IGYSMF,Y3000EXPORT,KOLİLİ</t>
        </is>
      </c>
      <c r="C730" s="25" t="inlineStr">
        <is>
          <t>1</t>
        </is>
      </c>
      <c r="D730" s="25" t="inlineStr">
        <is>
          <t>ST-042-STD-01</t>
        </is>
      </c>
      <c r="E730" s="25" t="inlineStr">
        <is>
          <t>IA-ST-042-STD-01</t>
        </is>
      </c>
      <c r="F730" s="25" t="inlineStr">
        <is>
          <t>IA-ST-CFG-0075</t>
        </is>
      </c>
      <c r="G730" s="25" t="n">
        <v>41.02094</v>
      </c>
      <c r="H730" s="25" t="inlineStr">
        <is>
          <t>988-pack GENERATED</t>
        </is>
      </c>
    </row>
    <row r="731">
      <c r="A731" s="25" t="inlineStr">
        <is>
          <t>1012648</t>
        </is>
      </c>
      <c r="B731" s="25" t="inlineStr">
        <is>
          <t>AKÜ,D31,TK95AH,IGYSMF,Y3000EXPORT,KOLİLİ</t>
        </is>
      </c>
      <c r="C731" s="25" t="inlineStr">
        <is>
          <t>1</t>
        </is>
      </c>
      <c r="D731" s="25" t="inlineStr">
        <is>
          <t>ST-034-STD-01</t>
        </is>
      </c>
      <c r="E731" s="25" t="inlineStr">
        <is>
          <t>IA-ST-034-STD-01</t>
        </is>
      </c>
      <c r="F731" s="25" t="inlineStr">
        <is>
          <t>IA-ST-CFG-0059</t>
        </is>
      </c>
      <c r="G731" s="25" t="n">
        <v>40.7776</v>
      </c>
      <c r="H731" s="25" t="inlineStr">
        <is>
          <t>988-pack GENERATED</t>
        </is>
      </c>
    </row>
    <row r="732">
      <c r="A732" s="25" t="inlineStr">
        <is>
          <t>1012649</t>
        </is>
      </c>
      <c r="B732" s="25" t="inlineStr">
        <is>
          <t>AKÜ,D31,DK95AH,IGYSMF,Y3000EXPORT,KOLİLİ</t>
        </is>
      </c>
      <c r="C732" s="25" t="inlineStr">
        <is>
          <t>1</t>
        </is>
      </c>
      <c r="D732" s="25" t="inlineStr">
        <is>
          <t>ST-034-STD-01</t>
        </is>
      </c>
      <c r="E732" s="25" t="inlineStr">
        <is>
          <t>IA-ST-034-STD-01</t>
        </is>
      </c>
      <c r="F732" s="25" t="inlineStr">
        <is>
          <t>IA-ST-CFG-0059</t>
        </is>
      </c>
      <c r="G732" s="25" t="n">
        <v>40.7776</v>
      </c>
      <c r="H732" s="25" t="inlineStr">
        <is>
          <t>988-pack GENERATED</t>
        </is>
      </c>
    </row>
    <row r="733">
      <c r="A733" s="25" t="inlineStr">
        <is>
          <t>1012653</t>
        </is>
      </c>
      <c r="B733" s="25" t="inlineStr">
        <is>
          <t>AKÜ,D31,DK,IGYASMF,90AH 740A(EN),PSA,OES</t>
        </is>
      </c>
      <c r="C733" s="25" t="inlineStr">
        <is>
          <t>1</t>
        </is>
      </c>
      <c r="D733" s="25" t="inlineStr">
        <is>
          <t>ST-048-EUR-03</t>
        </is>
      </c>
      <c r="E733" s="25" t="inlineStr">
        <is>
          <t>IA-ST-048-EUR-03</t>
        </is>
      </c>
      <c r="F733" s="25" t="inlineStr">
        <is>
          <t>IA-ST-CFG-0109</t>
        </is>
      </c>
      <c r="G733" s="25" t="n">
        <v>29.174</v>
      </c>
      <c r="H733" s="25" t="inlineStr">
        <is>
          <t>988-pack GENERATED</t>
        </is>
      </c>
    </row>
    <row r="734">
      <c r="A734" s="25" t="inlineStr">
        <is>
          <t>1012654</t>
        </is>
      </c>
      <c r="B734" s="25" t="inlineStr">
        <is>
          <t>AKÜ,NS40,DK,IGYASMF,35AH,İNCE KB,PSA,OES</t>
        </is>
      </c>
      <c r="C734" s="25" t="inlineStr">
        <is>
          <t>1</t>
        </is>
      </c>
      <c r="D734" s="25" t="inlineStr">
        <is>
          <t>ST-036-EUR-02</t>
        </is>
      </c>
      <c r="E734" s="25" t="inlineStr">
        <is>
          <t>IA-ST-036-EUR-02</t>
        </is>
      </c>
      <c r="F734" s="25" t="inlineStr">
        <is>
          <t>IA-ST-CFG-0065</t>
        </is>
      </c>
      <c r="G734" s="25" t="n">
        <v>27.942</v>
      </c>
      <c r="H734" s="25" t="inlineStr">
        <is>
          <t>988-pack GENERATED</t>
        </is>
      </c>
    </row>
    <row r="735">
      <c r="A735" s="25" t="inlineStr">
        <is>
          <t>1012657</t>
        </is>
      </c>
      <c r="B735" s="25" t="inlineStr">
        <is>
          <t>AKÜ,L3,DK,IGYA SMF,EFB70AH720A,5600VG</t>
        </is>
      </c>
      <c r="C735" s="25" t="inlineStr">
        <is>
          <t>1</t>
        </is>
      </c>
      <c r="D735" s="25" t="inlineStr">
        <is>
          <t>ST-048-EUR-07</t>
        </is>
      </c>
      <c r="E735" s="25" t="inlineStr">
        <is>
          <t>IA-ST-048-EUR-07</t>
        </is>
      </c>
      <c r="F735" s="25" t="inlineStr">
        <is>
          <t>IA-ST-CFG-0113</t>
        </is>
      </c>
      <c r="G735" s="25" t="n">
        <v>27.926</v>
      </c>
      <c r="H735" s="25" t="inlineStr">
        <is>
          <t>988-pack GENERATED</t>
        </is>
      </c>
    </row>
    <row r="736">
      <c r="A736" s="25" t="inlineStr">
        <is>
          <t>1012658</t>
        </is>
      </c>
      <c r="B736" s="25" t="inlineStr">
        <is>
          <t>AKÜ,L2,DK,GSY SMF,EFB 60AH 640A,5600VF</t>
        </is>
      </c>
      <c r="C736" s="25" t="inlineStr">
        <is>
          <t>1</t>
        </is>
      </c>
      <c r="D736" s="25" t="inlineStr">
        <is>
          <t>ST-057-EUR-03</t>
        </is>
      </c>
      <c r="E736" s="25" t="inlineStr">
        <is>
          <t>IA-ST-057-EUR-03</t>
        </is>
      </c>
      <c r="F736" s="25" t="inlineStr">
        <is>
          <t>IA-ST-CFG-0162</t>
        </is>
      </c>
      <c r="G736" s="25" t="n">
        <v>27.926</v>
      </c>
      <c r="H736" s="25" t="inlineStr">
        <is>
          <t>988-pack GENERATED</t>
        </is>
      </c>
    </row>
    <row r="737">
      <c r="A737" s="25" t="inlineStr">
        <is>
          <t>1012659</t>
        </is>
      </c>
      <c r="B737" s="25" t="inlineStr">
        <is>
          <t>AKÜ,L3DK,IGYASMF,75AH800A,1638948680,PSA</t>
        </is>
      </c>
      <c r="C737" s="25" t="inlineStr">
        <is>
          <t>1</t>
        </is>
      </c>
      <c r="D737" s="25" t="inlineStr">
        <is>
          <t>ST-051-EUR-01</t>
        </is>
      </c>
      <c r="E737" s="25" t="inlineStr">
        <is>
          <t>IA-ST-051-EUR-01</t>
        </is>
      </c>
      <c r="F737" s="25" t="inlineStr">
        <is>
          <t>IA-ST-CFG-0132</t>
        </is>
      </c>
      <c r="G737" s="25" t="n">
        <v>27.926</v>
      </c>
      <c r="H737" s="25" t="inlineStr">
        <is>
          <t>988-pack GENERATED</t>
        </is>
      </c>
    </row>
    <row r="738">
      <c r="A738" s="29" t="inlineStr">
        <is>
          <t>1012662</t>
        </is>
      </c>
      <c r="B738" s="29" t="inlineStr">
        <is>
          <t>AKÜ L2,DK,IGYA SMF,EFB 60AH 520A,ERP-TR</t>
        </is>
      </c>
      <c r="C738" s="29" t="inlineStr">
        <is>
          <t>1</t>
        </is>
      </c>
      <c r="H738" s="29" t="inlineStr">
        <is>
          <t>NO MAPPING</t>
        </is>
      </c>
    </row>
    <row r="739">
      <c r="A739" s="29" t="inlineStr">
        <is>
          <t>1012665</t>
        </is>
      </c>
      <c r="B739" s="29" t="inlineStr">
        <is>
          <t>AKÜ,L3,DK,IGYA SMF,EFB70AH680A,ERP-TR</t>
        </is>
      </c>
      <c r="C739" s="29" t="inlineStr">
        <is>
          <t>1</t>
        </is>
      </c>
      <c r="H739" s="29" t="inlineStr">
        <is>
          <t>NO MAPPING</t>
        </is>
      </c>
    </row>
    <row r="740">
      <c r="A740" s="29" t="inlineStr">
        <is>
          <t>1012667</t>
        </is>
      </c>
      <c r="B740" s="29" t="inlineStr">
        <is>
          <t>AKÜ,LB1,DK,IGYA SMF,44AH 440A,ERP-TR</t>
        </is>
      </c>
      <c r="C740" s="29" t="inlineStr">
        <is>
          <t>1</t>
        </is>
      </c>
      <c r="H740" s="29" t="inlineStr">
        <is>
          <t>NO MAPPING</t>
        </is>
      </c>
    </row>
    <row r="741">
      <c r="A741" s="29" t="inlineStr">
        <is>
          <t>1012674</t>
        </is>
      </c>
      <c r="B741" s="29" t="inlineStr">
        <is>
          <t>AKÜ,LB2,DK,IGYA SMF,60AH 540A,ERP-TR</t>
        </is>
      </c>
      <c r="C741" s="29" t="inlineStr">
        <is>
          <t>1</t>
        </is>
      </c>
      <c r="H741" s="29" t="inlineStr">
        <is>
          <t>NO MAPPING</t>
        </is>
      </c>
    </row>
    <row r="742">
      <c r="A742" s="29" t="inlineStr">
        <is>
          <t>1012675</t>
        </is>
      </c>
      <c r="B742" s="29" t="inlineStr">
        <is>
          <t>AKÜ,L2,DK,IGYA SMF,60AH 540A,ERP-TR</t>
        </is>
      </c>
      <c r="C742" s="29" t="inlineStr">
        <is>
          <t>1</t>
        </is>
      </c>
      <c r="H742" s="29" t="inlineStr">
        <is>
          <t>NO MAPPING</t>
        </is>
      </c>
    </row>
    <row r="743">
      <c r="A743" s="29" t="inlineStr">
        <is>
          <t>1012676</t>
        </is>
      </c>
      <c r="B743" s="29" t="inlineStr">
        <is>
          <t>AKÜ,L2,DK,IGYA SMF,63AH 610A,ERP-TR</t>
        </is>
      </c>
      <c r="C743" s="29" t="inlineStr">
        <is>
          <t>1</t>
        </is>
      </c>
      <c r="H743" s="29" t="inlineStr">
        <is>
          <t>NO MAPPING</t>
        </is>
      </c>
    </row>
    <row r="744">
      <c r="A744" s="29" t="inlineStr">
        <is>
          <t>1012677</t>
        </is>
      </c>
      <c r="B744" s="29" t="inlineStr">
        <is>
          <t>AKÜ,LB3,DK,IGYA SMF,72AH 680A,ERP-TR</t>
        </is>
      </c>
      <c r="C744" s="29" t="inlineStr">
        <is>
          <t>1</t>
        </is>
      </c>
      <c r="H744" s="29" t="inlineStr">
        <is>
          <t>NO MAPPING</t>
        </is>
      </c>
    </row>
    <row r="745">
      <c r="A745" s="29" t="inlineStr">
        <is>
          <t>1012678</t>
        </is>
      </c>
      <c r="B745" s="29" t="inlineStr">
        <is>
          <t>AKÜ,LB3,DK,IGYA SMF,74AH 700A,ERP-TR</t>
        </is>
      </c>
      <c r="C745" s="29" t="inlineStr">
        <is>
          <t>1</t>
        </is>
      </c>
      <c r="H745" s="29" t="inlineStr">
        <is>
          <t>NO MAPPING</t>
        </is>
      </c>
    </row>
    <row r="746">
      <c r="A746" s="29" t="inlineStr">
        <is>
          <t>1012679</t>
        </is>
      </c>
      <c r="B746" s="29" t="inlineStr">
        <is>
          <t>AKÜ,L3,DK,IGYA SMF,75AH 720A,ERP-TR</t>
        </is>
      </c>
      <c r="C746" s="29" t="inlineStr">
        <is>
          <t>1</t>
        </is>
      </c>
      <c r="H746" s="29" t="inlineStr">
        <is>
          <t>NO MAPPING</t>
        </is>
      </c>
    </row>
    <row r="747">
      <c r="A747" s="29" t="inlineStr">
        <is>
          <t>1012681</t>
        </is>
      </c>
      <c r="B747" s="29" t="inlineStr">
        <is>
          <t>AKÜ,LB4,DK,IGYA SMF,80AH 740A,ERP-TR</t>
        </is>
      </c>
      <c r="C747" s="29" t="inlineStr">
        <is>
          <t>1</t>
        </is>
      </c>
      <c r="H747" s="29" t="inlineStr">
        <is>
          <t>NO MAPPING</t>
        </is>
      </c>
    </row>
    <row r="748">
      <c r="A748" s="25" t="inlineStr">
        <is>
          <t>1012682</t>
        </is>
      </c>
      <c r="B748" s="25" t="inlineStr">
        <is>
          <t>AKÜ,L5,DK,IGYA SMF,95AH 800A,ERP-TR</t>
        </is>
      </c>
      <c r="C748" s="25" t="inlineStr">
        <is>
          <t>1</t>
        </is>
      </c>
      <c r="D748" s="25" t="inlineStr">
        <is>
          <t>ST-036-EUR-03</t>
        </is>
      </c>
      <c r="E748" s="25" t="inlineStr">
        <is>
          <t>IA-ST-036-EUR-03</t>
        </is>
      </c>
      <c r="F748" s="25" t="inlineStr">
        <is>
          <t>IA-ST-CFG-0066</t>
        </is>
      </c>
      <c r="G748" s="25" t="n">
        <v>29.366</v>
      </c>
      <c r="H748" s="25" t="inlineStr">
        <is>
          <t>988-pack GENERATED</t>
        </is>
      </c>
    </row>
    <row r="749">
      <c r="A749" s="25" t="inlineStr">
        <is>
          <t>1012683</t>
        </is>
      </c>
      <c r="B749" s="25" t="inlineStr">
        <is>
          <t>AKÜ,L5,DK,IGYA SMF,95AH 950A,ERP-TR</t>
        </is>
      </c>
      <c r="C749" s="25" t="inlineStr">
        <is>
          <t>1</t>
        </is>
      </c>
      <c r="D749" s="25" t="inlineStr">
        <is>
          <t>ST-036-EUR-03</t>
        </is>
      </c>
      <c r="E749" s="25" t="inlineStr">
        <is>
          <t>IA-ST-036-EUR-03</t>
        </is>
      </c>
      <c r="F749" s="25" t="inlineStr">
        <is>
          <t>IA-ST-CFG-0066</t>
        </is>
      </c>
      <c r="G749" s="25" t="n">
        <v>29.366</v>
      </c>
      <c r="H749" s="25" t="inlineStr">
        <is>
          <t>988-pack GENERATED</t>
        </is>
      </c>
    </row>
    <row r="750">
      <c r="A750" s="25" t="inlineStr">
        <is>
          <t>1012685</t>
        </is>
      </c>
      <c r="B750" s="25" t="inlineStr">
        <is>
          <t>AKÜ,L3,DK,IGYA SMF,75AH 800A,ERP-FR</t>
        </is>
      </c>
      <c r="C750" s="25" t="inlineStr">
        <is>
          <t>1</t>
        </is>
      </c>
      <c r="D750" s="25" t="inlineStr">
        <is>
          <t>ST-048-EUR-07</t>
        </is>
      </c>
      <c r="E750" s="25" t="inlineStr">
        <is>
          <t>IA-ST-048-EUR-07</t>
        </is>
      </c>
      <c r="F750" s="25" t="inlineStr">
        <is>
          <t>IA-ST-CFG-0113</t>
        </is>
      </c>
      <c r="G750" s="25" t="n">
        <v>27.926</v>
      </c>
      <c r="H750" s="25" t="inlineStr">
        <is>
          <t>988-pack GENERATED</t>
        </is>
      </c>
    </row>
    <row r="751">
      <c r="A751" s="25" t="inlineStr">
        <is>
          <t>1012686</t>
        </is>
      </c>
      <c r="B751" s="25" t="inlineStr">
        <is>
          <t>AKÜ,D31,DK,105AH,IGYA SMF,SDF OEM</t>
        </is>
      </c>
      <c r="C751" s="25" t="inlineStr">
        <is>
          <t>1</t>
        </is>
      </c>
      <c r="D751" s="25" t="inlineStr">
        <is>
          <t>ST-054-STD-09</t>
        </is>
      </c>
      <c r="E751" s="25" t="inlineStr">
        <is>
          <t>IA-ST-054-STD-09</t>
        </is>
      </c>
      <c r="F751" s="25" t="inlineStr">
        <is>
          <t>IA-ST-CFG-0145</t>
        </is>
      </c>
      <c r="G751" s="25" t="n">
        <v>33.497</v>
      </c>
      <c r="H751" s="25" t="inlineStr">
        <is>
          <t>988-pack GENERATED</t>
        </is>
      </c>
    </row>
    <row r="752">
      <c r="A752" s="25" t="inlineStr">
        <is>
          <t>1012687</t>
        </is>
      </c>
      <c r="B752" s="25" t="inlineStr">
        <is>
          <t>AKÜ,NS60,TK,45AH,IGYA SMF,EAS ACTIVA</t>
        </is>
      </c>
      <c r="C752" s="25" t="inlineStr">
        <is>
          <t>1</t>
        </is>
      </c>
      <c r="D752" s="25" t="inlineStr">
        <is>
          <t>ST-096-STD-03</t>
        </is>
      </c>
      <c r="E752" s="25" t="inlineStr">
        <is>
          <t>IA-ST-096-STD-03</t>
        </is>
      </c>
      <c r="F752" s="25" t="inlineStr">
        <is>
          <t>IA-ST-CFG-0272</t>
        </is>
      </c>
      <c r="G752" s="25" t="n">
        <v>35.3172</v>
      </c>
      <c r="H752" s="25" t="inlineStr">
        <is>
          <t>988-pack GENERATED</t>
        </is>
      </c>
    </row>
    <row r="753">
      <c r="A753" s="25" t="inlineStr">
        <is>
          <t>1012688</t>
        </is>
      </c>
      <c r="B753" s="25" t="inlineStr">
        <is>
          <t>AKÜ,LB4,DK,75AH,IGYA SMF,EAS EFB S&amp;S</t>
        </is>
      </c>
      <c r="C753" s="25" t="inlineStr">
        <is>
          <t>1</t>
        </is>
      </c>
      <c r="D753" s="25" t="inlineStr">
        <is>
          <t>ST-054-STD-06</t>
        </is>
      </c>
      <c r="E753" s="25" t="inlineStr">
        <is>
          <t>IA-ST-054-STD-06</t>
        </is>
      </c>
      <c r="F753" s="25" t="inlineStr">
        <is>
          <t>IA-ST-CFG-0142</t>
        </is>
      </c>
      <c r="G753" s="25" t="n">
        <v>29.7552</v>
      </c>
      <c r="H753" s="25" t="inlineStr">
        <is>
          <t>988-pack GENERATED</t>
        </is>
      </c>
    </row>
    <row r="754">
      <c r="A754" s="25" t="inlineStr">
        <is>
          <t>1012689</t>
        </is>
      </c>
      <c r="B754" s="25" t="inlineStr">
        <is>
          <t>AKÜ,LB2,DK,60AH,IGYA SMF,EAS EFB S&amp;S</t>
        </is>
      </c>
      <c r="C754" s="25" t="inlineStr">
        <is>
          <t>1</t>
        </is>
      </c>
      <c r="D754" s="25" t="inlineStr">
        <is>
          <t>ST-072-STD-13</t>
        </is>
      </c>
      <c r="E754" s="25" t="inlineStr">
        <is>
          <t>IA-ST-072-STD-13</t>
        </is>
      </c>
      <c r="F754" s="25" t="inlineStr">
        <is>
          <t>IA-ST-CFG-0222</t>
        </is>
      </c>
      <c r="G754" s="25" t="n">
        <v>30.6552</v>
      </c>
      <c r="H754" s="25" t="inlineStr">
        <is>
          <t>988-pack GENERATED</t>
        </is>
      </c>
    </row>
    <row r="755">
      <c r="A755" s="25" t="inlineStr">
        <is>
          <t>1012690</t>
        </is>
      </c>
      <c r="B755" s="25" t="inlineStr">
        <is>
          <t>AKÜ,L2,DK,60AH,IGYA SMF,ENERGY MAX</t>
        </is>
      </c>
      <c r="C755" s="25" t="inlineStr">
        <is>
          <t>1</t>
        </is>
      </c>
      <c r="D755" s="25" t="inlineStr">
        <is>
          <t>ST-072-STD-13</t>
        </is>
      </c>
      <c r="E755" s="25" t="inlineStr">
        <is>
          <t>IA-ST-072-STD-13</t>
        </is>
      </c>
      <c r="F755" s="25" t="inlineStr">
        <is>
          <t>IA-ST-CFG-0222</t>
        </is>
      </c>
      <c r="G755" s="25" t="n">
        <v>30.6552</v>
      </c>
      <c r="H755" s="25" t="inlineStr">
        <is>
          <t>988-pack GENERATED</t>
        </is>
      </c>
    </row>
    <row r="756">
      <c r="A756" s="25" t="inlineStr">
        <is>
          <t>1012692</t>
        </is>
      </c>
      <c r="B756" s="25" t="inlineStr">
        <is>
          <t>AKÜ,L4,DK,80AH,IGYA SMF,EAS EFB S&amp;S</t>
        </is>
      </c>
      <c r="C756" s="25" t="inlineStr">
        <is>
          <t>1</t>
        </is>
      </c>
      <c r="D756" s="25" t="inlineStr">
        <is>
          <t>ST-054-STD-06</t>
        </is>
      </c>
      <c r="E756" s="25" t="inlineStr">
        <is>
          <t>IA-ST-054-STD-06</t>
        </is>
      </c>
      <c r="F756" s="25" t="inlineStr">
        <is>
          <t>IA-ST-CFG-0142</t>
        </is>
      </c>
      <c r="G756" s="25" t="n">
        <v>29.7552</v>
      </c>
      <c r="H756" s="25" t="inlineStr">
        <is>
          <t>988-pack GENERATED</t>
        </is>
      </c>
    </row>
    <row r="757">
      <c r="A757" s="25" t="inlineStr">
        <is>
          <t>1012694</t>
        </is>
      </c>
      <c r="B757" s="25" t="inlineStr">
        <is>
          <t>AKÜ,LB1,DK,52AH,IGYSMF,İNCİMAXIMA,DIŞPYS</t>
        </is>
      </c>
      <c r="C757" s="25" t="inlineStr">
        <is>
          <t>1</t>
        </is>
      </c>
      <c r="D757" s="25" t="inlineStr">
        <is>
          <t>ST-087-STD-03</t>
        </is>
      </c>
      <c r="E757" s="25" t="inlineStr">
        <is>
          <t>IA-ST-087-STD-03</t>
        </is>
      </c>
      <c r="F757" s="25" t="inlineStr">
        <is>
          <t>IA-ST-CFG-0248</t>
        </is>
      </c>
      <c r="G757" s="25" t="n">
        <v>31.0092</v>
      </c>
      <c r="H757" s="25" t="inlineStr">
        <is>
          <t>988-pack GENERATED</t>
        </is>
      </c>
    </row>
    <row r="758">
      <c r="A758" s="25" t="inlineStr">
        <is>
          <t>1012695</t>
        </is>
      </c>
      <c r="B758" s="25" t="inlineStr">
        <is>
          <t>AKÜ,L3,DK,72AH,IGYA SMF,İNCİ EFB PANTERA</t>
        </is>
      </c>
      <c r="C758" s="25" t="inlineStr">
        <is>
          <t>1</t>
        </is>
      </c>
      <c r="D758" s="25" t="inlineStr">
        <is>
          <t>ST-063-STD-08</t>
        </is>
      </c>
      <c r="E758" s="25" t="inlineStr">
        <is>
          <t>IA-ST-063-STD-08</t>
        </is>
      </c>
      <c r="F758" s="25" t="inlineStr">
        <is>
          <t>IA-ST-CFG-0179</t>
        </is>
      </c>
      <c r="G758" s="25" t="n">
        <v>29.9992</v>
      </c>
      <c r="H758" s="25" t="inlineStr">
        <is>
          <t>988-pack GENERATED</t>
        </is>
      </c>
    </row>
    <row r="759">
      <c r="A759" s="25" t="inlineStr">
        <is>
          <t>1012697</t>
        </is>
      </c>
      <c r="B759" s="25" t="inlineStr">
        <is>
          <t>AKÜ,L1,DK,50AH,IGYASMF,İNCİ FORM,TRADING</t>
        </is>
      </c>
      <c r="C759" s="25" t="inlineStr">
        <is>
          <t>1</t>
        </is>
      </c>
      <c r="D759" s="25" t="inlineStr">
        <is>
          <t>ST-072-EUR-02</t>
        </is>
      </c>
      <c r="E759" s="25" t="inlineStr">
        <is>
          <t>IA-ST-072-EUR-02</t>
        </is>
      </c>
      <c r="F759" s="25" t="inlineStr">
        <is>
          <t>IA-ST-CFG-0205</t>
        </is>
      </c>
      <c r="G759" s="25" t="n">
        <v>30.2342</v>
      </c>
      <c r="H759" s="25" t="inlineStr">
        <is>
          <t>988-pack GENERATED</t>
        </is>
      </c>
    </row>
    <row r="760">
      <c r="A760" s="25" t="inlineStr">
        <is>
          <t>1012699</t>
        </is>
      </c>
      <c r="B760" s="25" t="inlineStr">
        <is>
          <t>AKÜ,LB2,DK,60AH,IGYSMF,İNCİ FORM,TRADING</t>
        </is>
      </c>
      <c r="C760" s="25" t="inlineStr">
        <is>
          <t>1</t>
        </is>
      </c>
      <c r="D760" s="25" t="inlineStr">
        <is>
          <t>ST-057-EUR-04</t>
        </is>
      </c>
      <c r="E760" s="25" t="inlineStr">
        <is>
          <t>IA-ST-057-EUR-04</t>
        </is>
      </c>
      <c r="F760" s="25" t="inlineStr">
        <is>
          <t>IA-ST-CFG-0163</t>
        </is>
      </c>
      <c r="G760" s="25" t="n">
        <v>29.8052</v>
      </c>
      <c r="H760" s="25" t="inlineStr">
        <is>
          <t>988-pack GENERATED</t>
        </is>
      </c>
    </row>
    <row r="761">
      <c r="A761" s="25" t="inlineStr">
        <is>
          <t>1012702</t>
        </is>
      </c>
      <c r="B761" s="25" t="inlineStr">
        <is>
          <t>AKÜ,D23,DK,62AH,IGYA SMF,İNCİ TAURUS</t>
        </is>
      </c>
      <c r="C761" s="25" t="inlineStr">
        <is>
          <t>1</t>
        </is>
      </c>
      <c r="D761" s="25" t="inlineStr">
        <is>
          <t>ST-072-STD-10</t>
        </is>
      </c>
      <c r="E761" s="25" t="inlineStr">
        <is>
          <t>IA-ST-072-STD-10</t>
        </is>
      </c>
      <c r="F761" s="25" t="inlineStr">
        <is>
          <t>IA-ST-CFG-0219</t>
        </is>
      </c>
      <c r="G761" s="25" t="n">
        <v>34.33224</v>
      </c>
      <c r="H761" s="25" t="inlineStr">
        <is>
          <t>988-pack GENERATED</t>
        </is>
      </c>
    </row>
    <row r="762">
      <c r="A762" s="25" t="inlineStr">
        <is>
          <t>1012703</t>
        </is>
      </c>
      <c r="B762" s="25" t="inlineStr">
        <is>
          <t>AKÜ,LB3,DK,70AH,IGYA SMF,FORD OES</t>
        </is>
      </c>
      <c r="C762" s="25" t="inlineStr">
        <is>
          <t>1</t>
        </is>
      </c>
      <c r="D762" s="25" t="inlineStr">
        <is>
          <t>ST-063-STD-07</t>
        </is>
      </c>
      <c r="E762" s="25" t="inlineStr">
        <is>
          <t>IA-ST-063-STD-07</t>
        </is>
      </c>
      <c r="F762" s="25" t="inlineStr">
        <is>
          <t>IA-ST-CFG-0178</t>
        </is>
      </c>
      <c r="G762" s="25" t="n">
        <v>29.8692</v>
      </c>
      <c r="H762" s="25" t="inlineStr">
        <is>
          <t>988-pack GENERATED</t>
        </is>
      </c>
    </row>
    <row r="763">
      <c r="A763" s="25" t="inlineStr">
        <is>
          <t>1012704</t>
        </is>
      </c>
      <c r="B763" s="25" t="inlineStr">
        <is>
          <t>AKÜ,LB1,DK,44AH,IGYA SMF,FORD OES</t>
        </is>
      </c>
      <c r="C763" s="25" t="inlineStr">
        <is>
          <t>1</t>
        </is>
      </c>
      <c r="D763" s="25" t="inlineStr">
        <is>
          <t>ST-087-STD-02</t>
        </is>
      </c>
      <c r="E763" s="25" t="inlineStr">
        <is>
          <t>IA-ST-087-STD-02</t>
        </is>
      </c>
      <c r="F763" s="25" t="inlineStr">
        <is>
          <t>IA-ST-CFG-0247</t>
        </is>
      </c>
      <c r="G763" s="25" t="n">
        <v>30.4892</v>
      </c>
      <c r="H763" s="25" t="inlineStr">
        <is>
          <t>988-pack GENERATED</t>
        </is>
      </c>
    </row>
    <row r="764">
      <c r="A764" s="25" t="inlineStr">
        <is>
          <t>1012705</t>
        </is>
      </c>
      <c r="B764" s="25" t="inlineStr">
        <is>
          <t>AKÜ,L1,DK,50AH,IGYA SMF,FORD OES</t>
        </is>
      </c>
      <c r="C764" s="25" t="inlineStr">
        <is>
          <t>1</t>
        </is>
      </c>
      <c r="D764" s="25" t="inlineStr">
        <is>
          <t>ST-087-STD-03</t>
        </is>
      </c>
      <c r="E764" s="25" t="inlineStr">
        <is>
          <t>IA-ST-087-STD-03</t>
        </is>
      </c>
      <c r="F764" s="25" t="inlineStr">
        <is>
          <t>IA-ST-CFG-0248</t>
        </is>
      </c>
      <c r="G764" s="25" t="n">
        <v>31.0092</v>
      </c>
      <c r="H764" s="25" t="inlineStr">
        <is>
          <t>988-pack GENERATED</t>
        </is>
      </c>
    </row>
    <row r="765">
      <c r="A765" s="25" t="inlineStr">
        <is>
          <t>1012706</t>
        </is>
      </c>
      <c r="B765" s="25" t="inlineStr">
        <is>
          <t>AKÜ,LB2,DK,60AH,IGYA SMF,FORD OES</t>
        </is>
      </c>
      <c r="C765" s="25" t="inlineStr">
        <is>
          <t>1</t>
        </is>
      </c>
      <c r="D765" s="25" t="inlineStr">
        <is>
          <t>ST-072-STD-13</t>
        </is>
      </c>
      <c r="E765" s="25" t="inlineStr">
        <is>
          <t>IA-ST-072-STD-13</t>
        </is>
      </c>
      <c r="F765" s="25" t="inlineStr">
        <is>
          <t>IA-ST-CFG-0222</t>
        </is>
      </c>
      <c r="G765" s="25" t="n">
        <v>30.6552</v>
      </c>
      <c r="H765" s="25" t="inlineStr">
        <is>
          <t>988-pack GENERATED</t>
        </is>
      </c>
    </row>
    <row r="766">
      <c r="A766" s="25" t="inlineStr">
        <is>
          <t>1012707</t>
        </is>
      </c>
      <c r="B766" s="25" t="inlineStr">
        <is>
          <t>AKÜ,LB3,DK,72AH,IGYA SMF,FORD OES</t>
        </is>
      </c>
      <c r="C766" s="25" t="inlineStr">
        <is>
          <t>1</t>
        </is>
      </c>
      <c r="D766" s="25" t="inlineStr">
        <is>
          <t>ST-063-STD-07</t>
        </is>
      </c>
      <c r="E766" s="25" t="inlineStr">
        <is>
          <t>IA-ST-063-STD-07</t>
        </is>
      </c>
      <c r="F766" s="25" t="inlineStr">
        <is>
          <t>IA-ST-CFG-0178</t>
        </is>
      </c>
      <c r="G766" s="25" t="n">
        <v>29.8692</v>
      </c>
      <c r="H766" s="25" t="inlineStr">
        <is>
          <t>988-pack GENERATED</t>
        </is>
      </c>
    </row>
    <row r="767">
      <c r="A767" s="25" t="inlineStr">
        <is>
          <t>1012709</t>
        </is>
      </c>
      <c r="B767" s="25" t="inlineStr">
        <is>
          <t>AKÜ,LB4,DK,82AH,IGYA SMF,FORD OES</t>
        </is>
      </c>
      <c r="C767" s="25" t="inlineStr">
        <is>
          <t>1</t>
        </is>
      </c>
      <c r="D767" s="25" t="inlineStr">
        <is>
          <t>ST-054-STD-06</t>
        </is>
      </c>
      <c r="E767" s="25" t="inlineStr">
        <is>
          <t>IA-ST-054-STD-06</t>
        </is>
      </c>
      <c r="F767" s="25" t="inlineStr">
        <is>
          <t>IA-ST-CFG-0142</t>
        </is>
      </c>
      <c r="G767" s="25" t="n">
        <v>29.7552</v>
      </c>
      <c r="H767" s="25" t="inlineStr">
        <is>
          <t>988-pack GENERATED</t>
        </is>
      </c>
    </row>
    <row r="768">
      <c r="A768" s="25" t="inlineStr">
        <is>
          <t>1012710</t>
        </is>
      </c>
      <c r="B768" s="25" t="inlineStr">
        <is>
          <t>AKÜ,LB3,DK,65AH,IGYASMF,EFB S&amp;S,FORD OES</t>
        </is>
      </c>
      <c r="C768" s="25" t="inlineStr">
        <is>
          <t>1</t>
        </is>
      </c>
      <c r="D768" s="25" t="inlineStr">
        <is>
          <t>ST-063-STD-07</t>
        </is>
      </c>
      <c r="E768" s="25" t="inlineStr">
        <is>
          <t>IA-ST-063-STD-07</t>
        </is>
      </c>
      <c r="F768" s="25" t="inlineStr">
        <is>
          <t>IA-ST-CFG-0178</t>
        </is>
      </c>
      <c r="G768" s="25" t="n">
        <v>29.8692</v>
      </c>
      <c r="H768" s="25" t="inlineStr">
        <is>
          <t>988-pack GENERATED</t>
        </is>
      </c>
    </row>
    <row r="769">
      <c r="A769" s="25" t="inlineStr">
        <is>
          <t>1012712</t>
        </is>
      </c>
      <c r="B769" s="25" t="inlineStr">
        <is>
          <t>AKÜ,L3,DK,70AH,IGYA SMF,EFB S&amp;S,FORD OES</t>
        </is>
      </c>
      <c r="C769" s="25" t="inlineStr">
        <is>
          <t>1</t>
        </is>
      </c>
      <c r="D769" s="25" t="inlineStr">
        <is>
          <t>ST-063-STD-08</t>
        </is>
      </c>
      <c r="E769" s="25" t="inlineStr">
        <is>
          <t>IA-ST-063-STD-08</t>
        </is>
      </c>
      <c r="F769" s="25" t="inlineStr">
        <is>
          <t>IA-ST-CFG-0179</t>
        </is>
      </c>
      <c r="G769" s="25" t="n">
        <v>29.9992</v>
      </c>
      <c r="H769" s="25" t="inlineStr">
        <is>
          <t>988-pack GENERATED</t>
        </is>
      </c>
    </row>
    <row r="770">
      <c r="A770" s="29" t="inlineStr">
        <is>
          <t>1012713</t>
        </is>
      </c>
      <c r="B770" s="29" t="inlineStr">
        <is>
          <t>AKÜ,L5,DK,100AH,IGYASMF,İNCİ SUPRA,TAFE</t>
        </is>
      </c>
      <c r="C770" s="29" t="inlineStr">
        <is>
          <t>1</t>
        </is>
      </c>
      <c r="H770" s="29" t="inlineStr">
        <is>
          <t>NO MAPPING</t>
        </is>
      </c>
    </row>
    <row r="771">
      <c r="A771" s="29" t="inlineStr">
        <is>
          <t>1012714</t>
        </is>
      </c>
      <c r="B771" s="29" t="inlineStr">
        <is>
          <t>AKÜ,L5,DK,102AH,IGYSMF,TPOWERPARTSTEKSAN</t>
        </is>
      </c>
      <c r="C771" s="29" t="inlineStr">
        <is>
          <t>1</t>
        </is>
      </c>
      <c r="H771" s="29" t="inlineStr">
        <is>
          <t>NO MAPPING</t>
        </is>
      </c>
    </row>
    <row r="772">
      <c r="A772" s="29" t="inlineStr">
        <is>
          <t>1012715</t>
        </is>
      </c>
      <c r="B772" s="29" t="inlineStr">
        <is>
          <t>AKÜ,NS60,DK47AH,IGYSMF,TPOWERPARTSTEKSAN</t>
        </is>
      </c>
      <c r="C772" s="29" t="inlineStr">
        <is>
          <t>1</t>
        </is>
      </c>
      <c r="H772" s="29" t="inlineStr">
        <is>
          <t>NO MAPPING</t>
        </is>
      </c>
    </row>
    <row r="773">
      <c r="A773" s="29" t="inlineStr">
        <is>
          <t>1012716</t>
        </is>
      </c>
      <c r="B773" s="29" t="inlineStr">
        <is>
          <t>AKÜ,LB3,DK,75AH,IGYSMF,TPOWERPARTSTEKSAN</t>
        </is>
      </c>
      <c r="C773" s="29" t="inlineStr">
        <is>
          <t>1</t>
        </is>
      </c>
      <c r="H773" s="29" t="inlineStr">
        <is>
          <t>NO MAPPING</t>
        </is>
      </c>
    </row>
    <row r="774">
      <c r="A774" s="25" t="inlineStr">
        <is>
          <t>1012738</t>
        </is>
      </c>
      <c r="B774" s="25" t="inlineStr">
        <is>
          <t>AKÜ,L3,DK,72AH,IGYSMF,HUGELULTRA,POLONYA</t>
        </is>
      </c>
      <c r="C774" s="25" t="inlineStr">
        <is>
          <t>1</t>
        </is>
      </c>
      <c r="D774" s="25" t="inlineStr">
        <is>
          <t>ST-051-EUR-04</t>
        </is>
      </c>
      <c r="E774" s="25" t="inlineStr">
        <is>
          <t>IA-ST-051-EUR-04</t>
        </is>
      </c>
      <c r="F774" s="25" t="inlineStr">
        <is>
          <t>IA-ST-CFG-0135</t>
        </is>
      </c>
      <c r="G774" s="25" t="n">
        <v>27.6392</v>
      </c>
      <c r="H774" s="25" t="inlineStr">
        <is>
          <t>988-pack GENERATED</t>
        </is>
      </c>
    </row>
    <row r="775">
      <c r="A775" s="25" t="inlineStr">
        <is>
          <t>1012739</t>
        </is>
      </c>
      <c r="B775" s="25" t="inlineStr">
        <is>
          <t>AKÜ,LB3,DK72AH,IGYSMF,HUGELULTRA,POLONYA</t>
        </is>
      </c>
      <c r="C775" s="25" t="inlineStr">
        <is>
          <t>1</t>
        </is>
      </c>
      <c r="D775" s="25" t="inlineStr">
        <is>
          <t>ST-051-EUR-04</t>
        </is>
      </c>
      <c r="E775" s="25" t="inlineStr">
        <is>
          <t>IA-ST-051-EUR-04</t>
        </is>
      </c>
      <c r="F775" s="25" t="inlineStr">
        <is>
          <t>IA-ST-CFG-0135</t>
        </is>
      </c>
      <c r="G775" s="25" t="n">
        <v>27.6392</v>
      </c>
      <c r="H775" s="25" t="inlineStr">
        <is>
          <t>988-pack GENERATED</t>
        </is>
      </c>
    </row>
    <row r="776">
      <c r="A776" s="25" t="inlineStr">
        <is>
          <t>1012740</t>
        </is>
      </c>
      <c r="B776" s="25" t="inlineStr">
        <is>
          <t>AKÜ,LB4,DK80AH,IGYSMF,HUGELULTRA,POLONYA</t>
        </is>
      </c>
      <c r="C776" s="25" t="inlineStr">
        <is>
          <t>1</t>
        </is>
      </c>
      <c r="D776" s="25" t="inlineStr">
        <is>
          <t>ST-042-EUR-04</t>
        </is>
      </c>
      <c r="E776" s="25" t="inlineStr">
        <is>
          <t>IA-ST-042-EUR-04</t>
        </is>
      </c>
      <c r="F776" s="25" t="inlineStr">
        <is>
          <t>IA-ST-CFG-0087</t>
        </is>
      </c>
      <c r="G776" s="25" t="n">
        <v>27.6392</v>
      </c>
      <c r="H776" s="25" t="inlineStr">
        <is>
          <t>988-pack GENERATED</t>
        </is>
      </c>
    </row>
    <row r="777">
      <c r="A777" s="25" t="inlineStr">
        <is>
          <t>1012741</t>
        </is>
      </c>
      <c r="B777" s="25" t="inlineStr">
        <is>
          <t>AKÜ,LB1,DK44AH,IGYSMF,HUGELULTRA,POLONYA</t>
        </is>
      </c>
      <c r="C777" s="25" t="inlineStr">
        <is>
          <t>1</t>
        </is>
      </c>
      <c r="D777" s="25" t="inlineStr">
        <is>
          <t>ST-072-EUR-03</t>
        </is>
      </c>
      <c r="E777" s="25" t="inlineStr">
        <is>
          <t>IA-ST-072-EUR-03</t>
        </is>
      </c>
      <c r="F777" s="25" t="inlineStr">
        <is>
          <t>IA-ST-CFG-0206</t>
        </is>
      </c>
      <c r="G777" s="25" t="n">
        <v>27.8592</v>
      </c>
      <c r="H777" s="25" t="inlineStr">
        <is>
          <t>988-pack GENERATED</t>
        </is>
      </c>
    </row>
    <row r="778">
      <c r="A778" s="25" t="inlineStr">
        <is>
          <t>1012742</t>
        </is>
      </c>
      <c r="B778" s="25" t="inlineStr">
        <is>
          <t>AKÜ,L1,DK,50AH,IGYSMF,HUGELULTRA,POLONYA</t>
        </is>
      </c>
      <c r="C778" s="25" t="inlineStr">
        <is>
          <t>1</t>
        </is>
      </c>
      <c r="D778" s="25" t="inlineStr">
        <is>
          <t>ST-072-EUR-03</t>
        </is>
      </c>
      <c r="E778" s="25" t="inlineStr">
        <is>
          <t>IA-ST-072-EUR-03</t>
        </is>
      </c>
      <c r="F778" s="25" t="inlineStr">
        <is>
          <t>IA-ST-CFG-0206</t>
        </is>
      </c>
      <c r="G778" s="25" t="n">
        <v>27.8592</v>
      </c>
      <c r="H778" s="25" t="inlineStr">
        <is>
          <t>988-pack GENERATED</t>
        </is>
      </c>
    </row>
    <row r="779">
      <c r="A779" s="25" t="inlineStr">
        <is>
          <t>1012743</t>
        </is>
      </c>
      <c r="B779" s="25" t="inlineStr">
        <is>
          <t>AKÜ,L2,DK,60AH,IGYSMF,HUGELULTRA,POLONYA</t>
        </is>
      </c>
      <c r="C779" s="25" t="inlineStr">
        <is>
          <t>1</t>
        </is>
      </c>
      <c r="D779" s="25" t="inlineStr">
        <is>
          <t>ST-057-EUR-05</t>
        </is>
      </c>
      <c r="E779" s="25" t="inlineStr">
        <is>
          <t>IA-ST-057-EUR-05</t>
        </is>
      </c>
      <c r="F779" s="25" t="inlineStr">
        <is>
          <t>IA-ST-CFG-0164</t>
        </is>
      </c>
      <c r="G779" s="25" t="n">
        <v>27.6392</v>
      </c>
      <c r="H779" s="25" t="inlineStr">
        <is>
          <t>988-pack GENERATED</t>
        </is>
      </c>
    </row>
    <row r="780">
      <c r="A780" s="25" t="inlineStr">
        <is>
          <t>1012744</t>
        </is>
      </c>
      <c r="B780" s="25" t="inlineStr">
        <is>
          <t>AKÜ,LB2,DK60AH,IGYSMF,HUGELULTRA,POLONYA</t>
        </is>
      </c>
      <c r="C780" s="25" t="inlineStr">
        <is>
          <t>1</t>
        </is>
      </c>
      <c r="D780" s="25" t="inlineStr">
        <is>
          <t>ST-057-EUR-05</t>
        </is>
      </c>
      <c r="E780" s="25" t="inlineStr">
        <is>
          <t>IA-ST-057-EUR-05</t>
        </is>
      </c>
      <c r="F780" s="25" t="inlineStr">
        <is>
          <t>IA-ST-CFG-0164</t>
        </is>
      </c>
      <c r="G780" s="25" t="n">
        <v>27.6392</v>
      </c>
      <c r="H780" s="25" t="inlineStr">
        <is>
          <t>988-pack GENERATED</t>
        </is>
      </c>
    </row>
    <row r="781">
      <c r="A781" s="25" t="inlineStr">
        <is>
          <t>1012765</t>
        </is>
      </c>
      <c r="B781" s="25" t="inlineStr">
        <is>
          <t>AKÜ,L3,DK,72AH,IGYA SMF,BLIZZARO EFB S&amp;S</t>
        </is>
      </c>
      <c r="C781" s="25" t="inlineStr">
        <is>
          <t>1</t>
        </is>
      </c>
      <c r="D781" s="25" t="inlineStr">
        <is>
          <t>ST-063-STD-08</t>
        </is>
      </c>
      <c r="E781" s="25" t="inlineStr">
        <is>
          <t>IA-ST-063-STD-08</t>
        </is>
      </c>
      <c r="F781" s="25" t="inlineStr">
        <is>
          <t>IA-ST-CFG-0179</t>
        </is>
      </c>
      <c r="G781" s="25" t="n">
        <v>29.9992</v>
      </c>
      <c r="H781" s="25" t="inlineStr">
        <is>
          <t>988-pack GENERATED</t>
        </is>
      </c>
    </row>
    <row r="782">
      <c r="A782" s="25" t="inlineStr">
        <is>
          <t>1012768</t>
        </is>
      </c>
      <c r="B782" s="25" t="inlineStr">
        <is>
          <t>AKÜ,D31,TK,70AH,IGYA SMF,HUGEL ULTRA</t>
        </is>
      </c>
      <c r="C782" s="25" t="inlineStr">
        <is>
          <t>1</t>
        </is>
      </c>
      <c r="D782" s="25" t="inlineStr">
        <is>
          <t>ST-054-STD-07</t>
        </is>
      </c>
      <c r="E782" s="25" t="inlineStr">
        <is>
          <t>IA-ST-054-STD-07</t>
        </is>
      </c>
      <c r="F782" s="25" t="inlineStr">
        <is>
          <t>IA-ST-CFG-0143</t>
        </is>
      </c>
      <c r="G782" s="25" t="n">
        <v>33.7838</v>
      </c>
      <c r="H782" s="25" t="inlineStr">
        <is>
          <t>988-pack GENERATED</t>
        </is>
      </c>
    </row>
    <row r="783">
      <c r="A783" s="25" t="inlineStr">
        <is>
          <t>1012769</t>
        </is>
      </c>
      <c r="B783" s="25" t="inlineStr">
        <is>
          <t>AKÜ,L5,DK,88AH,IGYSMF,İNCİTAURUS,SHAWKAT</t>
        </is>
      </c>
      <c r="C783" s="25" t="inlineStr">
        <is>
          <t>1</t>
        </is>
      </c>
      <c r="D783" s="25" t="inlineStr">
        <is>
          <t>ST-045-STD-08</t>
        </is>
      </c>
      <c r="E783" s="25" t="inlineStr">
        <is>
          <t>IA-ST-045-STD-08</t>
        </is>
      </c>
      <c r="F783" s="25" t="inlineStr">
        <is>
          <t>IA-ST-CFG-0096</t>
        </is>
      </c>
      <c r="G783" s="25" t="n">
        <v>29.7192</v>
      </c>
      <c r="H783" s="25" t="inlineStr">
        <is>
          <t>988-pack GENERATED</t>
        </is>
      </c>
    </row>
    <row r="784">
      <c r="A784" s="25" t="inlineStr">
        <is>
          <t>1012770</t>
        </is>
      </c>
      <c r="B784" s="25" t="inlineStr">
        <is>
          <t>AKÜ,LB1,DK,44AH,IGYA SMF,EAS ACTIVA,EURO</t>
        </is>
      </c>
      <c r="C784" s="25" t="inlineStr">
        <is>
          <t>1</t>
        </is>
      </c>
      <c r="D784" s="25" t="inlineStr">
        <is>
          <t>ST-096-EUR-01</t>
        </is>
      </c>
      <c r="E784" s="25" t="inlineStr">
        <is>
          <t>IA-ST-096-EUR-01</t>
        </is>
      </c>
      <c r="F784" s="25" t="inlineStr">
        <is>
          <t>IA-ST-CFG-0264</t>
        </is>
      </c>
      <c r="G784" s="25" t="n">
        <v>30.6532</v>
      </c>
      <c r="H784" s="25" t="inlineStr">
        <is>
          <t>988-pack GENERATED</t>
        </is>
      </c>
    </row>
    <row r="785">
      <c r="A785" s="25" t="inlineStr">
        <is>
          <t>1012772</t>
        </is>
      </c>
      <c r="B785" s="25" t="inlineStr">
        <is>
          <t>AKÜ,L2,TK,60AH,IGYA SMF,İNCİ FORM TAURUS</t>
        </is>
      </c>
      <c r="C785" s="25" t="inlineStr">
        <is>
          <t>1</t>
        </is>
      </c>
      <c r="D785" s="25" t="inlineStr">
        <is>
          <t>ST-072-STD-13</t>
        </is>
      </c>
      <c r="E785" s="25" t="inlineStr">
        <is>
          <t>IA-ST-072-STD-13</t>
        </is>
      </c>
      <c r="F785" s="25" t="inlineStr">
        <is>
          <t>IA-ST-CFG-0222</t>
        </is>
      </c>
      <c r="G785" s="25" t="n">
        <v>30.6552</v>
      </c>
      <c r="H785" s="25" t="inlineStr">
        <is>
          <t>988-pack GENERATED</t>
        </is>
      </c>
    </row>
    <row r="786">
      <c r="A786" s="25" t="inlineStr">
        <is>
          <t>1012773</t>
        </is>
      </c>
      <c r="B786" s="25" t="inlineStr">
        <is>
          <t>AKÜ,L5,DK,92AH,İNCİ AGM LEO,EEC MISIR</t>
        </is>
      </c>
      <c r="C786" s="25" t="inlineStr">
        <is>
          <t>1</t>
        </is>
      </c>
      <c r="D786" s="25" t="inlineStr">
        <is>
          <t>ST-045-STD-08</t>
        </is>
      </c>
      <c r="E786" s="25" t="inlineStr">
        <is>
          <t>IA-ST-045-STD-08</t>
        </is>
      </c>
      <c r="F786" s="25" t="inlineStr">
        <is>
          <t>IA-ST-CFG-0096</t>
        </is>
      </c>
      <c r="G786" s="25" t="n">
        <v>29.7192</v>
      </c>
      <c r="H786" s="25" t="inlineStr">
        <is>
          <t>988-pack GENERATED</t>
        </is>
      </c>
    </row>
    <row r="787">
      <c r="A787" s="25" t="inlineStr">
        <is>
          <t>1012786</t>
        </is>
      </c>
      <c r="B787" s="25" t="inlineStr">
        <is>
          <t>AKÜ,L6,DK,110AH,KAMINA,İNCİ SUPRA SENTOR</t>
        </is>
      </c>
      <c r="C787" s="25" t="inlineStr">
        <is>
          <t>1</t>
        </is>
      </c>
      <c r="D787" s="25" t="inlineStr">
        <is>
          <t>ST-042-STD-05</t>
        </is>
      </c>
      <c r="E787" s="25" t="inlineStr">
        <is>
          <t>IA-ST-042-STD-05</t>
        </is>
      </c>
      <c r="F787" s="25" t="inlineStr">
        <is>
          <t>IA-ST-CFG-0080</t>
        </is>
      </c>
      <c r="G787" s="25" t="n">
        <v>29.5992</v>
      </c>
      <c r="H787" s="25" t="inlineStr">
        <is>
          <t>988-pack GENERATED</t>
        </is>
      </c>
    </row>
    <row r="788">
      <c r="A788" s="25" t="inlineStr">
        <is>
          <t>1012787</t>
        </is>
      </c>
      <c r="B788" s="25" t="inlineStr">
        <is>
          <t>AKÜ,D31,TK,90AH,IGYSMF,İNCİTAURUS,HATTAT</t>
        </is>
      </c>
      <c r="C788" s="25" t="inlineStr">
        <is>
          <t>1</t>
        </is>
      </c>
      <c r="D788" s="25" t="inlineStr">
        <is>
          <t>ST-054-STD-07</t>
        </is>
      </c>
      <c r="E788" s="25" t="inlineStr">
        <is>
          <t>IA-ST-054-STD-07</t>
        </is>
      </c>
      <c r="F788" s="25" t="inlineStr">
        <is>
          <t>IA-ST-CFG-0143</t>
        </is>
      </c>
      <c r="G788" s="25" t="n">
        <v>33.7838</v>
      </c>
      <c r="H788" s="25" t="inlineStr">
        <is>
          <t>988-pack GENERATED</t>
        </is>
      </c>
    </row>
    <row r="789">
      <c r="A789" s="25" t="inlineStr">
        <is>
          <t>1012788</t>
        </is>
      </c>
      <c r="B789" s="25" t="inlineStr">
        <is>
          <t>AKÜ,L5,DK105AH,IGYA,B13,İNCİTAURS,HATTAT</t>
        </is>
      </c>
      <c r="C789" s="25" t="inlineStr">
        <is>
          <t>1</t>
        </is>
      </c>
      <c r="D789" s="25" t="inlineStr">
        <is>
          <t>ST-045-STD-08</t>
        </is>
      </c>
      <c r="E789" s="25" t="inlineStr">
        <is>
          <t>IA-ST-045-STD-08</t>
        </is>
      </c>
      <c r="F789" s="25" t="inlineStr">
        <is>
          <t>IA-ST-CFG-0096</t>
        </is>
      </c>
      <c r="G789" s="25" t="n">
        <v>29.7192</v>
      </c>
      <c r="H789" s="25" t="inlineStr">
        <is>
          <t>988-pack GENERATED</t>
        </is>
      </c>
    </row>
    <row r="790">
      <c r="A790" s="25" t="inlineStr">
        <is>
          <t>1012789</t>
        </is>
      </c>
      <c r="B790" s="25" t="inlineStr">
        <is>
          <t>AKÜ,NS60,DK45AH,IGYSMF,HUGELULTR,TRADING</t>
        </is>
      </c>
      <c r="C790" s="25" t="inlineStr">
        <is>
          <t>1</t>
        </is>
      </c>
      <c r="D790" s="25" t="inlineStr">
        <is>
          <t>ST-072-EUR-05</t>
        </is>
      </c>
      <c r="E790" s="25" t="inlineStr">
        <is>
          <t>IA-ST-072-EUR-05</t>
        </is>
      </c>
      <c r="F790" s="25" t="inlineStr">
        <is>
          <t>IA-ST-CFG-0235</t>
        </is>
      </c>
      <c r="G790" s="25" t="n">
        <v>33.2594</v>
      </c>
      <c r="H790" s="25" t="inlineStr">
        <is>
          <t>988-pack GENERATED</t>
        </is>
      </c>
    </row>
    <row r="791">
      <c r="A791" s="25" t="inlineStr">
        <is>
          <t>1012790</t>
        </is>
      </c>
      <c r="B791" s="25" t="inlineStr">
        <is>
          <t>AKÜ,D31,DK100AH,IGYSMF,HUGELULTR,TRADING</t>
        </is>
      </c>
      <c r="C791" s="25" t="inlineStr">
        <is>
          <t>1</t>
        </is>
      </c>
      <c r="D791" s="25" t="inlineStr">
        <is>
          <t>ST-048-EUR-09</t>
        </is>
      </c>
      <c r="E791" s="25" t="inlineStr">
        <is>
          <t>IA-ST-048-EUR-09</t>
        </is>
      </c>
      <c r="F791" s="25" t="inlineStr">
        <is>
          <t>IA-ST-CFG-0115</t>
        </is>
      </c>
      <c r="G791" s="25" t="n">
        <v>32.8524</v>
      </c>
      <c r="H791" s="25" t="inlineStr">
        <is>
          <t>988-pack GENERATED</t>
        </is>
      </c>
    </row>
    <row r="792">
      <c r="A792" s="25" t="inlineStr">
        <is>
          <t>1012791</t>
        </is>
      </c>
      <c r="B792" s="25" t="inlineStr">
        <is>
          <t>AKÜ,D31,TK100AH,IGYSMF,HUGELULTR,TRADING</t>
        </is>
      </c>
      <c r="C792" s="25" t="inlineStr">
        <is>
          <t>1</t>
        </is>
      </c>
      <c r="D792" s="25" t="inlineStr">
        <is>
          <t>ST-048-EUR-09</t>
        </is>
      </c>
      <c r="E792" s="25" t="inlineStr">
        <is>
          <t>IA-ST-048-EUR-09</t>
        </is>
      </c>
      <c r="F792" s="25" t="inlineStr">
        <is>
          <t>IA-ST-CFG-0115</t>
        </is>
      </c>
      <c r="G792" s="25" t="n">
        <v>32.8524</v>
      </c>
      <c r="H792" s="25" t="inlineStr">
        <is>
          <t>988-pack GENERATED</t>
        </is>
      </c>
    </row>
    <row r="793">
      <c r="A793" s="25" t="inlineStr">
        <is>
          <t>1012792</t>
        </is>
      </c>
      <c r="B793" s="25" t="inlineStr">
        <is>
          <t>AKÜ,NS40,DK,42AH,IGYA SMF,HUGEL ULTRA</t>
        </is>
      </c>
      <c r="C793" s="25" t="inlineStr">
        <is>
          <t>1</t>
        </is>
      </c>
      <c r="D793" s="25" t="inlineStr">
        <is>
          <t>ST-120-STD-01</t>
        </is>
      </c>
      <c r="E793" s="25" t="inlineStr">
        <is>
          <t>IA-ST-120-STD-01</t>
        </is>
      </c>
      <c r="F793" s="25" t="inlineStr">
        <is>
          <t>IA-ST-CFG-0284</t>
        </is>
      </c>
      <c r="G793" s="25" t="n">
        <v>35.3676</v>
      </c>
      <c r="H793" s="25" t="inlineStr">
        <is>
          <t>988-pack GENERATED</t>
        </is>
      </c>
    </row>
    <row r="794">
      <c r="A794" s="25" t="inlineStr">
        <is>
          <t>1012810</t>
        </is>
      </c>
      <c r="B794" s="25" t="inlineStr">
        <is>
          <t>AKÜ,L2,DK,65AH,IGYASMF,İNCİ EFBMAXTIGRIS</t>
        </is>
      </c>
      <c r="C794" s="25" t="inlineStr">
        <is>
          <t>1</t>
        </is>
      </c>
      <c r="D794" s="25" t="inlineStr">
        <is>
          <t>ST-072-STD-13</t>
        </is>
      </c>
      <c r="E794" s="25" t="inlineStr">
        <is>
          <t>IA-ST-072-STD-13</t>
        </is>
      </c>
      <c r="F794" s="25" t="inlineStr">
        <is>
          <t>IA-ST-CFG-0222</t>
        </is>
      </c>
      <c r="G794" s="25" t="n">
        <v>30.6552</v>
      </c>
      <c r="H794" s="25" t="inlineStr">
        <is>
          <t>988-pack GENERATED</t>
        </is>
      </c>
    </row>
    <row r="795">
      <c r="A795" s="25" t="inlineStr">
        <is>
          <t>1012811</t>
        </is>
      </c>
      <c r="B795" s="25" t="inlineStr">
        <is>
          <t>AKÜ,L3,DK,75AH,IGYASMF,İNCİ EFBMAXTIGRIS</t>
        </is>
      </c>
      <c r="C795" s="25" t="inlineStr">
        <is>
          <t>1</t>
        </is>
      </c>
      <c r="D795" s="25" t="inlineStr">
        <is>
          <t>ST-063-STD-08</t>
        </is>
      </c>
      <c r="E795" s="25" t="inlineStr">
        <is>
          <t>IA-ST-063-STD-08</t>
        </is>
      </c>
      <c r="F795" s="25" t="inlineStr">
        <is>
          <t>IA-ST-CFG-0179</t>
        </is>
      </c>
      <c r="G795" s="25" t="n">
        <v>29.9992</v>
      </c>
      <c r="H795" s="25" t="inlineStr">
        <is>
          <t>988-pack GENERATED</t>
        </is>
      </c>
    </row>
    <row r="796">
      <c r="A796" s="29" t="inlineStr">
        <is>
          <t>1012820</t>
        </is>
      </c>
      <c r="B796" s="29" t="inlineStr">
        <is>
          <t>AKÜ,L2,DK,60AH,IGYA SMF,FIAT YP,OES</t>
        </is>
      </c>
      <c r="C796" s="29" t="inlineStr">
        <is>
          <t>1</t>
        </is>
      </c>
      <c r="H796" s="29" t="inlineStr">
        <is>
          <t>NO MAPPING</t>
        </is>
      </c>
    </row>
    <row r="797">
      <c r="A797" s="29" t="inlineStr">
        <is>
          <t>1012821</t>
        </is>
      </c>
      <c r="B797" s="29" t="inlineStr">
        <is>
          <t>AKÜ,D31,DK,90AH,IGYSMF,İNCİTAURS,AIOSOEM</t>
        </is>
      </c>
      <c r="C797" s="29" t="inlineStr">
        <is>
          <t>1</t>
        </is>
      </c>
      <c r="H797" s="29" t="inlineStr">
        <is>
          <t>NO MAPPING</t>
        </is>
      </c>
    </row>
    <row r="798">
      <c r="A798" s="25" t="inlineStr">
        <is>
          <t>1012822</t>
        </is>
      </c>
      <c r="B798" s="25" t="inlineStr">
        <is>
          <t>AKÜ,D31,DK,90AH,IGYA SMF,ISUZU OES</t>
        </is>
      </c>
      <c r="C798" s="25" t="inlineStr">
        <is>
          <t>1</t>
        </is>
      </c>
      <c r="D798" s="25" t="inlineStr">
        <is>
          <t>ST-054-STD-07</t>
        </is>
      </c>
      <c r="E798" s="25" t="inlineStr">
        <is>
          <t>IA-ST-054-STD-07</t>
        </is>
      </c>
      <c r="F798" s="25" t="inlineStr">
        <is>
          <t>IA-ST-CFG-0143</t>
        </is>
      </c>
      <c r="G798" s="25" t="n">
        <v>33.7838</v>
      </c>
      <c r="H798" s="25" t="inlineStr">
        <is>
          <t>988-pack GENERATED</t>
        </is>
      </c>
    </row>
    <row r="799">
      <c r="A799" s="29" t="inlineStr">
        <is>
          <t>1012823</t>
        </is>
      </c>
      <c r="B799" s="29" t="inlineStr">
        <is>
          <t>AKÜ,D31,TK,90AH,IGYA SMF,MAKO YP,OES</t>
        </is>
      </c>
      <c r="C799" s="29" t="inlineStr">
        <is>
          <t>1</t>
        </is>
      </c>
      <c r="H799" s="29" t="inlineStr">
        <is>
          <t>NO MAPPING</t>
        </is>
      </c>
    </row>
    <row r="800">
      <c r="A800" s="29" t="inlineStr">
        <is>
          <t>1012824</t>
        </is>
      </c>
      <c r="B800" s="29" t="inlineStr">
        <is>
          <t>AKÜ,L5,DK,102AH,IGYA SMF,MAKO YP,OES</t>
        </is>
      </c>
      <c r="C800" s="29" t="inlineStr">
        <is>
          <t>1</t>
        </is>
      </c>
      <c r="H800" s="29" t="inlineStr">
        <is>
          <t>NO MAPPING</t>
        </is>
      </c>
    </row>
    <row r="801">
      <c r="A801" s="29" t="inlineStr">
        <is>
          <t>1012825</t>
        </is>
      </c>
      <c r="B801" s="29" t="inlineStr">
        <is>
          <t>AKÜ,L2,DK,60AH,IGYA SMF,MAKO YP,OES</t>
        </is>
      </c>
      <c r="C801" s="29" t="inlineStr">
        <is>
          <t>1</t>
        </is>
      </c>
      <c r="H801" s="29" t="inlineStr">
        <is>
          <t>NO MAPPING</t>
        </is>
      </c>
    </row>
    <row r="802">
      <c r="A802" s="29" t="inlineStr">
        <is>
          <t>1012827</t>
        </is>
      </c>
      <c r="B802" s="29" t="inlineStr">
        <is>
          <t>AKÜ,L3,DK,72AH,IGYA SMF,FIAT YP,OES</t>
        </is>
      </c>
      <c r="C802" s="29" t="inlineStr">
        <is>
          <t>1</t>
        </is>
      </c>
      <c r="H802" s="29" t="inlineStr">
        <is>
          <t>NO MAPPING</t>
        </is>
      </c>
    </row>
    <row r="803">
      <c r="A803" s="29" t="inlineStr">
        <is>
          <t>1012828</t>
        </is>
      </c>
      <c r="B803" s="29" t="inlineStr">
        <is>
          <t>AKÜ,L3,DK,72AH,IGYA SMF,MAKO YP,OES</t>
        </is>
      </c>
      <c r="C803" s="29" t="inlineStr">
        <is>
          <t>1</t>
        </is>
      </c>
      <c r="H803" s="29" t="inlineStr">
        <is>
          <t>NO MAPPING</t>
        </is>
      </c>
    </row>
    <row r="804">
      <c r="A804" s="29" t="inlineStr">
        <is>
          <t>1012829</t>
        </is>
      </c>
      <c r="B804" s="29" t="inlineStr">
        <is>
          <t>AKÜ,L3,DK,72AH,IGYA SMF,FIAT YP,OES</t>
        </is>
      </c>
      <c r="C804" s="29" t="inlineStr">
        <is>
          <t>1</t>
        </is>
      </c>
      <c r="H804" s="29" t="inlineStr">
        <is>
          <t>NO MAPPING</t>
        </is>
      </c>
    </row>
    <row r="805">
      <c r="A805" s="29" t="inlineStr">
        <is>
          <t>1012830</t>
        </is>
      </c>
      <c r="B805" s="29" t="inlineStr">
        <is>
          <t>AKÜ,L3,DK,72AH,B01,IGYA SMF,MAKO YP,OES</t>
        </is>
      </c>
      <c r="C805" s="29" t="inlineStr">
        <is>
          <t>1</t>
        </is>
      </c>
      <c r="H805" s="29" t="inlineStr">
        <is>
          <t>NO MAPPING</t>
        </is>
      </c>
    </row>
    <row r="806">
      <c r="A806" s="29" t="inlineStr">
        <is>
          <t>1012831</t>
        </is>
      </c>
      <c r="B806" s="29" t="inlineStr">
        <is>
          <t>AKÜ,LB1,DK,50AH,IGYA SMF,MAKO YP,OES</t>
        </is>
      </c>
      <c r="C806" s="29" t="inlineStr">
        <is>
          <t>1</t>
        </is>
      </c>
      <c r="H806" s="29" t="inlineStr">
        <is>
          <t>NO MAPPING</t>
        </is>
      </c>
    </row>
    <row r="807">
      <c r="A807" s="29" t="inlineStr">
        <is>
          <t>1012833</t>
        </is>
      </c>
      <c r="B807" s="29" t="inlineStr">
        <is>
          <t>AKÜ,L1,DK,50Ah,IGYASMF,FIAT OES,55178584</t>
        </is>
      </c>
      <c r="C807" s="29" t="inlineStr">
        <is>
          <t>1</t>
        </is>
      </c>
      <c r="H807" s="29" t="inlineStr">
        <is>
          <t>NO MAPPING</t>
        </is>
      </c>
    </row>
    <row r="808">
      <c r="A808" s="29" t="inlineStr">
        <is>
          <t>1012834</t>
        </is>
      </c>
      <c r="B808" s="29" t="inlineStr">
        <is>
          <t>AKÜ,NS60,DK,45AH,IGYA SMF,MAKO YP,OES</t>
        </is>
      </c>
      <c r="C808" s="29" t="inlineStr">
        <is>
          <t>1</t>
        </is>
      </c>
      <c r="H808" s="29" t="inlineStr">
        <is>
          <t>NO MAPPING</t>
        </is>
      </c>
    </row>
    <row r="809">
      <c r="A809" s="29" t="inlineStr">
        <is>
          <t>1012835</t>
        </is>
      </c>
      <c r="B809" s="29" t="inlineStr">
        <is>
          <t>AKÜ,L5,DK,90AH,IGYA SMF,S&amp;S MAKO YP,OES</t>
        </is>
      </c>
      <c r="C809" s="29" t="inlineStr">
        <is>
          <t>1</t>
        </is>
      </c>
      <c r="H809" s="29" t="inlineStr">
        <is>
          <t>NO MAPPING</t>
        </is>
      </c>
    </row>
    <row r="810">
      <c r="A810" s="29" t="inlineStr">
        <is>
          <t>1012838</t>
        </is>
      </c>
      <c r="B810" s="29" t="inlineStr">
        <is>
          <t>AKÜ,L3,DK,72AH,B13,IGYASMF,SUPRA,AIOSOEM</t>
        </is>
      </c>
      <c r="C810" s="29" t="inlineStr">
        <is>
          <t>1</t>
        </is>
      </c>
      <c r="H810" s="29" t="inlineStr">
        <is>
          <t>NO MAPPING</t>
        </is>
      </c>
    </row>
    <row r="811">
      <c r="A811" s="25" t="inlineStr">
        <is>
          <t>1012839</t>
        </is>
      </c>
      <c r="B811" s="25" t="inlineStr">
        <is>
          <t>AKÜ,L3,DK,72AH,IGYA SMF,ISUZU OES</t>
        </is>
      </c>
      <c r="C811" s="25" t="inlineStr">
        <is>
          <t>1</t>
        </is>
      </c>
      <c r="D811" s="25" t="inlineStr">
        <is>
          <t>ST-063-STD-08</t>
        </is>
      </c>
      <c r="E811" s="25" t="inlineStr">
        <is>
          <t>IA-ST-063-STD-08</t>
        </is>
      </c>
      <c r="F811" s="25" t="inlineStr">
        <is>
          <t>IA-ST-CFG-0179</t>
        </is>
      </c>
      <c r="G811" s="25" t="n">
        <v>29.9992</v>
      </c>
      <c r="H811" s="25" t="inlineStr">
        <is>
          <t>988-pack GENERATED</t>
        </is>
      </c>
    </row>
    <row r="812">
      <c r="A812" s="29" t="inlineStr">
        <is>
          <t>1012840</t>
        </is>
      </c>
      <c r="B812" s="29" t="inlineStr">
        <is>
          <t>AKÜ,L2,DK,63AH,IGYA SMF,S&amp;S,FIAT YP,OES</t>
        </is>
      </c>
      <c r="C812" s="29" t="inlineStr">
        <is>
          <t>1</t>
        </is>
      </c>
      <c r="H812" s="29" t="inlineStr">
        <is>
          <t>NO MAPPING</t>
        </is>
      </c>
    </row>
    <row r="813">
      <c r="A813" s="29" t="inlineStr">
        <is>
          <t>1012841</t>
        </is>
      </c>
      <c r="B813" s="29" t="inlineStr">
        <is>
          <t>AKÜ,L2,DK,63AH,IGYA SMF,S&amp;S,MAKO YP,OES</t>
        </is>
      </c>
      <c r="C813" s="29" t="inlineStr">
        <is>
          <t>1</t>
        </is>
      </c>
      <c r="H813" s="29" t="inlineStr">
        <is>
          <t>NO MAPPING</t>
        </is>
      </c>
    </row>
    <row r="814">
      <c r="A814" s="29" t="inlineStr">
        <is>
          <t>1012842</t>
        </is>
      </c>
      <c r="B814" s="29" t="inlineStr">
        <is>
          <t>AKÜ,L3,DK,72AH,IGYA SMF,S&amp;S,FIAT YP,OES</t>
        </is>
      </c>
      <c r="C814" s="29" t="inlineStr">
        <is>
          <t>1</t>
        </is>
      </c>
      <c r="H814" s="29" t="inlineStr">
        <is>
          <t>NO MAPPING</t>
        </is>
      </c>
    </row>
    <row r="815">
      <c r="A815" s="29" t="inlineStr">
        <is>
          <t>1012843</t>
        </is>
      </c>
      <c r="B815" s="29" t="inlineStr">
        <is>
          <t>AKÜ,L3,DK,72AH,IGYA SMF,S&amp;S,MAKO YP,OES</t>
        </is>
      </c>
      <c r="C815" s="29" t="inlineStr">
        <is>
          <t>1</t>
        </is>
      </c>
      <c r="H815" s="29" t="inlineStr">
        <is>
          <t>NO MAPPING</t>
        </is>
      </c>
    </row>
    <row r="816">
      <c r="A816" s="29" t="inlineStr">
        <is>
          <t>1012844</t>
        </is>
      </c>
      <c r="B816" s="29" t="inlineStr">
        <is>
          <t>AKÜ,LB3,DK,75AH,IGYA SMF,MAKO YP,OES</t>
        </is>
      </c>
      <c r="C816" s="29" t="inlineStr">
        <is>
          <t>1</t>
        </is>
      </c>
      <c r="H816" s="29" t="inlineStr">
        <is>
          <t>NO MAPPING</t>
        </is>
      </c>
    </row>
    <row r="817">
      <c r="A817" s="29" t="inlineStr">
        <is>
          <t>1012845</t>
        </is>
      </c>
      <c r="B817" s="29" t="inlineStr">
        <is>
          <t>AKÜ,L5,TK,105AH,IGYASMF,İNCİSUPRA,ERKUNT</t>
        </is>
      </c>
      <c r="C817" s="29" t="inlineStr">
        <is>
          <t>1</t>
        </is>
      </c>
      <c r="H817" s="29" t="inlineStr">
        <is>
          <t>NO MAPPING</t>
        </is>
      </c>
    </row>
    <row r="818">
      <c r="A818" s="29" t="inlineStr">
        <is>
          <t>1012846</t>
        </is>
      </c>
      <c r="B818" s="29" t="inlineStr">
        <is>
          <t>AKÜ,LB2,DK,60AH,IGYA SMF,MAKO YP,OES</t>
        </is>
      </c>
      <c r="C818" s="29" t="inlineStr">
        <is>
          <t>1</t>
        </is>
      </c>
      <c r="H818" s="29" t="inlineStr">
        <is>
          <t>NO MAPPING</t>
        </is>
      </c>
    </row>
    <row r="819">
      <c r="A819" s="29" t="inlineStr">
        <is>
          <t>1012847</t>
        </is>
      </c>
      <c r="B819" s="29" t="inlineStr">
        <is>
          <t>AKÜ,D31,DK,90AH,IGYA SMF,MAKO YP,OES</t>
        </is>
      </c>
      <c r="C819" s="29" t="inlineStr">
        <is>
          <t>1</t>
        </is>
      </c>
      <c r="H819" s="29" t="inlineStr">
        <is>
          <t>NO MAPPING</t>
        </is>
      </c>
    </row>
    <row r="820">
      <c r="A820" s="29" t="inlineStr">
        <is>
          <t>1012848</t>
        </is>
      </c>
      <c r="B820" s="29" t="inlineStr">
        <is>
          <t>AKÜ,L3,DK,70Ah,IGYA SMF,FIAT YP,OES</t>
        </is>
      </c>
      <c r="C820" s="29" t="inlineStr">
        <is>
          <t>1</t>
        </is>
      </c>
      <c r="H820" s="29" t="inlineStr">
        <is>
          <t>NO MAPPING</t>
        </is>
      </c>
    </row>
    <row r="821">
      <c r="A821" s="29" t="inlineStr">
        <is>
          <t>1012849</t>
        </is>
      </c>
      <c r="B821" s="29" t="inlineStr">
        <is>
          <t>AKÜ,L3,DK,75AH,IGYA SMF,MAKO YP,OES</t>
        </is>
      </c>
      <c r="C821" s="29" t="inlineStr">
        <is>
          <t>1</t>
        </is>
      </c>
      <c r="H821" s="29" t="inlineStr">
        <is>
          <t>NO MAPPING</t>
        </is>
      </c>
    </row>
    <row r="822">
      <c r="A822" s="25" t="inlineStr">
        <is>
          <t>1012850</t>
        </is>
      </c>
      <c r="B822" s="25" t="inlineStr">
        <is>
          <t>AKÜ,D26,DK,70AH,IGYA SMF,ISUZU OES</t>
        </is>
      </c>
      <c r="C822" s="25" t="inlineStr">
        <is>
          <t>1</t>
        </is>
      </c>
      <c r="D822" s="25" t="inlineStr">
        <is>
          <t>ST-063-STD-04</t>
        </is>
      </c>
      <c r="E822" s="25" t="inlineStr">
        <is>
          <t>IA-ST-063-STD-04</t>
        </is>
      </c>
      <c r="F822" s="25" t="inlineStr">
        <is>
          <t>IA-ST-CFG-0175</t>
        </is>
      </c>
      <c r="G822" s="25" t="n">
        <v>34.1512</v>
      </c>
      <c r="H822" s="25" t="inlineStr">
        <is>
          <t>988-pack GENERATED</t>
        </is>
      </c>
    </row>
    <row r="823">
      <c r="A823" s="29" t="inlineStr">
        <is>
          <t>1012851</t>
        </is>
      </c>
      <c r="B823" s="29" t="inlineStr">
        <is>
          <t>AKÜ,D26,DK,68AH,IGYA SMF,AIOS OEM</t>
        </is>
      </c>
      <c r="C823" s="29" t="inlineStr">
        <is>
          <t>1</t>
        </is>
      </c>
      <c r="H823" s="29" t="inlineStr">
        <is>
          <t>NO MAPPING</t>
        </is>
      </c>
    </row>
    <row r="824">
      <c r="A824" s="25" t="inlineStr">
        <is>
          <t>1012852</t>
        </is>
      </c>
      <c r="B824" s="25" t="inlineStr">
        <is>
          <t>AKÜ,D26,DK,68AH,IGYA SMF,ISUZU OES</t>
        </is>
      </c>
      <c r="C824" s="25" t="inlineStr">
        <is>
          <t>1</t>
        </is>
      </c>
      <c r="D824" s="25" t="inlineStr">
        <is>
          <t>ST-063-STD-04</t>
        </is>
      </c>
      <c r="E824" s="25" t="inlineStr">
        <is>
          <t>IA-ST-063-STD-04</t>
        </is>
      </c>
      <c r="F824" s="25" t="inlineStr">
        <is>
          <t>IA-ST-CFG-0175</t>
        </is>
      </c>
      <c r="G824" s="25" t="n">
        <v>34.1512</v>
      </c>
      <c r="H824" s="25" t="inlineStr">
        <is>
          <t>988-pack GENERATED</t>
        </is>
      </c>
    </row>
    <row r="825">
      <c r="A825" s="25" t="inlineStr">
        <is>
          <t>1012857</t>
        </is>
      </c>
      <c r="B825" s="25" t="inlineStr">
        <is>
          <t>AKÜ,L5,DK102AH,IGYSMF,MAXIMA,DIŞPYS,EURO</t>
        </is>
      </c>
      <c r="C825" s="25" t="inlineStr">
        <is>
          <t>1</t>
        </is>
      </c>
      <c r="D825" s="25" t="inlineStr">
        <is>
          <t>ST-048-EUR-10</t>
        </is>
      </c>
      <c r="E825" s="25" t="inlineStr">
        <is>
          <t>IA-ST-048-EUR-10</t>
        </is>
      </c>
      <c r="F825" s="25" t="inlineStr">
        <is>
          <t>IA-ST-CFG-0116</t>
        </is>
      </c>
      <c r="G825" s="25" t="n">
        <v>29.7592</v>
      </c>
      <c r="H825" s="25" t="inlineStr">
        <is>
          <t>988-pack GENERATED</t>
        </is>
      </c>
    </row>
    <row r="826">
      <c r="A826" s="25" t="inlineStr">
        <is>
          <t>1012862</t>
        </is>
      </c>
      <c r="B826" s="25" t="inlineStr">
        <is>
          <t>AKÜ,NS60,DK62AH,IGYSMF,İNCİTAURS,SHAWKAT</t>
        </is>
      </c>
      <c r="C826" s="25" t="inlineStr">
        <is>
          <t>1</t>
        </is>
      </c>
      <c r="D826" s="25" t="inlineStr">
        <is>
          <t>ST-096-STD-03</t>
        </is>
      </c>
      <c r="E826" s="25" t="inlineStr">
        <is>
          <t>IA-ST-096-STD-03</t>
        </is>
      </c>
      <c r="F826" s="25" t="inlineStr">
        <is>
          <t>IA-ST-CFG-0272</t>
        </is>
      </c>
      <c r="G826" s="25" t="n">
        <v>35.3172</v>
      </c>
      <c r="H826" s="25" t="inlineStr">
        <is>
          <t>988-pack GENERATED</t>
        </is>
      </c>
    </row>
    <row r="827">
      <c r="A827" s="25" t="inlineStr">
        <is>
          <t>1012868</t>
        </is>
      </c>
      <c r="B827" s="25" t="inlineStr">
        <is>
          <t>AKÜ,D26,DK,62AH,IGYSMF,İNCİTAURS,SHAWKAT</t>
        </is>
      </c>
      <c r="C827" s="25" t="inlineStr">
        <is>
          <t>1</t>
        </is>
      </c>
      <c r="D827" s="25" t="inlineStr">
        <is>
          <t>ST-063-STD-04</t>
        </is>
      </c>
      <c r="E827" s="25" t="inlineStr">
        <is>
          <t>IA-ST-063-STD-04</t>
        </is>
      </c>
      <c r="F827" s="25" t="inlineStr">
        <is>
          <t>IA-ST-CFG-0175</t>
        </is>
      </c>
      <c r="G827" s="25" t="n">
        <v>34.1512</v>
      </c>
      <c r="H827" s="25" t="inlineStr">
        <is>
          <t>988-pack GENERATED</t>
        </is>
      </c>
    </row>
    <row r="828">
      <c r="A828" s="25" t="inlineStr">
        <is>
          <t>1012870</t>
        </is>
      </c>
      <c r="B828" s="25" t="inlineStr">
        <is>
          <t>AKÜ,L4,DK,82AH,IGYSMF,HUGELULTRA,SHAWKAT</t>
        </is>
      </c>
      <c r="C828" s="25" t="inlineStr">
        <is>
          <t>1</t>
        </is>
      </c>
      <c r="D828" s="25" t="inlineStr">
        <is>
          <t>ST-072-STD-22</t>
        </is>
      </c>
      <c r="E828" s="25" t="inlineStr">
        <is>
          <t>IA-ST-072-STD-22</t>
        </is>
      </c>
      <c r="F828" s="25" t="inlineStr">
        <is>
          <t>IA-ST-CFG-0231</t>
        </is>
      </c>
      <c r="G828" s="25" t="n">
        <v>30.6372</v>
      </c>
      <c r="H828" s="25" t="inlineStr">
        <is>
          <t>988-pack GENERATED</t>
        </is>
      </c>
    </row>
    <row r="829">
      <c r="A829" s="25" t="inlineStr">
        <is>
          <t>1012871</t>
        </is>
      </c>
      <c r="B829" s="25" t="inlineStr">
        <is>
          <t>AKÜ,L2,DK,60AH,IGYASMF,EFBS&amp;S,PILOT PER.</t>
        </is>
      </c>
      <c r="C829" s="25" t="inlineStr">
        <is>
          <t>1</t>
        </is>
      </c>
      <c r="D829" s="25" t="inlineStr">
        <is>
          <t>ST-076-EUR-03</t>
        </is>
      </c>
      <c r="E829" s="25" t="inlineStr">
        <is>
          <t>IA-ST-076-EUR-03</t>
        </is>
      </c>
      <c r="F829" s="25" t="inlineStr">
        <is>
          <t>IA-ST-CFG-0240</t>
        </is>
      </c>
      <c r="G829" s="25" t="n">
        <v>30.7272</v>
      </c>
      <c r="H829" s="25" t="inlineStr">
        <is>
          <t>988-pack GENERATED</t>
        </is>
      </c>
    </row>
    <row r="830">
      <c r="A830" s="25" t="inlineStr">
        <is>
          <t>1012872</t>
        </is>
      </c>
      <c r="B830" s="25" t="inlineStr">
        <is>
          <t>AKÜ,L3,DK,72AH,IGYASMF,EFBS&amp;S,PILOT PER.</t>
        </is>
      </c>
      <c r="C830" s="25" t="inlineStr">
        <is>
          <t>1</t>
        </is>
      </c>
      <c r="D830" s="25" t="inlineStr">
        <is>
          <t>ST-068-EUR-03</t>
        </is>
      </c>
      <c r="E830" s="25" t="inlineStr">
        <is>
          <t>IA-ST-068-EUR-03</t>
        </is>
      </c>
      <c r="F830" s="25" t="inlineStr">
        <is>
          <t>IA-ST-CFG-0200</t>
        </is>
      </c>
      <c r="G830" s="25" t="n">
        <v>30.0842</v>
      </c>
      <c r="H830" s="25" t="inlineStr">
        <is>
          <t>988-pack GENERATED</t>
        </is>
      </c>
    </row>
    <row r="831">
      <c r="A831" s="25" t="inlineStr">
        <is>
          <t>1012873</t>
        </is>
      </c>
      <c r="B831" s="25" t="inlineStr">
        <is>
          <t>AKÜ,L4,DK,80AH,IGYASMF,EFBS&amp;S,PILOT PER.</t>
        </is>
      </c>
      <c r="C831" s="25" t="inlineStr">
        <is>
          <t>1</t>
        </is>
      </c>
      <c r="D831" s="25" t="inlineStr">
        <is>
          <t>ST-056-EUR-03</t>
        </is>
      </c>
      <c r="E831" s="25" t="inlineStr">
        <is>
          <t>IA-ST-056-EUR-03</t>
        </is>
      </c>
      <c r="F831" s="25" t="inlineStr">
        <is>
          <t>IA-ST-CFG-0152</t>
        </is>
      </c>
      <c r="G831" s="25" t="n">
        <v>29.7432</v>
      </c>
      <c r="H831" s="25" t="inlineStr">
        <is>
          <t>988-pack GENERATED</t>
        </is>
      </c>
    </row>
    <row r="832">
      <c r="A832" s="25" t="inlineStr">
        <is>
          <t>1012874</t>
        </is>
      </c>
      <c r="B832" s="25" t="inlineStr">
        <is>
          <t>AKÜ,L5,DK,90AH,IGYASMF,EFBS&amp;S,PILOT PER.</t>
        </is>
      </c>
      <c r="C832" s="25" t="inlineStr">
        <is>
          <t>1</t>
        </is>
      </c>
      <c r="D832" s="25" t="inlineStr">
        <is>
          <t>ST-048-EUR-10</t>
        </is>
      </c>
      <c r="E832" s="25" t="inlineStr">
        <is>
          <t>IA-ST-048-EUR-10</t>
        </is>
      </c>
      <c r="F832" s="25" t="inlineStr">
        <is>
          <t>IA-ST-CFG-0116</t>
        </is>
      </c>
      <c r="G832" s="25" t="n">
        <v>29.7592</v>
      </c>
      <c r="H832" s="25" t="inlineStr">
        <is>
          <t>988-pack GENERATED</t>
        </is>
      </c>
    </row>
    <row r="833">
      <c r="A833" s="25" t="inlineStr">
        <is>
          <t>1012875</t>
        </is>
      </c>
      <c r="B833" s="25" t="inlineStr">
        <is>
          <t>AKÜ,L5,DK,100AH,IGYASMF,EFBS&amp;S,PILOT PER</t>
        </is>
      </c>
      <c r="C833" s="25" t="inlineStr">
        <is>
          <t>1</t>
        </is>
      </c>
      <c r="D833" s="25" t="inlineStr">
        <is>
          <t>ST-048-EUR-10</t>
        </is>
      </c>
      <c r="E833" s="25" t="inlineStr">
        <is>
          <t>IA-ST-048-EUR-10</t>
        </is>
      </c>
      <c r="F833" s="25" t="inlineStr">
        <is>
          <t>IA-ST-CFG-0116</t>
        </is>
      </c>
      <c r="G833" s="25" t="n">
        <v>29.7592</v>
      </c>
      <c r="H833" s="25" t="inlineStr">
        <is>
          <t>988-pack GENERATED</t>
        </is>
      </c>
    </row>
    <row r="834">
      <c r="A834" s="25" t="inlineStr">
        <is>
          <t>1012876</t>
        </is>
      </c>
      <c r="B834" s="25" t="inlineStr">
        <is>
          <t>AKÜ,LB2,DK,60AH,IGYASMF,EFBS&amp;S,PILOT PER</t>
        </is>
      </c>
      <c r="C834" s="25" t="inlineStr">
        <is>
          <t>1</t>
        </is>
      </c>
      <c r="D834" s="25" t="inlineStr">
        <is>
          <t>ST-076-EUR-03</t>
        </is>
      </c>
      <c r="E834" s="25" t="inlineStr">
        <is>
          <t>IA-ST-076-EUR-03</t>
        </is>
      </c>
      <c r="F834" s="25" t="inlineStr">
        <is>
          <t>IA-ST-CFG-0240</t>
        </is>
      </c>
      <c r="G834" s="25" t="n">
        <v>30.7272</v>
      </c>
      <c r="H834" s="25" t="inlineStr">
        <is>
          <t>988-pack GENERATED</t>
        </is>
      </c>
    </row>
    <row r="835">
      <c r="A835" s="25" t="inlineStr">
        <is>
          <t>1012877</t>
        </is>
      </c>
      <c r="B835" s="25" t="inlineStr">
        <is>
          <t>AKÜ,LB3,DK,65AH,IGYASMF,EFBS&amp;S,PILOT PER</t>
        </is>
      </c>
      <c r="C835" s="25" t="inlineStr">
        <is>
          <t>1</t>
        </is>
      </c>
      <c r="D835" s="25" t="inlineStr">
        <is>
          <t>ST-068-EUR-02</t>
        </is>
      </c>
      <c r="E835" s="25" t="inlineStr">
        <is>
          <t>IA-ST-068-EUR-02</t>
        </is>
      </c>
      <c r="F835" s="25" t="inlineStr">
        <is>
          <t>IA-ST-CFG-0199</t>
        </is>
      </c>
      <c r="G835" s="25" t="n">
        <v>29.9442</v>
      </c>
      <c r="H835" s="25" t="inlineStr">
        <is>
          <t>988-pack GENERATED</t>
        </is>
      </c>
    </row>
    <row r="836">
      <c r="A836" s="25" t="inlineStr">
        <is>
          <t>1012878</t>
        </is>
      </c>
      <c r="B836" s="25" t="inlineStr">
        <is>
          <t>AKÜ,LB4,DK,75AH,IGYASMF,EFBS&amp;S,PILOT PER</t>
        </is>
      </c>
      <c r="C836" s="25" t="inlineStr">
        <is>
          <t>1</t>
        </is>
      </c>
      <c r="D836" s="25" t="inlineStr">
        <is>
          <t>ST-056-EUR-03</t>
        </is>
      </c>
      <c r="E836" s="25" t="inlineStr">
        <is>
          <t>IA-ST-056-EUR-03</t>
        </is>
      </c>
      <c r="F836" s="25" t="inlineStr">
        <is>
          <t>IA-ST-CFG-0152</t>
        </is>
      </c>
      <c r="G836" s="25" t="n">
        <v>29.7432</v>
      </c>
      <c r="H836" s="25" t="inlineStr">
        <is>
          <t>988-pack GENERATED</t>
        </is>
      </c>
    </row>
    <row r="837">
      <c r="A837" s="25" t="inlineStr">
        <is>
          <t>1012879</t>
        </is>
      </c>
      <c r="B837" s="25" t="inlineStr">
        <is>
          <t>AKÜ,L0,DK,40AH,DINNEW,PILOT PERFORMANCE</t>
        </is>
      </c>
      <c r="C837" s="25" t="inlineStr">
        <is>
          <t>1</t>
        </is>
      </c>
      <c r="D837" s="25" t="inlineStr">
        <is>
          <t>ST-096-EUR-09</t>
        </is>
      </c>
      <c r="E837" s="25" t="inlineStr">
        <is>
          <t>IA-ST-096-EUR-09</t>
        </is>
      </c>
      <c r="F837" s="25" t="inlineStr">
        <is>
          <t>IA-ST-CFG-0277</t>
        </is>
      </c>
      <c r="G837" s="25" t="n">
        <v>30.1492</v>
      </c>
      <c r="H837" s="25" t="inlineStr">
        <is>
          <t>988-pack GENERATED</t>
        </is>
      </c>
    </row>
    <row r="838">
      <c r="A838" s="25" t="inlineStr">
        <is>
          <t>1012880</t>
        </is>
      </c>
      <c r="B838" s="25" t="inlineStr">
        <is>
          <t>AKÜ,L1,DK,44AH,IGYASMF,PILOT PERFORMANCE</t>
        </is>
      </c>
      <c r="C838" s="25" t="inlineStr">
        <is>
          <t>1</t>
        </is>
      </c>
      <c r="D838" s="25" t="inlineStr">
        <is>
          <t>ST-096-EUR-03</t>
        </is>
      </c>
      <c r="E838" s="25" t="inlineStr">
        <is>
          <t>IA-ST-096-EUR-03</t>
        </is>
      </c>
      <c r="F838" s="25" t="inlineStr">
        <is>
          <t>IA-ST-CFG-0266</t>
        </is>
      </c>
      <c r="G838" s="25" t="n">
        <v>31.2262</v>
      </c>
      <c r="H838" s="25" t="inlineStr">
        <is>
          <t>988-pack GENERATED</t>
        </is>
      </c>
    </row>
    <row r="839">
      <c r="A839" s="25" t="inlineStr">
        <is>
          <t>1012881</t>
        </is>
      </c>
      <c r="B839" s="25" t="inlineStr">
        <is>
          <t>AKÜ,L1,DK,50AH,IGYASMF,PILOT PERFORMANCE</t>
        </is>
      </c>
      <c r="C839" s="25" t="inlineStr">
        <is>
          <t>1</t>
        </is>
      </c>
      <c r="D839" s="25" t="inlineStr">
        <is>
          <t>ST-096-EUR-03</t>
        </is>
      </c>
      <c r="E839" s="25" t="inlineStr">
        <is>
          <t>IA-ST-096-EUR-03</t>
        </is>
      </c>
      <c r="F839" s="25" t="inlineStr">
        <is>
          <t>IA-ST-CFG-0266</t>
        </is>
      </c>
      <c r="G839" s="25" t="n">
        <v>31.2262</v>
      </c>
      <c r="H839" s="25" t="inlineStr">
        <is>
          <t>988-pack GENERATED</t>
        </is>
      </c>
    </row>
    <row r="840">
      <c r="A840" s="25" t="inlineStr">
        <is>
          <t>1012884</t>
        </is>
      </c>
      <c r="B840" s="25" t="inlineStr">
        <is>
          <t>AKÜ,LB1,DK,50AH,IGYSMF,PILOT PERFORMANCE</t>
        </is>
      </c>
      <c r="C840" s="25" t="inlineStr">
        <is>
          <t>1</t>
        </is>
      </c>
      <c r="D840" s="25" t="inlineStr">
        <is>
          <t>ST-096-EUR-01</t>
        </is>
      </c>
      <c r="E840" s="25" t="inlineStr">
        <is>
          <t>IA-ST-096-EUR-01</t>
        </is>
      </c>
      <c r="F840" s="25" t="inlineStr">
        <is>
          <t>IA-ST-CFG-0264</t>
        </is>
      </c>
      <c r="G840" s="25" t="n">
        <v>30.6532</v>
      </c>
      <c r="H840" s="25" t="inlineStr">
        <is>
          <t>988-pack GENERATED</t>
        </is>
      </c>
    </row>
    <row r="841">
      <c r="A841" s="25" t="inlineStr">
        <is>
          <t>1012885</t>
        </is>
      </c>
      <c r="B841" s="25" t="inlineStr">
        <is>
          <t>AKÜ,L2,DK,60AH,IGYASMF,PILOT PERFORMANCE</t>
        </is>
      </c>
      <c r="C841" s="25" t="inlineStr">
        <is>
          <t>1</t>
        </is>
      </c>
      <c r="D841" s="25" t="inlineStr">
        <is>
          <t>ST-076-EUR-03</t>
        </is>
      </c>
      <c r="E841" s="25" t="inlineStr">
        <is>
          <t>IA-ST-076-EUR-03</t>
        </is>
      </c>
      <c r="F841" s="25" t="inlineStr">
        <is>
          <t>IA-ST-CFG-0240</t>
        </is>
      </c>
      <c r="G841" s="25" t="n">
        <v>30.7272</v>
      </c>
      <c r="H841" s="25" t="inlineStr">
        <is>
          <t>988-pack GENERATED</t>
        </is>
      </c>
    </row>
    <row r="842">
      <c r="A842" s="25" t="inlineStr">
        <is>
          <t>1012886</t>
        </is>
      </c>
      <c r="B842" s="25" t="inlineStr">
        <is>
          <t>AKÜ,L2,TK,60AH,IGYASMF,PILOT PERFORMANCE</t>
        </is>
      </c>
      <c r="C842" s="25" t="inlineStr">
        <is>
          <t>1</t>
        </is>
      </c>
      <c r="D842" s="25" t="inlineStr">
        <is>
          <t>ST-076-EUR-03</t>
        </is>
      </c>
      <c r="E842" s="25" t="inlineStr">
        <is>
          <t>IA-ST-076-EUR-03</t>
        </is>
      </c>
      <c r="F842" s="25" t="inlineStr">
        <is>
          <t>IA-ST-CFG-0240</t>
        </is>
      </c>
      <c r="G842" s="25" t="n">
        <v>30.7272</v>
      </c>
      <c r="H842" s="25" t="inlineStr">
        <is>
          <t>988-pack GENERATED</t>
        </is>
      </c>
    </row>
    <row r="843">
      <c r="A843" s="25" t="inlineStr">
        <is>
          <t>1012887</t>
        </is>
      </c>
      <c r="B843" s="25" t="inlineStr">
        <is>
          <t>AKÜ,LB2,DK,60AH,IGYSMF,PILOT PERFORMANCE</t>
        </is>
      </c>
      <c r="C843" s="25" t="inlineStr">
        <is>
          <t>1</t>
        </is>
      </c>
      <c r="D843" s="25" t="inlineStr">
        <is>
          <t>ST-076-EUR-03</t>
        </is>
      </c>
      <c r="E843" s="25" t="inlineStr">
        <is>
          <t>IA-ST-076-EUR-03</t>
        </is>
      </c>
      <c r="F843" s="25" t="inlineStr">
        <is>
          <t>IA-ST-CFG-0240</t>
        </is>
      </c>
      <c r="G843" s="25" t="n">
        <v>30.7272</v>
      </c>
      <c r="H843" s="25" t="inlineStr">
        <is>
          <t>988-pack GENERATED</t>
        </is>
      </c>
    </row>
    <row r="844">
      <c r="A844" s="25" t="inlineStr">
        <is>
          <t>1012889</t>
        </is>
      </c>
      <c r="B844" s="25" t="inlineStr">
        <is>
          <t>AKÜ,L3,DK,75AH,IGYASMF,PILOT PERFORMANCE</t>
        </is>
      </c>
      <c r="C844" s="25" t="inlineStr">
        <is>
          <t>1</t>
        </is>
      </c>
      <c r="D844" s="25" t="inlineStr">
        <is>
          <t>ST-068-EUR-03</t>
        </is>
      </c>
      <c r="E844" s="25" t="inlineStr">
        <is>
          <t>IA-ST-068-EUR-03</t>
        </is>
      </c>
      <c r="F844" s="25" t="inlineStr">
        <is>
          <t>IA-ST-CFG-0200</t>
        </is>
      </c>
      <c r="G844" s="25" t="n">
        <v>30.0842</v>
      </c>
      <c r="H844" s="25" t="inlineStr">
        <is>
          <t>988-pack GENERATED</t>
        </is>
      </c>
    </row>
    <row r="845">
      <c r="A845" s="25" t="inlineStr">
        <is>
          <t>1012890</t>
        </is>
      </c>
      <c r="B845" s="25" t="inlineStr">
        <is>
          <t>AKÜ,L3,TK,75AH,IGYASMF,PILOT PERFORMANCE</t>
        </is>
      </c>
      <c r="C845" s="25" t="inlineStr">
        <is>
          <t>1</t>
        </is>
      </c>
      <c r="D845" s="25" t="inlineStr">
        <is>
          <t>ST-068-EUR-03</t>
        </is>
      </c>
      <c r="E845" s="25" t="inlineStr">
        <is>
          <t>IA-ST-068-EUR-03</t>
        </is>
      </c>
      <c r="F845" s="25" t="inlineStr">
        <is>
          <t>IA-ST-CFG-0200</t>
        </is>
      </c>
      <c r="G845" s="25" t="n">
        <v>30.0842</v>
      </c>
      <c r="H845" s="25" t="inlineStr">
        <is>
          <t>988-pack GENERATED</t>
        </is>
      </c>
    </row>
    <row r="846">
      <c r="A846" s="25" t="inlineStr">
        <is>
          <t>1012891</t>
        </is>
      </c>
      <c r="B846" s="25" t="inlineStr">
        <is>
          <t>AKÜ,LB3,DK,66AH,IGYSMF,PILOT PERFORMANCE</t>
        </is>
      </c>
      <c r="C846" s="25" t="inlineStr">
        <is>
          <t>1</t>
        </is>
      </c>
      <c r="D846" s="25" t="inlineStr">
        <is>
          <t>ST-068-EUR-02</t>
        </is>
      </c>
      <c r="E846" s="25" t="inlineStr">
        <is>
          <t>IA-ST-068-EUR-02</t>
        </is>
      </c>
      <c r="F846" s="25" t="inlineStr">
        <is>
          <t>IA-ST-CFG-0199</t>
        </is>
      </c>
      <c r="G846" s="25" t="n">
        <v>29.9442</v>
      </c>
      <c r="H846" s="25" t="inlineStr">
        <is>
          <t>988-pack GENERATED</t>
        </is>
      </c>
    </row>
    <row r="847">
      <c r="A847" s="25" t="inlineStr">
        <is>
          <t>1012892</t>
        </is>
      </c>
      <c r="B847" s="25" t="inlineStr">
        <is>
          <t>AKÜ,LB3,DK,72AH,IGYSMF,PILOT PERFORMANCE</t>
        </is>
      </c>
      <c r="C847" s="25" t="inlineStr">
        <is>
          <t>1</t>
        </is>
      </c>
      <c r="D847" s="25" t="inlineStr">
        <is>
          <t>ST-068-EUR-02</t>
        </is>
      </c>
      <c r="E847" s="25" t="inlineStr">
        <is>
          <t>IA-ST-068-EUR-02</t>
        </is>
      </c>
      <c r="F847" s="25" t="inlineStr">
        <is>
          <t>IA-ST-CFG-0199</t>
        </is>
      </c>
      <c r="G847" s="25" t="n">
        <v>29.9442</v>
      </c>
      <c r="H847" s="25" t="inlineStr">
        <is>
          <t>988-pack GENERATED</t>
        </is>
      </c>
    </row>
    <row r="848">
      <c r="A848" s="25" t="inlineStr">
        <is>
          <t>1012894</t>
        </is>
      </c>
      <c r="B848" s="25" t="inlineStr">
        <is>
          <t>AKÜ,LB4,DK,80AH,IGYSMF,PILOT PERFORMANCE</t>
        </is>
      </c>
      <c r="C848" s="25" t="inlineStr">
        <is>
          <t>1</t>
        </is>
      </c>
      <c r="D848" s="25" t="inlineStr">
        <is>
          <t>ST-056-EUR-03</t>
        </is>
      </c>
      <c r="E848" s="25" t="inlineStr">
        <is>
          <t>IA-ST-056-EUR-03</t>
        </is>
      </c>
      <c r="F848" s="25" t="inlineStr">
        <is>
          <t>IA-ST-CFG-0152</t>
        </is>
      </c>
      <c r="G848" s="25" t="n">
        <v>29.7432</v>
      </c>
      <c r="H848" s="25" t="inlineStr">
        <is>
          <t>988-pack GENERATED</t>
        </is>
      </c>
    </row>
    <row r="849">
      <c r="A849" s="25" t="inlineStr">
        <is>
          <t>1012895</t>
        </is>
      </c>
      <c r="B849" s="25" t="inlineStr">
        <is>
          <t>AKÜ,L5,DK,90AH,IGYASMF,PILOT PERFORMANCE</t>
        </is>
      </c>
      <c r="C849" s="25" t="inlineStr">
        <is>
          <t>1</t>
        </is>
      </c>
      <c r="D849" s="25" t="inlineStr">
        <is>
          <t>ST-048-EUR-10</t>
        </is>
      </c>
      <c r="E849" s="25" t="inlineStr">
        <is>
          <t>IA-ST-048-EUR-10</t>
        </is>
      </c>
      <c r="F849" s="25" t="inlineStr">
        <is>
          <t>IA-ST-CFG-0116</t>
        </is>
      </c>
      <c r="G849" s="25" t="n">
        <v>29.7592</v>
      </c>
      <c r="H849" s="25" t="inlineStr">
        <is>
          <t>988-pack GENERATED</t>
        </is>
      </c>
    </row>
    <row r="850">
      <c r="A850" s="25" t="inlineStr">
        <is>
          <t>1012896</t>
        </is>
      </c>
      <c r="B850" s="25" t="inlineStr">
        <is>
          <t>AKÜ,L5,DK,100AH,IGYSMF,PILOT PERFORMANCE</t>
        </is>
      </c>
      <c r="C850" s="25" t="inlineStr">
        <is>
          <t>1</t>
        </is>
      </c>
      <c r="D850" s="25" t="inlineStr">
        <is>
          <t>ST-048-EUR-10</t>
        </is>
      </c>
      <c r="E850" s="25" t="inlineStr">
        <is>
          <t>IA-ST-048-EUR-10</t>
        </is>
      </c>
      <c r="F850" s="25" t="inlineStr">
        <is>
          <t>IA-ST-CFG-0116</t>
        </is>
      </c>
      <c r="G850" s="25" t="n">
        <v>29.7592</v>
      </c>
      <c r="H850" s="25" t="inlineStr">
        <is>
          <t>988-pack GENERATED</t>
        </is>
      </c>
    </row>
    <row r="851">
      <c r="A851" s="25" t="inlineStr">
        <is>
          <t>1012897</t>
        </is>
      </c>
      <c r="B851" s="25" t="inlineStr">
        <is>
          <t>AKÜ,LB5,DK,90AH,IGYSMF,PILOT PERFORMANCE</t>
        </is>
      </c>
      <c r="C851" s="25" t="inlineStr">
        <is>
          <t>1</t>
        </is>
      </c>
      <c r="D851" s="25" t="inlineStr">
        <is>
          <t>ST-048-EUR-10</t>
        </is>
      </c>
      <c r="E851" s="25" t="inlineStr">
        <is>
          <t>IA-ST-048-EUR-10</t>
        </is>
      </c>
      <c r="F851" s="25" t="inlineStr">
        <is>
          <t>IA-ST-CFG-0116</t>
        </is>
      </c>
      <c r="G851" s="25" t="n">
        <v>29.7592</v>
      </c>
      <c r="H851" s="25" t="inlineStr">
        <is>
          <t>988-pack GENERATED</t>
        </is>
      </c>
    </row>
    <row r="852">
      <c r="A852" s="25" t="inlineStr">
        <is>
          <t>1012898</t>
        </is>
      </c>
      <c r="B852" s="25" t="inlineStr">
        <is>
          <t>AKÜ,L4,DK,100AH,IGYSMF,PILOT PERFORMANCE</t>
        </is>
      </c>
      <c r="C852" s="25" t="inlineStr">
        <is>
          <t>1</t>
        </is>
      </c>
      <c r="D852" s="25" t="inlineStr">
        <is>
          <t>ST-056-EUR-03</t>
        </is>
      </c>
      <c r="E852" s="25" t="inlineStr">
        <is>
          <t>IA-ST-056-EUR-03</t>
        </is>
      </c>
      <c r="F852" s="25" t="inlineStr">
        <is>
          <t>IA-ST-CFG-0152</t>
        </is>
      </c>
      <c r="G852" s="25" t="n">
        <v>29.7432</v>
      </c>
      <c r="H852" s="25" t="inlineStr">
        <is>
          <t>988-pack GENERATED</t>
        </is>
      </c>
    </row>
    <row r="853">
      <c r="A853" s="25" t="inlineStr">
        <is>
          <t>1012899</t>
        </is>
      </c>
      <c r="B853" s="25" t="inlineStr">
        <is>
          <t>AKÜ,D31,DK,102AH,IGYA,HUGELULTRA,SHAWKAT</t>
        </is>
      </c>
      <c r="C853" s="25" t="inlineStr">
        <is>
          <t>1</t>
        </is>
      </c>
      <c r="D853" s="25" t="inlineStr">
        <is>
          <t>ST-054-STD-07</t>
        </is>
      </c>
      <c r="E853" s="25" t="inlineStr">
        <is>
          <t>IA-ST-054-STD-07</t>
        </is>
      </c>
      <c r="F853" s="25" t="inlineStr">
        <is>
          <t>IA-ST-CFG-0143</t>
        </is>
      </c>
      <c r="G853" s="25" t="n">
        <v>33.7838</v>
      </c>
      <c r="H853" s="25" t="inlineStr">
        <is>
          <t>988-pack GENERATED</t>
        </is>
      </c>
    </row>
    <row r="854">
      <c r="A854" s="25" t="inlineStr">
        <is>
          <t>1012903</t>
        </is>
      </c>
      <c r="B854" s="25" t="inlineStr">
        <is>
          <t>AKÜ,L5,DK,102AH,IGYA,HUGEL ULTRA,SHAWKAT</t>
        </is>
      </c>
      <c r="C854" s="25" t="inlineStr">
        <is>
          <t>1</t>
        </is>
      </c>
      <c r="D854" s="25" t="inlineStr">
        <is>
          <t>ST-045-STD-08</t>
        </is>
      </c>
      <c r="E854" s="25" t="inlineStr">
        <is>
          <t>IA-ST-045-STD-08</t>
        </is>
      </c>
      <c r="F854" s="25" t="inlineStr">
        <is>
          <t>IA-ST-CFG-0096</t>
        </is>
      </c>
      <c r="G854" s="25" t="n">
        <v>29.7192</v>
      </c>
      <c r="H854" s="25" t="inlineStr">
        <is>
          <t>988-pack GENERATED</t>
        </is>
      </c>
    </row>
    <row r="855">
      <c r="A855" s="25" t="inlineStr">
        <is>
          <t>1012904</t>
        </is>
      </c>
      <c r="B855" s="25" t="inlineStr">
        <is>
          <t>AKÜ,L4,DK,82AH,IGYA,İNCİFORMTAUR,SHAWKAT</t>
        </is>
      </c>
      <c r="C855" s="25" t="inlineStr">
        <is>
          <t>1</t>
        </is>
      </c>
      <c r="D855" s="25" t="inlineStr">
        <is>
          <t>ST-072-STD-22</t>
        </is>
      </c>
      <c r="E855" s="25" t="inlineStr">
        <is>
          <t>IA-ST-072-STD-22</t>
        </is>
      </c>
      <c r="F855" s="25" t="inlineStr">
        <is>
          <t>IA-ST-CFG-0231</t>
        </is>
      </c>
      <c r="G855" s="25" t="n">
        <v>30.6372</v>
      </c>
      <c r="H855" s="25" t="inlineStr">
        <is>
          <t>988-pack GENERATED</t>
        </is>
      </c>
    </row>
    <row r="856">
      <c r="A856" s="25" t="inlineStr">
        <is>
          <t>1012905</t>
        </is>
      </c>
      <c r="B856" s="25" t="inlineStr">
        <is>
          <t>AKÜ,L5,DK102AH,IGYA,İNCİFORMTAUR,SHAWKAT</t>
        </is>
      </c>
      <c r="C856" s="25" t="inlineStr">
        <is>
          <t>1</t>
        </is>
      </c>
      <c r="D856" s="25" t="inlineStr">
        <is>
          <t>ST-045-STD-08</t>
        </is>
      </c>
      <c r="E856" s="25" t="inlineStr">
        <is>
          <t>IA-ST-045-STD-08</t>
        </is>
      </c>
      <c r="F856" s="25" t="inlineStr">
        <is>
          <t>IA-ST-CFG-0096</t>
        </is>
      </c>
      <c r="G856" s="25" t="n">
        <v>29.7192</v>
      </c>
      <c r="H856" s="25" t="inlineStr">
        <is>
          <t>988-pack GENERATED</t>
        </is>
      </c>
    </row>
    <row r="857">
      <c r="A857" s="25" t="inlineStr">
        <is>
          <t>1012906</t>
        </is>
      </c>
      <c r="B857" s="25" t="inlineStr">
        <is>
          <t>AKÜ,L3,DK,75AH,IGYA,HUGEL ULTRA,SHAWKAT</t>
        </is>
      </c>
      <c r="C857" s="25" t="inlineStr">
        <is>
          <t>1</t>
        </is>
      </c>
      <c r="D857" s="25" t="inlineStr">
        <is>
          <t>ST-063-STD-08</t>
        </is>
      </c>
      <c r="E857" s="25" t="inlineStr">
        <is>
          <t>IA-ST-063-STD-08</t>
        </is>
      </c>
      <c r="F857" s="25" t="inlineStr">
        <is>
          <t>IA-ST-CFG-0179</t>
        </is>
      </c>
      <c r="G857" s="25" t="n">
        <v>29.9992</v>
      </c>
      <c r="H857" s="25" t="inlineStr">
        <is>
          <t>988-pack GENERATED</t>
        </is>
      </c>
    </row>
    <row r="858">
      <c r="A858" s="25" t="inlineStr">
        <is>
          <t>1012907</t>
        </is>
      </c>
      <c r="B858" s="25" t="inlineStr">
        <is>
          <t>AKÜ,D31,DK90AH,IGYA,İNCİFORMTAUR,SHAWKAT</t>
        </is>
      </c>
      <c r="C858" s="25" t="inlineStr">
        <is>
          <t>1</t>
        </is>
      </c>
      <c r="D858" s="25" t="inlineStr">
        <is>
          <t>ST-054-STD-07</t>
        </is>
      </c>
      <c r="E858" s="25" t="inlineStr">
        <is>
          <t>IA-ST-054-STD-07</t>
        </is>
      </c>
      <c r="F858" s="25" t="inlineStr">
        <is>
          <t>IA-ST-CFG-0143</t>
        </is>
      </c>
      <c r="G858" s="25" t="n">
        <v>33.7838</v>
      </c>
      <c r="H858" s="25" t="inlineStr">
        <is>
          <t>988-pack GENERATED</t>
        </is>
      </c>
    </row>
    <row r="859">
      <c r="A859" s="25" t="inlineStr">
        <is>
          <t>1012908</t>
        </is>
      </c>
      <c r="B859" s="25" t="inlineStr">
        <is>
          <t>AKÜ,D26,DK,62AH,IGYA,HUGEL ULTRA,SHAWKAT</t>
        </is>
      </c>
      <c r="C859" s="25" t="inlineStr">
        <is>
          <t>1</t>
        </is>
      </c>
      <c r="D859" s="25" t="inlineStr">
        <is>
          <t>ST-063-STD-04</t>
        </is>
      </c>
      <c r="E859" s="25" t="inlineStr">
        <is>
          <t>IA-ST-063-STD-04</t>
        </is>
      </c>
      <c r="F859" s="25" t="inlineStr">
        <is>
          <t>IA-ST-CFG-0175</t>
        </is>
      </c>
      <c r="G859" s="25" t="n">
        <v>34.1512</v>
      </c>
      <c r="H859" s="25" t="inlineStr">
        <is>
          <t>988-pack GENERATED</t>
        </is>
      </c>
    </row>
    <row r="860">
      <c r="A860" s="25" t="inlineStr">
        <is>
          <t>1012909</t>
        </is>
      </c>
      <c r="B860" s="25" t="inlineStr">
        <is>
          <t>AKÜ,L5,DK,90AH,IGYA,İNCİFORMTAUR,SHAWKAT</t>
        </is>
      </c>
      <c r="C860" s="25" t="inlineStr">
        <is>
          <t>1</t>
        </is>
      </c>
      <c r="D860" s="25" t="inlineStr">
        <is>
          <t>ST-045-STD-08</t>
        </is>
      </c>
      <c r="E860" s="25" t="inlineStr">
        <is>
          <t>IA-ST-045-STD-08</t>
        </is>
      </c>
      <c r="F860" s="25" t="inlineStr">
        <is>
          <t>IA-ST-CFG-0096</t>
        </is>
      </c>
      <c r="G860" s="25" t="n">
        <v>29.7192</v>
      </c>
      <c r="H860" s="25" t="inlineStr">
        <is>
          <t>988-pack GENERATED</t>
        </is>
      </c>
    </row>
    <row r="861">
      <c r="A861" s="25" t="inlineStr">
        <is>
          <t>1012910</t>
        </is>
      </c>
      <c r="B861" s="25" t="inlineStr">
        <is>
          <t>AKÜ,L2,TK,62AH,IGYA,İNCİFORMTAUR,SHAWKAT</t>
        </is>
      </c>
      <c r="C861" s="25" t="inlineStr">
        <is>
          <t>1</t>
        </is>
      </c>
      <c r="D861" s="25" t="inlineStr">
        <is>
          <t>ST-072-STD-13</t>
        </is>
      </c>
      <c r="E861" s="25" t="inlineStr">
        <is>
          <t>IA-ST-072-STD-13</t>
        </is>
      </c>
      <c r="F861" s="25" t="inlineStr">
        <is>
          <t>IA-ST-CFG-0222</t>
        </is>
      </c>
      <c r="G861" s="25" t="n">
        <v>30.6552</v>
      </c>
      <c r="H861" s="25" t="inlineStr">
        <is>
          <t>988-pack GENERATED</t>
        </is>
      </c>
    </row>
    <row r="862">
      <c r="A862" s="25" t="inlineStr">
        <is>
          <t>1012911</t>
        </is>
      </c>
      <c r="B862" s="25" t="inlineStr">
        <is>
          <t>AKÜ,L3,TK,75AH,IGYA,İNCİFORMTAUR,SHAWKAT</t>
        </is>
      </c>
      <c r="C862" s="25" t="inlineStr">
        <is>
          <t>1</t>
        </is>
      </c>
      <c r="D862" s="25" t="inlineStr">
        <is>
          <t>ST-063-STD-08</t>
        </is>
      </c>
      <c r="E862" s="25" t="inlineStr">
        <is>
          <t>IA-ST-063-STD-08</t>
        </is>
      </c>
      <c r="F862" s="25" t="inlineStr">
        <is>
          <t>IA-ST-CFG-0179</t>
        </is>
      </c>
      <c r="G862" s="25" t="n">
        <v>29.9992</v>
      </c>
      <c r="H862" s="25" t="inlineStr">
        <is>
          <t>988-pack GENERATED</t>
        </is>
      </c>
    </row>
    <row r="863">
      <c r="A863" s="25" t="inlineStr">
        <is>
          <t>1012912</t>
        </is>
      </c>
      <c r="B863" s="25" t="inlineStr">
        <is>
          <t>AKÜ,D31,TK102AH,IGYA,İNCİFORMTAU,SHAWKAT</t>
        </is>
      </c>
      <c r="C863" s="25" t="inlineStr">
        <is>
          <t>1</t>
        </is>
      </c>
      <c r="D863" s="25" t="inlineStr">
        <is>
          <t>ST-054-STD-07</t>
        </is>
      </c>
      <c r="E863" s="25" t="inlineStr">
        <is>
          <t>IA-ST-054-STD-07</t>
        </is>
      </c>
      <c r="F863" s="25" t="inlineStr">
        <is>
          <t>IA-ST-CFG-0143</t>
        </is>
      </c>
      <c r="G863" s="25" t="n">
        <v>33.7838</v>
      </c>
      <c r="H863" s="25" t="inlineStr">
        <is>
          <t>988-pack GENERATED</t>
        </is>
      </c>
    </row>
    <row r="864">
      <c r="A864" s="25" t="inlineStr">
        <is>
          <t>1012913</t>
        </is>
      </c>
      <c r="B864" s="25" t="inlineStr">
        <is>
          <t>AKÜ,L3,DK,75AH,IGYA,İNCİFORMTAUR,SHAWKAT</t>
        </is>
      </c>
      <c r="C864" s="25" t="inlineStr">
        <is>
          <t>1</t>
        </is>
      </c>
      <c r="D864" s="25" t="inlineStr">
        <is>
          <t>ST-063-STD-08</t>
        </is>
      </c>
      <c r="E864" s="25" t="inlineStr">
        <is>
          <t>IA-ST-063-STD-08</t>
        </is>
      </c>
      <c r="F864" s="25" t="inlineStr">
        <is>
          <t>IA-ST-CFG-0179</t>
        </is>
      </c>
      <c r="G864" s="25" t="n">
        <v>29.9992</v>
      </c>
      <c r="H864" s="25" t="inlineStr">
        <is>
          <t>988-pack GENERATED</t>
        </is>
      </c>
    </row>
    <row r="865">
      <c r="A865" s="25" t="inlineStr">
        <is>
          <t>1012914</t>
        </is>
      </c>
      <c r="B865" s="25" t="inlineStr">
        <is>
          <t>AKÜ,D23,DK,62AH,IGYA,İNCİFORMTAU,SHAWKAT</t>
        </is>
      </c>
      <c r="C865" s="25" t="inlineStr">
        <is>
          <t>1</t>
        </is>
      </c>
      <c r="D865" s="25" t="inlineStr">
        <is>
          <t>ST-072-STD-10</t>
        </is>
      </c>
      <c r="E865" s="25" t="inlineStr">
        <is>
          <t>IA-ST-072-STD-10</t>
        </is>
      </c>
      <c r="F865" s="25" t="inlineStr">
        <is>
          <t>IA-ST-CFG-0219</t>
        </is>
      </c>
      <c r="G865" s="25" t="n">
        <v>34.33224</v>
      </c>
      <c r="H865" s="25" t="inlineStr">
        <is>
          <t>988-pack GENERATED</t>
        </is>
      </c>
    </row>
    <row r="866">
      <c r="A866" s="25" t="inlineStr">
        <is>
          <t>1012915</t>
        </is>
      </c>
      <c r="B866" s="25" t="inlineStr">
        <is>
          <t>AKÜ,L2,DK,62AH,IGYA,İNCİFORMTAUR,SHAWKAT</t>
        </is>
      </c>
      <c r="C866" s="25" t="inlineStr">
        <is>
          <t>1</t>
        </is>
      </c>
      <c r="D866" s="25" t="inlineStr">
        <is>
          <t>ST-072-STD-13</t>
        </is>
      </c>
      <c r="E866" s="25" t="inlineStr">
        <is>
          <t>IA-ST-072-STD-13</t>
        </is>
      </c>
      <c r="F866" s="25" t="inlineStr">
        <is>
          <t>IA-ST-CFG-0222</t>
        </is>
      </c>
      <c r="G866" s="25" t="n">
        <v>30.6552</v>
      </c>
      <c r="H866" s="25" t="inlineStr">
        <is>
          <t>988-pack GENERATED</t>
        </is>
      </c>
    </row>
    <row r="867">
      <c r="A867" s="25" t="inlineStr">
        <is>
          <t>1012916</t>
        </is>
      </c>
      <c r="B867" s="25" t="inlineStr">
        <is>
          <t>AKÜ,D31,DK102AH,IGYA,İNCİFORMTAU,SHAWKAT</t>
        </is>
      </c>
      <c r="C867" s="25" t="inlineStr">
        <is>
          <t>1</t>
        </is>
      </c>
      <c r="D867" s="25" t="inlineStr">
        <is>
          <t>ST-054-STD-07</t>
        </is>
      </c>
      <c r="E867" s="25" t="inlineStr">
        <is>
          <t>IA-ST-054-STD-07</t>
        </is>
      </c>
      <c r="F867" s="25" t="inlineStr">
        <is>
          <t>IA-ST-CFG-0143</t>
        </is>
      </c>
      <c r="G867" s="25" t="n">
        <v>33.7838</v>
      </c>
      <c r="H867" s="25" t="inlineStr">
        <is>
          <t>988-pack GENERATED</t>
        </is>
      </c>
    </row>
    <row r="868">
      <c r="A868" s="25" t="inlineStr">
        <is>
          <t>1012917</t>
        </is>
      </c>
      <c r="B868" s="25" t="inlineStr">
        <is>
          <t>AKÜ,D31,TK,90AH,IGYA,İNCİFORMTAU,SHAWKAT</t>
        </is>
      </c>
      <c r="C868" s="25" t="inlineStr">
        <is>
          <t>1</t>
        </is>
      </c>
      <c r="D868" s="25" t="inlineStr">
        <is>
          <t>ST-054-STD-07</t>
        </is>
      </c>
      <c r="E868" s="25" t="inlineStr">
        <is>
          <t>IA-ST-054-STD-07</t>
        </is>
      </c>
      <c r="F868" s="25" t="inlineStr">
        <is>
          <t>IA-ST-CFG-0143</t>
        </is>
      </c>
      <c r="G868" s="25" t="n">
        <v>33.7838</v>
      </c>
      <c r="H868" s="25" t="inlineStr">
        <is>
          <t>988-pack GENERATED</t>
        </is>
      </c>
    </row>
    <row r="869">
      <c r="A869" s="25" t="inlineStr">
        <is>
          <t>1012918</t>
        </is>
      </c>
      <c r="B869" s="25" t="inlineStr">
        <is>
          <t>AKÜ,L2,DK,62Ah,IGYASMF,ENERGYMAX,SHAWKAT</t>
        </is>
      </c>
      <c r="C869" s="25" t="inlineStr">
        <is>
          <t>1</t>
        </is>
      </c>
      <c r="D869" s="25" t="inlineStr">
        <is>
          <t>ST-072-STD-13</t>
        </is>
      </c>
      <c r="E869" s="25" t="inlineStr">
        <is>
          <t>IA-ST-072-STD-13</t>
        </is>
      </c>
      <c r="F869" s="25" t="inlineStr">
        <is>
          <t>IA-ST-CFG-0222</t>
        </is>
      </c>
      <c r="G869" s="25" t="n">
        <v>30.6552</v>
      </c>
      <c r="H869" s="25" t="inlineStr">
        <is>
          <t>988-pack GENERATED</t>
        </is>
      </c>
    </row>
    <row r="870">
      <c r="A870" s="25" t="inlineStr">
        <is>
          <t>1012922</t>
        </is>
      </c>
      <c r="B870" s="25" t="inlineStr">
        <is>
          <t>AKÜ,L2,DK,57AH,IGYASMF,ENERGYMAX,SHAWKAT</t>
        </is>
      </c>
      <c r="C870" s="25" t="inlineStr">
        <is>
          <t>1</t>
        </is>
      </c>
      <c r="D870" s="25" t="inlineStr">
        <is>
          <t>ST-072-STD-13</t>
        </is>
      </c>
      <c r="E870" s="25" t="inlineStr">
        <is>
          <t>IA-ST-072-STD-13</t>
        </is>
      </c>
      <c r="F870" s="25" t="inlineStr">
        <is>
          <t>IA-ST-CFG-0222</t>
        </is>
      </c>
      <c r="G870" s="25" t="n">
        <v>30.6552</v>
      </c>
      <c r="H870" s="25" t="inlineStr">
        <is>
          <t>988-pack GENERATED</t>
        </is>
      </c>
    </row>
    <row r="871">
      <c r="A871" s="25" t="inlineStr">
        <is>
          <t>1012929</t>
        </is>
      </c>
      <c r="B871" s="25" t="inlineStr">
        <is>
          <t>AKÜ,L3,DK,72AH,IGYA,HUGEL ACTION,SHAWKAT</t>
        </is>
      </c>
      <c r="C871" s="25" t="inlineStr">
        <is>
          <t>1</t>
        </is>
      </c>
      <c r="D871" s="25" t="inlineStr">
        <is>
          <t>ST-063-STD-08</t>
        </is>
      </c>
      <c r="E871" s="25" t="inlineStr">
        <is>
          <t>IA-ST-063-STD-08</t>
        </is>
      </c>
      <c r="F871" s="25" t="inlineStr">
        <is>
          <t>IA-ST-CFG-0179</t>
        </is>
      </c>
      <c r="G871" s="25" t="n">
        <v>29.9992</v>
      </c>
      <c r="H871" s="25" t="inlineStr">
        <is>
          <t>988-pack GENERATED</t>
        </is>
      </c>
    </row>
    <row r="872">
      <c r="A872" s="25" t="inlineStr">
        <is>
          <t>1012930</t>
        </is>
      </c>
      <c r="B872" s="25" t="inlineStr">
        <is>
          <t>AKÜ,D31,DK,90AH,IGYA,HUGEL ULTRA,SHAWKAT</t>
        </is>
      </c>
      <c r="C872" s="25" t="inlineStr">
        <is>
          <t>1</t>
        </is>
      </c>
      <c r="D872" s="25" t="inlineStr">
        <is>
          <t>ST-054-STD-07</t>
        </is>
      </c>
      <c r="E872" s="25" t="inlineStr">
        <is>
          <t>IA-ST-054-STD-07</t>
        </is>
      </c>
      <c r="F872" s="25" t="inlineStr">
        <is>
          <t>IA-ST-CFG-0143</t>
        </is>
      </c>
      <c r="G872" s="25" t="n">
        <v>33.7838</v>
      </c>
      <c r="H872" s="25" t="inlineStr">
        <is>
          <t>988-pack GENERATED</t>
        </is>
      </c>
    </row>
    <row r="873">
      <c r="A873" s="25" t="inlineStr">
        <is>
          <t>1012932</t>
        </is>
      </c>
      <c r="B873" s="25" t="inlineStr">
        <is>
          <t>AKÜ,NS60,DK45AH,IGYA,İNCİFORMTAU,SHAWKAT</t>
        </is>
      </c>
      <c r="C873" s="25" t="inlineStr">
        <is>
          <t>1</t>
        </is>
      </c>
      <c r="D873" s="25" t="inlineStr">
        <is>
          <t>ST-096-STD-03</t>
        </is>
      </c>
      <c r="E873" s="25" t="inlineStr">
        <is>
          <t>IA-ST-096-STD-03</t>
        </is>
      </c>
      <c r="F873" s="25" t="inlineStr">
        <is>
          <t>IA-ST-CFG-0272</t>
        </is>
      </c>
      <c r="G873" s="25" t="n">
        <v>35.3172</v>
      </c>
      <c r="H873" s="25" t="inlineStr">
        <is>
          <t>988-pack GENERATED</t>
        </is>
      </c>
    </row>
    <row r="874">
      <c r="A874" s="25" t="inlineStr">
        <is>
          <t>1012937</t>
        </is>
      </c>
      <c r="B874" s="25" t="inlineStr">
        <is>
          <t>AKÜ,D23,TK,62AH,IGYA,EASA CTIVA,SHAWKAT</t>
        </is>
      </c>
      <c r="C874" s="25" t="inlineStr">
        <is>
          <t>1</t>
        </is>
      </c>
      <c r="D874" s="25" t="inlineStr">
        <is>
          <t>ST-072-STD-10</t>
        </is>
      </c>
      <c r="E874" s="25" t="inlineStr">
        <is>
          <t>IA-ST-072-STD-10</t>
        </is>
      </c>
      <c r="F874" s="25" t="inlineStr">
        <is>
          <t>IA-ST-CFG-0219</t>
        </is>
      </c>
      <c r="G874" s="25" t="n">
        <v>34.33224</v>
      </c>
      <c r="H874" s="25" t="inlineStr">
        <is>
          <t>988-pack GENERATED</t>
        </is>
      </c>
    </row>
    <row r="875">
      <c r="A875" s="25" t="inlineStr">
        <is>
          <t>1012939</t>
        </is>
      </c>
      <c r="B875" s="25" t="inlineStr">
        <is>
          <t>AKÜ,D23,DK,62AH,IGYA,HUGEL ULTRA,SHAWKAT</t>
        </is>
      </c>
      <c r="C875" s="25" t="inlineStr">
        <is>
          <t>1</t>
        </is>
      </c>
      <c r="D875" s="25" t="inlineStr">
        <is>
          <t>ST-072-STD-10</t>
        </is>
      </c>
      <c r="E875" s="25" t="inlineStr">
        <is>
          <t>IA-ST-072-STD-10</t>
        </is>
      </c>
      <c r="F875" s="25" t="inlineStr">
        <is>
          <t>IA-ST-CFG-0219</t>
        </is>
      </c>
      <c r="G875" s="25" t="n">
        <v>34.33224</v>
      </c>
      <c r="H875" s="25" t="inlineStr">
        <is>
          <t>988-pack GENERATED</t>
        </is>
      </c>
    </row>
    <row r="876">
      <c r="A876" s="25" t="inlineStr">
        <is>
          <t>1012940</t>
        </is>
      </c>
      <c r="B876" s="25" t="inlineStr">
        <is>
          <t>AKÜ,L3,TK,75AH,IGYSMF,HUGELULTRA,SHAWKAT</t>
        </is>
      </c>
      <c r="C876" s="25" t="inlineStr">
        <is>
          <t>1</t>
        </is>
      </c>
      <c r="D876" s="25" t="inlineStr">
        <is>
          <t>ST-063-STD-08</t>
        </is>
      </c>
      <c r="E876" s="25" t="inlineStr">
        <is>
          <t>IA-ST-063-STD-08</t>
        </is>
      </c>
      <c r="F876" s="25" t="inlineStr">
        <is>
          <t>IA-ST-CFG-0179</t>
        </is>
      </c>
      <c r="G876" s="25" t="n">
        <v>29.9992</v>
      </c>
      <c r="H876" s="25" t="inlineStr">
        <is>
          <t>988-pack GENERATED</t>
        </is>
      </c>
    </row>
    <row r="877">
      <c r="A877" s="25" t="inlineStr">
        <is>
          <t>1012943</t>
        </is>
      </c>
      <c r="B877" s="25" t="inlineStr">
        <is>
          <t>AKÜ,D26,DK75AH,IGYSMF,HUGELULTRA,SHAWKAT</t>
        </is>
      </c>
      <c r="C877" s="25" t="inlineStr">
        <is>
          <t>1</t>
        </is>
      </c>
      <c r="D877" s="25" t="inlineStr">
        <is>
          <t>ST-063-STD-04</t>
        </is>
      </c>
      <c r="E877" s="25" t="inlineStr">
        <is>
          <t>IA-ST-063-STD-04</t>
        </is>
      </c>
      <c r="F877" s="25" t="inlineStr">
        <is>
          <t>IA-ST-CFG-0175</t>
        </is>
      </c>
      <c r="G877" s="25" t="n">
        <v>34.1512</v>
      </c>
      <c r="H877" s="25" t="inlineStr">
        <is>
          <t>988-pack GENERATED</t>
        </is>
      </c>
    </row>
    <row r="878">
      <c r="A878" s="25" t="inlineStr">
        <is>
          <t>1012946</t>
        </is>
      </c>
      <c r="B878" s="25" t="inlineStr">
        <is>
          <t>AKÜ,D26,TK,62AH,IGYA,İNCİFORMTAU,SHAWKAT</t>
        </is>
      </c>
      <c r="C878" s="25" t="inlineStr">
        <is>
          <t>1</t>
        </is>
      </c>
      <c r="D878" s="25" t="inlineStr">
        <is>
          <t>ST-063-STD-04</t>
        </is>
      </c>
      <c r="E878" s="25" t="inlineStr">
        <is>
          <t>IA-ST-063-STD-04</t>
        </is>
      </c>
      <c r="F878" s="25" t="inlineStr">
        <is>
          <t>IA-ST-CFG-0175</t>
        </is>
      </c>
      <c r="G878" s="25" t="n">
        <v>34.1512</v>
      </c>
      <c r="H878" s="25" t="inlineStr">
        <is>
          <t>988-pack GENERATED</t>
        </is>
      </c>
    </row>
    <row r="879">
      <c r="A879" s="25" t="inlineStr">
        <is>
          <t>1012949</t>
        </is>
      </c>
      <c r="B879" s="25" t="inlineStr">
        <is>
          <t>AKÜ,NS60,DK,45AH,IGYA,HUGELULTRA,SHAWKAT</t>
        </is>
      </c>
      <c r="C879" s="25" t="inlineStr">
        <is>
          <t>1</t>
        </is>
      </c>
      <c r="D879" s="25" t="inlineStr">
        <is>
          <t>ST-096-STD-03</t>
        </is>
      </c>
      <c r="E879" s="25" t="inlineStr">
        <is>
          <t>IA-ST-096-STD-03</t>
        </is>
      </c>
      <c r="F879" s="25" t="inlineStr">
        <is>
          <t>IA-ST-CFG-0272</t>
        </is>
      </c>
      <c r="G879" s="25" t="n">
        <v>35.3172</v>
      </c>
      <c r="H879" s="25" t="inlineStr">
        <is>
          <t>988-pack GENERATED</t>
        </is>
      </c>
    </row>
    <row r="880">
      <c r="A880" s="25" t="inlineStr">
        <is>
          <t>1012956</t>
        </is>
      </c>
      <c r="B880" s="25" t="inlineStr">
        <is>
          <t>AKÜ,L3,TK72AH,IGYSMF,GRİSYH,SILVR,SCHNAP</t>
        </is>
      </c>
      <c r="C880" s="25" t="inlineStr">
        <is>
          <t>1</t>
        </is>
      </c>
      <c r="D880" s="25" t="inlineStr">
        <is>
          <t>ST-063-STD-14</t>
        </is>
      </c>
      <c r="E880" s="25" t="inlineStr">
        <is>
          <t>IA-ST-063-STD-14</t>
        </is>
      </c>
      <c r="F880" s="25" t="inlineStr">
        <is>
          <t>IA-ST-CFG-0185</t>
        </is>
      </c>
      <c r="G880" s="25" t="n">
        <v>28.617</v>
      </c>
      <c r="H880" s="25" t="inlineStr">
        <is>
          <t>988-pack GENERATED</t>
        </is>
      </c>
    </row>
    <row r="881">
      <c r="A881" s="25" t="inlineStr">
        <is>
          <t>1012957</t>
        </is>
      </c>
      <c r="B881" s="25" t="inlineStr">
        <is>
          <t>AKÜ,L1,TK,44AH,IGYA SMF,SMF 077,GS</t>
        </is>
      </c>
      <c r="C881" s="25" t="inlineStr">
        <is>
          <t>1</t>
        </is>
      </c>
      <c r="D881" s="25" t="inlineStr">
        <is>
          <t>ST-072-EUR-04</t>
        </is>
      </c>
      <c r="E881" s="25" t="inlineStr">
        <is>
          <t>IA-ST-072-EUR-04</t>
        </is>
      </c>
      <c r="F881" s="25" t="inlineStr">
        <is>
          <t>IA-ST-CFG-0209</t>
        </is>
      </c>
      <c r="G881" s="25" t="n">
        <v>28.366</v>
      </c>
      <c r="H881" s="25" t="inlineStr">
        <is>
          <t>988-pack GENERATED</t>
        </is>
      </c>
    </row>
    <row r="882">
      <c r="A882" s="25" t="inlineStr">
        <is>
          <t>1012958</t>
        </is>
      </c>
      <c r="B882" s="25" t="inlineStr">
        <is>
          <t>AKÜ,L1,DK,52AH,IGYA SMF,SMF 012,GS</t>
        </is>
      </c>
      <c r="C882" s="25" t="inlineStr">
        <is>
          <t>1</t>
        </is>
      </c>
      <c r="D882" s="25" t="inlineStr">
        <is>
          <t>ST-072-EUR-04</t>
        </is>
      </c>
      <c r="E882" s="25" t="inlineStr">
        <is>
          <t>IA-ST-072-EUR-04</t>
        </is>
      </c>
      <c r="F882" s="25" t="inlineStr">
        <is>
          <t>IA-ST-CFG-0209</t>
        </is>
      </c>
      <c r="G882" s="25" t="n">
        <v>28.366</v>
      </c>
      <c r="H882" s="25" t="inlineStr">
        <is>
          <t>988-pack GENERATED</t>
        </is>
      </c>
    </row>
    <row r="883">
      <c r="A883" s="25" t="inlineStr">
        <is>
          <t>1012959</t>
        </is>
      </c>
      <c r="B883" s="25" t="inlineStr">
        <is>
          <t>AKÜ,LB1,DK,46AH,IGYA SMF,SMF 063,GS</t>
        </is>
      </c>
      <c r="C883" s="25" t="inlineStr">
        <is>
          <t>1</t>
        </is>
      </c>
      <c r="D883" s="25" t="inlineStr">
        <is>
          <t>ST-072-EUR-04</t>
        </is>
      </c>
      <c r="E883" s="25" t="inlineStr">
        <is>
          <t>IA-ST-072-EUR-04</t>
        </is>
      </c>
      <c r="F883" s="25" t="inlineStr">
        <is>
          <t>IA-ST-CFG-0209</t>
        </is>
      </c>
      <c r="G883" s="25" t="n">
        <v>28.366</v>
      </c>
      <c r="H883" s="25" t="inlineStr">
        <is>
          <t>988-pack GENERATED</t>
        </is>
      </c>
    </row>
    <row r="884">
      <c r="A884" s="25" t="inlineStr">
        <is>
          <t>1012962</t>
        </is>
      </c>
      <c r="B884" s="25" t="inlineStr">
        <is>
          <t>AKÜ,LB2,DK,60AH,IGYA SMF,SMF 075,GS</t>
        </is>
      </c>
      <c r="C884" s="25" t="inlineStr">
        <is>
          <t>1</t>
        </is>
      </c>
      <c r="D884" s="25" t="inlineStr">
        <is>
          <t>ST-057-EUR-03</t>
        </is>
      </c>
      <c r="E884" s="25" t="inlineStr">
        <is>
          <t>IA-ST-057-EUR-03</t>
        </is>
      </c>
      <c r="F884" s="25" t="inlineStr">
        <is>
          <t>IA-ST-CFG-0162</t>
        </is>
      </c>
      <c r="G884" s="25" t="n">
        <v>27.926</v>
      </c>
      <c r="H884" s="25" t="inlineStr">
        <is>
          <t>988-pack GENERATED</t>
        </is>
      </c>
    </row>
    <row r="885">
      <c r="A885" s="25" t="inlineStr">
        <is>
          <t>1012966</t>
        </is>
      </c>
      <c r="B885" s="25" t="inlineStr">
        <is>
          <t>AKÜ,L4,DK,82AH,IGYA SMF,SMF 115,GS</t>
        </is>
      </c>
      <c r="C885" s="25" t="inlineStr">
        <is>
          <t>1</t>
        </is>
      </c>
      <c r="D885" s="25" t="inlineStr">
        <is>
          <t>ST-042-EUR-02</t>
        </is>
      </c>
      <c r="E885" s="25" t="inlineStr">
        <is>
          <t>IA-ST-042-EUR-02</t>
        </is>
      </c>
      <c r="F885" s="25" t="inlineStr">
        <is>
          <t>IA-ST-CFG-0085</t>
        </is>
      </c>
      <c r="G885" s="25" t="n">
        <v>27.926</v>
      </c>
      <c r="H885" s="25" t="inlineStr">
        <is>
          <t>988-pack GENERATED</t>
        </is>
      </c>
    </row>
    <row r="886">
      <c r="A886" s="25" t="inlineStr">
        <is>
          <t>1012967</t>
        </is>
      </c>
      <c r="B886" s="25" t="inlineStr">
        <is>
          <t>AKÜ,LB4,DK,80AH,IGYA SMF,SMF 110,GS</t>
        </is>
      </c>
      <c r="C886" s="25" t="inlineStr">
        <is>
          <t>1</t>
        </is>
      </c>
      <c r="D886" s="25" t="inlineStr">
        <is>
          <t>ST-042-EUR-02</t>
        </is>
      </c>
      <c r="E886" s="25" t="inlineStr">
        <is>
          <t>IA-ST-042-EUR-02</t>
        </is>
      </c>
      <c r="F886" s="25" t="inlineStr">
        <is>
          <t>IA-ST-CFG-0085</t>
        </is>
      </c>
      <c r="G886" s="25" t="n">
        <v>27.926</v>
      </c>
      <c r="H886" s="25" t="inlineStr">
        <is>
          <t>988-pack GENERATED</t>
        </is>
      </c>
    </row>
    <row r="887">
      <c r="A887" s="25" t="inlineStr">
        <is>
          <t>1012969</t>
        </is>
      </c>
      <c r="B887" s="25" t="inlineStr">
        <is>
          <t>AKÜ,LB5,DK,90AH,IGYA SMF,SMF 017,GS</t>
        </is>
      </c>
      <c r="C887" s="25" t="inlineStr">
        <is>
          <t>1</t>
        </is>
      </c>
      <c r="D887" s="25" t="inlineStr">
        <is>
          <t>ST-036-EUR-04</t>
        </is>
      </c>
      <c r="E887" s="25" t="inlineStr">
        <is>
          <t>IA-ST-036-EUR-04</t>
        </is>
      </c>
      <c r="F887" s="25" t="inlineStr">
        <is>
          <t>IA-ST-CFG-0068</t>
        </is>
      </c>
      <c r="G887" s="25" t="n">
        <v>27.926</v>
      </c>
      <c r="H887" s="25" t="inlineStr">
        <is>
          <t>988-pack GENERATED</t>
        </is>
      </c>
    </row>
    <row r="888">
      <c r="A888" s="25" t="inlineStr">
        <is>
          <t>1012970</t>
        </is>
      </c>
      <c r="B888" s="25" t="inlineStr">
        <is>
          <t>AKÜ,D23,DK,60AH,IGYA SMF,SMF 005,GS</t>
        </is>
      </c>
      <c r="C888" s="25" t="inlineStr">
        <is>
          <t>1</t>
        </is>
      </c>
      <c r="D888" s="25" t="inlineStr">
        <is>
          <t>ST-063-EUR-01</t>
        </is>
      </c>
      <c r="E888" s="25" t="inlineStr">
        <is>
          <t>IA-ST-063-EUR-01</t>
        </is>
      </c>
      <c r="F888" s="25" t="inlineStr">
        <is>
          <t>IA-ST-CFG-0188</t>
        </is>
      </c>
      <c r="G888" s="25" t="n">
        <v>30.326</v>
      </c>
      <c r="H888" s="25" t="inlineStr">
        <is>
          <t>988-pack GENERATED</t>
        </is>
      </c>
    </row>
    <row r="889">
      <c r="A889" s="25" t="inlineStr">
        <is>
          <t>1012971</t>
        </is>
      </c>
      <c r="B889" s="25" t="inlineStr">
        <is>
          <t>AKÜ,D23,TK,60AH,IGYA SMF,SMF 014,GS</t>
        </is>
      </c>
      <c r="C889" s="25" t="inlineStr">
        <is>
          <t>1</t>
        </is>
      </c>
      <c r="D889" s="25" t="inlineStr">
        <is>
          <t>ST-063-EUR-01</t>
        </is>
      </c>
      <c r="E889" s="25" t="inlineStr">
        <is>
          <t>IA-ST-063-EUR-01</t>
        </is>
      </c>
      <c r="F889" s="25" t="inlineStr">
        <is>
          <t>IA-ST-CFG-0188</t>
        </is>
      </c>
      <c r="G889" s="25" t="n">
        <v>30.326</v>
      </c>
      <c r="H889" s="25" t="inlineStr">
        <is>
          <t>988-pack GENERATED</t>
        </is>
      </c>
    </row>
    <row r="890">
      <c r="A890" s="25" t="inlineStr">
        <is>
          <t>1012972</t>
        </is>
      </c>
      <c r="B890" s="25" t="inlineStr">
        <is>
          <t>AKÜ,D26,DK,72AH,IGYA SMF,SMF 068,GS</t>
        </is>
      </c>
      <c r="C890" s="25" t="inlineStr">
        <is>
          <t>1</t>
        </is>
      </c>
      <c r="D890" s="25" t="inlineStr">
        <is>
          <t>ST-057-EUR-01</t>
        </is>
      </c>
      <c r="E890" s="25" t="inlineStr">
        <is>
          <t>IA-ST-057-EUR-01</t>
        </is>
      </c>
      <c r="F890" s="25" t="inlineStr">
        <is>
          <t>IA-ST-CFG-0160</t>
        </is>
      </c>
      <c r="G890" s="25" t="n">
        <v>30.326</v>
      </c>
      <c r="H890" s="25" t="inlineStr">
        <is>
          <t>988-pack GENERATED</t>
        </is>
      </c>
    </row>
    <row r="891">
      <c r="A891" s="25" t="inlineStr">
        <is>
          <t>1012973</t>
        </is>
      </c>
      <c r="B891" s="25" t="inlineStr">
        <is>
          <t>AKÜ,D26,TK,72AH,IGYA SMF,SMF 069,GS</t>
        </is>
      </c>
      <c r="C891" s="25" t="inlineStr">
        <is>
          <t>1</t>
        </is>
      </c>
      <c r="D891" s="25" t="inlineStr">
        <is>
          <t>ST-057-EUR-01</t>
        </is>
      </c>
      <c r="E891" s="25" t="inlineStr">
        <is>
          <t>IA-ST-057-EUR-01</t>
        </is>
      </c>
      <c r="F891" s="25" t="inlineStr">
        <is>
          <t>IA-ST-CFG-0160</t>
        </is>
      </c>
      <c r="G891" s="25" t="n">
        <v>30.326</v>
      </c>
      <c r="H891" s="25" t="inlineStr">
        <is>
          <t>988-pack GENERATED</t>
        </is>
      </c>
    </row>
    <row r="892">
      <c r="A892" s="25" t="inlineStr">
        <is>
          <t>1012974</t>
        </is>
      </c>
      <c r="B892" s="25" t="inlineStr">
        <is>
          <t>AKÜ,D31,TK,95AH,IGYA SMF,SMF 334,GS</t>
        </is>
      </c>
      <c r="C892" s="25" t="inlineStr">
        <is>
          <t>1</t>
        </is>
      </c>
      <c r="D892" s="25" t="inlineStr">
        <is>
          <t>ST-048-EUR-05</t>
        </is>
      </c>
      <c r="E892" s="25" t="inlineStr">
        <is>
          <t>IA-ST-048-EUR-05</t>
        </is>
      </c>
      <c r="F892" s="25" t="inlineStr">
        <is>
          <t>IA-ST-CFG-0111</t>
        </is>
      </c>
      <c r="G892" s="25" t="n">
        <v>30.326</v>
      </c>
      <c r="H892" s="25" t="inlineStr">
        <is>
          <t>988-pack GENERATED</t>
        </is>
      </c>
    </row>
    <row r="893">
      <c r="A893" s="25" t="inlineStr">
        <is>
          <t>1012975</t>
        </is>
      </c>
      <c r="B893" s="25" t="inlineStr">
        <is>
          <t>AKÜ,D31,DK,95AH,IGYA SMF,SMF 335,GS</t>
        </is>
      </c>
      <c r="C893" s="25" t="inlineStr">
        <is>
          <t>1</t>
        </is>
      </c>
      <c r="D893" s="25" t="inlineStr">
        <is>
          <t>ST-048-EUR-05</t>
        </is>
      </c>
      <c r="E893" s="25" t="inlineStr">
        <is>
          <t>IA-ST-048-EUR-05</t>
        </is>
      </c>
      <c r="F893" s="25" t="inlineStr">
        <is>
          <t>IA-ST-CFG-0111</t>
        </is>
      </c>
      <c r="G893" s="25" t="n">
        <v>30.326</v>
      </c>
      <c r="H893" s="25" t="inlineStr">
        <is>
          <t>988-pack GENERATED</t>
        </is>
      </c>
    </row>
    <row r="894">
      <c r="A894" s="25" t="inlineStr">
        <is>
          <t>1012976</t>
        </is>
      </c>
      <c r="B894" s="25" t="inlineStr">
        <is>
          <t>AKÜ,D31,DK,105AH,IGYA,İNCİFORM,YANMAROEM</t>
        </is>
      </c>
      <c r="C894" s="25" t="inlineStr">
        <is>
          <t>1</t>
        </is>
      </c>
      <c r="D894" s="25" t="inlineStr">
        <is>
          <t>ST-054-STD-09</t>
        </is>
      </c>
      <c r="E894" s="25" t="inlineStr">
        <is>
          <t>IA-ST-054-STD-09</t>
        </is>
      </c>
      <c r="F894" s="25" t="inlineStr">
        <is>
          <t>IA-ST-CFG-0145</t>
        </is>
      </c>
      <c r="G894" s="25" t="n">
        <v>33.497</v>
      </c>
      <c r="H894" s="25" t="inlineStr">
        <is>
          <t>988-pack GENERATED</t>
        </is>
      </c>
    </row>
    <row r="895">
      <c r="A895" s="25" t="inlineStr">
        <is>
          <t>1012977</t>
        </is>
      </c>
      <c r="B895" s="25" t="inlineStr">
        <is>
          <t>AKÜ,D23,TK,60AH,IGYA,İNCİFORM,YANMAR OEM</t>
        </is>
      </c>
      <c r="C895" s="25" t="inlineStr">
        <is>
          <t>1</t>
        </is>
      </c>
      <c r="D895" s="25" t="inlineStr">
        <is>
          <t>ST-072-STD-15</t>
        </is>
      </c>
      <c r="E895" s="25" t="inlineStr">
        <is>
          <t>IA-ST-072-STD-15</t>
        </is>
      </c>
      <c r="F895" s="25" t="inlineStr">
        <is>
          <t>IA-ST-CFG-0224</t>
        </is>
      </c>
      <c r="G895" s="25" t="n">
        <v>34.04544</v>
      </c>
      <c r="H895" s="25" t="inlineStr">
        <is>
          <t>988-pack GENERATED</t>
        </is>
      </c>
    </row>
    <row r="896">
      <c r="A896" s="25" t="inlineStr">
        <is>
          <t>1012984</t>
        </is>
      </c>
      <c r="B896" s="25" t="inlineStr">
        <is>
          <t>AKÜ,L2,DK,60AH,GSY SMF,FCA EFB,50569189</t>
        </is>
      </c>
      <c r="C896" s="25" t="inlineStr">
        <is>
          <t>1</t>
        </is>
      </c>
      <c r="D896" s="25" t="inlineStr">
        <is>
          <t>ST-057-EUR-03</t>
        </is>
      </c>
      <c r="E896" s="25" t="inlineStr">
        <is>
          <t>IA-ST-057-EUR-03</t>
        </is>
      </c>
      <c r="F896" s="25" t="inlineStr">
        <is>
          <t>IA-ST-CFG-0162</t>
        </is>
      </c>
      <c r="G896" s="25" t="n">
        <v>27.926</v>
      </c>
      <c r="H896" s="25" t="inlineStr">
        <is>
          <t>988-pack GENERATED</t>
        </is>
      </c>
    </row>
    <row r="897">
      <c r="A897" s="25" t="inlineStr">
        <is>
          <t>1012985</t>
        </is>
      </c>
      <c r="B897" s="25" t="inlineStr">
        <is>
          <t>AKÜ,L3,DK,70AH,GSY SMF,FCA EFB,50569187</t>
        </is>
      </c>
      <c r="C897" s="25" t="inlineStr">
        <is>
          <t>1</t>
        </is>
      </c>
      <c r="D897" s="25" t="inlineStr">
        <is>
          <t>ST-051-EUR-01</t>
        </is>
      </c>
      <c r="E897" s="25" t="inlineStr">
        <is>
          <t>IA-ST-051-EUR-01</t>
        </is>
      </c>
      <c r="F897" s="25" t="inlineStr">
        <is>
          <t>IA-ST-CFG-0132</t>
        </is>
      </c>
      <c r="G897" s="25" t="n">
        <v>27.926</v>
      </c>
      <c r="H897" s="25" t="inlineStr">
        <is>
          <t>988-pack GENERATED</t>
        </is>
      </c>
    </row>
    <row r="898">
      <c r="A898" s="25" t="inlineStr">
        <is>
          <t>1012986</t>
        </is>
      </c>
      <c r="B898" s="25" t="inlineStr">
        <is>
          <t>AKÜ,L5,DK,102AH,IGYA SMF,BOOSTER CARBON</t>
        </is>
      </c>
      <c r="C898" s="25" t="inlineStr">
        <is>
          <t>1</t>
        </is>
      </c>
      <c r="D898" s="25" t="inlineStr">
        <is>
          <t>ST-048-EUR-10</t>
        </is>
      </c>
      <c r="E898" s="25" t="inlineStr">
        <is>
          <t>IA-ST-048-EUR-10</t>
        </is>
      </c>
      <c r="F898" s="25" t="inlineStr">
        <is>
          <t>IA-ST-CFG-0116</t>
        </is>
      </c>
      <c r="G898" s="25" t="n">
        <v>29.7592</v>
      </c>
      <c r="H898" s="25" t="inlineStr">
        <is>
          <t>988-pack GENERATED</t>
        </is>
      </c>
    </row>
    <row r="899">
      <c r="A899" s="25" t="inlineStr">
        <is>
          <t>1012987</t>
        </is>
      </c>
      <c r="B899" s="25" t="inlineStr">
        <is>
          <t>AKÜ,D31,DK,100AH,IGYA SMF,BOOSTER CARBON</t>
        </is>
      </c>
      <c r="C899" s="25" t="inlineStr">
        <is>
          <t>1</t>
        </is>
      </c>
      <c r="D899" s="25" t="inlineStr">
        <is>
          <t>ST-048-EUR-09</t>
        </is>
      </c>
      <c r="E899" s="25" t="inlineStr">
        <is>
          <t>IA-ST-048-EUR-09</t>
        </is>
      </c>
      <c r="F899" s="25" t="inlineStr">
        <is>
          <t>IA-ST-CFG-0115</t>
        </is>
      </c>
      <c r="G899" s="25" t="n">
        <v>32.8524</v>
      </c>
      <c r="H899" s="25" t="inlineStr">
        <is>
          <t>988-pack GENERATED</t>
        </is>
      </c>
    </row>
    <row r="900">
      <c r="A900" s="25" t="inlineStr">
        <is>
          <t>1012988</t>
        </is>
      </c>
      <c r="B900" s="25" t="inlineStr">
        <is>
          <t>AKÜ,D31,TK,100AH,IGYA SMF,BOOSTER CARBON</t>
        </is>
      </c>
      <c r="C900" s="25" t="inlineStr">
        <is>
          <t>1</t>
        </is>
      </c>
      <c r="D900" s="25" t="inlineStr">
        <is>
          <t>ST-048-EUR-09</t>
        </is>
      </c>
      <c r="E900" s="25" t="inlineStr">
        <is>
          <t>IA-ST-048-EUR-09</t>
        </is>
      </c>
      <c r="F900" s="25" t="inlineStr">
        <is>
          <t>IA-ST-CFG-0115</t>
        </is>
      </c>
      <c r="G900" s="25" t="n">
        <v>32.8524</v>
      </c>
      <c r="H900" s="25" t="inlineStr">
        <is>
          <t>988-pack GENERATED</t>
        </is>
      </c>
    </row>
    <row r="901">
      <c r="A901" s="25" t="inlineStr">
        <is>
          <t>1013000</t>
        </is>
      </c>
      <c r="B901" s="25" t="inlineStr">
        <is>
          <t>AKÜ,D31,DK,90AH,IGYA SMF,HUGEL ULTRA</t>
        </is>
      </c>
      <c r="C901" s="25" t="inlineStr">
        <is>
          <t>1</t>
        </is>
      </c>
      <c r="D901" s="25" t="inlineStr">
        <is>
          <t>ST-054-STD-07</t>
        </is>
      </c>
      <c r="E901" s="25" t="inlineStr">
        <is>
          <t>IA-ST-054-STD-07</t>
        </is>
      </c>
      <c r="F901" s="25" t="inlineStr">
        <is>
          <t>IA-ST-CFG-0143</t>
        </is>
      </c>
      <c r="G901" s="25" t="n">
        <v>33.7838</v>
      </c>
      <c r="H901" s="25" t="inlineStr">
        <is>
          <t>988-pack GENERATED</t>
        </is>
      </c>
    </row>
    <row r="902">
      <c r="A902" s="25" t="inlineStr">
        <is>
          <t>1013007</t>
        </is>
      </c>
      <c r="B902" s="25" t="inlineStr">
        <is>
          <t>AKÜ,NS60,DK,50AH,IGYSMF,İNCEKB,ENERGYMAX</t>
        </is>
      </c>
      <c r="C902" s="25" t="inlineStr">
        <is>
          <t>1</t>
        </is>
      </c>
      <c r="D902" s="25" t="inlineStr">
        <is>
          <t>ST-096-STD-03</t>
        </is>
      </c>
      <c r="E902" s="25" t="inlineStr">
        <is>
          <t>IA-ST-096-STD-03</t>
        </is>
      </c>
      <c r="F902" s="25" t="inlineStr">
        <is>
          <t>IA-ST-CFG-0272</t>
        </is>
      </c>
      <c r="G902" s="25" t="n">
        <v>35.3172</v>
      </c>
      <c r="H902" s="25" t="inlineStr">
        <is>
          <t>988-pack GENERATED</t>
        </is>
      </c>
    </row>
    <row r="903">
      <c r="A903" s="25" t="inlineStr">
        <is>
          <t>1013040</t>
        </is>
      </c>
      <c r="B903" s="25" t="inlineStr">
        <is>
          <t>AKÜ,L3,DK,75AH,IGYA SMF,İNCİ FORM TAURUS</t>
        </is>
      </c>
      <c r="C903" s="25" t="inlineStr">
        <is>
          <t>1</t>
        </is>
      </c>
      <c r="D903" s="25" t="inlineStr">
        <is>
          <t>ST-063-STD-08</t>
        </is>
      </c>
      <c r="E903" s="25" t="inlineStr">
        <is>
          <t>IA-ST-063-STD-08</t>
        </is>
      </c>
      <c r="F903" s="25" t="inlineStr">
        <is>
          <t>IA-ST-CFG-0179</t>
        </is>
      </c>
      <c r="G903" s="25" t="n">
        <v>29.9992</v>
      </c>
      <c r="H903" s="25" t="inlineStr">
        <is>
          <t>988-pack GENERATED</t>
        </is>
      </c>
    </row>
    <row r="904">
      <c r="A904" s="25" t="inlineStr">
        <is>
          <t>1013043</t>
        </is>
      </c>
      <c r="B904" s="25" t="inlineStr">
        <is>
          <t>AKÜ,L1,DK,54AH,IGYA,NONAME,GYEUR5012-054</t>
        </is>
      </c>
      <c r="C904" s="25" t="inlineStr">
        <is>
          <t>1</t>
        </is>
      </c>
      <c r="D904" s="25" t="inlineStr">
        <is>
          <t>ST-072-EUR-04</t>
        </is>
      </c>
      <c r="E904" s="25" t="inlineStr">
        <is>
          <t>IA-ST-072-EUR-04</t>
        </is>
      </c>
      <c r="F904" s="25" t="inlineStr">
        <is>
          <t>IA-ST-CFG-0209</t>
        </is>
      </c>
      <c r="G904" s="25" t="n">
        <v>28.366</v>
      </c>
      <c r="H904" s="25" t="inlineStr">
        <is>
          <t>988-pack GENERATED</t>
        </is>
      </c>
    </row>
    <row r="905">
      <c r="A905" s="25" t="inlineStr">
        <is>
          <t>1013045</t>
        </is>
      </c>
      <c r="B905" s="25" t="inlineStr">
        <is>
          <t>AKÜ,LB4,DK85AH,IGYA,NONAME,GYEUR5110-085</t>
        </is>
      </c>
      <c r="C905" s="25" t="inlineStr">
        <is>
          <t>1</t>
        </is>
      </c>
      <c r="D905" s="25" t="inlineStr">
        <is>
          <t>ST-042-EUR-02</t>
        </is>
      </c>
      <c r="E905" s="25" t="inlineStr">
        <is>
          <t>IA-ST-042-EUR-02</t>
        </is>
      </c>
      <c r="F905" s="25" t="inlineStr">
        <is>
          <t>IA-ST-CFG-0085</t>
        </is>
      </c>
      <c r="G905" s="25" t="n">
        <v>27.926</v>
      </c>
      <c r="H905" s="25" t="inlineStr">
        <is>
          <t>988-pack GENERATED</t>
        </is>
      </c>
    </row>
    <row r="906">
      <c r="A906" s="25" t="inlineStr">
        <is>
          <t>1013050</t>
        </is>
      </c>
      <c r="B906" s="25" t="inlineStr">
        <is>
          <t>AKÜ,D26,TK,60AH,IGYA SMF,HUGEL ULTRA</t>
        </is>
      </c>
      <c r="C906" s="25" t="inlineStr">
        <is>
          <t>1</t>
        </is>
      </c>
      <c r="D906" s="25" t="inlineStr">
        <is>
          <t>ST-063-STD-04</t>
        </is>
      </c>
      <c r="E906" s="25" t="inlineStr">
        <is>
          <t>IA-ST-063-STD-04</t>
        </is>
      </c>
      <c r="F906" s="25" t="inlineStr">
        <is>
          <t>IA-ST-CFG-0175</t>
        </is>
      </c>
      <c r="G906" s="25" t="n">
        <v>34.1512</v>
      </c>
      <c r="H906" s="25" t="inlineStr">
        <is>
          <t>988-pack GENERATED</t>
        </is>
      </c>
    </row>
    <row r="907">
      <c r="A907" s="25" t="inlineStr">
        <is>
          <t>1013055</t>
        </is>
      </c>
      <c r="B907" s="25" t="inlineStr">
        <is>
          <t>AKÜ,TRACTORL,DK,115AH,BLIZZTRENDL,JANENE</t>
        </is>
      </c>
      <c r="C907" s="25" t="inlineStr">
        <is>
          <t>1</t>
        </is>
      </c>
      <c r="D907" s="25" t="inlineStr">
        <is>
          <t>ST-045-STD-05</t>
        </is>
      </c>
      <c r="E907" s="25" t="inlineStr">
        <is>
          <t>IA-ST-045-STD-05</t>
        </is>
      </c>
      <c r="F907" s="25" t="inlineStr">
        <is>
          <t>IA-ST-CFG-0093</t>
        </is>
      </c>
      <c r="G907" s="25" t="n">
        <v>33.3498</v>
      </c>
      <c r="H907" s="25" t="inlineStr">
        <is>
          <t>988-pack GENERATED</t>
        </is>
      </c>
    </row>
    <row r="908">
      <c r="A908" s="25" t="inlineStr">
        <is>
          <t>1013056</t>
        </is>
      </c>
      <c r="B908" s="25" t="inlineStr">
        <is>
          <t>AKÜ,L1,DK,50AH,IGYA SMF,HUGEL ULTRA</t>
        </is>
      </c>
      <c r="C908" s="25" t="inlineStr">
        <is>
          <t>1</t>
        </is>
      </c>
      <c r="D908" s="25" t="inlineStr">
        <is>
          <t>ST-087-STD-03</t>
        </is>
      </c>
      <c r="E908" s="25" t="inlineStr">
        <is>
          <t>IA-ST-087-STD-03</t>
        </is>
      </c>
      <c r="F908" s="25" t="inlineStr">
        <is>
          <t>IA-ST-CFG-0248</t>
        </is>
      </c>
      <c r="G908" s="25" t="n">
        <v>31.0092</v>
      </c>
      <c r="H908" s="25" t="inlineStr">
        <is>
          <t>988-pack GENERATED</t>
        </is>
      </c>
    </row>
    <row r="909">
      <c r="A909" s="25" t="inlineStr">
        <is>
          <t>1013058</t>
        </is>
      </c>
      <c r="B909" s="25" t="inlineStr">
        <is>
          <t>AKÜ,NS60,TK,45AH,IGYA SMF,HUGEL ULTRA</t>
        </is>
      </c>
      <c r="C909" s="25" t="inlineStr">
        <is>
          <t>1</t>
        </is>
      </c>
      <c r="D909" s="25" t="inlineStr">
        <is>
          <t>ST-096-STD-03</t>
        </is>
      </c>
      <c r="E909" s="25" t="inlineStr">
        <is>
          <t>IA-ST-096-STD-03</t>
        </is>
      </c>
      <c r="F909" s="25" t="inlineStr">
        <is>
          <t>IA-ST-CFG-0272</t>
        </is>
      </c>
      <c r="G909" s="25" t="n">
        <v>35.3172</v>
      </c>
      <c r="H909" s="25" t="inlineStr">
        <is>
          <t>988-pack GENERATED</t>
        </is>
      </c>
    </row>
    <row r="910">
      <c r="A910" s="25" t="inlineStr">
        <is>
          <t>1013059</t>
        </is>
      </c>
      <c r="B910" s="25" t="inlineStr">
        <is>
          <t>AKÜ,L1,DK,46AH,IGYSMF,İNCİFORM,EEC MISIR</t>
        </is>
      </c>
      <c r="C910" s="25" t="inlineStr">
        <is>
          <t>1</t>
        </is>
      </c>
      <c r="D910" s="25" t="inlineStr">
        <is>
          <t>ST-087-STD-03</t>
        </is>
      </c>
      <c r="E910" s="25" t="inlineStr">
        <is>
          <t>IA-ST-087-STD-03</t>
        </is>
      </c>
      <c r="F910" s="25" t="inlineStr">
        <is>
          <t>IA-ST-CFG-0248</t>
        </is>
      </c>
      <c r="G910" s="25" t="n">
        <v>31.0092</v>
      </c>
      <c r="H910" s="25" t="inlineStr">
        <is>
          <t>988-pack GENERATED</t>
        </is>
      </c>
    </row>
    <row r="911">
      <c r="A911" s="25" t="inlineStr">
        <is>
          <t>1013067</t>
        </is>
      </c>
      <c r="B911" s="25" t="inlineStr">
        <is>
          <t>AKÜ,C-IGYASMF,DK225AH,İNCİFORMTAU,SHDNEW</t>
        </is>
      </c>
      <c r="C911" s="25" t="inlineStr">
        <is>
          <t>1</t>
        </is>
      </c>
      <c r="D911" s="25" t="inlineStr">
        <is>
          <t>ST-018-EUR-03</t>
        </is>
      </c>
      <c r="E911" s="25" t="inlineStr">
        <is>
          <t>IA-ST-018-EUR-03</t>
        </is>
      </c>
      <c r="F911" s="25" t="inlineStr">
        <is>
          <t>IA-ST-CFG-0014</t>
        </is>
      </c>
      <c r="G911" s="25" t="n">
        <v>30.9872</v>
      </c>
      <c r="H911" s="25" t="inlineStr">
        <is>
          <t>988-pack GENERATED</t>
        </is>
      </c>
    </row>
    <row r="912">
      <c r="A912" s="25" t="inlineStr">
        <is>
          <t>1013071</t>
        </is>
      </c>
      <c r="B912" s="25" t="inlineStr">
        <is>
          <t>AKÜ,B-IGYASMF,DK185AH,İNCİEFBPANTERAEURO</t>
        </is>
      </c>
      <c r="C912" s="25" t="inlineStr">
        <is>
          <t>1</t>
        </is>
      </c>
      <c r="D912" s="25" t="inlineStr">
        <is>
          <t>ST-021-EUR-03</t>
        </is>
      </c>
      <c r="E912" s="25" t="inlineStr">
        <is>
          <t>IA-ST-021-EUR-03</t>
        </is>
      </c>
      <c r="F912" s="25" t="inlineStr">
        <is>
          <t>IA-ST-CFG-0029</t>
        </is>
      </c>
      <c r="G912" s="25" t="n">
        <v>30.7682</v>
      </c>
      <c r="H912" s="25" t="inlineStr">
        <is>
          <t>988-pack GENERATED</t>
        </is>
      </c>
    </row>
    <row r="913">
      <c r="A913" s="25" t="inlineStr">
        <is>
          <t>1013075</t>
        </is>
      </c>
      <c r="B913" s="25" t="inlineStr">
        <is>
          <t>AKÜ,L5,DK,90AH,IGYA SMF,BLIZZARO EFB S&amp;S</t>
        </is>
      </c>
      <c r="C913" s="25" t="inlineStr">
        <is>
          <t>1</t>
        </is>
      </c>
      <c r="D913" s="25" t="inlineStr">
        <is>
          <t>ST-045-STD-08</t>
        </is>
      </c>
      <c r="E913" s="25" t="inlineStr">
        <is>
          <t>IA-ST-045-STD-08</t>
        </is>
      </c>
      <c r="F913" s="25" t="inlineStr">
        <is>
          <t>IA-ST-CFG-0096</t>
        </is>
      </c>
      <c r="G913" s="25" t="n">
        <v>29.7192</v>
      </c>
      <c r="H913" s="25" t="inlineStr">
        <is>
          <t>988-pack GENERATED</t>
        </is>
      </c>
    </row>
    <row r="914">
      <c r="A914" s="25" t="inlineStr">
        <is>
          <t>1013076</t>
        </is>
      </c>
      <c r="B914" s="25" t="inlineStr">
        <is>
          <t>AKÜ,L1,DK,50AH,IGYA,İNCİFORMTAUR,SHAWKAT</t>
        </is>
      </c>
      <c r="C914" s="25" t="inlineStr">
        <is>
          <t>1</t>
        </is>
      </c>
      <c r="D914" s="25" t="inlineStr">
        <is>
          <t>ST-087-STD-03</t>
        </is>
      </c>
      <c r="E914" s="25" t="inlineStr">
        <is>
          <t>IA-ST-087-STD-03</t>
        </is>
      </c>
      <c r="F914" s="25" t="inlineStr">
        <is>
          <t>IA-ST-CFG-0248</t>
        </is>
      </c>
      <c r="G914" s="25" t="n">
        <v>31.0092</v>
      </c>
      <c r="H914" s="25" t="inlineStr">
        <is>
          <t>988-pack GENERATED</t>
        </is>
      </c>
    </row>
    <row r="915">
      <c r="A915" s="25" t="inlineStr">
        <is>
          <t>1013077</t>
        </is>
      </c>
      <c r="B915" s="25" t="inlineStr">
        <is>
          <t>AKÜ,L2,DK,62AH,IGYA,HUGEL ULTRA,SHAWKAT</t>
        </is>
      </c>
      <c r="C915" s="25" t="inlineStr">
        <is>
          <t>1</t>
        </is>
      </c>
      <c r="D915" s="25" t="inlineStr">
        <is>
          <t>ST-072-STD-13</t>
        </is>
      </c>
      <c r="E915" s="25" t="inlineStr">
        <is>
          <t>IA-ST-072-STD-13</t>
        </is>
      </c>
      <c r="F915" s="25" t="inlineStr">
        <is>
          <t>IA-ST-CFG-0222</t>
        </is>
      </c>
      <c r="G915" s="25" t="n">
        <v>30.6552</v>
      </c>
      <c r="H915" s="25" t="inlineStr">
        <is>
          <t>988-pack GENERATED</t>
        </is>
      </c>
    </row>
    <row r="916">
      <c r="A916" s="25" t="inlineStr">
        <is>
          <t>1013079</t>
        </is>
      </c>
      <c r="B916" s="25" t="inlineStr">
        <is>
          <t>AKÜ,D26,DK,62AH,IGYA,BLIZSILVERL,SHAWKAT</t>
        </is>
      </c>
      <c r="C916" s="25" t="inlineStr">
        <is>
          <t>1</t>
        </is>
      </c>
      <c r="D916" s="25" t="inlineStr">
        <is>
          <t>ST-063-STD-04</t>
        </is>
      </c>
      <c r="E916" s="25" t="inlineStr">
        <is>
          <t>IA-ST-063-STD-04</t>
        </is>
      </c>
      <c r="F916" s="25" t="inlineStr">
        <is>
          <t>IA-ST-CFG-0175</t>
        </is>
      </c>
      <c r="G916" s="25" t="n">
        <v>34.1512</v>
      </c>
      <c r="H916" s="25" t="inlineStr">
        <is>
          <t>988-pack GENERATED</t>
        </is>
      </c>
    </row>
    <row r="917">
      <c r="A917" s="25" t="inlineStr">
        <is>
          <t>1013081</t>
        </is>
      </c>
      <c r="B917" s="25" t="inlineStr">
        <is>
          <t>AKÜ,D31,DK,90AH,IGYA,İNCİTAURUS,TEMSA YP</t>
        </is>
      </c>
      <c r="C917" s="25" t="inlineStr">
        <is>
          <t>1</t>
        </is>
      </c>
      <c r="D917" s="25" t="inlineStr">
        <is>
          <t>ST-054-STD-09</t>
        </is>
      </c>
      <c r="E917" s="25" t="inlineStr">
        <is>
          <t>IA-ST-054-STD-09</t>
        </is>
      </c>
      <c r="F917" s="25" t="inlineStr">
        <is>
          <t>IA-ST-CFG-0145</t>
        </is>
      </c>
      <c r="G917" s="25" t="n">
        <v>33.497</v>
      </c>
      <c r="H917" s="25" t="inlineStr">
        <is>
          <t>988-pack GENERATED</t>
        </is>
      </c>
    </row>
    <row r="918">
      <c r="A918" s="29" t="inlineStr">
        <is>
          <t>1013083</t>
        </is>
      </c>
      <c r="B918" s="29" t="inlineStr">
        <is>
          <t>AKÜ,L2,DK,60AH,GSYSMF,FIATEFB,TR52216091</t>
        </is>
      </c>
      <c r="C918" s="29" t="inlineStr">
        <is>
          <t>1</t>
        </is>
      </c>
      <c r="H918" s="29" t="inlineStr">
        <is>
          <t>NO MAPPING</t>
        </is>
      </c>
    </row>
    <row r="919">
      <c r="A919" s="29" t="inlineStr">
        <is>
          <t>1013084</t>
        </is>
      </c>
      <c r="B919" s="29" t="inlineStr">
        <is>
          <t>AKÜ,L3,DK,70AH,GSYSMF,FIATEFB,TR52216092</t>
        </is>
      </c>
      <c r="C919" s="29" t="inlineStr">
        <is>
          <t>1</t>
        </is>
      </c>
      <c r="H919" s="29" t="inlineStr">
        <is>
          <t>NO MAPPING</t>
        </is>
      </c>
    </row>
    <row r="920">
      <c r="A920" s="25" t="inlineStr">
        <is>
          <t>1013097</t>
        </is>
      </c>
      <c r="B920" s="25" t="inlineStr">
        <is>
          <t>AKÜ,LB2,DK,60AH,IGYASMF,İNCİ EFB PANTERA</t>
        </is>
      </c>
      <c r="C920" s="25" t="inlineStr">
        <is>
          <t>1</t>
        </is>
      </c>
      <c r="D920" s="25" t="inlineStr">
        <is>
          <t>ST-072-STD-13</t>
        </is>
      </c>
      <c r="E920" s="25" t="inlineStr">
        <is>
          <t>IA-ST-072-STD-13</t>
        </is>
      </c>
      <c r="F920" s="25" t="inlineStr">
        <is>
          <t>IA-ST-CFG-0222</t>
        </is>
      </c>
      <c r="G920" s="25" t="n">
        <v>30.6552</v>
      </c>
      <c r="H920" s="25" t="inlineStr">
        <is>
          <t>988-pack GENERATED</t>
        </is>
      </c>
    </row>
    <row r="921">
      <c r="A921" s="25" t="inlineStr">
        <is>
          <t>1013118</t>
        </is>
      </c>
      <c r="B921" s="25" t="inlineStr">
        <is>
          <t>AKÜ,LB1,DK,52AH,IGYSMF,MAXIMAKOLİ,REDMAY</t>
        </is>
      </c>
      <c r="C921" s="25" t="inlineStr">
        <is>
          <t>1</t>
        </is>
      </c>
      <c r="D921" s="25" t="inlineStr">
        <is>
          <t>ST-096-STD-02</t>
        </is>
      </c>
      <c r="E921" s="25" t="inlineStr">
        <is>
          <t>IA-ST-096-STD-02</t>
        </is>
      </c>
      <c r="F921" s="25" t="inlineStr">
        <is>
          <t>IA-ST-CFG-0271</t>
        </is>
      </c>
      <c r="G921" s="25" t="n">
        <v>47.996</v>
      </c>
      <c r="H921" s="25" t="inlineStr">
        <is>
          <t>988-pack GENERATED</t>
        </is>
      </c>
    </row>
    <row r="922">
      <c r="A922" s="25" t="inlineStr">
        <is>
          <t>1013119</t>
        </is>
      </c>
      <c r="B922" s="25" t="inlineStr">
        <is>
          <t>AKÜ,LB2,DK,60AH,IGYSMF,MAXIMAKOLİ,REDMAY</t>
        </is>
      </c>
      <c r="C922" s="25" t="inlineStr">
        <is>
          <t>1</t>
        </is>
      </c>
      <c r="D922" s="25" t="inlineStr">
        <is>
          <t>ST-088-STD-07</t>
        </is>
      </c>
      <c r="E922" s="25" t="inlineStr">
        <is>
          <t>IA-ST-088-STD-07</t>
        </is>
      </c>
      <c r="F922" s="25" t="inlineStr">
        <is>
          <t>IA-ST-CFG-0260</t>
        </is>
      </c>
      <c r="G922" s="25" t="n">
        <v>49.116</v>
      </c>
      <c r="H922" s="25" t="inlineStr">
        <is>
          <t>988-pack GENERATED</t>
        </is>
      </c>
    </row>
    <row r="923">
      <c r="A923" s="25" t="inlineStr">
        <is>
          <t>1013120</t>
        </is>
      </c>
      <c r="B923" s="25" t="inlineStr">
        <is>
          <t>AKÜ,L5,DK,102AH,IGYSMF,MAXIMAKOLİ,REDMAY</t>
        </is>
      </c>
      <c r="C923" s="25" t="inlineStr">
        <is>
          <t>1</t>
        </is>
      </c>
      <c r="D923" s="25" t="inlineStr">
        <is>
          <t>ST-060-STD-05</t>
        </is>
      </c>
      <c r="E923" s="25" t="inlineStr">
        <is>
          <t>IA-ST-060-STD-05</t>
        </is>
      </c>
      <c r="F923" s="25" t="inlineStr">
        <is>
          <t>IA-ST-CFG-0169</t>
        </is>
      </c>
      <c r="G923" s="25" t="n">
        <v>49.556</v>
      </c>
      <c r="H923" s="25" t="inlineStr">
        <is>
          <t>988-pack GENERATED</t>
        </is>
      </c>
    </row>
    <row r="924">
      <c r="A924" s="25" t="inlineStr">
        <is>
          <t>1013123</t>
        </is>
      </c>
      <c r="B924" s="25" t="inlineStr">
        <is>
          <t>AKÜ,NS40,DK42AH,IGYSMF,FORMULAKOLİREDMAY</t>
        </is>
      </c>
      <c r="C924" s="25" t="inlineStr">
        <is>
          <t>1</t>
        </is>
      </c>
      <c r="D924" s="25" t="inlineStr">
        <is>
          <t>ST-105-STD-02</t>
        </is>
      </c>
      <c r="E924" s="25" t="inlineStr">
        <is>
          <t>IA-ST-105-STD-02</t>
        </is>
      </c>
      <c r="F924" s="25" t="inlineStr">
        <is>
          <t>IA-ST-CFG-0283</t>
        </is>
      </c>
      <c r="G924" s="25" t="n">
        <v>55.66265</v>
      </c>
      <c r="H924" s="25" t="inlineStr">
        <is>
          <t>988-pack GENERATED</t>
        </is>
      </c>
    </row>
    <row r="925">
      <c r="A925" s="25" t="inlineStr">
        <is>
          <t>1013126</t>
        </is>
      </c>
      <c r="B925" s="25" t="inlineStr">
        <is>
          <t>AKÜ,L2,DK,60AH,IGYA SMF,EFB S&amp;S,FORD OES</t>
        </is>
      </c>
      <c r="C925" s="25" t="inlineStr">
        <is>
          <t>1</t>
        </is>
      </c>
      <c r="D925" s="25" t="inlineStr">
        <is>
          <t>ST-072-STD-13</t>
        </is>
      </c>
      <c r="E925" s="25" t="inlineStr">
        <is>
          <t>IA-ST-072-STD-13</t>
        </is>
      </c>
      <c r="F925" s="25" t="inlineStr">
        <is>
          <t>IA-ST-CFG-0222</t>
        </is>
      </c>
      <c r="G925" s="25" t="n">
        <v>30.6552</v>
      </c>
      <c r="H925" s="25" t="inlineStr">
        <is>
          <t>988-pack GENERATED</t>
        </is>
      </c>
    </row>
    <row r="926">
      <c r="A926" s="25" t="inlineStr">
        <is>
          <t>1013132</t>
        </is>
      </c>
      <c r="B926" s="25" t="inlineStr">
        <is>
          <t>AKÜ,L3,DK,72AH,IGYA SMF,HUGEL ULTRA</t>
        </is>
      </c>
      <c r="C926" s="25" t="inlineStr">
        <is>
          <t>1</t>
        </is>
      </c>
      <c r="D926" s="25" t="inlineStr">
        <is>
          <t>ST-063-STD-08</t>
        </is>
      </c>
      <c r="E926" s="25" t="inlineStr">
        <is>
          <t>IA-ST-063-STD-08</t>
        </is>
      </c>
      <c r="F926" s="25" t="inlineStr">
        <is>
          <t>IA-ST-CFG-0179</t>
        </is>
      </c>
      <c r="G926" s="25" t="n">
        <v>29.9992</v>
      </c>
      <c r="H926" s="25" t="inlineStr">
        <is>
          <t>988-pack GENERATED</t>
        </is>
      </c>
    </row>
    <row r="927">
      <c r="A927" s="25" t="inlineStr">
        <is>
          <t>1013135</t>
        </is>
      </c>
      <c r="B927" s="25" t="inlineStr">
        <is>
          <t>AKÜ,A-FLAT,DK,120AH,SILVER,TÜRKMENİSTAN</t>
        </is>
      </c>
      <c r="C927" s="25" t="inlineStr">
        <is>
          <t>1</t>
        </is>
      </c>
      <c r="D927" s="25" t="inlineStr">
        <is>
          <t>ST-030-STD-05</t>
        </is>
      </c>
      <c r="E927" s="25" t="inlineStr">
        <is>
          <t>IA-ST-030-STD-05</t>
        </is>
      </c>
      <c r="F927" s="25" t="inlineStr">
        <is>
          <t>IA-ST-CFG-0051</t>
        </is>
      </c>
      <c r="G927" s="25" t="n">
        <v>31.6992</v>
      </c>
      <c r="H927" s="25" t="inlineStr">
        <is>
          <t>988-pack GENERATED</t>
        </is>
      </c>
    </row>
    <row r="928">
      <c r="A928" s="25" t="inlineStr">
        <is>
          <t>1013136</t>
        </is>
      </c>
      <c r="B928" s="25" t="inlineStr">
        <is>
          <t>AKÜ,C-FLAT,DK,225AH,SILVER,TÜRKMENİSTAN</t>
        </is>
      </c>
      <c r="C928" s="25" t="inlineStr">
        <is>
          <t>1</t>
        </is>
      </c>
      <c r="D928" s="25" t="inlineStr">
        <is>
          <t>ST-021-STD-03</t>
        </is>
      </c>
      <c r="E928" s="25" t="inlineStr">
        <is>
          <t>IA-ST-021-STD-03</t>
        </is>
      </c>
      <c r="F928" s="25" t="inlineStr">
        <is>
          <t>IA-ST-CFG-0023</t>
        </is>
      </c>
      <c r="G928" s="25" t="n">
        <v>31.8252</v>
      </c>
      <c r="H928" s="25" t="inlineStr">
        <is>
          <t>988-pack GENERATED</t>
        </is>
      </c>
    </row>
    <row r="929">
      <c r="A929" s="25" t="inlineStr">
        <is>
          <t>1013144</t>
        </is>
      </c>
      <c r="B929" s="25" t="inlineStr">
        <is>
          <t>AKÜ,L3,DK,75AH,IGYASMF,HI-TECH,TÜRKMNSTN</t>
        </is>
      </c>
      <c r="C929" s="25" t="inlineStr">
        <is>
          <t>1</t>
        </is>
      </c>
      <c r="D929" s="25" t="inlineStr">
        <is>
          <t>ST-063-STD-08</t>
        </is>
      </c>
      <c r="E929" s="25" t="inlineStr">
        <is>
          <t>IA-ST-063-STD-08</t>
        </is>
      </c>
      <c r="F929" s="25" t="inlineStr">
        <is>
          <t>IA-ST-CFG-0179</t>
        </is>
      </c>
      <c r="G929" s="25" t="n">
        <v>29.9992</v>
      </c>
      <c r="H929" s="25" t="inlineStr">
        <is>
          <t>988-pack GENERATED</t>
        </is>
      </c>
    </row>
    <row r="930">
      <c r="A930" s="25" t="inlineStr">
        <is>
          <t>1013150</t>
        </is>
      </c>
      <c r="B930" s="25" t="inlineStr">
        <is>
          <t>AKÜ,AGM,L3,DK,70AH,HUGEL AGM S&amp;S,NACITA</t>
        </is>
      </c>
      <c r="C930" s="25" t="inlineStr">
        <is>
          <t>1</t>
        </is>
      </c>
      <c r="D930" s="25" t="inlineStr">
        <is>
          <t>ST-063-STD-08</t>
        </is>
      </c>
      <c r="E930" s="25" t="inlineStr">
        <is>
          <t>IA-ST-063-STD-08</t>
        </is>
      </c>
      <c r="F930" s="25" t="inlineStr">
        <is>
          <t>IA-ST-CFG-0179</t>
        </is>
      </c>
      <c r="G930" s="25" t="n">
        <v>29.9992</v>
      </c>
      <c r="H930" s="25" t="inlineStr">
        <is>
          <t>988-pack GENERATED</t>
        </is>
      </c>
    </row>
    <row r="931">
      <c r="A931" s="25" t="inlineStr">
        <is>
          <t>1013151</t>
        </is>
      </c>
      <c r="B931" s="25" t="inlineStr">
        <is>
          <t>AKÜ,AGM,L5,DK,92AH,HUGEL AGM S&amp;S,NACITA</t>
        </is>
      </c>
      <c r="C931" s="25" t="inlineStr">
        <is>
          <t>1</t>
        </is>
      </c>
      <c r="D931" s="25" t="inlineStr">
        <is>
          <t>ST-045-STD-08</t>
        </is>
      </c>
      <c r="E931" s="25" t="inlineStr">
        <is>
          <t>IA-ST-045-STD-08</t>
        </is>
      </c>
      <c r="F931" s="25" t="inlineStr">
        <is>
          <t>IA-ST-CFG-0096</t>
        </is>
      </c>
      <c r="G931" s="25" t="n">
        <v>29.7192</v>
      </c>
      <c r="H931" s="25" t="inlineStr">
        <is>
          <t>988-pack GENERATED</t>
        </is>
      </c>
    </row>
    <row r="932">
      <c r="A932" s="25" t="inlineStr">
        <is>
          <t>1013152</t>
        </is>
      </c>
      <c r="B932" s="25" t="inlineStr">
        <is>
          <t>AKÜ,A-IGYASMF,DK,120AH,HUGELULTRA,NACITA</t>
        </is>
      </c>
      <c r="C932" s="25" t="inlineStr">
        <is>
          <t>1</t>
        </is>
      </c>
      <c r="D932" s="25" t="inlineStr">
        <is>
          <t>ST-030-STD-05</t>
        </is>
      </c>
      <c r="E932" s="25" t="inlineStr">
        <is>
          <t>IA-ST-030-STD-05</t>
        </is>
      </c>
      <c r="F932" s="25" t="inlineStr">
        <is>
          <t>IA-ST-CFG-0051</t>
        </is>
      </c>
      <c r="G932" s="25" t="n">
        <v>31.6992</v>
      </c>
      <c r="H932" s="25" t="inlineStr">
        <is>
          <t>988-pack GENERATED</t>
        </is>
      </c>
    </row>
    <row r="933">
      <c r="A933" s="25" t="inlineStr">
        <is>
          <t>1013153</t>
        </is>
      </c>
      <c r="B933" s="25" t="inlineStr">
        <is>
          <t>AKÜ,B-IGYASMF,DK,180AH,HUGELULTRA,NACITA</t>
        </is>
      </c>
      <c r="C933" s="25" t="inlineStr">
        <is>
          <t>1</t>
        </is>
      </c>
      <c r="D933" s="25" t="inlineStr">
        <is>
          <t>ST-030-STD-06</t>
        </is>
      </c>
      <c r="E933" s="25" t="inlineStr">
        <is>
          <t>IA-ST-030-STD-06</t>
        </is>
      </c>
      <c r="F933" s="25" t="inlineStr">
        <is>
          <t>IA-ST-CFG-0052</t>
        </is>
      </c>
      <c r="G933" s="25" t="n">
        <v>32.3892</v>
      </c>
      <c r="H933" s="25" t="inlineStr">
        <is>
          <t>988-pack GENERATED</t>
        </is>
      </c>
    </row>
    <row r="934">
      <c r="A934" s="25" t="inlineStr">
        <is>
          <t>1013154</t>
        </is>
      </c>
      <c r="B934" s="25" t="inlineStr">
        <is>
          <t>AKÜ,D26,DK,72AH,IGYSMF,HUGELULTRA,NACITA</t>
        </is>
      </c>
      <c r="C934" s="25" t="inlineStr">
        <is>
          <t>1</t>
        </is>
      </c>
      <c r="D934" s="25" t="inlineStr">
        <is>
          <t>ST-063-STD-04</t>
        </is>
      </c>
      <c r="E934" s="25" t="inlineStr">
        <is>
          <t>IA-ST-063-STD-04</t>
        </is>
      </c>
      <c r="F934" s="25" t="inlineStr">
        <is>
          <t>IA-ST-CFG-0175</t>
        </is>
      </c>
      <c r="G934" s="25" t="n">
        <v>34.1512</v>
      </c>
      <c r="H934" s="25" t="inlineStr">
        <is>
          <t>988-pack GENERATED</t>
        </is>
      </c>
    </row>
    <row r="935">
      <c r="A935" s="25" t="inlineStr">
        <is>
          <t>1013172</t>
        </is>
      </c>
      <c r="B935" s="25" t="inlineStr">
        <is>
          <t>AKÜ,D31,TK,90AH,IGYA,NONAME,YUASAAMERICA</t>
        </is>
      </c>
      <c r="C935" s="25" t="inlineStr">
        <is>
          <t>1</t>
        </is>
      </c>
      <c r="D935" s="25" t="inlineStr">
        <is>
          <t>ST-054-STD-04</t>
        </is>
      </c>
      <c r="E935" s="25" t="inlineStr">
        <is>
          <t>IA-ST-054-STD-04</t>
        </is>
      </c>
      <c r="F935" s="25" t="inlineStr">
        <is>
          <t>IA-ST-CFG-0140</t>
        </is>
      </c>
      <c r="G935" s="25" t="n">
        <v>28.518</v>
      </c>
      <c r="H935" s="25" t="inlineStr">
        <is>
          <t>988-pack GENERATED</t>
        </is>
      </c>
    </row>
    <row r="936">
      <c r="A936" s="25" t="inlineStr">
        <is>
          <t>1013183</t>
        </is>
      </c>
      <c r="B936" s="25" t="inlineStr">
        <is>
          <t>AKÜ AGM,L3,DK,70AH,VRLAPILOT PERFORMANCE</t>
        </is>
      </c>
      <c r="C936" s="25" t="inlineStr">
        <is>
          <t>1</t>
        </is>
      </c>
      <c r="D936" s="25" t="inlineStr">
        <is>
          <t>ST-068-EUR-03</t>
        </is>
      </c>
      <c r="E936" s="25" t="inlineStr">
        <is>
          <t>IA-ST-068-EUR-03</t>
        </is>
      </c>
      <c r="F936" s="25" t="inlineStr">
        <is>
          <t>IA-ST-CFG-0200</t>
        </is>
      </c>
      <c r="G936" s="25" t="n">
        <v>30.0842</v>
      </c>
      <c r="H936" s="25" t="inlineStr">
        <is>
          <t>988-pack GENERATED</t>
        </is>
      </c>
    </row>
    <row r="937">
      <c r="A937" s="25" t="inlineStr">
        <is>
          <t>1013184</t>
        </is>
      </c>
      <c r="B937" s="25" t="inlineStr">
        <is>
          <t>AKÜ AGM,L5,DK,92AH,VRLAPILOT PERFORMANCE</t>
        </is>
      </c>
      <c r="C937" s="25" t="inlineStr">
        <is>
          <t>1</t>
        </is>
      </c>
      <c r="D937" s="25" t="inlineStr">
        <is>
          <t>ST-048-EUR-10</t>
        </is>
      </c>
      <c r="E937" s="25" t="inlineStr">
        <is>
          <t>IA-ST-048-EUR-10</t>
        </is>
      </c>
      <c r="F937" s="25" t="inlineStr">
        <is>
          <t>IA-ST-CFG-0116</t>
        </is>
      </c>
      <c r="G937" s="25" t="n">
        <v>29.7592</v>
      </c>
      <c r="H937" s="25" t="inlineStr">
        <is>
          <t>988-pack GENERATED</t>
        </is>
      </c>
    </row>
    <row r="938">
      <c r="A938" s="25" t="inlineStr">
        <is>
          <t>1013185</t>
        </is>
      </c>
      <c r="B938" s="25" t="inlineStr">
        <is>
          <t>AKÜ AGM,L6,DK,105AH,VRLAPILOTPERFORMANCE</t>
        </is>
      </c>
      <c r="C938" s="25" t="inlineStr">
        <is>
          <t>1</t>
        </is>
      </c>
      <c r="D938" s="25" t="inlineStr">
        <is>
          <t>ST-036-EUR-06</t>
        </is>
      </c>
      <c r="E938" s="25" t="inlineStr">
        <is>
          <t>IA-ST-036-EUR-06</t>
        </is>
      </c>
      <c r="F938" s="25" t="inlineStr">
        <is>
          <t>IA-ST-CFG-0071</t>
        </is>
      </c>
      <c r="G938" s="25" t="n">
        <v>29.0792</v>
      </c>
      <c r="H938" s="25" t="inlineStr">
        <is>
          <t>988-pack GENERATED</t>
        </is>
      </c>
    </row>
    <row r="939">
      <c r="A939" s="25" t="inlineStr">
        <is>
          <t>1013189</t>
        </is>
      </c>
      <c r="B939" s="25" t="inlineStr">
        <is>
          <t>AKÜ,L2,DK,55AH,IGYASMF,PILOT PERFORMANCE</t>
        </is>
      </c>
      <c r="C939" s="25" t="inlineStr">
        <is>
          <t>1</t>
        </is>
      </c>
      <c r="D939" s="25" t="inlineStr">
        <is>
          <t>ST-076-EUR-03</t>
        </is>
      </c>
      <c r="E939" s="25" t="inlineStr">
        <is>
          <t>IA-ST-076-EUR-03</t>
        </is>
      </c>
      <c r="F939" s="25" t="inlineStr">
        <is>
          <t>IA-ST-CFG-0240</t>
        </is>
      </c>
      <c r="G939" s="25" t="n">
        <v>30.7272</v>
      </c>
      <c r="H939" s="25" t="inlineStr">
        <is>
          <t>988-pack GENERATED</t>
        </is>
      </c>
    </row>
    <row r="940">
      <c r="A940" s="25" t="inlineStr">
        <is>
          <t>1013191</t>
        </is>
      </c>
      <c r="B940" s="25" t="inlineStr">
        <is>
          <t>AKÜ,L2,DK,60AH,IGYASMF,PILOT PERFORMANCE</t>
        </is>
      </c>
      <c r="C940" s="25" t="inlineStr">
        <is>
          <t>1</t>
        </is>
      </c>
      <c r="D940" s="25" t="inlineStr">
        <is>
          <t>ST-076-EUR-03</t>
        </is>
      </c>
      <c r="E940" s="25" t="inlineStr">
        <is>
          <t>IA-ST-076-EUR-03</t>
        </is>
      </c>
      <c r="F940" s="25" t="inlineStr">
        <is>
          <t>IA-ST-CFG-0240</t>
        </is>
      </c>
      <c r="G940" s="25" t="n">
        <v>30.7272</v>
      </c>
      <c r="H940" s="25" t="inlineStr">
        <is>
          <t>988-pack GENERATED</t>
        </is>
      </c>
    </row>
    <row r="941">
      <c r="A941" s="25" t="inlineStr">
        <is>
          <t>1013193</t>
        </is>
      </c>
      <c r="B941" s="25" t="inlineStr">
        <is>
          <t>AKÜ,LB2,DK,60AH,IGYASMF,PILOTPERFORMANCE</t>
        </is>
      </c>
      <c r="C941" s="25" t="inlineStr">
        <is>
          <t>1</t>
        </is>
      </c>
      <c r="D941" s="25" t="inlineStr">
        <is>
          <t>ST-076-EUR-03</t>
        </is>
      </c>
      <c r="E941" s="25" t="inlineStr">
        <is>
          <t>IA-ST-076-EUR-03</t>
        </is>
      </c>
      <c r="F941" s="25" t="inlineStr">
        <is>
          <t>IA-ST-CFG-0240</t>
        </is>
      </c>
      <c r="G941" s="25" t="n">
        <v>30.7272</v>
      </c>
      <c r="H941" s="25" t="inlineStr">
        <is>
          <t>988-pack GENERATED</t>
        </is>
      </c>
    </row>
    <row r="942">
      <c r="A942" s="25" t="inlineStr">
        <is>
          <t>1013194</t>
        </is>
      </c>
      <c r="B942" s="25" t="inlineStr">
        <is>
          <t>AKÜ,L4,DK,82AH,IGYASMF,PILOT PERFORMANCE</t>
        </is>
      </c>
      <c r="C942" s="25" t="inlineStr">
        <is>
          <t>1</t>
        </is>
      </c>
      <c r="D942" s="25" t="inlineStr">
        <is>
          <t>ST-056-EUR-03</t>
        </is>
      </c>
      <c r="E942" s="25" t="inlineStr">
        <is>
          <t>IA-ST-056-EUR-03</t>
        </is>
      </c>
      <c r="F942" s="25" t="inlineStr">
        <is>
          <t>IA-ST-CFG-0152</t>
        </is>
      </c>
      <c r="G942" s="25" t="n">
        <v>29.7432</v>
      </c>
      <c r="H942" s="25" t="inlineStr">
        <is>
          <t>988-pack GENERATED</t>
        </is>
      </c>
    </row>
    <row r="943">
      <c r="A943" s="25" t="inlineStr">
        <is>
          <t>1013195</t>
        </is>
      </c>
      <c r="B943" s="25" t="inlineStr">
        <is>
          <t>AKÜ,L4,TK,90AH,IGYASMF,PILOT PERFORMANCE</t>
        </is>
      </c>
      <c r="C943" s="25" t="inlineStr">
        <is>
          <t>1</t>
        </is>
      </c>
      <c r="D943" s="25" t="inlineStr">
        <is>
          <t>ST-056-EUR-03</t>
        </is>
      </c>
      <c r="E943" s="25" t="inlineStr">
        <is>
          <t>IA-ST-056-EUR-03</t>
        </is>
      </c>
      <c r="F943" s="25" t="inlineStr">
        <is>
          <t>IA-ST-CFG-0152</t>
        </is>
      </c>
      <c r="G943" s="25" t="n">
        <v>29.7432</v>
      </c>
      <c r="H943" s="25" t="inlineStr">
        <is>
          <t>988-pack GENERATED</t>
        </is>
      </c>
    </row>
    <row r="944">
      <c r="A944" s="25" t="inlineStr">
        <is>
          <t>1013196</t>
        </is>
      </c>
      <c r="B944" s="25" t="inlineStr">
        <is>
          <t>AKÜ,L5,DK,100AH,IGYASMF,PILOTPERFORMANCE</t>
        </is>
      </c>
      <c r="C944" s="25" t="inlineStr">
        <is>
          <t>1</t>
        </is>
      </c>
      <c r="D944" s="25" t="inlineStr">
        <is>
          <t>ST-048-EUR-10</t>
        </is>
      </c>
      <c r="E944" s="25" t="inlineStr">
        <is>
          <t>IA-ST-048-EUR-10</t>
        </is>
      </c>
      <c r="F944" s="25" t="inlineStr">
        <is>
          <t>IA-ST-CFG-0116</t>
        </is>
      </c>
      <c r="G944" s="25" t="n">
        <v>29.7592</v>
      </c>
      <c r="H944" s="25" t="inlineStr">
        <is>
          <t>988-pack GENERATED</t>
        </is>
      </c>
    </row>
    <row r="945">
      <c r="A945" s="25" t="inlineStr">
        <is>
          <t>1013198</t>
        </is>
      </c>
      <c r="B945" s="25" t="inlineStr">
        <is>
          <t>AKÜ,LB2,DK,45AH,IGYASMF,PILOTPERFORMANCE</t>
        </is>
      </c>
      <c r="C945" s="25" t="inlineStr">
        <is>
          <t>1</t>
        </is>
      </c>
      <c r="D945" s="25" t="inlineStr">
        <is>
          <t>ST-076-EUR-03</t>
        </is>
      </c>
      <c r="E945" s="25" t="inlineStr">
        <is>
          <t>IA-ST-076-EUR-03</t>
        </is>
      </c>
      <c r="F945" s="25" t="inlineStr">
        <is>
          <t>IA-ST-CFG-0240</t>
        </is>
      </c>
      <c r="G945" s="25" t="n">
        <v>30.7272</v>
      </c>
      <c r="H945" s="25" t="inlineStr">
        <is>
          <t>988-pack GENERATED</t>
        </is>
      </c>
    </row>
    <row r="946">
      <c r="A946" s="25" t="inlineStr">
        <is>
          <t>1013217</t>
        </is>
      </c>
      <c r="B946" s="25" t="inlineStr">
        <is>
          <t>AKÜ,L1,DK,52AH,IGYA SMF,NO NAME,GY EUR</t>
        </is>
      </c>
      <c r="C946" s="25" t="inlineStr">
        <is>
          <t>1</t>
        </is>
      </c>
      <c r="D946" s="25" t="inlineStr">
        <is>
          <t>ST-072-EUR-04</t>
        </is>
      </c>
      <c r="E946" s="25" t="inlineStr">
        <is>
          <t>IA-ST-072-EUR-04</t>
        </is>
      </c>
      <c r="F946" s="25" t="inlineStr">
        <is>
          <t>IA-ST-CFG-0209</t>
        </is>
      </c>
      <c r="G946" s="25" t="n">
        <v>28.366</v>
      </c>
      <c r="H946" s="25" t="inlineStr">
        <is>
          <t>988-pack GENERATED</t>
        </is>
      </c>
    </row>
    <row r="947">
      <c r="A947" s="25" t="inlineStr">
        <is>
          <t>1013218</t>
        </is>
      </c>
      <c r="B947" s="25" t="inlineStr">
        <is>
          <t>AKÜ,LB1,DK,46AH,IGYA SMF,NO NAME,GY EUR</t>
        </is>
      </c>
      <c r="C947" s="25" t="inlineStr">
        <is>
          <t>1</t>
        </is>
      </c>
      <c r="D947" s="25" t="inlineStr">
        <is>
          <t>ST-072-EUR-04</t>
        </is>
      </c>
      <c r="E947" s="25" t="inlineStr">
        <is>
          <t>IA-ST-072-EUR-04</t>
        </is>
      </c>
      <c r="F947" s="25" t="inlineStr">
        <is>
          <t>IA-ST-CFG-0209</t>
        </is>
      </c>
      <c r="G947" s="25" t="n">
        <v>28.366</v>
      </c>
      <c r="H947" s="25" t="inlineStr">
        <is>
          <t>988-pack GENERATED</t>
        </is>
      </c>
    </row>
    <row r="948">
      <c r="A948" s="25" t="inlineStr">
        <is>
          <t>1013219</t>
        </is>
      </c>
      <c r="B948" s="25" t="inlineStr">
        <is>
          <t>AKÜ,D31,TK,95AH,IGYA SMF,NO NAME,GY EUR</t>
        </is>
      </c>
      <c r="C948" s="25" t="inlineStr">
        <is>
          <t>1</t>
        </is>
      </c>
      <c r="D948" s="25" t="inlineStr">
        <is>
          <t>ST-048-EUR-05</t>
        </is>
      </c>
      <c r="E948" s="25" t="inlineStr">
        <is>
          <t>IA-ST-048-EUR-05</t>
        </is>
      </c>
      <c r="F948" s="25" t="inlineStr">
        <is>
          <t>IA-ST-CFG-0111</t>
        </is>
      </c>
      <c r="G948" s="25" t="n">
        <v>30.326</v>
      </c>
      <c r="H948" s="25" t="inlineStr">
        <is>
          <t>988-pack GENERATED</t>
        </is>
      </c>
    </row>
    <row r="949">
      <c r="A949" s="25" t="inlineStr">
        <is>
          <t>1013221</t>
        </is>
      </c>
      <c r="B949" s="25" t="inlineStr">
        <is>
          <t>AKÜ,D31,DK,95AH,IGYA SMF,NO NAME,GY EUR</t>
        </is>
      </c>
      <c r="C949" s="25" t="inlineStr">
        <is>
          <t>1</t>
        </is>
      </c>
      <c r="D949" s="25" t="inlineStr">
        <is>
          <t>ST-048-EUR-05</t>
        </is>
      </c>
      <c r="E949" s="25" t="inlineStr">
        <is>
          <t>IA-ST-048-EUR-05</t>
        </is>
      </c>
      <c r="F949" s="25" t="inlineStr">
        <is>
          <t>IA-ST-CFG-0111</t>
        </is>
      </c>
      <c r="G949" s="25" t="n">
        <v>30.326</v>
      </c>
      <c r="H949" s="25" t="inlineStr">
        <is>
          <t>988-pack GENERATED</t>
        </is>
      </c>
    </row>
    <row r="950">
      <c r="A950" s="25" t="inlineStr">
        <is>
          <t>1013222</t>
        </is>
      </c>
      <c r="B950" s="25" t="inlineStr">
        <is>
          <t>AKÜ,D26,DK,80AH,IGYA SMF,NO NAME,GY EUR</t>
        </is>
      </c>
      <c r="C950" s="25" t="inlineStr">
        <is>
          <t>1</t>
        </is>
      </c>
      <c r="D950" s="25" t="inlineStr">
        <is>
          <t>ST-057-EUR-01</t>
        </is>
      </c>
      <c r="E950" s="25" t="inlineStr">
        <is>
          <t>IA-ST-057-EUR-01</t>
        </is>
      </c>
      <c r="F950" s="25" t="inlineStr">
        <is>
          <t>IA-ST-CFG-0160</t>
        </is>
      </c>
      <c r="G950" s="25" t="n">
        <v>30.326</v>
      </c>
      <c r="H950" s="25" t="inlineStr">
        <is>
          <t>988-pack GENERATED</t>
        </is>
      </c>
    </row>
    <row r="951">
      <c r="A951" s="25" t="inlineStr">
        <is>
          <t>1013223</t>
        </is>
      </c>
      <c r="B951" s="25" t="inlineStr">
        <is>
          <t>AKÜ,LB2,DK,60AH,IGYA SMF,NO NAME,GY EUR</t>
        </is>
      </c>
      <c r="C951" s="25" t="inlineStr">
        <is>
          <t>1</t>
        </is>
      </c>
      <c r="D951" s="25" t="inlineStr">
        <is>
          <t>ST-057-EUR-03</t>
        </is>
      </c>
      <c r="E951" s="25" t="inlineStr">
        <is>
          <t>IA-ST-057-EUR-03</t>
        </is>
      </c>
      <c r="F951" s="25" t="inlineStr">
        <is>
          <t>IA-ST-CFG-0162</t>
        </is>
      </c>
      <c r="G951" s="25" t="n">
        <v>27.926</v>
      </c>
      <c r="H951" s="25" t="inlineStr">
        <is>
          <t>988-pack GENERATED</t>
        </is>
      </c>
    </row>
    <row r="952">
      <c r="A952" s="25" t="inlineStr">
        <is>
          <t>1013224</t>
        </is>
      </c>
      <c r="B952" s="25" t="inlineStr">
        <is>
          <t>AKÜ,LB1,DK,52AH,IGYA SMF,NO NAME,GY EUR</t>
        </is>
      </c>
      <c r="C952" s="25" t="inlineStr">
        <is>
          <t>1</t>
        </is>
      </c>
      <c r="D952" s="25" t="inlineStr">
        <is>
          <t>ST-072-EUR-04</t>
        </is>
      </c>
      <c r="E952" s="25" t="inlineStr">
        <is>
          <t>IA-ST-072-EUR-04</t>
        </is>
      </c>
      <c r="F952" s="25" t="inlineStr">
        <is>
          <t>IA-ST-CFG-0209</t>
        </is>
      </c>
      <c r="G952" s="25" t="n">
        <v>28.366</v>
      </c>
      <c r="H952" s="25" t="inlineStr">
        <is>
          <t>988-pack GENERATED</t>
        </is>
      </c>
    </row>
    <row r="953">
      <c r="A953" s="25" t="inlineStr">
        <is>
          <t>1013225</t>
        </is>
      </c>
      <c r="B953" s="25" t="inlineStr">
        <is>
          <t>AKÜ,NS60,TK,45AH,IGYA,NONAME,İNCEKBGYEUR</t>
        </is>
      </c>
      <c r="C953" s="25" t="inlineStr">
        <is>
          <t>1</t>
        </is>
      </c>
      <c r="D953" s="25" t="inlineStr">
        <is>
          <t>ST-081-EUR-01</t>
        </is>
      </c>
      <c r="E953" s="25" t="inlineStr">
        <is>
          <t>IA-ST-081-EUR-01</t>
        </is>
      </c>
      <c r="F953" s="25" t="inlineStr">
        <is>
          <t>IA-ST-CFG-0245</t>
        </is>
      </c>
      <c r="G953" s="25" t="n">
        <v>30.326</v>
      </c>
      <c r="H953" s="25" t="inlineStr">
        <is>
          <t>988-pack GENERATED</t>
        </is>
      </c>
    </row>
    <row r="954">
      <c r="A954" s="25" t="inlineStr">
        <is>
          <t>1013238</t>
        </is>
      </c>
      <c r="B954" s="25" t="inlineStr">
        <is>
          <t>AKÜ,L2,DK,62AH,IGYSMF,BLIZZTREND,SHAWKAT</t>
        </is>
      </c>
      <c r="C954" s="25" t="inlineStr">
        <is>
          <t>1</t>
        </is>
      </c>
      <c r="D954" s="25" t="inlineStr">
        <is>
          <t>ST-072-STD-13</t>
        </is>
      </c>
      <c r="E954" s="25" t="inlineStr">
        <is>
          <t>IA-ST-072-STD-13</t>
        </is>
      </c>
      <c r="F954" s="25" t="inlineStr">
        <is>
          <t>IA-ST-CFG-0222</t>
        </is>
      </c>
      <c r="G954" s="25" t="n">
        <v>30.6552</v>
      </c>
      <c r="H954" s="25" t="inlineStr">
        <is>
          <t>988-pack GENERATED</t>
        </is>
      </c>
    </row>
    <row r="955">
      <c r="A955" s="29" t="inlineStr">
        <is>
          <t>1013245</t>
        </is>
      </c>
      <c r="B955" s="29" t="inlineStr">
        <is>
          <t>AKÜ AGM,L2,DK,60AH,MM AGM S&amp;S,EXIDE OES</t>
        </is>
      </c>
      <c r="C955" s="29" t="inlineStr">
        <is>
          <t>1</t>
        </is>
      </c>
      <c r="H955" s="29" t="inlineStr">
        <is>
          <t>NO MAPPING</t>
        </is>
      </c>
    </row>
    <row r="956">
      <c r="A956" s="29" t="inlineStr">
        <is>
          <t>1013246</t>
        </is>
      </c>
      <c r="B956" s="29" t="inlineStr">
        <is>
          <t>AKÜ AGM,L3,DK,70AH,MM AGM S&amp;S,EXIDE OES</t>
        </is>
      </c>
      <c r="C956" s="29" t="inlineStr">
        <is>
          <t>1</t>
        </is>
      </c>
      <c r="H956" s="29" t="inlineStr">
        <is>
          <t>NO MAPPING</t>
        </is>
      </c>
    </row>
    <row r="957">
      <c r="A957" s="29" t="inlineStr">
        <is>
          <t>1013247</t>
        </is>
      </c>
      <c r="B957" s="29" t="inlineStr">
        <is>
          <t>AKÜ AGM,L4,DK,80AH,MM AGM S&amp;S,EXIDE OES</t>
        </is>
      </c>
      <c r="C957" s="29" t="inlineStr">
        <is>
          <t>1</t>
        </is>
      </c>
      <c r="H957" s="29" t="inlineStr">
        <is>
          <t>NO MAPPING</t>
        </is>
      </c>
    </row>
    <row r="958">
      <c r="A958" s="29" t="inlineStr">
        <is>
          <t>1013248</t>
        </is>
      </c>
      <c r="B958" s="29" t="inlineStr">
        <is>
          <t>AKÜ AGM,L5,DK,95AH,MM AGM S&amp;S,EXIDE OES</t>
        </is>
      </c>
      <c r="C958" s="29" t="inlineStr">
        <is>
          <t>1</t>
        </is>
      </c>
      <c r="H958" s="29" t="inlineStr">
        <is>
          <t>NO MAPPING</t>
        </is>
      </c>
    </row>
    <row r="959">
      <c r="A959" s="29" t="inlineStr">
        <is>
          <t>1013249</t>
        </is>
      </c>
      <c r="B959" s="29" t="inlineStr">
        <is>
          <t>AKÜ,L2,TK,62AH,IGYA SMF,MAKO,EXIDE OES</t>
        </is>
      </c>
      <c r="C959" s="29" t="inlineStr">
        <is>
          <t>1</t>
        </is>
      </c>
      <c r="H959" s="29" t="inlineStr">
        <is>
          <t>NO MAPPING</t>
        </is>
      </c>
    </row>
    <row r="960">
      <c r="A960" s="29" t="inlineStr">
        <is>
          <t>1013251</t>
        </is>
      </c>
      <c r="B960" s="29" t="inlineStr">
        <is>
          <t>AKÜ,L5,DK,95AH,IGYA SMF,MAKO,EXIDE OES</t>
        </is>
      </c>
      <c r="C960" s="29" t="inlineStr">
        <is>
          <t>1</t>
        </is>
      </c>
      <c r="H960" s="29" t="inlineStr">
        <is>
          <t>NO MAPPING</t>
        </is>
      </c>
    </row>
    <row r="961">
      <c r="A961" s="29" t="inlineStr">
        <is>
          <t>1013252</t>
        </is>
      </c>
      <c r="B961" s="29" t="inlineStr">
        <is>
          <t>AKÜ,D31,TK,95AH,IGYA SMF,MAKO,EXIDE OES</t>
        </is>
      </c>
      <c r="C961" s="29" t="inlineStr">
        <is>
          <t>1</t>
        </is>
      </c>
      <c r="H961" s="29" t="inlineStr">
        <is>
          <t>NO MAPPING</t>
        </is>
      </c>
    </row>
    <row r="962">
      <c r="A962" s="29" t="inlineStr">
        <is>
          <t>1013260</t>
        </is>
      </c>
      <c r="B962" s="29" t="inlineStr">
        <is>
          <t>AKÜ,L6,DK,105AH,AGMS&amp;S,DUCATO FIATYP,OES</t>
        </is>
      </c>
      <c r="C962" s="29" t="inlineStr">
        <is>
          <t>1</t>
        </is>
      </c>
      <c r="H962" s="29" t="inlineStr">
        <is>
          <t>NO MAPPING</t>
        </is>
      </c>
    </row>
    <row r="963">
      <c r="A963" s="25" t="inlineStr">
        <is>
          <t>1013274</t>
        </is>
      </c>
      <c r="B963" s="25" t="inlineStr">
        <is>
          <t>AKÜ,A-IGYASMF,DK,120AH,PILOT PERFORMANCE</t>
        </is>
      </c>
      <c r="C963" s="25" t="inlineStr">
        <is>
          <t>1</t>
        </is>
      </c>
      <c r="D963" s="25" t="inlineStr">
        <is>
          <t>ST-024-EUR-04</t>
        </is>
      </c>
      <c r="E963" s="25" t="inlineStr">
        <is>
          <t>IA-ST-024-EUR-04</t>
        </is>
      </c>
      <c r="F963" s="25" t="inlineStr">
        <is>
          <t>IA-ST-CFG-0039</t>
        </is>
      </c>
      <c r="G963" s="25" t="n">
        <v>30.6632</v>
      </c>
      <c r="H963" s="25" t="inlineStr">
        <is>
          <t>988-pack GENERATED</t>
        </is>
      </c>
    </row>
    <row r="964">
      <c r="A964" s="25" t="inlineStr">
        <is>
          <t>1013275</t>
        </is>
      </c>
      <c r="B964" s="25" t="inlineStr">
        <is>
          <t>AKÜ,A-IGYASMF,DK,140AH,PILOT PERFORMANCE</t>
        </is>
      </c>
      <c r="C964" s="25" t="inlineStr">
        <is>
          <t>1</t>
        </is>
      </c>
      <c r="D964" s="25" t="inlineStr">
        <is>
          <t>ST-024-EUR-04</t>
        </is>
      </c>
      <c r="E964" s="25" t="inlineStr">
        <is>
          <t>IA-ST-024-EUR-04</t>
        </is>
      </c>
      <c r="F964" s="25" t="inlineStr">
        <is>
          <t>IA-ST-CFG-0039</t>
        </is>
      </c>
      <c r="G964" s="25" t="n">
        <v>30.6632</v>
      </c>
      <c r="H964" s="25" t="inlineStr">
        <is>
          <t>988-pack GENERATED</t>
        </is>
      </c>
    </row>
    <row r="965">
      <c r="A965" s="25" t="inlineStr">
        <is>
          <t>1013276</t>
        </is>
      </c>
      <c r="B965" s="25" t="inlineStr">
        <is>
          <t>AKÜ,B-IGYASMF,DK,150AH,PILOT PERFORMANCE</t>
        </is>
      </c>
      <c r="C965" s="25" t="inlineStr">
        <is>
          <t>1</t>
        </is>
      </c>
      <c r="D965" s="25" t="inlineStr">
        <is>
          <t>ST-021-EUR-03</t>
        </is>
      </c>
      <c r="E965" s="25" t="inlineStr">
        <is>
          <t>IA-ST-021-EUR-03</t>
        </is>
      </c>
      <c r="F965" s="25" t="inlineStr">
        <is>
          <t>IA-ST-CFG-0029</t>
        </is>
      </c>
      <c r="G965" s="25" t="n">
        <v>30.7682</v>
      </c>
      <c r="H965" s="25" t="inlineStr">
        <is>
          <t>988-pack GENERATED</t>
        </is>
      </c>
    </row>
    <row r="966">
      <c r="A966" s="25" t="inlineStr">
        <is>
          <t>1013277</t>
        </is>
      </c>
      <c r="B966" s="25" t="inlineStr">
        <is>
          <t>AKÜ,B-IGYASMF,TK,150AH,PILOT PERFORMANCE</t>
        </is>
      </c>
      <c r="C966" s="25" t="inlineStr">
        <is>
          <t>1</t>
        </is>
      </c>
      <c r="D966" s="25" t="inlineStr">
        <is>
          <t>ST-021-EUR-03</t>
        </is>
      </c>
      <c r="E966" s="25" t="inlineStr">
        <is>
          <t>IA-ST-021-EUR-03</t>
        </is>
      </c>
      <c r="F966" s="25" t="inlineStr">
        <is>
          <t>IA-ST-CFG-0029</t>
        </is>
      </c>
      <c r="G966" s="25" t="n">
        <v>30.7682</v>
      </c>
      <c r="H966" s="25" t="inlineStr">
        <is>
          <t>988-pack GENERATED</t>
        </is>
      </c>
    </row>
    <row r="967">
      <c r="A967" s="25" t="inlineStr">
        <is>
          <t>1013280</t>
        </is>
      </c>
      <c r="B967" s="25" t="inlineStr">
        <is>
          <t>AKÜ,B-IGYASMF,DK,180AH,PILOT PERFORMANCE</t>
        </is>
      </c>
      <c r="C967" s="25" t="inlineStr">
        <is>
          <t>1</t>
        </is>
      </c>
      <c r="D967" s="25" t="inlineStr">
        <is>
          <t>ST-021-EUR-03</t>
        </is>
      </c>
      <c r="E967" s="25" t="inlineStr">
        <is>
          <t>IA-ST-021-EUR-03</t>
        </is>
      </c>
      <c r="F967" s="25" t="inlineStr">
        <is>
          <t>IA-ST-CFG-0029</t>
        </is>
      </c>
      <c r="G967" s="25" t="n">
        <v>30.7682</v>
      </c>
      <c r="H967" s="25" t="inlineStr">
        <is>
          <t>988-pack GENERATED</t>
        </is>
      </c>
    </row>
    <row r="968">
      <c r="A968" s="25" t="inlineStr">
        <is>
          <t>1013281</t>
        </is>
      </c>
      <c r="B968" s="25" t="inlineStr">
        <is>
          <t>AKÜ,C-IGYASMF,DK,200AH,PILOT PERFORMANCE</t>
        </is>
      </c>
      <c r="C968" s="25" t="inlineStr">
        <is>
          <t>1</t>
        </is>
      </c>
      <c r="D968" s="25" t="inlineStr">
        <is>
          <t>ST-018-EUR-03</t>
        </is>
      </c>
      <c r="E968" s="25" t="inlineStr">
        <is>
          <t>IA-ST-018-EUR-03</t>
        </is>
      </c>
      <c r="F968" s="25" t="inlineStr">
        <is>
          <t>IA-ST-CFG-0014</t>
        </is>
      </c>
      <c r="G968" s="25" t="n">
        <v>30.9872</v>
      </c>
      <c r="H968" s="25" t="inlineStr">
        <is>
          <t>988-pack GENERATED</t>
        </is>
      </c>
    </row>
    <row r="969">
      <c r="A969" s="25" t="inlineStr">
        <is>
          <t>1013283</t>
        </is>
      </c>
      <c r="B969" s="25" t="inlineStr">
        <is>
          <t>AKÜ,C-IGYASMF,DK,225AH,PILOT PERFORMANCE</t>
        </is>
      </c>
      <c r="C969" s="25" t="inlineStr">
        <is>
          <t>1</t>
        </is>
      </c>
      <c r="D969" s="25" t="inlineStr">
        <is>
          <t>ST-018-EUR-03</t>
        </is>
      </c>
      <c r="E969" s="25" t="inlineStr">
        <is>
          <t>IA-ST-018-EUR-03</t>
        </is>
      </c>
      <c r="F969" s="25" t="inlineStr">
        <is>
          <t>IA-ST-CFG-0014</t>
        </is>
      </c>
      <c r="G969" s="25" t="n">
        <v>30.9872</v>
      </c>
      <c r="H969" s="25" t="inlineStr">
        <is>
          <t>988-pack GENERATED</t>
        </is>
      </c>
    </row>
    <row r="970">
      <c r="A970" s="25" t="inlineStr">
        <is>
          <t>1013285</t>
        </is>
      </c>
      <c r="B970" s="25" t="inlineStr">
        <is>
          <t>AKÜ,AGM,L3,DK,70AH,HUGEL AGM S&amp;S,EURO</t>
        </is>
      </c>
      <c r="C970" s="25" t="inlineStr">
        <is>
          <t>1</t>
        </is>
      </c>
      <c r="D970" s="25" t="inlineStr">
        <is>
          <t>ST-068-EUR-03</t>
        </is>
      </c>
      <c r="E970" s="25" t="inlineStr">
        <is>
          <t>IA-ST-068-EUR-03</t>
        </is>
      </c>
      <c r="F970" s="25" t="inlineStr">
        <is>
          <t>IA-ST-CFG-0200</t>
        </is>
      </c>
      <c r="G970" s="25" t="n">
        <v>30.0842</v>
      </c>
      <c r="H970" s="25" t="inlineStr">
        <is>
          <t>988-pack GENERATED</t>
        </is>
      </c>
    </row>
    <row r="971">
      <c r="A971" s="25" t="inlineStr">
        <is>
          <t>1013286</t>
        </is>
      </c>
      <c r="B971" s="25" t="inlineStr">
        <is>
          <t>AKÜ,AGM,L5,DK,92AH,HUGEL AGM S&amp;S,EURO</t>
        </is>
      </c>
      <c r="C971" s="25" t="inlineStr">
        <is>
          <t>1</t>
        </is>
      </c>
      <c r="D971" s="25" t="inlineStr">
        <is>
          <t>ST-048-EUR-10</t>
        </is>
      </c>
      <c r="E971" s="25" t="inlineStr">
        <is>
          <t>IA-ST-048-EUR-10</t>
        </is>
      </c>
      <c r="F971" s="25" t="inlineStr">
        <is>
          <t>IA-ST-CFG-0116</t>
        </is>
      </c>
      <c r="G971" s="25" t="n">
        <v>29.7592</v>
      </c>
      <c r="H971" s="25" t="inlineStr">
        <is>
          <t>988-pack GENERATED</t>
        </is>
      </c>
    </row>
    <row r="972">
      <c r="A972" s="25" t="inlineStr">
        <is>
          <t>1013300</t>
        </is>
      </c>
      <c r="B972" s="25" t="inlineStr">
        <is>
          <t>AKÜ,L1,DK,50AH,IGYA SMF,EAS ACTIVA</t>
        </is>
      </c>
      <c r="C972" s="25" t="inlineStr">
        <is>
          <t>1</t>
        </is>
      </c>
      <c r="D972" s="25" t="inlineStr">
        <is>
          <t>ST-087-STD-03</t>
        </is>
      </c>
      <c r="E972" s="25" t="inlineStr">
        <is>
          <t>IA-ST-087-STD-03</t>
        </is>
      </c>
      <c r="F972" s="25" t="inlineStr">
        <is>
          <t>IA-ST-CFG-0248</t>
        </is>
      </c>
      <c r="G972" s="25" t="n">
        <v>31.0092</v>
      </c>
      <c r="H972" s="25" t="inlineStr">
        <is>
          <t>988-pack GENERATED</t>
        </is>
      </c>
    </row>
    <row r="973">
      <c r="A973" s="25" t="inlineStr">
        <is>
          <t>1013306</t>
        </is>
      </c>
      <c r="B973" s="25" t="inlineStr">
        <is>
          <t>AKÜ,L3,DK,75AH,IGYA,Y3000 EXPORT,NACITA</t>
        </is>
      </c>
      <c r="C973" s="25" t="inlineStr">
        <is>
          <t>1</t>
        </is>
      </c>
      <c r="D973" s="25" t="inlineStr">
        <is>
          <t>ST-063-STD-08</t>
        </is>
      </c>
      <c r="E973" s="25" t="inlineStr">
        <is>
          <t>IA-ST-063-STD-08</t>
        </is>
      </c>
      <c r="F973" s="25" t="inlineStr">
        <is>
          <t>IA-ST-CFG-0179</t>
        </is>
      </c>
      <c r="G973" s="25" t="n">
        <v>29.9992</v>
      </c>
      <c r="H973" s="25" t="inlineStr">
        <is>
          <t>988-pack GENERATED</t>
        </is>
      </c>
    </row>
    <row r="974">
      <c r="A974" s="25" t="inlineStr">
        <is>
          <t>1013311</t>
        </is>
      </c>
      <c r="B974" s="25" t="inlineStr">
        <is>
          <t>AKÜ,LB2,DK60AH,IGYSMF,EDIXBLUE,CANARIBAT</t>
        </is>
      </c>
      <c r="C974" s="25" t="inlineStr">
        <is>
          <t>1</t>
        </is>
      </c>
      <c r="D974" s="25" t="inlineStr">
        <is>
          <t>ST-076-EUR-03</t>
        </is>
      </c>
      <c r="E974" s="25" t="inlineStr">
        <is>
          <t>IA-ST-076-EUR-03</t>
        </is>
      </c>
      <c r="F974" s="25" t="inlineStr">
        <is>
          <t>IA-ST-CFG-0240</t>
        </is>
      </c>
      <c r="G974" s="25" t="n">
        <v>30.7272</v>
      </c>
      <c r="H974" s="25" t="inlineStr">
        <is>
          <t>988-pack GENERATED</t>
        </is>
      </c>
    </row>
    <row r="975">
      <c r="A975" s="25" t="inlineStr">
        <is>
          <t>1013312</t>
        </is>
      </c>
      <c r="B975" s="25" t="inlineStr">
        <is>
          <t>AKÜ,C-IGYASMF,DK225AH,EDIXBLUE,CANARIBAT</t>
        </is>
      </c>
      <c r="C975" s="25" t="inlineStr">
        <is>
          <t>1</t>
        </is>
      </c>
      <c r="D975" s="25" t="inlineStr">
        <is>
          <t>ST-018-EUR-03</t>
        </is>
      </c>
      <c r="E975" s="25" t="inlineStr">
        <is>
          <t>IA-ST-018-EUR-03</t>
        </is>
      </c>
      <c r="F975" s="25" t="inlineStr">
        <is>
          <t>IA-ST-CFG-0014</t>
        </is>
      </c>
      <c r="G975" s="25" t="n">
        <v>30.9872</v>
      </c>
      <c r="H975" s="25" t="inlineStr">
        <is>
          <t>988-pack GENERATED</t>
        </is>
      </c>
    </row>
    <row r="976">
      <c r="A976" s="25" t="inlineStr">
        <is>
          <t>1013319</t>
        </is>
      </c>
      <c r="B976" s="25" t="inlineStr">
        <is>
          <t>AKÜ,D23,DK,60AH430A,IGYA,Y3000,ORTA DOĞU</t>
        </is>
      </c>
      <c r="C976" s="25" t="inlineStr">
        <is>
          <t>1</t>
        </is>
      </c>
      <c r="D976" s="25" t="inlineStr">
        <is>
          <t>ST-072-STD-10</t>
        </is>
      </c>
      <c r="E976" s="25" t="inlineStr">
        <is>
          <t>IA-ST-072-STD-10</t>
        </is>
      </c>
      <c r="F976" s="25" t="inlineStr">
        <is>
          <t>IA-ST-CFG-0219</t>
        </is>
      </c>
      <c r="G976" s="25" t="n">
        <v>34.33224</v>
      </c>
      <c r="H976" s="25" t="inlineStr">
        <is>
          <t>988-pack GENERATED</t>
        </is>
      </c>
    </row>
    <row r="977">
      <c r="A977" s="25" t="inlineStr">
        <is>
          <t>1013321</t>
        </is>
      </c>
      <c r="B977" s="25" t="inlineStr">
        <is>
          <t>AKÜ,D26,DK,72AH,IGYA,Y3000 EXPORT,KOLİLİ</t>
        </is>
      </c>
      <c r="C977" s="25" t="inlineStr">
        <is>
          <t>1</t>
        </is>
      </c>
      <c r="D977" s="25" t="inlineStr">
        <is>
          <t>ST-057-STD-03</t>
        </is>
      </c>
      <c r="E977" s="25" t="inlineStr">
        <is>
          <t>IA-ST-057-STD-03</t>
        </is>
      </c>
      <c r="F977" s="25" t="inlineStr">
        <is>
          <t>IA-ST-CFG-0157</t>
        </is>
      </c>
      <c r="G977" s="25" t="n">
        <v>50.954</v>
      </c>
      <c r="H977" s="25" t="inlineStr">
        <is>
          <t>988-pack GENERATED</t>
        </is>
      </c>
    </row>
    <row r="978">
      <c r="A978" s="25" t="inlineStr">
        <is>
          <t>1013333</t>
        </is>
      </c>
      <c r="B978" s="25" t="inlineStr">
        <is>
          <t>AKÜ,D31,DK,90AH670A,IGYA,Y3000,ORTA DOĞU</t>
        </is>
      </c>
      <c r="C978" s="25" t="inlineStr">
        <is>
          <t>1</t>
        </is>
      </c>
      <c r="D978" s="25" t="inlineStr">
        <is>
          <t>ST-054-STD-07</t>
        </is>
      </c>
      <c r="E978" s="25" t="inlineStr">
        <is>
          <t>IA-ST-054-STD-07</t>
        </is>
      </c>
      <c r="F978" s="25" t="inlineStr">
        <is>
          <t>IA-ST-CFG-0143</t>
        </is>
      </c>
      <c r="G978" s="25" t="n">
        <v>33.7838</v>
      </c>
      <c r="H978" s="25" t="inlineStr">
        <is>
          <t>988-pack GENERATED</t>
        </is>
      </c>
    </row>
    <row r="979">
      <c r="A979" s="25" t="inlineStr">
        <is>
          <t>1013347</t>
        </is>
      </c>
      <c r="B979" s="25" t="inlineStr">
        <is>
          <t>AKÜ,L4,DK,82AH,IGYSMF,Y3000EXPORT,KOLİLİ</t>
        </is>
      </c>
      <c r="C979" s="25" t="inlineStr">
        <is>
          <t>1</t>
        </is>
      </c>
      <c r="D979" s="25" t="inlineStr">
        <is>
          <t>ST-051-STD-03</t>
        </is>
      </c>
      <c r="E979" s="25" t="inlineStr">
        <is>
          <t>IA-ST-051-STD-03</t>
        </is>
      </c>
      <c r="F979" s="25" t="inlineStr">
        <is>
          <t>IA-ST-CFG-0124</t>
        </is>
      </c>
      <c r="G979" s="25" t="n">
        <v>41.816</v>
      </c>
      <c r="H979" s="25" t="inlineStr">
        <is>
          <t>988-pack GENERATED</t>
        </is>
      </c>
    </row>
    <row r="980">
      <c r="A980" s="25" t="inlineStr">
        <is>
          <t>1013380</t>
        </is>
      </c>
      <c r="B980" s="25" t="inlineStr">
        <is>
          <t>AKÜ,L2,DK,60AH,İNCİ AGM LEO,Y.DIŞIKOLİLİ</t>
        </is>
      </c>
      <c r="C980" s="25" t="inlineStr">
        <is>
          <t>1</t>
        </is>
      </c>
      <c r="D980" s="25" t="inlineStr">
        <is>
          <t>ST-066-STD-02</t>
        </is>
      </c>
      <c r="E980" s="25" t="inlineStr">
        <is>
          <t>IA-ST-066-STD-02</t>
        </is>
      </c>
      <c r="F980" s="25" t="inlineStr">
        <is>
          <t>IA-ST-CFG-0192</t>
        </is>
      </c>
      <c r="G980" s="25" t="n">
        <v>45.326</v>
      </c>
      <c r="H980" s="25" t="inlineStr">
        <is>
          <t>988-pack GENERATED</t>
        </is>
      </c>
    </row>
    <row r="981">
      <c r="A981" s="25" t="inlineStr">
        <is>
          <t>1013381</t>
        </is>
      </c>
      <c r="B981" s="25" t="inlineStr">
        <is>
          <t>AKÜ,L3,DK,70AH,İNCİ AGM LEO,Y.DIŞIKOLİLİ</t>
        </is>
      </c>
      <c r="C981" s="25" t="inlineStr">
        <is>
          <t>1</t>
        </is>
      </c>
      <c r="D981" s="25" t="inlineStr">
        <is>
          <t>ST-054-STD-02</t>
        </is>
      </c>
      <c r="E981" s="25" t="inlineStr">
        <is>
          <t>IA-ST-054-STD-02</t>
        </is>
      </c>
      <c r="F981" s="25" t="inlineStr">
        <is>
          <t>IA-ST-CFG-0138</t>
        </is>
      </c>
      <c r="G981" s="25" t="n">
        <v>42.986</v>
      </c>
      <c r="H981" s="25" t="inlineStr">
        <is>
          <t>988-pack GENERATED</t>
        </is>
      </c>
    </row>
    <row r="982">
      <c r="A982" s="25" t="inlineStr">
        <is>
          <t>1013383</t>
        </is>
      </c>
      <c r="B982" s="25" t="inlineStr">
        <is>
          <t>AKÜ,L5,DK,95AH,İNCİ AGM LEO,Y.DIŞIKOLİLİ</t>
        </is>
      </c>
      <c r="C982" s="25" t="inlineStr">
        <is>
          <t>1</t>
        </is>
      </c>
      <c r="D982" s="25" t="inlineStr">
        <is>
          <t>ST-045-STD-02</t>
        </is>
      </c>
      <c r="E982" s="25" t="inlineStr">
        <is>
          <t>IA-ST-045-STD-02</t>
        </is>
      </c>
      <c r="F982" s="25" t="inlineStr">
        <is>
          <t>IA-ST-CFG-0090</t>
        </is>
      </c>
      <c r="G982" s="25" t="n">
        <v>44.336</v>
      </c>
      <c r="H982" s="25" t="inlineStr">
        <is>
          <t>988-pack GENERATED</t>
        </is>
      </c>
    </row>
    <row r="983">
      <c r="A983" s="29" t="inlineStr">
        <is>
          <t>1013391</t>
        </is>
      </c>
      <c r="B983" s="29" t="inlineStr">
        <is>
          <t>AKÜ,D31,DK,105AH,IGYSMF,İNCİTAURS,OTOKAR</t>
        </is>
      </c>
      <c r="C983" s="29" t="inlineStr">
        <is>
          <t>1</t>
        </is>
      </c>
      <c r="H983" s="29" t="inlineStr">
        <is>
          <t>NO MAPPING</t>
        </is>
      </c>
    </row>
    <row r="984">
      <c r="A984" s="25" t="inlineStr">
        <is>
          <t>1013393</t>
        </is>
      </c>
      <c r="B984" s="25" t="inlineStr">
        <is>
          <t>AKÜ,C-FLAT,DK240AH,İNCİSUPRASENT,TRADING</t>
        </is>
      </c>
      <c r="C984" s="25" t="inlineStr">
        <is>
          <t>1</t>
        </is>
      </c>
      <c r="D984" s="25" t="inlineStr">
        <is>
          <t>ST-018-EUR-03</t>
        </is>
      </c>
      <c r="E984" s="25" t="inlineStr">
        <is>
          <t>IA-ST-018-EUR-03</t>
        </is>
      </c>
      <c r="F984" s="25" t="inlineStr">
        <is>
          <t>IA-ST-CFG-0014</t>
        </is>
      </c>
      <c r="G984" s="25" t="n">
        <v>30.9872</v>
      </c>
      <c r="H984" s="25" t="inlineStr">
        <is>
          <t>988-pack GENERATED</t>
        </is>
      </c>
    </row>
    <row r="985">
      <c r="A985" s="25" t="inlineStr">
        <is>
          <t>1013394</t>
        </is>
      </c>
      <c r="B985" s="25" t="inlineStr">
        <is>
          <t>AKÜ,C-IGYASMF,DK,225AH,SHD,İNCİFORMULA</t>
        </is>
      </c>
      <c r="C985" s="25" t="inlineStr">
        <is>
          <t>1</t>
        </is>
      </c>
      <c r="D985" s="25" t="inlineStr">
        <is>
          <t>ST-021-STD-03</t>
        </is>
      </c>
      <c r="E985" s="25" t="inlineStr">
        <is>
          <t>IA-ST-021-STD-03</t>
        </is>
      </c>
      <c r="F985" s="25" t="inlineStr">
        <is>
          <t>IA-ST-CFG-0023</t>
        </is>
      </c>
      <c r="G985" s="25" t="n">
        <v>31.8252</v>
      </c>
      <c r="H985" s="25" t="inlineStr">
        <is>
          <t>988-pack GENERATED</t>
        </is>
      </c>
    </row>
    <row r="986">
      <c r="A986" s="25" t="inlineStr">
        <is>
          <t>1013397</t>
        </is>
      </c>
      <c r="B986" s="25" t="inlineStr">
        <is>
          <t>AKÜ,D26,DK,72AH,IGYSMF,Y3000EXPORT,NAZIM</t>
        </is>
      </c>
      <c r="C986" s="25" t="inlineStr">
        <is>
          <t>1</t>
        </is>
      </c>
      <c r="D986" s="25" t="inlineStr">
        <is>
          <t>ST-063-STD-02</t>
        </is>
      </c>
      <c r="E986" s="25" t="inlineStr">
        <is>
          <t>IA-ST-063-STD-02</t>
        </is>
      </c>
      <c r="F986" s="25" t="inlineStr">
        <is>
          <t>IA-ST-CFG-0173</t>
        </is>
      </c>
      <c r="G986" s="25" t="n">
        <v>27.708</v>
      </c>
      <c r="H986" s="25" t="inlineStr">
        <is>
          <t>988-pack GENERATED</t>
        </is>
      </c>
    </row>
    <row r="987">
      <c r="A987" s="25" t="inlineStr">
        <is>
          <t>1013402</t>
        </is>
      </c>
      <c r="B987" s="25" t="inlineStr">
        <is>
          <t>AKÜ,L2,DK,60AH,IGYA SMF,HUGEL EFB S&amp;S</t>
        </is>
      </c>
      <c r="C987" s="25" t="inlineStr">
        <is>
          <t>1</t>
        </is>
      </c>
      <c r="D987" s="25" t="inlineStr">
        <is>
          <t>ST-072-STD-13</t>
        </is>
      </c>
      <c r="E987" s="25" t="inlineStr">
        <is>
          <t>IA-ST-072-STD-13</t>
        </is>
      </c>
      <c r="F987" s="25" t="inlineStr">
        <is>
          <t>IA-ST-CFG-0222</t>
        </is>
      </c>
      <c r="G987" s="25" t="n">
        <v>30.6552</v>
      </c>
      <c r="H987" s="25" t="inlineStr">
        <is>
          <t>988-pack GENERATED</t>
        </is>
      </c>
    </row>
    <row r="988">
      <c r="A988" s="25" t="inlineStr">
        <is>
          <t>1013403</t>
        </is>
      </c>
      <c r="B988" s="25" t="inlineStr">
        <is>
          <t>AKÜ,L0,DK40AH,DINNEW,GRİSYH,STRONG,SCHNP</t>
        </is>
      </c>
      <c r="C988" s="25" t="inlineStr">
        <is>
          <t>1</t>
        </is>
      </c>
      <c r="D988" s="25" t="inlineStr">
        <is>
          <t>ST-090-STD-02</t>
        </is>
      </c>
      <c r="E988" s="25" t="inlineStr">
        <is>
          <t>IA-ST-090-STD-02</t>
        </is>
      </c>
      <c r="F988" s="25" t="inlineStr">
        <is>
          <t>IA-ST-CFG-0263</t>
        </is>
      </c>
      <c r="G988" s="25" t="n">
        <v>28.649</v>
      </c>
      <c r="H988" s="25" t="inlineStr">
        <is>
          <t>988-pack GENERATED</t>
        </is>
      </c>
    </row>
    <row r="989">
      <c r="A989" s="25" t="inlineStr">
        <is>
          <t>1013404</t>
        </is>
      </c>
      <c r="B989" s="25" t="inlineStr">
        <is>
          <t>AKÜ,B-IGYASMF,DK180AH,EDIXBLUE,CANARIBAT</t>
        </is>
      </c>
      <c r="C989" s="25" t="inlineStr">
        <is>
          <t>1</t>
        </is>
      </c>
      <c r="D989" s="25" t="inlineStr">
        <is>
          <t>ST-021-EUR-03</t>
        </is>
      </c>
      <c r="E989" s="25" t="inlineStr">
        <is>
          <t>IA-ST-021-EUR-03</t>
        </is>
      </c>
      <c r="F989" s="25" t="inlineStr">
        <is>
          <t>IA-ST-CFG-0029</t>
        </is>
      </c>
      <c r="G989" s="25" t="n">
        <v>30.7682</v>
      </c>
      <c r="H989" s="25" t="inlineStr">
        <is>
          <t>988-pack GENERATED</t>
        </is>
      </c>
    </row>
    <row r="990">
      <c r="A990" s="25" t="inlineStr">
        <is>
          <t>1013405</t>
        </is>
      </c>
      <c r="B990" s="25" t="inlineStr">
        <is>
          <t>AKÜ,TRACTORL,DK,115AH,EDIXBLUE,CANARIBAT</t>
        </is>
      </c>
      <c r="C990" s="25" t="inlineStr">
        <is>
          <t>1</t>
        </is>
      </c>
      <c r="D990" s="25" t="inlineStr">
        <is>
          <t>ST-036-EUR-05</t>
        </is>
      </c>
      <c r="E990" s="25" t="inlineStr">
        <is>
          <t>IA-ST-036-EUR-05</t>
        </is>
      </c>
      <c r="F990" s="25" t="inlineStr">
        <is>
          <t>IA-ST-CFG-0070</t>
        </is>
      </c>
      <c r="G990" s="25" t="n">
        <v>31.98368</v>
      </c>
      <c r="H990" s="25" t="inlineStr">
        <is>
          <t>988-pack GENERATED</t>
        </is>
      </c>
    </row>
    <row r="991">
      <c r="A991" s="25" t="inlineStr">
        <is>
          <t>1013409</t>
        </is>
      </c>
      <c r="B991" s="25" t="inlineStr">
        <is>
          <t>AKÜ,D23,TK,60AH,IGYA SMF,HUGEL ULTRA</t>
        </is>
      </c>
      <c r="C991" s="25" t="inlineStr">
        <is>
          <t>1</t>
        </is>
      </c>
      <c r="D991" s="25" t="inlineStr">
        <is>
          <t>ST-072-STD-10</t>
        </is>
      </c>
      <c r="E991" s="25" t="inlineStr">
        <is>
          <t>IA-ST-072-STD-10</t>
        </is>
      </c>
      <c r="F991" s="25" t="inlineStr">
        <is>
          <t>IA-ST-CFG-0219</t>
        </is>
      </c>
      <c r="G991" s="25" t="n">
        <v>34.33224</v>
      </c>
      <c r="H991" s="25" t="inlineStr">
        <is>
          <t>988-pack GENERATED</t>
        </is>
      </c>
    </row>
    <row r="992">
      <c r="A992" s="25" t="inlineStr">
        <is>
          <t>1013412</t>
        </is>
      </c>
      <c r="B992" s="25" t="inlineStr">
        <is>
          <t>AKÜ,L2,DK,60AH,GSYSMF,MOPAR EFB,XFCA OES</t>
        </is>
      </c>
      <c r="C992" s="25" t="inlineStr">
        <is>
          <t>1</t>
        </is>
      </c>
      <c r="D992" s="25" t="inlineStr">
        <is>
          <t>ST-057-EUR-03</t>
        </is>
      </c>
      <c r="E992" s="25" t="inlineStr">
        <is>
          <t>IA-ST-057-EUR-03</t>
        </is>
      </c>
      <c r="F992" s="25" t="inlineStr">
        <is>
          <t>IA-ST-CFG-0162</t>
        </is>
      </c>
      <c r="G992" s="25" t="n">
        <v>27.926</v>
      </c>
      <c r="H992" s="25" t="inlineStr">
        <is>
          <t>988-pack GENERATED</t>
        </is>
      </c>
    </row>
    <row r="993">
      <c r="A993" s="25" t="inlineStr">
        <is>
          <t>1013413</t>
        </is>
      </c>
      <c r="B993" s="25" t="inlineStr">
        <is>
          <t>AKÜ,L3,DK,70AH,GSYSMF,MOPAR EFB,XFCA OES</t>
        </is>
      </c>
      <c r="C993" s="25" t="inlineStr">
        <is>
          <t>1</t>
        </is>
      </c>
      <c r="D993" s="25" t="inlineStr">
        <is>
          <t>ST-051-EUR-01</t>
        </is>
      </c>
      <c r="E993" s="25" t="inlineStr">
        <is>
          <t>IA-ST-051-EUR-01</t>
        </is>
      </c>
      <c r="F993" s="25" t="inlineStr">
        <is>
          <t>IA-ST-CFG-0132</t>
        </is>
      </c>
      <c r="G993" s="25" t="n">
        <v>27.926</v>
      </c>
      <c r="H993" s="25" t="inlineStr">
        <is>
          <t>988-pack GENERATED</t>
        </is>
      </c>
    </row>
    <row r="994">
      <c r="A994" s="25" t="inlineStr">
        <is>
          <t>1013414</t>
        </is>
      </c>
      <c r="B994" s="25" t="inlineStr">
        <is>
          <t>AKÜ,D26,DK,80AH,IGYA SMF,EFB S&amp;S,SCHNAPP</t>
        </is>
      </c>
      <c r="C994" s="25" t="inlineStr">
        <is>
          <t>1</t>
        </is>
      </c>
      <c r="D994" s="25" t="inlineStr">
        <is>
          <t>ST-063-STD-12</t>
        </is>
      </c>
      <c r="E994" s="25" t="inlineStr">
        <is>
          <t>IA-ST-063-STD-12</t>
        </is>
      </c>
      <c r="F994" s="25" t="inlineStr">
        <is>
          <t>IA-ST-CFG-0183</t>
        </is>
      </c>
      <c r="G994" s="25" t="n">
        <v>28.649</v>
      </c>
      <c r="H994" s="25" t="inlineStr">
        <is>
          <t>988-pack GENERATED</t>
        </is>
      </c>
    </row>
    <row r="995">
      <c r="A995" s="25" t="inlineStr">
        <is>
          <t>1013419</t>
        </is>
      </c>
      <c r="B995" s="25" t="inlineStr">
        <is>
          <t>AKÜ,D26,DK,72AH,IGYSMF,HUGEL EFBS&amp;S,EURO</t>
        </is>
      </c>
      <c r="C995" s="25" t="inlineStr">
        <is>
          <t>1</t>
        </is>
      </c>
      <c r="D995" s="25" t="inlineStr">
        <is>
          <t>ST-048-EUR-02</t>
        </is>
      </c>
      <c r="E995" s="25" t="inlineStr">
        <is>
          <t>IA-ST-048-EUR-02</t>
        </is>
      </c>
      <c r="F995" s="25" t="inlineStr">
        <is>
          <t>IA-ST-CFG-0107</t>
        </is>
      </c>
      <c r="G995" s="25" t="n">
        <v>32.3872</v>
      </c>
      <c r="H995" s="25" t="inlineStr">
        <is>
          <t>988-pack GENERATED</t>
        </is>
      </c>
    </row>
    <row r="996">
      <c r="A996" s="25" t="inlineStr">
        <is>
          <t>1013423</t>
        </is>
      </c>
      <c r="B996" s="25" t="inlineStr">
        <is>
          <t>AKÜ,LB3,DK,72AH,IGYASMF,HUGEL ULTRA,EURO</t>
        </is>
      </c>
      <c r="C996" s="25" t="inlineStr">
        <is>
          <t>1</t>
        </is>
      </c>
      <c r="D996" s="25" t="inlineStr">
        <is>
          <t>ST-068-EUR-02</t>
        </is>
      </c>
      <c r="E996" s="25" t="inlineStr">
        <is>
          <t>IA-ST-068-EUR-02</t>
        </is>
      </c>
      <c r="F996" s="25" t="inlineStr">
        <is>
          <t>IA-ST-CFG-0199</t>
        </is>
      </c>
      <c r="G996" s="25" t="n">
        <v>29.9442</v>
      </c>
      <c r="H996" s="25" t="inlineStr">
        <is>
          <t>988-pack GENERATED</t>
        </is>
      </c>
    </row>
    <row r="997">
      <c r="A997" s="25" t="inlineStr">
        <is>
          <t>1013429</t>
        </is>
      </c>
      <c r="B997" s="25" t="inlineStr">
        <is>
          <t>AKÜ,D23,DK,65AH,IGYSMF,HUGEL EFBS&amp;S,EURO</t>
        </is>
      </c>
      <c r="C997" s="25" t="inlineStr">
        <is>
          <t>1</t>
        </is>
      </c>
      <c r="D997" s="25" t="inlineStr">
        <is>
          <t>ST-060-EUR-02</t>
        </is>
      </c>
      <c r="E997" s="25" t="inlineStr">
        <is>
          <t>IA-ST-060-EUR-02</t>
        </is>
      </c>
      <c r="F997" s="25" t="inlineStr">
        <is>
          <t>IA-ST-CFG-0171</t>
        </is>
      </c>
      <c r="G997" s="25" t="n">
        <v>32.9834</v>
      </c>
      <c r="H997" s="25" t="inlineStr">
        <is>
          <t>988-pack GENERATED</t>
        </is>
      </c>
    </row>
    <row r="998">
      <c r="A998" s="29" t="inlineStr">
        <is>
          <t>1013439</t>
        </is>
      </c>
      <c r="B998" s="29" t="inlineStr">
        <is>
          <t>AKÜ,L5,DK,92AH,IGYASMF,İNCİSUPRASENT,BMC</t>
        </is>
      </c>
      <c r="C998" s="29" t="inlineStr">
        <is>
          <t>1</t>
        </is>
      </c>
      <c r="H998" s="29" t="inlineStr">
        <is>
          <t>NO MAPPING</t>
        </is>
      </c>
    </row>
    <row r="999">
      <c r="A999" s="25" t="inlineStr">
        <is>
          <t>1013440</t>
        </is>
      </c>
      <c r="B999" s="25" t="inlineStr">
        <is>
          <t>AKÜ,L0,DK,40AH,DIN NEW,HUGEL ACTION,EURO</t>
        </is>
      </c>
      <c r="C999" s="25" t="inlineStr">
        <is>
          <t>1</t>
        </is>
      </c>
      <c r="D999" s="25" t="inlineStr">
        <is>
          <t>ST-096-EUR-08</t>
        </is>
      </c>
      <c r="E999" s="25" t="inlineStr">
        <is>
          <t>IA-ST-096-EUR-08</t>
        </is>
      </c>
      <c r="F999" s="25" t="inlineStr">
        <is>
          <t>IA-ST-CFG-0276</t>
        </is>
      </c>
      <c r="G999" s="25" t="n">
        <v>29.9492</v>
      </c>
      <c r="H999" s="25" t="inlineStr">
        <is>
          <t>988-pack GENERATED</t>
        </is>
      </c>
    </row>
    <row r="1000">
      <c r="A1000" s="25" t="inlineStr">
        <is>
          <t>1013442</t>
        </is>
      </c>
      <c r="B1000" s="25" t="inlineStr">
        <is>
          <t>AKÜ,C-IGY,DK225AH,SHDNEW,TPOWERPARTEKSAN</t>
        </is>
      </c>
      <c r="C1000" s="25" t="inlineStr">
        <is>
          <t>1</t>
        </is>
      </c>
      <c r="D1000" s="25" t="inlineStr">
        <is>
          <t>ST-018-EUR-03</t>
        </is>
      </c>
      <c r="E1000" s="25" t="inlineStr">
        <is>
          <t>IA-ST-018-EUR-03</t>
        </is>
      </c>
      <c r="F1000" s="25" t="inlineStr">
        <is>
          <t>IA-ST-CFG-0014</t>
        </is>
      </c>
      <c r="G1000" s="25" t="n">
        <v>30.9872</v>
      </c>
      <c r="H1000" s="25" t="inlineStr">
        <is>
          <t>988-pack GENERATED</t>
        </is>
      </c>
    </row>
    <row r="1001">
      <c r="A1001" s="25" t="inlineStr">
        <is>
          <t>1013443</t>
        </is>
      </c>
      <c r="B1001" s="25" t="inlineStr">
        <is>
          <t>AKÜ,L5,DK,105AH,IGYASMF,HUGEL ULTRA,EURO</t>
        </is>
      </c>
      <c r="C1001" s="25" t="inlineStr">
        <is>
          <t>1</t>
        </is>
      </c>
      <c r="D1001" s="25" t="inlineStr">
        <is>
          <t>ST-048-EUR-10</t>
        </is>
      </c>
      <c r="E1001" s="25" t="inlineStr">
        <is>
          <t>IA-ST-048-EUR-10</t>
        </is>
      </c>
      <c r="F1001" s="25" t="inlineStr">
        <is>
          <t>IA-ST-CFG-0116</t>
        </is>
      </c>
      <c r="G1001" s="25" t="n">
        <v>29.7592</v>
      </c>
      <c r="H1001" s="25" t="inlineStr">
        <is>
          <t>988-pack GENERATED</t>
        </is>
      </c>
    </row>
    <row r="1002">
      <c r="A1002" s="25" t="inlineStr">
        <is>
          <t>1013444</t>
        </is>
      </c>
      <c r="B1002" s="25" t="inlineStr">
        <is>
          <t>AKÜ,NS60,DK,45AH,IGYASMF,HUGELULTRA,EURO</t>
        </is>
      </c>
      <c r="C1002" s="25" t="inlineStr">
        <is>
          <t>1</t>
        </is>
      </c>
      <c r="D1002" s="25" t="inlineStr">
        <is>
          <t>ST-072-EUR-05</t>
        </is>
      </c>
      <c r="E1002" s="25" t="inlineStr">
        <is>
          <t>IA-ST-072-EUR-05</t>
        </is>
      </c>
      <c r="F1002" s="25" t="inlineStr">
        <is>
          <t>IA-ST-CFG-0235</t>
        </is>
      </c>
      <c r="G1002" s="25" t="n">
        <v>33.2594</v>
      </c>
      <c r="H1002" s="25" t="inlineStr">
        <is>
          <t>988-pack GENERATED</t>
        </is>
      </c>
    </row>
    <row r="1003">
      <c r="A1003" s="25" t="inlineStr">
        <is>
          <t>1013445</t>
        </is>
      </c>
      <c r="B1003" s="25" t="inlineStr">
        <is>
          <t>AKÜ,NS60,TK,45AH,IGYASMF,HUGELULTRA,EURO</t>
        </is>
      </c>
      <c r="C1003" s="25" t="inlineStr">
        <is>
          <t>1</t>
        </is>
      </c>
      <c r="D1003" s="25" t="inlineStr">
        <is>
          <t>ST-072-EUR-05</t>
        </is>
      </c>
      <c r="E1003" s="25" t="inlineStr">
        <is>
          <t>IA-ST-072-EUR-05</t>
        </is>
      </c>
      <c r="F1003" s="25" t="inlineStr">
        <is>
          <t>IA-ST-CFG-0235</t>
        </is>
      </c>
      <c r="G1003" s="25" t="n">
        <v>33.2594</v>
      </c>
      <c r="H1003" s="25" t="inlineStr">
        <is>
          <t>988-pack GENERATED</t>
        </is>
      </c>
    </row>
    <row r="1004">
      <c r="A1004" s="25" t="inlineStr">
        <is>
          <t>1013455</t>
        </is>
      </c>
      <c r="B1004" s="25" t="inlineStr">
        <is>
          <t>AKÜ,L2,TK,62AH,IGYA,HUGEL ULTRA,SHAWKAT</t>
        </is>
      </c>
      <c r="C1004" s="25" t="inlineStr">
        <is>
          <t>1</t>
        </is>
      </c>
      <c r="D1004" s="25" t="inlineStr">
        <is>
          <t>ST-072-STD-13</t>
        </is>
      </c>
      <c r="E1004" s="25" t="inlineStr">
        <is>
          <t>IA-ST-072-STD-13</t>
        </is>
      </c>
      <c r="F1004" s="25" t="inlineStr">
        <is>
          <t>IA-ST-CFG-0222</t>
        </is>
      </c>
      <c r="G1004" s="25" t="n">
        <v>30.6552</v>
      </c>
      <c r="H1004" s="25" t="inlineStr">
        <is>
          <t>988-pack GENERATED</t>
        </is>
      </c>
    </row>
    <row r="1005">
      <c r="A1005" s="25" t="inlineStr">
        <is>
          <t>1013456</t>
        </is>
      </c>
      <c r="B1005" s="25" t="inlineStr">
        <is>
          <t>AKÜ,L2,TK,62AH,IGYA,BLIZZSILVRLN,SHAWKAT</t>
        </is>
      </c>
      <c r="C1005" s="25" t="inlineStr">
        <is>
          <t>1</t>
        </is>
      </c>
      <c r="D1005" s="25" t="inlineStr">
        <is>
          <t>ST-072-STD-13</t>
        </is>
      </c>
      <c r="E1005" s="25" t="inlineStr">
        <is>
          <t>IA-ST-072-STD-13</t>
        </is>
      </c>
      <c r="F1005" s="25" t="inlineStr">
        <is>
          <t>IA-ST-CFG-0222</t>
        </is>
      </c>
      <c r="G1005" s="25" t="n">
        <v>30.6552</v>
      </c>
      <c r="H1005" s="25" t="inlineStr">
        <is>
          <t>988-pack GENERATED</t>
        </is>
      </c>
    </row>
    <row r="1006">
      <c r="A1006" s="25" t="inlineStr">
        <is>
          <t>1013460</t>
        </is>
      </c>
      <c r="B1006" s="25" t="inlineStr">
        <is>
          <t>AKÜ AGM,L3,DK,70AH,BLIZZARO AGM S&amp;S,EURO</t>
        </is>
      </c>
      <c r="C1006" s="25" t="inlineStr">
        <is>
          <t>1</t>
        </is>
      </c>
      <c r="D1006" s="25" t="inlineStr">
        <is>
          <t>ST-068-EUR-03</t>
        </is>
      </c>
      <c r="E1006" s="25" t="inlineStr">
        <is>
          <t>IA-ST-068-EUR-03</t>
        </is>
      </c>
      <c r="F1006" s="25" t="inlineStr">
        <is>
          <t>IA-ST-CFG-0200</t>
        </is>
      </c>
      <c r="G1006" s="25" t="n">
        <v>30.0842</v>
      </c>
      <c r="H1006" s="25" t="inlineStr">
        <is>
          <t>988-pack GENERATED</t>
        </is>
      </c>
    </row>
    <row r="1007">
      <c r="A1007" s="25" t="inlineStr">
        <is>
          <t>1013461</t>
        </is>
      </c>
      <c r="B1007" s="25" t="inlineStr">
        <is>
          <t>AKÜ AGM,L6,DK,105AH,BLIZZARO AGMS&amp;S,EURO</t>
        </is>
      </c>
      <c r="C1007" s="25" t="inlineStr">
        <is>
          <t>1</t>
        </is>
      </c>
      <c r="D1007" s="25" t="inlineStr">
        <is>
          <t>ST-036-EUR-06</t>
        </is>
      </c>
      <c r="E1007" s="25" t="inlineStr">
        <is>
          <t>IA-ST-036-EUR-06</t>
        </is>
      </c>
      <c r="F1007" s="25" t="inlineStr">
        <is>
          <t>IA-ST-CFG-0071</t>
        </is>
      </c>
      <c r="G1007" s="25" t="n">
        <v>29.0792</v>
      </c>
      <c r="H1007" s="25" t="inlineStr">
        <is>
          <t>988-pack GENERATED</t>
        </is>
      </c>
    </row>
    <row r="1008">
      <c r="A1008" s="25" t="inlineStr">
        <is>
          <t>1013462</t>
        </is>
      </c>
      <c r="B1008" s="25" t="inlineStr">
        <is>
          <t>AKÜ,LB2,DK,60AH,IGYSMF,BLIZZSILVERL,EURO</t>
        </is>
      </c>
      <c r="C1008" s="25" t="inlineStr">
        <is>
          <t>1</t>
        </is>
      </c>
      <c r="D1008" s="25" t="inlineStr">
        <is>
          <t>ST-076-EUR-03</t>
        </is>
      </c>
      <c r="E1008" s="25" t="inlineStr">
        <is>
          <t>IA-ST-076-EUR-03</t>
        </is>
      </c>
      <c r="F1008" s="25" t="inlineStr">
        <is>
          <t>IA-ST-CFG-0240</t>
        </is>
      </c>
      <c r="G1008" s="25" t="n">
        <v>30.7272</v>
      </c>
      <c r="H1008" s="25" t="inlineStr">
        <is>
          <t>988-pack GENERATED</t>
        </is>
      </c>
    </row>
    <row r="1009">
      <c r="A1009" s="25" t="inlineStr">
        <is>
          <t>1013463</t>
        </is>
      </c>
      <c r="B1009" s="25" t="inlineStr">
        <is>
          <t>AKÜ,L2,DK,60AH,IGYSMF,BLIZZSILVERLN,EURO</t>
        </is>
      </c>
      <c r="C1009" s="25" t="inlineStr">
        <is>
          <t>1</t>
        </is>
      </c>
      <c r="D1009" s="25" t="inlineStr">
        <is>
          <t>ST-076-EUR-03</t>
        </is>
      </c>
      <c r="E1009" s="25" t="inlineStr">
        <is>
          <t>IA-ST-076-EUR-03</t>
        </is>
      </c>
      <c r="F1009" s="25" t="inlineStr">
        <is>
          <t>IA-ST-CFG-0240</t>
        </is>
      </c>
      <c r="G1009" s="25" t="n">
        <v>30.7272</v>
      </c>
      <c r="H1009" s="25" t="inlineStr">
        <is>
          <t>988-pack GENERATED</t>
        </is>
      </c>
    </row>
    <row r="1010">
      <c r="A1010" s="25" t="inlineStr">
        <is>
          <t>1013464</t>
        </is>
      </c>
      <c r="B1010" s="25" t="inlineStr">
        <is>
          <t>AKÜ,LB3,DK,72AH,IGYSMF,BLIZZSILVERL,EURO</t>
        </is>
      </c>
      <c r="C1010" s="25" t="inlineStr">
        <is>
          <t>1</t>
        </is>
      </c>
      <c r="D1010" s="25" t="inlineStr">
        <is>
          <t>ST-068-EUR-02</t>
        </is>
      </c>
      <c r="E1010" s="25" t="inlineStr">
        <is>
          <t>IA-ST-068-EUR-02</t>
        </is>
      </c>
      <c r="F1010" s="25" t="inlineStr">
        <is>
          <t>IA-ST-CFG-0199</t>
        </is>
      </c>
      <c r="G1010" s="25" t="n">
        <v>29.9442</v>
      </c>
      <c r="H1010" s="25" t="inlineStr">
        <is>
          <t>988-pack GENERATED</t>
        </is>
      </c>
    </row>
    <row r="1011">
      <c r="A1011" s="25" t="inlineStr">
        <is>
          <t>1013465</t>
        </is>
      </c>
      <c r="B1011" s="25" t="inlineStr">
        <is>
          <t>AKÜ,L3,DK,75AH,IGYSMF,BLİZZSILVERLN,EURO</t>
        </is>
      </c>
      <c r="C1011" s="25" t="inlineStr">
        <is>
          <t>1</t>
        </is>
      </c>
      <c r="D1011" s="25" t="inlineStr">
        <is>
          <t>ST-068-EUR-03</t>
        </is>
      </c>
      <c r="E1011" s="25" t="inlineStr">
        <is>
          <t>IA-ST-068-EUR-03</t>
        </is>
      </c>
      <c r="F1011" s="25" t="inlineStr">
        <is>
          <t>IA-ST-CFG-0200</t>
        </is>
      </c>
      <c r="G1011" s="25" t="n">
        <v>30.0842</v>
      </c>
      <c r="H1011" s="25" t="inlineStr">
        <is>
          <t>988-pack GENERATED</t>
        </is>
      </c>
    </row>
    <row r="1012">
      <c r="A1012" s="25" t="inlineStr">
        <is>
          <t>1013467</t>
        </is>
      </c>
      <c r="B1012" s="25" t="inlineStr">
        <is>
          <t>AKÜ,L5,DK,100AH,IGYSMF,BLIZZSILVERL,EURO</t>
        </is>
      </c>
      <c r="C1012" s="25" t="inlineStr">
        <is>
          <t>1</t>
        </is>
      </c>
      <c r="D1012" s="25" t="inlineStr">
        <is>
          <t>ST-048-EUR-10</t>
        </is>
      </c>
      <c r="E1012" s="25" t="inlineStr">
        <is>
          <t>IA-ST-048-EUR-10</t>
        </is>
      </c>
      <c r="F1012" s="25" t="inlineStr">
        <is>
          <t>IA-ST-CFG-0116</t>
        </is>
      </c>
      <c r="G1012" s="25" t="n">
        <v>29.7592</v>
      </c>
      <c r="H1012" s="25" t="inlineStr">
        <is>
          <t>988-pack GENERATED</t>
        </is>
      </c>
    </row>
    <row r="1013">
      <c r="A1013" s="25" t="inlineStr">
        <is>
          <t>1013469</t>
        </is>
      </c>
      <c r="B1013" s="25" t="inlineStr">
        <is>
          <t>AKÜ,C-FLAT,DK,225AH,BLİZZAROTRENDLN,EURO</t>
        </is>
      </c>
      <c r="C1013" s="25" t="inlineStr">
        <is>
          <t>1</t>
        </is>
      </c>
      <c r="D1013" s="25" t="inlineStr">
        <is>
          <t>ST-018-EUR-03</t>
        </is>
      </c>
      <c r="E1013" s="25" t="inlineStr">
        <is>
          <t>IA-ST-018-EUR-03</t>
        </is>
      </c>
      <c r="F1013" s="25" t="inlineStr">
        <is>
          <t>IA-ST-CFG-0014</t>
        </is>
      </c>
      <c r="G1013" s="25" t="n">
        <v>30.9872</v>
      </c>
      <c r="H1013" s="25" t="inlineStr">
        <is>
          <t>988-pack GENERATED</t>
        </is>
      </c>
    </row>
    <row r="1014">
      <c r="A1014" s="25" t="inlineStr">
        <is>
          <t>1013480</t>
        </is>
      </c>
      <c r="B1014" s="25" t="inlineStr">
        <is>
          <t>AKÜ,D26,TK,75AH,IGYA SMF,HUGEL ULTRA</t>
        </is>
      </c>
      <c r="C1014" s="25" t="inlineStr">
        <is>
          <t>1</t>
        </is>
      </c>
      <c r="D1014" s="25" t="inlineStr">
        <is>
          <t>ST-063-STD-04</t>
        </is>
      </c>
      <c r="E1014" s="25" t="inlineStr">
        <is>
          <t>IA-ST-063-STD-04</t>
        </is>
      </c>
      <c r="F1014" s="25" t="inlineStr">
        <is>
          <t>IA-ST-CFG-0175</t>
        </is>
      </c>
      <c r="G1014" s="25" t="n">
        <v>34.1512</v>
      </c>
      <c r="H1014" s="25" t="inlineStr">
        <is>
          <t>988-pack GENERATED</t>
        </is>
      </c>
    </row>
    <row r="1015">
      <c r="A1015" s="25" t="inlineStr">
        <is>
          <t>1013483</t>
        </is>
      </c>
      <c r="B1015" s="25" t="inlineStr">
        <is>
          <t>AKÜ AGM,L4,DK,80AH,BLIZZARO AGM S&amp;S</t>
        </is>
      </c>
      <c r="C1015" s="25" t="inlineStr">
        <is>
          <t>1</t>
        </is>
      </c>
      <c r="D1015" s="25" t="inlineStr">
        <is>
          <t>ST-054-STD-06</t>
        </is>
      </c>
      <c r="E1015" s="25" t="inlineStr">
        <is>
          <t>IA-ST-054-STD-06</t>
        </is>
      </c>
      <c r="F1015" s="25" t="inlineStr">
        <is>
          <t>IA-ST-CFG-0142</t>
        </is>
      </c>
      <c r="G1015" s="25" t="n">
        <v>29.7552</v>
      </c>
      <c r="H1015" s="25" t="inlineStr">
        <is>
          <t>988-pack GENERATED</t>
        </is>
      </c>
    </row>
    <row r="1016">
      <c r="A1016" s="25" t="inlineStr">
        <is>
          <t>1013484</t>
        </is>
      </c>
      <c r="B1016" s="25" t="inlineStr">
        <is>
          <t>AKÜ,LB2,DK,60AH,IGYASMF,BLIZZARO EFB S&amp;S</t>
        </is>
      </c>
      <c r="C1016" s="25" t="inlineStr">
        <is>
          <t>1</t>
        </is>
      </c>
      <c r="D1016" s="25" t="inlineStr">
        <is>
          <t>ST-072-STD-13</t>
        </is>
      </c>
      <c r="E1016" s="25" t="inlineStr">
        <is>
          <t>IA-ST-072-STD-13</t>
        </is>
      </c>
      <c r="F1016" s="25" t="inlineStr">
        <is>
          <t>IA-ST-CFG-0222</t>
        </is>
      </c>
      <c r="G1016" s="25" t="n">
        <v>30.6552</v>
      </c>
      <c r="H1016" s="25" t="inlineStr">
        <is>
          <t>988-pack GENERATED</t>
        </is>
      </c>
    </row>
    <row r="1017">
      <c r="A1017" s="25" t="inlineStr">
        <is>
          <t>1013486</t>
        </is>
      </c>
      <c r="B1017" s="25" t="inlineStr">
        <is>
          <t>AKÜ,L5,DK,102AH,IGYA,İNCİMAXIMA,MECALAC</t>
        </is>
      </c>
      <c r="C1017" s="25" t="inlineStr">
        <is>
          <t>1</t>
        </is>
      </c>
      <c r="D1017" s="25" t="inlineStr">
        <is>
          <t>ST-045-STD-10</t>
        </is>
      </c>
      <c r="E1017" s="25" t="inlineStr">
        <is>
          <t>IA-ST-045-STD-10</t>
        </is>
      </c>
      <c r="F1017" s="25" t="inlineStr">
        <is>
          <t>IA-ST-CFG-0098</t>
        </is>
      </c>
      <c r="G1017" s="25" t="n">
        <v>29.4324</v>
      </c>
      <c r="H1017" s="25" t="inlineStr">
        <is>
          <t>988-pack GENERATED</t>
        </is>
      </c>
    </row>
    <row r="1018">
      <c r="A1018" s="25" t="inlineStr">
        <is>
          <t>1013487</t>
        </is>
      </c>
      <c r="B1018" s="25" t="inlineStr">
        <is>
          <t>AKÜ,L6,DK,110AH,KAMINA,İNCİSUPRA,MECALAC</t>
        </is>
      </c>
      <c r="C1018" s="25" t="inlineStr">
        <is>
          <t>1</t>
        </is>
      </c>
      <c r="D1018" s="25" t="inlineStr">
        <is>
          <t>ST-042-STD-06</t>
        </is>
      </c>
      <c r="E1018" s="25" t="inlineStr">
        <is>
          <t>IA-ST-042-STD-06</t>
        </is>
      </c>
      <c r="F1018" s="25" t="inlineStr">
        <is>
          <t>IA-ST-CFG-0081</t>
        </is>
      </c>
      <c r="G1018" s="25" t="n">
        <v>29.3124</v>
      </c>
      <c r="H1018" s="25" t="inlineStr">
        <is>
          <t>988-pack GENERATED</t>
        </is>
      </c>
    </row>
    <row r="1019">
      <c r="A1019" s="25" t="inlineStr">
        <is>
          <t>1013493</t>
        </is>
      </c>
      <c r="B1019" s="25" t="inlineStr">
        <is>
          <t>AKÜ,L2,DK,62AH,IGYA,SILVER,TÜRKMENİSTAN</t>
        </is>
      </c>
      <c r="C1019" s="25" t="inlineStr">
        <is>
          <t>1</t>
        </is>
      </c>
      <c r="D1019" s="25" t="inlineStr">
        <is>
          <t>ST-072-STD-13</t>
        </is>
      </c>
      <c r="E1019" s="25" t="inlineStr">
        <is>
          <t>IA-ST-072-STD-13</t>
        </is>
      </c>
      <c r="F1019" s="25" t="inlineStr">
        <is>
          <t>IA-ST-CFG-0222</t>
        </is>
      </c>
      <c r="G1019" s="25" t="n">
        <v>30.6552</v>
      </c>
      <c r="H1019" s="25" t="inlineStr">
        <is>
          <t>988-pack GENERATED</t>
        </is>
      </c>
    </row>
    <row r="1020">
      <c r="A1020" s="25" t="inlineStr">
        <is>
          <t>1013496</t>
        </is>
      </c>
      <c r="B1020" s="25" t="inlineStr">
        <is>
          <t>AKÜ,D26,TK,72AH,IGYASMF,İNCİ FORM TAURUS</t>
        </is>
      </c>
      <c r="C1020" s="25" t="inlineStr">
        <is>
          <t>1</t>
        </is>
      </c>
      <c r="D1020" s="25" t="inlineStr">
        <is>
          <t>ST-063-STD-04</t>
        </is>
      </c>
      <c r="E1020" s="25" t="inlineStr">
        <is>
          <t>IA-ST-063-STD-04</t>
        </is>
      </c>
      <c r="F1020" s="25" t="inlineStr">
        <is>
          <t>IA-ST-CFG-0175</t>
        </is>
      </c>
      <c r="G1020" s="25" t="n">
        <v>34.1512</v>
      </c>
      <c r="H1020" s="25" t="inlineStr">
        <is>
          <t>988-pack GENERATED</t>
        </is>
      </c>
    </row>
    <row r="1021">
      <c r="A1021" s="25" t="inlineStr">
        <is>
          <t>1013500</t>
        </is>
      </c>
      <c r="B1021" s="25" t="inlineStr">
        <is>
          <t>AKÜ,L3,DK,75AH,IGYSMF,EDIXBLUE,CANARIBAT</t>
        </is>
      </c>
      <c r="C1021" s="25" t="inlineStr">
        <is>
          <t>1</t>
        </is>
      </c>
      <c r="D1021" s="25" t="inlineStr">
        <is>
          <t>ST-068-EUR-03</t>
        </is>
      </c>
      <c r="E1021" s="25" t="inlineStr">
        <is>
          <t>IA-ST-068-EUR-03</t>
        </is>
      </c>
      <c r="F1021" s="25" t="inlineStr">
        <is>
          <t>IA-ST-CFG-0200</t>
        </is>
      </c>
      <c r="G1021" s="25" t="n">
        <v>30.0842</v>
      </c>
      <c r="H1021" s="25" t="inlineStr">
        <is>
          <t>988-pack GENERATED</t>
        </is>
      </c>
    </row>
    <row r="1022">
      <c r="A1022" s="25" t="inlineStr">
        <is>
          <t>1013523</t>
        </is>
      </c>
      <c r="B1022" s="25" t="inlineStr">
        <is>
          <t>AKÜ,LB4,DK,80AH,IGYASMF,İNCİ FORM TAURUS</t>
        </is>
      </c>
      <c r="C1022" s="25" t="inlineStr">
        <is>
          <t>1</t>
        </is>
      </c>
      <c r="D1022" s="25" t="inlineStr">
        <is>
          <t>ST-072-STD-22</t>
        </is>
      </c>
      <c r="E1022" s="25" t="inlineStr">
        <is>
          <t>IA-ST-072-STD-22</t>
        </is>
      </c>
      <c r="F1022" s="25" t="inlineStr">
        <is>
          <t>IA-ST-CFG-0231</t>
        </is>
      </c>
      <c r="G1022" s="25" t="n">
        <v>30.6372</v>
      </c>
      <c r="H1022" s="25" t="inlineStr">
        <is>
          <t>988-pack GENERATED</t>
        </is>
      </c>
    </row>
    <row r="1023">
      <c r="A1023" s="25" t="inlineStr">
        <is>
          <t>1013531</t>
        </is>
      </c>
      <c r="B1023" s="25" t="inlineStr">
        <is>
          <t>AKÜ,L0,DK,40AH,DINNEWPROFILE,NO NAME,SKG</t>
        </is>
      </c>
      <c r="C1023" s="25" t="inlineStr">
        <is>
          <t>1</t>
        </is>
      </c>
      <c r="D1023" s="25" t="inlineStr">
        <is>
          <t>ST-096-EUR-07</t>
        </is>
      </c>
      <c r="E1023" s="25" t="inlineStr">
        <is>
          <t>IA-ST-096-EUR-07</t>
        </is>
      </c>
      <c r="F1023" s="25" t="inlineStr">
        <is>
          <t>IA-ST-CFG-0275</t>
        </is>
      </c>
      <c r="G1023" s="25" t="n">
        <v>28.126</v>
      </c>
      <c r="H1023" s="25" t="inlineStr">
        <is>
          <t>988-pack GENERATED</t>
        </is>
      </c>
    </row>
    <row r="1024">
      <c r="A1024" s="25" t="inlineStr">
        <is>
          <t>1013533</t>
        </is>
      </c>
      <c r="B1024" s="25" t="inlineStr">
        <is>
          <t>AKÜ,L1,DK,50AH,IGYA SMF,NO NAME,SKG</t>
        </is>
      </c>
      <c r="C1024" s="25" t="inlineStr">
        <is>
          <t>1</t>
        </is>
      </c>
      <c r="D1024" s="25" t="inlineStr">
        <is>
          <t>ST-096-EUR-06</t>
        </is>
      </c>
      <c r="E1024" s="25" t="inlineStr">
        <is>
          <t>IA-ST-096-EUR-06</t>
        </is>
      </c>
      <c r="F1024" s="25" t="inlineStr">
        <is>
          <t>IA-ST-CFG-0269</t>
        </is>
      </c>
      <c r="G1024" s="25" t="n">
        <v>28.566</v>
      </c>
      <c r="H1024" s="25" t="inlineStr">
        <is>
          <t>988-pack GENERATED</t>
        </is>
      </c>
    </row>
    <row r="1025">
      <c r="A1025" s="25" t="inlineStr">
        <is>
          <t>1013535</t>
        </is>
      </c>
      <c r="B1025" s="25" t="inlineStr">
        <is>
          <t>AKÜ,L2,DK,60AH,IGYA SMF,NO NAME,SKG</t>
        </is>
      </c>
      <c r="C1025" s="25" t="inlineStr">
        <is>
          <t>1</t>
        </is>
      </c>
      <c r="D1025" s="25" t="inlineStr">
        <is>
          <t>ST-076-EUR-02</t>
        </is>
      </c>
      <c r="E1025" s="25" t="inlineStr">
        <is>
          <t>IA-ST-076-EUR-02</t>
        </is>
      </c>
      <c r="F1025" s="25" t="inlineStr">
        <is>
          <t>IA-ST-CFG-0239</t>
        </is>
      </c>
      <c r="G1025" s="25" t="n">
        <v>28.126</v>
      </c>
      <c r="H1025" s="25" t="inlineStr">
        <is>
          <t>988-pack GENERATED</t>
        </is>
      </c>
    </row>
    <row r="1026">
      <c r="A1026" s="25" t="inlineStr">
        <is>
          <t>1013537</t>
        </is>
      </c>
      <c r="B1026" s="25" t="inlineStr">
        <is>
          <t>AKÜ,L3,DK,75AH,IGYA SMF,NO NAME,SKG</t>
        </is>
      </c>
      <c r="C1026" s="25" t="inlineStr">
        <is>
          <t>1</t>
        </is>
      </c>
      <c r="D1026" s="25" t="inlineStr">
        <is>
          <t>ST-068-EUR-01</t>
        </is>
      </c>
      <c r="E1026" s="25" t="inlineStr">
        <is>
          <t>IA-ST-068-EUR-01</t>
        </is>
      </c>
      <c r="F1026" s="25" t="inlineStr">
        <is>
          <t>IA-ST-CFG-0198</t>
        </is>
      </c>
      <c r="G1026" s="25" t="n">
        <v>28.126</v>
      </c>
      <c r="H1026" s="25" t="inlineStr">
        <is>
          <t>988-pack GENERATED</t>
        </is>
      </c>
    </row>
    <row r="1027">
      <c r="A1027" s="25" t="inlineStr">
        <is>
          <t>1013538</t>
        </is>
      </c>
      <c r="B1027" s="25" t="inlineStr">
        <is>
          <t>AKÜ,L6,DK,110AH,KAMINA,NO NAME,SKG</t>
        </is>
      </c>
      <c r="C1027" s="25" t="inlineStr">
        <is>
          <t>1</t>
        </is>
      </c>
      <c r="D1027" s="25" t="inlineStr">
        <is>
          <t>ST-036-EUR-04</t>
        </is>
      </c>
      <c r="E1027" s="25" t="inlineStr">
        <is>
          <t>IA-ST-036-EUR-04</t>
        </is>
      </c>
      <c r="F1027" s="25" t="inlineStr">
        <is>
          <t>IA-ST-CFG-0068</t>
        </is>
      </c>
      <c r="G1027" s="25" t="n">
        <v>27.926</v>
      </c>
      <c r="H1027" s="25" t="inlineStr">
        <is>
          <t>988-pack GENERATED</t>
        </is>
      </c>
    </row>
    <row r="1028">
      <c r="A1028" s="25" t="inlineStr">
        <is>
          <t>1013540</t>
        </is>
      </c>
      <c r="B1028" s="25" t="inlineStr">
        <is>
          <t>AKÜ,L5,DK,105AH,IGYA SMF,EAS ACTIVA,EURO</t>
        </is>
      </c>
      <c r="C1028" s="25" t="inlineStr">
        <is>
          <t>1</t>
        </is>
      </c>
      <c r="D1028" s="25" t="inlineStr">
        <is>
          <t>ST-048-EUR-10</t>
        </is>
      </c>
      <c r="E1028" s="25" t="inlineStr">
        <is>
          <t>IA-ST-048-EUR-10</t>
        </is>
      </c>
      <c r="F1028" s="25" t="inlineStr">
        <is>
          <t>IA-ST-CFG-0116</t>
        </is>
      </c>
      <c r="G1028" s="25" t="n">
        <v>29.7592</v>
      </c>
      <c r="H1028" s="25" t="inlineStr">
        <is>
          <t>988-pack GENERATED</t>
        </is>
      </c>
    </row>
    <row r="1029">
      <c r="A1029" s="25" t="inlineStr">
        <is>
          <t>1013542</t>
        </is>
      </c>
      <c r="B1029" s="25" t="inlineStr">
        <is>
          <t>AKÜ,A-IGYASMF,DK,140AH,EAS ACTIVA,EURO</t>
        </is>
      </c>
      <c r="C1029" s="25" t="inlineStr">
        <is>
          <t>1</t>
        </is>
      </c>
      <c r="D1029" s="25" t="inlineStr">
        <is>
          <t>ST-024-EUR-04</t>
        </is>
      </c>
      <c r="E1029" s="25" t="inlineStr">
        <is>
          <t>IA-ST-024-EUR-04</t>
        </is>
      </c>
      <c r="F1029" s="25" t="inlineStr">
        <is>
          <t>IA-ST-CFG-0039</t>
        </is>
      </c>
      <c r="G1029" s="25" t="n">
        <v>30.6632</v>
      </c>
      <c r="H1029" s="25" t="inlineStr">
        <is>
          <t>988-pack GENERATED</t>
        </is>
      </c>
    </row>
    <row r="1030">
      <c r="A1030" s="25" t="inlineStr">
        <is>
          <t>1013546</t>
        </is>
      </c>
      <c r="B1030" s="25" t="inlineStr">
        <is>
          <t>AKÜ,A-FLAT,DK,120AH,EAS PRIDE,EURO</t>
        </is>
      </c>
      <c r="C1030" s="25" t="inlineStr">
        <is>
          <t>1</t>
        </is>
      </c>
      <c r="D1030" s="25" t="inlineStr">
        <is>
          <t>ST-024-EUR-04</t>
        </is>
      </c>
      <c r="E1030" s="25" t="inlineStr">
        <is>
          <t>IA-ST-024-EUR-04</t>
        </is>
      </c>
      <c r="F1030" s="25" t="inlineStr">
        <is>
          <t>IA-ST-CFG-0039</t>
        </is>
      </c>
      <c r="G1030" s="25" t="n">
        <v>30.6632</v>
      </c>
      <c r="H1030" s="25" t="inlineStr">
        <is>
          <t>988-pack GENERATED</t>
        </is>
      </c>
    </row>
    <row r="1031">
      <c r="A1031" s="25" t="inlineStr">
        <is>
          <t>1013549</t>
        </is>
      </c>
      <c r="B1031" s="25" t="inlineStr">
        <is>
          <t>AKÜ,B-FLAT,DK,180AH,EAS PRIDE,EURO</t>
        </is>
      </c>
      <c r="C1031" s="25" t="inlineStr">
        <is>
          <t>1</t>
        </is>
      </c>
      <c r="D1031" s="25" t="inlineStr">
        <is>
          <t>ST-021-EUR-03</t>
        </is>
      </c>
      <c r="E1031" s="25" t="inlineStr">
        <is>
          <t>IA-ST-021-EUR-03</t>
        </is>
      </c>
      <c r="F1031" s="25" t="inlineStr">
        <is>
          <t>IA-ST-CFG-0029</t>
        </is>
      </c>
      <c r="G1031" s="25" t="n">
        <v>30.7682</v>
      </c>
      <c r="H1031" s="25" t="inlineStr">
        <is>
          <t>988-pack GENERATED</t>
        </is>
      </c>
    </row>
    <row r="1032">
      <c r="A1032" s="25" t="inlineStr">
        <is>
          <t>1013556</t>
        </is>
      </c>
      <c r="B1032" s="25" t="inlineStr">
        <is>
          <t>AKÜ,D26,DK72AH,IGYSMF,Y3000EXPORT,TÜRKMN</t>
        </is>
      </c>
      <c r="C1032" s="25" t="inlineStr">
        <is>
          <t>1</t>
        </is>
      </c>
      <c r="D1032" s="25" t="inlineStr">
        <is>
          <t>ST-063-STD-03</t>
        </is>
      </c>
      <c r="E1032" s="25" t="inlineStr">
        <is>
          <t>IA-ST-063-STD-03</t>
        </is>
      </c>
      <c r="F1032" s="25" t="inlineStr">
        <is>
          <t>IA-ST-CFG-0174</t>
        </is>
      </c>
      <c r="G1032" s="25" t="n">
        <v>33.628</v>
      </c>
      <c r="H1032" s="25" t="inlineStr">
        <is>
          <t>988-pack GENERATED</t>
        </is>
      </c>
    </row>
    <row r="1033">
      <c r="A1033" s="25" t="inlineStr">
        <is>
          <t>1013560</t>
        </is>
      </c>
      <c r="B1033" s="25" t="inlineStr">
        <is>
          <t>AKÜ,L3,DK,75AH 650A,IGYA,YUASA,ORTA DOĞU</t>
        </is>
      </c>
      <c r="C1033" s="25" t="inlineStr">
        <is>
          <t>1</t>
        </is>
      </c>
      <c r="D1033" s="25" t="inlineStr">
        <is>
          <t>ST-063-STD-08</t>
        </is>
      </c>
      <c r="E1033" s="25" t="inlineStr">
        <is>
          <t>IA-ST-063-STD-08</t>
        </is>
      </c>
      <c r="F1033" s="25" t="inlineStr">
        <is>
          <t>IA-ST-CFG-0179</t>
        </is>
      </c>
      <c r="G1033" s="25" t="n">
        <v>29.9992</v>
      </c>
      <c r="H1033" s="25" t="inlineStr">
        <is>
          <t>988-pack GENERATED</t>
        </is>
      </c>
    </row>
    <row r="1034">
      <c r="A1034" s="25" t="inlineStr">
        <is>
          <t>1013563</t>
        </is>
      </c>
      <c r="B1034" s="25" t="inlineStr">
        <is>
          <t>AKÜ,D31,DK80AH,IGYSMF,PERFORMANCEBATTERY</t>
        </is>
      </c>
      <c r="C1034" s="25" t="inlineStr">
        <is>
          <t>1</t>
        </is>
      </c>
      <c r="D1034" s="25" t="inlineStr">
        <is>
          <t>ST-054-STD-07</t>
        </is>
      </c>
      <c r="E1034" s="25" t="inlineStr">
        <is>
          <t>IA-ST-054-STD-07</t>
        </is>
      </c>
      <c r="F1034" s="25" t="inlineStr">
        <is>
          <t>IA-ST-CFG-0143</t>
        </is>
      </c>
      <c r="G1034" s="25" t="n">
        <v>33.7838</v>
      </c>
      <c r="H1034" s="25" t="inlineStr">
        <is>
          <t>988-pack GENERATED</t>
        </is>
      </c>
    </row>
    <row r="1035">
      <c r="A1035" s="25" t="inlineStr">
        <is>
          <t>1013565</t>
        </is>
      </c>
      <c r="B1035" s="25" t="inlineStr">
        <is>
          <t>AKÜ,NS60,DK45AH,IGYSMF,PERFORMANCEBATTER</t>
        </is>
      </c>
      <c r="C1035" s="25" t="inlineStr">
        <is>
          <t>1</t>
        </is>
      </c>
      <c r="D1035" s="25" t="inlineStr">
        <is>
          <t>ST-096-STD-03</t>
        </is>
      </c>
      <c r="E1035" s="25" t="inlineStr">
        <is>
          <t>IA-ST-096-STD-03</t>
        </is>
      </c>
      <c r="F1035" s="25" t="inlineStr">
        <is>
          <t>IA-ST-CFG-0272</t>
        </is>
      </c>
      <c r="G1035" s="25" t="n">
        <v>35.3172</v>
      </c>
      <c r="H1035" s="25" t="inlineStr">
        <is>
          <t>988-pack GENERATED</t>
        </is>
      </c>
    </row>
    <row r="1036">
      <c r="A1036" s="25" t="inlineStr">
        <is>
          <t>1013566</t>
        </is>
      </c>
      <c r="B1036" s="25" t="inlineStr">
        <is>
          <t>AKÜ,NS40,DK42AH,IGYSMF,PERFORMANCEBATTER</t>
        </is>
      </c>
      <c r="C1036" s="25" t="inlineStr">
        <is>
          <t>1</t>
        </is>
      </c>
      <c r="D1036" s="25" t="inlineStr">
        <is>
          <t>ST-120-STD-01</t>
        </is>
      </c>
      <c r="E1036" s="25" t="inlineStr">
        <is>
          <t>IA-ST-120-STD-01</t>
        </is>
      </c>
      <c r="F1036" s="25" t="inlineStr">
        <is>
          <t>IA-ST-CFG-0284</t>
        </is>
      </c>
      <c r="G1036" s="25" t="n">
        <v>35.3676</v>
      </c>
      <c r="H1036" s="25" t="inlineStr">
        <is>
          <t>988-pack GENERATED</t>
        </is>
      </c>
    </row>
    <row r="1037">
      <c r="A1037" s="25" t="inlineStr">
        <is>
          <t>1013569</t>
        </is>
      </c>
      <c r="B1037" s="25" t="inlineStr">
        <is>
          <t>AKÜ,L2,DK,60AH550A,IGYSMF,YUASA,ORTADOĞU</t>
        </is>
      </c>
      <c r="C1037" s="25" t="inlineStr">
        <is>
          <t>1</t>
        </is>
      </c>
      <c r="D1037" s="25" t="inlineStr">
        <is>
          <t>ST-072-STD-13</t>
        </is>
      </c>
      <c r="E1037" s="25" t="inlineStr">
        <is>
          <t>IA-ST-072-STD-13</t>
        </is>
      </c>
      <c r="F1037" s="25" t="inlineStr">
        <is>
          <t>IA-ST-CFG-0222</t>
        </is>
      </c>
      <c r="G1037" s="25" t="n">
        <v>30.6552</v>
      </c>
      <c r="H1037" s="25" t="inlineStr">
        <is>
          <t>988-pack GENERATED</t>
        </is>
      </c>
    </row>
    <row r="1038">
      <c r="A1038" s="25" t="inlineStr">
        <is>
          <t>1013572</t>
        </is>
      </c>
      <c r="B1038" s="25" t="inlineStr">
        <is>
          <t>AKÜ,L4,DK,82AH,IGYASMF,BLIZ.SILVERL,EURO</t>
        </is>
      </c>
      <c r="C1038" s="25" t="inlineStr">
        <is>
          <t>1</t>
        </is>
      </c>
      <c r="D1038" s="25" t="inlineStr">
        <is>
          <t>ST-056-EUR-03</t>
        </is>
      </c>
      <c r="E1038" s="25" t="inlineStr">
        <is>
          <t>IA-ST-056-EUR-03</t>
        </is>
      </c>
      <c r="F1038" s="25" t="inlineStr">
        <is>
          <t>IA-ST-CFG-0152</t>
        </is>
      </c>
      <c r="G1038" s="25" t="n">
        <v>29.7432</v>
      </c>
      <c r="H1038" s="25" t="inlineStr">
        <is>
          <t>988-pack GENERATED</t>
        </is>
      </c>
    </row>
    <row r="1039">
      <c r="A1039" s="25" t="inlineStr">
        <is>
          <t>1013574</t>
        </is>
      </c>
      <c r="B1039" s="25" t="inlineStr">
        <is>
          <t>AKÜ,D23,DK,60AH,IGYSMF,BLIZ.SILVERL,EURO</t>
        </is>
      </c>
      <c r="C1039" s="25" t="inlineStr">
        <is>
          <t>1</t>
        </is>
      </c>
      <c r="D1039" s="25" t="inlineStr">
        <is>
          <t>ST-060-EUR-02</t>
        </is>
      </c>
      <c r="E1039" s="25" t="inlineStr">
        <is>
          <t>IA-ST-060-EUR-02</t>
        </is>
      </c>
      <c r="F1039" s="25" t="inlineStr">
        <is>
          <t>IA-ST-CFG-0171</t>
        </is>
      </c>
      <c r="G1039" s="25" t="n">
        <v>32.9834</v>
      </c>
      <c r="H1039" s="25" t="inlineStr">
        <is>
          <t>988-pack GENERATED</t>
        </is>
      </c>
    </row>
    <row r="1040">
      <c r="A1040" s="25" t="inlineStr">
        <is>
          <t>1013575</t>
        </is>
      </c>
      <c r="B1040" s="25" t="inlineStr">
        <is>
          <t>AKÜ,D23,TK,60AH,IGYSMF,BLIZ.SILVERL,EURO</t>
        </is>
      </c>
      <c r="C1040" s="25" t="inlineStr">
        <is>
          <t>1</t>
        </is>
      </c>
      <c r="D1040" s="25" t="inlineStr">
        <is>
          <t>ST-060-EUR-02</t>
        </is>
      </c>
      <c r="E1040" s="25" t="inlineStr">
        <is>
          <t>IA-ST-060-EUR-02</t>
        </is>
      </c>
      <c r="F1040" s="25" t="inlineStr">
        <is>
          <t>IA-ST-CFG-0171</t>
        </is>
      </c>
      <c r="G1040" s="25" t="n">
        <v>32.9834</v>
      </c>
      <c r="H1040" s="25" t="inlineStr">
        <is>
          <t>988-pack GENERATED</t>
        </is>
      </c>
    </row>
    <row r="1041">
      <c r="A1041" s="25" t="inlineStr">
        <is>
          <t>1013576</t>
        </is>
      </c>
      <c r="B1041" s="25" t="inlineStr">
        <is>
          <t>AKÜ,D31,DK,100AH,IGYSMF,BLİZSILVERL,EURO</t>
        </is>
      </c>
      <c r="C1041" s="25" t="inlineStr">
        <is>
          <t>1</t>
        </is>
      </c>
      <c r="D1041" s="25" t="inlineStr">
        <is>
          <t>ST-048-EUR-09</t>
        </is>
      </c>
      <c r="E1041" s="25" t="inlineStr">
        <is>
          <t>IA-ST-048-EUR-09</t>
        </is>
      </c>
      <c r="F1041" s="25" t="inlineStr">
        <is>
          <t>IA-ST-CFG-0115</t>
        </is>
      </c>
      <c r="G1041" s="25" t="n">
        <v>32.8524</v>
      </c>
      <c r="H1041" s="25" t="inlineStr">
        <is>
          <t>988-pack GENERATED</t>
        </is>
      </c>
    </row>
    <row r="1042">
      <c r="A1042" s="25" t="inlineStr">
        <is>
          <t>1013599</t>
        </is>
      </c>
      <c r="B1042" s="25" t="inlineStr">
        <is>
          <t>AKÜ,NS40,TK,42AH,IGYASMF,EAS ACTIVA,EURO</t>
        </is>
      </c>
      <c r="C1042" s="25" t="inlineStr">
        <is>
          <t>1</t>
        </is>
      </c>
      <c r="D1042" s="25" t="inlineStr">
        <is>
          <t>ST-087-EUR-01</t>
        </is>
      </c>
      <c r="E1042" s="25" t="inlineStr">
        <is>
          <t>IA-ST-087-EUR-01</t>
        </is>
      </c>
      <c r="F1042" s="25" t="inlineStr">
        <is>
          <t>IA-ST-CFG-0253</t>
        </is>
      </c>
      <c r="G1042" s="25" t="n">
        <v>33.11851</v>
      </c>
      <c r="H1042" s="25" t="inlineStr">
        <is>
          <t>988-pack GENERATED</t>
        </is>
      </c>
    </row>
    <row r="1043">
      <c r="A1043" s="25" t="inlineStr">
        <is>
          <t>1013610</t>
        </is>
      </c>
      <c r="B1043" s="25" t="inlineStr">
        <is>
          <t>AKÜL2,TK62AH,IGYSMF,GRİSYH,SILVER,SCHNAP</t>
        </is>
      </c>
      <c r="C1043" s="25" t="inlineStr">
        <is>
          <t>1</t>
        </is>
      </c>
      <c r="D1043" s="25" t="inlineStr">
        <is>
          <t>ST-072-STD-21</t>
        </is>
      </c>
      <c r="E1043" s="25" t="inlineStr">
        <is>
          <t>IA-ST-072-STD-21</t>
        </is>
      </c>
      <c r="F1043" s="25" t="inlineStr">
        <is>
          <t>IA-ST-CFG-0230</t>
        </is>
      </c>
      <c r="G1043" s="25" t="n">
        <v>28.617</v>
      </c>
      <c r="H1043" s="25" t="inlineStr">
        <is>
          <t>988-pack GENERATED</t>
        </is>
      </c>
    </row>
    <row r="1044">
      <c r="A1044" s="25" t="inlineStr">
        <is>
          <t>1013616</t>
        </is>
      </c>
      <c r="B1044" s="25" t="inlineStr">
        <is>
          <t>AKÜ AGM,L6,DK,105AH,İNCİ AGM LEO,Y.DIŞI</t>
        </is>
      </c>
      <c r="C1044" s="25" t="inlineStr">
        <is>
          <t>1</t>
        </is>
      </c>
      <c r="D1044" s="25" t="inlineStr">
        <is>
          <t>ST-042-STD-05</t>
        </is>
      </c>
      <c r="E1044" s="25" t="inlineStr">
        <is>
          <t>IA-ST-042-STD-05</t>
        </is>
      </c>
      <c r="F1044" s="25" t="inlineStr">
        <is>
          <t>IA-ST-CFG-0080</t>
        </is>
      </c>
      <c r="G1044" s="25" t="n">
        <v>29.5992</v>
      </c>
      <c r="H1044" s="25" t="inlineStr">
        <is>
          <t>988-pack GENERATED</t>
        </is>
      </c>
    </row>
    <row r="1045">
      <c r="A1045" s="25" t="inlineStr">
        <is>
          <t>1013617</t>
        </is>
      </c>
      <c r="B1045" s="25" t="inlineStr">
        <is>
          <t>AKÜ,C-IGYASMF,DK,250AH,İNCİ MAXIMA</t>
        </is>
      </c>
      <c r="C1045" s="25" t="inlineStr">
        <is>
          <t>1</t>
        </is>
      </c>
      <c r="D1045" s="25" t="inlineStr">
        <is>
          <t>ST-021-STD-03</t>
        </is>
      </c>
      <c r="E1045" s="25" t="inlineStr">
        <is>
          <t>IA-ST-021-STD-03</t>
        </is>
      </c>
      <c r="F1045" s="25" t="inlineStr">
        <is>
          <t>IA-ST-CFG-0023</t>
        </is>
      </c>
      <c r="G1045" s="25" t="n">
        <v>31.8252</v>
      </c>
      <c r="H1045" s="25" t="inlineStr">
        <is>
          <t>988-pack GENERATED</t>
        </is>
      </c>
    </row>
    <row r="1046">
      <c r="A1046" s="25" t="inlineStr">
        <is>
          <t>1013624</t>
        </is>
      </c>
      <c r="B1046" s="25" t="inlineStr">
        <is>
          <t>AKÜ,L2,DK,60AH,IGYA,NO NAME,EFBS&amp;S,PARTS</t>
        </is>
      </c>
      <c r="C1046" s="25" t="inlineStr">
        <is>
          <t>1</t>
        </is>
      </c>
      <c r="D1046" s="25" t="inlineStr">
        <is>
          <t>ST-076-EUR-04</t>
        </is>
      </c>
      <c r="E1046" s="25" t="inlineStr">
        <is>
          <t>IA-ST-076-EUR-04</t>
        </is>
      </c>
      <c r="F1046" s="25" t="inlineStr">
        <is>
          <t>IA-ST-CFG-0241</t>
        </is>
      </c>
      <c r="G1046" s="25" t="n">
        <v>27.8392</v>
      </c>
      <c r="H1046" s="25" t="inlineStr">
        <is>
          <t>988-pack GENERATED</t>
        </is>
      </c>
    </row>
    <row r="1047">
      <c r="A1047" s="25" t="inlineStr">
        <is>
          <t>1013625</t>
        </is>
      </c>
      <c r="B1047" s="25" t="inlineStr">
        <is>
          <t>AKÜ,LB3,DK,70AH,IGYA,NONAME,EFBS&amp;S,PARTS</t>
        </is>
      </c>
      <c r="C1047" s="25" t="inlineStr">
        <is>
          <t>1</t>
        </is>
      </c>
      <c r="D1047" s="25" t="inlineStr">
        <is>
          <t>ST-068-EUR-04</t>
        </is>
      </c>
      <c r="E1047" s="25" t="inlineStr">
        <is>
          <t>IA-ST-068-EUR-04</t>
        </is>
      </c>
      <c r="F1047" s="25" t="inlineStr">
        <is>
          <t>IA-ST-CFG-0201</t>
        </is>
      </c>
      <c r="G1047" s="25" t="n">
        <v>27.8392</v>
      </c>
      <c r="H1047" s="25" t="inlineStr">
        <is>
          <t>988-pack GENERATED</t>
        </is>
      </c>
    </row>
    <row r="1048">
      <c r="A1048" s="25" t="inlineStr">
        <is>
          <t>1013626</t>
        </is>
      </c>
      <c r="B1048" s="25" t="inlineStr">
        <is>
          <t>AKÜ,L3,DK,70AH,IGYA,NO NAME,EFBS&amp;S,PARTS</t>
        </is>
      </c>
      <c r="C1048" s="25" t="inlineStr">
        <is>
          <t>1</t>
        </is>
      </c>
      <c r="D1048" s="25" t="inlineStr">
        <is>
          <t>ST-068-EUR-04</t>
        </is>
      </c>
      <c r="E1048" s="25" t="inlineStr">
        <is>
          <t>IA-ST-068-EUR-04</t>
        </is>
      </c>
      <c r="F1048" s="25" t="inlineStr">
        <is>
          <t>IA-ST-CFG-0201</t>
        </is>
      </c>
      <c r="G1048" s="25" t="n">
        <v>27.8392</v>
      </c>
      <c r="H1048" s="25" t="inlineStr">
        <is>
          <t>988-pack GENERATED</t>
        </is>
      </c>
    </row>
    <row r="1049">
      <c r="A1049" s="25" t="inlineStr">
        <is>
          <t>1013628</t>
        </is>
      </c>
      <c r="B1049" s="25" t="inlineStr">
        <is>
          <t>AKÜ,LB2,DK,62AH,IGYA SMF,NO NAME,PARTS</t>
        </is>
      </c>
      <c r="C1049" s="25" t="inlineStr">
        <is>
          <t>1</t>
        </is>
      </c>
      <c r="D1049" s="25" t="inlineStr">
        <is>
          <t>ST-076-EUR-04</t>
        </is>
      </c>
      <c r="E1049" s="25" t="inlineStr">
        <is>
          <t>IA-ST-076-EUR-04</t>
        </is>
      </c>
      <c r="F1049" s="25" t="inlineStr">
        <is>
          <t>IA-ST-CFG-0241</t>
        </is>
      </c>
      <c r="G1049" s="25" t="n">
        <v>27.8392</v>
      </c>
      <c r="H1049" s="25" t="inlineStr">
        <is>
          <t>988-pack GENERATED</t>
        </is>
      </c>
    </row>
    <row r="1050">
      <c r="A1050" s="25" t="inlineStr">
        <is>
          <t>1013629</t>
        </is>
      </c>
      <c r="B1050" s="25" t="inlineStr">
        <is>
          <t>AKÜ,LB2,DK,65AH,IGYA SMF,NO NAME,PARTS</t>
        </is>
      </c>
      <c r="C1050" s="25" t="inlineStr">
        <is>
          <t>1</t>
        </is>
      </c>
      <c r="D1050" s="25" t="inlineStr">
        <is>
          <t>ST-076-EUR-04</t>
        </is>
      </c>
      <c r="E1050" s="25" t="inlineStr">
        <is>
          <t>IA-ST-076-EUR-04</t>
        </is>
      </c>
      <c r="F1050" s="25" t="inlineStr">
        <is>
          <t>IA-ST-CFG-0241</t>
        </is>
      </c>
      <c r="G1050" s="25" t="n">
        <v>27.8392</v>
      </c>
      <c r="H1050" s="25" t="inlineStr">
        <is>
          <t>988-pack GENERATED</t>
        </is>
      </c>
    </row>
    <row r="1051">
      <c r="A1051" s="25" t="inlineStr">
        <is>
          <t>1013632</t>
        </is>
      </c>
      <c r="B1051" s="25" t="inlineStr">
        <is>
          <t>AKÜ,LB3,DK,70AH,IGYA SMF,NO NAME,PARTS</t>
        </is>
      </c>
      <c r="C1051" s="25" t="inlineStr">
        <is>
          <t>1</t>
        </is>
      </c>
      <c r="D1051" s="25" t="inlineStr">
        <is>
          <t>ST-068-EUR-04</t>
        </is>
      </c>
      <c r="E1051" s="25" t="inlineStr">
        <is>
          <t>IA-ST-068-EUR-04</t>
        </is>
      </c>
      <c r="F1051" s="25" t="inlineStr">
        <is>
          <t>IA-ST-CFG-0201</t>
        </is>
      </c>
      <c r="G1051" s="25" t="n">
        <v>27.8392</v>
      </c>
      <c r="H1051" s="25" t="inlineStr">
        <is>
          <t>988-pack GENERATED</t>
        </is>
      </c>
    </row>
    <row r="1052">
      <c r="A1052" s="25" t="inlineStr">
        <is>
          <t>1013633</t>
        </is>
      </c>
      <c r="B1052" s="25" t="inlineStr">
        <is>
          <t>AKÜ,LB3,DK,70AH,IGYA SMF,NO NAME,PARTS</t>
        </is>
      </c>
      <c r="C1052" s="25" t="inlineStr">
        <is>
          <t>1</t>
        </is>
      </c>
      <c r="D1052" s="25" t="inlineStr">
        <is>
          <t>ST-068-EUR-04</t>
        </is>
      </c>
      <c r="E1052" s="25" t="inlineStr">
        <is>
          <t>IA-ST-068-EUR-04</t>
        </is>
      </c>
      <c r="F1052" s="25" t="inlineStr">
        <is>
          <t>IA-ST-CFG-0201</t>
        </is>
      </c>
      <c r="G1052" s="25" t="n">
        <v>27.8392</v>
      </c>
      <c r="H1052" s="25" t="inlineStr">
        <is>
          <t>988-pack GENERATED</t>
        </is>
      </c>
    </row>
    <row r="1053">
      <c r="A1053" s="25" t="inlineStr">
        <is>
          <t>1013635</t>
        </is>
      </c>
      <c r="B1053" s="25" t="inlineStr">
        <is>
          <t>AKÜ,L3,DK,70AH,IGYA SMF,NO NAME,PARTS</t>
        </is>
      </c>
      <c r="C1053" s="25" t="inlineStr">
        <is>
          <t>1</t>
        </is>
      </c>
      <c r="D1053" s="25" t="inlineStr">
        <is>
          <t>ST-068-EUR-04</t>
        </is>
      </c>
      <c r="E1053" s="25" t="inlineStr">
        <is>
          <t>IA-ST-068-EUR-04</t>
        </is>
      </c>
      <c r="F1053" s="25" t="inlineStr">
        <is>
          <t>IA-ST-CFG-0201</t>
        </is>
      </c>
      <c r="G1053" s="25" t="n">
        <v>27.8392</v>
      </c>
      <c r="H1053" s="25" t="inlineStr">
        <is>
          <t>988-pack GENERATED</t>
        </is>
      </c>
    </row>
    <row r="1054">
      <c r="A1054" s="25" t="inlineStr">
        <is>
          <t>1013637</t>
        </is>
      </c>
      <c r="B1054" s="25" t="inlineStr">
        <is>
          <t>AKÜ,L3,DK,82AH,IGYA SMF,NO NAME,PARTS</t>
        </is>
      </c>
      <c r="C1054" s="25" t="inlineStr">
        <is>
          <t>1</t>
        </is>
      </c>
      <c r="D1054" s="25" t="inlineStr">
        <is>
          <t>ST-068-EUR-04</t>
        </is>
      </c>
      <c r="E1054" s="25" t="inlineStr">
        <is>
          <t>IA-ST-068-EUR-04</t>
        </is>
      </c>
      <c r="F1054" s="25" t="inlineStr">
        <is>
          <t>IA-ST-CFG-0201</t>
        </is>
      </c>
      <c r="G1054" s="25" t="n">
        <v>27.8392</v>
      </c>
      <c r="H1054" s="25" t="inlineStr">
        <is>
          <t>988-pack GENERATED</t>
        </is>
      </c>
    </row>
    <row r="1055">
      <c r="A1055" s="25" t="inlineStr">
        <is>
          <t>1013638</t>
        </is>
      </c>
      <c r="B1055" s="25" t="inlineStr">
        <is>
          <t>AKÜ,L4,DK,100AH,IGYA SMF,NO NAME,PARTS</t>
        </is>
      </c>
      <c r="C1055" s="25" t="inlineStr">
        <is>
          <t>1</t>
        </is>
      </c>
      <c r="D1055" s="25" t="inlineStr">
        <is>
          <t>ST-056-EUR-04</t>
        </is>
      </c>
      <c r="E1055" s="25" t="inlineStr">
        <is>
          <t>IA-ST-056-EUR-04</t>
        </is>
      </c>
      <c r="F1055" s="25" t="inlineStr">
        <is>
          <t>IA-ST-CFG-0153</t>
        </is>
      </c>
      <c r="G1055" s="25" t="n">
        <v>27.8392</v>
      </c>
      <c r="H1055" s="25" t="inlineStr">
        <is>
          <t>988-pack GENERATED</t>
        </is>
      </c>
    </row>
    <row r="1056">
      <c r="A1056" s="25" t="inlineStr">
        <is>
          <t>1013639</t>
        </is>
      </c>
      <c r="B1056" s="25" t="inlineStr">
        <is>
          <t>AKÜ,L4,DK,100AH,IGYA SMF,NO NAME,PARTS</t>
        </is>
      </c>
      <c r="C1056" s="25" t="inlineStr">
        <is>
          <t>1</t>
        </is>
      </c>
      <c r="D1056" s="25" t="inlineStr">
        <is>
          <t>ST-056-EUR-04</t>
        </is>
      </c>
      <c r="E1056" s="25" t="inlineStr">
        <is>
          <t>IA-ST-056-EUR-04</t>
        </is>
      </c>
      <c r="F1056" s="25" t="inlineStr">
        <is>
          <t>IA-ST-CFG-0153</t>
        </is>
      </c>
      <c r="G1056" s="25" t="n">
        <v>27.8392</v>
      </c>
      <c r="H1056" s="25" t="inlineStr">
        <is>
          <t>988-pack GENERATED</t>
        </is>
      </c>
    </row>
    <row r="1057">
      <c r="A1057" s="25" t="inlineStr">
        <is>
          <t>1013641</t>
        </is>
      </c>
      <c r="B1057" s="25" t="inlineStr">
        <is>
          <t>AKÜ,D31,DK,100AH,IGYA SMF,NO NAME,PARTS</t>
        </is>
      </c>
      <c r="C1057" s="25" t="inlineStr">
        <is>
          <t>1</t>
        </is>
      </c>
      <c r="D1057" s="25" t="inlineStr">
        <is>
          <t>ST-048-EUR-06</t>
        </is>
      </c>
      <c r="E1057" s="25" t="inlineStr">
        <is>
          <t>IA-ST-048-EUR-06</t>
        </is>
      </c>
      <c r="F1057" s="25" t="inlineStr">
        <is>
          <t>IA-ST-CFG-0112</t>
        </is>
      </c>
      <c r="G1057" s="25" t="n">
        <v>27.506</v>
      </c>
      <c r="H1057" s="25" t="inlineStr">
        <is>
          <t>988-pack GENERATED</t>
        </is>
      </c>
    </row>
    <row r="1058">
      <c r="A1058" s="25" t="inlineStr">
        <is>
          <t>1013642</t>
        </is>
      </c>
      <c r="B1058" s="25" t="inlineStr">
        <is>
          <t>AKÜ,D31,TK,100AH,IGYA SMF,NO NAME,PARTS</t>
        </is>
      </c>
      <c r="C1058" s="25" t="inlineStr">
        <is>
          <t>1</t>
        </is>
      </c>
      <c r="D1058" s="25" t="inlineStr">
        <is>
          <t>ST-048-EUR-06</t>
        </is>
      </c>
      <c r="E1058" s="25" t="inlineStr">
        <is>
          <t>IA-ST-048-EUR-06</t>
        </is>
      </c>
      <c r="F1058" s="25" t="inlineStr">
        <is>
          <t>IA-ST-CFG-0112</t>
        </is>
      </c>
      <c r="G1058" s="25" t="n">
        <v>27.506</v>
      </c>
      <c r="H1058" s="25" t="inlineStr">
        <is>
          <t>988-pack GENERATED</t>
        </is>
      </c>
    </row>
    <row r="1059">
      <c r="A1059" s="25" t="inlineStr">
        <is>
          <t>1013643</t>
        </is>
      </c>
      <c r="B1059" s="25" t="inlineStr">
        <is>
          <t>AKÜ,B-FLAT,DK,180AH,NO NAME,PARTS</t>
        </is>
      </c>
      <c r="C1059" s="25" t="inlineStr">
        <is>
          <t>1</t>
        </is>
      </c>
      <c r="D1059" s="25" t="inlineStr">
        <is>
          <t>ST-021-EUR-02</t>
        </is>
      </c>
      <c r="E1059" s="25" t="inlineStr">
        <is>
          <t>IA-ST-021-EUR-02</t>
        </is>
      </c>
      <c r="F1059" s="25" t="inlineStr">
        <is>
          <t>IA-ST-CFG-0028</t>
        </is>
      </c>
      <c r="G1059" s="25" t="n">
        <v>29.9</v>
      </c>
      <c r="H1059" s="25" t="inlineStr">
        <is>
          <t>988-pack GENERATED</t>
        </is>
      </c>
    </row>
    <row r="1060">
      <c r="A1060" s="25" t="inlineStr">
        <is>
          <t>1013644</t>
        </is>
      </c>
      <c r="B1060" s="25" t="inlineStr">
        <is>
          <t>AKÜ,C-FLAT,DK,220AH,NO NAME,PARTS</t>
        </is>
      </c>
      <c r="C1060" s="25" t="inlineStr">
        <is>
          <t>1</t>
        </is>
      </c>
      <c r="D1060" s="25" t="inlineStr">
        <is>
          <t>ST-018-EUR-02</t>
        </is>
      </c>
      <c r="E1060" s="25" t="inlineStr">
        <is>
          <t>IA-ST-018-EUR-02</t>
        </is>
      </c>
      <c r="F1060" s="25" t="inlineStr">
        <is>
          <t>IA-ST-CFG-0013</t>
        </is>
      </c>
      <c r="G1060" s="25" t="n">
        <v>30.194</v>
      </c>
      <c r="H1060" s="25" t="inlineStr">
        <is>
          <t>988-pack GENERATED</t>
        </is>
      </c>
    </row>
    <row r="1061">
      <c r="A1061" s="25" t="inlineStr">
        <is>
          <t>1013645</t>
        </is>
      </c>
      <c r="B1061" s="25" t="inlineStr">
        <is>
          <t>AKÜ,C-IGYASMF,DK,230AH,İNCİ EFB PANTERA</t>
        </is>
      </c>
      <c r="C1061" s="25" t="inlineStr">
        <is>
          <t>1</t>
        </is>
      </c>
      <c r="D1061" s="25" t="inlineStr">
        <is>
          <t>ST-021-STD-03</t>
        </is>
      </c>
      <c r="E1061" s="25" t="inlineStr">
        <is>
          <t>IA-ST-021-STD-03</t>
        </is>
      </c>
      <c r="F1061" s="25" t="inlineStr">
        <is>
          <t>IA-ST-CFG-0023</t>
        </is>
      </c>
      <c r="G1061" s="25" t="n">
        <v>31.8252</v>
      </c>
      <c r="H1061" s="25" t="inlineStr">
        <is>
          <t>988-pack GENERATED</t>
        </is>
      </c>
    </row>
    <row r="1062">
      <c r="A1062" s="25" t="inlineStr">
        <is>
          <t>1013671</t>
        </is>
      </c>
      <c r="B1062" s="25" t="inlineStr">
        <is>
          <t>AKÜ,L2,DK,65AH,IGYASMF,EAS EXTRA,DIŞ PYS</t>
        </is>
      </c>
      <c r="C1062" s="25" t="inlineStr">
        <is>
          <t>1</t>
        </is>
      </c>
      <c r="D1062" s="25" t="inlineStr">
        <is>
          <t>ST-072-STD-13</t>
        </is>
      </c>
      <c r="E1062" s="25" t="inlineStr">
        <is>
          <t>IA-ST-072-STD-13</t>
        </is>
      </c>
      <c r="F1062" s="25" t="inlineStr">
        <is>
          <t>IA-ST-CFG-0222</t>
        </is>
      </c>
      <c r="G1062" s="25" t="n">
        <v>30.6552</v>
      </c>
      <c r="H1062" s="25" t="inlineStr">
        <is>
          <t>988-pack GENERATED</t>
        </is>
      </c>
    </row>
    <row r="1063">
      <c r="A1063" s="25" t="inlineStr">
        <is>
          <t>1013675</t>
        </is>
      </c>
      <c r="B1063" s="25" t="inlineStr">
        <is>
          <t>AKÜ,L3,DK,80AH,IGYASMF,EAS EXTRA,DIŞ PYS</t>
        </is>
      </c>
      <c r="C1063" s="25" t="inlineStr">
        <is>
          <t>1</t>
        </is>
      </c>
      <c r="D1063" s="25" t="inlineStr">
        <is>
          <t>ST-063-STD-08</t>
        </is>
      </c>
      <c r="E1063" s="25" t="inlineStr">
        <is>
          <t>IA-ST-063-STD-08</t>
        </is>
      </c>
      <c r="F1063" s="25" t="inlineStr">
        <is>
          <t>IA-ST-CFG-0179</t>
        </is>
      </c>
      <c r="G1063" s="25" t="n">
        <v>29.9992</v>
      </c>
      <c r="H1063" s="25" t="inlineStr">
        <is>
          <t>988-pack GENERATED</t>
        </is>
      </c>
    </row>
    <row r="1064">
      <c r="A1064" s="25" t="inlineStr">
        <is>
          <t>1013679</t>
        </is>
      </c>
      <c r="B1064" s="25" t="inlineStr">
        <is>
          <t>AKÜ,L5,DK,102AH,IGYASMF,EAS EXTRA,DIŞPYS</t>
        </is>
      </c>
      <c r="C1064" s="25" t="inlineStr">
        <is>
          <t>1</t>
        </is>
      </c>
      <c r="D1064" s="25" t="inlineStr">
        <is>
          <t>ST-045-STD-08</t>
        </is>
      </c>
      <c r="E1064" s="25" t="inlineStr">
        <is>
          <t>IA-ST-045-STD-08</t>
        </is>
      </c>
      <c r="F1064" s="25" t="inlineStr">
        <is>
          <t>IA-ST-CFG-0096</t>
        </is>
      </c>
      <c r="G1064" s="25" t="n">
        <v>29.7192</v>
      </c>
      <c r="H1064" s="25" t="inlineStr">
        <is>
          <t>988-pack GENERATED</t>
        </is>
      </c>
    </row>
    <row r="1065">
      <c r="A1065" s="25" t="inlineStr">
        <is>
          <t>1013682</t>
        </is>
      </c>
      <c r="B1065" s="25" t="inlineStr">
        <is>
          <t>AKÜ,C-IGYASMF,DK,250AH,BLIZGOLDLN,DIŞPYS</t>
        </is>
      </c>
      <c r="C1065" s="25" t="inlineStr">
        <is>
          <t>1</t>
        </is>
      </c>
      <c r="D1065" s="25" t="inlineStr">
        <is>
          <t>ST-018-EUR-03</t>
        </is>
      </c>
      <c r="E1065" s="25" t="inlineStr">
        <is>
          <t>IA-ST-018-EUR-03</t>
        </is>
      </c>
      <c r="F1065" s="25" t="inlineStr">
        <is>
          <t>IA-ST-CFG-0014</t>
        </is>
      </c>
      <c r="G1065" s="25" t="n">
        <v>30.9872</v>
      </c>
      <c r="H1065" s="25" t="inlineStr">
        <is>
          <t>988-pack GENERATED</t>
        </is>
      </c>
    </row>
    <row r="1066">
      <c r="A1066" s="25" t="inlineStr">
        <is>
          <t>1013692</t>
        </is>
      </c>
      <c r="B1066" s="25" t="inlineStr">
        <is>
          <t>AKÜ,L2,DK,65AH,IGYSMF,BLIZ.GOLDLN,DIŞPYS</t>
        </is>
      </c>
      <c r="C1066" s="25" t="inlineStr">
        <is>
          <t>1</t>
        </is>
      </c>
      <c r="D1066" s="25" t="inlineStr">
        <is>
          <t>ST-072-STD-13</t>
        </is>
      </c>
      <c r="E1066" s="25" t="inlineStr">
        <is>
          <t>IA-ST-072-STD-13</t>
        </is>
      </c>
      <c r="F1066" s="25" t="inlineStr">
        <is>
          <t>IA-ST-CFG-0222</t>
        </is>
      </c>
      <c r="G1066" s="25" t="n">
        <v>30.6552</v>
      </c>
      <c r="H1066" s="25" t="inlineStr">
        <is>
          <t>988-pack GENERATED</t>
        </is>
      </c>
    </row>
    <row r="1067">
      <c r="A1067" s="25" t="inlineStr">
        <is>
          <t>1013696</t>
        </is>
      </c>
      <c r="B1067" s="25" t="inlineStr">
        <is>
          <t>AKÜ,L3,DK,80AH,IGYSMF,BLIZ.GOLDLN,DIŞPYS</t>
        </is>
      </c>
      <c r="C1067" s="25" t="inlineStr">
        <is>
          <t>1</t>
        </is>
      </c>
      <c r="D1067" s="25" t="inlineStr">
        <is>
          <t>ST-063-STD-08</t>
        </is>
      </c>
      <c r="E1067" s="25" t="inlineStr">
        <is>
          <t>IA-ST-063-STD-08</t>
        </is>
      </c>
      <c r="F1067" s="25" t="inlineStr">
        <is>
          <t>IA-ST-CFG-0179</t>
        </is>
      </c>
      <c r="G1067" s="25" t="n">
        <v>29.9992</v>
      </c>
      <c r="H1067" s="25" t="inlineStr">
        <is>
          <t>988-pack GENERATED</t>
        </is>
      </c>
    </row>
    <row r="1068">
      <c r="A1068" s="29" t="inlineStr">
        <is>
          <t>1013708</t>
        </is>
      </c>
      <c r="B1068" s="29" t="inlineStr">
        <is>
          <t>AKÜ,L3,DK,IGYASMF,75AH,700A,MERCEDES EFB</t>
        </is>
      </c>
      <c r="C1068" s="29" t="inlineStr">
        <is>
          <t>1</t>
        </is>
      </c>
      <c r="H1068" s="29" t="inlineStr">
        <is>
          <t>NO MAPPING</t>
        </is>
      </c>
    </row>
    <row r="1069">
      <c r="A1069" s="25" t="inlineStr">
        <is>
          <t>1013713</t>
        </is>
      </c>
      <c r="B1069" s="25" t="inlineStr">
        <is>
          <t>AKÜ,L4,DK,90AH,IGYA,BOOSTER,TÜRKMENİSTAN</t>
        </is>
      </c>
      <c r="C1069" s="25" t="inlineStr">
        <is>
          <t>1</t>
        </is>
      </c>
      <c r="D1069" s="25" t="inlineStr">
        <is>
          <t>ST-072-STD-12</t>
        </is>
      </c>
      <c r="E1069" s="25" t="inlineStr">
        <is>
          <t>IA-ST-072-STD-12</t>
        </is>
      </c>
      <c r="F1069" s="25" t="inlineStr">
        <is>
          <t>IA-ST-CFG-0221</t>
        </is>
      </c>
      <c r="G1069" s="25" t="n">
        <v>30.3672</v>
      </c>
      <c r="H1069" s="25" t="inlineStr">
        <is>
          <t>988-pack GENERATED</t>
        </is>
      </c>
    </row>
    <row r="1070">
      <c r="A1070" s="25" t="inlineStr">
        <is>
          <t>1013717</t>
        </is>
      </c>
      <c r="B1070" s="25" t="inlineStr">
        <is>
          <t>AKÜ,LB4,DK,85AH,IGYSMF,BLIZGOLDLNYD,EURO</t>
        </is>
      </c>
      <c r="C1070" s="25" t="inlineStr">
        <is>
          <t>1</t>
        </is>
      </c>
      <c r="D1070" s="25" t="inlineStr">
        <is>
          <t>ST-056-EUR-03</t>
        </is>
      </c>
      <c r="E1070" s="25" t="inlineStr">
        <is>
          <t>IA-ST-056-EUR-03</t>
        </is>
      </c>
      <c r="F1070" s="25" t="inlineStr">
        <is>
          <t>IA-ST-CFG-0152</t>
        </is>
      </c>
      <c r="G1070" s="25" t="n">
        <v>29.7432</v>
      </c>
      <c r="H1070" s="25" t="inlineStr">
        <is>
          <t>988-pack GENERATED</t>
        </is>
      </c>
    </row>
    <row r="1071">
      <c r="A1071" s="25" t="inlineStr">
        <is>
          <t>1013718</t>
        </is>
      </c>
      <c r="B1071" s="25" t="inlineStr">
        <is>
          <t>AKÜ,L5,DK,102AH,IGYSMF,BLIZGOLDLNYD,EURO</t>
        </is>
      </c>
      <c r="C1071" s="25" t="inlineStr">
        <is>
          <t>1</t>
        </is>
      </c>
      <c r="D1071" s="25" t="inlineStr">
        <is>
          <t>ST-048-EUR-10</t>
        </is>
      </c>
      <c r="E1071" s="25" t="inlineStr">
        <is>
          <t>IA-ST-048-EUR-10</t>
        </is>
      </c>
      <c r="F1071" s="25" t="inlineStr">
        <is>
          <t>IA-ST-CFG-0116</t>
        </is>
      </c>
      <c r="G1071" s="25" t="n">
        <v>29.7592</v>
      </c>
      <c r="H1071" s="25" t="inlineStr">
        <is>
          <t>988-pack GENERATED</t>
        </is>
      </c>
    </row>
    <row r="1072">
      <c r="A1072" s="25" t="inlineStr">
        <is>
          <t>1013721</t>
        </is>
      </c>
      <c r="B1072" s="25" t="inlineStr">
        <is>
          <t>AKÜ,C-FLAT,DK,240AH,BLIZZ.TRENDLINE,EURO</t>
        </is>
      </c>
      <c r="C1072" s="25" t="inlineStr">
        <is>
          <t>1</t>
        </is>
      </c>
      <c r="D1072" s="25" t="inlineStr">
        <is>
          <t>ST-018-EUR-03</t>
        </is>
      </c>
      <c r="E1072" s="25" t="inlineStr">
        <is>
          <t>IA-ST-018-EUR-03</t>
        </is>
      </c>
      <c r="F1072" s="25" t="inlineStr">
        <is>
          <t>IA-ST-CFG-0014</t>
        </is>
      </c>
      <c r="G1072" s="25" t="n">
        <v>30.9872</v>
      </c>
      <c r="H1072" s="25" t="inlineStr">
        <is>
          <t>988-pack GENERATED</t>
        </is>
      </c>
    </row>
    <row r="1073">
      <c r="A1073" s="25" t="inlineStr">
        <is>
          <t>1013722</t>
        </is>
      </c>
      <c r="B1073" s="25" t="inlineStr">
        <is>
          <t>AKÜ,L4,DK,80AH,IGYA,NO NAME,EFBS&amp;S,PARTS</t>
        </is>
      </c>
      <c r="C1073" s="25" t="inlineStr">
        <is>
          <t>1</t>
        </is>
      </c>
      <c r="D1073" s="25" t="inlineStr">
        <is>
          <t>ST-056-EUR-04</t>
        </is>
      </c>
      <c r="E1073" s="25" t="inlineStr">
        <is>
          <t>IA-ST-056-EUR-04</t>
        </is>
      </c>
      <c r="F1073" s="25" t="inlineStr">
        <is>
          <t>IA-ST-CFG-0153</t>
        </is>
      </c>
      <c r="G1073" s="25" t="n">
        <v>27.8392</v>
      </c>
      <c r="H1073" s="25" t="inlineStr">
        <is>
          <t>988-pack GENERATED</t>
        </is>
      </c>
    </row>
    <row r="1074">
      <c r="A1074" s="25" t="inlineStr">
        <is>
          <t>1013723</t>
        </is>
      </c>
      <c r="B1074" s="25" t="inlineStr">
        <is>
          <t>AKÜ,TRACTOR,DK,125AH,HUGEL ACTION</t>
        </is>
      </c>
      <c r="C1074" s="25" t="inlineStr">
        <is>
          <t>1</t>
        </is>
      </c>
      <c r="D1074" s="25" t="inlineStr">
        <is>
          <t>ST-045-STD-05</t>
        </is>
      </c>
      <c r="E1074" s="25" t="inlineStr">
        <is>
          <t>IA-ST-045-STD-05</t>
        </is>
      </c>
      <c r="F1074" s="25" t="inlineStr">
        <is>
          <t>IA-ST-CFG-0093</t>
        </is>
      </c>
      <c r="G1074" s="25" t="n">
        <v>33.3498</v>
      </c>
      <c r="H1074" s="25" t="inlineStr">
        <is>
          <t>988-pack GENERATED</t>
        </is>
      </c>
    </row>
    <row r="1075">
      <c r="A1075" s="25" t="inlineStr">
        <is>
          <t>1013733</t>
        </is>
      </c>
      <c r="B1075" s="25" t="inlineStr">
        <is>
          <t>AKÜ,C-FLAT,DK,240AH,HUGEL ACTION,TRADING</t>
        </is>
      </c>
      <c r="C1075" s="25" t="inlineStr">
        <is>
          <t>1</t>
        </is>
      </c>
      <c r="D1075" s="25" t="inlineStr">
        <is>
          <t>ST-018-EUR-03</t>
        </is>
      </c>
      <c r="E1075" s="25" t="inlineStr">
        <is>
          <t>IA-ST-018-EUR-03</t>
        </is>
      </c>
      <c r="F1075" s="25" t="inlineStr">
        <is>
          <t>IA-ST-CFG-0014</t>
        </is>
      </c>
      <c r="G1075" s="25" t="n">
        <v>30.9872</v>
      </c>
      <c r="H1075" s="25" t="inlineStr">
        <is>
          <t>988-pack GENERATED</t>
        </is>
      </c>
    </row>
    <row r="1076">
      <c r="A1076" s="25" t="inlineStr">
        <is>
          <t>1013734</t>
        </is>
      </c>
      <c r="B1076" s="25" t="inlineStr">
        <is>
          <t>AKÜ,L2DK,60AH,VRLA,AGM YBX9027-060,GYEUR</t>
        </is>
      </c>
      <c r="C1076" s="25" t="inlineStr">
        <is>
          <t>1</t>
        </is>
      </c>
      <c r="D1076" s="25" t="inlineStr">
        <is>
          <t>ST-054-EUR-01</t>
        </is>
      </c>
      <c r="E1076" s="25" t="inlineStr">
        <is>
          <t>IA-ST-054-EUR-01</t>
        </is>
      </c>
      <c r="F1076" s="25" t="inlineStr">
        <is>
          <t>IA-ST-CFG-0149</t>
        </is>
      </c>
      <c r="G1076" s="25" t="n">
        <v>27.926</v>
      </c>
      <c r="H1076" s="25" t="inlineStr">
        <is>
          <t>988-pack GENERATED</t>
        </is>
      </c>
    </row>
    <row r="1077">
      <c r="A1077" s="25" t="inlineStr">
        <is>
          <t>1013735</t>
        </is>
      </c>
      <c r="B1077" s="25" t="inlineStr">
        <is>
          <t>AKÜ,L3DK,70AH,VRLA,AGM YBX9096-070,GYEUR</t>
        </is>
      </c>
      <c r="C1077" s="25" t="inlineStr">
        <is>
          <t>1</t>
        </is>
      </c>
      <c r="D1077" s="25" t="inlineStr">
        <is>
          <t>ST-048-EUR-07</t>
        </is>
      </c>
      <c r="E1077" s="25" t="inlineStr">
        <is>
          <t>IA-ST-048-EUR-07</t>
        </is>
      </c>
      <c r="F1077" s="25" t="inlineStr">
        <is>
          <t>IA-ST-CFG-0113</t>
        </is>
      </c>
      <c r="G1077" s="25" t="n">
        <v>27.926</v>
      </c>
      <c r="H1077" s="25" t="inlineStr">
        <is>
          <t>988-pack GENERATED</t>
        </is>
      </c>
    </row>
    <row r="1078">
      <c r="A1078" s="25" t="inlineStr">
        <is>
          <t>1013736</t>
        </is>
      </c>
      <c r="B1078" s="25" t="inlineStr">
        <is>
          <t>AKÜ,L4DK,80AH,VRLA,AGM YBX9115-080,GYEUR</t>
        </is>
      </c>
      <c r="C1078" s="25" t="inlineStr">
        <is>
          <t>1</t>
        </is>
      </c>
      <c r="D1078" s="25" t="inlineStr">
        <is>
          <t>ST-042-EUR-02</t>
        </is>
      </c>
      <c r="E1078" s="25" t="inlineStr">
        <is>
          <t>IA-ST-042-EUR-02</t>
        </is>
      </c>
      <c r="F1078" s="25" t="inlineStr">
        <is>
          <t>IA-ST-CFG-0085</t>
        </is>
      </c>
      <c r="G1078" s="25" t="n">
        <v>27.926</v>
      </c>
      <c r="H1078" s="25" t="inlineStr">
        <is>
          <t>988-pack GENERATED</t>
        </is>
      </c>
    </row>
    <row r="1079">
      <c r="A1079" s="25" t="inlineStr">
        <is>
          <t>1013737</t>
        </is>
      </c>
      <c r="B1079" s="25" t="inlineStr">
        <is>
          <t>AKÜ,L5DK,95AH,VRLA,AGM YBX9019-095,GYEUR</t>
        </is>
      </c>
      <c r="C1079" s="25" t="inlineStr">
        <is>
          <t>1</t>
        </is>
      </c>
      <c r="D1079" s="25" t="inlineStr">
        <is>
          <t>ST-036-EUR-04</t>
        </is>
      </c>
      <c r="E1079" s="25" t="inlineStr">
        <is>
          <t>IA-ST-036-EUR-04</t>
        </is>
      </c>
      <c r="F1079" s="25" t="inlineStr">
        <is>
          <t>IA-ST-CFG-0068</t>
        </is>
      </c>
      <c r="G1079" s="25" t="n">
        <v>27.926</v>
      </c>
      <c r="H1079" s="25" t="inlineStr">
        <is>
          <t>988-pack GENERATED</t>
        </is>
      </c>
    </row>
    <row r="1080">
      <c r="A1080" s="25" t="inlineStr">
        <is>
          <t>1013738</t>
        </is>
      </c>
      <c r="B1080" s="25" t="inlineStr">
        <is>
          <t>AKÜ,L6DK105AH,VRLA,AGM YBX9020-105,GYEUR</t>
        </is>
      </c>
      <c r="C1080" s="25" t="inlineStr">
        <is>
          <t>1</t>
        </is>
      </c>
      <c r="D1080" s="25" t="inlineStr">
        <is>
          <t>ST-033-EUR-01</t>
        </is>
      </c>
      <c r="E1080" s="25" t="inlineStr">
        <is>
          <t>IA-ST-033-EUR-01</t>
        </is>
      </c>
      <c r="F1080" s="25" t="inlineStr">
        <is>
          <t>IA-ST-CFG-0058</t>
        </is>
      </c>
      <c r="G1080" s="25" t="n">
        <v>27.926</v>
      </c>
      <c r="H1080" s="25" t="inlineStr">
        <is>
          <t>988-pack GENERATED</t>
        </is>
      </c>
    </row>
    <row r="1081">
      <c r="A1081" s="25" t="inlineStr">
        <is>
          <t>1013739</t>
        </is>
      </c>
      <c r="B1081" s="25" t="inlineStr">
        <is>
          <t>AKÜ,L1,DK,54AH,IGYASMF,EAS EXTRA,YD,EURO</t>
        </is>
      </c>
      <c r="C1081" s="25" t="inlineStr">
        <is>
          <t>1</t>
        </is>
      </c>
      <c r="D1081" s="25" t="inlineStr">
        <is>
          <t>ST-096-EUR-03</t>
        </is>
      </c>
      <c r="E1081" s="25" t="inlineStr">
        <is>
          <t>IA-ST-096-EUR-03</t>
        </is>
      </c>
      <c r="F1081" s="25" t="inlineStr">
        <is>
          <t>IA-ST-CFG-0266</t>
        </is>
      </c>
      <c r="G1081" s="25" t="n">
        <v>31.2262</v>
      </c>
      <c r="H1081" s="25" t="inlineStr">
        <is>
          <t>988-pack GENERATED</t>
        </is>
      </c>
    </row>
    <row r="1082">
      <c r="A1082" s="25" t="inlineStr">
        <is>
          <t>1013740</t>
        </is>
      </c>
      <c r="B1082" s="25" t="inlineStr">
        <is>
          <t>AKÜ,LB1,DK,52AH,IGYASMF,EASEXTRA,YD,EURO</t>
        </is>
      </c>
      <c r="C1082" s="25" t="inlineStr">
        <is>
          <t>1</t>
        </is>
      </c>
      <c r="D1082" s="25" t="inlineStr">
        <is>
          <t>ST-096-EUR-01</t>
        </is>
      </c>
      <c r="E1082" s="25" t="inlineStr">
        <is>
          <t>IA-ST-096-EUR-01</t>
        </is>
      </c>
      <c r="F1082" s="25" t="inlineStr">
        <is>
          <t>IA-ST-CFG-0264</t>
        </is>
      </c>
      <c r="G1082" s="25" t="n">
        <v>30.6532</v>
      </c>
      <c r="H1082" s="25" t="inlineStr">
        <is>
          <t>988-pack GENERATED</t>
        </is>
      </c>
    </row>
    <row r="1083">
      <c r="A1083" s="25" t="inlineStr">
        <is>
          <t>1013742</t>
        </is>
      </c>
      <c r="B1083" s="25" t="inlineStr">
        <is>
          <t>AKÜ,L2,DK,65AH,IGYASMF,EAS EXTRA,YD,EURO</t>
        </is>
      </c>
      <c r="C1083" s="25" t="inlineStr">
        <is>
          <t>1</t>
        </is>
      </c>
      <c r="D1083" s="25" t="inlineStr">
        <is>
          <t>ST-076-EUR-03</t>
        </is>
      </c>
      <c r="E1083" s="25" t="inlineStr">
        <is>
          <t>IA-ST-076-EUR-03</t>
        </is>
      </c>
      <c r="F1083" s="25" t="inlineStr">
        <is>
          <t>IA-ST-CFG-0240</t>
        </is>
      </c>
      <c r="G1083" s="25" t="n">
        <v>30.7272</v>
      </c>
      <c r="H1083" s="25" t="inlineStr">
        <is>
          <t>988-pack GENERATED</t>
        </is>
      </c>
    </row>
    <row r="1084">
      <c r="A1084" s="25" t="inlineStr">
        <is>
          <t>1013743</t>
        </is>
      </c>
      <c r="B1084" s="25" t="inlineStr">
        <is>
          <t>AKÜ,L3,DK,80AH,IGYASMF,EAS EXTRA,YD,EURO</t>
        </is>
      </c>
      <c r="C1084" s="25" t="inlineStr">
        <is>
          <t>1</t>
        </is>
      </c>
      <c r="D1084" s="25" t="inlineStr">
        <is>
          <t>ST-068-EUR-03</t>
        </is>
      </c>
      <c r="E1084" s="25" t="inlineStr">
        <is>
          <t>IA-ST-068-EUR-03</t>
        </is>
      </c>
      <c r="F1084" s="25" t="inlineStr">
        <is>
          <t>IA-ST-CFG-0200</t>
        </is>
      </c>
      <c r="G1084" s="25" t="n">
        <v>30.0842</v>
      </c>
      <c r="H1084" s="25" t="inlineStr">
        <is>
          <t>988-pack GENERATED</t>
        </is>
      </c>
    </row>
    <row r="1085">
      <c r="A1085" s="25" t="inlineStr">
        <is>
          <t>1013744</t>
        </is>
      </c>
      <c r="B1085" s="25" t="inlineStr">
        <is>
          <t>AKÜ,LB4,DK,85AH,IGYASMF,EASEXTRA,YD,EURO</t>
        </is>
      </c>
      <c r="C1085" s="25" t="inlineStr">
        <is>
          <t>1</t>
        </is>
      </c>
      <c r="D1085" s="25" t="inlineStr">
        <is>
          <t>ST-056-EUR-03</t>
        </is>
      </c>
      <c r="E1085" s="25" t="inlineStr">
        <is>
          <t>IA-ST-056-EUR-03</t>
        </is>
      </c>
      <c r="F1085" s="25" t="inlineStr">
        <is>
          <t>IA-ST-CFG-0152</t>
        </is>
      </c>
      <c r="G1085" s="25" t="n">
        <v>29.7432</v>
      </c>
      <c r="H1085" s="25" t="inlineStr">
        <is>
          <t>988-pack GENERATED</t>
        </is>
      </c>
    </row>
    <row r="1086">
      <c r="A1086" s="25" t="inlineStr">
        <is>
          <t>1013745</t>
        </is>
      </c>
      <c r="B1086" s="25" t="inlineStr">
        <is>
          <t>AKÜ,L4,DK,90AH,IGYASMF,EAS EXTRA,YD,EURO</t>
        </is>
      </c>
      <c r="C1086" s="25" t="inlineStr">
        <is>
          <t>1</t>
        </is>
      </c>
      <c r="D1086" s="25" t="inlineStr">
        <is>
          <t>ST-056-EUR-03</t>
        </is>
      </c>
      <c r="E1086" s="25" t="inlineStr">
        <is>
          <t>IA-ST-056-EUR-03</t>
        </is>
      </c>
      <c r="F1086" s="25" t="inlineStr">
        <is>
          <t>IA-ST-CFG-0152</t>
        </is>
      </c>
      <c r="G1086" s="25" t="n">
        <v>29.7432</v>
      </c>
      <c r="H1086" s="25" t="inlineStr">
        <is>
          <t>988-pack GENERATED</t>
        </is>
      </c>
    </row>
    <row r="1087">
      <c r="A1087" s="25" t="inlineStr">
        <is>
          <t>1013746</t>
        </is>
      </c>
      <c r="B1087" s="25" t="inlineStr">
        <is>
          <t>AKÜ,NS60,DK,55AH,IGYSMF,EASEXTRA,YD,EURO</t>
        </is>
      </c>
      <c r="C1087" s="25" t="inlineStr">
        <is>
          <t>1</t>
        </is>
      </c>
      <c r="D1087" s="25" t="inlineStr">
        <is>
          <t>ST-072-EUR-05</t>
        </is>
      </c>
      <c r="E1087" s="25" t="inlineStr">
        <is>
          <t>IA-ST-072-EUR-05</t>
        </is>
      </c>
      <c r="F1087" s="25" t="inlineStr">
        <is>
          <t>IA-ST-CFG-0235</t>
        </is>
      </c>
      <c r="G1087" s="25" t="n">
        <v>33.2594</v>
      </c>
      <c r="H1087" s="25" t="inlineStr">
        <is>
          <t>988-pack GENERATED</t>
        </is>
      </c>
    </row>
    <row r="1088">
      <c r="A1088" s="25" t="inlineStr">
        <is>
          <t>1013747</t>
        </is>
      </c>
      <c r="B1088" s="25" t="inlineStr">
        <is>
          <t>AKÜ,D23,DK,68AH,IGYSMF,EAS EXTRA,YD,EURO</t>
        </is>
      </c>
      <c r="C1088" s="25" t="inlineStr">
        <is>
          <t>1</t>
        </is>
      </c>
      <c r="D1088" s="25" t="inlineStr">
        <is>
          <t>ST-060-EUR-02</t>
        </is>
      </c>
      <c r="E1088" s="25" t="inlineStr">
        <is>
          <t>IA-ST-060-EUR-02</t>
        </is>
      </c>
      <c r="F1088" s="25" t="inlineStr">
        <is>
          <t>IA-ST-CFG-0171</t>
        </is>
      </c>
      <c r="G1088" s="25" t="n">
        <v>32.9834</v>
      </c>
      <c r="H1088" s="25" t="inlineStr">
        <is>
          <t>988-pack GENERATED</t>
        </is>
      </c>
    </row>
    <row r="1089">
      <c r="A1089" s="25" t="inlineStr">
        <is>
          <t>1013748</t>
        </is>
      </c>
      <c r="B1089" s="25" t="inlineStr">
        <is>
          <t>AKÜ,D26,DK,80AH,IGYSMF,EAS EXTRA,YD,EURO</t>
        </is>
      </c>
      <c r="C1089" s="25" t="inlineStr">
        <is>
          <t>1</t>
        </is>
      </c>
      <c r="D1089" s="25" t="inlineStr">
        <is>
          <t>ST-048-EUR-02</t>
        </is>
      </c>
      <c r="E1089" s="25" t="inlineStr">
        <is>
          <t>IA-ST-048-EUR-02</t>
        </is>
      </c>
      <c r="F1089" s="25" t="inlineStr">
        <is>
          <t>IA-ST-CFG-0107</t>
        </is>
      </c>
      <c r="G1089" s="25" t="n">
        <v>32.3872</v>
      </c>
      <c r="H1089" s="25" t="inlineStr">
        <is>
          <t>988-pack GENERATED</t>
        </is>
      </c>
    </row>
    <row r="1090">
      <c r="A1090" s="25" t="inlineStr">
        <is>
          <t>1013749</t>
        </is>
      </c>
      <c r="B1090" s="25" t="inlineStr">
        <is>
          <t>AKÜ,D31,DK,100AH,IGYSMF,EASEXTRA,YD,EURO</t>
        </is>
      </c>
      <c r="C1090" s="25" t="inlineStr">
        <is>
          <t>1</t>
        </is>
      </c>
      <c r="D1090" s="25" t="inlineStr">
        <is>
          <t>ST-048-EUR-09</t>
        </is>
      </c>
      <c r="E1090" s="25" t="inlineStr">
        <is>
          <t>IA-ST-048-EUR-09</t>
        </is>
      </c>
      <c r="F1090" s="25" t="inlineStr">
        <is>
          <t>IA-ST-CFG-0115</t>
        </is>
      </c>
      <c r="G1090" s="25" t="n">
        <v>32.8524</v>
      </c>
      <c r="H1090" s="25" t="inlineStr">
        <is>
          <t>988-pack GENERATED</t>
        </is>
      </c>
    </row>
    <row r="1091">
      <c r="A1091" s="29" t="inlineStr">
        <is>
          <t>1013765</t>
        </is>
      </c>
      <c r="B1091" s="29" t="inlineStr">
        <is>
          <t>AKÜ,B-FLAT,TK,180AH,İNCİSUPRA,TEMSA OEM</t>
        </is>
      </c>
      <c r="C1091" s="29" t="inlineStr">
        <is>
          <t>1</t>
        </is>
      </c>
      <c r="H1091" s="29" t="inlineStr">
        <is>
          <t>NO MAPPING</t>
        </is>
      </c>
    </row>
    <row r="1092">
      <c r="A1092" s="25" t="inlineStr">
        <is>
          <t>1013769</t>
        </is>
      </c>
      <c r="B1092" s="25" t="inlineStr">
        <is>
          <t>AKÜ SULU,TRACTR,DK,125AH,STRONG,SCHNAPP</t>
        </is>
      </c>
      <c r="C1092" s="25" t="inlineStr">
        <is>
          <t>1</t>
        </is>
      </c>
      <c r="D1092" s="25" t="inlineStr">
        <is>
          <t>ST-045-STD-11</t>
        </is>
      </c>
      <c r="E1092" s="25" t="inlineStr">
        <is>
          <t>IA-ST-045-STD-11</t>
        </is>
      </c>
      <c r="F1092" s="25" t="inlineStr">
        <is>
          <t>IA-ST-CFG-0099</t>
        </is>
      </c>
      <c r="G1092" s="25" t="n">
        <v>28.649</v>
      </c>
      <c r="H1092" s="25" t="inlineStr">
        <is>
          <t>988-pack GENERATED</t>
        </is>
      </c>
    </row>
    <row r="1093">
      <c r="A1093" s="25" t="inlineStr">
        <is>
          <t>1013773</t>
        </is>
      </c>
      <c r="B1093" s="25" t="inlineStr">
        <is>
          <t>AKÜ,L2,DK,60AH,VRLA,AGM YBX9027-060,Yİ</t>
        </is>
      </c>
      <c r="C1093" s="25" t="inlineStr">
        <is>
          <t>1</t>
        </is>
      </c>
      <c r="D1093" s="25" t="inlineStr">
        <is>
          <t>ST-072-STD-18</t>
        </is>
      </c>
      <c r="E1093" s="25" t="inlineStr">
        <is>
          <t>IA-ST-072-STD-18</t>
        </is>
      </c>
      <c r="F1093" s="25" t="inlineStr">
        <is>
          <t>IA-ST-CFG-0227</t>
        </is>
      </c>
      <c r="G1093" s="25" t="n">
        <v>30.3684</v>
      </c>
      <c r="H1093" s="25" t="inlineStr">
        <is>
          <t>988-pack GENERATED</t>
        </is>
      </c>
    </row>
    <row r="1094">
      <c r="A1094" s="25" t="inlineStr">
        <is>
          <t>1013774</t>
        </is>
      </c>
      <c r="B1094" s="25" t="inlineStr">
        <is>
          <t>AKÜ,L3,DK,70AH,VRLA,AGM YBX9096-070,Yİ</t>
        </is>
      </c>
      <c r="C1094" s="25" t="inlineStr">
        <is>
          <t>1</t>
        </is>
      </c>
      <c r="D1094" s="25" t="inlineStr">
        <is>
          <t>ST-063-STD-11</t>
        </is>
      </c>
      <c r="E1094" s="25" t="inlineStr">
        <is>
          <t>IA-ST-063-STD-11</t>
        </is>
      </c>
      <c r="F1094" s="25" t="inlineStr">
        <is>
          <t>IA-ST-CFG-0182</t>
        </is>
      </c>
      <c r="G1094" s="25" t="n">
        <v>29.7124</v>
      </c>
      <c r="H1094" s="25" t="inlineStr">
        <is>
          <t>988-pack GENERATED</t>
        </is>
      </c>
    </row>
    <row r="1095">
      <c r="A1095" s="25" t="inlineStr">
        <is>
          <t>1013775</t>
        </is>
      </c>
      <c r="B1095" s="25" t="inlineStr">
        <is>
          <t>AKÜ,L4,DK,80AH,VRLA,AGM YBX9115-080,Yİ</t>
        </is>
      </c>
      <c r="C1095" s="25" t="inlineStr">
        <is>
          <t>1</t>
        </is>
      </c>
      <c r="D1095" s="25" t="inlineStr">
        <is>
          <t>ST-054-STD-08</t>
        </is>
      </c>
      <c r="E1095" s="25" t="inlineStr">
        <is>
          <t>IA-ST-054-STD-08</t>
        </is>
      </c>
      <c r="F1095" s="25" t="inlineStr">
        <is>
          <t>IA-ST-CFG-0144</t>
        </is>
      </c>
      <c r="G1095" s="25" t="n">
        <v>29.4684</v>
      </c>
      <c r="H1095" s="25" t="inlineStr">
        <is>
          <t>988-pack GENERATED</t>
        </is>
      </c>
    </row>
    <row r="1096">
      <c r="A1096" s="25" t="inlineStr">
        <is>
          <t>1013776</t>
        </is>
      </c>
      <c r="B1096" s="25" t="inlineStr">
        <is>
          <t>AKÜ,L5,DK,95AH,VRLA,AGM YBX9019-095,Yİ</t>
        </is>
      </c>
      <c r="C1096" s="25" t="inlineStr">
        <is>
          <t>1</t>
        </is>
      </c>
      <c r="D1096" s="25" t="inlineStr">
        <is>
          <t>ST-045-STD-10</t>
        </is>
      </c>
      <c r="E1096" s="25" t="inlineStr">
        <is>
          <t>IA-ST-045-STD-10</t>
        </is>
      </c>
      <c r="F1096" s="25" t="inlineStr">
        <is>
          <t>IA-ST-CFG-0098</t>
        </is>
      </c>
      <c r="G1096" s="25" t="n">
        <v>29.4324</v>
      </c>
      <c r="H1096" s="25" t="inlineStr">
        <is>
          <t>988-pack GENERATED</t>
        </is>
      </c>
    </row>
    <row r="1097">
      <c r="A1097" s="25" t="inlineStr">
        <is>
          <t>1013777</t>
        </is>
      </c>
      <c r="B1097" s="25" t="inlineStr">
        <is>
          <t>AKÜ,L6,DK,105AH,VRLA,AGM YBX9020-105,Yİ</t>
        </is>
      </c>
      <c r="C1097" s="25" t="inlineStr">
        <is>
          <t>1</t>
        </is>
      </c>
      <c r="D1097" s="25" t="inlineStr">
        <is>
          <t>ST-042-STD-06</t>
        </is>
      </c>
      <c r="E1097" s="25" t="inlineStr">
        <is>
          <t>IA-ST-042-STD-06</t>
        </is>
      </c>
      <c r="F1097" s="25" t="inlineStr">
        <is>
          <t>IA-ST-CFG-0081</t>
        </is>
      </c>
      <c r="G1097" s="25" t="n">
        <v>29.3124</v>
      </c>
      <c r="H1097" s="25" t="inlineStr">
        <is>
          <t>988-pack GENERATED</t>
        </is>
      </c>
    </row>
    <row r="1098">
      <c r="A1098" s="25" t="inlineStr">
        <is>
          <t>1013778</t>
        </is>
      </c>
      <c r="B1098" s="25" t="inlineStr">
        <is>
          <t>AKÜ,C-FLAT,DK,225AH,HUGEL ACTION,SHAWKAT</t>
        </is>
      </c>
      <c r="C1098" s="25" t="inlineStr">
        <is>
          <t>1</t>
        </is>
      </c>
      <c r="D1098" s="25" t="inlineStr">
        <is>
          <t>ST-021-STD-03</t>
        </is>
      </c>
      <c r="E1098" s="25" t="inlineStr">
        <is>
          <t>IA-ST-021-STD-03</t>
        </is>
      </c>
      <c r="F1098" s="25" t="inlineStr">
        <is>
          <t>IA-ST-CFG-0023</t>
        </is>
      </c>
      <c r="G1098" s="25" t="n">
        <v>31.8252</v>
      </c>
      <c r="H1098" s="25" t="inlineStr">
        <is>
          <t>988-pack GENERATED</t>
        </is>
      </c>
    </row>
    <row r="1099">
      <c r="A1099" s="25" t="inlineStr">
        <is>
          <t>1013791</t>
        </is>
      </c>
      <c r="B1099" s="25" t="inlineStr">
        <is>
          <t>AKÜ,D26,DK,70AH540A,IGYSMF,Y3000,SHAWKAT</t>
        </is>
      </c>
      <c r="C1099" s="25" t="inlineStr">
        <is>
          <t>1</t>
        </is>
      </c>
      <c r="D1099" s="25" t="inlineStr">
        <is>
          <t>ST-057-STD-03</t>
        </is>
      </c>
      <c r="E1099" s="25" t="inlineStr">
        <is>
          <t>IA-ST-057-STD-03</t>
        </is>
      </c>
      <c r="F1099" s="25" t="inlineStr">
        <is>
          <t>IA-ST-CFG-0157</t>
        </is>
      </c>
      <c r="G1099" s="25" t="n">
        <v>50.954</v>
      </c>
      <c r="H1099" s="25" t="inlineStr">
        <is>
          <t>988-pack GENERATED</t>
        </is>
      </c>
    </row>
    <row r="1100">
      <c r="A1100" s="25" t="inlineStr">
        <is>
          <t>1013794</t>
        </is>
      </c>
      <c r="B1100" s="25" t="inlineStr">
        <is>
          <t>AKÜ,LB4,DK,80AH720A,IGYSMF,Y3000,SHAWKAT</t>
        </is>
      </c>
      <c r="C1100" s="25" t="inlineStr">
        <is>
          <t>1</t>
        </is>
      </c>
      <c r="D1100" s="25" t="inlineStr">
        <is>
          <t>ST-068-STD-01</t>
        </is>
      </c>
      <c r="E1100" s="25" t="inlineStr">
        <is>
          <t>IA-ST-068-STD-01</t>
        </is>
      </c>
      <c r="F1100" s="25" t="inlineStr">
        <is>
          <t>IA-ST-CFG-0194</t>
        </is>
      </c>
      <c r="G1100" s="25" t="n">
        <v>47.696</v>
      </c>
      <c r="H1100" s="25" t="inlineStr">
        <is>
          <t>988-pack GENERATED</t>
        </is>
      </c>
    </row>
    <row r="1101">
      <c r="A1101" s="25" t="inlineStr">
        <is>
          <t>1013795</t>
        </is>
      </c>
      <c r="B1101" s="25" t="inlineStr">
        <is>
          <t>AKÜ,D31,DK,90AH670A,IGYSMF,Y3000,SHAWKAT</t>
        </is>
      </c>
      <c r="C1101" s="25" t="inlineStr">
        <is>
          <t>1</t>
        </is>
      </c>
      <c r="D1101" s="25" t="inlineStr">
        <is>
          <t>ST-051-STD-02</t>
        </is>
      </c>
      <c r="E1101" s="25" t="inlineStr">
        <is>
          <t>IA-ST-051-STD-02</t>
        </is>
      </c>
      <c r="F1101" s="25" t="inlineStr">
        <is>
          <t>IA-ST-CFG-0123</t>
        </is>
      </c>
      <c r="G1101" s="25" t="n">
        <v>47.0384</v>
      </c>
      <c r="H1101" s="25" t="inlineStr">
        <is>
          <t>988-pack GENERATED</t>
        </is>
      </c>
    </row>
    <row r="1102">
      <c r="A1102" s="25" t="inlineStr">
        <is>
          <t>1013803</t>
        </is>
      </c>
      <c r="B1102" s="25" t="inlineStr">
        <is>
          <t>AKÜ,L2,DK,60AH,AGM,EDIX BLUE,CANARIBAT</t>
        </is>
      </c>
      <c r="C1102" s="25" t="inlineStr">
        <is>
          <t>1</t>
        </is>
      </c>
      <c r="D1102" s="25" t="inlineStr">
        <is>
          <t>ST-076-EUR-03</t>
        </is>
      </c>
      <c r="E1102" s="25" t="inlineStr">
        <is>
          <t>IA-ST-076-EUR-03</t>
        </is>
      </c>
      <c r="F1102" s="25" t="inlineStr">
        <is>
          <t>IA-ST-CFG-0240</t>
        </is>
      </c>
      <c r="G1102" s="25" t="n">
        <v>30.7272</v>
      </c>
      <c r="H1102" s="25" t="inlineStr">
        <is>
          <t>988-pack GENERATED</t>
        </is>
      </c>
    </row>
    <row r="1103">
      <c r="A1103" s="25" t="inlineStr">
        <is>
          <t>1013818</t>
        </is>
      </c>
      <c r="B1103" s="25" t="inlineStr">
        <is>
          <t>AKÜ,L0,DK,40AH,DINNEWPROFIL,İNCİ SUPRA</t>
        </is>
      </c>
      <c r="C1103" s="25" t="inlineStr">
        <is>
          <t>1</t>
        </is>
      </c>
      <c r="D1103" s="25" t="inlineStr">
        <is>
          <t>ST-090-STD-01</t>
        </is>
      </c>
      <c r="E1103" s="25" t="inlineStr">
        <is>
          <t>IA-ST-090-STD-01</t>
        </is>
      </c>
      <c r="F1103" s="25" t="inlineStr">
        <is>
          <t>IA-ST-CFG-0262</t>
        </is>
      </c>
      <c r="G1103" s="25" t="n">
        <v>30.0852</v>
      </c>
      <c r="H1103" s="25" t="inlineStr">
        <is>
          <t>988-pack GENERATED</t>
        </is>
      </c>
    </row>
    <row r="1104">
      <c r="A1104" s="25" t="inlineStr">
        <is>
          <t>1013834</t>
        </is>
      </c>
      <c r="B1104" s="25" t="inlineStr">
        <is>
          <t>AKÜ,LB4,DK,80AH,IGYA,NONAME,EFBS&amp;S,PARTS</t>
        </is>
      </c>
      <c r="C1104" s="25" t="inlineStr">
        <is>
          <t>1</t>
        </is>
      </c>
      <c r="D1104" s="25" t="inlineStr">
        <is>
          <t>ST-056-EUR-04</t>
        </is>
      </c>
      <c r="E1104" s="25" t="inlineStr">
        <is>
          <t>IA-ST-056-EUR-04</t>
        </is>
      </c>
      <c r="F1104" s="25" t="inlineStr">
        <is>
          <t>IA-ST-CFG-0153</t>
        </is>
      </c>
      <c r="G1104" s="25" t="n">
        <v>27.8392</v>
      </c>
      <c r="H1104" s="25" t="inlineStr">
        <is>
          <t>988-pack GENERATED</t>
        </is>
      </c>
    </row>
    <row r="1105">
      <c r="A1105" s="25" t="inlineStr">
        <is>
          <t>1013838</t>
        </is>
      </c>
      <c r="B1105" s="25" t="inlineStr">
        <is>
          <t>AKÜ,L2,TK,65AH,IGYASMF,EAS EXTRA,YD,EURO</t>
        </is>
      </c>
      <c r="C1105" s="25" t="inlineStr">
        <is>
          <t>1</t>
        </is>
      </c>
      <c r="D1105" s="25" t="inlineStr">
        <is>
          <t>ST-076-EUR-03</t>
        </is>
      </c>
      <c r="E1105" s="25" t="inlineStr">
        <is>
          <t>IA-ST-076-EUR-03</t>
        </is>
      </c>
      <c r="F1105" s="25" t="inlineStr">
        <is>
          <t>IA-ST-CFG-0240</t>
        </is>
      </c>
      <c r="G1105" s="25" t="n">
        <v>30.7272</v>
      </c>
      <c r="H1105" s="25" t="inlineStr">
        <is>
          <t>988-pack GENERATED</t>
        </is>
      </c>
    </row>
    <row r="1106">
      <c r="A1106" s="25" t="inlineStr">
        <is>
          <t>1013840</t>
        </is>
      </c>
      <c r="B1106" s="25" t="inlineStr">
        <is>
          <t>AKÜ,D31,TK,100AH,IGYSMF,EASEXTRA,YD,EURO</t>
        </is>
      </c>
      <c r="C1106" s="25" t="inlineStr">
        <is>
          <t>1</t>
        </is>
      </c>
      <c r="D1106" s="25" t="inlineStr">
        <is>
          <t>ST-048-EUR-09</t>
        </is>
      </c>
      <c r="E1106" s="25" t="inlineStr">
        <is>
          <t>IA-ST-048-EUR-09</t>
        </is>
      </c>
      <c r="F1106" s="25" t="inlineStr">
        <is>
          <t>IA-ST-CFG-0115</t>
        </is>
      </c>
      <c r="G1106" s="25" t="n">
        <v>32.8524</v>
      </c>
      <c r="H1106" s="25" t="inlineStr">
        <is>
          <t>988-pack GENERATED</t>
        </is>
      </c>
    </row>
    <row r="1107">
      <c r="A1107" s="25" t="inlineStr">
        <is>
          <t>1013844</t>
        </is>
      </c>
      <c r="B1107" s="25" t="inlineStr">
        <is>
          <t>AKÜ,B-IGYASMF,DK,152AH,İNCİFORM,SHAWKAT</t>
        </is>
      </c>
      <c r="C1107" s="25" t="inlineStr">
        <is>
          <t>1</t>
        </is>
      </c>
      <c r="D1107" s="25" t="inlineStr">
        <is>
          <t>ST-030-STD-06</t>
        </is>
      </c>
      <c r="E1107" s="25" t="inlineStr">
        <is>
          <t>IA-ST-030-STD-06</t>
        </is>
      </c>
      <c r="F1107" s="25" t="inlineStr">
        <is>
          <t>IA-ST-CFG-0052</t>
        </is>
      </c>
      <c r="G1107" s="25" t="n">
        <v>32.3892</v>
      </c>
      <c r="H1107" s="25" t="inlineStr">
        <is>
          <t>988-pack GENERATED</t>
        </is>
      </c>
    </row>
    <row r="1108">
      <c r="A1108" s="25" t="inlineStr">
        <is>
          <t>1013847</t>
        </is>
      </c>
      <c r="B1108" s="25" t="inlineStr">
        <is>
          <t>AKÜ,L4,DK,80AH,BLIZZARO AGM S&amp;S,YD,EURO</t>
        </is>
      </c>
      <c r="C1108" s="25" t="inlineStr">
        <is>
          <t>1</t>
        </is>
      </c>
      <c r="D1108" s="25" t="inlineStr">
        <is>
          <t>ST-056-EUR-03</t>
        </is>
      </c>
      <c r="E1108" s="25" t="inlineStr">
        <is>
          <t>IA-ST-056-EUR-03</t>
        </is>
      </c>
      <c r="F1108" s="25" t="inlineStr">
        <is>
          <t>IA-ST-CFG-0152</t>
        </is>
      </c>
      <c r="G1108" s="25" t="n">
        <v>29.7432</v>
      </c>
      <c r="H1108" s="25" t="inlineStr">
        <is>
          <t>988-pack GENERATED</t>
        </is>
      </c>
    </row>
    <row r="1109">
      <c r="A1109" s="25" t="inlineStr">
        <is>
          <t>1013851</t>
        </is>
      </c>
      <c r="B1109" s="25" t="inlineStr">
        <is>
          <t>AKÜ,D31,DK,90AH,IGYASMF,BLIZZSILVER,EURO</t>
        </is>
      </c>
      <c r="C1109" s="25" t="inlineStr">
        <is>
          <t>1</t>
        </is>
      </c>
      <c r="D1109" s="25" t="inlineStr">
        <is>
          <t>ST-048-EUR-09</t>
        </is>
      </c>
      <c r="E1109" s="25" t="inlineStr">
        <is>
          <t>IA-ST-048-EUR-09</t>
        </is>
      </c>
      <c r="F1109" s="25" t="inlineStr">
        <is>
          <t>IA-ST-CFG-0115</t>
        </is>
      </c>
      <c r="G1109" s="25" t="n">
        <v>32.8524</v>
      </c>
      <c r="H1109" s="25" t="inlineStr">
        <is>
          <t>988-pack GENERATED</t>
        </is>
      </c>
    </row>
    <row r="1110">
      <c r="A1110" s="25" t="inlineStr">
        <is>
          <t>1013852</t>
        </is>
      </c>
      <c r="B1110" s="25" t="inlineStr">
        <is>
          <t>AKÜ,D31,TK,90AH,IGYASMF,BLIZZSILVER,EURO</t>
        </is>
      </c>
      <c r="C1110" s="25" t="inlineStr">
        <is>
          <t>1</t>
        </is>
      </c>
      <c r="D1110" s="25" t="inlineStr">
        <is>
          <t>ST-048-EUR-09</t>
        </is>
      </c>
      <c r="E1110" s="25" t="inlineStr">
        <is>
          <t>IA-ST-048-EUR-09</t>
        </is>
      </c>
      <c r="F1110" s="25" t="inlineStr">
        <is>
          <t>IA-ST-CFG-0115</t>
        </is>
      </c>
      <c r="G1110" s="25" t="n">
        <v>32.8524</v>
      </c>
      <c r="H1110" s="25" t="inlineStr">
        <is>
          <t>988-pack GENERATED</t>
        </is>
      </c>
    </row>
    <row r="1111">
      <c r="A1111" s="25" t="inlineStr">
        <is>
          <t>1013854</t>
        </is>
      </c>
      <c r="B1111" s="25" t="inlineStr">
        <is>
          <t>AKÜ,B-FLAT,DK,180AH,BLIZZ.TRENDLINE,EURO</t>
        </is>
      </c>
      <c r="C1111" s="25" t="inlineStr">
        <is>
          <t>1</t>
        </is>
      </c>
      <c r="D1111" s="25" t="inlineStr">
        <is>
          <t>ST-021-EUR-03</t>
        </is>
      </c>
      <c r="E1111" s="25" t="inlineStr">
        <is>
          <t>IA-ST-021-EUR-03</t>
        </is>
      </c>
      <c r="F1111" s="25" t="inlineStr">
        <is>
          <t>IA-ST-CFG-0029</t>
        </is>
      </c>
      <c r="G1111" s="25" t="n">
        <v>30.7682</v>
      </c>
      <c r="H1111" s="25" t="inlineStr">
        <is>
          <t>988-pack GENERATED</t>
        </is>
      </c>
    </row>
    <row r="1112">
      <c r="A1112" s="25" t="inlineStr">
        <is>
          <t>1013857</t>
        </is>
      </c>
      <c r="B1112" s="25" t="inlineStr">
        <is>
          <t>AKÜ,A-FLAT,TK,120AH,NO NAME,PARTS</t>
        </is>
      </c>
      <c r="C1112" s="25" t="inlineStr">
        <is>
          <t>1</t>
        </is>
      </c>
      <c r="D1112" s="25" t="inlineStr">
        <is>
          <t>ST-024-EUR-03</t>
        </is>
      </c>
      <c r="E1112" s="25" t="inlineStr">
        <is>
          <t>IA-ST-024-EUR-03</t>
        </is>
      </c>
      <c r="F1112" s="25" t="inlineStr">
        <is>
          <t>IA-ST-CFG-0038</t>
        </is>
      </c>
      <c r="G1112" s="25" t="n">
        <v>29.63</v>
      </c>
      <c r="H1112" s="25" t="inlineStr">
        <is>
          <t>988-pack GENERATED</t>
        </is>
      </c>
    </row>
    <row r="1113">
      <c r="A1113" s="25" t="inlineStr">
        <is>
          <t>1013860</t>
        </is>
      </c>
      <c r="B1113" s="25" t="inlineStr">
        <is>
          <t>AKÜ,NS60,TK,45AH,IGYASMF,BLIZZ.SILV,EURO</t>
        </is>
      </c>
      <c r="C1113" s="25" t="inlineStr">
        <is>
          <t>1</t>
        </is>
      </c>
      <c r="D1113" s="25" t="inlineStr">
        <is>
          <t>ST-072-EUR-05</t>
        </is>
      </c>
      <c r="E1113" s="25" t="inlineStr">
        <is>
          <t>IA-ST-072-EUR-05</t>
        </is>
      </c>
      <c r="F1113" s="25" t="inlineStr">
        <is>
          <t>IA-ST-CFG-0235</t>
        </is>
      </c>
      <c r="G1113" s="25" t="n">
        <v>33.2594</v>
      </c>
      <c r="H1113" s="25" t="inlineStr">
        <is>
          <t>988-pack GENERATED</t>
        </is>
      </c>
    </row>
    <row r="1114">
      <c r="A1114" s="25" t="inlineStr">
        <is>
          <t>1013861</t>
        </is>
      </c>
      <c r="B1114" s="25" t="inlineStr">
        <is>
          <t>AKÜ,D26,TK,72AH,IGYASMF,BLIZZ.,SILV,EURO</t>
        </is>
      </c>
      <c r="C1114" s="25" t="inlineStr">
        <is>
          <t>1</t>
        </is>
      </c>
      <c r="D1114" s="25" t="inlineStr">
        <is>
          <t>ST-048-EUR-02</t>
        </is>
      </c>
      <c r="E1114" s="25" t="inlineStr">
        <is>
          <t>IA-ST-048-EUR-02</t>
        </is>
      </c>
      <c r="F1114" s="25" t="inlineStr">
        <is>
          <t>IA-ST-CFG-0107</t>
        </is>
      </c>
      <c r="G1114" s="25" t="n">
        <v>32.3872</v>
      </c>
      <c r="H1114" s="25" t="inlineStr">
        <is>
          <t>988-pack GENERATED</t>
        </is>
      </c>
    </row>
    <row r="1115">
      <c r="A1115" s="25" t="inlineStr">
        <is>
          <t>1013863</t>
        </is>
      </c>
      <c r="B1115" s="25" t="inlineStr">
        <is>
          <t>AKÜ,L5,DK,100AH,IGYA SMF,ENERGYMAX,EURO</t>
        </is>
      </c>
      <c r="C1115" s="25" t="inlineStr">
        <is>
          <t>1</t>
        </is>
      </c>
      <c r="D1115" s="25" t="inlineStr">
        <is>
          <t>ST-048-EUR-10</t>
        </is>
      </c>
      <c r="E1115" s="25" t="inlineStr">
        <is>
          <t>IA-ST-048-EUR-10</t>
        </is>
      </c>
      <c r="F1115" s="25" t="inlineStr">
        <is>
          <t>IA-ST-CFG-0116</t>
        </is>
      </c>
      <c r="G1115" s="25" t="n">
        <v>29.7592</v>
      </c>
      <c r="H1115" s="25" t="inlineStr">
        <is>
          <t>988-pack GENERATED</t>
        </is>
      </c>
    </row>
    <row r="1116">
      <c r="A1116" s="25" t="inlineStr">
        <is>
          <t>1013865</t>
        </is>
      </c>
      <c r="B1116" s="25" t="inlineStr">
        <is>
          <t>AKÜ,L5,DK,105AH,IGYA SMF,HUGEL ULTRA</t>
        </is>
      </c>
      <c r="C1116" s="25" t="inlineStr">
        <is>
          <t>1</t>
        </is>
      </c>
      <c r="D1116" s="25" t="inlineStr">
        <is>
          <t>ST-045-STD-08</t>
        </is>
      </c>
      <c r="E1116" s="25" t="inlineStr">
        <is>
          <t>IA-ST-045-STD-08</t>
        </is>
      </c>
      <c r="F1116" s="25" t="inlineStr">
        <is>
          <t>IA-ST-CFG-0096</t>
        </is>
      </c>
      <c r="G1116" s="25" t="n">
        <v>29.7192</v>
      </c>
      <c r="H1116" s="25" t="inlineStr">
        <is>
          <t>988-pack GENERATED</t>
        </is>
      </c>
    </row>
    <row r="1117">
      <c r="A1117" s="29" t="inlineStr">
        <is>
          <t>1013869</t>
        </is>
      </c>
      <c r="B1117" s="29" t="inlineStr">
        <is>
          <t>AKÜ,L2,DK,60AH,GSY SMF,S&amp;S,MAKO YP,OES</t>
        </is>
      </c>
      <c r="C1117" s="29" t="inlineStr">
        <is>
          <t>1</t>
        </is>
      </c>
      <c r="H1117" s="29" t="inlineStr">
        <is>
          <t>NO MAPPING</t>
        </is>
      </c>
    </row>
    <row r="1118">
      <c r="A1118" s="29" t="inlineStr">
        <is>
          <t>1013870</t>
        </is>
      </c>
      <c r="B1118" s="29" t="inlineStr">
        <is>
          <t>AKÜ,L3,DK,70AH,GSY SMF,S&amp;S,MAKO YP,OES</t>
        </is>
      </c>
      <c r="C1118" s="29" t="inlineStr">
        <is>
          <t>1</t>
        </is>
      </c>
      <c r="H1118" s="29" t="inlineStr">
        <is>
          <t>NO MAPPING</t>
        </is>
      </c>
    </row>
    <row r="1119">
      <c r="A1119" s="25" t="inlineStr">
        <is>
          <t>1013871</t>
        </is>
      </c>
      <c r="B1119" s="25" t="inlineStr">
        <is>
          <t>AKÜ AGM,L2,DK,60AH,İNCİ AGM LEO,EURO,YD</t>
        </is>
      </c>
      <c r="C1119" s="25" t="inlineStr">
        <is>
          <t>1</t>
        </is>
      </c>
      <c r="D1119" s="25" t="inlineStr">
        <is>
          <t>ST-076-EUR-03</t>
        </is>
      </c>
      <c r="E1119" s="25" t="inlineStr">
        <is>
          <t>IA-ST-076-EUR-03</t>
        </is>
      </c>
      <c r="F1119" s="25" t="inlineStr">
        <is>
          <t>IA-ST-CFG-0240</t>
        </is>
      </c>
      <c r="G1119" s="25" t="n">
        <v>30.7272</v>
      </c>
      <c r="H1119" s="25" t="inlineStr">
        <is>
          <t>988-pack GENERATED</t>
        </is>
      </c>
    </row>
    <row r="1120">
      <c r="A1120" s="25" t="inlineStr">
        <is>
          <t>1013872</t>
        </is>
      </c>
      <c r="B1120" s="25" t="inlineStr">
        <is>
          <t>AKÜ AGM,L6,DK,105AH,İNCİ AGM LEO,EURO,YD</t>
        </is>
      </c>
      <c r="C1120" s="25" t="inlineStr">
        <is>
          <t>1</t>
        </is>
      </c>
      <c r="D1120" s="25" t="inlineStr">
        <is>
          <t>ST-036-EUR-06</t>
        </is>
      </c>
      <c r="E1120" s="25" t="inlineStr">
        <is>
          <t>IA-ST-036-EUR-06</t>
        </is>
      </c>
      <c r="F1120" s="25" t="inlineStr">
        <is>
          <t>IA-ST-CFG-0071</t>
        </is>
      </c>
      <c r="G1120" s="25" t="n">
        <v>29.0792</v>
      </c>
      <c r="H1120" s="25" t="inlineStr">
        <is>
          <t>988-pack GENERATED</t>
        </is>
      </c>
    </row>
    <row r="1121">
      <c r="A1121" s="25" t="inlineStr">
        <is>
          <t>1013873</t>
        </is>
      </c>
      <c r="B1121" s="25" t="inlineStr">
        <is>
          <t>AKÜ,NS60,DK,45AH,IGYSMF,BLIZ.SILVRL,EURO</t>
        </is>
      </c>
      <c r="C1121" s="25" t="inlineStr">
        <is>
          <t>1</t>
        </is>
      </c>
      <c r="D1121" s="25" t="inlineStr">
        <is>
          <t>ST-072-EUR-05</t>
        </is>
      </c>
      <c r="E1121" s="25" t="inlineStr">
        <is>
          <t>IA-ST-072-EUR-05</t>
        </is>
      </c>
      <c r="F1121" s="25" t="inlineStr">
        <is>
          <t>IA-ST-CFG-0235</t>
        </is>
      </c>
      <c r="G1121" s="25" t="n">
        <v>33.2594</v>
      </c>
      <c r="H1121" s="25" t="inlineStr">
        <is>
          <t>988-pack GENERATED</t>
        </is>
      </c>
    </row>
    <row r="1122">
      <c r="A1122" s="25" t="inlineStr">
        <is>
          <t>1013888</t>
        </is>
      </c>
      <c r="B1122" s="25" t="inlineStr">
        <is>
          <t>AKÜ,D26,DK,75AH,IGYSMF,SILVERTÜRKMENİSTN</t>
        </is>
      </c>
      <c r="C1122" s="25" t="inlineStr">
        <is>
          <t>1</t>
        </is>
      </c>
      <c r="D1122" s="25" t="inlineStr">
        <is>
          <t>ST-063-STD-04</t>
        </is>
      </c>
      <c r="E1122" s="25" t="inlineStr">
        <is>
          <t>IA-ST-063-STD-04</t>
        </is>
      </c>
      <c r="F1122" s="25" t="inlineStr">
        <is>
          <t>IA-ST-CFG-0175</t>
        </is>
      </c>
      <c r="G1122" s="25" t="n">
        <v>34.1512</v>
      </c>
      <c r="H1122" s="25" t="inlineStr">
        <is>
          <t>988-pack GENERATED</t>
        </is>
      </c>
    </row>
    <row r="1123">
      <c r="A1123" s="25" t="inlineStr">
        <is>
          <t>1013896</t>
        </is>
      </c>
      <c r="B1123" s="25" t="inlineStr">
        <is>
          <t>AKÜ,L5,DK,100AH,IGYA SMF,İNCİAKÜ,SUPRA</t>
        </is>
      </c>
      <c r="C1123" s="25" t="inlineStr">
        <is>
          <t>1</t>
        </is>
      </c>
      <c r="D1123" s="25" t="inlineStr">
        <is>
          <t>ST-045-STD-08</t>
        </is>
      </c>
      <c r="E1123" s="25" t="inlineStr">
        <is>
          <t>IA-ST-045-STD-08</t>
        </is>
      </c>
      <c r="F1123" s="25" t="inlineStr">
        <is>
          <t>IA-ST-CFG-0096</t>
        </is>
      </c>
      <c r="G1123" s="25" t="n">
        <v>29.7192</v>
      </c>
      <c r="H1123" s="25" t="inlineStr">
        <is>
          <t>988-pack GENERATED</t>
        </is>
      </c>
    </row>
    <row r="1124">
      <c r="A1124" s="25" t="inlineStr">
        <is>
          <t>1013897</t>
        </is>
      </c>
      <c r="B1124" s="25" t="inlineStr">
        <is>
          <t>AKÜ AGM,L2,DK,60AH,İNCİ AGM LEO,SHRİNKLİ</t>
        </is>
      </c>
      <c r="C1124" s="25" t="inlineStr">
        <is>
          <t>1</t>
        </is>
      </c>
      <c r="D1124" s="25" t="inlineStr">
        <is>
          <t>ST-072-STD-13</t>
        </is>
      </c>
      <c r="E1124" s="25" t="inlineStr">
        <is>
          <t>IA-ST-072-STD-13</t>
        </is>
      </c>
      <c r="F1124" s="25" t="inlineStr">
        <is>
          <t>IA-ST-CFG-0222</t>
        </is>
      </c>
      <c r="G1124" s="25" t="n">
        <v>30.6552</v>
      </c>
      <c r="H1124" s="25" t="inlineStr">
        <is>
          <t>988-pack GENERATED</t>
        </is>
      </c>
    </row>
    <row r="1125">
      <c r="A1125" s="25" t="inlineStr">
        <is>
          <t>1013898</t>
        </is>
      </c>
      <c r="B1125" s="25" t="inlineStr">
        <is>
          <t>AKÜ AGM,L4,DK,80AH,İNCİ AGM LEO,SHRİNKLİ</t>
        </is>
      </c>
      <c r="C1125" s="25" t="inlineStr">
        <is>
          <t>1</t>
        </is>
      </c>
      <c r="D1125" s="25" t="inlineStr">
        <is>
          <t>ST-054-STD-06</t>
        </is>
      </c>
      <c r="E1125" s="25" t="inlineStr">
        <is>
          <t>IA-ST-054-STD-06</t>
        </is>
      </c>
      <c r="F1125" s="25" t="inlineStr">
        <is>
          <t>IA-ST-CFG-0142</t>
        </is>
      </c>
      <c r="G1125" s="25" t="n">
        <v>29.7552</v>
      </c>
      <c r="H1125" s="25" t="inlineStr">
        <is>
          <t>988-pack GENERATED</t>
        </is>
      </c>
    </row>
    <row r="1126">
      <c r="A1126" s="25" t="inlineStr">
        <is>
          <t>1013899</t>
        </is>
      </c>
      <c r="B1126" s="25" t="inlineStr">
        <is>
          <t>AKÜ AGM,L2,DK,60AH,BLIZZARO AGM S&amp;S</t>
        </is>
      </c>
      <c r="C1126" s="25" t="inlineStr">
        <is>
          <t>1</t>
        </is>
      </c>
      <c r="D1126" s="25" t="inlineStr">
        <is>
          <t>ST-072-STD-13</t>
        </is>
      </c>
      <c r="E1126" s="25" t="inlineStr">
        <is>
          <t>IA-ST-072-STD-13</t>
        </is>
      </c>
      <c r="F1126" s="25" t="inlineStr">
        <is>
          <t>IA-ST-CFG-0222</t>
        </is>
      </c>
      <c r="G1126" s="25" t="n">
        <v>30.6552</v>
      </c>
      <c r="H1126" s="25" t="inlineStr">
        <is>
          <t>988-pack GENERATED</t>
        </is>
      </c>
    </row>
    <row r="1127">
      <c r="A1127" s="25" t="inlineStr">
        <is>
          <t>1013901</t>
        </is>
      </c>
      <c r="B1127" s="25" t="inlineStr">
        <is>
          <t>AKÜ,D23,DK,65AH,IGYSMF,BLIZZARO EFB S&amp;S</t>
        </is>
      </c>
      <c r="C1127" s="25" t="inlineStr">
        <is>
          <t>1</t>
        </is>
      </c>
      <c r="D1127" s="25" t="inlineStr">
        <is>
          <t>ST-072-STD-10</t>
        </is>
      </c>
      <c r="E1127" s="25" t="inlineStr">
        <is>
          <t>IA-ST-072-STD-10</t>
        </is>
      </c>
      <c r="F1127" s="25" t="inlineStr">
        <is>
          <t>IA-ST-CFG-0219</t>
        </is>
      </c>
      <c r="G1127" s="25" t="n">
        <v>34.33224</v>
      </c>
      <c r="H1127" s="25" t="inlineStr">
        <is>
          <t>988-pack GENERATED</t>
        </is>
      </c>
    </row>
    <row r="1128">
      <c r="A1128" s="25" t="inlineStr">
        <is>
          <t>1013902</t>
        </is>
      </c>
      <c r="B1128" s="25" t="inlineStr">
        <is>
          <t>AKÜ,D26,DK,72AH,IGYSMF,BLIZZARO EFB S&amp;S</t>
        </is>
      </c>
      <c r="C1128" s="25" t="inlineStr">
        <is>
          <t>1</t>
        </is>
      </c>
      <c r="D1128" s="25" t="inlineStr">
        <is>
          <t>ST-063-STD-04</t>
        </is>
      </c>
      <c r="E1128" s="25" t="inlineStr">
        <is>
          <t>IA-ST-063-STD-04</t>
        </is>
      </c>
      <c r="F1128" s="25" t="inlineStr">
        <is>
          <t>IA-ST-CFG-0175</t>
        </is>
      </c>
      <c r="G1128" s="25" t="n">
        <v>34.1512</v>
      </c>
      <c r="H1128" s="25" t="inlineStr">
        <is>
          <t>988-pack GENERATED</t>
        </is>
      </c>
    </row>
    <row r="1129">
      <c r="A1129" s="25" t="inlineStr">
        <is>
          <t>1013903</t>
        </is>
      </c>
      <c r="B1129" s="25" t="inlineStr">
        <is>
          <t>AKÜ,L5,DK,100AH,IGYSMF,BLIZZARO TRENDLN</t>
        </is>
      </c>
      <c r="C1129" s="25" t="inlineStr">
        <is>
          <t>1</t>
        </is>
      </c>
      <c r="D1129" s="25" t="inlineStr">
        <is>
          <t>ST-045-STD-08</t>
        </is>
      </c>
      <c r="E1129" s="25" t="inlineStr">
        <is>
          <t>IA-ST-045-STD-08</t>
        </is>
      </c>
      <c r="F1129" s="25" t="inlineStr">
        <is>
          <t>IA-ST-CFG-0096</t>
        </is>
      </c>
      <c r="G1129" s="25" t="n">
        <v>29.7192</v>
      </c>
      <c r="H1129" s="25" t="inlineStr">
        <is>
          <t>988-pack GENERATED</t>
        </is>
      </c>
    </row>
    <row r="1130">
      <c r="A1130" s="25" t="inlineStr">
        <is>
          <t>1013906</t>
        </is>
      </c>
      <c r="B1130" s="25" t="inlineStr">
        <is>
          <t>AKÜ,TRACTOR,DK,130AH,B0,İNCİSUPRA,HATTAT</t>
        </is>
      </c>
      <c r="C1130" s="25" t="inlineStr">
        <is>
          <t>1</t>
        </is>
      </c>
      <c r="D1130" s="25" t="inlineStr">
        <is>
          <t>ST-045-STD-05</t>
        </is>
      </c>
      <c r="E1130" s="25" t="inlineStr">
        <is>
          <t>IA-ST-045-STD-05</t>
        </is>
      </c>
      <c r="F1130" s="25" t="inlineStr">
        <is>
          <t>IA-ST-CFG-0093</t>
        </is>
      </c>
      <c r="G1130" s="25" t="n">
        <v>33.3498</v>
      </c>
      <c r="H1130" s="25" t="inlineStr">
        <is>
          <t>988-pack GENERATED</t>
        </is>
      </c>
    </row>
    <row r="1131">
      <c r="A1131" s="25" t="inlineStr">
        <is>
          <t>1013907</t>
        </is>
      </c>
      <c r="B1131" s="25" t="inlineStr">
        <is>
          <t>AKÜ,L5,DK105AH,IGYA,B01,İNCİTAURS,HATTAT</t>
        </is>
      </c>
      <c r="C1131" s="25" t="inlineStr">
        <is>
          <t>1</t>
        </is>
      </c>
      <c r="D1131" s="25" t="inlineStr">
        <is>
          <t>ST-045-STD-08</t>
        </is>
      </c>
      <c r="E1131" s="25" t="inlineStr">
        <is>
          <t>IA-ST-045-STD-08</t>
        </is>
      </c>
      <c r="F1131" s="25" t="inlineStr">
        <is>
          <t>IA-ST-CFG-0096</t>
        </is>
      </c>
      <c r="G1131" s="25" t="n">
        <v>29.7192</v>
      </c>
      <c r="H1131" s="25" t="inlineStr">
        <is>
          <t>988-pack GENERATED</t>
        </is>
      </c>
    </row>
    <row r="1132">
      <c r="A1132" s="25" t="inlineStr">
        <is>
          <t>1013914</t>
        </is>
      </c>
      <c r="B1132" s="25" t="inlineStr">
        <is>
          <t>AKÜ,L6,DK,110AH,KAMINA,NO NAME,PARTS</t>
        </is>
      </c>
      <c r="C1132" s="25" t="inlineStr">
        <is>
          <t>1</t>
        </is>
      </c>
      <c r="D1132" s="25" t="inlineStr">
        <is>
          <t>ST-036-EUR-07</t>
        </is>
      </c>
      <c r="E1132" s="25" t="inlineStr">
        <is>
          <t>IA-ST-036-EUR-07</t>
        </is>
      </c>
      <c r="F1132" s="25" t="inlineStr">
        <is>
          <t>IA-ST-CFG-0072</t>
        </is>
      </c>
      <c r="G1132" s="25" t="n">
        <v>27.6392</v>
      </c>
      <c r="H1132" s="25" t="inlineStr">
        <is>
          <t>988-pack GENERATED</t>
        </is>
      </c>
    </row>
    <row r="1133">
      <c r="A1133" s="25" t="inlineStr">
        <is>
          <t>1013920</t>
        </is>
      </c>
      <c r="B1133" s="25" t="inlineStr">
        <is>
          <t>AKÜ,L4,DK,90AH,IGYA SMF,NO NAME,SKG</t>
        </is>
      </c>
      <c r="C1133" s="25" t="inlineStr">
        <is>
          <t>1</t>
        </is>
      </c>
      <c r="D1133" s="25" t="inlineStr">
        <is>
          <t>ST-056-EUR-02</t>
        </is>
      </c>
      <c r="E1133" s="25" t="inlineStr">
        <is>
          <t>IA-ST-056-EUR-02</t>
        </is>
      </c>
      <c r="F1133" s="25" t="inlineStr">
        <is>
          <t>IA-ST-CFG-0151</t>
        </is>
      </c>
      <c r="G1133" s="25" t="n">
        <v>28.126</v>
      </c>
      <c r="H1133" s="25" t="inlineStr">
        <is>
          <t>988-pack GENERATED</t>
        </is>
      </c>
    </row>
    <row r="1134">
      <c r="A1134" s="25" t="inlineStr">
        <is>
          <t>1013921</t>
        </is>
      </c>
      <c r="B1134" s="25" t="inlineStr">
        <is>
          <t>AKÜ,L2,DK,60AH,IGYSMF,İNCİTAURUS,TÜRKMEN</t>
        </is>
      </c>
      <c r="C1134" s="25" t="inlineStr">
        <is>
          <t>1</t>
        </is>
      </c>
      <c r="D1134" s="25" t="inlineStr">
        <is>
          <t>ST-072-STD-13</t>
        </is>
      </c>
      <c r="E1134" s="25" t="inlineStr">
        <is>
          <t>IA-ST-072-STD-13</t>
        </is>
      </c>
      <c r="F1134" s="25" t="inlineStr">
        <is>
          <t>IA-ST-CFG-0222</t>
        </is>
      </c>
      <c r="G1134" s="25" t="n">
        <v>30.6552</v>
      </c>
      <c r="H1134" s="25" t="inlineStr">
        <is>
          <t>988-pack GENERATED</t>
        </is>
      </c>
    </row>
    <row r="1135">
      <c r="A1135" s="25" t="inlineStr">
        <is>
          <t>1013922</t>
        </is>
      </c>
      <c r="B1135" s="25" t="inlineStr">
        <is>
          <t>AKÜ,L3,DK,75AH,IGYASMF,İNCİEFBMAXSHAWKAT</t>
        </is>
      </c>
      <c r="C1135" s="25" t="inlineStr">
        <is>
          <t>1</t>
        </is>
      </c>
      <c r="D1135" s="25" t="inlineStr">
        <is>
          <t>ST-063-STD-08</t>
        </is>
      </c>
      <c r="E1135" s="25" t="inlineStr">
        <is>
          <t>IA-ST-063-STD-08</t>
        </is>
      </c>
      <c r="F1135" s="25" t="inlineStr">
        <is>
          <t>IA-ST-CFG-0179</t>
        </is>
      </c>
      <c r="G1135" s="25" t="n">
        <v>29.9992</v>
      </c>
      <c r="H1135" s="25" t="inlineStr">
        <is>
          <t>988-pack GENERATED</t>
        </is>
      </c>
    </row>
    <row r="1136">
      <c r="A1136" s="25" t="inlineStr">
        <is>
          <t>1013923</t>
        </is>
      </c>
      <c r="B1136" s="25" t="inlineStr">
        <is>
          <t>AKÜ,L4,DK,80AH,IGYA,İNCİEFBPANTR,SHAWKAT</t>
        </is>
      </c>
      <c r="C1136" s="25" t="inlineStr">
        <is>
          <t>1</t>
        </is>
      </c>
      <c r="D1136" s="25" t="inlineStr">
        <is>
          <t>ST-054-STD-06</t>
        </is>
      </c>
      <c r="E1136" s="25" t="inlineStr">
        <is>
          <t>IA-ST-054-STD-06</t>
        </is>
      </c>
      <c r="F1136" s="25" t="inlineStr">
        <is>
          <t>IA-ST-CFG-0142</t>
        </is>
      </c>
      <c r="G1136" s="25" t="n">
        <v>29.7552</v>
      </c>
      <c r="H1136" s="25" t="inlineStr">
        <is>
          <t>988-pack GENERATED</t>
        </is>
      </c>
    </row>
    <row r="1137">
      <c r="A1137" s="25" t="inlineStr">
        <is>
          <t>1013924</t>
        </is>
      </c>
      <c r="B1137" s="25" t="inlineStr">
        <is>
          <t>AKÜ,L5,DK,90AH,IGYA,İNCİEFBPANTR,SHAWKAT</t>
        </is>
      </c>
      <c r="C1137" s="25" t="inlineStr">
        <is>
          <t>1</t>
        </is>
      </c>
      <c r="D1137" s="25" t="inlineStr">
        <is>
          <t>ST-045-STD-08</t>
        </is>
      </c>
      <c r="E1137" s="25" t="inlineStr">
        <is>
          <t>IA-ST-045-STD-08</t>
        </is>
      </c>
      <c r="F1137" s="25" t="inlineStr">
        <is>
          <t>IA-ST-CFG-0096</t>
        </is>
      </c>
      <c r="G1137" s="25" t="n">
        <v>29.7192</v>
      </c>
      <c r="H1137" s="25" t="inlineStr">
        <is>
          <t>988-pack GENERATED</t>
        </is>
      </c>
    </row>
    <row r="1138">
      <c r="A1138" s="25" t="inlineStr">
        <is>
          <t>1013926</t>
        </is>
      </c>
      <c r="B1138" s="25" t="inlineStr">
        <is>
          <t>AKÜ,L0,DK40AH,DINNEW,GRİSYH,STRONG,SCHNP</t>
        </is>
      </c>
      <c r="C1138" s="25" t="inlineStr">
        <is>
          <t>1</t>
        </is>
      </c>
      <c r="D1138" s="25" t="inlineStr">
        <is>
          <t>ST-090-STD-02</t>
        </is>
      </c>
      <c r="E1138" s="25" t="inlineStr">
        <is>
          <t>IA-ST-090-STD-02</t>
        </is>
      </c>
      <c r="F1138" s="25" t="inlineStr">
        <is>
          <t>IA-ST-CFG-0263</t>
        </is>
      </c>
      <c r="G1138" s="25" t="n">
        <v>28.649</v>
      </c>
      <c r="H1138" s="25" t="inlineStr">
        <is>
          <t>988-pack GENERATED</t>
        </is>
      </c>
    </row>
    <row r="1139">
      <c r="A1139" s="25" t="inlineStr">
        <is>
          <t>1013940</t>
        </is>
      </c>
      <c r="B1139" s="25" t="inlineStr">
        <is>
          <t>AKÜ,L2,TK,65AH,IGYASMF,HUGEL MEGA,DIŞPYS</t>
        </is>
      </c>
      <c r="C1139" s="25" t="inlineStr">
        <is>
          <t>1</t>
        </is>
      </c>
      <c r="D1139" s="25" t="inlineStr">
        <is>
          <t>ST-072-STD-13</t>
        </is>
      </c>
      <c r="E1139" s="25" t="inlineStr">
        <is>
          <t>IA-ST-072-STD-13</t>
        </is>
      </c>
      <c r="F1139" s="25" t="inlineStr">
        <is>
          <t>IA-ST-CFG-0222</t>
        </is>
      </c>
      <c r="G1139" s="25" t="n">
        <v>30.6552</v>
      </c>
      <c r="H1139" s="25" t="inlineStr">
        <is>
          <t>988-pack GENERATED</t>
        </is>
      </c>
    </row>
    <row r="1140">
      <c r="A1140" s="25" t="inlineStr">
        <is>
          <t>1013943</t>
        </is>
      </c>
      <c r="B1140" s="25" t="inlineStr">
        <is>
          <t>AKÜ,L3,DK,80AH,IGYASMF,HUGEL MEGA,DIŞPYS</t>
        </is>
      </c>
      <c r="C1140" s="25" t="inlineStr">
        <is>
          <t>1</t>
        </is>
      </c>
      <c r="D1140" s="25" t="inlineStr">
        <is>
          <t>ST-063-STD-08</t>
        </is>
      </c>
      <c r="E1140" s="25" t="inlineStr">
        <is>
          <t>IA-ST-063-STD-08</t>
        </is>
      </c>
      <c r="F1140" s="25" t="inlineStr">
        <is>
          <t>IA-ST-CFG-0179</t>
        </is>
      </c>
      <c r="G1140" s="25" t="n">
        <v>29.9992</v>
      </c>
      <c r="H1140" s="25" t="inlineStr">
        <is>
          <t>988-pack GENERATED</t>
        </is>
      </c>
    </row>
    <row r="1141">
      <c r="A1141" s="25" t="inlineStr">
        <is>
          <t>1013946</t>
        </is>
      </c>
      <c r="B1141" s="25" t="inlineStr">
        <is>
          <t>AKÜ,LB4,DK,85AH,IGYSMF,HUGEL MEGA,DIŞPYS</t>
        </is>
      </c>
      <c r="C1141" s="25" t="inlineStr">
        <is>
          <t>1</t>
        </is>
      </c>
      <c r="D1141" s="25" t="inlineStr">
        <is>
          <t>ST-072-STD-22</t>
        </is>
      </c>
      <c r="E1141" s="25" t="inlineStr">
        <is>
          <t>IA-ST-072-STD-22</t>
        </is>
      </c>
      <c r="F1141" s="25" t="inlineStr">
        <is>
          <t>IA-ST-CFG-0231</t>
        </is>
      </c>
      <c r="G1141" s="25" t="n">
        <v>30.6372</v>
      </c>
      <c r="H1141" s="25" t="inlineStr">
        <is>
          <t>988-pack GENERATED</t>
        </is>
      </c>
    </row>
    <row r="1142">
      <c r="A1142" s="25" t="inlineStr">
        <is>
          <t>1013948</t>
        </is>
      </c>
      <c r="B1142" s="25" t="inlineStr">
        <is>
          <t>AKÜ,NS60,DK,45AH,IGYSMF,BLIZZARO SILVERL</t>
        </is>
      </c>
      <c r="C1142" s="25" t="inlineStr">
        <is>
          <t>1</t>
        </is>
      </c>
      <c r="D1142" s="25" t="inlineStr">
        <is>
          <t>ST-096-STD-03</t>
        </is>
      </c>
      <c r="E1142" s="25" t="inlineStr">
        <is>
          <t>IA-ST-096-STD-03</t>
        </is>
      </c>
      <c r="F1142" s="25" t="inlineStr">
        <is>
          <t>IA-ST-CFG-0272</t>
        </is>
      </c>
      <c r="G1142" s="25" t="n">
        <v>35.3172</v>
      </c>
      <c r="H1142" s="25" t="inlineStr">
        <is>
          <t>988-pack GENERATED</t>
        </is>
      </c>
    </row>
    <row r="1143">
      <c r="A1143" s="25" t="inlineStr">
        <is>
          <t>1013950</t>
        </is>
      </c>
      <c r="B1143" s="25" t="inlineStr">
        <is>
          <t>AKÜ,B-IGYASMF,DK,180AH,BLIZZAROSILVERLIN</t>
        </is>
      </c>
      <c r="C1143" s="25" t="inlineStr">
        <is>
          <t>1</t>
        </is>
      </c>
      <c r="D1143" s="25" t="inlineStr">
        <is>
          <t>ST-030-STD-06</t>
        </is>
      </c>
      <c r="E1143" s="25" t="inlineStr">
        <is>
          <t>IA-ST-030-STD-06</t>
        </is>
      </c>
      <c r="F1143" s="25" t="inlineStr">
        <is>
          <t>IA-ST-CFG-0052</t>
        </is>
      </c>
      <c r="G1143" s="25" t="n">
        <v>32.3892</v>
      </c>
      <c r="H1143" s="25" t="inlineStr">
        <is>
          <t>988-pack GENERATED</t>
        </is>
      </c>
    </row>
    <row r="1144">
      <c r="A1144" s="25" t="inlineStr">
        <is>
          <t>1013956</t>
        </is>
      </c>
      <c r="B1144" s="25" t="inlineStr">
        <is>
          <t>AKÜ,L3,TK,75AH,IGYA SMF,HUGEL ACTION</t>
        </is>
      </c>
      <c r="C1144" s="25" t="inlineStr">
        <is>
          <t>1</t>
        </is>
      </c>
      <c r="D1144" s="25" t="inlineStr">
        <is>
          <t>ST-063-STD-08</t>
        </is>
      </c>
      <c r="E1144" s="25" t="inlineStr">
        <is>
          <t>IA-ST-063-STD-08</t>
        </is>
      </c>
      <c r="F1144" s="25" t="inlineStr">
        <is>
          <t>IA-ST-CFG-0179</t>
        </is>
      </c>
      <c r="G1144" s="25" t="n">
        <v>29.9992</v>
      </c>
      <c r="H1144" s="25" t="inlineStr">
        <is>
          <t>988-pack GENERATED</t>
        </is>
      </c>
    </row>
    <row r="1145">
      <c r="A1145" s="25" t="inlineStr">
        <is>
          <t>1013964</t>
        </is>
      </c>
      <c r="B1145" s="25" t="inlineStr">
        <is>
          <t>AKÜ,L5,DK100AH,IGYSMF,HUGELULTRA,POLONYA</t>
        </is>
      </c>
      <c r="C1145" s="25" t="inlineStr">
        <is>
          <t>1</t>
        </is>
      </c>
      <c r="D1145" s="25" t="inlineStr">
        <is>
          <t>ST-036-EUR-07</t>
        </is>
      </c>
      <c r="E1145" s="25" t="inlineStr">
        <is>
          <t>IA-ST-036-EUR-07</t>
        </is>
      </c>
      <c r="F1145" s="25" t="inlineStr">
        <is>
          <t>IA-ST-CFG-0072</t>
        </is>
      </c>
      <c r="G1145" s="25" t="n">
        <v>27.6392</v>
      </c>
      <c r="H1145" s="25" t="inlineStr">
        <is>
          <t>988-pack GENERATED</t>
        </is>
      </c>
    </row>
    <row r="1146">
      <c r="A1146" s="25" t="inlineStr">
        <is>
          <t>1013965</t>
        </is>
      </c>
      <c r="B1146" s="25" t="inlineStr">
        <is>
          <t>AKÜ,LB3,DK,72AH,IGYSMF,MAXIMAKOLİ,REDMAY</t>
        </is>
      </c>
      <c r="C1146" s="25" t="inlineStr">
        <is>
          <t>1</t>
        </is>
      </c>
      <c r="D1146" s="25" t="inlineStr">
        <is>
          <t>ST-072-STD-07</t>
        </is>
      </c>
      <c r="E1146" s="25" t="inlineStr">
        <is>
          <t>IA-ST-072-STD-07</t>
        </is>
      </c>
      <c r="F1146" s="25" t="inlineStr">
        <is>
          <t>IA-ST-CFG-0216</t>
        </is>
      </c>
      <c r="G1146" s="25" t="n">
        <v>50.636</v>
      </c>
      <c r="H1146" s="25" t="inlineStr">
        <is>
          <t>988-pack GENERATED</t>
        </is>
      </c>
    </row>
    <row r="1147">
      <c r="A1147" s="25" t="inlineStr">
        <is>
          <t>1013966</t>
        </is>
      </c>
      <c r="B1147" s="25" t="inlineStr">
        <is>
          <t>AKÜ,D31,DK100AH,IGYSMF,MAXIMAKOLİ,REDMAY</t>
        </is>
      </c>
      <c r="C1147" s="25" t="inlineStr">
        <is>
          <t>1</t>
        </is>
      </c>
      <c r="D1147" s="25" t="inlineStr">
        <is>
          <t>ST-051-STD-07</t>
        </is>
      </c>
      <c r="E1147" s="25" t="inlineStr">
        <is>
          <t>IA-ST-051-STD-07</t>
        </is>
      </c>
      <c r="F1147" s="25" t="inlineStr">
        <is>
          <t>IA-ST-CFG-0128</t>
        </is>
      </c>
      <c r="G1147" s="25" t="n">
        <v>47.7284</v>
      </c>
      <c r="H1147" s="25" t="inlineStr">
        <is>
          <t>988-pack GENERATED</t>
        </is>
      </c>
    </row>
    <row r="1148">
      <c r="A1148" s="25" t="inlineStr">
        <is>
          <t>1013968</t>
        </is>
      </c>
      <c r="B1148" s="25" t="inlineStr">
        <is>
          <t>AKÜ,B-IGYASMF,DK170AHB00,İNCİFORM,REDMAY</t>
        </is>
      </c>
      <c r="C1148" s="25" t="inlineStr">
        <is>
          <t>1</t>
        </is>
      </c>
      <c r="D1148" s="25" t="inlineStr">
        <is>
          <t>ST-030-STD-06</t>
        </is>
      </c>
      <c r="E1148" s="25" t="inlineStr">
        <is>
          <t>IA-ST-030-STD-06</t>
        </is>
      </c>
      <c r="F1148" s="25" t="inlineStr">
        <is>
          <t>IA-ST-CFG-0052</t>
        </is>
      </c>
      <c r="G1148" s="25" t="n">
        <v>32.3892</v>
      </c>
      <c r="H1148" s="25" t="inlineStr">
        <is>
          <t>988-pack GENERATED</t>
        </is>
      </c>
    </row>
    <row r="1149">
      <c r="A1149" s="25" t="inlineStr">
        <is>
          <t>1013969</t>
        </is>
      </c>
      <c r="B1149" s="25" t="inlineStr">
        <is>
          <t>AKÜ,B-IGYASMF,DK180AHB03,İNCİFORM,REDMAY</t>
        </is>
      </c>
      <c r="C1149" s="25" t="inlineStr">
        <is>
          <t>1</t>
        </is>
      </c>
      <c r="D1149" s="25" t="inlineStr">
        <is>
          <t>ST-030-STD-06</t>
        </is>
      </c>
      <c r="E1149" s="25" t="inlineStr">
        <is>
          <t>IA-ST-030-STD-06</t>
        </is>
      </c>
      <c r="F1149" s="25" t="inlineStr">
        <is>
          <t>IA-ST-CFG-0052</t>
        </is>
      </c>
      <c r="G1149" s="25" t="n">
        <v>32.3892</v>
      </c>
      <c r="H1149" s="25" t="inlineStr">
        <is>
          <t>988-pack GENERATED</t>
        </is>
      </c>
    </row>
    <row r="1150">
      <c r="A1150" s="25" t="inlineStr">
        <is>
          <t>1013970</t>
        </is>
      </c>
      <c r="B1150" s="25" t="inlineStr">
        <is>
          <t>AKÜ,L3,DK,80AH,IGYASMF,HUGELMEGA,YD,EURO</t>
        </is>
      </c>
      <c r="C1150" s="25" t="inlineStr">
        <is>
          <t>1</t>
        </is>
      </c>
      <c r="D1150" s="25" t="inlineStr">
        <is>
          <t>ST-068-EUR-03</t>
        </is>
      </c>
      <c r="E1150" s="25" t="inlineStr">
        <is>
          <t>IA-ST-068-EUR-03</t>
        </is>
      </c>
      <c r="F1150" s="25" t="inlineStr">
        <is>
          <t>IA-ST-CFG-0200</t>
        </is>
      </c>
      <c r="G1150" s="25" t="n">
        <v>30.0842</v>
      </c>
      <c r="H1150" s="25" t="inlineStr">
        <is>
          <t>988-pack GENERATED</t>
        </is>
      </c>
    </row>
    <row r="1151">
      <c r="A1151" s="25" t="inlineStr">
        <is>
          <t>1013973</t>
        </is>
      </c>
      <c r="B1151" s="25" t="inlineStr">
        <is>
          <t>AKÜ,L1,DK,54AH,IGYSMF,HUGEL MEGA,YD,EURO</t>
        </is>
      </c>
      <c r="C1151" s="25" t="inlineStr">
        <is>
          <t>1</t>
        </is>
      </c>
      <c r="D1151" s="25" t="inlineStr">
        <is>
          <t>ST-096-EUR-03</t>
        </is>
      </c>
      <c r="E1151" s="25" t="inlineStr">
        <is>
          <t>IA-ST-096-EUR-03</t>
        </is>
      </c>
      <c r="F1151" s="25" t="inlineStr">
        <is>
          <t>IA-ST-CFG-0266</t>
        </is>
      </c>
      <c r="G1151" s="25" t="n">
        <v>31.2262</v>
      </c>
      <c r="H1151" s="25" t="inlineStr">
        <is>
          <t>988-pack GENERATED</t>
        </is>
      </c>
    </row>
    <row r="1152">
      <c r="A1152" s="25" t="inlineStr">
        <is>
          <t>1013974</t>
        </is>
      </c>
      <c r="B1152" s="25" t="inlineStr">
        <is>
          <t>AKÜ,L2,DK,65AH,IGYSMF,HUGEL MEGA,YD,EURO</t>
        </is>
      </c>
      <c r="C1152" s="25" t="inlineStr">
        <is>
          <t>1</t>
        </is>
      </c>
      <c r="D1152" s="25" t="inlineStr">
        <is>
          <t>ST-076-EUR-03</t>
        </is>
      </c>
      <c r="E1152" s="25" t="inlineStr">
        <is>
          <t>IA-ST-076-EUR-03</t>
        </is>
      </c>
      <c r="F1152" s="25" t="inlineStr">
        <is>
          <t>IA-ST-CFG-0240</t>
        </is>
      </c>
      <c r="G1152" s="25" t="n">
        <v>30.7272</v>
      </c>
      <c r="H1152" s="25" t="inlineStr">
        <is>
          <t>988-pack GENERATED</t>
        </is>
      </c>
    </row>
    <row r="1153">
      <c r="A1153" s="25" t="inlineStr">
        <is>
          <t>1013978</t>
        </is>
      </c>
      <c r="B1153" s="25" t="inlineStr">
        <is>
          <t>AKÜ,AGM,L5,DK,95AH,AGM S&amp;S 1629R,SCHNAPP</t>
        </is>
      </c>
      <c r="C1153" s="25" t="inlineStr">
        <is>
          <t>1</t>
        </is>
      </c>
      <c r="D1153" s="25" t="inlineStr">
        <is>
          <t>ST-045-STD-12</t>
        </is>
      </c>
      <c r="E1153" s="25" t="inlineStr">
        <is>
          <t>IA-ST-045-STD-12</t>
        </is>
      </c>
      <c r="F1153" s="25" t="inlineStr">
        <is>
          <t>IA-ST-CFG-0100</t>
        </is>
      </c>
      <c r="G1153" s="25" t="n">
        <v>28.417</v>
      </c>
      <c r="H1153" s="25" t="inlineStr">
        <is>
          <t>988-pack GENERATED</t>
        </is>
      </c>
    </row>
    <row r="1154">
      <c r="A1154" s="25" t="inlineStr">
        <is>
          <t>1013979</t>
        </is>
      </c>
      <c r="B1154" s="25" t="inlineStr">
        <is>
          <t>AKÜ,AGM,L3,DK,70AH,AGM S&amp;S 1688,SCHNAPP</t>
        </is>
      </c>
      <c r="C1154" s="25" t="inlineStr">
        <is>
          <t>1</t>
        </is>
      </c>
      <c r="D1154" s="25" t="inlineStr">
        <is>
          <t>ST-063-STD-13</t>
        </is>
      </c>
      <c r="E1154" s="25" t="inlineStr">
        <is>
          <t>IA-ST-063-STD-13</t>
        </is>
      </c>
      <c r="F1154" s="25" t="inlineStr">
        <is>
          <t>IA-ST-CFG-0184</t>
        </is>
      </c>
      <c r="G1154" s="25" t="n">
        <v>28.417</v>
      </c>
      <c r="H1154" s="25" t="inlineStr">
        <is>
          <t>988-pack GENERATED</t>
        </is>
      </c>
    </row>
    <row r="1155">
      <c r="A1155" s="25" t="inlineStr">
        <is>
          <t>1013980</t>
        </is>
      </c>
      <c r="B1155" s="25" t="inlineStr">
        <is>
          <t>AKÜ,AGM,L2,DK,60AH,AGM S&amp;S 1666R,SCHNAPP</t>
        </is>
      </c>
      <c r="C1155" s="25" t="inlineStr">
        <is>
          <t>1</t>
        </is>
      </c>
      <c r="D1155" s="25" t="inlineStr">
        <is>
          <t>ST-072-STD-20</t>
        </is>
      </c>
      <c r="E1155" s="25" t="inlineStr">
        <is>
          <t>IA-ST-072-STD-20</t>
        </is>
      </c>
      <c r="F1155" s="25" t="inlineStr">
        <is>
          <t>IA-ST-CFG-0229</t>
        </is>
      </c>
      <c r="G1155" s="25" t="n">
        <v>28.417</v>
      </c>
      <c r="H1155" s="25" t="inlineStr">
        <is>
          <t>988-pack GENERATED</t>
        </is>
      </c>
    </row>
    <row r="1156">
      <c r="A1156" s="25" t="inlineStr">
        <is>
          <t>1013981</t>
        </is>
      </c>
      <c r="B1156" s="25" t="inlineStr">
        <is>
          <t>AKÜ,AGM,L4,DK,80AH,AGM S&amp;S 1681R,SCHNAPP</t>
        </is>
      </c>
      <c r="C1156" s="25" t="inlineStr">
        <is>
          <t>1</t>
        </is>
      </c>
      <c r="D1156" s="25" t="inlineStr">
        <is>
          <t>ST-054-STD-11</t>
        </is>
      </c>
      <c r="E1156" s="25" t="inlineStr">
        <is>
          <t>IA-ST-054-STD-11</t>
        </is>
      </c>
      <c r="F1156" s="25" t="inlineStr">
        <is>
          <t>IA-ST-CFG-0147</t>
        </is>
      </c>
      <c r="G1156" s="25" t="n">
        <v>28.417</v>
      </c>
      <c r="H1156" s="25" t="inlineStr">
        <is>
          <t>988-pack GENERATED</t>
        </is>
      </c>
    </row>
    <row r="1157">
      <c r="A1157" s="25" t="inlineStr">
        <is>
          <t>1013983</t>
        </is>
      </c>
      <c r="B1157" s="25" t="inlineStr">
        <is>
          <t>AKÜ,LB1,DK,44AH,IGYSMF,BLIZ.SILVERL,EURO</t>
        </is>
      </c>
      <c r="C1157" s="25" t="inlineStr">
        <is>
          <t>1</t>
        </is>
      </c>
      <c r="D1157" s="25" t="inlineStr">
        <is>
          <t>ST-096-EUR-01</t>
        </is>
      </c>
      <c r="E1157" s="25" t="inlineStr">
        <is>
          <t>IA-ST-096-EUR-01</t>
        </is>
      </c>
      <c r="F1157" s="25" t="inlineStr">
        <is>
          <t>IA-ST-CFG-0264</t>
        </is>
      </c>
      <c r="G1157" s="25" t="n">
        <v>30.6532</v>
      </c>
      <c r="H1157" s="25" t="inlineStr">
        <is>
          <t>988-pack GENERATED</t>
        </is>
      </c>
    </row>
    <row r="1158">
      <c r="A1158" s="25" t="inlineStr">
        <is>
          <t>1013984</t>
        </is>
      </c>
      <c r="B1158" s="25" t="inlineStr">
        <is>
          <t>AKÜ,L3,TK,75AH,IGYASMF,BLIZZ.SILVER,EURO</t>
        </is>
      </c>
      <c r="C1158" s="25" t="inlineStr">
        <is>
          <t>1</t>
        </is>
      </c>
      <c r="D1158" s="25" t="inlineStr">
        <is>
          <t>ST-068-EUR-03</t>
        </is>
      </c>
      <c r="E1158" s="25" t="inlineStr">
        <is>
          <t>IA-ST-068-EUR-03</t>
        </is>
      </c>
      <c r="F1158" s="25" t="inlineStr">
        <is>
          <t>IA-ST-CFG-0200</t>
        </is>
      </c>
      <c r="G1158" s="25" t="n">
        <v>30.0842</v>
      </c>
      <c r="H1158" s="25" t="inlineStr">
        <is>
          <t>988-pack GENERATED</t>
        </is>
      </c>
    </row>
    <row r="1159">
      <c r="A1159" s="29" t="inlineStr">
        <is>
          <t>1013986</t>
        </is>
      </c>
      <c r="B1159" s="29" t="inlineStr">
        <is>
          <t>AKÜ,C-IGYA SMF,DK,240AH,MERCEDES/SHD BUS</t>
        </is>
      </c>
      <c r="C1159" s="29" t="inlineStr">
        <is>
          <t>1</t>
        </is>
      </c>
      <c r="H1159" s="29" t="inlineStr">
        <is>
          <t>NO MAPPING</t>
        </is>
      </c>
    </row>
    <row r="1160">
      <c r="A1160" s="25" t="inlineStr">
        <is>
          <t>1013987</t>
        </is>
      </c>
      <c r="B1160" s="25" t="inlineStr">
        <is>
          <t>AKÜ,L2,DK,65AH,IGYASMF,YBX7027-065,GYEUR</t>
        </is>
      </c>
      <c r="C1160" s="25" t="inlineStr">
        <is>
          <t>1</t>
        </is>
      </c>
      <c r="D1160" s="25" t="inlineStr">
        <is>
          <t>ST-057-EUR-03</t>
        </is>
      </c>
      <c r="E1160" s="25" t="inlineStr">
        <is>
          <t>IA-ST-057-EUR-03</t>
        </is>
      </c>
      <c r="F1160" s="25" t="inlineStr">
        <is>
          <t>IA-ST-CFG-0162</t>
        </is>
      </c>
      <c r="G1160" s="25" t="n">
        <v>27.926</v>
      </c>
      <c r="H1160" s="25" t="inlineStr">
        <is>
          <t>988-pack GENERATED</t>
        </is>
      </c>
    </row>
    <row r="1161">
      <c r="A1161" s="25" t="inlineStr">
        <is>
          <t>1013989</t>
        </is>
      </c>
      <c r="B1161" s="25" t="inlineStr">
        <is>
          <t>AKÜ AGM,L2,DK,60AH,EAS AGM S&amp;S,İÇ PYS</t>
        </is>
      </c>
      <c r="C1161" s="25" t="inlineStr">
        <is>
          <t>1</t>
        </is>
      </c>
      <c r="D1161" s="25" t="inlineStr">
        <is>
          <t>ST-066-STD-03</t>
        </is>
      </c>
      <c r="E1161" s="25" t="inlineStr">
        <is>
          <t>IA-ST-066-STD-03</t>
        </is>
      </c>
      <c r="F1161" s="25" t="inlineStr">
        <is>
          <t>IA-ST-CFG-0193</t>
        </is>
      </c>
      <c r="G1161" s="25" t="n">
        <v>45.326</v>
      </c>
      <c r="H1161" s="25" t="inlineStr">
        <is>
          <t>988-pack GENERATED</t>
        </is>
      </c>
    </row>
    <row r="1162">
      <c r="A1162" s="25" t="inlineStr">
        <is>
          <t>1013990</t>
        </is>
      </c>
      <c r="B1162" s="25" t="inlineStr">
        <is>
          <t>AKÜ AGM,L3,DK,70AH,EAS AGM S&amp;S,İÇ PYS</t>
        </is>
      </c>
      <c r="C1162" s="25" t="inlineStr">
        <is>
          <t>1</t>
        </is>
      </c>
      <c r="D1162" s="25" t="inlineStr">
        <is>
          <t>ST-054-STD-03</t>
        </is>
      </c>
      <c r="E1162" s="25" t="inlineStr">
        <is>
          <t>IA-ST-054-STD-03</t>
        </is>
      </c>
      <c r="F1162" s="25" t="inlineStr">
        <is>
          <t>IA-ST-CFG-0139</t>
        </is>
      </c>
      <c r="G1162" s="25" t="n">
        <v>42.986</v>
      </c>
      <c r="H1162" s="25" t="inlineStr">
        <is>
          <t>988-pack GENERATED</t>
        </is>
      </c>
    </row>
    <row r="1163">
      <c r="A1163" s="25" t="inlineStr">
        <is>
          <t>1013991</t>
        </is>
      </c>
      <c r="B1163" s="25" t="inlineStr">
        <is>
          <t>AKÜ AGM,L4,DK,80AH,EAS AGM S&amp;S,İÇ PYS</t>
        </is>
      </c>
      <c r="C1163" s="25" t="inlineStr">
        <is>
          <t>1</t>
        </is>
      </c>
      <c r="D1163" s="25" t="inlineStr">
        <is>
          <t>ST-051-STD-06</t>
        </is>
      </c>
      <c r="E1163" s="25" t="inlineStr">
        <is>
          <t>IA-ST-051-STD-06</t>
        </is>
      </c>
      <c r="F1163" s="25" t="inlineStr">
        <is>
          <t>IA-ST-CFG-0127</t>
        </is>
      </c>
      <c r="G1163" s="25" t="n">
        <v>43.256</v>
      </c>
      <c r="H1163" s="25" t="inlineStr">
        <is>
          <t>988-pack GENERATED</t>
        </is>
      </c>
    </row>
    <row r="1164">
      <c r="A1164" s="25" t="inlineStr">
        <is>
          <t>1013992</t>
        </is>
      </c>
      <c r="B1164" s="25" t="inlineStr">
        <is>
          <t>AKÜ AGM,L5,DK,95AH,EAS AGM S&amp;S,İÇ PYS</t>
        </is>
      </c>
      <c r="C1164" s="25" t="inlineStr">
        <is>
          <t>1</t>
        </is>
      </c>
      <c r="D1164" s="25" t="inlineStr">
        <is>
          <t>ST-045-STD-03</t>
        </is>
      </c>
      <c r="E1164" s="25" t="inlineStr">
        <is>
          <t>IA-ST-045-STD-03</t>
        </is>
      </c>
      <c r="F1164" s="25" t="inlineStr">
        <is>
          <t>IA-ST-CFG-0091</t>
        </is>
      </c>
      <c r="G1164" s="25" t="n">
        <v>44.336</v>
      </c>
      <c r="H1164" s="25" t="inlineStr">
        <is>
          <t>988-pack GENERATED</t>
        </is>
      </c>
    </row>
    <row r="1165">
      <c r="A1165" s="25" t="inlineStr">
        <is>
          <t>1013993</t>
        </is>
      </c>
      <c r="B1165" s="25" t="inlineStr">
        <is>
          <t>AKÜ AGM,L6,DK,105AH,EAS AGM S&amp;S,İÇ PYS</t>
        </is>
      </c>
      <c r="C1165" s="25" t="inlineStr">
        <is>
          <t>1</t>
        </is>
      </c>
      <c r="D1165" s="25" t="inlineStr">
        <is>
          <t>ST-042-STD-02</t>
        </is>
      </c>
      <c r="E1165" s="25" t="inlineStr">
        <is>
          <t>IA-ST-042-STD-02</t>
        </is>
      </c>
      <c r="F1165" s="25" t="inlineStr">
        <is>
          <t>IA-ST-CFG-0076</t>
        </is>
      </c>
      <c r="G1165" s="25" t="n">
        <v>46.286</v>
      </c>
      <c r="H1165" s="25" t="inlineStr">
        <is>
          <t>988-pack GENERATED</t>
        </is>
      </c>
    </row>
    <row r="1166">
      <c r="A1166" s="25" t="inlineStr">
        <is>
          <t>1013994</t>
        </is>
      </c>
      <c r="B1166" s="25" t="inlineStr">
        <is>
          <t>AKÜ,LB3,DK,65AH,IGYASMF,EAS EFBS&amp;S,İÇPYS</t>
        </is>
      </c>
      <c r="C1166" s="25" t="inlineStr">
        <is>
          <t>1</t>
        </is>
      </c>
      <c r="D1166" s="25" t="inlineStr">
        <is>
          <t>ST-063-STD-10</t>
        </is>
      </c>
      <c r="E1166" s="25" t="inlineStr">
        <is>
          <t>IA-ST-063-STD-10</t>
        </is>
      </c>
      <c r="F1166" s="25" t="inlineStr">
        <is>
          <t>IA-ST-CFG-0181</t>
        </is>
      </c>
      <c r="G1166" s="25" t="n">
        <v>29.5824</v>
      </c>
      <c r="H1166" s="25" t="inlineStr">
        <is>
          <t>988-pack GENERATED</t>
        </is>
      </c>
    </row>
    <row r="1167">
      <c r="A1167" s="25" t="inlineStr">
        <is>
          <t>1013995</t>
        </is>
      </c>
      <c r="B1167" s="25" t="inlineStr">
        <is>
          <t>AKÜ,LB4,DK,75AH,IGYASMF,EAS EFBS&amp;S,İÇPYS</t>
        </is>
      </c>
      <c r="C1167" s="25" t="inlineStr">
        <is>
          <t>1</t>
        </is>
      </c>
      <c r="D1167" s="25" t="inlineStr">
        <is>
          <t>ST-054-STD-08</t>
        </is>
      </c>
      <c r="E1167" s="25" t="inlineStr">
        <is>
          <t>IA-ST-054-STD-08</t>
        </is>
      </c>
      <c r="F1167" s="25" t="inlineStr">
        <is>
          <t>IA-ST-CFG-0144</t>
        </is>
      </c>
      <c r="G1167" s="25" t="n">
        <v>29.4684</v>
      </c>
      <c r="H1167" s="25" t="inlineStr">
        <is>
          <t>988-pack GENERATED</t>
        </is>
      </c>
    </row>
    <row r="1168">
      <c r="A1168" s="25" t="inlineStr">
        <is>
          <t>1013996</t>
        </is>
      </c>
      <c r="B1168" s="25" t="inlineStr">
        <is>
          <t>AKÜ,L4,DK,80AH,IGYASMF,EAS EFB S&amp;S,İÇPYS</t>
        </is>
      </c>
      <c r="C1168" s="25" t="inlineStr">
        <is>
          <t>1</t>
        </is>
      </c>
      <c r="D1168" s="25" t="inlineStr">
        <is>
          <t>ST-054-STD-08</t>
        </is>
      </c>
      <c r="E1168" s="25" t="inlineStr">
        <is>
          <t>IA-ST-054-STD-08</t>
        </is>
      </c>
      <c r="F1168" s="25" t="inlineStr">
        <is>
          <t>IA-ST-CFG-0144</t>
        </is>
      </c>
      <c r="G1168" s="25" t="n">
        <v>29.4684</v>
      </c>
      <c r="H1168" s="25" t="inlineStr">
        <is>
          <t>988-pack GENERATED</t>
        </is>
      </c>
    </row>
    <row r="1169">
      <c r="A1169" s="25" t="inlineStr">
        <is>
          <t>1013997</t>
        </is>
      </c>
      <c r="B1169" s="25" t="inlineStr">
        <is>
          <t>AKÜ,L5,DK,90AH,IGYASMF,EAS EFB S&amp;S,İÇPYS</t>
        </is>
      </c>
      <c r="C1169" s="25" t="inlineStr">
        <is>
          <t>1</t>
        </is>
      </c>
      <c r="D1169" s="25" t="inlineStr">
        <is>
          <t>ST-045-STD-10</t>
        </is>
      </c>
      <c r="E1169" s="25" t="inlineStr">
        <is>
          <t>IA-ST-045-STD-10</t>
        </is>
      </c>
      <c r="F1169" s="25" t="inlineStr">
        <is>
          <t>IA-ST-CFG-0098</t>
        </is>
      </c>
      <c r="G1169" s="25" t="n">
        <v>29.4324</v>
      </c>
      <c r="H1169" s="25" t="inlineStr">
        <is>
          <t>988-pack GENERATED</t>
        </is>
      </c>
    </row>
    <row r="1170">
      <c r="A1170" s="25" t="inlineStr">
        <is>
          <t>1013998</t>
        </is>
      </c>
      <c r="B1170" s="25" t="inlineStr">
        <is>
          <t>AKÜ,D23,DK,65AH,IGYASMF,EAS EFBS&amp;S,İÇPYS</t>
        </is>
      </c>
      <c r="C1170" s="25" t="inlineStr">
        <is>
          <t>1</t>
        </is>
      </c>
      <c r="D1170" s="25" t="inlineStr">
        <is>
          <t>ST-072-STD-15</t>
        </is>
      </c>
      <c r="E1170" s="25" t="inlineStr">
        <is>
          <t>IA-ST-072-STD-15</t>
        </is>
      </c>
      <c r="F1170" s="25" t="inlineStr">
        <is>
          <t>IA-ST-CFG-0224</t>
        </is>
      </c>
      <c r="G1170" s="25" t="n">
        <v>34.04544</v>
      </c>
      <c r="H1170" s="25" t="inlineStr">
        <is>
          <t>988-pack GENERATED</t>
        </is>
      </c>
    </row>
    <row r="1171">
      <c r="A1171" s="25" t="inlineStr">
        <is>
          <t>1013999</t>
        </is>
      </c>
      <c r="B1171" s="25" t="inlineStr">
        <is>
          <t>AKÜ,D26,DK,72AH,IGYASMF,EAS EFBS&amp;S,İÇPYS</t>
        </is>
      </c>
      <c r="C1171" s="25" t="inlineStr">
        <is>
          <t>1</t>
        </is>
      </c>
      <c r="D1171" s="25" t="inlineStr">
        <is>
          <t>ST-063-STD-05</t>
        </is>
      </c>
      <c r="E1171" s="25" t="inlineStr">
        <is>
          <t>IA-ST-063-STD-05</t>
        </is>
      </c>
      <c r="F1171" s="25" t="inlineStr">
        <is>
          <t>IA-ST-CFG-0176</t>
        </is>
      </c>
      <c r="G1171" s="25" t="n">
        <v>33.8644</v>
      </c>
      <c r="H1171" s="25" t="inlineStr">
        <is>
          <t>988-pack GENERATED</t>
        </is>
      </c>
    </row>
    <row r="1172">
      <c r="A1172" s="25" t="inlineStr">
        <is>
          <t>1014000</t>
        </is>
      </c>
      <c r="B1172" s="25" t="inlineStr">
        <is>
          <t>AKÜ,L2,DK,65AH,IGYA SMF,EAS EXTRA,İÇ PYS</t>
        </is>
      </c>
      <c r="C1172" s="25" t="inlineStr">
        <is>
          <t>1</t>
        </is>
      </c>
      <c r="D1172" s="25" t="inlineStr">
        <is>
          <t>ST-072-STD-18</t>
        </is>
      </c>
      <c r="E1172" s="25" t="inlineStr">
        <is>
          <t>IA-ST-072-STD-18</t>
        </is>
      </c>
      <c r="F1172" s="25" t="inlineStr">
        <is>
          <t>IA-ST-CFG-0227</t>
        </is>
      </c>
      <c r="G1172" s="25" t="n">
        <v>30.3684</v>
      </c>
      <c r="H1172" s="25" t="inlineStr">
        <is>
          <t>988-pack GENERATED</t>
        </is>
      </c>
    </row>
    <row r="1173">
      <c r="A1173" s="25" t="inlineStr">
        <is>
          <t>1014001</t>
        </is>
      </c>
      <c r="B1173" s="25" t="inlineStr">
        <is>
          <t>AKÜ,LB2,DK,60AH,IGYASMF,EAS EXTRA,İÇ PYS</t>
        </is>
      </c>
      <c r="C1173" s="25" t="inlineStr">
        <is>
          <t>1</t>
        </is>
      </c>
      <c r="D1173" s="25" t="inlineStr">
        <is>
          <t>ST-072-STD-18</t>
        </is>
      </c>
      <c r="E1173" s="25" t="inlineStr">
        <is>
          <t>IA-ST-072-STD-18</t>
        </is>
      </c>
      <c r="F1173" s="25" t="inlineStr">
        <is>
          <t>IA-ST-CFG-0227</t>
        </is>
      </c>
      <c r="G1173" s="25" t="n">
        <v>30.3684</v>
      </c>
      <c r="H1173" s="25" t="inlineStr">
        <is>
          <t>988-pack GENERATED</t>
        </is>
      </c>
    </row>
    <row r="1174">
      <c r="A1174" s="25" t="inlineStr">
        <is>
          <t>1014002</t>
        </is>
      </c>
      <c r="B1174" s="25" t="inlineStr">
        <is>
          <t>AKÜ,L3,DK,80AH,IGYSMF,EASEXTRA,B13,İÇPYS</t>
        </is>
      </c>
      <c r="C1174" s="25" t="inlineStr">
        <is>
          <t>1</t>
        </is>
      </c>
      <c r="D1174" s="25" t="inlineStr">
        <is>
          <t>ST-063-STD-11</t>
        </is>
      </c>
      <c r="E1174" s="25" t="inlineStr">
        <is>
          <t>IA-ST-063-STD-11</t>
        </is>
      </c>
      <c r="F1174" s="25" t="inlineStr">
        <is>
          <t>IA-ST-CFG-0182</t>
        </is>
      </c>
      <c r="G1174" s="25" t="n">
        <v>29.7124</v>
      </c>
      <c r="H1174" s="25" t="inlineStr">
        <is>
          <t>988-pack GENERATED</t>
        </is>
      </c>
    </row>
    <row r="1175">
      <c r="A1175" s="25" t="inlineStr">
        <is>
          <t>1014003</t>
        </is>
      </c>
      <c r="B1175" s="25" t="inlineStr">
        <is>
          <t>AKÜ,L3,DK,80AH,IGYSMF,EASEXTRA,B01,İÇPYS</t>
        </is>
      </c>
      <c r="C1175" s="25" t="inlineStr">
        <is>
          <t>1</t>
        </is>
      </c>
      <c r="D1175" s="25" t="inlineStr">
        <is>
          <t>ST-063-STD-11</t>
        </is>
      </c>
      <c r="E1175" s="25" t="inlineStr">
        <is>
          <t>IA-ST-063-STD-11</t>
        </is>
      </c>
      <c r="F1175" s="25" t="inlineStr">
        <is>
          <t>IA-ST-CFG-0182</t>
        </is>
      </c>
      <c r="G1175" s="25" t="n">
        <v>29.7124</v>
      </c>
      <c r="H1175" s="25" t="inlineStr">
        <is>
          <t>988-pack GENERATED</t>
        </is>
      </c>
    </row>
    <row r="1176">
      <c r="A1176" s="25" t="inlineStr">
        <is>
          <t>1014006</t>
        </is>
      </c>
      <c r="B1176" s="25" t="inlineStr">
        <is>
          <t>AKÜ,NS40,DK,42AH,IGYASMF,EAS EXTRA,İÇPYS</t>
        </is>
      </c>
      <c r="C1176" s="25" t="inlineStr">
        <is>
          <t>1</t>
        </is>
      </c>
      <c r="D1176" s="25" t="inlineStr">
        <is>
          <t>ST-120-STD-02</t>
        </is>
      </c>
      <c r="E1176" s="25" t="inlineStr">
        <is>
          <t>IA-ST-120-STD-02</t>
        </is>
      </c>
      <c r="F1176" s="25" t="inlineStr">
        <is>
          <t>IA-ST-CFG-0285</t>
        </is>
      </c>
      <c r="G1176" s="25" t="n">
        <v>34.794</v>
      </c>
      <c r="H1176" s="25" t="inlineStr">
        <is>
          <t>988-pack GENERATED</t>
        </is>
      </c>
    </row>
    <row r="1177">
      <c r="A1177" s="25" t="inlineStr">
        <is>
          <t>1014007</t>
        </is>
      </c>
      <c r="B1177" s="25" t="inlineStr">
        <is>
          <t>AKÜ,NS60,DK,55AH,IGYASMF,EAS EXTRA,İÇPYS</t>
        </is>
      </c>
      <c r="C1177" s="25" t="inlineStr">
        <is>
          <t>1</t>
        </is>
      </c>
      <c r="D1177" s="25" t="inlineStr">
        <is>
          <t>ST-096-STD-04</t>
        </is>
      </c>
      <c r="E1177" s="25" t="inlineStr">
        <is>
          <t>IA-ST-096-STD-04</t>
        </is>
      </c>
      <c r="F1177" s="25" t="inlineStr">
        <is>
          <t>IA-ST-CFG-0273</t>
        </is>
      </c>
      <c r="G1177" s="25" t="n">
        <v>34.7436</v>
      </c>
      <c r="H1177" s="25" t="inlineStr">
        <is>
          <t>988-pack GENERATED</t>
        </is>
      </c>
    </row>
    <row r="1178">
      <c r="A1178" s="25" t="inlineStr">
        <is>
          <t>1014008</t>
        </is>
      </c>
      <c r="B1178" s="25" t="inlineStr">
        <is>
          <t>AKÜ SULU,D20,DK,55AH,EAS EXTRA,İÇ PYS</t>
        </is>
      </c>
      <c r="C1178" s="25" t="inlineStr">
        <is>
          <t>1</t>
        </is>
      </c>
      <c r="D1178" s="25" t="inlineStr">
        <is>
          <t>ST-072-STD-16</t>
        </is>
      </c>
      <c r="E1178" s="25" t="inlineStr">
        <is>
          <t>IA-ST-072-STD-16</t>
        </is>
      </c>
      <c r="F1178" s="25" t="inlineStr">
        <is>
          <t>IA-ST-CFG-0225</t>
        </is>
      </c>
      <c r="G1178" s="25" t="n">
        <v>30.05232</v>
      </c>
      <c r="H1178" s="25" t="inlineStr">
        <is>
          <t>988-pack GENERATED</t>
        </is>
      </c>
    </row>
    <row r="1179">
      <c r="A1179" s="25" t="inlineStr">
        <is>
          <t>1014009</t>
        </is>
      </c>
      <c r="B1179" s="25" t="inlineStr">
        <is>
          <t>AKÜ SULU,D20,TK,55AH,EAS EXTRA,İÇ PYS</t>
        </is>
      </c>
      <c r="C1179" s="25" t="inlineStr">
        <is>
          <t>1</t>
        </is>
      </c>
      <c r="D1179" s="25" t="inlineStr">
        <is>
          <t>ST-072-STD-16</t>
        </is>
      </c>
      <c r="E1179" s="25" t="inlineStr">
        <is>
          <t>IA-ST-072-STD-16</t>
        </is>
      </c>
      <c r="F1179" s="25" t="inlineStr">
        <is>
          <t>IA-ST-CFG-0225</t>
        </is>
      </c>
      <c r="G1179" s="25" t="n">
        <v>30.05232</v>
      </c>
      <c r="H1179" s="25" t="inlineStr">
        <is>
          <t>988-pack GENERATED</t>
        </is>
      </c>
    </row>
    <row r="1180">
      <c r="A1180" s="25" t="inlineStr">
        <is>
          <t>1014011</t>
        </is>
      </c>
      <c r="B1180" s="25" t="inlineStr">
        <is>
          <t>AKÜ,D23,DK,68AH,IGYASMF,EAS EXTRA,İÇ PYS</t>
        </is>
      </c>
      <c r="C1180" s="25" t="inlineStr">
        <is>
          <t>1</t>
        </is>
      </c>
      <c r="D1180" s="25" t="inlineStr">
        <is>
          <t>ST-072-STD-15</t>
        </is>
      </c>
      <c r="E1180" s="25" t="inlineStr">
        <is>
          <t>IA-ST-072-STD-15</t>
        </is>
      </c>
      <c r="F1180" s="25" t="inlineStr">
        <is>
          <t>IA-ST-CFG-0224</t>
        </is>
      </c>
      <c r="G1180" s="25" t="n">
        <v>34.04544</v>
      </c>
      <c r="H1180" s="25" t="inlineStr">
        <is>
          <t>988-pack GENERATED</t>
        </is>
      </c>
    </row>
    <row r="1181">
      <c r="A1181" s="25" t="inlineStr">
        <is>
          <t>1014012</t>
        </is>
      </c>
      <c r="B1181" s="25" t="inlineStr">
        <is>
          <t>AKÜ,D31,DK100AH,IGYASMF,EAS EXTRA,İÇ PYS</t>
        </is>
      </c>
      <c r="C1181" s="25" t="inlineStr">
        <is>
          <t>1</t>
        </is>
      </c>
      <c r="D1181" s="25" t="inlineStr">
        <is>
          <t>ST-054-STD-09</t>
        </is>
      </c>
      <c r="E1181" s="25" t="inlineStr">
        <is>
          <t>IA-ST-054-STD-09</t>
        </is>
      </c>
      <c r="F1181" s="25" t="inlineStr">
        <is>
          <t>IA-ST-CFG-0145</t>
        </is>
      </c>
      <c r="G1181" s="25" t="n">
        <v>33.497</v>
      </c>
      <c r="H1181" s="25" t="inlineStr">
        <is>
          <t>988-pack GENERATED</t>
        </is>
      </c>
    </row>
    <row r="1182">
      <c r="A1182" s="25" t="inlineStr">
        <is>
          <t>1014013</t>
        </is>
      </c>
      <c r="B1182" s="25" t="inlineStr">
        <is>
          <t>AKÜ,A-IGYA SMF,DK,145AH,EAS EXTRA,İÇ PYS</t>
        </is>
      </c>
      <c r="C1182" s="25" t="inlineStr">
        <is>
          <t>1</t>
        </is>
      </c>
      <c r="D1182" s="25" t="inlineStr">
        <is>
          <t>ST-030-STD-08</t>
        </is>
      </c>
      <c r="E1182" s="25" t="inlineStr">
        <is>
          <t>IA-ST-030-STD-08</t>
        </is>
      </c>
      <c r="F1182" s="25" t="inlineStr">
        <is>
          <t>IA-ST-CFG-0054</t>
        </is>
      </c>
      <c r="G1182" s="25" t="n">
        <v>31.4124</v>
      </c>
      <c r="H1182" s="25" t="inlineStr">
        <is>
          <t>988-pack GENERATED</t>
        </is>
      </c>
    </row>
    <row r="1183">
      <c r="A1183" s="25" t="inlineStr">
        <is>
          <t>1014014</t>
        </is>
      </c>
      <c r="B1183" s="25" t="inlineStr">
        <is>
          <t>AKÜ,B-IGYA SMF,DK,190AH,EAS EXTRA,İÇ PYS</t>
        </is>
      </c>
      <c r="C1183" s="25" t="inlineStr">
        <is>
          <t>1</t>
        </is>
      </c>
      <c r="D1183" s="25" t="inlineStr">
        <is>
          <t>ST-030-STD-09</t>
        </is>
      </c>
      <c r="E1183" s="25" t="inlineStr">
        <is>
          <t>IA-ST-030-STD-09</t>
        </is>
      </c>
      <c r="F1183" s="25" t="inlineStr">
        <is>
          <t>IA-ST-CFG-0055</t>
        </is>
      </c>
      <c r="G1183" s="25" t="n">
        <v>32.1024</v>
      </c>
      <c r="H1183" s="25" t="inlineStr">
        <is>
          <t>988-pack GENERATED</t>
        </is>
      </c>
    </row>
    <row r="1184">
      <c r="A1184" s="25" t="inlineStr">
        <is>
          <t>1014015</t>
        </is>
      </c>
      <c r="B1184" s="25" t="inlineStr">
        <is>
          <t>AKÜ,C-IGYA SMF,DK,250AH,EAS EXTRA,İÇ PYS</t>
        </is>
      </c>
      <c r="C1184" s="25" t="inlineStr">
        <is>
          <t>1</t>
        </is>
      </c>
      <c r="D1184" s="25" t="inlineStr">
        <is>
          <t>ST-021-STD-04</t>
        </is>
      </c>
      <c r="E1184" s="25" t="inlineStr">
        <is>
          <t>IA-ST-021-STD-04</t>
        </is>
      </c>
      <c r="F1184" s="25" t="inlineStr">
        <is>
          <t>IA-ST-CFG-0024</t>
        </is>
      </c>
      <c r="G1184" s="25" t="n">
        <v>31.5384</v>
      </c>
      <c r="H1184" s="25" t="inlineStr">
        <is>
          <t>988-pack GENERATED</t>
        </is>
      </c>
    </row>
    <row r="1185">
      <c r="A1185" s="25" t="inlineStr">
        <is>
          <t>1014016</t>
        </is>
      </c>
      <c r="B1185" s="25" t="inlineStr">
        <is>
          <t>AKÜ,B-IGYASMF,DK,185AH,EAS EFB S&amp;S,İÇPYS</t>
        </is>
      </c>
      <c r="C1185" s="25" t="inlineStr">
        <is>
          <t>1</t>
        </is>
      </c>
      <c r="D1185" s="25" t="inlineStr">
        <is>
          <t>ST-030-STD-09</t>
        </is>
      </c>
      <c r="E1185" s="25" t="inlineStr">
        <is>
          <t>IA-ST-030-STD-09</t>
        </is>
      </c>
      <c r="F1185" s="25" t="inlineStr">
        <is>
          <t>IA-ST-CFG-0055</t>
        </is>
      </c>
      <c r="G1185" s="25" t="n">
        <v>32.1024</v>
      </c>
      <c r="H1185" s="25" t="inlineStr">
        <is>
          <t>988-pack GENERATED</t>
        </is>
      </c>
    </row>
    <row r="1186">
      <c r="A1186" s="25" t="inlineStr">
        <is>
          <t>1014017</t>
        </is>
      </c>
      <c r="B1186" s="25" t="inlineStr">
        <is>
          <t>AKÜ,C-IGYASMF,DK,230AH,EAS EFB S&amp;S,İÇPYS</t>
        </is>
      </c>
      <c r="C1186" s="25" t="inlineStr">
        <is>
          <t>1</t>
        </is>
      </c>
      <c r="D1186" s="25" t="inlineStr">
        <is>
          <t>ST-021-STD-04</t>
        </is>
      </c>
      <c r="E1186" s="25" t="inlineStr">
        <is>
          <t>IA-ST-021-STD-04</t>
        </is>
      </c>
      <c r="F1186" s="25" t="inlineStr">
        <is>
          <t>IA-ST-CFG-0024</t>
        </is>
      </c>
      <c r="G1186" s="25" t="n">
        <v>31.5384</v>
      </c>
      <c r="H1186" s="25" t="inlineStr">
        <is>
          <t>988-pack GENERATED</t>
        </is>
      </c>
    </row>
    <row r="1187">
      <c r="A1187" s="25" t="inlineStr">
        <is>
          <t>1014018</t>
        </is>
      </c>
      <c r="B1187" s="25" t="inlineStr">
        <is>
          <t>AKÜ,A-IGYA,DK,135AH,EASACTIVASHDNEWİÇPYS</t>
        </is>
      </c>
      <c r="C1187" s="25" t="inlineStr">
        <is>
          <t>1</t>
        </is>
      </c>
      <c r="D1187" s="25" t="inlineStr">
        <is>
          <t>ST-030-STD-08</t>
        </is>
      </c>
      <c r="E1187" s="25" t="inlineStr">
        <is>
          <t>IA-ST-030-STD-08</t>
        </is>
      </c>
      <c r="F1187" s="25" t="inlineStr">
        <is>
          <t>IA-ST-CFG-0054</t>
        </is>
      </c>
      <c r="G1187" s="25" t="n">
        <v>31.4124</v>
      </c>
      <c r="H1187" s="25" t="inlineStr">
        <is>
          <t>988-pack GENERATED</t>
        </is>
      </c>
    </row>
    <row r="1188">
      <c r="A1188" s="25" t="inlineStr">
        <is>
          <t>1014019</t>
        </is>
      </c>
      <c r="B1188" s="25" t="inlineStr">
        <is>
          <t>AKÜ,B-IGYA,DK,150AH,EASACTIVASHDNEWİÇPYS</t>
        </is>
      </c>
      <c r="C1188" s="25" t="inlineStr">
        <is>
          <t>1</t>
        </is>
      </c>
      <c r="D1188" s="25" t="inlineStr">
        <is>
          <t>ST-030-STD-09</t>
        </is>
      </c>
      <c r="E1188" s="25" t="inlineStr">
        <is>
          <t>IA-ST-030-STD-09</t>
        </is>
      </c>
      <c r="F1188" s="25" t="inlineStr">
        <is>
          <t>IA-ST-CFG-0055</t>
        </is>
      </c>
      <c r="G1188" s="25" t="n">
        <v>32.1024</v>
      </c>
      <c r="H1188" s="25" t="inlineStr">
        <is>
          <t>988-pack GENERATED</t>
        </is>
      </c>
    </row>
    <row r="1189">
      <c r="A1189" s="25" t="inlineStr">
        <is>
          <t>1014020</t>
        </is>
      </c>
      <c r="B1189" s="25" t="inlineStr">
        <is>
          <t>AKÜ,B-IGYA,DK,180AH,EASACTIVASHDNEWİÇPYS</t>
        </is>
      </c>
      <c r="C1189" s="25" t="inlineStr">
        <is>
          <t>1</t>
        </is>
      </c>
      <c r="D1189" s="25" t="inlineStr">
        <is>
          <t>ST-030-STD-09</t>
        </is>
      </c>
      <c r="E1189" s="25" t="inlineStr">
        <is>
          <t>IA-ST-030-STD-09</t>
        </is>
      </c>
      <c r="F1189" s="25" t="inlineStr">
        <is>
          <t>IA-ST-CFG-0055</t>
        </is>
      </c>
      <c r="G1189" s="25" t="n">
        <v>32.1024</v>
      </c>
      <c r="H1189" s="25" t="inlineStr">
        <is>
          <t>988-pack GENERATED</t>
        </is>
      </c>
    </row>
    <row r="1190">
      <c r="A1190" s="25" t="inlineStr">
        <is>
          <t>1014021</t>
        </is>
      </c>
      <c r="B1190" s="25" t="inlineStr">
        <is>
          <t>AKÜ,C-IGYA,DK,225AH,EASACTIVASHDNEWİÇPYS</t>
        </is>
      </c>
      <c r="C1190" s="25" t="inlineStr">
        <is>
          <t>1</t>
        </is>
      </c>
      <c r="D1190" s="25" t="inlineStr">
        <is>
          <t>ST-021-STD-04</t>
        </is>
      </c>
      <c r="E1190" s="25" t="inlineStr">
        <is>
          <t>IA-ST-021-STD-04</t>
        </is>
      </c>
      <c r="F1190" s="25" t="inlineStr">
        <is>
          <t>IA-ST-CFG-0024</t>
        </is>
      </c>
      <c r="G1190" s="25" t="n">
        <v>31.5384</v>
      </c>
      <c r="H1190" s="25" t="inlineStr">
        <is>
          <t>988-pack GENERATED</t>
        </is>
      </c>
    </row>
    <row r="1191">
      <c r="A1191" s="25" t="inlineStr">
        <is>
          <t>1014026</t>
        </is>
      </c>
      <c r="B1191" s="25" t="inlineStr">
        <is>
          <t>AKÜ,A-IGYASMF,DK,135AH,HUGELULTRA,SHDNEW</t>
        </is>
      </c>
      <c r="C1191" s="25" t="inlineStr">
        <is>
          <t>1</t>
        </is>
      </c>
      <c r="D1191" s="25" t="inlineStr">
        <is>
          <t>ST-024-EUR-04</t>
        </is>
      </c>
      <c r="E1191" s="25" t="inlineStr">
        <is>
          <t>IA-ST-024-EUR-04</t>
        </is>
      </c>
      <c r="F1191" s="25" t="inlineStr">
        <is>
          <t>IA-ST-CFG-0039</t>
        </is>
      </c>
      <c r="G1191" s="25" t="n">
        <v>30.6632</v>
      </c>
      <c r="H1191" s="25" t="inlineStr">
        <is>
          <t>988-pack GENERATED</t>
        </is>
      </c>
    </row>
    <row r="1192">
      <c r="A1192" s="25" t="inlineStr">
        <is>
          <t>1014036</t>
        </is>
      </c>
      <c r="B1192" s="25" t="inlineStr">
        <is>
          <t>AKÜ,L2DK65AH,IGYSMF,NONAME,GYEUR7027-065</t>
        </is>
      </c>
      <c r="C1192" s="25" t="inlineStr">
        <is>
          <t>1</t>
        </is>
      </c>
      <c r="D1192" s="25" t="inlineStr">
        <is>
          <t>ST-057-EUR-03</t>
        </is>
      </c>
      <c r="E1192" s="25" t="inlineStr">
        <is>
          <t>IA-ST-057-EUR-03</t>
        </is>
      </c>
      <c r="F1192" s="25" t="inlineStr">
        <is>
          <t>IA-ST-CFG-0162</t>
        </is>
      </c>
      <c r="G1192" s="25" t="n">
        <v>27.926</v>
      </c>
      <c r="H1192" s="25" t="inlineStr">
        <is>
          <t>988-pack GENERATED</t>
        </is>
      </c>
    </row>
    <row r="1193">
      <c r="A1193" s="25" t="inlineStr">
        <is>
          <t>1014039</t>
        </is>
      </c>
      <c r="B1193" s="25" t="inlineStr">
        <is>
          <t>AKÜ,L2,DK,60AH,IGYSMF,EFB,NONAME,CARANDA</t>
        </is>
      </c>
      <c r="C1193" s="25" t="inlineStr">
        <is>
          <t>1</t>
        </is>
      </c>
      <c r="D1193" s="25" t="inlineStr">
        <is>
          <t>ST-057-EUR-05</t>
        </is>
      </c>
      <c r="E1193" s="25" t="inlineStr">
        <is>
          <t>IA-ST-057-EUR-05</t>
        </is>
      </c>
      <c r="F1193" s="25" t="inlineStr">
        <is>
          <t>IA-ST-CFG-0164</t>
        </is>
      </c>
      <c r="G1193" s="25" t="n">
        <v>27.6392</v>
      </c>
      <c r="H1193" s="25" t="inlineStr">
        <is>
          <t>988-pack GENERATED</t>
        </is>
      </c>
    </row>
    <row r="1194">
      <c r="A1194" s="25" t="inlineStr">
        <is>
          <t>1014041</t>
        </is>
      </c>
      <c r="B1194" s="25" t="inlineStr">
        <is>
          <t>AKÜ,L3,DK,75AH,IGYASMF,EFB,NONAMECARANDA</t>
        </is>
      </c>
      <c r="C1194" s="25" t="inlineStr">
        <is>
          <t>1</t>
        </is>
      </c>
      <c r="D1194" s="25" t="inlineStr">
        <is>
          <t>ST-051-EUR-04</t>
        </is>
      </c>
      <c r="E1194" s="25" t="inlineStr">
        <is>
          <t>IA-ST-051-EUR-04</t>
        </is>
      </c>
      <c r="F1194" s="25" t="inlineStr">
        <is>
          <t>IA-ST-CFG-0135</t>
        </is>
      </c>
      <c r="G1194" s="25" t="n">
        <v>27.6392</v>
      </c>
      <c r="H1194" s="25" t="inlineStr">
        <is>
          <t>988-pack GENERATED</t>
        </is>
      </c>
    </row>
    <row r="1195">
      <c r="A1195" s="25" t="inlineStr">
        <is>
          <t>1014042</t>
        </is>
      </c>
      <c r="B1195" s="25" t="inlineStr">
        <is>
          <t>AKÜ,L3,DK,72AH,IGYSMF,EFB,NONAME,CARANDA</t>
        </is>
      </c>
      <c r="C1195" s="25" t="inlineStr">
        <is>
          <t>1</t>
        </is>
      </c>
      <c r="D1195" s="25" t="inlineStr">
        <is>
          <t>ST-051-EUR-04</t>
        </is>
      </c>
      <c r="E1195" s="25" t="inlineStr">
        <is>
          <t>IA-ST-051-EUR-04</t>
        </is>
      </c>
      <c r="F1195" s="25" t="inlineStr">
        <is>
          <t>IA-ST-CFG-0135</t>
        </is>
      </c>
      <c r="G1195" s="25" t="n">
        <v>27.6392</v>
      </c>
      <c r="H1195" s="25" t="inlineStr">
        <is>
          <t>988-pack GENERATED</t>
        </is>
      </c>
    </row>
    <row r="1196">
      <c r="A1196" s="25" t="inlineStr">
        <is>
          <t>1014046</t>
        </is>
      </c>
      <c r="B1196" s="25" t="inlineStr">
        <is>
          <t>AKÜ,L5,DK,100AH,IGYASMF,EFBNONAMECARANDA</t>
        </is>
      </c>
      <c r="C1196" s="25" t="inlineStr">
        <is>
          <t>1</t>
        </is>
      </c>
      <c r="D1196" s="25" t="inlineStr">
        <is>
          <t>ST-036-EUR-07</t>
        </is>
      </c>
      <c r="E1196" s="25" t="inlineStr">
        <is>
          <t>IA-ST-036-EUR-07</t>
        </is>
      </c>
      <c r="F1196" s="25" t="inlineStr">
        <is>
          <t>IA-ST-CFG-0072</t>
        </is>
      </c>
      <c r="G1196" s="25" t="n">
        <v>27.6392</v>
      </c>
      <c r="H1196" s="25" t="inlineStr">
        <is>
          <t>988-pack GENERATED</t>
        </is>
      </c>
    </row>
    <row r="1197">
      <c r="A1197" s="25" t="inlineStr">
        <is>
          <t>1014048</t>
        </is>
      </c>
      <c r="B1197" s="25" t="inlineStr">
        <is>
          <t>AKÜ,C-IGYASMF,DK,230AH,EFBNONAME,CARANDA</t>
        </is>
      </c>
      <c r="C1197" s="25" t="inlineStr">
        <is>
          <t>1</t>
        </is>
      </c>
      <c r="D1197" s="25" t="inlineStr">
        <is>
          <t>ST-018-EUR-02</t>
        </is>
      </c>
      <c r="E1197" s="25" t="inlineStr">
        <is>
          <t>IA-ST-018-EUR-02</t>
        </is>
      </c>
      <c r="F1197" s="25" t="inlineStr">
        <is>
          <t>IA-ST-CFG-0013</t>
        </is>
      </c>
      <c r="G1197" s="25" t="n">
        <v>30.194</v>
      </c>
      <c r="H1197" s="25" t="inlineStr">
        <is>
          <t>988-pack GENERATED</t>
        </is>
      </c>
    </row>
    <row r="1198">
      <c r="A1198" s="25" t="inlineStr">
        <is>
          <t>1014049</t>
        </is>
      </c>
      <c r="B1198" s="25" t="inlineStr">
        <is>
          <t>AKÜ,L2,DK,60AH,VRLA,AGM,NO NAME,CARANDA</t>
        </is>
      </c>
      <c r="C1198" s="25" t="inlineStr">
        <is>
          <t>1</t>
        </is>
      </c>
      <c r="D1198" s="25" t="inlineStr">
        <is>
          <t>ST-057-EUR-05</t>
        </is>
      </c>
      <c r="E1198" s="25" t="inlineStr">
        <is>
          <t>IA-ST-057-EUR-05</t>
        </is>
      </c>
      <c r="F1198" s="25" t="inlineStr">
        <is>
          <t>IA-ST-CFG-0164</t>
        </is>
      </c>
      <c r="G1198" s="25" t="n">
        <v>27.6392</v>
      </c>
      <c r="H1198" s="25" t="inlineStr">
        <is>
          <t>988-pack GENERATED</t>
        </is>
      </c>
    </row>
    <row r="1199">
      <c r="A1199" s="25" t="inlineStr">
        <is>
          <t>1014050</t>
        </is>
      </c>
      <c r="B1199" s="25" t="inlineStr">
        <is>
          <t>AKÜ,L3,DK,70AH,VRLA,AGM,NO NAME,CARANDA</t>
        </is>
      </c>
      <c r="C1199" s="25" t="inlineStr">
        <is>
          <t>1</t>
        </is>
      </c>
      <c r="D1199" s="25" t="inlineStr">
        <is>
          <t>ST-051-EUR-04</t>
        </is>
      </c>
      <c r="E1199" s="25" t="inlineStr">
        <is>
          <t>IA-ST-051-EUR-04</t>
        </is>
      </c>
      <c r="F1199" s="25" t="inlineStr">
        <is>
          <t>IA-ST-CFG-0135</t>
        </is>
      </c>
      <c r="G1199" s="25" t="n">
        <v>27.6392</v>
      </c>
      <c r="H1199" s="25" t="inlineStr">
        <is>
          <t>988-pack GENERATED</t>
        </is>
      </c>
    </row>
    <row r="1200">
      <c r="A1200" s="25" t="inlineStr">
        <is>
          <t>1014051</t>
        </is>
      </c>
      <c r="B1200" s="25" t="inlineStr">
        <is>
          <t>AKÜ,L4,DK,80AH,VRLA,AGM,NO NAME,CARANDA</t>
        </is>
      </c>
      <c r="C1200" s="25" t="inlineStr">
        <is>
          <t>1</t>
        </is>
      </c>
      <c r="D1200" s="25" t="inlineStr">
        <is>
          <t>ST-042-EUR-04</t>
        </is>
      </c>
      <c r="E1200" s="25" t="inlineStr">
        <is>
          <t>IA-ST-042-EUR-04</t>
        </is>
      </c>
      <c r="F1200" s="25" t="inlineStr">
        <is>
          <t>IA-ST-CFG-0087</t>
        </is>
      </c>
      <c r="G1200" s="25" t="n">
        <v>27.6392</v>
      </c>
      <c r="H1200" s="25" t="inlineStr">
        <is>
          <t>988-pack GENERATED</t>
        </is>
      </c>
    </row>
    <row r="1201">
      <c r="A1201" s="25" t="inlineStr">
        <is>
          <t>1014052</t>
        </is>
      </c>
      <c r="B1201" s="25" t="inlineStr">
        <is>
          <t>AKÜ,L5,DK,95AH,VRLA,AGM,NO NAME,CARANDA</t>
        </is>
      </c>
      <c r="C1201" s="25" t="inlineStr">
        <is>
          <t>1</t>
        </is>
      </c>
      <c r="D1201" s="25" t="inlineStr">
        <is>
          <t>ST-036-EUR-07</t>
        </is>
      </c>
      <c r="E1201" s="25" t="inlineStr">
        <is>
          <t>IA-ST-036-EUR-07</t>
        </is>
      </c>
      <c r="F1201" s="25" t="inlineStr">
        <is>
          <t>IA-ST-CFG-0072</t>
        </is>
      </c>
      <c r="G1201" s="25" t="n">
        <v>27.6392</v>
      </c>
      <c r="H1201" s="25" t="inlineStr">
        <is>
          <t>988-pack GENERATED</t>
        </is>
      </c>
    </row>
    <row r="1202">
      <c r="A1202" s="25" t="inlineStr">
        <is>
          <t>1014053</t>
        </is>
      </c>
      <c r="B1202" s="25" t="inlineStr">
        <is>
          <t>AKÜ,L6,DK,105AH,VRLA,AGM,NO NAME,CARANDA</t>
        </is>
      </c>
      <c r="C1202" s="25" t="inlineStr">
        <is>
          <t>1</t>
        </is>
      </c>
      <c r="D1202" s="25" t="inlineStr">
        <is>
          <t>ST-036-EUR-07</t>
        </is>
      </c>
      <c r="E1202" s="25" t="inlineStr">
        <is>
          <t>IA-ST-036-EUR-07</t>
        </is>
      </c>
      <c r="F1202" s="25" t="inlineStr">
        <is>
          <t>IA-ST-CFG-0072</t>
        </is>
      </c>
      <c r="G1202" s="25" t="n">
        <v>27.6392</v>
      </c>
      <c r="H1202" s="25" t="inlineStr">
        <is>
          <t>988-pack GENERATED</t>
        </is>
      </c>
    </row>
    <row r="1203">
      <c r="A1203" s="25" t="inlineStr">
        <is>
          <t>1014054</t>
        </is>
      </c>
      <c r="B1203" s="25" t="inlineStr">
        <is>
          <t>AKÜ,L2,DK,60AH,VRLA,BLIZZARO AGMS&amp;S,EURO</t>
        </is>
      </c>
      <c r="C1203" s="25" t="inlineStr">
        <is>
          <t>1</t>
        </is>
      </c>
      <c r="D1203" s="25" t="inlineStr">
        <is>
          <t>ST-076-EUR-03</t>
        </is>
      </c>
      <c r="E1203" s="25" t="inlineStr">
        <is>
          <t>IA-ST-076-EUR-03</t>
        </is>
      </c>
      <c r="F1203" s="25" t="inlineStr">
        <is>
          <t>IA-ST-CFG-0240</t>
        </is>
      </c>
      <c r="G1203" s="25" t="n">
        <v>30.7272</v>
      </c>
      <c r="H1203" s="25" t="inlineStr">
        <is>
          <t>988-pack GENERATED</t>
        </is>
      </c>
    </row>
    <row r="1204">
      <c r="A1204" s="25" t="inlineStr">
        <is>
          <t>1014055</t>
        </is>
      </c>
      <c r="B1204" s="25" t="inlineStr">
        <is>
          <t>AKÜ,L1,DK,45AH,IGYSMF,BLIZ.TRENDLNE,EURO</t>
        </is>
      </c>
      <c r="C1204" s="25" t="inlineStr">
        <is>
          <t>1</t>
        </is>
      </c>
      <c r="D1204" s="25" t="inlineStr">
        <is>
          <t>ST-096-EUR-03</t>
        </is>
      </c>
      <c r="E1204" s="25" t="inlineStr">
        <is>
          <t>IA-ST-096-EUR-03</t>
        </is>
      </c>
      <c r="F1204" s="25" t="inlineStr">
        <is>
          <t>IA-ST-CFG-0266</t>
        </is>
      </c>
      <c r="G1204" s="25" t="n">
        <v>31.2262</v>
      </c>
      <c r="H1204" s="25" t="inlineStr">
        <is>
          <t>988-pack GENERATED</t>
        </is>
      </c>
    </row>
    <row r="1205">
      <c r="A1205" s="25" t="inlineStr">
        <is>
          <t>1014059</t>
        </is>
      </c>
      <c r="B1205" s="25" t="inlineStr">
        <is>
          <t>AKÜ,B-IGYASMF,DK,150AH,İNCİFORMULATAURUS</t>
        </is>
      </c>
      <c r="C1205" s="25" t="inlineStr">
        <is>
          <t>1</t>
        </is>
      </c>
      <c r="D1205" s="25" t="inlineStr">
        <is>
          <t>ST-030-STD-06</t>
        </is>
      </c>
      <c r="E1205" s="25" t="inlineStr">
        <is>
          <t>IA-ST-030-STD-06</t>
        </is>
      </c>
      <c r="F1205" s="25" t="inlineStr">
        <is>
          <t>IA-ST-CFG-0052</t>
        </is>
      </c>
      <c r="G1205" s="25" t="n">
        <v>32.3892</v>
      </c>
      <c r="H1205" s="25" t="inlineStr">
        <is>
          <t>988-pack GENERATED</t>
        </is>
      </c>
    </row>
    <row r="1206">
      <c r="A1206" s="25" t="inlineStr">
        <is>
          <t>1014063</t>
        </is>
      </c>
      <c r="B1206" s="25" t="inlineStr">
        <is>
          <t>AKÜ,A-IGYA,DK,135AH,FORMULA,SHDNEW,İÇPYS</t>
        </is>
      </c>
      <c r="C1206" s="25" t="inlineStr">
        <is>
          <t>1</t>
        </is>
      </c>
      <c r="D1206" s="25" t="inlineStr">
        <is>
          <t>ST-030-STD-08</t>
        </is>
      </c>
      <c r="E1206" s="25" t="inlineStr">
        <is>
          <t>IA-ST-030-STD-08</t>
        </is>
      </c>
      <c r="F1206" s="25" t="inlineStr">
        <is>
          <t>IA-ST-CFG-0054</t>
        </is>
      </c>
      <c r="G1206" s="25" t="n">
        <v>31.4124</v>
      </c>
      <c r="H1206" s="25" t="inlineStr">
        <is>
          <t>988-pack GENERATED</t>
        </is>
      </c>
    </row>
    <row r="1207">
      <c r="A1207" s="25" t="inlineStr">
        <is>
          <t>1014064</t>
        </is>
      </c>
      <c r="B1207" s="25" t="inlineStr">
        <is>
          <t>AKÜ,B-IGYA,DK,150AH,FORMULA,SHDNEW,İÇPYS</t>
        </is>
      </c>
      <c r="C1207" s="25" t="inlineStr">
        <is>
          <t>1</t>
        </is>
      </c>
      <c r="D1207" s="25" t="inlineStr">
        <is>
          <t>ST-030-STD-09</t>
        </is>
      </c>
      <c r="E1207" s="25" t="inlineStr">
        <is>
          <t>IA-ST-030-STD-09</t>
        </is>
      </c>
      <c r="F1207" s="25" t="inlineStr">
        <is>
          <t>IA-ST-CFG-0055</t>
        </is>
      </c>
      <c r="G1207" s="25" t="n">
        <v>32.1024</v>
      </c>
      <c r="H1207" s="25" t="inlineStr">
        <is>
          <t>988-pack GENERATED</t>
        </is>
      </c>
    </row>
    <row r="1208">
      <c r="A1208" s="25" t="inlineStr">
        <is>
          <t>1014065</t>
        </is>
      </c>
      <c r="B1208" s="25" t="inlineStr">
        <is>
          <t>AKÜ,B-IGYA,DK,180AH,FORMULA,SHDNEW,İÇPYS</t>
        </is>
      </c>
      <c r="C1208" s="25" t="inlineStr">
        <is>
          <t>1</t>
        </is>
      </c>
      <c r="D1208" s="25" t="inlineStr">
        <is>
          <t>ST-030-STD-09</t>
        </is>
      </c>
      <c r="E1208" s="25" t="inlineStr">
        <is>
          <t>IA-ST-030-STD-09</t>
        </is>
      </c>
      <c r="F1208" s="25" t="inlineStr">
        <is>
          <t>IA-ST-CFG-0055</t>
        </is>
      </c>
      <c r="G1208" s="25" t="n">
        <v>32.1024</v>
      </c>
      <c r="H1208" s="25" t="inlineStr">
        <is>
          <t>988-pack GENERATED</t>
        </is>
      </c>
    </row>
    <row r="1209">
      <c r="A1209" s="25" t="inlineStr">
        <is>
          <t>1014066</t>
        </is>
      </c>
      <c r="B1209" s="25" t="inlineStr">
        <is>
          <t>AKÜ,C-IGYA,DK,225AH,FORMULA,SHDNEW,İÇPYS</t>
        </is>
      </c>
      <c r="C1209" s="25" t="inlineStr">
        <is>
          <t>1</t>
        </is>
      </c>
      <c r="D1209" s="25" t="inlineStr">
        <is>
          <t>ST-021-STD-04</t>
        </is>
      </c>
      <c r="E1209" s="25" t="inlineStr">
        <is>
          <t>IA-ST-021-STD-04</t>
        </is>
      </c>
      <c r="F1209" s="25" t="inlineStr">
        <is>
          <t>IA-ST-CFG-0024</t>
        </is>
      </c>
      <c r="G1209" s="25" t="n">
        <v>31.5384</v>
      </c>
      <c r="H1209" s="25" t="inlineStr">
        <is>
          <t>988-pack GENERATED</t>
        </is>
      </c>
    </row>
    <row r="1210">
      <c r="A1210" s="25" t="inlineStr">
        <is>
          <t>1014067</t>
        </is>
      </c>
      <c r="B1210" s="25" t="inlineStr">
        <is>
          <t>AKÜ,A-IGYASMF,DK,145AH,İNCİMAXIMA,İÇ PYS</t>
        </is>
      </c>
      <c r="C1210" s="25" t="inlineStr">
        <is>
          <t>1</t>
        </is>
      </c>
      <c r="D1210" s="25" t="inlineStr">
        <is>
          <t>ST-030-STD-08</t>
        </is>
      </c>
      <c r="E1210" s="25" t="inlineStr">
        <is>
          <t>IA-ST-030-STD-08</t>
        </is>
      </c>
      <c r="F1210" s="25" t="inlineStr">
        <is>
          <t>IA-ST-CFG-0054</t>
        </is>
      </c>
      <c r="G1210" s="25" t="n">
        <v>31.4124</v>
      </c>
      <c r="H1210" s="25" t="inlineStr">
        <is>
          <t>988-pack GENERATED</t>
        </is>
      </c>
    </row>
    <row r="1211">
      <c r="A1211" s="25" t="inlineStr">
        <is>
          <t>1014068</t>
        </is>
      </c>
      <c r="B1211" s="25" t="inlineStr">
        <is>
          <t>AKÜ,B-IGYASMF,DK,190AH,İNCİMAXIMA,İÇ PYS</t>
        </is>
      </c>
      <c r="C1211" s="25" t="inlineStr">
        <is>
          <t>1</t>
        </is>
      </c>
      <c r="D1211" s="25" t="inlineStr">
        <is>
          <t>ST-030-STD-09</t>
        </is>
      </c>
      <c r="E1211" s="25" t="inlineStr">
        <is>
          <t>IA-ST-030-STD-09</t>
        </is>
      </c>
      <c r="F1211" s="25" t="inlineStr">
        <is>
          <t>IA-ST-CFG-0055</t>
        </is>
      </c>
      <c r="G1211" s="25" t="n">
        <v>32.1024</v>
      </c>
      <c r="H1211" s="25" t="inlineStr">
        <is>
          <t>988-pack GENERATED</t>
        </is>
      </c>
    </row>
    <row r="1212">
      <c r="A1212" s="25" t="inlineStr">
        <is>
          <t>1014069</t>
        </is>
      </c>
      <c r="B1212" s="25" t="inlineStr">
        <is>
          <t>AKÜ,C-IGYASMF,DK,250AH,İNCİMAXIMA,İÇ PYS</t>
        </is>
      </c>
      <c r="C1212" s="25" t="inlineStr">
        <is>
          <t>1</t>
        </is>
      </c>
      <c r="D1212" s="25" t="inlineStr">
        <is>
          <t>ST-021-STD-04</t>
        </is>
      </c>
      <c r="E1212" s="25" t="inlineStr">
        <is>
          <t>IA-ST-021-STD-04</t>
        </is>
      </c>
      <c r="F1212" s="25" t="inlineStr">
        <is>
          <t>IA-ST-CFG-0024</t>
        </is>
      </c>
      <c r="G1212" s="25" t="n">
        <v>31.5384</v>
      </c>
      <c r="H1212" s="25" t="inlineStr">
        <is>
          <t>988-pack GENERATED</t>
        </is>
      </c>
    </row>
    <row r="1213">
      <c r="A1213" s="25" t="inlineStr">
        <is>
          <t>1014070</t>
        </is>
      </c>
      <c r="B1213" s="25" t="inlineStr">
        <is>
          <t>AKÜ,B-IGYASMF,DK,185AH,İNCİEFBPANT,İÇPYS</t>
        </is>
      </c>
      <c r="C1213" s="25" t="inlineStr">
        <is>
          <t>1</t>
        </is>
      </c>
      <c r="D1213" s="25" t="inlineStr">
        <is>
          <t>ST-030-STD-09</t>
        </is>
      </c>
      <c r="E1213" s="25" t="inlineStr">
        <is>
          <t>IA-ST-030-STD-09</t>
        </is>
      </c>
      <c r="F1213" s="25" t="inlineStr">
        <is>
          <t>IA-ST-CFG-0055</t>
        </is>
      </c>
      <c r="G1213" s="25" t="n">
        <v>32.1024</v>
      </c>
      <c r="H1213" s="25" t="inlineStr">
        <is>
          <t>988-pack GENERATED</t>
        </is>
      </c>
    </row>
    <row r="1214">
      <c r="A1214" s="25" t="inlineStr">
        <is>
          <t>1014071</t>
        </is>
      </c>
      <c r="B1214" s="25" t="inlineStr">
        <is>
          <t>AKÜ,C-IGYASMF,DK,230AH,İNCİEFBPANT,İÇPYS</t>
        </is>
      </c>
      <c r="C1214" s="25" t="inlineStr">
        <is>
          <t>1</t>
        </is>
      </c>
      <c r="D1214" s="25" t="inlineStr">
        <is>
          <t>ST-021-STD-04</t>
        </is>
      </c>
      <c r="E1214" s="25" t="inlineStr">
        <is>
          <t>IA-ST-021-STD-04</t>
        </is>
      </c>
      <c r="F1214" s="25" t="inlineStr">
        <is>
          <t>IA-ST-CFG-0024</t>
        </is>
      </c>
      <c r="G1214" s="25" t="n">
        <v>31.5384</v>
      </c>
      <c r="H1214" s="25" t="inlineStr">
        <is>
          <t>988-pack GENERATED</t>
        </is>
      </c>
    </row>
    <row r="1215">
      <c r="A1215" s="25" t="inlineStr">
        <is>
          <t>1014075</t>
        </is>
      </c>
      <c r="B1215" s="25" t="inlineStr">
        <is>
          <t>AKÜ,C-IGYASMF,DK,225AH,Y3000SHDNEW,İÇPYS</t>
        </is>
      </c>
      <c r="C1215" s="25" t="inlineStr">
        <is>
          <t>1</t>
        </is>
      </c>
      <c r="D1215" s="25" t="inlineStr">
        <is>
          <t>ST-021-STD-04</t>
        </is>
      </c>
      <c r="E1215" s="25" t="inlineStr">
        <is>
          <t>IA-ST-021-STD-04</t>
        </is>
      </c>
      <c r="F1215" s="25" t="inlineStr">
        <is>
          <t>IA-ST-CFG-0024</t>
        </is>
      </c>
      <c r="G1215" s="25" t="n">
        <v>31.5384</v>
      </c>
      <c r="H1215" s="25" t="inlineStr">
        <is>
          <t>988-pack GENERATED</t>
        </is>
      </c>
    </row>
    <row r="1216">
      <c r="A1216" s="25" t="inlineStr">
        <is>
          <t>1014076</t>
        </is>
      </c>
      <c r="B1216" s="25" t="inlineStr">
        <is>
          <t>AKÜ,A-IGYA SMF,DK,145AH,Y5000,İÇ PYS</t>
        </is>
      </c>
      <c r="C1216" s="25" t="inlineStr">
        <is>
          <t>1</t>
        </is>
      </c>
      <c r="D1216" s="25" t="inlineStr">
        <is>
          <t>ST-030-STD-08</t>
        </is>
      </c>
      <c r="E1216" s="25" t="inlineStr">
        <is>
          <t>IA-ST-030-STD-08</t>
        </is>
      </c>
      <c r="F1216" s="25" t="inlineStr">
        <is>
          <t>IA-ST-CFG-0054</t>
        </is>
      </c>
      <c r="G1216" s="25" t="n">
        <v>31.4124</v>
      </c>
      <c r="H1216" s="25" t="inlineStr">
        <is>
          <t>988-pack GENERATED</t>
        </is>
      </c>
    </row>
    <row r="1217">
      <c r="A1217" s="25" t="inlineStr">
        <is>
          <t>1014077</t>
        </is>
      </c>
      <c r="B1217" s="25" t="inlineStr">
        <is>
          <t>AKÜ,B-IGYA SMF,DK,190AH,Y5000,İÇ PYS</t>
        </is>
      </c>
      <c r="C1217" s="25" t="inlineStr">
        <is>
          <t>1</t>
        </is>
      </c>
      <c r="D1217" s="25" t="inlineStr">
        <is>
          <t>ST-030-STD-09</t>
        </is>
      </c>
      <c r="E1217" s="25" t="inlineStr">
        <is>
          <t>IA-ST-030-STD-09</t>
        </is>
      </c>
      <c r="F1217" s="25" t="inlineStr">
        <is>
          <t>IA-ST-CFG-0055</t>
        </is>
      </c>
      <c r="G1217" s="25" t="n">
        <v>32.1024</v>
      </c>
      <c r="H1217" s="25" t="inlineStr">
        <is>
          <t>988-pack GENERATED</t>
        </is>
      </c>
    </row>
    <row r="1218">
      <c r="A1218" s="25" t="inlineStr">
        <is>
          <t>1014078</t>
        </is>
      </c>
      <c r="B1218" s="25" t="inlineStr">
        <is>
          <t>AKÜ,C-IGYA SMF,DK,250AH,Y5000,İÇ PYS</t>
        </is>
      </c>
      <c r="C1218" s="25" t="inlineStr">
        <is>
          <t>1</t>
        </is>
      </c>
      <c r="D1218" s="25" t="inlineStr">
        <is>
          <t>ST-021-STD-04</t>
        </is>
      </c>
      <c r="E1218" s="25" t="inlineStr">
        <is>
          <t>IA-ST-021-STD-04</t>
        </is>
      </c>
      <c r="F1218" s="25" t="inlineStr">
        <is>
          <t>IA-ST-CFG-0024</t>
        </is>
      </c>
      <c r="G1218" s="25" t="n">
        <v>31.5384</v>
      </c>
      <c r="H1218" s="25" t="inlineStr">
        <is>
          <t>988-pack GENERATED</t>
        </is>
      </c>
    </row>
    <row r="1219">
      <c r="A1219" s="25" t="inlineStr">
        <is>
          <t>1014080</t>
        </is>
      </c>
      <c r="B1219" s="25" t="inlineStr">
        <is>
          <t>AKÜ,C-IGYA SMF,DK,230AH,Y7000,İÇ PYS</t>
        </is>
      </c>
      <c r="C1219" s="25" t="inlineStr">
        <is>
          <t>1</t>
        </is>
      </c>
      <c r="D1219" s="25" t="inlineStr">
        <is>
          <t>ST-021-STD-04</t>
        </is>
      </c>
      <c r="E1219" s="25" t="inlineStr">
        <is>
          <t>IA-ST-021-STD-04</t>
        </is>
      </c>
      <c r="F1219" s="25" t="inlineStr">
        <is>
          <t>IA-ST-CFG-0024</t>
        </is>
      </c>
      <c r="G1219" s="25" t="n">
        <v>31.5384</v>
      </c>
      <c r="H1219" s="25" t="inlineStr">
        <is>
          <t>988-pack GENERATED</t>
        </is>
      </c>
    </row>
    <row r="1220">
      <c r="A1220" s="25" t="inlineStr">
        <is>
          <t>1014085</t>
        </is>
      </c>
      <c r="B1220" s="25" t="inlineStr">
        <is>
          <t>AKÜ,A-FLAT,DK,120AH,NO NAME,PARTS</t>
        </is>
      </c>
      <c r="C1220" s="25" t="inlineStr">
        <is>
          <t>1</t>
        </is>
      </c>
      <c r="D1220" s="25" t="inlineStr">
        <is>
          <t>ST-024-EUR-03</t>
        </is>
      </c>
      <c r="E1220" s="25" t="inlineStr">
        <is>
          <t>IA-ST-024-EUR-03</t>
        </is>
      </c>
      <c r="F1220" s="25" t="inlineStr">
        <is>
          <t>IA-ST-CFG-0038</t>
        </is>
      </c>
      <c r="G1220" s="25" t="n">
        <v>29.63</v>
      </c>
      <c r="H1220" s="25" t="inlineStr">
        <is>
          <t>988-pack GENERATED</t>
        </is>
      </c>
    </row>
    <row r="1221">
      <c r="A1221" s="25" t="inlineStr">
        <is>
          <t>1014091</t>
        </is>
      </c>
      <c r="B1221" s="25" t="inlineStr">
        <is>
          <t>AKÜ,L1,DK,50AH,IGYA,HUGEL ULTRA,SHAWKAT</t>
        </is>
      </c>
      <c r="C1221" s="25" t="inlineStr">
        <is>
          <t>1</t>
        </is>
      </c>
      <c r="D1221" s="25" t="inlineStr">
        <is>
          <t>ST-087-STD-03</t>
        </is>
      </c>
      <c r="E1221" s="25" t="inlineStr">
        <is>
          <t>IA-ST-087-STD-03</t>
        </is>
      </c>
      <c r="F1221" s="25" t="inlineStr">
        <is>
          <t>IA-ST-CFG-0248</t>
        </is>
      </c>
      <c r="G1221" s="25" t="n">
        <v>31.0092</v>
      </c>
      <c r="H1221" s="25" t="inlineStr">
        <is>
          <t>988-pack GENERATED</t>
        </is>
      </c>
    </row>
    <row r="1222">
      <c r="A1222" s="25" t="inlineStr">
        <is>
          <t>1014094</t>
        </is>
      </c>
      <c r="B1222" s="25" t="inlineStr">
        <is>
          <t>AKÜ,L6,DK,110AH,KAMINA,SILVER,SCHNAPP</t>
        </is>
      </c>
      <c r="C1222" s="25" t="inlineStr">
        <is>
          <t>1</t>
        </is>
      </c>
      <c r="D1222" s="25" t="inlineStr">
        <is>
          <t>ST-042-STD-08</t>
        </is>
      </c>
      <c r="E1222" s="25" t="inlineStr">
        <is>
          <t>IA-ST-042-STD-08</t>
        </is>
      </c>
      <c r="F1222" s="25" t="inlineStr">
        <is>
          <t>IA-ST-CFG-0083</t>
        </is>
      </c>
      <c r="G1222" s="25" t="n">
        <v>28.617</v>
      </c>
      <c r="H1222" s="25" t="inlineStr">
        <is>
          <t>988-pack GENERATED</t>
        </is>
      </c>
    </row>
    <row r="1223">
      <c r="A1223" s="25" t="inlineStr">
        <is>
          <t>1014095</t>
        </is>
      </c>
      <c r="B1223" s="25" t="inlineStr">
        <is>
          <t>AKÜ,LB3,DK,65AH,IGYA SMF,EFB S&amp;S,SCHNAPP</t>
        </is>
      </c>
      <c r="C1223" s="25" t="inlineStr">
        <is>
          <t>1</t>
        </is>
      </c>
      <c r="D1223" s="25" t="inlineStr">
        <is>
          <t>ST-063-STD-14</t>
        </is>
      </c>
      <c r="E1223" s="25" t="inlineStr">
        <is>
          <t>IA-ST-063-STD-14</t>
        </is>
      </c>
      <c r="F1223" s="25" t="inlineStr">
        <is>
          <t>IA-ST-CFG-0185</t>
        </is>
      </c>
      <c r="G1223" s="25" t="n">
        <v>28.617</v>
      </c>
      <c r="H1223" s="25" t="inlineStr">
        <is>
          <t>988-pack GENERATED</t>
        </is>
      </c>
    </row>
    <row r="1224">
      <c r="A1224" s="25" t="inlineStr">
        <is>
          <t>1014113</t>
        </is>
      </c>
      <c r="B1224" s="25" t="inlineStr">
        <is>
          <t>AKÜ,D23,DK,65AH,IGYSMF,HUGELEFBS&amp;S,YDIŞI</t>
        </is>
      </c>
      <c r="C1224" s="25" t="inlineStr">
        <is>
          <t>1</t>
        </is>
      </c>
      <c r="D1224" s="25" t="inlineStr">
        <is>
          <t>ST-072-STD-10</t>
        </is>
      </c>
      <c r="E1224" s="25" t="inlineStr">
        <is>
          <t>IA-ST-072-STD-10</t>
        </is>
      </c>
      <c r="F1224" s="25" t="inlineStr">
        <is>
          <t>IA-ST-CFG-0219</t>
        </is>
      </c>
      <c r="G1224" s="25" t="n">
        <v>34.33224</v>
      </c>
      <c r="H1224" s="25" t="inlineStr">
        <is>
          <t>988-pack GENERATED</t>
        </is>
      </c>
    </row>
    <row r="1225">
      <c r="A1225" s="25" t="inlineStr">
        <is>
          <t>1014117</t>
        </is>
      </c>
      <c r="B1225" s="25" t="inlineStr">
        <is>
          <t>AKÜ,D31,DK105AH,IGYA,İNCİFORMULATAURUS</t>
        </is>
      </c>
      <c r="C1225" s="25" t="inlineStr">
        <is>
          <t>1</t>
        </is>
      </c>
      <c r="D1225" s="25" t="inlineStr">
        <is>
          <t>ST-054-STD-07</t>
        </is>
      </c>
      <c r="E1225" s="25" t="inlineStr">
        <is>
          <t>IA-ST-054-STD-07</t>
        </is>
      </c>
      <c r="F1225" s="25" t="inlineStr">
        <is>
          <t>IA-ST-CFG-0143</t>
        </is>
      </c>
      <c r="G1225" s="25" t="n">
        <v>33.7838</v>
      </c>
      <c r="H1225" s="25" t="inlineStr">
        <is>
          <t>988-pack GENERATED</t>
        </is>
      </c>
    </row>
    <row r="1226">
      <c r="A1226" s="25" t="inlineStr">
        <is>
          <t>1014118</t>
        </is>
      </c>
      <c r="B1226" s="25" t="inlineStr">
        <is>
          <t>AKÜ,LB2,DK,60AH,IGYA,ELECTRA,TÜRKMENİSTN</t>
        </is>
      </c>
      <c r="C1226" s="25" t="inlineStr">
        <is>
          <t>1</t>
        </is>
      </c>
      <c r="D1226" s="25" t="inlineStr">
        <is>
          <t>ST-072-STD-13</t>
        </is>
      </c>
      <c r="E1226" s="25" t="inlineStr">
        <is>
          <t>IA-ST-072-STD-13</t>
        </is>
      </c>
      <c r="F1226" s="25" t="inlineStr">
        <is>
          <t>IA-ST-CFG-0222</t>
        </is>
      </c>
      <c r="G1226" s="25" t="n">
        <v>30.6552</v>
      </c>
      <c r="H1226" s="25" t="inlineStr">
        <is>
          <t>988-pack GENERATED</t>
        </is>
      </c>
    </row>
    <row r="1227">
      <c r="A1227" s="25" t="inlineStr">
        <is>
          <t>1014119</t>
        </is>
      </c>
      <c r="B1227" s="25" t="inlineStr">
        <is>
          <t>AKÜ,LB2,DK,60AH,IGYA,HI-TECH,TÜRKMENİSTN</t>
        </is>
      </c>
      <c r="C1227" s="25" t="inlineStr">
        <is>
          <t>1</t>
        </is>
      </c>
      <c r="D1227" s="25" t="inlineStr">
        <is>
          <t>ST-072-STD-13</t>
        </is>
      </c>
      <c r="E1227" s="25" t="inlineStr">
        <is>
          <t>IA-ST-072-STD-13</t>
        </is>
      </c>
      <c r="F1227" s="25" t="inlineStr">
        <is>
          <t>IA-ST-CFG-0222</t>
        </is>
      </c>
      <c r="G1227" s="25" t="n">
        <v>30.6552</v>
      </c>
      <c r="H1227" s="25" t="inlineStr">
        <is>
          <t>988-pack GENERATED</t>
        </is>
      </c>
    </row>
    <row r="1228">
      <c r="A1228" s="25" t="inlineStr">
        <is>
          <t>1014130</t>
        </is>
      </c>
      <c r="B1228" s="25" t="inlineStr">
        <is>
          <t>AKÜ AGM,L6,DK,105AH,İNCİ AGM LEO,YD</t>
        </is>
      </c>
      <c r="C1228" s="25" t="inlineStr">
        <is>
          <t>1</t>
        </is>
      </c>
      <c r="D1228" s="25" t="inlineStr">
        <is>
          <t>ST-042-STD-05</t>
        </is>
      </c>
      <c r="E1228" s="25" t="inlineStr">
        <is>
          <t>IA-ST-042-STD-05</t>
        </is>
      </c>
      <c r="F1228" s="25" t="inlineStr">
        <is>
          <t>IA-ST-CFG-0080</t>
        </is>
      </c>
      <c r="G1228" s="25" t="n">
        <v>29.5992</v>
      </c>
      <c r="H1228" s="25" t="inlineStr">
        <is>
          <t>988-pack GENERATED</t>
        </is>
      </c>
    </row>
    <row r="1229">
      <c r="A1229" s="25" t="inlineStr">
        <is>
          <t>1014140</t>
        </is>
      </c>
      <c r="B1229" s="25" t="inlineStr">
        <is>
          <t>AKÜ,L0,DK40AH,DINNEW,GRİSYH,SILVER,SCHNP</t>
        </is>
      </c>
      <c r="C1229" s="25" t="inlineStr">
        <is>
          <t>1</t>
        </is>
      </c>
      <c r="D1229" s="25" t="inlineStr">
        <is>
          <t>ST-090-STD-02</t>
        </is>
      </c>
      <c r="E1229" s="25" t="inlineStr">
        <is>
          <t>IA-ST-090-STD-02</t>
        </is>
      </c>
      <c r="F1229" s="25" t="inlineStr">
        <is>
          <t>IA-ST-CFG-0263</t>
        </is>
      </c>
      <c r="G1229" s="25" t="n">
        <v>28.649</v>
      </c>
      <c r="H1229" s="25" t="inlineStr">
        <is>
          <t>988-pack GENERATED</t>
        </is>
      </c>
    </row>
    <row r="1230">
      <c r="A1230" s="25" t="inlineStr">
        <is>
          <t>1014141</t>
        </is>
      </c>
      <c r="B1230" s="25" t="inlineStr">
        <is>
          <t>AKÜ,LB2,DK,63AH,IGYASMF,BOOSTERCARBONMAX</t>
        </is>
      </c>
      <c r="C1230" s="25" t="inlineStr">
        <is>
          <t>1</t>
        </is>
      </c>
      <c r="D1230" s="25" t="inlineStr">
        <is>
          <t>ST-076-EUR-03</t>
        </is>
      </c>
      <c r="E1230" s="25" t="inlineStr">
        <is>
          <t>IA-ST-076-EUR-03</t>
        </is>
      </c>
      <c r="F1230" s="25" t="inlineStr">
        <is>
          <t>IA-ST-CFG-0240</t>
        </is>
      </c>
      <c r="G1230" s="25" t="n">
        <v>30.7272</v>
      </c>
      <c r="H1230" s="25" t="inlineStr">
        <is>
          <t>988-pack GENERATED</t>
        </is>
      </c>
    </row>
    <row r="1231">
      <c r="A1231" s="25" t="inlineStr">
        <is>
          <t>1014142</t>
        </is>
      </c>
      <c r="B1231" s="25" t="inlineStr">
        <is>
          <t>AKÜ,LB3,DK,73AH,IGYASMF,BOOSTERCARBONMAX</t>
        </is>
      </c>
      <c r="C1231" s="25" t="inlineStr">
        <is>
          <t>1</t>
        </is>
      </c>
      <c r="D1231" s="25" t="inlineStr">
        <is>
          <t>ST-068-EUR-02</t>
        </is>
      </c>
      <c r="E1231" s="25" t="inlineStr">
        <is>
          <t>IA-ST-068-EUR-02</t>
        </is>
      </c>
      <c r="F1231" s="25" t="inlineStr">
        <is>
          <t>IA-ST-CFG-0199</t>
        </is>
      </c>
      <c r="G1231" s="25" t="n">
        <v>29.9442</v>
      </c>
      <c r="H1231" s="25" t="inlineStr">
        <is>
          <t>988-pack GENERATED</t>
        </is>
      </c>
    </row>
    <row r="1232">
      <c r="A1232" s="25" t="inlineStr">
        <is>
          <t>1014143</t>
        </is>
      </c>
      <c r="B1232" s="25" t="inlineStr">
        <is>
          <t>AKÜ,L3,DK,82AH,IGYASMF,BOOSTER CARBONMAX</t>
        </is>
      </c>
      <c r="C1232" s="25" t="inlineStr">
        <is>
          <t>1</t>
        </is>
      </c>
      <c r="D1232" s="25" t="inlineStr">
        <is>
          <t>ST-068-EUR-03</t>
        </is>
      </c>
      <c r="E1232" s="25" t="inlineStr">
        <is>
          <t>IA-ST-068-EUR-03</t>
        </is>
      </c>
      <c r="F1232" s="25" t="inlineStr">
        <is>
          <t>IA-ST-CFG-0200</t>
        </is>
      </c>
      <c r="G1232" s="25" t="n">
        <v>30.0842</v>
      </c>
      <c r="H1232" s="25" t="inlineStr">
        <is>
          <t>988-pack GENERATED</t>
        </is>
      </c>
    </row>
    <row r="1233">
      <c r="A1233" s="25" t="inlineStr">
        <is>
          <t>1014144</t>
        </is>
      </c>
      <c r="B1233" s="25" t="inlineStr">
        <is>
          <t>AKÜ,L5,DK,104AH,IGYASMF,BOOSTERCARBONMAX</t>
        </is>
      </c>
      <c r="C1233" s="25" t="inlineStr">
        <is>
          <t>1</t>
        </is>
      </c>
      <c r="D1233" s="25" t="inlineStr">
        <is>
          <t>ST-048-EUR-10</t>
        </is>
      </c>
      <c r="E1233" s="25" t="inlineStr">
        <is>
          <t>IA-ST-048-EUR-10</t>
        </is>
      </c>
      <c r="F1233" s="25" t="inlineStr">
        <is>
          <t>IA-ST-CFG-0116</t>
        </is>
      </c>
      <c r="G1233" s="25" t="n">
        <v>29.7592</v>
      </c>
      <c r="H1233" s="25" t="inlineStr">
        <is>
          <t>988-pack GENERATED</t>
        </is>
      </c>
    </row>
    <row r="1234">
      <c r="A1234" s="25" t="inlineStr">
        <is>
          <t>1014145</t>
        </is>
      </c>
      <c r="B1234" s="25" t="inlineStr">
        <is>
          <t>AKÜ,D31,TK,101AH,IGYSMF,BOOSTERCARBONMAX</t>
        </is>
      </c>
      <c r="C1234" s="25" t="inlineStr">
        <is>
          <t>1</t>
        </is>
      </c>
      <c r="D1234" s="25" t="inlineStr">
        <is>
          <t>ST-048-EUR-09</t>
        </is>
      </c>
      <c r="E1234" s="25" t="inlineStr">
        <is>
          <t>IA-ST-048-EUR-09</t>
        </is>
      </c>
      <c r="F1234" s="25" t="inlineStr">
        <is>
          <t>IA-ST-CFG-0115</t>
        </is>
      </c>
      <c r="G1234" s="25" t="n">
        <v>32.8524</v>
      </c>
      <c r="H1234" s="25" t="inlineStr">
        <is>
          <t>988-pack GENERATED</t>
        </is>
      </c>
    </row>
    <row r="1235">
      <c r="A1235" s="25" t="inlineStr">
        <is>
          <t>1014146</t>
        </is>
      </c>
      <c r="B1235" s="25" t="inlineStr">
        <is>
          <t>AKÜ,D31,DK,101AH,IGYSMF,BOOSTERCARBONMAX</t>
        </is>
      </c>
      <c r="C1235" s="25" t="inlineStr">
        <is>
          <t>1</t>
        </is>
      </c>
      <c r="D1235" s="25" t="inlineStr">
        <is>
          <t>ST-048-EUR-09</t>
        </is>
      </c>
      <c r="E1235" s="25" t="inlineStr">
        <is>
          <t>IA-ST-048-EUR-09</t>
        </is>
      </c>
      <c r="F1235" s="25" t="inlineStr">
        <is>
          <t>IA-ST-CFG-0115</t>
        </is>
      </c>
      <c r="G1235" s="25" t="n">
        <v>32.8524</v>
      </c>
      <c r="H1235" s="25" t="inlineStr">
        <is>
          <t>988-pack GENERATED</t>
        </is>
      </c>
    </row>
    <row r="1236">
      <c r="A1236" s="25" t="inlineStr">
        <is>
          <t>1014147</t>
        </is>
      </c>
      <c r="B1236" s="25" t="inlineStr">
        <is>
          <t>AKÜ,D23,TK,60AH,IGYASMF,İNCİ FORM TAURUS</t>
        </is>
      </c>
      <c r="C1236" s="25" t="inlineStr">
        <is>
          <t>1</t>
        </is>
      </c>
      <c r="D1236" s="25" t="inlineStr">
        <is>
          <t>ST-072-STD-10</t>
        </is>
      </c>
      <c r="E1236" s="25" t="inlineStr">
        <is>
          <t>IA-ST-072-STD-10</t>
        </is>
      </c>
      <c r="F1236" s="25" t="inlineStr">
        <is>
          <t>IA-ST-CFG-0219</t>
        </is>
      </c>
      <c r="G1236" s="25" t="n">
        <v>34.33224</v>
      </c>
      <c r="H1236" s="25" t="inlineStr">
        <is>
          <t>988-pack GENERATED</t>
        </is>
      </c>
    </row>
    <row r="1237">
      <c r="A1237" s="25" t="inlineStr">
        <is>
          <t>1014148</t>
        </is>
      </c>
      <c r="B1237" s="25" t="inlineStr">
        <is>
          <t>AKÜ,B-FLAT,DK,190AH,EAS PRIDE</t>
        </is>
      </c>
      <c r="C1237" s="25" t="inlineStr">
        <is>
          <t>1</t>
        </is>
      </c>
      <c r="D1237" s="25" t="inlineStr">
        <is>
          <t>ST-030-STD-06</t>
        </is>
      </c>
      <c r="E1237" s="25" t="inlineStr">
        <is>
          <t>IA-ST-030-STD-06</t>
        </is>
      </c>
      <c r="F1237" s="25" t="inlineStr">
        <is>
          <t>IA-ST-CFG-0052</t>
        </is>
      </c>
      <c r="G1237" s="25" t="n">
        <v>32.3892</v>
      </c>
      <c r="H1237" s="25" t="inlineStr">
        <is>
          <t>988-pack GENERATED</t>
        </is>
      </c>
    </row>
    <row r="1238">
      <c r="A1238" s="25" t="inlineStr">
        <is>
          <t>1014151</t>
        </is>
      </c>
      <c r="B1238" s="25" t="inlineStr">
        <is>
          <t>AKÜ,D26,DK,72AH,IGYASMF,BLIZZ.,SILV,EURO</t>
        </is>
      </c>
      <c r="C1238" s="25" t="inlineStr">
        <is>
          <t>1</t>
        </is>
      </c>
      <c r="D1238" s="25" t="inlineStr">
        <is>
          <t>ST-048-EUR-02</t>
        </is>
      </c>
      <c r="E1238" s="25" t="inlineStr">
        <is>
          <t>IA-ST-048-EUR-02</t>
        </is>
      </c>
      <c r="F1238" s="25" t="inlineStr">
        <is>
          <t>IA-ST-CFG-0107</t>
        </is>
      </c>
      <c r="G1238" s="25" t="n">
        <v>32.3872</v>
      </c>
      <c r="H1238" s="25" t="inlineStr">
        <is>
          <t>988-pack GENERATED</t>
        </is>
      </c>
    </row>
    <row r="1239">
      <c r="A1239" s="25" t="inlineStr">
        <is>
          <t>1014152</t>
        </is>
      </c>
      <c r="B1239" s="25" t="inlineStr">
        <is>
          <t>AKÜ,A-IGYASMF,DK,140AH,BLIZ.SILVRLN,EURO</t>
        </is>
      </c>
      <c r="C1239" s="25" t="inlineStr">
        <is>
          <t>1</t>
        </is>
      </c>
      <c r="D1239" s="25" t="inlineStr">
        <is>
          <t>ST-024-EUR-04</t>
        </is>
      </c>
      <c r="E1239" s="25" t="inlineStr">
        <is>
          <t>IA-ST-024-EUR-04</t>
        </is>
      </c>
      <c r="F1239" s="25" t="inlineStr">
        <is>
          <t>IA-ST-CFG-0039</t>
        </is>
      </c>
      <c r="G1239" s="25" t="n">
        <v>30.6632</v>
      </c>
      <c r="H1239" s="25" t="inlineStr">
        <is>
          <t>988-pack GENERATED</t>
        </is>
      </c>
    </row>
    <row r="1240">
      <c r="A1240" s="25" t="inlineStr">
        <is>
          <t>1014153</t>
        </is>
      </c>
      <c r="B1240" s="25" t="inlineStr">
        <is>
          <t>AKÜ,B-FLAT,DK,190AH,BLIZZAROTRENDLN,EURO</t>
        </is>
      </c>
      <c r="C1240" s="25" t="inlineStr">
        <is>
          <t>1</t>
        </is>
      </c>
      <c r="D1240" s="25" t="inlineStr">
        <is>
          <t>ST-021-EUR-03</t>
        </is>
      </c>
      <c r="E1240" s="25" t="inlineStr">
        <is>
          <t>IA-ST-021-EUR-03</t>
        </is>
      </c>
      <c r="F1240" s="25" t="inlineStr">
        <is>
          <t>IA-ST-CFG-0029</t>
        </is>
      </c>
      <c r="G1240" s="25" t="n">
        <v>30.7682</v>
      </c>
      <c r="H1240" s="25" t="inlineStr">
        <is>
          <t>988-pack GENERATED</t>
        </is>
      </c>
    </row>
    <row r="1241">
      <c r="A1241" s="25" t="inlineStr">
        <is>
          <t>1014154</t>
        </is>
      </c>
      <c r="B1241" s="25" t="inlineStr">
        <is>
          <t>AKÜ,L4,DK,82AH,IGYA SMF,İNCİ FORM TAURUS</t>
        </is>
      </c>
      <c r="C1241" s="25" t="inlineStr">
        <is>
          <t>1</t>
        </is>
      </c>
      <c r="D1241" s="25" t="inlineStr">
        <is>
          <t>ST-072-STD-22</t>
        </is>
      </c>
      <c r="E1241" s="25" t="inlineStr">
        <is>
          <t>IA-ST-072-STD-22</t>
        </is>
      </c>
      <c r="F1241" s="25" t="inlineStr">
        <is>
          <t>IA-ST-CFG-0231</t>
        </is>
      </c>
      <c r="G1241" s="25" t="n">
        <v>30.6372</v>
      </c>
      <c r="H1241" s="25" t="inlineStr">
        <is>
          <t>988-pack GENERATED</t>
        </is>
      </c>
    </row>
    <row r="1242">
      <c r="A1242" s="25" t="inlineStr">
        <is>
          <t>1014155</t>
        </is>
      </c>
      <c r="B1242" s="25" t="inlineStr">
        <is>
          <t>AKÜ,A-FLAT,DK,145AH,MF145,RACER POWER</t>
        </is>
      </c>
      <c r="C1242" s="25" t="inlineStr">
        <is>
          <t>1</t>
        </is>
      </c>
      <c r="D1242" s="25" t="inlineStr">
        <is>
          <t>ST-030-STD-05</t>
        </is>
      </c>
      <c r="E1242" s="25" t="inlineStr">
        <is>
          <t>IA-ST-030-STD-05</t>
        </is>
      </c>
      <c r="F1242" s="25" t="inlineStr">
        <is>
          <t>IA-ST-CFG-0051</t>
        </is>
      </c>
      <c r="G1242" s="25" t="n">
        <v>31.6992</v>
      </c>
      <c r="H1242" s="25" t="inlineStr">
        <is>
          <t>988-pack GENERATED</t>
        </is>
      </c>
    </row>
    <row r="1243">
      <c r="A1243" s="25" t="inlineStr">
        <is>
          <t>1014157</t>
        </is>
      </c>
      <c r="B1243" s="25" t="inlineStr">
        <is>
          <t>AKÜ,B-FLAT,TK,210AH,MF210,RACER POWER</t>
        </is>
      </c>
      <c r="C1243" s="25" t="inlineStr">
        <is>
          <t>1</t>
        </is>
      </c>
      <c r="D1243" s="25" t="inlineStr">
        <is>
          <t>ST-030-STD-06</t>
        </is>
      </c>
      <c r="E1243" s="25" t="inlineStr">
        <is>
          <t>IA-ST-030-STD-06</t>
        </is>
      </c>
      <c r="F1243" s="25" t="inlineStr">
        <is>
          <t>IA-ST-CFG-0052</t>
        </is>
      </c>
      <c r="G1243" s="25" t="n">
        <v>32.3892</v>
      </c>
      <c r="H1243" s="25" t="inlineStr">
        <is>
          <t>988-pack GENERATED</t>
        </is>
      </c>
    </row>
    <row r="1244">
      <c r="A1244" s="25" t="inlineStr">
        <is>
          <t>1014159</t>
        </is>
      </c>
      <c r="B1244" s="25" t="inlineStr">
        <is>
          <t>AKÜ,C-IGYASMF,DK,240AH,MF240,RACERPOWER</t>
        </is>
      </c>
      <c r="C1244" s="25" t="inlineStr">
        <is>
          <t>1</t>
        </is>
      </c>
      <c r="D1244" s="25" t="inlineStr">
        <is>
          <t>ST-021-STD-03</t>
        </is>
      </c>
      <c r="E1244" s="25" t="inlineStr">
        <is>
          <t>IA-ST-021-STD-03</t>
        </is>
      </c>
      <c r="F1244" s="25" t="inlineStr">
        <is>
          <t>IA-ST-CFG-0023</t>
        </is>
      </c>
      <c r="G1244" s="25" t="n">
        <v>31.8252</v>
      </c>
      <c r="H1244" s="25" t="inlineStr">
        <is>
          <t>988-pack GENERATED</t>
        </is>
      </c>
    </row>
    <row r="1245">
      <c r="A1245" s="25" t="inlineStr">
        <is>
          <t>1014160</t>
        </is>
      </c>
      <c r="B1245" s="25" t="inlineStr">
        <is>
          <t>AKÜ,LB2,DK,60AH,IGYASMF,BLIZZ.TRENDLINE</t>
        </is>
      </c>
      <c r="C1245" s="25" t="inlineStr">
        <is>
          <t>1</t>
        </is>
      </c>
      <c r="D1245" s="25" t="inlineStr">
        <is>
          <t>ST-072-STD-13</t>
        </is>
      </c>
      <c r="E1245" s="25" t="inlineStr">
        <is>
          <t>IA-ST-072-STD-13</t>
        </is>
      </c>
      <c r="F1245" s="25" t="inlineStr">
        <is>
          <t>IA-ST-CFG-0222</t>
        </is>
      </c>
      <c r="G1245" s="25" t="n">
        <v>30.6552</v>
      </c>
      <c r="H1245" s="25" t="inlineStr">
        <is>
          <t>988-pack GENERATED</t>
        </is>
      </c>
    </row>
    <row r="1246">
      <c r="A1246" s="29" t="inlineStr">
        <is>
          <t>1014161</t>
        </is>
      </c>
      <c r="B1246" s="29" t="inlineStr">
        <is>
          <t>AKÜ,D31,DK,105AH,IGYSMF,İNCİTAURS,ERKUNT</t>
        </is>
      </c>
      <c r="C1246" s="29" t="inlineStr">
        <is>
          <t>1</t>
        </is>
      </c>
      <c r="H1246" s="29" t="inlineStr">
        <is>
          <t>NO MAPPING</t>
        </is>
      </c>
    </row>
    <row r="1247">
      <c r="A1247" s="25" t="inlineStr">
        <is>
          <t>1014163</t>
        </is>
      </c>
      <c r="B1247" s="25" t="inlineStr">
        <is>
          <t>AKÜ,B-IGYASMF,DK,185AH,EAS EFB S&amp;S</t>
        </is>
      </c>
      <c r="C1247" s="25" t="inlineStr">
        <is>
          <t>1</t>
        </is>
      </c>
      <c r="D1247" s="25" t="inlineStr">
        <is>
          <t>ST-030-STD-06</t>
        </is>
      </c>
      <c r="E1247" s="25" t="inlineStr">
        <is>
          <t>IA-ST-030-STD-06</t>
        </is>
      </c>
      <c r="F1247" s="25" t="inlineStr">
        <is>
          <t>IA-ST-CFG-0052</t>
        </is>
      </c>
      <c r="G1247" s="25" t="n">
        <v>32.3892</v>
      </c>
      <c r="H1247" s="25" t="inlineStr">
        <is>
          <t>988-pack GENERATED</t>
        </is>
      </c>
    </row>
    <row r="1248">
      <c r="A1248" s="25" t="inlineStr">
        <is>
          <t>1014164</t>
        </is>
      </c>
      <c r="B1248" s="25" t="inlineStr">
        <is>
          <t>AKÜ,C-IGYASMF,DK,230AH,EAS EFB S&amp;S</t>
        </is>
      </c>
      <c r="C1248" s="25" t="inlineStr">
        <is>
          <t>1</t>
        </is>
      </c>
      <c r="D1248" s="25" t="inlineStr">
        <is>
          <t>ST-021-STD-03</t>
        </is>
      </c>
      <c r="E1248" s="25" t="inlineStr">
        <is>
          <t>IA-ST-021-STD-03</t>
        </is>
      </c>
      <c r="F1248" s="25" t="inlineStr">
        <is>
          <t>IA-ST-CFG-0023</t>
        </is>
      </c>
      <c r="G1248" s="25" t="n">
        <v>31.8252</v>
      </c>
      <c r="H1248" s="25" t="inlineStr">
        <is>
          <t>988-pack GENERATED</t>
        </is>
      </c>
    </row>
    <row r="1249">
      <c r="A1249" s="25" t="inlineStr">
        <is>
          <t>1014165</t>
        </is>
      </c>
      <c r="B1249" s="25" t="inlineStr">
        <is>
          <t>AKÜ,L6,DK,110AH,KAMINA,EAS PRIDE,İÇPYS</t>
        </is>
      </c>
      <c r="C1249" s="25" t="inlineStr">
        <is>
          <t>1</t>
        </is>
      </c>
      <c r="D1249" s="25" t="inlineStr">
        <is>
          <t>ST-042-STD-06</t>
        </is>
      </c>
      <c r="E1249" s="25" t="inlineStr">
        <is>
          <t>IA-ST-042-STD-06</t>
        </is>
      </c>
      <c r="F1249" s="25" t="inlineStr">
        <is>
          <t>IA-ST-CFG-0081</t>
        </is>
      </c>
      <c r="G1249" s="25" t="n">
        <v>29.3124</v>
      </c>
      <c r="H1249" s="25" t="inlineStr">
        <is>
          <t>988-pack GENERATED</t>
        </is>
      </c>
    </row>
    <row r="1250">
      <c r="A1250" s="25" t="inlineStr">
        <is>
          <t>1014167</t>
        </is>
      </c>
      <c r="B1250" s="25" t="inlineStr">
        <is>
          <t>AKÜ,L6,DK,105AH,VRLA,HUGEL AGM S&amp;S,EURO</t>
        </is>
      </c>
      <c r="C1250" s="25" t="inlineStr">
        <is>
          <t>1</t>
        </is>
      </c>
      <c r="D1250" s="25" t="inlineStr">
        <is>
          <t>ST-036-EUR-06</t>
        </is>
      </c>
      <c r="E1250" s="25" t="inlineStr">
        <is>
          <t>IA-ST-036-EUR-06</t>
        </is>
      </c>
      <c r="F1250" s="25" t="inlineStr">
        <is>
          <t>IA-ST-CFG-0071</t>
        </is>
      </c>
      <c r="G1250" s="25" t="n">
        <v>29.0792</v>
      </c>
      <c r="H1250" s="25" t="inlineStr">
        <is>
          <t>988-pack GENERATED</t>
        </is>
      </c>
    </row>
    <row r="1251">
      <c r="A1251" s="25" t="inlineStr">
        <is>
          <t>1014168</t>
        </is>
      </c>
      <c r="B1251" s="25" t="inlineStr">
        <is>
          <t>AKÜ,LB4,DK,85AH,IGYSMF,HUGELMEGA,YD,EURO</t>
        </is>
      </c>
      <c r="C1251" s="25" t="inlineStr">
        <is>
          <t>1</t>
        </is>
      </c>
      <c r="D1251" s="25" t="inlineStr">
        <is>
          <t>ST-056-EUR-03</t>
        </is>
      </c>
      <c r="E1251" s="25" t="inlineStr">
        <is>
          <t>IA-ST-056-EUR-03</t>
        </is>
      </c>
      <c r="F1251" s="25" t="inlineStr">
        <is>
          <t>IA-ST-CFG-0152</t>
        </is>
      </c>
      <c r="G1251" s="25" t="n">
        <v>29.7432</v>
      </c>
      <c r="H1251" s="25" t="inlineStr">
        <is>
          <t>988-pack GENERATED</t>
        </is>
      </c>
    </row>
    <row r="1252">
      <c r="A1252" s="25" t="inlineStr">
        <is>
          <t>1014172</t>
        </is>
      </c>
      <c r="B1252" s="25" t="inlineStr">
        <is>
          <t>AKÜ,C-IGYASMF,DK,225AH,EAS ACTIVA,ATWAN</t>
        </is>
      </c>
      <c r="C1252" s="25" t="inlineStr">
        <is>
          <t>1</t>
        </is>
      </c>
      <c r="D1252" s="25" t="inlineStr">
        <is>
          <t>ST-021-STD-03</t>
        </is>
      </c>
      <c r="E1252" s="25" t="inlineStr">
        <is>
          <t>IA-ST-021-STD-03</t>
        </is>
      </c>
      <c r="F1252" s="25" t="inlineStr">
        <is>
          <t>IA-ST-CFG-0023</t>
        </is>
      </c>
      <c r="G1252" s="25" t="n">
        <v>31.8252</v>
      </c>
      <c r="H1252" s="25" t="inlineStr">
        <is>
          <t>988-pack GENERATED</t>
        </is>
      </c>
    </row>
    <row r="1253">
      <c r="A1253" s="25" t="inlineStr">
        <is>
          <t>1014173</t>
        </is>
      </c>
      <c r="B1253" s="25" t="inlineStr">
        <is>
          <t>AKÜ,D31,DK,90AH,IGYASMF,EAS KOLİLİ,ATWAN</t>
        </is>
      </c>
      <c r="C1253" s="25" t="inlineStr">
        <is>
          <t>1</t>
        </is>
      </c>
      <c r="D1253" s="25" t="inlineStr">
        <is>
          <t>ST-051-STD-04</t>
        </is>
      </c>
      <c r="E1253" s="25" t="inlineStr">
        <is>
          <t>IA-ST-051-STD-04</t>
        </is>
      </c>
      <c r="F1253" s="25" t="inlineStr">
        <is>
          <t>IA-ST-CFG-0125</t>
        </is>
      </c>
      <c r="G1253" s="25" t="n">
        <v>47.4584</v>
      </c>
      <c r="H1253" s="25" t="inlineStr">
        <is>
          <t>988-pack GENERATED</t>
        </is>
      </c>
    </row>
    <row r="1254">
      <c r="A1254" s="25" t="inlineStr">
        <is>
          <t>1014174</t>
        </is>
      </c>
      <c r="B1254" s="25" t="inlineStr">
        <is>
          <t>AKÜ,AGM,L5,DK,92AH,EAS AGM S&amp;S,ATWAN</t>
        </is>
      </c>
      <c r="C1254" s="25" t="inlineStr">
        <is>
          <t>1</t>
        </is>
      </c>
      <c r="D1254" s="25" t="inlineStr">
        <is>
          <t>ST-045-STD-08</t>
        </is>
      </c>
      <c r="E1254" s="25" t="inlineStr">
        <is>
          <t>IA-ST-045-STD-08</t>
        </is>
      </c>
      <c r="F1254" s="25" t="inlineStr">
        <is>
          <t>IA-ST-CFG-0096</t>
        </is>
      </c>
      <c r="G1254" s="25" t="n">
        <v>29.7192</v>
      </c>
      <c r="H1254" s="25" t="inlineStr">
        <is>
          <t>988-pack GENERATED</t>
        </is>
      </c>
    </row>
    <row r="1255">
      <c r="A1255" s="25" t="inlineStr">
        <is>
          <t>1014175</t>
        </is>
      </c>
      <c r="B1255" s="25" t="inlineStr">
        <is>
          <t>AKÜ,AGM,L6,DK,105AH,EAS AGM S&amp;S,ATWAN</t>
        </is>
      </c>
      <c r="C1255" s="25" t="inlineStr">
        <is>
          <t>1</t>
        </is>
      </c>
      <c r="D1255" s="25" t="inlineStr">
        <is>
          <t>ST-042-STD-05</t>
        </is>
      </c>
      <c r="E1255" s="25" t="inlineStr">
        <is>
          <t>IA-ST-042-STD-05</t>
        </is>
      </c>
      <c r="F1255" s="25" t="inlineStr">
        <is>
          <t>IA-ST-CFG-0080</t>
        </is>
      </c>
      <c r="G1255" s="25" t="n">
        <v>29.5992</v>
      </c>
      <c r="H1255" s="25" t="inlineStr">
        <is>
          <t>988-pack GENERATED</t>
        </is>
      </c>
    </row>
    <row r="1256">
      <c r="A1256" s="25" t="inlineStr">
        <is>
          <t>1014176</t>
        </is>
      </c>
      <c r="B1256" s="25" t="inlineStr">
        <is>
          <t>AKÜ,L2,TK,60AH,IGYASMF,BLIZZSILVRLN,EURO</t>
        </is>
      </c>
      <c r="C1256" s="25" t="inlineStr">
        <is>
          <t>1</t>
        </is>
      </c>
      <c r="D1256" s="25" t="inlineStr">
        <is>
          <t>ST-076-EUR-03</t>
        </is>
      </c>
      <c r="E1256" s="25" t="inlineStr">
        <is>
          <t>IA-ST-076-EUR-03</t>
        </is>
      </c>
      <c r="F1256" s="25" t="inlineStr">
        <is>
          <t>IA-ST-CFG-0240</t>
        </is>
      </c>
      <c r="G1256" s="25" t="n">
        <v>30.7272</v>
      </c>
      <c r="H1256" s="25" t="inlineStr">
        <is>
          <t>988-pack GENERATED</t>
        </is>
      </c>
    </row>
    <row r="1257">
      <c r="A1257" s="25" t="inlineStr">
        <is>
          <t>1014178</t>
        </is>
      </c>
      <c r="B1257" s="25" t="inlineStr">
        <is>
          <t>AKÜ,C-IGYASMF,DK,240AH,BLIZSILVERLN,EURO</t>
        </is>
      </c>
      <c r="C1257" s="25" t="inlineStr">
        <is>
          <t>1</t>
        </is>
      </c>
      <c r="D1257" s="25" t="inlineStr">
        <is>
          <t>ST-018-EUR-03</t>
        </is>
      </c>
      <c r="E1257" s="25" t="inlineStr">
        <is>
          <t>IA-ST-018-EUR-03</t>
        </is>
      </c>
      <c r="F1257" s="25" t="inlineStr">
        <is>
          <t>IA-ST-CFG-0014</t>
        </is>
      </c>
      <c r="G1257" s="25" t="n">
        <v>30.9872</v>
      </c>
      <c r="H1257" s="25" t="inlineStr">
        <is>
          <t>988-pack GENERATED</t>
        </is>
      </c>
    </row>
    <row r="1258">
      <c r="A1258" s="25" t="inlineStr">
        <is>
          <t>1014180</t>
        </is>
      </c>
      <c r="B1258" s="25" t="inlineStr">
        <is>
          <t>AKÜ,L4,DK,82AH,IGYSMF,PERFORMANCEBATTERY</t>
        </is>
      </c>
      <c r="C1258" s="25" t="inlineStr">
        <is>
          <t>1</t>
        </is>
      </c>
      <c r="D1258" s="25" t="inlineStr">
        <is>
          <t>ST-072-STD-22</t>
        </is>
      </c>
      <c r="E1258" s="25" t="inlineStr">
        <is>
          <t>IA-ST-072-STD-22</t>
        </is>
      </c>
      <c r="F1258" s="25" t="inlineStr">
        <is>
          <t>IA-ST-CFG-0231</t>
        </is>
      </c>
      <c r="G1258" s="25" t="n">
        <v>30.6372</v>
      </c>
      <c r="H1258" s="25" t="inlineStr">
        <is>
          <t>988-pack GENERATED</t>
        </is>
      </c>
    </row>
    <row r="1259">
      <c r="A1259" s="25" t="inlineStr">
        <is>
          <t>1014182</t>
        </is>
      </c>
      <c r="B1259" s="25" t="inlineStr">
        <is>
          <t>AKÜ,L1,DK,45AH,IGYSMF,PERFORMANCEBATTERY</t>
        </is>
      </c>
      <c r="C1259" s="25" t="inlineStr">
        <is>
          <t>1</t>
        </is>
      </c>
      <c r="D1259" s="25" t="inlineStr">
        <is>
          <t>ST-087-STD-03</t>
        </is>
      </c>
      <c r="E1259" s="25" t="inlineStr">
        <is>
          <t>IA-ST-087-STD-03</t>
        </is>
      </c>
      <c r="F1259" s="25" t="inlineStr">
        <is>
          <t>IA-ST-CFG-0248</t>
        </is>
      </c>
      <c r="G1259" s="25" t="n">
        <v>31.0092</v>
      </c>
      <c r="H1259" s="25" t="inlineStr">
        <is>
          <t>988-pack GENERATED</t>
        </is>
      </c>
    </row>
    <row r="1260">
      <c r="A1260" s="25" t="inlineStr">
        <is>
          <t>1014183</t>
        </is>
      </c>
      <c r="B1260" s="25" t="inlineStr">
        <is>
          <t>AKÜ,L2,DK,55AH,IGYSMF,PERFORMANCEBATTERY</t>
        </is>
      </c>
      <c r="C1260" s="25" t="inlineStr">
        <is>
          <t>1</t>
        </is>
      </c>
      <c r="D1260" s="25" t="inlineStr">
        <is>
          <t>ST-072-STD-13</t>
        </is>
      </c>
      <c r="E1260" s="25" t="inlineStr">
        <is>
          <t>IA-ST-072-STD-13</t>
        </is>
      </c>
      <c r="F1260" s="25" t="inlineStr">
        <is>
          <t>IA-ST-CFG-0222</t>
        </is>
      </c>
      <c r="G1260" s="25" t="n">
        <v>30.6552</v>
      </c>
      <c r="H1260" s="25" t="inlineStr">
        <is>
          <t>988-pack GENERATED</t>
        </is>
      </c>
    </row>
    <row r="1261">
      <c r="A1261" s="25" t="inlineStr">
        <is>
          <t>1014189</t>
        </is>
      </c>
      <c r="B1261" s="25" t="inlineStr">
        <is>
          <t>AKÜ,D23,TK,68AH,IGYSMF,EAS EXTRA,YD,EURO</t>
        </is>
      </c>
      <c r="C1261" s="25" t="inlineStr">
        <is>
          <t>1</t>
        </is>
      </c>
      <c r="D1261" s="25" t="inlineStr">
        <is>
          <t>ST-060-EUR-02</t>
        </is>
      </c>
      <c r="E1261" s="25" t="inlineStr">
        <is>
          <t>IA-ST-060-EUR-02</t>
        </is>
      </c>
      <c r="F1261" s="25" t="inlineStr">
        <is>
          <t>IA-ST-CFG-0171</t>
        </is>
      </c>
      <c r="G1261" s="25" t="n">
        <v>32.9834</v>
      </c>
      <c r="H1261" s="25" t="inlineStr">
        <is>
          <t>988-pack GENERATED</t>
        </is>
      </c>
    </row>
    <row r="1262">
      <c r="A1262" s="25" t="inlineStr">
        <is>
          <t>1014192</t>
        </is>
      </c>
      <c r="B1262" s="25" t="inlineStr">
        <is>
          <t>AKÜ,AGM,L6,DK,105AH,EAS AGM S&amp;S</t>
        </is>
      </c>
      <c r="C1262" s="25" t="inlineStr">
        <is>
          <t>1</t>
        </is>
      </c>
      <c r="D1262" s="25" t="inlineStr">
        <is>
          <t>ST-042-STD-05</t>
        </is>
      </c>
      <c r="E1262" s="25" t="inlineStr">
        <is>
          <t>IA-ST-042-STD-05</t>
        </is>
      </c>
      <c r="F1262" s="25" t="inlineStr">
        <is>
          <t>IA-ST-CFG-0080</t>
        </is>
      </c>
      <c r="G1262" s="25" t="n">
        <v>29.5992</v>
      </c>
      <c r="H1262" s="25" t="inlineStr">
        <is>
          <t>988-pack GENERATED</t>
        </is>
      </c>
    </row>
    <row r="1263">
      <c r="A1263" s="25" t="inlineStr">
        <is>
          <t>1014193</t>
        </is>
      </c>
      <c r="B1263" s="25" t="inlineStr">
        <is>
          <t>AKÜ,B-IGYASMF,DK,190AH,EAS EXTRA</t>
        </is>
      </c>
      <c r="C1263" s="25" t="inlineStr">
        <is>
          <t>1</t>
        </is>
      </c>
      <c r="D1263" s="25" t="inlineStr">
        <is>
          <t>ST-030-STD-06</t>
        </is>
      </c>
      <c r="E1263" s="25" t="inlineStr">
        <is>
          <t>IA-ST-030-STD-06</t>
        </is>
      </c>
      <c r="F1263" s="25" t="inlineStr">
        <is>
          <t>IA-ST-CFG-0052</t>
        </is>
      </c>
      <c r="G1263" s="25" t="n">
        <v>32.3892</v>
      </c>
      <c r="H1263" s="25" t="inlineStr">
        <is>
          <t>988-pack GENERATED</t>
        </is>
      </c>
    </row>
    <row r="1264">
      <c r="A1264" s="25" t="inlineStr">
        <is>
          <t>1014196</t>
        </is>
      </c>
      <c r="B1264" s="25" t="inlineStr">
        <is>
          <t>AKÜ,C-IGYASMF,DK,225AH,EAS ACTIVA,SHDNEW</t>
        </is>
      </c>
      <c r="C1264" s="25" t="inlineStr">
        <is>
          <t>1</t>
        </is>
      </c>
      <c r="D1264" s="25" t="inlineStr">
        <is>
          <t>ST-021-STD-03</t>
        </is>
      </c>
      <c r="E1264" s="25" t="inlineStr">
        <is>
          <t>IA-ST-021-STD-03</t>
        </is>
      </c>
      <c r="F1264" s="25" t="inlineStr">
        <is>
          <t>IA-ST-CFG-0023</t>
        </is>
      </c>
      <c r="G1264" s="25" t="n">
        <v>31.8252</v>
      </c>
      <c r="H1264" s="25" t="inlineStr">
        <is>
          <t>988-pack GENERATED</t>
        </is>
      </c>
    </row>
    <row r="1265">
      <c r="A1265" s="25" t="inlineStr">
        <is>
          <t>1014197</t>
        </is>
      </c>
      <c r="B1265" s="25" t="inlineStr">
        <is>
          <t>AKÜ,NS60,TK,55AH,IGYSMF,İNCİMAXIMA,İÇPYS</t>
        </is>
      </c>
      <c r="C1265" s="25" t="inlineStr">
        <is>
          <t>1</t>
        </is>
      </c>
      <c r="D1265" s="25" t="inlineStr">
        <is>
          <t>ST-096-STD-04</t>
        </is>
      </c>
      <c r="E1265" s="25" t="inlineStr">
        <is>
          <t>IA-ST-096-STD-04</t>
        </is>
      </c>
      <c r="F1265" s="25" t="inlineStr">
        <is>
          <t>IA-ST-CFG-0273</t>
        </is>
      </c>
      <c r="G1265" s="25" t="n">
        <v>34.7436</v>
      </c>
      <c r="H1265" s="25" t="inlineStr">
        <is>
          <t>988-pack GENERATED</t>
        </is>
      </c>
    </row>
    <row r="1266">
      <c r="A1266" s="25" t="inlineStr">
        <is>
          <t>1014198</t>
        </is>
      </c>
      <c r="B1266" s="25" t="inlineStr">
        <is>
          <t>AKÜ,L2,DK,60AH,AGM BOOSTER PREMIUM MAX</t>
        </is>
      </c>
      <c r="C1266" s="25" t="inlineStr">
        <is>
          <t>1</t>
        </is>
      </c>
      <c r="D1266" s="25" t="inlineStr">
        <is>
          <t>ST-057-EUR-04</t>
        </is>
      </c>
      <c r="E1266" s="25" t="inlineStr">
        <is>
          <t>IA-ST-057-EUR-04</t>
        </is>
      </c>
      <c r="F1266" s="25" t="inlineStr">
        <is>
          <t>IA-ST-CFG-0163</t>
        </is>
      </c>
      <c r="G1266" s="25" t="n">
        <v>29.8052</v>
      </c>
      <c r="H1266" s="25" t="inlineStr">
        <is>
          <t>988-pack GENERATED</t>
        </is>
      </c>
    </row>
    <row r="1267">
      <c r="A1267" s="25" t="inlineStr">
        <is>
          <t>1014199</t>
        </is>
      </c>
      <c r="B1267" s="25" t="inlineStr">
        <is>
          <t>AKÜ,L3,DK,70AH,AGM BOOSTER PREMIUM MAX</t>
        </is>
      </c>
      <c r="C1267" s="25" t="inlineStr">
        <is>
          <t>1</t>
        </is>
      </c>
      <c r="D1267" s="25" t="inlineStr">
        <is>
          <t>ST-051-EUR-03</t>
        </is>
      </c>
      <c r="E1267" s="25" t="inlineStr">
        <is>
          <t>IA-ST-051-EUR-03</t>
        </is>
      </c>
      <c r="F1267" s="25" t="inlineStr">
        <is>
          <t>IA-ST-CFG-0134</t>
        </is>
      </c>
      <c r="G1267" s="25" t="n">
        <v>29.3232</v>
      </c>
      <c r="H1267" s="25" t="inlineStr">
        <is>
          <t>988-pack GENERATED</t>
        </is>
      </c>
    </row>
    <row r="1268">
      <c r="A1268" s="25" t="inlineStr">
        <is>
          <t>1014200</t>
        </is>
      </c>
      <c r="B1268" s="25" t="inlineStr">
        <is>
          <t>AKÜ,L4,DK,80AH,AGM BOOSTER PREMIUM MAX</t>
        </is>
      </c>
      <c r="C1268" s="25" t="inlineStr">
        <is>
          <t>1</t>
        </is>
      </c>
      <c r="D1268" s="25" t="inlineStr">
        <is>
          <t>ST-042-EUR-03</t>
        </is>
      </c>
      <c r="E1268" s="25" t="inlineStr">
        <is>
          <t>IA-ST-042-EUR-03</t>
        </is>
      </c>
      <c r="F1268" s="25" t="inlineStr">
        <is>
          <t>IA-ST-CFG-0086</t>
        </is>
      </c>
      <c r="G1268" s="25" t="n">
        <v>29.0672</v>
      </c>
      <c r="H1268" s="25" t="inlineStr">
        <is>
          <t>988-pack GENERATED</t>
        </is>
      </c>
    </row>
    <row r="1269">
      <c r="A1269" s="25" t="inlineStr">
        <is>
          <t>1014201</t>
        </is>
      </c>
      <c r="B1269" s="25" t="inlineStr">
        <is>
          <t>AKÜ,L3,DK72AH,IGYA,EFB BOOSTERPREMIUMMAX</t>
        </is>
      </c>
      <c r="C1269" s="25" t="inlineStr">
        <is>
          <t>1</t>
        </is>
      </c>
      <c r="D1269" s="25" t="inlineStr">
        <is>
          <t>ST-051-EUR-03</t>
        </is>
      </c>
      <c r="E1269" s="25" t="inlineStr">
        <is>
          <t>IA-ST-051-EUR-03</t>
        </is>
      </c>
      <c r="F1269" s="25" t="inlineStr">
        <is>
          <t>IA-ST-CFG-0134</t>
        </is>
      </c>
      <c r="G1269" s="25" t="n">
        <v>29.3232</v>
      </c>
      <c r="H1269" s="25" t="inlineStr">
        <is>
          <t>988-pack GENERATED</t>
        </is>
      </c>
    </row>
    <row r="1270">
      <c r="A1270" s="25" t="inlineStr">
        <is>
          <t>1014202</t>
        </is>
      </c>
      <c r="B1270" s="25" t="inlineStr">
        <is>
          <t>AKÜ,LB2,DK,60AH,IGYA SMF,EFB S&amp;S,LUCAS</t>
        </is>
      </c>
      <c r="C1270" s="25" t="inlineStr">
        <is>
          <t>1</t>
        </is>
      </c>
      <c r="D1270" s="25" t="inlineStr">
        <is>
          <t>ST-072-STD-13</t>
        </is>
      </c>
      <c r="E1270" s="25" t="inlineStr">
        <is>
          <t>IA-ST-072-STD-13</t>
        </is>
      </c>
      <c r="F1270" s="25" t="inlineStr">
        <is>
          <t>IA-ST-CFG-0222</t>
        </is>
      </c>
      <c r="G1270" s="25" t="n">
        <v>30.6552</v>
      </c>
      <c r="H1270" s="25" t="inlineStr">
        <is>
          <t>988-pack GENERATED</t>
        </is>
      </c>
    </row>
    <row r="1271">
      <c r="A1271" s="25" t="inlineStr">
        <is>
          <t>1014203</t>
        </is>
      </c>
      <c r="B1271" s="25" t="inlineStr">
        <is>
          <t>AKÜ,LB3,DK,65AH,IGYA SMF,EFB S&amp;S,LUCAS</t>
        </is>
      </c>
      <c r="C1271" s="25" t="inlineStr">
        <is>
          <t>1</t>
        </is>
      </c>
      <c r="D1271" s="25" t="inlineStr">
        <is>
          <t>ST-063-STD-07</t>
        </is>
      </c>
      <c r="E1271" s="25" t="inlineStr">
        <is>
          <t>IA-ST-063-STD-07</t>
        </is>
      </c>
      <c r="F1271" s="25" t="inlineStr">
        <is>
          <t>IA-ST-CFG-0178</t>
        </is>
      </c>
      <c r="G1271" s="25" t="n">
        <v>29.8692</v>
      </c>
      <c r="H1271" s="25" t="inlineStr">
        <is>
          <t>988-pack GENERATED</t>
        </is>
      </c>
    </row>
    <row r="1272">
      <c r="A1272" s="25" t="inlineStr">
        <is>
          <t>1014204</t>
        </is>
      </c>
      <c r="B1272" s="25" t="inlineStr">
        <is>
          <t>AKÜ,LB4,DK,75AH,IGYA SMF,EFB S&amp;S,LUCAS</t>
        </is>
      </c>
      <c r="C1272" s="25" t="inlineStr">
        <is>
          <t>1</t>
        </is>
      </c>
      <c r="D1272" s="25" t="inlineStr">
        <is>
          <t>ST-054-STD-06</t>
        </is>
      </c>
      <c r="E1272" s="25" t="inlineStr">
        <is>
          <t>IA-ST-054-STD-06</t>
        </is>
      </c>
      <c r="F1272" s="25" t="inlineStr">
        <is>
          <t>IA-ST-CFG-0142</t>
        </is>
      </c>
      <c r="G1272" s="25" t="n">
        <v>29.7552</v>
      </c>
      <c r="H1272" s="25" t="inlineStr">
        <is>
          <t>988-pack GENERATED</t>
        </is>
      </c>
    </row>
    <row r="1273">
      <c r="A1273" s="25" t="inlineStr">
        <is>
          <t>1014205</t>
        </is>
      </c>
      <c r="B1273" s="25" t="inlineStr">
        <is>
          <t>AKÜ,L5,DK,90AH,IGYA SMF,EFB S&amp;S,LUCAS</t>
        </is>
      </c>
      <c r="C1273" s="25" t="inlineStr">
        <is>
          <t>1</t>
        </is>
      </c>
      <c r="D1273" s="25" t="inlineStr">
        <is>
          <t>ST-045-STD-08</t>
        </is>
      </c>
      <c r="E1273" s="25" t="inlineStr">
        <is>
          <t>IA-ST-045-STD-08</t>
        </is>
      </c>
      <c r="F1273" s="25" t="inlineStr">
        <is>
          <t>IA-ST-CFG-0096</t>
        </is>
      </c>
      <c r="G1273" s="25" t="n">
        <v>29.7192</v>
      </c>
      <c r="H1273" s="25" t="inlineStr">
        <is>
          <t>988-pack GENERATED</t>
        </is>
      </c>
    </row>
    <row r="1274">
      <c r="A1274" s="25" t="inlineStr">
        <is>
          <t>1014210</t>
        </is>
      </c>
      <c r="B1274" s="25" t="inlineStr">
        <is>
          <t>AKÜ,L2,DK,60AH,IGYSMF,BLIZZ.EFB S&amp;S,EURO</t>
        </is>
      </c>
      <c r="C1274" s="25" t="inlineStr">
        <is>
          <t>1</t>
        </is>
      </c>
      <c r="D1274" s="25" t="inlineStr">
        <is>
          <t>ST-057-EUR-04</t>
        </is>
      </c>
      <c r="E1274" s="25" t="inlineStr">
        <is>
          <t>IA-ST-057-EUR-04</t>
        </is>
      </c>
      <c r="F1274" s="25" t="inlineStr">
        <is>
          <t>IA-ST-CFG-0163</t>
        </is>
      </c>
      <c r="G1274" s="25" t="n">
        <v>29.8052</v>
      </c>
      <c r="H1274" s="25" t="inlineStr">
        <is>
          <t>988-pack GENERATED</t>
        </is>
      </c>
    </row>
    <row r="1275">
      <c r="A1275" s="25" t="inlineStr">
        <is>
          <t>1014213</t>
        </is>
      </c>
      <c r="B1275" s="25" t="inlineStr">
        <is>
          <t>AKÜ,D23,DK,65AH,IGYSMF,BLIZZ.EFBS&amp;S,EURO</t>
        </is>
      </c>
      <c r="C1275" s="25" t="inlineStr">
        <is>
          <t>1</t>
        </is>
      </c>
      <c r="D1275" s="25" t="inlineStr">
        <is>
          <t>ST-060-EUR-02</t>
        </is>
      </c>
      <c r="E1275" s="25" t="inlineStr">
        <is>
          <t>IA-ST-060-EUR-02</t>
        </is>
      </c>
      <c r="F1275" s="25" t="inlineStr">
        <is>
          <t>IA-ST-CFG-0171</t>
        </is>
      </c>
      <c r="G1275" s="25" t="n">
        <v>32.9834</v>
      </c>
      <c r="H1275" s="25" t="inlineStr">
        <is>
          <t>988-pack GENERATED</t>
        </is>
      </c>
    </row>
    <row r="1276">
      <c r="A1276" s="25" t="inlineStr">
        <is>
          <t>1014220</t>
        </is>
      </c>
      <c r="B1276" s="25" t="inlineStr">
        <is>
          <t>AKÜ,L3,DK,76AH,IGYA,SUNTECH,TÜRKMENİSTAN</t>
        </is>
      </c>
      <c r="C1276" s="25" t="inlineStr">
        <is>
          <t>1</t>
        </is>
      </c>
      <c r="D1276" s="25" t="inlineStr">
        <is>
          <t>ST-063-STD-08</t>
        </is>
      </c>
      <c r="E1276" s="25" t="inlineStr">
        <is>
          <t>IA-ST-063-STD-08</t>
        </is>
      </c>
      <c r="F1276" s="25" t="inlineStr">
        <is>
          <t>IA-ST-CFG-0179</t>
        </is>
      </c>
      <c r="G1276" s="25" t="n">
        <v>29.9992</v>
      </c>
      <c r="H1276" s="25" t="inlineStr">
        <is>
          <t>988-pack GENERATED</t>
        </is>
      </c>
    </row>
    <row r="1277">
      <c r="A1277" s="25" t="inlineStr">
        <is>
          <t>1014221</t>
        </is>
      </c>
      <c r="B1277" s="25" t="inlineStr">
        <is>
          <t>AKÜ,LB2,DK,62AH,IGYA,SUNTECH,TÜRKMENİSTN</t>
        </is>
      </c>
      <c r="C1277" s="25" t="inlineStr">
        <is>
          <t>1</t>
        </is>
      </c>
      <c r="D1277" s="25" t="inlineStr">
        <is>
          <t>ST-072-STD-13</t>
        </is>
      </c>
      <c r="E1277" s="25" t="inlineStr">
        <is>
          <t>IA-ST-072-STD-13</t>
        </is>
      </c>
      <c r="F1277" s="25" t="inlineStr">
        <is>
          <t>IA-ST-CFG-0222</t>
        </is>
      </c>
      <c r="G1277" s="25" t="n">
        <v>30.6552</v>
      </c>
      <c r="H1277" s="25" t="inlineStr">
        <is>
          <t>988-pack GENERATED</t>
        </is>
      </c>
    </row>
    <row r="1278">
      <c r="A1278" s="25" t="inlineStr">
        <is>
          <t>1014222</t>
        </is>
      </c>
      <c r="B1278" s="25" t="inlineStr">
        <is>
          <t>AKÜ,C-IGYASMF,DK225AH,İNCİFORMTAU,SHDNEW</t>
        </is>
      </c>
      <c r="C1278" s="25" t="inlineStr">
        <is>
          <t>1</t>
        </is>
      </c>
      <c r="D1278" s="25" t="inlineStr">
        <is>
          <t>ST-021-STD-03</t>
        </is>
      </c>
      <c r="E1278" s="25" t="inlineStr">
        <is>
          <t>IA-ST-021-STD-03</t>
        </is>
      </c>
      <c r="F1278" s="25" t="inlineStr">
        <is>
          <t>IA-ST-CFG-0023</t>
        </is>
      </c>
      <c r="G1278" s="25" t="n">
        <v>31.8252</v>
      </c>
      <c r="H1278" s="25" t="inlineStr">
        <is>
          <t>988-pack GENERATED</t>
        </is>
      </c>
    </row>
    <row r="1279">
      <c r="A1279" s="25" t="inlineStr">
        <is>
          <t>1014223</t>
        </is>
      </c>
      <c r="B1279" s="25" t="inlineStr">
        <is>
          <t>AKÜ,LB3,DK,72AH,IGYA SMF,EAS ACTIVA</t>
        </is>
      </c>
      <c r="C1279" s="25" t="inlineStr">
        <is>
          <t>1</t>
        </is>
      </c>
      <c r="D1279" s="25" t="inlineStr">
        <is>
          <t>ST-063-STD-07</t>
        </is>
      </c>
      <c r="E1279" s="25" t="inlineStr">
        <is>
          <t>IA-ST-063-STD-07</t>
        </is>
      </c>
      <c r="F1279" s="25" t="inlineStr">
        <is>
          <t>IA-ST-CFG-0178</t>
        </is>
      </c>
      <c r="G1279" s="25" t="n">
        <v>29.8692</v>
      </c>
      <c r="H1279" s="25" t="inlineStr">
        <is>
          <t>988-pack GENERATED</t>
        </is>
      </c>
    </row>
    <row r="1280">
      <c r="A1280" s="25" t="inlineStr">
        <is>
          <t>1014253</t>
        </is>
      </c>
      <c r="B1280" s="25" t="inlineStr">
        <is>
          <t>AKÜ,L5,DK,100AH,IGYSMF,YBX7019-100,GYEUR</t>
        </is>
      </c>
      <c r="C1280" s="25" t="inlineStr">
        <is>
          <t>1</t>
        </is>
      </c>
      <c r="D1280" s="25" t="inlineStr">
        <is>
          <t>ST-036-EUR-04</t>
        </is>
      </c>
      <c r="E1280" s="25" t="inlineStr">
        <is>
          <t>IA-ST-036-EUR-04</t>
        </is>
      </c>
      <c r="F1280" s="25" t="inlineStr">
        <is>
          <t>IA-ST-CFG-0068</t>
        </is>
      </c>
      <c r="G1280" s="25" t="n">
        <v>27.926</v>
      </c>
      <c r="H1280" s="25" t="inlineStr">
        <is>
          <t>988-pack GENERATED</t>
        </is>
      </c>
    </row>
    <row r="1281">
      <c r="A1281" s="25" t="inlineStr">
        <is>
          <t>1014254</t>
        </is>
      </c>
      <c r="B1281" s="25" t="inlineStr">
        <is>
          <t>AKÜ,L5DK100AH,IGYSMF,NONAME7019-100GYEUR</t>
        </is>
      </c>
      <c r="C1281" s="25" t="inlineStr">
        <is>
          <t>1</t>
        </is>
      </c>
      <c r="D1281" s="25" t="inlineStr">
        <is>
          <t>ST-036-EUR-04</t>
        </is>
      </c>
      <c r="E1281" s="25" t="inlineStr">
        <is>
          <t>IA-ST-036-EUR-04</t>
        </is>
      </c>
      <c r="F1281" s="25" t="inlineStr">
        <is>
          <t>IA-ST-CFG-0068</t>
        </is>
      </c>
      <c r="G1281" s="25" t="n">
        <v>27.926</v>
      </c>
      <c r="H1281" s="25" t="inlineStr">
        <is>
          <t>988-pack GENERATED</t>
        </is>
      </c>
    </row>
    <row r="1282">
      <c r="A1282" s="25" t="inlineStr">
        <is>
          <t>1014255</t>
        </is>
      </c>
      <c r="B1282" s="25" t="inlineStr">
        <is>
          <t>AKÜ,L3,DK,75AH,IGYASMF,YBX7096-075,GYEUR</t>
        </is>
      </c>
      <c r="C1282" s="25" t="inlineStr">
        <is>
          <t>1</t>
        </is>
      </c>
      <c r="D1282" s="25" t="inlineStr">
        <is>
          <t>ST-045-EUR-01</t>
        </is>
      </c>
      <c r="E1282" s="25" t="inlineStr">
        <is>
          <t>IA-ST-045-EUR-01</t>
        </is>
      </c>
      <c r="F1282" s="25" t="inlineStr">
        <is>
          <t>IA-ST-CFG-0103</t>
        </is>
      </c>
      <c r="G1282" s="25" t="n">
        <v>27.926</v>
      </c>
      <c r="H1282" s="25" t="inlineStr">
        <is>
          <t>988-pack GENERATED</t>
        </is>
      </c>
    </row>
    <row r="1283">
      <c r="A1283" s="25" t="inlineStr">
        <is>
          <t>1014256</t>
        </is>
      </c>
      <c r="B1283" s="25" t="inlineStr">
        <is>
          <t>AKÜ,L3DK75AH,IGYASMF,NONAME7096-075GYEUR</t>
        </is>
      </c>
      <c r="C1283" s="25" t="inlineStr">
        <is>
          <t>1</t>
        </is>
      </c>
      <c r="D1283" s="25" t="inlineStr">
        <is>
          <t>ST-045-EUR-01</t>
        </is>
      </c>
      <c r="E1283" s="25" t="inlineStr">
        <is>
          <t>IA-ST-045-EUR-01</t>
        </is>
      </c>
      <c r="F1283" s="25" t="inlineStr">
        <is>
          <t>IA-ST-CFG-0103</t>
        </is>
      </c>
      <c r="G1283" s="25" t="n">
        <v>27.926</v>
      </c>
      <c r="H1283" s="25" t="inlineStr">
        <is>
          <t>988-pack GENERATED</t>
        </is>
      </c>
    </row>
    <row r="1284">
      <c r="A1284" s="25" t="inlineStr">
        <is>
          <t>1014258</t>
        </is>
      </c>
      <c r="B1284" s="25" t="inlineStr">
        <is>
          <t>AKÜ AGM,L4,DK,80AH,HUGEL AGM S&amp;S,EURO</t>
        </is>
      </c>
      <c r="C1284" s="25" t="inlineStr">
        <is>
          <t>1</t>
        </is>
      </c>
      <c r="D1284" s="25" t="inlineStr">
        <is>
          <t>ST-042-EUR-03</t>
        </is>
      </c>
      <c r="E1284" s="25" t="inlineStr">
        <is>
          <t>IA-ST-042-EUR-03</t>
        </is>
      </c>
      <c r="F1284" s="25" t="inlineStr">
        <is>
          <t>IA-ST-CFG-0086</t>
        </is>
      </c>
      <c r="G1284" s="25" t="n">
        <v>29.0672</v>
      </c>
      <c r="H1284" s="25" t="inlineStr">
        <is>
          <t>988-pack GENERATED</t>
        </is>
      </c>
    </row>
    <row r="1285">
      <c r="A1285" s="25" t="inlineStr">
        <is>
          <t>1014268</t>
        </is>
      </c>
      <c r="B1285" s="25" t="inlineStr">
        <is>
          <t>AKÜ,L2,TK,60AH,IGYASMF,BLIZ SILVR,JANENE</t>
        </is>
      </c>
      <c r="C1285" s="25" t="inlineStr">
        <is>
          <t>1</t>
        </is>
      </c>
      <c r="D1285" s="25" t="inlineStr">
        <is>
          <t>ST-072-STD-13</t>
        </is>
      </c>
      <c r="E1285" s="25" t="inlineStr">
        <is>
          <t>IA-ST-072-STD-13</t>
        </is>
      </c>
      <c r="F1285" s="25" t="inlineStr">
        <is>
          <t>IA-ST-CFG-0222</t>
        </is>
      </c>
      <c r="G1285" s="25" t="n">
        <v>30.6552</v>
      </c>
      <c r="H1285" s="25" t="inlineStr">
        <is>
          <t>988-pack GENERATED</t>
        </is>
      </c>
    </row>
    <row r="1286">
      <c r="A1286" s="25" t="inlineStr">
        <is>
          <t>1014269</t>
        </is>
      </c>
      <c r="B1286" s="25" t="inlineStr">
        <is>
          <t>AKÜ AGM,L2,DK,60AH,VRLA,BLIZZARO AGM S&amp;S</t>
        </is>
      </c>
      <c r="C1286" s="25" t="inlineStr">
        <is>
          <t>1</t>
        </is>
      </c>
      <c r="D1286" s="25" t="inlineStr">
        <is>
          <t>ST-072-STD-13</t>
        </is>
      </c>
      <c r="E1286" s="25" t="inlineStr">
        <is>
          <t>IA-ST-072-STD-13</t>
        </is>
      </c>
      <c r="F1286" s="25" t="inlineStr">
        <is>
          <t>IA-ST-CFG-0222</t>
        </is>
      </c>
      <c r="G1286" s="25" t="n">
        <v>30.6552</v>
      </c>
      <c r="H1286" s="25" t="inlineStr">
        <is>
          <t>988-pack GENERATED</t>
        </is>
      </c>
    </row>
    <row r="1287">
      <c r="A1287" s="25" t="inlineStr">
        <is>
          <t>1014270</t>
        </is>
      </c>
      <c r="B1287" s="25" t="inlineStr">
        <is>
          <t>AKÜ AGM,L3,DK,70AH,VRLA,BLIZZARO AGM S&amp;S</t>
        </is>
      </c>
      <c r="C1287" s="25" t="inlineStr">
        <is>
          <t>1</t>
        </is>
      </c>
      <c r="D1287" s="25" t="inlineStr">
        <is>
          <t>ST-063-STD-08</t>
        </is>
      </c>
      <c r="E1287" s="25" t="inlineStr">
        <is>
          <t>IA-ST-063-STD-08</t>
        </is>
      </c>
      <c r="F1287" s="25" t="inlineStr">
        <is>
          <t>IA-ST-CFG-0179</t>
        </is>
      </c>
      <c r="G1287" s="25" t="n">
        <v>29.9992</v>
      </c>
      <c r="H1287" s="25" t="inlineStr">
        <is>
          <t>988-pack GENERATED</t>
        </is>
      </c>
    </row>
    <row r="1288">
      <c r="A1288" s="25" t="inlineStr">
        <is>
          <t>1014271</t>
        </is>
      </c>
      <c r="B1288" s="25" t="inlineStr">
        <is>
          <t>AKÜ AGM,L4,DK,80AH,VRLA,BLIZZARO AGM S&amp;S</t>
        </is>
      </c>
      <c r="C1288" s="25" t="inlineStr">
        <is>
          <t>1</t>
        </is>
      </c>
      <c r="D1288" s="25" t="inlineStr">
        <is>
          <t>ST-054-STD-06</t>
        </is>
      </c>
      <c r="E1288" s="25" t="inlineStr">
        <is>
          <t>IA-ST-054-STD-06</t>
        </is>
      </c>
      <c r="F1288" s="25" t="inlineStr">
        <is>
          <t>IA-ST-CFG-0142</t>
        </is>
      </c>
      <c r="G1288" s="25" t="n">
        <v>29.7552</v>
      </c>
      <c r="H1288" s="25" t="inlineStr">
        <is>
          <t>988-pack GENERATED</t>
        </is>
      </c>
    </row>
    <row r="1289">
      <c r="A1289" s="25" t="inlineStr">
        <is>
          <t>1014272</t>
        </is>
      </c>
      <c r="B1289" s="25" t="inlineStr">
        <is>
          <t>AKÜ AGM,L5,DK,92AH,VRLA,BLIZZARO AGM S&amp;S</t>
        </is>
      </c>
      <c r="C1289" s="25" t="inlineStr">
        <is>
          <t>1</t>
        </is>
      </c>
      <c r="D1289" s="25" t="inlineStr">
        <is>
          <t>ST-045-STD-08</t>
        </is>
      </c>
      <c r="E1289" s="25" t="inlineStr">
        <is>
          <t>IA-ST-045-STD-08</t>
        </is>
      </c>
      <c r="F1289" s="25" t="inlineStr">
        <is>
          <t>IA-ST-CFG-0096</t>
        </is>
      </c>
      <c r="G1289" s="25" t="n">
        <v>29.7192</v>
      </c>
      <c r="H1289" s="25" t="inlineStr">
        <is>
          <t>988-pack GENERATED</t>
        </is>
      </c>
    </row>
    <row r="1290">
      <c r="A1290" s="25" t="inlineStr">
        <is>
          <t>1014275</t>
        </is>
      </c>
      <c r="B1290" s="25" t="inlineStr">
        <is>
          <t>AKÜ,L2,DK,65AH,IGYASMF,BLIZZARO GOLDLINE</t>
        </is>
      </c>
      <c r="C1290" s="25" t="inlineStr">
        <is>
          <t>1</t>
        </is>
      </c>
      <c r="D1290" s="25" t="inlineStr">
        <is>
          <t>ST-072-STD-13</t>
        </is>
      </c>
      <c r="E1290" s="25" t="inlineStr">
        <is>
          <t>IA-ST-072-STD-13</t>
        </is>
      </c>
      <c r="F1290" s="25" t="inlineStr">
        <is>
          <t>IA-ST-CFG-0222</t>
        </is>
      </c>
      <c r="G1290" s="25" t="n">
        <v>30.6552</v>
      </c>
      <c r="H1290" s="25" t="inlineStr">
        <is>
          <t>988-pack GENERATED</t>
        </is>
      </c>
    </row>
    <row r="1291">
      <c r="A1291" s="25" t="inlineStr">
        <is>
          <t>1014276</t>
        </is>
      </c>
      <c r="B1291" s="25" t="inlineStr">
        <is>
          <t>AKÜ,L3,DK,80AH,IGYASMF,BLIZZARO GOLDLINE</t>
        </is>
      </c>
      <c r="C1291" s="25" t="inlineStr">
        <is>
          <t>1</t>
        </is>
      </c>
      <c r="D1291" s="25" t="inlineStr">
        <is>
          <t>ST-063-STD-08</t>
        </is>
      </c>
      <c r="E1291" s="25" t="inlineStr">
        <is>
          <t>IA-ST-063-STD-08</t>
        </is>
      </c>
      <c r="F1291" s="25" t="inlineStr">
        <is>
          <t>IA-ST-CFG-0179</t>
        </is>
      </c>
      <c r="G1291" s="25" t="n">
        <v>29.9992</v>
      </c>
      <c r="H1291" s="25" t="inlineStr">
        <is>
          <t>988-pack GENERATED</t>
        </is>
      </c>
    </row>
    <row r="1292">
      <c r="A1292" s="25" t="inlineStr">
        <is>
          <t>1014277</t>
        </is>
      </c>
      <c r="B1292" s="25" t="inlineStr">
        <is>
          <t>AKÜ,L5,DK,102AH,IGYSMF,BLIZZARO GOLDLINE</t>
        </is>
      </c>
      <c r="C1292" s="25" t="inlineStr">
        <is>
          <t>1</t>
        </is>
      </c>
      <c r="D1292" s="25" t="inlineStr">
        <is>
          <t>ST-045-STD-08</t>
        </is>
      </c>
      <c r="E1292" s="25" t="inlineStr">
        <is>
          <t>IA-ST-045-STD-08</t>
        </is>
      </c>
      <c r="F1292" s="25" t="inlineStr">
        <is>
          <t>IA-ST-CFG-0096</t>
        </is>
      </c>
      <c r="G1292" s="25" t="n">
        <v>29.7192</v>
      </c>
      <c r="H1292" s="25" t="inlineStr">
        <is>
          <t>988-pack GENERATED</t>
        </is>
      </c>
    </row>
    <row r="1293">
      <c r="A1293" s="25" t="inlineStr">
        <is>
          <t>1014278</t>
        </is>
      </c>
      <c r="B1293" s="25" t="inlineStr">
        <is>
          <t>AKÜ,L2,DK,60AH,IGYSMF,BLIZZAROSILVERLINE</t>
        </is>
      </c>
      <c r="C1293" s="25" t="inlineStr">
        <is>
          <t>1</t>
        </is>
      </c>
      <c r="D1293" s="25" t="inlineStr">
        <is>
          <t>ST-072-STD-13</t>
        </is>
      </c>
      <c r="E1293" s="25" t="inlineStr">
        <is>
          <t>IA-ST-072-STD-13</t>
        </is>
      </c>
      <c r="F1293" s="25" t="inlineStr">
        <is>
          <t>IA-ST-CFG-0222</t>
        </is>
      </c>
      <c r="G1293" s="25" t="n">
        <v>30.6552</v>
      </c>
      <c r="H1293" s="25" t="inlineStr">
        <is>
          <t>988-pack GENERATED</t>
        </is>
      </c>
    </row>
    <row r="1294">
      <c r="A1294" s="25" t="inlineStr">
        <is>
          <t>1014280</t>
        </is>
      </c>
      <c r="B1294" s="25" t="inlineStr">
        <is>
          <t>AKÜ,L3,DK,75AH,IGYSMF,BLIZZAROSILVERLINE</t>
        </is>
      </c>
      <c r="C1294" s="25" t="inlineStr">
        <is>
          <t>1</t>
        </is>
      </c>
      <c r="D1294" s="25" t="inlineStr">
        <is>
          <t>ST-063-STD-08</t>
        </is>
      </c>
      <c r="E1294" s="25" t="inlineStr">
        <is>
          <t>IA-ST-063-STD-08</t>
        </is>
      </c>
      <c r="F1294" s="25" t="inlineStr">
        <is>
          <t>IA-ST-CFG-0179</t>
        </is>
      </c>
      <c r="G1294" s="25" t="n">
        <v>29.9992</v>
      </c>
      <c r="H1294" s="25" t="inlineStr">
        <is>
          <t>988-pack GENERATED</t>
        </is>
      </c>
    </row>
    <row r="1295">
      <c r="A1295" s="25" t="inlineStr">
        <is>
          <t>1014281</t>
        </is>
      </c>
      <c r="B1295" s="25" t="inlineStr">
        <is>
          <t>AKÜ,L5,DK,92AH,IGYSMF,BLIZZAROSILVERLINE</t>
        </is>
      </c>
      <c r="C1295" s="25" t="inlineStr">
        <is>
          <t>1</t>
        </is>
      </c>
      <c r="D1295" s="25" t="inlineStr">
        <is>
          <t>ST-045-STD-08</t>
        </is>
      </c>
      <c r="E1295" s="25" t="inlineStr">
        <is>
          <t>IA-ST-045-STD-08</t>
        </is>
      </c>
      <c r="F1295" s="25" t="inlineStr">
        <is>
          <t>IA-ST-CFG-0096</t>
        </is>
      </c>
      <c r="G1295" s="25" t="n">
        <v>29.7192</v>
      </c>
      <c r="H1295" s="25" t="inlineStr">
        <is>
          <t>988-pack GENERATED</t>
        </is>
      </c>
    </row>
    <row r="1296">
      <c r="A1296" s="25" t="inlineStr">
        <is>
          <t>1014283</t>
        </is>
      </c>
      <c r="B1296" s="25" t="inlineStr">
        <is>
          <t>AKÜ,NS60,DK,45AH,IGYSMF,BLIZZAROSILVRLNE</t>
        </is>
      </c>
      <c r="C1296" s="25" t="inlineStr">
        <is>
          <t>1</t>
        </is>
      </c>
      <c r="D1296" s="25" t="inlineStr">
        <is>
          <t>ST-096-STD-03</t>
        </is>
      </c>
      <c r="E1296" s="25" t="inlineStr">
        <is>
          <t>IA-ST-096-STD-03</t>
        </is>
      </c>
      <c r="F1296" s="25" t="inlineStr">
        <is>
          <t>IA-ST-CFG-0272</t>
        </is>
      </c>
      <c r="G1296" s="25" t="n">
        <v>35.3172</v>
      </c>
      <c r="H1296" s="25" t="inlineStr">
        <is>
          <t>988-pack GENERATED</t>
        </is>
      </c>
    </row>
    <row r="1297">
      <c r="A1297" s="25" t="inlineStr">
        <is>
          <t>1014285</t>
        </is>
      </c>
      <c r="B1297" s="25" t="inlineStr">
        <is>
          <t>AKÜ,D26,DK,75AH,IGYSMF,BLIZZAROSILVERLNE</t>
        </is>
      </c>
      <c r="C1297" s="25" t="inlineStr">
        <is>
          <t>1</t>
        </is>
      </c>
      <c r="D1297" s="25" t="inlineStr">
        <is>
          <t>ST-063-STD-04</t>
        </is>
      </c>
      <c r="E1297" s="25" t="inlineStr">
        <is>
          <t>IA-ST-063-STD-04</t>
        </is>
      </c>
      <c r="F1297" s="25" t="inlineStr">
        <is>
          <t>IA-ST-CFG-0175</t>
        </is>
      </c>
      <c r="G1297" s="25" t="n">
        <v>34.1512</v>
      </c>
      <c r="H1297" s="25" t="inlineStr">
        <is>
          <t>988-pack GENERATED</t>
        </is>
      </c>
    </row>
    <row r="1298">
      <c r="A1298" s="25" t="inlineStr">
        <is>
          <t>1014307</t>
        </is>
      </c>
      <c r="B1298" s="25" t="inlineStr">
        <is>
          <t>AKÜ,A-IGYA,TK135AH,FORMULA,SHDNEW,YANMAR</t>
        </is>
      </c>
      <c r="C1298" s="25" t="inlineStr">
        <is>
          <t>1</t>
        </is>
      </c>
      <c r="D1298" s="25" t="inlineStr">
        <is>
          <t>ST-030-STD-08</t>
        </is>
      </c>
      <c r="E1298" s="25" t="inlineStr">
        <is>
          <t>IA-ST-030-STD-08</t>
        </is>
      </c>
      <c r="F1298" s="25" t="inlineStr">
        <is>
          <t>IA-ST-CFG-0054</t>
        </is>
      </c>
      <c r="G1298" s="25" t="n">
        <v>31.4124</v>
      </c>
      <c r="H1298" s="25" t="inlineStr">
        <is>
          <t>988-pack GENERATED</t>
        </is>
      </c>
    </row>
    <row r="1299">
      <c r="A1299" s="25" t="inlineStr">
        <is>
          <t>1014311</t>
        </is>
      </c>
      <c r="B1299" s="25" t="inlineStr">
        <is>
          <t>AKÜ,L2DK,60AH,VRLA,AGMYBX9027-060,EXPORT</t>
        </is>
      </c>
      <c r="C1299" s="25" t="inlineStr">
        <is>
          <t>1</t>
        </is>
      </c>
      <c r="D1299" s="25" t="inlineStr">
        <is>
          <t>ST-048-STD-02</t>
        </is>
      </c>
      <c r="E1299" s="25" t="inlineStr">
        <is>
          <t>IA-ST-048-STD-02</t>
        </is>
      </c>
      <c r="F1299" s="25" t="inlineStr">
        <is>
          <t>IA-ST-CFG-0106</t>
        </is>
      </c>
      <c r="G1299" s="25" t="n">
        <v>29.76</v>
      </c>
      <c r="H1299" s="25" t="inlineStr">
        <is>
          <t>988-pack GENERATED</t>
        </is>
      </c>
    </row>
    <row r="1300">
      <c r="A1300" s="25" t="inlineStr">
        <is>
          <t>1014312</t>
        </is>
      </c>
      <c r="B1300" s="25" t="inlineStr">
        <is>
          <t>AKÜ,L3DK,70AH,VRLA,AGMYBX9096-070,EXPORT</t>
        </is>
      </c>
      <c r="C1300" s="25" t="inlineStr">
        <is>
          <t>1</t>
        </is>
      </c>
      <c r="D1300" s="25" t="inlineStr">
        <is>
          <t>ST-042-STD-03</t>
        </is>
      </c>
      <c r="E1300" s="25" t="inlineStr">
        <is>
          <t>IA-ST-042-STD-03</t>
        </is>
      </c>
      <c r="F1300" s="25" t="inlineStr">
        <is>
          <t>IA-ST-CFG-0078</t>
        </is>
      </c>
      <c r="G1300" s="25" t="n">
        <v>29.323</v>
      </c>
      <c r="H1300" s="25" t="inlineStr">
        <is>
          <t>988-pack GENERATED</t>
        </is>
      </c>
    </row>
    <row r="1301">
      <c r="A1301" s="25" t="inlineStr">
        <is>
          <t>1014313</t>
        </is>
      </c>
      <c r="B1301" s="25" t="inlineStr">
        <is>
          <t>AKÜ,L4DK,80AH,VRLA,AGMYBX9115-080,EXPORT</t>
        </is>
      </c>
      <c r="C1301" s="25" t="inlineStr">
        <is>
          <t>1</t>
        </is>
      </c>
      <c r="D1301" s="25" t="inlineStr">
        <is>
          <t>ST-036-STD-02</t>
        </is>
      </c>
      <c r="E1301" s="25" t="inlineStr">
        <is>
          <t>IA-ST-036-STD-02</t>
        </is>
      </c>
      <c r="F1301" s="25" t="inlineStr">
        <is>
          <t>IA-ST-CFG-0063</t>
        </is>
      </c>
      <c r="G1301" s="25" t="n">
        <v>29.16</v>
      </c>
      <c r="H1301" s="25" t="inlineStr">
        <is>
          <t>988-pack GENERATED</t>
        </is>
      </c>
    </row>
    <row r="1302">
      <c r="A1302" s="25" t="inlineStr">
        <is>
          <t>1014314</t>
        </is>
      </c>
      <c r="B1302" s="25" t="inlineStr">
        <is>
          <t>AKÜ,L5DK,95AH,VRLA,AGMYBX9019-095,EXPORT</t>
        </is>
      </c>
      <c r="C1302" s="25" t="inlineStr">
        <is>
          <t>1</t>
        </is>
      </c>
      <c r="D1302" s="25" t="inlineStr">
        <is>
          <t>ST-030-STD-01</t>
        </is>
      </c>
      <c r="E1302" s="25" t="inlineStr">
        <is>
          <t>IA-ST-030-STD-01</t>
        </is>
      </c>
      <c r="F1302" s="25" t="inlineStr">
        <is>
          <t>IA-ST-CFG-0046</t>
        </is>
      </c>
      <c r="G1302" s="25" t="n">
        <v>29.136</v>
      </c>
      <c r="H1302" s="25" t="inlineStr">
        <is>
          <t>988-pack GENERATED</t>
        </is>
      </c>
    </row>
    <row r="1303">
      <c r="A1303" s="25" t="inlineStr">
        <is>
          <t>1014315</t>
        </is>
      </c>
      <c r="B1303" s="25" t="inlineStr">
        <is>
          <t>AKÜ,L6DK105AH,VRLA,AGMYBX9020-105,EXPORT</t>
        </is>
      </c>
      <c r="C1303" s="25" t="inlineStr">
        <is>
          <t>1</t>
        </is>
      </c>
      <c r="D1303" s="25" t="inlineStr">
        <is>
          <t>ST-028-STD-01</t>
        </is>
      </c>
      <c r="E1303" s="25" t="inlineStr">
        <is>
          <t>IA-ST-028-STD-01</t>
        </is>
      </c>
      <c r="F1303" s="25" t="inlineStr">
        <is>
          <t>IA-ST-CFG-0045</t>
        </is>
      </c>
      <c r="G1303" s="25" t="n">
        <v>29.056</v>
      </c>
      <c r="H1303" s="25" t="inlineStr">
        <is>
          <t>988-pack GENERATED</t>
        </is>
      </c>
    </row>
    <row r="1304">
      <c r="A1304" s="25" t="inlineStr">
        <is>
          <t>1014316</t>
        </is>
      </c>
      <c r="B1304" s="25" t="inlineStr">
        <is>
          <t>AKÜ AGM,L5,DK,95AH,VRLA,İNCİ AGM LEO</t>
        </is>
      </c>
      <c r="C1304" s="25" t="inlineStr">
        <is>
          <t>1</t>
        </is>
      </c>
      <c r="D1304" s="25" t="inlineStr">
        <is>
          <t>ST-045-STD-08</t>
        </is>
      </c>
      <c r="E1304" s="25" t="inlineStr">
        <is>
          <t>IA-ST-045-STD-08</t>
        </is>
      </c>
      <c r="F1304" s="25" t="inlineStr">
        <is>
          <t>IA-ST-CFG-0096</t>
        </is>
      </c>
      <c r="G1304" s="25" t="n">
        <v>29.7192</v>
      </c>
      <c r="H1304" s="25" t="inlineStr">
        <is>
          <t>988-pack GENERATED</t>
        </is>
      </c>
    </row>
    <row r="1305">
      <c r="A1305" s="25" t="inlineStr">
        <is>
          <t>1014324</t>
        </is>
      </c>
      <c r="B1305" s="25" t="inlineStr">
        <is>
          <t>AKÜ,D20,DK,55AH,KSK,ZITEX BATTERY</t>
        </is>
      </c>
      <c r="C1305" s="25" t="inlineStr">
        <is>
          <t>1</t>
        </is>
      </c>
      <c r="D1305" s="25" t="inlineStr">
        <is>
          <t>ST-072-STD-11</t>
        </is>
      </c>
      <c r="E1305" s="25" t="inlineStr">
        <is>
          <t>IA-ST-072-STD-11</t>
        </is>
      </c>
      <c r="F1305" s="25" t="inlineStr">
        <is>
          <t>IA-ST-CFG-0220</t>
        </is>
      </c>
      <c r="G1305" s="25" t="n">
        <v>30.33912</v>
      </c>
      <c r="H1305" s="25" t="inlineStr">
        <is>
          <t>988-pack GENERATED</t>
        </is>
      </c>
    </row>
    <row r="1306">
      <c r="A1306" s="25" t="inlineStr">
        <is>
          <t>1014327</t>
        </is>
      </c>
      <c r="B1306" s="25" t="inlineStr">
        <is>
          <t>AKÜ,D23,DK,68AH,IGYASMF,ZITEX BATTERY</t>
        </is>
      </c>
      <c r="C1306" s="25" t="inlineStr">
        <is>
          <t>1</t>
        </is>
      </c>
      <c r="D1306" s="25" t="inlineStr">
        <is>
          <t>ST-072-STD-10</t>
        </is>
      </c>
      <c r="E1306" s="25" t="inlineStr">
        <is>
          <t>IA-ST-072-STD-10</t>
        </is>
      </c>
      <c r="F1306" s="25" t="inlineStr">
        <is>
          <t>IA-ST-CFG-0219</t>
        </is>
      </c>
      <c r="G1306" s="25" t="n">
        <v>34.33224</v>
      </c>
      <c r="H1306" s="25" t="inlineStr">
        <is>
          <t>988-pack GENERATED</t>
        </is>
      </c>
    </row>
    <row r="1307">
      <c r="A1307" s="25" t="inlineStr">
        <is>
          <t>1014328</t>
        </is>
      </c>
      <c r="B1307" s="25" t="inlineStr">
        <is>
          <t>AKÜ,L4,DK,82AH,IGYASMF,ZITEX BATTERY</t>
        </is>
      </c>
      <c r="C1307" s="25" t="inlineStr">
        <is>
          <t>1</t>
        </is>
      </c>
      <c r="D1307" s="25" t="inlineStr">
        <is>
          <t>ST-072-STD-22</t>
        </is>
      </c>
      <c r="E1307" s="25" t="inlineStr">
        <is>
          <t>IA-ST-072-STD-22</t>
        </is>
      </c>
      <c r="F1307" s="25" t="inlineStr">
        <is>
          <t>IA-ST-CFG-0231</t>
        </is>
      </c>
      <c r="G1307" s="25" t="n">
        <v>30.6372</v>
      </c>
      <c r="H1307" s="25" t="inlineStr">
        <is>
          <t>988-pack GENERATED</t>
        </is>
      </c>
    </row>
    <row r="1308">
      <c r="A1308" s="25" t="inlineStr">
        <is>
          <t>1014329</t>
        </is>
      </c>
      <c r="B1308" s="25" t="inlineStr">
        <is>
          <t>AKÜ,L3,DK,72AH,IGYASMF,ZITEX BATTERY</t>
        </is>
      </c>
      <c r="C1308" s="25" t="inlineStr">
        <is>
          <t>1</t>
        </is>
      </c>
      <c r="D1308" s="25" t="inlineStr">
        <is>
          <t>ST-063-STD-08</t>
        </is>
      </c>
      <c r="E1308" s="25" t="inlineStr">
        <is>
          <t>IA-ST-063-STD-08</t>
        </is>
      </c>
      <c r="F1308" s="25" t="inlineStr">
        <is>
          <t>IA-ST-CFG-0179</t>
        </is>
      </c>
      <c r="G1308" s="25" t="n">
        <v>29.9992</v>
      </c>
      <c r="H1308" s="25" t="inlineStr">
        <is>
          <t>988-pack GENERATED</t>
        </is>
      </c>
    </row>
    <row r="1309">
      <c r="A1309" s="25" t="inlineStr">
        <is>
          <t>1014331</t>
        </is>
      </c>
      <c r="B1309" s="25" t="inlineStr">
        <is>
          <t>AKÜ,L1,DK,54AH,IGYASMF,ZITEX BATTERY</t>
        </is>
      </c>
      <c r="C1309" s="25" t="inlineStr">
        <is>
          <t>1</t>
        </is>
      </c>
      <c r="D1309" s="25" t="inlineStr">
        <is>
          <t>ST-087-STD-03</t>
        </is>
      </c>
      <c r="E1309" s="25" t="inlineStr">
        <is>
          <t>IA-ST-087-STD-03</t>
        </is>
      </c>
      <c r="F1309" s="25" t="inlineStr">
        <is>
          <t>IA-ST-CFG-0248</t>
        </is>
      </c>
      <c r="G1309" s="25" t="n">
        <v>31.0092</v>
      </c>
      <c r="H1309" s="25" t="inlineStr">
        <is>
          <t>988-pack GENERATED</t>
        </is>
      </c>
    </row>
    <row r="1310">
      <c r="A1310" s="25" t="inlineStr">
        <is>
          <t>1014332</t>
        </is>
      </c>
      <c r="B1310" s="25" t="inlineStr">
        <is>
          <t>AKÜ,D26,DK,80AH,IGYASMF,ZITEX BATTERY</t>
        </is>
      </c>
      <c r="C1310" s="25" t="inlineStr">
        <is>
          <t>1</t>
        </is>
      </c>
      <c r="D1310" s="25" t="inlineStr">
        <is>
          <t>ST-063-STD-04</t>
        </is>
      </c>
      <c r="E1310" s="25" t="inlineStr">
        <is>
          <t>IA-ST-063-STD-04</t>
        </is>
      </c>
      <c r="F1310" s="25" t="inlineStr">
        <is>
          <t>IA-ST-CFG-0175</t>
        </is>
      </c>
      <c r="G1310" s="25" t="n">
        <v>34.1512</v>
      </c>
      <c r="H1310" s="25" t="inlineStr">
        <is>
          <t>988-pack GENERATED</t>
        </is>
      </c>
    </row>
    <row r="1311">
      <c r="A1311" s="25" t="inlineStr">
        <is>
          <t>1014333</t>
        </is>
      </c>
      <c r="B1311" s="25" t="inlineStr">
        <is>
          <t>AKÜ,NS60DK,52AH,IGYASMF,ZITEX BATTERY</t>
        </is>
      </c>
      <c r="C1311" s="25" t="inlineStr">
        <is>
          <t>1</t>
        </is>
      </c>
      <c r="D1311" s="25" t="inlineStr">
        <is>
          <t>ST-096-STD-03</t>
        </is>
      </c>
      <c r="E1311" s="25" t="inlineStr">
        <is>
          <t>IA-ST-096-STD-03</t>
        </is>
      </c>
      <c r="F1311" s="25" t="inlineStr">
        <is>
          <t>IA-ST-CFG-0272</t>
        </is>
      </c>
      <c r="G1311" s="25" t="n">
        <v>35.3172</v>
      </c>
      <c r="H1311" s="25" t="inlineStr">
        <is>
          <t>988-pack GENERATED</t>
        </is>
      </c>
    </row>
    <row r="1312">
      <c r="A1312" s="25" t="inlineStr">
        <is>
          <t>1014342</t>
        </is>
      </c>
      <c r="B1312" s="25" t="inlineStr">
        <is>
          <t>AKÜ,D26,DK,72AH,IGYA SMF,HUGEL ULTRA</t>
        </is>
      </c>
      <c r="C1312" s="25" t="inlineStr">
        <is>
          <t>1</t>
        </is>
      </c>
      <c r="D1312" s="25" t="inlineStr">
        <is>
          <t>ST-063-STD-04</t>
        </is>
      </c>
      <c r="E1312" s="25" t="inlineStr">
        <is>
          <t>IA-ST-063-STD-04</t>
        </is>
      </c>
      <c r="F1312" s="25" t="inlineStr">
        <is>
          <t>IA-ST-CFG-0175</t>
        </is>
      </c>
      <c r="G1312" s="25" t="n">
        <v>34.1512</v>
      </c>
      <c r="H1312" s="25" t="inlineStr">
        <is>
          <t>988-pack GENERATED</t>
        </is>
      </c>
    </row>
    <row r="1313">
      <c r="A1313" s="25" t="inlineStr">
        <is>
          <t>1014344</t>
        </is>
      </c>
      <c r="B1313" s="25" t="inlineStr">
        <is>
          <t>AKÜ,L2,DK,62AH,IGYSMF,HUGELULTRA,TÜRKMEN</t>
        </is>
      </c>
      <c r="C1313" s="25" t="inlineStr">
        <is>
          <t>1</t>
        </is>
      </c>
      <c r="D1313" s="25" t="inlineStr">
        <is>
          <t>ST-072-STD-13</t>
        </is>
      </c>
      <c r="E1313" s="25" t="inlineStr">
        <is>
          <t>IA-ST-072-STD-13</t>
        </is>
      </c>
      <c r="F1313" s="25" t="inlineStr">
        <is>
          <t>IA-ST-CFG-0222</t>
        </is>
      </c>
      <c r="G1313" s="25" t="n">
        <v>30.6552</v>
      </c>
      <c r="H1313" s="25" t="inlineStr">
        <is>
          <t>988-pack GENERATED</t>
        </is>
      </c>
    </row>
    <row r="1314">
      <c r="A1314" s="25" t="inlineStr">
        <is>
          <t>1014345</t>
        </is>
      </c>
      <c r="B1314" s="25" t="inlineStr">
        <is>
          <t>AKÜ,D31,TK,80AH,IGYA,TECHNO POWER,ALSAFA</t>
        </is>
      </c>
      <c r="C1314" s="25" t="inlineStr">
        <is>
          <t>1</t>
        </is>
      </c>
      <c r="D1314" s="25" t="inlineStr">
        <is>
          <t>ST-054-STD-07</t>
        </is>
      </c>
      <c r="E1314" s="25" t="inlineStr">
        <is>
          <t>IA-ST-054-STD-07</t>
        </is>
      </c>
      <c r="F1314" s="25" t="inlineStr">
        <is>
          <t>IA-ST-CFG-0143</t>
        </is>
      </c>
      <c r="G1314" s="25" t="n">
        <v>33.7838</v>
      </c>
      <c r="H1314" s="25" t="inlineStr">
        <is>
          <t>988-pack GENERATED</t>
        </is>
      </c>
    </row>
    <row r="1315">
      <c r="A1315" s="25" t="inlineStr">
        <is>
          <t>1014347</t>
        </is>
      </c>
      <c r="B1315" s="25" t="inlineStr">
        <is>
          <t>AKÜ,L2,DK,62AH,IGYA,TECHNO POWER,ALSAFA</t>
        </is>
      </c>
      <c r="C1315" s="25" t="inlineStr">
        <is>
          <t>1</t>
        </is>
      </c>
      <c r="D1315" s="25" t="inlineStr">
        <is>
          <t>ST-072-STD-13</t>
        </is>
      </c>
      <c r="E1315" s="25" t="inlineStr">
        <is>
          <t>IA-ST-072-STD-13</t>
        </is>
      </c>
      <c r="F1315" s="25" t="inlineStr">
        <is>
          <t>IA-ST-CFG-0222</t>
        </is>
      </c>
      <c r="G1315" s="25" t="n">
        <v>30.6552</v>
      </c>
      <c r="H1315" s="25" t="inlineStr">
        <is>
          <t>988-pack GENERATED</t>
        </is>
      </c>
    </row>
    <row r="1316">
      <c r="A1316" s="25" t="inlineStr">
        <is>
          <t>1014348</t>
        </is>
      </c>
      <c r="B1316" s="25" t="inlineStr">
        <is>
          <t>AKÜ,L2,TK,62AH,IGYA,TECHNO POWER,ALSAFA</t>
        </is>
      </c>
      <c r="C1316" s="25" t="inlineStr">
        <is>
          <t>1</t>
        </is>
      </c>
      <c r="D1316" s="25" t="inlineStr">
        <is>
          <t>ST-072-STD-13</t>
        </is>
      </c>
      <c r="E1316" s="25" t="inlineStr">
        <is>
          <t>IA-ST-072-STD-13</t>
        </is>
      </c>
      <c r="F1316" s="25" t="inlineStr">
        <is>
          <t>IA-ST-CFG-0222</t>
        </is>
      </c>
      <c r="G1316" s="25" t="n">
        <v>30.6552</v>
      </c>
      <c r="H1316" s="25" t="inlineStr">
        <is>
          <t>988-pack GENERATED</t>
        </is>
      </c>
    </row>
    <row r="1317">
      <c r="A1317" s="25" t="inlineStr">
        <is>
          <t>1014349</t>
        </is>
      </c>
      <c r="B1317" s="25" t="inlineStr">
        <is>
          <t>AKÜ,NS60,DK,45AH,IGYA,TECHNOPOWER,ALSAFA</t>
        </is>
      </c>
      <c r="C1317" s="25" t="inlineStr">
        <is>
          <t>1</t>
        </is>
      </c>
      <c r="D1317" s="25" t="inlineStr">
        <is>
          <t>ST-096-STD-03</t>
        </is>
      </c>
      <c r="E1317" s="25" t="inlineStr">
        <is>
          <t>IA-ST-096-STD-03</t>
        </is>
      </c>
      <c r="F1317" s="25" t="inlineStr">
        <is>
          <t>IA-ST-CFG-0272</t>
        </is>
      </c>
      <c r="G1317" s="25" t="n">
        <v>35.3172</v>
      </c>
      <c r="H1317" s="25" t="inlineStr">
        <is>
          <t>988-pack GENERATED</t>
        </is>
      </c>
    </row>
    <row r="1318">
      <c r="A1318" s="25" t="inlineStr">
        <is>
          <t>1014350</t>
        </is>
      </c>
      <c r="B1318" s="25" t="inlineStr">
        <is>
          <t>AKÜ,L3,DK,75AH,IGYA,TECHNO POWER,ALSAFA</t>
        </is>
      </c>
      <c r="C1318" s="25" t="inlineStr">
        <is>
          <t>1</t>
        </is>
      </c>
      <c r="D1318" s="25" t="inlineStr">
        <is>
          <t>ST-063-STD-08</t>
        </is>
      </c>
      <c r="E1318" s="25" t="inlineStr">
        <is>
          <t>IA-ST-063-STD-08</t>
        </is>
      </c>
      <c r="F1318" s="25" t="inlineStr">
        <is>
          <t>IA-ST-CFG-0179</t>
        </is>
      </c>
      <c r="G1318" s="25" t="n">
        <v>29.9992</v>
      </c>
      <c r="H1318" s="25" t="inlineStr">
        <is>
          <t>988-pack GENERATED</t>
        </is>
      </c>
    </row>
    <row r="1319">
      <c r="A1319" s="25" t="inlineStr">
        <is>
          <t>1014355</t>
        </is>
      </c>
      <c r="B1319" s="25" t="inlineStr">
        <is>
          <t>AKÜ,C-IGYA,DK,200AH,TECHNO POWER,ALSAFA</t>
        </is>
      </c>
      <c r="C1319" s="25" t="inlineStr">
        <is>
          <t>1</t>
        </is>
      </c>
      <c r="D1319" s="25" t="inlineStr">
        <is>
          <t>ST-021-STD-03</t>
        </is>
      </c>
      <c r="E1319" s="25" t="inlineStr">
        <is>
          <t>IA-ST-021-STD-03</t>
        </is>
      </c>
      <c r="F1319" s="25" t="inlineStr">
        <is>
          <t>IA-ST-CFG-0023</t>
        </is>
      </c>
      <c r="G1319" s="25" t="n">
        <v>31.8252</v>
      </c>
      <c r="H1319" s="25" t="inlineStr">
        <is>
          <t>988-pack GENERATED</t>
        </is>
      </c>
    </row>
    <row r="1320">
      <c r="A1320" s="25" t="inlineStr">
        <is>
          <t>1014356</t>
        </is>
      </c>
      <c r="B1320" s="25" t="inlineStr">
        <is>
          <t>AKÜ,L5,DK,100AH,IGYA,TECHNO POWER,ALSAFA</t>
        </is>
      </c>
      <c r="C1320" s="25" t="inlineStr">
        <is>
          <t>1</t>
        </is>
      </c>
      <c r="D1320" s="25" t="inlineStr">
        <is>
          <t>ST-045-STD-08</t>
        </is>
      </c>
      <c r="E1320" s="25" t="inlineStr">
        <is>
          <t>IA-ST-045-STD-08</t>
        </is>
      </c>
      <c r="F1320" s="25" t="inlineStr">
        <is>
          <t>IA-ST-CFG-0096</t>
        </is>
      </c>
      <c r="G1320" s="25" t="n">
        <v>29.7192</v>
      </c>
      <c r="H1320" s="25" t="inlineStr">
        <is>
          <t>988-pack GENERATED</t>
        </is>
      </c>
    </row>
    <row r="1321">
      <c r="A1321" s="25" t="inlineStr">
        <is>
          <t>1014357</t>
        </is>
      </c>
      <c r="B1321" s="25" t="inlineStr">
        <is>
          <t>AKÜ,D23,DK,60AH,IGYA,TECHNO POWER,ALSAFA</t>
        </is>
      </c>
      <c r="C1321" s="25" t="inlineStr">
        <is>
          <t>1</t>
        </is>
      </c>
      <c r="D1321" s="25" t="inlineStr">
        <is>
          <t>ST-072-STD-10</t>
        </is>
      </c>
      <c r="E1321" s="25" t="inlineStr">
        <is>
          <t>IA-ST-072-STD-10</t>
        </is>
      </c>
      <c r="F1321" s="25" t="inlineStr">
        <is>
          <t>IA-ST-CFG-0219</t>
        </is>
      </c>
      <c r="G1321" s="25" t="n">
        <v>34.33224</v>
      </c>
      <c r="H1321" s="25" t="inlineStr">
        <is>
          <t>988-pack GENERATED</t>
        </is>
      </c>
    </row>
    <row r="1322">
      <c r="A1322" s="25" t="inlineStr">
        <is>
          <t>1014358</t>
        </is>
      </c>
      <c r="B1322" s="25" t="inlineStr">
        <is>
          <t>AKÜ,B-IGYASMF,TK,150AH,İNCİFORMULATAURUS</t>
        </is>
      </c>
      <c r="C1322" s="25" t="inlineStr">
        <is>
          <t>1</t>
        </is>
      </c>
      <c r="D1322" s="25" t="inlineStr">
        <is>
          <t>ST-030-STD-06</t>
        </is>
      </c>
      <c r="E1322" s="25" t="inlineStr">
        <is>
          <t>IA-ST-030-STD-06</t>
        </is>
      </c>
      <c r="F1322" s="25" t="inlineStr">
        <is>
          <t>IA-ST-CFG-0052</t>
        </is>
      </c>
      <c r="G1322" s="25" t="n">
        <v>32.3892</v>
      </c>
      <c r="H1322" s="25" t="inlineStr">
        <is>
          <t>988-pack GENERATED</t>
        </is>
      </c>
    </row>
    <row r="1323">
      <c r="A1323" s="25" t="inlineStr">
        <is>
          <t>1014364</t>
        </is>
      </c>
      <c r="B1323" s="25" t="inlineStr">
        <is>
          <t>AKÜ,C-IGYA,DK,250AH,İNCİMAXIMA,GÜLERYÜZ</t>
        </is>
      </c>
      <c r="C1323" s="25" t="inlineStr">
        <is>
          <t>1</t>
        </is>
      </c>
      <c r="D1323" s="25" t="inlineStr">
        <is>
          <t>ST-021-STD-04</t>
        </is>
      </c>
      <c r="E1323" s="25" t="inlineStr">
        <is>
          <t>IA-ST-021-STD-04</t>
        </is>
      </c>
      <c r="F1323" s="25" t="inlineStr">
        <is>
          <t>IA-ST-CFG-0024</t>
        </is>
      </c>
      <c r="G1323" s="25" t="n">
        <v>31.5384</v>
      </c>
      <c r="H1323" s="25" t="inlineStr">
        <is>
          <t>988-pack GENERATED</t>
        </is>
      </c>
    </row>
    <row r="1324">
      <c r="A1324" s="25" t="inlineStr">
        <is>
          <t>1014367</t>
        </is>
      </c>
      <c r="B1324" s="25" t="inlineStr">
        <is>
          <t>AKÜ,L1,DK,52AH,IGYA,4012-052,NONAMEGYEUR</t>
        </is>
      </c>
      <c r="C1324" s="25" t="inlineStr">
        <is>
          <t>1</t>
        </is>
      </c>
      <c r="D1324" s="25" t="inlineStr">
        <is>
          <t>ST-072-EUR-04</t>
        </is>
      </c>
      <c r="E1324" s="25" t="inlineStr">
        <is>
          <t>IA-ST-072-EUR-04</t>
        </is>
      </c>
      <c r="F1324" s="25" t="inlineStr">
        <is>
          <t>IA-ST-CFG-0209</t>
        </is>
      </c>
      <c r="G1324" s="25" t="n">
        <v>28.366</v>
      </c>
      <c r="H1324" s="25" t="inlineStr">
        <is>
          <t>988-pack GENERATED</t>
        </is>
      </c>
    </row>
    <row r="1325">
      <c r="A1325" s="25" t="inlineStr">
        <is>
          <t>1014368</t>
        </is>
      </c>
      <c r="B1325" s="25" t="inlineStr">
        <is>
          <t>AKÜ,D23,DK,60AH,IGYA,3005-060NONAMEGYEUR</t>
        </is>
      </c>
      <c r="C1325" s="25" t="inlineStr">
        <is>
          <t>1</t>
        </is>
      </c>
      <c r="D1325" s="25" t="inlineStr">
        <is>
          <t>ST-063-EUR-01</t>
        </is>
      </c>
      <c r="E1325" s="25" t="inlineStr">
        <is>
          <t>IA-ST-063-EUR-01</t>
        </is>
      </c>
      <c r="F1325" s="25" t="inlineStr">
        <is>
          <t>IA-ST-CFG-0188</t>
        </is>
      </c>
      <c r="G1325" s="25" t="n">
        <v>30.326</v>
      </c>
      <c r="H1325" s="25" t="inlineStr">
        <is>
          <t>988-pack GENERATED</t>
        </is>
      </c>
    </row>
    <row r="1326">
      <c r="A1326" s="25" t="inlineStr">
        <is>
          <t>1014369</t>
        </is>
      </c>
      <c r="B1326" s="25" t="inlineStr">
        <is>
          <t>AKÜ,NS40,DK,42AH,IGYA,EASJENERATÖR,İÇPYS</t>
        </is>
      </c>
      <c r="C1326" s="25" t="inlineStr">
        <is>
          <t>1</t>
        </is>
      </c>
      <c r="D1326" s="25" t="inlineStr">
        <is>
          <t>ST-120-STD-01</t>
        </is>
      </c>
      <c r="E1326" s="25" t="inlineStr">
        <is>
          <t>IA-ST-120-STD-01</t>
        </is>
      </c>
      <c r="F1326" s="25" t="inlineStr">
        <is>
          <t>IA-ST-CFG-0284</t>
        </is>
      </c>
      <c r="G1326" s="25" t="n">
        <v>35.3676</v>
      </c>
      <c r="H1326" s="25" t="inlineStr">
        <is>
          <t>988-pack GENERATED</t>
        </is>
      </c>
    </row>
    <row r="1327">
      <c r="A1327" s="25" t="inlineStr">
        <is>
          <t>1014370</t>
        </is>
      </c>
      <c r="B1327" s="25" t="inlineStr">
        <is>
          <t>AKÜ,L2,DK,60AH,IGYA,EAS JENERATÖR,İÇ PYS</t>
        </is>
      </c>
      <c r="C1327" s="25" t="inlineStr">
        <is>
          <t>1</t>
        </is>
      </c>
      <c r="D1327" s="25" t="inlineStr">
        <is>
          <t>ST-072-STD-13</t>
        </is>
      </c>
      <c r="E1327" s="25" t="inlineStr">
        <is>
          <t>IA-ST-072-STD-13</t>
        </is>
      </c>
      <c r="F1327" s="25" t="inlineStr">
        <is>
          <t>IA-ST-CFG-0222</t>
        </is>
      </c>
      <c r="G1327" s="25" t="n">
        <v>30.6552</v>
      </c>
      <c r="H1327" s="25" t="inlineStr">
        <is>
          <t>988-pack GENERATED</t>
        </is>
      </c>
    </row>
    <row r="1328">
      <c r="A1328" s="25" t="inlineStr">
        <is>
          <t>1014371</t>
        </is>
      </c>
      <c r="B1328" s="25" t="inlineStr">
        <is>
          <t>AKÜ,L5,DK,100AH,IGYA,EASJENERATÖR,İÇ PYS</t>
        </is>
      </c>
      <c r="C1328" s="25" t="inlineStr">
        <is>
          <t>1</t>
        </is>
      </c>
      <c r="D1328" s="25" t="inlineStr">
        <is>
          <t>ST-045-STD-08</t>
        </is>
      </c>
      <c r="E1328" s="25" t="inlineStr">
        <is>
          <t>IA-ST-045-STD-08</t>
        </is>
      </c>
      <c r="F1328" s="25" t="inlineStr">
        <is>
          <t>IA-ST-CFG-0096</t>
        </is>
      </c>
      <c r="G1328" s="25" t="n">
        <v>29.7192</v>
      </c>
      <c r="H1328" s="25" t="inlineStr">
        <is>
          <t>988-pack GENERATED</t>
        </is>
      </c>
    </row>
    <row r="1329">
      <c r="A1329" s="25" t="inlineStr">
        <is>
          <t>1014372</t>
        </is>
      </c>
      <c r="B1329" s="25" t="inlineStr">
        <is>
          <t>AKÜ,L3,DK,75AH,IGYA,EAS JENERATÖR,İÇ PYS</t>
        </is>
      </c>
      <c r="C1329" s="25" t="inlineStr">
        <is>
          <t>1</t>
        </is>
      </c>
      <c r="D1329" s="25" t="inlineStr">
        <is>
          <t>ST-063-STD-08</t>
        </is>
      </c>
      <c r="E1329" s="25" t="inlineStr">
        <is>
          <t>IA-ST-063-STD-08</t>
        </is>
      </c>
      <c r="F1329" s="25" t="inlineStr">
        <is>
          <t>IA-ST-CFG-0179</t>
        </is>
      </c>
      <c r="G1329" s="25" t="n">
        <v>29.9992</v>
      </c>
      <c r="H1329" s="25" t="inlineStr">
        <is>
          <t>988-pack GENERATED</t>
        </is>
      </c>
    </row>
    <row r="1330">
      <c r="A1330" s="25" t="inlineStr">
        <is>
          <t>1014373</t>
        </is>
      </c>
      <c r="B1330" s="25" t="inlineStr">
        <is>
          <t>AKÜ,D31,DK,90AH,IGYA,EAS JENERATÖR,İÇPYS</t>
        </is>
      </c>
      <c r="C1330" s="25" t="inlineStr">
        <is>
          <t>1</t>
        </is>
      </c>
      <c r="D1330" s="25" t="inlineStr">
        <is>
          <t>ST-054-STD-05</t>
        </is>
      </c>
      <c r="E1330" s="25" t="inlineStr">
        <is>
          <t>IA-ST-054-STD-05</t>
        </is>
      </c>
      <c r="F1330" s="25" t="inlineStr">
        <is>
          <t>IA-ST-CFG-0141</t>
        </is>
      </c>
      <c r="G1330" s="25" t="n">
        <v>34.0706</v>
      </c>
      <c r="H1330" s="25" t="inlineStr">
        <is>
          <t>988-pack GENERATED</t>
        </is>
      </c>
    </row>
    <row r="1331">
      <c r="A1331" s="25" t="inlineStr">
        <is>
          <t>1014374</t>
        </is>
      </c>
      <c r="B1331" s="25" t="inlineStr">
        <is>
          <t>AKÜ,A-IGYA,DK,135AH,EAS JENERATÖR,İÇ PYS</t>
        </is>
      </c>
      <c r="C1331" s="25" t="inlineStr">
        <is>
          <t>1</t>
        </is>
      </c>
      <c r="D1331" s="25" t="inlineStr">
        <is>
          <t>ST-030-STD-02</t>
        </is>
      </c>
      <c r="E1331" s="25" t="inlineStr">
        <is>
          <t>IA-ST-030-STD-02</t>
        </is>
      </c>
      <c r="F1331" s="25" t="inlineStr">
        <is>
          <t>IA-ST-CFG-0047</t>
        </is>
      </c>
      <c r="G1331" s="25" t="n">
        <v>31.986</v>
      </c>
      <c r="H1331" s="25" t="inlineStr">
        <is>
          <t>988-pack GENERATED</t>
        </is>
      </c>
    </row>
    <row r="1332">
      <c r="A1332" s="25" t="inlineStr">
        <is>
          <t>1014375</t>
        </is>
      </c>
      <c r="B1332" s="25" t="inlineStr">
        <is>
          <t>AKÜ,B-IGYA,DK,150AH,EAS JENERATÖR,İÇ PYS</t>
        </is>
      </c>
      <c r="C1332" s="25" t="inlineStr">
        <is>
          <t>1</t>
        </is>
      </c>
      <c r="D1332" s="25" t="inlineStr">
        <is>
          <t>ST-030-STD-03</t>
        </is>
      </c>
      <c r="E1332" s="25" t="inlineStr">
        <is>
          <t>IA-ST-030-STD-03</t>
        </is>
      </c>
      <c r="F1332" s="25" t="inlineStr">
        <is>
          <t>IA-ST-CFG-0048</t>
        </is>
      </c>
      <c r="G1332" s="25" t="n">
        <v>32.676</v>
      </c>
      <c r="H1332" s="25" t="inlineStr">
        <is>
          <t>988-pack GENERATED</t>
        </is>
      </c>
    </row>
    <row r="1333">
      <c r="A1333" s="25" t="inlineStr">
        <is>
          <t>1014377</t>
        </is>
      </c>
      <c r="B1333" s="25" t="inlineStr">
        <is>
          <t>AKÜ,TRACTORL,DK,115AH,İNCİ SUPRA SENTOR</t>
        </is>
      </c>
      <c r="C1333" s="25" t="inlineStr">
        <is>
          <t>1</t>
        </is>
      </c>
      <c r="D1333" s="25" t="inlineStr">
        <is>
          <t>ST-045-STD-05</t>
        </is>
      </c>
      <c r="E1333" s="25" t="inlineStr">
        <is>
          <t>IA-ST-045-STD-05</t>
        </is>
      </c>
      <c r="F1333" s="25" t="inlineStr">
        <is>
          <t>IA-ST-CFG-0093</t>
        </is>
      </c>
      <c r="G1333" s="25" t="n">
        <v>33.3498</v>
      </c>
      <c r="H1333" s="25" t="inlineStr">
        <is>
          <t>988-pack GENERATED</t>
        </is>
      </c>
    </row>
    <row r="1334">
      <c r="A1334" s="25" t="inlineStr">
        <is>
          <t>1014378</t>
        </is>
      </c>
      <c r="B1334" s="25" t="inlineStr">
        <is>
          <t>AKÜ,NS60,TK,55AH,IGYASMF,EAS EXTRA,İÇPYS</t>
        </is>
      </c>
      <c r="C1334" s="25" t="inlineStr">
        <is>
          <t>1</t>
        </is>
      </c>
      <c r="D1334" s="25" t="inlineStr">
        <is>
          <t>ST-096-STD-04</t>
        </is>
      </c>
      <c r="E1334" s="25" t="inlineStr">
        <is>
          <t>IA-ST-096-STD-04</t>
        </is>
      </c>
      <c r="F1334" s="25" t="inlineStr">
        <is>
          <t>IA-ST-CFG-0273</t>
        </is>
      </c>
      <c r="G1334" s="25" t="n">
        <v>34.7436</v>
      </c>
      <c r="H1334" s="25" t="inlineStr">
        <is>
          <t>988-pack GENERATED</t>
        </is>
      </c>
    </row>
    <row r="1335">
      <c r="A1335" s="25" t="inlineStr">
        <is>
          <t>1014379</t>
        </is>
      </c>
      <c r="B1335" s="25" t="inlineStr">
        <is>
          <t>AKÜ,D23,TK,60AH,IGYA,3014-060NONAMEGYEUR</t>
        </is>
      </c>
      <c r="C1335" s="25" t="inlineStr">
        <is>
          <t>1</t>
        </is>
      </c>
      <c r="D1335" s="25" t="inlineStr">
        <is>
          <t>ST-063-EUR-01</t>
        </is>
      </c>
      <c r="E1335" s="25" t="inlineStr">
        <is>
          <t>IA-ST-063-EUR-01</t>
        </is>
      </c>
      <c r="F1335" s="25" t="inlineStr">
        <is>
          <t>IA-ST-CFG-0188</t>
        </is>
      </c>
      <c r="G1335" s="25" t="n">
        <v>30.326</v>
      </c>
      <c r="H1335" s="25" t="inlineStr">
        <is>
          <t>988-pack GENERATED</t>
        </is>
      </c>
    </row>
    <row r="1336">
      <c r="A1336" s="25" t="inlineStr">
        <is>
          <t>1014380</t>
        </is>
      </c>
      <c r="B1336" s="25" t="inlineStr">
        <is>
          <t>AKÜ,D31,DK,95AH,IGYA,3335-095NONAMEGYEUR</t>
        </is>
      </c>
      <c r="C1336" s="25" t="inlineStr">
        <is>
          <t>1</t>
        </is>
      </c>
      <c r="D1336" s="25" t="inlineStr">
        <is>
          <t>ST-048-EUR-05</t>
        </is>
      </c>
      <c r="E1336" s="25" t="inlineStr">
        <is>
          <t>IA-ST-048-EUR-05</t>
        </is>
      </c>
      <c r="F1336" s="25" t="inlineStr">
        <is>
          <t>IA-ST-CFG-0111</t>
        </is>
      </c>
      <c r="G1336" s="25" t="n">
        <v>30.326</v>
      </c>
      <c r="H1336" s="25" t="inlineStr">
        <is>
          <t>988-pack GENERATED</t>
        </is>
      </c>
    </row>
    <row r="1337">
      <c r="A1337" s="25" t="inlineStr">
        <is>
          <t>1014381</t>
        </is>
      </c>
      <c r="B1337" s="25" t="inlineStr">
        <is>
          <t>AKÜ,A-FLAT,DK,135AH,İNCİ SUPRASENTOR,MST</t>
        </is>
      </c>
      <c r="C1337" s="25" t="inlineStr">
        <is>
          <t>1</t>
        </is>
      </c>
      <c r="D1337" s="25" t="inlineStr">
        <is>
          <t>ST-030-STD-05</t>
        </is>
      </c>
      <c r="E1337" s="25" t="inlineStr">
        <is>
          <t>IA-ST-030-STD-05</t>
        </is>
      </c>
      <c r="F1337" s="25" t="inlineStr">
        <is>
          <t>IA-ST-CFG-0051</t>
        </is>
      </c>
      <c r="G1337" s="25" t="n">
        <v>31.6992</v>
      </c>
      <c r="H1337" s="25" t="inlineStr">
        <is>
          <t>988-pack GENERATED</t>
        </is>
      </c>
    </row>
    <row r="1338">
      <c r="A1338" s="25" t="inlineStr">
        <is>
          <t>1014382</t>
        </is>
      </c>
      <c r="B1338" s="25" t="inlineStr">
        <is>
          <t>AKÜ,B-FLAT,DK,165AH,İNCİ SUPRASENTOR,MST</t>
        </is>
      </c>
      <c r="C1338" s="25" t="inlineStr">
        <is>
          <t>1</t>
        </is>
      </c>
      <c r="D1338" s="25" t="inlineStr">
        <is>
          <t>ST-030-STD-06</t>
        </is>
      </c>
      <c r="E1338" s="25" t="inlineStr">
        <is>
          <t>IA-ST-030-STD-06</t>
        </is>
      </c>
      <c r="F1338" s="25" t="inlineStr">
        <is>
          <t>IA-ST-CFG-0052</t>
        </is>
      </c>
      <c r="G1338" s="25" t="n">
        <v>32.3892</v>
      </c>
      <c r="H1338" s="25" t="inlineStr">
        <is>
          <t>988-pack GENERATED</t>
        </is>
      </c>
    </row>
    <row r="1339">
      <c r="A1339" s="25" t="inlineStr">
        <is>
          <t>1014383</t>
        </is>
      </c>
      <c r="B1339" s="25" t="inlineStr">
        <is>
          <t>AKÜ,L2,DK,65AH,IGYASMF,GYEUR,HEB7027-065</t>
        </is>
      </c>
      <c r="C1339" s="25" t="inlineStr">
        <is>
          <t>1</t>
        </is>
      </c>
      <c r="D1339" s="25" t="inlineStr">
        <is>
          <t>ST-057-EUR-03</t>
        </is>
      </c>
      <c r="E1339" s="25" t="inlineStr">
        <is>
          <t>IA-ST-057-EUR-03</t>
        </is>
      </c>
      <c r="F1339" s="25" t="inlineStr">
        <is>
          <t>IA-ST-CFG-0162</t>
        </is>
      </c>
      <c r="G1339" s="25" t="n">
        <v>27.926</v>
      </c>
      <c r="H1339" s="25" t="inlineStr">
        <is>
          <t>988-pack GENERATED</t>
        </is>
      </c>
    </row>
    <row r="1340">
      <c r="A1340" s="25" t="inlineStr">
        <is>
          <t>1014384</t>
        </is>
      </c>
      <c r="B1340" s="25" t="inlineStr">
        <is>
          <t>AKÜ,L3,DK,75AH,IGYASMF,GYEUR,HEB7096-075</t>
        </is>
      </c>
      <c r="C1340" s="25" t="inlineStr">
        <is>
          <t>1</t>
        </is>
      </c>
      <c r="D1340" s="25" t="inlineStr">
        <is>
          <t>ST-045-EUR-01</t>
        </is>
      </c>
      <c r="E1340" s="25" t="inlineStr">
        <is>
          <t>IA-ST-045-EUR-01</t>
        </is>
      </c>
      <c r="F1340" s="25" t="inlineStr">
        <is>
          <t>IA-ST-CFG-0103</t>
        </is>
      </c>
      <c r="G1340" s="25" t="n">
        <v>27.926</v>
      </c>
      <c r="H1340" s="25" t="inlineStr">
        <is>
          <t>988-pack GENERATED</t>
        </is>
      </c>
    </row>
    <row r="1341">
      <c r="A1341" s="25" t="inlineStr">
        <is>
          <t>1014390</t>
        </is>
      </c>
      <c r="B1341" s="25" t="inlineStr">
        <is>
          <t>AKÜ,L0,DK,40AH,DINNEW,BLIZZ.TRENDLN,EURO</t>
        </is>
      </c>
      <c r="C1341" s="25" t="inlineStr">
        <is>
          <t>1</t>
        </is>
      </c>
      <c r="D1341" s="25" t="inlineStr">
        <is>
          <t>ST-096-EUR-08</t>
        </is>
      </c>
      <c r="E1341" s="25" t="inlineStr">
        <is>
          <t>IA-ST-096-EUR-08</t>
        </is>
      </c>
      <c r="F1341" s="25" t="inlineStr">
        <is>
          <t>IA-ST-CFG-0276</t>
        </is>
      </c>
      <c r="G1341" s="25" t="n">
        <v>29.9492</v>
      </c>
      <c r="H1341" s="25" t="inlineStr">
        <is>
          <t>988-pack GENERATED</t>
        </is>
      </c>
    </row>
    <row r="1342">
      <c r="A1342" s="25" t="inlineStr">
        <is>
          <t>1014391</t>
        </is>
      </c>
      <c r="B1342" s="25" t="inlineStr">
        <is>
          <t>AKÜ,A-FLAT,DK,140AH,HUGEL ACTION,EURO</t>
        </is>
      </c>
      <c r="C1342" s="25" t="inlineStr">
        <is>
          <t>1</t>
        </is>
      </c>
      <c r="D1342" s="25" t="inlineStr">
        <is>
          <t>ST-024-EUR-04</t>
        </is>
      </c>
      <c r="E1342" s="25" t="inlineStr">
        <is>
          <t>IA-ST-024-EUR-04</t>
        </is>
      </c>
      <c r="F1342" s="25" t="inlineStr">
        <is>
          <t>IA-ST-CFG-0039</t>
        </is>
      </c>
      <c r="G1342" s="25" t="n">
        <v>30.6632</v>
      </c>
      <c r="H1342" s="25" t="inlineStr">
        <is>
          <t>988-pack GENERATED</t>
        </is>
      </c>
    </row>
    <row r="1343">
      <c r="A1343" s="25" t="inlineStr">
        <is>
          <t>1014392</t>
        </is>
      </c>
      <c r="B1343" s="25" t="inlineStr">
        <is>
          <t>AKÜ,C-FLAT,DK,200AH,HUGEL ACTION,EURO</t>
        </is>
      </c>
      <c r="C1343" s="25" t="inlineStr">
        <is>
          <t>1</t>
        </is>
      </c>
      <c r="D1343" s="25" t="inlineStr">
        <is>
          <t>ST-018-EUR-03</t>
        </is>
      </c>
      <c r="E1343" s="25" t="inlineStr">
        <is>
          <t>IA-ST-018-EUR-03</t>
        </is>
      </c>
      <c r="F1343" s="25" t="inlineStr">
        <is>
          <t>IA-ST-CFG-0014</t>
        </is>
      </c>
      <c r="G1343" s="25" t="n">
        <v>30.9872</v>
      </c>
      <c r="H1343" s="25" t="inlineStr">
        <is>
          <t>988-pack GENERATED</t>
        </is>
      </c>
    </row>
    <row r="1344">
      <c r="A1344" s="25" t="inlineStr">
        <is>
          <t>1014393</t>
        </is>
      </c>
      <c r="B1344" s="25" t="inlineStr">
        <is>
          <t>AKÜ,C-IGYASMF,DK,250AH,İNCİMAXIMA,REDMAY</t>
        </is>
      </c>
      <c r="C1344" s="25" t="inlineStr">
        <is>
          <t>1</t>
        </is>
      </c>
      <c r="D1344" s="25" t="inlineStr">
        <is>
          <t>ST-021-STD-03</t>
        </is>
      </c>
      <c r="E1344" s="25" t="inlineStr">
        <is>
          <t>IA-ST-021-STD-03</t>
        </is>
      </c>
      <c r="F1344" s="25" t="inlineStr">
        <is>
          <t>IA-ST-CFG-0023</t>
        </is>
      </c>
      <c r="G1344" s="25" t="n">
        <v>31.8252</v>
      </c>
      <c r="H1344" s="25" t="inlineStr">
        <is>
          <t>988-pack GENERATED</t>
        </is>
      </c>
    </row>
    <row r="1345">
      <c r="A1345" s="25" t="inlineStr">
        <is>
          <t>1014394</t>
        </is>
      </c>
      <c r="B1345" s="25" t="inlineStr">
        <is>
          <t>AKÜ,L2,DK,65AH,IGYASMF,İNCİEFBMAX,REDMAY</t>
        </is>
      </c>
      <c r="C1345" s="25" t="inlineStr">
        <is>
          <t>1</t>
        </is>
      </c>
      <c r="D1345" s="25" t="inlineStr">
        <is>
          <t>ST-072-STD-13</t>
        </is>
      </c>
      <c r="E1345" s="25" t="inlineStr">
        <is>
          <t>IA-ST-072-STD-13</t>
        </is>
      </c>
      <c r="F1345" s="25" t="inlineStr">
        <is>
          <t>IA-ST-CFG-0222</t>
        </is>
      </c>
      <c r="G1345" s="25" t="n">
        <v>30.6552</v>
      </c>
      <c r="H1345" s="25" t="inlineStr">
        <is>
          <t>988-pack GENERATED</t>
        </is>
      </c>
    </row>
    <row r="1346">
      <c r="A1346" s="25" t="inlineStr">
        <is>
          <t>1014395</t>
        </is>
      </c>
      <c r="B1346" s="25" t="inlineStr">
        <is>
          <t>AKÜ,L1,DK,45AH,IGYASMF,İNCİ SUPRA,REDMAY</t>
        </is>
      </c>
      <c r="C1346" s="25" t="inlineStr">
        <is>
          <t>1</t>
        </is>
      </c>
      <c r="D1346" s="25" t="inlineStr">
        <is>
          <t>ST-087-STD-03</t>
        </is>
      </c>
      <c r="E1346" s="25" t="inlineStr">
        <is>
          <t>IA-ST-087-STD-03</t>
        </is>
      </c>
      <c r="F1346" s="25" t="inlineStr">
        <is>
          <t>IA-ST-CFG-0248</t>
        </is>
      </c>
      <c r="G1346" s="25" t="n">
        <v>31.0092</v>
      </c>
      <c r="H1346" s="25" t="inlineStr">
        <is>
          <t>988-pack GENERATED</t>
        </is>
      </c>
    </row>
    <row r="1347">
      <c r="A1347" s="25" t="inlineStr">
        <is>
          <t>1014396</t>
        </is>
      </c>
      <c r="B1347" s="25" t="inlineStr">
        <is>
          <t>AKÜ,LB2,DK,60AH,IGYASMF,İNCİ FORM,REDMAY</t>
        </is>
      </c>
      <c r="C1347" s="25" t="inlineStr">
        <is>
          <t>1</t>
        </is>
      </c>
      <c r="D1347" s="25" t="inlineStr">
        <is>
          <t>ST-072-STD-13</t>
        </is>
      </c>
      <c r="E1347" s="25" t="inlineStr">
        <is>
          <t>IA-ST-072-STD-13</t>
        </is>
      </c>
      <c r="F1347" s="25" t="inlineStr">
        <is>
          <t>IA-ST-CFG-0222</t>
        </is>
      </c>
      <c r="G1347" s="25" t="n">
        <v>30.6552</v>
      </c>
      <c r="H1347" s="25" t="inlineStr">
        <is>
          <t>988-pack GENERATED</t>
        </is>
      </c>
    </row>
    <row r="1348">
      <c r="A1348" s="25" t="inlineStr">
        <is>
          <t>1014397</t>
        </is>
      </c>
      <c r="B1348" s="25" t="inlineStr">
        <is>
          <t>AKÜ,LB3,DK,66AH,IGYASMF,İNCİ FORM,REDMAY</t>
        </is>
      </c>
      <c r="C1348" s="25" t="inlineStr">
        <is>
          <t>1</t>
        </is>
      </c>
      <c r="D1348" s="25" t="inlineStr">
        <is>
          <t>ST-063-STD-07</t>
        </is>
      </c>
      <c r="E1348" s="25" t="inlineStr">
        <is>
          <t>IA-ST-063-STD-07</t>
        </is>
      </c>
      <c r="F1348" s="25" t="inlineStr">
        <is>
          <t>IA-ST-CFG-0178</t>
        </is>
      </c>
      <c r="G1348" s="25" t="n">
        <v>29.8692</v>
      </c>
      <c r="H1348" s="25" t="inlineStr">
        <is>
          <t>988-pack GENERATED</t>
        </is>
      </c>
    </row>
    <row r="1349">
      <c r="A1349" s="25" t="inlineStr">
        <is>
          <t>1014399</t>
        </is>
      </c>
      <c r="B1349" s="25" t="inlineStr">
        <is>
          <t>AKÜ AGM,L1,DK,50AH,İNCİ AGM LEO,İÇ PYS</t>
        </is>
      </c>
      <c r="C1349" s="25" t="inlineStr">
        <is>
          <t>1</t>
        </is>
      </c>
      <c r="D1349" s="25" t="inlineStr">
        <is>
          <t>ST-080-EUR-01</t>
        </is>
      </c>
      <c r="E1349" s="25" t="inlineStr">
        <is>
          <t>IA-ST-080-EUR-01</t>
        </is>
      </c>
      <c r="F1349" s="25" t="inlineStr">
        <is>
          <t>IA-ST-CFG-0243</t>
        </is>
      </c>
      <c r="G1349" s="25" t="n">
        <v>48.606</v>
      </c>
      <c r="H1349" s="25" t="inlineStr">
        <is>
          <t>988-pack GENERATED</t>
        </is>
      </c>
    </row>
    <row r="1350">
      <c r="A1350" s="25" t="inlineStr">
        <is>
          <t>1014400</t>
        </is>
      </c>
      <c r="B1350" s="25" t="inlineStr">
        <is>
          <t>AKÜ AGM,L1,DK,50AH,EAS AGM S&amp;S,İÇ PYS</t>
        </is>
      </c>
      <c r="C1350" s="25" t="inlineStr">
        <is>
          <t>1</t>
        </is>
      </c>
      <c r="D1350" s="25" t="inlineStr">
        <is>
          <t>ST-072-STD-05</t>
        </is>
      </c>
      <c r="E1350" s="25" t="inlineStr">
        <is>
          <t>IA-ST-072-STD-05</t>
        </is>
      </c>
      <c r="F1350" s="25" t="inlineStr">
        <is>
          <t>IA-ST-CFG-0214</t>
        </is>
      </c>
      <c r="G1350" s="25" t="n">
        <v>46.766</v>
      </c>
      <c r="H1350" s="25" t="inlineStr">
        <is>
          <t>988-pack GENERATED</t>
        </is>
      </c>
    </row>
    <row r="1351">
      <c r="A1351" s="25" t="inlineStr">
        <is>
          <t>1014402</t>
        </is>
      </c>
      <c r="B1351" s="25" t="inlineStr">
        <is>
          <t>AKÜ,L4,DK,85AH,IGYA,3115-082,NONAMEGYEUR</t>
        </is>
      </c>
      <c r="C1351" s="25" t="inlineStr">
        <is>
          <t>1</t>
        </is>
      </c>
      <c r="D1351" s="25" t="inlineStr">
        <is>
          <t>ST-042-EUR-04</t>
        </is>
      </c>
      <c r="E1351" s="25" t="inlineStr">
        <is>
          <t>IA-ST-042-EUR-04</t>
        </is>
      </c>
      <c r="F1351" s="25" t="inlineStr">
        <is>
          <t>IA-ST-CFG-0087</t>
        </is>
      </c>
      <c r="G1351" s="25" t="n">
        <v>27.6392</v>
      </c>
      <c r="H1351" s="25" t="inlineStr">
        <is>
          <t>988-pack GENERATED</t>
        </is>
      </c>
    </row>
    <row r="1352">
      <c r="A1352" s="25" t="inlineStr">
        <is>
          <t>1014403</t>
        </is>
      </c>
      <c r="B1352" s="25" t="inlineStr">
        <is>
          <t>AKÜ,L2,DK,65AH,IGYASMF,GYEUR,YBX5027-065</t>
        </is>
      </c>
      <c r="C1352" s="25" t="inlineStr">
        <is>
          <t>1</t>
        </is>
      </c>
      <c r="D1352" s="25" t="inlineStr">
        <is>
          <t>ST-057-EUR-03</t>
        </is>
      </c>
      <c r="E1352" s="25" t="inlineStr">
        <is>
          <t>IA-ST-057-EUR-03</t>
        </is>
      </c>
      <c r="F1352" s="25" t="inlineStr">
        <is>
          <t>IA-ST-CFG-0162</t>
        </is>
      </c>
      <c r="G1352" s="25" t="n">
        <v>27.926</v>
      </c>
      <c r="H1352" s="25" t="inlineStr">
        <is>
          <t>988-pack GENERATED</t>
        </is>
      </c>
    </row>
    <row r="1353">
      <c r="A1353" s="25" t="inlineStr">
        <is>
          <t>1014404</t>
        </is>
      </c>
      <c r="B1353" s="25" t="inlineStr">
        <is>
          <t>AKÜ,L3,DK,80AH,IGYASMF,GYEUR,YBX5096-080</t>
        </is>
      </c>
      <c r="C1353" s="25" t="inlineStr">
        <is>
          <t>1</t>
        </is>
      </c>
      <c r="D1353" s="25" t="inlineStr">
        <is>
          <t>ST-048-EUR-07</t>
        </is>
      </c>
      <c r="E1353" s="25" t="inlineStr">
        <is>
          <t>IA-ST-048-EUR-07</t>
        </is>
      </c>
      <c r="F1353" s="25" t="inlineStr">
        <is>
          <t>IA-ST-CFG-0113</t>
        </is>
      </c>
      <c r="G1353" s="25" t="n">
        <v>27.926</v>
      </c>
      <c r="H1353" s="25" t="inlineStr">
        <is>
          <t>988-pack GENERATED</t>
        </is>
      </c>
    </row>
    <row r="1354">
      <c r="A1354" s="25" t="inlineStr">
        <is>
          <t>1014405</t>
        </is>
      </c>
      <c r="B1354" s="25" t="inlineStr">
        <is>
          <t>AKÜ,LB3,DK75AH,IGYASMF,GYEUR,YBX5100-075</t>
        </is>
      </c>
      <c r="C1354" s="25" t="inlineStr">
        <is>
          <t>1</t>
        </is>
      </c>
      <c r="D1354" s="25" t="inlineStr">
        <is>
          <t>ST-051-EUR-01</t>
        </is>
      </c>
      <c r="E1354" s="25" t="inlineStr">
        <is>
          <t>IA-ST-051-EUR-01</t>
        </is>
      </c>
      <c r="F1354" s="25" t="inlineStr">
        <is>
          <t>IA-ST-CFG-0132</t>
        </is>
      </c>
      <c r="G1354" s="25" t="n">
        <v>27.926</v>
      </c>
      <c r="H1354" s="25" t="inlineStr">
        <is>
          <t>988-pack GENERATED</t>
        </is>
      </c>
    </row>
    <row r="1355">
      <c r="A1355" s="25" t="inlineStr">
        <is>
          <t>1014406</t>
        </is>
      </c>
      <c r="B1355" s="25" t="inlineStr">
        <is>
          <t>AKÜ,L4,DK,90AH,IGYASMF,GYEUR,YBX5115-090</t>
        </is>
      </c>
      <c r="C1355" s="25" t="inlineStr">
        <is>
          <t>1</t>
        </is>
      </c>
      <c r="D1355" s="25" t="inlineStr">
        <is>
          <t>ST-042-EUR-02</t>
        </is>
      </c>
      <c r="E1355" s="25" t="inlineStr">
        <is>
          <t>IA-ST-042-EUR-02</t>
        </is>
      </c>
      <c r="F1355" s="25" t="inlineStr">
        <is>
          <t>IA-ST-CFG-0085</t>
        </is>
      </c>
      <c r="G1355" s="25" t="n">
        <v>27.926</v>
      </c>
      <c r="H1355" s="25" t="inlineStr">
        <is>
          <t>988-pack GENERATED</t>
        </is>
      </c>
    </row>
    <row r="1356">
      <c r="A1356" s="25" t="inlineStr">
        <is>
          <t>1014407</t>
        </is>
      </c>
      <c r="B1356" s="25" t="inlineStr">
        <is>
          <t>AKÜ,L4,TK,90AH,IGYASMF,GYEUR,YBX5116-090</t>
        </is>
      </c>
      <c r="C1356" s="25" t="inlineStr">
        <is>
          <t>1</t>
        </is>
      </c>
      <c r="D1356" s="25" t="inlineStr">
        <is>
          <t>ST-042-EUR-02</t>
        </is>
      </c>
      <c r="E1356" s="25" t="inlineStr">
        <is>
          <t>IA-ST-042-EUR-02</t>
        </is>
      </c>
      <c r="F1356" s="25" t="inlineStr">
        <is>
          <t>IA-ST-CFG-0085</t>
        </is>
      </c>
      <c r="G1356" s="25" t="n">
        <v>27.926</v>
      </c>
      <c r="H1356" s="25" t="inlineStr">
        <is>
          <t>988-pack GENERATED</t>
        </is>
      </c>
    </row>
    <row r="1357">
      <c r="A1357" s="25" t="inlineStr">
        <is>
          <t>1014408</t>
        </is>
      </c>
      <c r="B1357" s="25" t="inlineStr">
        <is>
          <t>AKÜ,L5,DK100AH,IGYASMF,GYEUR,YBX5019-100</t>
        </is>
      </c>
      <c r="C1357" s="25" t="inlineStr">
        <is>
          <t>1</t>
        </is>
      </c>
      <c r="D1357" s="25" t="inlineStr">
        <is>
          <t>ST-036-EUR-04</t>
        </is>
      </c>
      <c r="E1357" s="25" t="inlineStr">
        <is>
          <t>IA-ST-036-EUR-04</t>
        </is>
      </c>
      <c r="F1357" s="25" t="inlineStr">
        <is>
          <t>IA-ST-CFG-0068</t>
        </is>
      </c>
      <c r="G1357" s="25" t="n">
        <v>27.926</v>
      </c>
      <c r="H1357" s="25" t="inlineStr">
        <is>
          <t>988-pack GENERATED</t>
        </is>
      </c>
    </row>
    <row r="1358">
      <c r="A1358" s="25" t="inlineStr">
        <is>
          <t>1014409</t>
        </is>
      </c>
      <c r="B1358" s="25" t="inlineStr">
        <is>
          <t>AKÜ,L2,DK,65AH,IGYASMF,GYEUR,HAL5027-065</t>
        </is>
      </c>
      <c r="C1358" s="25" t="inlineStr">
        <is>
          <t>1</t>
        </is>
      </c>
      <c r="D1358" s="25" t="inlineStr">
        <is>
          <t>ST-057-EUR-03</t>
        </is>
      </c>
      <c r="E1358" s="25" t="inlineStr">
        <is>
          <t>IA-ST-057-EUR-03</t>
        </is>
      </c>
      <c r="F1358" s="25" t="inlineStr">
        <is>
          <t>IA-ST-CFG-0162</t>
        </is>
      </c>
      <c r="G1358" s="25" t="n">
        <v>27.926</v>
      </c>
      <c r="H1358" s="25" t="inlineStr">
        <is>
          <t>988-pack GENERATED</t>
        </is>
      </c>
    </row>
    <row r="1359">
      <c r="A1359" s="25" t="inlineStr">
        <is>
          <t>1014410</t>
        </is>
      </c>
      <c r="B1359" s="25" t="inlineStr">
        <is>
          <t>AKÜ,L2,DK,65AH,IGYA,NONAME,GYEUR5027-065</t>
        </is>
      </c>
      <c r="C1359" s="25" t="inlineStr">
        <is>
          <t>1</t>
        </is>
      </c>
      <c r="D1359" s="25" t="inlineStr">
        <is>
          <t>ST-057-EUR-03</t>
        </is>
      </c>
      <c r="E1359" s="25" t="inlineStr">
        <is>
          <t>IA-ST-057-EUR-03</t>
        </is>
      </c>
      <c r="F1359" s="25" t="inlineStr">
        <is>
          <t>IA-ST-CFG-0162</t>
        </is>
      </c>
      <c r="G1359" s="25" t="n">
        <v>27.926</v>
      </c>
      <c r="H1359" s="25" t="inlineStr">
        <is>
          <t>988-pack GENERATED</t>
        </is>
      </c>
    </row>
    <row r="1360">
      <c r="A1360" s="25" t="inlineStr">
        <is>
          <t>1014412</t>
        </is>
      </c>
      <c r="B1360" s="25" t="inlineStr">
        <is>
          <t>AKÜ,L3,DK,80AH,IGYASMF,GYEUR,HAL5096-080</t>
        </is>
      </c>
      <c r="C1360" s="25" t="inlineStr">
        <is>
          <t>1</t>
        </is>
      </c>
      <c r="D1360" s="25" t="inlineStr">
        <is>
          <t>ST-048-EUR-07</t>
        </is>
      </c>
      <c r="E1360" s="25" t="inlineStr">
        <is>
          <t>IA-ST-048-EUR-07</t>
        </is>
      </c>
      <c r="F1360" s="25" t="inlineStr">
        <is>
          <t>IA-ST-CFG-0113</t>
        </is>
      </c>
      <c r="G1360" s="25" t="n">
        <v>27.926</v>
      </c>
      <c r="H1360" s="25" t="inlineStr">
        <is>
          <t>988-pack GENERATED</t>
        </is>
      </c>
    </row>
    <row r="1361">
      <c r="A1361" s="25" t="inlineStr">
        <is>
          <t>1014414</t>
        </is>
      </c>
      <c r="B1361" s="25" t="inlineStr">
        <is>
          <t>AKÜ,L3,DK80AH,IGYSMF,NONAMEGYEUR5096-080</t>
        </is>
      </c>
      <c r="C1361" s="25" t="inlineStr">
        <is>
          <t>1</t>
        </is>
      </c>
      <c r="D1361" s="25" t="inlineStr">
        <is>
          <t>ST-048-EUR-07</t>
        </is>
      </c>
      <c r="E1361" s="25" t="inlineStr">
        <is>
          <t>IA-ST-048-EUR-07</t>
        </is>
      </c>
      <c r="F1361" s="25" t="inlineStr">
        <is>
          <t>IA-ST-CFG-0113</t>
        </is>
      </c>
      <c r="G1361" s="25" t="n">
        <v>27.926</v>
      </c>
      <c r="H1361" s="25" t="inlineStr">
        <is>
          <t>988-pack GENERATED</t>
        </is>
      </c>
    </row>
    <row r="1362">
      <c r="A1362" s="25" t="inlineStr">
        <is>
          <t>1014415</t>
        </is>
      </c>
      <c r="B1362" s="25" t="inlineStr">
        <is>
          <t>AKÜ,LB3DK75AH,IGYSMF,NONAMEGYEUR5100-075</t>
        </is>
      </c>
      <c r="C1362" s="25" t="inlineStr">
        <is>
          <t>1</t>
        </is>
      </c>
      <c r="D1362" s="25" t="inlineStr">
        <is>
          <t>ST-051-EUR-01</t>
        </is>
      </c>
      <c r="E1362" s="25" t="inlineStr">
        <is>
          <t>IA-ST-051-EUR-01</t>
        </is>
      </c>
      <c r="F1362" s="25" t="inlineStr">
        <is>
          <t>IA-ST-CFG-0132</t>
        </is>
      </c>
      <c r="G1362" s="25" t="n">
        <v>27.926</v>
      </c>
      <c r="H1362" s="25" t="inlineStr">
        <is>
          <t>988-pack GENERATED</t>
        </is>
      </c>
    </row>
    <row r="1363">
      <c r="A1363" s="25" t="inlineStr">
        <is>
          <t>1014416</t>
        </is>
      </c>
      <c r="B1363" s="25" t="inlineStr">
        <is>
          <t>AKÜ,LB3,DK75AH,IGYASMF,GYEUR,HAL5100-075</t>
        </is>
      </c>
      <c r="C1363" s="25" t="inlineStr">
        <is>
          <t>1</t>
        </is>
      </c>
      <c r="D1363" s="25" t="inlineStr">
        <is>
          <t>ST-051-EUR-01</t>
        </is>
      </c>
      <c r="E1363" s="25" t="inlineStr">
        <is>
          <t>IA-ST-051-EUR-01</t>
        </is>
      </c>
      <c r="F1363" s="25" t="inlineStr">
        <is>
          <t>IA-ST-CFG-0132</t>
        </is>
      </c>
      <c r="G1363" s="25" t="n">
        <v>27.926</v>
      </c>
      <c r="H1363" s="25" t="inlineStr">
        <is>
          <t>988-pack GENERATED</t>
        </is>
      </c>
    </row>
    <row r="1364">
      <c r="A1364" s="25" t="inlineStr">
        <is>
          <t>1014417</t>
        </is>
      </c>
      <c r="B1364" s="25" t="inlineStr">
        <is>
          <t>AKÜ,L4DK90AH,IGYSMFNONAME,GYEUR,5115-090</t>
        </is>
      </c>
      <c r="C1364" s="25" t="inlineStr">
        <is>
          <t>1</t>
        </is>
      </c>
      <c r="D1364" s="25" t="inlineStr">
        <is>
          <t>ST-042-EUR-02</t>
        </is>
      </c>
      <c r="E1364" s="25" t="inlineStr">
        <is>
          <t>IA-ST-042-EUR-02</t>
        </is>
      </c>
      <c r="F1364" s="25" t="inlineStr">
        <is>
          <t>IA-ST-CFG-0085</t>
        </is>
      </c>
      <c r="G1364" s="25" t="n">
        <v>27.926</v>
      </c>
      <c r="H1364" s="25" t="inlineStr">
        <is>
          <t>988-pack GENERATED</t>
        </is>
      </c>
    </row>
    <row r="1365">
      <c r="A1365" s="25" t="inlineStr">
        <is>
          <t>1014420</t>
        </is>
      </c>
      <c r="B1365" s="25" t="inlineStr">
        <is>
          <t>AKÜ,L5,DK100AH,IGYASMF,GYEUR,HAL5019-100</t>
        </is>
      </c>
      <c r="C1365" s="25" t="inlineStr">
        <is>
          <t>1</t>
        </is>
      </c>
      <c r="D1365" s="25" t="inlineStr">
        <is>
          <t>ST-036-EUR-04</t>
        </is>
      </c>
      <c r="E1365" s="25" t="inlineStr">
        <is>
          <t>IA-ST-036-EUR-04</t>
        </is>
      </c>
      <c r="F1365" s="25" t="inlineStr">
        <is>
          <t>IA-ST-CFG-0068</t>
        </is>
      </c>
      <c r="G1365" s="25" t="n">
        <v>27.926</v>
      </c>
      <c r="H1365" s="25" t="inlineStr">
        <is>
          <t>988-pack GENERATED</t>
        </is>
      </c>
    </row>
    <row r="1366">
      <c r="A1366" s="25" t="inlineStr">
        <is>
          <t>1014422</t>
        </is>
      </c>
      <c r="B1366" s="25" t="inlineStr">
        <is>
          <t>AKÜ,L5DK100AH,IGYSMF,NONAMEGYEUR5019-100</t>
        </is>
      </c>
      <c r="C1366" s="25" t="inlineStr">
        <is>
          <t>1</t>
        </is>
      </c>
      <c r="D1366" s="25" t="inlineStr">
        <is>
          <t>ST-036-EUR-04</t>
        </is>
      </c>
      <c r="E1366" s="25" t="inlineStr">
        <is>
          <t>IA-ST-036-EUR-04</t>
        </is>
      </c>
      <c r="F1366" s="25" t="inlineStr">
        <is>
          <t>IA-ST-CFG-0068</t>
        </is>
      </c>
      <c r="G1366" s="25" t="n">
        <v>27.926</v>
      </c>
      <c r="H1366" s="25" t="inlineStr">
        <is>
          <t>988-pack GENERATED</t>
        </is>
      </c>
    </row>
    <row r="1367">
      <c r="A1367" s="25" t="inlineStr">
        <is>
          <t>1014423</t>
        </is>
      </c>
      <c r="B1367" s="25" t="inlineStr">
        <is>
          <t>AKÜ,L2,DK,62AH,IGYASMF,GYEUR,YBX3027-062</t>
        </is>
      </c>
      <c r="C1367" s="25" t="inlineStr">
        <is>
          <t>1</t>
        </is>
      </c>
      <c r="D1367" s="25" t="inlineStr">
        <is>
          <t>ST-057-EUR-03</t>
        </is>
      </c>
      <c r="E1367" s="25" t="inlineStr">
        <is>
          <t>IA-ST-057-EUR-03</t>
        </is>
      </c>
      <c r="F1367" s="25" t="inlineStr">
        <is>
          <t>IA-ST-CFG-0162</t>
        </is>
      </c>
      <c r="G1367" s="25" t="n">
        <v>27.926</v>
      </c>
      <c r="H1367" s="25" t="inlineStr">
        <is>
          <t>988-pack GENERATED</t>
        </is>
      </c>
    </row>
    <row r="1368">
      <c r="A1368" s="25" t="inlineStr">
        <is>
          <t>1014424</t>
        </is>
      </c>
      <c r="B1368" s="25" t="inlineStr">
        <is>
          <t>AKÜ,L3,DK,76AH,IGYASMF,GYEUR,YBX3096-076</t>
        </is>
      </c>
      <c r="C1368" s="25" t="inlineStr">
        <is>
          <t>1</t>
        </is>
      </c>
      <c r="D1368" s="25" t="inlineStr">
        <is>
          <t>ST-051-EUR-01</t>
        </is>
      </c>
      <c r="E1368" s="25" t="inlineStr">
        <is>
          <t>IA-ST-051-EUR-01</t>
        </is>
      </c>
      <c r="F1368" s="25" t="inlineStr">
        <is>
          <t>IA-ST-CFG-0132</t>
        </is>
      </c>
      <c r="G1368" s="25" t="n">
        <v>27.926</v>
      </c>
      <c r="H1368" s="25" t="inlineStr">
        <is>
          <t>988-pack GENERATED</t>
        </is>
      </c>
    </row>
    <row r="1369">
      <c r="A1369" s="25" t="inlineStr">
        <is>
          <t>1014425</t>
        </is>
      </c>
      <c r="B1369" s="25" t="inlineStr">
        <is>
          <t>AKÜ,LB3,DK71AH,IGYASMF,GYEUR,YBX3100-071</t>
        </is>
      </c>
      <c r="C1369" s="25" t="inlineStr">
        <is>
          <t>1</t>
        </is>
      </c>
      <c r="D1369" s="25" t="inlineStr">
        <is>
          <t>ST-051-EUR-01</t>
        </is>
      </c>
      <c r="E1369" s="25" t="inlineStr">
        <is>
          <t>IA-ST-051-EUR-01</t>
        </is>
      </c>
      <c r="F1369" s="25" t="inlineStr">
        <is>
          <t>IA-ST-CFG-0132</t>
        </is>
      </c>
      <c r="G1369" s="25" t="n">
        <v>27.926</v>
      </c>
      <c r="H1369" s="25" t="inlineStr">
        <is>
          <t>988-pack GENERATED</t>
        </is>
      </c>
    </row>
    <row r="1370">
      <c r="A1370" s="25" t="inlineStr">
        <is>
          <t>1014426</t>
        </is>
      </c>
      <c r="B1370" s="25" t="inlineStr">
        <is>
          <t>AKÜ,L5,DK,95AH,IGYASMF,GYEUR,YBX3019-095</t>
        </is>
      </c>
      <c r="C1370" s="25" t="inlineStr">
        <is>
          <t>1</t>
        </is>
      </c>
      <c r="D1370" s="25" t="inlineStr">
        <is>
          <t>ST-036-EUR-04</t>
        </is>
      </c>
      <c r="E1370" s="25" t="inlineStr">
        <is>
          <t>IA-ST-036-EUR-04</t>
        </is>
      </c>
      <c r="F1370" s="25" t="inlineStr">
        <is>
          <t>IA-ST-CFG-0068</t>
        </is>
      </c>
      <c r="G1370" s="25" t="n">
        <v>27.926</v>
      </c>
      <c r="H1370" s="25" t="inlineStr">
        <is>
          <t>988-pack GENERATED</t>
        </is>
      </c>
    </row>
    <row r="1371">
      <c r="A1371" s="25" t="inlineStr">
        <is>
          <t>1014427</t>
        </is>
      </c>
      <c r="B1371" s="25" t="inlineStr">
        <is>
          <t>AKÜ,L2,DK,62AH,IGYA SMF,SMF 027,GS</t>
        </is>
      </c>
      <c r="C1371" s="25" t="inlineStr">
        <is>
          <t>1</t>
        </is>
      </c>
      <c r="D1371" s="25" t="inlineStr">
        <is>
          <t>ST-057-EUR-03</t>
        </is>
      </c>
      <c r="E1371" s="25" t="inlineStr">
        <is>
          <t>IA-ST-057-EUR-03</t>
        </is>
      </c>
      <c r="F1371" s="25" t="inlineStr">
        <is>
          <t>IA-ST-CFG-0162</t>
        </is>
      </c>
      <c r="G1371" s="25" t="n">
        <v>27.926</v>
      </c>
      <c r="H1371" s="25" t="inlineStr">
        <is>
          <t>988-pack GENERATED</t>
        </is>
      </c>
    </row>
    <row r="1372">
      <c r="A1372" s="25" t="inlineStr">
        <is>
          <t>1014428</t>
        </is>
      </c>
      <c r="B1372" s="25" t="inlineStr">
        <is>
          <t>AKÜ,L2,TK,60AH,IGYA SMF,SMF 078,GS</t>
        </is>
      </c>
      <c r="C1372" s="25" t="inlineStr">
        <is>
          <t>1</t>
        </is>
      </c>
      <c r="D1372" s="25" t="inlineStr">
        <is>
          <t>ST-057-EUR-03</t>
        </is>
      </c>
      <c r="E1372" s="25" t="inlineStr">
        <is>
          <t>IA-ST-057-EUR-03</t>
        </is>
      </c>
      <c r="F1372" s="25" t="inlineStr">
        <is>
          <t>IA-ST-CFG-0162</t>
        </is>
      </c>
      <c r="G1372" s="25" t="n">
        <v>27.926</v>
      </c>
      <c r="H1372" s="25" t="inlineStr">
        <is>
          <t>988-pack GENERATED</t>
        </is>
      </c>
    </row>
    <row r="1373">
      <c r="A1373" s="25" t="inlineStr">
        <is>
          <t>1014429</t>
        </is>
      </c>
      <c r="B1373" s="25" t="inlineStr">
        <is>
          <t>AKÜ,L3,DK,75AH,IGYA SMF,SMF 096,GS</t>
        </is>
      </c>
      <c r="C1373" s="25" t="inlineStr">
        <is>
          <t>1</t>
        </is>
      </c>
      <c r="D1373" s="25" t="inlineStr">
        <is>
          <t>ST-051-EUR-01</t>
        </is>
      </c>
      <c r="E1373" s="25" t="inlineStr">
        <is>
          <t>IA-ST-051-EUR-01</t>
        </is>
      </c>
      <c r="F1373" s="25" t="inlineStr">
        <is>
          <t>IA-ST-CFG-0132</t>
        </is>
      </c>
      <c r="G1373" s="25" t="n">
        <v>27.926</v>
      </c>
      <c r="H1373" s="25" t="inlineStr">
        <is>
          <t>988-pack GENERATED</t>
        </is>
      </c>
    </row>
    <row r="1374">
      <c r="A1374" s="25" t="inlineStr">
        <is>
          <t>1014430</t>
        </is>
      </c>
      <c r="B1374" s="25" t="inlineStr">
        <is>
          <t>AKÜ,L3,TK,75AH,IGYA SMF,SMF 086,GS</t>
        </is>
      </c>
      <c r="C1374" s="25" t="inlineStr">
        <is>
          <t>1</t>
        </is>
      </c>
      <c r="D1374" s="25" t="inlineStr">
        <is>
          <t>ST-051-EUR-01</t>
        </is>
      </c>
      <c r="E1374" s="25" t="inlineStr">
        <is>
          <t>IA-ST-051-EUR-01</t>
        </is>
      </c>
      <c r="F1374" s="25" t="inlineStr">
        <is>
          <t>IA-ST-CFG-0132</t>
        </is>
      </c>
      <c r="G1374" s="25" t="n">
        <v>27.926</v>
      </c>
      <c r="H1374" s="25" t="inlineStr">
        <is>
          <t>988-pack GENERATED</t>
        </is>
      </c>
    </row>
    <row r="1375">
      <c r="A1375" s="25" t="inlineStr">
        <is>
          <t>1014431</t>
        </is>
      </c>
      <c r="B1375" s="25" t="inlineStr">
        <is>
          <t>AKÜ,LB3,DK,72AH,IGYA SMF,SMF 100,GS</t>
        </is>
      </c>
      <c r="C1375" s="25" t="inlineStr">
        <is>
          <t>1</t>
        </is>
      </c>
      <c r="D1375" s="25" t="inlineStr">
        <is>
          <t>ST-051-EUR-01</t>
        </is>
      </c>
      <c r="E1375" s="25" t="inlineStr">
        <is>
          <t>IA-ST-051-EUR-01</t>
        </is>
      </c>
      <c r="F1375" s="25" t="inlineStr">
        <is>
          <t>IA-ST-CFG-0132</t>
        </is>
      </c>
      <c r="G1375" s="25" t="n">
        <v>27.926</v>
      </c>
      <c r="H1375" s="25" t="inlineStr">
        <is>
          <t>988-pack GENERATED</t>
        </is>
      </c>
    </row>
    <row r="1376">
      <c r="A1376" s="25" t="inlineStr">
        <is>
          <t>1014432</t>
        </is>
      </c>
      <c r="B1376" s="25" t="inlineStr">
        <is>
          <t>AKÜ,L5,DK,95AH,IGYA SMF,SMF 019,GS</t>
        </is>
      </c>
      <c r="C1376" s="25" t="inlineStr">
        <is>
          <t>1</t>
        </is>
      </c>
      <c r="D1376" s="25" t="inlineStr">
        <is>
          <t>ST-036-EUR-04</t>
        </is>
      </c>
      <c r="E1376" s="25" t="inlineStr">
        <is>
          <t>IA-ST-036-EUR-04</t>
        </is>
      </c>
      <c r="F1376" s="25" t="inlineStr">
        <is>
          <t>IA-ST-CFG-0068</t>
        </is>
      </c>
      <c r="G1376" s="25" t="n">
        <v>27.926</v>
      </c>
      <c r="H1376" s="25" t="inlineStr">
        <is>
          <t>988-pack GENERATED</t>
        </is>
      </c>
    </row>
    <row r="1377">
      <c r="A1377" s="25" t="inlineStr">
        <is>
          <t>1014433</t>
        </is>
      </c>
      <c r="B1377" s="25" t="inlineStr">
        <is>
          <t>AKÜ,L2,TK,62AH,IGYASMF,GYEUR,YBX3078-062</t>
        </is>
      </c>
      <c r="C1377" s="25" t="inlineStr">
        <is>
          <t>1</t>
        </is>
      </c>
      <c r="D1377" s="25" t="inlineStr">
        <is>
          <t>ST-057-EUR-03</t>
        </is>
      </c>
      <c r="E1377" s="25" t="inlineStr">
        <is>
          <t>IA-ST-057-EUR-03</t>
        </is>
      </c>
      <c r="F1377" s="25" t="inlineStr">
        <is>
          <t>IA-ST-CFG-0162</t>
        </is>
      </c>
      <c r="G1377" s="25" t="n">
        <v>27.926</v>
      </c>
      <c r="H1377" s="25" t="inlineStr">
        <is>
          <t>988-pack GENERATED</t>
        </is>
      </c>
    </row>
    <row r="1378">
      <c r="A1378" s="25" t="inlineStr">
        <is>
          <t>1014434</t>
        </is>
      </c>
      <c r="B1378" s="25" t="inlineStr">
        <is>
          <t>AKÜ,L2,TK,60AH,IGYSMF,Y3000EXPORT,KOLİLİ</t>
        </is>
      </c>
      <c r="C1378" s="25" t="inlineStr">
        <is>
          <t>1</t>
        </is>
      </c>
      <c r="D1378" s="25" t="inlineStr">
        <is>
          <t>ST-044-STD-01</t>
        </is>
      </c>
      <c r="E1378" s="25" t="inlineStr">
        <is>
          <t>IA-ST-044-STD-01</t>
        </is>
      </c>
      <c r="F1378" s="25" t="inlineStr">
        <is>
          <t>IA-ST-CFG-0088</t>
        </is>
      </c>
      <c r="G1378" s="25" t="n">
        <v>39.356</v>
      </c>
      <c r="H1378" s="25" t="inlineStr">
        <is>
          <t>988-pack GENERATED</t>
        </is>
      </c>
    </row>
    <row r="1379">
      <c r="A1379" s="25" t="inlineStr">
        <is>
          <t>1014435</t>
        </is>
      </c>
      <c r="B1379" s="25" t="inlineStr">
        <is>
          <t>AKÜ,L2,TK,60AH,IGYA,Y3000EXP KOLİ,NACITA</t>
        </is>
      </c>
      <c r="C1379" s="25" t="inlineStr">
        <is>
          <t>1</t>
        </is>
      </c>
      <c r="D1379" s="25" t="inlineStr">
        <is>
          <t>ST-088-STD-02</t>
        </is>
      </c>
      <c r="E1379" s="25" t="inlineStr">
        <is>
          <t>IA-ST-088-STD-02</t>
        </is>
      </c>
      <c r="F1379" s="25" t="inlineStr">
        <is>
          <t>IA-ST-CFG-0255</t>
        </is>
      </c>
      <c r="G1379" s="25" t="n">
        <v>50.456</v>
      </c>
      <c r="H1379" s="25" t="inlineStr">
        <is>
          <t>988-pack GENERATED</t>
        </is>
      </c>
    </row>
    <row r="1380">
      <c r="A1380" s="25" t="inlineStr">
        <is>
          <t>1014436</t>
        </is>
      </c>
      <c r="B1380" s="25" t="inlineStr">
        <is>
          <t>AKÜ,L2,TK,60AH,IGYA SMF,Y3000 EXPORT</t>
        </is>
      </c>
      <c r="C1380" s="25" t="inlineStr">
        <is>
          <t>1</t>
        </is>
      </c>
      <c r="D1380" s="25" t="inlineStr">
        <is>
          <t>ST-057-EUR-03</t>
        </is>
      </c>
      <c r="E1380" s="25" t="inlineStr">
        <is>
          <t>IA-ST-057-EUR-03</t>
        </is>
      </c>
      <c r="F1380" s="25" t="inlineStr">
        <is>
          <t>IA-ST-CFG-0162</t>
        </is>
      </c>
      <c r="G1380" s="25" t="n">
        <v>27.926</v>
      </c>
      <c r="H1380" s="25" t="inlineStr">
        <is>
          <t>988-pack GENERATED</t>
        </is>
      </c>
    </row>
    <row r="1381">
      <c r="A1381" s="25" t="inlineStr">
        <is>
          <t>1014437</t>
        </is>
      </c>
      <c r="B1381" s="25" t="inlineStr">
        <is>
          <t>AKÜ,L2,DK,62AH,IGYASMF,GYEUR,HAL3027-062</t>
        </is>
      </c>
      <c r="C1381" s="25" t="inlineStr">
        <is>
          <t>1</t>
        </is>
      </c>
      <c r="D1381" s="25" t="inlineStr">
        <is>
          <t>ST-057-EUR-03</t>
        </is>
      </c>
      <c r="E1381" s="25" t="inlineStr">
        <is>
          <t>IA-ST-057-EUR-03</t>
        </is>
      </c>
      <c r="F1381" s="25" t="inlineStr">
        <is>
          <t>IA-ST-CFG-0162</t>
        </is>
      </c>
      <c r="G1381" s="25" t="n">
        <v>27.926</v>
      </c>
      <c r="H1381" s="25" t="inlineStr">
        <is>
          <t>988-pack GENERATED</t>
        </is>
      </c>
    </row>
    <row r="1382">
      <c r="A1382" s="25" t="inlineStr">
        <is>
          <t>1014439</t>
        </is>
      </c>
      <c r="B1382" s="25" t="inlineStr">
        <is>
          <t>AKÜ,L2,DK,62AH,IGYA,NONAME,GYEUR3027-062</t>
        </is>
      </c>
      <c r="C1382" s="25" t="inlineStr">
        <is>
          <t>1</t>
        </is>
      </c>
      <c r="D1382" s="25" t="inlineStr">
        <is>
          <t>ST-057-EUR-03</t>
        </is>
      </c>
      <c r="E1382" s="25" t="inlineStr">
        <is>
          <t>IA-ST-057-EUR-03</t>
        </is>
      </c>
      <c r="F1382" s="25" t="inlineStr">
        <is>
          <t>IA-ST-CFG-0162</t>
        </is>
      </c>
      <c r="G1382" s="25" t="n">
        <v>27.926</v>
      </c>
      <c r="H1382" s="25" t="inlineStr">
        <is>
          <t>988-pack GENERATED</t>
        </is>
      </c>
    </row>
    <row r="1383">
      <c r="A1383" s="25" t="inlineStr">
        <is>
          <t>1014440</t>
        </is>
      </c>
      <c r="B1383" s="25" t="inlineStr">
        <is>
          <t>AKÜ,L2,DK,62AH,IGYA,Y3000EXP KOLİ,NACITA</t>
        </is>
      </c>
      <c r="C1383" s="25" t="inlineStr">
        <is>
          <t>1</t>
        </is>
      </c>
      <c r="D1383" s="25" t="inlineStr">
        <is>
          <t>ST-088-STD-02</t>
        </is>
      </c>
      <c r="E1383" s="25" t="inlineStr">
        <is>
          <t>IA-ST-088-STD-02</t>
        </is>
      </c>
      <c r="F1383" s="25" t="inlineStr">
        <is>
          <t>IA-ST-CFG-0255</t>
        </is>
      </c>
      <c r="G1383" s="25" t="n">
        <v>50.456</v>
      </c>
      <c r="H1383" s="25" t="inlineStr">
        <is>
          <t>988-pack GENERATED</t>
        </is>
      </c>
    </row>
    <row r="1384">
      <c r="A1384" s="25" t="inlineStr">
        <is>
          <t>1014441</t>
        </is>
      </c>
      <c r="B1384" s="25" t="inlineStr">
        <is>
          <t>AKÜ,L2,DK,62AH,IGYSMF,Y3000EXPORT,KOLİLİ</t>
        </is>
      </c>
      <c r="C1384" s="25" t="inlineStr">
        <is>
          <t>1</t>
        </is>
      </c>
      <c r="D1384" s="25" t="inlineStr">
        <is>
          <t>ST-066-STD-01</t>
        </is>
      </c>
      <c r="E1384" s="25" t="inlineStr">
        <is>
          <t>IA-ST-066-STD-01</t>
        </is>
      </c>
      <c r="F1384" s="25" t="inlineStr">
        <is>
          <t>IA-ST-CFG-0191</t>
        </is>
      </c>
      <c r="G1384" s="25" t="n">
        <v>44.906</v>
      </c>
      <c r="H1384" s="25" t="inlineStr">
        <is>
          <t>988-pack GENERATED</t>
        </is>
      </c>
    </row>
    <row r="1385">
      <c r="A1385" s="25" t="inlineStr">
        <is>
          <t>1014442</t>
        </is>
      </c>
      <c r="B1385" s="25" t="inlineStr">
        <is>
          <t>AKÜ,L2,DK,62AH,IGYA SMF,Y3000 EXPORT</t>
        </is>
      </c>
      <c r="C1385" s="25" t="inlineStr">
        <is>
          <t>1</t>
        </is>
      </c>
      <c r="D1385" s="25" t="inlineStr">
        <is>
          <t>ST-057-EUR-03</t>
        </is>
      </c>
      <c r="E1385" s="25" t="inlineStr">
        <is>
          <t>IA-ST-057-EUR-03</t>
        </is>
      </c>
      <c r="F1385" s="25" t="inlineStr">
        <is>
          <t>IA-ST-CFG-0162</t>
        </is>
      </c>
      <c r="G1385" s="25" t="n">
        <v>27.926</v>
      </c>
      <c r="H1385" s="25" t="inlineStr">
        <is>
          <t>988-pack GENERATED</t>
        </is>
      </c>
    </row>
    <row r="1386">
      <c r="A1386" s="25" t="inlineStr">
        <is>
          <t>1014443</t>
        </is>
      </c>
      <c r="B1386" s="25" t="inlineStr">
        <is>
          <t>AKÜ,L2,DK,62AH,IGYSMF,Y3000EXPORT,TÜRKMN</t>
        </is>
      </c>
      <c r="C1386" s="25" t="inlineStr">
        <is>
          <t>1</t>
        </is>
      </c>
      <c r="D1386" s="25" t="inlineStr">
        <is>
          <t>ST-072-STD-09</t>
        </is>
      </c>
      <c r="E1386" s="25" t="inlineStr">
        <is>
          <t>IA-ST-072-STD-09</t>
        </is>
      </c>
      <c r="F1386" s="25" t="inlineStr">
        <is>
          <t>IA-ST-CFG-0218</t>
        </is>
      </c>
      <c r="G1386" s="25" t="n">
        <v>30.942</v>
      </c>
      <c r="H1386" s="25" t="inlineStr">
        <is>
          <t>988-pack GENERATED</t>
        </is>
      </c>
    </row>
    <row r="1387">
      <c r="A1387" s="25" t="inlineStr">
        <is>
          <t>1014444</t>
        </is>
      </c>
      <c r="B1387" s="25" t="inlineStr">
        <is>
          <t>AKÜ,L3,TK,76AH,IGYASMF,GYEUR,YBX3086-076</t>
        </is>
      </c>
      <c r="C1387" s="25" t="inlineStr">
        <is>
          <t>1</t>
        </is>
      </c>
      <c r="D1387" s="25" t="inlineStr">
        <is>
          <t>ST-051-EUR-01</t>
        </is>
      </c>
      <c r="E1387" s="25" t="inlineStr">
        <is>
          <t>IA-ST-051-EUR-01</t>
        </is>
      </c>
      <c r="F1387" s="25" t="inlineStr">
        <is>
          <t>IA-ST-CFG-0132</t>
        </is>
      </c>
      <c r="G1387" s="25" t="n">
        <v>27.926</v>
      </c>
      <c r="H1387" s="25" t="inlineStr">
        <is>
          <t>988-pack GENERATED</t>
        </is>
      </c>
    </row>
    <row r="1388">
      <c r="A1388" s="25" t="inlineStr">
        <is>
          <t>1014445</t>
        </is>
      </c>
      <c r="B1388" s="25" t="inlineStr">
        <is>
          <t>AKÜ,L3TK76AH,IGYSMF,NONAME,GYEUR3086-076</t>
        </is>
      </c>
      <c r="C1388" s="25" t="inlineStr">
        <is>
          <t>1</t>
        </is>
      </c>
      <c r="D1388" s="25" t="inlineStr">
        <is>
          <t>ST-051-EUR-01</t>
        </is>
      </c>
      <c r="E1388" s="25" t="inlineStr">
        <is>
          <t>IA-ST-051-EUR-01</t>
        </is>
      </c>
      <c r="F1388" s="25" t="inlineStr">
        <is>
          <t>IA-ST-CFG-0132</t>
        </is>
      </c>
      <c r="G1388" s="25" t="n">
        <v>27.926</v>
      </c>
      <c r="H1388" s="25" t="inlineStr">
        <is>
          <t>988-pack GENERATED</t>
        </is>
      </c>
    </row>
    <row r="1389">
      <c r="A1389" s="25" t="inlineStr">
        <is>
          <t>1014446</t>
        </is>
      </c>
      <c r="B1389" s="25" t="inlineStr">
        <is>
          <t>AKÜ,L3DK76AH,IGYASMF,HALFORD,HAL3096-076</t>
        </is>
      </c>
      <c r="C1389" s="25" t="inlineStr">
        <is>
          <t>1</t>
        </is>
      </c>
      <c r="D1389" s="25" t="inlineStr">
        <is>
          <t>ST-051-EUR-01</t>
        </is>
      </c>
      <c r="E1389" s="25" t="inlineStr">
        <is>
          <t>IA-ST-051-EUR-01</t>
        </is>
      </c>
      <c r="F1389" s="25" t="inlineStr">
        <is>
          <t>IA-ST-CFG-0132</t>
        </is>
      </c>
      <c r="G1389" s="25" t="n">
        <v>27.926</v>
      </c>
      <c r="H1389" s="25" t="inlineStr">
        <is>
          <t>988-pack GENERATED</t>
        </is>
      </c>
    </row>
    <row r="1390">
      <c r="A1390" s="25" t="inlineStr">
        <is>
          <t>1014447</t>
        </is>
      </c>
      <c r="B1390" s="25" t="inlineStr">
        <is>
          <t>AKÜ,L3,DK,76AH,IGYASMF,NO NAME,3096-076</t>
        </is>
      </c>
      <c r="C1390" s="25" t="inlineStr">
        <is>
          <t>1</t>
        </is>
      </c>
      <c r="D1390" s="25" t="inlineStr">
        <is>
          <t>ST-051-EUR-01</t>
        </is>
      </c>
      <c r="E1390" s="25" t="inlineStr">
        <is>
          <t>IA-ST-051-EUR-01</t>
        </is>
      </c>
      <c r="F1390" s="25" t="inlineStr">
        <is>
          <t>IA-ST-CFG-0132</t>
        </is>
      </c>
      <c r="G1390" s="25" t="n">
        <v>27.926</v>
      </c>
      <c r="H1390" s="25" t="inlineStr">
        <is>
          <t>988-pack GENERATED</t>
        </is>
      </c>
    </row>
    <row r="1391">
      <c r="A1391" s="25" t="inlineStr">
        <is>
          <t>1014448</t>
        </is>
      </c>
      <c r="B1391" s="25" t="inlineStr">
        <is>
          <t>AKÜ,L3,DK,75AH,IGYSMF,Y3000EXPORT,KOLİLİ</t>
        </is>
      </c>
      <c r="C1391" s="25" t="inlineStr">
        <is>
          <t>1</t>
        </is>
      </c>
      <c r="D1391" s="25" t="inlineStr">
        <is>
          <t>ST-036-STD-01</t>
        </is>
      </c>
      <c r="E1391" s="25" t="inlineStr">
        <is>
          <t>IA-ST-036-STD-01</t>
        </is>
      </c>
      <c r="F1391" s="25" t="inlineStr">
        <is>
          <t>IA-ST-CFG-0061</t>
        </is>
      </c>
      <c r="G1391" s="25" t="n">
        <v>37.796</v>
      </c>
      <c r="H1391" s="25" t="inlineStr">
        <is>
          <t>988-pack GENERATED</t>
        </is>
      </c>
    </row>
    <row r="1392">
      <c r="A1392" s="25" t="inlineStr">
        <is>
          <t>1014450</t>
        </is>
      </c>
      <c r="B1392" s="25" t="inlineStr">
        <is>
          <t>AKÜ,L3,DK,75AH,IGYA SMF,NO NAME,GY EUR</t>
        </is>
      </c>
      <c r="C1392" s="25" t="inlineStr">
        <is>
          <t>1</t>
        </is>
      </c>
      <c r="D1392" s="25" t="inlineStr">
        <is>
          <t>ST-051-EUR-01</t>
        </is>
      </c>
      <c r="E1392" s="25" t="inlineStr">
        <is>
          <t>IA-ST-051-EUR-01</t>
        </is>
      </c>
      <c r="F1392" s="25" t="inlineStr">
        <is>
          <t>IA-ST-CFG-0132</t>
        </is>
      </c>
      <c r="G1392" s="25" t="n">
        <v>27.926</v>
      </c>
      <c r="H1392" s="25" t="inlineStr">
        <is>
          <t>988-pack GENERATED</t>
        </is>
      </c>
    </row>
    <row r="1393">
      <c r="A1393" s="25" t="inlineStr">
        <is>
          <t>1014451</t>
        </is>
      </c>
      <c r="B1393" s="25" t="inlineStr">
        <is>
          <t>AKÜ,L3,DK,75AH,IGYSMF,Y3000EXPORT,KOLİLİ</t>
        </is>
      </c>
      <c r="C1393" s="25" t="inlineStr">
        <is>
          <t>1</t>
        </is>
      </c>
      <c r="D1393" s="25" t="inlineStr">
        <is>
          <t>ST-054-STD-01</t>
        </is>
      </c>
      <c r="E1393" s="25" t="inlineStr">
        <is>
          <t>IA-ST-054-STD-01</t>
        </is>
      </c>
      <c r="F1393" s="25" t="inlineStr">
        <is>
          <t>IA-ST-CFG-0137</t>
        </is>
      </c>
      <c r="G1393" s="25" t="n">
        <v>42.566</v>
      </c>
      <c r="H1393" s="25" t="inlineStr">
        <is>
          <t>988-pack GENERATED</t>
        </is>
      </c>
    </row>
    <row r="1394">
      <c r="A1394" s="25" t="inlineStr">
        <is>
          <t>1014452</t>
        </is>
      </c>
      <c r="B1394" s="25" t="inlineStr">
        <is>
          <t>AKÜ,L3,DK,75AH,IGYA SMF,Y3000 EXPORT</t>
        </is>
      </c>
      <c r="C1394" s="25" t="inlineStr">
        <is>
          <t>1</t>
        </is>
      </c>
      <c r="D1394" s="25" t="inlineStr">
        <is>
          <t>ST-051-EUR-01</t>
        </is>
      </c>
      <c r="E1394" s="25" t="inlineStr">
        <is>
          <t>IA-ST-051-EUR-01</t>
        </is>
      </c>
      <c r="F1394" s="25" t="inlineStr">
        <is>
          <t>IA-ST-CFG-0132</t>
        </is>
      </c>
      <c r="G1394" s="25" t="n">
        <v>27.926</v>
      </c>
      <c r="H1394" s="25" t="inlineStr">
        <is>
          <t>988-pack GENERATED</t>
        </is>
      </c>
    </row>
    <row r="1395">
      <c r="A1395" s="25" t="inlineStr">
        <is>
          <t>1014453</t>
        </is>
      </c>
      <c r="B1395" s="25" t="inlineStr">
        <is>
          <t>AKÜ,L3,DK,75AH,IGYA,NONAME,GYEUR4096-075</t>
        </is>
      </c>
      <c r="C1395" s="25" t="inlineStr">
        <is>
          <t>1</t>
        </is>
      </c>
      <c r="D1395" s="25" t="inlineStr">
        <is>
          <t>ST-051-EUR-01</t>
        </is>
      </c>
      <c r="E1395" s="25" t="inlineStr">
        <is>
          <t>IA-ST-051-EUR-01</t>
        </is>
      </c>
      <c r="F1395" s="25" t="inlineStr">
        <is>
          <t>IA-ST-CFG-0132</t>
        </is>
      </c>
      <c r="G1395" s="25" t="n">
        <v>27.926</v>
      </c>
      <c r="H1395" s="25" t="inlineStr">
        <is>
          <t>988-pack GENERATED</t>
        </is>
      </c>
    </row>
    <row r="1396">
      <c r="A1396" s="25" t="inlineStr">
        <is>
          <t>1014454</t>
        </is>
      </c>
      <c r="B1396" s="25" t="inlineStr">
        <is>
          <t>AKÜ,LB3DK71AH,IGYSMFNONAME,GYEUR3100-071</t>
        </is>
      </c>
      <c r="C1396" s="25" t="inlineStr">
        <is>
          <t>1</t>
        </is>
      </c>
      <c r="D1396" s="25" t="inlineStr">
        <is>
          <t>ST-051-EUR-01</t>
        </is>
      </c>
      <c r="E1396" s="25" t="inlineStr">
        <is>
          <t>IA-ST-051-EUR-01</t>
        </is>
      </c>
      <c r="F1396" s="25" t="inlineStr">
        <is>
          <t>IA-ST-CFG-0132</t>
        </is>
      </c>
      <c r="G1396" s="25" t="n">
        <v>27.926</v>
      </c>
      <c r="H1396" s="25" t="inlineStr">
        <is>
          <t>988-pack GENERATED</t>
        </is>
      </c>
    </row>
    <row r="1397">
      <c r="A1397" s="25" t="inlineStr">
        <is>
          <t>1014456</t>
        </is>
      </c>
      <c r="B1397" s="25" t="inlineStr">
        <is>
          <t>AKÜ,LB3,DK,72AH,IGYA SMF,Y3000 EXPORT</t>
        </is>
      </c>
      <c r="C1397" s="25" t="inlineStr">
        <is>
          <t>1</t>
        </is>
      </c>
      <c r="D1397" s="25" t="inlineStr">
        <is>
          <t>ST-051-EUR-01</t>
        </is>
      </c>
      <c r="E1397" s="25" t="inlineStr">
        <is>
          <t>IA-ST-051-EUR-01</t>
        </is>
      </c>
      <c r="F1397" s="25" t="inlineStr">
        <is>
          <t>IA-ST-CFG-0132</t>
        </is>
      </c>
      <c r="G1397" s="25" t="n">
        <v>27.926</v>
      </c>
      <c r="H1397" s="25" t="inlineStr">
        <is>
          <t>988-pack GENERATED</t>
        </is>
      </c>
    </row>
    <row r="1398">
      <c r="A1398" s="25" t="inlineStr">
        <is>
          <t>1014457</t>
        </is>
      </c>
      <c r="B1398" s="25" t="inlineStr">
        <is>
          <t>AKÜ,L5DK95AH,IGYSMFNONAME,GYEUR,3019-095</t>
        </is>
      </c>
      <c r="C1398" s="25" t="inlineStr">
        <is>
          <t>1</t>
        </is>
      </c>
      <c r="D1398" s="25" t="inlineStr">
        <is>
          <t>ST-036-EUR-04</t>
        </is>
      </c>
      <c r="E1398" s="25" t="inlineStr">
        <is>
          <t>IA-ST-036-EUR-04</t>
        </is>
      </c>
      <c r="F1398" s="25" t="inlineStr">
        <is>
          <t>IA-ST-CFG-0068</t>
        </is>
      </c>
      <c r="G1398" s="25" t="n">
        <v>27.926</v>
      </c>
      <c r="H1398" s="25" t="inlineStr">
        <is>
          <t>988-pack GENERATED</t>
        </is>
      </c>
    </row>
    <row r="1399">
      <c r="A1399" s="25" t="inlineStr">
        <is>
          <t>1014460</t>
        </is>
      </c>
      <c r="B1399" s="25" t="inlineStr">
        <is>
          <t>AKÜ,L5,DK,100AH,IGYASMF,NONAME,GSTAYLAND</t>
        </is>
      </c>
      <c r="C1399" s="25" t="inlineStr">
        <is>
          <t>1</t>
        </is>
      </c>
      <c r="D1399" s="25" t="inlineStr">
        <is>
          <t>ST-045-STD-14</t>
        </is>
      </c>
      <c r="E1399" s="25" t="inlineStr">
        <is>
          <t>IA-ST-045-STD-14</t>
        </is>
      </c>
      <c r="F1399" s="25" t="inlineStr">
        <is>
          <t>IA-ST-CFG-0102</t>
        </is>
      </c>
      <c r="G1399" s="25" t="n">
        <v>28.476</v>
      </c>
      <c r="H1399" s="25" t="inlineStr">
        <is>
          <t>988-pack GENERATED</t>
        </is>
      </c>
    </row>
    <row r="1400">
      <c r="A1400" s="25" t="inlineStr">
        <is>
          <t>1014461</t>
        </is>
      </c>
      <c r="B1400" s="25" t="inlineStr">
        <is>
          <t>AKÜ,L5,DK,95AH,IGYA,Y3000EXP KOLİ,NACITA</t>
        </is>
      </c>
      <c r="C1400" s="25" t="inlineStr">
        <is>
          <t>1</t>
        </is>
      </c>
      <c r="D1400" s="25" t="inlineStr">
        <is>
          <t>ST-060-STD-02</t>
        </is>
      </c>
      <c r="E1400" s="25" t="inlineStr">
        <is>
          <t>IA-ST-060-STD-02</t>
        </is>
      </c>
      <c r="F1400" s="25" t="inlineStr">
        <is>
          <t>IA-ST-CFG-0166</t>
        </is>
      </c>
      <c r="G1400" s="25" t="n">
        <v>49.136</v>
      </c>
      <c r="H1400" s="25" t="inlineStr">
        <is>
          <t>988-pack GENERATED</t>
        </is>
      </c>
    </row>
    <row r="1401">
      <c r="A1401" s="25" t="inlineStr">
        <is>
          <t>1014462</t>
        </is>
      </c>
      <c r="B1401" s="25" t="inlineStr">
        <is>
          <t>AKÜ,L5,DK,95AH,IGYSMF,Y3000EXPORT,KOLİLİ</t>
        </is>
      </c>
      <c r="C1401" s="25" t="inlineStr">
        <is>
          <t>1</t>
        </is>
      </c>
      <c r="D1401" s="25" t="inlineStr">
        <is>
          <t>ST-045-STD-01</t>
        </is>
      </c>
      <c r="E1401" s="25" t="inlineStr">
        <is>
          <t>IA-ST-045-STD-01</t>
        </is>
      </c>
      <c r="F1401" s="25" t="inlineStr">
        <is>
          <t>IA-ST-CFG-0089</t>
        </is>
      </c>
      <c r="G1401" s="25" t="n">
        <v>43.916</v>
      </c>
      <c r="H1401" s="25" t="inlineStr">
        <is>
          <t>988-pack GENERATED</t>
        </is>
      </c>
    </row>
    <row r="1402">
      <c r="A1402" s="25" t="inlineStr">
        <is>
          <t>1014463</t>
        </is>
      </c>
      <c r="B1402" s="25" t="inlineStr">
        <is>
          <t>AKÜ,L5,DK,95AH,IGYA SMF,Y3000 EXPORT</t>
        </is>
      </c>
      <c r="C1402" s="25" t="inlineStr">
        <is>
          <t>1</t>
        </is>
      </c>
      <c r="D1402" s="25" t="inlineStr">
        <is>
          <t>ST-036-EUR-04</t>
        </is>
      </c>
      <c r="E1402" s="25" t="inlineStr">
        <is>
          <t>IA-ST-036-EUR-04</t>
        </is>
      </c>
      <c r="F1402" s="25" t="inlineStr">
        <is>
          <t>IA-ST-CFG-0068</t>
        </is>
      </c>
      <c r="G1402" s="25" t="n">
        <v>27.926</v>
      </c>
      <c r="H1402" s="25" t="inlineStr">
        <is>
          <t>988-pack GENERATED</t>
        </is>
      </c>
    </row>
    <row r="1403">
      <c r="A1403" s="25" t="inlineStr">
        <is>
          <t>1014464</t>
        </is>
      </c>
      <c r="B1403" s="25" t="inlineStr">
        <is>
          <t>AKÜ,L5,DK,95AH850A,IGYSMF,YUASA,ORTADOĞU</t>
        </is>
      </c>
      <c r="C1403" s="25" t="inlineStr">
        <is>
          <t>1</t>
        </is>
      </c>
      <c r="D1403" s="25" t="inlineStr">
        <is>
          <t>ST-045-STD-08</t>
        </is>
      </c>
      <c r="E1403" s="25" t="inlineStr">
        <is>
          <t>IA-ST-045-STD-08</t>
        </is>
      </c>
      <c r="F1403" s="25" t="inlineStr">
        <is>
          <t>IA-ST-CFG-0096</t>
        </is>
      </c>
      <c r="G1403" s="25" t="n">
        <v>29.7192</v>
      </c>
      <c r="H1403" s="25" t="inlineStr">
        <is>
          <t>988-pack GENERATED</t>
        </is>
      </c>
    </row>
    <row r="1404">
      <c r="A1404" s="25" t="inlineStr">
        <is>
          <t>1014465</t>
        </is>
      </c>
      <c r="B1404" s="25" t="inlineStr">
        <is>
          <t>AKÜ,L5,DK,95AH850A,IGYASMF,Y3000,SHAWKAT</t>
        </is>
      </c>
      <c r="C1404" s="25" t="inlineStr">
        <is>
          <t>1</t>
        </is>
      </c>
      <c r="D1404" s="25" t="inlineStr">
        <is>
          <t>ST-060-STD-02</t>
        </is>
      </c>
      <c r="E1404" s="25" t="inlineStr">
        <is>
          <t>IA-ST-060-STD-02</t>
        </is>
      </c>
      <c r="F1404" s="25" t="inlineStr">
        <is>
          <t>IA-ST-CFG-0166</t>
        </is>
      </c>
      <c r="G1404" s="25" t="n">
        <v>49.136</v>
      </c>
      <c r="H1404" s="25" t="inlineStr">
        <is>
          <t>988-pack GENERATED</t>
        </is>
      </c>
    </row>
    <row r="1405">
      <c r="A1405" s="25" t="inlineStr">
        <is>
          <t>1014473</t>
        </is>
      </c>
      <c r="B1405" s="25" t="inlineStr">
        <is>
          <t>AKÜ,B-IGYASMF,DK,185AH,İNCİEFBPANT,HABAŞ</t>
        </is>
      </c>
      <c r="C1405" s="25" t="inlineStr">
        <is>
          <t>1</t>
        </is>
      </c>
      <c r="D1405" s="25" t="inlineStr">
        <is>
          <t>ST-030-STD-06</t>
        </is>
      </c>
      <c r="E1405" s="25" t="inlineStr">
        <is>
          <t>IA-ST-030-STD-06</t>
        </is>
      </c>
      <c r="F1405" s="25" t="inlineStr">
        <is>
          <t>IA-ST-CFG-0052</t>
        </is>
      </c>
      <c r="G1405" s="25" t="n">
        <v>32.3892</v>
      </c>
      <c r="H1405" s="25" t="inlineStr">
        <is>
          <t>988-pack GENERATED</t>
        </is>
      </c>
    </row>
    <row r="1406">
      <c r="A1406" s="25" t="inlineStr">
        <is>
          <t>1014475</t>
        </is>
      </c>
      <c r="B1406" s="25" t="inlineStr">
        <is>
          <t>AKÜ,B-FLAT,TK,180AH,İNCİ SUPRA,REDMAY</t>
        </is>
      </c>
      <c r="C1406" s="25" t="inlineStr">
        <is>
          <t>1</t>
        </is>
      </c>
      <c r="D1406" s="25" t="inlineStr">
        <is>
          <t>ST-030-STD-06</t>
        </is>
      </c>
      <c r="E1406" s="25" t="inlineStr">
        <is>
          <t>IA-ST-030-STD-06</t>
        </is>
      </c>
      <c r="F1406" s="25" t="inlineStr">
        <is>
          <t>IA-ST-CFG-0052</t>
        </is>
      </c>
      <c r="G1406" s="25" t="n">
        <v>32.3892</v>
      </c>
      <c r="H1406" s="25" t="inlineStr">
        <is>
          <t>988-pack GENERATED</t>
        </is>
      </c>
    </row>
    <row r="1407">
      <c r="A1407" s="25" t="inlineStr">
        <is>
          <t>1014476</t>
        </is>
      </c>
      <c r="B1407" s="25" t="inlineStr">
        <is>
          <t>AKÜ,L1,DK,45AH,IGYA SMF,NO NAME,REDMAY</t>
        </is>
      </c>
      <c r="C1407" s="25" t="inlineStr">
        <is>
          <t>1</t>
        </is>
      </c>
      <c r="D1407" s="25" t="inlineStr">
        <is>
          <t>ST-087-STD-01</t>
        </is>
      </c>
      <c r="E1407" s="25" t="inlineStr">
        <is>
          <t>IA-ST-087-STD-01</t>
        </is>
      </c>
      <c r="F1407" s="25" t="inlineStr">
        <is>
          <t>IA-ST-CFG-0246</t>
        </is>
      </c>
      <c r="G1407" s="25" t="n">
        <v>28.1392</v>
      </c>
      <c r="H1407" s="25" t="inlineStr">
        <is>
          <t>988-pack GENERATED</t>
        </is>
      </c>
    </row>
    <row r="1408">
      <c r="A1408" s="25" t="inlineStr">
        <is>
          <t>1014477</t>
        </is>
      </c>
      <c r="B1408" s="25" t="inlineStr">
        <is>
          <t>AKÜ,LB2,DK,60AH,IGYA SMF,NO NAME,REDMAY</t>
        </is>
      </c>
      <c r="C1408" s="25" t="inlineStr">
        <is>
          <t>1</t>
        </is>
      </c>
      <c r="D1408" s="25" t="inlineStr">
        <is>
          <t>ST-072-STD-14</t>
        </is>
      </c>
      <c r="E1408" s="25" t="inlineStr">
        <is>
          <t>IA-ST-072-STD-14</t>
        </is>
      </c>
      <c r="F1408" s="25" t="inlineStr">
        <is>
          <t>IA-ST-CFG-0223</t>
        </is>
      </c>
      <c r="G1408" s="25" t="n">
        <v>27.9192</v>
      </c>
      <c r="H1408" s="25" t="inlineStr">
        <is>
          <t>988-pack GENERATED</t>
        </is>
      </c>
    </row>
    <row r="1409">
      <c r="A1409" s="25" t="inlineStr">
        <is>
          <t>1014478</t>
        </is>
      </c>
      <c r="B1409" s="25" t="inlineStr">
        <is>
          <t>AKÜ,LB3,DK,66AH,IGYA SMF,NO NAME,REDMAY</t>
        </is>
      </c>
      <c r="C1409" s="25" t="inlineStr">
        <is>
          <t>1</t>
        </is>
      </c>
      <c r="D1409" s="25" t="inlineStr">
        <is>
          <t>ST-063-STD-09</t>
        </is>
      </c>
      <c r="E1409" s="25" t="inlineStr">
        <is>
          <t>IA-ST-063-STD-09</t>
        </is>
      </c>
      <c r="F1409" s="25" t="inlineStr">
        <is>
          <t>IA-ST-CFG-0180</t>
        </is>
      </c>
      <c r="G1409" s="25" t="n">
        <v>27.9192</v>
      </c>
      <c r="H1409" s="25" t="inlineStr">
        <is>
          <t>988-pack GENERATED</t>
        </is>
      </c>
    </row>
    <row r="1410">
      <c r="A1410" s="29" t="inlineStr">
        <is>
          <t>1014479</t>
        </is>
      </c>
      <c r="B1410" s="29" t="inlineStr">
        <is>
          <t>AKÜ,A-IGYA,TK,120AH,İNCİ FORMULA,ERKUNT</t>
        </is>
      </c>
      <c r="C1410" s="29" t="inlineStr">
        <is>
          <t>1</t>
        </is>
      </c>
      <c r="H1410" s="29" t="inlineStr">
        <is>
          <t>NO MAPPING</t>
        </is>
      </c>
    </row>
    <row r="1411">
      <c r="A1411" s="25" t="inlineStr">
        <is>
          <t>1014480</t>
        </is>
      </c>
      <c r="B1411" s="25" t="inlineStr">
        <is>
          <t>AKÜ,A-IGYASMF,DK,135AH,BLIZSILVER,SHDNEW</t>
        </is>
      </c>
      <c r="C1411" s="25" t="inlineStr">
        <is>
          <t>1</t>
        </is>
      </c>
      <c r="D1411" s="25" t="inlineStr">
        <is>
          <t>ST-030-STD-05</t>
        </is>
      </c>
      <c r="E1411" s="25" t="inlineStr">
        <is>
          <t>IA-ST-030-STD-05</t>
        </is>
      </c>
      <c r="F1411" s="25" t="inlineStr">
        <is>
          <t>IA-ST-CFG-0051</t>
        </is>
      </c>
      <c r="G1411" s="25" t="n">
        <v>31.6992</v>
      </c>
      <c r="H1411" s="25" t="inlineStr">
        <is>
          <t>988-pack GENERATED</t>
        </is>
      </c>
    </row>
    <row r="1412">
      <c r="A1412" s="25" t="inlineStr">
        <is>
          <t>1014481</t>
        </is>
      </c>
      <c r="B1412" s="25" t="inlineStr">
        <is>
          <t>AKÜ AGM,L2,DK,60AH,BLIZZARO AGM,JANENE</t>
        </is>
      </c>
      <c r="C1412" s="25" t="inlineStr">
        <is>
          <t>1</t>
        </is>
      </c>
      <c r="D1412" s="25" t="inlineStr">
        <is>
          <t>ST-072-STD-13</t>
        </is>
      </c>
      <c r="E1412" s="25" t="inlineStr">
        <is>
          <t>IA-ST-072-STD-13</t>
        </is>
      </c>
      <c r="F1412" s="25" t="inlineStr">
        <is>
          <t>IA-ST-CFG-0222</t>
        </is>
      </c>
      <c r="G1412" s="25" t="n">
        <v>30.6552</v>
      </c>
      <c r="H1412" s="25" t="inlineStr">
        <is>
          <t>988-pack GENERATED</t>
        </is>
      </c>
    </row>
    <row r="1413">
      <c r="A1413" s="25" t="inlineStr">
        <is>
          <t>1014482</t>
        </is>
      </c>
      <c r="B1413" s="25" t="inlineStr">
        <is>
          <t>AKÜ AGM,L4,DK,80AH,BLIZZARO AGM,JANENE</t>
        </is>
      </c>
      <c r="C1413" s="25" t="inlineStr">
        <is>
          <t>1</t>
        </is>
      </c>
      <c r="D1413" s="25" t="inlineStr">
        <is>
          <t>ST-054-STD-06</t>
        </is>
      </c>
      <c r="E1413" s="25" t="inlineStr">
        <is>
          <t>IA-ST-054-STD-06</t>
        </is>
      </c>
      <c r="F1413" s="25" t="inlineStr">
        <is>
          <t>IA-ST-CFG-0142</t>
        </is>
      </c>
      <c r="G1413" s="25" t="n">
        <v>29.7552</v>
      </c>
      <c r="H1413" s="25" t="inlineStr">
        <is>
          <t>988-pack GENERATED</t>
        </is>
      </c>
    </row>
    <row r="1414">
      <c r="A1414" s="25" t="inlineStr">
        <is>
          <t>1014486</t>
        </is>
      </c>
      <c r="B1414" s="25" t="inlineStr">
        <is>
          <t>AKÜ,D23,60AH,IGYSMF,BLIZZSILVERLN,MISIR</t>
        </is>
      </c>
      <c r="C1414" s="25" t="inlineStr">
        <is>
          <t>1</t>
        </is>
      </c>
      <c r="D1414" s="25" t="inlineStr">
        <is>
          <t>ST-072-STD-10</t>
        </is>
      </c>
      <c r="E1414" s="25" t="inlineStr">
        <is>
          <t>IA-ST-072-STD-10</t>
        </is>
      </c>
      <c r="F1414" s="25" t="inlineStr">
        <is>
          <t>IA-ST-CFG-0219</t>
        </is>
      </c>
      <c r="G1414" s="25" t="n">
        <v>34.33224</v>
      </c>
      <c r="H1414" s="25" t="inlineStr">
        <is>
          <t>988-pack GENERATED</t>
        </is>
      </c>
    </row>
    <row r="1415">
      <c r="A1415" s="25" t="inlineStr">
        <is>
          <t>1014490</t>
        </is>
      </c>
      <c r="B1415" s="25" t="inlineStr">
        <is>
          <t>AKÜ,D31,DK,80AH,IGYSMF,İNCİTAURUS,KOLİLİ</t>
        </is>
      </c>
      <c r="C1415" s="25" t="inlineStr">
        <is>
          <t>1</t>
        </is>
      </c>
      <c r="D1415" s="25" t="inlineStr">
        <is>
          <t>ST-051-STD-08</t>
        </is>
      </c>
      <c r="E1415" s="25" t="inlineStr">
        <is>
          <t>IA-ST-051-STD-08</t>
        </is>
      </c>
      <c r="F1415" s="25" t="inlineStr">
        <is>
          <t>IA-ST-CFG-0129</t>
        </is>
      </c>
      <c r="G1415" s="25" t="n">
        <v>46.5784</v>
      </c>
      <c r="H1415" s="25" t="inlineStr">
        <is>
          <t>988-pack GENERATED</t>
        </is>
      </c>
    </row>
    <row r="1416">
      <c r="A1416" s="25" t="inlineStr">
        <is>
          <t>1014491</t>
        </is>
      </c>
      <c r="B1416" s="25" t="inlineStr">
        <is>
          <t>AKÜ AGM,C,DK,220AH,İNCİ AGM LEO,İÇ PYS</t>
        </is>
      </c>
      <c r="C1416" s="25" t="inlineStr">
        <is>
          <t>1</t>
        </is>
      </c>
      <c r="D1416" s="25" t="inlineStr">
        <is>
          <t>ST-018-EUR-05</t>
        </is>
      </c>
      <c r="E1416" s="25" t="inlineStr">
        <is>
          <t>IA-ST-018-EUR-05</t>
        </is>
      </c>
      <c r="F1416" s="25" t="inlineStr">
        <is>
          <t>IA-ST-CFG-0016</t>
        </is>
      </c>
      <c r="G1416" s="25" t="n">
        <v>30.7004</v>
      </c>
      <c r="H1416" s="25" t="inlineStr">
        <is>
          <t>988-pack GENERATED</t>
        </is>
      </c>
    </row>
    <row r="1417">
      <c r="A1417" s="25" t="inlineStr">
        <is>
          <t>1014492</t>
        </is>
      </c>
      <c r="B1417" s="25" t="inlineStr">
        <is>
          <t>AKÜ AGM,C,DK,220AH,EAS AGM S&amp;S,İÇ PYS</t>
        </is>
      </c>
      <c r="C1417" s="25" t="inlineStr">
        <is>
          <t>1</t>
        </is>
      </c>
      <c r="D1417" s="25" t="inlineStr">
        <is>
          <t>ST-021-STD-04</t>
        </is>
      </c>
      <c r="E1417" s="25" t="inlineStr">
        <is>
          <t>IA-ST-021-STD-04</t>
        </is>
      </c>
      <c r="F1417" s="25" t="inlineStr">
        <is>
          <t>IA-ST-CFG-0024</t>
        </is>
      </c>
      <c r="G1417" s="25" t="n">
        <v>31.5384</v>
      </c>
      <c r="H1417" s="25" t="inlineStr">
        <is>
          <t>988-pack GENERATED</t>
        </is>
      </c>
    </row>
    <row r="1418">
      <c r="A1418" s="25" t="inlineStr">
        <is>
          <t>1014493</t>
        </is>
      </c>
      <c r="B1418" s="25" t="inlineStr">
        <is>
          <t>AKÜ,L6,DK105AH,VRLA,AGM YBX9020-105_Grey</t>
        </is>
      </c>
      <c r="C1418" s="25" t="inlineStr">
        <is>
          <t>1</t>
        </is>
      </c>
      <c r="D1418" s="25" t="inlineStr">
        <is>
          <t>ST-033-EUR-01</t>
        </is>
      </c>
      <c r="E1418" s="25" t="inlineStr">
        <is>
          <t>IA-ST-033-EUR-01</t>
        </is>
      </c>
      <c r="F1418" s="25" t="inlineStr">
        <is>
          <t>IA-ST-CFG-0058</t>
        </is>
      </c>
      <c r="G1418" s="25" t="n">
        <v>27.926</v>
      </c>
      <c r="H1418" s="25" t="inlineStr">
        <is>
          <t>988-pack GENERATED</t>
        </is>
      </c>
    </row>
    <row r="1419">
      <c r="A1419" s="25" t="inlineStr">
        <is>
          <t>1014494</t>
        </is>
      </c>
      <c r="B1419" s="25" t="inlineStr">
        <is>
          <t>AKÜ,B-IGYASMF,DK190AH,B03,EASACTIVA,EURO</t>
        </is>
      </c>
      <c r="C1419" s="25" t="inlineStr">
        <is>
          <t>1</t>
        </is>
      </c>
      <c r="D1419" s="25" t="inlineStr">
        <is>
          <t>ST-021-EUR-03</t>
        </is>
      </c>
      <c r="E1419" s="25" t="inlineStr">
        <is>
          <t>IA-ST-021-EUR-03</t>
        </is>
      </c>
      <c r="F1419" s="25" t="inlineStr">
        <is>
          <t>IA-ST-CFG-0029</t>
        </is>
      </c>
      <c r="G1419" s="25" t="n">
        <v>30.7682</v>
      </c>
      <c r="H1419" s="25" t="inlineStr">
        <is>
          <t>988-pack GENERATED</t>
        </is>
      </c>
    </row>
    <row r="1420">
      <c r="A1420" s="25" t="inlineStr">
        <is>
          <t>1014495</t>
        </is>
      </c>
      <c r="B1420" s="25" t="inlineStr">
        <is>
          <t>AKÜ,C-IGYASMF,DK,240AH,EAS ACTIVA,EURO</t>
        </is>
      </c>
      <c r="C1420" s="25" t="inlineStr">
        <is>
          <t>1</t>
        </is>
      </c>
      <c r="D1420" s="25" t="inlineStr">
        <is>
          <t>ST-018-EUR-03</t>
        </is>
      </c>
      <c r="E1420" s="25" t="inlineStr">
        <is>
          <t>IA-ST-018-EUR-03</t>
        </is>
      </c>
      <c r="F1420" s="25" t="inlineStr">
        <is>
          <t>IA-ST-CFG-0014</t>
        </is>
      </c>
      <c r="G1420" s="25" t="n">
        <v>30.9872</v>
      </c>
      <c r="H1420" s="25" t="inlineStr">
        <is>
          <t>988-pack GENERATED</t>
        </is>
      </c>
    </row>
    <row r="1421">
      <c r="A1421" s="25" t="inlineStr">
        <is>
          <t>1014496</t>
        </is>
      </c>
      <c r="B1421" s="25" t="inlineStr">
        <is>
          <t>AKÜ,AGM,L2,DK,60AH,EAS AGM S&amp;S,EURO</t>
        </is>
      </c>
      <c r="C1421" s="25" t="inlineStr">
        <is>
          <t>1</t>
        </is>
      </c>
      <c r="D1421" s="25" t="inlineStr">
        <is>
          <t>ST-076-EUR-03</t>
        </is>
      </c>
      <c r="E1421" s="25" t="inlineStr">
        <is>
          <t>IA-ST-076-EUR-03</t>
        </is>
      </c>
      <c r="F1421" s="25" t="inlineStr">
        <is>
          <t>IA-ST-CFG-0240</t>
        </is>
      </c>
      <c r="G1421" s="25" t="n">
        <v>30.7272</v>
      </c>
      <c r="H1421" s="25" t="inlineStr">
        <is>
          <t>988-pack GENERATED</t>
        </is>
      </c>
    </row>
    <row r="1422">
      <c r="A1422" s="25" t="inlineStr">
        <is>
          <t>1014497</t>
        </is>
      </c>
      <c r="B1422" s="25" t="inlineStr">
        <is>
          <t>AKÜ,AGM,L4,DK,80AH,EAS AGM S&amp;S,EURO</t>
        </is>
      </c>
      <c r="C1422" s="25" t="inlineStr">
        <is>
          <t>1</t>
        </is>
      </c>
      <c r="D1422" s="25" t="inlineStr">
        <is>
          <t>ST-042-EUR-03</t>
        </is>
      </c>
      <c r="E1422" s="25" t="inlineStr">
        <is>
          <t>IA-ST-042-EUR-03</t>
        </is>
      </c>
      <c r="F1422" s="25" t="inlineStr">
        <is>
          <t>IA-ST-CFG-0086</t>
        </is>
      </c>
      <c r="G1422" s="25" t="n">
        <v>29.0672</v>
      </c>
      <c r="H1422" s="25" t="inlineStr">
        <is>
          <t>988-pack GENERATED</t>
        </is>
      </c>
    </row>
    <row r="1423">
      <c r="A1423" s="25" t="inlineStr">
        <is>
          <t>1014498</t>
        </is>
      </c>
      <c r="B1423" s="25" t="inlineStr">
        <is>
          <t>AKÜ,AGM,L5,DK,92AH,EAS AGM S&amp;S,EURO</t>
        </is>
      </c>
      <c r="C1423" s="25" t="inlineStr">
        <is>
          <t>1</t>
        </is>
      </c>
      <c r="D1423" s="25" t="inlineStr">
        <is>
          <t>ST-048-EUR-10</t>
        </is>
      </c>
      <c r="E1423" s="25" t="inlineStr">
        <is>
          <t>IA-ST-048-EUR-10</t>
        </is>
      </c>
      <c r="F1423" s="25" t="inlineStr">
        <is>
          <t>IA-ST-CFG-0116</t>
        </is>
      </c>
      <c r="G1423" s="25" t="n">
        <v>29.7592</v>
      </c>
      <c r="H1423" s="25" t="inlineStr">
        <is>
          <t>988-pack GENERATED</t>
        </is>
      </c>
    </row>
    <row r="1424">
      <c r="A1424" s="25" t="inlineStr">
        <is>
          <t>1014499</t>
        </is>
      </c>
      <c r="B1424" s="25" t="inlineStr">
        <is>
          <t>AKÜ,AGM,L6,DK,105AH,EAS AGM S&amp;S,EURO</t>
        </is>
      </c>
      <c r="C1424" s="25" t="inlineStr">
        <is>
          <t>1</t>
        </is>
      </c>
      <c r="D1424" s="25" t="inlineStr">
        <is>
          <t>ST-036-EUR-06</t>
        </is>
      </c>
      <c r="E1424" s="25" t="inlineStr">
        <is>
          <t>IA-ST-036-EUR-06</t>
        </is>
      </c>
      <c r="F1424" s="25" t="inlineStr">
        <is>
          <t>IA-ST-CFG-0071</t>
        </is>
      </c>
      <c r="G1424" s="25" t="n">
        <v>29.0792</v>
      </c>
      <c r="H1424" s="25" t="inlineStr">
        <is>
          <t>988-pack GENERATED</t>
        </is>
      </c>
    </row>
    <row r="1425">
      <c r="A1425" s="25" t="inlineStr">
        <is>
          <t>1014500</t>
        </is>
      </c>
      <c r="B1425" s="25" t="inlineStr">
        <is>
          <t>AKÜ,L1,DK,54AH,IGYA SMF,NO NAME,EURO</t>
        </is>
      </c>
      <c r="C1425" s="25" t="inlineStr">
        <is>
          <t>1</t>
        </is>
      </c>
      <c r="D1425" s="25" t="inlineStr">
        <is>
          <t>ST-096-EUR-04</t>
        </is>
      </c>
      <c r="E1425" s="25" t="inlineStr">
        <is>
          <t>IA-ST-096-EUR-04</t>
        </is>
      </c>
      <c r="F1425" s="25" t="inlineStr">
        <is>
          <t>IA-ST-CFG-0267</t>
        </is>
      </c>
      <c r="G1425" s="25" t="n">
        <v>27.8592</v>
      </c>
      <c r="H1425" s="25" t="inlineStr">
        <is>
          <t>988-pack GENERATED</t>
        </is>
      </c>
    </row>
    <row r="1426">
      <c r="A1426" s="25" t="inlineStr">
        <is>
          <t>1014501</t>
        </is>
      </c>
      <c r="B1426" s="25" t="inlineStr">
        <is>
          <t>AKÜ,NS60,DK45AH,IGYA,T3PERFORMANCEBATTER</t>
        </is>
      </c>
      <c r="C1426" s="25" t="inlineStr">
        <is>
          <t>1</t>
        </is>
      </c>
      <c r="D1426" s="25" t="inlineStr">
        <is>
          <t>ST-096-STD-03</t>
        </is>
      </c>
      <c r="E1426" s="25" t="inlineStr">
        <is>
          <t>IA-ST-096-STD-03</t>
        </is>
      </c>
      <c r="F1426" s="25" t="inlineStr">
        <is>
          <t>IA-ST-CFG-0272</t>
        </is>
      </c>
      <c r="G1426" s="25" t="n">
        <v>35.3172</v>
      </c>
      <c r="H1426" s="25" t="inlineStr">
        <is>
          <t>988-pack GENERATED</t>
        </is>
      </c>
    </row>
    <row r="1427">
      <c r="A1427" s="25" t="inlineStr">
        <is>
          <t>1014516</t>
        </is>
      </c>
      <c r="B1427" s="25" t="inlineStr">
        <is>
          <t>AKÜ,L3,DK,75AH,IGYASMF,HI-TECH,TÜRKMNSTN</t>
        </is>
      </c>
      <c r="C1427" s="25" t="inlineStr">
        <is>
          <t>1</t>
        </is>
      </c>
      <c r="D1427" s="25" t="inlineStr">
        <is>
          <t>ST-063-STD-08</t>
        </is>
      </c>
      <c r="E1427" s="25" t="inlineStr">
        <is>
          <t>IA-ST-063-STD-08</t>
        </is>
      </c>
      <c r="F1427" s="25" t="inlineStr">
        <is>
          <t>IA-ST-CFG-0179</t>
        </is>
      </c>
      <c r="G1427" s="25" t="n">
        <v>29.9992</v>
      </c>
      <c r="H1427" s="25" t="inlineStr">
        <is>
          <t>988-pack GENERATED</t>
        </is>
      </c>
    </row>
    <row r="1428">
      <c r="A1428" s="25" t="inlineStr">
        <is>
          <t>1014527</t>
        </is>
      </c>
      <c r="B1428" s="25" t="inlineStr">
        <is>
          <t>AKÜ,D31,TK,70AH,IGYASMF,NO NAME,EURO</t>
        </is>
      </c>
      <c r="C1428" s="25" t="inlineStr">
        <is>
          <t>1</t>
        </is>
      </c>
      <c r="D1428" s="25" t="inlineStr">
        <is>
          <t>ST-048-EUR-11</t>
        </is>
      </c>
      <c r="E1428" s="25" t="inlineStr">
        <is>
          <t>IA-ST-048-EUR-11</t>
        </is>
      </c>
      <c r="F1428" s="25" t="inlineStr">
        <is>
          <t>IA-ST-CFG-0117</t>
        </is>
      </c>
      <c r="G1428" s="25" t="n">
        <v>27.8192</v>
      </c>
      <c r="H1428" s="25" t="inlineStr">
        <is>
          <t>988-pack GENERATED</t>
        </is>
      </c>
    </row>
    <row r="1429">
      <c r="A1429" s="25" t="inlineStr">
        <is>
          <t>1014534</t>
        </is>
      </c>
      <c r="B1429" s="25" t="inlineStr">
        <is>
          <t>AKÜ,D23,DK,68AH,IGYASMF,BLIZZAROGOLDLINE</t>
        </is>
      </c>
      <c r="C1429" s="25" t="inlineStr">
        <is>
          <t>1</t>
        </is>
      </c>
      <c r="D1429" s="25" t="inlineStr">
        <is>
          <t>ST-072-STD-10</t>
        </is>
      </c>
      <c r="E1429" s="25" t="inlineStr">
        <is>
          <t>IA-ST-072-STD-10</t>
        </is>
      </c>
      <c r="F1429" s="25" t="inlineStr">
        <is>
          <t>IA-ST-CFG-0219</t>
        </is>
      </c>
      <c r="G1429" s="25" t="n">
        <v>34.33224</v>
      </c>
      <c r="H1429" s="25" t="inlineStr">
        <is>
          <t>988-pack GENERATED</t>
        </is>
      </c>
    </row>
    <row r="1430">
      <c r="A1430" s="25" t="inlineStr">
        <is>
          <t>1014535</t>
        </is>
      </c>
      <c r="B1430" s="25" t="inlineStr">
        <is>
          <t>AKÜ,LB3DK71AH,IGYASMFHALFORD,HAL3100-071</t>
        </is>
      </c>
      <c r="C1430" s="25" t="inlineStr">
        <is>
          <t>1</t>
        </is>
      </c>
      <c r="D1430" s="25" t="inlineStr">
        <is>
          <t>ST-051-EUR-01</t>
        </is>
      </c>
      <c r="E1430" s="25" t="inlineStr">
        <is>
          <t>IA-ST-051-EUR-01</t>
        </is>
      </c>
      <c r="F1430" s="25" t="inlineStr">
        <is>
          <t>IA-ST-CFG-0132</t>
        </is>
      </c>
      <c r="G1430" s="25" t="n">
        <v>27.926</v>
      </c>
      <c r="H1430" s="25" t="inlineStr">
        <is>
          <t>988-pack GENERATED</t>
        </is>
      </c>
    </row>
    <row r="1431">
      <c r="A1431" s="25" t="inlineStr">
        <is>
          <t>1014536</t>
        </is>
      </c>
      <c r="B1431" s="25" t="inlineStr">
        <is>
          <t>AKÜ,L5DK95AH,IGYASMF,HALFORD,HAL3019-095</t>
        </is>
      </c>
      <c r="C1431" s="25" t="inlineStr">
        <is>
          <t>1</t>
        </is>
      </c>
      <c r="D1431" s="25" t="inlineStr">
        <is>
          <t>ST-036-EUR-04</t>
        </is>
      </c>
      <c r="E1431" s="25" t="inlineStr">
        <is>
          <t>IA-ST-036-EUR-04</t>
        </is>
      </c>
      <c r="F1431" s="25" t="inlineStr">
        <is>
          <t>IA-ST-CFG-0068</t>
        </is>
      </c>
      <c r="G1431" s="25" t="n">
        <v>27.926</v>
      </c>
      <c r="H1431" s="25" t="inlineStr">
        <is>
          <t>988-pack GENERATED</t>
        </is>
      </c>
    </row>
    <row r="1432">
      <c r="A1432" s="25" t="inlineStr">
        <is>
          <t>1014537</t>
        </is>
      </c>
      <c r="B1432" s="25" t="inlineStr">
        <is>
          <t>AKÜ,L5DK100AH,IGYASMFHALFORD,HALL36L-EFB</t>
        </is>
      </c>
      <c r="C1432" s="25" t="inlineStr">
        <is>
          <t>1</t>
        </is>
      </c>
      <c r="D1432" s="25" t="inlineStr">
        <is>
          <t>ST-036-EUR-04</t>
        </is>
      </c>
      <c r="E1432" s="25" t="inlineStr">
        <is>
          <t>IA-ST-036-EUR-04</t>
        </is>
      </c>
      <c r="F1432" s="25" t="inlineStr">
        <is>
          <t>IA-ST-CFG-0068</t>
        </is>
      </c>
      <c r="G1432" s="25" t="n">
        <v>27.926</v>
      </c>
      <c r="H1432" s="25" t="inlineStr">
        <is>
          <t>988-pack GENERATED</t>
        </is>
      </c>
    </row>
    <row r="1433">
      <c r="A1433" s="25" t="inlineStr">
        <is>
          <t>1014542</t>
        </is>
      </c>
      <c r="B1433" s="25" t="inlineStr">
        <is>
          <t>AKÜ,L2,DK,60AH,VRLA,NONAME9027-060,GYEUR</t>
        </is>
      </c>
      <c r="C1433" s="25" t="inlineStr">
        <is>
          <t>1</t>
        </is>
      </c>
      <c r="D1433" s="25" t="inlineStr">
        <is>
          <t>ST-054-EUR-01</t>
        </is>
      </c>
      <c r="E1433" s="25" t="inlineStr">
        <is>
          <t>IA-ST-054-EUR-01</t>
        </is>
      </c>
      <c r="F1433" s="25" t="inlineStr">
        <is>
          <t>IA-ST-CFG-0149</t>
        </is>
      </c>
      <c r="G1433" s="25" t="n">
        <v>27.926</v>
      </c>
      <c r="H1433" s="25" t="inlineStr">
        <is>
          <t>988-pack GENERATED</t>
        </is>
      </c>
    </row>
    <row r="1434">
      <c r="A1434" s="25" t="inlineStr">
        <is>
          <t>1014543</t>
        </is>
      </c>
      <c r="B1434" s="25" t="inlineStr">
        <is>
          <t>AKÜ,L3,DK,70AH,VRLA,NONAME9096-070,GYEUR</t>
        </is>
      </c>
      <c r="C1434" s="25" t="inlineStr">
        <is>
          <t>1</t>
        </is>
      </c>
      <c r="D1434" s="25" t="inlineStr">
        <is>
          <t>ST-048-EUR-07</t>
        </is>
      </c>
      <c r="E1434" s="25" t="inlineStr">
        <is>
          <t>IA-ST-048-EUR-07</t>
        </is>
      </c>
      <c r="F1434" s="25" t="inlineStr">
        <is>
          <t>IA-ST-CFG-0113</t>
        </is>
      </c>
      <c r="G1434" s="25" t="n">
        <v>27.926</v>
      </c>
      <c r="H1434" s="25" t="inlineStr">
        <is>
          <t>988-pack GENERATED</t>
        </is>
      </c>
    </row>
    <row r="1435">
      <c r="A1435" s="25" t="inlineStr">
        <is>
          <t>1014544</t>
        </is>
      </c>
      <c r="B1435" s="25" t="inlineStr">
        <is>
          <t>AKÜ,L4,DK,80AH,VRLA,NONAME9115-080,GYEUR</t>
        </is>
      </c>
      <c r="C1435" s="25" t="inlineStr">
        <is>
          <t>1</t>
        </is>
      </c>
      <c r="D1435" s="25" t="inlineStr">
        <is>
          <t>ST-042-EUR-02</t>
        </is>
      </c>
      <c r="E1435" s="25" t="inlineStr">
        <is>
          <t>IA-ST-042-EUR-02</t>
        </is>
      </c>
      <c r="F1435" s="25" t="inlineStr">
        <is>
          <t>IA-ST-CFG-0085</t>
        </is>
      </c>
      <c r="G1435" s="25" t="n">
        <v>27.926</v>
      </c>
      <c r="H1435" s="25" t="inlineStr">
        <is>
          <t>988-pack GENERATED</t>
        </is>
      </c>
    </row>
    <row r="1436">
      <c r="A1436" s="25" t="inlineStr">
        <is>
          <t>1014545</t>
        </is>
      </c>
      <c r="B1436" s="25" t="inlineStr">
        <is>
          <t>AKÜ,L5,DK,95AH,VRLA,NONAME9019-095,GYEUR</t>
        </is>
      </c>
      <c r="C1436" s="25" t="inlineStr">
        <is>
          <t>1</t>
        </is>
      </c>
      <c r="D1436" s="25" t="inlineStr">
        <is>
          <t>ST-036-EUR-04</t>
        </is>
      </c>
      <c r="E1436" s="25" t="inlineStr">
        <is>
          <t>IA-ST-036-EUR-04</t>
        </is>
      </c>
      <c r="F1436" s="25" t="inlineStr">
        <is>
          <t>IA-ST-CFG-0068</t>
        </is>
      </c>
      <c r="G1436" s="25" t="n">
        <v>27.926</v>
      </c>
      <c r="H1436" s="25" t="inlineStr">
        <is>
          <t>988-pack GENERATED</t>
        </is>
      </c>
    </row>
    <row r="1437">
      <c r="A1437" s="25" t="inlineStr">
        <is>
          <t>1014546</t>
        </is>
      </c>
      <c r="B1437" s="25" t="inlineStr">
        <is>
          <t>AKÜ,L6,DK105AH,VRLA,NONAME9020-105,GYEUR</t>
        </is>
      </c>
      <c r="C1437" s="25" t="inlineStr">
        <is>
          <t>1</t>
        </is>
      </c>
      <c r="D1437" s="25" t="inlineStr">
        <is>
          <t>ST-033-EUR-01</t>
        </is>
      </c>
      <c r="E1437" s="25" t="inlineStr">
        <is>
          <t>IA-ST-033-EUR-01</t>
        </is>
      </c>
      <c r="F1437" s="25" t="inlineStr">
        <is>
          <t>IA-ST-CFG-0058</t>
        </is>
      </c>
      <c r="G1437" s="25" t="n">
        <v>27.926</v>
      </c>
      <c r="H1437" s="25" t="inlineStr">
        <is>
          <t>988-pack GENERATED</t>
        </is>
      </c>
    </row>
    <row r="1438">
      <c r="A1438" s="25" t="inlineStr">
        <is>
          <t>1014548</t>
        </is>
      </c>
      <c r="B1438" s="25" t="inlineStr">
        <is>
          <t>AKÜ,LB4,DK,80AH,IGYSMF,HUGELULTRA,NACITA</t>
        </is>
      </c>
      <c r="C1438" s="25" t="inlineStr">
        <is>
          <t>1</t>
        </is>
      </c>
      <c r="D1438" s="25" t="inlineStr">
        <is>
          <t>ST-072-STD-22</t>
        </is>
      </c>
      <c r="E1438" s="25" t="inlineStr">
        <is>
          <t>IA-ST-072-STD-22</t>
        </is>
      </c>
      <c r="F1438" s="25" t="inlineStr">
        <is>
          <t>IA-ST-CFG-0231</t>
        </is>
      </c>
      <c r="G1438" s="25" t="n">
        <v>30.6372</v>
      </c>
      <c r="H1438" s="25" t="inlineStr">
        <is>
          <t>988-pack GENERATED</t>
        </is>
      </c>
    </row>
    <row r="1439">
      <c r="A1439" s="25" t="inlineStr">
        <is>
          <t>1014549</t>
        </is>
      </c>
      <c r="B1439" s="25" t="inlineStr">
        <is>
          <t>AKÜ,AGM,L2,DK,60AH,HUGEL AGM S&amp;S,NACITA</t>
        </is>
      </c>
      <c r="C1439" s="25" t="inlineStr">
        <is>
          <t>1</t>
        </is>
      </c>
      <c r="D1439" s="25" t="inlineStr">
        <is>
          <t>ST-072-STD-13</t>
        </is>
      </c>
      <c r="E1439" s="25" t="inlineStr">
        <is>
          <t>IA-ST-072-STD-13</t>
        </is>
      </c>
      <c r="F1439" s="25" t="inlineStr">
        <is>
          <t>IA-ST-CFG-0222</t>
        </is>
      </c>
      <c r="G1439" s="25" t="n">
        <v>30.6552</v>
      </c>
      <c r="H1439" s="25" t="inlineStr">
        <is>
          <t>988-pack GENERATED</t>
        </is>
      </c>
    </row>
    <row r="1440">
      <c r="A1440" s="25" t="inlineStr">
        <is>
          <t>1014550</t>
        </is>
      </c>
      <c r="B1440" s="25" t="inlineStr">
        <is>
          <t>AKÜ,AGM,L4,DK,80AH,HUGEL AGM S&amp;S,NACITA</t>
        </is>
      </c>
      <c r="C1440" s="25" t="inlineStr">
        <is>
          <t>1</t>
        </is>
      </c>
      <c r="D1440" s="25" t="inlineStr">
        <is>
          <t>ST-054-STD-06</t>
        </is>
      </c>
      <c r="E1440" s="25" t="inlineStr">
        <is>
          <t>IA-ST-054-STD-06</t>
        </is>
      </c>
      <c r="F1440" s="25" t="inlineStr">
        <is>
          <t>IA-ST-CFG-0142</t>
        </is>
      </c>
      <c r="G1440" s="25" t="n">
        <v>29.7552</v>
      </c>
      <c r="H1440" s="25" t="inlineStr">
        <is>
          <t>988-pack GENERATED</t>
        </is>
      </c>
    </row>
    <row r="1441">
      <c r="A1441" s="25" t="inlineStr">
        <is>
          <t>1014551</t>
        </is>
      </c>
      <c r="B1441" s="25" t="inlineStr">
        <is>
          <t>AKÜ,AGM,L6,DK,105AH,HUGEL AGM S&amp;S,NACITA</t>
        </is>
      </c>
      <c r="C1441" s="25" t="inlineStr">
        <is>
          <t>1</t>
        </is>
      </c>
      <c r="D1441" s="25" t="inlineStr">
        <is>
          <t>ST-042-STD-05</t>
        </is>
      </c>
      <c r="E1441" s="25" t="inlineStr">
        <is>
          <t>IA-ST-042-STD-05</t>
        </is>
      </c>
      <c r="F1441" s="25" t="inlineStr">
        <is>
          <t>IA-ST-CFG-0080</t>
        </is>
      </c>
      <c r="G1441" s="25" t="n">
        <v>29.5992</v>
      </c>
      <c r="H1441" s="25" t="inlineStr">
        <is>
          <t>988-pack GENERATED</t>
        </is>
      </c>
    </row>
    <row r="1442">
      <c r="A1442" s="25" t="inlineStr">
        <is>
          <t>1014552</t>
        </is>
      </c>
      <c r="B1442" s="25" t="inlineStr">
        <is>
          <t>AKÜ,L2,DK,60AH,IGYSMF,HUGELEFBS&amp;S,NACITA</t>
        </is>
      </c>
      <c r="C1442" s="25" t="inlineStr">
        <is>
          <t>1</t>
        </is>
      </c>
      <c r="D1442" s="25" t="inlineStr">
        <is>
          <t>ST-072-STD-13</t>
        </is>
      </c>
      <c r="E1442" s="25" t="inlineStr">
        <is>
          <t>IA-ST-072-STD-13</t>
        </is>
      </c>
      <c r="F1442" s="25" t="inlineStr">
        <is>
          <t>IA-ST-CFG-0222</t>
        </is>
      </c>
      <c r="G1442" s="25" t="n">
        <v>30.6552</v>
      </c>
      <c r="H1442" s="25" t="inlineStr">
        <is>
          <t>988-pack GENERATED</t>
        </is>
      </c>
    </row>
    <row r="1443">
      <c r="A1443" s="25" t="inlineStr">
        <is>
          <t>1014553</t>
        </is>
      </c>
      <c r="B1443" s="25" t="inlineStr">
        <is>
          <t>AKÜ,L3,DK,72AH,IGYSMF,HUGELEFBS&amp;S,NACITA</t>
        </is>
      </c>
      <c r="C1443" s="25" t="inlineStr">
        <is>
          <t>1</t>
        </is>
      </c>
      <c r="D1443" s="25" t="inlineStr">
        <is>
          <t>ST-063-STD-08</t>
        </is>
      </c>
      <c r="E1443" s="25" t="inlineStr">
        <is>
          <t>IA-ST-063-STD-08</t>
        </is>
      </c>
      <c r="F1443" s="25" t="inlineStr">
        <is>
          <t>IA-ST-CFG-0179</t>
        </is>
      </c>
      <c r="G1443" s="25" t="n">
        <v>29.9992</v>
      </c>
      <c r="H1443" s="25" t="inlineStr">
        <is>
          <t>988-pack GENERATED</t>
        </is>
      </c>
    </row>
    <row r="1444">
      <c r="A1444" s="25" t="inlineStr">
        <is>
          <t>1014554</t>
        </is>
      </c>
      <c r="B1444" s="25" t="inlineStr">
        <is>
          <t>AKÜ,L4,DK,80AH,IGYSMF,HUGELEFBS&amp;S,NACITA</t>
        </is>
      </c>
      <c r="C1444" s="25" t="inlineStr">
        <is>
          <t>1</t>
        </is>
      </c>
      <c r="D1444" s="25" t="inlineStr">
        <is>
          <t>ST-054-STD-06</t>
        </is>
      </c>
      <c r="E1444" s="25" t="inlineStr">
        <is>
          <t>IA-ST-054-STD-06</t>
        </is>
      </c>
      <c r="F1444" s="25" t="inlineStr">
        <is>
          <t>IA-ST-CFG-0142</t>
        </is>
      </c>
      <c r="G1444" s="25" t="n">
        <v>29.7552</v>
      </c>
      <c r="H1444" s="25" t="inlineStr">
        <is>
          <t>988-pack GENERATED</t>
        </is>
      </c>
    </row>
    <row r="1445">
      <c r="A1445" s="25" t="inlineStr">
        <is>
          <t>1014555</t>
        </is>
      </c>
      <c r="B1445" s="25" t="inlineStr">
        <is>
          <t>AKÜ,L5,DK,90AH,IGYSMF,HUGELEFBS&amp;S,NACITA</t>
        </is>
      </c>
      <c r="C1445" s="25" t="inlineStr">
        <is>
          <t>1</t>
        </is>
      </c>
      <c r="D1445" s="25" t="inlineStr">
        <is>
          <t>ST-045-STD-08</t>
        </is>
      </c>
      <c r="E1445" s="25" t="inlineStr">
        <is>
          <t>IA-ST-045-STD-08</t>
        </is>
      </c>
      <c r="F1445" s="25" t="inlineStr">
        <is>
          <t>IA-ST-CFG-0096</t>
        </is>
      </c>
      <c r="G1445" s="25" t="n">
        <v>29.7192</v>
      </c>
      <c r="H1445" s="25" t="inlineStr">
        <is>
          <t>988-pack GENERATED</t>
        </is>
      </c>
    </row>
    <row r="1446">
      <c r="A1446" s="25" t="inlineStr">
        <is>
          <t>1014556</t>
        </is>
      </c>
      <c r="B1446" s="25" t="inlineStr">
        <is>
          <t>AKÜ,LB1,DK,52AH,IGYSMF,BPOWERSUP,POLONYA</t>
        </is>
      </c>
      <c r="C1446" s="25" t="inlineStr">
        <is>
          <t>1</t>
        </is>
      </c>
      <c r="D1446" s="25" t="inlineStr">
        <is>
          <t>ST-072-EUR-03</t>
        </is>
      </c>
      <c r="E1446" s="25" t="inlineStr">
        <is>
          <t>IA-ST-072-EUR-03</t>
        </is>
      </c>
      <c r="F1446" s="25" t="inlineStr">
        <is>
          <t>IA-ST-CFG-0206</t>
        </is>
      </c>
      <c r="G1446" s="25" t="n">
        <v>27.8592</v>
      </c>
      <c r="H1446" s="25" t="inlineStr">
        <is>
          <t>988-pack GENERATED</t>
        </is>
      </c>
    </row>
    <row r="1447">
      <c r="A1447" s="25" t="inlineStr">
        <is>
          <t>1014557</t>
        </is>
      </c>
      <c r="B1447" s="25" t="inlineStr">
        <is>
          <t>AKÜ,L1,DK,55AH,IGYSMF,BPOWERSUPR,POLONYA</t>
        </is>
      </c>
      <c r="C1447" s="25" t="inlineStr">
        <is>
          <t>1</t>
        </is>
      </c>
      <c r="D1447" s="25" t="inlineStr">
        <is>
          <t>ST-072-EUR-03</t>
        </is>
      </c>
      <c r="E1447" s="25" t="inlineStr">
        <is>
          <t>IA-ST-072-EUR-03</t>
        </is>
      </c>
      <c r="F1447" s="25" t="inlineStr">
        <is>
          <t>IA-ST-CFG-0206</t>
        </is>
      </c>
      <c r="G1447" s="25" t="n">
        <v>27.8592</v>
      </c>
      <c r="H1447" s="25" t="inlineStr">
        <is>
          <t>988-pack GENERATED</t>
        </is>
      </c>
    </row>
    <row r="1448">
      <c r="A1448" s="25" t="inlineStr">
        <is>
          <t>1014558</t>
        </is>
      </c>
      <c r="B1448" s="25" t="inlineStr">
        <is>
          <t>AKÜ,L5,DK,102AH,IGYSMF,BPOWERSUP,POLONYA</t>
        </is>
      </c>
      <c r="C1448" s="25" t="inlineStr">
        <is>
          <t>1</t>
        </is>
      </c>
      <c r="D1448" s="25" t="inlineStr">
        <is>
          <t>ST-036-EUR-07</t>
        </is>
      </c>
      <c r="E1448" s="25" t="inlineStr">
        <is>
          <t>IA-ST-036-EUR-07</t>
        </is>
      </c>
      <c r="F1448" s="25" t="inlineStr">
        <is>
          <t>IA-ST-CFG-0072</t>
        </is>
      </c>
      <c r="G1448" s="25" t="n">
        <v>27.6392</v>
      </c>
      <c r="H1448" s="25" t="inlineStr">
        <is>
          <t>988-pack GENERATED</t>
        </is>
      </c>
    </row>
    <row r="1449">
      <c r="A1449" s="25" t="inlineStr">
        <is>
          <t>1014559</t>
        </is>
      </c>
      <c r="B1449" s="25" t="inlineStr">
        <is>
          <t>AKÜ,L3,DK,80AH,IGYSMF,BPOWERSUPR,POLONYA</t>
        </is>
      </c>
      <c r="C1449" s="25" t="inlineStr">
        <is>
          <t>1</t>
        </is>
      </c>
      <c r="D1449" s="25" t="inlineStr">
        <is>
          <t>ST-051-EUR-04</t>
        </is>
      </c>
      <c r="E1449" s="25" t="inlineStr">
        <is>
          <t>IA-ST-051-EUR-04</t>
        </is>
      </c>
      <c r="F1449" s="25" t="inlineStr">
        <is>
          <t>IA-ST-CFG-0135</t>
        </is>
      </c>
      <c r="G1449" s="25" t="n">
        <v>27.6392</v>
      </c>
      <c r="H1449" s="25" t="inlineStr">
        <is>
          <t>988-pack GENERATED</t>
        </is>
      </c>
    </row>
    <row r="1450">
      <c r="A1450" s="25" t="inlineStr">
        <is>
          <t>1014560</t>
        </is>
      </c>
      <c r="B1450" s="25" t="inlineStr">
        <is>
          <t>AKÜ,LB3,DK,74AH,IGYSMF,BPOWERSUP,POLONYA</t>
        </is>
      </c>
      <c r="C1450" s="25" t="inlineStr">
        <is>
          <t>1</t>
        </is>
      </c>
      <c r="D1450" s="25" t="inlineStr">
        <is>
          <t>ST-051-EUR-04</t>
        </is>
      </c>
      <c r="E1450" s="25" t="inlineStr">
        <is>
          <t>IA-ST-051-EUR-04</t>
        </is>
      </c>
      <c r="F1450" s="25" t="inlineStr">
        <is>
          <t>IA-ST-CFG-0135</t>
        </is>
      </c>
      <c r="G1450" s="25" t="n">
        <v>27.6392</v>
      </c>
      <c r="H1450" s="25" t="inlineStr">
        <is>
          <t>988-pack GENERATED</t>
        </is>
      </c>
    </row>
    <row r="1451">
      <c r="A1451" s="25" t="inlineStr">
        <is>
          <t>1014561</t>
        </is>
      </c>
      <c r="B1451" s="25" t="inlineStr">
        <is>
          <t>AKÜ,LB4,DK,85AH,IGYSMF,BPOWERSUP,POLONYA</t>
        </is>
      </c>
      <c r="C1451" s="25" t="inlineStr">
        <is>
          <t>1</t>
        </is>
      </c>
      <c r="D1451" s="25" t="inlineStr">
        <is>
          <t>ST-042-EUR-04</t>
        </is>
      </c>
      <c r="E1451" s="25" t="inlineStr">
        <is>
          <t>IA-ST-042-EUR-04</t>
        </is>
      </c>
      <c r="F1451" s="25" t="inlineStr">
        <is>
          <t>IA-ST-CFG-0087</t>
        </is>
      </c>
      <c r="G1451" s="25" t="n">
        <v>27.6392</v>
      </c>
      <c r="H1451" s="25" t="inlineStr">
        <is>
          <t>988-pack GENERATED</t>
        </is>
      </c>
    </row>
    <row r="1452">
      <c r="A1452" s="25" t="inlineStr">
        <is>
          <t>1014562</t>
        </is>
      </c>
      <c r="B1452" s="25" t="inlineStr">
        <is>
          <t>AKÜ,L4,DK,92AH,IGYSMF,BPOWERSUPR,POLONYA</t>
        </is>
      </c>
      <c r="C1452" s="25" t="inlineStr">
        <is>
          <t>1</t>
        </is>
      </c>
      <c r="D1452" s="25" t="inlineStr">
        <is>
          <t>ST-042-EUR-04</t>
        </is>
      </c>
      <c r="E1452" s="25" t="inlineStr">
        <is>
          <t>IA-ST-042-EUR-04</t>
        </is>
      </c>
      <c r="F1452" s="25" t="inlineStr">
        <is>
          <t>IA-ST-CFG-0087</t>
        </is>
      </c>
      <c r="G1452" s="25" t="n">
        <v>27.6392</v>
      </c>
      <c r="H1452" s="25" t="inlineStr">
        <is>
          <t>988-pack GENERATED</t>
        </is>
      </c>
    </row>
    <row r="1453">
      <c r="A1453" s="25" t="inlineStr">
        <is>
          <t>1014563</t>
        </is>
      </c>
      <c r="B1453" s="25" t="inlineStr">
        <is>
          <t>AKÜ,L2,DK,60AH,IGYASMF,HUGELACTION,İÇPYS</t>
        </is>
      </c>
      <c r="C1453" s="25" t="inlineStr">
        <is>
          <t>1</t>
        </is>
      </c>
      <c r="D1453" s="25" t="inlineStr">
        <is>
          <t>ST-072-STD-18</t>
        </is>
      </c>
      <c r="E1453" s="25" t="inlineStr">
        <is>
          <t>IA-ST-072-STD-18</t>
        </is>
      </c>
      <c r="F1453" s="25" t="inlineStr">
        <is>
          <t>IA-ST-CFG-0227</t>
        </is>
      </c>
      <c r="G1453" s="25" t="n">
        <v>30.3684</v>
      </c>
      <c r="H1453" s="25" t="inlineStr">
        <is>
          <t>988-pack GENERATED</t>
        </is>
      </c>
    </row>
    <row r="1454">
      <c r="A1454" s="25" t="inlineStr">
        <is>
          <t>1014564</t>
        </is>
      </c>
      <c r="B1454" s="25" t="inlineStr">
        <is>
          <t>AKÜ,L3,DK,72AH,IGYAB01,HUGELACTION,İÇPYS</t>
        </is>
      </c>
      <c r="C1454" s="25" t="inlineStr">
        <is>
          <t>1</t>
        </is>
      </c>
      <c r="D1454" s="25" t="inlineStr">
        <is>
          <t>ST-063-STD-11</t>
        </is>
      </c>
      <c r="E1454" s="25" t="inlineStr">
        <is>
          <t>IA-ST-063-STD-11</t>
        </is>
      </c>
      <c r="F1454" s="25" t="inlineStr">
        <is>
          <t>IA-ST-CFG-0182</t>
        </is>
      </c>
      <c r="G1454" s="25" t="n">
        <v>29.7124</v>
      </c>
      <c r="H1454" s="25" t="inlineStr">
        <is>
          <t>988-pack GENERATED</t>
        </is>
      </c>
    </row>
    <row r="1455">
      <c r="A1455" s="25" t="inlineStr">
        <is>
          <t>1014565</t>
        </is>
      </c>
      <c r="B1455" s="25" t="inlineStr">
        <is>
          <t>AKÜ,L3,DK,72AH,IGYAB13,HUGELACTION,İÇPYS</t>
        </is>
      </c>
      <c r="C1455" s="25" t="inlineStr">
        <is>
          <t>1</t>
        </is>
      </c>
      <c r="D1455" s="25" t="inlineStr">
        <is>
          <t>ST-063-STD-11</t>
        </is>
      </c>
      <c r="E1455" s="25" t="inlineStr">
        <is>
          <t>IA-ST-063-STD-11</t>
        </is>
      </c>
      <c r="F1455" s="25" t="inlineStr">
        <is>
          <t>IA-ST-CFG-0182</t>
        </is>
      </c>
      <c r="G1455" s="25" t="n">
        <v>29.7124</v>
      </c>
      <c r="H1455" s="25" t="inlineStr">
        <is>
          <t>988-pack GENERATED</t>
        </is>
      </c>
    </row>
    <row r="1456">
      <c r="A1456" s="25" t="inlineStr">
        <is>
          <t>1014566</t>
        </is>
      </c>
      <c r="B1456" s="25" t="inlineStr">
        <is>
          <t>AKÜ,L5,DK,92AH,IGYASMF,HUGELACTION,İÇPYS</t>
        </is>
      </c>
      <c r="C1456" s="25" t="inlineStr">
        <is>
          <t>1</t>
        </is>
      </c>
      <c r="D1456" s="25" t="inlineStr">
        <is>
          <t>ST-045-STD-10</t>
        </is>
      </c>
      <c r="E1456" s="25" t="inlineStr">
        <is>
          <t>IA-ST-045-STD-10</t>
        </is>
      </c>
      <c r="F1456" s="25" t="inlineStr">
        <is>
          <t>IA-ST-CFG-0098</t>
        </is>
      </c>
      <c r="G1456" s="25" t="n">
        <v>29.4324</v>
      </c>
      <c r="H1456" s="25" t="inlineStr">
        <is>
          <t>988-pack GENERATED</t>
        </is>
      </c>
    </row>
    <row r="1457">
      <c r="A1457" s="25" t="inlineStr">
        <is>
          <t>1014567</t>
        </is>
      </c>
      <c r="B1457" s="25" t="inlineStr">
        <is>
          <t>AKÜ,LB1,DK50AH,IGYASMF,HUGELACTION,İÇPYS</t>
        </is>
      </c>
      <c r="C1457" s="25" t="inlineStr">
        <is>
          <t>1</t>
        </is>
      </c>
      <c r="D1457" s="25" t="inlineStr">
        <is>
          <t>ST-087-STD-06</t>
        </is>
      </c>
      <c r="E1457" s="25" t="inlineStr">
        <is>
          <t>IA-ST-087-STD-06</t>
        </is>
      </c>
      <c r="F1457" s="25" t="inlineStr">
        <is>
          <t>IA-ST-CFG-0251</t>
        </is>
      </c>
      <c r="G1457" s="25" t="n">
        <v>29.9824</v>
      </c>
      <c r="H1457" s="25" t="inlineStr">
        <is>
          <t>988-pack GENERATED</t>
        </is>
      </c>
    </row>
    <row r="1458">
      <c r="A1458" s="25" t="inlineStr">
        <is>
          <t>1014569</t>
        </is>
      </c>
      <c r="B1458" s="25" t="inlineStr">
        <is>
          <t>AKÜ,LB3,DK66AH,IGYASMF,HUGELACTION,İÇPYS</t>
        </is>
      </c>
      <c r="C1458" s="25" t="inlineStr">
        <is>
          <t>1</t>
        </is>
      </c>
      <c r="D1458" s="25" t="inlineStr">
        <is>
          <t>ST-063-STD-10</t>
        </is>
      </c>
      <c r="E1458" s="25" t="inlineStr">
        <is>
          <t>IA-ST-063-STD-10</t>
        </is>
      </c>
      <c r="F1458" s="25" t="inlineStr">
        <is>
          <t>IA-ST-CFG-0181</t>
        </is>
      </c>
      <c r="G1458" s="25" t="n">
        <v>29.5824</v>
      </c>
      <c r="H1458" s="25" t="inlineStr">
        <is>
          <t>988-pack GENERATED</t>
        </is>
      </c>
    </row>
    <row r="1459">
      <c r="A1459" s="25" t="inlineStr">
        <is>
          <t>1014572</t>
        </is>
      </c>
      <c r="B1459" s="25" t="inlineStr">
        <is>
          <t>AKÜ,D23,DK60AH,IGYASMF,HUGELACTION,İÇPYS</t>
        </is>
      </c>
      <c r="C1459" s="25" t="inlineStr">
        <is>
          <t>1</t>
        </is>
      </c>
      <c r="D1459" s="25" t="inlineStr">
        <is>
          <t>ST-072-STD-15</t>
        </is>
      </c>
      <c r="E1459" s="25" t="inlineStr">
        <is>
          <t>IA-ST-072-STD-15</t>
        </is>
      </c>
      <c r="F1459" s="25" t="inlineStr">
        <is>
          <t>IA-ST-CFG-0224</t>
        </is>
      </c>
      <c r="G1459" s="25" t="n">
        <v>34.04544</v>
      </c>
      <c r="H1459" s="25" t="inlineStr">
        <is>
          <t>988-pack GENERATED</t>
        </is>
      </c>
    </row>
    <row r="1460">
      <c r="A1460" s="25" t="inlineStr">
        <is>
          <t>1014573</t>
        </is>
      </c>
      <c r="B1460" s="25" t="inlineStr">
        <is>
          <t>AKÜ,C-FLAT,DK,225AH,HUGEL ACTION,İÇ PYS</t>
        </is>
      </c>
      <c r="C1460" s="25" t="inlineStr">
        <is>
          <t>1</t>
        </is>
      </c>
      <c r="D1460" s="25" t="inlineStr">
        <is>
          <t>ST-021-STD-04</t>
        </is>
      </c>
      <c r="E1460" s="25" t="inlineStr">
        <is>
          <t>IA-ST-021-STD-04</t>
        </is>
      </c>
      <c r="F1460" s="25" t="inlineStr">
        <is>
          <t>IA-ST-CFG-0024</t>
        </is>
      </c>
      <c r="G1460" s="25" t="n">
        <v>31.5384</v>
      </c>
      <c r="H1460" s="25" t="inlineStr">
        <is>
          <t>988-pack GENERATED</t>
        </is>
      </c>
    </row>
    <row r="1461">
      <c r="A1461" s="25" t="inlineStr">
        <is>
          <t>1014574</t>
        </is>
      </c>
      <c r="B1461" s="25" t="inlineStr">
        <is>
          <t>AKÜ,L2,DK,60AH,IGYA SMF,AUTOPRO,İÇ PYS</t>
        </is>
      </c>
      <c r="C1461" s="25" t="inlineStr">
        <is>
          <t>1</t>
        </is>
      </c>
      <c r="D1461" s="25" t="inlineStr">
        <is>
          <t>ST-072-STD-18</t>
        </is>
      </c>
      <c r="E1461" s="25" t="inlineStr">
        <is>
          <t>IA-ST-072-STD-18</t>
        </is>
      </c>
      <c r="F1461" s="25" t="inlineStr">
        <is>
          <t>IA-ST-CFG-0227</t>
        </is>
      </c>
      <c r="G1461" s="25" t="n">
        <v>30.3684</v>
      </c>
      <c r="H1461" s="25" t="inlineStr">
        <is>
          <t>988-pack GENERATED</t>
        </is>
      </c>
    </row>
    <row r="1462">
      <c r="A1462" s="25" t="inlineStr">
        <is>
          <t>1014575</t>
        </is>
      </c>
      <c r="B1462" s="25" t="inlineStr">
        <is>
          <t>AKÜ,L3,DK,72AH,IGYA B01,AUTOPRO,İÇ PYS</t>
        </is>
      </c>
      <c r="C1462" s="25" t="inlineStr">
        <is>
          <t>1</t>
        </is>
      </c>
      <c r="D1462" s="25" t="inlineStr">
        <is>
          <t>ST-063-STD-11</t>
        </is>
      </c>
      <c r="E1462" s="25" t="inlineStr">
        <is>
          <t>IA-ST-063-STD-11</t>
        </is>
      </c>
      <c r="F1462" s="25" t="inlineStr">
        <is>
          <t>IA-ST-CFG-0182</t>
        </is>
      </c>
      <c r="G1462" s="25" t="n">
        <v>29.7124</v>
      </c>
      <c r="H1462" s="25" t="inlineStr">
        <is>
          <t>988-pack GENERATED</t>
        </is>
      </c>
    </row>
    <row r="1463">
      <c r="A1463" s="25" t="inlineStr">
        <is>
          <t>1014576</t>
        </is>
      </c>
      <c r="B1463" s="25" t="inlineStr">
        <is>
          <t>AKÜ,L3,DK,72AH,IGYA B13,AUTOPRO,İÇ PYS</t>
        </is>
      </c>
      <c r="C1463" s="25" t="inlineStr">
        <is>
          <t>1</t>
        </is>
      </c>
      <c r="D1463" s="25" t="inlineStr">
        <is>
          <t>ST-063-STD-11</t>
        </is>
      </c>
      <c r="E1463" s="25" t="inlineStr">
        <is>
          <t>IA-ST-063-STD-11</t>
        </is>
      </c>
      <c r="F1463" s="25" t="inlineStr">
        <is>
          <t>IA-ST-CFG-0182</t>
        </is>
      </c>
      <c r="G1463" s="25" t="n">
        <v>29.7124</v>
      </c>
      <c r="H1463" s="25" t="inlineStr">
        <is>
          <t>988-pack GENERATED</t>
        </is>
      </c>
    </row>
    <row r="1464">
      <c r="A1464" s="25" t="inlineStr">
        <is>
          <t>1014577</t>
        </is>
      </c>
      <c r="B1464" s="25" t="inlineStr">
        <is>
          <t>AKÜ,L5,DK,92AH,IGYA SMF,AUTOPRO,İÇ PYS</t>
        </is>
      </c>
      <c r="C1464" s="25" t="inlineStr">
        <is>
          <t>1</t>
        </is>
      </c>
      <c r="D1464" s="25" t="inlineStr">
        <is>
          <t>ST-045-STD-10</t>
        </is>
      </c>
      <c r="E1464" s="25" t="inlineStr">
        <is>
          <t>IA-ST-045-STD-10</t>
        </is>
      </c>
      <c r="F1464" s="25" t="inlineStr">
        <is>
          <t>IA-ST-CFG-0098</t>
        </is>
      </c>
      <c r="G1464" s="25" t="n">
        <v>29.4324</v>
      </c>
      <c r="H1464" s="25" t="inlineStr">
        <is>
          <t>988-pack GENERATED</t>
        </is>
      </c>
    </row>
    <row r="1465">
      <c r="A1465" s="25" t="inlineStr">
        <is>
          <t>1014578</t>
        </is>
      </c>
      <c r="B1465" s="25" t="inlineStr">
        <is>
          <t>AKÜ,LB3,DK,66AH,IGYA SMF,AUTOPRO,İÇ PYS</t>
        </is>
      </c>
      <c r="C1465" s="25" t="inlineStr">
        <is>
          <t>1</t>
        </is>
      </c>
      <c r="D1465" s="25" t="inlineStr">
        <is>
          <t>ST-063-STD-10</t>
        </is>
      </c>
      <c r="E1465" s="25" t="inlineStr">
        <is>
          <t>IA-ST-063-STD-10</t>
        </is>
      </c>
      <c r="F1465" s="25" t="inlineStr">
        <is>
          <t>IA-ST-CFG-0181</t>
        </is>
      </c>
      <c r="G1465" s="25" t="n">
        <v>29.5824</v>
      </c>
      <c r="H1465" s="25" t="inlineStr">
        <is>
          <t>988-pack GENERATED</t>
        </is>
      </c>
    </row>
    <row r="1466">
      <c r="A1466" s="25" t="inlineStr">
        <is>
          <t>1014579</t>
        </is>
      </c>
      <c r="B1466" s="25" t="inlineStr">
        <is>
          <t>AKÜ,D31,DK,90AH,IGYA SMF,AUTOPRO,İÇ PYS</t>
        </is>
      </c>
      <c r="C1466" s="25" t="inlineStr">
        <is>
          <t>1</t>
        </is>
      </c>
      <c r="D1466" s="25" t="inlineStr">
        <is>
          <t>ST-054-STD-09</t>
        </is>
      </c>
      <c r="E1466" s="25" t="inlineStr">
        <is>
          <t>IA-ST-054-STD-09</t>
        </is>
      </c>
      <c r="F1466" s="25" t="inlineStr">
        <is>
          <t>IA-ST-CFG-0145</t>
        </is>
      </c>
      <c r="G1466" s="25" t="n">
        <v>33.497</v>
      </c>
      <c r="H1466" s="25" t="inlineStr">
        <is>
          <t>988-pack GENERATED</t>
        </is>
      </c>
    </row>
    <row r="1467">
      <c r="A1467" s="25" t="inlineStr">
        <is>
          <t>1014580</t>
        </is>
      </c>
      <c r="B1467" s="25" t="inlineStr">
        <is>
          <t>AKÜ,A-FLAT,DK,135AH,AUTOPRO,İÇ PYS</t>
        </is>
      </c>
      <c r="C1467" s="25" t="inlineStr">
        <is>
          <t>1</t>
        </is>
      </c>
      <c r="D1467" s="25" t="inlineStr">
        <is>
          <t>ST-030-STD-08</t>
        </is>
      </c>
      <c r="E1467" s="25" t="inlineStr">
        <is>
          <t>IA-ST-030-STD-08</t>
        </is>
      </c>
      <c r="F1467" s="25" t="inlineStr">
        <is>
          <t>IA-ST-CFG-0054</t>
        </is>
      </c>
      <c r="G1467" s="25" t="n">
        <v>31.4124</v>
      </c>
      <c r="H1467" s="25" t="inlineStr">
        <is>
          <t>988-pack GENERATED</t>
        </is>
      </c>
    </row>
    <row r="1468">
      <c r="A1468" s="25" t="inlineStr">
        <is>
          <t>1014581</t>
        </is>
      </c>
      <c r="B1468" s="25" t="inlineStr">
        <is>
          <t>AKÜ,B-FLAT,DK,180AH,AUTOPRO,İÇ PYS</t>
        </is>
      </c>
      <c r="C1468" s="25" t="inlineStr">
        <is>
          <t>1</t>
        </is>
      </c>
      <c r="D1468" s="25" t="inlineStr">
        <is>
          <t>ST-030-STD-09</t>
        </is>
      </c>
      <c r="E1468" s="25" t="inlineStr">
        <is>
          <t>IA-ST-030-STD-09</t>
        </is>
      </c>
      <c r="F1468" s="25" t="inlineStr">
        <is>
          <t>IA-ST-CFG-0055</t>
        </is>
      </c>
      <c r="G1468" s="25" t="n">
        <v>32.1024</v>
      </c>
      <c r="H1468" s="25" t="inlineStr">
        <is>
          <t>988-pack GENERATED</t>
        </is>
      </c>
    </row>
    <row r="1469">
      <c r="A1469" s="25" t="inlineStr">
        <is>
          <t>1014582</t>
        </is>
      </c>
      <c r="B1469" s="25" t="inlineStr">
        <is>
          <t>AKÜ,C-FLAT,DK,225AH,AUTOPRO,İÇ PYS</t>
        </is>
      </c>
      <c r="C1469" s="25" t="inlineStr">
        <is>
          <t>1</t>
        </is>
      </c>
      <c r="D1469" s="25" t="inlineStr">
        <is>
          <t>ST-021-STD-04</t>
        </is>
      </c>
      <c r="E1469" s="25" t="inlineStr">
        <is>
          <t>IA-ST-021-STD-04</t>
        </is>
      </c>
      <c r="F1469" s="25" t="inlineStr">
        <is>
          <t>IA-ST-CFG-0024</t>
        </is>
      </c>
      <c r="G1469" s="25" t="n">
        <v>31.5384</v>
      </c>
      <c r="H1469" s="25" t="inlineStr">
        <is>
          <t>988-pack GENERATED</t>
        </is>
      </c>
    </row>
    <row r="1470">
      <c r="A1470" s="25" t="inlineStr">
        <is>
          <t>1014583</t>
        </is>
      </c>
      <c r="B1470" s="25" t="inlineStr">
        <is>
          <t>AKÜ,TRACTORL,DK,105AH,AUTOPRO,İÇ PYS</t>
        </is>
      </c>
      <c r="C1470" s="25" t="inlineStr">
        <is>
          <t>1</t>
        </is>
      </c>
      <c r="D1470" s="25" t="inlineStr">
        <is>
          <t>ST-045-STD-09</t>
        </is>
      </c>
      <c r="E1470" s="25" t="inlineStr">
        <is>
          <t>IA-ST-045-STD-09</t>
        </is>
      </c>
      <c r="F1470" s="25" t="inlineStr">
        <is>
          <t>IA-ST-CFG-0097</t>
        </is>
      </c>
      <c r="G1470" s="25" t="n">
        <v>33.063</v>
      </c>
      <c r="H1470" s="25" t="inlineStr">
        <is>
          <t>988-pack GENERATED</t>
        </is>
      </c>
    </row>
    <row r="1471">
      <c r="A1471" s="25" t="inlineStr">
        <is>
          <t>1014584</t>
        </is>
      </c>
      <c r="B1471" s="25" t="inlineStr">
        <is>
          <t>AKÜ,L2,DK,60AH,IGYA SMF,ENERGYMAX,İÇ PYS</t>
        </is>
      </c>
      <c r="C1471" s="25" t="inlineStr">
        <is>
          <t>1</t>
        </is>
      </c>
      <c r="D1471" s="25" t="inlineStr">
        <is>
          <t>ST-072-STD-18</t>
        </is>
      </c>
      <c r="E1471" s="25" t="inlineStr">
        <is>
          <t>IA-ST-072-STD-18</t>
        </is>
      </c>
      <c r="F1471" s="25" t="inlineStr">
        <is>
          <t>IA-ST-CFG-0227</t>
        </is>
      </c>
      <c r="G1471" s="25" t="n">
        <v>30.3684</v>
      </c>
      <c r="H1471" s="25" t="inlineStr">
        <is>
          <t>988-pack GENERATED</t>
        </is>
      </c>
    </row>
    <row r="1472">
      <c r="A1472" s="25" t="inlineStr">
        <is>
          <t>1014585</t>
        </is>
      </c>
      <c r="B1472" s="25" t="inlineStr">
        <is>
          <t>AKÜ,L3,DK,72AH,IGYA B01,ENERGYMAX,İÇ PYS</t>
        </is>
      </c>
      <c r="C1472" s="25" t="inlineStr">
        <is>
          <t>1</t>
        </is>
      </c>
      <c r="D1472" s="25" t="inlineStr">
        <is>
          <t>ST-063-STD-11</t>
        </is>
      </c>
      <c r="E1472" s="25" t="inlineStr">
        <is>
          <t>IA-ST-063-STD-11</t>
        </is>
      </c>
      <c r="F1472" s="25" t="inlineStr">
        <is>
          <t>IA-ST-CFG-0182</t>
        </is>
      </c>
      <c r="G1472" s="25" t="n">
        <v>29.7124</v>
      </c>
      <c r="H1472" s="25" t="inlineStr">
        <is>
          <t>988-pack GENERATED</t>
        </is>
      </c>
    </row>
    <row r="1473">
      <c r="A1473" s="25" t="inlineStr">
        <is>
          <t>1014586</t>
        </is>
      </c>
      <c r="B1473" s="25" t="inlineStr">
        <is>
          <t>AKÜ,L3,DK,72AH,IGYA B13,ENERGYMAX,İÇ PYS</t>
        </is>
      </c>
      <c r="C1473" s="25" t="inlineStr">
        <is>
          <t>1</t>
        </is>
      </c>
      <c r="D1473" s="25" t="inlineStr">
        <is>
          <t>ST-063-STD-11</t>
        </is>
      </c>
      <c r="E1473" s="25" t="inlineStr">
        <is>
          <t>IA-ST-063-STD-11</t>
        </is>
      </c>
      <c r="F1473" s="25" t="inlineStr">
        <is>
          <t>IA-ST-CFG-0182</t>
        </is>
      </c>
      <c r="G1473" s="25" t="n">
        <v>29.7124</v>
      </c>
      <c r="H1473" s="25" t="inlineStr">
        <is>
          <t>988-pack GENERATED</t>
        </is>
      </c>
    </row>
    <row r="1474">
      <c r="A1474" s="25" t="inlineStr">
        <is>
          <t>1014587</t>
        </is>
      </c>
      <c r="B1474" s="25" t="inlineStr">
        <is>
          <t>AKÜ,L5,DK,92AH,IGYA SMF,ENERGYMAX,İÇ PYS</t>
        </is>
      </c>
      <c r="C1474" s="25" t="inlineStr">
        <is>
          <t>1</t>
        </is>
      </c>
      <c r="D1474" s="25" t="inlineStr">
        <is>
          <t>ST-045-STD-10</t>
        </is>
      </c>
      <c r="E1474" s="25" t="inlineStr">
        <is>
          <t>IA-ST-045-STD-10</t>
        </is>
      </c>
      <c r="F1474" s="25" t="inlineStr">
        <is>
          <t>IA-ST-CFG-0098</t>
        </is>
      </c>
      <c r="G1474" s="25" t="n">
        <v>29.4324</v>
      </c>
      <c r="H1474" s="25" t="inlineStr">
        <is>
          <t>988-pack GENERATED</t>
        </is>
      </c>
    </row>
    <row r="1475">
      <c r="A1475" s="25" t="inlineStr">
        <is>
          <t>1014588</t>
        </is>
      </c>
      <c r="B1475" s="25" t="inlineStr">
        <is>
          <t>AKÜ,LB3,DK,66AH,IGYASMF,ENERGYMAX,İÇ PYS</t>
        </is>
      </c>
      <c r="C1475" s="25" t="inlineStr">
        <is>
          <t>1</t>
        </is>
      </c>
      <c r="D1475" s="25" t="inlineStr">
        <is>
          <t>ST-063-STD-10</t>
        </is>
      </c>
      <c r="E1475" s="25" t="inlineStr">
        <is>
          <t>IA-ST-063-STD-10</t>
        </is>
      </c>
      <c r="F1475" s="25" t="inlineStr">
        <is>
          <t>IA-ST-CFG-0181</t>
        </is>
      </c>
      <c r="G1475" s="25" t="n">
        <v>29.5824</v>
      </c>
      <c r="H1475" s="25" t="inlineStr">
        <is>
          <t>988-pack GENERATED</t>
        </is>
      </c>
    </row>
    <row r="1476">
      <c r="A1476" s="25" t="inlineStr">
        <is>
          <t>1014589</t>
        </is>
      </c>
      <c r="B1476" s="25" t="inlineStr">
        <is>
          <t>AKÜ,D31,DK,90AH,IGYASMF,ENERGYMAX,İÇ PYS</t>
        </is>
      </c>
      <c r="C1476" s="25" t="inlineStr">
        <is>
          <t>1</t>
        </is>
      </c>
      <c r="D1476" s="25" t="inlineStr">
        <is>
          <t>ST-054-STD-09</t>
        </is>
      </c>
      <c r="E1476" s="25" t="inlineStr">
        <is>
          <t>IA-ST-054-STD-09</t>
        </is>
      </c>
      <c r="F1476" s="25" t="inlineStr">
        <is>
          <t>IA-ST-CFG-0145</t>
        </is>
      </c>
      <c r="G1476" s="25" t="n">
        <v>33.497</v>
      </c>
      <c r="H1476" s="25" t="inlineStr">
        <is>
          <t>988-pack GENERATED</t>
        </is>
      </c>
    </row>
    <row r="1477">
      <c r="A1477" s="25" t="inlineStr">
        <is>
          <t>1014590</t>
        </is>
      </c>
      <c r="B1477" s="25" t="inlineStr">
        <is>
          <t>AKÜ,A-FLAT,DK,135AH,ENERGYMAX,İÇ PYS</t>
        </is>
      </c>
      <c r="C1477" s="25" t="inlineStr">
        <is>
          <t>1</t>
        </is>
      </c>
      <c r="D1477" s="25" t="inlineStr">
        <is>
          <t>ST-030-STD-08</t>
        </is>
      </c>
      <c r="E1477" s="25" t="inlineStr">
        <is>
          <t>IA-ST-030-STD-08</t>
        </is>
      </c>
      <c r="F1477" s="25" t="inlineStr">
        <is>
          <t>IA-ST-CFG-0054</t>
        </is>
      </c>
      <c r="G1477" s="25" t="n">
        <v>31.4124</v>
      </c>
      <c r="H1477" s="25" t="inlineStr">
        <is>
          <t>988-pack GENERATED</t>
        </is>
      </c>
    </row>
    <row r="1478">
      <c r="A1478" s="25" t="inlineStr">
        <is>
          <t>1014591</t>
        </is>
      </c>
      <c r="B1478" s="25" t="inlineStr">
        <is>
          <t>AKÜ,B-FLAT,DK,180AH,ENERGYMAX,İÇ PYS</t>
        </is>
      </c>
      <c r="C1478" s="25" t="inlineStr">
        <is>
          <t>1</t>
        </is>
      </c>
      <c r="D1478" s="25" t="inlineStr">
        <is>
          <t>ST-030-STD-09</t>
        </is>
      </c>
      <c r="E1478" s="25" t="inlineStr">
        <is>
          <t>IA-ST-030-STD-09</t>
        </is>
      </c>
      <c r="F1478" s="25" t="inlineStr">
        <is>
          <t>IA-ST-CFG-0055</t>
        </is>
      </c>
      <c r="G1478" s="25" t="n">
        <v>32.1024</v>
      </c>
      <c r="H1478" s="25" t="inlineStr">
        <is>
          <t>988-pack GENERATED</t>
        </is>
      </c>
    </row>
    <row r="1479">
      <c r="A1479" s="25" t="inlineStr">
        <is>
          <t>1014592</t>
        </is>
      </c>
      <c r="B1479" s="25" t="inlineStr">
        <is>
          <t>AKÜ,C-FLAT,DK,225AH,ENERGYMAX,İÇ PYS</t>
        </is>
      </c>
      <c r="C1479" s="25" t="inlineStr">
        <is>
          <t>1</t>
        </is>
      </c>
      <c r="D1479" s="25" t="inlineStr">
        <is>
          <t>ST-021-STD-04</t>
        </is>
      </c>
      <c r="E1479" s="25" t="inlineStr">
        <is>
          <t>IA-ST-021-STD-04</t>
        </is>
      </c>
      <c r="F1479" s="25" t="inlineStr">
        <is>
          <t>IA-ST-CFG-0024</t>
        </is>
      </c>
      <c r="G1479" s="25" t="n">
        <v>31.5384</v>
      </c>
      <c r="H1479" s="25" t="inlineStr">
        <is>
          <t>988-pack GENERATED</t>
        </is>
      </c>
    </row>
    <row r="1480">
      <c r="A1480" s="25" t="inlineStr">
        <is>
          <t>1014593</t>
        </is>
      </c>
      <c r="B1480" s="25" t="inlineStr">
        <is>
          <t>AKÜ,TRACTORL,DK,105AH,ENERGYMAX,İÇ PYS</t>
        </is>
      </c>
      <c r="C1480" s="25" t="inlineStr">
        <is>
          <t>1</t>
        </is>
      </c>
      <c r="D1480" s="25" t="inlineStr">
        <is>
          <t>ST-045-STD-09</t>
        </is>
      </c>
      <c r="E1480" s="25" t="inlineStr">
        <is>
          <t>IA-ST-045-STD-09</t>
        </is>
      </c>
      <c r="F1480" s="25" t="inlineStr">
        <is>
          <t>IA-ST-CFG-0097</t>
        </is>
      </c>
      <c r="G1480" s="25" t="n">
        <v>33.063</v>
      </c>
      <c r="H1480" s="25" t="inlineStr">
        <is>
          <t>988-pack GENERATED</t>
        </is>
      </c>
    </row>
    <row r="1481">
      <c r="A1481" s="25" t="inlineStr">
        <is>
          <t>1014595</t>
        </is>
      </c>
      <c r="B1481" s="25" t="inlineStr">
        <is>
          <t>AKÜ,L3,DK,75AH,IGYA,SUNTECH,TÜRKMENİSTAN</t>
        </is>
      </c>
      <c r="C1481" s="25" t="inlineStr">
        <is>
          <t>1</t>
        </is>
      </c>
      <c r="D1481" s="25" t="inlineStr">
        <is>
          <t>ST-063-STD-08</t>
        </is>
      </c>
      <c r="E1481" s="25" t="inlineStr">
        <is>
          <t>IA-ST-063-STD-08</t>
        </is>
      </c>
      <c r="F1481" s="25" t="inlineStr">
        <is>
          <t>IA-ST-CFG-0179</t>
        </is>
      </c>
      <c r="G1481" s="25" t="n">
        <v>29.9992</v>
      </c>
      <c r="H1481" s="25" t="inlineStr">
        <is>
          <t>988-pack GENERATED</t>
        </is>
      </c>
    </row>
    <row r="1482">
      <c r="A1482" s="25" t="inlineStr">
        <is>
          <t>1014596</t>
        </is>
      </c>
      <c r="B1482" s="25" t="inlineStr">
        <is>
          <t>AKÜ,D26,DK72AH,IGYASMF,HUGELACTION,İÇPYS</t>
        </is>
      </c>
      <c r="C1482" s="25" t="inlineStr">
        <is>
          <t>1</t>
        </is>
      </c>
      <c r="D1482" s="25" t="inlineStr">
        <is>
          <t>ST-063-STD-05</t>
        </is>
      </c>
      <c r="E1482" s="25" t="inlineStr">
        <is>
          <t>IA-ST-063-STD-05</t>
        </is>
      </c>
      <c r="F1482" s="25" t="inlineStr">
        <is>
          <t>IA-ST-CFG-0176</t>
        </is>
      </c>
      <c r="G1482" s="25" t="n">
        <v>33.8644</v>
      </c>
      <c r="H1482" s="25" t="inlineStr">
        <is>
          <t>988-pack GENERATED</t>
        </is>
      </c>
    </row>
    <row r="1483">
      <c r="A1483" s="25" t="inlineStr">
        <is>
          <t>1014597</t>
        </is>
      </c>
      <c r="B1483" s="25" t="inlineStr">
        <is>
          <t>AKÜ,D23,DK,60AH,IGYASMF,ZITEX BATTERY</t>
        </is>
      </c>
      <c r="C1483" s="25" t="inlineStr">
        <is>
          <t>1</t>
        </is>
      </c>
      <c r="D1483" s="25" t="inlineStr">
        <is>
          <t>ST-072-STD-10</t>
        </is>
      </c>
      <c r="E1483" s="25" t="inlineStr">
        <is>
          <t>IA-ST-072-STD-10</t>
        </is>
      </c>
      <c r="F1483" s="25" t="inlineStr">
        <is>
          <t>IA-ST-CFG-0219</t>
        </is>
      </c>
      <c r="G1483" s="25" t="n">
        <v>34.33224</v>
      </c>
      <c r="H1483" s="25" t="inlineStr">
        <is>
          <t>988-pack GENERATED</t>
        </is>
      </c>
    </row>
    <row r="1484">
      <c r="A1484" s="25" t="inlineStr">
        <is>
          <t>1014598</t>
        </is>
      </c>
      <c r="B1484" s="25" t="inlineStr">
        <is>
          <t>AKÜ,D23,TK,60AH,IGYASMF,ZITEX BATTERY</t>
        </is>
      </c>
      <c r="C1484" s="25" t="inlineStr">
        <is>
          <t>1</t>
        </is>
      </c>
      <c r="D1484" s="25" t="inlineStr">
        <is>
          <t>ST-072-STD-10</t>
        </is>
      </c>
      <c r="E1484" s="25" t="inlineStr">
        <is>
          <t>IA-ST-072-STD-10</t>
        </is>
      </c>
      <c r="F1484" s="25" t="inlineStr">
        <is>
          <t>IA-ST-CFG-0219</t>
        </is>
      </c>
      <c r="G1484" s="25" t="n">
        <v>34.33224</v>
      </c>
      <c r="H1484" s="25" t="inlineStr">
        <is>
          <t>988-pack GENERATED</t>
        </is>
      </c>
    </row>
    <row r="1485">
      <c r="A1485" s="25" t="inlineStr">
        <is>
          <t>1014600</t>
        </is>
      </c>
      <c r="B1485" s="25" t="inlineStr">
        <is>
          <t>AKÜ,D26,DK,72AH,IGYASMF,ZITEX BATTERY</t>
        </is>
      </c>
      <c r="C1485" s="25" t="inlineStr">
        <is>
          <t>1</t>
        </is>
      </c>
      <c r="D1485" s="25" t="inlineStr">
        <is>
          <t>ST-063-STD-04</t>
        </is>
      </c>
      <c r="E1485" s="25" t="inlineStr">
        <is>
          <t>IA-ST-063-STD-04</t>
        </is>
      </c>
      <c r="F1485" s="25" t="inlineStr">
        <is>
          <t>IA-ST-CFG-0175</t>
        </is>
      </c>
      <c r="G1485" s="25" t="n">
        <v>34.1512</v>
      </c>
      <c r="H1485" s="25" t="inlineStr">
        <is>
          <t>988-pack GENERATED</t>
        </is>
      </c>
    </row>
    <row r="1486">
      <c r="A1486" s="25" t="inlineStr">
        <is>
          <t>1014602</t>
        </is>
      </c>
      <c r="B1486" s="25" t="inlineStr">
        <is>
          <t>AKÜ LB2,DK,60AH,IGYASMF,ZITEX BATTERY</t>
        </is>
      </c>
      <c r="C1486" s="25" t="inlineStr">
        <is>
          <t>1</t>
        </is>
      </c>
      <c r="D1486" s="25" t="inlineStr">
        <is>
          <t>ST-072-STD-13</t>
        </is>
      </c>
      <c r="E1486" s="25" t="inlineStr">
        <is>
          <t>IA-ST-072-STD-13</t>
        </is>
      </c>
      <c r="F1486" s="25" t="inlineStr">
        <is>
          <t>IA-ST-CFG-0222</t>
        </is>
      </c>
      <c r="G1486" s="25" t="n">
        <v>30.6552</v>
      </c>
      <c r="H1486" s="25" t="inlineStr">
        <is>
          <t>988-pack GENERATED</t>
        </is>
      </c>
    </row>
    <row r="1487">
      <c r="A1487" s="25" t="inlineStr">
        <is>
          <t>1014604</t>
        </is>
      </c>
      <c r="B1487" s="25" t="inlineStr">
        <is>
          <t>AKÜ,L2,DK,60AH,IGYA SMF,ZITEX BATTERY</t>
        </is>
      </c>
      <c r="C1487" s="25" t="inlineStr">
        <is>
          <t>1</t>
        </is>
      </c>
      <c r="D1487" s="25" t="inlineStr">
        <is>
          <t>ST-072-STD-13</t>
        </is>
      </c>
      <c r="E1487" s="25" t="inlineStr">
        <is>
          <t>IA-ST-072-STD-13</t>
        </is>
      </c>
      <c r="F1487" s="25" t="inlineStr">
        <is>
          <t>IA-ST-CFG-0222</t>
        </is>
      </c>
      <c r="G1487" s="25" t="n">
        <v>30.6552</v>
      </c>
      <c r="H1487" s="25" t="inlineStr">
        <is>
          <t>988-pack GENERATED</t>
        </is>
      </c>
    </row>
    <row r="1488">
      <c r="A1488" s="25" t="inlineStr">
        <is>
          <t>1014605</t>
        </is>
      </c>
      <c r="B1488" s="25" t="inlineStr">
        <is>
          <t>AKÜ,L3,DK,66AH,IGYA SMF,ZITEX BATTERY</t>
        </is>
      </c>
      <c r="C1488" s="25" t="inlineStr">
        <is>
          <t>1</t>
        </is>
      </c>
      <c r="D1488" s="25" t="inlineStr">
        <is>
          <t>ST-063-STD-08</t>
        </is>
      </c>
      <c r="E1488" s="25" t="inlineStr">
        <is>
          <t>IA-ST-063-STD-08</t>
        </is>
      </c>
      <c r="F1488" s="25" t="inlineStr">
        <is>
          <t>IA-ST-CFG-0179</t>
        </is>
      </c>
      <c r="G1488" s="25" t="n">
        <v>29.9992</v>
      </c>
      <c r="H1488" s="25" t="inlineStr">
        <is>
          <t>988-pack GENERATED</t>
        </is>
      </c>
    </row>
    <row r="1489">
      <c r="A1489" s="25" t="inlineStr">
        <is>
          <t>1014612</t>
        </is>
      </c>
      <c r="B1489" s="25" t="inlineStr">
        <is>
          <t>AKÜ,A-FLAT,DK,120AH,İNCİ SUPRASENTR,EURO</t>
        </is>
      </c>
      <c r="C1489" s="25" t="inlineStr">
        <is>
          <t>1</t>
        </is>
      </c>
      <c r="D1489" s="25" t="inlineStr">
        <is>
          <t>ST-024-EUR-04</t>
        </is>
      </c>
      <c r="E1489" s="25" t="inlineStr">
        <is>
          <t>IA-ST-024-EUR-04</t>
        </is>
      </c>
      <c r="F1489" s="25" t="inlineStr">
        <is>
          <t>IA-ST-CFG-0039</t>
        </is>
      </c>
      <c r="G1489" s="25" t="n">
        <v>30.6632</v>
      </c>
      <c r="H1489" s="25" t="inlineStr">
        <is>
          <t>988-pack GENERATED</t>
        </is>
      </c>
    </row>
    <row r="1490">
      <c r="A1490" s="25" t="inlineStr">
        <is>
          <t>1014613</t>
        </is>
      </c>
      <c r="B1490" s="25" t="inlineStr">
        <is>
          <t>AKÜ,L5,DK,92AH,TECHNO POWER AGM,ALSAFA</t>
        </is>
      </c>
      <c r="C1490" s="25" t="inlineStr">
        <is>
          <t>1</t>
        </is>
      </c>
      <c r="D1490" s="25" t="inlineStr">
        <is>
          <t>ST-045-STD-08</t>
        </is>
      </c>
      <c r="E1490" s="25" t="inlineStr">
        <is>
          <t>IA-ST-045-STD-08</t>
        </is>
      </c>
      <c r="F1490" s="25" t="inlineStr">
        <is>
          <t>IA-ST-CFG-0096</t>
        </is>
      </c>
      <c r="G1490" s="25" t="n">
        <v>29.7192</v>
      </c>
      <c r="H1490" s="25" t="inlineStr">
        <is>
          <t>988-pack GENERATED</t>
        </is>
      </c>
    </row>
    <row r="1491">
      <c r="A1491" s="25" t="inlineStr">
        <is>
          <t>1014614</t>
        </is>
      </c>
      <c r="B1491" s="25" t="inlineStr">
        <is>
          <t>AKÜ,D31,DK,80AH,IGYA,TECHNO POWER,ALSAFA</t>
        </is>
      </c>
      <c r="C1491" s="25" t="inlineStr">
        <is>
          <t>1</t>
        </is>
      </c>
      <c r="D1491" s="25" t="inlineStr">
        <is>
          <t>ST-054-STD-07</t>
        </is>
      </c>
      <c r="E1491" s="25" t="inlineStr">
        <is>
          <t>IA-ST-054-STD-07</t>
        </is>
      </c>
      <c r="F1491" s="25" t="inlineStr">
        <is>
          <t>IA-ST-CFG-0143</t>
        </is>
      </c>
      <c r="G1491" s="25" t="n">
        <v>33.7838</v>
      </c>
      <c r="H1491" s="25" t="inlineStr">
        <is>
          <t>988-pack GENERATED</t>
        </is>
      </c>
    </row>
    <row r="1492">
      <c r="A1492" s="25" t="inlineStr">
        <is>
          <t>1014616</t>
        </is>
      </c>
      <c r="B1492" s="25" t="inlineStr">
        <is>
          <t>AKÜ,L1,DK,54AH,IGYA,PILOTPERFORMANCEPLUS</t>
        </is>
      </c>
      <c r="C1492" s="25" t="inlineStr">
        <is>
          <t>1</t>
        </is>
      </c>
      <c r="D1492" s="25" t="inlineStr">
        <is>
          <t>ST-096-EUR-03</t>
        </is>
      </c>
      <c r="E1492" s="25" t="inlineStr">
        <is>
          <t>IA-ST-096-EUR-03</t>
        </is>
      </c>
      <c r="F1492" s="25" t="inlineStr">
        <is>
          <t>IA-ST-CFG-0266</t>
        </is>
      </c>
      <c r="G1492" s="25" t="n">
        <v>31.2262</v>
      </c>
      <c r="H1492" s="25" t="inlineStr">
        <is>
          <t>988-pack GENERATED</t>
        </is>
      </c>
    </row>
    <row r="1493">
      <c r="A1493" s="25" t="inlineStr">
        <is>
          <t>1014617</t>
        </is>
      </c>
      <c r="B1493" s="25" t="inlineStr">
        <is>
          <t>AKÜ,LB1,DK52AH,IGYA,PILOTPERFORMANCEPLUS</t>
        </is>
      </c>
      <c r="C1493" s="25" t="inlineStr">
        <is>
          <t>1</t>
        </is>
      </c>
      <c r="D1493" s="25" t="inlineStr">
        <is>
          <t>ST-096-EUR-01</t>
        </is>
      </c>
      <c r="E1493" s="25" t="inlineStr">
        <is>
          <t>IA-ST-096-EUR-01</t>
        </is>
      </c>
      <c r="F1493" s="25" t="inlineStr">
        <is>
          <t>IA-ST-CFG-0264</t>
        </is>
      </c>
      <c r="G1493" s="25" t="n">
        <v>30.6532</v>
      </c>
      <c r="H1493" s="25" t="inlineStr">
        <is>
          <t>988-pack GENERATED</t>
        </is>
      </c>
    </row>
    <row r="1494">
      <c r="A1494" s="25" t="inlineStr">
        <is>
          <t>1014618</t>
        </is>
      </c>
      <c r="B1494" s="25" t="inlineStr">
        <is>
          <t>AKÜ,L2,DK,65AH,IGYA,PILOTPERFORMANCEPLUS</t>
        </is>
      </c>
      <c r="C1494" s="25" t="inlineStr">
        <is>
          <t>1</t>
        </is>
      </c>
      <c r="D1494" s="25" t="inlineStr">
        <is>
          <t>ST-076-EUR-03</t>
        </is>
      </c>
      <c r="E1494" s="25" t="inlineStr">
        <is>
          <t>IA-ST-076-EUR-03</t>
        </is>
      </c>
      <c r="F1494" s="25" t="inlineStr">
        <is>
          <t>IA-ST-CFG-0240</t>
        </is>
      </c>
      <c r="G1494" s="25" t="n">
        <v>30.7272</v>
      </c>
      <c r="H1494" s="25" t="inlineStr">
        <is>
          <t>988-pack GENERATED</t>
        </is>
      </c>
    </row>
    <row r="1495">
      <c r="A1495" s="25" t="inlineStr">
        <is>
          <t>1014619</t>
        </is>
      </c>
      <c r="B1495" s="25" t="inlineStr">
        <is>
          <t>AKÜ,L3,DK,80AH,IGYA,PILOTPERFORMANCEPLUS</t>
        </is>
      </c>
      <c r="C1495" s="25" t="inlineStr">
        <is>
          <t>1</t>
        </is>
      </c>
      <c r="D1495" s="25" t="inlineStr">
        <is>
          <t>ST-068-EUR-03</t>
        </is>
      </c>
      <c r="E1495" s="25" t="inlineStr">
        <is>
          <t>IA-ST-068-EUR-03</t>
        </is>
      </c>
      <c r="F1495" s="25" t="inlineStr">
        <is>
          <t>IA-ST-CFG-0200</t>
        </is>
      </c>
      <c r="G1495" s="25" t="n">
        <v>30.0842</v>
      </c>
      <c r="H1495" s="25" t="inlineStr">
        <is>
          <t>988-pack GENERATED</t>
        </is>
      </c>
    </row>
    <row r="1496">
      <c r="A1496" s="25" t="inlineStr">
        <is>
          <t>1014620</t>
        </is>
      </c>
      <c r="B1496" s="25" t="inlineStr">
        <is>
          <t>AKÜ,LB4,DK85AH,IGYA,PILOTPERFORMANCEPLUS</t>
        </is>
      </c>
      <c r="C1496" s="25" t="inlineStr">
        <is>
          <t>1</t>
        </is>
      </c>
      <c r="D1496" s="25" t="inlineStr">
        <is>
          <t>ST-056-EUR-03</t>
        </is>
      </c>
      <c r="E1496" s="25" t="inlineStr">
        <is>
          <t>IA-ST-056-EUR-03</t>
        </is>
      </c>
      <c r="F1496" s="25" t="inlineStr">
        <is>
          <t>IA-ST-CFG-0152</t>
        </is>
      </c>
      <c r="G1496" s="25" t="n">
        <v>29.7432</v>
      </c>
      <c r="H1496" s="25" t="inlineStr">
        <is>
          <t>988-pack GENERATED</t>
        </is>
      </c>
    </row>
    <row r="1497">
      <c r="A1497" s="25" t="inlineStr">
        <is>
          <t>1014621</t>
        </is>
      </c>
      <c r="B1497" s="25" t="inlineStr">
        <is>
          <t>AKÜ,L3,TK,75AH,IGYASMF,HUGELULTRA,NACITA</t>
        </is>
      </c>
      <c r="C1497" s="25" t="inlineStr">
        <is>
          <t>1</t>
        </is>
      </c>
      <c r="D1497" s="25" t="inlineStr">
        <is>
          <t>ST-063-STD-08</t>
        </is>
      </c>
      <c r="E1497" s="25" t="inlineStr">
        <is>
          <t>IA-ST-063-STD-08</t>
        </is>
      </c>
      <c r="F1497" s="25" t="inlineStr">
        <is>
          <t>IA-ST-CFG-0179</t>
        </is>
      </c>
      <c r="G1497" s="25" t="n">
        <v>29.9992</v>
      </c>
      <c r="H1497" s="25" t="inlineStr">
        <is>
          <t>988-pack GENERATED</t>
        </is>
      </c>
    </row>
    <row r="1498">
      <c r="A1498" s="25" t="inlineStr">
        <is>
          <t>1014622</t>
        </is>
      </c>
      <c r="B1498" s="25" t="inlineStr">
        <is>
          <t>AKÜ,LB3,DK,70AH,IGYSMF,HUGELULTRA,NACITA</t>
        </is>
      </c>
      <c r="C1498" s="25" t="inlineStr">
        <is>
          <t>1</t>
        </is>
      </c>
      <c r="D1498" s="25" t="inlineStr">
        <is>
          <t>ST-063-STD-07</t>
        </is>
      </c>
      <c r="E1498" s="25" t="inlineStr">
        <is>
          <t>IA-ST-063-STD-07</t>
        </is>
      </c>
      <c r="F1498" s="25" t="inlineStr">
        <is>
          <t>IA-ST-CFG-0178</t>
        </is>
      </c>
      <c r="G1498" s="25" t="n">
        <v>29.8692</v>
      </c>
      <c r="H1498" s="25" t="inlineStr">
        <is>
          <t>988-pack GENERATED</t>
        </is>
      </c>
    </row>
    <row r="1499">
      <c r="A1499" s="25" t="inlineStr">
        <is>
          <t>1014623</t>
        </is>
      </c>
      <c r="B1499" s="25" t="inlineStr">
        <is>
          <t>AKÜ,LB4,DK80AH,IGYASMF,HUGELACTION,İÇPYS</t>
        </is>
      </c>
      <c r="C1499" s="25" t="inlineStr">
        <is>
          <t>1</t>
        </is>
      </c>
      <c r="D1499" s="25" t="inlineStr">
        <is>
          <t>ST-072-STD-24</t>
        </is>
      </c>
      <c r="E1499" s="25" t="inlineStr">
        <is>
          <t>IA-ST-072-STD-24</t>
        </is>
      </c>
      <c r="F1499" s="25" t="inlineStr">
        <is>
          <t>IA-ST-CFG-0233</t>
        </is>
      </c>
      <c r="G1499" s="25" t="n">
        <v>30.3504</v>
      </c>
      <c r="H1499" s="25" t="inlineStr">
        <is>
          <t>988-pack GENERATED</t>
        </is>
      </c>
    </row>
    <row r="1500">
      <c r="A1500" s="25" t="inlineStr">
        <is>
          <t>1014631</t>
        </is>
      </c>
      <c r="B1500" s="25" t="inlineStr">
        <is>
          <t>AKÜ,L3,DK,80AH,IGYA,İNCİMAXIMA,TENAX OEM</t>
        </is>
      </c>
      <c r="C1500" s="25" t="inlineStr">
        <is>
          <t>1</t>
        </is>
      </c>
      <c r="D1500" s="25" t="inlineStr">
        <is>
          <t>ST-063-STD-11</t>
        </is>
      </c>
      <c r="E1500" s="25" t="inlineStr">
        <is>
          <t>IA-ST-063-STD-11</t>
        </is>
      </c>
      <c r="F1500" s="25" t="inlineStr">
        <is>
          <t>IA-ST-CFG-0182</t>
        </is>
      </c>
      <c r="G1500" s="25" t="n">
        <v>29.7124</v>
      </c>
      <c r="H1500" s="25" t="inlineStr">
        <is>
          <t>988-pack GENERATED</t>
        </is>
      </c>
    </row>
    <row r="1501">
      <c r="A1501" s="25" t="inlineStr">
        <is>
          <t>1014640</t>
        </is>
      </c>
      <c r="B1501" s="25" t="inlineStr">
        <is>
          <t>AKÜ,C-IGYASMF,DK,225AH,FORMULA,EEC MISIR</t>
        </is>
      </c>
      <c r="C1501" s="25" t="inlineStr">
        <is>
          <t>1</t>
        </is>
      </c>
      <c r="D1501" s="25" t="inlineStr">
        <is>
          <t>ST-021-STD-03</t>
        </is>
      </c>
      <c r="E1501" s="25" t="inlineStr">
        <is>
          <t>IA-ST-021-STD-03</t>
        </is>
      </c>
      <c r="F1501" s="25" t="inlineStr">
        <is>
          <t>IA-ST-CFG-0023</t>
        </is>
      </c>
      <c r="G1501" s="25" t="n">
        <v>31.8252</v>
      </c>
      <c r="H1501" s="25" t="inlineStr">
        <is>
          <t>988-pack GENERATED</t>
        </is>
      </c>
    </row>
    <row r="1502">
      <c r="A1502" s="25" t="inlineStr">
        <is>
          <t>1014642</t>
        </is>
      </c>
      <c r="B1502" s="25" t="inlineStr">
        <is>
          <t>AKÜ,AGM,L3,DK,70AH,HUGEL AGM S&amp;S,EURO</t>
        </is>
      </c>
      <c r="C1502" s="25" t="inlineStr">
        <is>
          <t>1</t>
        </is>
      </c>
      <c r="D1502" s="25" t="inlineStr">
        <is>
          <t>ST-068-EUR-03</t>
        </is>
      </c>
      <c r="E1502" s="25" t="inlineStr">
        <is>
          <t>IA-ST-068-EUR-03</t>
        </is>
      </c>
      <c r="F1502" s="25" t="inlineStr">
        <is>
          <t>IA-ST-CFG-0200</t>
        </is>
      </c>
      <c r="G1502" s="25" t="n">
        <v>30.0842</v>
      </c>
      <c r="H1502" s="25" t="inlineStr">
        <is>
          <t>988-pack GENERATED</t>
        </is>
      </c>
    </row>
    <row r="1503">
      <c r="A1503" s="25" t="inlineStr">
        <is>
          <t>1014643</t>
        </is>
      </c>
      <c r="B1503" s="25" t="inlineStr">
        <is>
          <t>AKÜ,AGM,L5,DK,95AH,HUGEL AGM S&amp;S,EURO</t>
        </is>
      </c>
      <c r="C1503" s="25" t="inlineStr">
        <is>
          <t>1</t>
        </is>
      </c>
      <c r="D1503" s="25" t="inlineStr">
        <is>
          <t>ST-048-EUR-10</t>
        </is>
      </c>
      <c r="E1503" s="25" t="inlineStr">
        <is>
          <t>IA-ST-048-EUR-10</t>
        </is>
      </c>
      <c r="F1503" s="25" t="inlineStr">
        <is>
          <t>IA-ST-CFG-0116</t>
        </is>
      </c>
      <c r="G1503" s="25" t="n">
        <v>29.7592</v>
      </c>
      <c r="H1503" s="25" t="inlineStr">
        <is>
          <t>988-pack GENERATED</t>
        </is>
      </c>
    </row>
    <row r="1504">
      <c r="A1504" s="25" t="inlineStr">
        <is>
          <t>1014644</t>
        </is>
      </c>
      <c r="B1504" s="25" t="inlineStr">
        <is>
          <t>AKÜ,LB3,DK,72AH,IGYA SMF,HUGEL MEGA,EURO</t>
        </is>
      </c>
      <c r="C1504" s="25" t="inlineStr">
        <is>
          <t>1</t>
        </is>
      </c>
      <c r="D1504" s="25" t="inlineStr">
        <is>
          <t>ST-068-EUR-02</t>
        </is>
      </c>
      <c r="E1504" s="25" t="inlineStr">
        <is>
          <t>IA-ST-068-EUR-02</t>
        </is>
      </c>
      <c r="F1504" s="25" t="inlineStr">
        <is>
          <t>IA-ST-CFG-0199</t>
        </is>
      </c>
      <c r="G1504" s="25" t="n">
        <v>29.9442</v>
      </c>
      <c r="H1504" s="25" t="inlineStr">
        <is>
          <t>988-pack GENERATED</t>
        </is>
      </c>
    </row>
    <row r="1505">
      <c r="A1505" s="25" t="inlineStr">
        <is>
          <t>1014645</t>
        </is>
      </c>
      <c r="B1505" s="25" t="inlineStr">
        <is>
          <t>AKÜ,L4,DK,90AH,IGYA SMF,HUGEL MEGA,EURO</t>
        </is>
      </c>
      <c r="C1505" s="25" t="inlineStr">
        <is>
          <t>1</t>
        </is>
      </c>
      <c r="D1505" s="25" t="inlineStr">
        <is>
          <t>ST-056-EUR-03</t>
        </is>
      </c>
      <c r="E1505" s="25" t="inlineStr">
        <is>
          <t>IA-ST-056-EUR-03</t>
        </is>
      </c>
      <c r="F1505" s="25" t="inlineStr">
        <is>
          <t>IA-ST-CFG-0152</t>
        </is>
      </c>
      <c r="G1505" s="25" t="n">
        <v>29.7432</v>
      </c>
      <c r="H1505" s="25" t="inlineStr">
        <is>
          <t>988-pack GENERATED</t>
        </is>
      </c>
    </row>
    <row r="1506">
      <c r="A1506" s="25" t="inlineStr">
        <is>
          <t>1014646</t>
        </is>
      </c>
      <c r="B1506" s="25" t="inlineStr">
        <is>
          <t>AKÜ,L5,DK,102AH,IGYA SMF,HUGEL MEGA,EURO</t>
        </is>
      </c>
      <c r="C1506" s="25" t="inlineStr">
        <is>
          <t>1</t>
        </is>
      </c>
      <c r="D1506" s="25" t="inlineStr">
        <is>
          <t>ST-048-EUR-10</t>
        </is>
      </c>
      <c r="E1506" s="25" t="inlineStr">
        <is>
          <t>IA-ST-048-EUR-10</t>
        </is>
      </c>
      <c r="F1506" s="25" t="inlineStr">
        <is>
          <t>IA-ST-CFG-0116</t>
        </is>
      </c>
      <c r="G1506" s="25" t="n">
        <v>29.7592</v>
      </c>
      <c r="H1506" s="25" t="inlineStr">
        <is>
          <t>988-pack GENERATED</t>
        </is>
      </c>
    </row>
    <row r="1507">
      <c r="A1507" s="25" t="inlineStr">
        <is>
          <t>1014647</t>
        </is>
      </c>
      <c r="B1507" s="25" t="inlineStr">
        <is>
          <t>AKÜ,D23,DK,68AH,IGYA SMF,HUGEL MEGA,EURO</t>
        </is>
      </c>
      <c r="C1507" s="25" t="inlineStr">
        <is>
          <t>1</t>
        </is>
      </c>
      <c r="D1507" s="25" t="inlineStr">
        <is>
          <t>ST-060-EUR-02</t>
        </is>
      </c>
      <c r="E1507" s="25" t="inlineStr">
        <is>
          <t>IA-ST-060-EUR-02</t>
        </is>
      </c>
      <c r="F1507" s="25" t="inlineStr">
        <is>
          <t>IA-ST-CFG-0171</t>
        </is>
      </c>
      <c r="G1507" s="25" t="n">
        <v>32.9834</v>
      </c>
      <c r="H1507" s="25" t="inlineStr">
        <is>
          <t>988-pack GENERATED</t>
        </is>
      </c>
    </row>
    <row r="1508">
      <c r="A1508" s="25" t="inlineStr">
        <is>
          <t>1014648</t>
        </is>
      </c>
      <c r="B1508" s="25" t="inlineStr">
        <is>
          <t>AKÜ,D26,DK,80AH,IGYA SMF,HUGEL MEGA,EURO</t>
        </is>
      </c>
      <c r="C1508" s="25" t="inlineStr">
        <is>
          <t>1</t>
        </is>
      </c>
      <c r="D1508" s="25" t="inlineStr">
        <is>
          <t>ST-048-EUR-02</t>
        </is>
      </c>
      <c r="E1508" s="25" t="inlineStr">
        <is>
          <t>IA-ST-048-EUR-02</t>
        </is>
      </c>
      <c r="F1508" s="25" t="inlineStr">
        <is>
          <t>IA-ST-CFG-0107</t>
        </is>
      </c>
      <c r="G1508" s="25" t="n">
        <v>32.3872</v>
      </c>
      <c r="H1508" s="25" t="inlineStr">
        <is>
          <t>988-pack GENERATED</t>
        </is>
      </c>
    </row>
    <row r="1509">
      <c r="A1509" s="25" t="inlineStr">
        <is>
          <t>1014649</t>
        </is>
      </c>
      <c r="B1509" s="25" t="inlineStr">
        <is>
          <t>AKÜ,D31,DK,100AH,IGYASMF,HUGEL MEGA,EURO</t>
        </is>
      </c>
      <c r="C1509" s="25" t="inlineStr">
        <is>
          <t>1</t>
        </is>
      </c>
      <c r="D1509" s="25" t="inlineStr">
        <is>
          <t>ST-048-EUR-09</t>
        </is>
      </c>
      <c r="E1509" s="25" t="inlineStr">
        <is>
          <t>IA-ST-048-EUR-09</t>
        </is>
      </c>
      <c r="F1509" s="25" t="inlineStr">
        <is>
          <t>IA-ST-CFG-0115</t>
        </is>
      </c>
      <c r="G1509" s="25" t="n">
        <v>32.8524</v>
      </c>
      <c r="H1509" s="25" t="inlineStr">
        <is>
          <t>988-pack GENERATED</t>
        </is>
      </c>
    </row>
    <row r="1510">
      <c r="A1510" s="25" t="inlineStr">
        <is>
          <t>1014650</t>
        </is>
      </c>
      <c r="B1510" s="25" t="inlineStr">
        <is>
          <t>AKÜ,L3,DK,75AH,IGYASMF,HUGELULTRA KOLİLİ</t>
        </is>
      </c>
      <c r="C1510" s="25" t="inlineStr">
        <is>
          <t>1</t>
        </is>
      </c>
      <c r="D1510" s="25" t="inlineStr">
        <is>
          <t>ST-072-STD-06</t>
        </is>
      </c>
      <c r="E1510" s="25" t="inlineStr">
        <is>
          <t>IA-ST-072-STD-06</t>
        </is>
      </c>
      <c r="F1510" s="25" t="inlineStr">
        <is>
          <t>IA-ST-CFG-0215</t>
        </is>
      </c>
      <c r="G1510" s="25" t="n">
        <v>47.756</v>
      </c>
      <c r="H1510" s="25" t="inlineStr">
        <is>
          <t>988-pack GENERATED</t>
        </is>
      </c>
    </row>
    <row r="1511">
      <c r="A1511" s="25" t="inlineStr">
        <is>
          <t>1014652</t>
        </is>
      </c>
      <c r="B1511" s="25" t="inlineStr">
        <is>
          <t>AKÜ,L2,TK,62AH,IGYA,NONAME,GYEUR3078-062</t>
        </is>
      </c>
      <c r="C1511" s="25" t="inlineStr">
        <is>
          <t>1</t>
        </is>
      </c>
      <c r="D1511" s="25" t="inlineStr">
        <is>
          <t>ST-057-EUR-03</t>
        </is>
      </c>
      <c r="E1511" s="25" t="inlineStr">
        <is>
          <t>IA-ST-057-EUR-03</t>
        </is>
      </c>
      <c r="F1511" s="25" t="inlineStr">
        <is>
          <t>IA-ST-CFG-0162</t>
        </is>
      </c>
      <c r="G1511" s="25" t="n">
        <v>27.926</v>
      </c>
      <c r="H1511" s="25" t="inlineStr">
        <is>
          <t>988-pack GENERATED</t>
        </is>
      </c>
    </row>
    <row r="1512">
      <c r="A1512" s="25" t="inlineStr">
        <is>
          <t>1014653</t>
        </is>
      </c>
      <c r="B1512" s="25" t="inlineStr">
        <is>
          <t>AKÜ,L2,DK,65AH,IGYASMF,BPOWERSUP,POLONYA</t>
        </is>
      </c>
      <c r="C1512" s="25" t="inlineStr">
        <is>
          <t>1</t>
        </is>
      </c>
      <c r="D1512" s="25" t="inlineStr">
        <is>
          <t>ST-057-EUR-05</t>
        </is>
      </c>
      <c r="E1512" s="25" t="inlineStr">
        <is>
          <t>IA-ST-057-EUR-05</t>
        </is>
      </c>
      <c r="F1512" s="25" t="inlineStr">
        <is>
          <t>IA-ST-CFG-0164</t>
        </is>
      </c>
      <c r="G1512" s="25" t="n">
        <v>27.6392</v>
      </c>
      <c r="H1512" s="25" t="inlineStr">
        <is>
          <t>988-pack GENERATED</t>
        </is>
      </c>
    </row>
    <row r="1513">
      <c r="A1513" s="25" t="inlineStr">
        <is>
          <t>1014654</t>
        </is>
      </c>
      <c r="B1513" s="25" t="inlineStr">
        <is>
          <t>AKÜ,LB2,DK,62AH,IGYSMF,BPOWERSUP,POLONYA</t>
        </is>
      </c>
      <c r="C1513" s="25" t="inlineStr">
        <is>
          <t>1</t>
        </is>
      </c>
      <c r="D1513" s="25" t="inlineStr">
        <is>
          <t>ST-057-EUR-05</t>
        </is>
      </c>
      <c r="E1513" s="25" t="inlineStr">
        <is>
          <t>IA-ST-057-EUR-05</t>
        </is>
      </c>
      <c r="F1513" s="25" t="inlineStr">
        <is>
          <t>IA-ST-CFG-0164</t>
        </is>
      </c>
      <c r="G1513" s="25" t="n">
        <v>27.6392</v>
      </c>
      <c r="H1513" s="25" t="inlineStr">
        <is>
          <t>988-pack GENERATED</t>
        </is>
      </c>
    </row>
    <row r="1514">
      <c r="A1514" s="29" t="inlineStr">
        <is>
          <t>1014655</t>
        </is>
      </c>
      <c r="B1514" s="29" t="inlineStr">
        <is>
          <t>AKÜ,L0,DK,40AH,DINNEWPROFILE,FIAT YP,OES</t>
        </is>
      </c>
      <c r="C1514" s="29" t="inlineStr">
        <is>
          <t>1</t>
        </is>
      </c>
      <c r="H1514" s="29" t="inlineStr">
        <is>
          <t>NO MAPPING</t>
        </is>
      </c>
    </row>
    <row r="1515">
      <c r="A1515" s="25" t="inlineStr">
        <is>
          <t>1014656</t>
        </is>
      </c>
      <c r="B1515" s="25" t="inlineStr">
        <is>
          <t>AKÜ,LB1,DK,43AH,IGYASMF,NO NAME,BP43,SKG</t>
        </is>
      </c>
      <c r="C1515" s="25" t="inlineStr">
        <is>
          <t>1</t>
        </is>
      </c>
      <c r="D1515" s="25" t="inlineStr">
        <is>
          <t>ST-096-EUR-06</t>
        </is>
      </c>
      <c r="E1515" s="25" t="inlineStr">
        <is>
          <t>IA-ST-096-EUR-06</t>
        </is>
      </c>
      <c r="F1515" s="25" t="inlineStr">
        <is>
          <t>IA-ST-CFG-0269</t>
        </is>
      </c>
      <c r="G1515" s="25" t="n">
        <v>28.566</v>
      </c>
      <c r="H1515" s="25" t="inlineStr">
        <is>
          <t>988-pack GENERATED</t>
        </is>
      </c>
    </row>
    <row r="1516">
      <c r="A1516" s="25" t="inlineStr">
        <is>
          <t>1014657</t>
        </is>
      </c>
      <c r="B1516" s="25" t="inlineStr">
        <is>
          <t>AKÜ,LB2,DK,60AH,IGYASMF,NO NAME,BP60,SKG</t>
        </is>
      </c>
      <c r="C1516" s="25" t="inlineStr">
        <is>
          <t>1</t>
        </is>
      </c>
      <c r="D1516" s="25" t="inlineStr">
        <is>
          <t>ST-076-EUR-02</t>
        </is>
      </c>
      <c r="E1516" s="25" t="inlineStr">
        <is>
          <t>IA-ST-076-EUR-02</t>
        </is>
      </c>
      <c r="F1516" s="25" t="inlineStr">
        <is>
          <t>IA-ST-CFG-0239</t>
        </is>
      </c>
      <c r="G1516" s="25" t="n">
        <v>28.126</v>
      </c>
      <c r="H1516" s="25" t="inlineStr">
        <is>
          <t>988-pack GENERATED</t>
        </is>
      </c>
    </row>
    <row r="1517">
      <c r="A1517" s="25" t="inlineStr">
        <is>
          <t>1014658</t>
        </is>
      </c>
      <c r="B1517" s="25" t="inlineStr">
        <is>
          <t>AKÜ,L2,DK,62AH,IGYASMF,NO NAME,BP62,SKG</t>
        </is>
      </c>
      <c r="C1517" s="25" t="inlineStr">
        <is>
          <t>1</t>
        </is>
      </c>
      <c r="D1517" s="25" t="inlineStr">
        <is>
          <t>ST-076-EUR-02</t>
        </is>
      </c>
      <c r="E1517" s="25" t="inlineStr">
        <is>
          <t>IA-ST-076-EUR-02</t>
        </is>
      </c>
      <c r="F1517" s="25" t="inlineStr">
        <is>
          <t>IA-ST-CFG-0239</t>
        </is>
      </c>
      <c r="G1517" s="25" t="n">
        <v>28.126</v>
      </c>
      <c r="H1517" s="25" t="inlineStr">
        <is>
          <t>988-pack GENERATED</t>
        </is>
      </c>
    </row>
    <row r="1518">
      <c r="A1518" s="25" t="inlineStr">
        <is>
          <t>1014659</t>
        </is>
      </c>
      <c r="B1518" s="25" t="inlineStr">
        <is>
          <t>AKÜ,LB3,DK,70AH,IGYASMF,NO NAME,BP70,SKG</t>
        </is>
      </c>
      <c r="C1518" s="25" t="inlineStr">
        <is>
          <t>1</t>
        </is>
      </c>
      <c r="D1518" s="25" t="inlineStr">
        <is>
          <t>ST-068-EUR-01</t>
        </is>
      </c>
      <c r="E1518" s="25" t="inlineStr">
        <is>
          <t>IA-ST-068-EUR-01</t>
        </is>
      </c>
      <c r="F1518" s="25" t="inlineStr">
        <is>
          <t>IA-ST-CFG-0198</t>
        </is>
      </c>
      <c r="G1518" s="25" t="n">
        <v>28.126</v>
      </c>
      <c r="H1518" s="25" t="inlineStr">
        <is>
          <t>988-pack GENERATED</t>
        </is>
      </c>
    </row>
    <row r="1519">
      <c r="A1519" s="25" t="inlineStr">
        <is>
          <t>1014660</t>
        </is>
      </c>
      <c r="B1519" s="25" t="inlineStr">
        <is>
          <t>AKÜ,L3,DK,74AH,IGYASMF,NO NAME,BP74,SKG</t>
        </is>
      </c>
      <c r="C1519" s="25" t="inlineStr">
        <is>
          <t>1</t>
        </is>
      </c>
      <c r="D1519" s="25" t="inlineStr">
        <is>
          <t>ST-068-EUR-01</t>
        </is>
      </c>
      <c r="E1519" s="25" t="inlineStr">
        <is>
          <t>IA-ST-068-EUR-01</t>
        </is>
      </c>
      <c r="F1519" s="25" t="inlineStr">
        <is>
          <t>IA-ST-CFG-0198</t>
        </is>
      </c>
      <c r="G1519" s="25" t="n">
        <v>28.126</v>
      </c>
      <c r="H1519" s="25" t="inlineStr">
        <is>
          <t>988-pack GENERATED</t>
        </is>
      </c>
    </row>
    <row r="1520">
      <c r="A1520" s="25" t="inlineStr">
        <is>
          <t>1014661</t>
        </is>
      </c>
      <c r="B1520" s="25" t="inlineStr">
        <is>
          <t>AKÜ,LB4,DK,85AH,IGYASMF,NO NAME,BP85,SKG</t>
        </is>
      </c>
      <c r="C1520" s="25" t="inlineStr">
        <is>
          <t>1</t>
        </is>
      </c>
      <c r="D1520" s="25" t="inlineStr">
        <is>
          <t>ST-056-EUR-02</t>
        </is>
      </c>
      <c r="E1520" s="25" t="inlineStr">
        <is>
          <t>IA-ST-056-EUR-02</t>
        </is>
      </c>
      <c r="F1520" s="25" t="inlineStr">
        <is>
          <t>IA-ST-CFG-0151</t>
        </is>
      </c>
      <c r="G1520" s="25" t="n">
        <v>28.126</v>
      </c>
      <c r="H1520" s="25" t="inlineStr">
        <is>
          <t>988-pack GENERATED</t>
        </is>
      </c>
    </row>
    <row r="1521">
      <c r="A1521" s="25" t="inlineStr">
        <is>
          <t>1014662</t>
        </is>
      </c>
      <c r="B1521" s="25" t="inlineStr">
        <is>
          <t>AKÜ,L5,DK,95AH,IGYASMF,NO NAME,BP95,SKG</t>
        </is>
      </c>
      <c r="C1521" s="25" t="inlineStr">
        <is>
          <t>1</t>
        </is>
      </c>
      <c r="D1521" s="25" t="inlineStr">
        <is>
          <t>ST-048-EUR-08</t>
        </is>
      </c>
      <c r="E1521" s="25" t="inlineStr">
        <is>
          <t>IA-ST-048-EUR-08</t>
        </is>
      </c>
      <c r="F1521" s="25" t="inlineStr">
        <is>
          <t>IA-ST-CFG-0114</t>
        </is>
      </c>
      <c r="G1521" s="25" t="n">
        <v>28.126</v>
      </c>
      <c r="H1521" s="25" t="inlineStr">
        <is>
          <t>988-pack GENERATED</t>
        </is>
      </c>
    </row>
    <row r="1522">
      <c r="A1522" s="25" t="inlineStr">
        <is>
          <t>1014663</t>
        </is>
      </c>
      <c r="B1522" s="25" t="inlineStr">
        <is>
          <t>AKÜ,L2,DK,60AH,IGYASMF,NONAME,027EFB,SKG</t>
        </is>
      </c>
      <c r="C1522" s="25" t="inlineStr">
        <is>
          <t>1</t>
        </is>
      </c>
      <c r="D1522" s="25" t="inlineStr">
        <is>
          <t>ST-076-EUR-02</t>
        </is>
      </c>
      <c r="E1522" s="25" t="inlineStr">
        <is>
          <t>IA-ST-076-EUR-02</t>
        </is>
      </c>
      <c r="F1522" s="25" t="inlineStr">
        <is>
          <t>IA-ST-CFG-0239</t>
        </is>
      </c>
      <c r="G1522" s="25" t="n">
        <v>28.126</v>
      </c>
      <c r="H1522" s="25" t="inlineStr">
        <is>
          <t>988-pack GENERATED</t>
        </is>
      </c>
    </row>
    <row r="1523">
      <c r="A1523" s="25" t="inlineStr">
        <is>
          <t>1014664</t>
        </is>
      </c>
      <c r="B1523" s="25" t="inlineStr">
        <is>
          <t>AKÜ,LB3,DK,65AH,IGYASMF,NONAME100EFB,SKG</t>
        </is>
      </c>
      <c r="C1523" s="25" t="inlineStr">
        <is>
          <t>1</t>
        </is>
      </c>
      <c r="D1523" s="25" t="inlineStr">
        <is>
          <t>ST-068-EUR-01</t>
        </is>
      </c>
      <c r="E1523" s="25" t="inlineStr">
        <is>
          <t>IA-ST-068-EUR-01</t>
        </is>
      </c>
      <c r="F1523" s="25" t="inlineStr">
        <is>
          <t>IA-ST-CFG-0198</t>
        </is>
      </c>
      <c r="G1523" s="25" t="n">
        <v>28.126</v>
      </c>
      <c r="H1523" s="25" t="inlineStr">
        <is>
          <t>988-pack GENERATED</t>
        </is>
      </c>
    </row>
    <row r="1524">
      <c r="A1524" s="25" t="inlineStr">
        <is>
          <t>1014665</t>
        </is>
      </c>
      <c r="B1524" s="25" t="inlineStr">
        <is>
          <t>AKÜ,L3,DK,72AH,IGYASMF,NONAME,096EFB,SKG</t>
        </is>
      </c>
      <c r="C1524" s="25" t="inlineStr">
        <is>
          <t>1</t>
        </is>
      </c>
      <c r="D1524" s="25" t="inlineStr">
        <is>
          <t>ST-068-EUR-01</t>
        </is>
      </c>
      <c r="E1524" s="25" t="inlineStr">
        <is>
          <t>IA-ST-068-EUR-01</t>
        </is>
      </c>
      <c r="F1524" s="25" t="inlineStr">
        <is>
          <t>IA-ST-CFG-0198</t>
        </is>
      </c>
      <c r="G1524" s="25" t="n">
        <v>28.126</v>
      </c>
      <c r="H1524" s="25" t="inlineStr">
        <is>
          <t>988-pack GENERATED</t>
        </is>
      </c>
    </row>
    <row r="1525">
      <c r="A1525" s="25" t="inlineStr">
        <is>
          <t>1014666</t>
        </is>
      </c>
      <c r="B1525" s="25" t="inlineStr">
        <is>
          <t>AKÜ,LB4,DK,75AH,IGYASMF,NONAME110EFB,SKG</t>
        </is>
      </c>
      <c r="C1525" s="25" t="inlineStr">
        <is>
          <t>1</t>
        </is>
      </c>
      <c r="D1525" s="25" t="inlineStr">
        <is>
          <t>ST-056-EUR-02</t>
        </is>
      </c>
      <c r="E1525" s="25" t="inlineStr">
        <is>
          <t>IA-ST-056-EUR-02</t>
        </is>
      </c>
      <c r="F1525" s="25" t="inlineStr">
        <is>
          <t>IA-ST-CFG-0151</t>
        </is>
      </c>
      <c r="G1525" s="25" t="n">
        <v>28.126</v>
      </c>
      <c r="H1525" s="25" t="inlineStr">
        <is>
          <t>988-pack GENERATED</t>
        </is>
      </c>
    </row>
    <row r="1526">
      <c r="A1526" s="25" t="inlineStr">
        <is>
          <t>1014667</t>
        </is>
      </c>
      <c r="B1526" s="25" t="inlineStr">
        <is>
          <t>AKÜ AGM,L5,DK,95AH,NO NAME,019AGM,SKG</t>
        </is>
      </c>
      <c r="C1526" s="25" t="inlineStr">
        <is>
          <t>1</t>
        </is>
      </c>
      <c r="D1526" s="25" t="inlineStr">
        <is>
          <t>ST-048-EUR-08</t>
        </is>
      </c>
      <c r="E1526" s="25" t="inlineStr">
        <is>
          <t>IA-ST-048-EUR-08</t>
        </is>
      </c>
      <c r="F1526" s="25" t="inlineStr">
        <is>
          <t>IA-ST-CFG-0114</t>
        </is>
      </c>
      <c r="G1526" s="25" t="n">
        <v>28.126</v>
      </c>
      <c r="H1526" s="25" t="inlineStr">
        <is>
          <t>988-pack GENERATED</t>
        </is>
      </c>
    </row>
    <row r="1527">
      <c r="A1527" s="25" t="inlineStr">
        <is>
          <t>1014668</t>
        </is>
      </c>
      <c r="B1527" s="25" t="inlineStr">
        <is>
          <t>AKÜ AGM,L2,DK,60AH,NO NAME,027AGM,SKG</t>
        </is>
      </c>
      <c r="C1527" s="25" t="inlineStr">
        <is>
          <t>1</t>
        </is>
      </c>
      <c r="D1527" s="25" t="inlineStr">
        <is>
          <t>ST-076-EUR-02</t>
        </is>
      </c>
      <c r="E1527" s="25" t="inlineStr">
        <is>
          <t>IA-ST-076-EUR-02</t>
        </is>
      </c>
      <c r="F1527" s="25" t="inlineStr">
        <is>
          <t>IA-ST-CFG-0239</t>
        </is>
      </c>
      <c r="G1527" s="25" t="n">
        <v>28.126</v>
      </c>
      <c r="H1527" s="25" t="inlineStr">
        <is>
          <t>988-pack GENERATED</t>
        </is>
      </c>
    </row>
    <row r="1528">
      <c r="A1528" s="25" t="inlineStr">
        <is>
          <t>1014669</t>
        </is>
      </c>
      <c r="B1528" s="25" t="inlineStr">
        <is>
          <t>AKÜ AGM,L3,DK,70AH,NO NAME,096AGM,SKG</t>
        </is>
      </c>
      <c r="C1528" s="25" t="inlineStr">
        <is>
          <t>1</t>
        </is>
      </c>
      <c r="D1528" s="25" t="inlineStr">
        <is>
          <t>ST-068-EUR-01</t>
        </is>
      </c>
      <c r="E1528" s="25" t="inlineStr">
        <is>
          <t>IA-ST-068-EUR-01</t>
        </is>
      </c>
      <c r="F1528" s="25" t="inlineStr">
        <is>
          <t>IA-ST-CFG-0198</t>
        </is>
      </c>
      <c r="G1528" s="25" t="n">
        <v>28.126</v>
      </c>
      <c r="H1528" s="25" t="inlineStr">
        <is>
          <t>988-pack GENERATED</t>
        </is>
      </c>
    </row>
    <row r="1529">
      <c r="A1529" s="25" t="inlineStr">
        <is>
          <t>1014670</t>
        </is>
      </c>
      <c r="B1529" s="25" t="inlineStr">
        <is>
          <t>AKÜ AGM,L4,DK,80AH,NO NAME,110AGM,SKG</t>
        </is>
      </c>
      <c r="C1529" s="25" t="inlineStr">
        <is>
          <t>1</t>
        </is>
      </c>
      <c r="D1529" s="25" t="inlineStr">
        <is>
          <t>ST-056-EUR-02</t>
        </is>
      </c>
      <c r="E1529" s="25" t="inlineStr">
        <is>
          <t>IA-ST-056-EUR-02</t>
        </is>
      </c>
      <c r="F1529" s="25" t="inlineStr">
        <is>
          <t>IA-ST-CFG-0151</t>
        </is>
      </c>
      <c r="G1529" s="25" t="n">
        <v>28.126</v>
      </c>
      <c r="H1529" s="25" t="inlineStr">
        <is>
          <t>988-pack GENERATED</t>
        </is>
      </c>
    </row>
    <row r="1530">
      <c r="A1530" s="25" t="inlineStr">
        <is>
          <t>1014673</t>
        </is>
      </c>
      <c r="B1530" s="25" t="inlineStr">
        <is>
          <t>AKÜ,C-IGYASMF,DK,230AH,BLIZZARO EFB S&amp;S</t>
        </is>
      </c>
      <c r="C1530" s="25" t="inlineStr">
        <is>
          <t>1</t>
        </is>
      </c>
      <c r="D1530" s="25" t="inlineStr">
        <is>
          <t>ST-021-STD-03</t>
        </is>
      </c>
      <c r="E1530" s="25" t="inlineStr">
        <is>
          <t>IA-ST-021-STD-03</t>
        </is>
      </c>
      <c r="F1530" s="25" t="inlineStr">
        <is>
          <t>IA-ST-CFG-0023</t>
        </is>
      </c>
      <c r="G1530" s="25" t="n">
        <v>31.8252</v>
      </c>
      <c r="H1530" s="25" t="inlineStr">
        <is>
          <t>988-pack GENERATED</t>
        </is>
      </c>
    </row>
    <row r="1531">
      <c r="A1531" s="25" t="inlineStr">
        <is>
          <t>1014674</t>
        </is>
      </c>
      <c r="B1531" s="25" t="inlineStr">
        <is>
          <t>AKÜ,B-IGYASMF,DK,180AH,BLIZSILVER,SHDNEW</t>
        </is>
      </c>
      <c r="C1531" s="25" t="inlineStr">
        <is>
          <t>1</t>
        </is>
      </c>
      <c r="D1531" s="25" t="inlineStr">
        <is>
          <t>ST-030-STD-06</t>
        </is>
      </c>
      <c r="E1531" s="25" t="inlineStr">
        <is>
          <t>IA-ST-030-STD-06</t>
        </is>
      </c>
      <c r="F1531" s="25" t="inlineStr">
        <is>
          <t>IA-ST-CFG-0052</t>
        </is>
      </c>
      <c r="G1531" s="25" t="n">
        <v>32.3892</v>
      </c>
      <c r="H1531" s="25" t="inlineStr">
        <is>
          <t>988-pack GENERATED</t>
        </is>
      </c>
    </row>
    <row r="1532">
      <c r="A1532" s="25" t="inlineStr">
        <is>
          <t>1014675</t>
        </is>
      </c>
      <c r="B1532" s="25" t="inlineStr">
        <is>
          <t>AKÜ,L5,DK,105AH,IGYASMF,İNCİMAXIMA,İÇPYS</t>
        </is>
      </c>
      <c r="C1532" s="25" t="inlineStr">
        <is>
          <t>1</t>
        </is>
      </c>
      <c r="D1532" s="25" t="inlineStr">
        <is>
          <t>ST-045-STD-10</t>
        </is>
      </c>
      <c r="E1532" s="25" t="inlineStr">
        <is>
          <t>IA-ST-045-STD-10</t>
        </is>
      </c>
      <c r="F1532" s="25" t="inlineStr">
        <is>
          <t>IA-ST-CFG-0098</t>
        </is>
      </c>
      <c r="G1532" s="25" t="n">
        <v>29.4324</v>
      </c>
      <c r="H1532" s="25" t="inlineStr">
        <is>
          <t>988-pack GENERATED</t>
        </is>
      </c>
    </row>
    <row r="1533">
      <c r="A1533" s="25" t="inlineStr">
        <is>
          <t>1014676</t>
        </is>
      </c>
      <c r="B1533" s="25" t="inlineStr">
        <is>
          <t>AKÜ,L5,DK,105AH,IGYASMF,EAS EXTRA,İÇ PYS</t>
        </is>
      </c>
      <c r="C1533" s="25" t="inlineStr">
        <is>
          <t>1</t>
        </is>
      </c>
      <c r="D1533" s="25" t="inlineStr">
        <is>
          <t>ST-045-STD-10</t>
        </is>
      </c>
      <c r="E1533" s="25" t="inlineStr">
        <is>
          <t>IA-ST-045-STD-10</t>
        </is>
      </c>
      <c r="F1533" s="25" t="inlineStr">
        <is>
          <t>IA-ST-CFG-0098</t>
        </is>
      </c>
      <c r="G1533" s="25" t="n">
        <v>29.4324</v>
      </c>
      <c r="H1533" s="25" t="inlineStr">
        <is>
          <t>988-pack GENERATED</t>
        </is>
      </c>
    </row>
    <row r="1534">
      <c r="A1534" s="25" t="inlineStr">
        <is>
          <t>1014678</t>
        </is>
      </c>
      <c r="B1534" s="25" t="inlineStr">
        <is>
          <t>AKÜ,L2,DK,60AH,IGYA,İNCİFORMULA,HONDAOES</t>
        </is>
      </c>
      <c r="C1534" s="25" t="inlineStr">
        <is>
          <t>1</t>
        </is>
      </c>
      <c r="D1534" s="25" t="inlineStr">
        <is>
          <t>ST-072-STD-13</t>
        </is>
      </c>
      <c r="E1534" s="25" t="inlineStr">
        <is>
          <t>IA-ST-072-STD-13</t>
        </is>
      </c>
      <c r="F1534" s="25" t="inlineStr">
        <is>
          <t>IA-ST-CFG-0222</t>
        </is>
      </c>
      <c r="G1534" s="25" t="n">
        <v>30.6552</v>
      </c>
      <c r="H1534" s="25" t="inlineStr">
        <is>
          <t>988-pack GENERATED</t>
        </is>
      </c>
    </row>
    <row r="1535">
      <c r="A1535" s="25" t="inlineStr">
        <is>
          <t>1014679</t>
        </is>
      </c>
      <c r="B1535" s="25" t="inlineStr">
        <is>
          <t>AKÜ,A-FLAT,DK,120AH,EAS PRIDE</t>
        </is>
      </c>
      <c r="C1535" s="25" t="inlineStr">
        <is>
          <t>1</t>
        </is>
      </c>
      <c r="D1535" s="25" t="inlineStr">
        <is>
          <t>ST-030-STD-05</t>
        </is>
      </c>
      <c r="E1535" s="25" t="inlineStr">
        <is>
          <t>IA-ST-030-STD-05</t>
        </is>
      </c>
      <c r="F1535" s="25" t="inlineStr">
        <is>
          <t>IA-ST-CFG-0051</t>
        </is>
      </c>
      <c r="G1535" s="25" t="n">
        <v>31.6992</v>
      </c>
      <c r="H1535" s="25" t="inlineStr">
        <is>
          <t>988-pack GENERATED</t>
        </is>
      </c>
    </row>
    <row r="1536">
      <c r="A1536" s="25" t="inlineStr">
        <is>
          <t>1014682</t>
        </is>
      </c>
      <c r="B1536" s="25" t="inlineStr">
        <is>
          <t>AKÜ,A-IGYASMF,DK,135AH,İNCİFORMUL,SHDNEW</t>
        </is>
      </c>
      <c r="C1536" s="25" t="inlineStr">
        <is>
          <t>1</t>
        </is>
      </c>
      <c r="D1536" s="25" t="inlineStr">
        <is>
          <t>ST-030-STD-05</t>
        </is>
      </c>
      <c r="E1536" s="25" t="inlineStr">
        <is>
          <t>IA-ST-030-STD-05</t>
        </is>
      </c>
      <c r="F1536" s="25" t="inlineStr">
        <is>
          <t>IA-ST-CFG-0051</t>
        </is>
      </c>
      <c r="G1536" s="25" t="n">
        <v>31.6992</v>
      </c>
      <c r="H1536" s="25" t="inlineStr">
        <is>
          <t>988-pack GENERATED</t>
        </is>
      </c>
    </row>
    <row r="1537">
      <c r="A1537" s="25" t="inlineStr">
        <is>
          <t>1014683</t>
        </is>
      </c>
      <c r="B1537" s="25" t="inlineStr">
        <is>
          <t>AKÜ,B-IGYASMF,DK180AH,İNCİFORMULA,SHDNEW</t>
        </is>
      </c>
      <c r="C1537" s="25" t="inlineStr">
        <is>
          <t>1</t>
        </is>
      </c>
      <c r="D1537" s="25" t="inlineStr">
        <is>
          <t>ST-030-STD-06</t>
        </is>
      </c>
      <c r="E1537" s="25" t="inlineStr">
        <is>
          <t>IA-ST-030-STD-06</t>
        </is>
      </c>
      <c r="F1537" s="25" t="inlineStr">
        <is>
          <t>IA-ST-CFG-0052</t>
        </is>
      </c>
      <c r="G1537" s="25" t="n">
        <v>32.3892</v>
      </c>
      <c r="H1537" s="25" t="inlineStr">
        <is>
          <t>988-pack GENERATED</t>
        </is>
      </c>
    </row>
    <row r="1538">
      <c r="A1538" s="25" t="inlineStr">
        <is>
          <t>1014685</t>
        </is>
      </c>
      <c r="B1538" s="25" t="inlineStr">
        <is>
          <t>AKÜ,C-FLAT,DK,230AH,ENERGY MAX,EURO</t>
        </is>
      </c>
      <c r="C1538" s="25" t="inlineStr">
        <is>
          <t>1</t>
        </is>
      </c>
      <c r="D1538" s="25" t="inlineStr">
        <is>
          <t>ST-018-EUR-03</t>
        </is>
      </c>
      <c r="E1538" s="25" t="inlineStr">
        <is>
          <t>IA-ST-018-EUR-03</t>
        </is>
      </c>
      <c r="F1538" s="25" t="inlineStr">
        <is>
          <t>IA-ST-CFG-0014</t>
        </is>
      </c>
      <c r="G1538" s="25" t="n">
        <v>30.9872</v>
      </c>
      <c r="H1538" s="25" t="inlineStr">
        <is>
          <t>988-pack GENERATED</t>
        </is>
      </c>
    </row>
    <row r="1539">
      <c r="A1539" s="25" t="inlineStr">
        <is>
          <t>1014686</t>
        </is>
      </c>
      <c r="B1539" s="25" t="inlineStr">
        <is>
          <t>AKÜ,B-FLAT,DK,180AH,ENERGY MAX,EURO</t>
        </is>
      </c>
      <c r="C1539" s="25" t="inlineStr">
        <is>
          <t>1</t>
        </is>
      </c>
      <c r="D1539" s="25" t="inlineStr">
        <is>
          <t>ST-021-EUR-03</t>
        </is>
      </c>
      <c r="E1539" s="25" t="inlineStr">
        <is>
          <t>IA-ST-021-EUR-03</t>
        </is>
      </c>
      <c r="F1539" s="25" t="inlineStr">
        <is>
          <t>IA-ST-CFG-0029</t>
        </is>
      </c>
      <c r="G1539" s="25" t="n">
        <v>30.7682</v>
      </c>
      <c r="H1539" s="25" t="inlineStr">
        <is>
          <t>988-pack GENERATED</t>
        </is>
      </c>
    </row>
    <row r="1540">
      <c r="A1540" s="25" t="inlineStr">
        <is>
          <t>1014687</t>
        </is>
      </c>
      <c r="B1540" s="25" t="inlineStr">
        <is>
          <t>AKÜ,A-FLAT,DK,135AH,ENERGY MAX,EURO</t>
        </is>
      </c>
      <c r="C1540" s="25" t="inlineStr">
        <is>
          <t>1</t>
        </is>
      </c>
      <c r="D1540" s="25" t="inlineStr">
        <is>
          <t>ST-024-EUR-04</t>
        </is>
      </c>
      <c r="E1540" s="25" t="inlineStr">
        <is>
          <t>IA-ST-024-EUR-04</t>
        </is>
      </c>
      <c r="F1540" s="25" t="inlineStr">
        <is>
          <t>IA-ST-CFG-0039</t>
        </is>
      </c>
      <c r="G1540" s="25" t="n">
        <v>30.6632</v>
      </c>
      <c r="H1540" s="25" t="inlineStr">
        <is>
          <t>988-pack GENERATED</t>
        </is>
      </c>
    </row>
    <row r="1541">
      <c r="A1541" s="25" t="inlineStr">
        <is>
          <t>1014688</t>
        </is>
      </c>
      <c r="B1541" s="25" t="inlineStr">
        <is>
          <t>AKÜ,L3,DK,75AH,IGYA SMF,ENERGY MAX,EURO</t>
        </is>
      </c>
      <c r="C1541" s="25" t="inlineStr">
        <is>
          <t>1</t>
        </is>
      </c>
      <c r="D1541" s="25" t="inlineStr">
        <is>
          <t>ST-068-EUR-03</t>
        </is>
      </c>
      <c r="E1541" s="25" t="inlineStr">
        <is>
          <t>IA-ST-068-EUR-03</t>
        </is>
      </c>
      <c r="F1541" s="25" t="inlineStr">
        <is>
          <t>IA-ST-CFG-0200</t>
        </is>
      </c>
      <c r="G1541" s="25" t="n">
        <v>30.0842</v>
      </c>
      <c r="H1541" s="25" t="inlineStr">
        <is>
          <t>988-pack GENERATED</t>
        </is>
      </c>
    </row>
    <row r="1542">
      <c r="A1542" s="25" t="inlineStr">
        <is>
          <t>1014689</t>
        </is>
      </c>
      <c r="B1542" s="25" t="inlineStr">
        <is>
          <t>AKÜ,L2,DK,60AH,IGYA SMF,ENERGY MAX,EURO</t>
        </is>
      </c>
      <c r="C1542" s="25" t="inlineStr">
        <is>
          <t>1</t>
        </is>
      </c>
      <c r="D1542" s="25" t="inlineStr">
        <is>
          <t>ST-076-EUR-03</t>
        </is>
      </c>
      <c r="E1542" s="25" t="inlineStr">
        <is>
          <t>IA-ST-076-EUR-03</t>
        </is>
      </c>
      <c r="F1542" s="25" t="inlineStr">
        <is>
          <t>IA-ST-CFG-0240</t>
        </is>
      </c>
      <c r="G1542" s="25" t="n">
        <v>30.7272</v>
      </c>
      <c r="H1542" s="25" t="inlineStr">
        <is>
          <t>988-pack GENERATED</t>
        </is>
      </c>
    </row>
    <row r="1543">
      <c r="A1543" s="25" t="inlineStr">
        <is>
          <t>1014690</t>
        </is>
      </c>
      <c r="B1543" s="25" t="inlineStr">
        <is>
          <t>AKÜ,TRACTORL,DK,105AH,BLIZ.TRENDLIN,EUR0</t>
        </is>
      </c>
      <c r="C1543" s="25" t="inlineStr">
        <is>
          <t>1</t>
        </is>
      </c>
      <c r="D1543" s="25" t="inlineStr">
        <is>
          <t>ST-036-EUR-05</t>
        </is>
      </c>
      <c r="E1543" s="25" t="inlineStr">
        <is>
          <t>IA-ST-036-EUR-05</t>
        </is>
      </c>
      <c r="F1543" s="25" t="inlineStr">
        <is>
          <t>IA-ST-CFG-0070</t>
        </is>
      </c>
      <c r="G1543" s="25" t="n">
        <v>31.98368</v>
      </c>
      <c r="H1543" s="25" t="inlineStr">
        <is>
          <t>988-pack GENERATED</t>
        </is>
      </c>
    </row>
    <row r="1544">
      <c r="A1544" s="25" t="inlineStr">
        <is>
          <t>1014691</t>
        </is>
      </c>
      <c r="B1544" s="25" t="inlineStr">
        <is>
          <t>AKÜ,LB2,DK,60AH,IGYA,BOOSTER,TÜRKMENİSTN</t>
        </is>
      </c>
      <c r="C1544" s="25" t="inlineStr">
        <is>
          <t>1</t>
        </is>
      </c>
      <c r="D1544" s="25" t="inlineStr">
        <is>
          <t>ST-072-STD-13</t>
        </is>
      </c>
      <c r="E1544" s="25" t="inlineStr">
        <is>
          <t>IA-ST-072-STD-13</t>
        </is>
      </c>
      <c r="F1544" s="25" t="inlineStr">
        <is>
          <t>IA-ST-CFG-0222</t>
        </is>
      </c>
      <c r="G1544" s="25" t="n">
        <v>30.6552</v>
      </c>
      <c r="H1544" s="25" t="inlineStr">
        <is>
          <t>988-pack GENERATED</t>
        </is>
      </c>
    </row>
    <row r="1545">
      <c r="A1545" s="25" t="inlineStr">
        <is>
          <t>1014692</t>
        </is>
      </c>
      <c r="B1545" s="25" t="inlineStr">
        <is>
          <t>AKÜ,L2,DK,60AH,IGYA,EASACTIVA,TÜRKMENSTN</t>
        </is>
      </c>
      <c r="C1545" s="25" t="inlineStr">
        <is>
          <t>1</t>
        </is>
      </c>
      <c r="D1545" s="25" t="inlineStr">
        <is>
          <t>ST-072-STD-13</t>
        </is>
      </c>
      <c r="E1545" s="25" t="inlineStr">
        <is>
          <t>IA-ST-072-STD-13</t>
        </is>
      </c>
      <c r="F1545" s="25" t="inlineStr">
        <is>
          <t>IA-ST-CFG-0222</t>
        </is>
      </c>
      <c r="G1545" s="25" t="n">
        <v>30.6552</v>
      </c>
      <c r="H1545" s="25" t="inlineStr">
        <is>
          <t>988-pack GENERATED</t>
        </is>
      </c>
    </row>
    <row r="1546">
      <c r="A1546" s="25" t="inlineStr">
        <is>
          <t>1014693</t>
        </is>
      </c>
      <c r="B1546" s="25" t="inlineStr">
        <is>
          <t>AKÜ,L3,DK,75AH,IGYA,EASACTIVA,TÜRKMENSTN</t>
        </is>
      </c>
      <c r="C1546" s="25" t="inlineStr">
        <is>
          <t>1</t>
        </is>
      </c>
      <c r="D1546" s="25" t="inlineStr">
        <is>
          <t>ST-063-STD-08</t>
        </is>
      </c>
      <c r="E1546" s="25" t="inlineStr">
        <is>
          <t>IA-ST-063-STD-08</t>
        </is>
      </c>
      <c r="F1546" s="25" t="inlineStr">
        <is>
          <t>IA-ST-CFG-0179</t>
        </is>
      </c>
      <c r="G1546" s="25" t="n">
        <v>29.9992</v>
      </c>
      <c r="H1546" s="25" t="inlineStr">
        <is>
          <t>988-pack GENERATED</t>
        </is>
      </c>
    </row>
    <row r="1547">
      <c r="A1547" s="25" t="inlineStr">
        <is>
          <t>1014694</t>
        </is>
      </c>
      <c r="B1547" s="25" t="inlineStr">
        <is>
          <t>AKÜ,L3,DK,75AH,IGYA,İNCİFORML,TÜRKMENSTN</t>
        </is>
      </c>
      <c r="C1547" s="25" t="inlineStr">
        <is>
          <t>1</t>
        </is>
      </c>
      <c r="D1547" s="25" t="inlineStr">
        <is>
          <t>ST-063-STD-08</t>
        </is>
      </c>
      <c r="E1547" s="25" t="inlineStr">
        <is>
          <t>IA-ST-063-STD-08</t>
        </is>
      </c>
      <c r="F1547" s="25" t="inlineStr">
        <is>
          <t>IA-ST-CFG-0179</t>
        </is>
      </c>
      <c r="G1547" s="25" t="n">
        <v>29.9992</v>
      </c>
      <c r="H1547" s="25" t="inlineStr">
        <is>
          <t>988-pack GENERATED</t>
        </is>
      </c>
    </row>
    <row r="1548">
      <c r="A1548" s="25" t="inlineStr">
        <is>
          <t>1014695</t>
        </is>
      </c>
      <c r="B1548" s="25" t="inlineStr">
        <is>
          <t>AKÜ,L2,DK,60AH,IGYA,İNCİFORML,TÜRKMENSTN</t>
        </is>
      </c>
      <c r="C1548" s="25" t="inlineStr">
        <is>
          <t>1</t>
        </is>
      </c>
      <c r="D1548" s="25" t="inlineStr">
        <is>
          <t>ST-072-STD-13</t>
        </is>
      </c>
      <c r="E1548" s="25" t="inlineStr">
        <is>
          <t>IA-ST-072-STD-13</t>
        </is>
      </c>
      <c r="F1548" s="25" t="inlineStr">
        <is>
          <t>IA-ST-CFG-0222</t>
        </is>
      </c>
      <c r="G1548" s="25" t="n">
        <v>30.6552</v>
      </c>
      <c r="H1548" s="25" t="inlineStr">
        <is>
          <t>988-pack GENERATED</t>
        </is>
      </c>
    </row>
    <row r="1549">
      <c r="A1549" s="25" t="inlineStr">
        <is>
          <t>1014696</t>
        </is>
      </c>
      <c r="B1549" s="25" t="inlineStr">
        <is>
          <t>AKÜ,L2,DK,62AH,IGYA,HUGELULTRA,TÜRKMNSTN</t>
        </is>
      </c>
      <c r="C1549" s="25" t="inlineStr">
        <is>
          <t>1</t>
        </is>
      </c>
      <c r="D1549" s="25" t="inlineStr">
        <is>
          <t>ST-072-STD-13</t>
        </is>
      </c>
      <c r="E1549" s="25" t="inlineStr">
        <is>
          <t>IA-ST-072-STD-13</t>
        </is>
      </c>
      <c r="F1549" s="25" t="inlineStr">
        <is>
          <t>IA-ST-CFG-0222</t>
        </is>
      </c>
      <c r="G1549" s="25" t="n">
        <v>30.6552</v>
      </c>
      <c r="H1549" s="25" t="inlineStr">
        <is>
          <t>988-pack GENERATED</t>
        </is>
      </c>
    </row>
    <row r="1550">
      <c r="A1550" s="25" t="inlineStr">
        <is>
          <t>1014697</t>
        </is>
      </c>
      <c r="B1550" s="25" t="inlineStr">
        <is>
          <t>AKÜ,L3,DK,75AH,IGYA,HUGELULTRA,TÜRKMNSTN</t>
        </is>
      </c>
      <c r="C1550" s="25" t="inlineStr">
        <is>
          <t>1</t>
        </is>
      </c>
      <c r="D1550" s="25" t="inlineStr">
        <is>
          <t>ST-063-STD-08</t>
        </is>
      </c>
      <c r="E1550" s="25" t="inlineStr">
        <is>
          <t>IA-ST-063-STD-08</t>
        </is>
      </c>
      <c r="F1550" s="25" t="inlineStr">
        <is>
          <t>IA-ST-CFG-0179</t>
        </is>
      </c>
      <c r="G1550" s="25" t="n">
        <v>29.9992</v>
      </c>
      <c r="H1550" s="25" t="inlineStr">
        <is>
          <t>988-pack GENERATED</t>
        </is>
      </c>
    </row>
    <row r="1551">
      <c r="A1551" s="25" t="inlineStr">
        <is>
          <t>1014698</t>
        </is>
      </c>
      <c r="B1551" s="25" t="inlineStr">
        <is>
          <t>AKÜ,D26,DK,75AH,IGYA,HUGELULTRA,TÜRKMNST</t>
        </is>
      </c>
      <c r="C1551" s="25" t="inlineStr">
        <is>
          <t>1</t>
        </is>
      </c>
      <c r="D1551" s="25" t="inlineStr">
        <is>
          <t>ST-063-STD-04</t>
        </is>
      </c>
      <c r="E1551" s="25" t="inlineStr">
        <is>
          <t>IA-ST-063-STD-04</t>
        </is>
      </c>
      <c r="F1551" s="25" t="inlineStr">
        <is>
          <t>IA-ST-CFG-0175</t>
        </is>
      </c>
      <c r="G1551" s="25" t="n">
        <v>34.1512</v>
      </c>
      <c r="H1551" s="25" t="inlineStr">
        <is>
          <t>988-pack GENERATED</t>
        </is>
      </c>
    </row>
    <row r="1552">
      <c r="A1552" s="25" t="inlineStr">
        <is>
          <t>1014699</t>
        </is>
      </c>
      <c r="B1552" s="25" t="inlineStr">
        <is>
          <t>AKÜ,L3,DK,75AH,IGYASMF,HI-TECH,TÜRKMNSTN</t>
        </is>
      </c>
      <c r="C1552" s="25" t="inlineStr">
        <is>
          <t>1</t>
        </is>
      </c>
      <c r="D1552" s="25" t="inlineStr">
        <is>
          <t>ST-063-STD-08</t>
        </is>
      </c>
      <c r="E1552" s="25" t="inlineStr">
        <is>
          <t>IA-ST-063-STD-08</t>
        </is>
      </c>
      <c r="F1552" s="25" t="inlineStr">
        <is>
          <t>IA-ST-CFG-0179</t>
        </is>
      </c>
      <c r="G1552" s="25" t="n">
        <v>29.9992</v>
      </c>
      <c r="H1552" s="25" t="inlineStr">
        <is>
          <t>988-pack GENERATED</t>
        </is>
      </c>
    </row>
    <row r="1553">
      <c r="A1553" s="25" t="inlineStr">
        <is>
          <t>1014700</t>
        </is>
      </c>
      <c r="B1553" s="25" t="inlineStr">
        <is>
          <t>AKÜ,LB2,DK,60AH,IGYA,HI-TECH,TÜRKMENİSTN</t>
        </is>
      </c>
      <c r="C1553" s="25" t="inlineStr">
        <is>
          <t>1</t>
        </is>
      </c>
      <c r="D1553" s="25" t="inlineStr">
        <is>
          <t>ST-072-STD-13</t>
        </is>
      </c>
      <c r="E1553" s="25" t="inlineStr">
        <is>
          <t>IA-ST-072-STD-13</t>
        </is>
      </c>
      <c r="F1553" s="25" t="inlineStr">
        <is>
          <t>IA-ST-CFG-0222</t>
        </is>
      </c>
      <c r="G1553" s="25" t="n">
        <v>30.6552</v>
      </c>
      <c r="H1553" s="25" t="inlineStr">
        <is>
          <t>988-pack GENERATED</t>
        </is>
      </c>
    </row>
    <row r="1554">
      <c r="A1554" s="25" t="inlineStr">
        <is>
          <t>1014701</t>
        </is>
      </c>
      <c r="B1554" s="25" t="inlineStr">
        <is>
          <t>AKÜ,LB2,DK,60AH,IGYA,ELECTRA,TÜRKMENİSTN</t>
        </is>
      </c>
      <c r="C1554" s="25" t="inlineStr">
        <is>
          <t>1</t>
        </is>
      </c>
      <c r="D1554" s="25" t="inlineStr">
        <is>
          <t>ST-072-STD-13</t>
        </is>
      </c>
      <c r="E1554" s="25" t="inlineStr">
        <is>
          <t>IA-ST-072-STD-13</t>
        </is>
      </c>
      <c r="F1554" s="25" t="inlineStr">
        <is>
          <t>IA-ST-CFG-0222</t>
        </is>
      </c>
      <c r="G1554" s="25" t="n">
        <v>30.6552</v>
      </c>
      <c r="H1554" s="25" t="inlineStr">
        <is>
          <t>988-pack GENERATED</t>
        </is>
      </c>
    </row>
    <row r="1555">
      <c r="A1555" s="25" t="inlineStr">
        <is>
          <t>1014708</t>
        </is>
      </c>
      <c r="B1555" s="25" t="inlineStr">
        <is>
          <t>AKÜ,L1,DK,44AH,IGYA,İNCİ FORM TAURS,EURO</t>
        </is>
      </c>
      <c r="C1555" s="25" t="inlineStr">
        <is>
          <t>1</t>
        </is>
      </c>
      <c r="D1555" s="25" t="inlineStr">
        <is>
          <t>ST-096-EUR-03</t>
        </is>
      </c>
      <c r="E1555" s="25" t="inlineStr">
        <is>
          <t>IA-ST-096-EUR-03</t>
        </is>
      </c>
      <c r="F1555" s="25" t="inlineStr">
        <is>
          <t>IA-ST-CFG-0266</t>
        </is>
      </c>
      <c r="G1555" s="25" t="n">
        <v>31.2262</v>
      </c>
      <c r="H1555" s="25" t="inlineStr">
        <is>
          <t>988-pack GENERATED</t>
        </is>
      </c>
    </row>
    <row r="1556">
      <c r="A1556" s="25" t="inlineStr">
        <is>
          <t>1014709</t>
        </is>
      </c>
      <c r="B1556" s="25" t="inlineStr">
        <is>
          <t>AKÜ,L3,DK,75AH,IGYA,ENERGYMAX,TÜRKMENSTN</t>
        </is>
      </c>
      <c r="C1556" s="25" t="inlineStr">
        <is>
          <t>1</t>
        </is>
      </c>
      <c r="D1556" s="25" t="inlineStr">
        <is>
          <t>ST-063-STD-08</t>
        </is>
      </c>
      <c r="E1556" s="25" t="inlineStr">
        <is>
          <t>IA-ST-063-STD-08</t>
        </is>
      </c>
      <c r="F1556" s="25" t="inlineStr">
        <is>
          <t>IA-ST-CFG-0179</t>
        </is>
      </c>
      <c r="G1556" s="25" t="n">
        <v>29.9992</v>
      </c>
      <c r="H1556" s="25" t="inlineStr">
        <is>
          <t>988-pack GENERATED</t>
        </is>
      </c>
    </row>
    <row r="1557">
      <c r="A1557" s="25" t="inlineStr">
        <is>
          <t>1014710</t>
        </is>
      </c>
      <c r="B1557" s="25" t="inlineStr">
        <is>
          <t>AKÜ,C-FLAT,DK,225AH,HUGEL ACTION,POLONYA</t>
        </is>
      </c>
      <c r="C1557" s="25" t="inlineStr">
        <is>
          <t>1</t>
        </is>
      </c>
      <c r="D1557" s="25" t="inlineStr">
        <is>
          <t>ST-018-EUR-02</t>
        </is>
      </c>
      <c r="E1557" s="25" t="inlineStr">
        <is>
          <t>IA-ST-018-EUR-02</t>
        </is>
      </c>
      <c r="F1557" s="25" t="inlineStr">
        <is>
          <t>IA-ST-CFG-0013</t>
        </is>
      </c>
      <c r="G1557" s="25" t="n">
        <v>30.194</v>
      </c>
      <c r="H1557" s="25" t="inlineStr">
        <is>
          <t>988-pack GENERATED</t>
        </is>
      </c>
    </row>
    <row r="1558">
      <c r="A1558" s="25" t="inlineStr">
        <is>
          <t>1014711</t>
        </is>
      </c>
      <c r="B1558" s="25" t="inlineStr">
        <is>
          <t>AKÜ,B-FLAT,DK,180AH,HUGEL ACTION,POLONYA</t>
        </is>
      </c>
      <c r="C1558" s="25" t="inlineStr">
        <is>
          <t>1</t>
        </is>
      </c>
      <c r="D1558" s="25" t="inlineStr">
        <is>
          <t>ST-021-EUR-02</t>
        </is>
      </c>
      <c r="E1558" s="25" t="inlineStr">
        <is>
          <t>IA-ST-021-EUR-02</t>
        </is>
      </c>
      <c r="F1558" s="25" t="inlineStr">
        <is>
          <t>IA-ST-CFG-0028</t>
        </is>
      </c>
      <c r="G1558" s="25" t="n">
        <v>29.9</v>
      </c>
      <c r="H1558" s="25" t="inlineStr">
        <is>
          <t>988-pack GENERATED</t>
        </is>
      </c>
    </row>
    <row r="1559">
      <c r="A1559" s="25" t="inlineStr">
        <is>
          <t>1014712</t>
        </is>
      </c>
      <c r="B1559" s="25" t="inlineStr">
        <is>
          <t>AKÜ,D31,DK,100AH,IGYA,BPOWERSUPR,POLONYA</t>
        </is>
      </c>
      <c r="C1559" s="25" t="inlineStr">
        <is>
          <t>1</t>
        </is>
      </c>
      <c r="D1559" s="25" t="inlineStr">
        <is>
          <t>ST-048-EUR-06</t>
        </is>
      </c>
      <c r="E1559" s="25" t="inlineStr">
        <is>
          <t>IA-ST-048-EUR-06</t>
        </is>
      </c>
      <c r="F1559" s="25" t="inlineStr">
        <is>
          <t>IA-ST-CFG-0112</t>
        </is>
      </c>
      <c r="G1559" s="25" t="n">
        <v>27.506</v>
      </c>
      <c r="H1559" s="25" t="inlineStr">
        <is>
          <t>988-pack GENERATED</t>
        </is>
      </c>
    </row>
    <row r="1560">
      <c r="A1560" s="25" t="inlineStr">
        <is>
          <t>1014713</t>
        </is>
      </c>
      <c r="B1560" s="25" t="inlineStr">
        <is>
          <t>AKÜ,D31,TK,100AH,IGYA,BPOWERSUPR,POLONYA</t>
        </is>
      </c>
      <c r="C1560" s="25" t="inlineStr">
        <is>
          <t>1</t>
        </is>
      </c>
      <c r="D1560" s="25" t="inlineStr">
        <is>
          <t>ST-048-EUR-06</t>
        </is>
      </c>
      <c r="E1560" s="25" t="inlineStr">
        <is>
          <t>IA-ST-048-EUR-06</t>
        </is>
      </c>
      <c r="F1560" s="25" t="inlineStr">
        <is>
          <t>IA-ST-CFG-0112</t>
        </is>
      </c>
      <c r="G1560" s="25" t="n">
        <v>27.506</v>
      </c>
      <c r="H1560" s="25" t="inlineStr">
        <is>
          <t>988-pack GENERATED</t>
        </is>
      </c>
    </row>
    <row r="1561">
      <c r="A1561" s="25" t="inlineStr">
        <is>
          <t>1014714</t>
        </is>
      </c>
      <c r="B1561" s="25" t="inlineStr">
        <is>
          <t>AKÜ,D26,DK,80AH,IGYA,BPOWER SUPR,POLONYA</t>
        </is>
      </c>
      <c r="C1561" s="25" t="inlineStr">
        <is>
          <t>1</t>
        </is>
      </c>
      <c r="D1561" s="25" t="inlineStr">
        <is>
          <t>ST-057-EUR-02</t>
        </is>
      </c>
      <c r="E1561" s="25" t="inlineStr">
        <is>
          <t>IA-ST-057-EUR-02</t>
        </is>
      </c>
      <c r="F1561" s="25" t="inlineStr">
        <is>
          <t>IA-ST-CFG-0161</t>
        </is>
      </c>
      <c r="G1561" s="25" t="n">
        <v>27.506</v>
      </c>
      <c r="H1561" s="25" t="inlineStr">
        <is>
          <t>988-pack GENERATED</t>
        </is>
      </c>
    </row>
    <row r="1562">
      <c r="A1562" s="25" t="inlineStr">
        <is>
          <t>1014715</t>
        </is>
      </c>
      <c r="B1562" s="25" t="inlineStr">
        <is>
          <t>AKÜ,D23,DK,65AH,IGYA,BPOWER SUPR,POLONYA</t>
        </is>
      </c>
      <c r="C1562" s="25" t="inlineStr">
        <is>
          <t>1</t>
        </is>
      </c>
      <c r="D1562" s="25" t="inlineStr">
        <is>
          <t>ST-063-EUR-02</t>
        </is>
      </c>
      <c r="E1562" s="25" t="inlineStr">
        <is>
          <t>IA-ST-063-EUR-02</t>
        </is>
      </c>
      <c r="F1562" s="25" t="inlineStr">
        <is>
          <t>IA-ST-CFG-0189</t>
        </is>
      </c>
      <c r="G1562" s="25" t="n">
        <v>27.506</v>
      </c>
      <c r="H1562" s="25" t="inlineStr">
        <is>
          <t>988-pack GENERATED</t>
        </is>
      </c>
    </row>
    <row r="1563">
      <c r="A1563" s="25" t="inlineStr">
        <is>
          <t>1014716</t>
        </is>
      </c>
      <c r="B1563" s="25" t="inlineStr">
        <is>
          <t>AKÜ,D23,TK,65AH,IGYA,BPOWER SUPR,POLONYA</t>
        </is>
      </c>
      <c r="C1563" s="25" t="inlineStr">
        <is>
          <t>1</t>
        </is>
      </c>
      <c r="D1563" s="25" t="inlineStr">
        <is>
          <t>ST-063-EUR-02</t>
        </is>
      </c>
      <c r="E1563" s="25" t="inlineStr">
        <is>
          <t>IA-ST-063-EUR-02</t>
        </is>
      </c>
      <c r="F1563" s="25" t="inlineStr">
        <is>
          <t>IA-ST-CFG-0189</t>
        </is>
      </c>
      <c r="G1563" s="25" t="n">
        <v>27.506</v>
      </c>
      <c r="H1563" s="25" t="inlineStr">
        <is>
          <t>988-pack GENERATED</t>
        </is>
      </c>
    </row>
    <row r="1564">
      <c r="A1564" s="25" t="inlineStr">
        <is>
          <t>1014718</t>
        </is>
      </c>
      <c r="B1564" s="25" t="inlineStr">
        <is>
          <t>AKÜ AGM,L3,DK,70AH,EAS AGM S&amp;S,ATWAN</t>
        </is>
      </c>
      <c r="C1564" s="25" t="inlineStr">
        <is>
          <t>1</t>
        </is>
      </c>
      <c r="D1564" s="25" t="inlineStr">
        <is>
          <t>ST-063-STD-08</t>
        </is>
      </c>
      <c r="E1564" s="25" t="inlineStr">
        <is>
          <t>IA-ST-063-STD-08</t>
        </is>
      </c>
      <c r="F1564" s="25" t="inlineStr">
        <is>
          <t>IA-ST-CFG-0179</t>
        </is>
      </c>
      <c r="G1564" s="25" t="n">
        <v>29.9992</v>
      </c>
      <c r="H1564" s="25" t="inlineStr">
        <is>
          <t>988-pack GENERATED</t>
        </is>
      </c>
    </row>
    <row r="1565">
      <c r="A1565" s="25" t="inlineStr">
        <is>
          <t>1014721</t>
        </is>
      </c>
      <c r="B1565" s="25" t="inlineStr">
        <is>
          <t>AKÜ,L1,DK,45AH,IGYA SMF,NO NAME</t>
        </is>
      </c>
      <c r="C1565" s="25" t="inlineStr">
        <is>
          <t>1</t>
        </is>
      </c>
      <c r="D1565" s="25" t="inlineStr">
        <is>
          <t>ST-087-STD-01</t>
        </is>
      </c>
      <c r="E1565" s="25" t="inlineStr">
        <is>
          <t>IA-ST-087-STD-01</t>
        </is>
      </c>
      <c r="F1565" s="25" t="inlineStr">
        <is>
          <t>IA-ST-CFG-0246</t>
        </is>
      </c>
      <c r="G1565" s="25" t="n">
        <v>28.1392</v>
      </c>
      <c r="H1565" s="25" t="inlineStr">
        <is>
          <t>988-pack GENERATED</t>
        </is>
      </c>
    </row>
    <row r="1566">
      <c r="A1566" s="25" t="inlineStr">
        <is>
          <t>1014724</t>
        </is>
      </c>
      <c r="B1566" s="25" t="inlineStr">
        <is>
          <t>AKÜ,L5,DK,88AH,IGYA SMF,NO NAME</t>
        </is>
      </c>
      <c r="C1566" s="25" t="inlineStr">
        <is>
          <t>1</t>
        </is>
      </c>
      <c r="D1566" s="25" t="inlineStr">
        <is>
          <t>ST-045-STD-06</t>
        </is>
      </c>
      <c r="E1566" s="25" t="inlineStr">
        <is>
          <t>IA-ST-045-STD-06</t>
        </is>
      </c>
      <c r="F1566" s="25" t="inlineStr">
        <is>
          <t>IA-ST-CFG-0094</t>
        </is>
      </c>
      <c r="G1566" s="25" t="n">
        <v>27.9192</v>
      </c>
      <c r="H1566" s="25" t="inlineStr">
        <is>
          <t>988-pack GENERATED</t>
        </is>
      </c>
    </row>
    <row r="1567">
      <c r="A1567" s="25" t="inlineStr">
        <is>
          <t>1014726</t>
        </is>
      </c>
      <c r="B1567" s="25" t="inlineStr">
        <is>
          <t>AKÜ,C-IGYASMF,DK,225AH,NO NAME</t>
        </is>
      </c>
      <c r="C1567" s="25" t="inlineStr">
        <is>
          <t>1</t>
        </is>
      </c>
      <c r="D1567" s="25" t="inlineStr">
        <is>
          <t>ST-024-STD-01</t>
        </is>
      </c>
      <c r="E1567" s="25" t="inlineStr">
        <is>
          <t>IA-ST-024-STD-01</t>
        </is>
      </c>
      <c r="F1567" s="25" t="inlineStr">
        <is>
          <t>IA-ST-CFG-0034</t>
        </is>
      </c>
      <c r="G1567" s="25" t="n">
        <v>31.23</v>
      </c>
      <c r="H1567" s="25" t="inlineStr">
        <is>
          <t>988-pack GENERATED</t>
        </is>
      </c>
    </row>
    <row r="1568">
      <c r="A1568" s="25" t="inlineStr">
        <is>
          <t>1014727</t>
        </is>
      </c>
      <c r="B1568" s="25" t="inlineStr">
        <is>
          <t>AKÜ,A-IGYASMF,DK,140AH,NO NAME</t>
        </is>
      </c>
      <c r="C1568" s="25" t="inlineStr">
        <is>
          <t>1</t>
        </is>
      </c>
      <c r="D1568" s="25" t="inlineStr">
        <is>
          <t>ST-030-STD-04</t>
        </is>
      </c>
      <c r="E1568" s="25" t="inlineStr">
        <is>
          <t>IA-ST-030-STD-04</t>
        </is>
      </c>
      <c r="F1568" s="25" t="inlineStr">
        <is>
          <t>IA-ST-CFG-0049</t>
        </is>
      </c>
      <c r="G1568" s="25" t="n">
        <v>30.336</v>
      </c>
      <c r="H1568" s="25" t="inlineStr">
        <is>
          <t>988-pack GENERATED</t>
        </is>
      </c>
    </row>
    <row r="1569">
      <c r="A1569" s="25" t="inlineStr">
        <is>
          <t>1014729</t>
        </is>
      </c>
      <c r="B1569" s="25" t="inlineStr">
        <is>
          <t>AKÜ,D31,DK,105AH,IGYA,BLIZZAROSILVERLINE</t>
        </is>
      </c>
      <c r="C1569" s="25" t="inlineStr">
        <is>
          <t>1</t>
        </is>
      </c>
      <c r="D1569" s="25" t="inlineStr">
        <is>
          <t>ST-054-STD-07</t>
        </is>
      </c>
      <c r="E1569" s="25" t="inlineStr">
        <is>
          <t>IA-ST-054-STD-07</t>
        </is>
      </c>
      <c r="F1569" s="25" t="inlineStr">
        <is>
          <t>IA-ST-CFG-0143</t>
        </is>
      </c>
      <c r="G1569" s="25" t="n">
        <v>33.7838</v>
      </c>
      <c r="H1569" s="25" t="inlineStr">
        <is>
          <t>988-pack GENERATED</t>
        </is>
      </c>
    </row>
    <row r="1570">
      <c r="A1570" s="25" t="inlineStr">
        <is>
          <t>1014731</t>
        </is>
      </c>
      <c r="B1570" s="25" t="inlineStr">
        <is>
          <t>AKÜ,C-IGYASMF,DK,250AH,İNCİMAXIMASHAWKAT</t>
        </is>
      </c>
      <c r="C1570" s="25" t="inlineStr">
        <is>
          <t>1</t>
        </is>
      </c>
      <c r="D1570" s="25" t="inlineStr">
        <is>
          <t>ST-021-STD-03</t>
        </is>
      </c>
      <c r="E1570" s="25" t="inlineStr">
        <is>
          <t>IA-ST-021-STD-03</t>
        </is>
      </c>
      <c r="F1570" s="25" t="inlineStr">
        <is>
          <t>IA-ST-CFG-0023</t>
        </is>
      </c>
      <c r="G1570" s="25" t="n">
        <v>31.8252</v>
      </c>
      <c r="H1570" s="25" t="inlineStr">
        <is>
          <t>988-pack GENERATED</t>
        </is>
      </c>
    </row>
    <row r="1571">
      <c r="A1571" s="25" t="inlineStr">
        <is>
          <t>1014736</t>
        </is>
      </c>
      <c r="B1571" s="25" t="inlineStr">
        <is>
          <t>AKÜ,B-FLAT,DK190AH,PILOTPERFR,TÜRKMENSTN</t>
        </is>
      </c>
      <c r="C1571" s="25" t="inlineStr">
        <is>
          <t>1</t>
        </is>
      </c>
      <c r="D1571" s="25" t="inlineStr">
        <is>
          <t>ST-030-STD-06</t>
        </is>
      </c>
      <c r="E1571" s="25" t="inlineStr">
        <is>
          <t>IA-ST-030-STD-06</t>
        </is>
      </c>
      <c r="F1571" s="25" t="inlineStr">
        <is>
          <t>IA-ST-CFG-0052</t>
        </is>
      </c>
      <c r="G1571" s="25" t="n">
        <v>32.3892</v>
      </c>
      <c r="H1571" s="25" t="inlineStr">
        <is>
          <t>988-pack GENERATED</t>
        </is>
      </c>
    </row>
    <row r="1572">
      <c r="A1572" s="25" t="inlineStr">
        <is>
          <t>1014737</t>
        </is>
      </c>
      <c r="B1572" s="25" t="inlineStr">
        <is>
          <t>AKÜ,L5,DK100AH,IGYA,PILOTPERF,TÜRKMENSTN</t>
        </is>
      </c>
      <c r="C1572" s="25" t="inlineStr">
        <is>
          <t>1</t>
        </is>
      </c>
      <c r="D1572" s="25" t="inlineStr">
        <is>
          <t>ST-045-STD-08</t>
        </is>
      </c>
      <c r="E1572" s="25" t="inlineStr">
        <is>
          <t>IA-ST-045-STD-08</t>
        </is>
      </c>
      <c r="F1572" s="25" t="inlineStr">
        <is>
          <t>IA-ST-CFG-0096</t>
        </is>
      </c>
      <c r="G1572" s="25" t="n">
        <v>29.7192</v>
      </c>
      <c r="H1572" s="25" t="inlineStr">
        <is>
          <t>988-pack GENERATED</t>
        </is>
      </c>
    </row>
    <row r="1573">
      <c r="A1573" s="25" t="inlineStr">
        <is>
          <t>1014738</t>
        </is>
      </c>
      <c r="B1573" s="25" t="inlineStr">
        <is>
          <t>AKÜ,L3,DK75AH,IGYA,PILOTPERFR,TÜRKMENSTN</t>
        </is>
      </c>
      <c r="C1573" s="25" t="inlineStr">
        <is>
          <t>1</t>
        </is>
      </c>
      <c r="D1573" s="25" t="inlineStr">
        <is>
          <t>ST-063-STD-08</t>
        </is>
      </c>
      <c r="E1573" s="25" t="inlineStr">
        <is>
          <t>IA-ST-063-STD-08</t>
        </is>
      </c>
      <c r="F1573" s="25" t="inlineStr">
        <is>
          <t>IA-ST-CFG-0179</t>
        </is>
      </c>
      <c r="G1573" s="25" t="n">
        <v>29.9992</v>
      </c>
      <c r="H1573" s="25" t="inlineStr">
        <is>
          <t>988-pack GENERATED</t>
        </is>
      </c>
    </row>
    <row r="1574">
      <c r="A1574" s="25" t="inlineStr">
        <is>
          <t>1014739</t>
        </is>
      </c>
      <c r="B1574" s="25" t="inlineStr">
        <is>
          <t>AKÜ,L2,DK62AH,IGYA,PILOTPERFR,TÜRKMENSTN</t>
        </is>
      </c>
      <c r="C1574" s="25" t="inlineStr">
        <is>
          <t>1</t>
        </is>
      </c>
      <c r="D1574" s="25" t="inlineStr">
        <is>
          <t>ST-072-STD-13</t>
        </is>
      </c>
      <c r="E1574" s="25" t="inlineStr">
        <is>
          <t>IA-ST-072-STD-13</t>
        </is>
      </c>
      <c r="F1574" s="25" t="inlineStr">
        <is>
          <t>IA-ST-CFG-0222</t>
        </is>
      </c>
      <c r="G1574" s="25" t="n">
        <v>30.6552</v>
      </c>
      <c r="H1574" s="25" t="inlineStr">
        <is>
          <t>988-pack GENERATED</t>
        </is>
      </c>
    </row>
    <row r="1575">
      <c r="A1575" s="25" t="inlineStr">
        <is>
          <t>1014740</t>
        </is>
      </c>
      <c r="B1575" s="25" t="inlineStr">
        <is>
          <t>AKÜ,L3,DK,84AH,IGYA,MF58513,RACERPOWER</t>
        </is>
      </c>
      <c r="C1575" s="25" t="inlineStr">
        <is>
          <t>1</t>
        </is>
      </c>
      <c r="D1575" s="25" t="inlineStr">
        <is>
          <t>ST-063-STD-08</t>
        </is>
      </c>
      <c r="E1575" s="25" t="inlineStr">
        <is>
          <t>IA-ST-063-STD-08</t>
        </is>
      </c>
      <c r="F1575" s="25" t="inlineStr">
        <is>
          <t>IA-ST-CFG-0179</t>
        </is>
      </c>
      <c r="G1575" s="25" t="n">
        <v>29.9992</v>
      </c>
      <c r="H1575" s="25" t="inlineStr">
        <is>
          <t>988-pack GENERATED</t>
        </is>
      </c>
    </row>
    <row r="1576">
      <c r="A1576" s="25" t="inlineStr">
        <is>
          <t>1014741</t>
        </is>
      </c>
      <c r="B1576" s="25" t="inlineStr">
        <is>
          <t>AKÜ,D31DK110AH,IGYA,MF110D31L,RACERPOWER</t>
        </is>
      </c>
      <c r="C1576" s="25" t="inlineStr">
        <is>
          <t>1</t>
        </is>
      </c>
      <c r="D1576" s="25" t="inlineStr">
        <is>
          <t>ST-054-STD-07</t>
        </is>
      </c>
      <c r="E1576" s="25" t="inlineStr">
        <is>
          <t>IA-ST-054-STD-07</t>
        </is>
      </c>
      <c r="F1576" s="25" t="inlineStr">
        <is>
          <t>IA-ST-CFG-0143</t>
        </is>
      </c>
      <c r="G1576" s="25" t="n">
        <v>33.7838</v>
      </c>
      <c r="H1576" s="25" t="inlineStr">
        <is>
          <t>988-pack GENERATED</t>
        </is>
      </c>
    </row>
    <row r="1577">
      <c r="A1577" s="25" t="inlineStr">
        <is>
          <t>1014742</t>
        </is>
      </c>
      <c r="B1577" s="25" t="inlineStr">
        <is>
          <t>AKÜ,C-IGYASMF,DK,245AH,N245MF,RACERPOWER</t>
        </is>
      </c>
      <c r="C1577" s="25" t="inlineStr">
        <is>
          <t>1</t>
        </is>
      </c>
      <c r="D1577" s="25" t="inlineStr">
        <is>
          <t>ST-021-STD-03</t>
        </is>
      </c>
      <c r="E1577" s="25" t="inlineStr">
        <is>
          <t>IA-ST-021-STD-03</t>
        </is>
      </c>
      <c r="F1577" s="25" t="inlineStr">
        <is>
          <t>IA-ST-CFG-0023</t>
        </is>
      </c>
      <c r="G1577" s="25" t="n">
        <v>31.8252</v>
      </c>
      <c r="H1577" s="25" t="inlineStr">
        <is>
          <t>988-pack GENERATED</t>
        </is>
      </c>
    </row>
    <row r="1578">
      <c r="A1578" s="25" t="inlineStr">
        <is>
          <t>1014743</t>
        </is>
      </c>
      <c r="B1578" s="25" t="inlineStr">
        <is>
          <t>AKÜ,L3,TK,72AH,IGYA,İNCİ FORMULA TAURUS</t>
        </is>
      </c>
      <c r="C1578" s="25" t="inlineStr">
        <is>
          <t>1</t>
        </is>
      </c>
      <c r="D1578" s="25" t="inlineStr">
        <is>
          <t>ST-063-STD-08</t>
        </is>
      </c>
      <c r="E1578" s="25" t="inlineStr">
        <is>
          <t>IA-ST-063-STD-08</t>
        </is>
      </c>
      <c r="F1578" s="25" t="inlineStr">
        <is>
          <t>IA-ST-CFG-0179</t>
        </is>
      </c>
      <c r="G1578" s="25" t="n">
        <v>29.9992</v>
      </c>
      <c r="H1578" s="25" t="inlineStr">
        <is>
          <t>988-pack GENERATED</t>
        </is>
      </c>
    </row>
    <row r="1579">
      <c r="A1579" s="25" t="inlineStr">
        <is>
          <t>1014750</t>
        </is>
      </c>
      <c r="B1579" s="25" t="inlineStr">
        <is>
          <t>AKÜ,L2,DK,62AH,IGYA,GLO3027-062,STARTAX</t>
        </is>
      </c>
      <c r="C1579" s="25" t="inlineStr">
        <is>
          <t>1</t>
        </is>
      </c>
      <c r="D1579" s="25" t="inlineStr">
        <is>
          <t>ST-057-EUR-03</t>
        </is>
      </c>
      <c r="E1579" s="25" t="inlineStr">
        <is>
          <t>IA-ST-057-EUR-03</t>
        </is>
      </c>
      <c r="F1579" s="25" t="inlineStr">
        <is>
          <t>IA-ST-CFG-0162</t>
        </is>
      </c>
      <c r="G1579" s="25" t="n">
        <v>27.926</v>
      </c>
      <c r="H1579" s="25" t="inlineStr">
        <is>
          <t>988-pack GENERATED</t>
        </is>
      </c>
    </row>
    <row r="1580">
      <c r="A1580" s="25" t="inlineStr">
        <is>
          <t>1014752</t>
        </is>
      </c>
      <c r="B1580" s="25" t="inlineStr">
        <is>
          <t>AKÜ,L3,DK,76AH,IGYA,GLO3096-076,STARTAX</t>
        </is>
      </c>
      <c r="C1580" s="25" t="inlineStr">
        <is>
          <t>1</t>
        </is>
      </c>
      <c r="D1580" s="25" t="inlineStr">
        <is>
          <t>ST-051-EUR-01</t>
        </is>
      </c>
      <c r="E1580" s="25" t="inlineStr">
        <is>
          <t>IA-ST-051-EUR-01</t>
        </is>
      </c>
      <c r="F1580" s="25" t="inlineStr">
        <is>
          <t>IA-ST-CFG-0132</t>
        </is>
      </c>
      <c r="G1580" s="25" t="n">
        <v>27.926</v>
      </c>
      <c r="H1580" s="25" t="inlineStr">
        <is>
          <t>988-pack GENERATED</t>
        </is>
      </c>
    </row>
    <row r="1581">
      <c r="A1581" s="25" t="inlineStr">
        <is>
          <t>1014753</t>
        </is>
      </c>
      <c r="B1581" s="25" t="inlineStr">
        <is>
          <t>AKÜ,LB3,DK,71AH,IGYA,GLO3100-071,STARTAX</t>
        </is>
      </c>
      <c r="C1581" s="25" t="inlineStr">
        <is>
          <t>1</t>
        </is>
      </c>
      <c r="D1581" s="25" t="inlineStr">
        <is>
          <t>ST-051-EUR-01</t>
        </is>
      </c>
      <c r="E1581" s="25" t="inlineStr">
        <is>
          <t>IA-ST-051-EUR-01</t>
        </is>
      </c>
      <c r="F1581" s="25" t="inlineStr">
        <is>
          <t>IA-ST-CFG-0132</t>
        </is>
      </c>
      <c r="G1581" s="25" t="n">
        <v>27.926</v>
      </c>
      <c r="H1581" s="25" t="inlineStr">
        <is>
          <t>988-pack GENERATED</t>
        </is>
      </c>
    </row>
    <row r="1582">
      <c r="A1582" s="25" t="inlineStr">
        <is>
          <t>1014754</t>
        </is>
      </c>
      <c r="B1582" s="25" t="inlineStr">
        <is>
          <t>AKÜ,L5,DK,95AH,IGYA,GLO3019-095,STARTAX</t>
        </is>
      </c>
      <c r="C1582" s="25" t="inlineStr">
        <is>
          <t>1</t>
        </is>
      </c>
      <c r="D1582" s="25" t="inlineStr">
        <is>
          <t>ST-036-EUR-04</t>
        </is>
      </c>
      <c r="E1582" s="25" t="inlineStr">
        <is>
          <t>IA-ST-036-EUR-04</t>
        </is>
      </c>
      <c r="F1582" s="25" t="inlineStr">
        <is>
          <t>IA-ST-CFG-0068</t>
        </is>
      </c>
      <c r="G1582" s="25" t="n">
        <v>27.926</v>
      </c>
      <c r="H1582" s="25" t="inlineStr">
        <is>
          <t>988-pack GENERATED</t>
        </is>
      </c>
    </row>
    <row r="1583">
      <c r="A1583" s="25" t="inlineStr">
        <is>
          <t>1014755</t>
        </is>
      </c>
      <c r="B1583" s="25" t="inlineStr">
        <is>
          <t>AKÜ,LB3,DK,75AH,IGYASMF,İNCİMAXIMA,İÇPYS</t>
        </is>
      </c>
      <c r="C1583" s="25" t="inlineStr">
        <is>
          <t>1</t>
        </is>
      </c>
      <c r="D1583" s="25" t="inlineStr">
        <is>
          <t>ST-063-STD-10</t>
        </is>
      </c>
      <c r="E1583" s="25" t="inlineStr">
        <is>
          <t>IA-ST-063-STD-10</t>
        </is>
      </c>
      <c r="F1583" s="25" t="inlineStr">
        <is>
          <t>IA-ST-CFG-0181</t>
        </is>
      </c>
      <c r="G1583" s="25" t="n">
        <v>29.5824</v>
      </c>
      <c r="H1583" s="25" t="inlineStr">
        <is>
          <t>988-pack GENERATED</t>
        </is>
      </c>
    </row>
    <row r="1584">
      <c r="A1584" s="25" t="inlineStr">
        <is>
          <t>1014756</t>
        </is>
      </c>
      <c r="B1584" s="25" t="inlineStr">
        <is>
          <t>AKÜ,LB3,DK,75AH,IGYASMF,EAS EXTRA,İÇ PYS</t>
        </is>
      </c>
      <c r="C1584" s="25" t="inlineStr">
        <is>
          <t>1</t>
        </is>
      </c>
      <c r="D1584" s="25" t="inlineStr">
        <is>
          <t>ST-063-STD-10</t>
        </is>
      </c>
      <c r="E1584" s="25" t="inlineStr">
        <is>
          <t>IA-ST-063-STD-10</t>
        </is>
      </c>
      <c r="F1584" s="25" t="inlineStr">
        <is>
          <t>IA-ST-CFG-0181</t>
        </is>
      </c>
      <c r="G1584" s="25" t="n">
        <v>29.5824</v>
      </c>
      <c r="H1584" s="25" t="inlineStr">
        <is>
          <t>988-pack GENERATED</t>
        </is>
      </c>
    </row>
    <row r="1585">
      <c r="A1585" s="25" t="inlineStr">
        <is>
          <t>1014757</t>
        </is>
      </c>
      <c r="B1585" s="25" t="inlineStr">
        <is>
          <t>AKÜ,LB3,DK72AH,IGYASMF,İNCİFORMULA,İÇPYS</t>
        </is>
      </c>
      <c r="C1585" s="25" t="inlineStr">
        <is>
          <t>1</t>
        </is>
      </c>
      <c r="D1585" s="25" t="inlineStr">
        <is>
          <t>ST-063-STD-10</t>
        </is>
      </c>
      <c r="E1585" s="25" t="inlineStr">
        <is>
          <t>IA-ST-063-STD-10</t>
        </is>
      </c>
      <c r="F1585" s="25" t="inlineStr">
        <is>
          <t>IA-ST-CFG-0181</t>
        </is>
      </c>
      <c r="G1585" s="25" t="n">
        <v>29.5824</v>
      </c>
      <c r="H1585" s="25" t="inlineStr">
        <is>
          <t>988-pack GENERATED</t>
        </is>
      </c>
    </row>
    <row r="1586">
      <c r="A1586" s="25" t="inlineStr">
        <is>
          <t>1014758</t>
        </is>
      </c>
      <c r="B1586" s="25" t="inlineStr">
        <is>
          <t>AKÜ,LB3,DK,72AH,IGYASMF,EAS ACTIVA,İÇPYS</t>
        </is>
      </c>
      <c r="C1586" s="25" t="inlineStr">
        <is>
          <t>1</t>
        </is>
      </c>
      <c r="D1586" s="25" t="inlineStr">
        <is>
          <t>ST-063-STD-10</t>
        </is>
      </c>
      <c r="E1586" s="25" t="inlineStr">
        <is>
          <t>IA-ST-063-STD-10</t>
        </is>
      </c>
      <c r="F1586" s="25" t="inlineStr">
        <is>
          <t>IA-ST-CFG-0181</t>
        </is>
      </c>
      <c r="G1586" s="25" t="n">
        <v>29.5824</v>
      </c>
      <c r="H1586" s="25" t="inlineStr">
        <is>
          <t>988-pack GENERATED</t>
        </is>
      </c>
    </row>
    <row r="1587">
      <c r="A1587" s="25" t="inlineStr">
        <is>
          <t>1014761</t>
        </is>
      </c>
      <c r="B1587" s="25" t="inlineStr">
        <is>
          <t>AKÜ,C-IGYASMF,DK,225AH,HUGEL ULTRA</t>
        </is>
      </c>
      <c r="C1587" s="25" t="inlineStr">
        <is>
          <t>1</t>
        </is>
      </c>
      <c r="D1587" s="25" t="inlineStr">
        <is>
          <t>ST-021-STD-03</t>
        </is>
      </c>
      <c r="E1587" s="25" t="inlineStr">
        <is>
          <t>IA-ST-021-STD-03</t>
        </is>
      </c>
      <c r="F1587" s="25" t="inlineStr">
        <is>
          <t>IA-ST-CFG-0023</t>
        </is>
      </c>
      <c r="G1587" s="25" t="n">
        <v>31.8252</v>
      </c>
      <c r="H1587" s="25" t="inlineStr">
        <is>
          <t>988-pack GENERATED</t>
        </is>
      </c>
    </row>
    <row r="1588">
      <c r="A1588" s="25" t="inlineStr">
        <is>
          <t>1014762</t>
        </is>
      </c>
      <c r="B1588" s="25" t="inlineStr">
        <is>
          <t>AKÜ,L5,DK,100AH,IGYASMF,SILVER,TÜRKMNSTN</t>
        </is>
      </c>
      <c r="C1588" s="25" t="inlineStr">
        <is>
          <t>1</t>
        </is>
      </c>
      <c r="D1588" s="25" t="inlineStr">
        <is>
          <t>ST-045-STD-08</t>
        </is>
      </c>
      <c r="E1588" s="25" t="inlineStr">
        <is>
          <t>IA-ST-045-STD-08</t>
        </is>
      </c>
      <c r="F1588" s="25" t="inlineStr">
        <is>
          <t>IA-ST-CFG-0096</t>
        </is>
      </c>
      <c r="G1588" s="25" t="n">
        <v>29.7192</v>
      </c>
      <c r="H1588" s="25" t="inlineStr">
        <is>
          <t>988-pack GENERATED</t>
        </is>
      </c>
    </row>
    <row r="1589">
      <c r="A1589" s="25" t="inlineStr">
        <is>
          <t>1014763</t>
        </is>
      </c>
      <c r="B1589" s="25" t="inlineStr">
        <is>
          <t>AKÜ,L5,DK,92AH,IGYA SMF,HUGEL ULTRA</t>
        </is>
      </c>
      <c r="C1589" s="25" t="inlineStr">
        <is>
          <t>1</t>
        </is>
      </c>
      <c r="D1589" s="25" t="inlineStr">
        <is>
          <t>ST-045-STD-08</t>
        </is>
      </c>
      <c r="E1589" s="25" t="inlineStr">
        <is>
          <t>IA-ST-045-STD-08</t>
        </is>
      </c>
      <c r="F1589" s="25" t="inlineStr">
        <is>
          <t>IA-ST-CFG-0096</t>
        </is>
      </c>
      <c r="G1589" s="25" t="n">
        <v>29.7192</v>
      </c>
      <c r="H1589" s="25" t="inlineStr">
        <is>
          <t>988-pack GENERATED</t>
        </is>
      </c>
    </row>
    <row r="1590">
      <c r="A1590" s="25" t="inlineStr">
        <is>
          <t>1014764</t>
        </is>
      </c>
      <c r="B1590" s="25" t="inlineStr">
        <is>
          <t>AKÜ,D26,DK,75AH,IGYA,İNCİFORMUL,TÜRKMNST</t>
        </is>
      </c>
      <c r="C1590" s="25" t="inlineStr">
        <is>
          <t>1</t>
        </is>
      </c>
      <c r="D1590" s="25" t="inlineStr">
        <is>
          <t>ST-063-STD-04</t>
        </is>
      </c>
      <c r="E1590" s="25" t="inlineStr">
        <is>
          <t>IA-ST-063-STD-04</t>
        </is>
      </c>
      <c r="F1590" s="25" t="inlineStr">
        <is>
          <t>IA-ST-CFG-0175</t>
        </is>
      </c>
      <c r="G1590" s="25" t="n">
        <v>34.1512</v>
      </c>
      <c r="H1590" s="25" t="inlineStr">
        <is>
          <t>988-pack GENERATED</t>
        </is>
      </c>
    </row>
    <row r="1591">
      <c r="A1591" s="25" t="inlineStr">
        <is>
          <t>1014765</t>
        </is>
      </c>
      <c r="B1591" s="25" t="inlineStr">
        <is>
          <t>AKÜ,D26,DK,75AH,IGYA,EAS ACTIVA,TÜRKMNST</t>
        </is>
      </c>
      <c r="C1591" s="25" t="inlineStr">
        <is>
          <t>1</t>
        </is>
      </c>
      <c r="D1591" s="25" t="inlineStr">
        <is>
          <t>ST-063-STD-04</t>
        </is>
      </c>
      <c r="E1591" s="25" t="inlineStr">
        <is>
          <t>IA-ST-063-STD-04</t>
        </is>
      </c>
      <c r="F1591" s="25" t="inlineStr">
        <is>
          <t>IA-ST-CFG-0175</t>
        </is>
      </c>
      <c r="G1591" s="25" t="n">
        <v>34.1512</v>
      </c>
      <c r="H1591" s="25" t="inlineStr">
        <is>
          <t>988-pack GENERATED</t>
        </is>
      </c>
    </row>
    <row r="1592">
      <c r="A1592" s="25" t="inlineStr">
        <is>
          <t>1014766</t>
        </is>
      </c>
      <c r="B1592" s="25" t="inlineStr">
        <is>
          <t>AKÜ,L3,DK,75AH,IGYASMF,SILVER,TÜRKMNSTN</t>
        </is>
      </c>
      <c r="C1592" s="25" t="inlineStr">
        <is>
          <t>1</t>
        </is>
      </c>
      <c r="D1592" s="25" t="inlineStr">
        <is>
          <t>ST-063-STD-08</t>
        </is>
      </c>
      <c r="E1592" s="25" t="inlineStr">
        <is>
          <t>IA-ST-063-STD-08</t>
        </is>
      </c>
      <c r="F1592" s="25" t="inlineStr">
        <is>
          <t>IA-ST-CFG-0179</t>
        </is>
      </c>
      <c r="G1592" s="25" t="n">
        <v>29.9992</v>
      </c>
      <c r="H1592" s="25" t="inlineStr">
        <is>
          <t>988-pack GENERATED</t>
        </is>
      </c>
    </row>
    <row r="1593">
      <c r="A1593" s="25" t="inlineStr">
        <is>
          <t>1014767</t>
        </is>
      </c>
      <c r="B1593" s="25" t="inlineStr">
        <is>
          <t>AKÜ,L2,DK,60AH,IGYSMF,İNCİTAURUS,TÜRKMEN</t>
        </is>
      </c>
      <c r="C1593" s="25" t="inlineStr">
        <is>
          <t>1</t>
        </is>
      </c>
      <c r="D1593" s="25" t="inlineStr">
        <is>
          <t>ST-072-STD-13</t>
        </is>
      </c>
      <c r="E1593" s="25" t="inlineStr">
        <is>
          <t>IA-ST-072-STD-13</t>
        </is>
      </c>
      <c r="F1593" s="25" t="inlineStr">
        <is>
          <t>IA-ST-CFG-0222</t>
        </is>
      </c>
      <c r="G1593" s="25" t="n">
        <v>30.6552</v>
      </c>
      <c r="H1593" s="25" t="inlineStr">
        <is>
          <t>988-pack GENERATED</t>
        </is>
      </c>
    </row>
    <row r="1594">
      <c r="A1594" s="25" t="inlineStr">
        <is>
          <t>1014768</t>
        </is>
      </c>
      <c r="B1594" s="25" t="inlineStr">
        <is>
          <t>AKÜ,L3,DK,75AH,IGYA,BLIZZSILVRLN,TÜRKMEN</t>
        </is>
      </c>
      <c r="C1594" s="25" t="inlineStr">
        <is>
          <t>1</t>
        </is>
      </c>
      <c r="D1594" s="25" t="inlineStr">
        <is>
          <t>ST-063-STD-08</t>
        </is>
      </c>
      <c r="E1594" s="25" t="inlineStr">
        <is>
          <t>IA-ST-063-STD-08</t>
        </is>
      </c>
      <c r="F1594" s="25" t="inlineStr">
        <is>
          <t>IA-ST-CFG-0179</t>
        </is>
      </c>
      <c r="G1594" s="25" t="n">
        <v>29.9992</v>
      </c>
      <c r="H1594" s="25" t="inlineStr">
        <is>
          <t>988-pack GENERATED</t>
        </is>
      </c>
    </row>
    <row r="1595">
      <c r="A1595" s="25" t="inlineStr">
        <is>
          <t>1014769</t>
        </is>
      </c>
      <c r="B1595" s="25" t="inlineStr">
        <is>
          <t>AKÜ,D26,DK,75AH,IGYA,BLIZZSILVRLN,TÜRKMN</t>
        </is>
      </c>
      <c r="C1595" s="25" t="inlineStr">
        <is>
          <t>1</t>
        </is>
      </c>
      <c r="D1595" s="25" t="inlineStr">
        <is>
          <t>ST-063-STD-04</t>
        </is>
      </c>
      <c r="E1595" s="25" t="inlineStr">
        <is>
          <t>IA-ST-063-STD-04</t>
        </is>
      </c>
      <c r="F1595" s="25" t="inlineStr">
        <is>
          <t>IA-ST-CFG-0175</t>
        </is>
      </c>
      <c r="G1595" s="25" t="n">
        <v>34.1512</v>
      </c>
      <c r="H1595" s="25" t="inlineStr">
        <is>
          <t>988-pack GENERATED</t>
        </is>
      </c>
    </row>
    <row r="1596">
      <c r="A1596" s="25" t="inlineStr">
        <is>
          <t>1014770</t>
        </is>
      </c>
      <c r="B1596" s="25" t="inlineStr">
        <is>
          <t>AKÜ,L2,DK,60AH,IGYA,BLIZZSILVRLN,TÜRKMEN</t>
        </is>
      </c>
      <c r="C1596" s="25" t="inlineStr">
        <is>
          <t>1</t>
        </is>
      </c>
      <c r="D1596" s="25" t="inlineStr">
        <is>
          <t>ST-072-STD-13</t>
        </is>
      </c>
      <c r="E1596" s="25" t="inlineStr">
        <is>
          <t>IA-ST-072-STD-13</t>
        </is>
      </c>
      <c r="F1596" s="25" t="inlineStr">
        <is>
          <t>IA-ST-CFG-0222</t>
        </is>
      </c>
      <c r="G1596" s="25" t="n">
        <v>30.6552</v>
      </c>
      <c r="H1596" s="25" t="inlineStr">
        <is>
          <t>988-pack GENERATED</t>
        </is>
      </c>
    </row>
    <row r="1597">
      <c r="A1597" s="25" t="inlineStr">
        <is>
          <t>1014771</t>
        </is>
      </c>
      <c r="B1597" s="25" t="inlineStr">
        <is>
          <t>AKÜ,LB4,DK,82AH,IGYASMF,HUGEL ULTRA,EURO</t>
        </is>
      </c>
      <c r="C1597" s="25" t="inlineStr">
        <is>
          <t>1</t>
        </is>
      </c>
      <c r="D1597" s="25" t="inlineStr">
        <is>
          <t>ST-056-EUR-03</t>
        </is>
      </c>
      <c r="E1597" s="25" t="inlineStr">
        <is>
          <t>IA-ST-056-EUR-03</t>
        </is>
      </c>
      <c r="F1597" s="25" t="inlineStr">
        <is>
          <t>IA-ST-CFG-0152</t>
        </is>
      </c>
      <c r="G1597" s="25" t="n">
        <v>29.7432</v>
      </c>
      <c r="H1597" s="25" t="inlineStr">
        <is>
          <t>988-pack GENERATED</t>
        </is>
      </c>
    </row>
    <row r="1598">
      <c r="A1598" s="25" t="inlineStr">
        <is>
          <t>1014772</t>
        </is>
      </c>
      <c r="B1598" s="25" t="inlineStr">
        <is>
          <t>AKÜ,D23,DK,60AH,IGYASMF,HUGEL ULTRA,EURO</t>
        </is>
      </c>
      <c r="C1598" s="25" t="inlineStr">
        <is>
          <t>1</t>
        </is>
      </c>
      <c r="D1598" s="25" t="inlineStr">
        <is>
          <t>ST-060-EUR-02</t>
        </is>
      </c>
      <c r="E1598" s="25" t="inlineStr">
        <is>
          <t>IA-ST-060-EUR-02</t>
        </is>
      </c>
      <c r="F1598" s="25" t="inlineStr">
        <is>
          <t>IA-ST-CFG-0171</t>
        </is>
      </c>
      <c r="G1598" s="25" t="n">
        <v>32.9834</v>
      </c>
      <c r="H1598" s="25" t="inlineStr">
        <is>
          <t>988-pack GENERATED</t>
        </is>
      </c>
    </row>
    <row r="1599">
      <c r="A1599" s="25" t="inlineStr">
        <is>
          <t>1014773</t>
        </is>
      </c>
      <c r="B1599" s="25" t="inlineStr">
        <is>
          <t>AKÜ,D26,DK,72AH,IGYASMF,HUGEL ULTRA,EURO</t>
        </is>
      </c>
      <c r="C1599" s="25" t="inlineStr">
        <is>
          <t>1</t>
        </is>
      </c>
      <c r="D1599" s="25" t="inlineStr">
        <is>
          <t>ST-048-EUR-02</t>
        </is>
      </c>
      <c r="E1599" s="25" t="inlineStr">
        <is>
          <t>IA-ST-048-EUR-02</t>
        </is>
      </c>
      <c r="F1599" s="25" t="inlineStr">
        <is>
          <t>IA-ST-CFG-0107</t>
        </is>
      </c>
      <c r="G1599" s="25" t="n">
        <v>32.3872</v>
      </c>
      <c r="H1599" s="25" t="inlineStr">
        <is>
          <t>988-pack GENERATED</t>
        </is>
      </c>
    </row>
    <row r="1600">
      <c r="A1600" s="25" t="inlineStr">
        <is>
          <t>1014774</t>
        </is>
      </c>
      <c r="B1600" s="25" t="inlineStr">
        <is>
          <t>AKÜ,B-IGYASMF,DK,185AH,NO NAME,SKG</t>
        </is>
      </c>
      <c r="C1600" s="25" t="inlineStr">
        <is>
          <t>1</t>
        </is>
      </c>
      <c r="D1600" s="25" t="inlineStr">
        <is>
          <t>ST-021-EUR-02</t>
        </is>
      </c>
      <c r="E1600" s="25" t="inlineStr">
        <is>
          <t>IA-ST-021-EUR-02</t>
        </is>
      </c>
      <c r="F1600" s="25" t="inlineStr">
        <is>
          <t>IA-ST-CFG-0028</t>
        </is>
      </c>
      <c r="G1600" s="25" t="n">
        <v>29.9</v>
      </c>
      <c r="H1600" s="25" t="inlineStr">
        <is>
          <t>988-pack GENERATED</t>
        </is>
      </c>
    </row>
    <row r="1601">
      <c r="A1601" s="25" t="inlineStr">
        <is>
          <t>1014775</t>
        </is>
      </c>
      <c r="B1601" s="25" t="inlineStr">
        <is>
          <t>AKÜ,C-IGYASMF,DK,230AH,NO NAME,SKG</t>
        </is>
      </c>
      <c r="C1601" s="25" t="inlineStr">
        <is>
          <t>1</t>
        </is>
      </c>
      <c r="D1601" s="25" t="inlineStr">
        <is>
          <t>ST-018-EUR-02</t>
        </is>
      </c>
      <c r="E1601" s="25" t="inlineStr">
        <is>
          <t>IA-ST-018-EUR-02</t>
        </is>
      </c>
      <c r="F1601" s="25" t="inlineStr">
        <is>
          <t>IA-ST-CFG-0013</t>
        </is>
      </c>
      <c r="G1601" s="25" t="n">
        <v>30.194</v>
      </c>
      <c r="H1601" s="25" t="inlineStr">
        <is>
          <t>988-pack GENERATED</t>
        </is>
      </c>
    </row>
    <row r="1602">
      <c r="A1602" s="25" t="inlineStr">
        <is>
          <t>1014778</t>
        </is>
      </c>
      <c r="B1602" s="25" t="inlineStr">
        <is>
          <t>AKÜ,B-FLAT,DK,160AH,NO NAME,PARTS</t>
        </is>
      </c>
      <c r="C1602" s="25" t="inlineStr">
        <is>
          <t>1</t>
        </is>
      </c>
      <c r="D1602" s="25" t="inlineStr">
        <is>
          <t>ST-021-EUR-05</t>
        </is>
      </c>
      <c r="E1602" s="25" t="inlineStr">
        <is>
          <t>IA-ST-021-EUR-05</t>
        </is>
      </c>
      <c r="F1602" s="25" t="inlineStr">
        <is>
          <t>IA-ST-CFG-0031</t>
        </is>
      </c>
      <c r="G1602" s="25" t="n">
        <v>29.6132</v>
      </c>
      <c r="H1602" s="25" t="inlineStr">
        <is>
          <t>988-pack GENERATED</t>
        </is>
      </c>
    </row>
    <row r="1603">
      <c r="A1603" s="25" t="inlineStr">
        <is>
          <t>1014779</t>
        </is>
      </c>
      <c r="B1603" s="25" t="inlineStr">
        <is>
          <t>AKÜ,L5,DK,88AH,IGYA SMF,NO NAME,PARTS</t>
        </is>
      </c>
      <c r="C1603" s="25" t="inlineStr">
        <is>
          <t>1</t>
        </is>
      </c>
      <c r="D1603" s="25" t="inlineStr">
        <is>
          <t>ST-048-EUR-12</t>
        </is>
      </c>
      <c r="E1603" s="25" t="inlineStr">
        <is>
          <t>IA-ST-048-EUR-12</t>
        </is>
      </c>
      <c r="F1603" s="25" t="inlineStr">
        <is>
          <t>IA-ST-CFG-0118</t>
        </is>
      </c>
      <c r="G1603" s="25" t="n">
        <v>27.8392</v>
      </c>
      <c r="H1603" s="25" t="inlineStr">
        <is>
          <t>988-pack GENERATED</t>
        </is>
      </c>
    </row>
    <row r="1604">
      <c r="A1604" s="25" t="inlineStr">
        <is>
          <t>1014780</t>
        </is>
      </c>
      <c r="B1604" s="25" t="inlineStr">
        <is>
          <t>AKÜ,L5,DK,100AH,IGYA SMF,NONAME,PARTS</t>
        </is>
      </c>
      <c r="C1604" s="25" t="inlineStr">
        <is>
          <t>1</t>
        </is>
      </c>
      <c r="D1604" s="25" t="inlineStr">
        <is>
          <t>ST-048-EUR-12</t>
        </is>
      </c>
      <c r="E1604" s="25" t="inlineStr">
        <is>
          <t>IA-ST-048-EUR-12</t>
        </is>
      </c>
      <c r="F1604" s="25" t="inlineStr">
        <is>
          <t>IA-ST-CFG-0118</t>
        </is>
      </c>
      <c r="G1604" s="25" t="n">
        <v>27.8392</v>
      </c>
      <c r="H1604" s="25" t="inlineStr">
        <is>
          <t>988-pack GENERATED</t>
        </is>
      </c>
    </row>
    <row r="1605">
      <c r="A1605" s="25" t="inlineStr">
        <is>
          <t>1014782</t>
        </is>
      </c>
      <c r="B1605" s="25" t="inlineStr">
        <is>
          <t>AKÜ,A-IGYA,DK,120AH,EAS JENERATÖR,İÇ PYS</t>
        </is>
      </c>
      <c r="C1605" s="25" t="inlineStr">
        <is>
          <t>1</t>
        </is>
      </c>
      <c r="D1605" s="25" t="inlineStr">
        <is>
          <t>ST-030-STD-02</t>
        </is>
      </c>
      <c r="E1605" s="25" t="inlineStr">
        <is>
          <t>IA-ST-030-STD-02</t>
        </is>
      </c>
      <c r="F1605" s="25" t="inlineStr">
        <is>
          <t>IA-ST-CFG-0047</t>
        </is>
      </c>
      <c r="G1605" s="25" t="n">
        <v>31.986</v>
      </c>
      <c r="H1605" s="25" t="inlineStr">
        <is>
          <t>988-pack GENERATED</t>
        </is>
      </c>
    </row>
    <row r="1606">
      <c r="A1606" s="25" t="inlineStr">
        <is>
          <t>1014783</t>
        </is>
      </c>
      <c r="B1606" s="25" t="inlineStr">
        <is>
          <t>AKÜ,B-IGYA,DK,180AH,EAS JENERATÖR,İÇ PYS</t>
        </is>
      </c>
      <c r="C1606" s="25" t="inlineStr">
        <is>
          <t>1</t>
        </is>
      </c>
      <c r="D1606" s="25" t="inlineStr">
        <is>
          <t>ST-030-STD-03</t>
        </is>
      </c>
      <c r="E1606" s="25" t="inlineStr">
        <is>
          <t>IA-ST-030-STD-03</t>
        </is>
      </c>
      <c r="F1606" s="25" t="inlineStr">
        <is>
          <t>IA-ST-CFG-0048</t>
        </is>
      </c>
      <c r="G1606" s="25" t="n">
        <v>32.676</v>
      </c>
      <c r="H1606" s="25" t="inlineStr">
        <is>
          <t>988-pack GENERATED</t>
        </is>
      </c>
    </row>
    <row r="1607">
      <c r="A1607" s="25" t="inlineStr">
        <is>
          <t>1014784</t>
        </is>
      </c>
      <c r="B1607" s="25" t="inlineStr">
        <is>
          <t>AKÜ,C-IGYA,DK,200AH,EAS JENERATÖR,İÇ PYS</t>
        </is>
      </c>
      <c r="C1607" s="25" t="inlineStr">
        <is>
          <t>1</t>
        </is>
      </c>
      <c r="D1607" s="25" t="inlineStr">
        <is>
          <t>ST-021-STD-02</t>
        </is>
      </c>
      <c r="E1607" s="25" t="inlineStr">
        <is>
          <t>IA-ST-021-STD-02</t>
        </is>
      </c>
      <c r="F1607" s="25" t="inlineStr">
        <is>
          <t>IA-ST-CFG-0021</t>
        </is>
      </c>
      <c r="G1607" s="25" t="n">
        <v>32.112</v>
      </c>
      <c r="H1607" s="25" t="inlineStr">
        <is>
          <t>988-pack GENERATED</t>
        </is>
      </c>
    </row>
    <row r="1608">
      <c r="A1608" s="25" t="inlineStr">
        <is>
          <t>1014788</t>
        </is>
      </c>
      <c r="B1608" s="25" t="inlineStr">
        <is>
          <t>AKÜ,L5,DK,100AH,IGYSMF,NONAME,GS VIETNAM</t>
        </is>
      </c>
      <c r="C1608" s="25" t="inlineStr">
        <is>
          <t>1</t>
        </is>
      </c>
      <c r="D1608" s="25" t="inlineStr">
        <is>
          <t>ST-045-STD-04</t>
        </is>
      </c>
      <c r="E1608" s="25" t="inlineStr">
        <is>
          <t>IA-ST-045-STD-04</t>
        </is>
      </c>
      <c r="F1608" s="25" t="inlineStr">
        <is>
          <t>IA-ST-CFG-0092</t>
        </is>
      </c>
      <c r="G1608" s="25" t="n">
        <v>28.206</v>
      </c>
      <c r="H1608" s="25" t="inlineStr">
        <is>
          <t>988-pack GENERATED</t>
        </is>
      </c>
    </row>
    <row r="1609">
      <c r="A1609" s="29" t="inlineStr">
        <is>
          <t>1014789</t>
        </is>
      </c>
      <c r="B1609" s="29" t="inlineStr">
        <is>
          <t>AKÜ,L3,DK,70AH,GSY,MOPAR,K0 PX9836412880</t>
        </is>
      </c>
      <c r="C1609" s="29" t="inlineStr">
        <is>
          <t>1</t>
        </is>
      </c>
      <c r="H1609" s="29" t="inlineStr">
        <is>
          <t>NO MAPPING</t>
        </is>
      </c>
    </row>
    <row r="1610">
      <c r="A1610" s="29" t="inlineStr">
        <is>
          <t>1014790</t>
        </is>
      </c>
      <c r="B1610" s="29" t="inlineStr">
        <is>
          <t>AKÜ,L3,DK,70AH,GSY,MOPAR,K0 NA9866800080</t>
        </is>
      </c>
      <c r="C1610" s="29" t="inlineStr">
        <is>
          <t>1</t>
        </is>
      </c>
      <c r="H1610" s="29" t="inlineStr">
        <is>
          <t>NO MAPPING</t>
        </is>
      </c>
    </row>
    <row r="1611">
      <c r="A1611" s="25" t="inlineStr">
        <is>
          <t>1014792</t>
        </is>
      </c>
      <c r="B1611" s="25" t="inlineStr">
        <is>
          <t>AKÜ,L3,DK,70AH,BLIZZARO AGM S&amp;S,MISIR</t>
        </is>
      </c>
      <c r="C1611" s="25" t="inlineStr">
        <is>
          <t>1</t>
        </is>
      </c>
      <c r="D1611" s="25" t="inlineStr">
        <is>
          <t>ST-063-STD-08</t>
        </is>
      </c>
      <c r="E1611" s="25" t="inlineStr">
        <is>
          <t>IA-ST-063-STD-08</t>
        </is>
      </c>
      <c r="F1611" s="25" t="inlineStr">
        <is>
          <t>IA-ST-CFG-0179</t>
        </is>
      </c>
      <c r="G1611" s="25" t="n">
        <v>29.9992</v>
      </c>
      <c r="H1611" s="25" t="inlineStr">
        <is>
          <t>988-pack GENERATED</t>
        </is>
      </c>
    </row>
    <row r="1612">
      <c r="A1612" s="25" t="inlineStr">
        <is>
          <t>1014793</t>
        </is>
      </c>
      <c r="B1612" s="25" t="inlineStr">
        <is>
          <t>AKÜ,B-IGYASMF,DK,170AH,İNCİ FORM TAURUS</t>
        </is>
      </c>
      <c r="C1612" s="25" t="inlineStr">
        <is>
          <t>1</t>
        </is>
      </c>
      <c r="D1612" s="25" t="inlineStr">
        <is>
          <t>ST-030-STD-06</t>
        </is>
      </c>
      <c r="E1612" s="25" t="inlineStr">
        <is>
          <t>IA-ST-030-STD-06</t>
        </is>
      </c>
      <c r="F1612" s="25" t="inlineStr">
        <is>
          <t>IA-ST-CFG-0052</t>
        </is>
      </c>
      <c r="G1612" s="25" t="n">
        <v>32.3892</v>
      </c>
      <c r="H1612" s="25" t="inlineStr">
        <is>
          <t>988-pack GENERATED</t>
        </is>
      </c>
    </row>
    <row r="1613">
      <c r="A1613" s="25" t="inlineStr">
        <is>
          <t>1014794</t>
        </is>
      </c>
      <c r="B1613" s="25" t="inlineStr">
        <is>
          <t>AKÜ AGM,L5,DK,92AH,İNCİ AGM LEO,EURO</t>
        </is>
      </c>
      <c r="C1613" s="25" t="inlineStr">
        <is>
          <t>1</t>
        </is>
      </c>
      <c r="D1613" s="25" t="inlineStr">
        <is>
          <t>ST-048-EUR-10</t>
        </is>
      </c>
      <c r="E1613" s="25" t="inlineStr">
        <is>
          <t>IA-ST-048-EUR-10</t>
        </is>
      </c>
      <c r="F1613" s="25" t="inlineStr">
        <is>
          <t>IA-ST-CFG-0116</t>
        </is>
      </c>
      <c r="G1613" s="25" t="n">
        <v>29.7592</v>
      </c>
      <c r="H1613" s="25" t="inlineStr">
        <is>
          <t>988-pack GENERATED</t>
        </is>
      </c>
    </row>
    <row r="1614">
      <c r="A1614" s="25" t="inlineStr">
        <is>
          <t>1014795</t>
        </is>
      </c>
      <c r="B1614" s="25" t="inlineStr">
        <is>
          <t>AKÜ L5,DK,105AH,IGYA,İNCİFORMTAURUS,EURO</t>
        </is>
      </c>
      <c r="C1614" s="25" t="inlineStr">
        <is>
          <t>1</t>
        </is>
      </c>
      <c r="D1614" s="25" t="inlineStr">
        <is>
          <t>ST-048-EUR-10</t>
        </is>
      </c>
      <c r="E1614" s="25" t="inlineStr">
        <is>
          <t>IA-ST-048-EUR-10</t>
        </is>
      </c>
      <c r="F1614" s="25" t="inlineStr">
        <is>
          <t>IA-ST-CFG-0116</t>
        </is>
      </c>
      <c r="G1614" s="25" t="n">
        <v>29.7592</v>
      </c>
      <c r="H1614" s="25" t="inlineStr">
        <is>
          <t>988-pack GENERATED</t>
        </is>
      </c>
    </row>
    <row r="1615">
      <c r="A1615" s="25" t="inlineStr">
        <is>
          <t>1014796</t>
        </is>
      </c>
      <c r="B1615" s="25" t="inlineStr">
        <is>
          <t>AKÜ,L2,DK,65AH,IGYASMF,EAS EFB MAX,İÇPYS</t>
        </is>
      </c>
      <c r="C1615" s="25" t="inlineStr">
        <is>
          <t>1</t>
        </is>
      </c>
      <c r="D1615" s="25" t="inlineStr">
        <is>
          <t>ST-088-STD-05</t>
        </is>
      </c>
      <c r="E1615" s="25" t="inlineStr">
        <is>
          <t>IA-ST-088-STD-05</t>
        </is>
      </c>
      <c r="F1615" s="25" t="inlineStr">
        <is>
          <t>IA-ST-CFG-0258</t>
        </is>
      </c>
      <c r="G1615" s="25" t="n">
        <v>50.456</v>
      </c>
      <c r="H1615" s="25" t="inlineStr">
        <is>
          <t>988-pack GENERATED</t>
        </is>
      </c>
    </row>
    <row r="1616">
      <c r="A1616" s="25" t="inlineStr">
        <is>
          <t>1014797</t>
        </is>
      </c>
      <c r="B1616" s="25" t="inlineStr">
        <is>
          <t>AKÜ,L3,DK,75AH,IGYASMF,EAS EFB MAX,İÇPYS</t>
        </is>
      </c>
      <c r="C1616" s="25" t="inlineStr">
        <is>
          <t>1</t>
        </is>
      </c>
      <c r="D1616" s="25" t="inlineStr">
        <is>
          <t>ST-072-STD-04</t>
        </is>
      </c>
      <c r="E1616" s="25" t="inlineStr">
        <is>
          <t>IA-ST-072-STD-04</t>
        </is>
      </c>
      <c r="F1616" s="25" t="inlineStr">
        <is>
          <t>IA-ST-CFG-0213</t>
        </is>
      </c>
      <c r="G1616" s="25" t="n">
        <v>47.336</v>
      </c>
      <c r="H1616" s="25" t="inlineStr">
        <is>
          <t>988-pack GENERATED</t>
        </is>
      </c>
    </row>
    <row r="1617">
      <c r="A1617" s="25" t="inlineStr">
        <is>
          <t>1014798</t>
        </is>
      </c>
      <c r="B1617" s="25" t="inlineStr">
        <is>
          <t>AKÜ,L5,DK,100AH,IGYA SMF,ZITEX BATTERY</t>
        </is>
      </c>
      <c r="C1617" s="25" t="inlineStr">
        <is>
          <t>1</t>
        </is>
      </c>
      <c r="D1617" s="25" t="inlineStr">
        <is>
          <t>ST-045-STD-08</t>
        </is>
      </c>
      <c r="E1617" s="25" t="inlineStr">
        <is>
          <t>IA-ST-045-STD-08</t>
        </is>
      </c>
      <c r="F1617" s="25" t="inlineStr">
        <is>
          <t>IA-ST-CFG-0096</t>
        </is>
      </c>
      <c r="G1617" s="25" t="n">
        <v>29.7192</v>
      </c>
      <c r="H1617" s="25" t="inlineStr">
        <is>
          <t>988-pack GENERATED</t>
        </is>
      </c>
    </row>
    <row r="1618">
      <c r="A1618" s="25" t="inlineStr">
        <is>
          <t>1014801</t>
        </is>
      </c>
      <c r="B1618" s="25" t="inlineStr">
        <is>
          <t>AKÜ,D23,DK,50AH,IGYASMF,GOOD YEAR,DUBAI</t>
        </is>
      </c>
      <c r="C1618" s="25" t="inlineStr">
        <is>
          <t>1</t>
        </is>
      </c>
      <c r="D1618" s="25" t="inlineStr">
        <is>
          <t>ST-072-STD-10</t>
        </is>
      </c>
      <c r="E1618" s="25" t="inlineStr">
        <is>
          <t>IA-ST-072-STD-10</t>
        </is>
      </c>
      <c r="F1618" s="25" t="inlineStr">
        <is>
          <t>IA-ST-CFG-0219</t>
        </is>
      </c>
      <c r="G1618" s="25" t="n">
        <v>34.33224</v>
      </c>
      <c r="H1618" s="25" t="inlineStr">
        <is>
          <t>988-pack GENERATED</t>
        </is>
      </c>
    </row>
    <row r="1619">
      <c r="A1619" s="25" t="inlineStr">
        <is>
          <t>1014803</t>
        </is>
      </c>
      <c r="B1619" s="25" t="inlineStr">
        <is>
          <t>AKÜ,D31,TK,70AH,IGYASMF,GOOD YEAR,DUBAI</t>
        </is>
      </c>
      <c r="C1619" s="25" t="inlineStr">
        <is>
          <t>1</t>
        </is>
      </c>
      <c r="D1619" s="25" t="inlineStr">
        <is>
          <t>ST-054-STD-07</t>
        </is>
      </c>
      <c r="E1619" s="25" t="inlineStr">
        <is>
          <t>IA-ST-054-STD-07</t>
        </is>
      </c>
      <c r="F1619" s="25" t="inlineStr">
        <is>
          <t>IA-ST-CFG-0143</t>
        </is>
      </c>
      <c r="G1619" s="25" t="n">
        <v>33.7838</v>
      </c>
      <c r="H1619" s="25" t="inlineStr">
        <is>
          <t>988-pack GENERATED</t>
        </is>
      </c>
    </row>
    <row r="1620">
      <c r="A1620" s="25" t="inlineStr">
        <is>
          <t>1014814</t>
        </is>
      </c>
      <c r="B1620" s="25" t="inlineStr">
        <is>
          <t>AKÜ,LB2,DK,60AH,IGYA,NONAME,EFBS&amp;S,PARTS</t>
        </is>
      </c>
      <c r="C1620" s="25" t="inlineStr">
        <is>
          <t>1</t>
        </is>
      </c>
      <c r="D1620" s="25" t="inlineStr">
        <is>
          <t>ST-076-EUR-04</t>
        </is>
      </c>
      <c r="E1620" s="25" t="inlineStr">
        <is>
          <t>IA-ST-076-EUR-04</t>
        </is>
      </c>
      <c r="F1620" s="25" t="inlineStr">
        <is>
          <t>IA-ST-CFG-0241</t>
        </is>
      </c>
      <c r="G1620" s="25" t="n">
        <v>27.8392</v>
      </c>
      <c r="H1620" s="25" t="inlineStr">
        <is>
          <t>988-pack GENERATED</t>
        </is>
      </c>
    </row>
    <row r="1621">
      <c r="A1621" s="25" t="inlineStr">
        <is>
          <t>1014815</t>
        </is>
      </c>
      <c r="B1621" s="25" t="inlineStr">
        <is>
          <t>AKÜ,L0,DK,40AH,DINNEWPROFIL,NONAME,PARTS</t>
        </is>
      </c>
      <c r="C1621" s="25" t="inlineStr">
        <is>
          <t>1</t>
        </is>
      </c>
      <c r="D1621" s="25" t="inlineStr">
        <is>
          <t>ST-096-EUR-10</t>
        </is>
      </c>
      <c r="E1621" s="25" t="inlineStr">
        <is>
          <t>IA-ST-096-EUR-10</t>
        </is>
      </c>
      <c r="F1621" s="25" t="inlineStr">
        <is>
          <t>IA-ST-CFG-0278</t>
        </is>
      </c>
      <c r="G1621" s="25" t="n">
        <v>27.8392</v>
      </c>
      <c r="H1621" s="25" t="inlineStr">
        <is>
          <t>988-pack GENERATED</t>
        </is>
      </c>
    </row>
    <row r="1622">
      <c r="A1622" s="25" t="inlineStr">
        <is>
          <t>1014816</t>
        </is>
      </c>
      <c r="B1622" s="25" t="inlineStr">
        <is>
          <t>AKÜ SULU,TANK,125AH,İNCİ SUPRA SENTOR</t>
        </is>
      </c>
      <c r="C1622" s="25" t="inlineStr">
        <is>
          <t>1</t>
        </is>
      </c>
      <c r="D1622" s="25" t="inlineStr">
        <is>
          <t>ST-027-STD90-01</t>
        </is>
      </c>
      <c r="E1622" s="25" t="inlineStr">
        <is>
          <t>IA-ST-027-STD90-01</t>
        </is>
      </c>
      <c r="F1622" s="25" t="inlineStr">
        <is>
          <t>IA-ST-CFG-0043</t>
        </is>
      </c>
      <c r="G1622" s="25" t="n">
        <v>25.58996</v>
      </c>
      <c r="H1622" s="25" t="inlineStr">
        <is>
          <t>988-pack GENERATED</t>
        </is>
      </c>
    </row>
    <row r="1623">
      <c r="A1623" s="25" t="inlineStr">
        <is>
          <t>1014817</t>
        </is>
      </c>
      <c r="B1623" s="25" t="inlineStr">
        <is>
          <t>AKÜ,NS40,DK,35AH,IGYA SMF,NO NAME,REDMAY</t>
        </is>
      </c>
      <c r="C1623" s="25" t="inlineStr">
        <is>
          <t>1</t>
        </is>
      </c>
      <c r="D1623" s="25" t="inlineStr">
        <is>
          <t>ST-120-STD-01</t>
        </is>
      </c>
      <c r="E1623" s="25" t="inlineStr">
        <is>
          <t>IA-ST-120-STD-01</t>
        </is>
      </c>
      <c r="F1623" s="25" t="inlineStr">
        <is>
          <t>IA-ST-CFG-0284</t>
        </is>
      </c>
      <c r="G1623" s="25" t="n">
        <v>35.3676</v>
      </c>
      <c r="H1623" s="25" t="inlineStr">
        <is>
          <t>988-pack GENERATED</t>
        </is>
      </c>
    </row>
    <row r="1624">
      <c r="A1624" s="25" t="inlineStr">
        <is>
          <t>1014818</t>
        </is>
      </c>
      <c r="B1624" s="25" t="inlineStr">
        <is>
          <t>AKÜ,L1,DK,50AH,IGYA SMF,NO NAME,REDMAY</t>
        </is>
      </c>
      <c r="C1624" s="25" t="inlineStr">
        <is>
          <t>1</t>
        </is>
      </c>
      <c r="D1624" s="25" t="inlineStr">
        <is>
          <t>ST-087-STD-03</t>
        </is>
      </c>
      <c r="E1624" s="25" t="inlineStr">
        <is>
          <t>IA-ST-087-STD-03</t>
        </is>
      </c>
      <c r="F1624" s="25" t="inlineStr">
        <is>
          <t>IA-ST-CFG-0248</t>
        </is>
      </c>
      <c r="G1624" s="25" t="n">
        <v>31.0092</v>
      </c>
      <c r="H1624" s="25" t="inlineStr">
        <is>
          <t>988-pack GENERATED</t>
        </is>
      </c>
    </row>
    <row r="1625">
      <c r="A1625" s="25" t="inlineStr">
        <is>
          <t>1014819</t>
        </is>
      </c>
      <c r="B1625" s="25" t="inlineStr">
        <is>
          <t>AKÜ,LB2,DK,60AH,IGYA SMF,NO NAME,REDMAY</t>
        </is>
      </c>
      <c r="C1625" s="25" t="inlineStr">
        <is>
          <t>1</t>
        </is>
      </c>
      <c r="D1625" s="25" t="inlineStr">
        <is>
          <t>ST-072-STD-13</t>
        </is>
      </c>
      <c r="E1625" s="25" t="inlineStr">
        <is>
          <t>IA-ST-072-STD-13</t>
        </is>
      </c>
      <c r="F1625" s="25" t="inlineStr">
        <is>
          <t>IA-ST-CFG-0222</t>
        </is>
      </c>
      <c r="G1625" s="25" t="n">
        <v>30.6552</v>
      </c>
      <c r="H1625" s="25" t="inlineStr">
        <is>
          <t>988-pack GENERATED</t>
        </is>
      </c>
    </row>
    <row r="1626">
      <c r="A1626" s="25" t="inlineStr">
        <is>
          <t>1014820</t>
        </is>
      </c>
      <c r="B1626" s="25" t="inlineStr">
        <is>
          <t>AKÜ,LB3,DK,66AH,IGYA SMF,NO NAME,REDMAY</t>
        </is>
      </c>
      <c r="C1626" s="25" t="inlineStr">
        <is>
          <t>1</t>
        </is>
      </c>
      <c r="D1626" s="25" t="inlineStr">
        <is>
          <t>ST-063-STD-07</t>
        </is>
      </c>
      <c r="E1626" s="25" t="inlineStr">
        <is>
          <t>IA-ST-063-STD-07</t>
        </is>
      </c>
      <c r="F1626" s="25" t="inlineStr">
        <is>
          <t>IA-ST-CFG-0178</t>
        </is>
      </c>
      <c r="G1626" s="25" t="n">
        <v>29.8692</v>
      </c>
      <c r="H1626" s="25" t="inlineStr">
        <is>
          <t>988-pack GENERATED</t>
        </is>
      </c>
    </row>
    <row r="1627">
      <c r="A1627" s="25" t="inlineStr">
        <is>
          <t>1014821</t>
        </is>
      </c>
      <c r="B1627" s="25" t="inlineStr">
        <is>
          <t>AKÜ,NS40,TK,35AH,IGYSMF,İNCİ FORM TAURUS</t>
        </is>
      </c>
      <c r="C1627" s="25" t="inlineStr">
        <is>
          <t>1</t>
        </is>
      </c>
      <c r="D1627" s="25" t="inlineStr">
        <is>
          <t>ST-120-STD-01</t>
        </is>
      </c>
      <c r="E1627" s="25" t="inlineStr">
        <is>
          <t>IA-ST-120-STD-01</t>
        </is>
      </c>
      <c r="F1627" s="25" t="inlineStr">
        <is>
          <t>IA-ST-CFG-0284</t>
        </is>
      </c>
      <c r="G1627" s="25" t="n">
        <v>35.3676</v>
      </c>
      <c r="H1627" s="25" t="inlineStr">
        <is>
          <t>988-pack GENERATED</t>
        </is>
      </c>
    </row>
    <row r="1628">
      <c r="A1628" s="25" t="inlineStr">
        <is>
          <t>1014830</t>
        </is>
      </c>
      <c r="B1628" s="25" t="inlineStr">
        <is>
          <t>AKÜ,C-IGYASMF,DK,240AH,BLIZZARO SILVERLN</t>
        </is>
      </c>
      <c r="C1628" s="25" t="inlineStr">
        <is>
          <t>1</t>
        </is>
      </c>
      <c r="D1628" s="25" t="inlineStr">
        <is>
          <t>ST-021-STD-03</t>
        </is>
      </c>
      <c r="E1628" s="25" t="inlineStr">
        <is>
          <t>IA-ST-021-STD-03</t>
        </is>
      </c>
      <c r="F1628" s="25" t="inlineStr">
        <is>
          <t>IA-ST-CFG-0023</t>
        </is>
      </c>
      <c r="G1628" s="25" t="n">
        <v>31.8252</v>
      </c>
      <c r="H1628" s="25" t="inlineStr">
        <is>
          <t>988-pack GENERATED</t>
        </is>
      </c>
    </row>
    <row r="1629">
      <c r="A1629" s="25" t="inlineStr">
        <is>
          <t>1014831</t>
        </is>
      </c>
      <c r="B1629" s="25" t="inlineStr">
        <is>
          <t>AKÜ,NS40,DK,35AH,IGYASMF,HUGELULTRA,İNCE</t>
        </is>
      </c>
      <c r="C1629" s="25" t="inlineStr">
        <is>
          <t>1</t>
        </is>
      </c>
      <c r="D1629" s="25" t="inlineStr">
        <is>
          <t>ST-120-STD-01</t>
        </is>
      </c>
      <c r="E1629" s="25" t="inlineStr">
        <is>
          <t>IA-ST-120-STD-01</t>
        </is>
      </c>
      <c r="F1629" s="25" t="inlineStr">
        <is>
          <t>IA-ST-CFG-0284</t>
        </is>
      </c>
      <c r="G1629" s="25" t="n">
        <v>35.3676</v>
      </c>
      <c r="H1629" s="25" t="inlineStr">
        <is>
          <t>988-pack GENERATED</t>
        </is>
      </c>
    </row>
    <row r="1630">
      <c r="A1630" s="25" t="inlineStr">
        <is>
          <t>1014832</t>
        </is>
      </c>
      <c r="B1630" s="25" t="inlineStr">
        <is>
          <t>AKÜ,NS40,DK,35AH,IGYASMF,İNCİTAURUS,İNCE</t>
        </is>
      </c>
      <c r="C1630" s="25" t="inlineStr">
        <is>
          <t>1</t>
        </is>
      </c>
      <c r="D1630" s="25" t="inlineStr">
        <is>
          <t>ST-120-STD-01</t>
        </is>
      </c>
      <c r="E1630" s="25" t="inlineStr">
        <is>
          <t>IA-ST-120-STD-01</t>
        </is>
      </c>
      <c r="F1630" s="25" t="inlineStr">
        <is>
          <t>IA-ST-CFG-0284</t>
        </is>
      </c>
      <c r="G1630" s="25" t="n">
        <v>35.3676</v>
      </c>
      <c r="H1630" s="25" t="inlineStr">
        <is>
          <t>988-pack GENERATED</t>
        </is>
      </c>
    </row>
    <row r="1631">
      <c r="A1631" s="25" t="inlineStr">
        <is>
          <t>1014844</t>
        </is>
      </c>
      <c r="B1631" s="25" t="inlineStr">
        <is>
          <t>AKÜ,NS40,DK,35AH,IGYA,İNCİ FORM TAURUS</t>
        </is>
      </c>
      <c r="C1631" s="25" t="inlineStr">
        <is>
          <t>1</t>
        </is>
      </c>
      <c r="D1631" s="25" t="inlineStr">
        <is>
          <t>ST-120-STD-01</t>
        </is>
      </c>
      <c r="E1631" s="25" t="inlineStr">
        <is>
          <t>IA-ST-120-STD-01</t>
        </is>
      </c>
      <c r="F1631" s="25" t="inlineStr">
        <is>
          <t>IA-ST-CFG-0284</t>
        </is>
      </c>
      <c r="G1631" s="25" t="n">
        <v>35.3676</v>
      </c>
      <c r="H1631" s="25" t="inlineStr">
        <is>
          <t>988-pack GENERATED</t>
        </is>
      </c>
    </row>
    <row r="1632">
      <c r="A1632" s="29" t="inlineStr">
        <is>
          <t>1014847</t>
        </is>
      </c>
      <c r="B1632" s="29" t="inlineStr">
        <is>
          <t>AKÜ,D23,DK,60AH,B01,IGYA,İNCİFORMULA,BMC</t>
        </is>
      </c>
      <c r="C1632" s="29" t="inlineStr">
        <is>
          <t>1</t>
        </is>
      </c>
      <c r="H1632" s="29" t="inlineStr">
        <is>
          <t>NO MAPPING</t>
        </is>
      </c>
    </row>
    <row r="1633">
      <c r="A1633" s="25" t="inlineStr">
        <is>
          <t>1014848</t>
        </is>
      </c>
      <c r="B1633" s="25" t="inlineStr">
        <is>
          <t>AKÜ,LB5,DK,90AH,IGYASMF,İNCİ FORM TAURUS</t>
        </is>
      </c>
      <c r="C1633" s="25" t="inlineStr">
        <is>
          <t>1</t>
        </is>
      </c>
      <c r="D1633" s="25" t="inlineStr">
        <is>
          <t>ST-045-STD-07</t>
        </is>
      </c>
      <c r="E1633" s="25" t="inlineStr">
        <is>
          <t>IA-ST-045-STD-07</t>
        </is>
      </c>
      <c r="F1633" s="25" t="inlineStr">
        <is>
          <t>IA-ST-CFG-0095</t>
        </is>
      </c>
      <c r="G1633" s="25" t="n">
        <v>29.4492</v>
      </c>
      <c r="H1633" s="25" t="inlineStr">
        <is>
          <t>988-pack GENERATED</t>
        </is>
      </c>
    </row>
    <row r="1634">
      <c r="A1634" s="25" t="inlineStr">
        <is>
          <t>1014850</t>
        </is>
      </c>
      <c r="B1634" s="25" t="inlineStr">
        <is>
          <t>AKÜ,D26,DK,72AH,IGYA SMF,TITAN,BESA</t>
        </is>
      </c>
      <c r="C1634" s="25" t="inlineStr">
        <is>
          <t>1</t>
        </is>
      </c>
      <c r="D1634" s="25" t="inlineStr">
        <is>
          <t>ST-048-EUR-02</t>
        </is>
      </c>
      <c r="E1634" s="25" t="inlineStr">
        <is>
          <t>IA-ST-048-EUR-02</t>
        </is>
      </c>
      <c r="F1634" s="25" t="inlineStr">
        <is>
          <t>IA-ST-CFG-0107</t>
        </is>
      </c>
      <c r="G1634" s="25" t="n">
        <v>32.3872</v>
      </c>
      <c r="H1634" s="25" t="inlineStr">
        <is>
          <t>988-pack GENERATED</t>
        </is>
      </c>
    </row>
    <row r="1635">
      <c r="A1635" s="25" t="inlineStr">
        <is>
          <t>1014851</t>
        </is>
      </c>
      <c r="B1635" s="25" t="inlineStr">
        <is>
          <t>AKÜ,D26,TK,72AH,IGYA SMF,TITAN,BESA</t>
        </is>
      </c>
      <c r="C1635" s="25" t="inlineStr">
        <is>
          <t>1</t>
        </is>
      </c>
      <c r="D1635" s="25" t="inlineStr">
        <is>
          <t>ST-048-EUR-02</t>
        </is>
      </c>
      <c r="E1635" s="25" t="inlineStr">
        <is>
          <t>IA-ST-048-EUR-02</t>
        </is>
      </c>
      <c r="F1635" s="25" t="inlineStr">
        <is>
          <t>IA-ST-CFG-0107</t>
        </is>
      </c>
      <c r="G1635" s="25" t="n">
        <v>32.3872</v>
      </c>
      <c r="H1635" s="25" t="inlineStr">
        <is>
          <t>988-pack GENERATED</t>
        </is>
      </c>
    </row>
    <row r="1636">
      <c r="A1636" s="25" t="inlineStr">
        <is>
          <t>1014852</t>
        </is>
      </c>
      <c r="B1636" s="25" t="inlineStr">
        <is>
          <t>AKÜ,D23,DK,60AH,IGYA SMF,TITAN,BESA</t>
        </is>
      </c>
      <c r="C1636" s="25" t="inlineStr">
        <is>
          <t>1</t>
        </is>
      </c>
      <c r="D1636" s="25" t="inlineStr">
        <is>
          <t>ST-060-EUR-02</t>
        </is>
      </c>
      <c r="E1636" s="25" t="inlineStr">
        <is>
          <t>IA-ST-060-EUR-02</t>
        </is>
      </c>
      <c r="F1636" s="25" t="inlineStr">
        <is>
          <t>IA-ST-CFG-0171</t>
        </is>
      </c>
      <c r="G1636" s="25" t="n">
        <v>32.9834</v>
      </c>
      <c r="H1636" s="25" t="inlineStr">
        <is>
          <t>988-pack GENERATED</t>
        </is>
      </c>
    </row>
    <row r="1637">
      <c r="A1637" s="25" t="inlineStr">
        <is>
          <t>1014853</t>
        </is>
      </c>
      <c r="B1637" s="25" t="inlineStr">
        <is>
          <t>AKÜ,D31,TK,100AH,IGYA SMF,TITAN,BESA</t>
        </is>
      </c>
      <c r="C1637" s="25" t="inlineStr">
        <is>
          <t>1</t>
        </is>
      </c>
      <c r="D1637" s="25" t="inlineStr">
        <is>
          <t>ST-048-EUR-09</t>
        </is>
      </c>
      <c r="E1637" s="25" t="inlineStr">
        <is>
          <t>IA-ST-048-EUR-09</t>
        </is>
      </c>
      <c r="F1637" s="25" t="inlineStr">
        <is>
          <t>IA-ST-CFG-0115</t>
        </is>
      </c>
      <c r="G1637" s="25" t="n">
        <v>32.8524</v>
      </c>
      <c r="H1637" s="25" t="inlineStr">
        <is>
          <t>988-pack GENERATED</t>
        </is>
      </c>
    </row>
    <row r="1638">
      <c r="A1638" s="25" t="inlineStr">
        <is>
          <t>1014854</t>
        </is>
      </c>
      <c r="B1638" s="25" t="inlineStr">
        <is>
          <t>AKÜ,D31,DK,100AH,IGYA SMF,TITAN,BESA</t>
        </is>
      </c>
      <c r="C1638" s="25" t="inlineStr">
        <is>
          <t>1</t>
        </is>
      </c>
      <c r="D1638" s="25" t="inlineStr">
        <is>
          <t>ST-048-EUR-09</t>
        </is>
      </c>
      <c r="E1638" s="25" t="inlineStr">
        <is>
          <t>IA-ST-048-EUR-09</t>
        </is>
      </c>
      <c r="F1638" s="25" t="inlineStr">
        <is>
          <t>IA-ST-CFG-0115</t>
        </is>
      </c>
      <c r="G1638" s="25" t="n">
        <v>32.8524</v>
      </c>
      <c r="H1638" s="25" t="inlineStr">
        <is>
          <t>988-pack GENERATED</t>
        </is>
      </c>
    </row>
    <row r="1639">
      <c r="A1639" s="25" t="inlineStr">
        <is>
          <t>1014855</t>
        </is>
      </c>
      <c r="B1639" s="25" t="inlineStr">
        <is>
          <t>AKÜ,L1,DK,50AH,IGYA SMF,TITAN,BESA</t>
        </is>
      </c>
      <c r="C1639" s="25" t="inlineStr">
        <is>
          <t>1</t>
        </is>
      </c>
      <c r="D1639" s="25" t="inlineStr">
        <is>
          <t>ST-096-EUR-03</t>
        </is>
      </c>
      <c r="E1639" s="25" t="inlineStr">
        <is>
          <t>IA-ST-096-EUR-03</t>
        </is>
      </c>
      <c r="F1639" s="25" t="inlineStr">
        <is>
          <t>IA-ST-CFG-0266</t>
        </is>
      </c>
      <c r="G1639" s="25" t="n">
        <v>31.2262</v>
      </c>
      <c r="H1639" s="25" t="inlineStr">
        <is>
          <t>988-pack GENERATED</t>
        </is>
      </c>
    </row>
    <row r="1640">
      <c r="A1640" s="25" t="inlineStr">
        <is>
          <t>1014856</t>
        </is>
      </c>
      <c r="B1640" s="25" t="inlineStr">
        <is>
          <t>AKÜ,LB2,DK,60AH,IGYA SMF,TITAN,BESA</t>
        </is>
      </c>
      <c r="C1640" s="25" t="inlineStr">
        <is>
          <t>1</t>
        </is>
      </c>
      <c r="D1640" s="25" t="inlineStr">
        <is>
          <t>ST-076-EUR-03</t>
        </is>
      </c>
      <c r="E1640" s="25" t="inlineStr">
        <is>
          <t>IA-ST-076-EUR-03</t>
        </is>
      </c>
      <c r="F1640" s="25" t="inlineStr">
        <is>
          <t>IA-ST-CFG-0240</t>
        </is>
      </c>
      <c r="G1640" s="25" t="n">
        <v>30.7272</v>
      </c>
      <c r="H1640" s="25" t="inlineStr">
        <is>
          <t>988-pack GENERATED</t>
        </is>
      </c>
    </row>
    <row r="1641">
      <c r="A1641" s="25" t="inlineStr">
        <is>
          <t>1014857</t>
        </is>
      </c>
      <c r="B1641" s="25" t="inlineStr">
        <is>
          <t>AKÜ,L2,DK,60AH,IGYA SMF,TITAN,BESA</t>
        </is>
      </c>
      <c r="C1641" s="25" t="inlineStr">
        <is>
          <t>1</t>
        </is>
      </c>
      <c r="D1641" s="25" t="inlineStr">
        <is>
          <t>ST-076-EUR-03</t>
        </is>
      </c>
      <c r="E1641" s="25" t="inlineStr">
        <is>
          <t>IA-ST-076-EUR-03</t>
        </is>
      </c>
      <c r="F1641" s="25" t="inlineStr">
        <is>
          <t>IA-ST-CFG-0240</t>
        </is>
      </c>
      <c r="G1641" s="25" t="n">
        <v>30.7272</v>
      </c>
      <c r="H1641" s="25" t="inlineStr">
        <is>
          <t>988-pack GENERATED</t>
        </is>
      </c>
    </row>
    <row r="1642">
      <c r="A1642" s="25" t="inlineStr">
        <is>
          <t>1014858</t>
        </is>
      </c>
      <c r="B1642" s="25" t="inlineStr">
        <is>
          <t>AKÜ,LB3,DK,72AH,IGYA SMF,TITAN,BESA</t>
        </is>
      </c>
      <c r="C1642" s="25" t="inlineStr">
        <is>
          <t>1</t>
        </is>
      </c>
      <c r="D1642" s="25" t="inlineStr">
        <is>
          <t>ST-068-EUR-02</t>
        </is>
      </c>
      <c r="E1642" s="25" t="inlineStr">
        <is>
          <t>IA-ST-068-EUR-02</t>
        </is>
      </c>
      <c r="F1642" s="25" t="inlineStr">
        <is>
          <t>IA-ST-CFG-0199</t>
        </is>
      </c>
      <c r="G1642" s="25" t="n">
        <v>29.9442</v>
      </c>
      <c r="H1642" s="25" t="inlineStr">
        <is>
          <t>988-pack GENERATED</t>
        </is>
      </c>
    </row>
    <row r="1643">
      <c r="A1643" s="25" t="inlineStr">
        <is>
          <t>1014859</t>
        </is>
      </c>
      <c r="B1643" s="25" t="inlineStr">
        <is>
          <t>AKÜ,L3,DK,75AH,IGYA SMF,TITAN,BESA</t>
        </is>
      </c>
      <c r="C1643" s="25" t="inlineStr">
        <is>
          <t>1</t>
        </is>
      </c>
      <c r="D1643" s="25" t="inlineStr">
        <is>
          <t>ST-068-EUR-03</t>
        </is>
      </c>
      <c r="E1643" s="25" t="inlineStr">
        <is>
          <t>IA-ST-068-EUR-03</t>
        </is>
      </c>
      <c r="F1643" s="25" t="inlineStr">
        <is>
          <t>IA-ST-CFG-0200</t>
        </is>
      </c>
      <c r="G1643" s="25" t="n">
        <v>30.0842</v>
      </c>
      <c r="H1643" s="25" t="inlineStr">
        <is>
          <t>988-pack GENERATED</t>
        </is>
      </c>
    </row>
    <row r="1644">
      <c r="A1644" s="25" t="inlineStr">
        <is>
          <t>1014860</t>
        </is>
      </c>
      <c r="B1644" s="25" t="inlineStr">
        <is>
          <t>AKÜ,L5,DK,105AH,IGYA SMF,TITAN,BESA</t>
        </is>
      </c>
      <c r="C1644" s="25" t="inlineStr">
        <is>
          <t>1</t>
        </is>
      </c>
      <c r="D1644" s="25" t="inlineStr">
        <is>
          <t>ST-048-EUR-10</t>
        </is>
      </c>
      <c r="E1644" s="25" t="inlineStr">
        <is>
          <t>IA-ST-048-EUR-10</t>
        </is>
      </c>
      <c r="F1644" s="25" t="inlineStr">
        <is>
          <t>IA-ST-CFG-0116</t>
        </is>
      </c>
      <c r="G1644" s="25" t="n">
        <v>29.7592</v>
      </c>
      <c r="H1644" s="25" t="inlineStr">
        <is>
          <t>988-pack GENERATED</t>
        </is>
      </c>
    </row>
    <row r="1645">
      <c r="A1645" s="25" t="inlineStr">
        <is>
          <t>1014861</t>
        </is>
      </c>
      <c r="B1645" s="25" t="inlineStr">
        <is>
          <t>AKÜ,A-FLAT,DK,110AH,TITAN,BESA</t>
        </is>
      </c>
      <c r="C1645" s="25" t="inlineStr">
        <is>
          <t>1</t>
        </is>
      </c>
      <c r="D1645" s="25" t="inlineStr">
        <is>
          <t>ST-024-EUR-04</t>
        </is>
      </c>
      <c r="E1645" s="25" t="inlineStr">
        <is>
          <t>IA-ST-024-EUR-04</t>
        </is>
      </c>
      <c r="F1645" s="25" t="inlineStr">
        <is>
          <t>IA-ST-CFG-0039</t>
        </is>
      </c>
      <c r="G1645" s="25" t="n">
        <v>30.6632</v>
      </c>
      <c r="H1645" s="25" t="inlineStr">
        <is>
          <t>988-pack GENERATED</t>
        </is>
      </c>
    </row>
    <row r="1646">
      <c r="A1646" s="25" t="inlineStr">
        <is>
          <t>1014862</t>
        </is>
      </c>
      <c r="B1646" s="25" t="inlineStr">
        <is>
          <t>AKÜ,A-FLAT,DK,120AH,TITAN,BESA</t>
        </is>
      </c>
      <c r="C1646" s="25" t="inlineStr">
        <is>
          <t>1</t>
        </is>
      </c>
      <c r="D1646" s="25" t="inlineStr">
        <is>
          <t>ST-024-EUR-04</t>
        </is>
      </c>
      <c r="E1646" s="25" t="inlineStr">
        <is>
          <t>IA-ST-024-EUR-04</t>
        </is>
      </c>
      <c r="F1646" s="25" t="inlineStr">
        <is>
          <t>IA-ST-CFG-0039</t>
        </is>
      </c>
      <c r="G1646" s="25" t="n">
        <v>30.6632</v>
      </c>
      <c r="H1646" s="25" t="inlineStr">
        <is>
          <t>988-pack GENERATED</t>
        </is>
      </c>
    </row>
    <row r="1647">
      <c r="A1647" s="25" t="inlineStr">
        <is>
          <t>1014863</t>
        </is>
      </c>
      <c r="B1647" s="25" t="inlineStr">
        <is>
          <t>AKÜ,B-FLAT,DK,180AH,TITAN,BESA</t>
        </is>
      </c>
      <c r="C1647" s="25" t="inlineStr">
        <is>
          <t>1</t>
        </is>
      </c>
      <c r="D1647" s="25" t="inlineStr">
        <is>
          <t>ST-021-EUR-03</t>
        </is>
      </c>
      <c r="E1647" s="25" t="inlineStr">
        <is>
          <t>IA-ST-021-EUR-03</t>
        </is>
      </c>
      <c r="F1647" s="25" t="inlineStr">
        <is>
          <t>IA-ST-CFG-0029</t>
        </is>
      </c>
      <c r="G1647" s="25" t="n">
        <v>30.7682</v>
      </c>
      <c r="H1647" s="25" t="inlineStr">
        <is>
          <t>988-pack GENERATED</t>
        </is>
      </c>
    </row>
    <row r="1648">
      <c r="A1648" s="25" t="inlineStr">
        <is>
          <t>1014864</t>
        </is>
      </c>
      <c r="B1648" s="25" t="inlineStr">
        <is>
          <t>AKÜ,C-FLAT,DK,225AH,TITAN,BESA</t>
        </is>
      </c>
      <c r="C1648" s="25" t="inlineStr">
        <is>
          <t>1</t>
        </is>
      </c>
      <c r="D1648" s="25" t="inlineStr">
        <is>
          <t>ST-018-EUR-03</t>
        </is>
      </c>
      <c r="E1648" s="25" t="inlineStr">
        <is>
          <t>IA-ST-018-EUR-03</t>
        </is>
      </c>
      <c r="F1648" s="25" t="inlineStr">
        <is>
          <t>IA-ST-CFG-0014</t>
        </is>
      </c>
      <c r="G1648" s="25" t="n">
        <v>30.9872</v>
      </c>
      <c r="H1648" s="25" t="inlineStr">
        <is>
          <t>988-pack GENERATED</t>
        </is>
      </c>
    </row>
    <row r="1649">
      <c r="A1649" s="25" t="inlineStr">
        <is>
          <t>1014865</t>
        </is>
      </c>
      <c r="B1649" s="25" t="inlineStr">
        <is>
          <t>AKÜ,C-IGYASMF,DK,225AH,TITAN,BESA</t>
        </is>
      </c>
      <c r="C1649" s="25" t="inlineStr">
        <is>
          <t>1</t>
        </is>
      </c>
      <c r="D1649" s="25" t="inlineStr">
        <is>
          <t>ST-018-EUR-03</t>
        </is>
      </c>
      <c r="E1649" s="25" t="inlineStr">
        <is>
          <t>IA-ST-018-EUR-03</t>
        </is>
      </c>
      <c r="F1649" s="25" t="inlineStr">
        <is>
          <t>IA-ST-CFG-0014</t>
        </is>
      </c>
      <c r="G1649" s="25" t="n">
        <v>30.9872</v>
      </c>
      <c r="H1649" s="25" t="inlineStr">
        <is>
          <t>988-pack GENERATED</t>
        </is>
      </c>
    </row>
    <row r="1650">
      <c r="A1650" s="25" t="inlineStr">
        <is>
          <t>1014866</t>
        </is>
      </c>
      <c r="B1650" s="25" t="inlineStr">
        <is>
          <t>AKÜ,L5,DK,100AH,IGYA,BOOSTER,TÜRKMENİSTN</t>
        </is>
      </c>
      <c r="C1650" s="25" t="inlineStr">
        <is>
          <t>1</t>
        </is>
      </c>
      <c r="D1650" s="25" t="inlineStr">
        <is>
          <t>ST-045-STD-08</t>
        </is>
      </c>
      <c r="E1650" s="25" t="inlineStr">
        <is>
          <t>IA-ST-045-STD-08</t>
        </is>
      </c>
      <c r="F1650" s="25" t="inlineStr">
        <is>
          <t>IA-ST-CFG-0096</t>
        </is>
      </c>
      <c r="G1650" s="25" t="n">
        <v>29.7192</v>
      </c>
      <c r="H1650" s="25" t="inlineStr">
        <is>
          <t>988-pack GENERATED</t>
        </is>
      </c>
    </row>
    <row r="1651">
      <c r="A1651" s="25" t="inlineStr">
        <is>
          <t>1014867</t>
        </is>
      </c>
      <c r="B1651" s="25" t="inlineStr">
        <is>
          <t>AKÜ,L2,DK,60AH,IGYA,EASACTIVA,TÜRKMENSTN</t>
        </is>
      </c>
      <c r="C1651" s="25" t="inlineStr">
        <is>
          <t>1</t>
        </is>
      </c>
      <c r="D1651" s="25" t="inlineStr">
        <is>
          <t>ST-072-STD-13</t>
        </is>
      </c>
      <c r="E1651" s="25" t="inlineStr">
        <is>
          <t>IA-ST-072-STD-13</t>
        </is>
      </c>
      <c r="F1651" s="25" t="inlineStr">
        <is>
          <t>IA-ST-CFG-0222</t>
        </is>
      </c>
      <c r="G1651" s="25" t="n">
        <v>30.6552</v>
      </c>
      <c r="H1651" s="25" t="inlineStr">
        <is>
          <t>988-pack GENERATED</t>
        </is>
      </c>
    </row>
    <row r="1652">
      <c r="A1652" s="25" t="inlineStr">
        <is>
          <t>1014879</t>
        </is>
      </c>
      <c r="B1652" s="25" t="inlineStr">
        <is>
          <t>AKÜ,LB1,DK,44AH,IGYA,FP36-750,FURIAPOWER</t>
        </is>
      </c>
      <c r="C1652" s="25" t="inlineStr">
        <is>
          <t>1</t>
        </is>
      </c>
      <c r="D1652" s="25" t="inlineStr">
        <is>
          <t>ST-087-STD-02</t>
        </is>
      </c>
      <c r="E1652" s="25" t="inlineStr">
        <is>
          <t>IA-ST-087-STD-02</t>
        </is>
      </c>
      <c r="F1652" s="25" t="inlineStr">
        <is>
          <t>IA-ST-CFG-0247</t>
        </is>
      </c>
      <c r="G1652" s="25" t="n">
        <v>30.4892</v>
      </c>
      <c r="H1652" s="25" t="inlineStr">
        <is>
          <t>988-pack GENERATED</t>
        </is>
      </c>
    </row>
    <row r="1653">
      <c r="A1653" s="25" t="inlineStr">
        <is>
          <t>1014880</t>
        </is>
      </c>
      <c r="B1653" s="25" t="inlineStr">
        <is>
          <t>AKÜ,LB2,DK,45AH,IGYA,FP22-850,FURIAPOWER</t>
        </is>
      </c>
      <c r="C1653" s="25" t="inlineStr">
        <is>
          <t>1</t>
        </is>
      </c>
      <c r="D1653" s="25" t="inlineStr">
        <is>
          <t>ST-072-STD-13</t>
        </is>
      </c>
      <c r="E1653" s="25" t="inlineStr">
        <is>
          <t>IA-ST-072-STD-13</t>
        </is>
      </c>
      <c r="F1653" s="25" t="inlineStr">
        <is>
          <t>IA-ST-CFG-0222</t>
        </is>
      </c>
      <c r="G1653" s="25" t="n">
        <v>30.6552</v>
      </c>
      <c r="H1653" s="25" t="inlineStr">
        <is>
          <t>988-pack GENERATED</t>
        </is>
      </c>
    </row>
    <row r="1654">
      <c r="A1654" s="25" t="inlineStr">
        <is>
          <t>1014881</t>
        </is>
      </c>
      <c r="B1654" s="25" t="inlineStr">
        <is>
          <t>AKÜ,L2,DK,55AH,IGYA,FP47R-900,FURIAPOWER</t>
        </is>
      </c>
      <c r="C1654" s="25" t="inlineStr">
        <is>
          <t>1</t>
        </is>
      </c>
      <c r="D1654" s="25" t="inlineStr">
        <is>
          <t>ST-072-STD-13</t>
        </is>
      </c>
      <c r="E1654" s="25" t="inlineStr">
        <is>
          <t>IA-ST-072-STD-13</t>
        </is>
      </c>
      <c r="F1654" s="25" t="inlineStr">
        <is>
          <t>IA-ST-CFG-0222</t>
        </is>
      </c>
      <c r="G1654" s="25" t="n">
        <v>30.6552</v>
      </c>
      <c r="H1654" s="25" t="inlineStr">
        <is>
          <t>988-pack GENERATED</t>
        </is>
      </c>
    </row>
    <row r="1655">
      <c r="A1655" s="25" t="inlineStr">
        <is>
          <t>1014882</t>
        </is>
      </c>
      <c r="B1655" s="25" t="inlineStr">
        <is>
          <t>AKÜ,L2,TK,55AH,IGYA,FP47-900,FURIA POWER</t>
        </is>
      </c>
      <c r="C1655" s="25" t="inlineStr">
        <is>
          <t>1</t>
        </is>
      </c>
      <c r="D1655" s="25" t="inlineStr">
        <is>
          <t>ST-072-STD-13</t>
        </is>
      </c>
      <c r="E1655" s="25" t="inlineStr">
        <is>
          <t>IA-ST-072-STD-13</t>
        </is>
      </c>
      <c r="F1655" s="25" t="inlineStr">
        <is>
          <t>IA-ST-CFG-0222</t>
        </is>
      </c>
      <c r="G1655" s="25" t="n">
        <v>30.6552</v>
      </c>
      <c r="H1655" s="25" t="inlineStr">
        <is>
          <t>988-pack GENERATED</t>
        </is>
      </c>
    </row>
    <row r="1656">
      <c r="A1656" s="25" t="inlineStr">
        <is>
          <t>1014883</t>
        </is>
      </c>
      <c r="B1656" s="25" t="inlineStr">
        <is>
          <t>AKÜ,L2,TK,55AH,IGYA,FP47-950,FURIA POWER</t>
        </is>
      </c>
      <c r="C1656" s="25" t="inlineStr">
        <is>
          <t>1</t>
        </is>
      </c>
      <c r="D1656" s="25" t="inlineStr">
        <is>
          <t>ST-072-STD-13</t>
        </is>
      </c>
      <c r="E1656" s="25" t="inlineStr">
        <is>
          <t>IA-ST-072-STD-13</t>
        </is>
      </c>
      <c r="F1656" s="25" t="inlineStr">
        <is>
          <t>IA-ST-CFG-0222</t>
        </is>
      </c>
      <c r="G1656" s="25" t="n">
        <v>30.6552</v>
      </c>
      <c r="H1656" s="25" t="inlineStr">
        <is>
          <t>988-pack GENERATED</t>
        </is>
      </c>
    </row>
    <row r="1657">
      <c r="A1657" s="25" t="inlineStr">
        <is>
          <t>1014884</t>
        </is>
      </c>
      <c r="B1657" s="25" t="inlineStr">
        <is>
          <t>AKÜ,L3,DK,66AH,IGYA,FP43R-1000FURIAPOWER</t>
        </is>
      </c>
      <c r="C1657" s="25" t="inlineStr">
        <is>
          <t>1</t>
        </is>
      </c>
      <c r="D1657" s="25" t="inlineStr">
        <is>
          <t>ST-063-STD-08</t>
        </is>
      </c>
      <c r="E1657" s="25" t="inlineStr">
        <is>
          <t>IA-ST-063-STD-08</t>
        </is>
      </c>
      <c r="F1657" s="25" t="inlineStr">
        <is>
          <t>IA-ST-CFG-0179</t>
        </is>
      </c>
      <c r="G1657" s="25" t="n">
        <v>29.9992</v>
      </c>
      <c r="H1657" s="25" t="inlineStr">
        <is>
          <t>988-pack GENERATED</t>
        </is>
      </c>
    </row>
    <row r="1658">
      <c r="A1658" s="25" t="inlineStr">
        <is>
          <t>1014885</t>
        </is>
      </c>
      <c r="B1658" s="25" t="inlineStr">
        <is>
          <t>AKÜ,NS40DK35AH,IGYA,FPNS40-600FURIAPOWER</t>
        </is>
      </c>
      <c r="C1658" s="25" t="inlineStr">
        <is>
          <t>1</t>
        </is>
      </c>
      <c r="D1658" s="25" t="inlineStr">
        <is>
          <t>ST-120-STD-01</t>
        </is>
      </c>
      <c r="E1658" s="25" t="inlineStr">
        <is>
          <t>IA-ST-120-STD-01</t>
        </is>
      </c>
      <c r="F1658" s="25" t="inlineStr">
        <is>
          <t>IA-ST-CFG-0284</t>
        </is>
      </c>
      <c r="G1658" s="25" t="n">
        <v>35.3676</v>
      </c>
      <c r="H1658" s="25" t="inlineStr">
        <is>
          <t>988-pack GENERATED</t>
        </is>
      </c>
    </row>
    <row r="1659">
      <c r="A1659" s="25" t="inlineStr">
        <is>
          <t>1014886</t>
        </is>
      </c>
      <c r="B1659" s="25" t="inlineStr">
        <is>
          <t>AKÜ,NS60DK45AH,IGYA,FPN60L-700FURIAPOWER</t>
        </is>
      </c>
      <c r="C1659" s="25" t="inlineStr">
        <is>
          <t>1</t>
        </is>
      </c>
      <c r="D1659" s="25" t="inlineStr">
        <is>
          <t>ST-096-STD-03</t>
        </is>
      </c>
      <c r="E1659" s="25" t="inlineStr">
        <is>
          <t>IA-ST-096-STD-03</t>
        </is>
      </c>
      <c r="F1659" s="25" t="inlineStr">
        <is>
          <t>IA-ST-CFG-0272</t>
        </is>
      </c>
      <c r="G1659" s="25" t="n">
        <v>35.3172</v>
      </c>
      <c r="H1659" s="25" t="inlineStr">
        <is>
          <t>988-pack GENERATED</t>
        </is>
      </c>
    </row>
    <row r="1660">
      <c r="A1660" s="25" t="inlineStr">
        <is>
          <t>1014887</t>
        </is>
      </c>
      <c r="B1660" s="25" t="inlineStr">
        <is>
          <t>AKÜ,D26,DK66AH,IGYA,FP24R-1000FURIAPOWER</t>
        </is>
      </c>
      <c r="C1660" s="25" t="inlineStr">
        <is>
          <t>1</t>
        </is>
      </c>
      <c r="D1660" s="25" t="inlineStr">
        <is>
          <t>ST-063-STD-04</t>
        </is>
      </c>
      <c r="E1660" s="25" t="inlineStr">
        <is>
          <t>IA-ST-063-STD-04</t>
        </is>
      </c>
      <c r="F1660" s="25" t="inlineStr">
        <is>
          <t>IA-ST-CFG-0175</t>
        </is>
      </c>
      <c r="G1660" s="25" t="n">
        <v>34.1512</v>
      </c>
      <c r="H1660" s="25" t="inlineStr">
        <is>
          <t>988-pack GENERATED</t>
        </is>
      </c>
    </row>
    <row r="1661">
      <c r="A1661" s="25" t="inlineStr">
        <is>
          <t>1014891</t>
        </is>
      </c>
      <c r="B1661" s="25" t="inlineStr">
        <is>
          <t>AKÜ,L3,DK,72AH,IGYA SMF,EFB S&amp;S,LUCAS</t>
        </is>
      </c>
      <c r="C1661" s="25" t="inlineStr">
        <is>
          <t>1</t>
        </is>
      </c>
      <c r="D1661" s="25" t="inlineStr">
        <is>
          <t>ST-063-STD-08</t>
        </is>
      </c>
      <c r="E1661" s="25" t="inlineStr">
        <is>
          <t>IA-ST-063-STD-08</t>
        </is>
      </c>
      <c r="F1661" s="25" t="inlineStr">
        <is>
          <t>IA-ST-CFG-0179</t>
        </is>
      </c>
      <c r="G1661" s="25" t="n">
        <v>29.9992</v>
      </c>
      <c r="H1661" s="25" t="inlineStr">
        <is>
          <t>988-pack GENERATED</t>
        </is>
      </c>
    </row>
    <row r="1662">
      <c r="A1662" s="25" t="inlineStr">
        <is>
          <t>1014892</t>
        </is>
      </c>
      <c r="B1662" s="25" t="inlineStr">
        <is>
          <t>AKÜ,L4,DK,80AH,IGYA SMF,EFB S&amp;S,LUCAS</t>
        </is>
      </c>
      <c r="C1662" s="25" t="inlineStr">
        <is>
          <t>1</t>
        </is>
      </c>
      <c r="D1662" s="25" t="inlineStr">
        <is>
          <t>ST-054-STD-06</t>
        </is>
      </c>
      <c r="E1662" s="25" t="inlineStr">
        <is>
          <t>IA-ST-054-STD-06</t>
        </is>
      </c>
      <c r="F1662" s="25" t="inlineStr">
        <is>
          <t>IA-ST-CFG-0142</t>
        </is>
      </c>
      <c r="G1662" s="25" t="n">
        <v>29.7552</v>
      </c>
      <c r="H1662" s="25" t="inlineStr">
        <is>
          <t>988-pack GENERATED</t>
        </is>
      </c>
    </row>
    <row r="1663">
      <c r="A1663" s="25" t="inlineStr">
        <is>
          <t>1014893</t>
        </is>
      </c>
      <c r="B1663" s="25" t="inlineStr">
        <is>
          <t>AKÜ,L2,DK,60AH,VRLA,AGM S&amp;S,LUCAS</t>
        </is>
      </c>
      <c r="C1663" s="25" t="inlineStr">
        <is>
          <t>1</t>
        </is>
      </c>
      <c r="D1663" s="25" t="inlineStr">
        <is>
          <t>ST-072-STD-13</t>
        </is>
      </c>
      <c r="E1663" s="25" t="inlineStr">
        <is>
          <t>IA-ST-072-STD-13</t>
        </is>
      </c>
      <c r="F1663" s="25" t="inlineStr">
        <is>
          <t>IA-ST-CFG-0222</t>
        </is>
      </c>
      <c r="G1663" s="25" t="n">
        <v>30.6552</v>
      </c>
      <c r="H1663" s="25" t="inlineStr">
        <is>
          <t>988-pack GENERATED</t>
        </is>
      </c>
    </row>
    <row r="1664">
      <c r="A1664" s="25" t="inlineStr">
        <is>
          <t>1014894</t>
        </is>
      </c>
      <c r="B1664" s="25" t="inlineStr">
        <is>
          <t>AKÜ,L3,DK,70AH,VRLA,AGM S&amp;S,LUCAS</t>
        </is>
      </c>
      <c r="C1664" s="25" t="inlineStr">
        <is>
          <t>1</t>
        </is>
      </c>
      <c r="D1664" s="25" t="inlineStr">
        <is>
          <t>ST-063-STD-08</t>
        </is>
      </c>
      <c r="E1664" s="25" t="inlineStr">
        <is>
          <t>IA-ST-063-STD-08</t>
        </is>
      </c>
      <c r="F1664" s="25" t="inlineStr">
        <is>
          <t>IA-ST-CFG-0179</t>
        </is>
      </c>
      <c r="G1664" s="25" t="n">
        <v>29.9992</v>
      </c>
      <c r="H1664" s="25" t="inlineStr">
        <is>
          <t>988-pack GENERATED</t>
        </is>
      </c>
    </row>
    <row r="1665">
      <c r="A1665" s="25" t="inlineStr">
        <is>
          <t>1014895</t>
        </is>
      </c>
      <c r="B1665" s="25" t="inlineStr">
        <is>
          <t>AKÜ,L4,DK,80AH,VRLA,AGM S&amp;S,LUCAS</t>
        </is>
      </c>
      <c r="C1665" s="25" t="inlineStr">
        <is>
          <t>1</t>
        </is>
      </c>
      <c r="D1665" s="25" t="inlineStr">
        <is>
          <t>ST-054-STD-06</t>
        </is>
      </c>
      <c r="E1665" s="25" t="inlineStr">
        <is>
          <t>IA-ST-054-STD-06</t>
        </is>
      </c>
      <c r="F1665" s="25" t="inlineStr">
        <is>
          <t>IA-ST-CFG-0142</t>
        </is>
      </c>
      <c r="G1665" s="25" t="n">
        <v>29.7552</v>
      </c>
      <c r="H1665" s="25" t="inlineStr">
        <is>
          <t>988-pack GENERATED</t>
        </is>
      </c>
    </row>
    <row r="1666">
      <c r="A1666" s="25" t="inlineStr">
        <is>
          <t>1014896</t>
        </is>
      </c>
      <c r="B1666" s="25" t="inlineStr">
        <is>
          <t>AKÜ,L5,DK,95AH,VRLA,AGM S&amp;S,LUCAS</t>
        </is>
      </c>
      <c r="C1666" s="25" t="inlineStr">
        <is>
          <t>1</t>
        </is>
      </c>
      <c r="D1666" s="25" t="inlineStr">
        <is>
          <t>ST-045-STD-08</t>
        </is>
      </c>
      <c r="E1666" s="25" t="inlineStr">
        <is>
          <t>IA-ST-045-STD-08</t>
        </is>
      </c>
      <c r="F1666" s="25" t="inlineStr">
        <is>
          <t>IA-ST-CFG-0096</t>
        </is>
      </c>
      <c r="G1666" s="25" t="n">
        <v>29.7192</v>
      </c>
      <c r="H1666" s="25" t="inlineStr">
        <is>
          <t>988-pack GENERATED</t>
        </is>
      </c>
    </row>
    <row r="1667">
      <c r="A1667" s="25" t="inlineStr">
        <is>
          <t>1014897</t>
        </is>
      </c>
      <c r="B1667" s="25" t="inlineStr">
        <is>
          <t>AKÜ,B-IGYASMF,DK,180AH,Y3000SHDEXP,GYITA</t>
        </is>
      </c>
      <c r="C1667" s="25" t="inlineStr">
        <is>
          <t>1</t>
        </is>
      </c>
      <c r="D1667" s="25" t="inlineStr">
        <is>
          <t>ST-021-EUR-04</t>
        </is>
      </c>
      <c r="E1667" s="25" t="inlineStr">
        <is>
          <t>IA-ST-021-EUR-04</t>
        </is>
      </c>
      <c r="F1667" s="25" t="inlineStr">
        <is>
          <t>IA-ST-CFG-0030</t>
        </is>
      </c>
      <c r="G1667" s="25" t="n">
        <v>30.0392</v>
      </c>
      <c r="H1667" s="25" t="inlineStr">
        <is>
          <t>988-pack GENERATED</t>
        </is>
      </c>
    </row>
    <row r="1668">
      <c r="A1668" s="25" t="inlineStr">
        <is>
          <t>1014898</t>
        </is>
      </c>
      <c r="B1668" s="25" t="inlineStr">
        <is>
          <t>AKÜ,B-IGYASMF,TK,180AH,Y3000SHDEXP,GYITA</t>
        </is>
      </c>
      <c r="C1668" s="25" t="inlineStr">
        <is>
          <t>1</t>
        </is>
      </c>
      <c r="D1668" s="25" t="inlineStr">
        <is>
          <t>ST-021-EUR-04</t>
        </is>
      </c>
      <c r="E1668" s="25" t="inlineStr">
        <is>
          <t>IA-ST-021-EUR-04</t>
        </is>
      </c>
      <c r="F1668" s="25" t="inlineStr">
        <is>
          <t>IA-ST-CFG-0030</t>
        </is>
      </c>
      <c r="G1668" s="25" t="n">
        <v>30.0392</v>
      </c>
      <c r="H1668" s="25" t="inlineStr">
        <is>
          <t>988-pack GENERATED</t>
        </is>
      </c>
    </row>
    <row r="1669">
      <c r="A1669" s="25" t="inlineStr">
        <is>
          <t>1014899</t>
        </is>
      </c>
      <c r="B1669" s="25" t="inlineStr">
        <is>
          <t>AKÜ,C-IGYASMF,DK,220AH,Y3000SHDEXP,GYITA</t>
        </is>
      </c>
      <c r="C1669" s="25" t="inlineStr">
        <is>
          <t>1</t>
        </is>
      </c>
      <c r="D1669" s="25" t="inlineStr">
        <is>
          <t>ST-018-EUR-04</t>
        </is>
      </c>
      <c r="E1669" s="25" t="inlineStr">
        <is>
          <t>IA-ST-018-EUR-04</t>
        </is>
      </c>
      <c r="F1669" s="25" t="inlineStr">
        <is>
          <t>IA-ST-CFG-0015</t>
        </is>
      </c>
      <c r="G1669" s="25" t="n">
        <v>30.0392</v>
      </c>
      <c r="H1669" s="25" t="inlineStr">
        <is>
          <t>988-pack GENERATED</t>
        </is>
      </c>
    </row>
    <row r="1670">
      <c r="A1670" s="25" t="inlineStr">
        <is>
          <t>1014900</t>
        </is>
      </c>
      <c r="B1670" s="25" t="inlineStr">
        <is>
          <t>AKÜ,B-IGYASMF,DK,185AH,Y5000SHDEXP,GYITA</t>
        </is>
      </c>
      <c r="C1670" s="25" t="inlineStr">
        <is>
          <t>1</t>
        </is>
      </c>
      <c r="D1670" s="25" t="inlineStr">
        <is>
          <t>ST-021-EUR-04</t>
        </is>
      </c>
      <c r="E1670" s="25" t="inlineStr">
        <is>
          <t>IA-ST-021-EUR-04</t>
        </is>
      </c>
      <c r="F1670" s="25" t="inlineStr">
        <is>
          <t>IA-ST-CFG-0030</t>
        </is>
      </c>
      <c r="G1670" s="25" t="n">
        <v>30.0392</v>
      </c>
      <c r="H1670" s="25" t="inlineStr">
        <is>
          <t>988-pack GENERATED</t>
        </is>
      </c>
    </row>
    <row r="1671">
      <c r="A1671" s="25" t="inlineStr">
        <is>
          <t>1014901</t>
        </is>
      </c>
      <c r="B1671" s="25" t="inlineStr">
        <is>
          <t>AKÜ,B-IGYASMF,TK,185AH,Y5000SHDEXP,GYITA</t>
        </is>
      </c>
      <c r="C1671" s="25" t="inlineStr">
        <is>
          <t>1</t>
        </is>
      </c>
      <c r="D1671" s="25" t="inlineStr">
        <is>
          <t>ST-021-EUR-04</t>
        </is>
      </c>
      <c r="E1671" s="25" t="inlineStr">
        <is>
          <t>IA-ST-021-EUR-04</t>
        </is>
      </c>
      <c r="F1671" s="25" t="inlineStr">
        <is>
          <t>IA-ST-CFG-0030</t>
        </is>
      </c>
      <c r="G1671" s="25" t="n">
        <v>30.0392</v>
      </c>
      <c r="H1671" s="25" t="inlineStr">
        <is>
          <t>988-pack GENERATED</t>
        </is>
      </c>
    </row>
    <row r="1672">
      <c r="A1672" s="25" t="inlineStr">
        <is>
          <t>1014902</t>
        </is>
      </c>
      <c r="B1672" s="25" t="inlineStr">
        <is>
          <t>AKÜ,C-IGYASMF,DK,230AH,Y5000SHDEXP,GYITA</t>
        </is>
      </c>
      <c r="C1672" s="25" t="inlineStr">
        <is>
          <t>1</t>
        </is>
      </c>
      <c r="D1672" s="25" t="inlineStr">
        <is>
          <t>ST-018-EUR-04</t>
        </is>
      </c>
      <c r="E1672" s="25" t="inlineStr">
        <is>
          <t>IA-ST-018-EUR-04</t>
        </is>
      </c>
      <c r="F1672" s="25" t="inlineStr">
        <is>
          <t>IA-ST-CFG-0015</t>
        </is>
      </c>
      <c r="G1672" s="25" t="n">
        <v>30.0392</v>
      </c>
      <c r="H1672" s="25" t="inlineStr">
        <is>
          <t>988-pack GENERATED</t>
        </is>
      </c>
    </row>
    <row r="1673">
      <c r="A1673" s="25" t="inlineStr">
        <is>
          <t>1014903</t>
        </is>
      </c>
      <c r="B1673" s="25" t="inlineStr">
        <is>
          <t>AKÜ,B-IGYASMF,DK,185AH,Y7000SHDEXP,GYITA</t>
        </is>
      </c>
      <c r="C1673" s="25" t="inlineStr">
        <is>
          <t>1</t>
        </is>
      </c>
      <c r="D1673" s="25" t="inlineStr">
        <is>
          <t>ST-021-EUR-04</t>
        </is>
      </c>
      <c r="E1673" s="25" t="inlineStr">
        <is>
          <t>IA-ST-021-EUR-04</t>
        </is>
      </c>
      <c r="F1673" s="25" t="inlineStr">
        <is>
          <t>IA-ST-CFG-0030</t>
        </is>
      </c>
      <c r="G1673" s="25" t="n">
        <v>30.0392</v>
      </c>
      <c r="H1673" s="25" t="inlineStr">
        <is>
          <t>988-pack GENERATED</t>
        </is>
      </c>
    </row>
    <row r="1674">
      <c r="A1674" s="25" t="inlineStr">
        <is>
          <t>1014904</t>
        </is>
      </c>
      <c r="B1674" s="25" t="inlineStr">
        <is>
          <t>AKÜ,C-IGYASMF,DK,230AH,Y7000SHDEXP,GYITA</t>
        </is>
      </c>
      <c r="C1674" s="25" t="inlineStr">
        <is>
          <t>1</t>
        </is>
      </c>
      <c r="D1674" s="25" t="inlineStr">
        <is>
          <t>ST-012-EUR-03</t>
        </is>
      </c>
      <c r="E1674" s="25" t="inlineStr">
        <is>
          <t>IA-ST-012-EUR-03</t>
        </is>
      </c>
      <c r="F1674" s="25" t="inlineStr">
        <is>
          <t>IA-ST-CFG-0006</t>
        </is>
      </c>
      <c r="G1674" s="25" t="n">
        <v>29.0392</v>
      </c>
      <c r="H1674" s="25" t="inlineStr">
        <is>
          <t>988-pack GENERATED</t>
        </is>
      </c>
    </row>
    <row r="1675">
      <c r="A1675" s="25" t="inlineStr">
        <is>
          <t>1014905</t>
        </is>
      </c>
      <c r="B1675" s="25" t="inlineStr">
        <is>
          <t>AKÜ,B-IGYASMF,DK,180AH,Y3000NONAME,GYITA</t>
        </is>
      </c>
      <c r="C1675" s="25" t="inlineStr">
        <is>
          <t>1</t>
        </is>
      </c>
      <c r="D1675" s="25" t="inlineStr">
        <is>
          <t>ST-021-EUR-04</t>
        </is>
      </c>
      <c r="E1675" s="25" t="inlineStr">
        <is>
          <t>IA-ST-021-EUR-04</t>
        </is>
      </c>
      <c r="F1675" s="25" t="inlineStr">
        <is>
          <t>IA-ST-CFG-0030</t>
        </is>
      </c>
      <c r="G1675" s="25" t="n">
        <v>30.0392</v>
      </c>
      <c r="H1675" s="25" t="inlineStr">
        <is>
          <t>988-pack GENERATED</t>
        </is>
      </c>
    </row>
    <row r="1676">
      <c r="A1676" s="25" t="inlineStr">
        <is>
          <t>1014906</t>
        </is>
      </c>
      <c r="B1676" s="25" t="inlineStr">
        <is>
          <t>AKÜ,B-IGYASMF,TK,180AH,Y3000NONAME,GYITA</t>
        </is>
      </c>
      <c r="C1676" s="25" t="inlineStr">
        <is>
          <t>1</t>
        </is>
      </c>
      <c r="D1676" s="25" t="inlineStr">
        <is>
          <t>ST-021-EUR-04</t>
        </is>
      </c>
      <c r="E1676" s="25" t="inlineStr">
        <is>
          <t>IA-ST-021-EUR-04</t>
        </is>
      </c>
      <c r="F1676" s="25" t="inlineStr">
        <is>
          <t>IA-ST-CFG-0030</t>
        </is>
      </c>
      <c r="G1676" s="25" t="n">
        <v>30.0392</v>
      </c>
      <c r="H1676" s="25" t="inlineStr">
        <is>
          <t>988-pack GENERATED</t>
        </is>
      </c>
    </row>
    <row r="1677">
      <c r="A1677" s="25" t="inlineStr">
        <is>
          <t>1014907</t>
        </is>
      </c>
      <c r="B1677" s="25" t="inlineStr">
        <is>
          <t>AKÜ,C-IGYASMF,DK,220AH,Y3000NONAME,GYITA</t>
        </is>
      </c>
      <c r="C1677" s="25" t="inlineStr">
        <is>
          <t>1</t>
        </is>
      </c>
      <c r="D1677" s="25" t="inlineStr">
        <is>
          <t>ST-018-EUR-04</t>
        </is>
      </c>
      <c r="E1677" s="25" t="inlineStr">
        <is>
          <t>IA-ST-018-EUR-04</t>
        </is>
      </c>
      <c r="F1677" s="25" t="inlineStr">
        <is>
          <t>IA-ST-CFG-0015</t>
        </is>
      </c>
      <c r="G1677" s="25" t="n">
        <v>30.0392</v>
      </c>
      <c r="H1677" s="25" t="inlineStr">
        <is>
          <t>988-pack GENERATED</t>
        </is>
      </c>
    </row>
    <row r="1678">
      <c r="A1678" s="25" t="inlineStr">
        <is>
          <t>1014908</t>
        </is>
      </c>
      <c r="B1678" s="25" t="inlineStr">
        <is>
          <t>AKÜ,B-IGYASMF,DK,185AH,Y5000NONAME,GYITA</t>
        </is>
      </c>
      <c r="C1678" s="25" t="inlineStr">
        <is>
          <t>1</t>
        </is>
      </c>
      <c r="D1678" s="25" t="inlineStr">
        <is>
          <t>ST-021-EUR-04</t>
        </is>
      </c>
      <c r="E1678" s="25" t="inlineStr">
        <is>
          <t>IA-ST-021-EUR-04</t>
        </is>
      </c>
      <c r="F1678" s="25" t="inlineStr">
        <is>
          <t>IA-ST-CFG-0030</t>
        </is>
      </c>
      <c r="G1678" s="25" t="n">
        <v>30.0392</v>
      </c>
      <c r="H1678" s="25" t="inlineStr">
        <is>
          <t>988-pack GENERATED</t>
        </is>
      </c>
    </row>
    <row r="1679">
      <c r="A1679" s="25" t="inlineStr">
        <is>
          <t>1014909</t>
        </is>
      </c>
      <c r="B1679" s="25" t="inlineStr">
        <is>
          <t>AKÜ,B-IGYASMF,TK,185AH,Y5000NONAME,GYITA</t>
        </is>
      </c>
      <c r="C1679" s="25" t="inlineStr">
        <is>
          <t>1</t>
        </is>
      </c>
      <c r="D1679" s="25" t="inlineStr">
        <is>
          <t>ST-021-EUR-04</t>
        </is>
      </c>
      <c r="E1679" s="25" t="inlineStr">
        <is>
          <t>IA-ST-021-EUR-04</t>
        </is>
      </c>
      <c r="F1679" s="25" t="inlineStr">
        <is>
          <t>IA-ST-CFG-0030</t>
        </is>
      </c>
      <c r="G1679" s="25" t="n">
        <v>30.0392</v>
      </c>
      <c r="H1679" s="25" t="inlineStr">
        <is>
          <t>988-pack GENERATED</t>
        </is>
      </c>
    </row>
    <row r="1680">
      <c r="A1680" s="25" t="inlineStr">
        <is>
          <t>1014910</t>
        </is>
      </c>
      <c r="B1680" s="25" t="inlineStr">
        <is>
          <t>AKÜ,C-IGYASMF,DK,230AH,Y5000NONAME,GYITA</t>
        </is>
      </c>
      <c r="C1680" s="25" t="inlineStr">
        <is>
          <t>1</t>
        </is>
      </c>
      <c r="D1680" s="25" t="inlineStr">
        <is>
          <t>ST-018-EUR-04</t>
        </is>
      </c>
      <c r="E1680" s="25" t="inlineStr">
        <is>
          <t>IA-ST-018-EUR-04</t>
        </is>
      </c>
      <c r="F1680" s="25" t="inlineStr">
        <is>
          <t>IA-ST-CFG-0015</t>
        </is>
      </c>
      <c r="G1680" s="25" t="n">
        <v>30.0392</v>
      </c>
      <c r="H1680" s="25" t="inlineStr">
        <is>
          <t>988-pack GENERATED</t>
        </is>
      </c>
    </row>
    <row r="1681">
      <c r="A1681" s="25" t="inlineStr">
        <is>
          <t>1014911</t>
        </is>
      </c>
      <c r="B1681" s="25" t="inlineStr">
        <is>
          <t>AKÜ,B-IGYASMF,DK,185AH,Y7000NONAME,GYITA</t>
        </is>
      </c>
      <c r="C1681" s="25" t="inlineStr">
        <is>
          <t>1</t>
        </is>
      </c>
      <c r="D1681" s="25" t="inlineStr">
        <is>
          <t>ST-021-EUR-04</t>
        </is>
      </c>
      <c r="E1681" s="25" t="inlineStr">
        <is>
          <t>IA-ST-021-EUR-04</t>
        </is>
      </c>
      <c r="F1681" s="25" t="inlineStr">
        <is>
          <t>IA-ST-CFG-0030</t>
        </is>
      </c>
      <c r="G1681" s="25" t="n">
        <v>30.0392</v>
      </c>
      <c r="H1681" s="25" t="inlineStr">
        <is>
          <t>988-pack GENERATED</t>
        </is>
      </c>
    </row>
    <row r="1682">
      <c r="A1682" s="25" t="inlineStr">
        <is>
          <t>1014912</t>
        </is>
      </c>
      <c r="B1682" s="25" t="inlineStr">
        <is>
          <t>AKÜ,C-IGYASMF,DK,230AH,Y7000NONAME,GYITA</t>
        </is>
      </c>
      <c r="C1682" s="25" t="inlineStr">
        <is>
          <t>1</t>
        </is>
      </c>
      <c r="D1682" s="25" t="inlineStr">
        <is>
          <t>ST-012-EUR-03</t>
        </is>
      </c>
      <c r="E1682" s="25" t="inlineStr">
        <is>
          <t>IA-ST-012-EUR-03</t>
        </is>
      </c>
      <c r="F1682" s="25" t="inlineStr">
        <is>
          <t>IA-ST-CFG-0006</t>
        </is>
      </c>
      <c r="G1682" s="25" t="n">
        <v>29.0392</v>
      </c>
      <c r="H1682" s="25" t="inlineStr">
        <is>
          <t>988-pack GENERATED</t>
        </is>
      </c>
    </row>
    <row r="1683">
      <c r="A1683" s="25" t="inlineStr">
        <is>
          <t>1014914</t>
        </is>
      </c>
      <c r="B1683" s="25" t="inlineStr">
        <is>
          <t>AKÜ,LB2,DK,60AH,IGYA SMF,TITAN,BESA</t>
        </is>
      </c>
      <c r="C1683" s="25" t="inlineStr">
        <is>
          <t>1</t>
        </is>
      </c>
      <c r="D1683" s="25" t="inlineStr">
        <is>
          <t>ST-076-EUR-03</t>
        </is>
      </c>
      <c r="E1683" s="25" t="inlineStr">
        <is>
          <t>IA-ST-076-EUR-03</t>
        </is>
      </c>
      <c r="F1683" s="25" t="inlineStr">
        <is>
          <t>IA-ST-CFG-0240</t>
        </is>
      </c>
      <c r="G1683" s="25" t="n">
        <v>30.7272</v>
      </c>
      <c r="H1683" s="25" t="inlineStr">
        <is>
          <t>988-pack GENERATED</t>
        </is>
      </c>
    </row>
    <row r="1684">
      <c r="A1684" s="25" t="inlineStr">
        <is>
          <t>1014915</t>
        </is>
      </c>
      <c r="B1684" s="25" t="inlineStr">
        <is>
          <t>AKÜ,L2,TK,55AH,IGYA SMF,TITAN,BESA</t>
        </is>
      </c>
      <c r="C1684" s="25" t="inlineStr">
        <is>
          <t>1</t>
        </is>
      </c>
      <c r="D1684" s="25" t="inlineStr">
        <is>
          <t>ST-076-EUR-03</t>
        </is>
      </c>
      <c r="E1684" s="25" t="inlineStr">
        <is>
          <t>IA-ST-076-EUR-03</t>
        </is>
      </c>
      <c r="F1684" s="25" t="inlineStr">
        <is>
          <t>IA-ST-CFG-0240</t>
        </is>
      </c>
      <c r="G1684" s="25" t="n">
        <v>30.7272</v>
      </c>
      <c r="H1684" s="25" t="inlineStr">
        <is>
          <t>988-pack GENERATED</t>
        </is>
      </c>
    </row>
    <row r="1685">
      <c r="A1685" s="25" t="inlineStr">
        <is>
          <t>1014916</t>
        </is>
      </c>
      <c r="B1685" s="25" t="inlineStr">
        <is>
          <t>AKÜ,L5,DK,110AH,IGYA,MF60038,RACER POWER</t>
        </is>
      </c>
      <c r="C1685" s="25" t="inlineStr">
        <is>
          <t>1</t>
        </is>
      </c>
      <c r="D1685" s="25" t="inlineStr">
        <is>
          <t>ST-045-STD-08</t>
        </is>
      </c>
      <c r="E1685" s="25" t="inlineStr">
        <is>
          <t>IA-ST-045-STD-08</t>
        </is>
      </c>
      <c r="F1685" s="25" t="inlineStr">
        <is>
          <t>IA-ST-CFG-0096</t>
        </is>
      </c>
      <c r="G1685" s="25" t="n">
        <v>29.7192</v>
      </c>
      <c r="H1685" s="25" t="inlineStr">
        <is>
          <t>988-pack GENERATED</t>
        </is>
      </c>
    </row>
    <row r="1686">
      <c r="A1686" s="25" t="inlineStr">
        <is>
          <t>1014917</t>
        </is>
      </c>
      <c r="B1686" s="25" t="inlineStr">
        <is>
          <t>AKÜ,D31TK110AH,IGYA,MF110D31R,RACERPOWER</t>
        </is>
      </c>
      <c r="C1686" s="25" t="inlineStr">
        <is>
          <t>1</t>
        </is>
      </c>
      <c r="D1686" s="25" t="inlineStr">
        <is>
          <t>ST-054-STD-07</t>
        </is>
      </c>
      <c r="E1686" s="25" t="inlineStr">
        <is>
          <t>IA-ST-054-STD-07</t>
        </is>
      </c>
      <c r="F1686" s="25" t="inlineStr">
        <is>
          <t>IA-ST-CFG-0143</t>
        </is>
      </c>
      <c r="G1686" s="25" t="n">
        <v>33.7838</v>
      </c>
      <c r="H1686" s="25" t="inlineStr">
        <is>
          <t>988-pack GENERATED</t>
        </is>
      </c>
    </row>
    <row r="1687">
      <c r="A1687" s="25" t="inlineStr">
        <is>
          <t>1014918</t>
        </is>
      </c>
      <c r="B1687" s="25" t="inlineStr">
        <is>
          <t>AKÜ,D31,DK,90AH,IGYA,İNCİFORMULA,CEYTECH</t>
        </is>
      </c>
      <c r="C1687" s="25" t="inlineStr">
        <is>
          <t>1</t>
        </is>
      </c>
      <c r="D1687" s="25" t="inlineStr">
        <is>
          <t>ST-054-STD-07</t>
        </is>
      </c>
      <c r="E1687" s="25" t="inlineStr">
        <is>
          <t>IA-ST-054-STD-07</t>
        </is>
      </c>
      <c r="F1687" s="25" t="inlineStr">
        <is>
          <t>IA-ST-CFG-0143</t>
        </is>
      </c>
      <c r="G1687" s="25" t="n">
        <v>33.7838</v>
      </c>
      <c r="H1687" s="25" t="inlineStr">
        <is>
          <t>988-pack GENERATED</t>
        </is>
      </c>
    </row>
    <row r="1688">
      <c r="A1688" s="25" t="inlineStr">
        <is>
          <t>1014919</t>
        </is>
      </c>
      <c r="B1688" s="25" t="inlineStr">
        <is>
          <t>AKÜ,A-FLAT,DK,120AH,İNCİ SUPRA,CEYTECH</t>
        </is>
      </c>
      <c r="C1688" s="25" t="inlineStr">
        <is>
          <t>1</t>
        </is>
      </c>
      <c r="D1688" s="25" t="inlineStr">
        <is>
          <t>ST-030-STD-05</t>
        </is>
      </c>
      <c r="E1688" s="25" t="inlineStr">
        <is>
          <t>IA-ST-030-STD-05</t>
        </is>
      </c>
      <c r="F1688" s="25" t="inlineStr">
        <is>
          <t>IA-ST-CFG-0051</t>
        </is>
      </c>
      <c r="G1688" s="25" t="n">
        <v>31.6992</v>
      </c>
      <c r="H1688" s="25" t="inlineStr">
        <is>
          <t>988-pack GENERATED</t>
        </is>
      </c>
    </row>
    <row r="1689">
      <c r="A1689" s="25" t="inlineStr">
        <is>
          <t>1014920</t>
        </is>
      </c>
      <c r="B1689" s="25" t="inlineStr">
        <is>
          <t>AKÜ,TRACTORL,DK,105AH,İNCİ SUPRA,CEYTECH</t>
        </is>
      </c>
      <c r="C1689" s="25" t="inlineStr">
        <is>
          <t>1</t>
        </is>
      </c>
      <c r="D1689" s="25" t="inlineStr">
        <is>
          <t>ST-045-STD-05</t>
        </is>
      </c>
      <c r="E1689" s="25" t="inlineStr">
        <is>
          <t>IA-ST-045-STD-05</t>
        </is>
      </c>
      <c r="F1689" s="25" t="inlineStr">
        <is>
          <t>IA-ST-CFG-0093</t>
        </is>
      </c>
      <c r="G1689" s="25" t="n">
        <v>33.3498</v>
      </c>
      <c r="H1689" s="25" t="inlineStr">
        <is>
          <t>988-pack GENERATED</t>
        </is>
      </c>
    </row>
    <row r="1690">
      <c r="A1690" s="25" t="inlineStr">
        <is>
          <t>1014921</t>
        </is>
      </c>
      <c r="B1690" s="25" t="inlineStr">
        <is>
          <t>AKÜ,D31,TK90AH,IGYA,İNCİMAXIMA,YANMAROEM</t>
        </is>
      </c>
      <c r="C1690" s="25" t="inlineStr">
        <is>
          <t>1</t>
        </is>
      </c>
      <c r="D1690" s="25" t="inlineStr">
        <is>
          <t>ST-054-STD-09</t>
        </is>
      </c>
      <c r="E1690" s="25" t="inlineStr">
        <is>
          <t>IA-ST-054-STD-09</t>
        </is>
      </c>
      <c r="F1690" s="25" t="inlineStr">
        <is>
          <t>IA-ST-CFG-0145</t>
        </is>
      </c>
      <c r="G1690" s="25" t="n">
        <v>33.497</v>
      </c>
      <c r="H1690" s="25" t="inlineStr">
        <is>
          <t>988-pack GENERATED</t>
        </is>
      </c>
    </row>
    <row r="1691">
      <c r="A1691" s="25" t="inlineStr">
        <is>
          <t>1014922</t>
        </is>
      </c>
      <c r="B1691" s="25" t="inlineStr">
        <is>
          <t>AKÜ,L5,DK,100AH,IGYA SMF,STARTCRAFT</t>
        </is>
      </c>
      <c r="C1691" s="25" t="inlineStr">
        <is>
          <t>1</t>
        </is>
      </c>
      <c r="D1691" s="25" t="inlineStr">
        <is>
          <t>ST-048-EUR-12</t>
        </is>
      </c>
      <c r="E1691" s="25" t="inlineStr">
        <is>
          <t>IA-ST-048-EUR-12</t>
        </is>
      </c>
      <c r="F1691" s="25" t="inlineStr">
        <is>
          <t>IA-ST-CFG-0118</t>
        </is>
      </c>
      <c r="G1691" s="25" t="n">
        <v>27.8392</v>
      </c>
      <c r="H1691" s="25" t="inlineStr">
        <is>
          <t>988-pack GENERATED</t>
        </is>
      </c>
    </row>
    <row r="1692">
      <c r="A1692" s="25" t="inlineStr">
        <is>
          <t>1014923</t>
        </is>
      </c>
      <c r="B1692" s="25" t="inlineStr">
        <is>
          <t>AKÜ,L6,DK,110AH,KMN,İNCİ FORMULA,İÇ PYS</t>
        </is>
      </c>
      <c r="C1692" s="25" t="inlineStr">
        <is>
          <t>1</t>
        </is>
      </c>
      <c r="D1692" s="25" t="inlineStr">
        <is>
          <t>ST-042-STD-06</t>
        </is>
      </c>
      <c r="E1692" s="25" t="inlineStr">
        <is>
          <t>IA-ST-042-STD-06</t>
        </is>
      </c>
      <c r="F1692" s="25" t="inlineStr">
        <is>
          <t>IA-ST-CFG-0081</t>
        </is>
      </c>
      <c r="G1692" s="25" t="n">
        <v>29.3124</v>
      </c>
      <c r="H1692" s="25" t="inlineStr">
        <is>
          <t>988-pack GENERATED</t>
        </is>
      </c>
    </row>
    <row r="1693">
      <c r="A1693" s="25" t="inlineStr">
        <is>
          <t>1014924</t>
        </is>
      </c>
      <c r="B1693" s="25" t="inlineStr">
        <is>
          <t>AKÜ,L6,DK,110AH,KAMINA,EAS ACTIVA,İÇ PYS</t>
        </is>
      </c>
      <c r="C1693" s="25" t="inlineStr">
        <is>
          <t>1</t>
        </is>
      </c>
      <c r="D1693" s="25" t="inlineStr">
        <is>
          <t>ST-042-STD-06</t>
        </is>
      </c>
      <c r="E1693" s="25" t="inlineStr">
        <is>
          <t>IA-ST-042-STD-06</t>
        </is>
      </c>
      <c r="F1693" s="25" t="inlineStr">
        <is>
          <t>IA-ST-CFG-0081</t>
        </is>
      </c>
      <c r="G1693" s="25" t="n">
        <v>29.3124</v>
      </c>
      <c r="H1693" s="25" t="inlineStr">
        <is>
          <t>988-pack GENERATED</t>
        </is>
      </c>
    </row>
    <row r="1694">
      <c r="A1694" s="25" t="inlineStr">
        <is>
          <t>1014925</t>
        </is>
      </c>
      <c r="B1694" s="25" t="inlineStr">
        <is>
          <t>AKÜ AGM,L1,DK,50AH,VRLAPILOT PERFORMANCE</t>
        </is>
      </c>
      <c r="C1694" s="25" t="inlineStr">
        <is>
          <t>1</t>
        </is>
      </c>
      <c r="D1694" s="25" t="inlineStr">
        <is>
          <t>ST-096-EUR-03</t>
        </is>
      </c>
      <c r="E1694" s="25" t="inlineStr">
        <is>
          <t>IA-ST-096-EUR-03</t>
        </is>
      </c>
      <c r="F1694" s="25" t="inlineStr">
        <is>
          <t>IA-ST-CFG-0266</t>
        </is>
      </c>
      <c r="G1694" s="25" t="n">
        <v>31.2262</v>
      </c>
      <c r="H1694" s="25" t="inlineStr">
        <is>
          <t>988-pack GENERATED</t>
        </is>
      </c>
    </row>
    <row r="1695">
      <c r="A1695" s="25" t="inlineStr">
        <is>
          <t>1014926</t>
        </is>
      </c>
      <c r="B1695" s="25" t="inlineStr">
        <is>
          <t>AKÜ,D23,DK60AH,IGYA,Y3000EXPORT,KOLİEURO</t>
        </is>
      </c>
      <c r="C1695" s="25" t="inlineStr">
        <is>
          <t>1</t>
        </is>
      </c>
      <c r="D1695" s="25" t="inlineStr">
        <is>
          <t>ST-060-EUR-01</t>
        </is>
      </c>
      <c r="E1695" s="25" t="inlineStr">
        <is>
          <t>IA-ST-060-EUR-01</t>
        </is>
      </c>
      <c r="F1695" s="25" t="inlineStr">
        <is>
          <t>IA-ST-CFG-0170</t>
        </is>
      </c>
      <c r="G1695" s="25" t="n">
        <v>46.6702</v>
      </c>
      <c r="H1695" s="25" t="inlineStr">
        <is>
          <t>988-pack GENERATED</t>
        </is>
      </c>
    </row>
    <row r="1696">
      <c r="A1696" s="25" t="inlineStr">
        <is>
          <t>1014927</t>
        </is>
      </c>
      <c r="B1696" s="25" t="inlineStr">
        <is>
          <t>AKÜ,D31,DK95AH,IGYA,Y3000EXPORT,KOLİEURO</t>
        </is>
      </c>
      <c r="C1696" s="25" t="inlineStr">
        <is>
          <t>1</t>
        </is>
      </c>
      <c r="D1696" s="25" t="inlineStr">
        <is>
          <t>ST-042-EUR-01</t>
        </is>
      </c>
      <c r="E1696" s="25" t="inlineStr">
        <is>
          <t>IA-ST-042-EUR-01</t>
        </is>
      </c>
      <c r="F1696" s="25" t="inlineStr">
        <is>
          <t>IA-ST-CFG-0077</t>
        </is>
      </c>
      <c r="G1696" s="25" t="n">
        <v>44.0068</v>
      </c>
      <c r="H1696" s="25" t="inlineStr">
        <is>
          <t>988-pack GENERATED</t>
        </is>
      </c>
    </row>
    <row r="1697">
      <c r="A1697" s="25" t="inlineStr">
        <is>
          <t>1014928</t>
        </is>
      </c>
      <c r="B1697" s="25" t="inlineStr">
        <is>
          <t>AKÜ,L5DK,95AHVRLA,AGMYBX9019-095EXPREURO</t>
        </is>
      </c>
      <c r="C1697" s="25" t="inlineStr">
        <is>
          <t>1</t>
        </is>
      </c>
      <c r="D1697" s="25" t="inlineStr">
        <is>
          <t>ST-048-EUR-04</t>
        </is>
      </c>
      <c r="E1697" s="25" t="inlineStr">
        <is>
          <t>IA-ST-048-EUR-04</t>
        </is>
      </c>
      <c r="F1697" s="25" t="inlineStr">
        <is>
          <t>IA-ST-CFG-0110</t>
        </is>
      </c>
      <c r="G1697" s="25" t="n">
        <v>30.046</v>
      </c>
      <c r="H1697" s="25" t="inlineStr">
        <is>
          <t>988-pack GENERATED</t>
        </is>
      </c>
    </row>
    <row r="1698">
      <c r="A1698" s="25" t="inlineStr">
        <is>
          <t>1014929</t>
        </is>
      </c>
      <c r="B1698" s="25" t="inlineStr">
        <is>
          <t>AKÜ,L6DK105AHVRLA,AGMYBX9020-105EXPREURO</t>
        </is>
      </c>
      <c r="C1698" s="25" t="inlineStr">
        <is>
          <t>1</t>
        </is>
      </c>
      <c r="D1698" s="25" t="inlineStr">
        <is>
          <t>ST-036-EUR-03</t>
        </is>
      </c>
      <c r="E1698" s="25" t="inlineStr">
        <is>
          <t>IA-ST-036-EUR-03</t>
        </is>
      </c>
      <c r="F1698" s="25" t="inlineStr">
        <is>
          <t>IA-ST-CFG-0066</t>
        </is>
      </c>
      <c r="G1698" s="25" t="n">
        <v>29.366</v>
      </c>
      <c r="H1698" s="25" t="inlineStr">
        <is>
          <t>988-pack GENERATED</t>
        </is>
      </c>
    </row>
    <row r="1699">
      <c r="A1699" s="25" t="inlineStr">
        <is>
          <t>1014930</t>
        </is>
      </c>
      <c r="B1699" s="25" t="inlineStr">
        <is>
          <t>AKÜ,L5,DK,92AH,IGYA SMF,NO NAME,PARTS</t>
        </is>
      </c>
      <c r="C1699" s="25" t="inlineStr">
        <is>
          <t>1</t>
        </is>
      </c>
      <c r="D1699" s="25" t="inlineStr">
        <is>
          <t>ST-048-EUR-12</t>
        </is>
      </c>
      <c r="E1699" s="25" t="inlineStr">
        <is>
          <t>IA-ST-048-EUR-12</t>
        </is>
      </c>
      <c r="F1699" s="25" t="inlineStr">
        <is>
          <t>IA-ST-CFG-0118</t>
        </is>
      </c>
      <c r="G1699" s="25" t="n">
        <v>27.8392</v>
      </c>
      <c r="H1699" s="25" t="inlineStr">
        <is>
          <t>988-pack GENERATED</t>
        </is>
      </c>
    </row>
    <row r="1700">
      <c r="A1700" s="25" t="inlineStr">
        <is>
          <t>1014931</t>
        </is>
      </c>
      <c r="B1700" s="25" t="inlineStr">
        <is>
          <t>AKÜ,D23,DK,60AH,IGYA SMF,NO NAME,PARTS</t>
        </is>
      </c>
      <c r="C1700" s="25" t="inlineStr">
        <is>
          <t>1</t>
        </is>
      </c>
      <c r="D1700" s="25" t="inlineStr">
        <is>
          <t>ST-063-EUR-02</t>
        </is>
      </c>
      <c r="E1700" s="25" t="inlineStr">
        <is>
          <t>IA-ST-063-EUR-02</t>
        </is>
      </c>
      <c r="F1700" s="25" t="inlineStr">
        <is>
          <t>IA-ST-CFG-0189</t>
        </is>
      </c>
      <c r="G1700" s="25" t="n">
        <v>27.506</v>
      </c>
      <c r="H1700" s="25" t="inlineStr">
        <is>
          <t>988-pack GENERATED</t>
        </is>
      </c>
    </row>
    <row r="1701">
      <c r="A1701" s="25" t="inlineStr">
        <is>
          <t>1014932</t>
        </is>
      </c>
      <c r="B1701" s="25" t="inlineStr">
        <is>
          <t>AKÜ,D26,DK,72AH,IGYA SMF,NO NAME,PARTS</t>
        </is>
      </c>
      <c r="C1701" s="25" t="inlineStr">
        <is>
          <t>1</t>
        </is>
      </c>
      <c r="D1701" s="25" t="inlineStr">
        <is>
          <t>ST-057-EUR-02</t>
        </is>
      </c>
      <c r="E1701" s="25" t="inlineStr">
        <is>
          <t>IA-ST-057-EUR-02</t>
        </is>
      </c>
      <c r="F1701" s="25" t="inlineStr">
        <is>
          <t>IA-ST-CFG-0161</t>
        </is>
      </c>
      <c r="G1701" s="25" t="n">
        <v>27.506</v>
      </c>
      <c r="H1701" s="25" t="inlineStr">
        <is>
          <t>988-pack GENERATED</t>
        </is>
      </c>
    </row>
    <row r="1702">
      <c r="A1702" s="25" t="inlineStr">
        <is>
          <t>1014933</t>
        </is>
      </c>
      <c r="B1702" s="25" t="inlineStr">
        <is>
          <t>AKÜ,L3,DK,70AH,AGM9096-070,EXPORT,NACITA</t>
        </is>
      </c>
      <c r="C1702" s="25" t="inlineStr">
        <is>
          <t>1</t>
        </is>
      </c>
      <c r="D1702" s="25" t="inlineStr">
        <is>
          <t>ST-042-STD-04</t>
        </is>
      </c>
      <c r="E1702" s="25" t="inlineStr">
        <is>
          <t>IA-ST-042-STD-04</t>
        </is>
      </c>
      <c r="F1702" s="25" t="inlineStr">
        <is>
          <t>IA-ST-CFG-0079</t>
        </is>
      </c>
      <c r="G1702" s="25" t="n">
        <v>29.3062</v>
      </c>
      <c r="H1702" s="25" t="inlineStr">
        <is>
          <t>988-pack GENERATED</t>
        </is>
      </c>
    </row>
    <row r="1703">
      <c r="A1703" s="25" t="inlineStr">
        <is>
          <t>1014934</t>
        </is>
      </c>
      <c r="B1703" s="25" t="inlineStr">
        <is>
          <t>AKÜ,L4,DK,80AH,AGM9115-080,EXPORT,NACITA</t>
        </is>
      </c>
      <c r="C1703" s="25" t="inlineStr">
        <is>
          <t>1</t>
        </is>
      </c>
      <c r="D1703" s="25" t="inlineStr">
        <is>
          <t>ST-036-STD-03</t>
        </is>
      </c>
      <c r="E1703" s="25" t="inlineStr">
        <is>
          <t>IA-ST-036-STD-03</t>
        </is>
      </c>
      <c r="F1703" s="25" t="inlineStr">
        <is>
          <t>IA-ST-CFG-0064</t>
        </is>
      </c>
      <c r="G1703" s="25" t="n">
        <v>29.1432</v>
      </c>
      <c r="H1703" s="25" t="inlineStr">
        <is>
          <t>988-pack GENERATED</t>
        </is>
      </c>
    </row>
    <row r="1704">
      <c r="A1704" s="25" t="inlineStr">
        <is>
          <t>1014935</t>
        </is>
      </c>
      <c r="B1704" s="25" t="inlineStr">
        <is>
          <t>AKÜ,L2,DK,65AH,IGYA,7027-065EXPORTNACITA</t>
        </is>
      </c>
      <c r="C1704" s="25" t="inlineStr">
        <is>
          <t>1</t>
        </is>
      </c>
      <c r="D1704" s="25" t="inlineStr">
        <is>
          <t>ST-072-STD-13</t>
        </is>
      </c>
      <c r="E1704" s="25" t="inlineStr">
        <is>
          <t>IA-ST-072-STD-13</t>
        </is>
      </c>
      <c r="F1704" s="25" t="inlineStr">
        <is>
          <t>IA-ST-CFG-0222</t>
        </is>
      </c>
      <c r="G1704" s="25" t="n">
        <v>30.6552</v>
      </c>
      <c r="H1704" s="25" t="inlineStr">
        <is>
          <t>988-pack GENERATED</t>
        </is>
      </c>
    </row>
    <row r="1705">
      <c r="A1705" s="25" t="inlineStr">
        <is>
          <t>1014936</t>
        </is>
      </c>
      <c r="B1705" s="25" t="inlineStr">
        <is>
          <t>AKÜ,L3,DK,80AH,IGYA,7096-075EXPORTNACITA</t>
        </is>
      </c>
      <c r="C1705" s="25" t="inlineStr">
        <is>
          <t>1</t>
        </is>
      </c>
      <c r="D1705" s="25" t="inlineStr">
        <is>
          <t>ST-063-STD-08</t>
        </is>
      </c>
      <c r="E1705" s="25" t="inlineStr">
        <is>
          <t>IA-ST-063-STD-08</t>
        </is>
      </c>
      <c r="F1705" s="25" t="inlineStr">
        <is>
          <t>IA-ST-CFG-0179</t>
        </is>
      </c>
      <c r="G1705" s="25" t="n">
        <v>29.9992</v>
      </c>
      <c r="H1705" s="25" t="inlineStr">
        <is>
          <t>988-pack GENERATED</t>
        </is>
      </c>
    </row>
    <row r="1706">
      <c r="A1706" s="25" t="inlineStr">
        <is>
          <t>1014937</t>
        </is>
      </c>
      <c r="B1706" s="25" t="inlineStr">
        <is>
          <t>AKÜ,L4,DK,85AH,IGYA,7115-085EXPORTNACITA</t>
        </is>
      </c>
      <c r="C1706" s="25" t="inlineStr">
        <is>
          <t>1</t>
        </is>
      </c>
      <c r="D1706" s="25" t="inlineStr">
        <is>
          <t>ST-054-STD-06</t>
        </is>
      </c>
      <c r="E1706" s="25" t="inlineStr">
        <is>
          <t>IA-ST-054-STD-06</t>
        </is>
      </c>
      <c r="F1706" s="25" t="inlineStr">
        <is>
          <t>IA-ST-CFG-0142</t>
        </is>
      </c>
      <c r="G1706" s="25" t="n">
        <v>29.7552</v>
      </c>
      <c r="H1706" s="25" t="inlineStr">
        <is>
          <t>988-pack GENERATED</t>
        </is>
      </c>
    </row>
    <row r="1707">
      <c r="A1707" s="25" t="inlineStr">
        <is>
          <t>1014938</t>
        </is>
      </c>
      <c r="B1707" s="25" t="inlineStr">
        <is>
          <t>AKÜ,D20,DK,55AH,KSK,İNCİMAXIMA,YANMAROEM</t>
        </is>
      </c>
      <c r="C1707" s="25" t="inlineStr">
        <is>
          <t>1</t>
        </is>
      </c>
      <c r="D1707" s="25" t="inlineStr">
        <is>
          <t>ST-072-STD-16</t>
        </is>
      </c>
      <c r="E1707" s="25" t="inlineStr">
        <is>
          <t>IA-ST-072-STD-16</t>
        </is>
      </c>
      <c r="F1707" s="25" t="inlineStr">
        <is>
          <t>IA-ST-CFG-0225</t>
        </is>
      </c>
      <c r="G1707" s="25" t="n">
        <v>30.05232</v>
      </c>
      <c r="H1707" s="25" t="inlineStr">
        <is>
          <t>988-pack GENERATED</t>
        </is>
      </c>
    </row>
    <row r="1708">
      <c r="A1708" s="25" t="inlineStr">
        <is>
          <t>1014939</t>
        </is>
      </c>
      <c r="B1708" s="25" t="inlineStr">
        <is>
          <t>AKÜ,D31TK100AH,IGYA,İNCİMAXIMA,YANMAROEM</t>
        </is>
      </c>
      <c r="C1708" s="25" t="inlineStr">
        <is>
          <t>1</t>
        </is>
      </c>
      <c r="D1708" s="25" t="inlineStr">
        <is>
          <t>ST-054-STD-09</t>
        </is>
      </c>
      <c r="E1708" s="25" t="inlineStr">
        <is>
          <t>IA-ST-054-STD-09</t>
        </is>
      </c>
      <c r="F1708" s="25" t="inlineStr">
        <is>
          <t>IA-ST-CFG-0145</t>
        </is>
      </c>
      <c r="G1708" s="25" t="n">
        <v>33.497</v>
      </c>
      <c r="H1708" s="25" t="inlineStr">
        <is>
          <t>988-pack GENERATED</t>
        </is>
      </c>
    </row>
    <row r="1709">
      <c r="A1709" s="25" t="inlineStr">
        <is>
          <t>1014940</t>
        </is>
      </c>
      <c r="B1709" s="25" t="inlineStr">
        <is>
          <t>AKÜ,D31DK105AHIGYA,FP30HLT1250FURIAPOWER</t>
        </is>
      </c>
      <c r="C1709" s="25" t="inlineStr">
        <is>
          <t>1</t>
        </is>
      </c>
      <c r="D1709" s="25" t="inlineStr">
        <is>
          <t>ST-054-STD-07</t>
        </is>
      </c>
      <c r="E1709" s="25" t="inlineStr">
        <is>
          <t>IA-ST-054-STD-07</t>
        </is>
      </c>
      <c r="F1709" s="25" t="inlineStr">
        <is>
          <t>IA-ST-CFG-0143</t>
        </is>
      </c>
      <c r="G1709" s="25" t="n">
        <v>33.7838</v>
      </c>
      <c r="H1709" s="25" t="inlineStr">
        <is>
          <t>988-pack GENERATED</t>
        </is>
      </c>
    </row>
    <row r="1710">
      <c r="A1710" s="25" t="inlineStr">
        <is>
          <t>1014941</t>
        </is>
      </c>
      <c r="B1710" s="25" t="inlineStr">
        <is>
          <t>AKÜ,D26,TK80AH,IGYA,İNCİMAXIMA,YANMAROEM</t>
        </is>
      </c>
      <c r="C1710" s="25" t="inlineStr">
        <is>
          <t>1</t>
        </is>
      </c>
      <c r="D1710" s="25" t="inlineStr">
        <is>
          <t>ST-063-STD-05</t>
        </is>
      </c>
      <c r="E1710" s="25" t="inlineStr">
        <is>
          <t>IA-ST-063-STD-05</t>
        </is>
      </c>
      <c r="F1710" s="25" t="inlineStr">
        <is>
          <t>IA-ST-CFG-0176</t>
        </is>
      </c>
      <c r="G1710" s="25" t="n">
        <v>33.8644</v>
      </c>
      <c r="H1710" s="25" t="inlineStr">
        <is>
          <t>988-pack GENERATED</t>
        </is>
      </c>
    </row>
    <row r="1711">
      <c r="A1711" s="25" t="inlineStr">
        <is>
          <t>1014943</t>
        </is>
      </c>
      <c r="B1711" s="25" t="inlineStr">
        <is>
          <t>AKÜ,L2,DK,60AH,IGYA SMF,TITAN,BESA</t>
        </is>
      </c>
      <c r="C1711" s="25" t="inlineStr">
        <is>
          <t>1</t>
        </is>
      </c>
      <c r="D1711" s="25" t="inlineStr">
        <is>
          <t>ST-076-EUR-03</t>
        </is>
      </c>
      <c r="E1711" s="25" t="inlineStr">
        <is>
          <t>IA-ST-076-EUR-03</t>
        </is>
      </c>
      <c r="F1711" s="25" t="inlineStr">
        <is>
          <t>IA-ST-CFG-0240</t>
        </is>
      </c>
      <c r="G1711" s="25" t="n">
        <v>30.7272</v>
      </c>
      <c r="H1711" s="25" t="inlineStr">
        <is>
          <t>988-pack GENERATED</t>
        </is>
      </c>
    </row>
    <row r="1712">
      <c r="A1712" s="25" t="inlineStr">
        <is>
          <t>1014944</t>
        </is>
      </c>
      <c r="B1712" s="25" t="inlineStr">
        <is>
          <t>AKÜ,TRACTORL,DK,115AH,TITAN,BESA</t>
        </is>
      </c>
      <c r="C1712" s="25" t="inlineStr">
        <is>
          <t>1</t>
        </is>
      </c>
      <c r="D1712" s="25" t="inlineStr">
        <is>
          <t>ST-036-EUR-05</t>
        </is>
      </c>
      <c r="E1712" s="25" t="inlineStr">
        <is>
          <t>IA-ST-036-EUR-05</t>
        </is>
      </c>
      <c r="F1712" s="25" t="inlineStr">
        <is>
          <t>IA-ST-CFG-0070</t>
        </is>
      </c>
      <c r="G1712" s="25" t="n">
        <v>31.98368</v>
      </c>
      <c r="H1712" s="25" t="inlineStr">
        <is>
          <t>988-pack GENERATED</t>
        </is>
      </c>
    </row>
    <row r="1713">
      <c r="A1713" s="25" t="inlineStr">
        <is>
          <t>1014945</t>
        </is>
      </c>
      <c r="B1713" s="25" t="inlineStr">
        <is>
          <t>AKÜ,A-FLAT,DK,135AH,TITAN,BESA</t>
        </is>
      </c>
      <c r="C1713" s="25" t="inlineStr">
        <is>
          <t>1</t>
        </is>
      </c>
      <c r="D1713" s="25" t="inlineStr">
        <is>
          <t>ST-024-EUR-04</t>
        </is>
      </c>
      <c r="E1713" s="25" t="inlineStr">
        <is>
          <t>IA-ST-024-EUR-04</t>
        </is>
      </c>
      <c r="F1713" s="25" t="inlineStr">
        <is>
          <t>IA-ST-CFG-0039</t>
        </is>
      </c>
      <c r="G1713" s="25" t="n">
        <v>30.6632</v>
      </c>
      <c r="H1713" s="25" t="inlineStr">
        <is>
          <t>988-pack GENERATED</t>
        </is>
      </c>
    </row>
    <row r="1714">
      <c r="A1714" s="25" t="inlineStr">
        <is>
          <t>1014946</t>
        </is>
      </c>
      <c r="B1714" s="25" t="inlineStr">
        <is>
          <t>AKÜ,B-IGYASMF,DK,180AH,TITAN,BESA</t>
        </is>
      </c>
      <c r="C1714" s="25" t="inlineStr">
        <is>
          <t>1</t>
        </is>
      </c>
      <c r="D1714" s="25" t="inlineStr">
        <is>
          <t>ST-021-EUR-03</t>
        </is>
      </c>
      <c r="E1714" s="25" t="inlineStr">
        <is>
          <t>IA-ST-021-EUR-03</t>
        </is>
      </c>
      <c r="F1714" s="25" t="inlineStr">
        <is>
          <t>IA-ST-CFG-0029</t>
        </is>
      </c>
      <c r="G1714" s="25" t="n">
        <v>30.7682</v>
      </c>
      <c r="H1714" s="25" t="inlineStr">
        <is>
          <t>988-pack GENERATED</t>
        </is>
      </c>
    </row>
    <row r="1715">
      <c r="A1715" s="25" t="inlineStr">
        <is>
          <t>1014947</t>
        </is>
      </c>
      <c r="B1715" s="25" t="inlineStr">
        <is>
          <t>AKÜ,C-IGYASMF,DK,230AH,TITAN,BESA</t>
        </is>
      </c>
      <c r="C1715" s="25" t="inlineStr">
        <is>
          <t>1</t>
        </is>
      </c>
      <c r="D1715" s="25" t="inlineStr">
        <is>
          <t>ST-018-EUR-03</t>
        </is>
      </c>
      <c r="E1715" s="25" t="inlineStr">
        <is>
          <t>IA-ST-018-EUR-03</t>
        </is>
      </c>
      <c r="F1715" s="25" t="inlineStr">
        <is>
          <t>IA-ST-CFG-0014</t>
        </is>
      </c>
      <c r="G1715" s="25" t="n">
        <v>30.9872</v>
      </c>
      <c r="H1715" s="25" t="inlineStr">
        <is>
          <t>988-pack GENERATED</t>
        </is>
      </c>
    </row>
    <row r="1716">
      <c r="A1716" s="25" t="inlineStr">
        <is>
          <t>1014949</t>
        </is>
      </c>
      <c r="B1716" s="25" t="inlineStr">
        <is>
          <t>AKÜ,L0,DK,40AH,DINNEW,İNCİ SUPRA,SHAWKAT</t>
        </is>
      </c>
      <c r="C1716" s="25" t="inlineStr">
        <is>
          <t>1</t>
        </is>
      </c>
      <c r="D1716" s="25" t="inlineStr">
        <is>
          <t>ST-090-STD-01</t>
        </is>
      </c>
      <c r="E1716" s="25" t="inlineStr">
        <is>
          <t>IA-ST-090-STD-01</t>
        </is>
      </c>
      <c r="F1716" s="25" t="inlineStr">
        <is>
          <t>IA-ST-CFG-0262</t>
        </is>
      </c>
      <c r="G1716" s="25" t="n">
        <v>30.0852</v>
      </c>
      <c r="H1716" s="25" t="inlineStr">
        <is>
          <t>988-pack GENERATED</t>
        </is>
      </c>
    </row>
    <row r="1717">
      <c r="A1717" s="29" t="inlineStr">
        <is>
          <t>1014950</t>
        </is>
      </c>
      <c r="B1717" s="29" t="inlineStr">
        <is>
          <t>AKÜ,L3,DK,70AH,GSYSMF,S&amp;S K0,FIAT YP,OES</t>
        </is>
      </c>
      <c r="C1717" s="29" t="inlineStr">
        <is>
          <t>1</t>
        </is>
      </c>
      <c r="H1717" s="29" t="inlineStr">
        <is>
          <t>NO MAPPING</t>
        </is>
      </c>
    </row>
    <row r="1718">
      <c r="A1718" s="25" t="inlineStr">
        <is>
          <t>1014951</t>
        </is>
      </c>
      <c r="B1718" s="25" t="inlineStr">
        <is>
          <t>AKÜ,B-FLAT,DK,180AH,ENERGY MAX,EURO</t>
        </is>
      </c>
      <c r="C1718" s="25" t="inlineStr">
        <is>
          <t>1</t>
        </is>
      </c>
      <c r="D1718" s="25" t="inlineStr">
        <is>
          <t>ST-021-EUR-03</t>
        </is>
      </c>
      <c r="E1718" s="25" t="inlineStr">
        <is>
          <t>IA-ST-021-EUR-03</t>
        </is>
      </c>
      <c r="F1718" s="25" t="inlineStr">
        <is>
          <t>IA-ST-CFG-0029</t>
        </is>
      </c>
      <c r="G1718" s="25" t="n">
        <v>30.7682</v>
      </c>
      <c r="H1718" s="25" t="inlineStr">
        <is>
          <t>988-pack GENERATED</t>
        </is>
      </c>
    </row>
    <row r="1719">
      <c r="A1719" s="25" t="inlineStr">
        <is>
          <t>1014952</t>
        </is>
      </c>
      <c r="B1719" s="25" t="inlineStr">
        <is>
          <t>AKÜ,L5,DK,100AH,IGYA,HUGEL ACTION,İÇ PYS</t>
        </is>
      </c>
      <c r="C1719" s="25" t="inlineStr">
        <is>
          <t>1</t>
        </is>
      </c>
      <c r="D1719" s="25" t="inlineStr">
        <is>
          <t>ST-045-STD-10</t>
        </is>
      </c>
      <c r="E1719" s="25" t="inlineStr">
        <is>
          <t>IA-ST-045-STD-10</t>
        </is>
      </c>
      <c r="F1719" s="25" t="inlineStr">
        <is>
          <t>IA-ST-CFG-0098</t>
        </is>
      </c>
      <c r="G1719" s="25" t="n">
        <v>29.4324</v>
      </c>
      <c r="H1719" s="25" t="inlineStr">
        <is>
          <t>988-pack GENERATED</t>
        </is>
      </c>
    </row>
    <row r="1720">
      <c r="A1720" s="25" t="inlineStr">
        <is>
          <t>1014953</t>
        </is>
      </c>
      <c r="B1720" s="25" t="inlineStr">
        <is>
          <t>AKÜ,L5,DK,100AH,IGYA SMF,AUTOPRO,İÇ PYS</t>
        </is>
      </c>
      <c r="C1720" s="25" t="inlineStr">
        <is>
          <t>1</t>
        </is>
      </c>
      <c r="D1720" s="25" t="inlineStr">
        <is>
          <t>ST-045-STD-10</t>
        </is>
      </c>
      <c r="E1720" s="25" t="inlineStr">
        <is>
          <t>IA-ST-045-STD-10</t>
        </is>
      </c>
      <c r="F1720" s="25" t="inlineStr">
        <is>
          <t>IA-ST-CFG-0098</t>
        </is>
      </c>
      <c r="G1720" s="25" t="n">
        <v>29.4324</v>
      </c>
      <c r="H1720" s="25" t="inlineStr">
        <is>
          <t>988-pack GENERATED</t>
        </is>
      </c>
    </row>
    <row r="1721">
      <c r="A1721" s="25" t="inlineStr">
        <is>
          <t>1014954</t>
        </is>
      </c>
      <c r="B1721" s="25" t="inlineStr">
        <is>
          <t>AKÜ,L5,DK,100AH,IGYASMF,ENERGYMAX,İÇ PYS</t>
        </is>
      </c>
      <c r="C1721" s="25" t="inlineStr">
        <is>
          <t>1</t>
        </is>
      </c>
      <c r="D1721" s="25" t="inlineStr">
        <is>
          <t>ST-045-STD-10</t>
        </is>
      </c>
      <c r="E1721" s="25" t="inlineStr">
        <is>
          <t>IA-ST-045-STD-10</t>
        </is>
      </c>
      <c r="F1721" s="25" t="inlineStr">
        <is>
          <t>IA-ST-CFG-0098</t>
        </is>
      </c>
      <c r="G1721" s="25" t="n">
        <v>29.4324</v>
      </c>
      <c r="H1721" s="25" t="inlineStr">
        <is>
          <t>988-pack GENERATED</t>
        </is>
      </c>
    </row>
    <row r="1722">
      <c r="A1722" s="25" t="inlineStr">
        <is>
          <t>1014955</t>
        </is>
      </c>
      <c r="B1722" s="25" t="inlineStr">
        <is>
          <t>AKÜ AGM,L2,DK,62AH,İNCİ AGM LEO,SHAWKAT</t>
        </is>
      </c>
      <c r="C1722" s="25" t="inlineStr">
        <is>
          <t>1</t>
        </is>
      </c>
      <c r="D1722" s="25" t="inlineStr">
        <is>
          <t>ST-072-STD-13</t>
        </is>
      </c>
      <c r="E1722" s="25" t="inlineStr">
        <is>
          <t>IA-ST-072-STD-13</t>
        </is>
      </c>
      <c r="F1722" s="25" t="inlineStr">
        <is>
          <t>IA-ST-CFG-0222</t>
        </is>
      </c>
      <c r="G1722" s="25" t="n">
        <v>30.6552</v>
      </c>
      <c r="H1722" s="25" t="inlineStr">
        <is>
          <t>988-pack GENERATED</t>
        </is>
      </c>
    </row>
    <row r="1723">
      <c r="A1723" s="25" t="inlineStr">
        <is>
          <t>1014956</t>
        </is>
      </c>
      <c r="B1723" s="25" t="inlineStr">
        <is>
          <t>AKÜ AGM,L3,DK,70AH,İNCİ AGM LEO,SHAWKAT</t>
        </is>
      </c>
      <c r="C1723" s="25" t="inlineStr">
        <is>
          <t>1</t>
        </is>
      </c>
      <c r="D1723" s="25" t="inlineStr">
        <is>
          <t>ST-063-STD-15</t>
        </is>
      </c>
      <c r="E1723" s="25" t="inlineStr">
        <is>
          <t>IA-ST-063-STD-15</t>
        </is>
      </c>
      <c r="F1723" s="25" t="inlineStr">
        <is>
          <t>IA-ST-CFG-0186</t>
        </is>
      </c>
      <c r="G1723" s="25" t="n">
        <v>30.2692</v>
      </c>
      <c r="H1723" s="25" t="inlineStr">
        <is>
          <t>988-pack GENERATED</t>
        </is>
      </c>
    </row>
    <row r="1724">
      <c r="A1724" s="25" t="inlineStr">
        <is>
          <t>1014957</t>
        </is>
      </c>
      <c r="B1724" s="25" t="inlineStr">
        <is>
          <t>AKÜ AGM,L4,DK,80AH,İNCİ AGM LEO,SHAWKAT</t>
        </is>
      </c>
      <c r="C1724" s="25" t="inlineStr">
        <is>
          <t>1</t>
        </is>
      </c>
      <c r="D1724" s="25" t="inlineStr">
        <is>
          <t>ST-054-STD-06</t>
        </is>
      </c>
      <c r="E1724" s="25" t="inlineStr">
        <is>
          <t>IA-ST-054-STD-06</t>
        </is>
      </c>
      <c r="F1724" s="25" t="inlineStr">
        <is>
          <t>IA-ST-CFG-0142</t>
        </is>
      </c>
      <c r="G1724" s="25" t="n">
        <v>29.7552</v>
      </c>
      <c r="H1724" s="25" t="inlineStr">
        <is>
          <t>988-pack GENERATED</t>
        </is>
      </c>
    </row>
    <row r="1725">
      <c r="A1725" s="25" t="inlineStr">
        <is>
          <t>1014958</t>
        </is>
      </c>
      <c r="B1725" s="25" t="inlineStr">
        <is>
          <t>AKÜ AGM,L5,DK,95AH,İNCİ AGM LEO,SHAWKAT</t>
        </is>
      </c>
      <c r="C1725" s="25" t="inlineStr">
        <is>
          <t>1</t>
        </is>
      </c>
      <c r="D1725" s="25" t="inlineStr">
        <is>
          <t>ST-045-STD-08</t>
        </is>
      </c>
      <c r="E1725" s="25" t="inlineStr">
        <is>
          <t>IA-ST-045-STD-08</t>
        </is>
      </c>
      <c r="F1725" s="25" t="inlineStr">
        <is>
          <t>IA-ST-CFG-0096</t>
        </is>
      </c>
      <c r="G1725" s="25" t="n">
        <v>29.7192</v>
      </c>
      <c r="H1725" s="25" t="inlineStr">
        <is>
          <t>988-pack GENERATED</t>
        </is>
      </c>
    </row>
    <row r="1726">
      <c r="A1726" s="25" t="inlineStr">
        <is>
          <t>1014959</t>
        </is>
      </c>
      <c r="B1726" s="25" t="inlineStr">
        <is>
          <t>AKÜ AGM,L6,DK,105AH,İNCİ AGM LEO,SHAWKAT</t>
        </is>
      </c>
      <c r="C1726" s="25" t="inlineStr">
        <is>
          <t>1</t>
        </is>
      </c>
      <c r="D1726" s="25" t="inlineStr">
        <is>
          <t>ST-042-STD-05</t>
        </is>
      </c>
      <c r="E1726" s="25" t="inlineStr">
        <is>
          <t>IA-ST-042-STD-05</t>
        </is>
      </c>
      <c r="F1726" s="25" t="inlineStr">
        <is>
          <t>IA-ST-CFG-0080</t>
        </is>
      </c>
      <c r="G1726" s="25" t="n">
        <v>29.5992</v>
      </c>
      <c r="H1726" s="25" t="inlineStr">
        <is>
          <t>988-pack GENERATED</t>
        </is>
      </c>
    </row>
    <row r="1727">
      <c r="A1727" s="25" t="inlineStr">
        <is>
          <t>1014960</t>
        </is>
      </c>
      <c r="B1727" s="25" t="inlineStr">
        <is>
          <t>AKÜ,L2,DK,62AH,IGYA,NONAME,4027-062GYEUR</t>
        </is>
      </c>
      <c r="C1727" s="25" t="inlineStr">
        <is>
          <t>1</t>
        </is>
      </c>
      <c r="D1727" s="25" t="inlineStr">
        <is>
          <t>ST-057-EUR-03</t>
        </is>
      </c>
      <c r="E1727" s="25" t="inlineStr">
        <is>
          <t>IA-ST-057-EUR-03</t>
        </is>
      </c>
      <c r="F1727" s="25" t="inlineStr">
        <is>
          <t>IA-ST-CFG-0162</t>
        </is>
      </c>
      <c r="G1727" s="25" t="n">
        <v>27.926</v>
      </c>
      <c r="H1727" s="25" t="inlineStr">
        <is>
          <t>988-pack GENERATED</t>
        </is>
      </c>
    </row>
    <row r="1728">
      <c r="A1728" s="25" t="inlineStr">
        <is>
          <t>1014961</t>
        </is>
      </c>
      <c r="B1728" s="25" t="inlineStr">
        <is>
          <t>AKÜ,L3,DK,75AH,IGYA,NONAME,4096-075GYEUR</t>
        </is>
      </c>
      <c r="C1728" s="25" t="inlineStr">
        <is>
          <t>1</t>
        </is>
      </c>
      <c r="D1728" s="25" t="inlineStr">
        <is>
          <t>ST-051-EUR-01</t>
        </is>
      </c>
      <c r="E1728" s="25" t="inlineStr">
        <is>
          <t>IA-ST-051-EUR-01</t>
        </is>
      </c>
      <c r="F1728" s="25" t="inlineStr">
        <is>
          <t>IA-ST-CFG-0132</t>
        </is>
      </c>
      <c r="G1728" s="25" t="n">
        <v>27.926</v>
      </c>
      <c r="H1728" s="25" t="inlineStr">
        <is>
          <t>988-pack GENERATED</t>
        </is>
      </c>
    </row>
    <row r="1729">
      <c r="A1729" s="25" t="inlineStr">
        <is>
          <t>1014962</t>
        </is>
      </c>
      <c r="B1729" s="25" t="inlineStr">
        <is>
          <t>AKÜ,L5,DK,95AH,IGYA,NONAME,4019-095GYEUR</t>
        </is>
      </c>
      <c r="C1729" s="25" t="inlineStr">
        <is>
          <t>1</t>
        </is>
      </c>
      <c r="D1729" s="25" t="inlineStr">
        <is>
          <t>ST-036-EUR-04</t>
        </is>
      </c>
      <c r="E1729" s="25" t="inlineStr">
        <is>
          <t>IA-ST-036-EUR-04</t>
        </is>
      </c>
      <c r="F1729" s="25" t="inlineStr">
        <is>
          <t>IA-ST-CFG-0068</t>
        </is>
      </c>
      <c r="G1729" s="25" t="n">
        <v>27.926</v>
      </c>
      <c r="H1729" s="25" t="inlineStr">
        <is>
          <t>988-pack GENERATED</t>
        </is>
      </c>
    </row>
    <row r="1730">
      <c r="A1730" s="25" t="inlineStr">
        <is>
          <t>1014963</t>
        </is>
      </c>
      <c r="B1730" s="25" t="inlineStr">
        <is>
          <t>AKÜ SULU,L0,DK,40AH,SMF 202,GS</t>
        </is>
      </c>
      <c r="C1730" s="25" t="inlineStr">
        <is>
          <t>1</t>
        </is>
      </c>
      <c r="D1730" s="25" t="inlineStr">
        <is>
          <t>ST-072-EUR-06</t>
        </is>
      </c>
      <c r="E1730" s="25" t="inlineStr">
        <is>
          <t>IA-ST-072-EUR-06</t>
        </is>
      </c>
      <c r="F1730" s="25" t="inlineStr">
        <is>
          <t>IA-ST-CFG-0236</t>
        </is>
      </c>
      <c r="G1730" s="25" t="n">
        <v>27.926</v>
      </c>
      <c r="H1730" s="25" t="inlineStr">
        <is>
          <t>988-pack GENERATED</t>
        </is>
      </c>
    </row>
    <row r="1731">
      <c r="A1731" s="25" t="inlineStr">
        <is>
          <t>1014964</t>
        </is>
      </c>
      <c r="B1731" s="25" t="inlineStr">
        <is>
          <t>AKÜ,C-VRLA,DK,220AH,MAKO AGM,OES</t>
        </is>
      </c>
      <c r="C1731" s="25" t="inlineStr">
        <is>
          <t>1</t>
        </is>
      </c>
      <c r="D1731" s="25" t="inlineStr">
        <is>
          <t>ST-018-EUR-05</t>
        </is>
      </c>
      <c r="E1731" s="25" t="inlineStr">
        <is>
          <t>IA-ST-018-EUR-05</t>
        </is>
      </c>
      <c r="F1731" s="25" t="inlineStr">
        <is>
          <t>IA-ST-CFG-0016</t>
        </is>
      </c>
      <c r="G1731" s="25" t="n">
        <v>30.7004</v>
      </c>
      <c r="H1731" s="25" t="inlineStr">
        <is>
          <t>988-pack GENERATED</t>
        </is>
      </c>
    </row>
    <row r="1732">
      <c r="A1732" s="29" t="inlineStr">
        <is>
          <t>1014965</t>
        </is>
      </c>
      <c r="B1732" s="29" t="inlineStr">
        <is>
          <t>AKÜ,B-IGYASMF,DK,185AH,MAKO EFB,OES</t>
        </is>
      </c>
      <c r="C1732" s="29" t="inlineStr">
        <is>
          <t>1</t>
        </is>
      </c>
      <c r="H1732" s="29" t="inlineStr">
        <is>
          <t>NO MAPPING</t>
        </is>
      </c>
    </row>
    <row r="1733">
      <c r="A1733" s="25" t="inlineStr">
        <is>
          <t>1014966</t>
        </is>
      </c>
      <c r="B1733" s="25" t="inlineStr">
        <is>
          <t>AKÜ,C-IGYASMF,DK,230AH,MAKO EFB,OES</t>
        </is>
      </c>
      <c r="C1733" s="25" t="inlineStr">
        <is>
          <t>1</t>
        </is>
      </c>
      <c r="D1733" s="25" t="inlineStr">
        <is>
          <t>ST-018-EUR-05</t>
        </is>
      </c>
      <c r="E1733" s="25" t="inlineStr">
        <is>
          <t>IA-ST-018-EUR-05</t>
        </is>
      </c>
      <c r="F1733" s="25" t="inlineStr">
        <is>
          <t>IA-ST-CFG-0016</t>
        </is>
      </c>
      <c r="G1733" s="25" t="n">
        <v>30.7004</v>
      </c>
      <c r="H1733" s="25" t="inlineStr">
        <is>
          <t>988-pack GENERATED</t>
        </is>
      </c>
    </row>
    <row r="1734">
      <c r="A1734" s="29" t="inlineStr">
        <is>
          <t>1014967</t>
        </is>
      </c>
      <c r="B1734" s="29" t="inlineStr">
        <is>
          <t>AKÜ,A-IGYASMF,DK,145AH,MAKOHEAVYDUTY,OES</t>
        </is>
      </c>
      <c r="C1734" s="29" t="inlineStr">
        <is>
          <t>1</t>
        </is>
      </c>
      <c r="H1734" s="29" t="inlineStr">
        <is>
          <t>NO MAPPING</t>
        </is>
      </c>
    </row>
    <row r="1735">
      <c r="A1735" s="29" t="inlineStr">
        <is>
          <t>1014968</t>
        </is>
      </c>
      <c r="B1735" s="29" t="inlineStr">
        <is>
          <t>AKÜ,B-IGYASMF,DK,190AH,MAKOHEAVYDUTY,OES</t>
        </is>
      </c>
      <c r="C1735" s="29" t="inlineStr">
        <is>
          <t>1</t>
        </is>
      </c>
      <c r="H1735" s="29" t="inlineStr">
        <is>
          <t>NO MAPPING</t>
        </is>
      </c>
    </row>
    <row r="1736">
      <c r="A1736" s="25" t="inlineStr">
        <is>
          <t>1014969</t>
        </is>
      </c>
      <c r="B1736" s="25" t="inlineStr">
        <is>
          <t>AKÜ,C-IGYASMF,DK,250AH,MAKOHEAVYDUTY,OES</t>
        </is>
      </c>
      <c r="C1736" s="25" t="inlineStr">
        <is>
          <t>1</t>
        </is>
      </c>
      <c r="D1736" s="25" t="inlineStr">
        <is>
          <t>ST-018-EUR-05</t>
        </is>
      </c>
      <c r="E1736" s="25" t="inlineStr">
        <is>
          <t>IA-ST-018-EUR-05</t>
        </is>
      </c>
      <c r="F1736" s="25" t="inlineStr">
        <is>
          <t>IA-ST-CFG-0016</t>
        </is>
      </c>
      <c r="G1736" s="25" t="n">
        <v>30.7004</v>
      </c>
      <c r="H1736" s="25" t="inlineStr">
        <is>
          <t>988-pack GENERATED</t>
        </is>
      </c>
    </row>
    <row r="1737">
      <c r="A1737" s="29" t="inlineStr">
        <is>
          <t>1014970</t>
        </is>
      </c>
      <c r="B1737" s="29" t="inlineStr">
        <is>
          <t>AKÜ,A-IGYASMF,DK,135AH,MAKOHEAVYDUTY,OES</t>
        </is>
      </c>
      <c r="C1737" s="29" t="inlineStr">
        <is>
          <t>1</t>
        </is>
      </c>
      <c r="H1737" s="29" t="inlineStr">
        <is>
          <t>NO MAPPING</t>
        </is>
      </c>
    </row>
    <row r="1738">
      <c r="A1738" s="29" t="inlineStr">
        <is>
          <t>1014971</t>
        </is>
      </c>
      <c r="B1738" s="29" t="inlineStr">
        <is>
          <t>AKÜ,B-IGYASMF,DK,150AH,MAKOHEAVYDUTY,OES</t>
        </is>
      </c>
      <c r="C1738" s="29" t="inlineStr">
        <is>
          <t>1</t>
        </is>
      </c>
      <c r="H1738" s="29" t="inlineStr">
        <is>
          <t>NO MAPPING</t>
        </is>
      </c>
    </row>
    <row r="1739">
      <c r="A1739" s="29" t="inlineStr">
        <is>
          <t>1014972</t>
        </is>
      </c>
      <c r="B1739" s="29" t="inlineStr">
        <is>
          <t>AKÜ,B-IGYASMF,DK,180AH,MAKOHEAVYDUTY,OES</t>
        </is>
      </c>
      <c r="C1739" s="29" t="inlineStr">
        <is>
          <t>1</t>
        </is>
      </c>
      <c r="H1739" s="29" t="inlineStr">
        <is>
          <t>NO MAPPING</t>
        </is>
      </c>
    </row>
    <row r="1740">
      <c r="A1740" s="25" t="inlineStr">
        <is>
          <t>1014973</t>
        </is>
      </c>
      <c r="B1740" s="25" t="inlineStr">
        <is>
          <t>AKÜ,C-IGYASMF,DK,225AH,MAKOHEAVYDUTY,OES</t>
        </is>
      </c>
      <c r="C1740" s="25" t="inlineStr">
        <is>
          <t>1</t>
        </is>
      </c>
      <c r="D1740" s="25" t="inlineStr">
        <is>
          <t>ST-018-EUR-05</t>
        </is>
      </c>
      <c r="E1740" s="25" t="inlineStr">
        <is>
          <t>IA-ST-018-EUR-05</t>
        </is>
      </c>
      <c r="F1740" s="25" t="inlineStr">
        <is>
          <t>IA-ST-CFG-0016</t>
        </is>
      </c>
      <c r="G1740" s="25" t="n">
        <v>30.7004</v>
      </c>
      <c r="H1740" s="25" t="inlineStr">
        <is>
          <t>988-pack GENERATED</t>
        </is>
      </c>
    </row>
    <row r="1741">
      <c r="A1741" s="25" t="inlineStr">
        <is>
          <t>1014974</t>
        </is>
      </c>
      <c r="B1741" s="25" t="inlineStr">
        <is>
          <t>AKÜ,L1,TK,44AH,IGYA SMF,SMF 077,GS</t>
        </is>
      </c>
      <c r="C1741" s="25" t="inlineStr">
        <is>
          <t>1</t>
        </is>
      </c>
      <c r="D1741" s="25" t="inlineStr">
        <is>
          <t>ST-072-EUR-04</t>
        </is>
      </c>
      <c r="E1741" s="25" t="inlineStr">
        <is>
          <t>IA-ST-072-EUR-04</t>
        </is>
      </c>
      <c r="F1741" s="25" t="inlineStr">
        <is>
          <t>IA-ST-CFG-0209</t>
        </is>
      </c>
      <c r="G1741" s="25" t="n">
        <v>28.366</v>
      </c>
      <c r="H1741" s="25" t="inlineStr">
        <is>
          <t>988-pack GENERATED</t>
        </is>
      </c>
    </row>
    <row r="1742">
      <c r="A1742" s="25" t="inlineStr">
        <is>
          <t>1014975</t>
        </is>
      </c>
      <c r="B1742" s="25" t="inlineStr">
        <is>
          <t>AKÜ,L1,DK,52AH,IGYA SMF,SMF 012,GS</t>
        </is>
      </c>
      <c r="C1742" s="25" t="inlineStr">
        <is>
          <t>1</t>
        </is>
      </c>
      <c r="D1742" s="25" t="inlineStr">
        <is>
          <t>ST-072-EUR-04</t>
        </is>
      </c>
      <c r="E1742" s="25" t="inlineStr">
        <is>
          <t>IA-ST-072-EUR-04</t>
        </is>
      </c>
      <c r="F1742" s="25" t="inlineStr">
        <is>
          <t>IA-ST-CFG-0209</t>
        </is>
      </c>
      <c r="G1742" s="25" t="n">
        <v>28.366</v>
      </c>
      <c r="H1742" s="25" t="inlineStr">
        <is>
          <t>988-pack GENERATED</t>
        </is>
      </c>
    </row>
    <row r="1743">
      <c r="A1743" s="25" t="inlineStr">
        <is>
          <t>1014976</t>
        </is>
      </c>
      <c r="B1743" s="25" t="inlineStr">
        <is>
          <t>AKÜ,LB1,DK,46AH,IGYA SMF,SMF 063,GS</t>
        </is>
      </c>
      <c r="C1743" s="25" t="inlineStr">
        <is>
          <t>1</t>
        </is>
      </c>
      <c r="D1743" s="25" t="inlineStr">
        <is>
          <t>ST-072-EUR-04</t>
        </is>
      </c>
      <c r="E1743" s="25" t="inlineStr">
        <is>
          <t>IA-ST-072-EUR-04</t>
        </is>
      </c>
      <c r="F1743" s="25" t="inlineStr">
        <is>
          <t>IA-ST-CFG-0209</t>
        </is>
      </c>
      <c r="G1743" s="25" t="n">
        <v>28.366</v>
      </c>
      <c r="H1743" s="25" t="inlineStr">
        <is>
          <t>988-pack GENERATED</t>
        </is>
      </c>
    </row>
    <row r="1744">
      <c r="A1744" s="25" t="inlineStr">
        <is>
          <t>1014977</t>
        </is>
      </c>
      <c r="B1744" s="25" t="inlineStr">
        <is>
          <t>AKÜ,LB2,DK,60AH,IGYA SMF,SMF 075,GS</t>
        </is>
      </c>
      <c r="C1744" s="25" t="inlineStr">
        <is>
          <t>1</t>
        </is>
      </c>
      <c r="D1744" s="25" t="inlineStr">
        <is>
          <t>ST-057-EUR-03</t>
        </is>
      </c>
      <c r="E1744" s="25" t="inlineStr">
        <is>
          <t>IA-ST-057-EUR-03</t>
        </is>
      </c>
      <c r="F1744" s="25" t="inlineStr">
        <is>
          <t>IA-ST-CFG-0162</t>
        </is>
      </c>
      <c r="G1744" s="25" t="n">
        <v>27.926</v>
      </c>
      <c r="H1744" s="25" t="inlineStr">
        <is>
          <t>988-pack GENERATED</t>
        </is>
      </c>
    </row>
    <row r="1745">
      <c r="A1745" s="25" t="inlineStr">
        <is>
          <t>1014978</t>
        </is>
      </c>
      <c r="B1745" s="25" t="inlineStr">
        <is>
          <t>AKÜ,L4,DK,82AH,IGYA SMF,SMF 115,GS</t>
        </is>
      </c>
      <c r="C1745" s="25" t="inlineStr">
        <is>
          <t>1</t>
        </is>
      </c>
      <c r="D1745" s="25" t="inlineStr">
        <is>
          <t>ST-042-EUR-02</t>
        </is>
      </c>
      <c r="E1745" s="25" t="inlineStr">
        <is>
          <t>IA-ST-042-EUR-02</t>
        </is>
      </c>
      <c r="F1745" s="25" t="inlineStr">
        <is>
          <t>IA-ST-CFG-0085</t>
        </is>
      </c>
      <c r="G1745" s="25" t="n">
        <v>27.926</v>
      </c>
      <c r="H1745" s="25" t="inlineStr">
        <is>
          <t>988-pack GENERATED</t>
        </is>
      </c>
    </row>
    <row r="1746">
      <c r="A1746" s="25" t="inlineStr">
        <is>
          <t>1014984</t>
        </is>
      </c>
      <c r="B1746" s="25" t="inlineStr">
        <is>
          <t>AKÜ,LB4,DK,80AH,IGYA SMF,SMF 110,GS</t>
        </is>
      </c>
      <c r="C1746" s="25" t="inlineStr">
        <is>
          <t>1</t>
        </is>
      </c>
      <c r="D1746" s="25" t="inlineStr">
        <is>
          <t>ST-042-EUR-02</t>
        </is>
      </c>
      <c r="E1746" s="25" t="inlineStr">
        <is>
          <t>IA-ST-042-EUR-02</t>
        </is>
      </c>
      <c r="F1746" s="25" t="inlineStr">
        <is>
          <t>IA-ST-CFG-0085</t>
        </is>
      </c>
      <c r="G1746" s="25" t="n">
        <v>27.926</v>
      </c>
      <c r="H1746" s="25" t="inlineStr">
        <is>
          <t>988-pack GENERATED</t>
        </is>
      </c>
    </row>
    <row r="1747">
      <c r="A1747" s="25" t="inlineStr">
        <is>
          <t>1014985</t>
        </is>
      </c>
      <c r="B1747" s="25" t="inlineStr">
        <is>
          <t>AKÜ,C-FLAT,DK,240AH,İNCİ SUPRA,SHAWKAT</t>
        </is>
      </c>
      <c r="C1747" s="25" t="inlineStr">
        <is>
          <t>1</t>
        </is>
      </c>
      <c r="D1747" s="25" t="inlineStr">
        <is>
          <t>ST-021-STD-03</t>
        </is>
      </c>
      <c r="E1747" s="25" t="inlineStr">
        <is>
          <t>IA-ST-021-STD-03</t>
        </is>
      </c>
      <c r="F1747" s="25" t="inlineStr">
        <is>
          <t>IA-ST-CFG-0023</t>
        </is>
      </c>
      <c r="G1747" s="25" t="n">
        <v>31.8252</v>
      </c>
      <c r="H1747" s="25" t="inlineStr">
        <is>
          <t>988-pack GENERATED</t>
        </is>
      </c>
    </row>
    <row r="1748">
      <c r="A1748" s="25" t="inlineStr">
        <is>
          <t>1014986</t>
        </is>
      </c>
      <c r="B1748" s="25" t="inlineStr">
        <is>
          <t>AKÜ,LB3,DK,72AH,IGYA,TECHNO POWER,ALSAFA</t>
        </is>
      </c>
      <c r="C1748" s="25" t="inlineStr">
        <is>
          <t>1</t>
        </is>
      </c>
      <c r="D1748" s="25" t="inlineStr">
        <is>
          <t>ST-063-STD-07</t>
        </is>
      </c>
      <c r="E1748" s="25" t="inlineStr">
        <is>
          <t>IA-ST-063-STD-07</t>
        </is>
      </c>
      <c r="F1748" s="25" t="inlineStr">
        <is>
          <t>IA-ST-CFG-0178</t>
        </is>
      </c>
      <c r="G1748" s="25" t="n">
        <v>29.8692</v>
      </c>
      <c r="H1748" s="25" t="inlineStr">
        <is>
          <t>988-pack GENERATED</t>
        </is>
      </c>
    </row>
    <row r="1749">
      <c r="A1749" s="25" t="inlineStr">
        <is>
          <t>1014987</t>
        </is>
      </c>
      <c r="B1749" s="25" t="inlineStr">
        <is>
          <t>AKÜ,LB4,DK,80AH,IGYA,TECHNO POWER,ALSAFA</t>
        </is>
      </c>
      <c r="C1749" s="25" t="inlineStr">
        <is>
          <t>1</t>
        </is>
      </c>
      <c r="D1749" s="25" t="inlineStr">
        <is>
          <t>ST-072-STD-22</t>
        </is>
      </c>
      <c r="E1749" s="25" t="inlineStr">
        <is>
          <t>IA-ST-072-STD-22</t>
        </is>
      </c>
      <c r="F1749" s="25" t="inlineStr">
        <is>
          <t>IA-ST-CFG-0231</t>
        </is>
      </c>
      <c r="G1749" s="25" t="n">
        <v>30.6372</v>
      </c>
      <c r="H1749" s="25" t="inlineStr">
        <is>
          <t>988-pack GENERATED</t>
        </is>
      </c>
    </row>
    <row r="1750">
      <c r="A1750" s="25" t="inlineStr">
        <is>
          <t>1014988</t>
        </is>
      </c>
      <c r="B1750" s="25" t="inlineStr">
        <is>
          <t>AKÜ,L6,DK,105AH,TECHNO POWER AGM,ALSAFA</t>
        </is>
      </c>
      <c r="C1750" s="25" t="inlineStr">
        <is>
          <t>1</t>
        </is>
      </c>
      <c r="D1750" s="25" t="inlineStr">
        <is>
          <t>ST-042-STD-05</t>
        </is>
      </c>
      <c r="E1750" s="25" t="inlineStr">
        <is>
          <t>IA-ST-042-STD-05</t>
        </is>
      </c>
      <c r="F1750" s="25" t="inlineStr">
        <is>
          <t>IA-ST-CFG-0080</t>
        </is>
      </c>
      <c r="G1750" s="25" t="n">
        <v>29.5992</v>
      </c>
      <c r="H1750" s="25" t="inlineStr">
        <is>
          <t>988-pack GENERATED</t>
        </is>
      </c>
    </row>
    <row r="1751">
      <c r="A1751" s="25" t="inlineStr">
        <is>
          <t>1014989</t>
        </is>
      </c>
      <c r="B1751" s="25" t="inlineStr">
        <is>
          <t>AKÜ NS40,DK,42AH,IGYASMF,İNCİ FORMTAURUS</t>
        </is>
      </c>
      <c r="C1751" s="25" t="inlineStr">
        <is>
          <t>1</t>
        </is>
      </c>
      <c r="D1751" s="25" t="inlineStr">
        <is>
          <t>ST-120-STD-01</t>
        </is>
      </c>
      <c r="E1751" s="25" t="inlineStr">
        <is>
          <t>IA-ST-120-STD-01</t>
        </is>
      </c>
      <c r="F1751" s="25" t="inlineStr">
        <is>
          <t>IA-ST-CFG-0284</t>
        </is>
      </c>
      <c r="G1751" s="25" t="n">
        <v>35.3676</v>
      </c>
      <c r="H1751" s="25" t="inlineStr">
        <is>
          <t>988-pack GENERATED</t>
        </is>
      </c>
    </row>
    <row r="1752">
      <c r="A1752" s="25" t="inlineStr">
        <is>
          <t>1014990</t>
        </is>
      </c>
      <c r="B1752" s="25" t="inlineStr">
        <is>
          <t>AKÜ,B-IGYASMF,DK,180AH,EAS ACTIVA,SHDNEW</t>
        </is>
      </c>
      <c r="C1752" s="25" t="inlineStr">
        <is>
          <t>1</t>
        </is>
      </c>
      <c r="D1752" s="25" t="inlineStr">
        <is>
          <t>ST-030-STD-06</t>
        </is>
      </c>
      <c r="E1752" s="25" t="inlineStr">
        <is>
          <t>IA-ST-030-STD-06</t>
        </is>
      </c>
      <c r="F1752" s="25" t="inlineStr">
        <is>
          <t>IA-ST-CFG-0052</t>
        </is>
      </c>
      <c r="G1752" s="25" t="n">
        <v>32.3892</v>
      </c>
      <c r="H1752" s="25" t="inlineStr">
        <is>
          <t>988-pack GENERATED</t>
        </is>
      </c>
    </row>
    <row r="1753">
      <c r="A1753" s="25" t="inlineStr">
        <is>
          <t>1014991</t>
        </is>
      </c>
      <c r="B1753" s="25" t="inlineStr">
        <is>
          <t>AKÜ,LB2,DK,55AH,IGYASMF,MACHTPOWER,CONEX</t>
        </is>
      </c>
      <c r="C1753" s="25" t="inlineStr">
        <is>
          <t>1</t>
        </is>
      </c>
      <c r="D1753" s="25" t="inlineStr">
        <is>
          <t>ST-057-EUR-04</t>
        </is>
      </c>
      <c r="E1753" s="25" t="inlineStr">
        <is>
          <t>IA-ST-057-EUR-04</t>
        </is>
      </c>
      <c r="F1753" s="25" t="inlineStr">
        <is>
          <t>IA-ST-CFG-0163</t>
        </is>
      </c>
      <c r="G1753" s="25" t="n">
        <v>29.8052</v>
      </c>
      <c r="H1753" s="25" t="inlineStr">
        <is>
          <t>988-pack GENERATED</t>
        </is>
      </c>
    </row>
    <row r="1754">
      <c r="A1754" s="25" t="inlineStr">
        <is>
          <t>1014992</t>
        </is>
      </c>
      <c r="B1754" s="25" t="inlineStr">
        <is>
          <t>AKÜ LB2,DK,60AH,IGYASMF,MACHTPOWER,CONEX</t>
        </is>
      </c>
      <c r="C1754" s="25" t="inlineStr">
        <is>
          <t>1</t>
        </is>
      </c>
      <c r="D1754" s="25" t="inlineStr">
        <is>
          <t>ST-057-EUR-04</t>
        </is>
      </c>
      <c r="E1754" s="25" t="inlineStr">
        <is>
          <t>IA-ST-057-EUR-04</t>
        </is>
      </c>
      <c r="F1754" s="25" t="inlineStr">
        <is>
          <t>IA-ST-CFG-0163</t>
        </is>
      </c>
      <c r="G1754" s="25" t="n">
        <v>29.8052</v>
      </c>
      <c r="H1754" s="25" t="inlineStr">
        <is>
          <t>988-pack GENERATED</t>
        </is>
      </c>
    </row>
    <row r="1755">
      <c r="A1755" s="25" t="inlineStr">
        <is>
          <t>1014993</t>
        </is>
      </c>
      <c r="B1755" s="25" t="inlineStr">
        <is>
          <t>AKÜ,L2,DK,65AH,IGYASMF,MACHT POWER,CONEX</t>
        </is>
      </c>
      <c r="C1755" s="25" t="inlineStr">
        <is>
          <t>1</t>
        </is>
      </c>
      <c r="D1755" s="25" t="inlineStr">
        <is>
          <t>ST-057-EUR-04</t>
        </is>
      </c>
      <c r="E1755" s="25" t="inlineStr">
        <is>
          <t>IA-ST-057-EUR-04</t>
        </is>
      </c>
      <c r="F1755" s="25" t="inlineStr">
        <is>
          <t>IA-ST-CFG-0163</t>
        </is>
      </c>
      <c r="G1755" s="25" t="n">
        <v>29.8052</v>
      </c>
      <c r="H1755" s="25" t="inlineStr">
        <is>
          <t>988-pack GENERATED</t>
        </is>
      </c>
    </row>
    <row r="1756">
      <c r="A1756" s="25" t="inlineStr">
        <is>
          <t>1014994</t>
        </is>
      </c>
      <c r="B1756" s="25" t="inlineStr">
        <is>
          <t>AKÜ,LB3,DK,70AH,IGYASMF,MACHTPOWER,CONEX</t>
        </is>
      </c>
      <c r="C1756" s="25" t="inlineStr">
        <is>
          <t>1</t>
        </is>
      </c>
      <c r="D1756" s="25" t="inlineStr">
        <is>
          <t>ST-051-EUR-02</t>
        </is>
      </c>
      <c r="E1756" s="25" t="inlineStr">
        <is>
          <t>IA-ST-051-EUR-02</t>
        </is>
      </c>
      <c r="F1756" s="25" t="inlineStr">
        <is>
          <t>IA-ST-CFG-0133</t>
        </is>
      </c>
      <c r="G1756" s="25" t="n">
        <v>29.2182</v>
      </c>
      <c r="H1756" s="25" t="inlineStr">
        <is>
          <t>988-pack GENERATED</t>
        </is>
      </c>
    </row>
    <row r="1757">
      <c r="A1757" s="25" t="inlineStr">
        <is>
          <t>1014995</t>
        </is>
      </c>
      <c r="B1757" s="25" t="inlineStr">
        <is>
          <t>AKÜ,L3,DK,75AH,IGYASMF,MACHT POWER,CONEX</t>
        </is>
      </c>
      <c r="C1757" s="25" t="inlineStr">
        <is>
          <t>1</t>
        </is>
      </c>
      <c r="D1757" s="25" t="inlineStr">
        <is>
          <t>ST-051-EUR-03</t>
        </is>
      </c>
      <c r="E1757" s="25" t="inlineStr">
        <is>
          <t>IA-ST-051-EUR-03</t>
        </is>
      </c>
      <c r="F1757" s="25" t="inlineStr">
        <is>
          <t>IA-ST-CFG-0134</t>
        </is>
      </c>
      <c r="G1757" s="25" t="n">
        <v>29.3232</v>
      </c>
      <c r="H1757" s="25" t="inlineStr">
        <is>
          <t>988-pack GENERATED</t>
        </is>
      </c>
    </row>
    <row r="1758">
      <c r="A1758" s="25" t="inlineStr">
        <is>
          <t>1014996</t>
        </is>
      </c>
      <c r="B1758" s="25" t="inlineStr">
        <is>
          <t>AKÜ,LB4,DK,80AH,IGYASMF,MACHTPOWER,CONEX</t>
        </is>
      </c>
      <c r="C1758" s="25" t="inlineStr">
        <is>
          <t>1</t>
        </is>
      </c>
      <c r="D1758" s="25" t="inlineStr">
        <is>
          <t>ST-042-EUR-03</t>
        </is>
      </c>
      <c r="E1758" s="25" t="inlineStr">
        <is>
          <t>IA-ST-042-EUR-03</t>
        </is>
      </c>
      <c r="F1758" s="25" t="inlineStr">
        <is>
          <t>IA-ST-CFG-0086</t>
        </is>
      </c>
      <c r="G1758" s="25" t="n">
        <v>29.0672</v>
      </c>
      <c r="H1758" s="25" t="inlineStr">
        <is>
          <t>988-pack GENERATED</t>
        </is>
      </c>
    </row>
    <row r="1759">
      <c r="A1759" s="25" t="inlineStr">
        <is>
          <t>1014997</t>
        </is>
      </c>
      <c r="B1759" s="25" t="inlineStr">
        <is>
          <t>AKÜ,LB4,DK,85AH,IGYASMF,MACHTPOWER,CONEX</t>
        </is>
      </c>
      <c r="C1759" s="25" t="inlineStr">
        <is>
          <t>1</t>
        </is>
      </c>
      <c r="D1759" s="25" t="inlineStr">
        <is>
          <t>ST-042-EUR-03</t>
        </is>
      </c>
      <c r="E1759" s="25" t="inlineStr">
        <is>
          <t>IA-ST-042-EUR-03</t>
        </is>
      </c>
      <c r="F1759" s="25" t="inlineStr">
        <is>
          <t>IA-ST-CFG-0086</t>
        </is>
      </c>
      <c r="G1759" s="25" t="n">
        <v>29.0672</v>
      </c>
      <c r="H1759" s="25" t="inlineStr">
        <is>
          <t>988-pack GENERATED</t>
        </is>
      </c>
    </row>
    <row r="1760">
      <c r="A1760" s="25" t="inlineStr">
        <is>
          <t>1014998</t>
        </is>
      </c>
      <c r="B1760" s="25" t="inlineStr">
        <is>
          <t>AKÜ,L5,DK,100AH,IGYASMF,MACHTPOWER,CONEX</t>
        </is>
      </c>
      <c r="C1760" s="25" t="inlineStr">
        <is>
          <t>1</t>
        </is>
      </c>
      <c r="D1760" s="25" t="inlineStr">
        <is>
          <t>ST-036-EUR-06</t>
        </is>
      </c>
      <c r="E1760" s="25" t="inlineStr">
        <is>
          <t>IA-ST-036-EUR-06</t>
        </is>
      </c>
      <c r="F1760" s="25" t="inlineStr">
        <is>
          <t>IA-ST-CFG-0071</t>
        </is>
      </c>
      <c r="G1760" s="25" t="n">
        <v>29.0792</v>
      </c>
      <c r="H1760" s="25" t="inlineStr">
        <is>
          <t>988-pack GENERATED</t>
        </is>
      </c>
    </row>
    <row r="1761">
      <c r="A1761" s="25" t="inlineStr">
        <is>
          <t>1014999</t>
        </is>
      </c>
      <c r="B1761" s="25" t="inlineStr">
        <is>
          <t>AKÜ,L2,DK,65AH,IGYASMF,İNCİMAXIMA,REDMAY</t>
        </is>
      </c>
      <c r="C1761" s="25" t="inlineStr">
        <is>
          <t>1</t>
        </is>
      </c>
      <c r="D1761" s="25" t="inlineStr">
        <is>
          <t>ST-072-STD-13</t>
        </is>
      </c>
      <c r="E1761" s="25" t="inlineStr">
        <is>
          <t>IA-ST-072-STD-13</t>
        </is>
      </c>
      <c r="F1761" s="25" t="inlineStr">
        <is>
          <t>IA-ST-CFG-0222</t>
        </is>
      </c>
      <c r="G1761" s="25" t="n">
        <v>30.6552</v>
      </c>
      <c r="H1761" s="25" t="inlineStr">
        <is>
          <t>988-pack GENERATED</t>
        </is>
      </c>
    </row>
    <row r="1762">
      <c r="A1762" s="25" t="inlineStr">
        <is>
          <t>1015000</t>
        </is>
      </c>
      <c r="B1762" s="25" t="inlineStr">
        <is>
          <t>AKÜ,LB1,DK,50AH,IGYA SMF,NO NAME,REDMAY</t>
        </is>
      </c>
      <c r="C1762" s="25" t="inlineStr">
        <is>
          <t>1</t>
        </is>
      </c>
      <c r="D1762" s="25" t="inlineStr">
        <is>
          <t>ST-087-STD-02</t>
        </is>
      </c>
      <c r="E1762" s="25" t="inlineStr">
        <is>
          <t>IA-ST-087-STD-02</t>
        </is>
      </c>
      <c r="F1762" s="25" t="inlineStr">
        <is>
          <t>IA-ST-CFG-0247</t>
        </is>
      </c>
      <c r="G1762" s="25" t="n">
        <v>30.4892</v>
      </c>
      <c r="H1762" s="25" t="inlineStr">
        <is>
          <t>988-pack GENERATED</t>
        </is>
      </c>
    </row>
    <row r="1763">
      <c r="A1763" s="25" t="inlineStr">
        <is>
          <t>1015001</t>
        </is>
      </c>
      <c r="B1763" s="25" t="inlineStr">
        <is>
          <t>AKÜ,LB5,DK,90AH,IGYA SMF,SMF 017,GS</t>
        </is>
      </c>
      <c r="C1763" s="25" t="inlineStr">
        <is>
          <t>1</t>
        </is>
      </c>
      <c r="D1763" s="25" t="inlineStr">
        <is>
          <t>ST-036-EUR-04</t>
        </is>
      </c>
      <c r="E1763" s="25" t="inlineStr">
        <is>
          <t>IA-ST-036-EUR-04</t>
        </is>
      </c>
      <c r="F1763" s="25" t="inlineStr">
        <is>
          <t>IA-ST-CFG-0068</t>
        </is>
      </c>
      <c r="G1763" s="25" t="n">
        <v>27.926</v>
      </c>
      <c r="H1763" s="25" t="inlineStr">
        <is>
          <t>988-pack GENERATED</t>
        </is>
      </c>
    </row>
    <row r="1764">
      <c r="A1764" s="25" t="inlineStr">
        <is>
          <t>1015002</t>
        </is>
      </c>
      <c r="B1764" s="25" t="inlineStr">
        <is>
          <t>AKÜ,D23,DK,60AH,IGYA SMF,SMF 005,GS</t>
        </is>
      </c>
      <c r="C1764" s="25" t="inlineStr">
        <is>
          <t>1</t>
        </is>
      </c>
      <c r="D1764" s="25" t="inlineStr">
        <is>
          <t>ST-063-EUR-01</t>
        </is>
      </c>
      <c r="E1764" s="25" t="inlineStr">
        <is>
          <t>IA-ST-063-EUR-01</t>
        </is>
      </c>
      <c r="F1764" s="25" t="inlineStr">
        <is>
          <t>IA-ST-CFG-0188</t>
        </is>
      </c>
      <c r="G1764" s="25" t="n">
        <v>30.326</v>
      </c>
      <c r="H1764" s="25" t="inlineStr">
        <is>
          <t>988-pack GENERATED</t>
        </is>
      </c>
    </row>
    <row r="1765">
      <c r="A1765" s="25" t="inlineStr">
        <is>
          <t>1015003</t>
        </is>
      </c>
      <c r="B1765" s="25" t="inlineStr">
        <is>
          <t>AKÜ,D23,TK,60AH,IGYA SMF,SMF 014,GS</t>
        </is>
      </c>
      <c r="C1765" s="25" t="inlineStr">
        <is>
          <t>1</t>
        </is>
      </c>
      <c r="D1765" s="25" t="inlineStr">
        <is>
          <t>ST-063-EUR-01</t>
        </is>
      </c>
      <c r="E1765" s="25" t="inlineStr">
        <is>
          <t>IA-ST-063-EUR-01</t>
        </is>
      </c>
      <c r="F1765" s="25" t="inlineStr">
        <is>
          <t>IA-ST-CFG-0188</t>
        </is>
      </c>
      <c r="G1765" s="25" t="n">
        <v>30.326</v>
      </c>
      <c r="H1765" s="25" t="inlineStr">
        <is>
          <t>988-pack GENERATED</t>
        </is>
      </c>
    </row>
    <row r="1766">
      <c r="A1766" s="25" t="inlineStr">
        <is>
          <t>1015004</t>
        </is>
      </c>
      <c r="B1766" s="25" t="inlineStr">
        <is>
          <t>AKÜ,D26,DK,72AH,IGYA SMF,SMF 068,GS</t>
        </is>
      </c>
      <c r="C1766" s="25" t="inlineStr">
        <is>
          <t>1</t>
        </is>
      </c>
      <c r="D1766" s="25" t="inlineStr">
        <is>
          <t>ST-057-EUR-01</t>
        </is>
      </c>
      <c r="E1766" s="25" t="inlineStr">
        <is>
          <t>IA-ST-057-EUR-01</t>
        </is>
      </c>
      <c r="F1766" s="25" t="inlineStr">
        <is>
          <t>IA-ST-CFG-0160</t>
        </is>
      </c>
      <c r="G1766" s="25" t="n">
        <v>30.326</v>
      </c>
      <c r="H1766" s="25" t="inlineStr">
        <is>
          <t>988-pack GENERATED</t>
        </is>
      </c>
    </row>
    <row r="1767">
      <c r="A1767" s="25" t="inlineStr">
        <is>
          <t>1015005</t>
        </is>
      </c>
      <c r="B1767" s="25" t="inlineStr">
        <is>
          <t>AKÜ,D26,TK,72AH,IGYA SMF,SMF 069,GS</t>
        </is>
      </c>
      <c r="C1767" s="25" t="inlineStr">
        <is>
          <t>1</t>
        </is>
      </c>
      <c r="D1767" s="25" t="inlineStr">
        <is>
          <t>ST-057-EUR-01</t>
        </is>
      </c>
      <c r="E1767" s="25" t="inlineStr">
        <is>
          <t>IA-ST-057-EUR-01</t>
        </is>
      </c>
      <c r="F1767" s="25" t="inlineStr">
        <is>
          <t>IA-ST-CFG-0160</t>
        </is>
      </c>
      <c r="G1767" s="25" t="n">
        <v>30.326</v>
      </c>
      <c r="H1767" s="25" t="inlineStr">
        <is>
          <t>988-pack GENERATED</t>
        </is>
      </c>
    </row>
    <row r="1768">
      <c r="A1768" s="25" t="inlineStr">
        <is>
          <t>1015006</t>
        </is>
      </c>
      <c r="B1768" s="25" t="inlineStr">
        <is>
          <t>AKÜ,D31,DK,95AH,IGYA SMF,SMF 335,GS</t>
        </is>
      </c>
      <c r="C1768" s="25" t="inlineStr">
        <is>
          <t>1</t>
        </is>
      </c>
      <c r="D1768" s="25" t="inlineStr">
        <is>
          <t>ST-048-EUR-05</t>
        </is>
      </c>
      <c r="E1768" s="25" t="inlineStr">
        <is>
          <t>IA-ST-048-EUR-05</t>
        </is>
      </c>
      <c r="F1768" s="25" t="inlineStr">
        <is>
          <t>IA-ST-CFG-0111</t>
        </is>
      </c>
      <c r="G1768" s="25" t="n">
        <v>30.326</v>
      </c>
      <c r="H1768" s="25" t="inlineStr">
        <is>
          <t>988-pack GENERATED</t>
        </is>
      </c>
    </row>
    <row r="1769">
      <c r="A1769" s="25" t="inlineStr">
        <is>
          <t>1015007</t>
        </is>
      </c>
      <c r="B1769" s="25" t="inlineStr">
        <is>
          <t>AKÜ,D31,TK,95AH,IGYA SMF,SMF 334,GS</t>
        </is>
      </c>
      <c r="C1769" s="25" t="inlineStr">
        <is>
          <t>1</t>
        </is>
      </c>
      <c r="D1769" s="25" t="inlineStr">
        <is>
          <t>ST-048-EUR-05</t>
        </is>
      </c>
      <c r="E1769" s="25" t="inlineStr">
        <is>
          <t>IA-ST-048-EUR-05</t>
        </is>
      </c>
      <c r="F1769" s="25" t="inlineStr">
        <is>
          <t>IA-ST-CFG-0111</t>
        </is>
      </c>
      <c r="G1769" s="25" t="n">
        <v>30.326</v>
      </c>
      <c r="H1769" s="25" t="inlineStr">
        <is>
          <t>988-pack GENERATED</t>
        </is>
      </c>
    </row>
    <row r="1770">
      <c r="A1770" s="25" t="inlineStr">
        <is>
          <t>1015008</t>
        </is>
      </c>
      <c r="B1770" s="25" t="inlineStr">
        <is>
          <t>AKÜ,NS40,DK,35AH,IGYASMF,BLIZZ.SILV,EURO</t>
        </is>
      </c>
      <c r="C1770" s="25" t="inlineStr">
        <is>
          <t>1</t>
        </is>
      </c>
      <c r="D1770" s="25" t="inlineStr">
        <is>
          <t>ST-087-EUR-01</t>
        </is>
      </c>
      <c r="E1770" s="25" t="inlineStr">
        <is>
          <t>IA-ST-087-EUR-01</t>
        </is>
      </c>
      <c r="F1770" s="25" t="inlineStr">
        <is>
          <t>IA-ST-CFG-0253</t>
        </is>
      </c>
      <c r="G1770" s="25" t="n">
        <v>33.11851</v>
      </c>
      <c r="H1770" s="25" t="inlineStr">
        <is>
          <t>988-pack GENERATED</t>
        </is>
      </c>
    </row>
    <row r="1771">
      <c r="A1771" s="25" t="inlineStr">
        <is>
          <t>1015010</t>
        </is>
      </c>
      <c r="B1771" s="25" t="inlineStr">
        <is>
          <t>AKÜ,L2,DK,62AH,IGYA SMF,ZITEX BATTERY</t>
        </is>
      </c>
      <c r="C1771" s="25" t="inlineStr">
        <is>
          <t>1</t>
        </is>
      </c>
      <c r="D1771" s="25" t="inlineStr">
        <is>
          <t>ST-072-STD-13</t>
        </is>
      </c>
      <c r="E1771" s="25" t="inlineStr">
        <is>
          <t>IA-ST-072-STD-13</t>
        </is>
      </c>
      <c r="F1771" s="25" t="inlineStr">
        <is>
          <t>IA-ST-CFG-0222</t>
        </is>
      </c>
      <c r="G1771" s="25" t="n">
        <v>30.6552</v>
      </c>
      <c r="H1771" s="25" t="inlineStr">
        <is>
          <t>988-pack GENERATED</t>
        </is>
      </c>
    </row>
    <row r="1772">
      <c r="A1772" s="25" t="inlineStr">
        <is>
          <t>1015011</t>
        </is>
      </c>
      <c r="B1772" s="25" t="inlineStr">
        <is>
          <t>AKÜ,L3,DK,75AH,IGYA SMF,ZITEX BATTERY</t>
        </is>
      </c>
      <c r="C1772" s="25" t="inlineStr">
        <is>
          <t>1</t>
        </is>
      </c>
      <c r="D1772" s="25" t="inlineStr">
        <is>
          <t>ST-063-STD-08</t>
        </is>
      </c>
      <c r="E1772" s="25" t="inlineStr">
        <is>
          <t>IA-ST-063-STD-08</t>
        </is>
      </c>
      <c r="F1772" s="25" t="inlineStr">
        <is>
          <t>IA-ST-CFG-0179</t>
        </is>
      </c>
      <c r="G1772" s="25" t="n">
        <v>29.9992</v>
      </c>
      <c r="H1772" s="25" t="inlineStr">
        <is>
          <t>988-pack GENERATED</t>
        </is>
      </c>
    </row>
    <row r="1773">
      <c r="A1773" s="25" t="inlineStr">
        <is>
          <t>1015012</t>
        </is>
      </c>
      <c r="B1773" s="25" t="inlineStr">
        <is>
          <t>AKÜ,L4,DK,90AH,IGYA SMF,ZITEX BATTERY</t>
        </is>
      </c>
      <c r="C1773" s="25" t="inlineStr">
        <is>
          <t>1</t>
        </is>
      </c>
      <c r="D1773" s="25" t="inlineStr">
        <is>
          <t>ST-072-STD-12</t>
        </is>
      </c>
      <c r="E1773" s="25" t="inlineStr">
        <is>
          <t>IA-ST-072-STD-12</t>
        </is>
      </c>
      <c r="F1773" s="25" t="inlineStr">
        <is>
          <t>IA-ST-CFG-0221</t>
        </is>
      </c>
      <c r="G1773" s="25" t="n">
        <v>30.3672</v>
      </c>
      <c r="H1773" s="25" t="inlineStr">
        <is>
          <t>988-pack GENERATED</t>
        </is>
      </c>
    </row>
    <row r="1774">
      <c r="A1774" s="25" t="inlineStr">
        <is>
          <t>1015013</t>
        </is>
      </c>
      <c r="B1774" s="25" t="inlineStr">
        <is>
          <t>AKÜ,L5,DK,100AH,IGYA SMF,ZITEX BATTERY</t>
        </is>
      </c>
      <c r="C1774" s="25" t="inlineStr">
        <is>
          <t>1</t>
        </is>
      </c>
      <c r="D1774" s="25" t="inlineStr">
        <is>
          <t>ST-045-STD-08</t>
        </is>
      </c>
      <c r="E1774" s="25" t="inlineStr">
        <is>
          <t>IA-ST-045-STD-08</t>
        </is>
      </c>
      <c r="F1774" s="25" t="inlineStr">
        <is>
          <t>IA-ST-CFG-0096</t>
        </is>
      </c>
      <c r="G1774" s="25" t="n">
        <v>29.7192</v>
      </c>
      <c r="H1774" s="25" t="inlineStr">
        <is>
          <t>988-pack GENERATED</t>
        </is>
      </c>
    </row>
    <row r="1775">
      <c r="A1775" s="25" t="inlineStr">
        <is>
          <t>1015014</t>
        </is>
      </c>
      <c r="B1775" s="25" t="inlineStr">
        <is>
          <t>AKÜ,A-FLAT,DK,120AH,ZITEX BATTERY</t>
        </is>
      </c>
      <c r="C1775" s="25" t="inlineStr">
        <is>
          <t>1</t>
        </is>
      </c>
      <c r="D1775" s="25" t="inlineStr">
        <is>
          <t>ST-030-STD-05</t>
        </is>
      </c>
      <c r="E1775" s="25" t="inlineStr">
        <is>
          <t>IA-ST-030-STD-05</t>
        </is>
      </c>
      <c r="F1775" s="25" t="inlineStr">
        <is>
          <t>IA-ST-CFG-0051</t>
        </is>
      </c>
      <c r="G1775" s="25" t="n">
        <v>31.6992</v>
      </c>
      <c r="H1775" s="25" t="inlineStr">
        <is>
          <t>988-pack GENERATED</t>
        </is>
      </c>
    </row>
    <row r="1776">
      <c r="A1776" s="25" t="inlineStr">
        <is>
          <t>1015015</t>
        </is>
      </c>
      <c r="B1776" s="25" t="inlineStr">
        <is>
          <t>AKÜ,B-FLAT,DK,190AH,ZITEX BATTERY</t>
        </is>
      </c>
      <c r="C1776" s="25" t="inlineStr">
        <is>
          <t>1</t>
        </is>
      </c>
      <c r="D1776" s="25" t="inlineStr">
        <is>
          <t>ST-030-STD-06</t>
        </is>
      </c>
      <c r="E1776" s="25" t="inlineStr">
        <is>
          <t>IA-ST-030-STD-06</t>
        </is>
      </c>
      <c r="F1776" s="25" t="inlineStr">
        <is>
          <t>IA-ST-CFG-0052</t>
        </is>
      </c>
      <c r="G1776" s="25" t="n">
        <v>32.3892</v>
      </c>
      <c r="H1776" s="25" t="inlineStr">
        <is>
          <t>988-pack GENERATED</t>
        </is>
      </c>
    </row>
    <row r="1777">
      <c r="A1777" s="25" t="inlineStr">
        <is>
          <t>1015016</t>
        </is>
      </c>
      <c r="B1777" s="25" t="inlineStr">
        <is>
          <t>AKÜ,A-FLAT,DK120AH,PILOTPERFR,TÜRKMENSTN</t>
        </is>
      </c>
      <c r="C1777" s="25" t="inlineStr">
        <is>
          <t>1</t>
        </is>
      </c>
      <c r="D1777" s="25" t="inlineStr">
        <is>
          <t>ST-030-STD-05</t>
        </is>
      </c>
      <c r="E1777" s="25" t="inlineStr">
        <is>
          <t>IA-ST-030-STD-05</t>
        </is>
      </c>
      <c r="F1777" s="25" t="inlineStr">
        <is>
          <t>IA-ST-CFG-0051</t>
        </is>
      </c>
      <c r="G1777" s="25" t="n">
        <v>31.6992</v>
      </c>
      <c r="H1777" s="25" t="inlineStr">
        <is>
          <t>988-pack GENERATED</t>
        </is>
      </c>
    </row>
    <row r="1778">
      <c r="A1778" s="25" t="inlineStr">
        <is>
          <t>1015017</t>
        </is>
      </c>
      <c r="B1778" s="25" t="inlineStr">
        <is>
          <t>AKÜ,D31,DK90AH,IGYA,PILOTPERF,TÜRKMENSTN</t>
        </is>
      </c>
      <c r="C1778" s="25" t="inlineStr">
        <is>
          <t>1</t>
        </is>
      </c>
      <c r="D1778" s="25" t="inlineStr">
        <is>
          <t>ST-054-STD-07</t>
        </is>
      </c>
      <c r="E1778" s="25" t="inlineStr">
        <is>
          <t>IA-ST-054-STD-07</t>
        </is>
      </c>
      <c r="F1778" s="25" t="inlineStr">
        <is>
          <t>IA-ST-CFG-0143</t>
        </is>
      </c>
      <c r="G1778" s="25" t="n">
        <v>33.7838</v>
      </c>
      <c r="H1778" s="25" t="inlineStr">
        <is>
          <t>988-pack GENERATED</t>
        </is>
      </c>
    </row>
    <row r="1779">
      <c r="A1779" s="25" t="inlineStr">
        <is>
          <t>1015018</t>
        </is>
      </c>
      <c r="B1779" s="25" t="inlineStr">
        <is>
          <t>AKÜ,L4,DK,90AH,IGYA,PILOTPERF,TÜRKMENSTN</t>
        </is>
      </c>
      <c r="C1779" s="25" t="inlineStr">
        <is>
          <t>1</t>
        </is>
      </c>
      <c r="D1779" s="25" t="inlineStr">
        <is>
          <t>ST-072-STD-12</t>
        </is>
      </c>
      <c r="E1779" s="25" t="inlineStr">
        <is>
          <t>IA-ST-072-STD-12</t>
        </is>
      </c>
      <c r="F1779" s="25" t="inlineStr">
        <is>
          <t>IA-ST-CFG-0221</t>
        </is>
      </c>
      <c r="G1779" s="25" t="n">
        <v>30.3672</v>
      </c>
      <c r="H1779" s="25" t="inlineStr">
        <is>
          <t>988-pack GENERATED</t>
        </is>
      </c>
    </row>
    <row r="1780">
      <c r="A1780" s="25" t="inlineStr">
        <is>
          <t>1015019</t>
        </is>
      </c>
      <c r="B1780" s="25" t="inlineStr">
        <is>
          <t>AKÜ,D26,DK75AH,IGYA,PILOTPERF,TÜRKMENSTN</t>
        </is>
      </c>
      <c r="C1780" s="25" t="inlineStr">
        <is>
          <t>1</t>
        </is>
      </c>
      <c r="D1780" s="25" t="inlineStr">
        <is>
          <t>ST-063-STD-04</t>
        </is>
      </c>
      <c r="E1780" s="25" t="inlineStr">
        <is>
          <t>IA-ST-063-STD-04</t>
        </is>
      </c>
      <c r="F1780" s="25" t="inlineStr">
        <is>
          <t>IA-ST-CFG-0175</t>
        </is>
      </c>
      <c r="G1780" s="25" t="n">
        <v>34.1512</v>
      </c>
      <c r="H1780" s="25" t="inlineStr">
        <is>
          <t>988-pack GENERATED</t>
        </is>
      </c>
    </row>
    <row r="1781">
      <c r="A1781" s="25" t="inlineStr">
        <is>
          <t>1015020</t>
        </is>
      </c>
      <c r="B1781" s="25" t="inlineStr">
        <is>
          <t>AKÜ,L3,DK,75AH,IGYA,PILOTPERF,TÜRKMENSTN</t>
        </is>
      </c>
      <c r="C1781" s="25" t="inlineStr">
        <is>
          <t>1</t>
        </is>
      </c>
      <c r="D1781" s="25" t="inlineStr">
        <is>
          <t>ST-063-STD-08</t>
        </is>
      </c>
      <c r="E1781" s="25" t="inlineStr">
        <is>
          <t>IA-ST-063-STD-08</t>
        </is>
      </c>
      <c r="F1781" s="25" t="inlineStr">
        <is>
          <t>IA-ST-CFG-0179</t>
        </is>
      </c>
      <c r="G1781" s="25" t="n">
        <v>29.9992</v>
      </c>
      <c r="H1781" s="25" t="inlineStr">
        <is>
          <t>988-pack GENERATED</t>
        </is>
      </c>
    </row>
    <row r="1782">
      <c r="A1782" s="25" t="inlineStr">
        <is>
          <t>1015021</t>
        </is>
      </c>
      <c r="B1782" s="25" t="inlineStr">
        <is>
          <t>AKÜ,D31,DK,90AH,IGYA,SILVER,TÜRKMENİSTAN</t>
        </is>
      </c>
      <c r="C1782" s="25" t="inlineStr">
        <is>
          <t>1</t>
        </is>
      </c>
      <c r="D1782" s="25" t="inlineStr">
        <is>
          <t>ST-054-STD-07</t>
        </is>
      </c>
      <c r="E1782" s="25" t="inlineStr">
        <is>
          <t>IA-ST-054-STD-07</t>
        </is>
      </c>
      <c r="F1782" s="25" t="inlineStr">
        <is>
          <t>IA-ST-CFG-0143</t>
        </is>
      </c>
      <c r="G1782" s="25" t="n">
        <v>33.7838</v>
      </c>
      <c r="H1782" s="25" t="inlineStr">
        <is>
          <t>988-pack GENERATED</t>
        </is>
      </c>
    </row>
    <row r="1783">
      <c r="A1783" s="25" t="inlineStr">
        <is>
          <t>1015022</t>
        </is>
      </c>
      <c r="B1783" s="25" t="inlineStr">
        <is>
          <t>AKÜ,L4,DK,90AH,IGYA,SILVER,TÜRKMENİSTAN</t>
        </is>
      </c>
      <c r="C1783" s="25" t="inlineStr">
        <is>
          <t>1</t>
        </is>
      </c>
      <c r="D1783" s="25" t="inlineStr">
        <is>
          <t>ST-072-STD-12</t>
        </is>
      </c>
      <c r="E1783" s="25" t="inlineStr">
        <is>
          <t>IA-ST-072-STD-12</t>
        </is>
      </c>
      <c r="F1783" s="25" t="inlineStr">
        <is>
          <t>IA-ST-CFG-0221</t>
        </is>
      </c>
      <c r="G1783" s="25" t="n">
        <v>30.3672</v>
      </c>
      <c r="H1783" s="25" t="inlineStr">
        <is>
          <t>988-pack GENERATED</t>
        </is>
      </c>
    </row>
    <row r="1784">
      <c r="A1784" s="25" t="inlineStr">
        <is>
          <t>1015023</t>
        </is>
      </c>
      <c r="B1784" s="25" t="inlineStr">
        <is>
          <t>AKÜ,L3,DK,75AH,IGYA,BOOSTER,TÜRKMENİSTAN</t>
        </is>
      </c>
      <c r="C1784" s="25" t="inlineStr">
        <is>
          <t>1</t>
        </is>
      </c>
      <c r="D1784" s="25" t="inlineStr">
        <is>
          <t>ST-063-STD-08</t>
        </is>
      </c>
      <c r="E1784" s="25" t="inlineStr">
        <is>
          <t>IA-ST-063-STD-08</t>
        </is>
      </c>
      <c r="F1784" s="25" t="inlineStr">
        <is>
          <t>IA-ST-CFG-0179</t>
        </is>
      </c>
      <c r="G1784" s="25" t="n">
        <v>29.9992</v>
      </c>
      <c r="H1784" s="25" t="inlineStr">
        <is>
          <t>988-pack GENERATED</t>
        </is>
      </c>
    </row>
    <row r="1785">
      <c r="A1785" s="25" t="inlineStr">
        <is>
          <t>1015024</t>
        </is>
      </c>
      <c r="B1785" s="25" t="inlineStr">
        <is>
          <t>AKÜ,L1,DK,44AH,IGYA SMF,NO NAME,BP44,SKG</t>
        </is>
      </c>
      <c r="C1785" s="25" t="inlineStr">
        <is>
          <t>1</t>
        </is>
      </c>
      <c r="D1785" s="25" t="inlineStr">
        <is>
          <t>ST-096-EUR-06</t>
        </is>
      </c>
      <c r="E1785" s="25" t="inlineStr">
        <is>
          <t>IA-ST-096-EUR-06</t>
        </is>
      </c>
      <c r="F1785" s="25" t="inlineStr">
        <is>
          <t>IA-ST-CFG-0269</t>
        </is>
      </c>
      <c r="G1785" s="25" t="n">
        <v>28.566</v>
      </c>
      <c r="H1785" s="25" t="inlineStr">
        <is>
          <t>988-pack GENERATED</t>
        </is>
      </c>
    </row>
    <row r="1786">
      <c r="A1786" s="25" t="inlineStr">
        <is>
          <t>1015025</t>
        </is>
      </c>
      <c r="B1786" s="25" t="inlineStr">
        <is>
          <t>AKÜ,L1,DK,50AH,IGYA SMF,NO NAME,BP50,SKG</t>
        </is>
      </c>
      <c r="C1786" s="25" t="inlineStr">
        <is>
          <t>1</t>
        </is>
      </c>
      <c r="D1786" s="25" t="inlineStr">
        <is>
          <t>ST-096-EUR-06</t>
        </is>
      </c>
      <c r="E1786" s="25" t="inlineStr">
        <is>
          <t>IA-ST-096-EUR-06</t>
        </is>
      </c>
      <c r="F1786" s="25" t="inlineStr">
        <is>
          <t>IA-ST-CFG-0269</t>
        </is>
      </c>
      <c r="G1786" s="25" t="n">
        <v>28.566</v>
      </c>
      <c r="H1786" s="25" t="inlineStr">
        <is>
          <t>988-pack GENERATED</t>
        </is>
      </c>
    </row>
    <row r="1787">
      <c r="A1787" s="25" t="inlineStr">
        <is>
          <t>1015026</t>
        </is>
      </c>
      <c r="B1787" s="25" t="inlineStr">
        <is>
          <t>AKÜ,LB2,DK,60AH,IGYASMF,NO NAME,BP60,SKG</t>
        </is>
      </c>
      <c r="C1787" s="25" t="inlineStr">
        <is>
          <t>1</t>
        </is>
      </c>
      <c r="D1787" s="25" t="inlineStr">
        <is>
          <t>ST-076-EUR-02</t>
        </is>
      </c>
      <c r="E1787" s="25" t="inlineStr">
        <is>
          <t>IA-ST-076-EUR-02</t>
        </is>
      </c>
      <c r="F1787" s="25" t="inlineStr">
        <is>
          <t>IA-ST-CFG-0239</t>
        </is>
      </c>
      <c r="G1787" s="25" t="n">
        <v>28.126</v>
      </c>
      <c r="H1787" s="25" t="inlineStr">
        <is>
          <t>988-pack GENERATED</t>
        </is>
      </c>
    </row>
    <row r="1788">
      <c r="A1788" s="25" t="inlineStr">
        <is>
          <t>1015027</t>
        </is>
      </c>
      <c r="B1788" s="25" t="inlineStr">
        <is>
          <t>AKÜ,L2,DK,62AH,IGYA SMF,NO NAME,BP62,SKG</t>
        </is>
      </c>
      <c r="C1788" s="25" t="inlineStr">
        <is>
          <t>1</t>
        </is>
      </c>
      <c r="D1788" s="25" t="inlineStr">
        <is>
          <t>ST-076-EUR-02</t>
        </is>
      </c>
      <c r="E1788" s="25" t="inlineStr">
        <is>
          <t>IA-ST-076-EUR-02</t>
        </is>
      </c>
      <c r="F1788" s="25" t="inlineStr">
        <is>
          <t>IA-ST-CFG-0239</t>
        </is>
      </c>
      <c r="G1788" s="25" t="n">
        <v>28.126</v>
      </c>
      <c r="H1788" s="25" t="inlineStr">
        <is>
          <t>988-pack GENERATED</t>
        </is>
      </c>
    </row>
    <row r="1789">
      <c r="A1789" s="25" t="inlineStr">
        <is>
          <t>1015028</t>
        </is>
      </c>
      <c r="B1789" s="25" t="inlineStr">
        <is>
          <t>AKÜ,LB3,DK,70AH,IGYASMF,NO NAME,BP70,SKG</t>
        </is>
      </c>
      <c r="C1789" s="25" t="inlineStr">
        <is>
          <t>1</t>
        </is>
      </c>
      <c r="D1789" s="25" t="inlineStr">
        <is>
          <t>ST-068-EUR-01</t>
        </is>
      </c>
      <c r="E1789" s="25" t="inlineStr">
        <is>
          <t>IA-ST-068-EUR-01</t>
        </is>
      </c>
      <c r="F1789" s="25" t="inlineStr">
        <is>
          <t>IA-ST-CFG-0198</t>
        </is>
      </c>
      <c r="G1789" s="25" t="n">
        <v>28.126</v>
      </c>
      <c r="H1789" s="25" t="inlineStr">
        <is>
          <t>988-pack GENERATED</t>
        </is>
      </c>
    </row>
    <row r="1790">
      <c r="A1790" s="25" t="inlineStr">
        <is>
          <t>1015029</t>
        </is>
      </c>
      <c r="B1790" s="25" t="inlineStr">
        <is>
          <t>AKÜ,L3,DK,74AH,IGYA SMF,NO NAME,BP74,SKG</t>
        </is>
      </c>
      <c r="C1790" s="25" t="inlineStr">
        <is>
          <t>1</t>
        </is>
      </c>
      <c r="D1790" s="25" t="inlineStr">
        <is>
          <t>ST-068-EUR-01</t>
        </is>
      </c>
      <c r="E1790" s="25" t="inlineStr">
        <is>
          <t>IA-ST-068-EUR-01</t>
        </is>
      </c>
      <c r="F1790" s="25" t="inlineStr">
        <is>
          <t>IA-ST-CFG-0198</t>
        </is>
      </c>
      <c r="G1790" s="25" t="n">
        <v>28.126</v>
      </c>
      <c r="H1790" s="25" t="inlineStr">
        <is>
          <t>988-pack GENERATED</t>
        </is>
      </c>
    </row>
    <row r="1791">
      <c r="A1791" s="25" t="inlineStr">
        <is>
          <t>1015030</t>
        </is>
      </c>
      <c r="B1791" s="25" t="inlineStr">
        <is>
          <t>AKÜ,LB4,DK,85AH,IGYASMF,NO NAME,BP85,SKG</t>
        </is>
      </c>
      <c r="C1791" s="25" t="inlineStr">
        <is>
          <t>1</t>
        </is>
      </c>
      <c r="D1791" s="25" t="inlineStr">
        <is>
          <t>ST-056-EUR-02</t>
        </is>
      </c>
      <c r="E1791" s="25" t="inlineStr">
        <is>
          <t>IA-ST-056-EUR-02</t>
        </is>
      </c>
      <c r="F1791" s="25" t="inlineStr">
        <is>
          <t>IA-ST-CFG-0151</t>
        </is>
      </c>
      <c r="G1791" s="25" t="n">
        <v>28.126</v>
      </c>
      <c r="H1791" s="25" t="inlineStr">
        <is>
          <t>988-pack GENERATED</t>
        </is>
      </c>
    </row>
    <row r="1792">
      <c r="A1792" s="25" t="inlineStr">
        <is>
          <t>1015031</t>
        </is>
      </c>
      <c r="B1792" s="25" t="inlineStr">
        <is>
          <t>AKÜ,L4,DK,92AH,IGYA SMF,NO NAME,BP92,SKG</t>
        </is>
      </c>
      <c r="C1792" s="25" t="inlineStr">
        <is>
          <t>1</t>
        </is>
      </c>
      <c r="D1792" s="25" t="inlineStr">
        <is>
          <t>ST-056-EUR-02</t>
        </is>
      </c>
      <c r="E1792" s="25" t="inlineStr">
        <is>
          <t>IA-ST-056-EUR-02</t>
        </is>
      </c>
      <c r="F1792" s="25" t="inlineStr">
        <is>
          <t>IA-ST-CFG-0151</t>
        </is>
      </c>
      <c r="G1792" s="25" t="n">
        <v>28.126</v>
      </c>
      <c r="H1792" s="25" t="inlineStr">
        <is>
          <t>988-pack GENERATED</t>
        </is>
      </c>
    </row>
    <row r="1793">
      <c r="A1793" s="25" t="inlineStr">
        <is>
          <t>1015032</t>
        </is>
      </c>
      <c r="B1793" s="25" t="inlineStr">
        <is>
          <t>AKÜ,L5,DK,95AH,IGYA SMF,NO NAME,BP95,SKG</t>
        </is>
      </c>
      <c r="C1793" s="25" t="inlineStr">
        <is>
          <t>1</t>
        </is>
      </c>
      <c r="D1793" s="25" t="inlineStr">
        <is>
          <t>ST-048-EUR-08</t>
        </is>
      </c>
      <c r="E1793" s="25" t="inlineStr">
        <is>
          <t>IA-ST-048-EUR-08</t>
        </is>
      </c>
      <c r="F1793" s="25" t="inlineStr">
        <is>
          <t>IA-ST-CFG-0114</t>
        </is>
      </c>
      <c r="G1793" s="25" t="n">
        <v>28.126</v>
      </c>
      <c r="H1793" s="25" t="inlineStr">
        <is>
          <t>988-pack GENERATED</t>
        </is>
      </c>
    </row>
    <row r="1794">
      <c r="A1794" s="25" t="inlineStr">
        <is>
          <t>1015033</t>
        </is>
      </c>
      <c r="B1794" s="25" t="inlineStr">
        <is>
          <t>AKÜ,L6,DK,110AH,KAMINA,NO NAME,BP110,SKG</t>
        </is>
      </c>
      <c r="C1794" s="25" t="inlineStr">
        <is>
          <t>1</t>
        </is>
      </c>
      <c r="D1794" s="25" t="inlineStr">
        <is>
          <t>ST-036-EUR-04</t>
        </is>
      </c>
      <c r="E1794" s="25" t="inlineStr">
        <is>
          <t>IA-ST-036-EUR-04</t>
        </is>
      </c>
      <c r="F1794" s="25" t="inlineStr">
        <is>
          <t>IA-ST-CFG-0068</t>
        </is>
      </c>
      <c r="G1794" s="25" t="n">
        <v>27.926</v>
      </c>
      <c r="H1794" s="25" t="inlineStr">
        <is>
          <t>988-pack GENERATED</t>
        </is>
      </c>
    </row>
    <row r="1795">
      <c r="A1795" s="25" t="inlineStr">
        <is>
          <t>1015034</t>
        </is>
      </c>
      <c r="B1795" s="25" t="inlineStr">
        <is>
          <t>AKÜ,D26,DK,72AH,IGYA,124R,ZITEXBATTERY</t>
        </is>
      </c>
      <c r="C1795" s="25" t="inlineStr">
        <is>
          <t>1</t>
        </is>
      </c>
      <c r="D1795" s="25" t="inlineStr">
        <is>
          <t>ST-063-STD-04</t>
        </is>
      </c>
      <c r="E1795" s="25" t="inlineStr">
        <is>
          <t>IA-ST-063-STD-04</t>
        </is>
      </c>
      <c r="F1795" s="25" t="inlineStr">
        <is>
          <t>IA-ST-CFG-0175</t>
        </is>
      </c>
      <c r="G1795" s="25" t="n">
        <v>34.1512</v>
      </c>
      <c r="H1795" s="25" t="inlineStr">
        <is>
          <t>988-pack GENERATED</t>
        </is>
      </c>
    </row>
    <row r="1796">
      <c r="A1796" s="25" t="inlineStr">
        <is>
          <t>1015035</t>
        </is>
      </c>
      <c r="B1796" s="25" t="inlineStr">
        <is>
          <t>AKÜ,A-IGYASMF,DK,140AH,TITAN,BESA</t>
        </is>
      </c>
      <c r="C1796" s="25" t="inlineStr">
        <is>
          <t>1</t>
        </is>
      </c>
      <c r="D1796" s="25" t="inlineStr">
        <is>
          <t>ST-024-EUR-04</t>
        </is>
      </c>
      <c r="E1796" s="25" t="inlineStr">
        <is>
          <t>IA-ST-024-EUR-04</t>
        </is>
      </c>
      <c r="F1796" s="25" t="inlineStr">
        <is>
          <t>IA-ST-CFG-0039</t>
        </is>
      </c>
      <c r="G1796" s="25" t="n">
        <v>30.6632</v>
      </c>
      <c r="H1796" s="25" t="inlineStr">
        <is>
          <t>988-pack GENERATED</t>
        </is>
      </c>
    </row>
    <row r="1797">
      <c r="A1797" s="25" t="inlineStr">
        <is>
          <t>1015036</t>
        </is>
      </c>
      <c r="B1797" s="25" t="inlineStr">
        <is>
          <t>AKÜ,B-FLAT,DK,165AH,TITAN,BESA</t>
        </is>
      </c>
      <c r="C1797" s="25" t="inlineStr">
        <is>
          <t>1</t>
        </is>
      </c>
      <c r="D1797" s="25" t="inlineStr">
        <is>
          <t>ST-021-EUR-03</t>
        </is>
      </c>
      <c r="E1797" s="25" t="inlineStr">
        <is>
          <t>IA-ST-021-EUR-03</t>
        </is>
      </c>
      <c r="F1797" s="25" t="inlineStr">
        <is>
          <t>IA-ST-CFG-0029</t>
        </is>
      </c>
      <c r="G1797" s="25" t="n">
        <v>30.7682</v>
      </c>
      <c r="H1797" s="25" t="inlineStr">
        <is>
          <t>988-pack GENERATED</t>
        </is>
      </c>
    </row>
    <row r="1798">
      <c r="A1798" s="25" t="inlineStr">
        <is>
          <t>1015037</t>
        </is>
      </c>
      <c r="B1798" s="25" t="inlineStr">
        <is>
          <t>AKÜ,B-IGYASMF,DK,180AH,TITAN,BESA</t>
        </is>
      </c>
      <c r="C1798" s="25" t="inlineStr">
        <is>
          <t>1</t>
        </is>
      </c>
      <c r="D1798" s="25" t="inlineStr">
        <is>
          <t>ST-021-EUR-03</t>
        </is>
      </c>
      <c r="E1798" s="25" t="inlineStr">
        <is>
          <t>IA-ST-021-EUR-03</t>
        </is>
      </c>
      <c r="F1798" s="25" t="inlineStr">
        <is>
          <t>IA-ST-CFG-0029</t>
        </is>
      </c>
      <c r="G1798" s="25" t="n">
        <v>30.7682</v>
      </c>
      <c r="H1798" s="25" t="inlineStr">
        <is>
          <t>988-pack GENERATED</t>
        </is>
      </c>
    </row>
    <row r="1799">
      <c r="A1799" s="25" t="inlineStr">
        <is>
          <t>1015038</t>
        </is>
      </c>
      <c r="B1799" s="25" t="inlineStr">
        <is>
          <t>AKÜ,B-IGYASMF,DK,190AH,BLIZZAROSILVERLNE</t>
        </is>
      </c>
      <c r="C1799" s="25" t="inlineStr">
        <is>
          <t>1</t>
        </is>
      </c>
      <c r="D1799" s="25" t="inlineStr">
        <is>
          <t>ST-030-STD-06</t>
        </is>
      </c>
      <c r="E1799" s="25" t="inlineStr">
        <is>
          <t>IA-ST-030-STD-06</t>
        </is>
      </c>
      <c r="F1799" s="25" t="inlineStr">
        <is>
          <t>IA-ST-CFG-0052</t>
        </is>
      </c>
      <c r="G1799" s="25" t="n">
        <v>32.3892</v>
      </c>
      <c r="H1799" s="25" t="inlineStr">
        <is>
          <t>988-pack GENERATED</t>
        </is>
      </c>
    </row>
    <row r="1800">
      <c r="A1800" s="25" t="inlineStr">
        <is>
          <t>1015039</t>
        </is>
      </c>
      <c r="B1800" s="25" t="inlineStr">
        <is>
          <t>AKÜ,D31,DK,80AH,IGYA SMF,NO NAME,REDMAY</t>
        </is>
      </c>
      <c r="C1800" s="25" t="inlineStr">
        <is>
          <t>1</t>
        </is>
      </c>
      <c r="D1800" s="25" t="inlineStr">
        <is>
          <t>ST-054-STD-05</t>
        </is>
      </c>
      <c r="E1800" s="25" t="inlineStr">
        <is>
          <t>IA-ST-054-STD-05</t>
        </is>
      </c>
      <c r="F1800" s="25" t="inlineStr">
        <is>
          <t>IA-ST-CFG-0141</t>
        </is>
      </c>
      <c r="G1800" s="25" t="n">
        <v>34.0706</v>
      </c>
      <c r="H1800" s="25" t="inlineStr">
        <is>
          <t>988-pack GENERATED</t>
        </is>
      </c>
    </row>
    <row r="1801">
      <c r="A1801" s="25" t="inlineStr">
        <is>
          <t>1015040</t>
        </is>
      </c>
      <c r="B1801" s="25" t="inlineStr">
        <is>
          <t>AKÜ,L5,DK,102AH,IGYA SMF,SDF OEM</t>
        </is>
      </c>
      <c r="C1801" s="25" t="inlineStr">
        <is>
          <t>1</t>
        </is>
      </c>
      <c r="D1801" s="25" t="inlineStr">
        <is>
          <t>ST-045-STD-10</t>
        </is>
      </c>
      <c r="E1801" s="25" t="inlineStr">
        <is>
          <t>IA-ST-045-STD-10</t>
        </is>
      </c>
      <c r="F1801" s="25" t="inlineStr">
        <is>
          <t>IA-ST-CFG-0098</t>
        </is>
      </c>
      <c r="G1801" s="25" t="n">
        <v>29.4324</v>
      </c>
      <c r="H1801" s="25" t="inlineStr">
        <is>
          <t>988-pack GENERATED</t>
        </is>
      </c>
    </row>
    <row r="1802">
      <c r="A1802" s="25" t="inlineStr">
        <is>
          <t>1015041</t>
        </is>
      </c>
      <c r="B1802" s="25" t="inlineStr">
        <is>
          <t>AKÜ,L4,DK,90AH,IGYA SMF,SDF OEM</t>
        </is>
      </c>
      <c r="C1802" s="25" t="inlineStr">
        <is>
          <t>1</t>
        </is>
      </c>
      <c r="D1802" s="25" t="inlineStr">
        <is>
          <t>ST-072-STD-24</t>
        </is>
      </c>
      <c r="E1802" s="25" t="inlineStr">
        <is>
          <t>IA-ST-072-STD-24</t>
        </is>
      </c>
      <c r="F1802" s="25" t="inlineStr">
        <is>
          <t>IA-ST-CFG-0233</t>
        </is>
      </c>
      <c r="G1802" s="25" t="n">
        <v>30.3504</v>
      </c>
      <c r="H1802" s="25" t="inlineStr">
        <is>
          <t>988-pack GENERATED</t>
        </is>
      </c>
    </row>
    <row r="1803">
      <c r="A1803" s="25" t="inlineStr">
        <is>
          <t>1015042</t>
        </is>
      </c>
      <c r="B1803" s="25" t="inlineStr">
        <is>
          <t>AKÜ,D31,DK,95AH,IGYA SMF,SDF OEM</t>
        </is>
      </c>
      <c r="C1803" s="25" t="inlineStr">
        <is>
          <t>1</t>
        </is>
      </c>
      <c r="D1803" s="25" t="inlineStr">
        <is>
          <t>ST-054-STD-09</t>
        </is>
      </c>
      <c r="E1803" s="25" t="inlineStr">
        <is>
          <t>IA-ST-054-STD-09</t>
        </is>
      </c>
      <c r="F1803" s="25" t="inlineStr">
        <is>
          <t>IA-ST-CFG-0145</t>
        </is>
      </c>
      <c r="G1803" s="25" t="n">
        <v>33.497</v>
      </c>
      <c r="H1803" s="25" t="inlineStr">
        <is>
          <t>988-pack GENERATED</t>
        </is>
      </c>
    </row>
    <row r="1804">
      <c r="A1804" s="29" t="inlineStr">
        <is>
          <t>1015043</t>
        </is>
      </c>
      <c r="B1804" s="29" t="inlineStr">
        <is>
          <t>AKÜ,NS60,TK,IGYA SMF,45AH 400A,ERP-TR</t>
        </is>
      </c>
      <c r="C1804" s="29" t="inlineStr">
        <is>
          <t>1</t>
        </is>
      </c>
      <c r="H1804" s="29" t="inlineStr">
        <is>
          <t>NO MAPPING</t>
        </is>
      </c>
    </row>
    <row r="1805">
      <c r="A1805" s="29" t="inlineStr">
        <is>
          <t>1015044</t>
        </is>
      </c>
      <c r="B1805" s="29" t="inlineStr">
        <is>
          <t>AKÜ,NS60,DK,IGYA SMF,45AH 400A,ERP-TR</t>
        </is>
      </c>
      <c r="C1805" s="29" t="inlineStr">
        <is>
          <t>1</t>
        </is>
      </c>
      <c r="H1805" s="29" t="inlineStr">
        <is>
          <t>NO MAPPING</t>
        </is>
      </c>
    </row>
    <row r="1806">
      <c r="A1806" s="29" t="inlineStr">
        <is>
          <t>1015045</t>
        </is>
      </c>
      <c r="B1806" s="29" t="inlineStr">
        <is>
          <t>AKÜ,L1,DK,IGYA SMF,54AH 500A,ERP-TR</t>
        </is>
      </c>
      <c r="C1806" s="29" t="inlineStr">
        <is>
          <t>1</t>
        </is>
      </c>
      <c r="H1806" s="29" t="inlineStr">
        <is>
          <t>NO MAPPING</t>
        </is>
      </c>
    </row>
    <row r="1807">
      <c r="A1807" s="29" t="inlineStr">
        <is>
          <t>1015046</t>
        </is>
      </c>
      <c r="B1807" s="29" t="inlineStr">
        <is>
          <t>AKÜ,D26,DK,IGYA SMF,70AH 600A,ERP-TR</t>
        </is>
      </c>
      <c r="C1807" s="29" t="inlineStr">
        <is>
          <t>1</t>
        </is>
      </c>
      <c r="H1807" s="29" t="inlineStr">
        <is>
          <t>NO MAPPING</t>
        </is>
      </c>
    </row>
    <row r="1808">
      <c r="A1808" s="29" t="inlineStr">
        <is>
          <t>1015048</t>
        </is>
      </c>
      <c r="B1808" s="29" t="inlineStr">
        <is>
          <t>AKÜ AGM,L6,DK,105AH,İNCİ AGM LEO,TEKSAN</t>
        </is>
      </c>
      <c r="C1808" s="29" t="inlineStr">
        <is>
          <t>1</t>
        </is>
      </c>
      <c r="H1808" s="29" t="inlineStr">
        <is>
          <t>NO MAPPING</t>
        </is>
      </c>
    </row>
    <row r="1809">
      <c r="A1809" s="25" t="inlineStr">
        <is>
          <t>1015049</t>
        </is>
      </c>
      <c r="B1809" s="25" t="inlineStr">
        <is>
          <t>AKÜ AGM,C,DK,220AH,İNCİ AGM LEO,OEM</t>
        </is>
      </c>
      <c r="C1809" s="25" t="inlineStr">
        <is>
          <t>1</t>
        </is>
      </c>
      <c r="D1809" s="25" t="inlineStr">
        <is>
          <t>ST-018-EUR-03</t>
        </is>
      </c>
      <c r="E1809" s="25" t="inlineStr">
        <is>
          <t>IA-ST-018-EUR-03</t>
        </is>
      </c>
      <c r="F1809" s="25" t="inlineStr">
        <is>
          <t>IA-ST-CFG-0014</t>
        </is>
      </c>
      <c r="G1809" s="25" t="n">
        <v>30.9872</v>
      </c>
      <c r="H1809" s="25" t="inlineStr">
        <is>
          <t>988-pack GENERATED</t>
        </is>
      </c>
    </row>
    <row r="1810">
      <c r="A1810" s="29" t="inlineStr">
        <is>
          <t>1015050</t>
        </is>
      </c>
      <c r="B1810" s="29" t="inlineStr">
        <is>
          <t>AKÜ,L3,DK,IGYA SMF,72AH 700A,ERP-TR</t>
        </is>
      </c>
      <c r="C1810" s="29" t="inlineStr">
        <is>
          <t>1</t>
        </is>
      </c>
      <c r="H1810" s="29" t="inlineStr">
        <is>
          <t>NO MAPPING</t>
        </is>
      </c>
    </row>
    <row r="1811">
      <c r="A1811" s="29" t="inlineStr">
        <is>
          <t>1015051</t>
        </is>
      </c>
      <c r="B1811" s="29" t="inlineStr">
        <is>
          <t>AKÜ,LB4,DK,IGYA SMF,EFB 75AH 730A,ERP-TR</t>
        </is>
      </c>
      <c r="C1811" s="29" t="inlineStr">
        <is>
          <t>1</t>
        </is>
      </c>
      <c r="H1811" s="29" t="inlineStr">
        <is>
          <t>NO MAPPING</t>
        </is>
      </c>
    </row>
    <row r="1812">
      <c r="A1812" s="29" t="inlineStr">
        <is>
          <t>1015052</t>
        </is>
      </c>
      <c r="B1812" s="29" t="inlineStr">
        <is>
          <t>AKÜ,L4,DK,VRLA,AGM 80AH 800A,ERP-TR</t>
        </is>
      </c>
      <c r="C1812" s="29" t="inlineStr">
        <is>
          <t>1</t>
        </is>
      </c>
      <c r="H1812" s="29" t="inlineStr">
        <is>
          <t>NO MAPPING</t>
        </is>
      </c>
    </row>
    <row r="1813">
      <c r="A1813" s="29" t="inlineStr">
        <is>
          <t>1015053</t>
        </is>
      </c>
      <c r="B1813" s="29" t="inlineStr">
        <is>
          <t>AKÜ,D31,DK,IGYA SMF,90AH 740A,ERP-TR</t>
        </is>
      </c>
      <c r="C1813" s="29" t="inlineStr">
        <is>
          <t>1</t>
        </is>
      </c>
      <c r="H1813" s="29" t="inlineStr">
        <is>
          <t>NO MAPPING</t>
        </is>
      </c>
    </row>
    <row r="1814">
      <c r="A1814" s="25" t="inlineStr">
        <is>
          <t>1015054</t>
        </is>
      </c>
      <c r="B1814" s="25" t="inlineStr">
        <is>
          <t>AKÜ,L5,DK,VRLA,AGM 95AH 870A,ERP-TR</t>
        </is>
      </c>
      <c r="C1814" s="25" t="inlineStr">
        <is>
          <t>1</t>
        </is>
      </c>
      <c r="D1814" s="25" t="inlineStr">
        <is>
          <t>ST-036-EUR-03</t>
        </is>
      </c>
      <c r="E1814" s="25" t="inlineStr">
        <is>
          <t>IA-ST-036-EUR-03</t>
        </is>
      </c>
      <c r="F1814" s="25" t="inlineStr">
        <is>
          <t>IA-ST-CFG-0066</t>
        </is>
      </c>
      <c r="G1814" s="25" t="n">
        <v>29.366</v>
      </c>
      <c r="H1814" s="25" t="inlineStr">
        <is>
          <t>988-pack GENERATED</t>
        </is>
      </c>
    </row>
    <row r="1815">
      <c r="A1815" s="25" t="inlineStr">
        <is>
          <t>1015055</t>
        </is>
      </c>
      <c r="B1815" s="25" t="inlineStr">
        <is>
          <t>AKÜ,L5,DK,IGYA SMF,100AH 820A,ERP-TR</t>
        </is>
      </c>
      <c r="C1815" s="25" t="inlineStr">
        <is>
          <t>1</t>
        </is>
      </c>
      <c r="D1815" s="25" t="inlineStr">
        <is>
          <t>ST-036-EUR-03</t>
        </is>
      </c>
      <c r="E1815" s="25" t="inlineStr">
        <is>
          <t>IA-ST-036-EUR-03</t>
        </is>
      </c>
      <c r="F1815" s="25" t="inlineStr">
        <is>
          <t>IA-ST-CFG-0066</t>
        </is>
      </c>
      <c r="G1815" s="25" t="n">
        <v>29.366</v>
      </c>
      <c r="H1815" s="25" t="inlineStr">
        <is>
          <t>988-pack GENERATED</t>
        </is>
      </c>
    </row>
    <row r="1816">
      <c r="A1816" s="25" t="inlineStr">
        <is>
          <t>1015056</t>
        </is>
      </c>
      <c r="B1816" s="25" t="inlineStr">
        <is>
          <t>AKÜ,L5,DK,IGYA SMF,EFB 100AH 850A,ERP-TR</t>
        </is>
      </c>
      <c r="C1816" s="25" t="inlineStr">
        <is>
          <t>1</t>
        </is>
      </c>
      <c r="D1816" s="25" t="inlineStr">
        <is>
          <t>ST-036-EUR-03</t>
        </is>
      </c>
      <c r="E1816" s="25" t="inlineStr">
        <is>
          <t>IA-ST-036-EUR-03</t>
        </is>
      </c>
      <c r="F1816" s="25" t="inlineStr">
        <is>
          <t>IA-ST-CFG-0066</t>
        </is>
      </c>
      <c r="G1816" s="25" t="n">
        <v>29.366</v>
      </c>
      <c r="H1816" s="25" t="inlineStr">
        <is>
          <t>988-pack GENERATED</t>
        </is>
      </c>
    </row>
    <row r="1817">
      <c r="A1817" s="29" t="inlineStr">
        <is>
          <t>1015057</t>
        </is>
      </c>
      <c r="B1817" s="29" t="inlineStr">
        <is>
          <t>AKÜ,TRACTORL,DK,105AH 760A,ERP-TR</t>
        </is>
      </c>
      <c r="C1817" s="29" t="inlineStr">
        <is>
          <t>1</t>
        </is>
      </c>
      <c r="H1817" s="29" t="inlineStr">
        <is>
          <t>NO MAPPING</t>
        </is>
      </c>
    </row>
    <row r="1818">
      <c r="A1818" s="25" t="inlineStr">
        <is>
          <t>1015058</t>
        </is>
      </c>
      <c r="B1818" s="25" t="inlineStr">
        <is>
          <t>AKÜ,L6,DK,VRLA,AGM 105AH 940A,ERP-TR</t>
        </is>
      </c>
      <c r="C1818" s="25" t="inlineStr">
        <is>
          <t>1</t>
        </is>
      </c>
      <c r="D1818" s="25" t="inlineStr">
        <is>
          <t>ST-036-EUR-03</t>
        </is>
      </c>
      <c r="E1818" s="25" t="inlineStr">
        <is>
          <t>IA-ST-036-EUR-03</t>
        </is>
      </c>
      <c r="F1818" s="25" t="inlineStr">
        <is>
          <t>IA-ST-CFG-0066</t>
        </is>
      </c>
      <c r="G1818" s="25" t="n">
        <v>29.366</v>
      </c>
      <c r="H1818" s="25" t="inlineStr">
        <is>
          <t>988-pack GENERATED</t>
        </is>
      </c>
    </row>
    <row r="1819">
      <c r="A1819" s="29" t="inlineStr">
        <is>
          <t>1015059</t>
        </is>
      </c>
      <c r="B1819" s="29" t="inlineStr">
        <is>
          <t>AKÜ,L6,DK,KAMINA,110AH 920A,ERP-TR</t>
        </is>
      </c>
      <c r="C1819" s="29" t="inlineStr">
        <is>
          <t>1</t>
        </is>
      </c>
      <c r="H1819" s="29" t="inlineStr">
        <is>
          <t>NO MAPPING</t>
        </is>
      </c>
    </row>
    <row r="1820">
      <c r="A1820" s="29" t="inlineStr">
        <is>
          <t>1015060</t>
        </is>
      </c>
      <c r="B1820" s="29" t="inlineStr">
        <is>
          <t>AKÜ,A-IGYASMF,DK,135AH 950A,ERP-TR</t>
        </is>
      </c>
      <c r="C1820" s="29" t="inlineStr">
        <is>
          <t>1</t>
        </is>
      </c>
      <c r="H1820" s="29" t="inlineStr">
        <is>
          <t>NO MAPPING</t>
        </is>
      </c>
    </row>
    <row r="1821">
      <c r="A1821" s="29" t="inlineStr">
        <is>
          <t>1015061</t>
        </is>
      </c>
      <c r="B1821" s="29" t="inlineStr">
        <is>
          <t>AKÜ,B-IGYASMF,DK,180AH 1200A,ERP-TR</t>
        </is>
      </c>
      <c r="C1821" s="29" t="inlineStr">
        <is>
          <t>1</t>
        </is>
      </c>
      <c r="H1821" s="29" t="inlineStr">
        <is>
          <t>NO MAPPING</t>
        </is>
      </c>
    </row>
    <row r="1822">
      <c r="A1822" s="29" t="inlineStr">
        <is>
          <t>1015062</t>
        </is>
      </c>
      <c r="B1822" s="29" t="inlineStr">
        <is>
          <t>AKÜ,C-IGYASMF,DK,225AH 1250A,ERP-TR</t>
        </is>
      </c>
      <c r="C1822" s="29" t="inlineStr">
        <is>
          <t>1</t>
        </is>
      </c>
      <c r="H1822" s="29" t="inlineStr">
        <is>
          <t>NO MAPPING</t>
        </is>
      </c>
    </row>
    <row r="1823">
      <c r="A1823" s="29" t="inlineStr">
        <is>
          <t>1015063</t>
        </is>
      </c>
      <c r="B1823" s="29" t="inlineStr">
        <is>
          <t>AKÜ,L1,DK,IGYA SMF,45AH 400A,ERP-TR</t>
        </is>
      </c>
      <c r="C1823" s="29" t="inlineStr">
        <is>
          <t>1</t>
        </is>
      </c>
      <c r="H1823" s="29" t="inlineStr">
        <is>
          <t>NO MAPPING</t>
        </is>
      </c>
    </row>
    <row r="1824">
      <c r="A1824" s="29" t="inlineStr">
        <is>
          <t>1015064</t>
        </is>
      </c>
      <c r="B1824" s="29" t="inlineStr">
        <is>
          <t>AKÜ,L1,DK,IGYA SMF,52AH 470A,ERP-TR</t>
        </is>
      </c>
      <c r="C1824" s="29" t="inlineStr">
        <is>
          <t>1</t>
        </is>
      </c>
      <c r="H1824" s="29" t="inlineStr">
        <is>
          <t>NO MAPPING</t>
        </is>
      </c>
    </row>
    <row r="1825">
      <c r="A1825" s="29" t="inlineStr">
        <is>
          <t>1015065</t>
        </is>
      </c>
      <c r="B1825" s="29" t="inlineStr">
        <is>
          <t>AKÜ,L1,DK,IGYA SMF,54AH 530A,ERP-TR</t>
        </is>
      </c>
      <c r="C1825" s="29" t="inlineStr">
        <is>
          <t>1</t>
        </is>
      </c>
      <c r="H1825" s="29" t="inlineStr">
        <is>
          <t>NO MAPPING</t>
        </is>
      </c>
    </row>
    <row r="1826">
      <c r="A1826" s="29" t="inlineStr">
        <is>
          <t>1015066</t>
        </is>
      </c>
      <c r="B1826" s="29" t="inlineStr">
        <is>
          <t>AKÜ,D23,DK,IGYA SMF,60AH 500A,ERP-TR</t>
        </is>
      </c>
      <c r="C1826" s="29" t="inlineStr">
        <is>
          <t>1</t>
        </is>
      </c>
      <c r="H1826" s="29" t="inlineStr">
        <is>
          <t>NO MAPPING</t>
        </is>
      </c>
    </row>
    <row r="1827">
      <c r="A1827" s="29" t="inlineStr">
        <is>
          <t>1015067</t>
        </is>
      </c>
      <c r="B1827" s="29" t="inlineStr">
        <is>
          <t>AKÜ,L3,DK,IGYA SMF,EFB 70AH 680A,ERP-TR</t>
        </is>
      </c>
      <c r="C1827" s="29" t="inlineStr">
        <is>
          <t>1</t>
        </is>
      </c>
      <c r="H1827" s="29" t="inlineStr">
        <is>
          <t>NO MAPPING</t>
        </is>
      </c>
    </row>
    <row r="1828">
      <c r="A1828" s="29" t="inlineStr">
        <is>
          <t>1015068</t>
        </is>
      </c>
      <c r="B1828" s="29" t="inlineStr">
        <is>
          <t>AKÜ,LB4,DK,IGYA SMF,80AH 740A,ERP-TR</t>
        </is>
      </c>
      <c r="C1828" s="29" t="inlineStr">
        <is>
          <t>1</t>
        </is>
      </c>
      <c r="H1828" s="29" t="inlineStr">
        <is>
          <t>NO MAPPING</t>
        </is>
      </c>
    </row>
    <row r="1829">
      <c r="A1829" s="25" t="inlineStr">
        <is>
          <t>1015070</t>
        </is>
      </c>
      <c r="B1829" s="25" t="inlineStr">
        <is>
          <t>AKÜ,L3,TK,75AH,IGYA,FP43-1100,FURIAPOWER</t>
        </is>
      </c>
      <c r="C1829" s="25" t="inlineStr">
        <is>
          <t>1</t>
        </is>
      </c>
      <c r="D1829" s="25" t="inlineStr">
        <is>
          <t>ST-063-STD-08</t>
        </is>
      </c>
      <c r="E1829" s="25" t="inlineStr">
        <is>
          <t>IA-ST-063-STD-08</t>
        </is>
      </c>
      <c r="F1829" s="25" t="inlineStr">
        <is>
          <t>IA-ST-CFG-0179</t>
        </is>
      </c>
      <c r="G1829" s="25" t="n">
        <v>29.9992</v>
      </c>
      <c r="H1829" s="25" t="inlineStr">
        <is>
          <t>988-pack GENERATED</t>
        </is>
      </c>
    </row>
    <row r="1830">
      <c r="A1830" s="25" t="inlineStr">
        <is>
          <t>1015071</t>
        </is>
      </c>
      <c r="B1830" s="25" t="inlineStr">
        <is>
          <t>AKÜ,L6,DK,110AH,KAMINA,ZITEX BATTARY</t>
        </is>
      </c>
      <c r="C1830" s="25" t="inlineStr">
        <is>
          <t>1</t>
        </is>
      </c>
      <c r="D1830" s="25" t="inlineStr">
        <is>
          <t>ST-042-STD-05</t>
        </is>
      </c>
      <c r="E1830" s="25" t="inlineStr">
        <is>
          <t>IA-ST-042-STD-05</t>
        </is>
      </c>
      <c r="F1830" s="25" t="inlineStr">
        <is>
          <t>IA-ST-CFG-0080</t>
        </is>
      </c>
      <c r="G1830" s="25" t="n">
        <v>29.5992</v>
      </c>
      <c r="H1830" s="25" t="inlineStr">
        <is>
          <t>988-pack GENERATED</t>
        </is>
      </c>
    </row>
    <row r="1831">
      <c r="A1831" s="25" t="inlineStr">
        <is>
          <t>1015073</t>
        </is>
      </c>
      <c r="B1831" s="25" t="inlineStr">
        <is>
          <t>AKÜ,L2,DK,62AH,IGYA,BLIZSILVERLN,SHAWKAT</t>
        </is>
      </c>
      <c r="C1831" s="25" t="inlineStr">
        <is>
          <t>1</t>
        </is>
      </c>
      <c r="D1831" s="25" t="inlineStr">
        <is>
          <t>ST-072-STD-13</t>
        </is>
      </c>
      <c r="E1831" s="25" t="inlineStr">
        <is>
          <t>IA-ST-072-STD-13</t>
        </is>
      </c>
      <c r="F1831" s="25" t="inlineStr">
        <is>
          <t>IA-ST-CFG-0222</t>
        </is>
      </c>
      <c r="G1831" s="25" t="n">
        <v>30.6552</v>
      </c>
      <c r="H1831" s="25" t="inlineStr">
        <is>
          <t>988-pack GENERATED</t>
        </is>
      </c>
    </row>
    <row r="1832">
      <c r="A1832" s="25" t="inlineStr">
        <is>
          <t>1015074</t>
        </is>
      </c>
      <c r="B1832" s="25" t="inlineStr">
        <is>
          <t>AKÜ,L5,DK,95AH,EAS AGMS&amp;S,İŞBİRJENERATÖR</t>
        </is>
      </c>
      <c r="C1832" s="25" t="inlineStr">
        <is>
          <t>1</t>
        </is>
      </c>
      <c r="D1832" s="25" t="inlineStr">
        <is>
          <t>ST-045-STD-08</t>
        </is>
      </c>
      <c r="E1832" s="25" t="inlineStr">
        <is>
          <t>IA-ST-045-STD-08</t>
        </is>
      </c>
      <c r="F1832" s="25" t="inlineStr">
        <is>
          <t>IA-ST-CFG-0096</t>
        </is>
      </c>
      <c r="G1832" s="25" t="n">
        <v>29.7192</v>
      </c>
      <c r="H1832" s="25" t="inlineStr">
        <is>
          <t>988-pack GENERATED</t>
        </is>
      </c>
    </row>
    <row r="1833">
      <c r="A1833" s="25" t="inlineStr">
        <is>
          <t>1015075</t>
        </is>
      </c>
      <c r="B1833" s="25" t="inlineStr">
        <is>
          <t>AKÜ,L5,DK,102AH,IGYA,EAS EXTRA,İŞBİRJENE</t>
        </is>
      </c>
      <c r="C1833" s="25" t="inlineStr">
        <is>
          <t>1</t>
        </is>
      </c>
      <c r="D1833" s="25" t="inlineStr">
        <is>
          <t>ST-045-STD-08</t>
        </is>
      </c>
      <c r="E1833" s="25" t="inlineStr">
        <is>
          <t>IA-ST-045-STD-08</t>
        </is>
      </c>
      <c r="F1833" s="25" t="inlineStr">
        <is>
          <t>IA-ST-CFG-0096</t>
        </is>
      </c>
      <c r="G1833" s="25" t="n">
        <v>29.7192</v>
      </c>
      <c r="H1833" s="25" t="inlineStr">
        <is>
          <t>988-pack GENERATED</t>
        </is>
      </c>
    </row>
    <row r="1834">
      <c r="A1834" s="25" t="inlineStr">
        <is>
          <t>1015076</t>
        </is>
      </c>
      <c r="B1834" s="25" t="inlineStr">
        <is>
          <t>AKÜ,LB1,DK,50AH,IGYA,EAS ACTIVA,İŞBİRJEN</t>
        </is>
      </c>
      <c r="C1834" s="25" t="inlineStr">
        <is>
          <t>1</t>
        </is>
      </c>
      <c r="D1834" s="25" t="inlineStr">
        <is>
          <t>ST-087-STD-02</t>
        </is>
      </c>
      <c r="E1834" s="25" t="inlineStr">
        <is>
          <t>IA-ST-087-STD-02</t>
        </is>
      </c>
      <c r="F1834" s="25" t="inlineStr">
        <is>
          <t>IA-ST-CFG-0247</t>
        </is>
      </c>
      <c r="G1834" s="25" t="n">
        <v>30.4892</v>
      </c>
      <c r="H1834" s="25" t="inlineStr">
        <is>
          <t>988-pack GENERATED</t>
        </is>
      </c>
    </row>
    <row r="1835">
      <c r="A1835" s="25" t="inlineStr">
        <is>
          <t>1015077</t>
        </is>
      </c>
      <c r="B1835" s="25" t="inlineStr">
        <is>
          <t>AKÜ,C,DK,220AH,EAS AGMS&amp;S,İŞBİRJENERATÖR</t>
        </is>
      </c>
      <c r="C1835" s="25" t="inlineStr">
        <is>
          <t>1</t>
        </is>
      </c>
      <c r="D1835" s="25" t="inlineStr">
        <is>
          <t>ST-021-STD-03</t>
        </is>
      </c>
      <c r="E1835" s="25" t="inlineStr">
        <is>
          <t>IA-ST-021-STD-03</t>
        </is>
      </c>
      <c r="F1835" s="25" t="inlineStr">
        <is>
          <t>IA-ST-CFG-0023</t>
        </is>
      </c>
      <c r="G1835" s="25" t="n">
        <v>31.8252</v>
      </c>
      <c r="H1835" s="25" t="inlineStr">
        <is>
          <t>988-pack GENERATED</t>
        </is>
      </c>
    </row>
    <row r="1836">
      <c r="A1836" s="25" t="inlineStr">
        <is>
          <t>1015079</t>
        </is>
      </c>
      <c r="B1836" s="25" t="inlineStr">
        <is>
          <t>AKÜ,D31,DK,90AH,IGYASMF,HUGEL ULTRA,EURO</t>
        </is>
      </c>
      <c r="C1836" s="25" t="inlineStr">
        <is>
          <t>1</t>
        </is>
      </c>
      <c r="D1836" s="25" t="inlineStr">
        <is>
          <t>ST-048-EUR-09</t>
        </is>
      </c>
      <c r="E1836" s="25" t="inlineStr">
        <is>
          <t>IA-ST-048-EUR-09</t>
        </is>
      </c>
      <c r="F1836" s="25" t="inlineStr">
        <is>
          <t>IA-ST-CFG-0115</t>
        </is>
      </c>
      <c r="G1836" s="25" t="n">
        <v>32.8524</v>
      </c>
      <c r="H1836" s="25" t="inlineStr">
        <is>
          <t>988-pack GENERATED</t>
        </is>
      </c>
    </row>
    <row r="1837">
      <c r="A1837" s="25" t="inlineStr">
        <is>
          <t>1015081</t>
        </is>
      </c>
      <c r="B1837" s="25" t="inlineStr">
        <is>
          <t>AKÜ,NS40,DK42AH,IGYA,İNCİMAXIMA,HONDAOES</t>
        </is>
      </c>
      <c r="C1837" s="25" t="inlineStr">
        <is>
          <t>1</t>
        </is>
      </c>
      <c r="D1837" s="25" t="inlineStr">
        <is>
          <t>ST-120-STD-01</t>
        </is>
      </c>
      <c r="E1837" s="25" t="inlineStr">
        <is>
          <t>IA-ST-120-STD-01</t>
        </is>
      </c>
      <c r="F1837" s="25" t="inlineStr">
        <is>
          <t>IA-ST-CFG-0284</t>
        </is>
      </c>
      <c r="G1837" s="25" t="n">
        <v>35.3676</v>
      </c>
      <c r="H1837" s="25" t="inlineStr">
        <is>
          <t>988-pack GENERATED</t>
        </is>
      </c>
    </row>
    <row r="1838">
      <c r="A1838" s="25" t="inlineStr">
        <is>
          <t>1015082</t>
        </is>
      </c>
      <c r="B1838" s="25" t="inlineStr">
        <is>
          <t>AKÜ,D31,TK,100AH,IGYA,BLIZZ.SILVR,MISIR</t>
        </is>
      </c>
      <c r="C1838" s="25" t="inlineStr">
        <is>
          <t>1</t>
        </is>
      </c>
      <c r="D1838" s="25" t="inlineStr">
        <is>
          <t>ST-051-STD-05</t>
        </is>
      </c>
      <c r="E1838" s="25" t="inlineStr">
        <is>
          <t>IA-ST-051-STD-05</t>
        </is>
      </c>
      <c r="F1838" s="25" t="inlineStr">
        <is>
          <t>IA-ST-CFG-0126</t>
        </is>
      </c>
      <c r="G1838" s="25" t="n">
        <v>47.4584</v>
      </c>
      <c r="H1838" s="25" t="inlineStr">
        <is>
          <t>988-pack GENERATED</t>
        </is>
      </c>
    </row>
    <row r="1839">
      <c r="A1839" s="25" t="inlineStr">
        <is>
          <t>1015083</t>
        </is>
      </c>
      <c r="B1839" s="25" t="inlineStr">
        <is>
          <t>AKÜ,LB4,DK,80AH,IGYASMF,EAS ACTIVA,ATWAN</t>
        </is>
      </c>
      <c r="C1839" s="25" t="inlineStr">
        <is>
          <t>1</t>
        </is>
      </c>
      <c r="D1839" s="25" t="inlineStr">
        <is>
          <t>ST-072-STD-22</t>
        </is>
      </c>
      <c r="E1839" s="25" t="inlineStr">
        <is>
          <t>IA-ST-072-STD-22</t>
        </is>
      </c>
      <c r="F1839" s="25" t="inlineStr">
        <is>
          <t>IA-ST-CFG-0231</t>
        </is>
      </c>
      <c r="G1839" s="25" t="n">
        <v>30.6372</v>
      </c>
      <c r="H1839" s="25" t="inlineStr">
        <is>
          <t>988-pack GENERATED</t>
        </is>
      </c>
    </row>
    <row r="1840">
      <c r="A1840" s="25" t="inlineStr">
        <is>
          <t>1015084</t>
        </is>
      </c>
      <c r="B1840" s="25" t="inlineStr">
        <is>
          <t>AKÜ,L4,DK,82AH,IGYA,FP94R-1200FURIAPOWER</t>
        </is>
      </c>
      <c r="C1840" s="25" t="inlineStr">
        <is>
          <t>1</t>
        </is>
      </c>
      <c r="D1840" s="25" t="inlineStr">
        <is>
          <t>ST-072-STD-22</t>
        </is>
      </c>
      <c r="E1840" s="25" t="inlineStr">
        <is>
          <t>IA-ST-072-STD-22</t>
        </is>
      </c>
      <c r="F1840" s="25" t="inlineStr">
        <is>
          <t>IA-ST-CFG-0231</t>
        </is>
      </c>
      <c r="G1840" s="25" t="n">
        <v>30.6372</v>
      </c>
      <c r="H1840" s="25" t="inlineStr">
        <is>
          <t>988-pack GENERATED</t>
        </is>
      </c>
    </row>
    <row r="1841">
      <c r="A1841" s="25" t="inlineStr">
        <is>
          <t>1015085</t>
        </is>
      </c>
      <c r="B1841" s="25" t="inlineStr">
        <is>
          <t>AKÜ,D23DK,60AH,IGYAB01,İNCİTAUR,EECMISIR</t>
        </is>
      </c>
      <c r="C1841" s="25" t="inlineStr">
        <is>
          <t>1</t>
        </is>
      </c>
      <c r="D1841" s="25" t="inlineStr">
        <is>
          <t>ST-072-STD-10</t>
        </is>
      </c>
      <c r="E1841" s="25" t="inlineStr">
        <is>
          <t>IA-ST-072-STD-10</t>
        </is>
      </c>
      <c r="F1841" s="25" t="inlineStr">
        <is>
          <t>IA-ST-CFG-0219</t>
        </is>
      </c>
      <c r="G1841" s="25" t="n">
        <v>34.33224</v>
      </c>
      <c r="H1841" s="25" t="inlineStr">
        <is>
          <t>988-pack GENERATED</t>
        </is>
      </c>
    </row>
    <row r="1842">
      <c r="A1842" s="25" t="inlineStr">
        <is>
          <t>1015087</t>
        </is>
      </c>
      <c r="B1842" s="25" t="inlineStr">
        <is>
          <t>AKÜ,L2,DK,60AH,IGYA,SWM,URZAT OTOMTV.OEM</t>
        </is>
      </c>
      <c r="C1842" s="25" t="inlineStr">
        <is>
          <t>1</t>
        </is>
      </c>
      <c r="D1842" s="25" t="inlineStr">
        <is>
          <t>ST-072-STD-14</t>
        </is>
      </c>
      <c r="E1842" s="25" t="inlineStr">
        <is>
          <t>IA-ST-072-STD-14</t>
        </is>
      </c>
      <c r="F1842" s="25" t="inlineStr">
        <is>
          <t>IA-ST-CFG-0223</t>
        </is>
      </c>
      <c r="G1842" s="25" t="n">
        <v>27.9192</v>
      </c>
      <c r="H1842" s="25" t="inlineStr">
        <is>
          <t>988-pack GENERATED</t>
        </is>
      </c>
    </row>
    <row r="1843">
      <c r="A1843" s="25" t="inlineStr">
        <is>
          <t>1015088</t>
        </is>
      </c>
      <c r="B1843" s="25" t="inlineStr">
        <is>
          <t>AKÜ,L2,DK,62AH,IGYASMF,ADN3027-062,GYNRD</t>
        </is>
      </c>
      <c r="C1843" s="25" t="inlineStr">
        <is>
          <t>1</t>
        </is>
      </c>
      <c r="D1843" s="25" t="inlineStr">
        <is>
          <t>ST-057-EUR-03</t>
        </is>
      </c>
      <c r="E1843" s="25" t="inlineStr">
        <is>
          <t>IA-ST-057-EUR-03</t>
        </is>
      </c>
      <c r="F1843" s="25" t="inlineStr">
        <is>
          <t>IA-ST-CFG-0162</t>
        </is>
      </c>
      <c r="G1843" s="25" t="n">
        <v>27.926</v>
      </c>
      <c r="H1843" s="25" t="inlineStr">
        <is>
          <t>988-pack GENERATED</t>
        </is>
      </c>
    </row>
    <row r="1844">
      <c r="A1844" s="25" t="inlineStr">
        <is>
          <t>1015089</t>
        </is>
      </c>
      <c r="B1844" s="25" t="inlineStr">
        <is>
          <t>AKÜ,L2,DK,65AH,IGYASMF,ADN5027-065,GYNRD</t>
        </is>
      </c>
      <c r="C1844" s="25" t="inlineStr">
        <is>
          <t>1</t>
        </is>
      </c>
      <c r="D1844" s="25" t="inlineStr">
        <is>
          <t>ST-057-EUR-03</t>
        </is>
      </c>
      <c r="E1844" s="25" t="inlineStr">
        <is>
          <t>IA-ST-057-EUR-03</t>
        </is>
      </c>
      <c r="F1844" s="25" t="inlineStr">
        <is>
          <t>IA-ST-CFG-0162</t>
        </is>
      </c>
      <c r="G1844" s="25" t="n">
        <v>27.926</v>
      </c>
      <c r="H1844" s="25" t="inlineStr">
        <is>
          <t>988-pack GENERATED</t>
        </is>
      </c>
    </row>
    <row r="1845">
      <c r="A1845" s="25" t="inlineStr">
        <is>
          <t>1015090</t>
        </is>
      </c>
      <c r="B1845" s="25" t="inlineStr">
        <is>
          <t>AKÜ,LB3,DK72AH,IGYASMF,ADN3100-071,GYNRD</t>
        </is>
      </c>
      <c r="C1845" s="25" t="inlineStr">
        <is>
          <t>1</t>
        </is>
      </c>
      <c r="D1845" s="25" t="inlineStr">
        <is>
          <t>ST-051-EUR-01</t>
        </is>
      </c>
      <c r="E1845" s="25" t="inlineStr">
        <is>
          <t>IA-ST-051-EUR-01</t>
        </is>
      </c>
      <c r="F1845" s="25" t="inlineStr">
        <is>
          <t>IA-ST-CFG-0132</t>
        </is>
      </c>
      <c r="G1845" s="25" t="n">
        <v>27.926</v>
      </c>
      <c r="H1845" s="25" t="inlineStr">
        <is>
          <t>988-pack GENERATED</t>
        </is>
      </c>
    </row>
    <row r="1846">
      <c r="A1846" s="25" t="inlineStr">
        <is>
          <t>1015091</t>
        </is>
      </c>
      <c r="B1846" s="25" t="inlineStr">
        <is>
          <t>AKÜ,L3,DK,76AH,IGYASMF,ADN3096-076,GYNRD</t>
        </is>
      </c>
      <c r="C1846" s="25" t="inlineStr">
        <is>
          <t>1</t>
        </is>
      </c>
      <c r="D1846" s="25" t="inlineStr">
        <is>
          <t>ST-051-EUR-01</t>
        </is>
      </c>
      <c r="E1846" s="25" t="inlineStr">
        <is>
          <t>IA-ST-051-EUR-01</t>
        </is>
      </c>
      <c r="F1846" s="25" t="inlineStr">
        <is>
          <t>IA-ST-CFG-0132</t>
        </is>
      </c>
      <c r="G1846" s="25" t="n">
        <v>27.926</v>
      </c>
      <c r="H1846" s="25" t="inlineStr">
        <is>
          <t>988-pack GENERATED</t>
        </is>
      </c>
    </row>
    <row r="1847">
      <c r="A1847" s="25" t="inlineStr">
        <is>
          <t>1015092</t>
        </is>
      </c>
      <c r="B1847" s="25" t="inlineStr">
        <is>
          <t>AKÜ,L3,DK,80AH,IGYASMF,ADN5096-080,GYNRD</t>
        </is>
      </c>
      <c r="C1847" s="25" t="inlineStr">
        <is>
          <t>1</t>
        </is>
      </c>
      <c r="D1847" s="25" t="inlineStr">
        <is>
          <t>ST-048-EUR-07</t>
        </is>
      </c>
      <c r="E1847" s="25" t="inlineStr">
        <is>
          <t>IA-ST-048-EUR-07</t>
        </is>
      </c>
      <c r="F1847" s="25" t="inlineStr">
        <is>
          <t>IA-ST-CFG-0113</t>
        </is>
      </c>
      <c r="G1847" s="25" t="n">
        <v>27.926</v>
      </c>
      <c r="H1847" s="25" t="inlineStr">
        <is>
          <t>988-pack GENERATED</t>
        </is>
      </c>
    </row>
    <row r="1848">
      <c r="A1848" s="25" t="inlineStr">
        <is>
          <t>1015093</t>
        </is>
      </c>
      <c r="B1848" s="25" t="inlineStr">
        <is>
          <t>AKÜ,L5,DK100AH,IGYASMF,ADN3019-095,GYNRD</t>
        </is>
      </c>
      <c r="C1848" s="25" t="inlineStr">
        <is>
          <t>1</t>
        </is>
      </c>
      <c r="D1848" s="25" t="inlineStr">
        <is>
          <t>ST-036-EUR-04</t>
        </is>
      </c>
      <c r="E1848" s="25" t="inlineStr">
        <is>
          <t>IA-ST-036-EUR-04</t>
        </is>
      </c>
      <c r="F1848" s="25" t="inlineStr">
        <is>
          <t>IA-ST-CFG-0068</t>
        </is>
      </c>
      <c r="G1848" s="25" t="n">
        <v>27.926</v>
      </c>
      <c r="H1848" s="25" t="inlineStr">
        <is>
          <t>988-pack GENERATED</t>
        </is>
      </c>
    </row>
    <row r="1849">
      <c r="A1849" s="25" t="inlineStr">
        <is>
          <t>1015094</t>
        </is>
      </c>
      <c r="B1849" s="25" t="inlineStr">
        <is>
          <t>AKÜ,L5,DK,90AH,IGYA,EASACTIVA,TÜRKMENSTN</t>
        </is>
      </c>
      <c r="C1849" s="25" t="inlineStr">
        <is>
          <t>1</t>
        </is>
      </c>
      <c r="D1849" s="25" t="inlineStr">
        <is>
          <t>ST-045-STD-08</t>
        </is>
      </c>
      <c r="E1849" s="25" t="inlineStr">
        <is>
          <t>IA-ST-045-STD-08</t>
        </is>
      </c>
      <c r="F1849" s="25" t="inlineStr">
        <is>
          <t>IA-ST-CFG-0096</t>
        </is>
      </c>
      <c r="G1849" s="25" t="n">
        <v>29.7192</v>
      </c>
      <c r="H1849" s="25" t="inlineStr">
        <is>
          <t>988-pack GENERATED</t>
        </is>
      </c>
    </row>
    <row r="1850">
      <c r="A1850" s="25" t="inlineStr">
        <is>
          <t>1015095</t>
        </is>
      </c>
      <c r="B1850" s="25" t="inlineStr">
        <is>
          <t>AKÜ,C-IGYA SMF,DK,225AH,EAS ACTIV A</t>
        </is>
      </c>
      <c r="C1850" s="25" t="inlineStr">
        <is>
          <t>1</t>
        </is>
      </c>
      <c r="D1850" s="25" t="inlineStr">
        <is>
          <t>ST-021-STD-03</t>
        </is>
      </c>
      <c r="E1850" s="25" t="inlineStr">
        <is>
          <t>IA-ST-021-STD-03</t>
        </is>
      </c>
      <c r="F1850" s="25" t="inlineStr">
        <is>
          <t>IA-ST-CFG-0023</t>
        </is>
      </c>
      <c r="G1850" s="25" t="n">
        <v>31.8252</v>
      </c>
      <c r="H1850" s="25" t="inlineStr">
        <is>
          <t>988-pack GENERATED</t>
        </is>
      </c>
    </row>
    <row r="1851">
      <c r="A1851" s="25" t="inlineStr">
        <is>
          <t>1015096</t>
        </is>
      </c>
      <c r="B1851" s="25" t="inlineStr">
        <is>
          <t>AKÜ,L2,DK,60AH,IGYA SMF,BLIZZARO EFB S&amp;S</t>
        </is>
      </c>
      <c r="C1851" s="25" t="inlineStr">
        <is>
          <t>1</t>
        </is>
      </c>
      <c r="D1851" s="25" t="inlineStr">
        <is>
          <t>ST-072-STD-13</t>
        </is>
      </c>
      <c r="E1851" s="25" t="inlineStr">
        <is>
          <t>IA-ST-072-STD-13</t>
        </is>
      </c>
      <c r="F1851" s="25" t="inlineStr">
        <is>
          <t>IA-ST-CFG-0222</t>
        </is>
      </c>
      <c r="G1851" s="25" t="n">
        <v>30.6552</v>
      </c>
      <c r="H1851" s="25" t="inlineStr">
        <is>
          <t>988-pack GENERATED</t>
        </is>
      </c>
    </row>
    <row r="1852">
      <c r="A1852" s="25" t="inlineStr">
        <is>
          <t>1015098</t>
        </is>
      </c>
      <c r="B1852" s="25" t="inlineStr">
        <is>
          <t>AKÜ,LB2,DK,60AH,IGYA,ENERGYMAX,TÜRKMNSTN</t>
        </is>
      </c>
      <c r="C1852" s="25" t="inlineStr">
        <is>
          <t>1</t>
        </is>
      </c>
      <c r="D1852" s="25" t="inlineStr">
        <is>
          <t>ST-072-STD-13</t>
        </is>
      </c>
      <c r="E1852" s="25" t="inlineStr">
        <is>
          <t>IA-ST-072-STD-13</t>
        </is>
      </c>
      <c r="F1852" s="25" t="inlineStr">
        <is>
          <t>IA-ST-CFG-0222</t>
        </is>
      </c>
      <c r="G1852" s="25" t="n">
        <v>30.6552</v>
      </c>
      <c r="H1852" s="25" t="inlineStr">
        <is>
          <t>988-pack GENERATED</t>
        </is>
      </c>
    </row>
    <row r="1853">
      <c r="A1853" s="25" t="inlineStr">
        <is>
          <t>1015099</t>
        </is>
      </c>
      <c r="B1853" s="25" t="inlineStr">
        <is>
          <t>AKÜ,L3,DK,75AH,IGYA,SUNTECH,TÜRKMENİSTAN</t>
        </is>
      </c>
      <c r="C1853" s="25" t="inlineStr">
        <is>
          <t>1</t>
        </is>
      </c>
      <c r="D1853" s="25" t="inlineStr">
        <is>
          <t>ST-063-STD-08</t>
        </is>
      </c>
      <c r="E1853" s="25" t="inlineStr">
        <is>
          <t>IA-ST-063-STD-08</t>
        </is>
      </c>
      <c r="F1853" s="25" t="inlineStr">
        <is>
          <t>IA-ST-CFG-0179</t>
        </is>
      </c>
      <c r="G1853" s="25" t="n">
        <v>29.9992</v>
      </c>
      <c r="H1853" s="25" t="inlineStr">
        <is>
          <t>988-pack GENERATED</t>
        </is>
      </c>
    </row>
    <row r="1854">
      <c r="A1854" s="25" t="inlineStr">
        <is>
          <t>1015100</t>
        </is>
      </c>
      <c r="B1854" s="25" t="inlineStr">
        <is>
          <t>AKÜ,L2,DK,62AH,IGYA,SUNTECH,TÜRKMENİSTAN</t>
        </is>
      </c>
      <c r="C1854" s="25" t="inlineStr">
        <is>
          <t>1</t>
        </is>
      </c>
      <c r="D1854" s="25" t="inlineStr">
        <is>
          <t>ST-072-STD-13</t>
        </is>
      </c>
      <c r="E1854" s="25" t="inlineStr">
        <is>
          <t>IA-ST-072-STD-13</t>
        </is>
      </c>
      <c r="F1854" s="25" t="inlineStr">
        <is>
          <t>IA-ST-CFG-0222</t>
        </is>
      </c>
      <c r="G1854" s="25" t="n">
        <v>30.6552</v>
      </c>
      <c r="H1854" s="25" t="inlineStr">
        <is>
          <t>988-pack GENERATED</t>
        </is>
      </c>
    </row>
    <row r="1855">
      <c r="A1855" s="25" t="inlineStr">
        <is>
          <t>1015101</t>
        </is>
      </c>
      <c r="B1855" s="25" t="inlineStr">
        <is>
          <t>AKÜ,L2,DK,60AH,IGYA,NO NAME,EFB L2,SKG</t>
        </is>
      </c>
      <c r="C1855" s="25" t="inlineStr">
        <is>
          <t>1</t>
        </is>
      </c>
      <c r="D1855" s="25" t="inlineStr">
        <is>
          <t>ST-076-EUR-02</t>
        </is>
      </c>
      <c r="E1855" s="25" t="inlineStr">
        <is>
          <t>IA-ST-076-EUR-02</t>
        </is>
      </c>
      <c r="F1855" s="25" t="inlineStr">
        <is>
          <t>IA-ST-CFG-0239</t>
        </is>
      </c>
      <c r="G1855" s="25" t="n">
        <v>28.126</v>
      </c>
      <c r="H1855" s="25" t="inlineStr">
        <is>
          <t>988-pack GENERATED</t>
        </is>
      </c>
    </row>
    <row r="1856">
      <c r="A1856" s="25" t="inlineStr">
        <is>
          <t>1015102</t>
        </is>
      </c>
      <c r="B1856" s="25" t="inlineStr">
        <is>
          <t>AKÜ,L3,DK,72AH,IGYA,NO NAME,EFB L3,SKG</t>
        </is>
      </c>
      <c r="C1856" s="25" t="inlineStr">
        <is>
          <t>1</t>
        </is>
      </c>
      <c r="D1856" s="25" t="inlineStr">
        <is>
          <t>ST-068-EUR-01</t>
        </is>
      </c>
      <c r="E1856" s="25" t="inlineStr">
        <is>
          <t>IA-ST-068-EUR-01</t>
        </is>
      </c>
      <c r="F1856" s="25" t="inlineStr">
        <is>
          <t>IA-ST-CFG-0198</t>
        </is>
      </c>
      <c r="G1856" s="25" t="n">
        <v>28.126</v>
      </c>
      <c r="H1856" s="25" t="inlineStr">
        <is>
          <t>988-pack GENERATED</t>
        </is>
      </c>
    </row>
    <row r="1857">
      <c r="A1857" s="25" t="inlineStr">
        <is>
          <t>1015103</t>
        </is>
      </c>
      <c r="B1857" s="25" t="inlineStr">
        <is>
          <t>AKÜ,L4,DK,80AH,IGYA,NO NAME,EFB L4,SKG</t>
        </is>
      </c>
      <c r="C1857" s="25" t="inlineStr">
        <is>
          <t>1</t>
        </is>
      </c>
      <c r="D1857" s="25" t="inlineStr">
        <is>
          <t>ST-056-EUR-02</t>
        </is>
      </c>
      <c r="E1857" s="25" t="inlineStr">
        <is>
          <t>IA-ST-056-EUR-02</t>
        </is>
      </c>
      <c r="F1857" s="25" t="inlineStr">
        <is>
          <t>IA-ST-CFG-0151</t>
        </is>
      </c>
      <c r="G1857" s="25" t="n">
        <v>28.126</v>
      </c>
      <c r="H1857" s="25" t="inlineStr">
        <is>
          <t>988-pack GENERATED</t>
        </is>
      </c>
    </row>
    <row r="1858">
      <c r="A1858" s="25" t="inlineStr">
        <is>
          <t>1015104</t>
        </is>
      </c>
      <c r="B1858" s="25" t="inlineStr">
        <is>
          <t>AKÜ,L5,DK,90AH,IGYA,NO NAME,EFB L5,SKG</t>
        </is>
      </c>
      <c r="C1858" s="25" t="inlineStr">
        <is>
          <t>1</t>
        </is>
      </c>
      <c r="D1858" s="25" t="inlineStr">
        <is>
          <t>ST-048-EUR-08</t>
        </is>
      </c>
      <c r="E1858" s="25" t="inlineStr">
        <is>
          <t>IA-ST-048-EUR-08</t>
        </is>
      </c>
      <c r="F1858" s="25" t="inlineStr">
        <is>
          <t>IA-ST-CFG-0114</t>
        </is>
      </c>
      <c r="G1858" s="25" t="n">
        <v>28.126</v>
      </c>
      <c r="H1858" s="25" t="inlineStr">
        <is>
          <t>988-pack GENERATED</t>
        </is>
      </c>
    </row>
    <row r="1859">
      <c r="A1859" s="25" t="inlineStr">
        <is>
          <t>1015105</t>
        </is>
      </c>
      <c r="B1859" s="25" t="inlineStr">
        <is>
          <t>AKÜ,C-IGYASMF,DK,220AH,MERCEDES,FRANSA</t>
        </is>
      </c>
      <c r="C1859" s="25" t="inlineStr">
        <is>
          <t>1</t>
        </is>
      </c>
      <c r="D1859" s="25" t="inlineStr">
        <is>
          <t>ST-018-EUR-01</t>
        </is>
      </c>
      <c r="E1859" s="25" t="inlineStr">
        <is>
          <t>IA-ST-018-EUR-01</t>
        </is>
      </c>
      <c r="F1859" s="25" t="inlineStr">
        <is>
          <t>IA-ST-CFG-0012</t>
        </is>
      </c>
      <c r="G1859" s="25" t="n">
        <v>32.434</v>
      </c>
      <c r="H1859" s="25" t="inlineStr">
        <is>
          <t>988-pack GENERATED</t>
        </is>
      </c>
    </row>
    <row r="1860">
      <c r="A1860" s="25" t="inlineStr">
        <is>
          <t>1015106</t>
        </is>
      </c>
      <c r="B1860" s="25" t="inlineStr">
        <is>
          <t>AKÜ,D23,DK,70AH,IGYA SMF,BOOSTER CARBON</t>
        </is>
      </c>
      <c r="C1860" s="25" t="inlineStr">
        <is>
          <t>1</t>
        </is>
      </c>
      <c r="D1860" s="25" t="inlineStr">
        <is>
          <t>ST-060-EUR-02</t>
        </is>
      </c>
      <c r="E1860" s="25" t="inlineStr">
        <is>
          <t>IA-ST-060-EUR-02</t>
        </is>
      </c>
      <c r="F1860" s="25" t="inlineStr">
        <is>
          <t>IA-ST-CFG-0171</t>
        </is>
      </c>
      <c r="G1860" s="25" t="n">
        <v>32.9834</v>
      </c>
      <c r="H1860" s="25" t="inlineStr">
        <is>
          <t>988-pack GENERATED</t>
        </is>
      </c>
    </row>
    <row r="1861">
      <c r="A1861" s="25" t="inlineStr">
        <is>
          <t>1015107</t>
        </is>
      </c>
      <c r="B1861" s="25" t="inlineStr">
        <is>
          <t>AKÜ,NS60,DK,45AH,IGYASMF,BOOSTER PREMIUM</t>
        </is>
      </c>
      <c r="C1861" s="25" t="inlineStr">
        <is>
          <t>1</t>
        </is>
      </c>
      <c r="D1861" s="25" t="inlineStr">
        <is>
          <t>ST-072-EUR-05</t>
        </is>
      </c>
      <c r="E1861" s="25" t="inlineStr">
        <is>
          <t>IA-ST-072-EUR-05</t>
        </is>
      </c>
      <c r="F1861" s="25" t="inlineStr">
        <is>
          <t>IA-ST-CFG-0235</t>
        </is>
      </c>
      <c r="G1861" s="25" t="n">
        <v>33.2594</v>
      </c>
      <c r="H1861" s="25" t="inlineStr">
        <is>
          <t>988-pack GENERATED</t>
        </is>
      </c>
    </row>
    <row r="1862">
      <c r="A1862" s="25" t="inlineStr">
        <is>
          <t>1015108</t>
        </is>
      </c>
      <c r="B1862" s="25" t="inlineStr">
        <is>
          <t>AKÜ,NS60,TK,45AH,IGYASMF,BOOSTER PREMIUM</t>
        </is>
      </c>
      <c r="C1862" s="25" t="inlineStr">
        <is>
          <t>1</t>
        </is>
      </c>
      <c r="D1862" s="25" t="inlineStr">
        <is>
          <t>ST-072-EUR-05</t>
        </is>
      </c>
      <c r="E1862" s="25" t="inlineStr">
        <is>
          <t>IA-ST-072-EUR-05</t>
        </is>
      </c>
      <c r="F1862" s="25" t="inlineStr">
        <is>
          <t>IA-ST-CFG-0235</t>
        </is>
      </c>
      <c r="G1862" s="25" t="n">
        <v>33.2594</v>
      </c>
      <c r="H1862" s="25" t="inlineStr">
        <is>
          <t>988-pack GENERATED</t>
        </is>
      </c>
    </row>
    <row r="1863">
      <c r="A1863" s="25" t="inlineStr">
        <is>
          <t>1015109</t>
        </is>
      </c>
      <c r="B1863" s="25" t="inlineStr">
        <is>
          <t>AKÜ,L1,DK,52AH,IGYA,BPOWER ELITE,POLONYA</t>
        </is>
      </c>
      <c r="C1863" s="25" t="inlineStr">
        <is>
          <t>1</t>
        </is>
      </c>
      <c r="D1863" s="25" t="inlineStr">
        <is>
          <t>ST-072-EUR-03</t>
        </is>
      </c>
      <c r="E1863" s="25" t="inlineStr">
        <is>
          <t>IA-ST-072-EUR-03</t>
        </is>
      </c>
      <c r="F1863" s="25" t="inlineStr">
        <is>
          <t>IA-ST-CFG-0206</t>
        </is>
      </c>
      <c r="G1863" s="25" t="n">
        <v>27.8592</v>
      </c>
      <c r="H1863" s="25" t="inlineStr">
        <is>
          <t>988-pack GENERATED</t>
        </is>
      </c>
    </row>
    <row r="1864">
      <c r="A1864" s="25" t="inlineStr">
        <is>
          <t>1015110</t>
        </is>
      </c>
      <c r="B1864" s="25" t="inlineStr">
        <is>
          <t>AKÜ,LB1,DK,52AH,IGYA,BPOWERELITE,POLONYA</t>
        </is>
      </c>
      <c r="C1864" s="25" t="inlineStr">
        <is>
          <t>1</t>
        </is>
      </c>
      <c r="D1864" s="25" t="inlineStr">
        <is>
          <t>ST-072-EUR-03</t>
        </is>
      </c>
      <c r="E1864" s="25" t="inlineStr">
        <is>
          <t>IA-ST-072-EUR-03</t>
        </is>
      </c>
      <c r="F1864" s="25" t="inlineStr">
        <is>
          <t>IA-ST-CFG-0206</t>
        </is>
      </c>
      <c r="G1864" s="25" t="n">
        <v>27.8592</v>
      </c>
      <c r="H1864" s="25" t="inlineStr">
        <is>
          <t>988-pack GENERATED</t>
        </is>
      </c>
    </row>
    <row r="1865">
      <c r="A1865" s="25" t="inlineStr">
        <is>
          <t>1015111</t>
        </is>
      </c>
      <c r="B1865" s="25" t="inlineStr">
        <is>
          <t>AKÜ,LB1,DK,45AH,IGYA,BPOWERELITE,POLONYA</t>
        </is>
      </c>
      <c r="C1865" s="25" t="inlineStr">
        <is>
          <t>1</t>
        </is>
      </c>
      <c r="D1865" s="25" t="inlineStr">
        <is>
          <t>ST-072-EUR-03</t>
        </is>
      </c>
      <c r="E1865" s="25" t="inlineStr">
        <is>
          <t>IA-ST-072-EUR-03</t>
        </is>
      </c>
      <c r="F1865" s="25" t="inlineStr">
        <is>
          <t>IA-ST-CFG-0206</t>
        </is>
      </c>
      <c r="G1865" s="25" t="n">
        <v>27.8592</v>
      </c>
      <c r="H1865" s="25" t="inlineStr">
        <is>
          <t>988-pack GENERATED</t>
        </is>
      </c>
    </row>
    <row r="1866">
      <c r="A1866" s="25" t="inlineStr">
        <is>
          <t>1015112</t>
        </is>
      </c>
      <c r="B1866" s="25" t="inlineStr">
        <is>
          <t>AKÜ,L2,DK,62AH,IGYA,BPOWER ELITE,POLONYA</t>
        </is>
      </c>
      <c r="C1866" s="25" t="inlineStr">
        <is>
          <t>1</t>
        </is>
      </c>
      <c r="D1866" s="25" t="inlineStr">
        <is>
          <t>ST-057-EUR-05</t>
        </is>
      </c>
      <c r="E1866" s="25" t="inlineStr">
        <is>
          <t>IA-ST-057-EUR-05</t>
        </is>
      </c>
      <c r="F1866" s="25" t="inlineStr">
        <is>
          <t>IA-ST-CFG-0164</t>
        </is>
      </c>
      <c r="G1866" s="25" t="n">
        <v>27.6392</v>
      </c>
      <c r="H1866" s="25" t="inlineStr">
        <is>
          <t>988-pack GENERATED</t>
        </is>
      </c>
    </row>
    <row r="1867">
      <c r="A1867" s="25" t="inlineStr">
        <is>
          <t>1015113</t>
        </is>
      </c>
      <c r="B1867" s="25" t="inlineStr">
        <is>
          <t>AKÜ,LB2,DK,61AH,IGYA,BPOWERELITE,POLONYA</t>
        </is>
      </c>
      <c r="C1867" s="25" t="inlineStr">
        <is>
          <t>1</t>
        </is>
      </c>
      <c r="D1867" s="25" t="inlineStr">
        <is>
          <t>ST-057-EUR-05</t>
        </is>
      </c>
      <c r="E1867" s="25" t="inlineStr">
        <is>
          <t>IA-ST-057-EUR-05</t>
        </is>
      </c>
      <c r="F1867" s="25" t="inlineStr">
        <is>
          <t>IA-ST-CFG-0164</t>
        </is>
      </c>
      <c r="G1867" s="25" t="n">
        <v>27.6392</v>
      </c>
      <c r="H1867" s="25" t="inlineStr">
        <is>
          <t>988-pack GENERATED</t>
        </is>
      </c>
    </row>
    <row r="1868">
      <c r="A1868" s="25" t="inlineStr">
        <is>
          <t>1015114</t>
        </is>
      </c>
      <c r="B1868" s="25" t="inlineStr">
        <is>
          <t>AKÜ,LB3,DK,74AH,IGYA,BPOWERELITE,POLONYA</t>
        </is>
      </c>
      <c r="C1868" s="25" t="inlineStr">
        <is>
          <t>1</t>
        </is>
      </c>
      <c r="D1868" s="25" t="inlineStr">
        <is>
          <t>ST-051-EUR-04</t>
        </is>
      </c>
      <c r="E1868" s="25" t="inlineStr">
        <is>
          <t>IA-ST-051-EUR-04</t>
        </is>
      </c>
      <c r="F1868" s="25" t="inlineStr">
        <is>
          <t>IA-ST-CFG-0135</t>
        </is>
      </c>
      <c r="G1868" s="25" t="n">
        <v>27.6392</v>
      </c>
      <c r="H1868" s="25" t="inlineStr">
        <is>
          <t>988-pack GENERATED</t>
        </is>
      </c>
    </row>
    <row r="1869">
      <c r="A1869" s="25" t="inlineStr">
        <is>
          <t>1015115</t>
        </is>
      </c>
      <c r="B1869" s="25" t="inlineStr">
        <is>
          <t>AKÜ,L3,DK,75AH,IGYA,BPOWER ELITE,POLONYA</t>
        </is>
      </c>
      <c r="C1869" s="25" t="inlineStr">
        <is>
          <t>1</t>
        </is>
      </c>
      <c r="D1869" s="25" t="inlineStr">
        <is>
          <t>ST-051-EUR-04</t>
        </is>
      </c>
      <c r="E1869" s="25" t="inlineStr">
        <is>
          <t>IA-ST-051-EUR-04</t>
        </is>
      </c>
      <c r="F1869" s="25" t="inlineStr">
        <is>
          <t>IA-ST-CFG-0135</t>
        </is>
      </c>
      <c r="G1869" s="25" t="n">
        <v>27.6392</v>
      </c>
      <c r="H1869" s="25" t="inlineStr">
        <is>
          <t>988-pack GENERATED</t>
        </is>
      </c>
    </row>
    <row r="1870">
      <c r="A1870" s="25" t="inlineStr">
        <is>
          <t>1015116</t>
        </is>
      </c>
      <c r="B1870" s="25" t="inlineStr">
        <is>
          <t>AKÜ,L4,DK,90AH,IGYA,BPOWER ELITE,POLONYA</t>
        </is>
      </c>
      <c r="C1870" s="25" t="inlineStr">
        <is>
          <t>1</t>
        </is>
      </c>
      <c r="D1870" s="25" t="inlineStr">
        <is>
          <t>ST-042-EUR-04</t>
        </is>
      </c>
      <c r="E1870" s="25" t="inlineStr">
        <is>
          <t>IA-ST-042-EUR-04</t>
        </is>
      </c>
      <c r="F1870" s="25" t="inlineStr">
        <is>
          <t>IA-ST-CFG-0087</t>
        </is>
      </c>
      <c r="G1870" s="25" t="n">
        <v>27.6392</v>
      </c>
      <c r="H1870" s="25" t="inlineStr">
        <is>
          <t>988-pack GENERATED</t>
        </is>
      </c>
    </row>
    <row r="1871">
      <c r="A1871" s="25" t="inlineStr">
        <is>
          <t>1015117</t>
        </is>
      </c>
      <c r="B1871" s="25" t="inlineStr">
        <is>
          <t>AKÜ,LB4,DK,85AH,IGYA,BPOWERELITE,POLONYA</t>
        </is>
      </c>
      <c r="C1871" s="25" t="inlineStr">
        <is>
          <t>1</t>
        </is>
      </c>
      <c r="D1871" s="25" t="inlineStr">
        <is>
          <t>ST-042-EUR-04</t>
        </is>
      </c>
      <c r="E1871" s="25" t="inlineStr">
        <is>
          <t>IA-ST-042-EUR-04</t>
        </is>
      </c>
      <c r="F1871" s="25" t="inlineStr">
        <is>
          <t>IA-ST-CFG-0087</t>
        </is>
      </c>
      <c r="G1871" s="25" t="n">
        <v>27.6392</v>
      </c>
      <c r="H1871" s="25" t="inlineStr">
        <is>
          <t>988-pack GENERATED</t>
        </is>
      </c>
    </row>
    <row r="1872">
      <c r="A1872" s="25" t="inlineStr">
        <is>
          <t>1015118</t>
        </is>
      </c>
      <c r="B1872" s="25" t="inlineStr">
        <is>
          <t>AKÜ,L5,DK,100AH,IGYA,BPOWERELITE,POLONYA</t>
        </is>
      </c>
      <c r="C1872" s="25" t="inlineStr">
        <is>
          <t>1</t>
        </is>
      </c>
      <c r="D1872" s="25" t="inlineStr">
        <is>
          <t>ST-036-EUR-07</t>
        </is>
      </c>
      <c r="E1872" s="25" t="inlineStr">
        <is>
          <t>IA-ST-036-EUR-07</t>
        </is>
      </c>
      <c r="F1872" s="25" t="inlineStr">
        <is>
          <t>IA-ST-CFG-0072</t>
        </is>
      </c>
      <c r="G1872" s="25" t="n">
        <v>27.6392</v>
      </c>
      <c r="H1872" s="25" t="inlineStr">
        <is>
          <t>988-pack GENERATED</t>
        </is>
      </c>
    </row>
    <row r="1873">
      <c r="A1873" s="25" t="inlineStr">
        <is>
          <t>1015123</t>
        </is>
      </c>
      <c r="B1873" s="25" t="inlineStr">
        <is>
          <t>AKÜ,NS40,DK,35AH,IGYASMF,36B20,MARVEL</t>
        </is>
      </c>
      <c r="C1873" s="25" t="inlineStr">
        <is>
          <t>1</t>
        </is>
      </c>
      <c r="D1873" s="25" t="inlineStr">
        <is>
          <t>ST-120-STD-01</t>
        </is>
      </c>
      <c r="E1873" s="25" t="inlineStr">
        <is>
          <t>IA-ST-120-STD-01</t>
        </is>
      </c>
      <c r="F1873" s="25" t="inlineStr">
        <is>
          <t>IA-ST-CFG-0284</t>
        </is>
      </c>
      <c r="G1873" s="25" t="n">
        <v>35.3676</v>
      </c>
      <c r="H1873" s="25" t="inlineStr">
        <is>
          <t>988-pack GENERATED</t>
        </is>
      </c>
    </row>
    <row r="1874">
      <c r="A1874" s="25" t="inlineStr">
        <is>
          <t>1015124</t>
        </is>
      </c>
      <c r="B1874" s="25" t="inlineStr">
        <is>
          <t>AKÜ,NS60,DK,45AH,IGYASMF,55B24L,MARVEL</t>
        </is>
      </c>
      <c r="C1874" s="25" t="inlineStr">
        <is>
          <t>1</t>
        </is>
      </c>
      <c r="D1874" s="25" t="inlineStr">
        <is>
          <t>ST-096-STD-03</t>
        </is>
      </c>
      <c r="E1874" s="25" t="inlineStr">
        <is>
          <t>IA-ST-096-STD-03</t>
        </is>
      </c>
      <c r="F1874" s="25" t="inlineStr">
        <is>
          <t>IA-ST-CFG-0272</t>
        </is>
      </c>
      <c r="G1874" s="25" t="n">
        <v>35.3172</v>
      </c>
      <c r="H1874" s="25" t="inlineStr">
        <is>
          <t>988-pack GENERATED</t>
        </is>
      </c>
    </row>
    <row r="1875">
      <c r="A1875" s="25" t="inlineStr">
        <is>
          <t>1015125</t>
        </is>
      </c>
      <c r="B1875" s="25" t="inlineStr">
        <is>
          <t>AKÜ,L2,DK,55AH,IGYA SMF,DIN55,MARVEL</t>
        </is>
      </c>
      <c r="C1875" s="25" t="inlineStr">
        <is>
          <t>1</t>
        </is>
      </c>
      <c r="D1875" s="25" t="inlineStr">
        <is>
          <t>ST-072-STD-13</t>
        </is>
      </c>
      <c r="E1875" s="25" t="inlineStr">
        <is>
          <t>IA-ST-072-STD-13</t>
        </is>
      </c>
      <c r="F1875" s="25" t="inlineStr">
        <is>
          <t>IA-ST-CFG-0222</t>
        </is>
      </c>
      <c r="G1875" s="25" t="n">
        <v>30.6552</v>
      </c>
      <c r="H1875" s="25" t="inlineStr">
        <is>
          <t>988-pack GENERATED</t>
        </is>
      </c>
    </row>
    <row r="1876">
      <c r="A1876" s="25" t="inlineStr">
        <is>
          <t>1015126</t>
        </is>
      </c>
      <c r="B1876" s="25" t="inlineStr">
        <is>
          <t>AKÜ,L3,DK,70AH,IGYA SMF,DIN66,MARVEL</t>
        </is>
      </c>
      <c r="C1876" s="25" t="inlineStr">
        <is>
          <t>1</t>
        </is>
      </c>
      <c r="D1876" s="25" t="inlineStr">
        <is>
          <t>ST-063-STD-08</t>
        </is>
      </c>
      <c r="E1876" s="25" t="inlineStr">
        <is>
          <t>IA-ST-063-STD-08</t>
        </is>
      </c>
      <c r="F1876" s="25" t="inlineStr">
        <is>
          <t>IA-ST-CFG-0179</t>
        </is>
      </c>
      <c r="G1876" s="25" t="n">
        <v>29.9992</v>
      </c>
      <c r="H1876" s="25" t="inlineStr">
        <is>
          <t>988-pack GENERATED</t>
        </is>
      </c>
    </row>
    <row r="1877">
      <c r="A1877" s="25" t="inlineStr">
        <is>
          <t>1015127</t>
        </is>
      </c>
      <c r="B1877" s="25" t="inlineStr">
        <is>
          <t>AKÜ,D26,DK,75AH,IGYA SMF,80D26L,MARVEL</t>
        </is>
      </c>
      <c r="C1877" s="25" t="inlineStr">
        <is>
          <t>1</t>
        </is>
      </c>
      <c r="D1877" s="25" t="inlineStr">
        <is>
          <t>ST-063-STD-04</t>
        </is>
      </c>
      <c r="E1877" s="25" t="inlineStr">
        <is>
          <t>IA-ST-063-STD-04</t>
        </is>
      </c>
      <c r="F1877" s="25" t="inlineStr">
        <is>
          <t>IA-ST-CFG-0175</t>
        </is>
      </c>
      <c r="G1877" s="25" t="n">
        <v>34.1512</v>
      </c>
      <c r="H1877" s="25" t="inlineStr">
        <is>
          <t>988-pack GENERATED</t>
        </is>
      </c>
    </row>
    <row r="1878">
      <c r="A1878" s="25" t="inlineStr">
        <is>
          <t>1015128</t>
        </is>
      </c>
      <c r="B1878" s="25" t="inlineStr">
        <is>
          <t>AKÜ,D31,TK,100AH,IGYA SMF,105D31R,MARVEL</t>
        </is>
      </c>
      <c r="C1878" s="25" t="inlineStr">
        <is>
          <t>1</t>
        </is>
      </c>
      <c r="D1878" s="25" t="inlineStr">
        <is>
          <t>ST-054-STD-07</t>
        </is>
      </c>
      <c r="E1878" s="25" t="inlineStr">
        <is>
          <t>IA-ST-054-STD-07</t>
        </is>
      </c>
      <c r="F1878" s="25" t="inlineStr">
        <is>
          <t>IA-ST-CFG-0143</t>
        </is>
      </c>
      <c r="G1878" s="25" t="n">
        <v>33.7838</v>
      </c>
      <c r="H1878" s="25" t="inlineStr">
        <is>
          <t>988-pack GENERATED</t>
        </is>
      </c>
    </row>
    <row r="1879">
      <c r="A1879" s="25" t="inlineStr">
        <is>
          <t>1015129</t>
        </is>
      </c>
      <c r="B1879" s="25" t="inlineStr">
        <is>
          <t>AKÜ,L5,DK,100AH,IGYA SMF,60044,MARVEL</t>
        </is>
      </c>
      <c r="C1879" s="25" t="inlineStr">
        <is>
          <t>1</t>
        </is>
      </c>
      <c r="D1879" s="25" t="inlineStr">
        <is>
          <t>ST-045-STD-08</t>
        </is>
      </c>
      <c r="E1879" s="25" t="inlineStr">
        <is>
          <t>IA-ST-045-STD-08</t>
        </is>
      </c>
      <c r="F1879" s="25" t="inlineStr">
        <is>
          <t>IA-ST-CFG-0096</t>
        </is>
      </c>
      <c r="G1879" s="25" t="n">
        <v>29.7192</v>
      </c>
      <c r="H1879" s="25" t="inlineStr">
        <is>
          <t>988-pack GENERATED</t>
        </is>
      </c>
    </row>
    <row r="1880">
      <c r="A1880" s="25" t="inlineStr">
        <is>
          <t>1015130</t>
        </is>
      </c>
      <c r="B1880" s="25" t="inlineStr">
        <is>
          <t>AKÜ,A-IGYA,DK,140AH,BOOSTER PREMIUM ECO</t>
        </is>
      </c>
      <c r="C1880" s="25" t="inlineStr">
        <is>
          <t>1</t>
        </is>
      </c>
      <c r="D1880" s="25" t="inlineStr">
        <is>
          <t>ST-024-EUR-04</t>
        </is>
      </c>
      <c r="E1880" s="25" t="inlineStr">
        <is>
          <t>IA-ST-024-EUR-04</t>
        </is>
      </c>
      <c r="F1880" s="25" t="inlineStr">
        <is>
          <t>IA-ST-CFG-0039</t>
        </is>
      </c>
      <c r="G1880" s="25" t="n">
        <v>30.6632</v>
      </c>
      <c r="H1880" s="25" t="inlineStr">
        <is>
          <t>988-pack GENERATED</t>
        </is>
      </c>
    </row>
    <row r="1881">
      <c r="A1881" s="25" t="inlineStr">
        <is>
          <t>1015131</t>
        </is>
      </c>
      <c r="B1881" s="25" t="inlineStr">
        <is>
          <t>AKÜ,B-IGYA,DK,180AH,BOOSTER PREMIUM ECO</t>
        </is>
      </c>
      <c r="C1881" s="25" t="inlineStr">
        <is>
          <t>1</t>
        </is>
      </c>
      <c r="D1881" s="25" t="inlineStr">
        <is>
          <t>ST-021-EUR-03</t>
        </is>
      </c>
      <c r="E1881" s="25" t="inlineStr">
        <is>
          <t>IA-ST-021-EUR-03</t>
        </is>
      </c>
      <c r="F1881" s="25" t="inlineStr">
        <is>
          <t>IA-ST-CFG-0029</t>
        </is>
      </c>
      <c r="G1881" s="25" t="n">
        <v>30.7682</v>
      </c>
      <c r="H1881" s="25" t="inlineStr">
        <is>
          <t>988-pack GENERATED</t>
        </is>
      </c>
    </row>
    <row r="1882">
      <c r="A1882" s="25" t="inlineStr">
        <is>
          <t>1015132</t>
        </is>
      </c>
      <c r="B1882" s="25" t="inlineStr">
        <is>
          <t>AKÜ,C-IGYA,DK,225AH,BOOSTER PREMIUM ECO</t>
        </is>
      </c>
      <c r="C1882" s="25" t="inlineStr">
        <is>
          <t>1</t>
        </is>
      </c>
      <c r="D1882" s="25" t="inlineStr">
        <is>
          <t>ST-018-EUR-03</t>
        </is>
      </c>
      <c r="E1882" s="25" t="inlineStr">
        <is>
          <t>IA-ST-018-EUR-03</t>
        </is>
      </c>
      <c r="F1882" s="25" t="inlineStr">
        <is>
          <t>IA-ST-CFG-0014</t>
        </is>
      </c>
      <c r="G1882" s="25" t="n">
        <v>30.9872</v>
      </c>
      <c r="H1882" s="25" t="inlineStr">
        <is>
          <t>988-pack GENERATED</t>
        </is>
      </c>
    </row>
    <row r="1883">
      <c r="A1883" s="25" t="inlineStr">
        <is>
          <t>1015133</t>
        </is>
      </c>
      <c r="B1883" s="25" t="inlineStr">
        <is>
          <t>AKÜ,L2,TK,60AH,IGYA SMF,EAS ACTIVA</t>
        </is>
      </c>
      <c r="C1883" s="25" t="inlineStr">
        <is>
          <t>1</t>
        </is>
      </c>
      <c r="D1883" s="25" t="inlineStr">
        <is>
          <t>ST-072-STD-13</t>
        </is>
      </c>
      <c r="E1883" s="25" t="inlineStr">
        <is>
          <t>IA-ST-072-STD-13</t>
        </is>
      </c>
      <c r="F1883" s="25" t="inlineStr">
        <is>
          <t>IA-ST-CFG-0222</t>
        </is>
      </c>
      <c r="G1883" s="25" t="n">
        <v>30.6552</v>
      </c>
      <c r="H1883" s="25" t="inlineStr">
        <is>
          <t>988-pack GENERATED</t>
        </is>
      </c>
    </row>
    <row r="1884">
      <c r="A1884" s="25" t="inlineStr">
        <is>
          <t>1015134</t>
        </is>
      </c>
      <c r="B1884" s="25" t="inlineStr">
        <is>
          <t>AKÜ,NS40,TK,35AH,IGYA SMF,EAS ACTIVA</t>
        </is>
      </c>
      <c r="C1884" s="25" t="inlineStr">
        <is>
          <t>1</t>
        </is>
      </c>
      <c r="D1884" s="25" t="inlineStr">
        <is>
          <t>ST-120-STD-01</t>
        </is>
      </c>
      <c r="E1884" s="25" t="inlineStr">
        <is>
          <t>IA-ST-120-STD-01</t>
        </is>
      </c>
      <c r="F1884" s="25" t="inlineStr">
        <is>
          <t>IA-ST-CFG-0284</t>
        </is>
      </c>
      <c r="G1884" s="25" t="n">
        <v>35.3676</v>
      </c>
      <c r="H1884" s="25" t="inlineStr">
        <is>
          <t>988-pack GENERATED</t>
        </is>
      </c>
    </row>
    <row r="1885">
      <c r="A1885" s="25" t="inlineStr">
        <is>
          <t>1015135</t>
        </is>
      </c>
      <c r="B1885" s="25" t="inlineStr">
        <is>
          <t>AKÜ,NS40,DK,35AH,IGYA SMF,EAS ACTIVA</t>
        </is>
      </c>
      <c r="C1885" s="25" t="inlineStr">
        <is>
          <t>1</t>
        </is>
      </c>
      <c r="D1885" s="25" t="inlineStr">
        <is>
          <t>ST-120-STD-01</t>
        </is>
      </c>
      <c r="E1885" s="25" t="inlineStr">
        <is>
          <t>IA-ST-120-STD-01</t>
        </is>
      </c>
      <c r="F1885" s="25" t="inlineStr">
        <is>
          <t>IA-ST-CFG-0284</t>
        </is>
      </c>
      <c r="G1885" s="25" t="n">
        <v>35.3676</v>
      </c>
      <c r="H1885" s="25" t="inlineStr">
        <is>
          <t>988-pack GENERATED</t>
        </is>
      </c>
    </row>
    <row r="1886">
      <c r="A1886" s="25" t="inlineStr">
        <is>
          <t>1015136</t>
        </is>
      </c>
      <c r="B1886" s="25" t="inlineStr">
        <is>
          <t>AKÜ,NS40,DK,42AH,IGYA SMF,EAS ACTIVA</t>
        </is>
      </c>
      <c r="C1886" s="25" t="inlineStr">
        <is>
          <t>1</t>
        </is>
      </c>
      <c r="D1886" s="25" t="inlineStr">
        <is>
          <t>ST-120-STD-01</t>
        </is>
      </c>
      <c r="E1886" s="25" t="inlineStr">
        <is>
          <t>IA-ST-120-STD-01</t>
        </is>
      </c>
      <c r="F1886" s="25" t="inlineStr">
        <is>
          <t>IA-ST-CFG-0284</t>
        </is>
      </c>
      <c r="G1886" s="25" t="n">
        <v>35.3676</v>
      </c>
      <c r="H1886" s="25" t="inlineStr">
        <is>
          <t>988-pack GENERATED</t>
        </is>
      </c>
    </row>
    <row r="1887">
      <c r="A1887" s="25" t="inlineStr">
        <is>
          <t>1015137</t>
        </is>
      </c>
      <c r="B1887" s="25" t="inlineStr">
        <is>
          <t>AKÜ,NS60,DK,45AH,IGYA SMF,EAS ACTIVA</t>
        </is>
      </c>
      <c r="C1887" s="25" t="inlineStr">
        <is>
          <t>1</t>
        </is>
      </c>
      <c r="D1887" s="25" t="inlineStr">
        <is>
          <t>ST-096-STD-03</t>
        </is>
      </c>
      <c r="E1887" s="25" t="inlineStr">
        <is>
          <t>IA-ST-096-STD-03</t>
        </is>
      </c>
      <c r="F1887" s="25" t="inlineStr">
        <is>
          <t>IA-ST-CFG-0272</t>
        </is>
      </c>
      <c r="G1887" s="25" t="n">
        <v>35.3172</v>
      </c>
      <c r="H1887" s="25" t="inlineStr">
        <is>
          <t>988-pack GENERATED</t>
        </is>
      </c>
    </row>
    <row r="1888">
      <c r="A1888" s="25" t="inlineStr">
        <is>
          <t>1015138</t>
        </is>
      </c>
      <c r="B1888" s="25" t="inlineStr">
        <is>
          <t>KÜ,NS60,TK,45AH,IGYA SMF,EAS ACTIVA</t>
        </is>
      </c>
      <c r="C1888" s="25" t="inlineStr">
        <is>
          <t>1</t>
        </is>
      </c>
      <c r="D1888" s="25" t="inlineStr">
        <is>
          <t>ST-096-STD-03</t>
        </is>
      </c>
      <c r="E1888" s="25" t="inlineStr">
        <is>
          <t>IA-ST-096-STD-03</t>
        </is>
      </c>
      <c r="F1888" s="25" t="inlineStr">
        <is>
          <t>IA-ST-CFG-0272</t>
        </is>
      </c>
      <c r="G1888" s="25" t="n">
        <v>35.3172</v>
      </c>
      <c r="H1888" s="25" t="inlineStr">
        <is>
          <t>988-pack GENERATED</t>
        </is>
      </c>
    </row>
    <row r="1889">
      <c r="A1889" s="25" t="inlineStr">
        <is>
          <t>1015139</t>
        </is>
      </c>
      <c r="B1889" s="25" t="inlineStr">
        <is>
          <t>AKÜ,D23,DK,60AH,IGYA SMF,EAS ACTIVA</t>
        </is>
      </c>
      <c r="C1889" s="25" t="inlineStr">
        <is>
          <t>1</t>
        </is>
      </c>
      <c r="D1889" s="25" t="inlineStr">
        <is>
          <t>ST-072-STD-10</t>
        </is>
      </c>
      <c r="E1889" s="25" t="inlineStr">
        <is>
          <t>IA-ST-072-STD-10</t>
        </is>
      </c>
      <c r="F1889" s="25" t="inlineStr">
        <is>
          <t>IA-ST-CFG-0219</t>
        </is>
      </c>
      <c r="G1889" s="25" t="n">
        <v>34.33224</v>
      </c>
      <c r="H1889" s="25" t="inlineStr">
        <is>
          <t>988-pack GENERATED</t>
        </is>
      </c>
    </row>
    <row r="1890">
      <c r="A1890" s="25" t="inlineStr">
        <is>
          <t>1015140</t>
        </is>
      </c>
      <c r="B1890" s="25" t="inlineStr">
        <is>
          <t>AKÜ,D26,DK,72AH,IGYA SMF,EAS ACTIVA</t>
        </is>
      </c>
      <c r="C1890" s="25" t="inlineStr">
        <is>
          <t>1</t>
        </is>
      </c>
      <c r="D1890" s="25" t="inlineStr">
        <is>
          <t>ST-063-STD-04</t>
        </is>
      </c>
      <c r="E1890" s="25" t="inlineStr">
        <is>
          <t>IA-ST-063-STD-04</t>
        </is>
      </c>
      <c r="F1890" s="25" t="inlineStr">
        <is>
          <t>IA-ST-CFG-0175</t>
        </is>
      </c>
      <c r="G1890" s="25" t="n">
        <v>34.1512</v>
      </c>
      <c r="H1890" s="25" t="inlineStr">
        <is>
          <t>988-pack GENERATED</t>
        </is>
      </c>
    </row>
    <row r="1891">
      <c r="A1891" s="25" t="inlineStr">
        <is>
          <t>1015141</t>
        </is>
      </c>
      <c r="B1891" s="25" t="inlineStr">
        <is>
          <t>KÜ,D26,TK,72AH,IGYA SMF,EAS ACTIVA</t>
        </is>
      </c>
      <c r="C1891" s="25" t="inlineStr">
        <is>
          <t>1</t>
        </is>
      </c>
      <c r="D1891" s="25" t="inlineStr">
        <is>
          <t>ST-063-STD-04</t>
        </is>
      </c>
      <c r="E1891" s="25" t="inlineStr">
        <is>
          <t>IA-ST-063-STD-04</t>
        </is>
      </c>
      <c r="F1891" s="25" t="inlineStr">
        <is>
          <t>IA-ST-CFG-0175</t>
        </is>
      </c>
      <c r="G1891" s="25" t="n">
        <v>34.1512</v>
      </c>
      <c r="H1891" s="25" t="inlineStr">
        <is>
          <t>988-pack GENERATED</t>
        </is>
      </c>
    </row>
    <row r="1892">
      <c r="A1892" s="25" t="inlineStr">
        <is>
          <t>1015142</t>
        </is>
      </c>
      <c r="B1892" s="25" t="inlineStr">
        <is>
          <t>AKÜ,D31,DK,80AH,IGYA SMF,EAS ACTIVA</t>
        </is>
      </c>
      <c r="C1892" s="25" t="inlineStr">
        <is>
          <t>1</t>
        </is>
      </c>
      <c r="D1892" s="25" t="inlineStr">
        <is>
          <t>ST-054-STD-07</t>
        </is>
      </c>
      <c r="E1892" s="25" t="inlineStr">
        <is>
          <t>IA-ST-054-STD-07</t>
        </is>
      </c>
      <c r="F1892" s="25" t="inlineStr">
        <is>
          <t>IA-ST-CFG-0143</t>
        </is>
      </c>
      <c r="G1892" s="25" t="n">
        <v>33.7838</v>
      </c>
      <c r="H1892" s="25" t="inlineStr">
        <is>
          <t>988-pack GENERATED</t>
        </is>
      </c>
    </row>
    <row r="1893">
      <c r="A1893" s="25" t="inlineStr">
        <is>
          <t>1015143</t>
        </is>
      </c>
      <c r="B1893" s="25" t="inlineStr">
        <is>
          <t>AKÜ,D31,DK,90AH,IGYA SMF,EAS ACTIVA</t>
        </is>
      </c>
      <c r="C1893" s="25" t="inlineStr">
        <is>
          <t>1</t>
        </is>
      </c>
      <c r="D1893" s="25" t="inlineStr">
        <is>
          <t>ST-054-STD-07</t>
        </is>
      </c>
      <c r="E1893" s="25" t="inlineStr">
        <is>
          <t>IA-ST-054-STD-07</t>
        </is>
      </c>
      <c r="F1893" s="25" t="inlineStr">
        <is>
          <t>IA-ST-CFG-0143</t>
        </is>
      </c>
      <c r="G1893" s="25" t="n">
        <v>33.7838</v>
      </c>
      <c r="H1893" s="25" t="inlineStr">
        <is>
          <t>988-pack GENERATED</t>
        </is>
      </c>
    </row>
    <row r="1894">
      <c r="A1894" s="25" t="inlineStr">
        <is>
          <t>1015144</t>
        </is>
      </c>
      <c r="B1894" s="25" t="inlineStr">
        <is>
          <t>AKÜ,D31,TK,90AH,IGYA SMF,EAS ACTIVA</t>
        </is>
      </c>
      <c r="C1894" s="25" t="inlineStr">
        <is>
          <t>1</t>
        </is>
      </c>
      <c r="D1894" s="25" t="inlineStr">
        <is>
          <t>ST-054-STD-07</t>
        </is>
      </c>
      <c r="E1894" s="25" t="inlineStr">
        <is>
          <t>IA-ST-054-STD-07</t>
        </is>
      </c>
      <c r="F1894" s="25" t="inlineStr">
        <is>
          <t>IA-ST-CFG-0143</t>
        </is>
      </c>
      <c r="G1894" s="25" t="n">
        <v>33.7838</v>
      </c>
      <c r="H1894" s="25" t="inlineStr">
        <is>
          <t>988-pack GENERATED</t>
        </is>
      </c>
    </row>
    <row r="1895">
      <c r="A1895" s="25" t="inlineStr">
        <is>
          <t>1015145</t>
        </is>
      </c>
      <c r="B1895" s="25" t="inlineStr">
        <is>
          <t>AKÜ,L5,DK,90AH,IGYA SMF,EAS EFB S&amp;S</t>
        </is>
      </c>
      <c r="C1895" s="25" t="inlineStr">
        <is>
          <t>1</t>
        </is>
      </c>
      <c r="D1895" s="25" t="inlineStr">
        <is>
          <t>ST-045-STD-08</t>
        </is>
      </c>
      <c r="E1895" s="25" t="inlineStr">
        <is>
          <t>IA-ST-045-STD-08</t>
        </is>
      </c>
      <c r="F1895" s="25" t="inlineStr">
        <is>
          <t>IA-ST-CFG-0096</t>
        </is>
      </c>
      <c r="G1895" s="25" t="n">
        <v>29.7192</v>
      </c>
      <c r="H1895" s="25" t="inlineStr">
        <is>
          <t>988-pack GENERATED</t>
        </is>
      </c>
    </row>
    <row r="1896">
      <c r="A1896" s="25" t="inlineStr">
        <is>
          <t>1015146</t>
        </is>
      </c>
      <c r="B1896" s="25" t="inlineStr">
        <is>
          <t>AKÜ,D23,DK,65AH,IGYA SMF,EAS EFB S&amp;S</t>
        </is>
      </c>
      <c r="C1896" s="25" t="inlineStr">
        <is>
          <t>1</t>
        </is>
      </c>
      <c r="D1896" s="25" t="inlineStr">
        <is>
          <t>ST-072-STD-10</t>
        </is>
      </c>
      <c r="E1896" s="25" t="inlineStr">
        <is>
          <t>IA-ST-072-STD-10</t>
        </is>
      </c>
      <c r="F1896" s="25" t="inlineStr">
        <is>
          <t>IA-ST-CFG-0219</t>
        </is>
      </c>
      <c r="G1896" s="25" t="n">
        <v>34.33224</v>
      </c>
      <c r="H1896" s="25" t="inlineStr">
        <is>
          <t>988-pack GENERATED</t>
        </is>
      </c>
    </row>
    <row r="1897">
      <c r="A1897" s="25" t="inlineStr">
        <is>
          <t>1015147</t>
        </is>
      </c>
      <c r="B1897" s="25" t="inlineStr">
        <is>
          <t>AKÜ,A-IGYASMF,DK,120AH,EAS ACTIVA</t>
        </is>
      </c>
      <c r="C1897" s="25" t="inlineStr">
        <is>
          <t>1</t>
        </is>
      </c>
      <c r="D1897" s="25" t="inlineStr">
        <is>
          <t>ST-030-STD-05</t>
        </is>
      </c>
      <c r="E1897" s="25" t="inlineStr">
        <is>
          <t>IA-ST-030-STD-05</t>
        </is>
      </c>
      <c r="F1897" s="25" t="inlineStr">
        <is>
          <t>IA-ST-CFG-0051</t>
        </is>
      </c>
      <c r="G1897" s="25" t="n">
        <v>31.6992</v>
      </c>
      <c r="H1897" s="25" t="inlineStr">
        <is>
          <t>988-pack GENERATED</t>
        </is>
      </c>
    </row>
    <row r="1898">
      <c r="A1898" s="25" t="inlineStr">
        <is>
          <t>1015148</t>
        </is>
      </c>
      <c r="B1898" s="25" t="inlineStr">
        <is>
          <t>AKÜ,C-IGYASMF,DK,250AH,EAS EXTRA</t>
        </is>
      </c>
      <c r="C1898" s="25" t="inlineStr">
        <is>
          <t>1</t>
        </is>
      </c>
      <c r="D1898" s="25" t="inlineStr">
        <is>
          <t>ST-021-STD-03</t>
        </is>
      </c>
      <c r="E1898" s="25" t="inlineStr">
        <is>
          <t>IA-ST-021-STD-03</t>
        </is>
      </c>
      <c r="F1898" s="25" t="inlineStr">
        <is>
          <t>IA-ST-CFG-0023</t>
        </is>
      </c>
      <c r="G1898" s="25" t="n">
        <v>31.8252</v>
      </c>
      <c r="H1898" s="25" t="inlineStr">
        <is>
          <t>988-pack GENERATED</t>
        </is>
      </c>
    </row>
    <row r="1899">
      <c r="A1899" s="25" t="inlineStr">
        <is>
          <t>1015149</t>
        </is>
      </c>
      <c r="B1899" s="25" t="inlineStr">
        <is>
          <t>AKÜ,A-IGYASMF,DK,135AH,EAS ACTIVA</t>
        </is>
      </c>
      <c r="C1899" s="25" t="inlineStr">
        <is>
          <t>1</t>
        </is>
      </c>
      <c r="D1899" s="25" t="inlineStr">
        <is>
          <t>ST-030-STD-05</t>
        </is>
      </c>
      <c r="E1899" s="25" t="inlineStr">
        <is>
          <t>IA-ST-030-STD-05</t>
        </is>
      </c>
      <c r="F1899" s="25" t="inlineStr">
        <is>
          <t>IA-ST-CFG-0051</t>
        </is>
      </c>
      <c r="G1899" s="25" t="n">
        <v>31.6992</v>
      </c>
      <c r="H1899" s="25" t="inlineStr">
        <is>
          <t>988-pack GENERATED</t>
        </is>
      </c>
    </row>
    <row r="1900">
      <c r="A1900" s="25" t="inlineStr">
        <is>
          <t>1015150</t>
        </is>
      </c>
      <c r="B1900" s="25" t="inlineStr">
        <is>
          <t>AKÜ,B-IGYASMF,DK,180AH,EAS ACTIVA</t>
        </is>
      </c>
      <c r="C1900" s="25" t="inlineStr">
        <is>
          <t>1</t>
        </is>
      </c>
      <c r="D1900" s="25" t="inlineStr">
        <is>
          <t>ST-030-STD-06</t>
        </is>
      </c>
      <c r="E1900" s="25" t="inlineStr">
        <is>
          <t>IA-ST-030-STD-06</t>
        </is>
      </c>
      <c r="F1900" s="25" t="inlineStr">
        <is>
          <t>IA-ST-CFG-0052</t>
        </is>
      </c>
      <c r="G1900" s="25" t="n">
        <v>32.3892</v>
      </c>
      <c r="H1900" s="25" t="inlineStr">
        <is>
          <t>988-pack GENERATED</t>
        </is>
      </c>
    </row>
    <row r="1901">
      <c r="A1901" s="25" t="inlineStr">
        <is>
          <t>1015151</t>
        </is>
      </c>
      <c r="B1901" s="25" t="inlineStr">
        <is>
          <t>AKÜ,TRACTORL,DK,115AH,EAS PRIDE</t>
        </is>
      </c>
      <c r="C1901" s="25" t="inlineStr">
        <is>
          <t>1</t>
        </is>
      </c>
      <c r="D1901" s="25" t="inlineStr">
        <is>
          <t>ST-045-STD-05</t>
        </is>
      </c>
      <c r="E1901" s="25" t="inlineStr">
        <is>
          <t>IA-ST-045-STD-05</t>
        </is>
      </c>
      <c r="F1901" s="25" t="inlineStr">
        <is>
          <t>IA-ST-CFG-0093</t>
        </is>
      </c>
      <c r="G1901" s="25" t="n">
        <v>33.3498</v>
      </c>
      <c r="H1901" s="25" t="inlineStr">
        <is>
          <t>988-pack GENERATED</t>
        </is>
      </c>
    </row>
    <row r="1902">
      <c r="A1902" s="25" t="inlineStr">
        <is>
          <t>1015152</t>
        </is>
      </c>
      <c r="B1902" s="25" t="inlineStr">
        <is>
          <t>AKÜ,L4,DK,80AH,BLIZZARO AGM S&amp;S,MISIR</t>
        </is>
      </c>
      <c r="C1902" s="25" t="inlineStr">
        <is>
          <t>1</t>
        </is>
      </c>
      <c r="D1902" s="25" t="inlineStr">
        <is>
          <t>ST-054-STD-06</t>
        </is>
      </c>
      <c r="E1902" s="25" t="inlineStr">
        <is>
          <t>IA-ST-054-STD-06</t>
        </is>
      </c>
      <c r="F1902" s="25" t="inlineStr">
        <is>
          <t>IA-ST-CFG-0142</t>
        </is>
      </c>
      <c r="G1902" s="25" t="n">
        <v>29.7552</v>
      </c>
      <c r="H1902" s="25" t="inlineStr">
        <is>
          <t>988-pack GENERATED</t>
        </is>
      </c>
    </row>
    <row r="1903">
      <c r="A1903" s="25" t="inlineStr">
        <is>
          <t>1015155</t>
        </is>
      </c>
      <c r="B1903" s="25" t="inlineStr">
        <is>
          <t>AKÜ,L3,DK,72AH,IGYA,İNCİTAURUS,FULL JENR</t>
        </is>
      </c>
      <c r="C1903" s="25" t="inlineStr">
        <is>
          <t>1</t>
        </is>
      </c>
      <c r="D1903" s="25" t="inlineStr">
        <is>
          <t>ST-063-STD-08</t>
        </is>
      </c>
      <c r="E1903" s="25" t="inlineStr">
        <is>
          <t>IA-ST-063-STD-08</t>
        </is>
      </c>
      <c r="F1903" s="25" t="inlineStr">
        <is>
          <t>IA-ST-CFG-0179</t>
        </is>
      </c>
      <c r="G1903" s="25" t="n">
        <v>29.9992</v>
      </c>
      <c r="H1903" s="25" t="inlineStr">
        <is>
          <t>988-pack GENERATED</t>
        </is>
      </c>
    </row>
    <row r="1904">
      <c r="A1904" s="25" t="inlineStr">
        <is>
          <t>1015156</t>
        </is>
      </c>
      <c r="B1904" s="25" t="inlineStr">
        <is>
          <t>AKÜ,C-FLAT,DK,200AH,İNCİ SUPRA,FULL JENR</t>
        </is>
      </c>
      <c r="C1904" s="25" t="inlineStr">
        <is>
          <t>1</t>
        </is>
      </c>
      <c r="D1904" s="25" t="inlineStr">
        <is>
          <t>ST-021-STD-03</t>
        </is>
      </c>
      <c r="E1904" s="25" t="inlineStr">
        <is>
          <t>IA-ST-021-STD-03</t>
        </is>
      </c>
      <c r="F1904" s="25" t="inlineStr">
        <is>
          <t>IA-ST-CFG-0023</t>
        </is>
      </c>
      <c r="G1904" s="25" t="n">
        <v>31.8252</v>
      </c>
      <c r="H1904" s="25" t="inlineStr">
        <is>
          <t>988-pack GENERATED</t>
        </is>
      </c>
    </row>
    <row r="1905">
      <c r="A1905" s="25" t="inlineStr">
        <is>
          <t>1015157</t>
        </is>
      </c>
      <c r="B1905" s="25" t="inlineStr">
        <is>
          <t>AKÜ,L4,DK,80AH,VRLA,AGM S&amp;S,FORD OES</t>
        </is>
      </c>
      <c r="C1905" s="25" t="inlineStr">
        <is>
          <t>1</t>
        </is>
      </c>
      <c r="D1905" s="25" t="inlineStr">
        <is>
          <t>ST-054-STD-06</t>
        </is>
      </c>
      <c r="E1905" s="25" t="inlineStr">
        <is>
          <t>IA-ST-054-STD-06</t>
        </is>
      </c>
      <c r="F1905" s="25" t="inlineStr">
        <is>
          <t>IA-ST-CFG-0142</t>
        </is>
      </c>
      <c r="G1905" s="25" t="n">
        <v>29.7552</v>
      </c>
      <c r="H1905" s="25" t="inlineStr">
        <is>
          <t>988-pack GENERATED</t>
        </is>
      </c>
    </row>
    <row r="1906">
      <c r="A1906" s="25" t="inlineStr">
        <is>
          <t>1015158</t>
        </is>
      </c>
      <c r="B1906" s="25" t="inlineStr">
        <is>
          <t>AKÜ,L3,DK,75AH,IGYA SMF,EFB S&amp;S,FORD OES</t>
        </is>
      </c>
      <c r="C1906" s="25" t="inlineStr">
        <is>
          <t>1</t>
        </is>
      </c>
      <c r="D1906" s="25" t="inlineStr">
        <is>
          <t>ST-063-STD-08</t>
        </is>
      </c>
      <c r="E1906" s="25" t="inlineStr">
        <is>
          <t>IA-ST-063-STD-08</t>
        </is>
      </c>
      <c r="F1906" s="25" t="inlineStr">
        <is>
          <t>IA-ST-CFG-0179</t>
        </is>
      </c>
      <c r="G1906" s="25" t="n">
        <v>29.9992</v>
      </c>
      <c r="H1906" s="25" t="inlineStr">
        <is>
          <t>988-pack GENERATED</t>
        </is>
      </c>
    </row>
    <row r="1907">
      <c r="A1907" s="25" t="inlineStr">
        <is>
          <t>1015159</t>
        </is>
      </c>
      <c r="B1907" s="25" t="inlineStr">
        <is>
          <t>AKÜ,LB3,DK,60AH,IGYASMF,EFB S&amp;S,FORD OES</t>
        </is>
      </c>
      <c r="C1907" s="25" t="inlineStr">
        <is>
          <t>1</t>
        </is>
      </c>
      <c r="D1907" s="25" t="inlineStr">
        <is>
          <t>ST-063-STD-07</t>
        </is>
      </c>
      <c r="E1907" s="25" t="inlineStr">
        <is>
          <t>IA-ST-063-STD-07</t>
        </is>
      </c>
      <c r="F1907" s="25" t="inlineStr">
        <is>
          <t>IA-ST-CFG-0178</t>
        </is>
      </c>
      <c r="G1907" s="25" t="n">
        <v>29.8692</v>
      </c>
      <c r="H1907" s="25" t="inlineStr">
        <is>
          <t>988-pack GENERATED</t>
        </is>
      </c>
    </row>
    <row r="1908">
      <c r="A1908" s="25" t="inlineStr">
        <is>
          <t>1015161</t>
        </is>
      </c>
      <c r="B1908" s="25" t="inlineStr">
        <is>
          <t>AKÜ,L4,DK,80AH,IGYA SMF,FORD OES</t>
        </is>
      </c>
      <c r="C1908" s="25" t="inlineStr">
        <is>
          <t>1</t>
        </is>
      </c>
      <c r="D1908" s="25" t="inlineStr">
        <is>
          <t>ST-054-STD-06</t>
        </is>
      </c>
      <c r="E1908" s="25" t="inlineStr">
        <is>
          <t>IA-ST-054-STD-06</t>
        </is>
      </c>
      <c r="F1908" s="25" t="inlineStr">
        <is>
          <t>IA-ST-CFG-0142</t>
        </is>
      </c>
      <c r="G1908" s="25" t="n">
        <v>29.7552</v>
      </c>
      <c r="H1908" s="25" t="inlineStr">
        <is>
          <t>988-pack GENERATED</t>
        </is>
      </c>
    </row>
    <row r="1909">
      <c r="A1909" s="25" t="inlineStr">
        <is>
          <t>1015162</t>
        </is>
      </c>
      <c r="B1909" s="25" t="inlineStr">
        <is>
          <t>AKÜ,LB1,DK,50AH,IGYA SMF,FORD OES</t>
        </is>
      </c>
      <c r="C1909" s="25" t="inlineStr">
        <is>
          <t>1</t>
        </is>
      </c>
      <c r="D1909" s="25" t="inlineStr">
        <is>
          <t>ST-087-STD-02</t>
        </is>
      </c>
      <c r="E1909" s="25" t="inlineStr">
        <is>
          <t>IA-ST-087-STD-02</t>
        </is>
      </c>
      <c r="F1909" s="25" t="inlineStr">
        <is>
          <t>IA-ST-CFG-0247</t>
        </is>
      </c>
      <c r="G1909" s="25" t="n">
        <v>30.4892</v>
      </c>
      <c r="H1909" s="25" t="inlineStr">
        <is>
          <t>988-pack GENERATED</t>
        </is>
      </c>
    </row>
    <row r="1910">
      <c r="A1910" s="25" t="inlineStr">
        <is>
          <t>1015163</t>
        </is>
      </c>
      <c r="B1910" s="25" t="inlineStr">
        <is>
          <t>AKÜ,LB3,DK,60AH,IGYA SMF,FORD OES</t>
        </is>
      </c>
      <c r="C1910" s="25" t="inlineStr">
        <is>
          <t>1</t>
        </is>
      </c>
      <c r="D1910" s="25" t="inlineStr">
        <is>
          <t>ST-063-STD-07</t>
        </is>
      </c>
      <c r="E1910" s="25" t="inlineStr">
        <is>
          <t>IA-ST-063-STD-07</t>
        </is>
      </c>
      <c r="F1910" s="25" t="inlineStr">
        <is>
          <t>IA-ST-CFG-0178</t>
        </is>
      </c>
      <c r="G1910" s="25" t="n">
        <v>29.8692</v>
      </c>
      <c r="H1910" s="25" t="inlineStr">
        <is>
          <t>988-pack GENERATED</t>
        </is>
      </c>
    </row>
    <row r="1911">
      <c r="A1911" s="25" t="inlineStr">
        <is>
          <t>1015164</t>
        </is>
      </c>
      <c r="B1911" s="25" t="inlineStr">
        <is>
          <t>AKÜ,LB4,DK,80AH,IGYA SMF,FORD OES</t>
        </is>
      </c>
      <c r="C1911" s="25" t="inlineStr">
        <is>
          <t>1</t>
        </is>
      </c>
      <c r="D1911" s="25" t="inlineStr">
        <is>
          <t>ST-054-STD-06</t>
        </is>
      </c>
      <c r="E1911" s="25" t="inlineStr">
        <is>
          <t>IA-ST-054-STD-06</t>
        </is>
      </c>
      <c r="F1911" s="25" t="inlineStr">
        <is>
          <t>IA-ST-CFG-0142</t>
        </is>
      </c>
      <c r="G1911" s="25" t="n">
        <v>29.7552</v>
      </c>
      <c r="H1911" s="25" t="inlineStr">
        <is>
          <t>988-pack GENERATED</t>
        </is>
      </c>
    </row>
    <row r="1912">
      <c r="A1912" s="25" t="inlineStr">
        <is>
          <t>1015165</t>
        </is>
      </c>
      <c r="B1912" s="25" t="inlineStr">
        <is>
          <t>AKÜ,B-IGYA,DK,185AH,PILOTPERFORMANCE EFB</t>
        </is>
      </c>
      <c r="C1912" s="25" t="inlineStr">
        <is>
          <t>1</t>
        </is>
      </c>
      <c r="D1912" s="25" t="inlineStr">
        <is>
          <t>ST-021-EUR-03</t>
        </is>
      </c>
      <c r="E1912" s="25" t="inlineStr">
        <is>
          <t>IA-ST-021-EUR-03</t>
        </is>
      </c>
      <c r="F1912" s="25" t="inlineStr">
        <is>
          <t>IA-ST-CFG-0029</t>
        </is>
      </c>
      <c r="G1912" s="25" t="n">
        <v>30.7682</v>
      </c>
      <c r="H1912" s="25" t="inlineStr">
        <is>
          <t>988-pack GENERATED</t>
        </is>
      </c>
    </row>
    <row r="1913">
      <c r="A1913" s="25" t="inlineStr">
        <is>
          <t>1015166</t>
        </is>
      </c>
      <c r="B1913" s="25" t="inlineStr">
        <is>
          <t>AKÜ,C-IGYA,DK,230AH,PILOTPERFORMANCE EFB</t>
        </is>
      </c>
      <c r="C1913" s="25" t="inlineStr">
        <is>
          <t>1</t>
        </is>
      </c>
      <c r="D1913" s="25" t="inlineStr">
        <is>
          <t>ST-018-EUR-03</t>
        </is>
      </c>
      <c r="E1913" s="25" t="inlineStr">
        <is>
          <t>IA-ST-018-EUR-03</t>
        </is>
      </c>
      <c r="F1913" s="25" t="inlineStr">
        <is>
          <t>IA-ST-CFG-0014</t>
        </is>
      </c>
      <c r="G1913" s="25" t="n">
        <v>30.9872</v>
      </c>
      <c r="H1913" s="25" t="inlineStr">
        <is>
          <t>988-pack GENERATED</t>
        </is>
      </c>
    </row>
    <row r="1914">
      <c r="A1914" s="25" t="inlineStr">
        <is>
          <t>1015167</t>
        </is>
      </c>
      <c r="B1914" s="25" t="inlineStr">
        <is>
          <t>AKÜ,L0,DK,40AH,DINNEW,NO NAME,BP40,SKG</t>
        </is>
      </c>
      <c r="C1914" s="25" t="inlineStr">
        <is>
          <t>1</t>
        </is>
      </c>
      <c r="D1914" s="25" t="inlineStr">
        <is>
          <t>ST-096-EUR-07</t>
        </is>
      </c>
      <c r="E1914" s="25" t="inlineStr">
        <is>
          <t>IA-ST-096-EUR-07</t>
        </is>
      </c>
      <c r="F1914" s="25" t="inlineStr">
        <is>
          <t>IA-ST-CFG-0275</t>
        </is>
      </c>
      <c r="G1914" s="25" t="n">
        <v>28.126</v>
      </c>
      <c r="H1914" s="25" t="inlineStr">
        <is>
          <t>988-pack GENERATED</t>
        </is>
      </c>
    </row>
    <row r="1915">
      <c r="A1915" s="25" t="inlineStr">
        <is>
          <t>1015168</t>
        </is>
      </c>
      <c r="B1915" s="25" t="inlineStr">
        <is>
          <t>AKÜ,LB1,DK,50AH,IGYA SMF,TITAN,BESA</t>
        </is>
      </c>
      <c r="C1915" s="25" t="inlineStr">
        <is>
          <t>1</t>
        </is>
      </c>
      <c r="D1915" s="25" t="inlineStr">
        <is>
          <t>ST-096-EUR-03</t>
        </is>
      </c>
      <c r="E1915" s="25" t="inlineStr">
        <is>
          <t>IA-ST-096-EUR-03</t>
        </is>
      </c>
      <c r="F1915" s="25" t="inlineStr">
        <is>
          <t>IA-ST-CFG-0266</t>
        </is>
      </c>
      <c r="G1915" s="25" t="n">
        <v>31.2262</v>
      </c>
      <c r="H1915" s="25" t="inlineStr">
        <is>
          <t>988-pack GENERATED</t>
        </is>
      </c>
    </row>
    <row r="1916">
      <c r="A1916" s="25" t="inlineStr">
        <is>
          <t>1015169</t>
        </is>
      </c>
      <c r="B1916" s="25" t="inlineStr">
        <is>
          <t>AKÜ,C,DK,220AH,VRLA,AGMYBX9625-220,GYEUR</t>
        </is>
      </c>
      <c r="C1916" s="25" t="inlineStr">
        <is>
          <t>1</t>
        </is>
      </c>
      <c r="D1916" s="25" t="inlineStr">
        <is>
          <t>ST-012-EUR-01</t>
        </is>
      </c>
      <c r="E1916" s="25" t="inlineStr">
        <is>
          <t>IA-ST-012-EUR-01</t>
        </is>
      </c>
      <c r="F1916" s="25" t="inlineStr">
        <is>
          <t>IA-ST-CFG-0004</t>
        </is>
      </c>
      <c r="G1916" s="25" t="n">
        <v>29.326</v>
      </c>
      <c r="H1916" s="25" t="inlineStr">
        <is>
          <t>988-pack GENERATED</t>
        </is>
      </c>
    </row>
    <row r="1917">
      <c r="A1917" s="25" t="inlineStr">
        <is>
          <t>1015170</t>
        </is>
      </c>
      <c r="B1917" s="25" t="inlineStr">
        <is>
          <t>AKÜ,C-IGYASMF,DK,225AH,BLIZZAROSILVERLNE</t>
        </is>
      </c>
      <c r="C1917" s="25" t="inlineStr">
        <is>
          <t>1</t>
        </is>
      </c>
      <c r="D1917" s="25" t="inlineStr">
        <is>
          <t>ST-021-STD-03</t>
        </is>
      </c>
      <c r="E1917" s="25" t="inlineStr">
        <is>
          <t>IA-ST-021-STD-03</t>
        </is>
      </c>
      <c r="F1917" s="25" t="inlineStr">
        <is>
          <t>IA-ST-CFG-0023</t>
        </is>
      </c>
      <c r="G1917" s="25" t="n">
        <v>31.8252</v>
      </c>
      <c r="H1917" s="25" t="inlineStr">
        <is>
          <t>988-pack GENERATED</t>
        </is>
      </c>
    </row>
    <row r="1918">
      <c r="A1918" s="25" t="inlineStr">
        <is>
          <t>1015172</t>
        </is>
      </c>
      <c r="B1918" s="25" t="inlineStr">
        <is>
          <t>AKÜ,L3,DK,75AH,IGYA,GYEUR,SST3096-075</t>
        </is>
      </c>
      <c r="C1918" s="25" t="inlineStr">
        <is>
          <t>1</t>
        </is>
      </c>
      <c r="D1918" s="25" t="inlineStr">
        <is>
          <t>ST-051-EUR-01</t>
        </is>
      </c>
      <c r="E1918" s="25" t="inlineStr">
        <is>
          <t>IA-ST-051-EUR-01</t>
        </is>
      </c>
      <c r="F1918" s="25" t="inlineStr">
        <is>
          <t>IA-ST-CFG-0132</t>
        </is>
      </c>
      <c r="G1918" s="25" t="n">
        <v>27.926</v>
      </c>
      <c r="H1918" s="25" t="inlineStr">
        <is>
          <t>988-pack GENERATED</t>
        </is>
      </c>
    </row>
    <row r="1919">
      <c r="A1919" s="25" t="inlineStr">
        <is>
          <t>1015173</t>
        </is>
      </c>
      <c r="B1919" s="25" t="inlineStr">
        <is>
          <t>AKÜ,LB3,DK,73AH,IGYA,GYEUR,SST3100-073</t>
        </is>
      </c>
      <c r="C1919" s="25" t="inlineStr">
        <is>
          <t>1</t>
        </is>
      </c>
      <c r="D1919" s="25" t="inlineStr">
        <is>
          <t>ST-051-EUR-01</t>
        </is>
      </c>
      <c r="E1919" s="25" t="inlineStr">
        <is>
          <t>IA-ST-051-EUR-01</t>
        </is>
      </c>
      <c r="F1919" s="25" t="inlineStr">
        <is>
          <t>IA-ST-CFG-0132</t>
        </is>
      </c>
      <c r="G1919" s="25" t="n">
        <v>27.926</v>
      </c>
      <c r="H1919" s="25" t="inlineStr">
        <is>
          <t>988-pack GENERATED</t>
        </is>
      </c>
    </row>
    <row r="1920">
      <c r="A1920" s="25" t="inlineStr">
        <is>
          <t>1015174</t>
        </is>
      </c>
      <c r="B1920" s="25" t="inlineStr">
        <is>
          <t>AKÜ,LB1,DK,46AH,IGYA,GYNRD,PST4063-046</t>
        </is>
      </c>
      <c r="C1920" s="25" t="inlineStr">
        <is>
          <t>1</t>
        </is>
      </c>
      <c r="D1920" s="25" t="inlineStr">
        <is>
          <t>ST-072-EUR-04</t>
        </is>
      </c>
      <c r="E1920" s="25" t="inlineStr">
        <is>
          <t>IA-ST-072-EUR-04</t>
        </is>
      </c>
      <c r="F1920" s="25" t="inlineStr">
        <is>
          <t>IA-ST-CFG-0209</t>
        </is>
      </c>
      <c r="G1920" s="25" t="n">
        <v>28.366</v>
      </c>
      <c r="H1920" s="25" t="inlineStr">
        <is>
          <t>988-pack GENERATED</t>
        </is>
      </c>
    </row>
    <row r="1921">
      <c r="A1921" s="25" t="inlineStr">
        <is>
          <t>1015175</t>
        </is>
      </c>
      <c r="B1921" s="25" t="inlineStr">
        <is>
          <t>AKÜ,L1,DK,52AH,IGYA,GYNRD,PST4012-052</t>
        </is>
      </c>
      <c r="C1921" s="25" t="inlineStr">
        <is>
          <t>1</t>
        </is>
      </c>
      <c r="D1921" s="25" t="inlineStr">
        <is>
          <t>ST-072-EUR-04</t>
        </is>
      </c>
      <c r="E1921" s="25" t="inlineStr">
        <is>
          <t>IA-ST-072-EUR-04</t>
        </is>
      </c>
      <c r="F1921" s="25" t="inlineStr">
        <is>
          <t>IA-ST-CFG-0209</t>
        </is>
      </c>
      <c r="G1921" s="25" t="n">
        <v>28.366</v>
      </c>
      <c r="H1921" s="25" t="inlineStr">
        <is>
          <t>988-pack GENERATED</t>
        </is>
      </c>
    </row>
    <row r="1922">
      <c r="A1922" s="25" t="inlineStr">
        <is>
          <t>1015176</t>
        </is>
      </c>
      <c r="B1922" s="25" t="inlineStr">
        <is>
          <t>AKÜ,L2,DK,62AH,IGYA,GYNRD,PST4027-062</t>
        </is>
      </c>
      <c r="C1922" s="25" t="inlineStr">
        <is>
          <t>1</t>
        </is>
      </c>
      <c r="D1922" s="25" t="inlineStr">
        <is>
          <t>ST-057-EUR-03</t>
        </is>
      </c>
      <c r="E1922" s="25" t="inlineStr">
        <is>
          <t>IA-ST-057-EUR-03</t>
        </is>
      </c>
      <c r="F1922" s="25" t="inlineStr">
        <is>
          <t>IA-ST-CFG-0162</t>
        </is>
      </c>
      <c r="G1922" s="25" t="n">
        <v>27.926</v>
      </c>
      <c r="H1922" s="25" t="inlineStr">
        <is>
          <t>988-pack GENERATED</t>
        </is>
      </c>
    </row>
    <row r="1923">
      <c r="A1923" s="25" t="inlineStr">
        <is>
          <t>1015177</t>
        </is>
      </c>
      <c r="B1923" s="25" t="inlineStr">
        <is>
          <t>AKÜ,D23,DK,60AH,IGYA,GYNRD,PST4005-060</t>
        </is>
      </c>
      <c r="C1923" s="25" t="inlineStr">
        <is>
          <t>1</t>
        </is>
      </c>
      <c r="D1923" s="25" t="inlineStr">
        <is>
          <t>ST-063-EUR-01</t>
        </is>
      </c>
      <c r="E1923" s="25" t="inlineStr">
        <is>
          <t>IA-ST-063-EUR-01</t>
        </is>
      </c>
      <c r="F1923" s="25" t="inlineStr">
        <is>
          <t>IA-ST-CFG-0188</t>
        </is>
      </c>
      <c r="G1923" s="25" t="n">
        <v>30.326</v>
      </c>
      <c r="H1923" s="25" t="inlineStr">
        <is>
          <t>988-pack GENERATED</t>
        </is>
      </c>
    </row>
    <row r="1924">
      <c r="A1924" s="25" t="inlineStr">
        <is>
          <t>1015178</t>
        </is>
      </c>
      <c r="B1924" s="25" t="inlineStr">
        <is>
          <t>AKÜ,D26,TK,72AH,IGYA,GYNRD,PST4069-072</t>
        </is>
      </c>
      <c r="C1924" s="25" t="inlineStr">
        <is>
          <t>1</t>
        </is>
      </c>
      <c r="D1924" s="25" t="inlineStr">
        <is>
          <t>ST-057-EUR-01</t>
        </is>
      </c>
      <c r="E1924" s="25" t="inlineStr">
        <is>
          <t>IA-ST-057-EUR-01</t>
        </is>
      </c>
      <c r="F1924" s="25" t="inlineStr">
        <is>
          <t>IA-ST-CFG-0160</t>
        </is>
      </c>
      <c r="G1924" s="25" t="n">
        <v>30.326</v>
      </c>
      <c r="H1924" s="25" t="inlineStr">
        <is>
          <t>988-pack GENERATED</t>
        </is>
      </c>
    </row>
    <row r="1925">
      <c r="A1925" s="25" t="inlineStr">
        <is>
          <t>1015179</t>
        </is>
      </c>
      <c r="B1925" s="25" t="inlineStr">
        <is>
          <t>AKÜ,D26,DK,72AH,IGYA,GYNRD,PST4068-072</t>
        </is>
      </c>
      <c r="C1925" s="25" t="inlineStr">
        <is>
          <t>1</t>
        </is>
      </c>
      <c r="D1925" s="25" t="inlineStr">
        <is>
          <t>ST-057-EUR-01</t>
        </is>
      </c>
      <c r="E1925" s="25" t="inlineStr">
        <is>
          <t>IA-ST-057-EUR-01</t>
        </is>
      </c>
      <c r="F1925" s="25" t="inlineStr">
        <is>
          <t>IA-ST-CFG-0160</t>
        </is>
      </c>
      <c r="G1925" s="25" t="n">
        <v>30.326</v>
      </c>
      <c r="H1925" s="25" t="inlineStr">
        <is>
          <t>988-pack GENERATED</t>
        </is>
      </c>
    </row>
    <row r="1926">
      <c r="A1926" s="25" t="inlineStr">
        <is>
          <t>1015180</t>
        </is>
      </c>
      <c r="B1926" s="25" t="inlineStr">
        <is>
          <t>AKÜ,LB3,DK,72AH,IGYA,GYNRD,PST4100-072</t>
        </is>
      </c>
      <c r="C1926" s="25" t="inlineStr">
        <is>
          <t>1</t>
        </is>
      </c>
      <c r="D1926" s="25" t="inlineStr">
        <is>
          <t>ST-051-EUR-01</t>
        </is>
      </c>
      <c r="E1926" s="25" t="inlineStr">
        <is>
          <t>IA-ST-051-EUR-01</t>
        </is>
      </c>
      <c r="F1926" s="25" t="inlineStr">
        <is>
          <t>IA-ST-CFG-0132</t>
        </is>
      </c>
      <c r="G1926" s="25" t="n">
        <v>27.926</v>
      </c>
      <c r="H1926" s="25" t="inlineStr">
        <is>
          <t>988-pack GENERATED</t>
        </is>
      </c>
    </row>
    <row r="1927">
      <c r="A1927" s="25" t="inlineStr">
        <is>
          <t>1015181</t>
        </is>
      </c>
      <c r="B1927" s="25" t="inlineStr">
        <is>
          <t>AKÜ,L3,DK,75AH,IGYA,GYNRD,PST4096-075</t>
        </is>
      </c>
      <c r="C1927" s="25" t="inlineStr">
        <is>
          <t>1</t>
        </is>
      </c>
      <c r="D1927" s="25" t="inlineStr">
        <is>
          <t>ST-051-EUR-01</t>
        </is>
      </c>
      <c r="E1927" s="25" t="inlineStr">
        <is>
          <t>IA-ST-051-EUR-01</t>
        </is>
      </c>
      <c r="F1927" s="25" t="inlineStr">
        <is>
          <t>IA-ST-CFG-0132</t>
        </is>
      </c>
      <c r="G1927" s="25" t="n">
        <v>27.926</v>
      </c>
      <c r="H1927" s="25" t="inlineStr">
        <is>
          <t>988-pack GENERATED</t>
        </is>
      </c>
    </row>
    <row r="1928">
      <c r="A1928" s="25" t="inlineStr">
        <is>
          <t>1015182</t>
        </is>
      </c>
      <c r="B1928" s="25" t="inlineStr">
        <is>
          <t>AKÜ,LB4,DK,80AH,IGYA,GYNRD,PST4110-080</t>
        </is>
      </c>
      <c r="C1928" s="25" t="inlineStr">
        <is>
          <t>1</t>
        </is>
      </c>
      <c r="D1928" s="25" t="inlineStr">
        <is>
          <t>ST-042-EUR-02</t>
        </is>
      </c>
      <c r="E1928" s="25" t="inlineStr">
        <is>
          <t>IA-ST-042-EUR-02</t>
        </is>
      </c>
      <c r="F1928" s="25" t="inlineStr">
        <is>
          <t>IA-ST-CFG-0085</t>
        </is>
      </c>
      <c r="G1928" s="25" t="n">
        <v>27.926</v>
      </c>
      <c r="H1928" s="25" t="inlineStr">
        <is>
          <t>988-pack GENERATED</t>
        </is>
      </c>
    </row>
    <row r="1929">
      <c r="A1929" s="25" t="inlineStr">
        <is>
          <t>1015183</t>
        </is>
      </c>
      <c r="B1929" s="25" t="inlineStr">
        <is>
          <t>AKÜ,L5,DK,100AH,IGYA,GYNRD,PST4019-095</t>
        </is>
      </c>
      <c r="C1929" s="25" t="inlineStr">
        <is>
          <t>1</t>
        </is>
      </c>
      <c r="D1929" s="25" t="inlineStr">
        <is>
          <t>ST-036-EUR-04</t>
        </is>
      </c>
      <c r="E1929" s="25" t="inlineStr">
        <is>
          <t>IA-ST-036-EUR-04</t>
        </is>
      </c>
      <c r="F1929" s="25" t="inlineStr">
        <is>
          <t>IA-ST-CFG-0068</t>
        </is>
      </c>
      <c r="G1929" s="25" t="n">
        <v>27.926</v>
      </c>
      <c r="H1929" s="25" t="inlineStr">
        <is>
          <t>988-pack GENERATED</t>
        </is>
      </c>
    </row>
    <row r="1930">
      <c r="A1930" s="25" t="inlineStr">
        <is>
          <t>1015184</t>
        </is>
      </c>
      <c r="B1930" s="25" t="inlineStr">
        <is>
          <t>AKÜ,D31,TK,95AH,IGYA,GYNRD,PST4334-095</t>
        </is>
      </c>
      <c r="C1930" s="25" t="inlineStr">
        <is>
          <t>1</t>
        </is>
      </c>
      <c r="D1930" s="25" t="inlineStr">
        <is>
          <t>ST-048-EUR-05</t>
        </is>
      </c>
      <c r="E1930" s="25" t="inlineStr">
        <is>
          <t>IA-ST-048-EUR-05</t>
        </is>
      </c>
      <c r="F1930" s="25" t="inlineStr">
        <is>
          <t>IA-ST-CFG-0111</t>
        </is>
      </c>
      <c r="G1930" s="25" t="n">
        <v>30.326</v>
      </c>
      <c r="H1930" s="25" t="inlineStr">
        <is>
          <t>988-pack GENERATED</t>
        </is>
      </c>
    </row>
    <row r="1931">
      <c r="A1931" s="25" t="inlineStr">
        <is>
          <t>1015185</t>
        </is>
      </c>
      <c r="B1931" s="25" t="inlineStr">
        <is>
          <t>AKÜ,D31,DK,95AH,IGYA,GYNRD,PST4335-095</t>
        </is>
      </c>
      <c r="C1931" s="25" t="inlineStr">
        <is>
          <t>1</t>
        </is>
      </c>
      <c r="D1931" s="25" t="inlineStr">
        <is>
          <t>ST-048-EUR-05</t>
        </is>
      </c>
      <c r="E1931" s="25" t="inlineStr">
        <is>
          <t>IA-ST-048-EUR-05</t>
        </is>
      </c>
      <c r="F1931" s="25" t="inlineStr">
        <is>
          <t>IA-ST-CFG-0111</t>
        </is>
      </c>
      <c r="G1931" s="25" t="n">
        <v>30.326</v>
      </c>
      <c r="H1931" s="25" t="inlineStr">
        <is>
          <t>988-pack GENERATED</t>
        </is>
      </c>
    </row>
    <row r="1932">
      <c r="A1932" s="25" t="inlineStr">
        <is>
          <t>1015190</t>
        </is>
      </c>
      <c r="B1932" s="25" t="inlineStr">
        <is>
          <t>AKÜ,NS40,DK,35AH,IGYA SMF,GORILA,REDMAY</t>
        </is>
      </c>
      <c r="C1932" s="25" t="inlineStr">
        <is>
          <t>1</t>
        </is>
      </c>
      <c r="D1932" s="25" t="inlineStr">
        <is>
          <t>ST-120-STD-01</t>
        </is>
      </c>
      <c r="E1932" s="25" t="inlineStr">
        <is>
          <t>IA-ST-120-STD-01</t>
        </is>
      </c>
      <c r="F1932" s="25" t="inlineStr">
        <is>
          <t>IA-ST-CFG-0284</t>
        </is>
      </c>
      <c r="G1932" s="25" t="n">
        <v>35.3676</v>
      </c>
      <c r="H1932" s="25" t="inlineStr">
        <is>
          <t>988-pack GENERATED</t>
        </is>
      </c>
    </row>
    <row r="1933">
      <c r="A1933" s="25" t="inlineStr">
        <is>
          <t>1015191</t>
        </is>
      </c>
      <c r="B1933" s="25" t="inlineStr">
        <is>
          <t>AKÜ,LB1,DK,50AH,IGYA SMF,GORILA,REDMAY</t>
        </is>
      </c>
      <c r="C1933" s="25" t="inlineStr">
        <is>
          <t>1</t>
        </is>
      </c>
      <c r="D1933" s="25" t="inlineStr">
        <is>
          <t>ST-087-STD-02</t>
        </is>
      </c>
      <c r="E1933" s="25" t="inlineStr">
        <is>
          <t>IA-ST-087-STD-02</t>
        </is>
      </c>
      <c r="F1933" s="25" t="inlineStr">
        <is>
          <t>IA-ST-CFG-0247</t>
        </is>
      </c>
      <c r="G1933" s="25" t="n">
        <v>30.4892</v>
      </c>
      <c r="H1933" s="25" t="inlineStr">
        <is>
          <t>988-pack GENERATED</t>
        </is>
      </c>
    </row>
    <row r="1934">
      <c r="A1934" s="25" t="inlineStr">
        <is>
          <t>1015192</t>
        </is>
      </c>
      <c r="B1934" s="25" t="inlineStr">
        <is>
          <t>AKÜ,LB2,DK,60AH,IGYA SMF,GORILA,REDMAY</t>
        </is>
      </c>
      <c r="C1934" s="25" t="inlineStr">
        <is>
          <t>1</t>
        </is>
      </c>
      <c r="D1934" s="25" t="inlineStr">
        <is>
          <t>ST-072-STD-13</t>
        </is>
      </c>
      <c r="E1934" s="25" t="inlineStr">
        <is>
          <t>IA-ST-072-STD-13</t>
        </is>
      </c>
      <c r="F1934" s="25" t="inlineStr">
        <is>
          <t>IA-ST-CFG-0222</t>
        </is>
      </c>
      <c r="G1934" s="25" t="n">
        <v>30.6552</v>
      </c>
      <c r="H1934" s="25" t="inlineStr">
        <is>
          <t>988-pack GENERATED</t>
        </is>
      </c>
    </row>
    <row r="1935">
      <c r="A1935" s="25" t="inlineStr">
        <is>
          <t>1015193</t>
        </is>
      </c>
      <c r="B1935" s="25" t="inlineStr">
        <is>
          <t>AKÜ,LB3,DK,70AH,IGYA SMF,GORILA,REDMAY</t>
        </is>
      </c>
      <c r="C1935" s="25" t="inlineStr">
        <is>
          <t>1</t>
        </is>
      </c>
      <c r="D1935" s="25" t="inlineStr">
        <is>
          <t>ST-063-STD-07</t>
        </is>
      </c>
      <c r="E1935" s="25" t="inlineStr">
        <is>
          <t>IA-ST-063-STD-07</t>
        </is>
      </c>
      <c r="F1935" s="25" t="inlineStr">
        <is>
          <t>IA-ST-CFG-0178</t>
        </is>
      </c>
      <c r="G1935" s="25" t="n">
        <v>29.8692</v>
      </c>
      <c r="H1935" s="25" t="inlineStr">
        <is>
          <t>988-pack GENERATED</t>
        </is>
      </c>
    </row>
    <row r="1936">
      <c r="A1936" s="25" t="inlineStr">
        <is>
          <t>1015194</t>
        </is>
      </c>
      <c r="B1936" s="25" t="inlineStr">
        <is>
          <t>AKÜ,B-IGYASMF,DK,185AH,Y5000SHDEXP,GYITA</t>
        </is>
      </c>
      <c r="C1936" s="25" t="inlineStr">
        <is>
          <t>1</t>
        </is>
      </c>
      <c r="D1936" s="25" t="inlineStr">
        <is>
          <t>ST-021-EUR-04</t>
        </is>
      </c>
      <c r="E1936" s="25" t="inlineStr">
        <is>
          <t>IA-ST-021-EUR-04</t>
        </is>
      </c>
      <c r="F1936" s="25" t="inlineStr">
        <is>
          <t>IA-ST-CFG-0030</t>
        </is>
      </c>
      <c r="G1936" s="25" t="n">
        <v>30.0392</v>
      </c>
      <c r="H1936" s="25" t="inlineStr">
        <is>
          <t>988-pack GENERATED</t>
        </is>
      </c>
    </row>
    <row r="1937">
      <c r="A1937" s="25" t="inlineStr">
        <is>
          <t>1015195</t>
        </is>
      </c>
      <c r="B1937" s="25" t="inlineStr">
        <is>
          <t>AKÜ,B-IGYASMF,TK,185AH,Y5000SHDEXP,GYITA</t>
        </is>
      </c>
      <c r="C1937" s="25" t="inlineStr">
        <is>
          <t>1</t>
        </is>
      </c>
      <c r="D1937" s="25" t="inlineStr">
        <is>
          <t>ST-021-EUR-04</t>
        </is>
      </c>
      <c r="E1937" s="25" t="inlineStr">
        <is>
          <t>IA-ST-021-EUR-04</t>
        </is>
      </c>
      <c r="F1937" s="25" t="inlineStr">
        <is>
          <t>IA-ST-CFG-0030</t>
        </is>
      </c>
      <c r="G1937" s="25" t="n">
        <v>30.0392</v>
      </c>
      <c r="H1937" s="25" t="inlineStr">
        <is>
          <t>988-pack GENERATED</t>
        </is>
      </c>
    </row>
    <row r="1938">
      <c r="A1938" s="25" t="inlineStr">
        <is>
          <t>1015196</t>
        </is>
      </c>
      <c r="B1938" s="25" t="inlineStr">
        <is>
          <t>AKÜ,C-IGYASMF,DK,230AH,Y5000SHDEXP,GYITA</t>
        </is>
      </c>
      <c r="C1938" s="25" t="inlineStr">
        <is>
          <t>1</t>
        </is>
      </c>
      <c r="D1938" s="25" t="inlineStr">
        <is>
          <t>ST-018-EUR-04</t>
        </is>
      </c>
      <c r="E1938" s="25" t="inlineStr">
        <is>
          <t>IA-ST-018-EUR-04</t>
        </is>
      </c>
      <c r="F1938" s="25" t="inlineStr">
        <is>
          <t>IA-ST-CFG-0015</t>
        </is>
      </c>
      <c r="G1938" s="25" t="n">
        <v>30.0392</v>
      </c>
      <c r="H1938" s="25" t="inlineStr">
        <is>
          <t>988-pack GENERATED</t>
        </is>
      </c>
    </row>
    <row r="1939">
      <c r="A1939" s="25" t="inlineStr">
        <is>
          <t>1015197</t>
        </is>
      </c>
      <c r="B1939" s="25" t="inlineStr">
        <is>
          <t>AKÜ,B-IGYASMF,DK,185AH,Y7000SHDEXP,GYITA</t>
        </is>
      </c>
      <c r="C1939" s="25" t="inlineStr">
        <is>
          <t>1</t>
        </is>
      </c>
      <c r="D1939" s="25" t="inlineStr">
        <is>
          <t>ST-021-EUR-04</t>
        </is>
      </c>
      <c r="E1939" s="25" t="inlineStr">
        <is>
          <t>IA-ST-021-EUR-04</t>
        </is>
      </c>
      <c r="F1939" s="25" t="inlineStr">
        <is>
          <t>IA-ST-CFG-0030</t>
        </is>
      </c>
      <c r="G1939" s="25" t="n">
        <v>30.0392</v>
      </c>
      <c r="H1939" s="25" t="inlineStr">
        <is>
          <t>988-pack GENERATED</t>
        </is>
      </c>
    </row>
    <row r="1940">
      <c r="A1940" s="25" t="inlineStr">
        <is>
          <t>1015198</t>
        </is>
      </c>
      <c r="B1940" s="25" t="inlineStr">
        <is>
          <t>AKÜ,B-IGYASMF,DK,185AH,Y5000NONAME,GYITA</t>
        </is>
      </c>
      <c r="C1940" s="25" t="inlineStr">
        <is>
          <t>1</t>
        </is>
      </c>
      <c r="D1940" s="25" t="inlineStr">
        <is>
          <t>ST-021-EUR-04</t>
        </is>
      </c>
      <c r="E1940" s="25" t="inlineStr">
        <is>
          <t>IA-ST-021-EUR-04</t>
        </is>
      </c>
      <c r="F1940" s="25" t="inlineStr">
        <is>
          <t>IA-ST-CFG-0030</t>
        </is>
      </c>
      <c r="G1940" s="25" t="n">
        <v>30.0392</v>
      </c>
      <c r="H1940" s="25" t="inlineStr">
        <is>
          <t>988-pack GENERATED</t>
        </is>
      </c>
    </row>
    <row r="1941">
      <c r="A1941" s="25" t="inlineStr">
        <is>
          <t>1015199</t>
        </is>
      </c>
      <c r="B1941" s="25" t="inlineStr">
        <is>
          <t>AKÜ,B-IGYASMF,TK,185AH,Y5000NONAME,GYITA</t>
        </is>
      </c>
      <c r="C1941" s="25" t="inlineStr">
        <is>
          <t>1</t>
        </is>
      </c>
      <c r="D1941" s="25" t="inlineStr">
        <is>
          <t>ST-021-EUR-04</t>
        </is>
      </c>
      <c r="E1941" s="25" t="inlineStr">
        <is>
          <t>IA-ST-021-EUR-04</t>
        </is>
      </c>
      <c r="F1941" s="25" t="inlineStr">
        <is>
          <t>IA-ST-CFG-0030</t>
        </is>
      </c>
      <c r="G1941" s="25" t="n">
        <v>30.0392</v>
      </c>
      <c r="H1941" s="25" t="inlineStr">
        <is>
          <t>988-pack GENERATED</t>
        </is>
      </c>
    </row>
    <row r="1942">
      <c r="A1942" s="25" t="inlineStr">
        <is>
          <t>1015200</t>
        </is>
      </c>
      <c r="B1942" s="25" t="inlineStr">
        <is>
          <t>AKÜ,C-IGYASMF,DK,230AH,Y5000NONAME,GYITA</t>
        </is>
      </c>
      <c r="C1942" s="25" t="inlineStr">
        <is>
          <t>1</t>
        </is>
      </c>
      <c r="D1942" s="25" t="inlineStr">
        <is>
          <t>ST-018-EUR-04</t>
        </is>
      </c>
      <c r="E1942" s="25" t="inlineStr">
        <is>
          <t>IA-ST-018-EUR-04</t>
        </is>
      </c>
      <c r="F1942" s="25" t="inlineStr">
        <is>
          <t>IA-ST-CFG-0015</t>
        </is>
      </c>
      <c r="G1942" s="25" t="n">
        <v>30.0392</v>
      </c>
      <c r="H1942" s="25" t="inlineStr">
        <is>
          <t>988-pack GENERATED</t>
        </is>
      </c>
    </row>
    <row r="1943">
      <c r="A1943" s="25" t="inlineStr">
        <is>
          <t>1015201</t>
        </is>
      </c>
      <c r="B1943" s="25" t="inlineStr">
        <is>
          <t>AKÜ,B-IGYASMF,DK,185AH,Y7000NONAME,GYITA</t>
        </is>
      </c>
      <c r="C1943" s="25" t="inlineStr">
        <is>
          <t>1</t>
        </is>
      </c>
      <c r="D1943" s="25" t="inlineStr">
        <is>
          <t>ST-021-EUR-04</t>
        </is>
      </c>
      <c r="E1943" s="25" t="inlineStr">
        <is>
          <t>IA-ST-021-EUR-04</t>
        </is>
      </c>
      <c r="F1943" s="25" t="inlineStr">
        <is>
          <t>IA-ST-CFG-0030</t>
        </is>
      </c>
      <c r="G1943" s="25" t="n">
        <v>30.0392</v>
      </c>
      <c r="H1943" s="25" t="inlineStr">
        <is>
          <t>988-pack GENERATED</t>
        </is>
      </c>
    </row>
    <row r="1944">
      <c r="A1944" s="25" t="inlineStr">
        <is>
          <t>1015202</t>
        </is>
      </c>
      <c r="B1944" s="25" t="inlineStr">
        <is>
          <t>AKÜ,L1,DK,44AH,IGYA SMF,HUGEL ULTRA</t>
        </is>
      </c>
      <c r="C1944" s="25" t="inlineStr">
        <is>
          <t>1</t>
        </is>
      </c>
      <c r="D1944" s="25" t="inlineStr">
        <is>
          <t>ST-087-STD-03</t>
        </is>
      </c>
      <c r="E1944" s="25" t="inlineStr">
        <is>
          <t>IA-ST-087-STD-03</t>
        </is>
      </c>
      <c r="F1944" s="25" t="inlineStr">
        <is>
          <t>IA-ST-CFG-0248</t>
        </is>
      </c>
      <c r="G1944" s="25" t="n">
        <v>31.0092</v>
      </c>
      <c r="H1944" s="25" t="inlineStr">
        <is>
          <t>988-pack GENERATED</t>
        </is>
      </c>
    </row>
    <row r="1945">
      <c r="A1945" s="29" t="inlineStr">
        <is>
          <t>1015203</t>
        </is>
      </c>
      <c r="B1945" s="29" t="inlineStr">
        <is>
          <t>AKÜ,LB4,DK,80AH,IGYA SMF,MAKO,EXIDE OES</t>
        </is>
      </c>
      <c r="C1945" s="29" t="inlineStr">
        <is>
          <t>1</t>
        </is>
      </c>
      <c r="H1945" s="29" t="inlineStr">
        <is>
          <t>NO MAPPING</t>
        </is>
      </c>
    </row>
    <row r="1946">
      <c r="A1946" s="25" t="inlineStr">
        <is>
          <t>1015205</t>
        </is>
      </c>
      <c r="B1946" s="25" t="inlineStr">
        <is>
          <t>AKÜ,L4,DK,85AH,IGYASMF,YBX3115-085,GYEUR</t>
        </is>
      </c>
      <c r="C1946" s="25" t="inlineStr">
        <is>
          <t>1</t>
        </is>
      </c>
      <c r="D1946" s="25" t="inlineStr">
        <is>
          <t>ST-042-EUR-02</t>
        </is>
      </c>
      <c r="E1946" s="25" t="inlineStr">
        <is>
          <t>IA-ST-042-EUR-02</t>
        </is>
      </c>
      <c r="F1946" s="25" t="inlineStr">
        <is>
          <t>IA-ST-CFG-0085</t>
        </is>
      </c>
      <c r="G1946" s="25" t="n">
        <v>27.926</v>
      </c>
      <c r="H1946" s="25" t="inlineStr">
        <is>
          <t>988-pack GENERATED</t>
        </is>
      </c>
    </row>
    <row r="1947">
      <c r="A1947" s="25" t="inlineStr">
        <is>
          <t>1015206</t>
        </is>
      </c>
      <c r="B1947" s="25" t="inlineStr">
        <is>
          <t>AKÜ,L4,DK,85AH,IGYASMF,YBX7115-085,GYEUR</t>
        </is>
      </c>
      <c r="C1947" s="25" t="inlineStr">
        <is>
          <t>1</t>
        </is>
      </c>
      <c r="D1947" s="25" t="inlineStr">
        <is>
          <t>ST-042-EUR-02</t>
        </is>
      </c>
      <c r="E1947" s="25" t="inlineStr">
        <is>
          <t>IA-ST-042-EUR-02</t>
        </is>
      </c>
      <c r="F1947" s="25" t="inlineStr">
        <is>
          <t>IA-ST-CFG-0085</t>
        </is>
      </c>
      <c r="G1947" s="25" t="n">
        <v>27.926</v>
      </c>
      <c r="H1947" s="25" t="inlineStr">
        <is>
          <t>988-pack GENERATED</t>
        </is>
      </c>
    </row>
    <row r="1948">
      <c r="A1948" s="25" t="inlineStr">
        <is>
          <t>1015209</t>
        </is>
      </c>
      <c r="B1948" s="25" t="inlineStr">
        <is>
          <t>AKÜ,L1,DK,54AH,IGYASMF,YBX5012-054,GYEUR</t>
        </is>
      </c>
      <c r="C1948" s="25" t="inlineStr">
        <is>
          <t>1</t>
        </is>
      </c>
      <c r="D1948" s="25" t="inlineStr">
        <is>
          <t>ST-072-EUR-04</t>
        </is>
      </c>
      <c r="E1948" s="25" t="inlineStr">
        <is>
          <t>IA-ST-072-EUR-04</t>
        </is>
      </c>
      <c r="F1948" s="25" t="inlineStr">
        <is>
          <t>IA-ST-CFG-0209</t>
        </is>
      </c>
      <c r="G1948" s="25" t="n">
        <v>28.366</v>
      </c>
      <c r="H1948" s="25" t="inlineStr">
        <is>
          <t>988-pack GENERATED</t>
        </is>
      </c>
    </row>
    <row r="1949">
      <c r="A1949" s="25" t="inlineStr">
        <is>
          <t>1015210</t>
        </is>
      </c>
      <c r="B1949" s="25" t="inlineStr">
        <is>
          <t>AKÜ,L1,DK,54AH,IGYASMF,HAL5012-054,GYEUR</t>
        </is>
      </c>
      <c r="C1949" s="25" t="inlineStr">
        <is>
          <t>1</t>
        </is>
      </c>
      <c r="D1949" s="25" t="inlineStr">
        <is>
          <t>ST-072-EUR-04</t>
        </is>
      </c>
      <c r="E1949" s="25" t="inlineStr">
        <is>
          <t>IA-ST-072-EUR-04</t>
        </is>
      </c>
      <c r="F1949" s="25" t="inlineStr">
        <is>
          <t>IA-ST-CFG-0209</t>
        </is>
      </c>
      <c r="G1949" s="25" t="n">
        <v>28.366</v>
      </c>
      <c r="H1949" s="25" t="inlineStr">
        <is>
          <t>988-pack GENERATED</t>
        </is>
      </c>
    </row>
    <row r="1950">
      <c r="A1950" s="25" t="inlineStr">
        <is>
          <t>1015211</t>
        </is>
      </c>
      <c r="B1950" s="25" t="inlineStr">
        <is>
          <t>AKÜ,L1,DK,54AH,IGYA,NONAME,5012-054GYEUR</t>
        </is>
      </c>
      <c r="C1950" s="25" t="inlineStr">
        <is>
          <t>1</t>
        </is>
      </c>
      <c r="D1950" s="25" t="inlineStr">
        <is>
          <t>ST-072-EUR-04</t>
        </is>
      </c>
      <c r="E1950" s="25" t="inlineStr">
        <is>
          <t>IA-ST-072-EUR-04</t>
        </is>
      </c>
      <c r="F1950" s="25" t="inlineStr">
        <is>
          <t>IA-ST-CFG-0209</t>
        </is>
      </c>
      <c r="G1950" s="25" t="n">
        <v>28.366</v>
      </c>
      <c r="H1950" s="25" t="inlineStr">
        <is>
          <t>988-pack GENERATED</t>
        </is>
      </c>
    </row>
    <row r="1951">
      <c r="A1951" s="25" t="inlineStr">
        <is>
          <t>1015212</t>
        </is>
      </c>
      <c r="B1951" s="25" t="inlineStr">
        <is>
          <t>AKÜ,L2,DK,65AH,IGYASMF,YBX5027-065,GYEUR</t>
        </is>
      </c>
      <c r="C1951" s="25" t="inlineStr">
        <is>
          <t>1</t>
        </is>
      </c>
      <c r="D1951" s="25" t="inlineStr">
        <is>
          <t>ST-057-EUR-03</t>
        </is>
      </c>
      <c r="E1951" s="25" t="inlineStr">
        <is>
          <t>IA-ST-057-EUR-03</t>
        </is>
      </c>
      <c r="F1951" s="25" t="inlineStr">
        <is>
          <t>IA-ST-CFG-0162</t>
        </is>
      </c>
      <c r="G1951" s="25" t="n">
        <v>27.926</v>
      </c>
      <c r="H1951" s="25" t="inlineStr">
        <is>
          <t>988-pack GENERATED</t>
        </is>
      </c>
    </row>
    <row r="1952">
      <c r="A1952" s="25" t="inlineStr">
        <is>
          <t>1015213</t>
        </is>
      </c>
      <c r="B1952" s="25" t="inlineStr">
        <is>
          <t>AKÜ,L2,DK,65AH,IGYASMF,HAL5027-065,GYEUR</t>
        </is>
      </c>
      <c r="C1952" s="25" t="inlineStr">
        <is>
          <t>1</t>
        </is>
      </c>
      <c r="D1952" s="25" t="inlineStr">
        <is>
          <t>ST-057-EUR-03</t>
        </is>
      </c>
      <c r="E1952" s="25" t="inlineStr">
        <is>
          <t>IA-ST-057-EUR-03</t>
        </is>
      </c>
      <c r="F1952" s="25" t="inlineStr">
        <is>
          <t>IA-ST-CFG-0162</t>
        </is>
      </c>
      <c r="G1952" s="25" t="n">
        <v>27.926</v>
      </c>
      <c r="H1952" s="25" t="inlineStr">
        <is>
          <t>988-pack GENERATED</t>
        </is>
      </c>
    </row>
    <row r="1953">
      <c r="A1953" s="25" t="inlineStr">
        <is>
          <t>1015214</t>
        </is>
      </c>
      <c r="B1953" s="25" t="inlineStr">
        <is>
          <t>AKÜ,L2,DK,65AH,IGYA,NONAME,5027-065GYEUR</t>
        </is>
      </c>
      <c r="C1953" s="25" t="inlineStr">
        <is>
          <t>1</t>
        </is>
      </c>
      <c r="D1953" s="25" t="inlineStr">
        <is>
          <t>ST-057-EUR-03</t>
        </is>
      </c>
      <c r="E1953" s="25" t="inlineStr">
        <is>
          <t>IA-ST-057-EUR-03</t>
        </is>
      </c>
      <c r="F1953" s="25" t="inlineStr">
        <is>
          <t>IA-ST-CFG-0162</t>
        </is>
      </c>
      <c r="G1953" s="25" t="n">
        <v>27.926</v>
      </c>
      <c r="H1953" s="25" t="inlineStr">
        <is>
          <t>988-pack GENERATED</t>
        </is>
      </c>
    </row>
    <row r="1954">
      <c r="A1954" s="25" t="inlineStr">
        <is>
          <t>1015215</t>
        </is>
      </c>
      <c r="B1954" s="25" t="inlineStr">
        <is>
          <t>AKÜ,L2,DK,65AH,IGYASMF,ADN5027-065,GYNRD</t>
        </is>
      </c>
      <c r="C1954" s="25" t="inlineStr">
        <is>
          <t>1</t>
        </is>
      </c>
      <c r="D1954" s="25" t="inlineStr">
        <is>
          <t>ST-057-EUR-03</t>
        </is>
      </c>
      <c r="E1954" s="25" t="inlineStr">
        <is>
          <t>IA-ST-057-EUR-03</t>
        </is>
      </c>
      <c r="F1954" s="25" t="inlineStr">
        <is>
          <t>IA-ST-CFG-0162</t>
        </is>
      </c>
      <c r="G1954" s="25" t="n">
        <v>27.926</v>
      </c>
      <c r="H1954" s="25" t="inlineStr">
        <is>
          <t>988-pack GENERATED</t>
        </is>
      </c>
    </row>
    <row r="1955">
      <c r="A1955" s="25" t="inlineStr">
        <is>
          <t>1015216</t>
        </is>
      </c>
      <c r="B1955" s="25" t="inlineStr">
        <is>
          <t>AKÜ,L3,DK,80AH,IGYASMF,YBX5096-080,GYEUR</t>
        </is>
      </c>
      <c r="C1955" s="25" t="inlineStr">
        <is>
          <t>1</t>
        </is>
      </c>
      <c r="D1955" s="25" t="inlineStr">
        <is>
          <t>ST-048-EUR-07</t>
        </is>
      </c>
      <c r="E1955" s="25" t="inlineStr">
        <is>
          <t>IA-ST-048-EUR-07</t>
        </is>
      </c>
      <c r="F1955" s="25" t="inlineStr">
        <is>
          <t>IA-ST-CFG-0113</t>
        </is>
      </c>
      <c r="G1955" s="25" t="n">
        <v>27.926</v>
      </c>
      <c r="H1955" s="25" t="inlineStr">
        <is>
          <t>988-pack GENERATED</t>
        </is>
      </c>
    </row>
    <row r="1956">
      <c r="A1956" s="25" t="inlineStr">
        <is>
          <t>1015217</t>
        </is>
      </c>
      <c r="B1956" s="25" t="inlineStr">
        <is>
          <t>AKÜ,L3,DK,80AH,IGYASMF,HAL5096-080,GYEUR</t>
        </is>
      </c>
      <c r="C1956" s="25" t="inlineStr">
        <is>
          <t>1</t>
        </is>
      </c>
      <c r="D1956" s="25" t="inlineStr">
        <is>
          <t>ST-048-EUR-07</t>
        </is>
      </c>
      <c r="E1956" s="25" t="inlineStr">
        <is>
          <t>IA-ST-048-EUR-07</t>
        </is>
      </c>
      <c r="F1956" s="25" t="inlineStr">
        <is>
          <t>IA-ST-CFG-0113</t>
        </is>
      </c>
      <c r="G1956" s="25" t="n">
        <v>27.926</v>
      </c>
      <c r="H1956" s="25" t="inlineStr">
        <is>
          <t>988-pack GENERATED</t>
        </is>
      </c>
    </row>
    <row r="1957">
      <c r="A1957" s="25" t="inlineStr">
        <is>
          <t>1015218</t>
        </is>
      </c>
      <c r="B1957" s="25" t="inlineStr">
        <is>
          <t>AKÜ,L3,DK,80AH,IGYA,NONAME,5096-080GYEUR</t>
        </is>
      </c>
      <c r="C1957" s="25" t="inlineStr">
        <is>
          <t>1</t>
        </is>
      </c>
      <c r="D1957" s="25" t="inlineStr">
        <is>
          <t>ST-048-EUR-07</t>
        </is>
      </c>
      <c r="E1957" s="25" t="inlineStr">
        <is>
          <t>IA-ST-048-EUR-07</t>
        </is>
      </c>
      <c r="F1957" s="25" t="inlineStr">
        <is>
          <t>IA-ST-CFG-0113</t>
        </is>
      </c>
      <c r="G1957" s="25" t="n">
        <v>27.926</v>
      </c>
      <c r="H1957" s="25" t="inlineStr">
        <is>
          <t>988-pack GENERATED</t>
        </is>
      </c>
    </row>
    <row r="1958">
      <c r="A1958" s="25" t="inlineStr">
        <is>
          <t>1015219</t>
        </is>
      </c>
      <c r="B1958" s="25" t="inlineStr">
        <is>
          <t>AKÜ,L3,DK,80AH,IGYASMF,ADN5096-080,GYNRD</t>
        </is>
      </c>
      <c r="C1958" s="25" t="inlineStr">
        <is>
          <t>1</t>
        </is>
      </c>
      <c r="D1958" s="25" t="inlineStr">
        <is>
          <t>ST-048-EUR-07</t>
        </is>
      </c>
      <c r="E1958" s="25" t="inlineStr">
        <is>
          <t>IA-ST-048-EUR-07</t>
        </is>
      </c>
      <c r="F1958" s="25" t="inlineStr">
        <is>
          <t>IA-ST-CFG-0113</t>
        </is>
      </c>
      <c r="G1958" s="25" t="n">
        <v>27.926</v>
      </c>
      <c r="H1958" s="25" t="inlineStr">
        <is>
          <t>988-pack GENERATED</t>
        </is>
      </c>
    </row>
    <row r="1959">
      <c r="A1959" s="25" t="inlineStr">
        <is>
          <t>1015220</t>
        </is>
      </c>
      <c r="B1959" s="25" t="inlineStr">
        <is>
          <t>AKÜ,LB3,DK75AH,IGYASMF,YBX5100-075,GYEUR</t>
        </is>
      </c>
      <c r="C1959" s="25" t="inlineStr">
        <is>
          <t>1</t>
        </is>
      </c>
      <c r="D1959" s="25" t="inlineStr">
        <is>
          <t>ST-051-EUR-01</t>
        </is>
      </c>
      <c r="E1959" s="25" t="inlineStr">
        <is>
          <t>IA-ST-051-EUR-01</t>
        </is>
      </c>
      <c r="F1959" s="25" t="inlineStr">
        <is>
          <t>IA-ST-CFG-0132</t>
        </is>
      </c>
      <c r="G1959" s="25" t="n">
        <v>27.926</v>
      </c>
      <c r="H1959" s="25" t="inlineStr">
        <is>
          <t>988-pack GENERATED</t>
        </is>
      </c>
    </row>
    <row r="1960">
      <c r="A1960" s="25" t="inlineStr">
        <is>
          <t>1015221</t>
        </is>
      </c>
      <c r="B1960" s="25" t="inlineStr">
        <is>
          <t>AKÜ,LB3,DK75AH,IGYA,NONAME,5100-075GYEUR</t>
        </is>
      </c>
      <c r="C1960" s="25" t="inlineStr">
        <is>
          <t>1</t>
        </is>
      </c>
      <c r="D1960" s="25" t="inlineStr">
        <is>
          <t>ST-051-EUR-01</t>
        </is>
      </c>
      <c r="E1960" s="25" t="inlineStr">
        <is>
          <t>IA-ST-051-EUR-01</t>
        </is>
      </c>
      <c r="F1960" s="25" t="inlineStr">
        <is>
          <t>IA-ST-CFG-0132</t>
        </is>
      </c>
      <c r="G1960" s="25" t="n">
        <v>27.926</v>
      </c>
      <c r="H1960" s="25" t="inlineStr">
        <is>
          <t>988-pack GENERATED</t>
        </is>
      </c>
    </row>
    <row r="1961">
      <c r="A1961" s="25" t="inlineStr">
        <is>
          <t>1015222</t>
        </is>
      </c>
      <c r="B1961" s="25" t="inlineStr">
        <is>
          <t>AKÜ,LB3,DK,75AH,IGYA,HAL5100-075,GYEUR</t>
        </is>
      </c>
      <c r="C1961" s="25" t="inlineStr">
        <is>
          <t>1</t>
        </is>
      </c>
      <c r="D1961" s="25" t="inlineStr">
        <is>
          <t>ST-051-EUR-01</t>
        </is>
      </c>
      <c r="E1961" s="25" t="inlineStr">
        <is>
          <t>IA-ST-051-EUR-01</t>
        </is>
      </c>
      <c r="F1961" s="25" t="inlineStr">
        <is>
          <t>IA-ST-CFG-0132</t>
        </is>
      </c>
      <c r="G1961" s="25" t="n">
        <v>27.926</v>
      </c>
      <c r="H1961" s="25" t="inlineStr">
        <is>
          <t>988-pack GENERATED</t>
        </is>
      </c>
    </row>
    <row r="1962">
      <c r="A1962" s="25" t="inlineStr">
        <is>
          <t>1015223</t>
        </is>
      </c>
      <c r="B1962" s="25" t="inlineStr">
        <is>
          <t>AKÜ,L4,DK,90AH,IGYASMF,YBX5115-090,GYEUR</t>
        </is>
      </c>
      <c r="C1962" s="25" t="inlineStr">
        <is>
          <t>1</t>
        </is>
      </c>
      <c r="D1962" s="25" t="inlineStr">
        <is>
          <t>ST-042-EUR-02</t>
        </is>
      </c>
      <c r="E1962" s="25" t="inlineStr">
        <is>
          <t>IA-ST-042-EUR-02</t>
        </is>
      </c>
      <c r="F1962" s="25" t="inlineStr">
        <is>
          <t>IA-ST-CFG-0085</t>
        </is>
      </c>
      <c r="G1962" s="25" t="n">
        <v>27.926</v>
      </c>
      <c r="H1962" s="25" t="inlineStr">
        <is>
          <t>988-pack GENERATED</t>
        </is>
      </c>
    </row>
    <row r="1963">
      <c r="A1963" s="25" t="inlineStr">
        <is>
          <t>1015224</t>
        </is>
      </c>
      <c r="B1963" s="25" t="inlineStr">
        <is>
          <t>AKÜ,L4,TK,90AH,IGYASMF,YBX5116-090,GYEUR</t>
        </is>
      </c>
      <c r="C1963" s="25" t="inlineStr">
        <is>
          <t>1</t>
        </is>
      </c>
      <c r="D1963" s="25" t="inlineStr">
        <is>
          <t>ST-042-EUR-02</t>
        </is>
      </c>
      <c r="E1963" s="25" t="inlineStr">
        <is>
          <t>IA-ST-042-EUR-02</t>
        </is>
      </c>
      <c r="F1963" s="25" t="inlineStr">
        <is>
          <t>IA-ST-CFG-0085</t>
        </is>
      </c>
      <c r="G1963" s="25" t="n">
        <v>27.926</v>
      </c>
      <c r="H1963" s="25" t="inlineStr">
        <is>
          <t>988-pack GENERATED</t>
        </is>
      </c>
    </row>
    <row r="1964">
      <c r="A1964" s="25" t="inlineStr">
        <is>
          <t>1015225</t>
        </is>
      </c>
      <c r="B1964" s="25" t="inlineStr">
        <is>
          <t>AKÜ,L4,DK,90AH,IGYA,NONAME,5115-090GYEUR</t>
        </is>
      </c>
      <c r="C1964" s="25" t="inlineStr">
        <is>
          <t>1</t>
        </is>
      </c>
      <c r="D1964" s="25" t="inlineStr">
        <is>
          <t>ST-042-EUR-02</t>
        </is>
      </c>
      <c r="E1964" s="25" t="inlineStr">
        <is>
          <t>IA-ST-042-EUR-02</t>
        </is>
      </c>
      <c r="F1964" s="25" t="inlineStr">
        <is>
          <t>IA-ST-CFG-0085</t>
        </is>
      </c>
      <c r="G1964" s="25" t="n">
        <v>27.926</v>
      </c>
      <c r="H1964" s="25" t="inlineStr">
        <is>
          <t>988-pack GENERATED</t>
        </is>
      </c>
    </row>
    <row r="1965">
      <c r="A1965" s="25" t="inlineStr">
        <is>
          <t>1015226</t>
        </is>
      </c>
      <c r="B1965" s="25" t="inlineStr">
        <is>
          <t>AKÜ,LB4,DK,85AH,IGYA,YBX5110-085,GYEUR</t>
        </is>
      </c>
      <c r="C1965" s="25" t="inlineStr">
        <is>
          <t>1</t>
        </is>
      </c>
      <c r="D1965" s="25" t="inlineStr">
        <is>
          <t>ST-042-EUR-02</t>
        </is>
      </c>
      <c r="E1965" s="25" t="inlineStr">
        <is>
          <t>IA-ST-042-EUR-02</t>
        </is>
      </c>
      <c r="F1965" s="25" t="inlineStr">
        <is>
          <t>IA-ST-CFG-0085</t>
        </is>
      </c>
      <c r="G1965" s="25" t="n">
        <v>27.926</v>
      </c>
      <c r="H1965" s="25" t="inlineStr">
        <is>
          <t>988-pack GENERATED</t>
        </is>
      </c>
    </row>
    <row r="1966">
      <c r="A1966" s="25" t="inlineStr">
        <is>
          <t>1015227</t>
        </is>
      </c>
      <c r="B1966" s="25" t="inlineStr">
        <is>
          <t>AKÜ,LB4,DK,85AH,IGYA,HAL5110-085,GYEUR</t>
        </is>
      </c>
      <c r="C1966" s="25" t="inlineStr">
        <is>
          <t>1</t>
        </is>
      </c>
      <c r="D1966" s="25" t="inlineStr">
        <is>
          <t>ST-042-EUR-02</t>
        </is>
      </c>
      <c r="E1966" s="25" t="inlineStr">
        <is>
          <t>IA-ST-042-EUR-02</t>
        </is>
      </c>
      <c r="F1966" s="25" t="inlineStr">
        <is>
          <t>IA-ST-CFG-0085</t>
        </is>
      </c>
      <c r="G1966" s="25" t="n">
        <v>27.926</v>
      </c>
      <c r="H1966" s="25" t="inlineStr">
        <is>
          <t>988-pack GENERATED</t>
        </is>
      </c>
    </row>
    <row r="1967">
      <c r="A1967" s="25" t="inlineStr">
        <is>
          <t>1015228</t>
        </is>
      </c>
      <c r="B1967" s="25" t="inlineStr">
        <is>
          <t>AKÜ,LB4,DK85AH,IGYA,NONAME,5110-085GYEUR</t>
        </is>
      </c>
      <c r="C1967" s="25" t="inlineStr">
        <is>
          <t>1</t>
        </is>
      </c>
      <c r="D1967" s="25" t="inlineStr">
        <is>
          <t>ST-042-EUR-02</t>
        </is>
      </c>
      <c r="E1967" s="25" t="inlineStr">
        <is>
          <t>IA-ST-042-EUR-02</t>
        </is>
      </c>
      <c r="F1967" s="25" t="inlineStr">
        <is>
          <t>IA-ST-CFG-0085</t>
        </is>
      </c>
      <c r="G1967" s="25" t="n">
        <v>27.926</v>
      </c>
      <c r="H1967" s="25" t="inlineStr">
        <is>
          <t>988-pack GENERATED</t>
        </is>
      </c>
    </row>
    <row r="1968">
      <c r="A1968" s="25" t="inlineStr">
        <is>
          <t>1015229</t>
        </is>
      </c>
      <c r="B1968" s="25" t="inlineStr">
        <is>
          <t>AKÜ,L5,DK,100AH,IGYA,YBX5019-100,GYEUR</t>
        </is>
      </c>
      <c r="C1968" s="25" t="inlineStr">
        <is>
          <t>1</t>
        </is>
      </c>
      <c r="D1968" s="25" t="inlineStr">
        <is>
          <t>ST-036-EUR-04</t>
        </is>
      </c>
      <c r="E1968" s="25" t="inlineStr">
        <is>
          <t>IA-ST-036-EUR-04</t>
        </is>
      </c>
      <c r="F1968" s="25" t="inlineStr">
        <is>
          <t>IA-ST-CFG-0068</t>
        </is>
      </c>
      <c r="G1968" s="25" t="n">
        <v>27.926</v>
      </c>
      <c r="H1968" s="25" t="inlineStr">
        <is>
          <t>988-pack GENERATED</t>
        </is>
      </c>
    </row>
    <row r="1969">
      <c r="A1969" s="25" t="inlineStr">
        <is>
          <t>1015230</t>
        </is>
      </c>
      <c r="B1969" s="25" t="inlineStr">
        <is>
          <t>AKÜ,L5,DK,100AH,IGYA,HAL5019-100,GYEUR</t>
        </is>
      </c>
      <c r="C1969" s="25" t="inlineStr">
        <is>
          <t>1</t>
        </is>
      </c>
      <c r="D1969" s="25" t="inlineStr">
        <is>
          <t>ST-036-EUR-04</t>
        </is>
      </c>
      <c r="E1969" s="25" t="inlineStr">
        <is>
          <t>IA-ST-036-EUR-04</t>
        </is>
      </c>
      <c r="F1969" s="25" t="inlineStr">
        <is>
          <t>IA-ST-CFG-0068</t>
        </is>
      </c>
      <c r="G1969" s="25" t="n">
        <v>27.926</v>
      </c>
      <c r="H1969" s="25" t="inlineStr">
        <is>
          <t>988-pack GENERATED</t>
        </is>
      </c>
    </row>
    <row r="1970">
      <c r="A1970" s="25" t="inlineStr">
        <is>
          <t>1015231</t>
        </is>
      </c>
      <c r="B1970" s="25" t="inlineStr">
        <is>
          <t>AKÜ,L5,DK100AH,IGYA,NONAME,5019-100GYEUR</t>
        </is>
      </c>
      <c r="C1970" s="25" t="inlineStr">
        <is>
          <t>1</t>
        </is>
      </c>
      <c r="D1970" s="25" t="inlineStr">
        <is>
          <t>ST-036-EUR-04</t>
        </is>
      </c>
      <c r="E1970" s="25" t="inlineStr">
        <is>
          <t>IA-ST-036-EUR-04</t>
        </is>
      </c>
      <c r="F1970" s="25" t="inlineStr">
        <is>
          <t>IA-ST-CFG-0068</t>
        </is>
      </c>
      <c r="G1970" s="25" t="n">
        <v>27.926</v>
      </c>
      <c r="H1970" s="25" t="inlineStr">
        <is>
          <t>988-pack GENERATED</t>
        </is>
      </c>
    </row>
    <row r="1971">
      <c r="A1971" s="25" t="inlineStr">
        <is>
          <t>1015232</t>
        </is>
      </c>
      <c r="B1971" s="25" t="inlineStr">
        <is>
          <t>AKÜ,L2,DK,65AH,IGYASMF,YBX7027-065,GYEUR</t>
        </is>
      </c>
      <c r="C1971" s="25" t="inlineStr">
        <is>
          <t>1</t>
        </is>
      </c>
      <c r="D1971" s="25" t="inlineStr">
        <is>
          <t>ST-057-EUR-03</t>
        </is>
      </c>
      <c r="E1971" s="25" t="inlineStr">
        <is>
          <t>IA-ST-057-EUR-03</t>
        </is>
      </c>
      <c r="F1971" s="25" t="inlineStr">
        <is>
          <t>IA-ST-CFG-0162</t>
        </is>
      </c>
      <c r="G1971" s="25" t="n">
        <v>27.926</v>
      </c>
      <c r="H1971" s="25" t="inlineStr">
        <is>
          <t>988-pack GENERATED</t>
        </is>
      </c>
    </row>
    <row r="1972">
      <c r="A1972" s="25" t="inlineStr">
        <is>
          <t>1015233</t>
        </is>
      </c>
      <c r="B1972" s="25" t="inlineStr">
        <is>
          <t>AKÜ,L2,DK,65AH,IGYA,NONAME,7027-065GYEUR</t>
        </is>
      </c>
      <c r="C1972" s="25" t="inlineStr">
        <is>
          <t>1</t>
        </is>
      </c>
      <c r="D1972" s="25" t="inlineStr">
        <is>
          <t>ST-057-EUR-03</t>
        </is>
      </c>
      <c r="E1972" s="25" t="inlineStr">
        <is>
          <t>IA-ST-057-EUR-03</t>
        </is>
      </c>
      <c r="F1972" s="25" t="inlineStr">
        <is>
          <t>IA-ST-CFG-0162</t>
        </is>
      </c>
      <c r="G1972" s="25" t="n">
        <v>27.926</v>
      </c>
      <c r="H1972" s="25" t="inlineStr">
        <is>
          <t>988-pack GENERATED</t>
        </is>
      </c>
    </row>
    <row r="1973">
      <c r="A1973" s="25" t="inlineStr">
        <is>
          <t>1015234</t>
        </is>
      </c>
      <c r="B1973" s="25" t="inlineStr">
        <is>
          <t>AKÜ,L2,DK,65AH,IGYASMF,HEB7027-065,GYEUR</t>
        </is>
      </c>
      <c r="C1973" s="25" t="inlineStr">
        <is>
          <t>1</t>
        </is>
      </c>
      <c r="D1973" s="25" t="inlineStr">
        <is>
          <t>ST-057-EUR-03</t>
        </is>
      </c>
      <c r="E1973" s="25" t="inlineStr">
        <is>
          <t>IA-ST-057-EUR-03</t>
        </is>
      </c>
      <c r="F1973" s="25" t="inlineStr">
        <is>
          <t>IA-ST-CFG-0162</t>
        </is>
      </c>
      <c r="G1973" s="25" t="n">
        <v>27.926</v>
      </c>
      <c r="H1973" s="25" t="inlineStr">
        <is>
          <t>988-pack GENERATED</t>
        </is>
      </c>
    </row>
    <row r="1974">
      <c r="A1974" s="25" t="inlineStr">
        <is>
          <t>1015235</t>
        </is>
      </c>
      <c r="B1974" s="25" t="inlineStr">
        <is>
          <t>AKÜ,L3,DK,75AH,IGYASMF,YBX7096-075,GYEUR</t>
        </is>
      </c>
      <c r="C1974" s="25" t="inlineStr">
        <is>
          <t>1</t>
        </is>
      </c>
      <c r="D1974" s="25" t="inlineStr">
        <is>
          <t>ST-045-EUR-01</t>
        </is>
      </c>
      <c r="E1974" s="25" t="inlineStr">
        <is>
          <t>IA-ST-045-EUR-01</t>
        </is>
      </c>
      <c r="F1974" s="25" t="inlineStr">
        <is>
          <t>IA-ST-CFG-0103</t>
        </is>
      </c>
      <c r="G1974" s="25" t="n">
        <v>27.926</v>
      </c>
      <c r="H1974" s="25" t="inlineStr">
        <is>
          <t>988-pack GENERATED</t>
        </is>
      </c>
    </row>
    <row r="1975">
      <c r="A1975" s="25" t="inlineStr">
        <is>
          <t>1015236</t>
        </is>
      </c>
      <c r="B1975" s="25" t="inlineStr">
        <is>
          <t>AKÜ,L3,DK,75AH,IGYA,NONAME,7096-075GYEUR</t>
        </is>
      </c>
      <c r="C1975" s="25" t="inlineStr">
        <is>
          <t>1</t>
        </is>
      </c>
      <c r="D1975" s="25" t="inlineStr">
        <is>
          <t>ST-045-EUR-01</t>
        </is>
      </c>
      <c r="E1975" s="25" t="inlineStr">
        <is>
          <t>IA-ST-045-EUR-01</t>
        </is>
      </c>
      <c r="F1975" s="25" t="inlineStr">
        <is>
          <t>IA-ST-CFG-0103</t>
        </is>
      </c>
      <c r="G1975" s="25" t="n">
        <v>27.926</v>
      </c>
      <c r="H1975" s="25" t="inlineStr">
        <is>
          <t>988-pack GENERATED</t>
        </is>
      </c>
    </row>
    <row r="1976">
      <c r="A1976" s="25" t="inlineStr">
        <is>
          <t>1015237</t>
        </is>
      </c>
      <c r="B1976" s="25" t="inlineStr">
        <is>
          <t>AKÜ,L3,DK,75AH,IGYASMF,HEB7096-075,GYEUR</t>
        </is>
      </c>
      <c r="C1976" s="25" t="inlineStr">
        <is>
          <t>1</t>
        </is>
      </c>
      <c r="D1976" s="25" t="inlineStr">
        <is>
          <t>ST-045-EUR-01</t>
        </is>
      </c>
      <c r="E1976" s="25" t="inlineStr">
        <is>
          <t>IA-ST-045-EUR-01</t>
        </is>
      </c>
      <c r="F1976" s="25" t="inlineStr">
        <is>
          <t>IA-ST-CFG-0103</t>
        </is>
      </c>
      <c r="G1976" s="25" t="n">
        <v>27.926</v>
      </c>
      <c r="H1976" s="25" t="inlineStr">
        <is>
          <t>988-pack GENERATED</t>
        </is>
      </c>
    </row>
    <row r="1977">
      <c r="A1977" s="25" t="inlineStr">
        <is>
          <t>1015238</t>
        </is>
      </c>
      <c r="B1977" s="25" t="inlineStr">
        <is>
          <t>AKÜ,LB3,DK65AH,IGYA,NONAME,7100-065GYEUR</t>
        </is>
      </c>
      <c r="C1977" s="25" t="inlineStr">
        <is>
          <t>1</t>
        </is>
      </c>
      <c r="D1977" s="25" t="inlineStr">
        <is>
          <t>ST-051-EUR-01</t>
        </is>
      </c>
      <c r="E1977" s="25" t="inlineStr">
        <is>
          <t>IA-ST-051-EUR-01</t>
        </is>
      </c>
      <c r="F1977" s="25" t="inlineStr">
        <is>
          <t>IA-ST-CFG-0132</t>
        </is>
      </c>
      <c r="G1977" s="25" t="n">
        <v>27.926</v>
      </c>
      <c r="H1977" s="25" t="inlineStr">
        <is>
          <t>988-pack GENERATED</t>
        </is>
      </c>
    </row>
    <row r="1978">
      <c r="A1978" s="25" t="inlineStr">
        <is>
          <t>1015239</t>
        </is>
      </c>
      <c r="B1978" s="25" t="inlineStr">
        <is>
          <t>AKÜ,LB3,DK,65AH,IGYA,YBX7100-065,GYEUR</t>
        </is>
      </c>
      <c r="C1978" s="25" t="inlineStr">
        <is>
          <t>1</t>
        </is>
      </c>
      <c r="D1978" s="25" t="inlineStr">
        <is>
          <t>ST-051-EUR-01</t>
        </is>
      </c>
      <c r="E1978" s="25" t="inlineStr">
        <is>
          <t>IA-ST-051-EUR-01</t>
        </is>
      </c>
      <c r="F1978" s="25" t="inlineStr">
        <is>
          <t>IA-ST-CFG-0132</t>
        </is>
      </c>
      <c r="G1978" s="25" t="n">
        <v>27.926</v>
      </c>
      <c r="H1978" s="25" t="inlineStr">
        <is>
          <t>988-pack GENERATED</t>
        </is>
      </c>
    </row>
    <row r="1979">
      <c r="A1979" s="25" t="inlineStr">
        <is>
          <t>1015240</t>
        </is>
      </c>
      <c r="B1979" s="25" t="inlineStr">
        <is>
          <t>AKÜ,LB3,DK,65AH,IGYA,HEB7100-065,GYEUR</t>
        </is>
      </c>
      <c r="C1979" s="25" t="inlineStr">
        <is>
          <t>1</t>
        </is>
      </c>
      <c r="D1979" s="25" t="inlineStr">
        <is>
          <t>ST-051-EUR-01</t>
        </is>
      </c>
      <c r="E1979" s="25" t="inlineStr">
        <is>
          <t>IA-ST-051-EUR-01</t>
        </is>
      </c>
      <c r="F1979" s="25" t="inlineStr">
        <is>
          <t>IA-ST-CFG-0132</t>
        </is>
      </c>
      <c r="G1979" s="25" t="n">
        <v>27.926</v>
      </c>
      <c r="H1979" s="25" t="inlineStr">
        <is>
          <t>988-pack GENERATED</t>
        </is>
      </c>
    </row>
    <row r="1980">
      <c r="A1980" s="25" t="inlineStr">
        <is>
          <t>1015241</t>
        </is>
      </c>
      <c r="B1980" s="25" t="inlineStr">
        <is>
          <t>AKÜ,LB4,DK75AH,IGYA,NONAME,7110-075GYEUR</t>
        </is>
      </c>
      <c r="C1980" s="25" t="inlineStr">
        <is>
          <t>1</t>
        </is>
      </c>
      <c r="D1980" s="25" t="inlineStr">
        <is>
          <t>ST-042-EUR-02</t>
        </is>
      </c>
      <c r="E1980" s="25" t="inlineStr">
        <is>
          <t>IA-ST-042-EUR-02</t>
        </is>
      </c>
      <c r="F1980" s="25" t="inlineStr">
        <is>
          <t>IA-ST-CFG-0085</t>
        </is>
      </c>
      <c r="G1980" s="25" t="n">
        <v>27.926</v>
      </c>
      <c r="H1980" s="25" t="inlineStr">
        <is>
          <t>988-pack GENERATED</t>
        </is>
      </c>
    </row>
    <row r="1981">
      <c r="A1981" s="25" t="inlineStr">
        <is>
          <t>1015242</t>
        </is>
      </c>
      <c r="B1981" s="25" t="inlineStr">
        <is>
          <t>AKÜ,LB4,DK,75AH,IGYA,YBX7110-075,GYEUR</t>
        </is>
      </c>
      <c r="C1981" s="25" t="inlineStr">
        <is>
          <t>1</t>
        </is>
      </c>
      <c r="D1981" s="25" t="inlineStr">
        <is>
          <t>ST-042-EUR-02</t>
        </is>
      </c>
      <c r="E1981" s="25" t="inlineStr">
        <is>
          <t>IA-ST-042-EUR-02</t>
        </is>
      </c>
      <c r="F1981" s="25" t="inlineStr">
        <is>
          <t>IA-ST-CFG-0085</t>
        </is>
      </c>
      <c r="G1981" s="25" t="n">
        <v>27.926</v>
      </c>
      <c r="H1981" s="25" t="inlineStr">
        <is>
          <t>988-pack GENERATED</t>
        </is>
      </c>
    </row>
    <row r="1982">
      <c r="A1982" s="25" t="inlineStr">
        <is>
          <t>1015243</t>
        </is>
      </c>
      <c r="B1982" s="25" t="inlineStr">
        <is>
          <t>AKÜ,LB4,DK,75AH,IGYA,HEB7110-075,GYEUR</t>
        </is>
      </c>
      <c r="C1982" s="25" t="inlineStr">
        <is>
          <t>1</t>
        </is>
      </c>
      <c r="D1982" s="25" t="inlineStr">
        <is>
          <t>ST-042-EUR-02</t>
        </is>
      </c>
      <c r="E1982" s="25" t="inlineStr">
        <is>
          <t>IA-ST-042-EUR-02</t>
        </is>
      </c>
      <c r="F1982" s="25" t="inlineStr">
        <is>
          <t>IA-ST-CFG-0085</t>
        </is>
      </c>
      <c r="G1982" s="25" t="n">
        <v>27.926</v>
      </c>
      <c r="H1982" s="25" t="inlineStr">
        <is>
          <t>988-pack GENERATED</t>
        </is>
      </c>
    </row>
    <row r="1983">
      <c r="A1983" s="25" t="inlineStr">
        <is>
          <t>1015244</t>
        </is>
      </c>
      <c r="B1983" s="25" t="inlineStr">
        <is>
          <t>AKÜ,L5,DK,100AH,IGYSMF,YBX7019-100,GYEUR</t>
        </is>
      </c>
      <c r="C1983" s="25" t="inlineStr">
        <is>
          <t>1</t>
        </is>
      </c>
      <c r="D1983" s="25" t="inlineStr">
        <is>
          <t>ST-036-EUR-04</t>
        </is>
      </c>
      <c r="E1983" s="25" t="inlineStr">
        <is>
          <t>IA-ST-036-EUR-04</t>
        </is>
      </c>
      <c r="F1983" s="25" t="inlineStr">
        <is>
          <t>IA-ST-CFG-0068</t>
        </is>
      </c>
      <c r="G1983" s="25" t="n">
        <v>27.926</v>
      </c>
      <c r="H1983" s="25" t="inlineStr">
        <is>
          <t>988-pack GENERATED</t>
        </is>
      </c>
    </row>
    <row r="1984">
      <c r="A1984" s="25" t="inlineStr">
        <is>
          <t>1015245</t>
        </is>
      </c>
      <c r="B1984" s="25" t="inlineStr">
        <is>
          <t>AKÜ,L5,DK100AH,IGYA,NONAME,7019-100GYEUR</t>
        </is>
      </c>
      <c r="C1984" s="25" t="inlineStr">
        <is>
          <t>1</t>
        </is>
      </c>
      <c r="D1984" s="25" t="inlineStr">
        <is>
          <t>ST-036-EUR-04</t>
        </is>
      </c>
      <c r="E1984" s="25" t="inlineStr">
        <is>
          <t>IA-ST-036-EUR-04</t>
        </is>
      </c>
      <c r="F1984" s="25" t="inlineStr">
        <is>
          <t>IA-ST-CFG-0068</t>
        </is>
      </c>
      <c r="G1984" s="25" t="n">
        <v>27.926</v>
      </c>
      <c r="H1984" s="25" t="inlineStr">
        <is>
          <t>988-pack GENERATED</t>
        </is>
      </c>
    </row>
    <row r="1985">
      <c r="A1985" s="25" t="inlineStr">
        <is>
          <t>1015246</t>
        </is>
      </c>
      <c r="B1985" s="25" t="inlineStr">
        <is>
          <t>AKÜ,L5,DK,100AH,IGYA,HALFORD,HALL36L-EFB</t>
        </is>
      </c>
      <c r="C1985" s="25" t="inlineStr">
        <is>
          <t>1</t>
        </is>
      </c>
      <c r="D1985" s="25" t="inlineStr">
        <is>
          <t>ST-036-EUR-04</t>
        </is>
      </c>
      <c r="E1985" s="25" t="inlineStr">
        <is>
          <t>IA-ST-036-EUR-04</t>
        </is>
      </c>
      <c r="F1985" s="25" t="inlineStr">
        <is>
          <t>IA-ST-CFG-0068</t>
        </is>
      </c>
      <c r="G1985" s="25" t="n">
        <v>27.926</v>
      </c>
      <c r="H1985" s="25" t="inlineStr">
        <is>
          <t>988-pack GENERATED</t>
        </is>
      </c>
    </row>
    <row r="1986">
      <c r="A1986" s="29" t="inlineStr">
        <is>
          <t>1015247</t>
        </is>
      </c>
      <c r="B1986" s="29" t="inlineStr">
        <is>
          <t>AKÜ,L2,60AH,DK,IGYA,FIAT,OES YP,55109243</t>
        </is>
      </c>
      <c r="C1986" s="29" t="inlineStr">
        <is>
          <t>1</t>
        </is>
      </c>
      <c r="H1986" s="29" t="inlineStr">
        <is>
          <t>NO MAPPING</t>
        </is>
      </c>
    </row>
    <row r="1987">
      <c r="A1987" s="25" t="inlineStr">
        <is>
          <t>1015250</t>
        </is>
      </c>
      <c r="B1987" s="25" t="inlineStr">
        <is>
          <t>AKÜ,L1,DK,50AH,IGYA,BLIZZ.SILVERLN,MISIR</t>
        </is>
      </c>
      <c r="C1987" s="25" t="inlineStr">
        <is>
          <t>1</t>
        </is>
      </c>
      <c r="D1987" s="25" t="inlineStr">
        <is>
          <t>ST-087-STD-03</t>
        </is>
      </c>
      <c r="E1987" s="25" t="inlineStr">
        <is>
          <t>IA-ST-087-STD-03</t>
        </is>
      </c>
      <c r="F1987" s="25" t="inlineStr">
        <is>
          <t>IA-ST-CFG-0248</t>
        </is>
      </c>
      <c r="G1987" s="25" t="n">
        <v>31.0092</v>
      </c>
      <c r="H1987" s="25" t="inlineStr">
        <is>
          <t>988-pack GENERATED</t>
        </is>
      </c>
    </row>
    <row r="1988">
      <c r="A1988" s="25" t="inlineStr">
        <is>
          <t>1015251</t>
        </is>
      </c>
      <c r="B1988" s="25" t="inlineStr">
        <is>
          <t>AKÜ,LB2,DK,60AH,IGYA,BLIZZ.EFB S&amp;S,MISIR</t>
        </is>
      </c>
      <c r="C1988" s="25" t="inlineStr">
        <is>
          <t>1</t>
        </is>
      </c>
      <c r="D1988" s="25" t="inlineStr">
        <is>
          <t>ST-072-STD-13</t>
        </is>
      </c>
      <c r="E1988" s="25" t="inlineStr">
        <is>
          <t>IA-ST-072-STD-13</t>
        </is>
      </c>
      <c r="F1988" s="25" t="inlineStr">
        <is>
          <t>IA-ST-CFG-0222</t>
        </is>
      </c>
      <c r="G1988" s="25" t="n">
        <v>30.6552</v>
      </c>
      <c r="H1988" s="25" t="inlineStr">
        <is>
          <t>988-pack GENERATED</t>
        </is>
      </c>
    </row>
    <row r="1989">
      <c r="A1989" s="25" t="inlineStr">
        <is>
          <t>1015252</t>
        </is>
      </c>
      <c r="B1989" s="25" t="inlineStr">
        <is>
          <t>AKÜ,B-IGYASMF,DK,180AH,BLIZ.SILVRL,MISIR</t>
        </is>
      </c>
      <c r="C1989" s="25" t="inlineStr">
        <is>
          <t>1</t>
        </is>
      </c>
      <c r="D1989" s="25" t="inlineStr">
        <is>
          <t>ST-030-STD-06</t>
        </is>
      </c>
      <c r="E1989" s="25" t="inlineStr">
        <is>
          <t>IA-ST-030-STD-06</t>
        </is>
      </c>
      <c r="F1989" s="25" t="inlineStr">
        <is>
          <t>IA-ST-CFG-0052</t>
        </is>
      </c>
      <c r="G1989" s="25" t="n">
        <v>32.3892</v>
      </c>
      <c r="H1989" s="25" t="inlineStr">
        <is>
          <t>988-pack GENERATED</t>
        </is>
      </c>
    </row>
    <row r="1990">
      <c r="A1990" s="25" t="inlineStr">
        <is>
          <t>1015253</t>
        </is>
      </c>
      <c r="B1990" s="25" t="inlineStr">
        <is>
          <t>AKÜ,C-IGYASMF,DK,240AH,BLIZ.SILVRL,MISIR</t>
        </is>
      </c>
      <c r="C1990" s="25" t="inlineStr">
        <is>
          <t>1</t>
        </is>
      </c>
      <c r="D1990" s="25" t="inlineStr">
        <is>
          <t>ST-021-STD-03</t>
        </is>
      </c>
      <c r="E1990" s="25" t="inlineStr">
        <is>
          <t>IA-ST-021-STD-03</t>
        </is>
      </c>
      <c r="F1990" s="25" t="inlineStr">
        <is>
          <t>IA-ST-CFG-0023</t>
        </is>
      </c>
      <c r="G1990" s="25" t="n">
        <v>31.8252</v>
      </c>
      <c r="H1990" s="25" t="inlineStr">
        <is>
          <t>988-pack GENERATED</t>
        </is>
      </c>
    </row>
    <row r="1991">
      <c r="A1991" s="25" t="inlineStr">
        <is>
          <t>1015254</t>
        </is>
      </c>
      <c r="B1991" s="25" t="inlineStr">
        <is>
          <t>AKÜ,L1DK,50AH,VRLA,AGM YBX9012-050,GYEUR</t>
        </is>
      </c>
      <c r="C1991" s="25" t="inlineStr">
        <is>
          <t>1</t>
        </is>
      </c>
      <c r="D1991" s="25" t="inlineStr">
        <is>
          <t>ST-072-EUR-04</t>
        </is>
      </c>
      <c r="E1991" s="25" t="inlineStr">
        <is>
          <t>IA-ST-072-EUR-04</t>
        </is>
      </c>
      <c r="F1991" s="25" t="inlineStr">
        <is>
          <t>IA-ST-CFG-0209</t>
        </is>
      </c>
      <c r="G1991" s="25" t="n">
        <v>28.366</v>
      </c>
      <c r="H1991" s="25" t="inlineStr">
        <is>
          <t>988-pack GENERATED</t>
        </is>
      </c>
    </row>
    <row r="1992">
      <c r="A1992" s="29" t="inlineStr">
        <is>
          <t>1015255</t>
        </is>
      </c>
      <c r="B1992" s="29" t="inlineStr">
        <is>
          <t>AKÜ AGM,L6,DK,105AH,MM AGM S&amp;S,MM OES</t>
        </is>
      </c>
      <c r="C1992" s="29" t="inlineStr">
        <is>
          <t>1</t>
        </is>
      </c>
      <c r="H1992" s="29" t="inlineStr">
        <is>
          <t>NO MAPPING</t>
        </is>
      </c>
    </row>
    <row r="1993">
      <c r="A1993" s="29" t="inlineStr">
        <is>
          <t>1015256</t>
        </is>
      </c>
      <c r="B1993" s="29" t="inlineStr">
        <is>
          <t>AKÜ,NS60,DK,55AH,IGYA SMF,MAKO YP,OES</t>
        </is>
      </c>
      <c r="C1993" s="29" t="inlineStr">
        <is>
          <t>1</t>
        </is>
      </c>
      <c r="H1993" s="29" t="inlineStr">
        <is>
          <t>NO MAPPING</t>
        </is>
      </c>
    </row>
    <row r="1994">
      <c r="A1994" s="25" t="inlineStr">
        <is>
          <t>1015260</t>
        </is>
      </c>
      <c r="B1994" s="25" t="inlineStr">
        <is>
          <t>AKÜ,B-IGYASMF,DK,170AH,PILOT PERFORMANCE</t>
        </is>
      </c>
      <c r="C1994" s="25" t="inlineStr">
        <is>
          <t>1</t>
        </is>
      </c>
      <c r="D1994" s="25" t="inlineStr">
        <is>
          <t>ST-021-EUR-03</t>
        </is>
      </c>
      <c r="E1994" s="25" t="inlineStr">
        <is>
          <t>IA-ST-021-EUR-03</t>
        </is>
      </c>
      <c r="F1994" s="25" t="inlineStr">
        <is>
          <t>IA-ST-CFG-0029</t>
        </is>
      </c>
      <c r="G1994" s="25" t="n">
        <v>30.7682</v>
      </c>
      <c r="H1994" s="25" t="inlineStr">
        <is>
          <t>988-pack GENERATED</t>
        </is>
      </c>
    </row>
    <row r="1995">
      <c r="A1995" s="25" t="inlineStr">
        <is>
          <t>1015261</t>
        </is>
      </c>
      <c r="B1995" s="25" t="inlineStr">
        <is>
          <t>AKÜ,C-IGYASMF,DK,230AH,HUGEL EFB S&amp;S</t>
        </is>
      </c>
      <c r="C1995" s="25" t="inlineStr">
        <is>
          <t>1</t>
        </is>
      </c>
      <c r="D1995" s="25" t="inlineStr">
        <is>
          <t>ST-021-STD-03</t>
        </is>
      </c>
      <c r="E1995" s="25" t="inlineStr">
        <is>
          <t>IA-ST-021-STD-03</t>
        </is>
      </c>
      <c r="F1995" s="25" t="inlineStr">
        <is>
          <t>IA-ST-CFG-0023</t>
        </is>
      </c>
      <c r="G1995" s="25" t="n">
        <v>31.8252</v>
      </c>
      <c r="H1995" s="25" t="inlineStr">
        <is>
          <t>988-pack GENERATED</t>
        </is>
      </c>
    </row>
    <row r="1996">
      <c r="A1996" s="25" t="inlineStr">
        <is>
          <t>1015262</t>
        </is>
      </c>
      <c r="B1996" s="25" t="inlineStr">
        <is>
          <t>AKÜ,L1,DK,55AH,IGYA,BPOWER ELITE,POLONYA</t>
        </is>
      </c>
      <c r="C1996" s="25" t="inlineStr">
        <is>
          <t>1</t>
        </is>
      </c>
      <c r="D1996" s="25" t="inlineStr">
        <is>
          <t>ST-072-EUR-03</t>
        </is>
      </c>
      <c r="E1996" s="25" t="inlineStr">
        <is>
          <t>IA-ST-072-EUR-03</t>
        </is>
      </c>
      <c r="F1996" s="25" t="inlineStr">
        <is>
          <t>IA-ST-CFG-0206</t>
        </is>
      </c>
      <c r="G1996" s="25" t="n">
        <v>27.8592</v>
      </c>
      <c r="H1996" s="25" t="inlineStr">
        <is>
          <t>988-pack GENERATED</t>
        </is>
      </c>
    </row>
    <row r="1997">
      <c r="A1997" s="25" t="inlineStr">
        <is>
          <t>1015263</t>
        </is>
      </c>
      <c r="B1997" s="25" t="inlineStr">
        <is>
          <t>AKÜ,L2,DK,65AH,IGYA,BPOWER ELITE,POLONYA</t>
        </is>
      </c>
      <c r="C1997" s="25" t="inlineStr">
        <is>
          <t>1</t>
        </is>
      </c>
      <c r="D1997" s="25" t="inlineStr">
        <is>
          <t>ST-057-EUR-05</t>
        </is>
      </c>
      <c r="E1997" s="25" t="inlineStr">
        <is>
          <t>IA-ST-057-EUR-05</t>
        </is>
      </c>
      <c r="F1997" s="25" t="inlineStr">
        <is>
          <t>IA-ST-CFG-0164</t>
        </is>
      </c>
      <c r="G1997" s="25" t="n">
        <v>27.6392</v>
      </c>
      <c r="H1997" s="25" t="inlineStr">
        <is>
          <t>988-pack GENERATED</t>
        </is>
      </c>
    </row>
    <row r="1998">
      <c r="A1998" s="25" t="inlineStr">
        <is>
          <t>1015264</t>
        </is>
      </c>
      <c r="B1998" s="25" t="inlineStr">
        <is>
          <t>AKÜ,LB3,DK,74AH,IGYA,BPOWERELITE,POLONYA</t>
        </is>
      </c>
      <c r="C1998" s="25" t="inlineStr">
        <is>
          <t>1</t>
        </is>
      </c>
      <c r="D1998" s="25" t="inlineStr">
        <is>
          <t>ST-051-EUR-04</t>
        </is>
      </c>
      <c r="E1998" s="25" t="inlineStr">
        <is>
          <t>IA-ST-051-EUR-04</t>
        </is>
      </c>
      <c r="F1998" s="25" t="inlineStr">
        <is>
          <t>IA-ST-CFG-0135</t>
        </is>
      </c>
      <c r="G1998" s="25" t="n">
        <v>27.6392</v>
      </c>
      <c r="H1998" s="25" t="inlineStr">
        <is>
          <t>988-pack GENERATED</t>
        </is>
      </c>
    </row>
    <row r="1999">
      <c r="A1999" s="25" t="inlineStr">
        <is>
          <t>1015265</t>
        </is>
      </c>
      <c r="B1999" s="25" t="inlineStr">
        <is>
          <t>AKÜ,L3,DK,80AH,IGYA,BPOWER ELITE,POLONYA</t>
        </is>
      </c>
      <c r="C1999" s="25" t="inlineStr">
        <is>
          <t>1</t>
        </is>
      </c>
      <c r="D1999" s="25" t="inlineStr">
        <is>
          <t>ST-051-EUR-04</t>
        </is>
      </c>
      <c r="E1999" s="25" t="inlineStr">
        <is>
          <t>IA-ST-051-EUR-04</t>
        </is>
      </c>
      <c r="F1999" s="25" t="inlineStr">
        <is>
          <t>IA-ST-CFG-0135</t>
        </is>
      </c>
      <c r="G1999" s="25" t="n">
        <v>27.6392</v>
      </c>
      <c r="H1999" s="25" t="inlineStr">
        <is>
          <t>988-pack GENERATED</t>
        </is>
      </c>
    </row>
    <row r="2000">
      <c r="A2000" s="25" t="inlineStr">
        <is>
          <t>1015266</t>
        </is>
      </c>
      <c r="B2000" s="25" t="inlineStr">
        <is>
          <t>AKÜ,L3,DK,72AH,IGYA,EFB,NONAME,CONTINENT</t>
        </is>
      </c>
      <c r="C2000" s="25" t="inlineStr">
        <is>
          <t>1</t>
        </is>
      </c>
      <c r="D2000" s="25" t="inlineStr">
        <is>
          <t>ST-063-STD-06</t>
        </is>
      </c>
      <c r="E2000" s="25" t="inlineStr">
        <is>
          <t>IA-ST-063-STD-06</t>
        </is>
      </c>
      <c r="F2000" s="25" t="inlineStr">
        <is>
          <t>IA-ST-CFG-0177</t>
        </is>
      </c>
      <c r="G2000" s="25" t="n">
        <v>28.206</v>
      </c>
      <c r="H2000" s="25" t="inlineStr">
        <is>
          <t>988-pack GENERATED</t>
        </is>
      </c>
    </row>
    <row r="2001">
      <c r="A2001" s="25" t="inlineStr">
        <is>
          <t>1015267</t>
        </is>
      </c>
      <c r="B2001" s="25" t="inlineStr">
        <is>
          <t>AKÜ,D23,DK65AH,IGYA,EFB,NONAME,CONTINENT</t>
        </is>
      </c>
      <c r="C2001" s="25" t="inlineStr">
        <is>
          <t>1</t>
        </is>
      </c>
      <c r="D2001" s="25" t="inlineStr">
        <is>
          <t>ST-072-STD-08</t>
        </is>
      </c>
      <c r="E2001" s="25" t="inlineStr">
        <is>
          <t>IA-ST-072-STD-08</t>
        </is>
      </c>
      <c r="F2001" s="25" t="inlineStr">
        <is>
          <t>IA-ST-CFG-0217</t>
        </is>
      </c>
      <c r="G2001" s="25" t="n">
        <v>27.708</v>
      </c>
      <c r="H2001" s="25" t="inlineStr">
        <is>
          <t>988-pack GENERATED</t>
        </is>
      </c>
    </row>
    <row r="2002">
      <c r="A2002" s="25" t="inlineStr">
        <is>
          <t>1015268</t>
        </is>
      </c>
      <c r="B2002" s="25" t="inlineStr">
        <is>
          <t>AKÜ,D26,DK72AH,IGYA,EFB,NONAME,CONTINENT</t>
        </is>
      </c>
      <c r="C2002" s="25" t="inlineStr">
        <is>
          <t>1</t>
        </is>
      </c>
      <c r="D2002" s="25" t="inlineStr">
        <is>
          <t>ST-063-STD-02</t>
        </is>
      </c>
      <c r="E2002" s="25" t="inlineStr">
        <is>
          <t>IA-ST-063-STD-02</t>
        </is>
      </c>
      <c r="F2002" s="25" t="inlineStr">
        <is>
          <t>IA-ST-CFG-0173</t>
        </is>
      </c>
      <c r="G2002" s="25" t="n">
        <v>27.708</v>
      </c>
      <c r="H2002" s="25" t="inlineStr">
        <is>
          <t>988-pack GENERATED</t>
        </is>
      </c>
    </row>
    <row r="2003">
      <c r="A2003" s="25" t="inlineStr">
        <is>
          <t>1015269</t>
        </is>
      </c>
      <c r="B2003" s="25" t="inlineStr">
        <is>
          <t>AKÜ AGM,L6,DK,105AH,İNCİ AGM LEO,EURO</t>
        </is>
      </c>
      <c r="C2003" s="25" t="inlineStr">
        <is>
          <t>1</t>
        </is>
      </c>
      <c r="D2003" s="25" t="inlineStr">
        <is>
          <t>ST-036-EUR-06</t>
        </is>
      </c>
      <c r="E2003" s="25" t="inlineStr">
        <is>
          <t>IA-ST-036-EUR-06</t>
        </is>
      </c>
      <c r="F2003" s="25" t="inlineStr">
        <is>
          <t>IA-ST-CFG-0071</t>
        </is>
      </c>
      <c r="G2003" s="25" t="n">
        <v>29.0792</v>
      </c>
      <c r="H2003" s="25" t="inlineStr">
        <is>
          <t>988-pack GENERATED</t>
        </is>
      </c>
    </row>
    <row r="2004">
      <c r="A2004" s="25" t="inlineStr">
        <is>
          <t>1015270</t>
        </is>
      </c>
      <c r="B2004" s="25" t="inlineStr">
        <is>
          <t>AKÜ,D23,DK,68AH,IGYA SMF,HUGEL MEGA</t>
        </is>
      </c>
      <c r="C2004" s="25" t="inlineStr">
        <is>
          <t>1</t>
        </is>
      </c>
      <c r="D2004" s="25" t="inlineStr">
        <is>
          <t>ST-072-STD-10</t>
        </is>
      </c>
      <c r="E2004" s="25" t="inlineStr">
        <is>
          <t>IA-ST-072-STD-10</t>
        </is>
      </c>
      <c r="F2004" s="25" t="inlineStr">
        <is>
          <t>IA-ST-CFG-0219</t>
        </is>
      </c>
      <c r="G2004" s="25" t="n">
        <v>34.33224</v>
      </c>
      <c r="H2004" s="25" t="inlineStr">
        <is>
          <t>988-pack GENERATED</t>
        </is>
      </c>
    </row>
    <row r="2005">
      <c r="A2005" s="25" t="inlineStr">
        <is>
          <t>1015271</t>
        </is>
      </c>
      <c r="B2005" s="25" t="inlineStr">
        <is>
          <t>AKÜ,L2,DK,60AH,İNCİ AGM LEO,REDMAY</t>
        </is>
      </c>
      <c r="C2005" s="25" t="inlineStr">
        <is>
          <t>1</t>
        </is>
      </c>
      <c r="D2005" s="25" t="inlineStr">
        <is>
          <t>ST-072-STD-13</t>
        </is>
      </c>
      <c r="E2005" s="25" t="inlineStr">
        <is>
          <t>IA-ST-072-STD-13</t>
        </is>
      </c>
      <c r="F2005" s="25" t="inlineStr">
        <is>
          <t>IA-ST-CFG-0222</t>
        </is>
      </c>
      <c r="G2005" s="25" t="n">
        <v>30.6552</v>
      </c>
      <c r="H2005" s="25" t="inlineStr">
        <is>
          <t>988-pack GENERATED</t>
        </is>
      </c>
    </row>
    <row r="2006">
      <c r="A2006" s="25" t="inlineStr">
        <is>
          <t>1015272</t>
        </is>
      </c>
      <c r="B2006" s="25" t="inlineStr">
        <is>
          <t>AKÜ,D31,DK,90AH,IGYA SMF,NO NAME,REDMAY</t>
        </is>
      </c>
      <c r="C2006" s="25" t="inlineStr">
        <is>
          <t>1</t>
        </is>
      </c>
      <c r="D2006" s="25" t="inlineStr">
        <is>
          <t>ST-054-STD-07</t>
        </is>
      </c>
      <c r="E2006" s="25" t="inlineStr">
        <is>
          <t>IA-ST-054-STD-07</t>
        </is>
      </c>
      <c r="F2006" s="25" t="inlineStr">
        <is>
          <t>IA-ST-CFG-0143</t>
        </is>
      </c>
      <c r="G2006" s="25" t="n">
        <v>33.7838</v>
      </c>
      <c r="H2006" s="25" t="inlineStr">
        <is>
          <t>988-pack GENERATED</t>
        </is>
      </c>
    </row>
    <row r="2007">
      <c r="A2007" s="25" t="inlineStr">
        <is>
          <t>1015273</t>
        </is>
      </c>
      <c r="B2007" s="25" t="inlineStr">
        <is>
          <t>AKÜ,L2,DK,65AH,IGYA,NONAME,EFB NR65X,SKG</t>
        </is>
      </c>
      <c r="C2007" s="25" t="inlineStr">
        <is>
          <t>1</t>
        </is>
      </c>
      <c r="D2007" s="25" t="inlineStr">
        <is>
          <t>ST-076-EUR-02</t>
        </is>
      </c>
      <c r="E2007" s="25" t="inlineStr">
        <is>
          <t>IA-ST-076-EUR-02</t>
        </is>
      </c>
      <c r="F2007" s="25" t="inlineStr">
        <is>
          <t>IA-ST-CFG-0239</t>
        </is>
      </c>
      <c r="G2007" s="25" t="n">
        <v>28.126</v>
      </c>
      <c r="H2007" s="25" t="inlineStr">
        <is>
          <t>988-pack GENERATED</t>
        </is>
      </c>
    </row>
    <row r="2008">
      <c r="A2008" s="25" t="inlineStr">
        <is>
          <t>1015274</t>
        </is>
      </c>
      <c r="B2008" s="25" t="inlineStr">
        <is>
          <t>AKÜ,L3,DK,80AH,IGYA,NONAME,EFB NR80X,SKG</t>
        </is>
      </c>
      <c r="C2008" s="25" t="inlineStr">
        <is>
          <t>1</t>
        </is>
      </c>
      <c r="D2008" s="25" t="inlineStr">
        <is>
          <t>ST-068-EUR-01</t>
        </is>
      </c>
      <c r="E2008" s="25" t="inlineStr">
        <is>
          <t>IA-ST-068-EUR-01</t>
        </is>
      </c>
      <c r="F2008" s="25" t="inlineStr">
        <is>
          <t>IA-ST-CFG-0198</t>
        </is>
      </c>
      <c r="G2008" s="25" t="n">
        <v>28.126</v>
      </c>
      <c r="H2008" s="25" t="inlineStr">
        <is>
          <t>988-pack GENERATED</t>
        </is>
      </c>
    </row>
    <row r="2009">
      <c r="A2009" s="25" t="inlineStr">
        <is>
          <t>1015275</t>
        </is>
      </c>
      <c r="B2009" s="25" t="inlineStr">
        <is>
          <t>AKÜ,L4,DK,92AH,IGYA,NONAME,EFB NR92X,SKG</t>
        </is>
      </c>
      <c r="C2009" s="25" t="inlineStr">
        <is>
          <t>1</t>
        </is>
      </c>
      <c r="D2009" s="25" t="inlineStr">
        <is>
          <t>ST-056-EUR-02</t>
        </is>
      </c>
      <c r="E2009" s="25" t="inlineStr">
        <is>
          <t>IA-ST-056-EUR-02</t>
        </is>
      </c>
      <c r="F2009" s="25" t="inlineStr">
        <is>
          <t>IA-ST-CFG-0151</t>
        </is>
      </c>
      <c r="G2009" s="25" t="n">
        <v>28.126</v>
      </c>
      <c r="H2009" s="25" t="inlineStr">
        <is>
          <t>988-pack GENERATED</t>
        </is>
      </c>
    </row>
    <row r="2010">
      <c r="A2010" s="25" t="inlineStr">
        <is>
          <t>1015276</t>
        </is>
      </c>
      <c r="B2010" s="25" t="inlineStr">
        <is>
          <t>AKÜ,L5,DK,100AH,IGYA,NONAME,EFBNR100XSKG</t>
        </is>
      </c>
      <c r="C2010" s="25" t="inlineStr">
        <is>
          <t>1</t>
        </is>
      </c>
      <c r="D2010" s="25" t="inlineStr">
        <is>
          <t>ST-048-EUR-08</t>
        </is>
      </c>
      <c r="E2010" s="25" t="inlineStr">
        <is>
          <t>IA-ST-048-EUR-08</t>
        </is>
      </c>
      <c r="F2010" s="25" t="inlineStr">
        <is>
          <t>IA-ST-CFG-0114</t>
        </is>
      </c>
      <c r="G2010" s="25" t="n">
        <v>28.126</v>
      </c>
      <c r="H2010" s="25" t="inlineStr">
        <is>
          <t>988-pack GENERATED</t>
        </is>
      </c>
    </row>
    <row r="2011">
      <c r="A2011" s="25" t="inlineStr">
        <is>
          <t>1015277</t>
        </is>
      </c>
      <c r="B2011" s="25" t="inlineStr">
        <is>
          <t>AKÜ,L3,DK,80AH,IGYA,AVANT,5096-080,GYNRD</t>
        </is>
      </c>
      <c r="C2011" s="25" t="inlineStr">
        <is>
          <t>1</t>
        </is>
      </c>
      <c r="D2011" s="25" t="inlineStr">
        <is>
          <t>ST-048-EUR-07</t>
        </is>
      </c>
      <c r="E2011" s="25" t="inlineStr">
        <is>
          <t>IA-ST-048-EUR-07</t>
        </is>
      </c>
      <c r="F2011" s="25" t="inlineStr">
        <is>
          <t>IA-ST-CFG-0113</t>
        </is>
      </c>
      <c r="G2011" s="25" t="n">
        <v>27.926</v>
      </c>
      <c r="H2011" s="25" t="inlineStr">
        <is>
          <t>988-pack GENERATED</t>
        </is>
      </c>
    </row>
    <row r="2012">
      <c r="A2012" s="25" t="inlineStr">
        <is>
          <t>1015278</t>
        </is>
      </c>
      <c r="B2012" s="25" t="inlineStr">
        <is>
          <t>AKÜ,LB3,DK,75AH,IGYA,AVANT,5100-075GYNRD</t>
        </is>
      </c>
      <c r="C2012" s="25" t="inlineStr">
        <is>
          <t>1</t>
        </is>
      </c>
      <c r="D2012" s="25" t="inlineStr">
        <is>
          <t>ST-051-EUR-01</t>
        </is>
      </c>
      <c r="E2012" s="25" t="inlineStr">
        <is>
          <t>IA-ST-051-EUR-01</t>
        </is>
      </c>
      <c r="F2012" s="25" t="inlineStr">
        <is>
          <t>IA-ST-CFG-0132</t>
        </is>
      </c>
      <c r="G2012" s="25" t="n">
        <v>27.926</v>
      </c>
      <c r="H2012" s="25" t="inlineStr">
        <is>
          <t>988-pack GENERATED</t>
        </is>
      </c>
    </row>
    <row r="2013">
      <c r="A2013" s="25" t="inlineStr">
        <is>
          <t>1015279</t>
        </is>
      </c>
      <c r="B2013" s="25" t="inlineStr">
        <is>
          <t>AKÜ,L3,DK,70AH,GS AGM,9096-070,AGM096,GS</t>
        </is>
      </c>
      <c r="C2013" s="25" t="inlineStr">
        <is>
          <t>1</t>
        </is>
      </c>
      <c r="D2013" s="25" t="inlineStr">
        <is>
          <t>ST-048-EUR-07</t>
        </is>
      </c>
      <c r="E2013" s="25" t="inlineStr">
        <is>
          <t>IA-ST-048-EUR-07</t>
        </is>
      </c>
      <c r="F2013" s="25" t="inlineStr">
        <is>
          <t>IA-ST-CFG-0113</t>
        </is>
      </c>
      <c r="G2013" s="25" t="n">
        <v>27.926</v>
      </c>
      <c r="H2013" s="25" t="inlineStr">
        <is>
          <t>988-pack GENERATED</t>
        </is>
      </c>
    </row>
    <row r="2014">
      <c r="A2014" s="25" t="inlineStr">
        <is>
          <t>1015280</t>
        </is>
      </c>
      <c r="B2014" s="25" t="inlineStr">
        <is>
          <t>AKÜ,L4,DK,80AH,GS AGM,9115-080,AGM115,GS</t>
        </is>
      </c>
      <c r="C2014" s="25" t="inlineStr">
        <is>
          <t>1</t>
        </is>
      </c>
      <c r="D2014" s="25" t="inlineStr">
        <is>
          <t>ST-042-EUR-02</t>
        </is>
      </c>
      <c r="E2014" s="25" t="inlineStr">
        <is>
          <t>IA-ST-042-EUR-02</t>
        </is>
      </c>
      <c r="F2014" s="25" t="inlineStr">
        <is>
          <t>IA-ST-CFG-0085</t>
        </is>
      </c>
      <c r="G2014" s="25" t="n">
        <v>27.926</v>
      </c>
      <c r="H2014" s="25" t="inlineStr">
        <is>
          <t>988-pack GENERATED</t>
        </is>
      </c>
    </row>
    <row r="2015">
      <c r="A2015" s="25" t="inlineStr">
        <is>
          <t>1015281</t>
        </is>
      </c>
      <c r="B2015" s="25" t="inlineStr">
        <is>
          <t>AKÜ,D26,DK75AH,IGYA,ZITEXBATR,TÜRKMENSTN</t>
        </is>
      </c>
      <c r="C2015" s="25" t="inlineStr">
        <is>
          <t>1</t>
        </is>
      </c>
      <c r="D2015" s="25" t="inlineStr">
        <is>
          <t>ST-063-STD-04</t>
        </is>
      </c>
      <c r="E2015" s="25" t="inlineStr">
        <is>
          <t>IA-ST-063-STD-04</t>
        </is>
      </c>
      <c r="F2015" s="25" t="inlineStr">
        <is>
          <t>IA-ST-CFG-0175</t>
        </is>
      </c>
      <c r="G2015" s="25" t="n">
        <v>34.1512</v>
      </c>
      <c r="H2015" s="25" t="inlineStr">
        <is>
          <t>988-pack GENERATED</t>
        </is>
      </c>
    </row>
    <row r="2016">
      <c r="A2016" s="25" t="inlineStr">
        <is>
          <t>1015282</t>
        </is>
      </c>
      <c r="B2016" s="25" t="inlineStr">
        <is>
          <t>AKÜ,D31,DK90AH,IGYA,ZITEXBATR,TÜRKMENSTN</t>
        </is>
      </c>
      <c r="C2016" s="25" t="inlineStr">
        <is>
          <t>1</t>
        </is>
      </c>
      <c r="D2016" s="25" t="inlineStr">
        <is>
          <t>ST-054-STD-07</t>
        </is>
      </c>
      <c r="E2016" s="25" t="inlineStr">
        <is>
          <t>IA-ST-054-STD-07</t>
        </is>
      </c>
      <c r="F2016" s="25" t="inlineStr">
        <is>
          <t>IA-ST-CFG-0143</t>
        </is>
      </c>
      <c r="G2016" s="25" t="n">
        <v>33.7838</v>
      </c>
      <c r="H2016" s="25" t="inlineStr">
        <is>
          <t>988-pack GENERATED</t>
        </is>
      </c>
    </row>
    <row r="2017">
      <c r="A2017" s="25" t="inlineStr">
        <is>
          <t>1015283</t>
        </is>
      </c>
      <c r="B2017" s="25" t="inlineStr">
        <is>
          <t>AKÜ,D31,DK90AH,IGYA,PILOTPERF,TÜRKMENSTN</t>
        </is>
      </c>
      <c r="C2017" s="25" t="inlineStr">
        <is>
          <t>1</t>
        </is>
      </c>
      <c r="D2017" s="25" t="inlineStr">
        <is>
          <t>ST-054-STD-07</t>
        </is>
      </c>
      <c r="E2017" s="25" t="inlineStr">
        <is>
          <t>IA-ST-054-STD-07</t>
        </is>
      </c>
      <c r="F2017" s="25" t="inlineStr">
        <is>
          <t>IA-ST-CFG-0143</t>
        </is>
      </c>
      <c r="G2017" s="25" t="n">
        <v>33.7838</v>
      </c>
      <c r="H2017" s="25" t="inlineStr">
        <is>
          <t>988-pack GENERATED</t>
        </is>
      </c>
    </row>
    <row r="2018">
      <c r="A2018" s="25" t="inlineStr">
        <is>
          <t>1015284</t>
        </is>
      </c>
      <c r="B2018" s="25" t="inlineStr">
        <is>
          <t>AKÜ,AGM,L4,DK,80AH,EAS AGM S&amp;S,ATWAN</t>
        </is>
      </c>
      <c r="C2018" s="25" t="inlineStr">
        <is>
          <t>1</t>
        </is>
      </c>
      <c r="D2018" s="25" t="inlineStr">
        <is>
          <t>ST-054-STD-06</t>
        </is>
      </c>
      <c r="E2018" s="25" t="inlineStr">
        <is>
          <t>IA-ST-054-STD-06</t>
        </is>
      </c>
      <c r="F2018" s="25" t="inlineStr">
        <is>
          <t>IA-ST-CFG-0142</t>
        </is>
      </c>
      <c r="G2018" s="25" t="n">
        <v>29.7552</v>
      </c>
      <c r="H2018" s="25" t="inlineStr">
        <is>
          <t>988-pack GENERATED</t>
        </is>
      </c>
    </row>
    <row r="2019">
      <c r="A2019" s="25" t="inlineStr">
        <is>
          <t>1015285</t>
        </is>
      </c>
      <c r="B2019" s="25" t="inlineStr">
        <is>
          <t>AKÜ,D23,TK,62AH,IGYA,B1,İNCİTAUR,SHAWKAT</t>
        </is>
      </c>
      <c r="C2019" s="25" t="inlineStr">
        <is>
          <t>1</t>
        </is>
      </c>
      <c r="D2019" s="25" t="inlineStr">
        <is>
          <t>ST-072-STD-10</t>
        </is>
      </c>
      <c r="E2019" s="25" t="inlineStr">
        <is>
          <t>IA-ST-072-STD-10</t>
        </is>
      </c>
      <c r="F2019" s="25" t="inlineStr">
        <is>
          <t>IA-ST-CFG-0219</t>
        </is>
      </c>
      <c r="G2019" s="25" t="n">
        <v>34.33224</v>
      </c>
      <c r="H2019" s="25" t="inlineStr">
        <is>
          <t>988-pack GENERATED</t>
        </is>
      </c>
    </row>
    <row r="2020">
      <c r="A2020" s="25" t="inlineStr">
        <is>
          <t>1015286</t>
        </is>
      </c>
      <c r="B2020" s="25" t="inlineStr">
        <is>
          <t>AKÜ,A-IGYASMF,DK,120AH,İNCİFORML,SHAWKAT</t>
        </is>
      </c>
      <c r="C2020" s="25" t="inlineStr">
        <is>
          <t>1</t>
        </is>
      </c>
      <c r="D2020" s="25" t="inlineStr">
        <is>
          <t>ST-030-STD-05</t>
        </is>
      </c>
      <c r="E2020" s="25" t="inlineStr">
        <is>
          <t>IA-ST-030-STD-05</t>
        </is>
      </c>
      <c r="F2020" s="25" t="inlineStr">
        <is>
          <t>IA-ST-CFG-0051</t>
        </is>
      </c>
      <c r="G2020" s="25" t="n">
        <v>31.6992</v>
      </c>
      <c r="H2020" s="25" t="inlineStr">
        <is>
          <t>988-pack GENERATED</t>
        </is>
      </c>
    </row>
    <row r="2021">
      <c r="A2021" s="25" t="inlineStr">
        <is>
          <t>1015287</t>
        </is>
      </c>
      <c r="B2021" s="25" t="inlineStr">
        <is>
          <t>AKÜ,B-IGYASMF,DK,190AH,B03,EAS ACTIVA</t>
        </is>
      </c>
      <c r="C2021" s="25" t="inlineStr">
        <is>
          <t>1</t>
        </is>
      </c>
      <c r="D2021" s="25" t="inlineStr">
        <is>
          <t>ST-030-STD-06</t>
        </is>
      </c>
      <c r="E2021" s="25" t="inlineStr">
        <is>
          <t>IA-ST-030-STD-06</t>
        </is>
      </c>
      <c r="F2021" s="25" t="inlineStr">
        <is>
          <t>IA-ST-CFG-0052</t>
        </is>
      </c>
      <c r="G2021" s="25" t="n">
        <v>32.3892</v>
      </c>
      <c r="H2021" s="25" t="inlineStr">
        <is>
          <t>988-pack GENERATED</t>
        </is>
      </c>
    </row>
    <row r="2022">
      <c r="A2022" s="25" t="inlineStr">
        <is>
          <t>1015288</t>
        </is>
      </c>
      <c r="B2022" s="25" t="inlineStr">
        <is>
          <t>AKÜ,L5,DK,105AH,IGYA SMF,EAS ACTIVA</t>
        </is>
      </c>
      <c r="C2022" s="25" t="inlineStr">
        <is>
          <t>1</t>
        </is>
      </c>
      <c r="D2022" s="25" t="inlineStr">
        <is>
          <t>ST-045-STD-08</t>
        </is>
      </c>
      <c r="E2022" s="25" t="inlineStr">
        <is>
          <t>IA-ST-045-STD-08</t>
        </is>
      </c>
      <c r="F2022" s="25" t="inlineStr">
        <is>
          <t>IA-ST-CFG-0096</t>
        </is>
      </c>
      <c r="G2022" s="25" t="n">
        <v>29.7192</v>
      </c>
      <c r="H2022" s="25" t="inlineStr">
        <is>
          <t>988-pack GENERATED</t>
        </is>
      </c>
    </row>
    <row r="2023">
      <c r="A2023" s="25" t="inlineStr">
        <is>
          <t>1015289</t>
        </is>
      </c>
      <c r="B2023" s="25" t="inlineStr">
        <is>
          <t>AKÜ,L6,DK,110AH,KAMINA,EAS PRIDE</t>
        </is>
      </c>
      <c r="C2023" s="25" t="inlineStr">
        <is>
          <t>1</t>
        </is>
      </c>
      <c r="D2023" s="25" t="inlineStr">
        <is>
          <t>ST-042-STD-05</t>
        </is>
      </c>
      <c r="E2023" s="25" t="inlineStr">
        <is>
          <t>IA-ST-042-STD-05</t>
        </is>
      </c>
      <c r="F2023" s="25" t="inlineStr">
        <is>
          <t>IA-ST-CFG-0080</t>
        </is>
      </c>
      <c r="G2023" s="25" t="n">
        <v>29.5992</v>
      </c>
      <c r="H2023" s="25" t="inlineStr">
        <is>
          <t>988-pack GENERATED</t>
        </is>
      </c>
    </row>
    <row r="2024">
      <c r="A2024" s="25" t="inlineStr">
        <is>
          <t>1015290</t>
        </is>
      </c>
      <c r="B2024" s="25" t="inlineStr">
        <is>
          <t>AKÜ,TRACTOR,DK,125AH,EAS PRIDE</t>
        </is>
      </c>
      <c r="C2024" s="25" t="inlineStr">
        <is>
          <t>1</t>
        </is>
      </c>
      <c r="D2024" s="25" t="inlineStr">
        <is>
          <t>ST-045-STD-05</t>
        </is>
      </c>
      <c r="E2024" s="25" t="inlineStr">
        <is>
          <t>IA-ST-045-STD-05</t>
        </is>
      </c>
      <c r="F2024" s="25" t="inlineStr">
        <is>
          <t>IA-ST-CFG-0093</t>
        </is>
      </c>
      <c r="G2024" s="25" t="n">
        <v>33.3498</v>
      </c>
      <c r="H2024" s="25" t="inlineStr">
        <is>
          <t>988-pack GENERATED</t>
        </is>
      </c>
    </row>
    <row r="2025">
      <c r="A2025" s="25" t="inlineStr">
        <is>
          <t>1015291</t>
        </is>
      </c>
      <c r="B2025" s="25" t="inlineStr">
        <is>
          <t>AKÜ,C-FLAT,DK,240AH,EAS PRIDE</t>
        </is>
      </c>
      <c r="C2025" s="25" t="inlineStr">
        <is>
          <t>1</t>
        </is>
      </c>
      <c r="D2025" s="25" t="inlineStr">
        <is>
          <t>ST-021-STD-03</t>
        </is>
      </c>
      <c r="E2025" s="25" t="inlineStr">
        <is>
          <t>IA-ST-021-STD-03</t>
        </is>
      </c>
      <c r="F2025" s="25" t="inlineStr">
        <is>
          <t>IA-ST-CFG-0023</t>
        </is>
      </c>
      <c r="G2025" s="25" t="n">
        <v>31.8252</v>
      </c>
      <c r="H2025" s="25" t="inlineStr">
        <is>
          <t>988-pack GENERATED</t>
        </is>
      </c>
    </row>
    <row r="2026">
      <c r="A2026" s="25" t="inlineStr">
        <is>
          <t>1015292</t>
        </is>
      </c>
      <c r="B2026" s="25" t="inlineStr">
        <is>
          <t>AKÜ,L2,DK,60AH,IGYA,İNCİEFBPANTR,SHAWKAT</t>
        </is>
      </c>
      <c r="C2026" s="25" t="inlineStr">
        <is>
          <t>1</t>
        </is>
      </c>
      <c r="D2026" s="25" t="inlineStr">
        <is>
          <t>ST-072-STD-13</t>
        </is>
      </c>
      <c r="E2026" s="25" t="inlineStr">
        <is>
          <t>IA-ST-072-STD-13</t>
        </is>
      </c>
      <c r="F2026" s="25" t="inlineStr">
        <is>
          <t>IA-ST-CFG-0222</t>
        </is>
      </c>
      <c r="G2026" s="25" t="n">
        <v>30.6552</v>
      </c>
      <c r="H2026" s="25" t="inlineStr">
        <is>
          <t>988-pack GENERATED</t>
        </is>
      </c>
    </row>
    <row r="2027">
      <c r="A2027" s="25" t="inlineStr">
        <is>
          <t>1015302</t>
        </is>
      </c>
      <c r="B2027" s="25" t="inlineStr">
        <is>
          <t>AKÜ,LB3,DK,65AH,IGYA,İNCİEFBMAX,M1İÇPYS</t>
        </is>
      </c>
      <c r="C2027" s="25" t="inlineStr">
        <is>
          <t>1</t>
        </is>
      </c>
      <c r="D2027" s="25" t="inlineStr">
        <is>
          <t>ST-063-STD-11</t>
        </is>
      </c>
      <c r="E2027" s="25" t="inlineStr">
        <is>
          <t>IA-ST-063-STD-11</t>
        </is>
      </c>
      <c r="F2027" s="25" t="inlineStr">
        <is>
          <t>IA-ST-CFG-0182</t>
        </is>
      </c>
      <c r="G2027" s="25" t="n">
        <v>29.7124</v>
      </c>
      <c r="H2027" s="25" t="inlineStr">
        <is>
          <t>988-pack GENERATED</t>
        </is>
      </c>
    </row>
    <row r="2028">
      <c r="A2028" s="25" t="inlineStr">
        <is>
          <t>1015303</t>
        </is>
      </c>
      <c r="B2028" s="25" t="inlineStr">
        <is>
          <t>AKÜ,LB4,DK,75AH,IGYA,İNCİEFBMAX,M1İÇPYS</t>
        </is>
      </c>
      <c r="C2028" s="25" t="inlineStr">
        <is>
          <t>1</t>
        </is>
      </c>
      <c r="D2028" s="25" t="inlineStr">
        <is>
          <t>ST-072-STD-24</t>
        </is>
      </c>
      <c r="E2028" s="25" t="inlineStr">
        <is>
          <t>IA-ST-072-STD-24</t>
        </is>
      </c>
      <c r="F2028" s="25" t="inlineStr">
        <is>
          <t>IA-ST-CFG-0233</t>
        </is>
      </c>
      <c r="G2028" s="25" t="n">
        <v>30.3504</v>
      </c>
      <c r="H2028" s="25" t="inlineStr">
        <is>
          <t>988-pack GENERATED</t>
        </is>
      </c>
    </row>
    <row r="2029">
      <c r="A2029" s="25" t="inlineStr">
        <is>
          <t>1015304</t>
        </is>
      </c>
      <c r="B2029" s="25" t="inlineStr">
        <is>
          <t>AKÜ,C-IGYASMF,DK,225AH,BLIZSILVRLN,MISIR</t>
        </is>
      </c>
      <c r="C2029" s="25" t="inlineStr">
        <is>
          <t>1</t>
        </is>
      </c>
      <c r="D2029" s="25" t="inlineStr">
        <is>
          <t>ST-021-STD-03</t>
        </is>
      </c>
      <c r="E2029" s="25" t="inlineStr">
        <is>
          <t>IA-ST-021-STD-03</t>
        </is>
      </c>
      <c r="F2029" s="25" t="inlineStr">
        <is>
          <t>IA-ST-CFG-0023</t>
        </is>
      </c>
      <c r="G2029" s="25" t="n">
        <v>31.8252</v>
      </c>
      <c r="H2029" s="25" t="inlineStr">
        <is>
          <t>988-pack GENERATED</t>
        </is>
      </c>
    </row>
    <row r="2030">
      <c r="A2030" s="25" t="inlineStr">
        <is>
          <t>1015305</t>
        </is>
      </c>
      <c r="B2030" s="25" t="inlineStr">
        <is>
          <t>AKÜ,L2,DK,65AH,IGYASMF,BLIZ.GOLDLN,MISIR</t>
        </is>
      </c>
      <c r="C2030" s="25" t="inlineStr">
        <is>
          <t>1</t>
        </is>
      </c>
      <c r="D2030" s="25" t="inlineStr">
        <is>
          <t>ST-072-STD-13</t>
        </is>
      </c>
      <c r="E2030" s="25" t="inlineStr">
        <is>
          <t>IA-ST-072-STD-13</t>
        </is>
      </c>
      <c r="F2030" s="25" t="inlineStr">
        <is>
          <t>IA-ST-CFG-0222</t>
        </is>
      </c>
      <c r="G2030" s="25" t="n">
        <v>30.6552</v>
      </c>
      <c r="H2030" s="25" t="inlineStr">
        <is>
          <t>988-pack GENERATED</t>
        </is>
      </c>
    </row>
    <row r="2031">
      <c r="A2031" s="25" t="inlineStr">
        <is>
          <t>1015306</t>
        </is>
      </c>
      <c r="B2031" s="25" t="inlineStr">
        <is>
          <t>AKÜ,L3,DK,80AH,IGYASMF,BLIZ.GOLDLN,MISIR</t>
        </is>
      </c>
      <c r="C2031" s="25" t="inlineStr">
        <is>
          <t>1</t>
        </is>
      </c>
      <c r="D2031" s="25" t="inlineStr">
        <is>
          <t>ST-063-STD-08</t>
        </is>
      </c>
      <c r="E2031" s="25" t="inlineStr">
        <is>
          <t>IA-ST-063-STD-08</t>
        </is>
      </c>
      <c r="F2031" s="25" t="inlineStr">
        <is>
          <t>IA-ST-CFG-0179</t>
        </is>
      </c>
      <c r="G2031" s="25" t="n">
        <v>29.9992</v>
      </c>
      <c r="H2031" s="25" t="inlineStr">
        <is>
          <t>988-pack GENERATED</t>
        </is>
      </c>
    </row>
    <row r="2032">
      <c r="A2032" s="25" t="inlineStr">
        <is>
          <t>1015310</t>
        </is>
      </c>
      <c r="B2032" s="25" t="inlineStr">
        <is>
          <t>AKÜ,A-IGYASMF,DK,140AH,NONAME,INTERSTATE</t>
        </is>
      </c>
      <c r="C2032" s="25" t="inlineStr">
        <is>
          <t>1</t>
        </is>
      </c>
      <c r="D2032" s="25" t="inlineStr">
        <is>
          <t>ST-030-STD-04</t>
        </is>
      </c>
      <c r="E2032" s="25" t="inlineStr">
        <is>
          <t>IA-ST-030-STD-04</t>
        </is>
      </c>
      <c r="F2032" s="25" t="inlineStr">
        <is>
          <t>IA-ST-CFG-0049</t>
        </is>
      </c>
      <c r="G2032" s="25" t="n">
        <v>30.336</v>
      </c>
      <c r="H2032" s="25" t="inlineStr">
        <is>
          <t>988-pack GENERATED</t>
        </is>
      </c>
    </row>
    <row r="2033">
      <c r="A2033" s="25" t="inlineStr">
        <is>
          <t>1015311</t>
        </is>
      </c>
      <c r="B2033" s="25" t="inlineStr">
        <is>
          <t>AKÜ,B-IGYASMF,DK,180AH,NONAME,INTERSTATE</t>
        </is>
      </c>
      <c r="C2033" s="25" t="inlineStr">
        <is>
          <t>1</t>
        </is>
      </c>
      <c r="D2033" s="25" t="inlineStr">
        <is>
          <t>ST-030-STD-07</t>
        </is>
      </c>
      <c r="E2033" s="25" t="inlineStr">
        <is>
          <t>IA-ST-030-STD-07</t>
        </is>
      </c>
      <c r="F2033" s="25" t="inlineStr">
        <is>
          <t>IA-ST-CFG-0053</t>
        </is>
      </c>
      <c r="G2033" s="25" t="n">
        <v>30.9392</v>
      </c>
      <c r="H2033" s="25" t="inlineStr">
        <is>
          <t>988-pack GENERATED</t>
        </is>
      </c>
    </row>
    <row r="2034">
      <c r="A2034" s="25" t="inlineStr">
        <is>
          <t>1015312</t>
        </is>
      </c>
      <c r="B2034" s="25" t="inlineStr">
        <is>
          <t>AKÜ,L0,DK,40AH,DINNEWPROFIL,DIN40L,LUCAS</t>
        </is>
      </c>
      <c r="C2034" s="25" t="inlineStr">
        <is>
          <t>1</t>
        </is>
      </c>
      <c r="D2034" s="25" t="inlineStr">
        <is>
          <t>ST-090-STD-01</t>
        </is>
      </c>
      <c r="E2034" s="25" t="inlineStr">
        <is>
          <t>IA-ST-090-STD-01</t>
        </is>
      </c>
      <c r="F2034" s="25" t="inlineStr">
        <is>
          <t>IA-ST-CFG-0262</t>
        </is>
      </c>
      <c r="G2034" s="25" t="n">
        <v>30.0852</v>
      </c>
      <c r="H2034" s="25" t="inlineStr">
        <is>
          <t>988-pack GENERATED</t>
        </is>
      </c>
    </row>
    <row r="2035">
      <c r="A2035" s="25" t="inlineStr">
        <is>
          <t>1015313</t>
        </is>
      </c>
      <c r="B2035" s="25" t="inlineStr">
        <is>
          <t>AKÜ,L3,DK,75AH,IGYSMF,BLIZZ.EFB S&amp;S,EURO</t>
        </is>
      </c>
      <c r="C2035" s="25" t="inlineStr">
        <is>
          <t>1</t>
        </is>
      </c>
      <c r="D2035" s="25" t="inlineStr">
        <is>
          <t>ST-051-EUR-03</t>
        </is>
      </c>
      <c r="E2035" s="25" t="inlineStr">
        <is>
          <t>IA-ST-051-EUR-03</t>
        </is>
      </c>
      <c r="F2035" s="25" t="inlineStr">
        <is>
          <t>IA-ST-CFG-0134</t>
        </is>
      </c>
      <c r="G2035" s="25" t="n">
        <v>29.3232</v>
      </c>
      <c r="H2035" s="25" t="inlineStr">
        <is>
          <t>988-pack GENERATED</t>
        </is>
      </c>
    </row>
    <row r="2036">
      <c r="A2036" s="25" t="inlineStr">
        <is>
          <t>1015314</t>
        </is>
      </c>
      <c r="B2036" s="25" t="inlineStr">
        <is>
          <t>AKÜ,NS60,DK,45AH,IGYA,PILOT PERFORMANCE</t>
        </is>
      </c>
      <c r="C2036" s="25" t="inlineStr">
        <is>
          <t>1</t>
        </is>
      </c>
      <c r="D2036" s="25" t="inlineStr">
        <is>
          <t>ST-072-EUR-05</t>
        </is>
      </c>
      <c r="E2036" s="25" t="inlineStr">
        <is>
          <t>IA-ST-072-EUR-05</t>
        </is>
      </c>
      <c r="F2036" s="25" t="inlineStr">
        <is>
          <t>IA-ST-CFG-0235</t>
        </is>
      </c>
      <c r="G2036" s="25" t="n">
        <v>33.2594</v>
      </c>
      <c r="H2036" s="25" t="inlineStr">
        <is>
          <t>988-pack GENERATED</t>
        </is>
      </c>
    </row>
    <row r="2037">
      <c r="A2037" s="25" t="inlineStr">
        <is>
          <t>1015315</t>
        </is>
      </c>
      <c r="B2037" s="25" t="inlineStr">
        <is>
          <t>AKÜ,D23,DK,60AH,IGYA,PILOT PERFORMANCE</t>
        </is>
      </c>
      <c r="C2037" s="25" t="inlineStr">
        <is>
          <t>1</t>
        </is>
      </c>
      <c r="D2037" s="25" t="inlineStr">
        <is>
          <t>ST-060-EUR-02</t>
        </is>
      </c>
      <c r="E2037" s="25" t="inlineStr">
        <is>
          <t>IA-ST-060-EUR-02</t>
        </is>
      </c>
      <c r="F2037" s="25" t="inlineStr">
        <is>
          <t>IA-ST-CFG-0171</t>
        </is>
      </c>
      <c r="G2037" s="25" t="n">
        <v>32.9834</v>
      </c>
      <c r="H2037" s="25" t="inlineStr">
        <is>
          <t>988-pack GENERATED</t>
        </is>
      </c>
    </row>
    <row r="2038">
      <c r="A2038" s="25" t="inlineStr">
        <is>
          <t>1015316</t>
        </is>
      </c>
      <c r="B2038" s="25" t="inlineStr">
        <is>
          <t>AKÜ,D26,DK,72AH,IGYA,PILOT PERFORMANCE</t>
        </is>
      </c>
      <c r="C2038" s="25" t="inlineStr">
        <is>
          <t>1</t>
        </is>
      </c>
      <c r="D2038" s="25" t="inlineStr">
        <is>
          <t>ST-048-EUR-02</t>
        </is>
      </c>
      <c r="E2038" s="25" t="inlineStr">
        <is>
          <t>IA-ST-048-EUR-02</t>
        </is>
      </c>
      <c r="F2038" s="25" t="inlineStr">
        <is>
          <t>IA-ST-CFG-0107</t>
        </is>
      </c>
      <c r="G2038" s="25" t="n">
        <v>32.3872</v>
      </c>
      <c r="H2038" s="25" t="inlineStr">
        <is>
          <t>988-pack GENERATED</t>
        </is>
      </c>
    </row>
    <row r="2039">
      <c r="A2039" s="25" t="inlineStr">
        <is>
          <t>1015317</t>
        </is>
      </c>
      <c r="B2039" s="25" t="inlineStr">
        <is>
          <t>AKÜ,D31,DK,100AH,IGYA,PILOT PERFORMANCE</t>
        </is>
      </c>
      <c r="C2039" s="25" t="inlineStr">
        <is>
          <t>1</t>
        </is>
      </c>
      <c r="D2039" s="25" t="inlineStr">
        <is>
          <t>ST-048-EUR-09</t>
        </is>
      </c>
      <c r="E2039" s="25" t="inlineStr">
        <is>
          <t>IA-ST-048-EUR-09</t>
        </is>
      </c>
      <c r="F2039" s="25" t="inlineStr">
        <is>
          <t>IA-ST-CFG-0115</t>
        </is>
      </c>
      <c r="G2039" s="25" t="n">
        <v>32.8524</v>
      </c>
      <c r="H2039" s="25" t="inlineStr">
        <is>
          <t>988-pack GENERATED</t>
        </is>
      </c>
    </row>
    <row r="2040">
      <c r="A2040" s="25" t="inlineStr">
        <is>
          <t>1015318</t>
        </is>
      </c>
      <c r="B2040" s="25" t="inlineStr">
        <is>
          <t>AKÜ,D31,TK,100AH,IGYA,PILOT PERFORMANCE</t>
        </is>
      </c>
      <c r="C2040" s="25" t="inlineStr">
        <is>
          <t>1</t>
        </is>
      </c>
      <c r="D2040" s="25" t="inlineStr">
        <is>
          <t>ST-048-EUR-09</t>
        </is>
      </c>
      <c r="E2040" s="25" t="inlineStr">
        <is>
          <t>IA-ST-048-EUR-09</t>
        </is>
      </c>
      <c r="F2040" s="25" t="inlineStr">
        <is>
          <t>IA-ST-CFG-0115</t>
        </is>
      </c>
      <c r="G2040" s="25" t="n">
        <v>32.8524</v>
      </c>
      <c r="H2040" s="25" t="inlineStr">
        <is>
          <t>988-pack GENERATED</t>
        </is>
      </c>
    </row>
    <row r="2041">
      <c r="A2041" s="25" t="inlineStr">
        <is>
          <t>1015319</t>
        </is>
      </c>
      <c r="B2041" s="25" t="inlineStr">
        <is>
          <t>AKÜ,NS60,DK,57AH,IGYA,İNCİTAURUS,SHAWKAT</t>
        </is>
      </c>
      <c r="C2041" s="25" t="inlineStr">
        <is>
          <t>1</t>
        </is>
      </c>
      <c r="D2041" s="25" t="inlineStr">
        <is>
          <t>ST-096-STD-03</t>
        </is>
      </c>
      <c r="E2041" s="25" t="inlineStr">
        <is>
          <t>IA-ST-096-STD-03</t>
        </is>
      </c>
      <c r="F2041" s="25" t="inlineStr">
        <is>
          <t>IA-ST-CFG-0272</t>
        </is>
      </c>
      <c r="G2041" s="25" t="n">
        <v>35.3172</v>
      </c>
      <c r="H2041" s="25" t="inlineStr">
        <is>
          <t>988-pack GENERATED</t>
        </is>
      </c>
    </row>
    <row r="2042">
      <c r="A2042" s="29" t="inlineStr">
        <is>
          <t>1015320</t>
        </is>
      </c>
      <c r="B2042" s="29" t="inlineStr">
        <is>
          <t>AKÜ,C-IGYA,DK,230AH,İNCİEFBMAX,TEMSA OEM</t>
        </is>
      </c>
      <c r="C2042" s="29" t="inlineStr">
        <is>
          <t>1</t>
        </is>
      </c>
      <c r="H2042" s="29" t="inlineStr">
        <is>
          <t>NO MAPPING</t>
        </is>
      </c>
    </row>
    <row r="2043">
      <c r="A2043" s="25" t="inlineStr">
        <is>
          <t>1015321</t>
        </is>
      </c>
      <c r="B2043" s="25" t="inlineStr">
        <is>
          <t>AKÜ,D31,DK,90AH,IGYA,SILVER,TÜRKMENİSTAN</t>
        </is>
      </c>
      <c r="C2043" s="25" t="inlineStr">
        <is>
          <t>1</t>
        </is>
      </c>
      <c r="D2043" s="25" t="inlineStr">
        <is>
          <t>ST-054-STD-07</t>
        </is>
      </c>
      <c r="E2043" s="25" t="inlineStr">
        <is>
          <t>IA-ST-054-STD-07</t>
        </is>
      </c>
      <c r="F2043" s="25" t="inlineStr">
        <is>
          <t>IA-ST-CFG-0143</t>
        </is>
      </c>
      <c r="G2043" s="25" t="n">
        <v>33.7838</v>
      </c>
      <c r="H2043" s="25" t="inlineStr">
        <is>
          <t>988-pack GENERATED</t>
        </is>
      </c>
    </row>
    <row r="2044">
      <c r="A2044" s="25" t="inlineStr">
        <is>
          <t>1015322</t>
        </is>
      </c>
      <c r="B2044" s="25" t="inlineStr">
        <is>
          <t>AKÜ,D26,DK,75AH,IGYA SMF,EAS ACTIVA,EURO</t>
        </is>
      </c>
      <c r="C2044" s="25" t="inlineStr">
        <is>
          <t>1</t>
        </is>
      </c>
      <c r="D2044" s="25" t="inlineStr">
        <is>
          <t>ST-048-EUR-02</t>
        </is>
      </c>
      <c r="E2044" s="25" t="inlineStr">
        <is>
          <t>IA-ST-048-EUR-02</t>
        </is>
      </c>
      <c r="F2044" s="25" t="inlineStr">
        <is>
          <t>IA-ST-CFG-0107</t>
        </is>
      </c>
      <c r="G2044" s="25" t="n">
        <v>32.3872</v>
      </c>
      <c r="H2044" s="25" t="inlineStr">
        <is>
          <t>988-pack GENERATED</t>
        </is>
      </c>
    </row>
    <row r="2045">
      <c r="A2045" s="25" t="inlineStr">
        <is>
          <t>1015323</t>
        </is>
      </c>
      <c r="B2045" s="25" t="inlineStr">
        <is>
          <t>AKÜ,D26,TK,75AH,IGYA SMF,EAS ACTIVA,EURO</t>
        </is>
      </c>
      <c r="C2045" s="25" t="inlineStr">
        <is>
          <t>1</t>
        </is>
      </c>
      <c r="D2045" s="25" t="inlineStr">
        <is>
          <t>ST-048-EUR-02</t>
        </is>
      </c>
      <c r="E2045" s="25" t="inlineStr">
        <is>
          <t>IA-ST-048-EUR-02</t>
        </is>
      </c>
      <c r="F2045" s="25" t="inlineStr">
        <is>
          <t>IA-ST-CFG-0107</t>
        </is>
      </c>
      <c r="G2045" s="25" t="n">
        <v>32.3872</v>
      </c>
      <c r="H2045" s="25" t="inlineStr">
        <is>
          <t>988-pack GENERATED</t>
        </is>
      </c>
    </row>
    <row r="2046">
      <c r="A2046" s="25" t="inlineStr">
        <is>
          <t>1015326</t>
        </is>
      </c>
      <c r="B2046" s="25" t="inlineStr">
        <is>
          <t>AKÜ,L5,DK,102AH,IGYA,BLIZZGOLDLINE,MISIR</t>
        </is>
      </c>
      <c r="C2046" s="25" t="inlineStr">
        <is>
          <t>1</t>
        </is>
      </c>
      <c r="D2046" s="25" t="inlineStr">
        <is>
          <t>ST-045-STD-08</t>
        </is>
      </c>
      <c r="E2046" s="25" t="inlineStr">
        <is>
          <t>IA-ST-045-STD-08</t>
        </is>
      </c>
      <c r="F2046" s="25" t="inlineStr">
        <is>
          <t>IA-ST-CFG-0096</t>
        </is>
      </c>
      <c r="G2046" s="25" t="n">
        <v>29.7192</v>
      </c>
      <c r="H2046" s="25" t="inlineStr">
        <is>
          <t>988-pack GENERATED</t>
        </is>
      </c>
    </row>
    <row r="2047">
      <c r="A2047" s="25" t="inlineStr">
        <is>
          <t>1015327</t>
        </is>
      </c>
      <c r="B2047" s="25" t="inlineStr">
        <is>
          <t>AKÜ,C-IGYA,DK,250AH,BLIZZ.GOLDLINE,MISIR</t>
        </is>
      </c>
      <c r="C2047" s="25" t="inlineStr">
        <is>
          <t>1</t>
        </is>
      </c>
      <c r="D2047" s="25" t="inlineStr">
        <is>
          <t>ST-021-STD-03</t>
        </is>
      </c>
      <c r="E2047" s="25" t="inlineStr">
        <is>
          <t>IA-ST-021-STD-03</t>
        </is>
      </c>
      <c r="F2047" s="25" t="inlineStr">
        <is>
          <t>IA-ST-CFG-0023</t>
        </is>
      </c>
      <c r="G2047" s="25" t="n">
        <v>31.8252</v>
      </c>
      <c r="H2047" s="25" t="inlineStr">
        <is>
          <t>988-pack GENERATED</t>
        </is>
      </c>
    </row>
  </sheetData>
  <autoFilter ref="A1:H204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8" customHeight="1">
      <c r="A1" s="23" t="inlineStr">
        <is>
          <t>ERP Component Code</t>
        </is>
      </c>
      <c r="B1" s="23" t="inlineStr">
        <is>
          <t>Description</t>
        </is>
      </c>
      <c r="C1" s="23" t="inlineStr">
        <is>
          <t>Component Type</t>
        </is>
      </c>
      <c r="D1" s="23" t="inlineStr">
        <is>
          <t>Material Family</t>
        </is>
      </c>
      <c r="E1" s="23" t="inlineStr">
        <is>
          <t>UOM</t>
        </is>
      </c>
      <c r="F1" s="23" t="inlineStr">
        <is>
          <t>Controlled Unit Weight (g)</t>
        </is>
      </c>
      <c r="G1" s="23" t="inlineStr">
        <is>
          <t>Supplier</t>
        </is>
      </c>
      <c r="H1" s="23" t="inlineStr">
        <is>
          <t>Evidence Status</t>
        </is>
      </c>
      <c r="I1" s="23" t="inlineStr">
        <is>
          <t>Configs Using Component</t>
        </is>
      </c>
    </row>
    <row r="2">
      <c r="A2" s="25" t="inlineStr">
        <is>
          <t>3503036</t>
        </is>
      </c>
      <c r="B2" s="25" t="inlineStr">
        <is>
          <t>END OTO DOLUM SAF SU BIDONU 25L</t>
        </is>
      </c>
      <c r="C2" s="25" t="inlineStr">
        <is>
          <t>14</t>
        </is>
      </c>
      <c r="D2" s="25" t="inlineStr"/>
      <c r="E2" s="25" t="inlineStr">
        <is>
          <t>ADT</t>
        </is>
      </c>
      <c r="F2" s="25" t="n">
        <v>1140</v>
      </c>
      <c r="G2" s="25" t="inlineStr"/>
      <c r="H2" s="25" t="inlineStr">
        <is>
          <t>See evidence archive</t>
        </is>
      </c>
      <c r="I2" s="25" t="n">
        <v>1</v>
      </c>
    </row>
    <row r="3">
      <c r="A3" s="25" t="inlineStr">
        <is>
          <t>3506099</t>
        </is>
      </c>
      <c r="B3" s="25" t="inlineStr">
        <is>
          <t>END OTO DOLUM SAF SU BIDONU 20L</t>
        </is>
      </c>
      <c r="C3" s="25" t="inlineStr">
        <is>
          <t>14</t>
        </is>
      </c>
      <c r="D3" s="25" t="inlineStr"/>
      <c r="E3" s="25" t="inlineStr">
        <is>
          <t>ADT</t>
        </is>
      </c>
      <c r="F3" s="25" t="n">
        <v>1140</v>
      </c>
      <c r="G3" s="25" t="inlineStr"/>
      <c r="H3" s="25" t="inlineStr">
        <is>
          <t>See evidence archive</t>
        </is>
      </c>
      <c r="I3" s="25" t="n">
        <v>2</v>
      </c>
    </row>
    <row r="4">
      <c r="A4" s="25" t="inlineStr">
        <is>
          <t>4000033</t>
        </is>
      </c>
      <c r="B4" s="25" t="inlineStr">
        <is>
          <t>KARTON KÖŞEBENT,4cm*4cm*4*100cm,SEVPLT</t>
        </is>
      </c>
      <c r="C4" s="25" t="inlineStr">
        <is>
          <t>14</t>
        </is>
      </c>
      <c r="D4" s="25" t="inlineStr"/>
      <c r="E4" s="25" t="inlineStr">
        <is>
          <t>ADT</t>
        </is>
      </c>
      <c r="F4" s="25" t="n">
        <v>210</v>
      </c>
      <c r="G4" s="25" t="inlineStr"/>
      <c r="H4" s="25" t="inlineStr">
        <is>
          <t>See evidence archive</t>
        </is>
      </c>
      <c r="I4" s="25" t="n">
        <v>78</v>
      </c>
    </row>
    <row r="5">
      <c r="A5" s="25" t="inlineStr">
        <is>
          <t>4000035</t>
        </is>
      </c>
      <c r="B5" s="25" t="inlineStr">
        <is>
          <t>STRECH,23MC,50CM*300M</t>
        </is>
      </c>
      <c r="C5" s="25" t="inlineStr">
        <is>
          <t>14</t>
        </is>
      </c>
      <c r="D5" s="25" t="inlineStr"/>
      <c r="E5" s="25" t="inlineStr">
        <is>
          <t>ADT</t>
        </is>
      </c>
      <c r="F5" s="25" t="n">
        <v>14.85</v>
      </c>
      <c r="G5" s="25" t="inlineStr"/>
      <c r="H5" s="25" t="inlineStr">
        <is>
          <t>See evidence archive</t>
        </is>
      </c>
      <c r="I5" s="25" t="n">
        <v>3</v>
      </c>
    </row>
    <row r="6">
      <c r="A6" s="25" t="inlineStr">
        <is>
          <t>4000037</t>
        </is>
      </c>
      <c r="B6" s="25" t="inlineStr">
        <is>
          <t>PALET STANDART,1030*1110*152</t>
        </is>
      </c>
      <c r="C6" s="25" t="inlineStr">
        <is>
          <t>14</t>
        </is>
      </c>
      <c r="D6" s="25" t="inlineStr"/>
      <c r="E6" s="25" t="inlineStr">
        <is>
          <t>ADT</t>
        </is>
      </c>
      <c r="F6" s="25" t="n">
        <v>26000</v>
      </c>
      <c r="G6" s="25" t="inlineStr"/>
      <c r="H6" s="25" t="inlineStr">
        <is>
          <t>See evidence archive</t>
        </is>
      </c>
      <c r="I6" s="25" t="n">
        <v>150</v>
      </c>
    </row>
    <row r="7">
      <c r="A7" s="25" t="inlineStr">
        <is>
          <t>4000038</t>
        </is>
      </c>
      <c r="B7" s="25" t="inlineStr">
        <is>
          <t>PALET EURO,800*1200*152</t>
        </is>
      </c>
      <c r="C7" s="25" t="inlineStr">
        <is>
          <t>14</t>
        </is>
      </c>
      <c r="D7" s="25" t="inlineStr"/>
      <c r="E7" s="25" t="inlineStr">
        <is>
          <t>ADT</t>
        </is>
      </c>
      <c r="F7" s="25" t="n">
        <v>26000</v>
      </c>
      <c r="G7" s="25" t="inlineStr"/>
      <c r="H7" s="25" t="inlineStr">
        <is>
          <t>See evidence archive</t>
        </is>
      </c>
      <c r="I7" s="25" t="n">
        <v>88</v>
      </c>
    </row>
    <row r="8">
      <c r="A8" s="25" t="inlineStr">
        <is>
          <t>4000130</t>
        </is>
      </c>
      <c r="B8" s="25" t="inlineStr">
        <is>
          <t>KARTON SEPERATÖR,102*105,B DALGA</t>
        </is>
      </c>
      <c r="C8" s="25" t="inlineStr">
        <is>
          <t>14</t>
        </is>
      </c>
      <c r="D8" s="25" t="inlineStr"/>
      <c r="E8" s="25" t="inlineStr">
        <is>
          <t>ADT</t>
        </is>
      </c>
      <c r="F8" s="25" t="n">
        <v>270</v>
      </c>
      <c r="G8" s="25" t="inlineStr"/>
      <c r="H8" s="25" t="inlineStr">
        <is>
          <t>See evidence archive</t>
        </is>
      </c>
      <c r="I8" s="25" t="n">
        <v>154</v>
      </c>
    </row>
    <row r="9">
      <c r="A9" s="25" t="inlineStr">
        <is>
          <t>4000300</t>
        </is>
      </c>
      <c r="B9" s="25" t="inlineStr">
        <is>
          <t>STRECH,23MC,50CM*1500M,MAKİNA STRECH</t>
        </is>
      </c>
      <c r="C9" s="25" t="inlineStr">
        <is>
          <t>14</t>
        </is>
      </c>
      <c r="D9" s="25" t="inlineStr"/>
      <c r="E9" s="25" t="inlineStr">
        <is>
          <t>ADT</t>
        </is>
      </c>
      <c r="F9" s="25" t="n">
        <v>18.32</v>
      </c>
      <c r="G9" s="25" t="inlineStr"/>
      <c r="H9" s="25" t="inlineStr">
        <is>
          <t>See evidence archive</t>
        </is>
      </c>
      <c r="I9" s="25" t="n">
        <v>240</v>
      </c>
    </row>
    <row r="10">
      <c r="A10" s="25" t="inlineStr">
        <is>
          <t>4000301</t>
        </is>
      </c>
      <c r="B10" s="25" t="inlineStr">
        <is>
          <t>STRECH PED,80MC,140CM*170CM</t>
        </is>
      </c>
      <c r="C10" s="25" t="inlineStr">
        <is>
          <t>14</t>
        </is>
      </c>
      <c r="D10" s="25" t="inlineStr"/>
      <c r="E10" s="25" t="inlineStr">
        <is>
          <t>ADT</t>
        </is>
      </c>
      <c r="F10" s="25" t="n">
        <v>1000</v>
      </c>
      <c r="G10" s="25" t="inlineStr"/>
      <c r="H10" s="25" t="inlineStr">
        <is>
          <t>See evidence archive</t>
        </is>
      </c>
      <c r="I10" s="25" t="n">
        <v>221</v>
      </c>
    </row>
    <row r="11">
      <c r="A11" s="25" t="inlineStr">
        <is>
          <t>4000350</t>
        </is>
      </c>
      <c r="B11" s="25" t="inlineStr">
        <is>
          <t>PALET STANDART 100*90 CM</t>
        </is>
      </c>
      <c r="C11" s="25" t="inlineStr">
        <is>
          <t>14</t>
        </is>
      </c>
      <c r="D11" s="25" t="inlineStr"/>
      <c r="E11" s="25" t="inlineStr">
        <is>
          <t>ADT</t>
        </is>
      </c>
      <c r="F11" s="25" t="n">
        <v>20000</v>
      </c>
      <c r="G11" s="25" t="inlineStr"/>
      <c r="H11" s="25" t="inlineStr">
        <is>
          <t>See evidence archive</t>
        </is>
      </c>
      <c r="I11" s="25" t="n">
        <v>2</v>
      </c>
    </row>
    <row r="12">
      <c r="A12" s="25" t="inlineStr">
        <is>
          <t>4000370</t>
        </is>
      </c>
      <c r="B12" s="25" t="inlineStr">
        <is>
          <t>STRAFOR,1050*1000*40,TABAKA,STANDART</t>
        </is>
      </c>
      <c r="C12" s="25" t="inlineStr">
        <is>
          <t>14</t>
        </is>
      </c>
      <c r="D12" s="25" t="inlineStr"/>
      <c r="E12" s="25" t="inlineStr">
        <is>
          <t>ADT</t>
        </is>
      </c>
      <c r="F12" s="25" t="n">
        <v>104</v>
      </c>
      <c r="G12" s="25" t="inlineStr"/>
      <c r="H12" s="25" t="inlineStr">
        <is>
          <t>See evidence archive</t>
        </is>
      </c>
      <c r="I12" s="25" t="n">
        <v>10</v>
      </c>
    </row>
    <row r="13">
      <c r="A13" s="25" t="inlineStr">
        <is>
          <t>4000440</t>
        </is>
      </c>
      <c r="B13" s="25" t="inlineStr">
        <is>
          <t>D26,VAKUM PVC,ÜST KAPAK</t>
        </is>
      </c>
      <c r="C13" s="25" t="inlineStr">
        <is>
          <t>14</t>
        </is>
      </c>
      <c r="D13" s="25" t="inlineStr"/>
      <c r="E13" s="25" t="inlineStr">
        <is>
          <t>ADT</t>
        </is>
      </c>
      <c r="F13" s="25" t="n">
        <v>64</v>
      </c>
      <c r="G13" s="25" t="inlineStr"/>
      <c r="H13" s="25" t="inlineStr">
        <is>
          <t>See evidence archive</t>
        </is>
      </c>
      <c r="I13" s="25" t="n">
        <v>4</v>
      </c>
    </row>
    <row r="14">
      <c r="A14" s="25" t="inlineStr">
        <is>
          <t>4000450</t>
        </is>
      </c>
      <c r="B14" s="25" t="inlineStr">
        <is>
          <t>SIGNODE ÇEMBER 1260 2000M 3000N 12.0X0.6</t>
        </is>
      </c>
      <c r="C14" s="25" t="inlineStr">
        <is>
          <t>14</t>
        </is>
      </c>
      <c r="D14" s="25" t="inlineStr"/>
      <c r="E14" s="25" t="inlineStr">
        <is>
          <t>ADT</t>
        </is>
      </c>
      <c r="F14" s="25" t="n">
        <v>12.4</v>
      </c>
      <c r="G14" s="25" t="inlineStr"/>
      <c r="H14" s="25" t="inlineStr">
        <is>
          <t>See evidence archive</t>
        </is>
      </c>
      <c r="I14" s="25" t="n">
        <v>216</v>
      </c>
    </row>
    <row r="15">
      <c r="A15" s="25" t="inlineStr">
        <is>
          <t>4000461</t>
        </is>
      </c>
      <c r="B15" s="25" t="inlineStr">
        <is>
          <t>D23,VAKUM PVC ,ÜST KAPAK</t>
        </is>
      </c>
      <c r="C15" s="25" t="inlineStr">
        <is>
          <t>14</t>
        </is>
      </c>
      <c r="D15" s="25" t="inlineStr"/>
      <c r="E15" s="25" t="inlineStr">
        <is>
          <t>ADT</t>
        </is>
      </c>
      <c r="F15" s="25" t="n">
        <v>51.07</v>
      </c>
      <c r="G15" s="25" t="inlineStr"/>
      <c r="H15" s="25" t="inlineStr">
        <is>
          <t>See evidence archive</t>
        </is>
      </c>
      <c r="I15" s="25" t="n">
        <v>3</v>
      </c>
    </row>
    <row r="16">
      <c r="A16" s="25" t="inlineStr">
        <is>
          <t>4000490</t>
        </is>
      </c>
      <c r="B16" s="25" t="inlineStr">
        <is>
          <t>D20,VAKUM PVC ,ÜST KAPAK</t>
        </is>
      </c>
      <c r="C16" s="25" t="inlineStr">
        <is>
          <t>14</t>
        </is>
      </c>
      <c r="D16" s="25" t="inlineStr"/>
      <c r="E16" s="25" t="inlineStr">
        <is>
          <t>ADT</t>
        </is>
      </c>
      <c r="F16" s="25" t="n">
        <v>0.61</v>
      </c>
      <c r="G16" s="25" t="inlineStr"/>
      <c r="H16" s="25" t="inlineStr">
        <is>
          <t>See evidence archive</t>
        </is>
      </c>
      <c r="I16" s="25" t="n">
        <v>2</v>
      </c>
    </row>
    <row r="17">
      <c r="A17" s="25" t="inlineStr">
        <is>
          <t>4000491</t>
        </is>
      </c>
      <c r="B17" s="25" t="inlineStr">
        <is>
          <t>AMBALAJ,OSB,81*122</t>
        </is>
      </c>
      <c r="C17" s="25" t="inlineStr">
        <is>
          <t>14</t>
        </is>
      </c>
      <c r="D17" s="25" t="inlineStr"/>
      <c r="E17" s="25" t="inlineStr">
        <is>
          <t>ADT</t>
        </is>
      </c>
      <c r="F17" s="25" t="n">
        <v>7000</v>
      </c>
      <c r="G17" s="25" t="inlineStr"/>
      <c r="H17" s="25" t="inlineStr">
        <is>
          <t>See evidence archive</t>
        </is>
      </c>
      <c r="I17" s="25" t="n">
        <v>1</v>
      </c>
    </row>
    <row r="18">
      <c r="A18" s="25" t="inlineStr">
        <is>
          <t>4000493</t>
        </is>
      </c>
      <c r="B18" s="25" t="inlineStr">
        <is>
          <t>TANK,VAKUM PVC ,ÜST KAPAK</t>
        </is>
      </c>
      <c r="C18" s="25" t="inlineStr">
        <is>
          <t>14</t>
        </is>
      </c>
      <c r="D18" s="25" t="inlineStr"/>
      <c r="E18" s="25" t="inlineStr">
        <is>
          <t>ADT</t>
        </is>
      </c>
      <c r="F18" s="25" t="n">
        <v>91.88</v>
      </c>
      <c r="G18" s="25" t="inlineStr"/>
      <c r="H18" s="25" t="inlineStr">
        <is>
          <t>See evidence archive</t>
        </is>
      </c>
      <c r="I18" s="25" t="n">
        <v>2</v>
      </c>
    </row>
    <row r="19">
      <c r="A19" s="25" t="inlineStr">
        <is>
          <t>4000494</t>
        </is>
      </c>
      <c r="B19" s="25" t="inlineStr">
        <is>
          <t>TRAKTÖR,VAKUM PVC ,ÜST KAPAK</t>
        </is>
      </c>
      <c r="C19" s="25" t="inlineStr">
        <is>
          <t>14</t>
        </is>
      </c>
      <c r="D19" s="25" t="inlineStr"/>
      <c r="E19" s="25" t="inlineStr">
        <is>
          <t>ADT</t>
        </is>
      </c>
      <c r="F19" s="25" t="n">
        <v>80.68000000000001</v>
      </c>
      <c r="G19" s="25" t="inlineStr"/>
      <c r="H19" s="25" t="inlineStr">
        <is>
          <t>See evidence archive</t>
        </is>
      </c>
      <c r="I19" s="25" t="n">
        <v>3</v>
      </c>
    </row>
    <row r="20">
      <c r="A20" s="25" t="inlineStr">
        <is>
          <t>4000554</t>
        </is>
      </c>
      <c r="B20" s="25" t="inlineStr">
        <is>
          <t>SHRINK,45CM,100MC</t>
        </is>
      </c>
      <c r="C20" s="25" t="inlineStr">
        <is>
          <t>14</t>
        </is>
      </c>
      <c r="D20" s="25" t="inlineStr"/>
      <c r="E20" s="25" t="inlineStr">
        <is>
          <t>ADT</t>
        </is>
      </c>
      <c r="F20" s="25" t="n">
        <v>1000</v>
      </c>
      <c r="G20" s="25" t="inlineStr"/>
      <c r="H20" s="25" t="inlineStr">
        <is>
          <t>See evidence archive</t>
        </is>
      </c>
      <c r="I20" s="25" t="n">
        <v>13</v>
      </c>
    </row>
    <row r="21">
      <c r="A21" s="25" t="inlineStr">
        <is>
          <t>4000555</t>
        </is>
      </c>
      <c r="B21" s="25" t="inlineStr">
        <is>
          <t>SHRINK,30CM,100MC</t>
        </is>
      </c>
      <c r="C21" s="25" t="inlineStr">
        <is>
          <t>14</t>
        </is>
      </c>
      <c r="D21" s="25" t="inlineStr"/>
      <c r="E21" s="25" t="inlineStr">
        <is>
          <t>ADT</t>
        </is>
      </c>
      <c r="F21" s="25" t="n">
        <v>1000</v>
      </c>
      <c r="G21" s="25" t="inlineStr"/>
      <c r="H21" s="25" t="inlineStr">
        <is>
          <t>See evidence archive</t>
        </is>
      </c>
      <c r="I21" s="25" t="n">
        <v>6</v>
      </c>
    </row>
    <row r="22">
      <c r="A22" s="25" t="inlineStr">
        <is>
          <t>4000556</t>
        </is>
      </c>
      <c r="B22" s="25" t="inlineStr">
        <is>
          <t>SHRINK,35CM,100MC</t>
        </is>
      </c>
      <c r="C22" s="25" t="inlineStr">
        <is>
          <t>14</t>
        </is>
      </c>
      <c r="D22" s="25" t="inlineStr"/>
      <c r="E22" s="25" t="inlineStr">
        <is>
          <t>ADT</t>
        </is>
      </c>
      <c r="F22" s="25" t="n">
        <v>1000</v>
      </c>
      <c r="G22" s="25" t="inlineStr"/>
      <c r="H22" s="25" t="inlineStr">
        <is>
          <t>See evidence archive</t>
        </is>
      </c>
      <c r="I22" s="25" t="n">
        <v>14</v>
      </c>
    </row>
    <row r="23">
      <c r="A23" s="25" t="inlineStr">
        <is>
          <t>4000557</t>
        </is>
      </c>
      <c r="B23" s="25" t="inlineStr">
        <is>
          <t>SHRINK,65CM,100MC</t>
        </is>
      </c>
      <c r="C23" s="25" t="inlineStr">
        <is>
          <t>14</t>
        </is>
      </c>
      <c r="D23" s="25" t="inlineStr"/>
      <c r="E23" s="25" t="inlineStr">
        <is>
          <t>ADT</t>
        </is>
      </c>
      <c r="F23" s="25" t="n">
        <v>1000</v>
      </c>
      <c r="G23" s="25" t="inlineStr"/>
      <c r="H23" s="25" t="inlineStr">
        <is>
          <t>See evidence archive</t>
        </is>
      </c>
      <c r="I23" s="25" t="n">
        <v>17</v>
      </c>
    </row>
    <row r="24">
      <c r="A24" s="25" t="inlineStr">
        <is>
          <t>4000558</t>
        </is>
      </c>
      <c r="B24" s="25" t="inlineStr">
        <is>
          <t>SHRINK,40CM,100MC</t>
        </is>
      </c>
      <c r="C24" s="25" t="inlineStr">
        <is>
          <t>14</t>
        </is>
      </c>
      <c r="D24" s="25" t="inlineStr"/>
      <c r="E24" s="25" t="inlineStr">
        <is>
          <t>ADT</t>
        </is>
      </c>
      <c r="F24" s="25" t="n">
        <v>1000</v>
      </c>
      <c r="G24" s="25" t="inlineStr"/>
      <c r="H24" s="25" t="inlineStr">
        <is>
          <t>See evidence archive</t>
        </is>
      </c>
      <c r="I24" s="25" t="n">
        <v>27</v>
      </c>
    </row>
    <row r="25">
      <c r="A25" s="25" t="inlineStr">
        <is>
          <t>4000573</t>
        </is>
      </c>
      <c r="B25" s="25" t="inlineStr">
        <is>
          <t>STRAFOR,ÇUBUK,4*5*110 cm</t>
        </is>
      </c>
      <c r="C25" s="25" t="inlineStr">
        <is>
          <t>14</t>
        </is>
      </c>
      <c r="D25" s="25" t="inlineStr"/>
      <c r="E25" s="25" t="inlineStr">
        <is>
          <t>ADT</t>
        </is>
      </c>
      <c r="F25" s="25" t="n">
        <v>52</v>
      </c>
      <c r="G25" s="25" t="inlineStr"/>
      <c r="H25" s="25" t="inlineStr">
        <is>
          <t>See evidence archive</t>
        </is>
      </c>
      <c r="I25" s="25" t="n">
        <v>2</v>
      </c>
    </row>
    <row r="26">
      <c r="A26" s="25" t="inlineStr">
        <is>
          <t>4000590</t>
        </is>
      </c>
      <c r="B26" s="25" t="inlineStr">
        <is>
          <t>KARTON KÖŞEBENT,4cm*4cm*4*75cm,SEV.PLT</t>
        </is>
      </c>
      <c r="C26" s="25" t="inlineStr">
        <is>
          <t>14</t>
        </is>
      </c>
      <c r="D26" s="25" t="inlineStr"/>
      <c r="E26" s="25" t="inlineStr">
        <is>
          <t>ADT</t>
        </is>
      </c>
      <c r="F26" s="25" t="n">
        <v>100</v>
      </c>
      <c r="G26" s="25" t="inlineStr"/>
      <c r="H26" s="25" t="inlineStr">
        <is>
          <t>See evidence archive</t>
        </is>
      </c>
      <c r="I26" s="25" t="n">
        <v>128</v>
      </c>
    </row>
    <row r="27">
      <c r="A27" s="25" t="inlineStr">
        <is>
          <t>4000591</t>
        </is>
      </c>
      <c r="B27" s="25" t="inlineStr">
        <is>
          <t>B TİPİ,VAKUM PVC ,ÜST KAPAK</t>
        </is>
      </c>
      <c r="C27" s="25" t="inlineStr">
        <is>
          <t>14</t>
        </is>
      </c>
      <c r="D27" s="25" t="inlineStr"/>
      <c r="E27" s="25" t="inlineStr">
        <is>
          <t>ADT</t>
        </is>
      </c>
      <c r="F27" s="25" t="n">
        <v>101.61</v>
      </c>
      <c r="G27" s="25" t="inlineStr"/>
      <c r="H27" s="25" t="inlineStr">
        <is>
          <t>See evidence archive</t>
        </is>
      </c>
      <c r="I27" s="25" t="n">
        <v>1</v>
      </c>
    </row>
    <row r="28">
      <c r="A28" s="25" t="inlineStr">
        <is>
          <t>4000601</t>
        </is>
      </c>
      <c r="B28" s="25" t="inlineStr">
        <is>
          <t>NS40,VAKUM PVC,ÜST KAPAK</t>
        </is>
      </c>
      <c r="C28" s="25" t="inlineStr">
        <is>
          <t>14</t>
        </is>
      </c>
      <c r="D28" s="25" t="inlineStr"/>
      <c r="E28" s="25" t="inlineStr">
        <is>
          <t>ADT</t>
        </is>
      </c>
      <c r="F28" s="25" t="n">
        <v>36.73</v>
      </c>
      <c r="G28" s="25" t="inlineStr"/>
      <c r="H28" s="25" t="inlineStr">
        <is>
          <t>See evidence archive</t>
        </is>
      </c>
      <c r="I28" s="25" t="n">
        <v>3</v>
      </c>
    </row>
    <row r="29">
      <c r="A29" s="25" t="inlineStr">
        <is>
          <t>4000602</t>
        </is>
      </c>
      <c r="B29" s="25" t="inlineStr">
        <is>
          <t>NS60,VAKUM PVC,ÜST KAPAK</t>
        </is>
      </c>
      <c r="C29" s="25" t="inlineStr">
        <is>
          <t>14</t>
        </is>
      </c>
      <c r="D29" s="25" t="inlineStr"/>
      <c r="E29" s="25" t="inlineStr">
        <is>
          <t>ADT</t>
        </is>
      </c>
      <c r="F29" s="25" t="n">
        <v>46.7</v>
      </c>
      <c r="G29" s="25" t="inlineStr"/>
      <c r="H29" s="25" t="inlineStr">
        <is>
          <t>See evidence archive</t>
        </is>
      </c>
      <c r="I29" s="25" t="n">
        <v>3</v>
      </c>
    </row>
    <row r="30">
      <c r="A30" s="25" t="inlineStr">
        <is>
          <t>4000608</t>
        </is>
      </c>
      <c r="B30" s="25" t="inlineStr">
        <is>
          <t>SHRINK,50CM,100MC</t>
        </is>
      </c>
      <c r="C30" s="25" t="inlineStr">
        <is>
          <t>14</t>
        </is>
      </c>
      <c r="D30" s="25" t="inlineStr"/>
      <c r="E30" s="25" t="inlineStr">
        <is>
          <t>ADT</t>
        </is>
      </c>
      <c r="F30" s="25" t="n">
        <v>1000</v>
      </c>
      <c r="G30" s="25" t="inlineStr"/>
      <c r="H30" s="25" t="inlineStr">
        <is>
          <t>See evidence archive</t>
        </is>
      </c>
      <c r="I30" s="25" t="n">
        <v>14</v>
      </c>
    </row>
    <row r="31">
      <c r="A31" s="25" t="inlineStr">
        <is>
          <t>4000609</t>
        </is>
      </c>
      <c r="B31" s="25" t="inlineStr">
        <is>
          <t>KARTON SEPERATÖR,80*117.5,EURO</t>
        </is>
      </c>
      <c r="C31" s="25" t="inlineStr">
        <is>
          <t>14</t>
        </is>
      </c>
      <c r="D31" s="25" t="inlineStr"/>
      <c r="E31" s="25" t="inlineStr">
        <is>
          <t>ADT</t>
        </is>
      </c>
      <c r="F31" s="25" t="n">
        <v>200</v>
      </c>
      <c r="G31" s="25" t="inlineStr"/>
      <c r="H31" s="25" t="inlineStr">
        <is>
          <t>See evidence archive</t>
        </is>
      </c>
      <c r="I31" s="25" t="n">
        <v>88</v>
      </c>
    </row>
    <row r="32">
      <c r="A32" s="25" t="inlineStr">
        <is>
          <t>4000620</t>
        </is>
      </c>
      <c r="B32" s="25" t="inlineStr">
        <is>
          <t>NS40,VAKUM PVC,ÜST KAPAK KOLİ İÇİN</t>
        </is>
      </c>
      <c r="C32" s="25" t="inlineStr">
        <is>
          <t>14</t>
        </is>
      </c>
      <c r="D32" s="25" t="inlineStr"/>
      <c r="E32" s="25" t="inlineStr">
        <is>
          <t>ADT</t>
        </is>
      </c>
      <c r="F32" s="25" t="n">
        <v>36.73</v>
      </c>
      <c r="G32" s="25" t="inlineStr"/>
      <c r="H32" s="25" t="inlineStr">
        <is>
          <t>See evidence archive</t>
        </is>
      </c>
      <c r="I32" s="25" t="n">
        <v>2</v>
      </c>
    </row>
    <row r="33">
      <c r="A33" s="25" t="inlineStr">
        <is>
          <t>4000621</t>
        </is>
      </c>
      <c r="B33" s="25" t="inlineStr">
        <is>
          <t>NS60,VAKUM PVC,ÜST KAPAK KOLİ İÇİN</t>
        </is>
      </c>
      <c r="C33" s="25" t="inlineStr">
        <is>
          <t>14</t>
        </is>
      </c>
      <c r="D33" s="25" t="inlineStr"/>
      <c r="E33" s="25" t="inlineStr">
        <is>
          <t>ADT</t>
        </is>
      </c>
      <c r="F33" s="25" t="n">
        <v>46.7</v>
      </c>
      <c r="G33" s="25" t="inlineStr"/>
      <c r="H33" s="25" t="inlineStr">
        <is>
          <t>See evidence archive</t>
        </is>
      </c>
      <c r="I33" s="25" t="n">
        <v>1</v>
      </c>
    </row>
    <row r="34">
      <c r="A34" s="25" t="inlineStr">
        <is>
          <t>4000630</t>
        </is>
      </c>
      <c r="B34" s="25" t="inlineStr">
        <is>
          <t>KOLİ,NS40 EAS ACTIVA  PENCERESİZ,B00</t>
        </is>
      </c>
      <c r="C34" s="25" t="inlineStr">
        <is>
          <t>14</t>
        </is>
      </c>
      <c r="D34" s="25" t="inlineStr"/>
      <c r="E34" s="25" t="inlineStr">
        <is>
          <t>ADT</t>
        </is>
      </c>
      <c r="F34" s="25" t="n">
        <v>210</v>
      </c>
      <c r="G34" s="25" t="inlineStr"/>
      <c r="H34" s="25" t="inlineStr">
        <is>
          <t>See evidence archive</t>
        </is>
      </c>
      <c r="I34" s="25" t="n">
        <v>1</v>
      </c>
    </row>
    <row r="35">
      <c r="A35" s="25" t="inlineStr">
        <is>
          <t>4000631</t>
        </is>
      </c>
      <c r="B35" s="25" t="inlineStr">
        <is>
          <t>KOLİ,NS60 EAS ACTIVA  PENCERESİZ</t>
        </is>
      </c>
      <c r="C35" s="25" t="inlineStr">
        <is>
          <t>14</t>
        </is>
      </c>
      <c r="D35" s="25" t="inlineStr"/>
      <c r="E35" s="25" t="inlineStr">
        <is>
          <t>ADT</t>
        </is>
      </c>
      <c r="F35" s="25" t="n">
        <v>190</v>
      </c>
      <c r="G35" s="25" t="inlineStr"/>
      <c r="H35" s="25" t="inlineStr">
        <is>
          <t>See evidence archive</t>
        </is>
      </c>
      <c r="I35" s="25" t="n">
        <v>1</v>
      </c>
    </row>
    <row r="36">
      <c r="A36" s="25" t="inlineStr">
        <is>
          <t>4000644</t>
        </is>
      </c>
      <c r="B36" s="25" t="inlineStr">
        <is>
          <t>KOLİ,L2,EAS ACTIVA PENCERESİZ</t>
        </is>
      </c>
      <c r="C36" s="25" t="inlineStr">
        <is>
          <t>14</t>
        </is>
      </c>
      <c r="D36" s="25" t="inlineStr"/>
      <c r="E36" s="25" t="inlineStr">
        <is>
          <t>ADT</t>
        </is>
      </c>
      <c r="F36" s="25" t="n">
        <v>240</v>
      </c>
      <c r="G36" s="25" t="inlineStr"/>
      <c r="H36" s="25" t="inlineStr">
        <is>
          <t>See evidence archive</t>
        </is>
      </c>
      <c r="I36" s="25" t="n">
        <v>1</v>
      </c>
    </row>
    <row r="37">
      <c r="A37" s="25" t="inlineStr">
        <is>
          <t>4000645</t>
        </is>
      </c>
      <c r="B37" s="25" t="inlineStr">
        <is>
          <t>KOLİ,L1 EAS ACTIVA PENCERESİZ</t>
        </is>
      </c>
      <c r="C37" s="25" t="inlineStr">
        <is>
          <t>14</t>
        </is>
      </c>
      <c r="D37" s="25" t="inlineStr"/>
      <c r="E37" s="25" t="inlineStr">
        <is>
          <t>ADT</t>
        </is>
      </c>
      <c r="F37" s="25" t="n">
        <v>250</v>
      </c>
      <c r="G37" s="25" t="inlineStr"/>
      <c r="H37" s="25" t="inlineStr">
        <is>
          <t>See evidence archive</t>
        </is>
      </c>
      <c r="I37" s="25" t="n">
        <v>1</v>
      </c>
    </row>
    <row r="38">
      <c r="A38" s="25" t="inlineStr">
        <is>
          <t>4000646</t>
        </is>
      </c>
      <c r="B38" s="25" t="inlineStr">
        <is>
          <t>KOLİ,L3 EAS ACTIVA PENCERESİZ</t>
        </is>
      </c>
      <c r="C38" s="25" t="inlineStr">
        <is>
          <t>14</t>
        </is>
      </c>
      <c r="D38" s="25" t="inlineStr"/>
      <c r="E38" s="25" t="inlineStr">
        <is>
          <t>ADT</t>
        </is>
      </c>
      <c r="F38" s="25" t="n">
        <v>250</v>
      </c>
      <c r="G38" s="25" t="inlineStr"/>
      <c r="H38" s="25" t="inlineStr">
        <is>
          <t>See evidence archive</t>
        </is>
      </c>
      <c r="I38" s="25" t="n">
        <v>1</v>
      </c>
    </row>
    <row r="39">
      <c r="A39" s="25" t="inlineStr">
        <is>
          <t>4000720</t>
        </is>
      </c>
      <c r="B39" s="25" t="inlineStr">
        <is>
          <t>A TİPİ VAKUM PVC ,ÜST KAPAK YENİ</t>
        </is>
      </c>
      <c r="C39" s="25" t="inlineStr">
        <is>
          <t>14</t>
        </is>
      </c>
      <c r="D39" s="25" t="inlineStr"/>
      <c r="E39" s="25" t="inlineStr">
        <is>
          <t>ADT</t>
        </is>
      </c>
      <c r="F39" s="25" t="n">
        <v>101.61</v>
      </c>
      <c r="G39" s="25" t="inlineStr"/>
      <c r="H39" s="25" t="inlineStr">
        <is>
          <t>See evidence archive</t>
        </is>
      </c>
      <c r="I39" s="25" t="n">
        <v>1</v>
      </c>
    </row>
    <row r="40">
      <c r="A40" s="25" t="inlineStr">
        <is>
          <t>4000782</t>
        </is>
      </c>
      <c r="B40" s="25" t="inlineStr">
        <is>
          <t>KOLİ,D31 EAS ACTIV A PENCERESİZ</t>
        </is>
      </c>
      <c r="C40" s="25" t="inlineStr">
        <is>
          <t>14</t>
        </is>
      </c>
      <c r="D40" s="25" t="inlineStr"/>
      <c r="E40" s="25" t="inlineStr">
        <is>
          <t>ADT</t>
        </is>
      </c>
      <c r="F40" s="25" t="n">
        <v>290</v>
      </c>
      <c r="G40" s="25" t="inlineStr"/>
      <c r="H40" s="25" t="inlineStr">
        <is>
          <t>See evidence archive</t>
        </is>
      </c>
      <c r="I40" s="25" t="n">
        <v>2</v>
      </c>
    </row>
    <row r="41">
      <c r="A41" s="25" t="inlineStr">
        <is>
          <t>4000865</t>
        </is>
      </c>
      <c r="B41" s="25" t="inlineStr">
        <is>
          <t>KOLİ,L3 HUGEL ULTRA PENCERESİZ 2013 TAS.</t>
        </is>
      </c>
      <c r="C41" s="25" t="inlineStr">
        <is>
          <t>14</t>
        </is>
      </c>
      <c r="D41" s="25" t="inlineStr"/>
      <c r="E41" s="25" t="inlineStr">
        <is>
          <t>ADT</t>
        </is>
      </c>
      <c r="F41" s="25" t="n">
        <v>250</v>
      </c>
      <c r="G41" s="25" t="inlineStr"/>
      <c r="H41" s="25" t="inlineStr">
        <is>
          <t>See evidence archive</t>
        </is>
      </c>
      <c r="I41" s="25" t="n">
        <v>1</v>
      </c>
    </row>
    <row r="42">
      <c r="A42" s="25" t="inlineStr">
        <is>
          <t>4000973</t>
        </is>
      </c>
      <c r="B42" s="25" t="inlineStr">
        <is>
          <t>END PALET 1150*1300 MM</t>
        </is>
      </c>
      <c r="C42" s="25" t="inlineStr">
        <is>
          <t>14</t>
        </is>
      </c>
      <c r="D42" s="25" t="inlineStr"/>
      <c r="E42" s="25" t="inlineStr">
        <is>
          <t>ADT</t>
        </is>
      </c>
      <c r="F42" s="25" t="n">
        <v>31000</v>
      </c>
      <c r="G42" s="25" t="inlineStr"/>
      <c r="H42" s="25" t="inlineStr">
        <is>
          <t>See evidence archive</t>
        </is>
      </c>
      <c r="I42" s="25" t="n">
        <v>1</v>
      </c>
    </row>
    <row r="43">
      <c r="A43" s="25" t="inlineStr">
        <is>
          <t>4001005</t>
        </is>
      </c>
      <c r="B43" s="25" t="inlineStr">
        <is>
          <t>END PALET 800*1250</t>
        </is>
      </c>
      <c r="C43" s="25" t="inlineStr">
        <is>
          <t>14</t>
        </is>
      </c>
      <c r="D43" s="25" t="inlineStr"/>
      <c r="E43" s="25" t="inlineStr">
        <is>
          <t>ADT</t>
        </is>
      </c>
      <c r="F43" s="25" t="n">
        <v>26000</v>
      </c>
      <c r="G43" s="25" t="inlineStr"/>
      <c r="H43" s="25" t="inlineStr">
        <is>
          <t>See evidence archive</t>
        </is>
      </c>
      <c r="I43" s="25" t="n">
        <v>2</v>
      </c>
    </row>
    <row r="44">
      <c r="A44" s="25" t="inlineStr">
        <is>
          <t>4001006</t>
        </is>
      </c>
      <c r="B44" s="25" t="inlineStr">
        <is>
          <t>KOLİ,L5 EAS ACTIV A  PENCERESİZ</t>
        </is>
      </c>
      <c r="C44" s="25" t="inlineStr">
        <is>
          <t>14</t>
        </is>
      </c>
      <c r="D44" s="25" t="inlineStr"/>
      <c r="E44" s="25" t="inlineStr">
        <is>
          <t>ADT</t>
        </is>
      </c>
      <c r="F44" s="25" t="n">
        <v>330</v>
      </c>
      <c r="G44" s="25" t="inlineStr"/>
      <c r="H44" s="25" t="inlineStr">
        <is>
          <t>See evidence archive</t>
        </is>
      </c>
      <c r="I44" s="25" t="n">
        <v>1</v>
      </c>
    </row>
    <row r="45">
      <c r="A45" s="25" t="inlineStr">
        <is>
          <t>4001010</t>
        </is>
      </c>
      <c r="B45" s="25" t="inlineStr">
        <is>
          <t>D26,VAKUM PVC ,ÜST KAPAK,KOLİ İÇİN</t>
        </is>
      </c>
      <c r="C45" s="25" t="inlineStr">
        <is>
          <t>14</t>
        </is>
      </c>
      <c r="D45" s="25" t="inlineStr"/>
      <c r="E45" s="25" t="inlineStr">
        <is>
          <t>ADT</t>
        </is>
      </c>
      <c r="F45" s="25" t="n">
        <v>64</v>
      </c>
      <c r="G45" s="25" t="inlineStr"/>
      <c r="H45" s="25" t="inlineStr">
        <is>
          <t>See evidence archive</t>
        </is>
      </c>
      <c r="I45" s="25" t="n">
        <v>3</v>
      </c>
    </row>
    <row r="46">
      <c r="A46" s="25" t="inlineStr">
        <is>
          <t>4001102</t>
        </is>
      </c>
      <c r="B46" s="25" t="inlineStr">
        <is>
          <t>KOLİ,L2,YUASA,PENCERESİZ,ORTA DOĞU</t>
        </is>
      </c>
      <c r="C46" s="25" t="inlineStr">
        <is>
          <t>14</t>
        </is>
      </c>
      <c r="D46" s="25" t="inlineStr"/>
      <c r="E46" s="25" t="inlineStr">
        <is>
          <t>ADT</t>
        </is>
      </c>
      <c r="F46" s="25" t="n">
        <v>240</v>
      </c>
      <c r="G46" s="25" t="inlineStr"/>
      <c r="H46" s="25" t="inlineStr">
        <is>
          <t>See evidence archive</t>
        </is>
      </c>
      <c r="I46" s="25" t="n">
        <v>3</v>
      </c>
    </row>
    <row r="47">
      <c r="A47" s="25" t="inlineStr">
        <is>
          <t>4001103</t>
        </is>
      </c>
      <c r="B47" s="25" t="inlineStr">
        <is>
          <t>KOLİ,L3,YUASA,PENCERESİZ,ORTA DOĞU</t>
        </is>
      </c>
      <c r="C47" s="25" t="inlineStr">
        <is>
          <t>14</t>
        </is>
      </c>
      <c r="D47" s="25" t="inlineStr"/>
      <c r="E47" s="25" t="inlineStr">
        <is>
          <t>ADT</t>
        </is>
      </c>
      <c r="F47" s="25" t="n">
        <v>250</v>
      </c>
      <c r="G47" s="25" t="inlineStr"/>
      <c r="H47" s="25" t="inlineStr">
        <is>
          <t>See evidence archive</t>
        </is>
      </c>
      <c r="I47" s="25" t="n">
        <v>2</v>
      </c>
    </row>
    <row r="48">
      <c r="A48" s="25" t="inlineStr">
        <is>
          <t>4001104</t>
        </is>
      </c>
      <c r="B48" s="25" t="inlineStr">
        <is>
          <t>KOLİ,LB4,YUASA,PENCERESİZ,ORTA DOĞU</t>
        </is>
      </c>
      <c r="C48" s="25" t="inlineStr">
        <is>
          <t>14</t>
        </is>
      </c>
      <c r="D48" s="25" t="inlineStr"/>
      <c r="E48" s="25" t="inlineStr">
        <is>
          <t>ADT</t>
        </is>
      </c>
      <c r="F48" s="25" t="n">
        <v>270</v>
      </c>
      <c r="G48" s="25" t="inlineStr"/>
      <c r="H48" s="25" t="inlineStr">
        <is>
          <t>See evidence archive</t>
        </is>
      </c>
      <c r="I48" s="25" t="n">
        <v>1</v>
      </c>
    </row>
    <row r="49">
      <c r="A49" s="25" t="inlineStr">
        <is>
          <t>4001105</t>
        </is>
      </c>
      <c r="B49" s="25" t="inlineStr">
        <is>
          <t>KOLİ,L5,YUASA,PENCERESİZ,ORTA DOĞU</t>
        </is>
      </c>
      <c r="C49" s="25" t="inlineStr">
        <is>
          <t>14</t>
        </is>
      </c>
      <c r="D49" s="25" t="inlineStr"/>
      <c r="E49" s="25" t="inlineStr">
        <is>
          <t>ADT</t>
        </is>
      </c>
      <c r="F49" s="25" t="n">
        <v>330</v>
      </c>
      <c r="G49" s="25" t="inlineStr"/>
      <c r="H49" s="25" t="inlineStr">
        <is>
          <t>See evidence archive</t>
        </is>
      </c>
      <c r="I49" s="25" t="n">
        <v>2</v>
      </c>
    </row>
    <row r="50">
      <c r="A50" s="25" t="inlineStr">
        <is>
          <t>4001106</t>
        </is>
      </c>
      <c r="B50" s="25" t="inlineStr">
        <is>
          <t>KOLİ,D23,YUASA,PENCERESİZ,ORTA DOĞU</t>
        </is>
      </c>
      <c r="C50" s="25" t="inlineStr">
        <is>
          <t>14</t>
        </is>
      </c>
      <c r="D50" s="25" t="inlineStr"/>
      <c r="E50" s="25" t="inlineStr">
        <is>
          <t>ADT</t>
        </is>
      </c>
      <c r="F50" s="25" t="n">
        <v>240</v>
      </c>
      <c r="G50" s="25" t="inlineStr"/>
      <c r="H50" s="25" t="inlineStr">
        <is>
          <t>See evidence archive</t>
        </is>
      </c>
      <c r="I50" s="25" t="n">
        <v>2</v>
      </c>
    </row>
    <row r="51">
      <c r="A51" s="25" t="inlineStr">
        <is>
          <t>4001108</t>
        </is>
      </c>
      <c r="B51" s="25" t="inlineStr">
        <is>
          <t>KOLİ,D31,YUASA,PENCERESİZ,ORTA DOĞU</t>
        </is>
      </c>
      <c r="C51" s="25" t="inlineStr">
        <is>
          <t>14</t>
        </is>
      </c>
      <c r="D51" s="25" t="inlineStr"/>
      <c r="E51" s="25" t="inlineStr">
        <is>
          <t>ADT</t>
        </is>
      </c>
      <c r="F51" s="25" t="n">
        <v>290</v>
      </c>
      <c r="G51" s="25" t="inlineStr"/>
      <c r="H51" s="25" t="inlineStr">
        <is>
          <t>See evidence archive</t>
        </is>
      </c>
      <c r="I51" s="25" t="n">
        <v>3</v>
      </c>
    </row>
    <row r="52">
      <c r="A52" s="25" t="inlineStr">
        <is>
          <t>4001160</t>
        </is>
      </c>
      <c r="B52" s="25" t="inlineStr">
        <is>
          <t>KARTON KÖŞEBENT,6cm*6cm*6*70cm,SEV.PLT</t>
        </is>
      </c>
      <c r="C52" s="25" t="inlineStr">
        <is>
          <t>14</t>
        </is>
      </c>
      <c r="D52" s="25" t="inlineStr"/>
      <c r="E52" s="25" t="inlineStr">
        <is>
          <t>ADT</t>
        </is>
      </c>
      <c r="F52" s="25" t="n">
        <v>30</v>
      </c>
      <c r="G52" s="25" t="inlineStr"/>
      <c r="H52" s="25" t="inlineStr">
        <is>
          <t>See evidence archive</t>
        </is>
      </c>
      <c r="I52" s="25" t="n">
        <v>3</v>
      </c>
    </row>
    <row r="53">
      <c r="A53" s="25" t="inlineStr">
        <is>
          <t>4001161</t>
        </is>
      </c>
      <c r="B53" s="25" t="inlineStr">
        <is>
          <t>KARTON KÖŞEBENT,6cm*6cm*6*100cm,SEVPLT</t>
        </is>
      </c>
      <c r="C53" s="25" t="inlineStr">
        <is>
          <t>14</t>
        </is>
      </c>
      <c r="D53" s="25" t="inlineStr"/>
      <c r="E53" s="25" t="inlineStr">
        <is>
          <t>ADT</t>
        </is>
      </c>
      <c r="F53" s="25" t="n">
        <v>360</v>
      </c>
      <c r="G53" s="25" t="inlineStr"/>
      <c r="H53" s="25" t="inlineStr">
        <is>
          <t>See evidence archive</t>
        </is>
      </c>
      <c r="I53" s="25" t="n">
        <v>3</v>
      </c>
    </row>
    <row r="54">
      <c r="A54" s="25" t="inlineStr">
        <is>
          <t>4001162</t>
        </is>
      </c>
      <c r="B54" s="25" t="inlineStr">
        <is>
          <t>D23,VAKUM PVC ,ÜST KAPAK,KOLİ İÇİN</t>
        </is>
      </c>
      <c r="C54" s="25" t="inlineStr">
        <is>
          <t>14</t>
        </is>
      </c>
      <c r="D54" s="25" t="inlineStr"/>
      <c r="E54" s="25" t="inlineStr">
        <is>
          <t>ADT</t>
        </is>
      </c>
      <c r="F54" s="25" t="n">
        <v>51.07</v>
      </c>
      <c r="G54" s="25" t="inlineStr"/>
      <c r="H54" s="25" t="inlineStr">
        <is>
          <t>See evidence archive</t>
        </is>
      </c>
      <c r="I54" s="25" t="n">
        <v>3</v>
      </c>
    </row>
    <row r="55">
      <c r="A55" s="25" t="inlineStr">
        <is>
          <t>4001163</t>
        </is>
      </c>
      <c r="B55" s="25" t="inlineStr">
        <is>
          <t>KARTON KÖŞEBENT,6cm*6cm*6*79cm,SEV.PLT</t>
        </is>
      </c>
      <c r="C55" s="25" t="inlineStr">
        <is>
          <t>14</t>
        </is>
      </c>
      <c r="D55" s="25" t="inlineStr"/>
      <c r="E55" s="25" t="inlineStr">
        <is>
          <t>ADT</t>
        </is>
      </c>
      <c r="F55" s="25" t="n">
        <v>30</v>
      </c>
      <c r="G55" s="25" t="inlineStr"/>
      <c r="H55" s="25" t="inlineStr">
        <is>
          <t>See evidence archive</t>
        </is>
      </c>
      <c r="I55" s="25" t="n">
        <v>10</v>
      </c>
    </row>
    <row r="56">
      <c r="A56" s="25" t="inlineStr">
        <is>
          <t>4001177</t>
        </is>
      </c>
      <c r="B56" s="25" t="inlineStr">
        <is>
          <t>SHIRINK,ŞAPKA NAYLON UV MAVİ,120*125*135</t>
        </is>
      </c>
      <c r="C56" s="25" t="inlineStr">
        <is>
          <t>14</t>
        </is>
      </c>
      <c r="D56" s="25" t="inlineStr"/>
      <c r="E56" s="25" t="inlineStr">
        <is>
          <t>ADT</t>
        </is>
      </c>
      <c r="F56" s="25" t="n">
        <v>1000</v>
      </c>
      <c r="G56" s="25" t="inlineStr"/>
      <c r="H56" s="25" t="inlineStr">
        <is>
          <t>See evidence archive</t>
        </is>
      </c>
      <c r="I56" s="25" t="n">
        <v>22</v>
      </c>
    </row>
    <row r="57">
      <c r="A57" s="25" t="inlineStr">
        <is>
          <t>4001186</t>
        </is>
      </c>
      <c r="B57" s="25" t="inlineStr">
        <is>
          <t>HONEYCOMP,1200*800*40 TABAKA,EURO</t>
        </is>
      </c>
      <c r="C57" s="25" t="inlineStr">
        <is>
          <t>14</t>
        </is>
      </c>
      <c r="D57" s="25" t="inlineStr"/>
      <c r="E57" s="25" t="inlineStr">
        <is>
          <t>ADT</t>
        </is>
      </c>
      <c r="F57" s="25" t="n">
        <v>1000</v>
      </c>
      <c r="G57" s="25" t="inlineStr"/>
      <c r="H57" s="25" t="inlineStr">
        <is>
          <t>See evidence archive</t>
        </is>
      </c>
      <c r="I57" s="25" t="n">
        <v>9</v>
      </c>
    </row>
    <row r="58">
      <c r="A58" s="25" t="inlineStr">
        <is>
          <t>4001194</t>
        </is>
      </c>
      <c r="B58" s="25" t="inlineStr">
        <is>
          <t>KOLİ,L5,İNCİ AGM LEO,95AH 870A,PENCERELİ</t>
        </is>
      </c>
      <c r="C58" s="25" t="inlineStr">
        <is>
          <t>14</t>
        </is>
      </c>
      <c r="D58" s="25" t="inlineStr"/>
      <c r="E58" s="25" t="inlineStr">
        <is>
          <t>ADT</t>
        </is>
      </c>
      <c r="F58" s="25" t="n">
        <v>330</v>
      </c>
      <c r="G58" s="25" t="inlineStr"/>
      <c r="H58" s="25" t="inlineStr">
        <is>
          <t>See evidence archive</t>
        </is>
      </c>
      <c r="I58" s="25" t="n">
        <v>2</v>
      </c>
    </row>
    <row r="59">
      <c r="A59" s="25" t="inlineStr">
        <is>
          <t>4001201</t>
        </is>
      </c>
      <c r="B59" s="25" t="inlineStr">
        <is>
          <t>KOLİ,LB1,İNCİ FORMULA-MAXIMA,2019</t>
        </is>
      </c>
      <c r="C59" s="25" t="inlineStr">
        <is>
          <t>14</t>
        </is>
      </c>
      <c r="D59" s="25" t="inlineStr"/>
      <c r="E59" s="25" t="inlineStr">
        <is>
          <t>ADT</t>
        </is>
      </c>
      <c r="F59" s="25" t="n">
        <v>190</v>
      </c>
      <c r="G59" s="25" t="inlineStr"/>
      <c r="H59" s="25" t="inlineStr">
        <is>
          <t>See evidence archive</t>
        </is>
      </c>
      <c r="I59" s="25" t="n">
        <v>1</v>
      </c>
    </row>
    <row r="60">
      <c r="A60" s="25" t="inlineStr">
        <is>
          <t>4001203</t>
        </is>
      </c>
      <c r="B60" s="25" t="inlineStr">
        <is>
          <t>KOLİ,LB2,İNCİ FORMULA-MAXIMA,2019</t>
        </is>
      </c>
      <c r="C60" s="25" t="inlineStr">
        <is>
          <t>14</t>
        </is>
      </c>
      <c r="D60" s="25" t="inlineStr"/>
      <c r="E60" s="25" t="inlineStr">
        <is>
          <t>ADT</t>
        </is>
      </c>
      <c r="F60" s="25" t="n">
        <v>220</v>
      </c>
      <c r="G60" s="25" t="inlineStr"/>
      <c r="H60" s="25" t="inlineStr">
        <is>
          <t>See evidence archive</t>
        </is>
      </c>
      <c r="I60" s="25" t="n">
        <v>1</v>
      </c>
    </row>
    <row r="61">
      <c r="A61" s="25" t="inlineStr">
        <is>
          <t>4001205</t>
        </is>
      </c>
      <c r="B61" s="25" t="inlineStr">
        <is>
          <t>KOLİ,LB3,İNCİ FORMULA-MAXIMA,2019</t>
        </is>
      </c>
      <c r="C61" s="25" t="inlineStr">
        <is>
          <t>14</t>
        </is>
      </c>
      <c r="D61" s="25" t="inlineStr"/>
      <c r="E61" s="25" t="inlineStr">
        <is>
          <t>ADT</t>
        </is>
      </c>
      <c r="F61" s="25" t="n">
        <v>290</v>
      </c>
      <c r="G61" s="25" t="inlineStr"/>
      <c r="H61" s="25" t="inlineStr">
        <is>
          <t>See evidence archive</t>
        </is>
      </c>
      <c r="I61" s="25" t="n">
        <v>1</v>
      </c>
    </row>
    <row r="62">
      <c r="A62" s="25" t="inlineStr">
        <is>
          <t>4001208</t>
        </is>
      </c>
      <c r="B62" s="25" t="inlineStr">
        <is>
          <t>KOLİ,L5,İNCİ FORMULA-MAXIMA,2019</t>
        </is>
      </c>
      <c r="C62" s="25" t="inlineStr">
        <is>
          <t>14</t>
        </is>
      </c>
      <c r="D62" s="25" t="inlineStr"/>
      <c r="E62" s="25" t="inlineStr">
        <is>
          <t>ADT</t>
        </is>
      </c>
      <c r="F62" s="25" t="n">
        <v>330</v>
      </c>
      <c r="G62" s="25" t="inlineStr"/>
      <c r="H62" s="25" t="inlineStr">
        <is>
          <t>See evidence archive</t>
        </is>
      </c>
      <c r="I62" s="25" t="n">
        <v>1</v>
      </c>
    </row>
    <row r="63">
      <c r="A63" s="25" t="inlineStr">
        <is>
          <t>4001211</t>
        </is>
      </c>
      <c r="B63" s="25" t="inlineStr">
        <is>
          <t>KOLİ,D31,İNCİ FORMULA-MAXIMA,PENCERESİZ</t>
        </is>
      </c>
      <c r="C63" s="25" t="inlineStr">
        <is>
          <t>14</t>
        </is>
      </c>
      <c r="D63" s="25" t="inlineStr"/>
      <c r="E63" s="25" t="inlineStr">
        <is>
          <t>ADT</t>
        </is>
      </c>
      <c r="F63" s="25" t="n">
        <v>290</v>
      </c>
      <c r="G63" s="25" t="inlineStr"/>
      <c r="H63" s="25" t="inlineStr">
        <is>
          <t>See evidence archive</t>
        </is>
      </c>
      <c r="I63" s="25" t="n">
        <v>2</v>
      </c>
    </row>
    <row r="64">
      <c r="A64" s="25" t="inlineStr">
        <is>
          <t>4001212</t>
        </is>
      </c>
      <c r="B64" s="25" t="inlineStr">
        <is>
          <t>KOLİ,NS40,İNCİ FORMULA-MAXIMA,B00,2019</t>
        </is>
      </c>
      <c r="C64" s="25" t="inlineStr">
        <is>
          <t>14</t>
        </is>
      </c>
      <c r="D64" s="25" t="inlineStr"/>
      <c r="E64" s="25" t="inlineStr">
        <is>
          <t>ADT</t>
        </is>
      </c>
      <c r="F64" s="25" t="n">
        <v>210</v>
      </c>
      <c r="G64" s="25" t="inlineStr"/>
      <c r="H64" s="25" t="inlineStr">
        <is>
          <t>See evidence archive</t>
        </is>
      </c>
      <c r="I64" s="25" t="n">
        <v>1</v>
      </c>
    </row>
    <row r="65">
      <c r="A65" s="25" t="inlineStr">
        <is>
          <t>4001237</t>
        </is>
      </c>
      <c r="B65" s="25" t="inlineStr">
        <is>
          <t>KOLİ,L3,İNCİ AGM LEO,70AH 760A,PENCERELİ</t>
        </is>
      </c>
      <c r="C65" s="25" t="inlineStr">
        <is>
          <t>14</t>
        </is>
      </c>
      <c r="D65" s="25" t="inlineStr"/>
      <c r="E65" s="25" t="inlineStr">
        <is>
          <t>ADT</t>
        </is>
      </c>
      <c r="F65" s="25" t="n">
        <v>250</v>
      </c>
      <c r="G65" s="25" t="inlineStr"/>
      <c r="H65" s="25" t="inlineStr">
        <is>
          <t>See evidence archive</t>
        </is>
      </c>
      <c r="I65" s="25" t="n">
        <v>2</v>
      </c>
    </row>
    <row r="66">
      <c r="A66" s="25" t="inlineStr">
        <is>
          <t>4001247</t>
        </is>
      </c>
      <c r="B66" s="25" t="inlineStr">
        <is>
          <t>STRAFOR,1200*800*40,TABAKA,EURO</t>
        </is>
      </c>
      <c r="C66" s="25" t="inlineStr">
        <is>
          <t>14</t>
        </is>
      </c>
      <c r="D66" s="25" t="inlineStr"/>
      <c r="E66" s="25" t="inlineStr">
        <is>
          <t>ADT</t>
        </is>
      </c>
      <c r="F66" s="25" t="n">
        <v>60</v>
      </c>
      <c r="G66" s="25" t="inlineStr"/>
      <c r="H66" s="25" t="inlineStr">
        <is>
          <t>See evidence archive</t>
        </is>
      </c>
      <c r="I66" s="25" t="n">
        <v>4</v>
      </c>
    </row>
    <row r="67">
      <c r="A67" s="25" t="inlineStr">
        <is>
          <t>4001270</t>
        </is>
      </c>
      <c r="B67" s="25" t="inlineStr">
        <is>
          <t>KOLİ,D23,İNCİ EFBPANTERA,YÜKSEK PENLİ,DL</t>
        </is>
      </c>
      <c r="C67" s="25" t="inlineStr">
        <is>
          <t>14</t>
        </is>
      </c>
      <c r="D67" s="25" t="inlineStr"/>
      <c r="E67" s="25" t="inlineStr">
        <is>
          <t>ADT</t>
        </is>
      </c>
      <c r="F67" s="25" t="n">
        <v>240</v>
      </c>
      <c r="G67" s="25" t="inlineStr"/>
      <c r="H67" s="25" t="inlineStr">
        <is>
          <t>See evidence archive</t>
        </is>
      </c>
      <c r="I67" s="25" t="n">
        <v>1</v>
      </c>
    </row>
    <row r="68">
      <c r="A68" s="25" t="inlineStr">
        <is>
          <t>4001271</t>
        </is>
      </c>
      <c r="B68" s="25" t="inlineStr">
        <is>
          <t>KOLİ,D26,İNCİEFBPANTERA,PEN'Lİ,YÜKSEK,DL</t>
        </is>
      </c>
      <c r="C68" s="25" t="inlineStr">
        <is>
          <t>14</t>
        </is>
      </c>
      <c r="D68" s="25" t="inlineStr"/>
      <c r="E68" s="25" t="inlineStr">
        <is>
          <t>ADT</t>
        </is>
      </c>
      <c r="F68" s="25" t="n">
        <v>320</v>
      </c>
      <c r="G68" s="25" t="inlineStr"/>
      <c r="H68" s="25" t="inlineStr">
        <is>
          <t>See evidence archive</t>
        </is>
      </c>
      <c r="I68" s="25" t="n">
        <v>1</v>
      </c>
    </row>
    <row r="69">
      <c r="A69" s="25" t="inlineStr">
        <is>
          <t>4001272</t>
        </is>
      </c>
      <c r="B69" s="25" t="inlineStr">
        <is>
          <t>KOLİ,L2,İNCİ EFB MAX TIGRIS,PENC'Lİ,2020</t>
        </is>
      </c>
      <c r="C69" s="25" t="inlineStr">
        <is>
          <t>14</t>
        </is>
      </c>
      <c r="D69" s="25" t="inlineStr"/>
      <c r="E69" s="25" t="inlineStr">
        <is>
          <t>ADT</t>
        </is>
      </c>
      <c r="F69" s="25" t="n">
        <v>240</v>
      </c>
      <c r="G69" s="25" t="inlineStr"/>
      <c r="H69" s="25" t="inlineStr">
        <is>
          <t>See evidence archive</t>
        </is>
      </c>
      <c r="I69" s="25" t="n">
        <v>1</v>
      </c>
    </row>
    <row r="70">
      <c r="A70" s="25" t="inlineStr">
        <is>
          <t>4001274</t>
        </is>
      </c>
      <c r="B70" s="25" t="inlineStr">
        <is>
          <t>KOLİ,L5,İNCİ EFB MAX TIGRIS,PENC'Lİ,2020</t>
        </is>
      </c>
      <c r="C70" s="25" t="inlineStr">
        <is>
          <t>14</t>
        </is>
      </c>
      <c r="D70" s="25" t="inlineStr"/>
      <c r="E70" s="25" t="inlineStr">
        <is>
          <t>ADT</t>
        </is>
      </c>
      <c r="F70" s="25" t="n">
        <v>330</v>
      </c>
      <c r="G70" s="25" t="inlineStr"/>
      <c r="H70" s="25" t="inlineStr">
        <is>
          <t>See evidence archive</t>
        </is>
      </c>
      <c r="I70" s="25" t="n">
        <v>1</v>
      </c>
    </row>
    <row r="71">
      <c r="A71" s="25" t="inlineStr">
        <is>
          <t>4001275</t>
        </is>
      </c>
      <c r="B71" s="25" t="inlineStr">
        <is>
          <t>KOLİ,L4,İNCİ EFB MAX TIGRIS,PENC'Lİ,2020</t>
        </is>
      </c>
      <c r="C71" s="25" t="inlineStr">
        <is>
          <t>14</t>
        </is>
      </c>
      <c r="D71" s="25" t="inlineStr"/>
      <c r="E71" s="25" t="inlineStr">
        <is>
          <t>ADT</t>
        </is>
      </c>
      <c r="F71" s="25" t="n">
        <v>270</v>
      </c>
      <c r="G71" s="25" t="inlineStr"/>
      <c r="H71" s="25" t="inlineStr">
        <is>
          <t>See evidence archive</t>
        </is>
      </c>
      <c r="I71" s="25" t="n">
        <v>1</v>
      </c>
    </row>
    <row r="72">
      <c r="A72" s="25" t="inlineStr">
        <is>
          <t>4001279</t>
        </is>
      </c>
      <c r="B72" s="25" t="inlineStr">
        <is>
          <t>STRAFOR,A TİPİ AKÜLER İÇİN ÜST STRAFOR</t>
        </is>
      </c>
      <c r="C72" s="25" t="inlineStr">
        <is>
          <t>14</t>
        </is>
      </c>
      <c r="D72" s="25" t="inlineStr"/>
      <c r="E72" s="25" t="inlineStr">
        <is>
          <t>ADT</t>
        </is>
      </c>
      <c r="F72" s="25" t="n">
        <v>71</v>
      </c>
      <c r="G72" s="25" t="inlineStr"/>
      <c r="H72" s="25" t="inlineStr">
        <is>
          <t>See evidence archive</t>
        </is>
      </c>
      <c r="I72" s="25" t="n">
        <v>7</v>
      </c>
    </row>
    <row r="73">
      <c r="A73" s="25" t="inlineStr">
        <is>
          <t>4001281</t>
        </is>
      </c>
      <c r="B73" s="25" t="inlineStr">
        <is>
          <t>STRAFOR,C TİPİ AKÜLER İÇİN ÜST STRAFOR</t>
        </is>
      </c>
      <c r="C73" s="25" t="inlineStr">
        <is>
          <t>14</t>
        </is>
      </c>
      <c r="D73" s="25" t="inlineStr"/>
      <c r="E73" s="25" t="inlineStr">
        <is>
          <t>ADT</t>
        </is>
      </c>
      <c r="F73" s="25" t="n">
        <v>126</v>
      </c>
      <c r="G73" s="25" t="inlineStr"/>
      <c r="H73" s="25" t="inlineStr">
        <is>
          <t>See evidence archive</t>
        </is>
      </c>
      <c r="I73" s="25" t="n">
        <v>10</v>
      </c>
    </row>
    <row r="74">
      <c r="A74" s="25" t="inlineStr">
        <is>
          <t>4001287</t>
        </is>
      </c>
      <c r="B74" s="25" t="inlineStr">
        <is>
          <t>KOLİ,D26 EAS ACTIVA PENCERESİZ (YÜKSEK)</t>
        </is>
      </c>
      <c r="C74" s="25" t="inlineStr">
        <is>
          <t>14</t>
        </is>
      </c>
      <c r="D74" s="25" t="inlineStr"/>
      <c r="E74" s="25" t="inlineStr">
        <is>
          <t>ADT</t>
        </is>
      </c>
      <c r="F74" s="25" t="n">
        <v>320</v>
      </c>
      <c r="G74" s="25" t="inlineStr"/>
      <c r="H74" s="25" t="inlineStr">
        <is>
          <t>See evidence archive</t>
        </is>
      </c>
      <c r="I74" s="25" t="n">
        <v>1</v>
      </c>
    </row>
    <row r="75">
      <c r="A75" s="25" t="inlineStr">
        <is>
          <t>4001289</t>
        </is>
      </c>
      <c r="B75" s="25" t="inlineStr">
        <is>
          <t>KOLİ,D26,YUASA ORTADOĞU,PENCERESİZ</t>
        </is>
      </c>
      <c r="C75" s="25" t="inlineStr">
        <is>
          <t>14</t>
        </is>
      </c>
      <c r="D75" s="25" t="inlineStr"/>
      <c r="E75" s="25" t="inlineStr">
        <is>
          <t>ADT</t>
        </is>
      </c>
      <c r="F75" s="25" t="n">
        <v>320</v>
      </c>
      <c r="G75" s="25" t="inlineStr"/>
      <c r="H75" s="25" t="inlineStr">
        <is>
          <t>See evidence archive</t>
        </is>
      </c>
      <c r="I75" s="25" t="n">
        <v>1</v>
      </c>
    </row>
    <row r="76">
      <c r="A76" s="25" t="inlineStr">
        <is>
          <t>4001290</t>
        </is>
      </c>
      <c r="B76" s="25" t="inlineStr">
        <is>
          <t>STRAFOR,B TİPİ AKÜLER İÇİN ÜST STRAF,3</t>
        </is>
      </c>
      <c r="C76" s="25" t="inlineStr">
        <is>
          <t>14</t>
        </is>
      </c>
      <c r="D76" s="25" t="inlineStr"/>
      <c r="E76" s="25" t="inlineStr">
        <is>
          <t>ADT</t>
        </is>
      </c>
      <c r="F76" s="25" t="n">
        <v>94</v>
      </c>
      <c r="G76" s="25" t="inlineStr"/>
      <c r="H76" s="25" t="inlineStr">
        <is>
          <t>See evidence archive</t>
        </is>
      </c>
      <c r="I76" s="25" t="n">
        <v>8</v>
      </c>
    </row>
    <row r="77">
      <c r="A77" s="25" t="inlineStr">
        <is>
          <t>4001310</t>
        </is>
      </c>
      <c r="B77" s="25" t="inlineStr">
        <is>
          <t>D31,VAKUM PVC ,ÜST KAPAK,DOUBLE LID</t>
        </is>
      </c>
      <c r="C77" s="25" t="inlineStr">
        <is>
          <t>14</t>
        </is>
      </c>
      <c r="D77" s="25" t="inlineStr"/>
      <c r="E77" s="25" t="inlineStr">
        <is>
          <t>ADT</t>
        </is>
      </c>
      <c r="F77" s="25" t="n">
        <v>62.4</v>
      </c>
      <c r="G77" s="25" t="inlineStr"/>
      <c r="H77" s="25" t="inlineStr">
        <is>
          <t>See evidence archive</t>
        </is>
      </c>
      <c r="I77" s="25" t="n">
        <v>4</v>
      </c>
    </row>
    <row r="78">
      <c r="A78" s="25" t="inlineStr">
        <is>
          <t>4001311</t>
        </is>
      </c>
      <c r="B78" s="25" t="inlineStr">
        <is>
          <t>D31,VAKUM PVC ,ÜST KAPAK,DOUBLE LID,KOLİ</t>
        </is>
      </c>
      <c r="C78" s="25" t="inlineStr">
        <is>
          <t>14</t>
        </is>
      </c>
      <c r="D78" s="25" t="inlineStr"/>
      <c r="E78" s="25" t="inlineStr">
        <is>
          <t>ADT</t>
        </is>
      </c>
      <c r="F78" s="25" t="n">
        <v>62.4</v>
      </c>
      <c r="G78" s="25" t="inlineStr"/>
      <c r="H78" s="25" t="inlineStr">
        <is>
          <t>See evidence archive</t>
        </is>
      </c>
      <c r="I78" s="25" t="n">
        <v>8</v>
      </c>
    </row>
    <row r="79">
      <c r="A79" s="25" t="inlineStr">
        <is>
          <t>4001312</t>
        </is>
      </c>
      <c r="B79" s="25" t="inlineStr">
        <is>
          <t>KOLİ,L1,YUASA,PENCERESİZ,ORTA DOĞU</t>
        </is>
      </c>
      <c r="C79" s="25" t="inlineStr">
        <is>
          <t>14</t>
        </is>
      </c>
      <c r="D79" s="25" t="inlineStr"/>
      <c r="E79" s="25" t="inlineStr">
        <is>
          <t>ADT</t>
        </is>
      </c>
      <c r="F79" s="25" t="n">
        <v>240</v>
      </c>
      <c r="G79" s="25" t="inlineStr"/>
      <c r="H79" s="25" t="inlineStr">
        <is>
          <t>See evidence archive</t>
        </is>
      </c>
      <c r="I79" s="25" t="n">
        <v>1</v>
      </c>
    </row>
    <row r="80">
      <c r="A80" s="25" t="inlineStr">
        <is>
          <t>4001313</t>
        </is>
      </c>
      <c r="B80" s="25" t="inlineStr">
        <is>
          <t>KOLİ,L4,YUASA,PENCERESİZ,ORTA DOĞU</t>
        </is>
      </c>
      <c r="C80" s="25" t="inlineStr">
        <is>
          <t>14</t>
        </is>
      </c>
      <c r="D80" s="25" t="inlineStr"/>
      <c r="E80" s="25" t="inlineStr">
        <is>
          <t>ADT</t>
        </is>
      </c>
      <c r="F80" s="25" t="n">
        <v>250</v>
      </c>
      <c r="G80" s="25" t="inlineStr"/>
      <c r="H80" s="25" t="inlineStr">
        <is>
          <t>See evidence archive</t>
        </is>
      </c>
      <c r="I80" s="25" t="n">
        <v>2</v>
      </c>
    </row>
    <row r="81">
      <c r="A81" s="25" t="inlineStr">
        <is>
          <t>4001314</t>
        </is>
      </c>
      <c r="B81" s="25" t="inlineStr">
        <is>
          <t>KOLİ,LB3,İNCİ EFB PANTERA,PENCERELİ,DL</t>
        </is>
      </c>
      <c r="C81" s="25" t="inlineStr">
        <is>
          <t>14</t>
        </is>
      </c>
      <c r="D81" s="25" t="inlineStr"/>
      <c r="E81" s="25" t="inlineStr">
        <is>
          <t>ADT</t>
        </is>
      </c>
      <c r="F81" s="25" t="n">
        <v>300</v>
      </c>
      <c r="G81" s="25" t="inlineStr"/>
      <c r="H81" s="25" t="inlineStr">
        <is>
          <t>See evidence archive</t>
        </is>
      </c>
      <c r="I81" s="25" t="n">
        <v>1</v>
      </c>
    </row>
    <row r="82">
      <c r="A82" s="25" t="inlineStr">
        <is>
          <t>4001315</t>
        </is>
      </c>
      <c r="B82" s="25" t="inlineStr">
        <is>
          <t>KOLİ,L3,İNCİ EFB PANTERA,PENCERELİ,DL</t>
        </is>
      </c>
      <c r="C82" s="25" t="inlineStr">
        <is>
          <t>14</t>
        </is>
      </c>
      <c r="D82" s="25" t="inlineStr"/>
      <c r="E82" s="25" t="inlineStr">
        <is>
          <t>ADT</t>
        </is>
      </c>
      <c r="F82" s="25" t="n">
        <v>250</v>
      </c>
      <c r="G82" s="25" t="inlineStr"/>
      <c r="H82" s="25" t="inlineStr">
        <is>
          <t>See evidence archive</t>
        </is>
      </c>
      <c r="I82" s="25" t="n">
        <v>1</v>
      </c>
    </row>
    <row r="83">
      <c r="A83" s="25" t="inlineStr">
        <is>
          <t>4001316</t>
        </is>
      </c>
      <c r="B83" s="25" t="inlineStr">
        <is>
          <t>KOLİ,LB4,İNCİ EFB PANTERA,PENCERELİ,DL</t>
        </is>
      </c>
      <c r="C83" s="25" t="inlineStr">
        <is>
          <t>14</t>
        </is>
      </c>
      <c r="D83" s="25" t="inlineStr"/>
      <c r="E83" s="25" t="inlineStr">
        <is>
          <t>ADT</t>
        </is>
      </c>
      <c r="F83" s="25" t="n">
        <v>270</v>
      </c>
      <c r="G83" s="25" t="inlineStr"/>
      <c r="H83" s="25" t="inlineStr">
        <is>
          <t>See evidence archive</t>
        </is>
      </c>
      <c r="I83" s="25" t="n">
        <v>1</v>
      </c>
    </row>
    <row r="84">
      <c r="A84" s="25" t="inlineStr">
        <is>
          <t>4001317</t>
        </is>
      </c>
      <c r="B84" s="25" t="inlineStr">
        <is>
          <t>KOLİ,L2,İNCİ EFB PANTERA,PENCERELİ,DL</t>
        </is>
      </c>
      <c r="C84" s="25" t="inlineStr">
        <is>
          <t>14</t>
        </is>
      </c>
      <c r="D84" s="25" t="inlineStr"/>
      <c r="E84" s="25" t="inlineStr">
        <is>
          <t>ADT</t>
        </is>
      </c>
      <c r="F84" s="25" t="n">
        <v>240</v>
      </c>
      <c r="G84" s="25" t="inlineStr"/>
      <c r="H84" s="25" t="inlineStr">
        <is>
          <t>See evidence archive</t>
        </is>
      </c>
      <c r="I84" s="25" t="n">
        <v>1</v>
      </c>
    </row>
    <row r="85">
      <c r="A85" s="25" t="inlineStr">
        <is>
          <t>4001318</t>
        </is>
      </c>
      <c r="B85" s="25" t="inlineStr">
        <is>
          <t>KOLİ,L4,İNCİ EFB PANTERA,PENCERELİ,DL</t>
        </is>
      </c>
      <c r="C85" s="25" t="inlineStr">
        <is>
          <t>14</t>
        </is>
      </c>
      <c r="D85" s="25" t="inlineStr"/>
      <c r="E85" s="25" t="inlineStr">
        <is>
          <t>ADT</t>
        </is>
      </c>
      <c r="F85" s="25" t="n">
        <v>270</v>
      </c>
      <c r="G85" s="25" t="inlineStr"/>
      <c r="H85" s="25" t="inlineStr">
        <is>
          <t>See evidence archive</t>
        </is>
      </c>
      <c r="I85" s="25" t="n">
        <v>1</v>
      </c>
    </row>
    <row r="86">
      <c r="A86" s="25" t="inlineStr">
        <is>
          <t>4001320</t>
        </is>
      </c>
      <c r="B86" s="25" t="inlineStr">
        <is>
          <t>KOLİ,L5,İNCİEFBPANTRA,PEN'Lİ,90AH830A,DL</t>
        </is>
      </c>
      <c r="C86" s="25" t="inlineStr">
        <is>
          <t>14</t>
        </is>
      </c>
      <c r="D86" s="25" t="inlineStr"/>
      <c r="E86" s="25" t="inlineStr">
        <is>
          <t>ADT</t>
        </is>
      </c>
      <c r="F86" s="25" t="n">
        <v>330</v>
      </c>
      <c r="G86" s="25" t="inlineStr"/>
      <c r="H86" s="25" t="inlineStr">
        <is>
          <t>See evidence archive</t>
        </is>
      </c>
      <c r="I86" s="25" t="n">
        <v>1</v>
      </c>
    </row>
    <row r="87">
      <c r="A87" s="25" t="inlineStr">
        <is>
          <t>4001331</t>
        </is>
      </c>
      <c r="B87" s="25" t="inlineStr">
        <is>
          <t>SIGNODE ÇEMBER 15x0,70 1500mt 4000N</t>
        </is>
      </c>
      <c r="C87" s="25" t="inlineStr">
        <is>
          <t>14</t>
        </is>
      </c>
      <c r="D87" s="25" t="inlineStr"/>
      <c r="E87" s="25" t="inlineStr">
        <is>
          <t>ADT</t>
        </is>
      </c>
      <c r="F87" s="25" t="n">
        <v>11.4125</v>
      </c>
      <c r="G87" s="25" t="inlineStr"/>
      <c r="H87" s="25" t="inlineStr">
        <is>
          <t>See evidence archive</t>
        </is>
      </c>
      <c r="I87" s="25" t="n">
        <v>3</v>
      </c>
    </row>
    <row r="88">
      <c r="A88" s="25" t="inlineStr">
        <is>
          <t>4001340</t>
        </is>
      </c>
      <c r="B88" s="25" t="inlineStr">
        <is>
          <t>KOLİ,L2,İNCİ AGM LEO,60AH 680A,PENCERELİ</t>
        </is>
      </c>
      <c r="C88" s="25" t="inlineStr">
        <is>
          <t>14</t>
        </is>
      </c>
      <c r="D88" s="25" t="inlineStr"/>
      <c r="E88" s="25" t="inlineStr">
        <is>
          <t>ADT</t>
        </is>
      </c>
      <c r="F88" s="25" t="n">
        <v>240</v>
      </c>
      <c r="G88" s="25" t="inlineStr"/>
      <c r="H88" s="25" t="inlineStr">
        <is>
          <t>See evidence archive</t>
        </is>
      </c>
      <c r="I88" s="25" t="n">
        <v>2</v>
      </c>
    </row>
    <row r="89">
      <c r="A89" s="25" t="inlineStr">
        <is>
          <t>4001341</t>
        </is>
      </c>
      <c r="B89" s="25" t="inlineStr">
        <is>
          <t>KOLİ,L4,İNCİ AGM LEO,80AH 800A,PENCERELİ</t>
        </is>
      </c>
      <c r="C89" s="25" t="inlineStr">
        <is>
          <t>14</t>
        </is>
      </c>
      <c r="D89" s="25" t="inlineStr"/>
      <c r="E89" s="25" t="inlineStr">
        <is>
          <t>ADT</t>
        </is>
      </c>
      <c r="F89" s="25" t="n">
        <v>270</v>
      </c>
      <c r="G89" s="25" t="inlineStr"/>
      <c r="H89" s="25" t="inlineStr">
        <is>
          <t>See evidence archive</t>
        </is>
      </c>
      <c r="I89" s="25" t="n">
        <v>1</v>
      </c>
    </row>
    <row r="90">
      <c r="A90" s="25" t="inlineStr">
        <is>
          <t>4001360</t>
        </is>
      </c>
      <c r="B90" s="25" t="inlineStr">
        <is>
          <t>KOLİ,L6,İNCİ AGM LEO,105AH940A,PENCERELİ</t>
        </is>
      </c>
      <c r="C90" s="25" t="inlineStr">
        <is>
          <t>14</t>
        </is>
      </c>
      <c r="D90" s="25" t="inlineStr"/>
      <c r="E90" s="25" t="inlineStr">
        <is>
          <t>ADT</t>
        </is>
      </c>
      <c r="F90" s="25" t="n">
        <v>400</v>
      </c>
      <c r="G90" s="25" t="inlineStr"/>
      <c r="H90" s="25" t="inlineStr">
        <is>
          <t>See evidence archive</t>
        </is>
      </c>
      <c r="I90" s="25" t="n">
        <v>1</v>
      </c>
    </row>
    <row r="91">
      <c r="A91" s="25" t="inlineStr">
        <is>
          <t>4001393</t>
        </is>
      </c>
      <c r="B91" s="25" t="inlineStr">
        <is>
          <t>KOLİ,L1,İNCİ AGM LEO,50AH 560A,PENCERELİ</t>
        </is>
      </c>
      <c r="C91" s="25" t="inlineStr">
        <is>
          <t>14</t>
        </is>
      </c>
      <c r="D91" s="25" t="inlineStr"/>
      <c r="E91" s="25" t="inlineStr">
        <is>
          <t>ADT</t>
        </is>
      </c>
      <c r="F91" s="25" t="n">
        <v>240</v>
      </c>
      <c r="G91" s="25" t="inlineStr"/>
      <c r="H91" s="25" t="inlineStr">
        <is>
          <t>See evidence archive</t>
        </is>
      </c>
      <c r="I91" s="25" t="n">
        <v>1</v>
      </c>
    </row>
    <row r="92">
      <c r="A92" s="25" t="inlineStr">
        <is>
          <t>4001394</t>
        </is>
      </c>
      <c r="B92" s="25" t="inlineStr">
        <is>
          <t>KOLİ,L1,EAS AGM S&amp;S,50AH 560A,PENCERELİ</t>
        </is>
      </c>
      <c r="C92" s="25" t="inlineStr">
        <is>
          <t>14</t>
        </is>
      </c>
      <c r="D92" s="25" t="inlineStr"/>
      <c r="E92" s="25" t="inlineStr">
        <is>
          <t>ADT</t>
        </is>
      </c>
      <c r="F92" s="25" t="n">
        <v>240</v>
      </c>
      <c r="G92" s="25" t="inlineStr"/>
      <c r="H92" s="25" t="inlineStr">
        <is>
          <t>See evidence archive</t>
        </is>
      </c>
      <c r="I92" s="25" t="n">
        <v>1</v>
      </c>
    </row>
    <row r="93">
      <c r="A93" s="25" t="inlineStr">
        <is>
          <t>4001395</t>
        </is>
      </c>
      <c r="B93" s="25" t="inlineStr">
        <is>
          <t>KOLİ,L2,EAS AGM S&amp;S,60AH 680A,PENCERELİ</t>
        </is>
      </c>
      <c r="C93" s="25" t="inlineStr">
        <is>
          <t>14</t>
        </is>
      </c>
      <c r="D93" s="25" t="inlineStr"/>
      <c r="E93" s="25" t="inlineStr">
        <is>
          <t>ADT</t>
        </is>
      </c>
      <c r="F93" s="25" t="n">
        <v>240</v>
      </c>
      <c r="G93" s="25" t="inlineStr"/>
      <c r="H93" s="25" t="inlineStr">
        <is>
          <t>See evidence archive</t>
        </is>
      </c>
      <c r="I93" s="25" t="n">
        <v>1</v>
      </c>
    </row>
    <row r="94">
      <c r="A94" s="25" t="inlineStr">
        <is>
          <t>4001396</t>
        </is>
      </c>
      <c r="B94" s="25" t="inlineStr">
        <is>
          <t>KOLİ,L3,EAS AGM S&amp;S,70AH 760A,PENCERELİ</t>
        </is>
      </c>
      <c r="C94" s="25" t="inlineStr">
        <is>
          <t>14</t>
        </is>
      </c>
      <c r="D94" s="25" t="inlineStr"/>
      <c r="E94" s="25" t="inlineStr">
        <is>
          <t>ADT</t>
        </is>
      </c>
      <c r="F94" s="25" t="n">
        <v>250</v>
      </c>
      <c r="G94" s="25" t="inlineStr"/>
      <c r="H94" s="25" t="inlineStr">
        <is>
          <t>See evidence archive</t>
        </is>
      </c>
      <c r="I94" s="25" t="n">
        <v>1</v>
      </c>
    </row>
    <row r="95">
      <c r="A95" s="25" t="inlineStr">
        <is>
          <t>4001397</t>
        </is>
      </c>
      <c r="B95" s="25" t="inlineStr">
        <is>
          <t>KOLİ,L4,EAS AGM S&amp;S,80AH 800A,PENCERELİ</t>
        </is>
      </c>
      <c r="C95" s="25" t="inlineStr">
        <is>
          <t>14</t>
        </is>
      </c>
      <c r="D95" s="25" t="inlineStr"/>
      <c r="E95" s="25" t="inlineStr">
        <is>
          <t>ADT</t>
        </is>
      </c>
      <c r="F95" s="25" t="n">
        <v>270</v>
      </c>
      <c r="G95" s="25" t="inlineStr"/>
      <c r="H95" s="25" t="inlineStr">
        <is>
          <t>See evidence archive</t>
        </is>
      </c>
      <c r="I95" s="25" t="n">
        <v>1</v>
      </c>
    </row>
    <row r="96">
      <c r="A96" s="25" t="inlineStr">
        <is>
          <t>4001398</t>
        </is>
      </c>
      <c r="B96" s="25" t="inlineStr">
        <is>
          <t>KOLİ,L5,EAS AGM S&amp;S,95AH 870A,PENCERELİ</t>
        </is>
      </c>
      <c r="C96" s="25" t="inlineStr">
        <is>
          <t>14</t>
        </is>
      </c>
      <c r="D96" s="25" t="inlineStr"/>
      <c r="E96" s="25" t="inlineStr">
        <is>
          <t>ADT</t>
        </is>
      </c>
      <c r="F96" s="25" t="n">
        <v>330</v>
      </c>
      <c r="G96" s="25" t="inlineStr"/>
      <c r="H96" s="25" t="inlineStr">
        <is>
          <t>See evidence archive</t>
        </is>
      </c>
      <c r="I96" s="25" t="n">
        <v>1</v>
      </c>
    </row>
    <row r="97">
      <c r="A97" s="25" t="inlineStr">
        <is>
          <t>4001399</t>
        </is>
      </c>
      <c r="B97" s="25" t="inlineStr">
        <is>
          <t>KOLİ,L6,EAS AGM S&amp;S,105AH 940A,PENCERELİ</t>
        </is>
      </c>
      <c r="C97" s="25" t="inlineStr">
        <is>
          <t>14</t>
        </is>
      </c>
      <c r="D97" s="25" t="inlineStr"/>
      <c r="E97" s="25" t="inlineStr">
        <is>
          <t>ADT</t>
        </is>
      </c>
      <c r="F97" s="25" t="n">
        <v>400</v>
      </c>
      <c r="G97" s="25" t="inlineStr"/>
      <c r="H97" s="25" t="inlineStr">
        <is>
          <t>See evidence archive</t>
        </is>
      </c>
      <c r="I97" s="25" t="n">
        <v>1</v>
      </c>
    </row>
    <row r="98">
      <c r="A98" s="25" t="inlineStr">
        <is>
          <t>4001410</t>
        </is>
      </c>
      <c r="B98" s="25" t="inlineStr">
        <is>
          <t>KOLİ,L2,EAS EFB MAX,PENCERELİ,2024</t>
        </is>
      </c>
      <c r="C98" s="25" t="inlineStr">
        <is>
          <t>14</t>
        </is>
      </c>
      <c r="D98" s="25" t="inlineStr"/>
      <c r="E98" s="25" t="inlineStr">
        <is>
          <t>ADT</t>
        </is>
      </c>
      <c r="F98" s="25" t="n">
        <v>240</v>
      </c>
      <c r="G98" s="25" t="inlineStr"/>
      <c r="H98" s="25" t="inlineStr">
        <is>
          <t>See evidence archive</t>
        </is>
      </c>
      <c r="I98" s="25" t="n">
        <v>1</v>
      </c>
    </row>
    <row r="99">
      <c r="A99" s="25" t="inlineStr">
        <is>
          <t>4001411</t>
        </is>
      </c>
      <c r="B99" s="25" t="inlineStr">
        <is>
          <t>KOLİ,L3,EAS EFB MAX,PENCERELİ,2024</t>
        </is>
      </c>
      <c r="C99" s="25" t="inlineStr">
        <is>
          <t>14</t>
        </is>
      </c>
      <c r="D99" s="25" t="inlineStr"/>
      <c r="E99" s="25" t="inlineStr">
        <is>
          <t>ADT</t>
        </is>
      </c>
      <c r="F99" s="25" t="n">
        <v>250</v>
      </c>
      <c r="G99" s="25" t="inlineStr"/>
      <c r="H99" s="25" t="inlineStr">
        <is>
          <t>See evidence archive</t>
        </is>
      </c>
      <c r="I99" s="25" t="n">
        <v>1</v>
      </c>
    </row>
    <row r="100">
      <c r="A100" s="25" t="inlineStr">
        <is>
          <t>4001419</t>
        </is>
      </c>
      <c r="B100" s="25" t="inlineStr">
        <is>
          <t>KOLİ,L2,İNCİ FORMULA-MAXIMA,PENCERESİZ</t>
        </is>
      </c>
      <c r="C100" s="25" t="inlineStr">
        <is>
          <t>14</t>
        </is>
      </c>
      <c r="D100" s="25" t="inlineStr"/>
      <c r="E100" s="25" t="inlineStr">
        <is>
          <t>ADT</t>
        </is>
      </c>
      <c r="F100" s="25" t="n">
        <v>240</v>
      </c>
      <c r="G100" s="25" t="inlineStr"/>
      <c r="H100" s="25" t="inlineStr">
        <is>
          <t>See evidence archive</t>
        </is>
      </c>
      <c r="I100" s="25" t="n">
        <v>1</v>
      </c>
    </row>
    <row r="101">
      <c r="A101" s="25" t="inlineStr">
        <is>
          <t>4001433</t>
        </is>
      </c>
      <c r="B101" s="25" t="inlineStr">
        <is>
          <t>KOLİ,D31 BLIZZARO SILVERLINE PENCERESİZ</t>
        </is>
      </c>
      <c r="C101" s="25" t="inlineStr">
        <is>
          <t>14</t>
        </is>
      </c>
      <c r="D101" s="25" t="inlineStr"/>
      <c r="E101" s="25" t="inlineStr">
        <is>
          <t>ADT</t>
        </is>
      </c>
      <c r="F101" s="25" t="n">
        <v>290</v>
      </c>
      <c r="G101" s="25" t="inlineStr"/>
      <c r="H101" s="25" t="inlineStr">
        <is>
          <t>See evidence archive</t>
        </is>
      </c>
      <c r="I101" s="25" t="n">
        <v>1</v>
      </c>
    </row>
    <row r="102">
      <c r="A102" s="25" t="inlineStr">
        <is>
          <t>4001434</t>
        </is>
      </c>
      <c r="B102" s="25" t="inlineStr">
        <is>
          <t>KOLİ,L2 BLIZZARO SILVERLINE PENCERESİZ</t>
        </is>
      </c>
      <c r="C102" s="25" t="inlineStr">
        <is>
          <t>14</t>
        </is>
      </c>
      <c r="D102" s="25" t="inlineStr"/>
      <c r="E102" s="25" t="inlineStr">
        <is>
          <t>ADT</t>
        </is>
      </c>
      <c r="F102" s="25" t="n">
        <v>240</v>
      </c>
      <c r="G102" s="25" t="inlineStr"/>
      <c r="H102" s="25" t="inlineStr">
        <is>
          <t>See evidence archive</t>
        </is>
      </c>
      <c r="I102" s="25" t="n">
        <v>1</v>
      </c>
    </row>
    <row r="103">
      <c r="A103" s="25" t="inlineStr">
        <is>
          <t>5500759</t>
        </is>
      </c>
      <c r="B103" s="25" t="inlineStr">
        <is>
          <t>Hava Yastığı ( Level 2  )</t>
        </is>
      </c>
      <c r="C103" s="25" t="inlineStr">
        <is>
          <t>14</t>
        </is>
      </c>
      <c r="D103" s="25" t="inlineStr"/>
      <c r="E103" s="25" t="inlineStr">
        <is>
          <t>ADT</t>
        </is>
      </c>
      <c r="F103" s="25" t="n">
        <v>400</v>
      </c>
      <c r="G103" s="25" t="inlineStr"/>
      <c r="H103" s="25" t="inlineStr">
        <is>
          <t>See evidence archive</t>
        </is>
      </c>
      <c r="I103" s="25" t="n">
        <v>3</v>
      </c>
    </row>
    <row r="104">
      <c r="A104" s="25" t="inlineStr">
        <is>
          <t>5500762</t>
        </is>
      </c>
      <c r="B104" s="25" t="inlineStr">
        <is>
          <t>Bağlama Halatı</t>
        </is>
      </c>
      <c r="C104" s="25" t="inlineStr">
        <is>
          <t>14</t>
        </is>
      </c>
      <c r="D104" s="25" t="inlineStr"/>
      <c r="E104" s="25" t="inlineStr">
        <is>
          <t>ADT</t>
        </is>
      </c>
      <c r="F104" s="25" t="n">
        <v>25</v>
      </c>
      <c r="G104" s="25" t="inlineStr"/>
      <c r="H104" s="25" t="inlineStr">
        <is>
          <t>See evidence archive</t>
        </is>
      </c>
      <c r="I104" s="25" t="n">
        <v>3</v>
      </c>
    </row>
    <row r="105">
      <c r="A105" s="25" t="inlineStr">
        <is>
          <t>5500764</t>
        </is>
      </c>
      <c r="B105" s="25" t="inlineStr">
        <is>
          <t>Halat Tokası</t>
        </is>
      </c>
      <c r="C105" s="25" t="inlineStr">
        <is>
          <t>14</t>
        </is>
      </c>
      <c r="D105" s="25" t="inlineStr"/>
      <c r="E105" s="25" t="inlineStr">
        <is>
          <t>ADT</t>
        </is>
      </c>
      <c r="F105" s="25" t="n">
        <v>40</v>
      </c>
      <c r="G105" s="25" t="inlineStr"/>
      <c r="H105" s="25" t="inlineStr">
        <is>
          <t>See evidence archive</t>
        </is>
      </c>
      <c r="I105" s="25" t="n">
        <v>3</v>
      </c>
    </row>
    <row r="106">
      <c r="A106" s="25" t="inlineStr">
        <is>
          <t>5501805</t>
        </is>
      </c>
      <c r="B106" s="25" t="inlineStr">
        <is>
          <t>Osb ( 11 mm )</t>
        </is>
      </c>
      <c r="C106" s="25" t="inlineStr">
        <is>
          <t>14</t>
        </is>
      </c>
      <c r="D106" s="25" t="inlineStr"/>
      <c r="E106" s="25" t="inlineStr">
        <is>
          <t>ADT</t>
        </is>
      </c>
      <c r="F106" s="25" t="n">
        <v>7000</v>
      </c>
      <c r="G106" s="25" t="inlineStr"/>
      <c r="H106" s="25" t="inlineStr">
        <is>
          <t>See evidence archive</t>
        </is>
      </c>
      <c r="I106" s="25" t="n">
        <v>1</v>
      </c>
    </row>
    <row r="107">
      <c r="A107" s="25" t="inlineStr">
        <is>
          <t>5501806</t>
        </is>
      </c>
      <c r="B107" s="25" t="inlineStr">
        <is>
          <t>Osb ( 11 mm )</t>
        </is>
      </c>
      <c r="C107" s="25" t="inlineStr">
        <is>
          <t>14</t>
        </is>
      </c>
      <c r="D107" s="25" t="inlineStr"/>
      <c r="E107" s="25" t="inlineStr">
        <is>
          <t>ADT</t>
        </is>
      </c>
      <c r="F107" s="25" t="n">
        <v>6500</v>
      </c>
      <c r="G107" s="25" t="inlineStr"/>
      <c r="H107" s="25" t="inlineStr">
        <is>
          <t>See evidence archive</t>
        </is>
      </c>
      <c r="I107" s="25" t="n">
        <v>1</v>
      </c>
    </row>
    <row r="108">
      <c r="A108" s="25" t="inlineStr">
        <is>
          <t>5501956</t>
        </is>
      </c>
      <c r="B108" s="25" t="inlineStr">
        <is>
          <t>İNCİ 80*120 KAPAK ISIL İŞLEMLİ</t>
        </is>
      </c>
      <c r="C108" s="25" t="inlineStr">
        <is>
          <t>14</t>
        </is>
      </c>
      <c r="D108" s="25" t="inlineStr"/>
      <c r="E108" s="25" t="inlineStr">
        <is>
          <t>ADT</t>
        </is>
      </c>
      <c r="F108" s="25" t="n">
        <v>13000</v>
      </c>
      <c r="G108" s="25" t="inlineStr"/>
      <c r="H108" s="25" t="inlineStr">
        <is>
          <t>See evidence archive</t>
        </is>
      </c>
      <c r="I108" s="25" t="n">
        <v>1</v>
      </c>
    </row>
    <row r="109">
      <c r="A109" s="25" t="inlineStr">
        <is>
          <t>5501957 / 5501958</t>
        </is>
      </c>
      <c r="B109" s="25" t="inlineStr">
        <is>
          <t>Yanıcı Etiket</t>
        </is>
      </c>
      <c r="C109" s="25" t="inlineStr">
        <is>
          <t>14</t>
        </is>
      </c>
      <c r="D109" s="25" t="inlineStr"/>
      <c r="E109" s="25" t="inlineStr">
        <is>
          <t>ADT</t>
        </is>
      </c>
      <c r="F109" s="25" t="n">
        <v>5</v>
      </c>
      <c r="G109" s="25" t="inlineStr"/>
      <c r="H109" s="25" t="inlineStr">
        <is>
          <t>See evidence archive</t>
        </is>
      </c>
      <c r="I109" s="25" t="n">
        <v>3</v>
      </c>
    </row>
    <row r="110">
      <c r="A110" s="25" t="inlineStr">
        <is>
          <t>5502403</t>
        </is>
      </c>
      <c r="B110" s="25" t="inlineStr">
        <is>
          <t>Üçgen Takoz</t>
        </is>
      </c>
      <c r="C110" s="25" t="inlineStr">
        <is>
          <t>14</t>
        </is>
      </c>
      <c r="D110" s="25" t="inlineStr"/>
      <c r="E110" s="25" t="inlineStr">
        <is>
          <t>ADT</t>
        </is>
      </c>
      <c r="F110" s="25" t="n">
        <v>500</v>
      </c>
      <c r="G110" s="25" t="inlineStr"/>
      <c r="H110" s="25" t="inlineStr">
        <is>
          <t>See evidence archive</t>
        </is>
      </c>
      <c r="I110" s="25" t="n">
        <v>3</v>
      </c>
    </row>
    <row r="111">
      <c r="A111" s="25" t="inlineStr">
        <is>
          <t>5502919</t>
        </is>
      </c>
      <c r="B111" s="25" t="inlineStr">
        <is>
          <t>Palet Sabitleme Takozu</t>
        </is>
      </c>
      <c r="C111" s="25" t="inlineStr">
        <is>
          <t>14</t>
        </is>
      </c>
      <c r="D111" s="25" t="inlineStr"/>
      <c r="E111" s="25" t="inlineStr">
        <is>
          <t>ADT</t>
        </is>
      </c>
      <c r="F111" s="25" t="n">
        <v>500</v>
      </c>
      <c r="G111" s="25" t="inlineStr"/>
      <c r="H111" s="25" t="inlineStr">
        <is>
          <t>See evidence archive</t>
        </is>
      </c>
      <c r="I111" s="25" t="n">
        <v>2</v>
      </c>
    </row>
    <row r="112">
      <c r="A112" s="25" t="inlineStr">
        <is>
          <t>Hamburg</t>
        </is>
      </c>
      <c r="B112" s="25" t="inlineStr">
        <is>
          <t>Sabitleme Tahtası ( 241x18x9 )</t>
        </is>
      </c>
      <c r="C112" s="25" t="inlineStr">
        <is>
          <t>14</t>
        </is>
      </c>
      <c r="D112" s="25" t="inlineStr"/>
      <c r="E112" s="25" t="inlineStr">
        <is>
          <t>ADT</t>
        </is>
      </c>
      <c r="F112" s="25" t="n">
        <v>18000</v>
      </c>
      <c r="G112" s="25" t="inlineStr"/>
      <c r="H112" s="25" t="inlineStr">
        <is>
          <t>See evidence archive</t>
        </is>
      </c>
      <c r="I112" s="25" t="n">
        <v>2</v>
      </c>
    </row>
    <row r="113">
      <c r="A113" s="25" t="inlineStr">
        <is>
          <t>IND-LABELS</t>
        </is>
      </c>
      <c r="B113" s="25" t="inlineStr">
        <is>
          <t>Tüm Etiketler</t>
        </is>
      </c>
      <c r="C113" s="25" t="inlineStr">
        <is>
          <t>14</t>
        </is>
      </c>
      <c r="D113" s="25" t="inlineStr"/>
      <c r="E113" s="25" t="inlineStr">
        <is>
          <t>ADT</t>
        </is>
      </c>
      <c r="F113" s="25" t="n">
        <v>5</v>
      </c>
      <c r="G113" s="25" t="inlineStr"/>
      <c r="H113" s="25" t="inlineStr">
        <is>
          <t>See evidence archive</t>
        </is>
      </c>
      <c r="I113" s="25" t="n">
        <v>3</v>
      </c>
    </row>
  </sheetData>
  <autoFilter ref="A1:I1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6" customWidth="1" min="3" max="3"/>
    <col width="3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 ht="28" customHeight="1">
      <c r="A1" s="23" t="inlineStr">
        <is>
          <t>Packaging Set Code</t>
        </is>
      </c>
      <c r="B1" s="23" t="inlineStr">
        <is>
          <t>Configuration ID</t>
        </is>
      </c>
      <c r="C1" s="23" t="inlineStr">
        <is>
          <t>Variant Basis TR</t>
        </is>
      </c>
      <c r="D1" s="23" t="inlineStr">
        <is>
          <t>Variant Basis EN</t>
        </is>
      </c>
      <c r="E1" s="23" t="inlineStr">
        <is>
          <t>Source BOM ID</t>
        </is>
      </c>
      <c r="F1" s="23" t="inlineStr">
        <is>
          <t>Family</t>
        </is>
      </c>
      <c r="G1" s="23" t="inlineStr">
        <is>
          <t>Packaging Tare kg</t>
        </is>
      </c>
      <c r="H1" s="23" t="inlineStr">
        <is>
          <t>Product Count</t>
        </is>
      </c>
      <c r="I1" s="23" t="inlineStr">
        <is>
          <t>Technical File ID</t>
        </is>
      </c>
      <c r="J1" s="23" t="inlineStr">
        <is>
          <t>Open Technical File</t>
        </is>
      </c>
      <c r="K1" s="23" t="inlineStr">
        <is>
          <t>EU DoC ID</t>
        </is>
      </c>
      <c r="L1" s="23" t="inlineStr">
        <is>
          <t>Open EU DoC</t>
        </is>
      </c>
      <c r="M1" s="23" t="inlineStr">
        <is>
          <t>Label ID</t>
        </is>
      </c>
      <c r="N1" s="23" t="inlineStr">
        <is>
          <t>Open Label</t>
        </is>
      </c>
      <c r="O1" s="23" t="inlineStr">
        <is>
          <t>Statement ID</t>
        </is>
      </c>
      <c r="P1" s="23" t="inlineStr">
        <is>
          <t>Open Statement</t>
        </is>
      </c>
      <c r="Q1" s="23" t="inlineStr">
        <is>
          <t>Document Status</t>
        </is>
      </c>
      <c r="R1" s="23" t="inlineStr">
        <is>
          <t>Revision</t>
        </is>
      </c>
    </row>
    <row r="2">
      <c r="A2" s="25" t="inlineStr">
        <is>
          <t>CNT-20-EUR-01</t>
        </is>
      </c>
      <c r="B2" s="25" t="inlineStr">
        <is>
          <t>IA-CNT-20-EUR-01</t>
        </is>
      </c>
      <c r="C2" s="25" t="inlineStr">
        <is>
          <t>Container loading | OSB (5501806): 11 adet | Separatör (4000130): 10 adet</t>
        </is>
      </c>
      <c r="D2" s="25" t="inlineStr">
        <is>
          <t>Container loading | OSB (5501806): 11 pcs | Separator (4000130): 10 pcs</t>
        </is>
      </c>
      <c r="E2" s="25" t="inlineStr">
        <is>
          <t>IA-CNT-20-EUR</t>
        </is>
      </c>
      <c r="F2" s="25" t="inlineStr">
        <is>
          <t>CONTAINER</t>
        </is>
      </c>
      <c r="G2" s="25" t="n">
        <v>83.06</v>
      </c>
      <c r="H2" s="25" t="n">
        <v>0</v>
      </c>
      <c r="I2" s="25" t="inlineStr">
        <is>
          <t>IA-PPWR-TF-CNT-20-EUR-01-R00</t>
        </is>
      </c>
      <c r="J2" s="31">
        <f>HYPERLINK("03_CONTAINER/CNT-20-EUR-01/01_Technical_File.docx","Open")</f>
        <v/>
      </c>
      <c r="K2" s="25" t="inlineStr">
        <is>
          <t>IA-PPWR-DOC-CNT-20-EUR-01-R00</t>
        </is>
      </c>
      <c r="L2" s="31">
        <f>HYPERLINK("03_CONTAINER/CNT-20-EUR-01/02_EU_DoC.docx","Open")</f>
        <v/>
      </c>
      <c r="M2" s="25" t="inlineStr">
        <is>
          <t>IA-PPWR-LBL-CNT-20-EUR-01-R00</t>
        </is>
      </c>
      <c r="N2" s="31">
        <f>HYPERLINK("03_CONTAINER/CNT-20-EUR-01/03_Label.docx","Open")</f>
        <v/>
      </c>
      <c r="O2" s="25" t="inlineStr">
        <is>
          <t>IA-PPWR-STM-CNT-20-EUR-01-R00</t>
        </is>
      </c>
      <c r="P2" s="31">
        <f>HYPERLINK("03_CONTAINER/CNT-20-EUR-01/04_Shipment_Statement.docx","Open")</f>
        <v/>
      </c>
      <c r="Q2" s="25" t="inlineStr">
        <is>
          <t>GENERATED / LINKED</t>
        </is>
      </c>
      <c r="R2" s="25" t="inlineStr">
        <is>
          <t>Rev.00</t>
        </is>
      </c>
    </row>
    <row r="3">
      <c r="A3" s="25" t="inlineStr">
        <is>
          <t>CNT-20-STD-01</t>
        </is>
      </c>
      <c r="B3" s="25" t="inlineStr">
        <is>
          <t>IA-CNT-20-STD-01</t>
        </is>
      </c>
      <c r="C3" s="25" t="inlineStr">
        <is>
          <t>Container loading | OSB (5501805): 10 adet | Separatör (4000130): 10 adet</t>
        </is>
      </c>
      <c r="D3" s="25" t="inlineStr">
        <is>
          <t>Container loading | OSB (5501805): 10 pcs | Separator (4000130): 10 pcs</t>
        </is>
      </c>
      <c r="E3" s="25" t="inlineStr">
        <is>
          <t>IA-CNT-20-STD</t>
        </is>
      </c>
      <c r="F3" s="25" t="inlineStr">
        <is>
          <t>CONTAINER</t>
        </is>
      </c>
      <c r="G3" s="25" t="n">
        <v>78.06</v>
      </c>
      <c r="H3" s="25" t="n">
        <v>0</v>
      </c>
      <c r="I3" s="25" t="inlineStr">
        <is>
          <t>IA-PPWR-TF-CNT-20-STD-01-R00</t>
        </is>
      </c>
      <c r="J3" s="31">
        <f>HYPERLINK("03_CONTAINER/CNT-20-STD-01/01_Technical_File.docx","Open")</f>
        <v/>
      </c>
      <c r="K3" s="25" t="inlineStr">
        <is>
          <t>IA-PPWR-DOC-CNT-20-STD-01-R00</t>
        </is>
      </c>
      <c r="L3" s="31">
        <f>HYPERLINK("03_CONTAINER/CNT-20-STD-01/02_EU_DoC.docx","Open")</f>
        <v/>
      </c>
      <c r="M3" s="25" t="inlineStr">
        <is>
          <t>IA-PPWR-LBL-CNT-20-STD-01-R00</t>
        </is>
      </c>
      <c r="N3" s="31">
        <f>HYPERLINK("03_CONTAINER/CNT-20-STD-01/03_Label.docx","Open")</f>
        <v/>
      </c>
      <c r="O3" s="25" t="inlineStr">
        <is>
          <t>IA-PPWR-STM-CNT-20-STD-01-R00</t>
        </is>
      </c>
      <c r="P3" s="31">
        <f>HYPERLINK("03_CONTAINER/CNT-20-STD-01/04_Shipment_Statement.docx","Open")</f>
        <v/>
      </c>
      <c r="Q3" s="25" t="inlineStr">
        <is>
          <t>GENERATED / LINKED</t>
        </is>
      </c>
      <c r="R3" s="25" t="inlineStr">
        <is>
          <t>Rev.00</t>
        </is>
      </c>
    </row>
    <row r="4">
      <c r="A4" s="25" t="inlineStr">
        <is>
          <t>CNT-40-IND-01</t>
        </is>
      </c>
      <c r="B4" s="25" t="inlineStr">
        <is>
          <t>IA-CNT-40-IND-01</t>
        </is>
      </c>
      <c r="C4" s="25" t="inlineStr">
        <is>
          <t>Container loading | Hava yastığı (5500759): 26 adet | Bağlama halatı (5500762): 12 m</t>
        </is>
      </c>
      <c r="D4" s="25" t="inlineStr">
        <is>
          <t>Container loading | Air dunnage (5500759): 26 pcs | Lashing rope (5500762): 12 m</t>
        </is>
      </c>
      <c r="E4" s="25" t="inlineStr">
        <is>
          <t>IA-CNT-40-IND</t>
        </is>
      </c>
      <c r="F4" s="25" t="inlineStr">
        <is>
          <t>CONTAINER</t>
        </is>
      </c>
      <c r="G4" s="25" t="n">
        <v>12.76</v>
      </c>
      <c r="H4" s="25" t="n">
        <v>0</v>
      </c>
      <c r="I4" s="25" t="inlineStr">
        <is>
          <t>IA-PPWR-TF-CNT-40-IND-01-R00</t>
        </is>
      </c>
      <c r="J4" s="31">
        <f>HYPERLINK("03_CONTAINER/CNT-40-IND-01/01_Technical_File.docx","Open")</f>
        <v/>
      </c>
      <c r="K4" s="25" t="inlineStr">
        <is>
          <t>IA-PPWR-DOC-CNT-40-IND-01-R00</t>
        </is>
      </c>
      <c r="L4" s="31">
        <f>HYPERLINK("03_CONTAINER/CNT-40-IND-01/02_EU_DoC.docx","Open")</f>
        <v/>
      </c>
      <c r="M4" s="25" t="inlineStr">
        <is>
          <t>IA-PPWR-LBL-CNT-40-IND-01-R00</t>
        </is>
      </c>
      <c r="N4" s="31">
        <f>HYPERLINK("03_CONTAINER/CNT-40-IND-01/03_Label.docx","Open")</f>
        <v/>
      </c>
      <c r="O4" s="25" t="inlineStr">
        <is>
          <t>IA-PPWR-STM-CNT-40-IND-01-R00</t>
        </is>
      </c>
      <c r="P4" s="31">
        <f>HYPERLINK("03_CONTAINER/CNT-40-IND-01/04_Shipment_Statement.docx","Open")</f>
        <v/>
      </c>
      <c r="Q4" s="25" t="inlineStr">
        <is>
          <t>GENERATED / LINKED</t>
        </is>
      </c>
      <c r="R4" s="25" t="inlineStr">
        <is>
          <t>Rev.00</t>
        </is>
      </c>
    </row>
    <row r="5">
      <c r="A5" s="25" t="inlineStr">
        <is>
          <t>CNT-DE-HAM-01</t>
        </is>
      </c>
      <c r="B5" s="25" t="inlineStr">
        <is>
          <t>IA-CNT-DE-HAM-01</t>
        </is>
      </c>
      <c r="C5" s="25" t="inlineStr">
        <is>
          <t>Container loading | Sabitleme Tahtası ( 206×9×9 ) (Hamburg): 2 adet</t>
        </is>
      </c>
      <c r="D5" s="25" t="inlineStr">
        <is>
          <t>Container loading | Sabitleme Tahtası ( 206×9×9 ) (Hamburg): 2 pcs</t>
        </is>
      </c>
      <c r="E5" s="25" t="inlineStr">
        <is>
          <t>IA-CNT-DE-HAMBURG</t>
        </is>
      </c>
      <c r="F5" s="25" t="inlineStr">
        <is>
          <t>CONTAINER</t>
        </is>
      </c>
      <c r="G5" s="25" t="n">
        <v>194</v>
      </c>
      <c r="H5" s="25" t="n">
        <v>0</v>
      </c>
      <c r="I5" s="25" t="inlineStr">
        <is>
          <t>IA-PPWR-TF-CNT-DE-HAM-01-R00</t>
        </is>
      </c>
      <c r="J5" s="31">
        <f>HYPERLINK("03_CONTAINER/CNT-DE-HAM-01/01_Technical_File.docx","Open")</f>
        <v/>
      </c>
      <c r="K5" s="25" t="inlineStr">
        <is>
          <t>IA-PPWR-DOC-CNT-DE-HAM-01-R00</t>
        </is>
      </c>
      <c r="L5" s="31">
        <f>HYPERLINK("03_CONTAINER/CNT-DE-HAM-01/02_EU_DoC.docx","Open")</f>
        <v/>
      </c>
      <c r="M5" s="25" t="inlineStr">
        <is>
          <t>IA-PPWR-LBL-CNT-DE-HAM-01-R00</t>
        </is>
      </c>
      <c r="N5" s="31">
        <f>HYPERLINK("03_CONTAINER/CNT-DE-HAM-01/03_Label.docx","Open")</f>
        <v/>
      </c>
      <c r="O5" s="25" t="inlineStr">
        <is>
          <t>IA-PPWR-STM-CNT-DE-HAM-01-R00</t>
        </is>
      </c>
      <c r="P5" s="31">
        <f>HYPERLINK("03_CONTAINER/CNT-DE-HAM-01/04_Shipment_Statement.docx","Open")</f>
        <v/>
      </c>
      <c r="Q5" s="25" t="inlineStr">
        <is>
          <t>GENERATED / LINKED</t>
        </is>
      </c>
      <c r="R5" s="25" t="inlineStr">
        <is>
          <t>Rev.00</t>
        </is>
      </c>
    </row>
    <row r="6">
      <c r="A6" s="25" t="inlineStr">
        <is>
          <t>IND-24V-01</t>
        </is>
      </c>
      <c r="B6" s="25" t="inlineStr">
        <is>
          <t>IA-IND-24V-01</t>
        </is>
      </c>
      <c r="C6" s="25" t="inlineStr">
        <is>
          <t>24V | Palet (4001005): 1 adet</t>
        </is>
      </c>
      <c r="D6" s="25" t="inlineStr">
        <is>
          <t>24V | Pallet (4001005): 1 pc</t>
        </is>
      </c>
      <c r="E6" s="25" t="inlineStr">
        <is>
          <t>IA-IND-24V</t>
        </is>
      </c>
      <c r="F6" s="25" t="inlineStr">
        <is>
          <t>INDUSTRIAL</t>
        </is>
      </c>
      <c r="G6" s="25" t="n">
        <v>27.388</v>
      </c>
      <c r="H6" s="25" t="n">
        <v>0</v>
      </c>
      <c r="I6" s="25" t="inlineStr">
        <is>
          <t>IA-PPWR-TF-IND-24V-01-R00</t>
        </is>
      </c>
      <c r="J6" s="31">
        <f>HYPERLINK("02_INDUSTRIAL/IND-24V-01/01_Technical_File.docx","Open")</f>
        <v/>
      </c>
      <c r="K6" s="25" t="inlineStr">
        <is>
          <t>IA-PPWR-DOC-IND-24V-01-R00</t>
        </is>
      </c>
      <c r="L6" s="31">
        <f>HYPERLINK("02_INDUSTRIAL/IND-24V-01/02_EU_DoC.docx","Open")</f>
        <v/>
      </c>
      <c r="M6" s="25" t="inlineStr">
        <is>
          <t>IA-PPWR-LBL-IND-24V-01-R00</t>
        </is>
      </c>
      <c r="N6" s="31">
        <f>HYPERLINK("02_INDUSTRIAL/IND-24V-01/03_Label.docx","Open")</f>
        <v/>
      </c>
      <c r="O6" s="25" t="inlineStr">
        <is>
          <t>IA-PPWR-STM-IND-24V-01-R00</t>
        </is>
      </c>
      <c r="P6" s="31">
        <f>HYPERLINK("02_INDUSTRIAL/IND-24V-01/04_Shipment_Statement.docx","Open")</f>
        <v/>
      </c>
      <c r="Q6" s="25" t="inlineStr">
        <is>
          <t>GENERATED / LINKED</t>
        </is>
      </c>
      <c r="R6" s="25" t="inlineStr">
        <is>
          <t>Rev.00</t>
        </is>
      </c>
    </row>
    <row r="7">
      <c r="A7" s="25" t="inlineStr">
        <is>
          <t>IND-48V-01</t>
        </is>
      </c>
      <c r="B7" s="25" t="inlineStr">
        <is>
          <t>IA-IND-48V-01</t>
        </is>
      </c>
      <c r="C7" s="25" t="inlineStr">
        <is>
          <t>48V | Palet (4001005): 1 adet</t>
        </is>
      </c>
      <c r="D7" s="25" t="inlineStr">
        <is>
          <t>48V | Pallet (4001005): 1 pc</t>
        </is>
      </c>
      <c r="E7" s="25" t="inlineStr">
        <is>
          <t>IA-IND-48V</t>
        </is>
      </c>
      <c r="F7" s="25" t="inlineStr">
        <is>
          <t>INDUSTRIAL</t>
        </is>
      </c>
      <c r="G7" s="25" t="n">
        <v>27.5767</v>
      </c>
      <c r="H7" s="25" t="n">
        <v>0</v>
      </c>
      <c r="I7" s="25" t="inlineStr">
        <is>
          <t>IA-PPWR-TF-IND-48V-01-R00</t>
        </is>
      </c>
      <c r="J7" s="31">
        <f>HYPERLINK("02_INDUSTRIAL/IND-48V-01/01_Technical_File.docx","Open")</f>
        <v/>
      </c>
      <c r="K7" s="25" t="inlineStr">
        <is>
          <t>IA-PPWR-DOC-IND-48V-01-R00</t>
        </is>
      </c>
      <c r="L7" s="31">
        <f>HYPERLINK("02_INDUSTRIAL/IND-48V-01/02_EU_DoC.docx","Open")</f>
        <v/>
      </c>
      <c r="M7" s="25" t="inlineStr">
        <is>
          <t>IA-PPWR-LBL-IND-48V-01-R00</t>
        </is>
      </c>
      <c r="N7" s="31">
        <f>HYPERLINK("02_INDUSTRIAL/IND-48V-01/03_Label.docx","Open")</f>
        <v/>
      </c>
      <c r="O7" s="25" t="inlineStr">
        <is>
          <t>IA-PPWR-STM-IND-48V-01-R00</t>
        </is>
      </c>
      <c r="P7" s="31">
        <f>HYPERLINK("02_INDUSTRIAL/IND-48V-01/04_Shipment_Statement.docx","Open")</f>
        <v/>
      </c>
      <c r="Q7" s="25" t="inlineStr">
        <is>
          <t>GENERATED / LINKED</t>
        </is>
      </c>
      <c r="R7" s="25" t="inlineStr">
        <is>
          <t>Rev.00</t>
        </is>
      </c>
    </row>
    <row r="8">
      <c r="A8" s="25" t="inlineStr">
        <is>
          <t>IND-80V-01</t>
        </is>
      </c>
      <c r="B8" s="25" t="inlineStr">
        <is>
          <t>IA-IND-80V-01</t>
        </is>
      </c>
      <c r="C8" s="25" t="inlineStr">
        <is>
          <t>80V | Palet (4000973): 1 adet</t>
        </is>
      </c>
      <c r="D8" s="25" t="inlineStr">
        <is>
          <t>80V | Pallet (4000973): 1 pc</t>
        </is>
      </c>
      <c r="E8" s="25" t="inlineStr">
        <is>
          <t>IA-IND-80V</t>
        </is>
      </c>
      <c r="F8" s="25" t="inlineStr">
        <is>
          <t>INDUSTRIAL</t>
        </is>
      </c>
      <c r="G8" s="25" t="n">
        <v>32.63147</v>
      </c>
      <c r="H8" s="25" t="n">
        <v>0</v>
      </c>
      <c r="I8" s="25" t="inlineStr">
        <is>
          <t>IA-PPWR-TF-IND-80V-01-R00</t>
        </is>
      </c>
      <c r="J8" s="31">
        <f>HYPERLINK("02_INDUSTRIAL/IND-80V-01/01_Technical_File.docx","Open")</f>
        <v/>
      </c>
      <c r="K8" s="25" t="inlineStr">
        <is>
          <t>IA-PPWR-DOC-IND-80V-01-R00</t>
        </is>
      </c>
      <c r="L8" s="31">
        <f>HYPERLINK("02_INDUSTRIAL/IND-80V-01/02_EU_DoC.docx","Open")</f>
        <v/>
      </c>
      <c r="M8" s="25" t="inlineStr">
        <is>
          <t>IA-PPWR-LBL-IND-80V-01-R00</t>
        </is>
      </c>
      <c r="N8" s="31">
        <f>HYPERLINK("02_INDUSTRIAL/IND-80V-01/03_Label.docx","Open")</f>
        <v/>
      </c>
      <c r="O8" s="25" t="inlineStr">
        <is>
          <t>IA-PPWR-STM-IND-80V-01-R00</t>
        </is>
      </c>
      <c r="P8" s="31">
        <f>HYPERLINK("02_INDUSTRIAL/IND-80V-01/04_Shipment_Statement.docx","Open")</f>
        <v/>
      </c>
      <c r="Q8" s="25" t="inlineStr">
        <is>
          <t>GENERATED / LINKED</t>
        </is>
      </c>
      <c r="R8" s="25" t="inlineStr">
        <is>
          <t>Rev.00</t>
        </is>
      </c>
    </row>
    <row r="9">
      <c r="A9" s="25" t="inlineStr">
        <is>
          <t>ST-012-EUR-01</t>
        </is>
      </c>
      <c r="B9" s="25" t="inlineStr">
        <is>
          <t>IA-ST-012-EUR-01</t>
        </is>
      </c>
      <c r="C9" s="25" t="inlineStr">
        <is>
          <t>C | Palet (4000038): 1 adet | Köşebent (4000590): 4 adet</t>
        </is>
      </c>
      <c r="D9" s="25" t="inlineStr">
        <is>
          <t>C | Pallet (4000038): 1 pc | Edge protector (4000590): 4 pcs</t>
        </is>
      </c>
      <c r="E9" s="25" t="inlineStr">
        <is>
          <t>IA-ST-CFG-0004</t>
        </is>
      </c>
      <c r="F9" s="25" t="inlineStr">
        <is>
          <t>STARTER</t>
        </is>
      </c>
      <c r="G9" s="25" t="n">
        <v>29.326</v>
      </c>
      <c r="H9" s="25" t="n">
        <v>1</v>
      </c>
      <c r="I9" s="25" t="inlineStr">
        <is>
          <t>IA-PPWR-TF-ST-012-EUR-01-R00</t>
        </is>
      </c>
      <c r="J9" s="31">
        <f>HYPERLINK("01_STARTER/ST-012-EUR-01/01_Technical_File.docx","Open")</f>
        <v/>
      </c>
      <c r="K9" s="25" t="inlineStr">
        <is>
          <t>IA-PPWR-DOC-ST-012-EUR-01-R00</t>
        </is>
      </c>
      <c r="L9" s="31">
        <f>HYPERLINK("01_STARTER/ST-012-EUR-01/02_EU_DoC.docx","Open")</f>
        <v/>
      </c>
      <c r="M9" s="25" t="inlineStr">
        <is>
          <t>IA-PPWR-LBL-ST-012-EUR-01-R00</t>
        </is>
      </c>
      <c r="N9" s="31">
        <f>HYPERLINK("01_STARTER/ST-012-EUR-01/03_Label.docx","Open")</f>
        <v/>
      </c>
      <c r="O9" s="25" t="inlineStr">
        <is>
          <t>IA-PPWR-STM-ST-012-EUR-01-R00</t>
        </is>
      </c>
      <c r="P9" s="31">
        <f>HYPERLINK("01_STARTER/ST-012-EUR-01/04_Shipment_Statement.docx","Open")</f>
        <v/>
      </c>
      <c r="Q9" s="25" t="inlineStr">
        <is>
          <t>GENERATED / LINKED</t>
        </is>
      </c>
      <c r="R9" s="25" t="inlineStr">
        <is>
          <t>Rev.00</t>
        </is>
      </c>
    </row>
    <row r="10">
      <c r="A10" s="25" t="inlineStr">
        <is>
          <t>ST-012-EUR-02</t>
        </is>
      </c>
      <c r="B10" s="25" t="inlineStr">
        <is>
          <t>IA-ST-012-EUR-02</t>
        </is>
      </c>
      <c r="C10" s="25" t="inlineStr">
        <is>
          <t>L6 | Palet (4000038): 1 adet | Köşebent (4000590): 4 adet</t>
        </is>
      </c>
      <c r="D10" s="25" t="inlineStr">
        <is>
          <t>L6 | Pallet (4000038): 1 pc | Edge protector (4000590): 4 pcs</t>
        </is>
      </c>
      <c r="E10" s="25" t="inlineStr">
        <is>
          <t>IA-ST-CFG-0005</t>
        </is>
      </c>
      <c r="F10" s="25" t="inlineStr">
        <is>
          <t>STARTER</t>
        </is>
      </c>
      <c r="G10" s="25" t="n">
        <v>27.526</v>
      </c>
      <c r="H10" s="25" t="n">
        <v>1</v>
      </c>
      <c r="I10" s="25" t="inlineStr">
        <is>
          <t>IA-PPWR-TF-ST-012-EUR-02-R00</t>
        </is>
      </c>
      <c r="J10" s="31">
        <f>HYPERLINK("01_STARTER/ST-012-EUR-02/01_Technical_File.docx","Open")</f>
        <v/>
      </c>
      <c r="K10" s="25" t="inlineStr">
        <is>
          <t>IA-PPWR-DOC-ST-012-EUR-02-R00</t>
        </is>
      </c>
      <c r="L10" s="31">
        <f>HYPERLINK("01_STARTER/ST-012-EUR-02/02_EU_DoC.docx","Open")</f>
        <v/>
      </c>
      <c r="M10" s="25" t="inlineStr">
        <is>
          <t>IA-PPWR-LBL-ST-012-EUR-02-R00</t>
        </is>
      </c>
      <c r="N10" s="31">
        <f>HYPERLINK("01_STARTER/ST-012-EUR-02/03_Label.docx","Open")</f>
        <v/>
      </c>
      <c r="O10" s="25" t="inlineStr">
        <is>
          <t>IA-PPWR-STM-ST-012-EUR-02-R00</t>
        </is>
      </c>
      <c r="P10" s="31">
        <f>HYPERLINK("01_STARTER/ST-012-EUR-02/04_Shipment_Statement.docx","Open")</f>
        <v/>
      </c>
      <c r="Q10" s="25" t="inlineStr">
        <is>
          <t>GENERATED / LINKED</t>
        </is>
      </c>
      <c r="R10" s="25" t="inlineStr">
        <is>
          <t>Rev.00</t>
        </is>
      </c>
    </row>
    <row r="11">
      <c r="A11" s="25" t="inlineStr">
        <is>
          <t>ST-012-EUR-03</t>
        </is>
      </c>
      <c r="B11" s="25" t="inlineStr">
        <is>
          <t>IA-ST-012-EUR-03</t>
        </is>
      </c>
      <c r="C11" s="25" t="inlineStr">
        <is>
          <t>C | Palet (4000038): 1 adet | Köşebent (4000590): 2 adet</t>
        </is>
      </c>
      <c r="D11" s="25" t="inlineStr">
        <is>
          <t>C | Pallet (4000038): 1 pc | Edge protector (4000590): 2 pcs</t>
        </is>
      </c>
      <c r="E11" s="25" t="inlineStr">
        <is>
          <t>IA-ST-CFG-0006</t>
        </is>
      </c>
      <c r="F11" s="25" t="inlineStr">
        <is>
          <t>STARTER</t>
        </is>
      </c>
      <c r="G11" s="25" t="n">
        <v>29.0392</v>
      </c>
      <c r="H11" s="25" t="n">
        <v>2</v>
      </c>
      <c r="I11" s="25" t="inlineStr">
        <is>
          <t>IA-PPWR-TF-ST-012-EUR-03-R00</t>
        </is>
      </c>
      <c r="J11" s="31">
        <f>HYPERLINK("01_STARTER/ST-012-EUR-03/01_Technical_File.docx","Open")</f>
        <v/>
      </c>
      <c r="K11" s="25" t="inlineStr">
        <is>
          <t>IA-PPWR-DOC-ST-012-EUR-03-R00</t>
        </is>
      </c>
      <c r="L11" s="31">
        <f>HYPERLINK("01_STARTER/ST-012-EUR-03/02_EU_DoC.docx","Open")</f>
        <v/>
      </c>
      <c r="M11" s="25" t="inlineStr">
        <is>
          <t>IA-PPWR-LBL-ST-012-EUR-03-R00</t>
        </is>
      </c>
      <c r="N11" s="31">
        <f>HYPERLINK("01_STARTER/ST-012-EUR-03/03_Label.docx","Open")</f>
        <v/>
      </c>
      <c r="O11" s="25" t="inlineStr">
        <is>
          <t>IA-PPWR-STM-ST-012-EUR-03-R00</t>
        </is>
      </c>
      <c r="P11" s="31">
        <f>HYPERLINK("01_STARTER/ST-012-EUR-03/04_Shipment_Statement.docx","Open")</f>
        <v/>
      </c>
      <c r="Q11" s="25" t="inlineStr">
        <is>
          <t>GENERATED / LINKED</t>
        </is>
      </c>
      <c r="R11" s="25" t="inlineStr">
        <is>
          <t>Rev.00</t>
        </is>
      </c>
    </row>
    <row r="12">
      <c r="A12" s="25" t="inlineStr">
        <is>
          <t>ST-018-EUR-01</t>
        </is>
      </c>
      <c r="B12" s="25" t="inlineStr">
        <is>
          <t>IA-ST-018-EUR-01</t>
        </is>
      </c>
      <c r="C12" s="25" t="inlineStr">
        <is>
          <t>C | Palet (4000038): 1 adet | Köşebent (4001160): 4 adet</t>
        </is>
      </c>
      <c r="D12" s="25" t="inlineStr">
        <is>
          <t>C | Pallet (4000038): 1 pc | Edge protector (4001160): 4 pcs</t>
        </is>
      </c>
      <c r="E12" s="25" t="inlineStr">
        <is>
          <t>IA-ST-CFG-0012</t>
        </is>
      </c>
      <c r="F12" s="25" t="inlineStr">
        <is>
          <t>STARTER</t>
        </is>
      </c>
      <c r="G12" s="25" t="n">
        <v>32.434</v>
      </c>
      <c r="H12" s="25" t="n">
        <v>1</v>
      </c>
      <c r="I12" s="25" t="inlineStr">
        <is>
          <t>IA-PPWR-TF-ST-018-EUR-01-R00</t>
        </is>
      </c>
      <c r="J12" s="31">
        <f>HYPERLINK("01_STARTER/ST-018-EUR-01/01_Technical_File.docx","Open")</f>
        <v/>
      </c>
      <c r="K12" s="25" t="inlineStr">
        <is>
          <t>IA-PPWR-DOC-ST-018-EUR-01-R00</t>
        </is>
      </c>
      <c r="L12" s="31">
        <f>HYPERLINK("01_STARTER/ST-018-EUR-01/02_EU_DoC.docx","Open")</f>
        <v/>
      </c>
      <c r="M12" s="25" t="inlineStr">
        <is>
          <t>IA-PPWR-LBL-ST-018-EUR-01-R00</t>
        </is>
      </c>
      <c r="N12" s="31">
        <f>HYPERLINK("01_STARTER/ST-018-EUR-01/03_Label.docx","Open")</f>
        <v/>
      </c>
      <c r="O12" s="25" t="inlineStr">
        <is>
          <t>IA-PPWR-STM-ST-018-EUR-01-R00</t>
        </is>
      </c>
      <c r="P12" s="31">
        <f>HYPERLINK("01_STARTER/ST-018-EUR-01/04_Shipment_Statement.docx","Open")</f>
        <v/>
      </c>
      <c r="Q12" s="25" t="inlineStr">
        <is>
          <t>GENERATED / LINKED</t>
        </is>
      </c>
      <c r="R12" s="25" t="inlineStr">
        <is>
          <t>Rev.00</t>
        </is>
      </c>
    </row>
    <row r="13">
      <c r="A13" s="25" t="inlineStr">
        <is>
          <t>ST-018-EUR-02</t>
        </is>
      </c>
      <c r="B13" s="25" t="inlineStr">
        <is>
          <t>IA-ST-018-EUR-02</t>
        </is>
      </c>
      <c r="C13" s="25" t="inlineStr">
        <is>
          <t>C | Palet (4000038): 1 adet | Köşebent (4000590): 4 adet</t>
        </is>
      </c>
      <c r="D13" s="25" t="inlineStr">
        <is>
          <t>C | Pallet (4000038): 1 pc | Edge protector (4000590): 4 pcs</t>
        </is>
      </c>
      <c r="E13" s="25" t="inlineStr">
        <is>
          <t>IA-ST-CFG-0013</t>
        </is>
      </c>
      <c r="F13" s="25" t="inlineStr">
        <is>
          <t>STARTER</t>
        </is>
      </c>
      <c r="G13" s="25" t="n">
        <v>30.194</v>
      </c>
      <c r="H13" s="25" t="n">
        <v>4</v>
      </c>
      <c r="I13" s="25" t="inlineStr">
        <is>
          <t>IA-PPWR-TF-ST-018-EUR-02-R00</t>
        </is>
      </c>
      <c r="J13" s="31">
        <f>HYPERLINK("01_STARTER/ST-018-EUR-02/01_Technical_File.docx","Open")</f>
        <v/>
      </c>
      <c r="K13" s="25" t="inlineStr">
        <is>
          <t>IA-PPWR-DOC-ST-018-EUR-02-R00</t>
        </is>
      </c>
      <c r="L13" s="31">
        <f>HYPERLINK("01_STARTER/ST-018-EUR-02/02_EU_DoC.docx","Open")</f>
        <v/>
      </c>
      <c r="M13" s="25" t="inlineStr">
        <is>
          <t>IA-PPWR-LBL-ST-018-EUR-02-R00</t>
        </is>
      </c>
      <c r="N13" s="31">
        <f>HYPERLINK("01_STARTER/ST-018-EUR-02/03_Label.docx","Open")</f>
        <v/>
      </c>
      <c r="O13" s="25" t="inlineStr">
        <is>
          <t>IA-PPWR-STM-ST-018-EUR-02-R00</t>
        </is>
      </c>
      <c r="P13" s="31">
        <f>HYPERLINK("01_STARTER/ST-018-EUR-02/04_Shipment_Statement.docx","Open")</f>
        <v/>
      </c>
      <c r="Q13" s="25" t="inlineStr">
        <is>
          <t>GENERATED / LINKED</t>
        </is>
      </c>
      <c r="R13" s="25" t="inlineStr">
        <is>
          <t>Rev.00</t>
        </is>
      </c>
    </row>
    <row r="14">
      <c r="A14" s="25" t="inlineStr">
        <is>
          <t>ST-018-EUR-03</t>
        </is>
      </c>
      <c r="B14" s="25" t="inlineStr">
        <is>
          <t>IA-ST-018-EUR-03</t>
        </is>
      </c>
      <c r="C14" s="25" t="inlineStr">
        <is>
          <t>C | Palet (4000038): 1 adet | Shrink film (4000557): 1.08 kg | Köşebent (4000590): 2 adet</t>
        </is>
      </c>
      <c r="D14" s="25" t="inlineStr">
        <is>
          <t>C | Pallet (4000038): 1 pc | Shrink film (4000557): 1.08 kg | Edge protector (4000590): 2 pcs</t>
        </is>
      </c>
      <c r="E14" s="25" t="inlineStr">
        <is>
          <t>IA-ST-CFG-0014</t>
        </is>
      </c>
      <c r="F14" s="25" t="inlineStr">
        <is>
          <t>STARTER</t>
        </is>
      </c>
      <c r="G14" s="25" t="n">
        <v>30.9872</v>
      </c>
      <c r="H14" s="25" t="n">
        <v>23</v>
      </c>
      <c r="I14" s="25" t="inlineStr">
        <is>
          <t>IA-PPWR-TF-ST-018-EUR-03-R00</t>
        </is>
      </c>
      <c r="J14" s="31">
        <f>HYPERLINK("01_STARTER/ST-018-EUR-03/01_Technical_File.docx","Open")</f>
        <v/>
      </c>
      <c r="K14" s="25" t="inlineStr">
        <is>
          <t>IA-PPWR-DOC-ST-018-EUR-03-R00</t>
        </is>
      </c>
      <c r="L14" s="31">
        <f>HYPERLINK("01_STARTER/ST-018-EUR-03/02_EU_DoC.docx","Open")</f>
        <v/>
      </c>
      <c r="M14" s="25" t="inlineStr">
        <is>
          <t>IA-PPWR-LBL-ST-018-EUR-03-R00</t>
        </is>
      </c>
      <c r="N14" s="31">
        <f>HYPERLINK("01_STARTER/ST-018-EUR-03/03_Label.docx","Open")</f>
        <v/>
      </c>
      <c r="O14" s="25" t="inlineStr">
        <is>
          <t>IA-PPWR-STM-ST-018-EUR-03-R00</t>
        </is>
      </c>
      <c r="P14" s="31">
        <f>HYPERLINK("01_STARTER/ST-018-EUR-03/04_Shipment_Statement.docx","Open")</f>
        <v/>
      </c>
      <c r="Q14" s="25" t="inlineStr">
        <is>
          <t>GENERATED / LINKED</t>
        </is>
      </c>
      <c r="R14" s="25" t="inlineStr">
        <is>
          <t>Rev.00</t>
        </is>
      </c>
    </row>
    <row r="15">
      <c r="A15" s="25" t="inlineStr">
        <is>
          <t>ST-018-EUR-04</t>
        </is>
      </c>
      <c r="B15" s="25" t="inlineStr">
        <is>
          <t>IA-ST-018-EUR-04</t>
        </is>
      </c>
      <c r="C15" s="25" t="inlineStr">
        <is>
          <t>C | Palet (4000038): 1 adet | Honeycomb (4001186): 3 adet</t>
        </is>
      </c>
      <c r="D15" s="25" t="inlineStr">
        <is>
          <t>C | Pallet (4000038): 1 pc | Honeycomb (4001186): 3 pcs</t>
        </is>
      </c>
      <c r="E15" s="25" t="inlineStr">
        <is>
          <t>IA-ST-CFG-0015</t>
        </is>
      </c>
      <c r="F15" s="25" t="inlineStr">
        <is>
          <t>STARTER</t>
        </is>
      </c>
      <c r="G15" s="25" t="n">
        <v>30.0392</v>
      </c>
      <c r="H15" s="25" t="n">
        <v>6</v>
      </c>
      <c r="I15" s="25" t="inlineStr">
        <is>
          <t>IA-PPWR-TF-ST-018-EUR-04-R00</t>
        </is>
      </c>
      <c r="J15" s="31">
        <f>HYPERLINK("01_STARTER/ST-018-EUR-04/01_Technical_File.docx","Open")</f>
        <v/>
      </c>
      <c r="K15" s="25" t="inlineStr">
        <is>
          <t>IA-PPWR-DOC-ST-018-EUR-04-R00</t>
        </is>
      </c>
      <c r="L15" s="31">
        <f>HYPERLINK("01_STARTER/ST-018-EUR-04/02_EU_DoC.docx","Open")</f>
        <v/>
      </c>
      <c r="M15" s="25" t="inlineStr">
        <is>
          <t>IA-PPWR-LBL-ST-018-EUR-04-R00</t>
        </is>
      </c>
      <c r="N15" s="31">
        <f>HYPERLINK("01_STARTER/ST-018-EUR-04/03_Label.docx","Open")</f>
        <v/>
      </c>
      <c r="O15" s="25" t="inlineStr">
        <is>
          <t>IA-PPWR-STM-ST-018-EUR-04-R00</t>
        </is>
      </c>
      <c r="P15" s="31">
        <f>HYPERLINK("01_STARTER/ST-018-EUR-04/04_Shipment_Statement.docx","Open")</f>
        <v/>
      </c>
      <c r="Q15" s="25" t="inlineStr">
        <is>
          <t>GENERATED / LINKED</t>
        </is>
      </c>
      <c r="R15" s="25" t="inlineStr">
        <is>
          <t>Rev.00</t>
        </is>
      </c>
    </row>
    <row r="16">
      <c r="A16" s="25" t="inlineStr">
        <is>
          <t>ST-018-EUR-05</t>
        </is>
      </c>
      <c r="B16" s="25" t="inlineStr">
        <is>
          <t>IA-ST-018-EUR-05</t>
        </is>
      </c>
      <c r="C16" s="25" t="inlineStr">
        <is>
          <t>C | Palet (4000038): 1 adet | Çember (4000450): kullanılmaz</t>
        </is>
      </c>
      <c r="D16" s="25" t="inlineStr">
        <is>
          <t>C | Pallet (4000038): 1 pc | Strap (4000450): not used</t>
        </is>
      </c>
      <c r="E16" s="25" t="inlineStr">
        <is>
          <t>IA-ST-CFG-0016</t>
        </is>
      </c>
      <c r="F16" s="25" t="inlineStr">
        <is>
          <t>STARTER</t>
        </is>
      </c>
      <c r="G16" s="25" t="n">
        <v>30.7004</v>
      </c>
      <c r="H16" s="25" t="n">
        <v>7</v>
      </c>
      <c r="I16" s="25" t="inlineStr">
        <is>
          <t>IA-PPWR-TF-ST-018-EUR-05-R00</t>
        </is>
      </c>
      <c r="J16" s="31">
        <f>HYPERLINK("01_STARTER/ST-018-EUR-05/01_Technical_File.docx","Open")</f>
        <v/>
      </c>
      <c r="K16" s="25" t="inlineStr">
        <is>
          <t>IA-PPWR-DOC-ST-018-EUR-05-R00</t>
        </is>
      </c>
      <c r="L16" s="31">
        <f>HYPERLINK("01_STARTER/ST-018-EUR-05/02_EU_DoC.docx","Open")</f>
        <v/>
      </c>
      <c r="M16" s="25" t="inlineStr">
        <is>
          <t>IA-PPWR-LBL-ST-018-EUR-05-R00</t>
        </is>
      </c>
      <c r="N16" s="31">
        <f>HYPERLINK("01_STARTER/ST-018-EUR-05/03_Label.docx","Open")</f>
        <v/>
      </c>
      <c r="O16" s="25" t="inlineStr">
        <is>
          <t>IA-PPWR-STM-ST-018-EUR-05-R00</t>
        </is>
      </c>
      <c r="P16" s="31">
        <f>HYPERLINK("01_STARTER/ST-018-EUR-05/04_Shipment_Statement.docx","Open")</f>
        <v/>
      </c>
      <c r="Q16" s="25" t="inlineStr">
        <is>
          <t>GENERATED / LINKED</t>
        </is>
      </c>
      <c r="R16" s="25" t="inlineStr">
        <is>
          <t>Rev.00</t>
        </is>
      </c>
    </row>
    <row r="17">
      <c r="A17" s="25" t="inlineStr">
        <is>
          <t>ST-021-EUR-01</t>
        </is>
      </c>
      <c r="B17" s="25" t="inlineStr">
        <is>
          <t>IA-ST-021-EUR-01</t>
        </is>
      </c>
      <c r="C17" s="25" t="inlineStr">
        <is>
          <t>B | B TİPİ PVC üst kapak (4000591): 21 adet</t>
        </is>
      </c>
      <c r="D17" s="25" t="inlineStr">
        <is>
          <t>B | B TİPİ PVC upper cover (4000591): 21 pcs</t>
        </is>
      </c>
      <c r="E17" s="25" t="inlineStr">
        <is>
          <t>IA-ST-CFG-0027</t>
        </is>
      </c>
      <c r="F17" s="25" t="inlineStr">
        <is>
          <t>STARTER</t>
        </is>
      </c>
      <c r="G17" s="25" t="n">
        <v>32.37481</v>
      </c>
      <c r="H17" s="25" t="n">
        <v>1</v>
      </c>
      <c r="I17" s="25" t="inlineStr">
        <is>
          <t>IA-PPWR-TF-ST-021-EUR-01-R00</t>
        </is>
      </c>
      <c r="J17" s="31">
        <f>HYPERLINK("01_STARTER/ST-021-EUR-01/01_Technical_File.docx","Open")</f>
        <v/>
      </c>
      <c r="K17" s="25" t="inlineStr">
        <is>
          <t>IA-PPWR-DOC-ST-021-EUR-01-R00</t>
        </is>
      </c>
      <c r="L17" s="31">
        <f>HYPERLINK("01_STARTER/ST-021-EUR-01/02_EU_DoC.docx","Open")</f>
        <v/>
      </c>
      <c r="M17" s="25" t="inlineStr">
        <is>
          <t>IA-PPWR-LBL-ST-021-EUR-01-R00</t>
        </is>
      </c>
      <c r="N17" s="31">
        <f>HYPERLINK("01_STARTER/ST-021-EUR-01/03_Label.docx","Open")</f>
        <v/>
      </c>
      <c r="O17" s="25" t="inlineStr">
        <is>
          <t>IA-PPWR-STM-ST-021-EUR-01-R00</t>
        </is>
      </c>
      <c r="P17" s="31">
        <f>HYPERLINK("01_STARTER/ST-021-EUR-01/04_Shipment_Statement.docx","Open")</f>
        <v/>
      </c>
      <c r="Q17" s="25" t="inlineStr">
        <is>
          <t>GENERATED / LINKED</t>
        </is>
      </c>
      <c r="R17" s="25" t="inlineStr">
        <is>
          <t>Rev.00</t>
        </is>
      </c>
    </row>
    <row r="18">
      <c r="A18" s="25" t="inlineStr">
        <is>
          <t>ST-021-EUR-02</t>
        </is>
      </c>
      <c r="B18" s="25" t="inlineStr">
        <is>
          <t>IA-ST-021-EUR-02</t>
        </is>
      </c>
      <c r="C18" s="25" t="inlineStr">
        <is>
          <t>B | Palet (4000038): 1 adet | Köşebent (4000590): 4 adet</t>
        </is>
      </c>
      <c r="D18" s="25" t="inlineStr">
        <is>
          <t>B | Pallet (4000038): 1 pc | Edge protector (4000590): 4 pcs</t>
        </is>
      </c>
      <c r="E18" s="25" t="inlineStr">
        <is>
          <t>IA-ST-CFG-0028</t>
        </is>
      </c>
      <c r="F18" s="25" t="inlineStr">
        <is>
          <t>STARTER</t>
        </is>
      </c>
      <c r="G18" s="25" t="n">
        <v>29.9</v>
      </c>
      <c r="H18" s="25" t="n">
        <v>3</v>
      </c>
      <c r="I18" s="25" t="inlineStr">
        <is>
          <t>IA-PPWR-TF-ST-021-EUR-02-R00</t>
        </is>
      </c>
      <c r="J18" s="31">
        <f>HYPERLINK("01_STARTER/ST-021-EUR-02/01_Technical_File.docx","Open")</f>
        <v/>
      </c>
      <c r="K18" s="25" t="inlineStr">
        <is>
          <t>IA-PPWR-DOC-ST-021-EUR-02-R00</t>
        </is>
      </c>
      <c r="L18" s="31">
        <f>HYPERLINK("01_STARTER/ST-021-EUR-02/02_EU_DoC.docx","Open")</f>
        <v/>
      </c>
      <c r="M18" s="25" t="inlineStr">
        <is>
          <t>IA-PPWR-LBL-ST-021-EUR-02-R00</t>
        </is>
      </c>
      <c r="N18" s="31">
        <f>HYPERLINK("01_STARTER/ST-021-EUR-02/03_Label.docx","Open")</f>
        <v/>
      </c>
      <c r="O18" s="25" t="inlineStr">
        <is>
          <t>IA-PPWR-STM-ST-021-EUR-02-R00</t>
        </is>
      </c>
      <c r="P18" s="31">
        <f>HYPERLINK("01_STARTER/ST-021-EUR-02/04_Shipment_Statement.docx","Open")</f>
        <v/>
      </c>
      <c r="Q18" s="25" t="inlineStr">
        <is>
          <t>GENERATED / LINKED</t>
        </is>
      </c>
      <c r="R18" s="25" t="inlineStr">
        <is>
          <t>Rev.00</t>
        </is>
      </c>
    </row>
    <row r="19">
      <c r="A19" s="25" t="inlineStr">
        <is>
          <t>ST-021-EUR-03</t>
        </is>
      </c>
      <c r="B19" s="25" t="inlineStr">
        <is>
          <t>IA-ST-021-EUR-03</t>
        </is>
      </c>
      <c r="C19" s="25" t="inlineStr">
        <is>
          <t>B | Palet (4000038): 1 adet | Shrink film (4000557): 1.155 kg | EPS (4001290): 21 adet</t>
        </is>
      </c>
      <c r="D19" s="25" t="inlineStr">
        <is>
          <t>B | Pallet (4000038): 1 pc | Shrink film (4000557): 1.155 kg | EPS (4001290): 21 pcs</t>
        </is>
      </c>
      <c r="E19" s="25" t="inlineStr">
        <is>
          <t>IA-ST-CFG-0029</t>
        </is>
      </c>
      <c r="F19" s="25" t="inlineStr">
        <is>
          <t>STARTER</t>
        </is>
      </c>
      <c r="G19" s="25" t="n">
        <v>30.7682</v>
      </c>
      <c r="H19" s="25" t="n">
        <v>22</v>
      </c>
      <c r="I19" s="25" t="inlineStr">
        <is>
          <t>IA-PPWR-TF-ST-021-EUR-03-R00</t>
        </is>
      </c>
      <c r="J19" s="31">
        <f>HYPERLINK("01_STARTER/ST-021-EUR-03/01_Technical_File.docx","Open")</f>
        <v/>
      </c>
      <c r="K19" s="25" t="inlineStr">
        <is>
          <t>IA-PPWR-DOC-ST-021-EUR-03-R00</t>
        </is>
      </c>
      <c r="L19" s="31">
        <f>HYPERLINK("01_STARTER/ST-021-EUR-03/02_EU_DoC.docx","Open")</f>
        <v/>
      </c>
      <c r="M19" s="25" t="inlineStr">
        <is>
          <t>IA-PPWR-LBL-ST-021-EUR-03-R00</t>
        </is>
      </c>
      <c r="N19" s="31">
        <f>HYPERLINK("01_STARTER/ST-021-EUR-03/03_Label.docx","Open")</f>
        <v/>
      </c>
      <c r="O19" s="25" t="inlineStr">
        <is>
          <t>IA-PPWR-STM-ST-021-EUR-03-R00</t>
        </is>
      </c>
      <c r="P19" s="31">
        <f>HYPERLINK("01_STARTER/ST-021-EUR-03/04_Shipment_Statement.docx","Open")</f>
        <v/>
      </c>
      <c r="Q19" s="25" t="inlineStr">
        <is>
          <t>GENERATED / LINKED</t>
        </is>
      </c>
      <c r="R19" s="25" t="inlineStr">
        <is>
          <t>Rev.00</t>
        </is>
      </c>
    </row>
    <row r="20">
      <c r="A20" s="25" t="inlineStr">
        <is>
          <t>ST-021-EUR-04</t>
        </is>
      </c>
      <c r="B20" s="25" t="inlineStr">
        <is>
          <t>IA-ST-021-EUR-04</t>
        </is>
      </c>
      <c r="C20" s="25" t="inlineStr">
        <is>
          <t>B | Palet (4000038): 1 adet | Honeycomb (4001186): 3 adet</t>
        </is>
      </c>
      <c r="D20" s="25" t="inlineStr">
        <is>
          <t>B | Pallet (4000038): 1 pc | Honeycomb (4001186): 3 pcs</t>
        </is>
      </c>
      <c r="E20" s="25" t="inlineStr">
        <is>
          <t>IA-ST-CFG-0030</t>
        </is>
      </c>
      <c r="F20" s="25" t="inlineStr">
        <is>
          <t>STARTER</t>
        </is>
      </c>
      <c r="G20" s="25" t="n">
        <v>30.0392</v>
      </c>
      <c r="H20" s="25" t="n">
        <v>16</v>
      </c>
      <c r="I20" s="25" t="inlineStr">
        <is>
          <t>IA-PPWR-TF-ST-021-EUR-04-R00</t>
        </is>
      </c>
      <c r="J20" s="31">
        <f>HYPERLINK("01_STARTER/ST-021-EUR-04/01_Technical_File.docx","Open")</f>
        <v/>
      </c>
      <c r="K20" s="25" t="inlineStr">
        <is>
          <t>IA-PPWR-DOC-ST-021-EUR-04-R00</t>
        </is>
      </c>
      <c r="L20" s="31">
        <f>HYPERLINK("01_STARTER/ST-021-EUR-04/02_EU_DoC.docx","Open")</f>
        <v/>
      </c>
      <c r="M20" s="25" t="inlineStr">
        <is>
          <t>IA-PPWR-LBL-ST-021-EUR-04-R00</t>
        </is>
      </c>
      <c r="N20" s="31">
        <f>HYPERLINK("01_STARTER/ST-021-EUR-04/03_Label.docx","Open")</f>
        <v/>
      </c>
      <c r="O20" s="25" t="inlineStr">
        <is>
          <t>IA-PPWR-STM-ST-021-EUR-04-R00</t>
        </is>
      </c>
      <c r="P20" s="31">
        <f>HYPERLINK("01_STARTER/ST-021-EUR-04/04_Shipment_Statement.docx","Open")</f>
        <v/>
      </c>
      <c r="Q20" s="25" t="inlineStr">
        <is>
          <t>GENERATED / LINKED</t>
        </is>
      </c>
      <c r="R20" s="25" t="inlineStr">
        <is>
          <t>Rev.00</t>
        </is>
      </c>
    </row>
    <row r="21">
      <c r="A21" s="25" t="inlineStr">
        <is>
          <t>ST-021-EUR-05</t>
        </is>
      </c>
      <c r="B21" s="25" t="inlineStr">
        <is>
          <t>IA-ST-021-EUR-05</t>
        </is>
      </c>
      <c r="C21" s="25" t="inlineStr">
        <is>
          <t>B | Palet (4000038): 1 adet | Shrink film (4000557): kullanılmaz | Köşebent (4000590): 2 adet | EPS (4001290): 21 adet</t>
        </is>
      </c>
      <c r="D21" s="25" t="inlineStr">
        <is>
          <t>B | Pallet (4000038): 1 pc | Shrink film (4000557): not used | Edge protector (4000590): 2 pcs | EPS (4001290): 21 pcs</t>
        </is>
      </c>
      <c r="E21" s="25" t="inlineStr">
        <is>
          <t>IA-ST-CFG-0031</t>
        </is>
      </c>
      <c r="F21" s="25" t="inlineStr">
        <is>
          <t>STARTER</t>
        </is>
      </c>
      <c r="G21" s="25" t="n">
        <v>29.6132</v>
      </c>
      <c r="H21" s="25" t="n">
        <v>1</v>
      </c>
      <c r="I21" s="25" t="inlineStr">
        <is>
          <t>IA-PPWR-TF-ST-021-EUR-05-R00</t>
        </is>
      </c>
      <c r="J21" s="31">
        <f>HYPERLINK("01_STARTER/ST-021-EUR-05/01_Technical_File.docx","Open")</f>
        <v/>
      </c>
      <c r="K21" s="25" t="inlineStr">
        <is>
          <t>IA-PPWR-DOC-ST-021-EUR-05-R00</t>
        </is>
      </c>
      <c r="L21" s="31">
        <f>HYPERLINK("01_STARTER/ST-021-EUR-05/02_EU_DoC.docx","Open")</f>
        <v/>
      </c>
      <c r="M21" s="25" t="inlineStr">
        <is>
          <t>IA-PPWR-LBL-ST-021-EUR-05-R00</t>
        </is>
      </c>
      <c r="N21" s="31">
        <f>HYPERLINK("01_STARTER/ST-021-EUR-05/03_Label.docx","Open")</f>
        <v/>
      </c>
      <c r="O21" s="25" t="inlineStr">
        <is>
          <t>IA-PPWR-STM-ST-021-EUR-05-R00</t>
        </is>
      </c>
      <c r="P21" s="31">
        <f>HYPERLINK("01_STARTER/ST-021-EUR-05/04_Shipment_Statement.docx","Open")</f>
        <v/>
      </c>
      <c r="Q21" s="25" t="inlineStr">
        <is>
          <t>GENERATED / LINKED</t>
        </is>
      </c>
      <c r="R21" s="25" t="inlineStr">
        <is>
          <t>Rev.00</t>
        </is>
      </c>
    </row>
    <row r="22">
      <c r="A22" s="25" t="inlineStr">
        <is>
          <t>ST-021-STD-01</t>
        </is>
      </c>
      <c r="B22" s="25" t="inlineStr">
        <is>
          <t>IA-ST-021-STD-01</t>
        </is>
      </c>
      <c r="C22" s="25" t="inlineStr">
        <is>
          <t>C | Palet (4000037): 1 adet | Streç ped (4000301): 0.175 kg</t>
        </is>
      </c>
      <c r="D22" s="25" t="inlineStr">
        <is>
          <t>C | Pallet (4000037): 1 pc | Stretch pad (4000301): 0.175 kg</t>
        </is>
      </c>
      <c r="E22" s="25" t="inlineStr">
        <is>
          <t>IA-ST-CFG-0020</t>
        </is>
      </c>
      <c r="F22" s="25" t="inlineStr">
        <is>
          <t>STARTER</t>
        </is>
      </c>
      <c r="G22" s="25" t="n">
        <v>31.8142</v>
      </c>
      <c r="H22" s="25" t="n">
        <v>1</v>
      </c>
      <c r="I22" s="25" t="inlineStr">
        <is>
          <t>IA-PPWR-TF-ST-021-STD-01-R00</t>
        </is>
      </c>
      <c r="J22" s="31">
        <f>HYPERLINK("01_STARTER/ST-021-STD-01/01_Technical_File.docx","Open")</f>
        <v/>
      </c>
      <c r="K22" s="25" t="inlineStr">
        <is>
          <t>IA-PPWR-DOC-ST-021-STD-01-R00</t>
        </is>
      </c>
      <c r="L22" s="31">
        <f>HYPERLINK("01_STARTER/ST-021-STD-01/02_EU_DoC.docx","Open")</f>
        <v/>
      </c>
      <c r="M22" s="25" t="inlineStr">
        <is>
          <t>IA-PPWR-LBL-ST-021-STD-01-R00</t>
        </is>
      </c>
      <c r="N22" s="31">
        <f>HYPERLINK("01_STARTER/ST-021-STD-01/03_Label.docx","Open")</f>
        <v/>
      </c>
      <c r="O22" s="25" t="inlineStr">
        <is>
          <t>IA-PPWR-STM-ST-021-STD-01-R00</t>
        </is>
      </c>
      <c r="P22" s="31">
        <f>HYPERLINK("01_STARTER/ST-021-STD-01/04_Shipment_Statement.docx","Open")</f>
        <v/>
      </c>
      <c r="Q22" s="25" t="inlineStr">
        <is>
          <t>GENERATED / LINKED</t>
        </is>
      </c>
      <c r="R22" s="25" t="inlineStr">
        <is>
          <t>Rev.00</t>
        </is>
      </c>
    </row>
    <row r="23">
      <c r="A23" s="25" t="inlineStr">
        <is>
          <t>ST-021-STD-02</t>
        </is>
      </c>
      <c r="B23" s="25" t="inlineStr">
        <is>
          <t>IA-ST-021-STD-02</t>
        </is>
      </c>
      <c r="C23" s="25" t="inlineStr">
        <is>
          <t>C | Palet (4000037): 1 adet | Köşebent (4000590): 4 adet</t>
        </is>
      </c>
      <c r="D23" s="25" t="inlineStr">
        <is>
          <t>C | Pallet (4000037): 1 pc | Edge protector (4000590): 4 pcs</t>
        </is>
      </c>
      <c r="E23" s="25" t="inlineStr">
        <is>
          <t>IA-ST-CFG-0021</t>
        </is>
      </c>
      <c r="F23" s="25" t="inlineStr">
        <is>
          <t>STARTER</t>
        </is>
      </c>
      <c r="G23" s="25" t="n">
        <v>32.112</v>
      </c>
      <c r="H23" s="25" t="n">
        <v>1</v>
      </c>
      <c r="I23" s="25" t="inlineStr">
        <is>
          <t>IA-PPWR-TF-ST-021-STD-02-R00</t>
        </is>
      </c>
      <c r="J23" s="31">
        <f>HYPERLINK("01_STARTER/ST-021-STD-02/01_Technical_File.docx","Open")</f>
        <v/>
      </c>
      <c r="K23" s="25" t="inlineStr">
        <is>
          <t>IA-PPWR-DOC-ST-021-STD-02-R00</t>
        </is>
      </c>
      <c r="L23" s="31">
        <f>HYPERLINK("01_STARTER/ST-021-STD-02/02_EU_DoC.docx","Open")</f>
        <v/>
      </c>
      <c r="M23" s="25" t="inlineStr">
        <is>
          <t>IA-PPWR-LBL-ST-021-STD-02-R00</t>
        </is>
      </c>
      <c r="N23" s="31">
        <f>HYPERLINK("01_STARTER/ST-021-STD-02/03_Label.docx","Open")</f>
        <v/>
      </c>
      <c r="O23" s="25" t="inlineStr">
        <is>
          <t>IA-PPWR-STM-ST-021-STD-02-R00</t>
        </is>
      </c>
      <c r="P23" s="31">
        <f>HYPERLINK("01_STARTER/ST-021-STD-02/04_Shipment_Statement.docx","Open")</f>
        <v/>
      </c>
      <c r="Q23" s="25" t="inlineStr">
        <is>
          <t>GENERATED / LINKED</t>
        </is>
      </c>
      <c r="R23" s="25" t="inlineStr">
        <is>
          <t>Rev.00</t>
        </is>
      </c>
    </row>
    <row r="24">
      <c r="A24" s="25" t="inlineStr">
        <is>
          <t>ST-021-STD-03</t>
        </is>
      </c>
      <c r="B24" s="25" t="inlineStr">
        <is>
          <t>IA-ST-021-STD-03</t>
        </is>
      </c>
      <c r="C24" s="25" t="inlineStr">
        <is>
          <t>C | Palet (4000037): 1 adet | Streç ped (4000301): 0.186 kg | Köşebent (4000590): 2 adet</t>
        </is>
      </c>
      <c r="D24" s="25" t="inlineStr">
        <is>
          <t>C | Pallet (4000037): 1 pc | Stretch pad (4000301): 0.186 kg | Edge protector (4000590): 2 pcs</t>
        </is>
      </c>
      <c r="E24" s="25" t="inlineStr">
        <is>
          <t>IA-ST-CFG-0023</t>
        </is>
      </c>
      <c r="F24" s="25" t="inlineStr">
        <is>
          <t>STARTER</t>
        </is>
      </c>
      <c r="G24" s="25" t="n">
        <v>31.8252</v>
      </c>
      <c r="H24" s="25" t="n">
        <v>52</v>
      </c>
      <c r="I24" s="25" t="inlineStr">
        <is>
          <t>IA-PPWR-TF-ST-021-STD-03-R00</t>
        </is>
      </c>
      <c r="J24" s="31">
        <f>HYPERLINK("01_STARTER/ST-021-STD-03/01_Technical_File.docx","Open")</f>
        <v/>
      </c>
      <c r="K24" s="25" t="inlineStr">
        <is>
          <t>IA-PPWR-DOC-ST-021-STD-03-R00</t>
        </is>
      </c>
      <c r="L24" s="31">
        <f>HYPERLINK("01_STARTER/ST-021-STD-03/02_EU_DoC.docx","Open")</f>
        <v/>
      </c>
      <c r="M24" s="25" t="inlineStr">
        <is>
          <t>IA-PPWR-LBL-ST-021-STD-03-R00</t>
        </is>
      </c>
      <c r="N24" s="31">
        <f>HYPERLINK("01_STARTER/ST-021-STD-03/03_Label.docx","Open")</f>
        <v/>
      </c>
      <c r="O24" s="25" t="inlineStr">
        <is>
          <t>IA-PPWR-STM-ST-021-STD-03-R00</t>
        </is>
      </c>
      <c r="P24" s="31">
        <f>HYPERLINK("01_STARTER/ST-021-STD-03/04_Shipment_Statement.docx","Open")</f>
        <v/>
      </c>
      <c r="Q24" s="25" t="inlineStr">
        <is>
          <t>GENERATED / LINKED</t>
        </is>
      </c>
      <c r="R24" s="25" t="inlineStr">
        <is>
          <t>Rev.00</t>
        </is>
      </c>
    </row>
    <row r="25">
      <c r="A25" s="25" t="inlineStr">
        <is>
          <t>ST-021-STD-04</t>
        </is>
      </c>
      <c r="B25" s="25" t="inlineStr">
        <is>
          <t>IA-ST-021-STD-04</t>
        </is>
      </c>
      <c r="C25" s="25" t="inlineStr">
        <is>
          <t>C | Palet (4000037): 1 adet | Çember (4000450): kullanılmaz</t>
        </is>
      </c>
      <c r="D25" s="25" t="inlineStr">
        <is>
          <t>C | Pallet (4000037): 1 pc | Strap (4000450): not used</t>
        </is>
      </c>
      <c r="E25" s="25" t="inlineStr">
        <is>
          <t>IA-ST-CFG-0024</t>
        </is>
      </c>
      <c r="F25" s="25" t="inlineStr">
        <is>
          <t>STARTER</t>
        </is>
      </c>
      <c r="G25" s="25" t="n">
        <v>31.5384</v>
      </c>
      <c r="H25" s="25" t="n">
        <v>24</v>
      </c>
      <c r="I25" s="25" t="inlineStr">
        <is>
          <t>IA-PPWR-TF-ST-021-STD-04-R00</t>
        </is>
      </c>
      <c r="J25" s="31">
        <f>HYPERLINK("01_STARTER/ST-021-STD-04/01_Technical_File.docx","Open")</f>
        <v/>
      </c>
      <c r="K25" s="25" t="inlineStr">
        <is>
          <t>IA-PPWR-DOC-ST-021-STD-04-R00</t>
        </is>
      </c>
      <c r="L25" s="31">
        <f>HYPERLINK("01_STARTER/ST-021-STD-04/02_EU_DoC.docx","Open")</f>
        <v/>
      </c>
      <c r="M25" s="25" t="inlineStr">
        <is>
          <t>IA-PPWR-LBL-ST-021-STD-04-R00</t>
        </is>
      </c>
      <c r="N25" s="31">
        <f>HYPERLINK("01_STARTER/ST-021-STD-04/03_Label.docx","Open")</f>
        <v/>
      </c>
      <c r="O25" s="25" t="inlineStr">
        <is>
          <t>IA-PPWR-STM-ST-021-STD-04-R00</t>
        </is>
      </c>
      <c r="P25" s="31">
        <f>HYPERLINK("01_STARTER/ST-021-STD-04/04_Shipment_Statement.docx","Open")</f>
        <v/>
      </c>
      <c r="Q25" s="25" t="inlineStr">
        <is>
          <t>GENERATED / LINKED</t>
        </is>
      </c>
      <c r="R25" s="25" t="inlineStr">
        <is>
          <t>Rev.00</t>
        </is>
      </c>
    </row>
    <row r="26">
      <c r="A26" s="25" t="inlineStr">
        <is>
          <t>ST-021-STD-05</t>
        </is>
      </c>
      <c r="B26" s="25" t="inlineStr">
        <is>
          <t>IA-ST-021-STD-05</t>
        </is>
      </c>
      <c r="C26" s="25" t="inlineStr">
        <is>
          <t>C | Palet (4000037): 1 adet | Shrink film (4001177): 0.597 kg</t>
        </is>
      </c>
      <c r="D26" s="25" t="inlineStr">
        <is>
          <t>C | Pallet (4000037): 1 pc | Shrink film (4001177): 0.597 kg</t>
        </is>
      </c>
      <c r="E26" s="25" t="inlineStr">
        <is>
          <t>IA-ST-CFG-0025</t>
        </is>
      </c>
      <c r="F26" s="25" t="inlineStr">
        <is>
          <t>STARTER</t>
        </is>
      </c>
      <c r="G26" s="25" t="n">
        <v>30.983</v>
      </c>
      <c r="H26" s="25" t="n">
        <v>1</v>
      </c>
      <c r="I26" s="25" t="inlineStr">
        <is>
          <t>IA-PPWR-TF-ST-021-STD-05-R00</t>
        </is>
      </c>
      <c r="J26" s="31">
        <f>HYPERLINK("01_STARTER/ST-021-STD-05/01_Technical_File.docx","Open")</f>
        <v/>
      </c>
      <c r="K26" s="25" t="inlineStr">
        <is>
          <t>IA-PPWR-DOC-ST-021-STD-05-R00</t>
        </is>
      </c>
      <c r="L26" s="31">
        <f>HYPERLINK("01_STARTER/ST-021-STD-05/02_EU_DoC.docx","Open")</f>
        <v/>
      </c>
      <c r="M26" s="25" t="inlineStr">
        <is>
          <t>IA-PPWR-LBL-ST-021-STD-05-R00</t>
        </is>
      </c>
      <c r="N26" s="31">
        <f>HYPERLINK("01_STARTER/ST-021-STD-05/03_Label.docx","Open")</f>
        <v/>
      </c>
      <c r="O26" s="25" t="inlineStr">
        <is>
          <t>IA-PPWR-STM-ST-021-STD-05-R00</t>
        </is>
      </c>
      <c r="P26" s="31">
        <f>HYPERLINK("01_STARTER/ST-021-STD-05/04_Shipment_Statement.docx","Open")</f>
        <v/>
      </c>
      <c r="Q26" s="25" t="inlineStr">
        <is>
          <t>GENERATED / LINKED</t>
        </is>
      </c>
      <c r="R26" s="25" t="inlineStr">
        <is>
          <t>Rev.00</t>
        </is>
      </c>
    </row>
    <row r="27">
      <c r="A27" s="25" t="inlineStr">
        <is>
          <t>ST-024-EUR-01</t>
        </is>
      </c>
      <c r="B27" s="25" t="inlineStr">
        <is>
          <t>IA-ST-024-EUR-01</t>
        </is>
      </c>
      <c r="C27" s="25" t="inlineStr">
        <is>
          <t>TRACTOR | Palet (4000038): 1 adet | Honeycomb (4001186): 2 adet</t>
        </is>
      </c>
      <c r="D27" s="25" t="inlineStr">
        <is>
          <t>TRACTOR | Pallet (4000038): 1 pc | Honeycomb (4001186): 2 pcs</t>
        </is>
      </c>
      <c r="E27" s="25" t="inlineStr">
        <is>
          <t>IA-ST-CFG-0035</t>
        </is>
      </c>
      <c r="F27" s="25" t="inlineStr">
        <is>
          <t>STARTER</t>
        </is>
      </c>
      <c r="G27" s="25" t="n">
        <v>36.726</v>
      </c>
      <c r="H27" s="25" t="n">
        <v>1</v>
      </c>
      <c r="I27" s="25" t="inlineStr">
        <is>
          <t>IA-PPWR-TF-ST-024-EUR-01-R00</t>
        </is>
      </c>
      <c r="J27" s="31">
        <f>HYPERLINK("01_STARTER/ST-024-EUR-01/01_Technical_File.docx","Open")</f>
        <v/>
      </c>
      <c r="K27" s="25" t="inlineStr">
        <is>
          <t>IA-PPWR-DOC-ST-024-EUR-01-R00</t>
        </is>
      </c>
      <c r="L27" s="31">
        <f>HYPERLINK("01_STARTER/ST-024-EUR-01/02_EU_DoC.docx","Open")</f>
        <v/>
      </c>
      <c r="M27" s="25" t="inlineStr">
        <is>
          <t>IA-PPWR-LBL-ST-024-EUR-01-R00</t>
        </is>
      </c>
      <c r="N27" s="31">
        <f>HYPERLINK("01_STARTER/ST-024-EUR-01/03_Label.docx","Open")</f>
        <v/>
      </c>
      <c r="O27" s="25" t="inlineStr">
        <is>
          <t>IA-PPWR-STM-ST-024-EUR-01-R00</t>
        </is>
      </c>
      <c r="P27" s="31">
        <f>HYPERLINK("01_STARTER/ST-024-EUR-01/04_Shipment_Statement.docx","Open")</f>
        <v/>
      </c>
      <c r="Q27" s="25" t="inlineStr">
        <is>
          <t>GENERATED / LINKED</t>
        </is>
      </c>
      <c r="R27" s="25" t="inlineStr">
        <is>
          <t>Rev.00</t>
        </is>
      </c>
    </row>
    <row r="28">
      <c r="A28" s="25" t="inlineStr">
        <is>
          <t>ST-024-EUR-02</t>
        </is>
      </c>
      <c r="B28" s="25" t="inlineStr">
        <is>
          <t>IA-ST-024-EUR-02</t>
        </is>
      </c>
      <c r="C28" s="25" t="inlineStr">
        <is>
          <t>A | A TİPİ VAKUM PVC PVC üst kapak (4000720): 24 adet</t>
        </is>
      </c>
      <c r="D28" s="25" t="inlineStr">
        <is>
          <t>A | A TİPİ VAKUM PVC PVC upper cover (4000720): 24 pcs</t>
        </is>
      </c>
      <c r="E28" s="25" t="inlineStr">
        <is>
          <t>IA-ST-CFG-0037</t>
        </is>
      </c>
      <c r="F28" s="25" t="inlineStr">
        <is>
          <t>STARTER</t>
        </is>
      </c>
      <c r="G28" s="25" t="n">
        <v>32.84464</v>
      </c>
      <c r="H28" s="25" t="n">
        <v>1</v>
      </c>
      <c r="I28" s="25" t="inlineStr">
        <is>
          <t>IA-PPWR-TF-ST-024-EUR-02-R00</t>
        </is>
      </c>
      <c r="J28" s="31">
        <f>HYPERLINK("01_STARTER/ST-024-EUR-02/01_Technical_File.docx","Open")</f>
        <v/>
      </c>
      <c r="K28" s="25" t="inlineStr">
        <is>
          <t>IA-PPWR-DOC-ST-024-EUR-02-R00</t>
        </is>
      </c>
      <c r="L28" s="31">
        <f>HYPERLINK("01_STARTER/ST-024-EUR-02/02_EU_DoC.docx","Open")</f>
        <v/>
      </c>
      <c r="M28" s="25" t="inlineStr">
        <is>
          <t>IA-PPWR-LBL-ST-024-EUR-02-R00</t>
        </is>
      </c>
      <c r="N28" s="31">
        <f>HYPERLINK("01_STARTER/ST-024-EUR-02/03_Label.docx","Open")</f>
        <v/>
      </c>
      <c r="O28" s="25" t="inlineStr">
        <is>
          <t>IA-PPWR-STM-ST-024-EUR-02-R00</t>
        </is>
      </c>
      <c r="P28" s="31">
        <f>HYPERLINK("01_STARTER/ST-024-EUR-02/04_Shipment_Statement.docx","Open")</f>
        <v/>
      </c>
      <c r="Q28" s="25" t="inlineStr">
        <is>
          <t>GENERATED / LINKED</t>
        </is>
      </c>
      <c r="R28" s="25" t="inlineStr">
        <is>
          <t>Rev.00</t>
        </is>
      </c>
    </row>
    <row r="29">
      <c r="A29" s="25" t="inlineStr">
        <is>
          <t>ST-024-EUR-03</t>
        </is>
      </c>
      <c r="B29" s="25" t="inlineStr">
        <is>
          <t>IA-ST-024-EUR-03</t>
        </is>
      </c>
      <c r="C29" s="25" t="inlineStr">
        <is>
          <t>A | Palet (4000038): 1 adet | Köşebent (4000590): 4 adet</t>
        </is>
      </c>
      <c r="D29" s="25" t="inlineStr">
        <is>
          <t>A | Pallet (4000038): 1 pc | Edge protector (4000590): 4 pcs</t>
        </is>
      </c>
      <c r="E29" s="25" t="inlineStr">
        <is>
          <t>IA-ST-CFG-0038</t>
        </is>
      </c>
      <c r="F29" s="25" t="inlineStr">
        <is>
          <t>STARTER</t>
        </is>
      </c>
      <c r="G29" s="25" t="n">
        <v>29.63</v>
      </c>
      <c r="H29" s="25" t="n">
        <v>2</v>
      </c>
      <c r="I29" s="25" t="inlineStr">
        <is>
          <t>IA-PPWR-TF-ST-024-EUR-03-R00</t>
        </is>
      </c>
      <c r="J29" s="31">
        <f>HYPERLINK("01_STARTER/ST-024-EUR-03/01_Technical_File.docx","Open")</f>
        <v/>
      </c>
      <c r="K29" s="25" t="inlineStr">
        <is>
          <t>IA-PPWR-DOC-ST-024-EUR-03-R00</t>
        </is>
      </c>
      <c r="L29" s="31">
        <f>HYPERLINK("01_STARTER/ST-024-EUR-03/02_EU_DoC.docx","Open")</f>
        <v/>
      </c>
      <c r="M29" s="25" t="inlineStr">
        <is>
          <t>IA-PPWR-LBL-ST-024-EUR-03-R00</t>
        </is>
      </c>
      <c r="N29" s="31">
        <f>HYPERLINK("01_STARTER/ST-024-EUR-03/03_Label.docx","Open")</f>
        <v/>
      </c>
      <c r="O29" s="25" t="inlineStr">
        <is>
          <t>IA-PPWR-STM-ST-024-EUR-03-R00</t>
        </is>
      </c>
      <c r="P29" s="31">
        <f>HYPERLINK("01_STARTER/ST-024-EUR-03/04_Shipment_Statement.docx","Open")</f>
        <v/>
      </c>
      <c r="Q29" s="25" t="inlineStr">
        <is>
          <t>GENERATED / LINKED</t>
        </is>
      </c>
      <c r="R29" s="25" t="inlineStr">
        <is>
          <t>Rev.00</t>
        </is>
      </c>
    </row>
    <row r="30">
      <c r="A30" s="25" t="inlineStr">
        <is>
          <t>ST-024-EUR-04</t>
        </is>
      </c>
      <c r="B30" s="25" t="inlineStr">
        <is>
          <t>IA-ST-024-EUR-04</t>
        </is>
      </c>
      <c r="C30" s="25" t="inlineStr">
        <is>
          <t>A | Palet (4000038): 1 adet | Köşebent (4000590): 2 adet</t>
        </is>
      </c>
      <c r="D30" s="25" t="inlineStr">
        <is>
          <t>A | Pallet (4000038): 1 pc | Edge protector (4000590): 2 pcs</t>
        </is>
      </c>
      <c r="E30" s="25" t="inlineStr">
        <is>
          <t>IA-ST-CFG-0039</t>
        </is>
      </c>
      <c r="F30" s="25" t="inlineStr">
        <is>
          <t>STARTER</t>
        </is>
      </c>
      <c r="G30" s="25" t="n">
        <v>30.6632</v>
      </c>
      <c r="H30" s="25" t="n">
        <v>18</v>
      </c>
      <c r="I30" s="25" t="inlineStr">
        <is>
          <t>IA-PPWR-TF-ST-024-EUR-04-R00</t>
        </is>
      </c>
      <c r="J30" s="31">
        <f>HYPERLINK("01_STARTER/ST-024-EUR-04/01_Technical_File.docx","Open")</f>
        <v/>
      </c>
      <c r="K30" s="25" t="inlineStr">
        <is>
          <t>IA-PPWR-DOC-ST-024-EUR-04-R00</t>
        </is>
      </c>
      <c r="L30" s="31">
        <f>HYPERLINK("01_STARTER/ST-024-EUR-04/02_EU_DoC.docx","Open")</f>
        <v/>
      </c>
      <c r="M30" s="25" t="inlineStr">
        <is>
          <t>IA-PPWR-LBL-ST-024-EUR-04-R00</t>
        </is>
      </c>
      <c r="N30" s="31">
        <f>HYPERLINK("01_STARTER/ST-024-EUR-04/03_Label.docx","Open")</f>
        <v/>
      </c>
      <c r="O30" s="25" t="inlineStr">
        <is>
          <t>IA-PPWR-STM-ST-024-EUR-04-R00</t>
        </is>
      </c>
      <c r="P30" s="31">
        <f>HYPERLINK("01_STARTER/ST-024-EUR-04/04_Shipment_Statement.docx","Open")</f>
        <v/>
      </c>
      <c r="Q30" s="25" t="inlineStr">
        <is>
          <t>GENERATED / LINKED</t>
        </is>
      </c>
      <c r="R30" s="25" t="inlineStr">
        <is>
          <t>Rev.00</t>
        </is>
      </c>
    </row>
    <row r="31">
      <c r="A31" s="25" t="inlineStr">
        <is>
          <t>ST-024-STD-01</t>
        </is>
      </c>
      <c r="B31" s="25" t="inlineStr">
        <is>
          <t>IA-ST-024-STD-01</t>
        </is>
      </c>
      <c r="C31" s="25" t="inlineStr">
        <is>
          <t>C | Palet (4000037): 1 adet | EPS (4001281): 24 adet</t>
        </is>
      </c>
      <c r="D31" s="25" t="inlineStr">
        <is>
          <t>C | Pallet (4000037): 1 pc | EPS (4001281): 24 pcs</t>
        </is>
      </c>
      <c r="E31" s="25" t="inlineStr">
        <is>
          <t>IA-ST-CFG-0034</t>
        </is>
      </c>
      <c r="F31" s="25" t="inlineStr">
        <is>
          <t>STARTER</t>
        </is>
      </c>
      <c r="G31" s="25" t="n">
        <v>31.23</v>
      </c>
      <c r="H31" s="25" t="n">
        <v>1</v>
      </c>
      <c r="I31" s="25" t="inlineStr">
        <is>
          <t>IA-PPWR-TF-ST-024-STD-01-R00</t>
        </is>
      </c>
      <c r="J31" s="31">
        <f>HYPERLINK("01_STARTER/ST-024-STD-01/01_Technical_File.docx","Open")</f>
        <v/>
      </c>
      <c r="K31" s="25" t="inlineStr">
        <is>
          <t>IA-PPWR-DOC-ST-024-STD-01-R00</t>
        </is>
      </c>
      <c r="L31" s="31">
        <f>HYPERLINK("01_STARTER/ST-024-STD-01/02_EU_DoC.docx","Open")</f>
        <v/>
      </c>
      <c r="M31" s="25" t="inlineStr">
        <is>
          <t>IA-PPWR-LBL-ST-024-STD-01-R00</t>
        </is>
      </c>
      <c r="N31" s="31">
        <f>HYPERLINK("01_STARTER/ST-024-STD-01/03_Label.docx","Open")</f>
        <v/>
      </c>
      <c r="O31" s="25" t="inlineStr">
        <is>
          <t>IA-PPWR-STM-ST-024-STD-01-R00</t>
        </is>
      </c>
      <c r="P31" s="31">
        <f>HYPERLINK("01_STARTER/ST-024-STD-01/04_Shipment_Statement.docx","Open")</f>
        <v/>
      </c>
      <c r="Q31" s="25" t="inlineStr">
        <is>
          <t>GENERATED / LINKED</t>
        </is>
      </c>
      <c r="R31" s="25" t="inlineStr">
        <is>
          <t>Rev.00</t>
        </is>
      </c>
    </row>
    <row r="32">
      <c r="A32" s="25" t="inlineStr">
        <is>
          <t>ST-027-STD90-01</t>
        </is>
      </c>
      <c r="B32" s="25" t="inlineStr">
        <is>
          <t>IA-ST-027-STD90-01</t>
        </is>
      </c>
      <c r="C32" s="25" t="inlineStr">
        <is>
          <t>TANK | TANK PVC üst kapak (4000493): 27 adet | Çember (4000450): 7 m</t>
        </is>
      </c>
      <c r="D32" s="25" t="inlineStr">
        <is>
          <t>TANK | TANK PVC upper cover (4000493): 27 pcs | Strap (4000450): 7 m</t>
        </is>
      </c>
      <c r="E32" s="25" t="inlineStr">
        <is>
          <t>IA-ST-CFG-0043</t>
        </is>
      </c>
      <c r="F32" s="25" t="inlineStr">
        <is>
          <t>STARTER</t>
        </is>
      </c>
      <c r="G32" s="25" t="n">
        <v>25.58996</v>
      </c>
      <c r="H32" s="25" t="n">
        <v>1</v>
      </c>
      <c r="I32" s="25" t="inlineStr">
        <is>
          <t>IA-PPWR-TF-ST-027-STD90-01-R00</t>
        </is>
      </c>
      <c r="J32" s="31">
        <f>HYPERLINK("01_STARTER/ST-027-STD90-01/01_Technical_File.docx","Open")</f>
        <v/>
      </c>
      <c r="K32" s="25" t="inlineStr">
        <is>
          <t>IA-PPWR-DOC-ST-027-STD90-01-R00</t>
        </is>
      </c>
      <c r="L32" s="31">
        <f>HYPERLINK("01_STARTER/ST-027-STD90-01/02_EU_DoC.docx","Open")</f>
        <v/>
      </c>
      <c r="M32" s="25" t="inlineStr">
        <is>
          <t>IA-PPWR-LBL-ST-027-STD90-01-R00</t>
        </is>
      </c>
      <c r="N32" s="31">
        <f>HYPERLINK("01_STARTER/ST-027-STD90-01/03_Label.docx","Open")</f>
        <v/>
      </c>
      <c r="O32" s="25" t="inlineStr">
        <is>
          <t>IA-PPWR-STM-ST-027-STD90-01-R00</t>
        </is>
      </c>
      <c r="P32" s="31">
        <f>HYPERLINK("01_STARTER/ST-027-STD90-01/04_Shipment_Statement.docx","Open")</f>
        <v/>
      </c>
      <c r="Q32" s="25" t="inlineStr">
        <is>
          <t>GENERATED / LINKED</t>
        </is>
      </c>
      <c r="R32" s="25" t="inlineStr">
        <is>
          <t>Rev.00</t>
        </is>
      </c>
    </row>
    <row r="33">
      <c r="A33" s="25" t="inlineStr">
        <is>
          <t>ST-027-STD90-02</t>
        </is>
      </c>
      <c r="B33" s="25" t="inlineStr">
        <is>
          <t>IA-ST-027-STD90-02</t>
        </is>
      </c>
      <c r="C33" s="25" t="inlineStr">
        <is>
          <t>TANK | TANK PVC üst kapak (4000493): 27 adet | Çember (4000450): kullanılmaz</t>
        </is>
      </c>
      <c r="D33" s="25" t="inlineStr">
        <is>
          <t>TANK | TANK PVC upper cover (4000493): 27 pcs | Strap (4000450): not used</t>
        </is>
      </c>
      <c r="E33" s="25" t="inlineStr">
        <is>
          <t>IA-ST-CFG-0044</t>
        </is>
      </c>
      <c r="F33" s="25" t="inlineStr">
        <is>
          <t>STARTER</t>
        </is>
      </c>
      <c r="G33" s="25" t="n">
        <v>25.50316</v>
      </c>
      <c r="H33" s="25" t="n">
        <v>1</v>
      </c>
      <c r="I33" s="25" t="inlineStr">
        <is>
          <t>IA-PPWR-TF-ST-027-STD90-02-R00</t>
        </is>
      </c>
      <c r="J33" s="31">
        <f>HYPERLINK("01_STARTER/ST-027-STD90-02/01_Technical_File.docx","Open")</f>
        <v/>
      </c>
      <c r="K33" s="25" t="inlineStr">
        <is>
          <t>IA-PPWR-DOC-ST-027-STD90-02-R00</t>
        </is>
      </c>
      <c r="L33" s="31">
        <f>HYPERLINK("01_STARTER/ST-027-STD90-02/02_EU_DoC.docx","Open")</f>
        <v/>
      </c>
      <c r="M33" s="25" t="inlineStr">
        <is>
          <t>IA-PPWR-LBL-ST-027-STD90-02-R00</t>
        </is>
      </c>
      <c r="N33" s="31">
        <f>HYPERLINK("01_STARTER/ST-027-STD90-02/03_Label.docx","Open")</f>
        <v/>
      </c>
      <c r="O33" s="25" t="inlineStr">
        <is>
          <t>IA-PPWR-STM-ST-027-STD90-02-R00</t>
        </is>
      </c>
      <c r="P33" s="31">
        <f>HYPERLINK("01_STARTER/ST-027-STD90-02/04_Shipment_Statement.docx","Open")</f>
        <v/>
      </c>
      <c r="Q33" s="25" t="inlineStr">
        <is>
          <t>GENERATED / LINKED</t>
        </is>
      </c>
      <c r="R33" s="25" t="inlineStr">
        <is>
          <t>Rev.00</t>
        </is>
      </c>
    </row>
    <row r="34">
      <c r="A34" s="25" t="inlineStr">
        <is>
          <t>ST-028-STD-01</t>
        </is>
      </c>
      <c r="B34" s="25" t="inlineStr">
        <is>
          <t>IA-ST-028-STD-01</t>
        </is>
      </c>
      <c r="C34" s="25" t="inlineStr">
        <is>
          <t>L6 | Palet (4000037): 1 adet | Shrink film (4000608): 1.12 kg</t>
        </is>
      </c>
      <c r="D34" s="25" t="inlineStr">
        <is>
          <t>L6 | Pallet (4000037): 1 pc | Shrink film (4000608): 1.12 kg</t>
        </is>
      </c>
      <c r="E34" s="25" t="inlineStr">
        <is>
          <t>IA-ST-CFG-0045</t>
        </is>
      </c>
      <c r="F34" s="25" t="inlineStr">
        <is>
          <t>STARTER</t>
        </is>
      </c>
      <c r="G34" s="25" t="n">
        <v>29.056</v>
      </c>
      <c r="H34" s="25" t="n">
        <v>1</v>
      </c>
      <c r="I34" s="25" t="inlineStr">
        <is>
          <t>IA-PPWR-TF-ST-028-STD-01-R00</t>
        </is>
      </c>
      <c r="J34" s="31">
        <f>HYPERLINK("01_STARTER/ST-028-STD-01/01_Technical_File.docx","Open")</f>
        <v/>
      </c>
      <c r="K34" s="25" t="inlineStr">
        <is>
          <t>IA-PPWR-DOC-ST-028-STD-01-R00</t>
        </is>
      </c>
      <c r="L34" s="31">
        <f>HYPERLINK("01_STARTER/ST-028-STD-01/02_EU_DoC.docx","Open")</f>
        <v/>
      </c>
      <c r="M34" s="25" t="inlineStr">
        <is>
          <t>IA-PPWR-LBL-ST-028-STD-01-R00</t>
        </is>
      </c>
      <c r="N34" s="31">
        <f>HYPERLINK("01_STARTER/ST-028-STD-01/03_Label.docx","Open")</f>
        <v/>
      </c>
      <c r="O34" s="25" t="inlineStr">
        <is>
          <t>IA-PPWR-STM-ST-028-STD-01-R00</t>
        </is>
      </c>
      <c r="P34" s="31">
        <f>HYPERLINK("01_STARTER/ST-028-STD-01/04_Shipment_Statement.docx","Open")</f>
        <v/>
      </c>
      <c r="Q34" s="25" t="inlineStr">
        <is>
          <t>GENERATED / LINKED</t>
        </is>
      </c>
      <c r="R34" s="25" t="inlineStr">
        <is>
          <t>Rev.00</t>
        </is>
      </c>
    </row>
    <row r="35">
      <c r="A35" s="25" t="inlineStr">
        <is>
          <t>ST-030-STD-01</t>
        </is>
      </c>
      <c r="B35" s="25" t="inlineStr">
        <is>
          <t>IA-ST-030-STD-01</t>
        </is>
      </c>
      <c r="C35" s="25" t="inlineStr">
        <is>
          <t>L5 | Palet (4000037): 1 adet | Shrink film (4000608): 1.2 kg</t>
        </is>
      </c>
      <c r="D35" s="25" t="inlineStr">
        <is>
          <t>L5 | Pallet (4000037): 1 pc | Shrink film (4000608): 1.2 kg</t>
        </is>
      </c>
      <c r="E35" s="25" t="inlineStr">
        <is>
          <t>IA-ST-CFG-0046</t>
        </is>
      </c>
      <c r="F35" s="25" t="inlineStr">
        <is>
          <t>STARTER</t>
        </is>
      </c>
      <c r="G35" s="25" t="n">
        <v>29.136</v>
      </c>
      <c r="H35" s="25" t="n">
        <v>1</v>
      </c>
      <c r="I35" s="25" t="inlineStr">
        <is>
          <t>IA-PPWR-TF-ST-030-STD-01-R00</t>
        </is>
      </c>
      <c r="J35" s="31">
        <f>HYPERLINK("01_STARTER/ST-030-STD-01/01_Technical_File.docx","Open")</f>
        <v/>
      </c>
      <c r="K35" s="25" t="inlineStr">
        <is>
          <t>IA-PPWR-DOC-ST-030-STD-01-R00</t>
        </is>
      </c>
      <c r="L35" s="31">
        <f>HYPERLINK("01_STARTER/ST-030-STD-01/02_EU_DoC.docx","Open")</f>
        <v/>
      </c>
      <c r="M35" s="25" t="inlineStr">
        <is>
          <t>IA-PPWR-LBL-ST-030-STD-01-R00</t>
        </is>
      </c>
      <c r="N35" s="31">
        <f>HYPERLINK("01_STARTER/ST-030-STD-01/03_Label.docx","Open")</f>
        <v/>
      </c>
      <c r="O35" s="25" t="inlineStr">
        <is>
          <t>IA-PPWR-STM-ST-030-STD-01-R00</t>
        </is>
      </c>
      <c r="P35" s="31">
        <f>HYPERLINK("01_STARTER/ST-030-STD-01/04_Shipment_Statement.docx","Open")</f>
        <v/>
      </c>
      <c r="Q35" s="25" t="inlineStr">
        <is>
          <t>GENERATED / LINKED</t>
        </is>
      </c>
      <c r="R35" s="25" t="inlineStr">
        <is>
          <t>Rev.00</t>
        </is>
      </c>
    </row>
    <row r="36">
      <c r="A36" s="25" t="inlineStr">
        <is>
          <t>ST-030-STD-02</t>
        </is>
      </c>
      <c r="B36" s="25" t="inlineStr">
        <is>
          <t>IA-ST-030-STD-02</t>
        </is>
      </c>
      <c r="C36" s="25" t="inlineStr">
        <is>
          <t>A | Palet (4000037): 1 adet | Shrink film (4000557): 1.65 kg | Köşebent (4000590): 4 adet</t>
        </is>
      </c>
      <c r="D36" s="25" t="inlineStr">
        <is>
          <t>A | Pallet (4000037): 1 pc | Shrink film (4000557): 1.65 kg | Edge protector (4000590): 4 pcs</t>
        </is>
      </c>
      <c r="E36" s="25" t="inlineStr">
        <is>
          <t>IA-ST-CFG-0047</t>
        </is>
      </c>
      <c r="F36" s="25" t="inlineStr">
        <is>
          <t>STARTER</t>
        </is>
      </c>
      <c r="G36" s="25" t="n">
        <v>31.986</v>
      </c>
      <c r="H36" s="25" t="n">
        <v>2</v>
      </c>
      <c r="I36" s="25" t="inlineStr">
        <is>
          <t>IA-PPWR-TF-ST-030-STD-02-R00</t>
        </is>
      </c>
      <c r="J36" s="31">
        <f>HYPERLINK("01_STARTER/ST-030-STD-02/01_Technical_File.docx","Open")</f>
        <v/>
      </c>
      <c r="K36" s="25" t="inlineStr">
        <is>
          <t>IA-PPWR-DOC-ST-030-STD-02-R00</t>
        </is>
      </c>
      <c r="L36" s="31">
        <f>HYPERLINK("01_STARTER/ST-030-STD-02/02_EU_DoC.docx","Open")</f>
        <v/>
      </c>
      <c r="M36" s="25" t="inlineStr">
        <is>
          <t>IA-PPWR-LBL-ST-030-STD-02-R00</t>
        </is>
      </c>
      <c r="N36" s="31">
        <f>HYPERLINK("01_STARTER/ST-030-STD-02/03_Label.docx","Open")</f>
        <v/>
      </c>
      <c r="O36" s="25" t="inlineStr">
        <is>
          <t>IA-PPWR-STM-ST-030-STD-02-R00</t>
        </is>
      </c>
      <c r="P36" s="31">
        <f>HYPERLINK("01_STARTER/ST-030-STD-02/04_Shipment_Statement.docx","Open")</f>
        <v/>
      </c>
      <c r="Q36" s="25" t="inlineStr">
        <is>
          <t>GENERATED / LINKED</t>
        </is>
      </c>
      <c r="R36" s="25" t="inlineStr">
        <is>
          <t>Rev.00</t>
        </is>
      </c>
    </row>
    <row r="37">
      <c r="A37" s="25" t="inlineStr">
        <is>
          <t>ST-030-STD-03</t>
        </is>
      </c>
      <c r="B37" s="25" t="inlineStr">
        <is>
          <t>IA-ST-030-STD-03</t>
        </is>
      </c>
      <c r="C37" s="25" t="inlineStr">
        <is>
          <t>B | Palet (4000037): 1 adet | Shrink film (4000557): 1.65 kg | Köşebent (4000590): 4 adet</t>
        </is>
      </c>
      <c r="D37" s="25" t="inlineStr">
        <is>
          <t>B | Pallet (4000037): 1 pc | Shrink film (4000557): 1.65 kg | Edge protector (4000590): 4 pcs</t>
        </is>
      </c>
      <c r="E37" s="25" t="inlineStr">
        <is>
          <t>IA-ST-CFG-0048</t>
        </is>
      </c>
      <c r="F37" s="25" t="inlineStr">
        <is>
          <t>STARTER</t>
        </is>
      </c>
      <c r="G37" s="25" t="n">
        <v>32.676</v>
      </c>
      <c r="H37" s="25" t="n">
        <v>2</v>
      </c>
      <c r="I37" s="25" t="inlineStr">
        <is>
          <t>IA-PPWR-TF-ST-030-STD-03-R00</t>
        </is>
      </c>
      <c r="J37" s="31">
        <f>HYPERLINK("01_STARTER/ST-030-STD-03/01_Technical_File.docx","Open")</f>
        <v/>
      </c>
      <c r="K37" s="25" t="inlineStr">
        <is>
          <t>IA-PPWR-DOC-ST-030-STD-03-R00</t>
        </is>
      </c>
      <c r="L37" s="31">
        <f>HYPERLINK("01_STARTER/ST-030-STD-03/02_EU_DoC.docx","Open")</f>
        <v/>
      </c>
      <c r="M37" s="25" t="inlineStr">
        <is>
          <t>IA-PPWR-LBL-ST-030-STD-03-R00</t>
        </is>
      </c>
      <c r="N37" s="31">
        <f>HYPERLINK("01_STARTER/ST-030-STD-03/03_Label.docx","Open")</f>
        <v/>
      </c>
      <c r="O37" s="25" t="inlineStr">
        <is>
          <t>IA-PPWR-STM-ST-030-STD-03-R00</t>
        </is>
      </c>
      <c r="P37" s="31">
        <f>HYPERLINK("01_STARTER/ST-030-STD-03/04_Shipment_Statement.docx","Open")</f>
        <v/>
      </c>
      <c r="Q37" s="25" t="inlineStr">
        <is>
          <t>GENERATED / LINKED</t>
        </is>
      </c>
      <c r="R37" s="25" t="inlineStr">
        <is>
          <t>Rev.00</t>
        </is>
      </c>
    </row>
    <row r="38">
      <c r="A38" s="25" t="inlineStr">
        <is>
          <t>ST-030-STD-04</t>
        </is>
      </c>
      <c r="B38" s="25" t="inlineStr">
        <is>
          <t>IA-ST-030-STD-04</t>
        </is>
      </c>
      <c r="C38" s="25" t="inlineStr">
        <is>
          <t>A | Palet (4000037): 1 adet | Shrink film (4000557): kullanılmaz | Köşebent (4000590): 4 adet</t>
        </is>
      </c>
      <c r="D38" s="25" t="inlineStr">
        <is>
          <t>A | Pallet (4000037): 1 pc | Shrink film (4000557): not used | Edge protector (4000590): 4 pcs</t>
        </is>
      </c>
      <c r="E38" s="25" t="inlineStr">
        <is>
          <t>IA-ST-CFG-0049</t>
        </is>
      </c>
      <c r="F38" s="25" t="inlineStr">
        <is>
          <t>STARTER</t>
        </is>
      </c>
      <c r="G38" s="25" t="n">
        <v>30.336</v>
      </c>
      <c r="H38" s="25" t="n">
        <v>2</v>
      </c>
      <c r="I38" s="25" t="inlineStr">
        <is>
          <t>IA-PPWR-TF-ST-030-STD-04-R00</t>
        </is>
      </c>
      <c r="J38" s="31">
        <f>HYPERLINK("01_STARTER/ST-030-STD-04/01_Technical_File.docx","Open")</f>
        <v/>
      </c>
      <c r="K38" s="25" t="inlineStr">
        <is>
          <t>IA-PPWR-DOC-ST-030-STD-04-R00</t>
        </is>
      </c>
      <c r="L38" s="31">
        <f>HYPERLINK("01_STARTER/ST-030-STD-04/02_EU_DoC.docx","Open")</f>
        <v/>
      </c>
      <c r="M38" s="25" t="inlineStr">
        <is>
          <t>IA-PPWR-LBL-ST-030-STD-04-R00</t>
        </is>
      </c>
      <c r="N38" s="31">
        <f>HYPERLINK("01_STARTER/ST-030-STD-04/03_Label.docx","Open")</f>
        <v/>
      </c>
      <c r="O38" s="25" t="inlineStr">
        <is>
          <t>IA-PPWR-STM-ST-030-STD-04-R00</t>
        </is>
      </c>
      <c r="P38" s="31">
        <f>HYPERLINK("01_STARTER/ST-030-STD-04/04_Shipment_Statement.docx","Open")</f>
        <v/>
      </c>
      <c r="Q38" s="25" t="inlineStr">
        <is>
          <t>GENERATED / LINKED</t>
        </is>
      </c>
      <c r="R38" s="25" t="inlineStr">
        <is>
          <t>Rev.00</t>
        </is>
      </c>
    </row>
    <row r="39">
      <c r="A39" s="25" t="inlineStr">
        <is>
          <t>ST-030-STD-05</t>
        </is>
      </c>
      <c r="B39" s="25" t="inlineStr">
        <is>
          <t>IA-ST-030-STD-05</t>
        </is>
      </c>
      <c r="C39" s="25" t="inlineStr">
        <is>
          <t>A | Palet (4000037): 1 adet | Köşebent (4000590): 2 adet</t>
        </is>
      </c>
      <c r="D39" s="25" t="inlineStr">
        <is>
          <t>A | Pallet (4000037): 1 pc | Edge protector (4000590): 2 pcs</t>
        </is>
      </c>
      <c r="E39" s="25" t="inlineStr">
        <is>
          <t>IA-ST-CFG-0051</t>
        </is>
      </c>
      <c r="F39" s="25" t="inlineStr">
        <is>
          <t>STARTER</t>
        </is>
      </c>
      <c r="G39" s="25" t="n">
        <v>31.6992</v>
      </c>
      <c r="H39" s="25" t="n">
        <v>34</v>
      </c>
      <c r="I39" s="25" t="inlineStr">
        <is>
          <t>IA-PPWR-TF-ST-030-STD-05-R00</t>
        </is>
      </c>
      <c r="J39" s="31">
        <f>HYPERLINK("01_STARTER/ST-030-STD-05/01_Technical_File.docx","Open")</f>
        <v/>
      </c>
      <c r="K39" s="25" t="inlineStr">
        <is>
          <t>IA-PPWR-DOC-ST-030-STD-05-R00</t>
        </is>
      </c>
      <c r="L39" s="31">
        <f>HYPERLINK("01_STARTER/ST-030-STD-05/02_EU_DoC.docx","Open")</f>
        <v/>
      </c>
      <c r="M39" s="25" t="inlineStr">
        <is>
          <t>IA-PPWR-LBL-ST-030-STD-05-R00</t>
        </is>
      </c>
      <c r="N39" s="31">
        <f>HYPERLINK("01_STARTER/ST-030-STD-05/03_Label.docx","Open")</f>
        <v/>
      </c>
      <c r="O39" s="25" t="inlineStr">
        <is>
          <t>IA-PPWR-STM-ST-030-STD-05-R00</t>
        </is>
      </c>
      <c r="P39" s="31">
        <f>HYPERLINK("01_STARTER/ST-030-STD-05/04_Shipment_Statement.docx","Open")</f>
        <v/>
      </c>
      <c r="Q39" s="25" t="inlineStr">
        <is>
          <t>GENERATED / LINKED</t>
        </is>
      </c>
      <c r="R39" s="25" t="inlineStr">
        <is>
          <t>Rev.00</t>
        </is>
      </c>
    </row>
    <row r="40">
      <c r="A40" s="25" t="inlineStr">
        <is>
          <t>ST-030-STD-06</t>
        </is>
      </c>
      <c r="B40" s="25" t="inlineStr">
        <is>
          <t>IA-ST-030-STD-06</t>
        </is>
      </c>
      <c r="C40" s="25" t="inlineStr">
        <is>
          <t>B | Palet (4000037): 1 adet | Köşebent (4000590): 2 adet</t>
        </is>
      </c>
      <c r="D40" s="25" t="inlineStr">
        <is>
          <t>B | Pallet (4000037): 1 pc | Edge protector (4000590): 2 pcs</t>
        </is>
      </c>
      <c r="E40" s="25" t="inlineStr">
        <is>
          <t>IA-ST-CFG-0052</t>
        </is>
      </c>
      <c r="F40" s="25" t="inlineStr">
        <is>
          <t>STARTER</t>
        </is>
      </c>
      <c r="G40" s="25" t="n">
        <v>32.3892</v>
      </c>
      <c r="H40" s="25" t="n">
        <v>59</v>
      </c>
      <c r="I40" s="25" t="inlineStr">
        <is>
          <t>IA-PPWR-TF-ST-030-STD-06-R00</t>
        </is>
      </c>
      <c r="J40" s="31">
        <f>HYPERLINK("01_STARTER/ST-030-STD-06/01_Technical_File.docx","Open")</f>
        <v/>
      </c>
      <c r="K40" s="25" t="inlineStr">
        <is>
          <t>IA-PPWR-DOC-ST-030-STD-06-R00</t>
        </is>
      </c>
      <c r="L40" s="31">
        <f>HYPERLINK("01_STARTER/ST-030-STD-06/02_EU_DoC.docx","Open")</f>
        <v/>
      </c>
      <c r="M40" s="25" t="inlineStr">
        <is>
          <t>IA-PPWR-LBL-ST-030-STD-06-R00</t>
        </is>
      </c>
      <c r="N40" s="31">
        <f>HYPERLINK("01_STARTER/ST-030-STD-06/03_Label.docx","Open")</f>
        <v/>
      </c>
      <c r="O40" s="25" t="inlineStr">
        <is>
          <t>IA-PPWR-STM-ST-030-STD-06-R00</t>
        </is>
      </c>
      <c r="P40" s="31">
        <f>HYPERLINK("01_STARTER/ST-030-STD-06/04_Shipment_Statement.docx","Open")</f>
        <v/>
      </c>
      <c r="Q40" s="25" t="inlineStr">
        <is>
          <t>GENERATED / LINKED</t>
        </is>
      </c>
      <c r="R40" s="25" t="inlineStr">
        <is>
          <t>Rev.00</t>
        </is>
      </c>
    </row>
    <row r="41">
      <c r="A41" s="25" t="inlineStr">
        <is>
          <t>ST-030-STD-07</t>
        </is>
      </c>
      <c r="B41" s="25" t="inlineStr">
        <is>
          <t>IA-ST-030-STD-07</t>
        </is>
      </c>
      <c r="C41" s="25" t="inlineStr">
        <is>
          <t>B | Palet (4000037): 1 adet | Çember (4000450): 7 m | Köşebent (4000590): 4 adet</t>
        </is>
      </c>
      <c r="D41" s="25" t="inlineStr">
        <is>
          <t>B | Pallet (4000037): 1 pc | Strap (4000450): 7 m | Edge protector (4000590): 4 pcs</t>
        </is>
      </c>
      <c r="E41" s="25" t="inlineStr">
        <is>
          <t>IA-ST-CFG-0053</t>
        </is>
      </c>
      <c r="F41" s="25" t="inlineStr">
        <is>
          <t>STARTER</t>
        </is>
      </c>
      <c r="G41" s="25" t="n">
        <v>30.9392</v>
      </c>
      <c r="H41" s="25" t="n">
        <v>1</v>
      </c>
      <c r="I41" s="25" t="inlineStr">
        <is>
          <t>IA-PPWR-TF-ST-030-STD-07-R00</t>
        </is>
      </c>
      <c r="J41" s="31">
        <f>HYPERLINK("01_STARTER/ST-030-STD-07/01_Technical_File.docx","Open")</f>
        <v/>
      </c>
      <c r="K41" s="25" t="inlineStr">
        <is>
          <t>IA-PPWR-DOC-ST-030-STD-07-R00</t>
        </is>
      </c>
      <c r="L41" s="31">
        <f>HYPERLINK("01_STARTER/ST-030-STD-07/02_EU_DoC.docx","Open")</f>
        <v/>
      </c>
      <c r="M41" s="25" t="inlineStr">
        <is>
          <t>IA-PPWR-LBL-ST-030-STD-07-R00</t>
        </is>
      </c>
      <c r="N41" s="31">
        <f>HYPERLINK("01_STARTER/ST-030-STD-07/03_Label.docx","Open")</f>
        <v/>
      </c>
      <c r="O41" s="25" t="inlineStr">
        <is>
          <t>IA-PPWR-STM-ST-030-STD-07-R00</t>
        </is>
      </c>
      <c r="P41" s="31">
        <f>HYPERLINK("01_STARTER/ST-030-STD-07/04_Shipment_Statement.docx","Open")</f>
        <v/>
      </c>
      <c r="Q41" s="25" t="inlineStr">
        <is>
          <t>GENERATED / LINKED</t>
        </is>
      </c>
      <c r="R41" s="25" t="inlineStr">
        <is>
          <t>Rev.00</t>
        </is>
      </c>
    </row>
    <row r="42">
      <c r="A42" s="25" t="inlineStr">
        <is>
          <t>ST-030-STD-08</t>
        </is>
      </c>
      <c r="B42" s="25" t="inlineStr">
        <is>
          <t>IA-ST-030-STD-08</t>
        </is>
      </c>
      <c r="C42" s="25" t="inlineStr">
        <is>
          <t>A | Palet (4000037): 1 adet | Çember (4000450): kullanılmaz</t>
        </is>
      </c>
      <c r="D42" s="25" t="inlineStr">
        <is>
          <t>A | Pallet (4000037): 1 pc | Strap (4000450): not used</t>
        </is>
      </c>
      <c r="E42" s="25" t="inlineStr">
        <is>
          <t>IA-ST-CFG-0054</t>
        </is>
      </c>
      <c r="F42" s="25" t="inlineStr">
        <is>
          <t>STARTER</t>
        </is>
      </c>
      <c r="G42" s="25" t="n">
        <v>31.4124</v>
      </c>
      <c r="H42" s="25" t="n">
        <v>13</v>
      </c>
      <c r="I42" s="25" t="inlineStr">
        <is>
          <t>IA-PPWR-TF-ST-030-STD-08-R00</t>
        </is>
      </c>
      <c r="J42" s="31">
        <f>HYPERLINK("01_STARTER/ST-030-STD-08/01_Technical_File.docx","Open")</f>
        <v/>
      </c>
      <c r="K42" s="25" t="inlineStr">
        <is>
          <t>IA-PPWR-DOC-ST-030-STD-08-R00</t>
        </is>
      </c>
      <c r="L42" s="31">
        <f>HYPERLINK("01_STARTER/ST-030-STD-08/02_EU_DoC.docx","Open")</f>
        <v/>
      </c>
      <c r="M42" s="25" t="inlineStr">
        <is>
          <t>IA-PPWR-LBL-ST-030-STD-08-R00</t>
        </is>
      </c>
      <c r="N42" s="31">
        <f>HYPERLINK("01_STARTER/ST-030-STD-08/03_Label.docx","Open")</f>
        <v/>
      </c>
      <c r="O42" s="25" t="inlineStr">
        <is>
          <t>IA-PPWR-STM-ST-030-STD-08-R00</t>
        </is>
      </c>
      <c r="P42" s="31">
        <f>HYPERLINK("01_STARTER/ST-030-STD-08/04_Shipment_Statement.docx","Open")</f>
        <v/>
      </c>
      <c r="Q42" s="25" t="inlineStr">
        <is>
          <t>GENERATED / LINKED</t>
        </is>
      </c>
      <c r="R42" s="25" t="inlineStr">
        <is>
          <t>Rev.00</t>
        </is>
      </c>
    </row>
    <row r="43">
      <c r="A43" s="25" t="inlineStr">
        <is>
          <t>ST-030-STD-09</t>
        </is>
      </c>
      <c r="B43" s="25" t="inlineStr">
        <is>
          <t>IA-ST-030-STD-09</t>
        </is>
      </c>
      <c r="C43" s="25" t="inlineStr">
        <is>
          <t>B | Palet (4000037): 1 adet | Çember (4000450): kullanılmaz</t>
        </is>
      </c>
      <c r="D43" s="25" t="inlineStr">
        <is>
          <t>B | Pallet (4000037): 1 pc | Strap (4000450): not used</t>
        </is>
      </c>
      <c r="E43" s="25" t="inlineStr">
        <is>
          <t>IA-ST-CFG-0055</t>
        </is>
      </c>
      <c r="F43" s="25" t="inlineStr">
        <is>
          <t>STARTER</t>
        </is>
      </c>
      <c r="G43" s="25" t="n">
        <v>32.1024</v>
      </c>
      <c r="H43" s="25" t="n">
        <v>20</v>
      </c>
      <c r="I43" s="25" t="inlineStr">
        <is>
          <t>IA-PPWR-TF-ST-030-STD-09-R00</t>
        </is>
      </c>
      <c r="J43" s="31">
        <f>HYPERLINK("01_STARTER/ST-030-STD-09/01_Technical_File.docx","Open")</f>
        <v/>
      </c>
      <c r="K43" s="25" t="inlineStr">
        <is>
          <t>IA-PPWR-DOC-ST-030-STD-09-R00</t>
        </is>
      </c>
      <c r="L43" s="31">
        <f>HYPERLINK("01_STARTER/ST-030-STD-09/02_EU_DoC.docx","Open")</f>
        <v/>
      </c>
      <c r="M43" s="25" t="inlineStr">
        <is>
          <t>IA-PPWR-LBL-ST-030-STD-09-R00</t>
        </is>
      </c>
      <c r="N43" s="31">
        <f>HYPERLINK("01_STARTER/ST-030-STD-09/03_Label.docx","Open")</f>
        <v/>
      </c>
      <c r="O43" s="25" t="inlineStr">
        <is>
          <t>IA-PPWR-STM-ST-030-STD-09-R00</t>
        </is>
      </c>
      <c r="P43" s="31">
        <f>HYPERLINK("01_STARTER/ST-030-STD-09/04_Shipment_Statement.docx","Open")</f>
        <v/>
      </c>
      <c r="Q43" s="25" t="inlineStr">
        <is>
          <t>GENERATED / LINKED</t>
        </is>
      </c>
      <c r="R43" s="25" t="inlineStr">
        <is>
          <t>Rev.00</t>
        </is>
      </c>
    </row>
    <row r="44">
      <c r="A44" s="25" t="inlineStr">
        <is>
          <t>ST-030-STD-10</t>
        </is>
      </c>
      <c r="B44" s="25" t="inlineStr">
        <is>
          <t>IA-ST-030-STD-10</t>
        </is>
      </c>
      <c r="C44" s="25" t="inlineStr">
        <is>
          <t>A | Palet (4000037): 1 adet | Shrink film (4001177): 0.597 kg</t>
        </is>
      </c>
      <c r="D44" s="25" t="inlineStr">
        <is>
          <t>A | Pallet (4000037): 1 pc | Shrink film (4001177): 0.597 kg</t>
        </is>
      </c>
      <c r="E44" s="25" t="inlineStr">
        <is>
          <t>IA-ST-CFG-0056</t>
        </is>
      </c>
      <c r="F44" s="25" t="inlineStr">
        <is>
          <t>STARTER</t>
        </is>
      </c>
      <c r="G44" s="25" t="n">
        <v>30.467</v>
      </c>
      <c r="H44" s="25" t="n">
        <v>2</v>
      </c>
      <c r="I44" s="25" t="inlineStr">
        <is>
          <t>IA-PPWR-TF-ST-030-STD-10-R00</t>
        </is>
      </c>
      <c r="J44" s="31">
        <f>HYPERLINK("01_STARTER/ST-030-STD-10/01_Technical_File.docx","Open")</f>
        <v/>
      </c>
      <c r="K44" s="25" t="inlineStr">
        <is>
          <t>IA-PPWR-DOC-ST-030-STD-10-R00</t>
        </is>
      </c>
      <c r="L44" s="31">
        <f>HYPERLINK("01_STARTER/ST-030-STD-10/02_EU_DoC.docx","Open")</f>
        <v/>
      </c>
      <c r="M44" s="25" t="inlineStr">
        <is>
          <t>IA-PPWR-LBL-ST-030-STD-10-R00</t>
        </is>
      </c>
      <c r="N44" s="31">
        <f>HYPERLINK("01_STARTER/ST-030-STD-10/03_Label.docx","Open")</f>
        <v/>
      </c>
      <c r="O44" s="25" t="inlineStr">
        <is>
          <t>IA-PPWR-STM-ST-030-STD-10-R00</t>
        </is>
      </c>
      <c r="P44" s="31">
        <f>HYPERLINK("01_STARTER/ST-030-STD-10/04_Shipment_Statement.docx","Open")</f>
        <v/>
      </c>
      <c r="Q44" s="25" t="inlineStr">
        <is>
          <t>GENERATED / LINKED</t>
        </is>
      </c>
      <c r="R44" s="25" t="inlineStr">
        <is>
          <t>Rev.00</t>
        </is>
      </c>
    </row>
    <row r="45">
      <c r="A45" s="25" t="inlineStr">
        <is>
          <t>ST-030-STD-11</t>
        </is>
      </c>
      <c r="B45" s="25" t="inlineStr">
        <is>
          <t>IA-ST-030-STD-11</t>
        </is>
      </c>
      <c r="C45" s="25" t="inlineStr">
        <is>
          <t>B | Palet (4000037): 1 adet | Shrink film (4001177): 0.597 kg</t>
        </is>
      </c>
      <c r="D45" s="25" t="inlineStr">
        <is>
          <t>B | Pallet (4000037): 1 pc | Shrink film (4001177): 0.597 kg</t>
        </is>
      </c>
      <c r="E45" s="25" t="inlineStr">
        <is>
          <t>IA-ST-CFG-0057</t>
        </is>
      </c>
      <c r="F45" s="25" t="inlineStr">
        <is>
          <t>STARTER</t>
        </is>
      </c>
      <c r="G45" s="25" t="n">
        <v>31.157</v>
      </c>
      <c r="H45" s="25" t="n">
        <v>3</v>
      </c>
      <c r="I45" s="25" t="inlineStr">
        <is>
          <t>IA-PPWR-TF-ST-030-STD-11-R00</t>
        </is>
      </c>
      <c r="J45" s="31">
        <f>HYPERLINK("01_STARTER/ST-030-STD-11/01_Technical_File.docx","Open")</f>
        <v/>
      </c>
      <c r="K45" s="25" t="inlineStr">
        <is>
          <t>IA-PPWR-DOC-ST-030-STD-11-R00</t>
        </is>
      </c>
      <c r="L45" s="31">
        <f>HYPERLINK("01_STARTER/ST-030-STD-11/02_EU_DoC.docx","Open")</f>
        <v/>
      </c>
      <c r="M45" s="25" t="inlineStr">
        <is>
          <t>IA-PPWR-LBL-ST-030-STD-11-R00</t>
        </is>
      </c>
      <c r="N45" s="31">
        <f>HYPERLINK("01_STARTER/ST-030-STD-11/03_Label.docx","Open")</f>
        <v/>
      </c>
      <c r="O45" s="25" t="inlineStr">
        <is>
          <t>IA-PPWR-STM-ST-030-STD-11-R00</t>
        </is>
      </c>
      <c r="P45" s="31">
        <f>HYPERLINK("01_STARTER/ST-030-STD-11/04_Shipment_Statement.docx","Open")</f>
        <v/>
      </c>
      <c r="Q45" s="25" t="inlineStr">
        <is>
          <t>GENERATED / LINKED</t>
        </is>
      </c>
      <c r="R45" s="25" t="inlineStr">
        <is>
          <t>Rev.00</t>
        </is>
      </c>
    </row>
    <row r="46">
      <c r="A46" s="25" t="inlineStr">
        <is>
          <t>ST-033-EUR-01</t>
        </is>
      </c>
      <c r="B46" s="25" t="inlineStr">
        <is>
          <t>IA-ST-033-EUR-01</t>
        </is>
      </c>
      <c r="C46" s="25" t="inlineStr">
        <is>
          <t>L6 | Palet (4000038): 1 adet | Köşebent (4000590): 4 adet</t>
        </is>
      </c>
      <c r="D46" s="25" t="inlineStr">
        <is>
          <t>L6 | Pallet (4000038): 1 pc | Edge protector (4000590): 4 pcs</t>
        </is>
      </c>
      <c r="E46" s="25" t="inlineStr">
        <is>
          <t>IA-ST-CFG-0058</t>
        </is>
      </c>
      <c r="F46" s="25" t="inlineStr">
        <is>
          <t>STARTER</t>
        </is>
      </c>
      <c r="G46" s="25" t="n">
        <v>27.926</v>
      </c>
      <c r="H46" s="25" t="n">
        <v>3</v>
      </c>
      <c r="I46" s="25" t="inlineStr">
        <is>
          <t>IA-PPWR-TF-ST-033-EUR-01-R00</t>
        </is>
      </c>
      <c r="J46" s="31">
        <f>HYPERLINK("01_STARTER/ST-033-EUR-01/01_Technical_File.docx","Open")</f>
        <v/>
      </c>
      <c r="K46" s="25" t="inlineStr">
        <is>
          <t>IA-PPWR-DOC-ST-033-EUR-01-R00</t>
        </is>
      </c>
      <c r="L46" s="31">
        <f>HYPERLINK("01_STARTER/ST-033-EUR-01/02_EU_DoC.docx","Open")</f>
        <v/>
      </c>
      <c r="M46" s="25" t="inlineStr">
        <is>
          <t>IA-PPWR-LBL-ST-033-EUR-01-R00</t>
        </is>
      </c>
      <c r="N46" s="31">
        <f>HYPERLINK("01_STARTER/ST-033-EUR-01/03_Label.docx","Open")</f>
        <v/>
      </c>
      <c r="O46" s="25" t="inlineStr">
        <is>
          <t>IA-PPWR-STM-ST-033-EUR-01-R00</t>
        </is>
      </c>
      <c r="P46" s="31">
        <f>HYPERLINK("01_STARTER/ST-033-EUR-01/04_Shipment_Statement.docx","Open")</f>
        <v/>
      </c>
      <c r="Q46" s="25" t="inlineStr">
        <is>
          <t>GENERATED / LINKED</t>
        </is>
      </c>
      <c r="R46" s="25" t="inlineStr">
        <is>
          <t>Rev.00</t>
        </is>
      </c>
    </row>
    <row r="47">
      <c r="A47" s="25" t="inlineStr">
        <is>
          <t>ST-034-STD-01</t>
        </is>
      </c>
      <c r="B47" s="25" t="inlineStr">
        <is>
          <t>IA-ST-034-STD-01</t>
        </is>
      </c>
      <c r="C47" s="25" t="inlineStr">
        <is>
          <t>D31 | D31 YUASA penceresiz Orta Doğu dış koli (4001108): 34 adet</t>
        </is>
      </c>
      <c r="D47" s="25" t="inlineStr">
        <is>
          <t>D31 | D31 YUASA windowless Middle East outer carton (4001108): 34 pcs</t>
        </is>
      </c>
      <c r="E47" s="25" t="inlineStr">
        <is>
          <t>IA-ST-CFG-0059</t>
        </is>
      </c>
      <c r="F47" s="25" t="inlineStr">
        <is>
          <t>STARTER</t>
        </is>
      </c>
      <c r="G47" s="25" t="n">
        <v>40.7776</v>
      </c>
      <c r="H47" s="25" t="n">
        <v>2</v>
      </c>
      <c r="I47" s="25" t="inlineStr">
        <is>
          <t>IA-PPWR-TF-ST-034-STD-01-R00</t>
        </is>
      </c>
      <c r="J47" s="31">
        <f>HYPERLINK("01_STARTER/ST-034-STD-01/01_Technical_File.docx","Open")</f>
        <v/>
      </c>
      <c r="K47" s="25" t="inlineStr">
        <is>
          <t>IA-PPWR-DOC-ST-034-STD-01-R00</t>
        </is>
      </c>
      <c r="L47" s="31">
        <f>HYPERLINK("01_STARTER/ST-034-STD-01/02_EU_DoC.docx","Open")</f>
        <v/>
      </c>
      <c r="M47" s="25" t="inlineStr">
        <is>
          <t>IA-PPWR-LBL-ST-034-STD-01-R00</t>
        </is>
      </c>
      <c r="N47" s="31">
        <f>HYPERLINK("01_STARTER/ST-034-STD-01/03_Label.docx","Open")</f>
        <v/>
      </c>
      <c r="O47" s="25" t="inlineStr">
        <is>
          <t>IA-PPWR-STM-ST-034-STD-01-R00</t>
        </is>
      </c>
      <c r="P47" s="31">
        <f>HYPERLINK("01_STARTER/ST-034-STD-01/04_Shipment_Statement.docx","Open")</f>
        <v/>
      </c>
      <c r="Q47" s="25" t="inlineStr">
        <is>
          <t>GENERATED / LINKED</t>
        </is>
      </c>
      <c r="R47" s="25" t="inlineStr">
        <is>
          <t>Rev.00</t>
        </is>
      </c>
    </row>
    <row r="48">
      <c r="A48" s="25" t="inlineStr">
        <is>
          <t>ST-034-STD-02</t>
        </is>
      </c>
      <c r="B48" s="25" t="inlineStr">
        <is>
          <t>IA-ST-034-STD-02</t>
        </is>
      </c>
      <c r="C48" s="25" t="inlineStr">
        <is>
          <t>L4 | L4 YUASA penceresiz Orta Doğu dış koli (4001313): 34 adet</t>
        </is>
      </c>
      <c r="D48" s="25" t="inlineStr">
        <is>
          <t>L4 | L4 YUASA windowless Middle East outer carton (4001313): 34 pcs</t>
        </is>
      </c>
      <c r="E48" s="25" t="inlineStr">
        <is>
          <t>IA-ST-CFG-0060</t>
        </is>
      </c>
      <c r="F48" s="25" t="inlineStr">
        <is>
          <t>STARTER</t>
        </is>
      </c>
      <c r="G48" s="25" t="n">
        <v>37.296</v>
      </c>
      <c r="H48" s="25" t="n">
        <v>1</v>
      </c>
      <c r="I48" s="25" t="inlineStr">
        <is>
          <t>IA-PPWR-TF-ST-034-STD-02-R00</t>
        </is>
      </c>
      <c r="J48" s="31">
        <f>HYPERLINK("01_STARTER/ST-034-STD-02/01_Technical_File.docx","Open")</f>
        <v/>
      </c>
      <c r="K48" s="25" t="inlineStr">
        <is>
          <t>IA-PPWR-DOC-ST-034-STD-02-R00</t>
        </is>
      </c>
      <c r="L48" s="31">
        <f>HYPERLINK("01_STARTER/ST-034-STD-02/02_EU_DoC.docx","Open")</f>
        <v/>
      </c>
      <c r="M48" s="25" t="inlineStr">
        <is>
          <t>IA-PPWR-LBL-ST-034-STD-02-R00</t>
        </is>
      </c>
      <c r="N48" s="31">
        <f>HYPERLINK("01_STARTER/ST-034-STD-02/03_Label.docx","Open")</f>
        <v/>
      </c>
      <c r="O48" s="25" t="inlineStr">
        <is>
          <t>IA-PPWR-STM-ST-034-STD-02-R00</t>
        </is>
      </c>
      <c r="P48" s="31">
        <f>HYPERLINK("01_STARTER/ST-034-STD-02/04_Shipment_Statement.docx","Open")</f>
        <v/>
      </c>
      <c r="Q48" s="25" t="inlineStr">
        <is>
          <t>GENERATED / LINKED</t>
        </is>
      </c>
      <c r="R48" s="25" t="inlineStr">
        <is>
          <t>Rev.00</t>
        </is>
      </c>
    </row>
    <row r="49">
      <c r="A49" s="25" t="inlineStr">
        <is>
          <t>ST-036-EUR-01</t>
        </is>
      </c>
      <c r="B49" s="25" t="inlineStr">
        <is>
          <t>IA-ST-036-EUR-01</t>
        </is>
      </c>
      <c r="C49" s="25" t="inlineStr">
        <is>
          <t>L6 | L6 İnci AGM LEO 105AH940A pencereli dış koli (4001360): 36 adet</t>
        </is>
      </c>
      <c r="D49" s="25" t="inlineStr">
        <is>
          <t>L6 | L6 İnci AGM LEO 105AH940A windowed outer carton (4001360): 36 pcs</t>
        </is>
      </c>
      <c r="E49" s="25" t="inlineStr">
        <is>
          <t>IA-ST-CFG-0062</t>
        </is>
      </c>
      <c r="F49" s="25" t="inlineStr">
        <is>
          <t>STARTER</t>
        </is>
      </c>
      <c r="G49" s="25" t="n">
        <v>43.186</v>
      </c>
      <c r="H49" s="25" t="n">
        <v>1</v>
      </c>
      <c r="I49" s="25" t="inlineStr">
        <is>
          <t>IA-PPWR-TF-ST-036-EUR-01-R00</t>
        </is>
      </c>
      <c r="J49" s="31">
        <f>HYPERLINK("01_STARTER/ST-036-EUR-01/01_Technical_File.docx","Open")</f>
        <v/>
      </c>
      <c r="K49" s="25" t="inlineStr">
        <is>
          <t>IA-PPWR-DOC-ST-036-EUR-01-R00</t>
        </is>
      </c>
      <c r="L49" s="31">
        <f>HYPERLINK("01_STARTER/ST-036-EUR-01/02_EU_DoC.docx","Open")</f>
        <v/>
      </c>
      <c r="M49" s="25" t="inlineStr">
        <is>
          <t>IA-PPWR-LBL-ST-036-EUR-01-R00</t>
        </is>
      </c>
      <c r="N49" s="31">
        <f>HYPERLINK("01_STARTER/ST-036-EUR-01/03_Label.docx","Open")</f>
        <v/>
      </c>
      <c r="O49" s="25" t="inlineStr">
        <is>
          <t>IA-PPWR-STM-ST-036-EUR-01-R00</t>
        </is>
      </c>
      <c r="P49" s="31">
        <f>HYPERLINK("01_STARTER/ST-036-EUR-01/04_Shipment_Statement.docx","Open")</f>
        <v/>
      </c>
      <c r="Q49" s="25" t="inlineStr">
        <is>
          <t>GENERATED / LINKED</t>
        </is>
      </c>
      <c r="R49" s="25" t="inlineStr">
        <is>
          <t>Rev.00</t>
        </is>
      </c>
    </row>
    <row r="50">
      <c r="A50" s="25" t="inlineStr">
        <is>
          <t>ST-036-EUR-02</t>
        </is>
      </c>
      <c r="B50" s="25" t="inlineStr">
        <is>
          <t>IA-ST-036-EUR-02</t>
        </is>
      </c>
      <c r="C50" s="25" t="inlineStr">
        <is>
          <t>NS40 | Palet (4000038): 1 adet | EPS (4000573): 8 adet</t>
        </is>
      </c>
      <c r="D50" s="25" t="inlineStr">
        <is>
          <t>NS40 | Pallet (4000038): 1 pc | EPS (4000573): 8 pcs</t>
        </is>
      </c>
      <c r="E50" s="25" t="inlineStr">
        <is>
          <t>IA-ST-CFG-0065</t>
        </is>
      </c>
      <c r="F50" s="25" t="inlineStr">
        <is>
          <t>STARTER</t>
        </is>
      </c>
      <c r="G50" s="25" t="n">
        <v>27.942</v>
      </c>
      <c r="H50" s="25" t="n">
        <v>1</v>
      </c>
      <c r="I50" s="25" t="inlineStr">
        <is>
          <t>IA-PPWR-TF-ST-036-EUR-02-R00</t>
        </is>
      </c>
      <c r="J50" s="31">
        <f>HYPERLINK("01_STARTER/ST-036-EUR-02/01_Technical_File.docx","Open")</f>
        <v/>
      </c>
      <c r="K50" s="25" t="inlineStr">
        <is>
          <t>IA-PPWR-DOC-ST-036-EUR-02-R00</t>
        </is>
      </c>
      <c r="L50" s="31">
        <f>HYPERLINK("01_STARTER/ST-036-EUR-02/02_EU_DoC.docx","Open")</f>
        <v/>
      </c>
      <c r="M50" s="25" t="inlineStr">
        <is>
          <t>IA-PPWR-LBL-ST-036-EUR-02-R00</t>
        </is>
      </c>
      <c r="N50" s="31">
        <f>HYPERLINK("01_STARTER/ST-036-EUR-02/03_Label.docx","Open")</f>
        <v/>
      </c>
      <c r="O50" s="25" t="inlineStr">
        <is>
          <t>IA-PPWR-STM-ST-036-EUR-02-R00</t>
        </is>
      </c>
      <c r="P50" s="31">
        <f>HYPERLINK("01_STARTER/ST-036-EUR-02/04_Shipment_Statement.docx","Open")</f>
        <v/>
      </c>
      <c r="Q50" s="25" t="inlineStr">
        <is>
          <t>GENERATED / LINKED</t>
        </is>
      </c>
      <c r="R50" s="25" t="inlineStr">
        <is>
          <t>Rev.00</t>
        </is>
      </c>
    </row>
    <row r="51">
      <c r="A51" s="25" t="inlineStr">
        <is>
          <t>ST-036-EUR-03</t>
        </is>
      </c>
      <c r="B51" s="25" t="inlineStr">
        <is>
          <t>IA-ST-036-EUR-03</t>
        </is>
      </c>
      <c r="C51" s="25" t="inlineStr">
        <is>
          <t>L6, L5 | Palet (4000038): 1 adet | Köşebent (4000590): 4 adet</t>
        </is>
      </c>
      <c r="D51" s="25" t="inlineStr">
        <is>
          <t>L6, L5 | Pallet (4000038): 1 pc | Edge protector (4000590): 4 pcs</t>
        </is>
      </c>
      <c r="E51" s="25" t="inlineStr">
        <is>
          <t>IA-ST-CFG-0066</t>
        </is>
      </c>
      <c r="F51" s="25" t="inlineStr">
        <is>
          <t>STARTER</t>
        </is>
      </c>
      <c r="G51" s="25" t="n">
        <v>29.366</v>
      </c>
      <c r="H51" s="25" t="n">
        <v>7</v>
      </c>
      <c r="I51" s="25" t="inlineStr">
        <is>
          <t>IA-PPWR-TF-ST-036-EUR-03-R00</t>
        </is>
      </c>
      <c r="J51" s="31">
        <f>HYPERLINK("01_STARTER/ST-036-EUR-03/01_Technical_File.docx","Open")</f>
        <v/>
      </c>
      <c r="K51" s="25" t="inlineStr">
        <is>
          <t>IA-PPWR-DOC-ST-036-EUR-03-R00</t>
        </is>
      </c>
      <c r="L51" s="31">
        <f>HYPERLINK("01_STARTER/ST-036-EUR-03/02_EU_DoC.docx","Open")</f>
        <v/>
      </c>
      <c r="M51" s="25" t="inlineStr">
        <is>
          <t>IA-PPWR-LBL-ST-036-EUR-03-R00</t>
        </is>
      </c>
      <c r="N51" s="31">
        <f>HYPERLINK("01_STARTER/ST-036-EUR-03/03_Label.docx","Open")</f>
        <v/>
      </c>
      <c r="O51" s="25" t="inlineStr">
        <is>
          <t>IA-PPWR-STM-ST-036-EUR-03-R00</t>
        </is>
      </c>
      <c r="P51" s="31">
        <f>HYPERLINK("01_STARTER/ST-036-EUR-03/04_Shipment_Statement.docx","Open")</f>
        <v/>
      </c>
      <c r="Q51" s="25" t="inlineStr">
        <is>
          <t>GENERATED / LINKED</t>
        </is>
      </c>
      <c r="R51" s="25" t="inlineStr">
        <is>
          <t>Rev.00</t>
        </is>
      </c>
    </row>
    <row r="52">
      <c r="A52" s="25" t="inlineStr">
        <is>
          <t>ST-036-EUR-04</t>
        </is>
      </c>
      <c r="B52" s="25" t="inlineStr">
        <is>
          <t>IA-ST-036-EUR-04</t>
        </is>
      </c>
      <c r="C52" s="25" t="inlineStr">
        <is>
          <t>L5, L6, LB5 | Palet (4000038): 1 adet | Köşebent (4000590): 4 adet</t>
        </is>
      </c>
      <c r="D52" s="25" t="inlineStr">
        <is>
          <t>L5, L6, LB5 | Pallet (4000038): 1 pc | Edge protector (4000590): 4 pcs</t>
        </is>
      </c>
      <c r="E52" s="25" t="inlineStr">
        <is>
          <t>IA-ST-CFG-0068</t>
        </is>
      </c>
      <c r="F52" s="25" t="inlineStr">
        <is>
          <t>STARTER</t>
        </is>
      </c>
      <c r="G52" s="25" t="n">
        <v>27.926</v>
      </c>
      <c r="H52" s="25" t="n">
        <v>27</v>
      </c>
      <c r="I52" s="25" t="inlineStr">
        <is>
          <t>IA-PPWR-TF-ST-036-EUR-04-R00</t>
        </is>
      </c>
      <c r="J52" s="31">
        <f>HYPERLINK("01_STARTER/ST-036-EUR-04/01_Technical_File.docx","Open")</f>
        <v/>
      </c>
      <c r="K52" s="25" t="inlineStr">
        <is>
          <t>IA-PPWR-DOC-ST-036-EUR-04-R00</t>
        </is>
      </c>
      <c r="L52" s="31">
        <f>HYPERLINK("01_STARTER/ST-036-EUR-04/02_EU_DoC.docx","Open")</f>
        <v/>
      </c>
      <c r="M52" s="25" t="inlineStr">
        <is>
          <t>IA-PPWR-LBL-ST-036-EUR-04-R00</t>
        </is>
      </c>
      <c r="N52" s="31">
        <f>HYPERLINK("01_STARTER/ST-036-EUR-04/03_Label.docx","Open")</f>
        <v/>
      </c>
      <c r="O52" s="25" t="inlineStr">
        <is>
          <t>IA-PPWR-STM-ST-036-EUR-04-R00</t>
        </is>
      </c>
      <c r="P52" s="31">
        <f>HYPERLINK("01_STARTER/ST-036-EUR-04/04_Shipment_Statement.docx","Open")</f>
        <v/>
      </c>
      <c r="Q52" s="25" t="inlineStr">
        <is>
          <t>GENERATED / LINKED</t>
        </is>
      </c>
      <c r="R52" s="25" t="inlineStr">
        <is>
          <t>Rev.00</t>
        </is>
      </c>
    </row>
    <row r="53">
      <c r="A53" s="25" t="inlineStr">
        <is>
          <t>ST-036-EUR-05</t>
        </is>
      </c>
      <c r="B53" s="25" t="inlineStr">
        <is>
          <t>IA-ST-036-EUR-05</t>
        </is>
      </c>
      <c r="C53" s="25" t="inlineStr">
        <is>
          <t>TRACTORL | TRAKTÖR PVC üst kapak (4000494): 36 adet</t>
        </is>
      </c>
      <c r="D53" s="25" t="inlineStr">
        <is>
          <t>TRACTORL | TRAKTÖR PVC upper cover (4000494): 36 pcs</t>
        </is>
      </c>
      <c r="E53" s="25" t="inlineStr">
        <is>
          <t>IA-ST-CFG-0070</t>
        </is>
      </c>
      <c r="F53" s="25" t="inlineStr">
        <is>
          <t>STARTER</t>
        </is>
      </c>
      <c r="G53" s="25" t="n">
        <v>31.98368</v>
      </c>
      <c r="H53" s="25" t="n">
        <v>3</v>
      </c>
      <c r="I53" s="25" t="inlineStr">
        <is>
          <t>IA-PPWR-TF-ST-036-EUR-05-R00</t>
        </is>
      </c>
      <c r="J53" s="31">
        <f>HYPERLINK("01_STARTER/ST-036-EUR-05/01_Technical_File.docx","Open")</f>
        <v/>
      </c>
      <c r="K53" s="25" t="inlineStr">
        <is>
          <t>IA-PPWR-DOC-ST-036-EUR-05-R00</t>
        </is>
      </c>
      <c r="L53" s="31">
        <f>HYPERLINK("01_STARTER/ST-036-EUR-05/02_EU_DoC.docx","Open")</f>
        <v/>
      </c>
      <c r="M53" s="25" t="inlineStr">
        <is>
          <t>IA-PPWR-LBL-ST-036-EUR-05-R00</t>
        </is>
      </c>
      <c r="N53" s="31">
        <f>HYPERLINK("01_STARTER/ST-036-EUR-05/03_Label.docx","Open")</f>
        <v/>
      </c>
      <c r="O53" s="25" t="inlineStr">
        <is>
          <t>IA-PPWR-STM-ST-036-EUR-05-R00</t>
        </is>
      </c>
      <c r="P53" s="31">
        <f>HYPERLINK("01_STARTER/ST-036-EUR-05/04_Shipment_Statement.docx","Open")</f>
        <v/>
      </c>
      <c r="Q53" s="25" t="inlineStr">
        <is>
          <t>GENERATED / LINKED</t>
        </is>
      </c>
      <c r="R53" s="25" t="inlineStr">
        <is>
          <t>Rev.00</t>
        </is>
      </c>
    </row>
    <row r="54">
      <c r="A54" s="25" t="inlineStr">
        <is>
          <t>ST-036-EUR-06</t>
        </is>
      </c>
      <c r="B54" s="25" t="inlineStr">
        <is>
          <t>IA-ST-036-EUR-06</t>
        </is>
      </c>
      <c r="C54" s="25" t="inlineStr">
        <is>
          <t>L6, L5 | Palet (4000038): 1 adet | Köşebent (4000590): 2 adet | Shrink film (4000608): 1.44 kg</t>
        </is>
      </c>
      <c r="D54" s="25" t="inlineStr">
        <is>
          <t>L6, L5 | Pallet (4000038): 1 pc | Edge protector (4000590): 2 pcs | Shrink film (4000608): 1.44 kg</t>
        </is>
      </c>
      <c r="E54" s="25" t="inlineStr">
        <is>
          <t>IA-ST-CFG-0071</t>
        </is>
      </c>
      <c r="F54" s="25" t="inlineStr">
        <is>
          <t>STARTER</t>
        </is>
      </c>
      <c r="G54" s="25" t="n">
        <v>29.0792</v>
      </c>
      <c r="H54" s="25" t="n">
        <v>9</v>
      </c>
      <c r="I54" s="25" t="inlineStr">
        <is>
          <t>IA-PPWR-TF-ST-036-EUR-06-R00</t>
        </is>
      </c>
      <c r="J54" s="31">
        <f>HYPERLINK("01_STARTER/ST-036-EUR-06/01_Technical_File.docx","Open")</f>
        <v/>
      </c>
      <c r="K54" s="25" t="inlineStr">
        <is>
          <t>IA-PPWR-DOC-ST-036-EUR-06-R00</t>
        </is>
      </c>
      <c r="L54" s="31">
        <f>HYPERLINK("01_STARTER/ST-036-EUR-06/02_EU_DoC.docx","Open")</f>
        <v/>
      </c>
      <c r="M54" s="25" t="inlineStr">
        <is>
          <t>IA-PPWR-LBL-ST-036-EUR-06-R00</t>
        </is>
      </c>
      <c r="N54" s="31">
        <f>HYPERLINK("01_STARTER/ST-036-EUR-06/03_Label.docx","Open")</f>
        <v/>
      </c>
      <c r="O54" s="25" t="inlineStr">
        <is>
          <t>IA-PPWR-STM-ST-036-EUR-06-R00</t>
        </is>
      </c>
      <c r="P54" s="31">
        <f>HYPERLINK("01_STARTER/ST-036-EUR-06/04_Shipment_Statement.docx","Open")</f>
        <v/>
      </c>
      <c r="Q54" s="25" t="inlineStr">
        <is>
          <t>GENERATED / LINKED</t>
        </is>
      </c>
      <c r="R54" s="25" t="inlineStr">
        <is>
          <t>Rev.00</t>
        </is>
      </c>
    </row>
    <row r="55">
      <c r="A55" s="25" t="inlineStr">
        <is>
          <t>ST-036-EUR-07</t>
        </is>
      </c>
      <c r="B55" s="25" t="inlineStr">
        <is>
          <t>IA-ST-036-EUR-07</t>
        </is>
      </c>
      <c r="C55" s="25" t="inlineStr">
        <is>
          <t>L6, L5 | Palet (4000038): 1 adet | Shrink film (4000608): kullanılmaz</t>
        </is>
      </c>
      <c r="D55" s="25" t="inlineStr">
        <is>
          <t>L6, L5 | Pallet (4000038): 1 pc | Shrink film (4000608): not used</t>
        </is>
      </c>
      <c r="E55" s="25" t="inlineStr">
        <is>
          <t>IA-ST-CFG-0072</t>
        </is>
      </c>
      <c r="F55" s="25" t="inlineStr">
        <is>
          <t>STARTER</t>
        </is>
      </c>
      <c r="G55" s="25" t="n">
        <v>27.6392</v>
      </c>
      <c r="H55" s="25" t="n">
        <v>7</v>
      </c>
      <c r="I55" s="25" t="inlineStr">
        <is>
          <t>IA-PPWR-TF-ST-036-EUR-07-R00</t>
        </is>
      </c>
      <c r="J55" s="31">
        <f>HYPERLINK("01_STARTER/ST-036-EUR-07/01_Technical_File.docx","Open")</f>
        <v/>
      </c>
      <c r="K55" s="25" t="inlineStr">
        <is>
          <t>IA-PPWR-DOC-ST-036-EUR-07-R00</t>
        </is>
      </c>
      <c r="L55" s="31">
        <f>HYPERLINK("01_STARTER/ST-036-EUR-07/02_EU_DoC.docx","Open")</f>
        <v/>
      </c>
      <c r="M55" s="25" t="inlineStr">
        <is>
          <t>IA-PPWR-LBL-ST-036-EUR-07-R00</t>
        </is>
      </c>
      <c r="N55" s="31">
        <f>HYPERLINK("01_STARTER/ST-036-EUR-07/03_Label.docx","Open")</f>
        <v/>
      </c>
      <c r="O55" s="25" t="inlineStr">
        <is>
          <t>IA-PPWR-STM-ST-036-EUR-07-R00</t>
        </is>
      </c>
      <c r="P55" s="31">
        <f>HYPERLINK("01_STARTER/ST-036-EUR-07/04_Shipment_Statement.docx","Open")</f>
        <v/>
      </c>
      <c r="Q55" s="25" t="inlineStr">
        <is>
          <t>GENERATED / LINKED</t>
        </is>
      </c>
      <c r="R55" s="25" t="inlineStr">
        <is>
          <t>Rev.00</t>
        </is>
      </c>
    </row>
    <row r="56">
      <c r="A56" s="25" t="inlineStr">
        <is>
          <t>ST-036-STD-01</t>
        </is>
      </c>
      <c r="B56" s="25" t="inlineStr">
        <is>
          <t>IA-ST-036-STD-01</t>
        </is>
      </c>
      <c r="C56" s="25" t="inlineStr">
        <is>
          <t>L3 | L3 YUASA penceresiz Orta Doğu dış koli (4001103): 36 adet</t>
        </is>
      </c>
      <c r="D56" s="25" t="inlineStr">
        <is>
          <t>L3 | L3 YUASA windowless Middle East outer carton (4001103): 36 pcs</t>
        </is>
      </c>
      <c r="E56" s="25" t="inlineStr">
        <is>
          <t>IA-ST-CFG-0061</t>
        </is>
      </c>
      <c r="F56" s="25" t="inlineStr">
        <is>
          <t>STARTER</t>
        </is>
      </c>
      <c r="G56" s="25" t="n">
        <v>37.796</v>
      </c>
      <c r="H56" s="25" t="n">
        <v>1</v>
      </c>
      <c r="I56" s="25" t="inlineStr">
        <is>
          <t>IA-PPWR-TF-ST-036-STD-01-R00</t>
        </is>
      </c>
      <c r="J56" s="31">
        <f>HYPERLINK("01_STARTER/ST-036-STD-01/01_Technical_File.docx","Open")</f>
        <v/>
      </c>
      <c r="K56" s="25" t="inlineStr">
        <is>
          <t>IA-PPWR-DOC-ST-036-STD-01-R00</t>
        </is>
      </c>
      <c r="L56" s="31">
        <f>HYPERLINK("01_STARTER/ST-036-STD-01/02_EU_DoC.docx","Open")</f>
        <v/>
      </c>
      <c r="M56" s="25" t="inlineStr">
        <is>
          <t>IA-PPWR-LBL-ST-036-STD-01-R00</t>
        </is>
      </c>
      <c r="N56" s="31">
        <f>HYPERLINK("01_STARTER/ST-036-STD-01/03_Label.docx","Open")</f>
        <v/>
      </c>
      <c r="O56" s="25" t="inlineStr">
        <is>
          <t>IA-PPWR-STM-ST-036-STD-01-R00</t>
        </is>
      </c>
      <c r="P56" s="31">
        <f>HYPERLINK("01_STARTER/ST-036-STD-01/04_Shipment_Statement.docx","Open")</f>
        <v/>
      </c>
      <c r="Q56" s="25" t="inlineStr">
        <is>
          <t>GENERATED / LINKED</t>
        </is>
      </c>
      <c r="R56" s="25" t="inlineStr">
        <is>
          <t>Rev.00</t>
        </is>
      </c>
    </row>
    <row r="57">
      <c r="A57" s="25" t="inlineStr">
        <is>
          <t>ST-036-STD-02</t>
        </is>
      </c>
      <c r="B57" s="25" t="inlineStr">
        <is>
          <t>IA-ST-036-STD-02</t>
        </is>
      </c>
      <c r="C57" s="25" t="inlineStr">
        <is>
          <t>L4 | Palet (4000037): 1 adet | Separatör (4000130): 3 adet</t>
        </is>
      </c>
      <c r="D57" s="25" t="inlineStr">
        <is>
          <t>L4 | Pallet (4000037): 1 pc | Separator (4000130): 3 pcs</t>
        </is>
      </c>
      <c r="E57" s="25" t="inlineStr">
        <is>
          <t>IA-ST-CFG-0063</t>
        </is>
      </c>
      <c r="F57" s="25" t="inlineStr">
        <is>
          <t>STARTER</t>
        </is>
      </c>
      <c r="G57" s="25" t="n">
        <v>29.16</v>
      </c>
      <c r="H57" s="25" t="n">
        <v>1</v>
      </c>
      <c r="I57" s="25" t="inlineStr">
        <is>
          <t>IA-PPWR-TF-ST-036-STD-02-R00</t>
        </is>
      </c>
      <c r="J57" s="31">
        <f>HYPERLINK("01_STARTER/ST-036-STD-02/01_Technical_File.docx","Open")</f>
        <v/>
      </c>
      <c r="K57" s="25" t="inlineStr">
        <is>
          <t>IA-PPWR-DOC-ST-036-STD-02-R00</t>
        </is>
      </c>
      <c r="L57" s="31">
        <f>HYPERLINK("01_STARTER/ST-036-STD-02/02_EU_DoC.docx","Open")</f>
        <v/>
      </c>
      <c r="M57" s="25" t="inlineStr">
        <is>
          <t>IA-PPWR-LBL-ST-036-STD-02-R00</t>
        </is>
      </c>
      <c r="N57" s="31">
        <f>HYPERLINK("01_STARTER/ST-036-STD-02/03_Label.docx","Open")</f>
        <v/>
      </c>
      <c r="O57" s="25" t="inlineStr">
        <is>
          <t>IA-PPWR-STM-ST-036-STD-02-R00</t>
        </is>
      </c>
      <c r="P57" s="31">
        <f>HYPERLINK("01_STARTER/ST-036-STD-02/04_Shipment_Statement.docx","Open")</f>
        <v/>
      </c>
      <c r="Q57" s="25" t="inlineStr">
        <is>
          <t>GENERATED / LINKED</t>
        </is>
      </c>
      <c r="R57" s="25" t="inlineStr">
        <is>
          <t>Rev.00</t>
        </is>
      </c>
    </row>
    <row r="58">
      <c r="A58" s="25" t="inlineStr">
        <is>
          <t>ST-036-STD-03</t>
        </is>
      </c>
      <c r="B58" s="25" t="inlineStr">
        <is>
          <t>IA-ST-036-STD-03</t>
        </is>
      </c>
      <c r="C58" s="25" t="inlineStr">
        <is>
          <t>L4 | Palet (4000037): 1 adet | Separatör (4000130): 4 adet</t>
        </is>
      </c>
      <c r="D58" s="25" t="inlineStr">
        <is>
          <t>L4 | Pallet (4000037): 1 pc | Separator (4000130): 4 pcs</t>
        </is>
      </c>
      <c r="E58" s="25" t="inlineStr">
        <is>
          <t>IA-ST-CFG-0064</t>
        </is>
      </c>
      <c r="F58" s="25" t="inlineStr">
        <is>
          <t>STARTER</t>
        </is>
      </c>
      <c r="G58" s="25" t="n">
        <v>29.1432</v>
      </c>
      <c r="H58" s="25" t="n">
        <v>1</v>
      </c>
      <c r="I58" s="25" t="inlineStr">
        <is>
          <t>IA-PPWR-TF-ST-036-STD-03-R00</t>
        </is>
      </c>
      <c r="J58" s="31">
        <f>HYPERLINK("01_STARTER/ST-036-STD-03/01_Technical_File.docx","Open")</f>
        <v/>
      </c>
      <c r="K58" s="25" t="inlineStr">
        <is>
          <t>IA-PPWR-DOC-ST-036-STD-03-R00</t>
        </is>
      </c>
      <c r="L58" s="31">
        <f>HYPERLINK("01_STARTER/ST-036-STD-03/02_EU_DoC.docx","Open")</f>
        <v/>
      </c>
      <c r="M58" s="25" t="inlineStr">
        <is>
          <t>IA-PPWR-LBL-ST-036-STD-03-R00</t>
        </is>
      </c>
      <c r="N58" s="31">
        <f>HYPERLINK("01_STARTER/ST-036-STD-03/03_Label.docx","Open")</f>
        <v/>
      </c>
      <c r="O58" s="25" t="inlineStr">
        <is>
          <t>IA-PPWR-STM-ST-036-STD-03-R00</t>
        </is>
      </c>
      <c r="P58" s="31">
        <f>HYPERLINK("01_STARTER/ST-036-STD-03/04_Shipment_Statement.docx","Open")</f>
        <v/>
      </c>
      <c r="Q58" s="25" t="inlineStr">
        <is>
          <t>GENERATED / LINKED</t>
        </is>
      </c>
      <c r="R58" s="25" t="inlineStr">
        <is>
          <t>Rev.00</t>
        </is>
      </c>
    </row>
    <row r="59">
      <c r="A59" s="25" t="inlineStr">
        <is>
          <t>ST-042-EUR-01</t>
        </is>
      </c>
      <c r="B59" s="25" t="inlineStr">
        <is>
          <t>IA-ST-042-EUR-01</t>
        </is>
      </c>
      <c r="C59" s="25" t="inlineStr">
        <is>
          <t>D31 | D31 YUASA penceresiz Orta Doğu dış koli (4001108): 42 adet</t>
        </is>
      </c>
      <c r="D59" s="25" t="inlineStr">
        <is>
          <t>D31 | D31 YUASA windowless Middle East outer carton (4001108): 42 pcs</t>
        </is>
      </c>
      <c r="E59" s="25" t="inlineStr">
        <is>
          <t>IA-ST-CFG-0077</t>
        </is>
      </c>
      <c r="F59" s="25" t="inlineStr">
        <is>
          <t>STARTER</t>
        </is>
      </c>
      <c r="G59" s="25" t="n">
        <v>44.0068</v>
      </c>
      <c r="H59" s="25" t="n">
        <v>1</v>
      </c>
      <c r="I59" s="25" t="inlineStr">
        <is>
          <t>IA-PPWR-TF-ST-042-EUR-01-R00</t>
        </is>
      </c>
      <c r="J59" s="31">
        <f>HYPERLINK("01_STARTER/ST-042-EUR-01/01_Technical_File.docx","Open")</f>
        <v/>
      </c>
      <c r="K59" s="25" t="inlineStr">
        <is>
          <t>IA-PPWR-DOC-ST-042-EUR-01-R00</t>
        </is>
      </c>
      <c r="L59" s="31">
        <f>HYPERLINK("01_STARTER/ST-042-EUR-01/02_EU_DoC.docx","Open")</f>
        <v/>
      </c>
      <c r="M59" s="25" t="inlineStr">
        <is>
          <t>IA-PPWR-LBL-ST-042-EUR-01-R00</t>
        </is>
      </c>
      <c r="N59" s="31">
        <f>HYPERLINK("01_STARTER/ST-042-EUR-01/03_Label.docx","Open")</f>
        <v/>
      </c>
      <c r="O59" s="25" t="inlineStr">
        <is>
          <t>IA-PPWR-STM-ST-042-EUR-01-R00</t>
        </is>
      </c>
      <c r="P59" s="31">
        <f>HYPERLINK("01_STARTER/ST-042-EUR-01/04_Shipment_Statement.docx","Open")</f>
        <v/>
      </c>
      <c r="Q59" s="25" t="inlineStr">
        <is>
          <t>GENERATED / LINKED</t>
        </is>
      </c>
      <c r="R59" s="25" t="inlineStr">
        <is>
          <t>Rev.00</t>
        </is>
      </c>
    </row>
    <row r="60">
      <c r="A60" s="25" t="inlineStr">
        <is>
          <t>ST-042-EUR-02</t>
        </is>
      </c>
      <c r="B60" s="25" t="inlineStr">
        <is>
          <t>IA-ST-042-EUR-02</t>
        </is>
      </c>
      <c r="C60" s="25" t="inlineStr">
        <is>
          <t>L4, LB4 | Palet (4000038): 1 adet | Köşebent (4000590): 4 adet</t>
        </is>
      </c>
      <c r="D60" s="25" t="inlineStr">
        <is>
          <t>L4, LB4 | Pallet (4000038): 1 pc | Edge protector (4000590): 4 pcs</t>
        </is>
      </c>
      <c r="E60" s="25" t="inlineStr">
        <is>
          <t>IA-ST-CFG-0085</t>
        </is>
      </c>
      <c r="F60" s="25" t="inlineStr">
        <is>
          <t>STARTER</t>
        </is>
      </c>
      <c r="G60" s="25" t="n">
        <v>27.926</v>
      </c>
      <c r="H60" s="25" t="n">
        <v>30</v>
      </c>
      <c r="I60" s="25" t="inlineStr">
        <is>
          <t>IA-PPWR-TF-ST-042-EUR-02-R00</t>
        </is>
      </c>
      <c r="J60" s="31">
        <f>HYPERLINK("01_STARTER/ST-042-EUR-02/01_Technical_File.docx","Open")</f>
        <v/>
      </c>
      <c r="K60" s="25" t="inlineStr">
        <is>
          <t>IA-PPWR-DOC-ST-042-EUR-02-R00</t>
        </is>
      </c>
      <c r="L60" s="31">
        <f>HYPERLINK("01_STARTER/ST-042-EUR-02/02_EU_DoC.docx","Open")</f>
        <v/>
      </c>
      <c r="M60" s="25" t="inlineStr">
        <is>
          <t>IA-PPWR-LBL-ST-042-EUR-02-R00</t>
        </is>
      </c>
      <c r="N60" s="31">
        <f>HYPERLINK("01_STARTER/ST-042-EUR-02/03_Label.docx","Open")</f>
        <v/>
      </c>
      <c r="O60" s="25" t="inlineStr">
        <is>
          <t>IA-PPWR-STM-ST-042-EUR-02-R00</t>
        </is>
      </c>
      <c r="P60" s="31">
        <f>HYPERLINK("01_STARTER/ST-042-EUR-02/04_Shipment_Statement.docx","Open")</f>
        <v/>
      </c>
      <c r="Q60" s="25" t="inlineStr">
        <is>
          <t>GENERATED / LINKED</t>
        </is>
      </c>
      <c r="R60" s="25" t="inlineStr">
        <is>
          <t>Rev.00</t>
        </is>
      </c>
    </row>
    <row r="61">
      <c r="A61" s="25" t="inlineStr">
        <is>
          <t>ST-042-EUR-03</t>
        </is>
      </c>
      <c r="B61" s="25" t="inlineStr">
        <is>
          <t>IA-ST-042-EUR-03</t>
        </is>
      </c>
      <c r="C61" s="25" t="inlineStr">
        <is>
          <t>L4, LB4 | Palet (4000038): 1 adet | Shrink film (4000554): 1.428 kg</t>
        </is>
      </c>
      <c r="D61" s="25" t="inlineStr">
        <is>
          <t>L4, LB4 | Pallet (4000038): 1 pc | Shrink film (4000554): 1.428 kg</t>
        </is>
      </c>
      <c r="E61" s="25" t="inlineStr">
        <is>
          <t>IA-ST-CFG-0086</t>
        </is>
      </c>
      <c r="F61" s="25" t="inlineStr">
        <is>
          <t>STARTER</t>
        </is>
      </c>
      <c r="G61" s="25" t="n">
        <v>29.0672</v>
      </c>
      <c r="H61" s="25" t="n">
        <v>7</v>
      </c>
      <c r="I61" s="25" t="inlineStr">
        <is>
          <t>IA-PPWR-TF-ST-042-EUR-03-R00</t>
        </is>
      </c>
      <c r="J61" s="31">
        <f>HYPERLINK("01_STARTER/ST-042-EUR-03/01_Technical_File.docx","Open")</f>
        <v/>
      </c>
      <c r="K61" s="25" t="inlineStr">
        <is>
          <t>IA-PPWR-DOC-ST-042-EUR-03-R00</t>
        </is>
      </c>
      <c r="L61" s="31">
        <f>HYPERLINK("01_STARTER/ST-042-EUR-03/02_EU_DoC.docx","Open")</f>
        <v/>
      </c>
      <c r="M61" s="25" t="inlineStr">
        <is>
          <t>IA-PPWR-LBL-ST-042-EUR-03-R00</t>
        </is>
      </c>
      <c r="N61" s="31">
        <f>HYPERLINK("01_STARTER/ST-042-EUR-03/03_Label.docx","Open")</f>
        <v/>
      </c>
      <c r="O61" s="25" t="inlineStr">
        <is>
          <t>IA-PPWR-STM-ST-042-EUR-03-R00</t>
        </is>
      </c>
      <c r="P61" s="31">
        <f>HYPERLINK("01_STARTER/ST-042-EUR-03/04_Shipment_Statement.docx","Open")</f>
        <v/>
      </c>
      <c r="Q61" s="25" t="inlineStr">
        <is>
          <t>GENERATED / LINKED</t>
        </is>
      </c>
      <c r="R61" s="25" t="inlineStr">
        <is>
          <t>Rev.00</t>
        </is>
      </c>
    </row>
    <row r="62">
      <c r="A62" s="25" t="inlineStr">
        <is>
          <t>ST-042-EUR-04</t>
        </is>
      </c>
      <c r="B62" s="25" t="inlineStr">
        <is>
          <t>IA-ST-042-EUR-04</t>
        </is>
      </c>
      <c r="C62" s="25" t="inlineStr">
        <is>
          <t>L4, LB4 | Palet (4000038): 1 adet | Shrink film (4000554): kullanılmaz | Köşebent (4000590): 2 adet</t>
        </is>
      </c>
      <c r="D62" s="25" t="inlineStr">
        <is>
          <t>L4, LB4 | Pallet (4000038): 1 pc | Shrink film (4000554): not used | Edge protector (4000590): 2 pcs</t>
        </is>
      </c>
      <c r="E62" s="25" t="inlineStr">
        <is>
          <t>IA-ST-CFG-0087</t>
        </is>
      </c>
      <c r="F62" s="25" t="inlineStr">
        <is>
          <t>STARTER</t>
        </is>
      </c>
      <c r="G62" s="25" t="n">
        <v>27.6392</v>
      </c>
      <c r="H62" s="25" t="n">
        <v>7</v>
      </c>
      <c r="I62" s="25" t="inlineStr">
        <is>
          <t>IA-PPWR-TF-ST-042-EUR-04-R00</t>
        </is>
      </c>
      <c r="J62" s="31">
        <f>HYPERLINK("01_STARTER/ST-042-EUR-04/01_Technical_File.docx","Open")</f>
        <v/>
      </c>
      <c r="K62" s="25" t="inlineStr">
        <is>
          <t>IA-PPWR-DOC-ST-042-EUR-04-R00</t>
        </is>
      </c>
      <c r="L62" s="31">
        <f>HYPERLINK("01_STARTER/ST-042-EUR-04/02_EU_DoC.docx","Open")</f>
        <v/>
      </c>
      <c r="M62" s="25" t="inlineStr">
        <is>
          <t>IA-PPWR-LBL-ST-042-EUR-04-R00</t>
        </is>
      </c>
      <c r="N62" s="31">
        <f>HYPERLINK("01_STARTER/ST-042-EUR-04/03_Label.docx","Open")</f>
        <v/>
      </c>
      <c r="O62" s="25" t="inlineStr">
        <is>
          <t>IA-PPWR-STM-ST-042-EUR-04-R00</t>
        </is>
      </c>
      <c r="P62" s="31">
        <f>HYPERLINK("01_STARTER/ST-042-EUR-04/04_Shipment_Statement.docx","Open")</f>
        <v/>
      </c>
      <c r="Q62" s="25" t="inlineStr">
        <is>
          <t>GENERATED / LINKED</t>
        </is>
      </c>
      <c r="R62" s="25" t="inlineStr">
        <is>
          <t>Rev.00</t>
        </is>
      </c>
    </row>
    <row r="63">
      <c r="A63" s="25" t="inlineStr">
        <is>
          <t>ST-042-STD-01</t>
        </is>
      </c>
      <c r="B63" s="25" t="inlineStr">
        <is>
          <t>IA-ST-042-STD-01</t>
        </is>
      </c>
      <c r="C63" s="25" t="inlineStr">
        <is>
          <t>D23 | D23 YUASA penceresiz Orta Doğu dış koli (4001106): 42 adet</t>
        </is>
      </c>
      <c r="D63" s="25" t="inlineStr">
        <is>
          <t>D23 | D23 YUASA windowless Middle East outer carton (4001106): 42 pcs</t>
        </is>
      </c>
      <c r="E63" s="25" t="inlineStr">
        <is>
          <t>IA-ST-CFG-0075</t>
        </is>
      </c>
      <c r="F63" s="25" t="inlineStr">
        <is>
          <t>STARTER</t>
        </is>
      </c>
      <c r="G63" s="25" t="n">
        <v>41.02094</v>
      </c>
      <c r="H63" s="25" t="n">
        <v>1</v>
      </c>
      <c r="I63" s="25" t="inlineStr">
        <is>
          <t>IA-PPWR-TF-ST-042-STD-01-R00</t>
        </is>
      </c>
      <c r="J63" s="31">
        <f>HYPERLINK("01_STARTER/ST-042-STD-01/01_Technical_File.docx","Open")</f>
        <v/>
      </c>
      <c r="K63" s="25" t="inlineStr">
        <is>
          <t>IA-PPWR-DOC-ST-042-STD-01-R00</t>
        </is>
      </c>
      <c r="L63" s="31">
        <f>HYPERLINK("01_STARTER/ST-042-STD-01/02_EU_DoC.docx","Open")</f>
        <v/>
      </c>
      <c r="M63" s="25" t="inlineStr">
        <is>
          <t>IA-PPWR-LBL-ST-042-STD-01-R00</t>
        </is>
      </c>
      <c r="N63" s="31">
        <f>HYPERLINK("01_STARTER/ST-042-STD-01/03_Label.docx","Open")</f>
        <v/>
      </c>
      <c r="O63" s="25" t="inlineStr">
        <is>
          <t>IA-PPWR-STM-ST-042-STD-01-R00</t>
        </is>
      </c>
      <c r="P63" s="31">
        <f>HYPERLINK("01_STARTER/ST-042-STD-01/04_Shipment_Statement.docx","Open")</f>
        <v/>
      </c>
      <c r="Q63" s="25" t="inlineStr">
        <is>
          <t>GENERATED / LINKED</t>
        </is>
      </c>
      <c r="R63" s="25" t="inlineStr">
        <is>
          <t>Rev.00</t>
        </is>
      </c>
    </row>
    <row r="64">
      <c r="A64" s="25" t="inlineStr">
        <is>
          <t>ST-042-STD-02</t>
        </is>
      </c>
      <c r="B64" s="25" t="inlineStr">
        <is>
          <t>IA-ST-042-STD-02</t>
        </is>
      </c>
      <c r="C64" s="25" t="inlineStr">
        <is>
          <t>L6 | L6 EAS AGM S&amp;S 105AH 940A pencereli dış koli (4001399): 42 adet</t>
        </is>
      </c>
      <c r="D64" s="25" t="inlineStr">
        <is>
          <t>L6 | L6 EAS AGM S&amp;S 105AH 940A windowed outer carton (4001399): 42 pcs</t>
        </is>
      </c>
      <c r="E64" s="25" t="inlineStr">
        <is>
          <t>IA-ST-CFG-0076</t>
        </is>
      </c>
      <c r="F64" s="25" t="inlineStr">
        <is>
          <t>STARTER</t>
        </is>
      </c>
      <c r="G64" s="25" t="n">
        <v>46.286</v>
      </c>
      <c r="H64" s="25" t="n">
        <v>1</v>
      </c>
      <c r="I64" s="25" t="inlineStr">
        <is>
          <t>IA-PPWR-TF-ST-042-STD-02-R00</t>
        </is>
      </c>
      <c r="J64" s="31">
        <f>HYPERLINK("01_STARTER/ST-042-STD-02/01_Technical_File.docx","Open")</f>
        <v/>
      </c>
      <c r="K64" s="25" t="inlineStr">
        <is>
          <t>IA-PPWR-DOC-ST-042-STD-02-R00</t>
        </is>
      </c>
      <c r="L64" s="31">
        <f>HYPERLINK("01_STARTER/ST-042-STD-02/02_EU_DoC.docx","Open")</f>
        <v/>
      </c>
      <c r="M64" s="25" t="inlineStr">
        <is>
          <t>IA-PPWR-LBL-ST-042-STD-02-R00</t>
        </is>
      </c>
      <c r="N64" s="31">
        <f>HYPERLINK("01_STARTER/ST-042-STD-02/03_Label.docx","Open")</f>
        <v/>
      </c>
      <c r="O64" s="25" t="inlineStr">
        <is>
          <t>IA-PPWR-STM-ST-042-STD-02-R00</t>
        </is>
      </c>
      <c r="P64" s="31">
        <f>HYPERLINK("01_STARTER/ST-042-STD-02/04_Shipment_Statement.docx","Open")</f>
        <v/>
      </c>
      <c r="Q64" s="25" t="inlineStr">
        <is>
          <t>GENERATED / LINKED</t>
        </is>
      </c>
      <c r="R64" s="25" t="inlineStr">
        <is>
          <t>Rev.00</t>
        </is>
      </c>
    </row>
    <row r="65">
      <c r="A65" s="25" t="inlineStr">
        <is>
          <t>ST-042-STD-03</t>
        </is>
      </c>
      <c r="B65" s="25" t="inlineStr">
        <is>
          <t>IA-ST-042-STD-03</t>
        </is>
      </c>
      <c r="C65" s="25" t="inlineStr">
        <is>
          <t>L3 | Palet (4000037): 1 adet | Separatör (4000130): 3 adet</t>
        </is>
      </c>
      <c r="D65" s="25" t="inlineStr">
        <is>
          <t>L3 | Pallet (4000037): 1 pc | Separator (4000130): 3 pcs</t>
        </is>
      </c>
      <c r="E65" s="25" t="inlineStr">
        <is>
          <t>IA-ST-CFG-0078</t>
        </is>
      </c>
      <c r="F65" s="25" t="inlineStr">
        <is>
          <t>STARTER</t>
        </is>
      </c>
      <c r="G65" s="25" t="n">
        <v>29.323</v>
      </c>
      <c r="H65" s="25" t="n">
        <v>1</v>
      </c>
      <c r="I65" s="25" t="inlineStr">
        <is>
          <t>IA-PPWR-TF-ST-042-STD-03-R00</t>
        </is>
      </c>
      <c r="J65" s="31">
        <f>HYPERLINK("01_STARTER/ST-042-STD-03/01_Technical_File.docx","Open")</f>
        <v/>
      </c>
      <c r="K65" s="25" t="inlineStr">
        <is>
          <t>IA-PPWR-DOC-ST-042-STD-03-R00</t>
        </is>
      </c>
      <c r="L65" s="31">
        <f>HYPERLINK("01_STARTER/ST-042-STD-03/02_EU_DoC.docx","Open")</f>
        <v/>
      </c>
      <c r="M65" s="25" t="inlineStr">
        <is>
          <t>IA-PPWR-LBL-ST-042-STD-03-R00</t>
        </is>
      </c>
      <c r="N65" s="31">
        <f>HYPERLINK("01_STARTER/ST-042-STD-03/03_Label.docx","Open")</f>
        <v/>
      </c>
      <c r="O65" s="25" t="inlineStr">
        <is>
          <t>IA-PPWR-STM-ST-042-STD-03-R00</t>
        </is>
      </c>
      <c r="P65" s="31">
        <f>HYPERLINK("01_STARTER/ST-042-STD-03/04_Shipment_Statement.docx","Open")</f>
        <v/>
      </c>
      <c r="Q65" s="25" t="inlineStr">
        <is>
          <t>GENERATED / LINKED</t>
        </is>
      </c>
      <c r="R65" s="25" t="inlineStr">
        <is>
          <t>Rev.00</t>
        </is>
      </c>
    </row>
    <row r="66">
      <c r="A66" s="25" t="inlineStr">
        <is>
          <t>ST-042-STD-04</t>
        </is>
      </c>
      <c r="B66" s="25" t="inlineStr">
        <is>
          <t>IA-ST-042-STD-04</t>
        </is>
      </c>
      <c r="C66" s="25" t="inlineStr">
        <is>
          <t>L3 | Palet (4000037): 1 adet | Separatör (4000130): 4 adet</t>
        </is>
      </c>
      <c r="D66" s="25" t="inlineStr">
        <is>
          <t>L3 | Pallet (4000037): 1 pc | Separator (4000130): 4 pcs</t>
        </is>
      </c>
      <c r="E66" s="25" t="inlineStr">
        <is>
          <t>IA-ST-CFG-0079</t>
        </is>
      </c>
      <c r="F66" s="25" t="inlineStr">
        <is>
          <t>STARTER</t>
        </is>
      </c>
      <c r="G66" s="25" t="n">
        <v>29.3062</v>
      </c>
      <c r="H66" s="25" t="n">
        <v>1</v>
      </c>
      <c r="I66" s="25" t="inlineStr">
        <is>
          <t>IA-PPWR-TF-ST-042-STD-04-R00</t>
        </is>
      </c>
      <c r="J66" s="31">
        <f>HYPERLINK("01_STARTER/ST-042-STD-04/01_Technical_File.docx","Open")</f>
        <v/>
      </c>
      <c r="K66" s="25" t="inlineStr">
        <is>
          <t>IA-PPWR-DOC-ST-042-STD-04-R00</t>
        </is>
      </c>
      <c r="L66" s="31">
        <f>HYPERLINK("01_STARTER/ST-042-STD-04/02_EU_DoC.docx","Open")</f>
        <v/>
      </c>
      <c r="M66" s="25" t="inlineStr">
        <is>
          <t>IA-PPWR-LBL-ST-042-STD-04-R00</t>
        </is>
      </c>
      <c r="N66" s="31">
        <f>HYPERLINK("01_STARTER/ST-042-STD-04/03_Label.docx","Open")</f>
        <v/>
      </c>
      <c r="O66" s="25" t="inlineStr">
        <is>
          <t>IA-PPWR-STM-ST-042-STD-04-R00</t>
        </is>
      </c>
      <c r="P66" s="31">
        <f>HYPERLINK("01_STARTER/ST-042-STD-04/04_Shipment_Statement.docx","Open")</f>
        <v/>
      </c>
      <c r="Q66" s="25" t="inlineStr">
        <is>
          <t>GENERATED / LINKED</t>
        </is>
      </c>
      <c r="R66" s="25" t="inlineStr">
        <is>
          <t>Rev.00</t>
        </is>
      </c>
    </row>
    <row r="67">
      <c r="A67" s="25" t="inlineStr">
        <is>
          <t>ST-042-STD-05</t>
        </is>
      </c>
      <c r="B67" s="25" t="inlineStr">
        <is>
          <t>IA-ST-042-STD-05</t>
        </is>
      </c>
      <c r="C67" s="25" t="inlineStr">
        <is>
          <t>L6 | Palet (4000037): 1 adet | Çember (4000450): 7 m</t>
        </is>
      </c>
      <c r="D67" s="25" t="inlineStr">
        <is>
          <t>L6 | Pallet (4000037): 1 pc | Strap (4000450): 7 m</t>
        </is>
      </c>
      <c r="E67" s="25" t="inlineStr">
        <is>
          <t>IA-ST-CFG-0080</t>
        </is>
      </c>
      <c r="F67" s="25" t="inlineStr">
        <is>
          <t>STARTER</t>
        </is>
      </c>
      <c r="G67" s="25" t="n">
        <v>29.5992</v>
      </c>
      <c r="H67" s="25" t="n">
        <v>11</v>
      </c>
      <c r="I67" s="25" t="inlineStr">
        <is>
          <t>IA-PPWR-TF-ST-042-STD-05-R00</t>
        </is>
      </c>
      <c r="J67" s="31">
        <f>HYPERLINK("01_STARTER/ST-042-STD-05/01_Technical_File.docx","Open")</f>
        <v/>
      </c>
      <c r="K67" s="25" t="inlineStr">
        <is>
          <t>IA-PPWR-DOC-ST-042-STD-05-R00</t>
        </is>
      </c>
      <c r="L67" s="31">
        <f>HYPERLINK("01_STARTER/ST-042-STD-05/02_EU_DoC.docx","Open")</f>
        <v/>
      </c>
      <c r="M67" s="25" t="inlineStr">
        <is>
          <t>IA-PPWR-LBL-ST-042-STD-05-R00</t>
        </is>
      </c>
      <c r="N67" s="31">
        <f>HYPERLINK("01_STARTER/ST-042-STD-05/03_Label.docx","Open")</f>
        <v/>
      </c>
      <c r="O67" s="25" t="inlineStr">
        <is>
          <t>IA-PPWR-STM-ST-042-STD-05-R00</t>
        </is>
      </c>
      <c r="P67" s="31">
        <f>HYPERLINK("01_STARTER/ST-042-STD-05/04_Shipment_Statement.docx","Open")</f>
        <v/>
      </c>
      <c r="Q67" s="25" t="inlineStr">
        <is>
          <t>GENERATED / LINKED</t>
        </is>
      </c>
      <c r="R67" s="25" t="inlineStr">
        <is>
          <t>Rev.00</t>
        </is>
      </c>
    </row>
    <row r="68">
      <c r="A68" s="25" t="inlineStr">
        <is>
          <t>ST-042-STD-06</t>
        </is>
      </c>
      <c r="B68" s="25" t="inlineStr">
        <is>
          <t>IA-ST-042-STD-06</t>
        </is>
      </c>
      <c r="C68" s="25" t="inlineStr">
        <is>
          <t>L6 | Palet (4000037): 1 adet | Çember (4000450): kullanılmaz</t>
        </is>
      </c>
      <c r="D68" s="25" t="inlineStr">
        <is>
          <t>L6 | Pallet (4000037): 1 pc | Strap (4000450): not used</t>
        </is>
      </c>
      <c r="E68" s="25" t="inlineStr">
        <is>
          <t>IA-ST-CFG-0081</t>
        </is>
      </c>
      <c r="F68" s="25" t="inlineStr">
        <is>
          <t>STARTER</t>
        </is>
      </c>
      <c r="G68" s="25" t="n">
        <v>29.3124</v>
      </c>
      <c r="H68" s="25" t="n">
        <v>6</v>
      </c>
      <c r="I68" s="25" t="inlineStr">
        <is>
          <t>IA-PPWR-TF-ST-042-STD-06-R00</t>
        </is>
      </c>
      <c r="J68" s="31">
        <f>HYPERLINK("01_STARTER/ST-042-STD-06/01_Technical_File.docx","Open")</f>
        <v/>
      </c>
      <c r="K68" s="25" t="inlineStr">
        <is>
          <t>IA-PPWR-DOC-ST-042-STD-06-R00</t>
        </is>
      </c>
      <c r="L68" s="31">
        <f>HYPERLINK("01_STARTER/ST-042-STD-06/02_EU_DoC.docx","Open")</f>
        <v/>
      </c>
      <c r="M68" s="25" t="inlineStr">
        <is>
          <t>IA-PPWR-LBL-ST-042-STD-06-R00</t>
        </is>
      </c>
      <c r="N68" s="31">
        <f>HYPERLINK("01_STARTER/ST-042-STD-06/03_Label.docx","Open")</f>
        <v/>
      </c>
      <c r="O68" s="25" t="inlineStr">
        <is>
          <t>IA-PPWR-STM-ST-042-STD-06-R00</t>
        </is>
      </c>
      <c r="P68" s="31">
        <f>HYPERLINK("01_STARTER/ST-042-STD-06/04_Shipment_Statement.docx","Open")</f>
        <v/>
      </c>
      <c r="Q68" s="25" t="inlineStr">
        <is>
          <t>GENERATED / LINKED</t>
        </is>
      </c>
      <c r="R68" s="25" t="inlineStr">
        <is>
          <t>Rev.00</t>
        </is>
      </c>
    </row>
    <row r="69">
      <c r="A69" s="25" t="inlineStr">
        <is>
          <t>ST-042-STD-07</t>
        </is>
      </c>
      <c r="B69" s="25" t="inlineStr">
        <is>
          <t>IA-ST-042-STD-07</t>
        </is>
      </c>
      <c r="C69" s="25" t="inlineStr">
        <is>
          <t>L6 | Palet (4000037): 1 adet | Köşebent (4000590): 2 adet | Shrink film (4001177): 0.597 kg</t>
        </is>
      </c>
      <c r="D69" s="25" t="inlineStr">
        <is>
          <t>L6 | Pallet (4000037): 1 pc | Edge protector (4000590): 2 pcs | Shrink film (4001177): 0.597 kg</t>
        </is>
      </c>
      <c r="E69" s="25" t="inlineStr">
        <is>
          <t>IA-ST-CFG-0082</t>
        </is>
      </c>
      <c r="F69" s="25" t="inlineStr">
        <is>
          <t>STARTER</t>
        </is>
      </c>
      <c r="G69" s="25" t="n">
        <v>28.417</v>
      </c>
      <c r="H69" s="25" t="n">
        <v>1</v>
      </c>
      <c r="I69" s="25" t="inlineStr">
        <is>
          <t>IA-PPWR-TF-ST-042-STD-07-R00</t>
        </is>
      </c>
      <c r="J69" s="31">
        <f>HYPERLINK("01_STARTER/ST-042-STD-07/01_Technical_File.docx","Open")</f>
        <v/>
      </c>
      <c r="K69" s="25" t="inlineStr">
        <is>
          <t>IA-PPWR-DOC-ST-042-STD-07-R00</t>
        </is>
      </c>
      <c r="L69" s="31">
        <f>HYPERLINK("01_STARTER/ST-042-STD-07/02_EU_DoC.docx","Open")</f>
        <v/>
      </c>
      <c r="M69" s="25" t="inlineStr">
        <is>
          <t>IA-PPWR-LBL-ST-042-STD-07-R00</t>
        </is>
      </c>
      <c r="N69" s="31">
        <f>HYPERLINK("01_STARTER/ST-042-STD-07/03_Label.docx","Open")</f>
        <v/>
      </c>
      <c r="O69" s="25" t="inlineStr">
        <is>
          <t>IA-PPWR-STM-ST-042-STD-07-R00</t>
        </is>
      </c>
      <c r="P69" s="31">
        <f>HYPERLINK("01_STARTER/ST-042-STD-07/04_Shipment_Statement.docx","Open")</f>
        <v/>
      </c>
      <c r="Q69" s="25" t="inlineStr">
        <is>
          <t>GENERATED / LINKED</t>
        </is>
      </c>
      <c r="R69" s="25" t="inlineStr">
        <is>
          <t>Rev.00</t>
        </is>
      </c>
    </row>
    <row r="70">
      <c r="A70" s="25" t="inlineStr">
        <is>
          <t>ST-042-STD-08</t>
        </is>
      </c>
      <c r="B70" s="25" t="inlineStr">
        <is>
          <t>IA-ST-042-STD-08</t>
        </is>
      </c>
      <c r="C70" s="25" t="inlineStr">
        <is>
          <t>L6 | Palet (4000037): 1 adet | Köşebent (4000590): 4 adet</t>
        </is>
      </c>
      <c r="D70" s="25" t="inlineStr">
        <is>
          <t>L6 | Pallet (4000037): 1 pc | Edge protector (4000590): 4 pcs</t>
        </is>
      </c>
      <c r="E70" s="25" t="inlineStr">
        <is>
          <t>IA-ST-CFG-0083</t>
        </is>
      </c>
      <c r="F70" s="25" t="inlineStr">
        <is>
          <t>STARTER</t>
        </is>
      </c>
      <c r="G70" s="25" t="n">
        <v>28.617</v>
      </c>
      <c r="H70" s="25" t="n">
        <v>1</v>
      </c>
      <c r="I70" s="25" t="inlineStr">
        <is>
          <t>IA-PPWR-TF-ST-042-STD-08-R00</t>
        </is>
      </c>
      <c r="J70" s="31">
        <f>HYPERLINK("01_STARTER/ST-042-STD-08/01_Technical_File.docx","Open")</f>
        <v/>
      </c>
      <c r="K70" s="25" t="inlineStr">
        <is>
          <t>IA-PPWR-DOC-ST-042-STD-08-R00</t>
        </is>
      </c>
      <c r="L70" s="31">
        <f>HYPERLINK("01_STARTER/ST-042-STD-08/02_EU_DoC.docx","Open")</f>
        <v/>
      </c>
      <c r="M70" s="25" t="inlineStr">
        <is>
          <t>IA-PPWR-LBL-ST-042-STD-08-R00</t>
        </is>
      </c>
      <c r="N70" s="31">
        <f>HYPERLINK("01_STARTER/ST-042-STD-08/03_Label.docx","Open")</f>
        <v/>
      </c>
      <c r="O70" s="25" t="inlineStr">
        <is>
          <t>IA-PPWR-STM-ST-042-STD-08-R00</t>
        </is>
      </c>
      <c r="P70" s="31">
        <f>HYPERLINK("01_STARTER/ST-042-STD-08/04_Shipment_Statement.docx","Open")</f>
        <v/>
      </c>
      <c r="Q70" s="25" t="inlineStr">
        <is>
          <t>GENERATED / LINKED</t>
        </is>
      </c>
      <c r="R70" s="25" t="inlineStr">
        <is>
          <t>Rev.00</t>
        </is>
      </c>
    </row>
    <row r="71">
      <c r="A71" s="25" t="inlineStr">
        <is>
          <t>ST-044-STD-01</t>
        </is>
      </c>
      <c r="B71" s="25" t="inlineStr">
        <is>
          <t>IA-ST-044-STD-01</t>
        </is>
      </c>
      <c r="C71" s="25" t="inlineStr">
        <is>
          <t>L2 | L2 YUASA penceresiz Orta Doğu dış koli (4001102): 44 adet</t>
        </is>
      </c>
      <c r="D71" s="25" t="inlineStr">
        <is>
          <t>L2 | L2 YUASA windowless Middle East outer carton (4001102): 44 pcs</t>
        </is>
      </c>
      <c r="E71" s="25" t="inlineStr">
        <is>
          <t>IA-ST-CFG-0088</t>
        </is>
      </c>
      <c r="F71" s="25" t="inlineStr">
        <is>
          <t>STARTER</t>
        </is>
      </c>
      <c r="G71" s="25" t="n">
        <v>39.356</v>
      </c>
      <c r="H71" s="25" t="n">
        <v>1</v>
      </c>
      <c r="I71" s="25" t="inlineStr">
        <is>
          <t>IA-PPWR-TF-ST-044-STD-01-R00</t>
        </is>
      </c>
      <c r="J71" s="31">
        <f>HYPERLINK("01_STARTER/ST-044-STD-01/01_Technical_File.docx","Open")</f>
        <v/>
      </c>
      <c r="K71" s="25" t="inlineStr">
        <is>
          <t>IA-PPWR-DOC-ST-044-STD-01-R00</t>
        </is>
      </c>
      <c r="L71" s="31">
        <f>HYPERLINK("01_STARTER/ST-044-STD-01/02_EU_DoC.docx","Open")</f>
        <v/>
      </c>
      <c r="M71" s="25" t="inlineStr">
        <is>
          <t>IA-PPWR-LBL-ST-044-STD-01-R00</t>
        </is>
      </c>
      <c r="N71" s="31">
        <f>HYPERLINK("01_STARTER/ST-044-STD-01/03_Label.docx","Open")</f>
        <v/>
      </c>
      <c r="O71" s="25" t="inlineStr">
        <is>
          <t>IA-PPWR-STM-ST-044-STD-01-R00</t>
        </is>
      </c>
      <c r="P71" s="31">
        <f>HYPERLINK("01_STARTER/ST-044-STD-01/04_Shipment_Statement.docx","Open")</f>
        <v/>
      </c>
      <c r="Q71" s="25" t="inlineStr">
        <is>
          <t>GENERATED / LINKED</t>
        </is>
      </c>
      <c r="R71" s="25" t="inlineStr">
        <is>
          <t>Rev.00</t>
        </is>
      </c>
    </row>
    <row r="72">
      <c r="A72" s="25" t="inlineStr">
        <is>
          <t>ST-045-EUR-01</t>
        </is>
      </c>
      <c r="B72" s="25" t="inlineStr">
        <is>
          <t>IA-ST-045-EUR-01</t>
        </is>
      </c>
      <c r="C72" s="25" t="inlineStr">
        <is>
          <t>L3 | Palet (4000038): 1 adet | Köşebent (4000590): 4 adet</t>
        </is>
      </c>
      <c r="D72" s="25" t="inlineStr">
        <is>
          <t>L3 | Pallet (4000038): 1 pc | Edge protector (4000590): 4 pcs</t>
        </is>
      </c>
      <c r="E72" s="25" t="inlineStr">
        <is>
          <t>IA-ST-CFG-0103</t>
        </is>
      </c>
      <c r="F72" s="25" t="inlineStr">
        <is>
          <t>STARTER</t>
        </is>
      </c>
      <c r="G72" s="25" t="n">
        <v>27.926</v>
      </c>
      <c r="H72" s="25" t="n">
        <v>6</v>
      </c>
      <c r="I72" s="25" t="inlineStr">
        <is>
          <t>IA-PPWR-TF-ST-045-EUR-01-R00</t>
        </is>
      </c>
      <c r="J72" s="31">
        <f>HYPERLINK("01_STARTER/ST-045-EUR-01/01_Technical_File.docx","Open")</f>
        <v/>
      </c>
      <c r="K72" s="25" t="inlineStr">
        <is>
          <t>IA-PPWR-DOC-ST-045-EUR-01-R00</t>
        </is>
      </c>
      <c r="L72" s="31">
        <f>HYPERLINK("01_STARTER/ST-045-EUR-01/02_EU_DoC.docx","Open")</f>
        <v/>
      </c>
      <c r="M72" s="25" t="inlineStr">
        <is>
          <t>IA-PPWR-LBL-ST-045-EUR-01-R00</t>
        </is>
      </c>
      <c r="N72" s="31">
        <f>HYPERLINK("01_STARTER/ST-045-EUR-01/03_Label.docx","Open")</f>
        <v/>
      </c>
      <c r="O72" s="25" t="inlineStr">
        <is>
          <t>IA-PPWR-STM-ST-045-EUR-01-R00</t>
        </is>
      </c>
      <c r="P72" s="31">
        <f>HYPERLINK("01_STARTER/ST-045-EUR-01/04_Shipment_Statement.docx","Open")</f>
        <v/>
      </c>
      <c r="Q72" s="25" t="inlineStr">
        <is>
          <t>GENERATED / LINKED</t>
        </is>
      </c>
      <c r="R72" s="25" t="inlineStr">
        <is>
          <t>Rev.00</t>
        </is>
      </c>
    </row>
    <row r="73">
      <c r="A73" s="25" t="inlineStr">
        <is>
          <t>ST-045-STD-01</t>
        </is>
      </c>
      <c r="B73" s="25" t="inlineStr">
        <is>
          <t>IA-ST-045-STD-01</t>
        </is>
      </c>
      <c r="C73" s="25" t="inlineStr">
        <is>
          <t>L5 | L5 YUASA penceresiz Orta Doğu dış koli (4001105): 45 adet</t>
        </is>
      </c>
      <c r="D73" s="25" t="inlineStr">
        <is>
          <t>L5 | L5 YUASA windowless Middle East outer carton (4001105): 45 pcs</t>
        </is>
      </c>
      <c r="E73" s="25" t="inlineStr">
        <is>
          <t>IA-ST-CFG-0089</t>
        </is>
      </c>
      <c r="F73" s="25" t="inlineStr">
        <is>
          <t>STARTER</t>
        </is>
      </c>
      <c r="G73" s="25" t="n">
        <v>43.916</v>
      </c>
      <c r="H73" s="25" t="n">
        <v>1</v>
      </c>
      <c r="I73" s="25" t="inlineStr">
        <is>
          <t>IA-PPWR-TF-ST-045-STD-01-R00</t>
        </is>
      </c>
      <c r="J73" s="31">
        <f>HYPERLINK("01_STARTER/ST-045-STD-01/01_Technical_File.docx","Open")</f>
        <v/>
      </c>
      <c r="K73" s="25" t="inlineStr">
        <is>
          <t>IA-PPWR-DOC-ST-045-STD-01-R00</t>
        </is>
      </c>
      <c r="L73" s="31">
        <f>HYPERLINK("01_STARTER/ST-045-STD-01/02_EU_DoC.docx","Open")</f>
        <v/>
      </c>
      <c r="M73" s="25" t="inlineStr">
        <is>
          <t>IA-PPWR-LBL-ST-045-STD-01-R00</t>
        </is>
      </c>
      <c r="N73" s="31">
        <f>HYPERLINK("01_STARTER/ST-045-STD-01/03_Label.docx","Open")</f>
        <v/>
      </c>
      <c r="O73" s="25" t="inlineStr">
        <is>
          <t>IA-PPWR-STM-ST-045-STD-01-R00</t>
        </is>
      </c>
      <c r="P73" s="31">
        <f>HYPERLINK("01_STARTER/ST-045-STD-01/04_Shipment_Statement.docx","Open")</f>
        <v/>
      </c>
      <c r="Q73" s="25" t="inlineStr">
        <is>
          <t>GENERATED / LINKED</t>
        </is>
      </c>
      <c r="R73" s="25" t="inlineStr">
        <is>
          <t>Rev.00</t>
        </is>
      </c>
    </row>
    <row r="74">
      <c r="A74" s="25" t="inlineStr">
        <is>
          <t>ST-045-STD-02</t>
        </is>
      </c>
      <c r="B74" s="25" t="inlineStr">
        <is>
          <t>IA-ST-045-STD-02</t>
        </is>
      </c>
      <c r="C74" s="25" t="inlineStr">
        <is>
          <t>L5 | L5 İnci AGM LEO 95AH 870A pencereli dış koli (4001194): 45 adet</t>
        </is>
      </c>
      <c r="D74" s="25" t="inlineStr">
        <is>
          <t>L5 | L5 İnci AGM LEO 95AH 870A windowed outer carton (4001194): 45 pcs</t>
        </is>
      </c>
      <c r="E74" s="25" t="inlineStr">
        <is>
          <t>IA-ST-CFG-0090</t>
        </is>
      </c>
      <c r="F74" s="25" t="inlineStr">
        <is>
          <t>STARTER</t>
        </is>
      </c>
      <c r="G74" s="25" t="n">
        <v>44.336</v>
      </c>
      <c r="H74" s="25" t="n">
        <v>1</v>
      </c>
      <c r="I74" s="25" t="inlineStr">
        <is>
          <t>IA-PPWR-TF-ST-045-STD-02-R00</t>
        </is>
      </c>
      <c r="J74" s="31">
        <f>HYPERLINK("01_STARTER/ST-045-STD-02/01_Technical_File.docx","Open")</f>
        <v/>
      </c>
      <c r="K74" s="25" t="inlineStr">
        <is>
          <t>IA-PPWR-DOC-ST-045-STD-02-R00</t>
        </is>
      </c>
      <c r="L74" s="31">
        <f>HYPERLINK("01_STARTER/ST-045-STD-02/02_EU_DoC.docx","Open")</f>
        <v/>
      </c>
      <c r="M74" s="25" t="inlineStr">
        <is>
          <t>IA-PPWR-LBL-ST-045-STD-02-R00</t>
        </is>
      </c>
      <c r="N74" s="31">
        <f>HYPERLINK("01_STARTER/ST-045-STD-02/03_Label.docx","Open")</f>
        <v/>
      </c>
      <c r="O74" s="25" t="inlineStr">
        <is>
          <t>IA-PPWR-STM-ST-045-STD-02-R00</t>
        </is>
      </c>
      <c r="P74" s="31">
        <f>HYPERLINK("01_STARTER/ST-045-STD-02/04_Shipment_Statement.docx","Open")</f>
        <v/>
      </c>
      <c r="Q74" s="25" t="inlineStr">
        <is>
          <t>GENERATED / LINKED</t>
        </is>
      </c>
      <c r="R74" s="25" t="inlineStr">
        <is>
          <t>Rev.00</t>
        </is>
      </c>
    </row>
    <row r="75">
      <c r="A75" s="25" t="inlineStr">
        <is>
          <t>ST-045-STD-03</t>
        </is>
      </c>
      <c r="B75" s="25" t="inlineStr">
        <is>
          <t>IA-ST-045-STD-03</t>
        </is>
      </c>
      <c r="C75" s="25" t="inlineStr">
        <is>
          <t>L5 | L5 EAS AGM S&amp;S 95AH 870A pencereli dış koli (4001398): 45 adet</t>
        </is>
      </c>
      <c r="D75" s="25" t="inlineStr">
        <is>
          <t>L5 | L5 EAS AGM S&amp;S 95AH 870A windowed outer carton (4001398): 45 pcs</t>
        </is>
      </c>
      <c r="E75" s="25" t="inlineStr">
        <is>
          <t>IA-ST-CFG-0091</t>
        </is>
      </c>
      <c r="F75" s="25" t="inlineStr">
        <is>
          <t>STARTER</t>
        </is>
      </c>
      <c r="G75" s="25" t="n">
        <v>44.336</v>
      </c>
      <c r="H75" s="25" t="n">
        <v>1</v>
      </c>
      <c r="I75" s="25" t="inlineStr">
        <is>
          <t>IA-PPWR-TF-ST-045-STD-03-R00</t>
        </is>
      </c>
      <c r="J75" s="31">
        <f>HYPERLINK("01_STARTER/ST-045-STD-03/01_Technical_File.docx","Open")</f>
        <v/>
      </c>
      <c r="K75" s="25" t="inlineStr">
        <is>
          <t>IA-PPWR-DOC-ST-045-STD-03-R00</t>
        </is>
      </c>
      <c r="L75" s="31">
        <f>HYPERLINK("01_STARTER/ST-045-STD-03/02_EU_DoC.docx","Open")</f>
        <v/>
      </c>
      <c r="M75" s="25" t="inlineStr">
        <is>
          <t>IA-PPWR-LBL-ST-045-STD-03-R00</t>
        </is>
      </c>
      <c r="N75" s="31">
        <f>HYPERLINK("01_STARTER/ST-045-STD-03/03_Label.docx","Open")</f>
        <v/>
      </c>
      <c r="O75" s="25" t="inlineStr">
        <is>
          <t>IA-PPWR-STM-ST-045-STD-03-R00</t>
        </is>
      </c>
      <c r="P75" s="31">
        <f>HYPERLINK("01_STARTER/ST-045-STD-03/04_Shipment_Statement.docx","Open")</f>
        <v/>
      </c>
      <c r="Q75" s="25" t="inlineStr">
        <is>
          <t>GENERATED / LINKED</t>
        </is>
      </c>
      <c r="R75" s="25" t="inlineStr">
        <is>
          <t>Rev.00</t>
        </is>
      </c>
    </row>
    <row r="76">
      <c r="A76" s="25" t="inlineStr">
        <is>
          <t>ST-045-STD-04</t>
        </is>
      </c>
      <c r="B76" s="25" t="inlineStr">
        <is>
          <t>IA-ST-045-STD-04</t>
        </is>
      </c>
      <c r="C76" s="25" t="inlineStr">
        <is>
          <t>L5 | Palet (4000037): 1 adet | Separatör (4000130): 4 adet | Streç ped (4000301): 0.186 kg | Köşebent (4000590): 4 adet</t>
        </is>
      </c>
      <c r="D76" s="25" t="inlineStr">
        <is>
          <t>L5 | Pallet (4000037): 1 pc | Separator (4000130): 4 pcs | Stretch pad (4000301): 0.186 kg | Edge protector (4000590): 4 pcs</t>
        </is>
      </c>
      <c r="E76" s="25" t="inlineStr">
        <is>
          <t>IA-ST-CFG-0092</t>
        </is>
      </c>
      <c r="F76" s="25" t="inlineStr">
        <is>
          <t>STARTER</t>
        </is>
      </c>
      <c r="G76" s="25" t="n">
        <v>28.206</v>
      </c>
      <c r="H76" s="25" t="n">
        <v>1</v>
      </c>
      <c r="I76" s="25" t="inlineStr">
        <is>
          <t>IA-PPWR-TF-ST-045-STD-04-R00</t>
        </is>
      </c>
      <c r="J76" s="31">
        <f>HYPERLINK("01_STARTER/ST-045-STD-04/01_Technical_File.docx","Open")</f>
        <v/>
      </c>
      <c r="K76" s="25" t="inlineStr">
        <is>
          <t>IA-PPWR-DOC-ST-045-STD-04-R00</t>
        </is>
      </c>
      <c r="L76" s="31">
        <f>HYPERLINK("01_STARTER/ST-045-STD-04/02_EU_DoC.docx","Open")</f>
        <v/>
      </c>
      <c r="M76" s="25" t="inlineStr">
        <is>
          <t>IA-PPWR-LBL-ST-045-STD-04-R00</t>
        </is>
      </c>
      <c r="N76" s="31">
        <f>HYPERLINK("01_STARTER/ST-045-STD-04/03_Label.docx","Open")</f>
        <v/>
      </c>
      <c r="O76" s="25" t="inlineStr">
        <is>
          <t>IA-PPWR-STM-ST-045-STD-04-R00</t>
        </is>
      </c>
      <c r="P76" s="31">
        <f>HYPERLINK("01_STARTER/ST-045-STD-04/04_Shipment_Statement.docx","Open")</f>
        <v/>
      </c>
      <c r="Q76" s="25" t="inlineStr">
        <is>
          <t>GENERATED / LINKED</t>
        </is>
      </c>
      <c r="R76" s="25" t="inlineStr">
        <is>
          <t>Rev.00</t>
        </is>
      </c>
    </row>
    <row r="77">
      <c r="A77" s="25" t="inlineStr">
        <is>
          <t>ST-045-STD-05</t>
        </is>
      </c>
      <c r="B77" s="25" t="inlineStr">
        <is>
          <t>IA-ST-045-STD-05</t>
        </is>
      </c>
      <c r="C77" s="25" t="inlineStr">
        <is>
          <t>TRACTORL, TRACTOR | TRAKTÖR PVC üst kapak (4000494): 45 adet | Köşebent (4000590): 2 adet</t>
        </is>
      </c>
      <c r="D77" s="25" t="inlineStr">
        <is>
          <t>TRACTORL, TRACTOR | TRAKTÖR PVC upper cover (4000494): 45 pcs | Edge protector (4000590): 2 pcs</t>
        </is>
      </c>
      <c r="E77" s="25" t="inlineStr">
        <is>
          <t>IA-ST-CFG-0093</t>
        </is>
      </c>
      <c r="F77" s="25" t="inlineStr">
        <is>
          <t>STARTER</t>
        </is>
      </c>
      <c r="G77" s="25" t="n">
        <v>33.3498</v>
      </c>
      <c r="H77" s="25" t="n">
        <v>18</v>
      </c>
      <c r="I77" s="25" t="inlineStr">
        <is>
          <t>IA-PPWR-TF-ST-045-STD-05-R00</t>
        </is>
      </c>
      <c r="J77" s="31">
        <f>HYPERLINK("01_STARTER/ST-045-STD-05/01_Technical_File.docx","Open")</f>
        <v/>
      </c>
      <c r="K77" s="25" t="inlineStr">
        <is>
          <t>IA-PPWR-DOC-ST-045-STD-05-R00</t>
        </is>
      </c>
      <c r="L77" s="31">
        <f>HYPERLINK("01_STARTER/ST-045-STD-05/02_EU_DoC.docx","Open")</f>
        <v/>
      </c>
      <c r="M77" s="25" t="inlineStr">
        <is>
          <t>IA-PPWR-LBL-ST-045-STD-05-R00</t>
        </is>
      </c>
      <c r="N77" s="31">
        <f>HYPERLINK("01_STARTER/ST-045-STD-05/03_Label.docx","Open")</f>
        <v/>
      </c>
      <c r="O77" s="25" t="inlineStr">
        <is>
          <t>IA-PPWR-STM-ST-045-STD-05-R00</t>
        </is>
      </c>
      <c r="P77" s="31">
        <f>HYPERLINK("01_STARTER/ST-045-STD-05/04_Shipment_Statement.docx","Open")</f>
        <v/>
      </c>
      <c r="Q77" s="25" t="inlineStr">
        <is>
          <t>GENERATED / LINKED</t>
        </is>
      </c>
      <c r="R77" s="25" t="inlineStr">
        <is>
          <t>Rev.00</t>
        </is>
      </c>
    </row>
    <row r="78">
      <c r="A78" s="25" t="inlineStr">
        <is>
          <t>ST-045-STD-06</t>
        </is>
      </c>
      <c r="B78" s="25" t="inlineStr">
        <is>
          <t>IA-ST-045-STD-06</t>
        </is>
      </c>
      <c r="C78" s="25" t="inlineStr">
        <is>
          <t>L5 | Palet (4000037): 1 adet | Çember (4000450): 7 m | Shrink film (4000608): kullanılmaz</t>
        </is>
      </c>
      <c r="D78" s="25" t="inlineStr">
        <is>
          <t>L5 | Pallet (4000037): 1 pc | Strap (4000450): 7 m | Shrink film (4000608): not used</t>
        </is>
      </c>
      <c r="E78" s="25" t="inlineStr">
        <is>
          <t>IA-ST-CFG-0094</t>
        </is>
      </c>
      <c r="F78" s="25" t="inlineStr">
        <is>
          <t>STARTER</t>
        </is>
      </c>
      <c r="G78" s="25" t="n">
        <v>27.9192</v>
      </c>
      <c r="H78" s="25" t="n">
        <v>1</v>
      </c>
      <c r="I78" s="25" t="inlineStr">
        <is>
          <t>IA-PPWR-TF-ST-045-STD-06-R00</t>
        </is>
      </c>
      <c r="J78" s="31">
        <f>HYPERLINK("01_STARTER/ST-045-STD-06/01_Technical_File.docx","Open")</f>
        <v/>
      </c>
      <c r="K78" s="25" t="inlineStr">
        <is>
          <t>IA-PPWR-DOC-ST-045-STD-06-R00</t>
        </is>
      </c>
      <c r="L78" s="31">
        <f>HYPERLINK("01_STARTER/ST-045-STD-06/02_EU_DoC.docx","Open")</f>
        <v/>
      </c>
      <c r="M78" s="25" t="inlineStr">
        <is>
          <t>IA-PPWR-LBL-ST-045-STD-06-R00</t>
        </is>
      </c>
      <c r="N78" s="31">
        <f>HYPERLINK("01_STARTER/ST-045-STD-06/03_Label.docx","Open")</f>
        <v/>
      </c>
      <c r="O78" s="25" t="inlineStr">
        <is>
          <t>IA-PPWR-STM-ST-045-STD-06-R00</t>
        </is>
      </c>
      <c r="P78" s="31">
        <f>HYPERLINK("01_STARTER/ST-045-STD-06/04_Shipment_Statement.docx","Open")</f>
        <v/>
      </c>
      <c r="Q78" s="25" t="inlineStr">
        <is>
          <t>GENERATED / LINKED</t>
        </is>
      </c>
      <c r="R78" s="25" t="inlineStr">
        <is>
          <t>Rev.00</t>
        </is>
      </c>
    </row>
    <row r="79">
      <c r="A79" s="25" t="inlineStr">
        <is>
          <t>ST-045-STD-07</t>
        </is>
      </c>
      <c r="B79" s="25" t="inlineStr">
        <is>
          <t>IA-ST-045-STD-07</t>
        </is>
      </c>
      <c r="C79" s="25" t="inlineStr">
        <is>
          <t>LB5 | Palet (4000037): 1 adet | Shrink film (4000608): 1.53 kg</t>
        </is>
      </c>
      <c r="D79" s="25" t="inlineStr">
        <is>
          <t>LB5 | Pallet (4000037): 1 pc | Shrink film (4000608): 1.53 kg</t>
        </is>
      </c>
      <c r="E79" s="25" t="inlineStr">
        <is>
          <t>IA-ST-CFG-0095</t>
        </is>
      </c>
      <c r="F79" s="25" t="inlineStr">
        <is>
          <t>STARTER</t>
        </is>
      </c>
      <c r="G79" s="25" t="n">
        <v>29.4492</v>
      </c>
      <c r="H79" s="25" t="n">
        <v>1</v>
      </c>
      <c r="I79" s="25" t="inlineStr">
        <is>
          <t>IA-PPWR-TF-ST-045-STD-07-R00</t>
        </is>
      </c>
      <c r="J79" s="31">
        <f>HYPERLINK("01_STARTER/ST-045-STD-07/01_Technical_File.docx","Open")</f>
        <v/>
      </c>
      <c r="K79" s="25" t="inlineStr">
        <is>
          <t>IA-PPWR-DOC-ST-045-STD-07-R00</t>
        </is>
      </c>
      <c r="L79" s="31">
        <f>HYPERLINK("01_STARTER/ST-045-STD-07/02_EU_DoC.docx","Open")</f>
        <v/>
      </c>
      <c r="M79" s="25" t="inlineStr">
        <is>
          <t>IA-PPWR-LBL-ST-045-STD-07-R00</t>
        </is>
      </c>
      <c r="N79" s="31">
        <f>HYPERLINK("01_STARTER/ST-045-STD-07/03_Label.docx","Open")</f>
        <v/>
      </c>
      <c r="O79" s="25" t="inlineStr">
        <is>
          <t>IA-PPWR-STM-ST-045-STD-07-R00</t>
        </is>
      </c>
      <c r="P79" s="31">
        <f>HYPERLINK("01_STARTER/ST-045-STD-07/04_Shipment_Statement.docx","Open")</f>
        <v/>
      </c>
      <c r="Q79" s="25" t="inlineStr">
        <is>
          <t>GENERATED / LINKED</t>
        </is>
      </c>
      <c r="R79" s="25" t="inlineStr">
        <is>
          <t>Rev.00</t>
        </is>
      </c>
    </row>
    <row r="80">
      <c r="A80" s="25" t="inlineStr">
        <is>
          <t>ST-045-STD-08</t>
        </is>
      </c>
      <c r="B80" s="25" t="inlineStr">
        <is>
          <t>IA-ST-045-STD-08</t>
        </is>
      </c>
      <c r="C80" s="25" t="inlineStr">
        <is>
          <t>L5 | Palet (4000037): 1 adet | Köşebent (4000590): 2 adet | Shrink film (4000608): 1.8 kg</t>
        </is>
      </c>
      <c r="D80" s="25" t="inlineStr">
        <is>
          <t>L5 | Pallet (4000037): 1 pc | Edge protector (4000590): 2 pcs | Shrink film (4000608): 1.8 kg</t>
        </is>
      </c>
      <c r="E80" s="25" t="inlineStr">
        <is>
          <t>IA-ST-CFG-0096</t>
        </is>
      </c>
      <c r="F80" s="25" t="inlineStr">
        <is>
          <t>STARTER</t>
        </is>
      </c>
      <c r="G80" s="25" t="n">
        <v>29.7192</v>
      </c>
      <c r="H80" s="25" t="n">
        <v>77</v>
      </c>
      <c r="I80" s="25" t="inlineStr">
        <is>
          <t>IA-PPWR-TF-ST-045-STD-08-R00</t>
        </is>
      </c>
      <c r="J80" s="31">
        <f>HYPERLINK("01_STARTER/ST-045-STD-08/01_Technical_File.docx","Open")</f>
        <v/>
      </c>
      <c r="K80" s="25" t="inlineStr">
        <is>
          <t>IA-PPWR-DOC-ST-045-STD-08-R00</t>
        </is>
      </c>
      <c r="L80" s="31">
        <f>HYPERLINK("01_STARTER/ST-045-STD-08/02_EU_DoC.docx","Open")</f>
        <v/>
      </c>
      <c r="M80" s="25" t="inlineStr">
        <is>
          <t>IA-PPWR-LBL-ST-045-STD-08-R00</t>
        </is>
      </c>
      <c r="N80" s="31">
        <f>HYPERLINK("01_STARTER/ST-045-STD-08/03_Label.docx","Open")</f>
        <v/>
      </c>
      <c r="O80" s="25" t="inlineStr">
        <is>
          <t>IA-PPWR-STM-ST-045-STD-08-R00</t>
        </is>
      </c>
      <c r="P80" s="31">
        <f>HYPERLINK("01_STARTER/ST-045-STD-08/04_Shipment_Statement.docx","Open")</f>
        <v/>
      </c>
      <c r="Q80" s="25" t="inlineStr">
        <is>
          <t>GENERATED / LINKED</t>
        </is>
      </c>
      <c r="R80" s="25" t="inlineStr">
        <is>
          <t>Rev.00</t>
        </is>
      </c>
    </row>
    <row r="81">
      <c r="A81" s="25" t="inlineStr">
        <is>
          <t>ST-045-STD-09</t>
        </is>
      </c>
      <c r="B81" s="25" t="inlineStr">
        <is>
          <t>IA-ST-045-STD-09</t>
        </is>
      </c>
      <c r="C81" s="25" t="inlineStr">
        <is>
          <t>TRACTORL, TRACTOR | TRAKTÖR PVC üst kapak (4000494): 45 adet | Köşebent (4000590): kullanılmaz</t>
        </is>
      </c>
      <c r="D81" s="25" t="inlineStr">
        <is>
          <t>TRACTORL, TRACTOR | TRAKTÖR PVC upper cover (4000494): 45 pcs | Edge protector (4000590): not used</t>
        </is>
      </c>
      <c r="E81" s="25" t="inlineStr">
        <is>
          <t>IA-ST-CFG-0097</t>
        </is>
      </c>
      <c r="F81" s="25" t="inlineStr">
        <is>
          <t>STARTER</t>
        </is>
      </c>
      <c r="G81" s="25" t="n">
        <v>33.063</v>
      </c>
      <c r="H81" s="25" t="n">
        <v>14</v>
      </c>
      <c r="I81" s="25" t="inlineStr">
        <is>
          <t>IA-PPWR-TF-ST-045-STD-09-R00</t>
        </is>
      </c>
      <c r="J81" s="31">
        <f>HYPERLINK("01_STARTER/ST-045-STD-09/01_Technical_File.docx","Open")</f>
        <v/>
      </c>
      <c r="K81" s="25" t="inlineStr">
        <is>
          <t>IA-PPWR-DOC-ST-045-STD-09-R00</t>
        </is>
      </c>
      <c r="L81" s="31">
        <f>HYPERLINK("01_STARTER/ST-045-STD-09/02_EU_DoC.docx","Open")</f>
        <v/>
      </c>
      <c r="M81" s="25" t="inlineStr">
        <is>
          <t>IA-PPWR-LBL-ST-045-STD-09-R00</t>
        </is>
      </c>
      <c r="N81" s="31">
        <f>HYPERLINK("01_STARTER/ST-045-STD-09/03_Label.docx","Open")</f>
        <v/>
      </c>
      <c r="O81" s="25" t="inlineStr">
        <is>
          <t>IA-PPWR-STM-ST-045-STD-09-R00</t>
        </is>
      </c>
      <c r="P81" s="31">
        <f>HYPERLINK("01_STARTER/ST-045-STD-09/04_Shipment_Statement.docx","Open")</f>
        <v/>
      </c>
      <c r="Q81" s="25" t="inlineStr">
        <is>
          <t>GENERATED / LINKED</t>
        </is>
      </c>
      <c r="R81" s="25" t="inlineStr">
        <is>
          <t>Rev.00</t>
        </is>
      </c>
    </row>
    <row r="82">
      <c r="A82" s="25" t="inlineStr">
        <is>
          <t>ST-045-STD-10</t>
        </is>
      </c>
      <c r="B82" s="25" t="inlineStr">
        <is>
          <t>IA-ST-045-STD-10</t>
        </is>
      </c>
      <c r="C82" s="25" t="inlineStr">
        <is>
          <t>L5 | Palet (4000037): 1 adet | Çember (4000450): kullanılmaz</t>
        </is>
      </c>
      <c r="D82" s="25" t="inlineStr">
        <is>
          <t>L5 | Pallet (4000037): 1 pc | Strap (4000450): not used</t>
        </is>
      </c>
      <c r="E82" s="25" t="inlineStr">
        <is>
          <t>IA-ST-CFG-0098</t>
        </is>
      </c>
      <c r="F82" s="25" t="inlineStr">
        <is>
          <t>STARTER</t>
        </is>
      </c>
      <c r="G82" s="25" t="n">
        <v>29.4324</v>
      </c>
      <c r="H82" s="25" t="n">
        <v>18</v>
      </c>
      <c r="I82" s="25" t="inlineStr">
        <is>
          <t>IA-PPWR-TF-ST-045-STD-10-R00</t>
        </is>
      </c>
      <c r="J82" s="31">
        <f>HYPERLINK("01_STARTER/ST-045-STD-10/01_Technical_File.docx","Open")</f>
        <v/>
      </c>
      <c r="K82" s="25" t="inlineStr">
        <is>
          <t>IA-PPWR-DOC-ST-045-STD-10-R00</t>
        </is>
      </c>
      <c r="L82" s="31">
        <f>HYPERLINK("01_STARTER/ST-045-STD-10/02_EU_DoC.docx","Open")</f>
        <v/>
      </c>
      <c r="M82" s="25" t="inlineStr">
        <is>
          <t>IA-PPWR-LBL-ST-045-STD-10-R00</t>
        </is>
      </c>
      <c r="N82" s="31">
        <f>HYPERLINK("01_STARTER/ST-045-STD-10/03_Label.docx","Open")</f>
        <v/>
      </c>
      <c r="O82" s="25" t="inlineStr">
        <is>
          <t>IA-PPWR-STM-ST-045-STD-10-R00</t>
        </is>
      </c>
      <c r="P82" s="31">
        <f>HYPERLINK("01_STARTER/ST-045-STD-10/04_Shipment_Statement.docx","Open")</f>
        <v/>
      </c>
      <c r="Q82" s="25" t="inlineStr">
        <is>
          <t>GENERATED / LINKED</t>
        </is>
      </c>
      <c r="R82" s="25" t="inlineStr">
        <is>
          <t>Rev.00</t>
        </is>
      </c>
    </row>
    <row r="83">
      <c r="A83" s="25" t="inlineStr">
        <is>
          <t>ST-045-STD-11</t>
        </is>
      </c>
      <c r="B83" s="25" t="inlineStr">
        <is>
          <t>IA-ST-045-STD-11</t>
        </is>
      </c>
      <c r="C83" s="25" t="inlineStr">
        <is>
          <t>TRACTOR | Palet (4000037): 1 adet | Shrink film (4001177): 0.597 kg</t>
        </is>
      </c>
      <c r="D83" s="25" t="inlineStr">
        <is>
          <t>TRACTOR | Pallet (4000037): 1 pc | Shrink film (4001177): 0.597 kg</t>
        </is>
      </c>
      <c r="E83" s="25" t="inlineStr">
        <is>
          <t>IA-ST-CFG-0099</t>
        </is>
      </c>
      <c r="F83" s="25" t="inlineStr">
        <is>
          <t>STARTER</t>
        </is>
      </c>
      <c r="G83" s="25" t="n">
        <v>28.649</v>
      </c>
      <c r="H83" s="25" t="n">
        <v>2</v>
      </c>
      <c r="I83" s="25" t="inlineStr">
        <is>
          <t>IA-PPWR-TF-ST-045-STD-11-R00</t>
        </is>
      </c>
      <c r="J83" s="31">
        <f>HYPERLINK("01_STARTER/ST-045-STD-11/01_Technical_File.docx","Open")</f>
        <v/>
      </c>
      <c r="K83" s="25" t="inlineStr">
        <is>
          <t>IA-PPWR-DOC-ST-045-STD-11-R00</t>
        </is>
      </c>
      <c r="L83" s="31">
        <f>HYPERLINK("01_STARTER/ST-045-STD-11/02_EU_DoC.docx","Open")</f>
        <v/>
      </c>
      <c r="M83" s="25" t="inlineStr">
        <is>
          <t>IA-PPWR-LBL-ST-045-STD-11-R00</t>
        </is>
      </c>
      <c r="N83" s="31">
        <f>HYPERLINK("01_STARTER/ST-045-STD-11/03_Label.docx","Open")</f>
        <v/>
      </c>
      <c r="O83" s="25" t="inlineStr">
        <is>
          <t>IA-PPWR-STM-ST-045-STD-11-R00</t>
        </is>
      </c>
      <c r="P83" s="31">
        <f>HYPERLINK("01_STARTER/ST-045-STD-11/04_Shipment_Statement.docx","Open")</f>
        <v/>
      </c>
      <c r="Q83" s="25" t="inlineStr">
        <is>
          <t>GENERATED / LINKED</t>
        </is>
      </c>
      <c r="R83" s="25" t="inlineStr">
        <is>
          <t>Rev.00</t>
        </is>
      </c>
    </row>
    <row r="84">
      <c r="A84" s="25" t="inlineStr">
        <is>
          <t>ST-045-STD-12</t>
        </is>
      </c>
      <c r="B84" s="25" t="inlineStr">
        <is>
          <t>IA-ST-045-STD-12</t>
        </is>
      </c>
      <c r="C84" s="25" t="inlineStr">
        <is>
          <t>L5 | Palet (4000037): 1 adet | Köşebent (4000590): 2 adet | Shrink film (4001177): 0.597 kg</t>
        </is>
      </c>
      <c r="D84" s="25" t="inlineStr">
        <is>
          <t>L5 | Pallet (4000037): 1 pc | Edge protector (4000590): 2 pcs | Shrink film (4001177): 0.597 kg</t>
        </is>
      </c>
      <c r="E84" s="25" t="inlineStr">
        <is>
          <t>IA-ST-CFG-0100</t>
        </is>
      </c>
      <c r="F84" s="25" t="inlineStr">
        <is>
          <t>STARTER</t>
        </is>
      </c>
      <c r="G84" s="25" t="n">
        <v>28.417</v>
      </c>
      <c r="H84" s="25" t="n">
        <v>1</v>
      </c>
      <c r="I84" s="25" t="inlineStr">
        <is>
          <t>IA-PPWR-TF-ST-045-STD-12-R00</t>
        </is>
      </c>
      <c r="J84" s="31">
        <f>HYPERLINK("01_STARTER/ST-045-STD-12/01_Technical_File.docx","Open")</f>
        <v/>
      </c>
      <c r="K84" s="25" t="inlineStr">
        <is>
          <t>IA-PPWR-DOC-ST-045-STD-12-R00</t>
        </is>
      </c>
      <c r="L84" s="31">
        <f>HYPERLINK("01_STARTER/ST-045-STD-12/02_EU_DoC.docx","Open")</f>
        <v/>
      </c>
      <c r="M84" s="25" t="inlineStr">
        <is>
          <t>IA-PPWR-LBL-ST-045-STD-12-R00</t>
        </is>
      </c>
      <c r="N84" s="31">
        <f>HYPERLINK("01_STARTER/ST-045-STD-12/03_Label.docx","Open")</f>
        <v/>
      </c>
      <c r="O84" s="25" t="inlineStr">
        <is>
          <t>IA-PPWR-STM-ST-045-STD-12-R00</t>
        </is>
      </c>
      <c r="P84" s="31">
        <f>HYPERLINK("01_STARTER/ST-045-STD-12/04_Shipment_Statement.docx","Open")</f>
        <v/>
      </c>
      <c r="Q84" s="25" t="inlineStr">
        <is>
          <t>GENERATED / LINKED</t>
        </is>
      </c>
      <c r="R84" s="25" t="inlineStr">
        <is>
          <t>Rev.00</t>
        </is>
      </c>
    </row>
    <row r="85">
      <c r="A85" s="25" t="inlineStr">
        <is>
          <t>ST-045-STD-13</t>
        </is>
      </c>
      <c r="B85" s="25" t="inlineStr">
        <is>
          <t>IA-ST-045-STD-13</t>
        </is>
      </c>
      <c r="C85" s="25" t="inlineStr">
        <is>
          <t>L5 | Palet (4000037): 1 adet | Köşebent (4000590): 4 adet | Shrink film (4001177): 0.597 kg</t>
        </is>
      </c>
      <c r="D85" s="25" t="inlineStr">
        <is>
          <t>L5 | Pallet (4000037): 1 pc | Edge protector (4000590): 4 pcs | Shrink film (4001177): 0.597 kg</t>
        </is>
      </c>
      <c r="E85" s="25" t="inlineStr">
        <is>
          <t>IA-ST-CFG-0101</t>
        </is>
      </c>
      <c r="F85" s="25" t="inlineStr">
        <is>
          <t>STARTER</t>
        </is>
      </c>
      <c r="G85" s="25" t="n">
        <v>28.617</v>
      </c>
      <c r="H85" s="25" t="n">
        <v>2</v>
      </c>
      <c r="I85" s="25" t="inlineStr">
        <is>
          <t>IA-PPWR-TF-ST-045-STD-13-R00</t>
        </is>
      </c>
      <c r="J85" s="31">
        <f>HYPERLINK("01_STARTER/ST-045-STD-13/01_Technical_File.docx","Open")</f>
        <v/>
      </c>
      <c r="K85" s="25" t="inlineStr">
        <is>
          <t>IA-PPWR-DOC-ST-045-STD-13-R00</t>
        </is>
      </c>
      <c r="L85" s="31">
        <f>HYPERLINK("01_STARTER/ST-045-STD-13/02_EU_DoC.docx","Open")</f>
        <v/>
      </c>
      <c r="M85" s="25" t="inlineStr">
        <is>
          <t>IA-PPWR-LBL-ST-045-STD-13-R00</t>
        </is>
      </c>
      <c r="N85" s="31">
        <f>HYPERLINK("01_STARTER/ST-045-STD-13/03_Label.docx","Open")</f>
        <v/>
      </c>
      <c r="O85" s="25" t="inlineStr">
        <is>
          <t>IA-PPWR-STM-ST-045-STD-13-R00</t>
        </is>
      </c>
      <c r="P85" s="31">
        <f>HYPERLINK("01_STARTER/ST-045-STD-13/04_Shipment_Statement.docx","Open")</f>
        <v/>
      </c>
      <c r="Q85" s="25" t="inlineStr">
        <is>
          <t>GENERATED / LINKED</t>
        </is>
      </c>
      <c r="R85" s="25" t="inlineStr">
        <is>
          <t>Rev.00</t>
        </is>
      </c>
    </row>
    <row r="86">
      <c r="A86" s="25" t="inlineStr">
        <is>
          <t>ST-045-STD-14</t>
        </is>
      </c>
      <c r="B86" s="25" t="inlineStr">
        <is>
          <t>IA-ST-045-STD-14</t>
        </is>
      </c>
      <c r="C86" s="25" t="inlineStr">
        <is>
          <t>L5 | Palet (4000037): 1 adet | Separatör (4000130): 5 adet</t>
        </is>
      </c>
      <c r="D86" s="25" t="inlineStr">
        <is>
          <t>L5 | Pallet (4000037): 1 pc | Separator (4000130): 5 pcs</t>
        </is>
      </c>
      <c r="E86" s="25" t="inlineStr">
        <is>
          <t>IA-ST-CFG-0102</t>
        </is>
      </c>
      <c r="F86" s="25" t="inlineStr">
        <is>
          <t>STARTER</t>
        </is>
      </c>
      <c r="G86" s="25" t="n">
        <v>28.476</v>
      </c>
      <c r="H86" s="25" t="n">
        <v>1</v>
      </c>
      <c r="I86" s="25" t="inlineStr">
        <is>
          <t>IA-PPWR-TF-ST-045-STD-14-R00</t>
        </is>
      </c>
      <c r="J86" s="31">
        <f>HYPERLINK("01_STARTER/ST-045-STD-14/01_Technical_File.docx","Open")</f>
        <v/>
      </c>
      <c r="K86" s="25" t="inlineStr">
        <is>
          <t>IA-PPWR-DOC-ST-045-STD-14-R00</t>
        </is>
      </c>
      <c r="L86" s="31">
        <f>HYPERLINK("01_STARTER/ST-045-STD-14/02_EU_DoC.docx","Open")</f>
        <v/>
      </c>
      <c r="M86" s="25" t="inlineStr">
        <is>
          <t>IA-PPWR-LBL-ST-045-STD-14-R00</t>
        </is>
      </c>
      <c r="N86" s="31">
        <f>HYPERLINK("01_STARTER/ST-045-STD-14/03_Label.docx","Open")</f>
        <v/>
      </c>
      <c r="O86" s="25" t="inlineStr">
        <is>
          <t>IA-PPWR-STM-ST-045-STD-14-R00</t>
        </is>
      </c>
      <c r="P86" s="31">
        <f>HYPERLINK("01_STARTER/ST-045-STD-14/04_Shipment_Statement.docx","Open")</f>
        <v/>
      </c>
      <c r="Q86" s="25" t="inlineStr">
        <is>
          <t>GENERATED / LINKED</t>
        </is>
      </c>
      <c r="R86" s="25" t="inlineStr">
        <is>
          <t>Rev.00</t>
        </is>
      </c>
    </row>
    <row r="87">
      <c r="A87" s="25" t="inlineStr">
        <is>
          <t>ST-048-EUR-01</t>
        </is>
      </c>
      <c r="B87" s="25" t="inlineStr">
        <is>
          <t>IA-ST-048-EUR-01</t>
        </is>
      </c>
      <c r="C87" s="25" t="inlineStr">
        <is>
          <t>L5 | L5 İnci AGM LEO 95AH 870A pencereli dış koli (4001194): 48 adet</t>
        </is>
      </c>
      <c r="D87" s="25" t="inlineStr">
        <is>
          <t>L5 | L5 İnci AGM LEO 95AH 870A windowed outer carton (4001194): 48 pcs</t>
        </is>
      </c>
      <c r="E87" s="25" t="inlineStr">
        <is>
          <t>IA-ST-CFG-0105</t>
        </is>
      </c>
      <c r="F87" s="25" t="inlineStr">
        <is>
          <t>STARTER</t>
        </is>
      </c>
      <c r="G87" s="25" t="n">
        <v>44.6524</v>
      </c>
      <c r="H87" s="25" t="n">
        <v>1</v>
      </c>
      <c r="I87" s="25" t="inlineStr">
        <is>
          <t>IA-PPWR-TF-ST-048-EUR-01-R00</t>
        </is>
      </c>
      <c r="J87" s="31">
        <f>HYPERLINK("01_STARTER/ST-048-EUR-01/01_Technical_File.docx","Open")</f>
        <v/>
      </c>
      <c r="K87" s="25" t="inlineStr">
        <is>
          <t>IA-PPWR-DOC-ST-048-EUR-01-R00</t>
        </is>
      </c>
      <c r="L87" s="31">
        <f>HYPERLINK("01_STARTER/ST-048-EUR-01/02_EU_DoC.docx","Open")</f>
        <v/>
      </c>
      <c r="M87" s="25" t="inlineStr">
        <is>
          <t>IA-PPWR-LBL-ST-048-EUR-01-R00</t>
        </is>
      </c>
      <c r="N87" s="31">
        <f>HYPERLINK("01_STARTER/ST-048-EUR-01/03_Label.docx","Open")</f>
        <v/>
      </c>
      <c r="O87" s="25" t="inlineStr">
        <is>
          <t>IA-PPWR-STM-ST-048-EUR-01-R00</t>
        </is>
      </c>
      <c r="P87" s="31">
        <f>HYPERLINK("01_STARTER/ST-048-EUR-01/04_Shipment_Statement.docx","Open")</f>
        <v/>
      </c>
      <c r="Q87" s="25" t="inlineStr">
        <is>
          <t>GENERATED / LINKED</t>
        </is>
      </c>
      <c r="R87" s="25" t="inlineStr">
        <is>
          <t>Rev.00</t>
        </is>
      </c>
    </row>
    <row r="88">
      <c r="A88" s="25" t="inlineStr">
        <is>
          <t>ST-048-EUR-02</t>
        </is>
      </c>
      <c r="B88" s="25" t="inlineStr">
        <is>
          <t>IA-ST-048-EUR-02</t>
        </is>
      </c>
      <c r="C88" s="25" t="inlineStr">
        <is>
          <t>D26 | D26 PVC üst kapak (4000440): 48 adet</t>
        </is>
      </c>
      <c r="D88" s="25" t="inlineStr">
        <is>
          <t>D26 | D26 PVC upper cover (4000440): 48 pcs</t>
        </is>
      </c>
      <c r="E88" s="25" t="inlineStr">
        <is>
          <t>IA-ST-CFG-0107</t>
        </is>
      </c>
      <c r="F88" s="25" t="inlineStr">
        <is>
          <t>STARTER</t>
        </is>
      </c>
      <c r="G88" s="25" t="n">
        <v>32.3872</v>
      </c>
      <c r="H88" s="25" t="n">
        <v>11</v>
      </c>
      <c r="I88" s="25" t="inlineStr">
        <is>
          <t>IA-PPWR-TF-ST-048-EUR-02-R00</t>
        </is>
      </c>
      <c r="J88" s="31">
        <f>HYPERLINK("01_STARTER/ST-048-EUR-02/01_Technical_File.docx","Open")</f>
        <v/>
      </c>
      <c r="K88" s="25" t="inlineStr">
        <is>
          <t>IA-PPWR-DOC-ST-048-EUR-02-R00</t>
        </is>
      </c>
      <c r="L88" s="31">
        <f>HYPERLINK("01_STARTER/ST-048-EUR-02/02_EU_DoC.docx","Open")</f>
        <v/>
      </c>
      <c r="M88" s="25" t="inlineStr">
        <is>
          <t>IA-PPWR-LBL-ST-048-EUR-02-R00</t>
        </is>
      </c>
      <c r="N88" s="31">
        <f>HYPERLINK("01_STARTER/ST-048-EUR-02/03_Label.docx","Open")</f>
        <v/>
      </c>
      <c r="O88" s="25" t="inlineStr">
        <is>
          <t>IA-PPWR-STM-ST-048-EUR-02-R00</t>
        </is>
      </c>
      <c r="P88" s="31">
        <f>HYPERLINK("01_STARTER/ST-048-EUR-02/04_Shipment_Statement.docx","Open")</f>
        <v/>
      </c>
      <c r="Q88" s="25" t="inlineStr">
        <is>
          <t>GENERATED / LINKED</t>
        </is>
      </c>
      <c r="R88" s="25" t="inlineStr">
        <is>
          <t>Rev.00</t>
        </is>
      </c>
    </row>
    <row r="89">
      <c r="A89" s="25" t="inlineStr">
        <is>
          <t>ST-048-EUR-03</t>
        </is>
      </c>
      <c r="B89" s="25" t="inlineStr">
        <is>
          <t>IA-ST-048-EUR-03</t>
        </is>
      </c>
      <c r="C89" s="25" t="inlineStr">
        <is>
          <t>D31 | Palet (4000038): 1 adet | EPS (4000573): 24 adet</t>
        </is>
      </c>
      <c r="D89" s="25" t="inlineStr">
        <is>
          <t>D31 | Pallet (4000038): 1 pc | EPS (4000573): 24 pcs</t>
        </is>
      </c>
      <c r="E89" s="25" t="inlineStr">
        <is>
          <t>IA-ST-CFG-0109</t>
        </is>
      </c>
      <c r="F89" s="25" t="inlineStr">
        <is>
          <t>STARTER</t>
        </is>
      </c>
      <c r="G89" s="25" t="n">
        <v>29.174</v>
      </c>
      <c r="H89" s="25" t="n">
        <v>1</v>
      </c>
      <c r="I89" s="25" t="inlineStr">
        <is>
          <t>IA-PPWR-TF-ST-048-EUR-03-R00</t>
        </is>
      </c>
      <c r="J89" s="31">
        <f>HYPERLINK("01_STARTER/ST-048-EUR-03/01_Technical_File.docx","Open")</f>
        <v/>
      </c>
      <c r="K89" s="25" t="inlineStr">
        <is>
          <t>IA-PPWR-DOC-ST-048-EUR-03-R00</t>
        </is>
      </c>
      <c r="L89" s="31">
        <f>HYPERLINK("01_STARTER/ST-048-EUR-03/02_EU_DoC.docx","Open")</f>
        <v/>
      </c>
      <c r="M89" s="25" t="inlineStr">
        <is>
          <t>IA-PPWR-LBL-ST-048-EUR-03-R00</t>
        </is>
      </c>
      <c r="N89" s="31">
        <f>HYPERLINK("01_STARTER/ST-048-EUR-03/03_Label.docx","Open")</f>
        <v/>
      </c>
      <c r="O89" s="25" t="inlineStr">
        <is>
          <t>IA-PPWR-STM-ST-048-EUR-03-R00</t>
        </is>
      </c>
      <c r="P89" s="31">
        <f>HYPERLINK("01_STARTER/ST-048-EUR-03/04_Shipment_Statement.docx","Open")</f>
        <v/>
      </c>
      <c r="Q89" s="25" t="inlineStr">
        <is>
          <t>GENERATED / LINKED</t>
        </is>
      </c>
      <c r="R89" s="25" t="inlineStr">
        <is>
          <t>Rev.00</t>
        </is>
      </c>
    </row>
    <row r="90">
      <c r="A90" s="25" t="inlineStr">
        <is>
          <t>ST-048-EUR-04</t>
        </is>
      </c>
      <c r="B90" s="25" t="inlineStr">
        <is>
          <t>IA-ST-048-EUR-04</t>
        </is>
      </c>
      <c r="C90" s="25" t="inlineStr">
        <is>
          <t>L5 | Palet (4000038): 1 adet | Shrink film (4000608): 1.92 kg</t>
        </is>
      </c>
      <c r="D90" s="25" t="inlineStr">
        <is>
          <t>L5 | Pallet (4000038): 1 pc | Shrink film (4000608): 1.92 kg</t>
        </is>
      </c>
      <c r="E90" s="25" t="inlineStr">
        <is>
          <t>IA-ST-CFG-0110</t>
        </is>
      </c>
      <c r="F90" s="25" t="inlineStr">
        <is>
          <t>STARTER</t>
        </is>
      </c>
      <c r="G90" s="25" t="n">
        <v>30.046</v>
      </c>
      <c r="H90" s="25" t="n">
        <v>1</v>
      </c>
      <c r="I90" s="25" t="inlineStr">
        <is>
          <t>IA-PPWR-TF-ST-048-EUR-04-R00</t>
        </is>
      </c>
      <c r="J90" s="31">
        <f>HYPERLINK("01_STARTER/ST-048-EUR-04/01_Technical_File.docx","Open")</f>
        <v/>
      </c>
      <c r="K90" s="25" t="inlineStr">
        <is>
          <t>IA-PPWR-DOC-ST-048-EUR-04-R00</t>
        </is>
      </c>
      <c r="L90" s="31">
        <f>HYPERLINK("01_STARTER/ST-048-EUR-04/02_EU_DoC.docx","Open")</f>
        <v/>
      </c>
      <c r="M90" s="25" t="inlineStr">
        <is>
          <t>IA-PPWR-LBL-ST-048-EUR-04-R00</t>
        </is>
      </c>
      <c r="N90" s="31">
        <f>HYPERLINK("01_STARTER/ST-048-EUR-04/03_Label.docx","Open")</f>
        <v/>
      </c>
      <c r="O90" s="25" t="inlineStr">
        <is>
          <t>IA-PPWR-STM-ST-048-EUR-04-R00</t>
        </is>
      </c>
      <c r="P90" s="31">
        <f>HYPERLINK("01_STARTER/ST-048-EUR-04/04_Shipment_Statement.docx","Open")</f>
        <v/>
      </c>
      <c r="Q90" s="25" t="inlineStr">
        <is>
          <t>GENERATED / LINKED</t>
        </is>
      </c>
      <c r="R90" s="25" t="inlineStr">
        <is>
          <t>Rev.00</t>
        </is>
      </c>
    </row>
    <row r="91">
      <c r="A91" s="25" t="inlineStr">
        <is>
          <t>ST-048-EUR-05</t>
        </is>
      </c>
      <c r="B91" s="25" t="inlineStr">
        <is>
          <t>IA-ST-048-EUR-05</t>
        </is>
      </c>
      <c r="C91" s="25" t="inlineStr">
        <is>
          <t>D31 | Palet (4000038): 1 adet | Honeycomb (4001186): 3 adet</t>
        </is>
      </c>
      <c r="D91" s="25" t="inlineStr">
        <is>
          <t>D31 | Pallet (4000038): 1 pc | Honeycomb (4001186): 3 pcs</t>
        </is>
      </c>
      <c r="E91" s="25" t="inlineStr">
        <is>
          <t>IA-ST-CFG-0111</t>
        </is>
      </c>
      <c r="F91" s="25" t="inlineStr">
        <is>
          <t>STARTER</t>
        </is>
      </c>
      <c r="G91" s="25" t="n">
        <v>30.326</v>
      </c>
      <c r="H91" s="25" t="n">
        <v>9</v>
      </c>
      <c r="I91" s="25" t="inlineStr">
        <is>
          <t>IA-PPWR-TF-ST-048-EUR-05-R00</t>
        </is>
      </c>
      <c r="J91" s="31">
        <f>HYPERLINK("01_STARTER/ST-048-EUR-05/01_Technical_File.docx","Open")</f>
        <v/>
      </c>
      <c r="K91" s="25" t="inlineStr">
        <is>
          <t>IA-PPWR-DOC-ST-048-EUR-05-R00</t>
        </is>
      </c>
      <c r="L91" s="31">
        <f>HYPERLINK("01_STARTER/ST-048-EUR-05/02_EU_DoC.docx","Open")</f>
        <v/>
      </c>
      <c r="M91" s="25" t="inlineStr">
        <is>
          <t>IA-PPWR-LBL-ST-048-EUR-05-R00</t>
        </is>
      </c>
      <c r="N91" s="31">
        <f>HYPERLINK("01_STARTER/ST-048-EUR-05/03_Label.docx","Open")</f>
        <v/>
      </c>
      <c r="O91" s="25" t="inlineStr">
        <is>
          <t>IA-PPWR-STM-ST-048-EUR-05-R00</t>
        </is>
      </c>
      <c r="P91" s="31">
        <f>HYPERLINK("01_STARTER/ST-048-EUR-05/04_Shipment_Statement.docx","Open")</f>
        <v/>
      </c>
      <c r="Q91" s="25" t="inlineStr">
        <is>
          <t>GENERATED / LINKED</t>
        </is>
      </c>
      <c r="R91" s="25" t="inlineStr">
        <is>
          <t>Rev.00</t>
        </is>
      </c>
    </row>
    <row r="92">
      <c r="A92" s="25" t="inlineStr">
        <is>
          <t>ST-048-EUR-06</t>
        </is>
      </c>
      <c r="B92" s="25" t="inlineStr">
        <is>
          <t>IA-ST-048-EUR-06</t>
        </is>
      </c>
      <c r="C92" s="25" t="inlineStr">
        <is>
          <t>D31 | Palet (4000038): 1 adet | Köşebent (4000590): 4 adet | EPS (4001247): 3 adet</t>
        </is>
      </c>
      <c r="D92" s="25" t="inlineStr">
        <is>
          <t>D31 | Pallet (4000038): 1 pc | Edge protector (4000590): 4 pcs | EPS (4001247): 3 pcs</t>
        </is>
      </c>
      <c r="E92" s="25" t="inlineStr">
        <is>
          <t>IA-ST-CFG-0112</t>
        </is>
      </c>
      <c r="F92" s="25" t="inlineStr">
        <is>
          <t>STARTER</t>
        </is>
      </c>
      <c r="G92" s="25" t="n">
        <v>27.506</v>
      </c>
      <c r="H92" s="25" t="n">
        <v>4</v>
      </c>
      <c r="I92" s="25" t="inlineStr">
        <is>
          <t>IA-PPWR-TF-ST-048-EUR-06-R00</t>
        </is>
      </c>
      <c r="J92" s="31">
        <f>HYPERLINK("01_STARTER/ST-048-EUR-06/01_Technical_File.docx","Open")</f>
        <v/>
      </c>
      <c r="K92" s="25" t="inlineStr">
        <is>
          <t>IA-PPWR-DOC-ST-048-EUR-06-R00</t>
        </is>
      </c>
      <c r="L92" s="31">
        <f>HYPERLINK("01_STARTER/ST-048-EUR-06/02_EU_DoC.docx","Open")</f>
        <v/>
      </c>
      <c r="M92" s="25" t="inlineStr">
        <is>
          <t>IA-PPWR-LBL-ST-048-EUR-06-R00</t>
        </is>
      </c>
      <c r="N92" s="31">
        <f>HYPERLINK("01_STARTER/ST-048-EUR-06/03_Label.docx","Open")</f>
        <v/>
      </c>
      <c r="O92" s="25" t="inlineStr">
        <is>
          <t>IA-PPWR-STM-ST-048-EUR-06-R00</t>
        </is>
      </c>
      <c r="P92" s="31">
        <f>HYPERLINK("01_STARTER/ST-048-EUR-06/04_Shipment_Statement.docx","Open")</f>
        <v/>
      </c>
      <c r="Q92" s="25" t="inlineStr">
        <is>
          <t>GENERATED / LINKED</t>
        </is>
      </c>
      <c r="R92" s="25" t="inlineStr">
        <is>
          <t>Rev.00</t>
        </is>
      </c>
    </row>
    <row r="93">
      <c r="A93" s="25" t="inlineStr">
        <is>
          <t>ST-048-EUR-07</t>
        </is>
      </c>
      <c r="B93" s="25" t="inlineStr">
        <is>
          <t>IA-ST-048-EUR-07</t>
        </is>
      </c>
      <c r="C93" s="25" t="inlineStr">
        <is>
          <t>L3 | Palet (4000038): 1 adet | Köşebent (4000590): 4 adet</t>
        </is>
      </c>
      <c r="D93" s="25" t="inlineStr">
        <is>
          <t>L3 | Pallet (4000038): 1 pc | Edge protector (4000590): 4 pcs</t>
        </is>
      </c>
      <c r="E93" s="25" t="inlineStr">
        <is>
          <t>IA-ST-CFG-0113</t>
        </is>
      </c>
      <c r="F93" s="25" t="inlineStr">
        <is>
          <t>STARTER</t>
        </is>
      </c>
      <c r="G93" s="25" t="n">
        <v>27.926</v>
      </c>
      <c r="H93" s="25" t="n">
        <v>14</v>
      </c>
      <c r="I93" s="25" t="inlineStr">
        <is>
          <t>IA-PPWR-TF-ST-048-EUR-07-R00</t>
        </is>
      </c>
      <c r="J93" s="31">
        <f>HYPERLINK("01_STARTER/ST-048-EUR-07/01_Technical_File.docx","Open")</f>
        <v/>
      </c>
      <c r="K93" s="25" t="inlineStr">
        <is>
          <t>IA-PPWR-DOC-ST-048-EUR-07-R00</t>
        </is>
      </c>
      <c r="L93" s="31">
        <f>HYPERLINK("01_STARTER/ST-048-EUR-07/02_EU_DoC.docx","Open")</f>
        <v/>
      </c>
      <c r="M93" s="25" t="inlineStr">
        <is>
          <t>IA-PPWR-LBL-ST-048-EUR-07-R00</t>
        </is>
      </c>
      <c r="N93" s="31">
        <f>HYPERLINK("01_STARTER/ST-048-EUR-07/03_Label.docx","Open")</f>
        <v/>
      </c>
      <c r="O93" s="25" t="inlineStr">
        <is>
          <t>IA-PPWR-STM-ST-048-EUR-07-R00</t>
        </is>
      </c>
      <c r="P93" s="31">
        <f>HYPERLINK("01_STARTER/ST-048-EUR-07/04_Shipment_Statement.docx","Open")</f>
        <v/>
      </c>
      <c r="Q93" s="25" t="inlineStr">
        <is>
          <t>GENERATED / LINKED</t>
        </is>
      </c>
      <c r="R93" s="25" t="inlineStr">
        <is>
          <t>Rev.00</t>
        </is>
      </c>
    </row>
    <row r="94">
      <c r="A94" s="25" t="inlineStr">
        <is>
          <t>ST-048-EUR-08</t>
        </is>
      </c>
      <c r="B94" s="25" t="inlineStr">
        <is>
          <t>IA-ST-048-EUR-08</t>
        </is>
      </c>
      <c r="C94" s="25" t="inlineStr">
        <is>
          <t>L5 | Palet (4000038): 1 adet | Köşebent (4000590): 4 adet | Shrink film (4000608): kullanılmaz</t>
        </is>
      </c>
      <c r="D94" s="25" t="inlineStr">
        <is>
          <t>L5 | Pallet (4000038): 1 pc | Edge protector (4000590): 4 pcs | Shrink film (4000608): not used</t>
        </is>
      </c>
      <c r="E94" s="25" t="inlineStr">
        <is>
          <t>IA-ST-CFG-0114</t>
        </is>
      </c>
      <c r="F94" s="25" t="inlineStr">
        <is>
          <t>STARTER</t>
        </is>
      </c>
      <c r="G94" s="25" t="n">
        <v>28.126</v>
      </c>
      <c r="H94" s="25" t="n">
        <v>5</v>
      </c>
      <c r="I94" s="25" t="inlineStr">
        <is>
          <t>IA-PPWR-TF-ST-048-EUR-08-R00</t>
        </is>
      </c>
      <c r="J94" s="31">
        <f>HYPERLINK("01_STARTER/ST-048-EUR-08/01_Technical_File.docx","Open")</f>
        <v/>
      </c>
      <c r="K94" s="25" t="inlineStr">
        <is>
          <t>IA-PPWR-DOC-ST-048-EUR-08-R00</t>
        </is>
      </c>
      <c r="L94" s="31">
        <f>HYPERLINK("01_STARTER/ST-048-EUR-08/02_EU_DoC.docx","Open")</f>
        <v/>
      </c>
      <c r="M94" s="25" t="inlineStr">
        <is>
          <t>IA-PPWR-LBL-ST-048-EUR-08-R00</t>
        </is>
      </c>
      <c r="N94" s="31">
        <f>HYPERLINK("01_STARTER/ST-048-EUR-08/03_Label.docx","Open")</f>
        <v/>
      </c>
      <c r="O94" s="25" t="inlineStr">
        <is>
          <t>IA-PPWR-STM-ST-048-EUR-08-R00</t>
        </is>
      </c>
      <c r="P94" s="31">
        <f>HYPERLINK("01_STARTER/ST-048-EUR-08/04_Shipment_Statement.docx","Open")</f>
        <v/>
      </c>
      <c r="Q94" s="25" t="inlineStr">
        <is>
          <t>GENERATED / LINKED</t>
        </is>
      </c>
      <c r="R94" s="25" t="inlineStr">
        <is>
          <t>Rev.00</t>
        </is>
      </c>
    </row>
    <row r="95">
      <c r="A95" s="25" t="inlineStr">
        <is>
          <t>ST-048-EUR-09</t>
        </is>
      </c>
      <c r="B95" s="25" t="inlineStr">
        <is>
          <t>IA-ST-048-EUR-09</t>
        </is>
      </c>
      <c r="C95" s="25" t="inlineStr">
        <is>
          <t>D31 | D31 PVC üst kapak (4001310): 48 adet</t>
        </is>
      </c>
      <c r="D95" s="25" t="inlineStr">
        <is>
          <t>D31 | D31 PVC upper cover (4001310): 48 pcs</t>
        </is>
      </c>
      <c r="E95" s="25" t="inlineStr">
        <is>
          <t>IA-ST-CFG-0115</t>
        </is>
      </c>
      <c r="F95" s="25" t="inlineStr">
        <is>
          <t>STARTER</t>
        </is>
      </c>
      <c r="G95" s="25" t="n">
        <v>32.8524</v>
      </c>
      <c r="H95" s="25" t="n">
        <v>23</v>
      </c>
      <c r="I95" s="25" t="inlineStr">
        <is>
          <t>IA-PPWR-TF-ST-048-EUR-09-R00</t>
        </is>
      </c>
      <c r="J95" s="31">
        <f>HYPERLINK("01_STARTER/ST-048-EUR-09/01_Technical_File.docx","Open")</f>
        <v/>
      </c>
      <c r="K95" s="25" t="inlineStr">
        <is>
          <t>IA-PPWR-DOC-ST-048-EUR-09-R00</t>
        </is>
      </c>
      <c r="L95" s="31">
        <f>HYPERLINK("01_STARTER/ST-048-EUR-09/02_EU_DoC.docx","Open")</f>
        <v/>
      </c>
      <c r="M95" s="25" t="inlineStr">
        <is>
          <t>IA-PPWR-LBL-ST-048-EUR-09-R00</t>
        </is>
      </c>
      <c r="N95" s="31">
        <f>HYPERLINK("01_STARTER/ST-048-EUR-09/03_Label.docx","Open")</f>
        <v/>
      </c>
      <c r="O95" s="25" t="inlineStr">
        <is>
          <t>IA-PPWR-STM-ST-048-EUR-09-R00</t>
        </is>
      </c>
      <c r="P95" s="31">
        <f>HYPERLINK("01_STARTER/ST-048-EUR-09/04_Shipment_Statement.docx","Open")</f>
        <v/>
      </c>
      <c r="Q95" s="25" t="inlineStr">
        <is>
          <t>GENERATED / LINKED</t>
        </is>
      </c>
      <c r="R95" s="25" t="inlineStr">
        <is>
          <t>Rev.00</t>
        </is>
      </c>
    </row>
    <row r="96">
      <c r="A96" s="25" t="inlineStr">
        <is>
          <t>ST-048-EUR-10</t>
        </is>
      </c>
      <c r="B96" s="25" t="inlineStr">
        <is>
          <t>IA-ST-048-EUR-10</t>
        </is>
      </c>
      <c r="C96" s="25" t="inlineStr">
        <is>
          <t>L5, LB5 | Palet (4000038): 1 adet | Shrink film (4000608): 1.92 kg</t>
        </is>
      </c>
      <c r="D96" s="25" t="inlineStr">
        <is>
          <t>L5, LB5 | Pallet (4000038): 1 pc | Shrink film (4000608): 1.92 kg</t>
        </is>
      </c>
      <c r="E96" s="25" t="inlineStr">
        <is>
          <t>IA-ST-CFG-0116</t>
        </is>
      </c>
      <c r="F96" s="25" t="inlineStr">
        <is>
          <t>STARTER</t>
        </is>
      </c>
      <c r="G96" s="25" t="n">
        <v>29.7592</v>
      </c>
      <c r="H96" s="25" t="n">
        <v>28</v>
      </c>
      <c r="I96" s="25" t="inlineStr">
        <is>
          <t>IA-PPWR-TF-ST-048-EUR-10-R00</t>
        </is>
      </c>
      <c r="J96" s="31">
        <f>HYPERLINK("01_STARTER/ST-048-EUR-10/01_Technical_File.docx","Open")</f>
        <v/>
      </c>
      <c r="K96" s="25" t="inlineStr">
        <is>
          <t>IA-PPWR-DOC-ST-048-EUR-10-R00</t>
        </is>
      </c>
      <c r="L96" s="31">
        <f>HYPERLINK("01_STARTER/ST-048-EUR-10/02_EU_DoC.docx","Open")</f>
        <v/>
      </c>
      <c r="M96" s="25" t="inlineStr">
        <is>
          <t>IA-PPWR-LBL-ST-048-EUR-10-R00</t>
        </is>
      </c>
      <c r="N96" s="31">
        <f>HYPERLINK("01_STARTER/ST-048-EUR-10/03_Label.docx","Open")</f>
        <v/>
      </c>
      <c r="O96" s="25" t="inlineStr">
        <is>
          <t>IA-PPWR-STM-ST-048-EUR-10-R00</t>
        </is>
      </c>
      <c r="P96" s="31">
        <f>HYPERLINK("01_STARTER/ST-048-EUR-10/04_Shipment_Statement.docx","Open")</f>
        <v/>
      </c>
      <c r="Q96" s="25" t="inlineStr">
        <is>
          <t>GENERATED / LINKED</t>
        </is>
      </c>
      <c r="R96" s="25" t="inlineStr">
        <is>
          <t>Rev.00</t>
        </is>
      </c>
    </row>
    <row r="97">
      <c r="A97" s="25" t="inlineStr">
        <is>
          <t>ST-048-EUR-11</t>
        </is>
      </c>
      <c r="B97" s="25" t="inlineStr">
        <is>
          <t>IA-ST-048-EUR-11</t>
        </is>
      </c>
      <c r="C97" s="25" t="inlineStr">
        <is>
          <t>D31 | Palet (4000038): 1 adet | Köşebent (4000590): 2 adet | EPS (4001247): 3 adet</t>
        </is>
      </c>
      <c r="D97" s="25" t="inlineStr">
        <is>
          <t>D31 | Pallet (4000038): 1 pc | Edge protector (4000590): 2 pcs | EPS (4001247): 3 pcs</t>
        </is>
      </c>
      <c r="E97" s="25" t="inlineStr">
        <is>
          <t>IA-ST-CFG-0117</t>
        </is>
      </c>
      <c r="F97" s="25" t="inlineStr">
        <is>
          <t>STARTER</t>
        </is>
      </c>
      <c r="G97" s="25" t="n">
        <v>27.8192</v>
      </c>
      <c r="H97" s="25" t="n">
        <v>1</v>
      </c>
      <c r="I97" s="25" t="inlineStr">
        <is>
          <t>IA-PPWR-TF-ST-048-EUR-11-R00</t>
        </is>
      </c>
      <c r="J97" s="31">
        <f>HYPERLINK("01_STARTER/ST-048-EUR-11/01_Technical_File.docx","Open")</f>
        <v/>
      </c>
      <c r="K97" s="25" t="inlineStr">
        <is>
          <t>IA-PPWR-DOC-ST-048-EUR-11-R00</t>
        </is>
      </c>
      <c r="L97" s="31">
        <f>HYPERLINK("01_STARTER/ST-048-EUR-11/02_EU_DoC.docx","Open")</f>
        <v/>
      </c>
      <c r="M97" s="25" t="inlineStr">
        <is>
          <t>IA-PPWR-LBL-ST-048-EUR-11-R00</t>
        </is>
      </c>
      <c r="N97" s="31">
        <f>HYPERLINK("01_STARTER/ST-048-EUR-11/03_Label.docx","Open")</f>
        <v/>
      </c>
      <c r="O97" s="25" t="inlineStr">
        <is>
          <t>IA-PPWR-STM-ST-048-EUR-11-R00</t>
        </is>
      </c>
      <c r="P97" s="31">
        <f>HYPERLINK("01_STARTER/ST-048-EUR-11/04_Shipment_Statement.docx","Open")</f>
        <v/>
      </c>
      <c r="Q97" s="25" t="inlineStr">
        <is>
          <t>GENERATED / LINKED</t>
        </is>
      </c>
      <c r="R97" s="25" t="inlineStr">
        <is>
          <t>Rev.00</t>
        </is>
      </c>
    </row>
    <row r="98">
      <c r="A98" s="25" t="inlineStr">
        <is>
          <t>ST-048-EUR-12</t>
        </is>
      </c>
      <c r="B98" s="25" t="inlineStr">
        <is>
          <t>IA-ST-048-EUR-12</t>
        </is>
      </c>
      <c r="C98" s="25" t="inlineStr">
        <is>
          <t>LB5, L5 | Palet (4000038): 1 adet | Köşebent (4000590): 2 adet</t>
        </is>
      </c>
      <c r="D98" s="25" t="inlineStr">
        <is>
          <t>LB5, L5 | Pallet (4000038): 1 pc | Edge protector (4000590): 2 pcs</t>
        </is>
      </c>
      <c r="E98" s="25" t="inlineStr">
        <is>
          <t>IA-ST-CFG-0118</t>
        </is>
      </c>
      <c r="F98" s="25" t="inlineStr">
        <is>
          <t>STARTER</t>
        </is>
      </c>
      <c r="G98" s="25" t="n">
        <v>27.8392</v>
      </c>
      <c r="H98" s="25" t="n">
        <v>5</v>
      </c>
      <c r="I98" s="25" t="inlineStr">
        <is>
          <t>IA-PPWR-TF-ST-048-EUR-12-R00</t>
        </is>
      </c>
      <c r="J98" s="31">
        <f>HYPERLINK("01_STARTER/ST-048-EUR-12/01_Technical_File.docx","Open")</f>
        <v/>
      </c>
      <c r="K98" s="25" t="inlineStr">
        <is>
          <t>IA-PPWR-DOC-ST-048-EUR-12-R00</t>
        </is>
      </c>
      <c r="L98" s="31">
        <f>HYPERLINK("01_STARTER/ST-048-EUR-12/02_EU_DoC.docx","Open")</f>
        <v/>
      </c>
      <c r="M98" s="25" t="inlineStr">
        <is>
          <t>IA-PPWR-LBL-ST-048-EUR-12-R00</t>
        </is>
      </c>
      <c r="N98" s="31">
        <f>HYPERLINK("01_STARTER/ST-048-EUR-12/03_Label.docx","Open")</f>
        <v/>
      </c>
      <c r="O98" s="25" t="inlineStr">
        <is>
          <t>IA-PPWR-STM-ST-048-EUR-12-R00</t>
        </is>
      </c>
      <c r="P98" s="31">
        <f>HYPERLINK("01_STARTER/ST-048-EUR-12/04_Shipment_Statement.docx","Open")</f>
        <v/>
      </c>
      <c r="Q98" s="25" t="inlineStr">
        <is>
          <t>GENERATED / LINKED</t>
        </is>
      </c>
      <c r="R98" s="25" t="inlineStr">
        <is>
          <t>Rev.00</t>
        </is>
      </c>
    </row>
    <row r="99">
      <c r="A99" s="25" t="inlineStr">
        <is>
          <t>ST-048-STD-01</t>
        </is>
      </c>
      <c r="B99" s="25" t="inlineStr">
        <is>
          <t>IA-ST-048-STD-01</t>
        </is>
      </c>
      <c r="C99" s="25" t="inlineStr">
        <is>
          <t>L1 | L1 YUASA penceresiz Orta Doğu dış koli (4001312): 48 adet</t>
        </is>
      </c>
      <c r="D99" s="25" t="inlineStr">
        <is>
          <t>L1 | L1 YUASA windowless Middle East outer carton (4001312): 48 pcs</t>
        </is>
      </c>
      <c r="E99" s="25" t="inlineStr">
        <is>
          <t>IA-ST-CFG-0104</t>
        </is>
      </c>
      <c r="F99" s="25" t="inlineStr">
        <is>
          <t>STARTER</t>
        </is>
      </c>
      <c r="G99" s="25" t="n">
        <v>40.316</v>
      </c>
      <c r="H99" s="25" t="n">
        <v>1</v>
      </c>
      <c r="I99" s="25" t="inlineStr">
        <is>
          <t>IA-PPWR-TF-ST-048-STD-01-R00</t>
        </is>
      </c>
      <c r="J99" s="31">
        <f>HYPERLINK("01_STARTER/ST-048-STD-01/01_Technical_File.docx","Open")</f>
        <v/>
      </c>
      <c r="K99" s="25" t="inlineStr">
        <is>
          <t>IA-PPWR-DOC-ST-048-STD-01-R00</t>
        </is>
      </c>
      <c r="L99" s="31">
        <f>HYPERLINK("01_STARTER/ST-048-STD-01/02_EU_DoC.docx","Open")</f>
        <v/>
      </c>
      <c r="M99" s="25" t="inlineStr">
        <is>
          <t>IA-PPWR-LBL-ST-048-STD-01-R00</t>
        </is>
      </c>
      <c r="N99" s="31">
        <f>HYPERLINK("01_STARTER/ST-048-STD-01/03_Label.docx","Open")</f>
        <v/>
      </c>
      <c r="O99" s="25" t="inlineStr">
        <is>
          <t>IA-PPWR-STM-ST-048-STD-01-R00</t>
        </is>
      </c>
      <c r="P99" s="31">
        <f>HYPERLINK("01_STARTER/ST-048-STD-01/04_Shipment_Statement.docx","Open")</f>
        <v/>
      </c>
      <c r="Q99" s="25" t="inlineStr">
        <is>
          <t>GENERATED / LINKED</t>
        </is>
      </c>
      <c r="R99" s="25" t="inlineStr">
        <is>
          <t>Rev.00</t>
        </is>
      </c>
    </row>
    <row r="100">
      <c r="A100" s="25" t="inlineStr">
        <is>
          <t>ST-048-STD-02</t>
        </is>
      </c>
      <c r="B100" s="25" t="inlineStr">
        <is>
          <t>IA-ST-048-STD-02</t>
        </is>
      </c>
      <c r="C100" s="25" t="inlineStr">
        <is>
          <t>L2 | Palet (4000037): 1 adet | Shrink film (4000558): 1.824 kg</t>
        </is>
      </c>
      <c r="D100" s="25" t="inlineStr">
        <is>
          <t>L2 | Pallet (4000037): 1 pc | Shrink film (4000558): 1.824 kg</t>
        </is>
      </c>
      <c r="E100" s="25" t="inlineStr">
        <is>
          <t>IA-ST-CFG-0106</t>
        </is>
      </c>
      <c r="F100" s="25" t="inlineStr">
        <is>
          <t>STARTER</t>
        </is>
      </c>
      <c r="G100" s="25" t="n">
        <v>29.76</v>
      </c>
      <c r="H100" s="25" t="n">
        <v>1</v>
      </c>
      <c r="I100" s="25" t="inlineStr">
        <is>
          <t>IA-PPWR-TF-ST-048-STD-02-R00</t>
        </is>
      </c>
      <c r="J100" s="31">
        <f>HYPERLINK("01_STARTER/ST-048-STD-02/01_Technical_File.docx","Open")</f>
        <v/>
      </c>
      <c r="K100" s="25" t="inlineStr">
        <is>
          <t>IA-PPWR-DOC-ST-048-STD-02-R00</t>
        </is>
      </c>
      <c r="L100" s="31">
        <f>HYPERLINK("01_STARTER/ST-048-STD-02/02_EU_DoC.docx","Open")</f>
        <v/>
      </c>
      <c r="M100" s="25" t="inlineStr">
        <is>
          <t>IA-PPWR-LBL-ST-048-STD-02-R00</t>
        </is>
      </c>
      <c r="N100" s="31">
        <f>HYPERLINK("01_STARTER/ST-048-STD-02/03_Label.docx","Open")</f>
        <v/>
      </c>
      <c r="O100" s="25" t="inlineStr">
        <is>
          <t>IA-PPWR-STM-ST-048-STD-02-R00</t>
        </is>
      </c>
      <c r="P100" s="31">
        <f>HYPERLINK("01_STARTER/ST-048-STD-02/04_Shipment_Statement.docx","Open")</f>
        <v/>
      </c>
      <c r="Q100" s="25" t="inlineStr">
        <is>
          <t>GENERATED / LINKED</t>
        </is>
      </c>
      <c r="R100" s="25" t="inlineStr">
        <is>
          <t>Rev.00</t>
        </is>
      </c>
    </row>
    <row r="101">
      <c r="A101" s="25" t="inlineStr">
        <is>
          <t>ST-051-EUR-01</t>
        </is>
      </c>
      <c r="B101" s="25" t="inlineStr">
        <is>
          <t>IA-ST-051-EUR-01</t>
        </is>
      </c>
      <c r="C101" s="25" t="inlineStr">
        <is>
          <t>LB3, L3 | Palet (4000038): 1 adet | Köşebent (4000590): 4 adet</t>
        </is>
      </c>
      <c r="D101" s="25" t="inlineStr">
        <is>
          <t>LB3, L3 | Pallet (4000038): 1 pc | Edge protector (4000590): 4 pcs</t>
        </is>
      </c>
      <c r="E101" s="25" t="inlineStr">
        <is>
          <t>IA-ST-CFG-0132</t>
        </is>
      </c>
      <c r="F101" s="25" t="inlineStr">
        <is>
          <t>STARTER</t>
        </is>
      </c>
      <c r="G101" s="25" t="n">
        <v>27.926</v>
      </c>
      <c r="H101" s="25" t="n">
        <v>46</v>
      </c>
      <c r="I101" s="25" t="inlineStr">
        <is>
          <t>IA-PPWR-TF-ST-051-EUR-01-R00</t>
        </is>
      </c>
      <c r="J101" s="31">
        <f>HYPERLINK("01_STARTER/ST-051-EUR-01/01_Technical_File.docx","Open")</f>
        <v/>
      </c>
      <c r="K101" s="25" t="inlineStr">
        <is>
          <t>IA-PPWR-DOC-ST-051-EUR-01-R00</t>
        </is>
      </c>
      <c r="L101" s="31">
        <f>HYPERLINK("01_STARTER/ST-051-EUR-01/02_EU_DoC.docx","Open")</f>
        <v/>
      </c>
      <c r="M101" s="25" t="inlineStr">
        <is>
          <t>IA-PPWR-LBL-ST-051-EUR-01-R00</t>
        </is>
      </c>
      <c r="N101" s="31">
        <f>HYPERLINK("01_STARTER/ST-051-EUR-01/03_Label.docx","Open")</f>
        <v/>
      </c>
      <c r="O101" s="25" t="inlineStr">
        <is>
          <t>IA-PPWR-STM-ST-051-EUR-01-R00</t>
        </is>
      </c>
      <c r="P101" s="31">
        <f>HYPERLINK("01_STARTER/ST-051-EUR-01/04_Shipment_Statement.docx","Open")</f>
        <v/>
      </c>
      <c r="Q101" s="25" t="inlineStr">
        <is>
          <t>GENERATED / LINKED</t>
        </is>
      </c>
      <c r="R101" s="25" t="inlineStr">
        <is>
          <t>Rev.00</t>
        </is>
      </c>
    </row>
    <row r="102">
      <c r="A102" s="25" t="inlineStr">
        <is>
          <t>ST-051-EUR-02</t>
        </is>
      </c>
      <c r="B102" s="25" t="inlineStr">
        <is>
          <t>IA-ST-051-EUR-02</t>
        </is>
      </c>
      <c r="C102" s="25" t="inlineStr">
        <is>
          <t>LB3 | Palet (4000038): 1 adet | Shrink film (4000558): 1.579 kg</t>
        </is>
      </c>
      <c r="D102" s="25" t="inlineStr">
        <is>
          <t>LB3 | Pallet (4000038): 1 pc | Shrink film (4000558): 1.579 kg</t>
        </is>
      </c>
      <c r="E102" s="25" t="inlineStr">
        <is>
          <t>IA-ST-CFG-0133</t>
        </is>
      </c>
      <c r="F102" s="25" t="inlineStr">
        <is>
          <t>STARTER</t>
        </is>
      </c>
      <c r="G102" s="25" t="n">
        <v>29.2182</v>
      </c>
      <c r="H102" s="25" t="n">
        <v>1</v>
      </c>
      <c r="I102" s="25" t="inlineStr">
        <is>
          <t>IA-PPWR-TF-ST-051-EUR-02-R00</t>
        </is>
      </c>
      <c r="J102" s="31">
        <f>HYPERLINK("01_STARTER/ST-051-EUR-02/01_Technical_File.docx","Open")</f>
        <v/>
      </c>
      <c r="K102" s="25" t="inlineStr">
        <is>
          <t>IA-PPWR-DOC-ST-051-EUR-02-R00</t>
        </is>
      </c>
      <c r="L102" s="31">
        <f>HYPERLINK("01_STARTER/ST-051-EUR-02/02_EU_DoC.docx","Open")</f>
        <v/>
      </c>
      <c r="M102" s="25" t="inlineStr">
        <is>
          <t>IA-PPWR-LBL-ST-051-EUR-02-R00</t>
        </is>
      </c>
      <c r="N102" s="31">
        <f>HYPERLINK("01_STARTER/ST-051-EUR-02/03_Label.docx","Open")</f>
        <v/>
      </c>
      <c r="O102" s="25" t="inlineStr">
        <is>
          <t>IA-PPWR-STM-ST-051-EUR-02-R00</t>
        </is>
      </c>
      <c r="P102" s="31">
        <f>HYPERLINK("01_STARTER/ST-051-EUR-02/04_Shipment_Statement.docx","Open")</f>
        <v/>
      </c>
      <c r="Q102" s="25" t="inlineStr">
        <is>
          <t>GENERATED / LINKED</t>
        </is>
      </c>
      <c r="R102" s="25" t="inlineStr">
        <is>
          <t>Rev.00</t>
        </is>
      </c>
    </row>
    <row r="103">
      <c r="A103" s="25" t="inlineStr">
        <is>
          <t>ST-051-EUR-03</t>
        </is>
      </c>
      <c r="B103" s="25" t="inlineStr">
        <is>
          <t>IA-ST-051-EUR-03</t>
        </is>
      </c>
      <c r="C103" s="25" t="inlineStr">
        <is>
          <t>L3 | Palet (4000038): 1 adet | Shrink film (4000558): 1.684 kg</t>
        </is>
      </c>
      <c r="D103" s="25" t="inlineStr">
        <is>
          <t>L3 | Pallet (4000038): 1 pc | Shrink film (4000558): 1.684 kg</t>
        </is>
      </c>
      <c r="E103" s="25" t="inlineStr">
        <is>
          <t>IA-ST-CFG-0134</t>
        </is>
      </c>
      <c r="F103" s="25" t="inlineStr">
        <is>
          <t>STARTER</t>
        </is>
      </c>
      <c r="G103" s="25" t="n">
        <v>29.3232</v>
      </c>
      <c r="H103" s="25" t="n">
        <v>6</v>
      </c>
      <c r="I103" s="25" t="inlineStr">
        <is>
          <t>IA-PPWR-TF-ST-051-EUR-03-R00</t>
        </is>
      </c>
      <c r="J103" s="31">
        <f>HYPERLINK("01_STARTER/ST-051-EUR-03/01_Technical_File.docx","Open")</f>
        <v/>
      </c>
      <c r="K103" s="25" t="inlineStr">
        <is>
          <t>IA-PPWR-DOC-ST-051-EUR-03-R00</t>
        </is>
      </c>
      <c r="L103" s="31">
        <f>HYPERLINK("01_STARTER/ST-051-EUR-03/02_EU_DoC.docx","Open")</f>
        <v/>
      </c>
      <c r="M103" s="25" t="inlineStr">
        <is>
          <t>IA-PPWR-LBL-ST-051-EUR-03-R00</t>
        </is>
      </c>
      <c r="N103" s="31">
        <f>HYPERLINK("01_STARTER/ST-051-EUR-03/03_Label.docx","Open")</f>
        <v/>
      </c>
      <c r="O103" s="25" t="inlineStr">
        <is>
          <t>IA-PPWR-STM-ST-051-EUR-03-R00</t>
        </is>
      </c>
      <c r="P103" s="31">
        <f>HYPERLINK("01_STARTER/ST-051-EUR-03/04_Shipment_Statement.docx","Open")</f>
        <v/>
      </c>
      <c r="Q103" s="25" t="inlineStr">
        <is>
          <t>GENERATED / LINKED</t>
        </is>
      </c>
      <c r="R103" s="25" t="inlineStr">
        <is>
          <t>Rev.00</t>
        </is>
      </c>
    </row>
    <row r="104">
      <c r="A104" s="25" t="inlineStr">
        <is>
          <t>ST-051-EUR-04</t>
        </is>
      </c>
      <c r="B104" s="25" t="inlineStr">
        <is>
          <t>IA-ST-051-EUR-04</t>
        </is>
      </c>
      <c r="C104" s="25" t="inlineStr">
        <is>
          <t>L3, LB3 | Palet (4000038): 1 adet | Köşebent (4000590): 2 adet</t>
        </is>
      </c>
      <c r="D104" s="25" t="inlineStr">
        <is>
          <t>L3, LB3 | Pallet (4000038): 1 pc | Edge protector (4000590): 2 pcs</t>
        </is>
      </c>
      <c r="E104" s="25" t="inlineStr">
        <is>
          <t>IA-ST-CFG-0135</t>
        </is>
      </c>
      <c r="F104" s="25" t="inlineStr">
        <is>
          <t>STARTER</t>
        </is>
      </c>
      <c r="G104" s="25" t="n">
        <v>27.6392</v>
      </c>
      <c r="H104" s="25" t="n">
        <v>11</v>
      </c>
      <c r="I104" s="25" t="inlineStr">
        <is>
          <t>IA-PPWR-TF-ST-051-EUR-04-R00</t>
        </is>
      </c>
      <c r="J104" s="31">
        <f>HYPERLINK("01_STARTER/ST-051-EUR-04/01_Technical_File.docx","Open")</f>
        <v/>
      </c>
      <c r="K104" s="25" t="inlineStr">
        <is>
          <t>IA-PPWR-DOC-ST-051-EUR-04-R00</t>
        </is>
      </c>
      <c r="L104" s="31">
        <f>HYPERLINK("01_STARTER/ST-051-EUR-04/02_EU_DoC.docx","Open")</f>
        <v/>
      </c>
      <c r="M104" s="25" t="inlineStr">
        <is>
          <t>IA-PPWR-LBL-ST-051-EUR-04-R00</t>
        </is>
      </c>
      <c r="N104" s="31">
        <f>HYPERLINK("01_STARTER/ST-051-EUR-04/03_Label.docx","Open")</f>
        <v/>
      </c>
      <c r="O104" s="25" t="inlineStr">
        <is>
          <t>IA-PPWR-STM-ST-051-EUR-04-R00</t>
        </is>
      </c>
      <c r="P104" s="31">
        <f>HYPERLINK("01_STARTER/ST-051-EUR-04/04_Shipment_Statement.docx","Open")</f>
        <v/>
      </c>
      <c r="Q104" s="25" t="inlineStr">
        <is>
          <t>GENERATED / LINKED</t>
        </is>
      </c>
      <c r="R104" s="25" t="inlineStr">
        <is>
          <t>Rev.00</t>
        </is>
      </c>
    </row>
    <row r="105">
      <c r="A105" s="25" t="inlineStr">
        <is>
          <t>ST-051-STD-01</t>
        </is>
      </c>
      <c r="B105" s="25" t="inlineStr">
        <is>
          <t>IA-ST-051-STD-01</t>
        </is>
      </c>
      <c r="C105" s="25" t="inlineStr">
        <is>
          <t>D31 | Köşebent (4000033): 6 adet | D31 EAS Activa penceresiz dış koli (4000782): 51 adet</t>
        </is>
      </c>
      <c r="D105" s="25" t="inlineStr">
        <is>
          <t>D31 | Edge protector (4000033): 6 pcs | D31 EAS Activa windowless outer carton (4000782): 51 pcs</t>
        </is>
      </c>
      <c r="E105" s="25" t="inlineStr">
        <is>
          <t>IA-ST-CFG-0122</t>
        </is>
      </c>
      <c r="F105" s="25" t="inlineStr">
        <is>
          <t>STARTER</t>
        </is>
      </c>
      <c r="G105" s="25" t="n">
        <v>47.0384</v>
      </c>
      <c r="H105" s="25" t="n">
        <v>3</v>
      </c>
      <c r="I105" s="25" t="inlineStr">
        <is>
          <t>IA-PPWR-TF-ST-051-STD-01-R00</t>
        </is>
      </c>
      <c r="J105" s="31">
        <f>HYPERLINK("01_STARTER/ST-051-STD-01/01_Technical_File.docx","Open")</f>
        <v/>
      </c>
      <c r="K105" s="25" t="inlineStr">
        <is>
          <t>IA-PPWR-DOC-ST-051-STD-01-R00</t>
        </is>
      </c>
      <c r="L105" s="31">
        <f>HYPERLINK("01_STARTER/ST-051-STD-01/02_EU_DoC.docx","Open")</f>
        <v/>
      </c>
      <c r="M105" s="25" t="inlineStr">
        <is>
          <t>IA-PPWR-LBL-ST-051-STD-01-R00</t>
        </is>
      </c>
      <c r="N105" s="31">
        <f>HYPERLINK("01_STARTER/ST-051-STD-01/03_Label.docx","Open")</f>
        <v/>
      </c>
      <c r="O105" s="25" t="inlineStr">
        <is>
          <t>IA-PPWR-STM-ST-051-STD-01-R00</t>
        </is>
      </c>
      <c r="P105" s="31">
        <f>HYPERLINK("01_STARTER/ST-051-STD-01/04_Shipment_Statement.docx","Open")</f>
        <v/>
      </c>
      <c r="Q105" s="25" t="inlineStr">
        <is>
          <t>GENERATED / LINKED</t>
        </is>
      </c>
      <c r="R105" s="25" t="inlineStr">
        <is>
          <t>Rev.00</t>
        </is>
      </c>
    </row>
    <row r="106">
      <c r="A106" s="25" t="inlineStr">
        <is>
          <t>ST-051-STD-02</t>
        </is>
      </c>
      <c r="B106" s="25" t="inlineStr">
        <is>
          <t>IA-ST-051-STD-02</t>
        </is>
      </c>
      <c r="C106" s="25" t="inlineStr">
        <is>
          <t>D31 | D31 YUASA penceresiz Orta Doğu dış koli (4001108): 51 adet</t>
        </is>
      </c>
      <c r="D106" s="25" t="inlineStr">
        <is>
          <t>D31 | D31 YUASA windowless Middle East outer carton (4001108): 51 pcs</t>
        </is>
      </c>
      <c r="E106" s="25" t="inlineStr">
        <is>
          <t>IA-ST-CFG-0123</t>
        </is>
      </c>
      <c r="F106" s="25" t="inlineStr">
        <is>
          <t>STARTER</t>
        </is>
      </c>
      <c r="G106" s="25" t="n">
        <v>47.0384</v>
      </c>
      <c r="H106" s="25" t="n">
        <v>1</v>
      </c>
      <c r="I106" s="25" t="inlineStr">
        <is>
          <t>IA-PPWR-TF-ST-051-STD-02-R00</t>
        </is>
      </c>
      <c r="J106" s="31">
        <f>HYPERLINK("01_STARTER/ST-051-STD-02/01_Technical_File.docx","Open")</f>
        <v/>
      </c>
      <c r="K106" s="25" t="inlineStr">
        <is>
          <t>IA-PPWR-DOC-ST-051-STD-02-R00</t>
        </is>
      </c>
      <c r="L106" s="31">
        <f>HYPERLINK("01_STARTER/ST-051-STD-02/02_EU_DoC.docx","Open")</f>
        <v/>
      </c>
      <c r="M106" s="25" t="inlineStr">
        <is>
          <t>IA-PPWR-LBL-ST-051-STD-02-R00</t>
        </is>
      </c>
      <c r="N106" s="31">
        <f>HYPERLINK("01_STARTER/ST-051-STD-02/03_Label.docx","Open")</f>
        <v/>
      </c>
      <c r="O106" s="25" t="inlineStr">
        <is>
          <t>IA-PPWR-STM-ST-051-STD-02-R00</t>
        </is>
      </c>
      <c r="P106" s="31">
        <f>HYPERLINK("01_STARTER/ST-051-STD-02/04_Shipment_Statement.docx","Open")</f>
        <v/>
      </c>
      <c r="Q106" s="25" t="inlineStr">
        <is>
          <t>GENERATED / LINKED</t>
        </is>
      </c>
      <c r="R106" s="25" t="inlineStr">
        <is>
          <t>Rev.00</t>
        </is>
      </c>
    </row>
    <row r="107">
      <c r="A107" s="25" t="inlineStr">
        <is>
          <t>ST-051-STD-03</t>
        </is>
      </c>
      <c r="B107" s="25" t="inlineStr">
        <is>
          <t>IA-ST-051-STD-03</t>
        </is>
      </c>
      <c r="C107" s="25" t="inlineStr">
        <is>
          <t>L4 | L4 YUASA penceresiz Orta Doğu dış koli (4001313): 51 adet</t>
        </is>
      </c>
      <c r="D107" s="25" t="inlineStr">
        <is>
          <t>L4 | L4 YUASA windowless Middle East outer carton (4001313): 51 pcs</t>
        </is>
      </c>
      <c r="E107" s="25" t="inlineStr">
        <is>
          <t>IA-ST-CFG-0124</t>
        </is>
      </c>
      <c r="F107" s="25" t="inlineStr">
        <is>
          <t>STARTER</t>
        </is>
      </c>
      <c r="G107" s="25" t="n">
        <v>41.816</v>
      </c>
      <c r="H107" s="25" t="n">
        <v>1</v>
      </c>
      <c r="I107" s="25" t="inlineStr">
        <is>
          <t>IA-PPWR-TF-ST-051-STD-03-R00</t>
        </is>
      </c>
      <c r="J107" s="31">
        <f>HYPERLINK("01_STARTER/ST-051-STD-03/01_Technical_File.docx","Open")</f>
        <v/>
      </c>
      <c r="K107" s="25" t="inlineStr">
        <is>
          <t>IA-PPWR-DOC-ST-051-STD-03-R00</t>
        </is>
      </c>
      <c r="L107" s="31">
        <f>HYPERLINK("01_STARTER/ST-051-STD-03/02_EU_DoC.docx","Open")</f>
        <v/>
      </c>
      <c r="M107" s="25" t="inlineStr">
        <is>
          <t>IA-PPWR-LBL-ST-051-STD-03-R00</t>
        </is>
      </c>
      <c r="N107" s="31">
        <f>HYPERLINK("01_STARTER/ST-051-STD-03/03_Label.docx","Open")</f>
        <v/>
      </c>
      <c r="O107" s="25" t="inlineStr">
        <is>
          <t>IA-PPWR-STM-ST-051-STD-03-R00</t>
        </is>
      </c>
      <c r="P107" s="31">
        <f>HYPERLINK("01_STARTER/ST-051-STD-03/04_Shipment_Statement.docx","Open")</f>
        <v/>
      </c>
      <c r="Q107" s="25" t="inlineStr">
        <is>
          <t>GENERATED / LINKED</t>
        </is>
      </c>
      <c r="R107" s="25" t="inlineStr">
        <is>
          <t>Rev.00</t>
        </is>
      </c>
    </row>
    <row r="108">
      <c r="A108" s="25" t="inlineStr">
        <is>
          <t>ST-051-STD-04</t>
        </is>
      </c>
      <c r="B108" s="25" t="inlineStr">
        <is>
          <t>IA-ST-051-STD-04</t>
        </is>
      </c>
      <c r="C108" s="25" t="inlineStr">
        <is>
          <t>D31 | Köşebent (4000033): 8 adet | D31 EAS Activa penceresiz dış koli (4000782): 51 adet</t>
        </is>
      </c>
      <c r="D108" s="25" t="inlineStr">
        <is>
          <t>D31 | Edge protector (4000033): 8 pcs | D31 EAS Activa windowless outer carton (4000782): 51 pcs</t>
        </is>
      </c>
      <c r="E108" s="25" t="inlineStr">
        <is>
          <t>IA-ST-CFG-0125</t>
        </is>
      </c>
      <c r="F108" s="25" t="inlineStr">
        <is>
          <t>STARTER</t>
        </is>
      </c>
      <c r="G108" s="25" t="n">
        <v>47.4584</v>
      </c>
      <c r="H108" s="25" t="n">
        <v>1</v>
      </c>
      <c r="I108" s="25" t="inlineStr">
        <is>
          <t>IA-PPWR-TF-ST-051-STD-04-R00</t>
        </is>
      </c>
      <c r="J108" s="31">
        <f>HYPERLINK("01_STARTER/ST-051-STD-04/01_Technical_File.docx","Open")</f>
        <v/>
      </c>
      <c r="K108" s="25" t="inlineStr">
        <is>
          <t>IA-PPWR-DOC-ST-051-STD-04-R00</t>
        </is>
      </c>
      <c r="L108" s="31">
        <f>HYPERLINK("01_STARTER/ST-051-STD-04/02_EU_DoC.docx","Open")</f>
        <v/>
      </c>
      <c r="M108" s="25" t="inlineStr">
        <is>
          <t>IA-PPWR-LBL-ST-051-STD-04-R00</t>
        </is>
      </c>
      <c r="N108" s="31">
        <f>HYPERLINK("01_STARTER/ST-051-STD-04/03_Label.docx","Open")</f>
        <v/>
      </c>
      <c r="O108" s="25" t="inlineStr">
        <is>
          <t>IA-PPWR-STM-ST-051-STD-04-R00</t>
        </is>
      </c>
      <c r="P108" s="31">
        <f>HYPERLINK("01_STARTER/ST-051-STD-04/04_Shipment_Statement.docx","Open")</f>
        <v/>
      </c>
      <c r="Q108" s="25" t="inlineStr">
        <is>
          <t>GENERATED / LINKED</t>
        </is>
      </c>
      <c r="R108" s="25" t="inlineStr">
        <is>
          <t>Rev.00</t>
        </is>
      </c>
    </row>
    <row r="109">
      <c r="A109" s="25" t="inlineStr">
        <is>
          <t>ST-051-STD-05</t>
        </is>
      </c>
      <c r="B109" s="25" t="inlineStr">
        <is>
          <t>IA-ST-051-STD-05</t>
        </is>
      </c>
      <c r="C109" s="25" t="inlineStr">
        <is>
          <t>D31 | D31 BLIZZARO SILVERLINE penceresiz dış koli (4001433): 51 adet</t>
        </is>
      </c>
      <c r="D109" s="25" t="inlineStr">
        <is>
          <t>D31 | D31 BLIZZARO SILVERLINE windowless outer carton (4001433): 51 pcs</t>
        </is>
      </c>
      <c r="E109" s="25" t="inlineStr">
        <is>
          <t>IA-ST-CFG-0126</t>
        </is>
      </c>
      <c r="F109" s="25" t="inlineStr">
        <is>
          <t>STARTER</t>
        </is>
      </c>
      <c r="G109" s="25" t="n">
        <v>47.4584</v>
      </c>
      <c r="H109" s="25" t="n">
        <v>5</v>
      </c>
      <c r="I109" s="25" t="inlineStr">
        <is>
          <t>IA-PPWR-TF-ST-051-STD-05-R00</t>
        </is>
      </c>
      <c r="J109" s="31">
        <f>HYPERLINK("01_STARTER/ST-051-STD-05/01_Technical_File.docx","Open")</f>
        <v/>
      </c>
      <c r="K109" s="25" t="inlineStr">
        <is>
          <t>IA-PPWR-DOC-ST-051-STD-05-R00</t>
        </is>
      </c>
      <c r="L109" s="31">
        <f>HYPERLINK("01_STARTER/ST-051-STD-05/02_EU_DoC.docx","Open")</f>
        <v/>
      </c>
      <c r="M109" s="25" t="inlineStr">
        <is>
          <t>IA-PPWR-LBL-ST-051-STD-05-R00</t>
        </is>
      </c>
      <c r="N109" s="31">
        <f>HYPERLINK("01_STARTER/ST-051-STD-05/03_Label.docx","Open")</f>
        <v/>
      </c>
      <c r="O109" s="25" t="inlineStr">
        <is>
          <t>IA-PPWR-STM-ST-051-STD-05-R00</t>
        </is>
      </c>
      <c r="P109" s="31">
        <f>HYPERLINK("01_STARTER/ST-051-STD-05/04_Shipment_Statement.docx","Open")</f>
        <v/>
      </c>
      <c r="Q109" s="25" t="inlineStr">
        <is>
          <t>GENERATED / LINKED</t>
        </is>
      </c>
      <c r="R109" s="25" t="inlineStr">
        <is>
          <t>Rev.00</t>
        </is>
      </c>
    </row>
    <row r="110">
      <c r="A110" s="25" t="inlineStr">
        <is>
          <t>ST-051-STD-06</t>
        </is>
      </c>
      <c r="B110" s="25" t="inlineStr">
        <is>
          <t>IA-ST-051-STD-06</t>
        </is>
      </c>
      <c r="C110" s="25" t="inlineStr">
        <is>
          <t>L4 | L4 EAS AGM S&amp;S 80AH 800A pencereli dış koli (4001397): 51 adet</t>
        </is>
      </c>
      <c r="D110" s="25" t="inlineStr">
        <is>
          <t>L4 | L4 EAS AGM S&amp;S 80AH 800A windowed outer carton (4001397): 51 pcs</t>
        </is>
      </c>
      <c r="E110" s="25" t="inlineStr">
        <is>
          <t>IA-ST-CFG-0127</t>
        </is>
      </c>
      <c r="F110" s="25" t="inlineStr">
        <is>
          <t>STARTER</t>
        </is>
      </c>
      <c r="G110" s="25" t="n">
        <v>43.256</v>
      </c>
      <c r="H110" s="25" t="n">
        <v>1</v>
      </c>
      <c r="I110" s="25" t="inlineStr">
        <is>
          <t>IA-PPWR-TF-ST-051-STD-06-R00</t>
        </is>
      </c>
      <c r="J110" s="31">
        <f>HYPERLINK("01_STARTER/ST-051-STD-06/01_Technical_File.docx","Open")</f>
        <v/>
      </c>
      <c r="K110" s="25" t="inlineStr">
        <is>
          <t>IA-PPWR-DOC-ST-051-STD-06-R00</t>
        </is>
      </c>
      <c r="L110" s="31">
        <f>HYPERLINK("01_STARTER/ST-051-STD-06/02_EU_DoC.docx","Open")</f>
        <v/>
      </c>
      <c r="M110" s="25" t="inlineStr">
        <is>
          <t>IA-PPWR-LBL-ST-051-STD-06-R00</t>
        </is>
      </c>
      <c r="N110" s="31">
        <f>HYPERLINK("01_STARTER/ST-051-STD-06/03_Label.docx","Open")</f>
        <v/>
      </c>
      <c r="O110" s="25" t="inlineStr">
        <is>
          <t>IA-PPWR-STM-ST-051-STD-06-R00</t>
        </is>
      </c>
      <c r="P110" s="31">
        <f>HYPERLINK("01_STARTER/ST-051-STD-06/04_Shipment_Statement.docx","Open")</f>
        <v/>
      </c>
      <c r="Q110" s="25" t="inlineStr">
        <is>
          <t>GENERATED / LINKED</t>
        </is>
      </c>
      <c r="R110" s="25" t="inlineStr">
        <is>
          <t>Rev.00</t>
        </is>
      </c>
    </row>
    <row r="111">
      <c r="A111" s="25" t="inlineStr">
        <is>
          <t>ST-051-STD-07</t>
        </is>
      </c>
      <c r="B111" s="25" t="inlineStr">
        <is>
          <t>IA-ST-051-STD-07</t>
        </is>
      </c>
      <c r="C111" s="25" t="inlineStr">
        <is>
          <t>D31 | D31 İnci FORMULA-MAXIMA penceresiz dış koli (4001211): 51 adet | Separatör (4000130): 5 adet</t>
        </is>
      </c>
      <c r="D111" s="25" t="inlineStr">
        <is>
          <t>D31 | D31 İnci FORMULA-MAXIMA windowless outer carton (4001211): 51 pcs | Separator (4000130): 5 pcs</t>
        </is>
      </c>
      <c r="E111" s="25" t="inlineStr">
        <is>
          <t>IA-ST-CFG-0128</t>
        </is>
      </c>
      <c r="F111" s="25" t="inlineStr">
        <is>
          <t>STARTER</t>
        </is>
      </c>
      <c r="G111" s="25" t="n">
        <v>47.7284</v>
      </c>
      <c r="H111" s="25" t="n">
        <v>4</v>
      </c>
      <c r="I111" s="25" t="inlineStr">
        <is>
          <t>IA-PPWR-TF-ST-051-STD-07-R00</t>
        </is>
      </c>
      <c r="J111" s="31">
        <f>HYPERLINK("01_STARTER/ST-051-STD-07/01_Technical_File.docx","Open")</f>
        <v/>
      </c>
      <c r="K111" s="25" t="inlineStr">
        <is>
          <t>IA-PPWR-DOC-ST-051-STD-07-R00</t>
        </is>
      </c>
      <c r="L111" s="31">
        <f>HYPERLINK("01_STARTER/ST-051-STD-07/02_EU_DoC.docx","Open")</f>
        <v/>
      </c>
      <c r="M111" s="25" t="inlineStr">
        <is>
          <t>IA-PPWR-LBL-ST-051-STD-07-R00</t>
        </is>
      </c>
      <c r="N111" s="31">
        <f>HYPERLINK("01_STARTER/ST-051-STD-07/03_Label.docx","Open")</f>
        <v/>
      </c>
      <c r="O111" s="25" t="inlineStr">
        <is>
          <t>IA-PPWR-STM-ST-051-STD-07-R00</t>
        </is>
      </c>
      <c r="P111" s="31">
        <f>HYPERLINK("01_STARTER/ST-051-STD-07/04_Shipment_Statement.docx","Open")</f>
        <v/>
      </c>
      <c r="Q111" s="25" t="inlineStr">
        <is>
          <t>GENERATED / LINKED</t>
        </is>
      </c>
      <c r="R111" s="25" t="inlineStr">
        <is>
          <t>Rev.00</t>
        </is>
      </c>
    </row>
    <row r="112">
      <c r="A112" s="25" t="inlineStr">
        <is>
          <t>ST-051-STD-08</t>
        </is>
      </c>
      <c r="B112" s="25" t="inlineStr">
        <is>
          <t>IA-ST-051-STD-08</t>
        </is>
      </c>
      <c r="C112" s="25" t="inlineStr">
        <is>
          <t>D31 | D31 İnci FORMULA-MAXIMA penceresiz dış koli (4001211): 51 adet | Köşebent (4000590): 8 adet</t>
        </is>
      </c>
      <c r="D112" s="25" t="inlineStr">
        <is>
          <t>D31 | D31 İnci FORMULA-MAXIMA windowless outer carton (4001211): 51 pcs | Edge protector (4000590): 8 pcs</t>
        </is>
      </c>
      <c r="E112" s="25" t="inlineStr">
        <is>
          <t>IA-ST-CFG-0129</t>
        </is>
      </c>
      <c r="F112" s="25" t="inlineStr">
        <is>
          <t>STARTER</t>
        </is>
      </c>
      <c r="G112" s="25" t="n">
        <v>46.5784</v>
      </c>
      <c r="H112" s="25" t="n">
        <v>1</v>
      </c>
      <c r="I112" s="25" t="inlineStr">
        <is>
          <t>IA-PPWR-TF-ST-051-STD-08-R00</t>
        </is>
      </c>
      <c r="J112" s="31">
        <f>HYPERLINK("01_STARTER/ST-051-STD-08/01_Technical_File.docx","Open")</f>
        <v/>
      </c>
      <c r="K112" s="25" t="inlineStr">
        <is>
          <t>IA-PPWR-DOC-ST-051-STD-08-R00</t>
        </is>
      </c>
      <c r="L112" s="31">
        <f>HYPERLINK("01_STARTER/ST-051-STD-08/02_EU_DoC.docx","Open")</f>
        <v/>
      </c>
      <c r="M112" s="25" t="inlineStr">
        <is>
          <t>IA-PPWR-LBL-ST-051-STD-08-R00</t>
        </is>
      </c>
      <c r="N112" s="31">
        <f>HYPERLINK("01_STARTER/ST-051-STD-08/03_Label.docx","Open")</f>
        <v/>
      </c>
      <c r="O112" s="25" t="inlineStr">
        <is>
          <t>IA-PPWR-STM-ST-051-STD-08-R00</t>
        </is>
      </c>
      <c r="P112" s="31">
        <f>HYPERLINK("01_STARTER/ST-051-STD-08/04_Shipment_Statement.docx","Open")</f>
        <v/>
      </c>
      <c r="Q112" s="25" t="inlineStr">
        <is>
          <t>GENERATED / LINKED</t>
        </is>
      </c>
      <c r="R112" s="25" t="inlineStr">
        <is>
          <t>Rev.00</t>
        </is>
      </c>
    </row>
    <row r="113">
      <c r="A113" s="25" t="inlineStr">
        <is>
          <t>ST-054-EUR-01</t>
        </is>
      </c>
      <c r="B113" s="25" t="inlineStr">
        <is>
          <t>IA-ST-054-EUR-01</t>
        </is>
      </c>
      <c r="C113" s="25" t="inlineStr">
        <is>
          <t>L2 | Palet (4000038): 1 adet | Köşebent (4000590): 4 adet</t>
        </is>
      </c>
      <c r="D113" s="25" t="inlineStr">
        <is>
          <t>L2 | Pallet (4000038): 1 pc | Edge protector (4000590): 4 pcs</t>
        </is>
      </c>
      <c r="E113" s="25" t="inlineStr">
        <is>
          <t>IA-ST-CFG-0149</t>
        </is>
      </c>
      <c r="F113" s="25" t="inlineStr">
        <is>
          <t>STARTER</t>
        </is>
      </c>
      <c r="G113" s="25" t="n">
        <v>27.926</v>
      </c>
      <c r="H113" s="25" t="n">
        <v>2</v>
      </c>
      <c r="I113" s="25" t="inlineStr">
        <is>
          <t>IA-PPWR-TF-ST-054-EUR-01-R00</t>
        </is>
      </c>
      <c r="J113" s="31">
        <f>HYPERLINK("01_STARTER/ST-054-EUR-01/01_Technical_File.docx","Open")</f>
        <v/>
      </c>
      <c r="K113" s="25" t="inlineStr">
        <is>
          <t>IA-PPWR-DOC-ST-054-EUR-01-R00</t>
        </is>
      </c>
      <c r="L113" s="31">
        <f>HYPERLINK("01_STARTER/ST-054-EUR-01/02_EU_DoC.docx","Open")</f>
        <v/>
      </c>
      <c r="M113" s="25" t="inlineStr">
        <is>
          <t>IA-PPWR-LBL-ST-054-EUR-01-R00</t>
        </is>
      </c>
      <c r="N113" s="31">
        <f>HYPERLINK("01_STARTER/ST-054-EUR-01/03_Label.docx","Open")</f>
        <v/>
      </c>
      <c r="O113" s="25" t="inlineStr">
        <is>
          <t>IA-PPWR-STM-ST-054-EUR-01-R00</t>
        </is>
      </c>
      <c r="P113" s="31">
        <f>HYPERLINK("01_STARTER/ST-054-EUR-01/04_Shipment_Statement.docx","Open")</f>
        <v/>
      </c>
      <c r="Q113" s="25" t="inlineStr">
        <is>
          <t>GENERATED / LINKED</t>
        </is>
      </c>
      <c r="R113" s="25" t="inlineStr">
        <is>
          <t>Rev.00</t>
        </is>
      </c>
    </row>
    <row r="114">
      <c r="A114" s="25" t="inlineStr">
        <is>
          <t>ST-054-STD-01</t>
        </is>
      </c>
      <c r="B114" s="25" t="inlineStr">
        <is>
          <t>IA-ST-054-STD-01</t>
        </is>
      </c>
      <c r="C114" s="25" t="inlineStr">
        <is>
          <t>L3 | L3 YUASA penceresiz Orta Doğu dış koli (4001103): 54 adet</t>
        </is>
      </c>
      <c r="D114" s="25" t="inlineStr">
        <is>
          <t>L3 | L3 YUASA windowless Middle East outer carton (4001103): 54 pcs</t>
        </is>
      </c>
      <c r="E114" s="25" t="inlineStr">
        <is>
          <t>IA-ST-CFG-0137</t>
        </is>
      </c>
      <c r="F114" s="25" t="inlineStr">
        <is>
          <t>STARTER</t>
        </is>
      </c>
      <c r="G114" s="25" t="n">
        <v>42.566</v>
      </c>
      <c r="H114" s="25" t="n">
        <v>1</v>
      </c>
      <c r="I114" s="25" t="inlineStr">
        <is>
          <t>IA-PPWR-TF-ST-054-STD-01-R00</t>
        </is>
      </c>
      <c r="J114" s="31">
        <f>HYPERLINK("01_STARTER/ST-054-STD-01/01_Technical_File.docx","Open")</f>
        <v/>
      </c>
      <c r="K114" s="25" t="inlineStr">
        <is>
          <t>IA-PPWR-DOC-ST-054-STD-01-R00</t>
        </is>
      </c>
      <c r="L114" s="31">
        <f>HYPERLINK("01_STARTER/ST-054-STD-01/02_EU_DoC.docx","Open")</f>
        <v/>
      </c>
      <c r="M114" s="25" t="inlineStr">
        <is>
          <t>IA-PPWR-LBL-ST-054-STD-01-R00</t>
        </is>
      </c>
      <c r="N114" s="31">
        <f>HYPERLINK("01_STARTER/ST-054-STD-01/03_Label.docx","Open")</f>
        <v/>
      </c>
      <c r="O114" s="25" t="inlineStr">
        <is>
          <t>IA-PPWR-STM-ST-054-STD-01-R00</t>
        </is>
      </c>
      <c r="P114" s="31">
        <f>HYPERLINK("01_STARTER/ST-054-STD-01/04_Shipment_Statement.docx","Open")</f>
        <v/>
      </c>
      <c r="Q114" s="25" t="inlineStr">
        <is>
          <t>GENERATED / LINKED</t>
        </is>
      </c>
      <c r="R114" s="25" t="inlineStr">
        <is>
          <t>Rev.00</t>
        </is>
      </c>
    </row>
    <row r="115">
      <c r="A115" s="25" t="inlineStr">
        <is>
          <t>ST-054-STD-02</t>
        </is>
      </c>
      <c r="B115" s="25" t="inlineStr">
        <is>
          <t>IA-ST-054-STD-02</t>
        </is>
      </c>
      <c r="C115" s="25" t="inlineStr">
        <is>
          <t>L3 | L3 İnci AGM LEO 70AH 760A pencereli dış koli (4001237): 54 adet</t>
        </is>
      </c>
      <c r="D115" s="25" t="inlineStr">
        <is>
          <t>L3 | L3 İnci AGM LEO 70AH 760A windowed outer carton (4001237): 54 pcs</t>
        </is>
      </c>
      <c r="E115" s="25" t="inlineStr">
        <is>
          <t>IA-ST-CFG-0138</t>
        </is>
      </c>
      <c r="F115" s="25" t="inlineStr">
        <is>
          <t>STARTER</t>
        </is>
      </c>
      <c r="G115" s="25" t="n">
        <v>42.986</v>
      </c>
      <c r="H115" s="25" t="n">
        <v>1</v>
      </c>
      <c r="I115" s="25" t="inlineStr">
        <is>
          <t>IA-PPWR-TF-ST-054-STD-02-R00</t>
        </is>
      </c>
      <c r="J115" s="31">
        <f>HYPERLINK("01_STARTER/ST-054-STD-02/01_Technical_File.docx","Open")</f>
        <v/>
      </c>
      <c r="K115" s="25" t="inlineStr">
        <is>
          <t>IA-PPWR-DOC-ST-054-STD-02-R00</t>
        </is>
      </c>
      <c r="L115" s="31">
        <f>HYPERLINK("01_STARTER/ST-054-STD-02/02_EU_DoC.docx","Open")</f>
        <v/>
      </c>
      <c r="M115" s="25" t="inlineStr">
        <is>
          <t>IA-PPWR-LBL-ST-054-STD-02-R00</t>
        </is>
      </c>
      <c r="N115" s="31">
        <f>HYPERLINK("01_STARTER/ST-054-STD-02/03_Label.docx","Open")</f>
        <v/>
      </c>
      <c r="O115" s="25" t="inlineStr">
        <is>
          <t>IA-PPWR-STM-ST-054-STD-02-R00</t>
        </is>
      </c>
      <c r="P115" s="31">
        <f>HYPERLINK("01_STARTER/ST-054-STD-02/04_Shipment_Statement.docx","Open")</f>
        <v/>
      </c>
      <c r="Q115" s="25" t="inlineStr">
        <is>
          <t>GENERATED / LINKED</t>
        </is>
      </c>
      <c r="R115" s="25" t="inlineStr">
        <is>
          <t>Rev.00</t>
        </is>
      </c>
    </row>
    <row r="116">
      <c r="A116" s="25" t="inlineStr">
        <is>
          <t>ST-054-STD-03</t>
        </is>
      </c>
      <c r="B116" s="25" t="inlineStr">
        <is>
          <t>IA-ST-054-STD-03</t>
        </is>
      </c>
      <c r="C116" s="25" t="inlineStr">
        <is>
          <t>L3 | L3 EAS AGM S&amp;S 70AH 760A pencereli dış koli (4001396): 54 adet</t>
        </is>
      </c>
      <c r="D116" s="25" t="inlineStr">
        <is>
          <t>L3 | L3 EAS AGM S&amp;S 70AH 760A windowed outer carton (4001396): 54 pcs</t>
        </is>
      </c>
      <c r="E116" s="25" t="inlineStr">
        <is>
          <t>IA-ST-CFG-0139</t>
        </is>
      </c>
      <c r="F116" s="25" t="inlineStr">
        <is>
          <t>STARTER</t>
        </is>
      </c>
      <c r="G116" s="25" t="n">
        <v>42.986</v>
      </c>
      <c r="H116" s="25" t="n">
        <v>1</v>
      </c>
      <c r="I116" s="25" t="inlineStr">
        <is>
          <t>IA-PPWR-TF-ST-054-STD-03-R00</t>
        </is>
      </c>
      <c r="J116" s="31">
        <f>HYPERLINK("01_STARTER/ST-054-STD-03/01_Technical_File.docx","Open")</f>
        <v/>
      </c>
      <c r="K116" s="25" t="inlineStr">
        <is>
          <t>IA-PPWR-DOC-ST-054-STD-03-R00</t>
        </is>
      </c>
      <c r="L116" s="31">
        <f>HYPERLINK("01_STARTER/ST-054-STD-03/02_EU_DoC.docx","Open")</f>
        <v/>
      </c>
      <c r="M116" s="25" t="inlineStr">
        <is>
          <t>IA-PPWR-LBL-ST-054-STD-03-R00</t>
        </is>
      </c>
      <c r="N116" s="31">
        <f>HYPERLINK("01_STARTER/ST-054-STD-03/03_Label.docx","Open")</f>
        <v/>
      </c>
      <c r="O116" s="25" t="inlineStr">
        <is>
          <t>IA-PPWR-STM-ST-054-STD-03-R00</t>
        </is>
      </c>
      <c r="P116" s="31">
        <f>HYPERLINK("01_STARTER/ST-054-STD-03/04_Shipment_Statement.docx","Open")</f>
        <v/>
      </c>
      <c r="Q116" s="25" t="inlineStr">
        <is>
          <t>GENERATED / LINKED</t>
        </is>
      </c>
      <c r="R116" s="25" t="inlineStr">
        <is>
          <t>Rev.00</t>
        </is>
      </c>
    </row>
    <row r="117">
      <c r="A117" s="25" t="inlineStr">
        <is>
          <t>ST-054-STD-04</t>
        </is>
      </c>
      <c r="B117" s="25" t="inlineStr">
        <is>
          <t>IA-ST-054-STD-04</t>
        </is>
      </c>
      <c r="C117" s="25" t="inlineStr">
        <is>
          <t>D31 | Palet (4000037): 1 adet | EPS (4000370): 3 adet | Köşebent (4000590): 4 adet</t>
        </is>
      </c>
      <c r="D117" s="25" t="inlineStr">
        <is>
          <t>D31 | Pallet (4000037): 1 pc | EPS (4000370): 3 pcs | Edge protector (4000590): 4 pcs</t>
        </is>
      </c>
      <c r="E117" s="25" t="inlineStr">
        <is>
          <t>IA-ST-CFG-0140</t>
        </is>
      </c>
      <c r="F117" s="25" t="inlineStr">
        <is>
          <t>STARTER</t>
        </is>
      </c>
      <c r="G117" s="25" t="n">
        <v>28.518</v>
      </c>
      <c r="H117" s="25" t="n">
        <v>1</v>
      </c>
      <c r="I117" s="25" t="inlineStr">
        <is>
          <t>IA-PPWR-TF-ST-054-STD-04-R00</t>
        </is>
      </c>
      <c r="J117" s="31">
        <f>HYPERLINK("01_STARTER/ST-054-STD-04/01_Technical_File.docx","Open")</f>
        <v/>
      </c>
      <c r="K117" s="25" t="inlineStr">
        <is>
          <t>IA-PPWR-DOC-ST-054-STD-04-R00</t>
        </is>
      </c>
      <c r="L117" s="31">
        <f>HYPERLINK("01_STARTER/ST-054-STD-04/02_EU_DoC.docx","Open")</f>
        <v/>
      </c>
      <c r="M117" s="25" t="inlineStr">
        <is>
          <t>IA-PPWR-LBL-ST-054-STD-04-R00</t>
        </is>
      </c>
      <c r="N117" s="31">
        <f>HYPERLINK("01_STARTER/ST-054-STD-04/03_Label.docx","Open")</f>
        <v/>
      </c>
      <c r="O117" s="25" t="inlineStr">
        <is>
          <t>IA-PPWR-STM-ST-054-STD-04-R00</t>
        </is>
      </c>
      <c r="P117" s="31">
        <f>HYPERLINK("01_STARTER/ST-054-STD-04/04_Shipment_Statement.docx","Open")</f>
        <v/>
      </c>
      <c r="Q117" s="25" t="inlineStr">
        <is>
          <t>GENERATED / LINKED</t>
        </is>
      </c>
      <c r="R117" s="25" t="inlineStr">
        <is>
          <t>Rev.00</t>
        </is>
      </c>
    </row>
    <row r="118">
      <c r="A118" s="25" t="inlineStr">
        <is>
          <t>ST-054-STD-05</t>
        </is>
      </c>
      <c r="B118" s="25" t="inlineStr">
        <is>
          <t>IA-ST-054-STD-05</t>
        </is>
      </c>
      <c r="C118" s="25" t="inlineStr">
        <is>
          <t>D31 | Köşebent (4000590): 4 adet | D31 PVC üst kapak (4001310): 54 adet</t>
        </is>
      </c>
      <c r="D118" s="25" t="inlineStr">
        <is>
          <t>D31 | Edge protector (4000590): 4 pcs | D31 PVC upper cover (4001310): 54 pcs</t>
        </is>
      </c>
      <c r="E118" s="25" t="inlineStr">
        <is>
          <t>IA-ST-CFG-0141</t>
        </is>
      </c>
      <c r="F118" s="25" t="inlineStr">
        <is>
          <t>STARTER</t>
        </is>
      </c>
      <c r="G118" s="25" t="n">
        <v>34.0706</v>
      </c>
      <c r="H118" s="25" t="n">
        <v>2</v>
      </c>
      <c r="I118" s="25" t="inlineStr">
        <is>
          <t>IA-PPWR-TF-ST-054-STD-05-R00</t>
        </is>
      </c>
      <c r="J118" s="31">
        <f>HYPERLINK("01_STARTER/ST-054-STD-05/01_Technical_File.docx","Open")</f>
        <v/>
      </c>
      <c r="K118" s="25" t="inlineStr">
        <is>
          <t>IA-PPWR-DOC-ST-054-STD-05-R00</t>
        </is>
      </c>
      <c r="L118" s="31">
        <f>HYPERLINK("01_STARTER/ST-054-STD-05/02_EU_DoC.docx","Open")</f>
        <v/>
      </c>
      <c r="M118" s="25" t="inlineStr">
        <is>
          <t>IA-PPWR-LBL-ST-054-STD-05-R00</t>
        </is>
      </c>
      <c r="N118" s="31">
        <f>HYPERLINK("01_STARTER/ST-054-STD-05/03_Label.docx","Open")</f>
        <v/>
      </c>
      <c r="O118" s="25" t="inlineStr">
        <is>
          <t>IA-PPWR-STM-ST-054-STD-05-R00</t>
        </is>
      </c>
      <c r="P118" s="31">
        <f>HYPERLINK("01_STARTER/ST-054-STD-05/04_Shipment_Statement.docx","Open")</f>
        <v/>
      </c>
      <c r="Q118" s="25" t="inlineStr">
        <is>
          <t>GENERATED / LINKED</t>
        </is>
      </c>
      <c r="R118" s="25" t="inlineStr">
        <is>
          <t>Rev.00</t>
        </is>
      </c>
    </row>
    <row r="119">
      <c r="A119" s="25" t="inlineStr">
        <is>
          <t>ST-054-STD-06</t>
        </is>
      </c>
      <c r="B119" s="25" t="inlineStr">
        <is>
          <t>IA-ST-054-STD-06</t>
        </is>
      </c>
      <c r="C119" s="25" t="inlineStr">
        <is>
          <t>L4, LB4 | Palet (4000037): 1 adet | Köşebent (4000590): 2 adet</t>
        </is>
      </c>
      <c r="D119" s="25" t="inlineStr">
        <is>
          <t>L4, LB4 | Pallet (4000037): 1 pc | Edge protector (4000590): 2 pcs</t>
        </is>
      </c>
      <c r="E119" s="25" t="inlineStr">
        <is>
          <t>IA-ST-CFG-0142</t>
        </is>
      </c>
      <c r="F119" s="25" t="inlineStr">
        <is>
          <t>STARTER</t>
        </is>
      </c>
      <c r="G119" s="25" t="n">
        <v>29.7552</v>
      </c>
      <c r="H119" s="25" t="n">
        <v>23</v>
      </c>
      <c r="I119" s="25" t="inlineStr">
        <is>
          <t>IA-PPWR-TF-ST-054-STD-06-R00</t>
        </is>
      </c>
      <c r="J119" s="31">
        <f>HYPERLINK("01_STARTER/ST-054-STD-06/01_Technical_File.docx","Open")</f>
        <v/>
      </c>
      <c r="K119" s="25" t="inlineStr">
        <is>
          <t>IA-PPWR-DOC-ST-054-STD-06-R00</t>
        </is>
      </c>
      <c r="L119" s="31">
        <f>HYPERLINK("01_STARTER/ST-054-STD-06/02_EU_DoC.docx","Open")</f>
        <v/>
      </c>
      <c r="M119" s="25" t="inlineStr">
        <is>
          <t>IA-PPWR-LBL-ST-054-STD-06-R00</t>
        </is>
      </c>
      <c r="N119" s="31">
        <f>HYPERLINK("01_STARTER/ST-054-STD-06/03_Label.docx","Open")</f>
        <v/>
      </c>
      <c r="O119" s="25" t="inlineStr">
        <is>
          <t>IA-PPWR-STM-ST-054-STD-06-R00</t>
        </is>
      </c>
      <c r="P119" s="31">
        <f>HYPERLINK("01_STARTER/ST-054-STD-06/04_Shipment_Statement.docx","Open")</f>
        <v/>
      </c>
      <c r="Q119" s="25" t="inlineStr">
        <is>
          <t>GENERATED / LINKED</t>
        </is>
      </c>
      <c r="R119" s="25" t="inlineStr">
        <is>
          <t>Rev.00</t>
        </is>
      </c>
    </row>
    <row r="120">
      <c r="A120" s="25" t="inlineStr">
        <is>
          <t>ST-054-STD-07</t>
        </is>
      </c>
      <c r="B120" s="25" t="inlineStr">
        <is>
          <t>IA-ST-054-STD-07</t>
        </is>
      </c>
      <c r="C120" s="25" t="inlineStr">
        <is>
          <t>D31 | D31 PVC üst kapak (4001310): 54 adet | Köşebent (4000590): 2 adet</t>
        </is>
      </c>
      <c r="D120" s="25" t="inlineStr">
        <is>
          <t>D31 | D31 PVC upper cover (4001310): 54 pcs | Edge protector (4000590): 2 pcs</t>
        </is>
      </c>
      <c r="E120" s="25" t="inlineStr">
        <is>
          <t>IA-ST-CFG-0143</t>
        </is>
      </c>
      <c r="F120" s="25" t="inlineStr">
        <is>
          <t>STARTER</t>
        </is>
      </c>
      <c r="G120" s="25" t="n">
        <v>33.7838</v>
      </c>
      <c r="H120" s="25" t="n">
        <v>70</v>
      </c>
      <c r="I120" s="25" t="inlineStr">
        <is>
          <t>IA-PPWR-TF-ST-054-STD-07-R00</t>
        </is>
      </c>
      <c r="J120" s="31">
        <f>HYPERLINK("01_STARTER/ST-054-STD-07/01_Technical_File.docx","Open")</f>
        <v/>
      </c>
      <c r="K120" s="25" t="inlineStr">
        <is>
          <t>IA-PPWR-DOC-ST-054-STD-07-R00</t>
        </is>
      </c>
      <c r="L120" s="31">
        <f>HYPERLINK("01_STARTER/ST-054-STD-07/02_EU_DoC.docx","Open")</f>
        <v/>
      </c>
      <c r="M120" s="25" t="inlineStr">
        <is>
          <t>IA-PPWR-LBL-ST-054-STD-07-R00</t>
        </is>
      </c>
      <c r="N120" s="31">
        <f>HYPERLINK("01_STARTER/ST-054-STD-07/03_Label.docx","Open")</f>
        <v/>
      </c>
      <c r="O120" s="25" t="inlineStr">
        <is>
          <t>IA-PPWR-STM-ST-054-STD-07-R00</t>
        </is>
      </c>
      <c r="P120" s="31">
        <f>HYPERLINK("01_STARTER/ST-054-STD-07/04_Shipment_Statement.docx","Open")</f>
        <v/>
      </c>
      <c r="Q120" s="25" t="inlineStr">
        <is>
          <t>GENERATED / LINKED</t>
        </is>
      </c>
      <c r="R120" s="25" t="inlineStr">
        <is>
          <t>Rev.00</t>
        </is>
      </c>
    </row>
    <row r="121">
      <c r="A121" s="25" t="inlineStr">
        <is>
          <t>ST-054-STD-08</t>
        </is>
      </c>
      <c r="B121" s="25" t="inlineStr">
        <is>
          <t>IA-ST-054-STD-08</t>
        </is>
      </c>
      <c r="C121" s="25" t="inlineStr">
        <is>
          <t>L4, LB4 | Palet (4000037): 1 adet | Köşebent (4000590): kullanılmaz</t>
        </is>
      </c>
      <c r="D121" s="25" t="inlineStr">
        <is>
          <t>L4, LB4 | Pallet (4000037): 1 pc | Edge protector (4000590): not used</t>
        </is>
      </c>
      <c r="E121" s="25" t="inlineStr">
        <is>
          <t>IA-ST-CFG-0144</t>
        </is>
      </c>
      <c r="F121" s="25" t="inlineStr">
        <is>
          <t>STARTER</t>
        </is>
      </c>
      <c r="G121" s="25" t="n">
        <v>29.4684</v>
      </c>
      <c r="H121" s="25" t="n">
        <v>5</v>
      </c>
      <c r="I121" s="25" t="inlineStr">
        <is>
          <t>IA-PPWR-TF-ST-054-STD-08-R00</t>
        </is>
      </c>
      <c r="J121" s="31">
        <f>HYPERLINK("01_STARTER/ST-054-STD-08/01_Technical_File.docx","Open")</f>
        <v/>
      </c>
      <c r="K121" s="25" t="inlineStr">
        <is>
          <t>IA-PPWR-DOC-ST-054-STD-08-R00</t>
        </is>
      </c>
      <c r="L121" s="31">
        <f>HYPERLINK("01_STARTER/ST-054-STD-08/02_EU_DoC.docx","Open")</f>
        <v/>
      </c>
      <c r="M121" s="25" t="inlineStr">
        <is>
          <t>IA-PPWR-LBL-ST-054-STD-08-R00</t>
        </is>
      </c>
      <c r="N121" s="31">
        <f>HYPERLINK("01_STARTER/ST-054-STD-08/03_Label.docx","Open")</f>
        <v/>
      </c>
      <c r="O121" s="25" t="inlineStr">
        <is>
          <t>IA-PPWR-STM-ST-054-STD-08-R00</t>
        </is>
      </c>
      <c r="P121" s="31">
        <f>HYPERLINK("01_STARTER/ST-054-STD-08/04_Shipment_Statement.docx","Open")</f>
        <v/>
      </c>
      <c r="Q121" s="25" t="inlineStr">
        <is>
          <t>GENERATED / LINKED</t>
        </is>
      </c>
      <c r="R121" s="25" t="inlineStr">
        <is>
          <t>Rev.00</t>
        </is>
      </c>
    </row>
    <row r="122">
      <c r="A122" s="25" t="inlineStr">
        <is>
          <t>ST-054-STD-09</t>
        </is>
      </c>
      <c r="B122" s="25" t="inlineStr">
        <is>
          <t>IA-ST-054-STD-09</t>
        </is>
      </c>
      <c r="C122" s="25" t="inlineStr">
        <is>
          <t>D31 | D31 PVC üst kapak (4001310): 54 adet | Çember (4000450): kullanılmaz</t>
        </is>
      </c>
      <c r="D122" s="25" t="inlineStr">
        <is>
          <t>D31 | D31 PVC upper cover (4001310): 54 pcs | Strap (4000450): not used</t>
        </is>
      </c>
      <c r="E122" s="25" t="inlineStr">
        <is>
          <t>IA-ST-CFG-0145</t>
        </is>
      </c>
      <c r="F122" s="25" t="inlineStr">
        <is>
          <t>STARTER</t>
        </is>
      </c>
      <c r="G122" s="25" t="n">
        <v>33.497</v>
      </c>
      <c r="H122" s="25" t="n">
        <v>17</v>
      </c>
      <c r="I122" s="25" t="inlineStr">
        <is>
          <t>IA-PPWR-TF-ST-054-STD-09-R00</t>
        </is>
      </c>
      <c r="J122" s="31">
        <f>HYPERLINK("01_STARTER/ST-054-STD-09/01_Technical_File.docx","Open")</f>
        <v/>
      </c>
      <c r="K122" s="25" t="inlineStr">
        <is>
          <t>IA-PPWR-DOC-ST-054-STD-09-R00</t>
        </is>
      </c>
      <c r="L122" s="31">
        <f>HYPERLINK("01_STARTER/ST-054-STD-09/02_EU_DoC.docx","Open")</f>
        <v/>
      </c>
      <c r="M122" s="25" t="inlineStr">
        <is>
          <t>IA-PPWR-LBL-ST-054-STD-09-R00</t>
        </is>
      </c>
      <c r="N122" s="31">
        <f>HYPERLINK("01_STARTER/ST-054-STD-09/03_Label.docx","Open")</f>
        <v/>
      </c>
      <c r="O122" s="25" t="inlineStr">
        <is>
          <t>IA-PPWR-STM-ST-054-STD-09-R00</t>
        </is>
      </c>
      <c r="P122" s="31">
        <f>HYPERLINK("01_STARTER/ST-054-STD-09/04_Shipment_Statement.docx","Open")</f>
        <v/>
      </c>
      <c r="Q122" s="25" t="inlineStr">
        <is>
          <t>GENERATED / LINKED</t>
        </is>
      </c>
      <c r="R122" s="25" t="inlineStr">
        <is>
          <t>Rev.00</t>
        </is>
      </c>
    </row>
    <row r="123">
      <c r="A123" s="25" t="inlineStr">
        <is>
          <t>ST-054-STD-10</t>
        </is>
      </c>
      <c r="B123" s="25" t="inlineStr">
        <is>
          <t>IA-ST-054-STD-10</t>
        </is>
      </c>
      <c r="C123" s="25" t="inlineStr">
        <is>
          <t>D31 | Palet (4000037): 1 adet | Shrink film (4001177): 0.597 kg</t>
        </is>
      </c>
      <c r="D123" s="25" t="inlineStr">
        <is>
          <t>D31 | Pallet (4000037): 1 pc | Shrink film (4001177): 0.597 kg</t>
        </is>
      </c>
      <c r="E123" s="25" t="inlineStr">
        <is>
          <t>IA-ST-CFG-0146</t>
        </is>
      </c>
      <c r="F123" s="25" t="inlineStr">
        <is>
          <t>STARTER</t>
        </is>
      </c>
      <c r="G123" s="25" t="n">
        <v>28.649</v>
      </c>
      <c r="H123" s="25" t="n">
        <v>4</v>
      </c>
      <c r="I123" s="25" t="inlineStr">
        <is>
          <t>IA-PPWR-TF-ST-054-STD-10-R00</t>
        </is>
      </c>
      <c r="J123" s="31">
        <f>HYPERLINK("01_STARTER/ST-054-STD-10/01_Technical_File.docx","Open")</f>
        <v/>
      </c>
      <c r="K123" s="25" t="inlineStr">
        <is>
          <t>IA-PPWR-DOC-ST-054-STD-10-R00</t>
        </is>
      </c>
      <c r="L123" s="31">
        <f>HYPERLINK("01_STARTER/ST-054-STD-10/02_EU_DoC.docx","Open")</f>
        <v/>
      </c>
      <c r="M123" s="25" t="inlineStr">
        <is>
          <t>IA-PPWR-LBL-ST-054-STD-10-R00</t>
        </is>
      </c>
      <c r="N123" s="31">
        <f>HYPERLINK("01_STARTER/ST-054-STD-10/03_Label.docx","Open")</f>
        <v/>
      </c>
      <c r="O123" s="25" t="inlineStr">
        <is>
          <t>IA-PPWR-STM-ST-054-STD-10-R00</t>
        </is>
      </c>
      <c r="P123" s="31">
        <f>HYPERLINK("01_STARTER/ST-054-STD-10/04_Shipment_Statement.docx","Open")</f>
        <v/>
      </c>
      <c r="Q123" s="25" t="inlineStr">
        <is>
          <t>GENERATED / LINKED</t>
        </is>
      </c>
      <c r="R123" s="25" t="inlineStr">
        <is>
          <t>Rev.00</t>
        </is>
      </c>
    </row>
    <row r="124">
      <c r="A124" s="25" t="inlineStr">
        <is>
          <t>ST-054-STD-11</t>
        </is>
      </c>
      <c r="B124" s="25" t="inlineStr">
        <is>
          <t>IA-ST-054-STD-11</t>
        </is>
      </c>
      <c r="C124" s="25" t="inlineStr">
        <is>
          <t>L4 | Palet (4000037): 1 adet | Shrink film (4001177): 0.597 kg</t>
        </is>
      </c>
      <c r="D124" s="25" t="inlineStr">
        <is>
          <t>L4 | Pallet (4000037): 1 pc | Shrink film (4001177): 0.597 kg</t>
        </is>
      </c>
      <c r="E124" s="25" t="inlineStr">
        <is>
          <t>IA-ST-CFG-0147</t>
        </is>
      </c>
      <c r="F124" s="25" t="inlineStr">
        <is>
          <t>STARTER</t>
        </is>
      </c>
      <c r="G124" s="25" t="n">
        <v>28.417</v>
      </c>
      <c r="H124" s="25" t="n">
        <v>1</v>
      </c>
      <c r="I124" s="25" t="inlineStr">
        <is>
          <t>IA-PPWR-TF-ST-054-STD-11-R00</t>
        </is>
      </c>
      <c r="J124" s="31">
        <f>HYPERLINK("01_STARTER/ST-054-STD-11/01_Technical_File.docx","Open")</f>
        <v/>
      </c>
      <c r="K124" s="25" t="inlineStr">
        <is>
          <t>IA-PPWR-DOC-ST-054-STD-11-R00</t>
        </is>
      </c>
      <c r="L124" s="31">
        <f>HYPERLINK("01_STARTER/ST-054-STD-11/02_EU_DoC.docx","Open")</f>
        <v/>
      </c>
      <c r="M124" s="25" t="inlineStr">
        <is>
          <t>IA-PPWR-LBL-ST-054-STD-11-R00</t>
        </is>
      </c>
      <c r="N124" s="31">
        <f>HYPERLINK("01_STARTER/ST-054-STD-11/03_Label.docx","Open")</f>
        <v/>
      </c>
      <c r="O124" s="25" t="inlineStr">
        <is>
          <t>IA-PPWR-STM-ST-054-STD-11-R00</t>
        </is>
      </c>
      <c r="P124" s="31">
        <f>HYPERLINK("01_STARTER/ST-054-STD-11/04_Shipment_Statement.docx","Open")</f>
        <v/>
      </c>
      <c r="Q124" s="25" t="inlineStr">
        <is>
          <t>GENERATED / LINKED</t>
        </is>
      </c>
      <c r="R124" s="25" t="inlineStr">
        <is>
          <t>Rev.00</t>
        </is>
      </c>
    </row>
    <row r="125">
      <c r="A125" s="25" t="inlineStr">
        <is>
          <t>ST-054-STD-12</t>
        </is>
      </c>
      <c r="B125" s="25" t="inlineStr">
        <is>
          <t>IA-ST-054-STD-12</t>
        </is>
      </c>
      <c r="C125" s="25" t="inlineStr">
        <is>
          <t>LB4 | Palet (4000037): 1 adet | Shrink film (4001177): 0.597 kg</t>
        </is>
      </c>
      <c r="D125" s="25" t="inlineStr">
        <is>
          <t>LB4 | Pallet (4000037): 1 pc | Shrink film (4001177): 0.597 kg</t>
        </is>
      </c>
      <c r="E125" s="25" t="inlineStr">
        <is>
          <t>IA-ST-CFG-0148</t>
        </is>
      </c>
      <c r="F125" s="25" t="inlineStr">
        <is>
          <t>STARTER</t>
        </is>
      </c>
      <c r="G125" s="25" t="n">
        <v>28.617</v>
      </c>
      <c r="H125" s="25" t="n">
        <v>1</v>
      </c>
      <c r="I125" s="25" t="inlineStr">
        <is>
          <t>IA-PPWR-TF-ST-054-STD-12-R00</t>
        </is>
      </c>
      <c r="J125" s="31">
        <f>HYPERLINK("01_STARTER/ST-054-STD-12/01_Technical_File.docx","Open")</f>
        <v/>
      </c>
      <c r="K125" s="25" t="inlineStr">
        <is>
          <t>IA-PPWR-DOC-ST-054-STD-12-R00</t>
        </is>
      </c>
      <c r="L125" s="31">
        <f>HYPERLINK("01_STARTER/ST-054-STD-12/02_EU_DoC.docx","Open")</f>
        <v/>
      </c>
      <c r="M125" s="25" t="inlineStr">
        <is>
          <t>IA-PPWR-LBL-ST-054-STD-12-R00</t>
        </is>
      </c>
      <c r="N125" s="31">
        <f>HYPERLINK("01_STARTER/ST-054-STD-12/03_Label.docx","Open")</f>
        <v/>
      </c>
      <c r="O125" s="25" t="inlineStr">
        <is>
          <t>IA-PPWR-STM-ST-054-STD-12-R00</t>
        </is>
      </c>
      <c r="P125" s="31">
        <f>HYPERLINK("01_STARTER/ST-054-STD-12/04_Shipment_Statement.docx","Open")</f>
        <v/>
      </c>
      <c r="Q125" s="25" t="inlineStr">
        <is>
          <t>GENERATED / LINKED</t>
        </is>
      </c>
      <c r="R125" s="25" t="inlineStr">
        <is>
          <t>Rev.00</t>
        </is>
      </c>
    </row>
    <row r="126">
      <c r="A126" s="25" t="inlineStr">
        <is>
          <t>ST-056-EUR-01</t>
        </is>
      </c>
      <c r="B126" s="25" t="inlineStr">
        <is>
          <t>IA-ST-056-EUR-01</t>
        </is>
      </c>
      <c r="C126" s="25" t="inlineStr">
        <is>
          <t>L4 | L4 İnci AGM LEO 80AH 800A pencereli dış koli (4001341): 56 adet</t>
        </is>
      </c>
      <c r="D126" s="25" t="inlineStr">
        <is>
          <t>L4 | L4 İnci AGM LEO 80AH 800A windowed outer carton (4001341): 56 pcs</t>
        </is>
      </c>
      <c r="E126" s="25" t="inlineStr">
        <is>
          <t>IA-ST-CFG-0150</t>
        </is>
      </c>
      <c r="F126" s="25" t="inlineStr">
        <is>
          <t>STARTER</t>
        </is>
      </c>
      <c r="G126" s="25" t="n">
        <v>44.106</v>
      </c>
      <c r="H126" s="25" t="n">
        <v>1</v>
      </c>
      <c r="I126" s="25" t="inlineStr">
        <is>
          <t>IA-PPWR-TF-ST-056-EUR-01-R00</t>
        </is>
      </c>
      <c r="J126" s="31">
        <f>HYPERLINK("01_STARTER/ST-056-EUR-01/01_Technical_File.docx","Open")</f>
        <v/>
      </c>
      <c r="K126" s="25" t="inlineStr">
        <is>
          <t>IA-PPWR-DOC-ST-056-EUR-01-R00</t>
        </is>
      </c>
      <c r="L126" s="31">
        <f>HYPERLINK("01_STARTER/ST-056-EUR-01/02_EU_DoC.docx","Open")</f>
        <v/>
      </c>
      <c r="M126" s="25" t="inlineStr">
        <is>
          <t>IA-PPWR-LBL-ST-056-EUR-01-R00</t>
        </is>
      </c>
      <c r="N126" s="31">
        <f>HYPERLINK("01_STARTER/ST-056-EUR-01/03_Label.docx","Open")</f>
        <v/>
      </c>
      <c r="O126" s="25" t="inlineStr">
        <is>
          <t>IA-PPWR-STM-ST-056-EUR-01-R00</t>
        </is>
      </c>
      <c r="P126" s="31">
        <f>HYPERLINK("01_STARTER/ST-056-EUR-01/04_Shipment_Statement.docx","Open")</f>
        <v/>
      </c>
      <c r="Q126" s="25" t="inlineStr">
        <is>
          <t>GENERATED / LINKED</t>
        </is>
      </c>
      <c r="R126" s="25" t="inlineStr">
        <is>
          <t>Rev.00</t>
        </is>
      </c>
    </row>
    <row r="127">
      <c r="A127" s="25" t="inlineStr">
        <is>
          <t>ST-056-EUR-02</t>
        </is>
      </c>
      <c r="B127" s="25" t="inlineStr">
        <is>
          <t>IA-ST-056-EUR-02</t>
        </is>
      </c>
      <c r="C127" s="25" t="inlineStr">
        <is>
          <t>L4, LB4 | Palet (4000038): 1 adet | Köşebent (4000590): 4 adet</t>
        </is>
      </c>
      <c r="D127" s="25" t="inlineStr">
        <is>
          <t>L4, LB4 | Pallet (4000038): 1 pc | Edge protector (4000590): 4 pcs</t>
        </is>
      </c>
      <c r="E127" s="25" t="inlineStr">
        <is>
          <t>IA-ST-CFG-0151</t>
        </is>
      </c>
      <c r="F127" s="25" t="inlineStr">
        <is>
          <t>STARTER</t>
        </is>
      </c>
      <c r="G127" s="25" t="n">
        <v>28.126</v>
      </c>
      <c r="H127" s="25" t="n">
        <v>8</v>
      </c>
      <c r="I127" s="25" t="inlineStr">
        <is>
          <t>IA-PPWR-TF-ST-056-EUR-02-R00</t>
        </is>
      </c>
      <c r="J127" s="31">
        <f>HYPERLINK("01_STARTER/ST-056-EUR-02/01_Technical_File.docx","Open")</f>
        <v/>
      </c>
      <c r="K127" s="25" t="inlineStr">
        <is>
          <t>IA-PPWR-DOC-ST-056-EUR-02-R00</t>
        </is>
      </c>
      <c r="L127" s="31">
        <f>HYPERLINK("01_STARTER/ST-056-EUR-02/02_EU_DoC.docx","Open")</f>
        <v/>
      </c>
      <c r="M127" s="25" t="inlineStr">
        <is>
          <t>IA-PPWR-LBL-ST-056-EUR-02-R00</t>
        </is>
      </c>
      <c r="N127" s="31">
        <f>HYPERLINK("01_STARTER/ST-056-EUR-02/03_Label.docx","Open")</f>
        <v/>
      </c>
      <c r="O127" s="25" t="inlineStr">
        <is>
          <t>IA-PPWR-STM-ST-056-EUR-02-R00</t>
        </is>
      </c>
      <c r="P127" s="31">
        <f>HYPERLINK("01_STARTER/ST-056-EUR-02/04_Shipment_Statement.docx","Open")</f>
        <v/>
      </c>
      <c r="Q127" s="25" t="inlineStr">
        <is>
          <t>GENERATED / LINKED</t>
        </is>
      </c>
      <c r="R127" s="25" t="inlineStr">
        <is>
          <t>Rev.00</t>
        </is>
      </c>
    </row>
    <row r="128">
      <c r="A128" s="25" t="inlineStr">
        <is>
          <t>ST-056-EUR-03</t>
        </is>
      </c>
      <c r="B128" s="25" t="inlineStr">
        <is>
          <t>IA-ST-056-EUR-03</t>
        </is>
      </c>
      <c r="C128" s="25" t="inlineStr">
        <is>
          <t>L4, LB4 | Palet (4000038): 1 adet | Shrink film (4000554): 1.904 kg</t>
        </is>
      </c>
      <c r="D128" s="25" t="inlineStr">
        <is>
          <t>L4, LB4 | Pallet (4000038): 1 pc | Shrink film (4000554): 1.904 kg</t>
        </is>
      </c>
      <c r="E128" s="25" t="inlineStr">
        <is>
          <t>IA-ST-CFG-0152</t>
        </is>
      </c>
      <c r="F128" s="25" t="inlineStr">
        <is>
          <t>STARTER</t>
        </is>
      </c>
      <c r="G128" s="25" t="n">
        <v>29.7432</v>
      </c>
      <c r="H128" s="25" t="n">
        <v>18</v>
      </c>
      <c r="I128" s="25" t="inlineStr">
        <is>
          <t>IA-PPWR-TF-ST-056-EUR-03-R00</t>
        </is>
      </c>
      <c r="J128" s="31">
        <f>HYPERLINK("01_STARTER/ST-056-EUR-03/01_Technical_File.docx","Open")</f>
        <v/>
      </c>
      <c r="K128" s="25" t="inlineStr">
        <is>
          <t>IA-PPWR-DOC-ST-056-EUR-03-R00</t>
        </is>
      </c>
      <c r="L128" s="31">
        <f>HYPERLINK("01_STARTER/ST-056-EUR-03/02_EU_DoC.docx","Open")</f>
        <v/>
      </c>
      <c r="M128" s="25" t="inlineStr">
        <is>
          <t>IA-PPWR-LBL-ST-056-EUR-03-R00</t>
        </is>
      </c>
      <c r="N128" s="31">
        <f>HYPERLINK("01_STARTER/ST-056-EUR-03/03_Label.docx","Open")</f>
        <v/>
      </c>
      <c r="O128" s="25" t="inlineStr">
        <is>
          <t>IA-PPWR-STM-ST-056-EUR-03-R00</t>
        </is>
      </c>
      <c r="P128" s="31">
        <f>HYPERLINK("01_STARTER/ST-056-EUR-03/04_Shipment_Statement.docx","Open")</f>
        <v/>
      </c>
      <c r="Q128" s="25" t="inlineStr">
        <is>
          <t>GENERATED / LINKED</t>
        </is>
      </c>
      <c r="R128" s="25" t="inlineStr">
        <is>
          <t>Rev.00</t>
        </is>
      </c>
    </row>
    <row r="129">
      <c r="A129" s="25" t="inlineStr">
        <is>
          <t>ST-056-EUR-04</t>
        </is>
      </c>
      <c r="B129" s="25" t="inlineStr">
        <is>
          <t>IA-ST-056-EUR-04</t>
        </is>
      </c>
      <c r="C129" s="25" t="inlineStr">
        <is>
          <t>LB4, L4 | Palet (4000038): 1 adet | Köşebent (4000590): 2 adet</t>
        </is>
      </c>
      <c r="D129" s="25" t="inlineStr">
        <is>
          <t>LB4, L4 | Pallet (4000038): 1 pc | Edge protector (4000590): 2 pcs</t>
        </is>
      </c>
      <c r="E129" s="25" t="inlineStr">
        <is>
          <t>IA-ST-CFG-0153</t>
        </is>
      </c>
      <c r="F129" s="25" t="inlineStr">
        <is>
          <t>STARTER</t>
        </is>
      </c>
      <c r="G129" s="25" t="n">
        <v>27.8392</v>
      </c>
      <c r="H129" s="25" t="n">
        <v>5</v>
      </c>
      <c r="I129" s="25" t="inlineStr">
        <is>
          <t>IA-PPWR-TF-ST-056-EUR-04-R00</t>
        </is>
      </c>
      <c r="J129" s="31">
        <f>HYPERLINK("01_STARTER/ST-056-EUR-04/01_Technical_File.docx","Open")</f>
        <v/>
      </c>
      <c r="K129" s="25" t="inlineStr">
        <is>
          <t>IA-PPWR-DOC-ST-056-EUR-04-R00</t>
        </is>
      </c>
      <c r="L129" s="31">
        <f>HYPERLINK("01_STARTER/ST-056-EUR-04/02_EU_DoC.docx","Open")</f>
        <v/>
      </c>
      <c r="M129" s="25" t="inlineStr">
        <is>
          <t>IA-PPWR-LBL-ST-056-EUR-04-R00</t>
        </is>
      </c>
      <c r="N129" s="31">
        <f>HYPERLINK("01_STARTER/ST-056-EUR-04/03_Label.docx","Open")</f>
        <v/>
      </c>
      <c r="O129" s="25" t="inlineStr">
        <is>
          <t>IA-PPWR-STM-ST-056-EUR-04-R00</t>
        </is>
      </c>
      <c r="P129" s="31">
        <f>HYPERLINK("01_STARTER/ST-056-EUR-04/04_Shipment_Statement.docx","Open")</f>
        <v/>
      </c>
      <c r="Q129" s="25" t="inlineStr">
        <is>
          <t>GENERATED / LINKED</t>
        </is>
      </c>
      <c r="R129" s="25" t="inlineStr">
        <is>
          <t>Rev.00</t>
        </is>
      </c>
    </row>
    <row r="130">
      <c r="A130" s="25" t="inlineStr">
        <is>
          <t>ST-057-EUR-01</t>
        </is>
      </c>
      <c r="B130" s="25" t="inlineStr">
        <is>
          <t>IA-ST-057-EUR-01</t>
        </is>
      </c>
      <c r="C130" s="25" t="inlineStr">
        <is>
          <t>D26 | Palet (4000038): 1 adet | Honeycomb (4001186): 3 adet</t>
        </is>
      </c>
      <c r="D130" s="25" t="inlineStr">
        <is>
          <t>D26 | Pallet (4000038): 1 pc | Honeycomb (4001186): 3 pcs</t>
        </is>
      </c>
      <c r="E130" s="25" t="inlineStr">
        <is>
          <t>IA-ST-CFG-0160</t>
        </is>
      </c>
      <c r="F130" s="25" t="inlineStr">
        <is>
          <t>STARTER</t>
        </is>
      </c>
      <c r="G130" s="25" t="n">
        <v>30.326</v>
      </c>
      <c r="H130" s="25" t="n">
        <v>7</v>
      </c>
      <c r="I130" s="25" t="inlineStr">
        <is>
          <t>IA-PPWR-TF-ST-057-EUR-01-R00</t>
        </is>
      </c>
      <c r="J130" s="31">
        <f>HYPERLINK("01_STARTER/ST-057-EUR-01/01_Technical_File.docx","Open")</f>
        <v/>
      </c>
      <c r="K130" s="25" t="inlineStr">
        <is>
          <t>IA-PPWR-DOC-ST-057-EUR-01-R00</t>
        </is>
      </c>
      <c r="L130" s="31">
        <f>HYPERLINK("01_STARTER/ST-057-EUR-01/02_EU_DoC.docx","Open")</f>
        <v/>
      </c>
      <c r="M130" s="25" t="inlineStr">
        <is>
          <t>IA-PPWR-LBL-ST-057-EUR-01-R00</t>
        </is>
      </c>
      <c r="N130" s="31">
        <f>HYPERLINK("01_STARTER/ST-057-EUR-01/03_Label.docx","Open")</f>
        <v/>
      </c>
      <c r="O130" s="25" t="inlineStr">
        <is>
          <t>IA-PPWR-STM-ST-057-EUR-01-R00</t>
        </is>
      </c>
      <c r="P130" s="31">
        <f>HYPERLINK("01_STARTER/ST-057-EUR-01/04_Shipment_Statement.docx","Open")</f>
        <v/>
      </c>
      <c r="Q130" s="25" t="inlineStr">
        <is>
          <t>GENERATED / LINKED</t>
        </is>
      </c>
      <c r="R130" s="25" t="inlineStr">
        <is>
          <t>Rev.00</t>
        </is>
      </c>
    </row>
    <row r="131">
      <c r="A131" s="25" t="inlineStr">
        <is>
          <t>ST-057-EUR-02</t>
        </is>
      </c>
      <c r="B131" s="25" t="inlineStr">
        <is>
          <t>IA-ST-057-EUR-02</t>
        </is>
      </c>
      <c r="C131" s="25" t="inlineStr">
        <is>
          <t>D26 | Palet (4000038): 1 adet | EPS (4001247): 3 adet</t>
        </is>
      </c>
      <c r="D131" s="25" t="inlineStr">
        <is>
          <t>D26 | Pallet (4000038): 1 pc | EPS (4001247): 3 pcs</t>
        </is>
      </c>
      <c r="E131" s="25" t="inlineStr">
        <is>
          <t>IA-ST-CFG-0161</t>
        </is>
      </c>
      <c r="F131" s="25" t="inlineStr">
        <is>
          <t>STARTER</t>
        </is>
      </c>
      <c r="G131" s="25" t="n">
        <v>27.506</v>
      </c>
      <c r="H131" s="25" t="n">
        <v>2</v>
      </c>
      <c r="I131" s="25" t="inlineStr">
        <is>
          <t>IA-PPWR-TF-ST-057-EUR-02-R00</t>
        </is>
      </c>
      <c r="J131" s="31">
        <f>HYPERLINK("01_STARTER/ST-057-EUR-02/01_Technical_File.docx","Open")</f>
        <v/>
      </c>
      <c r="K131" s="25" t="inlineStr">
        <is>
          <t>IA-PPWR-DOC-ST-057-EUR-02-R00</t>
        </is>
      </c>
      <c r="L131" s="31">
        <f>HYPERLINK("01_STARTER/ST-057-EUR-02/02_EU_DoC.docx","Open")</f>
        <v/>
      </c>
      <c r="M131" s="25" t="inlineStr">
        <is>
          <t>IA-PPWR-LBL-ST-057-EUR-02-R00</t>
        </is>
      </c>
      <c r="N131" s="31">
        <f>HYPERLINK("01_STARTER/ST-057-EUR-02/03_Label.docx","Open")</f>
        <v/>
      </c>
      <c r="O131" s="25" t="inlineStr">
        <is>
          <t>IA-PPWR-STM-ST-057-EUR-02-R00</t>
        </is>
      </c>
      <c r="P131" s="31">
        <f>HYPERLINK("01_STARTER/ST-057-EUR-02/04_Shipment_Statement.docx","Open")</f>
        <v/>
      </c>
      <c r="Q131" s="25" t="inlineStr">
        <is>
          <t>GENERATED / LINKED</t>
        </is>
      </c>
      <c r="R131" s="25" t="inlineStr">
        <is>
          <t>Rev.00</t>
        </is>
      </c>
    </row>
    <row r="132">
      <c r="A132" s="25" t="inlineStr">
        <is>
          <t>ST-057-EUR-03</t>
        </is>
      </c>
      <c r="B132" s="25" t="inlineStr">
        <is>
          <t>IA-ST-057-EUR-03</t>
        </is>
      </c>
      <c r="C132" s="25" t="inlineStr">
        <is>
          <t>L2, LB2 | Palet (4000038): 1 adet | Köşebent (4000590): 4 adet</t>
        </is>
      </c>
      <c r="D132" s="25" t="inlineStr">
        <is>
          <t>L2, LB2 | Pallet (4000038): 1 pc | Edge protector (4000590): 4 pcs</t>
        </is>
      </c>
      <c r="E132" s="25" t="inlineStr">
        <is>
          <t>IA-ST-CFG-0162</t>
        </is>
      </c>
      <c r="F132" s="25" t="inlineStr">
        <is>
          <t>STARTER</t>
        </is>
      </c>
      <c r="G132" s="25" t="n">
        <v>27.926</v>
      </c>
      <c r="H132" s="25" t="n">
        <v>38</v>
      </c>
      <c r="I132" s="25" t="inlineStr">
        <is>
          <t>IA-PPWR-TF-ST-057-EUR-03-R00</t>
        </is>
      </c>
      <c r="J132" s="31">
        <f>HYPERLINK("01_STARTER/ST-057-EUR-03/01_Technical_File.docx","Open")</f>
        <v/>
      </c>
      <c r="K132" s="25" t="inlineStr">
        <is>
          <t>IA-PPWR-DOC-ST-057-EUR-03-R00</t>
        </is>
      </c>
      <c r="L132" s="31">
        <f>HYPERLINK("01_STARTER/ST-057-EUR-03/02_EU_DoC.docx","Open")</f>
        <v/>
      </c>
      <c r="M132" s="25" t="inlineStr">
        <is>
          <t>IA-PPWR-LBL-ST-057-EUR-03-R00</t>
        </is>
      </c>
      <c r="N132" s="31">
        <f>HYPERLINK("01_STARTER/ST-057-EUR-03/03_Label.docx","Open")</f>
        <v/>
      </c>
      <c r="O132" s="25" t="inlineStr">
        <is>
          <t>IA-PPWR-STM-ST-057-EUR-03-R00</t>
        </is>
      </c>
      <c r="P132" s="31">
        <f>HYPERLINK("01_STARTER/ST-057-EUR-03/04_Shipment_Statement.docx","Open")</f>
        <v/>
      </c>
      <c r="Q132" s="25" t="inlineStr">
        <is>
          <t>GENERATED / LINKED</t>
        </is>
      </c>
      <c r="R132" s="25" t="inlineStr">
        <is>
          <t>Rev.00</t>
        </is>
      </c>
    </row>
    <row r="133">
      <c r="A133" s="25" t="inlineStr">
        <is>
          <t>ST-057-EUR-04</t>
        </is>
      </c>
      <c r="B133" s="25" t="inlineStr">
        <is>
          <t>IA-ST-057-EUR-04</t>
        </is>
      </c>
      <c r="C133" s="25" t="inlineStr">
        <is>
          <t>L2, LB2 | Palet (4000038): 1 adet | Shrink film (4000558): 2.166 kg</t>
        </is>
      </c>
      <c r="D133" s="25" t="inlineStr">
        <is>
          <t>L2, LB2 | Pallet (4000038): 1 pc | Shrink film (4000558): 2.166 kg</t>
        </is>
      </c>
      <c r="E133" s="25" t="inlineStr">
        <is>
          <t>IA-ST-CFG-0163</t>
        </is>
      </c>
      <c r="F133" s="25" t="inlineStr">
        <is>
          <t>STARTER</t>
        </is>
      </c>
      <c r="G133" s="25" t="n">
        <v>29.8052</v>
      </c>
      <c r="H133" s="25" t="n">
        <v>9</v>
      </c>
      <c r="I133" s="25" t="inlineStr">
        <is>
          <t>IA-PPWR-TF-ST-057-EUR-04-R00</t>
        </is>
      </c>
      <c r="J133" s="31">
        <f>HYPERLINK("01_STARTER/ST-057-EUR-04/01_Technical_File.docx","Open")</f>
        <v/>
      </c>
      <c r="K133" s="25" t="inlineStr">
        <is>
          <t>IA-PPWR-DOC-ST-057-EUR-04-R00</t>
        </is>
      </c>
      <c r="L133" s="31">
        <f>HYPERLINK("01_STARTER/ST-057-EUR-04/02_EU_DoC.docx","Open")</f>
        <v/>
      </c>
      <c r="M133" s="25" t="inlineStr">
        <is>
          <t>IA-PPWR-LBL-ST-057-EUR-04-R00</t>
        </is>
      </c>
      <c r="N133" s="31">
        <f>HYPERLINK("01_STARTER/ST-057-EUR-04/03_Label.docx","Open")</f>
        <v/>
      </c>
      <c r="O133" s="25" t="inlineStr">
        <is>
          <t>IA-PPWR-STM-ST-057-EUR-04-R00</t>
        </is>
      </c>
      <c r="P133" s="31">
        <f>HYPERLINK("01_STARTER/ST-057-EUR-04/04_Shipment_Statement.docx","Open")</f>
        <v/>
      </c>
      <c r="Q133" s="25" t="inlineStr">
        <is>
          <t>GENERATED / LINKED</t>
        </is>
      </c>
      <c r="R133" s="25" t="inlineStr">
        <is>
          <t>Rev.00</t>
        </is>
      </c>
    </row>
    <row r="134">
      <c r="A134" s="25" t="inlineStr">
        <is>
          <t>ST-057-EUR-05</t>
        </is>
      </c>
      <c r="B134" s="25" t="inlineStr">
        <is>
          <t>IA-ST-057-EUR-05</t>
        </is>
      </c>
      <c r="C134" s="25" t="inlineStr">
        <is>
          <t>L2, LB2 | Palet (4000038): 1 adet | Shrink film (4000558): kullanılmaz | Köşebent (4000590): 2 adet</t>
        </is>
      </c>
      <c r="D134" s="25" t="inlineStr">
        <is>
          <t>L2, LB2 | Pallet (4000038): 1 pc | Shrink film (4000558): not used | Edge protector (4000590): 2 pcs</t>
        </is>
      </c>
      <c r="E134" s="25" t="inlineStr">
        <is>
          <t>IA-ST-CFG-0164</t>
        </is>
      </c>
      <c r="F134" s="25" t="inlineStr">
        <is>
          <t>STARTER</t>
        </is>
      </c>
      <c r="G134" s="25" t="n">
        <v>27.6392</v>
      </c>
      <c r="H134" s="25" t="n">
        <v>10</v>
      </c>
      <c r="I134" s="25" t="inlineStr">
        <is>
          <t>IA-PPWR-TF-ST-057-EUR-05-R00</t>
        </is>
      </c>
      <c r="J134" s="31">
        <f>HYPERLINK("01_STARTER/ST-057-EUR-05/01_Technical_File.docx","Open")</f>
        <v/>
      </c>
      <c r="K134" s="25" t="inlineStr">
        <is>
          <t>IA-PPWR-DOC-ST-057-EUR-05-R00</t>
        </is>
      </c>
      <c r="L134" s="31">
        <f>HYPERLINK("01_STARTER/ST-057-EUR-05/02_EU_DoC.docx","Open")</f>
        <v/>
      </c>
      <c r="M134" s="25" t="inlineStr">
        <is>
          <t>IA-PPWR-LBL-ST-057-EUR-05-R00</t>
        </is>
      </c>
      <c r="N134" s="31">
        <f>HYPERLINK("01_STARTER/ST-057-EUR-05/03_Label.docx","Open")</f>
        <v/>
      </c>
      <c r="O134" s="25" t="inlineStr">
        <is>
          <t>IA-PPWR-STM-ST-057-EUR-05-R00</t>
        </is>
      </c>
      <c r="P134" s="31">
        <f>HYPERLINK("01_STARTER/ST-057-EUR-05/04_Shipment_Statement.docx","Open")</f>
        <v/>
      </c>
      <c r="Q134" s="25" t="inlineStr">
        <is>
          <t>GENERATED / LINKED</t>
        </is>
      </c>
      <c r="R134" s="25" t="inlineStr">
        <is>
          <t>Rev.00</t>
        </is>
      </c>
    </row>
    <row r="135">
      <c r="A135" s="25" t="inlineStr">
        <is>
          <t>ST-057-STD-01</t>
        </is>
      </c>
      <c r="B135" s="25" t="inlineStr">
        <is>
          <t>IA-ST-057-STD-01</t>
        </is>
      </c>
      <c r="C135" s="25" t="inlineStr">
        <is>
          <t>D26 | D26 İnciEFBPANTERA pencereli YÜKSEK DL dış koli (4001271): 57 adet</t>
        </is>
      </c>
      <c r="D135" s="25" t="inlineStr">
        <is>
          <t>D26 | D26 İnciEFBPANTERA windowed YÜKSEK DL outer carton (4001271): 57 pcs</t>
        </is>
      </c>
      <c r="E135" s="25" t="inlineStr">
        <is>
          <t>IA-ST-CFG-0155</t>
        </is>
      </c>
      <c r="F135" s="25" t="inlineStr">
        <is>
          <t>STARTER</t>
        </is>
      </c>
      <c r="G135" s="25" t="n">
        <v>50.954</v>
      </c>
      <c r="H135" s="25" t="n">
        <v>1</v>
      </c>
      <c r="I135" s="25" t="inlineStr">
        <is>
          <t>IA-PPWR-TF-ST-057-STD-01-R00</t>
        </is>
      </c>
      <c r="J135" s="31">
        <f>HYPERLINK("01_STARTER/ST-057-STD-01/01_Technical_File.docx","Open")</f>
        <v/>
      </c>
      <c r="K135" s="25" t="inlineStr">
        <is>
          <t>IA-PPWR-DOC-ST-057-STD-01-R00</t>
        </is>
      </c>
      <c r="L135" s="31">
        <f>HYPERLINK("01_STARTER/ST-057-STD-01/02_EU_DoC.docx","Open")</f>
        <v/>
      </c>
      <c r="M135" s="25" t="inlineStr">
        <is>
          <t>IA-PPWR-LBL-ST-057-STD-01-R00</t>
        </is>
      </c>
      <c r="N135" s="31">
        <f>HYPERLINK("01_STARTER/ST-057-STD-01/03_Label.docx","Open")</f>
        <v/>
      </c>
      <c r="O135" s="25" t="inlineStr">
        <is>
          <t>IA-PPWR-STM-ST-057-STD-01-R00</t>
        </is>
      </c>
      <c r="P135" s="31">
        <f>HYPERLINK("01_STARTER/ST-057-STD-01/04_Shipment_Statement.docx","Open")</f>
        <v/>
      </c>
      <c r="Q135" s="25" t="inlineStr">
        <is>
          <t>GENERATED / LINKED</t>
        </is>
      </c>
      <c r="R135" s="25" t="inlineStr">
        <is>
          <t>Rev.00</t>
        </is>
      </c>
    </row>
    <row r="136">
      <c r="A136" s="25" t="inlineStr">
        <is>
          <t>ST-057-STD-02</t>
        </is>
      </c>
      <c r="B136" s="25" t="inlineStr">
        <is>
          <t>IA-ST-057-STD-02</t>
        </is>
      </c>
      <c r="C136" s="25" t="inlineStr">
        <is>
          <t>D26 | D26 EAS Activa penceresiz (YÜKSEK) dış koli (4001287): 57 adet</t>
        </is>
      </c>
      <c r="D136" s="25" t="inlineStr">
        <is>
          <t>D26 | D26 EAS Activa windowless (YÜKSEK) outer carton (4001287): 57 pcs</t>
        </is>
      </c>
      <c r="E136" s="25" t="inlineStr">
        <is>
          <t>IA-ST-CFG-0156</t>
        </is>
      </c>
      <c r="F136" s="25" t="inlineStr">
        <is>
          <t>STARTER</t>
        </is>
      </c>
      <c r="G136" s="25" t="n">
        <v>50.954</v>
      </c>
      <c r="H136" s="25" t="n">
        <v>1</v>
      </c>
      <c r="I136" s="25" t="inlineStr">
        <is>
          <t>IA-PPWR-TF-ST-057-STD-02-R00</t>
        </is>
      </c>
      <c r="J136" s="31">
        <f>HYPERLINK("01_STARTER/ST-057-STD-02/01_Technical_File.docx","Open")</f>
        <v/>
      </c>
      <c r="K136" s="25" t="inlineStr">
        <is>
          <t>IA-PPWR-DOC-ST-057-STD-02-R00</t>
        </is>
      </c>
      <c r="L136" s="31">
        <f>HYPERLINK("01_STARTER/ST-057-STD-02/02_EU_DoC.docx","Open")</f>
        <v/>
      </c>
      <c r="M136" s="25" t="inlineStr">
        <is>
          <t>IA-PPWR-LBL-ST-057-STD-02-R00</t>
        </is>
      </c>
      <c r="N136" s="31">
        <f>HYPERLINK("01_STARTER/ST-057-STD-02/03_Label.docx","Open")</f>
        <v/>
      </c>
      <c r="O136" s="25" t="inlineStr">
        <is>
          <t>IA-PPWR-STM-ST-057-STD-02-R00</t>
        </is>
      </c>
      <c r="P136" s="31">
        <f>HYPERLINK("01_STARTER/ST-057-STD-02/04_Shipment_Statement.docx","Open")</f>
        <v/>
      </c>
      <c r="Q136" s="25" t="inlineStr">
        <is>
          <t>GENERATED / LINKED</t>
        </is>
      </c>
      <c r="R136" s="25" t="inlineStr">
        <is>
          <t>Rev.00</t>
        </is>
      </c>
    </row>
    <row r="137">
      <c r="A137" s="25" t="inlineStr">
        <is>
          <t>ST-057-STD-03</t>
        </is>
      </c>
      <c r="B137" s="25" t="inlineStr">
        <is>
          <t>IA-ST-057-STD-03</t>
        </is>
      </c>
      <c r="C137" s="25" t="inlineStr">
        <is>
          <t>D26 | D26 YUASA ORTADOĞU penceresiz dış koli (4001289): 57 adet</t>
        </is>
      </c>
      <c r="D137" s="25" t="inlineStr">
        <is>
          <t>D26 | D26 YUASA ORTADOĞU windowless outer carton (4001289): 57 pcs</t>
        </is>
      </c>
      <c r="E137" s="25" t="inlineStr">
        <is>
          <t>IA-ST-CFG-0157</t>
        </is>
      </c>
      <c r="F137" s="25" t="inlineStr">
        <is>
          <t>STARTER</t>
        </is>
      </c>
      <c r="G137" s="25" t="n">
        <v>50.954</v>
      </c>
      <c r="H137" s="25" t="n">
        <v>2</v>
      </c>
      <c r="I137" s="25" t="inlineStr">
        <is>
          <t>IA-PPWR-TF-ST-057-STD-03-R00</t>
        </is>
      </c>
      <c r="J137" s="31">
        <f>HYPERLINK("01_STARTER/ST-057-STD-03/01_Technical_File.docx","Open")</f>
        <v/>
      </c>
      <c r="K137" s="25" t="inlineStr">
        <is>
          <t>IA-PPWR-DOC-ST-057-STD-03-R00</t>
        </is>
      </c>
      <c r="L137" s="31">
        <f>HYPERLINK("01_STARTER/ST-057-STD-03/02_EU_DoC.docx","Open")</f>
        <v/>
      </c>
      <c r="M137" s="25" t="inlineStr">
        <is>
          <t>IA-PPWR-LBL-ST-057-STD-03-R00</t>
        </is>
      </c>
      <c r="N137" s="31">
        <f>HYPERLINK("01_STARTER/ST-057-STD-03/03_Label.docx","Open")</f>
        <v/>
      </c>
      <c r="O137" s="25" t="inlineStr">
        <is>
          <t>IA-PPWR-STM-ST-057-STD-03-R00</t>
        </is>
      </c>
      <c r="P137" s="31">
        <f>HYPERLINK("01_STARTER/ST-057-STD-03/04_Shipment_Statement.docx","Open")</f>
        <v/>
      </c>
      <c r="Q137" s="25" t="inlineStr">
        <is>
          <t>GENERATED / LINKED</t>
        </is>
      </c>
      <c r="R137" s="25" t="inlineStr">
        <is>
          <t>Rev.00</t>
        </is>
      </c>
    </row>
    <row r="138">
      <c r="A138" s="25" t="inlineStr">
        <is>
          <t>ST-060-EUR-01</t>
        </is>
      </c>
      <c r="B138" s="25" t="inlineStr">
        <is>
          <t>IA-ST-060-EUR-01</t>
        </is>
      </c>
      <c r="C138" s="25" t="inlineStr">
        <is>
          <t>D23 | D23 YUASA penceresiz Orta Doğu dış koli (4001106): 60 adet</t>
        </is>
      </c>
      <c r="D138" s="25" t="inlineStr">
        <is>
          <t>D23 | D23 YUASA windowless Middle East outer carton (4001106): 60 pcs</t>
        </is>
      </c>
      <c r="E138" s="25" t="inlineStr">
        <is>
          <t>IA-ST-CFG-0170</t>
        </is>
      </c>
      <c r="F138" s="25" t="inlineStr">
        <is>
          <t>STARTER</t>
        </is>
      </c>
      <c r="G138" s="25" t="n">
        <v>46.6702</v>
      </c>
      <c r="H138" s="25" t="n">
        <v>1</v>
      </c>
      <c r="I138" s="25" t="inlineStr">
        <is>
          <t>IA-PPWR-TF-ST-060-EUR-01-R00</t>
        </is>
      </c>
      <c r="J138" s="31">
        <f>HYPERLINK("01_STARTER/ST-060-EUR-01/01_Technical_File.docx","Open")</f>
        <v/>
      </c>
      <c r="K138" s="25" t="inlineStr">
        <is>
          <t>IA-PPWR-DOC-ST-060-EUR-01-R00</t>
        </is>
      </c>
      <c r="L138" s="31">
        <f>HYPERLINK("01_STARTER/ST-060-EUR-01/02_EU_DoC.docx","Open")</f>
        <v/>
      </c>
      <c r="M138" s="25" t="inlineStr">
        <is>
          <t>IA-PPWR-LBL-ST-060-EUR-01-R00</t>
        </is>
      </c>
      <c r="N138" s="31">
        <f>HYPERLINK("01_STARTER/ST-060-EUR-01/03_Label.docx","Open")</f>
        <v/>
      </c>
      <c r="O138" s="25" t="inlineStr">
        <is>
          <t>IA-PPWR-STM-ST-060-EUR-01-R00</t>
        </is>
      </c>
      <c r="P138" s="31">
        <f>HYPERLINK("01_STARTER/ST-060-EUR-01/04_Shipment_Statement.docx","Open")</f>
        <v/>
      </c>
      <c r="Q138" s="25" t="inlineStr">
        <is>
          <t>GENERATED / LINKED</t>
        </is>
      </c>
      <c r="R138" s="25" t="inlineStr">
        <is>
          <t>Rev.00</t>
        </is>
      </c>
    </row>
    <row r="139">
      <c r="A139" s="25" t="inlineStr">
        <is>
          <t>ST-060-EUR-02</t>
        </is>
      </c>
      <c r="B139" s="25" t="inlineStr">
        <is>
          <t>IA-ST-060-EUR-02</t>
        </is>
      </c>
      <c r="C139" s="25" t="inlineStr">
        <is>
          <t>D23 | D23 PVC üst kapak (4000461): 60 adet</t>
        </is>
      </c>
      <c r="D139" s="25" t="inlineStr">
        <is>
          <t>D23 | D23 PVC upper cover (4000461): 60 pcs</t>
        </is>
      </c>
      <c r="E139" s="25" t="inlineStr">
        <is>
          <t>IA-ST-CFG-0171</t>
        </is>
      </c>
      <c r="F139" s="25" t="inlineStr">
        <is>
          <t>STARTER</t>
        </is>
      </c>
      <c r="G139" s="25" t="n">
        <v>32.9834</v>
      </c>
      <c r="H139" s="25" t="n">
        <v>13</v>
      </c>
      <c r="I139" s="25" t="inlineStr">
        <is>
          <t>IA-PPWR-TF-ST-060-EUR-02-R00</t>
        </is>
      </c>
      <c r="J139" s="31">
        <f>HYPERLINK("01_STARTER/ST-060-EUR-02/01_Technical_File.docx","Open")</f>
        <v/>
      </c>
      <c r="K139" s="25" t="inlineStr">
        <is>
          <t>IA-PPWR-DOC-ST-060-EUR-02-R00</t>
        </is>
      </c>
      <c r="L139" s="31">
        <f>HYPERLINK("01_STARTER/ST-060-EUR-02/02_EU_DoC.docx","Open")</f>
        <v/>
      </c>
      <c r="M139" s="25" t="inlineStr">
        <is>
          <t>IA-PPWR-LBL-ST-060-EUR-02-R00</t>
        </is>
      </c>
      <c r="N139" s="31">
        <f>HYPERLINK("01_STARTER/ST-060-EUR-02/03_Label.docx","Open")</f>
        <v/>
      </c>
      <c r="O139" s="25" t="inlineStr">
        <is>
          <t>IA-PPWR-STM-ST-060-EUR-02-R00</t>
        </is>
      </c>
      <c r="P139" s="31">
        <f>HYPERLINK("01_STARTER/ST-060-EUR-02/04_Shipment_Statement.docx","Open")</f>
        <v/>
      </c>
      <c r="Q139" s="25" t="inlineStr">
        <is>
          <t>GENERATED / LINKED</t>
        </is>
      </c>
      <c r="R139" s="25" t="inlineStr">
        <is>
          <t>Rev.00</t>
        </is>
      </c>
    </row>
    <row r="140">
      <c r="A140" s="25" t="inlineStr">
        <is>
          <t>ST-060-STD-01</t>
        </is>
      </c>
      <c r="B140" s="25" t="inlineStr">
        <is>
          <t>IA-ST-060-STD-01</t>
        </is>
      </c>
      <c r="C140" s="25" t="inlineStr">
        <is>
          <t>L5 | L5 EAS Activa penceresiz dış koli (4001006): 60 adet</t>
        </is>
      </c>
      <c r="D140" s="25" t="inlineStr">
        <is>
          <t>L5 | L5 EAS Activa windowless outer carton (4001006): 60 pcs</t>
        </is>
      </c>
      <c r="E140" s="25" t="inlineStr">
        <is>
          <t>IA-ST-CFG-0165</t>
        </is>
      </c>
      <c r="F140" s="25" t="inlineStr">
        <is>
          <t>STARTER</t>
        </is>
      </c>
      <c r="G140" s="25" t="n">
        <v>49.136</v>
      </c>
      <c r="H140" s="25" t="n">
        <v>2</v>
      </c>
      <c r="I140" s="25" t="inlineStr">
        <is>
          <t>IA-PPWR-TF-ST-060-STD-01-R00</t>
        </is>
      </c>
      <c r="J140" s="31">
        <f>HYPERLINK("01_STARTER/ST-060-STD-01/01_Technical_File.docx","Open")</f>
        <v/>
      </c>
      <c r="K140" s="25" t="inlineStr">
        <is>
          <t>IA-PPWR-DOC-ST-060-STD-01-R00</t>
        </is>
      </c>
      <c r="L140" s="31">
        <f>HYPERLINK("01_STARTER/ST-060-STD-01/02_EU_DoC.docx","Open")</f>
        <v/>
      </c>
      <c r="M140" s="25" t="inlineStr">
        <is>
          <t>IA-PPWR-LBL-ST-060-STD-01-R00</t>
        </is>
      </c>
      <c r="N140" s="31">
        <f>HYPERLINK("01_STARTER/ST-060-STD-01/03_Label.docx","Open")</f>
        <v/>
      </c>
      <c r="O140" s="25" t="inlineStr">
        <is>
          <t>IA-PPWR-STM-ST-060-STD-01-R00</t>
        </is>
      </c>
      <c r="P140" s="31">
        <f>HYPERLINK("01_STARTER/ST-060-STD-01/04_Shipment_Statement.docx","Open")</f>
        <v/>
      </c>
      <c r="Q140" s="25" t="inlineStr">
        <is>
          <t>GENERATED / LINKED</t>
        </is>
      </c>
      <c r="R140" s="25" t="inlineStr">
        <is>
          <t>Rev.00</t>
        </is>
      </c>
    </row>
    <row r="141">
      <c r="A141" s="25" t="inlineStr">
        <is>
          <t>ST-060-STD-02</t>
        </is>
      </c>
      <c r="B141" s="25" t="inlineStr">
        <is>
          <t>IA-ST-060-STD-02</t>
        </is>
      </c>
      <c r="C141" s="25" t="inlineStr">
        <is>
          <t>L5 | L5 YUASA penceresiz Orta Doğu dış koli (4001105): 60 adet</t>
        </is>
      </c>
      <c r="D141" s="25" t="inlineStr">
        <is>
          <t>L5 | L5 YUASA windowless Middle East outer carton (4001105): 60 pcs</t>
        </is>
      </c>
      <c r="E141" s="25" t="inlineStr">
        <is>
          <t>IA-ST-CFG-0166</t>
        </is>
      </c>
      <c r="F141" s="25" t="inlineStr">
        <is>
          <t>STARTER</t>
        </is>
      </c>
      <c r="G141" s="25" t="n">
        <v>49.136</v>
      </c>
      <c r="H141" s="25" t="n">
        <v>2</v>
      </c>
      <c r="I141" s="25" t="inlineStr">
        <is>
          <t>IA-PPWR-TF-ST-060-STD-02-R00</t>
        </is>
      </c>
      <c r="J141" s="31">
        <f>HYPERLINK("01_STARTER/ST-060-STD-02/01_Technical_File.docx","Open")</f>
        <v/>
      </c>
      <c r="K141" s="25" t="inlineStr">
        <is>
          <t>IA-PPWR-DOC-ST-060-STD-02-R00</t>
        </is>
      </c>
      <c r="L141" s="31">
        <f>HYPERLINK("01_STARTER/ST-060-STD-02/02_EU_DoC.docx","Open")</f>
        <v/>
      </c>
      <c r="M141" s="25" t="inlineStr">
        <is>
          <t>IA-PPWR-LBL-ST-060-STD-02-R00</t>
        </is>
      </c>
      <c r="N141" s="31">
        <f>HYPERLINK("01_STARTER/ST-060-STD-02/03_Label.docx","Open")</f>
        <v/>
      </c>
      <c r="O141" s="25" t="inlineStr">
        <is>
          <t>IA-PPWR-STM-ST-060-STD-02-R00</t>
        </is>
      </c>
      <c r="P141" s="31">
        <f>HYPERLINK("01_STARTER/ST-060-STD-02/04_Shipment_Statement.docx","Open")</f>
        <v/>
      </c>
      <c r="Q141" s="25" t="inlineStr">
        <is>
          <t>GENERATED / LINKED</t>
        </is>
      </c>
      <c r="R141" s="25" t="inlineStr">
        <is>
          <t>Rev.00</t>
        </is>
      </c>
    </row>
    <row r="142">
      <c r="A142" s="25" t="inlineStr">
        <is>
          <t>ST-060-STD-03</t>
        </is>
      </c>
      <c r="B142" s="25" t="inlineStr">
        <is>
          <t>IA-ST-060-STD-03</t>
        </is>
      </c>
      <c r="C142" s="25" t="inlineStr">
        <is>
          <t>L5 | L5 İnci EFB MAX TIGRIS pencereli 2020 dış koli (4001274): 60 adet</t>
        </is>
      </c>
      <c r="D142" s="25" t="inlineStr">
        <is>
          <t>L5 | L5 İnci EFB MAX TIGRIS windowed 2020 outer carton (4001274): 60 pcs</t>
        </is>
      </c>
      <c r="E142" s="25" t="inlineStr">
        <is>
          <t>IA-ST-CFG-0167</t>
        </is>
      </c>
      <c r="F142" s="25" t="inlineStr">
        <is>
          <t>STARTER</t>
        </is>
      </c>
      <c r="G142" s="25" t="n">
        <v>49.136</v>
      </c>
      <c r="H142" s="25" t="n">
        <v>1</v>
      </c>
      <c r="I142" s="25" t="inlineStr">
        <is>
          <t>IA-PPWR-TF-ST-060-STD-03-R00</t>
        </is>
      </c>
      <c r="J142" s="31">
        <f>HYPERLINK("01_STARTER/ST-060-STD-03/01_Technical_File.docx","Open")</f>
        <v/>
      </c>
      <c r="K142" s="25" t="inlineStr">
        <is>
          <t>IA-PPWR-DOC-ST-060-STD-03-R00</t>
        </is>
      </c>
      <c r="L142" s="31">
        <f>HYPERLINK("01_STARTER/ST-060-STD-03/02_EU_DoC.docx","Open")</f>
        <v/>
      </c>
      <c r="M142" s="25" t="inlineStr">
        <is>
          <t>IA-PPWR-LBL-ST-060-STD-03-R00</t>
        </is>
      </c>
      <c r="N142" s="31">
        <f>HYPERLINK("01_STARTER/ST-060-STD-03/03_Label.docx","Open")</f>
        <v/>
      </c>
      <c r="O142" s="25" t="inlineStr">
        <is>
          <t>IA-PPWR-STM-ST-060-STD-03-R00</t>
        </is>
      </c>
      <c r="P142" s="31">
        <f>HYPERLINK("01_STARTER/ST-060-STD-03/04_Shipment_Statement.docx","Open")</f>
        <v/>
      </c>
      <c r="Q142" s="25" t="inlineStr">
        <is>
          <t>GENERATED / LINKED</t>
        </is>
      </c>
      <c r="R142" s="25" t="inlineStr">
        <is>
          <t>Rev.00</t>
        </is>
      </c>
    </row>
    <row r="143">
      <c r="A143" s="25" t="inlineStr">
        <is>
          <t>ST-060-STD-04</t>
        </is>
      </c>
      <c r="B143" s="25" t="inlineStr">
        <is>
          <t>IA-ST-060-STD-04</t>
        </is>
      </c>
      <c r="C143" s="25" t="inlineStr">
        <is>
          <t>L5 | L5 İnciEFBPANTRA pencereli 90AH830A DL dış koli (4001320): 60 adet</t>
        </is>
      </c>
      <c r="D143" s="25" t="inlineStr">
        <is>
          <t>L5 | L5 İnciEFBPANTRA windowed 90AH830A DL outer carton (4001320): 60 pcs</t>
        </is>
      </c>
      <c r="E143" s="25" t="inlineStr">
        <is>
          <t>IA-ST-CFG-0168</t>
        </is>
      </c>
      <c r="F143" s="25" t="inlineStr">
        <is>
          <t>STARTER</t>
        </is>
      </c>
      <c r="G143" s="25" t="n">
        <v>49.136</v>
      </c>
      <c r="H143" s="25" t="n">
        <v>1</v>
      </c>
      <c r="I143" s="25" t="inlineStr">
        <is>
          <t>IA-PPWR-TF-ST-060-STD-04-R00</t>
        </is>
      </c>
      <c r="J143" s="31">
        <f>HYPERLINK("01_STARTER/ST-060-STD-04/01_Technical_File.docx","Open")</f>
        <v/>
      </c>
      <c r="K143" s="25" t="inlineStr">
        <is>
          <t>IA-PPWR-DOC-ST-060-STD-04-R00</t>
        </is>
      </c>
      <c r="L143" s="31">
        <f>HYPERLINK("01_STARTER/ST-060-STD-04/02_EU_DoC.docx","Open")</f>
        <v/>
      </c>
      <c r="M143" s="25" t="inlineStr">
        <is>
          <t>IA-PPWR-LBL-ST-060-STD-04-R00</t>
        </is>
      </c>
      <c r="N143" s="31">
        <f>HYPERLINK("01_STARTER/ST-060-STD-04/03_Label.docx","Open")</f>
        <v/>
      </c>
      <c r="O143" s="25" t="inlineStr">
        <is>
          <t>IA-PPWR-STM-ST-060-STD-04-R00</t>
        </is>
      </c>
      <c r="P143" s="31">
        <f>HYPERLINK("01_STARTER/ST-060-STD-04/04_Shipment_Statement.docx","Open")</f>
        <v/>
      </c>
      <c r="Q143" s="25" t="inlineStr">
        <is>
          <t>GENERATED / LINKED</t>
        </is>
      </c>
      <c r="R143" s="25" t="inlineStr">
        <is>
          <t>Rev.00</t>
        </is>
      </c>
    </row>
    <row r="144">
      <c r="A144" s="25" t="inlineStr">
        <is>
          <t>ST-060-STD-05</t>
        </is>
      </c>
      <c r="B144" s="25" t="inlineStr">
        <is>
          <t>IA-ST-060-STD-05</t>
        </is>
      </c>
      <c r="C144" s="25" t="inlineStr">
        <is>
          <t>L5 | L5 İnci FORMULA-MAXIMA 2019 dış koli (4001208): 60 adet</t>
        </is>
      </c>
      <c r="D144" s="25" t="inlineStr">
        <is>
          <t>L5 | L5 İnci FORMULA-MAXIMA 2019 outer carton (4001208): 60 pcs</t>
        </is>
      </c>
      <c r="E144" s="25" t="inlineStr">
        <is>
          <t>IA-ST-CFG-0169</t>
        </is>
      </c>
      <c r="F144" s="25" t="inlineStr">
        <is>
          <t>STARTER</t>
        </is>
      </c>
      <c r="G144" s="25" t="n">
        <v>49.556</v>
      </c>
      <c r="H144" s="25" t="n">
        <v>1</v>
      </c>
      <c r="I144" s="25" t="inlineStr">
        <is>
          <t>IA-PPWR-TF-ST-060-STD-05-R00</t>
        </is>
      </c>
      <c r="J144" s="31">
        <f>HYPERLINK("01_STARTER/ST-060-STD-05/01_Technical_File.docx","Open")</f>
        <v/>
      </c>
      <c r="K144" s="25" t="inlineStr">
        <is>
          <t>IA-PPWR-DOC-ST-060-STD-05-R00</t>
        </is>
      </c>
      <c r="L144" s="31">
        <f>HYPERLINK("01_STARTER/ST-060-STD-05/02_EU_DoC.docx","Open")</f>
        <v/>
      </c>
      <c r="M144" s="25" t="inlineStr">
        <is>
          <t>IA-PPWR-LBL-ST-060-STD-05-R00</t>
        </is>
      </c>
      <c r="N144" s="31">
        <f>HYPERLINK("01_STARTER/ST-060-STD-05/03_Label.docx","Open")</f>
        <v/>
      </c>
      <c r="O144" s="25" t="inlineStr">
        <is>
          <t>IA-PPWR-STM-ST-060-STD-05-R00</t>
        </is>
      </c>
      <c r="P144" s="31">
        <f>HYPERLINK("01_STARTER/ST-060-STD-05/04_Shipment_Statement.docx","Open")</f>
        <v/>
      </c>
      <c r="Q144" s="25" t="inlineStr">
        <is>
          <t>GENERATED / LINKED</t>
        </is>
      </c>
      <c r="R144" s="25" t="inlineStr">
        <is>
          <t>Rev.00</t>
        </is>
      </c>
    </row>
    <row r="145">
      <c r="A145" s="25" t="inlineStr">
        <is>
          <t>ST-063-EUR-01</t>
        </is>
      </c>
      <c r="B145" s="25" t="inlineStr">
        <is>
          <t>IA-ST-063-EUR-01</t>
        </is>
      </c>
      <c r="C145" s="25" t="inlineStr">
        <is>
          <t>D23 | Palet (4000038): 1 adet | Honeycomb (4001186): 3 adet</t>
        </is>
      </c>
      <c r="D145" s="25" t="inlineStr">
        <is>
          <t>D23 | Pallet (4000038): 1 pc | Honeycomb (4001186): 3 pcs</t>
        </is>
      </c>
      <c r="E145" s="25" t="inlineStr">
        <is>
          <t>IA-ST-CFG-0188</t>
        </is>
      </c>
      <c r="F145" s="25" t="inlineStr">
        <is>
          <t>STARTER</t>
        </is>
      </c>
      <c r="G145" s="25" t="n">
        <v>30.326</v>
      </c>
      <c r="H145" s="25" t="n">
        <v>7</v>
      </c>
      <c r="I145" s="25" t="inlineStr">
        <is>
          <t>IA-PPWR-TF-ST-063-EUR-01-R00</t>
        </is>
      </c>
      <c r="J145" s="31">
        <f>HYPERLINK("01_STARTER/ST-063-EUR-01/01_Technical_File.docx","Open")</f>
        <v/>
      </c>
      <c r="K145" s="25" t="inlineStr">
        <is>
          <t>IA-PPWR-DOC-ST-063-EUR-01-R00</t>
        </is>
      </c>
      <c r="L145" s="31">
        <f>HYPERLINK("01_STARTER/ST-063-EUR-01/02_EU_DoC.docx","Open")</f>
        <v/>
      </c>
      <c r="M145" s="25" t="inlineStr">
        <is>
          <t>IA-PPWR-LBL-ST-063-EUR-01-R00</t>
        </is>
      </c>
      <c r="N145" s="31">
        <f>HYPERLINK("01_STARTER/ST-063-EUR-01/03_Label.docx","Open")</f>
        <v/>
      </c>
      <c r="O145" s="25" t="inlineStr">
        <is>
          <t>IA-PPWR-STM-ST-063-EUR-01-R00</t>
        </is>
      </c>
      <c r="P145" s="31">
        <f>HYPERLINK("01_STARTER/ST-063-EUR-01/04_Shipment_Statement.docx","Open")</f>
        <v/>
      </c>
      <c r="Q145" s="25" t="inlineStr">
        <is>
          <t>GENERATED / LINKED</t>
        </is>
      </c>
      <c r="R145" s="25" t="inlineStr">
        <is>
          <t>Rev.00</t>
        </is>
      </c>
    </row>
    <row r="146">
      <c r="A146" s="25" t="inlineStr">
        <is>
          <t>ST-063-EUR-02</t>
        </is>
      </c>
      <c r="B146" s="25" t="inlineStr">
        <is>
          <t>IA-ST-063-EUR-02</t>
        </is>
      </c>
      <c r="C146" s="25" t="inlineStr">
        <is>
          <t>D23 | Palet (4000038): 1 adet | EPS (4001247): 3 adet</t>
        </is>
      </c>
      <c r="D146" s="25" t="inlineStr">
        <is>
          <t>D23 | Pallet (4000038): 1 pc | EPS (4001247): 3 pcs</t>
        </is>
      </c>
      <c r="E146" s="25" t="inlineStr">
        <is>
          <t>IA-ST-CFG-0189</t>
        </is>
      </c>
      <c r="F146" s="25" t="inlineStr">
        <is>
          <t>STARTER</t>
        </is>
      </c>
      <c r="G146" s="25" t="n">
        <v>27.506</v>
      </c>
      <c r="H146" s="25" t="n">
        <v>3</v>
      </c>
      <c r="I146" s="25" t="inlineStr">
        <is>
          <t>IA-PPWR-TF-ST-063-EUR-02-R00</t>
        </is>
      </c>
      <c r="J146" s="31">
        <f>HYPERLINK("01_STARTER/ST-063-EUR-02/01_Technical_File.docx","Open")</f>
        <v/>
      </c>
      <c r="K146" s="25" t="inlineStr">
        <is>
          <t>IA-PPWR-DOC-ST-063-EUR-02-R00</t>
        </is>
      </c>
      <c r="L146" s="31">
        <f>HYPERLINK("01_STARTER/ST-063-EUR-02/02_EU_DoC.docx","Open")</f>
        <v/>
      </c>
      <c r="M146" s="25" t="inlineStr">
        <is>
          <t>IA-PPWR-LBL-ST-063-EUR-02-R00</t>
        </is>
      </c>
      <c r="N146" s="31">
        <f>HYPERLINK("01_STARTER/ST-063-EUR-02/03_Label.docx","Open")</f>
        <v/>
      </c>
      <c r="O146" s="25" t="inlineStr">
        <is>
          <t>IA-PPWR-STM-ST-063-EUR-02-R00</t>
        </is>
      </c>
      <c r="P146" s="31">
        <f>HYPERLINK("01_STARTER/ST-063-EUR-02/04_Shipment_Statement.docx","Open")</f>
        <v/>
      </c>
      <c r="Q146" s="25" t="inlineStr">
        <is>
          <t>GENERATED / LINKED</t>
        </is>
      </c>
      <c r="R146" s="25" t="inlineStr">
        <is>
          <t>Rev.00</t>
        </is>
      </c>
    </row>
    <row r="147">
      <c r="A147" s="25" t="inlineStr">
        <is>
          <t>ST-063-STD-01</t>
        </is>
      </c>
      <c r="B147" s="25" t="inlineStr">
        <is>
          <t>IA-ST-063-STD-01</t>
        </is>
      </c>
      <c r="C147" s="25" t="inlineStr">
        <is>
          <t>D23 | D23 İnci EFBPANTERA YÜKSEK PENLİ DL dış koli (4001270): 63 adet</t>
        </is>
      </c>
      <c r="D147" s="25" t="inlineStr">
        <is>
          <t>D23 | D23 İnci EFBPANTERA YÜKSEK PENLİ DL outer carton (4001270): 63 pcs</t>
        </is>
      </c>
      <c r="E147" s="25" t="inlineStr">
        <is>
          <t>IA-ST-CFG-0172</t>
        </is>
      </c>
      <c r="F147" s="25" t="inlineStr">
        <is>
          <t>STARTER</t>
        </is>
      </c>
      <c r="G147" s="25" t="n">
        <v>47.40341</v>
      </c>
      <c r="H147" s="25" t="n">
        <v>1</v>
      </c>
      <c r="I147" s="25" t="inlineStr">
        <is>
          <t>IA-PPWR-TF-ST-063-STD-01-R00</t>
        </is>
      </c>
      <c r="J147" s="31">
        <f>HYPERLINK("01_STARTER/ST-063-STD-01/01_Technical_File.docx","Open")</f>
        <v/>
      </c>
      <c r="K147" s="25" t="inlineStr">
        <is>
          <t>IA-PPWR-DOC-ST-063-STD-01-R00</t>
        </is>
      </c>
      <c r="L147" s="31">
        <f>HYPERLINK("01_STARTER/ST-063-STD-01/02_EU_DoC.docx","Open")</f>
        <v/>
      </c>
      <c r="M147" s="25" t="inlineStr">
        <is>
          <t>IA-PPWR-LBL-ST-063-STD-01-R00</t>
        </is>
      </c>
      <c r="N147" s="31">
        <f>HYPERLINK("01_STARTER/ST-063-STD-01/03_Label.docx","Open")</f>
        <v/>
      </c>
      <c r="O147" s="25" t="inlineStr">
        <is>
          <t>IA-PPWR-STM-ST-063-STD-01-R00</t>
        </is>
      </c>
      <c r="P147" s="31">
        <f>HYPERLINK("01_STARTER/ST-063-STD-01/04_Shipment_Statement.docx","Open")</f>
        <v/>
      </c>
      <c r="Q147" s="25" t="inlineStr">
        <is>
          <t>GENERATED / LINKED</t>
        </is>
      </c>
      <c r="R147" s="25" t="inlineStr">
        <is>
          <t>Rev.00</t>
        </is>
      </c>
    </row>
    <row r="148">
      <c r="A148" s="25" t="inlineStr">
        <is>
          <t>ST-063-STD-02</t>
        </is>
      </c>
      <c r="B148" s="25" t="inlineStr">
        <is>
          <t>IA-ST-063-STD-02</t>
        </is>
      </c>
      <c r="C148" s="25" t="inlineStr">
        <is>
          <t>D26 | Palet (4000037): 1 adet | Separatör (4000130): 1 adet | EPS (4000370): 3 adet</t>
        </is>
      </c>
      <c r="D148" s="25" t="inlineStr">
        <is>
          <t>D26 | Pallet (4000037): 1 pc | Separator (4000130): 1 pc | EPS (4000370): 3 pcs</t>
        </is>
      </c>
      <c r="E148" s="25" t="inlineStr">
        <is>
          <t>IA-ST-CFG-0173</t>
        </is>
      </c>
      <c r="F148" s="25" t="inlineStr">
        <is>
          <t>STARTER</t>
        </is>
      </c>
      <c r="G148" s="25" t="n">
        <v>27.708</v>
      </c>
      <c r="H148" s="25" t="n">
        <v>2</v>
      </c>
      <c r="I148" s="25" t="inlineStr">
        <is>
          <t>IA-PPWR-TF-ST-063-STD-02-R00</t>
        </is>
      </c>
      <c r="J148" s="31">
        <f>HYPERLINK("01_STARTER/ST-063-STD-02/01_Technical_File.docx","Open")</f>
        <v/>
      </c>
      <c r="K148" s="25" t="inlineStr">
        <is>
          <t>IA-PPWR-DOC-ST-063-STD-02-R00</t>
        </is>
      </c>
      <c r="L148" s="31">
        <f>HYPERLINK("01_STARTER/ST-063-STD-02/02_EU_DoC.docx","Open")</f>
        <v/>
      </c>
      <c r="M148" s="25" t="inlineStr">
        <is>
          <t>IA-PPWR-LBL-ST-063-STD-02-R00</t>
        </is>
      </c>
      <c r="N148" s="31">
        <f>HYPERLINK("01_STARTER/ST-063-STD-02/03_Label.docx","Open")</f>
        <v/>
      </c>
      <c r="O148" s="25" t="inlineStr">
        <is>
          <t>IA-PPWR-STM-ST-063-STD-02-R00</t>
        </is>
      </c>
      <c r="P148" s="31">
        <f>HYPERLINK("01_STARTER/ST-063-STD-02/04_Shipment_Statement.docx","Open")</f>
        <v/>
      </c>
      <c r="Q148" s="25" t="inlineStr">
        <is>
          <t>GENERATED / LINKED</t>
        </is>
      </c>
      <c r="R148" s="25" t="inlineStr">
        <is>
          <t>Rev.00</t>
        </is>
      </c>
    </row>
    <row r="149">
      <c r="A149" s="25" t="inlineStr">
        <is>
          <t>ST-063-STD-03</t>
        </is>
      </c>
      <c r="B149" s="25" t="inlineStr">
        <is>
          <t>IA-ST-063-STD-03</t>
        </is>
      </c>
      <c r="C149" s="25" t="inlineStr">
        <is>
          <t>D26 | Separatör (4000130): 1 adet | D26 PVC üst kapak (4000440): 63 adet</t>
        </is>
      </c>
      <c r="D149" s="25" t="inlineStr">
        <is>
          <t>D26 | Separator (4000130): 1 pc | D26 PVC upper cover (4000440): 63 pcs</t>
        </is>
      </c>
      <c r="E149" s="25" t="inlineStr">
        <is>
          <t>IA-ST-CFG-0174</t>
        </is>
      </c>
      <c r="F149" s="25" t="inlineStr">
        <is>
          <t>STARTER</t>
        </is>
      </c>
      <c r="G149" s="25" t="n">
        <v>33.628</v>
      </c>
      <c r="H149" s="25" t="n">
        <v>1</v>
      </c>
      <c r="I149" s="25" t="inlineStr">
        <is>
          <t>IA-PPWR-TF-ST-063-STD-03-R00</t>
        </is>
      </c>
      <c r="J149" s="31">
        <f>HYPERLINK("01_STARTER/ST-063-STD-03/01_Technical_File.docx","Open")</f>
        <v/>
      </c>
      <c r="K149" s="25" t="inlineStr">
        <is>
          <t>IA-PPWR-DOC-ST-063-STD-03-R00</t>
        </is>
      </c>
      <c r="L149" s="31">
        <f>HYPERLINK("01_STARTER/ST-063-STD-03/02_EU_DoC.docx","Open")</f>
        <v/>
      </c>
      <c r="M149" s="25" t="inlineStr">
        <is>
          <t>IA-PPWR-LBL-ST-063-STD-03-R00</t>
        </is>
      </c>
      <c r="N149" s="31">
        <f>HYPERLINK("01_STARTER/ST-063-STD-03/03_Label.docx","Open")</f>
        <v/>
      </c>
      <c r="O149" s="25" t="inlineStr">
        <is>
          <t>IA-PPWR-STM-ST-063-STD-03-R00</t>
        </is>
      </c>
      <c r="P149" s="31">
        <f>HYPERLINK("01_STARTER/ST-063-STD-03/04_Shipment_Statement.docx","Open")</f>
        <v/>
      </c>
      <c r="Q149" s="25" t="inlineStr">
        <is>
          <t>GENERATED / LINKED</t>
        </is>
      </c>
      <c r="R149" s="25" t="inlineStr">
        <is>
          <t>Rev.00</t>
        </is>
      </c>
    </row>
    <row r="150">
      <c r="A150" s="25" t="inlineStr">
        <is>
          <t>ST-063-STD-04</t>
        </is>
      </c>
      <c r="B150" s="25" t="inlineStr">
        <is>
          <t>IA-ST-063-STD-04</t>
        </is>
      </c>
      <c r="C150" s="25" t="inlineStr">
        <is>
          <t>D26 | D26 PVC üst kapak (4000440): 63 adet | Köşebent (4000590): 2 adet</t>
        </is>
      </c>
      <c r="D150" s="25" t="inlineStr">
        <is>
          <t>D26 | D26 PVC upper cover (4000440): 63 pcs | Edge protector (4000590): 2 pcs</t>
        </is>
      </c>
      <c r="E150" s="25" t="inlineStr">
        <is>
          <t>IA-ST-CFG-0175</t>
        </is>
      </c>
      <c r="F150" s="25" t="inlineStr">
        <is>
          <t>STARTER</t>
        </is>
      </c>
      <c r="G150" s="25" t="n">
        <v>34.1512</v>
      </c>
      <c r="H150" s="25" t="n">
        <v>54</v>
      </c>
      <c r="I150" s="25" t="inlineStr">
        <is>
          <t>IA-PPWR-TF-ST-063-STD-04-R00</t>
        </is>
      </c>
      <c r="J150" s="31">
        <f>HYPERLINK("01_STARTER/ST-063-STD-04/01_Technical_File.docx","Open")</f>
        <v/>
      </c>
      <c r="K150" s="25" t="inlineStr">
        <is>
          <t>IA-PPWR-DOC-ST-063-STD-04-R00</t>
        </is>
      </c>
      <c r="L150" s="31">
        <f>HYPERLINK("01_STARTER/ST-063-STD-04/02_EU_DoC.docx","Open")</f>
        <v/>
      </c>
      <c r="M150" s="25" t="inlineStr">
        <is>
          <t>IA-PPWR-LBL-ST-063-STD-04-R00</t>
        </is>
      </c>
      <c r="N150" s="31">
        <f>HYPERLINK("01_STARTER/ST-063-STD-04/03_Label.docx","Open")</f>
        <v/>
      </c>
      <c r="O150" s="25" t="inlineStr">
        <is>
          <t>IA-PPWR-STM-ST-063-STD-04-R00</t>
        </is>
      </c>
      <c r="P150" s="31">
        <f>HYPERLINK("01_STARTER/ST-063-STD-04/04_Shipment_Statement.docx","Open")</f>
        <v/>
      </c>
      <c r="Q150" s="25" t="inlineStr">
        <is>
          <t>GENERATED / LINKED</t>
        </is>
      </c>
      <c r="R150" s="25" t="inlineStr">
        <is>
          <t>Rev.00</t>
        </is>
      </c>
    </row>
    <row r="151">
      <c r="A151" s="25" t="inlineStr">
        <is>
          <t>ST-063-STD-05</t>
        </is>
      </c>
      <c r="B151" s="25" t="inlineStr">
        <is>
          <t>IA-ST-063-STD-05</t>
        </is>
      </c>
      <c r="C151" s="25" t="inlineStr">
        <is>
          <t>D26 | D26 PVC üst kapak (4000440): 63 adet | Çember (4000450): kullanılmaz</t>
        </is>
      </c>
      <c r="D151" s="25" t="inlineStr">
        <is>
          <t>D26 | D26 PVC upper cover (4000440): 63 pcs | Strap (4000450): not used</t>
        </is>
      </c>
      <c r="E151" s="25" t="inlineStr">
        <is>
          <t>IA-ST-CFG-0176</t>
        </is>
      </c>
      <c r="F151" s="25" t="inlineStr">
        <is>
          <t>STARTER</t>
        </is>
      </c>
      <c r="G151" s="25" t="n">
        <v>33.8644</v>
      </c>
      <c r="H151" s="25" t="n">
        <v>8</v>
      </c>
      <c r="I151" s="25" t="inlineStr">
        <is>
          <t>IA-PPWR-TF-ST-063-STD-05-R00</t>
        </is>
      </c>
      <c r="J151" s="31">
        <f>HYPERLINK("01_STARTER/ST-063-STD-05/01_Technical_File.docx","Open")</f>
        <v/>
      </c>
      <c r="K151" s="25" t="inlineStr">
        <is>
          <t>IA-PPWR-DOC-ST-063-STD-05-R00</t>
        </is>
      </c>
      <c r="L151" s="31">
        <f>HYPERLINK("01_STARTER/ST-063-STD-05/02_EU_DoC.docx","Open")</f>
        <v/>
      </c>
      <c r="M151" s="25" t="inlineStr">
        <is>
          <t>IA-PPWR-LBL-ST-063-STD-05-R00</t>
        </is>
      </c>
      <c r="N151" s="31">
        <f>HYPERLINK("01_STARTER/ST-063-STD-05/03_Label.docx","Open")</f>
        <v/>
      </c>
      <c r="O151" s="25" t="inlineStr">
        <is>
          <t>IA-PPWR-STM-ST-063-STD-05-R00</t>
        </is>
      </c>
      <c r="P151" s="31">
        <f>HYPERLINK("01_STARTER/ST-063-STD-05/04_Shipment_Statement.docx","Open")</f>
        <v/>
      </c>
      <c r="Q151" s="25" t="inlineStr">
        <is>
          <t>GENERATED / LINKED</t>
        </is>
      </c>
      <c r="R151" s="25" t="inlineStr">
        <is>
          <t>Rev.00</t>
        </is>
      </c>
    </row>
    <row r="152">
      <c r="A152" s="25" t="inlineStr">
        <is>
          <t>ST-063-STD-06</t>
        </is>
      </c>
      <c r="B152" s="25" t="inlineStr">
        <is>
          <t>IA-ST-063-STD-06</t>
        </is>
      </c>
      <c r="C152" s="25" t="inlineStr">
        <is>
          <t>L3 | Palet (4000037): 1 adet | Köşebent (4000590): 4 adet</t>
        </is>
      </c>
      <c r="D152" s="25" t="inlineStr">
        <is>
          <t>L3 | Pallet (4000037): 1 pc | Edge protector (4000590): 4 pcs</t>
        </is>
      </c>
      <c r="E152" s="25" t="inlineStr">
        <is>
          <t>IA-ST-CFG-0177</t>
        </is>
      </c>
      <c r="F152" s="25" t="inlineStr">
        <is>
          <t>STARTER</t>
        </is>
      </c>
      <c r="G152" s="25" t="n">
        <v>28.206</v>
      </c>
      <c r="H152" s="25" t="n">
        <v>1</v>
      </c>
      <c r="I152" s="25" t="inlineStr">
        <is>
          <t>IA-PPWR-TF-ST-063-STD-06-R00</t>
        </is>
      </c>
      <c r="J152" s="31">
        <f>HYPERLINK("01_STARTER/ST-063-STD-06/01_Technical_File.docx","Open")</f>
        <v/>
      </c>
      <c r="K152" s="25" t="inlineStr">
        <is>
          <t>IA-PPWR-DOC-ST-063-STD-06-R00</t>
        </is>
      </c>
      <c r="L152" s="31">
        <f>HYPERLINK("01_STARTER/ST-063-STD-06/02_EU_DoC.docx","Open")</f>
        <v/>
      </c>
      <c r="M152" s="25" t="inlineStr">
        <is>
          <t>IA-PPWR-LBL-ST-063-STD-06-R00</t>
        </is>
      </c>
      <c r="N152" s="31">
        <f>HYPERLINK("01_STARTER/ST-063-STD-06/03_Label.docx","Open")</f>
        <v/>
      </c>
      <c r="O152" s="25" t="inlineStr">
        <is>
          <t>IA-PPWR-STM-ST-063-STD-06-R00</t>
        </is>
      </c>
      <c r="P152" s="31">
        <f>HYPERLINK("01_STARTER/ST-063-STD-06/04_Shipment_Statement.docx","Open")</f>
        <v/>
      </c>
      <c r="Q152" s="25" t="inlineStr">
        <is>
          <t>GENERATED / LINKED</t>
        </is>
      </c>
      <c r="R152" s="25" t="inlineStr">
        <is>
          <t>Rev.00</t>
        </is>
      </c>
    </row>
    <row r="153">
      <c r="A153" s="25" t="inlineStr">
        <is>
          <t>ST-063-STD-07</t>
        </is>
      </c>
      <c r="B153" s="25" t="inlineStr">
        <is>
          <t>IA-ST-063-STD-07</t>
        </is>
      </c>
      <c r="C153" s="25" t="inlineStr">
        <is>
          <t>LB3 | Palet (4000037): 1 adet | Shrink film (4000558): 1.95 kg | Köşebent (4000590): 2 adet</t>
        </is>
      </c>
      <c r="D153" s="25" t="inlineStr">
        <is>
          <t>LB3 | Pallet (4000037): 1 pc | Shrink film (4000558): 1.95 kg | Edge protector (4000590): 2 pcs</t>
        </is>
      </c>
      <c r="E153" s="25" t="inlineStr">
        <is>
          <t>IA-ST-CFG-0178</t>
        </is>
      </c>
      <c r="F153" s="25" t="inlineStr">
        <is>
          <t>STARTER</t>
        </is>
      </c>
      <c r="G153" s="25" t="n">
        <v>29.8692</v>
      </c>
      <c r="H153" s="25" t="n">
        <v>25</v>
      </c>
      <c r="I153" s="25" t="inlineStr">
        <is>
          <t>IA-PPWR-TF-ST-063-STD-07-R00</t>
        </is>
      </c>
      <c r="J153" s="31">
        <f>HYPERLINK("01_STARTER/ST-063-STD-07/01_Technical_File.docx","Open")</f>
        <v/>
      </c>
      <c r="K153" s="25" t="inlineStr">
        <is>
          <t>IA-PPWR-DOC-ST-063-STD-07-R00</t>
        </is>
      </c>
      <c r="L153" s="31">
        <f>HYPERLINK("01_STARTER/ST-063-STD-07/02_EU_DoC.docx","Open")</f>
        <v/>
      </c>
      <c r="M153" s="25" t="inlineStr">
        <is>
          <t>IA-PPWR-LBL-ST-063-STD-07-R00</t>
        </is>
      </c>
      <c r="N153" s="31">
        <f>HYPERLINK("01_STARTER/ST-063-STD-07/03_Label.docx","Open")</f>
        <v/>
      </c>
      <c r="O153" s="25" t="inlineStr">
        <is>
          <t>IA-PPWR-STM-ST-063-STD-07-R00</t>
        </is>
      </c>
      <c r="P153" s="31">
        <f>HYPERLINK("01_STARTER/ST-063-STD-07/04_Shipment_Statement.docx","Open")</f>
        <v/>
      </c>
      <c r="Q153" s="25" t="inlineStr">
        <is>
          <t>GENERATED / LINKED</t>
        </is>
      </c>
      <c r="R153" s="25" t="inlineStr">
        <is>
          <t>Rev.00</t>
        </is>
      </c>
    </row>
    <row r="154">
      <c r="A154" s="25" t="inlineStr">
        <is>
          <t>ST-063-STD-08</t>
        </is>
      </c>
      <c r="B154" s="25" t="inlineStr">
        <is>
          <t>IA-ST-063-STD-08</t>
        </is>
      </c>
      <c r="C154" s="25" t="inlineStr">
        <is>
          <t>L3 | Palet (4000037): 1 adet | Separatör (4000130): 4 adet | Shrink film (4000558): 2.08 kg</t>
        </is>
      </c>
      <c r="D154" s="25" t="inlineStr">
        <is>
          <t>L3 | Pallet (4000037): 1 pc | Separator (4000130): 4 pcs | Shrink film (4000558): 2.08 kg</t>
        </is>
      </c>
      <c r="E154" s="25" t="inlineStr">
        <is>
          <t>IA-ST-CFG-0179</t>
        </is>
      </c>
      <c r="F154" s="25" t="inlineStr">
        <is>
          <t>STARTER</t>
        </is>
      </c>
      <c r="G154" s="25" t="n">
        <v>29.9992</v>
      </c>
      <c r="H154" s="25" t="n">
        <v>95</v>
      </c>
      <c r="I154" s="25" t="inlineStr">
        <is>
          <t>IA-PPWR-TF-ST-063-STD-08-R00</t>
        </is>
      </c>
      <c r="J154" s="31">
        <f>HYPERLINK("01_STARTER/ST-063-STD-08/01_Technical_File.docx","Open")</f>
        <v/>
      </c>
      <c r="K154" s="25" t="inlineStr">
        <is>
          <t>IA-PPWR-DOC-ST-063-STD-08-R00</t>
        </is>
      </c>
      <c r="L154" s="31">
        <f>HYPERLINK("01_STARTER/ST-063-STD-08/02_EU_DoC.docx","Open")</f>
        <v/>
      </c>
      <c r="M154" s="25" t="inlineStr">
        <is>
          <t>IA-PPWR-LBL-ST-063-STD-08-R00</t>
        </is>
      </c>
      <c r="N154" s="31">
        <f>HYPERLINK("01_STARTER/ST-063-STD-08/03_Label.docx","Open")</f>
        <v/>
      </c>
      <c r="O154" s="25" t="inlineStr">
        <is>
          <t>IA-PPWR-STM-ST-063-STD-08-R00</t>
        </is>
      </c>
      <c r="P154" s="31">
        <f>HYPERLINK("01_STARTER/ST-063-STD-08/04_Shipment_Statement.docx","Open")</f>
        <v/>
      </c>
      <c r="Q154" s="25" t="inlineStr">
        <is>
          <t>GENERATED / LINKED</t>
        </is>
      </c>
      <c r="R154" s="25" t="inlineStr">
        <is>
          <t>Rev.00</t>
        </is>
      </c>
    </row>
    <row r="155">
      <c r="A155" s="25" t="inlineStr">
        <is>
          <t>ST-063-STD-09</t>
        </is>
      </c>
      <c r="B155" s="25" t="inlineStr">
        <is>
          <t>IA-ST-063-STD-09</t>
        </is>
      </c>
      <c r="C155" s="25" t="inlineStr">
        <is>
          <t>LB3 | Palet (4000037): 1 adet | Shrink film (4000558): kullanılmaz</t>
        </is>
      </c>
      <c r="D155" s="25" t="inlineStr">
        <is>
          <t>LB3 | Pallet (4000037): 1 pc | Shrink film (4000558): not used</t>
        </is>
      </c>
      <c r="E155" s="25" t="inlineStr">
        <is>
          <t>IA-ST-CFG-0180</t>
        </is>
      </c>
      <c r="F155" s="25" t="inlineStr">
        <is>
          <t>STARTER</t>
        </is>
      </c>
      <c r="G155" s="25" t="n">
        <v>27.9192</v>
      </c>
      <c r="H155" s="25" t="n">
        <v>1</v>
      </c>
      <c r="I155" s="25" t="inlineStr">
        <is>
          <t>IA-PPWR-TF-ST-063-STD-09-R00</t>
        </is>
      </c>
      <c r="J155" s="31">
        <f>HYPERLINK("01_STARTER/ST-063-STD-09/01_Technical_File.docx","Open")</f>
        <v/>
      </c>
      <c r="K155" s="25" t="inlineStr">
        <is>
          <t>IA-PPWR-DOC-ST-063-STD-09-R00</t>
        </is>
      </c>
      <c r="L155" s="31">
        <f>HYPERLINK("01_STARTER/ST-063-STD-09/02_EU_DoC.docx","Open")</f>
        <v/>
      </c>
      <c r="M155" s="25" t="inlineStr">
        <is>
          <t>IA-PPWR-LBL-ST-063-STD-09-R00</t>
        </is>
      </c>
      <c r="N155" s="31">
        <f>HYPERLINK("01_STARTER/ST-063-STD-09/03_Label.docx","Open")</f>
        <v/>
      </c>
      <c r="O155" s="25" t="inlineStr">
        <is>
          <t>IA-PPWR-STM-ST-063-STD-09-R00</t>
        </is>
      </c>
      <c r="P155" s="31">
        <f>HYPERLINK("01_STARTER/ST-063-STD-09/04_Shipment_Statement.docx","Open")</f>
        <v/>
      </c>
      <c r="Q155" s="25" t="inlineStr">
        <is>
          <t>GENERATED / LINKED</t>
        </is>
      </c>
      <c r="R155" s="25" t="inlineStr">
        <is>
          <t>Rev.00</t>
        </is>
      </c>
    </row>
    <row r="156">
      <c r="A156" s="25" t="inlineStr">
        <is>
          <t>ST-063-STD-10</t>
        </is>
      </c>
      <c r="B156" s="25" t="inlineStr">
        <is>
          <t>IA-ST-063-STD-10</t>
        </is>
      </c>
      <c r="C156" s="25" t="inlineStr">
        <is>
          <t>LB3 | Palet (4000037): 1 adet | Köşebent (4000590): kullanılmaz</t>
        </is>
      </c>
      <c r="D156" s="25" t="inlineStr">
        <is>
          <t>LB3 | Pallet (4000037): 1 pc | Edge protector (4000590): not used</t>
        </is>
      </c>
      <c r="E156" s="25" t="inlineStr">
        <is>
          <t>IA-ST-CFG-0181</t>
        </is>
      </c>
      <c r="F156" s="25" t="inlineStr">
        <is>
          <t>STARTER</t>
        </is>
      </c>
      <c r="G156" s="25" t="n">
        <v>29.5824</v>
      </c>
      <c r="H156" s="25" t="n">
        <v>12</v>
      </c>
      <c r="I156" s="25" t="inlineStr">
        <is>
          <t>IA-PPWR-TF-ST-063-STD-10-R00</t>
        </is>
      </c>
      <c r="J156" s="31">
        <f>HYPERLINK("01_STARTER/ST-063-STD-10/01_Technical_File.docx","Open")</f>
        <v/>
      </c>
      <c r="K156" s="25" t="inlineStr">
        <is>
          <t>IA-PPWR-DOC-ST-063-STD-10-R00</t>
        </is>
      </c>
      <c r="L156" s="31">
        <f>HYPERLINK("01_STARTER/ST-063-STD-10/02_EU_DoC.docx","Open")</f>
        <v/>
      </c>
      <c r="M156" s="25" t="inlineStr">
        <is>
          <t>IA-PPWR-LBL-ST-063-STD-10-R00</t>
        </is>
      </c>
      <c r="N156" s="31">
        <f>HYPERLINK("01_STARTER/ST-063-STD-10/03_Label.docx","Open")</f>
        <v/>
      </c>
      <c r="O156" s="25" t="inlineStr">
        <is>
          <t>IA-PPWR-STM-ST-063-STD-10-R00</t>
        </is>
      </c>
      <c r="P156" s="31">
        <f>HYPERLINK("01_STARTER/ST-063-STD-10/04_Shipment_Statement.docx","Open")</f>
        <v/>
      </c>
      <c r="Q156" s="25" t="inlineStr">
        <is>
          <t>GENERATED / LINKED</t>
        </is>
      </c>
      <c r="R156" s="25" t="inlineStr">
        <is>
          <t>Rev.00</t>
        </is>
      </c>
    </row>
    <row r="157">
      <c r="A157" s="25" t="inlineStr">
        <is>
          <t>ST-063-STD-11</t>
        </is>
      </c>
      <c r="B157" s="25" t="inlineStr">
        <is>
          <t>IA-ST-063-STD-11</t>
        </is>
      </c>
      <c r="C157" s="25" t="inlineStr">
        <is>
          <t>L3, LB3 | Palet (4000037): 1 adet | Shrink film (4000558): 2.08 kg</t>
        </is>
      </c>
      <c r="D157" s="25" t="inlineStr">
        <is>
          <t>L3, LB3 | Pallet (4000037): 1 pc | Shrink film (4000558): 2.08 kg</t>
        </is>
      </c>
      <c r="E157" s="25" t="inlineStr">
        <is>
          <t>IA-ST-CFG-0182</t>
        </is>
      </c>
      <c r="F157" s="25" t="inlineStr">
        <is>
          <t>STARTER</t>
        </is>
      </c>
      <c r="G157" s="25" t="n">
        <v>29.7124</v>
      </c>
      <c r="H157" s="25" t="n">
        <v>26</v>
      </c>
      <c r="I157" s="25" t="inlineStr">
        <is>
          <t>IA-PPWR-TF-ST-063-STD-11-R00</t>
        </is>
      </c>
      <c r="J157" s="31">
        <f>HYPERLINK("01_STARTER/ST-063-STD-11/01_Technical_File.docx","Open")</f>
        <v/>
      </c>
      <c r="K157" s="25" t="inlineStr">
        <is>
          <t>IA-PPWR-DOC-ST-063-STD-11-R00</t>
        </is>
      </c>
      <c r="L157" s="31">
        <f>HYPERLINK("01_STARTER/ST-063-STD-11/02_EU_DoC.docx","Open")</f>
        <v/>
      </c>
      <c r="M157" s="25" t="inlineStr">
        <is>
          <t>IA-PPWR-LBL-ST-063-STD-11-R00</t>
        </is>
      </c>
      <c r="N157" s="31">
        <f>HYPERLINK("01_STARTER/ST-063-STD-11/03_Label.docx","Open")</f>
        <v/>
      </c>
      <c r="O157" s="25" t="inlineStr">
        <is>
          <t>IA-PPWR-STM-ST-063-STD-11-R00</t>
        </is>
      </c>
      <c r="P157" s="31">
        <f>HYPERLINK("01_STARTER/ST-063-STD-11/04_Shipment_Statement.docx","Open")</f>
        <v/>
      </c>
      <c r="Q157" s="25" t="inlineStr">
        <is>
          <t>GENERATED / LINKED</t>
        </is>
      </c>
      <c r="R157" s="25" t="inlineStr">
        <is>
          <t>Rev.00</t>
        </is>
      </c>
    </row>
    <row r="158">
      <c r="A158" s="25" t="inlineStr">
        <is>
          <t>ST-063-STD-12</t>
        </is>
      </c>
      <c r="B158" s="25" t="inlineStr">
        <is>
          <t>IA-ST-063-STD-12</t>
        </is>
      </c>
      <c r="C158" s="25" t="inlineStr">
        <is>
          <t>D26 | Palet (4000037): 1 adet | Shrink film (4001177): 0.597 kg</t>
        </is>
      </c>
      <c r="D158" s="25" t="inlineStr">
        <is>
          <t>D26 | Pallet (4000037): 1 pc | Shrink film (4001177): 0.597 kg</t>
        </is>
      </c>
      <c r="E158" s="25" t="inlineStr">
        <is>
          <t>IA-ST-CFG-0183</t>
        </is>
      </c>
      <c r="F158" s="25" t="inlineStr">
        <is>
          <t>STARTER</t>
        </is>
      </c>
      <c r="G158" s="25" t="n">
        <v>28.649</v>
      </c>
      <c r="H158" s="25" t="n">
        <v>7</v>
      </c>
      <c r="I158" s="25" t="inlineStr">
        <is>
          <t>IA-PPWR-TF-ST-063-STD-12-R00</t>
        </is>
      </c>
      <c r="J158" s="31">
        <f>HYPERLINK("01_STARTER/ST-063-STD-12/01_Technical_File.docx","Open")</f>
        <v/>
      </c>
      <c r="K158" s="25" t="inlineStr">
        <is>
          <t>IA-PPWR-DOC-ST-063-STD-12-R00</t>
        </is>
      </c>
      <c r="L158" s="31">
        <f>HYPERLINK("01_STARTER/ST-063-STD-12/02_EU_DoC.docx","Open")</f>
        <v/>
      </c>
      <c r="M158" s="25" t="inlineStr">
        <is>
          <t>IA-PPWR-LBL-ST-063-STD-12-R00</t>
        </is>
      </c>
      <c r="N158" s="31">
        <f>HYPERLINK("01_STARTER/ST-063-STD-12/03_Label.docx","Open")</f>
        <v/>
      </c>
      <c r="O158" s="25" t="inlineStr">
        <is>
          <t>IA-PPWR-STM-ST-063-STD-12-R00</t>
        </is>
      </c>
      <c r="P158" s="31">
        <f>HYPERLINK("01_STARTER/ST-063-STD-12/04_Shipment_Statement.docx","Open")</f>
        <v/>
      </c>
      <c r="Q158" s="25" t="inlineStr">
        <is>
          <t>GENERATED / LINKED</t>
        </is>
      </c>
      <c r="R158" s="25" t="inlineStr">
        <is>
          <t>Rev.00</t>
        </is>
      </c>
    </row>
    <row r="159">
      <c r="A159" s="25" t="inlineStr">
        <is>
          <t>ST-063-STD-13</t>
        </is>
      </c>
      <c r="B159" s="25" t="inlineStr">
        <is>
          <t>IA-ST-063-STD-13</t>
        </is>
      </c>
      <c r="C159" s="25" t="inlineStr">
        <is>
          <t>L3 | Palet (4000037): 1 adet | Shrink film (4001177): 0.597 kg</t>
        </is>
      </c>
      <c r="D159" s="25" t="inlineStr">
        <is>
          <t>L3 | Pallet (4000037): 1 pc | Shrink film (4001177): 0.597 kg</t>
        </is>
      </c>
      <c r="E159" s="25" t="inlineStr">
        <is>
          <t>IA-ST-CFG-0184</t>
        </is>
      </c>
      <c r="F159" s="25" t="inlineStr">
        <is>
          <t>STARTER</t>
        </is>
      </c>
      <c r="G159" s="25" t="n">
        <v>28.417</v>
      </c>
      <c r="H159" s="25" t="n">
        <v>1</v>
      </c>
      <c r="I159" s="25" t="inlineStr">
        <is>
          <t>IA-PPWR-TF-ST-063-STD-13-R00</t>
        </is>
      </c>
      <c r="J159" s="31">
        <f>HYPERLINK("01_STARTER/ST-063-STD-13/01_Technical_File.docx","Open")</f>
        <v/>
      </c>
      <c r="K159" s="25" t="inlineStr">
        <is>
          <t>IA-PPWR-DOC-ST-063-STD-13-R00</t>
        </is>
      </c>
      <c r="L159" s="31">
        <f>HYPERLINK("01_STARTER/ST-063-STD-13/02_EU_DoC.docx","Open")</f>
        <v/>
      </c>
      <c r="M159" s="25" t="inlineStr">
        <is>
          <t>IA-PPWR-LBL-ST-063-STD-13-R00</t>
        </is>
      </c>
      <c r="N159" s="31">
        <f>HYPERLINK("01_STARTER/ST-063-STD-13/03_Label.docx","Open")</f>
        <v/>
      </c>
      <c r="O159" s="25" t="inlineStr">
        <is>
          <t>IA-PPWR-STM-ST-063-STD-13-R00</t>
        </is>
      </c>
      <c r="P159" s="31">
        <f>HYPERLINK("01_STARTER/ST-063-STD-13/04_Shipment_Statement.docx","Open")</f>
        <v/>
      </c>
      <c r="Q159" s="25" t="inlineStr">
        <is>
          <t>GENERATED / LINKED</t>
        </is>
      </c>
      <c r="R159" s="25" t="inlineStr">
        <is>
          <t>Rev.00</t>
        </is>
      </c>
    </row>
    <row r="160">
      <c r="A160" s="25" t="inlineStr">
        <is>
          <t>ST-063-STD-14</t>
        </is>
      </c>
      <c r="B160" s="25" t="inlineStr">
        <is>
          <t>IA-ST-063-STD-14</t>
        </is>
      </c>
      <c r="C160" s="25" t="inlineStr">
        <is>
          <t>LB3, L3 | Palet (4000037): 1 adet | Shrink film (4001177): 0.597 kg</t>
        </is>
      </c>
      <c r="D160" s="25" t="inlineStr">
        <is>
          <t>LB3, L3 | Pallet (4000037): 1 pc | Shrink film (4001177): 0.597 kg</t>
        </is>
      </c>
      <c r="E160" s="25" t="inlineStr">
        <is>
          <t>IA-ST-CFG-0185</t>
        </is>
      </c>
      <c r="F160" s="25" t="inlineStr">
        <is>
          <t>STARTER</t>
        </is>
      </c>
      <c r="G160" s="25" t="n">
        <v>28.617</v>
      </c>
      <c r="H160" s="25" t="n">
        <v>8</v>
      </c>
      <c r="I160" s="25" t="inlineStr">
        <is>
          <t>IA-PPWR-TF-ST-063-STD-14-R00</t>
        </is>
      </c>
      <c r="J160" s="31">
        <f>HYPERLINK("01_STARTER/ST-063-STD-14/01_Technical_File.docx","Open")</f>
        <v/>
      </c>
      <c r="K160" s="25" t="inlineStr">
        <is>
          <t>IA-PPWR-DOC-ST-063-STD-14-R00</t>
        </is>
      </c>
      <c r="L160" s="31">
        <f>HYPERLINK("01_STARTER/ST-063-STD-14/02_EU_DoC.docx","Open")</f>
        <v/>
      </c>
      <c r="M160" s="25" t="inlineStr">
        <is>
          <t>IA-PPWR-LBL-ST-063-STD-14-R00</t>
        </is>
      </c>
      <c r="N160" s="31">
        <f>HYPERLINK("01_STARTER/ST-063-STD-14/03_Label.docx","Open")</f>
        <v/>
      </c>
      <c r="O160" s="25" t="inlineStr">
        <is>
          <t>IA-PPWR-STM-ST-063-STD-14-R00</t>
        </is>
      </c>
      <c r="P160" s="31">
        <f>HYPERLINK("01_STARTER/ST-063-STD-14/04_Shipment_Statement.docx","Open")</f>
        <v/>
      </c>
      <c r="Q160" s="25" t="inlineStr">
        <is>
          <t>GENERATED / LINKED</t>
        </is>
      </c>
      <c r="R160" s="25" t="inlineStr">
        <is>
          <t>Rev.00</t>
        </is>
      </c>
    </row>
    <row r="161">
      <c r="A161" s="25" t="inlineStr">
        <is>
          <t>ST-063-STD-15</t>
        </is>
      </c>
      <c r="B161" s="25" t="inlineStr">
        <is>
          <t>IA-ST-063-STD-15</t>
        </is>
      </c>
      <c r="C161" s="25" t="inlineStr">
        <is>
          <t>L3 | Palet (4000037): 1 adet | Separatör (4000130): 5 adet</t>
        </is>
      </c>
      <c r="D161" s="25" t="inlineStr">
        <is>
          <t>L3 | Pallet (4000037): 1 pc | Separator (4000130): 5 pcs</t>
        </is>
      </c>
      <c r="E161" s="25" t="inlineStr">
        <is>
          <t>IA-ST-CFG-0186</t>
        </is>
      </c>
      <c r="F161" s="25" t="inlineStr">
        <is>
          <t>STARTER</t>
        </is>
      </c>
      <c r="G161" s="25" t="n">
        <v>30.2692</v>
      </c>
      <c r="H161" s="25" t="n">
        <v>2</v>
      </c>
      <c r="I161" s="25" t="inlineStr">
        <is>
          <t>IA-PPWR-TF-ST-063-STD-15-R00</t>
        </is>
      </c>
      <c r="J161" s="31">
        <f>HYPERLINK("01_STARTER/ST-063-STD-15/01_Technical_File.docx","Open")</f>
        <v/>
      </c>
      <c r="K161" s="25" t="inlineStr">
        <is>
          <t>IA-PPWR-DOC-ST-063-STD-15-R00</t>
        </is>
      </c>
      <c r="L161" s="31">
        <f>HYPERLINK("01_STARTER/ST-063-STD-15/02_EU_DoC.docx","Open")</f>
        <v/>
      </c>
      <c r="M161" s="25" t="inlineStr">
        <is>
          <t>IA-PPWR-LBL-ST-063-STD-15-R00</t>
        </is>
      </c>
      <c r="N161" s="31">
        <f>HYPERLINK("01_STARTER/ST-063-STD-15/03_Label.docx","Open")</f>
        <v/>
      </c>
      <c r="O161" s="25" t="inlineStr">
        <is>
          <t>IA-PPWR-STM-ST-063-STD-15-R00</t>
        </is>
      </c>
      <c r="P161" s="31">
        <f>HYPERLINK("01_STARTER/ST-063-STD-15/04_Shipment_Statement.docx","Open")</f>
        <v/>
      </c>
      <c r="Q161" s="25" t="inlineStr">
        <is>
          <t>GENERATED / LINKED</t>
        </is>
      </c>
      <c r="R161" s="25" t="inlineStr">
        <is>
          <t>Rev.00</t>
        </is>
      </c>
    </row>
    <row r="162">
      <c r="A162" s="25" t="inlineStr">
        <is>
          <t>ST-064-EUR-01</t>
        </is>
      </c>
      <c r="B162" s="25" t="inlineStr">
        <is>
          <t>IA-ST-064-EUR-01</t>
        </is>
      </c>
      <c r="C162" s="25" t="inlineStr">
        <is>
          <t>L3 | L3 İnci AGM LEO 70AH 760A pencereli dış koli (4001237): 64 adet</t>
        </is>
      </c>
      <c r="D162" s="25" t="inlineStr">
        <is>
          <t>L3 | L3 İnci AGM LEO 70AH 760A windowed outer carton (4001237): 64 pcs</t>
        </is>
      </c>
      <c r="E162" s="25" t="inlineStr">
        <is>
          <t>IA-ST-CFG-0190</t>
        </is>
      </c>
      <c r="F162" s="25" t="inlineStr">
        <is>
          <t>STARTER</t>
        </is>
      </c>
      <c r="G162" s="25" t="n">
        <v>44.8124</v>
      </c>
      <c r="H162" s="25" t="n">
        <v>1</v>
      </c>
      <c r="I162" s="25" t="inlineStr">
        <is>
          <t>IA-PPWR-TF-ST-064-EUR-01-R00</t>
        </is>
      </c>
      <c r="J162" s="31">
        <f>HYPERLINK("01_STARTER/ST-064-EUR-01/01_Technical_File.docx","Open")</f>
        <v/>
      </c>
      <c r="K162" s="25" t="inlineStr">
        <is>
          <t>IA-PPWR-DOC-ST-064-EUR-01-R00</t>
        </is>
      </c>
      <c r="L162" s="31">
        <f>HYPERLINK("01_STARTER/ST-064-EUR-01/02_EU_DoC.docx","Open")</f>
        <v/>
      </c>
      <c r="M162" s="25" t="inlineStr">
        <is>
          <t>IA-PPWR-LBL-ST-064-EUR-01-R00</t>
        </is>
      </c>
      <c r="N162" s="31">
        <f>HYPERLINK("01_STARTER/ST-064-EUR-01/03_Label.docx","Open")</f>
        <v/>
      </c>
      <c r="O162" s="25" t="inlineStr">
        <is>
          <t>IA-PPWR-STM-ST-064-EUR-01-R00</t>
        </is>
      </c>
      <c r="P162" s="31">
        <f>HYPERLINK("01_STARTER/ST-064-EUR-01/04_Shipment_Statement.docx","Open")</f>
        <v/>
      </c>
      <c r="Q162" s="25" t="inlineStr">
        <is>
          <t>GENERATED / LINKED</t>
        </is>
      </c>
      <c r="R162" s="25" t="inlineStr">
        <is>
          <t>Rev.00</t>
        </is>
      </c>
    </row>
    <row r="163">
      <c r="A163" s="25" t="inlineStr">
        <is>
          <t>ST-066-STD-01</t>
        </is>
      </c>
      <c r="B163" s="25" t="inlineStr">
        <is>
          <t>IA-ST-066-STD-01</t>
        </is>
      </c>
      <c r="C163" s="25" t="inlineStr">
        <is>
          <t>L2 | L2 YUASA penceresiz Orta Doğu dış koli (4001102): 66 adet</t>
        </is>
      </c>
      <c r="D163" s="25" t="inlineStr">
        <is>
          <t>L2 | L2 YUASA windowless Middle East outer carton (4001102): 66 pcs</t>
        </is>
      </c>
      <c r="E163" s="25" t="inlineStr">
        <is>
          <t>IA-ST-CFG-0191</t>
        </is>
      </c>
      <c r="F163" s="25" t="inlineStr">
        <is>
          <t>STARTER</t>
        </is>
      </c>
      <c r="G163" s="25" t="n">
        <v>44.906</v>
      </c>
      <c r="H163" s="25" t="n">
        <v>1</v>
      </c>
      <c r="I163" s="25" t="inlineStr">
        <is>
          <t>IA-PPWR-TF-ST-066-STD-01-R00</t>
        </is>
      </c>
      <c r="J163" s="31">
        <f>HYPERLINK("01_STARTER/ST-066-STD-01/01_Technical_File.docx","Open")</f>
        <v/>
      </c>
      <c r="K163" s="25" t="inlineStr">
        <is>
          <t>IA-PPWR-DOC-ST-066-STD-01-R00</t>
        </is>
      </c>
      <c r="L163" s="31">
        <f>HYPERLINK("01_STARTER/ST-066-STD-01/02_EU_DoC.docx","Open")</f>
        <v/>
      </c>
      <c r="M163" s="25" t="inlineStr">
        <is>
          <t>IA-PPWR-LBL-ST-066-STD-01-R00</t>
        </is>
      </c>
      <c r="N163" s="31">
        <f>HYPERLINK("01_STARTER/ST-066-STD-01/03_Label.docx","Open")</f>
        <v/>
      </c>
      <c r="O163" s="25" t="inlineStr">
        <is>
          <t>IA-PPWR-STM-ST-066-STD-01-R00</t>
        </is>
      </c>
      <c r="P163" s="31">
        <f>HYPERLINK("01_STARTER/ST-066-STD-01/04_Shipment_Statement.docx","Open")</f>
        <v/>
      </c>
      <c r="Q163" s="25" t="inlineStr">
        <is>
          <t>GENERATED / LINKED</t>
        </is>
      </c>
      <c r="R163" s="25" t="inlineStr">
        <is>
          <t>Rev.00</t>
        </is>
      </c>
    </row>
    <row r="164">
      <c r="A164" s="25" t="inlineStr">
        <is>
          <t>ST-066-STD-02</t>
        </is>
      </c>
      <c r="B164" s="25" t="inlineStr">
        <is>
          <t>IA-ST-066-STD-02</t>
        </is>
      </c>
      <c r="C164" s="25" t="inlineStr">
        <is>
          <t>L2 | L2 İnci AGM LEO 60AH 680A pencereli dış koli (4001340): 66 adet</t>
        </is>
      </c>
      <c r="D164" s="25" t="inlineStr">
        <is>
          <t>L2 | L2 İnci AGM LEO 60AH 680A windowed outer carton (4001340): 66 pcs</t>
        </is>
      </c>
      <c r="E164" s="25" t="inlineStr">
        <is>
          <t>IA-ST-CFG-0192</t>
        </is>
      </c>
      <c r="F164" s="25" t="inlineStr">
        <is>
          <t>STARTER</t>
        </is>
      </c>
      <c r="G164" s="25" t="n">
        <v>45.326</v>
      </c>
      <c r="H164" s="25" t="n">
        <v>1</v>
      </c>
      <c r="I164" s="25" t="inlineStr">
        <is>
          <t>IA-PPWR-TF-ST-066-STD-02-R00</t>
        </is>
      </c>
      <c r="J164" s="31">
        <f>HYPERLINK("01_STARTER/ST-066-STD-02/01_Technical_File.docx","Open")</f>
        <v/>
      </c>
      <c r="K164" s="25" t="inlineStr">
        <is>
          <t>IA-PPWR-DOC-ST-066-STD-02-R00</t>
        </is>
      </c>
      <c r="L164" s="31">
        <f>HYPERLINK("01_STARTER/ST-066-STD-02/02_EU_DoC.docx","Open")</f>
        <v/>
      </c>
      <c r="M164" s="25" t="inlineStr">
        <is>
          <t>IA-PPWR-LBL-ST-066-STD-02-R00</t>
        </is>
      </c>
      <c r="N164" s="31">
        <f>HYPERLINK("01_STARTER/ST-066-STD-02/03_Label.docx","Open")</f>
        <v/>
      </c>
      <c r="O164" s="25" t="inlineStr">
        <is>
          <t>IA-PPWR-STM-ST-066-STD-02-R00</t>
        </is>
      </c>
      <c r="P164" s="31">
        <f>HYPERLINK("01_STARTER/ST-066-STD-02/04_Shipment_Statement.docx","Open")</f>
        <v/>
      </c>
      <c r="Q164" s="25" t="inlineStr">
        <is>
          <t>GENERATED / LINKED</t>
        </is>
      </c>
      <c r="R164" s="25" t="inlineStr">
        <is>
          <t>Rev.00</t>
        </is>
      </c>
    </row>
    <row r="165">
      <c r="A165" s="25" t="inlineStr">
        <is>
          <t>ST-066-STD-03</t>
        </is>
      </c>
      <c r="B165" s="25" t="inlineStr">
        <is>
          <t>IA-ST-066-STD-03</t>
        </is>
      </c>
      <c r="C165" s="25" t="inlineStr">
        <is>
          <t>L2 | L2 EAS AGM S&amp;S 60AH 680A pencereli dış koli (4001395): 66 adet</t>
        </is>
      </c>
      <c r="D165" s="25" t="inlineStr">
        <is>
          <t>L2 | L2 EAS AGM S&amp;S 60AH 680A windowed outer carton (4001395): 66 pcs</t>
        </is>
      </c>
      <c r="E165" s="25" t="inlineStr">
        <is>
          <t>IA-ST-CFG-0193</t>
        </is>
      </c>
      <c r="F165" s="25" t="inlineStr">
        <is>
          <t>STARTER</t>
        </is>
      </c>
      <c r="G165" s="25" t="n">
        <v>45.326</v>
      </c>
      <c r="H165" s="25" t="n">
        <v>1</v>
      </c>
      <c r="I165" s="25" t="inlineStr">
        <is>
          <t>IA-PPWR-TF-ST-066-STD-03-R00</t>
        </is>
      </c>
      <c r="J165" s="31">
        <f>HYPERLINK("01_STARTER/ST-066-STD-03/01_Technical_File.docx","Open")</f>
        <v/>
      </c>
      <c r="K165" s="25" t="inlineStr">
        <is>
          <t>IA-PPWR-DOC-ST-066-STD-03-R00</t>
        </is>
      </c>
      <c r="L165" s="31">
        <f>HYPERLINK("01_STARTER/ST-066-STD-03/02_EU_DoC.docx","Open")</f>
        <v/>
      </c>
      <c r="M165" s="25" t="inlineStr">
        <is>
          <t>IA-PPWR-LBL-ST-066-STD-03-R00</t>
        </is>
      </c>
      <c r="N165" s="31">
        <f>HYPERLINK("01_STARTER/ST-066-STD-03/03_Label.docx","Open")</f>
        <v/>
      </c>
      <c r="O165" s="25" t="inlineStr">
        <is>
          <t>IA-PPWR-STM-ST-066-STD-03-R00</t>
        </is>
      </c>
      <c r="P165" s="31">
        <f>HYPERLINK("01_STARTER/ST-066-STD-03/04_Shipment_Statement.docx","Open")</f>
        <v/>
      </c>
      <c r="Q165" s="25" t="inlineStr">
        <is>
          <t>GENERATED / LINKED</t>
        </is>
      </c>
      <c r="R165" s="25" t="inlineStr">
        <is>
          <t>Rev.00</t>
        </is>
      </c>
    </row>
    <row r="166">
      <c r="A166" s="25" t="inlineStr">
        <is>
          <t>ST-068-EUR-01</t>
        </is>
      </c>
      <c r="B166" s="25" t="inlineStr">
        <is>
          <t>IA-ST-068-EUR-01</t>
        </is>
      </c>
      <c r="C166" s="25" t="inlineStr">
        <is>
          <t>L3, LB3 | Palet (4000038): 1 adet | Köşebent (4000590): 4 adet</t>
        </is>
      </c>
      <c r="D166" s="25" t="inlineStr">
        <is>
          <t>L3, LB3 | Pallet (4000038): 1 pc | Edge protector (4000590): 4 pcs</t>
        </is>
      </c>
      <c r="E166" s="25" t="inlineStr">
        <is>
          <t>IA-ST-CFG-0198</t>
        </is>
      </c>
      <c r="F166" s="25" t="inlineStr">
        <is>
          <t>STARTER</t>
        </is>
      </c>
      <c r="G166" s="25" t="n">
        <v>28.126</v>
      </c>
      <c r="H166" s="25" t="n">
        <v>10</v>
      </c>
      <c r="I166" s="25" t="inlineStr">
        <is>
          <t>IA-PPWR-TF-ST-068-EUR-01-R00</t>
        </is>
      </c>
      <c r="J166" s="31">
        <f>HYPERLINK("01_STARTER/ST-068-EUR-01/01_Technical_File.docx","Open")</f>
        <v/>
      </c>
      <c r="K166" s="25" t="inlineStr">
        <is>
          <t>IA-PPWR-DOC-ST-068-EUR-01-R00</t>
        </is>
      </c>
      <c r="L166" s="31">
        <f>HYPERLINK("01_STARTER/ST-068-EUR-01/02_EU_DoC.docx","Open")</f>
        <v/>
      </c>
      <c r="M166" s="25" t="inlineStr">
        <is>
          <t>IA-PPWR-LBL-ST-068-EUR-01-R00</t>
        </is>
      </c>
      <c r="N166" s="31">
        <f>HYPERLINK("01_STARTER/ST-068-EUR-01/03_Label.docx","Open")</f>
        <v/>
      </c>
      <c r="O166" s="25" t="inlineStr">
        <is>
          <t>IA-PPWR-STM-ST-068-EUR-01-R00</t>
        </is>
      </c>
      <c r="P166" s="31">
        <f>HYPERLINK("01_STARTER/ST-068-EUR-01/04_Shipment_Statement.docx","Open")</f>
        <v/>
      </c>
      <c r="Q166" s="25" t="inlineStr">
        <is>
          <t>GENERATED / LINKED</t>
        </is>
      </c>
      <c r="R166" s="25" t="inlineStr">
        <is>
          <t>Rev.00</t>
        </is>
      </c>
    </row>
    <row r="167">
      <c r="A167" s="25" t="inlineStr">
        <is>
          <t>ST-068-EUR-02</t>
        </is>
      </c>
      <c r="B167" s="25" t="inlineStr">
        <is>
          <t>IA-ST-068-EUR-02</t>
        </is>
      </c>
      <c r="C167" s="25" t="inlineStr">
        <is>
          <t>LB3 | Palet (4000038): 1 adet | Shrink film (4000558): 2.105 kg</t>
        </is>
      </c>
      <c r="D167" s="25" t="inlineStr">
        <is>
          <t>LB3 | Pallet (4000038): 1 pc | Shrink film (4000558): 2.105 kg</t>
        </is>
      </c>
      <c r="E167" s="25" t="inlineStr">
        <is>
          <t>IA-ST-CFG-0199</t>
        </is>
      </c>
      <c r="F167" s="25" t="inlineStr">
        <is>
          <t>STARTER</t>
        </is>
      </c>
      <c r="G167" s="25" t="n">
        <v>29.9442</v>
      </c>
      <c r="H167" s="25" t="n">
        <v>13</v>
      </c>
      <c r="I167" s="25" t="inlineStr">
        <is>
          <t>IA-PPWR-TF-ST-068-EUR-02-R00</t>
        </is>
      </c>
      <c r="J167" s="31">
        <f>HYPERLINK("01_STARTER/ST-068-EUR-02/01_Technical_File.docx","Open")</f>
        <v/>
      </c>
      <c r="K167" s="25" t="inlineStr">
        <is>
          <t>IA-PPWR-DOC-ST-068-EUR-02-R00</t>
        </is>
      </c>
      <c r="L167" s="31">
        <f>HYPERLINK("01_STARTER/ST-068-EUR-02/02_EU_DoC.docx","Open")</f>
        <v/>
      </c>
      <c r="M167" s="25" t="inlineStr">
        <is>
          <t>IA-PPWR-LBL-ST-068-EUR-02-R00</t>
        </is>
      </c>
      <c r="N167" s="31">
        <f>HYPERLINK("01_STARTER/ST-068-EUR-02/03_Label.docx","Open")</f>
        <v/>
      </c>
      <c r="O167" s="25" t="inlineStr">
        <is>
          <t>IA-PPWR-STM-ST-068-EUR-02-R00</t>
        </is>
      </c>
      <c r="P167" s="31">
        <f>HYPERLINK("01_STARTER/ST-068-EUR-02/04_Shipment_Statement.docx","Open")</f>
        <v/>
      </c>
      <c r="Q167" s="25" t="inlineStr">
        <is>
          <t>GENERATED / LINKED</t>
        </is>
      </c>
      <c r="R167" s="25" t="inlineStr">
        <is>
          <t>Rev.00</t>
        </is>
      </c>
    </row>
    <row r="168">
      <c r="A168" s="25" t="inlineStr">
        <is>
          <t>ST-068-EUR-03</t>
        </is>
      </c>
      <c r="B168" s="25" t="inlineStr">
        <is>
          <t>IA-ST-068-EUR-03</t>
        </is>
      </c>
      <c r="C168" s="25" t="inlineStr">
        <is>
          <t>L3 | Palet (4000038): 1 adet | Shrink film (4000558): 2.245 kg</t>
        </is>
      </c>
      <c r="D168" s="25" t="inlineStr">
        <is>
          <t>L3 | Pallet (4000038): 1 pc | Shrink film (4000558): 2.245 kg</t>
        </is>
      </c>
      <c r="E168" s="25" t="inlineStr">
        <is>
          <t>IA-ST-CFG-0200</t>
        </is>
      </c>
      <c r="F168" s="25" t="inlineStr">
        <is>
          <t>STARTER</t>
        </is>
      </c>
      <c r="G168" s="25" t="n">
        <v>30.0842</v>
      </c>
      <c r="H168" s="25" t="n">
        <v>25</v>
      </c>
      <c r="I168" s="25" t="inlineStr">
        <is>
          <t>IA-PPWR-TF-ST-068-EUR-03-R00</t>
        </is>
      </c>
      <c r="J168" s="31">
        <f>HYPERLINK("01_STARTER/ST-068-EUR-03/01_Technical_File.docx","Open")</f>
        <v/>
      </c>
      <c r="K168" s="25" t="inlineStr">
        <is>
          <t>IA-PPWR-DOC-ST-068-EUR-03-R00</t>
        </is>
      </c>
      <c r="L168" s="31">
        <f>HYPERLINK("01_STARTER/ST-068-EUR-03/02_EU_DoC.docx","Open")</f>
        <v/>
      </c>
      <c r="M168" s="25" t="inlineStr">
        <is>
          <t>IA-PPWR-LBL-ST-068-EUR-03-R00</t>
        </is>
      </c>
      <c r="N168" s="31">
        <f>HYPERLINK("01_STARTER/ST-068-EUR-03/03_Label.docx","Open")</f>
        <v/>
      </c>
      <c r="O168" s="25" t="inlineStr">
        <is>
          <t>IA-PPWR-STM-ST-068-EUR-03-R00</t>
        </is>
      </c>
      <c r="P168" s="31">
        <f>HYPERLINK("01_STARTER/ST-068-EUR-03/04_Shipment_Statement.docx","Open")</f>
        <v/>
      </c>
      <c r="Q168" s="25" t="inlineStr">
        <is>
          <t>GENERATED / LINKED</t>
        </is>
      </c>
      <c r="R168" s="25" t="inlineStr">
        <is>
          <t>Rev.00</t>
        </is>
      </c>
    </row>
    <row r="169">
      <c r="A169" s="25" t="inlineStr">
        <is>
          <t>ST-068-EUR-04</t>
        </is>
      </c>
      <c r="B169" s="25" t="inlineStr">
        <is>
          <t>IA-ST-068-EUR-04</t>
        </is>
      </c>
      <c r="C169" s="25" t="inlineStr">
        <is>
          <t>LB3, L3 | Palet (4000038): 1 adet | Köşebent (4000590): 2 adet</t>
        </is>
      </c>
      <c r="D169" s="25" t="inlineStr">
        <is>
          <t>LB3, L3 | Pallet (4000038): 1 pc | Edge protector (4000590): 2 pcs</t>
        </is>
      </c>
      <c r="E169" s="25" t="inlineStr">
        <is>
          <t>IA-ST-CFG-0201</t>
        </is>
      </c>
      <c r="F169" s="25" t="inlineStr">
        <is>
          <t>STARTER</t>
        </is>
      </c>
      <c r="G169" s="25" t="n">
        <v>27.8392</v>
      </c>
      <c r="H169" s="25" t="n">
        <v>7</v>
      </c>
      <c r="I169" s="25" t="inlineStr">
        <is>
          <t>IA-PPWR-TF-ST-068-EUR-04-R00</t>
        </is>
      </c>
      <c r="J169" s="31">
        <f>HYPERLINK("01_STARTER/ST-068-EUR-04/01_Technical_File.docx","Open")</f>
        <v/>
      </c>
      <c r="K169" s="25" t="inlineStr">
        <is>
          <t>IA-PPWR-DOC-ST-068-EUR-04-R00</t>
        </is>
      </c>
      <c r="L169" s="31">
        <f>HYPERLINK("01_STARTER/ST-068-EUR-04/02_EU_DoC.docx","Open")</f>
        <v/>
      </c>
      <c r="M169" s="25" t="inlineStr">
        <is>
          <t>IA-PPWR-LBL-ST-068-EUR-04-R00</t>
        </is>
      </c>
      <c r="N169" s="31">
        <f>HYPERLINK("01_STARTER/ST-068-EUR-04/03_Label.docx","Open")</f>
        <v/>
      </c>
      <c r="O169" s="25" t="inlineStr">
        <is>
          <t>IA-PPWR-STM-ST-068-EUR-04-R00</t>
        </is>
      </c>
      <c r="P169" s="31">
        <f>HYPERLINK("01_STARTER/ST-068-EUR-04/04_Shipment_Statement.docx","Open")</f>
        <v/>
      </c>
      <c r="Q169" s="25" t="inlineStr">
        <is>
          <t>GENERATED / LINKED</t>
        </is>
      </c>
      <c r="R169" s="25" t="inlineStr">
        <is>
          <t>Rev.00</t>
        </is>
      </c>
    </row>
    <row r="170">
      <c r="A170" s="25" t="inlineStr">
        <is>
          <t>ST-068-STD-01</t>
        </is>
      </c>
      <c r="B170" s="25" t="inlineStr">
        <is>
          <t>IA-ST-068-STD-01</t>
        </is>
      </c>
      <c r="C170" s="25" t="inlineStr">
        <is>
          <t>LB4 | LB4 YUASA penceresiz Orta Doğu dış koli (4001104): 68 adet</t>
        </is>
      </c>
      <c r="D170" s="25" t="inlineStr">
        <is>
          <t>LB4 | LB4 YUASA windowless Middle East outer carton (4001104): 68 pcs</t>
        </is>
      </c>
      <c r="E170" s="25" t="inlineStr">
        <is>
          <t>IA-ST-CFG-0194</t>
        </is>
      </c>
      <c r="F170" s="25" t="inlineStr">
        <is>
          <t>STARTER</t>
        </is>
      </c>
      <c r="G170" s="25" t="n">
        <v>47.696</v>
      </c>
      <c r="H170" s="25" t="n">
        <v>1</v>
      </c>
      <c r="I170" s="25" t="inlineStr">
        <is>
          <t>IA-PPWR-TF-ST-068-STD-01-R00</t>
        </is>
      </c>
      <c r="J170" s="31">
        <f>HYPERLINK("01_STARTER/ST-068-STD-01/01_Technical_File.docx","Open")</f>
        <v/>
      </c>
      <c r="K170" s="25" t="inlineStr">
        <is>
          <t>IA-PPWR-DOC-ST-068-STD-01-R00</t>
        </is>
      </c>
      <c r="L170" s="31">
        <f>HYPERLINK("01_STARTER/ST-068-STD-01/02_EU_DoC.docx","Open")</f>
        <v/>
      </c>
      <c r="M170" s="25" t="inlineStr">
        <is>
          <t>IA-PPWR-LBL-ST-068-STD-01-R00</t>
        </is>
      </c>
      <c r="N170" s="31">
        <f>HYPERLINK("01_STARTER/ST-068-STD-01/03_Label.docx","Open")</f>
        <v/>
      </c>
      <c r="O170" s="25" t="inlineStr">
        <is>
          <t>IA-PPWR-STM-ST-068-STD-01-R00</t>
        </is>
      </c>
      <c r="P170" s="31">
        <f>HYPERLINK("01_STARTER/ST-068-STD-01/04_Shipment_Statement.docx","Open")</f>
        <v/>
      </c>
      <c r="Q170" s="25" t="inlineStr">
        <is>
          <t>GENERATED / LINKED</t>
        </is>
      </c>
      <c r="R170" s="25" t="inlineStr">
        <is>
          <t>Rev.00</t>
        </is>
      </c>
    </row>
    <row r="171">
      <c r="A171" s="25" t="inlineStr">
        <is>
          <t>ST-068-STD-02</t>
        </is>
      </c>
      <c r="B171" s="25" t="inlineStr">
        <is>
          <t>IA-ST-068-STD-02</t>
        </is>
      </c>
      <c r="C171" s="25" t="inlineStr">
        <is>
          <t>L4 | L4 İnci EFB MAX TIGRIS pencereli 2020 dış koli (4001275): 68 adet</t>
        </is>
      </c>
      <c r="D171" s="25" t="inlineStr">
        <is>
          <t>L4 | L4 İnci EFB MAX TIGRIS windowed 2020 outer carton (4001275): 68 pcs</t>
        </is>
      </c>
      <c r="E171" s="25" t="inlineStr">
        <is>
          <t>IA-ST-CFG-0195</t>
        </is>
      </c>
      <c r="F171" s="25" t="inlineStr">
        <is>
          <t>STARTER</t>
        </is>
      </c>
      <c r="G171" s="25" t="n">
        <v>47.696</v>
      </c>
      <c r="H171" s="25" t="n">
        <v>1</v>
      </c>
      <c r="I171" s="25" t="inlineStr">
        <is>
          <t>IA-PPWR-TF-ST-068-STD-02-R00</t>
        </is>
      </c>
      <c r="J171" s="31">
        <f>HYPERLINK("01_STARTER/ST-068-STD-02/01_Technical_File.docx","Open")</f>
        <v/>
      </c>
      <c r="K171" s="25" t="inlineStr">
        <is>
          <t>IA-PPWR-DOC-ST-068-STD-02-R00</t>
        </is>
      </c>
      <c r="L171" s="31">
        <f>HYPERLINK("01_STARTER/ST-068-STD-02/02_EU_DoC.docx","Open")</f>
        <v/>
      </c>
      <c r="M171" s="25" t="inlineStr">
        <is>
          <t>IA-PPWR-LBL-ST-068-STD-02-R00</t>
        </is>
      </c>
      <c r="N171" s="31">
        <f>HYPERLINK("01_STARTER/ST-068-STD-02/03_Label.docx","Open")</f>
        <v/>
      </c>
      <c r="O171" s="25" t="inlineStr">
        <is>
          <t>IA-PPWR-STM-ST-068-STD-02-R00</t>
        </is>
      </c>
      <c r="P171" s="31">
        <f>HYPERLINK("01_STARTER/ST-068-STD-02/04_Shipment_Statement.docx","Open")</f>
        <v/>
      </c>
      <c r="Q171" s="25" t="inlineStr">
        <is>
          <t>GENERATED / LINKED</t>
        </is>
      </c>
      <c r="R171" s="25" t="inlineStr">
        <is>
          <t>Rev.00</t>
        </is>
      </c>
    </row>
    <row r="172">
      <c r="A172" s="25" t="inlineStr">
        <is>
          <t>ST-068-STD-03</t>
        </is>
      </c>
      <c r="B172" s="25" t="inlineStr">
        <is>
          <t>IA-ST-068-STD-03</t>
        </is>
      </c>
      <c r="C172" s="25" t="inlineStr">
        <is>
          <t>LB4 | LB4 İnci EFB PANTERA pencereli DL dış koli (4001316): 68 adet</t>
        </is>
      </c>
      <c r="D172" s="25" t="inlineStr">
        <is>
          <t>LB4 | LB4 İnci EFB PANTERA windowed DL outer carton (4001316): 68 pcs</t>
        </is>
      </c>
      <c r="E172" s="25" t="inlineStr">
        <is>
          <t>IA-ST-CFG-0196</t>
        </is>
      </c>
      <c r="F172" s="25" t="inlineStr">
        <is>
          <t>STARTER</t>
        </is>
      </c>
      <c r="G172" s="25" t="n">
        <v>47.696</v>
      </c>
      <c r="H172" s="25" t="n">
        <v>1</v>
      </c>
      <c r="I172" s="25" t="inlineStr">
        <is>
          <t>IA-PPWR-TF-ST-068-STD-03-R00</t>
        </is>
      </c>
      <c r="J172" s="31">
        <f>HYPERLINK("01_STARTER/ST-068-STD-03/01_Technical_File.docx","Open")</f>
        <v/>
      </c>
      <c r="K172" s="25" t="inlineStr">
        <is>
          <t>IA-PPWR-DOC-ST-068-STD-03-R00</t>
        </is>
      </c>
      <c r="L172" s="31">
        <f>HYPERLINK("01_STARTER/ST-068-STD-03/02_EU_DoC.docx","Open")</f>
        <v/>
      </c>
      <c r="M172" s="25" t="inlineStr">
        <is>
          <t>IA-PPWR-LBL-ST-068-STD-03-R00</t>
        </is>
      </c>
      <c r="N172" s="31">
        <f>HYPERLINK("01_STARTER/ST-068-STD-03/03_Label.docx","Open")</f>
        <v/>
      </c>
      <c r="O172" s="25" t="inlineStr">
        <is>
          <t>IA-PPWR-STM-ST-068-STD-03-R00</t>
        </is>
      </c>
      <c r="P172" s="31">
        <f>HYPERLINK("01_STARTER/ST-068-STD-03/04_Shipment_Statement.docx","Open")</f>
        <v/>
      </c>
      <c r="Q172" s="25" t="inlineStr">
        <is>
          <t>GENERATED / LINKED</t>
        </is>
      </c>
      <c r="R172" s="25" t="inlineStr">
        <is>
          <t>Rev.00</t>
        </is>
      </c>
    </row>
    <row r="173">
      <c r="A173" s="25" t="inlineStr">
        <is>
          <t>ST-068-STD-04</t>
        </is>
      </c>
      <c r="B173" s="25" t="inlineStr">
        <is>
          <t>IA-ST-068-STD-04</t>
        </is>
      </c>
      <c r="C173" s="25" t="inlineStr">
        <is>
          <t>L4 | L4 İnci EFB PANTERA pencereli DL dış koli (4001318): 68 adet</t>
        </is>
      </c>
      <c r="D173" s="25" t="inlineStr">
        <is>
          <t>L4 | L4 İnci EFB PANTERA windowed DL outer carton (4001318): 68 pcs</t>
        </is>
      </c>
      <c r="E173" s="25" t="inlineStr">
        <is>
          <t>IA-ST-CFG-0197</t>
        </is>
      </c>
      <c r="F173" s="25" t="inlineStr">
        <is>
          <t>STARTER</t>
        </is>
      </c>
      <c r="G173" s="25" t="n">
        <v>47.696</v>
      </c>
      <c r="H173" s="25" t="n">
        <v>1</v>
      </c>
      <c r="I173" s="25" t="inlineStr">
        <is>
          <t>IA-PPWR-TF-ST-068-STD-04-R00</t>
        </is>
      </c>
      <c r="J173" s="31">
        <f>HYPERLINK("01_STARTER/ST-068-STD-04/01_Technical_File.docx","Open")</f>
        <v/>
      </c>
      <c r="K173" s="25" t="inlineStr">
        <is>
          <t>IA-PPWR-DOC-ST-068-STD-04-R00</t>
        </is>
      </c>
      <c r="L173" s="31">
        <f>HYPERLINK("01_STARTER/ST-068-STD-04/02_EU_DoC.docx","Open")</f>
        <v/>
      </c>
      <c r="M173" s="25" t="inlineStr">
        <is>
          <t>IA-PPWR-LBL-ST-068-STD-04-R00</t>
        </is>
      </c>
      <c r="N173" s="31">
        <f>HYPERLINK("01_STARTER/ST-068-STD-04/03_Label.docx","Open")</f>
        <v/>
      </c>
      <c r="O173" s="25" t="inlineStr">
        <is>
          <t>IA-PPWR-STM-ST-068-STD-04-R00</t>
        </is>
      </c>
      <c r="P173" s="31">
        <f>HYPERLINK("01_STARTER/ST-068-STD-04/04_Shipment_Statement.docx","Open")</f>
        <v/>
      </c>
      <c r="Q173" s="25" t="inlineStr">
        <is>
          <t>GENERATED / LINKED</t>
        </is>
      </c>
      <c r="R173" s="25" t="inlineStr">
        <is>
          <t>Rev.00</t>
        </is>
      </c>
    </row>
    <row r="174">
      <c r="A174" s="25" t="inlineStr">
        <is>
          <t>ST-072-EUR-01</t>
        </is>
      </c>
      <c r="B174" s="25" t="inlineStr">
        <is>
          <t>IA-ST-072-EUR-01</t>
        </is>
      </c>
      <c r="C174" s="25" t="inlineStr">
        <is>
          <t>LB1 | Palet (4000038): 1 adet | Shrink film (4000556): 1.945 kg</t>
        </is>
      </c>
      <c r="D174" s="25" t="inlineStr">
        <is>
          <t>LB1 | Pallet (4000038): 1 pc | Shrink film (4000556): 1.945 kg</t>
        </is>
      </c>
      <c r="E174" s="25" t="inlineStr">
        <is>
          <t>IA-ST-CFG-0204</t>
        </is>
      </c>
      <c r="F174" s="25" t="inlineStr">
        <is>
          <t>STARTER</t>
        </is>
      </c>
      <c r="G174" s="25" t="n">
        <v>29.8042</v>
      </c>
      <c r="H174" s="25" t="n">
        <v>2</v>
      </c>
      <c r="I174" s="25" t="inlineStr">
        <is>
          <t>IA-PPWR-TF-ST-072-EUR-01-R00</t>
        </is>
      </c>
      <c r="J174" s="31">
        <f>HYPERLINK("01_STARTER/ST-072-EUR-01/01_Technical_File.docx","Open")</f>
        <v/>
      </c>
      <c r="K174" s="25" t="inlineStr">
        <is>
          <t>IA-PPWR-DOC-ST-072-EUR-01-R00</t>
        </is>
      </c>
      <c r="L174" s="31">
        <f>HYPERLINK("01_STARTER/ST-072-EUR-01/02_EU_DoC.docx","Open")</f>
        <v/>
      </c>
      <c r="M174" s="25" t="inlineStr">
        <is>
          <t>IA-PPWR-LBL-ST-072-EUR-01-R00</t>
        </is>
      </c>
      <c r="N174" s="31">
        <f>HYPERLINK("01_STARTER/ST-072-EUR-01/03_Label.docx","Open")</f>
        <v/>
      </c>
      <c r="O174" s="25" t="inlineStr">
        <is>
          <t>IA-PPWR-STM-ST-072-EUR-01-R00</t>
        </is>
      </c>
      <c r="P174" s="31">
        <f>HYPERLINK("01_STARTER/ST-072-EUR-01/04_Shipment_Statement.docx","Open")</f>
        <v/>
      </c>
      <c r="Q174" s="25" t="inlineStr">
        <is>
          <t>GENERATED / LINKED</t>
        </is>
      </c>
      <c r="R174" s="25" t="inlineStr">
        <is>
          <t>Rev.00</t>
        </is>
      </c>
    </row>
    <row r="175">
      <c r="A175" s="25" t="inlineStr">
        <is>
          <t>ST-072-EUR-02</t>
        </is>
      </c>
      <c r="B175" s="25" t="inlineStr">
        <is>
          <t>IA-ST-072-EUR-02</t>
        </is>
      </c>
      <c r="C175" s="25" t="inlineStr">
        <is>
          <t>L1 | Palet (4000038): 1 adet | Shrink film (4000556): 2.375 kg</t>
        </is>
      </c>
      <c r="D175" s="25" t="inlineStr">
        <is>
          <t>L1 | Pallet (4000038): 1 pc | Shrink film (4000556): 2.375 kg</t>
        </is>
      </c>
      <c r="E175" s="25" t="inlineStr">
        <is>
          <t>IA-ST-CFG-0205</t>
        </is>
      </c>
      <c r="F175" s="25" t="inlineStr">
        <is>
          <t>STARTER</t>
        </is>
      </c>
      <c r="G175" s="25" t="n">
        <v>30.2342</v>
      </c>
      <c r="H175" s="25" t="n">
        <v>1</v>
      </c>
      <c r="I175" s="25" t="inlineStr">
        <is>
          <t>IA-PPWR-TF-ST-072-EUR-02-R00</t>
        </is>
      </c>
      <c r="J175" s="31">
        <f>HYPERLINK("01_STARTER/ST-072-EUR-02/01_Technical_File.docx","Open")</f>
        <v/>
      </c>
      <c r="K175" s="25" t="inlineStr">
        <is>
          <t>IA-PPWR-DOC-ST-072-EUR-02-R00</t>
        </is>
      </c>
      <c r="L175" s="31">
        <f>HYPERLINK("01_STARTER/ST-072-EUR-02/02_EU_DoC.docx","Open")</f>
        <v/>
      </c>
      <c r="M175" s="25" t="inlineStr">
        <is>
          <t>IA-PPWR-LBL-ST-072-EUR-02-R00</t>
        </is>
      </c>
      <c r="N175" s="31">
        <f>HYPERLINK("01_STARTER/ST-072-EUR-02/03_Label.docx","Open")</f>
        <v/>
      </c>
      <c r="O175" s="25" t="inlineStr">
        <is>
          <t>IA-PPWR-STM-ST-072-EUR-02-R00</t>
        </is>
      </c>
      <c r="P175" s="31">
        <f>HYPERLINK("01_STARTER/ST-072-EUR-02/04_Shipment_Statement.docx","Open")</f>
        <v/>
      </c>
      <c r="Q175" s="25" t="inlineStr">
        <is>
          <t>GENERATED / LINKED</t>
        </is>
      </c>
      <c r="R175" s="25" t="inlineStr">
        <is>
          <t>Rev.00</t>
        </is>
      </c>
    </row>
    <row r="176">
      <c r="A176" s="25" t="inlineStr">
        <is>
          <t>ST-072-EUR-03</t>
        </is>
      </c>
      <c r="B176" s="25" t="inlineStr">
        <is>
          <t>IA-ST-072-EUR-03</t>
        </is>
      </c>
      <c r="C176" s="25" t="inlineStr">
        <is>
          <t>LB1, L1 | Palet (4000038): 1 adet | Köşebent (4000033): 2 adet</t>
        </is>
      </c>
      <c r="D176" s="25" t="inlineStr">
        <is>
          <t>LB1, L1 | Pallet (4000038): 1 pc | Edge protector (4000033): 2 pcs</t>
        </is>
      </c>
      <c r="E176" s="25" t="inlineStr">
        <is>
          <t>IA-ST-CFG-0206</t>
        </is>
      </c>
      <c r="F176" s="25" t="inlineStr">
        <is>
          <t>STARTER</t>
        </is>
      </c>
      <c r="G176" s="25" t="n">
        <v>27.8592</v>
      </c>
      <c r="H176" s="25" t="n">
        <v>8</v>
      </c>
      <c r="I176" s="25" t="inlineStr">
        <is>
          <t>IA-PPWR-TF-ST-072-EUR-03-R00</t>
        </is>
      </c>
      <c r="J176" s="31">
        <f>HYPERLINK("01_STARTER/ST-072-EUR-03/01_Technical_File.docx","Open")</f>
        <v/>
      </c>
      <c r="K176" s="25" t="inlineStr">
        <is>
          <t>IA-PPWR-DOC-ST-072-EUR-03-R00</t>
        </is>
      </c>
      <c r="L176" s="31">
        <f>HYPERLINK("01_STARTER/ST-072-EUR-03/02_EU_DoC.docx","Open")</f>
        <v/>
      </c>
      <c r="M176" s="25" t="inlineStr">
        <is>
          <t>IA-PPWR-LBL-ST-072-EUR-03-R00</t>
        </is>
      </c>
      <c r="N176" s="31">
        <f>HYPERLINK("01_STARTER/ST-072-EUR-03/03_Label.docx","Open")</f>
        <v/>
      </c>
      <c r="O176" s="25" t="inlineStr">
        <is>
          <t>IA-PPWR-STM-ST-072-EUR-03-R00</t>
        </is>
      </c>
      <c r="P176" s="31">
        <f>HYPERLINK("01_STARTER/ST-072-EUR-03/04_Shipment_Statement.docx","Open")</f>
        <v/>
      </c>
      <c r="Q176" s="25" t="inlineStr">
        <is>
          <t>GENERATED / LINKED</t>
        </is>
      </c>
      <c r="R176" s="25" t="inlineStr">
        <is>
          <t>Rev.00</t>
        </is>
      </c>
    </row>
    <row r="177">
      <c r="A177" s="25" t="inlineStr">
        <is>
          <t>ST-072-EUR-04</t>
        </is>
      </c>
      <c r="B177" s="25" t="inlineStr">
        <is>
          <t>IA-ST-072-EUR-04</t>
        </is>
      </c>
      <c r="C177" s="25" t="inlineStr">
        <is>
          <t>L1, LB1 | Palet (4000038): 1 adet | Köşebent (4000033): 4 adet</t>
        </is>
      </c>
      <c r="D177" s="25" t="inlineStr">
        <is>
          <t>L1, LB1 | Pallet (4000038): 1 pc | Edge protector (4000033): 4 pcs</t>
        </is>
      </c>
      <c r="E177" s="25" t="inlineStr">
        <is>
          <t>IA-ST-CFG-0209</t>
        </is>
      </c>
      <c r="F177" s="25" t="inlineStr">
        <is>
          <t>STARTER</t>
        </is>
      </c>
      <c r="G177" s="25" t="n">
        <v>28.366</v>
      </c>
      <c r="H177" s="25" t="n">
        <v>21</v>
      </c>
      <c r="I177" s="25" t="inlineStr">
        <is>
          <t>IA-PPWR-TF-ST-072-EUR-04-R00</t>
        </is>
      </c>
      <c r="J177" s="31">
        <f>HYPERLINK("01_STARTER/ST-072-EUR-04/01_Technical_File.docx","Open")</f>
        <v/>
      </c>
      <c r="K177" s="25" t="inlineStr">
        <is>
          <t>IA-PPWR-DOC-ST-072-EUR-04-R00</t>
        </is>
      </c>
      <c r="L177" s="31">
        <f>HYPERLINK("01_STARTER/ST-072-EUR-04/02_EU_DoC.docx","Open")</f>
        <v/>
      </c>
      <c r="M177" s="25" t="inlineStr">
        <is>
          <t>IA-PPWR-LBL-ST-072-EUR-04-R00</t>
        </is>
      </c>
      <c r="N177" s="31">
        <f>HYPERLINK("01_STARTER/ST-072-EUR-04/03_Label.docx","Open")</f>
        <v/>
      </c>
      <c r="O177" s="25" t="inlineStr">
        <is>
          <t>IA-PPWR-STM-ST-072-EUR-04-R00</t>
        </is>
      </c>
      <c r="P177" s="31">
        <f>HYPERLINK("01_STARTER/ST-072-EUR-04/04_Shipment_Statement.docx","Open")</f>
        <v/>
      </c>
      <c r="Q177" s="25" t="inlineStr">
        <is>
          <t>GENERATED / LINKED</t>
        </is>
      </c>
      <c r="R177" s="25" t="inlineStr">
        <is>
          <t>Rev.00</t>
        </is>
      </c>
    </row>
    <row r="178">
      <c r="A178" s="25" t="inlineStr">
        <is>
          <t>ST-072-EUR-05</t>
        </is>
      </c>
      <c r="B178" s="25" t="inlineStr">
        <is>
          <t>IA-ST-072-EUR-05</t>
        </is>
      </c>
      <c r="C178" s="25" t="inlineStr">
        <is>
          <t>NS60 | NS60 PVC üst kapak (4000602): 72 adet</t>
        </is>
      </c>
      <c r="D178" s="25" t="inlineStr">
        <is>
          <t>NS60 | NS60 PVC upper cover (4000602): 72 pcs</t>
        </is>
      </c>
      <c r="E178" s="25" t="inlineStr">
        <is>
          <t>IA-ST-CFG-0235</t>
        </is>
      </c>
      <c r="F178" s="25" t="inlineStr">
        <is>
          <t>STARTER</t>
        </is>
      </c>
      <c r="G178" s="25" t="n">
        <v>33.2594</v>
      </c>
      <c r="H178" s="25" t="n">
        <v>11</v>
      </c>
      <c r="I178" s="25" t="inlineStr">
        <is>
          <t>IA-PPWR-TF-ST-072-EUR-05-R00</t>
        </is>
      </c>
      <c r="J178" s="31">
        <f>HYPERLINK("01_STARTER/ST-072-EUR-05/01_Technical_File.docx","Open")</f>
        <v/>
      </c>
      <c r="K178" s="25" t="inlineStr">
        <is>
          <t>IA-PPWR-DOC-ST-072-EUR-05-R00</t>
        </is>
      </c>
      <c r="L178" s="31">
        <f>HYPERLINK("01_STARTER/ST-072-EUR-05/02_EU_DoC.docx","Open")</f>
        <v/>
      </c>
      <c r="M178" s="25" t="inlineStr">
        <is>
          <t>IA-PPWR-LBL-ST-072-EUR-05-R00</t>
        </is>
      </c>
      <c r="N178" s="31">
        <f>HYPERLINK("01_STARTER/ST-072-EUR-05/03_Label.docx","Open")</f>
        <v/>
      </c>
      <c r="O178" s="25" t="inlineStr">
        <is>
          <t>IA-PPWR-STM-ST-072-EUR-05-R00</t>
        </is>
      </c>
      <c r="P178" s="31">
        <f>HYPERLINK("01_STARTER/ST-072-EUR-05/04_Shipment_Statement.docx","Open")</f>
        <v/>
      </c>
      <c r="Q178" s="25" t="inlineStr">
        <is>
          <t>GENERATED / LINKED</t>
        </is>
      </c>
      <c r="R178" s="25" t="inlineStr">
        <is>
          <t>Rev.00</t>
        </is>
      </c>
    </row>
    <row r="179">
      <c r="A179" s="25" t="inlineStr">
        <is>
          <t>ST-072-EUR-06</t>
        </is>
      </c>
      <c r="B179" s="25" t="inlineStr">
        <is>
          <t>IA-ST-072-EUR-06</t>
        </is>
      </c>
      <c r="C179" s="25" t="inlineStr">
        <is>
          <t>L0 | Palet (4000038): 1 adet | Köşebent (4000590): 4 adet</t>
        </is>
      </c>
      <c r="D179" s="25" t="inlineStr">
        <is>
          <t>L0 | Pallet (4000038): 1 pc | Edge protector (4000590): 4 pcs</t>
        </is>
      </c>
      <c r="E179" s="25" t="inlineStr">
        <is>
          <t>IA-ST-CFG-0236</t>
        </is>
      </c>
      <c r="F179" s="25" t="inlineStr">
        <is>
          <t>STARTER</t>
        </is>
      </c>
      <c r="G179" s="25" t="n">
        <v>27.926</v>
      </c>
      <c r="H179" s="25" t="n">
        <v>2</v>
      </c>
      <c r="I179" s="25" t="inlineStr">
        <is>
          <t>IA-PPWR-TF-ST-072-EUR-06-R00</t>
        </is>
      </c>
      <c r="J179" s="31">
        <f>HYPERLINK("01_STARTER/ST-072-EUR-06/01_Technical_File.docx","Open")</f>
        <v/>
      </c>
      <c r="K179" s="25" t="inlineStr">
        <is>
          <t>IA-PPWR-DOC-ST-072-EUR-06-R00</t>
        </is>
      </c>
      <c r="L179" s="31">
        <f>HYPERLINK("01_STARTER/ST-072-EUR-06/02_EU_DoC.docx","Open")</f>
        <v/>
      </c>
      <c r="M179" s="25" t="inlineStr">
        <is>
          <t>IA-PPWR-LBL-ST-072-EUR-06-R00</t>
        </is>
      </c>
      <c r="N179" s="31">
        <f>HYPERLINK("01_STARTER/ST-072-EUR-06/03_Label.docx","Open")</f>
        <v/>
      </c>
      <c r="O179" s="25" t="inlineStr">
        <is>
          <t>IA-PPWR-STM-ST-072-EUR-06-R00</t>
        </is>
      </c>
      <c r="P179" s="31">
        <f>HYPERLINK("01_STARTER/ST-072-EUR-06/04_Shipment_Statement.docx","Open")</f>
        <v/>
      </c>
      <c r="Q179" s="25" t="inlineStr">
        <is>
          <t>GENERATED / LINKED</t>
        </is>
      </c>
      <c r="R179" s="25" t="inlineStr">
        <is>
          <t>Rev.00</t>
        </is>
      </c>
    </row>
    <row r="180">
      <c r="A180" s="25" t="inlineStr">
        <is>
          <t>ST-072-STD-01</t>
        </is>
      </c>
      <c r="B180" s="25" t="inlineStr">
        <is>
          <t>IA-ST-072-STD-01</t>
        </is>
      </c>
      <c r="C180" s="25" t="inlineStr">
        <is>
          <t>L3 | L3 EAS Activa penceresiz dış koli (4000646): 72 adet</t>
        </is>
      </c>
      <c r="D180" s="25" t="inlineStr">
        <is>
          <t>L3 | L3 EAS Activa windowless outer carton (4000646): 72 pcs</t>
        </is>
      </c>
      <c r="E180" s="25" t="inlineStr">
        <is>
          <t>IA-ST-CFG-0210</t>
        </is>
      </c>
      <c r="F180" s="25" t="inlineStr">
        <is>
          <t>STARTER</t>
        </is>
      </c>
      <c r="G180" s="25" t="n">
        <v>47.336</v>
      </c>
      <c r="H180" s="25" t="n">
        <v>2</v>
      </c>
      <c r="I180" s="25" t="inlineStr">
        <is>
          <t>IA-PPWR-TF-ST-072-STD-01-R00</t>
        </is>
      </c>
      <c r="J180" s="31">
        <f>HYPERLINK("01_STARTER/ST-072-STD-01/01_Technical_File.docx","Open")</f>
        <v/>
      </c>
      <c r="K180" s="25" t="inlineStr">
        <is>
          <t>IA-PPWR-DOC-ST-072-STD-01-R00</t>
        </is>
      </c>
      <c r="L180" s="31">
        <f>HYPERLINK("01_STARTER/ST-072-STD-01/02_EU_DoC.docx","Open")</f>
        <v/>
      </c>
      <c r="M180" s="25" t="inlineStr">
        <is>
          <t>IA-PPWR-LBL-ST-072-STD-01-R00</t>
        </is>
      </c>
      <c r="N180" s="31">
        <f>HYPERLINK("01_STARTER/ST-072-STD-01/03_Label.docx","Open")</f>
        <v/>
      </c>
      <c r="O180" s="25" t="inlineStr">
        <is>
          <t>IA-PPWR-STM-ST-072-STD-01-R00</t>
        </is>
      </c>
      <c r="P180" s="31">
        <f>HYPERLINK("01_STARTER/ST-072-STD-01/04_Shipment_Statement.docx","Open")</f>
        <v/>
      </c>
      <c r="Q180" s="25" t="inlineStr">
        <is>
          <t>GENERATED / LINKED</t>
        </is>
      </c>
      <c r="R180" s="25" t="inlineStr">
        <is>
          <t>Rev.00</t>
        </is>
      </c>
    </row>
    <row r="181">
      <c r="A181" s="25" t="inlineStr">
        <is>
          <t>ST-072-STD-02</t>
        </is>
      </c>
      <c r="B181" s="25" t="inlineStr">
        <is>
          <t>IA-ST-072-STD-02</t>
        </is>
      </c>
      <c r="C181" s="25" t="inlineStr">
        <is>
          <t>LB3 | LB3 İnci EFB PANTERA pencereli DL dış koli (4001314): 72 adet</t>
        </is>
      </c>
      <c r="D181" s="25" t="inlineStr">
        <is>
          <t>LB3 | LB3 İnci EFB PANTERA windowed DL outer carton (4001314): 72 pcs</t>
        </is>
      </c>
      <c r="E181" s="25" t="inlineStr">
        <is>
          <t>IA-ST-CFG-0211</t>
        </is>
      </c>
      <c r="F181" s="25" t="inlineStr">
        <is>
          <t>STARTER</t>
        </is>
      </c>
      <c r="G181" s="25" t="n">
        <v>50.936</v>
      </c>
      <c r="H181" s="25" t="n">
        <v>1</v>
      </c>
      <c r="I181" s="25" t="inlineStr">
        <is>
          <t>IA-PPWR-TF-ST-072-STD-02-R00</t>
        </is>
      </c>
      <c r="J181" s="31">
        <f>HYPERLINK("01_STARTER/ST-072-STD-02/01_Technical_File.docx","Open")</f>
        <v/>
      </c>
      <c r="K181" s="25" t="inlineStr">
        <is>
          <t>IA-PPWR-DOC-ST-072-STD-02-R00</t>
        </is>
      </c>
      <c r="L181" s="31">
        <f>HYPERLINK("01_STARTER/ST-072-STD-02/02_EU_DoC.docx","Open")</f>
        <v/>
      </c>
      <c r="M181" s="25" t="inlineStr">
        <is>
          <t>IA-PPWR-LBL-ST-072-STD-02-R00</t>
        </is>
      </c>
      <c r="N181" s="31">
        <f>HYPERLINK("01_STARTER/ST-072-STD-02/03_Label.docx","Open")</f>
        <v/>
      </c>
      <c r="O181" s="25" t="inlineStr">
        <is>
          <t>IA-PPWR-STM-ST-072-STD-02-R00</t>
        </is>
      </c>
      <c r="P181" s="31">
        <f>HYPERLINK("01_STARTER/ST-072-STD-02/04_Shipment_Statement.docx","Open")</f>
        <v/>
      </c>
      <c r="Q181" s="25" t="inlineStr">
        <is>
          <t>GENERATED / LINKED</t>
        </is>
      </c>
      <c r="R181" s="25" t="inlineStr">
        <is>
          <t>Rev.00</t>
        </is>
      </c>
    </row>
    <row r="182">
      <c r="A182" s="25" t="inlineStr">
        <is>
          <t>ST-072-STD-03</t>
        </is>
      </c>
      <c r="B182" s="25" t="inlineStr">
        <is>
          <t>IA-ST-072-STD-03</t>
        </is>
      </c>
      <c r="C182" s="25" t="inlineStr">
        <is>
          <t>L3 | L3 İnci EFB PANTERA pencereli DL dış koli (4001315): 72 adet</t>
        </is>
      </c>
      <c r="D182" s="25" t="inlineStr">
        <is>
          <t>L3 | L3 İnci EFB PANTERA windowed DL outer carton (4001315): 72 pcs</t>
        </is>
      </c>
      <c r="E182" s="25" t="inlineStr">
        <is>
          <t>IA-ST-CFG-0212</t>
        </is>
      </c>
      <c r="F182" s="25" t="inlineStr">
        <is>
          <t>STARTER</t>
        </is>
      </c>
      <c r="G182" s="25" t="n">
        <v>47.336</v>
      </c>
      <c r="H182" s="25" t="n">
        <v>1</v>
      </c>
      <c r="I182" s="25" t="inlineStr">
        <is>
          <t>IA-PPWR-TF-ST-072-STD-03-R00</t>
        </is>
      </c>
      <c r="J182" s="31">
        <f>HYPERLINK("01_STARTER/ST-072-STD-03/01_Technical_File.docx","Open")</f>
        <v/>
      </c>
      <c r="K182" s="25" t="inlineStr">
        <is>
          <t>IA-PPWR-DOC-ST-072-STD-03-R00</t>
        </is>
      </c>
      <c r="L182" s="31">
        <f>HYPERLINK("01_STARTER/ST-072-STD-03/02_EU_DoC.docx","Open")</f>
        <v/>
      </c>
      <c r="M182" s="25" t="inlineStr">
        <is>
          <t>IA-PPWR-LBL-ST-072-STD-03-R00</t>
        </is>
      </c>
      <c r="N182" s="31">
        <f>HYPERLINK("01_STARTER/ST-072-STD-03/03_Label.docx","Open")</f>
        <v/>
      </c>
      <c r="O182" s="25" t="inlineStr">
        <is>
          <t>IA-PPWR-STM-ST-072-STD-03-R00</t>
        </is>
      </c>
      <c r="P182" s="31">
        <f>HYPERLINK("01_STARTER/ST-072-STD-03/04_Shipment_Statement.docx","Open")</f>
        <v/>
      </c>
      <c r="Q182" s="25" t="inlineStr">
        <is>
          <t>GENERATED / LINKED</t>
        </is>
      </c>
      <c r="R182" s="25" t="inlineStr">
        <is>
          <t>Rev.00</t>
        </is>
      </c>
    </row>
    <row r="183">
      <c r="A183" s="25" t="inlineStr">
        <is>
          <t>ST-072-STD-04</t>
        </is>
      </c>
      <c r="B183" s="25" t="inlineStr">
        <is>
          <t>IA-ST-072-STD-04</t>
        </is>
      </c>
      <c r="C183" s="25" t="inlineStr">
        <is>
          <t>L3 | L3 EAS EFB MAX pencereli 2024 dış koli (4001411): 72 adet</t>
        </is>
      </c>
      <c r="D183" s="25" t="inlineStr">
        <is>
          <t>L3 | L3 EAS EFB MAX windowed 2024 outer carton (4001411): 72 pcs</t>
        </is>
      </c>
      <c r="E183" s="25" t="inlineStr">
        <is>
          <t>IA-ST-CFG-0213</t>
        </is>
      </c>
      <c r="F183" s="25" t="inlineStr">
        <is>
          <t>STARTER</t>
        </is>
      </c>
      <c r="G183" s="25" t="n">
        <v>47.336</v>
      </c>
      <c r="H183" s="25" t="n">
        <v>1</v>
      </c>
      <c r="I183" s="25" t="inlineStr">
        <is>
          <t>IA-PPWR-TF-ST-072-STD-04-R00</t>
        </is>
      </c>
      <c r="J183" s="31">
        <f>HYPERLINK("01_STARTER/ST-072-STD-04/01_Technical_File.docx","Open")</f>
        <v/>
      </c>
      <c r="K183" s="25" t="inlineStr">
        <is>
          <t>IA-PPWR-DOC-ST-072-STD-04-R00</t>
        </is>
      </c>
      <c r="L183" s="31">
        <f>HYPERLINK("01_STARTER/ST-072-STD-04/02_EU_DoC.docx","Open")</f>
        <v/>
      </c>
      <c r="M183" s="25" t="inlineStr">
        <is>
          <t>IA-PPWR-LBL-ST-072-STD-04-R00</t>
        </is>
      </c>
      <c r="N183" s="31">
        <f>HYPERLINK("01_STARTER/ST-072-STD-04/03_Label.docx","Open")</f>
        <v/>
      </c>
      <c r="O183" s="25" t="inlineStr">
        <is>
          <t>IA-PPWR-STM-ST-072-STD-04-R00</t>
        </is>
      </c>
      <c r="P183" s="31">
        <f>HYPERLINK("01_STARTER/ST-072-STD-04/04_Shipment_Statement.docx","Open")</f>
        <v/>
      </c>
      <c r="Q183" s="25" t="inlineStr">
        <is>
          <t>GENERATED / LINKED</t>
        </is>
      </c>
      <c r="R183" s="25" t="inlineStr">
        <is>
          <t>Rev.00</t>
        </is>
      </c>
    </row>
    <row r="184">
      <c r="A184" s="25" t="inlineStr">
        <is>
          <t>ST-072-STD-05</t>
        </is>
      </c>
      <c r="B184" s="25" t="inlineStr">
        <is>
          <t>IA-ST-072-STD-05</t>
        </is>
      </c>
      <c r="C184" s="25" t="inlineStr">
        <is>
          <t>L1 | L1 EAS AGM S&amp;S 50AH 560A pencereli dış koli (4001394): 72 adet</t>
        </is>
      </c>
      <c r="D184" s="25" t="inlineStr">
        <is>
          <t>L1 | L1 EAS AGM S&amp;S 50AH 560A windowed outer carton (4001394): 72 pcs</t>
        </is>
      </c>
      <c r="E184" s="25" t="inlineStr">
        <is>
          <t>IA-ST-CFG-0214</t>
        </is>
      </c>
      <c r="F184" s="25" t="inlineStr">
        <is>
          <t>STARTER</t>
        </is>
      </c>
      <c r="G184" s="25" t="n">
        <v>46.766</v>
      </c>
      <c r="H184" s="25" t="n">
        <v>1</v>
      </c>
      <c r="I184" s="25" t="inlineStr">
        <is>
          <t>IA-PPWR-TF-ST-072-STD-05-R00</t>
        </is>
      </c>
      <c r="J184" s="31">
        <f>HYPERLINK("01_STARTER/ST-072-STD-05/01_Technical_File.docx","Open")</f>
        <v/>
      </c>
      <c r="K184" s="25" t="inlineStr">
        <is>
          <t>IA-PPWR-DOC-ST-072-STD-05-R00</t>
        </is>
      </c>
      <c r="L184" s="31">
        <f>HYPERLINK("01_STARTER/ST-072-STD-05/02_EU_DoC.docx","Open")</f>
        <v/>
      </c>
      <c r="M184" s="25" t="inlineStr">
        <is>
          <t>IA-PPWR-LBL-ST-072-STD-05-R00</t>
        </is>
      </c>
      <c r="N184" s="31">
        <f>HYPERLINK("01_STARTER/ST-072-STD-05/03_Label.docx","Open")</f>
        <v/>
      </c>
      <c r="O184" s="25" t="inlineStr">
        <is>
          <t>IA-PPWR-STM-ST-072-STD-05-R00</t>
        </is>
      </c>
      <c r="P184" s="31">
        <f>HYPERLINK("01_STARTER/ST-072-STD-05/04_Shipment_Statement.docx","Open")</f>
        <v/>
      </c>
      <c r="Q184" s="25" t="inlineStr">
        <is>
          <t>GENERATED / LINKED</t>
        </is>
      </c>
      <c r="R184" s="25" t="inlineStr">
        <is>
          <t>Rev.00</t>
        </is>
      </c>
    </row>
    <row r="185">
      <c r="A185" s="25" t="inlineStr">
        <is>
          <t>ST-072-STD-06</t>
        </is>
      </c>
      <c r="B185" s="25" t="inlineStr">
        <is>
          <t>IA-ST-072-STD-06</t>
        </is>
      </c>
      <c r="C185" s="25" t="inlineStr">
        <is>
          <t>L3 | L3 HUGEL ULTRA penceresiz 2013 TAS. dış koli (4000865): 72 adet</t>
        </is>
      </c>
      <c r="D185" s="25" t="inlineStr">
        <is>
          <t>L3 | L3 HUGEL ULTRA windowless 2013 TAS. outer carton (4000865): 72 pcs</t>
        </is>
      </c>
      <c r="E185" s="25" t="inlineStr">
        <is>
          <t>IA-ST-CFG-0215</t>
        </is>
      </c>
      <c r="F185" s="25" t="inlineStr">
        <is>
          <t>STARTER</t>
        </is>
      </c>
      <c r="G185" s="25" t="n">
        <v>47.756</v>
      </c>
      <c r="H185" s="25" t="n">
        <v>1</v>
      </c>
      <c r="I185" s="25" t="inlineStr">
        <is>
          <t>IA-PPWR-TF-ST-072-STD-06-R00</t>
        </is>
      </c>
      <c r="J185" s="31">
        <f>HYPERLINK("01_STARTER/ST-072-STD-06/01_Technical_File.docx","Open")</f>
        <v/>
      </c>
      <c r="K185" s="25" t="inlineStr">
        <is>
          <t>IA-PPWR-DOC-ST-072-STD-06-R00</t>
        </is>
      </c>
      <c r="L185" s="31">
        <f>HYPERLINK("01_STARTER/ST-072-STD-06/02_EU_DoC.docx","Open")</f>
        <v/>
      </c>
      <c r="M185" s="25" t="inlineStr">
        <is>
          <t>IA-PPWR-LBL-ST-072-STD-06-R00</t>
        </is>
      </c>
      <c r="N185" s="31">
        <f>HYPERLINK("01_STARTER/ST-072-STD-06/03_Label.docx","Open")</f>
        <v/>
      </c>
      <c r="O185" s="25" t="inlineStr">
        <is>
          <t>IA-PPWR-STM-ST-072-STD-06-R00</t>
        </is>
      </c>
      <c r="P185" s="31">
        <f>HYPERLINK("01_STARTER/ST-072-STD-06/04_Shipment_Statement.docx","Open")</f>
        <v/>
      </c>
      <c r="Q185" s="25" t="inlineStr">
        <is>
          <t>GENERATED / LINKED</t>
        </is>
      </c>
      <c r="R185" s="25" t="inlineStr">
        <is>
          <t>Rev.00</t>
        </is>
      </c>
    </row>
    <row r="186">
      <c r="A186" s="25" t="inlineStr">
        <is>
          <t>ST-072-STD-07</t>
        </is>
      </c>
      <c r="B186" s="25" t="inlineStr">
        <is>
          <t>IA-ST-072-STD-07</t>
        </is>
      </c>
      <c r="C186" s="25" t="inlineStr">
        <is>
          <t>LB3 | LB3 İnci FORMULA-MAXIMA 2019 dış koli (4001205): 72 adet</t>
        </is>
      </c>
      <c r="D186" s="25" t="inlineStr">
        <is>
          <t>LB3 | LB3 İnci FORMULA-MAXIMA 2019 outer carton (4001205): 72 pcs</t>
        </is>
      </c>
      <c r="E186" s="25" t="inlineStr">
        <is>
          <t>IA-ST-CFG-0216</t>
        </is>
      </c>
      <c r="F186" s="25" t="inlineStr">
        <is>
          <t>STARTER</t>
        </is>
      </c>
      <c r="G186" s="25" t="n">
        <v>50.636</v>
      </c>
      <c r="H186" s="25" t="n">
        <v>1</v>
      </c>
      <c r="I186" s="25" t="inlineStr">
        <is>
          <t>IA-PPWR-TF-ST-072-STD-07-R00</t>
        </is>
      </c>
      <c r="J186" s="31">
        <f>HYPERLINK("01_STARTER/ST-072-STD-07/01_Technical_File.docx","Open")</f>
        <v/>
      </c>
      <c r="K186" s="25" t="inlineStr">
        <is>
          <t>IA-PPWR-DOC-ST-072-STD-07-R00</t>
        </is>
      </c>
      <c r="L186" s="31">
        <f>HYPERLINK("01_STARTER/ST-072-STD-07/02_EU_DoC.docx","Open")</f>
        <v/>
      </c>
      <c r="M186" s="25" t="inlineStr">
        <is>
          <t>IA-PPWR-LBL-ST-072-STD-07-R00</t>
        </is>
      </c>
      <c r="N186" s="31">
        <f>HYPERLINK("01_STARTER/ST-072-STD-07/03_Label.docx","Open")</f>
        <v/>
      </c>
      <c r="O186" s="25" t="inlineStr">
        <is>
          <t>IA-PPWR-STM-ST-072-STD-07-R00</t>
        </is>
      </c>
      <c r="P186" s="31">
        <f>HYPERLINK("01_STARTER/ST-072-STD-07/04_Shipment_Statement.docx","Open")</f>
        <v/>
      </c>
      <c r="Q186" s="25" t="inlineStr">
        <is>
          <t>GENERATED / LINKED</t>
        </is>
      </c>
      <c r="R186" s="25" t="inlineStr">
        <is>
          <t>Rev.00</t>
        </is>
      </c>
    </row>
    <row r="187">
      <c r="A187" s="25" t="inlineStr">
        <is>
          <t>ST-072-STD-08</t>
        </is>
      </c>
      <c r="B187" s="25" t="inlineStr">
        <is>
          <t>IA-ST-072-STD-08</t>
        </is>
      </c>
      <c r="C187" s="25" t="inlineStr">
        <is>
          <t>D23 | Palet (4000037): 1 adet | Separatör (4000130): 1 adet</t>
        </is>
      </c>
      <c r="D187" s="25" t="inlineStr">
        <is>
          <t>D23 | Pallet (4000037): 1 pc | Separator (4000130): 1 pc</t>
        </is>
      </c>
      <c r="E187" s="25" t="inlineStr">
        <is>
          <t>IA-ST-CFG-0217</t>
        </is>
      </c>
      <c r="F187" s="25" t="inlineStr">
        <is>
          <t>STARTER</t>
        </is>
      </c>
      <c r="G187" s="25" t="n">
        <v>27.708</v>
      </c>
      <c r="H187" s="25" t="n">
        <v>1</v>
      </c>
      <c r="I187" s="25" t="inlineStr">
        <is>
          <t>IA-PPWR-TF-ST-072-STD-08-R00</t>
        </is>
      </c>
      <c r="J187" s="31">
        <f>HYPERLINK("01_STARTER/ST-072-STD-08/01_Technical_File.docx","Open")</f>
        <v/>
      </c>
      <c r="K187" s="25" t="inlineStr">
        <is>
          <t>IA-PPWR-DOC-ST-072-STD-08-R00</t>
        </is>
      </c>
      <c r="L187" s="31">
        <f>HYPERLINK("01_STARTER/ST-072-STD-08/02_EU_DoC.docx","Open")</f>
        <v/>
      </c>
      <c r="M187" s="25" t="inlineStr">
        <is>
          <t>IA-PPWR-LBL-ST-072-STD-08-R00</t>
        </is>
      </c>
      <c r="N187" s="31">
        <f>HYPERLINK("01_STARTER/ST-072-STD-08/03_Label.docx","Open")</f>
        <v/>
      </c>
      <c r="O187" s="25" t="inlineStr">
        <is>
          <t>IA-PPWR-STM-ST-072-STD-08-R00</t>
        </is>
      </c>
      <c r="P187" s="31">
        <f>HYPERLINK("01_STARTER/ST-072-STD-08/04_Shipment_Statement.docx","Open")</f>
        <v/>
      </c>
      <c r="Q187" s="25" t="inlineStr">
        <is>
          <t>GENERATED / LINKED</t>
        </is>
      </c>
      <c r="R187" s="25" t="inlineStr">
        <is>
          <t>Rev.00</t>
        </is>
      </c>
    </row>
    <row r="188">
      <c r="A188" s="25" t="inlineStr">
        <is>
          <t>ST-072-STD-09</t>
        </is>
      </c>
      <c r="B188" s="25" t="inlineStr">
        <is>
          <t>IA-ST-072-STD-09</t>
        </is>
      </c>
      <c r="C188" s="25" t="inlineStr">
        <is>
          <t>L2 | Palet (4000037): 1 adet | Shrink film (4000558): 2.736 kg</t>
        </is>
      </c>
      <c r="D188" s="25" t="inlineStr">
        <is>
          <t>L2 | Pallet (4000037): 1 pc | Shrink film (4000558): 2.736 kg</t>
        </is>
      </c>
      <c r="E188" s="25" t="inlineStr">
        <is>
          <t>IA-ST-CFG-0218</t>
        </is>
      </c>
      <c r="F188" s="25" t="inlineStr">
        <is>
          <t>STARTER</t>
        </is>
      </c>
      <c r="G188" s="25" t="n">
        <v>30.942</v>
      </c>
      <c r="H188" s="25" t="n">
        <v>1</v>
      </c>
      <c r="I188" s="25" t="inlineStr">
        <is>
          <t>IA-PPWR-TF-ST-072-STD-09-R00</t>
        </is>
      </c>
      <c r="J188" s="31">
        <f>HYPERLINK("01_STARTER/ST-072-STD-09/01_Technical_File.docx","Open")</f>
        <v/>
      </c>
      <c r="K188" s="25" t="inlineStr">
        <is>
          <t>IA-PPWR-DOC-ST-072-STD-09-R00</t>
        </is>
      </c>
      <c r="L188" s="31">
        <f>HYPERLINK("01_STARTER/ST-072-STD-09/02_EU_DoC.docx","Open")</f>
        <v/>
      </c>
      <c r="M188" s="25" t="inlineStr">
        <is>
          <t>IA-PPWR-LBL-ST-072-STD-09-R00</t>
        </is>
      </c>
      <c r="N188" s="31">
        <f>HYPERLINK("01_STARTER/ST-072-STD-09/03_Label.docx","Open")</f>
        <v/>
      </c>
      <c r="O188" s="25" t="inlineStr">
        <is>
          <t>IA-PPWR-STM-ST-072-STD-09-R00</t>
        </is>
      </c>
      <c r="P188" s="31">
        <f>HYPERLINK("01_STARTER/ST-072-STD-09/04_Shipment_Statement.docx","Open")</f>
        <v/>
      </c>
      <c r="Q188" s="25" t="inlineStr">
        <is>
          <t>GENERATED / LINKED</t>
        </is>
      </c>
      <c r="R188" s="25" t="inlineStr">
        <is>
          <t>Rev.00</t>
        </is>
      </c>
    </row>
    <row r="189">
      <c r="A189" s="25" t="inlineStr">
        <is>
          <t>ST-072-STD-10</t>
        </is>
      </c>
      <c r="B189" s="25" t="inlineStr">
        <is>
          <t>IA-ST-072-STD-10</t>
        </is>
      </c>
      <c r="C189" s="25" t="inlineStr">
        <is>
          <t>D23 | D23 PVC üst kapak (4000461): 72 adet | Köşebent (4000590): 2 adet</t>
        </is>
      </c>
      <c r="D189" s="25" t="inlineStr">
        <is>
          <t>D23 | D23 PVC upper cover (4000461): 72 pcs | Edge protector (4000590): 2 pcs</t>
        </is>
      </c>
      <c r="E189" s="25" t="inlineStr">
        <is>
          <t>IA-ST-CFG-0219</t>
        </is>
      </c>
      <c r="F189" s="25" t="inlineStr">
        <is>
          <t>STARTER</t>
        </is>
      </c>
      <c r="G189" s="25" t="n">
        <v>34.33224</v>
      </c>
      <c r="H189" s="25" t="n">
        <v>43</v>
      </c>
      <c r="I189" s="25" t="inlineStr">
        <is>
          <t>IA-PPWR-TF-ST-072-STD-10-R00</t>
        </is>
      </c>
      <c r="J189" s="31">
        <f>HYPERLINK("01_STARTER/ST-072-STD-10/01_Technical_File.docx","Open")</f>
        <v/>
      </c>
      <c r="K189" s="25" t="inlineStr">
        <is>
          <t>IA-PPWR-DOC-ST-072-STD-10-R00</t>
        </is>
      </c>
      <c r="L189" s="31">
        <f>HYPERLINK("01_STARTER/ST-072-STD-10/02_EU_DoC.docx","Open")</f>
        <v/>
      </c>
      <c r="M189" s="25" t="inlineStr">
        <is>
          <t>IA-PPWR-LBL-ST-072-STD-10-R00</t>
        </is>
      </c>
      <c r="N189" s="31">
        <f>HYPERLINK("01_STARTER/ST-072-STD-10/03_Label.docx","Open")</f>
        <v/>
      </c>
      <c r="O189" s="25" t="inlineStr">
        <is>
          <t>IA-PPWR-STM-ST-072-STD-10-R00</t>
        </is>
      </c>
      <c r="P189" s="31">
        <f>HYPERLINK("01_STARTER/ST-072-STD-10/04_Shipment_Statement.docx","Open")</f>
        <v/>
      </c>
      <c r="Q189" s="25" t="inlineStr">
        <is>
          <t>GENERATED / LINKED</t>
        </is>
      </c>
      <c r="R189" s="25" t="inlineStr">
        <is>
          <t>Rev.00</t>
        </is>
      </c>
    </row>
    <row r="190">
      <c r="A190" s="25" t="inlineStr">
        <is>
          <t>ST-072-STD-11</t>
        </is>
      </c>
      <c r="B190" s="25" t="inlineStr">
        <is>
          <t>IA-ST-072-STD-11</t>
        </is>
      </c>
      <c r="C190" s="25" t="inlineStr">
        <is>
          <t>D20 | D20 PVC üst kapak (4000490): 72 adet | Köşebent (4000590): 2 adet</t>
        </is>
      </c>
      <c r="D190" s="25" t="inlineStr">
        <is>
          <t>D20 | D20 PVC upper cover (4000490): 72 pcs | Edge protector (4000590): 2 pcs</t>
        </is>
      </c>
      <c r="E190" s="25" t="inlineStr">
        <is>
          <t>IA-ST-CFG-0220</t>
        </is>
      </c>
      <c r="F190" s="25" t="inlineStr">
        <is>
          <t>STARTER</t>
        </is>
      </c>
      <c r="G190" s="25" t="n">
        <v>30.33912</v>
      </c>
      <c r="H190" s="25" t="n">
        <v>2</v>
      </c>
      <c r="I190" s="25" t="inlineStr">
        <is>
          <t>IA-PPWR-TF-ST-072-STD-11-R00</t>
        </is>
      </c>
      <c r="J190" s="31">
        <f>HYPERLINK("01_STARTER/ST-072-STD-11/01_Technical_File.docx","Open")</f>
        <v/>
      </c>
      <c r="K190" s="25" t="inlineStr">
        <is>
          <t>IA-PPWR-DOC-ST-072-STD-11-R00</t>
        </is>
      </c>
      <c r="L190" s="31">
        <f>HYPERLINK("01_STARTER/ST-072-STD-11/02_EU_DoC.docx","Open")</f>
        <v/>
      </c>
      <c r="M190" s="25" t="inlineStr">
        <is>
          <t>IA-PPWR-LBL-ST-072-STD-11-R00</t>
        </is>
      </c>
      <c r="N190" s="31">
        <f>HYPERLINK("01_STARTER/ST-072-STD-11/03_Label.docx","Open")</f>
        <v/>
      </c>
      <c r="O190" s="25" t="inlineStr">
        <is>
          <t>IA-PPWR-STM-ST-072-STD-11-R00</t>
        </is>
      </c>
      <c r="P190" s="31">
        <f>HYPERLINK("01_STARTER/ST-072-STD-11/04_Shipment_Statement.docx","Open")</f>
        <v/>
      </c>
      <c r="Q190" s="25" t="inlineStr">
        <is>
          <t>GENERATED / LINKED</t>
        </is>
      </c>
      <c r="R190" s="25" t="inlineStr">
        <is>
          <t>Rev.00</t>
        </is>
      </c>
    </row>
    <row r="191">
      <c r="A191" s="25" t="inlineStr">
        <is>
          <t>ST-072-STD-12</t>
        </is>
      </c>
      <c r="B191" s="25" t="inlineStr">
        <is>
          <t>IA-ST-072-STD-12</t>
        </is>
      </c>
      <c r="C191" s="25" t="inlineStr">
        <is>
          <t>L4 | Palet (4000037): 1 adet | Shrink film (4000554): 2.448 kg</t>
        </is>
      </c>
      <c r="D191" s="25" t="inlineStr">
        <is>
          <t>L4 | Pallet (4000037): 1 pc | Shrink film (4000554): 2.448 kg</t>
        </is>
      </c>
      <c r="E191" s="25" t="inlineStr">
        <is>
          <t>IA-ST-CFG-0221</t>
        </is>
      </c>
      <c r="F191" s="25" t="inlineStr">
        <is>
          <t>STARTER</t>
        </is>
      </c>
      <c r="G191" s="25" t="n">
        <v>30.3672</v>
      </c>
      <c r="H191" s="25" t="n">
        <v>4</v>
      </c>
      <c r="I191" s="25" t="inlineStr">
        <is>
          <t>IA-PPWR-TF-ST-072-STD-12-R00</t>
        </is>
      </c>
      <c r="J191" s="31">
        <f>HYPERLINK("01_STARTER/ST-072-STD-12/01_Technical_File.docx","Open")</f>
        <v/>
      </c>
      <c r="K191" s="25" t="inlineStr">
        <is>
          <t>IA-PPWR-DOC-ST-072-STD-12-R00</t>
        </is>
      </c>
      <c r="L191" s="31">
        <f>HYPERLINK("01_STARTER/ST-072-STD-12/02_EU_DoC.docx","Open")</f>
        <v/>
      </c>
      <c r="M191" s="25" t="inlineStr">
        <is>
          <t>IA-PPWR-LBL-ST-072-STD-12-R00</t>
        </is>
      </c>
      <c r="N191" s="31">
        <f>HYPERLINK("01_STARTER/ST-072-STD-12/03_Label.docx","Open")</f>
        <v/>
      </c>
      <c r="O191" s="25" t="inlineStr">
        <is>
          <t>IA-PPWR-STM-ST-072-STD-12-R00</t>
        </is>
      </c>
      <c r="P191" s="31">
        <f>HYPERLINK("01_STARTER/ST-072-STD-12/04_Shipment_Statement.docx","Open")</f>
        <v/>
      </c>
      <c r="Q191" s="25" t="inlineStr">
        <is>
          <t>GENERATED / LINKED</t>
        </is>
      </c>
      <c r="R191" s="25" t="inlineStr">
        <is>
          <t>Rev.00</t>
        </is>
      </c>
    </row>
    <row r="192">
      <c r="A192" s="25" t="inlineStr">
        <is>
          <t>ST-072-STD-13</t>
        </is>
      </c>
      <c r="B192" s="25" t="inlineStr">
        <is>
          <t>IA-ST-072-STD-13</t>
        </is>
      </c>
      <c r="C192" s="25" t="inlineStr">
        <is>
          <t>L2, LB2 | Palet (4000037): 1 adet | Köşebent (4000590): 2 adet</t>
        </is>
      </c>
      <c r="D192" s="25" t="inlineStr">
        <is>
          <t>L2, LB2 | Pallet (4000037): 1 pc | Edge protector (4000590): 2 pcs</t>
        </is>
      </c>
      <c r="E192" s="25" t="inlineStr">
        <is>
          <t>IA-ST-CFG-0222</t>
        </is>
      </c>
      <c r="F192" s="25" t="inlineStr">
        <is>
          <t>STARTER</t>
        </is>
      </c>
      <c r="G192" s="25" t="n">
        <v>30.6552</v>
      </c>
      <c r="H192" s="25" t="n">
        <v>125</v>
      </c>
      <c r="I192" s="25" t="inlineStr">
        <is>
          <t>IA-PPWR-TF-ST-072-STD-13-R00</t>
        </is>
      </c>
      <c r="J192" s="31">
        <f>HYPERLINK("01_STARTER/ST-072-STD-13/01_Technical_File.docx","Open")</f>
        <v/>
      </c>
      <c r="K192" s="25" t="inlineStr">
        <is>
          <t>IA-PPWR-DOC-ST-072-STD-13-R00</t>
        </is>
      </c>
      <c r="L192" s="31">
        <f>HYPERLINK("01_STARTER/ST-072-STD-13/02_EU_DoC.docx","Open")</f>
        <v/>
      </c>
      <c r="M192" s="25" t="inlineStr">
        <is>
          <t>IA-PPWR-LBL-ST-072-STD-13-R00</t>
        </is>
      </c>
      <c r="N192" s="31">
        <f>HYPERLINK("01_STARTER/ST-072-STD-13/03_Label.docx","Open")</f>
        <v/>
      </c>
      <c r="O192" s="25" t="inlineStr">
        <is>
          <t>IA-PPWR-STM-ST-072-STD-13-R00</t>
        </is>
      </c>
      <c r="P192" s="31">
        <f>HYPERLINK("01_STARTER/ST-072-STD-13/04_Shipment_Statement.docx","Open")</f>
        <v/>
      </c>
      <c r="Q192" s="25" t="inlineStr">
        <is>
          <t>GENERATED / LINKED</t>
        </is>
      </c>
      <c r="R192" s="25" t="inlineStr">
        <is>
          <t>Rev.00</t>
        </is>
      </c>
    </row>
    <row r="193">
      <c r="A193" s="25" t="inlineStr">
        <is>
          <t>ST-072-STD-14</t>
        </is>
      </c>
      <c r="B193" s="25" t="inlineStr">
        <is>
          <t>IA-ST-072-STD-14</t>
        </is>
      </c>
      <c r="C193" s="25" t="inlineStr">
        <is>
          <t>LB2, L2 | Palet (4000037): 1 adet | Separatör (4000130): 4 adet</t>
        </is>
      </c>
      <c r="D193" s="25" t="inlineStr">
        <is>
          <t>LB2, L2 | Pallet (4000037): 1 pc | Separator (4000130): 4 pcs</t>
        </is>
      </c>
      <c r="E193" s="25" t="inlineStr">
        <is>
          <t>IA-ST-CFG-0223</t>
        </is>
      </c>
      <c r="F193" s="25" t="inlineStr">
        <is>
          <t>STARTER</t>
        </is>
      </c>
      <c r="G193" s="25" t="n">
        <v>27.9192</v>
      </c>
      <c r="H193" s="25" t="n">
        <v>2</v>
      </c>
      <c r="I193" s="25" t="inlineStr">
        <is>
          <t>IA-PPWR-TF-ST-072-STD-14-R00</t>
        </is>
      </c>
      <c r="J193" s="31">
        <f>HYPERLINK("01_STARTER/ST-072-STD-14/01_Technical_File.docx","Open")</f>
        <v/>
      </c>
      <c r="K193" s="25" t="inlineStr">
        <is>
          <t>IA-PPWR-DOC-ST-072-STD-14-R00</t>
        </is>
      </c>
      <c r="L193" s="31">
        <f>HYPERLINK("01_STARTER/ST-072-STD-14/02_EU_DoC.docx","Open")</f>
        <v/>
      </c>
      <c r="M193" s="25" t="inlineStr">
        <is>
          <t>IA-PPWR-LBL-ST-072-STD-14-R00</t>
        </is>
      </c>
      <c r="N193" s="31">
        <f>HYPERLINK("01_STARTER/ST-072-STD-14/03_Label.docx","Open")</f>
        <v/>
      </c>
      <c r="O193" s="25" t="inlineStr">
        <is>
          <t>IA-PPWR-STM-ST-072-STD-14-R00</t>
        </is>
      </c>
      <c r="P193" s="31">
        <f>HYPERLINK("01_STARTER/ST-072-STD-14/04_Shipment_Statement.docx","Open")</f>
        <v/>
      </c>
      <c r="Q193" s="25" t="inlineStr">
        <is>
          <t>GENERATED / LINKED</t>
        </is>
      </c>
      <c r="R193" s="25" t="inlineStr">
        <is>
          <t>Rev.00</t>
        </is>
      </c>
    </row>
    <row r="194">
      <c r="A194" s="25" t="inlineStr">
        <is>
          <t>ST-072-STD-15</t>
        </is>
      </c>
      <c r="B194" s="25" t="inlineStr">
        <is>
          <t>IA-ST-072-STD-15</t>
        </is>
      </c>
      <c r="C194" s="25" t="inlineStr">
        <is>
          <t>D23 | D23 PVC üst kapak (4000461): 72 adet | Çember (4000450): kullanılmaz</t>
        </is>
      </c>
      <c r="D194" s="25" t="inlineStr">
        <is>
          <t>D23 | D23 PVC upper cover (4000461): 72 pcs | Strap (4000450): not used</t>
        </is>
      </c>
      <c r="E194" s="25" t="inlineStr">
        <is>
          <t>IA-ST-CFG-0224</t>
        </is>
      </c>
      <c r="F194" s="25" t="inlineStr">
        <is>
          <t>STARTER</t>
        </is>
      </c>
      <c r="G194" s="25" t="n">
        <v>34.04544</v>
      </c>
      <c r="H194" s="25" t="n">
        <v>5</v>
      </c>
      <c r="I194" s="25" t="inlineStr">
        <is>
          <t>IA-PPWR-TF-ST-072-STD-15-R00</t>
        </is>
      </c>
      <c r="J194" s="31">
        <f>HYPERLINK("01_STARTER/ST-072-STD-15/01_Technical_File.docx","Open")</f>
        <v/>
      </c>
      <c r="K194" s="25" t="inlineStr">
        <is>
          <t>IA-PPWR-DOC-ST-072-STD-15-R00</t>
        </is>
      </c>
      <c r="L194" s="31">
        <f>HYPERLINK("01_STARTER/ST-072-STD-15/02_EU_DoC.docx","Open")</f>
        <v/>
      </c>
      <c r="M194" s="25" t="inlineStr">
        <is>
          <t>IA-PPWR-LBL-ST-072-STD-15-R00</t>
        </is>
      </c>
      <c r="N194" s="31">
        <f>HYPERLINK("01_STARTER/ST-072-STD-15/03_Label.docx","Open")</f>
        <v/>
      </c>
      <c r="O194" s="25" t="inlineStr">
        <is>
          <t>IA-PPWR-STM-ST-072-STD-15-R00</t>
        </is>
      </c>
      <c r="P194" s="31">
        <f>HYPERLINK("01_STARTER/ST-072-STD-15/04_Shipment_Statement.docx","Open")</f>
        <v/>
      </c>
      <c r="Q194" s="25" t="inlineStr">
        <is>
          <t>GENERATED / LINKED</t>
        </is>
      </c>
      <c r="R194" s="25" t="inlineStr">
        <is>
          <t>Rev.00</t>
        </is>
      </c>
    </row>
    <row r="195">
      <c r="A195" s="25" t="inlineStr">
        <is>
          <t>ST-072-STD-16</t>
        </is>
      </c>
      <c r="B195" s="25" t="inlineStr">
        <is>
          <t>IA-ST-072-STD-16</t>
        </is>
      </c>
      <c r="C195" s="25" t="inlineStr">
        <is>
          <t>D20 | D20 PVC üst kapak (4000490): 72 adet | Köşebent (4000590): kullanılmaz</t>
        </is>
      </c>
      <c r="D195" s="25" t="inlineStr">
        <is>
          <t>D20 | D20 PVC upper cover (4000490): 72 pcs | Edge protector (4000590): not used</t>
        </is>
      </c>
      <c r="E195" s="25" t="inlineStr">
        <is>
          <t>IA-ST-CFG-0225</t>
        </is>
      </c>
      <c r="F195" s="25" t="inlineStr">
        <is>
          <t>STARTER</t>
        </is>
      </c>
      <c r="G195" s="25" t="n">
        <v>30.05232</v>
      </c>
      <c r="H195" s="25" t="n">
        <v>5</v>
      </c>
      <c r="I195" s="25" t="inlineStr">
        <is>
          <t>IA-PPWR-TF-ST-072-STD-16-R00</t>
        </is>
      </c>
      <c r="J195" s="31">
        <f>HYPERLINK("01_STARTER/ST-072-STD-16/01_Technical_File.docx","Open")</f>
        <v/>
      </c>
      <c r="K195" s="25" t="inlineStr">
        <is>
          <t>IA-PPWR-DOC-ST-072-STD-16-R00</t>
        </is>
      </c>
      <c r="L195" s="31">
        <f>HYPERLINK("01_STARTER/ST-072-STD-16/02_EU_DoC.docx","Open")</f>
        <v/>
      </c>
      <c r="M195" s="25" t="inlineStr">
        <is>
          <t>IA-PPWR-LBL-ST-072-STD-16-R00</t>
        </is>
      </c>
      <c r="N195" s="31">
        <f>HYPERLINK("01_STARTER/ST-072-STD-16/03_Label.docx","Open")</f>
        <v/>
      </c>
      <c r="O195" s="25" t="inlineStr">
        <is>
          <t>IA-PPWR-STM-ST-072-STD-16-R00</t>
        </is>
      </c>
      <c r="P195" s="31">
        <f>HYPERLINK("01_STARTER/ST-072-STD-16/04_Shipment_Statement.docx","Open")</f>
        <v/>
      </c>
      <c r="Q195" s="25" t="inlineStr">
        <is>
          <t>GENERATED / LINKED</t>
        </is>
      </c>
      <c r="R195" s="25" t="inlineStr">
        <is>
          <t>Rev.00</t>
        </is>
      </c>
    </row>
    <row r="196">
      <c r="A196" s="25" t="inlineStr">
        <is>
          <t>ST-072-STD-17</t>
        </is>
      </c>
      <c r="B196" s="25" t="inlineStr">
        <is>
          <t>IA-ST-072-STD-17</t>
        </is>
      </c>
      <c r="C196" s="25" t="inlineStr">
        <is>
          <t>L2 | Palet (4000037): 1 adet | Shrink film (4000558): 2.376 kg</t>
        </is>
      </c>
      <c r="D196" s="25" t="inlineStr">
        <is>
          <t>L2 | Pallet (4000037): 1 pc | Shrink film (4000558): 2.376 kg</t>
        </is>
      </c>
      <c r="E196" s="25" t="inlineStr">
        <is>
          <t>IA-ST-CFG-0226</t>
        </is>
      </c>
      <c r="F196" s="25" t="inlineStr">
        <is>
          <t>STARTER</t>
        </is>
      </c>
      <c r="G196" s="25" t="n">
        <v>30.0084</v>
      </c>
      <c r="H196" s="25" t="n">
        <v>1</v>
      </c>
      <c r="I196" s="25" t="inlineStr">
        <is>
          <t>IA-PPWR-TF-ST-072-STD-17-R00</t>
        </is>
      </c>
      <c r="J196" s="31">
        <f>HYPERLINK("01_STARTER/ST-072-STD-17/01_Technical_File.docx","Open")</f>
        <v/>
      </c>
      <c r="K196" s="25" t="inlineStr">
        <is>
          <t>IA-PPWR-DOC-ST-072-STD-17-R00</t>
        </is>
      </c>
      <c r="L196" s="31">
        <f>HYPERLINK("01_STARTER/ST-072-STD-17/02_EU_DoC.docx","Open")</f>
        <v/>
      </c>
      <c r="M196" s="25" t="inlineStr">
        <is>
          <t>IA-PPWR-LBL-ST-072-STD-17-R00</t>
        </is>
      </c>
      <c r="N196" s="31">
        <f>HYPERLINK("01_STARTER/ST-072-STD-17/03_Label.docx","Open")</f>
        <v/>
      </c>
      <c r="O196" s="25" t="inlineStr">
        <is>
          <t>IA-PPWR-STM-ST-072-STD-17-R00</t>
        </is>
      </c>
      <c r="P196" s="31">
        <f>HYPERLINK("01_STARTER/ST-072-STD-17/04_Shipment_Statement.docx","Open")</f>
        <v/>
      </c>
      <c r="Q196" s="25" t="inlineStr">
        <is>
          <t>GENERATED / LINKED</t>
        </is>
      </c>
      <c r="R196" s="25" t="inlineStr">
        <is>
          <t>Rev.00</t>
        </is>
      </c>
    </row>
    <row r="197">
      <c r="A197" s="25" t="inlineStr">
        <is>
          <t>ST-072-STD-18</t>
        </is>
      </c>
      <c r="B197" s="25" t="inlineStr">
        <is>
          <t>IA-ST-072-STD-18</t>
        </is>
      </c>
      <c r="C197" s="25" t="inlineStr">
        <is>
          <t>L2, LB2 | Palet (4000037): 1 adet | Köşebent (4000590): kullanılmaz</t>
        </is>
      </c>
      <c r="D197" s="25" t="inlineStr">
        <is>
          <t>L2, LB2 | Pallet (4000037): 1 pc | Edge protector (4000590): not used</t>
        </is>
      </c>
      <c r="E197" s="25" t="inlineStr">
        <is>
          <t>IA-ST-CFG-0227</t>
        </is>
      </c>
      <c r="F197" s="25" t="inlineStr">
        <is>
          <t>STARTER</t>
        </is>
      </c>
      <c r="G197" s="25" t="n">
        <v>30.3684</v>
      </c>
      <c r="H197" s="25" t="n">
        <v>18</v>
      </c>
      <c r="I197" s="25" t="inlineStr">
        <is>
          <t>IA-PPWR-TF-ST-072-STD-18-R00</t>
        </is>
      </c>
      <c r="J197" s="31">
        <f>HYPERLINK("01_STARTER/ST-072-STD-18/01_Technical_File.docx","Open")</f>
        <v/>
      </c>
      <c r="K197" s="25" t="inlineStr">
        <is>
          <t>IA-PPWR-DOC-ST-072-STD-18-R00</t>
        </is>
      </c>
      <c r="L197" s="31">
        <f>HYPERLINK("01_STARTER/ST-072-STD-18/02_EU_DoC.docx","Open")</f>
        <v/>
      </c>
      <c r="M197" s="25" t="inlineStr">
        <is>
          <t>IA-PPWR-LBL-ST-072-STD-18-R00</t>
        </is>
      </c>
      <c r="N197" s="31">
        <f>HYPERLINK("01_STARTER/ST-072-STD-18/03_Label.docx","Open")</f>
        <v/>
      </c>
      <c r="O197" s="25" t="inlineStr">
        <is>
          <t>IA-PPWR-STM-ST-072-STD-18-R00</t>
        </is>
      </c>
      <c r="P197" s="31">
        <f>HYPERLINK("01_STARTER/ST-072-STD-18/04_Shipment_Statement.docx","Open")</f>
        <v/>
      </c>
      <c r="Q197" s="25" t="inlineStr">
        <is>
          <t>GENERATED / LINKED</t>
        </is>
      </c>
      <c r="R197" s="25" t="inlineStr">
        <is>
          <t>Rev.00</t>
        </is>
      </c>
    </row>
    <row r="198">
      <c r="A198" s="25" t="inlineStr">
        <is>
          <t>ST-072-STD-19</t>
        </is>
      </c>
      <c r="B198" s="25" t="inlineStr">
        <is>
          <t>IA-ST-072-STD-19</t>
        </is>
      </c>
      <c r="C198" s="25" t="inlineStr">
        <is>
          <t>D23 | Palet (4000037): 1 adet | Shrink film (4001177): 0.597 kg</t>
        </is>
      </c>
      <c r="D198" s="25" t="inlineStr">
        <is>
          <t>D23 | Pallet (4000037): 1 pc | Shrink film (4001177): 0.597 kg</t>
        </is>
      </c>
      <c r="E198" s="25" t="inlineStr">
        <is>
          <t>IA-ST-CFG-0228</t>
        </is>
      </c>
      <c r="F198" s="25" t="inlineStr">
        <is>
          <t>STARTER</t>
        </is>
      </c>
      <c r="G198" s="25" t="n">
        <v>28.649</v>
      </c>
      <c r="H198" s="25" t="n">
        <v>3</v>
      </c>
      <c r="I198" s="25" t="inlineStr">
        <is>
          <t>IA-PPWR-TF-ST-072-STD-19-R00</t>
        </is>
      </c>
      <c r="J198" s="31">
        <f>HYPERLINK("01_STARTER/ST-072-STD-19/01_Technical_File.docx","Open")</f>
        <v/>
      </c>
      <c r="K198" s="25" t="inlineStr">
        <is>
          <t>IA-PPWR-DOC-ST-072-STD-19-R00</t>
        </is>
      </c>
      <c r="L198" s="31">
        <f>HYPERLINK("01_STARTER/ST-072-STD-19/02_EU_DoC.docx","Open")</f>
        <v/>
      </c>
      <c r="M198" s="25" t="inlineStr">
        <is>
          <t>IA-PPWR-LBL-ST-072-STD-19-R00</t>
        </is>
      </c>
      <c r="N198" s="31">
        <f>HYPERLINK("01_STARTER/ST-072-STD-19/03_Label.docx","Open")</f>
        <v/>
      </c>
      <c r="O198" s="25" t="inlineStr">
        <is>
          <t>IA-PPWR-STM-ST-072-STD-19-R00</t>
        </is>
      </c>
      <c r="P198" s="31">
        <f>HYPERLINK("01_STARTER/ST-072-STD-19/04_Shipment_Statement.docx","Open")</f>
        <v/>
      </c>
      <c r="Q198" s="25" t="inlineStr">
        <is>
          <t>GENERATED / LINKED</t>
        </is>
      </c>
      <c r="R198" s="25" t="inlineStr">
        <is>
          <t>Rev.00</t>
        </is>
      </c>
    </row>
    <row r="199">
      <c r="A199" s="25" t="inlineStr">
        <is>
          <t>ST-072-STD-20</t>
        </is>
      </c>
      <c r="B199" s="25" t="inlineStr">
        <is>
          <t>IA-ST-072-STD-20</t>
        </is>
      </c>
      <c r="C199" s="25" t="inlineStr">
        <is>
          <t>L2 | Palet (4000037): 1 adet | Köşebent (4000590): 2 adet</t>
        </is>
      </c>
      <c r="D199" s="25" t="inlineStr">
        <is>
          <t>L2 | Pallet (4000037): 1 pc | Edge protector (4000590): 2 pcs</t>
        </is>
      </c>
      <c r="E199" s="25" t="inlineStr">
        <is>
          <t>IA-ST-CFG-0229</t>
        </is>
      </c>
      <c r="F199" s="25" t="inlineStr">
        <is>
          <t>STARTER</t>
        </is>
      </c>
      <c r="G199" s="25" t="n">
        <v>28.417</v>
      </c>
      <c r="H199" s="25" t="n">
        <v>1</v>
      </c>
      <c r="I199" s="25" t="inlineStr">
        <is>
          <t>IA-PPWR-TF-ST-072-STD-20-R00</t>
        </is>
      </c>
      <c r="J199" s="31">
        <f>HYPERLINK("01_STARTER/ST-072-STD-20/01_Technical_File.docx","Open")</f>
        <v/>
      </c>
      <c r="K199" s="25" t="inlineStr">
        <is>
          <t>IA-PPWR-DOC-ST-072-STD-20-R00</t>
        </is>
      </c>
      <c r="L199" s="31">
        <f>HYPERLINK("01_STARTER/ST-072-STD-20/02_EU_DoC.docx","Open")</f>
        <v/>
      </c>
      <c r="M199" s="25" t="inlineStr">
        <is>
          <t>IA-PPWR-LBL-ST-072-STD-20-R00</t>
        </is>
      </c>
      <c r="N199" s="31">
        <f>HYPERLINK("01_STARTER/ST-072-STD-20/03_Label.docx","Open")</f>
        <v/>
      </c>
      <c r="O199" s="25" t="inlineStr">
        <is>
          <t>IA-PPWR-STM-ST-072-STD-20-R00</t>
        </is>
      </c>
      <c r="P199" s="31">
        <f>HYPERLINK("01_STARTER/ST-072-STD-20/04_Shipment_Statement.docx","Open")</f>
        <v/>
      </c>
      <c r="Q199" s="25" t="inlineStr">
        <is>
          <t>GENERATED / LINKED</t>
        </is>
      </c>
      <c r="R199" s="25" t="inlineStr">
        <is>
          <t>Rev.00</t>
        </is>
      </c>
    </row>
    <row r="200">
      <c r="A200" s="25" t="inlineStr">
        <is>
          <t>ST-072-STD-21</t>
        </is>
      </c>
      <c r="B200" s="25" t="inlineStr">
        <is>
          <t>IA-ST-072-STD-21</t>
        </is>
      </c>
      <c r="C200" s="25" t="inlineStr">
        <is>
          <t>L2 | Palet (4000037): 1 adet | Köşebent (4000590): 4 adet | Shrink film (4001177): 0.597 kg</t>
        </is>
      </c>
      <c r="D200" s="25" t="inlineStr">
        <is>
          <t>L2 | Pallet (4000037): 1 pc | Edge protector (4000590): 4 pcs | Shrink film (4001177): 0.597 kg</t>
        </is>
      </c>
      <c r="E200" s="25" t="inlineStr">
        <is>
          <t>IA-ST-CFG-0230</t>
        </is>
      </c>
      <c r="F200" s="25" t="inlineStr">
        <is>
          <t>STARTER</t>
        </is>
      </c>
      <c r="G200" s="25" t="n">
        <v>28.617</v>
      </c>
      <c r="H200" s="25" t="n">
        <v>9</v>
      </c>
      <c r="I200" s="25" t="inlineStr">
        <is>
          <t>IA-PPWR-TF-ST-072-STD-21-R00</t>
        </is>
      </c>
      <c r="J200" s="31">
        <f>HYPERLINK("01_STARTER/ST-072-STD-21/01_Technical_File.docx","Open")</f>
        <v/>
      </c>
      <c r="K200" s="25" t="inlineStr">
        <is>
          <t>IA-PPWR-DOC-ST-072-STD-21-R00</t>
        </is>
      </c>
      <c r="L200" s="31">
        <f>HYPERLINK("01_STARTER/ST-072-STD-21/02_EU_DoC.docx","Open")</f>
        <v/>
      </c>
      <c r="M200" s="25" t="inlineStr">
        <is>
          <t>IA-PPWR-LBL-ST-072-STD-21-R00</t>
        </is>
      </c>
      <c r="N200" s="31">
        <f>HYPERLINK("01_STARTER/ST-072-STD-21/03_Label.docx","Open")</f>
        <v/>
      </c>
      <c r="O200" s="25" t="inlineStr">
        <is>
          <t>IA-PPWR-STM-ST-072-STD-21-R00</t>
        </is>
      </c>
      <c r="P200" s="31">
        <f>HYPERLINK("01_STARTER/ST-072-STD-21/04_Shipment_Statement.docx","Open")</f>
        <v/>
      </c>
      <c r="Q200" s="25" t="inlineStr">
        <is>
          <t>GENERATED / LINKED</t>
        </is>
      </c>
      <c r="R200" s="25" t="inlineStr">
        <is>
          <t>Rev.00</t>
        </is>
      </c>
    </row>
    <row r="201">
      <c r="A201" s="25" t="inlineStr">
        <is>
          <t>ST-072-STD-22</t>
        </is>
      </c>
      <c r="B201" s="25" t="inlineStr">
        <is>
          <t>IA-ST-072-STD-22</t>
        </is>
      </c>
      <c r="C201" s="25" t="inlineStr">
        <is>
          <t>L4, LB4 | Palet (4000037): 1 adet | Köşebent (4000590): 2 adet</t>
        </is>
      </c>
      <c r="D201" s="25" t="inlineStr">
        <is>
          <t>L4, LB4 | Pallet (4000037): 1 pc | Edge protector (4000590): 2 pcs</t>
        </is>
      </c>
      <c r="E201" s="25" t="inlineStr">
        <is>
          <t>IA-ST-CFG-0231</t>
        </is>
      </c>
      <c r="F201" s="25" t="inlineStr">
        <is>
          <t>STARTER</t>
        </is>
      </c>
      <c r="G201" s="25" t="n">
        <v>30.6372</v>
      </c>
      <c r="H201" s="25" t="n">
        <v>21</v>
      </c>
      <c r="I201" s="25" t="inlineStr">
        <is>
          <t>IA-PPWR-TF-ST-072-STD-22-R00</t>
        </is>
      </c>
      <c r="J201" s="31">
        <f>HYPERLINK("01_STARTER/ST-072-STD-22/01_Technical_File.docx","Open")</f>
        <v/>
      </c>
      <c r="K201" s="25" t="inlineStr">
        <is>
          <t>IA-PPWR-DOC-ST-072-STD-22-R00</t>
        </is>
      </c>
      <c r="L201" s="31">
        <f>HYPERLINK("01_STARTER/ST-072-STD-22/02_EU_DoC.docx","Open")</f>
        <v/>
      </c>
      <c r="M201" s="25" t="inlineStr">
        <is>
          <t>IA-PPWR-LBL-ST-072-STD-22-R00</t>
        </is>
      </c>
      <c r="N201" s="31">
        <f>HYPERLINK("01_STARTER/ST-072-STD-22/03_Label.docx","Open")</f>
        <v/>
      </c>
      <c r="O201" s="25" t="inlineStr">
        <is>
          <t>IA-PPWR-STM-ST-072-STD-22-R00</t>
        </is>
      </c>
      <c r="P201" s="31">
        <f>HYPERLINK("01_STARTER/ST-072-STD-22/04_Shipment_Statement.docx","Open")</f>
        <v/>
      </c>
      <c r="Q201" s="25" t="inlineStr">
        <is>
          <t>GENERATED / LINKED</t>
        </is>
      </c>
      <c r="R201" s="25" t="inlineStr">
        <is>
          <t>Rev.00</t>
        </is>
      </c>
    </row>
    <row r="202">
      <c r="A202" s="25" t="inlineStr">
        <is>
          <t>ST-072-STD-23</t>
        </is>
      </c>
      <c r="B202" s="25" t="inlineStr">
        <is>
          <t>IA-ST-072-STD-23</t>
        </is>
      </c>
      <c r="C202" s="25" t="inlineStr">
        <is>
          <t>L4 | Palet (4000037): 1 adet | Separatör (4000130): 5 adet</t>
        </is>
      </c>
      <c r="D202" s="25" t="inlineStr">
        <is>
          <t>L4 | Pallet (4000037): 1 pc | Separator (4000130): 5 pcs</t>
        </is>
      </c>
      <c r="E202" s="25" t="inlineStr">
        <is>
          <t>IA-ST-CFG-0232</t>
        </is>
      </c>
      <c r="F202" s="25" t="inlineStr">
        <is>
          <t>STARTER</t>
        </is>
      </c>
      <c r="G202" s="25" t="n">
        <v>28.1892</v>
      </c>
      <c r="H202" s="25" t="n">
        <v>1</v>
      </c>
      <c r="I202" s="25" t="inlineStr">
        <is>
          <t>IA-PPWR-TF-ST-072-STD-23-R00</t>
        </is>
      </c>
      <c r="J202" s="31">
        <f>HYPERLINK("01_STARTER/ST-072-STD-23/01_Technical_File.docx","Open")</f>
        <v/>
      </c>
      <c r="K202" s="25" t="inlineStr">
        <is>
          <t>IA-PPWR-DOC-ST-072-STD-23-R00</t>
        </is>
      </c>
      <c r="L202" s="31">
        <f>HYPERLINK("01_STARTER/ST-072-STD-23/02_EU_DoC.docx","Open")</f>
        <v/>
      </c>
      <c r="M202" s="25" t="inlineStr">
        <is>
          <t>IA-PPWR-LBL-ST-072-STD-23-R00</t>
        </is>
      </c>
      <c r="N202" s="31">
        <f>HYPERLINK("01_STARTER/ST-072-STD-23/03_Label.docx","Open")</f>
        <v/>
      </c>
      <c r="O202" s="25" t="inlineStr">
        <is>
          <t>IA-PPWR-STM-ST-072-STD-23-R00</t>
        </is>
      </c>
      <c r="P202" s="31">
        <f>HYPERLINK("01_STARTER/ST-072-STD-23/04_Shipment_Statement.docx","Open")</f>
        <v/>
      </c>
      <c r="Q202" s="25" t="inlineStr">
        <is>
          <t>GENERATED / LINKED</t>
        </is>
      </c>
      <c r="R202" s="25" t="inlineStr">
        <is>
          <t>Rev.00</t>
        </is>
      </c>
    </row>
    <row r="203">
      <c r="A203" s="25" t="inlineStr">
        <is>
          <t>ST-072-STD-24</t>
        </is>
      </c>
      <c r="B203" s="25" t="inlineStr">
        <is>
          <t>IA-ST-072-STD-24</t>
        </is>
      </c>
      <c r="C203" s="25" t="inlineStr">
        <is>
          <t>L4, LB4 | Palet (4000037): 1 adet | Köşebent (4000590): kullanılmaz</t>
        </is>
      </c>
      <c r="D203" s="25" t="inlineStr">
        <is>
          <t>L4, LB4 | Pallet (4000037): 1 pc | Edge protector (4000590): not used</t>
        </is>
      </c>
      <c r="E203" s="25" t="inlineStr">
        <is>
          <t>IA-ST-CFG-0233</t>
        </is>
      </c>
      <c r="F203" s="25" t="inlineStr">
        <is>
          <t>STARTER</t>
        </is>
      </c>
      <c r="G203" s="25" t="n">
        <v>30.3504</v>
      </c>
      <c r="H203" s="25" t="n">
        <v>7</v>
      </c>
      <c r="I203" s="25" t="inlineStr">
        <is>
          <t>IA-PPWR-TF-ST-072-STD-24-R00</t>
        </is>
      </c>
      <c r="J203" s="31">
        <f>HYPERLINK("01_STARTER/ST-072-STD-24/01_Technical_File.docx","Open")</f>
        <v/>
      </c>
      <c r="K203" s="25" t="inlineStr">
        <is>
          <t>IA-PPWR-DOC-ST-072-STD-24-R00</t>
        </is>
      </c>
      <c r="L203" s="31">
        <f>HYPERLINK("01_STARTER/ST-072-STD-24/02_EU_DoC.docx","Open")</f>
        <v/>
      </c>
      <c r="M203" s="25" t="inlineStr">
        <is>
          <t>IA-PPWR-LBL-ST-072-STD-24-R00</t>
        </is>
      </c>
      <c r="N203" s="31">
        <f>HYPERLINK("01_STARTER/ST-072-STD-24/03_Label.docx","Open")</f>
        <v/>
      </c>
      <c r="O203" s="25" t="inlineStr">
        <is>
          <t>IA-PPWR-STM-ST-072-STD-24-R00</t>
        </is>
      </c>
      <c r="P203" s="31">
        <f>HYPERLINK("01_STARTER/ST-072-STD-24/04_Shipment_Statement.docx","Open")</f>
        <v/>
      </c>
      <c r="Q203" s="25" t="inlineStr">
        <is>
          <t>GENERATED / LINKED</t>
        </is>
      </c>
      <c r="R203" s="25" t="inlineStr">
        <is>
          <t>Rev.00</t>
        </is>
      </c>
    </row>
    <row r="204">
      <c r="A204" s="25" t="inlineStr">
        <is>
          <t>ST-072-STD-25</t>
        </is>
      </c>
      <c r="B204" s="25" t="inlineStr">
        <is>
          <t>IA-ST-072-STD-25</t>
        </is>
      </c>
      <c r="C204" s="25" t="inlineStr">
        <is>
          <t>LB4 | Palet (4000037): 1 adet | Shrink film (4001177): 0.597 kg</t>
        </is>
      </c>
      <c r="D204" s="25" t="inlineStr">
        <is>
          <t>LB4 | Pallet (4000037): 1 pc | Shrink film (4001177): 0.597 kg</t>
        </is>
      </c>
      <c r="E204" s="25" t="inlineStr">
        <is>
          <t>IA-ST-CFG-0234</t>
        </is>
      </c>
      <c r="F204" s="25" t="inlineStr">
        <is>
          <t>STARTER</t>
        </is>
      </c>
      <c r="G204" s="25" t="n">
        <v>28.887</v>
      </c>
      <c r="H204" s="25" t="n">
        <v>1</v>
      </c>
      <c r="I204" s="25" t="inlineStr">
        <is>
          <t>IA-PPWR-TF-ST-072-STD-25-R00</t>
        </is>
      </c>
      <c r="J204" s="31">
        <f>HYPERLINK("01_STARTER/ST-072-STD-25/01_Technical_File.docx","Open")</f>
        <v/>
      </c>
      <c r="K204" s="25" t="inlineStr">
        <is>
          <t>IA-PPWR-DOC-ST-072-STD-25-R00</t>
        </is>
      </c>
      <c r="L204" s="31">
        <f>HYPERLINK("01_STARTER/ST-072-STD-25/02_EU_DoC.docx","Open")</f>
        <v/>
      </c>
      <c r="M204" s="25" t="inlineStr">
        <is>
          <t>IA-PPWR-LBL-ST-072-STD-25-R00</t>
        </is>
      </c>
      <c r="N204" s="31">
        <f>HYPERLINK("01_STARTER/ST-072-STD-25/03_Label.docx","Open")</f>
        <v/>
      </c>
      <c r="O204" s="25" t="inlineStr">
        <is>
          <t>IA-PPWR-STM-ST-072-STD-25-R00</t>
        </is>
      </c>
      <c r="P204" s="31">
        <f>HYPERLINK("01_STARTER/ST-072-STD-25/04_Shipment_Statement.docx","Open")</f>
        <v/>
      </c>
      <c r="Q204" s="25" t="inlineStr">
        <is>
          <t>GENERATED / LINKED</t>
        </is>
      </c>
      <c r="R204" s="25" t="inlineStr">
        <is>
          <t>Rev.00</t>
        </is>
      </c>
    </row>
    <row r="205">
      <c r="A205" s="25" t="inlineStr">
        <is>
          <t>ST-076-EUR-01</t>
        </is>
      </c>
      <c r="B205" s="25" t="inlineStr">
        <is>
          <t>IA-ST-076-EUR-01</t>
        </is>
      </c>
      <c r="C205" s="25" t="inlineStr">
        <is>
          <t>L2 | L2 İnci AGM LEO 60AH 680A pencereli dış koli (4001340): 76 adet</t>
        </is>
      </c>
      <c r="D205" s="25" t="inlineStr">
        <is>
          <t>L2 | L2 İnci AGM LEO 60AH 680A windowed outer carton (4001340): 76 pcs</t>
        </is>
      </c>
      <c r="E205" s="25" t="inlineStr">
        <is>
          <t>IA-ST-CFG-0238</t>
        </is>
      </c>
      <c r="F205" s="25" t="inlineStr">
        <is>
          <t>STARTER</t>
        </is>
      </c>
      <c r="G205" s="25" t="n">
        <v>47.226</v>
      </c>
      <c r="H205" s="25" t="n">
        <v>1</v>
      </c>
      <c r="I205" s="25" t="inlineStr">
        <is>
          <t>IA-PPWR-TF-ST-076-EUR-01-R00</t>
        </is>
      </c>
      <c r="J205" s="31">
        <f>HYPERLINK("01_STARTER/ST-076-EUR-01/01_Technical_File.docx","Open")</f>
        <v/>
      </c>
      <c r="K205" s="25" t="inlineStr">
        <is>
          <t>IA-PPWR-DOC-ST-076-EUR-01-R00</t>
        </is>
      </c>
      <c r="L205" s="31">
        <f>HYPERLINK("01_STARTER/ST-076-EUR-01/02_EU_DoC.docx","Open")</f>
        <v/>
      </c>
      <c r="M205" s="25" t="inlineStr">
        <is>
          <t>IA-PPWR-LBL-ST-076-EUR-01-R00</t>
        </is>
      </c>
      <c r="N205" s="31">
        <f>HYPERLINK("01_STARTER/ST-076-EUR-01/03_Label.docx","Open")</f>
        <v/>
      </c>
      <c r="O205" s="25" t="inlineStr">
        <is>
          <t>IA-PPWR-STM-ST-076-EUR-01-R00</t>
        </is>
      </c>
      <c r="P205" s="31">
        <f>HYPERLINK("01_STARTER/ST-076-EUR-01/04_Shipment_Statement.docx","Open")</f>
        <v/>
      </c>
      <c r="Q205" s="25" t="inlineStr">
        <is>
          <t>GENERATED / LINKED</t>
        </is>
      </c>
      <c r="R205" s="25" t="inlineStr">
        <is>
          <t>Rev.00</t>
        </is>
      </c>
    </row>
    <row r="206">
      <c r="A206" s="25" t="inlineStr">
        <is>
          <t>ST-076-EUR-02</t>
        </is>
      </c>
      <c r="B206" s="25" t="inlineStr">
        <is>
          <t>IA-ST-076-EUR-02</t>
        </is>
      </c>
      <c r="C206" s="25" t="inlineStr">
        <is>
          <t>L2, LB2 | Palet (4000038): 1 adet | Köşebent (4000590): 4 adet</t>
        </is>
      </c>
      <c r="D206" s="25" t="inlineStr">
        <is>
          <t>L2, LB2 | Pallet (4000038): 1 pc | Edge protector (4000590): 4 pcs</t>
        </is>
      </c>
      <c r="E206" s="25" t="inlineStr">
        <is>
          <t>IA-ST-CFG-0239</t>
        </is>
      </c>
      <c r="F206" s="25" t="inlineStr">
        <is>
          <t>STARTER</t>
        </is>
      </c>
      <c r="G206" s="25" t="n">
        <v>28.126</v>
      </c>
      <c r="H206" s="25" t="n">
        <v>9</v>
      </c>
      <c r="I206" s="25" t="inlineStr">
        <is>
          <t>IA-PPWR-TF-ST-076-EUR-02-R00</t>
        </is>
      </c>
      <c r="J206" s="31">
        <f>HYPERLINK("01_STARTER/ST-076-EUR-02/01_Technical_File.docx","Open")</f>
        <v/>
      </c>
      <c r="K206" s="25" t="inlineStr">
        <is>
          <t>IA-PPWR-DOC-ST-076-EUR-02-R00</t>
        </is>
      </c>
      <c r="L206" s="31">
        <f>HYPERLINK("01_STARTER/ST-076-EUR-02/02_EU_DoC.docx","Open")</f>
        <v/>
      </c>
      <c r="M206" s="25" t="inlineStr">
        <is>
          <t>IA-PPWR-LBL-ST-076-EUR-02-R00</t>
        </is>
      </c>
      <c r="N206" s="31">
        <f>HYPERLINK("01_STARTER/ST-076-EUR-02/03_Label.docx","Open")</f>
        <v/>
      </c>
      <c r="O206" s="25" t="inlineStr">
        <is>
          <t>IA-PPWR-STM-ST-076-EUR-02-R00</t>
        </is>
      </c>
      <c r="P206" s="31">
        <f>HYPERLINK("01_STARTER/ST-076-EUR-02/04_Shipment_Statement.docx","Open")</f>
        <v/>
      </c>
      <c r="Q206" s="25" t="inlineStr">
        <is>
          <t>GENERATED / LINKED</t>
        </is>
      </c>
      <c r="R206" s="25" t="inlineStr">
        <is>
          <t>Rev.00</t>
        </is>
      </c>
    </row>
    <row r="207">
      <c r="A207" s="25" t="inlineStr">
        <is>
          <t>ST-076-EUR-03</t>
        </is>
      </c>
      <c r="B207" s="25" t="inlineStr">
        <is>
          <t>IA-ST-076-EUR-03</t>
        </is>
      </c>
      <c r="C207" s="25" t="inlineStr">
        <is>
          <t>L2, LB2 | Palet (4000038): 1 adet | Shrink film (4000558): 2.888 kg</t>
        </is>
      </c>
      <c r="D207" s="25" t="inlineStr">
        <is>
          <t>L2, LB2 | Pallet (4000038): 1 pc | Shrink film (4000558): 2.888 kg</t>
        </is>
      </c>
      <c r="E207" s="25" t="inlineStr">
        <is>
          <t>IA-ST-CFG-0240</t>
        </is>
      </c>
      <c r="F207" s="25" t="inlineStr">
        <is>
          <t>STARTER</t>
        </is>
      </c>
      <c r="G207" s="25" t="n">
        <v>30.7272</v>
      </c>
      <c r="H207" s="25" t="n">
        <v>36</v>
      </c>
      <c r="I207" s="25" t="inlineStr">
        <is>
          <t>IA-PPWR-TF-ST-076-EUR-03-R00</t>
        </is>
      </c>
      <c r="J207" s="31">
        <f>HYPERLINK("01_STARTER/ST-076-EUR-03/01_Technical_File.docx","Open")</f>
        <v/>
      </c>
      <c r="K207" s="25" t="inlineStr">
        <is>
          <t>IA-PPWR-DOC-ST-076-EUR-03-R00</t>
        </is>
      </c>
      <c r="L207" s="31">
        <f>HYPERLINK("01_STARTER/ST-076-EUR-03/02_EU_DoC.docx","Open")</f>
        <v/>
      </c>
      <c r="M207" s="25" t="inlineStr">
        <is>
          <t>IA-PPWR-LBL-ST-076-EUR-03-R00</t>
        </is>
      </c>
      <c r="N207" s="31">
        <f>HYPERLINK("01_STARTER/ST-076-EUR-03/03_Label.docx","Open")</f>
        <v/>
      </c>
      <c r="O207" s="25" t="inlineStr">
        <is>
          <t>IA-PPWR-STM-ST-076-EUR-03-R00</t>
        </is>
      </c>
      <c r="P207" s="31">
        <f>HYPERLINK("01_STARTER/ST-076-EUR-03/04_Shipment_Statement.docx","Open")</f>
        <v/>
      </c>
      <c r="Q207" s="25" t="inlineStr">
        <is>
          <t>GENERATED / LINKED</t>
        </is>
      </c>
      <c r="R207" s="25" t="inlineStr">
        <is>
          <t>Rev.00</t>
        </is>
      </c>
    </row>
    <row r="208">
      <c r="A208" s="25" t="inlineStr">
        <is>
          <t>ST-076-EUR-04</t>
        </is>
      </c>
      <c r="B208" s="25" t="inlineStr">
        <is>
          <t>IA-ST-076-EUR-04</t>
        </is>
      </c>
      <c r="C208" s="25" t="inlineStr">
        <is>
          <t>LB2, L2 | Palet (4000038): 1 adet | Köşebent (4000590): 2 adet</t>
        </is>
      </c>
      <c r="D208" s="25" t="inlineStr">
        <is>
          <t>LB2, L2 | Pallet (4000038): 1 pc | Edge protector (4000590): 2 pcs</t>
        </is>
      </c>
      <c r="E208" s="25" t="inlineStr">
        <is>
          <t>IA-ST-CFG-0241</t>
        </is>
      </c>
      <c r="F208" s="25" t="inlineStr">
        <is>
          <t>STARTER</t>
        </is>
      </c>
      <c r="G208" s="25" t="n">
        <v>27.8392</v>
      </c>
      <c r="H208" s="25" t="n">
        <v>5</v>
      </c>
      <c r="I208" s="25" t="inlineStr">
        <is>
          <t>IA-PPWR-TF-ST-076-EUR-04-R00</t>
        </is>
      </c>
      <c r="J208" s="31">
        <f>HYPERLINK("01_STARTER/ST-076-EUR-04/01_Technical_File.docx","Open")</f>
        <v/>
      </c>
      <c r="K208" s="25" t="inlineStr">
        <is>
          <t>IA-PPWR-DOC-ST-076-EUR-04-R00</t>
        </is>
      </c>
      <c r="L208" s="31">
        <f>HYPERLINK("01_STARTER/ST-076-EUR-04/02_EU_DoC.docx","Open")</f>
        <v/>
      </c>
      <c r="M208" s="25" t="inlineStr">
        <is>
          <t>IA-PPWR-LBL-ST-076-EUR-04-R00</t>
        </is>
      </c>
      <c r="N208" s="31">
        <f>HYPERLINK("01_STARTER/ST-076-EUR-04/03_Label.docx","Open")</f>
        <v/>
      </c>
      <c r="O208" s="25" t="inlineStr">
        <is>
          <t>IA-PPWR-STM-ST-076-EUR-04-R00</t>
        </is>
      </c>
      <c r="P208" s="31">
        <f>HYPERLINK("01_STARTER/ST-076-EUR-04/04_Shipment_Statement.docx","Open")</f>
        <v/>
      </c>
      <c r="Q208" s="25" t="inlineStr">
        <is>
          <t>GENERATED / LINKED</t>
        </is>
      </c>
      <c r="R208" s="25" t="inlineStr">
        <is>
          <t>Rev.00</t>
        </is>
      </c>
    </row>
    <row r="209">
      <c r="A209" s="25" t="inlineStr">
        <is>
          <t>ST-080-EUR-01</t>
        </is>
      </c>
      <c r="B209" s="25" t="inlineStr">
        <is>
          <t>IA-ST-080-EUR-01</t>
        </is>
      </c>
      <c r="C209" s="25" t="inlineStr">
        <is>
          <t>L1 | L1 İnci AGM LEO 50AH 560A pencereli dış koli (4001393): 80 adet</t>
        </is>
      </c>
      <c r="D209" s="25" t="inlineStr">
        <is>
          <t>L1 | L1 İnci AGM LEO 50AH 560A windowed outer carton (4001393): 80 pcs</t>
        </is>
      </c>
      <c r="E209" s="25" t="inlineStr">
        <is>
          <t>IA-ST-CFG-0243</t>
        </is>
      </c>
      <c r="F209" s="25" t="inlineStr">
        <is>
          <t>STARTER</t>
        </is>
      </c>
      <c r="G209" s="25" t="n">
        <v>48.606</v>
      </c>
      <c r="H209" s="25" t="n">
        <v>1</v>
      </c>
      <c r="I209" s="25" t="inlineStr">
        <is>
          <t>IA-PPWR-TF-ST-080-EUR-01-R00</t>
        </is>
      </c>
      <c r="J209" s="31">
        <f>HYPERLINK("01_STARTER/ST-080-EUR-01/01_Technical_File.docx","Open")</f>
        <v/>
      </c>
      <c r="K209" s="25" t="inlineStr">
        <is>
          <t>IA-PPWR-DOC-ST-080-EUR-01-R00</t>
        </is>
      </c>
      <c r="L209" s="31">
        <f>HYPERLINK("01_STARTER/ST-080-EUR-01/02_EU_DoC.docx","Open")</f>
        <v/>
      </c>
      <c r="M209" s="25" t="inlineStr">
        <is>
          <t>IA-PPWR-LBL-ST-080-EUR-01-R00</t>
        </is>
      </c>
      <c r="N209" s="31">
        <f>HYPERLINK("01_STARTER/ST-080-EUR-01/03_Label.docx","Open")</f>
        <v/>
      </c>
      <c r="O209" s="25" t="inlineStr">
        <is>
          <t>IA-PPWR-STM-ST-080-EUR-01-R00</t>
        </is>
      </c>
      <c r="P209" s="31">
        <f>HYPERLINK("01_STARTER/ST-080-EUR-01/04_Shipment_Statement.docx","Open")</f>
        <v/>
      </c>
      <c r="Q209" s="25" t="inlineStr">
        <is>
          <t>GENERATED / LINKED</t>
        </is>
      </c>
      <c r="R209" s="25" t="inlineStr">
        <is>
          <t>Rev.00</t>
        </is>
      </c>
    </row>
    <row r="210">
      <c r="A210" s="25" t="inlineStr">
        <is>
          <t>ST-081-EUR-01</t>
        </is>
      </c>
      <c r="B210" s="25" t="inlineStr">
        <is>
          <t>IA-ST-081-EUR-01</t>
        </is>
      </c>
      <c r="C210" s="25" t="inlineStr">
        <is>
          <t>NS60 | Palet (4000038): 1 adet | Honeycomb (4001186): 3 adet</t>
        </is>
      </c>
      <c r="D210" s="25" t="inlineStr">
        <is>
          <t>NS60 | Pallet (4000038): 1 pc | Honeycomb (4001186): 3 pcs</t>
        </is>
      </c>
      <c r="E210" s="25" t="inlineStr">
        <is>
          <t>IA-ST-CFG-0245</t>
        </is>
      </c>
      <c r="F210" s="25" t="inlineStr">
        <is>
          <t>STARTER</t>
        </is>
      </c>
      <c r="G210" s="25" t="n">
        <v>30.326</v>
      </c>
      <c r="H210" s="25" t="n">
        <v>1</v>
      </c>
      <c r="I210" s="25" t="inlineStr">
        <is>
          <t>IA-PPWR-TF-ST-081-EUR-01-R00</t>
        </is>
      </c>
      <c r="J210" s="31">
        <f>HYPERLINK("01_STARTER/ST-081-EUR-01/01_Technical_File.docx","Open")</f>
        <v/>
      </c>
      <c r="K210" s="25" t="inlineStr">
        <is>
          <t>IA-PPWR-DOC-ST-081-EUR-01-R00</t>
        </is>
      </c>
      <c r="L210" s="31">
        <f>HYPERLINK("01_STARTER/ST-081-EUR-01/02_EU_DoC.docx","Open")</f>
        <v/>
      </c>
      <c r="M210" s="25" t="inlineStr">
        <is>
          <t>IA-PPWR-LBL-ST-081-EUR-01-R00</t>
        </is>
      </c>
      <c r="N210" s="31">
        <f>HYPERLINK("01_STARTER/ST-081-EUR-01/03_Label.docx","Open")</f>
        <v/>
      </c>
      <c r="O210" s="25" t="inlineStr">
        <is>
          <t>IA-PPWR-STM-ST-081-EUR-01-R00</t>
        </is>
      </c>
      <c r="P210" s="31">
        <f>HYPERLINK("01_STARTER/ST-081-EUR-01/04_Shipment_Statement.docx","Open")</f>
        <v/>
      </c>
      <c r="Q210" s="25" t="inlineStr">
        <is>
          <t>GENERATED / LINKED</t>
        </is>
      </c>
      <c r="R210" s="25" t="inlineStr">
        <is>
          <t>Rev.00</t>
        </is>
      </c>
    </row>
    <row r="211">
      <c r="A211" s="25" t="inlineStr">
        <is>
          <t>ST-087-EUR-01</t>
        </is>
      </c>
      <c r="B211" s="25" t="inlineStr">
        <is>
          <t>IA-ST-087-EUR-01</t>
        </is>
      </c>
      <c r="C211" s="25" t="inlineStr">
        <is>
          <t>NS40 | NS40 PVC üst kapak (4000601): 87 adet</t>
        </is>
      </c>
      <c r="D211" s="25" t="inlineStr">
        <is>
          <t>NS40 | NS40 PVC upper cover (4000601): 87 pcs</t>
        </is>
      </c>
      <c r="E211" s="25" t="inlineStr">
        <is>
          <t>IA-ST-CFG-0253</t>
        </is>
      </c>
      <c r="F211" s="25" t="inlineStr">
        <is>
          <t>STARTER</t>
        </is>
      </c>
      <c r="G211" s="25" t="n">
        <v>33.11851</v>
      </c>
      <c r="H211" s="25" t="n">
        <v>3</v>
      </c>
      <c r="I211" s="25" t="inlineStr">
        <is>
          <t>IA-PPWR-TF-ST-087-EUR-01-R00</t>
        </is>
      </c>
      <c r="J211" s="31">
        <f>HYPERLINK("01_STARTER/ST-087-EUR-01/01_Technical_File.docx","Open")</f>
        <v/>
      </c>
      <c r="K211" s="25" t="inlineStr">
        <is>
          <t>IA-PPWR-DOC-ST-087-EUR-01-R00</t>
        </is>
      </c>
      <c r="L211" s="31">
        <f>HYPERLINK("01_STARTER/ST-087-EUR-01/02_EU_DoC.docx","Open")</f>
        <v/>
      </c>
      <c r="M211" s="25" t="inlineStr">
        <is>
          <t>IA-PPWR-LBL-ST-087-EUR-01-R00</t>
        </is>
      </c>
      <c r="N211" s="31">
        <f>HYPERLINK("01_STARTER/ST-087-EUR-01/03_Label.docx","Open")</f>
        <v/>
      </c>
      <c r="O211" s="25" t="inlineStr">
        <is>
          <t>IA-PPWR-STM-ST-087-EUR-01-R00</t>
        </is>
      </c>
      <c r="P211" s="31">
        <f>HYPERLINK("01_STARTER/ST-087-EUR-01/04_Shipment_Statement.docx","Open")</f>
        <v/>
      </c>
      <c r="Q211" s="25" t="inlineStr">
        <is>
          <t>GENERATED / LINKED</t>
        </is>
      </c>
      <c r="R211" s="25" t="inlineStr">
        <is>
          <t>Rev.00</t>
        </is>
      </c>
    </row>
    <row r="212">
      <c r="A212" s="25" t="inlineStr">
        <is>
          <t>ST-087-STD-01</t>
        </is>
      </c>
      <c r="B212" s="25" t="inlineStr">
        <is>
          <t>IA-ST-087-STD-01</t>
        </is>
      </c>
      <c r="C212" s="25" t="inlineStr">
        <is>
          <t>L1 | Palet (4000037): 1 adet | Köşebent (4000033): 2 adet</t>
        </is>
      </c>
      <c r="D212" s="25" t="inlineStr">
        <is>
          <t>L1 | Pallet (4000037): 1 pc | Edge protector (4000033): 2 pcs</t>
        </is>
      </c>
      <c r="E212" s="25" t="inlineStr">
        <is>
          <t>IA-ST-CFG-0246</t>
        </is>
      </c>
      <c r="F212" s="25" t="inlineStr">
        <is>
          <t>STARTER</t>
        </is>
      </c>
      <c r="G212" s="25" t="n">
        <v>28.1392</v>
      </c>
      <c r="H212" s="25" t="n">
        <v>2</v>
      </c>
      <c r="I212" s="25" t="inlineStr">
        <is>
          <t>IA-PPWR-TF-ST-087-STD-01-R00</t>
        </is>
      </c>
      <c r="J212" s="31">
        <f>HYPERLINK("01_STARTER/ST-087-STD-01/01_Technical_File.docx","Open")</f>
        <v/>
      </c>
      <c r="K212" s="25" t="inlineStr">
        <is>
          <t>IA-PPWR-DOC-ST-087-STD-01-R00</t>
        </is>
      </c>
      <c r="L212" s="31">
        <f>HYPERLINK("01_STARTER/ST-087-STD-01/02_EU_DoC.docx","Open")</f>
        <v/>
      </c>
      <c r="M212" s="25" t="inlineStr">
        <is>
          <t>IA-PPWR-LBL-ST-087-STD-01-R00</t>
        </is>
      </c>
      <c r="N212" s="31">
        <f>HYPERLINK("01_STARTER/ST-087-STD-01/03_Label.docx","Open")</f>
        <v/>
      </c>
      <c r="O212" s="25" t="inlineStr">
        <is>
          <t>IA-PPWR-STM-ST-087-STD-01-R00</t>
        </is>
      </c>
      <c r="P212" s="31">
        <f>HYPERLINK("01_STARTER/ST-087-STD-01/04_Shipment_Statement.docx","Open")</f>
        <v/>
      </c>
      <c r="Q212" s="25" t="inlineStr">
        <is>
          <t>GENERATED / LINKED</t>
        </is>
      </c>
      <c r="R212" s="25" t="inlineStr">
        <is>
          <t>Rev.00</t>
        </is>
      </c>
    </row>
    <row r="213">
      <c r="A213" s="25" t="inlineStr">
        <is>
          <t>ST-087-STD-02</t>
        </is>
      </c>
      <c r="B213" s="25" t="inlineStr">
        <is>
          <t>IA-ST-087-STD-02</t>
        </is>
      </c>
      <c r="C213" s="25" t="inlineStr">
        <is>
          <t>LB1 | Palet (4000037): 1 adet | Köşebent (4000033): 2 adet</t>
        </is>
      </c>
      <c r="D213" s="25" t="inlineStr">
        <is>
          <t>LB1 | Pallet (4000037): 1 pc | Edge protector (4000033): 2 pcs</t>
        </is>
      </c>
      <c r="E213" s="25" t="inlineStr">
        <is>
          <t>IA-ST-CFG-0247</t>
        </is>
      </c>
      <c r="F213" s="25" t="inlineStr">
        <is>
          <t>STARTER</t>
        </is>
      </c>
      <c r="G213" s="25" t="n">
        <v>30.4892</v>
      </c>
      <c r="H213" s="25" t="n">
        <v>12</v>
      </c>
      <c r="I213" s="25" t="inlineStr">
        <is>
          <t>IA-PPWR-TF-ST-087-STD-02-R00</t>
        </is>
      </c>
      <c r="J213" s="31">
        <f>HYPERLINK("01_STARTER/ST-087-STD-02/01_Technical_File.docx","Open")</f>
        <v/>
      </c>
      <c r="K213" s="25" t="inlineStr">
        <is>
          <t>IA-PPWR-DOC-ST-087-STD-02-R00</t>
        </is>
      </c>
      <c r="L213" s="31">
        <f>HYPERLINK("01_STARTER/ST-087-STD-02/02_EU_DoC.docx","Open")</f>
        <v/>
      </c>
      <c r="M213" s="25" t="inlineStr">
        <is>
          <t>IA-PPWR-LBL-ST-087-STD-02-R00</t>
        </is>
      </c>
      <c r="N213" s="31">
        <f>HYPERLINK("01_STARTER/ST-087-STD-02/03_Label.docx","Open")</f>
        <v/>
      </c>
      <c r="O213" s="25" t="inlineStr">
        <is>
          <t>IA-PPWR-STM-ST-087-STD-02-R00</t>
        </is>
      </c>
      <c r="P213" s="31">
        <f>HYPERLINK("01_STARTER/ST-087-STD-02/04_Shipment_Statement.docx","Open")</f>
        <v/>
      </c>
      <c r="Q213" s="25" t="inlineStr">
        <is>
          <t>GENERATED / LINKED</t>
        </is>
      </c>
      <c r="R213" s="25" t="inlineStr">
        <is>
          <t>Rev.00</t>
        </is>
      </c>
    </row>
    <row r="214">
      <c r="A214" s="25" t="inlineStr">
        <is>
          <t>ST-087-STD-03</t>
        </is>
      </c>
      <c r="B214" s="25" t="inlineStr">
        <is>
          <t>IA-ST-087-STD-03</t>
        </is>
      </c>
      <c r="C214" s="25" t="inlineStr">
        <is>
          <t>L1, LB1 | Palet (4000037): 1 adet | Köşebent (4000033): 2 adet</t>
        </is>
      </c>
      <c r="D214" s="25" t="inlineStr">
        <is>
          <t>L1, LB1 | Pallet (4000037): 1 pc | Edge protector (4000033): 2 pcs</t>
        </is>
      </c>
      <c r="E214" s="25" t="inlineStr">
        <is>
          <t>IA-ST-CFG-0248</t>
        </is>
      </c>
      <c r="F214" s="25" t="inlineStr">
        <is>
          <t>STARTER</t>
        </is>
      </c>
      <c r="G214" s="25" t="n">
        <v>31.0092</v>
      </c>
      <c r="H214" s="25" t="n">
        <v>27</v>
      </c>
      <c r="I214" s="25" t="inlineStr">
        <is>
          <t>IA-PPWR-TF-ST-087-STD-03-R00</t>
        </is>
      </c>
      <c r="J214" s="31">
        <f>HYPERLINK("01_STARTER/ST-087-STD-03/01_Technical_File.docx","Open")</f>
        <v/>
      </c>
      <c r="K214" s="25" t="inlineStr">
        <is>
          <t>IA-PPWR-DOC-ST-087-STD-03-R00</t>
        </is>
      </c>
      <c r="L214" s="31">
        <f>HYPERLINK("01_STARTER/ST-087-STD-03/02_EU_DoC.docx","Open")</f>
        <v/>
      </c>
      <c r="M214" s="25" t="inlineStr">
        <is>
          <t>IA-PPWR-LBL-ST-087-STD-03-R00</t>
        </is>
      </c>
      <c r="N214" s="31">
        <f>HYPERLINK("01_STARTER/ST-087-STD-03/03_Label.docx","Open")</f>
        <v/>
      </c>
      <c r="O214" s="25" t="inlineStr">
        <is>
          <t>IA-PPWR-STM-ST-087-STD-03-R00</t>
        </is>
      </c>
      <c r="P214" s="31">
        <f>HYPERLINK("01_STARTER/ST-087-STD-03/04_Shipment_Statement.docx","Open")</f>
        <v/>
      </c>
      <c r="Q214" s="25" t="inlineStr">
        <is>
          <t>GENERATED / LINKED</t>
        </is>
      </c>
      <c r="R214" s="25" t="inlineStr">
        <is>
          <t>Rev.00</t>
        </is>
      </c>
    </row>
    <row r="215">
      <c r="A215" s="25" t="inlineStr">
        <is>
          <t>ST-087-STD-04</t>
        </is>
      </c>
      <c r="B215" s="25" t="inlineStr">
        <is>
          <t>IA-ST-087-STD-04</t>
        </is>
      </c>
      <c r="C215" s="25" t="inlineStr">
        <is>
          <t>LB1, L1 | Palet (4000037): 1 adet | Shrink film (4001177): 0.597 kg</t>
        </is>
      </c>
      <c r="D215" s="25" t="inlineStr">
        <is>
          <t>LB1, L1 | Pallet (4000037): 1 pc | Shrink film (4001177): 0.597 kg</t>
        </is>
      </c>
      <c r="E215" s="25" t="inlineStr">
        <is>
          <t>IA-ST-CFG-0249</t>
        </is>
      </c>
      <c r="F215" s="25" t="inlineStr">
        <is>
          <t>STARTER</t>
        </is>
      </c>
      <c r="G215" s="25" t="n">
        <v>29.057</v>
      </c>
      <c r="H215" s="25" t="n">
        <v>5</v>
      </c>
      <c r="I215" s="25" t="inlineStr">
        <is>
          <t>IA-PPWR-TF-ST-087-STD-04-R00</t>
        </is>
      </c>
      <c r="J215" s="31">
        <f>HYPERLINK("01_STARTER/ST-087-STD-04/01_Technical_File.docx","Open")</f>
        <v/>
      </c>
      <c r="K215" s="25" t="inlineStr">
        <is>
          <t>IA-PPWR-DOC-ST-087-STD-04-R00</t>
        </is>
      </c>
      <c r="L215" s="31">
        <f>HYPERLINK("01_STARTER/ST-087-STD-04/02_EU_DoC.docx","Open")</f>
        <v/>
      </c>
      <c r="M215" s="25" t="inlineStr">
        <is>
          <t>IA-PPWR-LBL-ST-087-STD-04-R00</t>
        </is>
      </c>
      <c r="N215" s="31">
        <f>HYPERLINK("01_STARTER/ST-087-STD-04/03_Label.docx","Open")</f>
        <v/>
      </c>
      <c r="O215" s="25" t="inlineStr">
        <is>
          <t>IA-PPWR-STM-ST-087-STD-04-R00</t>
        </is>
      </c>
      <c r="P215" s="31">
        <f>HYPERLINK("01_STARTER/ST-087-STD-04/04_Shipment_Statement.docx","Open")</f>
        <v/>
      </c>
      <c r="Q215" s="25" t="inlineStr">
        <is>
          <t>GENERATED / LINKED</t>
        </is>
      </c>
      <c r="R215" s="25" t="inlineStr">
        <is>
          <t>Rev.00</t>
        </is>
      </c>
    </row>
    <row r="216">
      <c r="A216" s="25" t="inlineStr">
        <is>
          <t>ST-087-STD-05</t>
        </is>
      </c>
      <c r="B216" s="25" t="inlineStr">
        <is>
          <t>IA-ST-087-STD-05</t>
        </is>
      </c>
      <c r="C216" s="25" t="inlineStr">
        <is>
          <t>NS60 | NS60 EAS Activa penceresiz dış koli (4000631): 87 adet</t>
        </is>
      </c>
      <c r="D216" s="25" t="inlineStr">
        <is>
          <t>NS60 | NS60 EAS Activa windowless outer carton (4000631): 87 pcs</t>
        </is>
      </c>
      <c r="E216" s="25" t="inlineStr">
        <is>
          <t>IA-ST-CFG-0250</t>
        </is>
      </c>
      <c r="F216" s="25" t="inlineStr">
        <is>
          <t>STARTER</t>
        </is>
      </c>
      <c r="G216" s="25" t="n">
        <v>49.6589</v>
      </c>
      <c r="H216" s="25" t="n">
        <v>1</v>
      </c>
      <c r="I216" s="25" t="inlineStr">
        <is>
          <t>IA-PPWR-TF-ST-087-STD-05-R00</t>
        </is>
      </c>
      <c r="J216" s="31">
        <f>HYPERLINK("01_STARTER/ST-087-STD-05/01_Technical_File.docx","Open")</f>
        <v/>
      </c>
      <c r="K216" s="25" t="inlineStr">
        <is>
          <t>IA-PPWR-DOC-ST-087-STD-05-R00</t>
        </is>
      </c>
      <c r="L216" s="31">
        <f>HYPERLINK("01_STARTER/ST-087-STD-05/02_EU_DoC.docx","Open")</f>
        <v/>
      </c>
      <c r="M216" s="25" t="inlineStr">
        <is>
          <t>IA-PPWR-LBL-ST-087-STD-05-R00</t>
        </is>
      </c>
      <c r="N216" s="31">
        <f>HYPERLINK("01_STARTER/ST-087-STD-05/03_Label.docx","Open")</f>
        <v/>
      </c>
      <c r="O216" s="25" t="inlineStr">
        <is>
          <t>IA-PPWR-STM-ST-087-STD-05-R00</t>
        </is>
      </c>
      <c r="P216" s="31">
        <f>HYPERLINK("01_STARTER/ST-087-STD-05/04_Shipment_Statement.docx","Open")</f>
        <v/>
      </c>
      <c r="Q216" s="25" t="inlineStr">
        <is>
          <t>GENERATED / LINKED</t>
        </is>
      </c>
      <c r="R216" s="25" t="inlineStr">
        <is>
          <t>Rev.00</t>
        </is>
      </c>
    </row>
    <row r="217">
      <c r="A217" s="25" t="inlineStr">
        <is>
          <t>ST-087-STD-06</t>
        </is>
      </c>
      <c r="B217" s="25" t="inlineStr">
        <is>
          <t>IA-ST-087-STD-06</t>
        </is>
      </c>
      <c r="C217" s="25" t="inlineStr">
        <is>
          <t>LB1 | Palet (4000037): 1 adet | Köşebent (4000033): kullanılmaz</t>
        </is>
      </c>
      <c r="D217" s="25" t="inlineStr">
        <is>
          <t>LB1 | Pallet (4000037): 1 pc | Edge protector (4000033): not used</t>
        </is>
      </c>
      <c r="E217" s="25" t="inlineStr">
        <is>
          <t>IA-ST-CFG-0251</t>
        </is>
      </c>
      <c r="F217" s="25" t="inlineStr">
        <is>
          <t>STARTER</t>
        </is>
      </c>
      <c r="G217" s="25" t="n">
        <v>29.9824</v>
      </c>
      <c r="H217" s="25" t="n">
        <v>4</v>
      </c>
      <c r="I217" s="25" t="inlineStr">
        <is>
          <t>IA-PPWR-TF-ST-087-STD-06-R00</t>
        </is>
      </c>
      <c r="J217" s="31">
        <f>HYPERLINK("01_STARTER/ST-087-STD-06/01_Technical_File.docx","Open")</f>
        <v/>
      </c>
      <c r="K217" s="25" t="inlineStr">
        <is>
          <t>IA-PPWR-DOC-ST-087-STD-06-R00</t>
        </is>
      </c>
      <c r="L217" s="31">
        <f>HYPERLINK("01_STARTER/ST-087-STD-06/02_EU_DoC.docx","Open")</f>
        <v/>
      </c>
      <c r="M217" s="25" t="inlineStr">
        <is>
          <t>IA-PPWR-LBL-ST-087-STD-06-R00</t>
        </is>
      </c>
      <c r="N217" s="31">
        <f>HYPERLINK("01_STARTER/ST-087-STD-06/03_Label.docx","Open")</f>
        <v/>
      </c>
      <c r="O217" s="25" t="inlineStr">
        <is>
          <t>IA-PPWR-STM-ST-087-STD-06-R00</t>
        </is>
      </c>
      <c r="P217" s="31">
        <f>HYPERLINK("01_STARTER/ST-087-STD-06/04_Shipment_Statement.docx","Open")</f>
        <v/>
      </c>
      <c r="Q217" s="25" t="inlineStr">
        <is>
          <t>GENERATED / LINKED</t>
        </is>
      </c>
      <c r="R217" s="25" t="inlineStr">
        <is>
          <t>Rev.00</t>
        </is>
      </c>
    </row>
    <row r="218">
      <c r="A218" s="25" t="inlineStr">
        <is>
          <t>ST-087-STD-07</t>
        </is>
      </c>
      <c r="B218" s="25" t="inlineStr">
        <is>
          <t>IA-ST-087-STD-07</t>
        </is>
      </c>
      <c r="C218" s="25" t="inlineStr">
        <is>
          <t>L1, LB1 | Palet (4000037): 1 adet | Köşebent (4000033): kullanılmaz</t>
        </is>
      </c>
      <c r="D218" s="25" t="inlineStr">
        <is>
          <t>L1, LB1 | Pallet (4000037): 1 pc | Edge protector (4000033): not used</t>
        </is>
      </c>
      <c r="E218" s="25" t="inlineStr">
        <is>
          <t>IA-ST-CFG-0252</t>
        </is>
      </c>
      <c r="F218" s="25" t="inlineStr">
        <is>
          <t>STARTER</t>
        </is>
      </c>
      <c r="G218" s="25" t="n">
        <v>30.5024</v>
      </c>
      <c r="H218" s="25" t="n">
        <v>2</v>
      </c>
      <c r="I218" s="25" t="inlineStr">
        <is>
          <t>IA-PPWR-TF-ST-087-STD-07-R00</t>
        </is>
      </c>
      <c r="J218" s="31">
        <f>HYPERLINK("01_STARTER/ST-087-STD-07/01_Technical_File.docx","Open")</f>
        <v/>
      </c>
      <c r="K218" s="25" t="inlineStr">
        <is>
          <t>IA-PPWR-DOC-ST-087-STD-07-R00</t>
        </is>
      </c>
      <c r="L218" s="31">
        <f>HYPERLINK("01_STARTER/ST-087-STD-07/02_EU_DoC.docx","Open")</f>
        <v/>
      </c>
      <c r="M218" s="25" t="inlineStr">
        <is>
          <t>IA-PPWR-LBL-ST-087-STD-07-R00</t>
        </is>
      </c>
      <c r="N218" s="31">
        <f>HYPERLINK("01_STARTER/ST-087-STD-07/03_Label.docx","Open")</f>
        <v/>
      </c>
      <c r="O218" s="25" t="inlineStr">
        <is>
          <t>IA-PPWR-STM-ST-087-STD-07-R00</t>
        </is>
      </c>
      <c r="P218" s="31">
        <f>HYPERLINK("01_STARTER/ST-087-STD-07/04_Shipment_Statement.docx","Open")</f>
        <v/>
      </c>
      <c r="Q218" s="25" t="inlineStr">
        <is>
          <t>GENERATED / LINKED</t>
        </is>
      </c>
      <c r="R218" s="25" t="inlineStr">
        <is>
          <t>Rev.00</t>
        </is>
      </c>
    </row>
    <row r="219">
      <c r="A219" s="25" t="inlineStr">
        <is>
          <t>ST-088-STD-01</t>
        </is>
      </c>
      <c r="B219" s="25" t="inlineStr">
        <is>
          <t>IA-ST-088-STD-01</t>
        </is>
      </c>
      <c r="C219" s="25" t="inlineStr">
        <is>
          <t>L2 | L2 EAS Activa penceresiz dış koli (4000644): 88 adet</t>
        </is>
      </c>
      <c r="D219" s="25" t="inlineStr">
        <is>
          <t>L2 | L2 EAS Activa windowless outer carton (4000644): 88 pcs</t>
        </is>
      </c>
      <c r="E219" s="25" t="inlineStr">
        <is>
          <t>IA-ST-CFG-0254</t>
        </is>
      </c>
      <c r="F219" s="25" t="inlineStr">
        <is>
          <t>STARTER</t>
        </is>
      </c>
      <c r="G219" s="25" t="n">
        <v>50.456</v>
      </c>
      <c r="H219" s="25" t="n">
        <v>3</v>
      </c>
      <c r="I219" s="25" t="inlineStr">
        <is>
          <t>IA-PPWR-TF-ST-088-STD-01-R00</t>
        </is>
      </c>
      <c r="J219" s="31">
        <f>HYPERLINK("01_STARTER/ST-088-STD-01/01_Technical_File.docx","Open")</f>
        <v/>
      </c>
      <c r="K219" s="25" t="inlineStr">
        <is>
          <t>IA-PPWR-DOC-ST-088-STD-01-R00</t>
        </is>
      </c>
      <c r="L219" s="31">
        <f>HYPERLINK("01_STARTER/ST-088-STD-01/02_EU_DoC.docx","Open")</f>
        <v/>
      </c>
      <c r="M219" s="25" t="inlineStr">
        <is>
          <t>IA-PPWR-LBL-ST-088-STD-01-R00</t>
        </is>
      </c>
      <c r="N219" s="31">
        <f>HYPERLINK("01_STARTER/ST-088-STD-01/03_Label.docx","Open")</f>
        <v/>
      </c>
      <c r="O219" s="25" t="inlineStr">
        <is>
          <t>IA-PPWR-STM-ST-088-STD-01-R00</t>
        </is>
      </c>
      <c r="P219" s="31">
        <f>HYPERLINK("01_STARTER/ST-088-STD-01/04_Shipment_Statement.docx","Open")</f>
        <v/>
      </c>
      <c r="Q219" s="25" t="inlineStr">
        <is>
          <t>GENERATED / LINKED</t>
        </is>
      </c>
      <c r="R219" s="25" t="inlineStr">
        <is>
          <t>Rev.00</t>
        </is>
      </c>
    </row>
    <row r="220">
      <c r="A220" s="25" t="inlineStr">
        <is>
          <t>ST-088-STD-02</t>
        </is>
      </c>
      <c r="B220" s="25" t="inlineStr">
        <is>
          <t>IA-ST-088-STD-02</t>
        </is>
      </c>
      <c r="C220" s="25" t="inlineStr">
        <is>
          <t>L2 | L2 YUASA penceresiz Orta Doğu dış koli (4001102): 88 adet</t>
        </is>
      </c>
      <c r="D220" s="25" t="inlineStr">
        <is>
          <t>L2 | L2 YUASA windowless Middle East outer carton (4001102): 88 pcs</t>
        </is>
      </c>
      <c r="E220" s="25" t="inlineStr">
        <is>
          <t>IA-ST-CFG-0255</t>
        </is>
      </c>
      <c r="F220" s="25" t="inlineStr">
        <is>
          <t>STARTER</t>
        </is>
      </c>
      <c r="G220" s="25" t="n">
        <v>50.456</v>
      </c>
      <c r="H220" s="25" t="n">
        <v>2</v>
      </c>
      <c r="I220" s="25" t="inlineStr">
        <is>
          <t>IA-PPWR-TF-ST-088-STD-02-R00</t>
        </is>
      </c>
      <c r="J220" s="31">
        <f>HYPERLINK("01_STARTER/ST-088-STD-02/01_Technical_File.docx","Open")</f>
        <v/>
      </c>
      <c r="K220" s="25" t="inlineStr">
        <is>
          <t>IA-PPWR-DOC-ST-088-STD-02-R00</t>
        </is>
      </c>
      <c r="L220" s="31">
        <f>HYPERLINK("01_STARTER/ST-088-STD-02/02_EU_DoC.docx","Open")</f>
        <v/>
      </c>
      <c r="M220" s="25" t="inlineStr">
        <is>
          <t>IA-PPWR-LBL-ST-088-STD-02-R00</t>
        </is>
      </c>
      <c r="N220" s="31">
        <f>HYPERLINK("01_STARTER/ST-088-STD-02/03_Label.docx","Open")</f>
        <v/>
      </c>
      <c r="O220" s="25" t="inlineStr">
        <is>
          <t>IA-PPWR-STM-ST-088-STD-02-R00</t>
        </is>
      </c>
      <c r="P220" s="31">
        <f>HYPERLINK("01_STARTER/ST-088-STD-02/04_Shipment_Statement.docx","Open")</f>
        <v/>
      </c>
      <c r="Q220" s="25" t="inlineStr">
        <is>
          <t>GENERATED / LINKED</t>
        </is>
      </c>
      <c r="R220" s="25" t="inlineStr">
        <is>
          <t>Rev.00</t>
        </is>
      </c>
    </row>
    <row r="221">
      <c r="A221" s="25" t="inlineStr">
        <is>
          <t>ST-088-STD-03</t>
        </is>
      </c>
      <c r="B221" s="25" t="inlineStr">
        <is>
          <t>IA-ST-088-STD-03</t>
        </is>
      </c>
      <c r="C221" s="25" t="inlineStr">
        <is>
          <t>L2 | L2 İnci EFB MAX TIGRIS pencereli 2020 dış koli (4001272): 88 adet</t>
        </is>
      </c>
      <c r="D221" s="25" t="inlineStr">
        <is>
          <t>L2 | L2 İnci EFB MAX TIGRIS windowed 2020 outer carton (4001272): 88 pcs</t>
        </is>
      </c>
      <c r="E221" s="25" t="inlineStr">
        <is>
          <t>IA-ST-CFG-0256</t>
        </is>
      </c>
      <c r="F221" s="25" t="inlineStr">
        <is>
          <t>STARTER</t>
        </is>
      </c>
      <c r="G221" s="25" t="n">
        <v>50.456</v>
      </c>
      <c r="H221" s="25" t="n">
        <v>1</v>
      </c>
      <c r="I221" s="25" t="inlineStr">
        <is>
          <t>IA-PPWR-TF-ST-088-STD-03-R00</t>
        </is>
      </c>
      <c r="J221" s="31">
        <f>HYPERLINK("01_STARTER/ST-088-STD-03/01_Technical_File.docx","Open")</f>
        <v/>
      </c>
      <c r="K221" s="25" t="inlineStr">
        <is>
          <t>IA-PPWR-DOC-ST-088-STD-03-R00</t>
        </is>
      </c>
      <c r="L221" s="31">
        <f>HYPERLINK("01_STARTER/ST-088-STD-03/02_EU_DoC.docx","Open")</f>
        <v/>
      </c>
      <c r="M221" s="25" t="inlineStr">
        <is>
          <t>IA-PPWR-LBL-ST-088-STD-03-R00</t>
        </is>
      </c>
      <c r="N221" s="31">
        <f>HYPERLINK("01_STARTER/ST-088-STD-03/03_Label.docx","Open")</f>
        <v/>
      </c>
      <c r="O221" s="25" t="inlineStr">
        <is>
          <t>IA-PPWR-STM-ST-088-STD-03-R00</t>
        </is>
      </c>
      <c r="P221" s="31">
        <f>HYPERLINK("01_STARTER/ST-088-STD-03/04_Shipment_Statement.docx","Open")</f>
        <v/>
      </c>
      <c r="Q221" s="25" t="inlineStr">
        <is>
          <t>GENERATED / LINKED</t>
        </is>
      </c>
      <c r="R221" s="25" t="inlineStr">
        <is>
          <t>Rev.00</t>
        </is>
      </c>
    </row>
    <row r="222">
      <c r="A222" s="25" t="inlineStr">
        <is>
          <t>ST-088-STD-04</t>
        </is>
      </c>
      <c r="B222" s="25" t="inlineStr">
        <is>
          <t>IA-ST-088-STD-04</t>
        </is>
      </c>
      <c r="C222" s="25" t="inlineStr">
        <is>
          <t>L2 | L2 İnci EFB PANTERA pencereli DL dış koli (4001317): 88 adet</t>
        </is>
      </c>
      <c r="D222" s="25" t="inlineStr">
        <is>
          <t>L2 | L2 İnci EFB PANTERA windowed DL outer carton (4001317): 88 pcs</t>
        </is>
      </c>
      <c r="E222" s="25" t="inlineStr">
        <is>
          <t>IA-ST-CFG-0257</t>
        </is>
      </c>
      <c r="F222" s="25" t="inlineStr">
        <is>
          <t>STARTER</t>
        </is>
      </c>
      <c r="G222" s="25" t="n">
        <v>50.456</v>
      </c>
      <c r="H222" s="25" t="n">
        <v>1</v>
      </c>
      <c r="I222" s="25" t="inlineStr">
        <is>
          <t>IA-PPWR-TF-ST-088-STD-04-R00</t>
        </is>
      </c>
      <c r="J222" s="31">
        <f>HYPERLINK("01_STARTER/ST-088-STD-04/01_Technical_File.docx","Open")</f>
        <v/>
      </c>
      <c r="K222" s="25" t="inlineStr">
        <is>
          <t>IA-PPWR-DOC-ST-088-STD-04-R00</t>
        </is>
      </c>
      <c r="L222" s="31">
        <f>HYPERLINK("01_STARTER/ST-088-STD-04/02_EU_DoC.docx","Open")</f>
        <v/>
      </c>
      <c r="M222" s="25" t="inlineStr">
        <is>
          <t>IA-PPWR-LBL-ST-088-STD-04-R00</t>
        </is>
      </c>
      <c r="N222" s="31">
        <f>HYPERLINK("01_STARTER/ST-088-STD-04/03_Label.docx","Open")</f>
        <v/>
      </c>
      <c r="O222" s="25" t="inlineStr">
        <is>
          <t>IA-PPWR-STM-ST-088-STD-04-R00</t>
        </is>
      </c>
      <c r="P222" s="31">
        <f>HYPERLINK("01_STARTER/ST-088-STD-04/04_Shipment_Statement.docx","Open")</f>
        <v/>
      </c>
      <c r="Q222" s="25" t="inlineStr">
        <is>
          <t>GENERATED / LINKED</t>
        </is>
      </c>
      <c r="R222" s="25" t="inlineStr">
        <is>
          <t>Rev.00</t>
        </is>
      </c>
    </row>
    <row r="223">
      <c r="A223" s="25" t="inlineStr">
        <is>
          <t>ST-088-STD-05</t>
        </is>
      </c>
      <c r="B223" s="25" t="inlineStr">
        <is>
          <t>IA-ST-088-STD-05</t>
        </is>
      </c>
      <c r="C223" s="25" t="inlineStr">
        <is>
          <t>L2 | L2 EAS EFB MAX pencereli 2024 dış koli (4001410): 88 adet</t>
        </is>
      </c>
      <c r="D223" s="25" t="inlineStr">
        <is>
          <t>L2 | L2 EAS EFB MAX windowed 2024 outer carton (4001410): 88 pcs</t>
        </is>
      </c>
      <c r="E223" s="25" t="inlineStr">
        <is>
          <t>IA-ST-CFG-0258</t>
        </is>
      </c>
      <c r="F223" s="25" t="inlineStr">
        <is>
          <t>STARTER</t>
        </is>
      </c>
      <c r="G223" s="25" t="n">
        <v>50.456</v>
      </c>
      <c r="H223" s="25" t="n">
        <v>1</v>
      </c>
      <c r="I223" s="25" t="inlineStr">
        <is>
          <t>IA-PPWR-TF-ST-088-STD-05-R00</t>
        </is>
      </c>
      <c r="J223" s="31">
        <f>HYPERLINK("01_STARTER/ST-088-STD-05/01_Technical_File.docx","Open")</f>
        <v/>
      </c>
      <c r="K223" s="25" t="inlineStr">
        <is>
          <t>IA-PPWR-DOC-ST-088-STD-05-R00</t>
        </is>
      </c>
      <c r="L223" s="31">
        <f>HYPERLINK("01_STARTER/ST-088-STD-05/02_EU_DoC.docx","Open")</f>
        <v/>
      </c>
      <c r="M223" s="25" t="inlineStr">
        <is>
          <t>IA-PPWR-LBL-ST-088-STD-05-R00</t>
        </is>
      </c>
      <c r="N223" s="31">
        <f>HYPERLINK("01_STARTER/ST-088-STD-05/03_Label.docx","Open")</f>
        <v/>
      </c>
      <c r="O223" s="25" t="inlineStr">
        <is>
          <t>IA-PPWR-STM-ST-088-STD-05-R00</t>
        </is>
      </c>
      <c r="P223" s="31">
        <f>HYPERLINK("01_STARTER/ST-088-STD-05/04_Shipment_Statement.docx","Open")</f>
        <v/>
      </c>
      <c r="Q223" s="25" t="inlineStr">
        <is>
          <t>GENERATED / LINKED</t>
        </is>
      </c>
      <c r="R223" s="25" t="inlineStr">
        <is>
          <t>Rev.00</t>
        </is>
      </c>
    </row>
    <row r="224">
      <c r="A224" s="25" t="inlineStr">
        <is>
          <t>ST-088-STD-06</t>
        </is>
      </c>
      <c r="B224" s="25" t="inlineStr">
        <is>
          <t>IA-ST-088-STD-06</t>
        </is>
      </c>
      <c r="C224" s="25" t="inlineStr">
        <is>
          <t>L2 | L2 BLIZZARO SILVERLINE penceresiz dış koli (4001434): 88 adet</t>
        </is>
      </c>
      <c r="D224" s="25" t="inlineStr">
        <is>
          <t>L2 | L2 BLIZZARO SILVERLINE windowless outer carton (4001434): 88 pcs</t>
        </is>
      </c>
      <c r="E224" s="25" t="inlineStr">
        <is>
          <t>IA-ST-CFG-0259</t>
        </is>
      </c>
      <c r="F224" s="25" t="inlineStr">
        <is>
          <t>STARTER</t>
        </is>
      </c>
      <c r="G224" s="25" t="n">
        <v>50.606</v>
      </c>
      <c r="H224" s="25" t="n">
        <v>2</v>
      </c>
      <c r="I224" s="25" t="inlineStr">
        <is>
          <t>IA-PPWR-TF-ST-088-STD-06-R00</t>
        </is>
      </c>
      <c r="J224" s="31">
        <f>HYPERLINK("01_STARTER/ST-088-STD-06/01_Technical_File.docx","Open")</f>
        <v/>
      </c>
      <c r="K224" s="25" t="inlineStr">
        <is>
          <t>IA-PPWR-DOC-ST-088-STD-06-R00</t>
        </is>
      </c>
      <c r="L224" s="31">
        <f>HYPERLINK("01_STARTER/ST-088-STD-06/02_EU_DoC.docx","Open")</f>
        <v/>
      </c>
      <c r="M224" s="25" t="inlineStr">
        <is>
          <t>IA-PPWR-LBL-ST-088-STD-06-R00</t>
        </is>
      </c>
      <c r="N224" s="31">
        <f>HYPERLINK("01_STARTER/ST-088-STD-06/03_Label.docx","Open")</f>
        <v/>
      </c>
      <c r="O224" s="25" t="inlineStr">
        <is>
          <t>IA-PPWR-STM-ST-088-STD-06-R00</t>
        </is>
      </c>
      <c r="P224" s="31">
        <f>HYPERLINK("01_STARTER/ST-088-STD-06/04_Shipment_Statement.docx","Open")</f>
        <v/>
      </c>
      <c r="Q224" s="25" t="inlineStr">
        <is>
          <t>GENERATED / LINKED</t>
        </is>
      </c>
      <c r="R224" s="25" t="inlineStr">
        <is>
          <t>Rev.00</t>
        </is>
      </c>
    </row>
    <row r="225">
      <c r="A225" s="25" t="inlineStr">
        <is>
          <t>ST-088-STD-07</t>
        </is>
      </c>
      <c r="B225" s="25" t="inlineStr">
        <is>
          <t>IA-ST-088-STD-07</t>
        </is>
      </c>
      <c r="C225" s="25" t="inlineStr">
        <is>
          <t>LB2 | LB2 İnci FORMULA-MAXIMA 2019 dış koli (4001203): 88 adet</t>
        </is>
      </c>
      <c r="D225" s="25" t="inlineStr">
        <is>
          <t>LB2 | LB2 İnci FORMULA-MAXIMA 2019 outer carton (4001203): 88 pcs</t>
        </is>
      </c>
      <c r="E225" s="25" t="inlineStr">
        <is>
          <t>IA-ST-CFG-0260</t>
        </is>
      </c>
      <c r="F225" s="25" t="inlineStr">
        <is>
          <t>STARTER</t>
        </is>
      </c>
      <c r="G225" s="25" t="n">
        <v>49.116</v>
      </c>
      <c r="H225" s="25" t="n">
        <v>1</v>
      </c>
      <c r="I225" s="25" t="inlineStr">
        <is>
          <t>IA-PPWR-TF-ST-088-STD-07-R00</t>
        </is>
      </c>
      <c r="J225" s="31">
        <f>HYPERLINK("01_STARTER/ST-088-STD-07/01_Technical_File.docx","Open")</f>
        <v/>
      </c>
      <c r="K225" s="25" t="inlineStr">
        <is>
          <t>IA-PPWR-DOC-ST-088-STD-07-R00</t>
        </is>
      </c>
      <c r="L225" s="31">
        <f>HYPERLINK("01_STARTER/ST-088-STD-07/02_EU_DoC.docx","Open")</f>
        <v/>
      </c>
      <c r="M225" s="25" t="inlineStr">
        <is>
          <t>IA-PPWR-LBL-ST-088-STD-07-R00</t>
        </is>
      </c>
      <c r="N225" s="31">
        <f>HYPERLINK("01_STARTER/ST-088-STD-07/03_Label.docx","Open")</f>
        <v/>
      </c>
      <c r="O225" s="25" t="inlineStr">
        <is>
          <t>IA-PPWR-STM-ST-088-STD-07-R00</t>
        </is>
      </c>
      <c r="P225" s="31">
        <f>HYPERLINK("01_STARTER/ST-088-STD-07/04_Shipment_Statement.docx","Open")</f>
        <v/>
      </c>
      <c r="Q225" s="25" t="inlineStr">
        <is>
          <t>GENERATED / LINKED</t>
        </is>
      </c>
      <c r="R225" s="25" t="inlineStr">
        <is>
          <t>Rev.00</t>
        </is>
      </c>
    </row>
    <row r="226">
      <c r="A226" s="25" t="inlineStr">
        <is>
          <t>ST-088-STD-08</t>
        </is>
      </c>
      <c r="B226" s="25" t="inlineStr">
        <is>
          <t>IA-ST-088-STD-08</t>
        </is>
      </c>
      <c r="C226" s="25" t="inlineStr">
        <is>
          <t>L2 | L2 İnci FORMULA-MAXIMA penceresiz dış koli (4001419): 88 adet</t>
        </is>
      </c>
      <c r="D226" s="25" t="inlineStr">
        <is>
          <t>L2 | L2 İnci FORMULA-MAXIMA windowless outer carton (4001419): 88 pcs</t>
        </is>
      </c>
      <c r="E226" s="25" t="inlineStr">
        <is>
          <t>IA-ST-CFG-0261</t>
        </is>
      </c>
      <c r="F226" s="25" t="inlineStr">
        <is>
          <t>STARTER</t>
        </is>
      </c>
      <c r="G226" s="25" t="n">
        <v>50.876</v>
      </c>
      <c r="H226" s="25" t="n">
        <v>2</v>
      </c>
      <c r="I226" s="25" t="inlineStr">
        <is>
          <t>IA-PPWR-TF-ST-088-STD-08-R00</t>
        </is>
      </c>
      <c r="J226" s="31">
        <f>HYPERLINK("01_STARTER/ST-088-STD-08/01_Technical_File.docx","Open")</f>
        <v/>
      </c>
      <c r="K226" s="25" t="inlineStr">
        <is>
          <t>IA-PPWR-DOC-ST-088-STD-08-R00</t>
        </is>
      </c>
      <c r="L226" s="31">
        <f>HYPERLINK("01_STARTER/ST-088-STD-08/02_EU_DoC.docx","Open")</f>
        <v/>
      </c>
      <c r="M226" s="25" t="inlineStr">
        <is>
          <t>IA-PPWR-LBL-ST-088-STD-08-R00</t>
        </is>
      </c>
      <c r="N226" s="31">
        <f>HYPERLINK("01_STARTER/ST-088-STD-08/03_Label.docx","Open")</f>
        <v/>
      </c>
      <c r="O226" s="25" t="inlineStr">
        <is>
          <t>IA-PPWR-STM-ST-088-STD-08-R00</t>
        </is>
      </c>
      <c r="P226" s="31">
        <f>HYPERLINK("01_STARTER/ST-088-STD-08/04_Shipment_Statement.docx","Open")</f>
        <v/>
      </c>
      <c r="Q226" s="25" t="inlineStr">
        <is>
          <t>GENERATED / LINKED</t>
        </is>
      </c>
      <c r="R226" s="25" t="inlineStr">
        <is>
          <t>Rev.00</t>
        </is>
      </c>
    </row>
    <row r="227">
      <c r="A227" s="25" t="inlineStr">
        <is>
          <t>ST-090-STD-01</t>
        </is>
      </c>
      <c r="B227" s="25" t="inlineStr">
        <is>
          <t>IA-ST-090-STD-01</t>
        </is>
      </c>
      <c r="C227" s="25" t="inlineStr">
        <is>
          <t>L0 | Palet (4000037): 1 adet | Shrink film (4000555): 2.166 kg</t>
        </is>
      </c>
      <c r="D227" s="25" t="inlineStr">
        <is>
          <t>L0 | Pallet (4000037): 1 pc | Shrink film (4000555): 2.166 kg</t>
        </is>
      </c>
      <c r="E227" s="25" t="inlineStr">
        <is>
          <t>IA-ST-CFG-0262</t>
        </is>
      </c>
      <c r="F227" s="25" t="inlineStr">
        <is>
          <t>STARTER</t>
        </is>
      </c>
      <c r="G227" s="25" t="n">
        <v>30.0852</v>
      </c>
      <c r="H227" s="25" t="n">
        <v>3</v>
      </c>
      <c r="I227" s="25" t="inlineStr">
        <is>
          <t>IA-PPWR-TF-ST-090-STD-01-R00</t>
        </is>
      </c>
      <c r="J227" s="31">
        <f>HYPERLINK("01_STARTER/ST-090-STD-01/01_Technical_File.docx","Open")</f>
        <v/>
      </c>
      <c r="K227" s="25" t="inlineStr">
        <is>
          <t>IA-PPWR-DOC-ST-090-STD-01-R00</t>
        </is>
      </c>
      <c r="L227" s="31">
        <f>HYPERLINK("01_STARTER/ST-090-STD-01/02_EU_DoC.docx","Open")</f>
        <v/>
      </c>
      <c r="M227" s="25" t="inlineStr">
        <is>
          <t>IA-PPWR-LBL-ST-090-STD-01-R00</t>
        </is>
      </c>
      <c r="N227" s="31">
        <f>HYPERLINK("01_STARTER/ST-090-STD-01/03_Label.docx","Open")</f>
        <v/>
      </c>
      <c r="O227" s="25" t="inlineStr">
        <is>
          <t>IA-PPWR-STM-ST-090-STD-01-R00</t>
        </is>
      </c>
      <c r="P227" s="31">
        <f>HYPERLINK("01_STARTER/ST-090-STD-01/04_Shipment_Statement.docx","Open")</f>
        <v/>
      </c>
      <c r="Q227" s="25" t="inlineStr">
        <is>
          <t>GENERATED / LINKED</t>
        </is>
      </c>
      <c r="R227" s="25" t="inlineStr">
        <is>
          <t>Rev.00</t>
        </is>
      </c>
    </row>
    <row r="228">
      <c r="A228" s="25" t="inlineStr">
        <is>
          <t>ST-090-STD-02</t>
        </is>
      </c>
      <c r="B228" s="25" t="inlineStr">
        <is>
          <t>IA-ST-090-STD-02</t>
        </is>
      </c>
      <c r="C228" s="25" t="inlineStr">
        <is>
          <t>L0 | Palet (4000037): 1 adet | Shrink film (4001177): 0.597 kg</t>
        </is>
      </c>
      <c r="D228" s="25" t="inlineStr">
        <is>
          <t>L0 | Pallet (4000037): 1 pc | Shrink film (4001177): 0.597 kg</t>
        </is>
      </c>
      <c r="E228" s="25" t="inlineStr">
        <is>
          <t>IA-ST-CFG-0263</t>
        </is>
      </c>
      <c r="F228" s="25" t="inlineStr">
        <is>
          <t>STARTER</t>
        </is>
      </c>
      <c r="G228" s="25" t="n">
        <v>28.649</v>
      </c>
      <c r="H228" s="25" t="n">
        <v>3</v>
      </c>
      <c r="I228" s="25" t="inlineStr">
        <is>
          <t>IA-PPWR-TF-ST-090-STD-02-R00</t>
        </is>
      </c>
      <c r="J228" s="31">
        <f>HYPERLINK("01_STARTER/ST-090-STD-02/01_Technical_File.docx","Open")</f>
        <v/>
      </c>
      <c r="K228" s="25" t="inlineStr">
        <is>
          <t>IA-PPWR-DOC-ST-090-STD-02-R00</t>
        </is>
      </c>
      <c r="L228" s="31">
        <f>HYPERLINK("01_STARTER/ST-090-STD-02/02_EU_DoC.docx","Open")</f>
        <v/>
      </c>
      <c r="M228" s="25" t="inlineStr">
        <is>
          <t>IA-PPWR-LBL-ST-090-STD-02-R00</t>
        </is>
      </c>
      <c r="N228" s="31">
        <f>HYPERLINK("01_STARTER/ST-090-STD-02/03_Label.docx","Open")</f>
        <v/>
      </c>
      <c r="O228" s="25" t="inlineStr">
        <is>
          <t>IA-PPWR-STM-ST-090-STD-02-R00</t>
        </is>
      </c>
      <c r="P228" s="31">
        <f>HYPERLINK("01_STARTER/ST-090-STD-02/04_Shipment_Statement.docx","Open")</f>
        <v/>
      </c>
      <c r="Q228" s="25" t="inlineStr">
        <is>
          <t>GENERATED / LINKED</t>
        </is>
      </c>
      <c r="R228" s="25" t="inlineStr">
        <is>
          <t>Rev.00</t>
        </is>
      </c>
    </row>
    <row r="229">
      <c r="A229" s="25" t="inlineStr">
        <is>
          <t>ST-096-EUR-01</t>
        </is>
      </c>
      <c r="B229" s="25" t="inlineStr">
        <is>
          <t>IA-ST-096-EUR-01</t>
        </is>
      </c>
      <c r="C229" s="25" t="inlineStr">
        <is>
          <t>LB1 | Palet (4000038): 1 adet | Shrink film (4000556): 2.594 kg</t>
        </is>
      </c>
      <c r="D229" s="25" t="inlineStr">
        <is>
          <t>LB1 | Pallet (4000038): 1 pc | Shrink film (4000556): 2.594 kg</t>
        </is>
      </c>
      <c r="E229" s="25" t="inlineStr">
        <is>
          <t>IA-ST-CFG-0264</t>
        </is>
      </c>
      <c r="F229" s="25" t="inlineStr">
        <is>
          <t>STARTER</t>
        </is>
      </c>
      <c r="G229" s="25" t="n">
        <v>30.6532</v>
      </c>
      <c r="H229" s="25" t="n">
        <v>6</v>
      </c>
      <c r="I229" s="25" t="inlineStr">
        <is>
          <t>IA-PPWR-TF-ST-096-EUR-01-R00</t>
        </is>
      </c>
      <c r="J229" s="31">
        <f>HYPERLINK("01_STARTER/ST-096-EUR-01/01_Technical_File.docx","Open")</f>
        <v/>
      </c>
      <c r="K229" s="25" t="inlineStr">
        <is>
          <t>IA-PPWR-DOC-ST-096-EUR-01-R00</t>
        </is>
      </c>
      <c r="L229" s="31">
        <f>HYPERLINK("01_STARTER/ST-096-EUR-01/02_EU_DoC.docx","Open")</f>
        <v/>
      </c>
      <c r="M229" s="25" t="inlineStr">
        <is>
          <t>IA-PPWR-LBL-ST-096-EUR-01-R00</t>
        </is>
      </c>
      <c r="N229" s="31">
        <f>HYPERLINK("01_STARTER/ST-096-EUR-01/03_Label.docx","Open")</f>
        <v/>
      </c>
      <c r="O229" s="25" t="inlineStr">
        <is>
          <t>IA-PPWR-STM-ST-096-EUR-01-R00</t>
        </is>
      </c>
      <c r="P229" s="31">
        <f>HYPERLINK("01_STARTER/ST-096-EUR-01/04_Shipment_Statement.docx","Open")</f>
        <v/>
      </c>
      <c r="Q229" s="25" t="inlineStr">
        <is>
          <t>GENERATED / LINKED</t>
        </is>
      </c>
      <c r="R229" s="25" t="inlineStr">
        <is>
          <t>Rev.00</t>
        </is>
      </c>
    </row>
    <row r="230">
      <c r="A230" s="25" t="inlineStr">
        <is>
          <t>ST-096-EUR-02</t>
        </is>
      </c>
      <c r="B230" s="25" t="inlineStr">
        <is>
          <t>IA-ST-096-EUR-02</t>
        </is>
      </c>
      <c r="C230" s="25" t="inlineStr">
        <is>
          <t>L1 | Palet (4000038): 1 adet | Shrink film (4000556): 3.167 kg</t>
        </is>
      </c>
      <c r="D230" s="25" t="inlineStr">
        <is>
          <t>L1 | Pallet (4000038): 1 pc | Shrink film (4000556): 3.167 kg</t>
        </is>
      </c>
      <c r="E230" s="25" t="inlineStr">
        <is>
          <t>IA-ST-CFG-0265</t>
        </is>
      </c>
      <c r="F230" s="25" t="inlineStr">
        <is>
          <t>STARTER</t>
        </is>
      </c>
      <c r="G230" s="25" t="n">
        <v>31.0262</v>
      </c>
      <c r="H230" s="25" t="n">
        <v>1</v>
      </c>
      <c r="I230" s="25" t="inlineStr">
        <is>
          <t>IA-PPWR-TF-ST-096-EUR-02-R00</t>
        </is>
      </c>
      <c r="J230" s="31">
        <f>HYPERLINK("01_STARTER/ST-096-EUR-02/01_Technical_File.docx","Open")</f>
        <v/>
      </c>
      <c r="K230" s="25" t="inlineStr">
        <is>
          <t>IA-PPWR-DOC-ST-096-EUR-02-R00</t>
        </is>
      </c>
      <c r="L230" s="31">
        <f>HYPERLINK("01_STARTER/ST-096-EUR-02/02_EU_DoC.docx","Open")</f>
        <v/>
      </c>
      <c r="M230" s="25" t="inlineStr">
        <is>
          <t>IA-PPWR-LBL-ST-096-EUR-02-R00</t>
        </is>
      </c>
      <c r="N230" s="31">
        <f>HYPERLINK("01_STARTER/ST-096-EUR-02/03_Label.docx","Open")</f>
        <v/>
      </c>
      <c r="O230" s="25" t="inlineStr">
        <is>
          <t>IA-PPWR-STM-ST-096-EUR-02-R00</t>
        </is>
      </c>
      <c r="P230" s="31">
        <f>HYPERLINK("01_STARTER/ST-096-EUR-02/04_Shipment_Statement.docx","Open")</f>
        <v/>
      </c>
      <c r="Q230" s="25" t="inlineStr">
        <is>
          <t>GENERATED / LINKED</t>
        </is>
      </c>
      <c r="R230" s="25" t="inlineStr">
        <is>
          <t>Rev.00</t>
        </is>
      </c>
    </row>
    <row r="231">
      <c r="A231" s="25" t="inlineStr">
        <is>
          <t>ST-096-EUR-03</t>
        </is>
      </c>
      <c r="B231" s="25" t="inlineStr">
        <is>
          <t>IA-ST-096-EUR-03</t>
        </is>
      </c>
      <c r="C231" s="25" t="inlineStr">
        <is>
          <t>L1, LB1 | Palet (4000038): 1 adet | Shrink film (4000556): 3.167 kg</t>
        </is>
      </c>
      <c r="D231" s="25" t="inlineStr">
        <is>
          <t>L1, LB1 | Pallet (4000038): 1 pc | Shrink film (4000556): 3.167 kg</t>
        </is>
      </c>
      <c r="E231" s="25" t="inlineStr">
        <is>
          <t>IA-ST-CFG-0266</t>
        </is>
      </c>
      <c r="F231" s="25" t="inlineStr">
        <is>
          <t>STARTER</t>
        </is>
      </c>
      <c r="G231" s="25" t="n">
        <v>31.2262</v>
      </c>
      <c r="H231" s="25" t="n">
        <v>10</v>
      </c>
      <c r="I231" s="25" t="inlineStr">
        <is>
          <t>IA-PPWR-TF-ST-096-EUR-03-R00</t>
        </is>
      </c>
      <c r="J231" s="31">
        <f>HYPERLINK("01_STARTER/ST-096-EUR-03/01_Technical_File.docx","Open")</f>
        <v/>
      </c>
      <c r="K231" s="25" t="inlineStr">
        <is>
          <t>IA-PPWR-DOC-ST-096-EUR-03-R00</t>
        </is>
      </c>
      <c r="L231" s="31">
        <f>HYPERLINK("01_STARTER/ST-096-EUR-03/02_EU_DoC.docx","Open")</f>
        <v/>
      </c>
      <c r="M231" s="25" t="inlineStr">
        <is>
          <t>IA-PPWR-LBL-ST-096-EUR-03-R00</t>
        </is>
      </c>
      <c r="N231" s="31">
        <f>HYPERLINK("01_STARTER/ST-096-EUR-03/03_Label.docx","Open")</f>
        <v/>
      </c>
      <c r="O231" s="25" t="inlineStr">
        <is>
          <t>IA-PPWR-STM-ST-096-EUR-03-R00</t>
        </is>
      </c>
      <c r="P231" s="31">
        <f>HYPERLINK("01_STARTER/ST-096-EUR-03/04_Shipment_Statement.docx","Open")</f>
        <v/>
      </c>
      <c r="Q231" s="25" t="inlineStr">
        <is>
          <t>GENERATED / LINKED</t>
        </is>
      </c>
      <c r="R231" s="25" t="inlineStr">
        <is>
          <t>Rev.00</t>
        </is>
      </c>
    </row>
    <row r="232">
      <c r="A232" s="25" t="inlineStr">
        <is>
          <t>ST-096-EUR-04</t>
        </is>
      </c>
      <c r="B232" s="25" t="inlineStr">
        <is>
          <t>IA-ST-096-EUR-04</t>
        </is>
      </c>
      <c r="C232" s="25" t="inlineStr">
        <is>
          <t>L1 | Palet (4000038): 1 adet | Shrink film (4000556): kullanılmaz</t>
        </is>
      </c>
      <c r="D232" s="25" t="inlineStr">
        <is>
          <t>L1 | Pallet (4000038): 1 pc | Shrink film (4000556): not used</t>
        </is>
      </c>
      <c r="E232" s="25" t="inlineStr">
        <is>
          <t>IA-ST-CFG-0267</t>
        </is>
      </c>
      <c r="F232" s="25" t="inlineStr">
        <is>
          <t>STARTER</t>
        </is>
      </c>
      <c r="G232" s="25" t="n">
        <v>27.8592</v>
      </c>
      <c r="H232" s="25" t="n">
        <v>1</v>
      </c>
      <c r="I232" s="25" t="inlineStr">
        <is>
          <t>IA-PPWR-TF-ST-096-EUR-04-R00</t>
        </is>
      </c>
      <c r="J232" s="31">
        <f>HYPERLINK("01_STARTER/ST-096-EUR-04/01_Technical_File.docx","Open")</f>
        <v/>
      </c>
      <c r="K232" s="25" t="inlineStr">
        <is>
          <t>IA-PPWR-DOC-ST-096-EUR-04-R00</t>
        </is>
      </c>
      <c r="L232" s="31">
        <f>HYPERLINK("01_STARTER/ST-096-EUR-04/02_EU_DoC.docx","Open")</f>
        <v/>
      </c>
      <c r="M232" s="25" t="inlineStr">
        <is>
          <t>IA-PPWR-LBL-ST-096-EUR-04-R00</t>
        </is>
      </c>
      <c r="N232" s="31">
        <f>HYPERLINK("01_STARTER/ST-096-EUR-04/03_Label.docx","Open")</f>
        <v/>
      </c>
      <c r="O232" s="25" t="inlineStr">
        <is>
          <t>IA-PPWR-STM-ST-096-EUR-04-R00</t>
        </is>
      </c>
      <c r="P232" s="31">
        <f>HYPERLINK("01_STARTER/ST-096-EUR-04/04_Shipment_Statement.docx","Open")</f>
        <v/>
      </c>
      <c r="Q232" s="25" t="inlineStr">
        <is>
          <t>GENERATED / LINKED</t>
        </is>
      </c>
      <c r="R232" s="25" t="inlineStr">
        <is>
          <t>Rev.00</t>
        </is>
      </c>
    </row>
    <row r="233">
      <c r="A233" s="25" t="inlineStr">
        <is>
          <t>ST-096-EUR-05</t>
        </is>
      </c>
      <c r="B233" s="25" t="inlineStr">
        <is>
          <t>IA-ST-096-EUR-05</t>
        </is>
      </c>
      <c r="C233" s="25" t="inlineStr">
        <is>
          <t>LB1 | Palet (4000038): 1 adet | Shrink film (4000556): kullanılmaz</t>
        </is>
      </c>
      <c r="D233" s="25" t="inlineStr">
        <is>
          <t>LB1 | Pallet (4000038): 1 pc | Shrink film (4000556): not used</t>
        </is>
      </c>
      <c r="E233" s="25" t="inlineStr">
        <is>
          <t>IA-ST-CFG-0268</t>
        </is>
      </c>
      <c r="F233" s="25" t="inlineStr">
        <is>
          <t>STARTER</t>
        </is>
      </c>
      <c r="G233" s="25" t="n">
        <v>28.0592</v>
      </c>
      <c r="H233" s="25" t="n">
        <v>1</v>
      </c>
      <c r="I233" s="25" t="inlineStr">
        <is>
          <t>IA-PPWR-TF-ST-096-EUR-05-R00</t>
        </is>
      </c>
      <c r="J233" s="31">
        <f>HYPERLINK("01_STARTER/ST-096-EUR-05/01_Technical_File.docx","Open")</f>
        <v/>
      </c>
      <c r="K233" s="25" t="inlineStr">
        <is>
          <t>IA-PPWR-DOC-ST-096-EUR-05-R00</t>
        </is>
      </c>
      <c r="L233" s="31">
        <f>HYPERLINK("01_STARTER/ST-096-EUR-05/02_EU_DoC.docx","Open")</f>
        <v/>
      </c>
      <c r="M233" s="25" t="inlineStr">
        <is>
          <t>IA-PPWR-LBL-ST-096-EUR-05-R00</t>
        </is>
      </c>
      <c r="N233" s="31">
        <f>HYPERLINK("01_STARTER/ST-096-EUR-05/03_Label.docx","Open")</f>
        <v/>
      </c>
      <c r="O233" s="25" t="inlineStr">
        <is>
          <t>IA-PPWR-STM-ST-096-EUR-05-R00</t>
        </is>
      </c>
      <c r="P233" s="31">
        <f>HYPERLINK("01_STARTER/ST-096-EUR-05/04_Shipment_Statement.docx","Open")</f>
        <v/>
      </c>
      <c r="Q233" s="25" t="inlineStr">
        <is>
          <t>GENERATED / LINKED</t>
        </is>
      </c>
      <c r="R233" s="25" t="inlineStr">
        <is>
          <t>Rev.00</t>
        </is>
      </c>
    </row>
    <row r="234">
      <c r="A234" s="25" t="inlineStr">
        <is>
          <t>ST-096-EUR-06</t>
        </is>
      </c>
      <c r="B234" s="25" t="inlineStr">
        <is>
          <t>IA-ST-096-EUR-06</t>
        </is>
      </c>
      <c r="C234" s="25" t="inlineStr">
        <is>
          <t>L1, LB1 | Palet (4000038): 1 adet | Köşebent (4000033): 4 adet</t>
        </is>
      </c>
      <c r="D234" s="25" t="inlineStr">
        <is>
          <t>L1, LB1 | Pallet (4000038): 1 pc | Edge protector (4000033): 4 pcs</t>
        </is>
      </c>
      <c r="E234" s="25" t="inlineStr">
        <is>
          <t>IA-ST-CFG-0269</t>
        </is>
      </c>
      <c r="F234" s="25" t="inlineStr">
        <is>
          <t>STARTER</t>
        </is>
      </c>
      <c r="G234" s="25" t="n">
        <v>28.566</v>
      </c>
      <c r="H234" s="25" t="n">
        <v>4</v>
      </c>
      <c r="I234" s="25" t="inlineStr">
        <is>
          <t>IA-PPWR-TF-ST-096-EUR-06-R00</t>
        </is>
      </c>
      <c r="J234" s="31">
        <f>HYPERLINK("01_STARTER/ST-096-EUR-06/01_Technical_File.docx","Open")</f>
        <v/>
      </c>
      <c r="K234" s="25" t="inlineStr">
        <is>
          <t>IA-PPWR-DOC-ST-096-EUR-06-R00</t>
        </is>
      </c>
      <c r="L234" s="31">
        <f>HYPERLINK("01_STARTER/ST-096-EUR-06/02_EU_DoC.docx","Open")</f>
        <v/>
      </c>
      <c r="M234" s="25" t="inlineStr">
        <is>
          <t>IA-PPWR-LBL-ST-096-EUR-06-R00</t>
        </is>
      </c>
      <c r="N234" s="31">
        <f>HYPERLINK("01_STARTER/ST-096-EUR-06/03_Label.docx","Open")</f>
        <v/>
      </c>
      <c r="O234" s="25" t="inlineStr">
        <is>
          <t>IA-PPWR-STM-ST-096-EUR-06-R00</t>
        </is>
      </c>
      <c r="P234" s="31">
        <f>HYPERLINK("01_STARTER/ST-096-EUR-06/04_Shipment_Statement.docx","Open")</f>
        <v/>
      </c>
      <c r="Q234" s="25" t="inlineStr">
        <is>
          <t>GENERATED / LINKED</t>
        </is>
      </c>
      <c r="R234" s="25" t="inlineStr">
        <is>
          <t>Rev.00</t>
        </is>
      </c>
    </row>
    <row r="235">
      <c r="A235" s="25" t="inlineStr">
        <is>
          <t>ST-096-EUR-07</t>
        </is>
      </c>
      <c r="B235" s="25" t="inlineStr">
        <is>
          <t>IA-ST-096-EUR-07</t>
        </is>
      </c>
      <c r="C235" s="25" t="inlineStr">
        <is>
          <t>L0 | Palet (4000038): 1 adet | Köşebent (4000590): 4 adet</t>
        </is>
      </c>
      <c r="D235" s="25" t="inlineStr">
        <is>
          <t>L0 | Pallet (4000038): 1 pc | Edge protector (4000590): 4 pcs</t>
        </is>
      </c>
      <c r="E235" s="25" t="inlineStr">
        <is>
          <t>IA-ST-CFG-0275</t>
        </is>
      </c>
      <c r="F235" s="25" t="inlineStr">
        <is>
          <t>STARTER</t>
        </is>
      </c>
      <c r="G235" s="25" t="n">
        <v>28.126</v>
      </c>
      <c r="H235" s="25" t="n">
        <v>2</v>
      </c>
      <c r="I235" s="25" t="inlineStr">
        <is>
          <t>IA-PPWR-TF-ST-096-EUR-07-R00</t>
        </is>
      </c>
      <c r="J235" s="31">
        <f>HYPERLINK("01_STARTER/ST-096-EUR-07/01_Technical_File.docx","Open")</f>
        <v/>
      </c>
      <c r="K235" s="25" t="inlineStr">
        <is>
          <t>IA-PPWR-DOC-ST-096-EUR-07-R00</t>
        </is>
      </c>
      <c r="L235" s="31">
        <f>HYPERLINK("01_STARTER/ST-096-EUR-07/02_EU_DoC.docx","Open")</f>
        <v/>
      </c>
      <c r="M235" s="25" t="inlineStr">
        <is>
          <t>IA-PPWR-LBL-ST-096-EUR-07-R00</t>
        </is>
      </c>
      <c r="N235" s="31">
        <f>HYPERLINK("01_STARTER/ST-096-EUR-07/03_Label.docx","Open")</f>
        <v/>
      </c>
      <c r="O235" s="25" t="inlineStr">
        <is>
          <t>IA-PPWR-STM-ST-096-EUR-07-R00</t>
        </is>
      </c>
      <c r="P235" s="31">
        <f>HYPERLINK("01_STARTER/ST-096-EUR-07/04_Shipment_Statement.docx","Open")</f>
        <v/>
      </c>
      <c r="Q235" s="25" t="inlineStr">
        <is>
          <t>GENERATED / LINKED</t>
        </is>
      </c>
      <c r="R235" s="25" t="inlineStr">
        <is>
          <t>Rev.00</t>
        </is>
      </c>
    </row>
    <row r="236">
      <c r="A236" s="25" t="inlineStr">
        <is>
          <t>ST-096-EUR-08</t>
        </is>
      </c>
      <c r="B236" s="25" t="inlineStr">
        <is>
          <t>IA-ST-096-EUR-08</t>
        </is>
      </c>
      <c r="C236" s="25" t="inlineStr">
        <is>
          <t>L0 | Palet (4000038): 1 adet | Separatör (4000609): 4 adet</t>
        </is>
      </c>
      <c r="D236" s="25" t="inlineStr">
        <is>
          <t>L0 | Pallet (4000038): 1 pc | Separator (4000609): 4 pcs</t>
        </is>
      </c>
      <c r="E236" s="25" t="inlineStr">
        <is>
          <t>IA-ST-CFG-0276</t>
        </is>
      </c>
      <c r="F236" s="25" t="inlineStr">
        <is>
          <t>STARTER</t>
        </is>
      </c>
      <c r="G236" s="25" t="n">
        <v>29.9492</v>
      </c>
      <c r="H236" s="25" t="n">
        <v>2</v>
      </c>
      <c r="I236" s="25" t="inlineStr">
        <is>
          <t>IA-PPWR-TF-ST-096-EUR-08-R00</t>
        </is>
      </c>
      <c r="J236" s="31">
        <f>HYPERLINK("01_STARTER/ST-096-EUR-08/01_Technical_File.docx","Open")</f>
        <v/>
      </c>
      <c r="K236" s="25" t="inlineStr">
        <is>
          <t>IA-PPWR-DOC-ST-096-EUR-08-R00</t>
        </is>
      </c>
      <c r="L236" s="31">
        <f>HYPERLINK("01_STARTER/ST-096-EUR-08/02_EU_DoC.docx","Open")</f>
        <v/>
      </c>
      <c r="M236" s="25" t="inlineStr">
        <is>
          <t>IA-PPWR-LBL-ST-096-EUR-08-R00</t>
        </is>
      </c>
      <c r="N236" s="31">
        <f>HYPERLINK("01_STARTER/ST-096-EUR-08/03_Label.docx","Open")</f>
        <v/>
      </c>
      <c r="O236" s="25" t="inlineStr">
        <is>
          <t>IA-PPWR-STM-ST-096-EUR-08-R00</t>
        </is>
      </c>
      <c r="P236" s="31">
        <f>HYPERLINK("01_STARTER/ST-096-EUR-08/04_Shipment_Statement.docx","Open")</f>
        <v/>
      </c>
      <c r="Q236" s="25" t="inlineStr">
        <is>
          <t>GENERATED / LINKED</t>
        </is>
      </c>
      <c r="R236" s="25" t="inlineStr">
        <is>
          <t>Rev.00</t>
        </is>
      </c>
    </row>
    <row r="237">
      <c r="A237" s="25" t="inlineStr">
        <is>
          <t>ST-096-EUR-09</t>
        </is>
      </c>
      <c r="B237" s="25" t="inlineStr">
        <is>
          <t>IA-ST-096-EUR-09</t>
        </is>
      </c>
      <c r="C237" s="25" t="inlineStr">
        <is>
          <t>L0 | Palet (4000038): 1 adet | Shrink film (4000555): 2.31 kg | Separatör (4000609): 5 adet</t>
        </is>
      </c>
      <c r="D237" s="25" t="inlineStr">
        <is>
          <t>L0 | Pallet (4000038): 1 pc | Shrink film (4000555): 2.31 kg | Separator (4000609): 5 pcs</t>
        </is>
      </c>
      <c r="E237" s="25" t="inlineStr">
        <is>
          <t>IA-ST-CFG-0277</t>
        </is>
      </c>
      <c r="F237" s="25" t="inlineStr">
        <is>
          <t>STARTER</t>
        </is>
      </c>
      <c r="G237" s="25" t="n">
        <v>30.1492</v>
      </c>
      <c r="H237" s="25" t="n">
        <v>1</v>
      </c>
      <c r="I237" s="25" t="inlineStr">
        <is>
          <t>IA-PPWR-TF-ST-096-EUR-09-R00</t>
        </is>
      </c>
      <c r="J237" s="31">
        <f>HYPERLINK("01_STARTER/ST-096-EUR-09/01_Technical_File.docx","Open")</f>
        <v/>
      </c>
      <c r="K237" s="25" t="inlineStr">
        <is>
          <t>IA-PPWR-DOC-ST-096-EUR-09-R00</t>
        </is>
      </c>
      <c r="L237" s="31">
        <f>HYPERLINK("01_STARTER/ST-096-EUR-09/02_EU_DoC.docx","Open")</f>
        <v/>
      </c>
      <c r="M237" s="25" t="inlineStr">
        <is>
          <t>IA-PPWR-LBL-ST-096-EUR-09-R00</t>
        </is>
      </c>
      <c r="N237" s="31">
        <f>HYPERLINK("01_STARTER/ST-096-EUR-09/03_Label.docx","Open")</f>
        <v/>
      </c>
      <c r="O237" s="25" t="inlineStr">
        <is>
          <t>IA-PPWR-STM-ST-096-EUR-09-R00</t>
        </is>
      </c>
      <c r="P237" s="31">
        <f>HYPERLINK("01_STARTER/ST-096-EUR-09/04_Shipment_Statement.docx","Open")</f>
        <v/>
      </c>
      <c r="Q237" s="25" t="inlineStr">
        <is>
          <t>GENERATED / LINKED</t>
        </is>
      </c>
      <c r="R237" s="25" t="inlineStr">
        <is>
          <t>Rev.00</t>
        </is>
      </c>
    </row>
    <row r="238">
      <c r="A238" s="25" t="inlineStr">
        <is>
          <t>ST-096-EUR-10</t>
        </is>
      </c>
      <c r="B238" s="25" t="inlineStr">
        <is>
          <t>IA-ST-096-EUR-10</t>
        </is>
      </c>
      <c r="C238" s="25" t="inlineStr">
        <is>
          <t>L0 | Palet (4000038): 1 adet | Shrink film (4000555): kullanılmaz | Köşebent (4000590): 2 adet</t>
        </is>
      </c>
      <c r="D238" s="25" t="inlineStr">
        <is>
          <t>L0 | Pallet (4000038): 1 pc | Shrink film (4000555): not used | Edge protector (4000590): 2 pcs</t>
        </is>
      </c>
      <c r="E238" s="25" t="inlineStr">
        <is>
          <t>IA-ST-CFG-0278</t>
        </is>
      </c>
      <c r="F238" s="25" t="inlineStr">
        <is>
          <t>STARTER</t>
        </is>
      </c>
      <c r="G238" s="25" t="n">
        <v>27.8392</v>
      </c>
      <c r="H238" s="25" t="n">
        <v>1</v>
      </c>
      <c r="I238" s="25" t="inlineStr">
        <is>
          <t>IA-PPWR-TF-ST-096-EUR-10-R00</t>
        </is>
      </c>
      <c r="J238" s="31">
        <f>HYPERLINK("01_STARTER/ST-096-EUR-10/01_Technical_File.docx","Open")</f>
        <v/>
      </c>
      <c r="K238" s="25" t="inlineStr">
        <is>
          <t>IA-PPWR-DOC-ST-096-EUR-10-R00</t>
        </is>
      </c>
      <c r="L238" s="31">
        <f>HYPERLINK("01_STARTER/ST-096-EUR-10/02_EU_DoC.docx","Open")</f>
        <v/>
      </c>
      <c r="M238" s="25" t="inlineStr">
        <is>
          <t>IA-PPWR-LBL-ST-096-EUR-10-R00</t>
        </is>
      </c>
      <c r="N238" s="31">
        <f>HYPERLINK("01_STARTER/ST-096-EUR-10/03_Label.docx","Open")</f>
        <v/>
      </c>
      <c r="O238" s="25" t="inlineStr">
        <is>
          <t>IA-PPWR-STM-ST-096-EUR-10-R00</t>
        </is>
      </c>
      <c r="P238" s="31">
        <f>HYPERLINK("01_STARTER/ST-096-EUR-10/04_Shipment_Statement.docx","Open")</f>
        <v/>
      </c>
      <c r="Q238" s="25" t="inlineStr">
        <is>
          <t>GENERATED / LINKED</t>
        </is>
      </c>
      <c r="R238" s="25" t="inlineStr">
        <is>
          <t>Rev.00</t>
        </is>
      </c>
    </row>
    <row r="239">
      <c r="A239" s="25" t="inlineStr">
        <is>
          <t>ST-096-STD-01</t>
        </is>
      </c>
      <c r="B239" s="25" t="inlineStr">
        <is>
          <t>IA-ST-096-STD-01</t>
        </is>
      </c>
      <c r="C239" s="25" t="inlineStr">
        <is>
          <t>L1 | L1 EAS Activa penceresiz dış koli (4000645): 96 adet</t>
        </is>
      </c>
      <c r="D239" s="25" t="inlineStr">
        <is>
          <t>L1 | L1 EAS Activa windowless outer carton (4000645): 96 pcs</t>
        </is>
      </c>
      <c r="E239" s="25" t="inlineStr">
        <is>
          <t>IA-ST-CFG-0270</t>
        </is>
      </c>
      <c r="F239" s="25" t="inlineStr">
        <is>
          <t>STARTER</t>
        </is>
      </c>
      <c r="G239" s="25" t="n">
        <v>53.336</v>
      </c>
      <c r="H239" s="25" t="n">
        <v>1</v>
      </c>
      <c r="I239" s="25" t="inlineStr">
        <is>
          <t>IA-PPWR-TF-ST-096-STD-01-R00</t>
        </is>
      </c>
      <c r="J239" s="31">
        <f>HYPERLINK("01_STARTER/ST-096-STD-01/01_Technical_File.docx","Open")</f>
        <v/>
      </c>
      <c r="K239" s="25" t="inlineStr">
        <is>
          <t>IA-PPWR-DOC-ST-096-STD-01-R00</t>
        </is>
      </c>
      <c r="L239" s="31">
        <f>HYPERLINK("01_STARTER/ST-096-STD-01/02_EU_DoC.docx","Open")</f>
        <v/>
      </c>
      <c r="M239" s="25" t="inlineStr">
        <is>
          <t>IA-PPWR-LBL-ST-096-STD-01-R00</t>
        </is>
      </c>
      <c r="N239" s="31">
        <f>HYPERLINK("01_STARTER/ST-096-STD-01/03_Label.docx","Open")</f>
        <v/>
      </c>
      <c r="O239" s="25" t="inlineStr">
        <is>
          <t>IA-PPWR-STM-ST-096-STD-01-R00</t>
        </is>
      </c>
      <c r="P239" s="31">
        <f>HYPERLINK("01_STARTER/ST-096-STD-01/04_Shipment_Statement.docx","Open")</f>
        <v/>
      </c>
      <c r="Q239" s="25" t="inlineStr">
        <is>
          <t>GENERATED / LINKED</t>
        </is>
      </c>
      <c r="R239" s="25" t="inlineStr">
        <is>
          <t>Rev.00</t>
        </is>
      </c>
    </row>
    <row r="240">
      <c r="A240" s="25" t="inlineStr">
        <is>
          <t>ST-096-STD-02</t>
        </is>
      </c>
      <c r="B240" s="25" t="inlineStr">
        <is>
          <t>IA-ST-096-STD-02</t>
        </is>
      </c>
      <c r="C240" s="25" t="inlineStr">
        <is>
          <t>LB1 | LB1 İnci FORMULA-MAXIMA 2019 dış koli (4001201): 96 adet</t>
        </is>
      </c>
      <c r="D240" s="25" t="inlineStr">
        <is>
          <t>LB1 | LB1 İnci FORMULA-MAXIMA 2019 outer carton (4001201): 96 pcs</t>
        </is>
      </c>
      <c r="E240" s="25" t="inlineStr">
        <is>
          <t>IA-ST-CFG-0271</t>
        </is>
      </c>
      <c r="F240" s="25" t="inlineStr">
        <is>
          <t>STARTER</t>
        </is>
      </c>
      <c r="G240" s="25" t="n">
        <v>47.996</v>
      </c>
      <c r="H240" s="25" t="n">
        <v>1</v>
      </c>
      <c r="I240" s="25" t="inlineStr">
        <is>
          <t>IA-PPWR-TF-ST-096-STD-02-R00</t>
        </is>
      </c>
      <c r="J240" s="31">
        <f>HYPERLINK("01_STARTER/ST-096-STD-02/01_Technical_File.docx","Open")</f>
        <v/>
      </c>
      <c r="K240" s="25" t="inlineStr">
        <is>
          <t>IA-PPWR-DOC-ST-096-STD-02-R00</t>
        </is>
      </c>
      <c r="L240" s="31">
        <f>HYPERLINK("01_STARTER/ST-096-STD-02/02_EU_DoC.docx","Open")</f>
        <v/>
      </c>
      <c r="M240" s="25" t="inlineStr">
        <is>
          <t>IA-PPWR-LBL-ST-096-STD-02-R00</t>
        </is>
      </c>
      <c r="N240" s="31">
        <f>HYPERLINK("01_STARTER/ST-096-STD-02/03_Label.docx","Open")</f>
        <v/>
      </c>
      <c r="O240" s="25" t="inlineStr">
        <is>
          <t>IA-PPWR-STM-ST-096-STD-02-R00</t>
        </is>
      </c>
      <c r="P240" s="31">
        <f>HYPERLINK("01_STARTER/ST-096-STD-02/04_Shipment_Statement.docx","Open")</f>
        <v/>
      </c>
      <c r="Q240" s="25" t="inlineStr">
        <is>
          <t>GENERATED / LINKED</t>
        </is>
      </c>
      <c r="R240" s="25" t="inlineStr">
        <is>
          <t>Rev.00</t>
        </is>
      </c>
    </row>
    <row r="241">
      <c r="A241" s="25" t="inlineStr">
        <is>
          <t>ST-096-STD-03</t>
        </is>
      </c>
      <c r="B241" s="25" t="inlineStr">
        <is>
          <t>IA-ST-096-STD-03</t>
        </is>
      </c>
      <c r="C241" s="25" t="inlineStr">
        <is>
          <t>NS60 | NS60 PVC üst kapak (4000602): 96 adet | Köşebent (4000590): 4 adet</t>
        </is>
      </c>
      <c r="D241" s="25" t="inlineStr">
        <is>
          <t>NS60 | NS60 PVC upper cover (4000602): 96 pcs | Edge protector (4000590): 4 pcs</t>
        </is>
      </c>
      <c r="E241" s="25" t="inlineStr">
        <is>
          <t>IA-ST-CFG-0272</t>
        </is>
      </c>
      <c r="F241" s="25" t="inlineStr">
        <is>
          <t>STARTER</t>
        </is>
      </c>
      <c r="G241" s="25" t="n">
        <v>35.3172</v>
      </c>
      <c r="H241" s="25" t="n">
        <v>38</v>
      </c>
      <c r="I241" s="25" t="inlineStr">
        <is>
          <t>IA-PPWR-TF-ST-096-STD-03-R00</t>
        </is>
      </c>
      <c r="J241" s="31">
        <f>HYPERLINK("01_STARTER/ST-096-STD-03/01_Technical_File.docx","Open")</f>
        <v/>
      </c>
      <c r="K241" s="25" t="inlineStr">
        <is>
          <t>IA-PPWR-DOC-ST-096-STD-03-R00</t>
        </is>
      </c>
      <c r="L241" s="31">
        <f>HYPERLINK("01_STARTER/ST-096-STD-03/02_EU_DoC.docx","Open")</f>
        <v/>
      </c>
      <c r="M241" s="25" t="inlineStr">
        <is>
          <t>IA-PPWR-LBL-ST-096-STD-03-R00</t>
        </is>
      </c>
      <c r="N241" s="31">
        <f>HYPERLINK("01_STARTER/ST-096-STD-03/03_Label.docx","Open")</f>
        <v/>
      </c>
      <c r="O241" s="25" t="inlineStr">
        <is>
          <t>IA-PPWR-STM-ST-096-STD-03-R00</t>
        </is>
      </c>
      <c r="P241" s="31">
        <f>HYPERLINK("01_STARTER/ST-096-STD-03/04_Shipment_Statement.docx","Open")</f>
        <v/>
      </c>
      <c r="Q241" s="25" t="inlineStr">
        <is>
          <t>GENERATED / LINKED</t>
        </is>
      </c>
      <c r="R241" s="25" t="inlineStr">
        <is>
          <t>Rev.00</t>
        </is>
      </c>
    </row>
    <row r="242">
      <c r="A242" s="25" t="inlineStr">
        <is>
          <t>ST-096-STD-04</t>
        </is>
      </c>
      <c r="B242" s="25" t="inlineStr">
        <is>
          <t>IA-ST-096-STD-04</t>
        </is>
      </c>
      <c r="C242" s="25" t="inlineStr">
        <is>
          <t>NS60 | NS60 PVC üst kapak (4000602): 96 adet | Çember (4000450): kullanılmaz</t>
        </is>
      </c>
      <c r="D242" s="25" t="inlineStr">
        <is>
          <t>NS60 | NS60 PVC upper cover (4000602): 96 pcs | Strap (4000450): not used</t>
        </is>
      </c>
      <c r="E242" s="25" t="inlineStr">
        <is>
          <t>IA-ST-CFG-0273</t>
        </is>
      </c>
      <c r="F242" s="25" t="inlineStr">
        <is>
          <t>STARTER</t>
        </is>
      </c>
      <c r="G242" s="25" t="n">
        <v>34.7436</v>
      </c>
      <c r="H242" s="25" t="n">
        <v>8</v>
      </c>
      <c r="I242" s="25" t="inlineStr">
        <is>
          <t>IA-PPWR-TF-ST-096-STD-04-R00</t>
        </is>
      </c>
      <c r="J242" s="31">
        <f>HYPERLINK("01_STARTER/ST-096-STD-04/01_Technical_File.docx","Open")</f>
        <v/>
      </c>
      <c r="K242" s="25" t="inlineStr">
        <is>
          <t>IA-PPWR-DOC-ST-096-STD-04-R00</t>
        </is>
      </c>
      <c r="L242" s="31">
        <f>HYPERLINK("01_STARTER/ST-096-STD-04/02_EU_DoC.docx","Open")</f>
        <v/>
      </c>
      <c r="M242" s="25" t="inlineStr">
        <is>
          <t>IA-PPWR-LBL-ST-096-STD-04-R00</t>
        </is>
      </c>
      <c r="N242" s="31">
        <f>HYPERLINK("01_STARTER/ST-096-STD-04/03_Label.docx","Open")</f>
        <v/>
      </c>
      <c r="O242" s="25" t="inlineStr">
        <is>
          <t>IA-PPWR-STM-ST-096-STD-04-R00</t>
        </is>
      </c>
      <c r="P242" s="31">
        <f>HYPERLINK("01_STARTER/ST-096-STD-04/04_Shipment_Statement.docx","Open")</f>
        <v/>
      </c>
      <c r="Q242" s="25" t="inlineStr">
        <is>
          <t>GENERATED / LINKED</t>
        </is>
      </c>
      <c r="R242" s="25" t="inlineStr">
        <is>
          <t>Rev.00</t>
        </is>
      </c>
    </row>
    <row r="243">
      <c r="A243" s="25" t="inlineStr">
        <is>
          <t>ST-096-STD-05</t>
        </is>
      </c>
      <c r="B243" s="25" t="inlineStr">
        <is>
          <t>IA-ST-096-STD-05</t>
        </is>
      </c>
      <c r="C243" s="25" t="inlineStr">
        <is>
          <t>NS60 | Palet (4000037): 1 adet | Shrink film (4001177): 0.597 kg</t>
        </is>
      </c>
      <c r="D243" s="25" t="inlineStr">
        <is>
          <t>NS60 | Pallet (4000037): 1 pc | Shrink film (4001177): 0.597 kg</t>
        </is>
      </c>
      <c r="E243" s="25" t="inlineStr">
        <is>
          <t>IA-ST-CFG-0274</t>
        </is>
      </c>
      <c r="F243" s="25" t="inlineStr">
        <is>
          <t>STARTER</t>
        </is>
      </c>
      <c r="G243" s="25" t="n">
        <v>28.649</v>
      </c>
      <c r="H243" s="25" t="n">
        <v>6</v>
      </c>
      <c r="I243" s="25" t="inlineStr">
        <is>
          <t>IA-PPWR-TF-ST-096-STD-05-R00</t>
        </is>
      </c>
      <c r="J243" s="31">
        <f>HYPERLINK("01_STARTER/ST-096-STD-05/01_Technical_File.docx","Open")</f>
        <v/>
      </c>
      <c r="K243" s="25" t="inlineStr">
        <is>
          <t>IA-PPWR-DOC-ST-096-STD-05-R00</t>
        </is>
      </c>
      <c r="L243" s="31">
        <f>HYPERLINK("01_STARTER/ST-096-STD-05/02_EU_DoC.docx","Open")</f>
        <v/>
      </c>
      <c r="M243" s="25" t="inlineStr">
        <is>
          <t>IA-PPWR-LBL-ST-096-STD-05-R00</t>
        </is>
      </c>
      <c r="N243" s="31">
        <f>HYPERLINK("01_STARTER/ST-096-STD-05/03_Label.docx","Open")</f>
        <v/>
      </c>
      <c r="O243" s="25" t="inlineStr">
        <is>
          <t>IA-PPWR-STM-ST-096-STD-05-R00</t>
        </is>
      </c>
      <c r="P243" s="31">
        <f>HYPERLINK("01_STARTER/ST-096-STD-05/04_Shipment_Statement.docx","Open")</f>
        <v/>
      </c>
      <c r="Q243" s="25" t="inlineStr">
        <is>
          <t>GENERATED / LINKED</t>
        </is>
      </c>
      <c r="R243" s="25" t="inlineStr">
        <is>
          <t>Rev.00</t>
        </is>
      </c>
    </row>
    <row r="244">
      <c r="A244" s="25" t="inlineStr">
        <is>
          <t>ST-105-STD-01</t>
        </is>
      </c>
      <c r="B244" s="25" t="inlineStr">
        <is>
          <t>IA-ST-105-STD-01</t>
        </is>
      </c>
      <c r="C244" s="25" t="inlineStr">
        <is>
          <t>NS40 | NS40 EAS Activa penceresiz B00 dış koli (4000630): 105 adet</t>
        </is>
      </c>
      <c r="D244" s="25" t="inlineStr">
        <is>
          <t>NS40 | NS40 EAS Activa windowless B00 outer carton (4000630): 105 pcs</t>
        </is>
      </c>
      <c r="E244" s="25" t="inlineStr">
        <is>
          <t>IA-ST-CFG-0282</t>
        </is>
      </c>
      <c r="F244" s="25" t="inlineStr">
        <is>
          <t>STARTER</t>
        </is>
      </c>
      <c r="G244" s="25" t="n">
        <v>54.97265</v>
      </c>
      <c r="H244" s="25" t="n">
        <v>1</v>
      </c>
      <c r="I244" s="25" t="inlineStr">
        <is>
          <t>IA-PPWR-TF-ST-105-STD-01-R00</t>
        </is>
      </c>
      <c r="J244" s="31">
        <f>HYPERLINK("01_STARTER/ST-105-STD-01/01_Technical_File.docx","Open")</f>
        <v/>
      </c>
      <c r="K244" s="25" t="inlineStr">
        <is>
          <t>IA-PPWR-DOC-ST-105-STD-01-R00</t>
        </is>
      </c>
      <c r="L244" s="31">
        <f>HYPERLINK("01_STARTER/ST-105-STD-01/02_EU_DoC.docx","Open")</f>
        <v/>
      </c>
      <c r="M244" s="25" t="inlineStr">
        <is>
          <t>IA-PPWR-LBL-ST-105-STD-01-R00</t>
        </is>
      </c>
      <c r="N244" s="31">
        <f>HYPERLINK("01_STARTER/ST-105-STD-01/03_Label.docx","Open")</f>
        <v/>
      </c>
      <c r="O244" s="25" t="inlineStr">
        <is>
          <t>IA-PPWR-STM-ST-105-STD-01-R00</t>
        </is>
      </c>
      <c r="P244" s="31">
        <f>HYPERLINK("01_STARTER/ST-105-STD-01/04_Shipment_Statement.docx","Open")</f>
        <v/>
      </c>
      <c r="Q244" s="25" t="inlineStr">
        <is>
          <t>GENERATED / LINKED</t>
        </is>
      </c>
      <c r="R244" s="25" t="inlineStr">
        <is>
          <t>Rev.00</t>
        </is>
      </c>
    </row>
    <row r="245">
      <c r="A245" s="25" t="inlineStr">
        <is>
          <t>ST-105-STD-02</t>
        </is>
      </c>
      <c r="B245" s="25" t="inlineStr">
        <is>
          <t>IA-ST-105-STD-02</t>
        </is>
      </c>
      <c r="C245" s="25" t="inlineStr">
        <is>
          <t>NS40 | NS40 İnci FORMULA-MAXIMA B00 2019 dış koli (4001212): 105 adet</t>
        </is>
      </c>
      <c r="D245" s="25" t="inlineStr">
        <is>
          <t>NS40 | NS40 İnci FORMULA-MAXIMA B00 2019 outer carton (4001212): 105 pcs</t>
        </is>
      </c>
      <c r="E245" s="25" t="inlineStr">
        <is>
          <t>IA-ST-CFG-0283</t>
        </is>
      </c>
      <c r="F245" s="25" t="inlineStr">
        <is>
          <t>STARTER</t>
        </is>
      </c>
      <c r="G245" s="25" t="n">
        <v>55.66265</v>
      </c>
      <c r="H245" s="25" t="n">
        <v>1</v>
      </c>
      <c r="I245" s="25" t="inlineStr">
        <is>
          <t>IA-PPWR-TF-ST-105-STD-02-R00</t>
        </is>
      </c>
      <c r="J245" s="31">
        <f>HYPERLINK("01_STARTER/ST-105-STD-02/01_Technical_File.docx","Open")</f>
        <v/>
      </c>
      <c r="K245" s="25" t="inlineStr">
        <is>
          <t>IA-PPWR-DOC-ST-105-STD-02-R00</t>
        </is>
      </c>
      <c r="L245" s="31">
        <f>HYPERLINK("01_STARTER/ST-105-STD-02/02_EU_DoC.docx","Open")</f>
        <v/>
      </c>
      <c r="M245" s="25" t="inlineStr">
        <is>
          <t>IA-PPWR-LBL-ST-105-STD-02-R00</t>
        </is>
      </c>
      <c r="N245" s="31">
        <f>HYPERLINK("01_STARTER/ST-105-STD-02/03_Label.docx","Open")</f>
        <v/>
      </c>
      <c r="O245" s="25" t="inlineStr">
        <is>
          <t>IA-PPWR-STM-ST-105-STD-02-R00</t>
        </is>
      </c>
      <c r="P245" s="31">
        <f>HYPERLINK("01_STARTER/ST-105-STD-02/04_Shipment_Statement.docx","Open")</f>
        <v/>
      </c>
      <c r="Q245" s="25" t="inlineStr">
        <is>
          <t>GENERATED / LINKED</t>
        </is>
      </c>
      <c r="R245" s="25" t="inlineStr">
        <is>
          <t>Rev.00</t>
        </is>
      </c>
    </row>
    <row r="246">
      <c r="A246" s="25" t="inlineStr">
        <is>
          <t>ST-120-STD-01</t>
        </is>
      </c>
      <c r="B246" s="25" t="inlineStr">
        <is>
          <t>IA-ST-120-STD-01</t>
        </is>
      </c>
      <c r="C246" s="25" t="inlineStr">
        <is>
          <t>NS40 | NS40 PVC üst kapak (4000601): 120 adet | Köşebent (4000590): 4 adet</t>
        </is>
      </c>
      <c r="D246" s="25" t="inlineStr">
        <is>
          <t>NS40 | NS40 PVC upper cover (4000601): 120 pcs | Edge protector (4000590): 4 pcs</t>
        </is>
      </c>
      <c r="E246" s="25" t="inlineStr">
        <is>
          <t>IA-ST-CFG-0284</t>
        </is>
      </c>
      <c r="F246" s="25" t="inlineStr">
        <is>
          <t>STARTER</t>
        </is>
      </c>
      <c r="G246" s="25" t="n">
        <v>35.3676</v>
      </c>
      <c r="H246" s="25" t="n">
        <v>30</v>
      </c>
      <c r="I246" s="25" t="inlineStr">
        <is>
          <t>IA-PPWR-TF-ST-120-STD-01-R00</t>
        </is>
      </c>
      <c r="J246" s="31">
        <f>HYPERLINK("01_STARTER/ST-120-STD-01/01_Technical_File.docx","Open")</f>
        <v/>
      </c>
      <c r="K246" s="25" t="inlineStr">
        <is>
          <t>IA-PPWR-DOC-ST-120-STD-01-R00</t>
        </is>
      </c>
      <c r="L246" s="31">
        <f>HYPERLINK("01_STARTER/ST-120-STD-01/02_EU_DoC.docx","Open")</f>
        <v/>
      </c>
      <c r="M246" s="25" t="inlineStr">
        <is>
          <t>IA-PPWR-LBL-ST-120-STD-01-R00</t>
        </is>
      </c>
      <c r="N246" s="31">
        <f>HYPERLINK("01_STARTER/ST-120-STD-01/03_Label.docx","Open")</f>
        <v/>
      </c>
      <c r="O246" s="25" t="inlineStr">
        <is>
          <t>IA-PPWR-STM-ST-120-STD-01-R00</t>
        </is>
      </c>
      <c r="P246" s="31">
        <f>HYPERLINK("01_STARTER/ST-120-STD-01/04_Shipment_Statement.docx","Open")</f>
        <v/>
      </c>
      <c r="Q246" s="25" t="inlineStr">
        <is>
          <t>GENERATED / LINKED</t>
        </is>
      </c>
      <c r="R246" s="25" t="inlineStr">
        <is>
          <t>Rev.00</t>
        </is>
      </c>
    </row>
    <row r="247">
      <c r="A247" s="25" t="inlineStr">
        <is>
          <t>ST-120-STD-02</t>
        </is>
      </c>
      <c r="B247" s="25" t="inlineStr">
        <is>
          <t>IA-ST-120-STD-02</t>
        </is>
      </c>
      <c r="C247" s="25" t="inlineStr">
        <is>
          <t>NS40 | NS40 PVC üst kapak (4000601): 120 adet | Çember (4000450): kullanılmaz</t>
        </is>
      </c>
      <c r="D247" s="25" t="inlineStr">
        <is>
          <t>NS40 | NS40 PVC upper cover (4000601): 120 pcs | Strap (4000450): not used</t>
        </is>
      </c>
      <c r="E247" s="25" t="inlineStr">
        <is>
          <t>IA-ST-CFG-0285</t>
        </is>
      </c>
      <c r="F247" s="25" t="inlineStr">
        <is>
          <t>STARTER</t>
        </is>
      </c>
      <c r="G247" s="25" t="n">
        <v>34.794</v>
      </c>
      <c r="H247" s="25" t="n">
        <v>2</v>
      </c>
      <c r="I247" s="25" t="inlineStr">
        <is>
          <t>IA-PPWR-TF-ST-120-STD-02-R00</t>
        </is>
      </c>
      <c r="J247" s="31">
        <f>HYPERLINK("01_STARTER/ST-120-STD-02/01_Technical_File.docx","Open")</f>
        <v/>
      </c>
      <c r="K247" s="25" t="inlineStr">
        <is>
          <t>IA-PPWR-DOC-ST-120-STD-02-R00</t>
        </is>
      </c>
      <c r="L247" s="31">
        <f>HYPERLINK("01_STARTER/ST-120-STD-02/02_EU_DoC.docx","Open")</f>
        <v/>
      </c>
      <c r="M247" s="25" t="inlineStr">
        <is>
          <t>IA-PPWR-LBL-ST-120-STD-02-R00</t>
        </is>
      </c>
      <c r="N247" s="31">
        <f>HYPERLINK("01_STARTER/ST-120-STD-02/03_Label.docx","Open")</f>
        <v/>
      </c>
      <c r="O247" s="25" t="inlineStr">
        <is>
          <t>IA-PPWR-STM-ST-120-STD-02-R00</t>
        </is>
      </c>
      <c r="P247" s="31">
        <f>HYPERLINK("01_STARTER/ST-120-STD-02/04_Shipment_Statement.docx","Open")</f>
        <v/>
      </c>
      <c r="Q247" s="25" t="inlineStr">
        <is>
          <t>GENERATED / LINKED</t>
        </is>
      </c>
      <c r="R247" s="25" t="inlineStr">
        <is>
          <t>Rev.00</t>
        </is>
      </c>
    </row>
    <row r="248">
      <c r="A248" s="25" t="inlineStr">
        <is>
          <t>ST-120-STD-03</t>
        </is>
      </c>
      <c r="B248" s="25" t="inlineStr">
        <is>
          <t>IA-ST-120-STD-03</t>
        </is>
      </c>
      <c r="C248" s="25" t="inlineStr">
        <is>
          <t>NS40 | Palet (4000037): 1 adet | Shrink film (4001177): 0.597 kg</t>
        </is>
      </c>
      <c r="D248" s="25" t="inlineStr">
        <is>
          <t>NS40 | Pallet (4000037): 1 pc | Shrink film (4001177): 0.597 kg</t>
        </is>
      </c>
      <c r="E248" s="25" t="inlineStr">
        <is>
          <t>IA-ST-CFG-0286</t>
        </is>
      </c>
      <c r="F248" s="25" t="inlineStr">
        <is>
          <t>STARTER</t>
        </is>
      </c>
      <c r="G248" s="25" t="n">
        <v>28.649</v>
      </c>
      <c r="H248" s="25" t="n">
        <v>4</v>
      </c>
      <c r="I248" s="25" t="inlineStr">
        <is>
          <t>IA-PPWR-TF-ST-120-STD-03-R00</t>
        </is>
      </c>
      <c r="J248" s="31">
        <f>HYPERLINK("01_STARTER/ST-120-STD-03/01_Technical_File.docx","Open")</f>
        <v/>
      </c>
      <c r="K248" s="25" t="inlineStr">
        <is>
          <t>IA-PPWR-DOC-ST-120-STD-03-R00</t>
        </is>
      </c>
      <c r="L248" s="31">
        <f>HYPERLINK("01_STARTER/ST-120-STD-03/02_EU_DoC.docx","Open")</f>
        <v/>
      </c>
      <c r="M248" s="25" t="inlineStr">
        <is>
          <t>IA-PPWR-LBL-ST-120-STD-03-R00</t>
        </is>
      </c>
      <c r="N248" s="31">
        <f>HYPERLINK("01_STARTER/ST-120-STD-03/03_Label.docx","Open")</f>
        <v/>
      </c>
      <c r="O248" s="25" t="inlineStr">
        <is>
          <t>IA-PPWR-STM-ST-120-STD-03-R00</t>
        </is>
      </c>
      <c r="P248" s="31">
        <f>HYPERLINK("01_STARTER/ST-120-STD-03/04_Shipment_Statement.docx","Open")</f>
        <v/>
      </c>
      <c r="Q248" s="25" t="inlineStr">
        <is>
          <t>GENERATED / LINKED</t>
        </is>
      </c>
      <c r="R248" s="25" t="inlineStr">
        <is>
          <t>Rev.00</t>
        </is>
      </c>
    </row>
  </sheetData>
  <autoFilter ref="A1:R24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28" customHeight="1">
      <c r="A1" s="23" t="inlineStr">
        <is>
          <t>Technical File Code</t>
        </is>
      </c>
      <c r="B1" s="23" t="inlineStr">
        <is>
          <t>Packaging Set Code</t>
        </is>
      </c>
      <c r="C1" s="23" t="inlineStr">
        <is>
          <t>Configuration ID</t>
        </is>
      </c>
      <c r="D1" s="23" t="inlineStr">
        <is>
          <t>Variant Basis</t>
        </is>
      </c>
      <c r="E1" s="23" t="inlineStr">
        <is>
          <t>Source BOM</t>
        </is>
      </c>
      <c r="F1" s="23" t="inlineStr">
        <is>
          <t>Product Count</t>
        </is>
      </c>
      <c r="G1" s="23" t="inlineStr">
        <is>
          <t>BOM Line Count</t>
        </is>
      </c>
      <c r="H1" s="23" t="inlineStr">
        <is>
          <t>Packaging Tare</t>
        </is>
      </c>
      <c r="I1" s="23" t="inlineStr">
        <is>
          <t>Article 5 Assessment Basis</t>
        </is>
      </c>
      <c r="J1" s="23" t="inlineStr">
        <is>
          <t>Drawing Status</t>
        </is>
      </c>
      <c r="K1" s="23" t="inlineStr">
        <is>
          <t>Photo Status</t>
        </is>
      </c>
      <c r="L1" s="23" t="inlineStr">
        <is>
          <t>Revision</t>
        </is>
      </c>
      <c r="M1" s="23" t="inlineStr">
        <is>
          <t>Open Technical File</t>
        </is>
      </c>
    </row>
    <row r="2">
      <c r="A2" s="25" t="inlineStr">
        <is>
          <t>IA-PPWR-TF-CNT-20-EUR-01-R00</t>
        </is>
      </c>
      <c r="B2" s="25" t="inlineStr">
        <is>
          <t>CNT-20-EUR-01</t>
        </is>
      </c>
      <c r="C2" s="25" t="inlineStr">
        <is>
          <t>IA-CNT-20-EUR-01</t>
        </is>
      </c>
      <c r="D2" s="25" t="inlineStr">
        <is>
          <t>Container loading | OSB (5501806): 11 adet | Separatör (4000130): 10 adet</t>
        </is>
      </c>
      <c r="E2" s="25" t="inlineStr">
        <is>
          <t>IA-CNT-20-EUR</t>
        </is>
      </c>
      <c r="F2" s="25" t="n">
        <v>0</v>
      </c>
      <c r="G2" s="25" t="n">
        <v>8</v>
      </c>
      <c r="H2" s="25" t="n">
        <v>83.06</v>
      </c>
      <c r="I2" s="25" t="inlineStr">
        <is>
          <t>REV00 CURRENT EVIDENCE BASIS — ARTICLE 5 ASSESSMENT BASIS</t>
        </is>
      </c>
      <c r="J2" s="25" t="inlineStr">
        <is>
          <t>PENDING - DRAWING</t>
        </is>
      </c>
      <c r="K2" s="25" t="inlineStr">
        <is>
          <t>PENDING - PHOTOGRAPHS</t>
        </is>
      </c>
      <c r="L2" s="25" t="inlineStr">
        <is>
          <t>Rev.00</t>
        </is>
      </c>
      <c r="M2" s="31">
        <f>HYPERLINK("03_CONTAINER/CNT-20-EUR-01/01_Technical_File.docx","Open")</f>
        <v/>
      </c>
    </row>
    <row r="3">
      <c r="A3" s="25" t="inlineStr">
        <is>
          <t>IA-PPWR-TF-CNT-20-STD-01-R00</t>
        </is>
      </c>
      <c r="B3" s="25" t="inlineStr">
        <is>
          <t>CNT-20-STD-01</t>
        </is>
      </c>
      <c r="C3" s="25" t="inlineStr">
        <is>
          <t>IA-CNT-20-STD-01</t>
        </is>
      </c>
      <c r="D3" s="25" t="inlineStr">
        <is>
          <t>Container loading | OSB (5501805): 10 adet | Separatör (4000130): 10 adet</t>
        </is>
      </c>
      <c r="E3" s="25" t="inlineStr">
        <is>
          <t>IA-CNT-20-STD</t>
        </is>
      </c>
      <c r="F3" s="25" t="n">
        <v>0</v>
      </c>
      <c r="G3" s="25" t="n">
        <v>8</v>
      </c>
      <c r="H3" s="25" t="n">
        <v>78.06</v>
      </c>
      <c r="I3" s="25" t="inlineStr">
        <is>
          <t>REV00 CURRENT EVIDENCE BASIS — ARTICLE 5 ASSESSMENT BASIS</t>
        </is>
      </c>
      <c r="J3" s="25" t="inlineStr">
        <is>
          <t>PENDING - DRAWING</t>
        </is>
      </c>
      <c r="K3" s="25" t="inlineStr">
        <is>
          <t>PENDING - PHOTOGRAPHS</t>
        </is>
      </c>
      <c r="L3" s="25" t="inlineStr">
        <is>
          <t>Rev.00</t>
        </is>
      </c>
      <c r="M3" s="31">
        <f>HYPERLINK("03_CONTAINER/CNT-20-STD-01/01_Technical_File.docx","Open")</f>
        <v/>
      </c>
    </row>
    <row r="4">
      <c r="A4" s="25" t="inlineStr">
        <is>
          <t>IA-PPWR-TF-CNT-40-IND-01-R00</t>
        </is>
      </c>
      <c r="B4" s="25" t="inlineStr">
        <is>
          <t>CNT-40-IND-01</t>
        </is>
      </c>
      <c r="C4" s="25" t="inlineStr">
        <is>
          <t>IA-CNT-40-IND-01</t>
        </is>
      </c>
      <c r="D4" s="25" t="inlineStr">
        <is>
          <t>Container loading | Hava yastığı (5500759): 26 adet | Bağlama halatı (5500762): 12 m</t>
        </is>
      </c>
      <c r="E4" s="25" t="inlineStr">
        <is>
          <t>IA-CNT-40-IND</t>
        </is>
      </c>
      <c r="F4" s="25" t="n">
        <v>0</v>
      </c>
      <c r="G4" s="25" t="n">
        <v>5</v>
      </c>
      <c r="H4" s="25" t="n">
        <v>12.76</v>
      </c>
      <c r="I4" s="25" t="inlineStr">
        <is>
          <t>REV00 CURRENT EVIDENCE BASIS — ARTICLE 5 ASSESSMENT BASIS</t>
        </is>
      </c>
      <c r="J4" s="25" t="inlineStr">
        <is>
          <t>PENDING - DRAWING</t>
        </is>
      </c>
      <c r="K4" s="25" t="inlineStr">
        <is>
          <t>PENDING - PHOTOGRAPHS</t>
        </is>
      </c>
      <c r="L4" s="25" t="inlineStr">
        <is>
          <t>Rev.00</t>
        </is>
      </c>
      <c r="M4" s="31">
        <f>HYPERLINK("03_CONTAINER/CNT-40-IND-01/01_Technical_File.docx","Open")</f>
        <v/>
      </c>
    </row>
    <row r="5">
      <c r="A5" s="25" t="inlineStr">
        <is>
          <t>IA-PPWR-TF-CNT-DE-HAM-01-R00</t>
        </is>
      </c>
      <c r="B5" s="25" t="inlineStr">
        <is>
          <t>CNT-DE-HAM-01</t>
        </is>
      </c>
      <c r="C5" s="25" t="inlineStr">
        <is>
          <t>IA-CNT-DE-HAM-01</t>
        </is>
      </c>
      <c r="D5" s="25" t="inlineStr">
        <is>
          <t>Container loading | Sabitleme Tahtası ( 206×9×9 ) (Hamburg): 2 adet</t>
        </is>
      </c>
      <c r="E5" s="25" t="inlineStr">
        <is>
          <t>IA-CNT-DE-HAMBURG</t>
        </is>
      </c>
      <c r="F5" s="25" t="n">
        <v>0</v>
      </c>
      <c r="G5" s="25" t="n">
        <v>3</v>
      </c>
      <c r="H5" s="25" t="n">
        <v>194</v>
      </c>
      <c r="I5" s="25" t="inlineStr">
        <is>
          <t>REV00 CURRENT EVIDENCE BASIS — ARTICLE 5 ASSESSMENT BASIS</t>
        </is>
      </c>
      <c r="J5" s="25" t="inlineStr">
        <is>
          <t>PENDING - DRAWING</t>
        </is>
      </c>
      <c r="K5" s="25" t="inlineStr">
        <is>
          <t>PENDING - PHOTOGRAPHS</t>
        </is>
      </c>
      <c r="L5" s="25" t="inlineStr">
        <is>
          <t>Rev.00</t>
        </is>
      </c>
      <c r="M5" s="31">
        <f>HYPERLINK("03_CONTAINER/CNT-DE-HAM-01/01_Technical_File.docx","Open")</f>
        <v/>
      </c>
    </row>
    <row r="6">
      <c r="A6" s="25" t="inlineStr">
        <is>
          <t>IA-PPWR-TF-IND-24V-01-R00</t>
        </is>
      </c>
      <c r="B6" s="25" t="inlineStr">
        <is>
          <t>IND-24V-01</t>
        </is>
      </c>
      <c r="C6" s="25" t="inlineStr">
        <is>
          <t>IA-IND-24V-01</t>
        </is>
      </c>
      <c r="D6" s="25" t="inlineStr">
        <is>
          <t>24V | Palet (4001005): 1 adet</t>
        </is>
      </c>
      <c r="E6" s="25" t="inlineStr">
        <is>
          <t>IA-IND-24V</t>
        </is>
      </c>
      <c r="F6" s="25" t="n">
        <v>0</v>
      </c>
      <c r="G6" s="25" t="n">
        <v>6</v>
      </c>
      <c r="H6" s="25" t="n">
        <v>27.388</v>
      </c>
      <c r="I6" s="25" t="inlineStr">
        <is>
          <t>REV00 CURRENT EVIDENCE BASIS — ARTICLE 5 ASSESSMENT BASIS</t>
        </is>
      </c>
      <c r="J6" s="25" t="inlineStr">
        <is>
          <t>PENDING - DRAWING</t>
        </is>
      </c>
      <c r="K6" s="25" t="inlineStr">
        <is>
          <t>PENDING - PHOTOGRAPHS</t>
        </is>
      </c>
      <c r="L6" s="25" t="inlineStr">
        <is>
          <t>Rev.00</t>
        </is>
      </c>
      <c r="M6" s="31">
        <f>HYPERLINK("02_INDUSTRIAL/IND-24V-01/01_Technical_File.docx","Open")</f>
        <v/>
      </c>
    </row>
    <row r="7">
      <c r="A7" s="25" t="inlineStr">
        <is>
          <t>IA-PPWR-TF-IND-48V-01-R00</t>
        </is>
      </c>
      <c r="B7" s="25" t="inlineStr">
        <is>
          <t>IND-48V-01</t>
        </is>
      </c>
      <c r="C7" s="25" t="inlineStr">
        <is>
          <t>IA-IND-48V-01</t>
        </is>
      </c>
      <c r="D7" s="25" t="inlineStr">
        <is>
          <t>48V | Palet (4001005): 1 adet</t>
        </is>
      </c>
      <c r="E7" s="25" t="inlineStr">
        <is>
          <t>IA-IND-48V</t>
        </is>
      </c>
      <c r="F7" s="25" t="n">
        <v>0</v>
      </c>
      <c r="G7" s="25" t="n">
        <v>6</v>
      </c>
      <c r="H7" s="25" t="n">
        <v>27.5767</v>
      </c>
      <c r="I7" s="25" t="inlineStr">
        <is>
          <t>REV00 CURRENT EVIDENCE BASIS — ARTICLE 5 ASSESSMENT BASIS</t>
        </is>
      </c>
      <c r="J7" s="25" t="inlineStr">
        <is>
          <t>PENDING - DRAWING</t>
        </is>
      </c>
      <c r="K7" s="25" t="inlineStr">
        <is>
          <t>PENDING - PHOTOGRAPHS</t>
        </is>
      </c>
      <c r="L7" s="25" t="inlineStr">
        <is>
          <t>Rev.00</t>
        </is>
      </c>
      <c r="M7" s="31">
        <f>HYPERLINK("02_INDUSTRIAL/IND-48V-01/01_Technical_File.docx","Open")</f>
        <v/>
      </c>
    </row>
    <row r="8">
      <c r="A8" s="25" t="inlineStr">
        <is>
          <t>IA-PPWR-TF-IND-80V-01-R00</t>
        </is>
      </c>
      <c r="B8" s="25" t="inlineStr">
        <is>
          <t>IND-80V-01</t>
        </is>
      </c>
      <c r="C8" s="25" t="inlineStr">
        <is>
          <t>IA-IND-80V-01</t>
        </is>
      </c>
      <c r="D8" s="25" t="inlineStr">
        <is>
          <t>80V | Palet (4000973): 1 adet</t>
        </is>
      </c>
      <c r="E8" s="25" t="inlineStr">
        <is>
          <t>IA-IND-80V</t>
        </is>
      </c>
      <c r="F8" s="25" t="n">
        <v>0</v>
      </c>
      <c r="G8" s="25" t="n">
        <v>6</v>
      </c>
      <c r="H8" s="25" t="n">
        <v>32.63147</v>
      </c>
      <c r="I8" s="25" t="inlineStr">
        <is>
          <t>REV00 CURRENT EVIDENCE BASIS — ARTICLE 5 ASSESSMENT BASIS</t>
        </is>
      </c>
      <c r="J8" s="25" t="inlineStr">
        <is>
          <t>PENDING - DRAWING</t>
        </is>
      </c>
      <c r="K8" s="25" t="inlineStr">
        <is>
          <t>PENDING - PHOTOGRAPHS</t>
        </is>
      </c>
      <c r="L8" s="25" t="inlineStr">
        <is>
          <t>Rev.00</t>
        </is>
      </c>
      <c r="M8" s="31">
        <f>HYPERLINK("02_INDUSTRIAL/IND-80V-01/01_Technical_File.docx","Open")</f>
        <v/>
      </c>
    </row>
    <row r="9">
      <c r="A9" s="25" t="inlineStr">
        <is>
          <t>IA-PPWR-TF-ST-012-EUR-01-R00</t>
        </is>
      </c>
      <c r="B9" s="25" t="inlineStr">
        <is>
          <t>ST-012-EUR-01</t>
        </is>
      </c>
      <c r="C9" s="25" t="inlineStr">
        <is>
          <t>IA-ST-012-EUR-01</t>
        </is>
      </c>
      <c r="D9" s="25" t="inlineStr">
        <is>
          <t>C | Palet (4000038): 1 adet | Köşebent (4000590): 4 adet</t>
        </is>
      </c>
      <c r="E9" s="25" t="inlineStr">
        <is>
          <t>IA-ST-CFG-0004</t>
        </is>
      </c>
      <c r="F9" s="25" t="n">
        <v>1</v>
      </c>
      <c r="G9" s="25" t="n">
        <v>7</v>
      </c>
      <c r="H9" s="25" t="n">
        <v>29.326</v>
      </c>
      <c r="I9" s="25" t="inlineStr">
        <is>
          <t>REV00 CURRENT EVIDENCE BASIS — ARTICLE 5 ASSESSMENT BASIS</t>
        </is>
      </c>
      <c r="J9" s="25" t="inlineStr">
        <is>
          <t>PENDING - DRAWING</t>
        </is>
      </c>
      <c r="K9" s="25" t="inlineStr">
        <is>
          <t>PENDING - PHOTOGRAPHS</t>
        </is>
      </c>
      <c r="L9" s="25" t="inlineStr">
        <is>
          <t>Rev.00</t>
        </is>
      </c>
      <c r="M9" s="31">
        <f>HYPERLINK("01_STARTER/ST-012-EUR-01/01_Technical_File.docx","Open")</f>
        <v/>
      </c>
    </row>
    <row r="10">
      <c r="A10" s="25" t="inlineStr">
        <is>
          <t>IA-PPWR-TF-ST-012-EUR-02-R00</t>
        </is>
      </c>
      <c r="B10" s="25" t="inlineStr">
        <is>
          <t>ST-012-EUR-02</t>
        </is>
      </c>
      <c r="C10" s="25" t="inlineStr">
        <is>
          <t>IA-ST-012-EUR-02</t>
        </is>
      </c>
      <c r="D10" s="25" t="inlineStr">
        <is>
          <t>L6 | Palet (4000038): 1 adet | Köşebent (4000590): 4 adet</t>
        </is>
      </c>
      <c r="E10" s="25" t="inlineStr">
        <is>
          <t>IA-ST-CFG-0005</t>
        </is>
      </c>
      <c r="F10" s="25" t="n">
        <v>1</v>
      </c>
      <c r="G10" s="25" t="n">
        <v>6</v>
      </c>
      <c r="H10" s="25" t="n">
        <v>27.526</v>
      </c>
      <c r="I10" s="25" t="inlineStr">
        <is>
          <t>REV00 CURRENT EVIDENCE BASIS — ARTICLE 5 ASSESSMENT BASIS</t>
        </is>
      </c>
      <c r="J10" s="25" t="inlineStr">
        <is>
          <t>PENDING - DRAWING</t>
        </is>
      </c>
      <c r="K10" s="25" t="inlineStr">
        <is>
          <t>PENDING - PHOTOGRAPHS</t>
        </is>
      </c>
      <c r="L10" s="25" t="inlineStr">
        <is>
          <t>Rev.00</t>
        </is>
      </c>
      <c r="M10" s="31">
        <f>HYPERLINK("01_STARTER/ST-012-EUR-02/01_Technical_File.docx","Open")</f>
        <v/>
      </c>
    </row>
    <row r="11">
      <c r="A11" s="25" t="inlineStr">
        <is>
          <t>IA-PPWR-TF-ST-012-EUR-03-R00</t>
        </is>
      </c>
      <c r="B11" s="25" t="inlineStr">
        <is>
          <t>ST-012-EUR-03</t>
        </is>
      </c>
      <c r="C11" s="25" t="inlineStr">
        <is>
          <t>IA-ST-012-EUR-03</t>
        </is>
      </c>
      <c r="D11" s="25" t="inlineStr">
        <is>
          <t>C | Palet (4000038): 1 adet | Köşebent (4000590): 2 adet</t>
        </is>
      </c>
      <c r="E11" s="25" t="inlineStr">
        <is>
          <t>IA-ST-CFG-0006</t>
        </is>
      </c>
      <c r="F11" s="25" t="n">
        <v>2</v>
      </c>
      <c r="G11" s="25" t="n">
        <v>7</v>
      </c>
      <c r="H11" s="25" t="n">
        <v>29.0392</v>
      </c>
      <c r="I11" s="25" t="inlineStr">
        <is>
          <t>REV00 CURRENT EVIDENCE BASIS — ARTICLE 5 ASSESSMENT BASIS</t>
        </is>
      </c>
      <c r="J11" s="25" t="inlineStr">
        <is>
          <t>PENDING - DRAWING</t>
        </is>
      </c>
      <c r="K11" s="25" t="inlineStr">
        <is>
          <t>PENDING - PHOTOGRAPHS</t>
        </is>
      </c>
      <c r="L11" s="25" t="inlineStr">
        <is>
          <t>Rev.00</t>
        </is>
      </c>
      <c r="M11" s="31">
        <f>HYPERLINK("01_STARTER/ST-012-EUR-03/01_Technical_File.docx","Open")</f>
        <v/>
      </c>
    </row>
    <row r="12">
      <c r="A12" s="25" t="inlineStr">
        <is>
          <t>IA-PPWR-TF-ST-018-EUR-01-R00</t>
        </is>
      </c>
      <c r="B12" s="25" t="inlineStr">
        <is>
          <t>ST-018-EUR-01</t>
        </is>
      </c>
      <c r="C12" s="25" t="inlineStr">
        <is>
          <t>IA-ST-018-EUR-01</t>
        </is>
      </c>
      <c r="D12" s="25" t="inlineStr">
        <is>
          <t>C | Palet (4000038): 1 adet | Köşebent (4001160): 4 adet</t>
        </is>
      </c>
      <c r="E12" s="25" t="inlineStr">
        <is>
          <t>IA-ST-CFG-0012</t>
        </is>
      </c>
      <c r="F12" s="25" t="n">
        <v>1</v>
      </c>
      <c r="G12" s="25" t="n">
        <v>9</v>
      </c>
      <c r="H12" s="25" t="n">
        <v>32.434</v>
      </c>
      <c r="I12" s="25" t="inlineStr">
        <is>
          <t>REV00 CURRENT EVIDENCE BASIS — ARTICLE 5 ASSESSMENT BASIS</t>
        </is>
      </c>
      <c r="J12" s="25" t="inlineStr">
        <is>
          <t>PENDING - DRAWING</t>
        </is>
      </c>
      <c r="K12" s="25" t="inlineStr">
        <is>
          <t>PENDING - PHOTOGRAPHS</t>
        </is>
      </c>
      <c r="L12" s="25" t="inlineStr">
        <is>
          <t>Rev.00</t>
        </is>
      </c>
      <c r="M12" s="31">
        <f>HYPERLINK("01_STARTER/ST-018-EUR-01/01_Technical_File.docx","Open")</f>
        <v/>
      </c>
    </row>
    <row r="13">
      <c r="A13" s="25" t="inlineStr">
        <is>
          <t>IA-PPWR-TF-ST-018-EUR-02-R00</t>
        </is>
      </c>
      <c r="B13" s="25" t="inlineStr">
        <is>
          <t>ST-018-EUR-02</t>
        </is>
      </c>
      <c r="C13" s="25" t="inlineStr">
        <is>
          <t>IA-ST-018-EUR-02</t>
        </is>
      </c>
      <c r="D13" s="25" t="inlineStr">
        <is>
          <t>C | Palet (4000038): 1 adet | Köşebent (4000590): 4 adet</t>
        </is>
      </c>
      <c r="E13" s="25" t="inlineStr">
        <is>
          <t>IA-ST-CFG-0013</t>
        </is>
      </c>
      <c r="F13" s="25" t="n">
        <v>4</v>
      </c>
      <c r="G13" s="25" t="n">
        <v>7</v>
      </c>
      <c r="H13" s="25" t="n">
        <v>30.194</v>
      </c>
      <c r="I13" s="25" t="inlineStr">
        <is>
          <t>REV00 CURRENT EVIDENCE BASIS — ARTICLE 5 ASSESSMENT BASIS</t>
        </is>
      </c>
      <c r="J13" s="25" t="inlineStr">
        <is>
          <t>PENDING - DRAWING</t>
        </is>
      </c>
      <c r="K13" s="25" t="inlineStr">
        <is>
          <t>PENDING - PHOTOGRAPHS</t>
        </is>
      </c>
      <c r="L13" s="25" t="inlineStr">
        <is>
          <t>Rev.00</t>
        </is>
      </c>
      <c r="M13" s="31">
        <f>HYPERLINK("01_STARTER/ST-018-EUR-02/01_Technical_File.docx","Open")</f>
        <v/>
      </c>
    </row>
    <row r="14">
      <c r="A14" s="25" t="inlineStr">
        <is>
          <t>IA-PPWR-TF-ST-018-EUR-03-R00</t>
        </is>
      </c>
      <c r="B14" s="25" t="inlineStr">
        <is>
          <t>ST-018-EUR-03</t>
        </is>
      </c>
      <c r="C14" s="25" t="inlineStr">
        <is>
          <t>IA-ST-018-EUR-03</t>
        </is>
      </c>
      <c r="D14" s="25" t="inlineStr">
        <is>
          <t>C | Palet (4000038): 1 adet | Shrink film (4000557): 1.08 kg | Köşebent (4000590): 2 adet</t>
        </is>
      </c>
      <c r="E14" s="25" t="inlineStr">
        <is>
          <t>IA-ST-CFG-0014</t>
        </is>
      </c>
      <c r="F14" s="25" t="n">
        <v>23</v>
      </c>
      <c r="G14" s="25" t="n">
        <v>8</v>
      </c>
      <c r="H14" s="25" t="n">
        <v>30.9872</v>
      </c>
      <c r="I14" s="25" t="inlineStr">
        <is>
          <t>REV00 CURRENT EVIDENCE BASIS — ARTICLE 5 ASSESSMENT BASIS</t>
        </is>
      </c>
      <c r="J14" s="25" t="inlineStr">
        <is>
          <t>PENDING - DRAWING</t>
        </is>
      </c>
      <c r="K14" s="25" t="inlineStr">
        <is>
          <t>PENDING - PHOTOGRAPHS</t>
        </is>
      </c>
      <c r="L14" s="25" t="inlineStr">
        <is>
          <t>Rev.00</t>
        </is>
      </c>
      <c r="M14" s="31">
        <f>HYPERLINK("01_STARTER/ST-018-EUR-03/01_Technical_File.docx","Open")</f>
        <v/>
      </c>
    </row>
    <row r="15">
      <c r="A15" s="25" t="inlineStr">
        <is>
          <t>IA-PPWR-TF-ST-018-EUR-04-R00</t>
        </is>
      </c>
      <c r="B15" s="25" t="inlineStr">
        <is>
          <t>ST-018-EUR-04</t>
        </is>
      </c>
      <c r="C15" s="25" t="inlineStr">
        <is>
          <t>IA-ST-018-EUR-04</t>
        </is>
      </c>
      <c r="D15" s="25" t="inlineStr">
        <is>
          <t>C | Palet (4000038): 1 adet | Honeycomb (4001186): 3 adet</t>
        </is>
      </c>
      <c r="E15" s="25" t="inlineStr">
        <is>
          <t>IA-ST-CFG-0015</t>
        </is>
      </c>
      <c r="F15" s="25" t="n">
        <v>6</v>
      </c>
      <c r="G15" s="25" t="n">
        <v>7</v>
      </c>
      <c r="H15" s="25" t="n">
        <v>30.0392</v>
      </c>
      <c r="I15" s="25" t="inlineStr">
        <is>
          <t>REV00 CURRENT EVIDENCE BASIS — ARTICLE 5 ASSESSMENT BASIS</t>
        </is>
      </c>
      <c r="J15" s="25" t="inlineStr">
        <is>
          <t>PENDING - DRAWING</t>
        </is>
      </c>
      <c r="K15" s="25" t="inlineStr">
        <is>
          <t>PENDING - PHOTOGRAPHS</t>
        </is>
      </c>
      <c r="L15" s="25" t="inlineStr">
        <is>
          <t>Rev.00</t>
        </is>
      </c>
      <c r="M15" s="31">
        <f>HYPERLINK("01_STARTER/ST-018-EUR-04/01_Technical_File.docx","Open")</f>
        <v/>
      </c>
    </row>
    <row r="16">
      <c r="A16" s="25" t="inlineStr">
        <is>
          <t>IA-PPWR-TF-ST-018-EUR-05-R00</t>
        </is>
      </c>
      <c r="B16" s="25" t="inlineStr">
        <is>
          <t>ST-018-EUR-05</t>
        </is>
      </c>
      <c r="C16" s="25" t="inlineStr">
        <is>
          <t>IA-ST-018-EUR-05</t>
        </is>
      </c>
      <c r="D16" s="25" t="inlineStr">
        <is>
          <t>C | Palet (4000038): 1 adet | Çember (4000450): kullanılmaz</t>
        </is>
      </c>
      <c r="E16" s="25" t="inlineStr">
        <is>
          <t>IA-ST-CFG-0016</t>
        </is>
      </c>
      <c r="F16" s="25" t="n">
        <v>7</v>
      </c>
      <c r="G16" s="25" t="n">
        <v>6</v>
      </c>
      <c r="H16" s="25" t="n">
        <v>30.7004</v>
      </c>
      <c r="I16" s="25" t="inlineStr">
        <is>
          <t>REV00 CURRENT EVIDENCE BASIS — ARTICLE 5 ASSESSMENT BASIS</t>
        </is>
      </c>
      <c r="J16" s="25" t="inlineStr">
        <is>
          <t>PENDING - DRAWING</t>
        </is>
      </c>
      <c r="K16" s="25" t="inlineStr">
        <is>
          <t>PENDING - PHOTOGRAPHS</t>
        </is>
      </c>
      <c r="L16" s="25" t="inlineStr">
        <is>
          <t>Rev.00</t>
        </is>
      </c>
      <c r="M16" s="31">
        <f>HYPERLINK("01_STARTER/ST-018-EUR-05/01_Technical_File.docx","Open")</f>
        <v/>
      </c>
    </row>
    <row r="17">
      <c r="A17" s="25" t="inlineStr">
        <is>
          <t>IA-PPWR-TF-ST-021-EUR-01-R00</t>
        </is>
      </c>
      <c r="B17" s="25" t="inlineStr">
        <is>
          <t>ST-021-EUR-01</t>
        </is>
      </c>
      <c r="C17" s="25" t="inlineStr">
        <is>
          <t>IA-ST-021-EUR-01</t>
        </is>
      </c>
      <c r="D17" s="25" t="inlineStr">
        <is>
          <t>B | B TİPİ PVC üst kapak (4000591): 21 adet</t>
        </is>
      </c>
      <c r="E17" s="25" t="inlineStr">
        <is>
          <t>IA-ST-CFG-0027</t>
        </is>
      </c>
      <c r="F17" s="25" t="n">
        <v>1</v>
      </c>
      <c r="G17" s="25" t="n">
        <v>9</v>
      </c>
      <c r="H17" s="25" t="n">
        <v>32.37481</v>
      </c>
      <c r="I17" s="25" t="inlineStr">
        <is>
          <t>REV00 CURRENT EVIDENCE BASIS — ARTICLE 5 ASSESSMENT BASIS</t>
        </is>
      </c>
      <c r="J17" s="25" t="inlineStr">
        <is>
          <t>PENDING - DRAWING</t>
        </is>
      </c>
      <c r="K17" s="25" t="inlineStr">
        <is>
          <t>PENDING - PHOTOGRAPHS</t>
        </is>
      </c>
      <c r="L17" s="25" t="inlineStr">
        <is>
          <t>Rev.00</t>
        </is>
      </c>
      <c r="M17" s="31">
        <f>HYPERLINK("01_STARTER/ST-021-EUR-01/01_Technical_File.docx","Open")</f>
        <v/>
      </c>
    </row>
    <row r="18">
      <c r="A18" s="25" t="inlineStr">
        <is>
          <t>IA-PPWR-TF-ST-021-EUR-02-R00</t>
        </is>
      </c>
      <c r="B18" s="25" t="inlineStr">
        <is>
          <t>ST-021-EUR-02</t>
        </is>
      </c>
      <c r="C18" s="25" t="inlineStr">
        <is>
          <t>IA-ST-021-EUR-02</t>
        </is>
      </c>
      <c r="D18" s="25" t="inlineStr">
        <is>
          <t>B | Palet (4000038): 1 adet | Köşebent (4000590): 4 adet</t>
        </is>
      </c>
      <c r="E18" s="25" t="inlineStr">
        <is>
          <t>IA-ST-CFG-0028</t>
        </is>
      </c>
      <c r="F18" s="25" t="n">
        <v>3</v>
      </c>
      <c r="G18" s="25" t="n">
        <v>7</v>
      </c>
      <c r="H18" s="25" t="n">
        <v>29.9</v>
      </c>
      <c r="I18" s="25" t="inlineStr">
        <is>
          <t>REV00 CURRENT EVIDENCE BASIS — ARTICLE 5 ASSESSMENT BASIS</t>
        </is>
      </c>
      <c r="J18" s="25" t="inlineStr">
        <is>
          <t>PENDING - DRAWING</t>
        </is>
      </c>
      <c r="K18" s="25" t="inlineStr">
        <is>
          <t>PENDING - PHOTOGRAPHS</t>
        </is>
      </c>
      <c r="L18" s="25" t="inlineStr">
        <is>
          <t>Rev.00</t>
        </is>
      </c>
      <c r="M18" s="31">
        <f>HYPERLINK("01_STARTER/ST-021-EUR-02/01_Technical_File.docx","Open")</f>
        <v/>
      </c>
    </row>
    <row r="19">
      <c r="A19" s="25" t="inlineStr">
        <is>
          <t>IA-PPWR-TF-ST-021-EUR-03-R00</t>
        </is>
      </c>
      <c r="B19" s="25" t="inlineStr">
        <is>
          <t>ST-021-EUR-03</t>
        </is>
      </c>
      <c r="C19" s="25" t="inlineStr">
        <is>
          <t>IA-ST-021-EUR-03</t>
        </is>
      </c>
      <c r="D19" s="25" t="inlineStr">
        <is>
          <t>B | Palet (4000038): 1 adet | Shrink film (4000557): 1.155 kg | EPS (4001290): 21 adet</t>
        </is>
      </c>
      <c r="E19" s="25" t="inlineStr">
        <is>
          <t>IA-ST-CFG-0029</t>
        </is>
      </c>
      <c r="F19" s="25" t="n">
        <v>22</v>
      </c>
      <c r="G19" s="25" t="n">
        <v>8</v>
      </c>
      <c r="H19" s="25" t="n">
        <v>30.7682</v>
      </c>
      <c r="I19" s="25" t="inlineStr">
        <is>
          <t>REV00 CURRENT EVIDENCE BASIS — ARTICLE 5 ASSESSMENT BASIS</t>
        </is>
      </c>
      <c r="J19" s="25" t="inlineStr">
        <is>
          <t>PENDING - DRAWING</t>
        </is>
      </c>
      <c r="K19" s="25" t="inlineStr">
        <is>
          <t>PENDING - PHOTOGRAPHS</t>
        </is>
      </c>
      <c r="L19" s="25" t="inlineStr">
        <is>
          <t>Rev.00</t>
        </is>
      </c>
      <c r="M19" s="31">
        <f>HYPERLINK("01_STARTER/ST-021-EUR-03/01_Technical_File.docx","Open")</f>
        <v/>
      </c>
    </row>
    <row r="20">
      <c r="A20" s="25" t="inlineStr">
        <is>
          <t>IA-PPWR-TF-ST-021-EUR-04-R00</t>
        </is>
      </c>
      <c r="B20" s="25" t="inlineStr">
        <is>
          <t>ST-021-EUR-04</t>
        </is>
      </c>
      <c r="C20" s="25" t="inlineStr">
        <is>
          <t>IA-ST-021-EUR-04</t>
        </is>
      </c>
      <c r="D20" s="25" t="inlineStr">
        <is>
          <t>B | Palet (4000038): 1 adet | Honeycomb (4001186): 3 adet</t>
        </is>
      </c>
      <c r="E20" s="25" t="inlineStr">
        <is>
          <t>IA-ST-CFG-0030</t>
        </is>
      </c>
      <c r="F20" s="25" t="n">
        <v>16</v>
      </c>
      <c r="G20" s="25" t="n">
        <v>7</v>
      </c>
      <c r="H20" s="25" t="n">
        <v>30.0392</v>
      </c>
      <c r="I20" s="25" t="inlineStr">
        <is>
          <t>REV00 CURRENT EVIDENCE BASIS — ARTICLE 5 ASSESSMENT BASIS</t>
        </is>
      </c>
      <c r="J20" s="25" t="inlineStr">
        <is>
          <t>PENDING - DRAWING</t>
        </is>
      </c>
      <c r="K20" s="25" t="inlineStr">
        <is>
          <t>PENDING - PHOTOGRAPHS</t>
        </is>
      </c>
      <c r="L20" s="25" t="inlineStr">
        <is>
          <t>Rev.00</t>
        </is>
      </c>
      <c r="M20" s="31">
        <f>HYPERLINK("01_STARTER/ST-021-EUR-04/01_Technical_File.docx","Open")</f>
        <v/>
      </c>
    </row>
    <row r="21">
      <c r="A21" s="25" t="inlineStr">
        <is>
          <t>IA-PPWR-TF-ST-021-EUR-05-R00</t>
        </is>
      </c>
      <c r="B21" s="25" t="inlineStr">
        <is>
          <t>ST-021-EUR-05</t>
        </is>
      </c>
      <c r="C21" s="25" t="inlineStr">
        <is>
          <t>IA-ST-021-EUR-05</t>
        </is>
      </c>
      <c r="D21" s="25" t="inlineStr">
        <is>
          <t>B | Palet (4000038): 1 adet | Shrink film (4000557): kullanılmaz | Köşebent (4000590): 2 adet | EPS (4001290): 21 adet</t>
        </is>
      </c>
      <c r="E21" s="25" t="inlineStr">
        <is>
          <t>IA-ST-CFG-0031</t>
        </is>
      </c>
      <c r="F21" s="25" t="n">
        <v>1</v>
      </c>
      <c r="G21" s="25" t="n">
        <v>7</v>
      </c>
      <c r="H21" s="25" t="n">
        <v>29.6132</v>
      </c>
      <c r="I21" s="25" t="inlineStr">
        <is>
          <t>REV00 CURRENT EVIDENCE BASIS — ARTICLE 5 ASSESSMENT BASIS</t>
        </is>
      </c>
      <c r="J21" s="25" t="inlineStr">
        <is>
          <t>PENDING - DRAWING</t>
        </is>
      </c>
      <c r="K21" s="25" t="inlineStr">
        <is>
          <t>PENDING - PHOTOGRAPHS</t>
        </is>
      </c>
      <c r="L21" s="25" t="inlineStr">
        <is>
          <t>Rev.00</t>
        </is>
      </c>
      <c r="M21" s="31">
        <f>HYPERLINK("01_STARTER/ST-021-EUR-05/01_Technical_File.docx","Open")</f>
        <v/>
      </c>
    </row>
    <row r="22">
      <c r="A22" s="25" t="inlineStr">
        <is>
          <t>IA-PPWR-TF-ST-021-STD-01-R00</t>
        </is>
      </c>
      <c r="B22" s="25" t="inlineStr">
        <is>
          <t>ST-021-STD-01</t>
        </is>
      </c>
      <c r="C22" s="25" t="inlineStr">
        <is>
          <t>IA-ST-021-STD-01</t>
        </is>
      </c>
      <c r="D22" s="25" t="inlineStr">
        <is>
          <t>C | Palet (4000037): 1 adet | Streç ped (4000301): 0.175 kg</t>
        </is>
      </c>
      <c r="E22" s="25" t="inlineStr">
        <is>
          <t>IA-ST-CFG-0020</t>
        </is>
      </c>
      <c r="F22" s="25" t="n">
        <v>1</v>
      </c>
      <c r="G22" s="25" t="n">
        <v>8</v>
      </c>
      <c r="H22" s="25" t="n">
        <v>31.8142</v>
      </c>
      <c r="I22" s="25" t="inlineStr">
        <is>
          <t>REV00 CURRENT EVIDENCE BASIS — ARTICLE 5 ASSESSMENT BASIS</t>
        </is>
      </c>
      <c r="J22" s="25" t="inlineStr">
        <is>
          <t>PENDING - DRAWING</t>
        </is>
      </c>
      <c r="K22" s="25" t="inlineStr">
        <is>
          <t>PENDING - PHOTOGRAPHS</t>
        </is>
      </c>
      <c r="L22" s="25" t="inlineStr">
        <is>
          <t>Rev.00</t>
        </is>
      </c>
      <c r="M22" s="31">
        <f>HYPERLINK("01_STARTER/ST-021-STD-01/01_Technical_File.docx","Open")</f>
        <v/>
      </c>
    </row>
    <row r="23">
      <c r="A23" s="25" t="inlineStr">
        <is>
          <t>IA-PPWR-TF-ST-021-STD-02-R00</t>
        </is>
      </c>
      <c r="B23" s="25" t="inlineStr">
        <is>
          <t>ST-021-STD-02</t>
        </is>
      </c>
      <c r="C23" s="25" t="inlineStr">
        <is>
          <t>IA-ST-021-STD-02</t>
        </is>
      </c>
      <c r="D23" s="25" t="inlineStr">
        <is>
          <t>C | Palet (4000037): 1 adet | Köşebent (4000590): 4 adet</t>
        </is>
      </c>
      <c r="E23" s="25" t="inlineStr">
        <is>
          <t>IA-ST-CFG-0021</t>
        </is>
      </c>
      <c r="F23" s="25" t="n">
        <v>1</v>
      </c>
      <c r="G23" s="25" t="n">
        <v>8</v>
      </c>
      <c r="H23" s="25" t="n">
        <v>32.112</v>
      </c>
      <c r="I23" s="25" t="inlineStr">
        <is>
          <t>REV00 CURRENT EVIDENCE BASIS — ARTICLE 5 ASSESSMENT BASIS</t>
        </is>
      </c>
      <c r="J23" s="25" t="inlineStr">
        <is>
          <t>PENDING - DRAWING</t>
        </is>
      </c>
      <c r="K23" s="25" t="inlineStr">
        <is>
          <t>PENDING - PHOTOGRAPHS</t>
        </is>
      </c>
      <c r="L23" s="25" t="inlineStr">
        <is>
          <t>Rev.00</t>
        </is>
      </c>
      <c r="M23" s="31">
        <f>HYPERLINK("01_STARTER/ST-021-STD-02/01_Technical_File.docx","Open")</f>
        <v/>
      </c>
    </row>
    <row r="24">
      <c r="A24" s="25" t="inlineStr">
        <is>
          <t>IA-PPWR-TF-ST-021-STD-03-R00</t>
        </is>
      </c>
      <c r="B24" s="25" t="inlineStr">
        <is>
          <t>ST-021-STD-03</t>
        </is>
      </c>
      <c r="C24" s="25" t="inlineStr">
        <is>
          <t>IA-ST-021-STD-03</t>
        </is>
      </c>
      <c r="D24" s="25" t="inlineStr">
        <is>
          <t>C | Palet (4000037): 1 adet | Streç ped (4000301): 0.186 kg | Köşebent (4000590): 2 adet</t>
        </is>
      </c>
      <c r="E24" s="25" t="inlineStr">
        <is>
          <t>IA-ST-CFG-0023</t>
        </is>
      </c>
      <c r="F24" s="25" t="n">
        <v>52</v>
      </c>
      <c r="G24" s="25" t="n">
        <v>8</v>
      </c>
      <c r="H24" s="25" t="n">
        <v>31.8252</v>
      </c>
      <c r="I24" s="25" t="inlineStr">
        <is>
          <t>REV00 CURRENT EVIDENCE BASIS — ARTICLE 5 ASSESSMENT BASIS</t>
        </is>
      </c>
      <c r="J24" s="25" t="inlineStr">
        <is>
          <t>PENDING - DRAWING</t>
        </is>
      </c>
      <c r="K24" s="25" t="inlineStr">
        <is>
          <t>PENDING - PHOTOGRAPHS</t>
        </is>
      </c>
      <c r="L24" s="25" t="inlineStr">
        <is>
          <t>Rev.00</t>
        </is>
      </c>
      <c r="M24" s="31">
        <f>HYPERLINK("01_STARTER/ST-021-STD-03/01_Technical_File.docx","Open")</f>
        <v/>
      </c>
    </row>
    <row r="25">
      <c r="A25" s="25" t="inlineStr">
        <is>
          <t>IA-PPWR-TF-ST-021-STD-04-R00</t>
        </is>
      </c>
      <c r="B25" s="25" t="inlineStr">
        <is>
          <t>ST-021-STD-04</t>
        </is>
      </c>
      <c r="C25" s="25" t="inlineStr">
        <is>
          <t>IA-ST-021-STD-04</t>
        </is>
      </c>
      <c r="D25" s="25" t="inlineStr">
        <is>
          <t>C | Palet (4000037): 1 adet | Çember (4000450): kullanılmaz</t>
        </is>
      </c>
      <c r="E25" s="25" t="inlineStr">
        <is>
          <t>IA-ST-CFG-0024</t>
        </is>
      </c>
      <c r="F25" s="25" t="n">
        <v>24</v>
      </c>
      <c r="G25" s="25" t="n">
        <v>6</v>
      </c>
      <c r="H25" s="25" t="n">
        <v>31.5384</v>
      </c>
      <c r="I25" s="25" t="inlineStr">
        <is>
          <t>REV00 CURRENT EVIDENCE BASIS — ARTICLE 5 ASSESSMENT BASIS</t>
        </is>
      </c>
      <c r="J25" s="25" t="inlineStr">
        <is>
          <t>PENDING - DRAWING</t>
        </is>
      </c>
      <c r="K25" s="25" t="inlineStr">
        <is>
          <t>PENDING - PHOTOGRAPHS</t>
        </is>
      </c>
      <c r="L25" s="25" t="inlineStr">
        <is>
          <t>Rev.00</t>
        </is>
      </c>
      <c r="M25" s="31">
        <f>HYPERLINK("01_STARTER/ST-021-STD-04/01_Technical_File.docx","Open")</f>
        <v/>
      </c>
    </row>
    <row r="26">
      <c r="A26" s="25" t="inlineStr">
        <is>
          <t>IA-PPWR-TF-ST-021-STD-05-R00</t>
        </is>
      </c>
      <c r="B26" s="25" t="inlineStr">
        <is>
          <t>ST-021-STD-05</t>
        </is>
      </c>
      <c r="C26" s="25" t="inlineStr">
        <is>
          <t>IA-ST-021-STD-05</t>
        </is>
      </c>
      <c r="D26" s="25" t="inlineStr">
        <is>
          <t>C | Palet (4000037): 1 adet | Shrink film (4001177): 0.597 kg</t>
        </is>
      </c>
      <c r="E26" s="25" t="inlineStr">
        <is>
          <t>IA-ST-CFG-0025</t>
        </is>
      </c>
      <c r="F26" s="25" t="n">
        <v>1</v>
      </c>
      <c r="G26" s="25" t="n">
        <v>7</v>
      </c>
      <c r="H26" s="25" t="n">
        <v>30.983</v>
      </c>
      <c r="I26" s="25" t="inlineStr">
        <is>
          <t>REV00 CURRENT EVIDENCE BASIS — ARTICLE 5 ASSESSMENT BASIS</t>
        </is>
      </c>
      <c r="J26" s="25" t="inlineStr">
        <is>
          <t>PENDING - DRAWING</t>
        </is>
      </c>
      <c r="K26" s="25" t="inlineStr">
        <is>
          <t>PENDING - PHOTOGRAPHS</t>
        </is>
      </c>
      <c r="L26" s="25" t="inlineStr">
        <is>
          <t>Rev.00</t>
        </is>
      </c>
      <c r="M26" s="31">
        <f>HYPERLINK("01_STARTER/ST-021-STD-05/01_Technical_File.docx","Open")</f>
        <v/>
      </c>
    </row>
    <row r="27">
      <c r="A27" s="25" t="inlineStr">
        <is>
          <t>IA-PPWR-TF-ST-024-EUR-01-R00</t>
        </is>
      </c>
      <c r="B27" s="25" t="inlineStr">
        <is>
          <t>ST-024-EUR-01</t>
        </is>
      </c>
      <c r="C27" s="25" t="inlineStr">
        <is>
          <t>IA-ST-024-EUR-01</t>
        </is>
      </c>
      <c r="D27" s="25" t="inlineStr">
        <is>
          <t>TRACTOR | Palet (4000038): 1 adet | Honeycomb (4001186): 2 adet</t>
        </is>
      </c>
      <c r="E27" s="25" t="inlineStr">
        <is>
          <t>IA-ST-CFG-0035</t>
        </is>
      </c>
      <c r="F27" s="25" t="n">
        <v>1</v>
      </c>
      <c r="G27" s="25" t="n">
        <v>8</v>
      </c>
      <c r="H27" s="25" t="n">
        <v>36.726</v>
      </c>
      <c r="I27" s="25" t="inlineStr">
        <is>
          <t>REV00 CURRENT EVIDENCE BASIS — ARTICLE 5 ASSESSMENT BASIS</t>
        </is>
      </c>
      <c r="J27" s="25" t="inlineStr">
        <is>
          <t>PENDING - DRAWING</t>
        </is>
      </c>
      <c r="K27" s="25" t="inlineStr">
        <is>
          <t>PENDING - PHOTOGRAPHS</t>
        </is>
      </c>
      <c r="L27" s="25" t="inlineStr">
        <is>
          <t>Rev.00</t>
        </is>
      </c>
      <c r="M27" s="31">
        <f>HYPERLINK("01_STARTER/ST-024-EUR-01/01_Technical_File.docx","Open")</f>
        <v/>
      </c>
    </row>
    <row r="28">
      <c r="A28" s="25" t="inlineStr">
        <is>
          <t>IA-PPWR-TF-ST-024-EUR-02-R00</t>
        </is>
      </c>
      <c r="B28" s="25" t="inlineStr">
        <is>
          <t>ST-024-EUR-02</t>
        </is>
      </c>
      <c r="C28" s="25" t="inlineStr">
        <is>
          <t>IA-ST-024-EUR-02</t>
        </is>
      </c>
      <c r="D28" s="25" t="inlineStr">
        <is>
          <t>A | A TİPİ VAKUM PVC PVC üst kapak (4000720): 24 adet</t>
        </is>
      </c>
      <c r="E28" s="25" t="inlineStr">
        <is>
          <t>IA-ST-CFG-0037</t>
        </is>
      </c>
      <c r="F28" s="25" t="n">
        <v>1</v>
      </c>
      <c r="G28" s="25" t="n">
        <v>9</v>
      </c>
      <c r="H28" s="25" t="n">
        <v>32.84464</v>
      </c>
      <c r="I28" s="25" t="inlineStr">
        <is>
          <t>REV00 CURRENT EVIDENCE BASIS — ARTICLE 5 ASSESSMENT BASIS</t>
        </is>
      </c>
      <c r="J28" s="25" t="inlineStr">
        <is>
          <t>PENDING - DRAWING</t>
        </is>
      </c>
      <c r="K28" s="25" t="inlineStr">
        <is>
          <t>PENDING - PHOTOGRAPHS</t>
        </is>
      </c>
      <c r="L28" s="25" t="inlineStr">
        <is>
          <t>Rev.00</t>
        </is>
      </c>
      <c r="M28" s="31">
        <f>HYPERLINK("01_STARTER/ST-024-EUR-02/01_Technical_File.docx","Open")</f>
        <v/>
      </c>
    </row>
    <row r="29">
      <c r="A29" s="25" t="inlineStr">
        <is>
          <t>IA-PPWR-TF-ST-024-EUR-03-R00</t>
        </is>
      </c>
      <c r="B29" s="25" t="inlineStr">
        <is>
          <t>ST-024-EUR-03</t>
        </is>
      </c>
      <c r="C29" s="25" t="inlineStr">
        <is>
          <t>IA-ST-024-EUR-03</t>
        </is>
      </c>
      <c r="D29" s="25" t="inlineStr">
        <is>
          <t>A | Palet (4000038): 1 adet | Köşebent (4000590): 4 adet</t>
        </is>
      </c>
      <c r="E29" s="25" t="inlineStr">
        <is>
          <t>IA-ST-CFG-0038</t>
        </is>
      </c>
      <c r="F29" s="25" t="n">
        <v>2</v>
      </c>
      <c r="G29" s="25" t="n">
        <v>7</v>
      </c>
      <c r="H29" s="25" t="n">
        <v>29.63</v>
      </c>
      <c r="I29" s="25" t="inlineStr">
        <is>
          <t>REV00 CURRENT EVIDENCE BASIS — ARTICLE 5 ASSESSMENT BASIS</t>
        </is>
      </c>
      <c r="J29" s="25" t="inlineStr">
        <is>
          <t>PENDING - DRAWING</t>
        </is>
      </c>
      <c r="K29" s="25" t="inlineStr">
        <is>
          <t>PENDING - PHOTOGRAPHS</t>
        </is>
      </c>
      <c r="L29" s="25" t="inlineStr">
        <is>
          <t>Rev.00</t>
        </is>
      </c>
      <c r="M29" s="31">
        <f>HYPERLINK("01_STARTER/ST-024-EUR-03/01_Technical_File.docx","Open")</f>
        <v/>
      </c>
    </row>
    <row r="30">
      <c r="A30" s="25" t="inlineStr">
        <is>
          <t>IA-PPWR-TF-ST-024-EUR-04-R00</t>
        </is>
      </c>
      <c r="B30" s="25" t="inlineStr">
        <is>
          <t>ST-024-EUR-04</t>
        </is>
      </c>
      <c r="C30" s="25" t="inlineStr">
        <is>
          <t>IA-ST-024-EUR-04</t>
        </is>
      </c>
      <c r="D30" s="25" t="inlineStr">
        <is>
          <t>A | Palet (4000038): 1 adet | Köşebent (4000590): 2 adet</t>
        </is>
      </c>
      <c r="E30" s="25" t="inlineStr">
        <is>
          <t>IA-ST-CFG-0039</t>
        </is>
      </c>
      <c r="F30" s="25" t="n">
        <v>18</v>
      </c>
      <c r="G30" s="25" t="n">
        <v>8</v>
      </c>
      <c r="H30" s="25" t="n">
        <v>30.6632</v>
      </c>
      <c r="I30" s="25" t="inlineStr">
        <is>
          <t>REV00 CURRENT EVIDENCE BASIS — ARTICLE 5 ASSESSMENT BASIS</t>
        </is>
      </c>
      <c r="J30" s="25" t="inlineStr">
        <is>
          <t>PENDING - DRAWING</t>
        </is>
      </c>
      <c r="K30" s="25" t="inlineStr">
        <is>
          <t>PENDING - PHOTOGRAPHS</t>
        </is>
      </c>
      <c r="L30" s="25" t="inlineStr">
        <is>
          <t>Rev.00</t>
        </is>
      </c>
      <c r="M30" s="31">
        <f>HYPERLINK("01_STARTER/ST-024-EUR-04/01_Technical_File.docx","Open")</f>
        <v/>
      </c>
    </row>
    <row r="31">
      <c r="A31" s="25" t="inlineStr">
        <is>
          <t>IA-PPWR-TF-ST-024-STD-01-R00</t>
        </is>
      </c>
      <c r="B31" s="25" t="inlineStr">
        <is>
          <t>ST-024-STD-01</t>
        </is>
      </c>
      <c r="C31" s="25" t="inlineStr">
        <is>
          <t>IA-ST-024-STD-01</t>
        </is>
      </c>
      <c r="D31" s="25" t="inlineStr">
        <is>
          <t>C | Palet (4000037): 1 adet | EPS (4001281): 24 adet</t>
        </is>
      </c>
      <c r="E31" s="25" t="inlineStr">
        <is>
          <t>IA-ST-CFG-0034</t>
        </is>
      </c>
      <c r="F31" s="25" t="n">
        <v>1</v>
      </c>
      <c r="G31" s="25" t="n">
        <v>7</v>
      </c>
      <c r="H31" s="25" t="n">
        <v>31.23</v>
      </c>
      <c r="I31" s="25" t="inlineStr">
        <is>
          <t>REV00 CURRENT EVIDENCE BASIS — ARTICLE 5 ASSESSMENT BASIS</t>
        </is>
      </c>
      <c r="J31" s="25" t="inlineStr">
        <is>
          <t>PENDING - DRAWING</t>
        </is>
      </c>
      <c r="K31" s="25" t="inlineStr">
        <is>
          <t>PENDING - PHOTOGRAPHS</t>
        </is>
      </c>
      <c r="L31" s="25" t="inlineStr">
        <is>
          <t>Rev.00</t>
        </is>
      </c>
      <c r="M31" s="31">
        <f>HYPERLINK("01_STARTER/ST-024-STD-01/01_Technical_File.docx","Open")</f>
        <v/>
      </c>
    </row>
    <row r="32">
      <c r="A32" s="25" t="inlineStr">
        <is>
          <t>IA-PPWR-TF-ST-027-STD90-01-R00</t>
        </is>
      </c>
      <c r="B32" s="25" t="inlineStr">
        <is>
          <t>ST-027-STD90-01</t>
        </is>
      </c>
      <c r="C32" s="25" t="inlineStr">
        <is>
          <t>IA-ST-027-STD90-01</t>
        </is>
      </c>
      <c r="D32" s="25" t="inlineStr">
        <is>
          <t>TANK | TANK PVC üst kapak (4000493): 27 adet | Çember (4000450): 7 m</t>
        </is>
      </c>
      <c r="E32" s="25" t="inlineStr">
        <is>
          <t>IA-ST-CFG-0043</t>
        </is>
      </c>
      <c r="F32" s="25" t="n">
        <v>1</v>
      </c>
      <c r="G32" s="25" t="n">
        <v>8</v>
      </c>
      <c r="H32" s="25" t="n">
        <v>25.58996</v>
      </c>
      <c r="I32" s="25" t="inlineStr">
        <is>
          <t>REV00 CURRENT EVIDENCE BASIS — ARTICLE 5 ASSESSMENT BASIS</t>
        </is>
      </c>
      <c r="J32" s="25" t="inlineStr">
        <is>
          <t>PENDING - DRAWING</t>
        </is>
      </c>
      <c r="K32" s="25" t="inlineStr">
        <is>
          <t>PENDING - PHOTOGRAPHS</t>
        </is>
      </c>
      <c r="L32" s="25" t="inlineStr">
        <is>
          <t>Rev.00</t>
        </is>
      </c>
      <c r="M32" s="31">
        <f>HYPERLINK("01_STARTER/ST-027-STD90-01/01_Technical_File.docx","Open")</f>
        <v/>
      </c>
    </row>
    <row r="33">
      <c r="A33" s="25" t="inlineStr">
        <is>
          <t>IA-PPWR-TF-ST-027-STD90-02-R00</t>
        </is>
      </c>
      <c r="B33" s="25" t="inlineStr">
        <is>
          <t>ST-027-STD90-02</t>
        </is>
      </c>
      <c r="C33" s="25" t="inlineStr">
        <is>
          <t>IA-ST-027-STD90-02</t>
        </is>
      </c>
      <c r="D33" s="25" t="inlineStr">
        <is>
          <t>TANK | TANK PVC üst kapak (4000493): 27 adet | Çember (4000450): kullanılmaz</t>
        </is>
      </c>
      <c r="E33" s="25" t="inlineStr">
        <is>
          <t>IA-ST-CFG-0044</t>
        </is>
      </c>
      <c r="F33" s="25" t="n">
        <v>1</v>
      </c>
      <c r="G33" s="25" t="n">
        <v>7</v>
      </c>
      <c r="H33" s="25" t="n">
        <v>25.50316</v>
      </c>
      <c r="I33" s="25" t="inlineStr">
        <is>
          <t>REV00 CURRENT EVIDENCE BASIS — ARTICLE 5 ASSESSMENT BASIS</t>
        </is>
      </c>
      <c r="J33" s="25" t="inlineStr">
        <is>
          <t>PENDING - DRAWING</t>
        </is>
      </c>
      <c r="K33" s="25" t="inlineStr">
        <is>
          <t>PENDING - PHOTOGRAPHS</t>
        </is>
      </c>
      <c r="L33" s="25" t="inlineStr">
        <is>
          <t>Rev.00</t>
        </is>
      </c>
      <c r="M33" s="31">
        <f>HYPERLINK("01_STARTER/ST-027-STD90-02/01_Technical_File.docx","Open")</f>
        <v/>
      </c>
    </row>
    <row r="34">
      <c r="A34" s="25" t="inlineStr">
        <is>
          <t>IA-PPWR-TF-ST-028-STD-01-R00</t>
        </is>
      </c>
      <c r="B34" s="25" t="inlineStr">
        <is>
          <t>ST-028-STD-01</t>
        </is>
      </c>
      <c r="C34" s="25" t="inlineStr">
        <is>
          <t>IA-ST-028-STD-01</t>
        </is>
      </c>
      <c r="D34" s="25" t="inlineStr">
        <is>
          <t>L6 | Palet (4000037): 1 adet | Shrink film (4000608): 1.12 kg</t>
        </is>
      </c>
      <c r="E34" s="25" t="inlineStr">
        <is>
          <t>IA-ST-CFG-0045</t>
        </is>
      </c>
      <c r="F34" s="25" t="n">
        <v>1</v>
      </c>
      <c r="G34" s="25" t="n">
        <v>7</v>
      </c>
      <c r="H34" s="25" t="n">
        <v>29.056</v>
      </c>
      <c r="I34" s="25" t="inlineStr">
        <is>
          <t>REV00 CURRENT EVIDENCE BASIS — ARTICLE 5 ASSESSMENT BASIS</t>
        </is>
      </c>
      <c r="J34" s="25" t="inlineStr">
        <is>
          <t>PENDING - DRAWING</t>
        </is>
      </c>
      <c r="K34" s="25" t="inlineStr">
        <is>
          <t>PENDING - PHOTOGRAPHS</t>
        </is>
      </c>
      <c r="L34" s="25" t="inlineStr">
        <is>
          <t>Rev.00</t>
        </is>
      </c>
      <c r="M34" s="31">
        <f>HYPERLINK("01_STARTER/ST-028-STD-01/01_Technical_File.docx","Open")</f>
        <v/>
      </c>
    </row>
    <row r="35">
      <c r="A35" s="25" t="inlineStr">
        <is>
          <t>IA-PPWR-TF-ST-030-STD-01-R00</t>
        </is>
      </c>
      <c r="B35" s="25" t="inlineStr">
        <is>
          <t>ST-030-STD-01</t>
        </is>
      </c>
      <c r="C35" s="25" t="inlineStr">
        <is>
          <t>IA-ST-030-STD-01</t>
        </is>
      </c>
      <c r="D35" s="25" t="inlineStr">
        <is>
          <t>L5 | Palet (4000037): 1 adet | Shrink film (4000608): 1.2 kg</t>
        </is>
      </c>
      <c r="E35" s="25" t="inlineStr">
        <is>
          <t>IA-ST-CFG-0046</t>
        </is>
      </c>
      <c r="F35" s="25" t="n">
        <v>1</v>
      </c>
      <c r="G35" s="25" t="n">
        <v>7</v>
      </c>
      <c r="H35" s="25" t="n">
        <v>29.136</v>
      </c>
      <c r="I35" s="25" t="inlineStr">
        <is>
          <t>REV00 CURRENT EVIDENCE BASIS — ARTICLE 5 ASSESSMENT BASIS</t>
        </is>
      </c>
      <c r="J35" s="25" t="inlineStr">
        <is>
          <t>PENDING - DRAWING</t>
        </is>
      </c>
      <c r="K35" s="25" t="inlineStr">
        <is>
          <t>PENDING - PHOTOGRAPHS</t>
        </is>
      </c>
      <c r="L35" s="25" t="inlineStr">
        <is>
          <t>Rev.00</t>
        </is>
      </c>
      <c r="M35" s="31">
        <f>HYPERLINK("01_STARTER/ST-030-STD-01/01_Technical_File.docx","Open")</f>
        <v/>
      </c>
    </row>
    <row r="36">
      <c r="A36" s="25" t="inlineStr">
        <is>
          <t>IA-PPWR-TF-ST-030-STD-02-R00</t>
        </is>
      </c>
      <c r="B36" s="25" t="inlineStr">
        <is>
          <t>ST-030-STD-02</t>
        </is>
      </c>
      <c r="C36" s="25" t="inlineStr">
        <is>
          <t>IA-ST-030-STD-02</t>
        </is>
      </c>
      <c r="D36" s="25" t="inlineStr">
        <is>
          <t>A | Palet (4000037): 1 adet | Shrink film (4000557): 1.65 kg | Köşebent (4000590): 4 adet</t>
        </is>
      </c>
      <c r="E36" s="25" t="inlineStr">
        <is>
          <t>IA-ST-CFG-0047</t>
        </is>
      </c>
      <c r="F36" s="25" t="n">
        <v>2</v>
      </c>
      <c r="G36" s="25" t="n">
        <v>8</v>
      </c>
      <c r="H36" s="25" t="n">
        <v>31.986</v>
      </c>
      <c r="I36" s="25" t="inlineStr">
        <is>
          <t>REV00 CURRENT EVIDENCE BASIS — ARTICLE 5 ASSESSMENT BASIS</t>
        </is>
      </c>
      <c r="J36" s="25" t="inlineStr">
        <is>
          <t>PENDING - DRAWING</t>
        </is>
      </c>
      <c r="K36" s="25" t="inlineStr">
        <is>
          <t>PENDING - PHOTOGRAPHS</t>
        </is>
      </c>
      <c r="L36" s="25" t="inlineStr">
        <is>
          <t>Rev.00</t>
        </is>
      </c>
      <c r="M36" s="31">
        <f>HYPERLINK("01_STARTER/ST-030-STD-02/01_Technical_File.docx","Open")</f>
        <v/>
      </c>
    </row>
    <row r="37">
      <c r="A37" s="25" t="inlineStr">
        <is>
          <t>IA-PPWR-TF-ST-030-STD-03-R00</t>
        </is>
      </c>
      <c r="B37" s="25" t="inlineStr">
        <is>
          <t>ST-030-STD-03</t>
        </is>
      </c>
      <c r="C37" s="25" t="inlineStr">
        <is>
          <t>IA-ST-030-STD-03</t>
        </is>
      </c>
      <c r="D37" s="25" t="inlineStr">
        <is>
          <t>B | Palet (4000037): 1 adet | Shrink film (4000557): 1.65 kg | Köşebent (4000590): 4 adet</t>
        </is>
      </c>
      <c r="E37" s="25" t="inlineStr">
        <is>
          <t>IA-ST-CFG-0048</t>
        </is>
      </c>
      <c r="F37" s="25" t="n">
        <v>2</v>
      </c>
      <c r="G37" s="25" t="n">
        <v>8</v>
      </c>
      <c r="H37" s="25" t="n">
        <v>32.676</v>
      </c>
      <c r="I37" s="25" t="inlineStr">
        <is>
          <t>REV00 CURRENT EVIDENCE BASIS — ARTICLE 5 ASSESSMENT BASIS</t>
        </is>
      </c>
      <c r="J37" s="25" t="inlineStr">
        <is>
          <t>PENDING - DRAWING</t>
        </is>
      </c>
      <c r="K37" s="25" t="inlineStr">
        <is>
          <t>PENDING - PHOTOGRAPHS</t>
        </is>
      </c>
      <c r="L37" s="25" t="inlineStr">
        <is>
          <t>Rev.00</t>
        </is>
      </c>
      <c r="M37" s="31">
        <f>HYPERLINK("01_STARTER/ST-030-STD-03/01_Technical_File.docx","Open")</f>
        <v/>
      </c>
    </row>
    <row r="38">
      <c r="A38" s="25" t="inlineStr">
        <is>
          <t>IA-PPWR-TF-ST-030-STD-04-R00</t>
        </is>
      </c>
      <c r="B38" s="25" t="inlineStr">
        <is>
          <t>ST-030-STD-04</t>
        </is>
      </c>
      <c r="C38" s="25" t="inlineStr">
        <is>
          <t>IA-ST-030-STD-04</t>
        </is>
      </c>
      <c r="D38" s="25" t="inlineStr">
        <is>
          <t>A | Palet (4000037): 1 adet | Shrink film (4000557): kullanılmaz | Köşebent (4000590): 4 adet</t>
        </is>
      </c>
      <c r="E38" s="25" t="inlineStr">
        <is>
          <t>IA-ST-CFG-0049</t>
        </is>
      </c>
      <c r="F38" s="25" t="n">
        <v>2</v>
      </c>
      <c r="G38" s="25" t="n">
        <v>7</v>
      </c>
      <c r="H38" s="25" t="n">
        <v>30.336</v>
      </c>
      <c r="I38" s="25" t="inlineStr">
        <is>
          <t>REV00 CURRENT EVIDENCE BASIS — ARTICLE 5 ASSESSMENT BASIS</t>
        </is>
      </c>
      <c r="J38" s="25" t="inlineStr">
        <is>
          <t>PENDING - DRAWING</t>
        </is>
      </c>
      <c r="K38" s="25" t="inlineStr">
        <is>
          <t>PENDING - PHOTOGRAPHS</t>
        </is>
      </c>
      <c r="L38" s="25" t="inlineStr">
        <is>
          <t>Rev.00</t>
        </is>
      </c>
      <c r="M38" s="31">
        <f>HYPERLINK("01_STARTER/ST-030-STD-04/01_Technical_File.docx","Open")</f>
        <v/>
      </c>
    </row>
    <row r="39">
      <c r="A39" s="25" t="inlineStr">
        <is>
          <t>IA-PPWR-TF-ST-030-STD-05-R00</t>
        </is>
      </c>
      <c r="B39" s="25" t="inlineStr">
        <is>
          <t>ST-030-STD-05</t>
        </is>
      </c>
      <c r="C39" s="25" t="inlineStr">
        <is>
          <t>IA-ST-030-STD-05</t>
        </is>
      </c>
      <c r="D39" s="25" t="inlineStr">
        <is>
          <t>A | Palet (4000037): 1 adet | Köşebent (4000590): 2 adet</t>
        </is>
      </c>
      <c r="E39" s="25" t="inlineStr">
        <is>
          <t>IA-ST-CFG-0051</t>
        </is>
      </c>
      <c r="F39" s="25" t="n">
        <v>34</v>
      </c>
      <c r="G39" s="25" t="n">
        <v>8</v>
      </c>
      <c r="H39" s="25" t="n">
        <v>31.6992</v>
      </c>
      <c r="I39" s="25" t="inlineStr">
        <is>
          <t>REV00 CURRENT EVIDENCE BASIS — ARTICLE 5 ASSESSMENT BASIS</t>
        </is>
      </c>
      <c r="J39" s="25" t="inlineStr">
        <is>
          <t>PENDING - DRAWING</t>
        </is>
      </c>
      <c r="K39" s="25" t="inlineStr">
        <is>
          <t>PENDING - PHOTOGRAPHS</t>
        </is>
      </c>
      <c r="L39" s="25" t="inlineStr">
        <is>
          <t>Rev.00</t>
        </is>
      </c>
      <c r="M39" s="31">
        <f>HYPERLINK("01_STARTER/ST-030-STD-05/01_Technical_File.docx","Open")</f>
        <v/>
      </c>
    </row>
    <row r="40">
      <c r="A40" s="25" t="inlineStr">
        <is>
          <t>IA-PPWR-TF-ST-030-STD-06-R00</t>
        </is>
      </c>
      <c r="B40" s="25" t="inlineStr">
        <is>
          <t>ST-030-STD-06</t>
        </is>
      </c>
      <c r="C40" s="25" t="inlineStr">
        <is>
          <t>IA-ST-030-STD-06</t>
        </is>
      </c>
      <c r="D40" s="25" t="inlineStr">
        <is>
          <t>B | Palet (4000037): 1 adet | Köşebent (4000590): 2 adet</t>
        </is>
      </c>
      <c r="E40" s="25" t="inlineStr">
        <is>
          <t>IA-ST-CFG-0052</t>
        </is>
      </c>
      <c r="F40" s="25" t="n">
        <v>59</v>
      </c>
      <c r="G40" s="25" t="n">
        <v>8</v>
      </c>
      <c r="H40" s="25" t="n">
        <v>32.3892</v>
      </c>
      <c r="I40" s="25" t="inlineStr">
        <is>
          <t>REV00 CURRENT EVIDENCE BASIS — ARTICLE 5 ASSESSMENT BASIS</t>
        </is>
      </c>
      <c r="J40" s="25" t="inlineStr">
        <is>
          <t>PENDING - DRAWING</t>
        </is>
      </c>
      <c r="K40" s="25" t="inlineStr">
        <is>
          <t>PENDING - PHOTOGRAPHS</t>
        </is>
      </c>
      <c r="L40" s="25" t="inlineStr">
        <is>
          <t>Rev.00</t>
        </is>
      </c>
      <c r="M40" s="31">
        <f>HYPERLINK("01_STARTER/ST-030-STD-06/01_Technical_File.docx","Open")</f>
        <v/>
      </c>
    </row>
    <row r="41">
      <c r="A41" s="25" t="inlineStr">
        <is>
          <t>IA-PPWR-TF-ST-030-STD-07-R00</t>
        </is>
      </c>
      <c r="B41" s="25" t="inlineStr">
        <is>
          <t>ST-030-STD-07</t>
        </is>
      </c>
      <c r="C41" s="25" t="inlineStr">
        <is>
          <t>IA-ST-030-STD-07</t>
        </is>
      </c>
      <c r="D41" s="25" t="inlineStr">
        <is>
          <t>B | Palet (4000037): 1 adet | Çember (4000450): 7 m | Köşebent (4000590): 4 adet</t>
        </is>
      </c>
      <c r="E41" s="25" t="inlineStr">
        <is>
          <t>IA-ST-CFG-0053</t>
        </is>
      </c>
      <c r="F41" s="25" t="n">
        <v>1</v>
      </c>
      <c r="G41" s="25" t="n">
        <v>7</v>
      </c>
      <c r="H41" s="25" t="n">
        <v>30.9392</v>
      </c>
      <c r="I41" s="25" t="inlineStr">
        <is>
          <t>REV00 CURRENT EVIDENCE BASIS — ARTICLE 5 ASSESSMENT BASIS</t>
        </is>
      </c>
      <c r="J41" s="25" t="inlineStr">
        <is>
          <t>PENDING - DRAWING</t>
        </is>
      </c>
      <c r="K41" s="25" t="inlineStr">
        <is>
          <t>PENDING - PHOTOGRAPHS</t>
        </is>
      </c>
      <c r="L41" s="25" t="inlineStr">
        <is>
          <t>Rev.00</t>
        </is>
      </c>
      <c r="M41" s="31">
        <f>HYPERLINK("01_STARTER/ST-030-STD-07/01_Technical_File.docx","Open")</f>
        <v/>
      </c>
    </row>
    <row r="42">
      <c r="A42" s="25" t="inlineStr">
        <is>
          <t>IA-PPWR-TF-ST-030-STD-08-R00</t>
        </is>
      </c>
      <c r="B42" s="25" t="inlineStr">
        <is>
          <t>ST-030-STD-08</t>
        </is>
      </c>
      <c r="C42" s="25" t="inlineStr">
        <is>
          <t>IA-ST-030-STD-08</t>
        </is>
      </c>
      <c r="D42" s="25" t="inlineStr">
        <is>
          <t>A | Palet (4000037): 1 adet | Çember (4000450): kullanılmaz</t>
        </is>
      </c>
      <c r="E42" s="25" t="inlineStr">
        <is>
          <t>IA-ST-CFG-0054</t>
        </is>
      </c>
      <c r="F42" s="25" t="n">
        <v>13</v>
      </c>
      <c r="G42" s="25" t="n">
        <v>6</v>
      </c>
      <c r="H42" s="25" t="n">
        <v>31.4124</v>
      </c>
      <c r="I42" s="25" t="inlineStr">
        <is>
          <t>REV00 CURRENT EVIDENCE BASIS — ARTICLE 5 ASSESSMENT BASIS</t>
        </is>
      </c>
      <c r="J42" s="25" t="inlineStr">
        <is>
          <t>PENDING - DRAWING</t>
        </is>
      </c>
      <c r="K42" s="25" t="inlineStr">
        <is>
          <t>PENDING - PHOTOGRAPHS</t>
        </is>
      </c>
      <c r="L42" s="25" t="inlineStr">
        <is>
          <t>Rev.00</t>
        </is>
      </c>
      <c r="M42" s="31">
        <f>HYPERLINK("01_STARTER/ST-030-STD-08/01_Technical_File.docx","Open")</f>
        <v/>
      </c>
    </row>
    <row r="43">
      <c r="A43" s="25" t="inlineStr">
        <is>
          <t>IA-PPWR-TF-ST-030-STD-09-R00</t>
        </is>
      </c>
      <c r="B43" s="25" t="inlineStr">
        <is>
          <t>ST-030-STD-09</t>
        </is>
      </c>
      <c r="C43" s="25" t="inlineStr">
        <is>
          <t>IA-ST-030-STD-09</t>
        </is>
      </c>
      <c r="D43" s="25" t="inlineStr">
        <is>
          <t>B | Palet (4000037): 1 adet | Çember (4000450): kullanılmaz</t>
        </is>
      </c>
      <c r="E43" s="25" t="inlineStr">
        <is>
          <t>IA-ST-CFG-0055</t>
        </is>
      </c>
      <c r="F43" s="25" t="n">
        <v>20</v>
      </c>
      <c r="G43" s="25" t="n">
        <v>6</v>
      </c>
      <c r="H43" s="25" t="n">
        <v>32.1024</v>
      </c>
      <c r="I43" s="25" t="inlineStr">
        <is>
          <t>REV00 CURRENT EVIDENCE BASIS — ARTICLE 5 ASSESSMENT BASIS</t>
        </is>
      </c>
      <c r="J43" s="25" t="inlineStr">
        <is>
          <t>PENDING - DRAWING</t>
        </is>
      </c>
      <c r="K43" s="25" t="inlineStr">
        <is>
          <t>PENDING - PHOTOGRAPHS</t>
        </is>
      </c>
      <c r="L43" s="25" t="inlineStr">
        <is>
          <t>Rev.00</t>
        </is>
      </c>
      <c r="M43" s="31">
        <f>HYPERLINK("01_STARTER/ST-030-STD-09/01_Technical_File.docx","Open")</f>
        <v/>
      </c>
    </row>
    <row r="44">
      <c r="A44" s="25" t="inlineStr">
        <is>
          <t>IA-PPWR-TF-ST-030-STD-10-R00</t>
        </is>
      </c>
      <c r="B44" s="25" t="inlineStr">
        <is>
          <t>ST-030-STD-10</t>
        </is>
      </c>
      <c r="C44" s="25" t="inlineStr">
        <is>
          <t>IA-ST-030-STD-10</t>
        </is>
      </c>
      <c r="D44" s="25" t="inlineStr">
        <is>
          <t>A | Palet (4000037): 1 adet | Shrink film (4001177): 0.597 kg</t>
        </is>
      </c>
      <c r="E44" s="25" t="inlineStr">
        <is>
          <t>IA-ST-CFG-0056</t>
        </is>
      </c>
      <c r="F44" s="25" t="n">
        <v>2</v>
      </c>
      <c r="G44" s="25" t="n">
        <v>7</v>
      </c>
      <c r="H44" s="25" t="n">
        <v>30.467</v>
      </c>
      <c r="I44" s="25" t="inlineStr">
        <is>
          <t>REV00 CURRENT EVIDENCE BASIS — ARTICLE 5 ASSESSMENT BASIS</t>
        </is>
      </c>
      <c r="J44" s="25" t="inlineStr">
        <is>
          <t>PENDING - DRAWING</t>
        </is>
      </c>
      <c r="K44" s="25" t="inlineStr">
        <is>
          <t>PENDING - PHOTOGRAPHS</t>
        </is>
      </c>
      <c r="L44" s="25" t="inlineStr">
        <is>
          <t>Rev.00</t>
        </is>
      </c>
      <c r="M44" s="31">
        <f>HYPERLINK("01_STARTER/ST-030-STD-10/01_Technical_File.docx","Open")</f>
        <v/>
      </c>
    </row>
    <row r="45">
      <c r="A45" s="25" t="inlineStr">
        <is>
          <t>IA-PPWR-TF-ST-030-STD-11-R00</t>
        </is>
      </c>
      <c r="B45" s="25" t="inlineStr">
        <is>
          <t>ST-030-STD-11</t>
        </is>
      </c>
      <c r="C45" s="25" t="inlineStr">
        <is>
          <t>IA-ST-030-STD-11</t>
        </is>
      </c>
      <c r="D45" s="25" t="inlineStr">
        <is>
          <t>B | Palet (4000037): 1 adet | Shrink film (4001177): 0.597 kg</t>
        </is>
      </c>
      <c r="E45" s="25" t="inlineStr">
        <is>
          <t>IA-ST-CFG-0057</t>
        </is>
      </c>
      <c r="F45" s="25" t="n">
        <v>3</v>
      </c>
      <c r="G45" s="25" t="n">
        <v>7</v>
      </c>
      <c r="H45" s="25" t="n">
        <v>31.157</v>
      </c>
      <c r="I45" s="25" t="inlineStr">
        <is>
          <t>REV00 CURRENT EVIDENCE BASIS — ARTICLE 5 ASSESSMENT BASIS</t>
        </is>
      </c>
      <c r="J45" s="25" t="inlineStr">
        <is>
          <t>PENDING - DRAWING</t>
        </is>
      </c>
      <c r="K45" s="25" t="inlineStr">
        <is>
          <t>PENDING - PHOTOGRAPHS</t>
        </is>
      </c>
      <c r="L45" s="25" t="inlineStr">
        <is>
          <t>Rev.00</t>
        </is>
      </c>
      <c r="M45" s="31">
        <f>HYPERLINK("01_STARTER/ST-030-STD-11/01_Technical_File.docx","Open")</f>
        <v/>
      </c>
    </row>
    <row r="46">
      <c r="A46" s="25" t="inlineStr">
        <is>
          <t>IA-PPWR-TF-ST-033-EUR-01-R00</t>
        </is>
      </c>
      <c r="B46" s="25" t="inlineStr">
        <is>
          <t>ST-033-EUR-01</t>
        </is>
      </c>
      <c r="C46" s="25" t="inlineStr">
        <is>
          <t>IA-ST-033-EUR-01</t>
        </is>
      </c>
      <c r="D46" s="25" t="inlineStr">
        <is>
          <t>L6 | Palet (4000038): 1 adet | Köşebent (4000590): 4 adet</t>
        </is>
      </c>
      <c r="E46" s="25" t="inlineStr">
        <is>
          <t>IA-ST-CFG-0058</t>
        </is>
      </c>
      <c r="F46" s="25" t="n">
        <v>3</v>
      </c>
      <c r="G46" s="25" t="n">
        <v>6</v>
      </c>
      <c r="H46" s="25" t="n">
        <v>27.926</v>
      </c>
      <c r="I46" s="25" t="inlineStr">
        <is>
          <t>REV00 CURRENT EVIDENCE BASIS — ARTICLE 5 ASSESSMENT BASIS</t>
        </is>
      </c>
      <c r="J46" s="25" t="inlineStr">
        <is>
          <t>PENDING - DRAWING</t>
        </is>
      </c>
      <c r="K46" s="25" t="inlineStr">
        <is>
          <t>PENDING - PHOTOGRAPHS</t>
        </is>
      </c>
      <c r="L46" s="25" t="inlineStr">
        <is>
          <t>Rev.00</t>
        </is>
      </c>
      <c r="M46" s="31">
        <f>HYPERLINK("01_STARTER/ST-033-EUR-01/01_Technical_File.docx","Open")</f>
        <v/>
      </c>
    </row>
    <row r="47">
      <c r="A47" s="25" t="inlineStr">
        <is>
          <t>IA-PPWR-TF-ST-034-STD-01-R00</t>
        </is>
      </c>
      <c r="B47" s="25" t="inlineStr">
        <is>
          <t>ST-034-STD-01</t>
        </is>
      </c>
      <c r="C47" s="25" t="inlineStr">
        <is>
          <t>IA-ST-034-STD-01</t>
        </is>
      </c>
      <c r="D47" s="25" t="inlineStr">
        <is>
          <t>D31 | D31 YUASA penceresiz Orta Doğu dış koli (4001108): 34 adet</t>
        </is>
      </c>
      <c r="E47" s="25" t="inlineStr">
        <is>
          <t>IA-ST-CFG-0059</t>
        </is>
      </c>
      <c r="F47" s="25" t="n">
        <v>2</v>
      </c>
      <c r="G47" s="25" t="n">
        <v>8</v>
      </c>
      <c r="H47" s="25" t="n">
        <v>40.7776</v>
      </c>
      <c r="I47" s="25" t="inlineStr">
        <is>
          <t>REV00 CURRENT EVIDENCE BASIS — ARTICLE 5 ASSESSMENT BASIS</t>
        </is>
      </c>
      <c r="J47" s="25" t="inlineStr">
        <is>
          <t>PENDING - DRAWING</t>
        </is>
      </c>
      <c r="K47" s="25" t="inlineStr">
        <is>
          <t>PENDING - PHOTOGRAPHS</t>
        </is>
      </c>
      <c r="L47" s="25" t="inlineStr">
        <is>
          <t>Rev.00</t>
        </is>
      </c>
      <c r="M47" s="31">
        <f>HYPERLINK("01_STARTER/ST-034-STD-01/01_Technical_File.docx","Open")</f>
        <v/>
      </c>
    </row>
    <row r="48">
      <c r="A48" s="25" t="inlineStr">
        <is>
          <t>IA-PPWR-TF-ST-034-STD-02-R00</t>
        </is>
      </c>
      <c r="B48" s="25" t="inlineStr">
        <is>
          <t>ST-034-STD-02</t>
        </is>
      </c>
      <c r="C48" s="25" t="inlineStr">
        <is>
          <t>IA-ST-034-STD-02</t>
        </is>
      </c>
      <c r="D48" s="25" t="inlineStr">
        <is>
          <t>L4 | L4 YUASA penceresiz Orta Doğu dış koli (4001313): 34 adet</t>
        </is>
      </c>
      <c r="E48" s="25" t="inlineStr">
        <is>
          <t>IA-ST-CFG-0060</t>
        </is>
      </c>
      <c r="F48" s="25" t="n">
        <v>1</v>
      </c>
      <c r="G48" s="25" t="n">
        <v>7</v>
      </c>
      <c r="H48" s="25" t="n">
        <v>37.296</v>
      </c>
      <c r="I48" s="25" t="inlineStr">
        <is>
          <t>REV00 CURRENT EVIDENCE BASIS — ARTICLE 5 ASSESSMENT BASIS</t>
        </is>
      </c>
      <c r="J48" s="25" t="inlineStr">
        <is>
          <t>PENDING - DRAWING</t>
        </is>
      </c>
      <c r="K48" s="25" t="inlineStr">
        <is>
          <t>PENDING - PHOTOGRAPHS</t>
        </is>
      </c>
      <c r="L48" s="25" t="inlineStr">
        <is>
          <t>Rev.00</t>
        </is>
      </c>
      <c r="M48" s="31">
        <f>HYPERLINK("01_STARTER/ST-034-STD-02/01_Technical_File.docx","Open")</f>
        <v/>
      </c>
    </row>
    <row r="49">
      <c r="A49" s="25" t="inlineStr">
        <is>
          <t>IA-PPWR-TF-ST-036-EUR-01-R00</t>
        </is>
      </c>
      <c r="B49" s="25" t="inlineStr">
        <is>
          <t>ST-036-EUR-01</t>
        </is>
      </c>
      <c r="C49" s="25" t="inlineStr">
        <is>
          <t>IA-ST-036-EUR-01</t>
        </is>
      </c>
      <c r="D49" s="25" t="inlineStr">
        <is>
          <t>L6 | L6 İnci AGM LEO 105AH940A pencereli dış koli (4001360): 36 adet</t>
        </is>
      </c>
      <c r="E49" s="25" t="inlineStr">
        <is>
          <t>IA-ST-CFG-0062</t>
        </is>
      </c>
      <c r="F49" s="25" t="n">
        <v>1</v>
      </c>
      <c r="G49" s="25" t="n">
        <v>7</v>
      </c>
      <c r="H49" s="25" t="n">
        <v>43.186</v>
      </c>
      <c r="I49" s="25" t="inlineStr">
        <is>
          <t>REV00 CURRENT EVIDENCE BASIS — ARTICLE 5 ASSESSMENT BASIS</t>
        </is>
      </c>
      <c r="J49" s="25" t="inlineStr">
        <is>
          <t>PENDING - DRAWING</t>
        </is>
      </c>
      <c r="K49" s="25" t="inlineStr">
        <is>
          <t>PENDING - PHOTOGRAPHS</t>
        </is>
      </c>
      <c r="L49" s="25" t="inlineStr">
        <is>
          <t>Rev.00</t>
        </is>
      </c>
      <c r="M49" s="31">
        <f>HYPERLINK("01_STARTER/ST-036-EUR-01/01_Technical_File.docx","Open")</f>
        <v/>
      </c>
    </row>
    <row r="50">
      <c r="A50" s="25" t="inlineStr">
        <is>
          <t>IA-PPWR-TF-ST-036-EUR-02-R00</t>
        </is>
      </c>
      <c r="B50" s="25" t="inlineStr">
        <is>
          <t>ST-036-EUR-02</t>
        </is>
      </c>
      <c r="C50" s="25" t="inlineStr">
        <is>
          <t>IA-ST-036-EUR-02</t>
        </is>
      </c>
      <c r="D50" s="25" t="inlineStr">
        <is>
          <t>NS40 | Palet (4000038): 1 adet | EPS (4000573): 8 adet</t>
        </is>
      </c>
      <c r="E50" s="25" t="inlineStr">
        <is>
          <t>IA-ST-CFG-0065</t>
        </is>
      </c>
      <c r="F50" s="25" t="n">
        <v>1</v>
      </c>
      <c r="G50" s="25" t="n">
        <v>7</v>
      </c>
      <c r="H50" s="25" t="n">
        <v>27.942</v>
      </c>
      <c r="I50" s="25" t="inlineStr">
        <is>
          <t>REV00 CURRENT EVIDENCE BASIS — ARTICLE 5 ASSESSMENT BASIS</t>
        </is>
      </c>
      <c r="J50" s="25" t="inlineStr">
        <is>
          <t>PENDING - DRAWING</t>
        </is>
      </c>
      <c r="K50" s="25" t="inlineStr">
        <is>
          <t>PENDING - PHOTOGRAPHS</t>
        </is>
      </c>
      <c r="L50" s="25" t="inlineStr">
        <is>
          <t>Rev.00</t>
        </is>
      </c>
      <c r="M50" s="31">
        <f>HYPERLINK("01_STARTER/ST-036-EUR-02/01_Technical_File.docx","Open")</f>
        <v/>
      </c>
    </row>
    <row r="51">
      <c r="A51" s="25" t="inlineStr">
        <is>
          <t>IA-PPWR-TF-ST-036-EUR-03-R00</t>
        </is>
      </c>
      <c r="B51" s="25" t="inlineStr">
        <is>
          <t>ST-036-EUR-03</t>
        </is>
      </c>
      <c r="C51" s="25" t="inlineStr">
        <is>
          <t>IA-ST-036-EUR-03</t>
        </is>
      </c>
      <c r="D51" s="25" t="inlineStr">
        <is>
          <t>L6, L5 | Palet (4000038): 1 adet | Köşebent (4000590): 4 adet</t>
        </is>
      </c>
      <c r="E51" s="25" t="inlineStr">
        <is>
          <t>IA-ST-CFG-0066</t>
        </is>
      </c>
      <c r="F51" s="25" t="n">
        <v>7</v>
      </c>
      <c r="G51" s="25" t="n">
        <v>7</v>
      </c>
      <c r="H51" s="25" t="n">
        <v>29.366</v>
      </c>
      <c r="I51" s="25" t="inlineStr">
        <is>
          <t>REV00 CURRENT EVIDENCE BASIS — ARTICLE 5 ASSESSMENT BASIS</t>
        </is>
      </c>
      <c r="J51" s="25" t="inlineStr">
        <is>
          <t>PENDING - DRAWING</t>
        </is>
      </c>
      <c r="K51" s="25" t="inlineStr">
        <is>
          <t>PENDING - PHOTOGRAPHS</t>
        </is>
      </c>
      <c r="L51" s="25" t="inlineStr">
        <is>
          <t>Rev.00</t>
        </is>
      </c>
      <c r="M51" s="31">
        <f>HYPERLINK("01_STARTER/ST-036-EUR-03/01_Technical_File.docx","Open")</f>
        <v/>
      </c>
    </row>
    <row r="52">
      <c r="A52" s="25" t="inlineStr">
        <is>
          <t>IA-PPWR-TF-ST-036-EUR-04-R00</t>
        </is>
      </c>
      <c r="B52" s="25" t="inlineStr">
        <is>
          <t>ST-036-EUR-04</t>
        </is>
      </c>
      <c r="C52" s="25" t="inlineStr">
        <is>
          <t>IA-ST-036-EUR-04</t>
        </is>
      </c>
      <c r="D52" s="25" t="inlineStr">
        <is>
          <t>L5, L6, LB5 | Palet (4000038): 1 adet | Köşebent (4000590): 4 adet</t>
        </is>
      </c>
      <c r="E52" s="25" t="inlineStr">
        <is>
          <t>IA-ST-CFG-0068</t>
        </is>
      </c>
      <c r="F52" s="25" t="n">
        <v>27</v>
      </c>
      <c r="G52" s="25" t="n">
        <v>6</v>
      </c>
      <c r="H52" s="25" t="n">
        <v>27.926</v>
      </c>
      <c r="I52" s="25" t="inlineStr">
        <is>
          <t>REV00 CURRENT EVIDENCE BASIS — ARTICLE 5 ASSESSMENT BASIS</t>
        </is>
      </c>
      <c r="J52" s="25" t="inlineStr">
        <is>
          <t>PENDING - DRAWING</t>
        </is>
      </c>
      <c r="K52" s="25" t="inlineStr">
        <is>
          <t>PENDING - PHOTOGRAPHS</t>
        </is>
      </c>
      <c r="L52" s="25" t="inlineStr">
        <is>
          <t>Rev.00</t>
        </is>
      </c>
      <c r="M52" s="31">
        <f>HYPERLINK("01_STARTER/ST-036-EUR-04/01_Technical_File.docx","Open")</f>
        <v/>
      </c>
    </row>
    <row r="53">
      <c r="A53" s="25" t="inlineStr">
        <is>
          <t>IA-PPWR-TF-ST-036-EUR-05-R00</t>
        </is>
      </c>
      <c r="B53" s="25" t="inlineStr">
        <is>
          <t>ST-036-EUR-05</t>
        </is>
      </c>
      <c r="C53" s="25" t="inlineStr">
        <is>
          <t>IA-ST-036-EUR-05</t>
        </is>
      </c>
      <c r="D53" s="25" t="inlineStr">
        <is>
          <t>TRACTORL | TRAKTÖR PVC üst kapak (4000494): 36 adet</t>
        </is>
      </c>
      <c r="E53" s="25" t="inlineStr">
        <is>
          <t>IA-ST-CFG-0070</t>
        </is>
      </c>
      <c r="F53" s="25" t="n">
        <v>3</v>
      </c>
      <c r="G53" s="25" t="n">
        <v>8</v>
      </c>
      <c r="H53" s="25" t="n">
        <v>31.98368</v>
      </c>
      <c r="I53" s="25" t="inlineStr">
        <is>
          <t>REV00 CURRENT EVIDENCE BASIS — ARTICLE 5 ASSESSMENT BASIS</t>
        </is>
      </c>
      <c r="J53" s="25" t="inlineStr">
        <is>
          <t>PENDING - DRAWING</t>
        </is>
      </c>
      <c r="K53" s="25" t="inlineStr">
        <is>
          <t>PENDING - PHOTOGRAPHS</t>
        </is>
      </c>
      <c r="L53" s="25" t="inlineStr">
        <is>
          <t>Rev.00</t>
        </is>
      </c>
      <c r="M53" s="31">
        <f>HYPERLINK("01_STARTER/ST-036-EUR-05/01_Technical_File.docx","Open")</f>
        <v/>
      </c>
    </row>
    <row r="54">
      <c r="A54" s="25" t="inlineStr">
        <is>
          <t>IA-PPWR-TF-ST-036-EUR-06-R00</t>
        </is>
      </c>
      <c r="B54" s="25" t="inlineStr">
        <is>
          <t>ST-036-EUR-06</t>
        </is>
      </c>
      <c r="C54" s="25" t="inlineStr">
        <is>
          <t>IA-ST-036-EUR-06</t>
        </is>
      </c>
      <c r="D54" s="25" t="inlineStr">
        <is>
          <t>L6, L5 | Palet (4000038): 1 adet | Köşebent (4000590): 2 adet | Shrink film (4000608): 1.44 kg</t>
        </is>
      </c>
      <c r="E54" s="25" t="inlineStr">
        <is>
          <t>IA-ST-CFG-0071</t>
        </is>
      </c>
      <c r="F54" s="25" t="n">
        <v>9</v>
      </c>
      <c r="G54" s="25" t="n">
        <v>7</v>
      </c>
      <c r="H54" s="25" t="n">
        <v>29.0792</v>
      </c>
      <c r="I54" s="25" t="inlineStr">
        <is>
          <t>REV00 CURRENT EVIDENCE BASIS — ARTICLE 5 ASSESSMENT BASIS</t>
        </is>
      </c>
      <c r="J54" s="25" t="inlineStr">
        <is>
          <t>PENDING - DRAWING</t>
        </is>
      </c>
      <c r="K54" s="25" t="inlineStr">
        <is>
          <t>PENDING - PHOTOGRAPHS</t>
        </is>
      </c>
      <c r="L54" s="25" t="inlineStr">
        <is>
          <t>Rev.00</t>
        </is>
      </c>
      <c r="M54" s="31">
        <f>HYPERLINK("01_STARTER/ST-036-EUR-06/01_Technical_File.docx","Open")</f>
        <v/>
      </c>
    </row>
    <row r="55">
      <c r="A55" s="25" t="inlineStr">
        <is>
          <t>IA-PPWR-TF-ST-036-EUR-07-R00</t>
        </is>
      </c>
      <c r="B55" s="25" t="inlineStr">
        <is>
          <t>ST-036-EUR-07</t>
        </is>
      </c>
      <c r="C55" s="25" t="inlineStr">
        <is>
          <t>IA-ST-036-EUR-07</t>
        </is>
      </c>
      <c r="D55" s="25" t="inlineStr">
        <is>
          <t>L6, L5 | Palet (4000038): 1 adet | Shrink film (4000608): kullanılmaz</t>
        </is>
      </c>
      <c r="E55" s="25" t="inlineStr">
        <is>
          <t>IA-ST-CFG-0072</t>
        </is>
      </c>
      <c r="F55" s="25" t="n">
        <v>7</v>
      </c>
      <c r="G55" s="25" t="n">
        <v>6</v>
      </c>
      <c r="H55" s="25" t="n">
        <v>27.6392</v>
      </c>
      <c r="I55" s="25" t="inlineStr">
        <is>
          <t>REV00 CURRENT EVIDENCE BASIS — ARTICLE 5 ASSESSMENT BASIS</t>
        </is>
      </c>
      <c r="J55" s="25" t="inlineStr">
        <is>
          <t>PENDING - DRAWING</t>
        </is>
      </c>
      <c r="K55" s="25" t="inlineStr">
        <is>
          <t>PENDING - PHOTOGRAPHS</t>
        </is>
      </c>
      <c r="L55" s="25" t="inlineStr">
        <is>
          <t>Rev.00</t>
        </is>
      </c>
      <c r="M55" s="31">
        <f>HYPERLINK("01_STARTER/ST-036-EUR-07/01_Technical_File.docx","Open")</f>
        <v/>
      </c>
    </row>
    <row r="56">
      <c r="A56" s="25" t="inlineStr">
        <is>
          <t>IA-PPWR-TF-ST-036-STD-01-R00</t>
        </is>
      </c>
      <c r="B56" s="25" t="inlineStr">
        <is>
          <t>ST-036-STD-01</t>
        </is>
      </c>
      <c r="C56" s="25" t="inlineStr">
        <is>
          <t>IA-ST-036-STD-01</t>
        </is>
      </c>
      <c r="D56" s="25" t="inlineStr">
        <is>
          <t>L3 | L3 YUASA penceresiz Orta Doğu dış koli (4001103): 36 adet</t>
        </is>
      </c>
      <c r="E56" s="25" t="inlineStr">
        <is>
          <t>IA-ST-CFG-0061</t>
        </is>
      </c>
      <c r="F56" s="25" t="n">
        <v>1</v>
      </c>
      <c r="G56" s="25" t="n">
        <v>7</v>
      </c>
      <c r="H56" s="25" t="n">
        <v>37.796</v>
      </c>
      <c r="I56" s="25" t="inlineStr">
        <is>
          <t>REV00 CURRENT EVIDENCE BASIS — ARTICLE 5 ASSESSMENT BASIS</t>
        </is>
      </c>
      <c r="J56" s="25" t="inlineStr">
        <is>
          <t>PENDING - DRAWING</t>
        </is>
      </c>
      <c r="K56" s="25" t="inlineStr">
        <is>
          <t>PENDING - PHOTOGRAPHS</t>
        </is>
      </c>
      <c r="L56" s="25" t="inlineStr">
        <is>
          <t>Rev.00</t>
        </is>
      </c>
      <c r="M56" s="31">
        <f>HYPERLINK("01_STARTER/ST-036-STD-01/01_Technical_File.docx","Open")</f>
        <v/>
      </c>
    </row>
    <row r="57">
      <c r="A57" s="25" t="inlineStr">
        <is>
          <t>IA-PPWR-TF-ST-036-STD-02-R00</t>
        </is>
      </c>
      <c r="B57" s="25" t="inlineStr">
        <is>
          <t>ST-036-STD-02</t>
        </is>
      </c>
      <c r="C57" s="25" t="inlineStr">
        <is>
          <t>IA-ST-036-STD-02</t>
        </is>
      </c>
      <c r="D57" s="25" t="inlineStr">
        <is>
          <t>L4 | Palet (4000037): 1 adet | Separatör (4000130): 3 adet</t>
        </is>
      </c>
      <c r="E57" s="25" t="inlineStr">
        <is>
          <t>IA-ST-CFG-0063</t>
        </is>
      </c>
      <c r="F57" s="25" t="n">
        <v>1</v>
      </c>
      <c r="G57" s="25" t="n">
        <v>7</v>
      </c>
      <c r="H57" s="25" t="n">
        <v>29.16</v>
      </c>
      <c r="I57" s="25" t="inlineStr">
        <is>
          <t>REV00 CURRENT EVIDENCE BASIS — ARTICLE 5 ASSESSMENT BASIS</t>
        </is>
      </c>
      <c r="J57" s="25" t="inlineStr">
        <is>
          <t>PENDING - DRAWING</t>
        </is>
      </c>
      <c r="K57" s="25" t="inlineStr">
        <is>
          <t>PENDING - PHOTOGRAPHS</t>
        </is>
      </c>
      <c r="L57" s="25" t="inlineStr">
        <is>
          <t>Rev.00</t>
        </is>
      </c>
      <c r="M57" s="31">
        <f>HYPERLINK("01_STARTER/ST-036-STD-02/01_Technical_File.docx","Open")</f>
        <v/>
      </c>
    </row>
    <row r="58">
      <c r="A58" s="25" t="inlineStr">
        <is>
          <t>IA-PPWR-TF-ST-036-STD-03-R00</t>
        </is>
      </c>
      <c r="B58" s="25" t="inlineStr">
        <is>
          <t>ST-036-STD-03</t>
        </is>
      </c>
      <c r="C58" s="25" t="inlineStr">
        <is>
          <t>IA-ST-036-STD-03</t>
        </is>
      </c>
      <c r="D58" s="25" t="inlineStr">
        <is>
          <t>L4 | Palet (4000037): 1 adet | Separatör (4000130): 4 adet</t>
        </is>
      </c>
      <c r="E58" s="25" t="inlineStr">
        <is>
          <t>IA-ST-CFG-0064</t>
        </is>
      </c>
      <c r="F58" s="25" t="n">
        <v>1</v>
      </c>
      <c r="G58" s="25" t="n">
        <v>7</v>
      </c>
      <c r="H58" s="25" t="n">
        <v>29.1432</v>
      </c>
      <c r="I58" s="25" t="inlineStr">
        <is>
          <t>REV00 CURRENT EVIDENCE BASIS — ARTICLE 5 ASSESSMENT BASIS</t>
        </is>
      </c>
      <c r="J58" s="25" t="inlineStr">
        <is>
          <t>PENDING - DRAWING</t>
        </is>
      </c>
      <c r="K58" s="25" t="inlineStr">
        <is>
          <t>PENDING - PHOTOGRAPHS</t>
        </is>
      </c>
      <c r="L58" s="25" t="inlineStr">
        <is>
          <t>Rev.00</t>
        </is>
      </c>
      <c r="M58" s="31">
        <f>HYPERLINK("01_STARTER/ST-036-STD-03/01_Technical_File.docx","Open")</f>
        <v/>
      </c>
    </row>
    <row r="59">
      <c r="A59" s="25" t="inlineStr">
        <is>
          <t>IA-PPWR-TF-ST-042-EUR-01-R00</t>
        </is>
      </c>
      <c r="B59" s="25" t="inlineStr">
        <is>
          <t>ST-042-EUR-01</t>
        </is>
      </c>
      <c r="C59" s="25" t="inlineStr">
        <is>
          <t>IA-ST-042-EUR-01</t>
        </is>
      </c>
      <c r="D59" s="25" t="inlineStr">
        <is>
          <t>D31 | D31 YUASA penceresiz Orta Doğu dış koli (4001108): 42 adet</t>
        </is>
      </c>
      <c r="E59" s="25" t="inlineStr">
        <is>
          <t>IA-ST-CFG-0077</t>
        </is>
      </c>
      <c r="F59" s="25" t="n">
        <v>1</v>
      </c>
      <c r="G59" s="25" t="n">
        <v>8</v>
      </c>
      <c r="H59" s="25" t="n">
        <v>44.0068</v>
      </c>
      <c r="I59" s="25" t="inlineStr">
        <is>
          <t>REV00 CURRENT EVIDENCE BASIS — ARTICLE 5 ASSESSMENT BASIS</t>
        </is>
      </c>
      <c r="J59" s="25" t="inlineStr">
        <is>
          <t>PENDING - DRAWING</t>
        </is>
      </c>
      <c r="K59" s="25" t="inlineStr">
        <is>
          <t>PENDING - PHOTOGRAPHS</t>
        </is>
      </c>
      <c r="L59" s="25" t="inlineStr">
        <is>
          <t>Rev.00</t>
        </is>
      </c>
      <c r="M59" s="31">
        <f>HYPERLINK("01_STARTER/ST-042-EUR-01/01_Technical_File.docx","Open")</f>
        <v/>
      </c>
    </row>
    <row r="60">
      <c r="A60" s="25" t="inlineStr">
        <is>
          <t>IA-PPWR-TF-ST-042-EUR-02-R00</t>
        </is>
      </c>
      <c r="B60" s="25" t="inlineStr">
        <is>
          <t>ST-042-EUR-02</t>
        </is>
      </c>
      <c r="C60" s="25" t="inlineStr">
        <is>
          <t>IA-ST-042-EUR-02</t>
        </is>
      </c>
      <c r="D60" s="25" t="inlineStr">
        <is>
          <t>L4, LB4 | Palet (4000038): 1 adet | Köşebent (4000590): 4 adet</t>
        </is>
      </c>
      <c r="E60" s="25" t="inlineStr">
        <is>
          <t>IA-ST-CFG-0085</t>
        </is>
      </c>
      <c r="F60" s="25" t="n">
        <v>30</v>
      </c>
      <c r="G60" s="25" t="n">
        <v>6</v>
      </c>
      <c r="H60" s="25" t="n">
        <v>27.926</v>
      </c>
      <c r="I60" s="25" t="inlineStr">
        <is>
          <t>REV00 CURRENT EVIDENCE BASIS — ARTICLE 5 ASSESSMENT BASIS</t>
        </is>
      </c>
      <c r="J60" s="25" t="inlineStr">
        <is>
          <t>PENDING - DRAWING</t>
        </is>
      </c>
      <c r="K60" s="25" t="inlineStr">
        <is>
          <t>PENDING - PHOTOGRAPHS</t>
        </is>
      </c>
      <c r="L60" s="25" t="inlineStr">
        <is>
          <t>Rev.00</t>
        </is>
      </c>
      <c r="M60" s="31">
        <f>HYPERLINK("01_STARTER/ST-042-EUR-02/01_Technical_File.docx","Open")</f>
        <v/>
      </c>
    </row>
    <row r="61">
      <c r="A61" s="25" t="inlineStr">
        <is>
          <t>IA-PPWR-TF-ST-042-EUR-03-R00</t>
        </is>
      </c>
      <c r="B61" s="25" t="inlineStr">
        <is>
          <t>ST-042-EUR-03</t>
        </is>
      </c>
      <c r="C61" s="25" t="inlineStr">
        <is>
          <t>IA-ST-042-EUR-03</t>
        </is>
      </c>
      <c r="D61" s="25" t="inlineStr">
        <is>
          <t>L4, LB4 | Palet (4000038): 1 adet | Shrink film (4000554): 1.428 kg</t>
        </is>
      </c>
      <c r="E61" s="25" t="inlineStr">
        <is>
          <t>IA-ST-CFG-0086</t>
        </is>
      </c>
      <c r="F61" s="25" t="n">
        <v>7</v>
      </c>
      <c r="G61" s="25" t="n">
        <v>7</v>
      </c>
      <c r="H61" s="25" t="n">
        <v>29.0672</v>
      </c>
      <c r="I61" s="25" t="inlineStr">
        <is>
          <t>REV00 CURRENT EVIDENCE BASIS — ARTICLE 5 ASSESSMENT BASIS</t>
        </is>
      </c>
      <c r="J61" s="25" t="inlineStr">
        <is>
          <t>PENDING - DRAWING</t>
        </is>
      </c>
      <c r="K61" s="25" t="inlineStr">
        <is>
          <t>PENDING - PHOTOGRAPHS</t>
        </is>
      </c>
      <c r="L61" s="25" t="inlineStr">
        <is>
          <t>Rev.00</t>
        </is>
      </c>
      <c r="M61" s="31">
        <f>HYPERLINK("01_STARTER/ST-042-EUR-03/01_Technical_File.docx","Open")</f>
        <v/>
      </c>
    </row>
    <row r="62">
      <c r="A62" s="25" t="inlineStr">
        <is>
          <t>IA-PPWR-TF-ST-042-EUR-04-R00</t>
        </is>
      </c>
      <c r="B62" s="25" t="inlineStr">
        <is>
          <t>ST-042-EUR-04</t>
        </is>
      </c>
      <c r="C62" s="25" t="inlineStr">
        <is>
          <t>IA-ST-042-EUR-04</t>
        </is>
      </c>
      <c r="D62" s="25" t="inlineStr">
        <is>
          <t>L4, LB4 | Palet (4000038): 1 adet | Shrink film (4000554): kullanılmaz | Köşebent (4000590): 2 adet</t>
        </is>
      </c>
      <c r="E62" s="25" t="inlineStr">
        <is>
          <t>IA-ST-CFG-0087</t>
        </is>
      </c>
      <c r="F62" s="25" t="n">
        <v>7</v>
      </c>
      <c r="G62" s="25" t="n">
        <v>6</v>
      </c>
      <c r="H62" s="25" t="n">
        <v>27.6392</v>
      </c>
      <c r="I62" s="25" t="inlineStr">
        <is>
          <t>REV00 CURRENT EVIDENCE BASIS — ARTICLE 5 ASSESSMENT BASIS</t>
        </is>
      </c>
      <c r="J62" s="25" t="inlineStr">
        <is>
          <t>PENDING - DRAWING</t>
        </is>
      </c>
      <c r="K62" s="25" t="inlineStr">
        <is>
          <t>PENDING - PHOTOGRAPHS</t>
        </is>
      </c>
      <c r="L62" s="25" t="inlineStr">
        <is>
          <t>Rev.00</t>
        </is>
      </c>
      <c r="M62" s="31">
        <f>HYPERLINK("01_STARTER/ST-042-EUR-04/01_Technical_File.docx","Open")</f>
        <v/>
      </c>
    </row>
    <row r="63">
      <c r="A63" s="25" t="inlineStr">
        <is>
          <t>IA-PPWR-TF-ST-042-STD-01-R00</t>
        </is>
      </c>
      <c r="B63" s="25" t="inlineStr">
        <is>
          <t>ST-042-STD-01</t>
        </is>
      </c>
      <c r="C63" s="25" t="inlineStr">
        <is>
          <t>IA-ST-042-STD-01</t>
        </is>
      </c>
      <c r="D63" s="25" t="inlineStr">
        <is>
          <t>D23 | D23 YUASA penceresiz Orta Doğu dış koli (4001106): 42 adet</t>
        </is>
      </c>
      <c r="E63" s="25" t="inlineStr">
        <is>
          <t>IA-ST-CFG-0075</t>
        </is>
      </c>
      <c r="F63" s="25" t="n">
        <v>1</v>
      </c>
      <c r="G63" s="25" t="n">
        <v>8</v>
      </c>
      <c r="H63" s="25" t="n">
        <v>41.02094</v>
      </c>
      <c r="I63" s="25" t="inlineStr">
        <is>
          <t>REV00 CURRENT EVIDENCE BASIS — ARTICLE 5 ASSESSMENT BASIS</t>
        </is>
      </c>
      <c r="J63" s="25" t="inlineStr">
        <is>
          <t>PENDING - DRAWING</t>
        </is>
      </c>
      <c r="K63" s="25" t="inlineStr">
        <is>
          <t>PENDING - PHOTOGRAPHS</t>
        </is>
      </c>
      <c r="L63" s="25" t="inlineStr">
        <is>
          <t>Rev.00</t>
        </is>
      </c>
      <c r="M63" s="31">
        <f>HYPERLINK("01_STARTER/ST-042-STD-01/01_Technical_File.docx","Open")</f>
        <v/>
      </c>
    </row>
    <row r="64">
      <c r="A64" s="25" t="inlineStr">
        <is>
          <t>IA-PPWR-TF-ST-042-STD-02-R00</t>
        </is>
      </c>
      <c r="B64" s="25" t="inlineStr">
        <is>
          <t>ST-042-STD-02</t>
        </is>
      </c>
      <c r="C64" s="25" t="inlineStr">
        <is>
          <t>IA-ST-042-STD-02</t>
        </is>
      </c>
      <c r="D64" s="25" t="inlineStr">
        <is>
          <t>L6 | L6 EAS AGM S&amp;S 105AH 940A pencereli dış koli (4001399): 42 adet</t>
        </is>
      </c>
      <c r="E64" s="25" t="inlineStr">
        <is>
          <t>IA-ST-CFG-0076</t>
        </is>
      </c>
      <c r="F64" s="25" t="n">
        <v>1</v>
      </c>
      <c r="G64" s="25" t="n">
        <v>7</v>
      </c>
      <c r="H64" s="25" t="n">
        <v>46.286</v>
      </c>
      <c r="I64" s="25" t="inlineStr">
        <is>
          <t>REV00 CURRENT EVIDENCE BASIS — ARTICLE 5 ASSESSMENT BASIS</t>
        </is>
      </c>
      <c r="J64" s="25" t="inlineStr">
        <is>
          <t>PENDING - DRAWING</t>
        </is>
      </c>
      <c r="K64" s="25" t="inlineStr">
        <is>
          <t>PENDING - PHOTOGRAPHS</t>
        </is>
      </c>
      <c r="L64" s="25" t="inlineStr">
        <is>
          <t>Rev.00</t>
        </is>
      </c>
      <c r="M64" s="31">
        <f>HYPERLINK("01_STARTER/ST-042-STD-02/01_Technical_File.docx","Open")</f>
        <v/>
      </c>
    </row>
    <row r="65">
      <c r="A65" s="25" t="inlineStr">
        <is>
          <t>IA-PPWR-TF-ST-042-STD-03-R00</t>
        </is>
      </c>
      <c r="B65" s="25" t="inlineStr">
        <is>
          <t>ST-042-STD-03</t>
        </is>
      </c>
      <c r="C65" s="25" t="inlineStr">
        <is>
          <t>IA-ST-042-STD-03</t>
        </is>
      </c>
      <c r="D65" s="25" t="inlineStr">
        <is>
          <t>L3 | Palet (4000037): 1 adet | Separatör (4000130): 3 adet</t>
        </is>
      </c>
      <c r="E65" s="25" t="inlineStr">
        <is>
          <t>IA-ST-CFG-0078</t>
        </is>
      </c>
      <c r="F65" s="25" t="n">
        <v>1</v>
      </c>
      <c r="G65" s="25" t="n">
        <v>7</v>
      </c>
      <c r="H65" s="25" t="n">
        <v>29.323</v>
      </c>
      <c r="I65" s="25" t="inlineStr">
        <is>
          <t>REV00 CURRENT EVIDENCE BASIS — ARTICLE 5 ASSESSMENT BASIS</t>
        </is>
      </c>
      <c r="J65" s="25" t="inlineStr">
        <is>
          <t>PENDING - DRAWING</t>
        </is>
      </c>
      <c r="K65" s="25" t="inlineStr">
        <is>
          <t>PENDING - PHOTOGRAPHS</t>
        </is>
      </c>
      <c r="L65" s="25" t="inlineStr">
        <is>
          <t>Rev.00</t>
        </is>
      </c>
      <c r="M65" s="31">
        <f>HYPERLINK("01_STARTER/ST-042-STD-03/01_Technical_File.docx","Open")</f>
        <v/>
      </c>
    </row>
    <row r="66">
      <c r="A66" s="25" t="inlineStr">
        <is>
          <t>IA-PPWR-TF-ST-042-STD-04-R00</t>
        </is>
      </c>
      <c r="B66" s="25" t="inlineStr">
        <is>
          <t>ST-042-STD-04</t>
        </is>
      </c>
      <c r="C66" s="25" t="inlineStr">
        <is>
          <t>IA-ST-042-STD-04</t>
        </is>
      </c>
      <c r="D66" s="25" t="inlineStr">
        <is>
          <t>L3 | Palet (4000037): 1 adet | Separatör (4000130): 4 adet</t>
        </is>
      </c>
      <c r="E66" s="25" t="inlineStr">
        <is>
          <t>IA-ST-CFG-0079</t>
        </is>
      </c>
      <c r="F66" s="25" t="n">
        <v>1</v>
      </c>
      <c r="G66" s="25" t="n">
        <v>7</v>
      </c>
      <c r="H66" s="25" t="n">
        <v>29.3062</v>
      </c>
      <c r="I66" s="25" t="inlineStr">
        <is>
          <t>REV00 CURRENT EVIDENCE BASIS — ARTICLE 5 ASSESSMENT BASIS</t>
        </is>
      </c>
      <c r="J66" s="25" t="inlineStr">
        <is>
          <t>PENDING - DRAWING</t>
        </is>
      </c>
      <c r="K66" s="25" t="inlineStr">
        <is>
          <t>PENDING - PHOTOGRAPHS</t>
        </is>
      </c>
      <c r="L66" s="25" t="inlineStr">
        <is>
          <t>Rev.00</t>
        </is>
      </c>
      <c r="M66" s="31">
        <f>HYPERLINK("01_STARTER/ST-042-STD-04/01_Technical_File.docx","Open")</f>
        <v/>
      </c>
    </row>
    <row r="67">
      <c r="A67" s="25" t="inlineStr">
        <is>
          <t>IA-PPWR-TF-ST-042-STD-05-R00</t>
        </is>
      </c>
      <c r="B67" s="25" t="inlineStr">
        <is>
          <t>ST-042-STD-05</t>
        </is>
      </c>
      <c r="C67" s="25" t="inlineStr">
        <is>
          <t>IA-ST-042-STD-05</t>
        </is>
      </c>
      <c r="D67" s="25" t="inlineStr">
        <is>
          <t>L6 | Palet (4000037): 1 adet | Çember (4000450): 7 m</t>
        </is>
      </c>
      <c r="E67" s="25" t="inlineStr">
        <is>
          <t>IA-ST-CFG-0080</t>
        </is>
      </c>
      <c r="F67" s="25" t="n">
        <v>11</v>
      </c>
      <c r="G67" s="25" t="n">
        <v>7</v>
      </c>
      <c r="H67" s="25" t="n">
        <v>29.5992</v>
      </c>
      <c r="I67" s="25" t="inlineStr">
        <is>
          <t>REV00 CURRENT EVIDENCE BASIS — ARTICLE 5 ASSESSMENT BASIS</t>
        </is>
      </c>
      <c r="J67" s="25" t="inlineStr">
        <is>
          <t>PENDING - DRAWING</t>
        </is>
      </c>
      <c r="K67" s="25" t="inlineStr">
        <is>
          <t>PENDING - PHOTOGRAPHS</t>
        </is>
      </c>
      <c r="L67" s="25" t="inlineStr">
        <is>
          <t>Rev.00</t>
        </is>
      </c>
      <c r="M67" s="31">
        <f>HYPERLINK("01_STARTER/ST-042-STD-05/01_Technical_File.docx","Open")</f>
        <v/>
      </c>
    </row>
    <row r="68">
      <c r="A68" s="25" t="inlineStr">
        <is>
          <t>IA-PPWR-TF-ST-042-STD-06-R00</t>
        </is>
      </c>
      <c r="B68" s="25" t="inlineStr">
        <is>
          <t>ST-042-STD-06</t>
        </is>
      </c>
      <c r="C68" s="25" t="inlineStr">
        <is>
          <t>IA-ST-042-STD-06</t>
        </is>
      </c>
      <c r="D68" s="25" t="inlineStr">
        <is>
          <t>L6 | Palet (4000037): 1 adet | Çember (4000450): kullanılmaz</t>
        </is>
      </c>
      <c r="E68" s="25" t="inlineStr">
        <is>
          <t>IA-ST-CFG-0081</t>
        </is>
      </c>
      <c r="F68" s="25" t="n">
        <v>6</v>
      </c>
      <c r="G68" s="25" t="n">
        <v>5</v>
      </c>
      <c r="H68" s="25" t="n">
        <v>29.3124</v>
      </c>
      <c r="I68" s="25" t="inlineStr">
        <is>
          <t>REV00 CURRENT EVIDENCE BASIS — ARTICLE 5 ASSESSMENT BASIS</t>
        </is>
      </c>
      <c r="J68" s="25" t="inlineStr">
        <is>
          <t>PENDING - DRAWING</t>
        </is>
      </c>
      <c r="K68" s="25" t="inlineStr">
        <is>
          <t>PENDING - PHOTOGRAPHS</t>
        </is>
      </c>
      <c r="L68" s="25" t="inlineStr">
        <is>
          <t>Rev.00</t>
        </is>
      </c>
      <c r="M68" s="31">
        <f>HYPERLINK("01_STARTER/ST-042-STD-06/01_Technical_File.docx","Open")</f>
        <v/>
      </c>
    </row>
    <row r="69">
      <c r="A69" s="25" t="inlineStr">
        <is>
          <t>IA-PPWR-TF-ST-042-STD-07-R00</t>
        </is>
      </c>
      <c r="B69" s="25" t="inlineStr">
        <is>
          <t>ST-042-STD-07</t>
        </is>
      </c>
      <c r="C69" s="25" t="inlineStr">
        <is>
          <t>IA-ST-042-STD-07</t>
        </is>
      </c>
      <c r="D69" s="25" t="inlineStr">
        <is>
          <t>L6 | Palet (4000037): 1 adet | Köşebent (4000590): 2 adet | Shrink film (4001177): 0.597 kg</t>
        </is>
      </c>
      <c r="E69" s="25" t="inlineStr">
        <is>
          <t>IA-ST-CFG-0082</t>
        </is>
      </c>
      <c r="F69" s="25" t="n">
        <v>1</v>
      </c>
      <c r="G69" s="25" t="n">
        <v>6</v>
      </c>
      <c r="H69" s="25" t="n">
        <v>28.417</v>
      </c>
      <c r="I69" s="25" t="inlineStr">
        <is>
          <t>REV00 CURRENT EVIDENCE BASIS — ARTICLE 5 ASSESSMENT BASIS</t>
        </is>
      </c>
      <c r="J69" s="25" t="inlineStr">
        <is>
          <t>PENDING - DRAWING</t>
        </is>
      </c>
      <c r="K69" s="25" t="inlineStr">
        <is>
          <t>PENDING - PHOTOGRAPHS</t>
        </is>
      </c>
      <c r="L69" s="25" t="inlineStr">
        <is>
          <t>Rev.00</t>
        </is>
      </c>
      <c r="M69" s="31">
        <f>HYPERLINK("01_STARTER/ST-042-STD-07/01_Technical_File.docx","Open")</f>
        <v/>
      </c>
    </row>
    <row r="70">
      <c r="A70" s="25" t="inlineStr">
        <is>
          <t>IA-PPWR-TF-ST-042-STD-08-R00</t>
        </is>
      </c>
      <c r="B70" s="25" t="inlineStr">
        <is>
          <t>ST-042-STD-08</t>
        </is>
      </c>
      <c r="C70" s="25" t="inlineStr">
        <is>
          <t>IA-ST-042-STD-08</t>
        </is>
      </c>
      <c r="D70" s="25" t="inlineStr">
        <is>
          <t>L6 | Palet (4000037): 1 adet | Köşebent (4000590): 4 adet</t>
        </is>
      </c>
      <c r="E70" s="25" t="inlineStr">
        <is>
          <t>IA-ST-CFG-0083</t>
        </is>
      </c>
      <c r="F70" s="25" t="n">
        <v>1</v>
      </c>
      <c r="G70" s="25" t="n">
        <v>6</v>
      </c>
      <c r="H70" s="25" t="n">
        <v>28.617</v>
      </c>
      <c r="I70" s="25" t="inlineStr">
        <is>
          <t>REV00 CURRENT EVIDENCE BASIS — ARTICLE 5 ASSESSMENT BASIS</t>
        </is>
      </c>
      <c r="J70" s="25" t="inlineStr">
        <is>
          <t>PENDING - DRAWING</t>
        </is>
      </c>
      <c r="K70" s="25" t="inlineStr">
        <is>
          <t>PENDING - PHOTOGRAPHS</t>
        </is>
      </c>
      <c r="L70" s="25" t="inlineStr">
        <is>
          <t>Rev.00</t>
        </is>
      </c>
      <c r="M70" s="31">
        <f>HYPERLINK("01_STARTER/ST-042-STD-08/01_Technical_File.docx","Open")</f>
        <v/>
      </c>
    </row>
    <row r="71">
      <c r="A71" s="25" t="inlineStr">
        <is>
          <t>IA-PPWR-TF-ST-044-STD-01-R00</t>
        </is>
      </c>
      <c r="B71" s="25" t="inlineStr">
        <is>
          <t>ST-044-STD-01</t>
        </is>
      </c>
      <c r="C71" s="25" t="inlineStr">
        <is>
          <t>IA-ST-044-STD-01</t>
        </is>
      </c>
      <c r="D71" s="25" t="inlineStr">
        <is>
          <t>L2 | L2 YUASA penceresiz Orta Doğu dış koli (4001102): 44 adet</t>
        </is>
      </c>
      <c r="E71" s="25" t="inlineStr">
        <is>
          <t>IA-ST-CFG-0088</t>
        </is>
      </c>
      <c r="F71" s="25" t="n">
        <v>1</v>
      </c>
      <c r="G71" s="25" t="n">
        <v>7</v>
      </c>
      <c r="H71" s="25" t="n">
        <v>39.356</v>
      </c>
      <c r="I71" s="25" t="inlineStr">
        <is>
          <t>REV00 CURRENT EVIDENCE BASIS — ARTICLE 5 ASSESSMENT BASIS</t>
        </is>
      </c>
      <c r="J71" s="25" t="inlineStr">
        <is>
          <t>PENDING - DRAWING</t>
        </is>
      </c>
      <c r="K71" s="25" t="inlineStr">
        <is>
          <t>PENDING - PHOTOGRAPHS</t>
        </is>
      </c>
      <c r="L71" s="25" t="inlineStr">
        <is>
          <t>Rev.00</t>
        </is>
      </c>
      <c r="M71" s="31">
        <f>HYPERLINK("01_STARTER/ST-044-STD-01/01_Technical_File.docx","Open")</f>
        <v/>
      </c>
    </row>
    <row r="72">
      <c r="A72" s="25" t="inlineStr">
        <is>
          <t>IA-PPWR-TF-ST-045-EUR-01-R00</t>
        </is>
      </c>
      <c r="B72" s="25" t="inlineStr">
        <is>
          <t>ST-045-EUR-01</t>
        </is>
      </c>
      <c r="C72" s="25" t="inlineStr">
        <is>
          <t>IA-ST-045-EUR-01</t>
        </is>
      </c>
      <c r="D72" s="25" t="inlineStr">
        <is>
          <t>L3 | Palet (4000038): 1 adet | Köşebent (4000590): 4 adet</t>
        </is>
      </c>
      <c r="E72" s="25" t="inlineStr">
        <is>
          <t>IA-ST-CFG-0103</t>
        </is>
      </c>
      <c r="F72" s="25" t="n">
        <v>6</v>
      </c>
      <c r="G72" s="25" t="n">
        <v>6</v>
      </c>
      <c r="H72" s="25" t="n">
        <v>27.926</v>
      </c>
      <c r="I72" s="25" t="inlineStr">
        <is>
          <t>REV00 CURRENT EVIDENCE BASIS — ARTICLE 5 ASSESSMENT BASIS</t>
        </is>
      </c>
      <c r="J72" s="25" t="inlineStr">
        <is>
          <t>PENDING - DRAWING</t>
        </is>
      </c>
      <c r="K72" s="25" t="inlineStr">
        <is>
          <t>PENDING - PHOTOGRAPHS</t>
        </is>
      </c>
      <c r="L72" s="25" t="inlineStr">
        <is>
          <t>Rev.00</t>
        </is>
      </c>
      <c r="M72" s="31">
        <f>HYPERLINK("01_STARTER/ST-045-EUR-01/01_Technical_File.docx","Open")</f>
        <v/>
      </c>
    </row>
    <row r="73">
      <c r="A73" s="25" t="inlineStr">
        <is>
          <t>IA-PPWR-TF-ST-045-STD-01-R00</t>
        </is>
      </c>
      <c r="B73" s="25" t="inlineStr">
        <is>
          <t>ST-045-STD-01</t>
        </is>
      </c>
      <c r="C73" s="25" t="inlineStr">
        <is>
          <t>IA-ST-045-STD-01</t>
        </is>
      </c>
      <c r="D73" s="25" t="inlineStr">
        <is>
          <t>L5 | L5 YUASA penceresiz Orta Doğu dış koli (4001105): 45 adet</t>
        </is>
      </c>
      <c r="E73" s="25" t="inlineStr">
        <is>
          <t>IA-ST-CFG-0089</t>
        </is>
      </c>
      <c r="F73" s="25" t="n">
        <v>1</v>
      </c>
      <c r="G73" s="25" t="n">
        <v>7</v>
      </c>
      <c r="H73" s="25" t="n">
        <v>43.916</v>
      </c>
      <c r="I73" s="25" t="inlineStr">
        <is>
          <t>REV00 CURRENT EVIDENCE BASIS — ARTICLE 5 ASSESSMENT BASIS</t>
        </is>
      </c>
      <c r="J73" s="25" t="inlineStr">
        <is>
          <t>PENDING - DRAWING</t>
        </is>
      </c>
      <c r="K73" s="25" t="inlineStr">
        <is>
          <t>PENDING - PHOTOGRAPHS</t>
        </is>
      </c>
      <c r="L73" s="25" t="inlineStr">
        <is>
          <t>Rev.00</t>
        </is>
      </c>
      <c r="M73" s="31">
        <f>HYPERLINK("01_STARTER/ST-045-STD-01/01_Technical_File.docx","Open")</f>
        <v/>
      </c>
    </row>
    <row r="74">
      <c r="A74" s="25" t="inlineStr">
        <is>
          <t>IA-PPWR-TF-ST-045-STD-02-R00</t>
        </is>
      </c>
      <c r="B74" s="25" t="inlineStr">
        <is>
          <t>ST-045-STD-02</t>
        </is>
      </c>
      <c r="C74" s="25" t="inlineStr">
        <is>
          <t>IA-ST-045-STD-02</t>
        </is>
      </c>
      <c r="D74" s="25" t="inlineStr">
        <is>
          <t>L5 | L5 İnci AGM LEO 95AH 870A pencereli dış koli (4001194): 45 adet</t>
        </is>
      </c>
      <c r="E74" s="25" t="inlineStr">
        <is>
          <t>IA-ST-CFG-0090</t>
        </is>
      </c>
      <c r="F74" s="25" t="n">
        <v>1</v>
      </c>
      <c r="G74" s="25" t="n">
        <v>7</v>
      </c>
      <c r="H74" s="25" t="n">
        <v>44.336</v>
      </c>
      <c r="I74" s="25" t="inlineStr">
        <is>
          <t>REV00 CURRENT EVIDENCE BASIS — ARTICLE 5 ASSESSMENT BASIS</t>
        </is>
      </c>
      <c r="J74" s="25" t="inlineStr">
        <is>
          <t>PENDING - DRAWING</t>
        </is>
      </c>
      <c r="K74" s="25" t="inlineStr">
        <is>
          <t>PENDING - PHOTOGRAPHS</t>
        </is>
      </c>
      <c r="L74" s="25" t="inlineStr">
        <is>
          <t>Rev.00</t>
        </is>
      </c>
      <c r="M74" s="31">
        <f>HYPERLINK("01_STARTER/ST-045-STD-02/01_Technical_File.docx","Open")</f>
        <v/>
      </c>
    </row>
    <row r="75">
      <c r="A75" s="25" t="inlineStr">
        <is>
          <t>IA-PPWR-TF-ST-045-STD-03-R00</t>
        </is>
      </c>
      <c r="B75" s="25" t="inlineStr">
        <is>
          <t>ST-045-STD-03</t>
        </is>
      </c>
      <c r="C75" s="25" t="inlineStr">
        <is>
          <t>IA-ST-045-STD-03</t>
        </is>
      </c>
      <c r="D75" s="25" t="inlineStr">
        <is>
          <t>L5 | L5 EAS AGM S&amp;S 95AH 870A pencereli dış koli (4001398): 45 adet</t>
        </is>
      </c>
      <c r="E75" s="25" t="inlineStr">
        <is>
          <t>IA-ST-CFG-0091</t>
        </is>
      </c>
      <c r="F75" s="25" t="n">
        <v>1</v>
      </c>
      <c r="G75" s="25" t="n">
        <v>7</v>
      </c>
      <c r="H75" s="25" t="n">
        <v>44.336</v>
      </c>
      <c r="I75" s="25" t="inlineStr">
        <is>
          <t>REV00 CURRENT EVIDENCE BASIS — ARTICLE 5 ASSESSMENT BASIS</t>
        </is>
      </c>
      <c r="J75" s="25" t="inlineStr">
        <is>
          <t>PENDING - DRAWING</t>
        </is>
      </c>
      <c r="K75" s="25" t="inlineStr">
        <is>
          <t>PENDING - PHOTOGRAPHS</t>
        </is>
      </c>
      <c r="L75" s="25" t="inlineStr">
        <is>
          <t>Rev.00</t>
        </is>
      </c>
      <c r="M75" s="31">
        <f>HYPERLINK("01_STARTER/ST-045-STD-03/01_Technical_File.docx","Open")</f>
        <v/>
      </c>
    </row>
    <row r="76">
      <c r="A76" s="25" t="inlineStr">
        <is>
          <t>IA-PPWR-TF-ST-045-STD-04-R00</t>
        </is>
      </c>
      <c r="B76" s="25" t="inlineStr">
        <is>
          <t>ST-045-STD-04</t>
        </is>
      </c>
      <c r="C76" s="25" t="inlineStr">
        <is>
          <t>IA-ST-045-STD-04</t>
        </is>
      </c>
      <c r="D76" s="25" t="inlineStr">
        <is>
          <t>L5 | Palet (4000037): 1 adet | Separatör (4000130): 4 adet | Streç ped (4000301): 0.186 kg | Köşebent (4000590): 4 adet</t>
        </is>
      </c>
      <c r="E76" s="25" t="inlineStr">
        <is>
          <t>IA-ST-CFG-0092</t>
        </is>
      </c>
      <c r="F76" s="25" t="n">
        <v>1</v>
      </c>
      <c r="G76" s="25" t="n">
        <v>6</v>
      </c>
      <c r="H76" s="25" t="n">
        <v>28.206</v>
      </c>
      <c r="I76" s="25" t="inlineStr">
        <is>
          <t>REV00 CURRENT EVIDENCE BASIS — ARTICLE 5 ASSESSMENT BASIS</t>
        </is>
      </c>
      <c r="J76" s="25" t="inlineStr">
        <is>
          <t>PENDING - DRAWING</t>
        </is>
      </c>
      <c r="K76" s="25" t="inlineStr">
        <is>
          <t>PENDING - PHOTOGRAPHS</t>
        </is>
      </c>
      <c r="L76" s="25" t="inlineStr">
        <is>
          <t>Rev.00</t>
        </is>
      </c>
      <c r="M76" s="31">
        <f>HYPERLINK("01_STARTER/ST-045-STD-04/01_Technical_File.docx","Open")</f>
        <v/>
      </c>
    </row>
    <row r="77">
      <c r="A77" s="25" t="inlineStr">
        <is>
          <t>IA-PPWR-TF-ST-045-STD-05-R00</t>
        </is>
      </c>
      <c r="B77" s="25" t="inlineStr">
        <is>
          <t>ST-045-STD-05</t>
        </is>
      </c>
      <c r="C77" s="25" t="inlineStr">
        <is>
          <t>IA-ST-045-STD-05</t>
        </is>
      </c>
      <c r="D77" s="25" t="inlineStr">
        <is>
          <t>TRACTORL, TRACTOR | TRAKTÖR PVC üst kapak (4000494): 45 adet | Köşebent (4000590): 2 adet</t>
        </is>
      </c>
      <c r="E77" s="25" t="inlineStr">
        <is>
          <t>IA-ST-CFG-0093</t>
        </is>
      </c>
      <c r="F77" s="25" t="n">
        <v>18</v>
      </c>
      <c r="G77" s="25" t="n">
        <v>8</v>
      </c>
      <c r="H77" s="25" t="n">
        <v>33.3498</v>
      </c>
      <c r="I77" s="25" t="inlineStr">
        <is>
          <t>REV00 CURRENT EVIDENCE BASIS — ARTICLE 5 ASSESSMENT BASIS</t>
        </is>
      </c>
      <c r="J77" s="25" t="inlineStr">
        <is>
          <t>PENDING - DRAWING</t>
        </is>
      </c>
      <c r="K77" s="25" t="inlineStr">
        <is>
          <t>PENDING - PHOTOGRAPHS</t>
        </is>
      </c>
      <c r="L77" s="25" t="inlineStr">
        <is>
          <t>Rev.00</t>
        </is>
      </c>
      <c r="M77" s="31">
        <f>HYPERLINK("01_STARTER/ST-045-STD-05/01_Technical_File.docx","Open")</f>
        <v/>
      </c>
    </row>
    <row r="78">
      <c r="A78" s="25" t="inlineStr">
        <is>
          <t>IA-PPWR-TF-ST-045-STD-06-R00</t>
        </is>
      </c>
      <c r="B78" s="25" t="inlineStr">
        <is>
          <t>ST-045-STD-06</t>
        </is>
      </c>
      <c r="C78" s="25" t="inlineStr">
        <is>
          <t>IA-ST-045-STD-06</t>
        </is>
      </c>
      <c r="D78" s="25" t="inlineStr">
        <is>
          <t>L5 | Palet (4000037): 1 adet | Çember (4000450): 7 m | Shrink film (4000608): kullanılmaz</t>
        </is>
      </c>
      <c r="E78" s="25" t="inlineStr">
        <is>
          <t>IA-ST-CFG-0094</t>
        </is>
      </c>
      <c r="F78" s="25" t="n">
        <v>1</v>
      </c>
      <c r="G78" s="25" t="n">
        <v>6</v>
      </c>
      <c r="H78" s="25" t="n">
        <v>27.9192</v>
      </c>
      <c r="I78" s="25" t="inlineStr">
        <is>
          <t>REV00 CURRENT EVIDENCE BASIS — ARTICLE 5 ASSESSMENT BASIS</t>
        </is>
      </c>
      <c r="J78" s="25" t="inlineStr">
        <is>
          <t>PENDING - DRAWING</t>
        </is>
      </c>
      <c r="K78" s="25" t="inlineStr">
        <is>
          <t>PENDING - PHOTOGRAPHS</t>
        </is>
      </c>
      <c r="L78" s="25" t="inlineStr">
        <is>
          <t>Rev.00</t>
        </is>
      </c>
      <c r="M78" s="31">
        <f>HYPERLINK("01_STARTER/ST-045-STD-06/01_Technical_File.docx","Open")</f>
        <v/>
      </c>
    </row>
    <row r="79">
      <c r="A79" s="25" t="inlineStr">
        <is>
          <t>IA-PPWR-TF-ST-045-STD-07-R00</t>
        </is>
      </c>
      <c r="B79" s="25" t="inlineStr">
        <is>
          <t>ST-045-STD-07</t>
        </is>
      </c>
      <c r="C79" s="25" t="inlineStr">
        <is>
          <t>IA-ST-045-STD-07</t>
        </is>
      </c>
      <c r="D79" s="25" t="inlineStr">
        <is>
          <t>LB5 | Palet (4000037): 1 adet | Shrink film (4000608): 1.53 kg</t>
        </is>
      </c>
      <c r="E79" s="25" t="inlineStr">
        <is>
          <t>IA-ST-CFG-0095</t>
        </is>
      </c>
      <c r="F79" s="25" t="n">
        <v>1</v>
      </c>
      <c r="G79" s="25" t="n">
        <v>7</v>
      </c>
      <c r="H79" s="25" t="n">
        <v>29.4492</v>
      </c>
      <c r="I79" s="25" t="inlineStr">
        <is>
          <t>REV00 CURRENT EVIDENCE BASIS — ARTICLE 5 ASSESSMENT BASIS</t>
        </is>
      </c>
      <c r="J79" s="25" t="inlineStr">
        <is>
          <t>PENDING - DRAWING</t>
        </is>
      </c>
      <c r="K79" s="25" t="inlineStr">
        <is>
          <t>PENDING - PHOTOGRAPHS</t>
        </is>
      </c>
      <c r="L79" s="25" t="inlineStr">
        <is>
          <t>Rev.00</t>
        </is>
      </c>
      <c r="M79" s="31">
        <f>HYPERLINK("01_STARTER/ST-045-STD-07/01_Technical_File.docx","Open")</f>
        <v/>
      </c>
    </row>
    <row r="80">
      <c r="A80" s="25" t="inlineStr">
        <is>
          <t>IA-PPWR-TF-ST-045-STD-08-R00</t>
        </is>
      </c>
      <c r="B80" s="25" t="inlineStr">
        <is>
          <t>ST-045-STD-08</t>
        </is>
      </c>
      <c r="C80" s="25" t="inlineStr">
        <is>
          <t>IA-ST-045-STD-08</t>
        </is>
      </c>
      <c r="D80" s="25" t="inlineStr">
        <is>
          <t>L5 | Palet (4000037): 1 adet | Köşebent (4000590): 2 adet | Shrink film (4000608): 1.8 kg</t>
        </is>
      </c>
      <c r="E80" s="25" t="inlineStr">
        <is>
          <t>IA-ST-CFG-0096</t>
        </is>
      </c>
      <c r="F80" s="25" t="n">
        <v>77</v>
      </c>
      <c r="G80" s="25" t="n">
        <v>7</v>
      </c>
      <c r="H80" s="25" t="n">
        <v>29.7192</v>
      </c>
      <c r="I80" s="25" t="inlineStr">
        <is>
          <t>REV00 CURRENT EVIDENCE BASIS — ARTICLE 5 ASSESSMENT BASIS</t>
        </is>
      </c>
      <c r="J80" s="25" t="inlineStr">
        <is>
          <t>PENDING - DRAWING</t>
        </is>
      </c>
      <c r="K80" s="25" t="inlineStr">
        <is>
          <t>PENDING - PHOTOGRAPHS</t>
        </is>
      </c>
      <c r="L80" s="25" t="inlineStr">
        <is>
          <t>Rev.00</t>
        </is>
      </c>
      <c r="M80" s="31">
        <f>HYPERLINK("01_STARTER/ST-045-STD-08/01_Technical_File.docx","Open")</f>
        <v/>
      </c>
    </row>
    <row r="81">
      <c r="A81" s="25" t="inlineStr">
        <is>
          <t>IA-PPWR-TF-ST-045-STD-09-R00</t>
        </is>
      </c>
      <c r="B81" s="25" t="inlineStr">
        <is>
          <t>ST-045-STD-09</t>
        </is>
      </c>
      <c r="C81" s="25" t="inlineStr">
        <is>
          <t>IA-ST-045-STD-09</t>
        </is>
      </c>
      <c r="D81" s="25" t="inlineStr">
        <is>
          <t>TRACTORL, TRACTOR | TRAKTÖR PVC üst kapak (4000494): 45 adet | Köşebent (4000590): kullanılmaz</t>
        </is>
      </c>
      <c r="E81" s="25" t="inlineStr">
        <is>
          <t>IA-ST-CFG-0097</t>
        </is>
      </c>
      <c r="F81" s="25" t="n">
        <v>14</v>
      </c>
      <c r="G81" s="25" t="n">
        <v>6</v>
      </c>
      <c r="H81" s="25" t="n">
        <v>33.063</v>
      </c>
      <c r="I81" s="25" t="inlineStr">
        <is>
          <t>REV00 CURRENT EVIDENCE BASIS — ARTICLE 5 ASSESSMENT BASIS</t>
        </is>
      </c>
      <c r="J81" s="25" t="inlineStr">
        <is>
          <t>PENDING - DRAWING</t>
        </is>
      </c>
      <c r="K81" s="25" t="inlineStr">
        <is>
          <t>PENDING - PHOTOGRAPHS</t>
        </is>
      </c>
      <c r="L81" s="25" t="inlineStr">
        <is>
          <t>Rev.00</t>
        </is>
      </c>
      <c r="M81" s="31">
        <f>HYPERLINK("01_STARTER/ST-045-STD-09/01_Technical_File.docx","Open")</f>
        <v/>
      </c>
    </row>
    <row r="82">
      <c r="A82" s="25" t="inlineStr">
        <is>
          <t>IA-PPWR-TF-ST-045-STD-10-R00</t>
        </is>
      </c>
      <c r="B82" s="25" t="inlineStr">
        <is>
          <t>ST-045-STD-10</t>
        </is>
      </c>
      <c r="C82" s="25" t="inlineStr">
        <is>
          <t>IA-ST-045-STD-10</t>
        </is>
      </c>
      <c r="D82" s="25" t="inlineStr">
        <is>
          <t>L5 | Palet (4000037): 1 adet | Çember (4000450): kullanılmaz</t>
        </is>
      </c>
      <c r="E82" s="25" t="inlineStr">
        <is>
          <t>IA-ST-CFG-0098</t>
        </is>
      </c>
      <c r="F82" s="25" t="n">
        <v>18</v>
      </c>
      <c r="G82" s="25" t="n">
        <v>5</v>
      </c>
      <c r="H82" s="25" t="n">
        <v>29.4324</v>
      </c>
      <c r="I82" s="25" t="inlineStr">
        <is>
          <t>REV00 CURRENT EVIDENCE BASIS — ARTICLE 5 ASSESSMENT BASIS</t>
        </is>
      </c>
      <c r="J82" s="25" t="inlineStr">
        <is>
          <t>PENDING - DRAWING</t>
        </is>
      </c>
      <c r="K82" s="25" t="inlineStr">
        <is>
          <t>PENDING - PHOTOGRAPHS</t>
        </is>
      </c>
      <c r="L82" s="25" t="inlineStr">
        <is>
          <t>Rev.00</t>
        </is>
      </c>
      <c r="M82" s="31">
        <f>HYPERLINK("01_STARTER/ST-045-STD-10/01_Technical_File.docx","Open")</f>
        <v/>
      </c>
    </row>
    <row r="83">
      <c r="A83" s="25" t="inlineStr">
        <is>
          <t>IA-PPWR-TF-ST-045-STD-11-R00</t>
        </is>
      </c>
      <c r="B83" s="25" t="inlineStr">
        <is>
          <t>ST-045-STD-11</t>
        </is>
      </c>
      <c r="C83" s="25" t="inlineStr">
        <is>
          <t>IA-ST-045-STD-11</t>
        </is>
      </c>
      <c r="D83" s="25" t="inlineStr">
        <is>
          <t>TRACTOR | Palet (4000037): 1 adet | Shrink film (4001177): 0.597 kg</t>
        </is>
      </c>
      <c r="E83" s="25" t="inlineStr">
        <is>
          <t>IA-ST-CFG-0099</t>
        </is>
      </c>
      <c r="F83" s="25" t="n">
        <v>2</v>
      </c>
      <c r="G83" s="25" t="n">
        <v>7</v>
      </c>
      <c r="H83" s="25" t="n">
        <v>28.649</v>
      </c>
      <c r="I83" s="25" t="inlineStr">
        <is>
          <t>REV00 CURRENT EVIDENCE BASIS — ARTICLE 5 ASSESSMENT BASIS</t>
        </is>
      </c>
      <c r="J83" s="25" t="inlineStr">
        <is>
          <t>PENDING - DRAWING</t>
        </is>
      </c>
      <c r="K83" s="25" t="inlineStr">
        <is>
          <t>PENDING - PHOTOGRAPHS</t>
        </is>
      </c>
      <c r="L83" s="25" t="inlineStr">
        <is>
          <t>Rev.00</t>
        </is>
      </c>
      <c r="M83" s="31">
        <f>HYPERLINK("01_STARTER/ST-045-STD-11/01_Technical_File.docx","Open")</f>
        <v/>
      </c>
    </row>
    <row r="84">
      <c r="A84" s="25" t="inlineStr">
        <is>
          <t>IA-PPWR-TF-ST-045-STD-12-R00</t>
        </is>
      </c>
      <c r="B84" s="25" t="inlineStr">
        <is>
          <t>ST-045-STD-12</t>
        </is>
      </c>
      <c r="C84" s="25" t="inlineStr">
        <is>
          <t>IA-ST-045-STD-12</t>
        </is>
      </c>
      <c r="D84" s="25" t="inlineStr">
        <is>
          <t>L5 | Palet (4000037): 1 adet | Köşebent (4000590): 2 adet | Shrink film (4001177): 0.597 kg</t>
        </is>
      </c>
      <c r="E84" s="25" t="inlineStr">
        <is>
          <t>IA-ST-CFG-0100</t>
        </is>
      </c>
      <c r="F84" s="25" t="n">
        <v>1</v>
      </c>
      <c r="G84" s="25" t="n">
        <v>6</v>
      </c>
      <c r="H84" s="25" t="n">
        <v>28.417</v>
      </c>
      <c r="I84" s="25" t="inlineStr">
        <is>
          <t>REV00 CURRENT EVIDENCE BASIS — ARTICLE 5 ASSESSMENT BASIS</t>
        </is>
      </c>
      <c r="J84" s="25" t="inlineStr">
        <is>
          <t>PENDING - DRAWING</t>
        </is>
      </c>
      <c r="K84" s="25" t="inlineStr">
        <is>
          <t>PENDING - PHOTOGRAPHS</t>
        </is>
      </c>
      <c r="L84" s="25" t="inlineStr">
        <is>
          <t>Rev.00</t>
        </is>
      </c>
      <c r="M84" s="31">
        <f>HYPERLINK("01_STARTER/ST-045-STD-12/01_Technical_File.docx","Open")</f>
        <v/>
      </c>
    </row>
    <row r="85">
      <c r="A85" s="25" t="inlineStr">
        <is>
          <t>IA-PPWR-TF-ST-045-STD-13-R00</t>
        </is>
      </c>
      <c r="B85" s="25" t="inlineStr">
        <is>
          <t>ST-045-STD-13</t>
        </is>
      </c>
      <c r="C85" s="25" t="inlineStr">
        <is>
          <t>IA-ST-045-STD-13</t>
        </is>
      </c>
      <c r="D85" s="25" t="inlineStr">
        <is>
          <t>L5 | Palet (4000037): 1 adet | Köşebent (4000590): 4 adet | Shrink film (4001177): 0.597 kg</t>
        </is>
      </c>
      <c r="E85" s="25" t="inlineStr">
        <is>
          <t>IA-ST-CFG-0101</t>
        </is>
      </c>
      <c r="F85" s="25" t="n">
        <v>2</v>
      </c>
      <c r="G85" s="25" t="n">
        <v>6</v>
      </c>
      <c r="H85" s="25" t="n">
        <v>28.617</v>
      </c>
      <c r="I85" s="25" t="inlineStr">
        <is>
          <t>REV00 CURRENT EVIDENCE BASIS — ARTICLE 5 ASSESSMENT BASIS</t>
        </is>
      </c>
      <c r="J85" s="25" t="inlineStr">
        <is>
          <t>PENDING - DRAWING</t>
        </is>
      </c>
      <c r="K85" s="25" t="inlineStr">
        <is>
          <t>PENDING - PHOTOGRAPHS</t>
        </is>
      </c>
      <c r="L85" s="25" t="inlineStr">
        <is>
          <t>Rev.00</t>
        </is>
      </c>
      <c r="M85" s="31">
        <f>HYPERLINK("01_STARTER/ST-045-STD-13/01_Technical_File.docx","Open")</f>
        <v/>
      </c>
    </row>
    <row r="86">
      <c r="A86" s="25" t="inlineStr">
        <is>
          <t>IA-PPWR-TF-ST-045-STD-14-R00</t>
        </is>
      </c>
      <c r="B86" s="25" t="inlineStr">
        <is>
          <t>ST-045-STD-14</t>
        </is>
      </c>
      <c r="C86" s="25" t="inlineStr">
        <is>
          <t>IA-ST-045-STD-14</t>
        </is>
      </c>
      <c r="D86" s="25" t="inlineStr">
        <is>
          <t>L5 | Palet (4000037): 1 adet | Separatör (4000130): 5 adet</t>
        </is>
      </c>
      <c r="E86" s="25" t="inlineStr">
        <is>
          <t>IA-ST-CFG-0102</t>
        </is>
      </c>
      <c r="F86" s="25" t="n">
        <v>1</v>
      </c>
      <c r="G86" s="25" t="n">
        <v>6</v>
      </c>
      <c r="H86" s="25" t="n">
        <v>28.476</v>
      </c>
      <c r="I86" s="25" t="inlineStr">
        <is>
          <t>REV00 CURRENT EVIDENCE BASIS — ARTICLE 5 ASSESSMENT BASIS</t>
        </is>
      </c>
      <c r="J86" s="25" t="inlineStr">
        <is>
          <t>PENDING - DRAWING</t>
        </is>
      </c>
      <c r="K86" s="25" t="inlineStr">
        <is>
          <t>PENDING - PHOTOGRAPHS</t>
        </is>
      </c>
      <c r="L86" s="25" t="inlineStr">
        <is>
          <t>Rev.00</t>
        </is>
      </c>
      <c r="M86" s="31">
        <f>HYPERLINK("01_STARTER/ST-045-STD-14/01_Technical_File.docx","Open")</f>
        <v/>
      </c>
    </row>
    <row r="87">
      <c r="A87" s="25" t="inlineStr">
        <is>
          <t>IA-PPWR-TF-ST-048-EUR-01-R00</t>
        </is>
      </c>
      <c r="B87" s="25" t="inlineStr">
        <is>
          <t>ST-048-EUR-01</t>
        </is>
      </c>
      <c r="C87" s="25" t="inlineStr">
        <is>
          <t>IA-ST-048-EUR-01</t>
        </is>
      </c>
      <c r="D87" s="25" t="inlineStr">
        <is>
          <t>L5 | L5 İnci AGM LEO 95AH 870A pencereli dış koli (4001194): 48 adet</t>
        </is>
      </c>
      <c r="E87" s="25" t="inlineStr">
        <is>
          <t>IA-ST-CFG-0105</t>
        </is>
      </c>
      <c r="F87" s="25" t="n">
        <v>1</v>
      </c>
      <c r="G87" s="25" t="n">
        <v>6</v>
      </c>
      <c r="H87" s="25" t="n">
        <v>44.6524</v>
      </c>
      <c r="I87" s="25" t="inlineStr">
        <is>
          <t>REV00 CURRENT EVIDENCE BASIS — ARTICLE 5 ASSESSMENT BASIS</t>
        </is>
      </c>
      <c r="J87" s="25" t="inlineStr">
        <is>
          <t>PENDING - DRAWING</t>
        </is>
      </c>
      <c r="K87" s="25" t="inlineStr">
        <is>
          <t>PENDING - PHOTOGRAPHS</t>
        </is>
      </c>
      <c r="L87" s="25" t="inlineStr">
        <is>
          <t>Rev.00</t>
        </is>
      </c>
      <c r="M87" s="31">
        <f>HYPERLINK("01_STARTER/ST-048-EUR-01/01_Technical_File.docx","Open")</f>
        <v/>
      </c>
    </row>
    <row r="88">
      <c r="A88" s="25" t="inlineStr">
        <is>
          <t>IA-PPWR-TF-ST-048-EUR-02-R00</t>
        </is>
      </c>
      <c r="B88" s="25" t="inlineStr">
        <is>
          <t>ST-048-EUR-02</t>
        </is>
      </c>
      <c r="C88" s="25" t="inlineStr">
        <is>
          <t>IA-ST-048-EUR-02</t>
        </is>
      </c>
      <c r="D88" s="25" t="inlineStr">
        <is>
          <t>D26 | D26 PVC üst kapak (4000440): 48 adet</t>
        </is>
      </c>
      <c r="E88" s="25" t="inlineStr">
        <is>
          <t>IA-ST-CFG-0107</t>
        </is>
      </c>
      <c r="F88" s="25" t="n">
        <v>11</v>
      </c>
      <c r="G88" s="25" t="n">
        <v>8</v>
      </c>
      <c r="H88" s="25" t="n">
        <v>32.3872</v>
      </c>
      <c r="I88" s="25" t="inlineStr">
        <is>
          <t>REV00 CURRENT EVIDENCE BASIS — ARTICLE 5 ASSESSMENT BASIS</t>
        </is>
      </c>
      <c r="J88" s="25" t="inlineStr">
        <is>
          <t>PENDING - DRAWING</t>
        </is>
      </c>
      <c r="K88" s="25" t="inlineStr">
        <is>
          <t>PENDING - PHOTOGRAPHS</t>
        </is>
      </c>
      <c r="L88" s="25" t="inlineStr">
        <is>
          <t>Rev.00</t>
        </is>
      </c>
      <c r="M88" s="31">
        <f>HYPERLINK("01_STARTER/ST-048-EUR-02/01_Technical_File.docx","Open")</f>
        <v/>
      </c>
    </row>
    <row r="89">
      <c r="A89" s="25" t="inlineStr">
        <is>
          <t>IA-PPWR-TF-ST-048-EUR-03-R00</t>
        </is>
      </c>
      <c r="B89" s="25" t="inlineStr">
        <is>
          <t>ST-048-EUR-03</t>
        </is>
      </c>
      <c r="C89" s="25" t="inlineStr">
        <is>
          <t>IA-ST-048-EUR-03</t>
        </is>
      </c>
      <c r="D89" s="25" t="inlineStr">
        <is>
          <t>D31 | Palet (4000038): 1 adet | EPS (4000573): 24 adet</t>
        </is>
      </c>
      <c r="E89" s="25" t="inlineStr">
        <is>
          <t>IA-ST-CFG-0109</t>
        </is>
      </c>
      <c r="F89" s="25" t="n">
        <v>1</v>
      </c>
      <c r="G89" s="25" t="n">
        <v>7</v>
      </c>
      <c r="H89" s="25" t="n">
        <v>29.174</v>
      </c>
      <c r="I89" s="25" t="inlineStr">
        <is>
          <t>REV00 CURRENT EVIDENCE BASIS — ARTICLE 5 ASSESSMENT BASIS</t>
        </is>
      </c>
      <c r="J89" s="25" t="inlineStr">
        <is>
          <t>PENDING - DRAWING</t>
        </is>
      </c>
      <c r="K89" s="25" t="inlineStr">
        <is>
          <t>PENDING - PHOTOGRAPHS</t>
        </is>
      </c>
      <c r="L89" s="25" t="inlineStr">
        <is>
          <t>Rev.00</t>
        </is>
      </c>
      <c r="M89" s="31">
        <f>HYPERLINK("01_STARTER/ST-048-EUR-03/01_Technical_File.docx","Open")</f>
        <v/>
      </c>
    </row>
    <row r="90">
      <c r="A90" s="25" t="inlineStr">
        <is>
          <t>IA-PPWR-TF-ST-048-EUR-04-R00</t>
        </is>
      </c>
      <c r="B90" s="25" t="inlineStr">
        <is>
          <t>ST-048-EUR-04</t>
        </is>
      </c>
      <c r="C90" s="25" t="inlineStr">
        <is>
          <t>IA-ST-048-EUR-04</t>
        </is>
      </c>
      <c r="D90" s="25" t="inlineStr">
        <is>
          <t>L5 | Palet (4000038): 1 adet | Shrink film (4000608): 1.92 kg</t>
        </is>
      </c>
      <c r="E90" s="25" t="inlineStr">
        <is>
          <t>IA-ST-CFG-0110</t>
        </is>
      </c>
      <c r="F90" s="25" t="n">
        <v>1</v>
      </c>
      <c r="G90" s="25" t="n">
        <v>7</v>
      </c>
      <c r="H90" s="25" t="n">
        <v>30.046</v>
      </c>
      <c r="I90" s="25" t="inlineStr">
        <is>
          <t>REV00 CURRENT EVIDENCE BASIS — ARTICLE 5 ASSESSMENT BASIS</t>
        </is>
      </c>
      <c r="J90" s="25" t="inlineStr">
        <is>
          <t>PENDING - DRAWING</t>
        </is>
      </c>
      <c r="K90" s="25" t="inlineStr">
        <is>
          <t>PENDING - PHOTOGRAPHS</t>
        </is>
      </c>
      <c r="L90" s="25" t="inlineStr">
        <is>
          <t>Rev.00</t>
        </is>
      </c>
      <c r="M90" s="31">
        <f>HYPERLINK("01_STARTER/ST-048-EUR-04/01_Technical_File.docx","Open")</f>
        <v/>
      </c>
    </row>
    <row r="91">
      <c r="A91" s="25" t="inlineStr">
        <is>
          <t>IA-PPWR-TF-ST-048-EUR-05-R00</t>
        </is>
      </c>
      <c r="B91" s="25" t="inlineStr">
        <is>
          <t>ST-048-EUR-05</t>
        </is>
      </c>
      <c r="C91" s="25" t="inlineStr">
        <is>
          <t>IA-ST-048-EUR-05</t>
        </is>
      </c>
      <c r="D91" s="25" t="inlineStr">
        <is>
          <t>D31 | Palet (4000038): 1 adet | Honeycomb (4001186): 3 adet</t>
        </is>
      </c>
      <c r="E91" s="25" t="inlineStr">
        <is>
          <t>IA-ST-CFG-0111</t>
        </is>
      </c>
      <c r="F91" s="25" t="n">
        <v>9</v>
      </c>
      <c r="G91" s="25" t="n">
        <v>7</v>
      </c>
      <c r="H91" s="25" t="n">
        <v>30.326</v>
      </c>
      <c r="I91" s="25" t="inlineStr">
        <is>
          <t>REV00 CURRENT EVIDENCE BASIS — ARTICLE 5 ASSESSMENT BASIS</t>
        </is>
      </c>
      <c r="J91" s="25" t="inlineStr">
        <is>
          <t>PENDING - DRAWING</t>
        </is>
      </c>
      <c r="K91" s="25" t="inlineStr">
        <is>
          <t>PENDING - PHOTOGRAPHS</t>
        </is>
      </c>
      <c r="L91" s="25" t="inlineStr">
        <is>
          <t>Rev.00</t>
        </is>
      </c>
      <c r="M91" s="31">
        <f>HYPERLINK("01_STARTER/ST-048-EUR-05/01_Technical_File.docx","Open")</f>
        <v/>
      </c>
    </row>
    <row r="92">
      <c r="A92" s="25" t="inlineStr">
        <is>
          <t>IA-PPWR-TF-ST-048-EUR-06-R00</t>
        </is>
      </c>
      <c r="B92" s="25" t="inlineStr">
        <is>
          <t>ST-048-EUR-06</t>
        </is>
      </c>
      <c r="C92" s="25" t="inlineStr">
        <is>
          <t>IA-ST-048-EUR-06</t>
        </is>
      </c>
      <c r="D92" s="25" t="inlineStr">
        <is>
          <t>D31 | Palet (4000038): 1 adet | Köşebent (4000590): 4 adet | EPS (4001247): 3 adet</t>
        </is>
      </c>
      <c r="E92" s="25" t="inlineStr">
        <is>
          <t>IA-ST-CFG-0112</t>
        </is>
      </c>
      <c r="F92" s="25" t="n">
        <v>4</v>
      </c>
      <c r="G92" s="25" t="n">
        <v>7</v>
      </c>
      <c r="H92" s="25" t="n">
        <v>27.506</v>
      </c>
      <c r="I92" s="25" t="inlineStr">
        <is>
          <t>REV00 CURRENT EVIDENCE BASIS — ARTICLE 5 ASSESSMENT BASIS</t>
        </is>
      </c>
      <c r="J92" s="25" t="inlineStr">
        <is>
          <t>PENDING - DRAWING</t>
        </is>
      </c>
      <c r="K92" s="25" t="inlineStr">
        <is>
          <t>PENDING - PHOTOGRAPHS</t>
        </is>
      </c>
      <c r="L92" s="25" t="inlineStr">
        <is>
          <t>Rev.00</t>
        </is>
      </c>
      <c r="M92" s="31">
        <f>HYPERLINK("01_STARTER/ST-048-EUR-06/01_Technical_File.docx","Open")</f>
        <v/>
      </c>
    </row>
    <row r="93">
      <c r="A93" s="25" t="inlineStr">
        <is>
          <t>IA-PPWR-TF-ST-048-EUR-07-R00</t>
        </is>
      </c>
      <c r="B93" s="25" t="inlineStr">
        <is>
          <t>ST-048-EUR-07</t>
        </is>
      </c>
      <c r="C93" s="25" t="inlineStr">
        <is>
          <t>IA-ST-048-EUR-07</t>
        </is>
      </c>
      <c r="D93" s="25" t="inlineStr">
        <is>
          <t>L3 | Palet (4000038): 1 adet | Köşebent (4000590): 4 adet</t>
        </is>
      </c>
      <c r="E93" s="25" t="inlineStr">
        <is>
          <t>IA-ST-CFG-0113</t>
        </is>
      </c>
      <c r="F93" s="25" t="n">
        <v>14</v>
      </c>
      <c r="G93" s="25" t="n">
        <v>6</v>
      </c>
      <c r="H93" s="25" t="n">
        <v>27.926</v>
      </c>
      <c r="I93" s="25" t="inlineStr">
        <is>
          <t>REV00 CURRENT EVIDENCE BASIS — ARTICLE 5 ASSESSMENT BASIS</t>
        </is>
      </c>
      <c r="J93" s="25" t="inlineStr">
        <is>
          <t>PENDING - DRAWING</t>
        </is>
      </c>
      <c r="K93" s="25" t="inlineStr">
        <is>
          <t>PENDING - PHOTOGRAPHS</t>
        </is>
      </c>
      <c r="L93" s="25" t="inlineStr">
        <is>
          <t>Rev.00</t>
        </is>
      </c>
      <c r="M93" s="31">
        <f>HYPERLINK("01_STARTER/ST-048-EUR-07/01_Technical_File.docx","Open")</f>
        <v/>
      </c>
    </row>
    <row r="94">
      <c r="A94" s="25" t="inlineStr">
        <is>
          <t>IA-PPWR-TF-ST-048-EUR-08-R00</t>
        </is>
      </c>
      <c r="B94" s="25" t="inlineStr">
        <is>
          <t>ST-048-EUR-08</t>
        </is>
      </c>
      <c r="C94" s="25" t="inlineStr">
        <is>
          <t>IA-ST-048-EUR-08</t>
        </is>
      </c>
      <c r="D94" s="25" t="inlineStr">
        <is>
          <t>L5 | Palet (4000038): 1 adet | Köşebent (4000590): 4 adet | Shrink film (4000608): kullanılmaz</t>
        </is>
      </c>
      <c r="E94" s="25" t="inlineStr">
        <is>
          <t>IA-ST-CFG-0114</t>
        </is>
      </c>
      <c r="F94" s="25" t="n">
        <v>5</v>
      </c>
      <c r="G94" s="25" t="n">
        <v>6</v>
      </c>
      <c r="H94" s="25" t="n">
        <v>28.126</v>
      </c>
      <c r="I94" s="25" t="inlineStr">
        <is>
          <t>REV00 CURRENT EVIDENCE BASIS — ARTICLE 5 ASSESSMENT BASIS</t>
        </is>
      </c>
      <c r="J94" s="25" t="inlineStr">
        <is>
          <t>PENDING - DRAWING</t>
        </is>
      </c>
      <c r="K94" s="25" t="inlineStr">
        <is>
          <t>PENDING - PHOTOGRAPHS</t>
        </is>
      </c>
      <c r="L94" s="25" t="inlineStr">
        <is>
          <t>Rev.00</t>
        </is>
      </c>
      <c r="M94" s="31">
        <f>HYPERLINK("01_STARTER/ST-048-EUR-08/01_Technical_File.docx","Open")</f>
        <v/>
      </c>
    </row>
    <row r="95">
      <c r="A95" s="25" t="inlineStr">
        <is>
          <t>IA-PPWR-TF-ST-048-EUR-09-R00</t>
        </is>
      </c>
      <c r="B95" s="25" t="inlineStr">
        <is>
          <t>ST-048-EUR-09</t>
        </is>
      </c>
      <c r="C95" s="25" t="inlineStr">
        <is>
          <t>IA-ST-048-EUR-09</t>
        </is>
      </c>
      <c r="D95" s="25" t="inlineStr">
        <is>
          <t>D31 | D31 PVC üst kapak (4001310): 48 adet</t>
        </is>
      </c>
      <c r="E95" s="25" t="inlineStr">
        <is>
          <t>IA-ST-CFG-0115</t>
        </is>
      </c>
      <c r="F95" s="25" t="n">
        <v>23</v>
      </c>
      <c r="G95" s="25" t="n">
        <v>8</v>
      </c>
      <c r="H95" s="25" t="n">
        <v>32.8524</v>
      </c>
      <c r="I95" s="25" t="inlineStr">
        <is>
          <t>REV00 CURRENT EVIDENCE BASIS — ARTICLE 5 ASSESSMENT BASIS</t>
        </is>
      </c>
      <c r="J95" s="25" t="inlineStr">
        <is>
          <t>PENDING - DRAWING</t>
        </is>
      </c>
      <c r="K95" s="25" t="inlineStr">
        <is>
          <t>PENDING - PHOTOGRAPHS</t>
        </is>
      </c>
      <c r="L95" s="25" t="inlineStr">
        <is>
          <t>Rev.00</t>
        </is>
      </c>
      <c r="M95" s="31">
        <f>HYPERLINK("01_STARTER/ST-048-EUR-09/01_Technical_File.docx","Open")</f>
        <v/>
      </c>
    </row>
    <row r="96">
      <c r="A96" s="25" t="inlineStr">
        <is>
          <t>IA-PPWR-TF-ST-048-EUR-10-R00</t>
        </is>
      </c>
      <c r="B96" s="25" t="inlineStr">
        <is>
          <t>ST-048-EUR-10</t>
        </is>
      </c>
      <c r="C96" s="25" t="inlineStr">
        <is>
          <t>IA-ST-048-EUR-10</t>
        </is>
      </c>
      <c r="D96" s="25" t="inlineStr">
        <is>
          <t>L5, LB5 | Palet (4000038): 1 adet | Shrink film (4000608): 1.92 kg</t>
        </is>
      </c>
      <c r="E96" s="25" t="inlineStr">
        <is>
          <t>IA-ST-CFG-0116</t>
        </is>
      </c>
      <c r="F96" s="25" t="n">
        <v>28</v>
      </c>
      <c r="G96" s="25" t="n">
        <v>7</v>
      </c>
      <c r="H96" s="25" t="n">
        <v>29.7592</v>
      </c>
      <c r="I96" s="25" t="inlineStr">
        <is>
          <t>REV00 CURRENT EVIDENCE BASIS — ARTICLE 5 ASSESSMENT BASIS</t>
        </is>
      </c>
      <c r="J96" s="25" t="inlineStr">
        <is>
          <t>PENDING - DRAWING</t>
        </is>
      </c>
      <c r="K96" s="25" t="inlineStr">
        <is>
          <t>PENDING - PHOTOGRAPHS</t>
        </is>
      </c>
      <c r="L96" s="25" t="inlineStr">
        <is>
          <t>Rev.00</t>
        </is>
      </c>
      <c r="M96" s="31">
        <f>HYPERLINK("01_STARTER/ST-048-EUR-10/01_Technical_File.docx","Open")</f>
        <v/>
      </c>
    </row>
    <row r="97">
      <c r="A97" s="25" t="inlineStr">
        <is>
          <t>IA-PPWR-TF-ST-048-EUR-11-R00</t>
        </is>
      </c>
      <c r="B97" s="25" t="inlineStr">
        <is>
          <t>ST-048-EUR-11</t>
        </is>
      </c>
      <c r="C97" s="25" t="inlineStr">
        <is>
          <t>IA-ST-048-EUR-11</t>
        </is>
      </c>
      <c r="D97" s="25" t="inlineStr">
        <is>
          <t>D31 | Palet (4000038): 1 adet | Köşebent (4000590): 2 adet | EPS (4001247): 3 adet</t>
        </is>
      </c>
      <c r="E97" s="25" t="inlineStr">
        <is>
          <t>IA-ST-CFG-0117</t>
        </is>
      </c>
      <c r="F97" s="25" t="n">
        <v>1</v>
      </c>
      <c r="G97" s="25" t="n">
        <v>7</v>
      </c>
      <c r="H97" s="25" t="n">
        <v>27.8192</v>
      </c>
      <c r="I97" s="25" t="inlineStr">
        <is>
          <t>REV00 CURRENT EVIDENCE BASIS — ARTICLE 5 ASSESSMENT BASIS</t>
        </is>
      </c>
      <c r="J97" s="25" t="inlineStr">
        <is>
          <t>PENDING - DRAWING</t>
        </is>
      </c>
      <c r="K97" s="25" t="inlineStr">
        <is>
          <t>PENDING - PHOTOGRAPHS</t>
        </is>
      </c>
      <c r="L97" s="25" t="inlineStr">
        <is>
          <t>Rev.00</t>
        </is>
      </c>
      <c r="M97" s="31">
        <f>HYPERLINK("01_STARTER/ST-048-EUR-11/01_Technical_File.docx","Open")</f>
        <v/>
      </c>
    </row>
    <row r="98">
      <c r="A98" s="25" t="inlineStr">
        <is>
          <t>IA-PPWR-TF-ST-048-EUR-12-R00</t>
        </is>
      </c>
      <c r="B98" s="25" t="inlineStr">
        <is>
          <t>ST-048-EUR-12</t>
        </is>
      </c>
      <c r="C98" s="25" t="inlineStr">
        <is>
          <t>IA-ST-048-EUR-12</t>
        </is>
      </c>
      <c r="D98" s="25" t="inlineStr">
        <is>
          <t>LB5, L5 | Palet (4000038): 1 adet | Köşebent (4000590): 2 adet</t>
        </is>
      </c>
      <c r="E98" s="25" t="inlineStr">
        <is>
          <t>IA-ST-CFG-0118</t>
        </is>
      </c>
      <c r="F98" s="25" t="n">
        <v>5</v>
      </c>
      <c r="G98" s="25" t="n">
        <v>6</v>
      </c>
      <c r="H98" s="25" t="n">
        <v>27.8392</v>
      </c>
      <c r="I98" s="25" t="inlineStr">
        <is>
          <t>REV00 CURRENT EVIDENCE BASIS — ARTICLE 5 ASSESSMENT BASIS</t>
        </is>
      </c>
      <c r="J98" s="25" t="inlineStr">
        <is>
          <t>PENDING - DRAWING</t>
        </is>
      </c>
      <c r="K98" s="25" t="inlineStr">
        <is>
          <t>PENDING - PHOTOGRAPHS</t>
        </is>
      </c>
      <c r="L98" s="25" t="inlineStr">
        <is>
          <t>Rev.00</t>
        </is>
      </c>
      <c r="M98" s="31">
        <f>HYPERLINK("01_STARTER/ST-048-EUR-12/01_Technical_File.docx","Open")</f>
        <v/>
      </c>
    </row>
    <row r="99">
      <c r="A99" s="25" t="inlineStr">
        <is>
          <t>IA-PPWR-TF-ST-048-STD-01-R00</t>
        </is>
      </c>
      <c r="B99" s="25" t="inlineStr">
        <is>
          <t>ST-048-STD-01</t>
        </is>
      </c>
      <c r="C99" s="25" t="inlineStr">
        <is>
          <t>IA-ST-048-STD-01</t>
        </is>
      </c>
      <c r="D99" s="25" t="inlineStr">
        <is>
          <t>L1 | L1 YUASA penceresiz Orta Doğu dış koli (4001312): 48 adet</t>
        </is>
      </c>
      <c r="E99" s="25" t="inlineStr">
        <is>
          <t>IA-ST-CFG-0104</t>
        </is>
      </c>
      <c r="F99" s="25" t="n">
        <v>1</v>
      </c>
      <c r="G99" s="25" t="n">
        <v>7</v>
      </c>
      <c r="H99" s="25" t="n">
        <v>40.316</v>
      </c>
      <c r="I99" s="25" t="inlineStr">
        <is>
          <t>REV00 CURRENT EVIDENCE BASIS — ARTICLE 5 ASSESSMENT BASIS</t>
        </is>
      </c>
      <c r="J99" s="25" t="inlineStr">
        <is>
          <t>PENDING - DRAWING</t>
        </is>
      </c>
      <c r="K99" s="25" t="inlineStr">
        <is>
          <t>PENDING - PHOTOGRAPHS</t>
        </is>
      </c>
      <c r="L99" s="25" t="inlineStr">
        <is>
          <t>Rev.00</t>
        </is>
      </c>
      <c r="M99" s="31">
        <f>HYPERLINK("01_STARTER/ST-048-STD-01/01_Technical_File.docx","Open")</f>
        <v/>
      </c>
    </row>
    <row r="100">
      <c r="A100" s="25" t="inlineStr">
        <is>
          <t>IA-PPWR-TF-ST-048-STD-02-R00</t>
        </is>
      </c>
      <c r="B100" s="25" t="inlineStr">
        <is>
          <t>ST-048-STD-02</t>
        </is>
      </c>
      <c r="C100" s="25" t="inlineStr">
        <is>
          <t>IA-ST-048-STD-02</t>
        </is>
      </c>
      <c r="D100" s="25" t="inlineStr">
        <is>
          <t>L2 | Palet (4000037): 1 adet | Shrink film (4000558): 1.824 kg</t>
        </is>
      </c>
      <c r="E100" s="25" t="inlineStr">
        <is>
          <t>IA-ST-CFG-0106</t>
        </is>
      </c>
      <c r="F100" s="25" t="n">
        <v>1</v>
      </c>
      <c r="G100" s="25" t="n">
        <v>7</v>
      </c>
      <c r="H100" s="25" t="n">
        <v>29.76</v>
      </c>
      <c r="I100" s="25" t="inlineStr">
        <is>
          <t>REV00 CURRENT EVIDENCE BASIS — ARTICLE 5 ASSESSMENT BASIS</t>
        </is>
      </c>
      <c r="J100" s="25" t="inlineStr">
        <is>
          <t>PENDING - DRAWING</t>
        </is>
      </c>
      <c r="K100" s="25" t="inlineStr">
        <is>
          <t>PENDING - PHOTOGRAPHS</t>
        </is>
      </c>
      <c r="L100" s="25" t="inlineStr">
        <is>
          <t>Rev.00</t>
        </is>
      </c>
      <c r="M100" s="31">
        <f>HYPERLINK("01_STARTER/ST-048-STD-02/01_Technical_File.docx","Open")</f>
        <v/>
      </c>
    </row>
    <row r="101">
      <c r="A101" s="25" t="inlineStr">
        <is>
          <t>IA-PPWR-TF-ST-051-EUR-01-R00</t>
        </is>
      </c>
      <c r="B101" s="25" t="inlineStr">
        <is>
          <t>ST-051-EUR-01</t>
        </is>
      </c>
      <c r="C101" s="25" t="inlineStr">
        <is>
          <t>IA-ST-051-EUR-01</t>
        </is>
      </c>
      <c r="D101" s="25" t="inlineStr">
        <is>
          <t>LB3, L3 | Palet (4000038): 1 adet | Köşebent (4000590): 4 adet</t>
        </is>
      </c>
      <c r="E101" s="25" t="inlineStr">
        <is>
          <t>IA-ST-CFG-0132</t>
        </is>
      </c>
      <c r="F101" s="25" t="n">
        <v>46</v>
      </c>
      <c r="G101" s="25" t="n">
        <v>6</v>
      </c>
      <c r="H101" s="25" t="n">
        <v>27.926</v>
      </c>
      <c r="I101" s="25" t="inlineStr">
        <is>
          <t>REV00 CURRENT EVIDENCE BASIS — ARTICLE 5 ASSESSMENT BASIS</t>
        </is>
      </c>
      <c r="J101" s="25" t="inlineStr">
        <is>
          <t>PENDING - DRAWING</t>
        </is>
      </c>
      <c r="K101" s="25" t="inlineStr">
        <is>
          <t>PENDING - PHOTOGRAPHS</t>
        </is>
      </c>
      <c r="L101" s="25" t="inlineStr">
        <is>
          <t>Rev.00</t>
        </is>
      </c>
      <c r="M101" s="31">
        <f>HYPERLINK("01_STARTER/ST-051-EUR-01/01_Technical_File.docx","Open")</f>
        <v/>
      </c>
    </row>
    <row r="102">
      <c r="A102" s="25" t="inlineStr">
        <is>
          <t>IA-PPWR-TF-ST-051-EUR-02-R00</t>
        </is>
      </c>
      <c r="B102" s="25" t="inlineStr">
        <is>
          <t>ST-051-EUR-02</t>
        </is>
      </c>
      <c r="C102" s="25" t="inlineStr">
        <is>
          <t>IA-ST-051-EUR-02</t>
        </is>
      </c>
      <c r="D102" s="25" t="inlineStr">
        <is>
          <t>LB3 | Palet (4000038): 1 adet | Shrink film (4000558): 1.579 kg</t>
        </is>
      </c>
      <c r="E102" s="25" t="inlineStr">
        <is>
          <t>IA-ST-CFG-0133</t>
        </is>
      </c>
      <c r="F102" s="25" t="n">
        <v>1</v>
      </c>
      <c r="G102" s="25" t="n">
        <v>7</v>
      </c>
      <c r="H102" s="25" t="n">
        <v>29.2182</v>
      </c>
      <c r="I102" s="25" t="inlineStr">
        <is>
          <t>REV00 CURRENT EVIDENCE BASIS — ARTICLE 5 ASSESSMENT BASIS</t>
        </is>
      </c>
      <c r="J102" s="25" t="inlineStr">
        <is>
          <t>PENDING - DRAWING</t>
        </is>
      </c>
      <c r="K102" s="25" t="inlineStr">
        <is>
          <t>PENDING - PHOTOGRAPHS</t>
        </is>
      </c>
      <c r="L102" s="25" t="inlineStr">
        <is>
          <t>Rev.00</t>
        </is>
      </c>
      <c r="M102" s="31">
        <f>HYPERLINK("01_STARTER/ST-051-EUR-02/01_Technical_File.docx","Open")</f>
        <v/>
      </c>
    </row>
    <row r="103">
      <c r="A103" s="25" t="inlineStr">
        <is>
          <t>IA-PPWR-TF-ST-051-EUR-03-R00</t>
        </is>
      </c>
      <c r="B103" s="25" t="inlineStr">
        <is>
          <t>ST-051-EUR-03</t>
        </is>
      </c>
      <c r="C103" s="25" t="inlineStr">
        <is>
          <t>IA-ST-051-EUR-03</t>
        </is>
      </c>
      <c r="D103" s="25" t="inlineStr">
        <is>
          <t>L3 | Palet (4000038): 1 adet | Shrink film (4000558): 1.684 kg</t>
        </is>
      </c>
      <c r="E103" s="25" t="inlineStr">
        <is>
          <t>IA-ST-CFG-0134</t>
        </is>
      </c>
      <c r="F103" s="25" t="n">
        <v>6</v>
      </c>
      <c r="G103" s="25" t="n">
        <v>7</v>
      </c>
      <c r="H103" s="25" t="n">
        <v>29.3232</v>
      </c>
      <c r="I103" s="25" t="inlineStr">
        <is>
          <t>REV00 CURRENT EVIDENCE BASIS — ARTICLE 5 ASSESSMENT BASIS</t>
        </is>
      </c>
      <c r="J103" s="25" t="inlineStr">
        <is>
          <t>PENDING - DRAWING</t>
        </is>
      </c>
      <c r="K103" s="25" t="inlineStr">
        <is>
          <t>PENDING - PHOTOGRAPHS</t>
        </is>
      </c>
      <c r="L103" s="25" t="inlineStr">
        <is>
          <t>Rev.00</t>
        </is>
      </c>
      <c r="M103" s="31">
        <f>HYPERLINK("01_STARTER/ST-051-EUR-03/01_Technical_File.docx","Open")</f>
        <v/>
      </c>
    </row>
    <row r="104">
      <c r="A104" s="25" t="inlineStr">
        <is>
          <t>IA-PPWR-TF-ST-051-EUR-04-R00</t>
        </is>
      </c>
      <c r="B104" s="25" t="inlineStr">
        <is>
          <t>ST-051-EUR-04</t>
        </is>
      </c>
      <c r="C104" s="25" t="inlineStr">
        <is>
          <t>IA-ST-051-EUR-04</t>
        </is>
      </c>
      <c r="D104" s="25" t="inlineStr">
        <is>
          <t>L3, LB3 | Palet (4000038): 1 adet | Köşebent (4000590): 2 adet</t>
        </is>
      </c>
      <c r="E104" s="25" t="inlineStr">
        <is>
          <t>IA-ST-CFG-0135</t>
        </is>
      </c>
      <c r="F104" s="25" t="n">
        <v>11</v>
      </c>
      <c r="G104" s="25" t="n">
        <v>6</v>
      </c>
      <c r="H104" s="25" t="n">
        <v>27.6392</v>
      </c>
      <c r="I104" s="25" t="inlineStr">
        <is>
          <t>REV00 CURRENT EVIDENCE BASIS — ARTICLE 5 ASSESSMENT BASIS</t>
        </is>
      </c>
      <c r="J104" s="25" t="inlineStr">
        <is>
          <t>PENDING - DRAWING</t>
        </is>
      </c>
      <c r="K104" s="25" t="inlineStr">
        <is>
          <t>PENDING - PHOTOGRAPHS</t>
        </is>
      </c>
      <c r="L104" s="25" t="inlineStr">
        <is>
          <t>Rev.00</t>
        </is>
      </c>
      <c r="M104" s="31">
        <f>HYPERLINK("01_STARTER/ST-051-EUR-04/01_Technical_File.docx","Open")</f>
        <v/>
      </c>
    </row>
    <row r="105">
      <c r="A105" s="25" t="inlineStr">
        <is>
          <t>IA-PPWR-TF-ST-051-STD-01-R00</t>
        </is>
      </c>
      <c r="B105" s="25" t="inlineStr">
        <is>
          <t>ST-051-STD-01</t>
        </is>
      </c>
      <c r="C105" s="25" t="inlineStr">
        <is>
          <t>IA-ST-051-STD-01</t>
        </is>
      </c>
      <c r="D105" s="25" t="inlineStr">
        <is>
          <t>D31 | Köşebent (4000033): 6 adet | D31 EAS Activa penceresiz dış koli (4000782): 51 adet</t>
        </is>
      </c>
      <c r="E105" s="25" t="inlineStr">
        <is>
          <t>IA-ST-CFG-0122</t>
        </is>
      </c>
      <c r="F105" s="25" t="n">
        <v>3</v>
      </c>
      <c r="G105" s="25" t="n">
        <v>8</v>
      </c>
      <c r="H105" s="25" t="n">
        <v>47.0384</v>
      </c>
      <c r="I105" s="25" t="inlineStr">
        <is>
          <t>REV00 CURRENT EVIDENCE BASIS — ARTICLE 5 ASSESSMENT BASIS</t>
        </is>
      </c>
      <c r="J105" s="25" t="inlineStr">
        <is>
          <t>PENDING - DRAWING</t>
        </is>
      </c>
      <c r="K105" s="25" t="inlineStr">
        <is>
          <t>PENDING - PHOTOGRAPHS</t>
        </is>
      </c>
      <c r="L105" s="25" t="inlineStr">
        <is>
          <t>Rev.00</t>
        </is>
      </c>
      <c r="M105" s="31">
        <f>HYPERLINK("01_STARTER/ST-051-STD-01/01_Technical_File.docx","Open")</f>
        <v/>
      </c>
    </row>
    <row r="106">
      <c r="A106" s="25" t="inlineStr">
        <is>
          <t>IA-PPWR-TF-ST-051-STD-02-R00</t>
        </is>
      </c>
      <c r="B106" s="25" t="inlineStr">
        <is>
          <t>ST-051-STD-02</t>
        </is>
      </c>
      <c r="C106" s="25" t="inlineStr">
        <is>
          <t>IA-ST-051-STD-02</t>
        </is>
      </c>
      <c r="D106" s="25" t="inlineStr">
        <is>
          <t>D31 | D31 YUASA penceresiz Orta Doğu dış koli (4001108): 51 adet</t>
        </is>
      </c>
      <c r="E106" s="25" t="inlineStr">
        <is>
          <t>IA-ST-CFG-0123</t>
        </is>
      </c>
      <c r="F106" s="25" t="n">
        <v>1</v>
      </c>
      <c r="G106" s="25" t="n">
        <v>8</v>
      </c>
      <c r="H106" s="25" t="n">
        <v>47.0384</v>
      </c>
      <c r="I106" s="25" t="inlineStr">
        <is>
          <t>REV00 CURRENT EVIDENCE BASIS — ARTICLE 5 ASSESSMENT BASIS</t>
        </is>
      </c>
      <c r="J106" s="25" t="inlineStr">
        <is>
          <t>PENDING - DRAWING</t>
        </is>
      </c>
      <c r="K106" s="25" t="inlineStr">
        <is>
          <t>PENDING - PHOTOGRAPHS</t>
        </is>
      </c>
      <c r="L106" s="25" t="inlineStr">
        <is>
          <t>Rev.00</t>
        </is>
      </c>
      <c r="M106" s="31">
        <f>HYPERLINK("01_STARTER/ST-051-STD-02/01_Technical_File.docx","Open")</f>
        <v/>
      </c>
    </row>
    <row r="107">
      <c r="A107" s="25" t="inlineStr">
        <is>
          <t>IA-PPWR-TF-ST-051-STD-03-R00</t>
        </is>
      </c>
      <c r="B107" s="25" t="inlineStr">
        <is>
          <t>ST-051-STD-03</t>
        </is>
      </c>
      <c r="C107" s="25" t="inlineStr">
        <is>
          <t>IA-ST-051-STD-03</t>
        </is>
      </c>
      <c r="D107" s="25" t="inlineStr">
        <is>
          <t>L4 | L4 YUASA penceresiz Orta Doğu dış koli (4001313): 51 adet</t>
        </is>
      </c>
      <c r="E107" s="25" t="inlineStr">
        <is>
          <t>IA-ST-CFG-0124</t>
        </is>
      </c>
      <c r="F107" s="25" t="n">
        <v>1</v>
      </c>
      <c r="G107" s="25" t="n">
        <v>7</v>
      </c>
      <c r="H107" s="25" t="n">
        <v>41.816</v>
      </c>
      <c r="I107" s="25" t="inlineStr">
        <is>
          <t>REV00 CURRENT EVIDENCE BASIS — ARTICLE 5 ASSESSMENT BASIS</t>
        </is>
      </c>
      <c r="J107" s="25" t="inlineStr">
        <is>
          <t>PENDING - DRAWING</t>
        </is>
      </c>
      <c r="K107" s="25" t="inlineStr">
        <is>
          <t>PENDING - PHOTOGRAPHS</t>
        </is>
      </c>
      <c r="L107" s="25" t="inlineStr">
        <is>
          <t>Rev.00</t>
        </is>
      </c>
      <c r="M107" s="31">
        <f>HYPERLINK("01_STARTER/ST-051-STD-03/01_Technical_File.docx","Open")</f>
        <v/>
      </c>
    </row>
    <row r="108">
      <c r="A108" s="25" t="inlineStr">
        <is>
          <t>IA-PPWR-TF-ST-051-STD-04-R00</t>
        </is>
      </c>
      <c r="B108" s="25" t="inlineStr">
        <is>
          <t>ST-051-STD-04</t>
        </is>
      </c>
      <c r="C108" s="25" t="inlineStr">
        <is>
          <t>IA-ST-051-STD-04</t>
        </is>
      </c>
      <c r="D108" s="25" t="inlineStr">
        <is>
          <t>D31 | Köşebent (4000033): 8 adet | D31 EAS Activa penceresiz dış koli (4000782): 51 adet</t>
        </is>
      </c>
      <c r="E108" s="25" t="inlineStr">
        <is>
          <t>IA-ST-CFG-0125</t>
        </is>
      </c>
      <c r="F108" s="25" t="n">
        <v>1</v>
      </c>
      <c r="G108" s="25" t="n">
        <v>8</v>
      </c>
      <c r="H108" s="25" t="n">
        <v>47.4584</v>
      </c>
      <c r="I108" s="25" t="inlineStr">
        <is>
          <t>REV00 CURRENT EVIDENCE BASIS — ARTICLE 5 ASSESSMENT BASIS</t>
        </is>
      </c>
      <c r="J108" s="25" t="inlineStr">
        <is>
          <t>PENDING - DRAWING</t>
        </is>
      </c>
      <c r="K108" s="25" t="inlineStr">
        <is>
          <t>PENDING - PHOTOGRAPHS</t>
        </is>
      </c>
      <c r="L108" s="25" t="inlineStr">
        <is>
          <t>Rev.00</t>
        </is>
      </c>
      <c r="M108" s="31">
        <f>HYPERLINK("01_STARTER/ST-051-STD-04/01_Technical_File.docx","Open")</f>
        <v/>
      </c>
    </row>
    <row r="109">
      <c r="A109" s="25" t="inlineStr">
        <is>
          <t>IA-PPWR-TF-ST-051-STD-05-R00</t>
        </is>
      </c>
      <c r="B109" s="25" t="inlineStr">
        <is>
          <t>ST-051-STD-05</t>
        </is>
      </c>
      <c r="C109" s="25" t="inlineStr">
        <is>
          <t>IA-ST-051-STD-05</t>
        </is>
      </c>
      <c r="D109" s="25" t="inlineStr">
        <is>
          <t>D31 | D31 BLIZZARO SILVERLINE penceresiz dış koli (4001433): 51 adet</t>
        </is>
      </c>
      <c r="E109" s="25" t="inlineStr">
        <is>
          <t>IA-ST-CFG-0126</t>
        </is>
      </c>
      <c r="F109" s="25" t="n">
        <v>5</v>
      </c>
      <c r="G109" s="25" t="n">
        <v>8</v>
      </c>
      <c r="H109" s="25" t="n">
        <v>47.4584</v>
      </c>
      <c r="I109" s="25" t="inlineStr">
        <is>
          <t>REV00 CURRENT EVIDENCE BASIS — ARTICLE 5 ASSESSMENT BASIS</t>
        </is>
      </c>
      <c r="J109" s="25" t="inlineStr">
        <is>
          <t>PENDING - DRAWING</t>
        </is>
      </c>
      <c r="K109" s="25" t="inlineStr">
        <is>
          <t>PENDING - PHOTOGRAPHS</t>
        </is>
      </c>
      <c r="L109" s="25" t="inlineStr">
        <is>
          <t>Rev.00</t>
        </is>
      </c>
      <c r="M109" s="31">
        <f>HYPERLINK("01_STARTER/ST-051-STD-05/01_Technical_File.docx","Open")</f>
        <v/>
      </c>
    </row>
    <row r="110">
      <c r="A110" s="25" t="inlineStr">
        <is>
          <t>IA-PPWR-TF-ST-051-STD-06-R00</t>
        </is>
      </c>
      <c r="B110" s="25" t="inlineStr">
        <is>
          <t>ST-051-STD-06</t>
        </is>
      </c>
      <c r="C110" s="25" t="inlineStr">
        <is>
          <t>IA-ST-051-STD-06</t>
        </is>
      </c>
      <c r="D110" s="25" t="inlineStr">
        <is>
          <t>L4 | L4 EAS AGM S&amp;S 80AH 800A pencereli dış koli (4001397): 51 adet</t>
        </is>
      </c>
      <c r="E110" s="25" t="inlineStr">
        <is>
          <t>IA-ST-CFG-0127</t>
        </is>
      </c>
      <c r="F110" s="25" t="n">
        <v>1</v>
      </c>
      <c r="G110" s="25" t="n">
        <v>7</v>
      </c>
      <c r="H110" s="25" t="n">
        <v>43.256</v>
      </c>
      <c r="I110" s="25" t="inlineStr">
        <is>
          <t>REV00 CURRENT EVIDENCE BASIS — ARTICLE 5 ASSESSMENT BASIS</t>
        </is>
      </c>
      <c r="J110" s="25" t="inlineStr">
        <is>
          <t>PENDING - DRAWING</t>
        </is>
      </c>
      <c r="K110" s="25" t="inlineStr">
        <is>
          <t>PENDING - PHOTOGRAPHS</t>
        </is>
      </c>
      <c r="L110" s="25" t="inlineStr">
        <is>
          <t>Rev.00</t>
        </is>
      </c>
      <c r="M110" s="31">
        <f>HYPERLINK("01_STARTER/ST-051-STD-06/01_Technical_File.docx","Open")</f>
        <v/>
      </c>
    </row>
    <row r="111">
      <c r="A111" s="25" t="inlineStr">
        <is>
          <t>IA-PPWR-TF-ST-051-STD-07-R00</t>
        </is>
      </c>
      <c r="B111" s="25" t="inlineStr">
        <is>
          <t>ST-051-STD-07</t>
        </is>
      </c>
      <c r="C111" s="25" t="inlineStr">
        <is>
          <t>IA-ST-051-STD-07</t>
        </is>
      </c>
      <c r="D111" s="25" t="inlineStr">
        <is>
          <t>D31 | D31 İnci FORMULA-MAXIMA penceresiz dış koli (4001211): 51 adet | Separatör (4000130): 5 adet</t>
        </is>
      </c>
      <c r="E111" s="25" t="inlineStr">
        <is>
          <t>IA-ST-CFG-0128</t>
        </is>
      </c>
      <c r="F111" s="25" t="n">
        <v>4</v>
      </c>
      <c r="G111" s="25" t="n">
        <v>8</v>
      </c>
      <c r="H111" s="25" t="n">
        <v>47.7284</v>
      </c>
      <c r="I111" s="25" t="inlineStr">
        <is>
          <t>REV00 CURRENT EVIDENCE BASIS — ARTICLE 5 ASSESSMENT BASIS</t>
        </is>
      </c>
      <c r="J111" s="25" t="inlineStr">
        <is>
          <t>PENDING - DRAWING</t>
        </is>
      </c>
      <c r="K111" s="25" t="inlineStr">
        <is>
          <t>PENDING - PHOTOGRAPHS</t>
        </is>
      </c>
      <c r="L111" s="25" t="inlineStr">
        <is>
          <t>Rev.00</t>
        </is>
      </c>
      <c r="M111" s="31">
        <f>HYPERLINK("01_STARTER/ST-051-STD-07/01_Technical_File.docx","Open")</f>
        <v/>
      </c>
    </row>
    <row r="112">
      <c r="A112" s="25" t="inlineStr">
        <is>
          <t>IA-PPWR-TF-ST-051-STD-08-R00</t>
        </is>
      </c>
      <c r="B112" s="25" t="inlineStr">
        <is>
          <t>ST-051-STD-08</t>
        </is>
      </c>
      <c r="C112" s="25" t="inlineStr">
        <is>
          <t>IA-ST-051-STD-08</t>
        </is>
      </c>
      <c r="D112" s="25" t="inlineStr">
        <is>
          <t>D31 | D31 İnci FORMULA-MAXIMA penceresiz dış koli (4001211): 51 adet | Köşebent (4000590): 8 adet</t>
        </is>
      </c>
      <c r="E112" s="25" t="inlineStr">
        <is>
          <t>IA-ST-CFG-0129</t>
        </is>
      </c>
      <c r="F112" s="25" t="n">
        <v>1</v>
      </c>
      <c r="G112" s="25" t="n">
        <v>8</v>
      </c>
      <c r="H112" s="25" t="n">
        <v>46.5784</v>
      </c>
      <c r="I112" s="25" t="inlineStr">
        <is>
          <t>REV00 CURRENT EVIDENCE BASIS — ARTICLE 5 ASSESSMENT BASIS</t>
        </is>
      </c>
      <c r="J112" s="25" t="inlineStr">
        <is>
          <t>PENDING - DRAWING</t>
        </is>
      </c>
      <c r="K112" s="25" t="inlineStr">
        <is>
          <t>PENDING - PHOTOGRAPHS</t>
        </is>
      </c>
      <c r="L112" s="25" t="inlineStr">
        <is>
          <t>Rev.00</t>
        </is>
      </c>
      <c r="M112" s="31">
        <f>HYPERLINK("01_STARTER/ST-051-STD-08/01_Technical_File.docx","Open")</f>
        <v/>
      </c>
    </row>
    <row r="113">
      <c r="A113" s="25" t="inlineStr">
        <is>
          <t>IA-PPWR-TF-ST-054-EUR-01-R00</t>
        </is>
      </c>
      <c r="B113" s="25" t="inlineStr">
        <is>
          <t>ST-054-EUR-01</t>
        </is>
      </c>
      <c r="C113" s="25" t="inlineStr">
        <is>
          <t>IA-ST-054-EUR-01</t>
        </is>
      </c>
      <c r="D113" s="25" t="inlineStr">
        <is>
          <t>L2 | Palet (4000038): 1 adet | Köşebent (4000590): 4 adet</t>
        </is>
      </c>
      <c r="E113" s="25" t="inlineStr">
        <is>
          <t>IA-ST-CFG-0149</t>
        </is>
      </c>
      <c r="F113" s="25" t="n">
        <v>2</v>
      </c>
      <c r="G113" s="25" t="n">
        <v>6</v>
      </c>
      <c r="H113" s="25" t="n">
        <v>27.926</v>
      </c>
      <c r="I113" s="25" t="inlineStr">
        <is>
          <t>REV00 CURRENT EVIDENCE BASIS — ARTICLE 5 ASSESSMENT BASIS</t>
        </is>
      </c>
      <c r="J113" s="25" t="inlineStr">
        <is>
          <t>PENDING - DRAWING</t>
        </is>
      </c>
      <c r="K113" s="25" t="inlineStr">
        <is>
          <t>PENDING - PHOTOGRAPHS</t>
        </is>
      </c>
      <c r="L113" s="25" t="inlineStr">
        <is>
          <t>Rev.00</t>
        </is>
      </c>
      <c r="M113" s="31">
        <f>HYPERLINK("01_STARTER/ST-054-EUR-01/01_Technical_File.docx","Open")</f>
        <v/>
      </c>
    </row>
    <row r="114">
      <c r="A114" s="25" t="inlineStr">
        <is>
          <t>IA-PPWR-TF-ST-054-STD-01-R00</t>
        </is>
      </c>
      <c r="B114" s="25" t="inlineStr">
        <is>
          <t>ST-054-STD-01</t>
        </is>
      </c>
      <c r="C114" s="25" t="inlineStr">
        <is>
          <t>IA-ST-054-STD-01</t>
        </is>
      </c>
      <c r="D114" s="25" t="inlineStr">
        <is>
          <t>L3 | L3 YUASA penceresiz Orta Doğu dış koli (4001103): 54 adet</t>
        </is>
      </c>
      <c r="E114" s="25" t="inlineStr">
        <is>
          <t>IA-ST-CFG-0137</t>
        </is>
      </c>
      <c r="F114" s="25" t="n">
        <v>1</v>
      </c>
      <c r="G114" s="25" t="n">
        <v>7</v>
      </c>
      <c r="H114" s="25" t="n">
        <v>42.566</v>
      </c>
      <c r="I114" s="25" t="inlineStr">
        <is>
          <t>REV00 CURRENT EVIDENCE BASIS — ARTICLE 5 ASSESSMENT BASIS</t>
        </is>
      </c>
      <c r="J114" s="25" t="inlineStr">
        <is>
          <t>PENDING - DRAWING</t>
        </is>
      </c>
      <c r="K114" s="25" t="inlineStr">
        <is>
          <t>PENDING - PHOTOGRAPHS</t>
        </is>
      </c>
      <c r="L114" s="25" t="inlineStr">
        <is>
          <t>Rev.00</t>
        </is>
      </c>
      <c r="M114" s="31">
        <f>HYPERLINK("01_STARTER/ST-054-STD-01/01_Technical_File.docx","Open")</f>
        <v/>
      </c>
    </row>
    <row r="115">
      <c r="A115" s="25" t="inlineStr">
        <is>
          <t>IA-PPWR-TF-ST-054-STD-02-R00</t>
        </is>
      </c>
      <c r="B115" s="25" t="inlineStr">
        <is>
          <t>ST-054-STD-02</t>
        </is>
      </c>
      <c r="C115" s="25" t="inlineStr">
        <is>
          <t>IA-ST-054-STD-02</t>
        </is>
      </c>
      <c r="D115" s="25" t="inlineStr">
        <is>
          <t>L3 | L3 İnci AGM LEO 70AH 760A pencereli dış koli (4001237): 54 adet</t>
        </is>
      </c>
      <c r="E115" s="25" t="inlineStr">
        <is>
          <t>IA-ST-CFG-0138</t>
        </is>
      </c>
      <c r="F115" s="25" t="n">
        <v>1</v>
      </c>
      <c r="G115" s="25" t="n">
        <v>7</v>
      </c>
      <c r="H115" s="25" t="n">
        <v>42.986</v>
      </c>
      <c r="I115" s="25" t="inlineStr">
        <is>
          <t>REV00 CURRENT EVIDENCE BASIS — ARTICLE 5 ASSESSMENT BASIS</t>
        </is>
      </c>
      <c r="J115" s="25" t="inlineStr">
        <is>
          <t>PENDING - DRAWING</t>
        </is>
      </c>
      <c r="K115" s="25" t="inlineStr">
        <is>
          <t>PENDING - PHOTOGRAPHS</t>
        </is>
      </c>
      <c r="L115" s="25" t="inlineStr">
        <is>
          <t>Rev.00</t>
        </is>
      </c>
      <c r="M115" s="31">
        <f>HYPERLINK("01_STARTER/ST-054-STD-02/01_Technical_File.docx","Open")</f>
        <v/>
      </c>
    </row>
    <row r="116">
      <c r="A116" s="25" t="inlineStr">
        <is>
          <t>IA-PPWR-TF-ST-054-STD-03-R00</t>
        </is>
      </c>
      <c r="B116" s="25" t="inlineStr">
        <is>
          <t>ST-054-STD-03</t>
        </is>
      </c>
      <c r="C116" s="25" t="inlineStr">
        <is>
          <t>IA-ST-054-STD-03</t>
        </is>
      </c>
      <c r="D116" s="25" t="inlineStr">
        <is>
          <t>L3 | L3 EAS AGM S&amp;S 70AH 760A pencereli dış koli (4001396): 54 adet</t>
        </is>
      </c>
      <c r="E116" s="25" t="inlineStr">
        <is>
          <t>IA-ST-CFG-0139</t>
        </is>
      </c>
      <c r="F116" s="25" t="n">
        <v>1</v>
      </c>
      <c r="G116" s="25" t="n">
        <v>7</v>
      </c>
      <c r="H116" s="25" t="n">
        <v>42.986</v>
      </c>
      <c r="I116" s="25" t="inlineStr">
        <is>
          <t>REV00 CURRENT EVIDENCE BASIS — ARTICLE 5 ASSESSMENT BASIS</t>
        </is>
      </c>
      <c r="J116" s="25" t="inlineStr">
        <is>
          <t>PENDING - DRAWING</t>
        </is>
      </c>
      <c r="K116" s="25" t="inlineStr">
        <is>
          <t>PENDING - PHOTOGRAPHS</t>
        </is>
      </c>
      <c r="L116" s="25" t="inlineStr">
        <is>
          <t>Rev.00</t>
        </is>
      </c>
      <c r="M116" s="31">
        <f>HYPERLINK("01_STARTER/ST-054-STD-03/01_Technical_File.docx","Open")</f>
        <v/>
      </c>
    </row>
    <row r="117">
      <c r="A117" s="25" t="inlineStr">
        <is>
          <t>IA-PPWR-TF-ST-054-STD-04-R00</t>
        </is>
      </c>
      <c r="B117" s="25" t="inlineStr">
        <is>
          <t>ST-054-STD-04</t>
        </is>
      </c>
      <c r="C117" s="25" t="inlineStr">
        <is>
          <t>IA-ST-054-STD-04</t>
        </is>
      </c>
      <c r="D117" s="25" t="inlineStr">
        <is>
          <t>D31 | Palet (4000037): 1 adet | EPS (4000370): 3 adet | Köşebent (4000590): 4 adet</t>
        </is>
      </c>
      <c r="E117" s="25" t="inlineStr">
        <is>
          <t>IA-ST-CFG-0140</t>
        </is>
      </c>
      <c r="F117" s="25" t="n">
        <v>1</v>
      </c>
      <c r="G117" s="25" t="n">
        <v>7</v>
      </c>
      <c r="H117" s="25" t="n">
        <v>28.518</v>
      </c>
      <c r="I117" s="25" t="inlineStr">
        <is>
          <t>REV00 CURRENT EVIDENCE BASIS — ARTICLE 5 ASSESSMENT BASIS</t>
        </is>
      </c>
      <c r="J117" s="25" t="inlineStr">
        <is>
          <t>PENDING - DRAWING</t>
        </is>
      </c>
      <c r="K117" s="25" t="inlineStr">
        <is>
          <t>PENDING - PHOTOGRAPHS</t>
        </is>
      </c>
      <c r="L117" s="25" t="inlineStr">
        <is>
          <t>Rev.00</t>
        </is>
      </c>
      <c r="M117" s="31">
        <f>HYPERLINK("01_STARTER/ST-054-STD-04/01_Technical_File.docx","Open")</f>
        <v/>
      </c>
    </row>
    <row r="118">
      <c r="A118" s="25" t="inlineStr">
        <is>
          <t>IA-PPWR-TF-ST-054-STD-05-R00</t>
        </is>
      </c>
      <c r="B118" s="25" t="inlineStr">
        <is>
          <t>ST-054-STD-05</t>
        </is>
      </c>
      <c r="C118" s="25" t="inlineStr">
        <is>
          <t>IA-ST-054-STD-05</t>
        </is>
      </c>
      <c r="D118" s="25" t="inlineStr">
        <is>
          <t>D31 | Köşebent (4000590): 4 adet | D31 PVC üst kapak (4001310): 54 adet</t>
        </is>
      </c>
      <c r="E118" s="25" t="inlineStr">
        <is>
          <t>IA-ST-CFG-0141</t>
        </is>
      </c>
      <c r="F118" s="25" t="n">
        <v>2</v>
      </c>
      <c r="G118" s="25" t="n">
        <v>8</v>
      </c>
      <c r="H118" s="25" t="n">
        <v>34.0706</v>
      </c>
      <c r="I118" s="25" t="inlineStr">
        <is>
          <t>REV00 CURRENT EVIDENCE BASIS — ARTICLE 5 ASSESSMENT BASIS</t>
        </is>
      </c>
      <c r="J118" s="25" t="inlineStr">
        <is>
          <t>PENDING - DRAWING</t>
        </is>
      </c>
      <c r="K118" s="25" t="inlineStr">
        <is>
          <t>PENDING - PHOTOGRAPHS</t>
        </is>
      </c>
      <c r="L118" s="25" t="inlineStr">
        <is>
          <t>Rev.00</t>
        </is>
      </c>
      <c r="M118" s="31">
        <f>HYPERLINK("01_STARTER/ST-054-STD-05/01_Technical_File.docx","Open")</f>
        <v/>
      </c>
    </row>
    <row r="119">
      <c r="A119" s="25" t="inlineStr">
        <is>
          <t>IA-PPWR-TF-ST-054-STD-06-R00</t>
        </is>
      </c>
      <c r="B119" s="25" t="inlineStr">
        <is>
          <t>ST-054-STD-06</t>
        </is>
      </c>
      <c r="C119" s="25" t="inlineStr">
        <is>
          <t>IA-ST-054-STD-06</t>
        </is>
      </c>
      <c r="D119" s="25" t="inlineStr">
        <is>
          <t>L4, LB4 | Palet (4000037): 1 adet | Köşebent (4000590): 2 adet</t>
        </is>
      </c>
      <c r="E119" s="25" t="inlineStr">
        <is>
          <t>IA-ST-CFG-0142</t>
        </is>
      </c>
      <c r="F119" s="25" t="n">
        <v>23</v>
      </c>
      <c r="G119" s="25" t="n">
        <v>7</v>
      </c>
      <c r="H119" s="25" t="n">
        <v>29.7552</v>
      </c>
      <c r="I119" s="25" t="inlineStr">
        <is>
          <t>REV00 CURRENT EVIDENCE BASIS — ARTICLE 5 ASSESSMENT BASIS</t>
        </is>
      </c>
      <c r="J119" s="25" t="inlineStr">
        <is>
          <t>PENDING - DRAWING</t>
        </is>
      </c>
      <c r="K119" s="25" t="inlineStr">
        <is>
          <t>PENDING - PHOTOGRAPHS</t>
        </is>
      </c>
      <c r="L119" s="25" t="inlineStr">
        <is>
          <t>Rev.00</t>
        </is>
      </c>
      <c r="M119" s="31">
        <f>HYPERLINK("01_STARTER/ST-054-STD-06/01_Technical_File.docx","Open")</f>
        <v/>
      </c>
    </row>
    <row r="120">
      <c r="A120" s="25" t="inlineStr">
        <is>
          <t>IA-PPWR-TF-ST-054-STD-07-R00</t>
        </is>
      </c>
      <c r="B120" s="25" t="inlineStr">
        <is>
          <t>ST-054-STD-07</t>
        </is>
      </c>
      <c r="C120" s="25" t="inlineStr">
        <is>
          <t>IA-ST-054-STD-07</t>
        </is>
      </c>
      <c r="D120" s="25" t="inlineStr">
        <is>
          <t>D31 | D31 PVC üst kapak (4001310): 54 adet | Köşebent (4000590): 2 adet</t>
        </is>
      </c>
      <c r="E120" s="25" t="inlineStr">
        <is>
          <t>IA-ST-CFG-0143</t>
        </is>
      </c>
      <c r="F120" s="25" t="n">
        <v>70</v>
      </c>
      <c r="G120" s="25" t="n">
        <v>8</v>
      </c>
      <c r="H120" s="25" t="n">
        <v>33.7838</v>
      </c>
      <c r="I120" s="25" t="inlineStr">
        <is>
          <t>REV00 CURRENT EVIDENCE BASIS — ARTICLE 5 ASSESSMENT BASIS</t>
        </is>
      </c>
      <c r="J120" s="25" t="inlineStr">
        <is>
          <t>PENDING - DRAWING</t>
        </is>
      </c>
      <c r="K120" s="25" t="inlineStr">
        <is>
          <t>PENDING - PHOTOGRAPHS</t>
        </is>
      </c>
      <c r="L120" s="25" t="inlineStr">
        <is>
          <t>Rev.00</t>
        </is>
      </c>
      <c r="M120" s="31">
        <f>HYPERLINK("01_STARTER/ST-054-STD-07/01_Technical_File.docx","Open")</f>
        <v/>
      </c>
    </row>
    <row r="121">
      <c r="A121" s="25" t="inlineStr">
        <is>
          <t>IA-PPWR-TF-ST-054-STD-08-R00</t>
        </is>
      </c>
      <c r="B121" s="25" t="inlineStr">
        <is>
          <t>ST-054-STD-08</t>
        </is>
      </c>
      <c r="C121" s="25" t="inlineStr">
        <is>
          <t>IA-ST-054-STD-08</t>
        </is>
      </c>
      <c r="D121" s="25" t="inlineStr">
        <is>
          <t>L4, LB4 | Palet (4000037): 1 adet | Köşebent (4000590): kullanılmaz</t>
        </is>
      </c>
      <c r="E121" s="25" t="inlineStr">
        <is>
          <t>IA-ST-CFG-0144</t>
        </is>
      </c>
      <c r="F121" s="25" t="n">
        <v>5</v>
      </c>
      <c r="G121" s="25" t="n">
        <v>5</v>
      </c>
      <c r="H121" s="25" t="n">
        <v>29.4684</v>
      </c>
      <c r="I121" s="25" t="inlineStr">
        <is>
          <t>REV00 CURRENT EVIDENCE BASIS — ARTICLE 5 ASSESSMENT BASIS</t>
        </is>
      </c>
      <c r="J121" s="25" t="inlineStr">
        <is>
          <t>PENDING - DRAWING</t>
        </is>
      </c>
      <c r="K121" s="25" t="inlineStr">
        <is>
          <t>PENDING - PHOTOGRAPHS</t>
        </is>
      </c>
      <c r="L121" s="25" t="inlineStr">
        <is>
          <t>Rev.00</t>
        </is>
      </c>
      <c r="M121" s="31">
        <f>HYPERLINK("01_STARTER/ST-054-STD-08/01_Technical_File.docx","Open")</f>
        <v/>
      </c>
    </row>
    <row r="122">
      <c r="A122" s="25" t="inlineStr">
        <is>
          <t>IA-PPWR-TF-ST-054-STD-09-R00</t>
        </is>
      </c>
      <c r="B122" s="25" t="inlineStr">
        <is>
          <t>ST-054-STD-09</t>
        </is>
      </c>
      <c r="C122" s="25" t="inlineStr">
        <is>
          <t>IA-ST-054-STD-09</t>
        </is>
      </c>
      <c r="D122" s="25" t="inlineStr">
        <is>
          <t>D31 | D31 PVC üst kapak (4001310): 54 adet | Çember (4000450): kullanılmaz</t>
        </is>
      </c>
      <c r="E122" s="25" t="inlineStr">
        <is>
          <t>IA-ST-CFG-0145</t>
        </is>
      </c>
      <c r="F122" s="25" t="n">
        <v>17</v>
      </c>
      <c r="G122" s="25" t="n">
        <v>6</v>
      </c>
      <c r="H122" s="25" t="n">
        <v>33.497</v>
      </c>
      <c r="I122" s="25" t="inlineStr">
        <is>
          <t>REV00 CURRENT EVIDENCE BASIS — ARTICLE 5 ASSESSMENT BASIS</t>
        </is>
      </c>
      <c r="J122" s="25" t="inlineStr">
        <is>
          <t>PENDING - DRAWING</t>
        </is>
      </c>
      <c r="K122" s="25" t="inlineStr">
        <is>
          <t>PENDING - PHOTOGRAPHS</t>
        </is>
      </c>
      <c r="L122" s="25" t="inlineStr">
        <is>
          <t>Rev.00</t>
        </is>
      </c>
      <c r="M122" s="31">
        <f>HYPERLINK("01_STARTER/ST-054-STD-09/01_Technical_File.docx","Open")</f>
        <v/>
      </c>
    </row>
    <row r="123">
      <c r="A123" s="25" t="inlineStr">
        <is>
          <t>IA-PPWR-TF-ST-054-STD-10-R00</t>
        </is>
      </c>
      <c r="B123" s="25" t="inlineStr">
        <is>
          <t>ST-054-STD-10</t>
        </is>
      </c>
      <c r="C123" s="25" t="inlineStr">
        <is>
          <t>IA-ST-054-STD-10</t>
        </is>
      </c>
      <c r="D123" s="25" t="inlineStr">
        <is>
          <t>D31 | Palet (4000037): 1 adet | Shrink film (4001177): 0.597 kg</t>
        </is>
      </c>
      <c r="E123" s="25" t="inlineStr">
        <is>
          <t>IA-ST-CFG-0146</t>
        </is>
      </c>
      <c r="F123" s="25" t="n">
        <v>4</v>
      </c>
      <c r="G123" s="25" t="n">
        <v>7</v>
      </c>
      <c r="H123" s="25" t="n">
        <v>28.649</v>
      </c>
      <c r="I123" s="25" t="inlineStr">
        <is>
          <t>REV00 CURRENT EVIDENCE BASIS — ARTICLE 5 ASSESSMENT BASIS</t>
        </is>
      </c>
      <c r="J123" s="25" t="inlineStr">
        <is>
          <t>PENDING - DRAWING</t>
        </is>
      </c>
      <c r="K123" s="25" t="inlineStr">
        <is>
          <t>PENDING - PHOTOGRAPHS</t>
        </is>
      </c>
      <c r="L123" s="25" t="inlineStr">
        <is>
          <t>Rev.00</t>
        </is>
      </c>
      <c r="M123" s="31">
        <f>HYPERLINK("01_STARTER/ST-054-STD-10/01_Technical_File.docx","Open")</f>
        <v/>
      </c>
    </row>
    <row r="124">
      <c r="A124" s="25" t="inlineStr">
        <is>
          <t>IA-PPWR-TF-ST-054-STD-11-R00</t>
        </is>
      </c>
      <c r="B124" s="25" t="inlineStr">
        <is>
          <t>ST-054-STD-11</t>
        </is>
      </c>
      <c r="C124" s="25" t="inlineStr">
        <is>
          <t>IA-ST-054-STD-11</t>
        </is>
      </c>
      <c r="D124" s="25" t="inlineStr">
        <is>
          <t>L4 | Palet (4000037): 1 adet | Shrink film (4001177): 0.597 kg</t>
        </is>
      </c>
      <c r="E124" s="25" t="inlineStr">
        <is>
          <t>IA-ST-CFG-0147</t>
        </is>
      </c>
      <c r="F124" s="25" t="n">
        <v>1</v>
      </c>
      <c r="G124" s="25" t="n">
        <v>6</v>
      </c>
      <c r="H124" s="25" t="n">
        <v>28.417</v>
      </c>
      <c r="I124" s="25" t="inlineStr">
        <is>
          <t>REV00 CURRENT EVIDENCE BASIS — ARTICLE 5 ASSESSMENT BASIS</t>
        </is>
      </c>
      <c r="J124" s="25" t="inlineStr">
        <is>
          <t>PENDING - DRAWING</t>
        </is>
      </c>
      <c r="K124" s="25" t="inlineStr">
        <is>
          <t>PENDING - PHOTOGRAPHS</t>
        </is>
      </c>
      <c r="L124" s="25" t="inlineStr">
        <is>
          <t>Rev.00</t>
        </is>
      </c>
      <c r="M124" s="31">
        <f>HYPERLINK("01_STARTER/ST-054-STD-11/01_Technical_File.docx","Open")</f>
        <v/>
      </c>
    </row>
    <row r="125">
      <c r="A125" s="25" t="inlineStr">
        <is>
          <t>IA-PPWR-TF-ST-054-STD-12-R00</t>
        </is>
      </c>
      <c r="B125" s="25" t="inlineStr">
        <is>
          <t>ST-054-STD-12</t>
        </is>
      </c>
      <c r="C125" s="25" t="inlineStr">
        <is>
          <t>IA-ST-054-STD-12</t>
        </is>
      </c>
      <c r="D125" s="25" t="inlineStr">
        <is>
          <t>LB4 | Palet (4000037): 1 adet | Shrink film (4001177): 0.597 kg</t>
        </is>
      </c>
      <c r="E125" s="25" t="inlineStr">
        <is>
          <t>IA-ST-CFG-0148</t>
        </is>
      </c>
      <c r="F125" s="25" t="n">
        <v>1</v>
      </c>
      <c r="G125" s="25" t="n">
        <v>6</v>
      </c>
      <c r="H125" s="25" t="n">
        <v>28.617</v>
      </c>
      <c r="I125" s="25" t="inlineStr">
        <is>
          <t>REV00 CURRENT EVIDENCE BASIS — ARTICLE 5 ASSESSMENT BASIS</t>
        </is>
      </c>
      <c r="J125" s="25" t="inlineStr">
        <is>
          <t>PENDING - DRAWING</t>
        </is>
      </c>
      <c r="K125" s="25" t="inlineStr">
        <is>
          <t>PENDING - PHOTOGRAPHS</t>
        </is>
      </c>
      <c r="L125" s="25" t="inlineStr">
        <is>
          <t>Rev.00</t>
        </is>
      </c>
      <c r="M125" s="31">
        <f>HYPERLINK("01_STARTER/ST-054-STD-12/01_Technical_File.docx","Open")</f>
        <v/>
      </c>
    </row>
    <row r="126">
      <c r="A126" s="25" t="inlineStr">
        <is>
          <t>IA-PPWR-TF-ST-056-EUR-01-R00</t>
        </is>
      </c>
      <c r="B126" s="25" t="inlineStr">
        <is>
          <t>ST-056-EUR-01</t>
        </is>
      </c>
      <c r="C126" s="25" t="inlineStr">
        <is>
          <t>IA-ST-056-EUR-01</t>
        </is>
      </c>
      <c r="D126" s="25" t="inlineStr">
        <is>
          <t>L4 | L4 İnci AGM LEO 80AH 800A pencereli dış koli (4001341): 56 adet</t>
        </is>
      </c>
      <c r="E126" s="25" t="inlineStr">
        <is>
          <t>IA-ST-CFG-0150</t>
        </is>
      </c>
      <c r="F126" s="25" t="n">
        <v>1</v>
      </c>
      <c r="G126" s="25" t="n">
        <v>7</v>
      </c>
      <c r="H126" s="25" t="n">
        <v>44.106</v>
      </c>
      <c r="I126" s="25" t="inlineStr">
        <is>
          <t>REV00 CURRENT EVIDENCE BASIS — ARTICLE 5 ASSESSMENT BASIS</t>
        </is>
      </c>
      <c r="J126" s="25" t="inlineStr">
        <is>
          <t>PENDING - DRAWING</t>
        </is>
      </c>
      <c r="K126" s="25" t="inlineStr">
        <is>
          <t>PENDING - PHOTOGRAPHS</t>
        </is>
      </c>
      <c r="L126" s="25" t="inlineStr">
        <is>
          <t>Rev.00</t>
        </is>
      </c>
      <c r="M126" s="31">
        <f>HYPERLINK("01_STARTER/ST-056-EUR-01/01_Technical_File.docx","Open")</f>
        <v/>
      </c>
    </row>
    <row r="127">
      <c r="A127" s="25" t="inlineStr">
        <is>
          <t>IA-PPWR-TF-ST-056-EUR-02-R00</t>
        </is>
      </c>
      <c r="B127" s="25" t="inlineStr">
        <is>
          <t>ST-056-EUR-02</t>
        </is>
      </c>
      <c r="C127" s="25" t="inlineStr">
        <is>
          <t>IA-ST-056-EUR-02</t>
        </is>
      </c>
      <c r="D127" s="25" t="inlineStr">
        <is>
          <t>L4, LB4 | Palet (4000038): 1 adet | Köşebent (4000590): 4 adet</t>
        </is>
      </c>
      <c r="E127" s="25" t="inlineStr">
        <is>
          <t>IA-ST-CFG-0151</t>
        </is>
      </c>
      <c r="F127" s="25" t="n">
        <v>8</v>
      </c>
      <c r="G127" s="25" t="n">
        <v>6</v>
      </c>
      <c r="H127" s="25" t="n">
        <v>28.126</v>
      </c>
      <c r="I127" s="25" t="inlineStr">
        <is>
          <t>REV00 CURRENT EVIDENCE BASIS — ARTICLE 5 ASSESSMENT BASIS</t>
        </is>
      </c>
      <c r="J127" s="25" t="inlineStr">
        <is>
          <t>PENDING - DRAWING</t>
        </is>
      </c>
      <c r="K127" s="25" t="inlineStr">
        <is>
          <t>PENDING - PHOTOGRAPHS</t>
        </is>
      </c>
      <c r="L127" s="25" t="inlineStr">
        <is>
          <t>Rev.00</t>
        </is>
      </c>
      <c r="M127" s="31">
        <f>HYPERLINK("01_STARTER/ST-056-EUR-02/01_Technical_File.docx","Open")</f>
        <v/>
      </c>
    </row>
    <row r="128">
      <c r="A128" s="25" t="inlineStr">
        <is>
          <t>IA-PPWR-TF-ST-056-EUR-03-R00</t>
        </is>
      </c>
      <c r="B128" s="25" t="inlineStr">
        <is>
          <t>ST-056-EUR-03</t>
        </is>
      </c>
      <c r="C128" s="25" t="inlineStr">
        <is>
          <t>IA-ST-056-EUR-03</t>
        </is>
      </c>
      <c r="D128" s="25" t="inlineStr">
        <is>
          <t>L4, LB4 | Palet (4000038): 1 adet | Shrink film (4000554): 1.904 kg</t>
        </is>
      </c>
      <c r="E128" s="25" t="inlineStr">
        <is>
          <t>IA-ST-CFG-0152</t>
        </is>
      </c>
      <c r="F128" s="25" t="n">
        <v>18</v>
      </c>
      <c r="G128" s="25" t="n">
        <v>7</v>
      </c>
      <c r="H128" s="25" t="n">
        <v>29.7432</v>
      </c>
      <c r="I128" s="25" t="inlineStr">
        <is>
          <t>REV00 CURRENT EVIDENCE BASIS — ARTICLE 5 ASSESSMENT BASIS</t>
        </is>
      </c>
      <c r="J128" s="25" t="inlineStr">
        <is>
          <t>PENDING - DRAWING</t>
        </is>
      </c>
      <c r="K128" s="25" t="inlineStr">
        <is>
          <t>PENDING - PHOTOGRAPHS</t>
        </is>
      </c>
      <c r="L128" s="25" t="inlineStr">
        <is>
          <t>Rev.00</t>
        </is>
      </c>
      <c r="M128" s="31">
        <f>HYPERLINK("01_STARTER/ST-056-EUR-03/01_Technical_File.docx","Open")</f>
        <v/>
      </c>
    </row>
    <row r="129">
      <c r="A129" s="25" t="inlineStr">
        <is>
          <t>IA-PPWR-TF-ST-056-EUR-04-R00</t>
        </is>
      </c>
      <c r="B129" s="25" t="inlineStr">
        <is>
          <t>ST-056-EUR-04</t>
        </is>
      </c>
      <c r="C129" s="25" t="inlineStr">
        <is>
          <t>IA-ST-056-EUR-04</t>
        </is>
      </c>
      <c r="D129" s="25" t="inlineStr">
        <is>
          <t>LB4, L4 | Palet (4000038): 1 adet | Köşebent (4000590): 2 adet</t>
        </is>
      </c>
      <c r="E129" s="25" t="inlineStr">
        <is>
          <t>IA-ST-CFG-0153</t>
        </is>
      </c>
      <c r="F129" s="25" t="n">
        <v>5</v>
      </c>
      <c r="G129" s="25" t="n">
        <v>6</v>
      </c>
      <c r="H129" s="25" t="n">
        <v>27.8392</v>
      </c>
      <c r="I129" s="25" t="inlineStr">
        <is>
          <t>REV00 CURRENT EVIDENCE BASIS — ARTICLE 5 ASSESSMENT BASIS</t>
        </is>
      </c>
      <c r="J129" s="25" t="inlineStr">
        <is>
          <t>PENDING - DRAWING</t>
        </is>
      </c>
      <c r="K129" s="25" t="inlineStr">
        <is>
          <t>PENDING - PHOTOGRAPHS</t>
        </is>
      </c>
      <c r="L129" s="25" t="inlineStr">
        <is>
          <t>Rev.00</t>
        </is>
      </c>
      <c r="M129" s="31">
        <f>HYPERLINK("01_STARTER/ST-056-EUR-04/01_Technical_File.docx","Open")</f>
        <v/>
      </c>
    </row>
    <row r="130">
      <c r="A130" s="25" t="inlineStr">
        <is>
          <t>IA-PPWR-TF-ST-057-EUR-01-R00</t>
        </is>
      </c>
      <c r="B130" s="25" t="inlineStr">
        <is>
          <t>ST-057-EUR-01</t>
        </is>
      </c>
      <c r="C130" s="25" t="inlineStr">
        <is>
          <t>IA-ST-057-EUR-01</t>
        </is>
      </c>
      <c r="D130" s="25" t="inlineStr">
        <is>
          <t>D26 | Palet (4000038): 1 adet | Honeycomb (4001186): 3 adet</t>
        </is>
      </c>
      <c r="E130" s="25" t="inlineStr">
        <is>
          <t>IA-ST-CFG-0160</t>
        </is>
      </c>
      <c r="F130" s="25" t="n">
        <v>7</v>
      </c>
      <c r="G130" s="25" t="n">
        <v>7</v>
      </c>
      <c r="H130" s="25" t="n">
        <v>30.326</v>
      </c>
      <c r="I130" s="25" t="inlineStr">
        <is>
          <t>REV00 CURRENT EVIDENCE BASIS — ARTICLE 5 ASSESSMENT BASIS</t>
        </is>
      </c>
      <c r="J130" s="25" t="inlineStr">
        <is>
          <t>PENDING - DRAWING</t>
        </is>
      </c>
      <c r="K130" s="25" t="inlineStr">
        <is>
          <t>PENDING - PHOTOGRAPHS</t>
        </is>
      </c>
      <c r="L130" s="25" t="inlineStr">
        <is>
          <t>Rev.00</t>
        </is>
      </c>
      <c r="M130" s="31">
        <f>HYPERLINK("01_STARTER/ST-057-EUR-01/01_Technical_File.docx","Open")</f>
        <v/>
      </c>
    </row>
    <row r="131">
      <c r="A131" s="25" t="inlineStr">
        <is>
          <t>IA-PPWR-TF-ST-057-EUR-02-R00</t>
        </is>
      </c>
      <c r="B131" s="25" t="inlineStr">
        <is>
          <t>ST-057-EUR-02</t>
        </is>
      </c>
      <c r="C131" s="25" t="inlineStr">
        <is>
          <t>IA-ST-057-EUR-02</t>
        </is>
      </c>
      <c r="D131" s="25" t="inlineStr">
        <is>
          <t>D26 | Palet (4000038): 1 adet | EPS (4001247): 3 adet</t>
        </is>
      </c>
      <c r="E131" s="25" t="inlineStr">
        <is>
          <t>IA-ST-CFG-0161</t>
        </is>
      </c>
      <c r="F131" s="25" t="n">
        <v>2</v>
      </c>
      <c r="G131" s="25" t="n">
        <v>7</v>
      </c>
      <c r="H131" s="25" t="n">
        <v>27.506</v>
      </c>
      <c r="I131" s="25" t="inlineStr">
        <is>
          <t>REV00 CURRENT EVIDENCE BASIS — ARTICLE 5 ASSESSMENT BASIS</t>
        </is>
      </c>
      <c r="J131" s="25" t="inlineStr">
        <is>
          <t>PENDING - DRAWING</t>
        </is>
      </c>
      <c r="K131" s="25" t="inlineStr">
        <is>
          <t>PENDING - PHOTOGRAPHS</t>
        </is>
      </c>
      <c r="L131" s="25" t="inlineStr">
        <is>
          <t>Rev.00</t>
        </is>
      </c>
      <c r="M131" s="31">
        <f>HYPERLINK("01_STARTER/ST-057-EUR-02/01_Technical_File.docx","Open")</f>
        <v/>
      </c>
    </row>
    <row r="132">
      <c r="A132" s="25" t="inlineStr">
        <is>
          <t>IA-PPWR-TF-ST-057-EUR-03-R00</t>
        </is>
      </c>
      <c r="B132" s="25" t="inlineStr">
        <is>
          <t>ST-057-EUR-03</t>
        </is>
      </c>
      <c r="C132" s="25" t="inlineStr">
        <is>
          <t>IA-ST-057-EUR-03</t>
        </is>
      </c>
      <c r="D132" s="25" t="inlineStr">
        <is>
          <t>L2, LB2 | Palet (4000038): 1 adet | Köşebent (4000590): 4 adet</t>
        </is>
      </c>
      <c r="E132" s="25" t="inlineStr">
        <is>
          <t>IA-ST-CFG-0162</t>
        </is>
      </c>
      <c r="F132" s="25" t="n">
        <v>38</v>
      </c>
      <c r="G132" s="25" t="n">
        <v>6</v>
      </c>
      <c r="H132" s="25" t="n">
        <v>27.926</v>
      </c>
      <c r="I132" s="25" t="inlineStr">
        <is>
          <t>REV00 CURRENT EVIDENCE BASIS — ARTICLE 5 ASSESSMENT BASIS</t>
        </is>
      </c>
      <c r="J132" s="25" t="inlineStr">
        <is>
          <t>PENDING - DRAWING</t>
        </is>
      </c>
      <c r="K132" s="25" t="inlineStr">
        <is>
          <t>PENDING - PHOTOGRAPHS</t>
        </is>
      </c>
      <c r="L132" s="25" t="inlineStr">
        <is>
          <t>Rev.00</t>
        </is>
      </c>
      <c r="M132" s="31">
        <f>HYPERLINK("01_STARTER/ST-057-EUR-03/01_Technical_File.docx","Open")</f>
        <v/>
      </c>
    </row>
    <row r="133">
      <c r="A133" s="25" t="inlineStr">
        <is>
          <t>IA-PPWR-TF-ST-057-EUR-04-R00</t>
        </is>
      </c>
      <c r="B133" s="25" t="inlineStr">
        <is>
          <t>ST-057-EUR-04</t>
        </is>
      </c>
      <c r="C133" s="25" t="inlineStr">
        <is>
          <t>IA-ST-057-EUR-04</t>
        </is>
      </c>
      <c r="D133" s="25" t="inlineStr">
        <is>
          <t>L2, LB2 | Palet (4000038): 1 adet | Shrink film (4000558): 2.166 kg</t>
        </is>
      </c>
      <c r="E133" s="25" t="inlineStr">
        <is>
          <t>IA-ST-CFG-0163</t>
        </is>
      </c>
      <c r="F133" s="25" t="n">
        <v>9</v>
      </c>
      <c r="G133" s="25" t="n">
        <v>7</v>
      </c>
      <c r="H133" s="25" t="n">
        <v>29.8052</v>
      </c>
      <c r="I133" s="25" t="inlineStr">
        <is>
          <t>REV00 CURRENT EVIDENCE BASIS — ARTICLE 5 ASSESSMENT BASIS</t>
        </is>
      </c>
      <c r="J133" s="25" t="inlineStr">
        <is>
          <t>PENDING - DRAWING</t>
        </is>
      </c>
      <c r="K133" s="25" t="inlineStr">
        <is>
          <t>PENDING - PHOTOGRAPHS</t>
        </is>
      </c>
      <c r="L133" s="25" t="inlineStr">
        <is>
          <t>Rev.00</t>
        </is>
      </c>
      <c r="M133" s="31">
        <f>HYPERLINK("01_STARTER/ST-057-EUR-04/01_Technical_File.docx","Open")</f>
        <v/>
      </c>
    </row>
    <row r="134">
      <c r="A134" s="25" t="inlineStr">
        <is>
          <t>IA-PPWR-TF-ST-057-EUR-05-R00</t>
        </is>
      </c>
      <c r="B134" s="25" t="inlineStr">
        <is>
          <t>ST-057-EUR-05</t>
        </is>
      </c>
      <c r="C134" s="25" t="inlineStr">
        <is>
          <t>IA-ST-057-EUR-05</t>
        </is>
      </c>
      <c r="D134" s="25" t="inlineStr">
        <is>
          <t>L2, LB2 | Palet (4000038): 1 adet | Shrink film (4000558): kullanılmaz | Köşebent (4000590): 2 adet</t>
        </is>
      </c>
      <c r="E134" s="25" t="inlineStr">
        <is>
          <t>IA-ST-CFG-0164</t>
        </is>
      </c>
      <c r="F134" s="25" t="n">
        <v>10</v>
      </c>
      <c r="G134" s="25" t="n">
        <v>6</v>
      </c>
      <c r="H134" s="25" t="n">
        <v>27.6392</v>
      </c>
      <c r="I134" s="25" t="inlineStr">
        <is>
          <t>REV00 CURRENT EVIDENCE BASIS — ARTICLE 5 ASSESSMENT BASIS</t>
        </is>
      </c>
      <c r="J134" s="25" t="inlineStr">
        <is>
          <t>PENDING - DRAWING</t>
        </is>
      </c>
      <c r="K134" s="25" t="inlineStr">
        <is>
          <t>PENDING - PHOTOGRAPHS</t>
        </is>
      </c>
      <c r="L134" s="25" t="inlineStr">
        <is>
          <t>Rev.00</t>
        </is>
      </c>
      <c r="M134" s="31">
        <f>HYPERLINK("01_STARTER/ST-057-EUR-05/01_Technical_File.docx","Open")</f>
        <v/>
      </c>
    </row>
    <row r="135">
      <c r="A135" s="25" t="inlineStr">
        <is>
          <t>IA-PPWR-TF-ST-057-STD-01-R00</t>
        </is>
      </c>
      <c r="B135" s="25" t="inlineStr">
        <is>
          <t>ST-057-STD-01</t>
        </is>
      </c>
      <c r="C135" s="25" t="inlineStr">
        <is>
          <t>IA-ST-057-STD-01</t>
        </is>
      </c>
      <c r="D135" s="25" t="inlineStr">
        <is>
          <t>D26 | D26 İnciEFBPANTERA pencereli YÜKSEK DL dış koli (4001271): 57 adet</t>
        </is>
      </c>
      <c r="E135" s="25" t="inlineStr">
        <is>
          <t>IA-ST-CFG-0155</t>
        </is>
      </c>
      <c r="F135" s="25" t="n">
        <v>1</v>
      </c>
      <c r="G135" s="25" t="n">
        <v>8</v>
      </c>
      <c r="H135" s="25" t="n">
        <v>50.954</v>
      </c>
      <c r="I135" s="25" t="inlineStr">
        <is>
          <t>REV00 CURRENT EVIDENCE BASIS — ARTICLE 5 ASSESSMENT BASIS</t>
        </is>
      </c>
      <c r="J135" s="25" t="inlineStr">
        <is>
          <t>PENDING - DRAWING</t>
        </is>
      </c>
      <c r="K135" s="25" t="inlineStr">
        <is>
          <t>PENDING - PHOTOGRAPHS</t>
        </is>
      </c>
      <c r="L135" s="25" t="inlineStr">
        <is>
          <t>Rev.00</t>
        </is>
      </c>
      <c r="M135" s="31">
        <f>HYPERLINK("01_STARTER/ST-057-STD-01/01_Technical_File.docx","Open")</f>
        <v/>
      </c>
    </row>
    <row r="136">
      <c r="A136" s="25" t="inlineStr">
        <is>
          <t>IA-PPWR-TF-ST-057-STD-02-R00</t>
        </is>
      </c>
      <c r="B136" s="25" t="inlineStr">
        <is>
          <t>ST-057-STD-02</t>
        </is>
      </c>
      <c r="C136" s="25" t="inlineStr">
        <is>
          <t>IA-ST-057-STD-02</t>
        </is>
      </c>
      <c r="D136" s="25" t="inlineStr">
        <is>
          <t>D26 | D26 EAS Activa penceresiz (YÜKSEK) dış koli (4001287): 57 adet</t>
        </is>
      </c>
      <c r="E136" s="25" t="inlineStr">
        <is>
          <t>IA-ST-CFG-0156</t>
        </is>
      </c>
      <c r="F136" s="25" t="n">
        <v>1</v>
      </c>
      <c r="G136" s="25" t="n">
        <v>8</v>
      </c>
      <c r="H136" s="25" t="n">
        <v>50.954</v>
      </c>
      <c r="I136" s="25" t="inlineStr">
        <is>
          <t>REV00 CURRENT EVIDENCE BASIS — ARTICLE 5 ASSESSMENT BASIS</t>
        </is>
      </c>
      <c r="J136" s="25" t="inlineStr">
        <is>
          <t>PENDING - DRAWING</t>
        </is>
      </c>
      <c r="K136" s="25" t="inlineStr">
        <is>
          <t>PENDING - PHOTOGRAPHS</t>
        </is>
      </c>
      <c r="L136" s="25" t="inlineStr">
        <is>
          <t>Rev.00</t>
        </is>
      </c>
      <c r="M136" s="31">
        <f>HYPERLINK("01_STARTER/ST-057-STD-02/01_Technical_File.docx","Open")</f>
        <v/>
      </c>
    </row>
    <row r="137">
      <c r="A137" s="25" t="inlineStr">
        <is>
          <t>IA-PPWR-TF-ST-057-STD-03-R00</t>
        </is>
      </c>
      <c r="B137" s="25" t="inlineStr">
        <is>
          <t>ST-057-STD-03</t>
        </is>
      </c>
      <c r="C137" s="25" t="inlineStr">
        <is>
          <t>IA-ST-057-STD-03</t>
        </is>
      </c>
      <c r="D137" s="25" t="inlineStr">
        <is>
          <t>D26 | D26 YUASA ORTADOĞU penceresiz dış koli (4001289): 57 adet</t>
        </is>
      </c>
      <c r="E137" s="25" t="inlineStr">
        <is>
          <t>IA-ST-CFG-0157</t>
        </is>
      </c>
      <c r="F137" s="25" t="n">
        <v>2</v>
      </c>
      <c r="G137" s="25" t="n">
        <v>8</v>
      </c>
      <c r="H137" s="25" t="n">
        <v>50.954</v>
      </c>
      <c r="I137" s="25" t="inlineStr">
        <is>
          <t>REV00 CURRENT EVIDENCE BASIS — ARTICLE 5 ASSESSMENT BASIS</t>
        </is>
      </c>
      <c r="J137" s="25" t="inlineStr">
        <is>
          <t>PENDING - DRAWING</t>
        </is>
      </c>
      <c r="K137" s="25" t="inlineStr">
        <is>
          <t>PENDING - PHOTOGRAPHS</t>
        </is>
      </c>
      <c r="L137" s="25" t="inlineStr">
        <is>
          <t>Rev.00</t>
        </is>
      </c>
      <c r="M137" s="31">
        <f>HYPERLINK("01_STARTER/ST-057-STD-03/01_Technical_File.docx","Open")</f>
        <v/>
      </c>
    </row>
    <row r="138">
      <c r="A138" s="25" t="inlineStr">
        <is>
          <t>IA-PPWR-TF-ST-060-EUR-01-R00</t>
        </is>
      </c>
      <c r="B138" s="25" t="inlineStr">
        <is>
          <t>ST-060-EUR-01</t>
        </is>
      </c>
      <c r="C138" s="25" t="inlineStr">
        <is>
          <t>IA-ST-060-EUR-01</t>
        </is>
      </c>
      <c r="D138" s="25" t="inlineStr">
        <is>
          <t>D23 | D23 YUASA penceresiz Orta Doğu dış koli (4001106): 60 adet</t>
        </is>
      </c>
      <c r="E138" s="25" t="inlineStr">
        <is>
          <t>IA-ST-CFG-0170</t>
        </is>
      </c>
      <c r="F138" s="25" t="n">
        <v>1</v>
      </c>
      <c r="G138" s="25" t="n">
        <v>8</v>
      </c>
      <c r="H138" s="25" t="n">
        <v>46.6702</v>
      </c>
      <c r="I138" s="25" t="inlineStr">
        <is>
          <t>REV00 CURRENT EVIDENCE BASIS — ARTICLE 5 ASSESSMENT BASIS</t>
        </is>
      </c>
      <c r="J138" s="25" t="inlineStr">
        <is>
          <t>PENDING - DRAWING</t>
        </is>
      </c>
      <c r="K138" s="25" t="inlineStr">
        <is>
          <t>PENDING - PHOTOGRAPHS</t>
        </is>
      </c>
      <c r="L138" s="25" t="inlineStr">
        <is>
          <t>Rev.00</t>
        </is>
      </c>
      <c r="M138" s="31">
        <f>HYPERLINK("01_STARTER/ST-060-EUR-01/01_Technical_File.docx","Open")</f>
        <v/>
      </c>
    </row>
    <row r="139">
      <c r="A139" s="25" t="inlineStr">
        <is>
          <t>IA-PPWR-TF-ST-060-EUR-02-R00</t>
        </is>
      </c>
      <c r="B139" s="25" t="inlineStr">
        <is>
          <t>ST-060-EUR-02</t>
        </is>
      </c>
      <c r="C139" s="25" t="inlineStr">
        <is>
          <t>IA-ST-060-EUR-02</t>
        </is>
      </c>
      <c r="D139" s="25" t="inlineStr">
        <is>
          <t>D23 | D23 PVC üst kapak (4000461): 60 adet</t>
        </is>
      </c>
      <c r="E139" s="25" t="inlineStr">
        <is>
          <t>IA-ST-CFG-0171</t>
        </is>
      </c>
      <c r="F139" s="25" t="n">
        <v>13</v>
      </c>
      <c r="G139" s="25" t="n">
        <v>8</v>
      </c>
      <c r="H139" s="25" t="n">
        <v>32.9834</v>
      </c>
      <c r="I139" s="25" t="inlineStr">
        <is>
          <t>REV00 CURRENT EVIDENCE BASIS — ARTICLE 5 ASSESSMENT BASIS</t>
        </is>
      </c>
      <c r="J139" s="25" t="inlineStr">
        <is>
          <t>PENDING - DRAWING</t>
        </is>
      </c>
      <c r="K139" s="25" t="inlineStr">
        <is>
          <t>PENDING - PHOTOGRAPHS</t>
        </is>
      </c>
      <c r="L139" s="25" t="inlineStr">
        <is>
          <t>Rev.00</t>
        </is>
      </c>
      <c r="M139" s="31">
        <f>HYPERLINK("01_STARTER/ST-060-EUR-02/01_Technical_File.docx","Open")</f>
        <v/>
      </c>
    </row>
    <row r="140">
      <c r="A140" s="25" t="inlineStr">
        <is>
          <t>IA-PPWR-TF-ST-060-STD-01-R00</t>
        </is>
      </c>
      <c r="B140" s="25" t="inlineStr">
        <is>
          <t>ST-060-STD-01</t>
        </is>
      </c>
      <c r="C140" s="25" t="inlineStr">
        <is>
          <t>IA-ST-060-STD-01</t>
        </is>
      </c>
      <c r="D140" s="25" t="inlineStr">
        <is>
          <t>L5 | L5 EAS Activa penceresiz dış koli (4001006): 60 adet</t>
        </is>
      </c>
      <c r="E140" s="25" t="inlineStr">
        <is>
          <t>IA-ST-CFG-0165</t>
        </is>
      </c>
      <c r="F140" s="25" t="n">
        <v>2</v>
      </c>
      <c r="G140" s="25" t="n">
        <v>7</v>
      </c>
      <c r="H140" s="25" t="n">
        <v>49.136</v>
      </c>
      <c r="I140" s="25" t="inlineStr">
        <is>
          <t>REV00 CURRENT EVIDENCE BASIS — ARTICLE 5 ASSESSMENT BASIS</t>
        </is>
      </c>
      <c r="J140" s="25" t="inlineStr">
        <is>
          <t>PENDING - DRAWING</t>
        </is>
      </c>
      <c r="K140" s="25" t="inlineStr">
        <is>
          <t>PENDING - PHOTOGRAPHS</t>
        </is>
      </c>
      <c r="L140" s="25" t="inlineStr">
        <is>
          <t>Rev.00</t>
        </is>
      </c>
      <c r="M140" s="31">
        <f>HYPERLINK("01_STARTER/ST-060-STD-01/01_Technical_File.docx","Open")</f>
        <v/>
      </c>
    </row>
    <row r="141">
      <c r="A141" s="25" t="inlineStr">
        <is>
          <t>IA-PPWR-TF-ST-060-STD-02-R00</t>
        </is>
      </c>
      <c r="B141" s="25" t="inlineStr">
        <is>
          <t>ST-060-STD-02</t>
        </is>
      </c>
      <c r="C141" s="25" t="inlineStr">
        <is>
          <t>IA-ST-060-STD-02</t>
        </is>
      </c>
      <c r="D141" s="25" t="inlineStr">
        <is>
          <t>L5 | L5 YUASA penceresiz Orta Doğu dış koli (4001105): 60 adet</t>
        </is>
      </c>
      <c r="E141" s="25" t="inlineStr">
        <is>
          <t>IA-ST-CFG-0166</t>
        </is>
      </c>
      <c r="F141" s="25" t="n">
        <v>2</v>
      </c>
      <c r="G141" s="25" t="n">
        <v>7</v>
      </c>
      <c r="H141" s="25" t="n">
        <v>49.136</v>
      </c>
      <c r="I141" s="25" t="inlineStr">
        <is>
          <t>REV00 CURRENT EVIDENCE BASIS — ARTICLE 5 ASSESSMENT BASIS</t>
        </is>
      </c>
      <c r="J141" s="25" t="inlineStr">
        <is>
          <t>PENDING - DRAWING</t>
        </is>
      </c>
      <c r="K141" s="25" t="inlineStr">
        <is>
          <t>PENDING - PHOTOGRAPHS</t>
        </is>
      </c>
      <c r="L141" s="25" t="inlineStr">
        <is>
          <t>Rev.00</t>
        </is>
      </c>
      <c r="M141" s="31">
        <f>HYPERLINK("01_STARTER/ST-060-STD-02/01_Technical_File.docx","Open")</f>
        <v/>
      </c>
    </row>
    <row r="142">
      <c r="A142" s="25" t="inlineStr">
        <is>
          <t>IA-PPWR-TF-ST-060-STD-03-R00</t>
        </is>
      </c>
      <c r="B142" s="25" t="inlineStr">
        <is>
          <t>ST-060-STD-03</t>
        </is>
      </c>
      <c r="C142" s="25" t="inlineStr">
        <is>
          <t>IA-ST-060-STD-03</t>
        </is>
      </c>
      <c r="D142" s="25" t="inlineStr">
        <is>
          <t>L5 | L5 İnci EFB MAX TIGRIS pencereli 2020 dış koli (4001274): 60 adet</t>
        </is>
      </c>
      <c r="E142" s="25" t="inlineStr">
        <is>
          <t>IA-ST-CFG-0167</t>
        </is>
      </c>
      <c r="F142" s="25" t="n">
        <v>1</v>
      </c>
      <c r="G142" s="25" t="n">
        <v>7</v>
      </c>
      <c r="H142" s="25" t="n">
        <v>49.136</v>
      </c>
      <c r="I142" s="25" t="inlineStr">
        <is>
          <t>REV00 CURRENT EVIDENCE BASIS — ARTICLE 5 ASSESSMENT BASIS</t>
        </is>
      </c>
      <c r="J142" s="25" t="inlineStr">
        <is>
          <t>PENDING - DRAWING</t>
        </is>
      </c>
      <c r="K142" s="25" t="inlineStr">
        <is>
          <t>PENDING - PHOTOGRAPHS</t>
        </is>
      </c>
      <c r="L142" s="25" t="inlineStr">
        <is>
          <t>Rev.00</t>
        </is>
      </c>
      <c r="M142" s="31">
        <f>HYPERLINK("01_STARTER/ST-060-STD-03/01_Technical_File.docx","Open")</f>
        <v/>
      </c>
    </row>
    <row r="143">
      <c r="A143" s="25" t="inlineStr">
        <is>
          <t>IA-PPWR-TF-ST-060-STD-04-R00</t>
        </is>
      </c>
      <c r="B143" s="25" t="inlineStr">
        <is>
          <t>ST-060-STD-04</t>
        </is>
      </c>
      <c r="C143" s="25" t="inlineStr">
        <is>
          <t>IA-ST-060-STD-04</t>
        </is>
      </c>
      <c r="D143" s="25" t="inlineStr">
        <is>
          <t>L5 | L5 İnciEFBPANTRA pencereli 90AH830A DL dış koli (4001320): 60 adet</t>
        </is>
      </c>
      <c r="E143" s="25" t="inlineStr">
        <is>
          <t>IA-ST-CFG-0168</t>
        </is>
      </c>
      <c r="F143" s="25" t="n">
        <v>1</v>
      </c>
      <c r="G143" s="25" t="n">
        <v>7</v>
      </c>
      <c r="H143" s="25" t="n">
        <v>49.136</v>
      </c>
      <c r="I143" s="25" t="inlineStr">
        <is>
          <t>REV00 CURRENT EVIDENCE BASIS — ARTICLE 5 ASSESSMENT BASIS</t>
        </is>
      </c>
      <c r="J143" s="25" t="inlineStr">
        <is>
          <t>PENDING - DRAWING</t>
        </is>
      </c>
      <c r="K143" s="25" t="inlineStr">
        <is>
          <t>PENDING - PHOTOGRAPHS</t>
        </is>
      </c>
      <c r="L143" s="25" t="inlineStr">
        <is>
          <t>Rev.00</t>
        </is>
      </c>
      <c r="M143" s="31">
        <f>HYPERLINK("01_STARTER/ST-060-STD-04/01_Technical_File.docx","Open")</f>
        <v/>
      </c>
    </row>
    <row r="144">
      <c r="A144" s="25" t="inlineStr">
        <is>
          <t>IA-PPWR-TF-ST-060-STD-05-R00</t>
        </is>
      </c>
      <c r="B144" s="25" t="inlineStr">
        <is>
          <t>ST-060-STD-05</t>
        </is>
      </c>
      <c r="C144" s="25" t="inlineStr">
        <is>
          <t>IA-ST-060-STD-05</t>
        </is>
      </c>
      <c r="D144" s="25" t="inlineStr">
        <is>
          <t>L5 | L5 İnci FORMULA-MAXIMA 2019 dış koli (4001208): 60 adet</t>
        </is>
      </c>
      <c r="E144" s="25" t="inlineStr">
        <is>
          <t>IA-ST-CFG-0169</t>
        </is>
      </c>
      <c r="F144" s="25" t="n">
        <v>1</v>
      </c>
      <c r="G144" s="25" t="n">
        <v>7</v>
      </c>
      <c r="H144" s="25" t="n">
        <v>49.556</v>
      </c>
      <c r="I144" s="25" t="inlineStr">
        <is>
          <t>REV00 CURRENT EVIDENCE BASIS — ARTICLE 5 ASSESSMENT BASIS</t>
        </is>
      </c>
      <c r="J144" s="25" t="inlineStr">
        <is>
          <t>PENDING - DRAWING</t>
        </is>
      </c>
      <c r="K144" s="25" t="inlineStr">
        <is>
          <t>PENDING - PHOTOGRAPHS</t>
        </is>
      </c>
      <c r="L144" s="25" t="inlineStr">
        <is>
          <t>Rev.00</t>
        </is>
      </c>
      <c r="M144" s="31">
        <f>HYPERLINK("01_STARTER/ST-060-STD-05/01_Technical_File.docx","Open")</f>
        <v/>
      </c>
    </row>
    <row r="145">
      <c r="A145" s="25" t="inlineStr">
        <is>
          <t>IA-PPWR-TF-ST-063-EUR-01-R00</t>
        </is>
      </c>
      <c r="B145" s="25" t="inlineStr">
        <is>
          <t>ST-063-EUR-01</t>
        </is>
      </c>
      <c r="C145" s="25" t="inlineStr">
        <is>
          <t>IA-ST-063-EUR-01</t>
        </is>
      </c>
      <c r="D145" s="25" t="inlineStr">
        <is>
          <t>D23 | Palet (4000038): 1 adet | Honeycomb (4001186): 3 adet</t>
        </is>
      </c>
      <c r="E145" s="25" t="inlineStr">
        <is>
          <t>IA-ST-CFG-0188</t>
        </is>
      </c>
      <c r="F145" s="25" t="n">
        <v>7</v>
      </c>
      <c r="G145" s="25" t="n">
        <v>7</v>
      </c>
      <c r="H145" s="25" t="n">
        <v>30.326</v>
      </c>
      <c r="I145" s="25" t="inlineStr">
        <is>
          <t>REV00 CURRENT EVIDENCE BASIS — ARTICLE 5 ASSESSMENT BASIS</t>
        </is>
      </c>
      <c r="J145" s="25" t="inlineStr">
        <is>
          <t>PENDING - DRAWING</t>
        </is>
      </c>
      <c r="K145" s="25" t="inlineStr">
        <is>
          <t>PENDING - PHOTOGRAPHS</t>
        </is>
      </c>
      <c r="L145" s="25" t="inlineStr">
        <is>
          <t>Rev.00</t>
        </is>
      </c>
      <c r="M145" s="31">
        <f>HYPERLINK("01_STARTER/ST-063-EUR-01/01_Technical_File.docx","Open")</f>
        <v/>
      </c>
    </row>
    <row r="146">
      <c r="A146" s="25" t="inlineStr">
        <is>
          <t>IA-PPWR-TF-ST-063-EUR-02-R00</t>
        </is>
      </c>
      <c r="B146" s="25" t="inlineStr">
        <is>
          <t>ST-063-EUR-02</t>
        </is>
      </c>
      <c r="C146" s="25" t="inlineStr">
        <is>
          <t>IA-ST-063-EUR-02</t>
        </is>
      </c>
      <c r="D146" s="25" t="inlineStr">
        <is>
          <t>D23 | Palet (4000038): 1 adet | EPS (4001247): 3 adet</t>
        </is>
      </c>
      <c r="E146" s="25" t="inlineStr">
        <is>
          <t>IA-ST-CFG-0189</t>
        </is>
      </c>
      <c r="F146" s="25" t="n">
        <v>3</v>
      </c>
      <c r="G146" s="25" t="n">
        <v>7</v>
      </c>
      <c r="H146" s="25" t="n">
        <v>27.506</v>
      </c>
      <c r="I146" s="25" t="inlineStr">
        <is>
          <t>REV00 CURRENT EVIDENCE BASIS — ARTICLE 5 ASSESSMENT BASIS</t>
        </is>
      </c>
      <c r="J146" s="25" t="inlineStr">
        <is>
          <t>PENDING - DRAWING</t>
        </is>
      </c>
      <c r="K146" s="25" t="inlineStr">
        <is>
          <t>PENDING - PHOTOGRAPHS</t>
        </is>
      </c>
      <c r="L146" s="25" t="inlineStr">
        <is>
          <t>Rev.00</t>
        </is>
      </c>
      <c r="M146" s="31">
        <f>HYPERLINK("01_STARTER/ST-063-EUR-02/01_Technical_File.docx","Open")</f>
        <v/>
      </c>
    </row>
    <row r="147">
      <c r="A147" s="25" t="inlineStr">
        <is>
          <t>IA-PPWR-TF-ST-063-STD-01-R00</t>
        </is>
      </c>
      <c r="B147" s="25" t="inlineStr">
        <is>
          <t>ST-063-STD-01</t>
        </is>
      </c>
      <c r="C147" s="25" t="inlineStr">
        <is>
          <t>IA-ST-063-STD-01</t>
        </is>
      </c>
      <c r="D147" s="25" t="inlineStr">
        <is>
          <t>D23 | D23 İnci EFBPANTERA YÜKSEK PENLİ DL dış koli (4001270): 63 adet</t>
        </is>
      </c>
      <c r="E147" s="25" t="inlineStr">
        <is>
          <t>IA-ST-CFG-0172</t>
        </is>
      </c>
      <c r="F147" s="25" t="n">
        <v>1</v>
      </c>
      <c r="G147" s="25" t="n">
        <v>8</v>
      </c>
      <c r="H147" s="25" t="n">
        <v>47.40341</v>
      </c>
      <c r="I147" s="25" t="inlineStr">
        <is>
          <t>REV00 CURRENT EVIDENCE BASIS — ARTICLE 5 ASSESSMENT BASIS</t>
        </is>
      </c>
      <c r="J147" s="25" t="inlineStr">
        <is>
          <t>PENDING - DRAWING</t>
        </is>
      </c>
      <c r="K147" s="25" t="inlineStr">
        <is>
          <t>PENDING - PHOTOGRAPHS</t>
        </is>
      </c>
      <c r="L147" s="25" t="inlineStr">
        <is>
          <t>Rev.00</t>
        </is>
      </c>
      <c r="M147" s="31">
        <f>HYPERLINK("01_STARTER/ST-063-STD-01/01_Technical_File.docx","Open")</f>
        <v/>
      </c>
    </row>
    <row r="148">
      <c r="A148" s="25" t="inlineStr">
        <is>
          <t>IA-PPWR-TF-ST-063-STD-02-R00</t>
        </is>
      </c>
      <c r="B148" s="25" t="inlineStr">
        <is>
          <t>ST-063-STD-02</t>
        </is>
      </c>
      <c r="C148" s="25" t="inlineStr">
        <is>
          <t>IA-ST-063-STD-02</t>
        </is>
      </c>
      <c r="D148" s="25" t="inlineStr">
        <is>
          <t>D26 | Palet (4000037): 1 adet | Separatör (4000130): 1 adet | EPS (4000370): 3 adet</t>
        </is>
      </c>
      <c r="E148" s="25" t="inlineStr">
        <is>
          <t>IA-ST-CFG-0173</t>
        </is>
      </c>
      <c r="F148" s="25" t="n">
        <v>2</v>
      </c>
      <c r="G148" s="25" t="n">
        <v>7</v>
      </c>
      <c r="H148" s="25" t="n">
        <v>27.708</v>
      </c>
      <c r="I148" s="25" t="inlineStr">
        <is>
          <t>REV00 CURRENT EVIDENCE BASIS — ARTICLE 5 ASSESSMENT BASIS</t>
        </is>
      </c>
      <c r="J148" s="25" t="inlineStr">
        <is>
          <t>PENDING - DRAWING</t>
        </is>
      </c>
      <c r="K148" s="25" t="inlineStr">
        <is>
          <t>PENDING - PHOTOGRAPHS</t>
        </is>
      </c>
      <c r="L148" s="25" t="inlineStr">
        <is>
          <t>Rev.00</t>
        </is>
      </c>
      <c r="M148" s="31">
        <f>HYPERLINK("01_STARTER/ST-063-STD-02/01_Technical_File.docx","Open")</f>
        <v/>
      </c>
    </row>
    <row r="149">
      <c r="A149" s="25" t="inlineStr">
        <is>
          <t>IA-PPWR-TF-ST-063-STD-03-R00</t>
        </is>
      </c>
      <c r="B149" s="25" t="inlineStr">
        <is>
          <t>ST-063-STD-03</t>
        </is>
      </c>
      <c r="C149" s="25" t="inlineStr">
        <is>
          <t>IA-ST-063-STD-03</t>
        </is>
      </c>
      <c r="D149" s="25" t="inlineStr">
        <is>
          <t>D26 | Separatör (4000130): 1 adet | D26 PVC üst kapak (4000440): 63 adet</t>
        </is>
      </c>
      <c r="E149" s="25" t="inlineStr">
        <is>
          <t>IA-ST-CFG-0174</t>
        </is>
      </c>
      <c r="F149" s="25" t="n">
        <v>1</v>
      </c>
      <c r="G149" s="25" t="n">
        <v>8</v>
      </c>
      <c r="H149" s="25" t="n">
        <v>33.628</v>
      </c>
      <c r="I149" s="25" t="inlineStr">
        <is>
          <t>REV00 CURRENT EVIDENCE BASIS — ARTICLE 5 ASSESSMENT BASIS</t>
        </is>
      </c>
      <c r="J149" s="25" t="inlineStr">
        <is>
          <t>PENDING - DRAWING</t>
        </is>
      </c>
      <c r="K149" s="25" t="inlineStr">
        <is>
          <t>PENDING - PHOTOGRAPHS</t>
        </is>
      </c>
      <c r="L149" s="25" t="inlineStr">
        <is>
          <t>Rev.00</t>
        </is>
      </c>
      <c r="M149" s="31">
        <f>HYPERLINK("01_STARTER/ST-063-STD-03/01_Technical_File.docx","Open")</f>
        <v/>
      </c>
    </row>
    <row r="150">
      <c r="A150" s="25" t="inlineStr">
        <is>
          <t>IA-PPWR-TF-ST-063-STD-04-R00</t>
        </is>
      </c>
      <c r="B150" s="25" t="inlineStr">
        <is>
          <t>ST-063-STD-04</t>
        </is>
      </c>
      <c r="C150" s="25" t="inlineStr">
        <is>
          <t>IA-ST-063-STD-04</t>
        </is>
      </c>
      <c r="D150" s="25" t="inlineStr">
        <is>
          <t>D26 | D26 PVC üst kapak (4000440): 63 adet | Köşebent (4000590): 2 adet</t>
        </is>
      </c>
      <c r="E150" s="25" t="inlineStr">
        <is>
          <t>IA-ST-CFG-0175</t>
        </is>
      </c>
      <c r="F150" s="25" t="n">
        <v>54</v>
      </c>
      <c r="G150" s="25" t="n">
        <v>8</v>
      </c>
      <c r="H150" s="25" t="n">
        <v>34.1512</v>
      </c>
      <c r="I150" s="25" t="inlineStr">
        <is>
          <t>REV00 CURRENT EVIDENCE BASIS — ARTICLE 5 ASSESSMENT BASIS</t>
        </is>
      </c>
      <c r="J150" s="25" t="inlineStr">
        <is>
          <t>PENDING - DRAWING</t>
        </is>
      </c>
      <c r="K150" s="25" t="inlineStr">
        <is>
          <t>PENDING - PHOTOGRAPHS</t>
        </is>
      </c>
      <c r="L150" s="25" t="inlineStr">
        <is>
          <t>Rev.00</t>
        </is>
      </c>
      <c r="M150" s="31">
        <f>HYPERLINK("01_STARTER/ST-063-STD-04/01_Technical_File.docx","Open")</f>
        <v/>
      </c>
    </row>
    <row r="151">
      <c r="A151" s="25" t="inlineStr">
        <is>
          <t>IA-PPWR-TF-ST-063-STD-05-R00</t>
        </is>
      </c>
      <c r="B151" s="25" t="inlineStr">
        <is>
          <t>ST-063-STD-05</t>
        </is>
      </c>
      <c r="C151" s="25" t="inlineStr">
        <is>
          <t>IA-ST-063-STD-05</t>
        </is>
      </c>
      <c r="D151" s="25" t="inlineStr">
        <is>
          <t>D26 | D26 PVC üst kapak (4000440): 63 adet | Çember (4000450): kullanılmaz</t>
        </is>
      </c>
      <c r="E151" s="25" t="inlineStr">
        <is>
          <t>IA-ST-CFG-0176</t>
        </is>
      </c>
      <c r="F151" s="25" t="n">
        <v>8</v>
      </c>
      <c r="G151" s="25" t="n">
        <v>6</v>
      </c>
      <c r="H151" s="25" t="n">
        <v>33.8644</v>
      </c>
      <c r="I151" s="25" t="inlineStr">
        <is>
          <t>REV00 CURRENT EVIDENCE BASIS — ARTICLE 5 ASSESSMENT BASIS</t>
        </is>
      </c>
      <c r="J151" s="25" t="inlineStr">
        <is>
          <t>PENDING - DRAWING</t>
        </is>
      </c>
      <c r="K151" s="25" t="inlineStr">
        <is>
          <t>PENDING - PHOTOGRAPHS</t>
        </is>
      </c>
      <c r="L151" s="25" t="inlineStr">
        <is>
          <t>Rev.00</t>
        </is>
      </c>
      <c r="M151" s="31">
        <f>HYPERLINK("01_STARTER/ST-063-STD-05/01_Technical_File.docx","Open")</f>
        <v/>
      </c>
    </row>
    <row r="152">
      <c r="A152" s="25" t="inlineStr">
        <is>
          <t>IA-PPWR-TF-ST-063-STD-06-R00</t>
        </is>
      </c>
      <c r="B152" s="25" t="inlineStr">
        <is>
          <t>ST-063-STD-06</t>
        </is>
      </c>
      <c r="C152" s="25" t="inlineStr">
        <is>
          <t>IA-ST-063-STD-06</t>
        </is>
      </c>
      <c r="D152" s="25" t="inlineStr">
        <is>
          <t>L3 | Palet (4000037): 1 adet | Köşebent (4000590): 4 adet</t>
        </is>
      </c>
      <c r="E152" s="25" t="inlineStr">
        <is>
          <t>IA-ST-CFG-0177</t>
        </is>
      </c>
      <c r="F152" s="25" t="n">
        <v>1</v>
      </c>
      <c r="G152" s="25" t="n">
        <v>6</v>
      </c>
      <c r="H152" s="25" t="n">
        <v>28.206</v>
      </c>
      <c r="I152" s="25" t="inlineStr">
        <is>
          <t>REV00 CURRENT EVIDENCE BASIS — ARTICLE 5 ASSESSMENT BASIS</t>
        </is>
      </c>
      <c r="J152" s="25" t="inlineStr">
        <is>
          <t>PENDING - DRAWING</t>
        </is>
      </c>
      <c r="K152" s="25" t="inlineStr">
        <is>
          <t>PENDING - PHOTOGRAPHS</t>
        </is>
      </c>
      <c r="L152" s="25" t="inlineStr">
        <is>
          <t>Rev.00</t>
        </is>
      </c>
      <c r="M152" s="31">
        <f>HYPERLINK("01_STARTER/ST-063-STD-06/01_Technical_File.docx","Open")</f>
        <v/>
      </c>
    </row>
    <row r="153">
      <c r="A153" s="25" t="inlineStr">
        <is>
          <t>IA-PPWR-TF-ST-063-STD-07-R00</t>
        </is>
      </c>
      <c r="B153" s="25" t="inlineStr">
        <is>
          <t>ST-063-STD-07</t>
        </is>
      </c>
      <c r="C153" s="25" t="inlineStr">
        <is>
          <t>IA-ST-063-STD-07</t>
        </is>
      </c>
      <c r="D153" s="25" t="inlineStr">
        <is>
          <t>LB3 | Palet (4000037): 1 adet | Shrink film (4000558): 1.95 kg | Köşebent (4000590): 2 adet</t>
        </is>
      </c>
      <c r="E153" s="25" t="inlineStr">
        <is>
          <t>IA-ST-CFG-0178</t>
        </is>
      </c>
      <c r="F153" s="25" t="n">
        <v>25</v>
      </c>
      <c r="G153" s="25" t="n">
        <v>7</v>
      </c>
      <c r="H153" s="25" t="n">
        <v>29.8692</v>
      </c>
      <c r="I153" s="25" t="inlineStr">
        <is>
          <t>REV00 CURRENT EVIDENCE BASIS — ARTICLE 5 ASSESSMENT BASIS</t>
        </is>
      </c>
      <c r="J153" s="25" t="inlineStr">
        <is>
          <t>PENDING - DRAWING</t>
        </is>
      </c>
      <c r="K153" s="25" t="inlineStr">
        <is>
          <t>PENDING - PHOTOGRAPHS</t>
        </is>
      </c>
      <c r="L153" s="25" t="inlineStr">
        <is>
          <t>Rev.00</t>
        </is>
      </c>
      <c r="M153" s="31">
        <f>HYPERLINK("01_STARTER/ST-063-STD-07/01_Technical_File.docx","Open")</f>
        <v/>
      </c>
    </row>
    <row r="154">
      <c r="A154" s="25" t="inlineStr">
        <is>
          <t>IA-PPWR-TF-ST-063-STD-08-R00</t>
        </is>
      </c>
      <c r="B154" s="25" t="inlineStr">
        <is>
          <t>ST-063-STD-08</t>
        </is>
      </c>
      <c r="C154" s="25" t="inlineStr">
        <is>
          <t>IA-ST-063-STD-08</t>
        </is>
      </c>
      <c r="D154" s="25" t="inlineStr">
        <is>
          <t>L3 | Palet (4000037): 1 adet | Separatör (4000130): 4 adet | Shrink film (4000558): 2.08 kg</t>
        </is>
      </c>
      <c r="E154" s="25" t="inlineStr">
        <is>
          <t>IA-ST-CFG-0179</t>
        </is>
      </c>
      <c r="F154" s="25" t="n">
        <v>95</v>
      </c>
      <c r="G154" s="25" t="n">
        <v>7</v>
      </c>
      <c r="H154" s="25" t="n">
        <v>29.9992</v>
      </c>
      <c r="I154" s="25" t="inlineStr">
        <is>
          <t>REV00 CURRENT EVIDENCE BASIS — ARTICLE 5 ASSESSMENT BASIS</t>
        </is>
      </c>
      <c r="J154" s="25" t="inlineStr">
        <is>
          <t>PENDING - DRAWING</t>
        </is>
      </c>
      <c r="K154" s="25" t="inlineStr">
        <is>
          <t>PENDING - PHOTOGRAPHS</t>
        </is>
      </c>
      <c r="L154" s="25" t="inlineStr">
        <is>
          <t>Rev.00</t>
        </is>
      </c>
      <c r="M154" s="31">
        <f>HYPERLINK("01_STARTER/ST-063-STD-08/01_Technical_File.docx","Open")</f>
        <v/>
      </c>
    </row>
    <row r="155">
      <c r="A155" s="25" t="inlineStr">
        <is>
          <t>IA-PPWR-TF-ST-063-STD-09-R00</t>
        </is>
      </c>
      <c r="B155" s="25" t="inlineStr">
        <is>
          <t>ST-063-STD-09</t>
        </is>
      </c>
      <c r="C155" s="25" t="inlineStr">
        <is>
          <t>IA-ST-063-STD-09</t>
        </is>
      </c>
      <c r="D155" s="25" t="inlineStr">
        <is>
          <t>LB3 | Palet (4000037): 1 adet | Shrink film (4000558): kullanılmaz</t>
        </is>
      </c>
      <c r="E155" s="25" t="inlineStr">
        <is>
          <t>IA-ST-CFG-0180</t>
        </is>
      </c>
      <c r="F155" s="25" t="n">
        <v>1</v>
      </c>
      <c r="G155" s="25" t="n">
        <v>6</v>
      </c>
      <c r="H155" s="25" t="n">
        <v>27.9192</v>
      </c>
      <c r="I155" s="25" t="inlineStr">
        <is>
          <t>REV00 CURRENT EVIDENCE BASIS — ARTICLE 5 ASSESSMENT BASIS</t>
        </is>
      </c>
      <c r="J155" s="25" t="inlineStr">
        <is>
          <t>PENDING - DRAWING</t>
        </is>
      </c>
      <c r="K155" s="25" t="inlineStr">
        <is>
          <t>PENDING - PHOTOGRAPHS</t>
        </is>
      </c>
      <c r="L155" s="25" t="inlineStr">
        <is>
          <t>Rev.00</t>
        </is>
      </c>
      <c r="M155" s="31">
        <f>HYPERLINK("01_STARTER/ST-063-STD-09/01_Technical_File.docx","Open")</f>
        <v/>
      </c>
    </row>
    <row r="156">
      <c r="A156" s="25" t="inlineStr">
        <is>
          <t>IA-PPWR-TF-ST-063-STD-10-R00</t>
        </is>
      </c>
      <c r="B156" s="25" t="inlineStr">
        <is>
          <t>ST-063-STD-10</t>
        </is>
      </c>
      <c r="C156" s="25" t="inlineStr">
        <is>
          <t>IA-ST-063-STD-10</t>
        </is>
      </c>
      <c r="D156" s="25" t="inlineStr">
        <is>
          <t>LB3 | Palet (4000037): 1 adet | Köşebent (4000590): kullanılmaz</t>
        </is>
      </c>
      <c r="E156" s="25" t="inlineStr">
        <is>
          <t>IA-ST-CFG-0181</t>
        </is>
      </c>
      <c r="F156" s="25" t="n">
        <v>12</v>
      </c>
      <c r="G156" s="25" t="n">
        <v>5</v>
      </c>
      <c r="H156" s="25" t="n">
        <v>29.5824</v>
      </c>
      <c r="I156" s="25" t="inlineStr">
        <is>
          <t>REV00 CURRENT EVIDENCE BASIS — ARTICLE 5 ASSESSMENT BASIS</t>
        </is>
      </c>
      <c r="J156" s="25" t="inlineStr">
        <is>
          <t>PENDING - DRAWING</t>
        </is>
      </c>
      <c r="K156" s="25" t="inlineStr">
        <is>
          <t>PENDING - PHOTOGRAPHS</t>
        </is>
      </c>
      <c r="L156" s="25" t="inlineStr">
        <is>
          <t>Rev.00</t>
        </is>
      </c>
      <c r="M156" s="31">
        <f>HYPERLINK("01_STARTER/ST-063-STD-10/01_Technical_File.docx","Open")</f>
        <v/>
      </c>
    </row>
    <row r="157">
      <c r="A157" s="25" t="inlineStr">
        <is>
          <t>IA-PPWR-TF-ST-063-STD-11-R00</t>
        </is>
      </c>
      <c r="B157" s="25" t="inlineStr">
        <is>
          <t>ST-063-STD-11</t>
        </is>
      </c>
      <c r="C157" s="25" t="inlineStr">
        <is>
          <t>IA-ST-063-STD-11</t>
        </is>
      </c>
      <c r="D157" s="25" t="inlineStr">
        <is>
          <t>L3, LB3 | Palet (4000037): 1 adet | Shrink film (4000558): 2.08 kg</t>
        </is>
      </c>
      <c r="E157" s="25" t="inlineStr">
        <is>
          <t>IA-ST-CFG-0182</t>
        </is>
      </c>
      <c r="F157" s="25" t="n">
        <v>26</v>
      </c>
      <c r="G157" s="25" t="n">
        <v>5</v>
      </c>
      <c r="H157" s="25" t="n">
        <v>29.7124</v>
      </c>
      <c r="I157" s="25" t="inlineStr">
        <is>
          <t>REV00 CURRENT EVIDENCE BASIS — ARTICLE 5 ASSESSMENT BASIS</t>
        </is>
      </c>
      <c r="J157" s="25" t="inlineStr">
        <is>
          <t>PENDING - DRAWING</t>
        </is>
      </c>
      <c r="K157" s="25" t="inlineStr">
        <is>
          <t>PENDING - PHOTOGRAPHS</t>
        </is>
      </c>
      <c r="L157" s="25" t="inlineStr">
        <is>
          <t>Rev.00</t>
        </is>
      </c>
      <c r="M157" s="31">
        <f>HYPERLINK("01_STARTER/ST-063-STD-11/01_Technical_File.docx","Open")</f>
        <v/>
      </c>
    </row>
    <row r="158">
      <c r="A158" s="25" t="inlineStr">
        <is>
          <t>IA-PPWR-TF-ST-063-STD-12-R00</t>
        </is>
      </c>
      <c r="B158" s="25" t="inlineStr">
        <is>
          <t>ST-063-STD-12</t>
        </is>
      </c>
      <c r="C158" s="25" t="inlineStr">
        <is>
          <t>IA-ST-063-STD-12</t>
        </is>
      </c>
      <c r="D158" s="25" t="inlineStr">
        <is>
          <t>D26 | Palet (4000037): 1 adet | Shrink film (4001177): 0.597 kg</t>
        </is>
      </c>
      <c r="E158" s="25" t="inlineStr">
        <is>
          <t>IA-ST-CFG-0183</t>
        </is>
      </c>
      <c r="F158" s="25" t="n">
        <v>7</v>
      </c>
      <c r="G158" s="25" t="n">
        <v>7</v>
      </c>
      <c r="H158" s="25" t="n">
        <v>28.649</v>
      </c>
      <c r="I158" s="25" t="inlineStr">
        <is>
          <t>REV00 CURRENT EVIDENCE BASIS — ARTICLE 5 ASSESSMENT BASIS</t>
        </is>
      </c>
      <c r="J158" s="25" t="inlineStr">
        <is>
          <t>PENDING - DRAWING</t>
        </is>
      </c>
      <c r="K158" s="25" t="inlineStr">
        <is>
          <t>PENDING - PHOTOGRAPHS</t>
        </is>
      </c>
      <c r="L158" s="25" t="inlineStr">
        <is>
          <t>Rev.00</t>
        </is>
      </c>
      <c r="M158" s="31">
        <f>HYPERLINK("01_STARTER/ST-063-STD-12/01_Technical_File.docx","Open")</f>
        <v/>
      </c>
    </row>
    <row r="159">
      <c r="A159" s="25" t="inlineStr">
        <is>
          <t>IA-PPWR-TF-ST-063-STD-13-R00</t>
        </is>
      </c>
      <c r="B159" s="25" t="inlineStr">
        <is>
          <t>ST-063-STD-13</t>
        </is>
      </c>
      <c r="C159" s="25" t="inlineStr">
        <is>
          <t>IA-ST-063-STD-13</t>
        </is>
      </c>
      <c r="D159" s="25" t="inlineStr">
        <is>
          <t>L3 | Palet (4000037): 1 adet | Shrink film (4001177): 0.597 kg</t>
        </is>
      </c>
      <c r="E159" s="25" t="inlineStr">
        <is>
          <t>IA-ST-CFG-0184</t>
        </is>
      </c>
      <c r="F159" s="25" t="n">
        <v>1</v>
      </c>
      <c r="G159" s="25" t="n">
        <v>6</v>
      </c>
      <c r="H159" s="25" t="n">
        <v>28.417</v>
      </c>
      <c r="I159" s="25" t="inlineStr">
        <is>
          <t>REV00 CURRENT EVIDENCE BASIS — ARTICLE 5 ASSESSMENT BASIS</t>
        </is>
      </c>
      <c r="J159" s="25" t="inlineStr">
        <is>
          <t>PENDING - DRAWING</t>
        </is>
      </c>
      <c r="K159" s="25" t="inlineStr">
        <is>
          <t>PENDING - PHOTOGRAPHS</t>
        </is>
      </c>
      <c r="L159" s="25" t="inlineStr">
        <is>
          <t>Rev.00</t>
        </is>
      </c>
      <c r="M159" s="31">
        <f>HYPERLINK("01_STARTER/ST-063-STD-13/01_Technical_File.docx","Open")</f>
        <v/>
      </c>
    </row>
    <row r="160">
      <c r="A160" s="25" t="inlineStr">
        <is>
          <t>IA-PPWR-TF-ST-063-STD-14-R00</t>
        </is>
      </c>
      <c r="B160" s="25" t="inlineStr">
        <is>
          <t>ST-063-STD-14</t>
        </is>
      </c>
      <c r="C160" s="25" t="inlineStr">
        <is>
          <t>IA-ST-063-STD-14</t>
        </is>
      </c>
      <c r="D160" s="25" t="inlineStr">
        <is>
          <t>LB3, L3 | Palet (4000037): 1 adet | Shrink film (4001177): 0.597 kg</t>
        </is>
      </c>
      <c r="E160" s="25" t="inlineStr">
        <is>
          <t>IA-ST-CFG-0185</t>
        </is>
      </c>
      <c r="F160" s="25" t="n">
        <v>8</v>
      </c>
      <c r="G160" s="25" t="n">
        <v>6</v>
      </c>
      <c r="H160" s="25" t="n">
        <v>28.617</v>
      </c>
      <c r="I160" s="25" t="inlineStr">
        <is>
          <t>REV00 CURRENT EVIDENCE BASIS — ARTICLE 5 ASSESSMENT BASIS</t>
        </is>
      </c>
      <c r="J160" s="25" t="inlineStr">
        <is>
          <t>PENDING - DRAWING</t>
        </is>
      </c>
      <c r="K160" s="25" t="inlineStr">
        <is>
          <t>PENDING - PHOTOGRAPHS</t>
        </is>
      </c>
      <c r="L160" s="25" t="inlineStr">
        <is>
          <t>Rev.00</t>
        </is>
      </c>
      <c r="M160" s="31">
        <f>HYPERLINK("01_STARTER/ST-063-STD-14/01_Technical_File.docx","Open")</f>
        <v/>
      </c>
    </row>
    <row r="161">
      <c r="A161" s="25" t="inlineStr">
        <is>
          <t>IA-PPWR-TF-ST-063-STD-15-R00</t>
        </is>
      </c>
      <c r="B161" s="25" t="inlineStr">
        <is>
          <t>ST-063-STD-15</t>
        </is>
      </c>
      <c r="C161" s="25" t="inlineStr">
        <is>
          <t>IA-ST-063-STD-15</t>
        </is>
      </c>
      <c r="D161" s="25" t="inlineStr">
        <is>
          <t>L3 | Palet (4000037): 1 adet | Separatör (4000130): 5 adet</t>
        </is>
      </c>
      <c r="E161" s="25" t="inlineStr">
        <is>
          <t>IA-ST-CFG-0186</t>
        </is>
      </c>
      <c r="F161" s="25" t="n">
        <v>2</v>
      </c>
      <c r="G161" s="25" t="n">
        <v>7</v>
      </c>
      <c r="H161" s="25" t="n">
        <v>30.2692</v>
      </c>
      <c r="I161" s="25" t="inlineStr">
        <is>
          <t>REV00 CURRENT EVIDENCE BASIS — ARTICLE 5 ASSESSMENT BASIS</t>
        </is>
      </c>
      <c r="J161" s="25" t="inlineStr">
        <is>
          <t>PENDING - DRAWING</t>
        </is>
      </c>
      <c r="K161" s="25" t="inlineStr">
        <is>
          <t>PENDING - PHOTOGRAPHS</t>
        </is>
      </c>
      <c r="L161" s="25" t="inlineStr">
        <is>
          <t>Rev.00</t>
        </is>
      </c>
      <c r="M161" s="31">
        <f>HYPERLINK("01_STARTER/ST-063-STD-15/01_Technical_File.docx","Open")</f>
        <v/>
      </c>
    </row>
    <row r="162">
      <c r="A162" s="25" t="inlineStr">
        <is>
          <t>IA-PPWR-TF-ST-064-EUR-01-R00</t>
        </is>
      </c>
      <c r="B162" s="25" t="inlineStr">
        <is>
          <t>ST-064-EUR-01</t>
        </is>
      </c>
      <c r="C162" s="25" t="inlineStr">
        <is>
          <t>IA-ST-064-EUR-01</t>
        </is>
      </c>
      <c r="D162" s="25" t="inlineStr">
        <is>
          <t>L3 | L3 İnci AGM LEO 70AH 760A pencereli dış koli (4001237): 64 adet</t>
        </is>
      </c>
      <c r="E162" s="25" t="inlineStr">
        <is>
          <t>IA-ST-CFG-0190</t>
        </is>
      </c>
      <c r="F162" s="25" t="n">
        <v>1</v>
      </c>
      <c r="G162" s="25" t="n">
        <v>6</v>
      </c>
      <c r="H162" s="25" t="n">
        <v>44.8124</v>
      </c>
      <c r="I162" s="25" t="inlineStr">
        <is>
          <t>REV00 CURRENT EVIDENCE BASIS — ARTICLE 5 ASSESSMENT BASIS</t>
        </is>
      </c>
      <c r="J162" s="25" t="inlineStr">
        <is>
          <t>PENDING - DRAWING</t>
        </is>
      </c>
      <c r="K162" s="25" t="inlineStr">
        <is>
          <t>PENDING - PHOTOGRAPHS</t>
        </is>
      </c>
      <c r="L162" s="25" t="inlineStr">
        <is>
          <t>Rev.00</t>
        </is>
      </c>
      <c r="M162" s="31">
        <f>HYPERLINK("01_STARTER/ST-064-EUR-01/01_Technical_File.docx","Open")</f>
        <v/>
      </c>
    </row>
    <row r="163">
      <c r="A163" s="25" t="inlineStr">
        <is>
          <t>IA-PPWR-TF-ST-066-STD-01-R00</t>
        </is>
      </c>
      <c r="B163" s="25" t="inlineStr">
        <is>
          <t>ST-066-STD-01</t>
        </is>
      </c>
      <c r="C163" s="25" t="inlineStr">
        <is>
          <t>IA-ST-066-STD-01</t>
        </is>
      </c>
      <c r="D163" s="25" t="inlineStr">
        <is>
          <t>L2 | L2 YUASA penceresiz Orta Doğu dış koli (4001102): 66 adet</t>
        </is>
      </c>
      <c r="E163" s="25" t="inlineStr">
        <is>
          <t>IA-ST-CFG-0191</t>
        </is>
      </c>
      <c r="F163" s="25" t="n">
        <v>1</v>
      </c>
      <c r="G163" s="25" t="n">
        <v>7</v>
      </c>
      <c r="H163" s="25" t="n">
        <v>44.906</v>
      </c>
      <c r="I163" s="25" t="inlineStr">
        <is>
          <t>REV00 CURRENT EVIDENCE BASIS — ARTICLE 5 ASSESSMENT BASIS</t>
        </is>
      </c>
      <c r="J163" s="25" t="inlineStr">
        <is>
          <t>PENDING - DRAWING</t>
        </is>
      </c>
      <c r="K163" s="25" t="inlineStr">
        <is>
          <t>PENDING - PHOTOGRAPHS</t>
        </is>
      </c>
      <c r="L163" s="25" t="inlineStr">
        <is>
          <t>Rev.00</t>
        </is>
      </c>
      <c r="M163" s="31">
        <f>HYPERLINK("01_STARTER/ST-066-STD-01/01_Technical_File.docx","Open")</f>
        <v/>
      </c>
    </row>
    <row r="164">
      <c r="A164" s="25" t="inlineStr">
        <is>
          <t>IA-PPWR-TF-ST-066-STD-02-R00</t>
        </is>
      </c>
      <c r="B164" s="25" t="inlineStr">
        <is>
          <t>ST-066-STD-02</t>
        </is>
      </c>
      <c r="C164" s="25" t="inlineStr">
        <is>
          <t>IA-ST-066-STD-02</t>
        </is>
      </c>
      <c r="D164" s="25" t="inlineStr">
        <is>
          <t>L2 | L2 İnci AGM LEO 60AH 680A pencereli dış koli (4001340): 66 adet</t>
        </is>
      </c>
      <c r="E164" s="25" t="inlineStr">
        <is>
          <t>IA-ST-CFG-0192</t>
        </is>
      </c>
      <c r="F164" s="25" t="n">
        <v>1</v>
      </c>
      <c r="G164" s="25" t="n">
        <v>7</v>
      </c>
      <c r="H164" s="25" t="n">
        <v>45.326</v>
      </c>
      <c r="I164" s="25" t="inlineStr">
        <is>
          <t>REV00 CURRENT EVIDENCE BASIS — ARTICLE 5 ASSESSMENT BASIS</t>
        </is>
      </c>
      <c r="J164" s="25" t="inlineStr">
        <is>
          <t>PENDING - DRAWING</t>
        </is>
      </c>
      <c r="K164" s="25" t="inlineStr">
        <is>
          <t>PENDING - PHOTOGRAPHS</t>
        </is>
      </c>
      <c r="L164" s="25" t="inlineStr">
        <is>
          <t>Rev.00</t>
        </is>
      </c>
      <c r="M164" s="31">
        <f>HYPERLINK("01_STARTER/ST-066-STD-02/01_Technical_File.docx","Open")</f>
        <v/>
      </c>
    </row>
    <row r="165">
      <c r="A165" s="25" t="inlineStr">
        <is>
          <t>IA-PPWR-TF-ST-066-STD-03-R00</t>
        </is>
      </c>
      <c r="B165" s="25" t="inlineStr">
        <is>
          <t>ST-066-STD-03</t>
        </is>
      </c>
      <c r="C165" s="25" t="inlineStr">
        <is>
          <t>IA-ST-066-STD-03</t>
        </is>
      </c>
      <c r="D165" s="25" t="inlineStr">
        <is>
          <t>L2 | L2 EAS AGM S&amp;S 60AH 680A pencereli dış koli (4001395): 66 adet</t>
        </is>
      </c>
      <c r="E165" s="25" t="inlineStr">
        <is>
          <t>IA-ST-CFG-0193</t>
        </is>
      </c>
      <c r="F165" s="25" t="n">
        <v>1</v>
      </c>
      <c r="G165" s="25" t="n">
        <v>7</v>
      </c>
      <c r="H165" s="25" t="n">
        <v>45.326</v>
      </c>
      <c r="I165" s="25" t="inlineStr">
        <is>
          <t>REV00 CURRENT EVIDENCE BASIS — ARTICLE 5 ASSESSMENT BASIS</t>
        </is>
      </c>
      <c r="J165" s="25" t="inlineStr">
        <is>
          <t>PENDING - DRAWING</t>
        </is>
      </c>
      <c r="K165" s="25" t="inlineStr">
        <is>
          <t>PENDING - PHOTOGRAPHS</t>
        </is>
      </c>
      <c r="L165" s="25" t="inlineStr">
        <is>
          <t>Rev.00</t>
        </is>
      </c>
      <c r="M165" s="31">
        <f>HYPERLINK("01_STARTER/ST-066-STD-03/01_Technical_File.docx","Open")</f>
        <v/>
      </c>
    </row>
    <row r="166">
      <c r="A166" s="25" t="inlineStr">
        <is>
          <t>IA-PPWR-TF-ST-068-EUR-01-R00</t>
        </is>
      </c>
      <c r="B166" s="25" t="inlineStr">
        <is>
          <t>ST-068-EUR-01</t>
        </is>
      </c>
      <c r="C166" s="25" t="inlineStr">
        <is>
          <t>IA-ST-068-EUR-01</t>
        </is>
      </c>
      <c r="D166" s="25" t="inlineStr">
        <is>
          <t>L3, LB3 | Palet (4000038): 1 adet | Köşebent (4000590): 4 adet</t>
        </is>
      </c>
      <c r="E166" s="25" t="inlineStr">
        <is>
          <t>IA-ST-CFG-0198</t>
        </is>
      </c>
      <c r="F166" s="25" t="n">
        <v>10</v>
      </c>
      <c r="G166" s="25" t="n">
        <v>6</v>
      </c>
      <c r="H166" s="25" t="n">
        <v>28.126</v>
      </c>
      <c r="I166" s="25" t="inlineStr">
        <is>
          <t>REV00 CURRENT EVIDENCE BASIS — ARTICLE 5 ASSESSMENT BASIS</t>
        </is>
      </c>
      <c r="J166" s="25" t="inlineStr">
        <is>
          <t>PENDING - DRAWING</t>
        </is>
      </c>
      <c r="K166" s="25" t="inlineStr">
        <is>
          <t>PENDING - PHOTOGRAPHS</t>
        </is>
      </c>
      <c r="L166" s="25" t="inlineStr">
        <is>
          <t>Rev.00</t>
        </is>
      </c>
      <c r="M166" s="31">
        <f>HYPERLINK("01_STARTER/ST-068-EUR-01/01_Technical_File.docx","Open")</f>
        <v/>
      </c>
    </row>
    <row r="167">
      <c r="A167" s="25" t="inlineStr">
        <is>
          <t>IA-PPWR-TF-ST-068-EUR-02-R00</t>
        </is>
      </c>
      <c r="B167" s="25" t="inlineStr">
        <is>
          <t>ST-068-EUR-02</t>
        </is>
      </c>
      <c r="C167" s="25" t="inlineStr">
        <is>
          <t>IA-ST-068-EUR-02</t>
        </is>
      </c>
      <c r="D167" s="25" t="inlineStr">
        <is>
          <t>LB3 | Palet (4000038): 1 adet | Shrink film (4000558): 2.105 kg</t>
        </is>
      </c>
      <c r="E167" s="25" t="inlineStr">
        <is>
          <t>IA-ST-CFG-0199</t>
        </is>
      </c>
      <c r="F167" s="25" t="n">
        <v>13</v>
      </c>
      <c r="G167" s="25" t="n">
        <v>7</v>
      </c>
      <c r="H167" s="25" t="n">
        <v>29.9442</v>
      </c>
      <c r="I167" s="25" t="inlineStr">
        <is>
          <t>REV00 CURRENT EVIDENCE BASIS — ARTICLE 5 ASSESSMENT BASIS</t>
        </is>
      </c>
      <c r="J167" s="25" t="inlineStr">
        <is>
          <t>PENDING - DRAWING</t>
        </is>
      </c>
      <c r="K167" s="25" t="inlineStr">
        <is>
          <t>PENDING - PHOTOGRAPHS</t>
        </is>
      </c>
      <c r="L167" s="25" t="inlineStr">
        <is>
          <t>Rev.00</t>
        </is>
      </c>
      <c r="M167" s="31">
        <f>HYPERLINK("01_STARTER/ST-068-EUR-02/01_Technical_File.docx","Open")</f>
        <v/>
      </c>
    </row>
    <row r="168">
      <c r="A168" s="25" t="inlineStr">
        <is>
          <t>IA-PPWR-TF-ST-068-EUR-03-R00</t>
        </is>
      </c>
      <c r="B168" s="25" t="inlineStr">
        <is>
          <t>ST-068-EUR-03</t>
        </is>
      </c>
      <c r="C168" s="25" t="inlineStr">
        <is>
          <t>IA-ST-068-EUR-03</t>
        </is>
      </c>
      <c r="D168" s="25" t="inlineStr">
        <is>
          <t>L3 | Palet (4000038): 1 adet | Shrink film (4000558): 2.245 kg</t>
        </is>
      </c>
      <c r="E168" s="25" t="inlineStr">
        <is>
          <t>IA-ST-CFG-0200</t>
        </is>
      </c>
      <c r="F168" s="25" t="n">
        <v>25</v>
      </c>
      <c r="G168" s="25" t="n">
        <v>7</v>
      </c>
      <c r="H168" s="25" t="n">
        <v>30.0842</v>
      </c>
      <c r="I168" s="25" t="inlineStr">
        <is>
          <t>REV00 CURRENT EVIDENCE BASIS — ARTICLE 5 ASSESSMENT BASIS</t>
        </is>
      </c>
      <c r="J168" s="25" t="inlineStr">
        <is>
          <t>PENDING - DRAWING</t>
        </is>
      </c>
      <c r="K168" s="25" t="inlineStr">
        <is>
          <t>PENDING - PHOTOGRAPHS</t>
        </is>
      </c>
      <c r="L168" s="25" t="inlineStr">
        <is>
          <t>Rev.00</t>
        </is>
      </c>
      <c r="M168" s="31">
        <f>HYPERLINK("01_STARTER/ST-068-EUR-03/01_Technical_File.docx","Open")</f>
        <v/>
      </c>
    </row>
    <row r="169">
      <c r="A169" s="25" t="inlineStr">
        <is>
          <t>IA-PPWR-TF-ST-068-EUR-04-R00</t>
        </is>
      </c>
      <c r="B169" s="25" t="inlineStr">
        <is>
          <t>ST-068-EUR-04</t>
        </is>
      </c>
      <c r="C169" s="25" t="inlineStr">
        <is>
          <t>IA-ST-068-EUR-04</t>
        </is>
      </c>
      <c r="D169" s="25" t="inlineStr">
        <is>
          <t>LB3, L3 | Palet (4000038): 1 adet | Köşebent (4000590): 2 adet</t>
        </is>
      </c>
      <c r="E169" s="25" t="inlineStr">
        <is>
          <t>IA-ST-CFG-0201</t>
        </is>
      </c>
      <c r="F169" s="25" t="n">
        <v>7</v>
      </c>
      <c r="G169" s="25" t="n">
        <v>6</v>
      </c>
      <c r="H169" s="25" t="n">
        <v>27.8392</v>
      </c>
      <c r="I169" s="25" t="inlineStr">
        <is>
          <t>REV00 CURRENT EVIDENCE BASIS — ARTICLE 5 ASSESSMENT BASIS</t>
        </is>
      </c>
      <c r="J169" s="25" t="inlineStr">
        <is>
          <t>PENDING - DRAWING</t>
        </is>
      </c>
      <c r="K169" s="25" t="inlineStr">
        <is>
          <t>PENDING - PHOTOGRAPHS</t>
        </is>
      </c>
      <c r="L169" s="25" t="inlineStr">
        <is>
          <t>Rev.00</t>
        </is>
      </c>
      <c r="M169" s="31">
        <f>HYPERLINK("01_STARTER/ST-068-EUR-04/01_Technical_File.docx","Open")</f>
        <v/>
      </c>
    </row>
    <row r="170">
      <c r="A170" s="25" t="inlineStr">
        <is>
          <t>IA-PPWR-TF-ST-068-STD-01-R00</t>
        </is>
      </c>
      <c r="B170" s="25" t="inlineStr">
        <is>
          <t>ST-068-STD-01</t>
        </is>
      </c>
      <c r="C170" s="25" t="inlineStr">
        <is>
          <t>IA-ST-068-STD-01</t>
        </is>
      </c>
      <c r="D170" s="25" t="inlineStr">
        <is>
          <t>LB4 | LB4 YUASA penceresiz Orta Doğu dış koli (4001104): 68 adet</t>
        </is>
      </c>
      <c r="E170" s="25" t="inlineStr">
        <is>
          <t>IA-ST-CFG-0194</t>
        </is>
      </c>
      <c r="F170" s="25" t="n">
        <v>1</v>
      </c>
      <c r="G170" s="25" t="n">
        <v>7</v>
      </c>
      <c r="H170" s="25" t="n">
        <v>47.696</v>
      </c>
      <c r="I170" s="25" t="inlineStr">
        <is>
          <t>REV00 CURRENT EVIDENCE BASIS — ARTICLE 5 ASSESSMENT BASIS</t>
        </is>
      </c>
      <c r="J170" s="25" t="inlineStr">
        <is>
          <t>PENDING - DRAWING</t>
        </is>
      </c>
      <c r="K170" s="25" t="inlineStr">
        <is>
          <t>PENDING - PHOTOGRAPHS</t>
        </is>
      </c>
      <c r="L170" s="25" t="inlineStr">
        <is>
          <t>Rev.00</t>
        </is>
      </c>
      <c r="M170" s="31">
        <f>HYPERLINK("01_STARTER/ST-068-STD-01/01_Technical_File.docx","Open")</f>
        <v/>
      </c>
    </row>
    <row r="171">
      <c r="A171" s="25" t="inlineStr">
        <is>
          <t>IA-PPWR-TF-ST-068-STD-02-R00</t>
        </is>
      </c>
      <c r="B171" s="25" t="inlineStr">
        <is>
          <t>ST-068-STD-02</t>
        </is>
      </c>
      <c r="C171" s="25" t="inlineStr">
        <is>
          <t>IA-ST-068-STD-02</t>
        </is>
      </c>
      <c r="D171" s="25" t="inlineStr">
        <is>
          <t>L4 | L4 İnci EFB MAX TIGRIS pencereli 2020 dış koli (4001275): 68 adet</t>
        </is>
      </c>
      <c r="E171" s="25" t="inlineStr">
        <is>
          <t>IA-ST-CFG-0195</t>
        </is>
      </c>
      <c r="F171" s="25" t="n">
        <v>1</v>
      </c>
      <c r="G171" s="25" t="n">
        <v>7</v>
      </c>
      <c r="H171" s="25" t="n">
        <v>47.696</v>
      </c>
      <c r="I171" s="25" t="inlineStr">
        <is>
          <t>REV00 CURRENT EVIDENCE BASIS — ARTICLE 5 ASSESSMENT BASIS</t>
        </is>
      </c>
      <c r="J171" s="25" t="inlineStr">
        <is>
          <t>PENDING - DRAWING</t>
        </is>
      </c>
      <c r="K171" s="25" t="inlineStr">
        <is>
          <t>PENDING - PHOTOGRAPHS</t>
        </is>
      </c>
      <c r="L171" s="25" t="inlineStr">
        <is>
          <t>Rev.00</t>
        </is>
      </c>
      <c r="M171" s="31">
        <f>HYPERLINK("01_STARTER/ST-068-STD-02/01_Technical_File.docx","Open")</f>
        <v/>
      </c>
    </row>
    <row r="172">
      <c r="A172" s="25" t="inlineStr">
        <is>
          <t>IA-PPWR-TF-ST-068-STD-03-R00</t>
        </is>
      </c>
      <c r="B172" s="25" t="inlineStr">
        <is>
          <t>ST-068-STD-03</t>
        </is>
      </c>
      <c r="C172" s="25" t="inlineStr">
        <is>
          <t>IA-ST-068-STD-03</t>
        </is>
      </c>
      <c r="D172" s="25" t="inlineStr">
        <is>
          <t>LB4 | LB4 İnci EFB PANTERA pencereli DL dış koli (4001316): 68 adet</t>
        </is>
      </c>
      <c r="E172" s="25" t="inlineStr">
        <is>
          <t>IA-ST-CFG-0196</t>
        </is>
      </c>
      <c r="F172" s="25" t="n">
        <v>1</v>
      </c>
      <c r="G172" s="25" t="n">
        <v>7</v>
      </c>
      <c r="H172" s="25" t="n">
        <v>47.696</v>
      </c>
      <c r="I172" s="25" t="inlineStr">
        <is>
          <t>REV00 CURRENT EVIDENCE BASIS — ARTICLE 5 ASSESSMENT BASIS</t>
        </is>
      </c>
      <c r="J172" s="25" t="inlineStr">
        <is>
          <t>PENDING - DRAWING</t>
        </is>
      </c>
      <c r="K172" s="25" t="inlineStr">
        <is>
          <t>PENDING - PHOTOGRAPHS</t>
        </is>
      </c>
      <c r="L172" s="25" t="inlineStr">
        <is>
          <t>Rev.00</t>
        </is>
      </c>
      <c r="M172" s="31">
        <f>HYPERLINK("01_STARTER/ST-068-STD-03/01_Technical_File.docx","Open")</f>
        <v/>
      </c>
    </row>
    <row r="173">
      <c r="A173" s="25" t="inlineStr">
        <is>
          <t>IA-PPWR-TF-ST-068-STD-04-R00</t>
        </is>
      </c>
      <c r="B173" s="25" t="inlineStr">
        <is>
          <t>ST-068-STD-04</t>
        </is>
      </c>
      <c r="C173" s="25" t="inlineStr">
        <is>
          <t>IA-ST-068-STD-04</t>
        </is>
      </c>
      <c r="D173" s="25" t="inlineStr">
        <is>
          <t>L4 | L4 İnci EFB PANTERA pencereli DL dış koli (4001318): 68 adet</t>
        </is>
      </c>
      <c r="E173" s="25" t="inlineStr">
        <is>
          <t>IA-ST-CFG-0197</t>
        </is>
      </c>
      <c r="F173" s="25" t="n">
        <v>1</v>
      </c>
      <c r="G173" s="25" t="n">
        <v>7</v>
      </c>
      <c r="H173" s="25" t="n">
        <v>47.696</v>
      </c>
      <c r="I173" s="25" t="inlineStr">
        <is>
          <t>REV00 CURRENT EVIDENCE BASIS — ARTICLE 5 ASSESSMENT BASIS</t>
        </is>
      </c>
      <c r="J173" s="25" t="inlineStr">
        <is>
          <t>PENDING - DRAWING</t>
        </is>
      </c>
      <c r="K173" s="25" t="inlineStr">
        <is>
          <t>PENDING - PHOTOGRAPHS</t>
        </is>
      </c>
      <c r="L173" s="25" t="inlineStr">
        <is>
          <t>Rev.00</t>
        </is>
      </c>
      <c r="M173" s="31">
        <f>HYPERLINK("01_STARTER/ST-068-STD-04/01_Technical_File.docx","Open")</f>
        <v/>
      </c>
    </row>
    <row r="174">
      <c r="A174" s="25" t="inlineStr">
        <is>
          <t>IA-PPWR-TF-ST-072-EUR-01-R00</t>
        </is>
      </c>
      <c r="B174" s="25" t="inlineStr">
        <is>
          <t>ST-072-EUR-01</t>
        </is>
      </c>
      <c r="C174" s="25" t="inlineStr">
        <is>
          <t>IA-ST-072-EUR-01</t>
        </is>
      </c>
      <c r="D174" s="25" t="inlineStr">
        <is>
          <t>LB1 | Palet (4000038): 1 adet | Shrink film (4000556): 1.945 kg</t>
        </is>
      </c>
      <c r="E174" s="25" t="inlineStr">
        <is>
          <t>IA-ST-CFG-0204</t>
        </is>
      </c>
      <c r="F174" s="25" t="n">
        <v>2</v>
      </c>
      <c r="G174" s="25" t="n">
        <v>7</v>
      </c>
      <c r="H174" s="25" t="n">
        <v>29.8042</v>
      </c>
      <c r="I174" s="25" t="inlineStr">
        <is>
          <t>REV00 CURRENT EVIDENCE BASIS — ARTICLE 5 ASSESSMENT BASIS</t>
        </is>
      </c>
      <c r="J174" s="25" t="inlineStr">
        <is>
          <t>PENDING - DRAWING</t>
        </is>
      </c>
      <c r="K174" s="25" t="inlineStr">
        <is>
          <t>PENDING - PHOTOGRAPHS</t>
        </is>
      </c>
      <c r="L174" s="25" t="inlineStr">
        <is>
          <t>Rev.00</t>
        </is>
      </c>
      <c r="M174" s="31">
        <f>HYPERLINK("01_STARTER/ST-072-EUR-01/01_Technical_File.docx","Open")</f>
        <v/>
      </c>
    </row>
    <row r="175">
      <c r="A175" s="25" t="inlineStr">
        <is>
          <t>IA-PPWR-TF-ST-072-EUR-02-R00</t>
        </is>
      </c>
      <c r="B175" s="25" t="inlineStr">
        <is>
          <t>ST-072-EUR-02</t>
        </is>
      </c>
      <c r="C175" s="25" t="inlineStr">
        <is>
          <t>IA-ST-072-EUR-02</t>
        </is>
      </c>
      <c r="D175" s="25" t="inlineStr">
        <is>
          <t>L1 | Palet (4000038): 1 adet | Shrink film (4000556): 2.375 kg</t>
        </is>
      </c>
      <c r="E175" s="25" t="inlineStr">
        <is>
          <t>IA-ST-CFG-0205</t>
        </is>
      </c>
      <c r="F175" s="25" t="n">
        <v>1</v>
      </c>
      <c r="G175" s="25" t="n">
        <v>7</v>
      </c>
      <c r="H175" s="25" t="n">
        <v>30.2342</v>
      </c>
      <c r="I175" s="25" t="inlineStr">
        <is>
          <t>REV00 CURRENT EVIDENCE BASIS — ARTICLE 5 ASSESSMENT BASIS</t>
        </is>
      </c>
      <c r="J175" s="25" t="inlineStr">
        <is>
          <t>PENDING - DRAWING</t>
        </is>
      </c>
      <c r="K175" s="25" t="inlineStr">
        <is>
          <t>PENDING - PHOTOGRAPHS</t>
        </is>
      </c>
      <c r="L175" s="25" t="inlineStr">
        <is>
          <t>Rev.00</t>
        </is>
      </c>
      <c r="M175" s="31">
        <f>HYPERLINK("01_STARTER/ST-072-EUR-02/01_Technical_File.docx","Open")</f>
        <v/>
      </c>
    </row>
    <row r="176">
      <c r="A176" s="25" t="inlineStr">
        <is>
          <t>IA-PPWR-TF-ST-072-EUR-03-R00</t>
        </is>
      </c>
      <c r="B176" s="25" t="inlineStr">
        <is>
          <t>ST-072-EUR-03</t>
        </is>
      </c>
      <c r="C176" s="25" t="inlineStr">
        <is>
          <t>IA-ST-072-EUR-03</t>
        </is>
      </c>
      <c r="D176" s="25" t="inlineStr">
        <is>
          <t>LB1, L1 | Palet (4000038): 1 adet | Köşebent (4000033): 2 adet</t>
        </is>
      </c>
      <c r="E176" s="25" t="inlineStr">
        <is>
          <t>IA-ST-CFG-0206</t>
        </is>
      </c>
      <c r="F176" s="25" t="n">
        <v>8</v>
      </c>
      <c r="G176" s="25" t="n">
        <v>6</v>
      </c>
      <c r="H176" s="25" t="n">
        <v>27.8592</v>
      </c>
      <c r="I176" s="25" t="inlineStr">
        <is>
          <t>REV00 CURRENT EVIDENCE BASIS — ARTICLE 5 ASSESSMENT BASIS</t>
        </is>
      </c>
      <c r="J176" s="25" t="inlineStr">
        <is>
          <t>PENDING - DRAWING</t>
        </is>
      </c>
      <c r="K176" s="25" t="inlineStr">
        <is>
          <t>PENDING - PHOTOGRAPHS</t>
        </is>
      </c>
      <c r="L176" s="25" t="inlineStr">
        <is>
          <t>Rev.00</t>
        </is>
      </c>
      <c r="M176" s="31">
        <f>HYPERLINK("01_STARTER/ST-072-EUR-03/01_Technical_File.docx","Open")</f>
        <v/>
      </c>
    </row>
    <row r="177">
      <c r="A177" s="25" t="inlineStr">
        <is>
          <t>IA-PPWR-TF-ST-072-EUR-04-R00</t>
        </is>
      </c>
      <c r="B177" s="25" t="inlineStr">
        <is>
          <t>ST-072-EUR-04</t>
        </is>
      </c>
      <c r="C177" s="25" t="inlineStr">
        <is>
          <t>IA-ST-072-EUR-04</t>
        </is>
      </c>
      <c r="D177" s="25" t="inlineStr">
        <is>
          <t>L1, LB1 | Palet (4000038): 1 adet | Köşebent (4000033): 4 adet</t>
        </is>
      </c>
      <c r="E177" s="25" t="inlineStr">
        <is>
          <t>IA-ST-CFG-0209</t>
        </is>
      </c>
      <c r="F177" s="25" t="n">
        <v>21</v>
      </c>
      <c r="G177" s="25" t="n">
        <v>6</v>
      </c>
      <c r="H177" s="25" t="n">
        <v>28.366</v>
      </c>
      <c r="I177" s="25" t="inlineStr">
        <is>
          <t>REV00 CURRENT EVIDENCE BASIS — ARTICLE 5 ASSESSMENT BASIS</t>
        </is>
      </c>
      <c r="J177" s="25" t="inlineStr">
        <is>
          <t>PENDING - DRAWING</t>
        </is>
      </c>
      <c r="K177" s="25" t="inlineStr">
        <is>
          <t>PENDING - PHOTOGRAPHS</t>
        </is>
      </c>
      <c r="L177" s="25" t="inlineStr">
        <is>
          <t>Rev.00</t>
        </is>
      </c>
      <c r="M177" s="31">
        <f>HYPERLINK("01_STARTER/ST-072-EUR-04/01_Technical_File.docx","Open")</f>
        <v/>
      </c>
    </row>
    <row r="178">
      <c r="A178" s="25" t="inlineStr">
        <is>
          <t>IA-PPWR-TF-ST-072-EUR-05-R00</t>
        </is>
      </c>
      <c r="B178" s="25" t="inlineStr">
        <is>
          <t>ST-072-EUR-05</t>
        </is>
      </c>
      <c r="C178" s="25" t="inlineStr">
        <is>
          <t>IA-ST-072-EUR-05</t>
        </is>
      </c>
      <c r="D178" s="25" t="inlineStr">
        <is>
          <t>NS60 | NS60 PVC üst kapak (4000602): 72 adet</t>
        </is>
      </c>
      <c r="E178" s="25" t="inlineStr">
        <is>
          <t>IA-ST-CFG-0235</t>
        </is>
      </c>
      <c r="F178" s="25" t="n">
        <v>11</v>
      </c>
      <c r="G178" s="25" t="n">
        <v>8</v>
      </c>
      <c r="H178" s="25" t="n">
        <v>33.2594</v>
      </c>
      <c r="I178" s="25" t="inlineStr">
        <is>
          <t>REV00 CURRENT EVIDENCE BASIS — ARTICLE 5 ASSESSMENT BASIS</t>
        </is>
      </c>
      <c r="J178" s="25" t="inlineStr">
        <is>
          <t>PENDING - DRAWING</t>
        </is>
      </c>
      <c r="K178" s="25" t="inlineStr">
        <is>
          <t>PENDING - PHOTOGRAPHS</t>
        </is>
      </c>
      <c r="L178" s="25" t="inlineStr">
        <is>
          <t>Rev.00</t>
        </is>
      </c>
      <c r="M178" s="31">
        <f>HYPERLINK("01_STARTER/ST-072-EUR-05/01_Technical_File.docx","Open")</f>
        <v/>
      </c>
    </row>
    <row r="179">
      <c r="A179" s="25" t="inlineStr">
        <is>
          <t>IA-PPWR-TF-ST-072-EUR-06-R00</t>
        </is>
      </c>
      <c r="B179" s="25" t="inlineStr">
        <is>
          <t>ST-072-EUR-06</t>
        </is>
      </c>
      <c r="C179" s="25" t="inlineStr">
        <is>
          <t>IA-ST-072-EUR-06</t>
        </is>
      </c>
      <c r="D179" s="25" t="inlineStr">
        <is>
          <t>L0 | Palet (4000038): 1 adet | Köşebent (4000590): 4 adet</t>
        </is>
      </c>
      <c r="E179" s="25" t="inlineStr">
        <is>
          <t>IA-ST-CFG-0236</t>
        </is>
      </c>
      <c r="F179" s="25" t="n">
        <v>2</v>
      </c>
      <c r="G179" s="25" t="n">
        <v>6</v>
      </c>
      <c r="H179" s="25" t="n">
        <v>27.926</v>
      </c>
      <c r="I179" s="25" t="inlineStr">
        <is>
          <t>REV00 CURRENT EVIDENCE BASIS — ARTICLE 5 ASSESSMENT BASIS</t>
        </is>
      </c>
      <c r="J179" s="25" t="inlineStr">
        <is>
          <t>PENDING - DRAWING</t>
        </is>
      </c>
      <c r="K179" s="25" t="inlineStr">
        <is>
          <t>PENDING - PHOTOGRAPHS</t>
        </is>
      </c>
      <c r="L179" s="25" t="inlineStr">
        <is>
          <t>Rev.00</t>
        </is>
      </c>
      <c r="M179" s="31">
        <f>HYPERLINK("01_STARTER/ST-072-EUR-06/01_Technical_File.docx","Open")</f>
        <v/>
      </c>
    </row>
    <row r="180">
      <c r="A180" s="25" t="inlineStr">
        <is>
          <t>IA-PPWR-TF-ST-072-STD-01-R00</t>
        </is>
      </c>
      <c r="B180" s="25" t="inlineStr">
        <is>
          <t>ST-072-STD-01</t>
        </is>
      </c>
      <c r="C180" s="25" t="inlineStr">
        <is>
          <t>IA-ST-072-STD-01</t>
        </is>
      </c>
      <c r="D180" s="25" t="inlineStr">
        <is>
          <t>L3 | L3 EAS Activa penceresiz dış koli (4000646): 72 adet</t>
        </is>
      </c>
      <c r="E180" s="25" t="inlineStr">
        <is>
          <t>IA-ST-CFG-0210</t>
        </is>
      </c>
      <c r="F180" s="25" t="n">
        <v>2</v>
      </c>
      <c r="G180" s="25" t="n">
        <v>7</v>
      </c>
      <c r="H180" s="25" t="n">
        <v>47.336</v>
      </c>
      <c r="I180" s="25" t="inlineStr">
        <is>
          <t>REV00 CURRENT EVIDENCE BASIS — ARTICLE 5 ASSESSMENT BASIS</t>
        </is>
      </c>
      <c r="J180" s="25" t="inlineStr">
        <is>
          <t>PENDING - DRAWING</t>
        </is>
      </c>
      <c r="K180" s="25" t="inlineStr">
        <is>
          <t>PENDING - PHOTOGRAPHS</t>
        </is>
      </c>
      <c r="L180" s="25" t="inlineStr">
        <is>
          <t>Rev.00</t>
        </is>
      </c>
      <c r="M180" s="31">
        <f>HYPERLINK("01_STARTER/ST-072-STD-01/01_Technical_File.docx","Open")</f>
        <v/>
      </c>
    </row>
    <row r="181">
      <c r="A181" s="25" t="inlineStr">
        <is>
          <t>IA-PPWR-TF-ST-072-STD-02-R00</t>
        </is>
      </c>
      <c r="B181" s="25" t="inlineStr">
        <is>
          <t>ST-072-STD-02</t>
        </is>
      </c>
      <c r="C181" s="25" t="inlineStr">
        <is>
          <t>IA-ST-072-STD-02</t>
        </is>
      </c>
      <c r="D181" s="25" t="inlineStr">
        <is>
          <t>LB3 | LB3 İnci EFB PANTERA pencereli DL dış koli (4001314): 72 adet</t>
        </is>
      </c>
      <c r="E181" s="25" t="inlineStr">
        <is>
          <t>IA-ST-CFG-0211</t>
        </is>
      </c>
      <c r="F181" s="25" t="n">
        <v>1</v>
      </c>
      <c r="G181" s="25" t="n">
        <v>7</v>
      </c>
      <c r="H181" s="25" t="n">
        <v>50.936</v>
      </c>
      <c r="I181" s="25" t="inlineStr">
        <is>
          <t>REV00 CURRENT EVIDENCE BASIS — ARTICLE 5 ASSESSMENT BASIS</t>
        </is>
      </c>
      <c r="J181" s="25" t="inlineStr">
        <is>
          <t>PENDING - DRAWING</t>
        </is>
      </c>
      <c r="K181" s="25" t="inlineStr">
        <is>
          <t>PENDING - PHOTOGRAPHS</t>
        </is>
      </c>
      <c r="L181" s="25" t="inlineStr">
        <is>
          <t>Rev.00</t>
        </is>
      </c>
      <c r="M181" s="31">
        <f>HYPERLINK("01_STARTER/ST-072-STD-02/01_Technical_File.docx","Open")</f>
        <v/>
      </c>
    </row>
    <row r="182">
      <c r="A182" s="25" t="inlineStr">
        <is>
          <t>IA-PPWR-TF-ST-072-STD-03-R00</t>
        </is>
      </c>
      <c r="B182" s="25" t="inlineStr">
        <is>
          <t>ST-072-STD-03</t>
        </is>
      </c>
      <c r="C182" s="25" t="inlineStr">
        <is>
          <t>IA-ST-072-STD-03</t>
        </is>
      </c>
      <c r="D182" s="25" t="inlineStr">
        <is>
          <t>L3 | L3 İnci EFB PANTERA pencereli DL dış koli (4001315): 72 adet</t>
        </is>
      </c>
      <c r="E182" s="25" t="inlineStr">
        <is>
          <t>IA-ST-CFG-0212</t>
        </is>
      </c>
      <c r="F182" s="25" t="n">
        <v>1</v>
      </c>
      <c r="G182" s="25" t="n">
        <v>7</v>
      </c>
      <c r="H182" s="25" t="n">
        <v>47.336</v>
      </c>
      <c r="I182" s="25" t="inlineStr">
        <is>
          <t>REV00 CURRENT EVIDENCE BASIS — ARTICLE 5 ASSESSMENT BASIS</t>
        </is>
      </c>
      <c r="J182" s="25" t="inlineStr">
        <is>
          <t>PENDING - DRAWING</t>
        </is>
      </c>
      <c r="K182" s="25" t="inlineStr">
        <is>
          <t>PENDING - PHOTOGRAPHS</t>
        </is>
      </c>
      <c r="L182" s="25" t="inlineStr">
        <is>
          <t>Rev.00</t>
        </is>
      </c>
      <c r="M182" s="31">
        <f>HYPERLINK("01_STARTER/ST-072-STD-03/01_Technical_File.docx","Open")</f>
        <v/>
      </c>
    </row>
    <row r="183">
      <c r="A183" s="25" t="inlineStr">
        <is>
          <t>IA-PPWR-TF-ST-072-STD-04-R00</t>
        </is>
      </c>
      <c r="B183" s="25" t="inlineStr">
        <is>
          <t>ST-072-STD-04</t>
        </is>
      </c>
      <c r="C183" s="25" t="inlineStr">
        <is>
          <t>IA-ST-072-STD-04</t>
        </is>
      </c>
      <c r="D183" s="25" t="inlineStr">
        <is>
          <t>L3 | L3 EAS EFB MAX pencereli 2024 dış koli (4001411): 72 adet</t>
        </is>
      </c>
      <c r="E183" s="25" t="inlineStr">
        <is>
          <t>IA-ST-CFG-0213</t>
        </is>
      </c>
      <c r="F183" s="25" t="n">
        <v>1</v>
      </c>
      <c r="G183" s="25" t="n">
        <v>7</v>
      </c>
      <c r="H183" s="25" t="n">
        <v>47.336</v>
      </c>
      <c r="I183" s="25" t="inlineStr">
        <is>
          <t>REV00 CURRENT EVIDENCE BASIS — ARTICLE 5 ASSESSMENT BASIS</t>
        </is>
      </c>
      <c r="J183" s="25" t="inlineStr">
        <is>
          <t>PENDING - DRAWING</t>
        </is>
      </c>
      <c r="K183" s="25" t="inlineStr">
        <is>
          <t>PENDING - PHOTOGRAPHS</t>
        </is>
      </c>
      <c r="L183" s="25" t="inlineStr">
        <is>
          <t>Rev.00</t>
        </is>
      </c>
      <c r="M183" s="31">
        <f>HYPERLINK("01_STARTER/ST-072-STD-04/01_Technical_File.docx","Open")</f>
        <v/>
      </c>
    </row>
    <row r="184">
      <c r="A184" s="25" t="inlineStr">
        <is>
          <t>IA-PPWR-TF-ST-072-STD-05-R00</t>
        </is>
      </c>
      <c r="B184" s="25" t="inlineStr">
        <is>
          <t>ST-072-STD-05</t>
        </is>
      </c>
      <c r="C184" s="25" t="inlineStr">
        <is>
          <t>IA-ST-072-STD-05</t>
        </is>
      </c>
      <c r="D184" s="25" t="inlineStr">
        <is>
          <t>L1 | L1 EAS AGM S&amp;S 50AH 560A pencereli dış koli (4001394): 72 adet</t>
        </is>
      </c>
      <c r="E184" s="25" t="inlineStr">
        <is>
          <t>IA-ST-CFG-0214</t>
        </is>
      </c>
      <c r="F184" s="25" t="n">
        <v>1</v>
      </c>
      <c r="G184" s="25" t="n">
        <v>7</v>
      </c>
      <c r="H184" s="25" t="n">
        <v>46.766</v>
      </c>
      <c r="I184" s="25" t="inlineStr">
        <is>
          <t>REV00 CURRENT EVIDENCE BASIS — ARTICLE 5 ASSESSMENT BASIS</t>
        </is>
      </c>
      <c r="J184" s="25" t="inlineStr">
        <is>
          <t>PENDING - DRAWING</t>
        </is>
      </c>
      <c r="K184" s="25" t="inlineStr">
        <is>
          <t>PENDING - PHOTOGRAPHS</t>
        </is>
      </c>
      <c r="L184" s="25" t="inlineStr">
        <is>
          <t>Rev.00</t>
        </is>
      </c>
      <c r="M184" s="31">
        <f>HYPERLINK("01_STARTER/ST-072-STD-05/01_Technical_File.docx","Open")</f>
        <v/>
      </c>
    </row>
    <row r="185">
      <c r="A185" s="25" t="inlineStr">
        <is>
          <t>IA-PPWR-TF-ST-072-STD-06-R00</t>
        </is>
      </c>
      <c r="B185" s="25" t="inlineStr">
        <is>
          <t>ST-072-STD-06</t>
        </is>
      </c>
      <c r="C185" s="25" t="inlineStr">
        <is>
          <t>IA-ST-072-STD-06</t>
        </is>
      </c>
      <c r="D185" s="25" t="inlineStr">
        <is>
          <t>L3 | L3 HUGEL ULTRA penceresiz 2013 TAS. dış koli (4000865): 72 adet</t>
        </is>
      </c>
      <c r="E185" s="25" t="inlineStr">
        <is>
          <t>IA-ST-CFG-0215</t>
        </is>
      </c>
      <c r="F185" s="25" t="n">
        <v>1</v>
      </c>
      <c r="G185" s="25" t="n">
        <v>7</v>
      </c>
      <c r="H185" s="25" t="n">
        <v>47.756</v>
      </c>
      <c r="I185" s="25" t="inlineStr">
        <is>
          <t>REV00 CURRENT EVIDENCE BASIS — ARTICLE 5 ASSESSMENT BASIS</t>
        </is>
      </c>
      <c r="J185" s="25" t="inlineStr">
        <is>
          <t>PENDING - DRAWING</t>
        </is>
      </c>
      <c r="K185" s="25" t="inlineStr">
        <is>
          <t>PENDING - PHOTOGRAPHS</t>
        </is>
      </c>
      <c r="L185" s="25" t="inlineStr">
        <is>
          <t>Rev.00</t>
        </is>
      </c>
      <c r="M185" s="31">
        <f>HYPERLINK("01_STARTER/ST-072-STD-06/01_Technical_File.docx","Open")</f>
        <v/>
      </c>
    </row>
    <row r="186">
      <c r="A186" s="25" t="inlineStr">
        <is>
          <t>IA-PPWR-TF-ST-072-STD-07-R00</t>
        </is>
      </c>
      <c r="B186" s="25" t="inlineStr">
        <is>
          <t>ST-072-STD-07</t>
        </is>
      </c>
      <c r="C186" s="25" t="inlineStr">
        <is>
          <t>IA-ST-072-STD-07</t>
        </is>
      </c>
      <c r="D186" s="25" t="inlineStr">
        <is>
          <t>LB3 | LB3 İnci FORMULA-MAXIMA 2019 dış koli (4001205): 72 adet</t>
        </is>
      </c>
      <c r="E186" s="25" t="inlineStr">
        <is>
          <t>IA-ST-CFG-0216</t>
        </is>
      </c>
      <c r="F186" s="25" t="n">
        <v>1</v>
      </c>
      <c r="G186" s="25" t="n">
        <v>7</v>
      </c>
      <c r="H186" s="25" t="n">
        <v>50.636</v>
      </c>
      <c r="I186" s="25" t="inlineStr">
        <is>
          <t>REV00 CURRENT EVIDENCE BASIS — ARTICLE 5 ASSESSMENT BASIS</t>
        </is>
      </c>
      <c r="J186" s="25" t="inlineStr">
        <is>
          <t>PENDING - DRAWING</t>
        </is>
      </c>
      <c r="K186" s="25" t="inlineStr">
        <is>
          <t>PENDING - PHOTOGRAPHS</t>
        </is>
      </c>
      <c r="L186" s="25" t="inlineStr">
        <is>
          <t>Rev.00</t>
        </is>
      </c>
      <c r="M186" s="31">
        <f>HYPERLINK("01_STARTER/ST-072-STD-07/01_Technical_File.docx","Open")</f>
        <v/>
      </c>
    </row>
    <row r="187">
      <c r="A187" s="25" t="inlineStr">
        <is>
          <t>IA-PPWR-TF-ST-072-STD-08-R00</t>
        </is>
      </c>
      <c r="B187" s="25" t="inlineStr">
        <is>
          <t>ST-072-STD-08</t>
        </is>
      </c>
      <c r="C187" s="25" t="inlineStr">
        <is>
          <t>IA-ST-072-STD-08</t>
        </is>
      </c>
      <c r="D187" s="25" t="inlineStr">
        <is>
          <t>D23 | Palet (4000037): 1 adet | Separatör (4000130): 1 adet</t>
        </is>
      </c>
      <c r="E187" s="25" t="inlineStr">
        <is>
          <t>IA-ST-CFG-0217</t>
        </is>
      </c>
      <c r="F187" s="25" t="n">
        <v>1</v>
      </c>
      <c r="G187" s="25" t="n">
        <v>7</v>
      </c>
      <c r="H187" s="25" t="n">
        <v>27.708</v>
      </c>
      <c r="I187" s="25" t="inlineStr">
        <is>
          <t>REV00 CURRENT EVIDENCE BASIS — ARTICLE 5 ASSESSMENT BASIS</t>
        </is>
      </c>
      <c r="J187" s="25" t="inlineStr">
        <is>
          <t>PENDING - DRAWING</t>
        </is>
      </c>
      <c r="K187" s="25" t="inlineStr">
        <is>
          <t>PENDING - PHOTOGRAPHS</t>
        </is>
      </c>
      <c r="L187" s="25" t="inlineStr">
        <is>
          <t>Rev.00</t>
        </is>
      </c>
      <c r="M187" s="31">
        <f>HYPERLINK("01_STARTER/ST-072-STD-08/01_Technical_File.docx","Open")</f>
        <v/>
      </c>
    </row>
    <row r="188">
      <c r="A188" s="25" t="inlineStr">
        <is>
          <t>IA-PPWR-TF-ST-072-STD-09-R00</t>
        </is>
      </c>
      <c r="B188" s="25" t="inlineStr">
        <is>
          <t>ST-072-STD-09</t>
        </is>
      </c>
      <c r="C188" s="25" t="inlineStr">
        <is>
          <t>IA-ST-072-STD-09</t>
        </is>
      </c>
      <c r="D188" s="25" t="inlineStr">
        <is>
          <t>L2 | Palet (4000037): 1 adet | Shrink film (4000558): 2.736 kg</t>
        </is>
      </c>
      <c r="E188" s="25" t="inlineStr">
        <is>
          <t>IA-ST-CFG-0218</t>
        </is>
      </c>
      <c r="F188" s="25" t="n">
        <v>1</v>
      </c>
      <c r="G188" s="25" t="n">
        <v>7</v>
      </c>
      <c r="H188" s="25" t="n">
        <v>30.942</v>
      </c>
      <c r="I188" s="25" t="inlineStr">
        <is>
          <t>REV00 CURRENT EVIDENCE BASIS — ARTICLE 5 ASSESSMENT BASIS</t>
        </is>
      </c>
      <c r="J188" s="25" t="inlineStr">
        <is>
          <t>PENDING - DRAWING</t>
        </is>
      </c>
      <c r="K188" s="25" t="inlineStr">
        <is>
          <t>PENDING - PHOTOGRAPHS</t>
        </is>
      </c>
      <c r="L188" s="25" t="inlineStr">
        <is>
          <t>Rev.00</t>
        </is>
      </c>
      <c r="M188" s="31">
        <f>HYPERLINK("01_STARTER/ST-072-STD-09/01_Technical_File.docx","Open")</f>
        <v/>
      </c>
    </row>
    <row r="189">
      <c r="A189" s="25" t="inlineStr">
        <is>
          <t>IA-PPWR-TF-ST-072-STD-10-R00</t>
        </is>
      </c>
      <c r="B189" s="25" t="inlineStr">
        <is>
          <t>ST-072-STD-10</t>
        </is>
      </c>
      <c r="C189" s="25" t="inlineStr">
        <is>
          <t>IA-ST-072-STD-10</t>
        </is>
      </c>
      <c r="D189" s="25" t="inlineStr">
        <is>
          <t>D23 | D23 PVC üst kapak (4000461): 72 adet | Köşebent (4000590): 2 adet</t>
        </is>
      </c>
      <c r="E189" s="25" t="inlineStr">
        <is>
          <t>IA-ST-CFG-0219</t>
        </is>
      </c>
      <c r="F189" s="25" t="n">
        <v>43</v>
      </c>
      <c r="G189" s="25" t="n">
        <v>8</v>
      </c>
      <c r="H189" s="25" t="n">
        <v>34.33224</v>
      </c>
      <c r="I189" s="25" t="inlineStr">
        <is>
          <t>REV00 CURRENT EVIDENCE BASIS — ARTICLE 5 ASSESSMENT BASIS</t>
        </is>
      </c>
      <c r="J189" s="25" t="inlineStr">
        <is>
          <t>PENDING - DRAWING</t>
        </is>
      </c>
      <c r="K189" s="25" t="inlineStr">
        <is>
          <t>PENDING - PHOTOGRAPHS</t>
        </is>
      </c>
      <c r="L189" s="25" t="inlineStr">
        <is>
          <t>Rev.00</t>
        </is>
      </c>
      <c r="M189" s="31">
        <f>HYPERLINK("01_STARTER/ST-072-STD-10/01_Technical_File.docx","Open")</f>
        <v/>
      </c>
    </row>
    <row r="190">
      <c r="A190" s="25" t="inlineStr">
        <is>
          <t>IA-PPWR-TF-ST-072-STD-11-R00</t>
        </is>
      </c>
      <c r="B190" s="25" t="inlineStr">
        <is>
          <t>ST-072-STD-11</t>
        </is>
      </c>
      <c r="C190" s="25" t="inlineStr">
        <is>
          <t>IA-ST-072-STD-11</t>
        </is>
      </c>
      <c r="D190" s="25" t="inlineStr">
        <is>
          <t>D20 | D20 PVC üst kapak (4000490): 72 adet | Köşebent (4000590): 2 adet</t>
        </is>
      </c>
      <c r="E190" s="25" t="inlineStr">
        <is>
          <t>IA-ST-CFG-0220</t>
        </is>
      </c>
      <c r="F190" s="25" t="n">
        <v>2</v>
      </c>
      <c r="G190" s="25" t="n">
        <v>8</v>
      </c>
      <c r="H190" s="25" t="n">
        <v>30.33912</v>
      </c>
      <c r="I190" s="25" t="inlineStr">
        <is>
          <t>REV00 CURRENT EVIDENCE BASIS — ARTICLE 5 ASSESSMENT BASIS</t>
        </is>
      </c>
      <c r="J190" s="25" t="inlineStr">
        <is>
          <t>PENDING - DRAWING</t>
        </is>
      </c>
      <c r="K190" s="25" t="inlineStr">
        <is>
          <t>PENDING - PHOTOGRAPHS</t>
        </is>
      </c>
      <c r="L190" s="25" t="inlineStr">
        <is>
          <t>Rev.00</t>
        </is>
      </c>
      <c r="M190" s="31">
        <f>HYPERLINK("01_STARTER/ST-072-STD-11/01_Technical_File.docx","Open")</f>
        <v/>
      </c>
    </row>
    <row r="191">
      <c r="A191" s="25" t="inlineStr">
        <is>
          <t>IA-PPWR-TF-ST-072-STD-12-R00</t>
        </is>
      </c>
      <c r="B191" s="25" t="inlineStr">
        <is>
          <t>ST-072-STD-12</t>
        </is>
      </c>
      <c r="C191" s="25" t="inlineStr">
        <is>
          <t>IA-ST-072-STD-12</t>
        </is>
      </c>
      <c r="D191" s="25" t="inlineStr">
        <is>
          <t>L4 | Palet (4000037): 1 adet | Shrink film (4000554): 2.448 kg</t>
        </is>
      </c>
      <c r="E191" s="25" t="inlineStr">
        <is>
          <t>IA-ST-CFG-0221</t>
        </is>
      </c>
      <c r="F191" s="25" t="n">
        <v>4</v>
      </c>
      <c r="G191" s="25" t="n">
        <v>7</v>
      </c>
      <c r="H191" s="25" t="n">
        <v>30.3672</v>
      </c>
      <c r="I191" s="25" t="inlineStr">
        <is>
          <t>REV00 CURRENT EVIDENCE BASIS — ARTICLE 5 ASSESSMENT BASIS</t>
        </is>
      </c>
      <c r="J191" s="25" t="inlineStr">
        <is>
          <t>PENDING - DRAWING</t>
        </is>
      </c>
      <c r="K191" s="25" t="inlineStr">
        <is>
          <t>PENDING - PHOTOGRAPHS</t>
        </is>
      </c>
      <c r="L191" s="25" t="inlineStr">
        <is>
          <t>Rev.00</t>
        </is>
      </c>
      <c r="M191" s="31">
        <f>HYPERLINK("01_STARTER/ST-072-STD-12/01_Technical_File.docx","Open")</f>
        <v/>
      </c>
    </row>
    <row r="192">
      <c r="A192" s="25" t="inlineStr">
        <is>
          <t>IA-PPWR-TF-ST-072-STD-13-R00</t>
        </is>
      </c>
      <c r="B192" s="25" t="inlineStr">
        <is>
          <t>ST-072-STD-13</t>
        </is>
      </c>
      <c r="C192" s="25" t="inlineStr">
        <is>
          <t>IA-ST-072-STD-13</t>
        </is>
      </c>
      <c r="D192" s="25" t="inlineStr">
        <is>
          <t>L2, LB2 | Palet (4000037): 1 adet | Köşebent (4000590): 2 adet</t>
        </is>
      </c>
      <c r="E192" s="25" t="inlineStr">
        <is>
          <t>IA-ST-CFG-0222</t>
        </is>
      </c>
      <c r="F192" s="25" t="n">
        <v>125</v>
      </c>
      <c r="G192" s="25" t="n">
        <v>7</v>
      </c>
      <c r="H192" s="25" t="n">
        <v>30.6552</v>
      </c>
      <c r="I192" s="25" t="inlineStr">
        <is>
          <t>REV00 CURRENT EVIDENCE BASIS — ARTICLE 5 ASSESSMENT BASIS</t>
        </is>
      </c>
      <c r="J192" s="25" t="inlineStr">
        <is>
          <t>PENDING - DRAWING</t>
        </is>
      </c>
      <c r="K192" s="25" t="inlineStr">
        <is>
          <t>PENDING - PHOTOGRAPHS</t>
        </is>
      </c>
      <c r="L192" s="25" t="inlineStr">
        <is>
          <t>Rev.00</t>
        </is>
      </c>
      <c r="M192" s="31">
        <f>HYPERLINK("01_STARTER/ST-072-STD-13/01_Technical_File.docx","Open")</f>
        <v/>
      </c>
    </row>
    <row r="193">
      <c r="A193" s="25" t="inlineStr">
        <is>
          <t>IA-PPWR-TF-ST-072-STD-14-R00</t>
        </is>
      </c>
      <c r="B193" s="25" t="inlineStr">
        <is>
          <t>ST-072-STD-14</t>
        </is>
      </c>
      <c r="C193" s="25" t="inlineStr">
        <is>
          <t>IA-ST-072-STD-14</t>
        </is>
      </c>
      <c r="D193" s="25" t="inlineStr">
        <is>
          <t>LB2, L2 | Palet (4000037): 1 adet | Separatör (4000130): 4 adet</t>
        </is>
      </c>
      <c r="E193" s="25" t="inlineStr">
        <is>
          <t>IA-ST-CFG-0223</t>
        </is>
      </c>
      <c r="F193" s="25" t="n">
        <v>2</v>
      </c>
      <c r="G193" s="25" t="n">
        <v>6</v>
      </c>
      <c r="H193" s="25" t="n">
        <v>27.9192</v>
      </c>
      <c r="I193" s="25" t="inlineStr">
        <is>
          <t>REV00 CURRENT EVIDENCE BASIS — ARTICLE 5 ASSESSMENT BASIS</t>
        </is>
      </c>
      <c r="J193" s="25" t="inlineStr">
        <is>
          <t>PENDING - DRAWING</t>
        </is>
      </c>
      <c r="K193" s="25" t="inlineStr">
        <is>
          <t>PENDING - PHOTOGRAPHS</t>
        </is>
      </c>
      <c r="L193" s="25" t="inlineStr">
        <is>
          <t>Rev.00</t>
        </is>
      </c>
      <c r="M193" s="31">
        <f>HYPERLINK("01_STARTER/ST-072-STD-14/01_Technical_File.docx","Open")</f>
        <v/>
      </c>
    </row>
    <row r="194">
      <c r="A194" s="25" t="inlineStr">
        <is>
          <t>IA-PPWR-TF-ST-072-STD-15-R00</t>
        </is>
      </c>
      <c r="B194" s="25" t="inlineStr">
        <is>
          <t>ST-072-STD-15</t>
        </is>
      </c>
      <c r="C194" s="25" t="inlineStr">
        <is>
          <t>IA-ST-072-STD-15</t>
        </is>
      </c>
      <c r="D194" s="25" t="inlineStr">
        <is>
          <t>D23 | D23 PVC üst kapak (4000461): 72 adet | Çember (4000450): kullanılmaz</t>
        </is>
      </c>
      <c r="E194" s="25" t="inlineStr">
        <is>
          <t>IA-ST-CFG-0224</t>
        </is>
      </c>
      <c r="F194" s="25" t="n">
        <v>5</v>
      </c>
      <c r="G194" s="25" t="n">
        <v>6</v>
      </c>
      <c r="H194" s="25" t="n">
        <v>34.04544</v>
      </c>
      <c r="I194" s="25" t="inlineStr">
        <is>
          <t>REV00 CURRENT EVIDENCE BASIS — ARTICLE 5 ASSESSMENT BASIS</t>
        </is>
      </c>
      <c r="J194" s="25" t="inlineStr">
        <is>
          <t>PENDING - DRAWING</t>
        </is>
      </c>
      <c r="K194" s="25" t="inlineStr">
        <is>
          <t>PENDING - PHOTOGRAPHS</t>
        </is>
      </c>
      <c r="L194" s="25" t="inlineStr">
        <is>
          <t>Rev.00</t>
        </is>
      </c>
      <c r="M194" s="31">
        <f>HYPERLINK("01_STARTER/ST-072-STD-15/01_Technical_File.docx","Open")</f>
        <v/>
      </c>
    </row>
    <row r="195">
      <c r="A195" s="25" t="inlineStr">
        <is>
          <t>IA-PPWR-TF-ST-072-STD-16-R00</t>
        </is>
      </c>
      <c r="B195" s="25" t="inlineStr">
        <is>
          <t>ST-072-STD-16</t>
        </is>
      </c>
      <c r="C195" s="25" t="inlineStr">
        <is>
          <t>IA-ST-072-STD-16</t>
        </is>
      </c>
      <c r="D195" s="25" t="inlineStr">
        <is>
          <t>D20 | D20 PVC üst kapak (4000490): 72 adet | Köşebent (4000590): kullanılmaz</t>
        </is>
      </c>
      <c r="E195" s="25" t="inlineStr">
        <is>
          <t>IA-ST-CFG-0225</t>
        </is>
      </c>
      <c r="F195" s="25" t="n">
        <v>5</v>
      </c>
      <c r="G195" s="25" t="n">
        <v>6</v>
      </c>
      <c r="H195" s="25" t="n">
        <v>30.05232</v>
      </c>
      <c r="I195" s="25" t="inlineStr">
        <is>
          <t>REV00 CURRENT EVIDENCE BASIS — ARTICLE 5 ASSESSMENT BASIS</t>
        </is>
      </c>
      <c r="J195" s="25" t="inlineStr">
        <is>
          <t>PENDING - DRAWING</t>
        </is>
      </c>
      <c r="K195" s="25" t="inlineStr">
        <is>
          <t>PENDING - PHOTOGRAPHS</t>
        </is>
      </c>
      <c r="L195" s="25" t="inlineStr">
        <is>
          <t>Rev.00</t>
        </is>
      </c>
      <c r="M195" s="31">
        <f>HYPERLINK("01_STARTER/ST-072-STD-16/01_Technical_File.docx","Open")</f>
        <v/>
      </c>
    </row>
    <row r="196">
      <c r="A196" s="25" t="inlineStr">
        <is>
          <t>IA-PPWR-TF-ST-072-STD-17-R00</t>
        </is>
      </c>
      <c r="B196" s="25" t="inlineStr">
        <is>
          <t>ST-072-STD-17</t>
        </is>
      </c>
      <c r="C196" s="25" t="inlineStr">
        <is>
          <t>IA-ST-072-STD-17</t>
        </is>
      </c>
      <c r="D196" s="25" t="inlineStr">
        <is>
          <t>L2 | Palet (4000037): 1 adet | Shrink film (4000558): 2.376 kg</t>
        </is>
      </c>
      <c r="E196" s="25" t="inlineStr">
        <is>
          <t>IA-ST-CFG-0226</t>
        </is>
      </c>
      <c r="F196" s="25" t="n">
        <v>1</v>
      </c>
      <c r="G196" s="25" t="n">
        <v>5</v>
      </c>
      <c r="H196" s="25" t="n">
        <v>30.0084</v>
      </c>
      <c r="I196" s="25" t="inlineStr">
        <is>
          <t>REV00 CURRENT EVIDENCE BASIS — ARTICLE 5 ASSESSMENT BASIS</t>
        </is>
      </c>
      <c r="J196" s="25" t="inlineStr">
        <is>
          <t>PENDING - DRAWING</t>
        </is>
      </c>
      <c r="K196" s="25" t="inlineStr">
        <is>
          <t>PENDING - PHOTOGRAPHS</t>
        </is>
      </c>
      <c r="L196" s="25" t="inlineStr">
        <is>
          <t>Rev.00</t>
        </is>
      </c>
      <c r="M196" s="31">
        <f>HYPERLINK("01_STARTER/ST-072-STD-17/01_Technical_File.docx","Open")</f>
        <v/>
      </c>
    </row>
    <row r="197">
      <c r="A197" s="25" t="inlineStr">
        <is>
          <t>IA-PPWR-TF-ST-072-STD-18-R00</t>
        </is>
      </c>
      <c r="B197" s="25" t="inlineStr">
        <is>
          <t>ST-072-STD-18</t>
        </is>
      </c>
      <c r="C197" s="25" t="inlineStr">
        <is>
          <t>IA-ST-072-STD-18</t>
        </is>
      </c>
      <c r="D197" s="25" t="inlineStr">
        <is>
          <t>L2, LB2 | Palet (4000037): 1 adet | Köşebent (4000590): kullanılmaz</t>
        </is>
      </c>
      <c r="E197" s="25" t="inlineStr">
        <is>
          <t>IA-ST-CFG-0227</t>
        </is>
      </c>
      <c r="F197" s="25" t="n">
        <v>18</v>
      </c>
      <c r="G197" s="25" t="n">
        <v>5</v>
      </c>
      <c r="H197" s="25" t="n">
        <v>30.3684</v>
      </c>
      <c r="I197" s="25" t="inlineStr">
        <is>
          <t>REV00 CURRENT EVIDENCE BASIS — ARTICLE 5 ASSESSMENT BASIS</t>
        </is>
      </c>
      <c r="J197" s="25" t="inlineStr">
        <is>
          <t>PENDING - DRAWING</t>
        </is>
      </c>
      <c r="K197" s="25" t="inlineStr">
        <is>
          <t>PENDING - PHOTOGRAPHS</t>
        </is>
      </c>
      <c r="L197" s="25" t="inlineStr">
        <is>
          <t>Rev.00</t>
        </is>
      </c>
      <c r="M197" s="31">
        <f>HYPERLINK("01_STARTER/ST-072-STD-18/01_Technical_File.docx","Open")</f>
        <v/>
      </c>
    </row>
    <row r="198">
      <c r="A198" s="25" t="inlineStr">
        <is>
          <t>IA-PPWR-TF-ST-072-STD-19-R00</t>
        </is>
      </c>
      <c r="B198" s="25" t="inlineStr">
        <is>
          <t>ST-072-STD-19</t>
        </is>
      </c>
      <c r="C198" s="25" t="inlineStr">
        <is>
          <t>IA-ST-072-STD-19</t>
        </is>
      </c>
      <c r="D198" s="25" t="inlineStr">
        <is>
          <t>D23 | Palet (4000037): 1 adet | Shrink film (4001177): 0.597 kg</t>
        </is>
      </c>
      <c r="E198" s="25" t="inlineStr">
        <is>
          <t>IA-ST-CFG-0228</t>
        </is>
      </c>
      <c r="F198" s="25" t="n">
        <v>3</v>
      </c>
      <c r="G198" s="25" t="n">
        <v>7</v>
      </c>
      <c r="H198" s="25" t="n">
        <v>28.649</v>
      </c>
      <c r="I198" s="25" t="inlineStr">
        <is>
          <t>REV00 CURRENT EVIDENCE BASIS — ARTICLE 5 ASSESSMENT BASIS</t>
        </is>
      </c>
      <c r="J198" s="25" t="inlineStr">
        <is>
          <t>PENDING - DRAWING</t>
        </is>
      </c>
      <c r="K198" s="25" t="inlineStr">
        <is>
          <t>PENDING - PHOTOGRAPHS</t>
        </is>
      </c>
      <c r="L198" s="25" t="inlineStr">
        <is>
          <t>Rev.00</t>
        </is>
      </c>
      <c r="M198" s="31">
        <f>HYPERLINK("01_STARTER/ST-072-STD-19/01_Technical_File.docx","Open")</f>
        <v/>
      </c>
    </row>
    <row r="199">
      <c r="A199" s="25" t="inlineStr">
        <is>
          <t>IA-PPWR-TF-ST-072-STD-20-R00</t>
        </is>
      </c>
      <c r="B199" s="25" t="inlineStr">
        <is>
          <t>ST-072-STD-20</t>
        </is>
      </c>
      <c r="C199" s="25" t="inlineStr">
        <is>
          <t>IA-ST-072-STD-20</t>
        </is>
      </c>
      <c r="D199" s="25" t="inlineStr">
        <is>
          <t>L2 | Palet (4000037): 1 adet | Köşebent (4000590): 2 adet</t>
        </is>
      </c>
      <c r="E199" s="25" t="inlineStr">
        <is>
          <t>IA-ST-CFG-0229</t>
        </is>
      </c>
      <c r="F199" s="25" t="n">
        <v>1</v>
      </c>
      <c r="G199" s="25" t="n">
        <v>6</v>
      </c>
      <c r="H199" s="25" t="n">
        <v>28.417</v>
      </c>
      <c r="I199" s="25" t="inlineStr">
        <is>
          <t>REV00 CURRENT EVIDENCE BASIS — ARTICLE 5 ASSESSMENT BASIS</t>
        </is>
      </c>
      <c r="J199" s="25" t="inlineStr">
        <is>
          <t>PENDING - DRAWING</t>
        </is>
      </c>
      <c r="K199" s="25" t="inlineStr">
        <is>
          <t>PENDING - PHOTOGRAPHS</t>
        </is>
      </c>
      <c r="L199" s="25" t="inlineStr">
        <is>
          <t>Rev.00</t>
        </is>
      </c>
      <c r="M199" s="31">
        <f>HYPERLINK("01_STARTER/ST-072-STD-20/01_Technical_File.docx","Open")</f>
        <v/>
      </c>
    </row>
    <row r="200">
      <c r="A200" s="25" t="inlineStr">
        <is>
          <t>IA-PPWR-TF-ST-072-STD-21-R00</t>
        </is>
      </c>
      <c r="B200" s="25" t="inlineStr">
        <is>
          <t>ST-072-STD-21</t>
        </is>
      </c>
      <c r="C200" s="25" t="inlineStr">
        <is>
          <t>IA-ST-072-STD-21</t>
        </is>
      </c>
      <c r="D200" s="25" t="inlineStr">
        <is>
          <t>L2 | Palet (4000037): 1 adet | Köşebent (4000590): 4 adet | Shrink film (4001177): 0.597 kg</t>
        </is>
      </c>
      <c r="E200" s="25" t="inlineStr">
        <is>
          <t>IA-ST-CFG-0230</t>
        </is>
      </c>
      <c r="F200" s="25" t="n">
        <v>9</v>
      </c>
      <c r="G200" s="25" t="n">
        <v>6</v>
      </c>
      <c r="H200" s="25" t="n">
        <v>28.617</v>
      </c>
      <c r="I200" s="25" t="inlineStr">
        <is>
          <t>REV00 CURRENT EVIDENCE BASIS — ARTICLE 5 ASSESSMENT BASIS</t>
        </is>
      </c>
      <c r="J200" s="25" t="inlineStr">
        <is>
          <t>PENDING - DRAWING</t>
        </is>
      </c>
      <c r="K200" s="25" t="inlineStr">
        <is>
          <t>PENDING - PHOTOGRAPHS</t>
        </is>
      </c>
      <c r="L200" s="25" t="inlineStr">
        <is>
          <t>Rev.00</t>
        </is>
      </c>
      <c r="M200" s="31">
        <f>HYPERLINK("01_STARTER/ST-072-STD-21/01_Technical_File.docx","Open")</f>
        <v/>
      </c>
    </row>
    <row r="201">
      <c r="A201" s="25" t="inlineStr">
        <is>
          <t>IA-PPWR-TF-ST-072-STD-22-R00</t>
        </is>
      </c>
      <c r="B201" s="25" t="inlineStr">
        <is>
          <t>ST-072-STD-22</t>
        </is>
      </c>
      <c r="C201" s="25" t="inlineStr">
        <is>
          <t>IA-ST-072-STD-22</t>
        </is>
      </c>
      <c r="D201" s="25" t="inlineStr">
        <is>
          <t>L4, LB4 | Palet (4000037): 1 adet | Köşebent (4000590): 2 adet</t>
        </is>
      </c>
      <c r="E201" s="25" t="inlineStr">
        <is>
          <t>IA-ST-CFG-0231</t>
        </is>
      </c>
      <c r="F201" s="25" t="n">
        <v>21</v>
      </c>
      <c r="G201" s="25" t="n">
        <v>7</v>
      </c>
      <c r="H201" s="25" t="n">
        <v>30.6372</v>
      </c>
      <c r="I201" s="25" t="inlineStr">
        <is>
          <t>REV00 CURRENT EVIDENCE BASIS — ARTICLE 5 ASSESSMENT BASIS</t>
        </is>
      </c>
      <c r="J201" s="25" t="inlineStr">
        <is>
          <t>PENDING - DRAWING</t>
        </is>
      </c>
      <c r="K201" s="25" t="inlineStr">
        <is>
          <t>PENDING - PHOTOGRAPHS</t>
        </is>
      </c>
      <c r="L201" s="25" t="inlineStr">
        <is>
          <t>Rev.00</t>
        </is>
      </c>
      <c r="M201" s="31">
        <f>HYPERLINK("01_STARTER/ST-072-STD-22/01_Technical_File.docx","Open")</f>
        <v/>
      </c>
    </row>
    <row r="202">
      <c r="A202" s="25" t="inlineStr">
        <is>
          <t>IA-PPWR-TF-ST-072-STD-23-R00</t>
        </is>
      </c>
      <c r="B202" s="25" t="inlineStr">
        <is>
          <t>ST-072-STD-23</t>
        </is>
      </c>
      <c r="C202" s="25" t="inlineStr">
        <is>
          <t>IA-ST-072-STD-23</t>
        </is>
      </c>
      <c r="D202" s="25" t="inlineStr">
        <is>
          <t>L4 | Palet (4000037): 1 adet | Separatör (4000130): 5 adet</t>
        </is>
      </c>
      <c r="E202" s="25" t="inlineStr">
        <is>
          <t>IA-ST-CFG-0232</t>
        </is>
      </c>
      <c r="F202" s="25" t="n">
        <v>1</v>
      </c>
      <c r="G202" s="25" t="n">
        <v>6</v>
      </c>
      <c r="H202" s="25" t="n">
        <v>28.1892</v>
      </c>
      <c r="I202" s="25" t="inlineStr">
        <is>
          <t>REV00 CURRENT EVIDENCE BASIS — ARTICLE 5 ASSESSMENT BASIS</t>
        </is>
      </c>
      <c r="J202" s="25" t="inlineStr">
        <is>
          <t>PENDING - DRAWING</t>
        </is>
      </c>
      <c r="K202" s="25" t="inlineStr">
        <is>
          <t>PENDING - PHOTOGRAPHS</t>
        </is>
      </c>
      <c r="L202" s="25" t="inlineStr">
        <is>
          <t>Rev.00</t>
        </is>
      </c>
      <c r="M202" s="31">
        <f>HYPERLINK("01_STARTER/ST-072-STD-23/01_Technical_File.docx","Open")</f>
        <v/>
      </c>
    </row>
    <row r="203">
      <c r="A203" s="25" t="inlineStr">
        <is>
          <t>IA-PPWR-TF-ST-072-STD-24-R00</t>
        </is>
      </c>
      <c r="B203" s="25" t="inlineStr">
        <is>
          <t>ST-072-STD-24</t>
        </is>
      </c>
      <c r="C203" s="25" t="inlineStr">
        <is>
          <t>IA-ST-072-STD-24</t>
        </is>
      </c>
      <c r="D203" s="25" t="inlineStr">
        <is>
          <t>L4, LB4 | Palet (4000037): 1 adet | Köşebent (4000590): kullanılmaz</t>
        </is>
      </c>
      <c r="E203" s="25" t="inlineStr">
        <is>
          <t>IA-ST-CFG-0233</t>
        </is>
      </c>
      <c r="F203" s="25" t="n">
        <v>7</v>
      </c>
      <c r="G203" s="25" t="n">
        <v>5</v>
      </c>
      <c r="H203" s="25" t="n">
        <v>30.3504</v>
      </c>
      <c r="I203" s="25" t="inlineStr">
        <is>
          <t>REV00 CURRENT EVIDENCE BASIS — ARTICLE 5 ASSESSMENT BASIS</t>
        </is>
      </c>
      <c r="J203" s="25" t="inlineStr">
        <is>
          <t>PENDING - DRAWING</t>
        </is>
      </c>
      <c r="K203" s="25" t="inlineStr">
        <is>
          <t>PENDING - PHOTOGRAPHS</t>
        </is>
      </c>
      <c r="L203" s="25" t="inlineStr">
        <is>
          <t>Rev.00</t>
        </is>
      </c>
      <c r="M203" s="31">
        <f>HYPERLINK("01_STARTER/ST-072-STD-24/01_Technical_File.docx","Open")</f>
        <v/>
      </c>
    </row>
    <row r="204">
      <c r="A204" s="25" t="inlineStr">
        <is>
          <t>IA-PPWR-TF-ST-072-STD-25-R00</t>
        </is>
      </c>
      <c r="B204" s="25" t="inlineStr">
        <is>
          <t>ST-072-STD-25</t>
        </is>
      </c>
      <c r="C204" s="25" t="inlineStr">
        <is>
          <t>IA-ST-072-STD-25</t>
        </is>
      </c>
      <c r="D204" s="25" t="inlineStr">
        <is>
          <t>LB4 | Palet (4000037): 1 adet | Shrink film (4001177): 0.597 kg</t>
        </is>
      </c>
      <c r="E204" s="25" t="inlineStr">
        <is>
          <t>IA-ST-CFG-0234</t>
        </is>
      </c>
      <c r="F204" s="25" t="n">
        <v>1</v>
      </c>
      <c r="G204" s="25" t="n">
        <v>6</v>
      </c>
      <c r="H204" s="25" t="n">
        <v>28.887</v>
      </c>
      <c r="I204" s="25" t="inlineStr">
        <is>
          <t>REV00 CURRENT EVIDENCE BASIS — ARTICLE 5 ASSESSMENT BASIS</t>
        </is>
      </c>
      <c r="J204" s="25" t="inlineStr">
        <is>
          <t>PENDING - DRAWING</t>
        </is>
      </c>
      <c r="K204" s="25" t="inlineStr">
        <is>
          <t>PENDING - PHOTOGRAPHS</t>
        </is>
      </c>
      <c r="L204" s="25" t="inlineStr">
        <is>
          <t>Rev.00</t>
        </is>
      </c>
      <c r="M204" s="31">
        <f>HYPERLINK("01_STARTER/ST-072-STD-25/01_Technical_File.docx","Open")</f>
        <v/>
      </c>
    </row>
    <row r="205">
      <c r="A205" s="25" t="inlineStr">
        <is>
          <t>IA-PPWR-TF-ST-076-EUR-01-R00</t>
        </is>
      </c>
      <c r="B205" s="25" t="inlineStr">
        <is>
          <t>ST-076-EUR-01</t>
        </is>
      </c>
      <c r="C205" s="25" t="inlineStr">
        <is>
          <t>IA-ST-076-EUR-01</t>
        </is>
      </c>
      <c r="D205" s="25" t="inlineStr">
        <is>
          <t>L2 | L2 İnci AGM LEO 60AH 680A pencereli dış koli (4001340): 76 adet</t>
        </is>
      </c>
      <c r="E205" s="25" t="inlineStr">
        <is>
          <t>IA-ST-CFG-0238</t>
        </is>
      </c>
      <c r="F205" s="25" t="n">
        <v>1</v>
      </c>
      <c r="G205" s="25" t="n">
        <v>7</v>
      </c>
      <c r="H205" s="25" t="n">
        <v>47.226</v>
      </c>
      <c r="I205" s="25" t="inlineStr">
        <is>
          <t>REV00 CURRENT EVIDENCE BASIS — ARTICLE 5 ASSESSMENT BASIS</t>
        </is>
      </c>
      <c r="J205" s="25" t="inlineStr">
        <is>
          <t>PENDING - DRAWING</t>
        </is>
      </c>
      <c r="K205" s="25" t="inlineStr">
        <is>
          <t>PENDING - PHOTOGRAPHS</t>
        </is>
      </c>
      <c r="L205" s="25" t="inlineStr">
        <is>
          <t>Rev.00</t>
        </is>
      </c>
      <c r="M205" s="31">
        <f>HYPERLINK("01_STARTER/ST-076-EUR-01/01_Technical_File.docx","Open")</f>
        <v/>
      </c>
    </row>
    <row r="206">
      <c r="A206" s="25" t="inlineStr">
        <is>
          <t>IA-PPWR-TF-ST-076-EUR-02-R00</t>
        </is>
      </c>
      <c r="B206" s="25" t="inlineStr">
        <is>
          <t>ST-076-EUR-02</t>
        </is>
      </c>
      <c r="C206" s="25" t="inlineStr">
        <is>
          <t>IA-ST-076-EUR-02</t>
        </is>
      </c>
      <c r="D206" s="25" t="inlineStr">
        <is>
          <t>L2, LB2 | Palet (4000038): 1 adet | Köşebent (4000590): 4 adet</t>
        </is>
      </c>
      <c r="E206" s="25" t="inlineStr">
        <is>
          <t>IA-ST-CFG-0239</t>
        </is>
      </c>
      <c r="F206" s="25" t="n">
        <v>9</v>
      </c>
      <c r="G206" s="25" t="n">
        <v>6</v>
      </c>
      <c r="H206" s="25" t="n">
        <v>28.126</v>
      </c>
      <c r="I206" s="25" t="inlineStr">
        <is>
          <t>REV00 CURRENT EVIDENCE BASIS — ARTICLE 5 ASSESSMENT BASIS</t>
        </is>
      </c>
      <c r="J206" s="25" t="inlineStr">
        <is>
          <t>PENDING - DRAWING</t>
        </is>
      </c>
      <c r="K206" s="25" t="inlineStr">
        <is>
          <t>PENDING - PHOTOGRAPHS</t>
        </is>
      </c>
      <c r="L206" s="25" t="inlineStr">
        <is>
          <t>Rev.00</t>
        </is>
      </c>
      <c r="M206" s="31">
        <f>HYPERLINK("01_STARTER/ST-076-EUR-02/01_Technical_File.docx","Open")</f>
        <v/>
      </c>
    </row>
    <row r="207">
      <c r="A207" s="25" t="inlineStr">
        <is>
          <t>IA-PPWR-TF-ST-076-EUR-03-R00</t>
        </is>
      </c>
      <c r="B207" s="25" t="inlineStr">
        <is>
          <t>ST-076-EUR-03</t>
        </is>
      </c>
      <c r="C207" s="25" t="inlineStr">
        <is>
          <t>IA-ST-076-EUR-03</t>
        </is>
      </c>
      <c r="D207" s="25" t="inlineStr">
        <is>
          <t>L2, LB2 | Palet (4000038): 1 adet | Shrink film (4000558): 2.888 kg</t>
        </is>
      </c>
      <c r="E207" s="25" t="inlineStr">
        <is>
          <t>IA-ST-CFG-0240</t>
        </is>
      </c>
      <c r="F207" s="25" t="n">
        <v>36</v>
      </c>
      <c r="G207" s="25" t="n">
        <v>7</v>
      </c>
      <c r="H207" s="25" t="n">
        <v>30.7272</v>
      </c>
      <c r="I207" s="25" t="inlineStr">
        <is>
          <t>REV00 CURRENT EVIDENCE BASIS — ARTICLE 5 ASSESSMENT BASIS</t>
        </is>
      </c>
      <c r="J207" s="25" t="inlineStr">
        <is>
          <t>PENDING - DRAWING</t>
        </is>
      </c>
      <c r="K207" s="25" t="inlineStr">
        <is>
          <t>PENDING - PHOTOGRAPHS</t>
        </is>
      </c>
      <c r="L207" s="25" t="inlineStr">
        <is>
          <t>Rev.00</t>
        </is>
      </c>
      <c r="M207" s="31">
        <f>HYPERLINK("01_STARTER/ST-076-EUR-03/01_Technical_File.docx","Open")</f>
        <v/>
      </c>
    </row>
    <row r="208">
      <c r="A208" s="25" t="inlineStr">
        <is>
          <t>IA-PPWR-TF-ST-076-EUR-04-R00</t>
        </is>
      </c>
      <c r="B208" s="25" t="inlineStr">
        <is>
          <t>ST-076-EUR-04</t>
        </is>
      </c>
      <c r="C208" s="25" t="inlineStr">
        <is>
          <t>IA-ST-076-EUR-04</t>
        </is>
      </c>
      <c r="D208" s="25" t="inlineStr">
        <is>
          <t>LB2, L2 | Palet (4000038): 1 adet | Köşebent (4000590): 2 adet</t>
        </is>
      </c>
      <c r="E208" s="25" t="inlineStr">
        <is>
          <t>IA-ST-CFG-0241</t>
        </is>
      </c>
      <c r="F208" s="25" t="n">
        <v>5</v>
      </c>
      <c r="G208" s="25" t="n">
        <v>6</v>
      </c>
      <c r="H208" s="25" t="n">
        <v>27.8392</v>
      </c>
      <c r="I208" s="25" t="inlineStr">
        <is>
          <t>REV00 CURRENT EVIDENCE BASIS — ARTICLE 5 ASSESSMENT BASIS</t>
        </is>
      </c>
      <c r="J208" s="25" t="inlineStr">
        <is>
          <t>PENDING - DRAWING</t>
        </is>
      </c>
      <c r="K208" s="25" t="inlineStr">
        <is>
          <t>PENDING - PHOTOGRAPHS</t>
        </is>
      </c>
      <c r="L208" s="25" t="inlineStr">
        <is>
          <t>Rev.00</t>
        </is>
      </c>
      <c r="M208" s="31">
        <f>HYPERLINK("01_STARTER/ST-076-EUR-04/01_Technical_File.docx","Open")</f>
        <v/>
      </c>
    </row>
    <row r="209">
      <c r="A209" s="25" t="inlineStr">
        <is>
          <t>IA-PPWR-TF-ST-080-EUR-01-R00</t>
        </is>
      </c>
      <c r="B209" s="25" t="inlineStr">
        <is>
          <t>ST-080-EUR-01</t>
        </is>
      </c>
      <c r="C209" s="25" t="inlineStr">
        <is>
          <t>IA-ST-080-EUR-01</t>
        </is>
      </c>
      <c r="D209" s="25" t="inlineStr">
        <is>
          <t>L1 | L1 İnci AGM LEO 50AH 560A pencereli dış koli (4001393): 80 adet</t>
        </is>
      </c>
      <c r="E209" s="25" t="inlineStr">
        <is>
          <t>IA-ST-CFG-0243</t>
        </is>
      </c>
      <c r="F209" s="25" t="n">
        <v>1</v>
      </c>
      <c r="G209" s="25" t="n">
        <v>7</v>
      </c>
      <c r="H209" s="25" t="n">
        <v>48.606</v>
      </c>
      <c r="I209" s="25" t="inlineStr">
        <is>
          <t>REV00 CURRENT EVIDENCE BASIS — ARTICLE 5 ASSESSMENT BASIS</t>
        </is>
      </c>
      <c r="J209" s="25" t="inlineStr">
        <is>
          <t>PENDING - DRAWING</t>
        </is>
      </c>
      <c r="K209" s="25" t="inlineStr">
        <is>
          <t>PENDING - PHOTOGRAPHS</t>
        </is>
      </c>
      <c r="L209" s="25" t="inlineStr">
        <is>
          <t>Rev.00</t>
        </is>
      </c>
      <c r="M209" s="31">
        <f>HYPERLINK("01_STARTER/ST-080-EUR-01/01_Technical_File.docx","Open")</f>
        <v/>
      </c>
    </row>
    <row r="210">
      <c r="A210" s="25" t="inlineStr">
        <is>
          <t>IA-PPWR-TF-ST-081-EUR-01-R00</t>
        </is>
      </c>
      <c r="B210" s="25" t="inlineStr">
        <is>
          <t>ST-081-EUR-01</t>
        </is>
      </c>
      <c r="C210" s="25" t="inlineStr">
        <is>
          <t>IA-ST-081-EUR-01</t>
        </is>
      </c>
      <c r="D210" s="25" t="inlineStr">
        <is>
          <t>NS60 | Palet (4000038): 1 adet | Honeycomb (4001186): 3 adet</t>
        </is>
      </c>
      <c r="E210" s="25" t="inlineStr">
        <is>
          <t>IA-ST-CFG-0245</t>
        </is>
      </c>
      <c r="F210" s="25" t="n">
        <v>1</v>
      </c>
      <c r="G210" s="25" t="n">
        <v>7</v>
      </c>
      <c r="H210" s="25" t="n">
        <v>30.326</v>
      </c>
      <c r="I210" s="25" t="inlineStr">
        <is>
          <t>REV00 CURRENT EVIDENCE BASIS — ARTICLE 5 ASSESSMENT BASIS</t>
        </is>
      </c>
      <c r="J210" s="25" t="inlineStr">
        <is>
          <t>PENDING - DRAWING</t>
        </is>
      </c>
      <c r="K210" s="25" t="inlineStr">
        <is>
          <t>PENDING - PHOTOGRAPHS</t>
        </is>
      </c>
      <c r="L210" s="25" t="inlineStr">
        <is>
          <t>Rev.00</t>
        </is>
      </c>
      <c r="M210" s="31">
        <f>HYPERLINK("01_STARTER/ST-081-EUR-01/01_Technical_File.docx","Open")</f>
        <v/>
      </c>
    </row>
    <row r="211">
      <c r="A211" s="25" t="inlineStr">
        <is>
          <t>IA-PPWR-TF-ST-087-EUR-01-R00</t>
        </is>
      </c>
      <c r="B211" s="25" t="inlineStr">
        <is>
          <t>ST-087-EUR-01</t>
        </is>
      </c>
      <c r="C211" s="25" t="inlineStr">
        <is>
          <t>IA-ST-087-EUR-01</t>
        </is>
      </c>
      <c r="D211" s="25" t="inlineStr">
        <is>
          <t>NS40 | NS40 PVC üst kapak (4000601): 87 adet</t>
        </is>
      </c>
      <c r="E211" s="25" t="inlineStr">
        <is>
          <t>IA-ST-CFG-0253</t>
        </is>
      </c>
      <c r="F211" s="25" t="n">
        <v>3</v>
      </c>
      <c r="G211" s="25" t="n">
        <v>8</v>
      </c>
      <c r="H211" s="25" t="n">
        <v>33.11851</v>
      </c>
      <c r="I211" s="25" t="inlineStr">
        <is>
          <t>REV00 CURRENT EVIDENCE BASIS — ARTICLE 5 ASSESSMENT BASIS</t>
        </is>
      </c>
      <c r="J211" s="25" t="inlineStr">
        <is>
          <t>PENDING - DRAWING</t>
        </is>
      </c>
      <c r="K211" s="25" t="inlineStr">
        <is>
          <t>PENDING - PHOTOGRAPHS</t>
        </is>
      </c>
      <c r="L211" s="25" t="inlineStr">
        <is>
          <t>Rev.00</t>
        </is>
      </c>
      <c r="M211" s="31">
        <f>HYPERLINK("01_STARTER/ST-087-EUR-01/01_Technical_File.docx","Open")</f>
        <v/>
      </c>
    </row>
    <row r="212">
      <c r="A212" s="25" t="inlineStr">
        <is>
          <t>IA-PPWR-TF-ST-087-STD-01-R00</t>
        </is>
      </c>
      <c r="B212" s="25" t="inlineStr">
        <is>
          <t>ST-087-STD-01</t>
        </is>
      </c>
      <c r="C212" s="25" t="inlineStr">
        <is>
          <t>IA-ST-087-STD-01</t>
        </is>
      </c>
      <c r="D212" s="25" t="inlineStr">
        <is>
          <t>L1 | Palet (4000037): 1 adet | Köşebent (4000033): 2 adet</t>
        </is>
      </c>
      <c r="E212" s="25" t="inlineStr">
        <is>
          <t>IA-ST-CFG-0246</t>
        </is>
      </c>
      <c r="F212" s="25" t="n">
        <v>2</v>
      </c>
      <c r="G212" s="25" t="n">
        <v>6</v>
      </c>
      <c r="H212" s="25" t="n">
        <v>28.1392</v>
      </c>
      <c r="I212" s="25" t="inlineStr">
        <is>
          <t>REV00 CURRENT EVIDENCE BASIS — ARTICLE 5 ASSESSMENT BASIS</t>
        </is>
      </c>
      <c r="J212" s="25" t="inlineStr">
        <is>
          <t>PENDING - DRAWING</t>
        </is>
      </c>
      <c r="K212" s="25" t="inlineStr">
        <is>
          <t>PENDING - PHOTOGRAPHS</t>
        </is>
      </c>
      <c r="L212" s="25" t="inlineStr">
        <is>
          <t>Rev.00</t>
        </is>
      </c>
      <c r="M212" s="31">
        <f>HYPERLINK("01_STARTER/ST-087-STD-01/01_Technical_File.docx","Open")</f>
        <v/>
      </c>
    </row>
    <row r="213">
      <c r="A213" s="25" t="inlineStr">
        <is>
          <t>IA-PPWR-TF-ST-087-STD-02-R00</t>
        </is>
      </c>
      <c r="B213" s="25" t="inlineStr">
        <is>
          <t>ST-087-STD-02</t>
        </is>
      </c>
      <c r="C213" s="25" t="inlineStr">
        <is>
          <t>IA-ST-087-STD-02</t>
        </is>
      </c>
      <c r="D213" s="25" t="inlineStr">
        <is>
          <t>LB1 | Palet (4000037): 1 adet | Köşebent (4000033): 2 adet</t>
        </is>
      </c>
      <c r="E213" s="25" t="inlineStr">
        <is>
          <t>IA-ST-CFG-0247</t>
        </is>
      </c>
      <c r="F213" s="25" t="n">
        <v>12</v>
      </c>
      <c r="G213" s="25" t="n">
        <v>7</v>
      </c>
      <c r="H213" s="25" t="n">
        <v>30.4892</v>
      </c>
      <c r="I213" s="25" t="inlineStr">
        <is>
          <t>REV00 CURRENT EVIDENCE BASIS — ARTICLE 5 ASSESSMENT BASIS</t>
        </is>
      </c>
      <c r="J213" s="25" t="inlineStr">
        <is>
          <t>PENDING - DRAWING</t>
        </is>
      </c>
      <c r="K213" s="25" t="inlineStr">
        <is>
          <t>PENDING - PHOTOGRAPHS</t>
        </is>
      </c>
      <c r="L213" s="25" t="inlineStr">
        <is>
          <t>Rev.00</t>
        </is>
      </c>
      <c r="M213" s="31">
        <f>HYPERLINK("01_STARTER/ST-087-STD-02/01_Technical_File.docx","Open")</f>
        <v/>
      </c>
    </row>
    <row r="214">
      <c r="A214" s="25" t="inlineStr">
        <is>
          <t>IA-PPWR-TF-ST-087-STD-03-R00</t>
        </is>
      </c>
      <c r="B214" s="25" t="inlineStr">
        <is>
          <t>ST-087-STD-03</t>
        </is>
      </c>
      <c r="C214" s="25" t="inlineStr">
        <is>
          <t>IA-ST-087-STD-03</t>
        </is>
      </c>
      <c r="D214" s="25" t="inlineStr">
        <is>
          <t>L1, LB1 | Palet (4000037): 1 adet | Köşebent (4000033): 2 adet</t>
        </is>
      </c>
      <c r="E214" s="25" t="inlineStr">
        <is>
          <t>IA-ST-CFG-0248</t>
        </is>
      </c>
      <c r="F214" s="25" t="n">
        <v>27</v>
      </c>
      <c r="G214" s="25" t="n">
        <v>7</v>
      </c>
      <c r="H214" s="25" t="n">
        <v>31.0092</v>
      </c>
      <c r="I214" s="25" t="inlineStr">
        <is>
          <t>REV00 CURRENT EVIDENCE BASIS — ARTICLE 5 ASSESSMENT BASIS</t>
        </is>
      </c>
      <c r="J214" s="25" t="inlineStr">
        <is>
          <t>PENDING - DRAWING</t>
        </is>
      </c>
      <c r="K214" s="25" t="inlineStr">
        <is>
          <t>PENDING - PHOTOGRAPHS</t>
        </is>
      </c>
      <c r="L214" s="25" t="inlineStr">
        <is>
          <t>Rev.00</t>
        </is>
      </c>
      <c r="M214" s="31">
        <f>HYPERLINK("01_STARTER/ST-087-STD-03/01_Technical_File.docx","Open")</f>
        <v/>
      </c>
    </row>
    <row r="215">
      <c r="A215" s="25" t="inlineStr">
        <is>
          <t>IA-PPWR-TF-ST-087-STD-04-R00</t>
        </is>
      </c>
      <c r="B215" s="25" t="inlineStr">
        <is>
          <t>ST-087-STD-04</t>
        </is>
      </c>
      <c r="C215" s="25" t="inlineStr">
        <is>
          <t>IA-ST-087-STD-04</t>
        </is>
      </c>
      <c r="D215" s="25" t="inlineStr">
        <is>
          <t>LB1, L1 | Palet (4000037): 1 adet | Shrink film (4001177): 0.597 kg</t>
        </is>
      </c>
      <c r="E215" s="25" t="inlineStr">
        <is>
          <t>IA-ST-CFG-0249</t>
        </is>
      </c>
      <c r="F215" s="25" t="n">
        <v>5</v>
      </c>
      <c r="G215" s="25" t="n">
        <v>6</v>
      </c>
      <c r="H215" s="25" t="n">
        <v>29.057</v>
      </c>
      <c r="I215" s="25" t="inlineStr">
        <is>
          <t>REV00 CURRENT EVIDENCE BASIS — ARTICLE 5 ASSESSMENT BASIS</t>
        </is>
      </c>
      <c r="J215" s="25" t="inlineStr">
        <is>
          <t>PENDING - DRAWING</t>
        </is>
      </c>
      <c r="K215" s="25" t="inlineStr">
        <is>
          <t>PENDING - PHOTOGRAPHS</t>
        </is>
      </c>
      <c r="L215" s="25" t="inlineStr">
        <is>
          <t>Rev.00</t>
        </is>
      </c>
      <c r="M215" s="31">
        <f>HYPERLINK("01_STARTER/ST-087-STD-04/01_Technical_File.docx","Open")</f>
        <v/>
      </c>
    </row>
    <row r="216">
      <c r="A216" s="25" t="inlineStr">
        <is>
          <t>IA-PPWR-TF-ST-087-STD-05-R00</t>
        </is>
      </c>
      <c r="B216" s="25" t="inlineStr">
        <is>
          <t>ST-087-STD-05</t>
        </is>
      </c>
      <c r="C216" s="25" t="inlineStr">
        <is>
          <t>IA-ST-087-STD-05</t>
        </is>
      </c>
      <c r="D216" s="25" t="inlineStr">
        <is>
          <t>NS60 | NS60 EAS Activa penceresiz dış koli (4000631): 87 adet</t>
        </is>
      </c>
      <c r="E216" s="25" t="inlineStr">
        <is>
          <t>IA-ST-CFG-0250</t>
        </is>
      </c>
      <c r="F216" s="25" t="n">
        <v>1</v>
      </c>
      <c r="G216" s="25" t="n">
        <v>8</v>
      </c>
      <c r="H216" s="25" t="n">
        <v>49.6589</v>
      </c>
      <c r="I216" s="25" t="inlineStr">
        <is>
          <t>REV00 CURRENT EVIDENCE BASIS — ARTICLE 5 ASSESSMENT BASIS</t>
        </is>
      </c>
      <c r="J216" s="25" t="inlineStr">
        <is>
          <t>PENDING - DRAWING</t>
        </is>
      </c>
      <c r="K216" s="25" t="inlineStr">
        <is>
          <t>PENDING - PHOTOGRAPHS</t>
        </is>
      </c>
      <c r="L216" s="25" t="inlineStr">
        <is>
          <t>Rev.00</t>
        </is>
      </c>
      <c r="M216" s="31">
        <f>HYPERLINK("01_STARTER/ST-087-STD-05/01_Technical_File.docx","Open")</f>
        <v/>
      </c>
    </row>
    <row r="217">
      <c r="A217" s="25" t="inlineStr">
        <is>
          <t>IA-PPWR-TF-ST-087-STD-06-R00</t>
        </is>
      </c>
      <c r="B217" s="25" t="inlineStr">
        <is>
          <t>ST-087-STD-06</t>
        </is>
      </c>
      <c r="C217" s="25" t="inlineStr">
        <is>
          <t>IA-ST-087-STD-06</t>
        </is>
      </c>
      <c r="D217" s="25" t="inlineStr">
        <is>
          <t>LB1 | Palet (4000037): 1 adet | Köşebent (4000033): kullanılmaz</t>
        </is>
      </c>
      <c r="E217" s="25" t="inlineStr">
        <is>
          <t>IA-ST-CFG-0251</t>
        </is>
      </c>
      <c r="F217" s="25" t="n">
        <v>4</v>
      </c>
      <c r="G217" s="25" t="n">
        <v>5</v>
      </c>
      <c r="H217" s="25" t="n">
        <v>29.9824</v>
      </c>
      <c r="I217" s="25" t="inlineStr">
        <is>
          <t>REV00 CURRENT EVIDENCE BASIS — ARTICLE 5 ASSESSMENT BASIS</t>
        </is>
      </c>
      <c r="J217" s="25" t="inlineStr">
        <is>
          <t>PENDING - DRAWING</t>
        </is>
      </c>
      <c r="K217" s="25" t="inlineStr">
        <is>
          <t>PENDING - PHOTOGRAPHS</t>
        </is>
      </c>
      <c r="L217" s="25" t="inlineStr">
        <is>
          <t>Rev.00</t>
        </is>
      </c>
      <c r="M217" s="31">
        <f>HYPERLINK("01_STARTER/ST-087-STD-06/01_Technical_File.docx","Open")</f>
        <v/>
      </c>
    </row>
    <row r="218">
      <c r="A218" s="25" t="inlineStr">
        <is>
          <t>IA-PPWR-TF-ST-087-STD-07-R00</t>
        </is>
      </c>
      <c r="B218" s="25" t="inlineStr">
        <is>
          <t>ST-087-STD-07</t>
        </is>
      </c>
      <c r="C218" s="25" t="inlineStr">
        <is>
          <t>IA-ST-087-STD-07</t>
        </is>
      </c>
      <c r="D218" s="25" t="inlineStr">
        <is>
          <t>L1, LB1 | Palet (4000037): 1 adet | Köşebent (4000033): kullanılmaz</t>
        </is>
      </c>
      <c r="E218" s="25" t="inlineStr">
        <is>
          <t>IA-ST-CFG-0252</t>
        </is>
      </c>
      <c r="F218" s="25" t="n">
        <v>2</v>
      </c>
      <c r="G218" s="25" t="n">
        <v>5</v>
      </c>
      <c r="H218" s="25" t="n">
        <v>30.5024</v>
      </c>
      <c r="I218" s="25" t="inlineStr">
        <is>
          <t>REV00 CURRENT EVIDENCE BASIS — ARTICLE 5 ASSESSMENT BASIS</t>
        </is>
      </c>
      <c r="J218" s="25" t="inlineStr">
        <is>
          <t>PENDING - DRAWING</t>
        </is>
      </c>
      <c r="K218" s="25" t="inlineStr">
        <is>
          <t>PENDING - PHOTOGRAPHS</t>
        </is>
      </c>
      <c r="L218" s="25" t="inlineStr">
        <is>
          <t>Rev.00</t>
        </is>
      </c>
      <c r="M218" s="31">
        <f>HYPERLINK("01_STARTER/ST-087-STD-07/01_Technical_File.docx","Open")</f>
        <v/>
      </c>
    </row>
    <row r="219">
      <c r="A219" s="25" t="inlineStr">
        <is>
          <t>IA-PPWR-TF-ST-088-STD-01-R00</t>
        </is>
      </c>
      <c r="B219" s="25" t="inlineStr">
        <is>
          <t>ST-088-STD-01</t>
        </is>
      </c>
      <c r="C219" s="25" t="inlineStr">
        <is>
          <t>IA-ST-088-STD-01</t>
        </is>
      </c>
      <c r="D219" s="25" t="inlineStr">
        <is>
          <t>L2 | L2 EAS Activa penceresiz dış koli (4000644): 88 adet</t>
        </is>
      </c>
      <c r="E219" s="25" t="inlineStr">
        <is>
          <t>IA-ST-CFG-0254</t>
        </is>
      </c>
      <c r="F219" s="25" t="n">
        <v>3</v>
      </c>
      <c r="G219" s="25" t="n">
        <v>7</v>
      </c>
      <c r="H219" s="25" t="n">
        <v>50.456</v>
      </c>
      <c r="I219" s="25" t="inlineStr">
        <is>
          <t>REV00 CURRENT EVIDENCE BASIS — ARTICLE 5 ASSESSMENT BASIS</t>
        </is>
      </c>
      <c r="J219" s="25" t="inlineStr">
        <is>
          <t>PENDING - DRAWING</t>
        </is>
      </c>
      <c r="K219" s="25" t="inlineStr">
        <is>
          <t>PENDING - PHOTOGRAPHS</t>
        </is>
      </c>
      <c r="L219" s="25" t="inlineStr">
        <is>
          <t>Rev.00</t>
        </is>
      </c>
      <c r="M219" s="31">
        <f>HYPERLINK("01_STARTER/ST-088-STD-01/01_Technical_File.docx","Open")</f>
        <v/>
      </c>
    </row>
    <row r="220">
      <c r="A220" s="25" t="inlineStr">
        <is>
          <t>IA-PPWR-TF-ST-088-STD-02-R00</t>
        </is>
      </c>
      <c r="B220" s="25" t="inlineStr">
        <is>
          <t>ST-088-STD-02</t>
        </is>
      </c>
      <c r="C220" s="25" t="inlineStr">
        <is>
          <t>IA-ST-088-STD-02</t>
        </is>
      </c>
      <c r="D220" s="25" t="inlineStr">
        <is>
          <t>L2 | L2 YUASA penceresiz Orta Doğu dış koli (4001102): 88 adet</t>
        </is>
      </c>
      <c r="E220" s="25" t="inlineStr">
        <is>
          <t>IA-ST-CFG-0255</t>
        </is>
      </c>
      <c r="F220" s="25" t="n">
        <v>2</v>
      </c>
      <c r="G220" s="25" t="n">
        <v>7</v>
      </c>
      <c r="H220" s="25" t="n">
        <v>50.456</v>
      </c>
      <c r="I220" s="25" t="inlineStr">
        <is>
          <t>REV00 CURRENT EVIDENCE BASIS — ARTICLE 5 ASSESSMENT BASIS</t>
        </is>
      </c>
      <c r="J220" s="25" t="inlineStr">
        <is>
          <t>PENDING - DRAWING</t>
        </is>
      </c>
      <c r="K220" s="25" t="inlineStr">
        <is>
          <t>PENDING - PHOTOGRAPHS</t>
        </is>
      </c>
      <c r="L220" s="25" t="inlineStr">
        <is>
          <t>Rev.00</t>
        </is>
      </c>
      <c r="M220" s="31">
        <f>HYPERLINK("01_STARTER/ST-088-STD-02/01_Technical_File.docx","Open")</f>
        <v/>
      </c>
    </row>
    <row r="221">
      <c r="A221" s="25" t="inlineStr">
        <is>
          <t>IA-PPWR-TF-ST-088-STD-03-R00</t>
        </is>
      </c>
      <c r="B221" s="25" t="inlineStr">
        <is>
          <t>ST-088-STD-03</t>
        </is>
      </c>
      <c r="C221" s="25" t="inlineStr">
        <is>
          <t>IA-ST-088-STD-03</t>
        </is>
      </c>
      <c r="D221" s="25" t="inlineStr">
        <is>
          <t>L2 | L2 İnci EFB MAX TIGRIS pencereli 2020 dış koli (4001272): 88 adet</t>
        </is>
      </c>
      <c r="E221" s="25" t="inlineStr">
        <is>
          <t>IA-ST-CFG-0256</t>
        </is>
      </c>
      <c r="F221" s="25" t="n">
        <v>1</v>
      </c>
      <c r="G221" s="25" t="n">
        <v>7</v>
      </c>
      <c r="H221" s="25" t="n">
        <v>50.456</v>
      </c>
      <c r="I221" s="25" t="inlineStr">
        <is>
          <t>REV00 CURRENT EVIDENCE BASIS — ARTICLE 5 ASSESSMENT BASIS</t>
        </is>
      </c>
      <c r="J221" s="25" t="inlineStr">
        <is>
          <t>PENDING - DRAWING</t>
        </is>
      </c>
      <c r="K221" s="25" t="inlineStr">
        <is>
          <t>PENDING - PHOTOGRAPHS</t>
        </is>
      </c>
      <c r="L221" s="25" t="inlineStr">
        <is>
          <t>Rev.00</t>
        </is>
      </c>
      <c r="M221" s="31">
        <f>HYPERLINK("01_STARTER/ST-088-STD-03/01_Technical_File.docx","Open")</f>
        <v/>
      </c>
    </row>
    <row r="222">
      <c r="A222" s="25" t="inlineStr">
        <is>
          <t>IA-PPWR-TF-ST-088-STD-04-R00</t>
        </is>
      </c>
      <c r="B222" s="25" t="inlineStr">
        <is>
          <t>ST-088-STD-04</t>
        </is>
      </c>
      <c r="C222" s="25" t="inlineStr">
        <is>
          <t>IA-ST-088-STD-04</t>
        </is>
      </c>
      <c r="D222" s="25" t="inlineStr">
        <is>
          <t>L2 | L2 İnci EFB PANTERA pencereli DL dış koli (4001317): 88 adet</t>
        </is>
      </c>
      <c r="E222" s="25" t="inlineStr">
        <is>
          <t>IA-ST-CFG-0257</t>
        </is>
      </c>
      <c r="F222" s="25" t="n">
        <v>1</v>
      </c>
      <c r="G222" s="25" t="n">
        <v>7</v>
      </c>
      <c r="H222" s="25" t="n">
        <v>50.456</v>
      </c>
      <c r="I222" s="25" t="inlineStr">
        <is>
          <t>REV00 CURRENT EVIDENCE BASIS — ARTICLE 5 ASSESSMENT BASIS</t>
        </is>
      </c>
      <c r="J222" s="25" t="inlineStr">
        <is>
          <t>PENDING - DRAWING</t>
        </is>
      </c>
      <c r="K222" s="25" t="inlineStr">
        <is>
          <t>PENDING - PHOTOGRAPHS</t>
        </is>
      </c>
      <c r="L222" s="25" t="inlineStr">
        <is>
          <t>Rev.00</t>
        </is>
      </c>
      <c r="M222" s="31">
        <f>HYPERLINK("01_STARTER/ST-088-STD-04/01_Technical_File.docx","Open")</f>
        <v/>
      </c>
    </row>
    <row r="223">
      <c r="A223" s="25" t="inlineStr">
        <is>
          <t>IA-PPWR-TF-ST-088-STD-05-R00</t>
        </is>
      </c>
      <c r="B223" s="25" t="inlineStr">
        <is>
          <t>ST-088-STD-05</t>
        </is>
      </c>
      <c r="C223" s="25" t="inlineStr">
        <is>
          <t>IA-ST-088-STD-05</t>
        </is>
      </c>
      <c r="D223" s="25" t="inlineStr">
        <is>
          <t>L2 | L2 EAS EFB MAX pencereli 2024 dış koli (4001410): 88 adet</t>
        </is>
      </c>
      <c r="E223" s="25" t="inlineStr">
        <is>
          <t>IA-ST-CFG-0258</t>
        </is>
      </c>
      <c r="F223" s="25" t="n">
        <v>1</v>
      </c>
      <c r="G223" s="25" t="n">
        <v>7</v>
      </c>
      <c r="H223" s="25" t="n">
        <v>50.456</v>
      </c>
      <c r="I223" s="25" t="inlineStr">
        <is>
          <t>REV00 CURRENT EVIDENCE BASIS — ARTICLE 5 ASSESSMENT BASIS</t>
        </is>
      </c>
      <c r="J223" s="25" t="inlineStr">
        <is>
          <t>PENDING - DRAWING</t>
        </is>
      </c>
      <c r="K223" s="25" t="inlineStr">
        <is>
          <t>PENDING - PHOTOGRAPHS</t>
        </is>
      </c>
      <c r="L223" s="25" t="inlineStr">
        <is>
          <t>Rev.00</t>
        </is>
      </c>
      <c r="M223" s="31">
        <f>HYPERLINK("01_STARTER/ST-088-STD-05/01_Technical_File.docx","Open")</f>
        <v/>
      </c>
    </row>
    <row r="224">
      <c r="A224" s="25" t="inlineStr">
        <is>
          <t>IA-PPWR-TF-ST-088-STD-06-R00</t>
        </is>
      </c>
      <c r="B224" s="25" t="inlineStr">
        <is>
          <t>ST-088-STD-06</t>
        </is>
      </c>
      <c r="C224" s="25" t="inlineStr">
        <is>
          <t>IA-ST-088-STD-06</t>
        </is>
      </c>
      <c r="D224" s="25" t="inlineStr">
        <is>
          <t>L2 | L2 BLIZZARO SILVERLINE penceresiz dış koli (4001434): 88 adet</t>
        </is>
      </c>
      <c r="E224" s="25" t="inlineStr">
        <is>
          <t>IA-ST-CFG-0259</t>
        </is>
      </c>
      <c r="F224" s="25" t="n">
        <v>2</v>
      </c>
      <c r="G224" s="25" t="n">
        <v>7</v>
      </c>
      <c r="H224" s="25" t="n">
        <v>50.606</v>
      </c>
      <c r="I224" s="25" t="inlineStr">
        <is>
          <t>REV00 CURRENT EVIDENCE BASIS — ARTICLE 5 ASSESSMENT BASIS</t>
        </is>
      </c>
      <c r="J224" s="25" t="inlineStr">
        <is>
          <t>PENDING - DRAWING</t>
        </is>
      </c>
      <c r="K224" s="25" t="inlineStr">
        <is>
          <t>PENDING - PHOTOGRAPHS</t>
        </is>
      </c>
      <c r="L224" s="25" t="inlineStr">
        <is>
          <t>Rev.00</t>
        </is>
      </c>
      <c r="M224" s="31">
        <f>HYPERLINK("01_STARTER/ST-088-STD-06/01_Technical_File.docx","Open")</f>
        <v/>
      </c>
    </row>
    <row r="225">
      <c r="A225" s="25" t="inlineStr">
        <is>
          <t>IA-PPWR-TF-ST-088-STD-07-R00</t>
        </is>
      </c>
      <c r="B225" s="25" t="inlineStr">
        <is>
          <t>ST-088-STD-07</t>
        </is>
      </c>
      <c r="C225" s="25" t="inlineStr">
        <is>
          <t>IA-ST-088-STD-07</t>
        </is>
      </c>
      <c r="D225" s="25" t="inlineStr">
        <is>
          <t>LB2 | LB2 İnci FORMULA-MAXIMA 2019 dış koli (4001203): 88 adet</t>
        </is>
      </c>
      <c r="E225" s="25" t="inlineStr">
        <is>
          <t>IA-ST-CFG-0260</t>
        </is>
      </c>
      <c r="F225" s="25" t="n">
        <v>1</v>
      </c>
      <c r="G225" s="25" t="n">
        <v>7</v>
      </c>
      <c r="H225" s="25" t="n">
        <v>49.116</v>
      </c>
      <c r="I225" s="25" t="inlineStr">
        <is>
          <t>REV00 CURRENT EVIDENCE BASIS — ARTICLE 5 ASSESSMENT BASIS</t>
        </is>
      </c>
      <c r="J225" s="25" t="inlineStr">
        <is>
          <t>PENDING - DRAWING</t>
        </is>
      </c>
      <c r="K225" s="25" t="inlineStr">
        <is>
          <t>PENDING - PHOTOGRAPHS</t>
        </is>
      </c>
      <c r="L225" s="25" t="inlineStr">
        <is>
          <t>Rev.00</t>
        </is>
      </c>
      <c r="M225" s="31">
        <f>HYPERLINK("01_STARTER/ST-088-STD-07/01_Technical_File.docx","Open")</f>
        <v/>
      </c>
    </row>
    <row r="226">
      <c r="A226" s="25" t="inlineStr">
        <is>
          <t>IA-PPWR-TF-ST-088-STD-08-R00</t>
        </is>
      </c>
      <c r="B226" s="25" t="inlineStr">
        <is>
          <t>ST-088-STD-08</t>
        </is>
      </c>
      <c r="C226" s="25" t="inlineStr">
        <is>
          <t>IA-ST-088-STD-08</t>
        </is>
      </c>
      <c r="D226" s="25" t="inlineStr">
        <is>
          <t>L2 | L2 İnci FORMULA-MAXIMA penceresiz dış koli (4001419): 88 adet</t>
        </is>
      </c>
      <c r="E226" s="25" t="inlineStr">
        <is>
          <t>IA-ST-CFG-0261</t>
        </is>
      </c>
      <c r="F226" s="25" t="n">
        <v>2</v>
      </c>
      <c r="G226" s="25" t="n">
        <v>7</v>
      </c>
      <c r="H226" s="25" t="n">
        <v>50.876</v>
      </c>
      <c r="I226" s="25" t="inlineStr">
        <is>
          <t>REV00 CURRENT EVIDENCE BASIS — ARTICLE 5 ASSESSMENT BASIS</t>
        </is>
      </c>
      <c r="J226" s="25" t="inlineStr">
        <is>
          <t>PENDING - DRAWING</t>
        </is>
      </c>
      <c r="K226" s="25" t="inlineStr">
        <is>
          <t>PENDING - PHOTOGRAPHS</t>
        </is>
      </c>
      <c r="L226" s="25" t="inlineStr">
        <is>
          <t>Rev.00</t>
        </is>
      </c>
      <c r="M226" s="31">
        <f>HYPERLINK("01_STARTER/ST-088-STD-08/01_Technical_File.docx","Open")</f>
        <v/>
      </c>
    </row>
    <row r="227">
      <c r="A227" s="25" t="inlineStr">
        <is>
          <t>IA-PPWR-TF-ST-090-STD-01-R00</t>
        </is>
      </c>
      <c r="B227" s="25" t="inlineStr">
        <is>
          <t>ST-090-STD-01</t>
        </is>
      </c>
      <c r="C227" s="25" t="inlineStr">
        <is>
          <t>IA-ST-090-STD-01</t>
        </is>
      </c>
      <c r="D227" s="25" t="inlineStr">
        <is>
          <t>L0 | Palet (4000037): 1 adet | Shrink film (4000555): 2.166 kg</t>
        </is>
      </c>
      <c r="E227" s="25" t="inlineStr">
        <is>
          <t>IA-ST-CFG-0262</t>
        </is>
      </c>
      <c r="F227" s="25" t="n">
        <v>3</v>
      </c>
      <c r="G227" s="25" t="n">
        <v>7</v>
      </c>
      <c r="H227" s="25" t="n">
        <v>30.0852</v>
      </c>
      <c r="I227" s="25" t="inlineStr">
        <is>
          <t>REV00 CURRENT EVIDENCE BASIS — ARTICLE 5 ASSESSMENT BASIS</t>
        </is>
      </c>
      <c r="J227" s="25" t="inlineStr">
        <is>
          <t>PENDING - DRAWING</t>
        </is>
      </c>
      <c r="K227" s="25" t="inlineStr">
        <is>
          <t>PENDING - PHOTOGRAPHS</t>
        </is>
      </c>
      <c r="L227" s="25" t="inlineStr">
        <is>
          <t>Rev.00</t>
        </is>
      </c>
      <c r="M227" s="31">
        <f>HYPERLINK("01_STARTER/ST-090-STD-01/01_Technical_File.docx","Open")</f>
        <v/>
      </c>
    </row>
    <row r="228">
      <c r="A228" s="25" t="inlineStr">
        <is>
          <t>IA-PPWR-TF-ST-090-STD-02-R00</t>
        </is>
      </c>
      <c r="B228" s="25" t="inlineStr">
        <is>
          <t>ST-090-STD-02</t>
        </is>
      </c>
      <c r="C228" s="25" t="inlineStr">
        <is>
          <t>IA-ST-090-STD-02</t>
        </is>
      </c>
      <c r="D228" s="25" t="inlineStr">
        <is>
          <t>L0 | Palet (4000037): 1 adet | Shrink film (4001177): 0.597 kg</t>
        </is>
      </c>
      <c r="E228" s="25" t="inlineStr">
        <is>
          <t>IA-ST-CFG-0263</t>
        </is>
      </c>
      <c r="F228" s="25" t="n">
        <v>3</v>
      </c>
      <c r="G228" s="25" t="n">
        <v>7</v>
      </c>
      <c r="H228" s="25" t="n">
        <v>28.649</v>
      </c>
      <c r="I228" s="25" t="inlineStr">
        <is>
          <t>REV00 CURRENT EVIDENCE BASIS — ARTICLE 5 ASSESSMENT BASIS</t>
        </is>
      </c>
      <c r="J228" s="25" t="inlineStr">
        <is>
          <t>PENDING - DRAWING</t>
        </is>
      </c>
      <c r="K228" s="25" t="inlineStr">
        <is>
          <t>PENDING - PHOTOGRAPHS</t>
        </is>
      </c>
      <c r="L228" s="25" t="inlineStr">
        <is>
          <t>Rev.00</t>
        </is>
      </c>
      <c r="M228" s="31">
        <f>HYPERLINK("01_STARTER/ST-090-STD-02/01_Technical_File.docx","Open")</f>
        <v/>
      </c>
    </row>
    <row r="229">
      <c r="A229" s="25" t="inlineStr">
        <is>
          <t>IA-PPWR-TF-ST-096-EUR-01-R00</t>
        </is>
      </c>
      <c r="B229" s="25" t="inlineStr">
        <is>
          <t>ST-096-EUR-01</t>
        </is>
      </c>
      <c r="C229" s="25" t="inlineStr">
        <is>
          <t>IA-ST-096-EUR-01</t>
        </is>
      </c>
      <c r="D229" s="25" t="inlineStr">
        <is>
          <t>LB1 | Palet (4000038): 1 adet | Shrink film (4000556): 2.594 kg</t>
        </is>
      </c>
      <c r="E229" s="25" t="inlineStr">
        <is>
          <t>IA-ST-CFG-0264</t>
        </is>
      </c>
      <c r="F229" s="25" t="n">
        <v>6</v>
      </c>
      <c r="G229" s="25" t="n">
        <v>7</v>
      </c>
      <c r="H229" s="25" t="n">
        <v>30.6532</v>
      </c>
      <c r="I229" s="25" t="inlineStr">
        <is>
          <t>REV00 CURRENT EVIDENCE BASIS — ARTICLE 5 ASSESSMENT BASIS</t>
        </is>
      </c>
      <c r="J229" s="25" t="inlineStr">
        <is>
          <t>PENDING - DRAWING</t>
        </is>
      </c>
      <c r="K229" s="25" t="inlineStr">
        <is>
          <t>PENDING - PHOTOGRAPHS</t>
        </is>
      </c>
      <c r="L229" s="25" t="inlineStr">
        <is>
          <t>Rev.00</t>
        </is>
      </c>
      <c r="M229" s="31">
        <f>HYPERLINK("01_STARTER/ST-096-EUR-01/01_Technical_File.docx","Open")</f>
        <v/>
      </c>
    </row>
    <row r="230">
      <c r="A230" s="25" t="inlineStr">
        <is>
          <t>IA-PPWR-TF-ST-096-EUR-02-R00</t>
        </is>
      </c>
      <c r="B230" s="25" t="inlineStr">
        <is>
          <t>ST-096-EUR-02</t>
        </is>
      </c>
      <c r="C230" s="25" t="inlineStr">
        <is>
          <t>IA-ST-096-EUR-02</t>
        </is>
      </c>
      <c r="D230" s="25" t="inlineStr">
        <is>
          <t>L1 | Palet (4000038): 1 adet | Shrink film (4000556): 3.167 kg</t>
        </is>
      </c>
      <c r="E230" s="25" t="inlineStr">
        <is>
          <t>IA-ST-CFG-0265</t>
        </is>
      </c>
      <c r="F230" s="25" t="n">
        <v>1</v>
      </c>
      <c r="G230" s="25" t="n">
        <v>7</v>
      </c>
      <c r="H230" s="25" t="n">
        <v>31.0262</v>
      </c>
      <c r="I230" s="25" t="inlineStr">
        <is>
          <t>REV00 CURRENT EVIDENCE BASIS — ARTICLE 5 ASSESSMENT BASIS</t>
        </is>
      </c>
      <c r="J230" s="25" t="inlineStr">
        <is>
          <t>PENDING - DRAWING</t>
        </is>
      </c>
      <c r="K230" s="25" t="inlineStr">
        <is>
          <t>PENDING - PHOTOGRAPHS</t>
        </is>
      </c>
      <c r="L230" s="25" t="inlineStr">
        <is>
          <t>Rev.00</t>
        </is>
      </c>
      <c r="M230" s="31">
        <f>HYPERLINK("01_STARTER/ST-096-EUR-02/01_Technical_File.docx","Open")</f>
        <v/>
      </c>
    </row>
    <row r="231">
      <c r="A231" s="25" t="inlineStr">
        <is>
          <t>IA-PPWR-TF-ST-096-EUR-03-R00</t>
        </is>
      </c>
      <c r="B231" s="25" t="inlineStr">
        <is>
          <t>ST-096-EUR-03</t>
        </is>
      </c>
      <c r="C231" s="25" t="inlineStr">
        <is>
          <t>IA-ST-096-EUR-03</t>
        </is>
      </c>
      <c r="D231" s="25" t="inlineStr">
        <is>
          <t>L1, LB1 | Palet (4000038): 1 adet | Shrink film (4000556): 3.167 kg</t>
        </is>
      </c>
      <c r="E231" s="25" t="inlineStr">
        <is>
          <t>IA-ST-CFG-0266</t>
        </is>
      </c>
      <c r="F231" s="25" t="n">
        <v>10</v>
      </c>
      <c r="G231" s="25" t="n">
        <v>7</v>
      </c>
      <c r="H231" s="25" t="n">
        <v>31.2262</v>
      </c>
      <c r="I231" s="25" t="inlineStr">
        <is>
          <t>REV00 CURRENT EVIDENCE BASIS — ARTICLE 5 ASSESSMENT BASIS</t>
        </is>
      </c>
      <c r="J231" s="25" t="inlineStr">
        <is>
          <t>PENDING - DRAWING</t>
        </is>
      </c>
      <c r="K231" s="25" t="inlineStr">
        <is>
          <t>PENDING - PHOTOGRAPHS</t>
        </is>
      </c>
      <c r="L231" s="25" t="inlineStr">
        <is>
          <t>Rev.00</t>
        </is>
      </c>
      <c r="M231" s="31">
        <f>HYPERLINK("01_STARTER/ST-096-EUR-03/01_Technical_File.docx","Open")</f>
        <v/>
      </c>
    </row>
    <row r="232">
      <c r="A232" s="25" t="inlineStr">
        <is>
          <t>IA-PPWR-TF-ST-096-EUR-04-R00</t>
        </is>
      </c>
      <c r="B232" s="25" t="inlineStr">
        <is>
          <t>ST-096-EUR-04</t>
        </is>
      </c>
      <c r="C232" s="25" t="inlineStr">
        <is>
          <t>IA-ST-096-EUR-04</t>
        </is>
      </c>
      <c r="D232" s="25" t="inlineStr">
        <is>
          <t>L1 | Palet (4000038): 1 adet | Shrink film (4000556): kullanılmaz</t>
        </is>
      </c>
      <c r="E232" s="25" t="inlineStr">
        <is>
          <t>IA-ST-CFG-0267</t>
        </is>
      </c>
      <c r="F232" s="25" t="n">
        <v>1</v>
      </c>
      <c r="G232" s="25" t="n">
        <v>6</v>
      </c>
      <c r="H232" s="25" t="n">
        <v>27.8592</v>
      </c>
      <c r="I232" s="25" t="inlineStr">
        <is>
          <t>REV00 CURRENT EVIDENCE BASIS — ARTICLE 5 ASSESSMENT BASIS</t>
        </is>
      </c>
      <c r="J232" s="25" t="inlineStr">
        <is>
          <t>PENDING - DRAWING</t>
        </is>
      </c>
      <c r="K232" s="25" t="inlineStr">
        <is>
          <t>PENDING - PHOTOGRAPHS</t>
        </is>
      </c>
      <c r="L232" s="25" t="inlineStr">
        <is>
          <t>Rev.00</t>
        </is>
      </c>
      <c r="M232" s="31">
        <f>HYPERLINK("01_STARTER/ST-096-EUR-04/01_Technical_File.docx","Open")</f>
        <v/>
      </c>
    </row>
    <row r="233">
      <c r="A233" s="25" t="inlineStr">
        <is>
          <t>IA-PPWR-TF-ST-096-EUR-05-R00</t>
        </is>
      </c>
      <c r="B233" s="25" t="inlineStr">
        <is>
          <t>ST-096-EUR-05</t>
        </is>
      </c>
      <c r="C233" s="25" t="inlineStr">
        <is>
          <t>IA-ST-096-EUR-05</t>
        </is>
      </c>
      <c r="D233" s="25" t="inlineStr">
        <is>
          <t>LB1 | Palet (4000038): 1 adet | Shrink film (4000556): kullanılmaz</t>
        </is>
      </c>
      <c r="E233" s="25" t="inlineStr">
        <is>
          <t>IA-ST-CFG-0268</t>
        </is>
      </c>
      <c r="F233" s="25" t="n">
        <v>1</v>
      </c>
      <c r="G233" s="25" t="n">
        <v>6</v>
      </c>
      <c r="H233" s="25" t="n">
        <v>28.0592</v>
      </c>
      <c r="I233" s="25" t="inlineStr">
        <is>
          <t>REV00 CURRENT EVIDENCE BASIS — ARTICLE 5 ASSESSMENT BASIS</t>
        </is>
      </c>
      <c r="J233" s="25" t="inlineStr">
        <is>
          <t>PENDING - DRAWING</t>
        </is>
      </c>
      <c r="K233" s="25" t="inlineStr">
        <is>
          <t>PENDING - PHOTOGRAPHS</t>
        </is>
      </c>
      <c r="L233" s="25" t="inlineStr">
        <is>
          <t>Rev.00</t>
        </is>
      </c>
      <c r="M233" s="31">
        <f>HYPERLINK("01_STARTER/ST-096-EUR-05/01_Technical_File.docx","Open")</f>
        <v/>
      </c>
    </row>
    <row r="234">
      <c r="A234" s="25" t="inlineStr">
        <is>
          <t>IA-PPWR-TF-ST-096-EUR-06-R00</t>
        </is>
      </c>
      <c r="B234" s="25" t="inlineStr">
        <is>
          <t>ST-096-EUR-06</t>
        </is>
      </c>
      <c r="C234" s="25" t="inlineStr">
        <is>
          <t>IA-ST-096-EUR-06</t>
        </is>
      </c>
      <c r="D234" s="25" t="inlineStr">
        <is>
          <t>L1, LB1 | Palet (4000038): 1 adet | Köşebent (4000033): 4 adet</t>
        </is>
      </c>
      <c r="E234" s="25" t="inlineStr">
        <is>
          <t>IA-ST-CFG-0269</t>
        </is>
      </c>
      <c r="F234" s="25" t="n">
        <v>4</v>
      </c>
      <c r="G234" s="25" t="n">
        <v>6</v>
      </c>
      <c r="H234" s="25" t="n">
        <v>28.566</v>
      </c>
      <c r="I234" s="25" t="inlineStr">
        <is>
          <t>REV00 CURRENT EVIDENCE BASIS — ARTICLE 5 ASSESSMENT BASIS</t>
        </is>
      </c>
      <c r="J234" s="25" t="inlineStr">
        <is>
          <t>PENDING - DRAWING</t>
        </is>
      </c>
      <c r="K234" s="25" t="inlineStr">
        <is>
          <t>PENDING - PHOTOGRAPHS</t>
        </is>
      </c>
      <c r="L234" s="25" t="inlineStr">
        <is>
          <t>Rev.00</t>
        </is>
      </c>
      <c r="M234" s="31">
        <f>HYPERLINK("01_STARTER/ST-096-EUR-06/01_Technical_File.docx","Open")</f>
        <v/>
      </c>
    </row>
    <row r="235">
      <c r="A235" s="25" t="inlineStr">
        <is>
          <t>IA-PPWR-TF-ST-096-EUR-07-R00</t>
        </is>
      </c>
      <c r="B235" s="25" t="inlineStr">
        <is>
          <t>ST-096-EUR-07</t>
        </is>
      </c>
      <c r="C235" s="25" t="inlineStr">
        <is>
          <t>IA-ST-096-EUR-07</t>
        </is>
      </c>
      <c r="D235" s="25" t="inlineStr">
        <is>
          <t>L0 | Palet (4000038): 1 adet | Köşebent (4000590): 4 adet</t>
        </is>
      </c>
      <c r="E235" s="25" t="inlineStr">
        <is>
          <t>IA-ST-CFG-0275</t>
        </is>
      </c>
      <c r="F235" s="25" t="n">
        <v>2</v>
      </c>
      <c r="G235" s="25" t="n">
        <v>6</v>
      </c>
      <c r="H235" s="25" t="n">
        <v>28.126</v>
      </c>
      <c r="I235" s="25" t="inlineStr">
        <is>
          <t>REV00 CURRENT EVIDENCE BASIS — ARTICLE 5 ASSESSMENT BASIS</t>
        </is>
      </c>
      <c r="J235" s="25" t="inlineStr">
        <is>
          <t>PENDING - DRAWING</t>
        </is>
      </c>
      <c r="K235" s="25" t="inlineStr">
        <is>
          <t>PENDING - PHOTOGRAPHS</t>
        </is>
      </c>
      <c r="L235" s="25" t="inlineStr">
        <is>
          <t>Rev.00</t>
        </is>
      </c>
      <c r="M235" s="31">
        <f>HYPERLINK("01_STARTER/ST-096-EUR-07/01_Technical_File.docx","Open")</f>
        <v/>
      </c>
    </row>
    <row r="236">
      <c r="A236" s="25" t="inlineStr">
        <is>
          <t>IA-PPWR-TF-ST-096-EUR-08-R00</t>
        </is>
      </c>
      <c r="B236" s="25" t="inlineStr">
        <is>
          <t>ST-096-EUR-08</t>
        </is>
      </c>
      <c r="C236" s="25" t="inlineStr">
        <is>
          <t>IA-ST-096-EUR-08</t>
        </is>
      </c>
      <c r="D236" s="25" t="inlineStr">
        <is>
          <t>L0 | Palet (4000038): 1 adet | Separatör (4000609): 4 adet</t>
        </is>
      </c>
      <c r="E236" s="25" t="inlineStr">
        <is>
          <t>IA-ST-CFG-0276</t>
        </is>
      </c>
      <c r="F236" s="25" t="n">
        <v>2</v>
      </c>
      <c r="G236" s="25" t="n">
        <v>7</v>
      </c>
      <c r="H236" s="25" t="n">
        <v>29.9492</v>
      </c>
      <c r="I236" s="25" t="inlineStr">
        <is>
          <t>REV00 CURRENT EVIDENCE BASIS — ARTICLE 5 ASSESSMENT BASIS</t>
        </is>
      </c>
      <c r="J236" s="25" t="inlineStr">
        <is>
          <t>PENDING - DRAWING</t>
        </is>
      </c>
      <c r="K236" s="25" t="inlineStr">
        <is>
          <t>PENDING - PHOTOGRAPHS</t>
        </is>
      </c>
      <c r="L236" s="25" t="inlineStr">
        <is>
          <t>Rev.00</t>
        </is>
      </c>
      <c r="M236" s="31">
        <f>HYPERLINK("01_STARTER/ST-096-EUR-08/01_Technical_File.docx","Open")</f>
        <v/>
      </c>
    </row>
    <row r="237">
      <c r="A237" s="25" t="inlineStr">
        <is>
          <t>IA-PPWR-TF-ST-096-EUR-09-R00</t>
        </is>
      </c>
      <c r="B237" s="25" t="inlineStr">
        <is>
          <t>ST-096-EUR-09</t>
        </is>
      </c>
      <c r="C237" s="25" t="inlineStr">
        <is>
          <t>IA-ST-096-EUR-09</t>
        </is>
      </c>
      <c r="D237" s="25" t="inlineStr">
        <is>
          <t>L0 | Palet (4000038): 1 adet | Shrink film (4000555): 2.31 kg | Separatör (4000609): 5 adet</t>
        </is>
      </c>
      <c r="E237" s="25" t="inlineStr">
        <is>
          <t>IA-ST-CFG-0277</t>
        </is>
      </c>
      <c r="F237" s="25" t="n">
        <v>1</v>
      </c>
      <c r="G237" s="25" t="n">
        <v>7</v>
      </c>
      <c r="H237" s="25" t="n">
        <v>30.1492</v>
      </c>
      <c r="I237" s="25" t="inlineStr">
        <is>
          <t>REV00 CURRENT EVIDENCE BASIS — ARTICLE 5 ASSESSMENT BASIS</t>
        </is>
      </c>
      <c r="J237" s="25" t="inlineStr">
        <is>
          <t>PENDING - DRAWING</t>
        </is>
      </c>
      <c r="K237" s="25" t="inlineStr">
        <is>
          <t>PENDING - PHOTOGRAPHS</t>
        </is>
      </c>
      <c r="L237" s="25" t="inlineStr">
        <is>
          <t>Rev.00</t>
        </is>
      </c>
      <c r="M237" s="31">
        <f>HYPERLINK("01_STARTER/ST-096-EUR-09/01_Technical_File.docx","Open")</f>
        <v/>
      </c>
    </row>
    <row r="238">
      <c r="A238" s="25" t="inlineStr">
        <is>
          <t>IA-PPWR-TF-ST-096-EUR-10-R00</t>
        </is>
      </c>
      <c r="B238" s="25" t="inlineStr">
        <is>
          <t>ST-096-EUR-10</t>
        </is>
      </c>
      <c r="C238" s="25" t="inlineStr">
        <is>
          <t>IA-ST-096-EUR-10</t>
        </is>
      </c>
      <c r="D238" s="25" t="inlineStr">
        <is>
          <t>L0 | Palet (4000038): 1 adet | Shrink film (4000555): kullanılmaz | Köşebent (4000590): 2 adet</t>
        </is>
      </c>
      <c r="E238" s="25" t="inlineStr">
        <is>
          <t>IA-ST-CFG-0278</t>
        </is>
      </c>
      <c r="F238" s="25" t="n">
        <v>1</v>
      </c>
      <c r="G238" s="25" t="n">
        <v>6</v>
      </c>
      <c r="H238" s="25" t="n">
        <v>27.8392</v>
      </c>
      <c r="I238" s="25" t="inlineStr">
        <is>
          <t>REV00 CURRENT EVIDENCE BASIS — ARTICLE 5 ASSESSMENT BASIS</t>
        </is>
      </c>
      <c r="J238" s="25" t="inlineStr">
        <is>
          <t>PENDING - DRAWING</t>
        </is>
      </c>
      <c r="K238" s="25" t="inlineStr">
        <is>
          <t>PENDING - PHOTOGRAPHS</t>
        </is>
      </c>
      <c r="L238" s="25" t="inlineStr">
        <is>
          <t>Rev.00</t>
        </is>
      </c>
      <c r="M238" s="31">
        <f>HYPERLINK("01_STARTER/ST-096-EUR-10/01_Technical_File.docx","Open")</f>
        <v/>
      </c>
    </row>
    <row r="239">
      <c r="A239" s="25" t="inlineStr">
        <is>
          <t>IA-PPWR-TF-ST-096-STD-01-R00</t>
        </is>
      </c>
      <c r="B239" s="25" t="inlineStr">
        <is>
          <t>ST-096-STD-01</t>
        </is>
      </c>
      <c r="C239" s="25" t="inlineStr">
        <is>
          <t>IA-ST-096-STD-01</t>
        </is>
      </c>
      <c r="D239" s="25" t="inlineStr">
        <is>
          <t>L1 | L1 EAS Activa penceresiz dış koli (4000645): 96 adet</t>
        </is>
      </c>
      <c r="E239" s="25" t="inlineStr">
        <is>
          <t>IA-ST-CFG-0270</t>
        </is>
      </c>
      <c r="F239" s="25" t="n">
        <v>1</v>
      </c>
      <c r="G239" s="25" t="n">
        <v>7</v>
      </c>
      <c r="H239" s="25" t="n">
        <v>53.336</v>
      </c>
      <c r="I239" s="25" t="inlineStr">
        <is>
          <t>REV00 CURRENT EVIDENCE BASIS — ARTICLE 5 ASSESSMENT BASIS</t>
        </is>
      </c>
      <c r="J239" s="25" t="inlineStr">
        <is>
          <t>PENDING - DRAWING</t>
        </is>
      </c>
      <c r="K239" s="25" t="inlineStr">
        <is>
          <t>PENDING - PHOTOGRAPHS</t>
        </is>
      </c>
      <c r="L239" s="25" t="inlineStr">
        <is>
          <t>Rev.00</t>
        </is>
      </c>
      <c r="M239" s="31">
        <f>HYPERLINK("01_STARTER/ST-096-STD-01/01_Technical_File.docx","Open")</f>
        <v/>
      </c>
    </row>
    <row r="240">
      <c r="A240" s="25" t="inlineStr">
        <is>
          <t>IA-PPWR-TF-ST-096-STD-02-R00</t>
        </is>
      </c>
      <c r="B240" s="25" t="inlineStr">
        <is>
          <t>ST-096-STD-02</t>
        </is>
      </c>
      <c r="C240" s="25" t="inlineStr">
        <is>
          <t>IA-ST-096-STD-02</t>
        </is>
      </c>
      <c r="D240" s="25" t="inlineStr">
        <is>
          <t>LB1 | LB1 İnci FORMULA-MAXIMA 2019 dış koli (4001201): 96 adet</t>
        </is>
      </c>
      <c r="E240" s="25" t="inlineStr">
        <is>
          <t>IA-ST-CFG-0271</t>
        </is>
      </c>
      <c r="F240" s="25" t="n">
        <v>1</v>
      </c>
      <c r="G240" s="25" t="n">
        <v>7</v>
      </c>
      <c r="H240" s="25" t="n">
        <v>47.996</v>
      </c>
      <c r="I240" s="25" t="inlineStr">
        <is>
          <t>REV00 CURRENT EVIDENCE BASIS — ARTICLE 5 ASSESSMENT BASIS</t>
        </is>
      </c>
      <c r="J240" s="25" t="inlineStr">
        <is>
          <t>PENDING - DRAWING</t>
        </is>
      </c>
      <c r="K240" s="25" t="inlineStr">
        <is>
          <t>PENDING - PHOTOGRAPHS</t>
        </is>
      </c>
      <c r="L240" s="25" t="inlineStr">
        <is>
          <t>Rev.00</t>
        </is>
      </c>
      <c r="M240" s="31">
        <f>HYPERLINK("01_STARTER/ST-096-STD-02/01_Technical_File.docx","Open")</f>
        <v/>
      </c>
    </row>
    <row r="241">
      <c r="A241" s="25" t="inlineStr">
        <is>
          <t>IA-PPWR-TF-ST-096-STD-03-R00</t>
        </is>
      </c>
      <c r="B241" s="25" t="inlineStr">
        <is>
          <t>ST-096-STD-03</t>
        </is>
      </c>
      <c r="C241" s="25" t="inlineStr">
        <is>
          <t>IA-ST-096-STD-03</t>
        </is>
      </c>
      <c r="D241" s="25" t="inlineStr">
        <is>
          <t>NS60 | NS60 PVC üst kapak (4000602): 96 adet | Köşebent (4000590): 4 adet</t>
        </is>
      </c>
      <c r="E241" s="25" t="inlineStr">
        <is>
          <t>IA-ST-CFG-0272</t>
        </is>
      </c>
      <c r="F241" s="25" t="n">
        <v>38</v>
      </c>
      <c r="G241" s="25" t="n">
        <v>8</v>
      </c>
      <c r="H241" s="25" t="n">
        <v>35.3172</v>
      </c>
      <c r="I241" s="25" t="inlineStr">
        <is>
          <t>REV00 CURRENT EVIDENCE BASIS — ARTICLE 5 ASSESSMENT BASIS</t>
        </is>
      </c>
      <c r="J241" s="25" t="inlineStr">
        <is>
          <t>PENDING - DRAWING</t>
        </is>
      </c>
      <c r="K241" s="25" t="inlineStr">
        <is>
          <t>PENDING - PHOTOGRAPHS</t>
        </is>
      </c>
      <c r="L241" s="25" t="inlineStr">
        <is>
          <t>Rev.00</t>
        </is>
      </c>
      <c r="M241" s="31">
        <f>HYPERLINK("01_STARTER/ST-096-STD-03/01_Technical_File.docx","Open")</f>
        <v/>
      </c>
    </row>
    <row r="242">
      <c r="A242" s="25" t="inlineStr">
        <is>
          <t>IA-PPWR-TF-ST-096-STD-04-R00</t>
        </is>
      </c>
      <c r="B242" s="25" t="inlineStr">
        <is>
          <t>ST-096-STD-04</t>
        </is>
      </c>
      <c r="C242" s="25" t="inlineStr">
        <is>
          <t>IA-ST-096-STD-04</t>
        </is>
      </c>
      <c r="D242" s="25" t="inlineStr">
        <is>
          <t>NS60 | NS60 PVC üst kapak (4000602): 96 adet | Çember (4000450): kullanılmaz</t>
        </is>
      </c>
      <c r="E242" s="25" t="inlineStr">
        <is>
          <t>IA-ST-CFG-0273</t>
        </is>
      </c>
      <c r="F242" s="25" t="n">
        <v>8</v>
      </c>
      <c r="G242" s="25" t="n">
        <v>6</v>
      </c>
      <c r="H242" s="25" t="n">
        <v>34.7436</v>
      </c>
      <c r="I242" s="25" t="inlineStr">
        <is>
          <t>REV00 CURRENT EVIDENCE BASIS — ARTICLE 5 ASSESSMENT BASIS</t>
        </is>
      </c>
      <c r="J242" s="25" t="inlineStr">
        <is>
          <t>PENDING - DRAWING</t>
        </is>
      </c>
      <c r="K242" s="25" t="inlineStr">
        <is>
          <t>PENDING - PHOTOGRAPHS</t>
        </is>
      </c>
      <c r="L242" s="25" t="inlineStr">
        <is>
          <t>Rev.00</t>
        </is>
      </c>
      <c r="M242" s="31">
        <f>HYPERLINK("01_STARTER/ST-096-STD-04/01_Technical_File.docx","Open")</f>
        <v/>
      </c>
    </row>
    <row r="243">
      <c r="A243" s="25" t="inlineStr">
        <is>
          <t>IA-PPWR-TF-ST-096-STD-05-R00</t>
        </is>
      </c>
      <c r="B243" s="25" t="inlineStr">
        <is>
          <t>ST-096-STD-05</t>
        </is>
      </c>
      <c r="C243" s="25" t="inlineStr">
        <is>
          <t>IA-ST-096-STD-05</t>
        </is>
      </c>
      <c r="D243" s="25" t="inlineStr">
        <is>
          <t>NS60 | Palet (4000037): 1 adet | Shrink film (4001177): 0.597 kg</t>
        </is>
      </c>
      <c r="E243" s="25" t="inlineStr">
        <is>
          <t>IA-ST-CFG-0274</t>
        </is>
      </c>
      <c r="F243" s="25" t="n">
        <v>6</v>
      </c>
      <c r="G243" s="25" t="n">
        <v>7</v>
      </c>
      <c r="H243" s="25" t="n">
        <v>28.649</v>
      </c>
      <c r="I243" s="25" t="inlineStr">
        <is>
          <t>REV00 CURRENT EVIDENCE BASIS — ARTICLE 5 ASSESSMENT BASIS</t>
        </is>
      </c>
      <c r="J243" s="25" t="inlineStr">
        <is>
          <t>PENDING - DRAWING</t>
        </is>
      </c>
      <c r="K243" s="25" t="inlineStr">
        <is>
          <t>PENDING - PHOTOGRAPHS</t>
        </is>
      </c>
      <c r="L243" s="25" t="inlineStr">
        <is>
          <t>Rev.00</t>
        </is>
      </c>
      <c r="M243" s="31">
        <f>HYPERLINK("01_STARTER/ST-096-STD-05/01_Technical_File.docx","Open")</f>
        <v/>
      </c>
    </row>
    <row r="244">
      <c r="A244" s="25" t="inlineStr">
        <is>
          <t>IA-PPWR-TF-ST-105-STD-01-R00</t>
        </is>
      </c>
      <c r="B244" s="25" t="inlineStr">
        <is>
          <t>ST-105-STD-01</t>
        </is>
      </c>
      <c r="C244" s="25" t="inlineStr">
        <is>
          <t>IA-ST-105-STD-01</t>
        </is>
      </c>
      <c r="D244" s="25" t="inlineStr">
        <is>
          <t>NS40 | NS40 EAS Activa penceresiz B00 dış koli (4000630): 105 adet</t>
        </is>
      </c>
      <c r="E244" s="25" t="inlineStr">
        <is>
          <t>IA-ST-CFG-0282</t>
        </is>
      </c>
      <c r="F244" s="25" t="n">
        <v>1</v>
      </c>
      <c r="G244" s="25" t="n">
        <v>8</v>
      </c>
      <c r="H244" s="25" t="n">
        <v>54.97265</v>
      </c>
      <c r="I244" s="25" t="inlineStr">
        <is>
          <t>REV00 CURRENT EVIDENCE BASIS — ARTICLE 5 ASSESSMENT BASIS</t>
        </is>
      </c>
      <c r="J244" s="25" t="inlineStr">
        <is>
          <t>PENDING - DRAWING</t>
        </is>
      </c>
      <c r="K244" s="25" t="inlineStr">
        <is>
          <t>PENDING - PHOTOGRAPHS</t>
        </is>
      </c>
      <c r="L244" s="25" t="inlineStr">
        <is>
          <t>Rev.00</t>
        </is>
      </c>
      <c r="M244" s="31">
        <f>HYPERLINK("01_STARTER/ST-105-STD-01/01_Technical_File.docx","Open")</f>
        <v/>
      </c>
    </row>
    <row r="245">
      <c r="A245" s="25" t="inlineStr">
        <is>
          <t>IA-PPWR-TF-ST-105-STD-02-R00</t>
        </is>
      </c>
      <c r="B245" s="25" t="inlineStr">
        <is>
          <t>ST-105-STD-02</t>
        </is>
      </c>
      <c r="C245" s="25" t="inlineStr">
        <is>
          <t>IA-ST-105-STD-02</t>
        </is>
      </c>
      <c r="D245" s="25" t="inlineStr">
        <is>
          <t>NS40 | NS40 İnci FORMULA-MAXIMA B00 2019 dış koli (4001212): 105 adet</t>
        </is>
      </c>
      <c r="E245" s="25" t="inlineStr">
        <is>
          <t>IA-ST-CFG-0283</t>
        </is>
      </c>
      <c r="F245" s="25" t="n">
        <v>1</v>
      </c>
      <c r="G245" s="25" t="n">
        <v>8</v>
      </c>
      <c r="H245" s="25" t="n">
        <v>55.66265</v>
      </c>
      <c r="I245" s="25" t="inlineStr">
        <is>
          <t>REV00 CURRENT EVIDENCE BASIS — ARTICLE 5 ASSESSMENT BASIS</t>
        </is>
      </c>
      <c r="J245" s="25" t="inlineStr">
        <is>
          <t>PENDING - DRAWING</t>
        </is>
      </c>
      <c r="K245" s="25" t="inlineStr">
        <is>
          <t>PENDING - PHOTOGRAPHS</t>
        </is>
      </c>
      <c r="L245" s="25" t="inlineStr">
        <is>
          <t>Rev.00</t>
        </is>
      </c>
      <c r="M245" s="31">
        <f>HYPERLINK("01_STARTER/ST-105-STD-02/01_Technical_File.docx","Open")</f>
        <v/>
      </c>
    </row>
    <row r="246">
      <c r="A246" s="25" t="inlineStr">
        <is>
          <t>IA-PPWR-TF-ST-120-STD-01-R00</t>
        </is>
      </c>
      <c r="B246" s="25" t="inlineStr">
        <is>
          <t>ST-120-STD-01</t>
        </is>
      </c>
      <c r="C246" s="25" t="inlineStr">
        <is>
          <t>IA-ST-120-STD-01</t>
        </is>
      </c>
      <c r="D246" s="25" t="inlineStr">
        <is>
          <t>NS40 | NS40 PVC üst kapak (4000601): 120 adet | Köşebent (4000590): 4 adet</t>
        </is>
      </c>
      <c r="E246" s="25" t="inlineStr">
        <is>
          <t>IA-ST-CFG-0284</t>
        </is>
      </c>
      <c r="F246" s="25" t="n">
        <v>30</v>
      </c>
      <c r="G246" s="25" t="n">
        <v>8</v>
      </c>
      <c r="H246" s="25" t="n">
        <v>35.3676</v>
      </c>
      <c r="I246" s="25" t="inlineStr">
        <is>
          <t>REV00 CURRENT EVIDENCE BASIS — ARTICLE 5 ASSESSMENT BASIS</t>
        </is>
      </c>
      <c r="J246" s="25" t="inlineStr">
        <is>
          <t>PENDING - DRAWING</t>
        </is>
      </c>
      <c r="K246" s="25" t="inlineStr">
        <is>
          <t>PENDING - PHOTOGRAPHS</t>
        </is>
      </c>
      <c r="L246" s="25" t="inlineStr">
        <is>
          <t>Rev.00</t>
        </is>
      </c>
      <c r="M246" s="31">
        <f>HYPERLINK("01_STARTER/ST-120-STD-01/01_Technical_File.docx","Open")</f>
        <v/>
      </c>
    </row>
    <row r="247">
      <c r="A247" s="25" t="inlineStr">
        <is>
          <t>IA-PPWR-TF-ST-120-STD-02-R00</t>
        </is>
      </c>
      <c r="B247" s="25" t="inlineStr">
        <is>
          <t>ST-120-STD-02</t>
        </is>
      </c>
      <c r="C247" s="25" t="inlineStr">
        <is>
          <t>IA-ST-120-STD-02</t>
        </is>
      </c>
      <c r="D247" s="25" t="inlineStr">
        <is>
          <t>NS40 | NS40 PVC üst kapak (4000601): 120 adet | Çember (4000450): kullanılmaz</t>
        </is>
      </c>
      <c r="E247" s="25" t="inlineStr">
        <is>
          <t>IA-ST-CFG-0285</t>
        </is>
      </c>
      <c r="F247" s="25" t="n">
        <v>2</v>
      </c>
      <c r="G247" s="25" t="n">
        <v>6</v>
      </c>
      <c r="H247" s="25" t="n">
        <v>34.794</v>
      </c>
      <c r="I247" s="25" t="inlineStr">
        <is>
          <t>REV00 CURRENT EVIDENCE BASIS — ARTICLE 5 ASSESSMENT BASIS</t>
        </is>
      </c>
      <c r="J247" s="25" t="inlineStr">
        <is>
          <t>PENDING - DRAWING</t>
        </is>
      </c>
      <c r="K247" s="25" t="inlineStr">
        <is>
          <t>PENDING - PHOTOGRAPHS</t>
        </is>
      </c>
      <c r="L247" s="25" t="inlineStr">
        <is>
          <t>Rev.00</t>
        </is>
      </c>
      <c r="M247" s="31">
        <f>HYPERLINK("01_STARTER/ST-120-STD-02/01_Technical_File.docx","Open")</f>
        <v/>
      </c>
    </row>
    <row r="248">
      <c r="A248" s="25" t="inlineStr">
        <is>
          <t>IA-PPWR-TF-ST-120-STD-03-R00</t>
        </is>
      </c>
      <c r="B248" s="25" t="inlineStr">
        <is>
          <t>ST-120-STD-03</t>
        </is>
      </c>
      <c r="C248" s="25" t="inlineStr">
        <is>
          <t>IA-ST-120-STD-03</t>
        </is>
      </c>
      <c r="D248" s="25" t="inlineStr">
        <is>
          <t>NS40 | Palet (4000037): 1 adet | Shrink film (4001177): 0.597 kg</t>
        </is>
      </c>
      <c r="E248" s="25" t="inlineStr">
        <is>
          <t>IA-ST-CFG-0286</t>
        </is>
      </c>
      <c r="F248" s="25" t="n">
        <v>4</v>
      </c>
      <c r="G248" s="25" t="n">
        <v>7</v>
      </c>
      <c r="H248" s="25" t="n">
        <v>28.649</v>
      </c>
      <c r="I248" s="25" t="inlineStr">
        <is>
          <t>REV00 CURRENT EVIDENCE BASIS — ARTICLE 5 ASSESSMENT BASIS</t>
        </is>
      </c>
      <c r="J248" s="25" t="inlineStr">
        <is>
          <t>PENDING - DRAWING</t>
        </is>
      </c>
      <c r="K248" s="25" t="inlineStr">
        <is>
          <t>PENDING - PHOTOGRAPHS</t>
        </is>
      </c>
      <c r="L248" s="25" t="inlineStr">
        <is>
          <t>Rev.00</t>
        </is>
      </c>
      <c r="M248" s="31">
        <f>HYPERLINK("01_STARTER/ST-120-STD-03/01_Technical_File.docx","Open")</f>
        <v/>
      </c>
    </row>
  </sheetData>
  <autoFilter ref="A1:M24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8" customHeight="1">
      <c r="A1" s="23" t="inlineStr">
        <is>
          <t>DoC Number</t>
        </is>
      </c>
      <c r="B1" s="23" t="inlineStr">
        <is>
          <t>Packaging Set Code</t>
        </is>
      </c>
      <c r="C1" s="23" t="inlineStr">
        <is>
          <t>Configuration ID</t>
        </is>
      </c>
      <c r="D1" s="23" t="inlineStr">
        <is>
          <t>Packaging Description</t>
        </is>
      </c>
      <c r="E1" s="23" t="inlineStr">
        <is>
          <t>Variant Basis</t>
        </is>
      </c>
      <c r="F1" s="23" t="inlineStr">
        <is>
          <t>Source BOM ID</t>
        </is>
      </c>
      <c r="G1" s="23" t="inlineStr">
        <is>
          <t>Technical File ID</t>
        </is>
      </c>
      <c r="H1" s="23" t="inlineStr">
        <is>
          <t>Issue Date</t>
        </is>
      </c>
      <c r="I1" s="23" t="inlineStr">
        <is>
          <t>Revision</t>
        </is>
      </c>
      <c r="J1" s="23" t="inlineStr">
        <is>
          <t>Status</t>
        </is>
      </c>
      <c r="K1" s="23" t="inlineStr">
        <is>
          <t>Open DoC</t>
        </is>
      </c>
    </row>
    <row r="2">
      <c r="A2" s="25" t="inlineStr">
        <is>
          <t>IA-PPWR-DOC-CNT-20-EUR-01-R00</t>
        </is>
      </c>
      <c r="B2" s="25" t="inlineStr">
        <is>
          <t>CNT-20-EUR-01</t>
        </is>
      </c>
      <c r="C2" s="25" t="inlineStr">
        <is>
          <t>IA-CNT-20-EUR-01</t>
        </is>
      </c>
      <c r="D2" s="25" t="inlineStr">
        <is>
          <t>Container loading | OSB (5501806): 11 adet | Separatör (4000130): 10 adet</t>
        </is>
      </c>
      <c r="E2" s="25" t="inlineStr">
        <is>
          <t>Container loading | OSB (5501806): 11 adet | Separatör (4000130): 10 adet / Container loading | OSB (5501806): 11 pcs | Separator (4000130): 10 pcs</t>
        </is>
      </c>
      <c r="F2" s="25" t="inlineStr">
        <is>
          <t>IA-CNT-20-EUR</t>
        </is>
      </c>
      <c r="G2" s="25" t="inlineStr">
        <is>
          <t>IA-PPWR-TF-CNT-20-EUR-01-R00</t>
        </is>
      </c>
      <c r="H2" s="25" t="inlineStr">
        <is>
          <t>2026-08-08</t>
        </is>
      </c>
      <c r="I2" s="25" t="inlineStr">
        <is>
          <t>Rev.00</t>
        </is>
      </c>
      <c r="J2" s="25" t="inlineStr">
        <is>
          <t>ACTIVE — unsigned</t>
        </is>
      </c>
      <c r="K2" s="31">
        <f>HYPERLINK("03_CONTAINER/CNT-20-EUR-01/02_EU_DoC.docx","Open")</f>
        <v/>
      </c>
    </row>
    <row r="3">
      <c r="A3" s="25" t="inlineStr">
        <is>
          <t>IA-PPWR-DOC-CNT-20-STD-01-R00</t>
        </is>
      </c>
      <c r="B3" s="25" t="inlineStr">
        <is>
          <t>CNT-20-STD-01</t>
        </is>
      </c>
      <c r="C3" s="25" t="inlineStr">
        <is>
          <t>IA-CNT-20-STD-01</t>
        </is>
      </c>
      <c r="D3" s="25" t="inlineStr">
        <is>
          <t>Container loading | OSB (5501805): 10 adet | Separatör (4000130): 10 adet</t>
        </is>
      </c>
      <c r="E3" s="25" t="inlineStr">
        <is>
          <t>Container loading | OSB (5501805): 10 adet | Separatör (4000130): 10 adet / Container loading | OSB (5501805): 10 pcs | Separator (4000130): 10 pcs</t>
        </is>
      </c>
      <c r="F3" s="25" t="inlineStr">
        <is>
          <t>IA-CNT-20-STD</t>
        </is>
      </c>
      <c r="G3" s="25" t="inlineStr">
        <is>
          <t>IA-PPWR-TF-CNT-20-STD-01-R00</t>
        </is>
      </c>
      <c r="H3" s="25" t="inlineStr">
        <is>
          <t>2026-08-08</t>
        </is>
      </c>
      <c r="I3" s="25" t="inlineStr">
        <is>
          <t>Rev.00</t>
        </is>
      </c>
      <c r="J3" s="25" t="inlineStr">
        <is>
          <t>ACTIVE — unsigned</t>
        </is>
      </c>
      <c r="K3" s="31">
        <f>HYPERLINK("03_CONTAINER/CNT-20-STD-01/02_EU_DoC.docx","Open")</f>
        <v/>
      </c>
    </row>
    <row r="4">
      <c r="A4" s="25" t="inlineStr">
        <is>
          <t>IA-PPWR-DOC-CNT-40-IND-01-R00</t>
        </is>
      </c>
      <c r="B4" s="25" t="inlineStr">
        <is>
          <t>CNT-40-IND-01</t>
        </is>
      </c>
      <c r="C4" s="25" t="inlineStr">
        <is>
          <t>IA-CNT-40-IND-01</t>
        </is>
      </c>
      <c r="D4" s="25" t="inlineStr">
        <is>
          <t>Container loading | Hava yastığı (5500759): 26 adet | Bağlama halatı (5500762): 12 m</t>
        </is>
      </c>
      <c r="E4" s="25" t="inlineStr">
        <is>
          <t>Container loading | Hava yastığı (5500759): 26 adet | Bağlama halatı (5500762): 12 m / Container loading | Air dunnage (5500759): 26 pcs | Lashing rope (5500762): 12 m</t>
        </is>
      </c>
      <c r="F4" s="25" t="inlineStr">
        <is>
          <t>IA-CNT-40-IND</t>
        </is>
      </c>
      <c r="G4" s="25" t="inlineStr">
        <is>
          <t>IA-PPWR-TF-CNT-40-IND-01-R00</t>
        </is>
      </c>
      <c r="H4" s="25" t="inlineStr">
        <is>
          <t>2026-08-08</t>
        </is>
      </c>
      <c r="I4" s="25" t="inlineStr">
        <is>
          <t>Rev.00</t>
        </is>
      </c>
      <c r="J4" s="25" t="inlineStr">
        <is>
          <t>ACTIVE — unsigned</t>
        </is>
      </c>
      <c r="K4" s="31">
        <f>HYPERLINK("03_CONTAINER/CNT-40-IND-01/02_EU_DoC.docx","Open")</f>
        <v/>
      </c>
    </row>
    <row r="5">
      <c r="A5" s="25" t="inlineStr">
        <is>
          <t>IA-PPWR-DOC-CNT-DE-HAM-01-R00</t>
        </is>
      </c>
      <c r="B5" s="25" t="inlineStr">
        <is>
          <t>CNT-DE-HAM-01</t>
        </is>
      </c>
      <c r="C5" s="25" t="inlineStr">
        <is>
          <t>IA-CNT-DE-HAM-01</t>
        </is>
      </c>
      <c r="D5" s="25" t="inlineStr">
        <is>
          <t>Container loading | Sabitleme Tahtası ( 206×9×9 ) (Hamburg): 2 adet</t>
        </is>
      </c>
      <c r="E5" s="25" t="inlineStr">
        <is>
          <t>Container loading | Sabitleme Tahtası ( 206×9×9 ) (Hamburg): 2 adet / Container loading | Sabitleme Tahtası ( 206×9×9 ) (Hamburg): 2 pcs</t>
        </is>
      </c>
      <c r="F5" s="25" t="inlineStr">
        <is>
          <t>IA-CNT-DE-HAMBURG</t>
        </is>
      </c>
      <c r="G5" s="25" t="inlineStr">
        <is>
          <t>IA-PPWR-TF-CNT-DE-HAM-01-R00</t>
        </is>
      </c>
      <c r="H5" s="25" t="inlineStr">
        <is>
          <t>2026-08-08</t>
        </is>
      </c>
      <c r="I5" s="25" t="inlineStr">
        <is>
          <t>Rev.00</t>
        </is>
      </c>
      <c r="J5" s="25" t="inlineStr">
        <is>
          <t>ACTIVE — unsigned</t>
        </is>
      </c>
      <c r="K5" s="31">
        <f>HYPERLINK("03_CONTAINER/CNT-DE-HAM-01/02_EU_DoC.docx","Open")</f>
        <v/>
      </c>
    </row>
    <row r="6">
      <c r="A6" s="25" t="inlineStr">
        <is>
          <t>IA-PPWR-DOC-IND-24V-01-R00</t>
        </is>
      </c>
      <c r="B6" s="25" t="inlineStr">
        <is>
          <t>IND-24V-01</t>
        </is>
      </c>
      <c r="C6" s="25" t="inlineStr">
        <is>
          <t>IA-IND-24V-01</t>
        </is>
      </c>
      <c r="D6" s="25" t="inlineStr">
        <is>
          <t>24V | Palet (4001005): 1 adet</t>
        </is>
      </c>
      <c r="E6" s="25" t="inlineStr">
        <is>
          <t>24V | Palet (4001005): 1 adet / 24V | Pallet (4001005): 1 pc</t>
        </is>
      </c>
      <c r="F6" s="25" t="inlineStr">
        <is>
          <t>IA-IND-24V</t>
        </is>
      </c>
      <c r="G6" s="25" t="inlineStr">
        <is>
          <t>IA-PPWR-TF-IND-24V-01-R00</t>
        </is>
      </c>
      <c r="H6" s="25" t="inlineStr">
        <is>
          <t>2026-08-08</t>
        </is>
      </c>
      <c r="I6" s="25" t="inlineStr">
        <is>
          <t>Rev.00</t>
        </is>
      </c>
      <c r="J6" s="25" t="inlineStr">
        <is>
          <t>ACTIVE — unsigned</t>
        </is>
      </c>
      <c r="K6" s="31">
        <f>HYPERLINK("02_INDUSTRIAL/IND-24V-01/02_EU_DoC.docx","Open")</f>
        <v/>
      </c>
    </row>
    <row r="7">
      <c r="A7" s="25" t="inlineStr">
        <is>
          <t>IA-PPWR-DOC-IND-48V-01-R00</t>
        </is>
      </c>
      <c r="B7" s="25" t="inlineStr">
        <is>
          <t>IND-48V-01</t>
        </is>
      </c>
      <c r="C7" s="25" t="inlineStr">
        <is>
          <t>IA-IND-48V-01</t>
        </is>
      </c>
      <c r="D7" s="25" t="inlineStr">
        <is>
          <t>48V | Palet (4001005): 1 adet</t>
        </is>
      </c>
      <c r="E7" s="25" t="inlineStr">
        <is>
          <t>48V | Palet (4001005): 1 adet / 48V | Pallet (4001005): 1 pc</t>
        </is>
      </c>
      <c r="F7" s="25" t="inlineStr">
        <is>
          <t>IA-IND-48V</t>
        </is>
      </c>
      <c r="G7" s="25" t="inlineStr">
        <is>
          <t>IA-PPWR-TF-IND-48V-01-R00</t>
        </is>
      </c>
      <c r="H7" s="25" t="inlineStr">
        <is>
          <t>2026-08-08</t>
        </is>
      </c>
      <c r="I7" s="25" t="inlineStr">
        <is>
          <t>Rev.00</t>
        </is>
      </c>
      <c r="J7" s="25" t="inlineStr">
        <is>
          <t>ACTIVE — unsigned</t>
        </is>
      </c>
      <c r="K7" s="31">
        <f>HYPERLINK("02_INDUSTRIAL/IND-48V-01/02_EU_DoC.docx","Open")</f>
        <v/>
      </c>
    </row>
    <row r="8">
      <c r="A8" s="25" t="inlineStr">
        <is>
          <t>IA-PPWR-DOC-IND-80V-01-R00</t>
        </is>
      </c>
      <c r="B8" s="25" t="inlineStr">
        <is>
          <t>IND-80V-01</t>
        </is>
      </c>
      <c r="C8" s="25" t="inlineStr">
        <is>
          <t>IA-IND-80V-01</t>
        </is>
      </c>
      <c r="D8" s="25" t="inlineStr">
        <is>
          <t>80V | Palet (4000973): 1 adet</t>
        </is>
      </c>
      <c r="E8" s="25" t="inlineStr">
        <is>
          <t>80V | Palet (4000973): 1 adet / 80V | Pallet (4000973): 1 pc</t>
        </is>
      </c>
      <c r="F8" s="25" t="inlineStr">
        <is>
          <t>IA-IND-80V</t>
        </is>
      </c>
      <c r="G8" s="25" t="inlineStr">
        <is>
          <t>IA-PPWR-TF-IND-80V-01-R00</t>
        </is>
      </c>
      <c r="H8" s="25" t="inlineStr">
        <is>
          <t>2026-08-08</t>
        </is>
      </c>
      <c r="I8" s="25" t="inlineStr">
        <is>
          <t>Rev.00</t>
        </is>
      </c>
      <c r="J8" s="25" t="inlineStr">
        <is>
          <t>ACTIVE — unsigned</t>
        </is>
      </c>
      <c r="K8" s="31">
        <f>HYPERLINK("02_INDUSTRIAL/IND-80V-01/02_EU_DoC.docx","Open")</f>
        <v/>
      </c>
    </row>
    <row r="9">
      <c r="A9" s="25" t="inlineStr">
        <is>
          <t>IA-PPWR-DOC-ST-012-EUR-01-R00</t>
        </is>
      </c>
      <c r="B9" s="25" t="inlineStr">
        <is>
          <t>ST-012-EUR-01</t>
        </is>
      </c>
      <c r="C9" s="25" t="inlineStr">
        <is>
          <t>IA-ST-012-EUR-01</t>
        </is>
      </c>
      <c r="D9" s="25" t="inlineStr">
        <is>
          <t>C | Palet (4000038): 1 adet | Köşebent (4000590): 4 adet</t>
        </is>
      </c>
      <c r="E9" s="25" t="inlineStr">
        <is>
          <t>C | Palet (4000038): 1 adet | Köşebent (4000590): 4 adet / C | Pallet (4000038): 1 pc | Edge protector (4000590): 4 pcs</t>
        </is>
      </c>
      <c r="F9" s="25" t="inlineStr">
        <is>
          <t>IA-ST-CFG-0004</t>
        </is>
      </c>
      <c r="G9" s="25" t="inlineStr">
        <is>
          <t>IA-PPWR-TF-ST-012-EUR-01-R00</t>
        </is>
      </c>
      <c r="H9" s="25" t="inlineStr">
        <is>
          <t>2026-08-08</t>
        </is>
      </c>
      <c r="I9" s="25" t="inlineStr">
        <is>
          <t>Rev.00</t>
        </is>
      </c>
      <c r="J9" s="25" t="inlineStr">
        <is>
          <t>ACTIVE — unsigned</t>
        </is>
      </c>
      <c r="K9" s="31">
        <f>HYPERLINK("01_STARTER/ST-012-EUR-01/02_EU_DoC.docx","Open")</f>
        <v/>
      </c>
    </row>
    <row r="10">
      <c r="A10" s="25" t="inlineStr">
        <is>
          <t>IA-PPWR-DOC-ST-012-EUR-02-R00</t>
        </is>
      </c>
      <c r="B10" s="25" t="inlineStr">
        <is>
          <t>ST-012-EUR-02</t>
        </is>
      </c>
      <c r="C10" s="25" t="inlineStr">
        <is>
          <t>IA-ST-012-EUR-02</t>
        </is>
      </c>
      <c r="D10" s="25" t="inlineStr">
        <is>
          <t>L6 | Palet (4000038): 1 adet | Köşebent (4000590): 4 adet</t>
        </is>
      </c>
      <c r="E10" s="25" t="inlineStr">
        <is>
          <t>L6 | Palet (4000038): 1 adet | Köşebent (4000590): 4 adet / L6 | Pallet (4000038): 1 pc | Edge protector (4000590): 4 pcs</t>
        </is>
      </c>
      <c r="F10" s="25" t="inlineStr">
        <is>
          <t>IA-ST-CFG-0005</t>
        </is>
      </c>
      <c r="G10" s="25" t="inlineStr">
        <is>
          <t>IA-PPWR-TF-ST-012-EUR-02-R00</t>
        </is>
      </c>
      <c r="H10" s="25" t="inlineStr">
        <is>
          <t>2026-08-08</t>
        </is>
      </c>
      <c r="I10" s="25" t="inlineStr">
        <is>
          <t>Rev.00</t>
        </is>
      </c>
      <c r="J10" s="25" t="inlineStr">
        <is>
          <t>ACTIVE — unsigned</t>
        </is>
      </c>
      <c r="K10" s="31">
        <f>HYPERLINK("01_STARTER/ST-012-EUR-02/02_EU_DoC.docx","Open")</f>
        <v/>
      </c>
    </row>
    <row r="11">
      <c r="A11" s="25" t="inlineStr">
        <is>
          <t>IA-PPWR-DOC-ST-012-EUR-03-R00</t>
        </is>
      </c>
      <c r="B11" s="25" t="inlineStr">
        <is>
          <t>ST-012-EUR-03</t>
        </is>
      </c>
      <c r="C11" s="25" t="inlineStr">
        <is>
          <t>IA-ST-012-EUR-03</t>
        </is>
      </c>
      <c r="D11" s="25" t="inlineStr">
        <is>
          <t>C | Palet (4000038): 1 adet | Köşebent (4000590): 2 adet</t>
        </is>
      </c>
      <c r="E11" s="25" t="inlineStr">
        <is>
          <t>C | Palet (4000038): 1 adet | Köşebent (4000590): 2 adet / C | Pallet (4000038): 1 pc | Edge protector (4000590): 2 pcs</t>
        </is>
      </c>
      <c r="F11" s="25" t="inlineStr">
        <is>
          <t>IA-ST-CFG-0006</t>
        </is>
      </c>
      <c r="G11" s="25" t="inlineStr">
        <is>
          <t>IA-PPWR-TF-ST-012-EUR-03-R00</t>
        </is>
      </c>
      <c r="H11" s="25" t="inlineStr">
        <is>
          <t>2026-08-08</t>
        </is>
      </c>
      <c r="I11" s="25" t="inlineStr">
        <is>
          <t>Rev.00</t>
        </is>
      </c>
      <c r="J11" s="25" t="inlineStr">
        <is>
          <t>ACTIVE — unsigned</t>
        </is>
      </c>
      <c r="K11" s="31">
        <f>HYPERLINK("01_STARTER/ST-012-EUR-03/02_EU_DoC.docx","Open")</f>
        <v/>
      </c>
    </row>
    <row r="12">
      <c r="A12" s="25" t="inlineStr">
        <is>
          <t>IA-PPWR-DOC-ST-018-EUR-01-R00</t>
        </is>
      </c>
      <c r="B12" s="25" t="inlineStr">
        <is>
          <t>ST-018-EUR-01</t>
        </is>
      </c>
      <c r="C12" s="25" t="inlineStr">
        <is>
          <t>IA-ST-018-EUR-01</t>
        </is>
      </c>
      <c r="D12" s="25" t="inlineStr">
        <is>
          <t>C | Palet (4000038): 1 adet | Köşebent (4001160): 4 adet</t>
        </is>
      </c>
      <c r="E12" s="25" t="inlineStr">
        <is>
          <t>C | Palet (4000038): 1 adet | Köşebent (4001160): 4 adet / C | Pallet (4000038): 1 pc | Edge protector (4001160): 4 pcs</t>
        </is>
      </c>
      <c r="F12" s="25" t="inlineStr">
        <is>
          <t>IA-ST-CFG-0012</t>
        </is>
      </c>
      <c r="G12" s="25" t="inlineStr">
        <is>
          <t>IA-PPWR-TF-ST-018-EUR-01-R00</t>
        </is>
      </c>
      <c r="H12" s="25" t="inlineStr">
        <is>
          <t>2026-08-08</t>
        </is>
      </c>
      <c r="I12" s="25" t="inlineStr">
        <is>
          <t>Rev.00</t>
        </is>
      </c>
      <c r="J12" s="25" t="inlineStr">
        <is>
          <t>ACTIVE — unsigned</t>
        </is>
      </c>
      <c r="K12" s="31">
        <f>HYPERLINK("01_STARTER/ST-018-EUR-01/02_EU_DoC.docx","Open")</f>
        <v/>
      </c>
    </row>
    <row r="13">
      <c r="A13" s="25" t="inlineStr">
        <is>
          <t>IA-PPWR-DOC-ST-018-EUR-02-R00</t>
        </is>
      </c>
      <c r="B13" s="25" t="inlineStr">
        <is>
          <t>ST-018-EUR-02</t>
        </is>
      </c>
      <c r="C13" s="25" t="inlineStr">
        <is>
          <t>IA-ST-018-EUR-02</t>
        </is>
      </c>
      <c r="D13" s="25" t="inlineStr">
        <is>
          <t>C | Palet (4000038): 1 adet | Köşebent (4000590): 4 adet</t>
        </is>
      </c>
      <c r="E13" s="25" t="inlineStr">
        <is>
          <t>C | Palet (4000038): 1 adet | Köşebent (4000590): 4 adet / C | Pallet (4000038): 1 pc | Edge protector (4000590): 4 pcs</t>
        </is>
      </c>
      <c r="F13" s="25" t="inlineStr">
        <is>
          <t>IA-ST-CFG-0013</t>
        </is>
      </c>
      <c r="G13" s="25" t="inlineStr">
        <is>
          <t>IA-PPWR-TF-ST-018-EUR-02-R00</t>
        </is>
      </c>
      <c r="H13" s="25" t="inlineStr">
        <is>
          <t>2026-08-08</t>
        </is>
      </c>
      <c r="I13" s="25" t="inlineStr">
        <is>
          <t>Rev.00</t>
        </is>
      </c>
      <c r="J13" s="25" t="inlineStr">
        <is>
          <t>ACTIVE — unsigned</t>
        </is>
      </c>
      <c r="K13" s="31">
        <f>HYPERLINK("01_STARTER/ST-018-EUR-02/02_EU_DoC.docx","Open")</f>
        <v/>
      </c>
    </row>
    <row r="14">
      <c r="A14" s="25" t="inlineStr">
        <is>
          <t>IA-PPWR-DOC-ST-018-EUR-03-R00</t>
        </is>
      </c>
      <c r="B14" s="25" t="inlineStr">
        <is>
          <t>ST-018-EUR-03</t>
        </is>
      </c>
      <c r="C14" s="25" t="inlineStr">
        <is>
          <t>IA-ST-018-EUR-03</t>
        </is>
      </c>
      <c r="D14" s="25" t="inlineStr">
        <is>
          <t>C | Palet (4000038): 1 adet | Shrink film (4000557): 1.08 kg | Köşebent (4000590): 2 adet</t>
        </is>
      </c>
      <c r="E14" s="25" t="inlineStr">
        <is>
          <t>C | Palet (4000038): 1 adet | Shrink film (4000557): 1.08 kg | Köşebent (4000590): 2 adet / C | Pallet (4000038): 1 pc | Shrink film (4000557): 1.08 kg | Edge protector (4000590): 2 pcs</t>
        </is>
      </c>
      <c r="F14" s="25" t="inlineStr">
        <is>
          <t>IA-ST-CFG-0014</t>
        </is>
      </c>
      <c r="G14" s="25" t="inlineStr">
        <is>
          <t>IA-PPWR-TF-ST-018-EUR-03-R00</t>
        </is>
      </c>
      <c r="H14" s="25" t="inlineStr">
        <is>
          <t>2026-08-08</t>
        </is>
      </c>
      <c r="I14" s="25" t="inlineStr">
        <is>
          <t>Rev.00</t>
        </is>
      </c>
      <c r="J14" s="25" t="inlineStr">
        <is>
          <t>ACTIVE — unsigned</t>
        </is>
      </c>
      <c r="K14" s="31">
        <f>HYPERLINK("01_STARTER/ST-018-EUR-03/02_EU_DoC.docx","Open")</f>
        <v/>
      </c>
    </row>
    <row r="15">
      <c r="A15" s="25" t="inlineStr">
        <is>
          <t>IA-PPWR-DOC-ST-018-EUR-04-R00</t>
        </is>
      </c>
      <c r="B15" s="25" t="inlineStr">
        <is>
          <t>ST-018-EUR-04</t>
        </is>
      </c>
      <c r="C15" s="25" t="inlineStr">
        <is>
          <t>IA-ST-018-EUR-04</t>
        </is>
      </c>
      <c r="D15" s="25" t="inlineStr">
        <is>
          <t>C | Palet (4000038): 1 adet | Honeycomb (4001186): 3 adet</t>
        </is>
      </c>
      <c r="E15" s="25" t="inlineStr">
        <is>
          <t>C | Palet (4000038): 1 adet | Honeycomb (4001186): 3 adet / C | Pallet (4000038): 1 pc | Honeycomb (4001186): 3 pcs</t>
        </is>
      </c>
      <c r="F15" s="25" t="inlineStr">
        <is>
          <t>IA-ST-CFG-0015</t>
        </is>
      </c>
      <c r="G15" s="25" t="inlineStr">
        <is>
          <t>IA-PPWR-TF-ST-018-EUR-04-R00</t>
        </is>
      </c>
      <c r="H15" s="25" t="inlineStr">
        <is>
          <t>2026-08-08</t>
        </is>
      </c>
      <c r="I15" s="25" t="inlineStr">
        <is>
          <t>Rev.00</t>
        </is>
      </c>
      <c r="J15" s="25" t="inlineStr">
        <is>
          <t>ACTIVE — unsigned</t>
        </is>
      </c>
      <c r="K15" s="31">
        <f>HYPERLINK("01_STARTER/ST-018-EUR-04/02_EU_DoC.docx","Open")</f>
        <v/>
      </c>
    </row>
    <row r="16">
      <c r="A16" s="25" t="inlineStr">
        <is>
          <t>IA-PPWR-DOC-ST-018-EUR-05-R00</t>
        </is>
      </c>
      <c r="B16" s="25" t="inlineStr">
        <is>
          <t>ST-018-EUR-05</t>
        </is>
      </c>
      <c r="C16" s="25" t="inlineStr">
        <is>
          <t>IA-ST-018-EUR-05</t>
        </is>
      </c>
      <c r="D16" s="25" t="inlineStr">
        <is>
          <t>C | Palet (4000038): 1 adet | Çember (4000450): kullanılmaz</t>
        </is>
      </c>
      <c r="E16" s="25" t="inlineStr">
        <is>
          <t>C | Palet (4000038): 1 adet | Çember (4000450): kullanılmaz / C | Pallet (4000038): 1 pc | Strap (4000450): not used</t>
        </is>
      </c>
      <c r="F16" s="25" t="inlineStr">
        <is>
          <t>IA-ST-CFG-0016</t>
        </is>
      </c>
      <c r="G16" s="25" t="inlineStr">
        <is>
          <t>IA-PPWR-TF-ST-018-EUR-05-R00</t>
        </is>
      </c>
      <c r="H16" s="25" t="inlineStr">
        <is>
          <t>2026-08-08</t>
        </is>
      </c>
      <c r="I16" s="25" t="inlineStr">
        <is>
          <t>Rev.00</t>
        </is>
      </c>
      <c r="J16" s="25" t="inlineStr">
        <is>
          <t>ACTIVE — unsigned</t>
        </is>
      </c>
      <c r="K16" s="31">
        <f>HYPERLINK("01_STARTER/ST-018-EUR-05/02_EU_DoC.docx","Open")</f>
        <v/>
      </c>
    </row>
    <row r="17">
      <c r="A17" s="25" t="inlineStr">
        <is>
          <t>IA-PPWR-DOC-ST-021-EUR-01-R00</t>
        </is>
      </c>
      <c r="B17" s="25" t="inlineStr">
        <is>
          <t>ST-021-EUR-01</t>
        </is>
      </c>
      <c r="C17" s="25" t="inlineStr">
        <is>
          <t>IA-ST-021-EUR-01</t>
        </is>
      </c>
      <c r="D17" s="25" t="inlineStr">
        <is>
          <t>B | B TİPİ PVC üst kapak (4000591): 21 adet</t>
        </is>
      </c>
      <c r="E17" s="25" t="inlineStr">
        <is>
          <t>B | B TİPİ PVC üst kapak (4000591): 21 adet / B | B TİPİ PVC upper cover (4000591): 21 pcs</t>
        </is>
      </c>
      <c r="F17" s="25" t="inlineStr">
        <is>
          <t>IA-ST-CFG-0027</t>
        </is>
      </c>
      <c r="G17" s="25" t="inlineStr">
        <is>
          <t>IA-PPWR-TF-ST-021-EUR-01-R00</t>
        </is>
      </c>
      <c r="H17" s="25" t="inlineStr">
        <is>
          <t>2026-08-08</t>
        </is>
      </c>
      <c r="I17" s="25" t="inlineStr">
        <is>
          <t>Rev.00</t>
        </is>
      </c>
      <c r="J17" s="25" t="inlineStr">
        <is>
          <t>ACTIVE — unsigned</t>
        </is>
      </c>
      <c r="K17" s="31">
        <f>HYPERLINK("01_STARTER/ST-021-EUR-01/02_EU_DoC.docx","Open")</f>
        <v/>
      </c>
    </row>
    <row r="18">
      <c r="A18" s="25" t="inlineStr">
        <is>
          <t>IA-PPWR-DOC-ST-021-EUR-02-R00</t>
        </is>
      </c>
      <c r="B18" s="25" t="inlineStr">
        <is>
          <t>ST-021-EUR-02</t>
        </is>
      </c>
      <c r="C18" s="25" t="inlineStr">
        <is>
          <t>IA-ST-021-EUR-02</t>
        </is>
      </c>
      <c r="D18" s="25" t="inlineStr">
        <is>
          <t>B | Palet (4000038): 1 adet | Köşebent (4000590): 4 adet</t>
        </is>
      </c>
      <c r="E18" s="25" t="inlineStr">
        <is>
          <t>B | Palet (4000038): 1 adet | Köşebent (4000590): 4 adet / B | Pallet (4000038): 1 pc | Edge protector (4000590): 4 pcs</t>
        </is>
      </c>
      <c r="F18" s="25" t="inlineStr">
        <is>
          <t>IA-ST-CFG-0028</t>
        </is>
      </c>
      <c r="G18" s="25" t="inlineStr">
        <is>
          <t>IA-PPWR-TF-ST-021-EUR-02-R00</t>
        </is>
      </c>
      <c r="H18" s="25" t="inlineStr">
        <is>
          <t>2026-08-08</t>
        </is>
      </c>
      <c r="I18" s="25" t="inlineStr">
        <is>
          <t>Rev.00</t>
        </is>
      </c>
      <c r="J18" s="25" t="inlineStr">
        <is>
          <t>ACTIVE — unsigned</t>
        </is>
      </c>
      <c r="K18" s="31">
        <f>HYPERLINK("01_STARTER/ST-021-EUR-02/02_EU_DoC.docx","Open")</f>
        <v/>
      </c>
    </row>
    <row r="19">
      <c r="A19" s="25" t="inlineStr">
        <is>
          <t>IA-PPWR-DOC-ST-021-EUR-03-R00</t>
        </is>
      </c>
      <c r="B19" s="25" t="inlineStr">
        <is>
          <t>ST-021-EUR-03</t>
        </is>
      </c>
      <c r="C19" s="25" t="inlineStr">
        <is>
          <t>IA-ST-021-EUR-03</t>
        </is>
      </c>
      <c r="D19" s="25" t="inlineStr">
        <is>
          <t>B | Palet (4000038): 1 adet | Shrink film (4000557): 1.155 kg | EPS (4001290): 21 adet</t>
        </is>
      </c>
      <c r="E19" s="25" t="inlineStr">
        <is>
          <t>B | Palet (4000038): 1 adet | Shrink film (4000557): 1.155 kg | EPS (4001290): 21 adet / B | Pallet (4000038): 1 pc | Shrink film (4000557): 1.155 kg | EPS (4001290): 21 pcs</t>
        </is>
      </c>
      <c r="F19" s="25" t="inlineStr">
        <is>
          <t>IA-ST-CFG-0029</t>
        </is>
      </c>
      <c r="G19" s="25" t="inlineStr">
        <is>
          <t>IA-PPWR-TF-ST-021-EUR-03-R00</t>
        </is>
      </c>
      <c r="H19" s="25" t="inlineStr">
        <is>
          <t>2026-08-08</t>
        </is>
      </c>
      <c r="I19" s="25" t="inlineStr">
        <is>
          <t>Rev.00</t>
        </is>
      </c>
      <c r="J19" s="25" t="inlineStr">
        <is>
          <t>ACTIVE — unsigned</t>
        </is>
      </c>
      <c r="K19" s="31">
        <f>HYPERLINK("01_STARTER/ST-021-EUR-03/02_EU_DoC.docx","Open")</f>
        <v/>
      </c>
    </row>
    <row r="20">
      <c r="A20" s="25" t="inlineStr">
        <is>
          <t>IA-PPWR-DOC-ST-021-EUR-04-R00</t>
        </is>
      </c>
      <c r="B20" s="25" t="inlineStr">
        <is>
          <t>ST-021-EUR-04</t>
        </is>
      </c>
      <c r="C20" s="25" t="inlineStr">
        <is>
          <t>IA-ST-021-EUR-04</t>
        </is>
      </c>
      <c r="D20" s="25" t="inlineStr">
        <is>
          <t>B | Palet (4000038): 1 adet | Honeycomb (4001186): 3 adet</t>
        </is>
      </c>
      <c r="E20" s="25" t="inlineStr">
        <is>
          <t>B | Palet (4000038): 1 adet | Honeycomb (4001186): 3 adet / B | Pallet (4000038): 1 pc | Honeycomb (4001186): 3 pcs</t>
        </is>
      </c>
      <c r="F20" s="25" t="inlineStr">
        <is>
          <t>IA-ST-CFG-0030</t>
        </is>
      </c>
      <c r="G20" s="25" t="inlineStr">
        <is>
          <t>IA-PPWR-TF-ST-021-EUR-04-R00</t>
        </is>
      </c>
      <c r="H20" s="25" t="inlineStr">
        <is>
          <t>2026-08-08</t>
        </is>
      </c>
      <c r="I20" s="25" t="inlineStr">
        <is>
          <t>Rev.00</t>
        </is>
      </c>
      <c r="J20" s="25" t="inlineStr">
        <is>
          <t>ACTIVE — unsigned</t>
        </is>
      </c>
      <c r="K20" s="31">
        <f>HYPERLINK("01_STARTER/ST-021-EUR-04/02_EU_DoC.docx","Open")</f>
        <v/>
      </c>
    </row>
    <row r="21">
      <c r="A21" s="25" t="inlineStr">
        <is>
          <t>IA-PPWR-DOC-ST-021-EUR-05-R00</t>
        </is>
      </c>
      <c r="B21" s="25" t="inlineStr">
        <is>
          <t>ST-021-EUR-05</t>
        </is>
      </c>
      <c r="C21" s="25" t="inlineStr">
        <is>
          <t>IA-ST-021-EUR-05</t>
        </is>
      </c>
      <c r="D21" s="25" t="inlineStr">
        <is>
          <t>B | Palet (4000038): 1 adet | Shrink film (4000557): kullanılmaz | Köşebent (4000590): 2 adet | EPS (4001290): 21 adet</t>
        </is>
      </c>
      <c r="E21" s="25" t="inlineStr">
        <is>
          <t>B | Palet (4000038): 1 adet | Shrink film (4000557): kullanılmaz | Köşebent (4000590): 2 adet | EPS (4001290): 21 adet / B | Pallet (4000038): 1 pc | Shrink film (4000557): not used | Edge protector (4000590): 2 pcs | EPS (4001290): 21 pcs</t>
        </is>
      </c>
      <c r="F21" s="25" t="inlineStr">
        <is>
          <t>IA-ST-CFG-0031</t>
        </is>
      </c>
      <c r="G21" s="25" t="inlineStr">
        <is>
          <t>IA-PPWR-TF-ST-021-EUR-05-R00</t>
        </is>
      </c>
      <c r="H21" s="25" t="inlineStr">
        <is>
          <t>2026-08-08</t>
        </is>
      </c>
      <c r="I21" s="25" t="inlineStr">
        <is>
          <t>Rev.00</t>
        </is>
      </c>
      <c r="J21" s="25" t="inlineStr">
        <is>
          <t>ACTIVE — unsigned</t>
        </is>
      </c>
      <c r="K21" s="31">
        <f>HYPERLINK("01_STARTER/ST-021-EUR-05/02_EU_DoC.docx","Open")</f>
        <v/>
      </c>
    </row>
    <row r="22">
      <c r="A22" s="25" t="inlineStr">
        <is>
          <t>IA-PPWR-DOC-ST-021-STD-01-R00</t>
        </is>
      </c>
      <c r="B22" s="25" t="inlineStr">
        <is>
          <t>ST-021-STD-01</t>
        </is>
      </c>
      <c r="C22" s="25" t="inlineStr">
        <is>
          <t>IA-ST-021-STD-01</t>
        </is>
      </c>
      <c r="D22" s="25" t="inlineStr">
        <is>
          <t>C | Palet (4000037): 1 adet | Streç ped (4000301): 0.175 kg</t>
        </is>
      </c>
      <c r="E22" s="25" t="inlineStr">
        <is>
          <t>C | Palet (4000037): 1 adet | Streç ped (4000301): 0.175 kg / C | Pallet (4000037): 1 pc | Stretch pad (4000301): 0.175 kg</t>
        </is>
      </c>
      <c r="F22" s="25" t="inlineStr">
        <is>
          <t>IA-ST-CFG-0020</t>
        </is>
      </c>
      <c r="G22" s="25" t="inlineStr">
        <is>
          <t>IA-PPWR-TF-ST-021-STD-01-R00</t>
        </is>
      </c>
      <c r="H22" s="25" t="inlineStr">
        <is>
          <t>2026-08-08</t>
        </is>
      </c>
      <c r="I22" s="25" t="inlineStr">
        <is>
          <t>Rev.00</t>
        </is>
      </c>
      <c r="J22" s="25" t="inlineStr">
        <is>
          <t>ACTIVE — unsigned</t>
        </is>
      </c>
      <c r="K22" s="31">
        <f>HYPERLINK("01_STARTER/ST-021-STD-01/02_EU_DoC.docx","Open")</f>
        <v/>
      </c>
    </row>
    <row r="23">
      <c r="A23" s="25" t="inlineStr">
        <is>
          <t>IA-PPWR-DOC-ST-021-STD-02-R00</t>
        </is>
      </c>
      <c r="B23" s="25" t="inlineStr">
        <is>
          <t>ST-021-STD-02</t>
        </is>
      </c>
      <c r="C23" s="25" t="inlineStr">
        <is>
          <t>IA-ST-021-STD-02</t>
        </is>
      </c>
      <c r="D23" s="25" t="inlineStr">
        <is>
          <t>C | Palet (4000037): 1 adet | Köşebent (4000590): 4 adet</t>
        </is>
      </c>
      <c r="E23" s="25" t="inlineStr">
        <is>
          <t>C | Palet (4000037): 1 adet | Köşebent (4000590): 4 adet / C | Pallet (4000037): 1 pc | Edge protector (4000590): 4 pcs</t>
        </is>
      </c>
      <c r="F23" s="25" t="inlineStr">
        <is>
          <t>IA-ST-CFG-0021</t>
        </is>
      </c>
      <c r="G23" s="25" t="inlineStr">
        <is>
          <t>IA-PPWR-TF-ST-021-STD-02-R00</t>
        </is>
      </c>
      <c r="H23" s="25" t="inlineStr">
        <is>
          <t>2026-08-08</t>
        </is>
      </c>
      <c r="I23" s="25" t="inlineStr">
        <is>
          <t>Rev.00</t>
        </is>
      </c>
      <c r="J23" s="25" t="inlineStr">
        <is>
          <t>ACTIVE — unsigned</t>
        </is>
      </c>
      <c r="K23" s="31">
        <f>HYPERLINK("01_STARTER/ST-021-STD-02/02_EU_DoC.docx","Open")</f>
        <v/>
      </c>
    </row>
    <row r="24">
      <c r="A24" s="25" t="inlineStr">
        <is>
          <t>IA-PPWR-DOC-ST-021-STD-03-R00</t>
        </is>
      </c>
      <c r="B24" s="25" t="inlineStr">
        <is>
          <t>ST-021-STD-03</t>
        </is>
      </c>
      <c r="C24" s="25" t="inlineStr">
        <is>
          <t>IA-ST-021-STD-03</t>
        </is>
      </c>
      <c r="D24" s="25" t="inlineStr">
        <is>
          <t>C | Palet (4000037): 1 adet | Streç ped (4000301): 0.186 kg | Köşebent (4000590): 2 adet</t>
        </is>
      </c>
      <c r="E24" s="25" t="inlineStr">
        <is>
          <t>C | Palet (4000037): 1 adet | Streç ped (4000301): 0.186 kg | Köşebent (4000590): 2 adet / C | Pallet (4000037): 1 pc | Stretch pad (4000301): 0.186 kg | Edge protector (4000590): 2 pcs</t>
        </is>
      </c>
      <c r="F24" s="25" t="inlineStr">
        <is>
          <t>IA-ST-CFG-0023</t>
        </is>
      </c>
      <c r="G24" s="25" t="inlineStr">
        <is>
          <t>IA-PPWR-TF-ST-021-STD-03-R00</t>
        </is>
      </c>
      <c r="H24" s="25" t="inlineStr">
        <is>
          <t>2026-08-08</t>
        </is>
      </c>
      <c r="I24" s="25" t="inlineStr">
        <is>
          <t>Rev.00</t>
        </is>
      </c>
      <c r="J24" s="25" t="inlineStr">
        <is>
          <t>ACTIVE — unsigned</t>
        </is>
      </c>
      <c r="K24" s="31">
        <f>HYPERLINK("01_STARTER/ST-021-STD-03/02_EU_DoC.docx","Open")</f>
        <v/>
      </c>
    </row>
    <row r="25">
      <c r="A25" s="25" t="inlineStr">
        <is>
          <t>IA-PPWR-DOC-ST-021-STD-04-R00</t>
        </is>
      </c>
      <c r="B25" s="25" t="inlineStr">
        <is>
          <t>ST-021-STD-04</t>
        </is>
      </c>
      <c r="C25" s="25" t="inlineStr">
        <is>
          <t>IA-ST-021-STD-04</t>
        </is>
      </c>
      <c r="D25" s="25" t="inlineStr">
        <is>
          <t>C | Palet (4000037): 1 adet | Çember (4000450): kullanılmaz</t>
        </is>
      </c>
      <c r="E25" s="25" t="inlineStr">
        <is>
          <t>C | Palet (4000037): 1 adet | Çember (4000450): kullanılmaz / C | Pallet (4000037): 1 pc | Strap (4000450): not used</t>
        </is>
      </c>
      <c r="F25" s="25" t="inlineStr">
        <is>
          <t>IA-ST-CFG-0024</t>
        </is>
      </c>
      <c r="G25" s="25" t="inlineStr">
        <is>
          <t>IA-PPWR-TF-ST-021-STD-04-R00</t>
        </is>
      </c>
      <c r="H25" s="25" t="inlineStr">
        <is>
          <t>2026-08-08</t>
        </is>
      </c>
      <c r="I25" s="25" t="inlineStr">
        <is>
          <t>Rev.00</t>
        </is>
      </c>
      <c r="J25" s="25" t="inlineStr">
        <is>
          <t>ACTIVE — unsigned</t>
        </is>
      </c>
      <c r="K25" s="31">
        <f>HYPERLINK("01_STARTER/ST-021-STD-04/02_EU_DoC.docx","Open")</f>
        <v/>
      </c>
    </row>
    <row r="26">
      <c r="A26" s="25" t="inlineStr">
        <is>
          <t>IA-PPWR-DOC-ST-021-STD-05-R00</t>
        </is>
      </c>
      <c r="B26" s="25" t="inlineStr">
        <is>
          <t>ST-021-STD-05</t>
        </is>
      </c>
      <c r="C26" s="25" t="inlineStr">
        <is>
          <t>IA-ST-021-STD-05</t>
        </is>
      </c>
      <c r="D26" s="25" t="inlineStr">
        <is>
          <t>C | Palet (4000037): 1 adet | Shrink film (4001177): 0.597 kg</t>
        </is>
      </c>
      <c r="E26" s="25" t="inlineStr">
        <is>
          <t>C | Palet (4000037): 1 adet | Shrink film (4001177): 0.597 kg / C | Pallet (4000037): 1 pc | Shrink film (4001177): 0.597 kg</t>
        </is>
      </c>
      <c r="F26" s="25" t="inlineStr">
        <is>
          <t>IA-ST-CFG-0025</t>
        </is>
      </c>
      <c r="G26" s="25" t="inlineStr">
        <is>
          <t>IA-PPWR-TF-ST-021-STD-05-R00</t>
        </is>
      </c>
      <c r="H26" s="25" t="inlineStr">
        <is>
          <t>2026-08-08</t>
        </is>
      </c>
      <c r="I26" s="25" t="inlineStr">
        <is>
          <t>Rev.00</t>
        </is>
      </c>
      <c r="J26" s="25" t="inlineStr">
        <is>
          <t>ACTIVE — unsigned</t>
        </is>
      </c>
      <c r="K26" s="31">
        <f>HYPERLINK("01_STARTER/ST-021-STD-05/02_EU_DoC.docx","Open")</f>
        <v/>
      </c>
    </row>
    <row r="27">
      <c r="A27" s="25" t="inlineStr">
        <is>
          <t>IA-PPWR-DOC-ST-024-EUR-01-R00</t>
        </is>
      </c>
      <c r="B27" s="25" t="inlineStr">
        <is>
          <t>ST-024-EUR-01</t>
        </is>
      </c>
      <c r="C27" s="25" t="inlineStr">
        <is>
          <t>IA-ST-024-EUR-01</t>
        </is>
      </c>
      <c r="D27" s="25" t="inlineStr">
        <is>
          <t>TRACTOR | Palet (4000038): 1 adet | Honeycomb (4001186): 2 adet</t>
        </is>
      </c>
      <c r="E27" s="25" t="inlineStr">
        <is>
          <t>TRACTOR | Palet (4000038): 1 adet | Honeycomb (4001186): 2 adet / TRACTOR | Pallet (4000038): 1 pc | Honeycomb (4001186): 2 pcs</t>
        </is>
      </c>
      <c r="F27" s="25" t="inlineStr">
        <is>
          <t>IA-ST-CFG-0035</t>
        </is>
      </c>
      <c r="G27" s="25" t="inlineStr">
        <is>
          <t>IA-PPWR-TF-ST-024-EUR-01-R00</t>
        </is>
      </c>
      <c r="H27" s="25" t="inlineStr">
        <is>
          <t>2026-08-08</t>
        </is>
      </c>
      <c r="I27" s="25" t="inlineStr">
        <is>
          <t>Rev.00</t>
        </is>
      </c>
      <c r="J27" s="25" t="inlineStr">
        <is>
          <t>ACTIVE — unsigned</t>
        </is>
      </c>
      <c r="K27" s="31">
        <f>HYPERLINK("01_STARTER/ST-024-EUR-01/02_EU_DoC.docx","Open")</f>
        <v/>
      </c>
    </row>
    <row r="28">
      <c r="A28" s="25" t="inlineStr">
        <is>
          <t>IA-PPWR-DOC-ST-024-EUR-02-R00</t>
        </is>
      </c>
      <c r="B28" s="25" t="inlineStr">
        <is>
          <t>ST-024-EUR-02</t>
        </is>
      </c>
      <c r="C28" s="25" t="inlineStr">
        <is>
          <t>IA-ST-024-EUR-02</t>
        </is>
      </c>
      <c r="D28" s="25" t="inlineStr">
        <is>
          <t>A | A TİPİ VAKUM PVC PVC üst kapak (4000720): 24 adet</t>
        </is>
      </c>
      <c r="E28" s="25" t="inlineStr">
        <is>
          <t>A | A TİPİ VAKUM PVC PVC üst kapak (4000720): 24 adet / A | A TİPİ VAKUM PVC PVC upper cover (4000720): 24 pcs</t>
        </is>
      </c>
      <c r="F28" s="25" t="inlineStr">
        <is>
          <t>IA-ST-CFG-0037</t>
        </is>
      </c>
      <c r="G28" s="25" t="inlineStr">
        <is>
          <t>IA-PPWR-TF-ST-024-EUR-02-R00</t>
        </is>
      </c>
      <c r="H28" s="25" t="inlineStr">
        <is>
          <t>2026-08-08</t>
        </is>
      </c>
      <c r="I28" s="25" t="inlineStr">
        <is>
          <t>Rev.00</t>
        </is>
      </c>
      <c r="J28" s="25" t="inlineStr">
        <is>
          <t>ACTIVE — unsigned</t>
        </is>
      </c>
      <c r="K28" s="31">
        <f>HYPERLINK("01_STARTER/ST-024-EUR-02/02_EU_DoC.docx","Open")</f>
        <v/>
      </c>
    </row>
    <row r="29">
      <c r="A29" s="25" t="inlineStr">
        <is>
          <t>IA-PPWR-DOC-ST-024-EUR-03-R00</t>
        </is>
      </c>
      <c r="B29" s="25" t="inlineStr">
        <is>
          <t>ST-024-EUR-03</t>
        </is>
      </c>
      <c r="C29" s="25" t="inlineStr">
        <is>
          <t>IA-ST-024-EUR-03</t>
        </is>
      </c>
      <c r="D29" s="25" t="inlineStr">
        <is>
          <t>A | Palet (4000038): 1 adet | Köşebent (4000590): 4 adet</t>
        </is>
      </c>
      <c r="E29" s="25" t="inlineStr">
        <is>
          <t>A | Palet (4000038): 1 adet | Köşebent (4000590): 4 adet / A | Pallet (4000038): 1 pc | Edge protector (4000590): 4 pcs</t>
        </is>
      </c>
      <c r="F29" s="25" t="inlineStr">
        <is>
          <t>IA-ST-CFG-0038</t>
        </is>
      </c>
      <c r="G29" s="25" t="inlineStr">
        <is>
          <t>IA-PPWR-TF-ST-024-EUR-03-R00</t>
        </is>
      </c>
      <c r="H29" s="25" t="inlineStr">
        <is>
          <t>2026-08-08</t>
        </is>
      </c>
      <c r="I29" s="25" t="inlineStr">
        <is>
          <t>Rev.00</t>
        </is>
      </c>
      <c r="J29" s="25" t="inlineStr">
        <is>
          <t>ACTIVE — unsigned</t>
        </is>
      </c>
      <c r="K29" s="31">
        <f>HYPERLINK("01_STARTER/ST-024-EUR-03/02_EU_DoC.docx","Open")</f>
        <v/>
      </c>
    </row>
    <row r="30">
      <c r="A30" s="25" t="inlineStr">
        <is>
          <t>IA-PPWR-DOC-ST-024-EUR-04-R00</t>
        </is>
      </c>
      <c r="B30" s="25" t="inlineStr">
        <is>
          <t>ST-024-EUR-04</t>
        </is>
      </c>
      <c r="C30" s="25" t="inlineStr">
        <is>
          <t>IA-ST-024-EUR-04</t>
        </is>
      </c>
      <c r="D30" s="25" t="inlineStr">
        <is>
          <t>A | Palet (4000038): 1 adet | Köşebent (4000590): 2 adet</t>
        </is>
      </c>
      <c r="E30" s="25" t="inlineStr">
        <is>
          <t>A | Palet (4000038): 1 adet | Köşebent (4000590): 2 adet / A | Pallet (4000038): 1 pc | Edge protector (4000590): 2 pcs</t>
        </is>
      </c>
      <c r="F30" s="25" t="inlineStr">
        <is>
          <t>IA-ST-CFG-0039</t>
        </is>
      </c>
      <c r="G30" s="25" t="inlineStr">
        <is>
          <t>IA-PPWR-TF-ST-024-EUR-04-R00</t>
        </is>
      </c>
      <c r="H30" s="25" t="inlineStr">
        <is>
          <t>2026-08-08</t>
        </is>
      </c>
      <c r="I30" s="25" t="inlineStr">
        <is>
          <t>Rev.00</t>
        </is>
      </c>
      <c r="J30" s="25" t="inlineStr">
        <is>
          <t>ACTIVE — unsigned</t>
        </is>
      </c>
      <c r="K30" s="31">
        <f>HYPERLINK("01_STARTER/ST-024-EUR-04/02_EU_DoC.docx","Open")</f>
        <v/>
      </c>
    </row>
    <row r="31">
      <c r="A31" s="25" t="inlineStr">
        <is>
          <t>IA-PPWR-DOC-ST-024-STD-01-R00</t>
        </is>
      </c>
      <c r="B31" s="25" t="inlineStr">
        <is>
          <t>ST-024-STD-01</t>
        </is>
      </c>
      <c r="C31" s="25" t="inlineStr">
        <is>
          <t>IA-ST-024-STD-01</t>
        </is>
      </c>
      <c r="D31" s="25" t="inlineStr">
        <is>
          <t>C | Palet (4000037): 1 adet | EPS (4001281): 24 adet</t>
        </is>
      </c>
      <c r="E31" s="25" t="inlineStr">
        <is>
          <t>C | Palet (4000037): 1 adet | EPS (4001281): 24 adet / C | Pallet (4000037): 1 pc | EPS (4001281): 24 pcs</t>
        </is>
      </c>
      <c r="F31" s="25" t="inlineStr">
        <is>
          <t>IA-ST-CFG-0034</t>
        </is>
      </c>
      <c r="G31" s="25" t="inlineStr">
        <is>
          <t>IA-PPWR-TF-ST-024-STD-01-R00</t>
        </is>
      </c>
      <c r="H31" s="25" t="inlineStr">
        <is>
          <t>2026-08-08</t>
        </is>
      </c>
      <c r="I31" s="25" t="inlineStr">
        <is>
          <t>Rev.00</t>
        </is>
      </c>
      <c r="J31" s="25" t="inlineStr">
        <is>
          <t>ACTIVE — unsigned</t>
        </is>
      </c>
      <c r="K31" s="31">
        <f>HYPERLINK("01_STARTER/ST-024-STD-01/02_EU_DoC.docx","Open")</f>
        <v/>
      </c>
    </row>
    <row r="32">
      <c r="A32" s="25" t="inlineStr">
        <is>
          <t>IA-PPWR-DOC-ST-027-STD90-01-R00</t>
        </is>
      </c>
      <c r="B32" s="25" t="inlineStr">
        <is>
          <t>ST-027-STD90-01</t>
        </is>
      </c>
      <c r="C32" s="25" t="inlineStr">
        <is>
          <t>IA-ST-027-STD90-01</t>
        </is>
      </c>
      <c r="D32" s="25" t="inlineStr">
        <is>
          <t>TANK | TANK PVC üst kapak (4000493): 27 adet | Çember (4000450): 7 m</t>
        </is>
      </c>
      <c r="E32" s="25" t="inlineStr">
        <is>
          <t>TANK | TANK PVC üst kapak (4000493): 27 adet | Çember (4000450): 7 m / TANK | TANK PVC upper cover (4000493): 27 pcs | Strap (4000450): 7 m</t>
        </is>
      </c>
      <c r="F32" s="25" t="inlineStr">
        <is>
          <t>IA-ST-CFG-0043</t>
        </is>
      </c>
      <c r="G32" s="25" t="inlineStr">
        <is>
          <t>IA-PPWR-TF-ST-027-STD90-01-R00</t>
        </is>
      </c>
      <c r="H32" s="25" t="inlineStr">
        <is>
          <t>2026-08-08</t>
        </is>
      </c>
      <c r="I32" s="25" t="inlineStr">
        <is>
          <t>Rev.00</t>
        </is>
      </c>
      <c r="J32" s="25" t="inlineStr">
        <is>
          <t>ACTIVE — unsigned</t>
        </is>
      </c>
      <c r="K32" s="31">
        <f>HYPERLINK("01_STARTER/ST-027-STD90-01/02_EU_DoC.docx","Open")</f>
        <v/>
      </c>
    </row>
    <row r="33">
      <c r="A33" s="25" t="inlineStr">
        <is>
          <t>IA-PPWR-DOC-ST-027-STD90-02-R00</t>
        </is>
      </c>
      <c r="B33" s="25" t="inlineStr">
        <is>
          <t>ST-027-STD90-02</t>
        </is>
      </c>
      <c r="C33" s="25" t="inlineStr">
        <is>
          <t>IA-ST-027-STD90-02</t>
        </is>
      </c>
      <c r="D33" s="25" t="inlineStr">
        <is>
          <t>TANK | TANK PVC üst kapak (4000493): 27 adet | Çember (4000450): kullanılmaz</t>
        </is>
      </c>
      <c r="E33" s="25" t="inlineStr">
        <is>
          <t>TANK | TANK PVC üst kapak (4000493): 27 adet | Çember (4000450): kullanılmaz / TANK | TANK PVC upper cover (4000493): 27 pcs | Strap (4000450): not used</t>
        </is>
      </c>
      <c r="F33" s="25" t="inlineStr">
        <is>
          <t>IA-ST-CFG-0044</t>
        </is>
      </c>
      <c r="G33" s="25" t="inlineStr">
        <is>
          <t>IA-PPWR-TF-ST-027-STD90-02-R00</t>
        </is>
      </c>
      <c r="H33" s="25" t="inlineStr">
        <is>
          <t>2026-08-08</t>
        </is>
      </c>
      <c r="I33" s="25" t="inlineStr">
        <is>
          <t>Rev.00</t>
        </is>
      </c>
      <c r="J33" s="25" t="inlineStr">
        <is>
          <t>ACTIVE — unsigned</t>
        </is>
      </c>
      <c r="K33" s="31">
        <f>HYPERLINK("01_STARTER/ST-027-STD90-02/02_EU_DoC.docx","Open")</f>
        <v/>
      </c>
    </row>
    <row r="34">
      <c r="A34" s="25" t="inlineStr">
        <is>
          <t>IA-PPWR-DOC-ST-028-STD-01-R00</t>
        </is>
      </c>
      <c r="B34" s="25" t="inlineStr">
        <is>
          <t>ST-028-STD-01</t>
        </is>
      </c>
      <c r="C34" s="25" t="inlineStr">
        <is>
          <t>IA-ST-028-STD-01</t>
        </is>
      </c>
      <c r="D34" s="25" t="inlineStr">
        <is>
          <t>L6 | Palet (4000037): 1 adet | Shrink film (4000608): 1.12 kg</t>
        </is>
      </c>
      <c r="E34" s="25" t="inlineStr">
        <is>
          <t>L6 | Palet (4000037): 1 adet | Shrink film (4000608): 1.12 kg / L6 | Pallet (4000037): 1 pc | Shrink film (4000608): 1.12 kg</t>
        </is>
      </c>
      <c r="F34" s="25" t="inlineStr">
        <is>
          <t>IA-ST-CFG-0045</t>
        </is>
      </c>
      <c r="G34" s="25" t="inlineStr">
        <is>
          <t>IA-PPWR-TF-ST-028-STD-01-R00</t>
        </is>
      </c>
      <c r="H34" s="25" t="inlineStr">
        <is>
          <t>2026-08-08</t>
        </is>
      </c>
      <c r="I34" s="25" t="inlineStr">
        <is>
          <t>Rev.00</t>
        </is>
      </c>
      <c r="J34" s="25" t="inlineStr">
        <is>
          <t>ACTIVE — unsigned</t>
        </is>
      </c>
      <c r="K34" s="31">
        <f>HYPERLINK("01_STARTER/ST-028-STD-01/02_EU_DoC.docx","Open")</f>
        <v/>
      </c>
    </row>
    <row r="35">
      <c r="A35" s="25" t="inlineStr">
        <is>
          <t>IA-PPWR-DOC-ST-030-STD-01-R00</t>
        </is>
      </c>
      <c r="B35" s="25" t="inlineStr">
        <is>
          <t>ST-030-STD-01</t>
        </is>
      </c>
      <c r="C35" s="25" t="inlineStr">
        <is>
          <t>IA-ST-030-STD-01</t>
        </is>
      </c>
      <c r="D35" s="25" t="inlineStr">
        <is>
          <t>L5 | Palet (4000037): 1 adet | Shrink film (4000608): 1.2 kg</t>
        </is>
      </c>
      <c r="E35" s="25" t="inlineStr">
        <is>
          <t>L5 | Palet (4000037): 1 adet | Shrink film (4000608): 1.2 kg / L5 | Pallet (4000037): 1 pc | Shrink film (4000608): 1.2 kg</t>
        </is>
      </c>
      <c r="F35" s="25" t="inlineStr">
        <is>
          <t>IA-ST-CFG-0046</t>
        </is>
      </c>
      <c r="G35" s="25" t="inlineStr">
        <is>
          <t>IA-PPWR-TF-ST-030-STD-01-R00</t>
        </is>
      </c>
      <c r="H35" s="25" t="inlineStr">
        <is>
          <t>2026-08-08</t>
        </is>
      </c>
      <c r="I35" s="25" t="inlineStr">
        <is>
          <t>Rev.00</t>
        </is>
      </c>
      <c r="J35" s="25" t="inlineStr">
        <is>
          <t>ACTIVE — unsigned</t>
        </is>
      </c>
      <c r="K35" s="31">
        <f>HYPERLINK("01_STARTER/ST-030-STD-01/02_EU_DoC.docx","Open")</f>
        <v/>
      </c>
    </row>
    <row r="36">
      <c r="A36" s="25" t="inlineStr">
        <is>
          <t>IA-PPWR-DOC-ST-030-STD-02-R00</t>
        </is>
      </c>
      <c r="B36" s="25" t="inlineStr">
        <is>
          <t>ST-030-STD-02</t>
        </is>
      </c>
      <c r="C36" s="25" t="inlineStr">
        <is>
          <t>IA-ST-030-STD-02</t>
        </is>
      </c>
      <c r="D36" s="25" t="inlineStr">
        <is>
          <t>A | Palet (4000037): 1 adet | Shrink film (4000557): 1.65 kg | Köşebent (4000590): 4 adet</t>
        </is>
      </c>
      <c r="E36" s="25" t="inlineStr">
        <is>
          <t>A | Palet (4000037): 1 adet | Shrink film (4000557): 1.65 kg | Köşebent (4000590): 4 adet / A | Pallet (4000037): 1 pc | Shrink film (4000557): 1.65 kg | Edge protector (4000590): 4 pcs</t>
        </is>
      </c>
      <c r="F36" s="25" t="inlineStr">
        <is>
          <t>IA-ST-CFG-0047</t>
        </is>
      </c>
      <c r="G36" s="25" t="inlineStr">
        <is>
          <t>IA-PPWR-TF-ST-030-STD-02-R00</t>
        </is>
      </c>
      <c r="H36" s="25" t="inlineStr">
        <is>
          <t>2026-08-08</t>
        </is>
      </c>
      <c r="I36" s="25" t="inlineStr">
        <is>
          <t>Rev.00</t>
        </is>
      </c>
      <c r="J36" s="25" t="inlineStr">
        <is>
          <t>ACTIVE — unsigned</t>
        </is>
      </c>
      <c r="K36" s="31">
        <f>HYPERLINK("01_STARTER/ST-030-STD-02/02_EU_DoC.docx","Open")</f>
        <v/>
      </c>
    </row>
    <row r="37">
      <c r="A37" s="25" t="inlineStr">
        <is>
          <t>IA-PPWR-DOC-ST-030-STD-03-R00</t>
        </is>
      </c>
      <c r="B37" s="25" t="inlineStr">
        <is>
          <t>ST-030-STD-03</t>
        </is>
      </c>
      <c r="C37" s="25" t="inlineStr">
        <is>
          <t>IA-ST-030-STD-03</t>
        </is>
      </c>
      <c r="D37" s="25" t="inlineStr">
        <is>
          <t>B | Palet (4000037): 1 adet | Shrink film (4000557): 1.65 kg | Köşebent (4000590): 4 adet</t>
        </is>
      </c>
      <c r="E37" s="25" t="inlineStr">
        <is>
          <t>B | Palet (4000037): 1 adet | Shrink film (4000557): 1.65 kg | Köşebent (4000590): 4 adet / B | Pallet (4000037): 1 pc | Shrink film (4000557): 1.65 kg | Edge protector (4000590): 4 pcs</t>
        </is>
      </c>
      <c r="F37" s="25" t="inlineStr">
        <is>
          <t>IA-ST-CFG-0048</t>
        </is>
      </c>
      <c r="G37" s="25" t="inlineStr">
        <is>
          <t>IA-PPWR-TF-ST-030-STD-03-R00</t>
        </is>
      </c>
      <c r="H37" s="25" t="inlineStr">
        <is>
          <t>2026-08-08</t>
        </is>
      </c>
      <c r="I37" s="25" t="inlineStr">
        <is>
          <t>Rev.00</t>
        </is>
      </c>
      <c r="J37" s="25" t="inlineStr">
        <is>
          <t>ACTIVE — unsigned</t>
        </is>
      </c>
      <c r="K37" s="31">
        <f>HYPERLINK("01_STARTER/ST-030-STD-03/02_EU_DoC.docx","Open")</f>
        <v/>
      </c>
    </row>
    <row r="38">
      <c r="A38" s="25" t="inlineStr">
        <is>
          <t>IA-PPWR-DOC-ST-030-STD-04-R00</t>
        </is>
      </c>
      <c r="B38" s="25" t="inlineStr">
        <is>
          <t>ST-030-STD-04</t>
        </is>
      </c>
      <c r="C38" s="25" t="inlineStr">
        <is>
          <t>IA-ST-030-STD-04</t>
        </is>
      </c>
      <c r="D38" s="25" t="inlineStr">
        <is>
          <t>A | Palet (4000037): 1 adet | Shrink film (4000557): kullanılmaz | Köşebent (4000590): 4 adet</t>
        </is>
      </c>
      <c r="E38" s="25" t="inlineStr">
        <is>
          <t>A | Palet (4000037): 1 adet | Shrink film (4000557): kullanılmaz | Köşebent (4000590): 4 adet / A | Pallet (4000037): 1 pc | Shrink film (4000557): not used | Edge protector (4000590): 4 pcs</t>
        </is>
      </c>
      <c r="F38" s="25" t="inlineStr">
        <is>
          <t>IA-ST-CFG-0049</t>
        </is>
      </c>
      <c r="G38" s="25" t="inlineStr">
        <is>
          <t>IA-PPWR-TF-ST-030-STD-04-R00</t>
        </is>
      </c>
      <c r="H38" s="25" t="inlineStr">
        <is>
          <t>2026-08-08</t>
        </is>
      </c>
      <c r="I38" s="25" t="inlineStr">
        <is>
          <t>Rev.00</t>
        </is>
      </c>
      <c r="J38" s="25" t="inlineStr">
        <is>
          <t>ACTIVE — unsigned</t>
        </is>
      </c>
      <c r="K38" s="31">
        <f>HYPERLINK("01_STARTER/ST-030-STD-04/02_EU_DoC.docx","Open")</f>
        <v/>
      </c>
    </row>
    <row r="39">
      <c r="A39" s="25" t="inlineStr">
        <is>
          <t>IA-PPWR-DOC-ST-030-STD-05-R00</t>
        </is>
      </c>
      <c r="B39" s="25" t="inlineStr">
        <is>
          <t>ST-030-STD-05</t>
        </is>
      </c>
      <c r="C39" s="25" t="inlineStr">
        <is>
          <t>IA-ST-030-STD-05</t>
        </is>
      </c>
      <c r="D39" s="25" t="inlineStr">
        <is>
          <t>A | Palet (4000037): 1 adet | Köşebent (4000590): 2 adet</t>
        </is>
      </c>
      <c r="E39" s="25" t="inlineStr">
        <is>
          <t>A | Palet (4000037): 1 adet | Köşebent (4000590): 2 adet / A | Pallet (4000037): 1 pc | Edge protector (4000590): 2 pcs</t>
        </is>
      </c>
      <c r="F39" s="25" t="inlineStr">
        <is>
          <t>IA-ST-CFG-0051</t>
        </is>
      </c>
      <c r="G39" s="25" t="inlineStr">
        <is>
          <t>IA-PPWR-TF-ST-030-STD-05-R00</t>
        </is>
      </c>
      <c r="H39" s="25" t="inlineStr">
        <is>
          <t>2026-08-08</t>
        </is>
      </c>
      <c r="I39" s="25" t="inlineStr">
        <is>
          <t>Rev.00</t>
        </is>
      </c>
      <c r="J39" s="25" t="inlineStr">
        <is>
          <t>ACTIVE — unsigned</t>
        </is>
      </c>
      <c r="K39" s="31">
        <f>HYPERLINK("01_STARTER/ST-030-STD-05/02_EU_DoC.docx","Open")</f>
        <v/>
      </c>
    </row>
    <row r="40">
      <c r="A40" s="25" t="inlineStr">
        <is>
          <t>IA-PPWR-DOC-ST-030-STD-06-R00</t>
        </is>
      </c>
      <c r="B40" s="25" t="inlineStr">
        <is>
          <t>ST-030-STD-06</t>
        </is>
      </c>
      <c r="C40" s="25" t="inlineStr">
        <is>
          <t>IA-ST-030-STD-06</t>
        </is>
      </c>
      <c r="D40" s="25" t="inlineStr">
        <is>
          <t>B | Palet (4000037): 1 adet | Köşebent (4000590): 2 adet</t>
        </is>
      </c>
      <c r="E40" s="25" t="inlineStr">
        <is>
          <t>B | Palet (4000037): 1 adet | Köşebent (4000590): 2 adet / B | Pallet (4000037): 1 pc | Edge protector (4000590): 2 pcs</t>
        </is>
      </c>
      <c r="F40" s="25" t="inlineStr">
        <is>
          <t>IA-ST-CFG-0052</t>
        </is>
      </c>
      <c r="G40" s="25" t="inlineStr">
        <is>
          <t>IA-PPWR-TF-ST-030-STD-06-R00</t>
        </is>
      </c>
      <c r="H40" s="25" t="inlineStr">
        <is>
          <t>2026-08-08</t>
        </is>
      </c>
      <c r="I40" s="25" t="inlineStr">
        <is>
          <t>Rev.00</t>
        </is>
      </c>
      <c r="J40" s="25" t="inlineStr">
        <is>
          <t>ACTIVE — unsigned</t>
        </is>
      </c>
      <c r="K40" s="31">
        <f>HYPERLINK("01_STARTER/ST-030-STD-06/02_EU_DoC.docx","Open")</f>
        <v/>
      </c>
    </row>
    <row r="41">
      <c r="A41" s="25" t="inlineStr">
        <is>
          <t>IA-PPWR-DOC-ST-030-STD-07-R00</t>
        </is>
      </c>
      <c r="B41" s="25" t="inlineStr">
        <is>
          <t>ST-030-STD-07</t>
        </is>
      </c>
      <c r="C41" s="25" t="inlineStr">
        <is>
          <t>IA-ST-030-STD-07</t>
        </is>
      </c>
      <c r="D41" s="25" t="inlineStr">
        <is>
          <t>B | Palet (4000037): 1 adet | Çember (4000450): 7 m | Köşebent (4000590): 4 adet</t>
        </is>
      </c>
      <c r="E41" s="25" t="inlineStr">
        <is>
          <t>B | Palet (4000037): 1 adet | Çember (4000450): 7 m | Köşebent (4000590): 4 adet / B | Pallet (4000037): 1 pc | Strap (4000450): 7 m | Edge protector (4000590): 4 pcs</t>
        </is>
      </c>
      <c r="F41" s="25" t="inlineStr">
        <is>
          <t>IA-ST-CFG-0053</t>
        </is>
      </c>
      <c r="G41" s="25" t="inlineStr">
        <is>
          <t>IA-PPWR-TF-ST-030-STD-07-R00</t>
        </is>
      </c>
      <c r="H41" s="25" t="inlineStr">
        <is>
          <t>2026-08-08</t>
        </is>
      </c>
      <c r="I41" s="25" t="inlineStr">
        <is>
          <t>Rev.00</t>
        </is>
      </c>
      <c r="J41" s="25" t="inlineStr">
        <is>
          <t>ACTIVE — unsigned</t>
        </is>
      </c>
      <c r="K41" s="31">
        <f>HYPERLINK("01_STARTER/ST-030-STD-07/02_EU_DoC.docx","Open")</f>
        <v/>
      </c>
    </row>
    <row r="42">
      <c r="A42" s="25" t="inlineStr">
        <is>
          <t>IA-PPWR-DOC-ST-030-STD-08-R00</t>
        </is>
      </c>
      <c r="B42" s="25" t="inlineStr">
        <is>
          <t>ST-030-STD-08</t>
        </is>
      </c>
      <c r="C42" s="25" t="inlineStr">
        <is>
          <t>IA-ST-030-STD-08</t>
        </is>
      </c>
      <c r="D42" s="25" t="inlineStr">
        <is>
          <t>A | Palet (4000037): 1 adet | Çember (4000450): kullanılmaz</t>
        </is>
      </c>
      <c r="E42" s="25" t="inlineStr">
        <is>
          <t>A | Palet (4000037): 1 adet | Çember (4000450): kullanılmaz / A | Pallet (4000037): 1 pc | Strap (4000450): not used</t>
        </is>
      </c>
      <c r="F42" s="25" t="inlineStr">
        <is>
          <t>IA-ST-CFG-0054</t>
        </is>
      </c>
      <c r="G42" s="25" t="inlineStr">
        <is>
          <t>IA-PPWR-TF-ST-030-STD-08-R00</t>
        </is>
      </c>
      <c r="H42" s="25" t="inlineStr">
        <is>
          <t>2026-08-08</t>
        </is>
      </c>
      <c r="I42" s="25" t="inlineStr">
        <is>
          <t>Rev.00</t>
        </is>
      </c>
      <c r="J42" s="25" t="inlineStr">
        <is>
          <t>ACTIVE — unsigned</t>
        </is>
      </c>
      <c r="K42" s="31">
        <f>HYPERLINK("01_STARTER/ST-030-STD-08/02_EU_DoC.docx","Open")</f>
        <v/>
      </c>
    </row>
    <row r="43">
      <c r="A43" s="25" t="inlineStr">
        <is>
          <t>IA-PPWR-DOC-ST-030-STD-09-R00</t>
        </is>
      </c>
      <c r="B43" s="25" t="inlineStr">
        <is>
          <t>ST-030-STD-09</t>
        </is>
      </c>
      <c r="C43" s="25" t="inlineStr">
        <is>
          <t>IA-ST-030-STD-09</t>
        </is>
      </c>
      <c r="D43" s="25" t="inlineStr">
        <is>
          <t>B | Palet (4000037): 1 adet | Çember (4000450): kullanılmaz</t>
        </is>
      </c>
      <c r="E43" s="25" t="inlineStr">
        <is>
          <t>B | Palet (4000037): 1 adet | Çember (4000450): kullanılmaz / B | Pallet (4000037): 1 pc | Strap (4000450): not used</t>
        </is>
      </c>
      <c r="F43" s="25" t="inlineStr">
        <is>
          <t>IA-ST-CFG-0055</t>
        </is>
      </c>
      <c r="G43" s="25" t="inlineStr">
        <is>
          <t>IA-PPWR-TF-ST-030-STD-09-R00</t>
        </is>
      </c>
      <c r="H43" s="25" t="inlineStr">
        <is>
          <t>2026-08-08</t>
        </is>
      </c>
      <c r="I43" s="25" t="inlineStr">
        <is>
          <t>Rev.00</t>
        </is>
      </c>
      <c r="J43" s="25" t="inlineStr">
        <is>
          <t>ACTIVE — unsigned</t>
        </is>
      </c>
      <c r="K43" s="31">
        <f>HYPERLINK("01_STARTER/ST-030-STD-09/02_EU_DoC.docx","Open")</f>
        <v/>
      </c>
    </row>
    <row r="44">
      <c r="A44" s="25" t="inlineStr">
        <is>
          <t>IA-PPWR-DOC-ST-030-STD-10-R00</t>
        </is>
      </c>
      <c r="B44" s="25" t="inlineStr">
        <is>
          <t>ST-030-STD-10</t>
        </is>
      </c>
      <c r="C44" s="25" t="inlineStr">
        <is>
          <t>IA-ST-030-STD-10</t>
        </is>
      </c>
      <c r="D44" s="25" t="inlineStr">
        <is>
          <t>A | Palet (4000037): 1 adet | Shrink film (4001177): 0.597 kg</t>
        </is>
      </c>
      <c r="E44" s="25" t="inlineStr">
        <is>
          <t>A | Palet (4000037): 1 adet | Shrink film (4001177): 0.597 kg / A | Pallet (4000037): 1 pc | Shrink film (4001177): 0.597 kg</t>
        </is>
      </c>
      <c r="F44" s="25" t="inlineStr">
        <is>
          <t>IA-ST-CFG-0056</t>
        </is>
      </c>
      <c r="G44" s="25" t="inlineStr">
        <is>
          <t>IA-PPWR-TF-ST-030-STD-10-R00</t>
        </is>
      </c>
      <c r="H44" s="25" t="inlineStr">
        <is>
          <t>2026-08-08</t>
        </is>
      </c>
      <c r="I44" s="25" t="inlineStr">
        <is>
          <t>Rev.00</t>
        </is>
      </c>
      <c r="J44" s="25" t="inlineStr">
        <is>
          <t>ACTIVE — unsigned</t>
        </is>
      </c>
      <c r="K44" s="31">
        <f>HYPERLINK("01_STARTER/ST-030-STD-10/02_EU_DoC.docx","Open")</f>
        <v/>
      </c>
    </row>
    <row r="45">
      <c r="A45" s="25" t="inlineStr">
        <is>
          <t>IA-PPWR-DOC-ST-030-STD-11-R00</t>
        </is>
      </c>
      <c r="B45" s="25" t="inlineStr">
        <is>
          <t>ST-030-STD-11</t>
        </is>
      </c>
      <c r="C45" s="25" t="inlineStr">
        <is>
          <t>IA-ST-030-STD-11</t>
        </is>
      </c>
      <c r="D45" s="25" t="inlineStr">
        <is>
          <t>B | Palet (4000037): 1 adet | Shrink film (4001177): 0.597 kg</t>
        </is>
      </c>
      <c r="E45" s="25" t="inlineStr">
        <is>
          <t>B | Palet (4000037): 1 adet | Shrink film (4001177): 0.597 kg / B | Pallet (4000037): 1 pc | Shrink film (4001177): 0.597 kg</t>
        </is>
      </c>
      <c r="F45" s="25" t="inlineStr">
        <is>
          <t>IA-ST-CFG-0057</t>
        </is>
      </c>
      <c r="G45" s="25" t="inlineStr">
        <is>
          <t>IA-PPWR-TF-ST-030-STD-11-R00</t>
        </is>
      </c>
      <c r="H45" s="25" t="inlineStr">
        <is>
          <t>2026-08-08</t>
        </is>
      </c>
      <c r="I45" s="25" t="inlineStr">
        <is>
          <t>Rev.00</t>
        </is>
      </c>
      <c r="J45" s="25" t="inlineStr">
        <is>
          <t>ACTIVE — unsigned</t>
        </is>
      </c>
      <c r="K45" s="31">
        <f>HYPERLINK("01_STARTER/ST-030-STD-11/02_EU_DoC.docx","Open")</f>
        <v/>
      </c>
    </row>
    <row r="46">
      <c r="A46" s="25" t="inlineStr">
        <is>
          <t>IA-PPWR-DOC-ST-033-EUR-01-R00</t>
        </is>
      </c>
      <c r="B46" s="25" t="inlineStr">
        <is>
          <t>ST-033-EUR-01</t>
        </is>
      </c>
      <c r="C46" s="25" t="inlineStr">
        <is>
          <t>IA-ST-033-EUR-01</t>
        </is>
      </c>
      <c r="D46" s="25" t="inlineStr">
        <is>
          <t>L6 | Palet (4000038): 1 adet | Köşebent (4000590): 4 adet</t>
        </is>
      </c>
      <c r="E46" s="25" t="inlineStr">
        <is>
          <t>L6 | Palet (4000038): 1 adet | Köşebent (4000590): 4 adet / L6 | Pallet (4000038): 1 pc | Edge protector (4000590): 4 pcs</t>
        </is>
      </c>
      <c r="F46" s="25" t="inlineStr">
        <is>
          <t>IA-ST-CFG-0058</t>
        </is>
      </c>
      <c r="G46" s="25" t="inlineStr">
        <is>
          <t>IA-PPWR-TF-ST-033-EUR-01-R00</t>
        </is>
      </c>
      <c r="H46" s="25" t="inlineStr">
        <is>
          <t>2026-08-08</t>
        </is>
      </c>
      <c r="I46" s="25" t="inlineStr">
        <is>
          <t>Rev.00</t>
        </is>
      </c>
      <c r="J46" s="25" t="inlineStr">
        <is>
          <t>ACTIVE — unsigned</t>
        </is>
      </c>
      <c r="K46" s="31">
        <f>HYPERLINK("01_STARTER/ST-033-EUR-01/02_EU_DoC.docx","Open")</f>
        <v/>
      </c>
    </row>
    <row r="47">
      <c r="A47" s="25" t="inlineStr">
        <is>
          <t>IA-PPWR-DOC-ST-034-STD-01-R00</t>
        </is>
      </c>
      <c r="B47" s="25" t="inlineStr">
        <is>
          <t>ST-034-STD-01</t>
        </is>
      </c>
      <c r="C47" s="25" t="inlineStr">
        <is>
          <t>IA-ST-034-STD-01</t>
        </is>
      </c>
      <c r="D47" s="25" t="inlineStr">
        <is>
          <t>D31 | D31 YUASA penceresiz Orta Doğu dış koli (4001108): 34 adet</t>
        </is>
      </c>
      <c r="E47" s="25" t="inlineStr">
        <is>
          <t>D31 | D31 YUASA penceresiz Orta Doğu dış koli (4001108): 34 adet / D31 | D31 YUASA windowless Middle East outer carton (4001108): 34 pcs</t>
        </is>
      </c>
      <c r="F47" s="25" t="inlineStr">
        <is>
          <t>IA-ST-CFG-0059</t>
        </is>
      </c>
      <c r="G47" s="25" t="inlineStr">
        <is>
          <t>IA-PPWR-TF-ST-034-STD-01-R00</t>
        </is>
      </c>
      <c r="H47" s="25" t="inlineStr">
        <is>
          <t>2026-08-08</t>
        </is>
      </c>
      <c r="I47" s="25" t="inlineStr">
        <is>
          <t>Rev.00</t>
        </is>
      </c>
      <c r="J47" s="25" t="inlineStr">
        <is>
          <t>ACTIVE — unsigned</t>
        </is>
      </c>
      <c r="K47" s="31">
        <f>HYPERLINK("01_STARTER/ST-034-STD-01/02_EU_DoC.docx","Open")</f>
        <v/>
      </c>
    </row>
    <row r="48">
      <c r="A48" s="25" t="inlineStr">
        <is>
          <t>IA-PPWR-DOC-ST-034-STD-02-R00</t>
        </is>
      </c>
      <c r="B48" s="25" t="inlineStr">
        <is>
          <t>ST-034-STD-02</t>
        </is>
      </c>
      <c r="C48" s="25" t="inlineStr">
        <is>
          <t>IA-ST-034-STD-02</t>
        </is>
      </c>
      <c r="D48" s="25" t="inlineStr">
        <is>
          <t>L4 | L4 YUASA penceresiz Orta Doğu dış koli (4001313): 34 adet</t>
        </is>
      </c>
      <c r="E48" s="25" t="inlineStr">
        <is>
          <t>L4 | L4 YUASA penceresiz Orta Doğu dış koli (4001313): 34 adet / L4 | L4 YUASA windowless Middle East outer carton (4001313): 34 pcs</t>
        </is>
      </c>
      <c r="F48" s="25" t="inlineStr">
        <is>
          <t>IA-ST-CFG-0060</t>
        </is>
      </c>
      <c r="G48" s="25" t="inlineStr">
        <is>
          <t>IA-PPWR-TF-ST-034-STD-02-R00</t>
        </is>
      </c>
      <c r="H48" s="25" t="inlineStr">
        <is>
          <t>2026-08-08</t>
        </is>
      </c>
      <c r="I48" s="25" t="inlineStr">
        <is>
          <t>Rev.00</t>
        </is>
      </c>
      <c r="J48" s="25" t="inlineStr">
        <is>
          <t>ACTIVE — unsigned</t>
        </is>
      </c>
      <c r="K48" s="31">
        <f>HYPERLINK("01_STARTER/ST-034-STD-02/02_EU_DoC.docx","Open")</f>
        <v/>
      </c>
    </row>
    <row r="49">
      <c r="A49" s="25" t="inlineStr">
        <is>
          <t>IA-PPWR-DOC-ST-036-EUR-01-R00</t>
        </is>
      </c>
      <c r="B49" s="25" t="inlineStr">
        <is>
          <t>ST-036-EUR-01</t>
        </is>
      </c>
      <c r="C49" s="25" t="inlineStr">
        <is>
          <t>IA-ST-036-EUR-01</t>
        </is>
      </c>
      <c r="D49" s="25" t="inlineStr">
        <is>
          <t>L6 | L6 İnci AGM LEO 105AH940A pencereli dış koli (4001360): 36 adet</t>
        </is>
      </c>
      <c r="E49" s="25" t="inlineStr">
        <is>
          <t>L6 | L6 İnci AGM LEO 105AH940A pencereli dış koli (4001360): 36 adet / L6 | L6 İnci AGM LEO 105AH940A windowed outer carton (4001360): 36 pcs</t>
        </is>
      </c>
      <c r="F49" s="25" t="inlineStr">
        <is>
          <t>IA-ST-CFG-0062</t>
        </is>
      </c>
      <c r="G49" s="25" t="inlineStr">
        <is>
          <t>IA-PPWR-TF-ST-036-EUR-01-R00</t>
        </is>
      </c>
      <c r="H49" s="25" t="inlineStr">
        <is>
          <t>2026-08-08</t>
        </is>
      </c>
      <c r="I49" s="25" t="inlineStr">
        <is>
          <t>Rev.00</t>
        </is>
      </c>
      <c r="J49" s="25" t="inlineStr">
        <is>
          <t>ACTIVE — unsigned</t>
        </is>
      </c>
      <c r="K49" s="31">
        <f>HYPERLINK("01_STARTER/ST-036-EUR-01/02_EU_DoC.docx","Open")</f>
        <v/>
      </c>
    </row>
    <row r="50">
      <c r="A50" s="25" t="inlineStr">
        <is>
          <t>IA-PPWR-DOC-ST-036-EUR-02-R00</t>
        </is>
      </c>
      <c r="B50" s="25" t="inlineStr">
        <is>
          <t>ST-036-EUR-02</t>
        </is>
      </c>
      <c r="C50" s="25" t="inlineStr">
        <is>
          <t>IA-ST-036-EUR-02</t>
        </is>
      </c>
      <c r="D50" s="25" t="inlineStr">
        <is>
          <t>NS40 | Palet (4000038): 1 adet | EPS (4000573): 8 adet</t>
        </is>
      </c>
      <c r="E50" s="25" t="inlineStr">
        <is>
          <t>NS40 | Palet (4000038): 1 adet | EPS (4000573): 8 adet / NS40 | Pallet (4000038): 1 pc | EPS (4000573): 8 pcs</t>
        </is>
      </c>
      <c r="F50" s="25" t="inlineStr">
        <is>
          <t>IA-ST-CFG-0065</t>
        </is>
      </c>
      <c r="G50" s="25" t="inlineStr">
        <is>
          <t>IA-PPWR-TF-ST-036-EUR-02-R00</t>
        </is>
      </c>
      <c r="H50" s="25" t="inlineStr">
        <is>
          <t>2026-08-08</t>
        </is>
      </c>
      <c r="I50" s="25" t="inlineStr">
        <is>
          <t>Rev.00</t>
        </is>
      </c>
      <c r="J50" s="25" t="inlineStr">
        <is>
          <t>ACTIVE — unsigned</t>
        </is>
      </c>
      <c r="K50" s="31">
        <f>HYPERLINK("01_STARTER/ST-036-EUR-02/02_EU_DoC.docx","Open")</f>
        <v/>
      </c>
    </row>
    <row r="51">
      <c r="A51" s="25" t="inlineStr">
        <is>
          <t>IA-PPWR-DOC-ST-036-EUR-03-R00</t>
        </is>
      </c>
      <c r="B51" s="25" t="inlineStr">
        <is>
          <t>ST-036-EUR-03</t>
        </is>
      </c>
      <c r="C51" s="25" t="inlineStr">
        <is>
          <t>IA-ST-036-EUR-03</t>
        </is>
      </c>
      <c r="D51" s="25" t="inlineStr">
        <is>
          <t>L6, L5 | Palet (4000038): 1 adet | Köşebent (4000590): 4 adet</t>
        </is>
      </c>
      <c r="E51" s="25" t="inlineStr">
        <is>
          <t>L6, L5 | Palet (4000038): 1 adet | Köşebent (4000590): 4 adet / L6, L5 | Pallet (4000038): 1 pc | Edge protector (4000590): 4 pcs</t>
        </is>
      </c>
      <c r="F51" s="25" t="inlineStr">
        <is>
          <t>IA-ST-CFG-0066</t>
        </is>
      </c>
      <c r="G51" s="25" t="inlineStr">
        <is>
          <t>IA-PPWR-TF-ST-036-EUR-03-R00</t>
        </is>
      </c>
      <c r="H51" s="25" t="inlineStr">
        <is>
          <t>2026-08-08</t>
        </is>
      </c>
      <c r="I51" s="25" t="inlineStr">
        <is>
          <t>Rev.00</t>
        </is>
      </c>
      <c r="J51" s="25" t="inlineStr">
        <is>
          <t>ACTIVE — unsigned</t>
        </is>
      </c>
      <c r="K51" s="31">
        <f>HYPERLINK("01_STARTER/ST-036-EUR-03/02_EU_DoC.docx","Open")</f>
        <v/>
      </c>
    </row>
    <row r="52">
      <c r="A52" s="25" t="inlineStr">
        <is>
          <t>IA-PPWR-DOC-ST-036-EUR-04-R00</t>
        </is>
      </c>
      <c r="B52" s="25" t="inlineStr">
        <is>
          <t>ST-036-EUR-04</t>
        </is>
      </c>
      <c r="C52" s="25" t="inlineStr">
        <is>
          <t>IA-ST-036-EUR-04</t>
        </is>
      </c>
      <c r="D52" s="25" t="inlineStr">
        <is>
          <t>L5, L6, LB5 | Palet (4000038): 1 adet | Köşebent (4000590): 4 adet</t>
        </is>
      </c>
      <c r="E52" s="25" t="inlineStr">
        <is>
          <t>L5, L6, LB5 | Palet (4000038): 1 adet | Köşebent (4000590): 4 adet / L5, L6, LB5 | Pallet (4000038): 1 pc | Edge protector (4000590): 4 pcs</t>
        </is>
      </c>
      <c r="F52" s="25" t="inlineStr">
        <is>
          <t>IA-ST-CFG-0068</t>
        </is>
      </c>
      <c r="G52" s="25" t="inlineStr">
        <is>
          <t>IA-PPWR-TF-ST-036-EUR-04-R00</t>
        </is>
      </c>
      <c r="H52" s="25" t="inlineStr">
        <is>
          <t>2026-08-08</t>
        </is>
      </c>
      <c r="I52" s="25" t="inlineStr">
        <is>
          <t>Rev.00</t>
        </is>
      </c>
      <c r="J52" s="25" t="inlineStr">
        <is>
          <t>ACTIVE — unsigned</t>
        </is>
      </c>
      <c r="K52" s="31">
        <f>HYPERLINK("01_STARTER/ST-036-EUR-04/02_EU_DoC.docx","Open")</f>
        <v/>
      </c>
    </row>
    <row r="53">
      <c r="A53" s="25" t="inlineStr">
        <is>
          <t>IA-PPWR-DOC-ST-036-EUR-05-R00</t>
        </is>
      </c>
      <c r="B53" s="25" t="inlineStr">
        <is>
          <t>ST-036-EUR-05</t>
        </is>
      </c>
      <c r="C53" s="25" t="inlineStr">
        <is>
          <t>IA-ST-036-EUR-05</t>
        </is>
      </c>
      <c r="D53" s="25" t="inlineStr">
        <is>
          <t>TRACTORL | TRAKTÖR PVC üst kapak (4000494): 36 adet</t>
        </is>
      </c>
      <c r="E53" s="25" t="inlineStr">
        <is>
          <t>TRACTORL | TRAKTÖR PVC üst kapak (4000494): 36 adet / TRACTORL | TRAKTÖR PVC upper cover (4000494): 36 pcs</t>
        </is>
      </c>
      <c r="F53" s="25" t="inlineStr">
        <is>
          <t>IA-ST-CFG-0070</t>
        </is>
      </c>
      <c r="G53" s="25" t="inlineStr">
        <is>
          <t>IA-PPWR-TF-ST-036-EUR-05-R00</t>
        </is>
      </c>
      <c r="H53" s="25" t="inlineStr">
        <is>
          <t>2026-08-08</t>
        </is>
      </c>
      <c r="I53" s="25" t="inlineStr">
        <is>
          <t>Rev.00</t>
        </is>
      </c>
      <c r="J53" s="25" t="inlineStr">
        <is>
          <t>ACTIVE — unsigned</t>
        </is>
      </c>
      <c r="K53" s="31">
        <f>HYPERLINK("01_STARTER/ST-036-EUR-05/02_EU_DoC.docx","Open")</f>
        <v/>
      </c>
    </row>
    <row r="54">
      <c r="A54" s="25" t="inlineStr">
        <is>
          <t>IA-PPWR-DOC-ST-036-EUR-06-R00</t>
        </is>
      </c>
      <c r="B54" s="25" t="inlineStr">
        <is>
          <t>ST-036-EUR-06</t>
        </is>
      </c>
      <c r="C54" s="25" t="inlineStr">
        <is>
          <t>IA-ST-036-EUR-06</t>
        </is>
      </c>
      <c r="D54" s="25" t="inlineStr">
        <is>
          <t>L6, L5 | Palet (4000038): 1 adet | Köşebent (4000590): 2 adet | Shrink film (4000608): 1.44 kg</t>
        </is>
      </c>
      <c r="E54" s="25" t="inlineStr">
        <is>
          <t>L6, L5 | Palet (4000038): 1 adet | Köşebent (4000590): 2 adet | Shrink film (4000608): 1.44 kg / L6, L5 | Pallet (4000038): 1 pc | Edge protector (4000590): 2 pcs | Shrink film (4000608): 1.44 kg</t>
        </is>
      </c>
      <c r="F54" s="25" t="inlineStr">
        <is>
          <t>IA-ST-CFG-0071</t>
        </is>
      </c>
      <c r="G54" s="25" t="inlineStr">
        <is>
          <t>IA-PPWR-TF-ST-036-EUR-06-R00</t>
        </is>
      </c>
      <c r="H54" s="25" t="inlineStr">
        <is>
          <t>2026-08-08</t>
        </is>
      </c>
      <c r="I54" s="25" t="inlineStr">
        <is>
          <t>Rev.00</t>
        </is>
      </c>
      <c r="J54" s="25" t="inlineStr">
        <is>
          <t>ACTIVE — unsigned</t>
        </is>
      </c>
      <c r="K54" s="31">
        <f>HYPERLINK("01_STARTER/ST-036-EUR-06/02_EU_DoC.docx","Open")</f>
        <v/>
      </c>
    </row>
    <row r="55">
      <c r="A55" s="25" t="inlineStr">
        <is>
          <t>IA-PPWR-DOC-ST-036-EUR-07-R00</t>
        </is>
      </c>
      <c r="B55" s="25" t="inlineStr">
        <is>
          <t>ST-036-EUR-07</t>
        </is>
      </c>
      <c r="C55" s="25" t="inlineStr">
        <is>
          <t>IA-ST-036-EUR-07</t>
        </is>
      </c>
      <c r="D55" s="25" t="inlineStr">
        <is>
          <t>L6, L5 | Palet (4000038): 1 adet | Shrink film (4000608): kullanılmaz</t>
        </is>
      </c>
      <c r="E55" s="25" t="inlineStr">
        <is>
          <t>L6, L5 | Palet (4000038): 1 adet | Shrink film (4000608): kullanılmaz / L6, L5 | Pallet (4000038): 1 pc | Shrink film (4000608): not used</t>
        </is>
      </c>
      <c r="F55" s="25" t="inlineStr">
        <is>
          <t>IA-ST-CFG-0072</t>
        </is>
      </c>
      <c r="G55" s="25" t="inlineStr">
        <is>
          <t>IA-PPWR-TF-ST-036-EUR-07-R00</t>
        </is>
      </c>
      <c r="H55" s="25" t="inlineStr">
        <is>
          <t>2026-08-08</t>
        </is>
      </c>
      <c r="I55" s="25" t="inlineStr">
        <is>
          <t>Rev.00</t>
        </is>
      </c>
      <c r="J55" s="25" t="inlineStr">
        <is>
          <t>ACTIVE — unsigned</t>
        </is>
      </c>
      <c r="K55" s="31">
        <f>HYPERLINK("01_STARTER/ST-036-EUR-07/02_EU_DoC.docx","Open")</f>
        <v/>
      </c>
    </row>
    <row r="56">
      <c r="A56" s="25" t="inlineStr">
        <is>
          <t>IA-PPWR-DOC-ST-036-STD-01-R00</t>
        </is>
      </c>
      <c r="B56" s="25" t="inlineStr">
        <is>
          <t>ST-036-STD-01</t>
        </is>
      </c>
      <c r="C56" s="25" t="inlineStr">
        <is>
          <t>IA-ST-036-STD-01</t>
        </is>
      </c>
      <c r="D56" s="25" t="inlineStr">
        <is>
          <t>L3 | L3 YUASA penceresiz Orta Doğu dış koli (4001103): 36 adet</t>
        </is>
      </c>
      <c r="E56" s="25" t="inlineStr">
        <is>
          <t>L3 | L3 YUASA penceresiz Orta Doğu dış koli (4001103): 36 adet / L3 | L3 YUASA windowless Middle East outer carton (4001103): 36 pcs</t>
        </is>
      </c>
      <c r="F56" s="25" t="inlineStr">
        <is>
          <t>IA-ST-CFG-0061</t>
        </is>
      </c>
      <c r="G56" s="25" t="inlineStr">
        <is>
          <t>IA-PPWR-TF-ST-036-STD-01-R00</t>
        </is>
      </c>
      <c r="H56" s="25" t="inlineStr">
        <is>
          <t>2026-08-08</t>
        </is>
      </c>
      <c r="I56" s="25" t="inlineStr">
        <is>
          <t>Rev.00</t>
        </is>
      </c>
      <c r="J56" s="25" t="inlineStr">
        <is>
          <t>ACTIVE — unsigned</t>
        </is>
      </c>
      <c r="K56" s="31">
        <f>HYPERLINK("01_STARTER/ST-036-STD-01/02_EU_DoC.docx","Open")</f>
        <v/>
      </c>
    </row>
    <row r="57">
      <c r="A57" s="25" t="inlineStr">
        <is>
          <t>IA-PPWR-DOC-ST-036-STD-02-R00</t>
        </is>
      </c>
      <c r="B57" s="25" t="inlineStr">
        <is>
          <t>ST-036-STD-02</t>
        </is>
      </c>
      <c r="C57" s="25" t="inlineStr">
        <is>
          <t>IA-ST-036-STD-02</t>
        </is>
      </c>
      <c r="D57" s="25" t="inlineStr">
        <is>
          <t>L4 | Palet (4000037): 1 adet | Separatör (4000130): 3 adet</t>
        </is>
      </c>
      <c r="E57" s="25" t="inlineStr">
        <is>
          <t>L4 | Palet (4000037): 1 adet | Separatör (4000130): 3 adet / L4 | Pallet (4000037): 1 pc | Separator (4000130): 3 pcs</t>
        </is>
      </c>
      <c r="F57" s="25" t="inlineStr">
        <is>
          <t>IA-ST-CFG-0063</t>
        </is>
      </c>
      <c r="G57" s="25" t="inlineStr">
        <is>
          <t>IA-PPWR-TF-ST-036-STD-02-R00</t>
        </is>
      </c>
      <c r="H57" s="25" t="inlineStr">
        <is>
          <t>2026-08-08</t>
        </is>
      </c>
      <c r="I57" s="25" t="inlineStr">
        <is>
          <t>Rev.00</t>
        </is>
      </c>
      <c r="J57" s="25" t="inlineStr">
        <is>
          <t>ACTIVE — unsigned</t>
        </is>
      </c>
      <c r="K57" s="31">
        <f>HYPERLINK("01_STARTER/ST-036-STD-02/02_EU_DoC.docx","Open")</f>
        <v/>
      </c>
    </row>
    <row r="58">
      <c r="A58" s="25" t="inlineStr">
        <is>
          <t>IA-PPWR-DOC-ST-036-STD-03-R00</t>
        </is>
      </c>
      <c r="B58" s="25" t="inlineStr">
        <is>
          <t>ST-036-STD-03</t>
        </is>
      </c>
      <c r="C58" s="25" t="inlineStr">
        <is>
          <t>IA-ST-036-STD-03</t>
        </is>
      </c>
      <c r="D58" s="25" t="inlineStr">
        <is>
          <t>L4 | Palet (4000037): 1 adet | Separatör (4000130): 4 adet</t>
        </is>
      </c>
      <c r="E58" s="25" t="inlineStr">
        <is>
          <t>L4 | Palet (4000037): 1 adet | Separatör (4000130): 4 adet / L4 | Pallet (4000037): 1 pc | Separator (4000130): 4 pcs</t>
        </is>
      </c>
      <c r="F58" s="25" t="inlineStr">
        <is>
          <t>IA-ST-CFG-0064</t>
        </is>
      </c>
      <c r="G58" s="25" t="inlineStr">
        <is>
          <t>IA-PPWR-TF-ST-036-STD-03-R00</t>
        </is>
      </c>
      <c r="H58" s="25" t="inlineStr">
        <is>
          <t>2026-08-08</t>
        </is>
      </c>
      <c r="I58" s="25" t="inlineStr">
        <is>
          <t>Rev.00</t>
        </is>
      </c>
      <c r="J58" s="25" t="inlineStr">
        <is>
          <t>ACTIVE — unsigned</t>
        </is>
      </c>
      <c r="K58" s="31">
        <f>HYPERLINK("01_STARTER/ST-036-STD-03/02_EU_DoC.docx","Open")</f>
        <v/>
      </c>
    </row>
    <row r="59">
      <c r="A59" s="25" t="inlineStr">
        <is>
          <t>IA-PPWR-DOC-ST-042-EUR-01-R00</t>
        </is>
      </c>
      <c r="B59" s="25" t="inlineStr">
        <is>
          <t>ST-042-EUR-01</t>
        </is>
      </c>
      <c r="C59" s="25" t="inlineStr">
        <is>
          <t>IA-ST-042-EUR-01</t>
        </is>
      </c>
      <c r="D59" s="25" t="inlineStr">
        <is>
          <t>D31 | D31 YUASA penceresiz Orta Doğu dış koli (4001108): 42 adet</t>
        </is>
      </c>
      <c r="E59" s="25" t="inlineStr">
        <is>
          <t>D31 | D31 YUASA penceresiz Orta Doğu dış koli (4001108): 42 adet / D31 | D31 YUASA windowless Middle East outer carton (4001108): 42 pcs</t>
        </is>
      </c>
      <c r="F59" s="25" t="inlineStr">
        <is>
          <t>IA-ST-CFG-0077</t>
        </is>
      </c>
      <c r="G59" s="25" t="inlineStr">
        <is>
          <t>IA-PPWR-TF-ST-042-EUR-01-R00</t>
        </is>
      </c>
      <c r="H59" s="25" t="inlineStr">
        <is>
          <t>2026-08-08</t>
        </is>
      </c>
      <c r="I59" s="25" t="inlineStr">
        <is>
          <t>Rev.00</t>
        </is>
      </c>
      <c r="J59" s="25" t="inlineStr">
        <is>
          <t>ACTIVE — unsigned</t>
        </is>
      </c>
      <c r="K59" s="31">
        <f>HYPERLINK("01_STARTER/ST-042-EUR-01/02_EU_DoC.docx","Open")</f>
        <v/>
      </c>
    </row>
    <row r="60">
      <c r="A60" s="25" t="inlineStr">
        <is>
          <t>IA-PPWR-DOC-ST-042-EUR-02-R00</t>
        </is>
      </c>
      <c r="B60" s="25" t="inlineStr">
        <is>
          <t>ST-042-EUR-02</t>
        </is>
      </c>
      <c r="C60" s="25" t="inlineStr">
        <is>
          <t>IA-ST-042-EUR-02</t>
        </is>
      </c>
      <c r="D60" s="25" t="inlineStr">
        <is>
          <t>L4, LB4 | Palet (4000038): 1 adet | Köşebent (4000590): 4 adet</t>
        </is>
      </c>
      <c r="E60" s="25" t="inlineStr">
        <is>
          <t>L4, LB4 | Palet (4000038): 1 adet | Köşebent (4000590): 4 adet / L4, LB4 | Pallet (4000038): 1 pc | Edge protector (4000590): 4 pcs</t>
        </is>
      </c>
      <c r="F60" s="25" t="inlineStr">
        <is>
          <t>IA-ST-CFG-0085</t>
        </is>
      </c>
      <c r="G60" s="25" t="inlineStr">
        <is>
          <t>IA-PPWR-TF-ST-042-EUR-02-R00</t>
        </is>
      </c>
      <c r="H60" s="25" t="inlineStr">
        <is>
          <t>2026-08-08</t>
        </is>
      </c>
      <c r="I60" s="25" t="inlineStr">
        <is>
          <t>Rev.00</t>
        </is>
      </c>
      <c r="J60" s="25" t="inlineStr">
        <is>
          <t>ACTIVE — unsigned</t>
        </is>
      </c>
      <c r="K60" s="31">
        <f>HYPERLINK("01_STARTER/ST-042-EUR-02/02_EU_DoC.docx","Open")</f>
        <v/>
      </c>
    </row>
    <row r="61">
      <c r="A61" s="25" t="inlineStr">
        <is>
          <t>IA-PPWR-DOC-ST-042-EUR-03-R00</t>
        </is>
      </c>
      <c r="B61" s="25" t="inlineStr">
        <is>
          <t>ST-042-EUR-03</t>
        </is>
      </c>
      <c r="C61" s="25" t="inlineStr">
        <is>
          <t>IA-ST-042-EUR-03</t>
        </is>
      </c>
      <c r="D61" s="25" t="inlineStr">
        <is>
          <t>L4, LB4 | Palet (4000038): 1 adet | Shrink film (4000554): 1.428 kg</t>
        </is>
      </c>
      <c r="E61" s="25" t="inlineStr">
        <is>
          <t>L4, LB4 | Palet (4000038): 1 adet | Shrink film (4000554): 1.428 kg / L4, LB4 | Pallet (4000038): 1 pc | Shrink film (4000554): 1.428 kg</t>
        </is>
      </c>
      <c r="F61" s="25" t="inlineStr">
        <is>
          <t>IA-ST-CFG-0086</t>
        </is>
      </c>
      <c r="G61" s="25" t="inlineStr">
        <is>
          <t>IA-PPWR-TF-ST-042-EUR-03-R00</t>
        </is>
      </c>
      <c r="H61" s="25" t="inlineStr">
        <is>
          <t>2026-08-08</t>
        </is>
      </c>
      <c r="I61" s="25" t="inlineStr">
        <is>
          <t>Rev.00</t>
        </is>
      </c>
      <c r="J61" s="25" t="inlineStr">
        <is>
          <t>ACTIVE — unsigned</t>
        </is>
      </c>
      <c r="K61" s="31">
        <f>HYPERLINK("01_STARTER/ST-042-EUR-03/02_EU_DoC.docx","Open")</f>
        <v/>
      </c>
    </row>
    <row r="62">
      <c r="A62" s="25" t="inlineStr">
        <is>
          <t>IA-PPWR-DOC-ST-042-EUR-04-R00</t>
        </is>
      </c>
      <c r="B62" s="25" t="inlineStr">
        <is>
          <t>ST-042-EUR-04</t>
        </is>
      </c>
      <c r="C62" s="25" t="inlineStr">
        <is>
          <t>IA-ST-042-EUR-04</t>
        </is>
      </c>
      <c r="D62" s="25" t="inlineStr">
        <is>
          <t>L4, LB4 | Palet (4000038): 1 adet | Shrink film (4000554): kullanılmaz | Köşebent (4000590): 2 adet</t>
        </is>
      </c>
      <c r="E62" s="25" t="inlineStr">
        <is>
          <t>L4, LB4 | Palet (4000038): 1 adet | Shrink film (4000554): kullanılmaz | Köşebent (4000590): 2 adet / L4, LB4 | Pallet (4000038): 1 pc | Shrink film (4000554): not used | Edge protector (4000590): 2 pcs</t>
        </is>
      </c>
      <c r="F62" s="25" t="inlineStr">
        <is>
          <t>IA-ST-CFG-0087</t>
        </is>
      </c>
      <c r="G62" s="25" t="inlineStr">
        <is>
          <t>IA-PPWR-TF-ST-042-EUR-04-R00</t>
        </is>
      </c>
      <c r="H62" s="25" t="inlineStr">
        <is>
          <t>2026-08-08</t>
        </is>
      </c>
      <c r="I62" s="25" t="inlineStr">
        <is>
          <t>Rev.00</t>
        </is>
      </c>
      <c r="J62" s="25" t="inlineStr">
        <is>
          <t>ACTIVE — unsigned</t>
        </is>
      </c>
      <c r="K62" s="31">
        <f>HYPERLINK("01_STARTER/ST-042-EUR-04/02_EU_DoC.docx","Open")</f>
        <v/>
      </c>
    </row>
    <row r="63">
      <c r="A63" s="25" t="inlineStr">
        <is>
          <t>IA-PPWR-DOC-ST-042-STD-01-R00</t>
        </is>
      </c>
      <c r="B63" s="25" t="inlineStr">
        <is>
          <t>ST-042-STD-01</t>
        </is>
      </c>
      <c r="C63" s="25" t="inlineStr">
        <is>
          <t>IA-ST-042-STD-01</t>
        </is>
      </c>
      <c r="D63" s="25" t="inlineStr">
        <is>
          <t>D23 | D23 YUASA penceresiz Orta Doğu dış koli (4001106): 42 adet</t>
        </is>
      </c>
      <c r="E63" s="25" t="inlineStr">
        <is>
          <t>D23 | D23 YUASA penceresiz Orta Doğu dış koli (4001106): 42 adet / D23 | D23 YUASA windowless Middle East outer carton (4001106): 42 pcs</t>
        </is>
      </c>
      <c r="F63" s="25" t="inlineStr">
        <is>
          <t>IA-ST-CFG-0075</t>
        </is>
      </c>
      <c r="G63" s="25" t="inlineStr">
        <is>
          <t>IA-PPWR-TF-ST-042-STD-01-R00</t>
        </is>
      </c>
      <c r="H63" s="25" t="inlineStr">
        <is>
          <t>2026-08-08</t>
        </is>
      </c>
      <c r="I63" s="25" t="inlineStr">
        <is>
          <t>Rev.00</t>
        </is>
      </c>
      <c r="J63" s="25" t="inlineStr">
        <is>
          <t>ACTIVE — unsigned</t>
        </is>
      </c>
      <c r="K63" s="31">
        <f>HYPERLINK("01_STARTER/ST-042-STD-01/02_EU_DoC.docx","Open")</f>
        <v/>
      </c>
    </row>
    <row r="64">
      <c r="A64" s="25" t="inlineStr">
        <is>
          <t>IA-PPWR-DOC-ST-042-STD-02-R00</t>
        </is>
      </c>
      <c r="B64" s="25" t="inlineStr">
        <is>
          <t>ST-042-STD-02</t>
        </is>
      </c>
      <c r="C64" s="25" t="inlineStr">
        <is>
          <t>IA-ST-042-STD-02</t>
        </is>
      </c>
      <c r="D64" s="25" t="inlineStr">
        <is>
          <t>L6 | L6 EAS AGM S&amp;S 105AH 940A pencereli dış koli (4001399): 42 adet</t>
        </is>
      </c>
      <c r="E64" s="25" t="inlineStr">
        <is>
          <t>L6 | L6 EAS AGM S&amp;S 105AH 940A pencereli dış koli (4001399): 42 adet / L6 | L6 EAS AGM S&amp;S 105AH 940A windowed outer carton (4001399): 42 pcs</t>
        </is>
      </c>
      <c r="F64" s="25" t="inlineStr">
        <is>
          <t>IA-ST-CFG-0076</t>
        </is>
      </c>
      <c r="G64" s="25" t="inlineStr">
        <is>
          <t>IA-PPWR-TF-ST-042-STD-02-R00</t>
        </is>
      </c>
      <c r="H64" s="25" t="inlineStr">
        <is>
          <t>2026-08-08</t>
        </is>
      </c>
      <c r="I64" s="25" t="inlineStr">
        <is>
          <t>Rev.00</t>
        </is>
      </c>
      <c r="J64" s="25" t="inlineStr">
        <is>
          <t>ACTIVE — unsigned</t>
        </is>
      </c>
      <c r="K64" s="31">
        <f>HYPERLINK("01_STARTER/ST-042-STD-02/02_EU_DoC.docx","Open")</f>
        <v/>
      </c>
    </row>
    <row r="65">
      <c r="A65" s="25" t="inlineStr">
        <is>
          <t>IA-PPWR-DOC-ST-042-STD-03-R00</t>
        </is>
      </c>
      <c r="B65" s="25" t="inlineStr">
        <is>
          <t>ST-042-STD-03</t>
        </is>
      </c>
      <c r="C65" s="25" t="inlineStr">
        <is>
          <t>IA-ST-042-STD-03</t>
        </is>
      </c>
      <c r="D65" s="25" t="inlineStr">
        <is>
          <t>L3 | Palet (4000037): 1 adet | Separatör (4000130): 3 adet</t>
        </is>
      </c>
      <c r="E65" s="25" t="inlineStr">
        <is>
          <t>L3 | Palet (4000037): 1 adet | Separatör (4000130): 3 adet / L3 | Pallet (4000037): 1 pc | Separator (4000130): 3 pcs</t>
        </is>
      </c>
      <c r="F65" s="25" t="inlineStr">
        <is>
          <t>IA-ST-CFG-0078</t>
        </is>
      </c>
      <c r="G65" s="25" t="inlineStr">
        <is>
          <t>IA-PPWR-TF-ST-042-STD-03-R00</t>
        </is>
      </c>
      <c r="H65" s="25" t="inlineStr">
        <is>
          <t>2026-08-08</t>
        </is>
      </c>
      <c r="I65" s="25" t="inlineStr">
        <is>
          <t>Rev.00</t>
        </is>
      </c>
      <c r="J65" s="25" t="inlineStr">
        <is>
          <t>ACTIVE — unsigned</t>
        </is>
      </c>
      <c r="K65" s="31">
        <f>HYPERLINK("01_STARTER/ST-042-STD-03/02_EU_DoC.docx","Open")</f>
        <v/>
      </c>
    </row>
    <row r="66">
      <c r="A66" s="25" t="inlineStr">
        <is>
          <t>IA-PPWR-DOC-ST-042-STD-04-R00</t>
        </is>
      </c>
      <c r="B66" s="25" t="inlineStr">
        <is>
          <t>ST-042-STD-04</t>
        </is>
      </c>
      <c r="C66" s="25" t="inlineStr">
        <is>
          <t>IA-ST-042-STD-04</t>
        </is>
      </c>
      <c r="D66" s="25" t="inlineStr">
        <is>
          <t>L3 | Palet (4000037): 1 adet | Separatör (4000130): 4 adet</t>
        </is>
      </c>
      <c r="E66" s="25" t="inlineStr">
        <is>
          <t>L3 | Palet (4000037): 1 adet | Separatör (4000130): 4 adet / L3 | Pallet (4000037): 1 pc | Separator (4000130): 4 pcs</t>
        </is>
      </c>
      <c r="F66" s="25" t="inlineStr">
        <is>
          <t>IA-ST-CFG-0079</t>
        </is>
      </c>
      <c r="G66" s="25" t="inlineStr">
        <is>
          <t>IA-PPWR-TF-ST-042-STD-04-R00</t>
        </is>
      </c>
      <c r="H66" s="25" t="inlineStr">
        <is>
          <t>2026-08-08</t>
        </is>
      </c>
      <c r="I66" s="25" t="inlineStr">
        <is>
          <t>Rev.00</t>
        </is>
      </c>
      <c r="J66" s="25" t="inlineStr">
        <is>
          <t>ACTIVE — unsigned</t>
        </is>
      </c>
      <c r="K66" s="31">
        <f>HYPERLINK("01_STARTER/ST-042-STD-04/02_EU_DoC.docx","Open")</f>
        <v/>
      </c>
    </row>
    <row r="67">
      <c r="A67" s="25" t="inlineStr">
        <is>
          <t>IA-PPWR-DOC-ST-042-STD-05-R00</t>
        </is>
      </c>
      <c r="B67" s="25" t="inlineStr">
        <is>
          <t>ST-042-STD-05</t>
        </is>
      </c>
      <c r="C67" s="25" t="inlineStr">
        <is>
          <t>IA-ST-042-STD-05</t>
        </is>
      </c>
      <c r="D67" s="25" t="inlineStr">
        <is>
          <t>L6 | Palet (4000037): 1 adet | Çember (4000450): 7 m</t>
        </is>
      </c>
      <c r="E67" s="25" t="inlineStr">
        <is>
          <t>L6 | Palet (4000037): 1 adet | Çember (4000450): 7 m / L6 | Pallet (4000037): 1 pc | Strap (4000450): 7 m</t>
        </is>
      </c>
      <c r="F67" s="25" t="inlineStr">
        <is>
          <t>IA-ST-CFG-0080</t>
        </is>
      </c>
      <c r="G67" s="25" t="inlineStr">
        <is>
          <t>IA-PPWR-TF-ST-042-STD-05-R00</t>
        </is>
      </c>
      <c r="H67" s="25" t="inlineStr">
        <is>
          <t>2026-08-08</t>
        </is>
      </c>
      <c r="I67" s="25" t="inlineStr">
        <is>
          <t>Rev.00</t>
        </is>
      </c>
      <c r="J67" s="25" t="inlineStr">
        <is>
          <t>ACTIVE — unsigned</t>
        </is>
      </c>
      <c r="K67" s="31">
        <f>HYPERLINK("01_STARTER/ST-042-STD-05/02_EU_DoC.docx","Open")</f>
        <v/>
      </c>
    </row>
    <row r="68">
      <c r="A68" s="25" t="inlineStr">
        <is>
          <t>IA-PPWR-DOC-ST-042-STD-06-R00</t>
        </is>
      </c>
      <c r="B68" s="25" t="inlineStr">
        <is>
          <t>ST-042-STD-06</t>
        </is>
      </c>
      <c r="C68" s="25" t="inlineStr">
        <is>
          <t>IA-ST-042-STD-06</t>
        </is>
      </c>
      <c r="D68" s="25" t="inlineStr">
        <is>
          <t>L6 | Palet (4000037): 1 adet | Çember (4000450): kullanılmaz</t>
        </is>
      </c>
      <c r="E68" s="25" t="inlineStr">
        <is>
          <t>L6 | Palet (4000037): 1 adet | Çember (4000450): kullanılmaz / L6 | Pallet (4000037): 1 pc | Strap (4000450): not used</t>
        </is>
      </c>
      <c r="F68" s="25" t="inlineStr">
        <is>
          <t>IA-ST-CFG-0081</t>
        </is>
      </c>
      <c r="G68" s="25" t="inlineStr">
        <is>
          <t>IA-PPWR-TF-ST-042-STD-06-R00</t>
        </is>
      </c>
      <c r="H68" s="25" t="inlineStr">
        <is>
          <t>2026-08-08</t>
        </is>
      </c>
      <c r="I68" s="25" t="inlineStr">
        <is>
          <t>Rev.00</t>
        </is>
      </c>
      <c r="J68" s="25" t="inlineStr">
        <is>
          <t>ACTIVE — unsigned</t>
        </is>
      </c>
      <c r="K68" s="31">
        <f>HYPERLINK("01_STARTER/ST-042-STD-06/02_EU_DoC.docx","Open")</f>
        <v/>
      </c>
    </row>
    <row r="69">
      <c r="A69" s="25" t="inlineStr">
        <is>
          <t>IA-PPWR-DOC-ST-042-STD-07-R00</t>
        </is>
      </c>
      <c r="B69" s="25" t="inlineStr">
        <is>
          <t>ST-042-STD-07</t>
        </is>
      </c>
      <c r="C69" s="25" t="inlineStr">
        <is>
          <t>IA-ST-042-STD-07</t>
        </is>
      </c>
      <c r="D69" s="25" t="inlineStr">
        <is>
          <t>L6 | Palet (4000037): 1 adet | Köşebent (4000590): 2 adet | Shrink film (4001177): 0.597 kg</t>
        </is>
      </c>
      <c r="E69" s="25" t="inlineStr">
        <is>
          <t>L6 | Palet (4000037): 1 adet | Köşebent (4000590): 2 adet | Shrink film (4001177): 0.597 kg / L6 | Pallet (4000037): 1 pc | Edge protector (4000590): 2 pcs | Shrink film (4001177): 0.597 kg</t>
        </is>
      </c>
      <c r="F69" s="25" t="inlineStr">
        <is>
          <t>IA-ST-CFG-0082</t>
        </is>
      </c>
      <c r="G69" s="25" t="inlineStr">
        <is>
          <t>IA-PPWR-TF-ST-042-STD-07-R00</t>
        </is>
      </c>
      <c r="H69" s="25" t="inlineStr">
        <is>
          <t>2026-08-08</t>
        </is>
      </c>
      <c r="I69" s="25" t="inlineStr">
        <is>
          <t>Rev.00</t>
        </is>
      </c>
      <c r="J69" s="25" t="inlineStr">
        <is>
          <t>ACTIVE — unsigned</t>
        </is>
      </c>
      <c r="K69" s="31">
        <f>HYPERLINK("01_STARTER/ST-042-STD-07/02_EU_DoC.docx","Open")</f>
        <v/>
      </c>
    </row>
    <row r="70">
      <c r="A70" s="25" t="inlineStr">
        <is>
          <t>IA-PPWR-DOC-ST-042-STD-08-R00</t>
        </is>
      </c>
      <c r="B70" s="25" t="inlineStr">
        <is>
          <t>ST-042-STD-08</t>
        </is>
      </c>
      <c r="C70" s="25" t="inlineStr">
        <is>
          <t>IA-ST-042-STD-08</t>
        </is>
      </c>
      <c r="D70" s="25" t="inlineStr">
        <is>
          <t>L6 | Palet (4000037): 1 adet | Köşebent (4000590): 4 adet</t>
        </is>
      </c>
      <c r="E70" s="25" t="inlineStr">
        <is>
          <t>L6 | Palet (4000037): 1 adet | Köşebent (4000590): 4 adet / L6 | Pallet (4000037): 1 pc | Edge protector (4000590): 4 pcs</t>
        </is>
      </c>
      <c r="F70" s="25" t="inlineStr">
        <is>
          <t>IA-ST-CFG-0083</t>
        </is>
      </c>
      <c r="G70" s="25" t="inlineStr">
        <is>
          <t>IA-PPWR-TF-ST-042-STD-08-R00</t>
        </is>
      </c>
      <c r="H70" s="25" t="inlineStr">
        <is>
          <t>2026-08-08</t>
        </is>
      </c>
      <c r="I70" s="25" t="inlineStr">
        <is>
          <t>Rev.00</t>
        </is>
      </c>
      <c r="J70" s="25" t="inlineStr">
        <is>
          <t>ACTIVE — unsigned</t>
        </is>
      </c>
      <c r="K70" s="31">
        <f>HYPERLINK("01_STARTER/ST-042-STD-08/02_EU_DoC.docx","Open")</f>
        <v/>
      </c>
    </row>
    <row r="71">
      <c r="A71" s="25" t="inlineStr">
        <is>
          <t>IA-PPWR-DOC-ST-044-STD-01-R00</t>
        </is>
      </c>
      <c r="B71" s="25" t="inlineStr">
        <is>
          <t>ST-044-STD-01</t>
        </is>
      </c>
      <c r="C71" s="25" t="inlineStr">
        <is>
          <t>IA-ST-044-STD-01</t>
        </is>
      </c>
      <c r="D71" s="25" t="inlineStr">
        <is>
          <t>L2 | L2 YUASA penceresiz Orta Doğu dış koli (4001102): 44 adet</t>
        </is>
      </c>
      <c r="E71" s="25" t="inlineStr">
        <is>
          <t>L2 | L2 YUASA penceresiz Orta Doğu dış koli (4001102): 44 adet / L2 | L2 YUASA windowless Middle East outer carton (4001102): 44 pcs</t>
        </is>
      </c>
      <c r="F71" s="25" t="inlineStr">
        <is>
          <t>IA-ST-CFG-0088</t>
        </is>
      </c>
      <c r="G71" s="25" t="inlineStr">
        <is>
          <t>IA-PPWR-TF-ST-044-STD-01-R00</t>
        </is>
      </c>
      <c r="H71" s="25" t="inlineStr">
        <is>
          <t>2026-08-08</t>
        </is>
      </c>
      <c r="I71" s="25" t="inlineStr">
        <is>
          <t>Rev.00</t>
        </is>
      </c>
      <c r="J71" s="25" t="inlineStr">
        <is>
          <t>ACTIVE — unsigned</t>
        </is>
      </c>
      <c r="K71" s="31">
        <f>HYPERLINK("01_STARTER/ST-044-STD-01/02_EU_DoC.docx","Open")</f>
        <v/>
      </c>
    </row>
    <row r="72">
      <c r="A72" s="25" t="inlineStr">
        <is>
          <t>IA-PPWR-DOC-ST-045-EUR-01-R00</t>
        </is>
      </c>
      <c r="B72" s="25" t="inlineStr">
        <is>
          <t>ST-045-EUR-01</t>
        </is>
      </c>
      <c r="C72" s="25" t="inlineStr">
        <is>
          <t>IA-ST-045-EUR-01</t>
        </is>
      </c>
      <c r="D72" s="25" t="inlineStr">
        <is>
          <t>L3 | Palet (4000038): 1 adet | Köşebent (4000590): 4 adet</t>
        </is>
      </c>
      <c r="E72" s="25" t="inlineStr">
        <is>
          <t>L3 | Palet (4000038): 1 adet | Köşebent (4000590): 4 adet / L3 | Pallet (4000038): 1 pc | Edge protector (4000590): 4 pcs</t>
        </is>
      </c>
      <c r="F72" s="25" t="inlineStr">
        <is>
          <t>IA-ST-CFG-0103</t>
        </is>
      </c>
      <c r="G72" s="25" t="inlineStr">
        <is>
          <t>IA-PPWR-TF-ST-045-EUR-01-R00</t>
        </is>
      </c>
      <c r="H72" s="25" t="inlineStr">
        <is>
          <t>2026-08-08</t>
        </is>
      </c>
      <c r="I72" s="25" t="inlineStr">
        <is>
          <t>Rev.00</t>
        </is>
      </c>
      <c r="J72" s="25" t="inlineStr">
        <is>
          <t>ACTIVE — unsigned</t>
        </is>
      </c>
      <c r="K72" s="31">
        <f>HYPERLINK("01_STARTER/ST-045-EUR-01/02_EU_DoC.docx","Open")</f>
        <v/>
      </c>
    </row>
    <row r="73">
      <c r="A73" s="25" t="inlineStr">
        <is>
          <t>IA-PPWR-DOC-ST-045-STD-01-R00</t>
        </is>
      </c>
      <c r="B73" s="25" t="inlineStr">
        <is>
          <t>ST-045-STD-01</t>
        </is>
      </c>
      <c r="C73" s="25" t="inlineStr">
        <is>
          <t>IA-ST-045-STD-01</t>
        </is>
      </c>
      <c r="D73" s="25" t="inlineStr">
        <is>
          <t>L5 | L5 YUASA penceresiz Orta Doğu dış koli (4001105): 45 adet</t>
        </is>
      </c>
      <c r="E73" s="25" t="inlineStr">
        <is>
          <t>L5 | L5 YUASA penceresiz Orta Doğu dış koli (4001105): 45 adet / L5 | L5 YUASA windowless Middle East outer carton (4001105): 45 pcs</t>
        </is>
      </c>
      <c r="F73" s="25" t="inlineStr">
        <is>
          <t>IA-ST-CFG-0089</t>
        </is>
      </c>
      <c r="G73" s="25" t="inlineStr">
        <is>
          <t>IA-PPWR-TF-ST-045-STD-01-R00</t>
        </is>
      </c>
      <c r="H73" s="25" t="inlineStr">
        <is>
          <t>2026-08-08</t>
        </is>
      </c>
      <c r="I73" s="25" t="inlineStr">
        <is>
          <t>Rev.00</t>
        </is>
      </c>
      <c r="J73" s="25" t="inlineStr">
        <is>
          <t>ACTIVE — unsigned</t>
        </is>
      </c>
      <c r="K73" s="31">
        <f>HYPERLINK("01_STARTER/ST-045-STD-01/02_EU_DoC.docx","Open")</f>
        <v/>
      </c>
    </row>
    <row r="74">
      <c r="A74" s="25" t="inlineStr">
        <is>
          <t>IA-PPWR-DOC-ST-045-STD-02-R00</t>
        </is>
      </c>
      <c r="B74" s="25" t="inlineStr">
        <is>
          <t>ST-045-STD-02</t>
        </is>
      </c>
      <c r="C74" s="25" t="inlineStr">
        <is>
          <t>IA-ST-045-STD-02</t>
        </is>
      </c>
      <c r="D74" s="25" t="inlineStr">
        <is>
          <t>L5 | L5 İnci AGM LEO 95AH 870A pencereli dış koli (4001194): 45 adet</t>
        </is>
      </c>
      <c r="E74" s="25" t="inlineStr">
        <is>
          <t>L5 | L5 İnci AGM LEO 95AH 870A pencereli dış koli (4001194): 45 adet / L5 | L5 İnci AGM LEO 95AH 870A windowed outer carton (4001194): 45 pcs</t>
        </is>
      </c>
      <c r="F74" s="25" t="inlineStr">
        <is>
          <t>IA-ST-CFG-0090</t>
        </is>
      </c>
      <c r="G74" s="25" t="inlineStr">
        <is>
          <t>IA-PPWR-TF-ST-045-STD-02-R00</t>
        </is>
      </c>
      <c r="H74" s="25" t="inlineStr">
        <is>
          <t>2026-08-08</t>
        </is>
      </c>
      <c r="I74" s="25" t="inlineStr">
        <is>
          <t>Rev.00</t>
        </is>
      </c>
      <c r="J74" s="25" t="inlineStr">
        <is>
          <t>ACTIVE — unsigned</t>
        </is>
      </c>
      <c r="K74" s="31">
        <f>HYPERLINK("01_STARTER/ST-045-STD-02/02_EU_DoC.docx","Open")</f>
        <v/>
      </c>
    </row>
    <row r="75">
      <c r="A75" s="25" t="inlineStr">
        <is>
          <t>IA-PPWR-DOC-ST-045-STD-03-R00</t>
        </is>
      </c>
      <c r="B75" s="25" t="inlineStr">
        <is>
          <t>ST-045-STD-03</t>
        </is>
      </c>
      <c r="C75" s="25" t="inlineStr">
        <is>
          <t>IA-ST-045-STD-03</t>
        </is>
      </c>
      <c r="D75" s="25" t="inlineStr">
        <is>
          <t>L5 | L5 EAS AGM S&amp;S 95AH 870A pencereli dış koli (4001398): 45 adet</t>
        </is>
      </c>
      <c r="E75" s="25" t="inlineStr">
        <is>
          <t>L5 | L5 EAS AGM S&amp;S 95AH 870A pencereli dış koli (4001398): 45 adet / L5 | L5 EAS AGM S&amp;S 95AH 870A windowed outer carton (4001398): 45 pcs</t>
        </is>
      </c>
      <c r="F75" s="25" t="inlineStr">
        <is>
          <t>IA-ST-CFG-0091</t>
        </is>
      </c>
      <c r="G75" s="25" t="inlineStr">
        <is>
          <t>IA-PPWR-TF-ST-045-STD-03-R00</t>
        </is>
      </c>
      <c r="H75" s="25" t="inlineStr">
        <is>
          <t>2026-08-08</t>
        </is>
      </c>
      <c r="I75" s="25" t="inlineStr">
        <is>
          <t>Rev.00</t>
        </is>
      </c>
      <c r="J75" s="25" t="inlineStr">
        <is>
          <t>ACTIVE — unsigned</t>
        </is>
      </c>
      <c r="K75" s="31">
        <f>HYPERLINK("01_STARTER/ST-045-STD-03/02_EU_DoC.docx","Open")</f>
        <v/>
      </c>
    </row>
    <row r="76">
      <c r="A76" s="25" t="inlineStr">
        <is>
          <t>IA-PPWR-DOC-ST-045-STD-04-R00</t>
        </is>
      </c>
      <c r="B76" s="25" t="inlineStr">
        <is>
          <t>ST-045-STD-04</t>
        </is>
      </c>
      <c r="C76" s="25" t="inlineStr">
        <is>
          <t>IA-ST-045-STD-04</t>
        </is>
      </c>
      <c r="D76" s="25" t="inlineStr">
        <is>
          <t>L5 | Palet (4000037): 1 adet | Separatör (4000130): 4 adet | Streç ped (4000301): 0.186 kg | Köşebent (4000590): 4 adet</t>
        </is>
      </c>
      <c r="E76" s="25" t="inlineStr">
        <is>
          <t>L5 | Palet (4000037): 1 adet | Separatör (4000130): 4 adet | Streç ped (4000301): 0.186 kg | Köşebent (4000590): 4 adet / L5 | Pallet (4000037): 1 pc | Separator (4000130): 4 pcs | Stretch pad (4000301): 0.186 kg | Edge protector (4000590): 4 pcs</t>
        </is>
      </c>
      <c r="F76" s="25" t="inlineStr">
        <is>
          <t>IA-ST-CFG-0092</t>
        </is>
      </c>
      <c r="G76" s="25" t="inlineStr">
        <is>
          <t>IA-PPWR-TF-ST-045-STD-04-R00</t>
        </is>
      </c>
      <c r="H76" s="25" t="inlineStr">
        <is>
          <t>2026-08-08</t>
        </is>
      </c>
      <c r="I76" s="25" t="inlineStr">
        <is>
          <t>Rev.00</t>
        </is>
      </c>
      <c r="J76" s="25" t="inlineStr">
        <is>
          <t>ACTIVE — unsigned</t>
        </is>
      </c>
      <c r="K76" s="31">
        <f>HYPERLINK("01_STARTER/ST-045-STD-04/02_EU_DoC.docx","Open")</f>
        <v/>
      </c>
    </row>
    <row r="77">
      <c r="A77" s="25" t="inlineStr">
        <is>
          <t>IA-PPWR-DOC-ST-045-STD-05-R00</t>
        </is>
      </c>
      <c r="B77" s="25" t="inlineStr">
        <is>
          <t>ST-045-STD-05</t>
        </is>
      </c>
      <c r="C77" s="25" t="inlineStr">
        <is>
          <t>IA-ST-045-STD-05</t>
        </is>
      </c>
      <c r="D77" s="25" t="inlineStr">
        <is>
          <t>TRACTORL, TRACTOR | TRAKTÖR PVC üst kapak (4000494): 45 adet | Köşebent (4000590): 2 adet</t>
        </is>
      </c>
      <c r="E77" s="25" t="inlineStr">
        <is>
          <t>TRACTORL, TRACTOR | TRAKTÖR PVC üst kapak (4000494): 45 adet | Köşebent (4000590): 2 adet / TRACTORL, TRACTOR | TRAKTÖR PVC upper cover (4000494): 45 pcs | Edge protector (4000590): 2 pcs</t>
        </is>
      </c>
      <c r="F77" s="25" t="inlineStr">
        <is>
          <t>IA-ST-CFG-0093</t>
        </is>
      </c>
      <c r="G77" s="25" t="inlineStr">
        <is>
          <t>IA-PPWR-TF-ST-045-STD-05-R00</t>
        </is>
      </c>
      <c r="H77" s="25" t="inlineStr">
        <is>
          <t>2026-08-08</t>
        </is>
      </c>
      <c r="I77" s="25" t="inlineStr">
        <is>
          <t>Rev.00</t>
        </is>
      </c>
      <c r="J77" s="25" t="inlineStr">
        <is>
          <t>ACTIVE — unsigned</t>
        </is>
      </c>
      <c r="K77" s="31">
        <f>HYPERLINK("01_STARTER/ST-045-STD-05/02_EU_DoC.docx","Open")</f>
        <v/>
      </c>
    </row>
    <row r="78">
      <c r="A78" s="25" t="inlineStr">
        <is>
          <t>IA-PPWR-DOC-ST-045-STD-06-R00</t>
        </is>
      </c>
      <c r="B78" s="25" t="inlineStr">
        <is>
          <t>ST-045-STD-06</t>
        </is>
      </c>
      <c r="C78" s="25" t="inlineStr">
        <is>
          <t>IA-ST-045-STD-06</t>
        </is>
      </c>
      <c r="D78" s="25" t="inlineStr">
        <is>
          <t>L5 | Palet (4000037): 1 adet | Çember (4000450): 7 m | Shrink film (4000608): kullanılmaz</t>
        </is>
      </c>
      <c r="E78" s="25" t="inlineStr">
        <is>
          <t>L5 | Palet (4000037): 1 adet | Çember (4000450): 7 m | Shrink film (4000608): kullanılmaz / L5 | Pallet (4000037): 1 pc | Strap (4000450): 7 m | Shrink film (4000608): not used</t>
        </is>
      </c>
      <c r="F78" s="25" t="inlineStr">
        <is>
          <t>IA-ST-CFG-0094</t>
        </is>
      </c>
      <c r="G78" s="25" t="inlineStr">
        <is>
          <t>IA-PPWR-TF-ST-045-STD-06-R00</t>
        </is>
      </c>
      <c r="H78" s="25" t="inlineStr">
        <is>
          <t>2026-08-08</t>
        </is>
      </c>
      <c r="I78" s="25" t="inlineStr">
        <is>
          <t>Rev.00</t>
        </is>
      </c>
      <c r="J78" s="25" t="inlineStr">
        <is>
          <t>ACTIVE — unsigned</t>
        </is>
      </c>
      <c r="K78" s="31">
        <f>HYPERLINK("01_STARTER/ST-045-STD-06/02_EU_DoC.docx","Open")</f>
        <v/>
      </c>
    </row>
    <row r="79">
      <c r="A79" s="25" t="inlineStr">
        <is>
          <t>IA-PPWR-DOC-ST-045-STD-07-R00</t>
        </is>
      </c>
      <c r="B79" s="25" t="inlineStr">
        <is>
          <t>ST-045-STD-07</t>
        </is>
      </c>
      <c r="C79" s="25" t="inlineStr">
        <is>
          <t>IA-ST-045-STD-07</t>
        </is>
      </c>
      <c r="D79" s="25" t="inlineStr">
        <is>
          <t>LB5 | Palet (4000037): 1 adet | Shrink film (4000608): 1.53 kg</t>
        </is>
      </c>
      <c r="E79" s="25" t="inlineStr">
        <is>
          <t>LB5 | Palet (4000037): 1 adet | Shrink film (4000608): 1.53 kg / LB5 | Pallet (4000037): 1 pc | Shrink film (4000608): 1.53 kg</t>
        </is>
      </c>
      <c r="F79" s="25" t="inlineStr">
        <is>
          <t>IA-ST-CFG-0095</t>
        </is>
      </c>
      <c r="G79" s="25" t="inlineStr">
        <is>
          <t>IA-PPWR-TF-ST-045-STD-07-R00</t>
        </is>
      </c>
      <c r="H79" s="25" t="inlineStr">
        <is>
          <t>2026-08-08</t>
        </is>
      </c>
      <c r="I79" s="25" t="inlineStr">
        <is>
          <t>Rev.00</t>
        </is>
      </c>
      <c r="J79" s="25" t="inlineStr">
        <is>
          <t>ACTIVE — unsigned</t>
        </is>
      </c>
      <c r="K79" s="31">
        <f>HYPERLINK("01_STARTER/ST-045-STD-07/02_EU_DoC.docx","Open")</f>
        <v/>
      </c>
    </row>
    <row r="80">
      <c r="A80" s="25" t="inlineStr">
        <is>
          <t>IA-PPWR-DOC-ST-045-STD-08-R00</t>
        </is>
      </c>
      <c r="B80" s="25" t="inlineStr">
        <is>
          <t>ST-045-STD-08</t>
        </is>
      </c>
      <c r="C80" s="25" t="inlineStr">
        <is>
          <t>IA-ST-045-STD-08</t>
        </is>
      </c>
      <c r="D80" s="25" t="inlineStr">
        <is>
          <t>L5 | Palet (4000037): 1 adet | Köşebent (4000590): 2 adet | Shrink film (4000608): 1.8 kg</t>
        </is>
      </c>
      <c r="E80" s="25" t="inlineStr">
        <is>
          <t>L5 | Palet (4000037): 1 adet | Köşebent (4000590): 2 adet | Shrink film (4000608): 1.8 kg / L5 | Pallet (4000037): 1 pc | Edge protector (4000590): 2 pcs | Shrink film (4000608): 1.8 kg</t>
        </is>
      </c>
      <c r="F80" s="25" t="inlineStr">
        <is>
          <t>IA-ST-CFG-0096</t>
        </is>
      </c>
      <c r="G80" s="25" t="inlineStr">
        <is>
          <t>IA-PPWR-TF-ST-045-STD-08-R00</t>
        </is>
      </c>
      <c r="H80" s="25" t="inlineStr">
        <is>
          <t>2026-08-08</t>
        </is>
      </c>
      <c r="I80" s="25" t="inlineStr">
        <is>
          <t>Rev.00</t>
        </is>
      </c>
      <c r="J80" s="25" t="inlineStr">
        <is>
          <t>ACTIVE — unsigned</t>
        </is>
      </c>
      <c r="K80" s="31">
        <f>HYPERLINK("01_STARTER/ST-045-STD-08/02_EU_DoC.docx","Open")</f>
        <v/>
      </c>
    </row>
    <row r="81">
      <c r="A81" s="25" t="inlineStr">
        <is>
          <t>IA-PPWR-DOC-ST-045-STD-09-R00</t>
        </is>
      </c>
      <c r="B81" s="25" t="inlineStr">
        <is>
          <t>ST-045-STD-09</t>
        </is>
      </c>
      <c r="C81" s="25" t="inlineStr">
        <is>
          <t>IA-ST-045-STD-09</t>
        </is>
      </c>
      <c r="D81" s="25" t="inlineStr">
        <is>
          <t>TRACTORL, TRACTOR | TRAKTÖR PVC üst kapak (4000494): 45 adet | Köşebent (4000590): kullanılmaz</t>
        </is>
      </c>
      <c r="E81" s="25" t="inlineStr">
        <is>
          <t>TRACTORL, TRACTOR | TRAKTÖR PVC üst kapak (4000494): 45 adet | Köşebent (4000590): kullanılmaz / TRACTORL, TRACTOR | TRAKTÖR PVC upper cover (4000494): 45 pcs | Edge protector (4000590): not used</t>
        </is>
      </c>
      <c r="F81" s="25" t="inlineStr">
        <is>
          <t>IA-ST-CFG-0097</t>
        </is>
      </c>
      <c r="G81" s="25" t="inlineStr">
        <is>
          <t>IA-PPWR-TF-ST-045-STD-09-R00</t>
        </is>
      </c>
      <c r="H81" s="25" t="inlineStr">
        <is>
          <t>2026-08-08</t>
        </is>
      </c>
      <c r="I81" s="25" t="inlineStr">
        <is>
          <t>Rev.00</t>
        </is>
      </c>
      <c r="J81" s="25" t="inlineStr">
        <is>
          <t>ACTIVE — unsigned</t>
        </is>
      </c>
      <c r="K81" s="31">
        <f>HYPERLINK("01_STARTER/ST-045-STD-09/02_EU_DoC.docx","Open")</f>
        <v/>
      </c>
    </row>
    <row r="82">
      <c r="A82" s="25" t="inlineStr">
        <is>
          <t>IA-PPWR-DOC-ST-045-STD-10-R00</t>
        </is>
      </c>
      <c r="B82" s="25" t="inlineStr">
        <is>
          <t>ST-045-STD-10</t>
        </is>
      </c>
      <c r="C82" s="25" t="inlineStr">
        <is>
          <t>IA-ST-045-STD-10</t>
        </is>
      </c>
      <c r="D82" s="25" t="inlineStr">
        <is>
          <t>L5 | Palet (4000037): 1 adet | Çember (4000450): kullanılmaz</t>
        </is>
      </c>
      <c r="E82" s="25" t="inlineStr">
        <is>
          <t>L5 | Palet (4000037): 1 adet | Çember (4000450): kullanılmaz / L5 | Pallet (4000037): 1 pc | Strap (4000450): not used</t>
        </is>
      </c>
      <c r="F82" s="25" t="inlineStr">
        <is>
          <t>IA-ST-CFG-0098</t>
        </is>
      </c>
      <c r="G82" s="25" t="inlineStr">
        <is>
          <t>IA-PPWR-TF-ST-045-STD-10-R00</t>
        </is>
      </c>
      <c r="H82" s="25" t="inlineStr">
        <is>
          <t>2026-08-08</t>
        </is>
      </c>
      <c r="I82" s="25" t="inlineStr">
        <is>
          <t>Rev.00</t>
        </is>
      </c>
      <c r="J82" s="25" t="inlineStr">
        <is>
          <t>ACTIVE — unsigned</t>
        </is>
      </c>
      <c r="K82" s="31">
        <f>HYPERLINK("01_STARTER/ST-045-STD-10/02_EU_DoC.docx","Open")</f>
        <v/>
      </c>
    </row>
    <row r="83">
      <c r="A83" s="25" t="inlineStr">
        <is>
          <t>IA-PPWR-DOC-ST-045-STD-11-R00</t>
        </is>
      </c>
      <c r="B83" s="25" t="inlineStr">
        <is>
          <t>ST-045-STD-11</t>
        </is>
      </c>
      <c r="C83" s="25" t="inlineStr">
        <is>
          <t>IA-ST-045-STD-11</t>
        </is>
      </c>
      <c r="D83" s="25" t="inlineStr">
        <is>
          <t>TRACTOR | Palet (4000037): 1 adet | Shrink film (4001177): 0.597 kg</t>
        </is>
      </c>
      <c r="E83" s="25" t="inlineStr">
        <is>
          <t>TRACTOR | Palet (4000037): 1 adet | Shrink film (4001177): 0.597 kg / TRACTOR | Pallet (4000037): 1 pc | Shrink film (4001177): 0.597 kg</t>
        </is>
      </c>
      <c r="F83" s="25" t="inlineStr">
        <is>
          <t>IA-ST-CFG-0099</t>
        </is>
      </c>
      <c r="G83" s="25" t="inlineStr">
        <is>
          <t>IA-PPWR-TF-ST-045-STD-11-R00</t>
        </is>
      </c>
      <c r="H83" s="25" t="inlineStr">
        <is>
          <t>2026-08-08</t>
        </is>
      </c>
      <c r="I83" s="25" t="inlineStr">
        <is>
          <t>Rev.00</t>
        </is>
      </c>
      <c r="J83" s="25" t="inlineStr">
        <is>
          <t>ACTIVE — unsigned</t>
        </is>
      </c>
      <c r="K83" s="31">
        <f>HYPERLINK("01_STARTER/ST-045-STD-11/02_EU_DoC.docx","Open")</f>
        <v/>
      </c>
    </row>
    <row r="84">
      <c r="A84" s="25" t="inlineStr">
        <is>
          <t>IA-PPWR-DOC-ST-045-STD-12-R00</t>
        </is>
      </c>
      <c r="B84" s="25" t="inlineStr">
        <is>
          <t>ST-045-STD-12</t>
        </is>
      </c>
      <c r="C84" s="25" t="inlineStr">
        <is>
          <t>IA-ST-045-STD-12</t>
        </is>
      </c>
      <c r="D84" s="25" t="inlineStr">
        <is>
          <t>L5 | Palet (4000037): 1 adet | Köşebent (4000590): 2 adet | Shrink film (4001177): 0.597 kg</t>
        </is>
      </c>
      <c r="E84" s="25" t="inlineStr">
        <is>
          <t>L5 | Palet (4000037): 1 adet | Köşebent (4000590): 2 adet | Shrink film (4001177): 0.597 kg / L5 | Pallet (4000037): 1 pc | Edge protector (4000590): 2 pcs | Shrink film (4001177): 0.597 kg</t>
        </is>
      </c>
      <c r="F84" s="25" t="inlineStr">
        <is>
          <t>IA-ST-CFG-0100</t>
        </is>
      </c>
      <c r="G84" s="25" t="inlineStr">
        <is>
          <t>IA-PPWR-TF-ST-045-STD-12-R00</t>
        </is>
      </c>
      <c r="H84" s="25" t="inlineStr">
        <is>
          <t>2026-08-08</t>
        </is>
      </c>
      <c r="I84" s="25" t="inlineStr">
        <is>
          <t>Rev.00</t>
        </is>
      </c>
      <c r="J84" s="25" t="inlineStr">
        <is>
          <t>ACTIVE — unsigned</t>
        </is>
      </c>
      <c r="K84" s="31">
        <f>HYPERLINK("01_STARTER/ST-045-STD-12/02_EU_DoC.docx","Open")</f>
        <v/>
      </c>
    </row>
    <row r="85">
      <c r="A85" s="25" t="inlineStr">
        <is>
          <t>IA-PPWR-DOC-ST-045-STD-13-R00</t>
        </is>
      </c>
      <c r="B85" s="25" t="inlineStr">
        <is>
          <t>ST-045-STD-13</t>
        </is>
      </c>
      <c r="C85" s="25" t="inlineStr">
        <is>
          <t>IA-ST-045-STD-13</t>
        </is>
      </c>
      <c r="D85" s="25" t="inlineStr">
        <is>
          <t>L5 | Palet (4000037): 1 adet | Köşebent (4000590): 4 adet | Shrink film (4001177): 0.597 kg</t>
        </is>
      </c>
      <c r="E85" s="25" t="inlineStr">
        <is>
          <t>L5 | Palet (4000037): 1 adet | Köşebent (4000590): 4 adet | Shrink film (4001177): 0.597 kg / L5 | Pallet (4000037): 1 pc | Edge protector (4000590): 4 pcs | Shrink film (4001177): 0.597 kg</t>
        </is>
      </c>
      <c r="F85" s="25" t="inlineStr">
        <is>
          <t>IA-ST-CFG-0101</t>
        </is>
      </c>
      <c r="G85" s="25" t="inlineStr">
        <is>
          <t>IA-PPWR-TF-ST-045-STD-13-R00</t>
        </is>
      </c>
      <c r="H85" s="25" t="inlineStr">
        <is>
          <t>2026-08-08</t>
        </is>
      </c>
      <c r="I85" s="25" t="inlineStr">
        <is>
          <t>Rev.00</t>
        </is>
      </c>
      <c r="J85" s="25" t="inlineStr">
        <is>
          <t>ACTIVE — unsigned</t>
        </is>
      </c>
      <c r="K85" s="31">
        <f>HYPERLINK("01_STARTER/ST-045-STD-13/02_EU_DoC.docx","Open")</f>
        <v/>
      </c>
    </row>
    <row r="86">
      <c r="A86" s="25" t="inlineStr">
        <is>
          <t>IA-PPWR-DOC-ST-045-STD-14-R00</t>
        </is>
      </c>
      <c r="B86" s="25" t="inlineStr">
        <is>
          <t>ST-045-STD-14</t>
        </is>
      </c>
      <c r="C86" s="25" t="inlineStr">
        <is>
          <t>IA-ST-045-STD-14</t>
        </is>
      </c>
      <c r="D86" s="25" t="inlineStr">
        <is>
          <t>L5 | Palet (4000037): 1 adet | Separatör (4000130): 5 adet</t>
        </is>
      </c>
      <c r="E86" s="25" t="inlineStr">
        <is>
          <t>L5 | Palet (4000037): 1 adet | Separatör (4000130): 5 adet / L5 | Pallet (4000037): 1 pc | Separator (4000130): 5 pcs</t>
        </is>
      </c>
      <c r="F86" s="25" t="inlineStr">
        <is>
          <t>IA-ST-CFG-0102</t>
        </is>
      </c>
      <c r="G86" s="25" t="inlineStr">
        <is>
          <t>IA-PPWR-TF-ST-045-STD-14-R00</t>
        </is>
      </c>
      <c r="H86" s="25" t="inlineStr">
        <is>
          <t>2026-08-08</t>
        </is>
      </c>
      <c r="I86" s="25" t="inlineStr">
        <is>
          <t>Rev.00</t>
        </is>
      </c>
      <c r="J86" s="25" t="inlineStr">
        <is>
          <t>ACTIVE — unsigned</t>
        </is>
      </c>
      <c r="K86" s="31">
        <f>HYPERLINK("01_STARTER/ST-045-STD-14/02_EU_DoC.docx","Open")</f>
        <v/>
      </c>
    </row>
    <row r="87">
      <c r="A87" s="25" t="inlineStr">
        <is>
          <t>IA-PPWR-DOC-ST-048-EUR-01-R00</t>
        </is>
      </c>
      <c r="B87" s="25" t="inlineStr">
        <is>
          <t>ST-048-EUR-01</t>
        </is>
      </c>
      <c r="C87" s="25" t="inlineStr">
        <is>
          <t>IA-ST-048-EUR-01</t>
        </is>
      </c>
      <c r="D87" s="25" t="inlineStr">
        <is>
          <t>L5 | L5 İnci AGM LEO 95AH 870A pencereli dış koli (4001194): 48 adet</t>
        </is>
      </c>
      <c r="E87" s="25" t="inlineStr">
        <is>
          <t>L5 | L5 İnci AGM LEO 95AH 870A pencereli dış koli (4001194): 48 adet / L5 | L5 İnci AGM LEO 95AH 870A windowed outer carton (4001194): 48 pcs</t>
        </is>
      </c>
      <c r="F87" s="25" t="inlineStr">
        <is>
          <t>IA-ST-CFG-0105</t>
        </is>
      </c>
      <c r="G87" s="25" t="inlineStr">
        <is>
          <t>IA-PPWR-TF-ST-048-EUR-01-R00</t>
        </is>
      </c>
      <c r="H87" s="25" t="inlineStr">
        <is>
          <t>2026-08-08</t>
        </is>
      </c>
      <c r="I87" s="25" t="inlineStr">
        <is>
          <t>Rev.00</t>
        </is>
      </c>
      <c r="J87" s="25" t="inlineStr">
        <is>
          <t>ACTIVE — unsigned</t>
        </is>
      </c>
      <c r="K87" s="31">
        <f>HYPERLINK("01_STARTER/ST-048-EUR-01/02_EU_DoC.docx","Open")</f>
        <v/>
      </c>
    </row>
    <row r="88">
      <c r="A88" s="25" t="inlineStr">
        <is>
          <t>IA-PPWR-DOC-ST-048-EUR-02-R00</t>
        </is>
      </c>
      <c r="B88" s="25" t="inlineStr">
        <is>
          <t>ST-048-EUR-02</t>
        </is>
      </c>
      <c r="C88" s="25" t="inlineStr">
        <is>
          <t>IA-ST-048-EUR-02</t>
        </is>
      </c>
      <c r="D88" s="25" t="inlineStr">
        <is>
          <t>D26 | D26 PVC üst kapak (4000440): 48 adet</t>
        </is>
      </c>
      <c r="E88" s="25" t="inlineStr">
        <is>
          <t>D26 | D26 PVC üst kapak (4000440): 48 adet / D26 | D26 PVC upper cover (4000440): 48 pcs</t>
        </is>
      </c>
      <c r="F88" s="25" t="inlineStr">
        <is>
          <t>IA-ST-CFG-0107</t>
        </is>
      </c>
      <c r="G88" s="25" t="inlineStr">
        <is>
          <t>IA-PPWR-TF-ST-048-EUR-02-R00</t>
        </is>
      </c>
      <c r="H88" s="25" t="inlineStr">
        <is>
          <t>2026-08-08</t>
        </is>
      </c>
      <c r="I88" s="25" t="inlineStr">
        <is>
          <t>Rev.00</t>
        </is>
      </c>
      <c r="J88" s="25" t="inlineStr">
        <is>
          <t>ACTIVE — unsigned</t>
        </is>
      </c>
      <c r="K88" s="31">
        <f>HYPERLINK("01_STARTER/ST-048-EUR-02/02_EU_DoC.docx","Open")</f>
        <v/>
      </c>
    </row>
    <row r="89">
      <c r="A89" s="25" t="inlineStr">
        <is>
          <t>IA-PPWR-DOC-ST-048-EUR-03-R00</t>
        </is>
      </c>
      <c r="B89" s="25" t="inlineStr">
        <is>
          <t>ST-048-EUR-03</t>
        </is>
      </c>
      <c r="C89" s="25" t="inlineStr">
        <is>
          <t>IA-ST-048-EUR-03</t>
        </is>
      </c>
      <c r="D89" s="25" t="inlineStr">
        <is>
          <t>D31 | Palet (4000038): 1 adet | EPS (4000573): 24 adet</t>
        </is>
      </c>
      <c r="E89" s="25" t="inlineStr">
        <is>
          <t>D31 | Palet (4000038): 1 adet | EPS (4000573): 24 adet / D31 | Pallet (4000038): 1 pc | EPS (4000573): 24 pcs</t>
        </is>
      </c>
      <c r="F89" s="25" t="inlineStr">
        <is>
          <t>IA-ST-CFG-0109</t>
        </is>
      </c>
      <c r="G89" s="25" t="inlineStr">
        <is>
          <t>IA-PPWR-TF-ST-048-EUR-03-R00</t>
        </is>
      </c>
      <c r="H89" s="25" t="inlineStr">
        <is>
          <t>2026-08-08</t>
        </is>
      </c>
      <c r="I89" s="25" t="inlineStr">
        <is>
          <t>Rev.00</t>
        </is>
      </c>
      <c r="J89" s="25" t="inlineStr">
        <is>
          <t>ACTIVE — unsigned</t>
        </is>
      </c>
      <c r="K89" s="31">
        <f>HYPERLINK("01_STARTER/ST-048-EUR-03/02_EU_DoC.docx","Open")</f>
        <v/>
      </c>
    </row>
    <row r="90">
      <c r="A90" s="25" t="inlineStr">
        <is>
          <t>IA-PPWR-DOC-ST-048-EUR-04-R00</t>
        </is>
      </c>
      <c r="B90" s="25" t="inlineStr">
        <is>
          <t>ST-048-EUR-04</t>
        </is>
      </c>
      <c r="C90" s="25" t="inlineStr">
        <is>
          <t>IA-ST-048-EUR-04</t>
        </is>
      </c>
      <c r="D90" s="25" t="inlineStr">
        <is>
          <t>L5 | Palet (4000038): 1 adet | Shrink film (4000608): 1.92 kg</t>
        </is>
      </c>
      <c r="E90" s="25" t="inlineStr">
        <is>
          <t>L5 | Palet (4000038): 1 adet | Shrink film (4000608): 1.92 kg / L5 | Pallet (4000038): 1 pc | Shrink film (4000608): 1.92 kg</t>
        </is>
      </c>
      <c r="F90" s="25" t="inlineStr">
        <is>
          <t>IA-ST-CFG-0110</t>
        </is>
      </c>
      <c r="G90" s="25" t="inlineStr">
        <is>
          <t>IA-PPWR-TF-ST-048-EUR-04-R00</t>
        </is>
      </c>
      <c r="H90" s="25" t="inlineStr">
        <is>
          <t>2026-08-08</t>
        </is>
      </c>
      <c r="I90" s="25" t="inlineStr">
        <is>
          <t>Rev.00</t>
        </is>
      </c>
      <c r="J90" s="25" t="inlineStr">
        <is>
          <t>ACTIVE — unsigned</t>
        </is>
      </c>
      <c r="K90" s="31">
        <f>HYPERLINK("01_STARTER/ST-048-EUR-04/02_EU_DoC.docx","Open")</f>
        <v/>
      </c>
    </row>
    <row r="91">
      <c r="A91" s="25" t="inlineStr">
        <is>
          <t>IA-PPWR-DOC-ST-048-EUR-05-R00</t>
        </is>
      </c>
      <c r="B91" s="25" t="inlineStr">
        <is>
          <t>ST-048-EUR-05</t>
        </is>
      </c>
      <c r="C91" s="25" t="inlineStr">
        <is>
          <t>IA-ST-048-EUR-05</t>
        </is>
      </c>
      <c r="D91" s="25" t="inlineStr">
        <is>
          <t>D31 | Palet (4000038): 1 adet | Honeycomb (4001186): 3 adet</t>
        </is>
      </c>
      <c r="E91" s="25" t="inlineStr">
        <is>
          <t>D31 | Palet (4000038): 1 adet | Honeycomb (4001186): 3 adet / D31 | Pallet (4000038): 1 pc | Honeycomb (4001186): 3 pcs</t>
        </is>
      </c>
      <c r="F91" s="25" t="inlineStr">
        <is>
          <t>IA-ST-CFG-0111</t>
        </is>
      </c>
      <c r="G91" s="25" t="inlineStr">
        <is>
          <t>IA-PPWR-TF-ST-048-EUR-05-R00</t>
        </is>
      </c>
      <c r="H91" s="25" t="inlineStr">
        <is>
          <t>2026-08-08</t>
        </is>
      </c>
      <c r="I91" s="25" t="inlineStr">
        <is>
          <t>Rev.00</t>
        </is>
      </c>
      <c r="J91" s="25" t="inlineStr">
        <is>
          <t>ACTIVE — unsigned</t>
        </is>
      </c>
      <c r="K91" s="31">
        <f>HYPERLINK("01_STARTER/ST-048-EUR-05/02_EU_DoC.docx","Open")</f>
        <v/>
      </c>
    </row>
    <row r="92">
      <c r="A92" s="25" t="inlineStr">
        <is>
          <t>IA-PPWR-DOC-ST-048-EUR-06-R00</t>
        </is>
      </c>
      <c r="B92" s="25" t="inlineStr">
        <is>
          <t>ST-048-EUR-06</t>
        </is>
      </c>
      <c r="C92" s="25" t="inlineStr">
        <is>
          <t>IA-ST-048-EUR-06</t>
        </is>
      </c>
      <c r="D92" s="25" t="inlineStr">
        <is>
          <t>D31 | Palet (4000038): 1 adet | Köşebent (4000590): 4 adet | EPS (4001247): 3 adet</t>
        </is>
      </c>
      <c r="E92" s="25" t="inlineStr">
        <is>
          <t>D31 | Palet (4000038): 1 adet | Köşebent (4000590): 4 adet | EPS (4001247): 3 adet / D31 | Pallet (4000038): 1 pc | Edge protector (4000590): 4 pcs | EPS (4001247): 3 pcs</t>
        </is>
      </c>
      <c r="F92" s="25" t="inlineStr">
        <is>
          <t>IA-ST-CFG-0112</t>
        </is>
      </c>
      <c r="G92" s="25" t="inlineStr">
        <is>
          <t>IA-PPWR-TF-ST-048-EUR-06-R00</t>
        </is>
      </c>
      <c r="H92" s="25" t="inlineStr">
        <is>
          <t>2026-08-08</t>
        </is>
      </c>
      <c r="I92" s="25" t="inlineStr">
        <is>
          <t>Rev.00</t>
        </is>
      </c>
      <c r="J92" s="25" t="inlineStr">
        <is>
          <t>ACTIVE — unsigned</t>
        </is>
      </c>
      <c r="K92" s="31">
        <f>HYPERLINK("01_STARTER/ST-048-EUR-06/02_EU_DoC.docx","Open")</f>
        <v/>
      </c>
    </row>
    <row r="93">
      <c r="A93" s="25" t="inlineStr">
        <is>
          <t>IA-PPWR-DOC-ST-048-EUR-07-R00</t>
        </is>
      </c>
      <c r="B93" s="25" t="inlineStr">
        <is>
          <t>ST-048-EUR-07</t>
        </is>
      </c>
      <c r="C93" s="25" t="inlineStr">
        <is>
          <t>IA-ST-048-EUR-07</t>
        </is>
      </c>
      <c r="D93" s="25" t="inlineStr">
        <is>
          <t>L3 | Palet (4000038): 1 adet | Köşebent (4000590): 4 adet</t>
        </is>
      </c>
      <c r="E93" s="25" t="inlineStr">
        <is>
          <t>L3 | Palet (4000038): 1 adet | Köşebent (4000590): 4 adet / L3 | Pallet (4000038): 1 pc | Edge protector (4000590): 4 pcs</t>
        </is>
      </c>
      <c r="F93" s="25" t="inlineStr">
        <is>
          <t>IA-ST-CFG-0113</t>
        </is>
      </c>
      <c r="G93" s="25" t="inlineStr">
        <is>
          <t>IA-PPWR-TF-ST-048-EUR-07-R00</t>
        </is>
      </c>
      <c r="H93" s="25" t="inlineStr">
        <is>
          <t>2026-08-08</t>
        </is>
      </c>
      <c r="I93" s="25" t="inlineStr">
        <is>
          <t>Rev.00</t>
        </is>
      </c>
      <c r="J93" s="25" t="inlineStr">
        <is>
          <t>ACTIVE — unsigned</t>
        </is>
      </c>
      <c r="K93" s="31">
        <f>HYPERLINK("01_STARTER/ST-048-EUR-07/02_EU_DoC.docx","Open")</f>
        <v/>
      </c>
    </row>
    <row r="94">
      <c r="A94" s="25" t="inlineStr">
        <is>
          <t>IA-PPWR-DOC-ST-048-EUR-08-R00</t>
        </is>
      </c>
      <c r="B94" s="25" t="inlineStr">
        <is>
          <t>ST-048-EUR-08</t>
        </is>
      </c>
      <c r="C94" s="25" t="inlineStr">
        <is>
          <t>IA-ST-048-EUR-08</t>
        </is>
      </c>
      <c r="D94" s="25" t="inlineStr">
        <is>
          <t>L5 | Palet (4000038): 1 adet | Köşebent (4000590): 4 adet | Shrink film (4000608): kullanılmaz</t>
        </is>
      </c>
      <c r="E94" s="25" t="inlineStr">
        <is>
          <t>L5 | Palet (4000038): 1 adet | Köşebent (4000590): 4 adet | Shrink film (4000608): kullanılmaz / L5 | Pallet (4000038): 1 pc | Edge protector (4000590): 4 pcs | Shrink film (4000608): not used</t>
        </is>
      </c>
      <c r="F94" s="25" t="inlineStr">
        <is>
          <t>IA-ST-CFG-0114</t>
        </is>
      </c>
      <c r="G94" s="25" t="inlineStr">
        <is>
          <t>IA-PPWR-TF-ST-048-EUR-08-R00</t>
        </is>
      </c>
      <c r="H94" s="25" t="inlineStr">
        <is>
          <t>2026-08-08</t>
        </is>
      </c>
      <c r="I94" s="25" t="inlineStr">
        <is>
          <t>Rev.00</t>
        </is>
      </c>
      <c r="J94" s="25" t="inlineStr">
        <is>
          <t>ACTIVE — unsigned</t>
        </is>
      </c>
      <c r="K94" s="31">
        <f>HYPERLINK("01_STARTER/ST-048-EUR-08/02_EU_DoC.docx","Open")</f>
        <v/>
      </c>
    </row>
    <row r="95">
      <c r="A95" s="25" t="inlineStr">
        <is>
          <t>IA-PPWR-DOC-ST-048-EUR-09-R00</t>
        </is>
      </c>
      <c r="B95" s="25" t="inlineStr">
        <is>
          <t>ST-048-EUR-09</t>
        </is>
      </c>
      <c r="C95" s="25" t="inlineStr">
        <is>
          <t>IA-ST-048-EUR-09</t>
        </is>
      </c>
      <c r="D95" s="25" t="inlineStr">
        <is>
          <t>D31 | D31 PVC üst kapak (4001310): 48 adet</t>
        </is>
      </c>
      <c r="E95" s="25" t="inlineStr">
        <is>
          <t>D31 | D31 PVC üst kapak (4001310): 48 adet / D31 | D31 PVC upper cover (4001310): 48 pcs</t>
        </is>
      </c>
      <c r="F95" s="25" t="inlineStr">
        <is>
          <t>IA-ST-CFG-0115</t>
        </is>
      </c>
      <c r="G95" s="25" t="inlineStr">
        <is>
          <t>IA-PPWR-TF-ST-048-EUR-09-R00</t>
        </is>
      </c>
      <c r="H95" s="25" t="inlineStr">
        <is>
          <t>2026-08-08</t>
        </is>
      </c>
      <c r="I95" s="25" t="inlineStr">
        <is>
          <t>Rev.00</t>
        </is>
      </c>
      <c r="J95" s="25" t="inlineStr">
        <is>
          <t>ACTIVE — unsigned</t>
        </is>
      </c>
      <c r="K95" s="31">
        <f>HYPERLINK("01_STARTER/ST-048-EUR-09/02_EU_DoC.docx","Open")</f>
        <v/>
      </c>
    </row>
    <row r="96">
      <c r="A96" s="25" t="inlineStr">
        <is>
          <t>IA-PPWR-DOC-ST-048-EUR-10-R00</t>
        </is>
      </c>
      <c r="B96" s="25" t="inlineStr">
        <is>
          <t>ST-048-EUR-10</t>
        </is>
      </c>
      <c r="C96" s="25" t="inlineStr">
        <is>
          <t>IA-ST-048-EUR-10</t>
        </is>
      </c>
      <c r="D96" s="25" t="inlineStr">
        <is>
          <t>L5, LB5 | Palet (4000038): 1 adet | Shrink film (4000608): 1.92 kg</t>
        </is>
      </c>
      <c r="E96" s="25" t="inlineStr">
        <is>
          <t>L5, LB5 | Palet (4000038): 1 adet | Shrink film (4000608): 1.92 kg / L5, LB5 | Pallet (4000038): 1 pc | Shrink film (4000608): 1.92 kg</t>
        </is>
      </c>
      <c r="F96" s="25" t="inlineStr">
        <is>
          <t>IA-ST-CFG-0116</t>
        </is>
      </c>
      <c r="G96" s="25" t="inlineStr">
        <is>
          <t>IA-PPWR-TF-ST-048-EUR-10-R00</t>
        </is>
      </c>
      <c r="H96" s="25" t="inlineStr">
        <is>
          <t>2026-08-08</t>
        </is>
      </c>
      <c r="I96" s="25" t="inlineStr">
        <is>
          <t>Rev.00</t>
        </is>
      </c>
      <c r="J96" s="25" t="inlineStr">
        <is>
          <t>ACTIVE — unsigned</t>
        </is>
      </c>
      <c r="K96" s="31">
        <f>HYPERLINK("01_STARTER/ST-048-EUR-10/02_EU_DoC.docx","Open")</f>
        <v/>
      </c>
    </row>
    <row r="97">
      <c r="A97" s="25" t="inlineStr">
        <is>
          <t>IA-PPWR-DOC-ST-048-EUR-11-R00</t>
        </is>
      </c>
      <c r="B97" s="25" t="inlineStr">
        <is>
          <t>ST-048-EUR-11</t>
        </is>
      </c>
      <c r="C97" s="25" t="inlineStr">
        <is>
          <t>IA-ST-048-EUR-11</t>
        </is>
      </c>
      <c r="D97" s="25" t="inlineStr">
        <is>
          <t>D31 | Palet (4000038): 1 adet | Köşebent (4000590): 2 adet | EPS (4001247): 3 adet</t>
        </is>
      </c>
      <c r="E97" s="25" t="inlineStr">
        <is>
          <t>D31 | Palet (4000038): 1 adet | Köşebent (4000590): 2 adet | EPS (4001247): 3 adet / D31 | Pallet (4000038): 1 pc | Edge protector (4000590): 2 pcs | EPS (4001247): 3 pcs</t>
        </is>
      </c>
      <c r="F97" s="25" t="inlineStr">
        <is>
          <t>IA-ST-CFG-0117</t>
        </is>
      </c>
      <c r="G97" s="25" t="inlineStr">
        <is>
          <t>IA-PPWR-TF-ST-048-EUR-11-R00</t>
        </is>
      </c>
      <c r="H97" s="25" t="inlineStr">
        <is>
          <t>2026-08-08</t>
        </is>
      </c>
      <c r="I97" s="25" t="inlineStr">
        <is>
          <t>Rev.00</t>
        </is>
      </c>
      <c r="J97" s="25" t="inlineStr">
        <is>
          <t>ACTIVE — unsigned</t>
        </is>
      </c>
      <c r="K97" s="31">
        <f>HYPERLINK("01_STARTER/ST-048-EUR-11/02_EU_DoC.docx","Open")</f>
        <v/>
      </c>
    </row>
    <row r="98">
      <c r="A98" s="25" t="inlineStr">
        <is>
          <t>IA-PPWR-DOC-ST-048-EUR-12-R00</t>
        </is>
      </c>
      <c r="B98" s="25" t="inlineStr">
        <is>
          <t>ST-048-EUR-12</t>
        </is>
      </c>
      <c r="C98" s="25" t="inlineStr">
        <is>
          <t>IA-ST-048-EUR-12</t>
        </is>
      </c>
      <c r="D98" s="25" t="inlineStr">
        <is>
          <t>LB5, L5 | Palet (4000038): 1 adet | Köşebent (4000590): 2 adet</t>
        </is>
      </c>
      <c r="E98" s="25" t="inlineStr">
        <is>
          <t>LB5, L5 | Palet (4000038): 1 adet | Köşebent (4000590): 2 adet / LB5, L5 | Pallet (4000038): 1 pc | Edge protector (4000590): 2 pcs</t>
        </is>
      </c>
      <c r="F98" s="25" t="inlineStr">
        <is>
          <t>IA-ST-CFG-0118</t>
        </is>
      </c>
      <c r="G98" s="25" t="inlineStr">
        <is>
          <t>IA-PPWR-TF-ST-048-EUR-12-R00</t>
        </is>
      </c>
      <c r="H98" s="25" t="inlineStr">
        <is>
          <t>2026-08-08</t>
        </is>
      </c>
      <c r="I98" s="25" t="inlineStr">
        <is>
          <t>Rev.00</t>
        </is>
      </c>
      <c r="J98" s="25" t="inlineStr">
        <is>
          <t>ACTIVE — unsigned</t>
        </is>
      </c>
      <c r="K98" s="31">
        <f>HYPERLINK("01_STARTER/ST-048-EUR-12/02_EU_DoC.docx","Open")</f>
        <v/>
      </c>
    </row>
    <row r="99">
      <c r="A99" s="25" t="inlineStr">
        <is>
          <t>IA-PPWR-DOC-ST-048-STD-01-R00</t>
        </is>
      </c>
      <c r="B99" s="25" t="inlineStr">
        <is>
          <t>ST-048-STD-01</t>
        </is>
      </c>
      <c r="C99" s="25" t="inlineStr">
        <is>
          <t>IA-ST-048-STD-01</t>
        </is>
      </c>
      <c r="D99" s="25" t="inlineStr">
        <is>
          <t>L1 | L1 YUASA penceresiz Orta Doğu dış koli (4001312): 48 adet</t>
        </is>
      </c>
      <c r="E99" s="25" t="inlineStr">
        <is>
          <t>L1 | L1 YUASA penceresiz Orta Doğu dış koli (4001312): 48 adet / L1 | L1 YUASA windowless Middle East outer carton (4001312): 48 pcs</t>
        </is>
      </c>
      <c r="F99" s="25" t="inlineStr">
        <is>
          <t>IA-ST-CFG-0104</t>
        </is>
      </c>
      <c r="G99" s="25" t="inlineStr">
        <is>
          <t>IA-PPWR-TF-ST-048-STD-01-R00</t>
        </is>
      </c>
      <c r="H99" s="25" t="inlineStr">
        <is>
          <t>2026-08-08</t>
        </is>
      </c>
      <c r="I99" s="25" t="inlineStr">
        <is>
          <t>Rev.00</t>
        </is>
      </c>
      <c r="J99" s="25" t="inlineStr">
        <is>
          <t>ACTIVE — unsigned</t>
        </is>
      </c>
      <c r="K99" s="31">
        <f>HYPERLINK("01_STARTER/ST-048-STD-01/02_EU_DoC.docx","Open")</f>
        <v/>
      </c>
    </row>
    <row r="100">
      <c r="A100" s="25" t="inlineStr">
        <is>
          <t>IA-PPWR-DOC-ST-048-STD-02-R00</t>
        </is>
      </c>
      <c r="B100" s="25" t="inlineStr">
        <is>
          <t>ST-048-STD-02</t>
        </is>
      </c>
      <c r="C100" s="25" t="inlineStr">
        <is>
          <t>IA-ST-048-STD-02</t>
        </is>
      </c>
      <c r="D100" s="25" t="inlineStr">
        <is>
          <t>L2 | Palet (4000037): 1 adet | Shrink film (4000558): 1.824 kg</t>
        </is>
      </c>
      <c r="E100" s="25" t="inlineStr">
        <is>
          <t>L2 | Palet (4000037): 1 adet | Shrink film (4000558): 1.824 kg / L2 | Pallet (4000037): 1 pc | Shrink film (4000558): 1.824 kg</t>
        </is>
      </c>
      <c r="F100" s="25" t="inlineStr">
        <is>
          <t>IA-ST-CFG-0106</t>
        </is>
      </c>
      <c r="G100" s="25" t="inlineStr">
        <is>
          <t>IA-PPWR-TF-ST-048-STD-02-R00</t>
        </is>
      </c>
      <c r="H100" s="25" t="inlineStr">
        <is>
          <t>2026-08-08</t>
        </is>
      </c>
      <c r="I100" s="25" t="inlineStr">
        <is>
          <t>Rev.00</t>
        </is>
      </c>
      <c r="J100" s="25" t="inlineStr">
        <is>
          <t>ACTIVE — unsigned</t>
        </is>
      </c>
      <c r="K100" s="31">
        <f>HYPERLINK("01_STARTER/ST-048-STD-02/02_EU_DoC.docx","Open")</f>
        <v/>
      </c>
    </row>
    <row r="101">
      <c r="A101" s="25" t="inlineStr">
        <is>
          <t>IA-PPWR-DOC-ST-051-EUR-01-R00</t>
        </is>
      </c>
      <c r="B101" s="25" t="inlineStr">
        <is>
          <t>ST-051-EUR-01</t>
        </is>
      </c>
      <c r="C101" s="25" t="inlineStr">
        <is>
          <t>IA-ST-051-EUR-01</t>
        </is>
      </c>
      <c r="D101" s="25" t="inlineStr">
        <is>
          <t>LB3, L3 | Palet (4000038): 1 adet | Köşebent (4000590): 4 adet</t>
        </is>
      </c>
      <c r="E101" s="25" t="inlineStr">
        <is>
          <t>LB3, L3 | Palet (4000038): 1 adet | Köşebent (4000590): 4 adet / LB3, L3 | Pallet (4000038): 1 pc | Edge protector (4000590): 4 pcs</t>
        </is>
      </c>
      <c r="F101" s="25" t="inlineStr">
        <is>
          <t>IA-ST-CFG-0132</t>
        </is>
      </c>
      <c r="G101" s="25" t="inlineStr">
        <is>
          <t>IA-PPWR-TF-ST-051-EUR-01-R00</t>
        </is>
      </c>
      <c r="H101" s="25" t="inlineStr">
        <is>
          <t>2026-08-08</t>
        </is>
      </c>
      <c r="I101" s="25" t="inlineStr">
        <is>
          <t>Rev.00</t>
        </is>
      </c>
      <c r="J101" s="25" t="inlineStr">
        <is>
          <t>ACTIVE — unsigned</t>
        </is>
      </c>
      <c r="K101" s="31">
        <f>HYPERLINK("01_STARTER/ST-051-EUR-01/02_EU_DoC.docx","Open")</f>
        <v/>
      </c>
    </row>
    <row r="102">
      <c r="A102" s="25" t="inlineStr">
        <is>
          <t>IA-PPWR-DOC-ST-051-EUR-02-R00</t>
        </is>
      </c>
      <c r="B102" s="25" t="inlineStr">
        <is>
          <t>ST-051-EUR-02</t>
        </is>
      </c>
      <c r="C102" s="25" t="inlineStr">
        <is>
          <t>IA-ST-051-EUR-02</t>
        </is>
      </c>
      <c r="D102" s="25" t="inlineStr">
        <is>
          <t>LB3 | Palet (4000038): 1 adet | Shrink film (4000558): 1.579 kg</t>
        </is>
      </c>
      <c r="E102" s="25" t="inlineStr">
        <is>
          <t>LB3 | Palet (4000038): 1 adet | Shrink film (4000558): 1.579 kg / LB3 | Pallet (4000038): 1 pc | Shrink film (4000558): 1.579 kg</t>
        </is>
      </c>
      <c r="F102" s="25" t="inlineStr">
        <is>
          <t>IA-ST-CFG-0133</t>
        </is>
      </c>
      <c r="G102" s="25" t="inlineStr">
        <is>
          <t>IA-PPWR-TF-ST-051-EUR-02-R00</t>
        </is>
      </c>
      <c r="H102" s="25" t="inlineStr">
        <is>
          <t>2026-08-08</t>
        </is>
      </c>
      <c r="I102" s="25" t="inlineStr">
        <is>
          <t>Rev.00</t>
        </is>
      </c>
      <c r="J102" s="25" t="inlineStr">
        <is>
          <t>ACTIVE — unsigned</t>
        </is>
      </c>
      <c r="K102" s="31">
        <f>HYPERLINK("01_STARTER/ST-051-EUR-02/02_EU_DoC.docx","Open")</f>
        <v/>
      </c>
    </row>
    <row r="103">
      <c r="A103" s="25" t="inlineStr">
        <is>
          <t>IA-PPWR-DOC-ST-051-EUR-03-R00</t>
        </is>
      </c>
      <c r="B103" s="25" t="inlineStr">
        <is>
          <t>ST-051-EUR-03</t>
        </is>
      </c>
      <c r="C103" s="25" t="inlineStr">
        <is>
          <t>IA-ST-051-EUR-03</t>
        </is>
      </c>
      <c r="D103" s="25" t="inlineStr">
        <is>
          <t>L3 | Palet (4000038): 1 adet | Shrink film (4000558): 1.684 kg</t>
        </is>
      </c>
      <c r="E103" s="25" t="inlineStr">
        <is>
          <t>L3 | Palet (4000038): 1 adet | Shrink film (4000558): 1.684 kg / L3 | Pallet (4000038): 1 pc | Shrink film (4000558): 1.684 kg</t>
        </is>
      </c>
      <c r="F103" s="25" t="inlineStr">
        <is>
          <t>IA-ST-CFG-0134</t>
        </is>
      </c>
      <c r="G103" s="25" t="inlineStr">
        <is>
          <t>IA-PPWR-TF-ST-051-EUR-03-R00</t>
        </is>
      </c>
      <c r="H103" s="25" t="inlineStr">
        <is>
          <t>2026-08-08</t>
        </is>
      </c>
      <c r="I103" s="25" t="inlineStr">
        <is>
          <t>Rev.00</t>
        </is>
      </c>
      <c r="J103" s="25" t="inlineStr">
        <is>
          <t>ACTIVE — unsigned</t>
        </is>
      </c>
      <c r="K103" s="31">
        <f>HYPERLINK("01_STARTER/ST-051-EUR-03/02_EU_DoC.docx","Open")</f>
        <v/>
      </c>
    </row>
    <row r="104">
      <c r="A104" s="25" t="inlineStr">
        <is>
          <t>IA-PPWR-DOC-ST-051-EUR-04-R00</t>
        </is>
      </c>
      <c r="B104" s="25" t="inlineStr">
        <is>
          <t>ST-051-EUR-04</t>
        </is>
      </c>
      <c r="C104" s="25" t="inlineStr">
        <is>
          <t>IA-ST-051-EUR-04</t>
        </is>
      </c>
      <c r="D104" s="25" t="inlineStr">
        <is>
          <t>L3, LB3 | Palet (4000038): 1 adet | Köşebent (4000590): 2 adet</t>
        </is>
      </c>
      <c r="E104" s="25" t="inlineStr">
        <is>
          <t>L3, LB3 | Palet (4000038): 1 adet | Köşebent (4000590): 2 adet / L3, LB3 | Pallet (4000038): 1 pc | Edge protector (4000590): 2 pcs</t>
        </is>
      </c>
      <c r="F104" s="25" t="inlineStr">
        <is>
          <t>IA-ST-CFG-0135</t>
        </is>
      </c>
      <c r="G104" s="25" t="inlineStr">
        <is>
          <t>IA-PPWR-TF-ST-051-EUR-04-R00</t>
        </is>
      </c>
      <c r="H104" s="25" t="inlineStr">
        <is>
          <t>2026-08-08</t>
        </is>
      </c>
      <c r="I104" s="25" t="inlineStr">
        <is>
          <t>Rev.00</t>
        </is>
      </c>
      <c r="J104" s="25" t="inlineStr">
        <is>
          <t>ACTIVE — unsigned</t>
        </is>
      </c>
      <c r="K104" s="31">
        <f>HYPERLINK("01_STARTER/ST-051-EUR-04/02_EU_DoC.docx","Open")</f>
        <v/>
      </c>
    </row>
    <row r="105">
      <c r="A105" s="25" t="inlineStr">
        <is>
          <t>IA-PPWR-DOC-ST-051-STD-01-R00</t>
        </is>
      </c>
      <c r="B105" s="25" t="inlineStr">
        <is>
          <t>ST-051-STD-01</t>
        </is>
      </c>
      <c r="C105" s="25" t="inlineStr">
        <is>
          <t>IA-ST-051-STD-01</t>
        </is>
      </c>
      <c r="D105" s="25" t="inlineStr">
        <is>
          <t>D31 | Köşebent (4000033): 6 adet | D31 EAS Activa penceresiz dış koli (4000782): 51 adet</t>
        </is>
      </c>
      <c r="E105" s="25" t="inlineStr">
        <is>
          <t>D31 | Köşebent (4000033): 6 adet | D31 EAS Activa penceresiz dış koli (4000782): 51 adet / D31 | Edge protector (4000033): 6 pcs | D31 EAS Activa windowless outer carton (4000782): 51 pcs</t>
        </is>
      </c>
      <c r="F105" s="25" t="inlineStr">
        <is>
          <t>IA-ST-CFG-0122</t>
        </is>
      </c>
      <c r="G105" s="25" t="inlineStr">
        <is>
          <t>IA-PPWR-TF-ST-051-STD-01-R00</t>
        </is>
      </c>
      <c r="H105" s="25" t="inlineStr">
        <is>
          <t>2026-08-08</t>
        </is>
      </c>
      <c r="I105" s="25" t="inlineStr">
        <is>
          <t>Rev.00</t>
        </is>
      </c>
      <c r="J105" s="25" t="inlineStr">
        <is>
          <t>ACTIVE — unsigned</t>
        </is>
      </c>
      <c r="K105" s="31">
        <f>HYPERLINK("01_STARTER/ST-051-STD-01/02_EU_DoC.docx","Open")</f>
        <v/>
      </c>
    </row>
    <row r="106">
      <c r="A106" s="25" t="inlineStr">
        <is>
          <t>IA-PPWR-DOC-ST-051-STD-02-R00</t>
        </is>
      </c>
      <c r="B106" s="25" t="inlineStr">
        <is>
          <t>ST-051-STD-02</t>
        </is>
      </c>
      <c r="C106" s="25" t="inlineStr">
        <is>
          <t>IA-ST-051-STD-02</t>
        </is>
      </c>
      <c r="D106" s="25" t="inlineStr">
        <is>
          <t>D31 | D31 YUASA penceresiz Orta Doğu dış koli (4001108): 51 adet</t>
        </is>
      </c>
      <c r="E106" s="25" t="inlineStr">
        <is>
          <t>D31 | D31 YUASA penceresiz Orta Doğu dış koli (4001108): 51 adet / D31 | D31 YUASA windowless Middle East outer carton (4001108): 51 pcs</t>
        </is>
      </c>
      <c r="F106" s="25" t="inlineStr">
        <is>
          <t>IA-ST-CFG-0123</t>
        </is>
      </c>
      <c r="G106" s="25" t="inlineStr">
        <is>
          <t>IA-PPWR-TF-ST-051-STD-02-R00</t>
        </is>
      </c>
      <c r="H106" s="25" t="inlineStr">
        <is>
          <t>2026-08-08</t>
        </is>
      </c>
      <c r="I106" s="25" t="inlineStr">
        <is>
          <t>Rev.00</t>
        </is>
      </c>
      <c r="J106" s="25" t="inlineStr">
        <is>
          <t>ACTIVE — unsigned</t>
        </is>
      </c>
      <c r="K106" s="31">
        <f>HYPERLINK("01_STARTER/ST-051-STD-02/02_EU_DoC.docx","Open")</f>
        <v/>
      </c>
    </row>
    <row r="107">
      <c r="A107" s="25" t="inlineStr">
        <is>
          <t>IA-PPWR-DOC-ST-051-STD-03-R00</t>
        </is>
      </c>
      <c r="B107" s="25" t="inlineStr">
        <is>
          <t>ST-051-STD-03</t>
        </is>
      </c>
      <c r="C107" s="25" t="inlineStr">
        <is>
          <t>IA-ST-051-STD-03</t>
        </is>
      </c>
      <c r="D107" s="25" t="inlineStr">
        <is>
          <t>L4 | L4 YUASA penceresiz Orta Doğu dış koli (4001313): 51 adet</t>
        </is>
      </c>
      <c r="E107" s="25" t="inlineStr">
        <is>
          <t>L4 | L4 YUASA penceresiz Orta Doğu dış koli (4001313): 51 adet / L4 | L4 YUASA windowless Middle East outer carton (4001313): 51 pcs</t>
        </is>
      </c>
      <c r="F107" s="25" t="inlineStr">
        <is>
          <t>IA-ST-CFG-0124</t>
        </is>
      </c>
      <c r="G107" s="25" t="inlineStr">
        <is>
          <t>IA-PPWR-TF-ST-051-STD-03-R00</t>
        </is>
      </c>
      <c r="H107" s="25" t="inlineStr">
        <is>
          <t>2026-08-08</t>
        </is>
      </c>
      <c r="I107" s="25" t="inlineStr">
        <is>
          <t>Rev.00</t>
        </is>
      </c>
      <c r="J107" s="25" t="inlineStr">
        <is>
          <t>ACTIVE — unsigned</t>
        </is>
      </c>
      <c r="K107" s="31">
        <f>HYPERLINK("01_STARTER/ST-051-STD-03/02_EU_DoC.docx","Open")</f>
        <v/>
      </c>
    </row>
    <row r="108">
      <c r="A108" s="25" t="inlineStr">
        <is>
          <t>IA-PPWR-DOC-ST-051-STD-04-R00</t>
        </is>
      </c>
      <c r="B108" s="25" t="inlineStr">
        <is>
          <t>ST-051-STD-04</t>
        </is>
      </c>
      <c r="C108" s="25" t="inlineStr">
        <is>
          <t>IA-ST-051-STD-04</t>
        </is>
      </c>
      <c r="D108" s="25" t="inlineStr">
        <is>
          <t>D31 | Köşebent (4000033): 8 adet | D31 EAS Activa penceresiz dış koli (4000782): 51 adet</t>
        </is>
      </c>
      <c r="E108" s="25" t="inlineStr">
        <is>
          <t>D31 | Köşebent (4000033): 8 adet | D31 EAS Activa penceresiz dış koli (4000782): 51 adet / D31 | Edge protector (4000033): 8 pcs | D31 EAS Activa windowless outer carton (4000782): 51 pcs</t>
        </is>
      </c>
      <c r="F108" s="25" t="inlineStr">
        <is>
          <t>IA-ST-CFG-0125</t>
        </is>
      </c>
      <c r="G108" s="25" t="inlineStr">
        <is>
          <t>IA-PPWR-TF-ST-051-STD-04-R00</t>
        </is>
      </c>
      <c r="H108" s="25" t="inlineStr">
        <is>
          <t>2026-08-08</t>
        </is>
      </c>
      <c r="I108" s="25" t="inlineStr">
        <is>
          <t>Rev.00</t>
        </is>
      </c>
      <c r="J108" s="25" t="inlineStr">
        <is>
          <t>ACTIVE — unsigned</t>
        </is>
      </c>
      <c r="K108" s="31">
        <f>HYPERLINK("01_STARTER/ST-051-STD-04/02_EU_DoC.docx","Open")</f>
        <v/>
      </c>
    </row>
    <row r="109">
      <c r="A109" s="25" t="inlineStr">
        <is>
          <t>IA-PPWR-DOC-ST-051-STD-05-R00</t>
        </is>
      </c>
      <c r="B109" s="25" t="inlineStr">
        <is>
          <t>ST-051-STD-05</t>
        </is>
      </c>
      <c r="C109" s="25" t="inlineStr">
        <is>
          <t>IA-ST-051-STD-05</t>
        </is>
      </c>
      <c r="D109" s="25" t="inlineStr">
        <is>
          <t>D31 | D31 BLIZZARO SILVERLINE penceresiz dış koli (4001433): 51 adet</t>
        </is>
      </c>
      <c r="E109" s="25" t="inlineStr">
        <is>
          <t>D31 | D31 BLIZZARO SILVERLINE penceresiz dış koli (4001433): 51 adet / D31 | D31 BLIZZARO SILVERLINE windowless outer carton (4001433): 51 pcs</t>
        </is>
      </c>
      <c r="F109" s="25" t="inlineStr">
        <is>
          <t>IA-ST-CFG-0126</t>
        </is>
      </c>
      <c r="G109" s="25" t="inlineStr">
        <is>
          <t>IA-PPWR-TF-ST-051-STD-05-R00</t>
        </is>
      </c>
      <c r="H109" s="25" t="inlineStr">
        <is>
          <t>2026-08-08</t>
        </is>
      </c>
      <c r="I109" s="25" t="inlineStr">
        <is>
          <t>Rev.00</t>
        </is>
      </c>
      <c r="J109" s="25" t="inlineStr">
        <is>
          <t>ACTIVE — unsigned</t>
        </is>
      </c>
      <c r="K109" s="31">
        <f>HYPERLINK("01_STARTER/ST-051-STD-05/02_EU_DoC.docx","Open")</f>
        <v/>
      </c>
    </row>
    <row r="110">
      <c r="A110" s="25" t="inlineStr">
        <is>
          <t>IA-PPWR-DOC-ST-051-STD-06-R00</t>
        </is>
      </c>
      <c r="B110" s="25" t="inlineStr">
        <is>
          <t>ST-051-STD-06</t>
        </is>
      </c>
      <c r="C110" s="25" t="inlineStr">
        <is>
          <t>IA-ST-051-STD-06</t>
        </is>
      </c>
      <c r="D110" s="25" t="inlineStr">
        <is>
          <t>L4 | L4 EAS AGM S&amp;S 80AH 800A pencereli dış koli (4001397): 51 adet</t>
        </is>
      </c>
      <c r="E110" s="25" t="inlineStr">
        <is>
          <t>L4 | L4 EAS AGM S&amp;S 80AH 800A pencereli dış koli (4001397): 51 adet / L4 | L4 EAS AGM S&amp;S 80AH 800A windowed outer carton (4001397): 51 pcs</t>
        </is>
      </c>
      <c r="F110" s="25" t="inlineStr">
        <is>
          <t>IA-ST-CFG-0127</t>
        </is>
      </c>
      <c r="G110" s="25" t="inlineStr">
        <is>
          <t>IA-PPWR-TF-ST-051-STD-06-R00</t>
        </is>
      </c>
      <c r="H110" s="25" t="inlineStr">
        <is>
          <t>2026-08-08</t>
        </is>
      </c>
      <c r="I110" s="25" t="inlineStr">
        <is>
          <t>Rev.00</t>
        </is>
      </c>
      <c r="J110" s="25" t="inlineStr">
        <is>
          <t>ACTIVE — unsigned</t>
        </is>
      </c>
      <c r="K110" s="31">
        <f>HYPERLINK("01_STARTER/ST-051-STD-06/02_EU_DoC.docx","Open")</f>
        <v/>
      </c>
    </row>
    <row r="111">
      <c r="A111" s="25" t="inlineStr">
        <is>
          <t>IA-PPWR-DOC-ST-051-STD-07-R00</t>
        </is>
      </c>
      <c r="B111" s="25" t="inlineStr">
        <is>
          <t>ST-051-STD-07</t>
        </is>
      </c>
      <c r="C111" s="25" t="inlineStr">
        <is>
          <t>IA-ST-051-STD-07</t>
        </is>
      </c>
      <c r="D111" s="25" t="inlineStr">
        <is>
          <t>D31 | D31 İnci FORMULA-MAXIMA penceresiz dış koli (4001211): 51 adet | Separatör (4000130): 5 adet</t>
        </is>
      </c>
      <c r="E111" s="25" t="inlineStr">
        <is>
          <t>D31 | D31 İnci FORMULA-MAXIMA penceresiz dış koli (4001211): 51 adet | Separatör (4000130): 5 adet / D31 | D31 İnci FORMULA-MAXIMA windowless outer carton (4001211): 51 pcs | Separator (4000130): 5 pcs</t>
        </is>
      </c>
      <c r="F111" s="25" t="inlineStr">
        <is>
          <t>IA-ST-CFG-0128</t>
        </is>
      </c>
      <c r="G111" s="25" t="inlineStr">
        <is>
          <t>IA-PPWR-TF-ST-051-STD-07-R00</t>
        </is>
      </c>
      <c r="H111" s="25" t="inlineStr">
        <is>
          <t>2026-08-08</t>
        </is>
      </c>
      <c r="I111" s="25" t="inlineStr">
        <is>
          <t>Rev.00</t>
        </is>
      </c>
      <c r="J111" s="25" t="inlineStr">
        <is>
          <t>ACTIVE — unsigned</t>
        </is>
      </c>
      <c r="K111" s="31">
        <f>HYPERLINK("01_STARTER/ST-051-STD-07/02_EU_DoC.docx","Open")</f>
        <v/>
      </c>
    </row>
    <row r="112">
      <c r="A112" s="25" t="inlineStr">
        <is>
          <t>IA-PPWR-DOC-ST-051-STD-08-R00</t>
        </is>
      </c>
      <c r="B112" s="25" t="inlineStr">
        <is>
          <t>ST-051-STD-08</t>
        </is>
      </c>
      <c r="C112" s="25" t="inlineStr">
        <is>
          <t>IA-ST-051-STD-08</t>
        </is>
      </c>
      <c r="D112" s="25" t="inlineStr">
        <is>
          <t>D31 | D31 İnci FORMULA-MAXIMA penceresiz dış koli (4001211): 51 adet | Köşebent (4000590): 8 adet</t>
        </is>
      </c>
      <c r="E112" s="25" t="inlineStr">
        <is>
          <t>D31 | D31 İnci FORMULA-MAXIMA penceresiz dış koli (4001211): 51 adet | Köşebent (4000590): 8 adet / D31 | D31 İnci FORMULA-MAXIMA windowless outer carton (4001211): 51 pcs | Edge protector (4000590): 8 pcs</t>
        </is>
      </c>
      <c r="F112" s="25" t="inlineStr">
        <is>
          <t>IA-ST-CFG-0129</t>
        </is>
      </c>
      <c r="G112" s="25" t="inlineStr">
        <is>
          <t>IA-PPWR-TF-ST-051-STD-08-R00</t>
        </is>
      </c>
      <c r="H112" s="25" t="inlineStr">
        <is>
          <t>2026-08-08</t>
        </is>
      </c>
      <c r="I112" s="25" t="inlineStr">
        <is>
          <t>Rev.00</t>
        </is>
      </c>
      <c r="J112" s="25" t="inlineStr">
        <is>
          <t>ACTIVE — unsigned</t>
        </is>
      </c>
      <c r="K112" s="31">
        <f>HYPERLINK("01_STARTER/ST-051-STD-08/02_EU_DoC.docx","Open")</f>
        <v/>
      </c>
    </row>
    <row r="113">
      <c r="A113" s="25" t="inlineStr">
        <is>
          <t>IA-PPWR-DOC-ST-054-EUR-01-R00</t>
        </is>
      </c>
      <c r="B113" s="25" t="inlineStr">
        <is>
          <t>ST-054-EUR-01</t>
        </is>
      </c>
      <c r="C113" s="25" t="inlineStr">
        <is>
          <t>IA-ST-054-EUR-01</t>
        </is>
      </c>
      <c r="D113" s="25" t="inlineStr">
        <is>
          <t>L2 | Palet (4000038): 1 adet | Köşebent (4000590): 4 adet</t>
        </is>
      </c>
      <c r="E113" s="25" t="inlineStr">
        <is>
          <t>L2 | Palet (4000038): 1 adet | Köşebent (4000590): 4 adet / L2 | Pallet (4000038): 1 pc | Edge protector (4000590): 4 pcs</t>
        </is>
      </c>
      <c r="F113" s="25" t="inlineStr">
        <is>
          <t>IA-ST-CFG-0149</t>
        </is>
      </c>
      <c r="G113" s="25" t="inlineStr">
        <is>
          <t>IA-PPWR-TF-ST-054-EUR-01-R00</t>
        </is>
      </c>
      <c r="H113" s="25" t="inlineStr">
        <is>
          <t>2026-08-08</t>
        </is>
      </c>
      <c r="I113" s="25" t="inlineStr">
        <is>
          <t>Rev.00</t>
        </is>
      </c>
      <c r="J113" s="25" t="inlineStr">
        <is>
          <t>ACTIVE — unsigned</t>
        </is>
      </c>
      <c r="K113" s="31">
        <f>HYPERLINK("01_STARTER/ST-054-EUR-01/02_EU_DoC.docx","Open")</f>
        <v/>
      </c>
    </row>
    <row r="114">
      <c r="A114" s="25" t="inlineStr">
        <is>
          <t>IA-PPWR-DOC-ST-054-STD-01-R00</t>
        </is>
      </c>
      <c r="B114" s="25" t="inlineStr">
        <is>
          <t>ST-054-STD-01</t>
        </is>
      </c>
      <c r="C114" s="25" t="inlineStr">
        <is>
          <t>IA-ST-054-STD-01</t>
        </is>
      </c>
      <c r="D114" s="25" t="inlineStr">
        <is>
          <t>L3 | L3 YUASA penceresiz Orta Doğu dış koli (4001103): 54 adet</t>
        </is>
      </c>
      <c r="E114" s="25" t="inlineStr">
        <is>
          <t>L3 | L3 YUASA penceresiz Orta Doğu dış koli (4001103): 54 adet / L3 | L3 YUASA windowless Middle East outer carton (4001103): 54 pcs</t>
        </is>
      </c>
      <c r="F114" s="25" t="inlineStr">
        <is>
          <t>IA-ST-CFG-0137</t>
        </is>
      </c>
      <c r="G114" s="25" t="inlineStr">
        <is>
          <t>IA-PPWR-TF-ST-054-STD-01-R00</t>
        </is>
      </c>
      <c r="H114" s="25" t="inlineStr">
        <is>
          <t>2026-08-08</t>
        </is>
      </c>
      <c r="I114" s="25" t="inlineStr">
        <is>
          <t>Rev.00</t>
        </is>
      </c>
      <c r="J114" s="25" t="inlineStr">
        <is>
          <t>ACTIVE — unsigned</t>
        </is>
      </c>
      <c r="K114" s="31">
        <f>HYPERLINK("01_STARTER/ST-054-STD-01/02_EU_DoC.docx","Open")</f>
        <v/>
      </c>
    </row>
    <row r="115">
      <c r="A115" s="25" t="inlineStr">
        <is>
          <t>IA-PPWR-DOC-ST-054-STD-02-R00</t>
        </is>
      </c>
      <c r="B115" s="25" t="inlineStr">
        <is>
          <t>ST-054-STD-02</t>
        </is>
      </c>
      <c r="C115" s="25" t="inlineStr">
        <is>
          <t>IA-ST-054-STD-02</t>
        </is>
      </c>
      <c r="D115" s="25" t="inlineStr">
        <is>
          <t>L3 | L3 İnci AGM LEO 70AH 760A pencereli dış koli (4001237): 54 adet</t>
        </is>
      </c>
      <c r="E115" s="25" t="inlineStr">
        <is>
          <t>L3 | L3 İnci AGM LEO 70AH 760A pencereli dış koli (4001237): 54 adet / L3 | L3 İnci AGM LEO 70AH 760A windowed outer carton (4001237): 54 pcs</t>
        </is>
      </c>
      <c r="F115" s="25" t="inlineStr">
        <is>
          <t>IA-ST-CFG-0138</t>
        </is>
      </c>
      <c r="G115" s="25" t="inlineStr">
        <is>
          <t>IA-PPWR-TF-ST-054-STD-02-R00</t>
        </is>
      </c>
      <c r="H115" s="25" t="inlineStr">
        <is>
          <t>2026-08-08</t>
        </is>
      </c>
      <c r="I115" s="25" t="inlineStr">
        <is>
          <t>Rev.00</t>
        </is>
      </c>
      <c r="J115" s="25" t="inlineStr">
        <is>
          <t>ACTIVE — unsigned</t>
        </is>
      </c>
      <c r="K115" s="31">
        <f>HYPERLINK("01_STARTER/ST-054-STD-02/02_EU_DoC.docx","Open")</f>
        <v/>
      </c>
    </row>
    <row r="116">
      <c r="A116" s="25" t="inlineStr">
        <is>
          <t>IA-PPWR-DOC-ST-054-STD-03-R00</t>
        </is>
      </c>
      <c r="B116" s="25" t="inlineStr">
        <is>
          <t>ST-054-STD-03</t>
        </is>
      </c>
      <c r="C116" s="25" t="inlineStr">
        <is>
          <t>IA-ST-054-STD-03</t>
        </is>
      </c>
      <c r="D116" s="25" t="inlineStr">
        <is>
          <t>L3 | L3 EAS AGM S&amp;S 70AH 760A pencereli dış koli (4001396): 54 adet</t>
        </is>
      </c>
      <c r="E116" s="25" t="inlineStr">
        <is>
          <t>L3 | L3 EAS AGM S&amp;S 70AH 760A pencereli dış koli (4001396): 54 adet / L3 | L3 EAS AGM S&amp;S 70AH 760A windowed outer carton (4001396): 54 pcs</t>
        </is>
      </c>
      <c r="F116" s="25" t="inlineStr">
        <is>
          <t>IA-ST-CFG-0139</t>
        </is>
      </c>
      <c r="G116" s="25" t="inlineStr">
        <is>
          <t>IA-PPWR-TF-ST-054-STD-03-R00</t>
        </is>
      </c>
      <c r="H116" s="25" t="inlineStr">
        <is>
          <t>2026-08-08</t>
        </is>
      </c>
      <c r="I116" s="25" t="inlineStr">
        <is>
          <t>Rev.00</t>
        </is>
      </c>
      <c r="J116" s="25" t="inlineStr">
        <is>
          <t>ACTIVE — unsigned</t>
        </is>
      </c>
      <c r="K116" s="31">
        <f>HYPERLINK("01_STARTER/ST-054-STD-03/02_EU_DoC.docx","Open")</f>
        <v/>
      </c>
    </row>
    <row r="117">
      <c r="A117" s="25" t="inlineStr">
        <is>
          <t>IA-PPWR-DOC-ST-054-STD-04-R00</t>
        </is>
      </c>
      <c r="B117" s="25" t="inlineStr">
        <is>
          <t>ST-054-STD-04</t>
        </is>
      </c>
      <c r="C117" s="25" t="inlineStr">
        <is>
          <t>IA-ST-054-STD-04</t>
        </is>
      </c>
      <c r="D117" s="25" t="inlineStr">
        <is>
          <t>D31 | Palet (4000037): 1 adet | EPS (4000370): 3 adet | Köşebent (4000590): 4 adet</t>
        </is>
      </c>
      <c r="E117" s="25" t="inlineStr">
        <is>
          <t>D31 | Palet (4000037): 1 adet | EPS (4000370): 3 adet | Köşebent (4000590): 4 adet / D31 | Pallet (4000037): 1 pc | EPS (4000370): 3 pcs | Edge protector (4000590): 4 pcs</t>
        </is>
      </c>
      <c r="F117" s="25" t="inlineStr">
        <is>
          <t>IA-ST-CFG-0140</t>
        </is>
      </c>
      <c r="G117" s="25" t="inlineStr">
        <is>
          <t>IA-PPWR-TF-ST-054-STD-04-R00</t>
        </is>
      </c>
      <c r="H117" s="25" t="inlineStr">
        <is>
          <t>2026-08-08</t>
        </is>
      </c>
      <c r="I117" s="25" t="inlineStr">
        <is>
          <t>Rev.00</t>
        </is>
      </c>
      <c r="J117" s="25" t="inlineStr">
        <is>
          <t>ACTIVE — unsigned</t>
        </is>
      </c>
      <c r="K117" s="31">
        <f>HYPERLINK("01_STARTER/ST-054-STD-04/02_EU_DoC.docx","Open")</f>
        <v/>
      </c>
    </row>
    <row r="118">
      <c r="A118" s="25" t="inlineStr">
        <is>
          <t>IA-PPWR-DOC-ST-054-STD-05-R00</t>
        </is>
      </c>
      <c r="B118" s="25" t="inlineStr">
        <is>
          <t>ST-054-STD-05</t>
        </is>
      </c>
      <c r="C118" s="25" t="inlineStr">
        <is>
          <t>IA-ST-054-STD-05</t>
        </is>
      </c>
      <c r="D118" s="25" t="inlineStr">
        <is>
          <t>D31 | Köşebent (4000590): 4 adet | D31 PVC üst kapak (4001310): 54 adet</t>
        </is>
      </c>
      <c r="E118" s="25" t="inlineStr">
        <is>
          <t>D31 | Köşebent (4000590): 4 adet | D31 PVC üst kapak (4001310): 54 adet / D31 | Edge protector (4000590): 4 pcs | D31 PVC upper cover (4001310): 54 pcs</t>
        </is>
      </c>
      <c r="F118" s="25" t="inlineStr">
        <is>
          <t>IA-ST-CFG-0141</t>
        </is>
      </c>
      <c r="G118" s="25" t="inlineStr">
        <is>
          <t>IA-PPWR-TF-ST-054-STD-05-R00</t>
        </is>
      </c>
      <c r="H118" s="25" t="inlineStr">
        <is>
          <t>2026-08-08</t>
        </is>
      </c>
      <c r="I118" s="25" t="inlineStr">
        <is>
          <t>Rev.00</t>
        </is>
      </c>
      <c r="J118" s="25" t="inlineStr">
        <is>
          <t>ACTIVE — unsigned</t>
        </is>
      </c>
      <c r="K118" s="31">
        <f>HYPERLINK("01_STARTER/ST-054-STD-05/02_EU_DoC.docx","Open")</f>
        <v/>
      </c>
    </row>
    <row r="119">
      <c r="A119" s="25" t="inlineStr">
        <is>
          <t>IA-PPWR-DOC-ST-054-STD-06-R00</t>
        </is>
      </c>
      <c r="B119" s="25" t="inlineStr">
        <is>
          <t>ST-054-STD-06</t>
        </is>
      </c>
      <c r="C119" s="25" t="inlineStr">
        <is>
          <t>IA-ST-054-STD-06</t>
        </is>
      </c>
      <c r="D119" s="25" t="inlineStr">
        <is>
          <t>L4, LB4 | Palet (4000037): 1 adet | Köşebent (4000590): 2 adet</t>
        </is>
      </c>
      <c r="E119" s="25" t="inlineStr">
        <is>
          <t>L4, LB4 | Palet (4000037): 1 adet | Köşebent (4000590): 2 adet / L4, LB4 | Pallet (4000037): 1 pc | Edge protector (4000590): 2 pcs</t>
        </is>
      </c>
      <c r="F119" s="25" t="inlineStr">
        <is>
          <t>IA-ST-CFG-0142</t>
        </is>
      </c>
      <c r="G119" s="25" t="inlineStr">
        <is>
          <t>IA-PPWR-TF-ST-054-STD-06-R00</t>
        </is>
      </c>
      <c r="H119" s="25" t="inlineStr">
        <is>
          <t>2026-08-08</t>
        </is>
      </c>
      <c r="I119" s="25" t="inlineStr">
        <is>
          <t>Rev.00</t>
        </is>
      </c>
      <c r="J119" s="25" t="inlineStr">
        <is>
          <t>ACTIVE — unsigned</t>
        </is>
      </c>
      <c r="K119" s="31">
        <f>HYPERLINK("01_STARTER/ST-054-STD-06/02_EU_DoC.docx","Open")</f>
        <v/>
      </c>
    </row>
    <row r="120">
      <c r="A120" s="25" t="inlineStr">
        <is>
          <t>IA-PPWR-DOC-ST-054-STD-07-R00</t>
        </is>
      </c>
      <c r="B120" s="25" t="inlineStr">
        <is>
          <t>ST-054-STD-07</t>
        </is>
      </c>
      <c r="C120" s="25" t="inlineStr">
        <is>
          <t>IA-ST-054-STD-07</t>
        </is>
      </c>
      <c r="D120" s="25" t="inlineStr">
        <is>
          <t>D31 | D31 PVC üst kapak (4001310): 54 adet | Köşebent (4000590): 2 adet</t>
        </is>
      </c>
      <c r="E120" s="25" t="inlineStr">
        <is>
          <t>D31 | D31 PVC üst kapak (4001310): 54 adet | Köşebent (4000590): 2 adet / D31 | D31 PVC upper cover (4001310): 54 pcs | Edge protector (4000590): 2 pcs</t>
        </is>
      </c>
      <c r="F120" s="25" t="inlineStr">
        <is>
          <t>IA-ST-CFG-0143</t>
        </is>
      </c>
      <c r="G120" s="25" t="inlineStr">
        <is>
          <t>IA-PPWR-TF-ST-054-STD-07-R00</t>
        </is>
      </c>
      <c r="H120" s="25" t="inlineStr">
        <is>
          <t>2026-08-08</t>
        </is>
      </c>
      <c r="I120" s="25" t="inlineStr">
        <is>
          <t>Rev.00</t>
        </is>
      </c>
      <c r="J120" s="25" t="inlineStr">
        <is>
          <t>ACTIVE — unsigned</t>
        </is>
      </c>
      <c r="K120" s="31">
        <f>HYPERLINK("01_STARTER/ST-054-STD-07/02_EU_DoC.docx","Open")</f>
        <v/>
      </c>
    </row>
    <row r="121">
      <c r="A121" s="25" t="inlineStr">
        <is>
          <t>IA-PPWR-DOC-ST-054-STD-08-R00</t>
        </is>
      </c>
      <c r="B121" s="25" t="inlineStr">
        <is>
          <t>ST-054-STD-08</t>
        </is>
      </c>
      <c r="C121" s="25" t="inlineStr">
        <is>
          <t>IA-ST-054-STD-08</t>
        </is>
      </c>
      <c r="D121" s="25" t="inlineStr">
        <is>
          <t>L4, LB4 | Palet (4000037): 1 adet | Köşebent (4000590): kullanılmaz</t>
        </is>
      </c>
      <c r="E121" s="25" t="inlineStr">
        <is>
          <t>L4, LB4 | Palet (4000037): 1 adet | Köşebent (4000590): kullanılmaz / L4, LB4 | Pallet (4000037): 1 pc | Edge protector (4000590): not used</t>
        </is>
      </c>
      <c r="F121" s="25" t="inlineStr">
        <is>
          <t>IA-ST-CFG-0144</t>
        </is>
      </c>
      <c r="G121" s="25" t="inlineStr">
        <is>
          <t>IA-PPWR-TF-ST-054-STD-08-R00</t>
        </is>
      </c>
      <c r="H121" s="25" t="inlineStr">
        <is>
          <t>2026-08-08</t>
        </is>
      </c>
      <c r="I121" s="25" t="inlineStr">
        <is>
          <t>Rev.00</t>
        </is>
      </c>
      <c r="J121" s="25" t="inlineStr">
        <is>
          <t>ACTIVE — unsigned</t>
        </is>
      </c>
      <c r="K121" s="31">
        <f>HYPERLINK("01_STARTER/ST-054-STD-08/02_EU_DoC.docx","Open")</f>
        <v/>
      </c>
    </row>
    <row r="122">
      <c r="A122" s="25" t="inlineStr">
        <is>
          <t>IA-PPWR-DOC-ST-054-STD-09-R00</t>
        </is>
      </c>
      <c r="B122" s="25" t="inlineStr">
        <is>
          <t>ST-054-STD-09</t>
        </is>
      </c>
      <c r="C122" s="25" t="inlineStr">
        <is>
          <t>IA-ST-054-STD-09</t>
        </is>
      </c>
      <c r="D122" s="25" t="inlineStr">
        <is>
          <t>D31 | D31 PVC üst kapak (4001310): 54 adet | Çember (4000450): kullanılmaz</t>
        </is>
      </c>
      <c r="E122" s="25" t="inlineStr">
        <is>
          <t>D31 | D31 PVC üst kapak (4001310): 54 adet | Çember (4000450): kullanılmaz / D31 | D31 PVC upper cover (4001310): 54 pcs | Strap (4000450): not used</t>
        </is>
      </c>
      <c r="F122" s="25" t="inlineStr">
        <is>
          <t>IA-ST-CFG-0145</t>
        </is>
      </c>
      <c r="G122" s="25" t="inlineStr">
        <is>
          <t>IA-PPWR-TF-ST-054-STD-09-R00</t>
        </is>
      </c>
      <c r="H122" s="25" t="inlineStr">
        <is>
          <t>2026-08-08</t>
        </is>
      </c>
      <c r="I122" s="25" t="inlineStr">
        <is>
          <t>Rev.00</t>
        </is>
      </c>
      <c r="J122" s="25" t="inlineStr">
        <is>
          <t>ACTIVE — unsigned</t>
        </is>
      </c>
      <c r="K122" s="31">
        <f>HYPERLINK("01_STARTER/ST-054-STD-09/02_EU_DoC.docx","Open")</f>
        <v/>
      </c>
    </row>
    <row r="123">
      <c r="A123" s="25" t="inlineStr">
        <is>
          <t>IA-PPWR-DOC-ST-054-STD-10-R00</t>
        </is>
      </c>
      <c r="B123" s="25" t="inlineStr">
        <is>
          <t>ST-054-STD-10</t>
        </is>
      </c>
      <c r="C123" s="25" t="inlineStr">
        <is>
          <t>IA-ST-054-STD-10</t>
        </is>
      </c>
      <c r="D123" s="25" t="inlineStr">
        <is>
          <t>D31 | Palet (4000037): 1 adet | Shrink film (4001177): 0.597 kg</t>
        </is>
      </c>
      <c r="E123" s="25" t="inlineStr">
        <is>
          <t>D31 | Palet (4000037): 1 adet | Shrink film (4001177): 0.597 kg / D31 | Pallet (4000037): 1 pc | Shrink film (4001177): 0.597 kg</t>
        </is>
      </c>
      <c r="F123" s="25" t="inlineStr">
        <is>
          <t>IA-ST-CFG-0146</t>
        </is>
      </c>
      <c r="G123" s="25" t="inlineStr">
        <is>
          <t>IA-PPWR-TF-ST-054-STD-10-R00</t>
        </is>
      </c>
      <c r="H123" s="25" t="inlineStr">
        <is>
          <t>2026-08-08</t>
        </is>
      </c>
      <c r="I123" s="25" t="inlineStr">
        <is>
          <t>Rev.00</t>
        </is>
      </c>
      <c r="J123" s="25" t="inlineStr">
        <is>
          <t>ACTIVE — unsigned</t>
        </is>
      </c>
      <c r="K123" s="31">
        <f>HYPERLINK("01_STARTER/ST-054-STD-10/02_EU_DoC.docx","Open")</f>
        <v/>
      </c>
    </row>
    <row r="124">
      <c r="A124" s="25" t="inlineStr">
        <is>
          <t>IA-PPWR-DOC-ST-054-STD-11-R00</t>
        </is>
      </c>
      <c r="B124" s="25" t="inlineStr">
        <is>
          <t>ST-054-STD-11</t>
        </is>
      </c>
      <c r="C124" s="25" t="inlineStr">
        <is>
          <t>IA-ST-054-STD-11</t>
        </is>
      </c>
      <c r="D124" s="25" t="inlineStr">
        <is>
          <t>L4 | Palet (4000037): 1 adet | Shrink film (4001177): 0.597 kg</t>
        </is>
      </c>
      <c r="E124" s="25" t="inlineStr">
        <is>
          <t>L4 | Palet (4000037): 1 adet | Shrink film (4001177): 0.597 kg / L4 | Pallet (4000037): 1 pc | Shrink film (4001177): 0.597 kg</t>
        </is>
      </c>
      <c r="F124" s="25" t="inlineStr">
        <is>
          <t>IA-ST-CFG-0147</t>
        </is>
      </c>
      <c r="G124" s="25" t="inlineStr">
        <is>
          <t>IA-PPWR-TF-ST-054-STD-11-R00</t>
        </is>
      </c>
      <c r="H124" s="25" t="inlineStr">
        <is>
          <t>2026-08-08</t>
        </is>
      </c>
      <c r="I124" s="25" t="inlineStr">
        <is>
          <t>Rev.00</t>
        </is>
      </c>
      <c r="J124" s="25" t="inlineStr">
        <is>
          <t>ACTIVE — unsigned</t>
        </is>
      </c>
      <c r="K124" s="31">
        <f>HYPERLINK("01_STARTER/ST-054-STD-11/02_EU_DoC.docx","Open")</f>
        <v/>
      </c>
    </row>
    <row r="125">
      <c r="A125" s="25" t="inlineStr">
        <is>
          <t>IA-PPWR-DOC-ST-054-STD-12-R00</t>
        </is>
      </c>
      <c r="B125" s="25" t="inlineStr">
        <is>
          <t>ST-054-STD-12</t>
        </is>
      </c>
      <c r="C125" s="25" t="inlineStr">
        <is>
          <t>IA-ST-054-STD-12</t>
        </is>
      </c>
      <c r="D125" s="25" t="inlineStr">
        <is>
          <t>LB4 | Palet (4000037): 1 adet | Shrink film (4001177): 0.597 kg</t>
        </is>
      </c>
      <c r="E125" s="25" t="inlineStr">
        <is>
          <t>LB4 | Palet (4000037): 1 adet | Shrink film (4001177): 0.597 kg / LB4 | Pallet (4000037): 1 pc | Shrink film (4001177): 0.597 kg</t>
        </is>
      </c>
      <c r="F125" s="25" t="inlineStr">
        <is>
          <t>IA-ST-CFG-0148</t>
        </is>
      </c>
      <c r="G125" s="25" t="inlineStr">
        <is>
          <t>IA-PPWR-TF-ST-054-STD-12-R00</t>
        </is>
      </c>
      <c r="H125" s="25" t="inlineStr">
        <is>
          <t>2026-08-08</t>
        </is>
      </c>
      <c r="I125" s="25" t="inlineStr">
        <is>
          <t>Rev.00</t>
        </is>
      </c>
      <c r="J125" s="25" t="inlineStr">
        <is>
          <t>ACTIVE — unsigned</t>
        </is>
      </c>
      <c r="K125" s="31">
        <f>HYPERLINK("01_STARTER/ST-054-STD-12/02_EU_DoC.docx","Open")</f>
        <v/>
      </c>
    </row>
    <row r="126">
      <c r="A126" s="25" t="inlineStr">
        <is>
          <t>IA-PPWR-DOC-ST-056-EUR-01-R00</t>
        </is>
      </c>
      <c r="B126" s="25" t="inlineStr">
        <is>
          <t>ST-056-EUR-01</t>
        </is>
      </c>
      <c r="C126" s="25" t="inlineStr">
        <is>
          <t>IA-ST-056-EUR-01</t>
        </is>
      </c>
      <c r="D126" s="25" t="inlineStr">
        <is>
          <t>L4 | L4 İnci AGM LEO 80AH 800A pencereli dış koli (4001341): 56 adet</t>
        </is>
      </c>
      <c r="E126" s="25" t="inlineStr">
        <is>
          <t>L4 | L4 İnci AGM LEO 80AH 800A pencereli dış koli (4001341): 56 adet / L4 | L4 İnci AGM LEO 80AH 800A windowed outer carton (4001341): 56 pcs</t>
        </is>
      </c>
      <c r="F126" s="25" t="inlineStr">
        <is>
          <t>IA-ST-CFG-0150</t>
        </is>
      </c>
      <c r="G126" s="25" t="inlineStr">
        <is>
          <t>IA-PPWR-TF-ST-056-EUR-01-R00</t>
        </is>
      </c>
      <c r="H126" s="25" t="inlineStr">
        <is>
          <t>2026-08-08</t>
        </is>
      </c>
      <c r="I126" s="25" t="inlineStr">
        <is>
          <t>Rev.00</t>
        </is>
      </c>
      <c r="J126" s="25" t="inlineStr">
        <is>
          <t>ACTIVE — unsigned</t>
        </is>
      </c>
      <c r="K126" s="31">
        <f>HYPERLINK("01_STARTER/ST-056-EUR-01/02_EU_DoC.docx","Open")</f>
        <v/>
      </c>
    </row>
    <row r="127">
      <c r="A127" s="25" t="inlineStr">
        <is>
          <t>IA-PPWR-DOC-ST-056-EUR-02-R00</t>
        </is>
      </c>
      <c r="B127" s="25" t="inlineStr">
        <is>
          <t>ST-056-EUR-02</t>
        </is>
      </c>
      <c r="C127" s="25" t="inlineStr">
        <is>
          <t>IA-ST-056-EUR-02</t>
        </is>
      </c>
      <c r="D127" s="25" t="inlineStr">
        <is>
          <t>L4, LB4 | Palet (4000038): 1 adet | Köşebent (4000590): 4 adet</t>
        </is>
      </c>
      <c r="E127" s="25" t="inlineStr">
        <is>
          <t>L4, LB4 | Palet (4000038): 1 adet | Köşebent (4000590): 4 adet / L4, LB4 | Pallet (4000038): 1 pc | Edge protector (4000590): 4 pcs</t>
        </is>
      </c>
      <c r="F127" s="25" t="inlineStr">
        <is>
          <t>IA-ST-CFG-0151</t>
        </is>
      </c>
      <c r="G127" s="25" t="inlineStr">
        <is>
          <t>IA-PPWR-TF-ST-056-EUR-02-R00</t>
        </is>
      </c>
      <c r="H127" s="25" t="inlineStr">
        <is>
          <t>2026-08-08</t>
        </is>
      </c>
      <c r="I127" s="25" t="inlineStr">
        <is>
          <t>Rev.00</t>
        </is>
      </c>
      <c r="J127" s="25" t="inlineStr">
        <is>
          <t>ACTIVE — unsigned</t>
        </is>
      </c>
      <c r="K127" s="31">
        <f>HYPERLINK("01_STARTER/ST-056-EUR-02/02_EU_DoC.docx","Open")</f>
        <v/>
      </c>
    </row>
    <row r="128">
      <c r="A128" s="25" t="inlineStr">
        <is>
          <t>IA-PPWR-DOC-ST-056-EUR-03-R00</t>
        </is>
      </c>
      <c r="B128" s="25" t="inlineStr">
        <is>
          <t>ST-056-EUR-03</t>
        </is>
      </c>
      <c r="C128" s="25" t="inlineStr">
        <is>
          <t>IA-ST-056-EUR-03</t>
        </is>
      </c>
      <c r="D128" s="25" t="inlineStr">
        <is>
          <t>L4, LB4 | Palet (4000038): 1 adet | Shrink film (4000554): 1.904 kg</t>
        </is>
      </c>
      <c r="E128" s="25" t="inlineStr">
        <is>
          <t>L4, LB4 | Palet (4000038): 1 adet | Shrink film (4000554): 1.904 kg / L4, LB4 | Pallet (4000038): 1 pc | Shrink film (4000554): 1.904 kg</t>
        </is>
      </c>
      <c r="F128" s="25" t="inlineStr">
        <is>
          <t>IA-ST-CFG-0152</t>
        </is>
      </c>
      <c r="G128" s="25" t="inlineStr">
        <is>
          <t>IA-PPWR-TF-ST-056-EUR-03-R00</t>
        </is>
      </c>
      <c r="H128" s="25" t="inlineStr">
        <is>
          <t>2026-08-08</t>
        </is>
      </c>
      <c r="I128" s="25" t="inlineStr">
        <is>
          <t>Rev.00</t>
        </is>
      </c>
      <c r="J128" s="25" t="inlineStr">
        <is>
          <t>ACTIVE — unsigned</t>
        </is>
      </c>
      <c r="K128" s="31">
        <f>HYPERLINK("01_STARTER/ST-056-EUR-03/02_EU_DoC.docx","Open")</f>
        <v/>
      </c>
    </row>
    <row r="129">
      <c r="A129" s="25" t="inlineStr">
        <is>
          <t>IA-PPWR-DOC-ST-056-EUR-04-R00</t>
        </is>
      </c>
      <c r="B129" s="25" t="inlineStr">
        <is>
          <t>ST-056-EUR-04</t>
        </is>
      </c>
      <c r="C129" s="25" t="inlineStr">
        <is>
          <t>IA-ST-056-EUR-04</t>
        </is>
      </c>
      <c r="D129" s="25" t="inlineStr">
        <is>
          <t>LB4, L4 | Palet (4000038): 1 adet | Köşebent (4000590): 2 adet</t>
        </is>
      </c>
      <c r="E129" s="25" t="inlineStr">
        <is>
          <t>LB4, L4 | Palet (4000038): 1 adet | Köşebent (4000590): 2 adet / LB4, L4 | Pallet (4000038): 1 pc | Edge protector (4000590): 2 pcs</t>
        </is>
      </c>
      <c r="F129" s="25" t="inlineStr">
        <is>
          <t>IA-ST-CFG-0153</t>
        </is>
      </c>
      <c r="G129" s="25" t="inlineStr">
        <is>
          <t>IA-PPWR-TF-ST-056-EUR-04-R00</t>
        </is>
      </c>
      <c r="H129" s="25" t="inlineStr">
        <is>
          <t>2026-08-08</t>
        </is>
      </c>
      <c r="I129" s="25" t="inlineStr">
        <is>
          <t>Rev.00</t>
        </is>
      </c>
      <c r="J129" s="25" t="inlineStr">
        <is>
          <t>ACTIVE — unsigned</t>
        </is>
      </c>
      <c r="K129" s="31">
        <f>HYPERLINK("01_STARTER/ST-056-EUR-04/02_EU_DoC.docx","Open")</f>
        <v/>
      </c>
    </row>
    <row r="130">
      <c r="A130" s="25" t="inlineStr">
        <is>
          <t>IA-PPWR-DOC-ST-057-EUR-01-R00</t>
        </is>
      </c>
      <c r="B130" s="25" t="inlineStr">
        <is>
          <t>ST-057-EUR-01</t>
        </is>
      </c>
      <c r="C130" s="25" t="inlineStr">
        <is>
          <t>IA-ST-057-EUR-01</t>
        </is>
      </c>
      <c r="D130" s="25" t="inlineStr">
        <is>
          <t>D26 | Palet (4000038): 1 adet | Honeycomb (4001186): 3 adet</t>
        </is>
      </c>
      <c r="E130" s="25" t="inlineStr">
        <is>
          <t>D26 | Palet (4000038): 1 adet | Honeycomb (4001186): 3 adet / D26 | Pallet (4000038): 1 pc | Honeycomb (4001186): 3 pcs</t>
        </is>
      </c>
      <c r="F130" s="25" t="inlineStr">
        <is>
          <t>IA-ST-CFG-0160</t>
        </is>
      </c>
      <c r="G130" s="25" t="inlineStr">
        <is>
          <t>IA-PPWR-TF-ST-057-EUR-01-R00</t>
        </is>
      </c>
      <c r="H130" s="25" t="inlineStr">
        <is>
          <t>2026-08-08</t>
        </is>
      </c>
      <c r="I130" s="25" t="inlineStr">
        <is>
          <t>Rev.00</t>
        </is>
      </c>
      <c r="J130" s="25" t="inlineStr">
        <is>
          <t>ACTIVE — unsigned</t>
        </is>
      </c>
      <c r="K130" s="31">
        <f>HYPERLINK("01_STARTER/ST-057-EUR-01/02_EU_DoC.docx","Open")</f>
        <v/>
      </c>
    </row>
    <row r="131">
      <c r="A131" s="25" t="inlineStr">
        <is>
          <t>IA-PPWR-DOC-ST-057-EUR-02-R00</t>
        </is>
      </c>
      <c r="B131" s="25" t="inlineStr">
        <is>
          <t>ST-057-EUR-02</t>
        </is>
      </c>
      <c r="C131" s="25" t="inlineStr">
        <is>
          <t>IA-ST-057-EUR-02</t>
        </is>
      </c>
      <c r="D131" s="25" t="inlineStr">
        <is>
          <t>D26 | Palet (4000038): 1 adet | EPS (4001247): 3 adet</t>
        </is>
      </c>
      <c r="E131" s="25" t="inlineStr">
        <is>
          <t>D26 | Palet (4000038): 1 adet | EPS (4001247): 3 adet / D26 | Pallet (4000038): 1 pc | EPS (4001247): 3 pcs</t>
        </is>
      </c>
      <c r="F131" s="25" t="inlineStr">
        <is>
          <t>IA-ST-CFG-0161</t>
        </is>
      </c>
      <c r="G131" s="25" t="inlineStr">
        <is>
          <t>IA-PPWR-TF-ST-057-EUR-02-R00</t>
        </is>
      </c>
      <c r="H131" s="25" t="inlineStr">
        <is>
          <t>2026-08-08</t>
        </is>
      </c>
      <c r="I131" s="25" t="inlineStr">
        <is>
          <t>Rev.00</t>
        </is>
      </c>
      <c r="J131" s="25" t="inlineStr">
        <is>
          <t>ACTIVE — unsigned</t>
        </is>
      </c>
      <c r="K131" s="31">
        <f>HYPERLINK("01_STARTER/ST-057-EUR-02/02_EU_DoC.docx","Open")</f>
        <v/>
      </c>
    </row>
    <row r="132">
      <c r="A132" s="25" t="inlineStr">
        <is>
          <t>IA-PPWR-DOC-ST-057-EUR-03-R00</t>
        </is>
      </c>
      <c r="B132" s="25" t="inlineStr">
        <is>
          <t>ST-057-EUR-03</t>
        </is>
      </c>
      <c r="C132" s="25" t="inlineStr">
        <is>
          <t>IA-ST-057-EUR-03</t>
        </is>
      </c>
      <c r="D132" s="25" t="inlineStr">
        <is>
          <t>L2, LB2 | Palet (4000038): 1 adet | Köşebent (4000590): 4 adet</t>
        </is>
      </c>
      <c r="E132" s="25" t="inlineStr">
        <is>
          <t>L2, LB2 | Palet (4000038): 1 adet | Köşebent (4000590): 4 adet / L2, LB2 | Pallet (4000038): 1 pc | Edge protector (4000590): 4 pcs</t>
        </is>
      </c>
      <c r="F132" s="25" t="inlineStr">
        <is>
          <t>IA-ST-CFG-0162</t>
        </is>
      </c>
      <c r="G132" s="25" t="inlineStr">
        <is>
          <t>IA-PPWR-TF-ST-057-EUR-03-R00</t>
        </is>
      </c>
      <c r="H132" s="25" t="inlineStr">
        <is>
          <t>2026-08-08</t>
        </is>
      </c>
      <c r="I132" s="25" t="inlineStr">
        <is>
          <t>Rev.00</t>
        </is>
      </c>
      <c r="J132" s="25" t="inlineStr">
        <is>
          <t>ACTIVE — unsigned</t>
        </is>
      </c>
      <c r="K132" s="31">
        <f>HYPERLINK("01_STARTER/ST-057-EUR-03/02_EU_DoC.docx","Open")</f>
        <v/>
      </c>
    </row>
    <row r="133">
      <c r="A133" s="25" t="inlineStr">
        <is>
          <t>IA-PPWR-DOC-ST-057-EUR-04-R00</t>
        </is>
      </c>
      <c r="B133" s="25" t="inlineStr">
        <is>
          <t>ST-057-EUR-04</t>
        </is>
      </c>
      <c r="C133" s="25" t="inlineStr">
        <is>
          <t>IA-ST-057-EUR-04</t>
        </is>
      </c>
      <c r="D133" s="25" t="inlineStr">
        <is>
          <t>L2, LB2 | Palet (4000038): 1 adet | Shrink film (4000558): 2.166 kg</t>
        </is>
      </c>
      <c r="E133" s="25" t="inlineStr">
        <is>
          <t>L2, LB2 | Palet (4000038): 1 adet | Shrink film (4000558): 2.166 kg / L2, LB2 | Pallet (4000038): 1 pc | Shrink film (4000558): 2.166 kg</t>
        </is>
      </c>
      <c r="F133" s="25" t="inlineStr">
        <is>
          <t>IA-ST-CFG-0163</t>
        </is>
      </c>
      <c r="G133" s="25" t="inlineStr">
        <is>
          <t>IA-PPWR-TF-ST-057-EUR-04-R00</t>
        </is>
      </c>
      <c r="H133" s="25" t="inlineStr">
        <is>
          <t>2026-08-08</t>
        </is>
      </c>
      <c r="I133" s="25" t="inlineStr">
        <is>
          <t>Rev.00</t>
        </is>
      </c>
      <c r="J133" s="25" t="inlineStr">
        <is>
          <t>ACTIVE — unsigned</t>
        </is>
      </c>
      <c r="K133" s="31">
        <f>HYPERLINK("01_STARTER/ST-057-EUR-04/02_EU_DoC.docx","Open")</f>
        <v/>
      </c>
    </row>
    <row r="134">
      <c r="A134" s="25" t="inlineStr">
        <is>
          <t>IA-PPWR-DOC-ST-057-EUR-05-R00</t>
        </is>
      </c>
      <c r="B134" s="25" t="inlineStr">
        <is>
          <t>ST-057-EUR-05</t>
        </is>
      </c>
      <c r="C134" s="25" t="inlineStr">
        <is>
          <t>IA-ST-057-EUR-05</t>
        </is>
      </c>
      <c r="D134" s="25" t="inlineStr">
        <is>
          <t>L2, LB2 | Palet (4000038): 1 adet | Shrink film (4000558): kullanılmaz | Köşebent (4000590): 2 adet</t>
        </is>
      </c>
      <c r="E134" s="25" t="inlineStr">
        <is>
          <t>L2, LB2 | Palet (4000038): 1 adet | Shrink film (4000558): kullanılmaz | Köşebent (4000590): 2 adet / L2, LB2 | Pallet (4000038): 1 pc | Shrink film (4000558): not used | Edge protector (4000590): 2 pcs</t>
        </is>
      </c>
      <c r="F134" s="25" t="inlineStr">
        <is>
          <t>IA-ST-CFG-0164</t>
        </is>
      </c>
      <c r="G134" s="25" t="inlineStr">
        <is>
          <t>IA-PPWR-TF-ST-057-EUR-05-R00</t>
        </is>
      </c>
      <c r="H134" s="25" t="inlineStr">
        <is>
          <t>2026-08-08</t>
        </is>
      </c>
      <c r="I134" s="25" t="inlineStr">
        <is>
          <t>Rev.00</t>
        </is>
      </c>
      <c r="J134" s="25" t="inlineStr">
        <is>
          <t>ACTIVE — unsigned</t>
        </is>
      </c>
      <c r="K134" s="31">
        <f>HYPERLINK("01_STARTER/ST-057-EUR-05/02_EU_DoC.docx","Open")</f>
        <v/>
      </c>
    </row>
    <row r="135">
      <c r="A135" s="25" t="inlineStr">
        <is>
          <t>IA-PPWR-DOC-ST-057-STD-01-R00</t>
        </is>
      </c>
      <c r="B135" s="25" t="inlineStr">
        <is>
          <t>ST-057-STD-01</t>
        </is>
      </c>
      <c r="C135" s="25" t="inlineStr">
        <is>
          <t>IA-ST-057-STD-01</t>
        </is>
      </c>
      <c r="D135" s="25" t="inlineStr">
        <is>
          <t>D26 | D26 İnciEFBPANTERA pencereli YÜKSEK DL dış koli (4001271): 57 adet</t>
        </is>
      </c>
      <c r="E135" s="25" t="inlineStr">
        <is>
          <t>D26 | D26 İnciEFBPANTERA pencereli YÜKSEK DL dış koli (4001271): 57 adet / D26 | D26 İnciEFBPANTERA windowed YÜKSEK DL outer carton (4001271): 57 pcs</t>
        </is>
      </c>
      <c r="F135" s="25" t="inlineStr">
        <is>
          <t>IA-ST-CFG-0155</t>
        </is>
      </c>
      <c r="G135" s="25" t="inlineStr">
        <is>
          <t>IA-PPWR-TF-ST-057-STD-01-R00</t>
        </is>
      </c>
      <c r="H135" s="25" t="inlineStr">
        <is>
          <t>2026-08-08</t>
        </is>
      </c>
      <c r="I135" s="25" t="inlineStr">
        <is>
          <t>Rev.00</t>
        </is>
      </c>
      <c r="J135" s="25" t="inlineStr">
        <is>
          <t>ACTIVE — unsigned</t>
        </is>
      </c>
      <c r="K135" s="31">
        <f>HYPERLINK("01_STARTER/ST-057-STD-01/02_EU_DoC.docx","Open")</f>
        <v/>
      </c>
    </row>
    <row r="136">
      <c r="A136" s="25" t="inlineStr">
        <is>
          <t>IA-PPWR-DOC-ST-057-STD-02-R00</t>
        </is>
      </c>
      <c r="B136" s="25" t="inlineStr">
        <is>
          <t>ST-057-STD-02</t>
        </is>
      </c>
      <c r="C136" s="25" t="inlineStr">
        <is>
          <t>IA-ST-057-STD-02</t>
        </is>
      </c>
      <c r="D136" s="25" t="inlineStr">
        <is>
          <t>D26 | D26 EAS Activa penceresiz (YÜKSEK) dış koli (4001287): 57 adet</t>
        </is>
      </c>
      <c r="E136" s="25" t="inlineStr">
        <is>
          <t>D26 | D26 EAS Activa penceresiz (YÜKSEK) dış koli (4001287): 57 adet / D26 | D26 EAS Activa windowless (YÜKSEK) outer carton (4001287): 57 pcs</t>
        </is>
      </c>
      <c r="F136" s="25" t="inlineStr">
        <is>
          <t>IA-ST-CFG-0156</t>
        </is>
      </c>
      <c r="G136" s="25" t="inlineStr">
        <is>
          <t>IA-PPWR-TF-ST-057-STD-02-R00</t>
        </is>
      </c>
      <c r="H136" s="25" t="inlineStr">
        <is>
          <t>2026-08-08</t>
        </is>
      </c>
      <c r="I136" s="25" t="inlineStr">
        <is>
          <t>Rev.00</t>
        </is>
      </c>
      <c r="J136" s="25" t="inlineStr">
        <is>
          <t>ACTIVE — unsigned</t>
        </is>
      </c>
      <c r="K136" s="31">
        <f>HYPERLINK("01_STARTER/ST-057-STD-02/02_EU_DoC.docx","Open")</f>
        <v/>
      </c>
    </row>
    <row r="137">
      <c r="A137" s="25" t="inlineStr">
        <is>
          <t>IA-PPWR-DOC-ST-057-STD-03-R00</t>
        </is>
      </c>
      <c r="B137" s="25" t="inlineStr">
        <is>
          <t>ST-057-STD-03</t>
        </is>
      </c>
      <c r="C137" s="25" t="inlineStr">
        <is>
          <t>IA-ST-057-STD-03</t>
        </is>
      </c>
      <c r="D137" s="25" t="inlineStr">
        <is>
          <t>D26 | D26 YUASA ORTADOĞU penceresiz dış koli (4001289): 57 adet</t>
        </is>
      </c>
      <c r="E137" s="25" t="inlineStr">
        <is>
          <t>D26 | D26 YUASA ORTADOĞU penceresiz dış koli (4001289): 57 adet / D26 | D26 YUASA ORTADOĞU windowless outer carton (4001289): 57 pcs</t>
        </is>
      </c>
      <c r="F137" s="25" t="inlineStr">
        <is>
          <t>IA-ST-CFG-0157</t>
        </is>
      </c>
      <c r="G137" s="25" t="inlineStr">
        <is>
          <t>IA-PPWR-TF-ST-057-STD-03-R00</t>
        </is>
      </c>
      <c r="H137" s="25" t="inlineStr">
        <is>
          <t>2026-08-08</t>
        </is>
      </c>
      <c r="I137" s="25" t="inlineStr">
        <is>
          <t>Rev.00</t>
        </is>
      </c>
      <c r="J137" s="25" t="inlineStr">
        <is>
          <t>ACTIVE — unsigned</t>
        </is>
      </c>
      <c r="K137" s="31">
        <f>HYPERLINK("01_STARTER/ST-057-STD-03/02_EU_DoC.docx","Open")</f>
        <v/>
      </c>
    </row>
    <row r="138">
      <c r="A138" s="25" t="inlineStr">
        <is>
          <t>IA-PPWR-DOC-ST-060-EUR-01-R00</t>
        </is>
      </c>
      <c r="B138" s="25" t="inlineStr">
        <is>
          <t>ST-060-EUR-01</t>
        </is>
      </c>
      <c r="C138" s="25" t="inlineStr">
        <is>
          <t>IA-ST-060-EUR-01</t>
        </is>
      </c>
      <c r="D138" s="25" t="inlineStr">
        <is>
          <t>D23 | D23 YUASA penceresiz Orta Doğu dış koli (4001106): 60 adet</t>
        </is>
      </c>
      <c r="E138" s="25" t="inlineStr">
        <is>
          <t>D23 | D23 YUASA penceresiz Orta Doğu dış koli (4001106): 60 adet / D23 | D23 YUASA windowless Middle East outer carton (4001106): 60 pcs</t>
        </is>
      </c>
      <c r="F138" s="25" t="inlineStr">
        <is>
          <t>IA-ST-CFG-0170</t>
        </is>
      </c>
      <c r="G138" s="25" t="inlineStr">
        <is>
          <t>IA-PPWR-TF-ST-060-EUR-01-R00</t>
        </is>
      </c>
      <c r="H138" s="25" t="inlineStr">
        <is>
          <t>2026-08-08</t>
        </is>
      </c>
      <c r="I138" s="25" t="inlineStr">
        <is>
          <t>Rev.00</t>
        </is>
      </c>
      <c r="J138" s="25" t="inlineStr">
        <is>
          <t>ACTIVE — unsigned</t>
        </is>
      </c>
      <c r="K138" s="31">
        <f>HYPERLINK("01_STARTER/ST-060-EUR-01/02_EU_DoC.docx","Open")</f>
        <v/>
      </c>
    </row>
    <row r="139">
      <c r="A139" s="25" t="inlineStr">
        <is>
          <t>IA-PPWR-DOC-ST-060-EUR-02-R00</t>
        </is>
      </c>
      <c r="B139" s="25" t="inlineStr">
        <is>
          <t>ST-060-EUR-02</t>
        </is>
      </c>
      <c r="C139" s="25" t="inlineStr">
        <is>
          <t>IA-ST-060-EUR-02</t>
        </is>
      </c>
      <c r="D139" s="25" t="inlineStr">
        <is>
          <t>D23 | D23 PVC üst kapak (4000461): 60 adet</t>
        </is>
      </c>
      <c r="E139" s="25" t="inlineStr">
        <is>
          <t>D23 | D23 PVC üst kapak (4000461): 60 adet / D23 | D23 PVC upper cover (4000461): 60 pcs</t>
        </is>
      </c>
      <c r="F139" s="25" t="inlineStr">
        <is>
          <t>IA-ST-CFG-0171</t>
        </is>
      </c>
      <c r="G139" s="25" t="inlineStr">
        <is>
          <t>IA-PPWR-TF-ST-060-EUR-02-R00</t>
        </is>
      </c>
      <c r="H139" s="25" t="inlineStr">
        <is>
          <t>2026-08-08</t>
        </is>
      </c>
      <c r="I139" s="25" t="inlineStr">
        <is>
          <t>Rev.00</t>
        </is>
      </c>
      <c r="J139" s="25" t="inlineStr">
        <is>
          <t>ACTIVE — unsigned</t>
        </is>
      </c>
      <c r="K139" s="31">
        <f>HYPERLINK("01_STARTER/ST-060-EUR-02/02_EU_DoC.docx","Open")</f>
        <v/>
      </c>
    </row>
    <row r="140">
      <c r="A140" s="25" t="inlineStr">
        <is>
          <t>IA-PPWR-DOC-ST-060-STD-01-R00</t>
        </is>
      </c>
      <c r="B140" s="25" t="inlineStr">
        <is>
          <t>ST-060-STD-01</t>
        </is>
      </c>
      <c r="C140" s="25" t="inlineStr">
        <is>
          <t>IA-ST-060-STD-01</t>
        </is>
      </c>
      <c r="D140" s="25" t="inlineStr">
        <is>
          <t>L5 | L5 EAS Activa penceresiz dış koli (4001006): 60 adet</t>
        </is>
      </c>
      <c r="E140" s="25" t="inlineStr">
        <is>
          <t>L5 | L5 EAS Activa penceresiz dış koli (4001006): 60 adet / L5 | L5 EAS Activa windowless outer carton (4001006): 60 pcs</t>
        </is>
      </c>
      <c r="F140" s="25" t="inlineStr">
        <is>
          <t>IA-ST-CFG-0165</t>
        </is>
      </c>
      <c r="G140" s="25" t="inlineStr">
        <is>
          <t>IA-PPWR-TF-ST-060-STD-01-R00</t>
        </is>
      </c>
      <c r="H140" s="25" t="inlineStr">
        <is>
          <t>2026-08-08</t>
        </is>
      </c>
      <c r="I140" s="25" t="inlineStr">
        <is>
          <t>Rev.00</t>
        </is>
      </c>
      <c r="J140" s="25" t="inlineStr">
        <is>
          <t>ACTIVE — unsigned</t>
        </is>
      </c>
      <c r="K140" s="31">
        <f>HYPERLINK("01_STARTER/ST-060-STD-01/02_EU_DoC.docx","Open")</f>
        <v/>
      </c>
    </row>
    <row r="141">
      <c r="A141" s="25" t="inlineStr">
        <is>
          <t>IA-PPWR-DOC-ST-060-STD-02-R00</t>
        </is>
      </c>
      <c r="B141" s="25" t="inlineStr">
        <is>
          <t>ST-060-STD-02</t>
        </is>
      </c>
      <c r="C141" s="25" t="inlineStr">
        <is>
          <t>IA-ST-060-STD-02</t>
        </is>
      </c>
      <c r="D141" s="25" t="inlineStr">
        <is>
          <t>L5 | L5 YUASA penceresiz Orta Doğu dış koli (4001105): 60 adet</t>
        </is>
      </c>
      <c r="E141" s="25" t="inlineStr">
        <is>
          <t>L5 | L5 YUASA penceresiz Orta Doğu dış koli (4001105): 60 adet / L5 | L5 YUASA windowless Middle East outer carton (4001105): 60 pcs</t>
        </is>
      </c>
      <c r="F141" s="25" t="inlineStr">
        <is>
          <t>IA-ST-CFG-0166</t>
        </is>
      </c>
      <c r="G141" s="25" t="inlineStr">
        <is>
          <t>IA-PPWR-TF-ST-060-STD-02-R00</t>
        </is>
      </c>
      <c r="H141" s="25" t="inlineStr">
        <is>
          <t>2026-08-08</t>
        </is>
      </c>
      <c r="I141" s="25" t="inlineStr">
        <is>
          <t>Rev.00</t>
        </is>
      </c>
      <c r="J141" s="25" t="inlineStr">
        <is>
          <t>ACTIVE — unsigned</t>
        </is>
      </c>
      <c r="K141" s="31">
        <f>HYPERLINK("01_STARTER/ST-060-STD-02/02_EU_DoC.docx","Open")</f>
        <v/>
      </c>
    </row>
    <row r="142">
      <c r="A142" s="25" t="inlineStr">
        <is>
          <t>IA-PPWR-DOC-ST-060-STD-03-R00</t>
        </is>
      </c>
      <c r="B142" s="25" t="inlineStr">
        <is>
          <t>ST-060-STD-03</t>
        </is>
      </c>
      <c r="C142" s="25" t="inlineStr">
        <is>
          <t>IA-ST-060-STD-03</t>
        </is>
      </c>
      <c r="D142" s="25" t="inlineStr">
        <is>
          <t>L5 | L5 İnci EFB MAX TIGRIS pencereli 2020 dış koli (4001274): 60 adet</t>
        </is>
      </c>
      <c r="E142" s="25" t="inlineStr">
        <is>
          <t>L5 | L5 İnci EFB MAX TIGRIS pencereli 2020 dış koli (4001274): 60 adet / L5 | L5 İnci EFB MAX TIGRIS windowed 2020 outer carton (4001274): 60 pcs</t>
        </is>
      </c>
      <c r="F142" s="25" t="inlineStr">
        <is>
          <t>IA-ST-CFG-0167</t>
        </is>
      </c>
      <c r="G142" s="25" t="inlineStr">
        <is>
          <t>IA-PPWR-TF-ST-060-STD-03-R00</t>
        </is>
      </c>
      <c r="H142" s="25" t="inlineStr">
        <is>
          <t>2026-08-08</t>
        </is>
      </c>
      <c r="I142" s="25" t="inlineStr">
        <is>
          <t>Rev.00</t>
        </is>
      </c>
      <c r="J142" s="25" t="inlineStr">
        <is>
          <t>ACTIVE — unsigned</t>
        </is>
      </c>
      <c r="K142" s="31">
        <f>HYPERLINK("01_STARTER/ST-060-STD-03/02_EU_DoC.docx","Open")</f>
        <v/>
      </c>
    </row>
    <row r="143">
      <c r="A143" s="25" t="inlineStr">
        <is>
          <t>IA-PPWR-DOC-ST-060-STD-04-R00</t>
        </is>
      </c>
      <c r="B143" s="25" t="inlineStr">
        <is>
          <t>ST-060-STD-04</t>
        </is>
      </c>
      <c r="C143" s="25" t="inlineStr">
        <is>
          <t>IA-ST-060-STD-04</t>
        </is>
      </c>
      <c r="D143" s="25" t="inlineStr">
        <is>
          <t>L5 | L5 İnciEFBPANTRA pencereli 90AH830A DL dış koli (4001320): 60 adet</t>
        </is>
      </c>
      <c r="E143" s="25" t="inlineStr">
        <is>
          <t>L5 | L5 İnciEFBPANTRA pencereli 90AH830A DL dış koli (4001320): 60 adet / L5 | L5 İnciEFBPANTRA windowed 90AH830A DL outer carton (4001320): 60 pcs</t>
        </is>
      </c>
      <c r="F143" s="25" t="inlineStr">
        <is>
          <t>IA-ST-CFG-0168</t>
        </is>
      </c>
      <c r="G143" s="25" t="inlineStr">
        <is>
          <t>IA-PPWR-TF-ST-060-STD-04-R00</t>
        </is>
      </c>
      <c r="H143" s="25" t="inlineStr">
        <is>
          <t>2026-08-08</t>
        </is>
      </c>
      <c r="I143" s="25" t="inlineStr">
        <is>
          <t>Rev.00</t>
        </is>
      </c>
      <c r="J143" s="25" t="inlineStr">
        <is>
          <t>ACTIVE — unsigned</t>
        </is>
      </c>
      <c r="K143" s="31">
        <f>HYPERLINK("01_STARTER/ST-060-STD-04/02_EU_DoC.docx","Open")</f>
        <v/>
      </c>
    </row>
    <row r="144">
      <c r="A144" s="25" t="inlineStr">
        <is>
          <t>IA-PPWR-DOC-ST-060-STD-05-R00</t>
        </is>
      </c>
      <c r="B144" s="25" t="inlineStr">
        <is>
          <t>ST-060-STD-05</t>
        </is>
      </c>
      <c r="C144" s="25" t="inlineStr">
        <is>
          <t>IA-ST-060-STD-05</t>
        </is>
      </c>
      <c r="D144" s="25" t="inlineStr">
        <is>
          <t>L5 | L5 İnci FORMULA-MAXIMA 2019 dış koli (4001208): 60 adet</t>
        </is>
      </c>
      <c r="E144" s="25" t="inlineStr">
        <is>
          <t>L5 | L5 İnci FORMULA-MAXIMA 2019 dış koli (4001208): 60 adet / L5 | L5 İnci FORMULA-MAXIMA 2019 outer carton (4001208): 60 pcs</t>
        </is>
      </c>
      <c r="F144" s="25" t="inlineStr">
        <is>
          <t>IA-ST-CFG-0169</t>
        </is>
      </c>
      <c r="G144" s="25" t="inlineStr">
        <is>
          <t>IA-PPWR-TF-ST-060-STD-05-R00</t>
        </is>
      </c>
      <c r="H144" s="25" t="inlineStr">
        <is>
          <t>2026-08-08</t>
        </is>
      </c>
      <c r="I144" s="25" t="inlineStr">
        <is>
          <t>Rev.00</t>
        </is>
      </c>
      <c r="J144" s="25" t="inlineStr">
        <is>
          <t>ACTIVE — unsigned</t>
        </is>
      </c>
      <c r="K144" s="31">
        <f>HYPERLINK("01_STARTER/ST-060-STD-05/02_EU_DoC.docx","Open")</f>
        <v/>
      </c>
    </row>
    <row r="145">
      <c r="A145" s="25" t="inlineStr">
        <is>
          <t>IA-PPWR-DOC-ST-063-EUR-01-R00</t>
        </is>
      </c>
      <c r="B145" s="25" t="inlineStr">
        <is>
          <t>ST-063-EUR-01</t>
        </is>
      </c>
      <c r="C145" s="25" t="inlineStr">
        <is>
          <t>IA-ST-063-EUR-01</t>
        </is>
      </c>
      <c r="D145" s="25" t="inlineStr">
        <is>
          <t>D23 | Palet (4000038): 1 adet | Honeycomb (4001186): 3 adet</t>
        </is>
      </c>
      <c r="E145" s="25" t="inlineStr">
        <is>
          <t>D23 | Palet (4000038): 1 adet | Honeycomb (4001186): 3 adet / D23 | Pallet (4000038): 1 pc | Honeycomb (4001186): 3 pcs</t>
        </is>
      </c>
      <c r="F145" s="25" t="inlineStr">
        <is>
          <t>IA-ST-CFG-0188</t>
        </is>
      </c>
      <c r="G145" s="25" t="inlineStr">
        <is>
          <t>IA-PPWR-TF-ST-063-EUR-01-R00</t>
        </is>
      </c>
      <c r="H145" s="25" t="inlineStr">
        <is>
          <t>2026-08-08</t>
        </is>
      </c>
      <c r="I145" s="25" t="inlineStr">
        <is>
          <t>Rev.00</t>
        </is>
      </c>
      <c r="J145" s="25" t="inlineStr">
        <is>
          <t>ACTIVE — unsigned</t>
        </is>
      </c>
      <c r="K145" s="31">
        <f>HYPERLINK("01_STARTER/ST-063-EUR-01/02_EU_DoC.docx","Open")</f>
        <v/>
      </c>
    </row>
    <row r="146">
      <c r="A146" s="25" t="inlineStr">
        <is>
          <t>IA-PPWR-DOC-ST-063-EUR-02-R00</t>
        </is>
      </c>
      <c r="B146" s="25" t="inlineStr">
        <is>
          <t>ST-063-EUR-02</t>
        </is>
      </c>
      <c r="C146" s="25" t="inlineStr">
        <is>
          <t>IA-ST-063-EUR-02</t>
        </is>
      </c>
      <c r="D146" s="25" t="inlineStr">
        <is>
          <t>D23 | Palet (4000038): 1 adet | EPS (4001247): 3 adet</t>
        </is>
      </c>
      <c r="E146" s="25" t="inlineStr">
        <is>
          <t>D23 | Palet (4000038): 1 adet | EPS (4001247): 3 adet / D23 | Pallet (4000038): 1 pc | EPS (4001247): 3 pcs</t>
        </is>
      </c>
      <c r="F146" s="25" t="inlineStr">
        <is>
          <t>IA-ST-CFG-0189</t>
        </is>
      </c>
      <c r="G146" s="25" t="inlineStr">
        <is>
          <t>IA-PPWR-TF-ST-063-EUR-02-R00</t>
        </is>
      </c>
      <c r="H146" s="25" t="inlineStr">
        <is>
          <t>2026-08-08</t>
        </is>
      </c>
      <c r="I146" s="25" t="inlineStr">
        <is>
          <t>Rev.00</t>
        </is>
      </c>
      <c r="J146" s="25" t="inlineStr">
        <is>
          <t>ACTIVE — unsigned</t>
        </is>
      </c>
      <c r="K146" s="31">
        <f>HYPERLINK("01_STARTER/ST-063-EUR-02/02_EU_DoC.docx","Open")</f>
        <v/>
      </c>
    </row>
    <row r="147">
      <c r="A147" s="25" t="inlineStr">
        <is>
          <t>IA-PPWR-DOC-ST-063-STD-01-R00</t>
        </is>
      </c>
      <c r="B147" s="25" t="inlineStr">
        <is>
          <t>ST-063-STD-01</t>
        </is>
      </c>
      <c r="C147" s="25" t="inlineStr">
        <is>
          <t>IA-ST-063-STD-01</t>
        </is>
      </c>
      <c r="D147" s="25" t="inlineStr">
        <is>
          <t>D23 | D23 İnci EFBPANTERA YÜKSEK PENLİ DL dış koli (4001270): 63 adet</t>
        </is>
      </c>
      <c r="E147" s="25" t="inlineStr">
        <is>
          <t>D23 | D23 İnci EFBPANTERA YÜKSEK PENLİ DL dış koli (4001270): 63 adet / D23 | D23 İnci EFBPANTERA YÜKSEK PENLİ DL outer carton (4001270): 63 pcs</t>
        </is>
      </c>
      <c r="F147" s="25" t="inlineStr">
        <is>
          <t>IA-ST-CFG-0172</t>
        </is>
      </c>
      <c r="G147" s="25" t="inlineStr">
        <is>
          <t>IA-PPWR-TF-ST-063-STD-01-R00</t>
        </is>
      </c>
      <c r="H147" s="25" t="inlineStr">
        <is>
          <t>2026-08-08</t>
        </is>
      </c>
      <c r="I147" s="25" t="inlineStr">
        <is>
          <t>Rev.00</t>
        </is>
      </c>
      <c r="J147" s="25" t="inlineStr">
        <is>
          <t>ACTIVE — unsigned</t>
        </is>
      </c>
      <c r="K147" s="31">
        <f>HYPERLINK("01_STARTER/ST-063-STD-01/02_EU_DoC.docx","Open")</f>
        <v/>
      </c>
    </row>
    <row r="148">
      <c r="A148" s="25" t="inlineStr">
        <is>
          <t>IA-PPWR-DOC-ST-063-STD-02-R00</t>
        </is>
      </c>
      <c r="B148" s="25" t="inlineStr">
        <is>
          <t>ST-063-STD-02</t>
        </is>
      </c>
      <c r="C148" s="25" t="inlineStr">
        <is>
          <t>IA-ST-063-STD-02</t>
        </is>
      </c>
      <c r="D148" s="25" t="inlineStr">
        <is>
          <t>D26 | Palet (4000037): 1 adet | Separatör (4000130): 1 adet | EPS (4000370): 3 adet</t>
        </is>
      </c>
      <c r="E148" s="25" t="inlineStr">
        <is>
          <t>D26 | Palet (4000037): 1 adet | Separatör (4000130): 1 adet | EPS (4000370): 3 adet / D26 | Pallet (4000037): 1 pc | Separator (4000130): 1 pc | EPS (4000370): 3 pcs</t>
        </is>
      </c>
      <c r="F148" s="25" t="inlineStr">
        <is>
          <t>IA-ST-CFG-0173</t>
        </is>
      </c>
      <c r="G148" s="25" t="inlineStr">
        <is>
          <t>IA-PPWR-TF-ST-063-STD-02-R00</t>
        </is>
      </c>
      <c r="H148" s="25" t="inlineStr">
        <is>
          <t>2026-08-08</t>
        </is>
      </c>
      <c r="I148" s="25" t="inlineStr">
        <is>
          <t>Rev.00</t>
        </is>
      </c>
      <c r="J148" s="25" t="inlineStr">
        <is>
          <t>ACTIVE — unsigned</t>
        </is>
      </c>
      <c r="K148" s="31">
        <f>HYPERLINK("01_STARTER/ST-063-STD-02/02_EU_DoC.docx","Open")</f>
        <v/>
      </c>
    </row>
    <row r="149">
      <c r="A149" s="25" t="inlineStr">
        <is>
          <t>IA-PPWR-DOC-ST-063-STD-03-R00</t>
        </is>
      </c>
      <c r="B149" s="25" t="inlineStr">
        <is>
          <t>ST-063-STD-03</t>
        </is>
      </c>
      <c r="C149" s="25" t="inlineStr">
        <is>
          <t>IA-ST-063-STD-03</t>
        </is>
      </c>
      <c r="D149" s="25" t="inlineStr">
        <is>
          <t>D26 | Separatör (4000130): 1 adet | D26 PVC üst kapak (4000440): 63 adet</t>
        </is>
      </c>
      <c r="E149" s="25" t="inlineStr">
        <is>
          <t>D26 | Separatör (4000130): 1 adet | D26 PVC üst kapak (4000440): 63 adet / D26 | Separator (4000130): 1 pc | D26 PVC upper cover (4000440): 63 pcs</t>
        </is>
      </c>
      <c r="F149" s="25" t="inlineStr">
        <is>
          <t>IA-ST-CFG-0174</t>
        </is>
      </c>
      <c r="G149" s="25" t="inlineStr">
        <is>
          <t>IA-PPWR-TF-ST-063-STD-03-R00</t>
        </is>
      </c>
      <c r="H149" s="25" t="inlineStr">
        <is>
          <t>2026-08-08</t>
        </is>
      </c>
      <c r="I149" s="25" t="inlineStr">
        <is>
          <t>Rev.00</t>
        </is>
      </c>
      <c r="J149" s="25" t="inlineStr">
        <is>
          <t>ACTIVE — unsigned</t>
        </is>
      </c>
      <c r="K149" s="31">
        <f>HYPERLINK("01_STARTER/ST-063-STD-03/02_EU_DoC.docx","Open")</f>
        <v/>
      </c>
    </row>
    <row r="150">
      <c r="A150" s="25" t="inlineStr">
        <is>
          <t>IA-PPWR-DOC-ST-063-STD-04-R00</t>
        </is>
      </c>
      <c r="B150" s="25" t="inlineStr">
        <is>
          <t>ST-063-STD-04</t>
        </is>
      </c>
      <c r="C150" s="25" t="inlineStr">
        <is>
          <t>IA-ST-063-STD-04</t>
        </is>
      </c>
      <c r="D150" s="25" t="inlineStr">
        <is>
          <t>D26 | D26 PVC üst kapak (4000440): 63 adet | Köşebent (4000590): 2 adet</t>
        </is>
      </c>
      <c r="E150" s="25" t="inlineStr">
        <is>
          <t>D26 | D26 PVC üst kapak (4000440): 63 adet | Köşebent (4000590): 2 adet / D26 | D26 PVC upper cover (4000440): 63 pcs | Edge protector (4000590): 2 pcs</t>
        </is>
      </c>
      <c r="F150" s="25" t="inlineStr">
        <is>
          <t>IA-ST-CFG-0175</t>
        </is>
      </c>
      <c r="G150" s="25" t="inlineStr">
        <is>
          <t>IA-PPWR-TF-ST-063-STD-04-R00</t>
        </is>
      </c>
      <c r="H150" s="25" t="inlineStr">
        <is>
          <t>2026-08-08</t>
        </is>
      </c>
      <c r="I150" s="25" t="inlineStr">
        <is>
          <t>Rev.00</t>
        </is>
      </c>
      <c r="J150" s="25" t="inlineStr">
        <is>
          <t>ACTIVE — unsigned</t>
        </is>
      </c>
      <c r="K150" s="31">
        <f>HYPERLINK("01_STARTER/ST-063-STD-04/02_EU_DoC.docx","Open")</f>
        <v/>
      </c>
    </row>
    <row r="151">
      <c r="A151" s="25" t="inlineStr">
        <is>
          <t>IA-PPWR-DOC-ST-063-STD-05-R00</t>
        </is>
      </c>
      <c r="B151" s="25" t="inlineStr">
        <is>
          <t>ST-063-STD-05</t>
        </is>
      </c>
      <c r="C151" s="25" t="inlineStr">
        <is>
          <t>IA-ST-063-STD-05</t>
        </is>
      </c>
      <c r="D151" s="25" t="inlineStr">
        <is>
          <t>D26 | D26 PVC üst kapak (4000440): 63 adet | Çember (4000450): kullanılmaz</t>
        </is>
      </c>
      <c r="E151" s="25" t="inlineStr">
        <is>
          <t>D26 | D26 PVC üst kapak (4000440): 63 adet | Çember (4000450): kullanılmaz / D26 | D26 PVC upper cover (4000440): 63 pcs | Strap (4000450): not used</t>
        </is>
      </c>
      <c r="F151" s="25" t="inlineStr">
        <is>
          <t>IA-ST-CFG-0176</t>
        </is>
      </c>
      <c r="G151" s="25" t="inlineStr">
        <is>
          <t>IA-PPWR-TF-ST-063-STD-05-R00</t>
        </is>
      </c>
      <c r="H151" s="25" t="inlineStr">
        <is>
          <t>2026-08-08</t>
        </is>
      </c>
      <c r="I151" s="25" t="inlineStr">
        <is>
          <t>Rev.00</t>
        </is>
      </c>
      <c r="J151" s="25" t="inlineStr">
        <is>
          <t>ACTIVE — unsigned</t>
        </is>
      </c>
      <c r="K151" s="31">
        <f>HYPERLINK("01_STARTER/ST-063-STD-05/02_EU_DoC.docx","Open")</f>
        <v/>
      </c>
    </row>
    <row r="152">
      <c r="A152" s="25" t="inlineStr">
        <is>
          <t>IA-PPWR-DOC-ST-063-STD-06-R00</t>
        </is>
      </c>
      <c r="B152" s="25" t="inlineStr">
        <is>
          <t>ST-063-STD-06</t>
        </is>
      </c>
      <c r="C152" s="25" t="inlineStr">
        <is>
          <t>IA-ST-063-STD-06</t>
        </is>
      </c>
      <c r="D152" s="25" t="inlineStr">
        <is>
          <t>L3 | Palet (4000037): 1 adet | Köşebent (4000590): 4 adet</t>
        </is>
      </c>
      <c r="E152" s="25" t="inlineStr">
        <is>
          <t>L3 | Palet (4000037): 1 adet | Köşebent (4000590): 4 adet / L3 | Pallet (4000037): 1 pc | Edge protector (4000590): 4 pcs</t>
        </is>
      </c>
      <c r="F152" s="25" t="inlineStr">
        <is>
          <t>IA-ST-CFG-0177</t>
        </is>
      </c>
      <c r="G152" s="25" t="inlineStr">
        <is>
          <t>IA-PPWR-TF-ST-063-STD-06-R00</t>
        </is>
      </c>
      <c r="H152" s="25" t="inlineStr">
        <is>
          <t>2026-08-08</t>
        </is>
      </c>
      <c r="I152" s="25" t="inlineStr">
        <is>
          <t>Rev.00</t>
        </is>
      </c>
      <c r="J152" s="25" t="inlineStr">
        <is>
          <t>ACTIVE — unsigned</t>
        </is>
      </c>
      <c r="K152" s="31">
        <f>HYPERLINK("01_STARTER/ST-063-STD-06/02_EU_DoC.docx","Open")</f>
        <v/>
      </c>
    </row>
    <row r="153">
      <c r="A153" s="25" t="inlineStr">
        <is>
          <t>IA-PPWR-DOC-ST-063-STD-07-R00</t>
        </is>
      </c>
      <c r="B153" s="25" t="inlineStr">
        <is>
          <t>ST-063-STD-07</t>
        </is>
      </c>
      <c r="C153" s="25" t="inlineStr">
        <is>
          <t>IA-ST-063-STD-07</t>
        </is>
      </c>
      <c r="D153" s="25" t="inlineStr">
        <is>
          <t>LB3 | Palet (4000037): 1 adet | Shrink film (4000558): 1.95 kg | Köşebent (4000590): 2 adet</t>
        </is>
      </c>
      <c r="E153" s="25" t="inlineStr">
        <is>
          <t>LB3 | Palet (4000037): 1 adet | Shrink film (4000558): 1.95 kg | Köşebent (4000590): 2 adet / LB3 | Pallet (4000037): 1 pc | Shrink film (4000558): 1.95 kg | Edge protector (4000590): 2 pcs</t>
        </is>
      </c>
      <c r="F153" s="25" t="inlineStr">
        <is>
          <t>IA-ST-CFG-0178</t>
        </is>
      </c>
      <c r="G153" s="25" t="inlineStr">
        <is>
          <t>IA-PPWR-TF-ST-063-STD-07-R00</t>
        </is>
      </c>
      <c r="H153" s="25" t="inlineStr">
        <is>
          <t>2026-08-08</t>
        </is>
      </c>
      <c r="I153" s="25" t="inlineStr">
        <is>
          <t>Rev.00</t>
        </is>
      </c>
      <c r="J153" s="25" t="inlineStr">
        <is>
          <t>ACTIVE — unsigned</t>
        </is>
      </c>
      <c r="K153" s="31">
        <f>HYPERLINK("01_STARTER/ST-063-STD-07/02_EU_DoC.docx","Open")</f>
        <v/>
      </c>
    </row>
    <row r="154">
      <c r="A154" s="25" t="inlineStr">
        <is>
          <t>IA-PPWR-DOC-ST-063-STD-08-R00</t>
        </is>
      </c>
      <c r="B154" s="25" t="inlineStr">
        <is>
          <t>ST-063-STD-08</t>
        </is>
      </c>
      <c r="C154" s="25" t="inlineStr">
        <is>
          <t>IA-ST-063-STD-08</t>
        </is>
      </c>
      <c r="D154" s="25" t="inlineStr">
        <is>
          <t>L3 | Palet (4000037): 1 adet | Separatör (4000130): 4 adet | Shrink film (4000558): 2.08 kg</t>
        </is>
      </c>
      <c r="E154" s="25" t="inlineStr">
        <is>
          <t>L3 | Palet (4000037): 1 adet | Separatör (4000130): 4 adet | Shrink film (4000558): 2.08 kg / L3 | Pallet (4000037): 1 pc | Separator (4000130): 4 pcs | Shrink film (4000558): 2.08 kg</t>
        </is>
      </c>
      <c r="F154" s="25" t="inlineStr">
        <is>
          <t>IA-ST-CFG-0179</t>
        </is>
      </c>
      <c r="G154" s="25" t="inlineStr">
        <is>
          <t>IA-PPWR-TF-ST-063-STD-08-R00</t>
        </is>
      </c>
      <c r="H154" s="25" t="inlineStr">
        <is>
          <t>2026-08-08</t>
        </is>
      </c>
      <c r="I154" s="25" t="inlineStr">
        <is>
          <t>Rev.00</t>
        </is>
      </c>
      <c r="J154" s="25" t="inlineStr">
        <is>
          <t>ACTIVE — unsigned</t>
        </is>
      </c>
      <c r="K154" s="31">
        <f>HYPERLINK("01_STARTER/ST-063-STD-08/02_EU_DoC.docx","Open")</f>
        <v/>
      </c>
    </row>
    <row r="155">
      <c r="A155" s="25" t="inlineStr">
        <is>
          <t>IA-PPWR-DOC-ST-063-STD-09-R00</t>
        </is>
      </c>
      <c r="B155" s="25" t="inlineStr">
        <is>
          <t>ST-063-STD-09</t>
        </is>
      </c>
      <c r="C155" s="25" t="inlineStr">
        <is>
          <t>IA-ST-063-STD-09</t>
        </is>
      </c>
      <c r="D155" s="25" t="inlineStr">
        <is>
          <t>LB3 | Palet (4000037): 1 adet | Shrink film (4000558): kullanılmaz</t>
        </is>
      </c>
      <c r="E155" s="25" t="inlineStr">
        <is>
          <t>LB3 | Palet (4000037): 1 adet | Shrink film (4000558): kullanılmaz / LB3 | Pallet (4000037): 1 pc | Shrink film (4000558): not used</t>
        </is>
      </c>
      <c r="F155" s="25" t="inlineStr">
        <is>
          <t>IA-ST-CFG-0180</t>
        </is>
      </c>
      <c r="G155" s="25" t="inlineStr">
        <is>
          <t>IA-PPWR-TF-ST-063-STD-09-R00</t>
        </is>
      </c>
      <c r="H155" s="25" t="inlineStr">
        <is>
          <t>2026-08-08</t>
        </is>
      </c>
      <c r="I155" s="25" t="inlineStr">
        <is>
          <t>Rev.00</t>
        </is>
      </c>
      <c r="J155" s="25" t="inlineStr">
        <is>
          <t>ACTIVE — unsigned</t>
        </is>
      </c>
      <c r="K155" s="31">
        <f>HYPERLINK("01_STARTER/ST-063-STD-09/02_EU_DoC.docx","Open")</f>
        <v/>
      </c>
    </row>
    <row r="156">
      <c r="A156" s="25" t="inlineStr">
        <is>
          <t>IA-PPWR-DOC-ST-063-STD-10-R00</t>
        </is>
      </c>
      <c r="B156" s="25" t="inlineStr">
        <is>
          <t>ST-063-STD-10</t>
        </is>
      </c>
      <c r="C156" s="25" t="inlineStr">
        <is>
          <t>IA-ST-063-STD-10</t>
        </is>
      </c>
      <c r="D156" s="25" t="inlineStr">
        <is>
          <t>LB3 | Palet (4000037): 1 adet | Köşebent (4000590): kullanılmaz</t>
        </is>
      </c>
      <c r="E156" s="25" t="inlineStr">
        <is>
          <t>LB3 | Palet (4000037): 1 adet | Köşebent (4000590): kullanılmaz / LB3 | Pallet (4000037): 1 pc | Edge protector (4000590): not used</t>
        </is>
      </c>
      <c r="F156" s="25" t="inlineStr">
        <is>
          <t>IA-ST-CFG-0181</t>
        </is>
      </c>
      <c r="G156" s="25" t="inlineStr">
        <is>
          <t>IA-PPWR-TF-ST-063-STD-10-R00</t>
        </is>
      </c>
      <c r="H156" s="25" t="inlineStr">
        <is>
          <t>2026-08-08</t>
        </is>
      </c>
      <c r="I156" s="25" t="inlineStr">
        <is>
          <t>Rev.00</t>
        </is>
      </c>
      <c r="J156" s="25" t="inlineStr">
        <is>
          <t>ACTIVE — unsigned</t>
        </is>
      </c>
      <c r="K156" s="31">
        <f>HYPERLINK("01_STARTER/ST-063-STD-10/02_EU_DoC.docx","Open")</f>
        <v/>
      </c>
    </row>
    <row r="157">
      <c r="A157" s="25" t="inlineStr">
        <is>
          <t>IA-PPWR-DOC-ST-063-STD-11-R00</t>
        </is>
      </c>
      <c r="B157" s="25" t="inlineStr">
        <is>
          <t>ST-063-STD-11</t>
        </is>
      </c>
      <c r="C157" s="25" t="inlineStr">
        <is>
          <t>IA-ST-063-STD-11</t>
        </is>
      </c>
      <c r="D157" s="25" t="inlineStr">
        <is>
          <t>L3, LB3 | Palet (4000037): 1 adet | Shrink film (4000558): 2.08 kg</t>
        </is>
      </c>
      <c r="E157" s="25" t="inlineStr">
        <is>
          <t>L3, LB3 | Palet (4000037): 1 adet | Shrink film (4000558): 2.08 kg / L3, LB3 | Pallet (4000037): 1 pc | Shrink film (4000558): 2.08 kg</t>
        </is>
      </c>
      <c r="F157" s="25" t="inlineStr">
        <is>
          <t>IA-ST-CFG-0182</t>
        </is>
      </c>
      <c r="G157" s="25" t="inlineStr">
        <is>
          <t>IA-PPWR-TF-ST-063-STD-11-R00</t>
        </is>
      </c>
      <c r="H157" s="25" t="inlineStr">
        <is>
          <t>2026-08-08</t>
        </is>
      </c>
      <c r="I157" s="25" t="inlineStr">
        <is>
          <t>Rev.00</t>
        </is>
      </c>
      <c r="J157" s="25" t="inlineStr">
        <is>
          <t>ACTIVE — unsigned</t>
        </is>
      </c>
      <c r="K157" s="31">
        <f>HYPERLINK("01_STARTER/ST-063-STD-11/02_EU_DoC.docx","Open")</f>
        <v/>
      </c>
    </row>
    <row r="158">
      <c r="A158" s="25" t="inlineStr">
        <is>
          <t>IA-PPWR-DOC-ST-063-STD-12-R00</t>
        </is>
      </c>
      <c r="B158" s="25" t="inlineStr">
        <is>
          <t>ST-063-STD-12</t>
        </is>
      </c>
      <c r="C158" s="25" t="inlineStr">
        <is>
          <t>IA-ST-063-STD-12</t>
        </is>
      </c>
      <c r="D158" s="25" t="inlineStr">
        <is>
          <t>D26 | Palet (4000037): 1 adet | Shrink film (4001177): 0.597 kg</t>
        </is>
      </c>
      <c r="E158" s="25" t="inlineStr">
        <is>
          <t>D26 | Palet (4000037): 1 adet | Shrink film (4001177): 0.597 kg / D26 | Pallet (4000037): 1 pc | Shrink film (4001177): 0.597 kg</t>
        </is>
      </c>
      <c r="F158" s="25" t="inlineStr">
        <is>
          <t>IA-ST-CFG-0183</t>
        </is>
      </c>
      <c r="G158" s="25" t="inlineStr">
        <is>
          <t>IA-PPWR-TF-ST-063-STD-12-R00</t>
        </is>
      </c>
      <c r="H158" s="25" t="inlineStr">
        <is>
          <t>2026-08-08</t>
        </is>
      </c>
      <c r="I158" s="25" t="inlineStr">
        <is>
          <t>Rev.00</t>
        </is>
      </c>
      <c r="J158" s="25" t="inlineStr">
        <is>
          <t>ACTIVE — unsigned</t>
        </is>
      </c>
      <c r="K158" s="31">
        <f>HYPERLINK("01_STARTER/ST-063-STD-12/02_EU_DoC.docx","Open")</f>
        <v/>
      </c>
    </row>
    <row r="159">
      <c r="A159" s="25" t="inlineStr">
        <is>
          <t>IA-PPWR-DOC-ST-063-STD-13-R00</t>
        </is>
      </c>
      <c r="B159" s="25" t="inlineStr">
        <is>
          <t>ST-063-STD-13</t>
        </is>
      </c>
      <c r="C159" s="25" t="inlineStr">
        <is>
          <t>IA-ST-063-STD-13</t>
        </is>
      </c>
      <c r="D159" s="25" t="inlineStr">
        <is>
          <t>L3 | Palet (4000037): 1 adet | Shrink film (4001177): 0.597 kg</t>
        </is>
      </c>
      <c r="E159" s="25" t="inlineStr">
        <is>
          <t>L3 | Palet (4000037): 1 adet | Shrink film (4001177): 0.597 kg / L3 | Pallet (4000037): 1 pc | Shrink film (4001177): 0.597 kg</t>
        </is>
      </c>
      <c r="F159" s="25" t="inlineStr">
        <is>
          <t>IA-ST-CFG-0184</t>
        </is>
      </c>
      <c r="G159" s="25" t="inlineStr">
        <is>
          <t>IA-PPWR-TF-ST-063-STD-13-R00</t>
        </is>
      </c>
      <c r="H159" s="25" t="inlineStr">
        <is>
          <t>2026-08-08</t>
        </is>
      </c>
      <c r="I159" s="25" t="inlineStr">
        <is>
          <t>Rev.00</t>
        </is>
      </c>
      <c r="J159" s="25" t="inlineStr">
        <is>
          <t>ACTIVE — unsigned</t>
        </is>
      </c>
      <c r="K159" s="31">
        <f>HYPERLINK("01_STARTER/ST-063-STD-13/02_EU_DoC.docx","Open")</f>
        <v/>
      </c>
    </row>
    <row r="160">
      <c r="A160" s="25" t="inlineStr">
        <is>
          <t>IA-PPWR-DOC-ST-063-STD-14-R00</t>
        </is>
      </c>
      <c r="B160" s="25" t="inlineStr">
        <is>
          <t>ST-063-STD-14</t>
        </is>
      </c>
      <c r="C160" s="25" t="inlineStr">
        <is>
          <t>IA-ST-063-STD-14</t>
        </is>
      </c>
      <c r="D160" s="25" t="inlineStr">
        <is>
          <t>LB3, L3 | Palet (4000037): 1 adet | Shrink film (4001177): 0.597 kg</t>
        </is>
      </c>
      <c r="E160" s="25" t="inlineStr">
        <is>
          <t>LB3, L3 | Palet (4000037): 1 adet | Shrink film (4001177): 0.597 kg / LB3, L3 | Pallet (4000037): 1 pc | Shrink film (4001177): 0.597 kg</t>
        </is>
      </c>
      <c r="F160" s="25" t="inlineStr">
        <is>
          <t>IA-ST-CFG-0185</t>
        </is>
      </c>
      <c r="G160" s="25" t="inlineStr">
        <is>
          <t>IA-PPWR-TF-ST-063-STD-14-R00</t>
        </is>
      </c>
      <c r="H160" s="25" t="inlineStr">
        <is>
          <t>2026-08-08</t>
        </is>
      </c>
      <c r="I160" s="25" t="inlineStr">
        <is>
          <t>Rev.00</t>
        </is>
      </c>
      <c r="J160" s="25" t="inlineStr">
        <is>
          <t>ACTIVE — unsigned</t>
        </is>
      </c>
      <c r="K160" s="31">
        <f>HYPERLINK("01_STARTER/ST-063-STD-14/02_EU_DoC.docx","Open")</f>
        <v/>
      </c>
    </row>
    <row r="161">
      <c r="A161" s="25" t="inlineStr">
        <is>
          <t>IA-PPWR-DOC-ST-063-STD-15-R00</t>
        </is>
      </c>
      <c r="B161" s="25" t="inlineStr">
        <is>
          <t>ST-063-STD-15</t>
        </is>
      </c>
      <c r="C161" s="25" t="inlineStr">
        <is>
          <t>IA-ST-063-STD-15</t>
        </is>
      </c>
      <c r="D161" s="25" t="inlineStr">
        <is>
          <t>L3 | Palet (4000037): 1 adet | Separatör (4000130): 5 adet</t>
        </is>
      </c>
      <c r="E161" s="25" t="inlineStr">
        <is>
          <t>L3 | Palet (4000037): 1 adet | Separatör (4000130): 5 adet / L3 | Pallet (4000037): 1 pc | Separator (4000130): 5 pcs</t>
        </is>
      </c>
      <c r="F161" s="25" t="inlineStr">
        <is>
          <t>IA-ST-CFG-0186</t>
        </is>
      </c>
      <c r="G161" s="25" t="inlineStr">
        <is>
          <t>IA-PPWR-TF-ST-063-STD-15-R00</t>
        </is>
      </c>
      <c r="H161" s="25" t="inlineStr">
        <is>
          <t>2026-08-08</t>
        </is>
      </c>
      <c r="I161" s="25" t="inlineStr">
        <is>
          <t>Rev.00</t>
        </is>
      </c>
      <c r="J161" s="25" t="inlineStr">
        <is>
          <t>ACTIVE — unsigned</t>
        </is>
      </c>
      <c r="K161" s="31">
        <f>HYPERLINK("01_STARTER/ST-063-STD-15/02_EU_DoC.docx","Open")</f>
        <v/>
      </c>
    </row>
    <row r="162">
      <c r="A162" s="25" t="inlineStr">
        <is>
          <t>IA-PPWR-DOC-ST-064-EUR-01-R00</t>
        </is>
      </c>
      <c r="B162" s="25" t="inlineStr">
        <is>
          <t>ST-064-EUR-01</t>
        </is>
      </c>
      <c r="C162" s="25" t="inlineStr">
        <is>
          <t>IA-ST-064-EUR-01</t>
        </is>
      </c>
      <c r="D162" s="25" t="inlineStr">
        <is>
          <t>L3 | L3 İnci AGM LEO 70AH 760A pencereli dış koli (4001237): 64 adet</t>
        </is>
      </c>
      <c r="E162" s="25" t="inlineStr">
        <is>
          <t>L3 | L3 İnci AGM LEO 70AH 760A pencereli dış koli (4001237): 64 adet / L3 | L3 İnci AGM LEO 70AH 760A windowed outer carton (4001237): 64 pcs</t>
        </is>
      </c>
      <c r="F162" s="25" t="inlineStr">
        <is>
          <t>IA-ST-CFG-0190</t>
        </is>
      </c>
      <c r="G162" s="25" t="inlineStr">
        <is>
          <t>IA-PPWR-TF-ST-064-EUR-01-R00</t>
        </is>
      </c>
      <c r="H162" s="25" t="inlineStr">
        <is>
          <t>2026-08-08</t>
        </is>
      </c>
      <c r="I162" s="25" t="inlineStr">
        <is>
          <t>Rev.00</t>
        </is>
      </c>
      <c r="J162" s="25" t="inlineStr">
        <is>
          <t>ACTIVE — unsigned</t>
        </is>
      </c>
      <c r="K162" s="31">
        <f>HYPERLINK("01_STARTER/ST-064-EUR-01/02_EU_DoC.docx","Open")</f>
        <v/>
      </c>
    </row>
    <row r="163">
      <c r="A163" s="25" t="inlineStr">
        <is>
          <t>IA-PPWR-DOC-ST-066-STD-01-R00</t>
        </is>
      </c>
      <c r="B163" s="25" t="inlineStr">
        <is>
          <t>ST-066-STD-01</t>
        </is>
      </c>
      <c r="C163" s="25" t="inlineStr">
        <is>
          <t>IA-ST-066-STD-01</t>
        </is>
      </c>
      <c r="D163" s="25" t="inlineStr">
        <is>
          <t>L2 | L2 YUASA penceresiz Orta Doğu dış koli (4001102): 66 adet</t>
        </is>
      </c>
      <c r="E163" s="25" t="inlineStr">
        <is>
          <t>L2 | L2 YUASA penceresiz Orta Doğu dış koli (4001102): 66 adet / L2 | L2 YUASA windowless Middle East outer carton (4001102): 66 pcs</t>
        </is>
      </c>
      <c r="F163" s="25" t="inlineStr">
        <is>
          <t>IA-ST-CFG-0191</t>
        </is>
      </c>
      <c r="G163" s="25" t="inlineStr">
        <is>
          <t>IA-PPWR-TF-ST-066-STD-01-R00</t>
        </is>
      </c>
      <c r="H163" s="25" t="inlineStr">
        <is>
          <t>2026-08-08</t>
        </is>
      </c>
      <c r="I163" s="25" t="inlineStr">
        <is>
          <t>Rev.00</t>
        </is>
      </c>
      <c r="J163" s="25" t="inlineStr">
        <is>
          <t>ACTIVE — unsigned</t>
        </is>
      </c>
      <c r="K163" s="31">
        <f>HYPERLINK("01_STARTER/ST-066-STD-01/02_EU_DoC.docx","Open")</f>
        <v/>
      </c>
    </row>
    <row r="164">
      <c r="A164" s="25" t="inlineStr">
        <is>
          <t>IA-PPWR-DOC-ST-066-STD-02-R00</t>
        </is>
      </c>
      <c r="B164" s="25" t="inlineStr">
        <is>
          <t>ST-066-STD-02</t>
        </is>
      </c>
      <c r="C164" s="25" t="inlineStr">
        <is>
          <t>IA-ST-066-STD-02</t>
        </is>
      </c>
      <c r="D164" s="25" t="inlineStr">
        <is>
          <t>L2 | L2 İnci AGM LEO 60AH 680A pencereli dış koli (4001340): 66 adet</t>
        </is>
      </c>
      <c r="E164" s="25" t="inlineStr">
        <is>
          <t>L2 | L2 İnci AGM LEO 60AH 680A pencereli dış koli (4001340): 66 adet / L2 | L2 İnci AGM LEO 60AH 680A windowed outer carton (4001340): 66 pcs</t>
        </is>
      </c>
      <c r="F164" s="25" t="inlineStr">
        <is>
          <t>IA-ST-CFG-0192</t>
        </is>
      </c>
      <c r="G164" s="25" t="inlineStr">
        <is>
          <t>IA-PPWR-TF-ST-066-STD-02-R00</t>
        </is>
      </c>
      <c r="H164" s="25" t="inlineStr">
        <is>
          <t>2026-08-08</t>
        </is>
      </c>
      <c r="I164" s="25" t="inlineStr">
        <is>
          <t>Rev.00</t>
        </is>
      </c>
      <c r="J164" s="25" t="inlineStr">
        <is>
          <t>ACTIVE — unsigned</t>
        </is>
      </c>
      <c r="K164" s="31">
        <f>HYPERLINK("01_STARTER/ST-066-STD-02/02_EU_DoC.docx","Open")</f>
        <v/>
      </c>
    </row>
    <row r="165">
      <c r="A165" s="25" t="inlineStr">
        <is>
          <t>IA-PPWR-DOC-ST-066-STD-03-R00</t>
        </is>
      </c>
      <c r="B165" s="25" t="inlineStr">
        <is>
          <t>ST-066-STD-03</t>
        </is>
      </c>
      <c r="C165" s="25" t="inlineStr">
        <is>
          <t>IA-ST-066-STD-03</t>
        </is>
      </c>
      <c r="D165" s="25" t="inlineStr">
        <is>
          <t>L2 | L2 EAS AGM S&amp;S 60AH 680A pencereli dış koli (4001395): 66 adet</t>
        </is>
      </c>
      <c r="E165" s="25" t="inlineStr">
        <is>
          <t>L2 | L2 EAS AGM S&amp;S 60AH 680A pencereli dış koli (4001395): 66 adet / L2 | L2 EAS AGM S&amp;S 60AH 680A windowed outer carton (4001395): 66 pcs</t>
        </is>
      </c>
      <c r="F165" s="25" t="inlineStr">
        <is>
          <t>IA-ST-CFG-0193</t>
        </is>
      </c>
      <c r="G165" s="25" t="inlineStr">
        <is>
          <t>IA-PPWR-TF-ST-066-STD-03-R00</t>
        </is>
      </c>
      <c r="H165" s="25" t="inlineStr">
        <is>
          <t>2026-08-08</t>
        </is>
      </c>
      <c r="I165" s="25" t="inlineStr">
        <is>
          <t>Rev.00</t>
        </is>
      </c>
      <c r="J165" s="25" t="inlineStr">
        <is>
          <t>ACTIVE — unsigned</t>
        </is>
      </c>
      <c r="K165" s="31">
        <f>HYPERLINK("01_STARTER/ST-066-STD-03/02_EU_DoC.docx","Open")</f>
        <v/>
      </c>
    </row>
    <row r="166">
      <c r="A166" s="25" t="inlineStr">
        <is>
          <t>IA-PPWR-DOC-ST-068-EUR-01-R00</t>
        </is>
      </c>
      <c r="B166" s="25" t="inlineStr">
        <is>
          <t>ST-068-EUR-01</t>
        </is>
      </c>
      <c r="C166" s="25" t="inlineStr">
        <is>
          <t>IA-ST-068-EUR-01</t>
        </is>
      </c>
      <c r="D166" s="25" t="inlineStr">
        <is>
          <t>L3, LB3 | Palet (4000038): 1 adet | Köşebent (4000590): 4 adet</t>
        </is>
      </c>
      <c r="E166" s="25" t="inlineStr">
        <is>
          <t>L3, LB3 | Palet (4000038): 1 adet | Köşebent (4000590): 4 adet / L3, LB3 | Pallet (4000038): 1 pc | Edge protector (4000590): 4 pcs</t>
        </is>
      </c>
      <c r="F166" s="25" t="inlineStr">
        <is>
          <t>IA-ST-CFG-0198</t>
        </is>
      </c>
      <c r="G166" s="25" t="inlineStr">
        <is>
          <t>IA-PPWR-TF-ST-068-EUR-01-R00</t>
        </is>
      </c>
      <c r="H166" s="25" t="inlineStr">
        <is>
          <t>2026-08-08</t>
        </is>
      </c>
      <c r="I166" s="25" t="inlineStr">
        <is>
          <t>Rev.00</t>
        </is>
      </c>
      <c r="J166" s="25" t="inlineStr">
        <is>
          <t>ACTIVE — unsigned</t>
        </is>
      </c>
      <c r="K166" s="31">
        <f>HYPERLINK("01_STARTER/ST-068-EUR-01/02_EU_DoC.docx","Open")</f>
        <v/>
      </c>
    </row>
    <row r="167">
      <c r="A167" s="25" t="inlineStr">
        <is>
          <t>IA-PPWR-DOC-ST-068-EUR-02-R00</t>
        </is>
      </c>
      <c r="B167" s="25" t="inlineStr">
        <is>
          <t>ST-068-EUR-02</t>
        </is>
      </c>
      <c r="C167" s="25" t="inlineStr">
        <is>
          <t>IA-ST-068-EUR-02</t>
        </is>
      </c>
      <c r="D167" s="25" t="inlineStr">
        <is>
          <t>LB3 | Palet (4000038): 1 adet | Shrink film (4000558): 2.105 kg</t>
        </is>
      </c>
      <c r="E167" s="25" t="inlineStr">
        <is>
          <t>LB3 | Palet (4000038): 1 adet | Shrink film (4000558): 2.105 kg / LB3 | Pallet (4000038): 1 pc | Shrink film (4000558): 2.105 kg</t>
        </is>
      </c>
      <c r="F167" s="25" t="inlineStr">
        <is>
          <t>IA-ST-CFG-0199</t>
        </is>
      </c>
      <c r="G167" s="25" t="inlineStr">
        <is>
          <t>IA-PPWR-TF-ST-068-EUR-02-R00</t>
        </is>
      </c>
      <c r="H167" s="25" t="inlineStr">
        <is>
          <t>2026-08-08</t>
        </is>
      </c>
      <c r="I167" s="25" t="inlineStr">
        <is>
          <t>Rev.00</t>
        </is>
      </c>
      <c r="J167" s="25" t="inlineStr">
        <is>
          <t>ACTIVE — unsigned</t>
        </is>
      </c>
      <c r="K167" s="31">
        <f>HYPERLINK("01_STARTER/ST-068-EUR-02/02_EU_DoC.docx","Open")</f>
        <v/>
      </c>
    </row>
    <row r="168">
      <c r="A168" s="25" t="inlineStr">
        <is>
          <t>IA-PPWR-DOC-ST-068-EUR-03-R00</t>
        </is>
      </c>
      <c r="B168" s="25" t="inlineStr">
        <is>
          <t>ST-068-EUR-03</t>
        </is>
      </c>
      <c r="C168" s="25" t="inlineStr">
        <is>
          <t>IA-ST-068-EUR-03</t>
        </is>
      </c>
      <c r="D168" s="25" t="inlineStr">
        <is>
          <t>L3 | Palet (4000038): 1 adet | Shrink film (4000558): 2.245 kg</t>
        </is>
      </c>
      <c r="E168" s="25" t="inlineStr">
        <is>
          <t>L3 | Palet (4000038): 1 adet | Shrink film (4000558): 2.245 kg / L3 | Pallet (4000038): 1 pc | Shrink film (4000558): 2.245 kg</t>
        </is>
      </c>
      <c r="F168" s="25" t="inlineStr">
        <is>
          <t>IA-ST-CFG-0200</t>
        </is>
      </c>
      <c r="G168" s="25" t="inlineStr">
        <is>
          <t>IA-PPWR-TF-ST-068-EUR-03-R00</t>
        </is>
      </c>
      <c r="H168" s="25" t="inlineStr">
        <is>
          <t>2026-08-08</t>
        </is>
      </c>
      <c r="I168" s="25" t="inlineStr">
        <is>
          <t>Rev.00</t>
        </is>
      </c>
      <c r="J168" s="25" t="inlineStr">
        <is>
          <t>ACTIVE — unsigned</t>
        </is>
      </c>
      <c r="K168" s="31">
        <f>HYPERLINK("01_STARTER/ST-068-EUR-03/02_EU_DoC.docx","Open")</f>
        <v/>
      </c>
    </row>
    <row r="169">
      <c r="A169" s="25" t="inlineStr">
        <is>
          <t>IA-PPWR-DOC-ST-068-EUR-04-R00</t>
        </is>
      </c>
      <c r="B169" s="25" t="inlineStr">
        <is>
          <t>ST-068-EUR-04</t>
        </is>
      </c>
      <c r="C169" s="25" t="inlineStr">
        <is>
          <t>IA-ST-068-EUR-04</t>
        </is>
      </c>
      <c r="D169" s="25" t="inlineStr">
        <is>
          <t>LB3, L3 | Palet (4000038): 1 adet | Köşebent (4000590): 2 adet</t>
        </is>
      </c>
      <c r="E169" s="25" t="inlineStr">
        <is>
          <t>LB3, L3 | Palet (4000038): 1 adet | Köşebent (4000590): 2 adet / LB3, L3 | Pallet (4000038): 1 pc | Edge protector (4000590): 2 pcs</t>
        </is>
      </c>
      <c r="F169" s="25" t="inlineStr">
        <is>
          <t>IA-ST-CFG-0201</t>
        </is>
      </c>
      <c r="G169" s="25" t="inlineStr">
        <is>
          <t>IA-PPWR-TF-ST-068-EUR-04-R00</t>
        </is>
      </c>
      <c r="H169" s="25" t="inlineStr">
        <is>
          <t>2026-08-08</t>
        </is>
      </c>
      <c r="I169" s="25" t="inlineStr">
        <is>
          <t>Rev.00</t>
        </is>
      </c>
      <c r="J169" s="25" t="inlineStr">
        <is>
          <t>ACTIVE — unsigned</t>
        </is>
      </c>
      <c r="K169" s="31">
        <f>HYPERLINK("01_STARTER/ST-068-EUR-04/02_EU_DoC.docx","Open")</f>
        <v/>
      </c>
    </row>
    <row r="170">
      <c r="A170" s="25" t="inlineStr">
        <is>
          <t>IA-PPWR-DOC-ST-068-STD-01-R00</t>
        </is>
      </c>
      <c r="B170" s="25" t="inlineStr">
        <is>
          <t>ST-068-STD-01</t>
        </is>
      </c>
      <c r="C170" s="25" t="inlineStr">
        <is>
          <t>IA-ST-068-STD-01</t>
        </is>
      </c>
      <c r="D170" s="25" t="inlineStr">
        <is>
          <t>LB4 | LB4 YUASA penceresiz Orta Doğu dış koli (4001104): 68 adet</t>
        </is>
      </c>
      <c r="E170" s="25" t="inlineStr">
        <is>
          <t>LB4 | LB4 YUASA penceresiz Orta Doğu dış koli (4001104): 68 adet / LB4 | LB4 YUASA windowless Middle East outer carton (4001104): 68 pcs</t>
        </is>
      </c>
      <c r="F170" s="25" t="inlineStr">
        <is>
          <t>IA-ST-CFG-0194</t>
        </is>
      </c>
      <c r="G170" s="25" t="inlineStr">
        <is>
          <t>IA-PPWR-TF-ST-068-STD-01-R00</t>
        </is>
      </c>
      <c r="H170" s="25" t="inlineStr">
        <is>
          <t>2026-08-08</t>
        </is>
      </c>
      <c r="I170" s="25" t="inlineStr">
        <is>
          <t>Rev.00</t>
        </is>
      </c>
      <c r="J170" s="25" t="inlineStr">
        <is>
          <t>ACTIVE — unsigned</t>
        </is>
      </c>
      <c r="K170" s="31">
        <f>HYPERLINK("01_STARTER/ST-068-STD-01/02_EU_DoC.docx","Open")</f>
        <v/>
      </c>
    </row>
    <row r="171">
      <c r="A171" s="25" t="inlineStr">
        <is>
          <t>IA-PPWR-DOC-ST-068-STD-02-R00</t>
        </is>
      </c>
      <c r="B171" s="25" t="inlineStr">
        <is>
          <t>ST-068-STD-02</t>
        </is>
      </c>
      <c r="C171" s="25" t="inlineStr">
        <is>
          <t>IA-ST-068-STD-02</t>
        </is>
      </c>
      <c r="D171" s="25" t="inlineStr">
        <is>
          <t>L4 | L4 İnci EFB MAX TIGRIS pencereli 2020 dış koli (4001275): 68 adet</t>
        </is>
      </c>
      <c r="E171" s="25" t="inlineStr">
        <is>
          <t>L4 | L4 İnci EFB MAX TIGRIS pencereli 2020 dış koli (4001275): 68 adet / L4 | L4 İnci EFB MAX TIGRIS windowed 2020 outer carton (4001275): 68 pcs</t>
        </is>
      </c>
      <c r="F171" s="25" t="inlineStr">
        <is>
          <t>IA-ST-CFG-0195</t>
        </is>
      </c>
      <c r="G171" s="25" t="inlineStr">
        <is>
          <t>IA-PPWR-TF-ST-068-STD-02-R00</t>
        </is>
      </c>
      <c r="H171" s="25" t="inlineStr">
        <is>
          <t>2026-08-08</t>
        </is>
      </c>
      <c r="I171" s="25" t="inlineStr">
        <is>
          <t>Rev.00</t>
        </is>
      </c>
      <c r="J171" s="25" t="inlineStr">
        <is>
          <t>ACTIVE — unsigned</t>
        </is>
      </c>
      <c r="K171" s="31">
        <f>HYPERLINK("01_STARTER/ST-068-STD-02/02_EU_DoC.docx","Open")</f>
        <v/>
      </c>
    </row>
    <row r="172">
      <c r="A172" s="25" t="inlineStr">
        <is>
          <t>IA-PPWR-DOC-ST-068-STD-03-R00</t>
        </is>
      </c>
      <c r="B172" s="25" t="inlineStr">
        <is>
          <t>ST-068-STD-03</t>
        </is>
      </c>
      <c r="C172" s="25" t="inlineStr">
        <is>
          <t>IA-ST-068-STD-03</t>
        </is>
      </c>
      <c r="D172" s="25" t="inlineStr">
        <is>
          <t>LB4 | LB4 İnci EFB PANTERA pencereli DL dış koli (4001316): 68 adet</t>
        </is>
      </c>
      <c r="E172" s="25" t="inlineStr">
        <is>
          <t>LB4 | LB4 İnci EFB PANTERA pencereli DL dış koli (4001316): 68 adet / LB4 | LB4 İnci EFB PANTERA windowed DL outer carton (4001316): 68 pcs</t>
        </is>
      </c>
      <c r="F172" s="25" t="inlineStr">
        <is>
          <t>IA-ST-CFG-0196</t>
        </is>
      </c>
      <c r="G172" s="25" t="inlineStr">
        <is>
          <t>IA-PPWR-TF-ST-068-STD-03-R00</t>
        </is>
      </c>
      <c r="H172" s="25" t="inlineStr">
        <is>
          <t>2026-08-08</t>
        </is>
      </c>
      <c r="I172" s="25" t="inlineStr">
        <is>
          <t>Rev.00</t>
        </is>
      </c>
      <c r="J172" s="25" t="inlineStr">
        <is>
          <t>ACTIVE — unsigned</t>
        </is>
      </c>
      <c r="K172" s="31">
        <f>HYPERLINK("01_STARTER/ST-068-STD-03/02_EU_DoC.docx","Open")</f>
        <v/>
      </c>
    </row>
    <row r="173">
      <c r="A173" s="25" t="inlineStr">
        <is>
          <t>IA-PPWR-DOC-ST-068-STD-04-R00</t>
        </is>
      </c>
      <c r="B173" s="25" t="inlineStr">
        <is>
          <t>ST-068-STD-04</t>
        </is>
      </c>
      <c r="C173" s="25" t="inlineStr">
        <is>
          <t>IA-ST-068-STD-04</t>
        </is>
      </c>
      <c r="D173" s="25" t="inlineStr">
        <is>
          <t>L4 | L4 İnci EFB PANTERA pencereli DL dış koli (4001318): 68 adet</t>
        </is>
      </c>
      <c r="E173" s="25" t="inlineStr">
        <is>
          <t>L4 | L4 İnci EFB PANTERA pencereli DL dış koli (4001318): 68 adet / L4 | L4 İnci EFB PANTERA windowed DL outer carton (4001318): 68 pcs</t>
        </is>
      </c>
      <c r="F173" s="25" t="inlineStr">
        <is>
          <t>IA-ST-CFG-0197</t>
        </is>
      </c>
      <c r="G173" s="25" t="inlineStr">
        <is>
          <t>IA-PPWR-TF-ST-068-STD-04-R00</t>
        </is>
      </c>
      <c r="H173" s="25" t="inlineStr">
        <is>
          <t>2026-08-08</t>
        </is>
      </c>
      <c r="I173" s="25" t="inlineStr">
        <is>
          <t>Rev.00</t>
        </is>
      </c>
      <c r="J173" s="25" t="inlineStr">
        <is>
          <t>ACTIVE — unsigned</t>
        </is>
      </c>
      <c r="K173" s="31">
        <f>HYPERLINK("01_STARTER/ST-068-STD-04/02_EU_DoC.docx","Open")</f>
        <v/>
      </c>
    </row>
    <row r="174">
      <c r="A174" s="25" t="inlineStr">
        <is>
          <t>IA-PPWR-DOC-ST-072-EUR-01-R00</t>
        </is>
      </c>
      <c r="B174" s="25" t="inlineStr">
        <is>
          <t>ST-072-EUR-01</t>
        </is>
      </c>
      <c r="C174" s="25" t="inlineStr">
        <is>
          <t>IA-ST-072-EUR-01</t>
        </is>
      </c>
      <c r="D174" s="25" t="inlineStr">
        <is>
          <t>LB1 | Palet (4000038): 1 adet | Shrink film (4000556): 1.945 kg</t>
        </is>
      </c>
      <c r="E174" s="25" t="inlineStr">
        <is>
          <t>LB1 | Palet (4000038): 1 adet | Shrink film (4000556): 1.945 kg / LB1 | Pallet (4000038): 1 pc | Shrink film (4000556): 1.945 kg</t>
        </is>
      </c>
      <c r="F174" s="25" t="inlineStr">
        <is>
          <t>IA-ST-CFG-0204</t>
        </is>
      </c>
      <c r="G174" s="25" t="inlineStr">
        <is>
          <t>IA-PPWR-TF-ST-072-EUR-01-R00</t>
        </is>
      </c>
      <c r="H174" s="25" t="inlineStr">
        <is>
          <t>2026-08-08</t>
        </is>
      </c>
      <c r="I174" s="25" t="inlineStr">
        <is>
          <t>Rev.00</t>
        </is>
      </c>
      <c r="J174" s="25" t="inlineStr">
        <is>
          <t>ACTIVE — unsigned</t>
        </is>
      </c>
      <c r="K174" s="31">
        <f>HYPERLINK("01_STARTER/ST-072-EUR-01/02_EU_DoC.docx","Open")</f>
        <v/>
      </c>
    </row>
    <row r="175">
      <c r="A175" s="25" t="inlineStr">
        <is>
          <t>IA-PPWR-DOC-ST-072-EUR-02-R00</t>
        </is>
      </c>
      <c r="B175" s="25" t="inlineStr">
        <is>
          <t>ST-072-EUR-02</t>
        </is>
      </c>
      <c r="C175" s="25" t="inlineStr">
        <is>
          <t>IA-ST-072-EUR-02</t>
        </is>
      </c>
      <c r="D175" s="25" t="inlineStr">
        <is>
          <t>L1 | Palet (4000038): 1 adet | Shrink film (4000556): 2.375 kg</t>
        </is>
      </c>
      <c r="E175" s="25" t="inlineStr">
        <is>
          <t>L1 | Palet (4000038): 1 adet | Shrink film (4000556): 2.375 kg / L1 | Pallet (4000038): 1 pc | Shrink film (4000556): 2.375 kg</t>
        </is>
      </c>
      <c r="F175" s="25" t="inlineStr">
        <is>
          <t>IA-ST-CFG-0205</t>
        </is>
      </c>
      <c r="G175" s="25" t="inlineStr">
        <is>
          <t>IA-PPWR-TF-ST-072-EUR-02-R00</t>
        </is>
      </c>
      <c r="H175" s="25" t="inlineStr">
        <is>
          <t>2026-08-08</t>
        </is>
      </c>
      <c r="I175" s="25" t="inlineStr">
        <is>
          <t>Rev.00</t>
        </is>
      </c>
      <c r="J175" s="25" t="inlineStr">
        <is>
          <t>ACTIVE — unsigned</t>
        </is>
      </c>
      <c r="K175" s="31">
        <f>HYPERLINK("01_STARTER/ST-072-EUR-02/02_EU_DoC.docx","Open")</f>
        <v/>
      </c>
    </row>
    <row r="176">
      <c r="A176" s="25" t="inlineStr">
        <is>
          <t>IA-PPWR-DOC-ST-072-EUR-03-R00</t>
        </is>
      </c>
      <c r="B176" s="25" t="inlineStr">
        <is>
          <t>ST-072-EUR-03</t>
        </is>
      </c>
      <c r="C176" s="25" t="inlineStr">
        <is>
          <t>IA-ST-072-EUR-03</t>
        </is>
      </c>
      <c r="D176" s="25" t="inlineStr">
        <is>
          <t>LB1, L1 | Palet (4000038): 1 adet | Köşebent (4000033): 2 adet</t>
        </is>
      </c>
      <c r="E176" s="25" t="inlineStr">
        <is>
          <t>LB1, L1 | Palet (4000038): 1 adet | Köşebent (4000033): 2 adet / LB1, L1 | Pallet (4000038): 1 pc | Edge protector (4000033): 2 pcs</t>
        </is>
      </c>
      <c r="F176" s="25" t="inlineStr">
        <is>
          <t>IA-ST-CFG-0206</t>
        </is>
      </c>
      <c r="G176" s="25" t="inlineStr">
        <is>
          <t>IA-PPWR-TF-ST-072-EUR-03-R00</t>
        </is>
      </c>
      <c r="H176" s="25" t="inlineStr">
        <is>
          <t>2026-08-08</t>
        </is>
      </c>
      <c r="I176" s="25" t="inlineStr">
        <is>
          <t>Rev.00</t>
        </is>
      </c>
      <c r="J176" s="25" t="inlineStr">
        <is>
          <t>ACTIVE — unsigned</t>
        </is>
      </c>
      <c r="K176" s="31">
        <f>HYPERLINK("01_STARTER/ST-072-EUR-03/02_EU_DoC.docx","Open")</f>
        <v/>
      </c>
    </row>
    <row r="177">
      <c r="A177" s="25" t="inlineStr">
        <is>
          <t>IA-PPWR-DOC-ST-072-EUR-04-R00</t>
        </is>
      </c>
      <c r="B177" s="25" t="inlineStr">
        <is>
          <t>ST-072-EUR-04</t>
        </is>
      </c>
      <c r="C177" s="25" t="inlineStr">
        <is>
          <t>IA-ST-072-EUR-04</t>
        </is>
      </c>
      <c r="D177" s="25" t="inlineStr">
        <is>
          <t>L1, LB1 | Palet (4000038): 1 adet | Köşebent (4000033): 4 adet</t>
        </is>
      </c>
      <c r="E177" s="25" t="inlineStr">
        <is>
          <t>L1, LB1 | Palet (4000038): 1 adet | Köşebent (4000033): 4 adet / L1, LB1 | Pallet (4000038): 1 pc | Edge protector (4000033): 4 pcs</t>
        </is>
      </c>
      <c r="F177" s="25" t="inlineStr">
        <is>
          <t>IA-ST-CFG-0209</t>
        </is>
      </c>
      <c r="G177" s="25" t="inlineStr">
        <is>
          <t>IA-PPWR-TF-ST-072-EUR-04-R00</t>
        </is>
      </c>
      <c r="H177" s="25" t="inlineStr">
        <is>
          <t>2026-08-08</t>
        </is>
      </c>
      <c r="I177" s="25" t="inlineStr">
        <is>
          <t>Rev.00</t>
        </is>
      </c>
      <c r="J177" s="25" t="inlineStr">
        <is>
          <t>ACTIVE — unsigned</t>
        </is>
      </c>
      <c r="K177" s="31">
        <f>HYPERLINK("01_STARTER/ST-072-EUR-04/02_EU_DoC.docx","Open")</f>
        <v/>
      </c>
    </row>
    <row r="178">
      <c r="A178" s="25" t="inlineStr">
        <is>
          <t>IA-PPWR-DOC-ST-072-EUR-05-R00</t>
        </is>
      </c>
      <c r="B178" s="25" t="inlineStr">
        <is>
          <t>ST-072-EUR-05</t>
        </is>
      </c>
      <c r="C178" s="25" t="inlineStr">
        <is>
          <t>IA-ST-072-EUR-05</t>
        </is>
      </c>
      <c r="D178" s="25" t="inlineStr">
        <is>
          <t>NS60 | NS60 PVC üst kapak (4000602): 72 adet</t>
        </is>
      </c>
      <c r="E178" s="25" t="inlineStr">
        <is>
          <t>NS60 | NS60 PVC üst kapak (4000602): 72 adet / NS60 | NS60 PVC upper cover (4000602): 72 pcs</t>
        </is>
      </c>
      <c r="F178" s="25" t="inlineStr">
        <is>
          <t>IA-ST-CFG-0235</t>
        </is>
      </c>
      <c r="G178" s="25" t="inlineStr">
        <is>
          <t>IA-PPWR-TF-ST-072-EUR-05-R00</t>
        </is>
      </c>
      <c r="H178" s="25" t="inlineStr">
        <is>
          <t>2026-08-08</t>
        </is>
      </c>
      <c r="I178" s="25" t="inlineStr">
        <is>
          <t>Rev.00</t>
        </is>
      </c>
      <c r="J178" s="25" t="inlineStr">
        <is>
          <t>ACTIVE — unsigned</t>
        </is>
      </c>
      <c r="K178" s="31">
        <f>HYPERLINK("01_STARTER/ST-072-EUR-05/02_EU_DoC.docx","Open")</f>
        <v/>
      </c>
    </row>
    <row r="179">
      <c r="A179" s="25" t="inlineStr">
        <is>
          <t>IA-PPWR-DOC-ST-072-EUR-06-R00</t>
        </is>
      </c>
      <c r="B179" s="25" t="inlineStr">
        <is>
          <t>ST-072-EUR-06</t>
        </is>
      </c>
      <c r="C179" s="25" t="inlineStr">
        <is>
          <t>IA-ST-072-EUR-06</t>
        </is>
      </c>
      <c r="D179" s="25" t="inlineStr">
        <is>
          <t>L0 | Palet (4000038): 1 adet | Köşebent (4000590): 4 adet</t>
        </is>
      </c>
      <c r="E179" s="25" t="inlineStr">
        <is>
          <t>L0 | Palet (4000038): 1 adet | Köşebent (4000590): 4 adet / L0 | Pallet (4000038): 1 pc | Edge protector (4000590): 4 pcs</t>
        </is>
      </c>
      <c r="F179" s="25" t="inlineStr">
        <is>
          <t>IA-ST-CFG-0236</t>
        </is>
      </c>
      <c r="G179" s="25" t="inlineStr">
        <is>
          <t>IA-PPWR-TF-ST-072-EUR-06-R00</t>
        </is>
      </c>
      <c r="H179" s="25" t="inlineStr">
        <is>
          <t>2026-08-08</t>
        </is>
      </c>
      <c r="I179" s="25" t="inlineStr">
        <is>
          <t>Rev.00</t>
        </is>
      </c>
      <c r="J179" s="25" t="inlineStr">
        <is>
          <t>ACTIVE — unsigned</t>
        </is>
      </c>
      <c r="K179" s="31">
        <f>HYPERLINK("01_STARTER/ST-072-EUR-06/02_EU_DoC.docx","Open")</f>
        <v/>
      </c>
    </row>
    <row r="180">
      <c r="A180" s="25" t="inlineStr">
        <is>
          <t>IA-PPWR-DOC-ST-072-STD-01-R00</t>
        </is>
      </c>
      <c r="B180" s="25" t="inlineStr">
        <is>
          <t>ST-072-STD-01</t>
        </is>
      </c>
      <c r="C180" s="25" t="inlineStr">
        <is>
          <t>IA-ST-072-STD-01</t>
        </is>
      </c>
      <c r="D180" s="25" t="inlineStr">
        <is>
          <t>L3 | L3 EAS Activa penceresiz dış koli (4000646): 72 adet</t>
        </is>
      </c>
      <c r="E180" s="25" t="inlineStr">
        <is>
          <t>L3 | L3 EAS Activa penceresiz dış koli (4000646): 72 adet / L3 | L3 EAS Activa windowless outer carton (4000646): 72 pcs</t>
        </is>
      </c>
      <c r="F180" s="25" t="inlineStr">
        <is>
          <t>IA-ST-CFG-0210</t>
        </is>
      </c>
      <c r="G180" s="25" t="inlineStr">
        <is>
          <t>IA-PPWR-TF-ST-072-STD-01-R00</t>
        </is>
      </c>
      <c r="H180" s="25" t="inlineStr">
        <is>
          <t>2026-08-08</t>
        </is>
      </c>
      <c r="I180" s="25" t="inlineStr">
        <is>
          <t>Rev.00</t>
        </is>
      </c>
      <c r="J180" s="25" t="inlineStr">
        <is>
          <t>ACTIVE — unsigned</t>
        </is>
      </c>
      <c r="K180" s="31">
        <f>HYPERLINK("01_STARTER/ST-072-STD-01/02_EU_DoC.docx","Open")</f>
        <v/>
      </c>
    </row>
    <row r="181">
      <c r="A181" s="25" t="inlineStr">
        <is>
          <t>IA-PPWR-DOC-ST-072-STD-02-R00</t>
        </is>
      </c>
      <c r="B181" s="25" t="inlineStr">
        <is>
          <t>ST-072-STD-02</t>
        </is>
      </c>
      <c r="C181" s="25" t="inlineStr">
        <is>
          <t>IA-ST-072-STD-02</t>
        </is>
      </c>
      <c r="D181" s="25" t="inlineStr">
        <is>
          <t>LB3 | LB3 İnci EFB PANTERA pencereli DL dış koli (4001314): 72 adet</t>
        </is>
      </c>
      <c r="E181" s="25" t="inlineStr">
        <is>
          <t>LB3 | LB3 İnci EFB PANTERA pencereli DL dış koli (4001314): 72 adet / LB3 | LB3 İnci EFB PANTERA windowed DL outer carton (4001314): 72 pcs</t>
        </is>
      </c>
      <c r="F181" s="25" t="inlineStr">
        <is>
          <t>IA-ST-CFG-0211</t>
        </is>
      </c>
      <c r="G181" s="25" t="inlineStr">
        <is>
          <t>IA-PPWR-TF-ST-072-STD-02-R00</t>
        </is>
      </c>
      <c r="H181" s="25" t="inlineStr">
        <is>
          <t>2026-08-08</t>
        </is>
      </c>
      <c r="I181" s="25" t="inlineStr">
        <is>
          <t>Rev.00</t>
        </is>
      </c>
      <c r="J181" s="25" t="inlineStr">
        <is>
          <t>ACTIVE — unsigned</t>
        </is>
      </c>
      <c r="K181" s="31">
        <f>HYPERLINK("01_STARTER/ST-072-STD-02/02_EU_DoC.docx","Open")</f>
        <v/>
      </c>
    </row>
    <row r="182">
      <c r="A182" s="25" t="inlineStr">
        <is>
          <t>IA-PPWR-DOC-ST-072-STD-03-R00</t>
        </is>
      </c>
      <c r="B182" s="25" t="inlineStr">
        <is>
          <t>ST-072-STD-03</t>
        </is>
      </c>
      <c r="C182" s="25" t="inlineStr">
        <is>
          <t>IA-ST-072-STD-03</t>
        </is>
      </c>
      <c r="D182" s="25" t="inlineStr">
        <is>
          <t>L3 | L3 İnci EFB PANTERA pencereli DL dış koli (4001315): 72 adet</t>
        </is>
      </c>
      <c r="E182" s="25" t="inlineStr">
        <is>
          <t>L3 | L3 İnci EFB PANTERA pencereli DL dış koli (4001315): 72 adet / L3 | L3 İnci EFB PANTERA windowed DL outer carton (4001315): 72 pcs</t>
        </is>
      </c>
      <c r="F182" s="25" t="inlineStr">
        <is>
          <t>IA-ST-CFG-0212</t>
        </is>
      </c>
      <c r="G182" s="25" t="inlineStr">
        <is>
          <t>IA-PPWR-TF-ST-072-STD-03-R00</t>
        </is>
      </c>
      <c r="H182" s="25" t="inlineStr">
        <is>
          <t>2026-08-08</t>
        </is>
      </c>
      <c r="I182" s="25" t="inlineStr">
        <is>
          <t>Rev.00</t>
        </is>
      </c>
      <c r="J182" s="25" t="inlineStr">
        <is>
          <t>ACTIVE — unsigned</t>
        </is>
      </c>
      <c r="K182" s="31">
        <f>HYPERLINK("01_STARTER/ST-072-STD-03/02_EU_DoC.docx","Open")</f>
        <v/>
      </c>
    </row>
    <row r="183">
      <c r="A183" s="25" t="inlineStr">
        <is>
          <t>IA-PPWR-DOC-ST-072-STD-04-R00</t>
        </is>
      </c>
      <c r="B183" s="25" t="inlineStr">
        <is>
          <t>ST-072-STD-04</t>
        </is>
      </c>
      <c r="C183" s="25" t="inlineStr">
        <is>
          <t>IA-ST-072-STD-04</t>
        </is>
      </c>
      <c r="D183" s="25" t="inlineStr">
        <is>
          <t>L3 | L3 EAS EFB MAX pencereli 2024 dış koli (4001411): 72 adet</t>
        </is>
      </c>
      <c r="E183" s="25" t="inlineStr">
        <is>
          <t>L3 | L3 EAS EFB MAX pencereli 2024 dış koli (4001411): 72 adet / L3 | L3 EAS EFB MAX windowed 2024 outer carton (4001411): 72 pcs</t>
        </is>
      </c>
      <c r="F183" s="25" t="inlineStr">
        <is>
          <t>IA-ST-CFG-0213</t>
        </is>
      </c>
      <c r="G183" s="25" t="inlineStr">
        <is>
          <t>IA-PPWR-TF-ST-072-STD-04-R00</t>
        </is>
      </c>
      <c r="H183" s="25" t="inlineStr">
        <is>
          <t>2026-08-08</t>
        </is>
      </c>
      <c r="I183" s="25" t="inlineStr">
        <is>
          <t>Rev.00</t>
        </is>
      </c>
      <c r="J183" s="25" t="inlineStr">
        <is>
          <t>ACTIVE — unsigned</t>
        </is>
      </c>
      <c r="K183" s="31">
        <f>HYPERLINK("01_STARTER/ST-072-STD-04/02_EU_DoC.docx","Open")</f>
        <v/>
      </c>
    </row>
    <row r="184">
      <c r="A184" s="25" t="inlineStr">
        <is>
          <t>IA-PPWR-DOC-ST-072-STD-05-R00</t>
        </is>
      </c>
      <c r="B184" s="25" t="inlineStr">
        <is>
          <t>ST-072-STD-05</t>
        </is>
      </c>
      <c r="C184" s="25" t="inlineStr">
        <is>
          <t>IA-ST-072-STD-05</t>
        </is>
      </c>
      <c r="D184" s="25" t="inlineStr">
        <is>
          <t>L1 | L1 EAS AGM S&amp;S 50AH 560A pencereli dış koli (4001394): 72 adet</t>
        </is>
      </c>
      <c r="E184" s="25" t="inlineStr">
        <is>
          <t>L1 | L1 EAS AGM S&amp;S 50AH 560A pencereli dış koli (4001394): 72 adet / L1 | L1 EAS AGM S&amp;S 50AH 560A windowed outer carton (4001394): 72 pcs</t>
        </is>
      </c>
      <c r="F184" s="25" t="inlineStr">
        <is>
          <t>IA-ST-CFG-0214</t>
        </is>
      </c>
      <c r="G184" s="25" t="inlineStr">
        <is>
          <t>IA-PPWR-TF-ST-072-STD-05-R00</t>
        </is>
      </c>
      <c r="H184" s="25" t="inlineStr">
        <is>
          <t>2026-08-08</t>
        </is>
      </c>
      <c r="I184" s="25" t="inlineStr">
        <is>
          <t>Rev.00</t>
        </is>
      </c>
      <c r="J184" s="25" t="inlineStr">
        <is>
          <t>ACTIVE — unsigned</t>
        </is>
      </c>
      <c r="K184" s="31">
        <f>HYPERLINK("01_STARTER/ST-072-STD-05/02_EU_DoC.docx","Open")</f>
        <v/>
      </c>
    </row>
    <row r="185">
      <c r="A185" s="25" t="inlineStr">
        <is>
          <t>IA-PPWR-DOC-ST-072-STD-06-R00</t>
        </is>
      </c>
      <c r="B185" s="25" t="inlineStr">
        <is>
          <t>ST-072-STD-06</t>
        </is>
      </c>
      <c r="C185" s="25" t="inlineStr">
        <is>
          <t>IA-ST-072-STD-06</t>
        </is>
      </c>
      <c r="D185" s="25" t="inlineStr">
        <is>
          <t>L3 | L3 HUGEL ULTRA penceresiz 2013 TAS. dış koli (4000865): 72 adet</t>
        </is>
      </c>
      <c r="E185" s="25" t="inlineStr">
        <is>
          <t>L3 | L3 HUGEL ULTRA penceresiz 2013 TAS. dış koli (4000865): 72 adet / L3 | L3 HUGEL ULTRA windowless 2013 TAS. outer carton (4000865): 72 pcs</t>
        </is>
      </c>
      <c r="F185" s="25" t="inlineStr">
        <is>
          <t>IA-ST-CFG-0215</t>
        </is>
      </c>
      <c r="G185" s="25" t="inlineStr">
        <is>
          <t>IA-PPWR-TF-ST-072-STD-06-R00</t>
        </is>
      </c>
      <c r="H185" s="25" t="inlineStr">
        <is>
          <t>2026-08-08</t>
        </is>
      </c>
      <c r="I185" s="25" t="inlineStr">
        <is>
          <t>Rev.00</t>
        </is>
      </c>
      <c r="J185" s="25" t="inlineStr">
        <is>
          <t>ACTIVE — unsigned</t>
        </is>
      </c>
      <c r="K185" s="31">
        <f>HYPERLINK("01_STARTER/ST-072-STD-06/02_EU_DoC.docx","Open")</f>
        <v/>
      </c>
    </row>
    <row r="186">
      <c r="A186" s="25" t="inlineStr">
        <is>
          <t>IA-PPWR-DOC-ST-072-STD-07-R00</t>
        </is>
      </c>
      <c r="B186" s="25" t="inlineStr">
        <is>
          <t>ST-072-STD-07</t>
        </is>
      </c>
      <c r="C186" s="25" t="inlineStr">
        <is>
          <t>IA-ST-072-STD-07</t>
        </is>
      </c>
      <c r="D186" s="25" t="inlineStr">
        <is>
          <t>LB3 | LB3 İnci FORMULA-MAXIMA 2019 dış koli (4001205): 72 adet</t>
        </is>
      </c>
      <c r="E186" s="25" t="inlineStr">
        <is>
          <t>LB3 | LB3 İnci FORMULA-MAXIMA 2019 dış koli (4001205): 72 adet / LB3 | LB3 İnci FORMULA-MAXIMA 2019 outer carton (4001205): 72 pcs</t>
        </is>
      </c>
      <c r="F186" s="25" t="inlineStr">
        <is>
          <t>IA-ST-CFG-0216</t>
        </is>
      </c>
      <c r="G186" s="25" t="inlineStr">
        <is>
          <t>IA-PPWR-TF-ST-072-STD-07-R00</t>
        </is>
      </c>
      <c r="H186" s="25" t="inlineStr">
        <is>
          <t>2026-08-08</t>
        </is>
      </c>
      <c r="I186" s="25" t="inlineStr">
        <is>
          <t>Rev.00</t>
        </is>
      </c>
      <c r="J186" s="25" t="inlineStr">
        <is>
          <t>ACTIVE — unsigned</t>
        </is>
      </c>
      <c r="K186" s="31">
        <f>HYPERLINK("01_STARTER/ST-072-STD-07/02_EU_DoC.docx","Open")</f>
        <v/>
      </c>
    </row>
    <row r="187">
      <c r="A187" s="25" t="inlineStr">
        <is>
          <t>IA-PPWR-DOC-ST-072-STD-08-R00</t>
        </is>
      </c>
      <c r="B187" s="25" t="inlineStr">
        <is>
          <t>ST-072-STD-08</t>
        </is>
      </c>
      <c r="C187" s="25" t="inlineStr">
        <is>
          <t>IA-ST-072-STD-08</t>
        </is>
      </c>
      <c r="D187" s="25" t="inlineStr">
        <is>
          <t>D23 | Palet (4000037): 1 adet | Separatör (4000130): 1 adet</t>
        </is>
      </c>
      <c r="E187" s="25" t="inlineStr">
        <is>
          <t>D23 | Palet (4000037): 1 adet | Separatör (4000130): 1 adet / D23 | Pallet (4000037): 1 pc | Separator (4000130): 1 pc</t>
        </is>
      </c>
      <c r="F187" s="25" t="inlineStr">
        <is>
          <t>IA-ST-CFG-0217</t>
        </is>
      </c>
      <c r="G187" s="25" t="inlineStr">
        <is>
          <t>IA-PPWR-TF-ST-072-STD-08-R00</t>
        </is>
      </c>
      <c r="H187" s="25" t="inlineStr">
        <is>
          <t>2026-08-08</t>
        </is>
      </c>
      <c r="I187" s="25" t="inlineStr">
        <is>
          <t>Rev.00</t>
        </is>
      </c>
      <c r="J187" s="25" t="inlineStr">
        <is>
          <t>ACTIVE — unsigned</t>
        </is>
      </c>
      <c r="K187" s="31">
        <f>HYPERLINK("01_STARTER/ST-072-STD-08/02_EU_DoC.docx","Open")</f>
        <v/>
      </c>
    </row>
    <row r="188">
      <c r="A188" s="25" t="inlineStr">
        <is>
          <t>IA-PPWR-DOC-ST-072-STD-09-R00</t>
        </is>
      </c>
      <c r="B188" s="25" t="inlineStr">
        <is>
          <t>ST-072-STD-09</t>
        </is>
      </c>
      <c r="C188" s="25" t="inlineStr">
        <is>
          <t>IA-ST-072-STD-09</t>
        </is>
      </c>
      <c r="D188" s="25" t="inlineStr">
        <is>
          <t>L2 | Palet (4000037): 1 adet | Shrink film (4000558): 2.736 kg</t>
        </is>
      </c>
      <c r="E188" s="25" t="inlineStr">
        <is>
          <t>L2 | Palet (4000037): 1 adet | Shrink film (4000558): 2.736 kg / L2 | Pallet (4000037): 1 pc | Shrink film (4000558): 2.736 kg</t>
        </is>
      </c>
      <c r="F188" s="25" t="inlineStr">
        <is>
          <t>IA-ST-CFG-0218</t>
        </is>
      </c>
      <c r="G188" s="25" t="inlineStr">
        <is>
          <t>IA-PPWR-TF-ST-072-STD-09-R00</t>
        </is>
      </c>
      <c r="H188" s="25" t="inlineStr">
        <is>
          <t>2026-08-08</t>
        </is>
      </c>
      <c r="I188" s="25" t="inlineStr">
        <is>
          <t>Rev.00</t>
        </is>
      </c>
      <c r="J188" s="25" t="inlineStr">
        <is>
          <t>ACTIVE — unsigned</t>
        </is>
      </c>
      <c r="K188" s="31">
        <f>HYPERLINK("01_STARTER/ST-072-STD-09/02_EU_DoC.docx","Open")</f>
        <v/>
      </c>
    </row>
    <row r="189">
      <c r="A189" s="25" t="inlineStr">
        <is>
          <t>IA-PPWR-DOC-ST-072-STD-10-R00</t>
        </is>
      </c>
      <c r="B189" s="25" t="inlineStr">
        <is>
          <t>ST-072-STD-10</t>
        </is>
      </c>
      <c r="C189" s="25" t="inlineStr">
        <is>
          <t>IA-ST-072-STD-10</t>
        </is>
      </c>
      <c r="D189" s="25" t="inlineStr">
        <is>
          <t>D23 | D23 PVC üst kapak (4000461): 72 adet | Köşebent (4000590): 2 adet</t>
        </is>
      </c>
      <c r="E189" s="25" t="inlineStr">
        <is>
          <t>D23 | D23 PVC üst kapak (4000461): 72 adet | Köşebent (4000590): 2 adet / D23 | D23 PVC upper cover (4000461): 72 pcs | Edge protector (4000590): 2 pcs</t>
        </is>
      </c>
      <c r="F189" s="25" t="inlineStr">
        <is>
          <t>IA-ST-CFG-0219</t>
        </is>
      </c>
      <c r="G189" s="25" t="inlineStr">
        <is>
          <t>IA-PPWR-TF-ST-072-STD-10-R00</t>
        </is>
      </c>
      <c r="H189" s="25" t="inlineStr">
        <is>
          <t>2026-08-08</t>
        </is>
      </c>
      <c r="I189" s="25" t="inlineStr">
        <is>
          <t>Rev.00</t>
        </is>
      </c>
      <c r="J189" s="25" t="inlineStr">
        <is>
          <t>ACTIVE — unsigned</t>
        </is>
      </c>
      <c r="K189" s="31">
        <f>HYPERLINK("01_STARTER/ST-072-STD-10/02_EU_DoC.docx","Open")</f>
        <v/>
      </c>
    </row>
    <row r="190">
      <c r="A190" s="25" t="inlineStr">
        <is>
          <t>IA-PPWR-DOC-ST-072-STD-11-R00</t>
        </is>
      </c>
      <c r="B190" s="25" t="inlineStr">
        <is>
          <t>ST-072-STD-11</t>
        </is>
      </c>
      <c r="C190" s="25" t="inlineStr">
        <is>
          <t>IA-ST-072-STD-11</t>
        </is>
      </c>
      <c r="D190" s="25" t="inlineStr">
        <is>
          <t>D20 | D20 PVC üst kapak (4000490): 72 adet | Köşebent (4000590): 2 adet</t>
        </is>
      </c>
      <c r="E190" s="25" t="inlineStr">
        <is>
          <t>D20 | D20 PVC üst kapak (4000490): 72 adet | Köşebent (4000590): 2 adet / D20 | D20 PVC upper cover (4000490): 72 pcs | Edge protector (4000590): 2 pcs</t>
        </is>
      </c>
      <c r="F190" s="25" t="inlineStr">
        <is>
          <t>IA-ST-CFG-0220</t>
        </is>
      </c>
      <c r="G190" s="25" t="inlineStr">
        <is>
          <t>IA-PPWR-TF-ST-072-STD-11-R00</t>
        </is>
      </c>
      <c r="H190" s="25" t="inlineStr">
        <is>
          <t>2026-08-08</t>
        </is>
      </c>
      <c r="I190" s="25" t="inlineStr">
        <is>
          <t>Rev.00</t>
        </is>
      </c>
      <c r="J190" s="25" t="inlineStr">
        <is>
          <t>ACTIVE — unsigned</t>
        </is>
      </c>
      <c r="K190" s="31">
        <f>HYPERLINK("01_STARTER/ST-072-STD-11/02_EU_DoC.docx","Open")</f>
        <v/>
      </c>
    </row>
    <row r="191">
      <c r="A191" s="25" t="inlineStr">
        <is>
          <t>IA-PPWR-DOC-ST-072-STD-12-R00</t>
        </is>
      </c>
      <c r="B191" s="25" t="inlineStr">
        <is>
          <t>ST-072-STD-12</t>
        </is>
      </c>
      <c r="C191" s="25" t="inlineStr">
        <is>
          <t>IA-ST-072-STD-12</t>
        </is>
      </c>
      <c r="D191" s="25" t="inlineStr">
        <is>
          <t>L4 | Palet (4000037): 1 adet | Shrink film (4000554): 2.448 kg</t>
        </is>
      </c>
      <c r="E191" s="25" t="inlineStr">
        <is>
          <t>L4 | Palet (4000037): 1 adet | Shrink film (4000554): 2.448 kg / L4 | Pallet (4000037): 1 pc | Shrink film (4000554): 2.448 kg</t>
        </is>
      </c>
      <c r="F191" s="25" t="inlineStr">
        <is>
          <t>IA-ST-CFG-0221</t>
        </is>
      </c>
      <c r="G191" s="25" t="inlineStr">
        <is>
          <t>IA-PPWR-TF-ST-072-STD-12-R00</t>
        </is>
      </c>
      <c r="H191" s="25" t="inlineStr">
        <is>
          <t>2026-08-08</t>
        </is>
      </c>
      <c r="I191" s="25" t="inlineStr">
        <is>
          <t>Rev.00</t>
        </is>
      </c>
      <c r="J191" s="25" t="inlineStr">
        <is>
          <t>ACTIVE — unsigned</t>
        </is>
      </c>
      <c r="K191" s="31">
        <f>HYPERLINK("01_STARTER/ST-072-STD-12/02_EU_DoC.docx","Open")</f>
        <v/>
      </c>
    </row>
    <row r="192">
      <c r="A192" s="25" t="inlineStr">
        <is>
          <t>IA-PPWR-DOC-ST-072-STD-13-R00</t>
        </is>
      </c>
      <c r="B192" s="25" t="inlineStr">
        <is>
          <t>ST-072-STD-13</t>
        </is>
      </c>
      <c r="C192" s="25" t="inlineStr">
        <is>
          <t>IA-ST-072-STD-13</t>
        </is>
      </c>
      <c r="D192" s="25" t="inlineStr">
        <is>
          <t>L2, LB2 | Palet (4000037): 1 adet | Köşebent (4000590): 2 adet</t>
        </is>
      </c>
      <c r="E192" s="25" t="inlineStr">
        <is>
          <t>L2, LB2 | Palet (4000037): 1 adet | Köşebent (4000590): 2 adet / L2, LB2 | Pallet (4000037): 1 pc | Edge protector (4000590): 2 pcs</t>
        </is>
      </c>
      <c r="F192" s="25" t="inlineStr">
        <is>
          <t>IA-ST-CFG-0222</t>
        </is>
      </c>
      <c r="G192" s="25" t="inlineStr">
        <is>
          <t>IA-PPWR-TF-ST-072-STD-13-R00</t>
        </is>
      </c>
      <c r="H192" s="25" t="inlineStr">
        <is>
          <t>2026-08-08</t>
        </is>
      </c>
      <c r="I192" s="25" t="inlineStr">
        <is>
          <t>Rev.00</t>
        </is>
      </c>
      <c r="J192" s="25" t="inlineStr">
        <is>
          <t>ACTIVE — unsigned</t>
        </is>
      </c>
      <c r="K192" s="31">
        <f>HYPERLINK("01_STARTER/ST-072-STD-13/02_EU_DoC.docx","Open")</f>
        <v/>
      </c>
    </row>
    <row r="193">
      <c r="A193" s="25" t="inlineStr">
        <is>
          <t>IA-PPWR-DOC-ST-072-STD-14-R00</t>
        </is>
      </c>
      <c r="B193" s="25" t="inlineStr">
        <is>
          <t>ST-072-STD-14</t>
        </is>
      </c>
      <c r="C193" s="25" t="inlineStr">
        <is>
          <t>IA-ST-072-STD-14</t>
        </is>
      </c>
      <c r="D193" s="25" t="inlineStr">
        <is>
          <t>LB2, L2 | Palet (4000037): 1 adet | Separatör (4000130): 4 adet</t>
        </is>
      </c>
      <c r="E193" s="25" t="inlineStr">
        <is>
          <t>LB2, L2 | Palet (4000037): 1 adet | Separatör (4000130): 4 adet / LB2, L2 | Pallet (4000037): 1 pc | Separator (4000130): 4 pcs</t>
        </is>
      </c>
      <c r="F193" s="25" t="inlineStr">
        <is>
          <t>IA-ST-CFG-0223</t>
        </is>
      </c>
      <c r="G193" s="25" t="inlineStr">
        <is>
          <t>IA-PPWR-TF-ST-072-STD-14-R00</t>
        </is>
      </c>
      <c r="H193" s="25" t="inlineStr">
        <is>
          <t>2026-08-08</t>
        </is>
      </c>
      <c r="I193" s="25" t="inlineStr">
        <is>
          <t>Rev.00</t>
        </is>
      </c>
      <c r="J193" s="25" t="inlineStr">
        <is>
          <t>ACTIVE — unsigned</t>
        </is>
      </c>
      <c r="K193" s="31">
        <f>HYPERLINK("01_STARTER/ST-072-STD-14/02_EU_DoC.docx","Open")</f>
        <v/>
      </c>
    </row>
    <row r="194">
      <c r="A194" s="25" t="inlineStr">
        <is>
          <t>IA-PPWR-DOC-ST-072-STD-15-R00</t>
        </is>
      </c>
      <c r="B194" s="25" t="inlineStr">
        <is>
          <t>ST-072-STD-15</t>
        </is>
      </c>
      <c r="C194" s="25" t="inlineStr">
        <is>
          <t>IA-ST-072-STD-15</t>
        </is>
      </c>
      <c r="D194" s="25" t="inlineStr">
        <is>
          <t>D23 | D23 PVC üst kapak (4000461): 72 adet | Çember (4000450): kullanılmaz</t>
        </is>
      </c>
      <c r="E194" s="25" t="inlineStr">
        <is>
          <t>D23 | D23 PVC üst kapak (4000461): 72 adet | Çember (4000450): kullanılmaz / D23 | D23 PVC upper cover (4000461): 72 pcs | Strap (4000450): not used</t>
        </is>
      </c>
      <c r="F194" s="25" t="inlineStr">
        <is>
          <t>IA-ST-CFG-0224</t>
        </is>
      </c>
      <c r="G194" s="25" t="inlineStr">
        <is>
          <t>IA-PPWR-TF-ST-072-STD-15-R00</t>
        </is>
      </c>
      <c r="H194" s="25" t="inlineStr">
        <is>
          <t>2026-08-08</t>
        </is>
      </c>
      <c r="I194" s="25" t="inlineStr">
        <is>
          <t>Rev.00</t>
        </is>
      </c>
      <c r="J194" s="25" t="inlineStr">
        <is>
          <t>ACTIVE — unsigned</t>
        </is>
      </c>
      <c r="K194" s="31">
        <f>HYPERLINK("01_STARTER/ST-072-STD-15/02_EU_DoC.docx","Open")</f>
        <v/>
      </c>
    </row>
    <row r="195">
      <c r="A195" s="25" t="inlineStr">
        <is>
          <t>IA-PPWR-DOC-ST-072-STD-16-R00</t>
        </is>
      </c>
      <c r="B195" s="25" t="inlineStr">
        <is>
          <t>ST-072-STD-16</t>
        </is>
      </c>
      <c r="C195" s="25" t="inlineStr">
        <is>
          <t>IA-ST-072-STD-16</t>
        </is>
      </c>
      <c r="D195" s="25" t="inlineStr">
        <is>
          <t>D20 | D20 PVC üst kapak (4000490): 72 adet | Köşebent (4000590): kullanılmaz</t>
        </is>
      </c>
      <c r="E195" s="25" t="inlineStr">
        <is>
          <t>D20 | D20 PVC üst kapak (4000490): 72 adet | Köşebent (4000590): kullanılmaz / D20 | D20 PVC upper cover (4000490): 72 pcs | Edge protector (4000590): not used</t>
        </is>
      </c>
      <c r="F195" s="25" t="inlineStr">
        <is>
          <t>IA-ST-CFG-0225</t>
        </is>
      </c>
      <c r="G195" s="25" t="inlineStr">
        <is>
          <t>IA-PPWR-TF-ST-072-STD-16-R00</t>
        </is>
      </c>
      <c r="H195" s="25" t="inlineStr">
        <is>
          <t>2026-08-08</t>
        </is>
      </c>
      <c r="I195" s="25" t="inlineStr">
        <is>
          <t>Rev.00</t>
        </is>
      </c>
      <c r="J195" s="25" t="inlineStr">
        <is>
          <t>ACTIVE — unsigned</t>
        </is>
      </c>
      <c r="K195" s="31">
        <f>HYPERLINK("01_STARTER/ST-072-STD-16/02_EU_DoC.docx","Open")</f>
        <v/>
      </c>
    </row>
    <row r="196">
      <c r="A196" s="25" t="inlineStr">
        <is>
          <t>IA-PPWR-DOC-ST-072-STD-17-R00</t>
        </is>
      </c>
      <c r="B196" s="25" t="inlineStr">
        <is>
          <t>ST-072-STD-17</t>
        </is>
      </c>
      <c r="C196" s="25" t="inlineStr">
        <is>
          <t>IA-ST-072-STD-17</t>
        </is>
      </c>
      <c r="D196" s="25" t="inlineStr">
        <is>
          <t>L2 | Palet (4000037): 1 adet | Shrink film (4000558): 2.376 kg</t>
        </is>
      </c>
      <c r="E196" s="25" t="inlineStr">
        <is>
          <t>L2 | Palet (4000037): 1 adet | Shrink film (4000558): 2.376 kg / L2 | Pallet (4000037): 1 pc | Shrink film (4000558): 2.376 kg</t>
        </is>
      </c>
      <c r="F196" s="25" t="inlineStr">
        <is>
          <t>IA-ST-CFG-0226</t>
        </is>
      </c>
      <c r="G196" s="25" t="inlineStr">
        <is>
          <t>IA-PPWR-TF-ST-072-STD-17-R00</t>
        </is>
      </c>
      <c r="H196" s="25" t="inlineStr">
        <is>
          <t>2026-08-08</t>
        </is>
      </c>
      <c r="I196" s="25" t="inlineStr">
        <is>
          <t>Rev.00</t>
        </is>
      </c>
      <c r="J196" s="25" t="inlineStr">
        <is>
          <t>ACTIVE — unsigned</t>
        </is>
      </c>
      <c r="K196" s="31">
        <f>HYPERLINK("01_STARTER/ST-072-STD-17/02_EU_DoC.docx","Open")</f>
        <v/>
      </c>
    </row>
    <row r="197">
      <c r="A197" s="25" t="inlineStr">
        <is>
          <t>IA-PPWR-DOC-ST-072-STD-18-R00</t>
        </is>
      </c>
      <c r="B197" s="25" t="inlineStr">
        <is>
          <t>ST-072-STD-18</t>
        </is>
      </c>
      <c r="C197" s="25" t="inlineStr">
        <is>
          <t>IA-ST-072-STD-18</t>
        </is>
      </c>
      <c r="D197" s="25" t="inlineStr">
        <is>
          <t>L2, LB2 | Palet (4000037): 1 adet | Köşebent (4000590): kullanılmaz</t>
        </is>
      </c>
      <c r="E197" s="25" t="inlineStr">
        <is>
          <t>L2, LB2 | Palet (4000037): 1 adet | Köşebent (4000590): kullanılmaz / L2, LB2 | Pallet (4000037): 1 pc | Edge protector (4000590): not used</t>
        </is>
      </c>
      <c r="F197" s="25" t="inlineStr">
        <is>
          <t>IA-ST-CFG-0227</t>
        </is>
      </c>
      <c r="G197" s="25" t="inlineStr">
        <is>
          <t>IA-PPWR-TF-ST-072-STD-18-R00</t>
        </is>
      </c>
      <c r="H197" s="25" t="inlineStr">
        <is>
          <t>2026-08-08</t>
        </is>
      </c>
      <c r="I197" s="25" t="inlineStr">
        <is>
          <t>Rev.00</t>
        </is>
      </c>
      <c r="J197" s="25" t="inlineStr">
        <is>
          <t>ACTIVE — unsigned</t>
        </is>
      </c>
      <c r="K197" s="31">
        <f>HYPERLINK("01_STARTER/ST-072-STD-18/02_EU_DoC.docx","Open")</f>
        <v/>
      </c>
    </row>
    <row r="198">
      <c r="A198" s="25" t="inlineStr">
        <is>
          <t>IA-PPWR-DOC-ST-072-STD-19-R00</t>
        </is>
      </c>
      <c r="B198" s="25" t="inlineStr">
        <is>
          <t>ST-072-STD-19</t>
        </is>
      </c>
      <c r="C198" s="25" t="inlineStr">
        <is>
          <t>IA-ST-072-STD-19</t>
        </is>
      </c>
      <c r="D198" s="25" t="inlineStr">
        <is>
          <t>D23 | Palet (4000037): 1 adet | Shrink film (4001177): 0.597 kg</t>
        </is>
      </c>
      <c r="E198" s="25" t="inlineStr">
        <is>
          <t>D23 | Palet (4000037): 1 adet | Shrink film (4001177): 0.597 kg / D23 | Pallet (4000037): 1 pc | Shrink film (4001177): 0.597 kg</t>
        </is>
      </c>
      <c r="F198" s="25" t="inlineStr">
        <is>
          <t>IA-ST-CFG-0228</t>
        </is>
      </c>
      <c r="G198" s="25" t="inlineStr">
        <is>
          <t>IA-PPWR-TF-ST-072-STD-19-R00</t>
        </is>
      </c>
      <c r="H198" s="25" t="inlineStr">
        <is>
          <t>2026-08-08</t>
        </is>
      </c>
      <c r="I198" s="25" t="inlineStr">
        <is>
          <t>Rev.00</t>
        </is>
      </c>
      <c r="J198" s="25" t="inlineStr">
        <is>
          <t>ACTIVE — unsigned</t>
        </is>
      </c>
      <c r="K198" s="31">
        <f>HYPERLINK("01_STARTER/ST-072-STD-19/02_EU_DoC.docx","Open")</f>
        <v/>
      </c>
    </row>
    <row r="199">
      <c r="A199" s="25" t="inlineStr">
        <is>
          <t>IA-PPWR-DOC-ST-072-STD-20-R00</t>
        </is>
      </c>
      <c r="B199" s="25" t="inlineStr">
        <is>
          <t>ST-072-STD-20</t>
        </is>
      </c>
      <c r="C199" s="25" t="inlineStr">
        <is>
          <t>IA-ST-072-STD-20</t>
        </is>
      </c>
      <c r="D199" s="25" t="inlineStr">
        <is>
          <t>L2 | Palet (4000037): 1 adet | Köşebent (4000590): 2 adet</t>
        </is>
      </c>
      <c r="E199" s="25" t="inlineStr">
        <is>
          <t>L2 | Palet (4000037): 1 adet | Köşebent (4000590): 2 adet / L2 | Pallet (4000037): 1 pc | Edge protector (4000590): 2 pcs</t>
        </is>
      </c>
      <c r="F199" s="25" t="inlineStr">
        <is>
          <t>IA-ST-CFG-0229</t>
        </is>
      </c>
      <c r="G199" s="25" t="inlineStr">
        <is>
          <t>IA-PPWR-TF-ST-072-STD-20-R00</t>
        </is>
      </c>
      <c r="H199" s="25" t="inlineStr">
        <is>
          <t>2026-08-08</t>
        </is>
      </c>
      <c r="I199" s="25" t="inlineStr">
        <is>
          <t>Rev.00</t>
        </is>
      </c>
      <c r="J199" s="25" t="inlineStr">
        <is>
          <t>ACTIVE — unsigned</t>
        </is>
      </c>
      <c r="K199" s="31">
        <f>HYPERLINK("01_STARTER/ST-072-STD-20/02_EU_DoC.docx","Open")</f>
        <v/>
      </c>
    </row>
    <row r="200">
      <c r="A200" s="25" t="inlineStr">
        <is>
          <t>IA-PPWR-DOC-ST-072-STD-21-R00</t>
        </is>
      </c>
      <c r="B200" s="25" t="inlineStr">
        <is>
          <t>ST-072-STD-21</t>
        </is>
      </c>
      <c r="C200" s="25" t="inlineStr">
        <is>
          <t>IA-ST-072-STD-21</t>
        </is>
      </c>
      <c r="D200" s="25" t="inlineStr">
        <is>
          <t>L2 | Palet (4000037): 1 adet | Köşebent (4000590): 4 adet | Shrink film (4001177): 0.597 kg</t>
        </is>
      </c>
      <c r="E200" s="25" t="inlineStr">
        <is>
          <t>L2 | Palet (4000037): 1 adet | Köşebent (4000590): 4 adet | Shrink film (4001177): 0.597 kg / L2 | Pallet (4000037): 1 pc | Edge protector (4000590): 4 pcs | Shrink film (4001177): 0.597 kg</t>
        </is>
      </c>
      <c r="F200" s="25" t="inlineStr">
        <is>
          <t>IA-ST-CFG-0230</t>
        </is>
      </c>
      <c r="G200" s="25" t="inlineStr">
        <is>
          <t>IA-PPWR-TF-ST-072-STD-21-R00</t>
        </is>
      </c>
      <c r="H200" s="25" t="inlineStr">
        <is>
          <t>2026-08-08</t>
        </is>
      </c>
      <c r="I200" s="25" t="inlineStr">
        <is>
          <t>Rev.00</t>
        </is>
      </c>
      <c r="J200" s="25" t="inlineStr">
        <is>
          <t>ACTIVE — unsigned</t>
        </is>
      </c>
      <c r="K200" s="31">
        <f>HYPERLINK("01_STARTER/ST-072-STD-21/02_EU_DoC.docx","Open")</f>
        <v/>
      </c>
    </row>
    <row r="201">
      <c r="A201" s="25" t="inlineStr">
        <is>
          <t>IA-PPWR-DOC-ST-072-STD-22-R00</t>
        </is>
      </c>
      <c r="B201" s="25" t="inlineStr">
        <is>
          <t>ST-072-STD-22</t>
        </is>
      </c>
      <c r="C201" s="25" t="inlineStr">
        <is>
          <t>IA-ST-072-STD-22</t>
        </is>
      </c>
      <c r="D201" s="25" t="inlineStr">
        <is>
          <t>L4, LB4 | Palet (4000037): 1 adet | Köşebent (4000590): 2 adet</t>
        </is>
      </c>
      <c r="E201" s="25" t="inlineStr">
        <is>
          <t>L4, LB4 | Palet (4000037): 1 adet | Köşebent (4000590): 2 adet / L4, LB4 | Pallet (4000037): 1 pc | Edge protector (4000590): 2 pcs</t>
        </is>
      </c>
      <c r="F201" s="25" t="inlineStr">
        <is>
          <t>IA-ST-CFG-0231</t>
        </is>
      </c>
      <c r="G201" s="25" t="inlineStr">
        <is>
          <t>IA-PPWR-TF-ST-072-STD-22-R00</t>
        </is>
      </c>
      <c r="H201" s="25" t="inlineStr">
        <is>
          <t>2026-08-08</t>
        </is>
      </c>
      <c r="I201" s="25" t="inlineStr">
        <is>
          <t>Rev.00</t>
        </is>
      </c>
      <c r="J201" s="25" t="inlineStr">
        <is>
          <t>ACTIVE — unsigned</t>
        </is>
      </c>
      <c r="K201" s="31">
        <f>HYPERLINK("01_STARTER/ST-072-STD-22/02_EU_DoC.docx","Open")</f>
        <v/>
      </c>
    </row>
    <row r="202">
      <c r="A202" s="25" t="inlineStr">
        <is>
          <t>IA-PPWR-DOC-ST-072-STD-23-R00</t>
        </is>
      </c>
      <c r="B202" s="25" t="inlineStr">
        <is>
          <t>ST-072-STD-23</t>
        </is>
      </c>
      <c r="C202" s="25" t="inlineStr">
        <is>
          <t>IA-ST-072-STD-23</t>
        </is>
      </c>
      <c r="D202" s="25" t="inlineStr">
        <is>
          <t>L4 | Palet (4000037): 1 adet | Separatör (4000130): 5 adet</t>
        </is>
      </c>
      <c r="E202" s="25" t="inlineStr">
        <is>
          <t>L4 | Palet (4000037): 1 adet | Separatör (4000130): 5 adet / L4 | Pallet (4000037): 1 pc | Separator (4000130): 5 pcs</t>
        </is>
      </c>
      <c r="F202" s="25" t="inlineStr">
        <is>
          <t>IA-ST-CFG-0232</t>
        </is>
      </c>
      <c r="G202" s="25" t="inlineStr">
        <is>
          <t>IA-PPWR-TF-ST-072-STD-23-R00</t>
        </is>
      </c>
      <c r="H202" s="25" t="inlineStr">
        <is>
          <t>2026-08-08</t>
        </is>
      </c>
      <c r="I202" s="25" t="inlineStr">
        <is>
          <t>Rev.00</t>
        </is>
      </c>
      <c r="J202" s="25" t="inlineStr">
        <is>
          <t>ACTIVE — unsigned</t>
        </is>
      </c>
      <c r="K202" s="31">
        <f>HYPERLINK("01_STARTER/ST-072-STD-23/02_EU_DoC.docx","Open")</f>
        <v/>
      </c>
    </row>
    <row r="203">
      <c r="A203" s="25" t="inlineStr">
        <is>
          <t>IA-PPWR-DOC-ST-072-STD-24-R00</t>
        </is>
      </c>
      <c r="B203" s="25" t="inlineStr">
        <is>
          <t>ST-072-STD-24</t>
        </is>
      </c>
      <c r="C203" s="25" t="inlineStr">
        <is>
          <t>IA-ST-072-STD-24</t>
        </is>
      </c>
      <c r="D203" s="25" t="inlineStr">
        <is>
          <t>L4, LB4 | Palet (4000037): 1 adet | Köşebent (4000590): kullanılmaz</t>
        </is>
      </c>
      <c r="E203" s="25" t="inlineStr">
        <is>
          <t>L4, LB4 | Palet (4000037): 1 adet | Köşebent (4000590): kullanılmaz / L4, LB4 | Pallet (4000037): 1 pc | Edge protector (4000590): not used</t>
        </is>
      </c>
      <c r="F203" s="25" t="inlineStr">
        <is>
          <t>IA-ST-CFG-0233</t>
        </is>
      </c>
      <c r="G203" s="25" t="inlineStr">
        <is>
          <t>IA-PPWR-TF-ST-072-STD-24-R00</t>
        </is>
      </c>
      <c r="H203" s="25" t="inlineStr">
        <is>
          <t>2026-08-08</t>
        </is>
      </c>
      <c r="I203" s="25" t="inlineStr">
        <is>
          <t>Rev.00</t>
        </is>
      </c>
      <c r="J203" s="25" t="inlineStr">
        <is>
          <t>ACTIVE — unsigned</t>
        </is>
      </c>
      <c r="K203" s="31">
        <f>HYPERLINK("01_STARTER/ST-072-STD-24/02_EU_DoC.docx","Open")</f>
        <v/>
      </c>
    </row>
    <row r="204">
      <c r="A204" s="25" t="inlineStr">
        <is>
          <t>IA-PPWR-DOC-ST-072-STD-25-R00</t>
        </is>
      </c>
      <c r="B204" s="25" t="inlineStr">
        <is>
          <t>ST-072-STD-25</t>
        </is>
      </c>
      <c r="C204" s="25" t="inlineStr">
        <is>
          <t>IA-ST-072-STD-25</t>
        </is>
      </c>
      <c r="D204" s="25" t="inlineStr">
        <is>
          <t>LB4 | Palet (4000037): 1 adet | Shrink film (4001177): 0.597 kg</t>
        </is>
      </c>
      <c r="E204" s="25" t="inlineStr">
        <is>
          <t>LB4 | Palet (4000037): 1 adet | Shrink film (4001177): 0.597 kg / LB4 | Pallet (4000037): 1 pc | Shrink film (4001177): 0.597 kg</t>
        </is>
      </c>
      <c r="F204" s="25" t="inlineStr">
        <is>
          <t>IA-ST-CFG-0234</t>
        </is>
      </c>
      <c r="G204" s="25" t="inlineStr">
        <is>
          <t>IA-PPWR-TF-ST-072-STD-25-R00</t>
        </is>
      </c>
      <c r="H204" s="25" t="inlineStr">
        <is>
          <t>2026-08-08</t>
        </is>
      </c>
      <c r="I204" s="25" t="inlineStr">
        <is>
          <t>Rev.00</t>
        </is>
      </c>
      <c r="J204" s="25" t="inlineStr">
        <is>
          <t>ACTIVE — unsigned</t>
        </is>
      </c>
      <c r="K204" s="31">
        <f>HYPERLINK("01_STARTER/ST-072-STD-25/02_EU_DoC.docx","Open")</f>
        <v/>
      </c>
    </row>
    <row r="205">
      <c r="A205" s="25" t="inlineStr">
        <is>
          <t>IA-PPWR-DOC-ST-076-EUR-01-R00</t>
        </is>
      </c>
      <c r="B205" s="25" t="inlineStr">
        <is>
          <t>ST-076-EUR-01</t>
        </is>
      </c>
      <c r="C205" s="25" t="inlineStr">
        <is>
          <t>IA-ST-076-EUR-01</t>
        </is>
      </c>
      <c r="D205" s="25" t="inlineStr">
        <is>
          <t>L2 | L2 İnci AGM LEO 60AH 680A pencereli dış koli (4001340): 76 adet</t>
        </is>
      </c>
      <c r="E205" s="25" t="inlineStr">
        <is>
          <t>L2 | L2 İnci AGM LEO 60AH 680A pencereli dış koli (4001340): 76 adet / L2 | L2 İnci AGM LEO 60AH 680A windowed outer carton (4001340): 76 pcs</t>
        </is>
      </c>
      <c r="F205" s="25" t="inlineStr">
        <is>
          <t>IA-ST-CFG-0238</t>
        </is>
      </c>
      <c r="G205" s="25" t="inlineStr">
        <is>
          <t>IA-PPWR-TF-ST-076-EUR-01-R00</t>
        </is>
      </c>
      <c r="H205" s="25" t="inlineStr">
        <is>
          <t>2026-08-08</t>
        </is>
      </c>
      <c r="I205" s="25" t="inlineStr">
        <is>
          <t>Rev.00</t>
        </is>
      </c>
      <c r="J205" s="25" t="inlineStr">
        <is>
          <t>ACTIVE — unsigned</t>
        </is>
      </c>
      <c r="K205" s="31">
        <f>HYPERLINK("01_STARTER/ST-076-EUR-01/02_EU_DoC.docx","Open")</f>
        <v/>
      </c>
    </row>
    <row r="206">
      <c r="A206" s="25" t="inlineStr">
        <is>
          <t>IA-PPWR-DOC-ST-076-EUR-02-R00</t>
        </is>
      </c>
      <c r="B206" s="25" t="inlineStr">
        <is>
          <t>ST-076-EUR-02</t>
        </is>
      </c>
      <c r="C206" s="25" t="inlineStr">
        <is>
          <t>IA-ST-076-EUR-02</t>
        </is>
      </c>
      <c r="D206" s="25" t="inlineStr">
        <is>
          <t>L2, LB2 | Palet (4000038): 1 adet | Köşebent (4000590): 4 adet</t>
        </is>
      </c>
      <c r="E206" s="25" t="inlineStr">
        <is>
          <t>L2, LB2 | Palet (4000038): 1 adet | Köşebent (4000590): 4 adet / L2, LB2 | Pallet (4000038): 1 pc | Edge protector (4000590): 4 pcs</t>
        </is>
      </c>
      <c r="F206" s="25" t="inlineStr">
        <is>
          <t>IA-ST-CFG-0239</t>
        </is>
      </c>
      <c r="G206" s="25" t="inlineStr">
        <is>
          <t>IA-PPWR-TF-ST-076-EUR-02-R00</t>
        </is>
      </c>
      <c r="H206" s="25" t="inlineStr">
        <is>
          <t>2026-08-08</t>
        </is>
      </c>
      <c r="I206" s="25" t="inlineStr">
        <is>
          <t>Rev.00</t>
        </is>
      </c>
      <c r="J206" s="25" t="inlineStr">
        <is>
          <t>ACTIVE — unsigned</t>
        </is>
      </c>
      <c r="K206" s="31">
        <f>HYPERLINK("01_STARTER/ST-076-EUR-02/02_EU_DoC.docx","Open")</f>
        <v/>
      </c>
    </row>
    <row r="207">
      <c r="A207" s="25" t="inlineStr">
        <is>
          <t>IA-PPWR-DOC-ST-076-EUR-03-R00</t>
        </is>
      </c>
      <c r="B207" s="25" t="inlineStr">
        <is>
          <t>ST-076-EUR-03</t>
        </is>
      </c>
      <c r="C207" s="25" t="inlineStr">
        <is>
          <t>IA-ST-076-EUR-03</t>
        </is>
      </c>
      <c r="D207" s="25" t="inlineStr">
        <is>
          <t>L2, LB2 | Palet (4000038): 1 adet | Shrink film (4000558): 2.888 kg</t>
        </is>
      </c>
      <c r="E207" s="25" t="inlineStr">
        <is>
          <t>L2, LB2 | Palet (4000038): 1 adet | Shrink film (4000558): 2.888 kg / L2, LB2 | Pallet (4000038): 1 pc | Shrink film (4000558): 2.888 kg</t>
        </is>
      </c>
      <c r="F207" s="25" t="inlineStr">
        <is>
          <t>IA-ST-CFG-0240</t>
        </is>
      </c>
      <c r="G207" s="25" t="inlineStr">
        <is>
          <t>IA-PPWR-TF-ST-076-EUR-03-R00</t>
        </is>
      </c>
      <c r="H207" s="25" t="inlineStr">
        <is>
          <t>2026-08-08</t>
        </is>
      </c>
      <c r="I207" s="25" t="inlineStr">
        <is>
          <t>Rev.00</t>
        </is>
      </c>
      <c r="J207" s="25" t="inlineStr">
        <is>
          <t>ACTIVE — unsigned</t>
        </is>
      </c>
      <c r="K207" s="31">
        <f>HYPERLINK("01_STARTER/ST-076-EUR-03/02_EU_DoC.docx","Open")</f>
        <v/>
      </c>
    </row>
    <row r="208">
      <c r="A208" s="25" t="inlineStr">
        <is>
          <t>IA-PPWR-DOC-ST-076-EUR-04-R00</t>
        </is>
      </c>
      <c r="B208" s="25" t="inlineStr">
        <is>
          <t>ST-076-EUR-04</t>
        </is>
      </c>
      <c r="C208" s="25" t="inlineStr">
        <is>
          <t>IA-ST-076-EUR-04</t>
        </is>
      </c>
      <c r="D208" s="25" t="inlineStr">
        <is>
          <t>LB2, L2 | Palet (4000038): 1 adet | Köşebent (4000590): 2 adet</t>
        </is>
      </c>
      <c r="E208" s="25" t="inlineStr">
        <is>
          <t>LB2, L2 | Palet (4000038): 1 adet | Köşebent (4000590): 2 adet / LB2, L2 | Pallet (4000038): 1 pc | Edge protector (4000590): 2 pcs</t>
        </is>
      </c>
      <c r="F208" s="25" t="inlineStr">
        <is>
          <t>IA-ST-CFG-0241</t>
        </is>
      </c>
      <c r="G208" s="25" t="inlineStr">
        <is>
          <t>IA-PPWR-TF-ST-076-EUR-04-R00</t>
        </is>
      </c>
      <c r="H208" s="25" t="inlineStr">
        <is>
          <t>2026-08-08</t>
        </is>
      </c>
      <c r="I208" s="25" t="inlineStr">
        <is>
          <t>Rev.00</t>
        </is>
      </c>
      <c r="J208" s="25" t="inlineStr">
        <is>
          <t>ACTIVE — unsigned</t>
        </is>
      </c>
      <c r="K208" s="31">
        <f>HYPERLINK("01_STARTER/ST-076-EUR-04/02_EU_DoC.docx","Open")</f>
        <v/>
      </c>
    </row>
    <row r="209">
      <c r="A209" s="25" t="inlineStr">
        <is>
          <t>IA-PPWR-DOC-ST-080-EUR-01-R00</t>
        </is>
      </c>
      <c r="B209" s="25" t="inlineStr">
        <is>
          <t>ST-080-EUR-01</t>
        </is>
      </c>
      <c r="C209" s="25" t="inlineStr">
        <is>
          <t>IA-ST-080-EUR-01</t>
        </is>
      </c>
      <c r="D209" s="25" t="inlineStr">
        <is>
          <t>L1 | L1 İnci AGM LEO 50AH 560A pencereli dış koli (4001393): 80 adet</t>
        </is>
      </c>
      <c r="E209" s="25" t="inlineStr">
        <is>
          <t>L1 | L1 İnci AGM LEO 50AH 560A pencereli dış koli (4001393): 80 adet / L1 | L1 İnci AGM LEO 50AH 560A windowed outer carton (4001393): 80 pcs</t>
        </is>
      </c>
      <c r="F209" s="25" t="inlineStr">
        <is>
          <t>IA-ST-CFG-0243</t>
        </is>
      </c>
      <c r="G209" s="25" t="inlineStr">
        <is>
          <t>IA-PPWR-TF-ST-080-EUR-01-R00</t>
        </is>
      </c>
      <c r="H209" s="25" t="inlineStr">
        <is>
          <t>2026-08-08</t>
        </is>
      </c>
      <c r="I209" s="25" t="inlineStr">
        <is>
          <t>Rev.00</t>
        </is>
      </c>
      <c r="J209" s="25" t="inlineStr">
        <is>
          <t>ACTIVE — unsigned</t>
        </is>
      </c>
      <c r="K209" s="31">
        <f>HYPERLINK("01_STARTER/ST-080-EUR-01/02_EU_DoC.docx","Open")</f>
        <v/>
      </c>
    </row>
    <row r="210">
      <c r="A210" s="25" t="inlineStr">
        <is>
          <t>IA-PPWR-DOC-ST-081-EUR-01-R00</t>
        </is>
      </c>
      <c r="B210" s="25" t="inlineStr">
        <is>
          <t>ST-081-EUR-01</t>
        </is>
      </c>
      <c r="C210" s="25" t="inlineStr">
        <is>
          <t>IA-ST-081-EUR-01</t>
        </is>
      </c>
      <c r="D210" s="25" t="inlineStr">
        <is>
          <t>NS60 | Palet (4000038): 1 adet | Honeycomb (4001186): 3 adet</t>
        </is>
      </c>
      <c r="E210" s="25" t="inlineStr">
        <is>
          <t>NS60 | Palet (4000038): 1 adet | Honeycomb (4001186): 3 adet / NS60 | Pallet (4000038): 1 pc | Honeycomb (4001186): 3 pcs</t>
        </is>
      </c>
      <c r="F210" s="25" t="inlineStr">
        <is>
          <t>IA-ST-CFG-0245</t>
        </is>
      </c>
      <c r="G210" s="25" t="inlineStr">
        <is>
          <t>IA-PPWR-TF-ST-081-EUR-01-R00</t>
        </is>
      </c>
      <c r="H210" s="25" t="inlineStr">
        <is>
          <t>2026-08-08</t>
        </is>
      </c>
      <c r="I210" s="25" t="inlineStr">
        <is>
          <t>Rev.00</t>
        </is>
      </c>
      <c r="J210" s="25" t="inlineStr">
        <is>
          <t>ACTIVE — unsigned</t>
        </is>
      </c>
      <c r="K210" s="31">
        <f>HYPERLINK("01_STARTER/ST-081-EUR-01/02_EU_DoC.docx","Open")</f>
        <v/>
      </c>
    </row>
    <row r="211">
      <c r="A211" s="25" t="inlineStr">
        <is>
          <t>IA-PPWR-DOC-ST-087-EUR-01-R00</t>
        </is>
      </c>
      <c r="B211" s="25" t="inlineStr">
        <is>
          <t>ST-087-EUR-01</t>
        </is>
      </c>
      <c r="C211" s="25" t="inlineStr">
        <is>
          <t>IA-ST-087-EUR-01</t>
        </is>
      </c>
      <c r="D211" s="25" t="inlineStr">
        <is>
          <t>NS40 | NS40 PVC üst kapak (4000601): 87 adet</t>
        </is>
      </c>
      <c r="E211" s="25" t="inlineStr">
        <is>
          <t>NS40 | NS40 PVC üst kapak (4000601): 87 adet / NS40 | NS40 PVC upper cover (4000601): 87 pcs</t>
        </is>
      </c>
      <c r="F211" s="25" t="inlineStr">
        <is>
          <t>IA-ST-CFG-0253</t>
        </is>
      </c>
      <c r="G211" s="25" t="inlineStr">
        <is>
          <t>IA-PPWR-TF-ST-087-EUR-01-R00</t>
        </is>
      </c>
      <c r="H211" s="25" t="inlineStr">
        <is>
          <t>2026-08-08</t>
        </is>
      </c>
      <c r="I211" s="25" t="inlineStr">
        <is>
          <t>Rev.00</t>
        </is>
      </c>
      <c r="J211" s="25" t="inlineStr">
        <is>
          <t>ACTIVE — unsigned</t>
        </is>
      </c>
      <c r="K211" s="31">
        <f>HYPERLINK("01_STARTER/ST-087-EUR-01/02_EU_DoC.docx","Open")</f>
        <v/>
      </c>
    </row>
    <row r="212">
      <c r="A212" s="25" t="inlineStr">
        <is>
          <t>IA-PPWR-DOC-ST-087-STD-01-R00</t>
        </is>
      </c>
      <c r="B212" s="25" t="inlineStr">
        <is>
          <t>ST-087-STD-01</t>
        </is>
      </c>
      <c r="C212" s="25" t="inlineStr">
        <is>
          <t>IA-ST-087-STD-01</t>
        </is>
      </c>
      <c r="D212" s="25" t="inlineStr">
        <is>
          <t>L1 | Palet (4000037): 1 adet | Köşebent (4000033): 2 adet</t>
        </is>
      </c>
      <c r="E212" s="25" t="inlineStr">
        <is>
          <t>L1 | Palet (4000037): 1 adet | Köşebent (4000033): 2 adet / L1 | Pallet (4000037): 1 pc | Edge protector (4000033): 2 pcs</t>
        </is>
      </c>
      <c r="F212" s="25" t="inlineStr">
        <is>
          <t>IA-ST-CFG-0246</t>
        </is>
      </c>
      <c r="G212" s="25" t="inlineStr">
        <is>
          <t>IA-PPWR-TF-ST-087-STD-01-R00</t>
        </is>
      </c>
      <c r="H212" s="25" t="inlineStr">
        <is>
          <t>2026-08-08</t>
        </is>
      </c>
      <c r="I212" s="25" t="inlineStr">
        <is>
          <t>Rev.00</t>
        </is>
      </c>
      <c r="J212" s="25" t="inlineStr">
        <is>
          <t>ACTIVE — unsigned</t>
        </is>
      </c>
      <c r="K212" s="31">
        <f>HYPERLINK("01_STARTER/ST-087-STD-01/02_EU_DoC.docx","Open")</f>
        <v/>
      </c>
    </row>
    <row r="213">
      <c r="A213" s="25" t="inlineStr">
        <is>
          <t>IA-PPWR-DOC-ST-087-STD-02-R00</t>
        </is>
      </c>
      <c r="B213" s="25" t="inlineStr">
        <is>
          <t>ST-087-STD-02</t>
        </is>
      </c>
      <c r="C213" s="25" t="inlineStr">
        <is>
          <t>IA-ST-087-STD-02</t>
        </is>
      </c>
      <c r="D213" s="25" t="inlineStr">
        <is>
          <t>LB1 | Palet (4000037): 1 adet | Köşebent (4000033): 2 adet</t>
        </is>
      </c>
      <c r="E213" s="25" t="inlineStr">
        <is>
          <t>LB1 | Palet (4000037): 1 adet | Köşebent (4000033): 2 adet / LB1 | Pallet (4000037): 1 pc | Edge protector (4000033): 2 pcs</t>
        </is>
      </c>
      <c r="F213" s="25" t="inlineStr">
        <is>
          <t>IA-ST-CFG-0247</t>
        </is>
      </c>
      <c r="G213" s="25" t="inlineStr">
        <is>
          <t>IA-PPWR-TF-ST-087-STD-02-R00</t>
        </is>
      </c>
      <c r="H213" s="25" t="inlineStr">
        <is>
          <t>2026-08-08</t>
        </is>
      </c>
      <c r="I213" s="25" t="inlineStr">
        <is>
          <t>Rev.00</t>
        </is>
      </c>
      <c r="J213" s="25" t="inlineStr">
        <is>
          <t>ACTIVE — unsigned</t>
        </is>
      </c>
      <c r="K213" s="31">
        <f>HYPERLINK("01_STARTER/ST-087-STD-02/02_EU_DoC.docx","Open")</f>
        <v/>
      </c>
    </row>
    <row r="214">
      <c r="A214" s="25" t="inlineStr">
        <is>
          <t>IA-PPWR-DOC-ST-087-STD-03-R00</t>
        </is>
      </c>
      <c r="B214" s="25" t="inlineStr">
        <is>
          <t>ST-087-STD-03</t>
        </is>
      </c>
      <c r="C214" s="25" t="inlineStr">
        <is>
          <t>IA-ST-087-STD-03</t>
        </is>
      </c>
      <c r="D214" s="25" t="inlineStr">
        <is>
          <t>L1, LB1 | Palet (4000037): 1 adet | Köşebent (4000033): 2 adet</t>
        </is>
      </c>
      <c r="E214" s="25" t="inlineStr">
        <is>
          <t>L1, LB1 | Palet (4000037): 1 adet | Köşebent (4000033): 2 adet / L1, LB1 | Pallet (4000037): 1 pc | Edge protector (4000033): 2 pcs</t>
        </is>
      </c>
      <c r="F214" s="25" t="inlineStr">
        <is>
          <t>IA-ST-CFG-0248</t>
        </is>
      </c>
      <c r="G214" s="25" t="inlineStr">
        <is>
          <t>IA-PPWR-TF-ST-087-STD-03-R00</t>
        </is>
      </c>
      <c r="H214" s="25" t="inlineStr">
        <is>
          <t>2026-08-08</t>
        </is>
      </c>
      <c r="I214" s="25" t="inlineStr">
        <is>
          <t>Rev.00</t>
        </is>
      </c>
      <c r="J214" s="25" t="inlineStr">
        <is>
          <t>ACTIVE — unsigned</t>
        </is>
      </c>
      <c r="K214" s="31">
        <f>HYPERLINK("01_STARTER/ST-087-STD-03/02_EU_DoC.docx","Open")</f>
        <v/>
      </c>
    </row>
    <row r="215">
      <c r="A215" s="25" t="inlineStr">
        <is>
          <t>IA-PPWR-DOC-ST-087-STD-04-R00</t>
        </is>
      </c>
      <c r="B215" s="25" t="inlineStr">
        <is>
          <t>ST-087-STD-04</t>
        </is>
      </c>
      <c r="C215" s="25" t="inlineStr">
        <is>
          <t>IA-ST-087-STD-04</t>
        </is>
      </c>
      <c r="D215" s="25" t="inlineStr">
        <is>
          <t>LB1, L1 | Palet (4000037): 1 adet | Shrink film (4001177): 0.597 kg</t>
        </is>
      </c>
      <c r="E215" s="25" t="inlineStr">
        <is>
          <t>LB1, L1 | Palet (4000037): 1 adet | Shrink film (4001177): 0.597 kg / LB1, L1 | Pallet (4000037): 1 pc | Shrink film (4001177): 0.597 kg</t>
        </is>
      </c>
      <c r="F215" s="25" t="inlineStr">
        <is>
          <t>IA-ST-CFG-0249</t>
        </is>
      </c>
      <c r="G215" s="25" t="inlineStr">
        <is>
          <t>IA-PPWR-TF-ST-087-STD-04-R00</t>
        </is>
      </c>
      <c r="H215" s="25" t="inlineStr">
        <is>
          <t>2026-08-08</t>
        </is>
      </c>
      <c r="I215" s="25" t="inlineStr">
        <is>
          <t>Rev.00</t>
        </is>
      </c>
      <c r="J215" s="25" t="inlineStr">
        <is>
          <t>ACTIVE — unsigned</t>
        </is>
      </c>
      <c r="K215" s="31">
        <f>HYPERLINK("01_STARTER/ST-087-STD-04/02_EU_DoC.docx","Open")</f>
        <v/>
      </c>
    </row>
    <row r="216">
      <c r="A216" s="25" t="inlineStr">
        <is>
          <t>IA-PPWR-DOC-ST-087-STD-05-R00</t>
        </is>
      </c>
      <c r="B216" s="25" t="inlineStr">
        <is>
          <t>ST-087-STD-05</t>
        </is>
      </c>
      <c r="C216" s="25" t="inlineStr">
        <is>
          <t>IA-ST-087-STD-05</t>
        </is>
      </c>
      <c r="D216" s="25" t="inlineStr">
        <is>
          <t>NS60 | NS60 EAS Activa penceresiz dış koli (4000631): 87 adet</t>
        </is>
      </c>
      <c r="E216" s="25" t="inlineStr">
        <is>
          <t>NS60 | NS60 EAS Activa penceresiz dış koli (4000631): 87 adet / NS60 | NS60 EAS Activa windowless outer carton (4000631): 87 pcs</t>
        </is>
      </c>
      <c r="F216" s="25" t="inlineStr">
        <is>
          <t>IA-ST-CFG-0250</t>
        </is>
      </c>
      <c r="G216" s="25" t="inlineStr">
        <is>
          <t>IA-PPWR-TF-ST-087-STD-05-R00</t>
        </is>
      </c>
      <c r="H216" s="25" t="inlineStr">
        <is>
          <t>2026-08-08</t>
        </is>
      </c>
      <c r="I216" s="25" t="inlineStr">
        <is>
          <t>Rev.00</t>
        </is>
      </c>
      <c r="J216" s="25" t="inlineStr">
        <is>
          <t>ACTIVE — unsigned</t>
        </is>
      </c>
      <c r="K216" s="31">
        <f>HYPERLINK("01_STARTER/ST-087-STD-05/02_EU_DoC.docx","Open")</f>
        <v/>
      </c>
    </row>
    <row r="217">
      <c r="A217" s="25" t="inlineStr">
        <is>
          <t>IA-PPWR-DOC-ST-087-STD-06-R00</t>
        </is>
      </c>
      <c r="B217" s="25" t="inlineStr">
        <is>
          <t>ST-087-STD-06</t>
        </is>
      </c>
      <c r="C217" s="25" t="inlineStr">
        <is>
          <t>IA-ST-087-STD-06</t>
        </is>
      </c>
      <c r="D217" s="25" t="inlineStr">
        <is>
          <t>LB1 | Palet (4000037): 1 adet | Köşebent (4000033): kullanılmaz</t>
        </is>
      </c>
      <c r="E217" s="25" t="inlineStr">
        <is>
          <t>LB1 | Palet (4000037): 1 adet | Köşebent (4000033): kullanılmaz / LB1 | Pallet (4000037): 1 pc | Edge protector (4000033): not used</t>
        </is>
      </c>
      <c r="F217" s="25" t="inlineStr">
        <is>
          <t>IA-ST-CFG-0251</t>
        </is>
      </c>
      <c r="G217" s="25" t="inlineStr">
        <is>
          <t>IA-PPWR-TF-ST-087-STD-06-R00</t>
        </is>
      </c>
      <c r="H217" s="25" t="inlineStr">
        <is>
          <t>2026-08-08</t>
        </is>
      </c>
      <c r="I217" s="25" t="inlineStr">
        <is>
          <t>Rev.00</t>
        </is>
      </c>
      <c r="J217" s="25" t="inlineStr">
        <is>
          <t>ACTIVE — unsigned</t>
        </is>
      </c>
      <c r="K217" s="31">
        <f>HYPERLINK("01_STARTER/ST-087-STD-06/02_EU_DoC.docx","Open")</f>
        <v/>
      </c>
    </row>
    <row r="218">
      <c r="A218" s="25" t="inlineStr">
        <is>
          <t>IA-PPWR-DOC-ST-087-STD-07-R00</t>
        </is>
      </c>
      <c r="B218" s="25" t="inlineStr">
        <is>
          <t>ST-087-STD-07</t>
        </is>
      </c>
      <c r="C218" s="25" t="inlineStr">
        <is>
          <t>IA-ST-087-STD-07</t>
        </is>
      </c>
      <c r="D218" s="25" t="inlineStr">
        <is>
          <t>L1, LB1 | Palet (4000037): 1 adet | Köşebent (4000033): kullanılmaz</t>
        </is>
      </c>
      <c r="E218" s="25" t="inlineStr">
        <is>
          <t>L1, LB1 | Palet (4000037): 1 adet | Köşebent (4000033): kullanılmaz / L1, LB1 | Pallet (4000037): 1 pc | Edge protector (4000033): not used</t>
        </is>
      </c>
      <c r="F218" s="25" t="inlineStr">
        <is>
          <t>IA-ST-CFG-0252</t>
        </is>
      </c>
      <c r="G218" s="25" t="inlineStr">
        <is>
          <t>IA-PPWR-TF-ST-087-STD-07-R00</t>
        </is>
      </c>
      <c r="H218" s="25" t="inlineStr">
        <is>
          <t>2026-08-08</t>
        </is>
      </c>
      <c r="I218" s="25" t="inlineStr">
        <is>
          <t>Rev.00</t>
        </is>
      </c>
      <c r="J218" s="25" t="inlineStr">
        <is>
          <t>ACTIVE — unsigned</t>
        </is>
      </c>
      <c r="K218" s="31">
        <f>HYPERLINK("01_STARTER/ST-087-STD-07/02_EU_DoC.docx","Open")</f>
        <v/>
      </c>
    </row>
    <row r="219">
      <c r="A219" s="25" t="inlineStr">
        <is>
          <t>IA-PPWR-DOC-ST-088-STD-01-R00</t>
        </is>
      </c>
      <c r="B219" s="25" t="inlineStr">
        <is>
          <t>ST-088-STD-01</t>
        </is>
      </c>
      <c r="C219" s="25" t="inlineStr">
        <is>
          <t>IA-ST-088-STD-01</t>
        </is>
      </c>
      <c r="D219" s="25" t="inlineStr">
        <is>
          <t>L2 | L2 EAS Activa penceresiz dış koli (4000644): 88 adet</t>
        </is>
      </c>
      <c r="E219" s="25" t="inlineStr">
        <is>
          <t>L2 | L2 EAS Activa penceresiz dış koli (4000644): 88 adet / L2 | L2 EAS Activa windowless outer carton (4000644): 88 pcs</t>
        </is>
      </c>
      <c r="F219" s="25" t="inlineStr">
        <is>
          <t>IA-ST-CFG-0254</t>
        </is>
      </c>
      <c r="G219" s="25" t="inlineStr">
        <is>
          <t>IA-PPWR-TF-ST-088-STD-01-R00</t>
        </is>
      </c>
      <c r="H219" s="25" t="inlineStr">
        <is>
          <t>2026-08-08</t>
        </is>
      </c>
      <c r="I219" s="25" t="inlineStr">
        <is>
          <t>Rev.00</t>
        </is>
      </c>
      <c r="J219" s="25" t="inlineStr">
        <is>
          <t>ACTIVE — unsigned</t>
        </is>
      </c>
      <c r="K219" s="31">
        <f>HYPERLINK("01_STARTER/ST-088-STD-01/02_EU_DoC.docx","Open")</f>
        <v/>
      </c>
    </row>
    <row r="220">
      <c r="A220" s="25" t="inlineStr">
        <is>
          <t>IA-PPWR-DOC-ST-088-STD-02-R00</t>
        </is>
      </c>
      <c r="B220" s="25" t="inlineStr">
        <is>
          <t>ST-088-STD-02</t>
        </is>
      </c>
      <c r="C220" s="25" t="inlineStr">
        <is>
          <t>IA-ST-088-STD-02</t>
        </is>
      </c>
      <c r="D220" s="25" t="inlineStr">
        <is>
          <t>L2 | L2 YUASA penceresiz Orta Doğu dış koli (4001102): 88 adet</t>
        </is>
      </c>
      <c r="E220" s="25" t="inlineStr">
        <is>
          <t>L2 | L2 YUASA penceresiz Orta Doğu dış koli (4001102): 88 adet / L2 | L2 YUASA windowless Middle East outer carton (4001102): 88 pcs</t>
        </is>
      </c>
      <c r="F220" s="25" t="inlineStr">
        <is>
          <t>IA-ST-CFG-0255</t>
        </is>
      </c>
      <c r="G220" s="25" t="inlineStr">
        <is>
          <t>IA-PPWR-TF-ST-088-STD-02-R00</t>
        </is>
      </c>
      <c r="H220" s="25" t="inlineStr">
        <is>
          <t>2026-08-08</t>
        </is>
      </c>
      <c r="I220" s="25" t="inlineStr">
        <is>
          <t>Rev.00</t>
        </is>
      </c>
      <c r="J220" s="25" t="inlineStr">
        <is>
          <t>ACTIVE — unsigned</t>
        </is>
      </c>
      <c r="K220" s="31">
        <f>HYPERLINK("01_STARTER/ST-088-STD-02/02_EU_DoC.docx","Open")</f>
        <v/>
      </c>
    </row>
    <row r="221">
      <c r="A221" s="25" t="inlineStr">
        <is>
          <t>IA-PPWR-DOC-ST-088-STD-03-R00</t>
        </is>
      </c>
      <c r="B221" s="25" t="inlineStr">
        <is>
          <t>ST-088-STD-03</t>
        </is>
      </c>
      <c r="C221" s="25" t="inlineStr">
        <is>
          <t>IA-ST-088-STD-03</t>
        </is>
      </c>
      <c r="D221" s="25" t="inlineStr">
        <is>
          <t>L2 | L2 İnci EFB MAX TIGRIS pencereli 2020 dış koli (4001272): 88 adet</t>
        </is>
      </c>
      <c r="E221" s="25" t="inlineStr">
        <is>
          <t>L2 | L2 İnci EFB MAX TIGRIS pencereli 2020 dış koli (4001272): 88 adet / L2 | L2 İnci EFB MAX TIGRIS windowed 2020 outer carton (4001272): 88 pcs</t>
        </is>
      </c>
      <c r="F221" s="25" t="inlineStr">
        <is>
          <t>IA-ST-CFG-0256</t>
        </is>
      </c>
      <c r="G221" s="25" t="inlineStr">
        <is>
          <t>IA-PPWR-TF-ST-088-STD-03-R00</t>
        </is>
      </c>
      <c r="H221" s="25" t="inlineStr">
        <is>
          <t>2026-08-08</t>
        </is>
      </c>
      <c r="I221" s="25" t="inlineStr">
        <is>
          <t>Rev.00</t>
        </is>
      </c>
      <c r="J221" s="25" t="inlineStr">
        <is>
          <t>ACTIVE — unsigned</t>
        </is>
      </c>
      <c r="K221" s="31">
        <f>HYPERLINK("01_STARTER/ST-088-STD-03/02_EU_DoC.docx","Open")</f>
        <v/>
      </c>
    </row>
    <row r="222">
      <c r="A222" s="25" t="inlineStr">
        <is>
          <t>IA-PPWR-DOC-ST-088-STD-04-R00</t>
        </is>
      </c>
      <c r="B222" s="25" t="inlineStr">
        <is>
          <t>ST-088-STD-04</t>
        </is>
      </c>
      <c r="C222" s="25" t="inlineStr">
        <is>
          <t>IA-ST-088-STD-04</t>
        </is>
      </c>
      <c r="D222" s="25" t="inlineStr">
        <is>
          <t>L2 | L2 İnci EFB PANTERA pencereli DL dış koli (4001317): 88 adet</t>
        </is>
      </c>
      <c r="E222" s="25" t="inlineStr">
        <is>
          <t>L2 | L2 İnci EFB PANTERA pencereli DL dış koli (4001317): 88 adet / L2 | L2 İnci EFB PANTERA windowed DL outer carton (4001317): 88 pcs</t>
        </is>
      </c>
      <c r="F222" s="25" t="inlineStr">
        <is>
          <t>IA-ST-CFG-0257</t>
        </is>
      </c>
      <c r="G222" s="25" t="inlineStr">
        <is>
          <t>IA-PPWR-TF-ST-088-STD-04-R00</t>
        </is>
      </c>
      <c r="H222" s="25" t="inlineStr">
        <is>
          <t>2026-08-08</t>
        </is>
      </c>
      <c r="I222" s="25" t="inlineStr">
        <is>
          <t>Rev.00</t>
        </is>
      </c>
      <c r="J222" s="25" t="inlineStr">
        <is>
          <t>ACTIVE — unsigned</t>
        </is>
      </c>
      <c r="K222" s="31">
        <f>HYPERLINK("01_STARTER/ST-088-STD-04/02_EU_DoC.docx","Open")</f>
        <v/>
      </c>
    </row>
    <row r="223">
      <c r="A223" s="25" t="inlineStr">
        <is>
          <t>IA-PPWR-DOC-ST-088-STD-05-R00</t>
        </is>
      </c>
      <c r="B223" s="25" t="inlineStr">
        <is>
          <t>ST-088-STD-05</t>
        </is>
      </c>
      <c r="C223" s="25" t="inlineStr">
        <is>
          <t>IA-ST-088-STD-05</t>
        </is>
      </c>
      <c r="D223" s="25" t="inlineStr">
        <is>
          <t>L2 | L2 EAS EFB MAX pencereli 2024 dış koli (4001410): 88 adet</t>
        </is>
      </c>
      <c r="E223" s="25" t="inlineStr">
        <is>
          <t>L2 | L2 EAS EFB MAX pencereli 2024 dış koli (4001410): 88 adet / L2 | L2 EAS EFB MAX windowed 2024 outer carton (4001410): 88 pcs</t>
        </is>
      </c>
      <c r="F223" s="25" t="inlineStr">
        <is>
          <t>IA-ST-CFG-0258</t>
        </is>
      </c>
      <c r="G223" s="25" t="inlineStr">
        <is>
          <t>IA-PPWR-TF-ST-088-STD-05-R00</t>
        </is>
      </c>
      <c r="H223" s="25" t="inlineStr">
        <is>
          <t>2026-08-08</t>
        </is>
      </c>
      <c r="I223" s="25" t="inlineStr">
        <is>
          <t>Rev.00</t>
        </is>
      </c>
      <c r="J223" s="25" t="inlineStr">
        <is>
          <t>ACTIVE — unsigned</t>
        </is>
      </c>
      <c r="K223" s="31">
        <f>HYPERLINK("01_STARTER/ST-088-STD-05/02_EU_DoC.docx","Open")</f>
        <v/>
      </c>
    </row>
    <row r="224">
      <c r="A224" s="25" t="inlineStr">
        <is>
          <t>IA-PPWR-DOC-ST-088-STD-06-R00</t>
        </is>
      </c>
      <c r="B224" s="25" t="inlineStr">
        <is>
          <t>ST-088-STD-06</t>
        </is>
      </c>
      <c r="C224" s="25" t="inlineStr">
        <is>
          <t>IA-ST-088-STD-06</t>
        </is>
      </c>
      <c r="D224" s="25" t="inlineStr">
        <is>
          <t>L2 | L2 BLIZZARO SILVERLINE penceresiz dış koli (4001434): 88 adet</t>
        </is>
      </c>
      <c r="E224" s="25" t="inlineStr">
        <is>
          <t>L2 | L2 BLIZZARO SILVERLINE penceresiz dış koli (4001434): 88 adet / L2 | L2 BLIZZARO SILVERLINE windowless outer carton (4001434): 88 pcs</t>
        </is>
      </c>
      <c r="F224" s="25" t="inlineStr">
        <is>
          <t>IA-ST-CFG-0259</t>
        </is>
      </c>
      <c r="G224" s="25" t="inlineStr">
        <is>
          <t>IA-PPWR-TF-ST-088-STD-06-R00</t>
        </is>
      </c>
      <c r="H224" s="25" t="inlineStr">
        <is>
          <t>2026-08-08</t>
        </is>
      </c>
      <c r="I224" s="25" t="inlineStr">
        <is>
          <t>Rev.00</t>
        </is>
      </c>
      <c r="J224" s="25" t="inlineStr">
        <is>
          <t>ACTIVE — unsigned</t>
        </is>
      </c>
      <c r="K224" s="31">
        <f>HYPERLINK("01_STARTER/ST-088-STD-06/02_EU_DoC.docx","Open")</f>
        <v/>
      </c>
    </row>
    <row r="225">
      <c r="A225" s="25" t="inlineStr">
        <is>
          <t>IA-PPWR-DOC-ST-088-STD-07-R00</t>
        </is>
      </c>
      <c r="B225" s="25" t="inlineStr">
        <is>
          <t>ST-088-STD-07</t>
        </is>
      </c>
      <c r="C225" s="25" t="inlineStr">
        <is>
          <t>IA-ST-088-STD-07</t>
        </is>
      </c>
      <c r="D225" s="25" t="inlineStr">
        <is>
          <t>LB2 | LB2 İnci FORMULA-MAXIMA 2019 dış koli (4001203): 88 adet</t>
        </is>
      </c>
      <c r="E225" s="25" t="inlineStr">
        <is>
          <t>LB2 | LB2 İnci FORMULA-MAXIMA 2019 dış koli (4001203): 88 adet / LB2 | LB2 İnci FORMULA-MAXIMA 2019 outer carton (4001203): 88 pcs</t>
        </is>
      </c>
      <c r="F225" s="25" t="inlineStr">
        <is>
          <t>IA-ST-CFG-0260</t>
        </is>
      </c>
      <c r="G225" s="25" t="inlineStr">
        <is>
          <t>IA-PPWR-TF-ST-088-STD-07-R00</t>
        </is>
      </c>
      <c r="H225" s="25" t="inlineStr">
        <is>
          <t>2026-08-08</t>
        </is>
      </c>
      <c r="I225" s="25" t="inlineStr">
        <is>
          <t>Rev.00</t>
        </is>
      </c>
      <c r="J225" s="25" t="inlineStr">
        <is>
          <t>ACTIVE — unsigned</t>
        </is>
      </c>
      <c r="K225" s="31">
        <f>HYPERLINK("01_STARTER/ST-088-STD-07/02_EU_DoC.docx","Open")</f>
        <v/>
      </c>
    </row>
    <row r="226">
      <c r="A226" s="25" t="inlineStr">
        <is>
          <t>IA-PPWR-DOC-ST-088-STD-08-R00</t>
        </is>
      </c>
      <c r="B226" s="25" t="inlineStr">
        <is>
          <t>ST-088-STD-08</t>
        </is>
      </c>
      <c r="C226" s="25" t="inlineStr">
        <is>
          <t>IA-ST-088-STD-08</t>
        </is>
      </c>
      <c r="D226" s="25" t="inlineStr">
        <is>
          <t>L2 | L2 İnci FORMULA-MAXIMA penceresiz dış koli (4001419): 88 adet</t>
        </is>
      </c>
      <c r="E226" s="25" t="inlineStr">
        <is>
          <t>L2 | L2 İnci FORMULA-MAXIMA penceresiz dış koli (4001419): 88 adet / L2 | L2 İnci FORMULA-MAXIMA windowless outer carton (4001419): 88 pcs</t>
        </is>
      </c>
      <c r="F226" s="25" t="inlineStr">
        <is>
          <t>IA-ST-CFG-0261</t>
        </is>
      </c>
      <c r="G226" s="25" t="inlineStr">
        <is>
          <t>IA-PPWR-TF-ST-088-STD-08-R00</t>
        </is>
      </c>
      <c r="H226" s="25" t="inlineStr">
        <is>
          <t>2026-08-08</t>
        </is>
      </c>
      <c r="I226" s="25" t="inlineStr">
        <is>
          <t>Rev.00</t>
        </is>
      </c>
      <c r="J226" s="25" t="inlineStr">
        <is>
          <t>ACTIVE — unsigned</t>
        </is>
      </c>
      <c r="K226" s="31">
        <f>HYPERLINK("01_STARTER/ST-088-STD-08/02_EU_DoC.docx","Open")</f>
        <v/>
      </c>
    </row>
    <row r="227">
      <c r="A227" s="25" t="inlineStr">
        <is>
          <t>IA-PPWR-DOC-ST-090-STD-01-R00</t>
        </is>
      </c>
      <c r="B227" s="25" t="inlineStr">
        <is>
          <t>ST-090-STD-01</t>
        </is>
      </c>
      <c r="C227" s="25" t="inlineStr">
        <is>
          <t>IA-ST-090-STD-01</t>
        </is>
      </c>
      <c r="D227" s="25" t="inlineStr">
        <is>
          <t>L0 | Palet (4000037): 1 adet | Shrink film (4000555): 2.166 kg</t>
        </is>
      </c>
      <c r="E227" s="25" t="inlineStr">
        <is>
          <t>L0 | Palet (4000037): 1 adet | Shrink film (4000555): 2.166 kg / L0 | Pallet (4000037): 1 pc | Shrink film (4000555): 2.166 kg</t>
        </is>
      </c>
      <c r="F227" s="25" t="inlineStr">
        <is>
          <t>IA-ST-CFG-0262</t>
        </is>
      </c>
      <c r="G227" s="25" t="inlineStr">
        <is>
          <t>IA-PPWR-TF-ST-090-STD-01-R00</t>
        </is>
      </c>
      <c r="H227" s="25" t="inlineStr">
        <is>
          <t>2026-08-08</t>
        </is>
      </c>
      <c r="I227" s="25" t="inlineStr">
        <is>
          <t>Rev.00</t>
        </is>
      </c>
      <c r="J227" s="25" t="inlineStr">
        <is>
          <t>ACTIVE — unsigned</t>
        </is>
      </c>
      <c r="K227" s="31">
        <f>HYPERLINK("01_STARTER/ST-090-STD-01/02_EU_DoC.docx","Open")</f>
        <v/>
      </c>
    </row>
    <row r="228">
      <c r="A228" s="25" t="inlineStr">
        <is>
          <t>IA-PPWR-DOC-ST-090-STD-02-R00</t>
        </is>
      </c>
      <c r="B228" s="25" t="inlineStr">
        <is>
          <t>ST-090-STD-02</t>
        </is>
      </c>
      <c r="C228" s="25" t="inlineStr">
        <is>
          <t>IA-ST-090-STD-02</t>
        </is>
      </c>
      <c r="D228" s="25" t="inlineStr">
        <is>
          <t>L0 | Palet (4000037): 1 adet | Shrink film (4001177): 0.597 kg</t>
        </is>
      </c>
      <c r="E228" s="25" t="inlineStr">
        <is>
          <t>L0 | Palet (4000037): 1 adet | Shrink film (4001177): 0.597 kg / L0 | Pallet (4000037): 1 pc | Shrink film (4001177): 0.597 kg</t>
        </is>
      </c>
      <c r="F228" s="25" t="inlineStr">
        <is>
          <t>IA-ST-CFG-0263</t>
        </is>
      </c>
      <c r="G228" s="25" t="inlineStr">
        <is>
          <t>IA-PPWR-TF-ST-090-STD-02-R00</t>
        </is>
      </c>
      <c r="H228" s="25" t="inlineStr">
        <is>
          <t>2026-08-08</t>
        </is>
      </c>
      <c r="I228" s="25" t="inlineStr">
        <is>
          <t>Rev.00</t>
        </is>
      </c>
      <c r="J228" s="25" t="inlineStr">
        <is>
          <t>ACTIVE — unsigned</t>
        </is>
      </c>
      <c r="K228" s="31">
        <f>HYPERLINK("01_STARTER/ST-090-STD-02/02_EU_DoC.docx","Open")</f>
        <v/>
      </c>
    </row>
    <row r="229">
      <c r="A229" s="25" t="inlineStr">
        <is>
          <t>IA-PPWR-DOC-ST-096-EUR-01-R00</t>
        </is>
      </c>
      <c r="B229" s="25" t="inlineStr">
        <is>
          <t>ST-096-EUR-01</t>
        </is>
      </c>
      <c r="C229" s="25" t="inlineStr">
        <is>
          <t>IA-ST-096-EUR-01</t>
        </is>
      </c>
      <c r="D229" s="25" t="inlineStr">
        <is>
          <t>LB1 | Palet (4000038): 1 adet | Shrink film (4000556): 2.594 kg</t>
        </is>
      </c>
      <c r="E229" s="25" t="inlineStr">
        <is>
          <t>LB1 | Palet (4000038): 1 adet | Shrink film (4000556): 2.594 kg / LB1 | Pallet (4000038): 1 pc | Shrink film (4000556): 2.594 kg</t>
        </is>
      </c>
      <c r="F229" s="25" t="inlineStr">
        <is>
          <t>IA-ST-CFG-0264</t>
        </is>
      </c>
      <c r="G229" s="25" t="inlineStr">
        <is>
          <t>IA-PPWR-TF-ST-096-EUR-01-R00</t>
        </is>
      </c>
      <c r="H229" s="25" t="inlineStr">
        <is>
          <t>2026-08-08</t>
        </is>
      </c>
      <c r="I229" s="25" t="inlineStr">
        <is>
          <t>Rev.00</t>
        </is>
      </c>
      <c r="J229" s="25" t="inlineStr">
        <is>
          <t>ACTIVE — unsigned</t>
        </is>
      </c>
      <c r="K229" s="31">
        <f>HYPERLINK("01_STARTER/ST-096-EUR-01/02_EU_DoC.docx","Open")</f>
        <v/>
      </c>
    </row>
    <row r="230">
      <c r="A230" s="25" t="inlineStr">
        <is>
          <t>IA-PPWR-DOC-ST-096-EUR-02-R00</t>
        </is>
      </c>
      <c r="B230" s="25" t="inlineStr">
        <is>
          <t>ST-096-EUR-02</t>
        </is>
      </c>
      <c r="C230" s="25" t="inlineStr">
        <is>
          <t>IA-ST-096-EUR-02</t>
        </is>
      </c>
      <c r="D230" s="25" t="inlineStr">
        <is>
          <t>L1 | Palet (4000038): 1 adet | Shrink film (4000556): 3.167 kg</t>
        </is>
      </c>
      <c r="E230" s="25" t="inlineStr">
        <is>
          <t>L1 | Palet (4000038): 1 adet | Shrink film (4000556): 3.167 kg / L1 | Pallet (4000038): 1 pc | Shrink film (4000556): 3.167 kg</t>
        </is>
      </c>
      <c r="F230" s="25" t="inlineStr">
        <is>
          <t>IA-ST-CFG-0265</t>
        </is>
      </c>
      <c r="G230" s="25" t="inlineStr">
        <is>
          <t>IA-PPWR-TF-ST-096-EUR-02-R00</t>
        </is>
      </c>
      <c r="H230" s="25" t="inlineStr">
        <is>
          <t>2026-08-08</t>
        </is>
      </c>
      <c r="I230" s="25" t="inlineStr">
        <is>
          <t>Rev.00</t>
        </is>
      </c>
      <c r="J230" s="25" t="inlineStr">
        <is>
          <t>ACTIVE — unsigned</t>
        </is>
      </c>
      <c r="K230" s="31">
        <f>HYPERLINK("01_STARTER/ST-096-EUR-02/02_EU_DoC.docx","Open")</f>
        <v/>
      </c>
    </row>
    <row r="231">
      <c r="A231" s="25" t="inlineStr">
        <is>
          <t>IA-PPWR-DOC-ST-096-EUR-03-R00</t>
        </is>
      </c>
      <c r="B231" s="25" t="inlineStr">
        <is>
          <t>ST-096-EUR-03</t>
        </is>
      </c>
      <c r="C231" s="25" t="inlineStr">
        <is>
          <t>IA-ST-096-EUR-03</t>
        </is>
      </c>
      <c r="D231" s="25" t="inlineStr">
        <is>
          <t>L1, LB1 | Palet (4000038): 1 adet | Shrink film (4000556): 3.167 kg</t>
        </is>
      </c>
      <c r="E231" s="25" t="inlineStr">
        <is>
          <t>L1, LB1 | Palet (4000038): 1 adet | Shrink film (4000556): 3.167 kg / L1, LB1 | Pallet (4000038): 1 pc | Shrink film (4000556): 3.167 kg</t>
        </is>
      </c>
      <c r="F231" s="25" t="inlineStr">
        <is>
          <t>IA-ST-CFG-0266</t>
        </is>
      </c>
      <c r="G231" s="25" t="inlineStr">
        <is>
          <t>IA-PPWR-TF-ST-096-EUR-03-R00</t>
        </is>
      </c>
      <c r="H231" s="25" t="inlineStr">
        <is>
          <t>2026-08-08</t>
        </is>
      </c>
      <c r="I231" s="25" t="inlineStr">
        <is>
          <t>Rev.00</t>
        </is>
      </c>
      <c r="J231" s="25" t="inlineStr">
        <is>
          <t>ACTIVE — unsigned</t>
        </is>
      </c>
      <c r="K231" s="31">
        <f>HYPERLINK("01_STARTER/ST-096-EUR-03/02_EU_DoC.docx","Open")</f>
        <v/>
      </c>
    </row>
    <row r="232">
      <c r="A232" s="25" t="inlineStr">
        <is>
          <t>IA-PPWR-DOC-ST-096-EUR-04-R00</t>
        </is>
      </c>
      <c r="B232" s="25" t="inlineStr">
        <is>
          <t>ST-096-EUR-04</t>
        </is>
      </c>
      <c r="C232" s="25" t="inlineStr">
        <is>
          <t>IA-ST-096-EUR-04</t>
        </is>
      </c>
      <c r="D232" s="25" t="inlineStr">
        <is>
          <t>L1 | Palet (4000038): 1 adet | Shrink film (4000556): kullanılmaz</t>
        </is>
      </c>
      <c r="E232" s="25" t="inlineStr">
        <is>
          <t>L1 | Palet (4000038): 1 adet | Shrink film (4000556): kullanılmaz / L1 | Pallet (4000038): 1 pc | Shrink film (4000556): not used</t>
        </is>
      </c>
      <c r="F232" s="25" t="inlineStr">
        <is>
          <t>IA-ST-CFG-0267</t>
        </is>
      </c>
      <c r="G232" s="25" t="inlineStr">
        <is>
          <t>IA-PPWR-TF-ST-096-EUR-04-R00</t>
        </is>
      </c>
      <c r="H232" s="25" t="inlineStr">
        <is>
          <t>2026-08-08</t>
        </is>
      </c>
      <c r="I232" s="25" t="inlineStr">
        <is>
          <t>Rev.00</t>
        </is>
      </c>
      <c r="J232" s="25" t="inlineStr">
        <is>
          <t>ACTIVE — unsigned</t>
        </is>
      </c>
      <c r="K232" s="31">
        <f>HYPERLINK("01_STARTER/ST-096-EUR-04/02_EU_DoC.docx","Open")</f>
        <v/>
      </c>
    </row>
    <row r="233">
      <c r="A233" s="25" t="inlineStr">
        <is>
          <t>IA-PPWR-DOC-ST-096-EUR-05-R00</t>
        </is>
      </c>
      <c r="B233" s="25" t="inlineStr">
        <is>
          <t>ST-096-EUR-05</t>
        </is>
      </c>
      <c r="C233" s="25" t="inlineStr">
        <is>
          <t>IA-ST-096-EUR-05</t>
        </is>
      </c>
      <c r="D233" s="25" t="inlineStr">
        <is>
          <t>LB1 | Palet (4000038): 1 adet | Shrink film (4000556): kullanılmaz</t>
        </is>
      </c>
      <c r="E233" s="25" t="inlineStr">
        <is>
          <t>LB1 | Palet (4000038): 1 adet | Shrink film (4000556): kullanılmaz / LB1 | Pallet (4000038): 1 pc | Shrink film (4000556): not used</t>
        </is>
      </c>
      <c r="F233" s="25" t="inlineStr">
        <is>
          <t>IA-ST-CFG-0268</t>
        </is>
      </c>
      <c r="G233" s="25" t="inlineStr">
        <is>
          <t>IA-PPWR-TF-ST-096-EUR-05-R00</t>
        </is>
      </c>
      <c r="H233" s="25" t="inlineStr">
        <is>
          <t>2026-08-08</t>
        </is>
      </c>
      <c r="I233" s="25" t="inlineStr">
        <is>
          <t>Rev.00</t>
        </is>
      </c>
      <c r="J233" s="25" t="inlineStr">
        <is>
          <t>ACTIVE — unsigned</t>
        </is>
      </c>
      <c r="K233" s="31">
        <f>HYPERLINK("01_STARTER/ST-096-EUR-05/02_EU_DoC.docx","Open")</f>
        <v/>
      </c>
    </row>
    <row r="234">
      <c r="A234" s="25" t="inlineStr">
        <is>
          <t>IA-PPWR-DOC-ST-096-EUR-06-R00</t>
        </is>
      </c>
      <c r="B234" s="25" t="inlineStr">
        <is>
          <t>ST-096-EUR-06</t>
        </is>
      </c>
      <c r="C234" s="25" t="inlineStr">
        <is>
          <t>IA-ST-096-EUR-06</t>
        </is>
      </c>
      <c r="D234" s="25" t="inlineStr">
        <is>
          <t>L1, LB1 | Palet (4000038): 1 adet | Köşebent (4000033): 4 adet</t>
        </is>
      </c>
      <c r="E234" s="25" t="inlineStr">
        <is>
          <t>L1, LB1 | Palet (4000038): 1 adet | Köşebent (4000033): 4 adet / L1, LB1 | Pallet (4000038): 1 pc | Edge protector (4000033): 4 pcs</t>
        </is>
      </c>
      <c r="F234" s="25" t="inlineStr">
        <is>
          <t>IA-ST-CFG-0269</t>
        </is>
      </c>
      <c r="G234" s="25" t="inlineStr">
        <is>
          <t>IA-PPWR-TF-ST-096-EUR-06-R00</t>
        </is>
      </c>
      <c r="H234" s="25" t="inlineStr">
        <is>
          <t>2026-08-08</t>
        </is>
      </c>
      <c r="I234" s="25" t="inlineStr">
        <is>
          <t>Rev.00</t>
        </is>
      </c>
      <c r="J234" s="25" t="inlineStr">
        <is>
          <t>ACTIVE — unsigned</t>
        </is>
      </c>
      <c r="K234" s="31">
        <f>HYPERLINK("01_STARTER/ST-096-EUR-06/02_EU_DoC.docx","Open")</f>
        <v/>
      </c>
    </row>
    <row r="235">
      <c r="A235" s="25" t="inlineStr">
        <is>
          <t>IA-PPWR-DOC-ST-096-EUR-07-R00</t>
        </is>
      </c>
      <c r="B235" s="25" t="inlineStr">
        <is>
          <t>ST-096-EUR-07</t>
        </is>
      </c>
      <c r="C235" s="25" t="inlineStr">
        <is>
          <t>IA-ST-096-EUR-07</t>
        </is>
      </c>
      <c r="D235" s="25" t="inlineStr">
        <is>
          <t>L0 | Palet (4000038): 1 adet | Köşebent (4000590): 4 adet</t>
        </is>
      </c>
      <c r="E235" s="25" t="inlineStr">
        <is>
          <t>L0 | Palet (4000038): 1 adet | Köşebent (4000590): 4 adet / L0 | Pallet (4000038): 1 pc | Edge protector (4000590): 4 pcs</t>
        </is>
      </c>
      <c r="F235" s="25" t="inlineStr">
        <is>
          <t>IA-ST-CFG-0275</t>
        </is>
      </c>
      <c r="G235" s="25" t="inlineStr">
        <is>
          <t>IA-PPWR-TF-ST-096-EUR-07-R00</t>
        </is>
      </c>
      <c r="H235" s="25" t="inlineStr">
        <is>
          <t>2026-08-08</t>
        </is>
      </c>
      <c r="I235" s="25" t="inlineStr">
        <is>
          <t>Rev.00</t>
        </is>
      </c>
      <c r="J235" s="25" t="inlineStr">
        <is>
          <t>ACTIVE — unsigned</t>
        </is>
      </c>
      <c r="K235" s="31">
        <f>HYPERLINK("01_STARTER/ST-096-EUR-07/02_EU_DoC.docx","Open")</f>
        <v/>
      </c>
    </row>
    <row r="236">
      <c r="A236" s="25" t="inlineStr">
        <is>
          <t>IA-PPWR-DOC-ST-096-EUR-08-R00</t>
        </is>
      </c>
      <c r="B236" s="25" t="inlineStr">
        <is>
          <t>ST-096-EUR-08</t>
        </is>
      </c>
      <c r="C236" s="25" t="inlineStr">
        <is>
          <t>IA-ST-096-EUR-08</t>
        </is>
      </c>
      <c r="D236" s="25" t="inlineStr">
        <is>
          <t>L0 | Palet (4000038): 1 adet | Separatör (4000609): 4 adet</t>
        </is>
      </c>
      <c r="E236" s="25" t="inlineStr">
        <is>
          <t>L0 | Palet (4000038): 1 adet | Separatör (4000609): 4 adet / L0 | Pallet (4000038): 1 pc | Separator (4000609): 4 pcs</t>
        </is>
      </c>
      <c r="F236" s="25" t="inlineStr">
        <is>
          <t>IA-ST-CFG-0276</t>
        </is>
      </c>
      <c r="G236" s="25" t="inlineStr">
        <is>
          <t>IA-PPWR-TF-ST-096-EUR-08-R00</t>
        </is>
      </c>
      <c r="H236" s="25" t="inlineStr">
        <is>
          <t>2026-08-08</t>
        </is>
      </c>
      <c r="I236" s="25" t="inlineStr">
        <is>
          <t>Rev.00</t>
        </is>
      </c>
      <c r="J236" s="25" t="inlineStr">
        <is>
          <t>ACTIVE — unsigned</t>
        </is>
      </c>
      <c r="K236" s="31">
        <f>HYPERLINK("01_STARTER/ST-096-EUR-08/02_EU_DoC.docx","Open")</f>
        <v/>
      </c>
    </row>
    <row r="237">
      <c r="A237" s="25" t="inlineStr">
        <is>
          <t>IA-PPWR-DOC-ST-096-EUR-09-R00</t>
        </is>
      </c>
      <c r="B237" s="25" t="inlineStr">
        <is>
          <t>ST-096-EUR-09</t>
        </is>
      </c>
      <c r="C237" s="25" t="inlineStr">
        <is>
          <t>IA-ST-096-EUR-09</t>
        </is>
      </c>
      <c r="D237" s="25" t="inlineStr">
        <is>
          <t>L0 | Palet (4000038): 1 adet | Shrink film (4000555): 2.31 kg | Separatör (4000609): 5 adet</t>
        </is>
      </c>
      <c r="E237" s="25" t="inlineStr">
        <is>
          <t>L0 | Palet (4000038): 1 adet | Shrink film (4000555): 2.31 kg | Separatör (4000609): 5 adet / L0 | Pallet (4000038): 1 pc | Shrink film (4000555): 2.31 kg | Separator (4000609): 5 pcs</t>
        </is>
      </c>
      <c r="F237" s="25" t="inlineStr">
        <is>
          <t>IA-ST-CFG-0277</t>
        </is>
      </c>
      <c r="G237" s="25" t="inlineStr">
        <is>
          <t>IA-PPWR-TF-ST-096-EUR-09-R00</t>
        </is>
      </c>
      <c r="H237" s="25" t="inlineStr">
        <is>
          <t>2026-08-08</t>
        </is>
      </c>
      <c r="I237" s="25" t="inlineStr">
        <is>
          <t>Rev.00</t>
        </is>
      </c>
      <c r="J237" s="25" t="inlineStr">
        <is>
          <t>ACTIVE — unsigned</t>
        </is>
      </c>
      <c r="K237" s="31">
        <f>HYPERLINK("01_STARTER/ST-096-EUR-09/02_EU_DoC.docx","Open")</f>
        <v/>
      </c>
    </row>
    <row r="238">
      <c r="A238" s="25" t="inlineStr">
        <is>
          <t>IA-PPWR-DOC-ST-096-EUR-10-R00</t>
        </is>
      </c>
      <c r="B238" s="25" t="inlineStr">
        <is>
          <t>ST-096-EUR-10</t>
        </is>
      </c>
      <c r="C238" s="25" t="inlineStr">
        <is>
          <t>IA-ST-096-EUR-10</t>
        </is>
      </c>
      <c r="D238" s="25" t="inlineStr">
        <is>
          <t>L0 | Palet (4000038): 1 adet | Shrink film (4000555): kullanılmaz | Köşebent (4000590): 2 adet</t>
        </is>
      </c>
      <c r="E238" s="25" t="inlineStr">
        <is>
          <t>L0 | Palet (4000038): 1 adet | Shrink film (4000555): kullanılmaz | Köşebent (4000590): 2 adet / L0 | Pallet (4000038): 1 pc | Shrink film (4000555): not used | Edge protector (4000590): 2 pcs</t>
        </is>
      </c>
      <c r="F238" s="25" t="inlineStr">
        <is>
          <t>IA-ST-CFG-0278</t>
        </is>
      </c>
      <c r="G238" s="25" t="inlineStr">
        <is>
          <t>IA-PPWR-TF-ST-096-EUR-10-R00</t>
        </is>
      </c>
      <c r="H238" s="25" t="inlineStr">
        <is>
          <t>2026-08-08</t>
        </is>
      </c>
      <c r="I238" s="25" t="inlineStr">
        <is>
          <t>Rev.00</t>
        </is>
      </c>
      <c r="J238" s="25" t="inlineStr">
        <is>
          <t>ACTIVE — unsigned</t>
        </is>
      </c>
      <c r="K238" s="31">
        <f>HYPERLINK("01_STARTER/ST-096-EUR-10/02_EU_DoC.docx","Open")</f>
        <v/>
      </c>
    </row>
    <row r="239">
      <c r="A239" s="25" t="inlineStr">
        <is>
          <t>IA-PPWR-DOC-ST-096-STD-01-R00</t>
        </is>
      </c>
      <c r="B239" s="25" t="inlineStr">
        <is>
          <t>ST-096-STD-01</t>
        </is>
      </c>
      <c r="C239" s="25" t="inlineStr">
        <is>
          <t>IA-ST-096-STD-01</t>
        </is>
      </c>
      <c r="D239" s="25" t="inlineStr">
        <is>
          <t>L1 | L1 EAS Activa penceresiz dış koli (4000645): 96 adet</t>
        </is>
      </c>
      <c r="E239" s="25" t="inlineStr">
        <is>
          <t>L1 | L1 EAS Activa penceresiz dış koli (4000645): 96 adet / L1 | L1 EAS Activa windowless outer carton (4000645): 96 pcs</t>
        </is>
      </c>
      <c r="F239" s="25" t="inlineStr">
        <is>
          <t>IA-ST-CFG-0270</t>
        </is>
      </c>
      <c r="G239" s="25" t="inlineStr">
        <is>
          <t>IA-PPWR-TF-ST-096-STD-01-R00</t>
        </is>
      </c>
      <c r="H239" s="25" t="inlineStr">
        <is>
          <t>2026-08-08</t>
        </is>
      </c>
      <c r="I239" s="25" t="inlineStr">
        <is>
          <t>Rev.00</t>
        </is>
      </c>
      <c r="J239" s="25" t="inlineStr">
        <is>
          <t>ACTIVE — unsigned</t>
        </is>
      </c>
      <c r="K239" s="31">
        <f>HYPERLINK("01_STARTER/ST-096-STD-01/02_EU_DoC.docx","Open")</f>
        <v/>
      </c>
    </row>
    <row r="240">
      <c r="A240" s="25" t="inlineStr">
        <is>
          <t>IA-PPWR-DOC-ST-096-STD-02-R00</t>
        </is>
      </c>
      <c r="B240" s="25" t="inlineStr">
        <is>
          <t>ST-096-STD-02</t>
        </is>
      </c>
      <c r="C240" s="25" t="inlineStr">
        <is>
          <t>IA-ST-096-STD-02</t>
        </is>
      </c>
      <c r="D240" s="25" t="inlineStr">
        <is>
          <t>LB1 | LB1 İnci FORMULA-MAXIMA 2019 dış koli (4001201): 96 adet</t>
        </is>
      </c>
      <c r="E240" s="25" t="inlineStr">
        <is>
          <t>LB1 | LB1 İnci FORMULA-MAXIMA 2019 dış koli (4001201): 96 adet / LB1 | LB1 İnci FORMULA-MAXIMA 2019 outer carton (4001201): 96 pcs</t>
        </is>
      </c>
      <c r="F240" s="25" t="inlineStr">
        <is>
          <t>IA-ST-CFG-0271</t>
        </is>
      </c>
      <c r="G240" s="25" t="inlineStr">
        <is>
          <t>IA-PPWR-TF-ST-096-STD-02-R00</t>
        </is>
      </c>
      <c r="H240" s="25" t="inlineStr">
        <is>
          <t>2026-08-08</t>
        </is>
      </c>
      <c r="I240" s="25" t="inlineStr">
        <is>
          <t>Rev.00</t>
        </is>
      </c>
      <c r="J240" s="25" t="inlineStr">
        <is>
          <t>ACTIVE — unsigned</t>
        </is>
      </c>
      <c r="K240" s="31">
        <f>HYPERLINK("01_STARTER/ST-096-STD-02/02_EU_DoC.docx","Open")</f>
        <v/>
      </c>
    </row>
    <row r="241">
      <c r="A241" s="25" t="inlineStr">
        <is>
          <t>IA-PPWR-DOC-ST-096-STD-03-R00</t>
        </is>
      </c>
      <c r="B241" s="25" t="inlineStr">
        <is>
          <t>ST-096-STD-03</t>
        </is>
      </c>
      <c r="C241" s="25" t="inlineStr">
        <is>
          <t>IA-ST-096-STD-03</t>
        </is>
      </c>
      <c r="D241" s="25" t="inlineStr">
        <is>
          <t>NS60 | NS60 PVC üst kapak (4000602): 96 adet | Köşebent (4000590): 4 adet</t>
        </is>
      </c>
      <c r="E241" s="25" t="inlineStr">
        <is>
          <t>NS60 | NS60 PVC üst kapak (4000602): 96 adet | Köşebent (4000590): 4 adet / NS60 | NS60 PVC upper cover (4000602): 96 pcs | Edge protector (4000590): 4 pcs</t>
        </is>
      </c>
      <c r="F241" s="25" t="inlineStr">
        <is>
          <t>IA-ST-CFG-0272</t>
        </is>
      </c>
      <c r="G241" s="25" t="inlineStr">
        <is>
          <t>IA-PPWR-TF-ST-096-STD-03-R00</t>
        </is>
      </c>
      <c r="H241" s="25" t="inlineStr">
        <is>
          <t>2026-08-08</t>
        </is>
      </c>
      <c r="I241" s="25" t="inlineStr">
        <is>
          <t>Rev.00</t>
        </is>
      </c>
      <c r="J241" s="25" t="inlineStr">
        <is>
          <t>ACTIVE — unsigned</t>
        </is>
      </c>
      <c r="K241" s="31">
        <f>HYPERLINK("01_STARTER/ST-096-STD-03/02_EU_DoC.docx","Open")</f>
        <v/>
      </c>
    </row>
    <row r="242">
      <c r="A242" s="25" t="inlineStr">
        <is>
          <t>IA-PPWR-DOC-ST-096-STD-04-R00</t>
        </is>
      </c>
      <c r="B242" s="25" t="inlineStr">
        <is>
          <t>ST-096-STD-04</t>
        </is>
      </c>
      <c r="C242" s="25" t="inlineStr">
        <is>
          <t>IA-ST-096-STD-04</t>
        </is>
      </c>
      <c r="D242" s="25" t="inlineStr">
        <is>
          <t>NS60 | NS60 PVC üst kapak (4000602): 96 adet | Çember (4000450): kullanılmaz</t>
        </is>
      </c>
      <c r="E242" s="25" t="inlineStr">
        <is>
          <t>NS60 | NS60 PVC üst kapak (4000602): 96 adet | Çember (4000450): kullanılmaz / NS60 | NS60 PVC upper cover (4000602): 96 pcs | Strap (4000450): not used</t>
        </is>
      </c>
      <c r="F242" s="25" t="inlineStr">
        <is>
          <t>IA-ST-CFG-0273</t>
        </is>
      </c>
      <c r="G242" s="25" t="inlineStr">
        <is>
          <t>IA-PPWR-TF-ST-096-STD-04-R00</t>
        </is>
      </c>
      <c r="H242" s="25" t="inlineStr">
        <is>
          <t>2026-08-08</t>
        </is>
      </c>
      <c r="I242" s="25" t="inlineStr">
        <is>
          <t>Rev.00</t>
        </is>
      </c>
      <c r="J242" s="25" t="inlineStr">
        <is>
          <t>ACTIVE — unsigned</t>
        </is>
      </c>
      <c r="K242" s="31">
        <f>HYPERLINK("01_STARTER/ST-096-STD-04/02_EU_DoC.docx","Open")</f>
        <v/>
      </c>
    </row>
    <row r="243">
      <c r="A243" s="25" t="inlineStr">
        <is>
          <t>IA-PPWR-DOC-ST-096-STD-05-R00</t>
        </is>
      </c>
      <c r="B243" s="25" t="inlineStr">
        <is>
          <t>ST-096-STD-05</t>
        </is>
      </c>
      <c r="C243" s="25" t="inlineStr">
        <is>
          <t>IA-ST-096-STD-05</t>
        </is>
      </c>
      <c r="D243" s="25" t="inlineStr">
        <is>
          <t>NS60 | Palet (4000037): 1 adet | Shrink film (4001177): 0.597 kg</t>
        </is>
      </c>
      <c r="E243" s="25" t="inlineStr">
        <is>
          <t>NS60 | Palet (4000037): 1 adet | Shrink film (4001177): 0.597 kg / NS60 | Pallet (4000037): 1 pc | Shrink film (4001177): 0.597 kg</t>
        </is>
      </c>
      <c r="F243" s="25" t="inlineStr">
        <is>
          <t>IA-ST-CFG-0274</t>
        </is>
      </c>
      <c r="G243" s="25" t="inlineStr">
        <is>
          <t>IA-PPWR-TF-ST-096-STD-05-R00</t>
        </is>
      </c>
      <c r="H243" s="25" t="inlineStr">
        <is>
          <t>2026-08-08</t>
        </is>
      </c>
      <c r="I243" s="25" t="inlineStr">
        <is>
          <t>Rev.00</t>
        </is>
      </c>
      <c r="J243" s="25" t="inlineStr">
        <is>
          <t>ACTIVE — unsigned</t>
        </is>
      </c>
      <c r="K243" s="31">
        <f>HYPERLINK("01_STARTER/ST-096-STD-05/02_EU_DoC.docx","Open")</f>
        <v/>
      </c>
    </row>
    <row r="244">
      <c r="A244" s="25" t="inlineStr">
        <is>
          <t>IA-PPWR-DOC-ST-105-STD-01-R00</t>
        </is>
      </c>
      <c r="B244" s="25" t="inlineStr">
        <is>
          <t>ST-105-STD-01</t>
        </is>
      </c>
      <c r="C244" s="25" t="inlineStr">
        <is>
          <t>IA-ST-105-STD-01</t>
        </is>
      </c>
      <c r="D244" s="25" t="inlineStr">
        <is>
          <t>NS40 | NS40 EAS Activa penceresiz B00 dış koli (4000630): 105 adet</t>
        </is>
      </c>
      <c r="E244" s="25" t="inlineStr">
        <is>
          <t>NS40 | NS40 EAS Activa penceresiz B00 dış koli (4000630): 105 adet / NS40 | NS40 EAS Activa windowless B00 outer carton (4000630): 105 pcs</t>
        </is>
      </c>
      <c r="F244" s="25" t="inlineStr">
        <is>
          <t>IA-ST-CFG-0282</t>
        </is>
      </c>
      <c r="G244" s="25" t="inlineStr">
        <is>
          <t>IA-PPWR-TF-ST-105-STD-01-R00</t>
        </is>
      </c>
      <c r="H244" s="25" t="inlineStr">
        <is>
          <t>2026-08-08</t>
        </is>
      </c>
      <c r="I244" s="25" t="inlineStr">
        <is>
          <t>Rev.00</t>
        </is>
      </c>
      <c r="J244" s="25" t="inlineStr">
        <is>
          <t>ACTIVE — unsigned</t>
        </is>
      </c>
      <c r="K244" s="31">
        <f>HYPERLINK("01_STARTER/ST-105-STD-01/02_EU_DoC.docx","Open")</f>
        <v/>
      </c>
    </row>
    <row r="245">
      <c r="A245" s="25" t="inlineStr">
        <is>
          <t>IA-PPWR-DOC-ST-105-STD-02-R00</t>
        </is>
      </c>
      <c r="B245" s="25" t="inlineStr">
        <is>
          <t>ST-105-STD-02</t>
        </is>
      </c>
      <c r="C245" s="25" t="inlineStr">
        <is>
          <t>IA-ST-105-STD-02</t>
        </is>
      </c>
      <c r="D245" s="25" t="inlineStr">
        <is>
          <t>NS40 | NS40 İnci FORMULA-MAXIMA B00 2019 dış koli (4001212): 105 adet</t>
        </is>
      </c>
      <c r="E245" s="25" t="inlineStr">
        <is>
          <t>NS40 | NS40 İnci FORMULA-MAXIMA B00 2019 dış koli (4001212): 105 adet / NS40 | NS40 İnci FORMULA-MAXIMA B00 2019 outer carton (4001212): 105 pcs</t>
        </is>
      </c>
      <c r="F245" s="25" t="inlineStr">
        <is>
          <t>IA-ST-CFG-0283</t>
        </is>
      </c>
      <c r="G245" s="25" t="inlineStr">
        <is>
          <t>IA-PPWR-TF-ST-105-STD-02-R00</t>
        </is>
      </c>
      <c r="H245" s="25" t="inlineStr">
        <is>
          <t>2026-08-08</t>
        </is>
      </c>
      <c r="I245" s="25" t="inlineStr">
        <is>
          <t>Rev.00</t>
        </is>
      </c>
      <c r="J245" s="25" t="inlineStr">
        <is>
          <t>ACTIVE — unsigned</t>
        </is>
      </c>
      <c r="K245" s="31">
        <f>HYPERLINK("01_STARTER/ST-105-STD-02/02_EU_DoC.docx","Open")</f>
        <v/>
      </c>
    </row>
    <row r="246">
      <c r="A246" s="25" t="inlineStr">
        <is>
          <t>IA-PPWR-DOC-ST-120-STD-01-R00</t>
        </is>
      </c>
      <c r="B246" s="25" t="inlineStr">
        <is>
          <t>ST-120-STD-01</t>
        </is>
      </c>
      <c r="C246" s="25" t="inlineStr">
        <is>
          <t>IA-ST-120-STD-01</t>
        </is>
      </c>
      <c r="D246" s="25" t="inlineStr">
        <is>
          <t>NS40 | NS40 PVC üst kapak (4000601): 120 adet | Köşebent (4000590): 4 adet</t>
        </is>
      </c>
      <c r="E246" s="25" t="inlineStr">
        <is>
          <t>NS40 | NS40 PVC üst kapak (4000601): 120 adet | Köşebent (4000590): 4 adet / NS40 | NS40 PVC upper cover (4000601): 120 pcs | Edge protector (4000590): 4 pcs</t>
        </is>
      </c>
      <c r="F246" s="25" t="inlineStr">
        <is>
          <t>IA-ST-CFG-0284</t>
        </is>
      </c>
      <c r="G246" s="25" t="inlineStr">
        <is>
          <t>IA-PPWR-TF-ST-120-STD-01-R00</t>
        </is>
      </c>
      <c r="H246" s="25" t="inlineStr">
        <is>
          <t>2026-08-08</t>
        </is>
      </c>
      <c r="I246" s="25" t="inlineStr">
        <is>
          <t>Rev.00</t>
        </is>
      </c>
      <c r="J246" s="25" t="inlineStr">
        <is>
          <t>ACTIVE — unsigned</t>
        </is>
      </c>
      <c r="K246" s="31">
        <f>HYPERLINK("01_STARTER/ST-120-STD-01/02_EU_DoC.docx","Open")</f>
        <v/>
      </c>
    </row>
    <row r="247">
      <c r="A247" s="25" t="inlineStr">
        <is>
          <t>IA-PPWR-DOC-ST-120-STD-02-R00</t>
        </is>
      </c>
      <c r="B247" s="25" t="inlineStr">
        <is>
          <t>ST-120-STD-02</t>
        </is>
      </c>
      <c r="C247" s="25" t="inlineStr">
        <is>
          <t>IA-ST-120-STD-02</t>
        </is>
      </c>
      <c r="D247" s="25" t="inlineStr">
        <is>
          <t>NS40 | NS40 PVC üst kapak (4000601): 120 adet | Çember (4000450): kullanılmaz</t>
        </is>
      </c>
      <c r="E247" s="25" t="inlineStr">
        <is>
          <t>NS40 | NS40 PVC üst kapak (4000601): 120 adet | Çember (4000450): kullanılmaz / NS40 | NS40 PVC upper cover (4000601): 120 pcs | Strap (4000450): not used</t>
        </is>
      </c>
      <c r="F247" s="25" t="inlineStr">
        <is>
          <t>IA-ST-CFG-0285</t>
        </is>
      </c>
      <c r="G247" s="25" t="inlineStr">
        <is>
          <t>IA-PPWR-TF-ST-120-STD-02-R00</t>
        </is>
      </c>
      <c r="H247" s="25" t="inlineStr">
        <is>
          <t>2026-08-08</t>
        </is>
      </c>
      <c r="I247" s="25" t="inlineStr">
        <is>
          <t>Rev.00</t>
        </is>
      </c>
      <c r="J247" s="25" t="inlineStr">
        <is>
          <t>ACTIVE — unsigned</t>
        </is>
      </c>
      <c r="K247" s="31">
        <f>HYPERLINK("01_STARTER/ST-120-STD-02/02_EU_DoC.docx","Open")</f>
        <v/>
      </c>
    </row>
    <row r="248">
      <c r="A248" s="25" t="inlineStr">
        <is>
          <t>IA-PPWR-DOC-ST-120-STD-03-R00</t>
        </is>
      </c>
      <c r="B248" s="25" t="inlineStr">
        <is>
          <t>ST-120-STD-03</t>
        </is>
      </c>
      <c r="C248" s="25" t="inlineStr">
        <is>
          <t>IA-ST-120-STD-03</t>
        </is>
      </c>
      <c r="D248" s="25" t="inlineStr">
        <is>
          <t>NS40 | Palet (4000037): 1 adet | Shrink film (4001177): 0.597 kg</t>
        </is>
      </c>
      <c r="E248" s="25" t="inlineStr">
        <is>
          <t>NS40 | Palet (4000037): 1 adet | Shrink film (4001177): 0.597 kg / NS40 | Pallet (4000037): 1 pc | Shrink film (4001177): 0.597 kg</t>
        </is>
      </c>
      <c r="F248" s="25" t="inlineStr">
        <is>
          <t>IA-ST-CFG-0286</t>
        </is>
      </c>
      <c r="G248" s="25" t="inlineStr">
        <is>
          <t>IA-PPWR-TF-ST-120-STD-03-R00</t>
        </is>
      </c>
      <c r="H248" s="25" t="inlineStr">
        <is>
          <t>2026-08-08</t>
        </is>
      </c>
      <c r="I248" s="25" t="inlineStr">
        <is>
          <t>Rev.00</t>
        </is>
      </c>
      <c r="J248" s="25" t="inlineStr">
        <is>
          <t>ACTIVE — unsigned</t>
        </is>
      </c>
      <c r="K248" s="31">
        <f>HYPERLINK("01_STARTER/ST-120-STD-03/02_EU_DoC.docx","Open")</f>
        <v/>
      </c>
    </row>
  </sheetData>
  <autoFilter ref="A1:K24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8" customHeight="1">
      <c r="A1" s="23" t="inlineStr">
        <is>
          <t>Label ID</t>
        </is>
      </c>
      <c r="B1" s="23" t="inlineStr">
        <is>
          <t>Packaging Set Code</t>
        </is>
      </c>
      <c r="C1" s="23" t="inlineStr">
        <is>
          <t>Configuration ID</t>
        </is>
      </c>
      <c r="D1" s="23" t="inlineStr">
        <is>
          <t>Variant Basis</t>
        </is>
      </c>
      <c r="E1" s="23" t="inlineStr">
        <is>
          <t>Material Families</t>
        </is>
      </c>
      <c r="F1" s="23" t="inlineStr">
        <is>
          <t>TF ID</t>
        </is>
      </c>
      <c r="G1" s="23" t="inlineStr">
        <is>
          <t>DoC ID</t>
        </is>
      </c>
      <c r="H1" s="23" t="inlineStr">
        <is>
          <t>Revision</t>
        </is>
      </c>
      <c r="I1" s="23" t="inlineStr">
        <is>
          <t>Open Label</t>
        </is>
      </c>
    </row>
    <row r="2">
      <c r="A2" s="25" t="inlineStr">
        <is>
          <t>IA-PPWR-LBL-CNT-20-EUR-01-R00</t>
        </is>
      </c>
      <c r="B2" s="25" t="inlineStr">
        <is>
          <t>CNT-20-EUR-01</t>
        </is>
      </c>
      <c r="C2" s="25" t="inlineStr">
        <is>
          <t>IA-CNT-20-EUR-01</t>
        </is>
      </c>
      <c r="D2" s="25" t="inlineStr">
        <is>
          <t>Container loading | OSB (5501806): 11 adet | Separatör (4000130): 10 adet</t>
        </is>
      </c>
      <c r="E2" s="25" t="inlineStr">
        <is>
          <t>See Technical File material-family summary</t>
        </is>
      </c>
      <c r="F2" s="25" t="inlineStr">
        <is>
          <t>IA-PPWR-TF-CNT-20-EUR-01-R00</t>
        </is>
      </c>
      <c r="G2" s="25" t="inlineStr">
        <is>
          <t>IA-PPWR-DOC-CNT-20-EUR-01-R00</t>
        </is>
      </c>
      <c r="H2" s="25" t="inlineStr">
        <is>
          <t>Rev.00</t>
        </is>
      </c>
      <c r="I2" s="31">
        <f>HYPERLINK("03_CONTAINER/CNT-20-EUR-01/03_Label.docx","Open")</f>
        <v/>
      </c>
    </row>
    <row r="3">
      <c r="A3" s="25" t="inlineStr">
        <is>
          <t>IA-PPWR-LBL-CNT-20-STD-01-R00</t>
        </is>
      </c>
      <c r="B3" s="25" t="inlineStr">
        <is>
          <t>CNT-20-STD-01</t>
        </is>
      </c>
      <c r="C3" s="25" t="inlineStr">
        <is>
          <t>IA-CNT-20-STD-01</t>
        </is>
      </c>
      <c r="D3" s="25" t="inlineStr">
        <is>
          <t>Container loading | OSB (5501805): 10 adet | Separatör (4000130): 10 adet</t>
        </is>
      </c>
      <c r="E3" s="25" t="inlineStr">
        <is>
          <t>See Technical File material-family summary</t>
        </is>
      </c>
      <c r="F3" s="25" t="inlineStr">
        <is>
          <t>IA-PPWR-TF-CNT-20-STD-01-R00</t>
        </is>
      </c>
      <c r="G3" s="25" t="inlineStr">
        <is>
          <t>IA-PPWR-DOC-CNT-20-STD-01-R00</t>
        </is>
      </c>
      <c r="H3" s="25" t="inlineStr">
        <is>
          <t>Rev.00</t>
        </is>
      </c>
      <c r="I3" s="31">
        <f>HYPERLINK("03_CONTAINER/CNT-20-STD-01/03_Label.docx","Open")</f>
        <v/>
      </c>
    </row>
    <row r="4">
      <c r="A4" s="25" t="inlineStr">
        <is>
          <t>IA-PPWR-LBL-CNT-40-IND-01-R00</t>
        </is>
      </c>
      <c r="B4" s="25" t="inlineStr">
        <is>
          <t>CNT-40-IND-01</t>
        </is>
      </c>
      <c r="C4" s="25" t="inlineStr">
        <is>
          <t>IA-CNT-40-IND-01</t>
        </is>
      </c>
      <c r="D4" s="25" t="inlineStr">
        <is>
          <t>Container loading | Hava yastığı (5500759): 26 adet | Bağlama halatı (5500762): 12 m</t>
        </is>
      </c>
      <c r="E4" s="25" t="inlineStr">
        <is>
          <t>See Technical File material-family summary</t>
        </is>
      </c>
      <c r="F4" s="25" t="inlineStr">
        <is>
          <t>IA-PPWR-TF-CNT-40-IND-01-R00</t>
        </is>
      </c>
      <c r="G4" s="25" t="inlineStr">
        <is>
          <t>IA-PPWR-DOC-CNT-40-IND-01-R00</t>
        </is>
      </c>
      <c r="H4" s="25" t="inlineStr">
        <is>
          <t>Rev.00</t>
        </is>
      </c>
      <c r="I4" s="31">
        <f>HYPERLINK("03_CONTAINER/CNT-40-IND-01/03_Label.docx","Open")</f>
        <v/>
      </c>
    </row>
    <row r="5">
      <c r="A5" s="25" t="inlineStr">
        <is>
          <t>IA-PPWR-LBL-CNT-DE-HAM-01-R00</t>
        </is>
      </c>
      <c r="B5" s="25" t="inlineStr">
        <is>
          <t>CNT-DE-HAM-01</t>
        </is>
      </c>
      <c r="C5" s="25" t="inlineStr">
        <is>
          <t>IA-CNT-DE-HAM-01</t>
        </is>
      </c>
      <c r="D5" s="25" t="inlineStr">
        <is>
          <t>Container loading | Sabitleme Tahtası ( 206×9×9 ) (Hamburg): 2 adet</t>
        </is>
      </c>
      <c r="E5" s="25" t="inlineStr">
        <is>
          <t>See Technical File material-family summary</t>
        </is>
      </c>
      <c r="F5" s="25" t="inlineStr">
        <is>
          <t>IA-PPWR-TF-CNT-DE-HAM-01-R00</t>
        </is>
      </c>
      <c r="G5" s="25" t="inlineStr">
        <is>
          <t>IA-PPWR-DOC-CNT-DE-HAM-01-R00</t>
        </is>
      </c>
      <c r="H5" s="25" t="inlineStr">
        <is>
          <t>Rev.00</t>
        </is>
      </c>
      <c r="I5" s="31">
        <f>HYPERLINK("03_CONTAINER/CNT-DE-HAM-01/03_Label.docx","Open")</f>
        <v/>
      </c>
    </row>
    <row r="6">
      <c r="A6" s="25" t="inlineStr">
        <is>
          <t>IA-PPWR-LBL-IND-24V-01-R00</t>
        </is>
      </c>
      <c r="B6" s="25" t="inlineStr">
        <is>
          <t>IND-24V-01</t>
        </is>
      </c>
      <c r="C6" s="25" t="inlineStr">
        <is>
          <t>IA-IND-24V-01</t>
        </is>
      </c>
      <c r="D6" s="25" t="inlineStr">
        <is>
          <t>24V | Palet (4001005): 1 adet</t>
        </is>
      </c>
      <c r="E6" s="25" t="inlineStr">
        <is>
          <t>See Technical File material-family summary</t>
        </is>
      </c>
      <c r="F6" s="25" t="inlineStr">
        <is>
          <t>IA-PPWR-TF-IND-24V-01-R00</t>
        </is>
      </c>
      <c r="G6" s="25" t="inlineStr">
        <is>
          <t>IA-PPWR-DOC-IND-24V-01-R00</t>
        </is>
      </c>
      <c r="H6" s="25" t="inlineStr">
        <is>
          <t>Rev.00</t>
        </is>
      </c>
      <c r="I6" s="31">
        <f>HYPERLINK("02_INDUSTRIAL/IND-24V-01/03_Label.docx","Open")</f>
        <v/>
      </c>
    </row>
    <row r="7">
      <c r="A7" s="25" t="inlineStr">
        <is>
          <t>IA-PPWR-LBL-IND-48V-01-R00</t>
        </is>
      </c>
      <c r="B7" s="25" t="inlineStr">
        <is>
          <t>IND-48V-01</t>
        </is>
      </c>
      <c r="C7" s="25" t="inlineStr">
        <is>
          <t>IA-IND-48V-01</t>
        </is>
      </c>
      <c r="D7" s="25" t="inlineStr">
        <is>
          <t>48V | Palet (4001005): 1 adet</t>
        </is>
      </c>
      <c r="E7" s="25" t="inlineStr">
        <is>
          <t>See Technical File material-family summary</t>
        </is>
      </c>
      <c r="F7" s="25" t="inlineStr">
        <is>
          <t>IA-PPWR-TF-IND-48V-01-R00</t>
        </is>
      </c>
      <c r="G7" s="25" t="inlineStr">
        <is>
          <t>IA-PPWR-DOC-IND-48V-01-R00</t>
        </is>
      </c>
      <c r="H7" s="25" t="inlineStr">
        <is>
          <t>Rev.00</t>
        </is>
      </c>
      <c r="I7" s="31">
        <f>HYPERLINK("02_INDUSTRIAL/IND-48V-01/03_Label.docx","Open")</f>
        <v/>
      </c>
    </row>
    <row r="8">
      <c r="A8" s="25" t="inlineStr">
        <is>
          <t>IA-PPWR-LBL-IND-80V-01-R00</t>
        </is>
      </c>
      <c r="B8" s="25" t="inlineStr">
        <is>
          <t>IND-80V-01</t>
        </is>
      </c>
      <c r="C8" s="25" t="inlineStr">
        <is>
          <t>IA-IND-80V-01</t>
        </is>
      </c>
      <c r="D8" s="25" t="inlineStr">
        <is>
          <t>80V | Palet (4000973): 1 adet</t>
        </is>
      </c>
      <c r="E8" s="25" t="inlineStr">
        <is>
          <t>See Technical File material-family summary</t>
        </is>
      </c>
      <c r="F8" s="25" t="inlineStr">
        <is>
          <t>IA-PPWR-TF-IND-80V-01-R00</t>
        </is>
      </c>
      <c r="G8" s="25" t="inlineStr">
        <is>
          <t>IA-PPWR-DOC-IND-80V-01-R00</t>
        </is>
      </c>
      <c r="H8" s="25" t="inlineStr">
        <is>
          <t>Rev.00</t>
        </is>
      </c>
      <c r="I8" s="31">
        <f>HYPERLINK("02_INDUSTRIAL/IND-80V-01/03_Label.docx","Open")</f>
        <v/>
      </c>
    </row>
    <row r="9">
      <c r="A9" s="25" t="inlineStr">
        <is>
          <t>IA-PPWR-LBL-ST-012-EUR-01-R00</t>
        </is>
      </c>
      <c r="B9" s="25" t="inlineStr">
        <is>
          <t>ST-012-EUR-01</t>
        </is>
      </c>
      <c r="C9" s="25" t="inlineStr">
        <is>
          <t>IA-ST-012-EUR-01</t>
        </is>
      </c>
      <c r="D9" s="25" t="inlineStr">
        <is>
          <t>C | Palet (4000038): 1 adet | Köşebent (4000590): 4 adet</t>
        </is>
      </c>
      <c r="E9" s="25" t="inlineStr">
        <is>
          <t>See Technical File material-family summary</t>
        </is>
      </c>
      <c r="F9" s="25" t="inlineStr">
        <is>
          <t>IA-PPWR-TF-ST-012-EUR-01-R00</t>
        </is>
      </c>
      <c r="G9" s="25" t="inlineStr">
        <is>
          <t>IA-PPWR-DOC-ST-012-EUR-01-R00</t>
        </is>
      </c>
      <c r="H9" s="25" t="inlineStr">
        <is>
          <t>Rev.00</t>
        </is>
      </c>
      <c r="I9" s="31">
        <f>HYPERLINK("01_STARTER/ST-012-EUR-01/03_Label.docx","Open")</f>
        <v/>
      </c>
    </row>
    <row r="10">
      <c r="A10" s="25" t="inlineStr">
        <is>
          <t>IA-PPWR-LBL-ST-012-EUR-02-R00</t>
        </is>
      </c>
      <c r="B10" s="25" t="inlineStr">
        <is>
          <t>ST-012-EUR-02</t>
        </is>
      </c>
      <c r="C10" s="25" t="inlineStr">
        <is>
          <t>IA-ST-012-EUR-02</t>
        </is>
      </c>
      <c r="D10" s="25" t="inlineStr">
        <is>
          <t>L6 | Palet (4000038): 1 adet | Köşebent (4000590): 4 adet</t>
        </is>
      </c>
      <c r="E10" s="25" t="inlineStr">
        <is>
          <t>See Technical File material-family summary</t>
        </is>
      </c>
      <c r="F10" s="25" t="inlineStr">
        <is>
          <t>IA-PPWR-TF-ST-012-EUR-02-R00</t>
        </is>
      </c>
      <c r="G10" s="25" t="inlineStr">
        <is>
          <t>IA-PPWR-DOC-ST-012-EUR-02-R00</t>
        </is>
      </c>
      <c r="H10" s="25" t="inlineStr">
        <is>
          <t>Rev.00</t>
        </is>
      </c>
      <c r="I10" s="31">
        <f>HYPERLINK("01_STARTER/ST-012-EUR-02/03_Label.docx","Open")</f>
        <v/>
      </c>
    </row>
    <row r="11">
      <c r="A11" s="25" t="inlineStr">
        <is>
          <t>IA-PPWR-LBL-ST-012-EUR-03-R00</t>
        </is>
      </c>
      <c r="B11" s="25" t="inlineStr">
        <is>
          <t>ST-012-EUR-03</t>
        </is>
      </c>
      <c r="C11" s="25" t="inlineStr">
        <is>
          <t>IA-ST-012-EUR-03</t>
        </is>
      </c>
      <c r="D11" s="25" t="inlineStr">
        <is>
          <t>C | Palet (4000038): 1 adet | Köşebent (4000590): 2 adet</t>
        </is>
      </c>
      <c r="E11" s="25" t="inlineStr">
        <is>
          <t>See Technical File material-family summary</t>
        </is>
      </c>
      <c r="F11" s="25" t="inlineStr">
        <is>
          <t>IA-PPWR-TF-ST-012-EUR-03-R00</t>
        </is>
      </c>
      <c r="G11" s="25" t="inlineStr">
        <is>
          <t>IA-PPWR-DOC-ST-012-EUR-03-R00</t>
        </is>
      </c>
      <c r="H11" s="25" t="inlineStr">
        <is>
          <t>Rev.00</t>
        </is>
      </c>
      <c r="I11" s="31">
        <f>HYPERLINK("01_STARTER/ST-012-EUR-03/03_Label.docx","Open")</f>
        <v/>
      </c>
    </row>
    <row r="12">
      <c r="A12" s="25" t="inlineStr">
        <is>
          <t>IA-PPWR-LBL-ST-018-EUR-01-R00</t>
        </is>
      </c>
      <c r="B12" s="25" t="inlineStr">
        <is>
          <t>ST-018-EUR-01</t>
        </is>
      </c>
      <c r="C12" s="25" t="inlineStr">
        <is>
          <t>IA-ST-018-EUR-01</t>
        </is>
      </c>
      <c r="D12" s="25" t="inlineStr">
        <is>
          <t>C | Palet (4000038): 1 adet | Köşebent (4001160): 4 adet</t>
        </is>
      </c>
      <c r="E12" s="25" t="inlineStr">
        <is>
          <t>See Technical File material-family summary</t>
        </is>
      </c>
      <c r="F12" s="25" t="inlineStr">
        <is>
          <t>IA-PPWR-TF-ST-018-EUR-01-R00</t>
        </is>
      </c>
      <c r="G12" s="25" t="inlineStr">
        <is>
          <t>IA-PPWR-DOC-ST-018-EUR-01-R00</t>
        </is>
      </c>
      <c r="H12" s="25" t="inlineStr">
        <is>
          <t>Rev.00</t>
        </is>
      </c>
      <c r="I12" s="31">
        <f>HYPERLINK("01_STARTER/ST-018-EUR-01/03_Label.docx","Open")</f>
        <v/>
      </c>
    </row>
    <row r="13">
      <c r="A13" s="25" t="inlineStr">
        <is>
          <t>IA-PPWR-LBL-ST-018-EUR-02-R00</t>
        </is>
      </c>
      <c r="B13" s="25" t="inlineStr">
        <is>
          <t>ST-018-EUR-02</t>
        </is>
      </c>
      <c r="C13" s="25" t="inlineStr">
        <is>
          <t>IA-ST-018-EUR-02</t>
        </is>
      </c>
      <c r="D13" s="25" t="inlineStr">
        <is>
          <t>C | Palet (4000038): 1 adet | Köşebent (4000590): 4 adet</t>
        </is>
      </c>
      <c r="E13" s="25" t="inlineStr">
        <is>
          <t>See Technical File material-family summary</t>
        </is>
      </c>
      <c r="F13" s="25" t="inlineStr">
        <is>
          <t>IA-PPWR-TF-ST-018-EUR-02-R00</t>
        </is>
      </c>
      <c r="G13" s="25" t="inlineStr">
        <is>
          <t>IA-PPWR-DOC-ST-018-EUR-02-R00</t>
        </is>
      </c>
      <c r="H13" s="25" t="inlineStr">
        <is>
          <t>Rev.00</t>
        </is>
      </c>
      <c r="I13" s="31">
        <f>HYPERLINK("01_STARTER/ST-018-EUR-02/03_Label.docx","Open")</f>
        <v/>
      </c>
    </row>
    <row r="14">
      <c r="A14" s="25" t="inlineStr">
        <is>
          <t>IA-PPWR-LBL-ST-018-EUR-03-R00</t>
        </is>
      </c>
      <c r="B14" s="25" t="inlineStr">
        <is>
          <t>ST-018-EUR-03</t>
        </is>
      </c>
      <c r="C14" s="25" t="inlineStr">
        <is>
          <t>IA-ST-018-EUR-03</t>
        </is>
      </c>
      <c r="D14" s="25" t="inlineStr">
        <is>
          <t>C | Palet (4000038): 1 adet | Shrink film (4000557): 1.08 kg | Köşebent (4000590): 2 adet</t>
        </is>
      </c>
      <c r="E14" s="25" t="inlineStr">
        <is>
          <t>See Technical File material-family summary</t>
        </is>
      </c>
      <c r="F14" s="25" t="inlineStr">
        <is>
          <t>IA-PPWR-TF-ST-018-EUR-03-R00</t>
        </is>
      </c>
      <c r="G14" s="25" t="inlineStr">
        <is>
          <t>IA-PPWR-DOC-ST-018-EUR-03-R00</t>
        </is>
      </c>
      <c r="H14" s="25" t="inlineStr">
        <is>
          <t>Rev.00</t>
        </is>
      </c>
      <c r="I14" s="31">
        <f>HYPERLINK("01_STARTER/ST-018-EUR-03/03_Label.docx","Open")</f>
        <v/>
      </c>
    </row>
    <row r="15">
      <c r="A15" s="25" t="inlineStr">
        <is>
          <t>IA-PPWR-LBL-ST-018-EUR-04-R00</t>
        </is>
      </c>
      <c r="B15" s="25" t="inlineStr">
        <is>
          <t>ST-018-EUR-04</t>
        </is>
      </c>
      <c r="C15" s="25" t="inlineStr">
        <is>
          <t>IA-ST-018-EUR-04</t>
        </is>
      </c>
      <c r="D15" s="25" t="inlineStr">
        <is>
          <t>C | Palet (4000038): 1 adet | Honeycomb (4001186): 3 adet</t>
        </is>
      </c>
      <c r="E15" s="25" t="inlineStr">
        <is>
          <t>See Technical File material-family summary</t>
        </is>
      </c>
      <c r="F15" s="25" t="inlineStr">
        <is>
          <t>IA-PPWR-TF-ST-018-EUR-04-R00</t>
        </is>
      </c>
      <c r="G15" s="25" t="inlineStr">
        <is>
          <t>IA-PPWR-DOC-ST-018-EUR-04-R00</t>
        </is>
      </c>
      <c r="H15" s="25" t="inlineStr">
        <is>
          <t>Rev.00</t>
        </is>
      </c>
      <c r="I15" s="31">
        <f>HYPERLINK("01_STARTER/ST-018-EUR-04/03_Label.docx","Open")</f>
        <v/>
      </c>
    </row>
    <row r="16">
      <c r="A16" s="25" t="inlineStr">
        <is>
          <t>IA-PPWR-LBL-ST-018-EUR-05-R00</t>
        </is>
      </c>
      <c r="B16" s="25" t="inlineStr">
        <is>
          <t>ST-018-EUR-05</t>
        </is>
      </c>
      <c r="C16" s="25" t="inlineStr">
        <is>
          <t>IA-ST-018-EUR-05</t>
        </is>
      </c>
      <c r="D16" s="25" t="inlineStr">
        <is>
          <t>C | Palet (4000038): 1 adet | Çember (4000450): kullanılmaz</t>
        </is>
      </c>
      <c r="E16" s="25" t="inlineStr">
        <is>
          <t>See Technical File material-family summary</t>
        </is>
      </c>
      <c r="F16" s="25" t="inlineStr">
        <is>
          <t>IA-PPWR-TF-ST-018-EUR-05-R00</t>
        </is>
      </c>
      <c r="G16" s="25" t="inlineStr">
        <is>
          <t>IA-PPWR-DOC-ST-018-EUR-05-R00</t>
        </is>
      </c>
      <c r="H16" s="25" t="inlineStr">
        <is>
          <t>Rev.00</t>
        </is>
      </c>
      <c r="I16" s="31">
        <f>HYPERLINK("01_STARTER/ST-018-EUR-05/03_Label.docx","Open")</f>
        <v/>
      </c>
    </row>
    <row r="17">
      <c r="A17" s="25" t="inlineStr">
        <is>
          <t>IA-PPWR-LBL-ST-021-EUR-01-R00</t>
        </is>
      </c>
      <c r="B17" s="25" t="inlineStr">
        <is>
          <t>ST-021-EUR-01</t>
        </is>
      </c>
      <c r="C17" s="25" t="inlineStr">
        <is>
          <t>IA-ST-021-EUR-01</t>
        </is>
      </c>
      <c r="D17" s="25" t="inlineStr">
        <is>
          <t>B | B TİPİ PVC üst kapak (4000591): 21 adet</t>
        </is>
      </c>
      <c r="E17" s="25" t="inlineStr">
        <is>
          <t>See Technical File material-family summary</t>
        </is>
      </c>
      <c r="F17" s="25" t="inlineStr">
        <is>
          <t>IA-PPWR-TF-ST-021-EUR-01-R00</t>
        </is>
      </c>
      <c r="G17" s="25" t="inlineStr">
        <is>
          <t>IA-PPWR-DOC-ST-021-EUR-01-R00</t>
        </is>
      </c>
      <c r="H17" s="25" t="inlineStr">
        <is>
          <t>Rev.00</t>
        </is>
      </c>
      <c r="I17" s="31">
        <f>HYPERLINK("01_STARTER/ST-021-EUR-01/03_Label.docx","Open")</f>
        <v/>
      </c>
    </row>
    <row r="18">
      <c r="A18" s="25" t="inlineStr">
        <is>
          <t>IA-PPWR-LBL-ST-021-EUR-02-R00</t>
        </is>
      </c>
      <c r="B18" s="25" t="inlineStr">
        <is>
          <t>ST-021-EUR-02</t>
        </is>
      </c>
      <c r="C18" s="25" t="inlineStr">
        <is>
          <t>IA-ST-021-EUR-02</t>
        </is>
      </c>
      <c r="D18" s="25" t="inlineStr">
        <is>
          <t>B | Palet (4000038): 1 adet | Köşebent (4000590): 4 adet</t>
        </is>
      </c>
      <c r="E18" s="25" t="inlineStr">
        <is>
          <t>See Technical File material-family summary</t>
        </is>
      </c>
      <c r="F18" s="25" t="inlineStr">
        <is>
          <t>IA-PPWR-TF-ST-021-EUR-02-R00</t>
        </is>
      </c>
      <c r="G18" s="25" t="inlineStr">
        <is>
          <t>IA-PPWR-DOC-ST-021-EUR-02-R00</t>
        </is>
      </c>
      <c r="H18" s="25" t="inlineStr">
        <is>
          <t>Rev.00</t>
        </is>
      </c>
      <c r="I18" s="31">
        <f>HYPERLINK("01_STARTER/ST-021-EUR-02/03_Label.docx","Open")</f>
        <v/>
      </c>
    </row>
    <row r="19">
      <c r="A19" s="25" t="inlineStr">
        <is>
          <t>IA-PPWR-LBL-ST-021-EUR-03-R00</t>
        </is>
      </c>
      <c r="B19" s="25" t="inlineStr">
        <is>
          <t>ST-021-EUR-03</t>
        </is>
      </c>
      <c r="C19" s="25" t="inlineStr">
        <is>
          <t>IA-ST-021-EUR-03</t>
        </is>
      </c>
      <c r="D19" s="25" t="inlineStr">
        <is>
          <t>B | Palet (4000038): 1 adet | Shrink film (4000557): 1.155 kg | EPS (4001290): 21 adet</t>
        </is>
      </c>
      <c r="E19" s="25" t="inlineStr">
        <is>
          <t>See Technical File material-family summary</t>
        </is>
      </c>
      <c r="F19" s="25" t="inlineStr">
        <is>
          <t>IA-PPWR-TF-ST-021-EUR-03-R00</t>
        </is>
      </c>
      <c r="G19" s="25" t="inlineStr">
        <is>
          <t>IA-PPWR-DOC-ST-021-EUR-03-R00</t>
        </is>
      </c>
      <c r="H19" s="25" t="inlineStr">
        <is>
          <t>Rev.00</t>
        </is>
      </c>
      <c r="I19" s="31">
        <f>HYPERLINK("01_STARTER/ST-021-EUR-03/03_Label.docx","Open")</f>
        <v/>
      </c>
    </row>
    <row r="20">
      <c r="A20" s="25" t="inlineStr">
        <is>
          <t>IA-PPWR-LBL-ST-021-EUR-04-R00</t>
        </is>
      </c>
      <c r="B20" s="25" t="inlineStr">
        <is>
          <t>ST-021-EUR-04</t>
        </is>
      </c>
      <c r="C20" s="25" t="inlineStr">
        <is>
          <t>IA-ST-021-EUR-04</t>
        </is>
      </c>
      <c r="D20" s="25" t="inlineStr">
        <is>
          <t>B | Palet (4000038): 1 adet | Honeycomb (4001186): 3 adet</t>
        </is>
      </c>
      <c r="E20" s="25" t="inlineStr">
        <is>
          <t>See Technical File material-family summary</t>
        </is>
      </c>
      <c r="F20" s="25" t="inlineStr">
        <is>
          <t>IA-PPWR-TF-ST-021-EUR-04-R00</t>
        </is>
      </c>
      <c r="G20" s="25" t="inlineStr">
        <is>
          <t>IA-PPWR-DOC-ST-021-EUR-04-R00</t>
        </is>
      </c>
      <c r="H20" s="25" t="inlineStr">
        <is>
          <t>Rev.00</t>
        </is>
      </c>
      <c r="I20" s="31">
        <f>HYPERLINK("01_STARTER/ST-021-EUR-04/03_Label.docx","Open")</f>
        <v/>
      </c>
    </row>
    <row r="21">
      <c r="A21" s="25" t="inlineStr">
        <is>
          <t>IA-PPWR-LBL-ST-021-EUR-05-R00</t>
        </is>
      </c>
      <c r="B21" s="25" t="inlineStr">
        <is>
          <t>ST-021-EUR-05</t>
        </is>
      </c>
      <c r="C21" s="25" t="inlineStr">
        <is>
          <t>IA-ST-021-EUR-05</t>
        </is>
      </c>
      <c r="D21" s="25" t="inlineStr">
        <is>
          <t>B | Palet (4000038): 1 adet | Shrink film (4000557): kullanılmaz | Köşebent (4000590): 2 adet | EPS (4001290): 21 adet</t>
        </is>
      </c>
      <c r="E21" s="25" t="inlineStr">
        <is>
          <t>See Technical File material-family summary</t>
        </is>
      </c>
      <c r="F21" s="25" t="inlineStr">
        <is>
          <t>IA-PPWR-TF-ST-021-EUR-05-R00</t>
        </is>
      </c>
      <c r="G21" s="25" t="inlineStr">
        <is>
          <t>IA-PPWR-DOC-ST-021-EUR-05-R00</t>
        </is>
      </c>
      <c r="H21" s="25" t="inlineStr">
        <is>
          <t>Rev.00</t>
        </is>
      </c>
      <c r="I21" s="31">
        <f>HYPERLINK("01_STARTER/ST-021-EUR-05/03_Label.docx","Open")</f>
        <v/>
      </c>
    </row>
    <row r="22">
      <c r="A22" s="25" t="inlineStr">
        <is>
          <t>IA-PPWR-LBL-ST-021-STD-01-R00</t>
        </is>
      </c>
      <c r="B22" s="25" t="inlineStr">
        <is>
          <t>ST-021-STD-01</t>
        </is>
      </c>
      <c r="C22" s="25" t="inlineStr">
        <is>
          <t>IA-ST-021-STD-01</t>
        </is>
      </c>
      <c r="D22" s="25" t="inlineStr">
        <is>
          <t>C | Palet (4000037): 1 adet | Streç ped (4000301): 0.175 kg</t>
        </is>
      </c>
      <c r="E22" s="25" t="inlineStr">
        <is>
          <t>See Technical File material-family summary</t>
        </is>
      </c>
      <c r="F22" s="25" t="inlineStr">
        <is>
          <t>IA-PPWR-TF-ST-021-STD-01-R00</t>
        </is>
      </c>
      <c r="G22" s="25" t="inlineStr">
        <is>
          <t>IA-PPWR-DOC-ST-021-STD-01-R00</t>
        </is>
      </c>
      <c r="H22" s="25" t="inlineStr">
        <is>
          <t>Rev.00</t>
        </is>
      </c>
      <c r="I22" s="31">
        <f>HYPERLINK("01_STARTER/ST-021-STD-01/03_Label.docx","Open")</f>
        <v/>
      </c>
    </row>
    <row r="23">
      <c r="A23" s="25" t="inlineStr">
        <is>
          <t>IA-PPWR-LBL-ST-021-STD-02-R00</t>
        </is>
      </c>
      <c r="B23" s="25" t="inlineStr">
        <is>
          <t>ST-021-STD-02</t>
        </is>
      </c>
      <c r="C23" s="25" t="inlineStr">
        <is>
          <t>IA-ST-021-STD-02</t>
        </is>
      </c>
      <c r="D23" s="25" t="inlineStr">
        <is>
          <t>C | Palet (4000037): 1 adet | Köşebent (4000590): 4 adet</t>
        </is>
      </c>
      <c r="E23" s="25" t="inlineStr">
        <is>
          <t>See Technical File material-family summary</t>
        </is>
      </c>
      <c r="F23" s="25" t="inlineStr">
        <is>
          <t>IA-PPWR-TF-ST-021-STD-02-R00</t>
        </is>
      </c>
      <c r="G23" s="25" t="inlineStr">
        <is>
          <t>IA-PPWR-DOC-ST-021-STD-02-R00</t>
        </is>
      </c>
      <c r="H23" s="25" t="inlineStr">
        <is>
          <t>Rev.00</t>
        </is>
      </c>
      <c r="I23" s="31">
        <f>HYPERLINK("01_STARTER/ST-021-STD-02/03_Label.docx","Open")</f>
        <v/>
      </c>
    </row>
    <row r="24">
      <c r="A24" s="25" t="inlineStr">
        <is>
          <t>IA-PPWR-LBL-ST-021-STD-03-R00</t>
        </is>
      </c>
      <c r="B24" s="25" t="inlineStr">
        <is>
          <t>ST-021-STD-03</t>
        </is>
      </c>
      <c r="C24" s="25" t="inlineStr">
        <is>
          <t>IA-ST-021-STD-03</t>
        </is>
      </c>
      <c r="D24" s="25" t="inlineStr">
        <is>
          <t>C | Palet (4000037): 1 adet | Streç ped (4000301): 0.186 kg | Köşebent (4000590): 2 adet</t>
        </is>
      </c>
      <c r="E24" s="25" t="inlineStr">
        <is>
          <t>See Technical File material-family summary</t>
        </is>
      </c>
      <c r="F24" s="25" t="inlineStr">
        <is>
          <t>IA-PPWR-TF-ST-021-STD-03-R00</t>
        </is>
      </c>
      <c r="G24" s="25" t="inlineStr">
        <is>
          <t>IA-PPWR-DOC-ST-021-STD-03-R00</t>
        </is>
      </c>
      <c r="H24" s="25" t="inlineStr">
        <is>
          <t>Rev.00</t>
        </is>
      </c>
      <c r="I24" s="31">
        <f>HYPERLINK("01_STARTER/ST-021-STD-03/03_Label.docx","Open")</f>
        <v/>
      </c>
    </row>
    <row r="25">
      <c r="A25" s="25" t="inlineStr">
        <is>
          <t>IA-PPWR-LBL-ST-021-STD-04-R00</t>
        </is>
      </c>
      <c r="B25" s="25" t="inlineStr">
        <is>
          <t>ST-021-STD-04</t>
        </is>
      </c>
      <c r="C25" s="25" t="inlineStr">
        <is>
          <t>IA-ST-021-STD-04</t>
        </is>
      </c>
      <c r="D25" s="25" t="inlineStr">
        <is>
          <t>C | Palet (4000037): 1 adet | Çember (4000450): kullanılmaz</t>
        </is>
      </c>
      <c r="E25" s="25" t="inlineStr">
        <is>
          <t>See Technical File material-family summary</t>
        </is>
      </c>
      <c r="F25" s="25" t="inlineStr">
        <is>
          <t>IA-PPWR-TF-ST-021-STD-04-R00</t>
        </is>
      </c>
      <c r="G25" s="25" t="inlineStr">
        <is>
          <t>IA-PPWR-DOC-ST-021-STD-04-R00</t>
        </is>
      </c>
      <c r="H25" s="25" t="inlineStr">
        <is>
          <t>Rev.00</t>
        </is>
      </c>
      <c r="I25" s="31">
        <f>HYPERLINK("01_STARTER/ST-021-STD-04/03_Label.docx","Open")</f>
        <v/>
      </c>
    </row>
    <row r="26">
      <c r="A26" s="25" t="inlineStr">
        <is>
          <t>IA-PPWR-LBL-ST-021-STD-05-R00</t>
        </is>
      </c>
      <c r="B26" s="25" t="inlineStr">
        <is>
          <t>ST-021-STD-05</t>
        </is>
      </c>
      <c r="C26" s="25" t="inlineStr">
        <is>
          <t>IA-ST-021-STD-05</t>
        </is>
      </c>
      <c r="D26" s="25" t="inlineStr">
        <is>
          <t>C | Palet (4000037): 1 adet | Shrink film (4001177): 0.597 kg</t>
        </is>
      </c>
      <c r="E26" s="25" t="inlineStr">
        <is>
          <t>See Technical File material-family summary</t>
        </is>
      </c>
      <c r="F26" s="25" t="inlineStr">
        <is>
          <t>IA-PPWR-TF-ST-021-STD-05-R00</t>
        </is>
      </c>
      <c r="G26" s="25" t="inlineStr">
        <is>
          <t>IA-PPWR-DOC-ST-021-STD-05-R00</t>
        </is>
      </c>
      <c r="H26" s="25" t="inlineStr">
        <is>
          <t>Rev.00</t>
        </is>
      </c>
      <c r="I26" s="31">
        <f>HYPERLINK("01_STARTER/ST-021-STD-05/03_Label.docx","Open")</f>
        <v/>
      </c>
    </row>
    <row r="27">
      <c r="A27" s="25" t="inlineStr">
        <is>
          <t>IA-PPWR-LBL-ST-024-EUR-01-R00</t>
        </is>
      </c>
      <c r="B27" s="25" t="inlineStr">
        <is>
          <t>ST-024-EUR-01</t>
        </is>
      </c>
      <c r="C27" s="25" t="inlineStr">
        <is>
          <t>IA-ST-024-EUR-01</t>
        </is>
      </c>
      <c r="D27" s="25" t="inlineStr">
        <is>
          <t>TRACTOR | Palet (4000038): 1 adet | Honeycomb (4001186): 2 adet</t>
        </is>
      </c>
      <c r="E27" s="25" t="inlineStr">
        <is>
          <t>See Technical File material-family summary</t>
        </is>
      </c>
      <c r="F27" s="25" t="inlineStr">
        <is>
          <t>IA-PPWR-TF-ST-024-EUR-01-R00</t>
        </is>
      </c>
      <c r="G27" s="25" t="inlineStr">
        <is>
          <t>IA-PPWR-DOC-ST-024-EUR-01-R00</t>
        </is>
      </c>
      <c r="H27" s="25" t="inlineStr">
        <is>
          <t>Rev.00</t>
        </is>
      </c>
      <c r="I27" s="31">
        <f>HYPERLINK("01_STARTER/ST-024-EUR-01/03_Label.docx","Open")</f>
        <v/>
      </c>
    </row>
    <row r="28">
      <c r="A28" s="25" t="inlineStr">
        <is>
          <t>IA-PPWR-LBL-ST-024-EUR-02-R00</t>
        </is>
      </c>
      <c r="B28" s="25" t="inlineStr">
        <is>
          <t>ST-024-EUR-02</t>
        </is>
      </c>
      <c r="C28" s="25" t="inlineStr">
        <is>
          <t>IA-ST-024-EUR-02</t>
        </is>
      </c>
      <c r="D28" s="25" t="inlineStr">
        <is>
          <t>A | A TİPİ VAKUM PVC PVC üst kapak (4000720): 24 adet</t>
        </is>
      </c>
      <c r="E28" s="25" t="inlineStr">
        <is>
          <t>See Technical File material-family summary</t>
        </is>
      </c>
      <c r="F28" s="25" t="inlineStr">
        <is>
          <t>IA-PPWR-TF-ST-024-EUR-02-R00</t>
        </is>
      </c>
      <c r="G28" s="25" t="inlineStr">
        <is>
          <t>IA-PPWR-DOC-ST-024-EUR-02-R00</t>
        </is>
      </c>
      <c r="H28" s="25" t="inlineStr">
        <is>
          <t>Rev.00</t>
        </is>
      </c>
      <c r="I28" s="31">
        <f>HYPERLINK("01_STARTER/ST-024-EUR-02/03_Label.docx","Open")</f>
        <v/>
      </c>
    </row>
    <row r="29">
      <c r="A29" s="25" t="inlineStr">
        <is>
          <t>IA-PPWR-LBL-ST-024-EUR-03-R00</t>
        </is>
      </c>
      <c r="B29" s="25" t="inlineStr">
        <is>
          <t>ST-024-EUR-03</t>
        </is>
      </c>
      <c r="C29" s="25" t="inlineStr">
        <is>
          <t>IA-ST-024-EUR-03</t>
        </is>
      </c>
      <c r="D29" s="25" t="inlineStr">
        <is>
          <t>A | Palet (4000038): 1 adet | Köşebent (4000590): 4 adet</t>
        </is>
      </c>
      <c r="E29" s="25" t="inlineStr">
        <is>
          <t>See Technical File material-family summary</t>
        </is>
      </c>
      <c r="F29" s="25" t="inlineStr">
        <is>
          <t>IA-PPWR-TF-ST-024-EUR-03-R00</t>
        </is>
      </c>
      <c r="G29" s="25" t="inlineStr">
        <is>
          <t>IA-PPWR-DOC-ST-024-EUR-03-R00</t>
        </is>
      </c>
      <c r="H29" s="25" t="inlineStr">
        <is>
          <t>Rev.00</t>
        </is>
      </c>
      <c r="I29" s="31">
        <f>HYPERLINK("01_STARTER/ST-024-EUR-03/03_Label.docx","Open")</f>
        <v/>
      </c>
    </row>
    <row r="30">
      <c r="A30" s="25" t="inlineStr">
        <is>
          <t>IA-PPWR-LBL-ST-024-EUR-04-R00</t>
        </is>
      </c>
      <c r="B30" s="25" t="inlineStr">
        <is>
          <t>ST-024-EUR-04</t>
        </is>
      </c>
      <c r="C30" s="25" t="inlineStr">
        <is>
          <t>IA-ST-024-EUR-04</t>
        </is>
      </c>
      <c r="D30" s="25" t="inlineStr">
        <is>
          <t>A | Palet (4000038): 1 adet | Köşebent (4000590): 2 adet</t>
        </is>
      </c>
      <c r="E30" s="25" t="inlineStr">
        <is>
          <t>See Technical File material-family summary</t>
        </is>
      </c>
      <c r="F30" s="25" t="inlineStr">
        <is>
          <t>IA-PPWR-TF-ST-024-EUR-04-R00</t>
        </is>
      </c>
      <c r="G30" s="25" t="inlineStr">
        <is>
          <t>IA-PPWR-DOC-ST-024-EUR-04-R00</t>
        </is>
      </c>
      <c r="H30" s="25" t="inlineStr">
        <is>
          <t>Rev.00</t>
        </is>
      </c>
      <c r="I30" s="31">
        <f>HYPERLINK("01_STARTER/ST-024-EUR-04/03_Label.docx","Open")</f>
        <v/>
      </c>
    </row>
    <row r="31">
      <c r="A31" s="25" t="inlineStr">
        <is>
          <t>IA-PPWR-LBL-ST-024-STD-01-R00</t>
        </is>
      </c>
      <c r="B31" s="25" t="inlineStr">
        <is>
          <t>ST-024-STD-01</t>
        </is>
      </c>
      <c r="C31" s="25" t="inlineStr">
        <is>
          <t>IA-ST-024-STD-01</t>
        </is>
      </c>
      <c r="D31" s="25" t="inlineStr">
        <is>
          <t>C | Palet (4000037): 1 adet | EPS (4001281): 24 adet</t>
        </is>
      </c>
      <c r="E31" s="25" t="inlineStr">
        <is>
          <t>See Technical File material-family summary</t>
        </is>
      </c>
      <c r="F31" s="25" t="inlineStr">
        <is>
          <t>IA-PPWR-TF-ST-024-STD-01-R00</t>
        </is>
      </c>
      <c r="G31" s="25" t="inlineStr">
        <is>
          <t>IA-PPWR-DOC-ST-024-STD-01-R00</t>
        </is>
      </c>
      <c r="H31" s="25" t="inlineStr">
        <is>
          <t>Rev.00</t>
        </is>
      </c>
      <c r="I31" s="31">
        <f>HYPERLINK("01_STARTER/ST-024-STD-01/03_Label.docx","Open")</f>
        <v/>
      </c>
    </row>
    <row r="32">
      <c r="A32" s="25" t="inlineStr">
        <is>
          <t>IA-PPWR-LBL-ST-027-STD90-01-R00</t>
        </is>
      </c>
      <c r="B32" s="25" t="inlineStr">
        <is>
          <t>ST-027-STD90-01</t>
        </is>
      </c>
      <c r="C32" s="25" t="inlineStr">
        <is>
          <t>IA-ST-027-STD90-01</t>
        </is>
      </c>
      <c r="D32" s="25" t="inlineStr">
        <is>
          <t>TANK | TANK PVC üst kapak (4000493): 27 adet | Çember (4000450): 7 m</t>
        </is>
      </c>
      <c r="E32" s="25" t="inlineStr">
        <is>
          <t>See Technical File material-family summary</t>
        </is>
      </c>
      <c r="F32" s="25" t="inlineStr">
        <is>
          <t>IA-PPWR-TF-ST-027-STD90-01-R00</t>
        </is>
      </c>
      <c r="G32" s="25" t="inlineStr">
        <is>
          <t>IA-PPWR-DOC-ST-027-STD90-01-R00</t>
        </is>
      </c>
      <c r="H32" s="25" t="inlineStr">
        <is>
          <t>Rev.00</t>
        </is>
      </c>
      <c r="I32" s="31">
        <f>HYPERLINK("01_STARTER/ST-027-STD90-01/03_Label.docx","Open")</f>
        <v/>
      </c>
    </row>
    <row r="33">
      <c r="A33" s="25" t="inlineStr">
        <is>
          <t>IA-PPWR-LBL-ST-027-STD90-02-R00</t>
        </is>
      </c>
      <c r="B33" s="25" t="inlineStr">
        <is>
          <t>ST-027-STD90-02</t>
        </is>
      </c>
      <c r="C33" s="25" t="inlineStr">
        <is>
          <t>IA-ST-027-STD90-02</t>
        </is>
      </c>
      <c r="D33" s="25" t="inlineStr">
        <is>
          <t>TANK | TANK PVC üst kapak (4000493): 27 adet | Çember (4000450): kullanılmaz</t>
        </is>
      </c>
      <c r="E33" s="25" t="inlineStr">
        <is>
          <t>See Technical File material-family summary</t>
        </is>
      </c>
      <c r="F33" s="25" t="inlineStr">
        <is>
          <t>IA-PPWR-TF-ST-027-STD90-02-R00</t>
        </is>
      </c>
      <c r="G33" s="25" t="inlineStr">
        <is>
          <t>IA-PPWR-DOC-ST-027-STD90-02-R00</t>
        </is>
      </c>
      <c r="H33" s="25" t="inlineStr">
        <is>
          <t>Rev.00</t>
        </is>
      </c>
      <c r="I33" s="31">
        <f>HYPERLINK("01_STARTER/ST-027-STD90-02/03_Label.docx","Open")</f>
        <v/>
      </c>
    </row>
    <row r="34">
      <c r="A34" s="25" t="inlineStr">
        <is>
          <t>IA-PPWR-LBL-ST-028-STD-01-R00</t>
        </is>
      </c>
      <c r="B34" s="25" t="inlineStr">
        <is>
          <t>ST-028-STD-01</t>
        </is>
      </c>
      <c r="C34" s="25" t="inlineStr">
        <is>
          <t>IA-ST-028-STD-01</t>
        </is>
      </c>
      <c r="D34" s="25" t="inlineStr">
        <is>
          <t>L6 | Palet (4000037): 1 adet | Shrink film (4000608): 1.12 kg</t>
        </is>
      </c>
      <c r="E34" s="25" t="inlineStr">
        <is>
          <t>See Technical File material-family summary</t>
        </is>
      </c>
      <c r="F34" s="25" t="inlineStr">
        <is>
          <t>IA-PPWR-TF-ST-028-STD-01-R00</t>
        </is>
      </c>
      <c r="G34" s="25" t="inlineStr">
        <is>
          <t>IA-PPWR-DOC-ST-028-STD-01-R00</t>
        </is>
      </c>
      <c r="H34" s="25" t="inlineStr">
        <is>
          <t>Rev.00</t>
        </is>
      </c>
      <c r="I34" s="31">
        <f>HYPERLINK("01_STARTER/ST-028-STD-01/03_Label.docx","Open")</f>
        <v/>
      </c>
    </row>
    <row r="35">
      <c r="A35" s="25" t="inlineStr">
        <is>
          <t>IA-PPWR-LBL-ST-030-STD-01-R00</t>
        </is>
      </c>
      <c r="B35" s="25" t="inlineStr">
        <is>
          <t>ST-030-STD-01</t>
        </is>
      </c>
      <c r="C35" s="25" t="inlineStr">
        <is>
          <t>IA-ST-030-STD-01</t>
        </is>
      </c>
      <c r="D35" s="25" t="inlineStr">
        <is>
          <t>L5 | Palet (4000037): 1 adet | Shrink film (4000608): 1.2 kg</t>
        </is>
      </c>
      <c r="E35" s="25" t="inlineStr">
        <is>
          <t>See Technical File material-family summary</t>
        </is>
      </c>
      <c r="F35" s="25" t="inlineStr">
        <is>
          <t>IA-PPWR-TF-ST-030-STD-01-R00</t>
        </is>
      </c>
      <c r="G35" s="25" t="inlineStr">
        <is>
          <t>IA-PPWR-DOC-ST-030-STD-01-R00</t>
        </is>
      </c>
      <c r="H35" s="25" t="inlineStr">
        <is>
          <t>Rev.00</t>
        </is>
      </c>
      <c r="I35" s="31">
        <f>HYPERLINK("01_STARTER/ST-030-STD-01/03_Label.docx","Open")</f>
        <v/>
      </c>
    </row>
    <row r="36">
      <c r="A36" s="25" t="inlineStr">
        <is>
          <t>IA-PPWR-LBL-ST-030-STD-02-R00</t>
        </is>
      </c>
      <c r="B36" s="25" t="inlineStr">
        <is>
          <t>ST-030-STD-02</t>
        </is>
      </c>
      <c r="C36" s="25" t="inlineStr">
        <is>
          <t>IA-ST-030-STD-02</t>
        </is>
      </c>
      <c r="D36" s="25" t="inlineStr">
        <is>
          <t>A | Palet (4000037): 1 adet | Shrink film (4000557): 1.65 kg | Köşebent (4000590): 4 adet</t>
        </is>
      </c>
      <c r="E36" s="25" t="inlineStr">
        <is>
          <t>See Technical File material-family summary</t>
        </is>
      </c>
      <c r="F36" s="25" t="inlineStr">
        <is>
          <t>IA-PPWR-TF-ST-030-STD-02-R00</t>
        </is>
      </c>
      <c r="G36" s="25" t="inlineStr">
        <is>
          <t>IA-PPWR-DOC-ST-030-STD-02-R00</t>
        </is>
      </c>
      <c r="H36" s="25" t="inlineStr">
        <is>
          <t>Rev.00</t>
        </is>
      </c>
      <c r="I36" s="31">
        <f>HYPERLINK("01_STARTER/ST-030-STD-02/03_Label.docx","Open")</f>
        <v/>
      </c>
    </row>
    <row r="37">
      <c r="A37" s="25" t="inlineStr">
        <is>
          <t>IA-PPWR-LBL-ST-030-STD-03-R00</t>
        </is>
      </c>
      <c r="B37" s="25" t="inlineStr">
        <is>
          <t>ST-030-STD-03</t>
        </is>
      </c>
      <c r="C37" s="25" t="inlineStr">
        <is>
          <t>IA-ST-030-STD-03</t>
        </is>
      </c>
      <c r="D37" s="25" t="inlineStr">
        <is>
          <t>B | Palet (4000037): 1 adet | Shrink film (4000557): 1.65 kg | Köşebent (4000590): 4 adet</t>
        </is>
      </c>
      <c r="E37" s="25" t="inlineStr">
        <is>
          <t>See Technical File material-family summary</t>
        </is>
      </c>
      <c r="F37" s="25" t="inlineStr">
        <is>
          <t>IA-PPWR-TF-ST-030-STD-03-R00</t>
        </is>
      </c>
      <c r="G37" s="25" t="inlineStr">
        <is>
          <t>IA-PPWR-DOC-ST-030-STD-03-R00</t>
        </is>
      </c>
      <c r="H37" s="25" t="inlineStr">
        <is>
          <t>Rev.00</t>
        </is>
      </c>
      <c r="I37" s="31">
        <f>HYPERLINK("01_STARTER/ST-030-STD-03/03_Label.docx","Open")</f>
        <v/>
      </c>
    </row>
    <row r="38">
      <c r="A38" s="25" t="inlineStr">
        <is>
          <t>IA-PPWR-LBL-ST-030-STD-04-R00</t>
        </is>
      </c>
      <c r="B38" s="25" t="inlineStr">
        <is>
          <t>ST-030-STD-04</t>
        </is>
      </c>
      <c r="C38" s="25" t="inlineStr">
        <is>
          <t>IA-ST-030-STD-04</t>
        </is>
      </c>
      <c r="D38" s="25" t="inlineStr">
        <is>
          <t>A | Palet (4000037): 1 adet | Shrink film (4000557): kullanılmaz | Köşebent (4000590): 4 adet</t>
        </is>
      </c>
      <c r="E38" s="25" t="inlineStr">
        <is>
          <t>See Technical File material-family summary</t>
        </is>
      </c>
      <c r="F38" s="25" t="inlineStr">
        <is>
          <t>IA-PPWR-TF-ST-030-STD-04-R00</t>
        </is>
      </c>
      <c r="G38" s="25" t="inlineStr">
        <is>
          <t>IA-PPWR-DOC-ST-030-STD-04-R00</t>
        </is>
      </c>
      <c r="H38" s="25" t="inlineStr">
        <is>
          <t>Rev.00</t>
        </is>
      </c>
      <c r="I38" s="31">
        <f>HYPERLINK("01_STARTER/ST-030-STD-04/03_Label.docx","Open")</f>
        <v/>
      </c>
    </row>
    <row r="39">
      <c r="A39" s="25" t="inlineStr">
        <is>
          <t>IA-PPWR-LBL-ST-030-STD-05-R00</t>
        </is>
      </c>
      <c r="B39" s="25" t="inlineStr">
        <is>
          <t>ST-030-STD-05</t>
        </is>
      </c>
      <c r="C39" s="25" t="inlineStr">
        <is>
          <t>IA-ST-030-STD-05</t>
        </is>
      </c>
      <c r="D39" s="25" t="inlineStr">
        <is>
          <t>A | Palet (4000037): 1 adet | Köşebent (4000590): 2 adet</t>
        </is>
      </c>
      <c r="E39" s="25" t="inlineStr">
        <is>
          <t>See Technical File material-family summary</t>
        </is>
      </c>
      <c r="F39" s="25" t="inlineStr">
        <is>
          <t>IA-PPWR-TF-ST-030-STD-05-R00</t>
        </is>
      </c>
      <c r="G39" s="25" t="inlineStr">
        <is>
          <t>IA-PPWR-DOC-ST-030-STD-05-R00</t>
        </is>
      </c>
      <c r="H39" s="25" t="inlineStr">
        <is>
          <t>Rev.00</t>
        </is>
      </c>
      <c r="I39" s="31">
        <f>HYPERLINK("01_STARTER/ST-030-STD-05/03_Label.docx","Open")</f>
        <v/>
      </c>
    </row>
    <row r="40">
      <c r="A40" s="25" t="inlineStr">
        <is>
          <t>IA-PPWR-LBL-ST-030-STD-06-R00</t>
        </is>
      </c>
      <c r="B40" s="25" t="inlineStr">
        <is>
          <t>ST-030-STD-06</t>
        </is>
      </c>
      <c r="C40" s="25" t="inlineStr">
        <is>
          <t>IA-ST-030-STD-06</t>
        </is>
      </c>
      <c r="D40" s="25" t="inlineStr">
        <is>
          <t>B | Palet (4000037): 1 adet | Köşebent (4000590): 2 adet</t>
        </is>
      </c>
      <c r="E40" s="25" t="inlineStr">
        <is>
          <t>See Technical File material-family summary</t>
        </is>
      </c>
      <c r="F40" s="25" t="inlineStr">
        <is>
          <t>IA-PPWR-TF-ST-030-STD-06-R00</t>
        </is>
      </c>
      <c r="G40" s="25" t="inlineStr">
        <is>
          <t>IA-PPWR-DOC-ST-030-STD-06-R00</t>
        </is>
      </c>
      <c r="H40" s="25" t="inlineStr">
        <is>
          <t>Rev.00</t>
        </is>
      </c>
      <c r="I40" s="31">
        <f>HYPERLINK("01_STARTER/ST-030-STD-06/03_Label.docx","Open")</f>
        <v/>
      </c>
    </row>
    <row r="41">
      <c r="A41" s="25" t="inlineStr">
        <is>
          <t>IA-PPWR-LBL-ST-030-STD-07-R00</t>
        </is>
      </c>
      <c r="B41" s="25" t="inlineStr">
        <is>
          <t>ST-030-STD-07</t>
        </is>
      </c>
      <c r="C41" s="25" t="inlineStr">
        <is>
          <t>IA-ST-030-STD-07</t>
        </is>
      </c>
      <c r="D41" s="25" t="inlineStr">
        <is>
          <t>B | Palet (4000037): 1 adet | Çember (4000450): 7 m | Köşebent (4000590): 4 adet</t>
        </is>
      </c>
      <c r="E41" s="25" t="inlineStr">
        <is>
          <t>See Technical File material-family summary</t>
        </is>
      </c>
      <c r="F41" s="25" t="inlineStr">
        <is>
          <t>IA-PPWR-TF-ST-030-STD-07-R00</t>
        </is>
      </c>
      <c r="G41" s="25" t="inlineStr">
        <is>
          <t>IA-PPWR-DOC-ST-030-STD-07-R00</t>
        </is>
      </c>
      <c r="H41" s="25" t="inlineStr">
        <is>
          <t>Rev.00</t>
        </is>
      </c>
      <c r="I41" s="31">
        <f>HYPERLINK("01_STARTER/ST-030-STD-07/03_Label.docx","Open")</f>
        <v/>
      </c>
    </row>
    <row r="42">
      <c r="A42" s="25" t="inlineStr">
        <is>
          <t>IA-PPWR-LBL-ST-030-STD-08-R00</t>
        </is>
      </c>
      <c r="B42" s="25" t="inlineStr">
        <is>
          <t>ST-030-STD-08</t>
        </is>
      </c>
      <c r="C42" s="25" t="inlineStr">
        <is>
          <t>IA-ST-030-STD-08</t>
        </is>
      </c>
      <c r="D42" s="25" t="inlineStr">
        <is>
          <t>A | Palet (4000037): 1 adet | Çember (4000450): kullanılmaz</t>
        </is>
      </c>
      <c r="E42" s="25" t="inlineStr">
        <is>
          <t>See Technical File material-family summary</t>
        </is>
      </c>
      <c r="F42" s="25" t="inlineStr">
        <is>
          <t>IA-PPWR-TF-ST-030-STD-08-R00</t>
        </is>
      </c>
      <c r="G42" s="25" t="inlineStr">
        <is>
          <t>IA-PPWR-DOC-ST-030-STD-08-R00</t>
        </is>
      </c>
      <c r="H42" s="25" t="inlineStr">
        <is>
          <t>Rev.00</t>
        </is>
      </c>
      <c r="I42" s="31">
        <f>HYPERLINK("01_STARTER/ST-030-STD-08/03_Label.docx","Open")</f>
        <v/>
      </c>
    </row>
    <row r="43">
      <c r="A43" s="25" t="inlineStr">
        <is>
          <t>IA-PPWR-LBL-ST-030-STD-09-R00</t>
        </is>
      </c>
      <c r="B43" s="25" t="inlineStr">
        <is>
          <t>ST-030-STD-09</t>
        </is>
      </c>
      <c r="C43" s="25" t="inlineStr">
        <is>
          <t>IA-ST-030-STD-09</t>
        </is>
      </c>
      <c r="D43" s="25" t="inlineStr">
        <is>
          <t>B | Palet (4000037): 1 adet | Çember (4000450): kullanılmaz</t>
        </is>
      </c>
      <c r="E43" s="25" t="inlineStr">
        <is>
          <t>See Technical File material-family summary</t>
        </is>
      </c>
      <c r="F43" s="25" t="inlineStr">
        <is>
          <t>IA-PPWR-TF-ST-030-STD-09-R00</t>
        </is>
      </c>
      <c r="G43" s="25" t="inlineStr">
        <is>
          <t>IA-PPWR-DOC-ST-030-STD-09-R00</t>
        </is>
      </c>
      <c r="H43" s="25" t="inlineStr">
        <is>
          <t>Rev.00</t>
        </is>
      </c>
      <c r="I43" s="31">
        <f>HYPERLINK("01_STARTER/ST-030-STD-09/03_Label.docx","Open")</f>
        <v/>
      </c>
    </row>
    <row r="44">
      <c r="A44" s="25" t="inlineStr">
        <is>
          <t>IA-PPWR-LBL-ST-030-STD-10-R00</t>
        </is>
      </c>
      <c r="B44" s="25" t="inlineStr">
        <is>
          <t>ST-030-STD-10</t>
        </is>
      </c>
      <c r="C44" s="25" t="inlineStr">
        <is>
          <t>IA-ST-030-STD-10</t>
        </is>
      </c>
      <c r="D44" s="25" t="inlineStr">
        <is>
          <t>A | Palet (4000037): 1 adet | Shrink film (4001177): 0.597 kg</t>
        </is>
      </c>
      <c r="E44" s="25" t="inlineStr">
        <is>
          <t>See Technical File material-family summary</t>
        </is>
      </c>
      <c r="F44" s="25" t="inlineStr">
        <is>
          <t>IA-PPWR-TF-ST-030-STD-10-R00</t>
        </is>
      </c>
      <c r="G44" s="25" t="inlineStr">
        <is>
          <t>IA-PPWR-DOC-ST-030-STD-10-R00</t>
        </is>
      </c>
      <c r="H44" s="25" t="inlineStr">
        <is>
          <t>Rev.00</t>
        </is>
      </c>
      <c r="I44" s="31">
        <f>HYPERLINK("01_STARTER/ST-030-STD-10/03_Label.docx","Open")</f>
        <v/>
      </c>
    </row>
    <row r="45">
      <c r="A45" s="25" t="inlineStr">
        <is>
          <t>IA-PPWR-LBL-ST-030-STD-11-R00</t>
        </is>
      </c>
      <c r="B45" s="25" t="inlineStr">
        <is>
          <t>ST-030-STD-11</t>
        </is>
      </c>
      <c r="C45" s="25" t="inlineStr">
        <is>
          <t>IA-ST-030-STD-11</t>
        </is>
      </c>
      <c r="D45" s="25" t="inlineStr">
        <is>
          <t>B | Palet (4000037): 1 adet | Shrink film (4001177): 0.597 kg</t>
        </is>
      </c>
      <c r="E45" s="25" t="inlineStr">
        <is>
          <t>See Technical File material-family summary</t>
        </is>
      </c>
      <c r="F45" s="25" t="inlineStr">
        <is>
          <t>IA-PPWR-TF-ST-030-STD-11-R00</t>
        </is>
      </c>
      <c r="G45" s="25" t="inlineStr">
        <is>
          <t>IA-PPWR-DOC-ST-030-STD-11-R00</t>
        </is>
      </c>
      <c r="H45" s="25" t="inlineStr">
        <is>
          <t>Rev.00</t>
        </is>
      </c>
      <c r="I45" s="31">
        <f>HYPERLINK("01_STARTER/ST-030-STD-11/03_Label.docx","Open")</f>
        <v/>
      </c>
    </row>
    <row r="46">
      <c r="A46" s="25" t="inlineStr">
        <is>
          <t>IA-PPWR-LBL-ST-033-EUR-01-R00</t>
        </is>
      </c>
      <c r="B46" s="25" t="inlineStr">
        <is>
          <t>ST-033-EUR-01</t>
        </is>
      </c>
      <c r="C46" s="25" t="inlineStr">
        <is>
          <t>IA-ST-033-EUR-01</t>
        </is>
      </c>
      <c r="D46" s="25" t="inlineStr">
        <is>
          <t>L6 | Palet (4000038): 1 adet | Köşebent (4000590): 4 adet</t>
        </is>
      </c>
      <c r="E46" s="25" t="inlineStr">
        <is>
          <t>See Technical File material-family summary</t>
        </is>
      </c>
      <c r="F46" s="25" t="inlineStr">
        <is>
          <t>IA-PPWR-TF-ST-033-EUR-01-R00</t>
        </is>
      </c>
      <c r="G46" s="25" t="inlineStr">
        <is>
          <t>IA-PPWR-DOC-ST-033-EUR-01-R00</t>
        </is>
      </c>
      <c r="H46" s="25" t="inlineStr">
        <is>
          <t>Rev.00</t>
        </is>
      </c>
      <c r="I46" s="31">
        <f>HYPERLINK("01_STARTER/ST-033-EUR-01/03_Label.docx","Open")</f>
        <v/>
      </c>
    </row>
    <row r="47">
      <c r="A47" s="25" t="inlineStr">
        <is>
          <t>IA-PPWR-LBL-ST-034-STD-01-R00</t>
        </is>
      </c>
      <c r="B47" s="25" t="inlineStr">
        <is>
          <t>ST-034-STD-01</t>
        </is>
      </c>
      <c r="C47" s="25" t="inlineStr">
        <is>
          <t>IA-ST-034-STD-01</t>
        </is>
      </c>
      <c r="D47" s="25" t="inlineStr">
        <is>
          <t>D31 | D31 YUASA penceresiz Orta Doğu dış koli (4001108): 34 adet</t>
        </is>
      </c>
      <c r="E47" s="25" t="inlineStr">
        <is>
          <t>See Technical File material-family summary</t>
        </is>
      </c>
      <c r="F47" s="25" t="inlineStr">
        <is>
          <t>IA-PPWR-TF-ST-034-STD-01-R00</t>
        </is>
      </c>
      <c r="G47" s="25" t="inlineStr">
        <is>
          <t>IA-PPWR-DOC-ST-034-STD-01-R00</t>
        </is>
      </c>
      <c r="H47" s="25" t="inlineStr">
        <is>
          <t>Rev.00</t>
        </is>
      </c>
      <c r="I47" s="31">
        <f>HYPERLINK("01_STARTER/ST-034-STD-01/03_Label.docx","Open")</f>
        <v/>
      </c>
    </row>
    <row r="48">
      <c r="A48" s="25" t="inlineStr">
        <is>
          <t>IA-PPWR-LBL-ST-034-STD-02-R00</t>
        </is>
      </c>
      <c r="B48" s="25" t="inlineStr">
        <is>
          <t>ST-034-STD-02</t>
        </is>
      </c>
      <c r="C48" s="25" t="inlineStr">
        <is>
          <t>IA-ST-034-STD-02</t>
        </is>
      </c>
      <c r="D48" s="25" t="inlineStr">
        <is>
          <t>L4 | L4 YUASA penceresiz Orta Doğu dış koli (4001313): 34 adet</t>
        </is>
      </c>
      <c r="E48" s="25" t="inlineStr">
        <is>
          <t>See Technical File material-family summary</t>
        </is>
      </c>
      <c r="F48" s="25" t="inlineStr">
        <is>
          <t>IA-PPWR-TF-ST-034-STD-02-R00</t>
        </is>
      </c>
      <c r="G48" s="25" t="inlineStr">
        <is>
          <t>IA-PPWR-DOC-ST-034-STD-02-R00</t>
        </is>
      </c>
      <c r="H48" s="25" t="inlineStr">
        <is>
          <t>Rev.00</t>
        </is>
      </c>
      <c r="I48" s="31">
        <f>HYPERLINK("01_STARTER/ST-034-STD-02/03_Label.docx","Open")</f>
        <v/>
      </c>
    </row>
    <row r="49">
      <c r="A49" s="25" t="inlineStr">
        <is>
          <t>IA-PPWR-LBL-ST-036-EUR-01-R00</t>
        </is>
      </c>
      <c r="B49" s="25" t="inlineStr">
        <is>
          <t>ST-036-EUR-01</t>
        </is>
      </c>
      <c r="C49" s="25" t="inlineStr">
        <is>
          <t>IA-ST-036-EUR-01</t>
        </is>
      </c>
      <c r="D49" s="25" t="inlineStr">
        <is>
          <t>L6 | L6 İnci AGM LEO 105AH940A pencereli dış koli (4001360): 36 adet</t>
        </is>
      </c>
      <c r="E49" s="25" t="inlineStr">
        <is>
          <t>See Technical File material-family summary</t>
        </is>
      </c>
      <c r="F49" s="25" t="inlineStr">
        <is>
          <t>IA-PPWR-TF-ST-036-EUR-01-R00</t>
        </is>
      </c>
      <c r="G49" s="25" t="inlineStr">
        <is>
          <t>IA-PPWR-DOC-ST-036-EUR-01-R00</t>
        </is>
      </c>
      <c r="H49" s="25" t="inlineStr">
        <is>
          <t>Rev.00</t>
        </is>
      </c>
      <c r="I49" s="31">
        <f>HYPERLINK("01_STARTER/ST-036-EUR-01/03_Label.docx","Open")</f>
        <v/>
      </c>
    </row>
    <row r="50">
      <c r="A50" s="25" t="inlineStr">
        <is>
          <t>IA-PPWR-LBL-ST-036-EUR-02-R00</t>
        </is>
      </c>
      <c r="B50" s="25" t="inlineStr">
        <is>
          <t>ST-036-EUR-02</t>
        </is>
      </c>
      <c r="C50" s="25" t="inlineStr">
        <is>
          <t>IA-ST-036-EUR-02</t>
        </is>
      </c>
      <c r="D50" s="25" t="inlineStr">
        <is>
          <t>NS40 | Palet (4000038): 1 adet | EPS (4000573): 8 adet</t>
        </is>
      </c>
      <c r="E50" s="25" t="inlineStr">
        <is>
          <t>See Technical File material-family summary</t>
        </is>
      </c>
      <c r="F50" s="25" t="inlineStr">
        <is>
          <t>IA-PPWR-TF-ST-036-EUR-02-R00</t>
        </is>
      </c>
      <c r="G50" s="25" t="inlineStr">
        <is>
          <t>IA-PPWR-DOC-ST-036-EUR-02-R00</t>
        </is>
      </c>
      <c r="H50" s="25" t="inlineStr">
        <is>
          <t>Rev.00</t>
        </is>
      </c>
      <c r="I50" s="31">
        <f>HYPERLINK("01_STARTER/ST-036-EUR-02/03_Label.docx","Open")</f>
        <v/>
      </c>
    </row>
    <row r="51">
      <c r="A51" s="25" t="inlineStr">
        <is>
          <t>IA-PPWR-LBL-ST-036-EUR-03-R00</t>
        </is>
      </c>
      <c r="B51" s="25" t="inlineStr">
        <is>
          <t>ST-036-EUR-03</t>
        </is>
      </c>
      <c r="C51" s="25" t="inlineStr">
        <is>
          <t>IA-ST-036-EUR-03</t>
        </is>
      </c>
      <c r="D51" s="25" t="inlineStr">
        <is>
          <t>L6, L5 | Palet (4000038): 1 adet | Köşebent (4000590): 4 adet</t>
        </is>
      </c>
      <c r="E51" s="25" t="inlineStr">
        <is>
          <t>See Technical File material-family summary</t>
        </is>
      </c>
      <c r="F51" s="25" t="inlineStr">
        <is>
          <t>IA-PPWR-TF-ST-036-EUR-03-R00</t>
        </is>
      </c>
      <c r="G51" s="25" t="inlineStr">
        <is>
          <t>IA-PPWR-DOC-ST-036-EUR-03-R00</t>
        </is>
      </c>
      <c r="H51" s="25" t="inlineStr">
        <is>
          <t>Rev.00</t>
        </is>
      </c>
      <c r="I51" s="31">
        <f>HYPERLINK("01_STARTER/ST-036-EUR-03/03_Label.docx","Open")</f>
        <v/>
      </c>
    </row>
    <row r="52">
      <c r="A52" s="25" t="inlineStr">
        <is>
          <t>IA-PPWR-LBL-ST-036-EUR-04-R00</t>
        </is>
      </c>
      <c r="B52" s="25" t="inlineStr">
        <is>
          <t>ST-036-EUR-04</t>
        </is>
      </c>
      <c r="C52" s="25" t="inlineStr">
        <is>
          <t>IA-ST-036-EUR-04</t>
        </is>
      </c>
      <c r="D52" s="25" t="inlineStr">
        <is>
          <t>L5, L6, LB5 | Palet (4000038): 1 adet | Köşebent (4000590): 4 adet</t>
        </is>
      </c>
      <c r="E52" s="25" t="inlineStr">
        <is>
          <t>See Technical File material-family summary</t>
        </is>
      </c>
      <c r="F52" s="25" t="inlineStr">
        <is>
          <t>IA-PPWR-TF-ST-036-EUR-04-R00</t>
        </is>
      </c>
      <c r="G52" s="25" t="inlineStr">
        <is>
          <t>IA-PPWR-DOC-ST-036-EUR-04-R00</t>
        </is>
      </c>
      <c r="H52" s="25" t="inlineStr">
        <is>
          <t>Rev.00</t>
        </is>
      </c>
      <c r="I52" s="31">
        <f>HYPERLINK("01_STARTER/ST-036-EUR-04/03_Label.docx","Open")</f>
        <v/>
      </c>
    </row>
    <row r="53">
      <c r="A53" s="25" t="inlineStr">
        <is>
          <t>IA-PPWR-LBL-ST-036-EUR-05-R00</t>
        </is>
      </c>
      <c r="B53" s="25" t="inlineStr">
        <is>
          <t>ST-036-EUR-05</t>
        </is>
      </c>
      <c r="C53" s="25" t="inlineStr">
        <is>
          <t>IA-ST-036-EUR-05</t>
        </is>
      </c>
      <c r="D53" s="25" t="inlineStr">
        <is>
          <t>TRACTORL | TRAKTÖR PVC üst kapak (4000494): 36 adet</t>
        </is>
      </c>
      <c r="E53" s="25" t="inlineStr">
        <is>
          <t>See Technical File material-family summary</t>
        </is>
      </c>
      <c r="F53" s="25" t="inlineStr">
        <is>
          <t>IA-PPWR-TF-ST-036-EUR-05-R00</t>
        </is>
      </c>
      <c r="G53" s="25" t="inlineStr">
        <is>
          <t>IA-PPWR-DOC-ST-036-EUR-05-R00</t>
        </is>
      </c>
      <c r="H53" s="25" t="inlineStr">
        <is>
          <t>Rev.00</t>
        </is>
      </c>
      <c r="I53" s="31">
        <f>HYPERLINK("01_STARTER/ST-036-EUR-05/03_Label.docx","Open")</f>
        <v/>
      </c>
    </row>
    <row r="54">
      <c r="A54" s="25" t="inlineStr">
        <is>
          <t>IA-PPWR-LBL-ST-036-EUR-06-R00</t>
        </is>
      </c>
      <c r="B54" s="25" t="inlineStr">
        <is>
          <t>ST-036-EUR-06</t>
        </is>
      </c>
      <c r="C54" s="25" t="inlineStr">
        <is>
          <t>IA-ST-036-EUR-06</t>
        </is>
      </c>
      <c r="D54" s="25" t="inlineStr">
        <is>
          <t>L6, L5 | Palet (4000038): 1 adet | Köşebent (4000590): 2 adet | Shrink film (4000608): 1.44 kg</t>
        </is>
      </c>
      <c r="E54" s="25" t="inlineStr">
        <is>
          <t>See Technical File material-family summary</t>
        </is>
      </c>
      <c r="F54" s="25" t="inlineStr">
        <is>
          <t>IA-PPWR-TF-ST-036-EUR-06-R00</t>
        </is>
      </c>
      <c r="G54" s="25" t="inlineStr">
        <is>
          <t>IA-PPWR-DOC-ST-036-EUR-06-R00</t>
        </is>
      </c>
      <c r="H54" s="25" t="inlineStr">
        <is>
          <t>Rev.00</t>
        </is>
      </c>
      <c r="I54" s="31">
        <f>HYPERLINK("01_STARTER/ST-036-EUR-06/03_Label.docx","Open")</f>
        <v/>
      </c>
    </row>
    <row r="55">
      <c r="A55" s="25" t="inlineStr">
        <is>
          <t>IA-PPWR-LBL-ST-036-EUR-07-R00</t>
        </is>
      </c>
      <c r="B55" s="25" t="inlineStr">
        <is>
          <t>ST-036-EUR-07</t>
        </is>
      </c>
      <c r="C55" s="25" t="inlineStr">
        <is>
          <t>IA-ST-036-EUR-07</t>
        </is>
      </c>
      <c r="D55" s="25" t="inlineStr">
        <is>
          <t>L6, L5 | Palet (4000038): 1 adet | Shrink film (4000608): kullanılmaz</t>
        </is>
      </c>
      <c r="E55" s="25" t="inlineStr">
        <is>
          <t>See Technical File material-family summary</t>
        </is>
      </c>
      <c r="F55" s="25" t="inlineStr">
        <is>
          <t>IA-PPWR-TF-ST-036-EUR-07-R00</t>
        </is>
      </c>
      <c r="G55" s="25" t="inlineStr">
        <is>
          <t>IA-PPWR-DOC-ST-036-EUR-07-R00</t>
        </is>
      </c>
      <c r="H55" s="25" t="inlineStr">
        <is>
          <t>Rev.00</t>
        </is>
      </c>
      <c r="I55" s="31">
        <f>HYPERLINK("01_STARTER/ST-036-EUR-07/03_Label.docx","Open")</f>
        <v/>
      </c>
    </row>
    <row r="56">
      <c r="A56" s="25" t="inlineStr">
        <is>
          <t>IA-PPWR-LBL-ST-036-STD-01-R00</t>
        </is>
      </c>
      <c r="B56" s="25" t="inlineStr">
        <is>
          <t>ST-036-STD-01</t>
        </is>
      </c>
      <c r="C56" s="25" t="inlineStr">
        <is>
          <t>IA-ST-036-STD-01</t>
        </is>
      </c>
      <c r="D56" s="25" t="inlineStr">
        <is>
          <t>L3 | L3 YUASA penceresiz Orta Doğu dış koli (4001103): 36 adet</t>
        </is>
      </c>
      <c r="E56" s="25" t="inlineStr">
        <is>
          <t>See Technical File material-family summary</t>
        </is>
      </c>
      <c r="F56" s="25" t="inlineStr">
        <is>
          <t>IA-PPWR-TF-ST-036-STD-01-R00</t>
        </is>
      </c>
      <c r="G56" s="25" t="inlineStr">
        <is>
          <t>IA-PPWR-DOC-ST-036-STD-01-R00</t>
        </is>
      </c>
      <c r="H56" s="25" t="inlineStr">
        <is>
          <t>Rev.00</t>
        </is>
      </c>
      <c r="I56" s="31">
        <f>HYPERLINK("01_STARTER/ST-036-STD-01/03_Label.docx","Open")</f>
        <v/>
      </c>
    </row>
    <row r="57">
      <c r="A57" s="25" t="inlineStr">
        <is>
          <t>IA-PPWR-LBL-ST-036-STD-02-R00</t>
        </is>
      </c>
      <c r="B57" s="25" t="inlineStr">
        <is>
          <t>ST-036-STD-02</t>
        </is>
      </c>
      <c r="C57" s="25" t="inlineStr">
        <is>
          <t>IA-ST-036-STD-02</t>
        </is>
      </c>
      <c r="D57" s="25" t="inlineStr">
        <is>
          <t>L4 | Palet (4000037): 1 adet | Separatör (4000130): 3 adet</t>
        </is>
      </c>
      <c r="E57" s="25" t="inlineStr">
        <is>
          <t>See Technical File material-family summary</t>
        </is>
      </c>
      <c r="F57" s="25" t="inlineStr">
        <is>
          <t>IA-PPWR-TF-ST-036-STD-02-R00</t>
        </is>
      </c>
      <c r="G57" s="25" t="inlineStr">
        <is>
          <t>IA-PPWR-DOC-ST-036-STD-02-R00</t>
        </is>
      </c>
      <c r="H57" s="25" t="inlineStr">
        <is>
          <t>Rev.00</t>
        </is>
      </c>
      <c r="I57" s="31">
        <f>HYPERLINK("01_STARTER/ST-036-STD-02/03_Label.docx","Open")</f>
        <v/>
      </c>
    </row>
    <row r="58">
      <c r="A58" s="25" t="inlineStr">
        <is>
          <t>IA-PPWR-LBL-ST-036-STD-03-R00</t>
        </is>
      </c>
      <c r="B58" s="25" t="inlineStr">
        <is>
          <t>ST-036-STD-03</t>
        </is>
      </c>
      <c r="C58" s="25" t="inlineStr">
        <is>
          <t>IA-ST-036-STD-03</t>
        </is>
      </c>
      <c r="D58" s="25" t="inlineStr">
        <is>
          <t>L4 | Palet (4000037): 1 adet | Separatör (4000130): 4 adet</t>
        </is>
      </c>
      <c r="E58" s="25" t="inlineStr">
        <is>
          <t>See Technical File material-family summary</t>
        </is>
      </c>
      <c r="F58" s="25" t="inlineStr">
        <is>
          <t>IA-PPWR-TF-ST-036-STD-03-R00</t>
        </is>
      </c>
      <c r="G58" s="25" t="inlineStr">
        <is>
          <t>IA-PPWR-DOC-ST-036-STD-03-R00</t>
        </is>
      </c>
      <c r="H58" s="25" t="inlineStr">
        <is>
          <t>Rev.00</t>
        </is>
      </c>
      <c r="I58" s="31">
        <f>HYPERLINK("01_STARTER/ST-036-STD-03/03_Label.docx","Open")</f>
        <v/>
      </c>
    </row>
    <row r="59">
      <c r="A59" s="25" t="inlineStr">
        <is>
          <t>IA-PPWR-LBL-ST-042-EUR-01-R00</t>
        </is>
      </c>
      <c r="B59" s="25" t="inlineStr">
        <is>
          <t>ST-042-EUR-01</t>
        </is>
      </c>
      <c r="C59" s="25" t="inlineStr">
        <is>
          <t>IA-ST-042-EUR-01</t>
        </is>
      </c>
      <c r="D59" s="25" t="inlineStr">
        <is>
          <t>D31 | D31 YUASA penceresiz Orta Doğu dış koli (4001108): 42 adet</t>
        </is>
      </c>
      <c r="E59" s="25" t="inlineStr">
        <is>
          <t>See Technical File material-family summary</t>
        </is>
      </c>
      <c r="F59" s="25" t="inlineStr">
        <is>
          <t>IA-PPWR-TF-ST-042-EUR-01-R00</t>
        </is>
      </c>
      <c r="G59" s="25" t="inlineStr">
        <is>
          <t>IA-PPWR-DOC-ST-042-EUR-01-R00</t>
        </is>
      </c>
      <c r="H59" s="25" t="inlineStr">
        <is>
          <t>Rev.00</t>
        </is>
      </c>
      <c r="I59" s="31">
        <f>HYPERLINK("01_STARTER/ST-042-EUR-01/03_Label.docx","Open")</f>
        <v/>
      </c>
    </row>
    <row r="60">
      <c r="A60" s="25" t="inlineStr">
        <is>
          <t>IA-PPWR-LBL-ST-042-EUR-02-R00</t>
        </is>
      </c>
      <c r="B60" s="25" t="inlineStr">
        <is>
          <t>ST-042-EUR-02</t>
        </is>
      </c>
      <c r="C60" s="25" t="inlineStr">
        <is>
          <t>IA-ST-042-EUR-02</t>
        </is>
      </c>
      <c r="D60" s="25" t="inlineStr">
        <is>
          <t>L4, LB4 | Palet (4000038): 1 adet | Köşebent (4000590): 4 adet</t>
        </is>
      </c>
      <c r="E60" s="25" t="inlineStr">
        <is>
          <t>See Technical File material-family summary</t>
        </is>
      </c>
      <c r="F60" s="25" t="inlineStr">
        <is>
          <t>IA-PPWR-TF-ST-042-EUR-02-R00</t>
        </is>
      </c>
      <c r="G60" s="25" t="inlineStr">
        <is>
          <t>IA-PPWR-DOC-ST-042-EUR-02-R00</t>
        </is>
      </c>
      <c r="H60" s="25" t="inlineStr">
        <is>
          <t>Rev.00</t>
        </is>
      </c>
      <c r="I60" s="31">
        <f>HYPERLINK("01_STARTER/ST-042-EUR-02/03_Label.docx","Open")</f>
        <v/>
      </c>
    </row>
    <row r="61">
      <c r="A61" s="25" t="inlineStr">
        <is>
          <t>IA-PPWR-LBL-ST-042-EUR-03-R00</t>
        </is>
      </c>
      <c r="B61" s="25" t="inlineStr">
        <is>
          <t>ST-042-EUR-03</t>
        </is>
      </c>
      <c r="C61" s="25" t="inlineStr">
        <is>
          <t>IA-ST-042-EUR-03</t>
        </is>
      </c>
      <c r="D61" s="25" t="inlineStr">
        <is>
          <t>L4, LB4 | Palet (4000038): 1 adet | Shrink film (4000554): 1.428 kg</t>
        </is>
      </c>
      <c r="E61" s="25" t="inlineStr">
        <is>
          <t>See Technical File material-family summary</t>
        </is>
      </c>
      <c r="F61" s="25" t="inlineStr">
        <is>
          <t>IA-PPWR-TF-ST-042-EUR-03-R00</t>
        </is>
      </c>
      <c r="G61" s="25" t="inlineStr">
        <is>
          <t>IA-PPWR-DOC-ST-042-EUR-03-R00</t>
        </is>
      </c>
      <c r="H61" s="25" t="inlineStr">
        <is>
          <t>Rev.00</t>
        </is>
      </c>
      <c r="I61" s="31">
        <f>HYPERLINK("01_STARTER/ST-042-EUR-03/03_Label.docx","Open")</f>
        <v/>
      </c>
    </row>
    <row r="62">
      <c r="A62" s="25" t="inlineStr">
        <is>
          <t>IA-PPWR-LBL-ST-042-EUR-04-R00</t>
        </is>
      </c>
      <c r="B62" s="25" t="inlineStr">
        <is>
          <t>ST-042-EUR-04</t>
        </is>
      </c>
      <c r="C62" s="25" t="inlineStr">
        <is>
          <t>IA-ST-042-EUR-04</t>
        </is>
      </c>
      <c r="D62" s="25" t="inlineStr">
        <is>
          <t>L4, LB4 | Palet (4000038): 1 adet | Shrink film (4000554): kullanılmaz | Köşebent (4000590): 2 adet</t>
        </is>
      </c>
      <c r="E62" s="25" t="inlineStr">
        <is>
          <t>See Technical File material-family summary</t>
        </is>
      </c>
      <c r="F62" s="25" t="inlineStr">
        <is>
          <t>IA-PPWR-TF-ST-042-EUR-04-R00</t>
        </is>
      </c>
      <c r="G62" s="25" t="inlineStr">
        <is>
          <t>IA-PPWR-DOC-ST-042-EUR-04-R00</t>
        </is>
      </c>
      <c r="H62" s="25" t="inlineStr">
        <is>
          <t>Rev.00</t>
        </is>
      </c>
      <c r="I62" s="31">
        <f>HYPERLINK("01_STARTER/ST-042-EUR-04/03_Label.docx","Open")</f>
        <v/>
      </c>
    </row>
    <row r="63">
      <c r="A63" s="25" t="inlineStr">
        <is>
          <t>IA-PPWR-LBL-ST-042-STD-01-R00</t>
        </is>
      </c>
      <c r="B63" s="25" t="inlineStr">
        <is>
          <t>ST-042-STD-01</t>
        </is>
      </c>
      <c r="C63" s="25" t="inlineStr">
        <is>
          <t>IA-ST-042-STD-01</t>
        </is>
      </c>
      <c r="D63" s="25" t="inlineStr">
        <is>
          <t>D23 | D23 YUASA penceresiz Orta Doğu dış koli (4001106): 42 adet</t>
        </is>
      </c>
      <c r="E63" s="25" t="inlineStr">
        <is>
          <t>See Technical File material-family summary</t>
        </is>
      </c>
      <c r="F63" s="25" t="inlineStr">
        <is>
          <t>IA-PPWR-TF-ST-042-STD-01-R00</t>
        </is>
      </c>
      <c r="G63" s="25" t="inlineStr">
        <is>
          <t>IA-PPWR-DOC-ST-042-STD-01-R00</t>
        </is>
      </c>
      <c r="H63" s="25" t="inlineStr">
        <is>
          <t>Rev.00</t>
        </is>
      </c>
      <c r="I63" s="31">
        <f>HYPERLINK("01_STARTER/ST-042-STD-01/03_Label.docx","Open")</f>
        <v/>
      </c>
    </row>
    <row r="64">
      <c r="A64" s="25" t="inlineStr">
        <is>
          <t>IA-PPWR-LBL-ST-042-STD-02-R00</t>
        </is>
      </c>
      <c r="B64" s="25" t="inlineStr">
        <is>
          <t>ST-042-STD-02</t>
        </is>
      </c>
      <c r="C64" s="25" t="inlineStr">
        <is>
          <t>IA-ST-042-STD-02</t>
        </is>
      </c>
      <c r="D64" s="25" t="inlineStr">
        <is>
          <t>L6 | L6 EAS AGM S&amp;S 105AH 940A pencereli dış koli (4001399): 42 adet</t>
        </is>
      </c>
      <c r="E64" s="25" t="inlineStr">
        <is>
          <t>See Technical File material-family summary</t>
        </is>
      </c>
      <c r="F64" s="25" t="inlineStr">
        <is>
          <t>IA-PPWR-TF-ST-042-STD-02-R00</t>
        </is>
      </c>
      <c r="G64" s="25" t="inlineStr">
        <is>
          <t>IA-PPWR-DOC-ST-042-STD-02-R00</t>
        </is>
      </c>
      <c r="H64" s="25" t="inlineStr">
        <is>
          <t>Rev.00</t>
        </is>
      </c>
      <c r="I64" s="31">
        <f>HYPERLINK("01_STARTER/ST-042-STD-02/03_Label.docx","Open")</f>
        <v/>
      </c>
    </row>
    <row r="65">
      <c r="A65" s="25" t="inlineStr">
        <is>
          <t>IA-PPWR-LBL-ST-042-STD-03-R00</t>
        </is>
      </c>
      <c r="B65" s="25" t="inlineStr">
        <is>
          <t>ST-042-STD-03</t>
        </is>
      </c>
      <c r="C65" s="25" t="inlineStr">
        <is>
          <t>IA-ST-042-STD-03</t>
        </is>
      </c>
      <c r="D65" s="25" t="inlineStr">
        <is>
          <t>L3 | Palet (4000037): 1 adet | Separatör (4000130): 3 adet</t>
        </is>
      </c>
      <c r="E65" s="25" t="inlineStr">
        <is>
          <t>See Technical File material-family summary</t>
        </is>
      </c>
      <c r="F65" s="25" t="inlineStr">
        <is>
          <t>IA-PPWR-TF-ST-042-STD-03-R00</t>
        </is>
      </c>
      <c r="G65" s="25" t="inlineStr">
        <is>
          <t>IA-PPWR-DOC-ST-042-STD-03-R00</t>
        </is>
      </c>
      <c r="H65" s="25" t="inlineStr">
        <is>
          <t>Rev.00</t>
        </is>
      </c>
      <c r="I65" s="31">
        <f>HYPERLINK("01_STARTER/ST-042-STD-03/03_Label.docx","Open")</f>
        <v/>
      </c>
    </row>
    <row r="66">
      <c r="A66" s="25" t="inlineStr">
        <is>
          <t>IA-PPWR-LBL-ST-042-STD-04-R00</t>
        </is>
      </c>
      <c r="B66" s="25" t="inlineStr">
        <is>
          <t>ST-042-STD-04</t>
        </is>
      </c>
      <c r="C66" s="25" t="inlineStr">
        <is>
          <t>IA-ST-042-STD-04</t>
        </is>
      </c>
      <c r="D66" s="25" t="inlineStr">
        <is>
          <t>L3 | Palet (4000037): 1 adet | Separatör (4000130): 4 adet</t>
        </is>
      </c>
      <c r="E66" s="25" t="inlineStr">
        <is>
          <t>See Technical File material-family summary</t>
        </is>
      </c>
      <c r="F66" s="25" t="inlineStr">
        <is>
          <t>IA-PPWR-TF-ST-042-STD-04-R00</t>
        </is>
      </c>
      <c r="G66" s="25" t="inlineStr">
        <is>
          <t>IA-PPWR-DOC-ST-042-STD-04-R00</t>
        </is>
      </c>
      <c r="H66" s="25" t="inlineStr">
        <is>
          <t>Rev.00</t>
        </is>
      </c>
      <c r="I66" s="31">
        <f>HYPERLINK("01_STARTER/ST-042-STD-04/03_Label.docx","Open")</f>
        <v/>
      </c>
    </row>
    <row r="67">
      <c r="A67" s="25" t="inlineStr">
        <is>
          <t>IA-PPWR-LBL-ST-042-STD-05-R00</t>
        </is>
      </c>
      <c r="B67" s="25" t="inlineStr">
        <is>
          <t>ST-042-STD-05</t>
        </is>
      </c>
      <c r="C67" s="25" t="inlineStr">
        <is>
          <t>IA-ST-042-STD-05</t>
        </is>
      </c>
      <c r="D67" s="25" t="inlineStr">
        <is>
          <t>L6 | Palet (4000037): 1 adet | Çember (4000450): 7 m</t>
        </is>
      </c>
      <c r="E67" s="25" t="inlineStr">
        <is>
          <t>See Technical File material-family summary</t>
        </is>
      </c>
      <c r="F67" s="25" t="inlineStr">
        <is>
          <t>IA-PPWR-TF-ST-042-STD-05-R00</t>
        </is>
      </c>
      <c r="G67" s="25" t="inlineStr">
        <is>
          <t>IA-PPWR-DOC-ST-042-STD-05-R00</t>
        </is>
      </c>
      <c r="H67" s="25" t="inlineStr">
        <is>
          <t>Rev.00</t>
        </is>
      </c>
      <c r="I67" s="31">
        <f>HYPERLINK("01_STARTER/ST-042-STD-05/03_Label.docx","Open")</f>
        <v/>
      </c>
    </row>
    <row r="68">
      <c r="A68" s="25" t="inlineStr">
        <is>
          <t>IA-PPWR-LBL-ST-042-STD-06-R00</t>
        </is>
      </c>
      <c r="B68" s="25" t="inlineStr">
        <is>
          <t>ST-042-STD-06</t>
        </is>
      </c>
      <c r="C68" s="25" t="inlineStr">
        <is>
          <t>IA-ST-042-STD-06</t>
        </is>
      </c>
      <c r="D68" s="25" t="inlineStr">
        <is>
          <t>L6 | Palet (4000037): 1 adet | Çember (4000450): kullanılmaz</t>
        </is>
      </c>
      <c r="E68" s="25" t="inlineStr">
        <is>
          <t>See Technical File material-family summary</t>
        </is>
      </c>
      <c r="F68" s="25" t="inlineStr">
        <is>
          <t>IA-PPWR-TF-ST-042-STD-06-R00</t>
        </is>
      </c>
      <c r="G68" s="25" t="inlineStr">
        <is>
          <t>IA-PPWR-DOC-ST-042-STD-06-R00</t>
        </is>
      </c>
      <c r="H68" s="25" t="inlineStr">
        <is>
          <t>Rev.00</t>
        </is>
      </c>
      <c r="I68" s="31">
        <f>HYPERLINK("01_STARTER/ST-042-STD-06/03_Label.docx","Open")</f>
        <v/>
      </c>
    </row>
    <row r="69">
      <c r="A69" s="25" t="inlineStr">
        <is>
          <t>IA-PPWR-LBL-ST-042-STD-07-R00</t>
        </is>
      </c>
      <c r="B69" s="25" t="inlineStr">
        <is>
          <t>ST-042-STD-07</t>
        </is>
      </c>
      <c r="C69" s="25" t="inlineStr">
        <is>
          <t>IA-ST-042-STD-07</t>
        </is>
      </c>
      <c r="D69" s="25" t="inlineStr">
        <is>
          <t>L6 | Palet (4000037): 1 adet | Köşebent (4000590): 2 adet | Shrink film (4001177): 0.597 kg</t>
        </is>
      </c>
      <c r="E69" s="25" t="inlineStr">
        <is>
          <t>See Technical File material-family summary</t>
        </is>
      </c>
      <c r="F69" s="25" t="inlineStr">
        <is>
          <t>IA-PPWR-TF-ST-042-STD-07-R00</t>
        </is>
      </c>
      <c r="G69" s="25" t="inlineStr">
        <is>
          <t>IA-PPWR-DOC-ST-042-STD-07-R00</t>
        </is>
      </c>
      <c r="H69" s="25" t="inlineStr">
        <is>
          <t>Rev.00</t>
        </is>
      </c>
      <c r="I69" s="31">
        <f>HYPERLINK("01_STARTER/ST-042-STD-07/03_Label.docx","Open")</f>
        <v/>
      </c>
    </row>
    <row r="70">
      <c r="A70" s="25" t="inlineStr">
        <is>
          <t>IA-PPWR-LBL-ST-042-STD-08-R00</t>
        </is>
      </c>
      <c r="B70" s="25" t="inlineStr">
        <is>
          <t>ST-042-STD-08</t>
        </is>
      </c>
      <c r="C70" s="25" t="inlineStr">
        <is>
          <t>IA-ST-042-STD-08</t>
        </is>
      </c>
      <c r="D70" s="25" t="inlineStr">
        <is>
          <t>L6 | Palet (4000037): 1 adet | Köşebent (4000590): 4 adet</t>
        </is>
      </c>
      <c r="E70" s="25" t="inlineStr">
        <is>
          <t>See Technical File material-family summary</t>
        </is>
      </c>
      <c r="F70" s="25" t="inlineStr">
        <is>
          <t>IA-PPWR-TF-ST-042-STD-08-R00</t>
        </is>
      </c>
      <c r="G70" s="25" t="inlineStr">
        <is>
          <t>IA-PPWR-DOC-ST-042-STD-08-R00</t>
        </is>
      </c>
      <c r="H70" s="25" t="inlineStr">
        <is>
          <t>Rev.00</t>
        </is>
      </c>
      <c r="I70" s="31">
        <f>HYPERLINK("01_STARTER/ST-042-STD-08/03_Label.docx","Open")</f>
        <v/>
      </c>
    </row>
    <row r="71">
      <c r="A71" s="25" t="inlineStr">
        <is>
          <t>IA-PPWR-LBL-ST-044-STD-01-R00</t>
        </is>
      </c>
      <c r="B71" s="25" t="inlineStr">
        <is>
          <t>ST-044-STD-01</t>
        </is>
      </c>
      <c r="C71" s="25" t="inlineStr">
        <is>
          <t>IA-ST-044-STD-01</t>
        </is>
      </c>
      <c r="D71" s="25" t="inlineStr">
        <is>
          <t>L2 | L2 YUASA penceresiz Orta Doğu dış koli (4001102): 44 adet</t>
        </is>
      </c>
      <c r="E71" s="25" t="inlineStr">
        <is>
          <t>See Technical File material-family summary</t>
        </is>
      </c>
      <c r="F71" s="25" t="inlineStr">
        <is>
          <t>IA-PPWR-TF-ST-044-STD-01-R00</t>
        </is>
      </c>
      <c r="G71" s="25" t="inlineStr">
        <is>
          <t>IA-PPWR-DOC-ST-044-STD-01-R00</t>
        </is>
      </c>
      <c r="H71" s="25" t="inlineStr">
        <is>
          <t>Rev.00</t>
        </is>
      </c>
      <c r="I71" s="31">
        <f>HYPERLINK("01_STARTER/ST-044-STD-01/03_Label.docx","Open")</f>
        <v/>
      </c>
    </row>
    <row r="72">
      <c r="A72" s="25" t="inlineStr">
        <is>
          <t>IA-PPWR-LBL-ST-045-EUR-01-R00</t>
        </is>
      </c>
      <c r="B72" s="25" t="inlineStr">
        <is>
          <t>ST-045-EUR-01</t>
        </is>
      </c>
      <c r="C72" s="25" t="inlineStr">
        <is>
          <t>IA-ST-045-EUR-01</t>
        </is>
      </c>
      <c r="D72" s="25" t="inlineStr">
        <is>
          <t>L3 | Palet (4000038): 1 adet | Köşebent (4000590): 4 adet</t>
        </is>
      </c>
      <c r="E72" s="25" t="inlineStr">
        <is>
          <t>See Technical File material-family summary</t>
        </is>
      </c>
      <c r="F72" s="25" t="inlineStr">
        <is>
          <t>IA-PPWR-TF-ST-045-EUR-01-R00</t>
        </is>
      </c>
      <c r="G72" s="25" t="inlineStr">
        <is>
          <t>IA-PPWR-DOC-ST-045-EUR-01-R00</t>
        </is>
      </c>
      <c r="H72" s="25" t="inlineStr">
        <is>
          <t>Rev.00</t>
        </is>
      </c>
      <c r="I72" s="31">
        <f>HYPERLINK("01_STARTER/ST-045-EUR-01/03_Label.docx","Open")</f>
        <v/>
      </c>
    </row>
    <row r="73">
      <c r="A73" s="25" t="inlineStr">
        <is>
          <t>IA-PPWR-LBL-ST-045-STD-01-R00</t>
        </is>
      </c>
      <c r="B73" s="25" t="inlineStr">
        <is>
          <t>ST-045-STD-01</t>
        </is>
      </c>
      <c r="C73" s="25" t="inlineStr">
        <is>
          <t>IA-ST-045-STD-01</t>
        </is>
      </c>
      <c r="D73" s="25" t="inlineStr">
        <is>
          <t>L5 | L5 YUASA penceresiz Orta Doğu dış koli (4001105): 45 adet</t>
        </is>
      </c>
      <c r="E73" s="25" t="inlineStr">
        <is>
          <t>See Technical File material-family summary</t>
        </is>
      </c>
      <c r="F73" s="25" t="inlineStr">
        <is>
          <t>IA-PPWR-TF-ST-045-STD-01-R00</t>
        </is>
      </c>
      <c r="G73" s="25" t="inlineStr">
        <is>
          <t>IA-PPWR-DOC-ST-045-STD-01-R00</t>
        </is>
      </c>
      <c r="H73" s="25" t="inlineStr">
        <is>
          <t>Rev.00</t>
        </is>
      </c>
      <c r="I73" s="31">
        <f>HYPERLINK("01_STARTER/ST-045-STD-01/03_Label.docx","Open")</f>
        <v/>
      </c>
    </row>
    <row r="74">
      <c r="A74" s="25" t="inlineStr">
        <is>
          <t>IA-PPWR-LBL-ST-045-STD-02-R00</t>
        </is>
      </c>
      <c r="B74" s="25" t="inlineStr">
        <is>
          <t>ST-045-STD-02</t>
        </is>
      </c>
      <c r="C74" s="25" t="inlineStr">
        <is>
          <t>IA-ST-045-STD-02</t>
        </is>
      </c>
      <c r="D74" s="25" t="inlineStr">
        <is>
          <t>L5 | L5 İnci AGM LEO 95AH 870A pencereli dış koli (4001194): 45 adet</t>
        </is>
      </c>
      <c r="E74" s="25" t="inlineStr">
        <is>
          <t>See Technical File material-family summary</t>
        </is>
      </c>
      <c r="F74" s="25" t="inlineStr">
        <is>
          <t>IA-PPWR-TF-ST-045-STD-02-R00</t>
        </is>
      </c>
      <c r="G74" s="25" t="inlineStr">
        <is>
          <t>IA-PPWR-DOC-ST-045-STD-02-R00</t>
        </is>
      </c>
      <c r="H74" s="25" t="inlineStr">
        <is>
          <t>Rev.00</t>
        </is>
      </c>
      <c r="I74" s="31">
        <f>HYPERLINK("01_STARTER/ST-045-STD-02/03_Label.docx","Open")</f>
        <v/>
      </c>
    </row>
    <row r="75">
      <c r="A75" s="25" t="inlineStr">
        <is>
          <t>IA-PPWR-LBL-ST-045-STD-03-R00</t>
        </is>
      </c>
      <c r="B75" s="25" t="inlineStr">
        <is>
          <t>ST-045-STD-03</t>
        </is>
      </c>
      <c r="C75" s="25" t="inlineStr">
        <is>
          <t>IA-ST-045-STD-03</t>
        </is>
      </c>
      <c r="D75" s="25" t="inlineStr">
        <is>
          <t>L5 | L5 EAS AGM S&amp;S 95AH 870A pencereli dış koli (4001398): 45 adet</t>
        </is>
      </c>
      <c r="E75" s="25" t="inlineStr">
        <is>
          <t>See Technical File material-family summary</t>
        </is>
      </c>
      <c r="F75" s="25" t="inlineStr">
        <is>
          <t>IA-PPWR-TF-ST-045-STD-03-R00</t>
        </is>
      </c>
      <c r="G75" s="25" t="inlineStr">
        <is>
          <t>IA-PPWR-DOC-ST-045-STD-03-R00</t>
        </is>
      </c>
      <c r="H75" s="25" t="inlineStr">
        <is>
          <t>Rev.00</t>
        </is>
      </c>
      <c r="I75" s="31">
        <f>HYPERLINK("01_STARTER/ST-045-STD-03/03_Label.docx","Open")</f>
        <v/>
      </c>
    </row>
    <row r="76">
      <c r="A76" s="25" t="inlineStr">
        <is>
          <t>IA-PPWR-LBL-ST-045-STD-04-R00</t>
        </is>
      </c>
      <c r="B76" s="25" t="inlineStr">
        <is>
          <t>ST-045-STD-04</t>
        </is>
      </c>
      <c r="C76" s="25" t="inlineStr">
        <is>
          <t>IA-ST-045-STD-04</t>
        </is>
      </c>
      <c r="D76" s="25" t="inlineStr">
        <is>
          <t>L5 | Palet (4000037): 1 adet | Separatör (4000130): 4 adet | Streç ped (4000301): 0.186 kg | Köşebent (4000590): 4 adet</t>
        </is>
      </c>
      <c r="E76" s="25" t="inlineStr">
        <is>
          <t>See Technical File material-family summary</t>
        </is>
      </c>
      <c r="F76" s="25" t="inlineStr">
        <is>
          <t>IA-PPWR-TF-ST-045-STD-04-R00</t>
        </is>
      </c>
      <c r="G76" s="25" t="inlineStr">
        <is>
          <t>IA-PPWR-DOC-ST-045-STD-04-R00</t>
        </is>
      </c>
      <c r="H76" s="25" t="inlineStr">
        <is>
          <t>Rev.00</t>
        </is>
      </c>
      <c r="I76" s="31">
        <f>HYPERLINK("01_STARTER/ST-045-STD-04/03_Label.docx","Open")</f>
        <v/>
      </c>
    </row>
    <row r="77">
      <c r="A77" s="25" t="inlineStr">
        <is>
          <t>IA-PPWR-LBL-ST-045-STD-05-R00</t>
        </is>
      </c>
      <c r="B77" s="25" t="inlineStr">
        <is>
          <t>ST-045-STD-05</t>
        </is>
      </c>
      <c r="C77" s="25" t="inlineStr">
        <is>
          <t>IA-ST-045-STD-05</t>
        </is>
      </c>
      <c r="D77" s="25" t="inlineStr">
        <is>
          <t>TRACTORL, TRACTOR | TRAKTÖR PVC üst kapak (4000494): 45 adet | Köşebent (4000590): 2 adet</t>
        </is>
      </c>
      <c r="E77" s="25" t="inlineStr">
        <is>
          <t>See Technical File material-family summary</t>
        </is>
      </c>
      <c r="F77" s="25" t="inlineStr">
        <is>
          <t>IA-PPWR-TF-ST-045-STD-05-R00</t>
        </is>
      </c>
      <c r="G77" s="25" t="inlineStr">
        <is>
          <t>IA-PPWR-DOC-ST-045-STD-05-R00</t>
        </is>
      </c>
      <c r="H77" s="25" t="inlineStr">
        <is>
          <t>Rev.00</t>
        </is>
      </c>
      <c r="I77" s="31">
        <f>HYPERLINK("01_STARTER/ST-045-STD-05/03_Label.docx","Open")</f>
        <v/>
      </c>
    </row>
    <row r="78">
      <c r="A78" s="25" t="inlineStr">
        <is>
          <t>IA-PPWR-LBL-ST-045-STD-06-R00</t>
        </is>
      </c>
      <c r="B78" s="25" t="inlineStr">
        <is>
          <t>ST-045-STD-06</t>
        </is>
      </c>
      <c r="C78" s="25" t="inlineStr">
        <is>
          <t>IA-ST-045-STD-06</t>
        </is>
      </c>
      <c r="D78" s="25" t="inlineStr">
        <is>
          <t>L5 | Palet (4000037): 1 adet | Çember (4000450): 7 m | Shrink film (4000608): kullanılmaz</t>
        </is>
      </c>
      <c r="E78" s="25" t="inlineStr">
        <is>
          <t>See Technical File material-family summary</t>
        </is>
      </c>
      <c r="F78" s="25" t="inlineStr">
        <is>
          <t>IA-PPWR-TF-ST-045-STD-06-R00</t>
        </is>
      </c>
      <c r="G78" s="25" t="inlineStr">
        <is>
          <t>IA-PPWR-DOC-ST-045-STD-06-R00</t>
        </is>
      </c>
      <c r="H78" s="25" t="inlineStr">
        <is>
          <t>Rev.00</t>
        </is>
      </c>
      <c r="I78" s="31">
        <f>HYPERLINK("01_STARTER/ST-045-STD-06/03_Label.docx","Open")</f>
        <v/>
      </c>
    </row>
    <row r="79">
      <c r="A79" s="25" t="inlineStr">
        <is>
          <t>IA-PPWR-LBL-ST-045-STD-07-R00</t>
        </is>
      </c>
      <c r="B79" s="25" t="inlineStr">
        <is>
          <t>ST-045-STD-07</t>
        </is>
      </c>
      <c r="C79" s="25" t="inlineStr">
        <is>
          <t>IA-ST-045-STD-07</t>
        </is>
      </c>
      <c r="D79" s="25" t="inlineStr">
        <is>
          <t>LB5 | Palet (4000037): 1 adet | Shrink film (4000608): 1.53 kg</t>
        </is>
      </c>
      <c r="E79" s="25" t="inlineStr">
        <is>
          <t>See Technical File material-family summary</t>
        </is>
      </c>
      <c r="F79" s="25" t="inlineStr">
        <is>
          <t>IA-PPWR-TF-ST-045-STD-07-R00</t>
        </is>
      </c>
      <c r="G79" s="25" t="inlineStr">
        <is>
          <t>IA-PPWR-DOC-ST-045-STD-07-R00</t>
        </is>
      </c>
      <c r="H79" s="25" t="inlineStr">
        <is>
          <t>Rev.00</t>
        </is>
      </c>
      <c r="I79" s="31">
        <f>HYPERLINK("01_STARTER/ST-045-STD-07/03_Label.docx","Open")</f>
        <v/>
      </c>
    </row>
    <row r="80">
      <c r="A80" s="25" t="inlineStr">
        <is>
          <t>IA-PPWR-LBL-ST-045-STD-08-R00</t>
        </is>
      </c>
      <c r="B80" s="25" t="inlineStr">
        <is>
          <t>ST-045-STD-08</t>
        </is>
      </c>
      <c r="C80" s="25" t="inlineStr">
        <is>
          <t>IA-ST-045-STD-08</t>
        </is>
      </c>
      <c r="D80" s="25" t="inlineStr">
        <is>
          <t>L5 | Palet (4000037): 1 adet | Köşebent (4000590): 2 adet | Shrink film (4000608): 1.8 kg</t>
        </is>
      </c>
      <c r="E80" s="25" t="inlineStr">
        <is>
          <t>See Technical File material-family summary</t>
        </is>
      </c>
      <c r="F80" s="25" t="inlineStr">
        <is>
          <t>IA-PPWR-TF-ST-045-STD-08-R00</t>
        </is>
      </c>
      <c r="G80" s="25" t="inlineStr">
        <is>
          <t>IA-PPWR-DOC-ST-045-STD-08-R00</t>
        </is>
      </c>
      <c r="H80" s="25" t="inlineStr">
        <is>
          <t>Rev.00</t>
        </is>
      </c>
      <c r="I80" s="31">
        <f>HYPERLINK("01_STARTER/ST-045-STD-08/03_Label.docx","Open")</f>
        <v/>
      </c>
    </row>
    <row r="81">
      <c r="A81" s="25" t="inlineStr">
        <is>
          <t>IA-PPWR-LBL-ST-045-STD-09-R00</t>
        </is>
      </c>
      <c r="B81" s="25" t="inlineStr">
        <is>
          <t>ST-045-STD-09</t>
        </is>
      </c>
      <c r="C81" s="25" t="inlineStr">
        <is>
          <t>IA-ST-045-STD-09</t>
        </is>
      </c>
      <c r="D81" s="25" t="inlineStr">
        <is>
          <t>TRACTORL, TRACTOR | TRAKTÖR PVC üst kapak (4000494): 45 adet | Köşebent (4000590): kullanılmaz</t>
        </is>
      </c>
      <c r="E81" s="25" t="inlineStr">
        <is>
          <t>See Technical File material-family summary</t>
        </is>
      </c>
      <c r="F81" s="25" t="inlineStr">
        <is>
          <t>IA-PPWR-TF-ST-045-STD-09-R00</t>
        </is>
      </c>
      <c r="G81" s="25" t="inlineStr">
        <is>
          <t>IA-PPWR-DOC-ST-045-STD-09-R00</t>
        </is>
      </c>
      <c r="H81" s="25" t="inlineStr">
        <is>
          <t>Rev.00</t>
        </is>
      </c>
      <c r="I81" s="31">
        <f>HYPERLINK("01_STARTER/ST-045-STD-09/03_Label.docx","Open")</f>
        <v/>
      </c>
    </row>
    <row r="82">
      <c r="A82" s="25" t="inlineStr">
        <is>
          <t>IA-PPWR-LBL-ST-045-STD-10-R00</t>
        </is>
      </c>
      <c r="B82" s="25" t="inlineStr">
        <is>
          <t>ST-045-STD-10</t>
        </is>
      </c>
      <c r="C82" s="25" t="inlineStr">
        <is>
          <t>IA-ST-045-STD-10</t>
        </is>
      </c>
      <c r="D82" s="25" t="inlineStr">
        <is>
          <t>L5 | Palet (4000037): 1 adet | Çember (4000450): kullanılmaz</t>
        </is>
      </c>
      <c r="E82" s="25" t="inlineStr">
        <is>
          <t>See Technical File material-family summary</t>
        </is>
      </c>
      <c r="F82" s="25" t="inlineStr">
        <is>
          <t>IA-PPWR-TF-ST-045-STD-10-R00</t>
        </is>
      </c>
      <c r="G82" s="25" t="inlineStr">
        <is>
          <t>IA-PPWR-DOC-ST-045-STD-10-R00</t>
        </is>
      </c>
      <c r="H82" s="25" t="inlineStr">
        <is>
          <t>Rev.00</t>
        </is>
      </c>
      <c r="I82" s="31">
        <f>HYPERLINK("01_STARTER/ST-045-STD-10/03_Label.docx","Open")</f>
        <v/>
      </c>
    </row>
    <row r="83">
      <c r="A83" s="25" t="inlineStr">
        <is>
          <t>IA-PPWR-LBL-ST-045-STD-11-R00</t>
        </is>
      </c>
      <c r="B83" s="25" t="inlineStr">
        <is>
          <t>ST-045-STD-11</t>
        </is>
      </c>
      <c r="C83" s="25" t="inlineStr">
        <is>
          <t>IA-ST-045-STD-11</t>
        </is>
      </c>
      <c r="D83" s="25" t="inlineStr">
        <is>
          <t>TRACTOR | Palet (4000037): 1 adet | Shrink film (4001177): 0.597 kg</t>
        </is>
      </c>
      <c r="E83" s="25" t="inlineStr">
        <is>
          <t>See Technical File material-family summary</t>
        </is>
      </c>
      <c r="F83" s="25" t="inlineStr">
        <is>
          <t>IA-PPWR-TF-ST-045-STD-11-R00</t>
        </is>
      </c>
      <c r="G83" s="25" t="inlineStr">
        <is>
          <t>IA-PPWR-DOC-ST-045-STD-11-R00</t>
        </is>
      </c>
      <c r="H83" s="25" t="inlineStr">
        <is>
          <t>Rev.00</t>
        </is>
      </c>
      <c r="I83" s="31">
        <f>HYPERLINK("01_STARTER/ST-045-STD-11/03_Label.docx","Open")</f>
        <v/>
      </c>
    </row>
    <row r="84">
      <c r="A84" s="25" t="inlineStr">
        <is>
          <t>IA-PPWR-LBL-ST-045-STD-12-R00</t>
        </is>
      </c>
      <c r="B84" s="25" t="inlineStr">
        <is>
          <t>ST-045-STD-12</t>
        </is>
      </c>
      <c r="C84" s="25" t="inlineStr">
        <is>
          <t>IA-ST-045-STD-12</t>
        </is>
      </c>
      <c r="D84" s="25" t="inlineStr">
        <is>
          <t>L5 | Palet (4000037): 1 adet | Köşebent (4000590): 2 adet | Shrink film (4001177): 0.597 kg</t>
        </is>
      </c>
      <c r="E84" s="25" t="inlineStr">
        <is>
          <t>See Technical File material-family summary</t>
        </is>
      </c>
      <c r="F84" s="25" t="inlineStr">
        <is>
          <t>IA-PPWR-TF-ST-045-STD-12-R00</t>
        </is>
      </c>
      <c r="G84" s="25" t="inlineStr">
        <is>
          <t>IA-PPWR-DOC-ST-045-STD-12-R00</t>
        </is>
      </c>
      <c r="H84" s="25" t="inlineStr">
        <is>
          <t>Rev.00</t>
        </is>
      </c>
      <c r="I84" s="31">
        <f>HYPERLINK("01_STARTER/ST-045-STD-12/03_Label.docx","Open")</f>
        <v/>
      </c>
    </row>
    <row r="85">
      <c r="A85" s="25" t="inlineStr">
        <is>
          <t>IA-PPWR-LBL-ST-045-STD-13-R00</t>
        </is>
      </c>
      <c r="B85" s="25" t="inlineStr">
        <is>
          <t>ST-045-STD-13</t>
        </is>
      </c>
      <c r="C85" s="25" t="inlineStr">
        <is>
          <t>IA-ST-045-STD-13</t>
        </is>
      </c>
      <c r="D85" s="25" t="inlineStr">
        <is>
          <t>L5 | Palet (4000037): 1 adet | Köşebent (4000590): 4 adet | Shrink film (4001177): 0.597 kg</t>
        </is>
      </c>
      <c r="E85" s="25" t="inlineStr">
        <is>
          <t>See Technical File material-family summary</t>
        </is>
      </c>
      <c r="F85" s="25" t="inlineStr">
        <is>
          <t>IA-PPWR-TF-ST-045-STD-13-R00</t>
        </is>
      </c>
      <c r="G85" s="25" t="inlineStr">
        <is>
          <t>IA-PPWR-DOC-ST-045-STD-13-R00</t>
        </is>
      </c>
      <c r="H85" s="25" t="inlineStr">
        <is>
          <t>Rev.00</t>
        </is>
      </c>
      <c r="I85" s="31">
        <f>HYPERLINK("01_STARTER/ST-045-STD-13/03_Label.docx","Open")</f>
        <v/>
      </c>
    </row>
    <row r="86">
      <c r="A86" s="25" t="inlineStr">
        <is>
          <t>IA-PPWR-LBL-ST-045-STD-14-R00</t>
        </is>
      </c>
      <c r="B86" s="25" t="inlineStr">
        <is>
          <t>ST-045-STD-14</t>
        </is>
      </c>
      <c r="C86" s="25" t="inlineStr">
        <is>
          <t>IA-ST-045-STD-14</t>
        </is>
      </c>
      <c r="D86" s="25" t="inlineStr">
        <is>
          <t>L5 | Palet (4000037): 1 adet | Separatör (4000130): 5 adet</t>
        </is>
      </c>
      <c r="E86" s="25" t="inlineStr">
        <is>
          <t>See Technical File material-family summary</t>
        </is>
      </c>
      <c r="F86" s="25" t="inlineStr">
        <is>
          <t>IA-PPWR-TF-ST-045-STD-14-R00</t>
        </is>
      </c>
      <c r="G86" s="25" t="inlineStr">
        <is>
          <t>IA-PPWR-DOC-ST-045-STD-14-R00</t>
        </is>
      </c>
      <c r="H86" s="25" t="inlineStr">
        <is>
          <t>Rev.00</t>
        </is>
      </c>
      <c r="I86" s="31">
        <f>HYPERLINK("01_STARTER/ST-045-STD-14/03_Label.docx","Open")</f>
        <v/>
      </c>
    </row>
    <row r="87">
      <c r="A87" s="25" t="inlineStr">
        <is>
          <t>IA-PPWR-LBL-ST-048-EUR-01-R00</t>
        </is>
      </c>
      <c r="B87" s="25" t="inlineStr">
        <is>
          <t>ST-048-EUR-01</t>
        </is>
      </c>
      <c r="C87" s="25" t="inlineStr">
        <is>
          <t>IA-ST-048-EUR-01</t>
        </is>
      </c>
      <c r="D87" s="25" t="inlineStr">
        <is>
          <t>L5 | L5 İnci AGM LEO 95AH 870A pencereli dış koli (4001194): 48 adet</t>
        </is>
      </c>
      <c r="E87" s="25" t="inlineStr">
        <is>
          <t>See Technical File material-family summary</t>
        </is>
      </c>
      <c r="F87" s="25" t="inlineStr">
        <is>
          <t>IA-PPWR-TF-ST-048-EUR-01-R00</t>
        </is>
      </c>
      <c r="G87" s="25" t="inlineStr">
        <is>
          <t>IA-PPWR-DOC-ST-048-EUR-01-R00</t>
        </is>
      </c>
      <c r="H87" s="25" t="inlineStr">
        <is>
          <t>Rev.00</t>
        </is>
      </c>
      <c r="I87" s="31">
        <f>HYPERLINK("01_STARTER/ST-048-EUR-01/03_Label.docx","Open")</f>
        <v/>
      </c>
    </row>
    <row r="88">
      <c r="A88" s="25" t="inlineStr">
        <is>
          <t>IA-PPWR-LBL-ST-048-EUR-02-R00</t>
        </is>
      </c>
      <c r="B88" s="25" t="inlineStr">
        <is>
          <t>ST-048-EUR-02</t>
        </is>
      </c>
      <c r="C88" s="25" t="inlineStr">
        <is>
          <t>IA-ST-048-EUR-02</t>
        </is>
      </c>
      <c r="D88" s="25" t="inlineStr">
        <is>
          <t>D26 | D26 PVC üst kapak (4000440): 48 adet</t>
        </is>
      </c>
      <c r="E88" s="25" t="inlineStr">
        <is>
          <t>See Technical File material-family summary</t>
        </is>
      </c>
      <c r="F88" s="25" t="inlineStr">
        <is>
          <t>IA-PPWR-TF-ST-048-EUR-02-R00</t>
        </is>
      </c>
      <c r="G88" s="25" t="inlineStr">
        <is>
          <t>IA-PPWR-DOC-ST-048-EUR-02-R00</t>
        </is>
      </c>
      <c r="H88" s="25" t="inlineStr">
        <is>
          <t>Rev.00</t>
        </is>
      </c>
      <c r="I88" s="31">
        <f>HYPERLINK("01_STARTER/ST-048-EUR-02/03_Label.docx","Open")</f>
        <v/>
      </c>
    </row>
    <row r="89">
      <c r="A89" s="25" t="inlineStr">
        <is>
          <t>IA-PPWR-LBL-ST-048-EUR-03-R00</t>
        </is>
      </c>
      <c r="B89" s="25" t="inlineStr">
        <is>
          <t>ST-048-EUR-03</t>
        </is>
      </c>
      <c r="C89" s="25" t="inlineStr">
        <is>
          <t>IA-ST-048-EUR-03</t>
        </is>
      </c>
      <c r="D89" s="25" t="inlineStr">
        <is>
          <t>D31 | Palet (4000038): 1 adet | EPS (4000573): 24 adet</t>
        </is>
      </c>
      <c r="E89" s="25" t="inlineStr">
        <is>
          <t>See Technical File material-family summary</t>
        </is>
      </c>
      <c r="F89" s="25" t="inlineStr">
        <is>
          <t>IA-PPWR-TF-ST-048-EUR-03-R00</t>
        </is>
      </c>
      <c r="G89" s="25" t="inlineStr">
        <is>
          <t>IA-PPWR-DOC-ST-048-EUR-03-R00</t>
        </is>
      </c>
      <c r="H89" s="25" t="inlineStr">
        <is>
          <t>Rev.00</t>
        </is>
      </c>
      <c r="I89" s="31">
        <f>HYPERLINK("01_STARTER/ST-048-EUR-03/03_Label.docx","Open")</f>
        <v/>
      </c>
    </row>
    <row r="90">
      <c r="A90" s="25" t="inlineStr">
        <is>
          <t>IA-PPWR-LBL-ST-048-EUR-04-R00</t>
        </is>
      </c>
      <c r="B90" s="25" t="inlineStr">
        <is>
          <t>ST-048-EUR-04</t>
        </is>
      </c>
      <c r="C90" s="25" t="inlineStr">
        <is>
          <t>IA-ST-048-EUR-04</t>
        </is>
      </c>
      <c r="D90" s="25" t="inlineStr">
        <is>
          <t>L5 | Palet (4000038): 1 adet | Shrink film (4000608): 1.92 kg</t>
        </is>
      </c>
      <c r="E90" s="25" t="inlineStr">
        <is>
          <t>See Technical File material-family summary</t>
        </is>
      </c>
      <c r="F90" s="25" t="inlineStr">
        <is>
          <t>IA-PPWR-TF-ST-048-EUR-04-R00</t>
        </is>
      </c>
      <c r="G90" s="25" t="inlineStr">
        <is>
          <t>IA-PPWR-DOC-ST-048-EUR-04-R00</t>
        </is>
      </c>
      <c r="H90" s="25" t="inlineStr">
        <is>
          <t>Rev.00</t>
        </is>
      </c>
      <c r="I90" s="31">
        <f>HYPERLINK("01_STARTER/ST-048-EUR-04/03_Label.docx","Open")</f>
        <v/>
      </c>
    </row>
    <row r="91">
      <c r="A91" s="25" t="inlineStr">
        <is>
          <t>IA-PPWR-LBL-ST-048-EUR-05-R00</t>
        </is>
      </c>
      <c r="B91" s="25" t="inlineStr">
        <is>
          <t>ST-048-EUR-05</t>
        </is>
      </c>
      <c r="C91" s="25" t="inlineStr">
        <is>
          <t>IA-ST-048-EUR-05</t>
        </is>
      </c>
      <c r="D91" s="25" t="inlineStr">
        <is>
          <t>D31 | Palet (4000038): 1 adet | Honeycomb (4001186): 3 adet</t>
        </is>
      </c>
      <c r="E91" s="25" t="inlineStr">
        <is>
          <t>See Technical File material-family summary</t>
        </is>
      </c>
      <c r="F91" s="25" t="inlineStr">
        <is>
          <t>IA-PPWR-TF-ST-048-EUR-05-R00</t>
        </is>
      </c>
      <c r="G91" s="25" t="inlineStr">
        <is>
          <t>IA-PPWR-DOC-ST-048-EUR-05-R00</t>
        </is>
      </c>
      <c r="H91" s="25" t="inlineStr">
        <is>
          <t>Rev.00</t>
        </is>
      </c>
      <c r="I91" s="31">
        <f>HYPERLINK("01_STARTER/ST-048-EUR-05/03_Label.docx","Open")</f>
        <v/>
      </c>
    </row>
    <row r="92">
      <c r="A92" s="25" t="inlineStr">
        <is>
          <t>IA-PPWR-LBL-ST-048-EUR-06-R00</t>
        </is>
      </c>
      <c r="B92" s="25" t="inlineStr">
        <is>
          <t>ST-048-EUR-06</t>
        </is>
      </c>
      <c r="C92" s="25" t="inlineStr">
        <is>
          <t>IA-ST-048-EUR-06</t>
        </is>
      </c>
      <c r="D92" s="25" t="inlineStr">
        <is>
          <t>D31 | Palet (4000038): 1 adet | Köşebent (4000590): 4 adet | EPS (4001247): 3 adet</t>
        </is>
      </c>
      <c r="E92" s="25" t="inlineStr">
        <is>
          <t>See Technical File material-family summary</t>
        </is>
      </c>
      <c r="F92" s="25" t="inlineStr">
        <is>
          <t>IA-PPWR-TF-ST-048-EUR-06-R00</t>
        </is>
      </c>
      <c r="G92" s="25" t="inlineStr">
        <is>
          <t>IA-PPWR-DOC-ST-048-EUR-06-R00</t>
        </is>
      </c>
      <c r="H92" s="25" t="inlineStr">
        <is>
          <t>Rev.00</t>
        </is>
      </c>
      <c r="I92" s="31">
        <f>HYPERLINK("01_STARTER/ST-048-EUR-06/03_Label.docx","Open")</f>
        <v/>
      </c>
    </row>
    <row r="93">
      <c r="A93" s="25" t="inlineStr">
        <is>
          <t>IA-PPWR-LBL-ST-048-EUR-07-R00</t>
        </is>
      </c>
      <c r="B93" s="25" t="inlineStr">
        <is>
          <t>ST-048-EUR-07</t>
        </is>
      </c>
      <c r="C93" s="25" t="inlineStr">
        <is>
          <t>IA-ST-048-EUR-07</t>
        </is>
      </c>
      <c r="D93" s="25" t="inlineStr">
        <is>
          <t>L3 | Palet (4000038): 1 adet | Köşebent (4000590): 4 adet</t>
        </is>
      </c>
      <c r="E93" s="25" t="inlineStr">
        <is>
          <t>See Technical File material-family summary</t>
        </is>
      </c>
      <c r="F93" s="25" t="inlineStr">
        <is>
          <t>IA-PPWR-TF-ST-048-EUR-07-R00</t>
        </is>
      </c>
      <c r="G93" s="25" t="inlineStr">
        <is>
          <t>IA-PPWR-DOC-ST-048-EUR-07-R00</t>
        </is>
      </c>
      <c r="H93" s="25" t="inlineStr">
        <is>
          <t>Rev.00</t>
        </is>
      </c>
      <c r="I93" s="31">
        <f>HYPERLINK("01_STARTER/ST-048-EUR-07/03_Label.docx","Open")</f>
        <v/>
      </c>
    </row>
    <row r="94">
      <c r="A94" s="25" t="inlineStr">
        <is>
          <t>IA-PPWR-LBL-ST-048-EUR-08-R00</t>
        </is>
      </c>
      <c r="B94" s="25" t="inlineStr">
        <is>
          <t>ST-048-EUR-08</t>
        </is>
      </c>
      <c r="C94" s="25" t="inlineStr">
        <is>
          <t>IA-ST-048-EUR-08</t>
        </is>
      </c>
      <c r="D94" s="25" t="inlineStr">
        <is>
          <t>L5 | Palet (4000038): 1 adet | Köşebent (4000590): 4 adet | Shrink film (4000608): kullanılmaz</t>
        </is>
      </c>
      <c r="E94" s="25" t="inlineStr">
        <is>
          <t>See Technical File material-family summary</t>
        </is>
      </c>
      <c r="F94" s="25" t="inlineStr">
        <is>
          <t>IA-PPWR-TF-ST-048-EUR-08-R00</t>
        </is>
      </c>
      <c r="G94" s="25" t="inlineStr">
        <is>
          <t>IA-PPWR-DOC-ST-048-EUR-08-R00</t>
        </is>
      </c>
      <c r="H94" s="25" t="inlineStr">
        <is>
          <t>Rev.00</t>
        </is>
      </c>
      <c r="I94" s="31">
        <f>HYPERLINK("01_STARTER/ST-048-EUR-08/03_Label.docx","Open")</f>
        <v/>
      </c>
    </row>
    <row r="95">
      <c r="A95" s="25" t="inlineStr">
        <is>
          <t>IA-PPWR-LBL-ST-048-EUR-09-R00</t>
        </is>
      </c>
      <c r="B95" s="25" t="inlineStr">
        <is>
          <t>ST-048-EUR-09</t>
        </is>
      </c>
      <c r="C95" s="25" t="inlineStr">
        <is>
          <t>IA-ST-048-EUR-09</t>
        </is>
      </c>
      <c r="D95" s="25" t="inlineStr">
        <is>
          <t>D31 | D31 PVC üst kapak (4001310): 48 adet</t>
        </is>
      </c>
      <c r="E95" s="25" t="inlineStr">
        <is>
          <t>See Technical File material-family summary</t>
        </is>
      </c>
      <c r="F95" s="25" t="inlineStr">
        <is>
          <t>IA-PPWR-TF-ST-048-EUR-09-R00</t>
        </is>
      </c>
      <c r="G95" s="25" t="inlineStr">
        <is>
          <t>IA-PPWR-DOC-ST-048-EUR-09-R00</t>
        </is>
      </c>
      <c r="H95" s="25" t="inlineStr">
        <is>
          <t>Rev.00</t>
        </is>
      </c>
      <c r="I95" s="31">
        <f>HYPERLINK("01_STARTER/ST-048-EUR-09/03_Label.docx","Open")</f>
        <v/>
      </c>
    </row>
    <row r="96">
      <c r="A96" s="25" t="inlineStr">
        <is>
          <t>IA-PPWR-LBL-ST-048-EUR-10-R00</t>
        </is>
      </c>
      <c r="B96" s="25" t="inlineStr">
        <is>
          <t>ST-048-EUR-10</t>
        </is>
      </c>
      <c r="C96" s="25" t="inlineStr">
        <is>
          <t>IA-ST-048-EUR-10</t>
        </is>
      </c>
      <c r="D96" s="25" t="inlineStr">
        <is>
          <t>L5, LB5 | Palet (4000038): 1 adet | Shrink film (4000608): 1.92 kg</t>
        </is>
      </c>
      <c r="E96" s="25" t="inlineStr">
        <is>
          <t>See Technical File material-family summary</t>
        </is>
      </c>
      <c r="F96" s="25" t="inlineStr">
        <is>
          <t>IA-PPWR-TF-ST-048-EUR-10-R00</t>
        </is>
      </c>
      <c r="G96" s="25" t="inlineStr">
        <is>
          <t>IA-PPWR-DOC-ST-048-EUR-10-R00</t>
        </is>
      </c>
      <c r="H96" s="25" t="inlineStr">
        <is>
          <t>Rev.00</t>
        </is>
      </c>
      <c r="I96" s="31">
        <f>HYPERLINK("01_STARTER/ST-048-EUR-10/03_Label.docx","Open")</f>
        <v/>
      </c>
    </row>
    <row r="97">
      <c r="A97" s="25" t="inlineStr">
        <is>
          <t>IA-PPWR-LBL-ST-048-EUR-11-R00</t>
        </is>
      </c>
      <c r="B97" s="25" t="inlineStr">
        <is>
          <t>ST-048-EUR-11</t>
        </is>
      </c>
      <c r="C97" s="25" t="inlineStr">
        <is>
          <t>IA-ST-048-EUR-11</t>
        </is>
      </c>
      <c r="D97" s="25" t="inlineStr">
        <is>
          <t>D31 | Palet (4000038): 1 adet | Köşebent (4000590): 2 adet | EPS (4001247): 3 adet</t>
        </is>
      </c>
      <c r="E97" s="25" t="inlineStr">
        <is>
          <t>See Technical File material-family summary</t>
        </is>
      </c>
      <c r="F97" s="25" t="inlineStr">
        <is>
          <t>IA-PPWR-TF-ST-048-EUR-11-R00</t>
        </is>
      </c>
      <c r="G97" s="25" t="inlineStr">
        <is>
          <t>IA-PPWR-DOC-ST-048-EUR-11-R00</t>
        </is>
      </c>
      <c r="H97" s="25" t="inlineStr">
        <is>
          <t>Rev.00</t>
        </is>
      </c>
      <c r="I97" s="31">
        <f>HYPERLINK("01_STARTER/ST-048-EUR-11/03_Label.docx","Open")</f>
        <v/>
      </c>
    </row>
    <row r="98">
      <c r="A98" s="25" t="inlineStr">
        <is>
          <t>IA-PPWR-LBL-ST-048-EUR-12-R00</t>
        </is>
      </c>
      <c r="B98" s="25" t="inlineStr">
        <is>
          <t>ST-048-EUR-12</t>
        </is>
      </c>
      <c r="C98" s="25" t="inlineStr">
        <is>
          <t>IA-ST-048-EUR-12</t>
        </is>
      </c>
      <c r="D98" s="25" t="inlineStr">
        <is>
          <t>LB5, L5 | Palet (4000038): 1 adet | Köşebent (4000590): 2 adet</t>
        </is>
      </c>
      <c r="E98" s="25" t="inlineStr">
        <is>
          <t>See Technical File material-family summary</t>
        </is>
      </c>
      <c r="F98" s="25" t="inlineStr">
        <is>
          <t>IA-PPWR-TF-ST-048-EUR-12-R00</t>
        </is>
      </c>
      <c r="G98" s="25" t="inlineStr">
        <is>
          <t>IA-PPWR-DOC-ST-048-EUR-12-R00</t>
        </is>
      </c>
      <c r="H98" s="25" t="inlineStr">
        <is>
          <t>Rev.00</t>
        </is>
      </c>
      <c r="I98" s="31">
        <f>HYPERLINK("01_STARTER/ST-048-EUR-12/03_Label.docx","Open")</f>
        <v/>
      </c>
    </row>
    <row r="99">
      <c r="A99" s="25" t="inlineStr">
        <is>
          <t>IA-PPWR-LBL-ST-048-STD-01-R00</t>
        </is>
      </c>
      <c r="B99" s="25" t="inlineStr">
        <is>
          <t>ST-048-STD-01</t>
        </is>
      </c>
      <c r="C99" s="25" t="inlineStr">
        <is>
          <t>IA-ST-048-STD-01</t>
        </is>
      </c>
      <c r="D99" s="25" t="inlineStr">
        <is>
          <t>L1 | L1 YUASA penceresiz Orta Doğu dış koli (4001312): 48 adet</t>
        </is>
      </c>
      <c r="E99" s="25" t="inlineStr">
        <is>
          <t>See Technical File material-family summary</t>
        </is>
      </c>
      <c r="F99" s="25" t="inlineStr">
        <is>
          <t>IA-PPWR-TF-ST-048-STD-01-R00</t>
        </is>
      </c>
      <c r="G99" s="25" t="inlineStr">
        <is>
          <t>IA-PPWR-DOC-ST-048-STD-01-R00</t>
        </is>
      </c>
      <c r="H99" s="25" t="inlineStr">
        <is>
          <t>Rev.00</t>
        </is>
      </c>
      <c r="I99" s="31">
        <f>HYPERLINK("01_STARTER/ST-048-STD-01/03_Label.docx","Open")</f>
        <v/>
      </c>
    </row>
    <row r="100">
      <c r="A100" s="25" t="inlineStr">
        <is>
          <t>IA-PPWR-LBL-ST-048-STD-02-R00</t>
        </is>
      </c>
      <c r="B100" s="25" t="inlineStr">
        <is>
          <t>ST-048-STD-02</t>
        </is>
      </c>
      <c r="C100" s="25" t="inlineStr">
        <is>
          <t>IA-ST-048-STD-02</t>
        </is>
      </c>
      <c r="D100" s="25" t="inlineStr">
        <is>
          <t>L2 | Palet (4000037): 1 adet | Shrink film (4000558): 1.824 kg</t>
        </is>
      </c>
      <c r="E100" s="25" t="inlineStr">
        <is>
          <t>See Technical File material-family summary</t>
        </is>
      </c>
      <c r="F100" s="25" t="inlineStr">
        <is>
          <t>IA-PPWR-TF-ST-048-STD-02-R00</t>
        </is>
      </c>
      <c r="G100" s="25" t="inlineStr">
        <is>
          <t>IA-PPWR-DOC-ST-048-STD-02-R00</t>
        </is>
      </c>
      <c r="H100" s="25" t="inlineStr">
        <is>
          <t>Rev.00</t>
        </is>
      </c>
      <c r="I100" s="31">
        <f>HYPERLINK("01_STARTER/ST-048-STD-02/03_Label.docx","Open")</f>
        <v/>
      </c>
    </row>
    <row r="101">
      <c r="A101" s="25" t="inlineStr">
        <is>
          <t>IA-PPWR-LBL-ST-051-EUR-01-R00</t>
        </is>
      </c>
      <c r="B101" s="25" t="inlineStr">
        <is>
          <t>ST-051-EUR-01</t>
        </is>
      </c>
      <c r="C101" s="25" t="inlineStr">
        <is>
          <t>IA-ST-051-EUR-01</t>
        </is>
      </c>
      <c r="D101" s="25" t="inlineStr">
        <is>
          <t>LB3, L3 | Palet (4000038): 1 adet | Köşebent (4000590): 4 adet</t>
        </is>
      </c>
      <c r="E101" s="25" t="inlineStr">
        <is>
          <t>See Technical File material-family summary</t>
        </is>
      </c>
      <c r="F101" s="25" t="inlineStr">
        <is>
          <t>IA-PPWR-TF-ST-051-EUR-01-R00</t>
        </is>
      </c>
      <c r="G101" s="25" t="inlineStr">
        <is>
          <t>IA-PPWR-DOC-ST-051-EUR-01-R00</t>
        </is>
      </c>
      <c r="H101" s="25" t="inlineStr">
        <is>
          <t>Rev.00</t>
        </is>
      </c>
      <c r="I101" s="31">
        <f>HYPERLINK("01_STARTER/ST-051-EUR-01/03_Label.docx","Open")</f>
        <v/>
      </c>
    </row>
    <row r="102">
      <c r="A102" s="25" t="inlineStr">
        <is>
          <t>IA-PPWR-LBL-ST-051-EUR-02-R00</t>
        </is>
      </c>
      <c r="B102" s="25" t="inlineStr">
        <is>
          <t>ST-051-EUR-02</t>
        </is>
      </c>
      <c r="C102" s="25" t="inlineStr">
        <is>
          <t>IA-ST-051-EUR-02</t>
        </is>
      </c>
      <c r="D102" s="25" t="inlineStr">
        <is>
          <t>LB3 | Palet (4000038): 1 adet | Shrink film (4000558): 1.579 kg</t>
        </is>
      </c>
      <c r="E102" s="25" t="inlineStr">
        <is>
          <t>See Technical File material-family summary</t>
        </is>
      </c>
      <c r="F102" s="25" t="inlineStr">
        <is>
          <t>IA-PPWR-TF-ST-051-EUR-02-R00</t>
        </is>
      </c>
      <c r="G102" s="25" t="inlineStr">
        <is>
          <t>IA-PPWR-DOC-ST-051-EUR-02-R00</t>
        </is>
      </c>
      <c r="H102" s="25" t="inlineStr">
        <is>
          <t>Rev.00</t>
        </is>
      </c>
      <c r="I102" s="31">
        <f>HYPERLINK("01_STARTER/ST-051-EUR-02/03_Label.docx","Open")</f>
        <v/>
      </c>
    </row>
    <row r="103">
      <c r="A103" s="25" t="inlineStr">
        <is>
          <t>IA-PPWR-LBL-ST-051-EUR-03-R00</t>
        </is>
      </c>
      <c r="B103" s="25" t="inlineStr">
        <is>
          <t>ST-051-EUR-03</t>
        </is>
      </c>
      <c r="C103" s="25" t="inlineStr">
        <is>
          <t>IA-ST-051-EUR-03</t>
        </is>
      </c>
      <c r="D103" s="25" t="inlineStr">
        <is>
          <t>L3 | Palet (4000038): 1 adet | Shrink film (4000558): 1.684 kg</t>
        </is>
      </c>
      <c r="E103" s="25" t="inlineStr">
        <is>
          <t>See Technical File material-family summary</t>
        </is>
      </c>
      <c r="F103" s="25" t="inlineStr">
        <is>
          <t>IA-PPWR-TF-ST-051-EUR-03-R00</t>
        </is>
      </c>
      <c r="G103" s="25" t="inlineStr">
        <is>
          <t>IA-PPWR-DOC-ST-051-EUR-03-R00</t>
        </is>
      </c>
      <c r="H103" s="25" t="inlineStr">
        <is>
          <t>Rev.00</t>
        </is>
      </c>
      <c r="I103" s="31">
        <f>HYPERLINK("01_STARTER/ST-051-EUR-03/03_Label.docx","Open")</f>
        <v/>
      </c>
    </row>
    <row r="104">
      <c r="A104" s="25" t="inlineStr">
        <is>
          <t>IA-PPWR-LBL-ST-051-EUR-04-R00</t>
        </is>
      </c>
      <c r="B104" s="25" t="inlineStr">
        <is>
          <t>ST-051-EUR-04</t>
        </is>
      </c>
      <c r="C104" s="25" t="inlineStr">
        <is>
          <t>IA-ST-051-EUR-04</t>
        </is>
      </c>
      <c r="D104" s="25" t="inlineStr">
        <is>
          <t>L3, LB3 | Palet (4000038): 1 adet | Köşebent (4000590): 2 adet</t>
        </is>
      </c>
      <c r="E104" s="25" t="inlineStr">
        <is>
          <t>See Technical File material-family summary</t>
        </is>
      </c>
      <c r="F104" s="25" t="inlineStr">
        <is>
          <t>IA-PPWR-TF-ST-051-EUR-04-R00</t>
        </is>
      </c>
      <c r="G104" s="25" t="inlineStr">
        <is>
          <t>IA-PPWR-DOC-ST-051-EUR-04-R00</t>
        </is>
      </c>
      <c r="H104" s="25" t="inlineStr">
        <is>
          <t>Rev.00</t>
        </is>
      </c>
      <c r="I104" s="31">
        <f>HYPERLINK("01_STARTER/ST-051-EUR-04/03_Label.docx","Open")</f>
        <v/>
      </c>
    </row>
    <row r="105">
      <c r="A105" s="25" t="inlineStr">
        <is>
          <t>IA-PPWR-LBL-ST-051-STD-01-R00</t>
        </is>
      </c>
      <c r="B105" s="25" t="inlineStr">
        <is>
          <t>ST-051-STD-01</t>
        </is>
      </c>
      <c r="C105" s="25" t="inlineStr">
        <is>
          <t>IA-ST-051-STD-01</t>
        </is>
      </c>
      <c r="D105" s="25" t="inlineStr">
        <is>
          <t>D31 | Köşebent (4000033): 6 adet | D31 EAS Activa penceresiz dış koli (4000782): 51 adet</t>
        </is>
      </c>
      <c r="E105" s="25" t="inlineStr">
        <is>
          <t>See Technical File material-family summary</t>
        </is>
      </c>
      <c r="F105" s="25" t="inlineStr">
        <is>
          <t>IA-PPWR-TF-ST-051-STD-01-R00</t>
        </is>
      </c>
      <c r="G105" s="25" t="inlineStr">
        <is>
          <t>IA-PPWR-DOC-ST-051-STD-01-R00</t>
        </is>
      </c>
      <c r="H105" s="25" t="inlineStr">
        <is>
          <t>Rev.00</t>
        </is>
      </c>
      <c r="I105" s="31">
        <f>HYPERLINK("01_STARTER/ST-051-STD-01/03_Label.docx","Open")</f>
        <v/>
      </c>
    </row>
    <row r="106">
      <c r="A106" s="25" t="inlineStr">
        <is>
          <t>IA-PPWR-LBL-ST-051-STD-02-R00</t>
        </is>
      </c>
      <c r="B106" s="25" t="inlineStr">
        <is>
          <t>ST-051-STD-02</t>
        </is>
      </c>
      <c r="C106" s="25" t="inlineStr">
        <is>
          <t>IA-ST-051-STD-02</t>
        </is>
      </c>
      <c r="D106" s="25" t="inlineStr">
        <is>
          <t>D31 | D31 YUASA penceresiz Orta Doğu dış koli (4001108): 51 adet</t>
        </is>
      </c>
      <c r="E106" s="25" t="inlineStr">
        <is>
          <t>See Technical File material-family summary</t>
        </is>
      </c>
      <c r="F106" s="25" t="inlineStr">
        <is>
          <t>IA-PPWR-TF-ST-051-STD-02-R00</t>
        </is>
      </c>
      <c r="G106" s="25" t="inlineStr">
        <is>
          <t>IA-PPWR-DOC-ST-051-STD-02-R00</t>
        </is>
      </c>
      <c r="H106" s="25" t="inlineStr">
        <is>
          <t>Rev.00</t>
        </is>
      </c>
      <c r="I106" s="31">
        <f>HYPERLINK("01_STARTER/ST-051-STD-02/03_Label.docx","Open")</f>
        <v/>
      </c>
    </row>
    <row r="107">
      <c r="A107" s="25" t="inlineStr">
        <is>
          <t>IA-PPWR-LBL-ST-051-STD-03-R00</t>
        </is>
      </c>
      <c r="B107" s="25" t="inlineStr">
        <is>
          <t>ST-051-STD-03</t>
        </is>
      </c>
      <c r="C107" s="25" t="inlineStr">
        <is>
          <t>IA-ST-051-STD-03</t>
        </is>
      </c>
      <c r="D107" s="25" t="inlineStr">
        <is>
          <t>L4 | L4 YUASA penceresiz Orta Doğu dış koli (4001313): 51 adet</t>
        </is>
      </c>
      <c r="E107" s="25" t="inlineStr">
        <is>
          <t>See Technical File material-family summary</t>
        </is>
      </c>
      <c r="F107" s="25" t="inlineStr">
        <is>
          <t>IA-PPWR-TF-ST-051-STD-03-R00</t>
        </is>
      </c>
      <c r="G107" s="25" t="inlineStr">
        <is>
          <t>IA-PPWR-DOC-ST-051-STD-03-R00</t>
        </is>
      </c>
      <c r="H107" s="25" t="inlineStr">
        <is>
          <t>Rev.00</t>
        </is>
      </c>
      <c r="I107" s="31">
        <f>HYPERLINK("01_STARTER/ST-051-STD-03/03_Label.docx","Open")</f>
        <v/>
      </c>
    </row>
    <row r="108">
      <c r="A108" s="25" t="inlineStr">
        <is>
          <t>IA-PPWR-LBL-ST-051-STD-04-R00</t>
        </is>
      </c>
      <c r="B108" s="25" t="inlineStr">
        <is>
          <t>ST-051-STD-04</t>
        </is>
      </c>
      <c r="C108" s="25" t="inlineStr">
        <is>
          <t>IA-ST-051-STD-04</t>
        </is>
      </c>
      <c r="D108" s="25" t="inlineStr">
        <is>
          <t>D31 | Köşebent (4000033): 8 adet | D31 EAS Activa penceresiz dış koli (4000782): 51 adet</t>
        </is>
      </c>
      <c r="E108" s="25" t="inlineStr">
        <is>
          <t>See Technical File material-family summary</t>
        </is>
      </c>
      <c r="F108" s="25" t="inlineStr">
        <is>
          <t>IA-PPWR-TF-ST-051-STD-04-R00</t>
        </is>
      </c>
      <c r="G108" s="25" t="inlineStr">
        <is>
          <t>IA-PPWR-DOC-ST-051-STD-04-R00</t>
        </is>
      </c>
      <c r="H108" s="25" t="inlineStr">
        <is>
          <t>Rev.00</t>
        </is>
      </c>
      <c r="I108" s="31">
        <f>HYPERLINK("01_STARTER/ST-051-STD-04/03_Label.docx","Open")</f>
        <v/>
      </c>
    </row>
    <row r="109">
      <c r="A109" s="25" t="inlineStr">
        <is>
          <t>IA-PPWR-LBL-ST-051-STD-05-R00</t>
        </is>
      </c>
      <c r="B109" s="25" t="inlineStr">
        <is>
          <t>ST-051-STD-05</t>
        </is>
      </c>
      <c r="C109" s="25" t="inlineStr">
        <is>
          <t>IA-ST-051-STD-05</t>
        </is>
      </c>
      <c r="D109" s="25" t="inlineStr">
        <is>
          <t>D31 | D31 BLIZZARO SILVERLINE penceresiz dış koli (4001433): 51 adet</t>
        </is>
      </c>
      <c r="E109" s="25" t="inlineStr">
        <is>
          <t>See Technical File material-family summary</t>
        </is>
      </c>
      <c r="F109" s="25" t="inlineStr">
        <is>
          <t>IA-PPWR-TF-ST-051-STD-05-R00</t>
        </is>
      </c>
      <c r="G109" s="25" t="inlineStr">
        <is>
          <t>IA-PPWR-DOC-ST-051-STD-05-R00</t>
        </is>
      </c>
      <c r="H109" s="25" t="inlineStr">
        <is>
          <t>Rev.00</t>
        </is>
      </c>
      <c r="I109" s="31">
        <f>HYPERLINK("01_STARTER/ST-051-STD-05/03_Label.docx","Open")</f>
        <v/>
      </c>
    </row>
    <row r="110">
      <c r="A110" s="25" t="inlineStr">
        <is>
          <t>IA-PPWR-LBL-ST-051-STD-06-R00</t>
        </is>
      </c>
      <c r="B110" s="25" t="inlineStr">
        <is>
          <t>ST-051-STD-06</t>
        </is>
      </c>
      <c r="C110" s="25" t="inlineStr">
        <is>
          <t>IA-ST-051-STD-06</t>
        </is>
      </c>
      <c r="D110" s="25" t="inlineStr">
        <is>
          <t>L4 | L4 EAS AGM S&amp;S 80AH 800A pencereli dış koli (4001397): 51 adet</t>
        </is>
      </c>
      <c r="E110" s="25" t="inlineStr">
        <is>
          <t>See Technical File material-family summary</t>
        </is>
      </c>
      <c r="F110" s="25" t="inlineStr">
        <is>
          <t>IA-PPWR-TF-ST-051-STD-06-R00</t>
        </is>
      </c>
      <c r="G110" s="25" t="inlineStr">
        <is>
          <t>IA-PPWR-DOC-ST-051-STD-06-R00</t>
        </is>
      </c>
      <c r="H110" s="25" t="inlineStr">
        <is>
          <t>Rev.00</t>
        </is>
      </c>
      <c r="I110" s="31">
        <f>HYPERLINK("01_STARTER/ST-051-STD-06/03_Label.docx","Open")</f>
        <v/>
      </c>
    </row>
    <row r="111">
      <c r="A111" s="25" t="inlineStr">
        <is>
          <t>IA-PPWR-LBL-ST-051-STD-07-R00</t>
        </is>
      </c>
      <c r="B111" s="25" t="inlineStr">
        <is>
          <t>ST-051-STD-07</t>
        </is>
      </c>
      <c r="C111" s="25" t="inlineStr">
        <is>
          <t>IA-ST-051-STD-07</t>
        </is>
      </c>
      <c r="D111" s="25" t="inlineStr">
        <is>
          <t>D31 | D31 İnci FORMULA-MAXIMA penceresiz dış koli (4001211): 51 adet | Separatör (4000130): 5 adet</t>
        </is>
      </c>
      <c r="E111" s="25" t="inlineStr">
        <is>
          <t>See Technical File material-family summary</t>
        </is>
      </c>
      <c r="F111" s="25" t="inlineStr">
        <is>
          <t>IA-PPWR-TF-ST-051-STD-07-R00</t>
        </is>
      </c>
      <c r="G111" s="25" t="inlineStr">
        <is>
          <t>IA-PPWR-DOC-ST-051-STD-07-R00</t>
        </is>
      </c>
      <c r="H111" s="25" t="inlineStr">
        <is>
          <t>Rev.00</t>
        </is>
      </c>
      <c r="I111" s="31">
        <f>HYPERLINK("01_STARTER/ST-051-STD-07/03_Label.docx","Open")</f>
        <v/>
      </c>
    </row>
    <row r="112">
      <c r="A112" s="25" t="inlineStr">
        <is>
          <t>IA-PPWR-LBL-ST-051-STD-08-R00</t>
        </is>
      </c>
      <c r="B112" s="25" t="inlineStr">
        <is>
          <t>ST-051-STD-08</t>
        </is>
      </c>
      <c r="C112" s="25" t="inlineStr">
        <is>
          <t>IA-ST-051-STD-08</t>
        </is>
      </c>
      <c r="D112" s="25" t="inlineStr">
        <is>
          <t>D31 | D31 İnci FORMULA-MAXIMA penceresiz dış koli (4001211): 51 adet | Köşebent (4000590): 8 adet</t>
        </is>
      </c>
      <c r="E112" s="25" t="inlineStr">
        <is>
          <t>See Technical File material-family summary</t>
        </is>
      </c>
      <c r="F112" s="25" t="inlineStr">
        <is>
          <t>IA-PPWR-TF-ST-051-STD-08-R00</t>
        </is>
      </c>
      <c r="G112" s="25" t="inlineStr">
        <is>
          <t>IA-PPWR-DOC-ST-051-STD-08-R00</t>
        </is>
      </c>
      <c r="H112" s="25" t="inlineStr">
        <is>
          <t>Rev.00</t>
        </is>
      </c>
      <c r="I112" s="31">
        <f>HYPERLINK("01_STARTER/ST-051-STD-08/03_Label.docx","Open")</f>
        <v/>
      </c>
    </row>
    <row r="113">
      <c r="A113" s="25" t="inlineStr">
        <is>
          <t>IA-PPWR-LBL-ST-054-EUR-01-R00</t>
        </is>
      </c>
      <c r="B113" s="25" t="inlineStr">
        <is>
          <t>ST-054-EUR-01</t>
        </is>
      </c>
      <c r="C113" s="25" t="inlineStr">
        <is>
          <t>IA-ST-054-EUR-01</t>
        </is>
      </c>
      <c r="D113" s="25" t="inlineStr">
        <is>
          <t>L2 | Palet (4000038): 1 adet | Köşebent (4000590): 4 adet</t>
        </is>
      </c>
      <c r="E113" s="25" t="inlineStr">
        <is>
          <t>See Technical File material-family summary</t>
        </is>
      </c>
      <c r="F113" s="25" t="inlineStr">
        <is>
          <t>IA-PPWR-TF-ST-054-EUR-01-R00</t>
        </is>
      </c>
      <c r="G113" s="25" t="inlineStr">
        <is>
          <t>IA-PPWR-DOC-ST-054-EUR-01-R00</t>
        </is>
      </c>
      <c r="H113" s="25" t="inlineStr">
        <is>
          <t>Rev.00</t>
        </is>
      </c>
      <c r="I113" s="31">
        <f>HYPERLINK("01_STARTER/ST-054-EUR-01/03_Label.docx","Open")</f>
        <v/>
      </c>
    </row>
    <row r="114">
      <c r="A114" s="25" t="inlineStr">
        <is>
          <t>IA-PPWR-LBL-ST-054-STD-01-R00</t>
        </is>
      </c>
      <c r="B114" s="25" t="inlineStr">
        <is>
          <t>ST-054-STD-01</t>
        </is>
      </c>
      <c r="C114" s="25" t="inlineStr">
        <is>
          <t>IA-ST-054-STD-01</t>
        </is>
      </c>
      <c r="D114" s="25" t="inlineStr">
        <is>
          <t>L3 | L3 YUASA penceresiz Orta Doğu dış koli (4001103): 54 adet</t>
        </is>
      </c>
      <c r="E114" s="25" t="inlineStr">
        <is>
          <t>See Technical File material-family summary</t>
        </is>
      </c>
      <c r="F114" s="25" t="inlineStr">
        <is>
          <t>IA-PPWR-TF-ST-054-STD-01-R00</t>
        </is>
      </c>
      <c r="G114" s="25" t="inlineStr">
        <is>
          <t>IA-PPWR-DOC-ST-054-STD-01-R00</t>
        </is>
      </c>
      <c r="H114" s="25" t="inlineStr">
        <is>
          <t>Rev.00</t>
        </is>
      </c>
      <c r="I114" s="31">
        <f>HYPERLINK("01_STARTER/ST-054-STD-01/03_Label.docx","Open")</f>
        <v/>
      </c>
    </row>
    <row r="115">
      <c r="A115" s="25" t="inlineStr">
        <is>
          <t>IA-PPWR-LBL-ST-054-STD-02-R00</t>
        </is>
      </c>
      <c r="B115" s="25" t="inlineStr">
        <is>
          <t>ST-054-STD-02</t>
        </is>
      </c>
      <c r="C115" s="25" t="inlineStr">
        <is>
          <t>IA-ST-054-STD-02</t>
        </is>
      </c>
      <c r="D115" s="25" t="inlineStr">
        <is>
          <t>L3 | L3 İnci AGM LEO 70AH 760A pencereli dış koli (4001237): 54 adet</t>
        </is>
      </c>
      <c r="E115" s="25" t="inlineStr">
        <is>
          <t>See Technical File material-family summary</t>
        </is>
      </c>
      <c r="F115" s="25" t="inlineStr">
        <is>
          <t>IA-PPWR-TF-ST-054-STD-02-R00</t>
        </is>
      </c>
      <c r="G115" s="25" t="inlineStr">
        <is>
          <t>IA-PPWR-DOC-ST-054-STD-02-R00</t>
        </is>
      </c>
      <c r="H115" s="25" t="inlineStr">
        <is>
          <t>Rev.00</t>
        </is>
      </c>
      <c r="I115" s="31">
        <f>HYPERLINK("01_STARTER/ST-054-STD-02/03_Label.docx","Open")</f>
        <v/>
      </c>
    </row>
    <row r="116">
      <c r="A116" s="25" t="inlineStr">
        <is>
          <t>IA-PPWR-LBL-ST-054-STD-03-R00</t>
        </is>
      </c>
      <c r="B116" s="25" t="inlineStr">
        <is>
          <t>ST-054-STD-03</t>
        </is>
      </c>
      <c r="C116" s="25" t="inlineStr">
        <is>
          <t>IA-ST-054-STD-03</t>
        </is>
      </c>
      <c r="D116" s="25" t="inlineStr">
        <is>
          <t>L3 | L3 EAS AGM S&amp;S 70AH 760A pencereli dış koli (4001396): 54 adet</t>
        </is>
      </c>
      <c r="E116" s="25" t="inlineStr">
        <is>
          <t>See Technical File material-family summary</t>
        </is>
      </c>
      <c r="F116" s="25" t="inlineStr">
        <is>
          <t>IA-PPWR-TF-ST-054-STD-03-R00</t>
        </is>
      </c>
      <c r="G116" s="25" t="inlineStr">
        <is>
          <t>IA-PPWR-DOC-ST-054-STD-03-R00</t>
        </is>
      </c>
      <c r="H116" s="25" t="inlineStr">
        <is>
          <t>Rev.00</t>
        </is>
      </c>
      <c r="I116" s="31">
        <f>HYPERLINK("01_STARTER/ST-054-STD-03/03_Label.docx","Open")</f>
        <v/>
      </c>
    </row>
    <row r="117">
      <c r="A117" s="25" t="inlineStr">
        <is>
          <t>IA-PPWR-LBL-ST-054-STD-04-R00</t>
        </is>
      </c>
      <c r="B117" s="25" t="inlineStr">
        <is>
          <t>ST-054-STD-04</t>
        </is>
      </c>
      <c r="C117" s="25" t="inlineStr">
        <is>
          <t>IA-ST-054-STD-04</t>
        </is>
      </c>
      <c r="D117" s="25" t="inlineStr">
        <is>
          <t>D31 | Palet (4000037): 1 adet | EPS (4000370): 3 adet | Köşebent (4000590): 4 adet</t>
        </is>
      </c>
      <c r="E117" s="25" t="inlineStr">
        <is>
          <t>See Technical File material-family summary</t>
        </is>
      </c>
      <c r="F117" s="25" t="inlineStr">
        <is>
          <t>IA-PPWR-TF-ST-054-STD-04-R00</t>
        </is>
      </c>
      <c r="G117" s="25" t="inlineStr">
        <is>
          <t>IA-PPWR-DOC-ST-054-STD-04-R00</t>
        </is>
      </c>
      <c r="H117" s="25" t="inlineStr">
        <is>
          <t>Rev.00</t>
        </is>
      </c>
      <c r="I117" s="31">
        <f>HYPERLINK("01_STARTER/ST-054-STD-04/03_Label.docx","Open")</f>
        <v/>
      </c>
    </row>
    <row r="118">
      <c r="A118" s="25" t="inlineStr">
        <is>
          <t>IA-PPWR-LBL-ST-054-STD-05-R00</t>
        </is>
      </c>
      <c r="B118" s="25" t="inlineStr">
        <is>
          <t>ST-054-STD-05</t>
        </is>
      </c>
      <c r="C118" s="25" t="inlineStr">
        <is>
          <t>IA-ST-054-STD-05</t>
        </is>
      </c>
      <c r="D118" s="25" t="inlineStr">
        <is>
          <t>D31 | Köşebent (4000590): 4 adet | D31 PVC üst kapak (4001310): 54 adet</t>
        </is>
      </c>
      <c r="E118" s="25" t="inlineStr">
        <is>
          <t>See Technical File material-family summary</t>
        </is>
      </c>
      <c r="F118" s="25" t="inlineStr">
        <is>
          <t>IA-PPWR-TF-ST-054-STD-05-R00</t>
        </is>
      </c>
      <c r="G118" s="25" t="inlineStr">
        <is>
          <t>IA-PPWR-DOC-ST-054-STD-05-R00</t>
        </is>
      </c>
      <c r="H118" s="25" t="inlineStr">
        <is>
          <t>Rev.00</t>
        </is>
      </c>
      <c r="I118" s="31">
        <f>HYPERLINK("01_STARTER/ST-054-STD-05/03_Label.docx","Open")</f>
        <v/>
      </c>
    </row>
    <row r="119">
      <c r="A119" s="25" t="inlineStr">
        <is>
          <t>IA-PPWR-LBL-ST-054-STD-06-R00</t>
        </is>
      </c>
      <c r="B119" s="25" t="inlineStr">
        <is>
          <t>ST-054-STD-06</t>
        </is>
      </c>
      <c r="C119" s="25" t="inlineStr">
        <is>
          <t>IA-ST-054-STD-06</t>
        </is>
      </c>
      <c r="D119" s="25" t="inlineStr">
        <is>
          <t>L4, LB4 | Palet (4000037): 1 adet | Köşebent (4000590): 2 adet</t>
        </is>
      </c>
      <c r="E119" s="25" t="inlineStr">
        <is>
          <t>See Technical File material-family summary</t>
        </is>
      </c>
      <c r="F119" s="25" t="inlineStr">
        <is>
          <t>IA-PPWR-TF-ST-054-STD-06-R00</t>
        </is>
      </c>
      <c r="G119" s="25" t="inlineStr">
        <is>
          <t>IA-PPWR-DOC-ST-054-STD-06-R00</t>
        </is>
      </c>
      <c r="H119" s="25" t="inlineStr">
        <is>
          <t>Rev.00</t>
        </is>
      </c>
      <c r="I119" s="31">
        <f>HYPERLINK("01_STARTER/ST-054-STD-06/03_Label.docx","Open")</f>
        <v/>
      </c>
    </row>
    <row r="120">
      <c r="A120" s="25" t="inlineStr">
        <is>
          <t>IA-PPWR-LBL-ST-054-STD-07-R00</t>
        </is>
      </c>
      <c r="B120" s="25" t="inlineStr">
        <is>
          <t>ST-054-STD-07</t>
        </is>
      </c>
      <c r="C120" s="25" t="inlineStr">
        <is>
          <t>IA-ST-054-STD-07</t>
        </is>
      </c>
      <c r="D120" s="25" t="inlineStr">
        <is>
          <t>D31 | D31 PVC üst kapak (4001310): 54 adet | Köşebent (4000590): 2 adet</t>
        </is>
      </c>
      <c r="E120" s="25" t="inlineStr">
        <is>
          <t>See Technical File material-family summary</t>
        </is>
      </c>
      <c r="F120" s="25" t="inlineStr">
        <is>
          <t>IA-PPWR-TF-ST-054-STD-07-R00</t>
        </is>
      </c>
      <c r="G120" s="25" t="inlineStr">
        <is>
          <t>IA-PPWR-DOC-ST-054-STD-07-R00</t>
        </is>
      </c>
      <c r="H120" s="25" t="inlineStr">
        <is>
          <t>Rev.00</t>
        </is>
      </c>
      <c r="I120" s="31">
        <f>HYPERLINK("01_STARTER/ST-054-STD-07/03_Label.docx","Open")</f>
        <v/>
      </c>
    </row>
    <row r="121">
      <c r="A121" s="25" t="inlineStr">
        <is>
          <t>IA-PPWR-LBL-ST-054-STD-08-R00</t>
        </is>
      </c>
      <c r="B121" s="25" t="inlineStr">
        <is>
          <t>ST-054-STD-08</t>
        </is>
      </c>
      <c r="C121" s="25" t="inlineStr">
        <is>
          <t>IA-ST-054-STD-08</t>
        </is>
      </c>
      <c r="D121" s="25" t="inlineStr">
        <is>
          <t>L4, LB4 | Palet (4000037): 1 adet | Köşebent (4000590): kullanılmaz</t>
        </is>
      </c>
      <c r="E121" s="25" t="inlineStr">
        <is>
          <t>See Technical File material-family summary</t>
        </is>
      </c>
      <c r="F121" s="25" t="inlineStr">
        <is>
          <t>IA-PPWR-TF-ST-054-STD-08-R00</t>
        </is>
      </c>
      <c r="G121" s="25" t="inlineStr">
        <is>
          <t>IA-PPWR-DOC-ST-054-STD-08-R00</t>
        </is>
      </c>
      <c r="H121" s="25" t="inlineStr">
        <is>
          <t>Rev.00</t>
        </is>
      </c>
      <c r="I121" s="31">
        <f>HYPERLINK("01_STARTER/ST-054-STD-08/03_Label.docx","Open")</f>
        <v/>
      </c>
    </row>
    <row r="122">
      <c r="A122" s="25" t="inlineStr">
        <is>
          <t>IA-PPWR-LBL-ST-054-STD-09-R00</t>
        </is>
      </c>
      <c r="B122" s="25" t="inlineStr">
        <is>
          <t>ST-054-STD-09</t>
        </is>
      </c>
      <c r="C122" s="25" t="inlineStr">
        <is>
          <t>IA-ST-054-STD-09</t>
        </is>
      </c>
      <c r="D122" s="25" t="inlineStr">
        <is>
          <t>D31 | D31 PVC üst kapak (4001310): 54 adet | Çember (4000450): kullanılmaz</t>
        </is>
      </c>
      <c r="E122" s="25" t="inlineStr">
        <is>
          <t>See Technical File material-family summary</t>
        </is>
      </c>
      <c r="F122" s="25" t="inlineStr">
        <is>
          <t>IA-PPWR-TF-ST-054-STD-09-R00</t>
        </is>
      </c>
      <c r="G122" s="25" t="inlineStr">
        <is>
          <t>IA-PPWR-DOC-ST-054-STD-09-R00</t>
        </is>
      </c>
      <c r="H122" s="25" t="inlineStr">
        <is>
          <t>Rev.00</t>
        </is>
      </c>
      <c r="I122" s="31">
        <f>HYPERLINK("01_STARTER/ST-054-STD-09/03_Label.docx","Open")</f>
        <v/>
      </c>
    </row>
    <row r="123">
      <c r="A123" s="25" t="inlineStr">
        <is>
          <t>IA-PPWR-LBL-ST-054-STD-10-R00</t>
        </is>
      </c>
      <c r="B123" s="25" t="inlineStr">
        <is>
          <t>ST-054-STD-10</t>
        </is>
      </c>
      <c r="C123" s="25" t="inlineStr">
        <is>
          <t>IA-ST-054-STD-10</t>
        </is>
      </c>
      <c r="D123" s="25" t="inlineStr">
        <is>
          <t>D31 | Palet (4000037): 1 adet | Shrink film (4001177): 0.597 kg</t>
        </is>
      </c>
      <c r="E123" s="25" t="inlineStr">
        <is>
          <t>See Technical File material-family summary</t>
        </is>
      </c>
      <c r="F123" s="25" t="inlineStr">
        <is>
          <t>IA-PPWR-TF-ST-054-STD-10-R00</t>
        </is>
      </c>
      <c r="G123" s="25" t="inlineStr">
        <is>
          <t>IA-PPWR-DOC-ST-054-STD-10-R00</t>
        </is>
      </c>
      <c r="H123" s="25" t="inlineStr">
        <is>
          <t>Rev.00</t>
        </is>
      </c>
      <c r="I123" s="31">
        <f>HYPERLINK("01_STARTER/ST-054-STD-10/03_Label.docx","Open")</f>
        <v/>
      </c>
    </row>
    <row r="124">
      <c r="A124" s="25" t="inlineStr">
        <is>
          <t>IA-PPWR-LBL-ST-054-STD-11-R00</t>
        </is>
      </c>
      <c r="B124" s="25" t="inlineStr">
        <is>
          <t>ST-054-STD-11</t>
        </is>
      </c>
      <c r="C124" s="25" t="inlineStr">
        <is>
          <t>IA-ST-054-STD-11</t>
        </is>
      </c>
      <c r="D124" s="25" t="inlineStr">
        <is>
          <t>L4 | Palet (4000037): 1 adet | Shrink film (4001177): 0.597 kg</t>
        </is>
      </c>
      <c r="E124" s="25" t="inlineStr">
        <is>
          <t>See Technical File material-family summary</t>
        </is>
      </c>
      <c r="F124" s="25" t="inlineStr">
        <is>
          <t>IA-PPWR-TF-ST-054-STD-11-R00</t>
        </is>
      </c>
      <c r="G124" s="25" t="inlineStr">
        <is>
          <t>IA-PPWR-DOC-ST-054-STD-11-R00</t>
        </is>
      </c>
      <c r="H124" s="25" t="inlineStr">
        <is>
          <t>Rev.00</t>
        </is>
      </c>
      <c r="I124" s="31">
        <f>HYPERLINK("01_STARTER/ST-054-STD-11/03_Label.docx","Open")</f>
        <v/>
      </c>
    </row>
    <row r="125">
      <c r="A125" s="25" t="inlineStr">
        <is>
          <t>IA-PPWR-LBL-ST-054-STD-12-R00</t>
        </is>
      </c>
      <c r="B125" s="25" t="inlineStr">
        <is>
          <t>ST-054-STD-12</t>
        </is>
      </c>
      <c r="C125" s="25" t="inlineStr">
        <is>
          <t>IA-ST-054-STD-12</t>
        </is>
      </c>
      <c r="D125" s="25" t="inlineStr">
        <is>
          <t>LB4 | Palet (4000037): 1 adet | Shrink film (4001177): 0.597 kg</t>
        </is>
      </c>
      <c r="E125" s="25" t="inlineStr">
        <is>
          <t>See Technical File material-family summary</t>
        </is>
      </c>
      <c r="F125" s="25" t="inlineStr">
        <is>
          <t>IA-PPWR-TF-ST-054-STD-12-R00</t>
        </is>
      </c>
      <c r="G125" s="25" t="inlineStr">
        <is>
          <t>IA-PPWR-DOC-ST-054-STD-12-R00</t>
        </is>
      </c>
      <c r="H125" s="25" t="inlineStr">
        <is>
          <t>Rev.00</t>
        </is>
      </c>
      <c r="I125" s="31">
        <f>HYPERLINK("01_STARTER/ST-054-STD-12/03_Label.docx","Open")</f>
        <v/>
      </c>
    </row>
    <row r="126">
      <c r="A126" s="25" t="inlineStr">
        <is>
          <t>IA-PPWR-LBL-ST-056-EUR-01-R00</t>
        </is>
      </c>
      <c r="B126" s="25" t="inlineStr">
        <is>
          <t>ST-056-EUR-01</t>
        </is>
      </c>
      <c r="C126" s="25" t="inlineStr">
        <is>
          <t>IA-ST-056-EUR-01</t>
        </is>
      </c>
      <c r="D126" s="25" t="inlineStr">
        <is>
          <t>L4 | L4 İnci AGM LEO 80AH 800A pencereli dış koli (4001341): 56 adet</t>
        </is>
      </c>
      <c r="E126" s="25" t="inlineStr">
        <is>
          <t>See Technical File material-family summary</t>
        </is>
      </c>
      <c r="F126" s="25" t="inlineStr">
        <is>
          <t>IA-PPWR-TF-ST-056-EUR-01-R00</t>
        </is>
      </c>
      <c r="G126" s="25" t="inlineStr">
        <is>
          <t>IA-PPWR-DOC-ST-056-EUR-01-R00</t>
        </is>
      </c>
      <c r="H126" s="25" t="inlineStr">
        <is>
          <t>Rev.00</t>
        </is>
      </c>
      <c r="I126" s="31">
        <f>HYPERLINK("01_STARTER/ST-056-EUR-01/03_Label.docx","Open")</f>
        <v/>
      </c>
    </row>
    <row r="127">
      <c r="A127" s="25" t="inlineStr">
        <is>
          <t>IA-PPWR-LBL-ST-056-EUR-02-R00</t>
        </is>
      </c>
      <c r="B127" s="25" t="inlineStr">
        <is>
          <t>ST-056-EUR-02</t>
        </is>
      </c>
      <c r="C127" s="25" t="inlineStr">
        <is>
          <t>IA-ST-056-EUR-02</t>
        </is>
      </c>
      <c r="D127" s="25" t="inlineStr">
        <is>
          <t>L4, LB4 | Palet (4000038): 1 adet | Köşebent (4000590): 4 adet</t>
        </is>
      </c>
      <c r="E127" s="25" t="inlineStr">
        <is>
          <t>See Technical File material-family summary</t>
        </is>
      </c>
      <c r="F127" s="25" t="inlineStr">
        <is>
          <t>IA-PPWR-TF-ST-056-EUR-02-R00</t>
        </is>
      </c>
      <c r="G127" s="25" t="inlineStr">
        <is>
          <t>IA-PPWR-DOC-ST-056-EUR-02-R00</t>
        </is>
      </c>
      <c r="H127" s="25" t="inlineStr">
        <is>
          <t>Rev.00</t>
        </is>
      </c>
      <c r="I127" s="31">
        <f>HYPERLINK("01_STARTER/ST-056-EUR-02/03_Label.docx","Open")</f>
        <v/>
      </c>
    </row>
    <row r="128">
      <c r="A128" s="25" t="inlineStr">
        <is>
          <t>IA-PPWR-LBL-ST-056-EUR-03-R00</t>
        </is>
      </c>
      <c r="B128" s="25" t="inlineStr">
        <is>
          <t>ST-056-EUR-03</t>
        </is>
      </c>
      <c r="C128" s="25" t="inlineStr">
        <is>
          <t>IA-ST-056-EUR-03</t>
        </is>
      </c>
      <c r="D128" s="25" t="inlineStr">
        <is>
          <t>L4, LB4 | Palet (4000038): 1 adet | Shrink film (4000554): 1.904 kg</t>
        </is>
      </c>
      <c r="E128" s="25" t="inlineStr">
        <is>
          <t>See Technical File material-family summary</t>
        </is>
      </c>
      <c r="F128" s="25" t="inlineStr">
        <is>
          <t>IA-PPWR-TF-ST-056-EUR-03-R00</t>
        </is>
      </c>
      <c r="G128" s="25" t="inlineStr">
        <is>
          <t>IA-PPWR-DOC-ST-056-EUR-03-R00</t>
        </is>
      </c>
      <c r="H128" s="25" t="inlineStr">
        <is>
          <t>Rev.00</t>
        </is>
      </c>
      <c r="I128" s="31">
        <f>HYPERLINK("01_STARTER/ST-056-EUR-03/03_Label.docx","Open")</f>
        <v/>
      </c>
    </row>
    <row r="129">
      <c r="A129" s="25" t="inlineStr">
        <is>
          <t>IA-PPWR-LBL-ST-056-EUR-04-R00</t>
        </is>
      </c>
      <c r="B129" s="25" t="inlineStr">
        <is>
          <t>ST-056-EUR-04</t>
        </is>
      </c>
      <c r="C129" s="25" t="inlineStr">
        <is>
          <t>IA-ST-056-EUR-04</t>
        </is>
      </c>
      <c r="D129" s="25" t="inlineStr">
        <is>
          <t>LB4, L4 | Palet (4000038): 1 adet | Köşebent (4000590): 2 adet</t>
        </is>
      </c>
      <c r="E129" s="25" t="inlineStr">
        <is>
          <t>See Technical File material-family summary</t>
        </is>
      </c>
      <c r="F129" s="25" t="inlineStr">
        <is>
          <t>IA-PPWR-TF-ST-056-EUR-04-R00</t>
        </is>
      </c>
      <c r="G129" s="25" t="inlineStr">
        <is>
          <t>IA-PPWR-DOC-ST-056-EUR-04-R00</t>
        </is>
      </c>
      <c r="H129" s="25" t="inlineStr">
        <is>
          <t>Rev.00</t>
        </is>
      </c>
      <c r="I129" s="31">
        <f>HYPERLINK("01_STARTER/ST-056-EUR-04/03_Label.docx","Open")</f>
        <v/>
      </c>
    </row>
    <row r="130">
      <c r="A130" s="25" t="inlineStr">
        <is>
          <t>IA-PPWR-LBL-ST-057-EUR-01-R00</t>
        </is>
      </c>
      <c r="B130" s="25" t="inlineStr">
        <is>
          <t>ST-057-EUR-01</t>
        </is>
      </c>
      <c r="C130" s="25" t="inlineStr">
        <is>
          <t>IA-ST-057-EUR-01</t>
        </is>
      </c>
      <c r="D130" s="25" t="inlineStr">
        <is>
          <t>D26 | Palet (4000038): 1 adet | Honeycomb (4001186): 3 adet</t>
        </is>
      </c>
      <c r="E130" s="25" t="inlineStr">
        <is>
          <t>See Technical File material-family summary</t>
        </is>
      </c>
      <c r="F130" s="25" t="inlineStr">
        <is>
          <t>IA-PPWR-TF-ST-057-EUR-01-R00</t>
        </is>
      </c>
      <c r="G130" s="25" t="inlineStr">
        <is>
          <t>IA-PPWR-DOC-ST-057-EUR-01-R00</t>
        </is>
      </c>
      <c r="H130" s="25" t="inlineStr">
        <is>
          <t>Rev.00</t>
        </is>
      </c>
      <c r="I130" s="31">
        <f>HYPERLINK("01_STARTER/ST-057-EUR-01/03_Label.docx","Open")</f>
        <v/>
      </c>
    </row>
    <row r="131">
      <c r="A131" s="25" t="inlineStr">
        <is>
          <t>IA-PPWR-LBL-ST-057-EUR-02-R00</t>
        </is>
      </c>
      <c r="B131" s="25" t="inlineStr">
        <is>
          <t>ST-057-EUR-02</t>
        </is>
      </c>
      <c r="C131" s="25" t="inlineStr">
        <is>
          <t>IA-ST-057-EUR-02</t>
        </is>
      </c>
      <c r="D131" s="25" t="inlineStr">
        <is>
          <t>D26 | Palet (4000038): 1 adet | EPS (4001247): 3 adet</t>
        </is>
      </c>
      <c r="E131" s="25" t="inlineStr">
        <is>
          <t>See Technical File material-family summary</t>
        </is>
      </c>
      <c r="F131" s="25" t="inlineStr">
        <is>
          <t>IA-PPWR-TF-ST-057-EUR-02-R00</t>
        </is>
      </c>
      <c r="G131" s="25" t="inlineStr">
        <is>
          <t>IA-PPWR-DOC-ST-057-EUR-02-R00</t>
        </is>
      </c>
      <c r="H131" s="25" t="inlineStr">
        <is>
          <t>Rev.00</t>
        </is>
      </c>
      <c r="I131" s="31">
        <f>HYPERLINK("01_STARTER/ST-057-EUR-02/03_Label.docx","Open")</f>
        <v/>
      </c>
    </row>
    <row r="132">
      <c r="A132" s="25" t="inlineStr">
        <is>
          <t>IA-PPWR-LBL-ST-057-EUR-03-R00</t>
        </is>
      </c>
      <c r="B132" s="25" t="inlineStr">
        <is>
          <t>ST-057-EUR-03</t>
        </is>
      </c>
      <c r="C132" s="25" t="inlineStr">
        <is>
          <t>IA-ST-057-EUR-03</t>
        </is>
      </c>
      <c r="D132" s="25" t="inlineStr">
        <is>
          <t>L2, LB2 | Palet (4000038): 1 adet | Köşebent (4000590): 4 adet</t>
        </is>
      </c>
      <c r="E132" s="25" t="inlineStr">
        <is>
          <t>See Technical File material-family summary</t>
        </is>
      </c>
      <c r="F132" s="25" t="inlineStr">
        <is>
          <t>IA-PPWR-TF-ST-057-EUR-03-R00</t>
        </is>
      </c>
      <c r="G132" s="25" t="inlineStr">
        <is>
          <t>IA-PPWR-DOC-ST-057-EUR-03-R00</t>
        </is>
      </c>
      <c r="H132" s="25" t="inlineStr">
        <is>
          <t>Rev.00</t>
        </is>
      </c>
      <c r="I132" s="31">
        <f>HYPERLINK("01_STARTER/ST-057-EUR-03/03_Label.docx","Open")</f>
        <v/>
      </c>
    </row>
    <row r="133">
      <c r="A133" s="25" t="inlineStr">
        <is>
          <t>IA-PPWR-LBL-ST-057-EUR-04-R00</t>
        </is>
      </c>
      <c r="B133" s="25" t="inlineStr">
        <is>
          <t>ST-057-EUR-04</t>
        </is>
      </c>
      <c r="C133" s="25" t="inlineStr">
        <is>
          <t>IA-ST-057-EUR-04</t>
        </is>
      </c>
      <c r="D133" s="25" t="inlineStr">
        <is>
          <t>L2, LB2 | Palet (4000038): 1 adet | Shrink film (4000558): 2.166 kg</t>
        </is>
      </c>
      <c r="E133" s="25" t="inlineStr">
        <is>
          <t>See Technical File material-family summary</t>
        </is>
      </c>
      <c r="F133" s="25" t="inlineStr">
        <is>
          <t>IA-PPWR-TF-ST-057-EUR-04-R00</t>
        </is>
      </c>
      <c r="G133" s="25" t="inlineStr">
        <is>
          <t>IA-PPWR-DOC-ST-057-EUR-04-R00</t>
        </is>
      </c>
      <c r="H133" s="25" t="inlineStr">
        <is>
          <t>Rev.00</t>
        </is>
      </c>
      <c r="I133" s="31">
        <f>HYPERLINK("01_STARTER/ST-057-EUR-04/03_Label.docx","Open")</f>
        <v/>
      </c>
    </row>
    <row r="134">
      <c r="A134" s="25" t="inlineStr">
        <is>
          <t>IA-PPWR-LBL-ST-057-EUR-05-R00</t>
        </is>
      </c>
      <c r="B134" s="25" t="inlineStr">
        <is>
          <t>ST-057-EUR-05</t>
        </is>
      </c>
      <c r="C134" s="25" t="inlineStr">
        <is>
          <t>IA-ST-057-EUR-05</t>
        </is>
      </c>
      <c r="D134" s="25" t="inlineStr">
        <is>
          <t>L2, LB2 | Palet (4000038): 1 adet | Shrink film (4000558): kullanılmaz | Köşebent (4000590): 2 adet</t>
        </is>
      </c>
      <c r="E134" s="25" t="inlineStr">
        <is>
          <t>See Technical File material-family summary</t>
        </is>
      </c>
      <c r="F134" s="25" t="inlineStr">
        <is>
          <t>IA-PPWR-TF-ST-057-EUR-05-R00</t>
        </is>
      </c>
      <c r="G134" s="25" t="inlineStr">
        <is>
          <t>IA-PPWR-DOC-ST-057-EUR-05-R00</t>
        </is>
      </c>
      <c r="H134" s="25" t="inlineStr">
        <is>
          <t>Rev.00</t>
        </is>
      </c>
      <c r="I134" s="31">
        <f>HYPERLINK("01_STARTER/ST-057-EUR-05/03_Label.docx","Open")</f>
        <v/>
      </c>
    </row>
    <row r="135">
      <c r="A135" s="25" t="inlineStr">
        <is>
          <t>IA-PPWR-LBL-ST-057-STD-01-R00</t>
        </is>
      </c>
      <c r="B135" s="25" t="inlineStr">
        <is>
          <t>ST-057-STD-01</t>
        </is>
      </c>
      <c r="C135" s="25" t="inlineStr">
        <is>
          <t>IA-ST-057-STD-01</t>
        </is>
      </c>
      <c r="D135" s="25" t="inlineStr">
        <is>
          <t>D26 | D26 İnciEFBPANTERA pencereli YÜKSEK DL dış koli (4001271): 57 adet</t>
        </is>
      </c>
      <c r="E135" s="25" t="inlineStr">
        <is>
          <t>See Technical File material-family summary</t>
        </is>
      </c>
      <c r="F135" s="25" t="inlineStr">
        <is>
          <t>IA-PPWR-TF-ST-057-STD-01-R00</t>
        </is>
      </c>
      <c r="G135" s="25" t="inlineStr">
        <is>
          <t>IA-PPWR-DOC-ST-057-STD-01-R00</t>
        </is>
      </c>
      <c r="H135" s="25" t="inlineStr">
        <is>
          <t>Rev.00</t>
        </is>
      </c>
      <c r="I135" s="31">
        <f>HYPERLINK("01_STARTER/ST-057-STD-01/03_Label.docx","Open")</f>
        <v/>
      </c>
    </row>
    <row r="136">
      <c r="A136" s="25" t="inlineStr">
        <is>
          <t>IA-PPWR-LBL-ST-057-STD-02-R00</t>
        </is>
      </c>
      <c r="B136" s="25" t="inlineStr">
        <is>
          <t>ST-057-STD-02</t>
        </is>
      </c>
      <c r="C136" s="25" t="inlineStr">
        <is>
          <t>IA-ST-057-STD-02</t>
        </is>
      </c>
      <c r="D136" s="25" t="inlineStr">
        <is>
          <t>D26 | D26 EAS Activa penceresiz (YÜKSEK) dış koli (4001287): 57 adet</t>
        </is>
      </c>
      <c r="E136" s="25" t="inlineStr">
        <is>
          <t>See Technical File material-family summary</t>
        </is>
      </c>
      <c r="F136" s="25" t="inlineStr">
        <is>
          <t>IA-PPWR-TF-ST-057-STD-02-R00</t>
        </is>
      </c>
      <c r="G136" s="25" t="inlineStr">
        <is>
          <t>IA-PPWR-DOC-ST-057-STD-02-R00</t>
        </is>
      </c>
      <c r="H136" s="25" t="inlineStr">
        <is>
          <t>Rev.00</t>
        </is>
      </c>
      <c r="I136" s="31">
        <f>HYPERLINK("01_STARTER/ST-057-STD-02/03_Label.docx","Open")</f>
        <v/>
      </c>
    </row>
    <row r="137">
      <c r="A137" s="25" t="inlineStr">
        <is>
          <t>IA-PPWR-LBL-ST-057-STD-03-R00</t>
        </is>
      </c>
      <c r="B137" s="25" t="inlineStr">
        <is>
          <t>ST-057-STD-03</t>
        </is>
      </c>
      <c r="C137" s="25" t="inlineStr">
        <is>
          <t>IA-ST-057-STD-03</t>
        </is>
      </c>
      <c r="D137" s="25" t="inlineStr">
        <is>
          <t>D26 | D26 YUASA ORTADOĞU penceresiz dış koli (4001289): 57 adet</t>
        </is>
      </c>
      <c r="E137" s="25" t="inlineStr">
        <is>
          <t>See Technical File material-family summary</t>
        </is>
      </c>
      <c r="F137" s="25" t="inlineStr">
        <is>
          <t>IA-PPWR-TF-ST-057-STD-03-R00</t>
        </is>
      </c>
      <c r="G137" s="25" t="inlineStr">
        <is>
          <t>IA-PPWR-DOC-ST-057-STD-03-R00</t>
        </is>
      </c>
      <c r="H137" s="25" t="inlineStr">
        <is>
          <t>Rev.00</t>
        </is>
      </c>
      <c r="I137" s="31">
        <f>HYPERLINK("01_STARTER/ST-057-STD-03/03_Label.docx","Open")</f>
        <v/>
      </c>
    </row>
    <row r="138">
      <c r="A138" s="25" t="inlineStr">
        <is>
          <t>IA-PPWR-LBL-ST-060-EUR-01-R00</t>
        </is>
      </c>
      <c r="B138" s="25" t="inlineStr">
        <is>
          <t>ST-060-EUR-01</t>
        </is>
      </c>
      <c r="C138" s="25" t="inlineStr">
        <is>
          <t>IA-ST-060-EUR-01</t>
        </is>
      </c>
      <c r="D138" s="25" t="inlineStr">
        <is>
          <t>D23 | D23 YUASA penceresiz Orta Doğu dış koli (4001106): 60 adet</t>
        </is>
      </c>
      <c r="E138" s="25" t="inlineStr">
        <is>
          <t>See Technical File material-family summary</t>
        </is>
      </c>
      <c r="F138" s="25" t="inlineStr">
        <is>
          <t>IA-PPWR-TF-ST-060-EUR-01-R00</t>
        </is>
      </c>
      <c r="G138" s="25" t="inlineStr">
        <is>
          <t>IA-PPWR-DOC-ST-060-EUR-01-R00</t>
        </is>
      </c>
      <c r="H138" s="25" t="inlineStr">
        <is>
          <t>Rev.00</t>
        </is>
      </c>
      <c r="I138" s="31">
        <f>HYPERLINK("01_STARTER/ST-060-EUR-01/03_Label.docx","Open")</f>
        <v/>
      </c>
    </row>
    <row r="139">
      <c r="A139" s="25" t="inlineStr">
        <is>
          <t>IA-PPWR-LBL-ST-060-EUR-02-R00</t>
        </is>
      </c>
      <c r="B139" s="25" t="inlineStr">
        <is>
          <t>ST-060-EUR-02</t>
        </is>
      </c>
      <c r="C139" s="25" t="inlineStr">
        <is>
          <t>IA-ST-060-EUR-02</t>
        </is>
      </c>
      <c r="D139" s="25" t="inlineStr">
        <is>
          <t>D23 | D23 PVC üst kapak (4000461): 60 adet</t>
        </is>
      </c>
      <c r="E139" s="25" t="inlineStr">
        <is>
          <t>See Technical File material-family summary</t>
        </is>
      </c>
      <c r="F139" s="25" t="inlineStr">
        <is>
          <t>IA-PPWR-TF-ST-060-EUR-02-R00</t>
        </is>
      </c>
      <c r="G139" s="25" t="inlineStr">
        <is>
          <t>IA-PPWR-DOC-ST-060-EUR-02-R00</t>
        </is>
      </c>
      <c r="H139" s="25" t="inlineStr">
        <is>
          <t>Rev.00</t>
        </is>
      </c>
      <c r="I139" s="31">
        <f>HYPERLINK("01_STARTER/ST-060-EUR-02/03_Label.docx","Open")</f>
        <v/>
      </c>
    </row>
    <row r="140">
      <c r="A140" s="25" t="inlineStr">
        <is>
          <t>IA-PPWR-LBL-ST-060-STD-01-R00</t>
        </is>
      </c>
      <c r="B140" s="25" t="inlineStr">
        <is>
          <t>ST-060-STD-01</t>
        </is>
      </c>
      <c r="C140" s="25" t="inlineStr">
        <is>
          <t>IA-ST-060-STD-01</t>
        </is>
      </c>
      <c r="D140" s="25" t="inlineStr">
        <is>
          <t>L5 | L5 EAS Activa penceresiz dış koli (4001006): 60 adet</t>
        </is>
      </c>
      <c r="E140" s="25" t="inlineStr">
        <is>
          <t>See Technical File material-family summary</t>
        </is>
      </c>
      <c r="F140" s="25" t="inlineStr">
        <is>
          <t>IA-PPWR-TF-ST-060-STD-01-R00</t>
        </is>
      </c>
      <c r="G140" s="25" t="inlineStr">
        <is>
          <t>IA-PPWR-DOC-ST-060-STD-01-R00</t>
        </is>
      </c>
      <c r="H140" s="25" t="inlineStr">
        <is>
          <t>Rev.00</t>
        </is>
      </c>
      <c r="I140" s="31">
        <f>HYPERLINK("01_STARTER/ST-060-STD-01/03_Label.docx","Open")</f>
        <v/>
      </c>
    </row>
    <row r="141">
      <c r="A141" s="25" t="inlineStr">
        <is>
          <t>IA-PPWR-LBL-ST-060-STD-02-R00</t>
        </is>
      </c>
      <c r="B141" s="25" t="inlineStr">
        <is>
          <t>ST-060-STD-02</t>
        </is>
      </c>
      <c r="C141" s="25" t="inlineStr">
        <is>
          <t>IA-ST-060-STD-02</t>
        </is>
      </c>
      <c r="D141" s="25" t="inlineStr">
        <is>
          <t>L5 | L5 YUASA penceresiz Orta Doğu dış koli (4001105): 60 adet</t>
        </is>
      </c>
      <c r="E141" s="25" t="inlineStr">
        <is>
          <t>See Technical File material-family summary</t>
        </is>
      </c>
      <c r="F141" s="25" t="inlineStr">
        <is>
          <t>IA-PPWR-TF-ST-060-STD-02-R00</t>
        </is>
      </c>
      <c r="G141" s="25" t="inlineStr">
        <is>
          <t>IA-PPWR-DOC-ST-060-STD-02-R00</t>
        </is>
      </c>
      <c r="H141" s="25" t="inlineStr">
        <is>
          <t>Rev.00</t>
        </is>
      </c>
      <c r="I141" s="31">
        <f>HYPERLINK("01_STARTER/ST-060-STD-02/03_Label.docx","Open")</f>
        <v/>
      </c>
    </row>
    <row r="142">
      <c r="A142" s="25" t="inlineStr">
        <is>
          <t>IA-PPWR-LBL-ST-060-STD-03-R00</t>
        </is>
      </c>
      <c r="B142" s="25" t="inlineStr">
        <is>
          <t>ST-060-STD-03</t>
        </is>
      </c>
      <c r="C142" s="25" t="inlineStr">
        <is>
          <t>IA-ST-060-STD-03</t>
        </is>
      </c>
      <c r="D142" s="25" t="inlineStr">
        <is>
          <t>L5 | L5 İnci EFB MAX TIGRIS pencereli 2020 dış koli (4001274): 60 adet</t>
        </is>
      </c>
      <c r="E142" s="25" t="inlineStr">
        <is>
          <t>See Technical File material-family summary</t>
        </is>
      </c>
      <c r="F142" s="25" t="inlineStr">
        <is>
          <t>IA-PPWR-TF-ST-060-STD-03-R00</t>
        </is>
      </c>
      <c r="G142" s="25" t="inlineStr">
        <is>
          <t>IA-PPWR-DOC-ST-060-STD-03-R00</t>
        </is>
      </c>
      <c r="H142" s="25" t="inlineStr">
        <is>
          <t>Rev.00</t>
        </is>
      </c>
      <c r="I142" s="31">
        <f>HYPERLINK("01_STARTER/ST-060-STD-03/03_Label.docx","Open")</f>
        <v/>
      </c>
    </row>
    <row r="143">
      <c r="A143" s="25" t="inlineStr">
        <is>
          <t>IA-PPWR-LBL-ST-060-STD-04-R00</t>
        </is>
      </c>
      <c r="B143" s="25" t="inlineStr">
        <is>
          <t>ST-060-STD-04</t>
        </is>
      </c>
      <c r="C143" s="25" t="inlineStr">
        <is>
          <t>IA-ST-060-STD-04</t>
        </is>
      </c>
      <c r="D143" s="25" t="inlineStr">
        <is>
          <t>L5 | L5 İnciEFBPANTRA pencereli 90AH830A DL dış koli (4001320): 60 adet</t>
        </is>
      </c>
      <c r="E143" s="25" t="inlineStr">
        <is>
          <t>See Technical File material-family summary</t>
        </is>
      </c>
      <c r="F143" s="25" t="inlineStr">
        <is>
          <t>IA-PPWR-TF-ST-060-STD-04-R00</t>
        </is>
      </c>
      <c r="G143" s="25" t="inlineStr">
        <is>
          <t>IA-PPWR-DOC-ST-060-STD-04-R00</t>
        </is>
      </c>
      <c r="H143" s="25" t="inlineStr">
        <is>
          <t>Rev.00</t>
        </is>
      </c>
      <c r="I143" s="31">
        <f>HYPERLINK("01_STARTER/ST-060-STD-04/03_Label.docx","Open")</f>
        <v/>
      </c>
    </row>
    <row r="144">
      <c r="A144" s="25" t="inlineStr">
        <is>
          <t>IA-PPWR-LBL-ST-060-STD-05-R00</t>
        </is>
      </c>
      <c r="B144" s="25" t="inlineStr">
        <is>
          <t>ST-060-STD-05</t>
        </is>
      </c>
      <c r="C144" s="25" t="inlineStr">
        <is>
          <t>IA-ST-060-STD-05</t>
        </is>
      </c>
      <c r="D144" s="25" t="inlineStr">
        <is>
          <t>L5 | L5 İnci FORMULA-MAXIMA 2019 dış koli (4001208): 60 adet</t>
        </is>
      </c>
      <c r="E144" s="25" t="inlineStr">
        <is>
          <t>See Technical File material-family summary</t>
        </is>
      </c>
      <c r="F144" s="25" t="inlineStr">
        <is>
          <t>IA-PPWR-TF-ST-060-STD-05-R00</t>
        </is>
      </c>
      <c r="G144" s="25" t="inlineStr">
        <is>
          <t>IA-PPWR-DOC-ST-060-STD-05-R00</t>
        </is>
      </c>
      <c r="H144" s="25" t="inlineStr">
        <is>
          <t>Rev.00</t>
        </is>
      </c>
      <c r="I144" s="31">
        <f>HYPERLINK("01_STARTER/ST-060-STD-05/03_Label.docx","Open")</f>
        <v/>
      </c>
    </row>
    <row r="145">
      <c r="A145" s="25" t="inlineStr">
        <is>
          <t>IA-PPWR-LBL-ST-063-EUR-01-R00</t>
        </is>
      </c>
      <c r="B145" s="25" t="inlineStr">
        <is>
          <t>ST-063-EUR-01</t>
        </is>
      </c>
      <c r="C145" s="25" t="inlineStr">
        <is>
          <t>IA-ST-063-EUR-01</t>
        </is>
      </c>
      <c r="D145" s="25" t="inlineStr">
        <is>
          <t>D23 | Palet (4000038): 1 adet | Honeycomb (4001186): 3 adet</t>
        </is>
      </c>
      <c r="E145" s="25" t="inlineStr">
        <is>
          <t>See Technical File material-family summary</t>
        </is>
      </c>
      <c r="F145" s="25" t="inlineStr">
        <is>
          <t>IA-PPWR-TF-ST-063-EUR-01-R00</t>
        </is>
      </c>
      <c r="G145" s="25" t="inlineStr">
        <is>
          <t>IA-PPWR-DOC-ST-063-EUR-01-R00</t>
        </is>
      </c>
      <c r="H145" s="25" t="inlineStr">
        <is>
          <t>Rev.00</t>
        </is>
      </c>
      <c r="I145" s="31">
        <f>HYPERLINK("01_STARTER/ST-063-EUR-01/03_Label.docx","Open")</f>
        <v/>
      </c>
    </row>
    <row r="146">
      <c r="A146" s="25" t="inlineStr">
        <is>
          <t>IA-PPWR-LBL-ST-063-EUR-02-R00</t>
        </is>
      </c>
      <c r="B146" s="25" t="inlineStr">
        <is>
          <t>ST-063-EUR-02</t>
        </is>
      </c>
      <c r="C146" s="25" t="inlineStr">
        <is>
          <t>IA-ST-063-EUR-02</t>
        </is>
      </c>
      <c r="D146" s="25" t="inlineStr">
        <is>
          <t>D23 | Palet (4000038): 1 adet | EPS (4001247): 3 adet</t>
        </is>
      </c>
      <c r="E146" s="25" t="inlineStr">
        <is>
          <t>See Technical File material-family summary</t>
        </is>
      </c>
      <c r="F146" s="25" t="inlineStr">
        <is>
          <t>IA-PPWR-TF-ST-063-EUR-02-R00</t>
        </is>
      </c>
      <c r="G146" s="25" t="inlineStr">
        <is>
          <t>IA-PPWR-DOC-ST-063-EUR-02-R00</t>
        </is>
      </c>
      <c r="H146" s="25" t="inlineStr">
        <is>
          <t>Rev.00</t>
        </is>
      </c>
      <c r="I146" s="31">
        <f>HYPERLINK("01_STARTER/ST-063-EUR-02/03_Label.docx","Open")</f>
        <v/>
      </c>
    </row>
    <row r="147">
      <c r="A147" s="25" t="inlineStr">
        <is>
          <t>IA-PPWR-LBL-ST-063-STD-01-R00</t>
        </is>
      </c>
      <c r="B147" s="25" t="inlineStr">
        <is>
          <t>ST-063-STD-01</t>
        </is>
      </c>
      <c r="C147" s="25" t="inlineStr">
        <is>
          <t>IA-ST-063-STD-01</t>
        </is>
      </c>
      <c r="D147" s="25" t="inlineStr">
        <is>
          <t>D23 | D23 İnci EFBPANTERA YÜKSEK PENLİ DL dış koli (4001270): 63 adet</t>
        </is>
      </c>
      <c r="E147" s="25" t="inlineStr">
        <is>
          <t>See Technical File material-family summary</t>
        </is>
      </c>
      <c r="F147" s="25" t="inlineStr">
        <is>
          <t>IA-PPWR-TF-ST-063-STD-01-R00</t>
        </is>
      </c>
      <c r="G147" s="25" t="inlineStr">
        <is>
          <t>IA-PPWR-DOC-ST-063-STD-01-R00</t>
        </is>
      </c>
      <c r="H147" s="25" t="inlineStr">
        <is>
          <t>Rev.00</t>
        </is>
      </c>
      <c r="I147" s="31">
        <f>HYPERLINK("01_STARTER/ST-063-STD-01/03_Label.docx","Open")</f>
        <v/>
      </c>
    </row>
    <row r="148">
      <c r="A148" s="25" t="inlineStr">
        <is>
          <t>IA-PPWR-LBL-ST-063-STD-02-R00</t>
        </is>
      </c>
      <c r="B148" s="25" t="inlineStr">
        <is>
          <t>ST-063-STD-02</t>
        </is>
      </c>
      <c r="C148" s="25" t="inlineStr">
        <is>
          <t>IA-ST-063-STD-02</t>
        </is>
      </c>
      <c r="D148" s="25" t="inlineStr">
        <is>
          <t>D26 | Palet (4000037): 1 adet | Separatör (4000130): 1 adet | EPS (4000370): 3 adet</t>
        </is>
      </c>
      <c r="E148" s="25" t="inlineStr">
        <is>
          <t>See Technical File material-family summary</t>
        </is>
      </c>
      <c r="F148" s="25" t="inlineStr">
        <is>
          <t>IA-PPWR-TF-ST-063-STD-02-R00</t>
        </is>
      </c>
      <c r="G148" s="25" t="inlineStr">
        <is>
          <t>IA-PPWR-DOC-ST-063-STD-02-R00</t>
        </is>
      </c>
      <c r="H148" s="25" t="inlineStr">
        <is>
          <t>Rev.00</t>
        </is>
      </c>
      <c r="I148" s="31">
        <f>HYPERLINK("01_STARTER/ST-063-STD-02/03_Label.docx","Open")</f>
        <v/>
      </c>
    </row>
    <row r="149">
      <c r="A149" s="25" t="inlineStr">
        <is>
          <t>IA-PPWR-LBL-ST-063-STD-03-R00</t>
        </is>
      </c>
      <c r="B149" s="25" t="inlineStr">
        <is>
          <t>ST-063-STD-03</t>
        </is>
      </c>
      <c r="C149" s="25" t="inlineStr">
        <is>
          <t>IA-ST-063-STD-03</t>
        </is>
      </c>
      <c r="D149" s="25" t="inlineStr">
        <is>
          <t>D26 | Separatör (4000130): 1 adet | D26 PVC üst kapak (4000440): 63 adet</t>
        </is>
      </c>
      <c r="E149" s="25" t="inlineStr">
        <is>
          <t>See Technical File material-family summary</t>
        </is>
      </c>
      <c r="F149" s="25" t="inlineStr">
        <is>
          <t>IA-PPWR-TF-ST-063-STD-03-R00</t>
        </is>
      </c>
      <c r="G149" s="25" t="inlineStr">
        <is>
          <t>IA-PPWR-DOC-ST-063-STD-03-R00</t>
        </is>
      </c>
      <c r="H149" s="25" t="inlineStr">
        <is>
          <t>Rev.00</t>
        </is>
      </c>
      <c r="I149" s="31">
        <f>HYPERLINK("01_STARTER/ST-063-STD-03/03_Label.docx","Open")</f>
        <v/>
      </c>
    </row>
    <row r="150">
      <c r="A150" s="25" t="inlineStr">
        <is>
          <t>IA-PPWR-LBL-ST-063-STD-04-R00</t>
        </is>
      </c>
      <c r="B150" s="25" t="inlineStr">
        <is>
          <t>ST-063-STD-04</t>
        </is>
      </c>
      <c r="C150" s="25" t="inlineStr">
        <is>
          <t>IA-ST-063-STD-04</t>
        </is>
      </c>
      <c r="D150" s="25" t="inlineStr">
        <is>
          <t>D26 | D26 PVC üst kapak (4000440): 63 adet | Köşebent (4000590): 2 adet</t>
        </is>
      </c>
      <c r="E150" s="25" t="inlineStr">
        <is>
          <t>See Technical File material-family summary</t>
        </is>
      </c>
      <c r="F150" s="25" t="inlineStr">
        <is>
          <t>IA-PPWR-TF-ST-063-STD-04-R00</t>
        </is>
      </c>
      <c r="G150" s="25" t="inlineStr">
        <is>
          <t>IA-PPWR-DOC-ST-063-STD-04-R00</t>
        </is>
      </c>
      <c r="H150" s="25" t="inlineStr">
        <is>
          <t>Rev.00</t>
        </is>
      </c>
      <c r="I150" s="31">
        <f>HYPERLINK("01_STARTER/ST-063-STD-04/03_Label.docx","Open")</f>
        <v/>
      </c>
    </row>
    <row r="151">
      <c r="A151" s="25" t="inlineStr">
        <is>
          <t>IA-PPWR-LBL-ST-063-STD-05-R00</t>
        </is>
      </c>
      <c r="B151" s="25" t="inlineStr">
        <is>
          <t>ST-063-STD-05</t>
        </is>
      </c>
      <c r="C151" s="25" t="inlineStr">
        <is>
          <t>IA-ST-063-STD-05</t>
        </is>
      </c>
      <c r="D151" s="25" t="inlineStr">
        <is>
          <t>D26 | D26 PVC üst kapak (4000440): 63 adet | Çember (4000450): kullanılmaz</t>
        </is>
      </c>
      <c r="E151" s="25" t="inlineStr">
        <is>
          <t>See Technical File material-family summary</t>
        </is>
      </c>
      <c r="F151" s="25" t="inlineStr">
        <is>
          <t>IA-PPWR-TF-ST-063-STD-05-R00</t>
        </is>
      </c>
      <c r="G151" s="25" t="inlineStr">
        <is>
          <t>IA-PPWR-DOC-ST-063-STD-05-R00</t>
        </is>
      </c>
      <c r="H151" s="25" t="inlineStr">
        <is>
          <t>Rev.00</t>
        </is>
      </c>
      <c r="I151" s="31">
        <f>HYPERLINK("01_STARTER/ST-063-STD-05/03_Label.docx","Open")</f>
        <v/>
      </c>
    </row>
    <row r="152">
      <c r="A152" s="25" t="inlineStr">
        <is>
          <t>IA-PPWR-LBL-ST-063-STD-06-R00</t>
        </is>
      </c>
      <c r="B152" s="25" t="inlineStr">
        <is>
          <t>ST-063-STD-06</t>
        </is>
      </c>
      <c r="C152" s="25" t="inlineStr">
        <is>
          <t>IA-ST-063-STD-06</t>
        </is>
      </c>
      <c r="D152" s="25" t="inlineStr">
        <is>
          <t>L3 | Palet (4000037): 1 adet | Köşebent (4000590): 4 adet</t>
        </is>
      </c>
      <c r="E152" s="25" t="inlineStr">
        <is>
          <t>See Technical File material-family summary</t>
        </is>
      </c>
      <c r="F152" s="25" t="inlineStr">
        <is>
          <t>IA-PPWR-TF-ST-063-STD-06-R00</t>
        </is>
      </c>
      <c r="G152" s="25" t="inlineStr">
        <is>
          <t>IA-PPWR-DOC-ST-063-STD-06-R00</t>
        </is>
      </c>
      <c r="H152" s="25" t="inlineStr">
        <is>
          <t>Rev.00</t>
        </is>
      </c>
      <c r="I152" s="31">
        <f>HYPERLINK("01_STARTER/ST-063-STD-06/03_Label.docx","Open")</f>
        <v/>
      </c>
    </row>
    <row r="153">
      <c r="A153" s="25" t="inlineStr">
        <is>
          <t>IA-PPWR-LBL-ST-063-STD-07-R00</t>
        </is>
      </c>
      <c r="B153" s="25" t="inlineStr">
        <is>
          <t>ST-063-STD-07</t>
        </is>
      </c>
      <c r="C153" s="25" t="inlineStr">
        <is>
          <t>IA-ST-063-STD-07</t>
        </is>
      </c>
      <c r="D153" s="25" t="inlineStr">
        <is>
          <t>LB3 | Palet (4000037): 1 adet | Shrink film (4000558): 1.95 kg | Köşebent (4000590): 2 adet</t>
        </is>
      </c>
      <c r="E153" s="25" t="inlineStr">
        <is>
          <t>See Technical File material-family summary</t>
        </is>
      </c>
      <c r="F153" s="25" t="inlineStr">
        <is>
          <t>IA-PPWR-TF-ST-063-STD-07-R00</t>
        </is>
      </c>
      <c r="G153" s="25" t="inlineStr">
        <is>
          <t>IA-PPWR-DOC-ST-063-STD-07-R00</t>
        </is>
      </c>
      <c r="H153" s="25" t="inlineStr">
        <is>
          <t>Rev.00</t>
        </is>
      </c>
      <c r="I153" s="31">
        <f>HYPERLINK("01_STARTER/ST-063-STD-07/03_Label.docx","Open")</f>
        <v/>
      </c>
    </row>
    <row r="154">
      <c r="A154" s="25" t="inlineStr">
        <is>
          <t>IA-PPWR-LBL-ST-063-STD-08-R00</t>
        </is>
      </c>
      <c r="B154" s="25" t="inlineStr">
        <is>
          <t>ST-063-STD-08</t>
        </is>
      </c>
      <c r="C154" s="25" t="inlineStr">
        <is>
          <t>IA-ST-063-STD-08</t>
        </is>
      </c>
      <c r="D154" s="25" t="inlineStr">
        <is>
          <t>L3 | Palet (4000037): 1 adet | Separatör (4000130): 4 adet | Shrink film (4000558): 2.08 kg</t>
        </is>
      </c>
      <c r="E154" s="25" t="inlineStr">
        <is>
          <t>See Technical File material-family summary</t>
        </is>
      </c>
      <c r="F154" s="25" t="inlineStr">
        <is>
          <t>IA-PPWR-TF-ST-063-STD-08-R00</t>
        </is>
      </c>
      <c r="G154" s="25" t="inlineStr">
        <is>
          <t>IA-PPWR-DOC-ST-063-STD-08-R00</t>
        </is>
      </c>
      <c r="H154" s="25" t="inlineStr">
        <is>
          <t>Rev.00</t>
        </is>
      </c>
      <c r="I154" s="31">
        <f>HYPERLINK("01_STARTER/ST-063-STD-08/03_Label.docx","Open")</f>
        <v/>
      </c>
    </row>
    <row r="155">
      <c r="A155" s="25" t="inlineStr">
        <is>
          <t>IA-PPWR-LBL-ST-063-STD-09-R00</t>
        </is>
      </c>
      <c r="B155" s="25" t="inlineStr">
        <is>
          <t>ST-063-STD-09</t>
        </is>
      </c>
      <c r="C155" s="25" t="inlineStr">
        <is>
          <t>IA-ST-063-STD-09</t>
        </is>
      </c>
      <c r="D155" s="25" t="inlineStr">
        <is>
          <t>LB3 | Palet (4000037): 1 adet | Shrink film (4000558): kullanılmaz</t>
        </is>
      </c>
      <c r="E155" s="25" t="inlineStr">
        <is>
          <t>See Technical File material-family summary</t>
        </is>
      </c>
      <c r="F155" s="25" t="inlineStr">
        <is>
          <t>IA-PPWR-TF-ST-063-STD-09-R00</t>
        </is>
      </c>
      <c r="G155" s="25" t="inlineStr">
        <is>
          <t>IA-PPWR-DOC-ST-063-STD-09-R00</t>
        </is>
      </c>
      <c r="H155" s="25" t="inlineStr">
        <is>
          <t>Rev.00</t>
        </is>
      </c>
      <c r="I155" s="31">
        <f>HYPERLINK("01_STARTER/ST-063-STD-09/03_Label.docx","Open")</f>
        <v/>
      </c>
    </row>
    <row r="156">
      <c r="A156" s="25" t="inlineStr">
        <is>
          <t>IA-PPWR-LBL-ST-063-STD-10-R00</t>
        </is>
      </c>
      <c r="B156" s="25" t="inlineStr">
        <is>
          <t>ST-063-STD-10</t>
        </is>
      </c>
      <c r="C156" s="25" t="inlineStr">
        <is>
          <t>IA-ST-063-STD-10</t>
        </is>
      </c>
      <c r="D156" s="25" t="inlineStr">
        <is>
          <t>LB3 | Palet (4000037): 1 adet | Köşebent (4000590): kullanılmaz</t>
        </is>
      </c>
      <c r="E156" s="25" t="inlineStr">
        <is>
          <t>See Technical File material-family summary</t>
        </is>
      </c>
      <c r="F156" s="25" t="inlineStr">
        <is>
          <t>IA-PPWR-TF-ST-063-STD-10-R00</t>
        </is>
      </c>
      <c r="G156" s="25" t="inlineStr">
        <is>
          <t>IA-PPWR-DOC-ST-063-STD-10-R00</t>
        </is>
      </c>
      <c r="H156" s="25" t="inlineStr">
        <is>
          <t>Rev.00</t>
        </is>
      </c>
      <c r="I156" s="31">
        <f>HYPERLINK("01_STARTER/ST-063-STD-10/03_Label.docx","Open")</f>
        <v/>
      </c>
    </row>
    <row r="157">
      <c r="A157" s="25" t="inlineStr">
        <is>
          <t>IA-PPWR-LBL-ST-063-STD-11-R00</t>
        </is>
      </c>
      <c r="B157" s="25" t="inlineStr">
        <is>
          <t>ST-063-STD-11</t>
        </is>
      </c>
      <c r="C157" s="25" t="inlineStr">
        <is>
          <t>IA-ST-063-STD-11</t>
        </is>
      </c>
      <c r="D157" s="25" t="inlineStr">
        <is>
          <t>L3, LB3 | Palet (4000037): 1 adet | Shrink film (4000558): 2.08 kg</t>
        </is>
      </c>
      <c r="E157" s="25" t="inlineStr">
        <is>
          <t>See Technical File material-family summary</t>
        </is>
      </c>
      <c r="F157" s="25" t="inlineStr">
        <is>
          <t>IA-PPWR-TF-ST-063-STD-11-R00</t>
        </is>
      </c>
      <c r="G157" s="25" t="inlineStr">
        <is>
          <t>IA-PPWR-DOC-ST-063-STD-11-R00</t>
        </is>
      </c>
      <c r="H157" s="25" t="inlineStr">
        <is>
          <t>Rev.00</t>
        </is>
      </c>
      <c r="I157" s="31">
        <f>HYPERLINK("01_STARTER/ST-063-STD-11/03_Label.docx","Open")</f>
        <v/>
      </c>
    </row>
    <row r="158">
      <c r="A158" s="25" t="inlineStr">
        <is>
          <t>IA-PPWR-LBL-ST-063-STD-12-R00</t>
        </is>
      </c>
      <c r="B158" s="25" t="inlineStr">
        <is>
          <t>ST-063-STD-12</t>
        </is>
      </c>
      <c r="C158" s="25" t="inlineStr">
        <is>
          <t>IA-ST-063-STD-12</t>
        </is>
      </c>
      <c r="D158" s="25" t="inlineStr">
        <is>
          <t>D26 | Palet (4000037): 1 adet | Shrink film (4001177): 0.597 kg</t>
        </is>
      </c>
      <c r="E158" s="25" t="inlineStr">
        <is>
          <t>See Technical File material-family summary</t>
        </is>
      </c>
      <c r="F158" s="25" t="inlineStr">
        <is>
          <t>IA-PPWR-TF-ST-063-STD-12-R00</t>
        </is>
      </c>
      <c r="G158" s="25" t="inlineStr">
        <is>
          <t>IA-PPWR-DOC-ST-063-STD-12-R00</t>
        </is>
      </c>
      <c r="H158" s="25" t="inlineStr">
        <is>
          <t>Rev.00</t>
        </is>
      </c>
      <c r="I158" s="31">
        <f>HYPERLINK("01_STARTER/ST-063-STD-12/03_Label.docx","Open")</f>
        <v/>
      </c>
    </row>
    <row r="159">
      <c r="A159" s="25" t="inlineStr">
        <is>
          <t>IA-PPWR-LBL-ST-063-STD-13-R00</t>
        </is>
      </c>
      <c r="B159" s="25" t="inlineStr">
        <is>
          <t>ST-063-STD-13</t>
        </is>
      </c>
      <c r="C159" s="25" t="inlineStr">
        <is>
          <t>IA-ST-063-STD-13</t>
        </is>
      </c>
      <c r="D159" s="25" t="inlineStr">
        <is>
          <t>L3 | Palet (4000037): 1 adet | Shrink film (4001177): 0.597 kg</t>
        </is>
      </c>
      <c r="E159" s="25" t="inlineStr">
        <is>
          <t>See Technical File material-family summary</t>
        </is>
      </c>
      <c r="F159" s="25" t="inlineStr">
        <is>
          <t>IA-PPWR-TF-ST-063-STD-13-R00</t>
        </is>
      </c>
      <c r="G159" s="25" t="inlineStr">
        <is>
          <t>IA-PPWR-DOC-ST-063-STD-13-R00</t>
        </is>
      </c>
      <c r="H159" s="25" t="inlineStr">
        <is>
          <t>Rev.00</t>
        </is>
      </c>
      <c r="I159" s="31">
        <f>HYPERLINK("01_STARTER/ST-063-STD-13/03_Label.docx","Open")</f>
        <v/>
      </c>
    </row>
    <row r="160">
      <c r="A160" s="25" t="inlineStr">
        <is>
          <t>IA-PPWR-LBL-ST-063-STD-14-R00</t>
        </is>
      </c>
      <c r="B160" s="25" t="inlineStr">
        <is>
          <t>ST-063-STD-14</t>
        </is>
      </c>
      <c r="C160" s="25" t="inlineStr">
        <is>
          <t>IA-ST-063-STD-14</t>
        </is>
      </c>
      <c r="D160" s="25" t="inlineStr">
        <is>
          <t>LB3, L3 | Palet (4000037): 1 adet | Shrink film (4001177): 0.597 kg</t>
        </is>
      </c>
      <c r="E160" s="25" t="inlineStr">
        <is>
          <t>See Technical File material-family summary</t>
        </is>
      </c>
      <c r="F160" s="25" t="inlineStr">
        <is>
          <t>IA-PPWR-TF-ST-063-STD-14-R00</t>
        </is>
      </c>
      <c r="G160" s="25" t="inlineStr">
        <is>
          <t>IA-PPWR-DOC-ST-063-STD-14-R00</t>
        </is>
      </c>
      <c r="H160" s="25" t="inlineStr">
        <is>
          <t>Rev.00</t>
        </is>
      </c>
      <c r="I160" s="31">
        <f>HYPERLINK("01_STARTER/ST-063-STD-14/03_Label.docx","Open")</f>
        <v/>
      </c>
    </row>
    <row r="161">
      <c r="A161" s="25" t="inlineStr">
        <is>
          <t>IA-PPWR-LBL-ST-063-STD-15-R00</t>
        </is>
      </c>
      <c r="B161" s="25" t="inlineStr">
        <is>
          <t>ST-063-STD-15</t>
        </is>
      </c>
      <c r="C161" s="25" t="inlineStr">
        <is>
          <t>IA-ST-063-STD-15</t>
        </is>
      </c>
      <c r="D161" s="25" t="inlineStr">
        <is>
          <t>L3 | Palet (4000037): 1 adet | Separatör (4000130): 5 adet</t>
        </is>
      </c>
      <c r="E161" s="25" t="inlineStr">
        <is>
          <t>See Technical File material-family summary</t>
        </is>
      </c>
      <c r="F161" s="25" t="inlineStr">
        <is>
          <t>IA-PPWR-TF-ST-063-STD-15-R00</t>
        </is>
      </c>
      <c r="G161" s="25" t="inlineStr">
        <is>
          <t>IA-PPWR-DOC-ST-063-STD-15-R00</t>
        </is>
      </c>
      <c r="H161" s="25" t="inlineStr">
        <is>
          <t>Rev.00</t>
        </is>
      </c>
      <c r="I161" s="31">
        <f>HYPERLINK("01_STARTER/ST-063-STD-15/03_Label.docx","Open")</f>
        <v/>
      </c>
    </row>
    <row r="162">
      <c r="A162" s="25" t="inlineStr">
        <is>
          <t>IA-PPWR-LBL-ST-064-EUR-01-R00</t>
        </is>
      </c>
      <c r="B162" s="25" t="inlineStr">
        <is>
          <t>ST-064-EUR-01</t>
        </is>
      </c>
      <c r="C162" s="25" t="inlineStr">
        <is>
          <t>IA-ST-064-EUR-01</t>
        </is>
      </c>
      <c r="D162" s="25" t="inlineStr">
        <is>
          <t>L3 | L3 İnci AGM LEO 70AH 760A pencereli dış koli (4001237): 64 adet</t>
        </is>
      </c>
      <c r="E162" s="25" t="inlineStr">
        <is>
          <t>See Technical File material-family summary</t>
        </is>
      </c>
      <c r="F162" s="25" t="inlineStr">
        <is>
          <t>IA-PPWR-TF-ST-064-EUR-01-R00</t>
        </is>
      </c>
      <c r="G162" s="25" t="inlineStr">
        <is>
          <t>IA-PPWR-DOC-ST-064-EUR-01-R00</t>
        </is>
      </c>
      <c r="H162" s="25" t="inlineStr">
        <is>
          <t>Rev.00</t>
        </is>
      </c>
      <c r="I162" s="31">
        <f>HYPERLINK("01_STARTER/ST-064-EUR-01/03_Label.docx","Open")</f>
        <v/>
      </c>
    </row>
    <row r="163">
      <c r="A163" s="25" t="inlineStr">
        <is>
          <t>IA-PPWR-LBL-ST-066-STD-01-R00</t>
        </is>
      </c>
      <c r="B163" s="25" t="inlineStr">
        <is>
          <t>ST-066-STD-01</t>
        </is>
      </c>
      <c r="C163" s="25" t="inlineStr">
        <is>
          <t>IA-ST-066-STD-01</t>
        </is>
      </c>
      <c r="D163" s="25" t="inlineStr">
        <is>
          <t>L2 | L2 YUASA penceresiz Orta Doğu dış koli (4001102): 66 adet</t>
        </is>
      </c>
      <c r="E163" s="25" t="inlineStr">
        <is>
          <t>See Technical File material-family summary</t>
        </is>
      </c>
      <c r="F163" s="25" t="inlineStr">
        <is>
          <t>IA-PPWR-TF-ST-066-STD-01-R00</t>
        </is>
      </c>
      <c r="G163" s="25" t="inlineStr">
        <is>
          <t>IA-PPWR-DOC-ST-066-STD-01-R00</t>
        </is>
      </c>
      <c r="H163" s="25" t="inlineStr">
        <is>
          <t>Rev.00</t>
        </is>
      </c>
      <c r="I163" s="31">
        <f>HYPERLINK("01_STARTER/ST-066-STD-01/03_Label.docx","Open")</f>
        <v/>
      </c>
    </row>
    <row r="164">
      <c r="A164" s="25" t="inlineStr">
        <is>
          <t>IA-PPWR-LBL-ST-066-STD-02-R00</t>
        </is>
      </c>
      <c r="B164" s="25" t="inlineStr">
        <is>
          <t>ST-066-STD-02</t>
        </is>
      </c>
      <c r="C164" s="25" t="inlineStr">
        <is>
          <t>IA-ST-066-STD-02</t>
        </is>
      </c>
      <c r="D164" s="25" t="inlineStr">
        <is>
          <t>L2 | L2 İnci AGM LEO 60AH 680A pencereli dış koli (4001340): 66 adet</t>
        </is>
      </c>
      <c r="E164" s="25" t="inlineStr">
        <is>
          <t>See Technical File material-family summary</t>
        </is>
      </c>
      <c r="F164" s="25" t="inlineStr">
        <is>
          <t>IA-PPWR-TF-ST-066-STD-02-R00</t>
        </is>
      </c>
      <c r="G164" s="25" t="inlineStr">
        <is>
          <t>IA-PPWR-DOC-ST-066-STD-02-R00</t>
        </is>
      </c>
      <c r="H164" s="25" t="inlineStr">
        <is>
          <t>Rev.00</t>
        </is>
      </c>
      <c r="I164" s="31">
        <f>HYPERLINK("01_STARTER/ST-066-STD-02/03_Label.docx","Open")</f>
        <v/>
      </c>
    </row>
    <row r="165">
      <c r="A165" s="25" t="inlineStr">
        <is>
          <t>IA-PPWR-LBL-ST-066-STD-03-R00</t>
        </is>
      </c>
      <c r="B165" s="25" t="inlineStr">
        <is>
          <t>ST-066-STD-03</t>
        </is>
      </c>
      <c r="C165" s="25" t="inlineStr">
        <is>
          <t>IA-ST-066-STD-03</t>
        </is>
      </c>
      <c r="D165" s="25" t="inlineStr">
        <is>
          <t>L2 | L2 EAS AGM S&amp;S 60AH 680A pencereli dış koli (4001395): 66 adet</t>
        </is>
      </c>
      <c r="E165" s="25" t="inlineStr">
        <is>
          <t>See Technical File material-family summary</t>
        </is>
      </c>
      <c r="F165" s="25" t="inlineStr">
        <is>
          <t>IA-PPWR-TF-ST-066-STD-03-R00</t>
        </is>
      </c>
      <c r="G165" s="25" t="inlineStr">
        <is>
          <t>IA-PPWR-DOC-ST-066-STD-03-R00</t>
        </is>
      </c>
      <c r="H165" s="25" t="inlineStr">
        <is>
          <t>Rev.00</t>
        </is>
      </c>
      <c r="I165" s="31">
        <f>HYPERLINK("01_STARTER/ST-066-STD-03/03_Label.docx","Open")</f>
        <v/>
      </c>
    </row>
    <row r="166">
      <c r="A166" s="25" t="inlineStr">
        <is>
          <t>IA-PPWR-LBL-ST-068-EUR-01-R00</t>
        </is>
      </c>
      <c r="B166" s="25" t="inlineStr">
        <is>
          <t>ST-068-EUR-01</t>
        </is>
      </c>
      <c r="C166" s="25" t="inlineStr">
        <is>
          <t>IA-ST-068-EUR-01</t>
        </is>
      </c>
      <c r="D166" s="25" t="inlineStr">
        <is>
          <t>L3, LB3 | Palet (4000038): 1 adet | Köşebent (4000590): 4 adet</t>
        </is>
      </c>
      <c r="E166" s="25" t="inlineStr">
        <is>
          <t>See Technical File material-family summary</t>
        </is>
      </c>
      <c r="F166" s="25" t="inlineStr">
        <is>
          <t>IA-PPWR-TF-ST-068-EUR-01-R00</t>
        </is>
      </c>
      <c r="G166" s="25" t="inlineStr">
        <is>
          <t>IA-PPWR-DOC-ST-068-EUR-01-R00</t>
        </is>
      </c>
      <c r="H166" s="25" t="inlineStr">
        <is>
          <t>Rev.00</t>
        </is>
      </c>
      <c r="I166" s="31">
        <f>HYPERLINK("01_STARTER/ST-068-EUR-01/03_Label.docx","Open")</f>
        <v/>
      </c>
    </row>
    <row r="167">
      <c r="A167" s="25" t="inlineStr">
        <is>
          <t>IA-PPWR-LBL-ST-068-EUR-02-R00</t>
        </is>
      </c>
      <c r="B167" s="25" t="inlineStr">
        <is>
          <t>ST-068-EUR-02</t>
        </is>
      </c>
      <c r="C167" s="25" t="inlineStr">
        <is>
          <t>IA-ST-068-EUR-02</t>
        </is>
      </c>
      <c r="D167" s="25" t="inlineStr">
        <is>
          <t>LB3 | Palet (4000038): 1 adet | Shrink film (4000558): 2.105 kg</t>
        </is>
      </c>
      <c r="E167" s="25" t="inlineStr">
        <is>
          <t>See Technical File material-family summary</t>
        </is>
      </c>
      <c r="F167" s="25" t="inlineStr">
        <is>
          <t>IA-PPWR-TF-ST-068-EUR-02-R00</t>
        </is>
      </c>
      <c r="G167" s="25" t="inlineStr">
        <is>
          <t>IA-PPWR-DOC-ST-068-EUR-02-R00</t>
        </is>
      </c>
      <c r="H167" s="25" t="inlineStr">
        <is>
          <t>Rev.00</t>
        </is>
      </c>
      <c r="I167" s="31">
        <f>HYPERLINK("01_STARTER/ST-068-EUR-02/03_Label.docx","Open")</f>
        <v/>
      </c>
    </row>
    <row r="168">
      <c r="A168" s="25" t="inlineStr">
        <is>
          <t>IA-PPWR-LBL-ST-068-EUR-03-R00</t>
        </is>
      </c>
      <c r="B168" s="25" t="inlineStr">
        <is>
          <t>ST-068-EUR-03</t>
        </is>
      </c>
      <c r="C168" s="25" t="inlineStr">
        <is>
          <t>IA-ST-068-EUR-03</t>
        </is>
      </c>
      <c r="D168" s="25" t="inlineStr">
        <is>
          <t>L3 | Palet (4000038): 1 adet | Shrink film (4000558): 2.245 kg</t>
        </is>
      </c>
      <c r="E168" s="25" t="inlineStr">
        <is>
          <t>See Technical File material-family summary</t>
        </is>
      </c>
      <c r="F168" s="25" t="inlineStr">
        <is>
          <t>IA-PPWR-TF-ST-068-EUR-03-R00</t>
        </is>
      </c>
      <c r="G168" s="25" t="inlineStr">
        <is>
          <t>IA-PPWR-DOC-ST-068-EUR-03-R00</t>
        </is>
      </c>
      <c r="H168" s="25" t="inlineStr">
        <is>
          <t>Rev.00</t>
        </is>
      </c>
      <c r="I168" s="31">
        <f>HYPERLINK("01_STARTER/ST-068-EUR-03/03_Label.docx","Open")</f>
        <v/>
      </c>
    </row>
    <row r="169">
      <c r="A169" s="25" t="inlineStr">
        <is>
          <t>IA-PPWR-LBL-ST-068-EUR-04-R00</t>
        </is>
      </c>
      <c r="B169" s="25" t="inlineStr">
        <is>
          <t>ST-068-EUR-04</t>
        </is>
      </c>
      <c r="C169" s="25" t="inlineStr">
        <is>
          <t>IA-ST-068-EUR-04</t>
        </is>
      </c>
      <c r="D169" s="25" t="inlineStr">
        <is>
          <t>LB3, L3 | Palet (4000038): 1 adet | Köşebent (4000590): 2 adet</t>
        </is>
      </c>
      <c r="E169" s="25" t="inlineStr">
        <is>
          <t>See Technical File material-family summary</t>
        </is>
      </c>
      <c r="F169" s="25" t="inlineStr">
        <is>
          <t>IA-PPWR-TF-ST-068-EUR-04-R00</t>
        </is>
      </c>
      <c r="G169" s="25" t="inlineStr">
        <is>
          <t>IA-PPWR-DOC-ST-068-EUR-04-R00</t>
        </is>
      </c>
      <c r="H169" s="25" t="inlineStr">
        <is>
          <t>Rev.00</t>
        </is>
      </c>
      <c r="I169" s="31">
        <f>HYPERLINK("01_STARTER/ST-068-EUR-04/03_Label.docx","Open")</f>
        <v/>
      </c>
    </row>
    <row r="170">
      <c r="A170" s="25" t="inlineStr">
        <is>
          <t>IA-PPWR-LBL-ST-068-STD-01-R00</t>
        </is>
      </c>
      <c r="B170" s="25" t="inlineStr">
        <is>
          <t>ST-068-STD-01</t>
        </is>
      </c>
      <c r="C170" s="25" t="inlineStr">
        <is>
          <t>IA-ST-068-STD-01</t>
        </is>
      </c>
      <c r="D170" s="25" t="inlineStr">
        <is>
          <t>LB4 | LB4 YUASA penceresiz Orta Doğu dış koli (4001104): 68 adet</t>
        </is>
      </c>
      <c r="E170" s="25" t="inlineStr">
        <is>
          <t>See Technical File material-family summary</t>
        </is>
      </c>
      <c r="F170" s="25" t="inlineStr">
        <is>
          <t>IA-PPWR-TF-ST-068-STD-01-R00</t>
        </is>
      </c>
      <c r="G170" s="25" t="inlineStr">
        <is>
          <t>IA-PPWR-DOC-ST-068-STD-01-R00</t>
        </is>
      </c>
      <c r="H170" s="25" t="inlineStr">
        <is>
          <t>Rev.00</t>
        </is>
      </c>
      <c r="I170" s="31">
        <f>HYPERLINK("01_STARTER/ST-068-STD-01/03_Label.docx","Open")</f>
        <v/>
      </c>
    </row>
    <row r="171">
      <c r="A171" s="25" t="inlineStr">
        <is>
          <t>IA-PPWR-LBL-ST-068-STD-02-R00</t>
        </is>
      </c>
      <c r="B171" s="25" t="inlineStr">
        <is>
          <t>ST-068-STD-02</t>
        </is>
      </c>
      <c r="C171" s="25" t="inlineStr">
        <is>
          <t>IA-ST-068-STD-02</t>
        </is>
      </c>
      <c r="D171" s="25" t="inlineStr">
        <is>
          <t>L4 | L4 İnci EFB MAX TIGRIS pencereli 2020 dış koli (4001275): 68 adet</t>
        </is>
      </c>
      <c r="E171" s="25" t="inlineStr">
        <is>
          <t>See Technical File material-family summary</t>
        </is>
      </c>
      <c r="F171" s="25" t="inlineStr">
        <is>
          <t>IA-PPWR-TF-ST-068-STD-02-R00</t>
        </is>
      </c>
      <c r="G171" s="25" t="inlineStr">
        <is>
          <t>IA-PPWR-DOC-ST-068-STD-02-R00</t>
        </is>
      </c>
      <c r="H171" s="25" t="inlineStr">
        <is>
          <t>Rev.00</t>
        </is>
      </c>
      <c r="I171" s="31">
        <f>HYPERLINK("01_STARTER/ST-068-STD-02/03_Label.docx","Open")</f>
        <v/>
      </c>
    </row>
    <row r="172">
      <c r="A172" s="25" t="inlineStr">
        <is>
          <t>IA-PPWR-LBL-ST-068-STD-03-R00</t>
        </is>
      </c>
      <c r="B172" s="25" t="inlineStr">
        <is>
          <t>ST-068-STD-03</t>
        </is>
      </c>
      <c r="C172" s="25" t="inlineStr">
        <is>
          <t>IA-ST-068-STD-03</t>
        </is>
      </c>
      <c r="D172" s="25" t="inlineStr">
        <is>
          <t>LB4 | LB4 İnci EFB PANTERA pencereli DL dış koli (4001316): 68 adet</t>
        </is>
      </c>
      <c r="E172" s="25" t="inlineStr">
        <is>
          <t>See Technical File material-family summary</t>
        </is>
      </c>
      <c r="F172" s="25" t="inlineStr">
        <is>
          <t>IA-PPWR-TF-ST-068-STD-03-R00</t>
        </is>
      </c>
      <c r="G172" s="25" t="inlineStr">
        <is>
          <t>IA-PPWR-DOC-ST-068-STD-03-R00</t>
        </is>
      </c>
      <c r="H172" s="25" t="inlineStr">
        <is>
          <t>Rev.00</t>
        </is>
      </c>
      <c r="I172" s="31">
        <f>HYPERLINK("01_STARTER/ST-068-STD-03/03_Label.docx","Open")</f>
        <v/>
      </c>
    </row>
    <row r="173">
      <c r="A173" s="25" t="inlineStr">
        <is>
          <t>IA-PPWR-LBL-ST-068-STD-04-R00</t>
        </is>
      </c>
      <c r="B173" s="25" t="inlineStr">
        <is>
          <t>ST-068-STD-04</t>
        </is>
      </c>
      <c r="C173" s="25" t="inlineStr">
        <is>
          <t>IA-ST-068-STD-04</t>
        </is>
      </c>
      <c r="D173" s="25" t="inlineStr">
        <is>
          <t>L4 | L4 İnci EFB PANTERA pencereli DL dış koli (4001318): 68 adet</t>
        </is>
      </c>
      <c r="E173" s="25" t="inlineStr">
        <is>
          <t>See Technical File material-family summary</t>
        </is>
      </c>
      <c r="F173" s="25" t="inlineStr">
        <is>
          <t>IA-PPWR-TF-ST-068-STD-04-R00</t>
        </is>
      </c>
      <c r="G173" s="25" t="inlineStr">
        <is>
          <t>IA-PPWR-DOC-ST-068-STD-04-R00</t>
        </is>
      </c>
      <c r="H173" s="25" t="inlineStr">
        <is>
          <t>Rev.00</t>
        </is>
      </c>
      <c r="I173" s="31">
        <f>HYPERLINK("01_STARTER/ST-068-STD-04/03_Label.docx","Open")</f>
        <v/>
      </c>
    </row>
    <row r="174">
      <c r="A174" s="25" t="inlineStr">
        <is>
          <t>IA-PPWR-LBL-ST-072-EUR-01-R00</t>
        </is>
      </c>
      <c r="B174" s="25" t="inlineStr">
        <is>
          <t>ST-072-EUR-01</t>
        </is>
      </c>
      <c r="C174" s="25" t="inlineStr">
        <is>
          <t>IA-ST-072-EUR-01</t>
        </is>
      </c>
      <c r="D174" s="25" t="inlineStr">
        <is>
          <t>LB1 | Palet (4000038): 1 adet | Shrink film (4000556): 1.945 kg</t>
        </is>
      </c>
      <c r="E174" s="25" t="inlineStr">
        <is>
          <t>See Technical File material-family summary</t>
        </is>
      </c>
      <c r="F174" s="25" t="inlineStr">
        <is>
          <t>IA-PPWR-TF-ST-072-EUR-01-R00</t>
        </is>
      </c>
      <c r="G174" s="25" t="inlineStr">
        <is>
          <t>IA-PPWR-DOC-ST-072-EUR-01-R00</t>
        </is>
      </c>
      <c r="H174" s="25" t="inlineStr">
        <is>
          <t>Rev.00</t>
        </is>
      </c>
      <c r="I174" s="31">
        <f>HYPERLINK("01_STARTER/ST-072-EUR-01/03_Label.docx","Open")</f>
        <v/>
      </c>
    </row>
    <row r="175">
      <c r="A175" s="25" t="inlineStr">
        <is>
          <t>IA-PPWR-LBL-ST-072-EUR-02-R00</t>
        </is>
      </c>
      <c r="B175" s="25" t="inlineStr">
        <is>
          <t>ST-072-EUR-02</t>
        </is>
      </c>
      <c r="C175" s="25" t="inlineStr">
        <is>
          <t>IA-ST-072-EUR-02</t>
        </is>
      </c>
      <c r="D175" s="25" t="inlineStr">
        <is>
          <t>L1 | Palet (4000038): 1 adet | Shrink film (4000556): 2.375 kg</t>
        </is>
      </c>
      <c r="E175" s="25" t="inlineStr">
        <is>
          <t>See Technical File material-family summary</t>
        </is>
      </c>
      <c r="F175" s="25" t="inlineStr">
        <is>
          <t>IA-PPWR-TF-ST-072-EUR-02-R00</t>
        </is>
      </c>
      <c r="G175" s="25" t="inlineStr">
        <is>
          <t>IA-PPWR-DOC-ST-072-EUR-02-R00</t>
        </is>
      </c>
      <c r="H175" s="25" t="inlineStr">
        <is>
          <t>Rev.00</t>
        </is>
      </c>
      <c r="I175" s="31">
        <f>HYPERLINK("01_STARTER/ST-072-EUR-02/03_Label.docx","Open")</f>
        <v/>
      </c>
    </row>
    <row r="176">
      <c r="A176" s="25" t="inlineStr">
        <is>
          <t>IA-PPWR-LBL-ST-072-EUR-03-R00</t>
        </is>
      </c>
      <c r="B176" s="25" t="inlineStr">
        <is>
          <t>ST-072-EUR-03</t>
        </is>
      </c>
      <c r="C176" s="25" t="inlineStr">
        <is>
          <t>IA-ST-072-EUR-03</t>
        </is>
      </c>
      <c r="D176" s="25" t="inlineStr">
        <is>
          <t>LB1, L1 | Palet (4000038): 1 adet | Köşebent (4000033): 2 adet</t>
        </is>
      </c>
      <c r="E176" s="25" t="inlineStr">
        <is>
          <t>See Technical File material-family summary</t>
        </is>
      </c>
      <c r="F176" s="25" t="inlineStr">
        <is>
          <t>IA-PPWR-TF-ST-072-EUR-03-R00</t>
        </is>
      </c>
      <c r="G176" s="25" t="inlineStr">
        <is>
          <t>IA-PPWR-DOC-ST-072-EUR-03-R00</t>
        </is>
      </c>
      <c r="H176" s="25" t="inlineStr">
        <is>
          <t>Rev.00</t>
        </is>
      </c>
      <c r="I176" s="31">
        <f>HYPERLINK("01_STARTER/ST-072-EUR-03/03_Label.docx","Open")</f>
        <v/>
      </c>
    </row>
    <row r="177">
      <c r="A177" s="25" t="inlineStr">
        <is>
          <t>IA-PPWR-LBL-ST-072-EUR-04-R00</t>
        </is>
      </c>
      <c r="B177" s="25" t="inlineStr">
        <is>
          <t>ST-072-EUR-04</t>
        </is>
      </c>
      <c r="C177" s="25" t="inlineStr">
        <is>
          <t>IA-ST-072-EUR-04</t>
        </is>
      </c>
      <c r="D177" s="25" t="inlineStr">
        <is>
          <t>L1, LB1 | Palet (4000038): 1 adet | Köşebent (4000033): 4 adet</t>
        </is>
      </c>
      <c r="E177" s="25" t="inlineStr">
        <is>
          <t>See Technical File material-family summary</t>
        </is>
      </c>
      <c r="F177" s="25" t="inlineStr">
        <is>
          <t>IA-PPWR-TF-ST-072-EUR-04-R00</t>
        </is>
      </c>
      <c r="G177" s="25" t="inlineStr">
        <is>
          <t>IA-PPWR-DOC-ST-072-EUR-04-R00</t>
        </is>
      </c>
      <c r="H177" s="25" t="inlineStr">
        <is>
          <t>Rev.00</t>
        </is>
      </c>
      <c r="I177" s="31">
        <f>HYPERLINK("01_STARTER/ST-072-EUR-04/03_Label.docx","Open")</f>
        <v/>
      </c>
    </row>
    <row r="178">
      <c r="A178" s="25" t="inlineStr">
        <is>
          <t>IA-PPWR-LBL-ST-072-EUR-05-R00</t>
        </is>
      </c>
      <c r="B178" s="25" t="inlineStr">
        <is>
          <t>ST-072-EUR-05</t>
        </is>
      </c>
      <c r="C178" s="25" t="inlineStr">
        <is>
          <t>IA-ST-072-EUR-05</t>
        </is>
      </c>
      <c r="D178" s="25" t="inlineStr">
        <is>
          <t>NS60 | NS60 PVC üst kapak (4000602): 72 adet</t>
        </is>
      </c>
      <c r="E178" s="25" t="inlineStr">
        <is>
          <t>See Technical File material-family summary</t>
        </is>
      </c>
      <c r="F178" s="25" t="inlineStr">
        <is>
          <t>IA-PPWR-TF-ST-072-EUR-05-R00</t>
        </is>
      </c>
      <c r="G178" s="25" t="inlineStr">
        <is>
          <t>IA-PPWR-DOC-ST-072-EUR-05-R00</t>
        </is>
      </c>
      <c r="H178" s="25" t="inlineStr">
        <is>
          <t>Rev.00</t>
        </is>
      </c>
      <c r="I178" s="31">
        <f>HYPERLINK("01_STARTER/ST-072-EUR-05/03_Label.docx","Open")</f>
        <v/>
      </c>
    </row>
    <row r="179">
      <c r="A179" s="25" t="inlineStr">
        <is>
          <t>IA-PPWR-LBL-ST-072-EUR-06-R00</t>
        </is>
      </c>
      <c r="B179" s="25" t="inlineStr">
        <is>
          <t>ST-072-EUR-06</t>
        </is>
      </c>
      <c r="C179" s="25" t="inlineStr">
        <is>
          <t>IA-ST-072-EUR-06</t>
        </is>
      </c>
      <c r="D179" s="25" t="inlineStr">
        <is>
          <t>L0 | Palet (4000038): 1 adet | Köşebent (4000590): 4 adet</t>
        </is>
      </c>
      <c r="E179" s="25" t="inlineStr">
        <is>
          <t>See Technical File material-family summary</t>
        </is>
      </c>
      <c r="F179" s="25" t="inlineStr">
        <is>
          <t>IA-PPWR-TF-ST-072-EUR-06-R00</t>
        </is>
      </c>
      <c r="G179" s="25" t="inlineStr">
        <is>
          <t>IA-PPWR-DOC-ST-072-EUR-06-R00</t>
        </is>
      </c>
      <c r="H179" s="25" t="inlineStr">
        <is>
          <t>Rev.00</t>
        </is>
      </c>
      <c r="I179" s="31">
        <f>HYPERLINK("01_STARTER/ST-072-EUR-06/03_Label.docx","Open")</f>
        <v/>
      </c>
    </row>
    <row r="180">
      <c r="A180" s="25" t="inlineStr">
        <is>
          <t>IA-PPWR-LBL-ST-072-STD-01-R00</t>
        </is>
      </c>
      <c r="B180" s="25" t="inlineStr">
        <is>
          <t>ST-072-STD-01</t>
        </is>
      </c>
      <c r="C180" s="25" t="inlineStr">
        <is>
          <t>IA-ST-072-STD-01</t>
        </is>
      </c>
      <c r="D180" s="25" t="inlineStr">
        <is>
          <t>L3 | L3 EAS Activa penceresiz dış koli (4000646): 72 adet</t>
        </is>
      </c>
      <c r="E180" s="25" t="inlineStr">
        <is>
          <t>See Technical File material-family summary</t>
        </is>
      </c>
      <c r="F180" s="25" t="inlineStr">
        <is>
          <t>IA-PPWR-TF-ST-072-STD-01-R00</t>
        </is>
      </c>
      <c r="G180" s="25" t="inlineStr">
        <is>
          <t>IA-PPWR-DOC-ST-072-STD-01-R00</t>
        </is>
      </c>
      <c r="H180" s="25" t="inlineStr">
        <is>
          <t>Rev.00</t>
        </is>
      </c>
      <c r="I180" s="31">
        <f>HYPERLINK("01_STARTER/ST-072-STD-01/03_Label.docx","Open")</f>
        <v/>
      </c>
    </row>
    <row r="181">
      <c r="A181" s="25" t="inlineStr">
        <is>
          <t>IA-PPWR-LBL-ST-072-STD-02-R00</t>
        </is>
      </c>
      <c r="B181" s="25" t="inlineStr">
        <is>
          <t>ST-072-STD-02</t>
        </is>
      </c>
      <c r="C181" s="25" t="inlineStr">
        <is>
          <t>IA-ST-072-STD-02</t>
        </is>
      </c>
      <c r="D181" s="25" t="inlineStr">
        <is>
          <t>LB3 | LB3 İnci EFB PANTERA pencereli DL dış koli (4001314): 72 adet</t>
        </is>
      </c>
      <c r="E181" s="25" t="inlineStr">
        <is>
          <t>See Technical File material-family summary</t>
        </is>
      </c>
      <c r="F181" s="25" t="inlineStr">
        <is>
          <t>IA-PPWR-TF-ST-072-STD-02-R00</t>
        </is>
      </c>
      <c r="G181" s="25" t="inlineStr">
        <is>
          <t>IA-PPWR-DOC-ST-072-STD-02-R00</t>
        </is>
      </c>
      <c r="H181" s="25" t="inlineStr">
        <is>
          <t>Rev.00</t>
        </is>
      </c>
      <c r="I181" s="31">
        <f>HYPERLINK("01_STARTER/ST-072-STD-02/03_Label.docx","Open")</f>
        <v/>
      </c>
    </row>
    <row r="182">
      <c r="A182" s="25" t="inlineStr">
        <is>
          <t>IA-PPWR-LBL-ST-072-STD-03-R00</t>
        </is>
      </c>
      <c r="B182" s="25" t="inlineStr">
        <is>
          <t>ST-072-STD-03</t>
        </is>
      </c>
      <c r="C182" s="25" t="inlineStr">
        <is>
          <t>IA-ST-072-STD-03</t>
        </is>
      </c>
      <c r="D182" s="25" t="inlineStr">
        <is>
          <t>L3 | L3 İnci EFB PANTERA pencereli DL dış koli (4001315): 72 adet</t>
        </is>
      </c>
      <c r="E182" s="25" t="inlineStr">
        <is>
          <t>See Technical File material-family summary</t>
        </is>
      </c>
      <c r="F182" s="25" t="inlineStr">
        <is>
          <t>IA-PPWR-TF-ST-072-STD-03-R00</t>
        </is>
      </c>
      <c r="G182" s="25" t="inlineStr">
        <is>
          <t>IA-PPWR-DOC-ST-072-STD-03-R00</t>
        </is>
      </c>
      <c r="H182" s="25" t="inlineStr">
        <is>
          <t>Rev.00</t>
        </is>
      </c>
      <c r="I182" s="31">
        <f>HYPERLINK("01_STARTER/ST-072-STD-03/03_Label.docx","Open")</f>
        <v/>
      </c>
    </row>
    <row r="183">
      <c r="A183" s="25" t="inlineStr">
        <is>
          <t>IA-PPWR-LBL-ST-072-STD-04-R00</t>
        </is>
      </c>
      <c r="B183" s="25" t="inlineStr">
        <is>
          <t>ST-072-STD-04</t>
        </is>
      </c>
      <c r="C183" s="25" t="inlineStr">
        <is>
          <t>IA-ST-072-STD-04</t>
        </is>
      </c>
      <c r="D183" s="25" t="inlineStr">
        <is>
          <t>L3 | L3 EAS EFB MAX pencereli 2024 dış koli (4001411): 72 adet</t>
        </is>
      </c>
      <c r="E183" s="25" t="inlineStr">
        <is>
          <t>See Technical File material-family summary</t>
        </is>
      </c>
      <c r="F183" s="25" t="inlineStr">
        <is>
          <t>IA-PPWR-TF-ST-072-STD-04-R00</t>
        </is>
      </c>
      <c r="G183" s="25" t="inlineStr">
        <is>
          <t>IA-PPWR-DOC-ST-072-STD-04-R00</t>
        </is>
      </c>
      <c r="H183" s="25" t="inlineStr">
        <is>
          <t>Rev.00</t>
        </is>
      </c>
      <c r="I183" s="31">
        <f>HYPERLINK("01_STARTER/ST-072-STD-04/03_Label.docx","Open")</f>
        <v/>
      </c>
    </row>
    <row r="184">
      <c r="A184" s="25" t="inlineStr">
        <is>
          <t>IA-PPWR-LBL-ST-072-STD-05-R00</t>
        </is>
      </c>
      <c r="B184" s="25" t="inlineStr">
        <is>
          <t>ST-072-STD-05</t>
        </is>
      </c>
      <c r="C184" s="25" t="inlineStr">
        <is>
          <t>IA-ST-072-STD-05</t>
        </is>
      </c>
      <c r="D184" s="25" t="inlineStr">
        <is>
          <t>L1 | L1 EAS AGM S&amp;S 50AH 560A pencereli dış koli (4001394): 72 adet</t>
        </is>
      </c>
      <c r="E184" s="25" t="inlineStr">
        <is>
          <t>See Technical File material-family summary</t>
        </is>
      </c>
      <c r="F184" s="25" t="inlineStr">
        <is>
          <t>IA-PPWR-TF-ST-072-STD-05-R00</t>
        </is>
      </c>
      <c r="G184" s="25" t="inlineStr">
        <is>
          <t>IA-PPWR-DOC-ST-072-STD-05-R00</t>
        </is>
      </c>
      <c r="H184" s="25" t="inlineStr">
        <is>
          <t>Rev.00</t>
        </is>
      </c>
      <c r="I184" s="31">
        <f>HYPERLINK("01_STARTER/ST-072-STD-05/03_Label.docx","Open")</f>
        <v/>
      </c>
    </row>
    <row r="185">
      <c r="A185" s="25" t="inlineStr">
        <is>
          <t>IA-PPWR-LBL-ST-072-STD-06-R00</t>
        </is>
      </c>
      <c r="B185" s="25" t="inlineStr">
        <is>
          <t>ST-072-STD-06</t>
        </is>
      </c>
      <c r="C185" s="25" t="inlineStr">
        <is>
          <t>IA-ST-072-STD-06</t>
        </is>
      </c>
      <c r="D185" s="25" t="inlineStr">
        <is>
          <t>L3 | L3 HUGEL ULTRA penceresiz 2013 TAS. dış koli (4000865): 72 adet</t>
        </is>
      </c>
      <c r="E185" s="25" t="inlineStr">
        <is>
          <t>See Technical File material-family summary</t>
        </is>
      </c>
      <c r="F185" s="25" t="inlineStr">
        <is>
          <t>IA-PPWR-TF-ST-072-STD-06-R00</t>
        </is>
      </c>
      <c r="G185" s="25" t="inlineStr">
        <is>
          <t>IA-PPWR-DOC-ST-072-STD-06-R00</t>
        </is>
      </c>
      <c r="H185" s="25" t="inlineStr">
        <is>
          <t>Rev.00</t>
        </is>
      </c>
      <c r="I185" s="31">
        <f>HYPERLINK("01_STARTER/ST-072-STD-06/03_Label.docx","Open")</f>
        <v/>
      </c>
    </row>
    <row r="186">
      <c r="A186" s="25" t="inlineStr">
        <is>
          <t>IA-PPWR-LBL-ST-072-STD-07-R00</t>
        </is>
      </c>
      <c r="B186" s="25" t="inlineStr">
        <is>
          <t>ST-072-STD-07</t>
        </is>
      </c>
      <c r="C186" s="25" t="inlineStr">
        <is>
          <t>IA-ST-072-STD-07</t>
        </is>
      </c>
      <c r="D186" s="25" t="inlineStr">
        <is>
          <t>LB3 | LB3 İnci FORMULA-MAXIMA 2019 dış koli (4001205): 72 adet</t>
        </is>
      </c>
      <c r="E186" s="25" t="inlineStr">
        <is>
          <t>See Technical File material-family summary</t>
        </is>
      </c>
      <c r="F186" s="25" t="inlineStr">
        <is>
          <t>IA-PPWR-TF-ST-072-STD-07-R00</t>
        </is>
      </c>
      <c r="G186" s="25" t="inlineStr">
        <is>
          <t>IA-PPWR-DOC-ST-072-STD-07-R00</t>
        </is>
      </c>
      <c r="H186" s="25" t="inlineStr">
        <is>
          <t>Rev.00</t>
        </is>
      </c>
      <c r="I186" s="31">
        <f>HYPERLINK("01_STARTER/ST-072-STD-07/03_Label.docx","Open")</f>
        <v/>
      </c>
    </row>
    <row r="187">
      <c r="A187" s="25" t="inlineStr">
        <is>
          <t>IA-PPWR-LBL-ST-072-STD-08-R00</t>
        </is>
      </c>
      <c r="B187" s="25" t="inlineStr">
        <is>
          <t>ST-072-STD-08</t>
        </is>
      </c>
      <c r="C187" s="25" t="inlineStr">
        <is>
          <t>IA-ST-072-STD-08</t>
        </is>
      </c>
      <c r="D187" s="25" t="inlineStr">
        <is>
          <t>D23 | Palet (4000037): 1 adet | Separatör (4000130): 1 adet</t>
        </is>
      </c>
      <c r="E187" s="25" t="inlineStr">
        <is>
          <t>See Technical File material-family summary</t>
        </is>
      </c>
      <c r="F187" s="25" t="inlineStr">
        <is>
          <t>IA-PPWR-TF-ST-072-STD-08-R00</t>
        </is>
      </c>
      <c r="G187" s="25" t="inlineStr">
        <is>
          <t>IA-PPWR-DOC-ST-072-STD-08-R00</t>
        </is>
      </c>
      <c r="H187" s="25" t="inlineStr">
        <is>
          <t>Rev.00</t>
        </is>
      </c>
      <c r="I187" s="31">
        <f>HYPERLINK("01_STARTER/ST-072-STD-08/03_Label.docx","Open")</f>
        <v/>
      </c>
    </row>
    <row r="188">
      <c r="A188" s="25" t="inlineStr">
        <is>
          <t>IA-PPWR-LBL-ST-072-STD-09-R00</t>
        </is>
      </c>
      <c r="B188" s="25" t="inlineStr">
        <is>
          <t>ST-072-STD-09</t>
        </is>
      </c>
      <c r="C188" s="25" t="inlineStr">
        <is>
          <t>IA-ST-072-STD-09</t>
        </is>
      </c>
      <c r="D188" s="25" t="inlineStr">
        <is>
          <t>L2 | Palet (4000037): 1 adet | Shrink film (4000558): 2.736 kg</t>
        </is>
      </c>
      <c r="E188" s="25" t="inlineStr">
        <is>
          <t>See Technical File material-family summary</t>
        </is>
      </c>
      <c r="F188" s="25" t="inlineStr">
        <is>
          <t>IA-PPWR-TF-ST-072-STD-09-R00</t>
        </is>
      </c>
      <c r="G188" s="25" t="inlineStr">
        <is>
          <t>IA-PPWR-DOC-ST-072-STD-09-R00</t>
        </is>
      </c>
      <c r="H188" s="25" t="inlineStr">
        <is>
          <t>Rev.00</t>
        </is>
      </c>
      <c r="I188" s="31">
        <f>HYPERLINK("01_STARTER/ST-072-STD-09/03_Label.docx","Open")</f>
        <v/>
      </c>
    </row>
    <row r="189">
      <c r="A189" s="25" t="inlineStr">
        <is>
          <t>IA-PPWR-LBL-ST-072-STD-10-R00</t>
        </is>
      </c>
      <c r="B189" s="25" t="inlineStr">
        <is>
          <t>ST-072-STD-10</t>
        </is>
      </c>
      <c r="C189" s="25" t="inlineStr">
        <is>
          <t>IA-ST-072-STD-10</t>
        </is>
      </c>
      <c r="D189" s="25" t="inlineStr">
        <is>
          <t>D23 | D23 PVC üst kapak (4000461): 72 adet | Köşebent (4000590): 2 adet</t>
        </is>
      </c>
      <c r="E189" s="25" t="inlineStr">
        <is>
          <t>See Technical File material-family summary</t>
        </is>
      </c>
      <c r="F189" s="25" t="inlineStr">
        <is>
          <t>IA-PPWR-TF-ST-072-STD-10-R00</t>
        </is>
      </c>
      <c r="G189" s="25" t="inlineStr">
        <is>
          <t>IA-PPWR-DOC-ST-072-STD-10-R00</t>
        </is>
      </c>
      <c r="H189" s="25" t="inlineStr">
        <is>
          <t>Rev.00</t>
        </is>
      </c>
      <c r="I189" s="31">
        <f>HYPERLINK("01_STARTER/ST-072-STD-10/03_Label.docx","Open")</f>
        <v/>
      </c>
    </row>
    <row r="190">
      <c r="A190" s="25" t="inlineStr">
        <is>
          <t>IA-PPWR-LBL-ST-072-STD-11-R00</t>
        </is>
      </c>
      <c r="B190" s="25" t="inlineStr">
        <is>
          <t>ST-072-STD-11</t>
        </is>
      </c>
      <c r="C190" s="25" t="inlineStr">
        <is>
          <t>IA-ST-072-STD-11</t>
        </is>
      </c>
      <c r="D190" s="25" t="inlineStr">
        <is>
          <t>D20 | D20 PVC üst kapak (4000490): 72 adet | Köşebent (4000590): 2 adet</t>
        </is>
      </c>
      <c r="E190" s="25" t="inlineStr">
        <is>
          <t>See Technical File material-family summary</t>
        </is>
      </c>
      <c r="F190" s="25" t="inlineStr">
        <is>
          <t>IA-PPWR-TF-ST-072-STD-11-R00</t>
        </is>
      </c>
      <c r="G190" s="25" t="inlineStr">
        <is>
          <t>IA-PPWR-DOC-ST-072-STD-11-R00</t>
        </is>
      </c>
      <c r="H190" s="25" t="inlineStr">
        <is>
          <t>Rev.00</t>
        </is>
      </c>
      <c r="I190" s="31">
        <f>HYPERLINK("01_STARTER/ST-072-STD-11/03_Label.docx","Open")</f>
        <v/>
      </c>
    </row>
    <row r="191">
      <c r="A191" s="25" t="inlineStr">
        <is>
          <t>IA-PPWR-LBL-ST-072-STD-12-R00</t>
        </is>
      </c>
      <c r="B191" s="25" t="inlineStr">
        <is>
          <t>ST-072-STD-12</t>
        </is>
      </c>
      <c r="C191" s="25" t="inlineStr">
        <is>
          <t>IA-ST-072-STD-12</t>
        </is>
      </c>
      <c r="D191" s="25" t="inlineStr">
        <is>
          <t>L4 | Palet (4000037): 1 adet | Shrink film (4000554): 2.448 kg</t>
        </is>
      </c>
      <c r="E191" s="25" t="inlineStr">
        <is>
          <t>See Technical File material-family summary</t>
        </is>
      </c>
      <c r="F191" s="25" t="inlineStr">
        <is>
          <t>IA-PPWR-TF-ST-072-STD-12-R00</t>
        </is>
      </c>
      <c r="G191" s="25" t="inlineStr">
        <is>
          <t>IA-PPWR-DOC-ST-072-STD-12-R00</t>
        </is>
      </c>
      <c r="H191" s="25" t="inlineStr">
        <is>
          <t>Rev.00</t>
        </is>
      </c>
      <c r="I191" s="31">
        <f>HYPERLINK("01_STARTER/ST-072-STD-12/03_Label.docx","Open")</f>
        <v/>
      </c>
    </row>
    <row r="192">
      <c r="A192" s="25" t="inlineStr">
        <is>
          <t>IA-PPWR-LBL-ST-072-STD-13-R00</t>
        </is>
      </c>
      <c r="B192" s="25" t="inlineStr">
        <is>
          <t>ST-072-STD-13</t>
        </is>
      </c>
      <c r="C192" s="25" t="inlineStr">
        <is>
          <t>IA-ST-072-STD-13</t>
        </is>
      </c>
      <c r="D192" s="25" t="inlineStr">
        <is>
          <t>L2, LB2 | Palet (4000037): 1 adet | Köşebent (4000590): 2 adet</t>
        </is>
      </c>
      <c r="E192" s="25" t="inlineStr">
        <is>
          <t>See Technical File material-family summary</t>
        </is>
      </c>
      <c r="F192" s="25" t="inlineStr">
        <is>
          <t>IA-PPWR-TF-ST-072-STD-13-R00</t>
        </is>
      </c>
      <c r="G192" s="25" t="inlineStr">
        <is>
          <t>IA-PPWR-DOC-ST-072-STD-13-R00</t>
        </is>
      </c>
      <c r="H192" s="25" t="inlineStr">
        <is>
          <t>Rev.00</t>
        </is>
      </c>
      <c r="I192" s="31">
        <f>HYPERLINK("01_STARTER/ST-072-STD-13/03_Label.docx","Open")</f>
        <v/>
      </c>
    </row>
    <row r="193">
      <c r="A193" s="25" t="inlineStr">
        <is>
          <t>IA-PPWR-LBL-ST-072-STD-14-R00</t>
        </is>
      </c>
      <c r="B193" s="25" t="inlineStr">
        <is>
          <t>ST-072-STD-14</t>
        </is>
      </c>
      <c r="C193" s="25" t="inlineStr">
        <is>
          <t>IA-ST-072-STD-14</t>
        </is>
      </c>
      <c r="D193" s="25" t="inlineStr">
        <is>
          <t>LB2, L2 | Palet (4000037): 1 adet | Separatör (4000130): 4 adet</t>
        </is>
      </c>
      <c r="E193" s="25" t="inlineStr">
        <is>
          <t>See Technical File material-family summary</t>
        </is>
      </c>
      <c r="F193" s="25" t="inlineStr">
        <is>
          <t>IA-PPWR-TF-ST-072-STD-14-R00</t>
        </is>
      </c>
      <c r="G193" s="25" t="inlineStr">
        <is>
          <t>IA-PPWR-DOC-ST-072-STD-14-R00</t>
        </is>
      </c>
      <c r="H193" s="25" t="inlineStr">
        <is>
          <t>Rev.00</t>
        </is>
      </c>
      <c r="I193" s="31">
        <f>HYPERLINK("01_STARTER/ST-072-STD-14/03_Label.docx","Open")</f>
        <v/>
      </c>
    </row>
    <row r="194">
      <c r="A194" s="25" t="inlineStr">
        <is>
          <t>IA-PPWR-LBL-ST-072-STD-15-R00</t>
        </is>
      </c>
      <c r="B194" s="25" t="inlineStr">
        <is>
          <t>ST-072-STD-15</t>
        </is>
      </c>
      <c r="C194" s="25" t="inlineStr">
        <is>
          <t>IA-ST-072-STD-15</t>
        </is>
      </c>
      <c r="D194" s="25" t="inlineStr">
        <is>
          <t>D23 | D23 PVC üst kapak (4000461): 72 adet | Çember (4000450): kullanılmaz</t>
        </is>
      </c>
      <c r="E194" s="25" t="inlineStr">
        <is>
          <t>See Technical File material-family summary</t>
        </is>
      </c>
      <c r="F194" s="25" t="inlineStr">
        <is>
          <t>IA-PPWR-TF-ST-072-STD-15-R00</t>
        </is>
      </c>
      <c r="G194" s="25" t="inlineStr">
        <is>
          <t>IA-PPWR-DOC-ST-072-STD-15-R00</t>
        </is>
      </c>
      <c r="H194" s="25" t="inlineStr">
        <is>
          <t>Rev.00</t>
        </is>
      </c>
      <c r="I194" s="31">
        <f>HYPERLINK("01_STARTER/ST-072-STD-15/03_Label.docx","Open")</f>
        <v/>
      </c>
    </row>
    <row r="195">
      <c r="A195" s="25" t="inlineStr">
        <is>
          <t>IA-PPWR-LBL-ST-072-STD-16-R00</t>
        </is>
      </c>
      <c r="B195" s="25" t="inlineStr">
        <is>
          <t>ST-072-STD-16</t>
        </is>
      </c>
      <c r="C195" s="25" t="inlineStr">
        <is>
          <t>IA-ST-072-STD-16</t>
        </is>
      </c>
      <c r="D195" s="25" t="inlineStr">
        <is>
          <t>D20 | D20 PVC üst kapak (4000490): 72 adet | Köşebent (4000590): kullanılmaz</t>
        </is>
      </c>
      <c r="E195" s="25" t="inlineStr">
        <is>
          <t>See Technical File material-family summary</t>
        </is>
      </c>
      <c r="F195" s="25" t="inlineStr">
        <is>
          <t>IA-PPWR-TF-ST-072-STD-16-R00</t>
        </is>
      </c>
      <c r="G195" s="25" t="inlineStr">
        <is>
          <t>IA-PPWR-DOC-ST-072-STD-16-R00</t>
        </is>
      </c>
      <c r="H195" s="25" t="inlineStr">
        <is>
          <t>Rev.00</t>
        </is>
      </c>
      <c r="I195" s="31">
        <f>HYPERLINK("01_STARTER/ST-072-STD-16/03_Label.docx","Open")</f>
        <v/>
      </c>
    </row>
    <row r="196">
      <c r="A196" s="25" t="inlineStr">
        <is>
          <t>IA-PPWR-LBL-ST-072-STD-17-R00</t>
        </is>
      </c>
      <c r="B196" s="25" t="inlineStr">
        <is>
          <t>ST-072-STD-17</t>
        </is>
      </c>
      <c r="C196" s="25" t="inlineStr">
        <is>
          <t>IA-ST-072-STD-17</t>
        </is>
      </c>
      <c r="D196" s="25" t="inlineStr">
        <is>
          <t>L2 | Palet (4000037): 1 adet | Shrink film (4000558): 2.376 kg</t>
        </is>
      </c>
      <c r="E196" s="25" t="inlineStr">
        <is>
          <t>See Technical File material-family summary</t>
        </is>
      </c>
      <c r="F196" s="25" t="inlineStr">
        <is>
          <t>IA-PPWR-TF-ST-072-STD-17-R00</t>
        </is>
      </c>
      <c r="G196" s="25" t="inlineStr">
        <is>
          <t>IA-PPWR-DOC-ST-072-STD-17-R00</t>
        </is>
      </c>
      <c r="H196" s="25" t="inlineStr">
        <is>
          <t>Rev.00</t>
        </is>
      </c>
      <c r="I196" s="31">
        <f>HYPERLINK("01_STARTER/ST-072-STD-17/03_Label.docx","Open")</f>
        <v/>
      </c>
    </row>
    <row r="197">
      <c r="A197" s="25" t="inlineStr">
        <is>
          <t>IA-PPWR-LBL-ST-072-STD-18-R00</t>
        </is>
      </c>
      <c r="B197" s="25" t="inlineStr">
        <is>
          <t>ST-072-STD-18</t>
        </is>
      </c>
      <c r="C197" s="25" t="inlineStr">
        <is>
          <t>IA-ST-072-STD-18</t>
        </is>
      </c>
      <c r="D197" s="25" t="inlineStr">
        <is>
          <t>L2, LB2 | Palet (4000037): 1 adet | Köşebent (4000590): kullanılmaz</t>
        </is>
      </c>
      <c r="E197" s="25" t="inlineStr">
        <is>
          <t>See Technical File material-family summary</t>
        </is>
      </c>
      <c r="F197" s="25" t="inlineStr">
        <is>
          <t>IA-PPWR-TF-ST-072-STD-18-R00</t>
        </is>
      </c>
      <c r="G197" s="25" t="inlineStr">
        <is>
          <t>IA-PPWR-DOC-ST-072-STD-18-R00</t>
        </is>
      </c>
      <c r="H197" s="25" t="inlineStr">
        <is>
          <t>Rev.00</t>
        </is>
      </c>
      <c r="I197" s="31">
        <f>HYPERLINK("01_STARTER/ST-072-STD-18/03_Label.docx","Open")</f>
        <v/>
      </c>
    </row>
    <row r="198">
      <c r="A198" s="25" t="inlineStr">
        <is>
          <t>IA-PPWR-LBL-ST-072-STD-19-R00</t>
        </is>
      </c>
      <c r="B198" s="25" t="inlineStr">
        <is>
          <t>ST-072-STD-19</t>
        </is>
      </c>
      <c r="C198" s="25" t="inlineStr">
        <is>
          <t>IA-ST-072-STD-19</t>
        </is>
      </c>
      <c r="D198" s="25" t="inlineStr">
        <is>
          <t>D23 | Palet (4000037): 1 adet | Shrink film (4001177): 0.597 kg</t>
        </is>
      </c>
      <c r="E198" s="25" t="inlineStr">
        <is>
          <t>See Technical File material-family summary</t>
        </is>
      </c>
      <c r="F198" s="25" t="inlineStr">
        <is>
          <t>IA-PPWR-TF-ST-072-STD-19-R00</t>
        </is>
      </c>
      <c r="G198" s="25" t="inlineStr">
        <is>
          <t>IA-PPWR-DOC-ST-072-STD-19-R00</t>
        </is>
      </c>
      <c r="H198" s="25" t="inlineStr">
        <is>
          <t>Rev.00</t>
        </is>
      </c>
      <c r="I198" s="31">
        <f>HYPERLINK("01_STARTER/ST-072-STD-19/03_Label.docx","Open")</f>
        <v/>
      </c>
    </row>
    <row r="199">
      <c r="A199" s="25" t="inlineStr">
        <is>
          <t>IA-PPWR-LBL-ST-072-STD-20-R00</t>
        </is>
      </c>
      <c r="B199" s="25" t="inlineStr">
        <is>
          <t>ST-072-STD-20</t>
        </is>
      </c>
      <c r="C199" s="25" t="inlineStr">
        <is>
          <t>IA-ST-072-STD-20</t>
        </is>
      </c>
      <c r="D199" s="25" t="inlineStr">
        <is>
          <t>L2 | Palet (4000037): 1 adet | Köşebent (4000590): 2 adet</t>
        </is>
      </c>
      <c r="E199" s="25" t="inlineStr">
        <is>
          <t>See Technical File material-family summary</t>
        </is>
      </c>
      <c r="F199" s="25" t="inlineStr">
        <is>
          <t>IA-PPWR-TF-ST-072-STD-20-R00</t>
        </is>
      </c>
      <c r="G199" s="25" t="inlineStr">
        <is>
          <t>IA-PPWR-DOC-ST-072-STD-20-R00</t>
        </is>
      </c>
      <c r="H199" s="25" t="inlineStr">
        <is>
          <t>Rev.00</t>
        </is>
      </c>
      <c r="I199" s="31">
        <f>HYPERLINK("01_STARTER/ST-072-STD-20/03_Label.docx","Open")</f>
        <v/>
      </c>
    </row>
    <row r="200">
      <c r="A200" s="25" t="inlineStr">
        <is>
          <t>IA-PPWR-LBL-ST-072-STD-21-R00</t>
        </is>
      </c>
      <c r="B200" s="25" t="inlineStr">
        <is>
          <t>ST-072-STD-21</t>
        </is>
      </c>
      <c r="C200" s="25" t="inlineStr">
        <is>
          <t>IA-ST-072-STD-21</t>
        </is>
      </c>
      <c r="D200" s="25" t="inlineStr">
        <is>
          <t>L2 | Palet (4000037): 1 adet | Köşebent (4000590): 4 adet | Shrink film (4001177): 0.597 kg</t>
        </is>
      </c>
      <c r="E200" s="25" t="inlineStr">
        <is>
          <t>See Technical File material-family summary</t>
        </is>
      </c>
      <c r="F200" s="25" t="inlineStr">
        <is>
          <t>IA-PPWR-TF-ST-072-STD-21-R00</t>
        </is>
      </c>
      <c r="G200" s="25" t="inlineStr">
        <is>
          <t>IA-PPWR-DOC-ST-072-STD-21-R00</t>
        </is>
      </c>
      <c r="H200" s="25" t="inlineStr">
        <is>
          <t>Rev.00</t>
        </is>
      </c>
      <c r="I200" s="31">
        <f>HYPERLINK("01_STARTER/ST-072-STD-21/03_Label.docx","Open")</f>
        <v/>
      </c>
    </row>
    <row r="201">
      <c r="A201" s="25" t="inlineStr">
        <is>
          <t>IA-PPWR-LBL-ST-072-STD-22-R00</t>
        </is>
      </c>
      <c r="B201" s="25" t="inlineStr">
        <is>
          <t>ST-072-STD-22</t>
        </is>
      </c>
      <c r="C201" s="25" t="inlineStr">
        <is>
          <t>IA-ST-072-STD-22</t>
        </is>
      </c>
      <c r="D201" s="25" t="inlineStr">
        <is>
          <t>L4, LB4 | Palet (4000037): 1 adet | Köşebent (4000590): 2 adet</t>
        </is>
      </c>
      <c r="E201" s="25" t="inlineStr">
        <is>
          <t>See Technical File material-family summary</t>
        </is>
      </c>
      <c r="F201" s="25" t="inlineStr">
        <is>
          <t>IA-PPWR-TF-ST-072-STD-22-R00</t>
        </is>
      </c>
      <c r="G201" s="25" t="inlineStr">
        <is>
          <t>IA-PPWR-DOC-ST-072-STD-22-R00</t>
        </is>
      </c>
      <c r="H201" s="25" t="inlineStr">
        <is>
          <t>Rev.00</t>
        </is>
      </c>
      <c r="I201" s="31">
        <f>HYPERLINK("01_STARTER/ST-072-STD-22/03_Label.docx","Open")</f>
        <v/>
      </c>
    </row>
    <row r="202">
      <c r="A202" s="25" t="inlineStr">
        <is>
          <t>IA-PPWR-LBL-ST-072-STD-23-R00</t>
        </is>
      </c>
      <c r="B202" s="25" t="inlineStr">
        <is>
          <t>ST-072-STD-23</t>
        </is>
      </c>
      <c r="C202" s="25" t="inlineStr">
        <is>
          <t>IA-ST-072-STD-23</t>
        </is>
      </c>
      <c r="D202" s="25" t="inlineStr">
        <is>
          <t>L4 | Palet (4000037): 1 adet | Separatör (4000130): 5 adet</t>
        </is>
      </c>
      <c r="E202" s="25" t="inlineStr">
        <is>
          <t>See Technical File material-family summary</t>
        </is>
      </c>
      <c r="F202" s="25" t="inlineStr">
        <is>
          <t>IA-PPWR-TF-ST-072-STD-23-R00</t>
        </is>
      </c>
      <c r="G202" s="25" t="inlineStr">
        <is>
          <t>IA-PPWR-DOC-ST-072-STD-23-R00</t>
        </is>
      </c>
      <c r="H202" s="25" t="inlineStr">
        <is>
          <t>Rev.00</t>
        </is>
      </c>
      <c r="I202" s="31">
        <f>HYPERLINK("01_STARTER/ST-072-STD-23/03_Label.docx","Open")</f>
        <v/>
      </c>
    </row>
    <row r="203">
      <c r="A203" s="25" t="inlineStr">
        <is>
          <t>IA-PPWR-LBL-ST-072-STD-24-R00</t>
        </is>
      </c>
      <c r="B203" s="25" t="inlineStr">
        <is>
          <t>ST-072-STD-24</t>
        </is>
      </c>
      <c r="C203" s="25" t="inlineStr">
        <is>
          <t>IA-ST-072-STD-24</t>
        </is>
      </c>
      <c r="D203" s="25" t="inlineStr">
        <is>
          <t>L4, LB4 | Palet (4000037): 1 adet | Köşebent (4000590): kullanılmaz</t>
        </is>
      </c>
      <c r="E203" s="25" t="inlineStr">
        <is>
          <t>See Technical File material-family summary</t>
        </is>
      </c>
      <c r="F203" s="25" t="inlineStr">
        <is>
          <t>IA-PPWR-TF-ST-072-STD-24-R00</t>
        </is>
      </c>
      <c r="G203" s="25" t="inlineStr">
        <is>
          <t>IA-PPWR-DOC-ST-072-STD-24-R00</t>
        </is>
      </c>
      <c r="H203" s="25" t="inlineStr">
        <is>
          <t>Rev.00</t>
        </is>
      </c>
      <c r="I203" s="31">
        <f>HYPERLINK("01_STARTER/ST-072-STD-24/03_Label.docx","Open")</f>
        <v/>
      </c>
    </row>
    <row r="204">
      <c r="A204" s="25" t="inlineStr">
        <is>
          <t>IA-PPWR-LBL-ST-072-STD-25-R00</t>
        </is>
      </c>
      <c r="B204" s="25" t="inlineStr">
        <is>
          <t>ST-072-STD-25</t>
        </is>
      </c>
      <c r="C204" s="25" t="inlineStr">
        <is>
          <t>IA-ST-072-STD-25</t>
        </is>
      </c>
      <c r="D204" s="25" t="inlineStr">
        <is>
          <t>LB4 | Palet (4000037): 1 adet | Shrink film (4001177): 0.597 kg</t>
        </is>
      </c>
      <c r="E204" s="25" t="inlineStr">
        <is>
          <t>See Technical File material-family summary</t>
        </is>
      </c>
      <c r="F204" s="25" t="inlineStr">
        <is>
          <t>IA-PPWR-TF-ST-072-STD-25-R00</t>
        </is>
      </c>
      <c r="G204" s="25" t="inlineStr">
        <is>
          <t>IA-PPWR-DOC-ST-072-STD-25-R00</t>
        </is>
      </c>
      <c r="H204" s="25" t="inlineStr">
        <is>
          <t>Rev.00</t>
        </is>
      </c>
      <c r="I204" s="31">
        <f>HYPERLINK("01_STARTER/ST-072-STD-25/03_Label.docx","Open")</f>
        <v/>
      </c>
    </row>
    <row r="205">
      <c r="A205" s="25" t="inlineStr">
        <is>
          <t>IA-PPWR-LBL-ST-076-EUR-01-R00</t>
        </is>
      </c>
      <c r="B205" s="25" t="inlineStr">
        <is>
          <t>ST-076-EUR-01</t>
        </is>
      </c>
      <c r="C205" s="25" t="inlineStr">
        <is>
          <t>IA-ST-076-EUR-01</t>
        </is>
      </c>
      <c r="D205" s="25" t="inlineStr">
        <is>
          <t>L2 | L2 İnci AGM LEO 60AH 680A pencereli dış koli (4001340): 76 adet</t>
        </is>
      </c>
      <c r="E205" s="25" t="inlineStr">
        <is>
          <t>See Technical File material-family summary</t>
        </is>
      </c>
      <c r="F205" s="25" t="inlineStr">
        <is>
          <t>IA-PPWR-TF-ST-076-EUR-01-R00</t>
        </is>
      </c>
      <c r="G205" s="25" t="inlineStr">
        <is>
          <t>IA-PPWR-DOC-ST-076-EUR-01-R00</t>
        </is>
      </c>
      <c r="H205" s="25" t="inlineStr">
        <is>
          <t>Rev.00</t>
        </is>
      </c>
      <c r="I205" s="31">
        <f>HYPERLINK("01_STARTER/ST-076-EUR-01/03_Label.docx","Open")</f>
        <v/>
      </c>
    </row>
    <row r="206">
      <c r="A206" s="25" t="inlineStr">
        <is>
          <t>IA-PPWR-LBL-ST-076-EUR-02-R00</t>
        </is>
      </c>
      <c r="B206" s="25" t="inlineStr">
        <is>
          <t>ST-076-EUR-02</t>
        </is>
      </c>
      <c r="C206" s="25" t="inlineStr">
        <is>
          <t>IA-ST-076-EUR-02</t>
        </is>
      </c>
      <c r="D206" s="25" t="inlineStr">
        <is>
          <t>L2, LB2 | Palet (4000038): 1 adet | Köşebent (4000590): 4 adet</t>
        </is>
      </c>
      <c r="E206" s="25" t="inlineStr">
        <is>
          <t>See Technical File material-family summary</t>
        </is>
      </c>
      <c r="F206" s="25" t="inlineStr">
        <is>
          <t>IA-PPWR-TF-ST-076-EUR-02-R00</t>
        </is>
      </c>
      <c r="G206" s="25" t="inlineStr">
        <is>
          <t>IA-PPWR-DOC-ST-076-EUR-02-R00</t>
        </is>
      </c>
      <c r="H206" s="25" t="inlineStr">
        <is>
          <t>Rev.00</t>
        </is>
      </c>
      <c r="I206" s="31">
        <f>HYPERLINK("01_STARTER/ST-076-EUR-02/03_Label.docx","Open")</f>
        <v/>
      </c>
    </row>
    <row r="207">
      <c r="A207" s="25" t="inlineStr">
        <is>
          <t>IA-PPWR-LBL-ST-076-EUR-03-R00</t>
        </is>
      </c>
      <c r="B207" s="25" t="inlineStr">
        <is>
          <t>ST-076-EUR-03</t>
        </is>
      </c>
      <c r="C207" s="25" t="inlineStr">
        <is>
          <t>IA-ST-076-EUR-03</t>
        </is>
      </c>
      <c r="D207" s="25" t="inlineStr">
        <is>
          <t>L2, LB2 | Palet (4000038): 1 adet | Shrink film (4000558): 2.888 kg</t>
        </is>
      </c>
      <c r="E207" s="25" t="inlineStr">
        <is>
          <t>See Technical File material-family summary</t>
        </is>
      </c>
      <c r="F207" s="25" t="inlineStr">
        <is>
          <t>IA-PPWR-TF-ST-076-EUR-03-R00</t>
        </is>
      </c>
      <c r="G207" s="25" t="inlineStr">
        <is>
          <t>IA-PPWR-DOC-ST-076-EUR-03-R00</t>
        </is>
      </c>
      <c r="H207" s="25" t="inlineStr">
        <is>
          <t>Rev.00</t>
        </is>
      </c>
      <c r="I207" s="31">
        <f>HYPERLINK("01_STARTER/ST-076-EUR-03/03_Label.docx","Open")</f>
        <v/>
      </c>
    </row>
    <row r="208">
      <c r="A208" s="25" t="inlineStr">
        <is>
          <t>IA-PPWR-LBL-ST-076-EUR-04-R00</t>
        </is>
      </c>
      <c r="B208" s="25" t="inlineStr">
        <is>
          <t>ST-076-EUR-04</t>
        </is>
      </c>
      <c r="C208" s="25" t="inlineStr">
        <is>
          <t>IA-ST-076-EUR-04</t>
        </is>
      </c>
      <c r="D208" s="25" t="inlineStr">
        <is>
          <t>LB2, L2 | Palet (4000038): 1 adet | Köşebent (4000590): 2 adet</t>
        </is>
      </c>
      <c r="E208" s="25" t="inlineStr">
        <is>
          <t>See Technical File material-family summary</t>
        </is>
      </c>
      <c r="F208" s="25" t="inlineStr">
        <is>
          <t>IA-PPWR-TF-ST-076-EUR-04-R00</t>
        </is>
      </c>
      <c r="G208" s="25" t="inlineStr">
        <is>
          <t>IA-PPWR-DOC-ST-076-EUR-04-R00</t>
        </is>
      </c>
      <c r="H208" s="25" t="inlineStr">
        <is>
          <t>Rev.00</t>
        </is>
      </c>
      <c r="I208" s="31">
        <f>HYPERLINK("01_STARTER/ST-076-EUR-04/03_Label.docx","Open")</f>
        <v/>
      </c>
    </row>
    <row r="209">
      <c r="A209" s="25" t="inlineStr">
        <is>
          <t>IA-PPWR-LBL-ST-080-EUR-01-R00</t>
        </is>
      </c>
      <c r="B209" s="25" t="inlineStr">
        <is>
          <t>ST-080-EUR-01</t>
        </is>
      </c>
      <c r="C209" s="25" t="inlineStr">
        <is>
          <t>IA-ST-080-EUR-01</t>
        </is>
      </c>
      <c r="D209" s="25" t="inlineStr">
        <is>
          <t>L1 | L1 İnci AGM LEO 50AH 560A pencereli dış koli (4001393): 80 adet</t>
        </is>
      </c>
      <c r="E209" s="25" t="inlineStr">
        <is>
          <t>See Technical File material-family summary</t>
        </is>
      </c>
      <c r="F209" s="25" t="inlineStr">
        <is>
          <t>IA-PPWR-TF-ST-080-EUR-01-R00</t>
        </is>
      </c>
      <c r="G209" s="25" t="inlineStr">
        <is>
          <t>IA-PPWR-DOC-ST-080-EUR-01-R00</t>
        </is>
      </c>
      <c r="H209" s="25" t="inlineStr">
        <is>
          <t>Rev.00</t>
        </is>
      </c>
      <c r="I209" s="31">
        <f>HYPERLINK("01_STARTER/ST-080-EUR-01/03_Label.docx","Open")</f>
        <v/>
      </c>
    </row>
    <row r="210">
      <c r="A210" s="25" t="inlineStr">
        <is>
          <t>IA-PPWR-LBL-ST-081-EUR-01-R00</t>
        </is>
      </c>
      <c r="B210" s="25" t="inlineStr">
        <is>
          <t>ST-081-EUR-01</t>
        </is>
      </c>
      <c r="C210" s="25" t="inlineStr">
        <is>
          <t>IA-ST-081-EUR-01</t>
        </is>
      </c>
      <c r="D210" s="25" t="inlineStr">
        <is>
          <t>NS60 | Palet (4000038): 1 adet | Honeycomb (4001186): 3 adet</t>
        </is>
      </c>
      <c r="E210" s="25" t="inlineStr">
        <is>
          <t>See Technical File material-family summary</t>
        </is>
      </c>
      <c r="F210" s="25" t="inlineStr">
        <is>
          <t>IA-PPWR-TF-ST-081-EUR-01-R00</t>
        </is>
      </c>
      <c r="G210" s="25" t="inlineStr">
        <is>
          <t>IA-PPWR-DOC-ST-081-EUR-01-R00</t>
        </is>
      </c>
      <c r="H210" s="25" t="inlineStr">
        <is>
          <t>Rev.00</t>
        </is>
      </c>
      <c r="I210" s="31">
        <f>HYPERLINK("01_STARTER/ST-081-EUR-01/03_Label.docx","Open")</f>
        <v/>
      </c>
    </row>
    <row r="211">
      <c r="A211" s="25" t="inlineStr">
        <is>
          <t>IA-PPWR-LBL-ST-087-EUR-01-R00</t>
        </is>
      </c>
      <c r="B211" s="25" t="inlineStr">
        <is>
          <t>ST-087-EUR-01</t>
        </is>
      </c>
      <c r="C211" s="25" t="inlineStr">
        <is>
          <t>IA-ST-087-EUR-01</t>
        </is>
      </c>
      <c r="D211" s="25" t="inlineStr">
        <is>
          <t>NS40 | NS40 PVC üst kapak (4000601): 87 adet</t>
        </is>
      </c>
      <c r="E211" s="25" t="inlineStr">
        <is>
          <t>See Technical File material-family summary</t>
        </is>
      </c>
      <c r="F211" s="25" t="inlineStr">
        <is>
          <t>IA-PPWR-TF-ST-087-EUR-01-R00</t>
        </is>
      </c>
      <c r="G211" s="25" t="inlineStr">
        <is>
          <t>IA-PPWR-DOC-ST-087-EUR-01-R00</t>
        </is>
      </c>
      <c r="H211" s="25" t="inlineStr">
        <is>
          <t>Rev.00</t>
        </is>
      </c>
      <c r="I211" s="31">
        <f>HYPERLINK("01_STARTER/ST-087-EUR-01/03_Label.docx","Open")</f>
        <v/>
      </c>
    </row>
    <row r="212">
      <c r="A212" s="25" t="inlineStr">
        <is>
          <t>IA-PPWR-LBL-ST-087-STD-01-R00</t>
        </is>
      </c>
      <c r="B212" s="25" t="inlineStr">
        <is>
          <t>ST-087-STD-01</t>
        </is>
      </c>
      <c r="C212" s="25" t="inlineStr">
        <is>
          <t>IA-ST-087-STD-01</t>
        </is>
      </c>
      <c r="D212" s="25" t="inlineStr">
        <is>
          <t>L1 | Palet (4000037): 1 adet | Köşebent (4000033): 2 adet</t>
        </is>
      </c>
      <c r="E212" s="25" t="inlineStr">
        <is>
          <t>See Technical File material-family summary</t>
        </is>
      </c>
      <c r="F212" s="25" t="inlineStr">
        <is>
          <t>IA-PPWR-TF-ST-087-STD-01-R00</t>
        </is>
      </c>
      <c r="G212" s="25" t="inlineStr">
        <is>
          <t>IA-PPWR-DOC-ST-087-STD-01-R00</t>
        </is>
      </c>
      <c r="H212" s="25" t="inlineStr">
        <is>
          <t>Rev.00</t>
        </is>
      </c>
      <c r="I212" s="31">
        <f>HYPERLINK("01_STARTER/ST-087-STD-01/03_Label.docx","Open")</f>
        <v/>
      </c>
    </row>
    <row r="213">
      <c r="A213" s="25" t="inlineStr">
        <is>
          <t>IA-PPWR-LBL-ST-087-STD-02-R00</t>
        </is>
      </c>
      <c r="B213" s="25" t="inlineStr">
        <is>
          <t>ST-087-STD-02</t>
        </is>
      </c>
      <c r="C213" s="25" t="inlineStr">
        <is>
          <t>IA-ST-087-STD-02</t>
        </is>
      </c>
      <c r="D213" s="25" t="inlineStr">
        <is>
          <t>LB1 | Palet (4000037): 1 adet | Köşebent (4000033): 2 adet</t>
        </is>
      </c>
      <c r="E213" s="25" t="inlineStr">
        <is>
          <t>See Technical File material-family summary</t>
        </is>
      </c>
      <c r="F213" s="25" t="inlineStr">
        <is>
          <t>IA-PPWR-TF-ST-087-STD-02-R00</t>
        </is>
      </c>
      <c r="G213" s="25" t="inlineStr">
        <is>
          <t>IA-PPWR-DOC-ST-087-STD-02-R00</t>
        </is>
      </c>
      <c r="H213" s="25" t="inlineStr">
        <is>
          <t>Rev.00</t>
        </is>
      </c>
      <c r="I213" s="31">
        <f>HYPERLINK("01_STARTER/ST-087-STD-02/03_Label.docx","Open")</f>
        <v/>
      </c>
    </row>
    <row r="214">
      <c r="A214" s="25" t="inlineStr">
        <is>
          <t>IA-PPWR-LBL-ST-087-STD-03-R00</t>
        </is>
      </c>
      <c r="B214" s="25" t="inlineStr">
        <is>
          <t>ST-087-STD-03</t>
        </is>
      </c>
      <c r="C214" s="25" t="inlineStr">
        <is>
          <t>IA-ST-087-STD-03</t>
        </is>
      </c>
      <c r="D214" s="25" t="inlineStr">
        <is>
          <t>L1, LB1 | Palet (4000037): 1 adet | Köşebent (4000033): 2 adet</t>
        </is>
      </c>
      <c r="E214" s="25" t="inlineStr">
        <is>
          <t>See Technical File material-family summary</t>
        </is>
      </c>
      <c r="F214" s="25" t="inlineStr">
        <is>
          <t>IA-PPWR-TF-ST-087-STD-03-R00</t>
        </is>
      </c>
      <c r="G214" s="25" t="inlineStr">
        <is>
          <t>IA-PPWR-DOC-ST-087-STD-03-R00</t>
        </is>
      </c>
      <c r="H214" s="25" t="inlineStr">
        <is>
          <t>Rev.00</t>
        </is>
      </c>
      <c r="I214" s="31">
        <f>HYPERLINK("01_STARTER/ST-087-STD-03/03_Label.docx","Open")</f>
        <v/>
      </c>
    </row>
    <row r="215">
      <c r="A215" s="25" t="inlineStr">
        <is>
          <t>IA-PPWR-LBL-ST-087-STD-04-R00</t>
        </is>
      </c>
      <c r="B215" s="25" t="inlineStr">
        <is>
          <t>ST-087-STD-04</t>
        </is>
      </c>
      <c r="C215" s="25" t="inlineStr">
        <is>
          <t>IA-ST-087-STD-04</t>
        </is>
      </c>
      <c r="D215" s="25" t="inlineStr">
        <is>
          <t>LB1, L1 | Palet (4000037): 1 adet | Shrink film (4001177): 0.597 kg</t>
        </is>
      </c>
      <c r="E215" s="25" t="inlineStr">
        <is>
          <t>See Technical File material-family summary</t>
        </is>
      </c>
      <c r="F215" s="25" t="inlineStr">
        <is>
          <t>IA-PPWR-TF-ST-087-STD-04-R00</t>
        </is>
      </c>
      <c r="G215" s="25" t="inlineStr">
        <is>
          <t>IA-PPWR-DOC-ST-087-STD-04-R00</t>
        </is>
      </c>
      <c r="H215" s="25" t="inlineStr">
        <is>
          <t>Rev.00</t>
        </is>
      </c>
      <c r="I215" s="31">
        <f>HYPERLINK("01_STARTER/ST-087-STD-04/03_Label.docx","Open")</f>
        <v/>
      </c>
    </row>
    <row r="216">
      <c r="A216" s="25" t="inlineStr">
        <is>
          <t>IA-PPWR-LBL-ST-087-STD-05-R00</t>
        </is>
      </c>
      <c r="B216" s="25" t="inlineStr">
        <is>
          <t>ST-087-STD-05</t>
        </is>
      </c>
      <c r="C216" s="25" t="inlineStr">
        <is>
          <t>IA-ST-087-STD-05</t>
        </is>
      </c>
      <c r="D216" s="25" t="inlineStr">
        <is>
          <t>NS60 | NS60 EAS Activa penceresiz dış koli (4000631): 87 adet</t>
        </is>
      </c>
      <c r="E216" s="25" t="inlineStr">
        <is>
          <t>See Technical File material-family summary</t>
        </is>
      </c>
      <c r="F216" s="25" t="inlineStr">
        <is>
          <t>IA-PPWR-TF-ST-087-STD-05-R00</t>
        </is>
      </c>
      <c r="G216" s="25" t="inlineStr">
        <is>
          <t>IA-PPWR-DOC-ST-087-STD-05-R00</t>
        </is>
      </c>
      <c r="H216" s="25" t="inlineStr">
        <is>
          <t>Rev.00</t>
        </is>
      </c>
      <c r="I216" s="31">
        <f>HYPERLINK("01_STARTER/ST-087-STD-05/03_Label.docx","Open")</f>
        <v/>
      </c>
    </row>
    <row r="217">
      <c r="A217" s="25" t="inlineStr">
        <is>
          <t>IA-PPWR-LBL-ST-087-STD-06-R00</t>
        </is>
      </c>
      <c r="B217" s="25" t="inlineStr">
        <is>
          <t>ST-087-STD-06</t>
        </is>
      </c>
      <c r="C217" s="25" t="inlineStr">
        <is>
          <t>IA-ST-087-STD-06</t>
        </is>
      </c>
      <c r="D217" s="25" t="inlineStr">
        <is>
          <t>LB1 | Palet (4000037): 1 adet | Köşebent (4000033): kullanılmaz</t>
        </is>
      </c>
      <c r="E217" s="25" t="inlineStr">
        <is>
          <t>See Technical File material-family summary</t>
        </is>
      </c>
      <c r="F217" s="25" t="inlineStr">
        <is>
          <t>IA-PPWR-TF-ST-087-STD-06-R00</t>
        </is>
      </c>
      <c r="G217" s="25" t="inlineStr">
        <is>
          <t>IA-PPWR-DOC-ST-087-STD-06-R00</t>
        </is>
      </c>
      <c r="H217" s="25" t="inlineStr">
        <is>
          <t>Rev.00</t>
        </is>
      </c>
      <c r="I217" s="31">
        <f>HYPERLINK("01_STARTER/ST-087-STD-06/03_Label.docx","Open")</f>
        <v/>
      </c>
    </row>
    <row r="218">
      <c r="A218" s="25" t="inlineStr">
        <is>
          <t>IA-PPWR-LBL-ST-087-STD-07-R00</t>
        </is>
      </c>
      <c r="B218" s="25" t="inlineStr">
        <is>
          <t>ST-087-STD-07</t>
        </is>
      </c>
      <c r="C218" s="25" t="inlineStr">
        <is>
          <t>IA-ST-087-STD-07</t>
        </is>
      </c>
      <c r="D218" s="25" t="inlineStr">
        <is>
          <t>L1, LB1 | Palet (4000037): 1 adet | Köşebent (4000033): kullanılmaz</t>
        </is>
      </c>
      <c r="E218" s="25" t="inlineStr">
        <is>
          <t>See Technical File material-family summary</t>
        </is>
      </c>
      <c r="F218" s="25" t="inlineStr">
        <is>
          <t>IA-PPWR-TF-ST-087-STD-07-R00</t>
        </is>
      </c>
      <c r="G218" s="25" t="inlineStr">
        <is>
          <t>IA-PPWR-DOC-ST-087-STD-07-R00</t>
        </is>
      </c>
      <c r="H218" s="25" t="inlineStr">
        <is>
          <t>Rev.00</t>
        </is>
      </c>
      <c r="I218" s="31">
        <f>HYPERLINK("01_STARTER/ST-087-STD-07/03_Label.docx","Open")</f>
        <v/>
      </c>
    </row>
    <row r="219">
      <c r="A219" s="25" t="inlineStr">
        <is>
          <t>IA-PPWR-LBL-ST-088-STD-01-R00</t>
        </is>
      </c>
      <c r="B219" s="25" t="inlineStr">
        <is>
          <t>ST-088-STD-01</t>
        </is>
      </c>
      <c r="C219" s="25" t="inlineStr">
        <is>
          <t>IA-ST-088-STD-01</t>
        </is>
      </c>
      <c r="D219" s="25" t="inlineStr">
        <is>
          <t>L2 | L2 EAS Activa penceresiz dış koli (4000644): 88 adet</t>
        </is>
      </c>
      <c r="E219" s="25" t="inlineStr">
        <is>
          <t>See Technical File material-family summary</t>
        </is>
      </c>
      <c r="F219" s="25" t="inlineStr">
        <is>
          <t>IA-PPWR-TF-ST-088-STD-01-R00</t>
        </is>
      </c>
      <c r="G219" s="25" t="inlineStr">
        <is>
          <t>IA-PPWR-DOC-ST-088-STD-01-R00</t>
        </is>
      </c>
      <c r="H219" s="25" t="inlineStr">
        <is>
          <t>Rev.00</t>
        </is>
      </c>
      <c r="I219" s="31">
        <f>HYPERLINK("01_STARTER/ST-088-STD-01/03_Label.docx","Open")</f>
        <v/>
      </c>
    </row>
    <row r="220">
      <c r="A220" s="25" t="inlineStr">
        <is>
          <t>IA-PPWR-LBL-ST-088-STD-02-R00</t>
        </is>
      </c>
      <c r="B220" s="25" t="inlineStr">
        <is>
          <t>ST-088-STD-02</t>
        </is>
      </c>
      <c r="C220" s="25" t="inlineStr">
        <is>
          <t>IA-ST-088-STD-02</t>
        </is>
      </c>
      <c r="D220" s="25" t="inlineStr">
        <is>
          <t>L2 | L2 YUASA penceresiz Orta Doğu dış koli (4001102): 88 adet</t>
        </is>
      </c>
      <c r="E220" s="25" t="inlineStr">
        <is>
          <t>See Technical File material-family summary</t>
        </is>
      </c>
      <c r="F220" s="25" t="inlineStr">
        <is>
          <t>IA-PPWR-TF-ST-088-STD-02-R00</t>
        </is>
      </c>
      <c r="G220" s="25" t="inlineStr">
        <is>
          <t>IA-PPWR-DOC-ST-088-STD-02-R00</t>
        </is>
      </c>
      <c r="H220" s="25" t="inlineStr">
        <is>
          <t>Rev.00</t>
        </is>
      </c>
      <c r="I220" s="31">
        <f>HYPERLINK("01_STARTER/ST-088-STD-02/03_Label.docx","Open")</f>
        <v/>
      </c>
    </row>
    <row r="221">
      <c r="A221" s="25" t="inlineStr">
        <is>
          <t>IA-PPWR-LBL-ST-088-STD-03-R00</t>
        </is>
      </c>
      <c r="B221" s="25" t="inlineStr">
        <is>
          <t>ST-088-STD-03</t>
        </is>
      </c>
      <c r="C221" s="25" t="inlineStr">
        <is>
          <t>IA-ST-088-STD-03</t>
        </is>
      </c>
      <c r="D221" s="25" t="inlineStr">
        <is>
          <t>L2 | L2 İnci EFB MAX TIGRIS pencereli 2020 dış koli (4001272): 88 adet</t>
        </is>
      </c>
      <c r="E221" s="25" t="inlineStr">
        <is>
          <t>See Technical File material-family summary</t>
        </is>
      </c>
      <c r="F221" s="25" t="inlineStr">
        <is>
          <t>IA-PPWR-TF-ST-088-STD-03-R00</t>
        </is>
      </c>
      <c r="G221" s="25" t="inlineStr">
        <is>
          <t>IA-PPWR-DOC-ST-088-STD-03-R00</t>
        </is>
      </c>
      <c r="H221" s="25" t="inlineStr">
        <is>
          <t>Rev.00</t>
        </is>
      </c>
      <c r="I221" s="31">
        <f>HYPERLINK("01_STARTER/ST-088-STD-03/03_Label.docx","Open")</f>
        <v/>
      </c>
    </row>
    <row r="222">
      <c r="A222" s="25" t="inlineStr">
        <is>
          <t>IA-PPWR-LBL-ST-088-STD-04-R00</t>
        </is>
      </c>
      <c r="B222" s="25" t="inlineStr">
        <is>
          <t>ST-088-STD-04</t>
        </is>
      </c>
      <c r="C222" s="25" t="inlineStr">
        <is>
          <t>IA-ST-088-STD-04</t>
        </is>
      </c>
      <c r="D222" s="25" t="inlineStr">
        <is>
          <t>L2 | L2 İnci EFB PANTERA pencereli DL dış koli (4001317): 88 adet</t>
        </is>
      </c>
      <c r="E222" s="25" t="inlineStr">
        <is>
          <t>See Technical File material-family summary</t>
        </is>
      </c>
      <c r="F222" s="25" t="inlineStr">
        <is>
          <t>IA-PPWR-TF-ST-088-STD-04-R00</t>
        </is>
      </c>
      <c r="G222" s="25" t="inlineStr">
        <is>
          <t>IA-PPWR-DOC-ST-088-STD-04-R00</t>
        </is>
      </c>
      <c r="H222" s="25" t="inlineStr">
        <is>
          <t>Rev.00</t>
        </is>
      </c>
      <c r="I222" s="31">
        <f>HYPERLINK("01_STARTER/ST-088-STD-04/03_Label.docx","Open")</f>
        <v/>
      </c>
    </row>
    <row r="223">
      <c r="A223" s="25" t="inlineStr">
        <is>
          <t>IA-PPWR-LBL-ST-088-STD-05-R00</t>
        </is>
      </c>
      <c r="B223" s="25" t="inlineStr">
        <is>
          <t>ST-088-STD-05</t>
        </is>
      </c>
      <c r="C223" s="25" t="inlineStr">
        <is>
          <t>IA-ST-088-STD-05</t>
        </is>
      </c>
      <c r="D223" s="25" t="inlineStr">
        <is>
          <t>L2 | L2 EAS EFB MAX pencereli 2024 dış koli (4001410): 88 adet</t>
        </is>
      </c>
      <c r="E223" s="25" t="inlineStr">
        <is>
          <t>See Technical File material-family summary</t>
        </is>
      </c>
      <c r="F223" s="25" t="inlineStr">
        <is>
          <t>IA-PPWR-TF-ST-088-STD-05-R00</t>
        </is>
      </c>
      <c r="G223" s="25" t="inlineStr">
        <is>
          <t>IA-PPWR-DOC-ST-088-STD-05-R00</t>
        </is>
      </c>
      <c r="H223" s="25" t="inlineStr">
        <is>
          <t>Rev.00</t>
        </is>
      </c>
      <c r="I223" s="31">
        <f>HYPERLINK("01_STARTER/ST-088-STD-05/03_Label.docx","Open")</f>
        <v/>
      </c>
    </row>
    <row r="224">
      <c r="A224" s="25" t="inlineStr">
        <is>
          <t>IA-PPWR-LBL-ST-088-STD-06-R00</t>
        </is>
      </c>
      <c r="B224" s="25" t="inlineStr">
        <is>
          <t>ST-088-STD-06</t>
        </is>
      </c>
      <c r="C224" s="25" t="inlineStr">
        <is>
          <t>IA-ST-088-STD-06</t>
        </is>
      </c>
      <c r="D224" s="25" t="inlineStr">
        <is>
          <t>L2 | L2 BLIZZARO SILVERLINE penceresiz dış koli (4001434): 88 adet</t>
        </is>
      </c>
      <c r="E224" s="25" t="inlineStr">
        <is>
          <t>See Technical File material-family summary</t>
        </is>
      </c>
      <c r="F224" s="25" t="inlineStr">
        <is>
          <t>IA-PPWR-TF-ST-088-STD-06-R00</t>
        </is>
      </c>
      <c r="G224" s="25" t="inlineStr">
        <is>
          <t>IA-PPWR-DOC-ST-088-STD-06-R00</t>
        </is>
      </c>
      <c r="H224" s="25" t="inlineStr">
        <is>
          <t>Rev.00</t>
        </is>
      </c>
      <c r="I224" s="31">
        <f>HYPERLINK("01_STARTER/ST-088-STD-06/03_Label.docx","Open")</f>
        <v/>
      </c>
    </row>
    <row r="225">
      <c r="A225" s="25" t="inlineStr">
        <is>
          <t>IA-PPWR-LBL-ST-088-STD-07-R00</t>
        </is>
      </c>
      <c r="B225" s="25" t="inlineStr">
        <is>
          <t>ST-088-STD-07</t>
        </is>
      </c>
      <c r="C225" s="25" t="inlineStr">
        <is>
          <t>IA-ST-088-STD-07</t>
        </is>
      </c>
      <c r="D225" s="25" t="inlineStr">
        <is>
          <t>LB2 | LB2 İnci FORMULA-MAXIMA 2019 dış koli (4001203): 88 adet</t>
        </is>
      </c>
      <c r="E225" s="25" t="inlineStr">
        <is>
          <t>See Technical File material-family summary</t>
        </is>
      </c>
      <c r="F225" s="25" t="inlineStr">
        <is>
          <t>IA-PPWR-TF-ST-088-STD-07-R00</t>
        </is>
      </c>
      <c r="G225" s="25" t="inlineStr">
        <is>
          <t>IA-PPWR-DOC-ST-088-STD-07-R00</t>
        </is>
      </c>
      <c r="H225" s="25" t="inlineStr">
        <is>
          <t>Rev.00</t>
        </is>
      </c>
      <c r="I225" s="31">
        <f>HYPERLINK("01_STARTER/ST-088-STD-07/03_Label.docx","Open")</f>
        <v/>
      </c>
    </row>
    <row r="226">
      <c r="A226" s="25" t="inlineStr">
        <is>
          <t>IA-PPWR-LBL-ST-088-STD-08-R00</t>
        </is>
      </c>
      <c r="B226" s="25" t="inlineStr">
        <is>
          <t>ST-088-STD-08</t>
        </is>
      </c>
      <c r="C226" s="25" t="inlineStr">
        <is>
          <t>IA-ST-088-STD-08</t>
        </is>
      </c>
      <c r="D226" s="25" t="inlineStr">
        <is>
          <t>L2 | L2 İnci FORMULA-MAXIMA penceresiz dış koli (4001419): 88 adet</t>
        </is>
      </c>
      <c r="E226" s="25" t="inlineStr">
        <is>
          <t>See Technical File material-family summary</t>
        </is>
      </c>
      <c r="F226" s="25" t="inlineStr">
        <is>
          <t>IA-PPWR-TF-ST-088-STD-08-R00</t>
        </is>
      </c>
      <c r="G226" s="25" t="inlineStr">
        <is>
          <t>IA-PPWR-DOC-ST-088-STD-08-R00</t>
        </is>
      </c>
      <c r="H226" s="25" t="inlineStr">
        <is>
          <t>Rev.00</t>
        </is>
      </c>
      <c r="I226" s="31">
        <f>HYPERLINK("01_STARTER/ST-088-STD-08/03_Label.docx","Open")</f>
        <v/>
      </c>
    </row>
    <row r="227">
      <c r="A227" s="25" t="inlineStr">
        <is>
          <t>IA-PPWR-LBL-ST-090-STD-01-R00</t>
        </is>
      </c>
      <c r="B227" s="25" t="inlineStr">
        <is>
          <t>ST-090-STD-01</t>
        </is>
      </c>
      <c r="C227" s="25" t="inlineStr">
        <is>
          <t>IA-ST-090-STD-01</t>
        </is>
      </c>
      <c r="D227" s="25" t="inlineStr">
        <is>
          <t>L0 | Palet (4000037): 1 adet | Shrink film (4000555): 2.166 kg</t>
        </is>
      </c>
      <c r="E227" s="25" t="inlineStr">
        <is>
          <t>See Technical File material-family summary</t>
        </is>
      </c>
      <c r="F227" s="25" t="inlineStr">
        <is>
          <t>IA-PPWR-TF-ST-090-STD-01-R00</t>
        </is>
      </c>
      <c r="G227" s="25" t="inlineStr">
        <is>
          <t>IA-PPWR-DOC-ST-090-STD-01-R00</t>
        </is>
      </c>
      <c r="H227" s="25" t="inlineStr">
        <is>
          <t>Rev.00</t>
        </is>
      </c>
      <c r="I227" s="31">
        <f>HYPERLINK("01_STARTER/ST-090-STD-01/03_Label.docx","Open")</f>
        <v/>
      </c>
    </row>
    <row r="228">
      <c r="A228" s="25" t="inlineStr">
        <is>
          <t>IA-PPWR-LBL-ST-090-STD-02-R00</t>
        </is>
      </c>
      <c r="B228" s="25" t="inlineStr">
        <is>
          <t>ST-090-STD-02</t>
        </is>
      </c>
      <c r="C228" s="25" t="inlineStr">
        <is>
          <t>IA-ST-090-STD-02</t>
        </is>
      </c>
      <c r="D228" s="25" t="inlineStr">
        <is>
          <t>L0 | Palet (4000037): 1 adet | Shrink film (4001177): 0.597 kg</t>
        </is>
      </c>
      <c r="E228" s="25" t="inlineStr">
        <is>
          <t>See Technical File material-family summary</t>
        </is>
      </c>
      <c r="F228" s="25" t="inlineStr">
        <is>
          <t>IA-PPWR-TF-ST-090-STD-02-R00</t>
        </is>
      </c>
      <c r="G228" s="25" t="inlineStr">
        <is>
          <t>IA-PPWR-DOC-ST-090-STD-02-R00</t>
        </is>
      </c>
      <c r="H228" s="25" t="inlineStr">
        <is>
          <t>Rev.00</t>
        </is>
      </c>
      <c r="I228" s="31">
        <f>HYPERLINK("01_STARTER/ST-090-STD-02/03_Label.docx","Open")</f>
        <v/>
      </c>
    </row>
    <row r="229">
      <c r="A229" s="25" t="inlineStr">
        <is>
          <t>IA-PPWR-LBL-ST-096-EUR-01-R00</t>
        </is>
      </c>
      <c r="B229" s="25" t="inlineStr">
        <is>
          <t>ST-096-EUR-01</t>
        </is>
      </c>
      <c r="C229" s="25" t="inlineStr">
        <is>
          <t>IA-ST-096-EUR-01</t>
        </is>
      </c>
      <c r="D229" s="25" t="inlineStr">
        <is>
          <t>LB1 | Palet (4000038): 1 adet | Shrink film (4000556): 2.594 kg</t>
        </is>
      </c>
      <c r="E229" s="25" t="inlineStr">
        <is>
          <t>See Technical File material-family summary</t>
        </is>
      </c>
      <c r="F229" s="25" t="inlineStr">
        <is>
          <t>IA-PPWR-TF-ST-096-EUR-01-R00</t>
        </is>
      </c>
      <c r="G229" s="25" t="inlineStr">
        <is>
          <t>IA-PPWR-DOC-ST-096-EUR-01-R00</t>
        </is>
      </c>
      <c r="H229" s="25" t="inlineStr">
        <is>
          <t>Rev.00</t>
        </is>
      </c>
      <c r="I229" s="31">
        <f>HYPERLINK("01_STARTER/ST-096-EUR-01/03_Label.docx","Open")</f>
        <v/>
      </c>
    </row>
    <row r="230">
      <c r="A230" s="25" t="inlineStr">
        <is>
          <t>IA-PPWR-LBL-ST-096-EUR-02-R00</t>
        </is>
      </c>
      <c r="B230" s="25" t="inlineStr">
        <is>
          <t>ST-096-EUR-02</t>
        </is>
      </c>
      <c r="C230" s="25" t="inlineStr">
        <is>
          <t>IA-ST-096-EUR-02</t>
        </is>
      </c>
      <c r="D230" s="25" t="inlineStr">
        <is>
          <t>L1 | Palet (4000038): 1 adet | Shrink film (4000556): 3.167 kg</t>
        </is>
      </c>
      <c r="E230" s="25" t="inlineStr">
        <is>
          <t>See Technical File material-family summary</t>
        </is>
      </c>
      <c r="F230" s="25" t="inlineStr">
        <is>
          <t>IA-PPWR-TF-ST-096-EUR-02-R00</t>
        </is>
      </c>
      <c r="G230" s="25" t="inlineStr">
        <is>
          <t>IA-PPWR-DOC-ST-096-EUR-02-R00</t>
        </is>
      </c>
      <c r="H230" s="25" t="inlineStr">
        <is>
          <t>Rev.00</t>
        </is>
      </c>
      <c r="I230" s="31">
        <f>HYPERLINK("01_STARTER/ST-096-EUR-02/03_Label.docx","Open")</f>
        <v/>
      </c>
    </row>
    <row r="231">
      <c r="A231" s="25" t="inlineStr">
        <is>
          <t>IA-PPWR-LBL-ST-096-EUR-03-R00</t>
        </is>
      </c>
      <c r="B231" s="25" t="inlineStr">
        <is>
          <t>ST-096-EUR-03</t>
        </is>
      </c>
      <c r="C231" s="25" t="inlineStr">
        <is>
          <t>IA-ST-096-EUR-03</t>
        </is>
      </c>
      <c r="D231" s="25" t="inlineStr">
        <is>
          <t>L1, LB1 | Palet (4000038): 1 adet | Shrink film (4000556): 3.167 kg</t>
        </is>
      </c>
      <c r="E231" s="25" t="inlineStr">
        <is>
          <t>See Technical File material-family summary</t>
        </is>
      </c>
      <c r="F231" s="25" t="inlineStr">
        <is>
          <t>IA-PPWR-TF-ST-096-EUR-03-R00</t>
        </is>
      </c>
      <c r="G231" s="25" t="inlineStr">
        <is>
          <t>IA-PPWR-DOC-ST-096-EUR-03-R00</t>
        </is>
      </c>
      <c r="H231" s="25" t="inlineStr">
        <is>
          <t>Rev.00</t>
        </is>
      </c>
      <c r="I231" s="31">
        <f>HYPERLINK("01_STARTER/ST-096-EUR-03/03_Label.docx","Open")</f>
        <v/>
      </c>
    </row>
    <row r="232">
      <c r="A232" s="25" t="inlineStr">
        <is>
          <t>IA-PPWR-LBL-ST-096-EUR-04-R00</t>
        </is>
      </c>
      <c r="B232" s="25" t="inlineStr">
        <is>
          <t>ST-096-EUR-04</t>
        </is>
      </c>
      <c r="C232" s="25" t="inlineStr">
        <is>
          <t>IA-ST-096-EUR-04</t>
        </is>
      </c>
      <c r="D232" s="25" t="inlineStr">
        <is>
          <t>L1 | Palet (4000038): 1 adet | Shrink film (4000556): kullanılmaz</t>
        </is>
      </c>
      <c r="E232" s="25" t="inlineStr">
        <is>
          <t>See Technical File material-family summary</t>
        </is>
      </c>
      <c r="F232" s="25" t="inlineStr">
        <is>
          <t>IA-PPWR-TF-ST-096-EUR-04-R00</t>
        </is>
      </c>
      <c r="G232" s="25" t="inlineStr">
        <is>
          <t>IA-PPWR-DOC-ST-096-EUR-04-R00</t>
        </is>
      </c>
      <c r="H232" s="25" t="inlineStr">
        <is>
          <t>Rev.00</t>
        </is>
      </c>
      <c r="I232" s="31">
        <f>HYPERLINK("01_STARTER/ST-096-EUR-04/03_Label.docx","Open")</f>
        <v/>
      </c>
    </row>
    <row r="233">
      <c r="A233" s="25" t="inlineStr">
        <is>
          <t>IA-PPWR-LBL-ST-096-EUR-05-R00</t>
        </is>
      </c>
      <c r="B233" s="25" t="inlineStr">
        <is>
          <t>ST-096-EUR-05</t>
        </is>
      </c>
      <c r="C233" s="25" t="inlineStr">
        <is>
          <t>IA-ST-096-EUR-05</t>
        </is>
      </c>
      <c r="D233" s="25" t="inlineStr">
        <is>
          <t>LB1 | Palet (4000038): 1 adet | Shrink film (4000556): kullanılmaz</t>
        </is>
      </c>
      <c r="E233" s="25" t="inlineStr">
        <is>
          <t>See Technical File material-family summary</t>
        </is>
      </c>
      <c r="F233" s="25" t="inlineStr">
        <is>
          <t>IA-PPWR-TF-ST-096-EUR-05-R00</t>
        </is>
      </c>
      <c r="G233" s="25" t="inlineStr">
        <is>
          <t>IA-PPWR-DOC-ST-096-EUR-05-R00</t>
        </is>
      </c>
      <c r="H233" s="25" t="inlineStr">
        <is>
          <t>Rev.00</t>
        </is>
      </c>
      <c r="I233" s="31">
        <f>HYPERLINK("01_STARTER/ST-096-EUR-05/03_Label.docx","Open")</f>
        <v/>
      </c>
    </row>
    <row r="234">
      <c r="A234" s="25" t="inlineStr">
        <is>
          <t>IA-PPWR-LBL-ST-096-EUR-06-R00</t>
        </is>
      </c>
      <c r="B234" s="25" t="inlineStr">
        <is>
          <t>ST-096-EUR-06</t>
        </is>
      </c>
      <c r="C234" s="25" t="inlineStr">
        <is>
          <t>IA-ST-096-EUR-06</t>
        </is>
      </c>
      <c r="D234" s="25" t="inlineStr">
        <is>
          <t>L1, LB1 | Palet (4000038): 1 adet | Köşebent (4000033): 4 adet</t>
        </is>
      </c>
      <c r="E234" s="25" t="inlineStr">
        <is>
          <t>See Technical File material-family summary</t>
        </is>
      </c>
      <c r="F234" s="25" t="inlineStr">
        <is>
          <t>IA-PPWR-TF-ST-096-EUR-06-R00</t>
        </is>
      </c>
      <c r="G234" s="25" t="inlineStr">
        <is>
          <t>IA-PPWR-DOC-ST-096-EUR-06-R00</t>
        </is>
      </c>
      <c r="H234" s="25" t="inlineStr">
        <is>
          <t>Rev.00</t>
        </is>
      </c>
      <c r="I234" s="31">
        <f>HYPERLINK("01_STARTER/ST-096-EUR-06/03_Label.docx","Open")</f>
        <v/>
      </c>
    </row>
    <row r="235">
      <c r="A235" s="25" t="inlineStr">
        <is>
          <t>IA-PPWR-LBL-ST-096-EUR-07-R00</t>
        </is>
      </c>
      <c r="B235" s="25" t="inlineStr">
        <is>
          <t>ST-096-EUR-07</t>
        </is>
      </c>
      <c r="C235" s="25" t="inlineStr">
        <is>
          <t>IA-ST-096-EUR-07</t>
        </is>
      </c>
      <c r="D235" s="25" t="inlineStr">
        <is>
          <t>L0 | Palet (4000038): 1 adet | Köşebent (4000590): 4 adet</t>
        </is>
      </c>
      <c r="E235" s="25" t="inlineStr">
        <is>
          <t>See Technical File material-family summary</t>
        </is>
      </c>
      <c r="F235" s="25" t="inlineStr">
        <is>
          <t>IA-PPWR-TF-ST-096-EUR-07-R00</t>
        </is>
      </c>
      <c r="G235" s="25" t="inlineStr">
        <is>
          <t>IA-PPWR-DOC-ST-096-EUR-07-R00</t>
        </is>
      </c>
      <c r="H235" s="25" t="inlineStr">
        <is>
          <t>Rev.00</t>
        </is>
      </c>
      <c r="I235" s="31">
        <f>HYPERLINK("01_STARTER/ST-096-EUR-07/03_Label.docx","Open")</f>
        <v/>
      </c>
    </row>
    <row r="236">
      <c r="A236" s="25" t="inlineStr">
        <is>
          <t>IA-PPWR-LBL-ST-096-EUR-08-R00</t>
        </is>
      </c>
      <c r="B236" s="25" t="inlineStr">
        <is>
          <t>ST-096-EUR-08</t>
        </is>
      </c>
      <c r="C236" s="25" t="inlineStr">
        <is>
          <t>IA-ST-096-EUR-08</t>
        </is>
      </c>
      <c r="D236" s="25" t="inlineStr">
        <is>
          <t>L0 | Palet (4000038): 1 adet | Separatör (4000609): 4 adet</t>
        </is>
      </c>
      <c r="E236" s="25" t="inlineStr">
        <is>
          <t>See Technical File material-family summary</t>
        </is>
      </c>
      <c r="F236" s="25" t="inlineStr">
        <is>
          <t>IA-PPWR-TF-ST-096-EUR-08-R00</t>
        </is>
      </c>
      <c r="G236" s="25" t="inlineStr">
        <is>
          <t>IA-PPWR-DOC-ST-096-EUR-08-R00</t>
        </is>
      </c>
      <c r="H236" s="25" t="inlineStr">
        <is>
          <t>Rev.00</t>
        </is>
      </c>
      <c r="I236" s="31">
        <f>HYPERLINK("01_STARTER/ST-096-EUR-08/03_Label.docx","Open")</f>
        <v/>
      </c>
    </row>
    <row r="237">
      <c r="A237" s="25" t="inlineStr">
        <is>
          <t>IA-PPWR-LBL-ST-096-EUR-09-R00</t>
        </is>
      </c>
      <c r="B237" s="25" t="inlineStr">
        <is>
          <t>ST-096-EUR-09</t>
        </is>
      </c>
      <c r="C237" s="25" t="inlineStr">
        <is>
          <t>IA-ST-096-EUR-09</t>
        </is>
      </c>
      <c r="D237" s="25" t="inlineStr">
        <is>
          <t>L0 | Palet (4000038): 1 adet | Shrink film (4000555): 2.31 kg | Separatör (4000609): 5 adet</t>
        </is>
      </c>
      <c r="E237" s="25" t="inlineStr">
        <is>
          <t>See Technical File material-family summary</t>
        </is>
      </c>
      <c r="F237" s="25" t="inlineStr">
        <is>
          <t>IA-PPWR-TF-ST-096-EUR-09-R00</t>
        </is>
      </c>
      <c r="G237" s="25" t="inlineStr">
        <is>
          <t>IA-PPWR-DOC-ST-096-EUR-09-R00</t>
        </is>
      </c>
      <c r="H237" s="25" t="inlineStr">
        <is>
          <t>Rev.00</t>
        </is>
      </c>
      <c r="I237" s="31">
        <f>HYPERLINK("01_STARTER/ST-096-EUR-09/03_Label.docx","Open")</f>
        <v/>
      </c>
    </row>
    <row r="238">
      <c r="A238" s="25" t="inlineStr">
        <is>
          <t>IA-PPWR-LBL-ST-096-EUR-10-R00</t>
        </is>
      </c>
      <c r="B238" s="25" t="inlineStr">
        <is>
          <t>ST-096-EUR-10</t>
        </is>
      </c>
      <c r="C238" s="25" t="inlineStr">
        <is>
          <t>IA-ST-096-EUR-10</t>
        </is>
      </c>
      <c r="D238" s="25" t="inlineStr">
        <is>
          <t>L0 | Palet (4000038): 1 adet | Shrink film (4000555): kullanılmaz | Köşebent (4000590): 2 adet</t>
        </is>
      </c>
      <c r="E238" s="25" t="inlineStr">
        <is>
          <t>See Technical File material-family summary</t>
        </is>
      </c>
      <c r="F238" s="25" t="inlineStr">
        <is>
          <t>IA-PPWR-TF-ST-096-EUR-10-R00</t>
        </is>
      </c>
      <c r="G238" s="25" t="inlineStr">
        <is>
          <t>IA-PPWR-DOC-ST-096-EUR-10-R00</t>
        </is>
      </c>
      <c r="H238" s="25" t="inlineStr">
        <is>
          <t>Rev.00</t>
        </is>
      </c>
      <c r="I238" s="31">
        <f>HYPERLINK("01_STARTER/ST-096-EUR-10/03_Label.docx","Open")</f>
        <v/>
      </c>
    </row>
    <row r="239">
      <c r="A239" s="25" t="inlineStr">
        <is>
          <t>IA-PPWR-LBL-ST-096-STD-01-R00</t>
        </is>
      </c>
      <c r="B239" s="25" t="inlineStr">
        <is>
          <t>ST-096-STD-01</t>
        </is>
      </c>
      <c r="C239" s="25" t="inlineStr">
        <is>
          <t>IA-ST-096-STD-01</t>
        </is>
      </c>
      <c r="D239" s="25" t="inlineStr">
        <is>
          <t>L1 | L1 EAS Activa penceresiz dış koli (4000645): 96 adet</t>
        </is>
      </c>
      <c r="E239" s="25" t="inlineStr">
        <is>
          <t>See Technical File material-family summary</t>
        </is>
      </c>
      <c r="F239" s="25" t="inlineStr">
        <is>
          <t>IA-PPWR-TF-ST-096-STD-01-R00</t>
        </is>
      </c>
      <c r="G239" s="25" t="inlineStr">
        <is>
          <t>IA-PPWR-DOC-ST-096-STD-01-R00</t>
        </is>
      </c>
      <c r="H239" s="25" t="inlineStr">
        <is>
          <t>Rev.00</t>
        </is>
      </c>
      <c r="I239" s="31">
        <f>HYPERLINK("01_STARTER/ST-096-STD-01/03_Label.docx","Open")</f>
        <v/>
      </c>
    </row>
    <row r="240">
      <c r="A240" s="25" t="inlineStr">
        <is>
          <t>IA-PPWR-LBL-ST-096-STD-02-R00</t>
        </is>
      </c>
      <c r="B240" s="25" t="inlineStr">
        <is>
          <t>ST-096-STD-02</t>
        </is>
      </c>
      <c r="C240" s="25" t="inlineStr">
        <is>
          <t>IA-ST-096-STD-02</t>
        </is>
      </c>
      <c r="D240" s="25" t="inlineStr">
        <is>
          <t>LB1 | LB1 İnci FORMULA-MAXIMA 2019 dış koli (4001201): 96 adet</t>
        </is>
      </c>
      <c r="E240" s="25" t="inlineStr">
        <is>
          <t>See Technical File material-family summary</t>
        </is>
      </c>
      <c r="F240" s="25" t="inlineStr">
        <is>
          <t>IA-PPWR-TF-ST-096-STD-02-R00</t>
        </is>
      </c>
      <c r="G240" s="25" t="inlineStr">
        <is>
          <t>IA-PPWR-DOC-ST-096-STD-02-R00</t>
        </is>
      </c>
      <c r="H240" s="25" t="inlineStr">
        <is>
          <t>Rev.00</t>
        </is>
      </c>
      <c r="I240" s="31">
        <f>HYPERLINK("01_STARTER/ST-096-STD-02/03_Label.docx","Open")</f>
        <v/>
      </c>
    </row>
    <row r="241">
      <c r="A241" s="25" t="inlineStr">
        <is>
          <t>IA-PPWR-LBL-ST-096-STD-03-R00</t>
        </is>
      </c>
      <c r="B241" s="25" t="inlineStr">
        <is>
          <t>ST-096-STD-03</t>
        </is>
      </c>
      <c r="C241" s="25" t="inlineStr">
        <is>
          <t>IA-ST-096-STD-03</t>
        </is>
      </c>
      <c r="D241" s="25" t="inlineStr">
        <is>
          <t>NS60 | NS60 PVC üst kapak (4000602): 96 adet | Köşebent (4000590): 4 adet</t>
        </is>
      </c>
      <c r="E241" s="25" t="inlineStr">
        <is>
          <t>See Technical File material-family summary</t>
        </is>
      </c>
      <c r="F241" s="25" t="inlineStr">
        <is>
          <t>IA-PPWR-TF-ST-096-STD-03-R00</t>
        </is>
      </c>
      <c r="G241" s="25" t="inlineStr">
        <is>
          <t>IA-PPWR-DOC-ST-096-STD-03-R00</t>
        </is>
      </c>
      <c r="H241" s="25" t="inlineStr">
        <is>
          <t>Rev.00</t>
        </is>
      </c>
      <c r="I241" s="31">
        <f>HYPERLINK("01_STARTER/ST-096-STD-03/03_Label.docx","Open")</f>
        <v/>
      </c>
    </row>
    <row r="242">
      <c r="A242" s="25" t="inlineStr">
        <is>
          <t>IA-PPWR-LBL-ST-096-STD-04-R00</t>
        </is>
      </c>
      <c r="B242" s="25" t="inlineStr">
        <is>
          <t>ST-096-STD-04</t>
        </is>
      </c>
      <c r="C242" s="25" t="inlineStr">
        <is>
          <t>IA-ST-096-STD-04</t>
        </is>
      </c>
      <c r="D242" s="25" t="inlineStr">
        <is>
          <t>NS60 | NS60 PVC üst kapak (4000602): 96 adet | Çember (4000450): kullanılmaz</t>
        </is>
      </c>
      <c r="E242" s="25" t="inlineStr">
        <is>
          <t>See Technical File material-family summary</t>
        </is>
      </c>
      <c r="F242" s="25" t="inlineStr">
        <is>
          <t>IA-PPWR-TF-ST-096-STD-04-R00</t>
        </is>
      </c>
      <c r="G242" s="25" t="inlineStr">
        <is>
          <t>IA-PPWR-DOC-ST-096-STD-04-R00</t>
        </is>
      </c>
      <c r="H242" s="25" t="inlineStr">
        <is>
          <t>Rev.00</t>
        </is>
      </c>
      <c r="I242" s="31">
        <f>HYPERLINK("01_STARTER/ST-096-STD-04/03_Label.docx","Open")</f>
        <v/>
      </c>
    </row>
    <row r="243">
      <c r="A243" s="25" t="inlineStr">
        <is>
          <t>IA-PPWR-LBL-ST-096-STD-05-R00</t>
        </is>
      </c>
      <c r="B243" s="25" t="inlineStr">
        <is>
          <t>ST-096-STD-05</t>
        </is>
      </c>
      <c r="C243" s="25" t="inlineStr">
        <is>
          <t>IA-ST-096-STD-05</t>
        </is>
      </c>
      <c r="D243" s="25" t="inlineStr">
        <is>
          <t>NS60 | Palet (4000037): 1 adet | Shrink film (4001177): 0.597 kg</t>
        </is>
      </c>
      <c r="E243" s="25" t="inlineStr">
        <is>
          <t>See Technical File material-family summary</t>
        </is>
      </c>
      <c r="F243" s="25" t="inlineStr">
        <is>
          <t>IA-PPWR-TF-ST-096-STD-05-R00</t>
        </is>
      </c>
      <c r="G243" s="25" t="inlineStr">
        <is>
          <t>IA-PPWR-DOC-ST-096-STD-05-R00</t>
        </is>
      </c>
      <c r="H243" s="25" t="inlineStr">
        <is>
          <t>Rev.00</t>
        </is>
      </c>
      <c r="I243" s="31">
        <f>HYPERLINK("01_STARTER/ST-096-STD-05/03_Label.docx","Open")</f>
        <v/>
      </c>
    </row>
    <row r="244">
      <c r="A244" s="25" t="inlineStr">
        <is>
          <t>IA-PPWR-LBL-ST-105-STD-01-R00</t>
        </is>
      </c>
      <c r="B244" s="25" t="inlineStr">
        <is>
          <t>ST-105-STD-01</t>
        </is>
      </c>
      <c r="C244" s="25" t="inlineStr">
        <is>
          <t>IA-ST-105-STD-01</t>
        </is>
      </c>
      <c r="D244" s="25" t="inlineStr">
        <is>
          <t>NS40 | NS40 EAS Activa penceresiz B00 dış koli (4000630): 105 adet</t>
        </is>
      </c>
      <c r="E244" s="25" t="inlineStr">
        <is>
          <t>See Technical File material-family summary</t>
        </is>
      </c>
      <c r="F244" s="25" t="inlineStr">
        <is>
          <t>IA-PPWR-TF-ST-105-STD-01-R00</t>
        </is>
      </c>
      <c r="G244" s="25" t="inlineStr">
        <is>
          <t>IA-PPWR-DOC-ST-105-STD-01-R00</t>
        </is>
      </c>
      <c r="H244" s="25" t="inlineStr">
        <is>
          <t>Rev.00</t>
        </is>
      </c>
      <c r="I244" s="31">
        <f>HYPERLINK("01_STARTER/ST-105-STD-01/03_Label.docx","Open")</f>
        <v/>
      </c>
    </row>
    <row r="245">
      <c r="A245" s="25" t="inlineStr">
        <is>
          <t>IA-PPWR-LBL-ST-105-STD-02-R00</t>
        </is>
      </c>
      <c r="B245" s="25" t="inlineStr">
        <is>
          <t>ST-105-STD-02</t>
        </is>
      </c>
      <c r="C245" s="25" t="inlineStr">
        <is>
          <t>IA-ST-105-STD-02</t>
        </is>
      </c>
      <c r="D245" s="25" t="inlineStr">
        <is>
          <t>NS40 | NS40 İnci FORMULA-MAXIMA B00 2019 dış koli (4001212): 105 adet</t>
        </is>
      </c>
      <c r="E245" s="25" t="inlineStr">
        <is>
          <t>See Technical File material-family summary</t>
        </is>
      </c>
      <c r="F245" s="25" t="inlineStr">
        <is>
          <t>IA-PPWR-TF-ST-105-STD-02-R00</t>
        </is>
      </c>
      <c r="G245" s="25" t="inlineStr">
        <is>
          <t>IA-PPWR-DOC-ST-105-STD-02-R00</t>
        </is>
      </c>
      <c r="H245" s="25" t="inlineStr">
        <is>
          <t>Rev.00</t>
        </is>
      </c>
      <c r="I245" s="31">
        <f>HYPERLINK("01_STARTER/ST-105-STD-02/03_Label.docx","Open")</f>
        <v/>
      </c>
    </row>
    <row r="246">
      <c r="A246" s="25" t="inlineStr">
        <is>
          <t>IA-PPWR-LBL-ST-120-STD-01-R00</t>
        </is>
      </c>
      <c r="B246" s="25" t="inlineStr">
        <is>
          <t>ST-120-STD-01</t>
        </is>
      </c>
      <c r="C246" s="25" t="inlineStr">
        <is>
          <t>IA-ST-120-STD-01</t>
        </is>
      </c>
      <c r="D246" s="25" t="inlineStr">
        <is>
          <t>NS40 | NS40 PVC üst kapak (4000601): 120 adet | Köşebent (4000590): 4 adet</t>
        </is>
      </c>
      <c r="E246" s="25" t="inlineStr">
        <is>
          <t>See Technical File material-family summary</t>
        </is>
      </c>
      <c r="F246" s="25" t="inlineStr">
        <is>
          <t>IA-PPWR-TF-ST-120-STD-01-R00</t>
        </is>
      </c>
      <c r="G246" s="25" t="inlineStr">
        <is>
          <t>IA-PPWR-DOC-ST-120-STD-01-R00</t>
        </is>
      </c>
      <c r="H246" s="25" t="inlineStr">
        <is>
          <t>Rev.00</t>
        </is>
      </c>
      <c r="I246" s="31">
        <f>HYPERLINK("01_STARTER/ST-120-STD-01/03_Label.docx","Open")</f>
        <v/>
      </c>
    </row>
    <row r="247">
      <c r="A247" s="25" t="inlineStr">
        <is>
          <t>IA-PPWR-LBL-ST-120-STD-02-R00</t>
        </is>
      </c>
      <c r="B247" s="25" t="inlineStr">
        <is>
          <t>ST-120-STD-02</t>
        </is>
      </c>
      <c r="C247" s="25" t="inlineStr">
        <is>
          <t>IA-ST-120-STD-02</t>
        </is>
      </c>
      <c r="D247" s="25" t="inlineStr">
        <is>
          <t>NS40 | NS40 PVC üst kapak (4000601): 120 adet | Çember (4000450): kullanılmaz</t>
        </is>
      </c>
      <c r="E247" s="25" t="inlineStr">
        <is>
          <t>See Technical File material-family summary</t>
        </is>
      </c>
      <c r="F247" s="25" t="inlineStr">
        <is>
          <t>IA-PPWR-TF-ST-120-STD-02-R00</t>
        </is>
      </c>
      <c r="G247" s="25" t="inlineStr">
        <is>
          <t>IA-PPWR-DOC-ST-120-STD-02-R00</t>
        </is>
      </c>
      <c r="H247" s="25" t="inlineStr">
        <is>
          <t>Rev.00</t>
        </is>
      </c>
      <c r="I247" s="31">
        <f>HYPERLINK("01_STARTER/ST-120-STD-02/03_Label.docx","Open")</f>
        <v/>
      </c>
    </row>
    <row r="248">
      <c r="A248" s="25" t="inlineStr">
        <is>
          <t>IA-PPWR-LBL-ST-120-STD-03-R00</t>
        </is>
      </c>
      <c r="B248" s="25" t="inlineStr">
        <is>
          <t>ST-120-STD-03</t>
        </is>
      </c>
      <c r="C248" s="25" t="inlineStr">
        <is>
          <t>IA-ST-120-STD-03</t>
        </is>
      </c>
      <c r="D248" s="25" t="inlineStr">
        <is>
          <t>NS40 | Palet (4000037): 1 adet | Shrink film (4001177): 0.597 kg</t>
        </is>
      </c>
      <c r="E248" s="25" t="inlineStr">
        <is>
          <t>See Technical File material-family summary</t>
        </is>
      </c>
      <c r="F248" s="25" t="inlineStr">
        <is>
          <t>IA-PPWR-TF-ST-120-STD-03-R00</t>
        </is>
      </c>
      <c r="G248" s="25" t="inlineStr">
        <is>
          <t>IA-PPWR-DOC-ST-120-STD-03-R00</t>
        </is>
      </c>
      <c r="H248" s="25" t="inlineStr">
        <is>
          <t>Rev.00</t>
        </is>
      </c>
      <c r="I248" s="31">
        <f>HYPERLINK("01_STARTER/ST-120-STD-03/03_Label.docx","Open")</f>
        <v/>
      </c>
    </row>
  </sheetData>
  <autoFilter ref="A1:I24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8" customHeight="1">
      <c r="A1" s="23" t="inlineStr">
        <is>
          <t>Statement ID</t>
        </is>
      </c>
      <c r="B1" s="23" t="inlineStr">
        <is>
          <t>Packaging Set Code</t>
        </is>
      </c>
      <c r="C1" s="23" t="inlineStr">
        <is>
          <t>Configuration ID</t>
        </is>
      </c>
      <c r="D1" s="23" t="inlineStr">
        <is>
          <t>Source BOM</t>
        </is>
      </c>
      <c r="E1" s="23" t="inlineStr">
        <is>
          <t>Variant Basis</t>
        </is>
      </c>
      <c r="F1" s="23" t="inlineStr">
        <is>
          <t>Packaging Tare</t>
        </is>
      </c>
      <c r="G1" s="23" t="inlineStr">
        <is>
          <t>BOM Line Count</t>
        </is>
      </c>
      <c r="H1" s="23" t="inlineStr">
        <is>
          <t>Revision</t>
        </is>
      </c>
      <c r="I1" s="23" t="inlineStr">
        <is>
          <t>Open Statement</t>
        </is>
      </c>
    </row>
    <row r="2">
      <c r="A2" s="25" t="inlineStr">
        <is>
          <t>IA-PPWR-STM-CNT-20-EUR-01-R00</t>
        </is>
      </c>
      <c r="B2" s="25" t="inlineStr">
        <is>
          <t>CNT-20-EUR-01</t>
        </is>
      </c>
      <c r="C2" s="25" t="inlineStr">
        <is>
          <t>IA-CNT-20-EUR-01</t>
        </is>
      </c>
      <c r="D2" s="25" t="inlineStr">
        <is>
          <t>IA-CNT-20-EUR</t>
        </is>
      </c>
      <c r="E2" s="25" t="inlineStr">
        <is>
          <t>Container loading | OSB (5501806): 11 adet | Separatör (4000130): 10 adet</t>
        </is>
      </c>
      <c r="F2" s="25" t="n">
        <v>83.06</v>
      </c>
      <c r="G2" s="25" t="n">
        <v>8</v>
      </c>
      <c r="H2" s="25" t="inlineStr">
        <is>
          <t>Rev.00</t>
        </is>
      </c>
      <c r="I2" s="31">
        <f>HYPERLINK("03_CONTAINER/CNT-20-EUR-01/04_Shipment_Statement.docx","Open")</f>
        <v/>
      </c>
    </row>
    <row r="3">
      <c r="A3" s="25" t="inlineStr">
        <is>
          <t>IA-PPWR-STM-CNT-20-STD-01-R00</t>
        </is>
      </c>
      <c r="B3" s="25" t="inlineStr">
        <is>
          <t>CNT-20-STD-01</t>
        </is>
      </c>
      <c r="C3" s="25" t="inlineStr">
        <is>
          <t>IA-CNT-20-STD-01</t>
        </is>
      </c>
      <c r="D3" s="25" t="inlineStr">
        <is>
          <t>IA-CNT-20-STD</t>
        </is>
      </c>
      <c r="E3" s="25" t="inlineStr">
        <is>
          <t>Container loading | OSB (5501805): 10 adet | Separatör (4000130): 10 adet</t>
        </is>
      </c>
      <c r="F3" s="25" t="n">
        <v>78.06</v>
      </c>
      <c r="G3" s="25" t="n">
        <v>8</v>
      </c>
      <c r="H3" s="25" t="inlineStr">
        <is>
          <t>Rev.00</t>
        </is>
      </c>
      <c r="I3" s="31">
        <f>HYPERLINK("03_CONTAINER/CNT-20-STD-01/04_Shipment_Statement.docx","Open")</f>
        <v/>
      </c>
    </row>
    <row r="4">
      <c r="A4" s="25" t="inlineStr">
        <is>
          <t>IA-PPWR-STM-CNT-40-IND-01-R00</t>
        </is>
      </c>
      <c r="B4" s="25" t="inlineStr">
        <is>
          <t>CNT-40-IND-01</t>
        </is>
      </c>
      <c r="C4" s="25" t="inlineStr">
        <is>
          <t>IA-CNT-40-IND-01</t>
        </is>
      </c>
      <c r="D4" s="25" t="inlineStr">
        <is>
          <t>IA-CNT-40-IND</t>
        </is>
      </c>
      <c r="E4" s="25" t="inlineStr">
        <is>
          <t>Container loading | Hava yastığı (5500759): 26 adet | Bağlama halatı (5500762): 12 m</t>
        </is>
      </c>
      <c r="F4" s="25" t="n">
        <v>12.76</v>
      </c>
      <c r="G4" s="25" t="n">
        <v>5</v>
      </c>
      <c r="H4" s="25" t="inlineStr">
        <is>
          <t>Rev.00</t>
        </is>
      </c>
      <c r="I4" s="31">
        <f>HYPERLINK("03_CONTAINER/CNT-40-IND-01/04_Shipment_Statement.docx","Open")</f>
        <v/>
      </c>
    </row>
    <row r="5">
      <c r="A5" s="25" t="inlineStr">
        <is>
          <t>IA-PPWR-STM-CNT-DE-HAM-01-R00</t>
        </is>
      </c>
      <c r="B5" s="25" t="inlineStr">
        <is>
          <t>CNT-DE-HAM-01</t>
        </is>
      </c>
      <c r="C5" s="25" t="inlineStr">
        <is>
          <t>IA-CNT-DE-HAM-01</t>
        </is>
      </c>
      <c r="D5" s="25" t="inlineStr">
        <is>
          <t>IA-CNT-DE-HAMBURG</t>
        </is>
      </c>
      <c r="E5" s="25" t="inlineStr">
        <is>
          <t>Container loading | Sabitleme Tahtası ( 206×9×9 ) (Hamburg): 2 adet</t>
        </is>
      </c>
      <c r="F5" s="25" t="n">
        <v>194</v>
      </c>
      <c r="G5" s="25" t="n">
        <v>3</v>
      </c>
      <c r="H5" s="25" t="inlineStr">
        <is>
          <t>Rev.00</t>
        </is>
      </c>
      <c r="I5" s="31">
        <f>HYPERLINK("03_CONTAINER/CNT-DE-HAM-01/04_Shipment_Statement.docx","Open")</f>
        <v/>
      </c>
    </row>
    <row r="6">
      <c r="A6" s="25" t="inlineStr">
        <is>
          <t>IA-PPWR-STM-IND-24V-01-R00</t>
        </is>
      </c>
      <c r="B6" s="25" t="inlineStr">
        <is>
          <t>IND-24V-01</t>
        </is>
      </c>
      <c r="C6" s="25" t="inlineStr">
        <is>
          <t>IA-IND-24V-01</t>
        </is>
      </c>
      <c r="D6" s="25" t="inlineStr">
        <is>
          <t>IA-IND-24V</t>
        </is>
      </c>
      <c r="E6" s="25" t="inlineStr">
        <is>
          <t>24V | Palet (4001005): 1 adet</t>
        </is>
      </c>
      <c r="F6" s="25" t="n">
        <v>27.388</v>
      </c>
      <c r="G6" s="25" t="n">
        <v>6</v>
      </c>
      <c r="H6" s="25" t="inlineStr">
        <is>
          <t>Rev.00</t>
        </is>
      </c>
      <c r="I6" s="31">
        <f>HYPERLINK("02_INDUSTRIAL/IND-24V-01/04_Shipment_Statement.docx","Open")</f>
        <v/>
      </c>
    </row>
    <row r="7">
      <c r="A7" s="25" t="inlineStr">
        <is>
          <t>IA-PPWR-STM-IND-48V-01-R00</t>
        </is>
      </c>
      <c r="B7" s="25" t="inlineStr">
        <is>
          <t>IND-48V-01</t>
        </is>
      </c>
      <c r="C7" s="25" t="inlineStr">
        <is>
          <t>IA-IND-48V-01</t>
        </is>
      </c>
      <c r="D7" s="25" t="inlineStr">
        <is>
          <t>IA-IND-48V</t>
        </is>
      </c>
      <c r="E7" s="25" t="inlineStr">
        <is>
          <t>48V | Palet (4001005): 1 adet</t>
        </is>
      </c>
      <c r="F7" s="25" t="n">
        <v>27.5767</v>
      </c>
      <c r="G7" s="25" t="n">
        <v>6</v>
      </c>
      <c r="H7" s="25" t="inlineStr">
        <is>
          <t>Rev.00</t>
        </is>
      </c>
      <c r="I7" s="31">
        <f>HYPERLINK("02_INDUSTRIAL/IND-48V-01/04_Shipment_Statement.docx","Open")</f>
        <v/>
      </c>
    </row>
    <row r="8">
      <c r="A8" s="25" t="inlineStr">
        <is>
          <t>IA-PPWR-STM-IND-80V-01-R00</t>
        </is>
      </c>
      <c r="B8" s="25" t="inlineStr">
        <is>
          <t>IND-80V-01</t>
        </is>
      </c>
      <c r="C8" s="25" t="inlineStr">
        <is>
          <t>IA-IND-80V-01</t>
        </is>
      </c>
      <c r="D8" s="25" t="inlineStr">
        <is>
          <t>IA-IND-80V</t>
        </is>
      </c>
      <c r="E8" s="25" t="inlineStr">
        <is>
          <t>80V | Palet (4000973): 1 adet</t>
        </is>
      </c>
      <c r="F8" s="25" t="n">
        <v>32.63147</v>
      </c>
      <c r="G8" s="25" t="n">
        <v>6</v>
      </c>
      <c r="H8" s="25" t="inlineStr">
        <is>
          <t>Rev.00</t>
        </is>
      </c>
      <c r="I8" s="31">
        <f>HYPERLINK("02_INDUSTRIAL/IND-80V-01/04_Shipment_Statement.docx","Open")</f>
        <v/>
      </c>
    </row>
    <row r="9">
      <c r="A9" s="25" t="inlineStr">
        <is>
          <t>IA-PPWR-STM-ST-012-EUR-01-R00</t>
        </is>
      </c>
      <c r="B9" s="25" t="inlineStr">
        <is>
          <t>ST-012-EUR-01</t>
        </is>
      </c>
      <c r="C9" s="25" t="inlineStr">
        <is>
          <t>IA-ST-012-EUR-01</t>
        </is>
      </c>
      <c r="D9" s="25" t="inlineStr">
        <is>
          <t>IA-ST-CFG-0004</t>
        </is>
      </c>
      <c r="E9" s="25" t="inlineStr">
        <is>
          <t>C | Palet (4000038): 1 adet | Köşebent (4000590): 4 adet</t>
        </is>
      </c>
      <c r="F9" s="25" t="n">
        <v>29.326</v>
      </c>
      <c r="G9" s="25" t="n">
        <v>7</v>
      </c>
      <c r="H9" s="25" t="inlineStr">
        <is>
          <t>Rev.00</t>
        </is>
      </c>
      <c r="I9" s="31">
        <f>HYPERLINK("01_STARTER/ST-012-EUR-01/04_Shipment_Statement.docx","Open")</f>
        <v/>
      </c>
    </row>
    <row r="10">
      <c r="A10" s="25" t="inlineStr">
        <is>
          <t>IA-PPWR-STM-ST-012-EUR-02-R00</t>
        </is>
      </c>
      <c r="B10" s="25" t="inlineStr">
        <is>
          <t>ST-012-EUR-02</t>
        </is>
      </c>
      <c r="C10" s="25" t="inlineStr">
        <is>
          <t>IA-ST-012-EUR-02</t>
        </is>
      </c>
      <c r="D10" s="25" t="inlineStr">
        <is>
          <t>IA-ST-CFG-0005</t>
        </is>
      </c>
      <c r="E10" s="25" t="inlineStr">
        <is>
          <t>L6 | Palet (4000038): 1 adet | Köşebent (4000590): 4 adet</t>
        </is>
      </c>
      <c r="F10" s="25" t="n">
        <v>27.526</v>
      </c>
      <c r="G10" s="25" t="n">
        <v>6</v>
      </c>
      <c r="H10" s="25" t="inlineStr">
        <is>
          <t>Rev.00</t>
        </is>
      </c>
      <c r="I10" s="31">
        <f>HYPERLINK("01_STARTER/ST-012-EUR-02/04_Shipment_Statement.docx","Open")</f>
        <v/>
      </c>
    </row>
    <row r="11">
      <c r="A11" s="25" t="inlineStr">
        <is>
          <t>IA-PPWR-STM-ST-012-EUR-03-R00</t>
        </is>
      </c>
      <c r="B11" s="25" t="inlineStr">
        <is>
          <t>ST-012-EUR-03</t>
        </is>
      </c>
      <c r="C11" s="25" t="inlineStr">
        <is>
          <t>IA-ST-012-EUR-03</t>
        </is>
      </c>
      <c r="D11" s="25" t="inlineStr">
        <is>
          <t>IA-ST-CFG-0006</t>
        </is>
      </c>
      <c r="E11" s="25" t="inlineStr">
        <is>
          <t>C | Palet (4000038): 1 adet | Köşebent (4000590): 2 adet</t>
        </is>
      </c>
      <c r="F11" s="25" t="n">
        <v>29.0392</v>
      </c>
      <c r="G11" s="25" t="n">
        <v>7</v>
      </c>
      <c r="H11" s="25" t="inlineStr">
        <is>
          <t>Rev.00</t>
        </is>
      </c>
      <c r="I11" s="31">
        <f>HYPERLINK("01_STARTER/ST-012-EUR-03/04_Shipment_Statement.docx","Open")</f>
        <v/>
      </c>
    </row>
    <row r="12">
      <c r="A12" s="25" t="inlineStr">
        <is>
          <t>IA-PPWR-STM-ST-018-EUR-01-R00</t>
        </is>
      </c>
      <c r="B12" s="25" t="inlineStr">
        <is>
          <t>ST-018-EUR-01</t>
        </is>
      </c>
      <c r="C12" s="25" t="inlineStr">
        <is>
          <t>IA-ST-018-EUR-01</t>
        </is>
      </c>
      <c r="D12" s="25" t="inlineStr">
        <is>
          <t>IA-ST-CFG-0012</t>
        </is>
      </c>
      <c r="E12" s="25" t="inlineStr">
        <is>
          <t>C | Palet (4000038): 1 adet | Köşebent (4001160): 4 adet</t>
        </is>
      </c>
      <c r="F12" s="25" t="n">
        <v>32.434</v>
      </c>
      <c r="G12" s="25" t="n">
        <v>9</v>
      </c>
      <c r="H12" s="25" t="inlineStr">
        <is>
          <t>Rev.00</t>
        </is>
      </c>
      <c r="I12" s="31">
        <f>HYPERLINK("01_STARTER/ST-018-EUR-01/04_Shipment_Statement.docx","Open")</f>
        <v/>
      </c>
    </row>
    <row r="13">
      <c r="A13" s="25" t="inlineStr">
        <is>
          <t>IA-PPWR-STM-ST-018-EUR-02-R00</t>
        </is>
      </c>
      <c r="B13" s="25" t="inlineStr">
        <is>
          <t>ST-018-EUR-02</t>
        </is>
      </c>
      <c r="C13" s="25" t="inlineStr">
        <is>
          <t>IA-ST-018-EUR-02</t>
        </is>
      </c>
      <c r="D13" s="25" t="inlineStr">
        <is>
          <t>IA-ST-CFG-0013</t>
        </is>
      </c>
      <c r="E13" s="25" t="inlineStr">
        <is>
          <t>C | Palet (4000038): 1 adet | Köşebent (4000590): 4 adet</t>
        </is>
      </c>
      <c r="F13" s="25" t="n">
        <v>30.194</v>
      </c>
      <c r="G13" s="25" t="n">
        <v>7</v>
      </c>
      <c r="H13" s="25" t="inlineStr">
        <is>
          <t>Rev.00</t>
        </is>
      </c>
      <c r="I13" s="31">
        <f>HYPERLINK("01_STARTER/ST-018-EUR-02/04_Shipment_Statement.docx","Open")</f>
        <v/>
      </c>
    </row>
    <row r="14">
      <c r="A14" s="25" t="inlineStr">
        <is>
          <t>IA-PPWR-STM-ST-018-EUR-03-R00</t>
        </is>
      </c>
      <c r="B14" s="25" t="inlineStr">
        <is>
          <t>ST-018-EUR-03</t>
        </is>
      </c>
      <c r="C14" s="25" t="inlineStr">
        <is>
          <t>IA-ST-018-EUR-03</t>
        </is>
      </c>
      <c r="D14" s="25" t="inlineStr">
        <is>
          <t>IA-ST-CFG-0014</t>
        </is>
      </c>
      <c r="E14" s="25" t="inlineStr">
        <is>
          <t>C | Palet (4000038): 1 adet | Shrink film (4000557): 1.08 kg | Köşebent (4000590): 2 adet</t>
        </is>
      </c>
      <c r="F14" s="25" t="n">
        <v>30.9872</v>
      </c>
      <c r="G14" s="25" t="n">
        <v>8</v>
      </c>
      <c r="H14" s="25" t="inlineStr">
        <is>
          <t>Rev.00</t>
        </is>
      </c>
      <c r="I14" s="31">
        <f>HYPERLINK("01_STARTER/ST-018-EUR-03/04_Shipment_Statement.docx","Open")</f>
        <v/>
      </c>
    </row>
    <row r="15">
      <c r="A15" s="25" t="inlineStr">
        <is>
          <t>IA-PPWR-STM-ST-018-EUR-04-R00</t>
        </is>
      </c>
      <c r="B15" s="25" t="inlineStr">
        <is>
          <t>ST-018-EUR-04</t>
        </is>
      </c>
      <c r="C15" s="25" t="inlineStr">
        <is>
          <t>IA-ST-018-EUR-04</t>
        </is>
      </c>
      <c r="D15" s="25" t="inlineStr">
        <is>
          <t>IA-ST-CFG-0015</t>
        </is>
      </c>
      <c r="E15" s="25" t="inlineStr">
        <is>
          <t>C | Palet (4000038): 1 adet | Honeycomb (4001186): 3 adet</t>
        </is>
      </c>
      <c r="F15" s="25" t="n">
        <v>30.0392</v>
      </c>
      <c r="G15" s="25" t="n">
        <v>7</v>
      </c>
      <c r="H15" s="25" t="inlineStr">
        <is>
          <t>Rev.00</t>
        </is>
      </c>
      <c r="I15" s="31">
        <f>HYPERLINK("01_STARTER/ST-018-EUR-04/04_Shipment_Statement.docx","Open")</f>
        <v/>
      </c>
    </row>
    <row r="16">
      <c r="A16" s="25" t="inlineStr">
        <is>
          <t>IA-PPWR-STM-ST-018-EUR-05-R00</t>
        </is>
      </c>
      <c r="B16" s="25" t="inlineStr">
        <is>
          <t>ST-018-EUR-05</t>
        </is>
      </c>
      <c r="C16" s="25" t="inlineStr">
        <is>
          <t>IA-ST-018-EUR-05</t>
        </is>
      </c>
      <c r="D16" s="25" t="inlineStr">
        <is>
          <t>IA-ST-CFG-0016</t>
        </is>
      </c>
      <c r="E16" s="25" t="inlineStr">
        <is>
          <t>C | Palet (4000038): 1 adet | Çember (4000450): kullanılmaz</t>
        </is>
      </c>
      <c r="F16" s="25" t="n">
        <v>30.7004</v>
      </c>
      <c r="G16" s="25" t="n">
        <v>6</v>
      </c>
      <c r="H16" s="25" t="inlineStr">
        <is>
          <t>Rev.00</t>
        </is>
      </c>
      <c r="I16" s="31">
        <f>HYPERLINK("01_STARTER/ST-018-EUR-05/04_Shipment_Statement.docx","Open")</f>
        <v/>
      </c>
    </row>
    <row r="17">
      <c r="A17" s="25" t="inlineStr">
        <is>
          <t>IA-PPWR-STM-ST-021-EUR-01-R00</t>
        </is>
      </c>
      <c r="B17" s="25" t="inlineStr">
        <is>
          <t>ST-021-EUR-01</t>
        </is>
      </c>
      <c r="C17" s="25" t="inlineStr">
        <is>
          <t>IA-ST-021-EUR-01</t>
        </is>
      </c>
      <c r="D17" s="25" t="inlineStr">
        <is>
          <t>IA-ST-CFG-0027</t>
        </is>
      </c>
      <c r="E17" s="25" t="inlineStr">
        <is>
          <t>B | B TİPİ PVC üst kapak (4000591): 21 adet</t>
        </is>
      </c>
      <c r="F17" s="25" t="n">
        <v>32.37481</v>
      </c>
      <c r="G17" s="25" t="n">
        <v>9</v>
      </c>
      <c r="H17" s="25" t="inlineStr">
        <is>
          <t>Rev.00</t>
        </is>
      </c>
      <c r="I17" s="31">
        <f>HYPERLINK("01_STARTER/ST-021-EUR-01/04_Shipment_Statement.docx","Open")</f>
        <v/>
      </c>
    </row>
    <row r="18">
      <c r="A18" s="25" t="inlineStr">
        <is>
          <t>IA-PPWR-STM-ST-021-EUR-02-R00</t>
        </is>
      </c>
      <c r="B18" s="25" t="inlineStr">
        <is>
          <t>ST-021-EUR-02</t>
        </is>
      </c>
      <c r="C18" s="25" t="inlineStr">
        <is>
          <t>IA-ST-021-EUR-02</t>
        </is>
      </c>
      <c r="D18" s="25" t="inlineStr">
        <is>
          <t>IA-ST-CFG-0028</t>
        </is>
      </c>
      <c r="E18" s="25" t="inlineStr">
        <is>
          <t>B | Palet (4000038): 1 adet | Köşebent (4000590): 4 adet</t>
        </is>
      </c>
      <c r="F18" s="25" t="n">
        <v>29.9</v>
      </c>
      <c r="G18" s="25" t="n">
        <v>7</v>
      </c>
      <c r="H18" s="25" t="inlineStr">
        <is>
          <t>Rev.00</t>
        </is>
      </c>
      <c r="I18" s="31">
        <f>HYPERLINK("01_STARTER/ST-021-EUR-02/04_Shipment_Statement.docx","Open")</f>
        <v/>
      </c>
    </row>
    <row r="19">
      <c r="A19" s="25" t="inlineStr">
        <is>
          <t>IA-PPWR-STM-ST-021-EUR-03-R00</t>
        </is>
      </c>
      <c r="B19" s="25" t="inlineStr">
        <is>
          <t>ST-021-EUR-03</t>
        </is>
      </c>
      <c r="C19" s="25" t="inlineStr">
        <is>
          <t>IA-ST-021-EUR-03</t>
        </is>
      </c>
      <c r="D19" s="25" t="inlineStr">
        <is>
          <t>IA-ST-CFG-0029</t>
        </is>
      </c>
      <c r="E19" s="25" t="inlineStr">
        <is>
          <t>B | Palet (4000038): 1 adet | Shrink film (4000557): 1.155 kg | EPS (4001290): 21 adet</t>
        </is>
      </c>
      <c r="F19" s="25" t="n">
        <v>30.7682</v>
      </c>
      <c r="G19" s="25" t="n">
        <v>8</v>
      </c>
      <c r="H19" s="25" t="inlineStr">
        <is>
          <t>Rev.00</t>
        </is>
      </c>
      <c r="I19" s="31">
        <f>HYPERLINK("01_STARTER/ST-021-EUR-03/04_Shipment_Statement.docx","Open")</f>
        <v/>
      </c>
    </row>
    <row r="20">
      <c r="A20" s="25" t="inlineStr">
        <is>
          <t>IA-PPWR-STM-ST-021-EUR-04-R00</t>
        </is>
      </c>
      <c r="B20" s="25" t="inlineStr">
        <is>
          <t>ST-021-EUR-04</t>
        </is>
      </c>
      <c r="C20" s="25" t="inlineStr">
        <is>
          <t>IA-ST-021-EUR-04</t>
        </is>
      </c>
      <c r="D20" s="25" t="inlineStr">
        <is>
          <t>IA-ST-CFG-0030</t>
        </is>
      </c>
      <c r="E20" s="25" t="inlineStr">
        <is>
          <t>B | Palet (4000038): 1 adet | Honeycomb (4001186): 3 adet</t>
        </is>
      </c>
      <c r="F20" s="25" t="n">
        <v>30.0392</v>
      </c>
      <c r="G20" s="25" t="n">
        <v>7</v>
      </c>
      <c r="H20" s="25" t="inlineStr">
        <is>
          <t>Rev.00</t>
        </is>
      </c>
      <c r="I20" s="31">
        <f>HYPERLINK("01_STARTER/ST-021-EUR-04/04_Shipment_Statement.docx","Open")</f>
        <v/>
      </c>
    </row>
    <row r="21">
      <c r="A21" s="25" t="inlineStr">
        <is>
          <t>IA-PPWR-STM-ST-021-EUR-05-R00</t>
        </is>
      </c>
      <c r="B21" s="25" t="inlineStr">
        <is>
          <t>ST-021-EUR-05</t>
        </is>
      </c>
      <c r="C21" s="25" t="inlineStr">
        <is>
          <t>IA-ST-021-EUR-05</t>
        </is>
      </c>
      <c r="D21" s="25" t="inlineStr">
        <is>
          <t>IA-ST-CFG-0031</t>
        </is>
      </c>
      <c r="E21" s="25" t="inlineStr">
        <is>
          <t>B | Palet (4000038): 1 adet | Shrink film (4000557): kullanılmaz | Köşebent (4000590): 2 adet | EPS (4001290): 21 adet</t>
        </is>
      </c>
      <c r="F21" s="25" t="n">
        <v>29.6132</v>
      </c>
      <c r="G21" s="25" t="n">
        <v>7</v>
      </c>
      <c r="H21" s="25" t="inlineStr">
        <is>
          <t>Rev.00</t>
        </is>
      </c>
      <c r="I21" s="31">
        <f>HYPERLINK("01_STARTER/ST-021-EUR-05/04_Shipment_Statement.docx","Open")</f>
        <v/>
      </c>
    </row>
    <row r="22">
      <c r="A22" s="25" t="inlineStr">
        <is>
          <t>IA-PPWR-STM-ST-021-STD-01-R00</t>
        </is>
      </c>
      <c r="B22" s="25" t="inlineStr">
        <is>
          <t>ST-021-STD-01</t>
        </is>
      </c>
      <c r="C22" s="25" t="inlineStr">
        <is>
          <t>IA-ST-021-STD-01</t>
        </is>
      </c>
      <c r="D22" s="25" t="inlineStr">
        <is>
          <t>IA-ST-CFG-0020</t>
        </is>
      </c>
      <c r="E22" s="25" t="inlineStr">
        <is>
          <t>C | Palet (4000037): 1 adet | Streç ped (4000301): 0.175 kg</t>
        </is>
      </c>
      <c r="F22" s="25" t="n">
        <v>31.8142</v>
      </c>
      <c r="G22" s="25" t="n">
        <v>8</v>
      </c>
      <c r="H22" s="25" t="inlineStr">
        <is>
          <t>Rev.00</t>
        </is>
      </c>
      <c r="I22" s="31">
        <f>HYPERLINK("01_STARTER/ST-021-STD-01/04_Shipment_Statement.docx","Open")</f>
        <v/>
      </c>
    </row>
    <row r="23">
      <c r="A23" s="25" t="inlineStr">
        <is>
          <t>IA-PPWR-STM-ST-021-STD-02-R00</t>
        </is>
      </c>
      <c r="B23" s="25" t="inlineStr">
        <is>
          <t>ST-021-STD-02</t>
        </is>
      </c>
      <c r="C23" s="25" t="inlineStr">
        <is>
          <t>IA-ST-021-STD-02</t>
        </is>
      </c>
      <c r="D23" s="25" t="inlineStr">
        <is>
          <t>IA-ST-CFG-0021</t>
        </is>
      </c>
      <c r="E23" s="25" t="inlineStr">
        <is>
          <t>C | Palet (4000037): 1 adet | Köşebent (4000590): 4 adet</t>
        </is>
      </c>
      <c r="F23" s="25" t="n">
        <v>32.112</v>
      </c>
      <c r="G23" s="25" t="n">
        <v>8</v>
      </c>
      <c r="H23" s="25" t="inlineStr">
        <is>
          <t>Rev.00</t>
        </is>
      </c>
      <c r="I23" s="31">
        <f>HYPERLINK("01_STARTER/ST-021-STD-02/04_Shipment_Statement.docx","Open")</f>
        <v/>
      </c>
    </row>
    <row r="24">
      <c r="A24" s="25" t="inlineStr">
        <is>
          <t>IA-PPWR-STM-ST-021-STD-03-R00</t>
        </is>
      </c>
      <c r="B24" s="25" t="inlineStr">
        <is>
          <t>ST-021-STD-03</t>
        </is>
      </c>
      <c r="C24" s="25" t="inlineStr">
        <is>
          <t>IA-ST-021-STD-03</t>
        </is>
      </c>
      <c r="D24" s="25" t="inlineStr">
        <is>
          <t>IA-ST-CFG-0023</t>
        </is>
      </c>
      <c r="E24" s="25" t="inlineStr">
        <is>
          <t>C | Palet (4000037): 1 adet | Streç ped (4000301): 0.186 kg | Köşebent (4000590): 2 adet</t>
        </is>
      </c>
      <c r="F24" s="25" t="n">
        <v>31.8252</v>
      </c>
      <c r="G24" s="25" t="n">
        <v>8</v>
      </c>
      <c r="H24" s="25" t="inlineStr">
        <is>
          <t>Rev.00</t>
        </is>
      </c>
      <c r="I24" s="31">
        <f>HYPERLINK("01_STARTER/ST-021-STD-03/04_Shipment_Statement.docx","Open")</f>
        <v/>
      </c>
    </row>
    <row r="25">
      <c r="A25" s="25" t="inlineStr">
        <is>
          <t>IA-PPWR-STM-ST-021-STD-04-R00</t>
        </is>
      </c>
      <c r="B25" s="25" t="inlineStr">
        <is>
          <t>ST-021-STD-04</t>
        </is>
      </c>
      <c r="C25" s="25" t="inlineStr">
        <is>
          <t>IA-ST-021-STD-04</t>
        </is>
      </c>
      <c r="D25" s="25" t="inlineStr">
        <is>
          <t>IA-ST-CFG-0024</t>
        </is>
      </c>
      <c r="E25" s="25" t="inlineStr">
        <is>
          <t>C | Palet (4000037): 1 adet | Çember (4000450): kullanılmaz</t>
        </is>
      </c>
      <c r="F25" s="25" t="n">
        <v>31.5384</v>
      </c>
      <c r="G25" s="25" t="n">
        <v>6</v>
      </c>
      <c r="H25" s="25" t="inlineStr">
        <is>
          <t>Rev.00</t>
        </is>
      </c>
      <c r="I25" s="31">
        <f>HYPERLINK("01_STARTER/ST-021-STD-04/04_Shipment_Statement.docx","Open")</f>
        <v/>
      </c>
    </row>
    <row r="26">
      <c r="A26" s="25" t="inlineStr">
        <is>
          <t>IA-PPWR-STM-ST-021-STD-05-R00</t>
        </is>
      </c>
      <c r="B26" s="25" t="inlineStr">
        <is>
          <t>ST-021-STD-05</t>
        </is>
      </c>
      <c r="C26" s="25" t="inlineStr">
        <is>
          <t>IA-ST-021-STD-05</t>
        </is>
      </c>
      <c r="D26" s="25" t="inlineStr">
        <is>
          <t>IA-ST-CFG-0025</t>
        </is>
      </c>
      <c r="E26" s="25" t="inlineStr">
        <is>
          <t>C | Palet (4000037): 1 adet | Shrink film (4001177): 0.597 kg</t>
        </is>
      </c>
      <c r="F26" s="25" t="n">
        <v>30.983</v>
      </c>
      <c r="G26" s="25" t="n">
        <v>7</v>
      </c>
      <c r="H26" s="25" t="inlineStr">
        <is>
          <t>Rev.00</t>
        </is>
      </c>
      <c r="I26" s="31">
        <f>HYPERLINK("01_STARTER/ST-021-STD-05/04_Shipment_Statement.docx","Open")</f>
        <v/>
      </c>
    </row>
    <row r="27">
      <c r="A27" s="25" t="inlineStr">
        <is>
          <t>IA-PPWR-STM-ST-024-EUR-01-R00</t>
        </is>
      </c>
      <c r="B27" s="25" t="inlineStr">
        <is>
          <t>ST-024-EUR-01</t>
        </is>
      </c>
      <c r="C27" s="25" t="inlineStr">
        <is>
          <t>IA-ST-024-EUR-01</t>
        </is>
      </c>
      <c r="D27" s="25" t="inlineStr">
        <is>
          <t>IA-ST-CFG-0035</t>
        </is>
      </c>
      <c r="E27" s="25" t="inlineStr">
        <is>
          <t>TRACTOR | Palet (4000038): 1 adet | Honeycomb (4001186): 2 adet</t>
        </is>
      </c>
      <c r="F27" s="25" t="n">
        <v>36.726</v>
      </c>
      <c r="G27" s="25" t="n">
        <v>8</v>
      </c>
      <c r="H27" s="25" t="inlineStr">
        <is>
          <t>Rev.00</t>
        </is>
      </c>
      <c r="I27" s="31">
        <f>HYPERLINK("01_STARTER/ST-024-EUR-01/04_Shipment_Statement.docx","Open")</f>
        <v/>
      </c>
    </row>
    <row r="28">
      <c r="A28" s="25" t="inlineStr">
        <is>
          <t>IA-PPWR-STM-ST-024-EUR-02-R00</t>
        </is>
      </c>
      <c r="B28" s="25" t="inlineStr">
        <is>
          <t>ST-024-EUR-02</t>
        </is>
      </c>
      <c r="C28" s="25" t="inlineStr">
        <is>
          <t>IA-ST-024-EUR-02</t>
        </is>
      </c>
      <c r="D28" s="25" t="inlineStr">
        <is>
          <t>IA-ST-CFG-0037</t>
        </is>
      </c>
      <c r="E28" s="25" t="inlineStr">
        <is>
          <t>A | A TİPİ VAKUM PVC PVC üst kapak (4000720): 24 adet</t>
        </is>
      </c>
      <c r="F28" s="25" t="n">
        <v>32.84464</v>
      </c>
      <c r="G28" s="25" t="n">
        <v>9</v>
      </c>
      <c r="H28" s="25" t="inlineStr">
        <is>
          <t>Rev.00</t>
        </is>
      </c>
      <c r="I28" s="31">
        <f>HYPERLINK("01_STARTER/ST-024-EUR-02/04_Shipment_Statement.docx","Open")</f>
        <v/>
      </c>
    </row>
    <row r="29">
      <c r="A29" s="25" t="inlineStr">
        <is>
          <t>IA-PPWR-STM-ST-024-EUR-03-R00</t>
        </is>
      </c>
      <c r="B29" s="25" t="inlineStr">
        <is>
          <t>ST-024-EUR-03</t>
        </is>
      </c>
      <c r="C29" s="25" t="inlineStr">
        <is>
          <t>IA-ST-024-EUR-03</t>
        </is>
      </c>
      <c r="D29" s="25" t="inlineStr">
        <is>
          <t>IA-ST-CFG-0038</t>
        </is>
      </c>
      <c r="E29" s="25" t="inlineStr">
        <is>
          <t>A | Palet (4000038): 1 adet | Köşebent (4000590): 4 adet</t>
        </is>
      </c>
      <c r="F29" s="25" t="n">
        <v>29.63</v>
      </c>
      <c r="G29" s="25" t="n">
        <v>7</v>
      </c>
      <c r="H29" s="25" t="inlineStr">
        <is>
          <t>Rev.00</t>
        </is>
      </c>
      <c r="I29" s="31">
        <f>HYPERLINK("01_STARTER/ST-024-EUR-03/04_Shipment_Statement.docx","Open")</f>
        <v/>
      </c>
    </row>
    <row r="30">
      <c r="A30" s="25" t="inlineStr">
        <is>
          <t>IA-PPWR-STM-ST-024-EUR-04-R00</t>
        </is>
      </c>
      <c r="B30" s="25" t="inlineStr">
        <is>
          <t>ST-024-EUR-04</t>
        </is>
      </c>
      <c r="C30" s="25" t="inlineStr">
        <is>
          <t>IA-ST-024-EUR-04</t>
        </is>
      </c>
      <c r="D30" s="25" t="inlineStr">
        <is>
          <t>IA-ST-CFG-0039</t>
        </is>
      </c>
      <c r="E30" s="25" t="inlineStr">
        <is>
          <t>A | Palet (4000038): 1 adet | Köşebent (4000590): 2 adet</t>
        </is>
      </c>
      <c r="F30" s="25" t="n">
        <v>30.6632</v>
      </c>
      <c r="G30" s="25" t="n">
        <v>8</v>
      </c>
      <c r="H30" s="25" t="inlineStr">
        <is>
          <t>Rev.00</t>
        </is>
      </c>
      <c r="I30" s="31">
        <f>HYPERLINK("01_STARTER/ST-024-EUR-04/04_Shipment_Statement.docx","Open")</f>
        <v/>
      </c>
    </row>
    <row r="31">
      <c r="A31" s="25" t="inlineStr">
        <is>
          <t>IA-PPWR-STM-ST-024-STD-01-R00</t>
        </is>
      </c>
      <c r="B31" s="25" t="inlineStr">
        <is>
          <t>ST-024-STD-01</t>
        </is>
      </c>
      <c r="C31" s="25" t="inlineStr">
        <is>
          <t>IA-ST-024-STD-01</t>
        </is>
      </c>
      <c r="D31" s="25" t="inlineStr">
        <is>
          <t>IA-ST-CFG-0034</t>
        </is>
      </c>
      <c r="E31" s="25" t="inlineStr">
        <is>
          <t>C | Palet (4000037): 1 adet | EPS (4001281): 24 adet</t>
        </is>
      </c>
      <c r="F31" s="25" t="n">
        <v>31.23</v>
      </c>
      <c r="G31" s="25" t="n">
        <v>7</v>
      </c>
      <c r="H31" s="25" t="inlineStr">
        <is>
          <t>Rev.00</t>
        </is>
      </c>
      <c r="I31" s="31">
        <f>HYPERLINK("01_STARTER/ST-024-STD-01/04_Shipment_Statement.docx","Open")</f>
        <v/>
      </c>
    </row>
    <row r="32">
      <c r="A32" s="25" t="inlineStr">
        <is>
          <t>IA-PPWR-STM-ST-027-STD90-01-R00</t>
        </is>
      </c>
      <c r="B32" s="25" t="inlineStr">
        <is>
          <t>ST-027-STD90-01</t>
        </is>
      </c>
      <c r="C32" s="25" t="inlineStr">
        <is>
          <t>IA-ST-027-STD90-01</t>
        </is>
      </c>
      <c r="D32" s="25" t="inlineStr">
        <is>
          <t>IA-ST-CFG-0043</t>
        </is>
      </c>
      <c r="E32" s="25" t="inlineStr">
        <is>
          <t>TANK | TANK PVC üst kapak (4000493): 27 adet | Çember (4000450): 7 m</t>
        </is>
      </c>
      <c r="F32" s="25" t="n">
        <v>25.58996</v>
      </c>
      <c r="G32" s="25" t="n">
        <v>8</v>
      </c>
      <c r="H32" s="25" t="inlineStr">
        <is>
          <t>Rev.00</t>
        </is>
      </c>
      <c r="I32" s="31">
        <f>HYPERLINK("01_STARTER/ST-027-STD90-01/04_Shipment_Statement.docx","Open")</f>
        <v/>
      </c>
    </row>
    <row r="33">
      <c r="A33" s="25" t="inlineStr">
        <is>
          <t>IA-PPWR-STM-ST-027-STD90-02-R00</t>
        </is>
      </c>
      <c r="B33" s="25" t="inlineStr">
        <is>
          <t>ST-027-STD90-02</t>
        </is>
      </c>
      <c r="C33" s="25" t="inlineStr">
        <is>
          <t>IA-ST-027-STD90-02</t>
        </is>
      </c>
      <c r="D33" s="25" t="inlineStr">
        <is>
          <t>IA-ST-CFG-0044</t>
        </is>
      </c>
      <c r="E33" s="25" t="inlineStr">
        <is>
          <t>TANK | TANK PVC üst kapak (4000493): 27 adet | Çember (4000450): kullanılmaz</t>
        </is>
      </c>
      <c r="F33" s="25" t="n">
        <v>25.50316</v>
      </c>
      <c r="G33" s="25" t="n">
        <v>7</v>
      </c>
      <c r="H33" s="25" t="inlineStr">
        <is>
          <t>Rev.00</t>
        </is>
      </c>
      <c r="I33" s="31">
        <f>HYPERLINK("01_STARTER/ST-027-STD90-02/04_Shipment_Statement.docx","Open")</f>
        <v/>
      </c>
    </row>
    <row r="34">
      <c r="A34" s="25" t="inlineStr">
        <is>
          <t>IA-PPWR-STM-ST-028-STD-01-R00</t>
        </is>
      </c>
      <c r="B34" s="25" t="inlineStr">
        <is>
          <t>ST-028-STD-01</t>
        </is>
      </c>
      <c r="C34" s="25" t="inlineStr">
        <is>
          <t>IA-ST-028-STD-01</t>
        </is>
      </c>
      <c r="D34" s="25" t="inlineStr">
        <is>
          <t>IA-ST-CFG-0045</t>
        </is>
      </c>
      <c r="E34" s="25" t="inlineStr">
        <is>
          <t>L6 | Palet (4000037): 1 adet | Shrink film (4000608): 1.12 kg</t>
        </is>
      </c>
      <c r="F34" s="25" t="n">
        <v>29.056</v>
      </c>
      <c r="G34" s="25" t="n">
        <v>7</v>
      </c>
      <c r="H34" s="25" t="inlineStr">
        <is>
          <t>Rev.00</t>
        </is>
      </c>
      <c r="I34" s="31">
        <f>HYPERLINK("01_STARTER/ST-028-STD-01/04_Shipment_Statement.docx","Open")</f>
        <v/>
      </c>
    </row>
    <row r="35">
      <c r="A35" s="25" t="inlineStr">
        <is>
          <t>IA-PPWR-STM-ST-030-STD-01-R00</t>
        </is>
      </c>
      <c r="B35" s="25" t="inlineStr">
        <is>
          <t>ST-030-STD-01</t>
        </is>
      </c>
      <c r="C35" s="25" t="inlineStr">
        <is>
          <t>IA-ST-030-STD-01</t>
        </is>
      </c>
      <c r="D35" s="25" t="inlineStr">
        <is>
          <t>IA-ST-CFG-0046</t>
        </is>
      </c>
      <c r="E35" s="25" t="inlineStr">
        <is>
          <t>L5 | Palet (4000037): 1 adet | Shrink film (4000608): 1.2 kg</t>
        </is>
      </c>
      <c r="F35" s="25" t="n">
        <v>29.136</v>
      </c>
      <c r="G35" s="25" t="n">
        <v>7</v>
      </c>
      <c r="H35" s="25" t="inlineStr">
        <is>
          <t>Rev.00</t>
        </is>
      </c>
      <c r="I35" s="31">
        <f>HYPERLINK("01_STARTER/ST-030-STD-01/04_Shipment_Statement.docx","Open")</f>
        <v/>
      </c>
    </row>
    <row r="36">
      <c r="A36" s="25" t="inlineStr">
        <is>
          <t>IA-PPWR-STM-ST-030-STD-02-R00</t>
        </is>
      </c>
      <c r="B36" s="25" t="inlineStr">
        <is>
          <t>ST-030-STD-02</t>
        </is>
      </c>
      <c r="C36" s="25" t="inlineStr">
        <is>
          <t>IA-ST-030-STD-02</t>
        </is>
      </c>
      <c r="D36" s="25" t="inlineStr">
        <is>
          <t>IA-ST-CFG-0047</t>
        </is>
      </c>
      <c r="E36" s="25" t="inlineStr">
        <is>
          <t>A | Palet (4000037): 1 adet | Shrink film (4000557): 1.65 kg | Köşebent (4000590): 4 adet</t>
        </is>
      </c>
      <c r="F36" s="25" t="n">
        <v>31.986</v>
      </c>
      <c r="G36" s="25" t="n">
        <v>8</v>
      </c>
      <c r="H36" s="25" t="inlineStr">
        <is>
          <t>Rev.00</t>
        </is>
      </c>
      <c r="I36" s="31">
        <f>HYPERLINK("01_STARTER/ST-030-STD-02/04_Shipment_Statement.docx","Open")</f>
        <v/>
      </c>
    </row>
    <row r="37">
      <c r="A37" s="25" t="inlineStr">
        <is>
          <t>IA-PPWR-STM-ST-030-STD-03-R00</t>
        </is>
      </c>
      <c r="B37" s="25" t="inlineStr">
        <is>
          <t>ST-030-STD-03</t>
        </is>
      </c>
      <c r="C37" s="25" t="inlineStr">
        <is>
          <t>IA-ST-030-STD-03</t>
        </is>
      </c>
      <c r="D37" s="25" t="inlineStr">
        <is>
          <t>IA-ST-CFG-0048</t>
        </is>
      </c>
      <c r="E37" s="25" t="inlineStr">
        <is>
          <t>B | Palet (4000037): 1 adet | Shrink film (4000557): 1.65 kg | Köşebent (4000590): 4 adet</t>
        </is>
      </c>
      <c r="F37" s="25" t="n">
        <v>32.676</v>
      </c>
      <c r="G37" s="25" t="n">
        <v>8</v>
      </c>
      <c r="H37" s="25" t="inlineStr">
        <is>
          <t>Rev.00</t>
        </is>
      </c>
      <c r="I37" s="31">
        <f>HYPERLINK("01_STARTER/ST-030-STD-03/04_Shipment_Statement.docx","Open")</f>
        <v/>
      </c>
    </row>
    <row r="38">
      <c r="A38" s="25" t="inlineStr">
        <is>
          <t>IA-PPWR-STM-ST-030-STD-04-R00</t>
        </is>
      </c>
      <c r="B38" s="25" t="inlineStr">
        <is>
          <t>ST-030-STD-04</t>
        </is>
      </c>
      <c r="C38" s="25" t="inlineStr">
        <is>
          <t>IA-ST-030-STD-04</t>
        </is>
      </c>
      <c r="D38" s="25" t="inlineStr">
        <is>
          <t>IA-ST-CFG-0049</t>
        </is>
      </c>
      <c r="E38" s="25" t="inlineStr">
        <is>
          <t>A | Palet (4000037): 1 adet | Shrink film (4000557): kullanılmaz | Köşebent (4000590): 4 adet</t>
        </is>
      </c>
      <c r="F38" s="25" t="n">
        <v>30.336</v>
      </c>
      <c r="G38" s="25" t="n">
        <v>7</v>
      </c>
      <c r="H38" s="25" t="inlineStr">
        <is>
          <t>Rev.00</t>
        </is>
      </c>
      <c r="I38" s="31">
        <f>HYPERLINK("01_STARTER/ST-030-STD-04/04_Shipment_Statement.docx","Open")</f>
        <v/>
      </c>
    </row>
    <row r="39">
      <c r="A39" s="25" t="inlineStr">
        <is>
          <t>IA-PPWR-STM-ST-030-STD-05-R00</t>
        </is>
      </c>
      <c r="B39" s="25" t="inlineStr">
        <is>
          <t>ST-030-STD-05</t>
        </is>
      </c>
      <c r="C39" s="25" t="inlineStr">
        <is>
          <t>IA-ST-030-STD-05</t>
        </is>
      </c>
      <c r="D39" s="25" t="inlineStr">
        <is>
          <t>IA-ST-CFG-0051</t>
        </is>
      </c>
      <c r="E39" s="25" t="inlineStr">
        <is>
          <t>A | Palet (4000037): 1 adet | Köşebent (4000590): 2 adet</t>
        </is>
      </c>
      <c r="F39" s="25" t="n">
        <v>31.6992</v>
      </c>
      <c r="G39" s="25" t="n">
        <v>8</v>
      </c>
      <c r="H39" s="25" t="inlineStr">
        <is>
          <t>Rev.00</t>
        </is>
      </c>
      <c r="I39" s="31">
        <f>HYPERLINK("01_STARTER/ST-030-STD-05/04_Shipment_Statement.docx","Open")</f>
        <v/>
      </c>
    </row>
    <row r="40">
      <c r="A40" s="25" t="inlineStr">
        <is>
          <t>IA-PPWR-STM-ST-030-STD-06-R00</t>
        </is>
      </c>
      <c r="B40" s="25" t="inlineStr">
        <is>
          <t>ST-030-STD-06</t>
        </is>
      </c>
      <c r="C40" s="25" t="inlineStr">
        <is>
          <t>IA-ST-030-STD-06</t>
        </is>
      </c>
      <c r="D40" s="25" t="inlineStr">
        <is>
          <t>IA-ST-CFG-0052</t>
        </is>
      </c>
      <c r="E40" s="25" t="inlineStr">
        <is>
          <t>B | Palet (4000037): 1 adet | Köşebent (4000590): 2 adet</t>
        </is>
      </c>
      <c r="F40" s="25" t="n">
        <v>32.3892</v>
      </c>
      <c r="G40" s="25" t="n">
        <v>8</v>
      </c>
      <c r="H40" s="25" t="inlineStr">
        <is>
          <t>Rev.00</t>
        </is>
      </c>
      <c r="I40" s="31">
        <f>HYPERLINK("01_STARTER/ST-030-STD-06/04_Shipment_Statement.docx","Open")</f>
        <v/>
      </c>
    </row>
    <row r="41">
      <c r="A41" s="25" t="inlineStr">
        <is>
          <t>IA-PPWR-STM-ST-030-STD-07-R00</t>
        </is>
      </c>
      <c r="B41" s="25" t="inlineStr">
        <is>
          <t>ST-030-STD-07</t>
        </is>
      </c>
      <c r="C41" s="25" t="inlineStr">
        <is>
          <t>IA-ST-030-STD-07</t>
        </is>
      </c>
      <c r="D41" s="25" t="inlineStr">
        <is>
          <t>IA-ST-CFG-0053</t>
        </is>
      </c>
      <c r="E41" s="25" t="inlineStr">
        <is>
          <t>B | Palet (4000037): 1 adet | Çember (4000450): 7 m | Köşebent (4000590): 4 adet</t>
        </is>
      </c>
      <c r="F41" s="25" t="n">
        <v>30.9392</v>
      </c>
      <c r="G41" s="25" t="n">
        <v>7</v>
      </c>
      <c r="H41" s="25" t="inlineStr">
        <is>
          <t>Rev.00</t>
        </is>
      </c>
      <c r="I41" s="31">
        <f>HYPERLINK("01_STARTER/ST-030-STD-07/04_Shipment_Statement.docx","Open")</f>
        <v/>
      </c>
    </row>
    <row r="42">
      <c r="A42" s="25" t="inlineStr">
        <is>
          <t>IA-PPWR-STM-ST-030-STD-08-R00</t>
        </is>
      </c>
      <c r="B42" s="25" t="inlineStr">
        <is>
          <t>ST-030-STD-08</t>
        </is>
      </c>
      <c r="C42" s="25" t="inlineStr">
        <is>
          <t>IA-ST-030-STD-08</t>
        </is>
      </c>
      <c r="D42" s="25" t="inlineStr">
        <is>
          <t>IA-ST-CFG-0054</t>
        </is>
      </c>
      <c r="E42" s="25" t="inlineStr">
        <is>
          <t>A | Palet (4000037): 1 adet | Çember (4000450): kullanılmaz</t>
        </is>
      </c>
      <c r="F42" s="25" t="n">
        <v>31.4124</v>
      </c>
      <c r="G42" s="25" t="n">
        <v>6</v>
      </c>
      <c r="H42" s="25" t="inlineStr">
        <is>
          <t>Rev.00</t>
        </is>
      </c>
      <c r="I42" s="31">
        <f>HYPERLINK("01_STARTER/ST-030-STD-08/04_Shipment_Statement.docx","Open")</f>
        <v/>
      </c>
    </row>
    <row r="43">
      <c r="A43" s="25" t="inlineStr">
        <is>
          <t>IA-PPWR-STM-ST-030-STD-09-R00</t>
        </is>
      </c>
      <c r="B43" s="25" t="inlineStr">
        <is>
          <t>ST-030-STD-09</t>
        </is>
      </c>
      <c r="C43" s="25" t="inlineStr">
        <is>
          <t>IA-ST-030-STD-09</t>
        </is>
      </c>
      <c r="D43" s="25" t="inlineStr">
        <is>
          <t>IA-ST-CFG-0055</t>
        </is>
      </c>
      <c r="E43" s="25" t="inlineStr">
        <is>
          <t>B | Palet (4000037): 1 adet | Çember (4000450): kullanılmaz</t>
        </is>
      </c>
      <c r="F43" s="25" t="n">
        <v>32.1024</v>
      </c>
      <c r="G43" s="25" t="n">
        <v>6</v>
      </c>
      <c r="H43" s="25" t="inlineStr">
        <is>
          <t>Rev.00</t>
        </is>
      </c>
      <c r="I43" s="31">
        <f>HYPERLINK("01_STARTER/ST-030-STD-09/04_Shipment_Statement.docx","Open")</f>
        <v/>
      </c>
    </row>
    <row r="44">
      <c r="A44" s="25" t="inlineStr">
        <is>
          <t>IA-PPWR-STM-ST-030-STD-10-R00</t>
        </is>
      </c>
      <c r="B44" s="25" t="inlineStr">
        <is>
          <t>ST-030-STD-10</t>
        </is>
      </c>
      <c r="C44" s="25" t="inlineStr">
        <is>
          <t>IA-ST-030-STD-10</t>
        </is>
      </c>
      <c r="D44" s="25" t="inlineStr">
        <is>
          <t>IA-ST-CFG-0056</t>
        </is>
      </c>
      <c r="E44" s="25" t="inlineStr">
        <is>
          <t>A | Palet (4000037): 1 adet | Shrink film (4001177): 0.597 kg</t>
        </is>
      </c>
      <c r="F44" s="25" t="n">
        <v>30.467</v>
      </c>
      <c r="G44" s="25" t="n">
        <v>7</v>
      </c>
      <c r="H44" s="25" t="inlineStr">
        <is>
          <t>Rev.00</t>
        </is>
      </c>
      <c r="I44" s="31">
        <f>HYPERLINK("01_STARTER/ST-030-STD-10/04_Shipment_Statement.docx","Open")</f>
        <v/>
      </c>
    </row>
    <row r="45">
      <c r="A45" s="25" t="inlineStr">
        <is>
          <t>IA-PPWR-STM-ST-030-STD-11-R00</t>
        </is>
      </c>
      <c r="B45" s="25" t="inlineStr">
        <is>
          <t>ST-030-STD-11</t>
        </is>
      </c>
      <c r="C45" s="25" t="inlineStr">
        <is>
          <t>IA-ST-030-STD-11</t>
        </is>
      </c>
      <c r="D45" s="25" t="inlineStr">
        <is>
          <t>IA-ST-CFG-0057</t>
        </is>
      </c>
      <c r="E45" s="25" t="inlineStr">
        <is>
          <t>B | Palet (4000037): 1 adet | Shrink film (4001177): 0.597 kg</t>
        </is>
      </c>
      <c r="F45" s="25" t="n">
        <v>31.157</v>
      </c>
      <c r="G45" s="25" t="n">
        <v>7</v>
      </c>
      <c r="H45" s="25" t="inlineStr">
        <is>
          <t>Rev.00</t>
        </is>
      </c>
      <c r="I45" s="31">
        <f>HYPERLINK("01_STARTER/ST-030-STD-11/04_Shipment_Statement.docx","Open")</f>
        <v/>
      </c>
    </row>
    <row r="46">
      <c r="A46" s="25" t="inlineStr">
        <is>
          <t>IA-PPWR-STM-ST-033-EUR-01-R00</t>
        </is>
      </c>
      <c r="B46" s="25" t="inlineStr">
        <is>
          <t>ST-033-EUR-01</t>
        </is>
      </c>
      <c r="C46" s="25" t="inlineStr">
        <is>
          <t>IA-ST-033-EUR-01</t>
        </is>
      </c>
      <c r="D46" s="25" t="inlineStr">
        <is>
          <t>IA-ST-CFG-0058</t>
        </is>
      </c>
      <c r="E46" s="25" t="inlineStr">
        <is>
          <t>L6 | Palet (4000038): 1 adet | Köşebent (4000590): 4 adet</t>
        </is>
      </c>
      <c r="F46" s="25" t="n">
        <v>27.926</v>
      </c>
      <c r="G46" s="25" t="n">
        <v>6</v>
      </c>
      <c r="H46" s="25" t="inlineStr">
        <is>
          <t>Rev.00</t>
        </is>
      </c>
      <c r="I46" s="31">
        <f>HYPERLINK("01_STARTER/ST-033-EUR-01/04_Shipment_Statement.docx","Open")</f>
        <v/>
      </c>
    </row>
    <row r="47">
      <c r="A47" s="25" t="inlineStr">
        <is>
          <t>IA-PPWR-STM-ST-034-STD-01-R00</t>
        </is>
      </c>
      <c r="B47" s="25" t="inlineStr">
        <is>
          <t>ST-034-STD-01</t>
        </is>
      </c>
      <c r="C47" s="25" t="inlineStr">
        <is>
          <t>IA-ST-034-STD-01</t>
        </is>
      </c>
      <c r="D47" s="25" t="inlineStr">
        <is>
          <t>IA-ST-CFG-0059</t>
        </is>
      </c>
      <c r="E47" s="25" t="inlineStr">
        <is>
          <t>D31 | D31 YUASA penceresiz Orta Doğu dış koli (4001108): 34 adet</t>
        </is>
      </c>
      <c r="F47" s="25" t="n">
        <v>40.7776</v>
      </c>
      <c r="G47" s="25" t="n">
        <v>8</v>
      </c>
      <c r="H47" s="25" t="inlineStr">
        <is>
          <t>Rev.00</t>
        </is>
      </c>
      <c r="I47" s="31">
        <f>HYPERLINK("01_STARTER/ST-034-STD-01/04_Shipment_Statement.docx","Open")</f>
        <v/>
      </c>
    </row>
    <row r="48">
      <c r="A48" s="25" t="inlineStr">
        <is>
          <t>IA-PPWR-STM-ST-034-STD-02-R00</t>
        </is>
      </c>
      <c r="B48" s="25" t="inlineStr">
        <is>
          <t>ST-034-STD-02</t>
        </is>
      </c>
      <c r="C48" s="25" t="inlineStr">
        <is>
          <t>IA-ST-034-STD-02</t>
        </is>
      </c>
      <c r="D48" s="25" t="inlineStr">
        <is>
          <t>IA-ST-CFG-0060</t>
        </is>
      </c>
      <c r="E48" s="25" t="inlineStr">
        <is>
          <t>L4 | L4 YUASA penceresiz Orta Doğu dış koli (4001313): 34 adet</t>
        </is>
      </c>
      <c r="F48" s="25" t="n">
        <v>37.296</v>
      </c>
      <c r="G48" s="25" t="n">
        <v>7</v>
      </c>
      <c r="H48" s="25" t="inlineStr">
        <is>
          <t>Rev.00</t>
        </is>
      </c>
      <c r="I48" s="31">
        <f>HYPERLINK("01_STARTER/ST-034-STD-02/04_Shipment_Statement.docx","Open")</f>
        <v/>
      </c>
    </row>
    <row r="49">
      <c r="A49" s="25" t="inlineStr">
        <is>
          <t>IA-PPWR-STM-ST-036-EUR-01-R00</t>
        </is>
      </c>
      <c r="B49" s="25" t="inlineStr">
        <is>
          <t>ST-036-EUR-01</t>
        </is>
      </c>
      <c r="C49" s="25" t="inlineStr">
        <is>
          <t>IA-ST-036-EUR-01</t>
        </is>
      </c>
      <c r="D49" s="25" t="inlineStr">
        <is>
          <t>IA-ST-CFG-0062</t>
        </is>
      </c>
      <c r="E49" s="25" t="inlineStr">
        <is>
          <t>L6 | L6 İnci AGM LEO 105AH940A pencereli dış koli (4001360): 36 adet</t>
        </is>
      </c>
      <c r="F49" s="25" t="n">
        <v>43.186</v>
      </c>
      <c r="G49" s="25" t="n">
        <v>7</v>
      </c>
      <c r="H49" s="25" t="inlineStr">
        <is>
          <t>Rev.00</t>
        </is>
      </c>
      <c r="I49" s="31">
        <f>HYPERLINK("01_STARTER/ST-036-EUR-01/04_Shipment_Statement.docx","Open")</f>
        <v/>
      </c>
    </row>
    <row r="50">
      <c r="A50" s="25" t="inlineStr">
        <is>
          <t>IA-PPWR-STM-ST-036-EUR-02-R00</t>
        </is>
      </c>
      <c r="B50" s="25" t="inlineStr">
        <is>
          <t>ST-036-EUR-02</t>
        </is>
      </c>
      <c r="C50" s="25" t="inlineStr">
        <is>
          <t>IA-ST-036-EUR-02</t>
        </is>
      </c>
      <c r="D50" s="25" t="inlineStr">
        <is>
          <t>IA-ST-CFG-0065</t>
        </is>
      </c>
      <c r="E50" s="25" t="inlineStr">
        <is>
          <t>NS40 | Palet (4000038): 1 adet | EPS (4000573): 8 adet</t>
        </is>
      </c>
      <c r="F50" s="25" t="n">
        <v>27.942</v>
      </c>
      <c r="G50" s="25" t="n">
        <v>7</v>
      </c>
      <c r="H50" s="25" t="inlineStr">
        <is>
          <t>Rev.00</t>
        </is>
      </c>
      <c r="I50" s="31">
        <f>HYPERLINK("01_STARTER/ST-036-EUR-02/04_Shipment_Statement.docx","Open")</f>
        <v/>
      </c>
    </row>
    <row r="51">
      <c r="A51" s="25" t="inlineStr">
        <is>
          <t>IA-PPWR-STM-ST-036-EUR-03-R00</t>
        </is>
      </c>
      <c r="B51" s="25" t="inlineStr">
        <is>
          <t>ST-036-EUR-03</t>
        </is>
      </c>
      <c r="C51" s="25" t="inlineStr">
        <is>
          <t>IA-ST-036-EUR-03</t>
        </is>
      </c>
      <c r="D51" s="25" t="inlineStr">
        <is>
          <t>IA-ST-CFG-0066</t>
        </is>
      </c>
      <c r="E51" s="25" t="inlineStr">
        <is>
          <t>L6, L5 | Palet (4000038): 1 adet | Köşebent (4000590): 4 adet</t>
        </is>
      </c>
      <c r="F51" s="25" t="n">
        <v>29.366</v>
      </c>
      <c r="G51" s="25" t="n">
        <v>7</v>
      </c>
      <c r="H51" s="25" t="inlineStr">
        <is>
          <t>Rev.00</t>
        </is>
      </c>
      <c r="I51" s="31">
        <f>HYPERLINK("01_STARTER/ST-036-EUR-03/04_Shipment_Statement.docx","Open")</f>
        <v/>
      </c>
    </row>
    <row r="52">
      <c r="A52" s="25" t="inlineStr">
        <is>
          <t>IA-PPWR-STM-ST-036-EUR-04-R00</t>
        </is>
      </c>
      <c r="B52" s="25" t="inlineStr">
        <is>
          <t>ST-036-EUR-04</t>
        </is>
      </c>
      <c r="C52" s="25" t="inlineStr">
        <is>
          <t>IA-ST-036-EUR-04</t>
        </is>
      </c>
      <c r="D52" s="25" t="inlineStr">
        <is>
          <t>IA-ST-CFG-0068</t>
        </is>
      </c>
      <c r="E52" s="25" t="inlineStr">
        <is>
          <t>L5, L6, LB5 | Palet (4000038): 1 adet | Köşebent (4000590): 4 adet</t>
        </is>
      </c>
      <c r="F52" s="25" t="n">
        <v>27.926</v>
      </c>
      <c r="G52" s="25" t="n">
        <v>6</v>
      </c>
      <c r="H52" s="25" t="inlineStr">
        <is>
          <t>Rev.00</t>
        </is>
      </c>
      <c r="I52" s="31">
        <f>HYPERLINK("01_STARTER/ST-036-EUR-04/04_Shipment_Statement.docx","Open")</f>
        <v/>
      </c>
    </row>
    <row r="53">
      <c r="A53" s="25" t="inlineStr">
        <is>
          <t>IA-PPWR-STM-ST-036-EUR-05-R00</t>
        </is>
      </c>
      <c r="B53" s="25" t="inlineStr">
        <is>
          <t>ST-036-EUR-05</t>
        </is>
      </c>
      <c r="C53" s="25" t="inlineStr">
        <is>
          <t>IA-ST-036-EUR-05</t>
        </is>
      </c>
      <c r="D53" s="25" t="inlineStr">
        <is>
          <t>IA-ST-CFG-0070</t>
        </is>
      </c>
      <c r="E53" s="25" t="inlineStr">
        <is>
          <t>TRACTORL | TRAKTÖR PVC üst kapak (4000494): 36 adet</t>
        </is>
      </c>
      <c r="F53" s="25" t="n">
        <v>31.98368</v>
      </c>
      <c r="G53" s="25" t="n">
        <v>8</v>
      </c>
      <c r="H53" s="25" t="inlineStr">
        <is>
          <t>Rev.00</t>
        </is>
      </c>
      <c r="I53" s="31">
        <f>HYPERLINK("01_STARTER/ST-036-EUR-05/04_Shipment_Statement.docx","Open")</f>
        <v/>
      </c>
    </row>
    <row r="54">
      <c r="A54" s="25" t="inlineStr">
        <is>
          <t>IA-PPWR-STM-ST-036-EUR-06-R00</t>
        </is>
      </c>
      <c r="B54" s="25" t="inlineStr">
        <is>
          <t>ST-036-EUR-06</t>
        </is>
      </c>
      <c r="C54" s="25" t="inlineStr">
        <is>
          <t>IA-ST-036-EUR-06</t>
        </is>
      </c>
      <c r="D54" s="25" t="inlineStr">
        <is>
          <t>IA-ST-CFG-0071</t>
        </is>
      </c>
      <c r="E54" s="25" t="inlineStr">
        <is>
          <t>L6, L5 | Palet (4000038): 1 adet | Köşebent (4000590): 2 adet | Shrink film (4000608): 1.44 kg</t>
        </is>
      </c>
      <c r="F54" s="25" t="n">
        <v>29.0792</v>
      </c>
      <c r="G54" s="25" t="n">
        <v>7</v>
      </c>
      <c r="H54" s="25" t="inlineStr">
        <is>
          <t>Rev.00</t>
        </is>
      </c>
      <c r="I54" s="31">
        <f>HYPERLINK("01_STARTER/ST-036-EUR-06/04_Shipment_Statement.docx","Open")</f>
        <v/>
      </c>
    </row>
    <row r="55">
      <c r="A55" s="25" t="inlineStr">
        <is>
          <t>IA-PPWR-STM-ST-036-EUR-07-R00</t>
        </is>
      </c>
      <c r="B55" s="25" t="inlineStr">
        <is>
          <t>ST-036-EUR-07</t>
        </is>
      </c>
      <c r="C55" s="25" t="inlineStr">
        <is>
          <t>IA-ST-036-EUR-07</t>
        </is>
      </c>
      <c r="D55" s="25" t="inlineStr">
        <is>
          <t>IA-ST-CFG-0072</t>
        </is>
      </c>
      <c r="E55" s="25" t="inlineStr">
        <is>
          <t>L6, L5 | Palet (4000038): 1 adet | Shrink film (4000608): kullanılmaz</t>
        </is>
      </c>
      <c r="F55" s="25" t="n">
        <v>27.6392</v>
      </c>
      <c r="G55" s="25" t="n">
        <v>6</v>
      </c>
      <c r="H55" s="25" t="inlineStr">
        <is>
          <t>Rev.00</t>
        </is>
      </c>
      <c r="I55" s="31">
        <f>HYPERLINK("01_STARTER/ST-036-EUR-07/04_Shipment_Statement.docx","Open")</f>
        <v/>
      </c>
    </row>
    <row r="56">
      <c r="A56" s="25" t="inlineStr">
        <is>
          <t>IA-PPWR-STM-ST-036-STD-01-R00</t>
        </is>
      </c>
      <c r="B56" s="25" t="inlineStr">
        <is>
          <t>ST-036-STD-01</t>
        </is>
      </c>
      <c r="C56" s="25" t="inlineStr">
        <is>
          <t>IA-ST-036-STD-01</t>
        </is>
      </c>
      <c r="D56" s="25" t="inlineStr">
        <is>
          <t>IA-ST-CFG-0061</t>
        </is>
      </c>
      <c r="E56" s="25" t="inlineStr">
        <is>
          <t>L3 | L3 YUASA penceresiz Orta Doğu dış koli (4001103): 36 adet</t>
        </is>
      </c>
      <c r="F56" s="25" t="n">
        <v>37.796</v>
      </c>
      <c r="G56" s="25" t="n">
        <v>7</v>
      </c>
      <c r="H56" s="25" t="inlineStr">
        <is>
          <t>Rev.00</t>
        </is>
      </c>
      <c r="I56" s="31">
        <f>HYPERLINK("01_STARTER/ST-036-STD-01/04_Shipment_Statement.docx","Open")</f>
        <v/>
      </c>
    </row>
    <row r="57">
      <c r="A57" s="25" t="inlineStr">
        <is>
          <t>IA-PPWR-STM-ST-036-STD-02-R00</t>
        </is>
      </c>
      <c r="B57" s="25" t="inlineStr">
        <is>
          <t>ST-036-STD-02</t>
        </is>
      </c>
      <c r="C57" s="25" t="inlineStr">
        <is>
          <t>IA-ST-036-STD-02</t>
        </is>
      </c>
      <c r="D57" s="25" t="inlineStr">
        <is>
          <t>IA-ST-CFG-0063</t>
        </is>
      </c>
      <c r="E57" s="25" t="inlineStr">
        <is>
          <t>L4 | Palet (4000037): 1 adet | Separatör (4000130): 3 adet</t>
        </is>
      </c>
      <c r="F57" s="25" t="n">
        <v>29.16</v>
      </c>
      <c r="G57" s="25" t="n">
        <v>7</v>
      </c>
      <c r="H57" s="25" t="inlineStr">
        <is>
          <t>Rev.00</t>
        </is>
      </c>
      <c r="I57" s="31">
        <f>HYPERLINK("01_STARTER/ST-036-STD-02/04_Shipment_Statement.docx","Open")</f>
        <v/>
      </c>
    </row>
    <row r="58">
      <c r="A58" s="25" t="inlineStr">
        <is>
          <t>IA-PPWR-STM-ST-036-STD-03-R00</t>
        </is>
      </c>
      <c r="B58" s="25" t="inlineStr">
        <is>
          <t>ST-036-STD-03</t>
        </is>
      </c>
      <c r="C58" s="25" t="inlineStr">
        <is>
          <t>IA-ST-036-STD-03</t>
        </is>
      </c>
      <c r="D58" s="25" t="inlineStr">
        <is>
          <t>IA-ST-CFG-0064</t>
        </is>
      </c>
      <c r="E58" s="25" t="inlineStr">
        <is>
          <t>L4 | Palet (4000037): 1 adet | Separatör (4000130): 4 adet</t>
        </is>
      </c>
      <c r="F58" s="25" t="n">
        <v>29.1432</v>
      </c>
      <c r="G58" s="25" t="n">
        <v>7</v>
      </c>
      <c r="H58" s="25" t="inlineStr">
        <is>
          <t>Rev.00</t>
        </is>
      </c>
      <c r="I58" s="31">
        <f>HYPERLINK("01_STARTER/ST-036-STD-03/04_Shipment_Statement.docx","Open")</f>
        <v/>
      </c>
    </row>
    <row r="59">
      <c r="A59" s="25" t="inlineStr">
        <is>
          <t>IA-PPWR-STM-ST-042-EUR-01-R00</t>
        </is>
      </c>
      <c r="B59" s="25" t="inlineStr">
        <is>
          <t>ST-042-EUR-01</t>
        </is>
      </c>
      <c r="C59" s="25" t="inlineStr">
        <is>
          <t>IA-ST-042-EUR-01</t>
        </is>
      </c>
      <c r="D59" s="25" t="inlineStr">
        <is>
          <t>IA-ST-CFG-0077</t>
        </is>
      </c>
      <c r="E59" s="25" t="inlineStr">
        <is>
          <t>D31 | D31 YUASA penceresiz Orta Doğu dış koli (4001108): 42 adet</t>
        </is>
      </c>
      <c r="F59" s="25" t="n">
        <v>44.0068</v>
      </c>
      <c r="G59" s="25" t="n">
        <v>8</v>
      </c>
      <c r="H59" s="25" t="inlineStr">
        <is>
          <t>Rev.00</t>
        </is>
      </c>
      <c r="I59" s="31">
        <f>HYPERLINK("01_STARTER/ST-042-EUR-01/04_Shipment_Statement.docx","Open")</f>
        <v/>
      </c>
    </row>
    <row r="60">
      <c r="A60" s="25" t="inlineStr">
        <is>
          <t>IA-PPWR-STM-ST-042-EUR-02-R00</t>
        </is>
      </c>
      <c r="B60" s="25" t="inlineStr">
        <is>
          <t>ST-042-EUR-02</t>
        </is>
      </c>
      <c r="C60" s="25" t="inlineStr">
        <is>
          <t>IA-ST-042-EUR-02</t>
        </is>
      </c>
      <c r="D60" s="25" t="inlineStr">
        <is>
          <t>IA-ST-CFG-0085</t>
        </is>
      </c>
      <c r="E60" s="25" t="inlineStr">
        <is>
          <t>L4, LB4 | Palet (4000038): 1 adet | Köşebent (4000590): 4 adet</t>
        </is>
      </c>
      <c r="F60" s="25" t="n">
        <v>27.926</v>
      </c>
      <c r="G60" s="25" t="n">
        <v>6</v>
      </c>
      <c r="H60" s="25" t="inlineStr">
        <is>
          <t>Rev.00</t>
        </is>
      </c>
      <c r="I60" s="31">
        <f>HYPERLINK("01_STARTER/ST-042-EUR-02/04_Shipment_Statement.docx","Open")</f>
        <v/>
      </c>
    </row>
    <row r="61">
      <c r="A61" s="25" t="inlineStr">
        <is>
          <t>IA-PPWR-STM-ST-042-EUR-03-R00</t>
        </is>
      </c>
      <c r="B61" s="25" t="inlineStr">
        <is>
          <t>ST-042-EUR-03</t>
        </is>
      </c>
      <c r="C61" s="25" t="inlineStr">
        <is>
          <t>IA-ST-042-EUR-03</t>
        </is>
      </c>
      <c r="D61" s="25" t="inlineStr">
        <is>
          <t>IA-ST-CFG-0086</t>
        </is>
      </c>
      <c r="E61" s="25" t="inlineStr">
        <is>
          <t>L4, LB4 | Palet (4000038): 1 adet | Shrink film (4000554): 1.428 kg</t>
        </is>
      </c>
      <c r="F61" s="25" t="n">
        <v>29.0672</v>
      </c>
      <c r="G61" s="25" t="n">
        <v>7</v>
      </c>
      <c r="H61" s="25" t="inlineStr">
        <is>
          <t>Rev.00</t>
        </is>
      </c>
      <c r="I61" s="31">
        <f>HYPERLINK("01_STARTER/ST-042-EUR-03/04_Shipment_Statement.docx","Open")</f>
        <v/>
      </c>
    </row>
    <row r="62">
      <c r="A62" s="25" t="inlineStr">
        <is>
          <t>IA-PPWR-STM-ST-042-EUR-04-R00</t>
        </is>
      </c>
      <c r="B62" s="25" t="inlineStr">
        <is>
          <t>ST-042-EUR-04</t>
        </is>
      </c>
      <c r="C62" s="25" t="inlineStr">
        <is>
          <t>IA-ST-042-EUR-04</t>
        </is>
      </c>
      <c r="D62" s="25" t="inlineStr">
        <is>
          <t>IA-ST-CFG-0087</t>
        </is>
      </c>
      <c r="E62" s="25" t="inlineStr">
        <is>
          <t>L4, LB4 | Palet (4000038): 1 adet | Shrink film (4000554): kullanılmaz | Köşebent (4000590): 2 adet</t>
        </is>
      </c>
      <c r="F62" s="25" t="n">
        <v>27.6392</v>
      </c>
      <c r="G62" s="25" t="n">
        <v>6</v>
      </c>
      <c r="H62" s="25" t="inlineStr">
        <is>
          <t>Rev.00</t>
        </is>
      </c>
      <c r="I62" s="31">
        <f>HYPERLINK("01_STARTER/ST-042-EUR-04/04_Shipment_Statement.docx","Open")</f>
        <v/>
      </c>
    </row>
    <row r="63">
      <c r="A63" s="25" t="inlineStr">
        <is>
          <t>IA-PPWR-STM-ST-042-STD-01-R00</t>
        </is>
      </c>
      <c r="B63" s="25" t="inlineStr">
        <is>
          <t>ST-042-STD-01</t>
        </is>
      </c>
      <c r="C63" s="25" t="inlineStr">
        <is>
          <t>IA-ST-042-STD-01</t>
        </is>
      </c>
      <c r="D63" s="25" t="inlineStr">
        <is>
          <t>IA-ST-CFG-0075</t>
        </is>
      </c>
      <c r="E63" s="25" t="inlineStr">
        <is>
          <t>D23 | D23 YUASA penceresiz Orta Doğu dış koli (4001106): 42 adet</t>
        </is>
      </c>
      <c r="F63" s="25" t="n">
        <v>41.02094</v>
      </c>
      <c r="G63" s="25" t="n">
        <v>8</v>
      </c>
      <c r="H63" s="25" t="inlineStr">
        <is>
          <t>Rev.00</t>
        </is>
      </c>
      <c r="I63" s="31">
        <f>HYPERLINK("01_STARTER/ST-042-STD-01/04_Shipment_Statement.docx","Open")</f>
        <v/>
      </c>
    </row>
    <row r="64">
      <c r="A64" s="25" t="inlineStr">
        <is>
          <t>IA-PPWR-STM-ST-042-STD-02-R00</t>
        </is>
      </c>
      <c r="B64" s="25" t="inlineStr">
        <is>
          <t>ST-042-STD-02</t>
        </is>
      </c>
      <c r="C64" s="25" t="inlineStr">
        <is>
          <t>IA-ST-042-STD-02</t>
        </is>
      </c>
      <c r="D64" s="25" t="inlineStr">
        <is>
          <t>IA-ST-CFG-0076</t>
        </is>
      </c>
      <c r="E64" s="25" t="inlineStr">
        <is>
          <t>L6 | L6 EAS AGM S&amp;S 105AH 940A pencereli dış koli (4001399): 42 adet</t>
        </is>
      </c>
      <c r="F64" s="25" t="n">
        <v>46.286</v>
      </c>
      <c r="G64" s="25" t="n">
        <v>7</v>
      </c>
      <c r="H64" s="25" t="inlineStr">
        <is>
          <t>Rev.00</t>
        </is>
      </c>
      <c r="I64" s="31">
        <f>HYPERLINK("01_STARTER/ST-042-STD-02/04_Shipment_Statement.docx","Open")</f>
        <v/>
      </c>
    </row>
    <row r="65">
      <c r="A65" s="25" t="inlineStr">
        <is>
          <t>IA-PPWR-STM-ST-042-STD-03-R00</t>
        </is>
      </c>
      <c r="B65" s="25" t="inlineStr">
        <is>
          <t>ST-042-STD-03</t>
        </is>
      </c>
      <c r="C65" s="25" t="inlineStr">
        <is>
          <t>IA-ST-042-STD-03</t>
        </is>
      </c>
      <c r="D65" s="25" t="inlineStr">
        <is>
          <t>IA-ST-CFG-0078</t>
        </is>
      </c>
      <c r="E65" s="25" t="inlineStr">
        <is>
          <t>L3 | Palet (4000037): 1 adet | Separatör (4000130): 3 adet</t>
        </is>
      </c>
      <c r="F65" s="25" t="n">
        <v>29.323</v>
      </c>
      <c r="G65" s="25" t="n">
        <v>7</v>
      </c>
      <c r="H65" s="25" t="inlineStr">
        <is>
          <t>Rev.00</t>
        </is>
      </c>
      <c r="I65" s="31">
        <f>HYPERLINK("01_STARTER/ST-042-STD-03/04_Shipment_Statement.docx","Open")</f>
        <v/>
      </c>
    </row>
    <row r="66">
      <c r="A66" s="25" t="inlineStr">
        <is>
          <t>IA-PPWR-STM-ST-042-STD-04-R00</t>
        </is>
      </c>
      <c r="B66" s="25" t="inlineStr">
        <is>
          <t>ST-042-STD-04</t>
        </is>
      </c>
      <c r="C66" s="25" t="inlineStr">
        <is>
          <t>IA-ST-042-STD-04</t>
        </is>
      </c>
      <c r="D66" s="25" t="inlineStr">
        <is>
          <t>IA-ST-CFG-0079</t>
        </is>
      </c>
      <c r="E66" s="25" t="inlineStr">
        <is>
          <t>L3 | Palet (4000037): 1 adet | Separatör (4000130): 4 adet</t>
        </is>
      </c>
      <c r="F66" s="25" t="n">
        <v>29.3062</v>
      </c>
      <c r="G66" s="25" t="n">
        <v>7</v>
      </c>
      <c r="H66" s="25" t="inlineStr">
        <is>
          <t>Rev.00</t>
        </is>
      </c>
      <c r="I66" s="31">
        <f>HYPERLINK("01_STARTER/ST-042-STD-04/04_Shipment_Statement.docx","Open")</f>
        <v/>
      </c>
    </row>
    <row r="67">
      <c r="A67" s="25" t="inlineStr">
        <is>
          <t>IA-PPWR-STM-ST-042-STD-05-R00</t>
        </is>
      </c>
      <c r="B67" s="25" t="inlineStr">
        <is>
          <t>ST-042-STD-05</t>
        </is>
      </c>
      <c r="C67" s="25" t="inlineStr">
        <is>
          <t>IA-ST-042-STD-05</t>
        </is>
      </c>
      <c r="D67" s="25" t="inlineStr">
        <is>
          <t>IA-ST-CFG-0080</t>
        </is>
      </c>
      <c r="E67" s="25" t="inlineStr">
        <is>
          <t>L6 | Palet (4000037): 1 adet | Çember (4000450): 7 m</t>
        </is>
      </c>
      <c r="F67" s="25" t="n">
        <v>29.5992</v>
      </c>
      <c r="G67" s="25" t="n">
        <v>7</v>
      </c>
      <c r="H67" s="25" t="inlineStr">
        <is>
          <t>Rev.00</t>
        </is>
      </c>
      <c r="I67" s="31">
        <f>HYPERLINK("01_STARTER/ST-042-STD-05/04_Shipment_Statement.docx","Open")</f>
        <v/>
      </c>
    </row>
    <row r="68">
      <c r="A68" s="25" t="inlineStr">
        <is>
          <t>IA-PPWR-STM-ST-042-STD-06-R00</t>
        </is>
      </c>
      <c r="B68" s="25" t="inlineStr">
        <is>
          <t>ST-042-STD-06</t>
        </is>
      </c>
      <c r="C68" s="25" t="inlineStr">
        <is>
          <t>IA-ST-042-STD-06</t>
        </is>
      </c>
      <c r="D68" s="25" t="inlineStr">
        <is>
          <t>IA-ST-CFG-0081</t>
        </is>
      </c>
      <c r="E68" s="25" t="inlineStr">
        <is>
          <t>L6 | Palet (4000037): 1 adet | Çember (4000450): kullanılmaz</t>
        </is>
      </c>
      <c r="F68" s="25" t="n">
        <v>29.3124</v>
      </c>
      <c r="G68" s="25" t="n">
        <v>5</v>
      </c>
      <c r="H68" s="25" t="inlineStr">
        <is>
          <t>Rev.00</t>
        </is>
      </c>
      <c r="I68" s="31">
        <f>HYPERLINK("01_STARTER/ST-042-STD-06/04_Shipment_Statement.docx","Open")</f>
        <v/>
      </c>
    </row>
    <row r="69">
      <c r="A69" s="25" t="inlineStr">
        <is>
          <t>IA-PPWR-STM-ST-042-STD-07-R00</t>
        </is>
      </c>
      <c r="B69" s="25" t="inlineStr">
        <is>
          <t>ST-042-STD-07</t>
        </is>
      </c>
      <c r="C69" s="25" t="inlineStr">
        <is>
          <t>IA-ST-042-STD-07</t>
        </is>
      </c>
      <c r="D69" s="25" t="inlineStr">
        <is>
          <t>IA-ST-CFG-0082</t>
        </is>
      </c>
      <c r="E69" s="25" t="inlineStr">
        <is>
          <t>L6 | Palet (4000037): 1 adet | Köşebent (4000590): 2 adet | Shrink film (4001177): 0.597 kg</t>
        </is>
      </c>
      <c r="F69" s="25" t="n">
        <v>28.417</v>
      </c>
      <c r="G69" s="25" t="n">
        <v>6</v>
      </c>
      <c r="H69" s="25" t="inlineStr">
        <is>
          <t>Rev.00</t>
        </is>
      </c>
      <c r="I69" s="31">
        <f>HYPERLINK("01_STARTER/ST-042-STD-07/04_Shipment_Statement.docx","Open")</f>
        <v/>
      </c>
    </row>
    <row r="70">
      <c r="A70" s="25" t="inlineStr">
        <is>
          <t>IA-PPWR-STM-ST-042-STD-08-R00</t>
        </is>
      </c>
      <c r="B70" s="25" t="inlineStr">
        <is>
          <t>ST-042-STD-08</t>
        </is>
      </c>
      <c r="C70" s="25" t="inlineStr">
        <is>
          <t>IA-ST-042-STD-08</t>
        </is>
      </c>
      <c r="D70" s="25" t="inlineStr">
        <is>
          <t>IA-ST-CFG-0083</t>
        </is>
      </c>
      <c r="E70" s="25" t="inlineStr">
        <is>
          <t>L6 | Palet (4000037): 1 adet | Köşebent (4000590): 4 adet</t>
        </is>
      </c>
      <c r="F70" s="25" t="n">
        <v>28.617</v>
      </c>
      <c r="G70" s="25" t="n">
        <v>6</v>
      </c>
      <c r="H70" s="25" t="inlineStr">
        <is>
          <t>Rev.00</t>
        </is>
      </c>
      <c r="I70" s="31">
        <f>HYPERLINK("01_STARTER/ST-042-STD-08/04_Shipment_Statement.docx","Open")</f>
        <v/>
      </c>
    </row>
    <row r="71">
      <c r="A71" s="25" t="inlineStr">
        <is>
          <t>IA-PPWR-STM-ST-044-STD-01-R00</t>
        </is>
      </c>
      <c r="B71" s="25" t="inlineStr">
        <is>
          <t>ST-044-STD-01</t>
        </is>
      </c>
      <c r="C71" s="25" t="inlineStr">
        <is>
          <t>IA-ST-044-STD-01</t>
        </is>
      </c>
      <c r="D71" s="25" t="inlineStr">
        <is>
          <t>IA-ST-CFG-0088</t>
        </is>
      </c>
      <c r="E71" s="25" t="inlineStr">
        <is>
          <t>L2 | L2 YUASA penceresiz Orta Doğu dış koli (4001102): 44 adet</t>
        </is>
      </c>
      <c r="F71" s="25" t="n">
        <v>39.356</v>
      </c>
      <c r="G71" s="25" t="n">
        <v>7</v>
      </c>
      <c r="H71" s="25" t="inlineStr">
        <is>
          <t>Rev.00</t>
        </is>
      </c>
      <c r="I71" s="31">
        <f>HYPERLINK("01_STARTER/ST-044-STD-01/04_Shipment_Statement.docx","Open")</f>
        <v/>
      </c>
    </row>
    <row r="72">
      <c r="A72" s="25" t="inlineStr">
        <is>
          <t>IA-PPWR-STM-ST-045-EUR-01-R00</t>
        </is>
      </c>
      <c r="B72" s="25" t="inlineStr">
        <is>
          <t>ST-045-EUR-01</t>
        </is>
      </c>
      <c r="C72" s="25" t="inlineStr">
        <is>
          <t>IA-ST-045-EUR-01</t>
        </is>
      </c>
      <c r="D72" s="25" t="inlineStr">
        <is>
          <t>IA-ST-CFG-0103</t>
        </is>
      </c>
      <c r="E72" s="25" t="inlineStr">
        <is>
          <t>L3 | Palet (4000038): 1 adet | Köşebent (4000590): 4 adet</t>
        </is>
      </c>
      <c r="F72" s="25" t="n">
        <v>27.926</v>
      </c>
      <c r="G72" s="25" t="n">
        <v>6</v>
      </c>
      <c r="H72" s="25" t="inlineStr">
        <is>
          <t>Rev.00</t>
        </is>
      </c>
      <c r="I72" s="31">
        <f>HYPERLINK("01_STARTER/ST-045-EUR-01/04_Shipment_Statement.docx","Open")</f>
        <v/>
      </c>
    </row>
    <row r="73">
      <c r="A73" s="25" t="inlineStr">
        <is>
          <t>IA-PPWR-STM-ST-045-STD-01-R00</t>
        </is>
      </c>
      <c r="B73" s="25" t="inlineStr">
        <is>
          <t>ST-045-STD-01</t>
        </is>
      </c>
      <c r="C73" s="25" t="inlineStr">
        <is>
          <t>IA-ST-045-STD-01</t>
        </is>
      </c>
      <c r="D73" s="25" t="inlineStr">
        <is>
          <t>IA-ST-CFG-0089</t>
        </is>
      </c>
      <c r="E73" s="25" t="inlineStr">
        <is>
          <t>L5 | L5 YUASA penceresiz Orta Doğu dış koli (4001105): 45 adet</t>
        </is>
      </c>
      <c r="F73" s="25" t="n">
        <v>43.916</v>
      </c>
      <c r="G73" s="25" t="n">
        <v>7</v>
      </c>
      <c r="H73" s="25" t="inlineStr">
        <is>
          <t>Rev.00</t>
        </is>
      </c>
      <c r="I73" s="31">
        <f>HYPERLINK("01_STARTER/ST-045-STD-01/04_Shipment_Statement.docx","Open")</f>
        <v/>
      </c>
    </row>
    <row r="74">
      <c r="A74" s="25" t="inlineStr">
        <is>
          <t>IA-PPWR-STM-ST-045-STD-02-R00</t>
        </is>
      </c>
      <c r="B74" s="25" t="inlineStr">
        <is>
          <t>ST-045-STD-02</t>
        </is>
      </c>
      <c r="C74" s="25" t="inlineStr">
        <is>
          <t>IA-ST-045-STD-02</t>
        </is>
      </c>
      <c r="D74" s="25" t="inlineStr">
        <is>
          <t>IA-ST-CFG-0090</t>
        </is>
      </c>
      <c r="E74" s="25" t="inlineStr">
        <is>
          <t>L5 | L5 İnci AGM LEO 95AH 870A pencereli dış koli (4001194): 45 adet</t>
        </is>
      </c>
      <c r="F74" s="25" t="n">
        <v>44.336</v>
      </c>
      <c r="G74" s="25" t="n">
        <v>7</v>
      </c>
      <c r="H74" s="25" t="inlineStr">
        <is>
          <t>Rev.00</t>
        </is>
      </c>
      <c r="I74" s="31">
        <f>HYPERLINK("01_STARTER/ST-045-STD-02/04_Shipment_Statement.docx","Open")</f>
        <v/>
      </c>
    </row>
    <row r="75">
      <c r="A75" s="25" t="inlineStr">
        <is>
          <t>IA-PPWR-STM-ST-045-STD-03-R00</t>
        </is>
      </c>
      <c r="B75" s="25" t="inlineStr">
        <is>
          <t>ST-045-STD-03</t>
        </is>
      </c>
      <c r="C75" s="25" t="inlineStr">
        <is>
          <t>IA-ST-045-STD-03</t>
        </is>
      </c>
      <c r="D75" s="25" t="inlineStr">
        <is>
          <t>IA-ST-CFG-0091</t>
        </is>
      </c>
      <c r="E75" s="25" t="inlineStr">
        <is>
          <t>L5 | L5 EAS AGM S&amp;S 95AH 870A pencereli dış koli (4001398): 45 adet</t>
        </is>
      </c>
      <c r="F75" s="25" t="n">
        <v>44.336</v>
      </c>
      <c r="G75" s="25" t="n">
        <v>7</v>
      </c>
      <c r="H75" s="25" t="inlineStr">
        <is>
          <t>Rev.00</t>
        </is>
      </c>
      <c r="I75" s="31">
        <f>HYPERLINK("01_STARTER/ST-045-STD-03/04_Shipment_Statement.docx","Open")</f>
        <v/>
      </c>
    </row>
    <row r="76">
      <c r="A76" s="25" t="inlineStr">
        <is>
          <t>IA-PPWR-STM-ST-045-STD-04-R00</t>
        </is>
      </c>
      <c r="B76" s="25" t="inlineStr">
        <is>
          <t>ST-045-STD-04</t>
        </is>
      </c>
      <c r="C76" s="25" t="inlineStr">
        <is>
          <t>IA-ST-045-STD-04</t>
        </is>
      </c>
      <c r="D76" s="25" t="inlineStr">
        <is>
          <t>IA-ST-CFG-0092</t>
        </is>
      </c>
      <c r="E76" s="25" t="inlineStr">
        <is>
          <t>L5 | Palet (4000037): 1 adet | Separatör (4000130): 4 adet | Streç ped (4000301): 0.186 kg | Köşebent (4000590): 4 adet</t>
        </is>
      </c>
      <c r="F76" s="25" t="n">
        <v>28.206</v>
      </c>
      <c r="G76" s="25" t="n">
        <v>6</v>
      </c>
      <c r="H76" s="25" t="inlineStr">
        <is>
          <t>Rev.00</t>
        </is>
      </c>
      <c r="I76" s="31">
        <f>HYPERLINK("01_STARTER/ST-045-STD-04/04_Shipment_Statement.docx","Open")</f>
        <v/>
      </c>
    </row>
    <row r="77">
      <c r="A77" s="25" t="inlineStr">
        <is>
          <t>IA-PPWR-STM-ST-045-STD-05-R00</t>
        </is>
      </c>
      <c r="B77" s="25" t="inlineStr">
        <is>
          <t>ST-045-STD-05</t>
        </is>
      </c>
      <c r="C77" s="25" t="inlineStr">
        <is>
          <t>IA-ST-045-STD-05</t>
        </is>
      </c>
      <c r="D77" s="25" t="inlineStr">
        <is>
          <t>IA-ST-CFG-0093</t>
        </is>
      </c>
      <c r="E77" s="25" t="inlineStr">
        <is>
          <t>TRACTORL, TRACTOR | TRAKTÖR PVC üst kapak (4000494): 45 adet | Köşebent (4000590): 2 adet</t>
        </is>
      </c>
      <c r="F77" s="25" t="n">
        <v>33.3498</v>
      </c>
      <c r="G77" s="25" t="n">
        <v>8</v>
      </c>
      <c r="H77" s="25" t="inlineStr">
        <is>
          <t>Rev.00</t>
        </is>
      </c>
      <c r="I77" s="31">
        <f>HYPERLINK("01_STARTER/ST-045-STD-05/04_Shipment_Statement.docx","Open")</f>
        <v/>
      </c>
    </row>
    <row r="78">
      <c r="A78" s="25" t="inlineStr">
        <is>
          <t>IA-PPWR-STM-ST-045-STD-06-R00</t>
        </is>
      </c>
      <c r="B78" s="25" t="inlineStr">
        <is>
          <t>ST-045-STD-06</t>
        </is>
      </c>
      <c r="C78" s="25" t="inlineStr">
        <is>
          <t>IA-ST-045-STD-06</t>
        </is>
      </c>
      <c r="D78" s="25" t="inlineStr">
        <is>
          <t>IA-ST-CFG-0094</t>
        </is>
      </c>
      <c r="E78" s="25" t="inlineStr">
        <is>
          <t>L5 | Palet (4000037): 1 adet | Çember (4000450): 7 m | Shrink film (4000608): kullanılmaz</t>
        </is>
      </c>
      <c r="F78" s="25" t="n">
        <v>27.9192</v>
      </c>
      <c r="G78" s="25" t="n">
        <v>6</v>
      </c>
      <c r="H78" s="25" t="inlineStr">
        <is>
          <t>Rev.00</t>
        </is>
      </c>
      <c r="I78" s="31">
        <f>HYPERLINK("01_STARTER/ST-045-STD-06/04_Shipment_Statement.docx","Open")</f>
        <v/>
      </c>
    </row>
    <row r="79">
      <c r="A79" s="25" t="inlineStr">
        <is>
          <t>IA-PPWR-STM-ST-045-STD-07-R00</t>
        </is>
      </c>
      <c r="B79" s="25" t="inlineStr">
        <is>
          <t>ST-045-STD-07</t>
        </is>
      </c>
      <c r="C79" s="25" t="inlineStr">
        <is>
          <t>IA-ST-045-STD-07</t>
        </is>
      </c>
      <c r="D79" s="25" t="inlineStr">
        <is>
          <t>IA-ST-CFG-0095</t>
        </is>
      </c>
      <c r="E79" s="25" t="inlineStr">
        <is>
          <t>LB5 | Palet (4000037): 1 adet | Shrink film (4000608): 1.53 kg</t>
        </is>
      </c>
      <c r="F79" s="25" t="n">
        <v>29.4492</v>
      </c>
      <c r="G79" s="25" t="n">
        <v>7</v>
      </c>
      <c r="H79" s="25" t="inlineStr">
        <is>
          <t>Rev.00</t>
        </is>
      </c>
      <c r="I79" s="31">
        <f>HYPERLINK("01_STARTER/ST-045-STD-07/04_Shipment_Statement.docx","Open")</f>
        <v/>
      </c>
    </row>
    <row r="80">
      <c r="A80" s="25" t="inlineStr">
        <is>
          <t>IA-PPWR-STM-ST-045-STD-08-R00</t>
        </is>
      </c>
      <c r="B80" s="25" t="inlineStr">
        <is>
          <t>ST-045-STD-08</t>
        </is>
      </c>
      <c r="C80" s="25" t="inlineStr">
        <is>
          <t>IA-ST-045-STD-08</t>
        </is>
      </c>
      <c r="D80" s="25" t="inlineStr">
        <is>
          <t>IA-ST-CFG-0096</t>
        </is>
      </c>
      <c r="E80" s="25" t="inlineStr">
        <is>
          <t>L5 | Palet (4000037): 1 adet | Köşebent (4000590): 2 adet | Shrink film (4000608): 1.8 kg</t>
        </is>
      </c>
      <c r="F80" s="25" t="n">
        <v>29.7192</v>
      </c>
      <c r="G80" s="25" t="n">
        <v>7</v>
      </c>
      <c r="H80" s="25" t="inlineStr">
        <is>
          <t>Rev.00</t>
        </is>
      </c>
      <c r="I80" s="31">
        <f>HYPERLINK("01_STARTER/ST-045-STD-08/04_Shipment_Statement.docx","Open")</f>
        <v/>
      </c>
    </row>
    <row r="81">
      <c r="A81" s="25" t="inlineStr">
        <is>
          <t>IA-PPWR-STM-ST-045-STD-09-R00</t>
        </is>
      </c>
      <c r="B81" s="25" t="inlineStr">
        <is>
          <t>ST-045-STD-09</t>
        </is>
      </c>
      <c r="C81" s="25" t="inlineStr">
        <is>
          <t>IA-ST-045-STD-09</t>
        </is>
      </c>
      <c r="D81" s="25" t="inlineStr">
        <is>
          <t>IA-ST-CFG-0097</t>
        </is>
      </c>
      <c r="E81" s="25" t="inlineStr">
        <is>
          <t>TRACTORL, TRACTOR | TRAKTÖR PVC üst kapak (4000494): 45 adet | Köşebent (4000590): kullanılmaz</t>
        </is>
      </c>
      <c r="F81" s="25" t="n">
        <v>33.063</v>
      </c>
      <c r="G81" s="25" t="n">
        <v>6</v>
      </c>
      <c r="H81" s="25" t="inlineStr">
        <is>
          <t>Rev.00</t>
        </is>
      </c>
      <c r="I81" s="31">
        <f>HYPERLINK("01_STARTER/ST-045-STD-09/04_Shipment_Statement.docx","Open")</f>
        <v/>
      </c>
    </row>
    <row r="82">
      <c r="A82" s="25" t="inlineStr">
        <is>
          <t>IA-PPWR-STM-ST-045-STD-10-R00</t>
        </is>
      </c>
      <c r="B82" s="25" t="inlineStr">
        <is>
          <t>ST-045-STD-10</t>
        </is>
      </c>
      <c r="C82" s="25" t="inlineStr">
        <is>
          <t>IA-ST-045-STD-10</t>
        </is>
      </c>
      <c r="D82" s="25" t="inlineStr">
        <is>
          <t>IA-ST-CFG-0098</t>
        </is>
      </c>
      <c r="E82" s="25" t="inlineStr">
        <is>
          <t>L5 | Palet (4000037): 1 adet | Çember (4000450): kullanılmaz</t>
        </is>
      </c>
      <c r="F82" s="25" t="n">
        <v>29.4324</v>
      </c>
      <c r="G82" s="25" t="n">
        <v>5</v>
      </c>
      <c r="H82" s="25" t="inlineStr">
        <is>
          <t>Rev.00</t>
        </is>
      </c>
      <c r="I82" s="31">
        <f>HYPERLINK("01_STARTER/ST-045-STD-10/04_Shipment_Statement.docx","Open")</f>
        <v/>
      </c>
    </row>
    <row r="83">
      <c r="A83" s="25" t="inlineStr">
        <is>
          <t>IA-PPWR-STM-ST-045-STD-11-R00</t>
        </is>
      </c>
      <c r="B83" s="25" t="inlineStr">
        <is>
          <t>ST-045-STD-11</t>
        </is>
      </c>
      <c r="C83" s="25" t="inlineStr">
        <is>
          <t>IA-ST-045-STD-11</t>
        </is>
      </c>
      <c r="D83" s="25" t="inlineStr">
        <is>
          <t>IA-ST-CFG-0099</t>
        </is>
      </c>
      <c r="E83" s="25" t="inlineStr">
        <is>
          <t>TRACTOR | Palet (4000037): 1 adet | Shrink film (4001177): 0.597 kg</t>
        </is>
      </c>
      <c r="F83" s="25" t="n">
        <v>28.649</v>
      </c>
      <c r="G83" s="25" t="n">
        <v>7</v>
      </c>
      <c r="H83" s="25" t="inlineStr">
        <is>
          <t>Rev.00</t>
        </is>
      </c>
      <c r="I83" s="31">
        <f>HYPERLINK("01_STARTER/ST-045-STD-11/04_Shipment_Statement.docx","Open")</f>
        <v/>
      </c>
    </row>
    <row r="84">
      <c r="A84" s="25" t="inlineStr">
        <is>
          <t>IA-PPWR-STM-ST-045-STD-12-R00</t>
        </is>
      </c>
      <c r="B84" s="25" t="inlineStr">
        <is>
          <t>ST-045-STD-12</t>
        </is>
      </c>
      <c r="C84" s="25" t="inlineStr">
        <is>
          <t>IA-ST-045-STD-12</t>
        </is>
      </c>
      <c r="D84" s="25" t="inlineStr">
        <is>
          <t>IA-ST-CFG-0100</t>
        </is>
      </c>
      <c r="E84" s="25" t="inlineStr">
        <is>
          <t>L5 | Palet (4000037): 1 adet | Köşebent (4000590): 2 adet | Shrink film (4001177): 0.597 kg</t>
        </is>
      </c>
      <c r="F84" s="25" t="n">
        <v>28.417</v>
      </c>
      <c r="G84" s="25" t="n">
        <v>6</v>
      </c>
      <c r="H84" s="25" t="inlineStr">
        <is>
          <t>Rev.00</t>
        </is>
      </c>
      <c r="I84" s="31">
        <f>HYPERLINK("01_STARTER/ST-045-STD-12/04_Shipment_Statement.docx","Open")</f>
        <v/>
      </c>
    </row>
    <row r="85">
      <c r="A85" s="25" t="inlineStr">
        <is>
          <t>IA-PPWR-STM-ST-045-STD-13-R00</t>
        </is>
      </c>
      <c r="B85" s="25" t="inlineStr">
        <is>
          <t>ST-045-STD-13</t>
        </is>
      </c>
      <c r="C85" s="25" t="inlineStr">
        <is>
          <t>IA-ST-045-STD-13</t>
        </is>
      </c>
      <c r="D85" s="25" t="inlineStr">
        <is>
          <t>IA-ST-CFG-0101</t>
        </is>
      </c>
      <c r="E85" s="25" t="inlineStr">
        <is>
          <t>L5 | Palet (4000037): 1 adet | Köşebent (4000590): 4 adet | Shrink film (4001177): 0.597 kg</t>
        </is>
      </c>
      <c r="F85" s="25" t="n">
        <v>28.617</v>
      </c>
      <c r="G85" s="25" t="n">
        <v>6</v>
      </c>
      <c r="H85" s="25" t="inlineStr">
        <is>
          <t>Rev.00</t>
        </is>
      </c>
      <c r="I85" s="31">
        <f>HYPERLINK("01_STARTER/ST-045-STD-13/04_Shipment_Statement.docx","Open")</f>
        <v/>
      </c>
    </row>
    <row r="86">
      <c r="A86" s="25" t="inlineStr">
        <is>
          <t>IA-PPWR-STM-ST-045-STD-14-R00</t>
        </is>
      </c>
      <c r="B86" s="25" t="inlineStr">
        <is>
          <t>ST-045-STD-14</t>
        </is>
      </c>
      <c r="C86" s="25" t="inlineStr">
        <is>
          <t>IA-ST-045-STD-14</t>
        </is>
      </c>
      <c r="D86" s="25" t="inlineStr">
        <is>
          <t>IA-ST-CFG-0102</t>
        </is>
      </c>
      <c r="E86" s="25" t="inlineStr">
        <is>
          <t>L5 | Palet (4000037): 1 adet | Separatör (4000130): 5 adet</t>
        </is>
      </c>
      <c r="F86" s="25" t="n">
        <v>28.476</v>
      </c>
      <c r="G86" s="25" t="n">
        <v>6</v>
      </c>
      <c r="H86" s="25" t="inlineStr">
        <is>
          <t>Rev.00</t>
        </is>
      </c>
      <c r="I86" s="31">
        <f>HYPERLINK("01_STARTER/ST-045-STD-14/04_Shipment_Statement.docx","Open")</f>
        <v/>
      </c>
    </row>
    <row r="87">
      <c r="A87" s="25" t="inlineStr">
        <is>
          <t>IA-PPWR-STM-ST-048-EUR-01-R00</t>
        </is>
      </c>
      <c r="B87" s="25" t="inlineStr">
        <is>
          <t>ST-048-EUR-01</t>
        </is>
      </c>
      <c r="C87" s="25" t="inlineStr">
        <is>
          <t>IA-ST-048-EUR-01</t>
        </is>
      </c>
      <c r="D87" s="25" t="inlineStr">
        <is>
          <t>IA-ST-CFG-0105</t>
        </is>
      </c>
      <c r="E87" s="25" t="inlineStr">
        <is>
          <t>L5 | L5 İnci AGM LEO 95AH 870A pencereli dış koli (4001194): 48 adet</t>
        </is>
      </c>
      <c r="F87" s="25" t="n">
        <v>44.6524</v>
      </c>
      <c r="G87" s="25" t="n">
        <v>6</v>
      </c>
      <c r="H87" s="25" t="inlineStr">
        <is>
          <t>Rev.00</t>
        </is>
      </c>
      <c r="I87" s="31">
        <f>HYPERLINK("01_STARTER/ST-048-EUR-01/04_Shipment_Statement.docx","Open")</f>
        <v/>
      </c>
    </row>
    <row r="88">
      <c r="A88" s="25" t="inlineStr">
        <is>
          <t>IA-PPWR-STM-ST-048-EUR-02-R00</t>
        </is>
      </c>
      <c r="B88" s="25" t="inlineStr">
        <is>
          <t>ST-048-EUR-02</t>
        </is>
      </c>
      <c r="C88" s="25" t="inlineStr">
        <is>
          <t>IA-ST-048-EUR-02</t>
        </is>
      </c>
      <c r="D88" s="25" t="inlineStr">
        <is>
          <t>IA-ST-CFG-0107</t>
        </is>
      </c>
      <c r="E88" s="25" t="inlineStr">
        <is>
          <t>D26 | D26 PVC üst kapak (4000440): 48 adet</t>
        </is>
      </c>
      <c r="F88" s="25" t="n">
        <v>32.3872</v>
      </c>
      <c r="G88" s="25" t="n">
        <v>8</v>
      </c>
      <c r="H88" s="25" t="inlineStr">
        <is>
          <t>Rev.00</t>
        </is>
      </c>
      <c r="I88" s="31">
        <f>HYPERLINK("01_STARTER/ST-048-EUR-02/04_Shipment_Statement.docx","Open")</f>
        <v/>
      </c>
    </row>
    <row r="89">
      <c r="A89" s="25" t="inlineStr">
        <is>
          <t>IA-PPWR-STM-ST-048-EUR-03-R00</t>
        </is>
      </c>
      <c r="B89" s="25" t="inlineStr">
        <is>
          <t>ST-048-EUR-03</t>
        </is>
      </c>
      <c r="C89" s="25" t="inlineStr">
        <is>
          <t>IA-ST-048-EUR-03</t>
        </is>
      </c>
      <c r="D89" s="25" t="inlineStr">
        <is>
          <t>IA-ST-CFG-0109</t>
        </is>
      </c>
      <c r="E89" s="25" t="inlineStr">
        <is>
          <t>D31 | Palet (4000038): 1 adet | EPS (4000573): 24 adet</t>
        </is>
      </c>
      <c r="F89" s="25" t="n">
        <v>29.174</v>
      </c>
      <c r="G89" s="25" t="n">
        <v>7</v>
      </c>
      <c r="H89" s="25" t="inlineStr">
        <is>
          <t>Rev.00</t>
        </is>
      </c>
      <c r="I89" s="31">
        <f>HYPERLINK("01_STARTER/ST-048-EUR-03/04_Shipment_Statement.docx","Open")</f>
        <v/>
      </c>
    </row>
    <row r="90">
      <c r="A90" s="25" t="inlineStr">
        <is>
          <t>IA-PPWR-STM-ST-048-EUR-04-R00</t>
        </is>
      </c>
      <c r="B90" s="25" t="inlineStr">
        <is>
          <t>ST-048-EUR-04</t>
        </is>
      </c>
      <c r="C90" s="25" t="inlineStr">
        <is>
          <t>IA-ST-048-EUR-04</t>
        </is>
      </c>
      <c r="D90" s="25" t="inlineStr">
        <is>
          <t>IA-ST-CFG-0110</t>
        </is>
      </c>
      <c r="E90" s="25" t="inlineStr">
        <is>
          <t>L5 | Palet (4000038): 1 adet | Shrink film (4000608): 1.92 kg</t>
        </is>
      </c>
      <c r="F90" s="25" t="n">
        <v>30.046</v>
      </c>
      <c r="G90" s="25" t="n">
        <v>7</v>
      </c>
      <c r="H90" s="25" t="inlineStr">
        <is>
          <t>Rev.00</t>
        </is>
      </c>
      <c r="I90" s="31">
        <f>HYPERLINK("01_STARTER/ST-048-EUR-04/04_Shipment_Statement.docx","Open")</f>
        <v/>
      </c>
    </row>
    <row r="91">
      <c r="A91" s="25" t="inlineStr">
        <is>
          <t>IA-PPWR-STM-ST-048-EUR-05-R00</t>
        </is>
      </c>
      <c r="B91" s="25" t="inlineStr">
        <is>
          <t>ST-048-EUR-05</t>
        </is>
      </c>
      <c r="C91" s="25" t="inlineStr">
        <is>
          <t>IA-ST-048-EUR-05</t>
        </is>
      </c>
      <c r="D91" s="25" t="inlineStr">
        <is>
          <t>IA-ST-CFG-0111</t>
        </is>
      </c>
      <c r="E91" s="25" t="inlineStr">
        <is>
          <t>D31 | Palet (4000038): 1 adet | Honeycomb (4001186): 3 adet</t>
        </is>
      </c>
      <c r="F91" s="25" t="n">
        <v>30.326</v>
      </c>
      <c r="G91" s="25" t="n">
        <v>7</v>
      </c>
      <c r="H91" s="25" t="inlineStr">
        <is>
          <t>Rev.00</t>
        </is>
      </c>
      <c r="I91" s="31">
        <f>HYPERLINK("01_STARTER/ST-048-EUR-05/04_Shipment_Statement.docx","Open")</f>
        <v/>
      </c>
    </row>
    <row r="92">
      <c r="A92" s="25" t="inlineStr">
        <is>
          <t>IA-PPWR-STM-ST-048-EUR-06-R00</t>
        </is>
      </c>
      <c r="B92" s="25" t="inlineStr">
        <is>
          <t>ST-048-EUR-06</t>
        </is>
      </c>
      <c r="C92" s="25" t="inlineStr">
        <is>
          <t>IA-ST-048-EUR-06</t>
        </is>
      </c>
      <c r="D92" s="25" t="inlineStr">
        <is>
          <t>IA-ST-CFG-0112</t>
        </is>
      </c>
      <c r="E92" s="25" t="inlineStr">
        <is>
          <t>D31 | Palet (4000038): 1 adet | Köşebent (4000590): 4 adet | EPS (4001247): 3 adet</t>
        </is>
      </c>
      <c r="F92" s="25" t="n">
        <v>27.506</v>
      </c>
      <c r="G92" s="25" t="n">
        <v>7</v>
      </c>
      <c r="H92" s="25" t="inlineStr">
        <is>
          <t>Rev.00</t>
        </is>
      </c>
      <c r="I92" s="31">
        <f>HYPERLINK("01_STARTER/ST-048-EUR-06/04_Shipment_Statement.docx","Open")</f>
        <v/>
      </c>
    </row>
    <row r="93">
      <c r="A93" s="25" t="inlineStr">
        <is>
          <t>IA-PPWR-STM-ST-048-EUR-07-R00</t>
        </is>
      </c>
      <c r="B93" s="25" t="inlineStr">
        <is>
          <t>ST-048-EUR-07</t>
        </is>
      </c>
      <c r="C93" s="25" t="inlineStr">
        <is>
          <t>IA-ST-048-EUR-07</t>
        </is>
      </c>
      <c r="D93" s="25" t="inlineStr">
        <is>
          <t>IA-ST-CFG-0113</t>
        </is>
      </c>
      <c r="E93" s="25" t="inlineStr">
        <is>
          <t>L3 | Palet (4000038): 1 adet | Köşebent (4000590): 4 adet</t>
        </is>
      </c>
      <c r="F93" s="25" t="n">
        <v>27.926</v>
      </c>
      <c r="G93" s="25" t="n">
        <v>6</v>
      </c>
      <c r="H93" s="25" t="inlineStr">
        <is>
          <t>Rev.00</t>
        </is>
      </c>
      <c r="I93" s="31">
        <f>HYPERLINK("01_STARTER/ST-048-EUR-07/04_Shipment_Statement.docx","Open")</f>
        <v/>
      </c>
    </row>
    <row r="94">
      <c r="A94" s="25" t="inlineStr">
        <is>
          <t>IA-PPWR-STM-ST-048-EUR-08-R00</t>
        </is>
      </c>
      <c r="B94" s="25" t="inlineStr">
        <is>
          <t>ST-048-EUR-08</t>
        </is>
      </c>
      <c r="C94" s="25" t="inlineStr">
        <is>
          <t>IA-ST-048-EUR-08</t>
        </is>
      </c>
      <c r="D94" s="25" t="inlineStr">
        <is>
          <t>IA-ST-CFG-0114</t>
        </is>
      </c>
      <c r="E94" s="25" t="inlineStr">
        <is>
          <t>L5 | Palet (4000038): 1 adet | Köşebent (4000590): 4 adet | Shrink film (4000608): kullanılmaz</t>
        </is>
      </c>
      <c r="F94" s="25" t="n">
        <v>28.126</v>
      </c>
      <c r="G94" s="25" t="n">
        <v>6</v>
      </c>
      <c r="H94" s="25" t="inlineStr">
        <is>
          <t>Rev.00</t>
        </is>
      </c>
      <c r="I94" s="31">
        <f>HYPERLINK("01_STARTER/ST-048-EUR-08/04_Shipment_Statement.docx","Open")</f>
        <v/>
      </c>
    </row>
    <row r="95">
      <c r="A95" s="25" t="inlineStr">
        <is>
          <t>IA-PPWR-STM-ST-048-EUR-09-R00</t>
        </is>
      </c>
      <c r="B95" s="25" t="inlineStr">
        <is>
          <t>ST-048-EUR-09</t>
        </is>
      </c>
      <c r="C95" s="25" t="inlineStr">
        <is>
          <t>IA-ST-048-EUR-09</t>
        </is>
      </c>
      <c r="D95" s="25" t="inlineStr">
        <is>
          <t>IA-ST-CFG-0115</t>
        </is>
      </c>
      <c r="E95" s="25" t="inlineStr">
        <is>
          <t>D31 | D31 PVC üst kapak (4001310): 48 adet</t>
        </is>
      </c>
      <c r="F95" s="25" t="n">
        <v>32.8524</v>
      </c>
      <c r="G95" s="25" t="n">
        <v>8</v>
      </c>
      <c r="H95" s="25" t="inlineStr">
        <is>
          <t>Rev.00</t>
        </is>
      </c>
      <c r="I95" s="31">
        <f>HYPERLINK("01_STARTER/ST-048-EUR-09/04_Shipment_Statement.docx","Open")</f>
        <v/>
      </c>
    </row>
    <row r="96">
      <c r="A96" s="25" t="inlineStr">
        <is>
          <t>IA-PPWR-STM-ST-048-EUR-10-R00</t>
        </is>
      </c>
      <c r="B96" s="25" t="inlineStr">
        <is>
          <t>ST-048-EUR-10</t>
        </is>
      </c>
      <c r="C96" s="25" t="inlineStr">
        <is>
          <t>IA-ST-048-EUR-10</t>
        </is>
      </c>
      <c r="D96" s="25" t="inlineStr">
        <is>
          <t>IA-ST-CFG-0116</t>
        </is>
      </c>
      <c r="E96" s="25" t="inlineStr">
        <is>
          <t>L5, LB5 | Palet (4000038): 1 adet | Shrink film (4000608): 1.92 kg</t>
        </is>
      </c>
      <c r="F96" s="25" t="n">
        <v>29.7592</v>
      </c>
      <c r="G96" s="25" t="n">
        <v>7</v>
      </c>
      <c r="H96" s="25" t="inlineStr">
        <is>
          <t>Rev.00</t>
        </is>
      </c>
      <c r="I96" s="31">
        <f>HYPERLINK("01_STARTER/ST-048-EUR-10/04_Shipment_Statement.docx","Open")</f>
        <v/>
      </c>
    </row>
    <row r="97">
      <c r="A97" s="25" t="inlineStr">
        <is>
          <t>IA-PPWR-STM-ST-048-EUR-11-R00</t>
        </is>
      </c>
      <c r="B97" s="25" t="inlineStr">
        <is>
          <t>ST-048-EUR-11</t>
        </is>
      </c>
      <c r="C97" s="25" t="inlineStr">
        <is>
          <t>IA-ST-048-EUR-11</t>
        </is>
      </c>
      <c r="D97" s="25" t="inlineStr">
        <is>
          <t>IA-ST-CFG-0117</t>
        </is>
      </c>
      <c r="E97" s="25" t="inlineStr">
        <is>
          <t>D31 | Palet (4000038): 1 adet | Köşebent (4000590): 2 adet | EPS (4001247): 3 adet</t>
        </is>
      </c>
      <c r="F97" s="25" t="n">
        <v>27.8192</v>
      </c>
      <c r="G97" s="25" t="n">
        <v>7</v>
      </c>
      <c r="H97" s="25" t="inlineStr">
        <is>
          <t>Rev.00</t>
        </is>
      </c>
      <c r="I97" s="31">
        <f>HYPERLINK("01_STARTER/ST-048-EUR-11/04_Shipment_Statement.docx","Open")</f>
        <v/>
      </c>
    </row>
    <row r="98">
      <c r="A98" s="25" t="inlineStr">
        <is>
          <t>IA-PPWR-STM-ST-048-EUR-12-R00</t>
        </is>
      </c>
      <c r="B98" s="25" t="inlineStr">
        <is>
          <t>ST-048-EUR-12</t>
        </is>
      </c>
      <c r="C98" s="25" t="inlineStr">
        <is>
          <t>IA-ST-048-EUR-12</t>
        </is>
      </c>
      <c r="D98" s="25" t="inlineStr">
        <is>
          <t>IA-ST-CFG-0118</t>
        </is>
      </c>
      <c r="E98" s="25" t="inlineStr">
        <is>
          <t>LB5, L5 | Palet (4000038): 1 adet | Köşebent (4000590): 2 adet</t>
        </is>
      </c>
      <c r="F98" s="25" t="n">
        <v>27.8392</v>
      </c>
      <c r="G98" s="25" t="n">
        <v>6</v>
      </c>
      <c r="H98" s="25" t="inlineStr">
        <is>
          <t>Rev.00</t>
        </is>
      </c>
      <c r="I98" s="31">
        <f>HYPERLINK("01_STARTER/ST-048-EUR-12/04_Shipment_Statement.docx","Open")</f>
        <v/>
      </c>
    </row>
    <row r="99">
      <c r="A99" s="25" t="inlineStr">
        <is>
          <t>IA-PPWR-STM-ST-048-STD-01-R00</t>
        </is>
      </c>
      <c r="B99" s="25" t="inlineStr">
        <is>
          <t>ST-048-STD-01</t>
        </is>
      </c>
      <c r="C99" s="25" t="inlineStr">
        <is>
          <t>IA-ST-048-STD-01</t>
        </is>
      </c>
      <c r="D99" s="25" t="inlineStr">
        <is>
          <t>IA-ST-CFG-0104</t>
        </is>
      </c>
      <c r="E99" s="25" t="inlineStr">
        <is>
          <t>L1 | L1 YUASA penceresiz Orta Doğu dış koli (4001312): 48 adet</t>
        </is>
      </c>
      <c r="F99" s="25" t="n">
        <v>40.316</v>
      </c>
      <c r="G99" s="25" t="n">
        <v>7</v>
      </c>
      <c r="H99" s="25" t="inlineStr">
        <is>
          <t>Rev.00</t>
        </is>
      </c>
      <c r="I99" s="31">
        <f>HYPERLINK("01_STARTER/ST-048-STD-01/04_Shipment_Statement.docx","Open")</f>
        <v/>
      </c>
    </row>
    <row r="100">
      <c r="A100" s="25" t="inlineStr">
        <is>
          <t>IA-PPWR-STM-ST-048-STD-02-R00</t>
        </is>
      </c>
      <c r="B100" s="25" t="inlineStr">
        <is>
          <t>ST-048-STD-02</t>
        </is>
      </c>
      <c r="C100" s="25" t="inlineStr">
        <is>
          <t>IA-ST-048-STD-02</t>
        </is>
      </c>
      <c r="D100" s="25" t="inlineStr">
        <is>
          <t>IA-ST-CFG-0106</t>
        </is>
      </c>
      <c r="E100" s="25" t="inlineStr">
        <is>
          <t>L2 | Palet (4000037): 1 adet | Shrink film (4000558): 1.824 kg</t>
        </is>
      </c>
      <c r="F100" s="25" t="n">
        <v>29.76</v>
      </c>
      <c r="G100" s="25" t="n">
        <v>7</v>
      </c>
      <c r="H100" s="25" t="inlineStr">
        <is>
          <t>Rev.00</t>
        </is>
      </c>
      <c r="I100" s="31">
        <f>HYPERLINK("01_STARTER/ST-048-STD-02/04_Shipment_Statement.docx","Open")</f>
        <v/>
      </c>
    </row>
    <row r="101">
      <c r="A101" s="25" t="inlineStr">
        <is>
          <t>IA-PPWR-STM-ST-051-EUR-01-R00</t>
        </is>
      </c>
      <c r="B101" s="25" t="inlineStr">
        <is>
          <t>ST-051-EUR-01</t>
        </is>
      </c>
      <c r="C101" s="25" t="inlineStr">
        <is>
          <t>IA-ST-051-EUR-01</t>
        </is>
      </c>
      <c r="D101" s="25" t="inlineStr">
        <is>
          <t>IA-ST-CFG-0132</t>
        </is>
      </c>
      <c r="E101" s="25" t="inlineStr">
        <is>
          <t>LB3, L3 | Palet (4000038): 1 adet | Köşebent (4000590): 4 adet</t>
        </is>
      </c>
      <c r="F101" s="25" t="n">
        <v>27.926</v>
      </c>
      <c r="G101" s="25" t="n">
        <v>6</v>
      </c>
      <c r="H101" s="25" t="inlineStr">
        <is>
          <t>Rev.00</t>
        </is>
      </c>
      <c r="I101" s="31">
        <f>HYPERLINK("01_STARTER/ST-051-EUR-01/04_Shipment_Statement.docx","Open")</f>
        <v/>
      </c>
    </row>
    <row r="102">
      <c r="A102" s="25" t="inlineStr">
        <is>
          <t>IA-PPWR-STM-ST-051-EUR-02-R00</t>
        </is>
      </c>
      <c r="B102" s="25" t="inlineStr">
        <is>
          <t>ST-051-EUR-02</t>
        </is>
      </c>
      <c r="C102" s="25" t="inlineStr">
        <is>
          <t>IA-ST-051-EUR-02</t>
        </is>
      </c>
      <c r="D102" s="25" t="inlineStr">
        <is>
          <t>IA-ST-CFG-0133</t>
        </is>
      </c>
      <c r="E102" s="25" t="inlineStr">
        <is>
          <t>LB3 | Palet (4000038): 1 adet | Shrink film (4000558): 1.579 kg</t>
        </is>
      </c>
      <c r="F102" s="25" t="n">
        <v>29.2182</v>
      </c>
      <c r="G102" s="25" t="n">
        <v>7</v>
      </c>
      <c r="H102" s="25" t="inlineStr">
        <is>
          <t>Rev.00</t>
        </is>
      </c>
      <c r="I102" s="31">
        <f>HYPERLINK("01_STARTER/ST-051-EUR-02/04_Shipment_Statement.docx","Open")</f>
        <v/>
      </c>
    </row>
    <row r="103">
      <c r="A103" s="25" t="inlineStr">
        <is>
          <t>IA-PPWR-STM-ST-051-EUR-03-R00</t>
        </is>
      </c>
      <c r="B103" s="25" t="inlineStr">
        <is>
          <t>ST-051-EUR-03</t>
        </is>
      </c>
      <c r="C103" s="25" t="inlineStr">
        <is>
          <t>IA-ST-051-EUR-03</t>
        </is>
      </c>
      <c r="D103" s="25" t="inlineStr">
        <is>
          <t>IA-ST-CFG-0134</t>
        </is>
      </c>
      <c r="E103" s="25" t="inlineStr">
        <is>
          <t>L3 | Palet (4000038): 1 adet | Shrink film (4000558): 1.684 kg</t>
        </is>
      </c>
      <c r="F103" s="25" t="n">
        <v>29.3232</v>
      </c>
      <c r="G103" s="25" t="n">
        <v>7</v>
      </c>
      <c r="H103" s="25" t="inlineStr">
        <is>
          <t>Rev.00</t>
        </is>
      </c>
      <c r="I103" s="31">
        <f>HYPERLINK("01_STARTER/ST-051-EUR-03/04_Shipment_Statement.docx","Open")</f>
        <v/>
      </c>
    </row>
    <row r="104">
      <c r="A104" s="25" t="inlineStr">
        <is>
          <t>IA-PPWR-STM-ST-051-EUR-04-R00</t>
        </is>
      </c>
      <c r="B104" s="25" t="inlineStr">
        <is>
          <t>ST-051-EUR-04</t>
        </is>
      </c>
      <c r="C104" s="25" t="inlineStr">
        <is>
          <t>IA-ST-051-EUR-04</t>
        </is>
      </c>
      <c r="D104" s="25" t="inlineStr">
        <is>
          <t>IA-ST-CFG-0135</t>
        </is>
      </c>
      <c r="E104" s="25" t="inlineStr">
        <is>
          <t>L3, LB3 | Palet (4000038): 1 adet | Köşebent (4000590): 2 adet</t>
        </is>
      </c>
      <c r="F104" s="25" t="n">
        <v>27.6392</v>
      </c>
      <c r="G104" s="25" t="n">
        <v>6</v>
      </c>
      <c r="H104" s="25" t="inlineStr">
        <is>
          <t>Rev.00</t>
        </is>
      </c>
      <c r="I104" s="31">
        <f>HYPERLINK("01_STARTER/ST-051-EUR-04/04_Shipment_Statement.docx","Open")</f>
        <v/>
      </c>
    </row>
    <row r="105">
      <c r="A105" s="25" t="inlineStr">
        <is>
          <t>IA-PPWR-STM-ST-051-STD-01-R00</t>
        </is>
      </c>
      <c r="B105" s="25" t="inlineStr">
        <is>
          <t>ST-051-STD-01</t>
        </is>
      </c>
      <c r="C105" s="25" t="inlineStr">
        <is>
          <t>IA-ST-051-STD-01</t>
        </is>
      </c>
      <c r="D105" s="25" t="inlineStr">
        <is>
          <t>IA-ST-CFG-0122</t>
        </is>
      </c>
      <c r="E105" s="25" t="inlineStr">
        <is>
          <t>D31 | Köşebent (4000033): 6 adet | D31 EAS Activa penceresiz dış koli (4000782): 51 adet</t>
        </is>
      </c>
      <c r="F105" s="25" t="n">
        <v>47.0384</v>
      </c>
      <c r="G105" s="25" t="n">
        <v>8</v>
      </c>
      <c r="H105" s="25" t="inlineStr">
        <is>
          <t>Rev.00</t>
        </is>
      </c>
      <c r="I105" s="31">
        <f>HYPERLINK("01_STARTER/ST-051-STD-01/04_Shipment_Statement.docx","Open")</f>
        <v/>
      </c>
    </row>
    <row r="106">
      <c r="A106" s="25" t="inlineStr">
        <is>
          <t>IA-PPWR-STM-ST-051-STD-02-R00</t>
        </is>
      </c>
      <c r="B106" s="25" t="inlineStr">
        <is>
          <t>ST-051-STD-02</t>
        </is>
      </c>
      <c r="C106" s="25" t="inlineStr">
        <is>
          <t>IA-ST-051-STD-02</t>
        </is>
      </c>
      <c r="D106" s="25" t="inlineStr">
        <is>
          <t>IA-ST-CFG-0123</t>
        </is>
      </c>
      <c r="E106" s="25" t="inlineStr">
        <is>
          <t>D31 | D31 YUASA penceresiz Orta Doğu dış koli (4001108): 51 adet</t>
        </is>
      </c>
      <c r="F106" s="25" t="n">
        <v>47.0384</v>
      </c>
      <c r="G106" s="25" t="n">
        <v>8</v>
      </c>
      <c r="H106" s="25" t="inlineStr">
        <is>
          <t>Rev.00</t>
        </is>
      </c>
      <c r="I106" s="31">
        <f>HYPERLINK("01_STARTER/ST-051-STD-02/04_Shipment_Statement.docx","Open")</f>
        <v/>
      </c>
    </row>
    <row r="107">
      <c r="A107" s="25" t="inlineStr">
        <is>
          <t>IA-PPWR-STM-ST-051-STD-03-R00</t>
        </is>
      </c>
      <c r="B107" s="25" t="inlineStr">
        <is>
          <t>ST-051-STD-03</t>
        </is>
      </c>
      <c r="C107" s="25" t="inlineStr">
        <is>
          <t>IA-ST-051-STD-03</t>
        </is>
      </c>
      <c r="D107" s="25" t="inlineStr">
        <is>
          <t>IA-ST-CFG-0124</t>
        </is>
      </c>
      <c r="E107" s="25" t="inlineStr">
        <is>
          <t>L4 | L4 YUASA penceresiz Orta Doğu dış koli (4001313): 51 adet</t>
        </is>
      </c>
      <c r="F107" s="25" t="n">
        <v>41.816</v>
      </c>
      <c r="G107" s="25" t="n">
        <v>7</v>
      </c>
      <c r="H107" s="25" t="inlineStr">
        <is>
          <t>Rev.00</t>
        </is>
      </c>
      <c r="I107" s="31">
        <f>HYPERLINK("01_STARTER/ST-051-STD-03/04_Shipment_Statement.docx","Open")</f>
        <v/>
      </c>
    </row>
    <row r="108">
      <c r="A108" s="25" t="inlineStr">
        <is>
          <t>IA-PPWR-STM-ST-051-STD-04-R00</t>
        </is>
      </c>
      <c r="B108" s="25" t="inlineStr">
        <is>
          <t>ST-051-STD-04</t>
        </is>
      </c>
      <c r="C108" s="25" t="inlineStr">
        <is>
          <t>IA-ST-051-STD-04</t>
        </is>
      </c>
      <c r="D108" s="25" t="inlineStr">
        <is>
          <t>IA-ST-CFG-0125</t>
        </is>
      </c>
      <c r="E108" s="25" t="inlineStr">
        <is>
          <t>D31 | Köşebent (4000033): 8 adet | D31 EAS Activa penceresiz dış koli (4000782): 51 adet</t>
        </is>
      </c>
      <c r="F108" s="25" t="n">
        <v>47.4584</v>
      </c>
      <c r="G108" s="25" t="n">
        <v>8</v>
      </c>
      <c r="H108" s="25" t="inlineStr">
        <is>
          <t>Rev.00</t>
        </is>
      </c>
      <c r="I108" s="31">
        <f>HYPERLINK("01_STARTER/ST-051-STD-04/04_Shipment_Statement.docx","Open")</f>
        <v/>
      </c>
    </row>
    <row r="109">
      <c r="A109" s="25" t="inlineStr">
        <is>
          <t>IA-PPWR-STM-ST-051-STD-05-R00</t>
        </is>
      </c>
      <c r="B109" s="25" t="inlineStr">
        <is>
          <t>ST-051-STD-05</t>
        </is>
      </c>
      <c r="C109" s="25" t="inlineStr">
        <is>
          <t>IA-ST-051-STD-05</t>
        </is>
      </c>
      <c r="D109" s="25" t="inlineStr">
        <is>
          <t>IA-ST-CFG-0126</t>
        </is>
      </c>
      <c r="E109" s="25" t="inlineStr">
        <is>
          <t>D31 | D31 BLIZZARO SILVERLINE penceresiz dış koli (4001433): 51 adet</t>
        </is>
      </c>
      <c r="F109" s="25" t="n">
        <v>47.4584</v>
      </c>
      <c r="G109" s="25" t="n">
        <v>8</v>
      </c>
      <c r="H109" s="25" t="inlineStr">
        <is>
          <t>Rev.00</t>
        </is>
      </c>
      <c r="I109" s="31">
        <f>HYPERLINK("01_STARTER/ST-051-STD-05/04_Shipment_Statement.docx","Open")</f>
        <v/>
      </c>
    </row>
    <row r="110">
      <c r="A110" s="25" t="inlineStr">
        <is>
          <t>IA-PPWR-STM-ST-051-STD-06-R00</t>
        </is>
      </c>
      <c r="B110" s="25" t="inlineStr">
        <is>
          <t>ST-051-STD-06</t>
        </is>
      </c>
      <c r="C110" s="25" t="inlineStr">
        <is>
          <t>IA-ST-051-STD-06</t>
        </is>
      </c>
      <c r="D110" s="25" t="inlineStr">
        <is>
          <t>IA-ST-CFG-0127</t>
        </is>
      </c>
      <c r="E110" s="25" t="inlineStr">
        <is>
          <t>L4 | L4 EAS AGM S&amp;S 80AH 800A pencereli dış koli (4001397): 51 adet</t>
        </is>
      </c>
      <c r="F110" s="25" t="n">
        <v>43.256</v>
      </c>
      <c r="G110" s="25" t="n">
        <v>7</v>
      </c>
      <c r="H110" s="25" t="inlineStr">
        <is>
          <t>Rev.00</t>
        </is>
      </c>
      <c r="I110" s="31">
        <f>HYPERLINK("01_STARTER/ST-051-STD-06/04_Shipment_Statement.docx","Open")</f>
        <v/>
      </c>
    </row>
    <row r="111">
      <c r="A111" s="25" t="inlineStr">
        <is>
          <t>IA-PPWR-STM-ST-051-STD-07-R00</t>
        </is>
      </c>
      <c r="B111" s="25" t="inlineStr">
        <is>
          <t>ST-051-STD-07</t>
        </is>
      </c>
      <c r="C111" s="25" t="inlineStr">
        <is>
          <t>IA-ST-051-STD-07</t>
        </is>
      </c>
      <c r="D111" s="25" t="inlineStr">
        <is>
          <t>IA-ST-CFG-0128</t>
        </is>
      </c>
      <c r="E111" s="25" t="inlineStr">
        <is>
          <t>D31 | D31 İnci FORMULA-MAXIMA penceresiz dış koli (4001211): 51 adet | Separatör (4000130): 5 adet</t>
        </is>
      </c>
      <c r="F111" s="25" t="n">
        <v>47.7284</v>
      </c>
      <c r="G111" s="25" t="n">
        <v>8</v>
      </c>
      <c r="H111" s="25" t="inlineStr">
        <is>
          <t>Rev.00</t>
        </is>
      </c>
      <c r="I111" s="31">
        <f>HYPERLINK("01_STARTER/ST-051-STD-07/04_Shipment_Statement.docx","Open")</f>
        <v/>
      </c>
    </row>
    <row r="112">
      <c r="A112" s="25" t="inlineStr">
        <is>
          <t>IA-PPWR-STM-ST-051-STD-08-R00</t>
        </is>
      </c>
      <c r="B112" s="25" t="inlineStr">
        <is>
          <t>ST-051-STD-08</t>
        </is>
      </c>
      <c r="C112" s="25" t="inlineStr">
        <is>
          <t>IA-ST-051-STD-08</t>
        </is>
      </c>
      <c r="D112" s="25" t="inlineStr">
        <is>
          <t>IA-ST-CFG-0129</t>
        </is>
      </c>
      <c r="E112" s="25" t="inlineStr">
        <is>
          <t>D31 | D31 İnci FORMULA-MAXIMA penceresiz dış koli (4001211): 51 adet | Köşebent (4000590): 8 adet</t>
        </is>
      </c>
      <c r="F112" s="25" t="n">
        <v>46.5784</v>
      </c>
      <c r="G112" s="25" t="n">
        <v>8</v>
      </c>
      <c r="H112" s="25" t="inlineStr">
        <is>
          <t>Rev.00</t>
        </is>
      </c>
      <c r="I112" s="31">
        <f>HYPERLINK("01_STARTER/ST-051-STD-08/04_Shipment_Statement.docx","Open")</f>
        <v/>
      </c>
    </row>
    <row r="113">
      <c r="A113" s="25" t="inlineStr">
        <is>
          <t>IA-PPWR-STM-ST-054-EUR-01-R00</t>
        </is>
      </c>
      <c r="B113" s="25" t="inlineStr">
        <is>
          <t>ST-054-EUR-01</t>
        </is>
      </c>
      <c r="C113" s="25" t="inlineStr">
        <is>
          <t>IA-ST-054-EUR-01</t>
        </is>
      </c>
      <c r="D113" s="25" t="inlineStr">
        <is>
          <t>IA-ST-CFG-0149</t>
        </is>
      </c>
      <c r="E113" s="25" t="inlineStr">
        <is>
          <t>L2 | Palet (4000038): 1 adet | Köşebent (4000590): 4 adet</t>
        </is>
      </c>
      <c r="F113" s="25" t="n">
        <v>27.926</v>
      </c>
      <c r="G113" s="25" t="n">
        <v>6</v>
      </c>
      <c r="H113" s="25" t="inlineStr">
        <is>
          <t>Rev.00</t>
        </is>
      </c>
      <c r="I113" s="31">
        <f>HYPERLINK("01_STARTER/ST-054-EUR-01/04_Shipment_Statement.docx","Open")</f>
        <v/>
      </c>
    </row>
    <row r="114">
      <c r="A114" s="25" t="inlineStr">
        <is>
          <t>IA-PPWR-STM-ST-054-STD-01-R00</t>
        </is>
      </c>
      <c r="B114" s="25" t="inlineStr">
        <is>
          <t>ST-054-STD-01</t>
        </is>
      </c>
      <c r="C114" s="25" t="inlineStr">
        <is>
          <t>IA-ST-054-STD-01</t>
        </is>
      </c>
      <c r="D114" s="25" t="inlineStr">
        <is>
          <t>IA-ST-CFG-0137</t>
        </is>
      </c>
      <c r="E114" s="25" t="inlineStr">
        <is>
          <t>L3 | L3 YUASA penceresiz Orta Doğu dış koli (4001103): 54 adet</t>
        </is>
      </c>
      <c r="F114" s="25" t="n">
        <v>42.566</v>
      </c>
      <c r="G114" s="25" t="n">
        <v>7</v>
      </c>
      <c r="H114" s="25" t="inlineStr">
        <is>
          <t>Rev.00</t>
        </is>
      </c>
      <c r="I114" s="31">
        <f>HYPERLINK("01_STARTER/ST-054-STD-01/04_Shipment_Statement.docx","Open")</f>
        <v/>
      </c>
    </row>
    <row r="115">
      <c r="A115" s="25" t="inlineStr">
        <is>
          <t>IA-PPWR-STM-ST-054-STD-02-R00</t>
        </is>
      </c>
      <c r="B115" s="25" t="inlineStr">
        <is>
          <t>ST-054-STD-02</t>
        </is>
      </c>
      <c r="C115" s="25" t="inlineStr">
        <is>
          <t>IA-ST-054-STD-02</t>
        </is>
      </c>
      <c r="D115" s="25" t="inlineStr">
        <is>
          <t>IA-ST-CFG-0138</t>
        </is>
      </c>
      <c r="E115" s="25" t="inlineStr">
        <is>
          <t>L3 | L3 İnci AGM LEO 70AH 760A pencereli dış koli (4001237): 54 adet</t>
        </is>
      </c>
      <c r="F115" s="25" t="n">
        <v>42.986</v>
      </c>
      <c r="G115" s="25" t="n">
        <v>7</v>
      </c>
      <c r="H115" s="25" t="inlineStr">
        <is>
          <t>Rev.00</t>
        </is>
      </c>
      <c r="I115" s="31">
        <f>HYPERLINK("01_STARTER/ST-054-STD-02/04_Shipment_Statement.docx","Open")</f>
        <v/>
      </c>
    </row>
    <row r="116">
      <c r="A116" s="25" t="inlineStr">
        <is>
          <t>IA-PPWR-STM-ST-054-STD-03-R00</t>
        </is>
      </c>
      <c r="B116" s="25" t="inlineStr">
        <is>
          <t>ST-054-STD-03</t>
        </is>
      </c>
      <c r="C116" s="25" t="inlineStr">
        <is>
          <t>IA-ST-054-STD-03</t>
        </is>
      </c>
      <c r="D116" s="25" t="inlineStr">
        <is>
          <t>IA-ST-CFG-0139</t>
        </is>
      </c>
      <c r="E116" s="25" t="inlineStr">
        <is>
          <t>L3 | L3 EAS AGM S&amp;S 70AH 760A pencereli dış koli (4001396): 54 adet</t>
        </is>
      </c>
      <c r="F116" s="25" t="n">
        <v>42.986</v>
      </c>
      <c r="G116" s="25" t="n">
        <v>7</v>
      </c>
      <c r="H116" s="25" t="inlineStr">
        <is>
          <t>Rev.00</t>
        </is>
      </c>
      <c r="I116" s="31">
        <f>HYPERLINK("01_STARTER/ST-054-STD-03/04_Shipment_Statement.docx","Open")</f>
        <v/>
      </c>
    </row>
    <row r="117">
      <c r="A117" s="25" t="inlineStr">
        <is>
          <t>IA-PPWR-STM-ST-054-STD-04-R00</t>
        </is>
      </c>
      <c r="B117" s="25" t="inlineStr">
        <is>
          <t>ST-054-STD-04</t>
        </is>
      </c>
      <c r="C117" s="25" t="inlineStr">
        <is>
          <t>IA-ST-054-STD-04</t>
        </is>
      </c>
      <c r="D117" s="25" t="inlineStr">
        <is>
          <t>IA-ST-CFG-0140</t>
        </is>
      </c>
      <c r="E117" s="25" t="inlineStr">
        <is>
          <t>D31 | Palet (4000037): 1 adet | EPS (4000370): 3 adet | Köşebent (4000590): 4 adet</t>
        </is>
      </c>
      <c r="F117" s="25" t="n">
        <v>28.518</v>
      </c>
      <c r="G117" s="25" t="n">
        <v>7</v>
      </c>
      <c r="H117" s="25" t="inlineStr">
        <is>
          <t>Rev.00</t>
        </is>
      </c>
      <c r="I117" s="31">
        <f>HYPERLINK("01_STARTER/ST-054-STD-04/04_Shipment_Statement.docx","Open")</f>
        <v/>
      </c>
    </row>
    <row r="118">
      <c r="A118" s="25" t="inlineStr">
        <is>
          <t>IA-PPWR-STM-ST-054-STD-05-R00</t>
        </is>
      </c>
      <c r="B118" s="25" t="inlineStr">
        <is>
          <t>ST-054-STD-05</t>
        </is>
      </c>
      <c r="C118" s="25" t="inlineStr">
        <is>
          <t>IA-ST-054-STD-05</t>
        </is>
      </c>
      <c r="D118" s="25" t="inlineStr">
        <is>
          <t>IA-ST-CFG-0141</t>
        </is>
      </c>
      <c r="E118" s="25" t="inlineStr">
        <is>
          <t>D31 | Köşebent (4000590): 4 adet | D31 PVC üst kapak (4001310): 54 adet</t>
        </is>
      </c>
      <c r="F118" s="25" t="n">
        <v>34.0706</v>
      </c>
      <c r="G118" s="25" t="n">
        <v>8</v>
      </c>
      <c r="H118" s="25" t="inlineStr">
        <is>
          <t>Rev.00</t>
        </is>
      </c>
      <c r="I118" s="31">
        <f>HYPERLINK("01_STARTER/ST-054-STD-05/04_Shipment_Statement.docx","Open")</f>
        <v/>
      </c>
    </row>
    <row r="119">
      <c r="A119" s="25" t="inlineStr">
        <is>
          <t>IA-PPWR-STM-ST-054-STD-06-R00</t>
        </is>
      </c>
      <c r="B119" s="25" t="inlineStr">
        <is>
          <t>ST-054-STD-06</t>
        </is>
      </c>
      <c r="C119" s="25" t="inlineStr">
        <is>
          <t>IA-ST-054-STD-06</t>
        </is>
      </c>
      <c r="D119" s="25" t="inlineStr">
        <is>
          <t>IA-ST-CFG-0142</t>
        </is>
      </c>
      <c r="E119" s="25" t="inlineStr">
        <is>
          <t>L4, LB4 | Palet (4000037): 1 adet | Köşebent (4000590): 2 adet</t>
        </is>
      </c>
      <c r="F119" s="25" t="n">
        <v>29.7552</v>
      </c>
      <c r="G119" s="25" t="n">
        <v>7</v>
      </c>
      <c r="H119" s="25" t="inlineStr">
        <is>
          <t>Rev.00</t>
        </is>
      </c>
      <c r="I119" s="31">
        <f>HYPERLINK("01_STARTER/ST-054-STD-06/04_Shipment_Statement.docx","Open")</f>
        <v/>
      </c>
    </row>
    <row r="120">
      <c r="A120" s="25" t="inlineStr">
        <is>
          <t>IA-PPWR-STM-ST-054-STD-07-R00</t>
        </is>
      </c>
      <c r="B120" s="25" t="inlineStr">
        <is>
          <t>ST-054-STD-07</t>
        </is>
      </c>
      <c r="C120" s="25" t="inlineStr">
        <is>
          <t>IA-ST-054-STD-07</t>
        </is>
      </c>
      <c r="D120" s="25" t="inlineStr">
        <is>
          <t>IA-ST-CFG-0143</t>
        </is>
      </c>
      <c r="E120" s="25" t="inlineStr">
        <is>
          <t>D31 | D31 PVC üst kapak (4001310): 54 adet | Köşebent (4000590): 2 adet</t>
        </is>
      </c>
      <c r="F120" s="25" t="n">
        <v>33.7838</v>
      </c>
      <c r="G120" s="25" t="n">
        <v>8</v>
      </c>
      <c r="H120" s="25" t="inlineStr">
        <is>
          <t>Rev.00</t>
        </is>
      </c>
      <c r="I120" s="31">
        <f>HYPERLINK("01_STARTER/ST-054-STD-07/04_Shipment_Statement.docx","Open")</f>
        <v/>
      </c>
    </row>
    <row r="121">
      <c r="A121" s="25" t="inlineStr">
        <is>
          <t>IA-PPWR-STM-ST-054-STD-08-R00</t>
        </is>
      </c>
      <c r="B121" s="25" t="inlineStr">
        <is>
          <t>ST-054-STD-08</t>
        </is>
      </c>
      <c r="C121" s="25" t="inlineStr">
        <is>
          <t>IA-ST-054-STD-08</t>
        </is>
      </c>
      <c r="D121" s="25" t="inlineStr">
        <is>
          <t>IA-ST-CFG-0144</t>
        </is>
      </c>
      <c r="E121" s="25" t="inlineStr">
        <is>
          <t>L4, LB4 | Palet (4000037): 1 adet | Köşebent (4000590): kullanılmaz</t>
        </is>
      </c>
      <c r="F121" s="25" t="n">
        <v>29.4684</v>
      </c>
      <c r="G121" s="25" t="n">
        <v>5</v>
      </c>
      <c r="H121" s="25" t="inlineStr">
        <is>
          <t>Rev.00</t>
        </is>
      </c>
      <c r="I121" s="31">
        <f>HYPERLINK("01_STARTER/ST-054-STD-08/04_Shipment_Statement.docx","Open")</f>
        <v/>
      </c>
    </row>
    <row r="122">
      <c r="A122" s="25" t="inlineStr">
        <is>
          <t>IA-PPWR-STM-ST-054-STD-09-R00</t>
        </is>
      </c>
      <c r="B122" s="25" t="inlineStr">
        <is>
          <t>ST-054-STD-09</t>
        </is>
      </c>
      <c r="C122" s="25" t="inlineStr">
        <is>
          <t>IA-ST-054-STD-09</t>
        </is>
      </c>
      <c r="D122" s="25" t="inlineStr">
        <is>
          <t>IA-ST-CFG-0145</t>
        </is>
      </c>
      <c r="E122" s="25" t="inlineStr">
        <is>
          <t>D31 | D31 PVC üst kapak (4001310): 54 adet | Çember (4000450): kullanılmaz</t>
        </is>
      </c>
      <c r="F122" s="25" t="n">
        <v>33.497</v>
      </c>
      <c r="G122" s="25" t="n">
        <v>6</v>
      </c>
      <c r="H122" s="25" t="inlineStr">
        <is>
          <t>Rev.00</t>
        </is>
      </c>
      <c r="I122" s="31">
        <f>HYPERLINK("01_STARTER/ST-054-STD-09/04_Shipment_Statement.docx","Open")</f>
        <v/>
      </c>
    </row>
    <row r="123">
      <c r="A123" s="25" t="inlineStr">
        <is>
          <t>IA-PPWR-STM-ST-054-STD-10-R00</t>
        </is>
      </c>
      <c r="B123" s="25" t="inlineStr">
        <is>
          <t>ST-054-STD-10</t>
        </is>
      </c>
      <c r="C123" s="25" t="inlineStr">
        <is>
          <t>IA-ST-054-STD-10</t>
        </is>
      </c>
      <c r="D123" s="25" t="inlineStr">
        <is>
          <t>IA-ST-CFG-0146</t>
        </is>
      </c>
      <c r="E123" s="25" t="inlineStr">
        <is>
          <t>D31 | Palet (4000037): 1 adet | Shrink film (4001177): 0.597 kg</t>
        </is>
      </c>
      <c r="F123" s="25" t="n">
        <v>28.649</v>
      </c>
      <c r="G123" s="25" t="n">
        <v>7</v>
      </c>
      <c r="H123" s="25" t="inlineStr">
        <is>
          <t>Rev.00</t>
        </is>
      </c>
      <c r="I123" s="31">
        <f>HYPERLINK("01_STARTER/ST-054-STD-10/04_Shipment_Statement.docx","Open")</f>
        <v/>
      </c>
    </row>
    <row r="124">
      <c r="A124" s="25" t="inlineStr">
        <is>
          <t>IA-PPWR-STM-ST-054-STD-11-R00</t>
        </is>
      </c>
      <c r="B124" s="25" t="inlineStr">
        <is>
          <t>ST-054-STD-11</t>
        </is>
      </c>
      <c r="C124" s="25" t="inlineStr">
        <is>
          <t>IA-ST-054-STD-11</t>
        </is>
      </c>
      <c r="D124" s="25" t="inlineStr">
        <is>
          <t>IA-ST-CFG-0147</t>
        </is>
      </c>
      <c r="E124" s="25" t="inlineStr">
        <is>
          <t>L4 | Palet (4000037): 1 adet | Shrink film (4001177): 0.597 kg</t>
        </is>
      </c>
      <c r="F124" s="25" t="n">
        <v>28.417</v>
      </c>
      <c r="G124" s="25" t="n">
        <v>6</v>
      </c>
      <c r="H124" s="25" t="inlineStr">
        <is>
          <t>Rev.00</t>
        </is>
      </c>
      <c r="I124" s="31">
        <f>HYPERLINK("01_STARTER/ST-054-STD-11/04_Shipment_Statement.docx","Open")</f>
        <v/>
      </c>
    </row>
    <row r="125">
      <c r="A125" s="25" t="inlineStr">
        <is>
          <t>IA-PPWR-STM-ST-054-STD-12-R00</t>
        </is>
      </c>
      <c r="B125" s="25" t="inlineStr">
        <is>
          <t>ST-054-STD-12</t>
        </is>
      </c>
      <c r="C125" s="25" t="inlineStr">
        <is>
          <t>IA-ST-054-STD-12</t>
        </is>
      </c>
      <c r="D125" s="25" t="inlineStr">
        <is>
          <t>IA-ST-CFG-0148</t>
        </is>
      </c>
      <c r="E125" s="25" t="inlineStr">
        <is>
          <t>LB4 | Palet (4000037): 1 adet | Shrink film (4001177): 0.597 kg</t>
        </is>
      </c>
      <c r="F125" s="25" t="n">
        <v>28.617</v>
      </c>
      <c r="G125" s="25" t="n">
        <v>6</v>
      </c>
      <c r="H125" s="25" t="inlineStr">
        <is>
          <t>Rev.00</t>
        </is>
      </c>
      <c r="I125" s="31">
        <f>HYPERLINK("01_STARTER/ST-054-STD-12/04_Shipment_Statement.docx","Open")</f>
        <v/>
      </c>
    </row>
    <row r="126">
      <c r="A126" s="25" t="inlineStr">
        <is>
          <t>IA-PPWR-STM-ST-056-EUR-01-R00</t>
        </is>
      </c>
      <c r="B126" s="25" t="inlineStr">
        <is>
          <t>ST-056-EUR-01</t>
        </is>
      </c>
      <c r="C126" s="25" t="inlineStr">
        <is>
          <t>IA-ST-056-EUR-01</t>
        </is>
      </c>
      <c r="D126" s="25" t="inlineStr">
        <is>
          <t>IA-ST-CFG-0150</t>
        </is>
      </c>
      <c r="E126" s="25" t="inlineStr">
        <is>
          <t>L4 | L4 İnci AGM LEO 80AH 800A pencereli dış koli (4001341): 56 adet</t>
        </is>
      </c>
      <c r="F126" s="25" t="n">
        <v>44.106</v>
      </c>
      <c r="G126" s="25" t="n">
        <v>7</v>
      </c>
      <c r="H126" s="25" t="inlineStr">
        <is>
          <t>Rev.00</t>
        </is>
      </c>
      <c r="I126" s="31">
        <f>HYPERLINK("01_STARTER/ST-056-EUR-01/04_Shipment_Statement.docx","Open")</f>
        <v/>
      </c>
    </row>
    <row r="127">
      <c r="A127" s="25" t="inlineStr">
        <is>
          <t>IA-PPWR-STM-ST-056-EUR-02-R00</t>
        </is>
      </c>
      <c r="B127" s="25" t="inlineStr">
        <is>
          <t>ST-056-EUR-02</t>
        </is>
      </c>
      <c r="C127" s="25" t="inlineStr">
        <is>
          <t>IA-ST-056-EUR-02</t>
        </is>
      </c>
      <c r="D127" s="25" t="inlineStr">
        <is>
          <t>IA-ST-CFG-0151</t>
        </is>
      </c>
      <c r="E127" s="25" t="inlineStr">
        <is>
          <t>L4, LB4 | Palet (4000038): 1 adet | Köşebent (4000590): 4 adet</t>
        </is>
      </c>
      <c r="F127" s="25" t="n">
        <v>28.126</v>
      </c>
      <c r="G127" s="25" t="n">
        <v>6</v>
      </c>
      <c r="H127" s="25" t="inlineStr">
        <is>
          <t>Rev.00</t>
        </is>
      </c>
      <c r="I127" s="31">
        <f>HYPERLINK("01_STARTER/ST-056-EUR-02/04_Shipment_Statement.docx","Open")</f>
        <v/>
      </c>
    </row>
    <row r="128">
      <c r="A128" s="25" t="inlineStr">
        <is>
          <t>IA-PPWR-STM-ST-056-EUR-03-R00</t>
        </is>
      </c>
      <c r="B128" s="25" t="inlineStr">
        <is>
          <t>ST-056-EUR-03</t>
        </is>
      </c>
      <c r="C128" s="25" t="inlineStr">
        <is>
          <t>IA-ST-056-EUR-03</t>
        </is>
      </c>
      <c r="D128" s="25" t="inlineStr">
        <is>
          <t>IA-ST-CFG-0152</t>
        </is>
      </c>
      <c r="E128" s="25" t="inlineStr">
        <is>
          <t>L4, LB4 | Palet (4000038): 1 adet | Shrink film (4000554): 1.904 kg</t>
        </is>
      </c>
      <c r="F128" s="25" t="n">
        <v>29.7432</v>
      </c>
      <c r="G128" s="25" t="n">
        <v>7</v>
      </c>
      <c r="H128" s="25" t="inlineStr">
        <is>
          <t>Rev.00</t>
        </is>
      </c>
      <c r="I128" s="31">
        <f>HYPERLINK("01_STARTER/ST-056-EUR-03/04_Shipment_Statement.docx","Open")</f>
        <v/>
      </c>
    </row>
    <row r="129">
      <c r="A129" s="25" t="inlineStr">
        <is>
          <t>IA-PPWR-STM-ST-056-EUR-04-R00</t>
        </is>
      </c>
      <c r="B129" s="25" t="inlineStr">
        <is>
          <t>ST-056-EUR-04</t>
        </is>
      </c>
      <c r="C129" s="25" t="inlineStr">
        <is>
          <t>IA-ST-056-EUR-04</t>
        </is>
      </c>
      <c r="D129" s="25" t="inlineStr">
        <is>
          <t>IA-ST-CFG-0153</t>
        </is>
      </c>
      <c r="E129" s="25" t="inlineStr">
        <is>
          <t>LB4, L4 | Palet (4000038): 1 adet | Köşebent (4000590): 2 adet</t>
        </is>
      </c>
      <c r="F129" s="25" t="n">
        <v>27.8392</v>
      </c>
      <c r="G129" s="25" t="n">
        <v>6</v>
      </c>
      <c r="H129" s="25" t="inlineStr">
        <is>
          <t>Rev.00</t>
        </is>
      </c>
      <c r="I129" s="31">
        <f>HYPERLINK("01_STARTER/ST-056-EUR-04/04_Shipment_Statement.docx","Open")</f>
        <v/>
      </c>
    </row>
    <row r="130">
      <c r="A130" s="25" t="inlineStr">
        <is>
          <t>IA-PPWR-STM-ST-057-EUR-01-R00</t>
        </is>
      </c>
      <c r="B130" s="25" t="inlineStr">
        <is>
          <t>ST-057-EUR-01</t>
        </is>
      </c>
      <c r="C130" s="25" t="inlineStr">
        <is>
          <t>IA-ST-057-EUR-01</t>
        </is>
      </c>
      <c r="D130" s="25" t="inlineStr">
        <is>
          <t>IA-ST-CFG-0160</t>
        </is>
      </c>
      <c r="E130" s="25" t="inlineStr">
        <is>
          <t>D26 | Palet (4000038): 1 adet | Honeycomb (4001186): 3 adet</t>
        </is>
      </c>
      <c r="F130" s="25" t="n">
        <v>30.326</v>
      </c>
      <c r="G130" s="25" t="n">
        <v>7</v>
      </c>
      <c r="H130" s="25" t="inlineStr">
        <is>
          <t>Rev.00</t>
        </is>
      </c>
      <c r="I130" s="31">
        <f>HYPERLINK("01_STARTER/ST-057-EUR-01/04_Shipment_Statement.docx","Open")</f>
        <v/>
      </c>
    </row>
    <row r="131">
      <c r="A131" s="25" t="inlineStr">
        <is>
          <t>IA-PPWR-STM-ST-057-EUR-02-R00</t>
        </is>
      </c>
      <c r="B131" s="25" t="inlineStr">
        <is>
          <t>ST-057-EUR-02</t>
        </is>
      </c>
      <c r="C131" s="25" t="inlineStr">
        <is>
          <t>IA-ST-057-EUR-02</t>
        </is>
      </c>
      <c r="D131" s="25" t="inlineStr">
        <is>
          <t>IA-ST-CFG-0161</t>
        </is>
      </c>
      <c r="E131" s="25" t="inlineStr">
        <is>
          <t>D26 | Palet (4000038): 1 adet | EPS (4001247): 3 adet</t>
        </is>
      </c>
      <c r="F131" s="25" t="n">
        <v>27.506</v>
      </c>
      <c r="G131" s="25" t="n">
        <v>7</v>
      </c>
      <c r="H131" s="25" t="inlineStr">
        <is>
          <t>Rev.00</t>
        </is>
      </c>
      <c r="I131" s="31">
        <f>HYPERLINK("01_STARTER/ST-057-EUR-02/04_Shipment_Statement.docx","Open")</f>
        <v/>
      </c>
    </row>
    <row r="132">
      <c r="A132" s="25" t="inlineStr">
        <is>
          <t>IA-PPWR-STM-ST-057-EUR-03-R00</t>
        </is>
      </c>
      <c r="B132" s="25" t="inlineStr">
        <is>
          <t>ST-057-EUR-03</t>
        </is>
      </c>
      <c r="C132" s="25" t="inlineStr">
        <is>
          <t>IA-ST-057-EUR-03</t>
        </is>
      </c>
      <c r="D132" s="25" t="inlineStr">
        <is>
          <t>IA-ST-CFG-0162</t>
        </is>
      </c>
      <c r="E132" s="25" t="inlineStr">
        <is>
          <t>L2, LB2 | Palet (4000038): 1 adet | Köşebent (4000590): 4 adet</t>
        </is>
      </c>
      <c r="F132" s="25" t="n">
        <v>27.926</v>
      </c>
      <c r="G132" s="25" t="n">
        <v>6</v>
      </c>
      <c r="H132" s="25" t="inlineStr">
        <is>
          <t>Rev.00</t>
        </is>
      </c>
      <c r="I132" s="31">
        <f>HYPERLINK("01_STARTER/ST-057-EUR-03/04_Shipment_Statement.docx","Open")</f>
        <v/>
      </c>
    </row>
    <row r="133">
      <c r="A133" s="25" t="inlineStr">
        <is>
          <t>IA-PPWR-STM-ST-057-EUR-04-R00</t>
        </is>
      </c>
      <c r="B133" s="25" t="inlineStr">
        <is>
          <t>ST-057-EUR-04</t>
        </is>
      </c>
      <c r="C133" s="25" t="inlineStr">
        <is>
          <t>IA-ST-057-EUR-04</t>
        </is>
      </c>
      <c r="D133" s="25" t="inlineStr">
        <is>
          <t>IA-ST-CFG-0163</t>
        </is>
      </c>
      <c r="E133" s="25" t="inlineStr">
        <is>
          <t>L2, LB2 | Palet (4000038): 1 adet | Shrink film (4000558): 2.166 kg</t>
        </is>
      </c>
      <c r="F133" s="25" t="n">
        <v>29.8052</v>
      </c>
      <c r="G133" s="25" t="n">
        <v>7</v>
      </c>
      <c r="H133" s="25" t="inlineStr">
        <is>
          <t>Rev.00</t>
        </is>
      </c>
      <c r="I133" s="31">
        <f>HYPERLINK("01_STARTER/ST-057-EUR-04/04_Shipment_Statement.docx","Open")</f>
        <v/>
      </c>
    </row>
    <row r="134">
      <c r="A134" s="25" t="inlineStr">
        <is>
          <t>IA-PPWR-STM-ST-057-EUR-05-R00</t>
        </is>
      </c>
      <c r="B134" s="25" t="inlineStr">
        <is>
          <t>ST-057-EUR-05</t>
        </is>
      </c>
      <c r="C134" s="25" t="inlineStr">
        <is>
          <t>IA-ST-057-EUR-05</t>
        </is>
      </c>
      <c r="D134" s="25" t="inlineStr">
        <is>
          <t>IA-ST-CFG-0164</t>
        </is>
      </c>
      <c r="E134" s="25" t="inlineStr">
        <is>
          <t>L2, LB2 | Palet (4000038): 1 adet | Shrink film (4000558): kullanılmaz | Köşebent (4000590): 2 adet</t>
        </is>
      </c>
      <c r="F134" s="25" t="n">
        <v>27.6392</v>
      </c>
      <c r="G134" s="25" t="n">
        <v>6</v>
      </c>
      <c r="H134" s="25" t="inlineStr">
        <is>
          <t>Rev.00</t>
        </is>
      </c>
      <c r="I134" s="31">
        <f>HYPERLINK("01_STARTER/ST-057-EUR-05/04_Shipment_Statement.docx","Open")</f>
        <v/>
      </c>
    </row>
    <row r="135">
      <c r="A135" s="25" t="inlineStr">
        <is>
          <t>IA-PPWR-STM-ST-057-STD-01-R00</t>
        </is>
      </c>
      <c r="B135" s="25" t="inlineStr">
        <is>
          <t>ST-057-STD-01</t>
        </is>
      </c>
      <c r="C135" s="25" t="inlineStr">
        <is>
          <t>IA-ST-057-STD-01</t>
        </is>
      </c>
      <c r="D135" s="25" t="inlineStr">
        <is>
          <t>IA-ST-CFG-0155</t>
        </is>
      </c>
      <c r="E135" s="25" t="inlineStr">
        <is>
          <t>D26 | D26 İnciEFBPANTERA pencereli YÜKSEK DL dış koli (4001271): 57 adet</t>
        </is>
      </c>
      <c r="F135" s="25" t="n">
        <v>50.954</v>
      </c>
      <c r="G135" s="25" t="n">
        <v>8</v>
      </c>
      <c r="H135" s="25" t="inlineStr">
        <is>
          <t>Rev.00</t>
        </is>
      </c>
      <c r="I135" s="31">
        <f>HYPERLINK("01_STARTER/ST-057-STD-01/04_Shipment_Statement.docx","Open")</f>
        <v/>
      </c>
    </row>
    <row r="136">
      <c r="A136" s="25" t="inlineStr">
        <is>
          <t>IA-PPWR-STM-ST-057-STD-02-R00</t>
        </is>
      </c>
      <c r="B136" s="25" t="inlineStr">
        <is>
          <t>ST-057-STD-02</t>
        </is>
      </c>
      <c r="C136" s="25" t="inlineStr">
        <is>
          <t>IA-ST-057-STD-02</t>
        </is>
      </c>
      <c r="D136" s="25" t="inlineStr">
        <is>
          <t>IA-ST-CFG-0156</t>
        </is>
      </c>
      <c r="E136" s="25" t="inlineStr">
        <is>
          <t>D26 | D26 EAS Activa penceresiz (YÜKSEK) dış koli (4001287): 57 adet</t>
        </is>
      </c>
      <c r="F136" s="25" t="n">
        <v>50.954</v>
      </c>
      <c r="G136" s="25" t="n">
        <v>8</v>
      </c>
      <c r="H136" s="25" t="inlineStr">
        <is>
          <t>Rev.00</t>
        </is>
      </c>
      <c r="I136" s="31">
        <f>HYPERLINK("01_STARTER/ST-057-STD-02/04_Shipment_Statement.docx","Open")</f>
        <v/>
      </c>
    </row>
    <row r="137">
      <c r="A137" s="25" t="inlineStr">
        <is>
          <t>IA-PPWR-STM-ST-057-STD-03-R00</t>
        </is>
      </c>
      <c r="B137" s="25" t="inlineStr">
        <is>
          <t>ST-057-STD-03</t>
        </is>
      </c>
      <c r="C137" s="25" t="inlineStr">
        <is>
          <t>IA-ST-057-STD-03</t>
        </is>
      </c>
      <c r="D137" s="25" t="inlineStr">
        <is>
          <t>IA-ST-CFG-0157</t>
        </is>
      </c>
      <c r="E137" s="25" t="inlineStr">
        <is>
          <t>D26 | D26 YUASA ORTADOĞU penceresiz dış koli (4001289): 57 adet</t>
        </is>
      </c>
      <c r="F137" s="25" t="n">
        <v>50.954</v>
      </c>
      <c r="G137" s="25" t="n">
        <v>8</v>
      </c>
      <c r="H137" s="25" t="inlineStr">
        <is>
          <t>Rev.00</t>
        </is>
      </c>
      <c r="I137" s="31">
        <f>HYPERLINK("01_STARTER/ST-057-STD-03/04_Shipment_Statement.docx","Open")</f>
        <v/>
      </c>
    </row>
    <row r="138">
      <c r="A138" s="25" t="inlineStr">
        <is>
          <t>IA-PPWR-STM-ST-060-EUR-01-R00</t>
        </is>
      </c>
      <c r="B138" s="25" t="inlineStr">
        <is>
          <t>ST-060-EUR-01</t>
        </is>
      </c>
      <c r="C138" s="25" t="inlineStr">
        <is>
          <t>IA-ST-060-EUR-01</t>
        </is>
      </c>
      <c r="D138" s="25" t="inlineStr">
        <is>
          <t>IA-ST-CFG-0170</t>
        </is>
      </c>
      <c r="E138" s="25" t="inlineStr">
        <is>
          <t>D23 | D23 YUASA penceresiz Orta Doğu dış koli (4001106): 60 adet</t>
        </is>
      </c>
      <c r="F138" s="25" t="n">
        <v>46.6702</v>
      </c>
      <c r="G138" s="25" t="n">
        <v>8</v>
      </c>
      <c r="H138" s="25" t="inlineStr">
        <is>
          <t>Rev.00</t>
        </is>
      </c>
      <c r="I138" s="31">
        <f>HYPERLINK("01_STARTER/ST-060-EUR-01/04_Shipment_Statement.docx","Open")</f>
        <v/>
      </c>
    </row>
    <row r="139">
      <c r="A139" s="25" t="inlineStr">
        <is>
          <t>IA-PPWR-STM-ST-060-EUR-02-R00</t>
        </is>
      </c>
      <c r="B139" s="25" t="inlineStr">
        <is>
          <t>ST-060-EUR-02</t>
        </is>
      </c>
      <c r="C139" s="25" t="inlineStr">
        <is>
          <t>IA-ST-060-EUR-02</t>
        </is>
      </c>
      <c r="D139" s="25" t="inlineStr">
        <is>
          <t>IA-ST-CFG-0171</t>
        </is>
      </c>
      <c r="E139" s="25" t="inlineStr">
        <is>
          <t>D23 | D23 PVC üst kapak (4000461): 60 adet</t>
        </is>
      </c>
      <c r="F139" s="25" t="n">
        <v>32.9834</v>
      </c>
      <c r="G139" s="25" t="n">
        <v>8</v>
      </c>
      <c r="H139" s="25" t="inlineStr">
        <is>
          <t>Rev.00</t>
        </is>
      </c>
      <c r="I139" s="31">
        <f>HYPERLINK("01_STARTER/ST-060-EUR-02/04_Shipment_Statement.docx","Open")</f>
        <v/>
      </c>
    </row>
    <row r="140">
      <c r="A140" s="25" t="inlineStr">
        <is>
          <t>IA-PPWR-STM-ST-060-STD-01-R00</t>
        </is>
      </c>
      <c r="B140" s="25" t="inlineStr">
        <is>
          <t>ST-060-STD-01</t>
        </is>
      </c>
      <c r="C140" s="25" t="inlineStr">
        <is>
          <t>IA-ST-060-STD-01</t>
        </is>
      </c>
      <c r="D140" s="25" t="inlineStr">
        <is>
          <t>IA-ST-CFG-0165</t>
        </is>
      </c>
      <c r="E140" s="25" t="inlineStr">
        <is>
          <t>L5 | L5 EAS Activa penceresiz dış koli (4001006): 60 adet</t>
        </is>
      </c>
      <c r="F140" s="25" t="n">
        <v>49.136</v>
      </c>
      <c r="G140" s="25" t="n">
        <v>7</v>
      </c>
      <c r="H140" s="25" t="inlineStr">
        <is>
          <t>Rev.00</t>
        </is>
      </c>
      <c r="I140" s="31">
        <f>HYPERLINK("01_STARTER/ST-060-STD-01/04_Shipment_Statement.docx","Open")</f>
        <v/>
      </c>
    </row>
    <row r="141">
      <c r="A141" s="25" t="inlineStr">
        <is>
          <t>IA-PPWR-STM-ST-060-STD-02-R00</t>
        </is>
      </c>
      <c r="B141" s="25" t="inlineStr">
        <is>
          <t>ST-060-STD-02</t>
        </is>
      </c>
      <c r="C141" s="25" t="inlineStr">
        <is>
          <t>IA-ST-060-STD-02</t>
        </is>
      </c>
      <c r="D141" s="25" t="inlineStr">
        <is>
          <t>IA-ST-CFG-0166</t>
        </is>
      </c>
      <c r="E141" s="25" t="inlineStr">
        <is>
          <t>L5 | L5 YUASA penceresiz Orta Doğu dış koli (4001105): 60 adet</t>
        </is>
      </c>
      <c r="F141" s="25" t="n">
        <v>49.136</v>
      </c>
      <c r="G141" s="25" t="n">
        <v>7</v>
      </c>
      <c r="H141" s="25" t="inlineStr">
        <is>
          <t>Rev.00</t>
        </is>
      </c>
      <c r="I141" s="31">
        <f>HYPERLINK("01_STARTER/ST-060-STD-02/04_Shipment_Statement.docx","Open")</f>
        <v/>
      </c>
    </row>
    <row r="142">
      <c r="A142" s="25" t="inlineStr">
        <is>
          <t>IA-PPWR-STM-ST-060-STD-03-R00</t>
        </is>
      </c>
      <c r="B142" s="25" t="inlineStr">
        <is>
          <t>ST-060-STD-03</t>
        </is>
      </c>
      <c r="C142" s="25" t="inlineStr">
        <is>
          <t>IA-ST-060-STD-03</t>
        </is>
      </c>
      <c r="D142" s="25" t="inlineStr">
        <is>
          <t>IA-ST-CFG-0167</t>
        </is>
      </c>
      <c r="E142" s="25" t="inlineStr">
        <is>
          <t>L5 | L5 İnci EFB MAX TIGRIS pencereli 2020 dış koli (4001274): 60 adet</t>
        </is>
      </c>
      <c r="F142" s="25" t="n">
        <v>49.136</v>
      </c>
      <c r="G142" s="25" t="n">
        <v>7</v>
      </c>
      <c r="H142" s="25" t="inlineStr">
        <is>
          <t>Rev.00</t>
        </is>
      </c>
      <c r="I142" s="31">
        <f>HYPERLINK("01_STARTER/ST-060-STD-03/04_Shipment_Statement.docx","Open")</f>
        <v/>
      </c>
    </row>
    <row r="143">
      <c r="A143" s="25" t="inlineStr">
        <is>
          <t>IA-PPWR-STM-ST-060-STD-04-R00</t>
        </is>
      </c>
      <c r="B143" s="25" t="inlineStr">
        <is>
          <t>ST-060-STD-04</t>
        </is>
      </c>
      <c r="C143" s="25" t="inlineStr">
        <is>
          <t>IA-ST-060-STD-04</t>
        </is>
      </c>
      <c r="D143" s="25" t="inlineStr">
        <is>
          <t>IA-ST-CFG-0168</t>
        </is>
      </c>
      <c r="E143" s="25" t="inlineStr">
        <is>
          <t>L5 | L5 İnciEFBPANTRA pencereli 90AH830A DL dış koli (4001320): 60 adet</t>
        </is>
      </c>
      <c r="F143" s="25" t="n">
        <v>49.136</v>
      </c>
      <c r="G143" s="25" t="n">
        <v>7</v>
      </c>
      <c r="H143" s="25" t="inlineStr">
        <is>
          <t>Rev.00</t>
        </is>
      </c>
      <c r="I143" s="31">
        <f>HYPERLINK("01_STARTER/ST-060-STD-04/04_Shipment_Statement.docx","Open")</f>
        <v/>
      </c>
    </row>
    <row r="144">
      <c r="A144" s="25" t="inlineStr">
        <is>
          <t>IA-PPWR-STM-ST-060-STD-05-R00</t>
        </is>
      </c>
      <c r="B144" s="25" t="inlineStr">
        <is>
          <t>ST-060-STD-05</t>
        </is>
      </c>
      <c r="C144" s="25" t="inlineStr">
        <is>
          <t>IA-ST-060-STD-05</t>
        </is>
      </c>
      <c r="D144" s="25" t="inlineStr">
        <is>
          <t>IA-ST-CFG-0169</t>
        </is>
      </c>
      <c r="E144" s="25" t="inlineStr">
        <is>
          <t>L5 | L5 İnci FORMULA-MAXIMA 2019 dış koli (4001208): 60 adet</t>
        </is>
      </c>
      <c r="F144" s="25" t="n">
        <v>49.556</v>
      </c>
      <c r="G144" s="25" t="n">
        <v>7</v>
      </c>
      <c r="H144" s="25" t="inlineStr">
        <is>
          <t>Rev.00</t>
        </is>
      </c>
      <c r="I144" s="31">
        <f>HYPERLINK("01_STARTER/ST-060-STD-05/04_Shipment_Statement.docx","Open")</f>
        <v/>
      </c>
    </row>
    <row r="145">
      <c r="A145" s="25" t="inlineStr">
        <is>
          <t>IA-PPWR-STM-ST-063-EUR-01-R00</t>
        </is>
      </c>
      <c r="B145" s="25" t="inlineStr">
        <is>
          <t>ST-063-EUR-01</t>
        </is>
      </c>
      <c r="C145" s="25" t="inlineStr">
        <is>
          <t>IA-ST-063-EUR-01</t>
        </is>
      </c>
      <c r="D145" s="25" t="inlineStr">
        <is>
          <t>IA-ST-CFG-0188</t>
        </is>
      </c>
      <c r="E145" s="25" t="inlineStr">
        <is>
          <t>D23 | Palet (4000038): 1 adet | Honeycomb (4001186): 3 adet</t>
        </is>
      </c>
      <c r="F145" s="25" t="n">
        <v>30.326</v>
      </c>
      <c r="G145" s="25" t="n">
        <v>7</v>
      </c>
      <c r="H145" s="25" t="inlineStr">
        <is>
          <t>Rev.00</t>
        </is>
      </c>
      <c r="I145" s="31">
        <f>HYPERLINK("01_STARTER/ST-063-EUR-01/04_Shipment_Statement.docx","Open")</f>
        <v/>
      </c>
    </row>
    <row r="146">
      <c r="A146" s="25" t="inlineStr">
        <is>
          <t>IA-PPWR-STM-ST-063-EUR-02-R00</t>
        </is>
      </c>
      <c r="B146" s="25" t="inlineStr">
        <is>
          <t>ST-063-EUR-02</t>
        </is>
      </c>
      <c r="C146" s="25" t="inlineStr">
        <is>
          <t>IA-ST-063-EUR-02</t>
        </is>
      </c>
      <c r="D146" s="25" t="inlineStr">
        <is>
          <t>IA-ST-CFG-0189</t>
        </is>
      </c>
      <c r="E146" s="25" t="inlineStr">
        <is>
          <t>D23 | Palet (4000038): 1 adet | EPS (4001247): 3 adet</t>
        </is>
      </c>
      <c r="F146" s="25" t="n">
        <v>27.506</v>
      </c>
      <c r="G146" s="25" t="n">
        <v>7</v>
      </c>
      <c r="H146" s="25" t="inlineStr">
        <is>
          <t>Rev.00</t>
        </is>
      </c>
      <c r="I146" s="31">
        <f>HYPERLINK("01_STARTER/ST-063-EUR-02/04_Shipment_Statement.docx","Open")</f>
        <v/>
      </c>
    </row>
    <row r="147">
      <c r="A147" s="25" t="inlineStr">
        <is>
          <t>IA-PPWR-STM-ST-063-STD-01-R00</t>
        </is>
      </c>
      <c r="B147" s="25" t="inlineStr">
        <is>
          <t>ST-063-STD-01</t>
        </is>
      </c>
      <c r="C147" s="25" t="inlineStr">
        <is>
          <t>IA-ST-063-STD-01</t>
        </is>
      </c>
      <c r="D147" s="25" t="inlineStr">
        <is>
          <t>IA-ST-CFG-0172</t>
        </is>
      </c>
      <c r="E147" s="25" t="inlineStr">
        <is>
          <t>D23 | D23 İnci EFBPANTERA YÜKSEK PENLİ DL dış koli (4001270): 63 adet</t>
        </is>
      </c>
      <c r="F147" s="25" t="n">
        <v>47.40341</v>
      </c>
      <c r="G147" s="25" t="n">
        <v>8</v>
      </c>
      <c r="H147" s="25" t="inlineStr">
        <is>
          <t>Rev.00</t>
        </is>
      </c>
      <c r="I147" s="31">
        <f>HYPERLINK("01_STARTER/ST-063-STD-01/04_Shipment_Statement.docx","Open")</f>
        <v/>
      </c>
    </row>
    <row r="148">
      <c r="A148" s="25" t="inlineStr">
        <is>
          <t>IA-PPWR-STM-ST-063-STD-02-R00</t>
        </is>
      </c>
      <c r="B148" s="25" t="inlineStr">
        <is>
          <t>ST-063-STD-02</t>
        </is>
      </c>
      <c r="C148" s="25" t="inlineStr">
        <is>
          <t>IA-ST-063-STD-02</t>
        </is>
      </c>
      <c r="D148" s="25" t="inlineStr">
        <is>
          <t>IA-ST-CFG-0173</t>
        </is>
      </c>
      <c r="E148" s="25" t="inlineStr">
        <is>
          <t>D26 | Palet (4000037): 1 adet | Separatör (4000130): 1 adet | EPS (4000370): 3 adet</t>
        </is>
      </c>
      <c r="F148" s="25" t="n">
        <v>27.708</v>
      </c>
      <c r="G148" s="25" t="n">
        <v>7</v>
      </c>
      <c r="H148" s="25" t="inlineStr">
        <is>
          <t>Rev.00</t>
        </is>
      </c>
      <c r="I148" s="31">
        <f>HYPERLINK("01_STARTER/ST-063-STD-02/04_Shipment_Statement.docx","Open")</f>
        <v/>
      </c>
    </row>
    <row r="149">
      <c r="A149" s="25" t="inlineStr">
        <is>
          <t>IA-PPWR-STM-ST-063-STD-03-R00</t>
        </is>
      </c>
      <c r="B149" s="25" t="inlineStr">
        <is>
          <t>ST-063-STD-03</t>
        </is>
      </c>
      <c r="C149" s="25" t="inlineStr">
        <is>
          <t>IA-ST-063-STD-03</t>
        </is>
      </c>
      <c r="D149" s="25" t="inlineStr">
        <is>
          <t>IA-ST-CFG-0174</t>
        </is>
      </c>
      <c r="E149" s="25" t="inlineStr">
        <is>
          <t>D26 | Separatör (4000130): 1 adet | D26 PVC üst kapak (4000440): 63 adet</t>
        </is>
      </c>
      <c r="F149" s="25" t="n">
        <v>33.628</v>
      </c>
      <c r="G149" s="25" t="n">
        <v>8</v>
      </c>
      <c r="H149" s="25" t="inlineStr">
        <is>
          <t>Rev.00</t>
        </is>
      </c>
      <c r="I149" s="31">
        <f>HYPERLINK("01_STARTER/ST-063-STD-03/04_Shipment_Statement.docx","Open")</f>
        <v/>
      </c>
    </row>
    <row r="150">
      <c r="A150" s="25" t="inlineStr">
        <is>
          <t>IA-PPWR-STM-ST-063-STD-04-R00</t>
        </is>
      </c>
      <c r="B150" s="25" t="inlineStr">
        <is>
          <t>ST-063-STD-04</t>
        </is>
      </c>
      <c r="C150" s="25" t="inlineStr">
        <is>
          <t>IA-ST-063-STD-04</t>
        </is>
      </c>
      <c r="D150" s="25" t="inlineStr">
        <is>
          <t>IA-ST-CFG-0175</t>
        </is>
      </c>
      <c r="E150" s="25" t="inlineStr">
        <is>
          <t>D26 | D26 PVC üst kapak (4000440): 63 adet | Köşebent (4000590): 2 adet</t>
        </is>
      </c>
      <c r="F150" s="25" t="n">
        <v>34.1512</v>
      </c>
      <c r="G150" s="25" t="n">
        <v>8</v>
      </c>
      <c r="H150" s="25" t="inlineStr">
        <is>
          <t>Rev.00</t>
        </is>
      </c>
      <c r="I150" s="31">
        <f>HYPERLINK("01_STARTER/ST-063-STD-04/04_Shipment_Statement.docx","Open")</f>
        <v/>
      </c>
    </row>
    <row r="151">
      <c r="A151" s="25" t="inlineStr">
        <is>
          <t>IA-PPWR-STM-ST-063-STD-05-R00</t>
        </is>
      </c>
      <c r="B151" s="25" t="inlineStr">
        <is>
          <t>ST-063-STD-05</t>
        </is>
      </c>
      <c r="C151" s="25" t="inlineStr">
        <is>
          <t>IA-ST-063-STD-05</t>
        </is>
      </c>
      <c r="D151" s="25" t="inlineStr">
        <is>
          <t>IA-ST-CFG-0176</t>
        </is>
      </c>
      <c r="E151" s="25" t="inlineStr">
        <is>
          <t>D26 | D26 PVC üst kapak (4000440): 63 adet | Çember (4000450): kullanılmaz</t>
        </is>
      </c>
      <c r="F151" s="25" t="n">
        <v>33.8644</v>
      </c>
      <c r="G151" s="25" t="n">
        <v>6</v>
      </c>
      <c r="H151" s="25" t="inlineStr">
        <is>
          <t>Rev.00</t>
        </is>
      </c>
      <c r="I151" s="31">
        <f>HYPERLINK("01_STARTER/ST-063-STD-05/04_Shipment_Statement.docx","Open")</f>
        <v/>
      </c>
    </row>
    <row r="152">
      <c r="A152" s="25" t="inlineStr">
        <is>
          <t>IA-PPWR-STM-ST-063-STD-06-R00</t>
        </is>
      </c>
      <c r="B152" s="25" t="inlineStr">
        <is>
          <t>ST-063-STD-06</t>
        </is>
      </c>
      <c r="C152" s="25" t="inlineStr">
        <is>
          <t>IA-ST-063-STD-06</t>
        </is>
      </c>
      <c r="D152" s="25" t="inlineStr">
        <is>
          <t>IA-ST-CFG-0177</t>
        </is>
      </c>
      <c r="E152" s="25" t="inlineStr">
        <is>
          <t>L3 | Palet (4000037): 1 adet | Köşebent (4000590): 4 adet</t>
        </is>
      </c>
      <c r="F152" s="25" t="n">
        <v>28.206</v>
      </c>
      <c r="G152" s="25" t="n">
        <v>6</v>
      </c>
      <c r="H152" s="25" t="inlineStr">
        <is>
          <t>Rev.00</t>
        </is>
      </c>
      <c r="I152" s="31">
        <f>HYPERLINK("01_STARTER/ST-063-STD-06/04_Shipment_Statement.docx","Open")</f>
        <v/>
      </c>
    </row>
    <row r="153">
      <c r="A153" s="25" t="inlineStr">
        <is>
          <t>IA-PPWR-STM-ST-063-STD-07-R00</t>
        </is>
      </c>
      <c r="B153" s="25" t="inlineStr">
        <is>
          <t>ST-063-STD-07</t>
        </is>
      </c>
      <c r="C153" s="25" t="inlineStr">
        <is>
          <t>IA-ST-063-STD-07</t>
        </is>
      </c>
      <c r="D153" s="25" t="inlineStr">
        <is>
          <t>IA-ST-CFG-0178</t>
        </is>
      </c>
      <c r="E153" s="25" t="inlineStr">
        <is>
          <t>LB3 | Palet (4000037): 1 adet | Shrink film (4000558): 1.95 kg | Köşebent (4000590): 2 adet</t>
        </is>
      </c>
      <c r="F153" s="25" t="n">
        <v>29.8692</v>
      </c>
      <c r="G153" s="25" t="n">
        <v>7</v>
      </c>
      <c r="H153" s="25" t="inlineStr">
        <is>
          <t>Rev.00</t>
        </is>
      </c>
      <c r="I153" s="31">
        <f>HYPERLINK("01_STARTER/ST-063-STD-07/04_Shipment_Statement.docx","Open")</f>
        <v/>
      </c>
    </row>
    <row r="154">
      <c r="A154" s="25" t="inlineStr">
        <is>
          <t>IA-PPWR-STM-ST-063-STD-08-R00</t>
        </is>
      </c>
      <c r="B154" s="25" t="inlineStr">
        <is>
          <t>ST-063-STD-08</t>
        </is>
      </c>
      <c r="C154" s="25" t="inlineStr">
        <is>
          <t>IA-ST-063-STD-08</t>
        </is>
      </c>
      <c r="D154" s="25" t="inlineStr">
        <is>
          <t>IA-ST-CFG-0179</t>
        </is>
      </c>
      <c r="E154" s="25" t="inlineStr">
        <is>
          <t>L3 | Palet (4000037): 1 adet | Separatör (4000130): 4 adet | Shrink film (4000558): 2.08 kg</t>
        </is>
      </c>
      <c r="F154" s="25" t="n">
        <v>29.9992</v>
      </c>
      <c r="G154" s="25" t="n">
        <v>7</v>
      </c>
      <c r="H154" s="25" t="inlineStr">
        <is>
          <t>Rev.00</t>
        </is>
      </c>
      <c r="I154" s="31">
        <f>HYPERLINK("01_STARTER/ST-063-STD-08/04_Shipment_Statement.docx","Open")</f>
        <v/>
      </c>
    </row>
    <row r="155">
      <c r="A155" s="25" t="inlineStr">
        <is>
          <t>IA-PPWR-STM-ST-063-STD-09-R00</t>
        </is>
      </c>
      <c r="B155" s="25" t="inlineStr">
        <is>
          <t>ST-063-STD-09</t>
        </is>
      </c>
      <c r="C155" s="25" t="inlineStr">
        <is>
          <t>IA-ST-063-STD-09</t>
        </is>
      </c>
      <c r="D155" s="25" t="inlineStr">
        <is>
          <t>IA-ST-CFG-0180</t>
        </is>
      </c>
      <c r="E155" s="25" t="inlineStr">
        <is>
          <t>LB3 | Palet (4000037): 1 adet | Shrink film (4000558): kullanılmaz</t>
        </is>
      </c>
      <c r="F155" s="25" t="n">
        <v>27.9192</v>
      </c>
      <c r="G155" s="25" t="n">
        <v>6</v>
      </c>
      <c r="H155" s="25" t="inlineStr">
        <is>
          <t>Rev.00</t>
        </is>
      </c>
      <c r="I155" s="31">
        <f>HYPERLINK("01_STARTER/ST-063-STD-09/04_Shipment_Statement.docx","Open")</f>
        <v/>
      </c>
    </row>
    <row r="156">
      <c r="A156" s="25" t="inlineStr">
        <is>
          <t>IA-PPWR-STM-ST-063-STD-10-R00</t>
        </is>
      </c>
      <c r="B156" s="25" t="inlineStr">
        <is>
          <t>ST-063-STD-10</t>
        </is>
      </c>
      <c r="C156" s="25" t="inlineStr">
        <is>
          <t>IA-ST-063-STD-10</t>
        </is>
      </c>
      <c r="D156" s="25" t="inlineStr">
        <is>
          <t>IA-ST-CFG-0181</t>
        </is>
      </c>
      <c r="E156" s="25" t="inlineStr">
        <is>
          <t>LB3 | Palet (4000037): 1 adet | Köşebent (4000590): kullanılmaz</t>
        </is>
      </c>
      <c r="F156" s="25" t="n">
        <v>29.5824</v>
      </c>
      <c r="G156" s="25" t="n">
        <v>5</v>
      </c>
      <c r="H156" s="25" t="inlineStr">
        <is>
          <t>Rev.00</t>
        </is>
      </c>
      <c r="I156" s="31">
        <f>HYPERLINK("01_STARTER/ST-063-STD-10/04_Shipment_Statement.docx","Open")</f>
        <v/>
      </c>
    </row>
    <row r="157">
      <c r="A157" s="25" t="inlineStr">
        <is>
          <t>IA-PPWR-STM-ST-063-STD-11-R00</t>
        </is>
      </c>
      <c r="B157" s="25" t="inlineStr">
        <is>
          <t>ST-063-STD-11</t>
        </is>
      </c>
      <c r="C157" s="25" t="inlineStr">
        <is>
          <t>IA-ST-063-STD-11</t>
        </is>
      </c>
      <c r="D157" s="25" t="inlineStr">
        <is>
          <t>IA-ST-CFG-0182</t>
        </is>
      </c>
      <c r="E157" s="25" t="inlineStr">
        <is>
          <t>L3, LB3 | Palet (4000037): 1 adet | Shrink film (4000558): 2.08 kg</t>
        </is>
      </c>
      <c r="F157" s="25" t="n">
        <v>29.7124</v>
      </c>
      <c r="G157" s="25" t="n">
        <v>5</v>
      </c>
      <c r="H157" s="25" t="inlineStr">
        <is>
          <t>Rev.00</t>
        </is>
      </c>
      <c r="I157" s="31">
        <f>HYPERLINK("01_STARTER/ST-063-STD-11/04_Shipment_Statement.docx","Open")</f>
        <v/>
      </c>
    </row>
    <row r="158">
      <c r="A158" s="25" t="inlineStr">
        <is>
          <t>IA-PPWR-STM-ST-063-STD-12-R00</t>
        </is>
      </c>
      <c r="B158" s="25" t="inlineStr">
        <is>
          <t>ST-063-STD-12</t>
        </is>
      </c>
      <c r="C158" s="25" t="inlineStr">
        <is>
          <t>IA-ST-063-STD-12</t>
        </is>
      </c>
      <c r="D158" s="25" t="inlineStr">
        <is>
          <t>IA-ST-CFG-0183</t>
        </is>
      </c>
      <c r="E158" s="25" t="inlineStr">
        <is>
          <t>D26 | Palet (4000037): 1 adet | Shrink film (4001177): 0.597 kg</t>
        </is>
      </c>
      <c r="F158" s="25" t="n">
        <v>28.649</v>
      </c>
      <c r="G158" s="25" t="n">
        <v>7</v>
      </c>
      <c r="H158" s="25" t="inlineStr">
        <is>
          <t>Rev.00</t>
        </is>
      </c>
      <c r="I158" s="31">
        <f>HYPERLINK("01_STARTER/ST-063-STD-12/04_Shipment_Statement.docx","Open")</f>
        <v/>
      </c>
    </row>
    <row r="159">
      <c r="A159" s="25" t="inlineStr">
        <is>
          <t>IA-PPWR-STM-ST-063-STD-13-R00</t>
        </is>
      </c>
      <c r="B159" s="25" t="inlineStr">
        <is>
          <t>ST-063-STD-13</t>
        </is>
      </c>
      <c r="C159" s="25" t="inlineStr">
        <is>
          <t>IA-ST-063-STD-13</t>
        </is>
      </c>
      <c r="D159" s="25" t="inlineStr">
        <is>
          <t>IA-ST-CFG-0184</t>
        </is>
      </c>
      <c r="E159" s="25" t="inlineStr">
        <is>
          <t>L3 | Palet (4000037): 1 adet | Shrink film (4001177): 0.597 kg</t>
        </is>
      </c>
      <c r="F159" s="25" t="n">
        <v>28.417</v>
      </c>
      <c r="G159" s="25" t="n">
        <v>6</v>
      </c>
      <c r="H159" s="25" t="inlineStr">
        <is>
          <t>Rev.00</t>
        </is>
      </c>
      <c r="I159" s="31">
        <f>HYPERLINK("01_STARTER/ST-063-STD-13/04_Shipment_Statement.docx","Open")</f>
        <v/>
      </c>
    </row>
    <row r="160">
      <c r="A160" s="25" t="inlineStr">
        <is>
          <t>IA-PPWR-STM-ST-063-STD-14-R00</t>
        </is>
      </c>
      <c r="B160" s="25" t="inlineStr">
        <is>
          <t>ST-063-STD-14</t>
        </is>
      </c>
      <c r="C160" s="25" t="inlineStr">
        <is>
          <t>IA-ST-063-STD-14</t>
        </is>
      </c>
      <c r="D160" s="25" t="inlineStr">
        <is>
          <t>IA-ST-CFG-0185</t>
        </is>
      </c>
      <c r="E160" s="25" t="inlineStr">
        <is>
          <t>LB3, L3 | Palet (4000037): 1 adet | Shrink film (4001177): 0.597 kg</t>
        </is>
      </c>
      <c r="F160" s="25" t="n">
        <v>28.617</v>
      </c>
      <c r="G160" s="25" t="n">
        <v>6</v>
      </c>
      <c r="H160" s="25" t="inlineStr">
        <is>
          <t>Rev.00</t>
        </is>
      </c>
      <c r="I160" s="31">
        <f>HYPERLINK("01_STARTER/ST-063-STD-14/04_Shipment_Statement.docx","Open")</f>
        <v/>
      </c>
    </row>
    <row r="161">
      <c r="A161" s="25" t="inlineStr">
        <is>
          <t>IA-PPWR-STM-ST-063-STD-15-R00</t>
        </is>
      </c>
      <c r="B161" s="25" t="inlineStr">
        <is>
          <t>ST-063-STD-15</t>
        </is>
      </c>
      <c r="C161" s="25" t="inlineStr">
        <is>
          <t>IA-ST-063-STD-15</t>
        </is>
      </c>
      <c r="D161" s="25" t="inlineStr">
        <is>
          <t>IA-ST-CFG-0186</t>
        </is>
      </c>
      <c r="E161" s="25" t="inlineStr">
        <is>
          <t>L3 | Palet (4000037): 1 adet | Separatör (4000130): 5 adet</t>
        </is>
      </c>
      <c r="F161" s="25" t="n">
        <v>30.2692</v>
      </c>
      <c r="G161" s="25" t="n">
        <v>7</v>
      </c>
      <c r="H161" s="25" t="inlineStr">
        <is>
          <t>Rev.00</t>
        </is>
      </c>
      <c r="I161" s="31">
        <f>HYPERLINK("01_STARTER/ST-063-STD-15/04_Shipment_Statement.docx","Open")</f>
        <v/>
      </c>
    </row>
    <row r="162">
      <c r="A162" s="25" t="inlineStr">
        <is>
          <t>IA-PPWR-STM-ST-064-EUR-01-R00</t>
        </is>
      </c>
      <c r="B162" s="25" t="inlineStr">
        <is>
          <t>ST-064-EUR-01</t>
        </is>
      </c>
      <c r="C162" s="25" t="inlineStr">
        <is>
          <t>IA-ST-064-EUR-01</t>
        </is>
      </c>
      <c r="D162" s="25" t="inlineStr">
        <is>
          <t>IA-ST-CFG-0190</t>
        </is>
      </c>
      <c r="E162" s="25" t="inlineStr">
        <is>
          <t>L3 | L3 İnci AGM LEO 70AH 760A pencereli dış koli (4001237): 64 adet</t>
        </is>
      </c>
      <c r="F162" s="25" t="n">
        <v>44.8124</v>
      </c>
      <c r="G162" s="25" t="n">
        <v>6</v>
      </c>
      <c r="H162" s="25" t="inlineStr">
        <is>
          <t>Rev.00</t>
        </is>
      </c>
      <c r="I162" s="31">
        <f>HYPERLINK("01_STARTER/ST-064-EUR-01/04_Shipment_Statement.docx","Open")</f>
        <v/>
      </c>
    </row>
    <row r="163">
      <c r="A163" s="25" t="inlineStr">
        <is>
          <t>IA-PPWR-STM-ST-066-STD-01-R00</t>
        </is>
      </c>
      <c r="B163" s="25" t="inlineStr">
        <is>
          <t>ST-066-STD-01</t>
        </is>
      </c>
      <c r="C163" s="25" t="inlineStr">
        <is>
          <t>IA-ST-066-STD-01</t>
        </is>
      </c>
      <c r="D163" s="25" t="inlineStr">
        <is>
          <t>IA-ST-CFG-0191</t>
        </is>
      </c>
      <c r="E163" s="25" t="inlineStr">
        <is>
          <t>L2 | L2 YUASA penceresiz Orta Doğu dış koli (4001102): 66 adet</t>
        </is>
      </c>
      <c r="F163" s="25" t="n">
        <v>44.906</v>
      </c>
      <c r="G163" s="25" t="n">
        <v>7</v>
      </c>
      <c r="H163" s="25" t="inlineStr">
        <is>
          <t>Rev.00</t>
        </is>
      </c>
      <c r="I163" s="31">
        <f>HYPERLINK("01_STARTER/ST-066-STD-01/04_Shipment_Statement.docx","Open")</f>
        <v/>
      </c>
    </row>
    <row r="164">
      <c r="A164" s="25" t="inlineStr">
        <is>
          <t>IA-PPWR-STM-ST-066-STD-02-R00</t>
        </is>
      </c>
      <c r="B164" s="25" t="inlineStr">
        <is>
          <t>ST-066-STD-02</t>
        </is>
      </c>
      <c r="C164" s="25" t="inlineStr">
        <is>
          <t>IA-ST-066-STD-02</t>
        </is>
      </c>
      <c r="D164" s="25" t="inlineStr">
        <is>
          <t>IA-ST-CFG-0192</t>
        </is>
      </c>
      <c r="E164" s="25" t="inlineStr">
        <is>
          <t>L2 | L2 İnci AGM LEO 60AH 680A pencereli dış koli (4001340): 66 adet</t>
        </is>
      </c>
      <c r="F164" s="25" t="n">
        <v>45.326</v>
      </c>
      <c r="G164" s="25" t="n">
        <v>7</v>
      </c>
      <c r="H164" s="25" t="inlineStr">
        <is>
          <t>Rev.00</t>
        </is>
      </c>
      <c r="I164" s="31">
        <f>HYPERLINK("01_STARTER/ST-066-STD-02/04_Shipment_Statement.docx","Open")</f>
        <v/>
      </c>
    </row>
    <row r="165">
      <c r="A165" s="25" t="inlineStr">
        <is>
          <t>IA-PPWR-STM-ST-066-STD-03-R00</t>
        </is>
      </c>
      <c r="B165" s="25" t="inlineStr">
        <is>
          <t>ST-066-STD-03</t>
        </is>
      </c>
      <c r="C165" s="25" t="inlineStr">
        <is>
          <t>IA-ST-066-STD-03</t>
        </is>
      </c>
      <c r="D165" s="25" t="inlineStr">
        <is>
          <t>IA-ST-CFG-0193</t>
        </is>
      </c>
      <c r="E165" s="25" t="inlineStr">
        <is>
          <t>L2 | L2 EAS AGM S&amp;S 60AH 680A pencereli dış koli (4001395): 66 adet</t>
        </is>
      </c>
      <c r="F165" s="25" t="n">
        <v>45.326</v>
      </c>
      <c r="G165" s="25" t="n">
        <v>7</v>
      </c>
      <c r="H165" s="25" t="inlineStr">
        <is>
          <t>Rev.00</t>
        </is>
      </c>
      <c r="I165" s="31">
        <f>HYPERLINK("01_STARTER/ST-066-STD-03/04_Shipment_Statement.docx","Open")</f>
        <v/>
      </c>
    </row>
    <row r="166">
      <c r="A166" s="25" t="inlineStr">
        <is>
          <t>IA-PPWR-STM-ST-068-EUR-01-R00</t>
        </is>
      </c>
      <c r="B166" s="25" t="inlineStr">
        <is>
          <t>ST-068-EUR-01</t>
        </is>
      </c>
      <c r="C166" s="25" t="inlineStr">
        <is>
          <t>IA-ST-068-EUR-01</t>
        </is>
      </c>
      <c r="D166" s="25" t="inlineStr">
        <is>
          <t>IA-ST-CFG-0198</t>
        </is>
      </c>
      <c r="E166" s="25" t="inlineStr">
        <is>
          <t>L3, LB3 | Palet (4000038): 1 adet | Köşebent (4000590): 4 adet</t>
        </is>
      </c>
      <c r="F166" s="25" t="n">
        <v>28.126</v>
      </c>
      <c r="G166" s="25" t="n">
        <v>6</v>
      </c>
      <c r="H166" s="25" t="inlineStr">
        <is>
          <t>Rev.00</t>
        </is>
      </c>
      <c r="I166" s="31">
        <f>HYPERLINK("01_STARTER/ST-068-EUR-01/04_Shipment_Statement.docx","Open")</f>
        <v/>
      </c>
    </row>
    <row r="167">
      <c r="A167" s="25" t="inlineStr">
        <is>
          <t>IA-PPWR-STM-ST-068-EUR-02-R00</t>
        </is>
      </c>
      <c r="B167" s="25" t="inlineStr">
        <is>
          <t>ST-068-EUR-02</t>
        </is>
      </c>
      <c r="C167" s="25" t="inlineStr">
        <is>
          <t>IA-ST-068-EUR-02</t>
        </is>
      </c>
      <c r="D167" s="25" t="inlineStr">
        <is>
          <t>IA-ST-CFG-0199</t>
        </is>
      </c>
      <c r="E167" s="25" t="inlineStr">
        <is>
          <t>LB3 | Palet (4000038): 1 adet | Shrink film (4000558): 2.105 kg</t>
        </is>
      </c>
      <c r="F167" s="25" t="n">
        <v>29.9442</v>
      </c>
      <c r="G167" s="25" t="n">
        <v>7</v>
      </c>
      <c r="H167" s="25" t="inlineStr">
        <is>
          <t>Rev.00</t>
        </is>
      </c>
      <c r="I167" s="31">
        <f>HYPERLINK("01_STARTER/ST-068-EUR-02/04_Shipment_Statement.docx","Open")</f>
        <v/>
      </c>
    </row>
    <row r="168">
      <c r="A168" s="25" t="inlineStr">
        <is>
          <t>IA-PPWR-STM-ST-068-EUR-03-R00</t>
        </is>
      </c>
      <c r="B168" s="25" t="inlineStr">
        <is>
          <t>ST-068-EUR-03</t>
        </is>
      </c>
      <c r="C168" s="25" t="inlineStr">
        <is>
          <t>IA-ST-068-EUR-03</t>
        </is>
      </c>
      <c r="D168" s="25" t="inlineStr">
        <is>
          <t>IA-ST-CFG-0200</t>
        </is>
      </c>
      <c r="E168" s="25" t="inlineStr">
        <is>
          <t>L3 | Palet (4000038): 1 adet | Shrink film (4000558): 2.245 kg</t>
        </is>
      </c>
      <c r="F168" s="25" t="n">
        <v>30.0842</v>
      </c>
      <c r="G168" s="25" t="n">
        <v>7</v>
      </c>
      <c r="H168" s="25" t="inlineStr">
        <is>
          <t>Rev.00</t>
        </is>
      </c>
      <c r="I168" s="31">
        <f>HYPERLINK("01_STARTER/ST-068-EUR-03/04_Shipment_Statement.docx","Open")</f>
        <v/>
      </c>
    </row>
    <row r="169">
      <c r="A169" s="25" t="inlineStr">
        <is>
          <t>IA-PPWR-STM-ST-068-EUR-04-R00</t>
        </is>
      </c>
      <c r="B169" s="25" t="inlineStr">
        <is>
          <t>ST-068-EUR-04</t>
        </is>
      </c>
      <c r="C169" s="25" t="inlineStr">
        <is>
          <t>IA-ST-068-EUR-04</t>
        </is>
      </c>
      <c r="D169" s="25" t="inlineStr">
        <is>
          <t>IA-ST-CFG-0201</t>
        </is>
      </c>
      <c r="E169" s="25" t="inlineStr">
        <is>
          <t>LB3, L3 | Palet (4000038): 1 adet | Köşebent (4000590): 2 adet</t>
        </is>
      </c>
      <c r="F169" s="25" t="n">
        <v>27.8392</v>
      </c>
      <c r="G169" s="25" t="n">
        <v>6</v>
      </c>
      <c r="H169" s="25" t="inlineStr">
        <is>
          <t>Rev.00</t>
        </is>
      </c>
      <c r="I169" s="31">
        <f>HYPERLINK("01_STARTER/ST-068-EUR-04/04_Shipment_Statement.docx","Open")</f>
        <v/>
      </c>
    </row>
    <row r="170">
      <c r="A170" s="25" t="inlineStr">
        <is>
          <t>IA-PPWR-STM-ST-068-STD-01-R00</t>
        </is>
      </c>
      <c r="B170" s="25" t="inlineStr">
        <is>
          <t>ST-068-STD-01</t>
        </is>
      </c>
      <c r="C170" s="25" t="inlineStr">
        <is>
          <t>IA-ST-068-STD-01</t>
        </is>
      </c>
      <c r="D170" s="25" t="inlineStr">
        <is>
          <t>IA-ST-CFG-0194</t>
        </is>
      </c>
      <c r="E170" s="25" t="inlineStr">
        <is>
          <t>LB4 | LB4 YUASA penceresiz Orta Doğu dış koli (4001104): 68 adet</t>
        </is>
      </c>
      <c r="F170" s="25" t="n">
        <v>47.696</v>
      </c>
      <c r="G170" s="25" t="n">
        <v>7</v>
      </c>
      <c r="H170" s="25" t="inlineStr">
        <is>
          <t>Rev.00</t>
        </is>
      </c>
      <c r="I170" s="31">
        <f>HYPERLINK("01_STARTER/ST-068-STD-01/04_Shipment_Statement.docx","Open")</f>
        <v/>
      </c>
    </row>
    <row r="171">
      <c r="A171" s="25" t="inlineStr">
        <is>
          <t>IA-PPWR-STM-ST-068-STD-02-R00</t>
        </is>
      </c>
      <c r="B171" s="25" t="inlineStr">
        <is>
          <t>ST-068-STD-02</t>
        </is>
      </c>
      <c r="C171" s="25" t="inlineStr">
        <is>
          <t>IA-ST-068-STD-02</t>
        </is>
      </c>
      <c r="D171" s="25" t="inlineStr">
        <is>
          <t>IA-ST-CFG-0195</t>
        </is>
      </c>
      <c r="E171" s="25" t="inlineStr">
        <is>
          <t>L4 | L4 İnci EFB MAX TIGRIS pencereli 2020 dış koli (4001275): 68 adet</t>
        </is>
      </c>
      <c r="F171" s="25" t="n">
        <v>47.696</v>
      </c>
      <c r="G171" s="25" t="n">
        <v>7</v>
      </c>
      <c r="H171" s="25" t="inlineStr">
        <is>
          <t>Rev.00</t>
        </is>
      </c>
      <c r="I171" s="31">
        <f>HYPERLINK("01_STARTER/ST-068-STD-02/04_Shipment_Statement.docx","Open")</f>
        <v/>
      </c>
    </row>
    <row r="172">
      <c r="A172" s="25" t="inlineStr">
        <is>
          <t>IA-PPWR-STM-ST-068-STD-03-R00</t>
        </is>
      </c>
      <c r="B172" s="25" t="inlineStr">
        <is>
          <t>ST-068-STD-03</t>
        </is>
      </c>
      <c r="C172" s="25" t="inlineStr">
        <is>
          <t>IA-ST-068-STD-03</t>
        </is>
      </c>
      <c r="D172" s="25" t="inlineStr">
        <is>
          <t>IA-ST-CFG-0196</t>
        </is>
      </c>
      <c r="E172" s="25" t="inlineStr">
        <is>
          <t>LB4 | LB4 İnci EFB PANTERA pencereli DL dış koli (4001316): 68 adet</t>
        </is>
      </c>
      <c r="F172" s="25" t="n">
        <v>47.696</v>
      </c>
      <c r="G172" s="25" t="n">
        <v>7</v>
      </c>
      <c r="H172" s="25" t="inlineStr">
        <is>
          <t>Rev.00</t>
        </is>
      </c>
      <c r="I172" s="31">
        <f>HYPERLINK("01_STARTER/ST-068-STD-03/04_Shipment_Statement.docx","Open")</f>
        <v/>
      </c>
    </row>
    <row r="173">
      <c r="A173" s="25" t="inlineStr">
        <is>
          <t>IA-PPWR-STM-ST-068-STD-04-R00</t>
        </is>
      </c>
      <c r="B173" s="25" t="inlineStr">
        <is>
          <t>ST-068-STD-04</t>
        </is>
      </c>
      <c r="C173" s="25" t="inlineStr">
        <is>
          <t>IA-ST-068-STD-04</t>
        </is>
      </c>
      <c r="D173" s="25" t="inlineStr">
        <is>
          <t>IA-ST-CFG-0197</t>
        </is>
      </c>
      <c r="E173" s="25" t="inlineStr">
        <is>
          <t>L4 | L4 İnci EFB PANTERA pencereli DL dış koli (4001318): 68 adet</t>
        </is>
      </c>
      <c r="F173" s="25" t="n">
        <v>47.696</v>
      </c>
      <c r="G173" s="25" t="n">
        <v>7</v>
      </c>
      <c r="H173" s="25" t="inlineStr">
        <is>
          <t>Rev.00</t>
        </is>
      </c>
      <c r="I173" s="31">
        <f>HYPERLINK("01_STARTER/ST-068-STD-04/04_Shipment_Statement.docx","Open")</f>
        <v/>
      </c>
    </row>
    <row r="174">
      <c r="A174" s="25" t="inlineStr">
        <is>
          <t>IA-PPWR-STM-ST-072-EUR-01-R00</t>
        </is>
      </c>
      <c r="B174" s="25" t="inlineStr">
        <is>
          <t>ST-072-EUR-01</t>
        </is>
      </c>
      <c r="C174" s="25" t="inlineStr">
        <is>
          <t>IA-ST-072-EUR-01</t>
        </is>
      </c>
      <c r="D174" s="25" t="inlineStr">
        <is>
          <t>IA-ST-CFG-0204</t>
        </is>
      </c>
      <c r="E174" s="25" t="inlineStr">
        <is>
          <t>LB1 | Palet (4000038): 1 adet | Shrink film (4000556): 1.945 kg</t>
        </is>
      </c>
      <c r="F174" s="25" t="n">
        <v>29.8042</v>
      </c>
      <c r="G174" s="25" t="n">
        <v>7</v>
      </c>
      <c r="H174" s="25" t="inlineStr">
        <is>
          <t>Rev.00</t>
        </is>
      </c>
      <c r="I174" s="31">
        <f>HYPERLINK("01_STARTER/ST-072-EUR-01/04_Shipment_Statement.docx","Open")</f>
        <v/>
      </c>
    </row>
    <row r="175">
      <c r="A175" s="25" t="inlineStr">
        <is>
          <t>IA-PPWR-STM-ST-072-EUR-02-R00</t>
        </is>
      </c>
      <c r="B175" s="25" t="inlineStr">
        <is>
          <t>ST-072-EUR-02</t>
        </is>
      </c>
      <c r="C175" s="25" t="inlineStr">
        <is>
          <t>IA-ST-072-EUR-02</t>
        </is>
      </c>
      <c r="D175" s="25" t="inlineStr">
        <is>
          <t>IA-ST-CFG-0205</t>
        </is>
      </c>
      <c r="E175" s="25" t="inlineStr">
        <is>
          <t>L1 | Palet (4000038): 1 adet | Shrink film (4000556): 2.375 kg</t>
        </is>
      </c>
      <c r="F175" s="25" t="n">
        <v>30.2342</v>
      </c>
      <c r="G175" s="25" t="n">
        <v>7</v>
      </c>
      <c r="H175" s="25" t="inlineStr">
        <is>
          <t>Rev.00</t>
        </is>
      </c>
      <c r="I175" s="31">
        <f>HYPERLINK("01_STARTER/ST-072-EUR-02/04_Shipment_Statement.docx","Open")</f>
        <v/>
      </c>
    </row>
    <row r="176">
      <c r="A176" s="25" t="inlineStr">
        <is>
          <t>IA-PPWR-STM-ST-072-EUR-03-R00</t>
        </is>
      </c>
      <c r="B176" s="25" t="inlineStr">
        <is>
          <t>ST-072-EUR-03</t>
        </is>
      </c>
      <c r="C176" s="25" t="inlineStr">
        <is>
          <t>IA-ST-072-EUR-03</t>
        </is>
      </c>
      <c r="D176" s="25" t="inlineStr">
        <is>
          <t>IA-ST-CFG-0206</t>
        </is>
      </c>
      <c r="E176" s="25" t="inlineStr">
        <is>
          <t>LB1, L1 | Palet (4000038): 1 adet | Köşebent (4000033): 2 adet</t>
        </is>
      </c>
      <c r="F176" s="25" t="n">
        <v>27.8592</v>
      </c>
      <c r="G176" s="25" t="n">
        <v>6</v>
      </c>
      <c r="H176" s="25" t="inlineStr">
        <is>
          <t>Rev.00</t>
        </is>
      </c>
      <c r="I176" s="31">
        <f>HYPERLINK("01_STARTER/ST-072-EUR-03/04_Shipment_Statement.docx","Open")</f>
        <v/>
      </c>
    </row>
    <row r="177">
      <c r="A177" s="25" t="inlineStr">
        <is>
          <t>IA-PPWR-STM-ST-072-EUR-04-R00</t>
        </is>
      </c>
      <c r="B177" s="25" t="inlineStr">
        <is>
          <t>ST-072-EUR-04</t>
        </is>
      </c>
      <c r="C177" s="25" t="inlineStr">
        <is>
          <t>IA-ST-072-EUR-04</t>
        </is>
      </c>
      <c r="D177" s="25" t="inlineStr">
        <is>
          <t>IA-ST-CFG-0209</t>
        </is>
      </c>
      <c r="E177" s="25" t="inlineStr">
        <is>
          <t>L1, LB1 | Palet (4000038): 1 adet | Köşebent (4000033): 4 adet</t>
        </is>
      </c>
      <c r="F177" s="25" t="n">
        <v>28.366</v>
      </c>
      <c r="G177" s="25" t="n">
        <v>6</v>
      </c>
      <c r="H177" s="25" t="inlineStr">
        <is>
          <t>Rev.00</t>
        </is>
      </c>
      <c r="I177" s="31">
        <f>HYPERLINK("01_STARTER/ST-072-EUR-04/04_Shipment_Statement.docx","Open")</f>
        <v/>
      </c>
    </row>
    <row r="178">
      <c r="A178" s="25" t="inlineStr">
        <is>
          <t>IA-PPWR-STM-ST-072-EUR-05-R00</t>
        </is>
      </c>
      <c r="B178" s="25" t="inlineStr">
        <is>
          <t>ST-072-EUR-05</t>
        </is>
      </c>
      <c r="C178" s="25" t="inlineStr">
        <is>
          <t>IA-ST-072-EUR-05</t>
        </is>
      </c>
      <c r="D178" s="25" t="inlineStr">
        <is>
          <t>IA-ST-CFG-0235</t>
        </is>
      </c>
      <c r="E178" s="25" t="inlineStr">
        <is>
          <t>NS60 | NS60 PVC üst kapak (4000602): 72 adet</t>
        </is>
      </c>
      <c r="F178" s="25" t="n">
        <v>33.2594</v>
      </c>
      <c r="G178" s="25" t="n">
        <v>8</v>
      </c>
      <c r="H178" s="25" t="inlineStr">
        <is>
          <t>Rev.00</t>
        </is>
      </c>
      <c r="I178" s="31">
        <f>HYPERLINK("01_STARTER/ST-072-EUR-05/04_Shipment_Statement.docx","Open")</f>
        <v/>
      </c>
    </row>
    <row r="179">
      <c r="A179" s="25" t="inlineStr">
        <is>
          <t>IA-PPWR-STM-ST-072-EUR-06-R00</t>
        </is>
      </c>
      <c r="B179" s="25" t="inlineStr">
        <is>
          <t>ST-072-EUR-06</t>
        </is>
      </c>
      <c r="C179" s="25" t="inlineStr">
        <is>
          <t>IA-ST-072-EUR-06</t>
        </is>
      </c>
      <c r="D179" s="25" t="inlineStr">
        <is>
          <t>IA-ST-CFG-0236</t>
        </is>
      </c>
      <c r="E179" s="25" t="inlineStr">
        <is>
          <t>L0 | Palet (4000038): 1 adet | Köşebent (4000590): 4 adet</t>
        </is>
      </c>
      <c r="F179" s="25" t="n">
        <v>27.926</v>
      </c>
      <c r="G179" s="25" t="n">
        <v>6</v>
      </c>
      <c r="H179" s="25" t="inlineStr">
        <is>
          <t>Rev.00</t>
        </is>
      </c>
      <c r="I179" s="31">
        <f>HYPERLINK("01_STARTER/ST-072-EUR-06/04_Shipment_Statement.docx","Open")</f>
        <v/>
      </c>
    </row>
    <row r="180">
      <c r="A180" s="25" t="inlineStr">
        <is>
          <t>IA-PPWR-STM-ST-072-STD-01-R00</t>
        </is>
      </c>
      <c r="B180" s="25" t="inlineStr">
        <is>
          <t>ST-072-STD-01</t>
        </is>
      </c>
      <c r="C180" s="25" t="inlineStr">
        <is>
          <t>IA-ST-072-STD-01</t>
        </is>
      </c>
      <c r="D180" s="25" t="inlineStr">
        <is>
          <t>IA-ST-CFG-0210</t>
        </is>
      </c>
      <c r="E180" s="25" t="inlineStr">
        <is>
          <t>L3 | L3 EAS Activa penceresiz dış koli (4000646): 72 adet</t>
        </is>
      </c>
      <c r="F180" s="25" t="n">
        <v>47.336</v>
      </c>
      <c r="G180" s="25" t="n">
        <v>7</v>
      </c>
      <c r="H180" s="25" t="inlineStr">
        <is>
          <t>Rev.00</t>
        </is>
      </c>
      <c r="I180" s="31">
        <f>HYPERLINK("01_STARTER/ST-072-STD-01/04_Shipment_Statement.docx","Open")</f>
        <v/>
      </c>
    </row>
    <row r="181">
      <c r="A181" s="25" t="inlineStr">
        <is>
          <t>IA-PPWR-STM-ST-072-STD-02-R00</t>
        </is>
      </c>
      <c r="B181" s="25" t="inlineStr">
        <is>
          <t>ST-072-STD-02</t>
        </is>
      </c>
      <c r="C181" s="25" t="inlineStr">
        <is>
          <t>IA-ST-072-STD-02</t>
        </is>
      </c>
      <c r="D181" s="25" t="inlineStr">
        <is>
          <t>IA-ST-CFG-0211</t>
        </is>
      </c>
      <c r="E181" s="25" t="inlineStr">
        <is>
          <t>LB3 | LB3 İnci EFB PANTERA pencereli DL dış koli (4001314): 72 adet</t>
        </is>
      </c>
      <c r="F181" s="25" t="n">
        <v>50.936</v>
      </c>
      <c r="G181" s="25" t="n">
        <v>7</v>
      </c>
      <c r="H181" s="25" t="inlineStr">
        <is>
          <t>Rev.00</t>
        </is>
      </c>
      <c r="I181" s="31">
        <f>HYPERLINK("01_STARTER/ST-072-STD-02/04_Shipment_Statement.docx","Open")</f>
        <v/>
      </c>
    </row>
    <row r="182">
      <c r="A182" s="25" t="inlineStr">
        <is>
          <t>IA-PPWR-STM-ST-072-STD-03-R00</t>
        </is>
      </c>
      <c r="B182" s="25" t="inlineStr">
        <is>
          <t>ST-072-STD-03</t>
        </is>
      </c>
      <c r="C182" s="25" t="inlineStr">
        <is>
          <t>IA-ST-072-STD-03</t>
        </is>
      </c>
      <c r="D182" s="25" t="inlineStr">
        <is>
          <t>IA-ST-CFG-0212</t>
        </is>
      </c>
      <c r="E182" s="25" t="inlineStr">
        <is>
          <t>L3 | L3 İnci EFB PANTERA pencereli DL dış koli (4001315): 72 adet</t>
        </is>
      </c>
      <c r="F182" s="25" t="n">
        <v>47.336</v>
      </c>
      <c r="G182" s="25" t="n">
        <v>7</v>
      </c>
      <c r="H182" s="25" t="inlineStr">
        <is>
          <t>Rev.00</t>
        </is>
      </c>
      <c r="I182" s="31">
        <f>HYPERLINK("01_STARTER/ST-072-STD-03/04_Shipment_Statement.docx","Open")</f>
        <v/>
      </c>
    </row>
    <row r="183">
      <c r="A183" s="25" t="inlineStr">
        <is>
          <t>IA-PPWR-STM-ST-072-STD-04-R00</t>
        </is>
      </c>
      <c r="B183" s="25" t="inlineStr">
        <is>
          <t>ST-072-STD-04</t>
        </is>
      </c>
      <c r="C183" s="25" t="inlineStr">
        <is>
          <t>IA-ST-072-STD-04</t>
        </is>
      </c>
      <c r="D183" s="25" t="inlineStr">
        <is>
          <t>IA-ST-CFG-0213</t>
        </is>
      </c>
      <c r="E183" s="25" t="inlineStr">
        <is>
          <t>L3 | L3 EAS EFB MAX pencereli 2024 dış koli (4001411): 72 adet</t>
        </is>
      </c>
      <c r="F183" s="25" t="n">
        <v>47.336</v>
      </c>
      <c r="G183" s="25" t="n">
        <v>7</v>
      </c>
      <c r="H183" s="25" t="inlineStr">
        <is>
          <t>Rev.00</t>
        </is>
      </c>
      <c r="I183" s="31">
        <f>HYPERLINK("01_STARTER/ST-072-STD-04/04_Shipment_Statement.docx","Open")</f>
        <v/>
      </c>
    </row>
    <row r="184">
      <c r="A184" s="25" t="inlineStr">
        <is>
          <t>IA-PPWR-STM-ST-072-STD-05-R00</t>
        </is>
      </c>
      <c r="B184" s="25" t="inlineStr">
        <is>
          <t>ST-072-STD-05</t>
        </is>
      </c>
      <c r="C184" s="25" t="inlineStr">
        <is>
          <t>IA-ST-072-STD-05</t>
        </is>
      </c>
      <c r="D184" s="25" t="inlineStr">
        <is>
          <t>IA-ST-CFG-0214</t>
        </is>
      </c>
      <c r="E184" s="25" t="inlineStr">
        <is>
          <t>L1 | L1 EAS AGM S&amp;S 50AH 560A pencereli dış koli (4001394): 72 adet</t>
        </is>
      </c>
      <c r="F184" s="25" t="n">
        <v>46.766</v>
      </c>
      <c r="G184" s="25" t="n">
        <v>7</v>
      </c>
      <c r="H184" s="25" t="inlineStr">
        <is>
          <t>Rev.00</t>
        </is>
      </c>
      <c r="I184" s="31">
        <f>HYPERLINK("01_STARTER/ST-072-STD-05/04_Shipment_Statement.docx","Open")</f>
        <v/>
      </c>
    </row>
    <row r="185">
      <c r="A185" s="25" t="inlineStr">
        <is>
          <t>IA-PPWR-STM-ST-072-STD-06-R00</t>
        </is>
      </c>
      <c r="B185" s="25" t="inlineStr">
        <is>
          <t>ST-072-STD-06</t>
        </is>
      </c>
      <c r="C185" s="25" t="inlineStr">
        <is>
          <t>IA-ST-072-STD-06</t>
        </is>
      </c>
      <c r="D185" s="25" t="inlineStr">
        <is>
          <t>IA-ST-CFG-0215</t>
        </is>
      </c>
      <c r="E185" s="25" t="inlineStr">
        <is>
          <t>L3 | L3 HUGEL ULTRA penceresiz 2013 TAS. dış koli (4000865): 72 adet</t>
        </is>
      </c>
      <c r="F185" s="25" t="n">
        <v>47.756</v>
      </c>
      <c r="G185" s="25" t="n">
        <v>7</v>
      </c>
      <c r="H185" s="25" t="inlineStr">
        <is>
          <t>Rev.00</t>
        </is>
      </c>
      <c r="I185" s="31">
        <f>HYPERLINK("01_STARTER/ST-072-STD-06/04_Shipment_Statement.docx","Open")</f>
        <v/>
      </c>
    </row>
    <row r="186">
      <c r="A186" s="25" t="inlineStr">
        <is>
          <t>IA-PPWR-STM-ST-072-STD-07-R00</t>
        </is>
      </c>
      <c r="B186" s="25" t="inlineStr">
        <is>
          <t>ST-072-STD-07</t>
        </is>
      </c>
      <c r="C186" s="25" t="inlineStr">
        <is>
          <t>IA-ST-072-STD-07</t>
        </is>
      </c>
      <c r="D186" s="25" t="inlineStr">
        <is>
          <t>IA-ST-CFG-0216</t>
        </is>
      </c>
      <c r="E186" s="25" t="inlineStr">
        <is>
          <t>LB3 | LB3 İnci FORMULA-MAXIMA 2019 dış koli (4001205): 72 adet</t>
        </is>
      </c>
      <c r="F186" s="25" t="n">
        <v>50.636</v>
      </c>
      <c r="G186" s="25" t="n">
        <v>7</v>
      </c>
      <c r="H186" s="25" t="inlineStr">
        <is>
          <t>Rev.00</t>
        </is>
      </c>
      <c r="I186" s="31">
        <f>HYPERLINK("01_STARTER/ST-072-STD-07/04_Shipment_Statement.docx","Open")</f>
        <v/>
      </c>
    </row>
    <row r="187">
      <c r="A187" s="25" t="inlineStr">
        <is>
          <t>IA-PPWR-STM-ST-072-STD-08-R00</t>
        </is>
      </c>
      <c r="B187" s="25" t="inlineStr">
        <is>
          <t>ST-072-STD-08</t>
        </is>
      </c>
      <c r="C187" s="25" t="inlineStr">
        <is>
          <t>IA-ST-072-STD-08</t>
        </is>
      </c>
      <c r="D187" s="25" t="inlineStr">
        <is>
          <t>IA-ST-CFG-0217</t>
        </is>
      </c>
      <c r="E187" s="25" t="inlineStr">
        <is>
          <t>D23 | Palet (4000037): 1 adet | Separatör (4000130): 1 adet</t>
        </is>
      </c>
      <c r="F187" s="25" t="n">
        <v>27.708</v>
      </c>
      <c r="G187" s="25" t="n">
        <v>7</v>
      </c>
      <c r="H187" s="25" t="inlineStr">
        <is>
          <t>Rev.00</t>
        </is>
      </c>
      <c r="I187" s="31">
        <f>HYPERLINK("01_STARTER/ST-072-STD-08/04_Shipment_Statement.docx","Open")</f>
        <v/>
      </c>
    </row>
    <row r="188">
      <c r="A188" s="25" t="inlineStr">
        <is>
          <t>IA-PPWR-STM-ST-072-STD-09-R00</t>
        </is>
      </c>
      <c r="B188" s="25" t="inlineStr">
        <is>
          <t>ST-072-STD-09</t>
        </is>
      </c>
      <c r="C188" s="25" t="inlineStr">
        <is>
          <t>IA-ST-072-STD-09</t>
        </is>
      </c>
      <c r="D188" s="25" t="inlineStr">
        <is>
          <t>IA-ST-CFG-0218</t>
        </is>
      </c>
      <c r="E188" s="25" t="inlineStr">
        <is>
          <t>L2 | Palet (4000037): 1 adet | Shrink film (4000558): 2.736 kg</t>
        </is>
      </c>
      <c r="F188" s="25" t="n">
        <v>30.942</v>
      </c>
      <c r="G188" s="25" t="n">
        <v>7</v>
      </c>
      <c r="H188" s="25" t="inlineStr">
        <is>
          <t>Rev.00</t>
        </is>
      </c>
      <c r="I188" s="31">
        <f>HYPERLINK("01_STARTER/ST-072-STD-09/04_Shipment_Statement.docx","Open")</f>
        <v/>
      </c>
    </row>
    <row r="189">
      <c r="A189" s="25" t="inlineStr">
        <is>
          <t>IA-PPWR-STM-ST-072-STD-10-R00</t>
        </is>
      </c>
      <c r="B189" s="25" t="inlineStr">
        <is>
          <t>ST-072-STD-10</t>
        </is>
      </c>
      <c r="C189" s="25" t="inlineStr">
        <is>
          <t>IA-ST-072-STD-10</t>
        </is>
      </c>
      <c r="D189" s="25" t="inlineStr">
        <is>
          <t>IA-ST-CFG-0219</t>
        </is>
      </c>
      <c r="E189" s="25" t="inlineStr">
        <is>
          <t>D23 | D23 PVC üst kapak (4000461): 72 adet | Köşebent (4000590): 2 adet</t>
        </is>
      </c>
      <c r="F189" s="25" t="n">
        <v>34.33224</v>
      </c>
      <c r="G189" s="25" t="n">
        <v>8</v>
      </c>
      <c r="H189" s="25" t="inlineStr">
        <is>
          <t>Rev.00</t>
        </is>
      </c>
      <c r="I189" s="31">
        <f>HYPERLINK("01_STARTER/ST-072-STD-10/04_Shipment_Statement.docx","Open")</f>
        <v/>
      </c>
    </row>
    <row r="190">
      <c r="A190" s="25" t="inlineStr">
        <is>
          <t>IA-PPWR-STM-ST-072-STD-11-R00</t>
        </is>
      </c>
      <c r="B190" s="25" t="inlineStr">
        <is>
          <t>ST-072-STD-11</t>
        </is>
      </c>
      <c r="C190" s="25" t="inlineStr">
        <is>
          <t>IA-ST-072-STD-11</t>
        </is>
      </c>
      <c r="D190" s="25" t="inlineStr">
        <is>
          <t>IA-ST-CFG-0220</t>
        </is>
      </c>
      <c r="E190" s="25" t="inlineStr">
        <is>
          <t>D20 | D20 PVC üst kapak (4000490): 72 adet | Köşebent (4000590): 2 adet</t>
        </is>
      </c>
      <c r="F190" s="25" t="n">
        <v>30.33912</v>
      </c>
      <c r="G190" s="25" t="n">
        <v>8</v>
      </c>
      <c r="H190" s="25" t="inlineStr">
        <is>
          <t>Rev.00</t>
        </is>
      </c>
      <c r="I190" s="31">
        <f>HYPERLINK("01_STARTER/ST-072-STD-11/04_Shipment_Statement.docx","Open")</f>
        <v/>
      </c>
    </row>
    <row r="191">
      <c r="A191" s="25" t="inlineStr">
        <is>
          <t>IA-PPWR-STM-ST-072-STD-12-R00</t>
        </is>
      </c>
      <c r="B191" s="25" t="inlineStr">
        <is>
          <t>ST-072-STD-12</t>
        </is>
      </c>
      <c r="C191" s="25" t="inlineStr">
        <is>
          <t>IA-ST-072-STD-12</t>
        </is>
      </c>
      <c r="D191" s="25" t="inlineStr">
        <is>
          <t>IA-ST-CFG-0221</t>
        </is>
      </c>
      <c r="E191" s="25" t="inlineStr">
        <is>
          <t>L4 | Palet (4000037): 1 adet | Shrink film (4000554): 2.448 kg</t>
        </is>
      </c>
      <c r="F191" s="25" t="n">
        <v>30.3672</v>
      </c>
      <c r="G191" s="25" t="n">
        <v>7</v>
      </c>
      <c r="H191" s="25" t="inlineStr">
        <is>
          <t>Rev.00</t>
        </is>
      </c>
      <c r="I191" s="31">
        <f>HYPERLINK("01_STARTER/ST-072-STD-12/04_Shipment_Statement.docx","Open")</f>
        <v/>
      </c>
    </row>
    <row r="192">
      <c r="A192" s="25" t="inlineStr">
        <is>
          <t>IA-PPWR-STM-ST-072-STD-13-R00</t>
        </is>
      </c>
      <c r="B192" s="25" t="inlineStr">
        <is>
          <t>ST-072-STD-13</t>
        </is>
      </c>
      <c r="C192" s="25" t="inlineStr">
        <is>
          <t>IA-ST-072-STD-13</t>
        </is>
      </c>
      <c r="D192" s="25" t="inlineStr">
        <is>
          <t>IA-ST-CFG-0222</t>
        </is>
      </c>
      <c r="E192" s="25" t="inlineStr">
        <is>
          <t>L2, LB2 | Palet (4000037): 1 adet | Köşebent (4000590): 2 adet</t>
        </is>
      </c>
      <c r="F192" s="25" t="n">
        <v>30.6552</v>
      </c>
      <c r="G192" s="25" t="n">
        <v>7</v>
      </c>
      <c r="H192" s="25" t="inlineStr">
        <is>
          <t>Rev.00</t>
        </is>
      </c>
      <c r="I192" s="31">
        <f>HYPERLINK("01_STARTER/ST-072-STD-13/04_Shipment_Statement.docx","Open")</f>
        <v/>
      </c>
    </row>
    <row r="193">
      <c r="A193" s="25" t="inlineStr">
        <is>
          <t>IA-PPWR-STM-ST-072-STD-14-R00</t>
        </is>
      </c>
      <c r="B193" s="25" t="inlineStr">
        <is>
          <t>ST-072-STD-14</t>
        </is>
      </c>
      <c r="C193" s="25" t="inlineStr">
        <is>
          <t>IA-ST-072-STD-14</t>
        </is>
      </c>
      <c r="D193" s="25" t="inlineStr">
        <is>
          <t>IA-ST-CFG-0223</t>
        </is>
      </c>
      <c r="E193" s="25" t="inlineStr">
        <is>
          <t>LB2, L2 | Palet (4000037): 1 adet | Separatör (4000130): 4 adet</t>
        </is>
      </c>
      <c r="F193" s="25" t="n">
        <v>27.9192</v>
      </c>
      <c r="G193" s="25" t="n">
        <v>6</v>
      </c>
      <c r="H193" s="25" t="inlineStr">
        <is>
          <t>Rev.00</t>
        </is>
      </c>
      <c r="I193" s="31">
        <f>HYPERLINK("01_STARTER/ST-072-STD-14/04_Shipment_Statement.docx","Open")</f>
        <v/>
      </c>
    </row>
    <row r="194">
      <c r="A194" s="25" t="inlineStr">
        <is>
          <t>IA-PPWR-STM-ST-072-STD-15-R00</t>
        </is>
      </c>
      <c r="B194" s="25" t="inlineStr">
        <is>
          <t>ST-072-STD-15</t>
        </is>
      </c>
      <c r="C194" s="25" t="inlineStr">
        <is>
          <t>IA-ST-072-STD-15</t>
        </is>
      </c>
      <c r="D194" s="25" t="inlineStr">
        <is>
          <t>IA-ST-CFG-0224</t>
        </is>
      </c>
      <c r="E194" s="25" t="inlineStr">
        <is>
          <t>D23 | D23 PVC üst kapak (4000461): 72 adet | Çember (4000450): kullanılmaz</t>
        </is>
      </c>
      <c r="F194" s="25" t="n">
        <v>34.04544</v>
      </c>
      <c r="G194" s="25" t="n">
        <v>6</v>
      </c>
      <c r="H194" s="25" t="inlineStr">
        <is>
          <t>Rev.00</t>
        </is>
      </c>
      <c r="I194" s="31">
        <f>HYPERLINK("01_STARTER/ST-072-STD-15/04_Shipment_Statement.docx","Open")</f>
        <v/>
      </c>
    </row>
    <row r="195">
      <c r="A195" s="25" t="inlineStr">
        <is>
          <t>IA-PPWR-STM-ST-072-STD-16-R00</t>
        </is>
      </c>
      <c r="B195" s="25" t="inlineStr">
        <is>
          <t>ST-072-STD-16</t>
        </is>
      </c>
      <c r="C195" s="25" t="inlineStr">
        <is>
          <t>IA-ST-072-STD-16</t>
        </is>
      </c>
      <c r="D195" s="25" t="inlineStr">
        <is>
          <t>IA-ST-CFG-0225</t>
        </is>
      </c>
      <c r="E195" s="25" t="inlineStr">
        <is>
          <t>D20 | D20 PVC üst kapak (4000490): 72 adet | Köşebent (4000590): kullanılmaz</t>
        </is>
      </c>
      <c r="F195" s="25" t="n">
        <v>30.05232</v>
      </c>
      <c r="G195" s="25" t="n">
        <v>6</v>
      </c>
      <c r="H195" s="25" t="inlineStr">
        <is>
          <t>Rev.00</t>
        </is>
      </c>
      <c r="I195" s="31">
        <f>HYPERLINK("01_STARTER/ST-072-STD-16/04_Shipment_Statement.docx","Open")</f>
        <v/>
      </c>
    </row>
    <row r="196">
      <c r="A196" s="25" t="inlineStr">
        <is>
          <t>IA-PPWR-STM-ST-072-STD-17-R00</t>
        </is>
      </c>
      <c r="B196" s="25" t="inlineStr">
        <is>
          <t>ST-072-STD-17</t>
        </is>
      </c>
      <c r="C196" s="25" t="inlineStr">
        <is>
          <t>IA-ST-072-STD-17</t>
        </is>
      </c>
      <c r="D196" s="25" t="inlineStr">
        <is>
          <t>IA-ST-CFG-0226</t>
        </is>
      </c>
      <c r="E196" s="25" t="inlineStr">
        <is>
          <t>L2 | Palet (4000037): 1 adet | Shrink film (4000558): 2.376 kg</t>
        </is>
      </c>
      <c r="F196" s="25" t="n">
        <v>30.0084</v>
      </c>
      <c r="G196" s="25" t="n">
        <v>5</v>
      </c>
      <c r="H196" s="25" t="inlineStr">
        <is>
          <t>Rev.00</t>
        </is>
      </c>
      <c r="I196" s="31">
        <f>HYPERLINK("01_STARTER/ST-072-STD-17/04_Shipment_Statement.docx","Open")</f>
        <v/>
      </c>
    </row>
    <row r="197">
      <c r="A197" s="25" t="inlineStr">
        <is>
          <t>IA-PPWR-STM-ST-072-STD-18-R00</t>
        </is>
      </c>
      <c r="B197" s="25" t="inlineStr">
        <is>
          <t>ST-072-STD-18</t>
        </is>
      </c>
      <c r="C197" s="25" t="inlineStr">
        <is>
          <t>IA-ST-072-STD-18</t>
        </is>
      </c>
      <c r="D197" s="25" t="inlineStr">
        <is>
          <t>IA-ST-CFG-0227</t>
        </is>
      </c>
      <c r="E197" s="25" t="inlineStr">
        <is>
          <t>L2, LB2 | Palet (4000037): 1 adet | Köşebent (4000590): kullanılmaz</t>
        </is>
      </c>
      <c r="F197" s="25" t="n">
        <v>30.3684</v>
      </c>
      <c r="G197" s="25" t="n">
        <v>5</v>
      </c>
      <c r="H197" s="25" t="inlineStr">
        <is>
          <t>Rev.00</t>
        </is>
      </c>
      <c r="I197" s="31">
        <f>HYPERLINK("01_STARTER/ST-072-STD-18/04_Shipment_Statement.docx","Open")</f>
        <v/>
      </c>
    </row>
    <row r="198">
      <c r="A198" s="25" t="inlineStr">
        <is>
          <t>IA-PPWR-STM-ST-072-STD-19-R00</t>
        </is>
      </c>
      <c r="B198" s="25" t="inlineStr">
        <is>
          <t>ST-072-STD-19</t>
        </is>
      </c>
      <c r="C198" s="25" t="inlineStr">
        <is>
          <t>IA-ST-072-STD-19</t>
        </is>
      </c>
      <c r="D198" s="25" t="inlineStr">
        <is>
          <t>IA-ST-CFG-0228</t>
        </is>
      </c>
      <c r="E198" s="25" t="inlineStr">
        <is>
          <t>D23 | Palet (4000037): 1 adet | Shrink film (4001177): 0.597 kg</t>
        </is>
      </c>
      <c r="F198" s="25" t="n">
        <v>28.649</v>
      </c>
      <c r="G198" s="25" t="n">
        <v>7</v>
      </c>
      <c r="H198" s="25" t="inlineStr">
        <is>
          <t>Rev.00</t>
        </is>
      </c>
      <c r="I198" s="31">
        <f>HYPERLINK("01_STARTER/ST-072-STD-19/04_Shipment_Statement.docx","Open")</f>
        <v/>
      </c>
    </row>
    <row r="199">
      <c r="A199" s="25" t="inlineStr">
        <is>
          <t>IA-PPWR-STM-ST-072-STD-20-R00</t>
        </is>
      </c>
      <c r="B199" s="25" t="inlineStr">
        <is>
          <t>ST-072-STD-20</t>
        </is>
      </c>
      <c r="C199" s="25" t="inlineStr">
        <is>
          <t>IA-ST-072-STD-20</t>
        </is>
      </c>
      <c r="D199" s="25" t="inlineStr">
        <is>
          <t>IA-ST-CFG-0229</t>
        </is>
      </c>
      <c r="E199" s="25" t="inlineStr">
        <is>
          <t>L2 | Palet (4000037): 1 adet | Köşebent (4000590): 2 adet</t>
        </is>
      </c>
      <c r="F199" s="25" t="n">
        <v>28.417</v>
      </c>
      <c r="G199" s="25" t="n">
        <v>6</v>
      </c>
      <c r="H199" s="25" t="inlineStr">
        <is>
          <t>Rev.00</t>
        </is>
      </c>
      <c r="I199" s="31">
        <f>HYPERLINK("01_STARTER/ST-072-STD-20/04_Shipment_Statement.docx","Open")</f>
        <v/>
      </c>
    </row>
    <row r="200">
      <c r="A200" s="25" t="inlineStr">
        <is>
          <t>IA-PPWR-STM-ST-072-STD-21-R00</t>
        </is>
      </c>
      <c r="B200" s="25" t="inlineStr">
        <is>
          <t>ST-072-STD-21</t>
        </is>
      </c>
      <c r="C200" s="25" t="inlineStr">
        <is>
          <t>IA-ST-072-STD-21</t>
        </is>
      </c>
      <c r="D200" s="25" t="inlineStr">
        <is>
          <t>IA-ST-CFG-0230</t>
        </is>
      </c>
      <c r="E200" s="25" t="inlineStr">
        <is>
          <t>L2 | Palet (4000037): 1 adet | Köşebent (4000590): 4 adet | Shrink film (4001177): 0.597 kg</t>
        </is>
      </c>
      <c r="F200" s="25" t="n">
        <v>28.617</v>
      </c>
      <c r="G200" s="25" t="n">
        <v>6</v>
      </c>
      <c r="H200" s="25" t="inlineStr">
        <is>
          <t>Rev.00</t>
        </is>
      </c>
      <c r="I200" s="31">
        <f>HYPERLINK("01_STARTER/ST-072-STD-21/04_Shipment_Statement.docx","Open")</f>
        <v/>
      </c>
    </row>
    <row r="201">
      <c r="A201" s="25" t="inlineStr">
        <is>
          <t>IA-PPWR-STM-ST-072-STD-22-R00</t>
        </is>
      </c>
      <c r="B201" s="25" t="inlineStr">
        <is>
          <t>ST-072-STD-22</t>
        </is>
      </c>
      <c r="C201" s="25" t="inlineStr">
        <is>
          <t>IA-ST-072-STD-22</t>
        </is>
      </c>
      <c r="D201" s="25" t="inlineStr">
        <is>
          <t>IA-ST-CFG-0231</t>
        </is>
      </c>
      <c r="E201" s="25" t="inlineStr">
        <is>
          <t>L4, LB4 | Palet (4000037): 1 adet | Köşebent (4000590): 2 adet</t>
        </is>
      </c>
      <c r="F201" s="25" t="n">
        <v>30.6372</v>
      </c>
      <c r="G201" s="25" t="n">
        <v>7</v>
      </c>
      <c r="H201" s="25" t="inlineStr">
        <is>
          <t>Rev.00</t>
        </is>
      </c>
      <c r="I201" s="31">
        <f>HYPERLINK("01_STARTER/ST-072-STD-22/04_Shipment_Statement.docx","Open")</f>
        <v/>
      </c>
    </row>
    <row r="202">
      <c r="A202" s="25" t="inlineStr">
        <is>
          <t>IA-PPWR-STM-ST-072-STD-23-R00</t>
        </is>
      </c>
      <c r="B202" s="25" t="inlineStr">
        <is>
          <t>ST-072-STD-23</t>
        </is>
      </c>
      <c r="C202" s="25" t="inlineStr">
        <is>
          <t>IA-ST-072-STD-23</t>
        </is>
      </c>
      <c r="D202" s="25" t="inlineStr">
        <is>
          <t>IA-ST-CFG-0232</t>
        </is>
      </c>
      <c r="E202" s="25" t="inlineStr">
        <is>
          <t>L4 | Palet (4000037): 1 adet | Separatör (4000130): 5 adet</t>
        </is>
      </c>
      <c r="F202" s="25" t="n">
        <v>28.1892</v>
      </c>
      <c r="G202" s="25" t="n">
        <v>6</v>
      </c>
      <c r="H202" s="25" t="inlineStr">
        <is>
          <t>Rev.00</t>
        </is>
      </c>
      <c r="I202" s="31">
        <f>HYPERLINK("01_STARTER/ST-072-STD-23/04_Shipment_Statement.docx","Open")</f>
        <v/>
      </c>
    </row>
    <row r="203">
      <c r="A203" s="25" t="inlineStr">
        <is>
          <t>IA-PPWR-STM-ST-072-STD-24-R00</t>
        </is>
      </c>
      <c r="B203" s="25" t="inlineStr">
        <is>
          <t>ST-072-STD-24</t>
        </is>
      </c>
      <c r="C203" s="25" t="inlineStr">
        <is>
          <t>IA-ST-072-STD-24</t>
        </is>
      </c>
      <c r="D203" s="25" t="inlineStr">
        <is>
          <t>IA-ST-CFG-0233</t>
        </is>
      </c>
      <c r="E203" s="25" t="inlineStr">
        <is>
          <t>L4, LB4 | Palet (4000037): 1 adet | Köşebent (4000590): kullanılmaz</t>
        </is>
      </c>
      <c r="F203" s="25" t="n">
        <v>30.3504</v>
      </c>
      <c r="G203" s="25" t="n">
        <v>5</v>
      </c>
      <c r="H203" s="25" t="inlineStr">
        <is>
          <t>Rev.00</t>
        </is>
      </c>
      <c r="I203" s="31">
        <f>HYPERLINK("01_STARTER/ST-072-STD-24/04_Shipment_Statement.docx","Open")</f>
        <v/>
      </c>
    </row>
    <row r="204">
      <c r="A204" s="25" t="inlineStr">
        <is>
          <t>IA-PPWR-STM-ST-072-STD-25-R00</t>
        </is>
      </c>
      <c r="B204" s="25" t="inlineStr">
        <is>
          <t>ST-072-STD-25</t>
        </is>
      </c>
      <c r="C204" s="25" t="inlineStr">
        <is>
          <t>IA-ST-072-STD-25</t>
        </is>
      </c>
      <c r="D204" s="25" t="inlineStr">
        <is>
          <t>IA-ST-CFG-0234</t>
        </is>
      </c>
      <c r="E204" s="25" t="inlineStr">
        <is>
          <t>LB4 | Palet (4000037): 1 adet | Shrink film (4001177): 0.597 kg</t>
        </is>
      </c>
      <c r="F204" s="25" t="n">
        <v>28.887</v>
      </c>
      <c r="G204" s="25" t="n">
        <v>6</v>
      </c>
      <c r="H204" s="25" t="inlineStr">
        <is>
          <t>Rev.00</t>
        </is>
      </c>
      <c r="I204" s="31">
        <f>HYPERLINK("01_STARTER/ST-072-STD-25/04_Shipment_Statement.docx","Open")</f>
        <v/>
      </c>
    </row>
    <row r="205">
      <c r="A205" s="25" t="inlineStr">
        <is>
          <t>IA-PPWR-STM-ST-076-EUR-01-R00</t>
        </is>
      </c>
      <c r="B205" s="25" t="inlineStr">
        <is>
          <t>ST-076-EUR-01</t>
        </is>
      </c>
      <c r="C205" s="25" t="inlineStr">
        <is>
          <t>IA-ST-076-EUR-01</t>
        </is>
      </c>
      <c r="D205" s="25" t="inlineStr">
        <is>
          <t>IA-ST-CFG-0238</t>
        </is>
      </c>
      <c r="E205" s="25" t="inlineStr">
        <is>
          <t>L2 | L2 İnci AGM LEO 60AH 680A pencereli dış koli (4001340): 76 adet</t>
        </is>
      </c>
      <c r="F205" s="25" t="n">
        <v>47.226</v>
      </c>
      <c r="G205" s="25" t="n">
        <v>7</v>
      </c>
      <c r="H205" s="25" t="inlineStr">
        <is>
          <t>Rev.00</t>
        </is>
      </c>
      <c r="I205" s="31">
        <f>HYPERLINK("01_STARTER/ST-076-EUR-01/04_Shipment_Statement.docx","Open")</f>
        <v/>
      </c>
    </row>
    <row r="206">
      <c r="A206" s="25" t="inlineStr">
        <is>
          <t>IA-PPWR-STM-ST-076-EUR-02-R00</t>
        </is>
      </c>
      <c r="B206" s="25" t="inlineStr">
        <is>
          <t>ST-076-EUR-02</t>
        </is>
      </c>
      <c r="C206" s="25" t="inlineStr">
        <is>
          <t>IA-ST-076-EUR-02</t>
        </is>
      </c>
      <c r="D206" s="25" t="inlineStr">
        <is>
          <t>IA-ST-CFG-0239</t>
        </is>
      </c>
      <c r="E206" s="25" t="inlineStr">
        <is>
          <t>L2, LB2 | Palet (4000038): 1 adet | Köşebent (4000590): 4 adet</t>
        </is>
      </c>
      <c r="F206" s="25" t="n">
        <v>28.126</v>
      </c>
      <c r="G206" s="25" t="n">
        <v>6</v>
      </c>
      <c r="H206" s="25" t="inlineStr">
        <is>
          <t>Rev.00</t>
        </is>
      </c>
      <c r="I206" s="31">
        <f>HYPERLINK("01_STARTER/ST-076-EUR-02/04_Shipment_Statement.docx","Open")</f>
        <v/>
      </c>
    </row>
    <row r="207">
      <c r="A207" s="25" t="inlineStr">
        <is>
          <t>IA-PPWR-STM-ST-076-EUR-03-R00</t>
        </is>
      </c>
      <c r="B207" s="25" t="inlineStr">
        <is>
          <t>ST-076-EUR-03</t>
        </is>
      </c>
      <c r="C207" s="25" t="inlineStr">
        <is>
          <t>IA-ST-076-EUR-03</t>
        </is>
      </c>
      <c r="D207" s="25" t="inlineStr">
        <is>
          <t>IA-ST-CFG-0240</t>
        </is>
      </c>
      <c r="E207" s="25" t="inlineStr">
        <is>
          <t>L2, LB2 | Palet (4000038): 1 adet | Shrink film (4000558): 2.888 kg</t>
        </is>
      </c>
      <c r="F207" s="25" t="n">
        <v>30.7272</v>
      </c>
      <c r="G207" s="25" t="n">
        <v>7</v>
      </c>
      <c r="H207" s="25" t="inlineStr">
        <is>
          <t>Rev.00</t>
        </is>
      </c>
      <c r="I207" s="31">
        <f>HYPERLINK("01_STARTER/ST-076-EUR-03/04_Shipment_Statement.docx","Open")</f>
        <v/>
      </c>
    </row>
    <row r="208">
      <c r="A208" s="25" t="inlineStr">
        <is>
          <t>IA-PPWR-STM-ST-076-EUR-04-R00</t>
        </is>
      </c>
      <c r="B208" s="25" t="inlineStr">
        <is>
          <t>ST-076-EUR-04</t>
        </is>
      </c>
      <c r="C208" s="25" t="inlineStr">
        <is>
          <t>IA-ST-076-EUR-04</t>
        </is>
      </c>
      <c r="D208" s="25" t="inlineStr">
        <is>
          <t>IA-ST-CFG-0241</t>
        </is>
      </c>
      <c r="E208" s="25" t="inlineStr">
        <is>
          <t>LB2, L2 | Palet (4000038): 1 adet | Köşebent (4000590): 2 adet</t>
        </is>
      </c>
      <c r="F208" s="25" t="n">
        <v>27.8392</v>
      </c>
      <c r="G208" s="25" t="n">
        <v>6</v>
      </c>
      <c r="H208" s="25" t="inlineStr">
        <is>
          <t>Rev.00</t>
        </is>
      </c>
      <c r="I208" s="31">
        <f>HYPERLINK("01_STARTER/ST-076-EUR-04/04_Shipment_Statement.docx","Open")</f>
        <v/>
      </c>
    </row>
    <row r="209">
      <c r="A209" s="25" t="inlineStr">
        <is>
          <t>IA-PPWR-STM-ST-080-EUR-01-R00</t>
        </is>
      </c>
      <c r="B209" s="25" t="inlineStr">
        <is>
          <t>ST-080-EUR-01</t>
        </is>
      </c>
      <c r="C209" s="25" t="inlineStr">
        <is>
          <t>IA-ST-080-EUR-01</t>
        </is>
      </c>
      <c r="D209" s="25" t="inlineStr">
        <is>
          <t>IA-ST-CFG-0243</t>
        </is>
      </c>
      <c r="E209" s="25" t="inlineStr">
        <is>
          <t>L1 | L1 İnci AGM LEO 50AH 560A pencereli dış koli (4001393): 80 adet</t>
        </is>
      </c>
      <c r="F209" s="25" t="n">
        <v>48.606</v>
      </c>
      <c r="G209" s="25" t="n">
        <v>7</v>
      </c>
      <c r="H209" s="25" t="inlineStr">
        <is>
          <t>Rev.00</t>
        </is>
      </c>
      <c r="I209" s="31">
        <f>HYPERLINK("01_STARTER/ST-080-EUR-01/04_Shipment_Statement.docx","Open")</f>
        <v/>
      </c>
    </row>
    <row r="210">
      <c r="A210" s="25" t="inlineStr">
        <is>
          <t>IA-PPWR-STM-ST-081-EUR-01-R00</t>
        </is>
      </c>
      <c r="B210" s="25" t="inlineStr">
        <is>
          <t>ST-081-EUR-01</t>
        </is>
      </c>
      <c r="C210" s="25" t="inlineStr">
        <is>
          <t>IA-ST-081-EUR-01</t>
        </is>
      </c>
      <c r="D210" s="25" t="inlineStr">
        <is>
          <t>IA-ST-CFG-0245</t>
        </is>
      </c>
      <c r="E210" s="25" t="inlineStr">
        <is>
          <t>NS60 | Palet (4000038): 1 adet | Honeycomb (4001186): 3 adet</t>
        </is>
      </c>
      <c r="F210" s="25" t="n">
        <v>30.326</v>
      </c>
      <c r="G210" s="25" t="n">
        <v>7</v>
      </c>
      <c r="H210" s="25" t="inlineStr">
        <is>
          <t>Rev.00</t>
        </is>
      </c>
      <c r="I210" s="31">
        <f>HYPERLINK("01_STARTER/ST-081-EUR-01/04_Shipment_Statement.docx","Open")</f>
        <v/>
      </c>
    </row>
    <row r="211">
      <c r="A211" s="25" t="inlineStr">
        <is>
          <t>IA-PPWR-STM-ST-087-EUR-01-R00</t>
        </is>
      </c>
      <c r="B211" s="25" t="inlineStr">
        <is>
          <t>ST-087-EUR-01</t>
        </is>
      </c>
      <c r="C211" s="25" t="inlineStr">
        <is>
          <t>IA-ST-087-EUR-01</t>
        </is>
      </c>
      <c r="D211" s="25" t="inlineStr">
        <is>
          <t>IA-ST-CFG-0253</t>
        </is>
      </c>
      <c r="E211" s="25" t="inlineStr">
        <is>
          <t>NS40 | NS40 PVC üst kapak (4000601): 87 adet</t>
        </is>
      </c>
      <c r="F211" s="25" t="n">
        <v>33.11851</v>
      </c>
      <c r="G211" s="25" t="n">
        <v>8</v>
      </c>
      <c r="H211" s="25" t="inlineStr">
        <is>
          <t>Rev.00</t>
        </is>
      </c>
      <c r="I211" s="31">
        <f>HYPERLINK("01_STARTER/ST-087-EUR-01/04_Shipment_Statement.docx","Open")</f>
        <v/>
      </c>
    </row>
    <row r="212">
      <c r="A212" s="25" t="inlineStr">
        <is>
          <t>IA-PPWR-STM-ST-087-STD-01-R00</t>
        </is>
      </c>
      <c r="B212" s="25" t="inlineStr">
        <is>
          <t>ST-087-STD-01</t>
        </is>
      </c>
      <c r="C212" s="25" t="inlineStr">
        <is>
          <t>IA-ST-087-STD-01</t>
        </is>
      </c>
      <c r="D212" s="25" t="inlineStr">
        <is>
          <t>IA-ST-CFG-0246</t>
        </is>
      </c>
      <c r="E212" s="25" t="inlineStr">
        <is>
          <t>L1 | Palet (4000037): 1 adet | Köşebent (4000033): 2 adet</t>
        </is>
      </c>
      <c r="F212" s="25" t="n">
        <v>28.1392</v>
      </c>
      <c r="G212" s="25" t="n">
        <v>6</v>
      </c>
      <c r="H212" s="25" t="inlineStr">
        <is>
          <t>Rev.00</t>
        </is>
      </c>
      <c r="I212" s="31">
        <f>HYPERLINK("01_STARTER/ST-087-STD-01/04_Shipment_Statement.docx","Open")</f>
        <v/>
      </c>
    </row>
    <row r="213">
      <c r="A213" s="25" t="inlineStr">
        <is>
          <t>IA-PPWR-STM-ST-087-STD-02-R00</t>
        </is>
      </c>
      <c r="B213" s="25" t="inlineStr">
        <is>
          <t>ST-087-STD-02</t>
        </is>
      </c>
      <c r="C213" s="25" t="inlineStr">
        <is>
          <t>IA-ST-087-STD-02</t>
        </is>
      </c>
      <c r="D213" s="25" t="inlineStr">
        <is>
          <t>IA-ST-CFG-0247</t>
        </is>
      </c>
      <c r="E213" s="25" t="inlineStr">
        <is>
          <t>LB1 | Palet (4000037): 1 adet | Köşebent (4000033): 2 adet</t>
        </is>
      </c>
      <c r="F213" s="25" t="n">
        <v>30.4892</v>
      </c>
      <c r="G213" s="25" t="n">
        <v>7</v>
      </c>
      <c r="H213" s="25" t="inlineStr">
        <is>
          <t>Rev.00</t>
        </is>
      </c>
      <c r="I213" s="31">
        <f>HYPERLINK("01_STARTER/ST-087-STD-02/04_Shipment_Statement.docx","Open")</f>
        <v/>
      </c>
    </row>
    <row r="214">
      <c r="A214" s="25" t="inlineStr">
        <is>
          <t>IA-PPWR-STM-ST-087-STD-03-R00</t>
        </is>
      </c>
      <c r="B214" s="25" t="inlineStr">
        <is>
          <t>ST-087-STD-03</t>
        </is>
      </c>
      <c r="C214" s="25" t="inlineStr">
        <is>
          <t>IA-ST-087-STD-03</t>
        </is>
      </c>
      <c r="D214" s="25" t="inlineStr">
        <is>
          <t>IA-ST-CFG-0248</t>
        </is>
      </c>
      <c r="E214" s="25" t="inlineStr">
        <is>
          <t>L1, LB1 | Palet (4000037): 1 adet | Köşebent (4000033): 2 adet</t>
        </is>
      </c>
      <c r="F214" s="25" t="n">
        <v>31.0092</v>
      </c>
      <c r="G214" s="25" t="n">
        <v>7</v>
      </c>
      <c r="H214" s="25" t="inlineStr">
        <is>
          <t>Rev.00</t>
        </is>
      </c>
      <c r="I214" s="31">
        <f>HYPERLINK("01_STARTER/ST-087-STD-03/04_Shipment_Statement.docx","Open")</f>
        <v/>
      </c>
    </row>
    <row r="215">
      <c r="A215" s="25" t="inlineStr">
        <is>
          <t>IA-PPWR-STM-ST-087-STD-04-R00</t>
        </is>
      </c>
      <c r="B215" s="25" t="inlineStr">
        <is>
          <t>ST-087-STD-04</t>
        </is>
      </c>
      <c r="C215" s="25" t="inlineStr">
        <is>
          <t>IA-ST-087-STD-04</t>
        </is>
      </c>
      <c r="D215" s="25" t="inlineStr">
        <is>
          <t>IA-ST-CFG-0249</t>
        </is>
      </c>
      <c r="E215" s="25" t="inlineStr">
        <is>
          <t>LB1, L1 | Palet (4000037): 1 adet | Shrink film (4001177): 0.597 kg</t>
        </is>
      </c>
      <c r="F215" s="25" t="n">
        <v>29.057</v>
      </c>
      <c r="G215" s="25" t="n">
        <v>6</v>
      </c>
      <c r="H215" s="25" t="inlineStr">
        <is>
          <t>Rev.00</t>
        </is>
      </c>
      <c r="I215" s="31">
        <f>HYPERLINK("01_STARTER/ST-087-STD-04/04_Shipment_Statement.docx","Open")</f>
        <v/>
      </c>
    </row>
    <row r="216">
      <c r="A216" s="25" t="inlineStr">
        <is>
          <t>IA-PPWR-STM-ST-087-STD-05-R00</t>
        </is>
      </c>
      <c r="B216" s="25" t="inlineStr">
        <is>
          <t>ST-087-STD-05</t>
        </is>
      </c>
      <c r="C216" s="25" t="inlineStr">
        <is>
          <t>IA-ST-087-STD-05</t>
        </is>
      </c>
      <c r="D216" s="25" t="inlineStr">
        <is>
          <t>IA-ST-CFG-0250</t>
        </is>
      </c>
      <c r="E216" s="25" t="inlineStr">
        <is>
          <t>NS60 | NS60 EAS Activa penceresiz dış koli (4000631): 87 adet</t>
        </is>
      </c>
      <c r="F216" s="25" t="n">
        <v>49.6589</v>
      </c>
      <c r="G216" s="25" t="n">
        <v>8</v>
      </c>
      <c r="H216" s="25" t="inlineStr">
        <is>
          <t>Rev.00</t>
        </is>
      </c>
      <c r="I216" s="31">
        <f>HYPERLINK("01_STARTER/ST-087-STD-05/04_Shipment_Statement.docx","Open")</f>
        <v/>
      </c>
    </row>
    <row r="217">
      <c r="A217" s="25" t="inlineStr">
        <is>
          <t>IA-PPWR-STM-ST-087-STD-06-R00</t>
        </is>
      </c>
      <c r="B217" s="25" t="inlineStr">
        <is>
          <t>ST-087-STD-06</t>
        </is>
      </c>
      <c r="C217" s="25" t="inlineStr">
        <is>
          <t>IA-ST-087-STD-06</t>
        </is>
      </c>
      <c r="D217" s="25" t="inlineStr">
        <is>
          <t>IA-ST-CFG-0251</t>
        </is>
      </c>
      <c r="E217" s="25" t="inlineStr">
        <is>
          <t>LB1 | Palet (4000037): 1 adet | Köşebent (4000033): kullanılmaz</t>
        </is>
      </c>
      <c r="F217" s="25" t="n">
        <v>29.9824</v>
      </c>
      <c r="G217" s="25" t="n">
        <v>5</v>
      </c>
      <c r="H217" s="25" t="inlineStr">
        <is>
          <t>Rev.00</t>
        </is>
      </c>
      <c r="I217" s="31">
        <f>HYPERLINK("01_STARTER/ST-087-STD-06/04_Shipment_Statement.docx","Open")</f>
        <v/>
      </c>
    </row>
    <row r="218">
      <c r="A218" s="25" t="inlineStr">
        <is>
          <t>IA-PPWR-STM-ST-087-STD-07-R00</t>
        </is>
      </c>
      <c r="B218" s="25" t="inlineStr">
        <is>
          <t>ST-087-STD-07</t>
        </is>
      </c>
      <c r="C218" s="25" t="inlineStr">
        <is>
          <t>IA-ST-087-STD-07</t>
        </is>
      </c>
      <c r="D218" s="25" t="inlineStr">
        <is>
          <t>IA-ST-CFG-0252</t>
        </is>
      </c>
      <c r="E218" s="25" t="inlineStr">
        <is>
          <t>L1, LB1 | Palet (4000037): 1 adet | Köşebent (4000033): kullanılmaz</t>
        </is>
      </c>
      <c r="F218" s="25" t="n">
        <v>30.5024</v>
      </c>
      <c r="G218" s="25" t="n">
        <v>5</v>
      </c>
      <c r="H218" s="25" t="inlineStr">
        <is>
          <t>Rev.00</t>
        </is>
      </c>
      <c r="I218" s="31">
        <f>HYPERLINK("01_STARTER/ST-087-STD-07/04_Shipment_Statement.docx","Open")</f>
        <v/>
      </c>
    </row>
    <row r="219">
      <c r="A219" s="25" t="inlineStr">
        <is>
          <t>IA-PPWR-STM-ST-088-STD-01-R00</t>
        </is>
      </c>
      <c r="B219" s="25" t="inlineStr">
        <is>
          <t>ST-088-STD-01</t>
        </is>
      </c>
      <c r="C219" s="25" t="inlineStr">
        <is>
          <t>IA-ST-088-STD-01</t>
        </is>
      </c>
      <c r="D219" s="25" t="inlineStr">
        <is>
          <t>IA-ST-CFG-0254</t>
        </is>
      </c>
      <c r="E219" s="25" t="inlineStr">
        <is>
          <t>L2 | L2 EAS Activa penceresiz dış koli (4000644): 88 adet</t>
        </is>
      </c>
      <c r="F219" s="25" t="n">
        <v>50.456</v>
      </c>
      <c r="G219" s="25" t="n">
        <v>7</v>
      </c>
      <c r="H219" s="25" t="inlineStr">
        <is>
          <t>Rev.00</t>
        </is>
      </c>
      <c r="I219" s="31">
        <f>HYPERLINK("01_STARTER/ST-088-STD-01/04_Shipment_Statement.docx","Open")</f>
        <v/>
      </c>
    </row>
    <row r="220">
      <c r="A220" s="25" t="inlineStr">
        <is>
          <t>IA-PPWR-STM-ST-088-STD-02-R00</t>
        </is>
      </c>
      <c r="B220" s="25" t="inlineStr">
        <is>
          <t>ST-088-STD-02</t>
        </is>
      </c>
      <c r="C220" s="25" t="inlineStr">
        <is>
          <t>IA-ST-088-STD-02</t>
        </is>
      </c>
      <c r="D220" s="25" t="inlineStr">
        <is>
          <t>IA-ST-CFG-0255</t>
        </is>
      </c>
      <c r="E220" s="25" t="inlineStr">
        <is>
          <t>L2 | L2 YUASA penceresiz Orta Doğu dış koli (4001102): 88 adet</t>
        </is>
      </c>
      <c r="F220" s="25" t="n">
        <v>50.456</v>
      </c>
      <c r="G220" s="25" t="n">
        <v>7</v>
      </c>
      <c r="H220" s="25" t="inlineStr">
        <is>
          <t>Rev.00</t>
        </is>
      </c>
      <c r="I220" s="31">
        <f>HYPERLINK("01_STARTER/ST-088-STD-02/04_Shipment_Statement.docx","Open")</f>
        <v/>
      </c>
    </row>
    <row r="221">
      <c r="A221" s="25" t="inlineStr">
        <is>
          <t>IA-PPWR-STM-ST-088-STD-03-R00</t>
        </is>
      </c>
      <c r="B221" s="25" t="inlineStr">
        <is>
          <t>ST-088-STD-03</t>
        </is>
      </c>
      <c r="C221" s="25" t="inlineStr">
        <is>
          <t>IA-ST-088-STD-03</t>
        </is>
      </c>
      <c r="D221" s="25" t="inlineStr">
        <is>
          <t>IA-ST-CFG-0256</t>
        </is>
      </c>
      <c r="E221" s="25" t="inlineStr">
        <is>
          <t>L2 | L2 İnci EFB MAX TIGRIS pencereli 2020 dış koli (4001272): 88 adet</t>
        </is>
      </c>
      <c r="F221" s="25" t="n">
        <v>50.456</v>
      </c>
      <c r="G221" s="25" t="n">
        <v>7</v>
      </c>
      <c r="H221" s="25" t="inlineStr">
        <is>
          <t>Rev.00</t>
        </is>
      </c>
      <c r="I221" s="31">
        <f>HYPERLINK("01_STARTER/ST-088-STD-03/04_Shipment_Statement.docx","Open")</f>
        <v/>
      </c>
    </row>
    <row r="222">
      <c r="A222" s="25" t="inlineStr">
        <is>
          <t>IA-PPWR-STM-ST-088-STD-04-R00</t>
        </is>
      </c>
      <c r="B222" s="25" t="inlineStr">
        <is>
          <t>ST-088-STD-04</t>
        </is>
      </c>
      <c r="C222" s="25" t="inlineStr">
        <is>
          <t>IA-ST-088-STD-04</t>
        </is>
      </c>
      <c r="D222" s="25" t="inlineStr">
        <is>
          <t>IA-ST-CFG-0257</t>
        </is>
      </c>
      <c r="E222" s="25" t="inlineStr">
        <is>
          <t>L2 | L2 İnci EFB PANTERA pencereli DL dış koli (4001317): 88 adet</t>
        </is>
      </c>
      <c r="F222" s="25" t="n">
        <v>50.456</v>
      </c>
      <c r="G222" s="25" t="n">
        <v>7</v>
      </c>
      <c r="H222" s="25" t="inlineStr">
        <is>
          <t>Rev.00</t>
        </is>
      </c>
      <c r="I222" s="31">
        <f>HYPERLINK("01_STARTER/ST-088-STD-04/04_Shipment_Statement.docx","Open")</f>
        <v/>
      </c>
    </row>
    <row r="223">
      <c r="A223" s="25" t="inlineStr">
        <is>
          <t>IA-PPWR-STM-ST-088-STD-05-R00</t>
        </is>
      </c>
      <c r="B223" s="25" t="inlineStr">
        <is>
          <t>ST-088-STD-05</t>
        </is>
      </c>
      <c r="C223" s="25" t="inlineStr">
        <is>
          <t>IA-ST-088-STD-05</t>
        </is>
      </c>
      <c r="D223" s="25" t="inlineStr">
        <is>
          <t>IA-ST-CFG-0258</t>
        </is>
      </c>
      <c r="E223" s="25" t="inlineStr">
        <is>
          <t>L2 | L2 EAS EFB MAX pencereli 2024 dış koli (4001410): 88 adet</t>
        </is>
      </c>
      <c r="F223" s="25" t="n">
        <v>50.456</v>
      </c>
      <c r="G223" s="25" t="n">
        <v>7</v>
      </c>
      <c r="H223" s="25" t="inlineStr">
        <is>
          <t>Rev.00</t>
        </is>
      </c>
      <c r="I223" s="31">
        <f>HYPERLINK("01_STARTER/ST-088-STD-05/04_Shipment_Statement.docx","Open")</f>
        <v/>
      </c>
    </row>
    <row r="224">
      <c r="A224" s="25" t="inlineStr">
        <is>
          <t>IA-PPWR-STM-ST-088-STD-06-R00</t>
        </is>
      </c>
      <c r="B224" s="25" t="inlineStr">
        <is>
          <t>ST-088-STD-06</t>
        </is>
      </c>
      <c r="C224" s="25" t="inlineStr">
        <is>
          <t>IA-ST-088-STD-06</t>
        </is>
      </c>
      <c r="D224" s="25" t="inlineStr">
        <is>
          <t>IA-ST-CFG-0259</t>
        </is>
      </c>
      <c r="E224" s="25" t="inlineStr">
        <is>
          <t>L2 | L2 BLIZZARO SILVERLINE penceresiz dış koli (4001434): 88 adet</t>
        </is>
      </c>
      <c r="F224" s="25" t="n">
        <v>50.606</v>
      </c>
      <c r="G224" s="25" t="n">
        <v>7</v>
      </c>
      <c r="H224" s="25" t="inlineStr">
        <is>
          <t>Rev.00</t>
        </is>
      </c>
      <c r="I224" s="31">
        <f>HYPERLINK("01_STARTER/ST-088-STD-06/04_Shipment_Statement.docx","Open")</f>
        <v/>
      </c>
    </row>
    <row r="225">
      <c r="A225" s="25" t="inlineStr">
        <is>
          <t>IA-PPWR-STM-ST-088-STD-07-R00</t>
        </is>
      </c>
      <c r="B225" s="25" t="inlineStr">
        <is>
          <t>ST-088-STD-07</t>
        </is>
      </c>
      <c r="C225" s="25" t="inlineStr">
        <is>
          <t>IA-ST-088-STD-07</t>
        </is>
      </c>
      <c r="D225" s="25" t="inlineStr">
        <is>
          <t>IA-ST-CFG-0260</t>
        </is>
      </c>
      <c r="E225" s="25" t="inlineStr">
        <is>
          <t>LB2 | LB2 İnci FORMULA-MAXIMA 2019 dış koli (4001203): 88 adet</t>
        </is>
      </c>
      <c r="F225" s="25" t="n">
        <v>49.116</v>
      </c>
      <c r="G225" s="25" t="n">
        <v>7</v>
      </c>
      <c r="H225" s="25" t="inlineStr">
        <is>
          <t>Rev.00</t>
        </is>
      </c>
      <c r="I225" s="31">
        <f>HYPERLINK("01_STARTER/ST-088-STD-07/04_Shipment_Statement.docx","Open")</f>
        <v/>
      </c>
    </row>
    <row r="226">
      <c r="A226" s="25" t="inlineStr">
        <is>
          <t>IA-PPWR-STM-ST-088-STD-08-R00</t>
        </is>
      </c>
      <c r="B226" s="25" t="inlineStr">
        <is>
          <t>ST-088-STD-08</t>
        </is>
      </c>
      <c r="C226" s="25" t="inlineStr">
        <is>
          <t>IA-ST-088-STD-08</t>
        </is>
      </c>
      <c r="D226" s="25" t="inlineStr">
        <is>
          <t>IA-ST-CFG-0261</t>
        </is>
      </c>
      <c r="E226" s="25" t="inlineStr">
        <is>
          <t>L2 | L2 İnci FORMULA-MAXIMA penceresiz dış koli (4001419): 88 adet</t>
        </is>
      </c>
      <c r="F226" s="25" t="n">
        <v>50.876</v>
      </c>
      <c r="G226" s="25" t="n">
        <v>7</v>
      </c>
      <c r="H226" s="25" t="inlineStr">
        <is>
          <t>Rev.00</t>
        </is>
      </c>
      <c r="I226" s="31">
        <f>HYPERLINK("01_STARTER/ST-088-STD-08/04_Shipment_Statement.docx","Open")</f>
        <v/>
      </c>
    </row>
    <row r="227">
      <c r="A227" s="25" t="inlineStr">
        <is>
          <t>IA-PPWR-STM-ST-090-STD-01-R00</t>
        </is>
      </c>
      <c r="B227" s="25" t="inlineStr">
        <is>
          <t>ST-090-STD-01</t>
        </is>
      </c>
      <c r="C227" s="25" t="inlineStr">
        <is>
          <t>IA-ST-090-STD-01</t>
        </is>
      </c>
      <c r="D227" s="25" t="inlineStr">
        <is>
          <t>IA-ST-CFG-0262</t>
        </is>
      </c>
      <c r="E227" s="25" t="inlineStr">
        <is>
          <t>L0 | Palet (4000037): 1 adet | Shrink film (4000555): 2.166 kg</t>
        </is>
      </c>
      <c r="F227" s="25" t="n">
        <v>30.0852</v>
      </c>
      <c r="G227" s="25" t="n">
        <v>7</v>
      </c>
      <c r="H227" s="25" t="inlineStr">
        <is>
          <t>Rev.00</t>
        </is>
      </c>
      <c r="I227" s="31">
        <f>HYPERLINK("01_STARTER/ST-090-STD-01/04_Shipment_Statement.docx","Open")</f>
        <v/>
      </c>
    </row>
    <row r="228">
      <c r="A228" s="25" t="inlineStr">
        <is>
          <t>IA-PPWR-STM-ST-090-STD-02-R00</t>
        </is>
      </c>
      <c r="B228" s="25" t="inlineStr">
        <is>
          <t>ST-090-STD-02</t>
        </is>
      </c>
      <c r="C228" s="25" t="inlineStr">
        <is>
          <t>IA-ST-090-STD-02</t>
        </is>
      </c>
      <c r="D228" s="25" t="inlineStr">
        <is>
          <t>IA-ST-CFG-0263</t>
        </is>
      </c>
      <c r="E228" s="25" t="inlineStr">
        <is>
          <t>L0 | Palet (4000037): 1 adet | Shrink film (4001177): 0.597 kg</t>
        </is>
      </c>
      <c r="F228" s="25" t="n">
        <v>28.649</v>
      </c>
      <c r="G228" s="25" t="n">
        <v>7</v>
      </c>
      <c r="H228" s="25" t="inlineStr">
        <is>
          <t>Rev.00</t>
        </is>
      </c>
      <c r="I228" s="31">
        <f>HYPERLINK("01_STARTER/ST-090-STD-02/04_Shipment_Statement.docx","Open")</f>
        <v/>
      </c>
    </row>
    <row r="229">
      <c r="A229" s="25" t="inlineStr">
        <is>
          <t>IA-PPWR-STM-ST-096-EUR-01-R00</t>
        </is>
      </c>
      <c r="B229" s="25" t="inlineStr">
        <is>
          <t>ST-096-EUR-01</t>
        </is>
      </c>
      <c r="C229" s="25" t="inlineStr">
        <is>
          <t>IA-ST-096-EUR-01</t>
        </is>
      </c>
      <c r="D229" s="25" t="inlineStr">
        <is>
          <t>IA-ST-CFG-0264</t>
        </is>
      </c>
      <c r="E229" s="25" t="inlineStr">
        <is>
          <t>LB1 | Palet (4000038): 1 adet | Shrink film (4000556): 2.594 kg</t>
        </is>
      </c>
      <c r="F229" s="25" t="n">
        <v>30.6532</v>
      </c>
      <c r="G229" s="25" t="n">
        <v>7</v>
      </c>
      <c r="H229" s="25" t="inlineStr">
        <is>
          <t>Rev.00</t>
        </is>
      </c>
      <c r="I229" s="31">
        <f>HYPERLINK("01_STARTER/ST-096-EUR-01/04_Shipment_Statement.docx","Open")</f>
        <v/>
      </c>
    </row>
    <row r="230">
      <c r="A230" s="25" t="inlineStr">
        <is>
          <t>IA-PPWR-STM-ST-096-EUR-02-R00</t>
        </is>
      </c>
      <c r="B230" s="25" t="inlineStr">
        <is>
          <t>ST-096-EUR-02</t>
        </is>
      </c>
      <c r="C230" s="25" t="inlineStr">
        <is>
          <t>IA-ST-096-EUR-02</t>
        </is>
      </c>
      <c r="D230" s="25" t="inlineStr">
        <is>
          <t>IA-ST-CFG-0265</t>
        </is>
      </c>
      <c r="E230" s="25" t="inlineStr">
        <is>
          <t>L1 | Palet (4000038): 1 adet | Shrink film (4000556): 3.167 kg</t>
        </is>
      </c>
      <c r="F230" s="25" t="n">
        <v>31.0262</v>
      </c>
      <c r="G230" s="25" t="n">
        <v>7</v>
      </c>
      <c r="H230" s="25" t="inlineStr">
        <is>
          <t>Rev.00</t>
        </is>
      </c>
      <c r="I230" s="31">
        <f>HYPERLINK("01_STARTER/ST-096-EUR-02/04_Shipment_Statement.docx","Open")</f>
        <v/>
      </c>
    </row>
    <row r="231">
      <c r="A231" s="25" t="inlineStr">
        <is>
          <t>IA-PPWR-STM-ST-096-EUR-03-R00</t>
        </is>
      </c>
      <c r="B231" s="25" t="inlineStr">
        <is>
          <t>ST-096-EUR-03</t>
        </is>
      </c>
      <c r="C231" s="25" t="inlineStr">
        <is>
          <t>IA-ST-096-EUR-03</t>
        </is>
      </c>
      <c r="D231" s="25" t="inlineStr">
        <is>
          <t>IA-ST-CFG-0266</t>
        </is>
      </c>
      <c r="E231" s="25" t="inlineStr">
        <is>
          <t>L1, LB1 | Palet (4000038): 1 adet | Shrink film (4000556): 3.167 kg</t>
        </is>
      </c>
      <c r="F231" s="25" t="n">
        <v>31.2262</v>
      </c>
      <c r="G231" s="25" t="n">
        <v>7</v>
      </c>
      <c r="H231" s="25" t="inlineStr">
        <is>
          <t>Rev.00</t>
        </is>
      </c>
      <c r="I231" s="31">
        <f>HYPERLINK("01_STARTER/ST-096-EUR-03/04_Shipment_Statement.docx","Open")</f>
        <v/>
      </c>
    </row>
    <row r="232">
      <c r="A232" s="25" t="inlineStr">
        <is>
          <t>IA-PPWR-STM-ST-096-EUR-04-R00</t>
        </is>
      </c>
      <c r="B232" s="25" t="inlineStr">
        <is>
          <t>ST-096-EUR-04</t>
        </is>
      </c>
      <c r="C232" s="25" t="inlineStr">
        <is>
          <t>IA-ST-096-EUR-04</t>
        </is>
      </c>
      <c r="D232" s="25" t="inlineStr">
        <is>
          <t>IA-ST-CFG-0267</t>
        </is>
      </c>
      <c r="E232" s="25" t="inlineStr">
        <is>
          <t>L1 | Palet (4000038): 1 adet | Shrink film (4000556): kullanılmaz</t>
        </is>
      </c>
      <c r="F232" s="25" t="n">
        <v>27.8592</v>
      </c>
      <c r="G232" s="25" t="n">
        <v>6</v>
      </c>
      <c r="H232" s="25" t="inlineStr">
        <is>
          <t>Rev.00</t>
        </is>
      </c>
      <c r="I232" s="31">
        <f>HYPERLINK("01_STARTER/ST-096-EUR-04/04_Shipment_Statement.docx","Open")</f>
        <v/>
      </c>
    </row>
    <row r="233">
      <c r="A233" s="25" t="inlineStr">
        <is>
          <t>IA-PPWR-STM-ST-096-EUR-05-R00</t>
        </is>
      </c>
      <c r="B233" s="25" t="inlineStr">
        <is>
          <t>ST-096-EUR-05</t>
        </is>
      </c>
      <c r="C233" s="25" t="inlineStr">
        <is>
          <t>IA-ST-096-EUR-05</t>
        </is>
      </c>
      <c r="D233" s="25" t="inlineStr">
        <is>
          <t>IA-ST-CFG-0268</t>
        </is>
      </c>
      <c r="E233" s="25" t="inlineStr">
        <is>
          <t>LB1 | Palet (4000038): 1 adet | Shrink film (4000556): kullanılmaz</t>
        </is>
      </c>
      <c r="F233" s="25" t="n">
        <v>28.0592</v>
      </c>
      <c r="G233" s="25" t="n">
        <v>6</v>
      </c>
      <c r="H233" s="25" t="inlineStr">
        <is>
          <t>Rev.00</t>
        </is>
      </c>
      <c r="I233" s="31">
        <f>HYPERLINK("01_STARTER/ST-096-EUR-05/04_Shipment_Statement.docx","Open")</f>
        <v/>
      </c>
    </row>
    <row r="234">
      <c r="A234" s="25" t="inlineStr">
        <is>
          <t>IA-PPWR-STM-ST-096-EUR-06-R00</t>
        </is>
      </c>
      <c r="B234" s="25" t="inlineStr">
        <is>
          <t>ST-096-EUR-06</t>
        </is>
      </c>
      <c r="C234" s="25" t="inlineStr">
        <is>
          <t>IA-ST-096-EUR-06</t>
        </is>
      </c>
      <c r="D234" s="25" t="inlineStr">
        <is>
          <t>IA-ST-CFG-0269</t>
        </is>
      </c>
      <c r="E234" s="25" t="inlineStr">
        <is>
          <t>L1, LB1 | Palet (4000038): 1 adet | Köşebent (4000033): 4 adet</t>
        </is>
      </c>
      <c r="F234" s="25" t="n">
        <v>28.566</v>
      </c>
      <c r="G234" s="25" t="n">
        <v>6</v>
      </c>
      <c r="H234" s="25" t="inlineStr">
        <is>
          <t>Rev.00</t>
        </is>
      </c>
      <c r="I234" s="31">
        <f>HYPERLINK("01_STARTER/ST-096-EUR-06/04_Shipment_Statement.docx","Open")</f>
        <v/>
      </c>
    </row>
    <row r="235">
      <c r="A235" s="25" t="inlineStr">
        <is>
          <t>IA-PPWR-STM-ST-096-EUR-07-R00</t>
        </is>
      </c>
      <c r="B235" s="25" t="inlineStr">
        <is>
          <t>ST-096-EUR-07</t>
        </is>
      </c>
      <c r="C235" s="25" t="inlineStr">
        <is>
          <t>IA-ST-096-EUR-07</t>
        </is>
      </c>
      <c r="D235" s="25" t="inlineStr">
        <is>
          <t>IA-ST-CFG-0275</t>
        </is>
      </c>
      <c r="E235" s="25" t="inlineStr">
        <is>
          <t>L0 | Palet (4000038): 1 adet | Köşebent (4000590): 4 adet</t>
        </is>
      </c>
      <c r="F235" s="25" t="n">
        <v>28.126</v>
      </c>
      <c r="G235" s="25" t="n">
        <v>6</v>
      </c>
      <c r="H235" s="25" t="inlineStr">
        <is>
          <t>Rev.00</t>
        </is>
      </c>
      <c r="I235" s="31">
        <f>HYPERLINK("01_STARTER/ST-096-EUR-07/04_Shipment_Statement.docx","Open")</f>
        <v/>
      </c>
    </row>
    <row r="236">
      <c r="A236" s="25" t="inlineStr">
        <is>
          <t>IA-PPWR-STM-ST-096-EUR-08-R00</t>
        </is>
      </c>
      <c r="B236" s="25" t="inlineStr">
        <is>
          <t>ST-096-EUR-08</t>
        </is>
      </c>
      <c r="C236" s="25" t="inlineStr">
        <is>
          <t>IA-ST-096-EUR-08</t>
        </is>
      </c>
      <c r="D236" s="25" t="inlineStr">
        <is>
          <t>IA-ST-CFG-0276</t>
        </is>
      </c>
      <c r="E236" s="25" t="inlineStr">
        <is>
          <t>L0 | Palet (4000038): 1 adet | Separatör (4000609): 4 adet</t>
        </is>
      </c>
      <c r="F236" s="25" t="n">
        <v>29.9492</v>
      </c>
      <c r="G236" s="25" t="n">
        <v>7</v>
      </c>
      <c r="H236" s="25" t="inlineStr">
        <is>
          <t>Rev.00</t>
        </is>
      </c>
      <c r="I236" s="31">
        <f>HYPERLINK("01_STARTER/ST-096-EUR-08/04_Shipment_Statement.docx","Open")</f>
        <v/>
      </c>
    </row>
    <row r="237">
      <c r="A237" s="25" t="inlineStr">
        <is>
          <t>IA-PPWR-STM-ST-096-EUR-09-R00</t>
        </is>
      </c>
      <c r="B237" s="25" t="inlineStr">
        <is>
          <t>ST-096-EUR-09</t>
        </is>
      </c>
      <c r="C237" s="25" t="inlineStr">
        <is>
          <t>IA-ST-096-EUR-09</t>
        </is>
      </c>
      <c r="D237" s="25" t="inlineStr">
        <is>
          <t>IA-ST-CFG-0277</t>
        </is>
      </c>
      <c r="E237" s="25" t="inlineStr">
        <is>
          <t>L0 | Palet (4000038): 1 adet | Shrink film (4000555): 2.31 kg | Separatör (4000609): 5 adet</t>
        </is>
      </c>
      <c r="F237" s="25" t="n">
        <v>30.1492</v>
      </c>
      <c r="G237" s="25" t="n">
        <v>7</v>
      </c>
      <c r="H237" s="25" t="inlineStr">
        <is>
          <t>Rev.00</t>
        </is>
      </c>
      <c r="I237" s="31">
        <f>HYPERLINK("01_STARTER/ST-096-EUR-09/04_Shipment_Statement.docx","Open")</f>
        <v/>
      </c>
    </row>
    <row r="238">
      <c r="A238" s="25" t="inlineStr">
        <is>
          <t>IA-PPWR-STM-ST-096-EUR-10-R00</t>
        </is>
      </c>
      <c r="B238" s="25" t="inlineStr">
        <is>
          <t>ST-096-EUR-10</t>
        </is>
      </c>
      <c r="C238" s="25" t="inlineStr">
        <is>
          <t>IA-ST-096-EUR-10</t>
        </is>
      </c>
      <c r="D238" s="25" t="inlineStr">
        <is>
          <t>IA-ST-CFG-0278</t>
        </is>
      </c>
      <c r="E238" s="25" t="inlineStr">
        <is>
          <t>L0 | Palet (4000038): 1 adet | Shrink film (4000555): kullanılmaz | Köşebent (4000590): 2 adet</t>
        </is>
      </c>
      <c r="F238" s="25" t="n">
        <v>27.8392</v>
      </c>
      <c r="G238" s="25" t="n">
        <v>6</v>
      </c>
      <c r="H238" s="25" t="inlineStr">
        <is>
          <t>Rev.00</t>
        </is>
      </c>
      <c r="I238" s="31">
        <f>HYPERLINK("01_STARTER/ST-096-EUR-10/04_Shipment_Statement.docx","Open")</f>
        <v/>
      </c>
    </row>
    <row r="239">
      <c r="A239" s="25" t="inlineStr">
        <is>
          <t>IA-PPWR-STM-ST-096-STD-01-R00</t>
        </is>
      </c>
      <c r="B239" s="25" t="inlineStr">
        <is>
          <t>ST-096-STD-01</t>
        </is>
      </c>
      <c r="C239" s="25" t="inlineStr">
        <is>
          <t>IA-ST-096-STD-01</t>
        </is>
      </c>
      <c r="D239" s="25" t="inlineStr">
        <is>
          <t>IA-ST-CFG-0270</t>
        </is>
      </c>
      <c r="E239" s="25" t="inlineStr">
        <is>
          <t>L1 | L1 EAS Activa penceresiz dış koli (4000645): 96 adet</t>
        </is>
      </c>
      <c r="F239" s="25" t="n">
        <v>53.336</v>
      </c>
      <c r="G239" s="25" t="n">
        <v>7</v>
      </c>
      <c r="H239" s="25" t="inlineStr">
        <is>
          <t>Rev.00</t>
        </is>
      </c>
      <c r="I239" s="31">
        <f>HYPERLINK("01_STARTER/ST-096-STD-01/04_Shipment_Statement.docx","Open")</f>
        <v/>
      </c>
    </row>
    <row r="240">
      <c r="A240" s="25" t="inlineStr">
        <is>
          <t>IA-PPWR-STM-ST-096-STD-02-R00</t>
        </is>
      </c>
      <c r="B240" s="25" t="inlineStr">
        <is>
          <t>ST-096-STD-02</t>
        </is>
      </c>
      <c r="C240" s="25" t="inlineStr">
        <is>
          <t>IA-ST-096-STD-02</t>
        </is>
      </c>
      <c r="D240" s="25" t="inlineStr">
        <is>
          <t>IA-ST-CFG-0271</t>
        </is>
      </c>
      <c r="E240" s="25" t="inlineStr">
        <is>
          <t>LB1 | LB1 İnci FORMULA-MAXIMA 2019 dış koli (4001201): 96 adet</t>
        </is>
      </c>
      <c r="F240" s="25" t="n">
        <v>47.996</v>
      </c>
      <c r="G240" s="25" t="n">
        <v>7</v>
      </c>
      <c r="H240" s="25" t="inlineStr">
        <is>
          <t>Rev.00</t>
        </is>
      </c>
      <c r="I240" s="31">
        <f>HYPERLINK("01_STARTER/ST-096-STD-02/04_Shipment_Statement.docx","Open")</f>
        <v/>
      </c>
    </row>
    <row r="241">
      <c r="A241" s="25" t="inlineStr">
        <is>
          <t>IA-PPWR-STM-ST-096-STD-03-R00</t>
        </is>
      </c>
      <c r="B241" s="25" t="inlineStr">
        <is>
          <t>ST-096-STD-03</t>
        </is>
      </c>
      <c r="C241" s="25" t="inlineStr">
        <is>
          <t>IA-ST-096-STD-03</t>
        </is>
      </c>
      <c r="D241" s="25" t="inlineStr">
        <is>
          <t>IA-ST-CFG-0272</t>
        </is>
      </c>
      <c r="E241" s="25" t="inlineStr">
        <is>
          <t>NS60 | NS60 PVC üst kapak (4000602): 96 adet | Köşebent (4000590): 4 adet</t>
        </is>
      </c>
      <c r="F241" s="25" t="n">
        <v>35.3172</v>
      </c>
      <c r="G241" s="25" t="n">
        <v>8</v>
      </c>
      <c r="H241" s="25" t="inlineStr">
        <is>
          <t>Rev.00</t>
        </is>
      </c>
      <c r="I241" s="31">
        <f>HYPERLINK("01_STARTER/ST-096-STD-03/04_Shipment_Statement.docx","Open")</f>
        <v/>
      </c>
    </row>
    <row r="242">
      <c r="A242" s="25" t="inlineStr">
        <is>
          <t>IA-PPWR-STM-ST-096-STD-04-R00</t>
        </is>
      </c>
      <c r="B242" s="25" t="inlineStr">
        <is>
          <t>ST-096-STD-04</t>
        </is>
      </c>
      <c r="C242" s="25" t="inlineStr">
        <is>
          <t>IA-ST-096-STD-04</t>
        </is>
      </c>
      <c r="D242" s="25" t="inlineStr">
        <is>
          <t>IA-ST-CFG-0273</t>
        </is>
      </c>
      <c r="E242" s="25" t="inlineStr">
        <is>
          <t>NS60 | NS60 PVC üst kapak (4000602): 96 adet | Çember (4000450): kullanılmaz</t>
        </is>
      </c>
      <c r="F242" s="25" t="n">
        <v>34.7436</v>
      </c>
      <c r="G242" s="25" t="n">
        <v>6</v>
      </c>
      <c r="H242" s="25" t="inlineStr">
        <is>
          <t>Rev.00</t>
        </is>
      </c>
      <c r="I242" s="31">
        <f>HYPERLINK("01_STARTER/ST-096-STD-04/04_Shipment_Statement.docx","Open")</f>
        <v/>
      </c>
    </row>
    <row r="243">
      <c r="A243" s="25" t="inlineStr">
        <is>
          <t>IA-PPWR-STM-ST-096-STD-05-R00</t>
        </is>
      </c>
      <c r="B243" s="25" t="inlineStr">
        <is>
          <t>ST-096-STD-05</t>
        </is>
      </c>
      <c r="C243" s="25" t="inlineStr">
        <is>
          <t>IA-ST-096-STD-05</t>
        </is>
      </c>
      <c r="D243" s="25" t="inlineStr">
        <is>
          <t>IA-ST-CFG-0274</t>
        </is>
      </c>
      <c r="E243" s="25" t="inlineStr">
        <is>
          <t>NS60 | Palet (4000037): 1 adet | Shrink film (4001177): 0.597 kg</t>
        </is>
      </c>
      <c r="F243" s="25" t="n">
        <v>28.649</v>
      </c>
      <c r="G243" s="25" t="n">
        <v>7</v>
      </c>
      <c r="H243" s="25" t="inlineStr">
        <is>
          <t>Rev.00</t>
        </is>
      </c>
      <c r="I243" s="31">
        <f>HYPERLINK("01_STARTER/ST-096-STD-05/04_Shipment_Statement.docx","Open")</f>
        <v/>
      </c>
    </row>
    <row r="244">
      <c r="A244" s="25" t="inlineStr">
        <is>
          <t>IA-PPWR-STM-ST-105-STD-01-R00</t>
        </is>
      </c>
      <c r="B244" s="25" t="inlineStr">
        <is>
          <t>ST-105-STD-01</t>
        </is>
      </c>
      <c r="C244" s="25" t="inlineStr">
        <is>
          <t>IA-ST-105-STD-01</t>
        </is>
      </c>
      <c r="D244" s="25" t="inlineStr">
        <is>
          <t>IA-ST-CFG-0282</t>
        </is>
      </c>
      <c r="E244" s="25" t="inlineStr">
        <is>
          <t>NS40 | NS40 EAS Activa penceresiz B00 dış koli (4000630): 105 adet</t>
        </is>
      </c>
      <c r="F244" s="25" t="n">
        <v>54.97265</v>
      </c>
      <c r="G244" s="25" t="n">
        <v>8</v>
      </c>
      <c r="H244" s="25" t="inlineStr">
        <is>
          <t>Rev.00</t>
        </is>
      </c>
      <c r="I244" s="31">
        <f>HYPERLINK("01_STARTER/ST-105-STD-01/04_Shipment_Statement.docx","Open")</f>
        <v/>
      </c>
    </row>
    <row r="245">
      <c r="A245" s="25" t="inlineStr">
        <is>
          <t>IA-PPWR-STM-ST-105-STD-02-R00</t>
        </is>
      </c>
      <c r="B245" s="25" t="inlineStr">
        <is>
          <t>ST-105-STD-02</t>
        </is>
      </c>
      <c r="C245" s="25" t="inlineStr">
        <is>
          <t>IA-ST-105-STD-02</t>
        </is>
      </c>
      <c r="D245" s="25" t="inlineStr">
        <is>
          <t>IA-ST-CFG-0283</t>
        </is>
      </c>
      <c r="E245" s="25" t="inlineStr">
        <is>
          <t>NS40 | NS40 İnci FORMULA-MAXIMA B00 2019 dış koli (4001212): 105 adet</t>
        </is>
      </c>
      <c r="F245" s="25" t="n">
        <v>55.66265</v>
      </c>
      <c r="G245" s="25" t="n">
        <v>8</v>
      </c>
      <c r="H245" s="25" t="inlineStr">
        <is>
          <t>Rev.00</t>
        </is>
      </c>
      <c r="I245" s="31">
        <f>HYPERLINK("01_STARTER/ST-105-STD-02/04_Shipment_Statement.docx","Open")</f>
        <v/>
      </c>
    </row>
    <row r="246">
      <c r="A246" s="25" t="inlineStr">
        <is>
          <t>IA-PPWR-STM-ST-120-STD-01-R00</t>
        </is>
      </c>
      <c r="B246" s="25" t="inlineStr">
        <is>
          <t>ST-120-STD-01</t>
        </is>
      </c>
      <c r="C246" s="25" t="inlineStr">
        <is>
          <t>IA-ST-120-STD-01</t>
        </is>
      </c>
      <c r="D246" s="25" t="inlineStr">
        <is>
          <t>IA-ST-CFG-0284</t>
        </is>
      </c>
      <c r="E246" s="25" t="inlineStr">
        <is>
          <t>NS40 | NS40 PVC üst kapak (4000601): 120 adet | Köşebent (4000590): 4 adet</t>
        </is>
      </c>
      <c r="F246" s="25" t="n">
        <v>35.3676</v>
      </c>
      <c r="G246" s="25" t="n">
        <v>8</v>
      </c>
      <c r="H246" s="25" t="inlineStr">
        <is>
          <t>Rev.00</t>
        </is>
      </c>
      <c r="I246" s="31">
        <f>HYPERLINK("01_STARTER/ST-120-STD-01/04_Shipment_Statement.docx","Open")</f>
        <v/>
      </c>
    </row>
    <row r="247">
      <c r="A247" s="25" t="inlineStr">
        <is>
          <t>IA-PPWR-STM-ST-120-STD-02-R00</t>
        </is>
      </c>
      <c r="B247" s="25" t="inlineStr">
        <is>
          <t>ST-120-STD-02</t>
        </is>
      </c>
      <c r="C247" s="25" t="inlineStr">
        <is>
          <t>IA-ST-120-STD-02</t>
        </is>
      </c>
      <c r="D247" s="25" t="inlineStr">
        <is>
          <t>IA-ST-CFG-0285</t>
        </is>
      </c>
      <c r="E247" s="25" t="inlineStr">
        <is>
          <t>NS40 | NS40 PVC üst kapak (4000601): 120 adet | Çember (4000450): kullanılmaz</t>
        </is>
      </c>
      <c r="F247" s="25" t="n">
        <v>34.794</v>
      </c>
      <c r="G247" s="25" t="n">
        <v>6</v>
      </c>
      <c r="H247" s="25" t="inlineStr">
        <is>
          <t>Rev.00</t>
        </is>
      </c>
      <c r="I247" s="31">
        <f>HYPERLINK("01_STARTER/ST-120-STD-02/04_Shipment_Statement.docx","Open")</f>
        <v/>
      </c>
    </row>
    <row r="248">
      <c r="A248" s="25" t="inlineStr">
        <is>
          <t>IA-PPWR-STM-ST-120-STD-03-R00</t>
        </is>
      </c>
      <c r="B248" s="25" t="inlineStr">
        <is>
          <t>ST-120-STD-03</t>
        </is>
      </c>
      <c r="C248" s="25" t="inlineStr">
        <is>
          <t>IA-ST-120-STD-03</t>
        </is>
      </c>
      <c r="D248" s="25" t="inlineStr">
        <is>
          <t>IA-ST-CFG-0286</t>
        </is>
      </c>
      <c r="E248" s="25" t="inlineStr">
        <is>
          <t>NS40 | Palet (4000037): 1 adet | Shrink film (4001177): 0.597 kg</t>
        </is>
      </c>
      <c r="F248" s="25" t="n">
        <v>28.649</v>
      </c>
      <c r="G248" s="25" t="n">
        <v>7</v>
      </c>
      <c r="H248" s="25" t="inlineStr">
        <is>
          <t>Rev.00</t>
        </is>
      </c>
      <c r="I248" s="31">
        <f>HYPERLINK("01_STARTER/ST-120-STD-03/04_Shipment_Statement.docx","Open")</f>
        <v/>
      </c>
    </row>
  </sheetData>
  <autoFilter ref="A1:I24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20" t="inlineStr">
        <is>
          <t>SHIPMENTS — transactional</t>
        </is>
      </c>
    </row>
    <row r="2">
      <c r="A2" s="29" t="inlineStr">
        <is>
          <t>Transaction shipment records remain on database sheet SHIPMENT / SHIPMENT_LINE. Configuration-level packaging statements are under SHIPMENT_STATEMENTS.</t>
        </is>
      </c>
    </row>
    <row r="4">
      <c r="A4" s="27">
        <f>HYPERLINK("#'SHIPMENT'!A1","Open SHIPMENT database sheet")</f>
        <v/>
      </c>
    </row>
    <row r="5">
      <c r="A5" s="27">
        <f>HYPERLINK("#'SHIPMENT_STATEMENTS'!A1","Open SHIPMENT_STATEMENTS module")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20" t="inlineStr">
        <is>
          <t>DOC_ENGINE_MAP — read-only (Python remains authoritative)</t>
        </is>
      </c>
    </row>
    <row r="3" ht="28" customHeight="1">
      <c r="A3" s="23" t="inlineStr">
        <is>
          <t>Document Type</t>
        </is>
      </c>
      <c r="B3" s="23" t="inlineStr">
        <is>
          <t>Logical Field</t>
        </is>
      </c>
      <c r="C3" s="23" t="inlineStr">
        <is>
          <t>PIMS Source</t>
        </is>
      </c>
      <c r="D3" s="23" t="inlineStr">
        <is>
          <t>DocumentContext Field</t>
        </is>
      </c>
      <c r="E3" s="23" t="inlineStr">
        <is>
          <t>Runtime Token / Mapping</t>
        </is>
      </c>
      <c r="F3" s="23" t="inlineStr">
        <is>
          <t>Builder Module</t>
        </is>
      </c>
    </row>
    <row r="4">
      <c r="A4" s="25" t="inlineStr">
        <is>
          <t>Technical File</t>
        </is>
      </c>
      <c r="B4" s="25" t="inlineStr">
        <is>
          <t>Packaging Set Code</t>
        </is>
      </c>
      <c r="C4" s="25" t="inlineStr">
        <is>
          <t>PACKAGING_CONFIGURATION.CONFIG_GROUP_CODE</t>
        </is>
      </c>
      <c r="D4" s="25" t="inlineStr">
        <is>
          <t>document_ids.packaging_set_code</t>
        </is>
      </c>
      <c r="E4" s="25" t="inlineStr">
        <is>
          <t>{{CONFIG_SET_CODE}}</t>
        </is>
      </c>
      <c r="F4" s="25" t="inlineStr">
        <is>
          <t>phase_g.merge_engine</t>
        </is>
      </c>
    </row>
    <row r="5">
      <c r="A5" s="25" t="inlineStr">
        <is>
          <t>Technical File</t>
        </is>
      </c>
      <c r="B5" s="25" t="inlineStr">
        <is>
          <t>Configuration ID</t>
        </is>
      </c>
      <c r="C5" s="25" t="inlineStr">
        <is>
          <t>NOTES FINAL_CONFIGURATION_ID</t>
        </is>
      </c>
      <c r="D5" s="25" t="inlineStr">
        <is>
          <t>document_ids.final_configuration_id</t>
        </is>
      </c>
      <c r="E5" s="25" t="inlineStr">
        <is>
          <t>{{CONFIG_ID}}</t>
        </is>
      </c>
      <c r="F5" s="25" t="inlineStr">
        <is>
          <t>DocumentContextFactory</t>
        </is>
      </c>
    </row>
    <row r="6">
      <c r="A6" s="25" t="inlineStr">
        <is>
          <t>Technical File</t>
        </is>
      </c>
      <c r="B6" s="25" t="inlineStr">
        <is>
          <t>Variant Basis TR/EN</t>
        </is>
      </c>
      <c r="C6" s="25" t="inlineStr">
        <is>
          <t>DESCRIPTION codec</t>
        </is>
      </c>
      <c r="D6" s="25" t="inlineStr">
        <is>
          <t>configuration.variant_basis_*</t>
        </is>
      </c>
      <c r="E6" s="25" t="inlineStr">
        <is>
          <t>{{VARIANT_BASIS_TR/EN}}</t>
        </is>
      </c>
      <c r="F6" s="25" t="inlineStr">
        <is>
          <t>VariantDescriptionCodec</t>
        </is>
      </c>
    </row>
    <row r="7">
      <c r="A7" s="25" t="inlineStr">
        <is>
          <t>Technical File</t>
        </is>
      </c>
      <c r="B7" s="25" t="inlineStr">
        <is>
          <t>Exact BOM</t>
        </is>
      </c>
      <c r="C7" s="25" t="inlineStr">
        <is>
          <t>PACKAGING_CONFIGURATION_LINE</t>
        </is>
      </c>
      <c r="D7" s="25" t="inlineStr">
        <is>
          <t>configuration.lines</t>
        </is>
      </c>
      <c r="E7" s="25" t="inlineStr">
        <is>
          <t>{{BOM_TABLE}}</t>
        </is>
      </c>
      <c r="F7" s="25" t="inlineStr">
        <is>
          <t>merge_engine._fill_bom_table</t>
        </is>
      </c>
    </row>
    <row r="8">
      <c r="A8" s="25" t="inlineStr">
        <is>
          <t>Technical File</t>
        </is>
      </c>
      <c r="B8" s="25" t="inlineStr">
        <is>
          <t>Tare</t>
        </is>
      </c>
      <c r="C8" s="25" t="inlineStr">
        <is>
          <t>WeightService</t>
        </is>
      </c>
      <c r="D8" s="25" t="inlineStr">
        <is>
          <t>total_tare_g</t>
        </is>
      </c>
      <c r="E8" s="25" t="inlineStr">
        <is>
          <t>{{TOTAL_TARE_KG}}</t>
        </is>
      </c>
      <c r="F8" s="25" t="inlineStr">
        <is>
          <t>WeightService</t>
        </is>
      </c>
    </row>
    <row r="9">
      <c r="A9" s="25" t="inlineStr">
        <is>
          <t>EU DoC</t>
        </is>
      </c>
      <c r="B9" s="25" t="inlineStr">
        <is>
          <t>Declaration ID</t>
        </is>
      </c>
      <c r="C9" s="25" t="inlineStr">
        <is>
          <t>DECLARATION_OF_CONFORMITY.DOC_NUMBER</t>
        </is>
      </c>
      <c r="D9" s="25" t="inlineStr">
        <is>
          <t>document_ids.doc_id</t>
        </is>
      </c>
      <c r="E9" s="25" t="inlineStr">
        <is>
          <t>{{DOC_ID}}</t>
        </is>
      </c>
      <c r="F9" s="25" t="inlineStr">
        <is>
          <t>IdService</t>
        </is>
      </c>
    </row>
    <row r="10">
      <c r="A10" s="25" t="inlineStr">
        <is>
          <t>Label</t>
        </is>
      </c>
      <c r="B10" s="25" t="inlineStr">
        <is>
          <t>Label ID</t>
        </is>
      </c>
      <c r="C10" s="25" t="inlineStr">
        <is>
          <t>DOCUMENT_LIBRARY DOCUMENT_CODE</t>
        </is>
      </c>
      <c r="D10" s="25" t="inlineStr">
        <is>
          <t>document_ids.label_id</t>
        </is>
      </c>
      <c r="E10" s="25" t="inlineStr">
        <is>
          <t>{{LABEL_ID}}</t>
        </is>
      </c>
      <c r="F10" s="25" t="inlineStr">
        <is>
          <t>IdService</t>
        </is>
      </c>
    </row>
    <row r="11">
      <c r="A11" s="25" t="inlineStr">
        <is>
          <t>Statement</t>
        </is>
      </c>
      <c r="B11" s="25" t="inlineStr">
        <is>
          <t>Statement ID</t>
        </is>
      </c>
      <c r="C11" s="25" t="inlineStr">
        <is>
          <t>STATEMENT.STATEMENT_CODE</t>
        </is>
      </c>
      <c r="D11" s="25" t="inlineStr">
        <is>
          <t>document_ids.statement_id</t>
        </is>
      </c>
      <c r="E11" s="25" t="inlineStr">
        <is>
          <t>{{STM_ID}}</t>
        </is>
      </c>
      <c r="F11" s="25" t="inlineStr">
        <is>
          <t>IdService</t>
        </is>
      </c>
    </row>
    <row r="12">
      <c r="A12" s="25" t="inlineStr">
        <is>
          <t>All</t>
        </is>
      </c>
      <c r="B12" s="25" t="inlineStr">
        <is>
          <t>FILE_URI</t>
        </is>
      </c>
      <c r="C12" s="25" t="inlineStr">
        <is>
          <t>DOCUMENT_LIBRARY</t>
        </is>
      </c>
      <c r="D12" s="25" t="inlineStr">
        <is>
          <t>n/a</t>
        </is>
      </c>
      <c r="E12" s="25" t="inlineStr">
        <is>
          <t>relative Phase I path</t>
        </is>
      </c>
      <c r="F12" s="25" t="inlineStr">
        <is>
          <t>phase_j.registry_sync</t>
        </is>
      </c>
    </row>
  </sheetData>
  <autoFilter ref="A3:F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50"/>
  <sheetViews>
    <sheetView showGridLines="0" tabSelected="1" workbookViewId="0">
      <selection activeCell="A1" sqref="A1"/>
    </sheetView>
  </sheetViews>
  <sheetFormatPr baseColWidth="8" defaultRowHeight="15"/>
  <cols>
    <col width="120" customWidth="1" min="1" max="1"/>
  </cols>
  <sheetData>
    <row r="1" ht="19.5" customHeight="1">
      <c r="A1" s="1" t="inlineStr">
        <is>
          <t>İnci Akü PPWR PIMS — Workbook Platform (Rev00)</t>
        </is>
      </c>
    </row>
    <row r="2">
      <c r="A2" s="2" t="n"/>
    </row>
    <row r="3" ht="15.75" customHeight="1">
      <c r="A3" s="3" t="inlineStr">
        <is>
          <t>TR | EN</t>
        </is>
      </c>
    </row>
    <row r="4" ht="15.75" customHeight="1">
      <c r="A4" s="3" t="inlineStr">
        <is>
          <t>Amaç / Purpose</t>
        </is>
      </c>
    </row>
    <row r="5">
      <c r="A5" s="2" t="inlineStr">
        <is>
          <t>Bu çalışma kitabı, İnci Akü PPWR Ambalaj Bilgi Yönetim Sistemi’nin (PIMS) Wave-1 operasyonel ilişkisel veritabanıdır.</t>
        </is>
      </c>
    </row>
    <row r="6">
      <c r="A6" s="2" t="inlineStr">
        <is>
          <t>This workbook is the Wave-1 operational relational database for the İnci Akü PPWR Packaging Information Management System (PIMS).</t>
        </is>
      </c>
    </row>
    <row r="7">
      <c r="A7" s="2" t="n"/>
    </row>
    <row r="8" ht="15.75" customHeight="1">
      <c r="A8" s="3" t="inlineStr">
        <is>
          <t>Kaynak Gerçeği / Source of Truth</t>
        </is>
      </c>
    </row>
    <row r="9">
      <c r="A9" s="2" t="inlineStr">
        <is>
          <t>Şema otoritesi: FINAL_DATABASE.md Schema 1.0.0 (FROZEN). Her ilişkisel tablo = bir sayfa. UI sayfaları (00–04) kaynak değildir.</t>
        </is>
      </c>
    </row>
    <row r="10">
      <c r="A10" s="2" t="inlineStr">
        <is>
          <t>Schema authority: FINAL_DATABASE.md Schema 1.0.0 (FROZEN). One relational table = one sheet. UI sheets (00–04) are never source of truth.</t>
        </is>
      </c>
    </row>
    <row r="11">
      <c r="A11" s="2" t="n"/>
    </row>
    <row r="12" ht="15.75" customHeight="1">
      <c r="A12" s="3" t="inlineStr">
        <is>
          <t>Sayfa Kategorileri / Sheet Categories</t>
        </is>
      </c>
    </row>
    <row r="13">
      <c r="A13" s="2" t="inlineStr">
        <is>
          <t>00–04: Arayüz / rehber. LKP_*: kontrollü lookup. SYSTEM: meta. Diğerleri: master / yapılandırma / sevkiyat / belge metadata.</t>
        </is>
      </c>
    </row>
    <row r="14">
      <c r="A14" s="2" t="inlineStr">
        <is>
          <t>00–04: UI / guides. LKP_*: controlled lookups. SYSTEM: metadata. Others: masters / configs / shipments / document metadata.</t>
        </is>
      </c>
    </row>
    <row r="15">
      <c r="A15" s="2" t="n"/>
    </row>
    <row r="16" ht="15.75" customHeight="1">
      <c r="A16" s="3" t="inlineStr">
        <is>
          <t>Golden Variant</t>
        </is>
      </c>
    </row>
    <row r="17">
      <c r="A17" s="2" t="inlineStr">
        <is>
          <t>CONFIG_GROUP_CODE = Packaging Set Code (ör. ST-051-STD-01). Variant numarası kod son ekidir (-01). Aile kodu soneksiz kısımdır.</t>
        </is>
      </c>
    </row>
    <row r="18">
      <c r="A18" s="2" t="inlineStr">
        <is>
          <t>Variant Basis TR/EN → DESCRIPTION alanı (yapı: TR: … | EN: …) — Schema 1.0.0’da ayrı kolon yoktur; normalize tablolar korunur.</t>
        </is>
      </c>
    </row>
    <row r="19">
      <c r="A19" s="2" t="inlineStr">
        <is>
          <t>PACKAGING_CONFIGURATION_ID = Final Configuration technical PK. Lineage: SUPERSEDES_ID + EXTERNAL_REF alanları (ilgili varlıklarda).</t>
        </is>
      </c>
    </row>
    <row r="20">
      <c r="A20" s="2" t="n"/>
    </row>
    <row r="21" ht="15.75" customHeight="1">
      <c r="A21" s="3" t="inlineStr">
        <is>
          <t>Exact BOM</t>
        </is>
      </c>
    </row>
    <row r="22">
      <c r="A22" s="2" t="inlineStr">
        <is>
          <t>PACKAGING_CONFIGURATION → PACKAGING_CONFIGURATION_LINE (COMPONENT + QUANTITY + LINE_ROLE). Tare = Σ(qty × COMPONENT.WEIGHT_G). Python WeightService otoriterdir.</t>
        </is>
      </c>
    </row>
    <row r="23">
      <c r="A23" s="2" t="n"/>
    </row>
    <row r="24" ht="15.75" customHeight="1">
      <c r="A24" s="3" t="inlineStr">
        <is>
          <t>Ağırlık Sahipliği / Weight Ownership</t>
        </is>
      </c>
    </row>
    <row r="25">
      <c r="A25" s="2" t="inlineStr">
        <is>
          <t>COMPONENT.WEIGHT_G = master. Configuration tare = derived. SHIPMENT_LINE / STATEMENT_LINE = transactional snapshot (dondurulmuş kopya).</t>
        </is>
      </c>
    </row>
    <row r="26">
      <c r="A26" s="2" t="n"/>
    </row>
    <row r="27" ht="15.75" customHeight="1">
      <c r="A27" s="3" t="inlineStr">
        <is>
          <t>Ürün → Konfigürasyon / Product Mapping</t>
        </is>
      </c>
    </row>
    <row r="28">
      <c r="A28" s="2" t="inlineStr">
        <is>
          <t>PRODUCT → COMMERCIAL_SCENARIO → TRANSPORT_CONFIGURATION → PACKAGING_CONFIGURATION. Ayrı Product Map tablosu yoktur (Schema 1.0.0).</t>
        </is>
      </c>
    </row>
    <row r="29">
      <c r="A29" s="2" t="n"/>
    </row>
    <row r="30" ht="15.75" customHeight="1">
      <c r="A30" s="3" t="inlineStr">
        <is>
          <t>Sevkiyat Anlık Görüntüsü / Shipment Snapshot</t>
        </is>
      </c>
    </row>
    <row r="31">
      <c r="A31" s="2" t="inlineStr">
        <is>
          <t>SHIPMENT / SHIPMENT_LINE onay anındaki bileşen/malzeme/ağırlık anlığını saklar. Lot → SHIPMENT.EXTERNAL_REF.</t>
        </is>
      </c>
    </row>
    <row r="32">
      <c r="A32" s="2" t="n"/>
    </row>
    <row r="33" ht="15.75" customHeight="1">
      <c r="A33" s="3" t="inlineStr">
        <is>
          <t>Belge Kontrolü / Document Control</t>
        </is>
      </c>
    </row>
    <row r="34">
      <c r="A34" s="2" t="inlineStr">
        <is>
          <t>TECHNICAL_FILE, DECLARATION_OF_CONFORMITY, DOCUMENT_LIBRARY, DOCUMENT_LINK, STATEMENT* metadata hazırdır. Word/PDF üretimi Phase E’de KAPALI.</t>
        </is>
      </c>
    </row>
    <row r="35">
      <c r="A35" s="2" t="n"/>
    </row>
    <row r="36" ht="15.75" customHeight="1">
      <c r="A36" s="3" t="inlineStr">
        <is>
          <t>Revizyon / Revision</t>
        </is>
      </c>
    </row>
    <row r="37">
      <c r="A37" s="2" t="inlineStr">
        <is>
          <t>REVISION_NO + SUPERSEDES_ID + STATUS_ID. Workbook: Rev00 platform. Production data: Phase F.</t>
        </is>
      </c>
    </row>
    <row r="38">
      <c r="A38" s="2" t="n"/>
    </row>
    <row r="39" ht="15.75" customHeight="1">
      <c r="A39" s="3" t="inlineStr">
        <is>
          <t>Veri Giriş Kuralları / Data Entry</t>
        </is>
      </c>
    </row>
    <row r="40">
      <c r="A40" s="2" t="inlineStr">
        <is>
          <t>1) Lookup kodlarını kullanın. 2) PK boş/çift olmasın. 3) CREATED_AT / UPDATED_AT sistem alanlarını elle değiştirmeyin.</t>
        </is>
      </c>
    </row>
    <row r="41">
      <c r="A41" s="2" t="inlineStr">
        <is>
          <t>4) Derived tare’yi elle yazmayın. 5) ID’leri metin olarak tutun (bilimsel gösterim yok).</t>
        </is>
      </c>
    </row>
    <row r="42">
      <c r="A42" s="2" t="n"/>
    </row>
    <row r="43" ht="15.75" customHeight="1">
      <c r="A43" s="3" t="inlineStr">
        <is>
          <t>Koruma / Protection</t>
        </is>
      </c>
    </row>
    <row r="44">
      <c r="A44" s="2" t="inlineStr">
        <is>
          <t>Phase E: parola kilidi yok (istemci kullanımını engellemez). Sistem/hesaplanan alanlar dokunulmaz kabul edilir; Python QA doğrular.</t>
        </is>
      </c>
    </row>
    <row r="45">
      <c r="A45" s="2" t="n"/>
    </row>
    <row r="46" ht="15.75" customHeight="1">
      <c r="A46" s="3" t="inlineStr">
        <is>
          <t>ERP / SQL / Power BI</t>
        </is>
      </c>
    </row>
    <row r="47">
      <c r="A47" s="2" t="inlineStr">
        <is>
          <t>Tablo adları ve kolonlar Schema 1.0.0 ile birebir. Gelecek SQL migrasyonu ve Power BI aynı ilişkisel modeli kullanır.</t>
        </is>
      </c>
    </row>
    <row r="48">
      <c r="A48" s="2" t="n"/>
    </row>
    <row r="49" ht="15.75" customHeight="1">
      <c r="A49" s="3" t="inlineStr">
        <is>
          <t>CIP / CIF</t>
        </is>
      </c>
    </row>
    <row r="50">
      <c r="A50" s="2" t="inlineStr">
        <is>
          <t>CIF ve CIP ayrı Incoterms 2020 kodlarıdır; ikisi de LKP_INCOTERM’de aktiftir. Alias değildir.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36" customWidth="1" min="1" max="4"/>
  </cols>
  <sheetData>
    <row r="1" ht="19.5" customHeight="1">
      <c r="A1" s="20" t="inlineStr">
        <is>
          <t>İnci Akü PPWR Packaging Information Management System — Rev.00</t>
        </is>
      </c>
    </row>
    <row r="2">
      <c r="A2" s="21" t="inlineStr">
        <is>
          <t>Production Master Data: LOADED | Golden Variant Register: 247 / 247 | Document Pack: 988 / 988 GENERATED | Document Registry: 988 / 988 LINKED | Blocking QA Errors: 0</t>
        </is>
      </c>
    </row>
    <row r="4">
      <c r="A4" s="4" t="inlineStr">
        <is>
          <t>KPI</t>
        </is>
      </c>
      <c r="B4" s="4" t="inlineStr">
        <is>
          <t>Count</t>
        </is>
      </c>
      <c r="C4" s="4" t="inlineStr">
        <is>
          <t>Status</t>
        </is>
      </c>
      <c r="D4" s="4" t="inlineStr">
        <is>
          <t>Notes</t>
        </is>
      </c>
    </row>
    <row r="5">
      <c r="A5" s="2" t="inlineStr">
        <is>
          <t>Components</t>
        </is>
      </c>
      <c r="B5" s="2">
        <f>COUNTA(COMPONENT!A2:A5000)</f>
        <v/>
      </c>
      <c r="C5" s="2" t="inlineStr">
        <is>
          <t>LOADED</t>
        </is>
      </c>
      <c r="D5" s="2" t="inlineStr">
        <is>
          <t>Phase J — application layer + document registry sync</t>
        </is>
      </c>
    </row>
    <row r="6">
      <c r="A6" s="2" t="inlineStr">
        <is>
          <t>Products</t>
        </is>
      </c>
      <c r="B6" s="2">
        <f>COUNTA(PRODUCT!A2:A5000)</f>
        <v/>
      </c>
      <c r="C6" s="2" t="inlineStr">
        <is>
          <t>LOADED</t>
        </is>
      </c>
      <c r="D6" s="2" t="inlineStr">
        <is>
          <t>Phase J — application layer + document registry sync</t>
        </is>
      </c>
    </row>
    <row r="7">
      <c r="A7" s="2" t="inlineStr">
        <is>
          <t>Final Packaging Configurations</t>
        </is>
      </c>
      <c r="B7" s="2">
        <f>COUNTA(PACKAGING_CONFIGURATION!A2:A5000)</f>
        <v/>
      </c>
      <c r="C7" s="2" t="inlineStr">
        <is>
          <t>LOADED</t>
        </is>
      </c>
      <c r="D7" s="2" t="inlineStr">
        <is>
          <t>Phase J — application layer + document registry sync</t>
        </is>
      </c>
    </row>
    <row r="8">
      <c r="A8" s="2" t="inlineStr">
        <is>
          <t>Packaging BOM lines</t>
        </is>
      </c>
      <c r="B8" s="2">
        <f>COUNTA(PACKAGING_CONFIGURATION_LINE!A2:A5000)</f>
        <v/>
      </c>
      <c r="C8" s="2" t="inlineStr">
        <is>
          <t>LOADED</t>
        </is>
      </c>
      <c r="D8" s="2" t="inlineStr">
        <is>
          <t>Phase J — application layer + document registry sync</t>
        </is>
      </c>
    </row>
    <row r="9">
      <c r="A9" s="2" t="inlineStr">
        <is>
          <t>Transport Configurations</t>
        </is>
      </c>
      <c r="B9" s="2">
        <f>COUNTA(TRANSPORT_CONFIGURATION!A2:A5000)</f>
        <v/>
      </c>
      <c r="C9" s="2" t="inlineStr">
        <is>
          <t>LOADED</t>
        </is>
      </c>
      <c r="D9" s="2" t="inlineStr">
        <is>
          <t>Phase J — application layer + document registry sync</t>
        </is>
      </c>
    </row>
    <row r="10">
      <c r="A10" s="2" t="inlineStr">
        <is>
          <t>Commercial Scenarios</t>
        </is>
      </c>
      <c r="B10" s="2">
        <f>COUNTA(COMMERCIAL_SCENARIO!A2:A5000)</f>
        <v/>
      </c>
      <c r="C10" s="2" t="inlineStr">
        <is>
          <t>LOADED</t>
        </is>
      </c>
      <c r="D10" s="2" t="inlineStr">
        <is>
          <t>Phase J — application layer + document registry sync</t>
        </is>
      </c>
    </row>
    <row r="11">
      <c r="A11" s="2" t="inlineStr">
        <is>
          <t>Shipments</t>
        </is>
      </c>
      <c r="B11" s="2">
        <f>COUNTA(SHIPMENT!A2:A5000)</f>
        <v/>
      </c>
      <c r="C11" s="2" t="inlineStr">
        <is>
          <t>LOADED</t>
        </is>
      </c>
      <c r="D11" s="2" t="inlineStr">
        <is>
          <t>Phase J — application layer + document registry sync</t>
        </is>
      </c>
    </row>
    <row r="12">
      <c r="A12" s="2" t="inlineStr">
        <is>
          <t>Technical Files</t>
        </is>
      </c>
      <c r="B12" s="2">
        <f>COUNTA(TECHNICAL_FILE!A2:A5000)</f>
        <v/>
      </c>
      <c r="C12" s="2" t="inlineStr">
        <is>
          <t>LOADED</t>
        </is>
      </c>
      <c r="D12" s="2" t="inlineStr">
        <is>
          <t>Phase J — application layer + document registry sync</t>
        </is>
      </c>
    </row>
    <row r="13">
      <c r="A13" s="2" t="inlineStr">
        <is>
          <t>DoCs</t>
        </is>
      </c>
      <c r="B13" s="2">
        <f>COUNTA(DECLARATION_OF_CONFORMITY!A2:A5000)</f>
        <v/>
      </c>
      <c r="C13" s="2" t="inlineStr">
        <is>
          <t>LOADED</t>
        </is>
      </c>
      <c r="D13" s="2" t="inlineStr">
        <is>
          <t>Phase J — application layer + document registry sync</t>
        </is>
      </c>
    </row>
    <row r="14">
      <c r="A14" s="2" t="inlineStr">
        <is>
          <t>Statements</t>
        </is>
      </c>
      <c r="B14" s="2">
        <f>COUNTA(STATEMENT!A2:A5000)</f>
        <v/>
      </c>
      <c r="C14" s="2" t="inlineStr">
        <is>
          <t>LOADED</t>
        </is>
      </c>
      <c r="D14" s="2" t="inlineStr">
        <is>
          <t>Phase J — application layer + document registry sync</t>
        </is>
      </c>
    </row>
    <row r="15">
      <c r="A15" s="2" t="inlineStr">
        <is>
          <t>Evidence / Document Library</t>
        </is>
      </c>
      <c r="B15" s="2">
        <f>COUNTA(DOCUMENT_LIBRARY!A2:A5000)</f>
        <v/>
      </c>
      <c r="C15" s="2" t="inlineStr">
        <is>
          <t>LOADED</t>
        </is>
      </c>
      <c r="D15" s="2" t="inlineStr">
        <is>
          <t>Phase J — application layer + document registry sync</t>
        </is>
      </c>
    </row>
    <row r="16">
      <c r="A16" s="2" t="inlineStr">
        <is>
          <t>Validation errors (platform)</t>
        </is>
      </c>
      <c r="B16" s="2" t="n">
        <v>0</v>
      </c>
      <c r="C16" s="2" t="inlineStr">
        <is>
          <t>SEE 02_RELEASE_CONTROL</t>
        </is>
      </c>
      <c r="D16" s="2" t="inlineStr">
        <is>
          <t>Platform shell — Phase F loads production</t>
        </is>
      </c>
    </row>
    <row r="18" ht="15.75" customHeight="1">
      <c r="A18" s="3" t="inlineStr">
        <is>
          <t>Category breakdown (future)</t>
        </is>
      </c>
    </row>
    <row r="19">
      <c r="A19" s="2" t="inlineStr">
        <is>
          <t>Starter</t>
        </is>
      </c>
      <c r="B19" s="2" t="n">
        <v>240</v>
      </c>
      <c r="C19" s="2" t="inlineStr">
        <is>
          <t>LOADED</t>
        </is>
      </c>
    </row>
    <row r="20">
      <c r="A20" s="2" t="inlineStr">
        <is>
          <t>Industrial</t>
        </is>
      </c>
      <c r="B20" s="2" t="n">
        <v>3</v>
      </c>
      <c r="C20" s="2" t="inlineStr">
        <is>
          <t>LOADED</t>
        </is>
      </c>
    </row>
    <row r="21">
      <c r="A21" s="2" t="inlineStr">
        <is>
          <t>Container</t>
        </is>
      </c>
      <c r="B21" s="2" t="n">
        <v>4</v>
      </c>
      <c r="C21" s="2" t="inlineStr">
        <is>
          <t>LOADED</t>
        </is>
      </c>
    </row>
    <row r="22">
      <c r="A22" s="2" t="inlineStr">
        <is>
          <t>Returnable / Pool (schema hooks only)</t>
        </is>
      </c>
      <c r="B22" s="2" t="n">
        <v>0</v>
      </c>
      <c r="C22" s="2" t="inlineStr">
        <is>
          <t>HOOKS ONLY</t>
        </is>
      </c>
    </row>
    <row r="24" ht="15.75" customHeight="1">
      <c r="A24" s="3" t="inlineStr">
        <is>
          <t>Lookup seed count (controlled vocabulary only)</t>
        </is>
      </c>
    </row>
    <row r="25">
      <c r="A25" s="2">
        <f>COUNTA(LKP_STATUS!A2:A5000)</f>
        <v/>
      </c>
      <c r="B25" s="2" t="inlineStr">
        <is>
          <t>LKP_STATUS sample (others on LKP_* sheets)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22" customWidth="1" min="3" max="7"/>
    <col width="40" customWidth="1" min="8" max="8"/>
  </cols>
  <sheetData>
    <row r="1" ht="19.5" customHeight="1">
      <c r="A1" s="1" t="inlineStr">
        <is>
          <t>02_RELEASE_CONTROL — Platform readiness (not packaging conformity)</t>
        </is>
      </c>
    </row>
    <row r="2">
      <c r="A2" s="2" t="inlineStr">
        <is>
          <t>Statuses refer to SYSTEM / WORKBOOK readiness. Production conformity is NOT assessed in Phase E.</t>
        </is>
      </c>
    </row>
    <row r="4">
      <c r="A4" s="4" t="inlineStr">
        <is>
          <t>Control Area</t>
        </is>
      </c>
      <c r="B4" s="4" t="inlineStr">
        <is>
          <t>Rule</t>
        </is>
      </c>
      <c r="C4" s="4" t="inlineStr">
        <is>
          <t>Error Count</t>
        </is>
      </c>
      <c r="D4" s="4" t="inlineStr">
        <is>
          <t>Warning Count</t>
        </is>
      </c>
      <c r="E4" s="4" t="inlineStr">
        <is>
          <t>Status</t>
        </is>
      </c>
      <c r="F4" s="4" t="inlineStr">
        <is>
          <t>Blocking?</t>
        </is>
      </c>
      <c r="G4" s="4" t="inlineStr">
        <is>
          <t>Responsible Role</t>
        </is>
      </c>
      <c r="H4" s="4" t="inlineStr">
        <is>
          <t>Notes</t>
        </is>
      </c>
    </row>
    <row r="5">
      <c r="A5" s="2" t="inlineStr">
        <is>
          <t>Schema</t>
        </is>
      </c>
      <c r="B5" s="2" t="inlineStr">
        <is>
          <t>FINAL_DATABASE.md 1.0.0 frozen; 43 table sheets present</t>
        </is>
      </c>
      <c r="C5" s="2" t="n">
        <v>0</v>
      </c>
      <c r="D5" s="2" t="n">
        <v>0</v>
      </c>
      <c r="E5" s="5" t="inlineStr">
        <is>
          <t>READY</t>
        </is>
      </c>
      <c r="F5" s="2" t="inlineStr">
        <is>
          <t>Yes</t>
        </is>
      </c>
      <c r="G5" s="2" t="inlineStr">
        <is>
          <t>Architecture</t>
        </is>
      </c>
      <c r="H5" s="2" t="inlineStr">
        <is>
          <t>Workbook schema: READY</t>
        </is>
      </c>
    </row>
    <row r="6">
      <c r="A6" s="2" t="inlineStr">
        <is>
          <t>Master data</t>
        </is>
      </c>
      <c r="B6" s="2" t="inlineStr">
        <is>
          <t>Production COMPONENT / PRODUCT / CONFIG not loaded</t>
        </is>
      </c>
      <c r="C6" s="2" t="n">
        <v>0</v>
      </c>
      <c r="D6" s="2" t="n">
        <v>0</v>
      </c>
      <c r="E6" s="2" t="inlineStr">
        <is>
          <t>LOADED</t>
        </is>
      </c>
      <c r="F6" s="2" t="inlineStr">
        <is>
          <t>Yes</t>
        </is>
      </c>
      <c r="G6" s="2" t="inlineStr">
        <is>
          <t>Packaging Engineering</t>
        </is>
      </c>
      <c r="H6" s="2" t="inlineStr">
        <is>
          <t>Production master data: LOADED</t>
        </is>
      </c>
    </row>
    <row r="7">
      <c r="A7" s="2" t="inlineStr">
        <is>
          <t>BOM</t>
        </is>
      </c>
      <c r="B7" s="2" t="inlineStr">
        <is>
          <t>PACKAGING_CONFIGURATION_LINE empty until Phase F</t>
        </is>
      </c>
      <c r="C7" s="2" t="n">
        <v>0</v>
      </c>
      <c r="D7" s="2" t="n">
        <v>0</v>
      </c>
      <c r="E7" s="2" t="inlineStr">
        <is>
          <t>LOADED</t>
        </is>
      </c>
      <c r="F7" s="2" t="inlineStr">
        <is>
          <t>Yes</t>
        </is>
      </c>
      <c r="G7" s="2" t="inlineStr">
        <is>
          <t>Packaging Engineering</t>
        </is>
      </c>
      <c r="H7" s="2" t="inlineStr">
        <is>
          <t>Final configurations / exact BOM: LOADED</t>
        </is>
      </c>
    </row>
    <row r="8">
      <c r="A8" s="2" t="inlineStr">
        <is>
          <t>Product mapping</t>
        </is>
      </c>
      <c r="B8" s="2" t="inlineStr">
        <is>
          <t>COMMERCIAL_SCENARIO links product→transport→packaging</t>
        </is>
      </c>
      <c r="C8" s="2" t="n">
        <v>0</v>
      </c>
      <c r="D8" s="2" t="n">
        <v>0</v>
      </c>
      <c r="E8" s="2" t="inlineStr">
        <is>
          <t>LOADED</t>
        </is>
      </c>
      <c r="F8" s="2" t="inlineStr">
        <is>
          <t>Yes</t>
        </is>
      </c>
      <c r="G8" s="2" t="inlineStr">
        <is>
          <t>Sales / Engineering</t>
        </is>
      </c>
      <c r="H8" s="2" t="inlineStr">
        <is>
          <t>Product mapping: LOADED</t>
        </is>
      </c>
    </row>
    <row r="9">
      <c r="A9" s="2" t="inlineStr">
        <is>
          <t>Evidence</t>
        </is>
      </c>
      <c r="B9" s="2" t="inlineStr">
        <is>
          <t>DOCUMENT_LIBRARY / LINK architecture present</t>
        </is>
      </c>
      <c r="C9" s="2" t="n">
        <v>0</v>
      </c>
      <c r="D9" s="2" t="n">
        <v>0</v>
      </c>
      <c r="E9" s="5" t="inlineStr">
        <is>
          <t>PLATFORM READY</t>
        </is>
      </c>
      <c r="F9" s="2" t="inlineStr">
        <is>
          <t>No</t>
        </is>
      </c>
      <c r="G9" s="2" t="inlineStr">
        <is>
          <t>Compliance</t>
        </is>
      </c>
      <c r="H9" s="2" t="inlineStr">
        <is>
          <t>No production evidence records</t>
        </is>
      </c>
    </row>
    <row r="10">
      <c r="A10" s="2" t="inlineStr">
        <is>
          <t>Drawing / photo</t>
        </is>
      </c>
      <c r="B10" s="2" t="inlineStr">
        <is>
          <t>Document types DRAWING/PHOTO/ARTWORK seeded</t>
        </is>
      </c>
      <c r="C10" s="2" t="n">
        <v>0</v>
      </c>
      <c r="D10" s="2" t="n">
        <v>0</v>
      </c>
      <c r="E10" s="5" t="inlineStr">
        <is>
          <t>PLATFORM READY</t>
        </is>
      </c>
      <c r="F10" s="2" t="inlineStr">
        <is>
          <t>No</t>
        </is>
      </c>
      <c r="G10" s="2" t="inlineStr">
        <is>
          <t>Engineering</t>
        </is>
      </c>
      <c r="H10" s="2" t="inlineStr">
        <is>
          <t>Files not imported in Phase E</t>
        </is>
      </c>
    </row>
    <row r="11">
      <c r="A11" s="2" t="inlineStr">
        <is>
          <t>Document generation</t>
        </is>
      </c>
      <c r="B11" s="2" t="inlineStr">
        <is>
          <t>Word/PDF builders exist as stubs only</t>
        </is>
      </c>
      <c r="C11" s="2" t="n">
        <v>0</v>
      </c>
      <c r="D11" s="2" t="n">
        <v>0</v>
      </c>
      <c r="E11" s="2" t="inlineStr">
        <is>
          <t>NOT RUN – PHASE G</t>
        </is>
      </c>
      <c r="F11" s="2" t="inlineStr">
        <is>
          <t>Yes</t>
        </is>
      </c>
      <c r="G11" s="2" t="inlineStr">
        <is>
          <t>IT / Compliance</t>
        </is>
      </c>
      <c r="H11" s="2" t="inlineStr">
        <is>
          <t>Document generation: NOT RUN – PHASE G</t>
        </is>
      </c>
    </row>
    <row r="12">
      <c r="A12" s="2" t="inlineStr">
        <is>
          <t>Lookup vocabulary</t>
        </is>
      </c>
      <c r="B12" s="2" t="inlineStr">
        <is>
          <t>LKP_* seeded; CIP and CIF both present as distinct Incoterms</t>
        </is>
      </c>
      <c r="C12" s="2" t="n">
        <v>0</v>
      </c>
      <c r="D12" s="2" t="n">
        <v>0</v>
      </c>
      <c r="E12" s="5" t="inlineStr">
        <is>
          <t>READY</t>
        </is>
      </c>
      <c r="F12" s="2" t="inlineStr">
        <is>
          <t>Yes</t>
        </is>
      </c>
      <c r="G12" s="2" t="inlineStr">
        <is>
          <t>MDM</t>
        </is>
      </c>
      <c r="H12" s="2" t="inlineStr">
        <is>
          <t>Controlled seed only</t>
        </is>
      </c>
    </row>
    <row r="13">
      <c r="A13" s="2" t="inlineStr">
        <is>
          <t>PK integrity framework</t>
        </is>
      </c>
      <c r="B13" s="2" t="inlineStr">
        <is>
          <t>PK highlight + blank/duplicate checks via Python QA / future CF</t>
        </is>
      </c>
      <c r="C13" s="2" t="n">
        <v>0</v>
      </c>
      <c r="D13" s="2" t="n">
        <v>0</v>
      </c>
      <c r="E13" s="5" t="inlineStr">
        <is>
          <t>FRAMEWORK READY</t>
        </is>
      </c>
      <c r="F13" s="2" t="inlineStr">
        <is>
          <t>Yes</t>
        </is>
      </c>
      <c r="G13" s="2" t="inlineStr">
        <is>
          <t>IT</t>
        </is>
      </c>
      <c r="H13" s="2" t="inlineStr">
        <is>
          <t>Empty masters intentionally blank</t>
        </is>
      </c>
    </row>
    <row r="14">
      <c r="A14" s="2" t="inlineStr">
        <is>
          <t>FK integrity framework</t>
        </is>
      </c>
      <c r="B14" s="2" t="inlineStr">
        <is>
          <t>Lookup FK dropdowns; high-volume FK via Python QA</t>
        </is>
      </c>
      <c r="C14" s="2" t="n">
        <v>0</v>
      </c>
      <c r="D14" s="2" t="n">
        <v>0</v>
      </c>
      <c r="E14" s="5" t="inlineStr">
        <is>
          <t>FRAMEWORK READY</t>
        </is>
      </c>
      <c r="F14" s="2" t="inlineStr">
        <is>
          <t>Yes</t>
        </is>
      </c>
      <c r="G14" s="2" t="inlineStr">
        <is>
          <t>IT</t>
        </is>
      </c>
      <c r="H14" s="2" t="inlineStr">
        <is>
          <t>Relational FK defined by schema</t>
        </is>
      </c>
    </row>
    <row r="15">
      <c r="A15" s="2" t="inlineStr">
        <is>
          <t>Weight derivation</t>
        </is>
      </c>
      <c r="B15" s="2" t="inlineStr">
        <is>
          <t>Python WeightService authoritative; ZZ_QA_WEIGHT_FIXTURE visibility</t>
        </is>
      </c>
      <c r="C15" s="2" t="n">
        <v>0</v>
      </c>
      <c r="D15" s="2" t="n">
        <v>0</v>
      </c>
      <c r="E15" s="5" t="inlineStr">
        <is>
          <t>PASSED</t>
        </is>
      </c>
      <c r="F15" s="2" t="inlineStr">
        <is>
          <t>No</t>
        </is>
      </c>
      <c r="G15" s="2" t="inlineStr">
        <is>
          <t>Engineering</t>
        </is>
      </c>
      <c r="H15" s="2" t="inlineStr">
        <is>
          <t>Weight validation: PASSED (247/247 gate)</t>
        </is>
      </c>
    </row>
    <row r="16">
      <c r="A16" s="2" t="inlineStr">
        <is>
          <t>Article 5</t>
        </is>
      </c>
      <c r="B16" s="2" t="inlineStr">
        <is>
          <t>Assessment fields available on TF; no auto ≤100 mg/kg</t>
        </is>
      </c>
      <c r="C16" s="2" t="n">
        <v>0</v>
      </c>
      <c r="D16" s="2" t="n">
        <v>0</v>
      </c>
      <c r="E16" s="2" t="inlineStr">
        <is>
          <t>NOT ASSESSED</t>
        </is>
      </c>
      <c r="F16" s="2" t="inlineStr">
        <is>
          <t>No</t>
        </is>
      </c>
      <c r="G16" s="2" t="inlineStr">
        <is>
          <t>Compliance</t>
        </is>
      </c>
      <c r="H16" s="2" t="inlineStr">
        <is>
          <t>No production assessment records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3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7"/>
    <col width="40" customWidth="1" min="8" max="8"/>
    <col width="18" customWidth="1" min="9" max="12"/>
  </cols>
  <sheetData>
    <row r="1" ht="19.5" customHeight="1">
      <c r="A1" s="1" t="inlineStr">
        <is>
          <t>03_DATA_DICTIONARY — Generated from Schema 1.0.0 metadata</t>
        </is>
      </c>
    </row>
    <row r="2">
      <c r="A2" s="2" t="inlineStr">
        <is>
          <t>Generated from Python TableDefinition registry — do not maintain as parallel SoT.</t>
        </is>
      </c>
    </row>
    <row r="4">
      <c r="A4" s="4" t="inlineStr">
        <is>
          <t>Table</t>
        </is>
      </c>
      <c r="B4" s="4" t="inlineStr">
        <is>
          <t>Column</t>
        </is>
      </c>
      <c r="C4" s="4" t="inlineStr">
        <is>
          <t>Data Type</t>
        </is>
      </c>
      <c r="D4" s="4" t="inlineStr">
        <is>
          <t>Required</t>
        </is>
      </c>
      <c r="E4" s="4" t="inlineStr">
        <is>
          <t>PK</t>
        </is>
      </c>
      <c r="F4" s="4" t="inlineStr">
        <is>
          <t>FK</t>
        </is>
      </c>
      <c r="G4" s="4" t="inlineStr">
        <is>
          <t>FK Target</t>
        </is>
      </c>
      <c r="H4" s="4" t="inlineStr">
        <is>
          <t>Business Meaning</t>
        </is>
      </c>
      <c r="I4" s="4" t="inlineStr">
        <is>
          <t>Data Owner</t>
        </is>
      </c>
      <c r="J4" s="4" t="inlineStr">
        <is>
          <t>Update Frequency</t>
        </is>
      </c>
      <c r="K4" s="4" t="inlineStr">
        <is>
          <t>Validation Rule</t>
        </is>
      </c>
      <c r="L4" s="4" t="inlineStr">
        <is>
          <t>System / User Managed</t>
        </is>
      </c>
    </row>
    <row r="5">
      <c r="A5" s="2" t="inlineStr">
        <is>
          <t>SYS_WORKBOOK_INFO</t>
        </is>
      </c>
      <c r="B5" s="2" t="inlineStr">
        <is>
          <t>INFO_KEY</t>
        </is>
      </c>
      <c r="C5" s="2" t="inlineStr">
        <is>
          <t>TEXT</t>
        </is>
      </c>
      <c r="D5" s="2" t="inlineStr">
        <is>
          <t>Y</t>
        </is>
      </c>
      <c r="E5" s="2" t="inlineStr">
        <is>
          <t>Y</t>
        </is>
      </c>
      <c r="F5" s="2" t="inlineStr">
        <is>
          <t>N</t>
        </is>
      </c>
      <c r="G5" s="2" t="n"/>
      <c r="H5" s="2" t="inlineStr">
        <is>
          <t>Schema version and workbook metadata</t>
        </is>
      </c>
      <c r="I5" s="2" t="inlineStr">
        <is>
          <t>IT / Solution Architecture</t>
        </is>
      </c>
      <c r="J5" s="2" t="inlineStr">
        <is>
          <t>On schema release only</t>
        </is>
      </c>
      <c r="K5" s="2" t="inlineStr">
        <is>
          <t>PK unique; not blank when row used</t>
        </is>
      </c>
      <c r="L5" s="2" t="inlineStr">
        <is>
          <t>USER</t>
        </is>
      </c>
    </row>
    <row r="6">
      <c r="A6" s="2" t="inlineStr">
        <is>
          <t>SYS_WORKBOOK_INFO</t>
        </is>
      </c>
      <c r="B6" s="2" t="inlineStr">
        <is>
          <t>INFO_VALUE</t>
        </is>
      </c>
      <c r="C6" s="2" t="inlineStr">
        <is>
          <t>TEXT</t>
        </is>
      </c>
      <c r="D6" s="2" t="inlineStr">
        <is>
          <t>Y</t>
        </is>
      </c>
      <c r="E6" s="2" t="inlineStr">
        <is>
          <t>N</t>
        </is>
      </c>
      <c r="F6" s="2" t="inlineStr">
        <is>
          <t>N</t>
        </is>
      </c>
      <c r="G6" s="2" t="n"/>
      <c r="H6" s="2" t="inlineStr">
        <is>
          <t>Schema version and workbook metadata</t>
        </is>
      </c>
      <c r="I6" s="2" t="inlineStr">
        <is>
          <t>IT / Solution Architecture</t>
        </is>
      </c>
      <c r="J6" s="2" t="inlineStr">
        <is>
          <t>On schema release only</t>
        </is>
      </c>
      <c r="K6" s="2" t="inlineStr">
        <is>
          <t>Text</t>
        </is>
      </c>
      <c r="L6" s="2" t="inlineStr">
        <is>
          <t>USER</t>
        </is>
      </c>
    </row>
    <row r="7">
      <c r="A7" s="2" t="inlineStr">
        <is>
          <t>SYS_WORKBOOK_INFO</t>
        </is>
      </c>
      <c r="B7" s="2" t="inlineStr">
        <is>
          <t>UPDATED_AT</t>
        </is>
      </c>
      <c r="C7" s="2" t="inlineStr">
        <is>
          <t>DATETIME</t>
        </is>
      </c>
      <c r="D7" s="2" t="inlineStr">
        <is>
          <t>Y</t>
        </is>
      </c>
      <c r="E7" s="2" t="inlineStr">
        <is>
          <t>N</t>
        </is>
      </c>
      <c r="F7" s="2" t="inlineStr">
        <is>
          <t>N</t>
        </is>
      </c>
      <c r="G7" s="2" t="n"/>
      <c r="H7" s="2" t="inlineStr">
        <is>
          <t>Schema version and workbook metadata</t>
        </is>
      </c>
      <c r="I7" s="2" t="inlineStr">
        <is>
          <t>IT / Solution Architecture</t>
        </is>
      </c>
      <c r="J7" s="2" t="inlineStr">
        <is>
          <t>On schema release only</t>
        </is>
      </c>
      <c r="K7" s="2" t="inlineStr">
        <is>
          <t>Text</t>
        </is>
      </c>
      <c r="L7" s="2" t="inlineStr">
        <is>
          <t>SYSTEM</t>
        </is>
      </c>
    </row>
    <row r="8">
      <c r="A8" s="2" t="inlineStr">
        <is>
          <t>SYS_PARAMETER</t>
        </is>
      </c>
      <c r="B8" s="2" t="inlineStr">
        <is>
          <t>PARAMETER_ID</t>
        </is>
      </c>
      <c r="C8" s="2" t="inlineStr">
        <is>
          <t>INT</t>
        </is>
      </c>
      <c r="D8" s="2" t="inlineStr">
        <is>
          <t>Y</t>
        </is>
      </c>
      <c r="E8" s="2" t="inlineStr">
        <is>
          <t>Y</t>
        </is>
      </c>
      <c r="F8" s="2" t="inlineStr">
        <is>
          <t>N</t>
        </is>
      </c>
      <c r="G8" s="2" t="n"/>
      <c r="H8" s="2" t="inlineStr">
        <is>
          <t>System behavior parameters</t>
        </is>
      </c>
      <c r="I8" s="2" t="inlineStr">
        <is>
          <t>Compliance + Architecture</t>
        </is>
      </c>
      <c r="J8" s="2" t="inlineStr">
        <is>
          <t>Rare</t>
        </is>
      </c>
      <c r="K8" s="2" t="inlineStr">
        <is>
          <t>PK unique; not blank when row used</t>
        </is>
      </c>
      <c r="L8" s="2" t="inlineStr">
        <is>
          <t>USER</t>
        </is>
      </c>
    </row>
    <row r="9">
      <c r="A9" s="2" t="inlineStr">
        <is>
          <t>SYS_PARAMETER</t>
        </is>
      </c>
      <c r="B9" s="2" t="inlineStr">
        <is>
          <t>PARAMETER_CODE</t>
        </is>
      </c>
      <c r="C9" s="2" t="inlineStr">
        <is>
          <t>TEXT</t>
        </is>
      </c>
      <c r="D9" s="2" t="inlineStr">
        <is>
          <t>Y</t>
        </is>
      </c>
      <c r="E9" s="2" t="inlineStr">
        <is>
          <t>N</t>
        </is>
      </c>
      <c r="F9" s="2" t="inlineStr">
        <is>
          <t>N</t>
        </is>
      </c>
      <c r="G9" s="2" t="n"/>
      <c r="H9" s="2" t="inlineStr">
        <is>
          <t>System behavior parameters</t>
        </is>
      </c>
      <c r="I9" s="2" t="inlineStr">
        <is>
          <t>Compliance + Architecture</t>
        </is>
      </c>
      <c r="J9" s="2" t="inlineStr">
        <is>
          <t>Rare</t>
        </is>
      </c>
      <c r="K9" s="2" t="inlineStr">
        <is>
          <t>Text</t>
        </is>
      </c>
      <c r="L9" s="2" t="inlineStr">
        <is>
          <t>USER</t>
        </is>
      </c>
    </row>
    <row r="10">
      <c r="A10" s="2" t="inlineStr">
        <is>
          <t>SYS_PARAMETER</t>
        </is>
      </c>
      <c r="B10" s="2" t="inlineStr">
        <is>
          <t>PARAMETER_VALUE</t>
        </is>
      </c>
      <c r="C10" s="2" t="inlineStr">
        <is>
          <t>TEXT</t>
        </is>
      </c>
      <c r="D10" s="2" t="inlineStr">
        <is>
          <t>Y</t>
        </is>
      </c>
      <c r="E10" s="2" t="inlineStr">
        <is>
          <t>N</t>
        </is>
      </c>
      <c r="F10" s="2" t="inlineStr">
        <is>
          <t>N</t>
        </is>
      </c>
      <c r="G10" s="2" t="n"/>
      <c r="H10" s="2" t="inlineStr">
        <is>
          <t>System behavior parameters</t>
        </is>
      </c>
      <c r="I10" s="2" t="inlineStr">
        <is>
          <t>Compliance + Architecture</t>
        </is>
      </c>
      <c r="J10" s="2" t="inlineStr">
        <is>
          <t>Rare</t>
        </is>
      </c>
      <c r="K10" s="2" t="inlineStr">
        <is>
          <t>Text</t>
        </is>
      </c>
      <c r="L10" s="2" t="inlineStr">
        <is>
          <t>USER</t>
        </is>
      </c>
    </row>
    <row r="11">
      <c r="A11" s="2" t="inlineStr">
        <is>
          <t>SYS_PARAMETER</t>
        </is>
      </c>
      <c r="B11" s="2" t="inlineStr">
        <is>
          <t>DESCRIPTION</t>
        </is>
      </c>
      <c r="C11" s="2" t="inlineStr">
        <is>
          <t>TEXT</t>
        </is>
      </c>
      <c r="D11" s="2" t="inlineStr">
        <is>
          <t>N</t>
        </is>
      </c>
      <c r="E11" s="2" t="inlineStr">
        <is>
          <t>N</t>
        </is>
      </c>
      <c r="F11" s="2" t="inlineStr">
        <is>
          <t>N</t>
        </is>
      </c>
      <c r="G11" s="2" t="n"/>
      <c r="H11" s="2" t="inlineStr">
        <is>
          <t>System behavior parameters</t>
        </is>
      </c>
      <c r="I11" s="2" t="inlineStr">
        <is>
          <t>Compliance + Architecture</t>
        </is>
      </c>
      <c r="J11" s="2" t="inlineStr">
        <is>
          <t>Rare</t>
        </is>
      </c>
      <c r="K11" s="2" t="inlineStr">
        <is>
          <t>Text</t>
        </is>
      </c>
      <c r="L11" s="2" t="inlineStr">
        <is>
          <t>USER</t>
        </is>
      </c>
    </row>
    <row r="12">
      <c r="A12" s="2" t="inlineStr">
        <is>
          <t>LKP_STATUS</t>
        </is>
      </c>
      <c r="B12" s="2" t="inlineStr">
        <is>
          <t>STATUS_ID</t>
        </is>
      </c>
      <c r="C12" s="2" t="inlineStr">
        <is>
          <t>INT</t>
        </is>
      </c>
      <c r="D12" s="2" t="inlineStr">
        <is>
          <t>Y</t>
        </is>
      </c>
      <c r="E12" s="2" t="inlineStr">
        <is>
          <t>Y</t>
        </is>
      </c>
      <c r="F12" s="2" t="inlineStr">
        <is>
          <t>N</t>
        </is>
      </c>
      <c r="G12" s="2" t="n"/>
      <c r="H12" s="2" t="inlineStr">
        <is>
          <t>Lifecycle/approval statuses by domain</t>
        </is>
      </c>
      <c r="I12" s="2" t="inlineStr">
        <is>
          <t>Architecture</t>
        </is>
      </c>
      <c r="J12" s="2" t="inlineStr">
        <is>
          <t>Rare</t>
        </is>
      </c>
      <c r="K12" s="2" t="inlineStr">
        <is>
          <t>PK unique; not blank when row used</t>
        </is>
      </c>
      <c r="L12" s="2" t="inlineStr">
        <is>
          <t>USER</t>
        </is>
      </c>
    </row>
    <row r="13">
      <c r="A13" s="2" t="inlineStr">
        <is>
          <t>LKP_STATUS</t>
        </is>
      </c>
      <c r="B13" s="2" t="inlineStr">
        <is>
          <t>STATUS_CODE</t>
        </is>
      </c>
      <c r="C13" s="2" t="inlineStr">
        <is>
          <t>TEXT</t>
        </is>
      </c>
      <c r="D13" s="2" t="inlineStr">
        <is>
          <t>Y</t>
        </is>
      </c>
      <c r="E13" s="2" t="inlineStr">
        <is>
          <t>N</t>
        </is>
      </c>
      <c r="F13" s="2" t="inlineStr">
        <is>
          <t>N</t>
        </is>
      </c>
      <c r="G13" s="2" t="n"/>
      <c r="H13" s="2" t="inlineStr">
        <is>
          <t>Lifecycle/approval statuses by domain</t>
        </is>
      </c>
      <c r="I13" s="2" t="inlineStr">
        <is>
          <t>Architecture</t>
        </is>
      </c>
      <c r="J13" s="2" t="inlineStr">
        <is>
          <t>Rare</t>
        </is>
      </c>
      <c r="K13" s="2" t="inlineStr">
        <is>
          <t>Text</t>
        </is>
      </c>
      <c r="L13" s="2" t="inlineStr">
        <is>
          <t>USER</t>
        </is>
      </c>
    </row>
    <row r="14">
      <c r="A14" s="2" t="inlineStr">
        <is>
          <t>LKP_STATUS</t>
        </is>
      </c>
      <c r="B14" s="2" t="inlineStr">
        <is>
          <t>STATUS_NAME</t>
        </is>
      </c>
      <c r="C14" s="2" t="inlineStr">
        <is>
          <t>TEXT</t>
        </is>
      </c>
      <c r="D14" s="2" t="inlineStr">
        <is>
          <t>Y</t>
        </is>
      </c>
      <c r="E14" s="2" t="inlineStr">
        <is>
          <t>N</t>
        </is>
      </c>
      <c r="F14" s="2" t="inlineStr">
        <is>
          <t>N</t>
        </is>
      </c>
      <c r="G14" s="2" t="n"/>
      <c r="H14" s="2" t="inlineStr">
        <is>
          <t>Lifecycle/approval statuses by domain</t>
        </is>
      </c>
      <c r="I14" s="2" t="inlineStr">
        <is>
          <t>Architecture</t>
        </is>
      </c>
      <c r="J14" s="2" t="inlineStr">
        <is>
          <t>Rare</t>
        </is>
      </c>
      <c r="K14" s="2" t="inlineStr">
        <is>
          <t>Text</t>
        </is>
      </c>
      <c r="L14" s="2" t="inlineStr">
        <is>
          <t>USER</t>
        </is>
      </c>
    </row>
    <row r="15">
      <c r="A15" s="2" t="inlineStr">
        <is>
          <t>LKP_STATUS</t>
        </is>
      </c>
      <c r="B15" s="2" t="inlineStr">
        <is>
          <t>STATUS_DOMAIN</t>
        </is>
      </c>
      <c r="C15" s="2" t="inlineStr">
        <is>
          <t>TEXT</t>
        </is>
      </c>
      <c r="D15" s="2" t="inlineStr">
        <is>
          <t>Y</t>
        </is>
      </c>
      <c r="E15" s="2" t="inlineStr">
        <is>
          <t>N</t>
        </is>
      </c>
      <c r="F15" s="2" t="inlineStr">
        <is>
          <t>N</t>
        </is>
      </c>
      <c r="G15" s="2" t="n"/>
      <c r="H15" s="2" t="inlineStr">
        <is>
          <t>Lifecycle/approval statuses by domain</t>
        </is>
      </c>
      <c r="I15" s="2" t="inlineStr">
        <is>
          <t>Architecture</t>
        </is>
      </c>
      <c r="J15" s="2" t="inlineStr">
        <is>
          <t>Rare</t>
        </is>
      </c>
      <c r="K15" s="2" t="inlineStr">
        <is>
          <t>Text</t>
        </is>
      </c>
      <c r="L15" s="2" t="inlineStr">
        <is>
          <t>USER</t>
        </is>
      </c>
    </row>
    <row r="16">
      <c r="A16" s="2" t="inlineStr">
        <is>
          <t>LKP_STATUS</t>
        </is>
      </c>
      <c r="B16" s="2" t="inlineStr">
        <is>
          <t>IS_EDITABLE</t>
        </is>
      </c>
      <c r="C16" s="2" t="inlineStr">
        <is>
          <t>BOOL</t>
        </is>
      </c>
      <c r="D16" s="2" t="inlineStr">
        <is>
          <t>Y</t>
        </is>
      </c>
      <c r="E16" s="2" t="inlineStr">
        <is>
          <t>N</t>
        </is>
      </c>
      <c r="F16" s="2" t="inlineStr">
        <is>
          <t>N</t>
        </is>
      </c>
      <c r="G16" s="2" t="n"/>
      <c r="H16" s="2" t="inlineStr">
        <is>
          <t>Lifecycle/approval statuses by domain</t>
        </is>
      </c>
      <c r="I16" s="2" t="inlineStr">
        <is>
          <t>Architecture</t>
        </is>
      </c>
      <c r="J16" s="2" t="inlineStr">
        <is>
          <t>Rare</t>
        </is>
      </c>
      <c r="K16" s="2" t="inlineStr">
        <is>
          <t>TRUE/FALSE</t>
        </is>
      </c>
      <c r="L16" s="2" t="inlineStr">
        <is>
          <t>USER</t>
        </is>
      </c>
    </row>
    <row r="17">
      <c r="A17" s="2" t="inlineStr">
        <is>
          <t>LKP_STATUS</t>
        </is>
      </c>
      <c r="B17" s="2" t="inlineStr">
        <is>
          <t>SORT_ORDER</t>
        </is>
      </c>
      <c r="C17" s="2" t="inlineStr">
        <is>
          <t>INT</t>
        </is>
      </c>
      <c r="D17" s="2" t="inlineStr">
        <is>
          <t>Y</t>
        </is>
      </c>
      <c r="E17" s="2" t="inlineStr">
        <is>
          <t>N</t>
        </is>
      </c>
      <c r="F17" s="2" t="inlineStr">
        <is>
          <t>N</t>
        </is>
      </c>
      <c r="G17" s="2" t="n"/>
      <c r="H17" s="2" t="inlineStr">
        <is>
          <t>Lifecycle/approval statuses by domain</t>
        </is>
      </c>
      <c r="I17" s="2" t="inlineStr">
        <is>
          <t>Architecture</t>
        </is>
      </c>
      <c r="J17" s="2" t="inlineStr">
        <is>
          <t>Rare</t>
        </is>
      </c>
      <c r="K17" s="2" t="inlineStr">
        <is>
          <t>Whole number / text-capable ID</t>
        </is>
      </c>
      <c r="L17" s="2" t="inlineStr">
        <is>
          <t>USER</t>
        </is>
      </c>
    </row>
    <row r="18">
      <c r="A18" s="2" t="inlineStr">
        <is>
          <t>LKP_UOM</t>
        </is>
      </c>
      <c r="B18" s="2" t="inlineStr">
        <is>
          <t>UOM_ID</t>
        </is>
      </c>
      <c r="C18" s="2" t="inlineStr">
        <is>
          <t>INT</t>
        </is>
      </c>
      <c r="D18" s="2" t="inlineStr">
        <is>
          <t>Y</t>
        </is>
      </c>
      <c r="E18" s="2" t="inlineStr">
        <is>
          <t>Y</t>
        </is>
      </c>
      <c r="F18" s="2" t="inlineStr">
        <is>
          <t>N</t>
        </is>
      </c>
      <c r="G18" s="2" t="n"/>
      <c r="H18" s="2" t="inlineStr">
        <is>
          <t>Units of measure</t>
        </is>
      </c>
      <c r="I18" s="2" t="inlineStr">
        <is>
          <t>MDM + Compliance</t>
        </is>
      </c>
      <c r="J18" s="2" t="inlineStr">
        <is>
          <t>Rare</t>
        </is>
      </c>
      <c r="K18" s="2" t="inlineStr">
        <is>
          <t>PK unique; not blank when row used</t>
        </is>
      </c>
      <c r="L18" s="2" t="inlineStr">
        <is>
          <t>USER</t>
        </is>
      </c>
    </row>
    <row r="19">
      <c r="A19" s="2" t="inlineStr">
        <is>
          <t>LKP_UOM</t>
        </is>
      </c>
      <c r="B19" s="2" t="inlineStr">
        <is>
          <t>UOM_CODE</t>
        </is>
      </c>
      <c r="C19" s="2" t="inlineStr">
        <is>
          <t>TEXT</t>
        </is>
      </c>
      <c r="D19" s="2" t="inlineStr">
        <is>
          <t>Y</t>
        </is>
      </c>
      <c r="E19" s="2" t="inlineStr">
        <is>
          <t>N</t>
        </is>
      </c>
      <c r="F19" s="2" t="inlineStr">
        <is>
          <t>N</t>
        </is>
      </c>
      <c r="G19" s="2" t="n"/>
      <c r="H19" s="2" t="inlineStr">
        <is>
          <t>Units of measure</t>
        </is>
      </c>
      <c r="I19" s="2" t="inlineStr">
        <is>
          <t>MDM + Compliance</t>
        </is>
      </c>
      <c r="J19" s="2" t="inlineStr">
        <is>
          <t>Rare</t>
        </is>
      </c>
      <c r="K19" s="2" t="inlineStr">
        <is>
          <t>Text</t>
        </is>
      </c>
      <c r="L19" s="2" t="inlineStr">
        <is>
          <t>USER</t>
        </is>
      </c>
    </row>
    <row r="20">
      <c r="A20" s="2" t="inlineStr">
        <is>
          <t>LKP_UOM</t>
        </is>
      </c>
      <c r="B20" s="2" t="inlineStr">
        <is>
          <t>UOM_NAME</t>
        </is>
      </c>
      <c r="C20" s="2" t="inlineStr">
        <is>
          <t>TEXT</t>
        </is>
      </c>
      <c r="D20" s="2" t="inlineStr">
        <is>
          <t>Y</t>
        </is>
      </c>
      <c r="E20" s="2" t="inlineStr">
        <is>
          <t>N</t>
        </is>
      </c>
      <c r="F20" s="2" t="inlineStr">
        <is>
          <t>N</t>
        </is>
      </c>
      <c r="G20" s="2" t="n"/>
      <c r="H20" s="2" t="inlineStr">
        <is>
          <t>Units of measure</t>
        </is>
      </c>
      <c r="I20" s="2" t="inlineStr">
        <is>
          <t>MDM + Compliance</t>
        </is>
      </c>
      <c r="J20" s="2" t="inlineStr">
        <is>
          <t>Rare</t>
        </is>
      </c>
      <c r="K20" s="2" t="inlineStr">
        <is>
          <t>Text</t>
        </is>
      </c>
      <c r="L20" s="2" t="inlineStr">
        <is>
          <t>USER</t>
        </is>
      </c>
    </row>
    <row r="21">
      <c r="A21" s="2" t="inlineStr">
        <is>
          <t>LKP_UOM</t>
        </is>
      </c>
      <c r="B21" s="2" t="inlineStr">
        <is>
          <t>UOM_DIMENSION</t>
        </is>
      </c>
      <c r="C21" s="2" t="inlineStr">
        <is>
          <t>TEXT</t>
        </is>
      </c>
      <c r="D21" s="2" t="inlineStr">
        <is>
          <t>Y</t>
        </is>
      </c>
      <c r="E21" s="2" t="inlineStr">
        <is>
          <t>N</t>
        </is>
      </c>
      <c r="F21" s="2" t="inlineStr">
        <is>
          <t>N</t>
        </is>
      </c>
      <c r="G21" s="2" t="n"/>
      <c r="H21" s="2" t="inlineStr">
        <is>
          <t>Units of measure</t>
        </is>
      </c>
      <c r="I21" s="2" t="inlineStr">
        <is>
          <t>MDM + Compliance</t>
        </is>
      </c>
      <c r="J21" s="2" t="inlineStr">
        <is>
          <t>Rare</t>
        </is>
      </c>
      <c r="K21" s="2" t="inlineStr">
        <is>
          <t>Text</t>
        </is>
      </c>
      <c r="L21" s="2" t="inlineStr">
        <is>
          <t>USER</t>
        </is>
      </c>
    </row>
    <row r="22">
      <c r="A22" s="2" t="inlineStr">
        <is>
          <t>LKP_PACKAGING_LEVEL</t>
        </is>
      </c>
      <c r="B22" s="2" t="inlineStr">
        <is>
          <t>PACKAGING_LEVEL_ID</t>
        </is>
      </c>
      <c r="C22" s="2" t="inlineStr">
        <is>
          <t>INT</t>
        </is>
      </c>
      <c r="D22" s="2" t="inlineStr">
        <is>
          <t>Y</t>
        </is>
      </c>
      <c r="E22" s="2" t="inlineStr">
        <is>
          <t>Y</t>
        </is>
      </c>
      <c r="F22" s="2" t="inlineStr">
        <is>
          <t>N</t>
        </is>
      </c>
      <c r="G22" s="2" t="n"/>
      <c r="H22" s="2" t="inlineStr">
        <is>
          <t>Primary / Secondary / Tertiary</t>
        </is>
      </c>
      <c r="I22" s="2" t="inlineStr">
        <is>
          <t>MDM + Compliance</t>
        </is>
      </c>
      <c r="J22" s="2" t="inlineStr">
        <is>
          <t>Rare</t>
        </is>
      </c>
      <c r="K22" s="2" t="inlineStr">
        <is>
          <t>PK unique; not blank when row used</t>
        </is>
      </c>
      <c r="L22" s="2" t="inlineStr">
        <is>
          <t>USER</t>
        </is>
      </c>
    </row>
    <row r="23">
      <c r="A23" s="2" t="inlineStr">
        <is>
          <t>LKP_PACKAGING_LEVEL</t>
        </is>
      </c>
      <c r="B23" s="2" t="inlineStr">
        <is>
          <t>PACKAGING_LEVEL_CODE</t>
        </is>
      </c>
      <c r="C23" s="2" t="inlineStr">
        <is>
          <t>TEXT</t>
        </is>
      </c>
      <c r="D23" s="2" t="inlineStr">
        <is>
          <t>Y</t>
        </is>
      </c>
      <c r="E23" s="2" t="inlineStr">
        <is>
          <t>N</t>
        </is>
      </c>
      <c r="F23" s="2" t="inlineStr">
        <is>
          <t>N</t>
        </is>
      </c>
      <c r="G23" s="2" t="n"/>
      <c r="H23" s="2" t="inlineStr">
        <is>
          <t>Primary / Secondary / Tertiary</t>
        </is>
      </c>
      <c r="I23" s="2" t="inlineStr">
        <is>
          <t>MDM + Compliance</t>
        </is>
      </c>
      <c r="J23" s="2" t="inlineStr">
        <is>
          <t>Rare</t>
        </is>
      </c>
      <c r="K23" s="2" t="inlineStr">
        <is>
          <t>Text</t>
        </is>
      </c>
      <c r="L23" s="2" t="inlineStr">
        <is>
          <t>USER</t>
        </is>
      </c>
    </row>
    <row r="24">
      <c r="A24" s="2" t="inlineStr">
        <is>
          <t>LKP_PACKAGING_LEVEL</t>
        </is>
      </c>
      <c r="B24" s="2" t="inlineStr">
        <is>
          <t>PACKAGING_LEVEL_NAME</t>
        </is>
      </c>
      <c r="C24" s="2" t="inlineStr">
        <is>
          <t>TEXT</t>
        </is>
      </c>
      <c r="D24" s="2" t="inlineStr">
        <is>
          <t>Y</t>
        </is>
      </c>
      <c r="E24" s="2" t="inlineStr">
        <is>
          <t>N</t>
        </is>
      </c>
      <c r="F24" s="2" t="inlineStr">
        <is>
          <t>N</t>
        </is>
      </c>
      <c r="G24" s="2" t="n"/>
      <c r="H24" s="2" t="inlineStr">
        <is>
          <t>Primary / Secondary / Tertiary</t>
        </is>
      </c>
      <c r="I24" s="2" t="inlineStr">
        <is>
          <t>MDM + Compliance</t>
        </is>
      </c>
      <c r="J24" s="2" t="inlineStr">
        <is>
          <t>Rare</t>
        </is>
      </c>
      <c r="K24" s="2" t="inlineStr">
        <is>
          <t>Text</t>
        </is>
      </c>
      <c r="L24" s="2" t="inlineStr">
        <is>
          <t>USER</t>
        </is>
      </c>
    </row>
    <row r="25">
      <c r="A25" s="2" t="inlineStr">
        <is>
          <t>LKP_PACKAGING_LEVEL</t>
        </is>
      </c>
      <c r="B25" s="2" t="inlineStr">
        <is>
          <t>SORT_ORDER</t>
        </is>
      </c>
      <c r="C25" s="2" t="inlineStr">
        <is>
          <t>INT</t>
        </is>
      </c>
      <c r="D25" s="2" t="inlineStr">
        <is>
          <t>Y</t>
        </is>
      </c>
      <c r="E25" s="2" t="inlineStr">
        <is>
          <t>N</t>
        </is>
      </c>
      <c r="F25" s="2" t="inlineStr">
        <is>
          <t>N</t>
        </is>
      </c>
      <c r="G25" s="2" t="n"/>
      <c r="H25" s="2" t="inlineStr">
        <is>
          <t>Primary / Secondary / Tertiary</t>
        </is>
      </c>
      <c r="I25" s="2" t="inlineStr">
        <is>
          <t>MDM + Compliance</t>
        </is>
      </c>
      <c r="J25" s="2" t="inlineStr">
        <is>
          <t>Rare</t>
        </is>
      </c>
      <c r="K25" s="2" t="inlineStr">
        <is>
          <t>Whole number / text-capable ID</t>
        </is>
      </c>
      <c r="L25" s="2" t="inlineStr">
        <is>
          <t>USER</t>
        </is>
      </c>
    </row>
    <row r="26">
      <c r="A26" s="2" t="inlineStr">
        <is>
          <t>LKP_PACKAGING_FUNCTION</t>
        </is>
      </c>
      <c r="B26" s="2" t="inlineStr">
        <is>
          <t>PACKAGING_FUNCTION_ID</t>
        </is>
      </c>
      <c r="C26" s="2" t="inlineStr">
        <is>
          <t>INT</t>
        </is>
      </c>
      <c r="D26" s="2" t="inlineStr">
        <is>
          <t>Y</t>
        </is>
      </c>
      <c r="E26" s="2" t="inlineStr">
        <is>
          <t>Y</t>
        </is>
      </c>
      <c r="F26" s="2" t="inlineStr">
        <is>
          <t>N</t>
        </is>
      </c>
      <c r="G26" s="2" t="n"/>
      <c r="H26" s="2" t="inlineStr">
        <is>
          <t>Sales / Grouped / Transport</t>
        </is>
      </c>
      <c r="I26" s="2" t="inlineStr">
        <is>
          <t>MDM + Compliance</t>
        </is>
      </c>
      <c r="J26" s="2" t="inlineStr">
        <is>
          <t>Rare</t>
        </is>
      </c>
      <c r="K26" s="2" t="inlineStr">
        <is>
          <t>PK unique; not blank when row used</t>
        </is>
      </c>
      <c r="L26" s="2" t="inlineStr">
        <is>
          <t>USER</t>
        </is>
      </c>
    </row>
    <row r="27">
      <c r="A27" s="2" t="inlineStr">
        <is>
          <t>LKP_PACKAGING_FUNCTION</t>
        </is>
      </c>
      <c r="B27" s="2" t="inlineStr">
        <is>
          <t>PACKAGING_FUNCTION_CODE</t>
        </is>
      </c>
      <c r="C27" s="2" t="inlineStr">
        <is>
          <t>TEXT</t>
        </is>
      </c>
      <c r="D27" s="2" t="inlineStr">
        <is>
          <t>Y</t>
        </is>
      </c>
      <c r="E27" s="2" t="inlineStr">
        <is>
          <t>N</t>
        </is>
      </c>
      <c r="F27" s="2" t="inlineStr">
        <is>
          <t>N</t>
        </is>
      </c>
      <c r="G27" s="2" t="n"/>
      <c r="H27" s="2" t="inlineStr">
        <is>
          <t>Sales / Grouped / Transport</t>
        </is>
      </c>
      <c r="I27" s="2" t="inlineStr">
        <is>
          <t>MDM + Compliance</t>
        </is>
      </c>
      <c r="J27" s="2" t="inlineStr">
        <is>
          <t>Rare</t>
        </is>
      </c>
      <c r="K27" s="2" t="inlineStr">
        <is>
          <t>Text</t>
        </is>
      </c>
      <c r="L27" s="2" t="inlineStr">
        <is>
          <t>USER</t>
        </is>
      </c>
    </row>
    <row r="28">
      <c r="A28" s="2" t="inlineStr">
        <is>
          <t>LKP_PACKAGING_FUNCTION</t>
        </is>
      </c>
      <c r="B28" s="2" t="inlineStr">
        <is>
          <t>PACKAGING_FUNCTION_NAME</t>
        </is>
      </c>
      <c r="C28" s="2" t="inlineStr">
        <is>
          <t>TEXT</t>
        </is>
      </c>
      <c r="D28" s="2" t="inlineStr">
        <is>
          <t>Y</t>
        </is>
      </c>
      <c r="E28" s="2" t="inlineStr">
        <is>
          <t>N</t>
        </is>
      </c>
      <c r="F28" s="2" t="inlineStr">
        <is>
          <t>N</t>
        </is>
      </c>
      <c r="G28" s="2" t="n"/>
      <c r="H28" s="2" t="inlineStr">
        <is>
          <t>Sales / Grouped / Transport</t>
        </is>
      </c>
      <c r="I28" s="2" t="inlineStr">
        <is>
          <t>MDM + Compliance</t>
        </is>
      </c>
      <c r="J28" s="2" t="inlineStr">
        <is>
          <t>Rare</t>
        </is>
      </c>
      <c r="K28" s="2" t="inlineStr">
        <is>
          <t>Text</t>
        </is>
      </c>
      <c r="L28" s="2" t="inlineStr">
        <is>
          <t>USER</t>
        </is>
      </c>
    </row>
    <row r="29">
      <c r="A29" s="2" t="inlineStr">
        <is>
          <t>LKP_COMPONENT_TYPE</t>
        </is>
      </c>
      <c r="B29" s="2" t="inlineStr">
        <is>
          <t>COMPONENT_TYPE_ID</t>
        </is>
      </c>
      <c r="C29" s="2" t="inlineStr">
        <is>
          <t>INT</t>
        </is>
      </c>
      <c r="D29" s="2" t="inlineStr">
        <is>
          <t>Y</t>
        </is>
      </c>
      <c r="E29" s="2" t="inlineStr">
        <is>
          <t>Y</t>
        </is>
      </c>
      <c r="F29" s="2" t="inlineStr">
        <is>
          <t>N</t>
        </is>
      </c>
      <c r="G29" s="2" t="n"/>
      <c r="H29" s="2" t="inlineStr">
        <is>
          <t>Component type vocabulary incl. container materials</t>
        </is>
      </c>
      <c r="I29" s="2" t="inlineStr">
        <is>
          <t>MDM + Compliance</t>
        </is>
      </c>
      <c r="J29" s="2" t="inlineStr">
        <is>
          <t>Rare</t>
        </is>
      </c>
      <c r="K29" s="2" t="inlineStr">
        <is>
          <t>PK unique; not blank when row used</t>
        </is>
      </c>
      <c r="L29" s="2" t="inlineStr">
        <is>
          <t>USER</t>
        </is>
      </c>
    </row>
    <row r="30">
      <c r="A30" s="2" t="inlineStr">
        <is>
          <t>LKP_COMPONENT_TYPE</t>
        </is>
      </c>
      <c r="B30" s="2" t="inlineStr">
        <is>
          <t>COMPONENT_TYPE_CODE</t>
        </is>
      </c>
      <c r="C30" s="2" t="inlineStr">
        <is>
          <t>TEXT</t>
        </is>
      </c>
      <c r="D30" s="2" t="inlineStr">
        <is>
          <t>Y</t>
        </is>
      </c>
      <c r="E30" s="2" t="inlineStr">
        <is>
          <t>N</t>
        </is>
      </c>
      <c r="F30" s="2" t="inlineStr">
        <is>
          <t>N</t>
        </is>
      </c>
      <c r="G30" s="2" t="n"/>
      <c r="H30" s="2" t="inlineStr">
        <is>
          <t>Component type vocabulary incl. container materials</t>
        </is>
      </c>
      <c r="I30" s="2" t="inlineStr">
        <is>
          <t>MDM + Compliance</t>
        </is>
      </c>
      <c r="J30" s="2" t="inlineStr">
        <is>
          <t>Rare</t>
        </is>
      </c>
      <c r="K30" s="2" t="inlineStr">
        <is>
          <t>Text</t>
        </is>
      </c>
      <c r="L30" s="2" t="inlineStr">
        <is>
          <t>USER</t>
        </is>
      </c>
    </row>
    <row r="31">
      <c r="A31" s="2" t="inlineStr">
        <is>
          <t>LKP_COMPONENT_TYPE</t>
        </is>
      </c>
      <c r="B31" s="2" t="inlineStr">
        <is>
          <t>COMPONENT_TYPE_NAME</t>
        </is>
      </c>
      <c r="C31" s="2" t="inlineStr">
        <is>
          <t>TEXT</t>
        </is>
      </c>
      <c r="D31" s="2" t="inlineStr">
        <is>
          <t>Y</t>
        </is>
      </c>
      <c r="E31" s="2" t="inlineStr">
        <is>
          <t>N</t>
        </is>
      </c>
      <c r="F31" s="2" t="inlineStr">
        <is>
          <t>N</t>
        </is>
      </c>
      <c r="G31" s="2" t="n"/>
      <c r="H31" s="2" t="inlineStr">
        <is>
          <t>Component type vocabulary incl. container materials</t>
        </is>
      </c>
      <c r="I31" s="2" t="inlineStr">
        <is>
          <t>MDM + Compliance</t>
        </is>
      </c>
      <c r="J31" s="2" t="inlineStr">
        <is>
          <t>Rare</t>
        </is>
      </c>
      <c r="K31" s="2" t="inlineStr">
        <is>
          <t>Text</t>
        </is>
      </c>
      <c r="L31" s="2" t="inlineStr">
        <is>
          <t>USER</t>
        </is>
      </c>
    </row>
    <row r="32">
      <c r="A32" s="2" t="inlineStr">
        <is>
          <t>LKP_COMPONENT_TYPE</t>
        </is>
      </c>
      <c r="B32" s="2" t="inlineStr">
        <is>
          <t>DEFAULT_PACKAGING_LEVEL_ID</t>
        </is>
      </c>
      <c r="C32" s="2" t="inlineStr">
        <is>
          <t>INT</t>
        </is>
      </c>
      <c r="D32" s="2" t="inlineStr">
        <is>
          <t>N</t>
        </is>
      </c>
      <c r="E32" s="2" t="inlineStr">
        <is>
          <t>N</t>
        </is>
      </c>
      <c r="F32" s="2" t="inlineStr">
        <is>
          <t>Y</t>
        </is>
      </c>
      <c r="G32" s="2" t="inlineStr">
        <is>
          <t>LKP_PACKAGING_LEVEL</t>
        </is>
      </c>
      <c r="H32" s="2" t="inlineStr">
        <is>
          <t>Component type vocabulary incl. container materials</t>
        </is>
      </c>
      <c r="I32" s="2" t="inlineStr">
        <is>
          <t>MDM + Compliance</t>
        </is>
      </c>
      <c r="J32" s="2" t="inlineStr">
        <is>
          <t>Rare</t>
        </is>
      </c>
      <c r="K32" s="2" t="inlineStr">
        <is>
          <t>Lookup list → LKP_PACKAGING_LEVEL</t>
        </is>
      </c>
      <c r="L32" s="2" t="inlineStr">
        <is>
          <t>USER</t>
        </is>
      </c>
    </row>
    <row r="33">
      <c r="A33" s="2" t="inlineStr">
        <is>
          <t>LKP_MATERIAL_FAMILY</t>
        </is>
      </c>
      <c r="B33" s="2" t="inlineStr">
        <is>
          <t>MATERIAL_FAMILY_ID</t>
        </is>
      </c>
      <c r="C33" s="2" t="inlineStr">
        <is>
          <t>INT</t>
        </is>
      </c>
      <c r="D33" s="2" t="inlineStr">
        <is>
          <t>Y</t>
        </is>
      </c>
      <c r="E33" s="2" t="inlineStr">
        <is>
          <t>Y</t>
        </is>
      </c>
      <c r="F33" s="2" t="inlineStr">
        <is>
          <t>N</t>
        </is>
      </c>
      <c r="G33" s="2" t="n"/>
      <c r="H33" s="2" t="inlineStr">
        <is>
          <t>Material families</t>
        </is>
      </c>
      <c r="I33" s="2" t="inlineStr">
        <is>
          <t>MDM + Compliance</t>
        </is>
      </c>
      <c r="J33" s="2" t="inlineStr">
        <is>
          <t>Rare</t>
        </is>
      </c>
      <c r="K33" s="2" t="inlineStr">
        <is>
          <t>PK unique; not blank when row used</t>
        </is>
      </c>
      <c r="L33" s="2" t="inlineStr">
        <is>
          <t>USER</t>
        </is>
      </c>
    </row>
    <row r="34">
      <c r="A34" s="2" t="inlineStr">
        <is>
          <t>LKP_MATERIAL_FAMILY</t>
        </is>
      </c>
      <c r="B34" s="2" t="inlineStr">
        <is>
          <t>MATERIAL_FAMILY_CODE</t>
        </is>
      </c>
      <c r="C34" s="2" t="inlineStr">
        <is>
          <t>TEXT</t>
        </is>
      </c>
      <c r="D34" s="2" t="inlineStr">
        <is>
          <t>Y</t>
        </is>
      </c>
      <c r="E34" s="2" t="inlineStr">
        <is>
          <t>N</t>
        </is>
      </c>
      <c r="F34" s="2" t="inlineStr">
        <is>
          <t>N</t>
        </is>
      </c>
      <c r="G34" s="2" t="n"/>
      <c r="H34" s="2" t="inlineStr">
        <is>
          <t>Material families</t>
        </is>
      </c>
      <c r="I34" s="2" t="inlineStr">
        <is>
          <t>MDM + Compliance</t>
        </is>
      </c>
      <c r="J34" s="2" t="inlineStr">
        <is>
          <t>Rare</t>
        </is>
      </c>
      <c r="K34" s="2" t="inlineStr">
        <is>
          <t>Text</t>
        </is>
      </c>
      <c r="L34" s="2" t="inlineStr">
        <is>
          <t>USER</t>
        </is>
      </c>
    </row>
    <row r="35">
      <c r="A35" s="2" t="inlineStr">
        <is>
          <t>LKP_MATERIAL_FAMILY</t>
        </is>
      </c>
      <c r="B35" s="2" t="inlineStr">
        <is>
          <t>MATERIAL_FAMILY_NAME</t>
        </is>
      </c>
      <c r="C35" s="2" t="inlineStr">
        <is>
          <t>TEXT</t>
        </is>
      </c>
      <c r="D35" s="2" t="inlineStr">
        <is>
          <t>Y</t>
        </is>
      </c>
      <c r="E35" s="2" t="inlineStr">
        <is>
          <t>N</t>
        </is>
      </c>
      <c r="F35" s="2" t="inlineStr">
        <is>
          <t>N</t>
        </is>
      </c>
      <c r="G35" s="2" t="n"/>
      <c r="H35" s="2" t="inlineStr">
        <is>
          <t>Material families</t>
        </is>
      </c>
      <c r="I35" s="2" t="inlineStr">
        <is>
          <t>MDM + Compliance</t>
        </is>
      </c>
      <c r="J35" s="2" t="inlineStr">
        <is>
          <t>Rare</t>
        </is>
      </c>
      <c r="K35" s="2" t="inlineStr">
        <is>
          <t>Text</t>
        </is>
      </c>
      <c r="L35" s="2" t="inlineStr">
        <is>
          <t>USER</t>
        </is>
      </c>
    </row>
    <row r="36">
      <c r="A36" s="2" t="inlineStr">
        <is>
          <t>LKP_PPWR_MATERIAL_CATEGORY</t>
        </is>
      </c>
      <c r="B36" s="2" t="inlineStr">
        <is>
          <t>PPWR_MATERIAL_CATEGORY_ID</t>
        </is>
      </c>
      <c r="C36" s="2" t="inlineStr">
        <is>
          <t>INT</t>
        </is>
      </c>
      <c r="D36" s="2" t="inlineStr">
        <is>
          <t>Y</t>
        </is>
      </c>
      <c r="E36" s="2" t="inlineStr">
        <is>
          <t>Y</t>
        </is>
      </c>
      <c r="F36" s="2" t="inlineStr">
        <is>
          <t>N</t>
        </is>
      </c>
      <c r="G36" s="2" t="n"/>
      <c r="H36" s="2" t="inlineStr">
        <is>
          <t>PPWR material categories</t>
        </is>
      </c>
      <c r="I36" s="2" t="inlineStr">
        <is>
          <t>MDM + Compliance</t>
        </is>
      </c>
      <c r="J36" s="2" t="inlineStr">
        <is>
          <t>Rare</t>
        </is>
      </c>
      <c r="K36" s="2" t="inlineStr">
        <is>
          <t>PK unique; not blank when row used</t>
        </is>
      </c>
      <c r="L36" s="2" t="inlineStr">
        <is>
          <t>USER</t>
        </is>
      </c>
    </row>
    <row r="37">
      <c r="A37" s="2" t="inlineStr">
        <is>
          <t>LKP_PPWR_MATERIAL_CATEGORY</t>
        </is>
      </c>
      <c r="B37" s="2" t="inlineStr">
        <is>
          <t>PPWR_MATERIAL_CATEGORY_CODE</t>
        </is>
      </c>
      <c r="C37" s="2" t="inlineStr">
        <is>
          <t>TEXT</t>
        </is>
      </c>
      <c r="D37" s="2" t="inlineStr">
        <is>
          <t>Y</t>
        </is>
      </c>
      <c r="E37" s="2" t="inlineStr">
        <is>
          <t>N</t>
        </is>
      </c>
      <c r="F37" s="2" t="inlineStr">
        <is>
          <t>N</t>
        </is>
      </c>
      <c r="G37" s="2" t="n"/>
      <c r="H37" s="2" t="inlineStr">
        <is>
          <t>PPWR material categories</t>
        </is>
      </c>
      <c r="I37" s="2" t="inlineStr">
        <is>
          <t>MDM + Compliance</t>
        </is>
      </c>
      <c r="J37" s="2" t="inlineStr">
        <is>
          <t>Rare</t>
        </is>
      </c>
      <c r="K37" s="2" t="inlineStr">
        <is>
          <t>Text</t>
        </is>
      </c>
      <c r="L37" s="2" t="inlineStr">
        <is>
          <t>USER</t>
        </is>
      </c>
    </row>
    <row r="38">
      <c r="A38" s="2" t="inlineStr">
        <is>
          <t>LKP_PPWR_MATERIAL_CATEGORY</t>
        </is>
      </c>
      <c r="B38" s="2" t="inlineStr">
        <is>
          <t>PPWR_MATERIAL_CATEGORY_NAME</t>
        </is>
      </c>
      <c r="C38" s="2" t="inlineStr">
        <is>
          <t>TEXT</t>
        </is>
      </c>
      <c r="D38" s="2" t="inlineStr">
        <is>
          <t>Y</t>
        </is>
      </c>
      <c r="E38" s="2" t="inlineStr">
        <is>
          <t>N</t>
        </is>
      </c>
      <c r="F38" s="2" t="inlineStr">
        <is>
          <t>N</t>
        </is>
      </c>
      <c r="G38" s="2" t="n"/>
      <c r="H38" s="2" t="inlineStr">
        <is>
          <t>PPWR material categories</t>
        </is>
      </c>
      <c r="I38" s="2" t="inlineStr">
        <is>
          <t>MDM + Compliance</t>
        </is>
      </c>
      <c r="J38" s="2" t="inlineStr">
        <is>
          <t>Rare</t>
        </is>
      </c>
      <c r="K38" s="2" t="inlineStr">
        <is>
          <t>Text</t>
        </is>
      </c>
      <c r="L38" s="2" t="inlineStr">
        <is>
          <t>USER</t>
        </is>
      </c>
    </row>
    <row r="39">
      <c r="A39" s="2" t="inlineStr">
        <is>
          <t>LKP_MATERIAL</t>
        </is>
      </c>
      <c r="B39" s="2" t="inlineStr">
        <is>
          <t>MATERIAL_ID</t>
        </is>
      </c>
      <c r="C39" s="2" t="inlineStr">
        <is>
          <t>INT</t>
        </is>
      </c>
      <c r="D39" s="2" t="inlineStr">
        <is>
          <t>Y</t>
        </is>
      </c>
      <c r="E39" s="2" t="inlineStr">
        <is>
          <t>Y</t>
        </is>
      </c>
      <c r="F39" s="2" t="inlineStr">
        <is>
          <t>N</t>
        </is>
      </c>
      <c r="G39" s="2" t="n"/>
      <c r="H39" s="2" t="inlineStr">
        <is>
          <t>Controlled material vocabulary</t>
        </is>
      </c>
      <c r="I39" s="2" t="inlineStr">
        <is>
          <t>MDM + Compliance</t>
        </is>
      </c>
      <c r="J39" s="2" t="inlineStr">
        <is>
          <t>Rare</t>
        </is>
      </c>
      <c r="K39" s="2" t="inlineStr">
        <is>
          <t>PK unique; not blank when row used</t>
        </is>
      </c>
      <c r="L39" s="2" t="inlineStr">
        <is>
          <t>USER</t>
        </is>
      </c>
    </row>
    <row r="40">
      <c r="A40" s="2" t="inlineStr">
        <is>
          <t>LKP_MATERIAL</t>
        </is>
      </c>
      <c r="B40" s="2" t="inlineStr">
        <is>
          <t>MATERIAL_CODE</t>
        </is>
      </c>
      <c r="C40" s="2" t="inlineStr">
        <is>
          <t>TEXT</t>
        </is>
      </c>
      <c r="D40" s="2" t="inlineStr">
        <is>
          <t>Y</t>
        </is>
      </c>
      <c r="E40" s="2" t="inlineStr">
        <is>
          <t>N</t>
        </is>
      </c>
      <c r="F40" s="2" t="inlineStr">
        <is>
          <t>N</t>
        </is>
      </c>
      <c r="G40" s="2" t="n"/>
      <c r="H40" s="2" t="inlineStr">
        <is>
          <t>Controlled material vocabulary</t>
        </is>
      </c>
      <c r="I40" s="2" t="inlineStr">
        <is>
          <t>MDM + Compliance</t>
        </is>
      </c>
      <c r="J40" s="2" t="inlineStr">
        <is>
          <t>Rare</t>
        </is>
      </c>
      <c r="K40" s="2" t="inlineStr">
        <is>
          <t>Text</t>
        </is>
      </c>
      <c r="L40" s="2" t="inlineStr">
        <is>
          <t>USER</t>
        </is>
      </c>
    </row>
    <row r="41">
      <c r="A41" s="2" t="inlineStr">
        <is>
          <t>LKP_MATERIAL</t>
        </is>
      </c>
      <c r="B41" s="2" t="inlineStr">
        <is>
          <t>MATERIAL_NAME</t>
        </is>
      </c>
      <c r="C41" s="2" t="inlineStr">
        <is>
          <t>TEXT</t>
        </is>
      </c>
      <c r="D41" s="2" t="inlineStr">
        <is>
          <t>Y</t>
        </is>
      </c>
      <c r="E41" s="2" t="inlineStr">
        <is>
          <t>N</t>
        </is>
      </c>
      <c r="F41" s="2" t="inlineStr">
        <is>
          <t>N</t>
        </is>
      </c>
      <c r="G41" s="2" t="n"/>
      <c r="H41" s="2" t="inlineStr">
        <is>
          <t>Controlled material vocabulary</t>
        </is>
      </c>
      <c r="I41" s="2" t="inlineStr">
        <is>
          <t>MDM + Compliance</t>
        </is>
      </c>
      <c r="J41" s="2" t="inlineStr">
        <is>
          <t>Rare</t>
        </is>
      </c>
      <c r="K41" s="2" t="inlineStr">
        <is>
          <t>Text</t>
        </is>
      </c>
      <c r="L41" s="2" t="inlineStr">
        <is>
          <t>USER</t>
        </is>
      </c>
    </row>
    <row r="42">
      <c r="A42" s="2" t="inlineStr">
        <is>
          <t>LKP_MATERIAL</t>
        </is>
      </c>
      <c r="B42" s="2" t="inlineStr">
        <is>
          <t>MATERIAL_FAMILY_ID</t>
        </is>
      </c>
      <c r="C42" s="2" t="inlineStr">
        <is>
          <t>INT</t>
        </is>
      </c>
      <c r="D42" s="2" t="inlineStr">
        <is>
          <t>Y</t>
        </is>
      </c>
      <c r="E42" s="2" t="inlineStr">
        <is>
          <t>N</t>
        </is>
      </c>
      <c r="F42" s="2" t="inlineStr">
        <is>
          <t>Y</t>
        </is>
      </c>
      <c r="G42" s="2" t="inlineStr">
        <is>
          <t>LKP_MATERIAL_FAMILY</t>
        </is>
      </c>
      <c r="H42" s="2" t="inlineStr">
        <is>
          <t>Controlled material vocabulary</t>
        </is>
      </c>
      <c r="I42" s="2" t="inlineStr">
        <is>
          <t>MDM + Compliance</t>
        </is>
      </c>
      <c r="J42" s="2" t="inlineStr">
        <is>
          <t>Rare</t>
        </is>
      </c>
      <c r="K42" s="2" t="inlineStr">
        <is>
          <t>Lookup list → LKP_MATERIAL_FAMILY</t>
        </is>
      </c>
      <c r="L42" s="2" t="inlineStr">
        <is>
          <t>USER</t>
        </is>
      </c>
    </row>
    <row r="43">
      <c r="A43" s="2" t="inlineStr">
        <is>
          <t>LKP_MATERIAL</t>
        </is>
      </c>
      <c r="B43" s="2" t="inlineStr">
        <is>
          <t>PPWR_MATERIAL_CATEGORY_ID</t>
        </is>
      </c>
      <c r="C43" s="2" t="inlineStr">
        <is>
          <t>INT</t>
        </is>
      </c>
      <c r="D43" s="2" t="inlineStr">
        <is>
          <t>N</t>
        </is>
      </c>
      <c r="E43" s="2" t="inlineStr">
        <is>
          <t>N</t>
        </is>
      </c>
      <c r="F43" s="2" t="inlineStr">
        <is>
          <t>Y</t>
        </is>
      </c>
      <c r="G43" s="2" t="inlineStr">
        <is>
          <t>LKP_PPWR_MATERIAL_CATEGORY</t>
        </is>
      </c>
      <c r="H43" s="2" t="inlineStr">
        <is>
          <t>Controlled material vocabulary</t>
        </is>
      </c>
      <c r="I43" s="2" t="inlineStr">
        <is>
          <t>MDM + Compliance</t>
        </is>
      </c>
      <c r="J43" s="2" t="inlineStr">
        <is>
          <t>Rare</t>
        </is>
      </c>
      <c r="K43" s="2" t="inlineStr">
        <is>
          <t>Lookup list → LKP_PPWR_MATERIAL_CATEGORY</t>
        </is>
      </c>
      <c r="L43" s="2" t="inlineStr">
        <is>
          <t>USER</t>
        </is>
      </c>
    </row>
    <row r="44">
      <c r="A44" s="2" t="inlineStr">
        <is>
          <t>LKP_MATERIAL</t>
        </is>
      </c>
      <c r="B44" s="2" t="inlineStr">
        <is>
          <t>IS_COMPOSITE</t>
        </is>
      </c>
      <c r="C44" s="2" t="inlineStr">
        <is>
          <t>BOOL</t>
        </is>
      </c>
      <c r="D44" s="2" t="inlineStr">
        <is>
          <t>Y</t>
        </is>
      </c>
      <c r="E44" s="2" t="inlineStr">
        <is>
          <t>N</t>
        </is>
      </c>
      <c r="F44" s="2" t="inlineStr">
        <is>
          <t>N</t>
        </is>
      </c>
      <c r="G44" s="2" t="n"/>
      <c r="H44" s="2" t="inlineStr">
        <is>
          <t>Controlled material vocabulary</t>
        </is>
      </c>
      <c r="I44" s="2" t="inlineStr">
        <is>
          <t>MDM + Compliance</t>
        </is>
      </c>
      <c r="J44" s="2" t="inlineStr">
        <is>
          <t>Rare</t>
        </is>
      </c>
      <c r="K44" s="2" t="inlineStr">
        <is>
          <t>TRUE/FALSE</t>
        </is>
      </c>
      <c r="L44" s="2" t="inlineStr">
        <is>
          <t>USER</t>
        </is>
      </c>
    </row>
    <row r="45">
      <c r="A45" s="2" t="inlineStr">
        <is>
          <t>LKP_MATERIAL</t>
        </is>
      </c>
      <c r="B45" s="2" t="inlineStr">
        <is>
          <t>NOTES</t>
        </is>
      </c>
      <c r="C45" s="2" t="inlineStr">
        <is>
          <t>TEXT</t>
        </is>
      </c>
      <c r="D45" s="2" t="inlineStr">
        <is>
          <t>N</t>
        </is>
      </c>
      <c r="E45" s="2" t="inlineStr">
        <is>
          <t>N</t>
        </is>
      </c>
      <c r="F45" s="2" t="inlineStr">
        <is>
          <t>N</t>
        </is>
      </c>
      <c r="G45" s="2" t="n"/>
      <c r="H45" s="2" t="inlineStr">
        <is>
          <t>Controlled material vocabulary</t>
        </is>
      </c>
      <c r="I45" s="2" t="inlineStr">
        <is>
          <t>MDM + Compliance</t>
        </is>
      </c>
      <c r="J45" s="2" t="inlineStr">
        <is>
          <t>Rare</t>
        </is>
      </c>
      <c r="K45" s="2" t="inlineStr">
        <is>
          <t>Text</t>
        </is>
      </c>
      <c r="L45" s="2" t="inlineStr">
        <is>
          <t>USER</t>
        </is>
      </c>
    </row>
    <row r="46">
      <c r="A46" s="2" t="inlineStr">
        <is>
          <t>LKP_RECYCLABILITY_CLASS</t>
        </is>
      </c>
      <c r="B46" s="2" t="inlineStr">
        <is>
          <t>RECYCLABILITY_CLASS_ID</t>
        </is>
      </c>
      <c r="C46" s="2" t="inlineStr">
        <is>
          <t>INT</t>
        </is>
      </c>
      <c r="D46" s="2" t="inlineStr">
        <is>
          <t>Y</t>
        </is>
      </c>
      <c r="E46" s="2" t="inlineStr">
        <is>
          <t>Y</t>
        </is>
      </c>
      <c r="F46" s="2" t="inlineStr">
        <is>
          <t>N</t>
        </is>
      </c>
      <c r="G46" s="2" t="n"/>
      <c r="H46" s="2" t="inlineStr">
        <is>
          <t>Recyclability class</t>
        </is>
      </c>
      <c r="I46" s="2" t="inlineStr">
        <is>
          <t>MDM + Compliance</t>
        </is>
      </c>
      <c r="J46" s="2" t="inlineStr">
        <is>
          <t>Rare</t>
        </is>
      </c>
      <c r="K46" s="2" t="inlineStr">
        <is>
          <t>PK unique; not blank when row used</t>
        </is>
      </c>
      <c r="L46" s="2" t="inlineStr">
        <is>
          <t>USER</t>
        </is>
      </c>
    </row>
    <row r="47">
      <c r="A47" s="2" t="inlineStr">
        <is>
          <t>LKP_RECYCLABILITY_CLASS</t>
        </is>
      </c>
      <c r="B47" s="2" t="inlineStr">
        <is>
          <t>RECYCLABILITY_CLASS_CODE</t>
        </is>
      </c>
      <c r="C47" s="2" t="inlineStr">
        <is>
          <t>TEXT</t>
        </is>
      </c>
      <c r="D47" s="2" t="inlineStr">
        <is>
          <t>Y</t>
        </is>
      </c>
      <c r="E47" s="2" t="inlineStr">
        <is>
          <t>N</t>
        </is>
      </c>
      <c r="F47" s="2" t="inlineStr">
        <is>
          <t>N</t>
        </is>
      </c>
      <c r="G47" s="2" t="n"/>
      <c r="H47" s="2" t="inlineStr">
        <is>
          <t>Recyclability class</t>
        </is>
      </c>
      <c r="I47" s="2" t="inlineStr">
        <is>
          <t>MDM + Compliance</t>
        </is>
      </c>
      <c r="J47" s="2" t="inlineStr">
        <is>
          <t>Rare</t>
        </is>
      </c>
      <c r="K47" s="2" t="inlineStr">
        <is>
          <t>Text</t>
        </is>
      </c>
      <c r="L47" s="2" t="inlineStr">
        <is>
          <t>USER</t>
        </is>
      </c>
    </row>
    <row r="48">
      <c r="A48" s="2" t="inlineStr">
        <is>
          <t>LKP_RECYCLABILITY_CLASS</t>
        </is>
      </c>
      <c r="B48" s="2" t="inlineStr">
        <is>
          <t>RECYCLABILITY_CLASS_NAME</t>
        </is>
      </c>
      <c r="C48" s="2" t="inlineStr">
        <is>
          <t>TEXT</t>
        </is>
      </c>
      <c r="D48" s="2" t="inlineStr">
        <is>
          <t>Y</t>
        </is>
      </c>
      <c r="E48" s="2" t="inlineStr">
        <is>
          <t>N</t>
        </is>
      </c>
      <c r="F48" s="2" t="inlineStr">
        <is>
          <t>N</t>
        </is>
      </c>
      <c r="G48" s="2" t="n"/>
      <c r="H48" s="2" t="inlineStr">
        <is>
          <t>Recyclability class</t>
        </is>
      </c>
      <c r="I48" s="2" t="inlineStr">
        <is>
          <t>MDM + Compliance</t>
        </is>
      </c>
      <c r="J48" s="2" t="inlineStr">
        <is>
          <t>Rare</t>
        </is>
      </c>
      <c r="K48" s="2" t="inlineStr">
        <is>
          <t>Text</t>
        </is>
      </c>
      <c r="L48" s="2" t="inlineStr">
        <is>
          <t>USER</t>
        </is>
      </c>
    </row>
    <row r="49">
      <c r="A49" s="2" t="inlineStr">
        <is>
          <t>LKP_OWNERSHIP_TYPE</t>
        </is>
      </c>
      <c r="B49" s="2" t="inlineStr">
        <is>
          <t>OWNERSHIP_TYPE_ID</t>
        </is>
      </c>
      <c r="C49" s="2" t="inlineStr">
        <is>
          <t>INT</t>
        </is>
      </c>
      <c r="D49" s="2" t="inlineStr">
        <is>
          <t>Y</t>
        </is>
      </c>
      <c r="E49" s="2" t="inlineStr">
        <is>
          <t>Y</t>
        </is>
      </c>
      <c r="F49" s="2" t="inlineStr">
        <is>
          <t>N</t>
        </is>
      </c>
      <c r="G49" s="2" t="n"/>
      <c r="H49" s="2" t="inlineStr">
        <is>
          <t>Disposable / returnable / pool (returnable architecture hook)</t>
        </is>
      </c>
      <c r="I49" s="2" t="inlineStr">
        <is>
          <t>MDM + Compliance</t>
        </is>
      </c>
      <c r="J49" s="2" t="inlineStr">
        <is>
          <t>Rare</t>
        </is>
      </c>
      <c r="K49" s="2" t="inlineStr">
        <is>
          <t>PK unique; not blank when row used</t>
        </is>
      </c>
      <c r="L49" s="2" t="inlineStr">
        <is>
          <t>USER</t>
        </is>
      </c>
    </row>
    <row r="50">
      <c r="A50" s="2" t="inlineStr">
        <is>
          <t>LKP_OWNERSHIP_TYPE</t>
        </is>
      </c>
      <c r="B50" s="2" t="inlineStr">
        <is>
          <t>OWNERSHIP_TYPE_CODE</t>
        </is>
      </c>
      <c r="C50" s="2" t="inlineStr">
        <is>
          <t>TEXT</t>
        </is>
      </c>
      <c r="D50" s="2" t="inlineStr">
        <is>
          <t>Y</t>
        </is>
      </c>
      <c r="E50" s="2" t="inlineStr">
        <is>
          <t>N</t>
        </is>
      </c>
      <c r="F50" s="2" t="inlineStr">
        <is>
          <t>N</t>
        </is>
      </c>
      <c r="G50" s="2" t="n"/>
      <c r="H50" s="2" t="inlineStr">
        <is>
          <t>Disposable / returnable / pool (returnable architecture hook)</t>
        </is>
      </c>
      <c r="I50" s="2" t="inlineStr">
        <is>
          <t>MDM + Compliance</t>
        </is>
      </c>
      <c r="J50" s="2" t="inlineStr">
        <is>
          <t>Rare</t>
        </is>
      </c>
      <c r="K50" s="2" t="inlineStr">
        <is>
          <t>Text</t>
        </is>
      </c>
      <c r="L50" s="2" t="inlineStr">
        <is>
          <t>USER</t>
        </is>
      </c>
    </row>
    <row r="51">
      <c r="A51" s="2" t="inlineStr">
        <is>
          <t>LKP_OWNERSHIP_TYPE</t>
        </is>
      </c>
      <c r="B51" s="2" t="inlineStr">
        <is>
          <t>OWNERSHIP_TYPE_NAME</t>
        </is>
      </c>
      <c r="C51" s="2" t="inlineStr">
        <is>
          <t>TEXT</t>
        </is>
      </c>
      <c r="D51" s="2" t="inlineStr">
        <is>
          <t>Y</t>
        </is>
      </c>
      <c r="E51" s="2" t="inlineStr">
        <is>
          <t>N</t>
        </is>
      </c>
      <c r="F51" s="2" t="inlineStr">
        <is>
          <t>N</t>
        </is>
      </c>
      <c r="G51" s="2" t="n"/>
      <c r="H51" s="2" t="inlineStr">
        <is>
          <t>Disposable / returnable / pool (returnable architecture hook)</t>
        </is>
      </c>
      <c r="I51" s="2" t="inlineStr">
        <is>
          <t>MDM + Compliance</t>
        </is>
      </c>
      <c r="J51" s="2" t="inlineStr">
        <is>
          <t>Rare</t>
        </is>
      </c>
      <c r="K51" s="2" t="inlineStr">
        <is>
          <t>Text</t>
        </is>
      </c>
      <c r="L51" s="2" t="inlineStr">
        <is>
          <t>USER</t>
        </is>
      </c>
    </row>
    <row r="52">
      <c r="A52" s="2" t="inlineStr">
        <is>
          <t>LKP_TRANSPORT_UNIT_TYPE</t>
        </is>
      </c>
      <c r="B52" s="2" t="inlineStr">
        <is>
          <t>TRANSPORT_UNIT_TYPE_ID</t>
        </is>
      </c>
      <c r="C52" s="2" t="inlineStr">
        <is>
          <t>INT</t>
        </is>
      </c>
      <c r="D52" s="2" t="inlineStr">
        <is>
          <t>Y</t>
        </is>
      </c>
      <c r="E52" s="2" t="inlineStr">
        <is>
          <t>Y</t>
        </is>
      </c>
      <c r="F52" s="2" t="inlineStr">
        <is>
          <t>N</t>
        </is>
      </c>
      <c r="G52" s="2" t="n"/>
      <c r="H52" s="2" t="inlineStr">
        <is>
          <t>Pallet / container / truck / …</t>
        </is>
      </c>
      <c r="I52" s="2" t="inlineStr">
        <is>
          <t>MDM + Compliance</t>
        </is>
      </c>
      <c r="J52" s="2" t="inlineStr">
        <is>
          <t>Rare</t>
        </is>
      </c>
      <c r="K52" s="2" t="inlineStr">
        <is>
          <t>PK unique; not blank when row used</t>
        </is>
      </c>
      <c r="L52" s="2" t="inlineStr">
        <is>
          <t>USER</t>
        </is>
      </c>
    </row>
    <row r="53">
      <c r="A53" s="2" t="inlineStr">
        <is>
          <t>LKP_TRANSPORT_UNIT_TYPE</t>
        </is>
      </c>
      <c r="B53" s="2" t="inlineStr">
        <is>
          <t>TRANSPORT_UNIT_TYPE_CODE</t>
        </is>
      </c>
      <c r="C53" s="2" t="inlineStr">
        <is>
          <t>TEXT</t>
        </is>
      </c>
      <c r="D53" s="2" t="inlineStr">
        <is>
          <t>Y</t>
        </is>
      </c>
      <c r="E53" s="2" t="inlineStr">
        <is>
          <t>N</t>
        </is>
      </c>
      <c r="F53" s="2" t="inlineStr">
        <is>
          <t>N</t>
        </is>
      </c>
      <c r="G53" s="2" t="n"/>
      <c r="H53" s="2" t="inlineStr">
        <is>
          <t>Pallet / container / truck / …</t>
        </is>
      </c>
      <c r="I53" s="2" t="inlineStr">
        <is>
          <t>MDM + Compliance</t>
        </is>
      </c>
      <c r="J53" s="2" t="inlineStr">
        <is>
          <t>Rare</t>
        </is>
      </c>
      <c r="K53" s="2" t="inlineStr">
        <is>
          <t>Text</t>
        </is>
      </c>
      <c r="L53" s="2" t="inlineStr">
        <is>
          <t>USER</t>
        </is>
      </c>
    </row>
    <row r="54">
      <c r="A54" s="2" t="inlineStr">
        <is>
          <t>LKP_TRANSPORT_UNIT_TYPE</t>
        </is>
      </c>
      <c r="B54" s="2" t="inlineStr">
        <is>
          <t>TRANSPORT_UNIT_TYPE_NAME</t>
        </is>
      </c>
      <c r="C54" s="2" t="inlineStr">
        <is>
          <t>TEXT</t>
        </is>
      </c>
      <c r="D54" s="2" t="inlineStr">
        <is>
          <t>Y</t>
        </is>
      </c>
      <c r="E54" s="2" t="inlineStr">
        <is>
          <t>N</t>
        </is>
      </c>
      <c r="F54" s="2" t="inlineStr">
        <is>
          <t>N</t>
        </is>
      </c>
      <c r="G54" s="2" t="n"/>
      <c r="H54" s="2" t="inlineStr">
        <is>
          <t>Pallet / container / truck / …</t>
        </is>
      </c>
      <c r="I54" s="2" t="inlineStr">
        <is>
          <t>MDM + Compliance</t>
        </is>
      </c>
      <c r="J54" s="2" t="inlineStr">
        <is>
          <t>Rare</t>
        </is>
      </c>
      <c r="K54" s="2" t="inlineStr">
        <is>
          <t>Text</t>
        </is>
      </c>
      <c r="L54" s="2" t="inlineStr">
        <is>
          <t>USER</t>
        </is>
      </c>
    </row>
    <row r="55">
      <c r="A55" s="2" t="inlineStr">
        <is>
          <t>LKP_LINE_ROLE</t>
        </is>
      </c>
      <c r="B55" s="2" t="inlineStr">
        <is>
          <t>LINE_ROLE_ID</t>
        </is>
      </c>
      <c r="C55" s="2" t="inlineStr">
        <is>
          <t>INT</t>
        </is>
      </c>
      <c r="D55" s="2" t="inlineStr">
        <is>
          <t>Y</t>
        </is>
      </c>
      <c r="E55" s="2" t="inlineStr">
        <is>
          <t>Y</t>
        </is>
      </c>
      <c r="F55" s="2" t="inlineStr">
        <is>
          <t>N</t>
        </is>
      </c>
      <c r="G55" s="2" t="n"/>
      <c r="H55" s="2" t="inlineStr">
        <is>
          <t>Configuration line roles</t>
        </is>
      </c>
      <c r="I55" s="2" t="inlineStr">
        <is>
          <t>MDM + Compliance</t>
        </is>
      </c>
      <c r="J55" s="2" t="inlineStr">
        <is>
          <t>Rare</t>
        </is>
      </c>
      <c r="K55" s="2" t="inlineStr">
        <is>
          <t>PK unique; not blank when row used</t>
        </is>
      </c>
      <c r="L55" s="2" t="inlineStr">
        <is>
          <t>USER</t>
        </is>
      </c>
    </row>
    <row r="56">
      <c r="A56" s="2" t="inlineStr">
        <is>
          <t>LKP_LINE_ROLE</t>
        </is>
      </c>
      <c r="B56" s="2" t="inlineStr">
        <is>
          <t>LINE_ROLE_CODE</t>
        </is>
      </c>
      <c r="C56" s="2" t="inlineStr">
        <is>
          <t>TEXT</t>
        </is>
      </c>
      <c r="D56" s="2" t="inlineStr">
        <is>
          <t>Y</t>
        </is>
      </c>
      <c r="E56" s="2" t="inlineStr">
        <is>
          <t>N</t>
        </is>
      </c>
      <c r="F56" s="2" t="inlineStr">
        <is>
          <t>N</t>
        </is>
      </c>
      <c r="G56" s="2" t="n"/>
      <c r="H56" s="2" t="inlineStr">
        <is>
          <t>Configuration line roles</t>
        </is>
      </c>
      <c r="I56" s="2" t="inlineStr">
        <is>
          <t>MDM + Compliance</t>
        </is>
      </c>
      <c r="J56" s="2" t="inlineStr">
        <is>
          <t>Rare</t>
        </is>
      </c>
      <c r="K56" s="2" t="inlineStr">
        <is>
          <t>Text</t>
        </is>
      </c>
      <c r="L56" s="2" t="inlineStr">
        <is>
          <t>USER</t>
        </is>
      </c>
    </row>
    <row r="57">
      <c r="A57" s="2" t="inlineStr">
        <is>
          <t>LKP_LINE_ROLE</t>
        </is>
      </c>
      <c r="B57" s="2" t="inlineStr">
        <is>
          <t>LINE_ROLE_NAME</t>
        </is>
      </c>
      <c r="C57" s="2" t="inlineStr">
        <is>
          <t>TEXT</t>
        </is>
      </c>
      <c r="D57" s="2" t="inlineStr">
        <is>
          <t>Y</t>
        </is>
      </c>
      <c r="E57" s="2" t="inlineStr">
        <is>
          <t>N</t>
        </is>
      </c>
      <c r="F57" s="2" t="inlineStr">
        <is>
          <t>N</t>
        </is>
      </c>
      <c r="G57" s="2" t="n"/>
      <c r="H57" s="2" t="inlineStr">
        <is>
          <t>Configuration line roles</t>
        </is>
      </c>
      <c r="I57" s="2" t="inlineStr">
        <is>
          <t>MDM + Compliance</t>
        </is>
      </c>
      <c r="J57" s="2" t="inlineStr">
        <is>
          <t>Rare</t>
        </is>
      </c>
      <c r="K57" s="2" t="inlineStr">
        <is>
          <t>Text</t>
        </is>
      </c>
      <c r="L57" s="2" t="inlineStr">
        <is>
          <t>USER</t>
        </is>
      </c>
    </row>
    <row r="58">
      <c r="A58" s="2" t="inlineStr">
        <is>
          <t>LKP_PRODUCT_CATEGORY</t>
        </is>
      </c>
      <c r="B58" s="2" t="inlineStr">
        <is>
          <t>PRODUCT_CATEGORY_ID</t>
        </is>
      </c>
      <c r="C58" s="2" t="inlineStr">
        <is>
          <t>INT</t>
        </is>
      </c>
      <c r="D58" s="2" t="inlineStr">
        <is>
          <t>Y</t>
        </is>
      </c>
      <c r="E58" s="2" t="inlineStr">
        <is>
          <t>Y</t>
        </is>
      </c>
      <c r="F58" s="2" t="inlineStr">
        <is>
          <t>N</t>
        </is>
      </c>
      <c r="G58" s="2" t="n"/>
      <c r="H58" s="2" t="inlineStr">
        <is>
          <t>Starter / industrial battery category</t>
        </is>
      </c>
      <c r="I58" s="2" t="inlineStr">
        <is>
          <t>MDM + Compliance</t>
        </is>
      </c>
      <c r="J58" s="2" t="inlineStr">
        <is>
          <t>Rare</t>
        </is>
      </c>
      <c r="K58" s="2" t="inlineStr">
        <is>
          <t>PK unique; not blank when row used</t>
        </is>
      </c>
      <c r="L58" s="2" t="inlineStr">
        <is>
          <t>USER</t>
        </is>
      </c>
    </row>
    <row r="59">
      <c r="A59" s="2" t="inlineStr">
        <is>
          <t>LKP_PRODUCT_CATEGORY</t>
        </is>
      </c>
      <c r="B59" s="2" t="inlineStr">
        <is>
          <t>PRODUCT_CATEGORY_CODE</t>
        </is>
      </c>
      <c r="C59" s="2" t="inlineStr">
        <is>
          <t>TEXT</t>
        </is>
      </c>
      <c r="D59" s="2" t="inlineStr">
        <is>
          <t>Y</t>
        </is>
      </c>
      <c r="E59" s="2" t="inlineStr">
        <is>
          <t>N</t>
        </is>
      </c>
      <c r="F59" s="2" t="inlineStr">
        <is>
          <t>N</t>
        </is>
      </c>
      <c r="G59" s="2" t="n"/>
      <c r="H59" s="2" t="inlineStr">
        <is>
          <t>Starter / industrial battery category</t>
        </is>
      </c>
      <c r="I59" s="2" t="inlineStr">
        <is>
          <t>MDM + Compliance</t>
        </is>
      </c>
      <c r="J59" s="2" t="inlineStr">
        <is>
          <t>Rare</t>
        </is>
      </c>
      <c r="K59" s="2" t="inlineStr">
        <is>
          <t>Text</t>
        </is>
      </c>
      <c r="L59" s="2" t="inlineStr">
        <is>
          <t>USER</t>
        </is>
      </c>
    </row>
    <row r="60">
      <c r="A60" s="2" t="inlineStr">
        <is>
          <t>LKP_PRODUCT_CATEGORY</t>
        </is>
      </c>
      <c r="B60" s="2" t="inlineStr">
        <is>
          <t>PRODUCT_CATEGORY_NAME</t>
        </is>
      </c>
      <c r="C60" s="2" t="inlineStr">
        <is>
          <t>TEXT</t>
        </is>
      </c>
      <c r="D60" s="2" t="inlineStr">
        <is>
          <t>Y</t>
        </is>
      </c>
      <c r="E60" s="2" t="inlineStr">
        <is>
          <t>N</t>
        </is>
      </c>
      <c r="F60" s="2" t="inlineStr">
        <is>
          <t>N</t>
        </is>
      </c>
      <c r="G60" s="2" t="n"/>
      <c r="H60" s="2" t="inlineStr">
        <is>
          <t>Starter / industrial battery category</t>
        </is>
      </c>
      <c r="I60" s="2" t="inlineStr">
        <is>
          <t>MDM + Compliance</t>
        </is>
      </c>
      <c r="J60" s="2" t="inlineStr">
        <is>
          <t>Rare</t>
        </is>
      </c>
      <c r="K60" s="2" t="inlineStr">
        <is>
          <t>Text</t>
        </is>
      </c>
      <c r="L60" s="2" t="inlineStr">
        <is>
          <t>USER</t>
        </is>
      </c>
    </row>
    <row r="61">
      <c r="A61" s="2" t="inlineStr">
        <is>
          <t>LKP_COUNTRY</t>
        </is>
      </c>
      <c r="B61" s="2" t="inlineStr">
        <is>
          <t>COUNTRY_ID</t>
        </is>
      </c>
      <c r="C61" s="2" t="inlineStr">
        <is>
          <t>INT</t>
        </is>
      </c>
      <c r="D61" s="2" t="inlineStr">
        <is>
          <t>Y</t>
        </is>
      </c>
      <c r="E61" s="2" t="inlineStr">
        <is>
          <t>Y</t>
        </is>
      </c>
      <c r="F61" s="2" t="inlineStr">
        <is>
          <t>N</t>
        </is>
      </c>
      <c r="G61" s="2" t="n"/>
      <c r="H61" s="2" t="inlineStr">
        <is>
          <t>ISO countries + EU market flag</t>
        </is>
      </c>
      <c r="I61" s="2" t="inlineStr">
        <is>
          <t>MDM + Compliance</t>
        </is>
      </c>
      <c r="J61" s="2" t="inlineStr">
        <is>
          <t>Rare</t>
        </is>
      </c>
      <c r="K61" s="2" t="inlineStr">
        <is>
          <t>PK unique; not blank when row used</t>
        </is>
      </c>
      <c r="L61" s="2" t="inlineStr">
        <is>
          <t>USER</t>
        </is>
      </c>
    </row>
    <row r="62">
      <c r="A62" s="2" t="inlineStr">
        <is>
          <t>LKP_COUNTRY</t>
        </is>
      </c>
      <c r="B62" s="2" t="inlineStr">
        <is>
          <t>ISO2</t>
        </is>
      </c>
      <c r="C62" s="2" t="inlineStr">
        <is>
          <t>TEXT</t>
        </is>
      </c>
      <c r="D62" s="2" t="inlineStr">
        <is>
          <t>Y</t>
        </is>
      </c>
      <c r="E62" s="2" t="inlineStr">
        <is>
          <t>N</t>
        </is>
      </c>
      <c r="F62" s="2" t="inlineStr">
        <is>
          <t>N</t>
        </is>
      </c>
      <c r="G62" s="2" t="n"/>
      <c r="H62" s="2" t="inlineStr">
        <is>
          <t>ISO countries + EU market flag</t>
        </is>
      </c>
      <c r="I62" s="2" t="inlineStr">
        <is>
          <t>MDM + Compliance</t>
        </is>
      </c>
      <c r="J62" s="2" t="inlineStr">
        <is>
          <t>Rare</t>
        </is>
      </c>
      <c r="K62" s="2" t="inlineStr">
        <is>
          <t>Text</t>
        </is>
      </c>
      <c r="L62" s="2" t="inlineStr">
        <is>
          <t>USER</t>
        </is>
      </c>
    </row>
    <row r="63">
      <c r="A63" s="2" t="inlineStr">
        <is>
          <t>LKP_COUNTRY</t>
        </is>
      </c>
      <c r="B63" s="2" t="inlineStr">
        <is>
          <t>ISO3</t>
        </is>
      </c>
      <c r="C63" s="2" t="inlineStr">
        <is>
          <t>TEXT</t>
        </is>
      </c>
      <c r="D63" s="2" t="inlineStr">
        <is>
          <t>Y</t>
        </is>
      </c>
      <c r="E63" s="2" t="inlineStr">
        <is>
          <t>N</t>
        </is>
      </c>
      <c r="F63" s="2" t="inlineStr">
        <is>
          <t>N</t>
        </is>
      </c>
      <c r="G63" s="2" t="n"/>
      <c r="H63" s="2" t="inlineStr">
        <is>
          <t>ISO countries + EU market flag</t>
        </is>
      </c>
      <c r="I63" s="2" t="inlineStr">
        <is>
          <t>MDM + Compliance</t>
        </is>
      </c>
      <c r="J63" s="2" t="inlineStr">
        <is>
          <t>Rare</t>
        </is>
      </c>
      <c r="K63" s="2" t="inlineStr">
        <is>
          <t>Text</t>
        </is>
      </c>
      <c r="L63" s="2" t="inlineStr">
        <is>
          <t>USER</t>
        </is>
      </c>
    </row>
    <row r="64">
      <c r="A64" s="2" t="inlineStr">
        <is>
          <t>LKP_COUNTRY</t>
        </is>
      </c>
      <c r="B64" s="2" t="inlineStr">
        <is>
          <t>COUNTRY_NAME</t>
        </is>
      </c>
      <c r="C64" s="2" t="inlineStr">
        <is>
          <t>TEXT</t>
        </is>
      </c>
      <c r="D64" s="2" t="inlineStr">
        <is>
          <t>Y</t>
        </is>
      </c>
      <c r="E64" s="2" t="inlineStr">
        <is>
          <t>N</t>
        </is>
      </c>
      <c r="F64" s="2" t="inlineStr">
        <is>
          <t>N</t>
        </is>
      </c>
      <c r="G64" s="2" t="n"/>
      <c r="H64" s="2" t="inlineStr">
        <is>
          <t>ISO countries + EU market flag</t>
        </is>
      </c>
      <c r="I64" s="2" t="inlineStr">
        <is>
          <t>MDM + Compliance</t>
        </is>
      </c>
      <c r="J64" s="2" t="inlineStr">
        <is>
          <t>Rare</t>
        </is>
      </c>
      <c r="K64" s="2" t="inlineStr">
        <is>
          <t>Text</t>
        </is>
      </c>
      <c r="L64" s="2" t="inlineStr">
        <is>
          <t>USER</t>
        </is>
      </c>
    </row>
    <row r="65">
      <c r="A65" s="2" t="inlineStr">
        <is>
          <t>LKP_COUNTRY</t>
        </is>
      </c>
      <c r="B65" s="2" t="inlineStr">
        <is>
          <t>IS_EU_MARKET</t>
        </is>
      </c>
      <c r="C65" s="2" t="inlineStr">
        <is>
          <t>BOOL</t>
        </is>
      </c>
      <c r="D65" s="2" t="inlineStr">
        <is>
          <t>Y</t>
        </is>
      </c>
      <c r="E65" s="2" t="inlineStr">
        <is>
          <t>N</t>
        </is>
      </c>
      <c r="F65" s="2" t="inlineStr">
        <is>
          <t>N</t>
        </is>
      </c>
      <c r="G65" s="2" t="n"/>
      <c r="H65" s="2" t="inlineStr">
        <is>
          <t>ISO countries + EU market flag</t>
        </is>
      </c>
      <c r="I65" s="2" t="inlineStr">
        <is>
          <t>MDM + Compliance</t>
        </is>
      </c>
      <c r="J65" s="2" t="inlineStr">
        <is>
          <t>Rare</t>
        </is>
      </c>
      <c r="K65" s="2" t="inlineStr">
        <is>
          <t>TRUE/FALSE</t>
        </is>
      </c>
      <c r="L65" s="2" t="inlineStr">
        <is>
          <t>USER</t>
        </is>
      </c>
    </row>
    <row r="66">
      <c r="A66" s="2" t="inlineStr">
        <is>
          <t>LKP_TRANSPORT_MODE</t>
        </is>
      </c>
      <c r="B66" s="2" t="inlineStr">
        <is>
          <t>TRANSPORT_MODE_ID</t>
        </is>
      </c>
      <c r="C66" s="2" t="inlineStr">
        <is>
          <t>INT</t>
        </is>
      </c>
      <c r="D66" s="2" t="inlineStr">
        <is>
          <t>Y</t>
        </is>
      </c>
      <c r="E66" s="2" t="inlineStr">
        <is>
          <t>Y</t>
        </is>
      </c>
      <c r="F66" s="2" t="inlineStr">
        <is>
          <t>N</t>
        </is>
      </c>
      <c r="G66" s="2" t="n"/>
      <c r="H66" s="2" t="inlineStr">
        <is>
          <t>Transport modes</t>
        </is>
      </c>
      <c r="I66" s="2" t="inlineStr">
        <is>
          <t>MDM + Compliance</t>
        </is>
      </c>
      <c r="J66" s="2" t="inlineStr">
        <is>
          <t>Rare</t>
        </is>
      </c>
      <c r="K66" s="2" t="inlineStr">
        <is>
          <t>PK unique; not blank when row used</t>
        </is>
      </c>
      <c r="L66" s="2" t="inlineStr">
        <is>
          <t>USER</t>
        </is>
      </c>
    </row>
    <row r="67">
      <c r="A67" s="2" t="inlineStr">
        <is>
          <t>LKP_TRANSPORT_MODE</t>
        </is>
      </c>
      <c r="B67" s="2" t="inlineStr">
        <is>
          <t>TRANSPORT_MODE_CODE</t>
        </is>
      </c>
      <c r="C67" s="2" t="inlineStr">
        <is>
          <t>TEXT</t>
        </is>
      </c>
      <c r="D67" s="2" t="inlineStr">
        <is>
          <t>Y</t>
        </is>
      </c>
      <c r="E67" s="2" t="inlineStr">
        <is>
          <t>N</t>
        </is>
      </c>
      <c r="F67" s="2" t="inlineStr">
        <is>
          <t>N</t>
        </is>
      </c>
      <c r="G67" s="2" t="n"/>
      <c r="H67" s="2" t="inlineStr">
        <is>
          <t>Transport modes</t>
        </is>
      </c>
      <c r="I67" s="2" t="inlineStr">
        <is>
          <t>MDM + Compliance</t>
        </is>
      </c>
      <c r="J67" s="2" t="inlineStr">
        <is>
          <t>Rare</t>
        </is>
      </c>
      <c r="K67" s="2" t="inlineStr">
        <is>
          <t>Text</t>
        </is>
      </c>
      <c r="L67" s="2" t="inlineStr">
        <is>
          <t>USER</t>
        </is>
      </c>
    </row>
    <row r="68">
      <c r="A68" s="2" t="inlineStr">
        <is>
          <t>LKP_TRANSPORT_MODE</t>
        </is>
      </c>
      <c r="B68" s="2" t="inlineStr">
        <is>
          <t>TRANSPORT_MODE_NAME</t>
        </is>
      </c>
      <c r="C68" s="2" t="inlineStr">
        <is>
          <t>TEXT</t>
        </is>
      </c>
      <c r="D68" s="2" t="inlineStr">
        <is>
          <t>Y</t>
        </is>
      </c>
      <c r="E68" s="2" t="inlineStr">
        <is>
          <t>N</t>
        </is>
      </c>
      <c r="F68" s="2" t="inlineStr">
        <is>
          <t>N</t>
        </is>
      </c>
      <c r="G68" s="2" t="n"/>
      <c r="H68" s="2" t="inlineStr">
        <is>
          <t>Transport modes</t>
        </is>
      </c>
      <c r="I68" s="2" t="inlineStr">
        <is>
          <t>MDM + Compliance</t>
        </is>
      </c>
      <c r="J68" s="2" t="inlineStr">
        <is>
          <t>Rare</t>
        </is>
      </c>
      <c r="K68" s="2" t="inlineStr">
        <is>
          <t>Text</t>
        </is>
      </c>
      <c r="L68" s="2" t="inlineStr">
        <is>
          <t>USER</t>
        </is>
      </c>
    </row>
    <row r="69">
      <c r="A69" s="2" t="inlineStr">
        <is>
          <t>LKP_INCOTERM</t>
        </is>
      </c>
      <c r="B69" s="2" t="inlineStr">
        <is>
          <t>INCOTERM_ID</t>
        </is>
      </c>
      <c r="C69" s="2" t="inlineStr">
        <is>
          <t>INT</t>
        </is>
      </c>
      <c r="D69" s="2" t="inlineStr">
        <is>
          <t>Y</t>
        </is>
      </c>
      <c r="E69" s="2" t="inlineStr">
        <is>
          <t>Y</t>
        </is>
      </c>
      <c r="F69" s="2" t="inlineStr">
        <is>
          <t>N</t>
        </is>
      </c>
      <c r="G69" s="2" t="n"/>
      <c r="H69" s="2" t="inlineStr">
        <is>
          <t>Incoterms</t>
        </is>
      </c>
      <c r="I69" s="2" t="inlineStr">
        <is>
          <t>MDM + Compliance</t>
        </is>
      </c>
      <c r="J69" s="2" t="inlineStr">
        <is>
          <t>Rare</t>
        </is>
      </c>
      <c r="K69" s="2" t="inlineStr">
        <is>
          <t>PK unique; not blank when row used</t>
        </is>
      </c>
      <c r="L69" s="2" t="inlineStr">
        <is>
          <t>USER</t>
        </is>
      </c>
    </row>
    <row r="70">
      <c r="A70" s="2" t="inlineStr">
        <is>
          <t>LKP_INCOTERM</t>
        </is>
      </c>
      <c r="B70" s="2" t="inlineStr">
        <is>
          <t>INCOTERM_CODE</t>
        </is>
      </c>
      <c r="C70" s="2" t="inlineStr">
        <is>
          <t>TEXT</t>
        </is>
      </c>
      <c r="D70" s="2" t="inlineStr">
        <is>
          <t>Y</t>
        </is>
      </c>
      <c r="E70" s="2" t="inlineStr">
        <is>
          <t>N</t>
        </is>
      </c>
      <c r="F70" s="2" t="inlineStr">
        <is>
          <t>N</t>
        </is>
      </c>
      <c r="G70" s="2" t="n"/>
      <c r="H70" s="2" t="inlineStr">
        <is>
          <t>Incoterms</t>
        </is>
      </c>
      <c r="I70" s="2" t="inlineStr">
        <is>
          <t>MDM + Compliance</t>
        </is>
      </c>
      <c r="J70" s="2" t="inlineStr">
        <is>
          <t>Rare</t>
        </is>
      </c>
      <c r="K70" s="2" t="inlineStr">
        <is>
          <t>Text</t>
        </is>
      </c>
      <c r="L70" s="2" t="inlineStr">
        <is>
          <t>USER</t>
        </is>
      </c>
    </row>
    <row r="71">
      <c r="A71" s="2" t="inlineStr">
        <is>
          <t>LKP_INCOTERM</t>
        </is>
      </c>
      <c r="B71" s="2" t="inlineStr">
        <is>
          <t>INCOTERM_NAME</t>
        </is>
      </c>
      <c r="C71" s="2" t="inlineStr">
        <is>
          <t>TEXT</t>
        </is>
      </c>
      <c r="D71" s="2" t="inlineStr">
        <is>
          <t>Y</t>
        </is>
      </c>
      <c r="E71" s="2" t="inlineStr">
        <is>
          <t>N</t>
        </is>
      </c>
      <c r="F71" s="2" t="inlineStr">
        <is>
          <t>N</t>
        </is>
      </c>
      <c r="G71" s="2" t="n"/>
      <c r="H71" s="2" t="inlineStr">
        <is>
          <t>Incoterms</t>
        </is>
      </c>
      <c r="I71" s="2" t="inlineStr">
        <is>
          <t>MDM + Compliance</t>
        </is>
      </c>
      <c r="J71" s="2" t="inlineStr">
        <is>
          <t>Rare</t>
        </is>
      </c>
      <c r="K71" s="2" t="inlineStr">
        <is>
          <t>Text</t>
        </is>
      </c>
      <c r="L71" s="2" t="inlineStr">
        <is>
          <t>USER</t>
        </is>
      </c>
    </row>
    <row r="72">
      <c r="A72" s="2" t="inlineStr">
        <is>
          <t>LKP_STATEMENT_TYPE</t>
        </is>
      </c>
      <c r="B72" s="2" t="inlineStr">
        <is>
          <t>STATEMENT_TYPE_ID</t>
        </is>
      </c>
      <c r="C72" s="2" t="inlineStr">
        <is>
          <t>INT</t>
        </is>
      </c>
      <c r="D72" s="2" t="inlineStr">
        <is>
          <t>Y</t>
        </is>
      </c>
      <c r="E72" s="2" t="inlineStr">
        <is>
          <t>Y</t>
        </is>
      </c>
      <c r="F72" s="2" t="inlineStr">
        <is>
          <t>N</t>
        </is>
      </c>
      <c r="G72" s="2" t="n"/>
      <c r="H72" s="2" t="inlineStr">
        <is>
          <t>Statement types</t>
        </is>
      </c>
      <c r="I72" s="2" t="inlineStr">
        <is>
          <t>MDM + Compliance</t>
        </is>
      </c>
      <c r="J72" s="2" t="inlineStr">
        <is>
          <t>Rare</t>
        </is>
      </c>
      <c r="K72" s="2" t="inlineStr">
        <is>
          <t>PK unique; not blank when row used</t>
        </is>
      </c>
      <c r="L72" s="2" t="inlineStr">
        <is>
          <t>USER</t>
        </is>
      </c>
    </row>
    <row r="73">
      <c r="A73" s="2" t="inlineStr">
        <is>
          <t>LKP_STATEMENT_TYPE</t>
        </is>
      </c>
      <c r="B73" s="2" t="inlineStr">
        <is>
          <t>STATEMENT_TYPE_CODE</t>
        </is>
      </c>
      <c r="C73" s="2" t="inlineStr">
        <is>
          <t>TEXT</t>
        </is>
      </c>
      <c r="D73" s="2" t="inlineStr">
        <is>
          <t>Y</t>
        </is>
      </c>
      <c r="E73" s="2" t="inlineStr">
        <is>
          <t>N</t>
        </is>
      </c>
      <c r="F73" s="2" t="inlineStr">
        <is>
          <t>N</t>
        </is>
      </c>
      <c r="G73" s="2" t="n"/>
      <c r="H73" s="2" t="inlineStr">
        <is>
          <t>Statement types</t>
        </is>
      </c>
      <c r="I73" s="2" t="inlineStr">
        <is>
          <t>MDM + Compliance</t>
        </is>
      </c>
      <c r="J73" s="2" t="inlineStr">
        <is>
          <t>Rare</t>
        </is>
      </c>
      <c r="K73" s="2" t="inlineStr">
        <is>
          <t>Text</t>
        </is>
      </c>
      <c r="L73" s="2" t="inlineStr">
        <is>
          <t>USER</t>
        </is>
      </c>
    </row>
    <row r="74">
      <c r="A74" s="2" t="inlineStr">
        <is>
          <t>LKP_STATEMENT_TYPE</t>
        </is>
      </c>
      <c r="B74" s="2" t="inlineStr">
        <is>
          <t>STATEMENT_TYPE_NAME</t>
        </is>
      </c>
      <c r="C74" s="2" t="inlineStr">
        <is>
          <t>TEXT</t>
        </is>
      </c>
      <c r="D74" s="2" t="inlineStr">
        <is>
          <t>Y</t>
        </is>
      </c>
      <c r="E74" s="2" t="inlineStr">
        <is>
          <t>N</t>
        </is>
      </c>
      <c r="F74" s="2" t="inlineStr">
        <is>
          <t>N</t>
        </is>
      </c>
      <c r="G74" s="2" t="n"/>
      <c r="H74" s="2" t="inlineStr">
        <is>
          <t>Statement types</t>
        </is>
      </c>
      <c r="I74" s="2" t="inlineStr">
        <is>
          <t>MDM + Compliance</t>
        </is>
      </c>
      <c r="J74" s="2" t="inlineStr">
        <is>
          <t>Rare</t>
        </is>
      </c>
      <c r="K74" s="2" t="inlineStr">
        <is>
          <t>Text</t>
        </is>
      </c>
      <c r="L74" s="2" t="inlineStr">
        <is>
          <t>USER</t>
        </is>
      </c>
    </row>
    <row r="75">
      <c r="A75" s="2" t="inlineStr">
        <is>
          <t>LKP_DOCUMENT_TYPE</t>
        </is>
      </c>
      <c r="B75" s="2" t="inlineStr">
        <is>
          <t>DOCUMENT_TYPE_ID</t>
        </is>
      </c>
      <c r="C75" s="2" t="inlineStr">
        <is>
          <t>INT</t>
        </is>
      </c>
      <c r="D75" s="2" t="inlineStr">
        <is>
          <t>Y</t>
        </is>
      </c>
      <c r="E75" s="2" t="inlineStr">
        <is>
          <t>Y</t>
        </is>
      </c>
      <c r="F75" s="2" t="inlineStr">
        <is>
          <t>N</t>
        </is>
      </c>
      <c r="G75" s="2" t="n"/>
      <c r="H75" s="2" t="inlineStr">
        <is>
          <t>Document types</t>
        </is>
      </c>
      <c r="I75" s="2" t="inlineStr">
        <is>
          <t>MDM + Compliance</t>
        </is>
      </c>
      <c r="J75" s="2" t="inlineStr">
        <is>
          <t>Rare</t>
        </is>
      </c>
      <c r="K75" s="2" t="inlineStr">
        <is>
          <t>PK unique; not blank when row used</t>
        </is>
      </c>
      <c r="L75" s="2" t="inlineStr">
        <is>
          <t>USER</t>
        </is>
      </c>
    </row>
    <row r="76">
      <c r="A76" s="2" t="inlineStr">
        <is>
          <t>LKP_DOCUMENT_TYPE</t>
        </is>
      </c>
      <c r="B76" s="2" t="inlineStr">
        <is>
          <t>DOCUMENT_TYPE_CODE</t>
        </is>
      </c>
      <c r="C76" s="2" t="inlineStr">
        <is>
          <t>TEXT</t>
        </is>
      </c>
      <c r="D76" s="2" t="inlineStr">
        <is>
          <t>Y</t>
        </is>
      </c>
      <c r="E76" s="2" t="inlineStr">
        <is>
          <t>N</t>
        </is>
      </c>
      <c r="F76" s="2" t="inlineStr">
        <is>
          <t>N</t>
        </is>
      </c>
      <c r="G76" s="2" t="n"/>
      <c r="H76" s="2" t="inlineStr">
        <is>
          <t>Document types</t>
        </is>
      </c>
      <c r="I76" s="2" t="inlineStr">
        <is>
          <t>MDM + Compliance</t>
        </is>
      </c>
      <c r="J76" s="2" t="inlineStr">
        <is>
          <t>Rare</t>
        </is>
      </c>
      <c r="K76" s="2" t="inlineStr">
        <is>
          <t>Text</t>
        </is>
      </c>
      <c r="L76" s="2" t="inlineStr">
        <is>
          <t>USER</t>
        </is>
      </c>
    </row>
    <row r="77">
      <c r="A77" s="2" t="inlineStr">
        <is>
          <t>LKP_DOCUMENT_TYPE</t>
        </is>
      </c>
      <c r="B77" s="2" t="inlineStr">
        <is>
          <t>DOCUMENT_TYPE_NAME</t>
        </is>
      </c>
      <c r="C77" s="2" t="inlineStr">
        <is>
          <t>TEXT</t>
        </is>
      </c>
      <c r="D77" s="2" t="inlineStr">
        <is>
          <t>Y</t>
        </is>
      </c>
      <c r="E77" s="2" t="inlineStr">
        <is>
          <t>N</t>
        </is>
      </c>
      <c r="F77" s="2" t="inlineStr">
        <is>
          <t>N</t>
        </is>
      </c>
      <c r="G77" s="2" t="n"/>
      <c r="H77" s="2" t="inlineStr">
        <is>
          <t>Document types</t>
        </is>
      </c>
      <c r="I77" s="2" t="inlineStr">
        <is>
          <t>MDM + Compliance</t>
        </is>
      </c>
      <c r="J77" s="2" t="inlineStr">
        <is>
          <t>Rare</t>
        </is>
      </c>
      <c r="K77" s="2" t="inlineStr">
        <is>
          <t>Text</t>
        </is>
      </c>
      <c r="L77" s="2" t="inlineStr">
        <is>
          <t>USER</t>
        </is>
      </c>
    </row>
    <row r="78">
      <c r="A78" s="2" t="inlineStr">
        <is>
          <t>LKP_SCENARIO_TYPE</t>
        </is>
      </c>
      <c r="B78" s="2" t="inlineStr">
        <is>
          <t>SCENARIO_TYPE_ID</t>
        </is>
      </c>
      <c r="C78" s="2" t="inlineStr">
        <is>
          <t>INT</t>
        </is>
      </c>
      <c r="D78" s="2" t="inlineStr">
        <is>
          <t>Y</t>
        </is>
      </c>
      <c r="E78" s="2" t="inlineStr">
        <is>
          <t>Y</t>
        </is>
      </c>
      <c r="F78" s="2" t="inlineStr">
        <is>
          <t>N</t>
        </is>
      </c>
      <c r="G78" s="2" t="n"/>
      <c r="H78" s="2" t="inlineStr">
        <is>
          <t>Commercial scenario types</t>
        </is>
      </c>
      <c r="I78" s="2" t="inlineStr">
        <is>
          <t>MDM + Compliance</t>
        </is>
      </c>
      <c r="J78" s="2" t="inlineStr">
        <is>
          <t>Rare</t>
        </is>
      </c>
      <c r="K78" s="2" t="inlineStr">
        <is>
          <t>PK unique; not blank when row used</t>
        </is>
      </c>
      <c r="L78" s="2" t="inlineStr">
        <is>
          <t>USER</t>
        </is>
      </c>
    </row>
    <row r="79">
      <c r="A79" s="2" t="inlineStr">
        <is>
          <t>LKP_SCENARIO_TYPE</t>
        </is>
      </c>
      <c r="B79" s="2" t="inlineStr">
        <is>
          <t>SCENARIO_TYPE_CODE</t>
        </is>
      </c>
      <c r="C79" s="2" t="inlineStr">
        <is>
          <t>TEXT</t>
        </is>
      </c>
      <c r="D79" s="2" t="inlineStr">
        <is>
          <t>Y</t>
        </is>
      </c>
      <c r="E79" s="2" t="inlineStr">
        <is>
          <t>N</t>
        </is>
      </c>
      <c r="F79" s="2" t="inlineStr">
        <is>
          <t>N</t>
        </is>
      </c>
      <c r="G79" s="2" t="n"/>
      <c r="H79" s="2" t="inlineStr">
        <is>
          <t>Commercial scenario types</t>
        </is>
      </c>
      <c r="I79" s="2" t="inlineStr">
        <is>
          <t>MDM + Compliance</t>
        </is>
      </c>
      <c r="J79" s="2" t="inlineStr">
        <is>
          <t>Rare</t>
        </is>
      </c>
      <c r="K79" s="2" t="inlineStr">
        <is>
          <t>Text</t>
        </is>
      </c>
      <c r="L79" s="2" t="inlineStr">
        <is>
          <t>USER</t>
        </is>
      </c>
    </row>
    <row r="80">
      <c r="A80" s="2" t="inlineStr">
        <is>
          <t>LKP_SCENARIO_TYPE</t>
        </is>
      </c>
      <c r="B80" s="2" t="inlineStr">
        <is>
          <t>SCENARIO_TYPE_NAME</t>
        </is>
      </c>
      <c r="C80" s="2" t="inlineStr">
        <is>
          <t>TEXT</t>
        </is>
      </c>
      <c r="D80" s="2" t="inlineStr">
        <is>
          <t>Y</t>
        </is>
      </c>
      <c r="E80" s="2" t="inlineStr">
        <is>
          <t>N</t>
        </is>
      </c>
      <c r="F80" s="2" t="inlineStr">
        <is>
          <t>N</t>
        </is>
      </c>
      <c r="G80" s="2" t="n"/>
      <c r="H80" s="2" t="inlineStr">
        <is>
          <t>Commercial scenario types</t>
        </is>
      </c>
      <c r="I80" s="2" t="inlineStr">
        <is>
          <t>MDM + Compliance</t>
        </is>
      </c>
      <c r="J80" s="2" t="inlineStr">
        <is>
          <t>Rare</t>
        </is>
      </c>
      <c r="K80" s="2" t="inlineStr">
        <is>
          <t>Text</t>
        </is>
      </c>
      <c r="L80" s="2" t="inlineStr">
        <is>
          <t>USER</t>
        </is>
      </c>
    </row>
    <row r="81">
      <c r="A81" s="2" t="inlineStr">
        <is>
          <t>LEGAL_ENTITY</t>
        </is>
      </c>
      <c r="B81" s="2" t="inlineStr">
        <is>
          <t>LEGAL_ENTITY_ID</t>
        </is>
      </c>
      <c r="C81" s="2" t="inlineStr">
        <is>
          <t>INT</t>
        </is>
      </c>
      <c r="D81" s="2" t="inlineStr">
        <is>
          <t>Y</t>
        </is>
      </c>
      <c r="E81" s="2" t="inlineStr">
        <is>
          <t>Y</t>
        </is>
      </c>
      <c r="F81" s="2" t="inlineStr">
        <is>
          <t>N</t>
        </is>
      </c>
      <c r="G81" s="2" t="n"/>
      <c r="H81" s="2" t="inlineStr">
        <is>
          <t>Company / economic operator issuing DoCs</t>
        </is>
      </c>
      <c r="I81" s="2" t="inlineStr">
        <is>
          <t>Finance / Legal / MDM</t>
        </is>
      </c>
      <c r="J81" s="2" t="inlineStr">
        <is>
          <t>Rare</t>
        </is>
      </c>
      <c r="K81" s="2" t="inlineStr">
        <is>
          <t>PK unique; not blank when row used</t>
        </is>
      </c>
      <c r="L81" s="2" t="inlineStr">
        <is>
          <t>USER</t>
        </is>
      </c>
    </row>
    <row r="82">
      <c r="A82" s="2" t="inlineStr">
        <is>
          <t>LEGAL_ENTITY</t>
        </is>
      </c>
      <c r="B82" s="2" t="inlineStr">
        <is>
          <t>LEGAL_ENTITY_CODE</t>
        </is>
      </c>
      <c r="C82" s="2" t="inlineStr">
        <is>
          <t>TEXT</t>
        </is>
      </c>
      <c r="D82" s="2" t="inlineStr">
        <is>
          <t>Y</t>
        </is>
      </c>
      <c r="E82" s="2" t="inlineStr">
        <is>
          <t>N</t>
        </is>
      </c>
      <c r="F82" s="2" t="inlineStr">
        <is>
          <t>N</t>
        </is>
      </c>
      <c r="G82" s="2" t="n"/>
      <c r="H82" s="2" t="inlineStr">
        <is>
          <t>Company / economic operator issuing DoCs</t>
        </is>
      </c>
      <c r="I82" s="2" t="inlineStr">
        <is>
          <t>Finance / Legal / MDM</t>
        </is>
      </c>
      <c r="J82" s="2" t="inlineStr">
        <is>
          <t>Rare</t>
        </is>
      </c>
      <c r="K82" s="2" t="inlineStr">
        <is>
          <t>Text</t>
        </is>
      </c>
      <c r="L82" s="2" t="inlineStr">
        <is>
          <t>USER</t>
        </is>
      </c>
    </row>
    <row r="83">
      <c r="A83" s="2" t="inlineStr">
        <is>
          <t>LEGAL_ENTITY</t>
        </is>
      </c>
      <c r="B83" s="2" t="inlineStr">
        <is>
          <t>LEGAL_ENTITY_NAME</t>
        </is>
      </c>
      <c r="C83" s="2" t="inlineStr">
        <is>
          <t>TEXT</t>
        </is>
      </c>
      <c r="D83" s="2" t="inlineStr">
        <is>
          <t>Y</t>
        </is>
      </c>
      <c r="E83" s="2" t="inlineStr">
        <is>
          <t>N</t>
        </is>
      </c>
      <c r="F83" s="2" t="inlineStr">
        <is>
          <t>N</t>
        </is>
      </c>
      <c r="G83" s="2" t="n"/>
      <c r="H83" s="2" t="inlineStr">
        <is>
          <t>Company / economic operator issuing DoCs</t>
        </is>
      </c>
      <c r="I83" s="2" t="inlineStr">
        <is>
          <t>Finance / Legal / MDM</t>
        </is>
      </c>
      <c r="J83" s="2" t="inlineStr">
        <is>
          <t>Rare</t>
        </is>
      </c>
      <c r="K83" s="2" t="inlineStr">
        <is>
          <t>Text</t>
        </is>
      </c>
      <c r="L83" s="2" t="inlineStr">
        <is>
          <t>USER</t>
        </is>
      </c>
    </row>
    <row r="84">
      <c r="A84" s="2" t="inlineStr">
        <is>
          <t>LEGAL_ENTITY</t>
        </is>
      </c>
      <c r="B84" s="2" t="inlineStr">
        <is>
          <t>COUNTRY_ID</t>
        </is>
      </c>
      <c r="C84" s="2" t="inlineStr">
        <is>
          <t>INT</t>
        </is>
      </c>
      <c r="D84" s="2" t="inlineStr">
        <is>
          <t>Y</t>
        </is>
      </c>
      <c r="E84" s="2" t="inlineStr">
        <is>
          <t>N</t>
        </is>
      </c>
      <c r="F84" s="2" t="inlineStr">
        <is>
          <t>Y</t>
        </is>
      </c>
      <c r="G84" s="2" t="inlineStr">
        <is>
          <t>LKP_COUNTRY</t>
        </is>
      </c>
      <c r="H84" s="2" t="inlineStr">
        <is>
          <t>Company / economic operator issuing DoCs</t>
        </is>
      </c>
      <c r="I84" s="2" t="inlineStr">
        <is>
          <t>Finance / Legal / MDM</t>
        </is>
      </c>
      <c r="J84" s="2" t="inlineStr">
        <is>
          <t>Rare</t>
        </is>
      </c>
      <c r="K84" s="2" t="inlineStr">
        <is>
          <t>Lookup list → LKP_COUNTRY</t>
        </is>
      </c>
      <c r="L84" s="2" t="inlineStr">
        <is>
          <t>USER</t>
        </is>
      </c>
    </row>
    <row r="85">
      <c r="A85" s="2" t="inlineStr">
        <is>
          <t>LEGAL_ENTITY</t>
        </is>
      </c>
      <c r="B85" s="2" t="inlineStr">
        <is>
          <t>STATUS_ID</t>
        </is>
      </c>
      <c r="C85" s="2" t="inlineStr">
        <is>
          <t>INT</t>
        </is>
      </c>
      <c r="D85" s="2" t="inlineStr">
        <is>
          <t>Y</t>
        </is>
      </c>
      <c r="E85" s="2" t="inlineStr">
        <is>
          <t>N</t>
        </is>
      </c>
      <c r="F85" s="2" t="inlineStr">
        <is>
          <t>Y</t>
        </is>
      </c>
      <c r="G85" s="2" t="inlineStr">
        <is>
          <t>LKP_STATUS</t>
        </is>
      </c>
      <c r="H85" s="2" t="inlineStr">
        <is>
          <t>Company / economic operator issuing DoCs</t>
        </is>
      </c>
      <c r="I85" s="2" t="inlineStr">
        <is>
          <t>Finance / Legal / MDM</t>
        </is>
      </c>
      <c r="J85" s="2" t="inlineStr">
        <is>
          <t>Rare</t>
        </is>
      </c>
      <c r="K85" s="2" t="inlineStr">
        <is>
          <t>Lookup list → LKP_STATUS</t>
        </is>
      </c>
      <c r="L85" s="2" t="inlineStr">
        <is>
          <t>USER</t>
        </is>
      </c>
    </row>
    <row r="86">
      <c r="A86" s="2" t="inlineStr">
        <is>
          <t>LEGAL_ENTITY</t>
        </is>
      </c>
      <c r="B86" s="2" t="inlineStr">
        <is>
          <t>NOTES</t>
        </is>
      </c>
      <c r="C86" s="2" t="inlineStr">
        <is>
          <t>TEXT</t>
        </is>
      </c>
      <c r="D86" s="2" t="inlineStr">
        <is>
          <t>N</t>
        </is>
      </c>
      <c r="E86" s="2" t="inlineStr">
        <is>
          <t>N</t>
        </is>
      </c>
      <c r="F86" s="2" t="inlineStr">
        <is>
          <t>N</t>
        </is>
      </c>
      <c r="G86" s="2" t="n"/>
      <c r="H86" s="2" t="inlineStr">
        <is>
          <t>Company / economic operator issuing DoCs</t>
        </is>
      </c>
      <c r="I86" s="2" t="inlineStr">
        <is>
          <t>Finance / Legal / MDM</t>
        </is>
      </c>
      <c r="J86" s="2" t="inlineStr">
        <is>
          <t>Rare</t>
        </is>
      </c>
      <c r="K86" s="2" t="inlineStr">
        <is>
          <t>Text</t>
        </is>
      </c>
      <c r="L86" s="2" t="inlineStr">
        <is>
          <t>USER</t>
        </is>
      </c>
    </row>
    <row r="87">
      <c r="A87" s="2" t="inlineStr">
        <is>
          <t>PERSON</t>
        </is>
      </c>
      <c r="B87" s="2" t="inlineStr">
        <is>
          <t>PERSON_ID</t>
        </is>
      </c>
      <c r="C87" s="2" t="inlineStr">
        <is>
          <t>INT</t>
        </is>
      </c>
      <c r="D87" s="2" t="inlineStr">
        <is>
          <t>Y</t>
        </is>
      </c>
      <c r="E87" s="2" t="inlineStr">
        <is>
          <t>Y</t>
        </is>
      </c>
      <c r="F87" s="2" t="inlineStr">
        <is>
          <t>N</t>
        </is>
      </c>
      <c r="G87" s="2" t="n"/>
      <c r="H87" s="2" t="inlineStr">
        <is>
          <t>Approvers and DoC responsible persons</t>
        </is>
      </c>
      <c r="I87" s="2" t="inlineStr">
        <is>
          <t>HR / Compliance</t>
        </is>
      </c>
      <c r="J87" s="2" t="inlineStr">
        <is>
          <t>Occasional</t>
        </is>
      </c>
      <c r="K87" s="2" t="inlineStr">
        <is>
          <t>PK unique; not blank when row used</t>
        </is>
      </c>
      <c r="L87" s="2" t="inlineStr">
        <is>
          <t>USER</t>
        </is>
      </c>
    </row>
    <row r="88">
      <c r="A88" s="2" t="inlineStr">
        <is>
          <t>PERSON</t>
        </is>
      </c>
      <c r="B88" s="2" t="inlineStr">
        <is>
          <t>PERSON_CODE</t>
        </is>
      </c>
      <c r="C88" s="2" t="inlineStr">
        <is>
          <t>TEXT</t>
        </is>
      </c>
      <c r="D88" s="2" t="inlineStr">
        <is>
          <t>Y</t>
        </is>
      </c>
      <c r="E88" s="2" t="inlineStr">
        <is>
          <t>N</t>
        </is>
      </c>
      <c r="F88" s="2" t="inlineStr">
        <is>
          <t>N</t>
        </is>
      </c>
      <c r="G88" s="2" t="n"/>
      <c r="H88" s="2" t="inlineStr">
        <is>
          <t>Approvers and DoC responsible persons</t>
        </is>
      </c>
      <c r="I88" s="2" t="inlineStr">
        <is>
          <t>HR / Compliance</t>
        </is>
      </c>
      <c r="J88" s="2" t="inlineStr">
        <is>
          <t>Occasional</t>
        </is>
      </c>
      <c r="K88" s="2" t="inlineStr">
        <is>
          <t>Text</t>
        </is>
      </c>
      <c r="L88" s="2" t="inlineStr">
        <is>
          <t>USER</t>
        </is>
      </c>
    </row>
    <row r="89">
      <c r="A89" s="2" t="inlineStr">
        <is>
          <t>PERSON</t>
        </is>
      </c>
      <c r="B89" s="2" t="inlineStr">
        <is>
          <t>FULL_NAME</t>
        </is>
      </c>
      <c r="C89" s="2" t="inlineStr">
        <is>
          <t>TEXT</t>
        </is>
      </c>
      <c r="D89" s="2" t="inlineStr">
        <is>
          <t>Y</t>
        </is>
      </c>
      <c r="E89" s="2" t="inlineStr">
        <is>
          <t>N</t>
        </is>
      </c>
      <c r="F89" s="2" t="inlineStr">
        <is>
          <t>N</t>
        </is>
      </c>
      <c r="G89" s="2" t="n"/>
      <c r="H89" s="2" t="inlineStr">
        <is>
          <t>Approvers and DoC responsible persons</t>
        </is>
      </c>
      <c r="I89" s="2" t="inlineStr">
        <is>
          <t>HR / Compliance</t>
        </is>
      </c>
      <c r="J89" s="2" t="inlineStr">
        <is>
          <t>Occasional</t>
        </is>
      </c>
      <c r="K89" s="2" t="inlineStr">
        <is>
          <t>Text</t>
        </is>
      </c>
      <c r="L89" s="2" t="inlineStr">
        <is>
          <t>USER</t>
        </is>
      </c>
    </row>
    <row r="90">
      <c r="A90" s="2" t="inlineStr">
        <is>
          <t>PERSON</t>
        </is>
      </c>
      <c r="B90" s="2" t="inlineStr">
        <is>
          <t>EMAIL</t>
        </is>
      </c>
      <c r="C90" s="2" t="inlineStr">
        <is>
          <t>TEXT</t>
        </is>
      </c>
      <c r="D90" s="2" t="inlineStr">
        <is>
          <t>N</t>
        </is>
      </c>
      <c r="E90" s="2" t="inlineStr">
        <is>
          <t>N</t>
        </is>
      </c>
      <c r="F90" s="2" t="inlineStr">
        <is>
          <t>N</t>
        </is>
      </c>
      <c r="G90" s="2" t="n"/>
      <c r="H90" s="2" t="inlineStr">
        <is>
          <t>Approvers and DoC responsible persons</t>
        </is>
      </c>
      <c r="I90" s="2" t="inlineStr">
        <is>
          <t>HR / Compliance</t>
        </is>
      </c>
      <c r="J90" s="2" t="inlineStr">
        <is>
          <t>Occasional</t>
        </is>
      </c>
      <c r="K90" s="2" t="inlineStr">
        <is>
          <t>Text</t>
        </is>
      </c>
      <c r="L90" s="2" t="inlineStr">
        <is>
          <t>USER</t>
        </is>
      </c>
    </row>
    <row r="91">
      <c r="A91" s="2" t="inlineStr">
        <is>
          <t>PERSON</t>
        </is>
      </c>
      <c r="B91" s="2" t="inlineStr">
        <is>
          <t>JOB_TITLE</t>
        </is>
      </c>
      <c r="C91" s="2" t="inlineStr">
        <is>
          <t>TEXT</t>
        </is>
      </c>
      <c r="D91" s="2" t="inlineStr">
        <is>
          <t>N</t>
        </is>
      </c>
      <c r="E91" s="2" t="inlineStr">
        <is>
          <t>N</t>
        </is>
      </c>
      <c r="F91" s="2" t="inlineStr">
        <is>
          <t>N</t>
        </is>
      </c>
      <c r="G91" s="2" t="n"/>
      <c r="H91" s="2" t="inlineStr">
        <is>
          <t>Approvers and DoC responsible persons</t>
        </is>
      </c>
      <c r="I91" s="2" t="inlineStr">
        <is>
          <t>HR / Compliance</t>
        </is>
      </c>
      <c r="J91" s="2" t="inlineStr">
        <is>
          <t>Occasional</t>
        </is>
      </c>
      <c r="K91" s="2" t="inlineStr">
        <is>
          <t>Text</t>
        </is>
      </c>
      <c r="L91" s="2" t="inlineStr">
        <is>
          <t>USER</t>
        </is>
      </c>
    </row>
    <row r="92">
      <c r="A92" s="2" t="inlineStr">
        <is>
          <t>PERSON</t>
        </is>
      </c>
      <c r="B92" s="2" t="inlineStr">
        <is>
          <t>STATUS_ID</t>
        </is>
      </c>
      <c r="C92" s="2" t="inlineStr">
        <is>
          <t>INT</t>
        </is>
      </c>
      <c r="D92" s="2" t="inlineStr">
        <is>
          <t>Y</t>
        </is>
      </c>
      <c r="E92" s="2" t="inlineStr">
        <is>
          <t>N</t>
        </is>
      </c>
      <c r="F92" s="2" t="inlineStr">
        <is>
          <t>Y</t>
        </is>
      </c>
      <c r="G92" s="2" t="inlineStr">
        <is>
          <t>LKP_STATUS</t>
        </is>
      </c>
      <c r="H92" s="2" t="inlineStr">
        <is>
          <t>Approvers and DoC responsible persons</t>
        </is>
      </c>
      <c r="I92" s="2" t="inlineStr">
        <is>
          <t>HR / Compliance</t>
        </is>
      </c>
      <c r="J92" s="2" t="inlineStr">
        <is>
          <t>Occasional</t>
        </is>
      </c>
      <c r="K92" s="2" t="inlineStr">
        <is>
          <t>Lookup list → LKP_STATUS</t>
        </is>
      </c>
      <c r="L92" s="2" t="inlineStr">
        <is>
          <t>USER</t>
        </is>
      </c>
    </row>
    <row r="93">
      <c r="A93" s="2" t="inlineStr">
        <is>
          <t>SUPPLIER</t>
        </is>
      </c>
      <c r="B93" s="2" t="inlineStr">
        <is>
          <t>SUPPLIER_ID</t>
        </is>
      </c>
      <c r="C93" s="2" t="inlineStr">
        <is>
          <t>INT</t>
        </is>
      </c>
      <c r="D93" s="2" t="inlineStr">
        <is>
          <t>Y</t>
        </is>
      </c>
      <c r="E93" s="2" t="inlineStr">
        <is>
          <t>Y</t>
        </is>
      </c>
      <c r="F93" s="2" t="inlineStr">
        <is>
          <t>N</t>
        </is>
      </c>
      <c r="G93" s="2" t="n"/>
      <c r="H93" s="2" t="inlineStr">
        <is>
          <t>Packaging suppliers</t>
        </is>
      </c>
      <c r="I93" s="2" t="inlineStr">
        <is>
          <t>Procurement</t>
        </is>
      </c>
      <c r="J93" s="2" t="inlineStr">
        <is>
          <t>Occasional</t>
        </is>
      </c>
      <c r="K93" s="2" t="inlineStr">
        <is>
          <t>PK unique; not blank when row used</t>
        </is>
      </c>
      <c r="L93" s="2" t="inlineStr">
        <is>
          <t>USER</t>
        </is>
      </c>
    </row>
    <row r="94">
      <c r="A94" s="2" t="inlineStr">
        <is>
          <t>SUPPLIER</t>
        </is>
      </c>
      <c r="B94" s="2" t="inlineStr">
        <is>
          <t>SUPPLIER_CODE</t>
        </is>
      </c>
      <c r="C94" s="2" t="inlineStr">
        <is>
          <t>TEXT</t>
        </is>
      </c>
      <c r="D94" s="2" t="inlineStr">
        <is>
          <t>Y</t>
        </is>
      </c>
      <c r="E94" s="2" t="inlineStr">
        <is>
          <t>N</t>
        </is>
      </c>
      <c r="F94" s="2" t="inlineStr">
        <is>
          <t>N</t>
        </is>
      </c>
      <c r="G94" s="2" t="n"/>
      <c r="H94" s="2" t="inlineStr">
        <is>
          <t>Packaging suppliers</t>
        </is>
      </c>
      <c r="I94" s="2" t="inlineStr">
        <is>
          <t>Procurement</t>
        </is>
      </c>
      <c r="J94" s="2" t="inlineStr">
        <is>
          <t>Occasional</t>
        </is>
      </c>
      <c r="K94" s="2" t="inlineStr">
        <is>
          <t>Text</t>
        </is>
      </c>
      <c r="L94" s="2" t="inlineStr">
        <is>
          <t>USER</t>
        </is>
      </c>
    </row>
    <row r="95">
      <c r="A95" s="2" t="inlineStr">
        <is>
          <t>SUPPLIER</t>
        </is>
      </c>
      <c r="B95" s="2" t="inlineStr">
        <is>
          <t>SUPPLIER_NAME</t>
        </is>
      </c>
      <c r="C95" s="2" t="inlineStr">
        <is>
          <t>TEXT</t>
        </is>
      </c>
      <c r="D95" s="2" t="inlineStr">
        <is>
          <t>Y</t>
        </is>
      </c>
      <c r="E95" s="2" t="inlineStr">
        <is>
          <t>N</t>
        </is>
      </c>
      <c r="F95" s="2" t="inlineStr">
        <is>
          <t>N</t>
        </is>
      </c>
      <c r="G95" s="2" t="n"/>
      <c r="H95" s="2" t="inlineStr">
        <is>
          <t>Packaging suppliers</t>
        </is>
      </c>
      <c r="I95" s="2" t="inlineStr">
        <is>
          <t>Procurement</t>
        </is>
      </c>
      <c r="J95" s="2" t="inlineStr">
        <is>
          <t>Occasional</t>
        </is>
      </c>
      <c r="K95" s="2" t="inlineStr">
        <is>
          <t>Text</t>
        </is>
      </c>
      <c r="L95" s="2" t="inlineStr">
        <is>
          <t>USER</t>
        </is>
      </c>
    </row>
    <row r="96">
      <c r="A96" s="2" t="inlineStr">
        <is>
          <t>SUPPLIER</t>
        </is>
      </c>
      <c r="B96" s="2" t="inlineStr">
        <is>
          <t>COUNTRY_ID</t>
        </is>
      </c>
      <c r="C96" s="2" t="inlineStr">
        <is>
          <t>INT</t>
        </is>
      </c>
      <c r="D96" s="2" t="inlineStr">
        <is>
          <t>N</t>
        </is>
      </c>
      <c r="E96" s="2" t="inlineStr">
        <is>
          <t>N</t>
        </is>
      </c>
      <c r="F96" s="2" t="inlineStr">
        <is>
          <t>Y</t>
        </is>
      </c>
      <c r="G96" s="2" t="inlineStr">
        <is>
          <t>LKP_COUNTRY</t>
        </is>
      </c>
      <c r="H96" s="2" t="inlineStr">
        <is>
          <t>Packaging suppliers</t>
        </is>
      </c>
      <c r="I96" s="2" t="inlineStr">
        <is>
          <t>Procurement</t>
        </is>
      </c>
      <c r="J96" s="2" t="inlineStr">
        <is>
          <t>Occasional</t>
        </is>
      </c>
      <c r="K96" s="2" t="inlineStr">
        <is>
          <t>Lookup list → LKP_COUNTRY</t>
        </is>
      </c>
      <c r="L96" s="2" t="inlineStr">
        <is>
          <t>USER</t>
        </is>
      </c>
    </row>
    <row r="97">
      <c r="A97" s="2" t="inlineStr">
        <is>
          <t>SUPPLIER</t>
        </is>
      </c>
      <c r="B97" s="2" t="inlineStr">
        <is>
          <t>STATUS_ID</t>
        </is>
      </c>
      <c r="C97" s="2" t="inlineStr">
        <is>
          <t>INT</t>
        </is>
      </c>
      <c r="D97" s="2" t="inlineStr">
        <is>
          <t>Y</t>
        </is>
      </c>
      <c r="E97" s="2" t="inlineStr">
        <is>
          <t>N</t>
        </is>
      </c>
      <c r="F97" s="2" t="inlineStr">
        <is>
          <t>Y</t>
        </is>
      </c>
      <c r="G97" s="2" t="inlineStr">
        <is>
          <t>LKP_STATUS</t>
        </is>
      </c>
      <c r="H97" s="2" t="inlineStr">
        <is>
          <t>Packaging suppliers</t>
        </is>
      </c>
      <c r="I97" s="2" t="inlineStr">
        <is>
          <t>Procurement</t>
        </is>
      </c>
      <c r="J97" s="2" t="inlineStr">
        <is>
          <t>Occasional</t>
        </is>
      </c>
      <c r="K97" s="2" t="inlineStr">
        <is>
          <t>Lookup list → LKP_STATUS</t>
        </is>
      </c>
      <c r="L97" s="2" t="inlineStr">
        <is>
          <t>USER</t>
        </is>
      </c>
    </row>
    <row r="98">
      <c r="A98" s="2" t="inlineStr">
        <is>
          <t>SUPPLIER</t>
        </is>
      </c>
      <c r="B98" s="2" t="inlineStr">
        <is>
          <t>EXTERNAL_REF</t>
        </is>
      </c>
      <c r="C98" s="2" t="inlineStr">
        <is>
          <t>TEXT</t>
        </is>
      </c>
      <c r="D98" s="2" t="inlineStr">
        <is>
          <t>N</t>
        </is>
      </c>
      <c r="E98" s="2" t="inlineStr">
        <is>
          <t>N</t>
        </is>
      </c>
      <c r="F98" s="2" t="inlineStr">
        <is>
          <t>N</t>
        </is>
      </c>
      <c r="G98" s="2" t="n"/>
      <c r="H98" s="2" t="inlineStr">
        <is>
          <t>Packaging suppliers</t>
        </is>
      </c>
      <c r="I98" s="2" t="inlineStr">
        <is>
          <t>Procurement</t>
        </is>
      </c>
      <c r="J98" s="2" t="inlineStr">
        <is>
          <t>Occasional</t>
        </is>
      </c>
      <c r="K98" s="2" t="inlineStr">
        <is>
          <t>Text</t>
        </is>
      </c>
      <c r="L98" s="2" t="inlineStr">
        <is>
          <t>USER</t>
        </is>
      </c>
    </row>
    <row r="99">
      <c r="A99" s="2" t="inlineStr">
        <is>
          <t>SUPPLIER</t>
        </is>
      </c>
      <c r="B99" s="2" t="inlineStr">
        <is>
          <t>NOTES</t>
        </is>
      </c>
      <c r="C99" s="2" t="inlineStr">
        <is>
          <t>TEXT</t>
        </is>
      </c>
      <c r="D99" s="2" t="inlineStr">
        <is>
          <t>N</t>
        </is>
      </c>
      <c r="E99" s="2" t="inlineStr">
        <is>
          <t>N</t>
        </is>
      </c>
      <c r="F99" s="2" t="inlineStr">
        <is>
          <t>N</t>
        </is>
      </c>
      <c r="G99" s="2" t="n"/>
      <c r="H99" s="2" t="inlineStr">
        <is>
          <t>Packaging suppliers</t>
        </is>
      </c>
      <c r="I99" s="2" t="inlineStr">
        <is>
          <t>Procurement</t>
        </is>
      </c>
      <c r="J99" s="2" t="inlineStr">
        <is>
          <t>Occasional</t>
        </is>
      </c>
      <c r="K99" s="2" t="inlineStr">
        <is>
          <t>Text</t>
        </is>
      </c>
      <c r="L99" s="2" t="inlineStr">
        <is>
          <t>USER</t>
        </is>
      </c>
    </row>
    <row r="100">
      <c r="A100" s="2" t="inlineStr">
        <is>
          <t>CUSTOMER</t>
        </is>
      </c>
      <c r="B100" s="2" t="inlineStr">
        <is>
          <t>CUSTOMER_ID</t>
        </is>
      </c>
      <c r="C100" s="2" t="inlineStr">
        <is>
          <t>INT</t>
        </is>
      </c>
      <c r="D100" s="2" t="inlineStr">
        <is>
          <t>Y</t>
        </is>
      </c>
      <c r="E100" s="2" t="inlineStr">
        <is>
          <t>Y</t>
        </is>
      </c>
      <c r="F100" s="2" t="inlineStr">
        <is>
          <t>N</t>
        </is>
      </c>
      <c r="G100" s="2" t="n"/>
      <c r="H100" s="2" t="inlineStr">
        <is>
          <t>Sold-to party for commercial scenarios</t>
        </is>
      </c>
      <c r="I100" s="2" t="inlineStr">
        <is>
          <t>Sales MDM</t>
        </is>
      </c>
      <c r="J100" s="2" t="inlineStr">
        <is>
          <t>Occasional</t>
        </is>
      </c>
      <c r="K100" s="2" t="inlineStr">
        <is>
          <t>PK unique; not blank when row used</t>
        </is>
      </c>
      <c r="L100" s="2" t="inlineStr">
        <is>
          <t>USER</t>
        </is>
      </c>
    </row>
    <row r="101">
      <c r="A101" s="2" t="inlineStr">
        <is>
          <t>CUSTOMER</t>
        </is>
      </c>
      <c r="B101" s="2" t="inlineStr">
        <is>
          <t>CUSTOMER_CODE</t>
        </is>
      </c>
      <c r="C101" s="2" t="inlineStr">
        <is>
          <t>TEXT</t>
        </is>
      </c>
      <c r="D101" s="2" t="inlineStr">
        <is>
          <t>Y</t>
        </is>
      </c>
      <c r="E101" s="2" t="inlineStr">
        <is>
          <t>N</t>
        </is>
      </c>
      <c r="F101" s="2" t="inlineStr">
        <is>
          <t>N</t>
        </is>
      </c>
      <c r="G101" s="2" t="n"/>
      <c r="H101" s="2" t="inlineStr">
        <is>
          <t>Sold-to party for commercial scenarios</t>
        </is>
      </c>
      <c r="I101" s="2" t="inlineStr">
        <is>
          <t>Sales MDM</t>
        </is>
      </c>
      <c r="J101" s="2" t="inlineStr">
        <is>
          <t>Occasional</t>
        </is>
      </c>
      <c r="K101" s="2" t="inlineStr">
        <is>
          <t>Text</t>
        </is>
      </c>
      <c r="L101" s="2" t="inlineStr">
        <is>
          <t>USER</t>
        </is>
      </c>
    </row>
    <row r="102">
      <c r="A102" s="2" t="inlineStr">
        <is>
          <t>CUSTOMER</t>
        </is>
      </c>
      <c r="B102" s="2" t="inlineStr">
        <is>
          <t>CUSTOMER_NAME</t>
        </is>
      </c>
      <c r="C102" s="2" t="inlineStr">
        <is>
          <t>TEXT</t>
        </is>
      </c>
      <c r="D102" s="2" t="inlineStr">
        <is>
          <t>Y</t>
        </is>
      </c>
      <c r="E102" s="2" t="inlineStr">
        <is>
          <t>N</t>
        </is>
      </c>
      <c r="F102" s="2" t="inlineStr">
        <is>
          <t>N</t>
        </is>
      </c>
      <c r="G102" s="2" t="n"/>
      <c r="H102" s="2" t="inlineStr">
        <is>
          <t>Sold-to party for commercial scenarios</t>
        </is>
      </c>
      <c r="I102" s="2" t="inlineStr">
        <is>
          <t>Sales MDM</t>
        </is>
      </c>
      <c r="J102" s="2" t="inlineStr">
        <is>
          <t>Occasional</t>
        </is>
      </c>
      <c r="K102" s="2" t="inlineStr">
        <is>
          <t>Text</t>
        </is>
      </c>
      <c r="L102" s="2" t="inlineStr">
        <is>
          <t>USER</t>
        </is>
      </c>
    </row>
    <row r="103">
      <c r="A103" s="2" t="inlineStr">
        <is>
          <t>CUSTOMER</t>
        </is>
      </c>
      <c r="B103" s="2" t="inlineStr">
        <is>
          <t>COUNTRY_ID</t>
        </is>
      </c>
      <c r="C103" s="2" t="inlineStr">
        <is>
          <t>INT</t>
        </is>
      </c>
      <c r="D103" s="2" t="inlineStr">
        <is>
          <t>N</t>
        </is>
      </c>
      <c r="E103" s="2" t="inlineStr">
        <is>
          <t>N</t>
        </is>
      </c>
      <c r="F103" s="2" t="inlineStr">
        <is>
          <t>Y</t>
        </is>
      </c>
      <c r="G103" s="2" t="inlineStr">
        <is>
          <t>LKP_COUNTRY</t>
        </is>
      </c>
      <c r="H103" s="2" t="inlineStr">
        <is>
          <t>Sold-to party for commercial scenarios</t>
        </is>
      </c>
      <c r="I103" s="2" t="inlineStr">
        <is>
          <t>Sales MDM</t>
        </is>
      </c>
      <c r="J103" s="2" t="inlineStr">
        <is>
          <t>Occasional</t>
        </is>
      </c>
      <c r="K103" s="2" t="inlineStr">
        <is>
          <t>Lookup list → LKP_COUNTRY</t>
        </is>
      </c>
      <c r="L103" s="2" t="inlineStr">
        <is>
          <t>USER</t>
        </is>
      </c>
    </row>
    <row r="104">
      <c r="A104" s="2" t="inlineStr">
        <is>
          <t>CUSTOMER</t>
        </is>
      </c>
      <c r="B104" s="2" t="inlineStr">
        <is>
          <t>STATUS_ID</t>
        </is>
      </c>
      <c r="C104" s="2" t="inlineStr">
        <is>
          <t>INT</t>
        </is>
      </c>
      <c r="D104" s="2" t="inlineStr">
        <is>
          <t>Y</t>
        </is>
      </c>
      <c r="E104" s="2" t="inlineStr">
        <is>
          <t>N</t>
        </is>
      </c>
      <c r="F104" s="2" t="inlineStr">
        <is>
          <t>Y</t>
        </is>
      </c>
      <c r="G104" s="2" t="inlineStr">
        <is>
          <t>LKP_STATUS</t>
        </is>
      </c>
      <c r="H104" s="2" t="inlineStr">
        <is>
          <t>Sold-to party for commercial scenarios</t>
        </is>
      </c>
      <c r="I104" s="2" t="inlineStr">
        <is>
          <t>Sales MDM</t>
        </is>
      </c>
      <c r="J104" s="2" t="inlineStr">
        <is>
          <t>Occasional</t>
        </is>
      </c>
      <c r="K104" s="2" t="inlineStr">
        <is>
          <t>Lookup list → LKP_STATUS</t>
        </is>
      </c>
      <c r="L104" s="2" t="inlineStr">
        <is>
          <t>USER</t>
        </is>
      </c>
    </row>
    <row r="105">
      <c r="A105" s="2" t="inlineStr">
        <is>
          <t>CUSTOMER</t>
        </is>
      </c>
      <c r="B105" s="2" t="inlineStr">
        <is>
          <t>EXTERNAL_REF</t>
        </is>
      </c>
      <c r="C105" s="2" t="inlineStr">
        <is>
          <t>TEXT</t>
        </is>
      </c>
      <c r="D105" s="2" t="inlineStr">
        <is>
          <t>N</t>
        </is>
      </c>
      <c r="E105" s="2" t="inlineStr">
        <is>
          <t>N</t>
        </is>
      </c>
      <c r="F105" s="2" t="inlineStr">
        <is>
          <t>N</t>
        </is>
      </c>
      <c r="G105" s="2" t="n"/>
      <c r="H105" s="2" t="inlineStr">
        <is>
          <t>Sold-to party for commercial scenarios</t>
        </is>
      </c>
      <c r="I105" s="2" t="inlineStr">
        <is>
          <t>Sales MDM</t>
        </is>
      </c>
      <c r="J105" s="2" t="inlineStr">
        <is>
          <t>Occasional</t>
        </is>
      </c>
      <c r="K105" s="2" t="inlineStr">
        <is>
          <t>Text</t>
        </is>
      </c>
      <c r="L105" s="2" t="inlineStr">
        <is>
          <t>USER</t>
        </is>
      </c>
    </row>
    <row r="106">
      <c r="A106" s="2" t="inlineStr">
        <is>
          <t>CUSTOMER</t>
        </is>
      </c>
      <c r="B106" s="2" t="inlineStr">
        <is>
          <t>NOTES</t>
        </is>
      </c>
      <c r="C106" s="2" t="inlineStr">
        <is>
          <t>TEXT</t>
        </is>
      </c>
      <c r="D106" s="2" t="inlineStr">
        <is>
          <t>N</t>
        </is>
      </c>
      <c r="E106" s="2" t="inlineStr">
        <is>
          <t>N</t>
        </is>
      </c>
      <c r="F106" s="2" t="inlineStr">
        <is>
          <t>N</t>
        </is>
      </c>
      <c r="G106" s="2" t="n"/>
      <c r="H106" s="2" t="inlineStr">
        <is>
          <t>Sold-to party for commercial scenarios</t>
        </is>
      </c>
      <c r="I106" s="2" t="inlineStr">
        <is>
          <t>Sales MDM</t>
        </is>
      </c>
      <c r="J106" s="2" t="inlineStr">
        <is>
          <t>Occasional</t>
        </is>
      </c>
      <c r="K106" s="2" t="inlineStr">
        <is>
          <t>Text</t>
        </is>
      </c>
      <c r="L106" s="2" t="inlineStr">
        <is>
          <t>USER</t>
        </is>
      </c>
    </row>
    <row r="107">
      <c r="A107" s="2" t="inlineStr">
        <is>
          <t>PLANT</t>
        </is>
      </c>
      <c r="B107" s="2" t="inlineStr">
        <is>
          <t>PLANT_ID</t>
        </is>
      </c>
      <c r="C107" s="2" t="inlineStr">
        <is>
          <t>INT</t>
        </is>
      </c>
      <c r="D107" s="2" t="inlineStr">
        <is>
          <t>Y</t>
        </is>
      </c>
      <c r="E107" s="2" t="inlineStr">
        <is>
          <t>Y</t>
        </is>
      </c>
      <c r="F107" s="2" t="inlineStr">
        <is>
          <t>N</t>
        </is>
      </c>
      <c r="G107" s="2" t="n"/>
      <c r="H107" s="2" t="inlineStr">
        <is>
          <t>Ship-from / producing location</t>
        </is>
      </c>
      <c r="I107" s="2" t="inlineStr">
        <is>
          <t>Operations MDM</t>
        </is>
      </c>
      <c r="J107" s="2" t="inlineStr">
        <is>
          <t>Rare</t>
        </is>
      </c>
      <c r="K107" s="2" t="inlineStr">
        <is>
          <t>PK unique; not blank when row used</t>
        </is>
      </c>
      <c r="L107" s="2" t="inlineStr">
        <is>
          <t>USER</t>
        </is>
      </c>
    </row>
    <row r="108">
      <c r="A108" s="2" t="inlineStr">
        <is>
          <t>PLANT</t>
        </is>
      </c>
      <c r="B108" s="2" t="inlineStr">
        <is>
          <t>PLANT_CODE</t>
        </is>
      </c>
      <c r="C108" s="2" t="inlineStr">
        <is>
          <t>TEXT</t>
        </is>
      </c>
      <c r="D108" s="2" t="inlineStr">
        <is>
          <t>Y</t>
        </is>
      </c>
      <c r="E108" s="2" t="inlineStr">
        <is>
          <t>N</t>
        </is>
      </c>
      <c r="F108" s="2" t="inlineStr">
        <is>
          <t>N</t>
        </is>
      </c>
      <c r="G108" s="2" t="n"/>
      <c r="H108" s="2" t="inlineStr">
        <is>
          <t>Ship-from / producing location</t>
        </is>
      </c>
      <c r="I108" s="2" t="inlineStr">
        <is>
          <t>Operations MDM</t>
        </is>
      </c>
      <c r="J108" s="2" t="inlineStr">
        <is>
          <t>Rare</t>
        </is>
      </c>
      <c r="K108" s="2" t="inlineStr">
        <is>
          <t>Text</t>
        </is>
      </c>
      <c r="L108" s="2" t="inlineStr">
        <is>
          <t>USER</t>
        </is>
      </c>
    </row>
    <row r="109">
      <c r="A109" s="2" t="inlineStr">
        <is>
          <t>PLANT</t>
        </is>
      </c>
      <c r="B109" s="2" t="inlineStr">
        <is>
          <t>PLANT_NAME</t>
        </is>
      </c>
      <c r="C109" s="2" t="inlineStr">
        <is>
          <t>TEXT</t>
        </is>
      </c>
      <c r="D109" s="2" t="inlineStr">
        <is>
          <t>Y</t>
        </is>
      </c>
      <c r="E109" s="2" t="inlineStr">
        <is>
          <t>N</t>
        </is>
      </c>
      <c r="F109" s="2" t="inlineStr">
        <is>
          <t>N</t>
        </is>
      </c>
      <c r="G109" s="2" t="n"/>
      <c r="H109" s="2" t="inlineStr">
        <is>
          <t>Ship-from / producing location</t>
        </is>
      </c>
      <c r="I109" s="2" t="inlineStr">
        <is>
          <t>Operations MDM</t>
        </is>
      </c>
      <c r="J109" s="2" t="inlineStr">
        <is>
          <t>Rare</t>
        </is>
      </c>
      <c r="K109" s="2" t="inlineStr">
        <is>
          <t>Text</t>
        </is>
      </c>
      <c r="L109" s="2" t="inlineStr">
        <is>
          <t>USER</t>
        </is>
      </c>
    </row>
    <row r="110">
      <c r="A110" s="2" t="inlineStr">
        <is>
          <t>PLANT</t>
        </is>
      </c>
      <c r="B110" s="2" t="inlineStr">
        <is>
          <t>LEGAL_ENTITY_ID</t>
        </is>
      </c>
      <c r="C110" s="2" t="inlineStr">
        <is>
          <t>INT</t>
        </is>
      </c>
      <c r="D110" s="2" t="inlineStr">
        <is>
          <t>Y</t>
        </is>
      </c>
      <c r="E110" s="2" t="inlineStr">
        <is>
          <t>N</t>
        </is>
      </c>
      <c r="F110" s="2" t="inlineStr">
        <is>
          <t>Y</t>
        </is>
      </c>
      <c r="G110" s="2" t="inlineStr">
        <is>
          <t>LEGAL_ENTITY</t>
        </is>
      </c>
      <c r="H110" s="2" t="inlineStr">
        <is>
          <t>Ship-from / producing location</t>
        </is>
      </c>
      <c r="I110" s="2" t="inlineStr">
        <is>
          <t>Operations MDM</t>
        </is>
      </c>
      <c r="J110" s="2" t="inlineStr">
        <is>
          <t>Rare</t>
        </is>
      </c>
      <c r="K110" s="2" t="inlineStr">
        <is>
          <t>FK → LEGAL_ENTITY (Python QA; no huge dropdown)</t>
        </is>
      </c>
      <c r="L110" s="2" t="inlineStr">
        <is>
          <t>USER</t>
        </is>
      </c>
    </row>
    <row r="111">
      <c r="A111" s="2" t="inlineStr">
        <is>
          <t>PLANT</t>
        </is>
      </c>
      <c r="B111" s="2" t="inlineStr">
        <is>
          <t>COUNTRY_ID</t>
        </is>
      </c>
      <c r="C111" s="2" t="inlineStr">
        <is>
          <t>INT</t>
        </is>
      </c>
      <c r="D111" s="2" t="inlineStr">
        <is>
          <t>Y</t>
        </is>
      </c>
      <c r="E111" s="2" t="inlineStr">
        <is>
          <t>N</t>
        </is>
      </c>
      <c r="F111" s="2" t="inlineStr">
        <is>
          <t>Y</t>
        </is>
      </c>
      <c r="G111" s="2" t="inlineStr">
        <is>
          <t>LKP_COUNTRY</t>
        </is>
      </c>
      <c r="H111" s="2" t="inlineStr">
        <is>
          <t>Ship-from / producing location</t>
        </is>
      </c>
      <c r="I111" s="2" t="inlineStr">
        <is>
          <t>Operations MDM</t>
        </is>
      </c>
      <c r="J111" s="2" t="inlineStr">
        <is>
          <t>Rare</t>
        </is>
      </c>
      <c r="K111" s="2" t="inlineStr">
        <is>
          <t>Lookup list → LKP_COUNTRY</t>
        </is>
      </c>
      <c r="L111" s="2" t="inlineStr">
        <is>
          <t>USER</t>
        </is>
      </c>
    </row>
    <row r="112">
      <c r="A112" s="2" t="inlineStr">
        <is>
          <t>PLANT</t>
        </is>
      </c>
      <c r="B112" s="2" t="inlineStr">
        <is>
          <t>STATUS_ID</t>
        </is>
      </c>
      <c r="C112" s="2" t="inlineStr">
        <is>
          <t>INT</t>
        </is>
      </c>
      <c r="D112" s="2" t="inlineStr">
        <is>
          <t>Y</t>
        </is>
      </c>
      <c r="E112" s="2" t="inlineStr">
        <is>
          <t>N</t>
        </is>
      </c>
      <c r="F112" s="2" t="inlineStr">
        <is>
          <t>Y</t>
        </is>
      </c>
      <c r="G112" s="2" t="inlineStr">
        <is>
          <t>LKP_STATUS</t>
        </is>
      </c>
      <c r="H112" s="2" t="inlineStr">
        <is>
          <t>Ship-from / producing location</t>
        </is>
      </c>
      <c r="I112" s="2" t="inlineStr">
        <is>
          <t>Operations MDM</t>
        </is>
      </c>
      <c r="J112" s="2" t="inlineStr">
        <is>
          <t>Rare</t>
        </is>
      </c>
      <c r="K112" s="2" t="inlineStr">
        <is>
          <t>Lookup list → LKP_STATUS</t>
        </is>
      </c>
      <c r="L112" s="2" t="inlineStr">
        <is>
          <t>USER</t>
        </is>
      </c>
    </row>
    <row r="113">
      <c r="A113" s="2" t="inlineStr">
        <is>
          <t>PLANT</t>
        </is>
      </c>
      <c r="B113" s="2" t="inlineStr">
        <is>
          <t>EXTERNAL_REF</t>
        </is>
      </c>
      <c r="C113" s="2" t="inlineStr">
        <is>
          <t>TEXT</t>
        </is>
      </c>
      <c r="D113" s="2" t="inlineStr">
        <is>
          <t>N</t>
        </is>
      </c>
      <c r="E113" s="2" t="inlineStr">
        <is>
          <t>N</t>
        </is>
      </c>
      <c r="F113" s="2" t="inlineStr">
        <is>
          <t>N</t>
        </is>
      </c>
      <c r="G113" s="2" t="n"/>
      <c r="H113" s="2" t="inlineStr">
        <is>
          <t>Ship-from / producing location</t>
        </is>
      </c>
      <c r="I113" s="2" t="inlineStr">
        <is>
          <t>Operations MDM</t>
        </is>
      </c>
      <c r="J113" s="2" t="inlineStr">
        <is>
          <t>Rare</t>
        </is>
      </c>
      <c r="K113" s="2" t="inlineStr">
        <is>
          <t>Text</t>
        </is>
      </c>
      <c r="L113" s="2" t="inlineStr">
        <is>
          <t>USER</t>
        </is>
      </c>
    </row>
    <row r="114">
      <c r="A114" s="2" t="inlineStr">
        <is>
          <t>PRODUCT</t>
        </is>
      </c>
      <c r="B114" s="2" t="inlineStr">
        <is>
          <t>PRODUCT_ID</t>
        </is>
      </c>
      <c r="C114" s="2" t="inlineStr">
        <is>
          <t>INT</t>
        </is>
      </c>
      <c r="D114" s="2" t="inlineStr">
        <is>
          <t>Y</t>
        </is>
      </c>
      <c r="E114" s="2" t="inlineStr">
        <is>
          <t>Y</t>
        </is>
      </c>
      <c r="F114" s="2" t="inlineStr">
        <is>
          <t>N</t>
        </is>
      </c>
      <c r="G114" s="2" t="n"/>
      <c r="H114" s="2" t="inlineStr">
        <is>
          <t>Battery SKU master; product net weight only</t>
        </is>
      </c>
      <c r="I114" s="2" t="inlineStr">
        <is>
          <t>Product MDM / Engineering</t>
        </is>
      </c>
      <c r="J114" s="2" t="inlineStr">
        <is>
          <t>Occasional</t>
        </is>
      </c>
      <c r="K114" s="2" t="inlineStr">
        <is>
          <t>PK unique; not blank when row used</t>
        </is>
      </c>
      <c r="L114" s="2" t="inlineStr">
        <is>
          <t>USER</t>
        </is>
      </c>
    </row>
    <row r="115">
      <c r="A115" s="2" t="inlineStr">
        <is>
          <t>PRODUCT</t>
        </is>
      </c>
      <c r="B115" s="2" t="inlineStr">
        <is>
          <t>PRODUCT_CODE</t>
        </is>
      </c>
      <c r="C115" s="2" t="inlineStr">
        <is>
          <t>TEXT</t>
        </is>
      </c>
      <c r="D115" s="2" t="inlineStr">
        <is>
          <t>Y</t>
        </is>
      </c>
      <c r="E115" s="2" t="inlineStr">
        <is>
          <t>N</t>
        </is>
      </c>
      <c r="F115" s="2" t="inlineStr">
        <is>
          <t>N</t>
        </is>
      </c>
      <c r="G115" s="2" t="n"/>
      <c r="H115" s="2" t="inlineStr">
        <is>
          <t>Battery SKU master; product net weight only</t>
        </is>
      </c>
      <c r="I115" s="2" t="inlineStr">
        <is>
          <t>Product MDM / Engineering</t>
        </is>
      </c>
      <c r="J115" s="2" t="inlineStr">
        <is>
          <t>Occasional</t>
        </is>
      </c>
      <c r="K115" s="2" t="inlineStr">
        <is>
          <t>Text</t>
        </is>
      </c>
      <c r="L115" s="2" t="inlineStr">
        <is>
          <t>USER</t>
        </is>
      </c>
    </row>
    <row r="116">
      <c r="A116" s="2" t="inlineStr">
        <is>
          <t>PRODUCT</t>
        </is>
      </c>
      <c r="B116" s="2" t="inlineStr">
        <is>
          <t>PRODUCT_NAME</t>
        </is>
      </c>
      <c r="C116" s="2" t="inlineStr">
        <is>
          <t>TEXT</t>
        </is>
      </c>
      <c r="D116" s="2" t="inlineStr">
        <is>
          <t>Y</t>
        </is>
      </c>
      <c r="E116" s="2" t="inlineStr">
        <is>
          <t>N</t>
        </is>
      </c>
      <c r="F116" s="2" t="inlineStr">
        <is>
          <t>N</t>
        </is>
      </c>
      <c r="G116" s="2" t="n"/>
      <c r="H116" s="2" t="inlineStr">
        <is>
          <t>Battery SKU master; product net weight only</t>
        </is>
      </c>
      <c r="I116" s="2" t="inlineStr">
        <is>
          <t>Product MDM / Engineering</t>
        </is>
      </c>
      <c r="J116" s="2" t="inlineStr">
        <is>
          <t>Occasional</t>
        </is>
      </c>
      <c r="K116" s="2" t="inlineStr">
        <is>
          <t>Text</t>
        </is>
      </c>
      <c r="L116" s="2" t="inlineStr">
        <is>
          <t>USER</t>
        </is>
      </c>
    </row>
    <row r="117">
      <c r="A117" s="2" t="inlineStr">
        <is>
          <t>PRODUCT</t>
        </is>
      </c>
      <c r="B117" s="2" t="inlineStr">
        <is>
          <t>PRODUCT_CATEGORY_ID</t>
        </is>
      </c>
      <c r="C117" s="2" t="inlineStr">
        <is>
          <t>INT</t>
        </is>
      </c>
      <c r="D117" s="2" t="inlineStr">
        <is>
          <t>Y</t>
        </is>
      </c>
      <c r="E117" s="2" t="inlineStr">
        <is>
          <t>N</t>
        </is>
      </c>
      <c r="F117" s="2" t="inlineStr">
        <is>
          <t>Y</t>
        </is>
      </c>
      <c r="G117" s="2" t="inlineStr">
        <is>
          <t>LKP_PRODUCT_CATEGORY</t>
        </is>
      </c>
      <c r="H117" s="2" t="inlineStr">
        <is>
          <t>Battery SKU master; product net weight only</t>
        </is>
      </c>
      <c r="I117" s="2" t="inlineStr">
        <is>
          <t>Product MDM / Engineering</t>
        </is>
      </c>
      <c r="J117" s="2" t="inlineStr">
        <is>
          <t>Occasional</t>
        </is>
      </c>
      <c r="K117" s="2" t="inlineStr">
        <is>
          <t>Lookup list → LKP_PRODUCT_CATEGORY</t>
        </is>
      </c>
      <c r="L117" s="2" t="inlineStr">
        <is>
          <t>USER</t>
        </is>
      </c>
    </row>
    <row r="118">
      <c r="A118" s="2" t="inlineStr">
        <is>
          <t>PRODUCT</t>
        </is>
      </c>
      <c r="B118" s="2" t="inlineStr">
        <is>
          <t>NET_WEIGHT_G</t>
        </is>
      </c>
      <c r="C118" s="2" t="inlineStr">
        <is>
          <t>DECIMAL</t>
        </is>
      </c>
      <c r="D118" s="2" t="inlineStr">
        <is>
          <t>Y</t>
        </is>
      </c>
      <c r="E118" s="2" t="inlineStr">
        <is>
          <t>N</t>
        </is>
      </c>
      <c r="F118" s="2" t="inlineStr">
        <is>
          <t>N</t>
        </is>
      </c>
      <c r="G118" s="2" t="n"/>
      <c r="H118" s="2" t="inlineStr">
        <is>
          <t>Battery net weight, not packaging</t>
        </is>
      </c>
      <c r="I118" s="2" t="inlineStr">
        <is>
          <t>Product MDM / Engineering</t>
        </is>
      </c>
      <c r="J118" s="2" t="inlineStr">
        <is>
          <t>Occasional</t>
        </is>
      </c>
      <c r="K118" s="2" t="inlineStr">
        <is>
          <t>Decimal number</t>
        </is>
      </c>
      <c r="L118" s="2" t="inlineStr">
        <is>
          <t>USER</t>
        </is>
      </c>
    </row>
    <row r="119">
      <c r="A119" s="2" t="inlineStr">
        <is>
          <t>PRODUCT</t>
        </is>
      </c>
      <c r="B119" s="2" t="inlineStr">
        <is>
          <t>LENGTH_MM</t>
        </is>
      </c>
      <c r="C119" s="2" t="inlineStr">
        <is>
          <t>DECIMAL</t>
        </is>
      </c>
      <c r="D119" s="2" t="inlineStr">
        <is>
          <t>N</t>
        </is>
      </c>
      <c r="E119" s="2" t="inlineStr">
        <is>
          <t>N</t>
        </is>
      </c>
      <c r="F119" s="2" t="inlineStr">
        <is>
          <t>N</t>
        </is>
      </c>
      <c r="G119" s="2" t="n"/>
      <c r="H119" s="2" t="inlineStr">
        <is>
          <t>Battery SKU master; product net weight only</t>
        </is>
      </c>
      <c r="I119" s="2" t="inlineStr">
        <is>
          <t>Product MDM / Engineering</t>
        </is>
      </c>
      <c r="J119" s="2" t="inlineStr">
        <is>
          <t>Occasional</t>
        </is>
      </c>
      <c r="K119" s="2" t="inlineStr">
        <is>
          <t>Decimal number</t>
        </is>
      </c>
      <c r="L119" s="2" t="inlineStr">
        <is>
          <t>USER</t>
        </is>
      </c>
    </row>
    <row r="120">
      <c r="A120" s="2" t="inlineStr">
        <is>
          <t>PRODUCT</t>
        </is>
      </c>
      <c r="B120" s="2" t="inlineStr">
        <is>
          <t>WIDTH_MM</t>
        </is>
      </c>
      <c r="C120" s="2" t="inlineStr">
        <is>
          <t>DECIMAL</t>
        </is>
      </c>
      <c r="D120" s="2" t="inlineStr">
        <is>
          <t>N</t>
        </is>
      </c>
      <c r="E120" s="2" t="inlineStr">
        <is>
          <t>N</t>
        </is>
      </c>
      <c r="F120" s="2" t="inlineStr">
        <is>
          <t>N</t>
        </is>
      </c>
      <c r="G120" s="2" t="n"/>
      <c r="H120" s="2" t="inlineStr">
        <is>
          <t>Battery SKU master; product net weight only</t>
        </is>
      </c>
      <c r="I120" s="2" t="inlineStr">
        <is>
          <t>Product MDM / Engineering</t>
        </is>
      </c>
      <c r="J120" s="2" t="inlineStr">
        <is>
          <t>Occasional</t>
        </is>
      </c>
      <c r="K120" s="2" t="inlineStr">
        <is>
          <t>Decimal number</t>
        </is>
      </c>
      <c r="L120" s="2" t="inlineStr">
        <is>
          <t>USER</t>
        </is>
      </c>
    </row>
    <row r="121">
      <c r="A121" s="2" t="inlineStr">
        <is>
          <t>PRODUCT</t>
        </is>
      </c>
      <c r="B121" s="2" t="inlineStr">
        <is>
          <t>HEIGHT_MM</t>
        </is>
      </c>
      <c r="C121" s="2" t="inlineStr">
        <is>
          <t>DECIMAL</t>
        </is>
      </c>
      <c r="D121" s="2" t="inlineStr">
        <is>
          <t>N</t>
        </is>
      </c>
      <c r="E121" s="2" t="inlineStr">
        <is>
          <t>N</t>
        </is>
      </c>
      <c r="F121" s="2" t="inlineStr">
        <is>
          <t>N</t>
        </is>
      </c>
      <c r="G121" s="2" t="n"/>
      <c r="H121" s="2" t="inlineStr">
        <is>
          <t>Battery SKU master; product net weight only</t>
        </is>
      </c>
      <c r="I121" s="2" t="inlineStr">
        <is>
          <t>Product MDM / Engineering</t>
        </is>
      </c>
      <c r="J121" s="2" t="inlineStr">
        <is>
          <t>Occasional</t>
        </is>
      </c>
      <c r="K121" s="2" t="inlineStr">
        <is>
          <t>Decimal number</t>
        </is>
      </c>
      <c r="L121" s="2" t="inlineStr">
        <is>
          <t>USER</t>
        </is>
      </c>
    </row>
    <row r="122">
      <c r="A122" s="2" t="inlineStr">
        <is>
          <t>PRODUCT</t>
        </is>
      </c>
      <c r="B122" s="2" t="inlineStr">
        <is>
          <t>STATUS_ID</t>
        </is>
      </c>
      <c r="C122" s="2" t="inlineStr">
        <is>
          <t>INT</t>
        </is>
      </c>
      <c r="D122" s="2" t="inlineStr">
        <is>
          <t>Y</t>
        </is>
      </c>
      <c r="E122" s="2" t="inlineStr">
        <is>
          <t>N</t>
        </is>
      </c>
      <c r="F122" s="2" t="inlineStr">
        <is>
          <t>Y</t>
        </is>
      </c>
      <c r="G122" s="2" t="inlineStr">
        <is>
          <t>LKP_STATUS</t>
        </is>
      </c>
      <c r="H122" s="2" t="inlineStr">
        <is>
          <t>Battery SKU master; product net weight only</t>
        </is>
      </c>
      <c r="I122" s="2" t="inlineStr">
        <is>
          <t>Product MDM / Engineering</t>
        </is>
      </c>
      <c r="J122" s="2" t="inlineStr">
        <is>
          <t>Occasional</t>
        </is>
      </c>
      <c r="K122" s="2" t="inlineStr">
        <is>
          <t>Lookup list → LKP_STATUS</t>
        </is>
      </c>
      <c r="L122" s="2" t="inlineStr">
        <is>
          <t>USER</t>
        </is>
      </c>
    </row>
    <row r="123">
      <c r="A123" s="2" t="inlineStr">
        <is>
          <t>PRODUCT</t>
        </is>
      </c>
      <c r="B123" s="2" t="inlineStr">
        <is>
          <t>EFFECTIVE_FROM</t>
        </is>
      </c>
      <c r="C123" s="2" t="inlineStr">
        <is>
          <t>DATE</t>
        </is>
      </c>
      <c r="D123" s="2" t="inlineStr">
        <is>
          <t>Y</t>
        </is>
      </c>
      <c r="E123" s="2" t="inlineStr">
        <is>
          <t>N</t>
        </is>
      </c>
      <c r="F123" s="2" t="inlineStr">
        <is>
          <t>N</t>
        </is>
      </c>
      <c r="G123" s="2" t="n"/>
      <c r="H123" s="2" t="inlineStr">
        <is>
          <t>Battery SKU master; product net weight only</t>
        </is>
      </c>
      <c r="I123" s="2" t="inlineStr">
        <is>
          <t>Product MDM / Engineering</t>
        </is>
      </c>
      <c r="J123" s="2" t="inlineStr">
        <is>
          <t>Occasional</t>
        </is>
      </c>
      <c r="K123" s="2" t="inlineStr">
        <is>
          <t>Date DD.MM.YYYY</t>
        </is>
      </c>
      <c r="L123" s="2" t="inlineStr">
        <is>
          <t>USER</t>
        </is>
      </c>
    </row>
    <row r="124">
      <c r="A124" s="2" t="inlineStr">
        <is>
          <t>PRODUCT</t>
        </is>
      </c>
      <c r="B124" s="2" t="inlineStr">
        <is>
          <t>EFFECTIVE_TO</t>
        </is>
      </c>
      <c r="C124" s="2" t="inlineStr">
        <is>
          <t>DATE</t>
        </is>
      </c>
      <c r="D124" s="2" t="inlineStr">
        <is>
          <t>N</t>
        </is>
      </c>
      <c r="E124" s="2" t="inlineStr">
        <is>
          <t>N</t>
        </is>
      </c>
      <c r="F124" s="2" t="inlineStr">
        <is>
          <t>N</t>
        </is>
      </c>
      <c r="G124" s="2" t="n"/>
      <c r="H124" s="2" t="inlineStr">
        <is>
          <t>Battery SKU master; product net weight only</t>
        </is>
      </c>
      <c r="I124" s="2" t="inlineStr">
        <is>
          <t>Product MDM / Engineering</t>
        </is>
      </c>
      <c r="J124" s="2" t="inlineStr">
        <is>
          <t>Occasional</t>
        </is>
      </c>
      <c r="K124" s="2" t="inlineStr">
        <is>
          <t>Date DD.MM.YYYY</t>
        </is>
      </c>
      <c r="L124" s="2" t="inlineStr">
        <is>
          <t>USER</t>
        </is>
      </c>
    </row>
    <row r="125">
      <c r="A125" s="2" t="inlineStr">
        <is>
          <t>PRODUCT</t>
        </is>
      </c>
      <c r="B125" s="2" t="inlineStr">
        <is>
          <t>EXTERNAL_REF</t>
        </is>
      </c>
      <c r="C125" s="2" t="inlineStr">
        <is>
          <t>TEXT</t>
        </is>
      </c>
      <c r="D125" s="2" t="inlineStr">
        <is>
          <t>N</t>
        </is>
      </c>
      <c r="E125" s="2" t="inlineStr">
        <is>
          <t>N</t>
        </is>
      </c>
      <c r="F125" s="2" t="inlineStr">
        <is>
          <t>N</t>
        </is>
      </c>
      <c r="G125" s="2" t="n"/>
      <c r="H125" s="2" t="inlineStr">
        <is>
          <t>Battery SKU master; product net weight only</t>
        </is>
      </c>
      <c r="I125" s="2" t="inlineStr">
        <is>
          <t>Product MDM / Engineering</t>
        </is>
      </c>
      <c r="J125" s="2" t="inlineStr">
        <is>
          <t>Occasional</t>
        </is>
      </c>
      <c r="K125" s="2" t="inlineStr">
        <is>
          <t>Text</t>
        </is>
      </c>
      <c r="L125" s="2" t="inlineStr">
        <is>
          <t>USER</t>
        </is>
      </c>
    </row>
    <row r="126">
      <c r="A126" s="2" t="inlineStr">
        <is>
          <t>PRODUCT</t>
        </is>
      </c>
      <c r="B126" s="2" t="inlineStr">
        <is>
          <t>NOTES</t>
        </is>
      </c>
      <c r="C126" s="2" t="inlineStr">
        <is>
          <t>TEXT</t>
        </is>
      </c>
      <c r="D126" s="2" t="inlineStr">
        <is>
          <t>N</t>
        </is>
      </c>
      <c r="E126" s="2" t="inlineStr">
        <is>
          <t>N</t>
        </is>
      </c>
      <c r="F126" s="2" t="inlineStr">
        <is>
          <t>N</t>
        </is>
      </c>
      <c r="G126" s="2" t="n"/>
      <c r="H126" s="2" t="inlineStr">
        <is>
          <t>Battery SKU master; product net weight only</t>
        </is>
      </c>
      <c r="I126" s="2" t="inlineStr">
        <is>
          <t>Product MDM / Engineering</t>
        </is>
      </c>
      <c r="J126" s="2" t="inlineStr">
        <is>
          <t>Occasional</t>
        </is>
      </c>
      <c r="K126" s="2" t="inlineStr">
        <is>
          <t>Text</t>
        </is>
      </c>
      <c r="L126" s="2" t="inlineStr">
        <is>
          <t>USER</t>
        </is>
      </c>
    </row>
    <row r="127">
      <c r="A127" s="2" t="inlineStr">
        <is>
          <t>PRODUCT</t>
        </is>
      </c>
      <c r="B127" s="2" t="inlineStr">
        <is>
          <t>CREATED_AT</t>
        </is>
      </c>
      <c r="C127" s="2" t="inlineStr">
        <is>
          <t>DATETIME</t>
        </is>
      </c>
      <c r="D127" s="2" t="inlineStr">
        <is>
          <t>Y</t>
        </is>
      </c>
      <c r="E127" s="2" t="inlineStr">
        <is>
          <t>N</t>
        </is>
      </c>
      <c r="F127" s="2" t="inlineStr">
        <is>
          <t>N</t>
        </is>
      </c>
      <c r="G127" s="2" t="n"/>
      <c r="H127" s="2" t="inlineStr">
        <is>
          <t>Battery SKU master; product net weight only</t>
        </is>
      </c>
      <c r="I127" s="2" t="inlineStr">
        <is>
          <t>Product MDM / Engineering</t>
        </is>
      </c>
      <c r="J127" s="2" t="inlineStr">
        <is>
          <t>Occasional</t>
        </is>
      </c>
      <c r="K127" s="2" t="inlineStr">
        <is>
          <t>Text</t>
        </is>
      </c>
      <c r="L127" s="2" t="inlineStr">
        <is>
          <t>SYSTEM</t>
        </is>
      </c>
    </row>
    <row r="128">
      <c r="A128" s="2" t="inlineStr">
        <is>
          <t>PRODUCT</t>
        </is>
      </c>
      <c r="B128" s="2" t="inlineStr">
        <is>
          <t>UPDATED_AT</t>
        </is>
      </c>
      <c r="C128" s="2" t="inlineStr">
        <is>
          <t>DATETIME</t>
        </is>
      </c>
      <c r="D128" s="2" t="inlineStr">
        <is>
          <t>Y</t>
        </is>
      </c>
      <c r="E128" s="2" t="inlineStr">
        <is>
          <t>N</t>
        </is>
      </c>
      <c r="F128" s="2" t="inlineStr">
        <is>
          <t>N</t>
        </is>
      </c>
      <c r="G128" s="2" t="n"/>
      <c r="H128" s="2" t="inlineStr">
        <is>
          <t>Battery SKU master; product net weight only</t>
        </is>
      </c>
      <c r="I128" s="2" t="inlineStr">
        <is>
          <t>Product MDM / Engineering</t>
        </is>
      </c>
      <c r="J128" s="2" t="inlineStr">
        <is>
          <t>Occasional</t>
        </is>
      </c>
      <c r="K128" s="2" t="inlineStr">
        <is>
          <t>Text</t>
        </is>
      </c>
      <c r="L128" s="2" t="inlineStr">
        <is>
          <t>SYSTEM</t>
        </is>
      </c>
    </row>
    <row r="129">
      <c r="A129" s="2" t="inlineStr">
        <is>
          <t>COMPONENT</t>
        </is>
      </c>
      <c r="B129" s="2" t="inlineStr">
        <is>
          <t>COMPONENT_ID</t>
        </is>
      </c>
      <c r="C129" s="2" t="inlineStr">
        <is>
          <t>INT</t>
        </is>
      </c>
      <c r="D129" s="2" t="inlineStr">
        <is>
          <t>Y</t>
        </is>
      </c>
      <c r="E129" s="2" t="inlineStr">
        <is>
          <t>Y</t>
        </is>
      </c>
      <c r="F129" s="2" t="inlineStr">
        <is>
          <t>N</t>
        </is>
      </c>
      <c r="G129" s="2" t="n"/>
      <c r="H129" s="2" t="inlineStr">
        <is>
          <t>Atomic packaging item; owns unit weight</t>
        </is>
      </c>
      <c r="I129" s="2" t="inlineStr">
        <is>
          <t>Packaging Engineering</t>
        </is>
      </c>
      <c r="J129" s="2" t="inlineStr">
        <is>
          <t>Frequent</t>
        </is>
      </c>
      <c r="K129" s="2" t="inlineStr">
        <is>
          <t>PK unique; not blank when row used</t>
        </is>
      </c>
      <c r="L129" s="2" t="inlineStr">
        <is>
          <t>USER</t>
        </is>
      </c>
    </row>
    <row r="130">
      <c r="A130" s="2" t="inlineStr">
        <is>
          <t>COMPONENT</t>
        </is>
      </c>
      <c r="B130" s="2" t="inlineStr">
        <is>
          <t>COMPONENT_CODE</t>
        </is>
      </c>
      <c r="C130" s="2" t="inlineStr">
        <is>
          <t>TEXT</t>
        </is>
      </c>
      <c r="D130" s="2" t="inlineStr">
        <is>
          <t>Y</t>
        </is>
      </c>
      <c r="E130" s="2" t="inlineStr">
        <is>
          <t>N</t>
        </is>
      </c>
      <c r="F130" s="2" t="inlineStr">
        <is>
          <t>N</t>
        </is>
      </c>
      <c r="G130" s="2" t="n"/>
      <c r="H130" s="2" t="inlineStr">
        <is>
          <t>Atomic packaging item; owns unit weight</t>
        </is>
      </c>
      <c r="I130" s="2" t="inlineStr">
        <is>
          <t>Packaging Engineering</t>
        </is>
      </c>
      <c r="J130" s="2" t="inlineStr">
        <is>
          <t>Frequent</t>
        </is>
      </c>
      <c r="K130" s="2" t="inlineStr">
        <is>
          <t>Text</t>
        </is>
      </c>
      <c r="L130" s="2" t="inlineStr">
        <is>
          <t>USER</t>
        </is>
      </c>
    </row>
    <row r="131">
      <c r="A131" s="2" t="inlineStr">
        <is>
          <t>COMPONENT</t>
        </is>
      </c>
      <c r="B131" s="2" t="inlineStr">
        <is>
          <t>COMPONENT_NAME</t>
        </is>
      </c>
      <c r="C131" s="2" t="inlineStr">
        <is>
          <t>TEXT</t>
        </is>
      </c>
      <c r="D131" s="2" t="inlineStr">
        <is>
          <t>Y</t>
        </is>
      </c>
      <c r="E131" s="2" t="inlineStr">
        <is>
          <t>N</t>
        </is>
      </c>
      <c r="F131" s="2" t="inlineStr">
        <is>
          <t>N</t>
        </is>
      </c>
      <c r="G131" s="2" t="n"/>
      <c r="H131" s="2" t="inlineStr">
        <is>
          <t>Atomic packaging item; owns unit weight</t>
        </is>
      </c>
      <c r="I131" s="2" t="inlineStr">
        <is>
          <t>Packaging Engineering</t>
        </is>
      </c>
      <c r="J131" s="2" t="inlineStr">
        <is>
          <t>Frequent</t>
        </is>
      </c>
      <c r="K131" s="2" t="inlineStr">
        <is>
          <t>Text</t>
        </is>
      </c>
      <c r="L131" s="2" t="inlineStr">
        <is>
          <t>USER</t>
        </is>
      </c>
    </row>
    <row r="132">
      <c r="A132" s="2" t="inlineStr">
        <is>
          <t>COMPONENT</t>
        </is>
      </c>
      <c r="B132" s="2" t="inlineStr">
        <is>
          <t>COMPONENT_TYPE_ID</t>
        </is>
      </c>
      <c r="C132" s="2" t="inlineStr">
        <is>
          <t>INT</t>
        </is>
      </c>
      <c r="D132" s="2" t="inlineStr">
        <is>
          <t>Y</t>
        </is>
      </c>
      <c r="E132" s="2" t="inlineStr">
        <is>
          <t>N</t>
        </is>
      </c>
      <c r="F132" s="2" t="inlineStr">
        <is>
          <t>Y</t>
        </is>
      </c>
      <c r="G132" s="2" t="inlineStr">
        <is>
          <t>LKP_COMPONENT_TYPE</t>
        </is>
      </c>
      <c r="H132" s="2" t="inlineStr">
        <is>
          <t>Atomic packaging item; owns unit weight</t>
        </is>
      </c>
      <c r="I132" s="2" t="inlineStr">
        <is>
          <t>Packaging Engineering</t>
        </is>
      </c>
      <c r="J132" s="2" t="inlineStr">
        <is>
          <t>Frequent</t>
        </is>
      </c>
      <c r="K132" s="2" t="inlineStr">
        <is>
          <t>Lookup list → LKP_COMPONENT_TYPE</t>
        </is>
      </c>
      <c r="L132" s="2" t="inlineStr">
        <is>
          <t>USER</t>
        </is>
      </c>
    </row>
    <row r="133">
      <c r="A133" s="2" t="inlineStr">
        <is>
          <t>COMPONENT</t>
        </is>
      </c>
      <c r="B133" s="2" t="inlineStr">
        <is>
          <t>PACKAGING_LEVEL_ID</t>
        </is>
      </c>
      <c r="C133" s="2" t="inlineStr">
        <is>
          <t>INT</t>
        </is>
      </c>
      <c r="D133" s="2" t="inlineStr">
        <is>
          <t>Y</t>
        </is>
      </c>
      <c r="E133" s="2" t="inlineStr">
        <is>
          <t>N</t>
        </is>
      </c>
      <c r="F133" s="2" t="inlineStr">
        <is>
          <t>Y</t>
        </is>
      </c>
      <c r="G133" s="2" t="inlineStr">
        <is>
          <t>LKP_PACKAGING_LEVEL</t>
        </is>
      </c>
      <c r="H133" s="2" t="inlineStr">
        <is>
          <t>Atomic packaging item; owns unit weight</t>
        </is>
      </c>
      <c r="I133" s="2" t="inlineStr">
        <is>
          <t>Packaging Engineering</t>
        </is>
      </c>
      <c r="J133" s="2" t="inlineStr">
        <is>
          <t>Frequent</t>
        </is>
      </c>
      <c r="K133" s="2" t="inlineStr">
        <is>
          <t>Lookup list → LKP_PACKAGING_LEVEL</t>
        </is>
      </c>
      <c r="L133" s="2" t="inlineStr">
        <is>
          <t>USER</t>
        </is>
      </c>
    </row>
    <row r="134">
      <c r="A134" s="2" t="inlineStr">
        <is>
          <t>COMPONENT</t>
        </is>
      </c>
      <c r="B134" s="2" t="inlineStr">
        <is>
          <t>PACKAGING_FUNCTION_ID</t>
        </is>
      </c>
      <c r="C134" s="2" t="inlineStr">
        <is>
          <t>INT</t>
        </is>
      </c>
      <c r="D134" s="2" t="inlineStr">
        <is>
          <t>Y</t>
        </is>
      </c>
      <c r="E134" s="2" t="inlineStr">
        <is>
          <t>N</t>
        </is>
      </c>
      <c r="F134" s="2" t="inlineStr">
        <is>
          <t>Y</t>
        </is>
      </c>
      <c r="G134" s="2" t="inlineStr">
        <is>
          <t>LKP_PACKAGING_FUNCTION</t>
        </is>
      </c>
      <c r="H134" s="2" t="inlineStr">
        <is>
          <t>Atomic packaging item; owns unit weight</t>
        </is>
      </c>
      <c r="I134" s="2" t="inlineStr">
        <is>
          <t>Packaging Engineering</t>
        </is>
      </c>
      <c r="J134" s="2" t="inlineStr">
        <is>
          <t>Frequent</t>
        </is>
      </c>
      <c r="K134" s="2" t="inlineStr">
        <is>
          <t>Lookup list → LKP_PACKAGING_FUNCTION</t>
        </is>
      </c>
      <c r="L134" s="2" t="inlineStr">
        <is>
          <t>USER</t>
        </is>
      </c>
    </row>
    <row r="135">
      <c r="A135" s="2" t="inlineStr">
        <is>
          <t>COMPONENT</t>
        </is>
      </c>
      <c r="B135" s="2" t="inlineStr">
        <is>
          <t>OWNERSHIP_TYPE_ID</t>
        </is>
      </c>
      <c r="C135" s="2" t="inlineStr">
        <is>
          <t>INT</t>
        </is>
      </c>
      <c r="D135" s="2" t="inlineStr">
        <is>
          <t>Y</t>
        </is>
      </c>
      <c r="E135" s="2" t="inlineStr">
        <is>
          <t>N</t>
        </is>
      </c>
      <c r="F135" s="2" t="inlineStr">
        <is>
          <t>Y</t>
        </is>
      </c>
      <c r="G135" s="2" t="inlineStr">
        <is>
          <t>LKP_OWNERSHIP_TYPE</t>
        </is>
      </c>
      <c r="H135" s="2" t="inlineStr">
        <is>
          <t>Atomic packaging item; owns unit weight</t>
        </is>
      </c>
      <c r="I135" s="2" t="inlineStr">
        <is>
          <t>Packaging Engineering</t>
        </is>
      </c>
      <c r="J135" s="2" t="inlineStr">
        <is>
          <t>Frequent</t>
        </is>
      </c>
      <c r="K135" s="2" t="inlineStr">
        <is>
          <t>Lookup list → LKP_OWNERSHIP_TYPE</t>
        </is>
      </c>
      <c r="L135" s="2" t="inlineStr">
        <is>
          <t>USER</t>
        </is>
      </c>
    </row>
    <row r="136">
      <c r="A136" s="2" t="inlineStr">
        <is>
          <t>COMPONENT</t>
        </is>
      </c>
      <c r="B136" s="2" t="inlineStr">
        <is>
          <t>SUPPLIER_ID</t>
        </is>
      </c>
      <c r="C136" s="2" t="inlineStr">
        <is>
          <t>INT</t>
        </is>
      </c>
      <c r="D136" s="2" t="inlineStr">
        <is>
          <t>N</t>
        </is>
      </c>
      <c r="E136" s="2" t="inlineStr">
        <is>
          <t>N</t>
        </is>
      </c>
      <c r="F136" s="2" t="inlineStr">
        <is>
          <t>Y</t>
        </is>
      </c>
      <c r="G136" s="2" t="inlineStr">
        <is>
          <t>SUPPLIER</t>
        </is>
      </c>
      <c r="H136" s="2" t="inlineStr">
        <is>
          <t>Atomic packaging item; owns unit weight</t>
        </is>
      </c>
      <c r="I136" s="2" t="inlineStr">
        <is>
          <t>Packaging Engineering</t>
        </is>
      </c>
      <c r="J136" s="2" t="inlineStr">
        <is>
          <t>Frequent</t>
        </is>
      </c>
      <c r="K136" s="2" t="inlineStr">
        <is>
          <t>FK → SUPPLIER (Python QA; no huge dropdown)</t>
        </is>
      </c>
      <c r="L136" s="2" t="inlineStr">
        <is>
          <t>USER</t>
        </is>
      </c>
    </row>
    <row r="137">
      <c r="A137" s="2" t="inlineStr">
        <is>
          <t>COMPONENT</t>
        </is>
      </c>
      <c r="B137" s="2" t="inlineStr">
        <is>
          <t>WEIGHT_G</t>
        </is>
      </c>
      <c r="C137" s="2" t="inlineStr">
        <is>
          <t>DECIMAL</t>
        </is>
      </c>
      <c r="D137" s="2" t="inlineStr">
        <is>
          <t>Y</t>
        </is>
      </c>
      <c r="E137" s="2" t="inlineStr">
        <is>
          <t>N</t>
        </is>
      </c>
      <c r="F137" s="2" t="inlineStr">
        <is>
          <t>N</t>
        </is>
      </c>
      <c r="G137" s="2" t="n"/>
      <c r="H137" s="2" t="inlineStr">
        <is>
          <t>Unit weight source of truth</t>
        </is>
      </c>
      <c r="I137" s="2" t="inlineStr">
        <is>
          <t>Packaging Engineering</t>
        </is>
      </c>
      <c r="J137" s="2" t="inlineStr">
        <is>
          <t>Frequent</t>
        </is>
      </c>
      <c r="K137" s="2" t="inlineStr">
        <is>
          <t>Decimal number</t>
        </is>
      </c>
      <c r="L137" s="2" t="inlineStr">
        <is>
          <t>USER</t>
        </is>
      </c>
    </row>
    <row r="138">
      <c r="A138" s="2" t="inlineStr">
        <is>
          <t>COMPONENT</t>
        </is>
      </c>
      <c r="B138" s="2" t="inlineStr">
        <is>
          <t>LENGTH_MM</t>
        </is>
      </c>
      <c r="C138" s="2" t="inlineStr">
        <is>
          <t>DECIMAL</t>
        </is>
      </c>
      <c r="D138" s="2" t="inlineStr">
        <is>
          <t>N</t>
        </is>
      </c>
      <c r="E138" s="2" t="inlineStr">
        <is>
          <t>N</t>
        </is>
      </c>
      <c r="F138" s="2" t="inlineStr">
        <is>
          <t>N</t>
        </is>
      </c>
      <c r="G138" s="2" t="n"/>
      <c r="H138" s="2" t="inlineStr">
        <is>
          <t>Atomic packaging item; owns unit weight</t>
        </is>
      </c>
      <c r="I138" s="2" t="inlineStr">
        <is>
          <t>Packaging Engineering</t>
        </is>
      </c>
      <c r="J138" s="2" t="inlineStr">
        <is>
          <t>Frequent</t>
        </is>
      </c>
      <c r="K138" s="2" t="inlineStr">
        <is>
          <t>Decimal number</t>
        </is>
      </c>
      <c r="L138" s="2" t="inlineStr">
        <is>
          <t>USER</t>
        </is>
      </c>
    </row>
    <row r="139">
      <c r="A139" s="2" t="inlineStr">
        <is>
          <t>COMPONENT</t>
        </is>
      </c>
      <c r="B139" s="2" t="inlineStr">
        <is>
          <t>WIDTH_MM</t>
        </is>
      </c>
      <c r="C139" s="2" t="inlineStr">
        <is>
          <t>DECIMAL</t>
        </is>
      </c>
      <c r="D139" s="2" t="inlineStr">
        <is>
          <t>N</t>
        </is>
      </c>
      <c r="E139" s="2" t="inlineStr">
        <is>
          <t>N</t>
        </is>
      </c>
      <c r="F139" s="2" t="inlineStr">
        <is>
          <t>N</t>
        </is>
      </c>
      <c r="G139" s="2" t="n"/>
      <c r="H139" s="2" t="inlineStr">
        <is>
          <t>Atomic packaging item; owns unit weight</t>
        </is>
      </c>
      <c r="I139" s="2" t="inlineStr">
        <is>
          <t>Packaging Engineering</t>
        </is>
      </c>
      <c r="J139" s="2" t="inlineStr">
        <is>
          <t>Frequent</t>
        </is>
      </c>
      <c r="K139" s="2" t="inlineStr">
        <is>
          <t>Decimal number</t>
        </is>
      </c>
      <c r="L139" s="2" t="inlineStr">
        <is>
          <t>USER</t>
        </is>
      </c>
    </row>
    <row r="140">
      <c r="A140" s="2" t="inlineStr">
        <is>
          <t>COMPONENT</t>
        </is>
      </c>
      <c r="B140" s="2" t="inlineStr">
        <is>
          <t>HEIGHT_MM</t>
        </is>
      </c>
      <c r="C140" s="2" t="inlineStr">
        <is>
          <t>DECIMAL</t>
        </is>
      </c>
      <c r="D140" s="2" t="inlineStr">
        <is>
          <t>N</t>
        </is>
      </c>
      <c r="E140" s="2" t="inlineStr">
        <is>
          <t>N</t>
        </is>
      </c>
      <c r="F140" s="2" t="inlineStr">
        <is>
          <t>N</t>
        </is>
      </c>
      <c r="G140" s="2" t="n"/>
      <c r="H140" s="2" t="inlineStr">
        <is>
          <t>Atomic packaging item; owns unit weight</t>
        </is>
      </c>
      <c r="I140" s="2" t="inlineStr">
        <is>
          <t>Packaging Engineering</t>
        </is>
      </c>
      <c r="J140" s="2" t="inlineStr">
        <is>
          <t>Frequent</t>
        </is>
      </c>
      <c r="K140" s="2" t="inlineStr">
        <is>
          <t>Decimal number</t>
        </is>
      </c>
      <c r="L140" s="2" t="inlineStr">
        <is>
          <t>USER</t>
        </is>
      </c>
    </row>
    <row r="141">
      <c r="A141" s="2" t="inlineStr">
        <is>
          <t>COMPONENT</t>
        </is>
      </c>
      <c r="B141" s="2" t="inlineStr">
        <is>
          <t>RECYCLED_CONTENT_PCT</t>
        </is>
      </c>
      <c r="C141" s="2" t="inlineStr">
        <is>
          <t>DECIMAL</t>
        </is>
      </c>
      <c r="D141" s="2" t="inlineStr">
        <is>
          <t>N</t>
        </is>
      </c>
      <c r="E141" s="2" t="inlineStr">
        <is>
          <t>N</t>
        </is>
      </c>
      <c r="F141" s="2" t="inlineStr">
        <is>
          <t>N</t>
        </is>
      </c>
      <c r="G141" s="2" t="n"/>
      <c r="H141" s="2" t="inlineStr">
        <is>
          <t>Atomic packaging item; owns unit weight</t>
        </is>
      </c>
      <c r="I141" s="2" t="inlineStr">
        <is>
          <t>Packaging Engineering</t>
        </is>
      </c>
      <c r="J141" s="2" t="inlineStr">
        <is>
          <t>Frequent</t>
        </is>
      </c>
      <c r="K141" s="2" t="inlineStr">
        <is>
          <t>Decimal number</t>
        </is>
      </c>
      <c r="L141" s="2" t="inlineStr">
        <is>
          <t>USER</t>
        </is>
      </c>
    </row>
    <row r="142">
      <c r="A142" s="2" t="inlineStr">
        <is>
          <t>COMPONENT</t>
        </is>
      </c>
      <c r="B142" s="2" t="inlineStr">
        <is>
          <t>RECYCLABILITY_CLASS_ID</t>
        </is>
      </c>
      <c r="C142" s="2" t="inlineStr">
        <is>
          <t>INT</t>
        </is>
      </c>
      <c r="D142" s="2" t="inlineStr">
        <is>
          <t>N</t>
        </is>
      </c>
      <c r="E142" s="2" t="inlineStr">
        <is>
          <t>N</t>
        </is>
      </c>
      <c r="F142" s="2" t="inlineStr">
        <is>
          <t>Y</t>
        </is>
      </c>
      <c r="G142" s="2" t="inlineStr">
        <is>
          <t>LKP_RECYCLABILITY_CLASS</t>
        </is>
      </c>
      <c r="H142" s="2" t="inlineStr">
        <is>
          <t>Atomic packaging item; owns unit weight</t>
        </is>
      </c>
      <c r="I142" s="2" t="inlineStr">
        <is>
          <t>Packaging Engineering</t>
        </is>
      </c>
      <c r="J142" s="2" t="inlineStr">
        <is>
          <t>Frequent</t>
        </is>
      </c>
      <c r="K142" s="2" t="inlineStr">
        <is>
          <t>Lookup list → LKP_RECYCLABILITY_CLASS</t>
        </is>
      </c>
      <c r="L142" s="2" t="inlineStr">
        <is>
          <t>USER</t>
        </is>
      </c>
    </row>
    <row r="143">
      <c r="A143" s="2" t="inlineStr">
        <is>
          <t>COMPONENT</t>
        </is>
      </c>
      <c r="B143" s="2" t="inlineStr">
        <is>
          <t>REUSE_CYCLE_TARGET</t>
        </is>
      </c>
      <c r="C143" s="2" t="inlineStr">
        <is>
          <t>INT</t>
        </is>
      </c>
      <c r="D143" s="2" t="inlineStr">
        <is>
          <t>N</t>
        </is>
      </c>
      <c r="E143" s="2" t="inlineStr">
        <is>
          <t>N</t>
        </is>
      </c>
      <c r="F143" s="2" t="inlineStr">
        <is>
          <t>N</t>
        </is>
      </c>
      <c r="G143" s="2" t="n"/>
      <c r="H143" s="2" t="inlineStr">
        <is>
          <t>Atomic packaging item; owns unit weight</t>
        </is>
      </c>
      <c r="I143" s="2" t="inlineStr">
        <is>
          <t>Packaging Engineering</t>
        </is>
      </c>
      <c r="J143" s="2" t="inlineStr">
        <is>
          <t>Frequent</t>
        </is>
      </c>
      <c r="K143" s="2" t="inlineStr">
        <is>
          <t>Whole number / text-capable ID</t>
        </is>
      </c>
      <c r="L143" s="2" t="inlineStr">
        <is>
          <t>USER</t>
        </is>
      </c>
    </row>
    <row r="144">
      <c r="A144" s="2" t="inlineStr">
        <is>
          <t>COMPONENT</t>
        </is>
      </c>
      <c r="B144" s="2" t="inlineStr">
        <is>
          <t>SPEC_REF</t>
        </is>
      </c>
      <c r="C144" s="2" t="inlineStr">
        <is>
          <t>TEXT</t>
        </is>
      </c>
      <c r="D144" s="2" t="inlineStr">
        <is>
          <t>N</t>
        </is>
      </c>
      <c r="E144" s="2" t="inlineStr">
        <is>
          <t>N</t>
        </is>
      </c>
      <c r="F144" s="2" t="inlineStr">
        <is>
          <t>N</t>
        </is>
      </c>
      <c r="G144" s="2" t="n"/>
      <c r="H144" s="2" t="inlineStr">
        <is>
          <t>Atomic packaging item; owns unit weight</t>
        </is>
      </c>
      <c r="I144" s="2" t="inlineStr">
        <is>
          <t>Packaging Engineering</t>
        </is>
      </c>
      <c r="J144" s="2" t="inlineStr">
        <is>
          <t>Frequent</t>
        </is>
      </c>
      <c r="K144" s="2" t="inlineStr">
        <is>
          <t>Text</t>
        </is>
      </c>
      <c r="L144" s="2" t="inlineStr">
        <is>
          <t>USER</t>
        </is>
      </c>
    </row>
    <row r="145">
      <c r="A145" s="2" t="inlineStr">
        <is>
          <t>COMPONENT</t>
        </is>
      </c>
      <c r="B145" s="2" t="inlineStr">
        <is>
          <t>STATUS_ID</t>
        </is>
      </c>
      <c r="C145" s="2" t="inlineStr">
        <is>
          <t>INT</t>
        </is>
      </c>
      <c r="D145" s="2" t="inlineStr">
        <is>
          <t>Y</t>
        </is>
      </c>
      <c r="E145" s="2" t="inlineStr">
        <is>
          <t>N</t>
        </is>
      </c>
      <c r="F145" s="2" t="inlineStr">
        <is>
          <t>Y</t>
        </is>
      </c>
      <c r="G145" s="2" t="inlineStr">
        <is>
          <t>LKP_STATUS</t>
        </is>
      </c>
      <c r="H145" s="2" t="inlineStr">
        <is>
          <t>Atomic packaging item; owns unit weight</t>
        </is>
      </c>
      <c r="I145" s="2" t="inlineStr">
        <is>
          <t>Packaging Engineering</t>
        </is>
      </c>
      <c r="J145" s="2" t="inlineStr">
        <is>
          <t>Frequent</t>
        </is>
      </c>
      <c r="K145" s="2" t="inlineStr">
        <is>
          <t>Lookup list → LKP_STATUS</t>
        </is>
      </c>
      <c r="L145" s="2" t="inlineStr">
        <is>
          <t>USER</t>
        </is>
      </c>
    </row>
    <row r="146">
      <c r="A146" s="2" t="inlineStr">
        <is>
          <t>COMPONENT</t>
        </is>
      </c>
      <c r="B146" s="2" t="inlineStr">
        <is>
          <t>EFFECTIVE_FROM</t>
        </is>
      </c>
      <c r="C146" s="2" t="inlineStr">
        <is>
          <t>DATE</t>
        </is>
      </c>
      <c r="D146" s="2" t="inlineStr">
        <is>
          <t>Y</t>
        </is>
      </c>
      <c r="E146" s="2" t="inlineStr">
        <is>
          <t>N</t>
        </is>
      </c>
      <c r="F146" s="2" t="inlineStr">
        <is>
          <t>N</t>
        </is>
      </c>
      <c r="G146" s="2" t="n"/>
      <c r="H146" s="2" t="inlineStr">
        <is>
          <t>Atomic packaging item; owns unit weight</t>
        </is>
      </c>
      <c r="I146" s="2" t="inlineStr">
        <is>
          <t>Packaging Engineering</t>
        </is>
      </c>
      <c r="J146" s="2" t="inlineStr">
        <is>
          <t>Frequent</t>
        </is>
      </c>
      <c r="K146" s="2" t="inlineStr">
        <is>
          <t>Date DD.MM.YYYY</t>
        </is>
      </c>
      <c r="L146" s="2" t="inlineStr">
        <is>
          <t>USER</t>
        </is>
      </c>
    </row>
    <row r="147">
      <c r="A147" s="2" t="inlineStr">
        <is>
          <t>COMPONENT</t>
        </is>
      </c>
      <c r="B147" s="2" t="inlineStr">
        <is>
          <t>EFFECTIVE_TO</t>
        </is>
      </c>
      <c r="C147" s="2" t="inlineStr">
        <is>
          <t>DATE</t>
        </is>
      </c>
      <c r="D147" s="2" t="inlineStr">
        <is>
          <t>N</t>
        </is>
      </c>
      <c r="E147" s="2" t="inlineStr">
        <is>
          <t>N</t>
        </is>
      </c>
      <c r="F147" s="2" t="inlineStr">
        <is>
          <t>N</t>
        </is>
      </c>
      <c r="G147" s="2" t="n"/>
      <c r="H147" s="2" t="inlineStr">
        <is>
          <t>Atomic packaging item; owns unit weight</t>
        </is>
      </c>
      <c r="I147" s="2" t="inlineStr">
        <is>
          <t>Packaging Engineering</t>
        </is>
      </c>
      <c r="J147" s="2" t="inlineStr">
        <is>
          <t>Frequent</t>
        </is>
      </c>
      <c r="K147" s="2" t="inlineStr">
        <is>
          <t>Date DD.MM.YYYY</t>
        </is>
      </c>
      <c r="L147" s="2" t="inlineStr">
        <is>
          <t>USER</t>
        </is>
      </c>
    </row>
    <row r="148">
      <c r="A148" s="2" t="inlineStr">
        <is>
          <t>COMPONENT</t>
        </is>
      </c>
      <c r="B148" s="2" t="inlineStr">
        <is>
          <t>EXTERNAL_REF</t>
        </is>
      </c>
      <c r="C148" s="2" t="inlineStr">
        <is>
          <t>TEXT</t>
        </is>
      </c>
      <c r="D148" s="2" t="inlineStr">
        <is>
          <t>N</t>
        </is>
      </c>
      <c r="E148" s="2" t="inlineStr">
        <is>
          <t>N</t>
        </is>
      </c>
      <c r="F148" s="2" t="inlineStr">
        <is>
          <t>N</t>
        </is>
      </c>
      <c r="G148" s="2" t="n"/>
      <c r="H148" s="2" t="inlineStr">
        <is>
          <t>Atomic packaging item; owns unit weight</t>
        </is>
      </c>
      <c r="I148" s="2" t="inlineStr">
        <is>
          <t>Packaging Engineering</t>
        </is>
      </c>
      <c r="J148" s="2" t="inlineStr">
        <is>
          <t>Frequent</t>
        </is>
      </c>
      <c r="K148" s="2" t="inlineStr">
        <is>
          <t>Text</t>
        </is>
      </c>
      <c r="L148" s="2" t="inlineStr">
        <is>
          <t>USER</t>
        </is>
      </c>
    </row>
    <row r="149">
      <c r="A149" s="2" t="inlineStr">
        <is>
          <t>COMPONENT</t>
        </is>
      </c>
      <c r="B149" s="2" t="inlineStr">
        <is>
          <t>NOTES</t>
        </is>
      </c>
      <c r="C149" s="2" t="inlineStr">
        <is>
          <t>TEXT</t>
        </is>
      </c>
      <c r="D149" s="2" t="inlineStr">
        <is>
          <t>N</t>
        </is>
      </c>
      <c r="E149" s="2" t="inlineStr">
        <is>
          <t>N</t>
        </is>
      </c>
      <c r="F149" s="2" t="inlineStr">
        <is>
          <t>N</t>
        </is>
      </c>
      <c r="G149" s="2" t="n"/>
      <c r="H149" s="2" t="inlineStr">
        <is>
          <t>Atomic packaging item; owns unit weight</t>
        </is>
      </c>
      <c r="I149" s="2" t="inlineStr">
        <is>
          <t>Packaging Engineering</t>
        </is>
      </c>
      <c r="J149" s="2" t="inlineStr">
        <is>
          <t>Frequent</t>
        </is>
      </c>
      <c r="K149" s="2" t="inlineStr">
        <is>
          <t>Text</t>
        </is>
      </c>
      <c r="L149" s="2" t="inlineStr">
        <is>
          <t>USER</t>
        </is>
      </c>
    </row>
    <row r="150">
      <c r="A150" s="2" t="inlineStr">
        <is>
          <t>COMPONENT</t>
        </is>
      </c>
      <c r="B150" s="2" t="inlineStr">
        <is>
          <t>CREATED_AT</t>
        </is>
      </c>
      <c r="C150" s="2" t="inlineStr">
        <is>
          <t>DATETIME</t>
        </is>
      </c>
      <c r="D150" s="2" t="inlineStr">
        <is>
          <t>Y</t>
        </is>
      </c>
      <c r="E150" s="2" t="inlineStr">
        <is>
          <t>N</t>
        </is>
      </c>
      <c r="F150" s="2" t="inlineStr">
        <is>
          <t>N</t>
        </is>
      </c>
      <c r="G150" s="2" t="n"/>
      <c r="H150" s="2" t="inlineStr">
        <is>
          <t>Atomic packaging item; owns unit weight</t>
        </is>
      </c>
      <c r="I150" s="2" t="inlineStr">
        <is>
          <t>Packaging Engineering</t>
        </is>
      </c>
      <c r="J150" s="2" t="inlineStr">
        <is>
          <t>Frequent</t>
        </is>
      </c>
      <c r="K150" s="2" t="inlineStr">
        <is>
          <t>Text</t>
        </is>
      </c>
      <c r="L150" s="2" t="inlineStr">
        <is>
          <t>SYSTEM</t>
        </is>
      </c>
    </row>
    <row r="151">
      <c r="A151" s="2" t="inlineStr">
        <is>
          <t>COMPONENT</t>
        </is>
      </c>
      <c r="B151" s="2" t="inlineStr">
        <is>
          <t>UPDATED_AT</t>
        </is>
      </c>
      <c r="C151" s="2" t="inlineStr">
        <is>
          <t>DATETIME</t>
        </is>
      </c>
      <c r="D151" s="2" t="inlineStr">
        <is>
          <t>Y</t>
        </is>
      </c>
      <c r="E151" s="2" t="inlineStr">
        <is>
          <t>N</t>
        </is>
      </c>
      <c r="F151" s="2" t="inlineStr">
        <is>
          <t>N</t>
        </is>
      </c>
      <c r="G151" s="2" t="n"/>
      <c r="H151" s="2" t="inlineStr">
        <is>
          <t>Atomic packaging item; owns unit weight</t>
        </is>
      </c>
      <c r="I151" s="2" t="inlineStr">
        <is>
          <t>Packaging Engineering</t>
        </is>
      </c>
      <c r="J151" s="2" t="inlineStr">
        <is>
          <t>Frequent</t>
        </is>
      </c>
      <c r="K151" s="2" t="inlineStr">
        <is>
          <t>Text</t>
        </is>
      </c>
      <c r="L151" s="2" t="inlineStr">
        <is>
          <t>SYSTEM</t>
        </is>
      </c>
    </row>
    <row r="152">
      <c r="A152" s="2" t="inlineStr">
        <is>
          <t>COMPONENT_MATERIAL</t>
        </is>
      </c>
      <c r="B152" s="2" t="inlineStr">
        <is>
          <t>COMPONENT_MATERIAL_ID</t>
        </is>
      </c>
      <c r="C152" s="2" t="inlineStr">
        <is>
          <t>INT</t>
        </is>
      </c>
      <c r="D152" s="2" t="inlineStr">
        <is>
          <t>Y</t>
        </is>
      </c>
      <c r="E152" s="2" t="inlineStr">
        <is>
          <t>Y</t>
        </is>
      </c>
      <c r="F152" s="2" t="inlineStr">
        <is>
          <t>N</t>
        </is>
      </c>
      <c r="G152" s="2" t="n"/>
      <c r="H152" s="2" t="inlineStr">
        <is>
          <t>Multi-material composition shares for PPWR reporting</t>
        </is>
      </c>
      <c r="I152" s="2" t="inlineStr">
        <is>
          <t>Packaging Engineering</t>
        </is>
      </c>
      <c r="J152" s="2" t="inlineStr">
        <is>
          <t>Occasional</t>
        </is>
      </c>
      <c r="K152" s="2" t="inlineStr">
        <is>
          <t>PK unique; not blank when row used</t>
        </is>
      </c>
      <c r="L152" s="2" t="inlineStr">
        <is>
          <t>USER</t>
        </is>
      </c>
    </row>
    <row r="153">
      <c r="A153" s="2" t="inlineStr">
        <is>
          <t>COMPONENT_MATERIAL</t>
        </is>
      </c>
      <c r="B153" s="2" t="inlineStr">
        <is>
          <t>COMPONENT_ID</t>
        </is>
      </c>
      <c r="C153" s="2" t="inlineStr">
        <is>
          <t>INT</t>
        </is>
      </c>
      <c r="D153" s="2" t="inlineStr">
        <is>
          <t>Y</t>
        </is>
      </c>
      <c r="E153" s="2" t="inlineStr">
        <is>
          <t>N</t>
        </is>
      </c>
      <c r="F153" s="2" t="inlineStr">
        <is>
          <t>Y</t>
        </is>
      </c>
      <c r="G153" s="2" t="inlineStr">
        <is>
          <t>COMPONENT</t>
        </is>
      </c>
      <c r="H153" s="2" t="inlineStr">
        <is>
          <t>Multi-material composition shares for PPWR reporting</t>
        </is>
      </c>
      <c r="I153" s="2" t="inlineStr">
        <is>
          <t>Packaging Engineering</t>
        </is>
      </c>
      <c r="J153" s="2" t="inlineStr">
        <is>
          <t>Occasional</t>
        </is>
      </c>
      <c r="K153" s="2" t="inlineStr">
        <is>
          <t>FK → COMPONENT (Python QA; no huge dropdown)</t>
        </is>
      </c>
      <c r="L153" s="2" t="inlineStr">
        <is>
          <t>USER</t>
        </is>
      </c>
    </row>
    <row r="154">
      <c r="A154" s="2" t="inlineStr">
        <is>
          <t>COMPONENT_MATERIAL</t>
        </is>
      </c>
      <c r="B154" s="2" t="inlineStr">
        <is>
          <t>MATERIAL_ID</t>
        </is>
      </c>
      <c r="C154" s="2" t="inlineStr">
        <is>
          <t>INT</t>
        </is>
      </c>
      <c r="D154" s="2" t="inlineStr">
        <is>
          <t>Y</t>
        </is>
      </c>
      <c r="E154" s="2" t="inlineStr">
        <is>
          <t>N</t>
        </is>
      </c>
      <c r="F154" s="2" t="inlineStr">
        <is>
          <t>Y</t>
        </is>
      </c>
      <c r="G154" s="2" t="inlineStr">
        <is>
          <t>LKP_MATERIAL</t>
        </is>
      </c>
      <c r="H154" s="2" t="inlineStr">
        <is>
          <t>Multi-material composition shares for PPWR reporting</t>
        </is>
      </c>
      <c r="I154" s="2" t="inlineStr">
        <is>
          <t>Packaging Engineering</t>
        </is>
      </c>
      <c r="J154" s="2" t="inlineStr">
        <is>
          <t>Occasional</t>
        </is>
      </c>
      <c r="K154" s="2" t="inlineStr">
        <is>
          <t>Lookup list → LKP_MATERIAL</t>
        </is>
      </c>
      <c r="L154" s="2" t="inlineStr">
        <is>
          <t>USER</t>
        </is>
      </c>
    </row>
    <row r="155">
      <c r="A155" s="2" t="inlineStr">
        <is>
          <t>COMPONENT_MATERIAL</t>
        </is>
      </c>
      <c r="B155" s="2" t="inlineStr">
        <is>
          <t>SHARE_PCT</t>
        </is>
      </c>
      <c r="C155" s="2" t="inlineStr">
        <is>
          <t>DECIMAL</t>
        </is>
      </c>
      <c r="D155" s="2" t="inlineStr">
        <is>
          <t>Y</t>
        </is>
      </c>
      <c r="E155" s="2" t="inlineStr">
        <is>
          <t>N</t>
        </is>
      </c>
      <c r="F155" s="2" t="inlineStr">
        <is>
          <t>N</t>
        </is>
      </c>
      <c r="G155" s="2" t="n"/>
      <c r="H155" s="2" t="inlineStr">
        <is>
          <t>Multi-material composition shares for PPWR reporting</t>
        </is>
      </c>
      <c r="I155" s="2" t="inlineStr">
        <is>
          <t>Packaging Engineering</t>
        </is>
      </c>
      <c r="J155" s="2" t="inlineStr">
        <is>
          <t>Occasional</t>
        </is>
      </c>
      <c r="K155" s="2" t="inlineStr">
        <is>
          <t>Decimal number</t>
        </is>
      </c>
      <c r="L155" s="2" t="inlineStr">
        <is>
          <t>USER</t>
        </is>
      </c>
    </row>
    <row r="156">
      <c r="A156" s="2" t="inlineStr">
        <is>
          <t>COMPONENT_MATERIAL</t>
        </is>
      </c>
      <c r="B156" s="2" t="inlineStr">
        <is>
          <t>SORT_ORDER</t>
        </is>
      </c>
      <c r="C156" s="2" t="inlineStr">
        <is>
          <t>INT</t>
        </is>
      </c>
      <c r="D156" s="2" t="inlineStr">
        <is>
          <t>Y</t>
        </is>
      </c>
      <c r="E156" s="2" t="inlineStr">
        <is>
          <t>N</t>
        </is>
      </c>
      <c r="F156" s="2" t="inlineStr">
        <is>
          <t>N</t>
        </is>
      </c>
      <c r="G156" s="2" t="n"/>
      <c r="H156" s="2" t="inlineStr">
        <is>
          <t>Multi-material composition shares for PPWR reporting</t>
        </is>
      </c>
      <c r="I156" s="2" t="inlineStr">
        <is>
          <t>Packaging Engineering</t>
        </is>
      </c>
      <c r="J156" s="2" t="inlineStr">
        <is>
          <t>Occasional</t>
        </is>
      </c>
      <c r="K156" s="2" t="inlineStr">
        <is>
          <t>Whole number / text-capable ID</t>
        </is>
      </c>
      <c r="L156" s="2" t="inlineStr">
        <is>
          <t>USER</t>
        </is>
      </c>
    </row>
    <row r="157">
      <c r="A157" s="2" t="inlineStr">
        <is>
          <t>COMPONENT_MATERIAL</t>
        </is>
      </c>
      <c r="B157" s="2" t="inlineStr">
        <is>
          <t>NOTES</t>
        </is>
      </c>
      <c r="C157" s="2" t="inlineStr">
        <is>
          <t>TEXT</t>
        </is>
      </c>
      <c r="D157" s="2" t="inlineStr">
        <is>
          <t>N</t>
        </is>
      </c>
      <c r="E157" s="2" t="inlineStr">
        <is>
          <t>N</t>
        </is>
      </c>
      <c r="F157" s="2" t="inlineStr">
        <is>
          <t>N</t>
        </is>
      </c>
      <c r="G157" s="2" t="n"/>
      <c r="H157" s="2" t="inlineStr">
        <is>
          <t>Multi-material composition shares for PPWR reporting</t>
        </is>
      </c>
      <c r="I157" s="2" t="inlineStr">
        <is>
          <t>Packaging Engineering</t>
        </is>
      </c>
      <c r="J157" s="2" t="inlineStr">
        <is>
          <t>Occasional</t>
        </is>
      </c>
      <c r="K157" s="2" t="inlineStr">
        <is>
          <t>Text</t>
        </is>
      </c>
      <c r="L157" s="2" t="inlineStr">
        <is>
          <t>USER</t>
        </is>
      </c>
    </row>
    <row r="158">
      <c r="A158" s="2" t="inlineStr">
        <is>
          <t>PACKAGING_CONFIGURATION</t>
        </is>
      </c>
      <c r="B158" s="2" t="inlineStr">
        <is>
          <t>PACKAGING_CONFIGURATION_ID</t>
        </is>
      </c>
      <c r="C158" s="2" t="inlineStr">
        <is>
          <t>INT</t>
        </is>
      </c>
      <c r="D158" s="2" t="inlineStr">
        <is>
          <t>Y</t>
        </is>
      </c>
      <c r="E158" s="2" t="inlineStr">
        <is>
          <t>Y</t>
        </is>
      </c>
      <c r="F158" s="2" t="inlineStr">
        <is>
          <t>N</t>
        </is>
      </c>
      <c r="G158" s="2" t="n"/>
      <c r="H158" s="2" t="inlineStr">
        <is>
          <t>Packed-unit packaging BOM header (revisionable)</t>
        </is>
      </c>
      <c r="I158" s="2" t="inlineStr">
        <is>
          <t>Packaging Engineering</t>
        </is>
      </c>
      <c r="J158" s="2" t="inlineStr">
        <is>
          <t>Occasional</t>
        </is>
      </c>
      <c r="K158" s="2" t="inlineStr">
        <is>
          <t>PK unique; not blank when row used</t>
        </is>
      </c>
      <c r="L158" s="2" t="inlineStr">
        <is>
          <t>USER</t>
        </is>
      </c>
    </row>
    <row r="159">
      <c r="A159" s="2" t="inlineStr">
        <is>
          <t>PACKAGING_CONFIGURATION</t>
        </is>
      </c>
      <c r="B159" s="2" t="inlineStr">
        <is>
          <t>CONFIG_GROUP_CODE</t>
        </is>
      </c>
      <c r="C159" s="2" t="inlineStr">
        <is>
          <t>TEXT</t>
        </is>
      </c>
      <c r="D159" s="2" t="inlineStr">
        <is>
          <t>Y</t>
        </is>
      </c>
      <c r="E159" s="2" t="inlineStr">
        <is>
          <t>N</t>
        </is>
      </c>
      <c r="F159" s="2" t="inlineStr">
        <is>
          <t>N</t>
        </is>
      </c>
      <c r="G159" s="2" t="n"/>
      <c r="H159" s="2" t="inlineStr">
        <is>
          <t>Packed-unit packaging BOM header (revisionable)</t>
        </is>
      </c>
      <c r="I159" s="2" t="inlineStr">
        <is>
          <t>Packaging Engineering</t>
        </is>
      </c>
      <c r="J159" s="2" t="inlineStr">
        <is>
          <t>Occasional</t>
        </is>
      </c>
      <c r="K159" s="2" t="inlineStr">
        <is>
          <t>Text</t>
        </is>
      </c>
      <c r="L159" s="2" t="inlineStr">
        <is>
          <t>USER</t>
        </is>
      </c>
    </row>
    <row r="160">
      <c r="A160" s="2" t="inlineStr">
        <is>
          <t>PACKAGING_CONFIGURATION</t>
        </is>
      </c>
      <c r="B160" s="2" t="inlineStr">
        <is>
          <t>REVISION_NO</t>
        </is>
      </c>
      <c r="C160" s="2" t="inlineStr">
        <is>
          <t>INT</t>
        </is>
      </c>
      <c r="D160" s="2" t="inlineStr">
        <is>
          <t>Y</t>
        </is>
      </c>
      <c r="E160" s="2" t="inlineStr">
        <is>
          <t>N</t>
        </is>
      </c>
      <c r="F160" s="2" t="inlineStr">
        <is>
          <t>N</t>
        </is>
      </c>
      <c r="G160" s="2" t="n"/>
      <c r="H160" s="2" t="inlineStr">
        <is>
          <t>Packed-unit packaging BOM header (revisionable)</t>
        </is>
      </c>
      <c r="I160" s="2" t="inlineStr">
        <is>
          <t>Packaging Engineering</t>
        </is>
      </c>
      <c r="J160" s="2" t="inlineStr">
        <is>
          <t>Occasional</t>
        </is>
      </c>
      <c r="K160" s="2" t="inlineStr">
        <is>
          <t>Whole number / text-capable ID</t>
        </is>
      </c>
      <c r="L160" s="2" t="inlineStr">
        <is>
          <t>USER</t>
        </is>
      </c>
    </row>
    <row r="161">
      <c r="A161" s="2" t="inlineStr">
        <is>
          <t>PACKAGING_CONFIGURATION</t>
        </is>
      </c>
      <c r="B161" s="2" t="inlineStr">
        <is>
          <t>PACKAGING_CONFIGURATION_NAME</t>
        </is>
      </c>
      <c r="C161" s="2" t="inlineStr">
        <is>
          <t>TEXT</t>
        </is>
      </c>
      <c r="D161" s="2" t="inlineStr">
        <is>
          <t>Y</t>
        </is>
      </c>
      <c r="E161" s="2" t="inlineStr">
        <is>
          <t>N</t>
        </is>
      </c>
      <c r="F161" s="2" t="inlineStr">
        <is>
          <t>N</t>
        </is>
      </c>
      <c r="G161" s="2" t="n"/>
      <c r="H161" s="2" t="inlineStr">
        <is>
          <t>Packed-unit packaging BOM header (revisionable)</t>
        </is>
      </c>
      <c r="I161" s="2" t="inlineStr">
        <is>
          <t>Packaging Engineering</t>
        </is>
      </c>
      <c r="J161" s="2" t="inlineStr">
        <is>
          <t>Occasional</t>
        </is>
      </c>
      <c r="K161" s="2" t="inlineStr">
        <is>
          <t>Text</t>
        </is>
      </c>
      <c r="L161" s="2" t="inlineStr">
        <is>
          <t>USER</t>
        </is>
      </c>
    </row>
    <row r="162">
      <c r="A162" s="2" t="inlineStr">
        <is>
          <t>PACKAGING_CONFIGURATION</t>
        </is>
      </c>
      <c r="B162" s="2" t="inlineStr">
        <is>
          <t>DESCRIPTION</t>
        </is>
      </c>
      <c r="C162" s="2" t="inlineStr">
        <is>
          <t>TEXT</t>
        </is>
      </c>
      <c r="D162" s="2" t="inlineStr">
        <is>
          <t>N</t>
        </is>
      </c>
      <c r="E162" s="2" t="inlineStr">
        <is>
          <t>N</t>
        </is>
      </c>
      <c r="F162" s="2" t="inlineStr">
        <is>
          <t>N</t>
        </is>
      </c>
      <c r="G162" s="2" t="n"/>
      <c r="H162" s="2" t="inlineStr">
        <is>
          <t>Packed-unit packaging BOM header (revisionable)</t>
        </is>
      </c>
      <c r="I162" s="2" t="inlineStr">
        <is>
          <t>Packaging Engineering</t>
        </is>
      </c>
      <c r="J162" s="2" t="inlineStr">
        <is>
          <t>Occasional</t>
        </is>
      </c>
      <c r="K162" s="2" t="inlineStr">
        <is>
          <t>Text</t>
        </is>
      </c>
      <c r="L162" s="2" t="inlineStr">
        <is>
          <t>USER</t>
        </is>
      </c>
    </row>
    <row r="163">
      <c r="A163" s="2" t="inlineStr">
        <is>
          <t>PACKAGING_CONFIGURATION</t>
        </is>
      </c>
      <c r="B163" s="2" t="inlineStr">
        <is>
          <t>SUPERSEDES_ID</t>
        </is>
      </c>
      <c r="C163" s="2" t="inlineStr">
        <is>
          <t>INT</t>
        </is>
      </c>
      <c r="D163" s="2" t="inlineStr">
        <is>
          <t>N</t>
        </is>
      </c>
      <c r="E163" s="2" t="inlineStr">
        <is>
          <t>N</t>
        </is>
      </c>
      <c r="F163" s="2" t="inlineStr">
        <is>
          <t>Y</t>
        </is>
      </c>
      <c r="G163" s="2" t="inlineStr">
        <is>
          <t>PACKAGING_CONFIGURATION</t>
        </is>
      </c>
      <c r="H163" s="2" t="inlineStr">
        <is>
          <t>Packed-unit packaging BOM header (revisionable)</t>
        </is>
      </c>
      <c r="I163" s="2" t="inlineStr">
        <is>
          <t>Packaging Engineering</t>
        </is>
      </c>
      <c r="J163" s="2" t="inlineStr">
        <is>
          <t>Occasional</t>
        </is>
      </c>
      <c r="K163" s="2" t="inlineStr">
        <is>
          <t>FK → PACKAGING_CONFIGURATION (Python QA; no huge dropdown)</t>
        </is>
      </c>
      <c r="L163" s="2" t="inlineStr">
        <is>
          <t>USER</t>
        </is>
      </c>
    </row>
    <row r="164">
      <c r="A164" s="2" t="inlineStr">
        <is>
          <t>PACKAGING_CONFIGURATION</t>
        </is>
      </c>
      <c r="B164" s="2" t="inlineStr">
        <is>
          <t>STATUS_ID</t>
        </is>
      </c>
      <c r="C164" s="2" t="inlineStr">
        <is>
          <t>INT</t>
        </is>
      </c>
      <c r="D164" s="2" t="inlineStr">
        <is>
          <t>Y</t>
        </is>
      </c>
      <c r="E164" s="2" t="inlineStr">
        <is>
          <t>N</t>
        </is>
      </c>
      <c r="F164" s="2" t="inlineStr">
        <is>
          <t>Y</t>
        </is>
      </c>
      <c r="G164" s="2" t="inlineStr">
        <is>
          <t>LKP_STATUS</t>
        </is>
      </c>
      <c r="H164" s="2" t="inlineStr">
        <is>
          <t>Packed-unit packaging BOM header (revisionable)</t>
        </is>
      </c>
      <c r="I164" s="2" t="inlineStr">
        <is>
          <t>Packaging Engineering</t>
        </is>
      </c>
      <c r="J164" s="2" t="inlineStr">
        <is>
          <t>Occasional</t>
        </is>
      </c>
      <c r="K164" s="2" t="inlineStr">
        <is>
          <t>Lookup list → LKP_STATUS</t>
        </is>
      </c>
      <c r="L164" s="2" t="inlineStr">
        <is>
          <t>USER</t>
        </is>
      </c>
    </row>
    <row r="165">
      <c r="A165" s="2" t="inlineStr">
        <is>
          <t>PACKAGING_CONFIGURATION</t>
        </is>
      </c>
      <c r="B165" s="2" t="inlineStr">
        <is>
          <t>EFFECTIVE_FROM</t>
        </is>
      </c>
      <c r="C165" s="2" t="inlineStr">
        <is>
          <t>DATE</t>
        </is>
      </c>
      <c r="D165" s="2" t="inlineStr">
        <is>
          <t>Y</t>
        </is>
      </c>
      <c r="E165" s="2" t="inlineStr">
        <is>
          <t>N</t>
        </is>
      </c>
      <c r="F165" s="2" t="inlineStr">
        <is>
          <t>N</t>
        </is>
      </c>
      <c r="G165" s="2" t="n"/>
      <c r="H165" s="2" t="inlineStr">
        <is>
          <t>Packed-unit packaging BOM header (revisionable)</t>
        </is>
      </c>
      <c r="I165" s="2" t="inlineStr">
        <is>
          <t>Packaging Engineering</t>
        </is>
      </c>
      <c r="J165" s="2" t="inlineStr">
        <is>
          <t>Occasional</t>
        </is>
      </c>
      <c r="K165" s="2" t="inlineStr">
        <is>
          <t>Date DD.MM.YYYY</t>
        </is>
      </c>
      <c r="L165" s="2" t="inlineStr">
        <is>
          <t>USER</t>
        </is>
      </c>
    </row>
    <row r="166">
      <c r="A166" s="2" t="inlineStr">
        <is>
          <t>PACKAGING_CONFIGURATION</t>
        </is>
      </c>
      <c r="B166" s="2" t="inlineStr">
        <is>
          <t>EFFECTIVE_TO</t>
        </is>
      </c>
      <c r="C166" s="2" t="inlineStr">
        <is>
          <t>DATE</t>
        </is>
      </c>
      <c r="D166" s="2" t="inlineStr">
        <is>
          <t>N</t>
        </is>
      </c>
      <c r="E166" s="2" t="inlineStr">
        <is>
          <t>N</t>
        </is>
      </c>
      <c r="F166" s="2" t="inlineStr">
        <is>
          <t>N</t>
        </is>
      </c>
      <c r="G166" s="2" t="n"/>
      <c r="H166" s="2" t="inlineStr">
        <is>
          <t>Packed-unit packaging BOM header (revisionable)</t>
        </is>
      </c>
      <c r="I166" s="2" t="inlineStr">
        <is>
          <t>Packaging Engineering</t>
        </is>
      </c>
      <c r="J166" s="2" t="inlineStr">
        <is>
          <t>Occasional</t>
        </is>
      </c>
      <c r="K166" s="2" t="inlineStr">
        <is>
          <t>Date DD.MM.YYYY</t>
        </is>
      </c>
      <c r="L166" s="2" t="inlineStr">
        <is>
          <t>USER</t>
        </is>
      </c>
    </row>
    <row r="167">
      <c r="A167" s="2" t="inlineStr">
        <is>
          <t>PACKAGING_CONFIGURATION</t>
        </is>
      </c>
      <c r="B167" s="2" t="inlineStr">
        <is>
          <t>NOTES</t>
        </is>
      </c>
      <c r="C167" s="2" t="inlineStr">
        <is>
          <t>TEXT</t>
        </is>
      </c>
      <c r="D167" s="2" t="inlineStr">
        <is>
          <t>N</t>
        </is>
      </c>
      <c r="E167" s="2" t="inlineStr">
        <is>
          <t>N</t>
        </is>
      </c>
      <c r="F167" s="2" t="inlineStr">
        <is>
          <t>N</t>
        </is>
      </c>
      <c r="G167" s="2" t="n"/>
      <c r="H167" s="2" t="inlineStr">
        <is>
          <t>Packed-unit packaging BOM header (revisionable)</t>
        </is>
      </c>
      <c r="I167" s="2" t="inlineStr">
        <is>
          <t>Packaging Engineering</t>
        </is>
      </c>
      <c r="J167" s="2" t="inlineStr">
        <is>
          <t>Occasional</t>
        </is>
      </c>
      <c r="K167" s="2" t="inlineStr">
        <is>
          <t>Text</t>
        </is>
      </c>
      <c r="L167" s="2" t="inlineStr">
        <is>
          <t>USER</t>
        </is>
      </c>
    </row>
    <row r="168">
      <c r="A168" s="2" t="inlineStr">
        <is>
          <t>PACKAGING_CONFIGURATION</t>
        </is>
      </c>
      <c r="B168" s="2" t="inlineStr">
        <is>
          <t>CREATED_AT</t>
        </is>
      </c>
      <c r="C168" s="2" t="inlineStr">
        <is>
          <t>DATETIME</t>
        </is>
      </c>
      <c r="D168" s="2" t="inlineStr">
        <is>
          <t>Y</t>
        </is>
      </c>
      <c r="E168" s="2" t="inlineStr">
        <is>
          <t>N</t>
        </is>
      </c>
      <c r="F168" s="2" t="inlineStr">
        <is>
          <t>N</t>
        </is>
      </c>
      <c r="G168" s="2" t="n"/>
      <c r="H168" s="2" t="inlineStr">
        <is>
          <t>Packed-unit packaging BOM header (revisionable)</t>
        </is>
      </c>
      <c r="I168" s="2" t="inlineStr">
        <is>
          <t>Packaging Engineering</t>
        </is>
      </c>
      <c r="J168" s="2" t="inlineStr">
        <is>
          <t>Occasional</t>
        </is>
      </c>
      <c r="K168" s="2" t="inlineStr">
        <is>
          <t>Text</t>
        </is>
      </c>
      <c r="L168" s="2" t="inlineStr">
        <is>
          <t>SYSTEM</t>
        </is>
      </c>
    </row>
    <row r="169">
      <c r="A169" s="2" t="inlineStr">
        <is>
          <t>PACKAGING_CONFIGURATION</t>
        </is>
      </c>
      <c r="B169" s="2" t="inlineStr">
        <is>
          <t>UPDATED_AT</t>
        </is>
      </c>
      <c r="C169" s="2" t="inlineStr">
        <is>
          <t>DATETIME</t>
        </is>
      </c>
      <c r="D169" s="2" t="inlineStr">
        <is>
          <t>Y</t>
        </is>
      </c>
      <c r="E169" s="2" t="inlineStr">
        <is>
          <t>N</t>
        </is>
      </c>
      <c r="F169" s="2" t="inlineStr">
        <is>
          <t>N</t>
        </is>
      </c>
      <c r="G169" s="2" t="n"/>
      <c r="H169" s="2" t="inlineStr">
        <is>
          <t>Packed-unit packaging BOM header (revisionable)</t>
        </is>
      </c>
      <c r="I169" s="2" t="inlineStr">
        <is>
          <t>Packaging Engineering</t>
        </is>
      </c>
      <c r="J169" s="2" t="inlineStr">
        <is>
          <t>Occasional</t>
        </is>
      </c>
      <c r="K169" s="2" t="inlineStr">
        <is>
          <t>Text</t>
        </is>
      </c>
      <c r="L169" s="2" t="inlineStr">
        <is>
          <t>SYSTEM</t>
        </is>
      </c>
    </row>
    <row r="170">
      <c r="A170" s="2" t="inlineStr">
        <is>
          <t>PACKAGING_CONFIGURATION_LINE</t>
        </is>
      </c>
      <c r="B170" s="2" t="inlineStr">
        <is>
          <t>PACKAGING_CONFIGURATION_LINE_ID</t>
        </is>
      </c>
      <c r="C170" s="2" t="inlineStr">
        <is>
          <t>INT</t>
        </is>
      </c>
      <c r="D170" s="2" t="inlineStr">
        <is>
          <t>Y</t>
        </is>
      </c>
      <c r="E170" s="2" t="inlineStr">
        <is>
          <t>Y</t>
        </is>
      </c>
      <c r="F170" s="2" t="inlineStr">
        <is>
          <t>N</t>
        </is>
      </c>
      <c r="G170" s="2" t="n"/>
      <c r="H170" s="2" t="inlineStr">
        <is>
          <t>BOM lines: components per packed product unit</t>
        </is>
      </c>
      <c r="I170" s="2" t="inlineStr">
        <is>
          <t>Packaging Engineering</t>
        </is>
      </c>
      <c r="J170" s="2" t="inlineStr">
        <is>
          <t>With configuration revision</t>
        </is>
      </c>
      <c r="K170" s="2" t="inlineStr">
        <is>
          <t>PK unique; not blank when row used</t>
        </is>
      </c>
      <c r="L170" s="2" t="inlineStr">
        <is>
          <t>USER</t>
        </is>
      </c>
    </row>
    <row r="171">
      <c r="A171" s="2" t="inlineStr">
        <is>
          <t>PACKAGING_CONFIGURATION_LINE</t>
        </is>
      </c>
      <c r="B171" s="2" t="inlineStr">
        <is>
          <t>PACKAGING_CONFIGURATION_ID</t>
        </is>
      </c>
      <c r="C171" s="2" t="inlineStr">
        <is>
          <t>INT</t>
        </is>
      </c>
      <c r="D171" s="2" t="inlineStr">
        <is>
          <t>Y</t>
        </is>
      </c>
      <c r="E171" s="2" t="inlineStr">
        <is>
          <t>N</t>
        </is>
      </c>
      <c r="F171" s="2" t="inlineStr">
        <is>
          <t>Y</t>
        </is>
      </c>
      <c r="G171" s="2" t="inlineStr">
        <is>
          <t>PACKAGING_CONFIGURATION</t>
        </is>
      </c>
      <c r="H171" s="2" t="inlineStr">
        <is>
          <t>BOM lines: components per packed product unit</t>
        </is>
      </c>
      <c r="I171" s="2" t="inlineStr">
        <is>
          <t>Packaging Engineering</t>
        </is>
      </c>
      <c r="J171" s="2" t="inlineStr">
        <is>
          <t>With configuration revision</t>
        </is>
      </c>
      <c r="K171" s="2" t="inlineStr">
        <is>
          <t>FK → PACKAGING_CONFIGURATION (Python QA; no huge dropdown)</t>
        </is>
      </c>
      <c r="L171" s="2" t="inlineStr">
        <is>
          <t>USER</t>
        </is>
      </c>
    </row>
    <row r="172">
      <c r="A172" s="2" t="inlineStr">
        <is>
          <t>PACKAGING_CONFIGURATION_LINE</t>
        </is>
      </c>
      <c r="B172" s="2" t="inlineStr">
        <is>
          <t>COMPONENT_ID</t>
        </is>
      </c>
      <c r="C172" s="2" t="inlineStr">
        <is>
          <t>INT</t>
        </is>
      </c>
      <c r="D172" s="2" t="inlineStr">
        <is>
          <t>Y</t>
        </is>
      </c>
      <c r="E172" s="2" t="inlineStr">
        <is>
          <t>N</t>
        </is>
      </c>
      <c r="F172" s="2" t="inlineStr">
        <is>
          <t>Y</t>
        </is>
      </c>
      <c r="G172" s="2" t="inlineStr">
        <is>
          <t>COMPONENT</t>
        </is>
      </c>
      <c r="H172" s="2" t="inlineStr">
        <is>
          <t>BOM lines: components per packed product unit</t>
        </is>
      </c>
      <c r="I172" s="2" t="inlineStr">
        <is>
          <t>Packaging Engineering</t>
        </is>
      </c>
      <c r="J172" s="2" t="inlineStr">
        <is>
          <t>With configuration revision</t>
        </is>
      </c>
      <c r="K172" s="2" t="inlineStr">
        <is>
          <t>FK → COMPONENT (Python QA; no huge dropdown)</t>
        </is>
      </c>
      <c r="L172" s="2" t="inlineStr">
        <is>
          <t>USER</t>
        </is>
      </c>
    </row>
    <row r="173">
      <c r="A173" s="2" t="inlineStr">
        <is>
          <t>PACKAGING_CONFIGURATION_LINE</t>
        </is>
      </c>
      <c r="B173" s="2" t="inlineStr">
        <is>
          <t>QUANTITY</t>
        </is>
      </c>
      <c r="C173" s="2" t="inlineStr">
        <is>
          <t>DECIMAL</t>
        </is>
      </c>
      <c r="D173" s="2" t="inlineStr">
        <is>
          <t>Y</t>
        </is>
      </c>
      <c r="E173" s="2" t="inlineStr">
        <is>
          <t>N</t>
        </is>
      </c>
      <c r="F173" s="2" t="inlineStr">
        <is>
          <t>N</t>
        </is>
      </c>
      <c r="G173" s="2" t="n"/>
      <c r="H173" s="2" t="inlineStr">
        <is>
          <t>BOM lines: components per packed product unit</t>
        </is>
      </c>
      <c r="I173" s="2" t="inlineStr">
        <is>
          <t>Packaging Engineering</t>
        </is>
      </c>
      <c r="J173" s="2" t="inlineStr">
        <is>
          <t>With configuration revision</t>
        </is>
      </c>
      <c r="K173" s="2" t="inlineStr">
        <is>
          <t>Decimal number</t>
        </is>
      </c>
      <c r="L173" s="2" t="inlineStr">
        <is>
          <t>USER</t>
        </is>
      </c>
    </row>
    <row r="174">
      <c r="A174" s="2" t="inlineStr">
        <is>
          <t>PACKAGING_CONFIGURATION_LINE</t>
        </is>
      </c>
      <c r="B174" s="2" t="inlineStr">
        <is>
          <t>LINE_ROLE_ID</t>
        </is>
      </c>
      <c r="C174" s="2" t="inlineStr">
        <is>
          <t>INT</t>
        </is>
      </c>
      <c r="D174" s="2" t="inlineStr">
        <is>
          <t>Y</t>
        </is>
      </c>
      <c r="E174" s="2" t="inlineStr">
        <is>
          <t>N</t>
        </is>
      </c>
      <c r="F174" s="2" t="inlineStr">
        <is>
          <t>Y</t>
        </is>
      </c>
      <c r="G174" s="2" t="inlineStr">
        <is>
          <t>LKP_LINE_ROLE</t>
        </is>
      </c>
      <c r="H174" s="2" t="inlineStr">
        <is>
          <t>BOM lines: components per packed product unit</t>
        </is>
      </c>
      <c r="I174" s="2" t="inlineStr">
        <is>
          <t>Packaging Engineering</t>
        </is>
      </c>
      <c r="J174" s="2" t="inlineStr">
        <is>
          <t>With configuration revision</t>
        </is>
      </c>
      <c r="K174" s="2" t="inlineStr">
        <is>
          <t>Lookup list → LKP_LINE_ROLE</t>
        </is>
      </c>
      <c r="L174" s="2" t="inlineStr">
        <is>
          <t>USER</t>
        </is>
      </c>
    </row>
    <row r="175">
      <c r="A175" s="2" t="inlineStr">
        <is>
          <t>PACKAGING_CONFIGURATION_LINE</t>
        </is>
      </c>
      <c r="B175" s="2" t="inlineStr">
        <is>
          <t>SORT_ORDER</t>
        </is>
      </c>
      <c r="C175" s="2" t="inlineStr">
        <is>
          <t>INT</t>
        </is>
      </c>
      <c r="D175" s="2" t="inlineStr">
        <is>
          <t>Y</t>
        </is>
      </c>
      <c r="E175" s="2" t="inlineStr">
        <is>
          <t>N</t>
        </is>
      </c>
      <c r="F175" s="2" t="inlineStr">
        <is>
          <t>N</t>
        </is>
      </c>
      <c r="G175" s="2" t="n"/>
      <c r="H175" s="2" t="inlineStr">
        <is>
          <t>BOM lines: components per packed product unit</t>
        </is>
      </c>
      <c r="I175" s="2" t="inlineStr">
        <is>
          <t>Packaging Engineering</t>
        </is>
      </c>
      <c r="J175" s="2" t="inlineStr">
        <is>
          <t>With configuration revision</t>
        </is>
      </c>
      <c r="K175" s="2" t="inlineStr">
        <is>
          <t>Whole number / text-capable ID</t>
        </is>
      </c>
      <c r="L175" s="2" t="inlineStr">
        <is>
          <t>USER</t>
        </is>
      </c>
    </row>
    <row r="176">
      <c r="A176" s="2" t="inlineStr">
        <is>
          <t>PACKAGING_CONFIGURATION_LINE</t>
        </is>
      </c>
      <c r="B176" s="2" t="inlineStr">
        <is>
          <t>IS_OPTIONAL</t>
        </is>
      </c>
      <c r="C176" s="2" t="inlineStr">
        <is>
          <t>BOOL</t>
        </is>
      </c>
      <c r="D176" s="2" t="inlineStr">
        <is>
          <t>Y</t>
        </is>
      </c>
      <c r="E176" s="2" t="inlineStr">
        <is>
          <t>N</t>
        </is>
      </c>
      <c r="F176" s="2" t="inlineStr">
        <is>
          <t>N</t>
        </is>
      </c>
      <c r="G176" s="2" t="n"/>
      <c r="H176" s="2" t="inlineStr">
        <is>
          <t>BOM lines: components per packed product unit</t>
        </is>
      </c>
      <c r="I176" s="2" t="inlineStr">
        <is>
          <t>Packaging Engineering</t>
        </is>
      </c>
      <c r="J176" s="2" t="inlineStr">
        <is>
          <t>With configuration revision</t>
        </is>
      </c>
      <c r="K176" s="2" t="inlineStr">
        <is>
          <t>TRUE/FALSE</t>
        </is>
      </c>
      <c r="L176" s="2" t="inlineStr">
        <is>
          <t>USER</t>
        </is>
      </c>
    </row>
    <row r="177">
      <c r="A177" s="2" t="inlineStr">
        <is>
          <t>PACKAGING_CONFIGURATION_LINE</t>
        </is>
      </c>
      <c r="B177" s="2" t="inlineStr">
        <is>
          <t>NOTES</t>
        </is>
      </c>
      <c r="C177" s="2" t="inlineStr">
        <is>
          <t>TEXT</t>
        </is>
      </c>
      <c r="D177" s="2" t="inlineStr">
        <is>
          <t>N</t>
        </is>
      </c>
      <c r="E177" s="2" t="inlineStr">
        <is>
          <t>N</t>
        </is>
      </c>
      <c r="F177" s="2" t="inlineStr">
        <is>
          <t>N</t>
        </is>
      </c>
      <c r="G177" s="2" t="n"/>
      <c r="H177" s="2" t="inlineStr">
        <is>
          <t>BOM lines: components per packed product unit</t>
        </is>
      </c>
      <c r="I177" s="2" t="inlineStr">
        <is>
          <t>Packaging Engineering</t>
        </is>
      </c>
      <c r="J177" s="2" t="inlineStr">
        <is>
          <t>With configuration revision</t>
        </is>
      </c>
      <c r="K177" s="2" t="inlineStr">
        <is>
          <t>Text</t>
        </is>
      </c>
      <c r="L177" s="2" t="inlineStr">
        <is>
          <t>USER</t>
        </is>
      </c>
    </row>
    <row r="178">
      <c r="A178" s="2" t="inlineStr">
        <is>
          <t>TRANSPORT_CONFIGURATION</t>
        </is>
      </c>
      <c r="B178" s="2" t="inlineStr">
        <is>
          <t>TRANSPORT_CONFIGURATION_ID</t>
        </is>
      </c>
      <c r="C178" s="2" t="inlineStr">
        <is>
          <t>INT</t>
        </is>
      </c>
      <c r="D178" s="2" t="inlineStr">
        <is>
          <t>Y</t>
        </is>
      </c>
      <c r="E178" s="2" t="inlineStr">
        <is>
          <t>Y</t>
        </is>
      </c>
      <c r="F178" s="2" t="inlineStr">
        <is>
          <t>N</t>
        </is>
      </c>
      <c r="G178" s="2" t="n"/>
      <c r="H178" s="2" t="inlineStr">
        <is>
          <t>Transport unitization (pallet/container) header</t>
        </is>
      </c>
      <c r="I178" s="2" t="inlineStr">
        <is>
          <t>Packaging / Logistics Engineering</t>
        </is>
      </c>
      <c r="J178" s="2" t="inlineStr">
        <is>
          <t>Occasional</t>
        </is>
      </c>
      <c r="K178" s="2" t="inlineStr">
        <is>
          <t>PK unique; not blank when row used</t>
        </is>
      </c>
      <c r="L178" s="2" t="inlineStr">
        <is>
          <t>USER</t>
        </is>
      </c>
    </row>
    <row r="179">
      <c r="A179" s="2" t="inlineStr">
        <is>
          <t>TRANSPORT_CONFIGURATION</t>
        </is>
      </c>
      <c r="B179" s="2" t="inlineStr">
        <is>
          <t>CONFIG_GROUP_CODE</t>
        </is>
      </c>
      <c r="C179" s="2" t="inlineStr">
        <is>
          <t>TEXT</t>
        </is>
      </c>
      <c r="D179" s="2" t="inlineStr">
        <is>
          <t>Y</t>
        </is>
      </c>
      <c r="E179" s="2" t="inlineStr">
        <is>
          <t>N</t>
        </is>
      </c>
      <c r="F179" s="2" t="inlineStr">
        <is>
          <t>N</t>
        </is>
      </c>
      <c r="G179" s="2" t="n"/>
      <c r="H179" s="2" t="inlineStr">
        <is>
          <t>Transport unitization (pallet/container) header</t>
        </is>
      </c>
      <c r="I179" s="2" t="inlineStr">
        <is>
          <t>Packaging / Logistics Engineering</t>
        </is>
      </c>
      <c r="J179" s="2" t="inlineStr">
        <is>
          <t>Occasional</t>
        </is>
      </c>
      <c r="K179" s="2" t="inlineStr">
        <is>
          <t>Text</t>
        </is>
      </c>
      <c r="L179" s="2" t="inlineStr">
        <is>
          <t>USER</t>
        </is>
      </c>
    </row>
    <row r="180">
      <c r="A180" s="2" t="inlineStr">
        <is>
          <t>TRANSPORT_CONFIGURATION</t>
        </is>
      </c>
      <c r="B180" s="2" t="inlineStr">
        <is>
          <t>REVISION_NO</t>
        </is>
      </c>
      <c r="C180" s="2" t="inlineStr">
        <is>
          <t>INT</t>
        </is>
      </c>
      <c r="D180" s="2" t="inlineStr">
        <is>
          <t>Y</t>
        </is>
      </c>
      <c r="E180" s="2" t="inlineStr">
        <is>
          <t>N</t>
        </is>
      </c>
      <c r="F180" s="2" t="inlineStr">
        <is>
          <t>N</t>
        </is>
      </c>
      <c r="G180" s="2" t="n"/>
      <c r="H180" s="2" t="inlineStr">
        <is>
          <t>Transport unitization (pallet/container) header</t>
        </is>
      </c>
      <c r="I180" s="2" t="inlineStr">
        <is>
          <t>Packaging / Logistics Engineering</t>
        </is>
      </c>
      <c r="J180" s="2" t="inlineStr">
        <is>
          <t>Occasional</t>
        </is>
      </c>
      <c r="K180" s="2" t="inlineStr">
        <is>
          <t>Whole number / text-capable ID</t>
        </is>
      </c>
      <c r="L180" s="2" t="inlineStr">
        <is>
          <t>USER</t>
        </is>
      </c>
    </row>
    <row r="181">
      <c r="A181" s="2" t="inlineStr">
        <is>
          <t>TRANSPORT_CONFIGURATION</t>
        </is>
      </c>
      <c r="B181" s="2" t="inlineStr">
        <is>
          <t>TRANSPORT_CONFIGURATION_NAME</t>
        </is>
      </c>
      <c r="C181" s="2" t="inlineStr">
        <is>
          <t>TEXT</t>
        </is>
      </c>
      <c r="D181" s="2" t="inlineStr">
        <is>
          <t>Y</t>
        </is>
      </c>
      <c r="E181" s="2" t="inlineStr">
        <is>
          <t>N</t>
        </is>
      </c>
      <c r="F181" s="2" t="inlineStr">
        <is>
          <t>N</t>
        </is>
      </c>
      <c r="G181" s="2" t="n"/>
      <c r="H181" s="2" t="inlineStr">
        <is>
          <t>Transport unitization (pallet/container) header</t>
        </is>
      </c>
      <c r="I181" s="2" t="inlineStr">
        <is>
          <t>Packaging / Logistics Engineering</t>
        </is>
      </c>
      <c r="J181" s="2" t="inlineStr">
        <is>
          <t>Occasional</t>
        </is>
      </c>
      <c r="K181" s="2" t="inlineStr">
        <is>
          <t>Text</t>
        </is>
      </c>
      <c r="L181" s="2" t="inlineStr">
        <is>
          <t>USER</t>
        </is>
      </c>
    </row>
    <row r="182">
      <c r="A182" s="2" t="inlineStr">
        <is>
          <t>TRANSPORT_CONFIGURATION</t>
        </is>
      </c>
      <c r="B182" s="2" t="inlineStr">
        <is>
          <t>PACKAGING_CONFIGURATION_ID</t>
        </is>
      </c>
      <c r="C182" s="2" t="inlineStr">
        <is>
          <t>INT</t>
        </is>
      </c>
      <c r="D182" s="2" t="inlineStr">
        <is>
          <t>Y</t>
        </is>
      </c>
      <c r="E182" s="2" t="inlineStr">
        <is>
          <t>N</t>
        </is>
      </c>
      <c r="F182" s="2" t="inlineStr">
        <is>
          <t>Y</t>
        </is>
      </c>
      <c r="G182" s="2" t="inlineStr">
        <is>
          <t>PACKAGING_CONFIGURATION</t>
        </is>
      </c>
      <c r="H182" s="2" t="inlineStr">
        <is>
          <t>Transport unitization (pallet/container) header</t>
        </is>
      </c>
      <c r="I182" s="2" t="inlineStr">
        <is>
          <t>Packaging / Logistics Engineering</t>
        </is>
      </c>
      <c r="J182" s="2" t="inlineStr">
        <is>
          <t>Occasional</t>
        </is>
      </c>
      <c r="K182" s="2" t="inlineStr">
        <is>
          <t>FK → PACKAGING_CONFIGURATION (Python QA; no huge dropdown)</t>
        </is>
      </c>
      <c r="L182" s="2" t="inlineStr">
        <is>
          <t>USER</t>
        </is>
      </c>
    </row>
    <row r="183">
      <c r="A183" s="2" t="inlineStr">
        <is>
          <t>TRANSPORT_CONFIGURATION</t>
        </is>
      </c>
      <c r="B183" s="2" t="inlineStr">
        <is>
          <t>TRANSPORT_UNIT_TYPE_ID</t>
        </is>
      </c>
      <c r="C183" s="2" t="inlineStr">
        <is>
          <t>INT</t>
        </is>
      </c>
      <c r="D183" s="2" t="inlineStr">
        <is>
          <t>Y</t>
        </is>
      </c>
      <c r="E183" s="2" t="inlineStr">
        <is>
          <t>N</t>
        </is>
      </c>
      <c r="F183" s="2" t="inlineStr">
        <is>
          <t>Y</t>
        </is>
      </c>
      <c r="G183" s="2" t="inlineStr">
        <is>
          <t>LKP_TRANSPORT_UNIT_TYPE</t>
        </is>
      </c>
      <c r="H183" s="2" t="inlineStr">
        <is>
          <t>Transport unitization (pallet/container) header</t>
        </is>
      </c>
      <c r="I183" s="2" t="inlineStr">
        <is>
          <t>Packaging / Logistics Engineering</t>
        </is>
      </c>
      <c r="J183" s="2" t="inlineStr">
        <is>
          <t>Occasional</t>
        </is>
      </c>
      <c r="K183" s="2" t="inlineStr">
        <is>
          <t>Lookup list → LKP_TRANSPORT_UNIT_TYPE</t>
        </is>
      </c>
      <c r="L183" s="2" t="inlineStr">
        <is>
          <t>USER</t>
        </is>
      </c>
    </row>
    <row r="184">
      <c r="A184" s="2" t="inlineStr">
        <is>
          <t>TRANSPORT_CONFIGURATION</t>
        </is>
      </c>
      <c r="B184" s="2" t="inlineStr">
        <is>
          <t>UNITS_PER_LAYER</t>
        </is>
      </c>
      <c r="C184" s="2" t="inlineStr">
        <is>
          <t>INT</t>
        </is>
      </c>
      <c r="D184" s="2" t="inlineStr">
        <is>
          <t>N</t>
        </is>
      </c>
      <c r="E184" s="2" t="inlineStr">
        <is>
          <t>N</t>
        </is>
      </c>
      <c r="F184" s="2" t="inlineStr">
        <is>
          <t>N</t>
        </is>
      </c>
      <c r="G184" s="2" t="n"/>
      <c r="H184" s="2" t="inlineStr">
        <is>
          <t>Transport unitization (pallet/container) header</t>
        </is>
      </c>
      <c r="I184" s="2" t="inlineStr">
        <is>
          <t>Packaging / Logistics Engineering</t>
        </is>
      </c>
      <c r="J184" s="2" t="inlineStr">
        <is>
          <t>Occasional</t>
        </is>
      </c>
      <c r="K184" s="2" t="inlineStr">
        <is>
          <t>Whole number / text-capable ID</t>
        </is>
      </c>
      <c r="L184" s="2" t="inlineStr">
        <is>
          <t>USER</t>
        </is>
      </c>
    </row>
    <row r="185">
      <c r="A185" s="2" t="inlineStr">
        <is>
          <t>TRANSPORT_CONFIGURATION</t>
        </is>
      </c>
      <c r="B185" s="2" t="inlineStr">
        <is>
          <t>LAYERS_PER_UNIT</t>
        </is>
      </c>
      <c r="C185" s="2" t="inlineStr">
        <is>
          <t>INT</t>
        </is>
      </c>
      <c r="D185" s="2" t="inlineStr">
        <is>
          <t>N</t>
        </is>
      </c>
      <c r="E185" s="2" t="inlineStr">
        <is>
          <t>N</t>
        </is>
      </c>
      <c r="F185" s="2" t="inlineStr">
        <is>
          <t>N</t>
        </is>
      </c>
      <c r="G185" s="2" t="n"/>
      <c r="H185" s="2" t="inlineStr">
        <is>
          <t>Transport unitization (pallet/container) header</t>
        </is>
      </c>
      <c r="I185" s="2" t="inlineStr">
        <is>
          <t>Packaging / Logistics Engineering</t>
        </is>
      </c>
      <c r="J185" s="2" t="inlineStr">
        <is>
          <t>Occasional</t>
        </is>
      </c>
      <c r="K185" s="2" t="inlineStr">
        <is>
          <t>Whole number / text-capable ID</t>
        </is>
      </c>
      <c r="L185" s="2" t="inlineStr">
        <is>
          <t>USER</t>
        </is>
      </c>
    </row>
    <row r="186">
      <c r="A186" s="2" t="inlineStr">
        <is>
          <t>TRANSPORT_CONFIGURATION</t>
        </is>
      </c>
      <c r="B186" s="2" t="inlineStr">
        <is>
          <t>CONTAINER_PAYLOAD_UNITS</t>
        </is>
      </c>
      <c r="C186" s="2" t="inlineStr">
        <is>
          <t>INT</t>
        </is>
      </c>
      <c r="D186" s="2" t="inlineStr">
        <is>
          <t>N</t>
        </is>
      </c>
      <c r="E186" s="2" t="inlineStr">
        <is>
          <t>N</t>
        </is>
      </c>
      <c r="F186" s="2" t="inlineStr">
        <is>
          <t>N</t>
        </is>
      </c>
      <c r="G186" s="2" t="n"/>
      <c r="H186" s="2" t="inlineStr">
        <is>
          <t>Transport unitization (pallet/container) header</t>
        </is>
      </c>
      <c r="I186" s="2" t="inlineStr">
        <is>
          <t>Packaging / Logistics Engineering</t>
        </is>
      </c>
      <c r="J186" s="2" t="inlineStr">
        <is>
          <t>Occasional</t>
        </is>
      </c>
      <c r="K186" s="2" t="inlineStr">
        <is>
          <t>Whole number / text-capable ID</t>
        </is>
      </c>
      <c r="L186" s="2" t="inlineStr">
        <is>
          <t>USER</t>
        </is>
      </c>
    </row>
    <row r="187">
      <c r="A187" s="2" t="inlineStr">
        <is>
          <t>TRANSPORT_CONFIGURATION</t>
        </is>
      </c>
      <c r="B187" s="2" t="inlineStr">
        <is>
          <t>MAX_GROSS_WEIGHT_KG</t>
        </is>
      </c>
      <c r="C187" s="2" t="inlineStr">
        <is>
          <t>DECIMAL</t>
        </is>
      </c>
      <c r="D187" s="2" t="inlineStr">
        <is>
          <t>N</t>
        </is>
      </c>
      <c r="E187" s="2" t="inlineStr">
        <is>
          <t>N</t>
        </is>
      </c>
      <c r="F187" s="2" t="inlineStr">
        <is>
          <t>N</t>
        </is>
      </c>
      <c r="G187" s="2" t="n"/>
      <c r="H187" s="2" t="inlineStr">
        <is>
          <t>Transport unitization (pallet/container) header</t>
        </is>
      </c>
      <c r="I187" s="2" t="inlineStr">
        <is>
          <t>Packaging / Logistics Engineering</t>
        </is>
      </c>
      <c r="J187" s="2" t="inlineStr">
        <is>
          <t>Occasional</t>
        </is>
      </c>
      <c r="K187" s="2" t="inlineStr">
        <is>
          <t>Decimal number</t>
        </is>
      </c>
      <c r="L187" s="2" t="inlineStr">
        <is>
          <t>USER</t>
        </is>
      </c>
    </row>
    <row r="188">
      <c r="A188" s="2" t="inlineStr">
        <is>
          <t>TRANSPORT_CONFIGURATION</t>
        </is>
      </c>
      <c r="B188" s="2" t="inlineStr">
        <is>
          <t>SUPERSEDES_ID</t>
        </is>
      </c>
      <c r="C188" s="2" t="inlineStr">
        <is>
          <t>INT</t>
        </is>
      </c>
      <c r="D188" s="2" t="inlineStr">
        <is>
          <t>N</t>
        </is>
      </c>
      <c r="E188" s="2" t="inlineStr">
        <is>
          <t>N</t>
        </is>
      </c>
      <c r="F188" s="2" t="inlineStr">
        <is>
          <t>Y</t>
        </is>
      </c>
      <c r="G188" s="2" t="inlineStr">
        <is>
          <t>TRANSPORT_CONFIGURATION</t>
        </is>
      </c>
      <c r="H188" s="2" t="inlineStr">
        <is>
          <t>Transport unitization (pallet/container) header</t>
        </is>
      </c>
      <c r="I188" s="2" t="inlineStr">
        <is>
          <t>Packaging / Logistics Engineering</t>
        </is>
      </c>
      <c r="J188" s="2" t="inlineStr">
        <is>
          <t>Occasional</t>
        </is>
      </c>
      <c r="K188" s="2" t="inlineStr">
        <is>
          <t>FK → TRANSPORT_CONFIGURATION (Python QA; no huge dropdown)</t>
        </is>
      </c>
      <c r="L188" s="2" t="inlineStr">
        <is>
          <t>USER</t>
        </is>
      </c>
    </row>
    <row r="189">
      <c r="A189" s="2" t="inlineStr">
        <is>
          <t>TRANSPORT_CONFIGURATION</t>
        </is>
      </c>
      <c r="B189" s="2" t="inlineStr">
        <is>
          <t>STATUS_ID</t>
        </is>
      </c>
      <c r="C189" s="2" t="inlineStr">
        <is>
          <t>INT</t>
        </is>
      </c>
      <c r="D189" s="2" t="inlineStr">
        <is>
          <t>Y</t>
        </is>
      </c>
      <c r="E189" s="2" t="inlineStr">
        <is>
          <t>N</t>
        </is>
      </c>
      <c r="F189" s="2" t="inlineStr">
        <is>
          <t>Y</t>
        </is>
      </c>
      <c r="G189" s="2" t="inlineStr">
        <is>
          <t>LKP_STATUS</t>
        </is>
      </c>
      <c r="H189" s="2" t="inlineStr">
        <is>
          <t>Transport unitization (pallet/container) header</t>
        </is>
      </c>
      <c r="I189" s="2" t="inlineStr">
        <is>
          <t>Packaging / Logistics Engineering</t>
        </is>
      </c>
      <c r="J189" s="2" t="inlineStr">
        <is>
          <t>Occasional</t>
        </is>
      </c>
      <c r="K189" s="2" t="inlineStr">
        <is>
          <t>Lookup list → LKP_STATUS</t>
        </is>
      </c>
      <c r="L189" s="2" t="inlineStr">
        <is>
          <t>USER</t>
        </is>
      </c>
    </row>
    <row r="190">
      <c r="A190" s="2" t="inlineStr">
        <is>
          <t>TRANSPORT_CONFIGURATION</t>
        </is>
      </c>
      <c r="B190" s="2" t="inlineStr">
        <is>
          <t>EFFECTIVE_FROM</t>
        </is>
      </c>
      <c r="C190" s="2" t="inlineStr">
        <is>
          <t>DATE</t>
        </is>
      </c>
      <c r="D190" s="2" t="inlineStr">
        <is>
          <t>Y</t>
        </is>
      </c>
      <c r="E190" s="2" t="inlineStr">
        <is>
          <t>N</t>
        </is>
      </c>
      <c r="F190" s="2" t="inlineStr">
        <is>
          <t>N</t>
        </is>
      </c>
      <c r="G190" s="2" t="n"/>
      <c r="H190" s="2" t="inlineStr">
        <is>
          <t>Transport unitization (pallet/container) header</t>
        </is>
      </c>
      <c r="I190" s="2" t="inlineStr">
        <is>
          <t>Packaging / Logistics Engineering</t>
        </is>
      </c>
      <c r="J190" s="2" t="inlineStr">
        <is>
          <t>Occasional</t>
        </is>
      </c>
      <c r="K190" s="2" t="inlineStr">
        <is>
          <t>Date DD.MM.YYYY</t>
        </is>
      </c>
      <c r="L190" s="2" t="inlineStr">
        <is>
          <t>USER</t>
        </is>
      </c>
    </row>
    <row r="191">
      <c r="A191" s="2" t="inlineStr">
        <is>
          <t>TRANSPORT_CONFIGURATION</t>
        </is>
      </c>
      <c r="B191" s="2" t="inlineStr">
        <is>
          <t>EFFECTIVE_TO</t>
        </is>
      </c>
      <c r="C191" s="2" t="inlineStr">
        <is>
          <t>DATE</t>
        </is>
      </c>
      <c r="D191" s="2" t="inlineStr">
        <is>
          <t>N</t>
        </is>
      </c>
      <c r="E191" s="2" t="inlineStr">
        <is>
          <t>N</t>
        </is>
      </c>
      <c r="F191" s="2" t="inlineStr">
        <is>
          <t>N</t>
        </is>
      </c>
      <c r="G191" s="2" t="n"/>
      <c r="H191" s="2" t="inlineStr">
        <is>
          <t>Transport unitization (pallet/container) header</t>
        </is>
      </c>
      <c r="I191" s="2" t="inlineStr">
        <is>
          <t>Packaging / Logistics Engineering</t>
        </is>
      </c>
      <c r="J191" s="2" t="inlineStr">
        <is>
          <t>Occasional</t>
        </is>
      </c>
      <c r="K191" s="2" t="inlineStr">
        <is>
          <t>Date DD.MM.YYYY</t>
        </is>
      </c>
      <c r="L191" s="2" t="inlineStr">
        <is>
          <t>USER</t>
        </is>
      </c>
    </row>
    <row r="192">
      <c r="A192" s="2" t="inlineStr">
        <is>
          <t>TRANSPORT_CONFIGURATION</t>
        </is>
      </c>
      <c r="B192" s="2" t="inlineStr">
        <is>
          <t>NOTES</t>
        </is>
      </c>
      <c r="C192" s="2" t="inlineStr">
        <is>
          <t>TEXT</t>
        </is>
      </c>
      <c r="D192" s="2" t="inlineStr">
        <is>
          <t>N</t>
        </is>
      </c>
      <c r="E192" s="2" t="inlineStr">
        <is>
          <t>N</t>
        </is>
      </c>
      <c r="F192" s="2" t="inlineStr">
        <is>
          <t>N</t>
        </is>
      </c>
      <c r="G192" s="2" t="n"/>
      <c r="H192" s="2" t="inlineStr">
        <is>
          <t>Transport unitization (pallet/container) header</t>
        </is>
      </c>
      <c r="I192" s="2" t="inlineStr">
        <is>
          <t>Packaging / Logistics Engineering</t>
        </is>
      </c>
      <c r="J192" s="2" t="inlineStr">
        <is>
          <t>Occasional</t>
        </is>
      </c>
      <c r="K192" s="2" t="inlineStr">
        <is>
          <t>Text</t>
        </is>
      </c>
      <c r="L192" s="2" t="inlineStr">
        <is>
          <t>USER</t>
        </is>
      </c>
    </row>
    <row r="193">
      <c r="A193" s="2" t="inlineStr">
        <is>
          <t>TRANSPORT_CONFIGURATION</t>
        </is>
      </c>
      <c r="B193" s="2" t="inlineStr">
        <is>
          <t>CREATED_AT</t>
        </is>
      </c>
      <c r="C193" s="2" t="inlineStr">
        <is>
          <t>DATETIME</t>
        </is>
      </c>
      <c r="D193" s="2" t="inlineStr">
        <is>
          <t>Y</t>
        </is>
      </c>
      <c r="E193" s="2" t="inlineStr">
        <is>
          <t>N</t>
        </is>
      </c>
      <c r="F193" s="2" t="inlineStr">
        <is>
          <t>N</t>
        </is>
      </c>
      <c r="G193" s="2" t="n"/>
      <c r="H193" s="2" t="inlineStr">
        <is>
          <t>Transport unitization (pallet/container) header</t>
        </is>
      </c>
      <c r="I193" s="2" t="inlineStr">
        <is>
          <t>Packaging / Logistics Engineering</t>
        </is>
      </c>
      <c r="J193" s="2" t="inlineStr">
        <is>
          <t>Occasional</t>
        </is>
      </c>
      <c r="K193" s="2" t="inlineStr">
        <is>
          <t>Text</t>
        </is>
      </c>
      <c r="L193" s="2" t="inlineStr">
        <is>
          <t>SYSTEM</t>
        </is>
      </c>
    </row>
    <row r="194">
      <c r="A194" s="2" t="inlineStr">
        <is>
          <t>TRANSPORT_CONFIGURATION</t>
        </is>
      </c>
      <c r="B194" s="2" t="inlineStr">
        <is>
          <t>UPDATED_AT</t>
        </is>
      </c>
      <c r="C194" s="2" t="inlineStr">
        <is>
          <t>DATETIME</t>
        </is>
      </c>
      <c r="D194" s="2" t="inlineStr">
        <is>
          <t>Y</t>
        </is>
      </c>
      <c r="E194" s="2" t="inlineStr">
        <is>
          <t>N</t>
        </is>
      </c>
      <c r="F194" s="2" t="inlineStr">
        <is>
          <t>N</t>
        </is>
      </c>
      <c r="G194" s="2" t="n"/>
      <c r="H194" s="2" t="inlineStr">
        <is>
          <t>Transport unitization (pallet/container) header</t>
        </is>
      </c>
      <c r="I194" s="2" t="inlineStr">
        <is>
          <t>Packaging / Logistics Engineering</t>
        </is>
      </c>
      <c r="J194" s="2" t="inlineStr">
        <is>
          <t>Occasional</t>
        </is>
      </c>
      <c r="K194" s="2" t="inlineStr">
        <is>
          <t>Text</t>
        </is>
      </c>
      <c r="L194" s="2" t="inlineStr">
        <is>
          <t>SYSTEM</t>
        </is>
      </c>
    </row>
    <row r="195">
      <c r="A195" s="2" t="inlineStr">
        <is>
          <t>TRANSPORT_CONFIGURATION_LINE</t>
        </is>
      </c>
      <c r="B195" s="2" t="inlineStr">
        <is>
          <t>TRANSPORT_CONFIGURATION_LINE_ID</t>
        </is>
      </c>
      <c r="C195" s="2" t="inlineStr">
        <is>
          <t>INT</t>
        </is>
      </c>
      <c r="D195" s="2" t="inlineStr">
        <is>
          <t>Y</t>
        </is>
      </c>
      <c r="E195" s="2" t="inlineStr">
        <is>
          <t>Y</t>
        </is>
      </c>
      <c r="F195" s="2" t="inlineStr">
        <is>
          <t>N</t>
        </is>
      </c>
      <c r="G195" s="2" t="n"/>
      <c r="H195" s="2" t="inlineStr">
        <is>
          <t>Transport-level components per transport unit</t>
        </is>
      </c>
      <c r="I195" s="2" t="inlineStr">
        <is>
          <t>Packaging / Logistics Engineering</t>
        </is>
      </c>
      <c r="J195" s="2" t="inlineStr">
        <is>
          <t>With transport revision</t>
        </is>
      </c>
      <c r="K195" s="2" t="inlineStr">
        <is>
          <t>PK unique; not blank when row used</t>
        </is>
      </c>
      <c r="L195" s="2" t="inlineStr">
        <is>
          <t>USER</t>
        </is>
      </c>
    </row>
    <row r="196">
      <c r="A196" s="2" t="inlineStr">
        <is>
          <t>TRANSPORT_CONFIGURATION_LINE</t>
        </is>
      </c>
      <c r="B196" s="2" t="inlineStr">
        <is>
          <t>TRANSPORT_CONFIGURATION_ID</t>
        </is>
      </c>
      <c r="C196" s="2" t="inlineStr">
        <is>
          <t>INT</t>
        </is>
      </c>
      <c r="D196" s="2" t="inlineStr">
        <is>
          <t>Y</t>
        </is>
      </c>
      <c r="E196" s="2" t="inlineStr">
        <is>
          <t>N</t>
        </is>
      </c>
      <c r="F196" s="2" t="inlineStr">
        <is>
          <t>Y</t>
        </is>
      </c>
      <c r="G196" s="2" t="inlineStr">
        <is>
          <t>TRANSPORT_CONFIGURATION</t>
        </is>
      </c>
      <c r="H196" s="2" t="inlineStr">
        <is>
          <t>Transport-level components per transport unit</t>
        </is>
      </c>
      <c r="I196" s="2" t="inlineStr">
        <is>
          <t>Packaging / Logistics Engineering</t>
        </is>
      </c>
      <c r="J196" s="2" t="inlineStr">
        <is>
          <t>With transport revision</t>
        </is>
      </c>
      <c r="K196" s="2" t="inlineStr">
        <is>
          <t>FK → TRANSPORT_CONFIGURATION (Python QA; no huge dropdown)</t>
        </is>
      </c>
      <c r="L196" s="2" t="inlineStr">
        <is>
          <t>USER</t>
        </is>
      </c>
    </row>
    <row r="197">
      <c r="A197" s="2" t="inlineStr">
        <is>
          <t>TRANSPORT_CONFIGURATION_LINE</t>
        </is>
      </c>
      <c r="B197" s="2" t="inlineStr">
        <is>
          <t>COMPONENT_ID</t>
        </is>
      </c>
      <c r="C197" s="2" t="inlineStr">
        <is>
          <t>INT</t>
        </is>
      </c>
      <c r="D197" s="2" t="inlineStr">
        <is>
          <t>Y</t>
        </is>
      </c>
      <c r="E197" s="2" t="inlineStr">
        <is>
          <t>N</t>
        </is>
      </c>
      <c r="F197" s="2" t="inlineStr">
        <is>
          <t>Y</t>
        </is>
      </c>
      <c r="G197" s="2" t="inlineStr">
        <is>
          <t>COMPONENT</t>
        </is>
      </c>
      <c r="H197" s="2" t="inlineStr">
        <is>
          <t>Transport-level components per transport unit</t>
        </is>
      </c>
      <c r="I197" s="2" t="inlineStr">
        <is>
          <t>Packaging / Logistics Engineering</t>
        </is>
      </c>
      <c r="J197" s="2" t="inlineStr">
        <is>
          <t>With transport revision</t>
        </is>
      </c>
      <c r="K197" s="2" t="inlineStr">
        <is>
          <t>FK → COMPONENT (Python QA; no huge dropdown)</t>
        </is>
      </c>
      <c r="L197" s="2" t="inlineStr">
        <is>
          <t>USER</t>
        </is>
      </c>
    </row>
    <row r="198">
      <c r="A198" s="2" t="inlineStr">
        <is>
          <t>TRANSPORT_CONFIGURATION_LINE</t>
        </is>
      </c>
      <c r="B198" s="2" t="inlineStr">
        <is>
          <t>QUANTITY_PER_TRANSPORT_UNIT</t>
        </is>
      </c>
      <c r="C198" s="2" t="inlineStr">
        <is>
          <t>DECIMAL</t>
        </is>
      </c>
      <c r="D198" s="2" t="inlineStr">
        <is>
          <t>Y</t>
        </is>
      </c>
      <c r="E198" s="2" t="inlineStr">
        <is>
          <t>N</t>
        </is>
      </c>
      <c r="F198" s="2" t="inlineStr">
        <is>
          <t>N</t>
        </is>
      </c>
      <c r="G198" s="2" t="n"/>
      <c r="H198" s="2" t="inlineStr">
        <is>
          <t>Transport-level components per transport unit</t>
        </is>
      </c>
      <c r="I198" s="2" t="inlineStr">
        <is>
          <t>Packaging / Logistics Engineering</t>
        </is>
      </c>
      <c r="J198" s="2" t="inlineStr">
        <is>
          <t>With transport revision</t>
        </is>
      </c>
      <c r="K198" s="2" t="inlineStr">
        <is>
          <t>Decimal number</t>
        </is>
      </c>
      <c r="L198" s="2" t="inlineStr">
        <is>
          <t>USER</t>
        </is>
      </c>
    </row>
    <row r="199">
      <c r="A199" s="2" t="inlineStr">
        <is>
          <t>TRANSPORT_CONFIGURATION_LINE</t>
        </is>
      </c>
      <c r="B199" s="2" t="inlineStr">
        <is>
          <t>LINE_ROLE_ID</t>
        </is>
      </c>
      <c r="C199" s="2" t="inlineStr">
        <is>
          <t>INT</t>
        </is>
      </c>
      <c r="D199" s="2" t="inlineStr">
        <is>
          <t>Y</t>
        </is>
      </c>
      <c r="E199" s="2" t="inlineStr">
        <is>
          <t>N</t>
        </is>
      </c>
      <c r="F199" s="2" t="inlineStr">
        <is>
          <t>Y</t>
        </is>
      </c>
      <c r="G199" s="2" t="inlineStr">
        <is>
          <t>LKP_LINE_ROLE</t>
        </is>
      </c>
      <c r="H199" s="2" t="inlineStr">
        <is>
          <t>Transport-level components per transport unit</t>
        </is>
      </c>
      <c r="I199" s="2" t="inlineStr">
        <is>
          <t>Packaging / Logistics Engineering</t>
        </is>
      </c>
      <c r="J199" s="2" t="inlineStr">
        <is>
          <t>With transport revision</t>
        </is>
      </c>
      <c r="K199" s="2" t="inlineStr">
        <is>
          <t>Lookup list → LKP_LINE_ROLE</t>
        </is>
      </c>
      <c r="L199" s="2" t="inlineStr">
        <is>
          <t>USER</t>
        </is>
      </c>
    </row>
    <row r="200">
      <c r="A200" s="2" t="inlineStr">
        <is>
          <t>TRANSPORT_CONFIGURATION_LINE</t>
        </is>
      </c>
      <c r="B200" s="2" t="inlineStr">
        <is>
          <t>SORT_ORDER</t>
        </is>
      </c>
      <c r="C200" s="2" t="inlineStr">
        <is>
          <t>INT</t>
        </is>
      </c>
      <c r="D200" s="2" t="inlineStr">
        <is>
          <t>Y</t>
        </is>
      </c>
      <c r="E200" s="2" t="inlineStr">
        <is>
          <t>N</t>
        </is>
      </c>
      <c r="F200" s="2" t="inlineStr">
        <is>
          <t>N</t>
        </is>
      </c>
      <c r="G200" s="2" t="n"/>
      <c r="H200" s="2" t="inlineStr">
        <is>
          <t>Transport-level components per transport unit</t>
        </is>
      </c>
      <c r="I200" s="2" t="inlineStr">
        <is>
          <t>Packaging / Logistics Engineering</t>
        </is>
      </c>
      <c r="J200" s="2" t="inlineStr">
        <is>
          <t>With transport revision</t>
        </is>
      </c>
      <c r="K200" s="2" t="inlineStr">
        <is>
          <t>Whole number / text-capable ID</t>
        </is>
      </c>
      <c r="L200" s="2" t="inlineStr">
        <is>
          <t>USER</t>
        </is>
      </c>
    </row>
    <row r="201">
      <c r="A201" s="2" t="inlineStr">
        <is>
          <t>TRANSPORT_CONFIGURATION_LINE</t>
        </is>
      </c>
      <c r="B201" s="2" t="inlineStr">
        <is>
          <t>NOTES</t>
        </is>
      </c>
      <c r="C201" s="2" t="inlineStr">
        <is>
          <t>TEXT</t>
        </is>
      </c>
      <c r="D201" s="2" t="inlineStr">
        <is>
          <t>N</t>
        </is>
      </c>
      <c r="E201" s="2" t="inlineStr">
        <is>
          <t>N</t>
        </is>
      </c>
      <c r="F201" s="2" t="inlineStr">
        <is>
          <t>N</t>
        </is>
      </c>
      <c r="G201" s="2" t="n"/>
      <c r="H201" s="2" t="inlineStr">
        <is>
          <t>Transport-level components per transport unit</t>
        </is>
      </c>
      <c r="I201" s="2" t="inlineStr">
        <is>
          <t>Packaging / Logistics Engineering</t>
        </is>
      </c>
      <c r="J201" s="2" t="inlineStr">
        <is>
          <t>With transport revision</t>
        </is>
      </c>
      <c r="K201" s="2" t="inlineStr">
        <is>
          <t>Text</t>
        </is>
      </c>
      <c r="L201" s="2" t="inlineStr">
        <is>
          <t>USER</t>
        </is>
      </c>
    </row>
    <row r="202">
      <c r="A202" s="2" t="inlineStr">
        <is>
          <t>COMMERCIAL_SCENARIO</t>
        </is>
      </c>
      <c r="B202" s="2" t="inlineStr">
        <is>
          <t>COMMERCIAL_SCENARIO_ID</t>
        </is>
      </c>
      <c r="C202" s="2" t="inlineStr">
        <is>
          <t>INT</t>
        </is>
      </c>
      <c r="D202" s="2" t="inlineStr">
        <is>
          <t>Y</t>
        </is>
      </c>
      <c r="E202" s="2" t="inlineStr">
        <is>
          <t>Y</t>
        </is>
      </c>
      <c r="F202" s="2" t="inlineStr">
        <is>
          <t>N</t>
        </is>
      </c>
      <c r="G202" s="2" t="n"/>
      <c r="H202" s="2" t="inlineStr">
        <is>
          <t>Product + transport + market/customer commercial variant</t>
        </is>
      </c>
      <c r="I202" s="2" t="inlineStr">
        <is>
          <t>Sales Ops + Packaging Engineering</t>
        </is>
      </c>
      <c r="J202" s="2" t="inlineStr">
        <is>
          <t>Occasional</t>
        </is>
      </c>
      <c r="K202" s="2" t="inlineStr">
        <is>
          <t>PK unique; not blank when row used</t>
        </is>
      </c>
      <c r="L202" s="2" t="inlineStr">
        <is>
          <t>USER</t>
        </is>
      </c>
    </row>
    <row r="203">
      <c r="A203" s="2" t="inlineStr">
        <is>
          <t>COMMERCIAL_SCENARIO</t>
        </is>
      </c>
      <c r="B203" s="2" t="inlineStr">
        <is>
          <t>COMMERCIAL_SCENARIO_CODE</t>
        </is>
      </c>
      <c r="C203" s="2" t="inlineStr">
        <is>
          <t>TEXT</t>
        </is>
      </c>
      <c r="D203" s="2" t="inlineStr">
        <is>
          <t>Y</t>
        </is>
      </c>
      <c r="E203" s="2" t="inlineStr">
        <is>
          <t>N</t>
        </is>
      </c>
      <c r="F203" s="2" t="inlineStr">
        <is>
          <t>N</t>
        </is>
      </c>
      <c r="G203" s="2" t="n"/>
      <c r="H203" s="2" t="inlineStr">
        <is>
          <t>Product + transport + market/customer commercial variant</t>
        </is>
      </c>
      <c r="I203" s="2" t="inlineStr">
        <is>
          <t>Sales Ops + Packaging Engineering</t>
        </is>
      </c>
      <c r="J203" s="2" t="inlineStr">
        <is>
          <t>Occasional</t>
        </is>
      </c>
      <c r="K203" s="2" t="inlineStr">
        <is>
          <t>Text</t>
        </is>
      </c>
      <c r="L203" s="2" t="inlineStr">
        <is>
          <t>USER</t>
        </is>
      </c>
    </row>
    <row r="204">
      <c r="A204" s="2" t="inlineStr">
        <is>
          <t>COMMERCIAL_SCENARIO</t>
        </is>
      </c>
      <c r="B204" s="2" t="inlineStr">
        <is>
          <t>COMMERCIAL_SCENARIO_NAME</t>
        </is>
      </c>
      <c r="C204" s="2" t="inlineStr">
        <is>
          <t>TEXT</t>
        </is>
      </c>
      <c r="D204" s="2" t="inlineStr">
        <is>
          <t>Y</t>
        </is>
      </c>
      <c r="E204" s="2" t="inlineStr">
        <is>
          <t>N</t>
        </is>
      </c>
      <c r="F204" s="2" t="inlineStr">
        <is>
          <t>N</t>
        </is>
      </c>
      <c r="G204" s="2" t="n"/>
      <c r="H204" s="2" t="inlineStr">
        <is>
          <t>Product + transport + market/customer commercial variant</t>
        </is>
      </c>
      <c r="I204" s="2" t="inlineStr">
        <is>
          <t>Sales Ops + Packaging Engineering</t>
        </is>
      </c>
      <c r="J204" s="2" t="inlineStr">
        <is>
          <t>Occasional</t>
        </is>
      </c>
      <c r="K204" s="2" t="inlineStr">
        <is>
          <t>Text</t>
        </is>
      </c>
      <c r="L204" s="2" t="inlineStr">
        <is>
          <t>USER</t>
        </is>
      </c>
    </row>
    <row r="205">
      <c r="A205" s="2" t="inlineStr">
        <is>
          <t>COMMERCIAL_SCENARIO</t>
        </is>
      </c>
      <c r="B205" s="2" t="inlineStr">
        <is>
          <t>SCENARIO_TYPE_ID</t>
        </is>
      </c>
      <c r="C205" s="2" t="inlineStr">
        <is>
          <t>INT</t>
        </is>
      </c>
      <c r="D205" s="2" t="inlineStr">
        <is>
          <t>Y</t>
        </is>
      </c>
      <c r="E205" s="2" t="inlineStr">
        <is>
          <t>N</t>
        </is>
      </c>
      <c r="F205" s="2" t="inlineStr">
        <is>
          <t>Y</t>
        </is>
      </c>
      <c r="G205" s="2" t="inlineStr">
        <is>
          <t>LKP_SCENARIO_TYPE</t>
        </is>
      </c>
      <c r="H205" s="2" t="inlineStr">
        <is>
          <t>Product + transport + market/customer commercial variant</t>
        </is>
      </c>
      <c r="I205" s="2" t="inlineStr">
        <is>
          <t>Sales Ops + Packaging Engineering</t>
        </is>
      </c>
      <c r="J205" s="2" t="inlineStr">
        <is>
          <t>Occasional</t>
        </is>
      </c>
      <c r="K205" s="2" t="inlineStr">
        <is>
          <t>Lookup list → LKP_SCENARIO_TYPE</t>
        </is>
      </c>
      <c r="L205" s="2" t="inlineStr">
        <is>
          <t>USER</t>
        </is>
      </c>
    </row>
    <row r="206">
      <c r="A206" s="2" t="inlineStr">
        <is>
          <t>COMMERCIAL_SCENARIO</t>
        </is>
      </c>
      <c r="B206" s="2" t="inlineStr">
        <is>
          <t>PRODUCT_ID</t>
        </is>
      </c>
      <c r="C206" s="2" t="inlineStr">
        <is>
          <t>INT</t>
        </is>
      </c>
      <c r="D206" s="2" t="inlineStr">
        <is>
          <t>Y</t>
        </is>
      </c>
      <c r="E206" s="2" t="inlineStr">
        <is>
          <t>N</t>
        </is>
      </c>
      <c r="F206" s="2" t="inlineStr">
        <is>
          <t>Y</t>
        </is>
      </c>
      <c r="G206" s="2" t="inlineStr">
        <is>
          <t>PRODUCT</t>
        </is>
      </c>
      <c r="H206" s="2" t="inlineStr">
        <is>
          <t>Product + transport + market/customer commercial variant</t>
        </is>
      </c>
      <c r="I206" s="2" t="inlineStr">
        <is>
          <t>Sales Ops + Packaging Engineering</t>
        </is>
      </c>
      <c r="J206" s="2" t="inlineStr">
        <is>
          <t>Occasional</t>
        </is>
      </c>
      <c r="K206" s="2" t="inlineStr">
        <is>
          <t>FK → PRODUCT (Python QA; no huge dropdown)</t>
        </is>
      </c>
      <c r="L206" s="2" t="inlineStr">
        <is>
          <t>USER</t>
        </is>
      </c>
    </row>
    <row r="207">
      <c r="A207" s="2" t="inlineStr">
        <is>
          <t>COMMERCIAL_SCENARIO</t>
        </is>
      </c>
      <c r="B207" s="2" t="inlineStr">
        <is>
          <t>TRANSPORT_CONFIGURATION_ID</t>
        </is>
      </c>
      <c r="C207" s="2" t="inlineStr">
        <is>
          <t>INT</t>
        </is>
      </c>
      <c r="D207" s="2" t="inlineStr">
        <is>
          <t>Y</t>
        </is>
      </c>
      <c r="E207" s="2" t="inlineStr">
        <is>
          <t>N</t>
        </is>
      </c>
      <c r="F207" s="2" t="inlineStr">
        <is>
          <t>Y</t>
        </is>
      </c>
      <c r="G207" s="2" t="inlineStr">
        <is>
          <t>TRANSPORT_CONFIGURATION</t>
        </is>
      </c>
      <c r="H207" s="2" t="inlineStr">
        <is>
          <t>Product + transport + market/customer commercial variant</t>
        </is>
      </c>
      <c r="I207" s="2" t="inlineStr">
        <is>
          <t>Sales Ops + Packaging Engineering</t>
        </is>
      </c>
      <c r="J207" s="2" t="inlineStr">
        <is>
          <t>Occasional</t>
        </is>
      </c>
      <c r="K207" s="2" t="inlineStr">
        <is>
          <t>FK → TRANSPORT_CONFIGURATION (Python QA; no huge dropdown)</t>
        </is>
      </c>
      <c r="L207" s="2" t="inlineStr">
        <is>
          <t>USER</t>
        </is>
      </c>
    </row>
    <row r="208">
      <c r="A208" s="2" t="inlineStr">
        <is>
          <t>COMMERCIAL_SCENARIO</t>
        </is>
      </c>
      <c r="B208" s="2" t="inlineStr">
        <is>
          <t>CUSTOMER_ID</t>
        </is>
      </c>
      <c r="C208" s="2" t="inlineStr">
        <is>
          <t>INT</t>
        </is>
      </c>
      <c r="D208" s="2" t="inlineStr">
        <is>
          <t>N</t>
        </is>
      </c>
      <c r="E208" s="2" t="inlineStr">
        <is>
          <t>N</t>
        </is>
      </c>
      <c r="F208" s="2" t="inlineStr">
        <is>
          <t>Y</t>
        </is>
      </c>
      <c r="G208" s="2" t="inlineStr">
        <is>
          <t>CUSTOMER</t>
        </is>
      </c>
      <c r="H208" s="2" t="inlineStr">
        <is>
          <t>Product + transport + market/customer commercial variant</t>
        </is>
      </c>
      <c r="I208" s="2" t="inlineStr">
        <is>
          <t>Sales Ops + Packaging Engineering</t>
        </is>
      </c>
      <c r="J208" s="2" t="inlineStr">
        <is>
          <t>Occasional</t>
        </is>
      </c>
      <c r="K208" s="2" t="inlineStr">
        <is>
          <t>FK → CUSTOMER (Python QA; no huge dropdown)</t>
        </is>
      </c>
      <c r="L208" s="2" t="inlineStr">
        <is>
          <t>USER</t>
        </is>
      </c>
    </row>
    <row r="209">
      <c r="A209" s="2" t="inlineStr">
        <is>
          <t>COMMERCIAL_SCENARIO</t>
        </is>
      </c>
      <c r="B209" s="2" t="inlineStr">
        <is>
          <t>DESTINATION_COUNTRY_ID</t>
        </is>
      </c>
      <c r="C209" s="2" t="inlineStr">
        <is>
          <t>INT</t>
        </is>
      </c>
      <c r="D209" s="2" t="inlineStr">
        <is>
          <t>Y</t>
        </is>
      </c>
      <c r="E209" s="2" t="inlineStr">
        <is>
          <t>N</t>
        </is>
      </c>
      <c r="F209" s="2" t="inlineStr">
        <is>
          <t>Y</t>
        </is>
      </c>
      <c r="G209" s="2" t="inlineStr">
        <is>
          <t>LKP_COUNTRY</t>
        </is>
      </c>
      <c r="H209" s="2" t="inlineStr">
        <is>
          <t>Product + transport + market/customer commercial variant</t>
        </is>
      </c>
      <c r="I209" s="2" t="inlineStr">
        <is>
          <t>Sales Ops + Packaging Engineering</t>
        </is>
      </c>
      <c r="J209" s="2" t="inlineStr">
        <is>
          <t>Occasional</t>
        </is>
      </c>
      <c r="K209" s="2" t="inlineStr">
        <is>
          <t>Lookup list → LKP_COUNTRY</t>
        </is>
      </c>
      <c r="L209" s="2" t="inlineStr">
        <is>
          <t>USER</t>
        </is>
      </c>
    </row>
    <row r="210">
      <c r="A210" s="2" t="inlineStr">
        <is>
          <t>COMMERCIAL_SCENARIO</t>
        </is>
      </c>
      <c r="B210" s="2" t="inlineStr">
        <is>
          <t>INCOTERM_ID</t>
        </is>
      </c>
      <c r="C210" s="2" t="inlineStr">
        <is>
          <t>INT</t>
        </is>
      </c>
      <c r="D210" s="2" t="inlineStr">
        <is>
          <t>N</t>
        </is>
      </c>
      <c r="E210" s="2" t="inlineStr">
        <is>
          <t>N</t>
        </is>
      </c>
      <c r="F210" s="2" t="inlineStr">
        <is>
          <t>Y</t>
        </is>
      </c>
      <c r="G210" s="2" t="inlineStr">
        <is>
          <t>LKP_INCOTERM</t>
        </is>
      </c>
      <c r="H210" s="2" t="inlineStr">
        <is>
          <t>Product + transport + market/customer commercial variant</t>
        </is>
      </c>
      <c r="I210" s="2" t="inlineStr">
        <is>
          <t>Sales Ops + Packaging Engineering</t>
        </is>
      </c>
      <c r="J210" s="2" t="inlineStr">
        <is>
          <t>Occasional</t>
        </is>
      </c>
      <c r="K210" s="2" t="inlineStr">
        <is>
          <t>Lookup list → LKP_INCOTERM</t>
        </is>
      </c>
      <c r="L210" s="2" t="inlineStr">
        <is>
          <t>USER</t>
        </is>
      </c>
    </row>
    <row r="211">
      <c r="A211" s="2" t="inlineStr">
        <is>
          <t>COMMERCIAL_SCENARIO</t>
        </is>
      </c>
      <c r="B211" s="2" t="inlineStr">
        <is>
          <t>TRANSPORT_MODE_ID</t>
        </is>
      </c>
      <c r="C211" s="2" t="inlineStr">
        <is>
          <t>INT</t>
        </is>
      </c>
      <c r="D211" s="2" t="inlineStr">
        <is>
          <t>N</t>
        </is>
      </c>
      <c r="E211" s="2" t="inlineStr">
        <is>
          <t>N</t>
        </is>
      </c>
      <c r="F211" s="2" t="inlineStr">
        <is>
          <t>Y</t>
        </is>
      </c>
      <c r="G211" s="2" t="inlineStr">
        <is>
          <t>LKP_TRANSPORT_MODE</t>
        </is>
      </c>
      <c r="H211" s="2" t="inlineStr">
        <is>
          <t>Product + transport + market/customer commercial variant</t>
        </is>
      </c>
      <c r="I211" s="2" t="inlineStr">
        <is>
          <t>Sales Ops + Packaging Engineering</t>
        </is>
      </c>
      <c r="J211" s="2" t="inlineStr">
        <is>
          <t>Occasional</t>
        </is>
      </c>
      <c r="K211" s="2" t="inlineStr">
        <is>
          <t>Lookup list → LKP_TRANSPORT_MODE</t>
        </is>
      </c>
      <c r="L211" s="2" t="inlineStr">
        <is>
          <t>USER</t>
        </is>
      </c>
    </row>
    <row r="212">
      <c r="A212" s="2" t="inlineStr">
        <is>
          <t>COMMERCIAL_SCENARIO</t>
        </is>
      </c>
      <c r="B212" s="2" t="inlineStr">
        <is>
          <t>STATUS_ID</t>
        </is>
      </c>
      <c r="C212" s="2" t="inlineStr">
        <is>
          <t>INT</t>
        </is>
      </c>
      <c r="D212" s="2" t="inlineStr">
        <is>
          <t>Y</t>
        </is>
      </c>
      <c r="E212" s="2" t="inlineStr">
        <is>
          <t>N</t>
        </is>
      </c>
      <c r="F212" s="2" t="inlineStr">
        <is>
          <t>Y</t>
        </is>
      </c>
      <c r="G212" s="2" t="inlineStr">
        <is>
          <t>LKP_STATUS</t>
        </is>
      </c>
      <c r="H212" s="2" t="inlineStr">
        <is>
          <t>Product + transport + market/customer commercial variant</t>
        </is>
      </c>
      <c r="I212" s="2" t="inlineStr">
        <is>
          <t>Sales Ops + Packaging Engineering</t>
        </is>
      </c>
      <c r="J212" s="2" t="inlineStr">
        <is>
          <t>Occasional</t>
        </is>
      </c>
      <c r="K212" s="2" t="inlineStr">
        <is>
          <t>Lookup list → LKP_STATUS</t>
        </is>
      </c>
      <c r="L212" s="2" t="inlineStr">
        <is>
          <t>USER</t>
        </is>
      </c>
    </row>
    <row r="213">
      <c r="A213" s="2" t="inlineStr">
        <is>
          <t>COMMERCIAL_SCENARIO</t>
        </is>
      </c>
      <c r="B213" s="2" t="inlineStr">
        <is>
          <t>VALID_FROM</t>
        </is>
      </c>
      <c r="C213" s="2" t="inlineStr">
        <is>
          <t>DATE</t>
        </is>
      </c>
      <c r="D213" s="2" t="inlineStr">
        <is>
          <t>Y</t>
        </is>
      </c>
      <c r="E213" s="2" t="inlineStr">
        <is>
          <t>N</t>
        </is>
      </c>
      <c r="F213" s="2" t="inlineStr">
        <is>
          <t>N</t>
        </is>
      </c>
      <c r="G213" s="2" t="n"/>
      <c r="H213" s="2" t="inlineStr">
        <is>
          <t>Product + transport + market/customer commercial variant</t>
        </is>
      </c>
      <c r="I213" s="2" t="inlineStr">
        <is>
          <t>Sales Ops + Packaging Engineering</t>
        </is>
      </c>
      <c r="J213" s="2" t="inlineStr">
        <is>
          <t>Occasional</t>
        </is>
      </c>
      <c r="K213" s="2" t="inlineStr">
        <is>
          <t>Date DD.MM.YYYY</t>
        </is>
      </c>
      <c r="L213" s="2" t="inlineStr">
        <is>
          <t>USER</t>
        </is>
      </c>
    </row>
    <row r="214">
      <c r="A214" s="2" t="inlineStr">
        <is>
          <t>COMMERCIAL_SCENARIO</t>
        </is>
      </c>
      <c r="B214" s="2" t="inlineStr">
        <is>
          <t>VALID_TO</t>
        </is>
      </c>
      <c r="C214" s="2" t="inlineStr">
        <is>
          <t>DATE</t>
        </is>
      </c>
      <c r="D214" s="2" t="inlineStr">
        <is>
          <t>N</t>
        </is>
      </c>
      <c r="E214" s="2" t="inlineStr">
        <is>
          <t>N</t>
        </is>
      </c>
      <c r="F214" s="2" t="inlineStr">
        <is>
          <t>N</t>
        </is>
      </c>
      <c r="G214" s="2" t="n"/>
      <c r="H214" s="2" t="inlineStr">
        <is>
          <t>Product + transport + market/customer commercial variant</t>
        </is>
      </c>
      <c r="I214" s="2" t="inlineStr">
        <is>
          <t>Sales Ops + Packaging Engineering</t>
        </is>
      </c>
      <c r="J214" s="2" t="inlineStr">
        <is>
          <t>Occasional</t>
        </is>
      </c>
      <c r="K214" s="2" t="inlineStr">
        <is>
          <t>Date DD.MM.YYYY</t>
        </is>
      </c>
      <c r="L214" s="2" t="inlineStr">
        <is>
          <t>USER</t>
        </is>
      </c>
    </row>
    <row r="215">
      <c r="A215" s="2" t="inlineStr">
        <is>
          <t>COMMERCIAL_SCENARIO</t>
        </is>
      </c>
      <c r="B215" s="2" t="inlineStr">
        <is>
          <t>NOTES</t>
        </is>
      </c>
      <c r="C215" s="2" t="inlineStr">
        <is>
          <t>TEXT</t>
        </is>
      </c>
      <c r="D215" s="2" t="inlineStr">
        <is>
          <t>N</t>
        </is>
      </c>
      <c r="E215" s="2" t="inlineStr">
        <is>
          <t>N</t>
        </is>
      </c>
      <c r="F215" s="2" t="inlineStr">
        <is>
          <t>N</t>
        </is>
      </c>
      <c r="G215" s="2" t="n"/>
      <c r="H215" s="2" t="inlineStr">
        <is>
          <t>Product + transport + market/customer commercial variant</t>
        </is>
      </c>
      <c r="I215" s="2" t="inlineStr">
        <is>
          <t>Sales Ops + Packaging Engineering</t>
        </is>
      </c>
      <c r="J215" s="2" t="inlineStr">
        <is>
          <t>Occasional</t>
        </is>
      </c>
      <c r="K215" s="2" t="inlineStr">
        <is>
          <t>Text</t>
        </is>
      </c>
      <c r="L215" s="2" t="inlineStr">
        <is>
          <t>USER</t>
        </is>
      </c>
    </row>
    <row r="216">
      <c r="A216" s="2" t="inlineStr">
        <is>
          <t>COMMERCIAL_SCENARIO</t>
        </is>
      </c>
      <c r="B216" s="2" t="inlineStr">
        <is>
          <t>CREATED_AT</t>
        </is>
      </c>
      <c r="C216" s="2" t="inlineStr">
        <is>
          <t>DATETIME</t>
        </is>
      </c>
      <c r="D216" s="2" t="inlineStr">
        <is>
          <t>Y</t>
        </is>
      </c>
      <c r="E216" s="2" t="inlineStr">
        <is>
          <t>N</t>
        </is>
      </c>
      <c r="F216" s="2" t="inlineStr">
        <is>
          <t>N</t>
        </is>
      </c>
      <c r="G216" s="2" t="n"/>
      <c r="H216" s="2" t="inlineStr">
        <is>
          <t>Product + transport + market/customer commercial variant</t>
        </is>
      </c>
      <c r="I216" s="2" t="inlineStr">
        <is>
          <t>Sales Ops + Packaging Engineering</t>
        </is>
      </c>
      <c r="J216" s="2" t="inlineStr">
        <is>
          <t>Occasional</t>
        </is>
      </c>
      <c r="K216" s="2" t="inlineStr">
        <is>
          <t>Text</t>
        </is>
      </c>
      <c r="L216" s="2" t="inlineStr">
        <is>
          <t>SYSTEM</t>
        </is>
      </c>
    </row>
    <row r="217">
      <c r="A217" s="2" t="inlineStr">
        <is>
          <t>COMMERCIAL_SCENARIO</t>
        </is>
      </c>
      <c r="B217" s="2" t="inlineStr">
        <is>
          <t>UPDATED_AT</t>
        </is>
      </c>
      <c r="C217" s="2" t="inlineStr">
        <is>
          <t>DATETIME</t>
        </is>
      </c>
      <c r="D217" s="2" t="inlineStr">
        <is>
          <t>Y</t>
        </is>
      </c>
      <c r="E217" s="2" t="inlineStr">
        <is>
          <t>N</t>
        </is>
      </c>
      <c r="F217" s="2" t="inlineStr">
        <is>
          <t>N</t>
        </is>
      </c>
      <c r="G217" s="2" t="n"/>
      <c r="H217" s="2" t="inlineStr">
        <is>
          <t>Product + transport + market/customer commercial variant</t>
        </is>
      </c>
      <c r="I217" s="2" t="inlineStr">
        <is>
          <t>Sales Ops + Packaging Engineering</t>
        </is>
      </c>
      <c r="J217" s="2" t="inlineStr">
        <is>
          <t>Occasional</t>
        </is>
      </c>
      <c r="K217" s="2" t="inlineStr">
        <is>
          <t>Text</t>
        </is>
      </c>
      <c r="L217" s="2" t="inlineStr">
        <is>
          <t>SYSTEM</t>
        </is>
      </c>
    </row>
    <row r="218">
      <c r="A218" s="2" t="inlineStr">
        <is>
          <t>SHIPMENT</t>
        </is>
      </c>
      <c r="B218" s="2" t="inlineStr">
        <is>
          <t>SHIPMENT_ID</t>
        </is>
      </c>
      <c r="C218" s="2" t="inlineStr">
        <is>
          <t>INT</t>
        </is>
      </c>
      <c r="D218" s="2" t="inlineStr">
        <is>
          <t>Y</t>
        </is>
      </c>
      <c r="E218" s="2" t="inlineStr">
        <is>
          <t>Y</t>
        </is>
      </c>
      <c r="F218" s="2" t="inlineStr">
        <is>
          <t>N</t>
        </is>
      </c>
      <c r="G218" s="2" t="n"/>
      <c r="H218" s="2" t="inlineStr">
        <is>
          <t>Operational shipment quantity fact with pinned config revisions</t>
        </is>
      </c>
      <c r="I218" s="2" t="inlineStr">
        <is>
          <t>Logistics</t>
        </is>
      </c>
      <c r="J218" s="2" t="inlineStr">
        <is>
          <t>Frequent</t>
        </is>
      </c>
      <c r="K218" s="2" t="inlineStr">
        <is>
          <t>PK unique; not blank when row used</t>
        </is>
      </c>
      <c r="L218" s="2" t="inlineStr">
        <is>
          <t>USER</t>
        </is>
      </c>
    </row>
    <row r="219">
      <c r="A219" s="2" t="inlineStr">
        <is>
          <t>SHIPMENT</t>
        </is>
      </c>
      <c r="B219" s="2" t="inlineStr">
        <is>
          <t>SHIPMENT_NUMBER</t>
        </is>
      </c>
      <c r="C219" s="2" t="inlineStr">
        <is>
          <t>TEXT</t>
        </is>
      </c>
      <c r="D219" s="2" t="inlineStr">
        <is>
          <t>Y</t>
        </is>
      </c>
      <c r="E219" s="2" t="inlineStr">
        <is>
          <t>N</t>
        </is>
      </c>
      <c r="F219" s="2" t="inlineStr">
        <is>
          <t>N</t>
        </is>
      </c>
      <c r="G219" s="2" t="n"/>
      <c r="H219" s="2" t="inlineStr">
        <is>
          <t>Operational shipment quantity fact with pinned config revisions</t>
        </is>
      </c>
      <c r="I219" s="2" t="inlineStr">
        <is>
          <t>Logistics</t>
        </is>
      </c>
      <c r="J219" s="2" t="inlineStr">
        <is>
          <t>Frequent</t>
        </is>
      </c>
      <c r="K219" s="2" t="inlineStr">
        <is>
          <t>Text</t>
        </is>
      </c>
      <c r="L219" s="2" t="inlineStr">
        <is>
          <t>USER</t>
        </is>
      </c>
    </row>
    <row r="220">
      <c r="A220" s="2" t="inlineStr">
        <is>
          <t>SHIPMENT</t>
        </is>
      </c>
      <c r="B220" s="2" t="inlineStr">
        <is>
          <t>COMMERCIAL_SCENARIO_ID</t>
        </is>
      </c>
      <c r="C220" s="2" t="inlineStr">
        <is>
          <t>INT</t>
        </is>
      </c>
      <c r="D220" s="2" t="inlineStr">
        <is>
          <t>Y</t>
        </is>
      </c>
      <c r="E220" s="2" t="inlineStr">
        <is>
          <t>N</t>
        </is>
      </c>
      <c r="F220" s="2" t="inlineStr">
        <is>
          <t>Y</t>
        </is>
      </c>
      <c r="G220" s="2" t="inlineStr">
        <is>
          <t>COMMERCIAL_SCENARIO</t>
        </is>
      </c>
      <c r="H220" s="2" t="inlineStr">
        <is>
          <t>Operational shipment quantity fact with pinned config revisions</t>
        </is>
      </c>
      <c r="I220" s="2" t="inlineStr">
        <is>
          <t>Logistics</t>
        </is>
      </c>
      <c r="J220" s="2" t="inlineStr">
        <is>
          <t>Frequent</t>
        </is>
      </c>
      <c r="K220" s="2" t="inlineStr">
        <is>
          <t>FK → COMMERCIAL_SCENARIO (Python QA; no huge dropdown)</t>
        </is>
      </c>
      <c r="L220" s="2" t="inlineStr">
        <is>
          <t>USER</t>
        </is>
      </c>
    </row>
    <row r="221">
      <c r="A221" s="2" t="inlineStr">
        <is>
          <t>SHIPMENT</t>
        </is>
      </c>
      <c r="B221" s="2" t="inlineStr">
        <is>
          <t>PLANT_ID</t>
        </is>
      </c>
      <c r="C221" s="2" t="inlineStr">
        <is>
          <t>INT</t>
        </is>
      </c>
      <c r="D221" s="2" t="inlineStr">
        <is>
          <t>Y</t>
        </is>
      </c>
      <c r="E221" s="2" t="inlineStr">
        <is>
          <t>N</t>
        </is>
      </c>
      <c r="F221" s="2" t="inlineStr">
        <is>
          <t>Y</t>
        </is>
      </c>
      <c r="G221" s="2" t="inlineStr">
        <is>
          <t>PLANT</t>
        </is>
      </c>
      <c r="H221" s="2" t="inlineStr">
        <is>
          <t>Operational shipment quantity fact with pinned config revisions</t>
        </is>
      </c>
      <c r="I221" s="2" t="inlineStr">
        <is>
          <t>Logistics</t>
        </is>
      </c>
      <c r="J221" s="2" t="inlineStr">
        <is>
          <t>Frequent</t>
        </is>
      </c>
      <c r="K221" s="2" t="inlineStr">
        <is>
          <t>FK → PLANT (Python QA; no huge dropdown)</t>
        </is>
      </c>
      <c r="L221" s="2" t="inlineStr">
        <is>
          <t>USER</t>
        </is>
      </c>
    </row>
    <row r="222">
      <c r="A222" s="2" t="inlineStr">
        <is>
          <t>SHIPMENT</t>
        </is>
      </c>
      <c r="B222" s="2" t="inlineStr">
        <is>
          <t>SHIP_DATE</t>
        </is>
      </c>
      <c r="C222" s="2" t="inlineStr">
        <is>
          <t>DATE</t>
        </is>
      </c>
      <c r="D222" s="2" t="inlineStr">
        <is>
          <t>Y</t>
        </is>
      </c>
      <c r="E222" s="2" t="inlineStr">
        <is>
          <t>N</t>
        </is>
      </c>
      <c r="F222" s="2" t="inlineStr">
        <is>
          <t>N</t>
        </is>
      </c>
      <c r="G222" s="2" t="n"/>
      <c r="H222" s="2" t="inlineStr">
        <is>
          <t>Operational shipment quantity fact with pinned config revisions</t>
        </is>
      </c>
      <c r="I222" s="2" t="inlineStr">
        <is>
          <t>Logistics</t>
        </is>
      </c>
      <c r="J222" s="2" t="inlineStr">
        <is>
          <t>Frequent</t>
        </is>
      </c>
      <c r="K222" s="2" t="inlineStr">
        <is>
          <t>Date DD.MM.YYYY</t>
        </is>
      </c>
      <c r="L222" s="2" t="inlineStr">
        <is>
          <t>USER</t>
        </is>
      </c>
    </row>
    <row r="223">
      <c r="A223" s="2" t="inlineStr">
        <is>
          <t>SHIPMENT</t>
        </is>
      </c>
      <c r="B223" s="2" t="inlineStr">
        <is>
          <t>QTY_PRODUCT_UNITS</t>
        </is>
      </c>
      <c r="C223" s="2" t="inlineStr">
        <is>
          <t>DECIMAL</t>
        </is>
      </c>
      <c r="D223" s="2" t="inlineStr">
        <is>
          <t>Y</t>
        </is>
      </c>
      <c r="E223" s="2" t="inlineStr">
        <is>
          <t>N</t>
        </is>
      </c>
      <c r="F223" s="2" t="inlineStr">
        <is>
          <t>N</t>
        </is>
      </c>
      <c r="G223" s="2" t="n"/>
      <c r="H223" s="2" t="inlineStr">
        <is>
          <t>Operational shipment quantity fact with pinned config revisions</t>
        </is>
      </c>
      <c r="I223" s="2" t="inlineStr">
        <is>
          <t>Logistics</t>
        </is>
      </c>
      <c r="J223" s="2" t="inlineStr">
        <is>
          <t>Frequent</t>
        </is>
      </c>
      <c r="K223" s="2" t="inlineStr">
        <is>
          <t>Decimal number</t>
        </is>
      </c>
      <c r="L223" s="2" t="inlineStr">
        <is>
          <t>USER</t>
        </is>
      </c>
    </row>
    <row r="224">
      <c r="A224" s="2" t="inlineStr">
        <is>
          <t>SHIPMENT</t>
        </is>
      </c>
      <c r="B224" s="2" t="inlineStr">
        <is>
          <t>PACKAGING_CONFIGURATION_ID</t>
        </is>
      </c>
      <c r="C224" s="2" t="inlineStr">
        <is>
          <t>INT</t>
        </is>
      </c>
      <c r="D224" s="2" t="inlineStr">
        <is>
          <t>Y</t>
        </is>
      </c>
      <c r="E224" s="2" t="inlineStr">
        <is>
          <t>N</t>
        </is>
      </c>
      <c r="F224" s="2" t="inlineStr">
        <is>
          <t>Y</t>
        </is>
      </c>
      <c r="G224" s="2" t="inlineStr">
        <is>
          <t>PACKAGING_CONFIGURATION</t>
        </is>
      </c>
      <c r="H224" s="2" t="inlineStr">
        <is>
          <t>Operational shipment quantity fact with pinned config revisions</t>
        </is>
      </c>
      <c r="I224" s="2" t="inlineStr">
        <is>
          <t>Logistics</t>
        </is>
      </c>
      <c r="J224" s="2" t="inlineStr">
        <is>
          <t>Frequent</t>
        </is>
      </c>
      <c r="K224" s="2" t="inlineStr">
        <is>
          <t>FK → PACKAGING_CONFIGURATION (Python QA; no huge dropdown)</t>
        </is>
      </c>
      <c r="L224" s="2" t="inlineStr">
        <is>
          <t>USER</t>
        </is>
      </c>
    </row>
    <row r="225">
      <c r="A225" s="2" t="inlineStr">
        <is>
          <t>SHIPMENT</t>
        </is>
      </c>
      <c r="B225" s="2" t="inlineStr">
        <is>
          <t>TRANSPORT_CONFIGURATION_ID</t>
        </is>
      </c>
      <c r="C225" s="2" t="inlineStr">
        <is>
          <t>INT</t>
        </is>
      </c>
      <c r="D225" s="2" t="inlineStr">
        <is>
          <t>Y</t>
        </is>
      </c>
      <c r="E225" s="2" t="inlineStr">
        <is>
          <t>N</t>
        </is>
      </c>
      <c r="F225" s="2" t="inlineStr">
        <is>
          <t>Y</t>
        </is>
      </c>
      <c r="G225" s="2" t="inlineStr">
        <is>
          <t>TRANSPORT_CONFIGURATION</t>
        </is>
      </c>
      <c r="H225" s="2" t="inlineStr">
        <is>
          <t>Operational shipment quantity fact with pinned config revisions</t>
        </is>
      </c>
      <c r="I225" s="2" t="inlineStr">
        <is>
          <t>Logistics</t>
        </is>
      </c>
      <c r="J225" s="2" t="inlineStr">
        <is>
          <t>Frequent</t>
        </is>
      </c>
      <c r="K225" s="2" t="inlineStr">
        <is>
          <t>FK → TRANSPORT_CONFIGURATION (Python QA; no huge dropdown)</t>
        </is>
      </c>
      <c r="L225" s="2" t="inlineStr">
        <is>
          <t>USER</t>
        </is>
      </c>
    </row>
    <row r="226">
      <c r="A226" s="2" t="inlineStr">
        <is>
          <t>SHIPMENT</t>
        </is>
      </c>
      <c r="B226" s="2" t="inlineStr">
        <is>
          <t>DESTINATION_COUNTRY_ID</t>
        </is>
      </c>
      <c r="C226" s="2" t="inlineStr">
        <is>
          <t>INT</t>
        </is>
      </c>
      <c r="D226" s="2" t="inlineStr">
        <is>
          <t>N</t>
        </is>
      </c>
      <c r="E226" s="2" t="inlineStr">
        <is>
          <t>N</t>
        </is>
      </c>
      <c r="F226" s="2" t="inlineStr">
        <is>
          <t>Y</t>
        </is>
      </c>
      <c r="G226" s="2" t="inlineStr">
        <is>
          <t>LKP_COUNTRY</t>
        </is>
      </c>
      <c r="H226" s="2" t="inlineStr">
        <is>
          <t>Operational shipment quantity fact with pinned config revisions</t>
        </is>
      </c>
      <c r="I226" s="2" t="inlineStr">
        <is>
          <t>Logistics</t>
        </is>
      </c>
      <c r="J226" s="2" t="inlineStr">
        <is>
          <t>Frequent</t>
        </is>
      </c>
      <c r="K226" s="2" t="inlineStr">
        <is>
          <t>Lookup list → LKP_COUNTRY</t>
        </is>
      </c>
      <c r="L226" s="2" t="inlineStr">
        <is>
          <t>USER</t>
        </is>
      </c>
    </row>
    <row r="227">
      <c r="A227" s="2" t="inlineStr">
        <is>
          <t>SHIPMENT</t>
        </is>
      </c>
      <c r="B227" s="2" t="inlineStr">
        <is>
          <t>TRANSPORT_MODE_ID</t>
        </is>
      </c>
      <c r="C227" s="2" t="inlineStr">
        <is>
          <t>INT</t>
        </is>
      </c>
      <c r="D227" s="2" t="inlineStr">
        <is>
          <t>N</t>
        </is>
      </c>
      <c r="E227" s="2" t="inlineStr">
        <is>
          <t>N</t>
        </is>
      </c>
      <c r="F227" s="2" t="inlineStr">
        <is>
          <t>Y</t>
        </is>
      </c>
      <c r="G227" s="2" t="inlineStr">
        <is>
          <t>LKP_TRANSPORT_MODE</t>
        </is>
      </c>
      <c r="H227" s="2" t="inlineStr">
        <is>
          <t>Operational shipment quantity fact with pinned config revisions</t>
        </is>
      </c>
      <c r="I227" s="2" t="inlineStr">
        <is>
          <t>Logistics</t>
        </is>
      </c>
      <c r="J227" s="2" t="inlineStr">
        <is>
          <t>Frequent</t>
        </is>
      </c>
      <c r="K227" s="2" t="inlineStr">
        <is>
          <t>Lookup list → LKP_TRANSPORT_MODE</t>
        </is>
      </c>
      <c r="L227" s="2" t="inlineStr">
        <is>
          <t>USER</t>
        </is>
      </c>
    </row>
    <row r="228">
      <c r="A228" s="2" t="inlineStr">
        <is>
          <t>SHIPMENT</t>
        </is>
      </c>
      <c r="B228" s="2" t="inlineStr">
        <is>
          <t>STATUS_ID</t>
        </is>
      </c>
      <c r="C228" s="2" t="inlineStr">
        <is>
          <t>INT</t>
        </is>
      </c>
      <c r="D228" s="2" t="inlineStr">
        <is>
          <t>Y</t>
        </is>
      </c>
      <c r="E228" s="2" t="inlineStr">
        <is>
          <t>N</t>
        </is>
      </c>
      <c r="F228" s="2" t="inlineStr">
        <is>
          <t>Y</t>
        </is>
      </c>
      <c r="G228" s="2" t="inlineStr">
        <is>
          <t>LKP_STATUS</t>
        </is>
      </c>
      <c r="H228" s="2" t="inlineStr">
        <is>
          <t>Operational shipment quantity fact with pinned config revisions</t>
        </is>
      </c>
      <c r="I228" s="2" t="inlineStr">
        <is>
          <t>Logistics</t>
        </is>
      </c>
      <c r="J228" s="2" t="inlineStr">
        <is>
          <t>Frequent</t>
        </is>
      </c>
      <c r="K228" s="2" t="inlineStr">
        <is>
          <t>Lookup list → LKP_STATUS</t>
        </is>
      </c>
      <c r="L228" s="2" t="inlineStr">
        <is>
          <t>USER</t>
        </is>
      </c>
    </row>
    <row r="229">
      <c r="A229" s="2" t="inlineStr">
        <is>
          <t>SHIPMENT</t>
        </is>
      </c>
      <c r="B229" s="2" t="inlineStr">
        <is>
          <t>EXTERNAL_REF</t>
        </is>
      </c>
      <c r="C229" s="2" t="inlineStr">
        <is>
          <t>TEXT</t>
        </is>
      </c>
      <c r="D229" s="2" t="inlineStr">
        <is>
          <t>N</t>
        </is>
      </c>
      <c r="E229" s="2" t="inlineStr">
        <is>
          <t>N</t>
        </is>
      </c>
      <c r="F229" s="2" t="inlineStr">
        <is>
          <t>N</t>
        </is>
      </c>
      <c r="G229" s="2" t="n"/>
      <c r="H229" s="2" t="inlineStr">
        <is>
          <t>Operational shipment quantity fact with pinned config revisions</t>
        </is>
      </c>
      <c r="I229" s="2" t="inlineStr">
        <is>
          <t>Logistics</t>
        </is>
      </c>
      <c r="J229" s="2" t="inlineStr">
        <is>
          <t>Frequent</t>
        </is>
      </c>
      <c r="K229" s="2" t="inlineStr">
        <is>
          <t>Text</t>
        </is>
      </c>
      <c r="L229" s="2" t="inlineStr">
        <is>
          <t>USER</t>
        </is>
      </c>
    </row>
    <row r="230">
      <c r="A230" s="2" t="inlineStr">
        <is>
          <t>SHIPMENT</t>
        </is>
      </c>
      <c r="B230" s="2" t="inlineStr">
        <is>
          <t>NOTES</t>
        </is>
      </c>
      <c r="C230" s="2" t="inlineStr">
        <is>
          <t>TEXT</t>
        </is>
      </c>
      <c r="D230" s="2" t="inlineStr">
        <is>
          <t>N</t>
        </is>
      </c>
      <c r="E230" s="2" t="inlineStr">
        <is>
          <t>N</t>
        </is>
      </c>
      <c r="F230" s="2" t="inlineStr">
        <is>
          <t>N</t>
        </is>
      </c>
      <c r="G230" s="2" t="n"/>
      <c r="H230" s="2" t="inlineStr">
        <is>
          <t>Operational shipment quantity fact with pinned config revisions</t>
        </is>
      </c>
      <c r="I230" s="2" t="inlineStr">
        <is>
          <t>Logistics</t>
        </is>
      </c>
      <c r="J230" s="2" t="inlineStr">
        <is>
          <t>Frequent</t>
        </is>
      </c>
      <c r="K230" s="2" t="inlineStr">
        <is>
          <t>Text</t>
        </is>
      </c>
      <c r="L230" s="2" t="inlineStr">
        <is>
          <t>USER</t>
        </is>
      </c>
    </row>
    <row r="231">
      <c r="A231" s="2" t="inlineStr">
        <is>
          <t>SHIPMENT</t>
        </is>
      </c>
      <c r="B231" s="2" t="inlineStr">
        <is>
          <t>CONFIRMED_AT</t>
        </is>
      </c>
      <c r="C231" s="2" t="inlineStr">
        <is>
          <t>DATETIME</t>
        </is>
      </c>
      <c r="D231" s="2" t="inlineStr">
        <is>
          <t>N</t>
        </is>
      </c>
      <c r="E231" s="2" t="inlineStr">
        <is>
          <t>N</t>
        </is>
      </c>
      <c r="F231" s="2" t="inlineStr">
        <is>
          <t>N</t>
        </is>
      </c>
      <c r="G231" s="2" t="n"/>
      <c r="H231" s="2" t="inlineStr">
        <is>
          <t>Operational shipment quantity fact with pinned config revisions</t>
        </is>
      </c>
      <c r="I231" s="2" t="inlineStr">
        <is>
          <t>Logistics</t>
        </is>
      </c>
      <c r="J231" s="2" t="inlineStr">
        <is>
          <t>Frequent</t>
        </is>
      </c>
      <c r="K231" s="2" t="inlineStr">
        <is>
          <t>Text</t>
        </is>
      </c>
      <c r="L231" s="2" t="inlineStr">
        <is>
          <t>SYSTEM</t>
        </is>
      </c>
    </row>
    <row r="232">
      <c r="A232" s="2" t="inlineStr">
        <is>
          <t>SHIPMENT</t>
        </is>
      </c>
      <c r="B232" s="2" t="inlineStr">
        <is>
          <t>CREATED_AT</t>
        </is>
      </c>
      <c r="C232" s="2" t="inlineStr">
        <is>
          <t>DATETIME</t>
        </is>
      </c>
      <c r="D232" s="2" t="inlineStr">
        <is>
          <t>Y</t>
        </is>
      </c>
      <c r="E232" s="2" t="inlineStr">
        <is>
          <t>N</t>
        </is>
      </c>
      <c r="F232" s="2" t="inlineStr">
        <is>
          <t>N</t>
        </is>
      </c>
      <c r="G232" s="2" t="n"/>
      <c r="H232" s="2" t="inlineStr">
        <is>
          <t>Operational shipment quantity fact with pinned config revisions</t>
        </is>
      </c>
      <c r="I232" s="2" t="inlineStr">
        <is>
          <t>Logistics</t>
        </is>
      </c>
      <c r="J232" s="2" t="inlineStr">
        <is>
          <t>Frequent</t>
        </is>
      </c>
      <c r="K232" s="2" t="inlineStr">
        <is>
          <t>Text</t>
        </is>
      </c>
      <c r="L232" s="2" t="inlineStr">
        <is>
          <t>SYSTEM</t>
        </is>
      </c>
    </row>
    <row r="233">
      <c r="A233" s="2" t="inlineStr">
        <is>
          <t>SHIPMENT</t>
        </is>
      </c>
      <c r="B233" s="2" t="inlineStr">
        <is>
          <t>UPDATED_AT</t>
        </is>
      </c>
      <c r="C233" s="2" t="inlineStr">
        <is>
          <t>DATETIME</t>
        </is>
      </c>
      <c r="D233" s="2" t="inlineStr">
        <is>
          <t>Y</t>
        </is>
      </c>
      <c r="E233" s="2" t="inlineStr">
        <is>
          <t>N</t>
        </is>
      </c>
      <c r="F233" s="2" t="inlineStr">
        <is>
          <t>N</t>
        </is>
      </c>
      <c r="G233" s="2" t="n"/>
      <c r="H233" s="2" t="inlineStr">
        <is>
          <t>Operational shipment quantity fact with pinned config revisions</t>
        </is>
      </c>
      <c r="I233" s="2" t="inlineStr">
        <is>
          <t>Logistics</t>
        </is>
      </c>
      <c r="J233" s="2" t="inlineStr">
        <is>
          <t>Frequent</t>
        </is>
      </c>
      <c r="K233" s="2" t="inlineStr">
        <is>
          <t>Text</t>
        </is>
      </c>
      <c r="L233" s="2" t="inlineStr">
        <is>
          <t>SYSTEM</t>
        </is>
      </c>
    </row>
    <row r="234">
      <c r="A234" s="2" t="inlineStr">
        <is>
          <t>SHIPMENT_LINE</t>
        </is>
      </c>
      <c r="B234" s="2" t="inlineStr">
        <is>
          <t>SHIPMENT_LINE_ID</t>
        </is>
      </c>
      <c r="C234" s="2" t="inlineStr">
        <is>
          <t>INT</t>
        </is>
      </c>
      <c r="D234" s="2" t="inlineStr">
        <is>
          <t>Y</t>
        </is>
      </c>
      <c r="E234" s="2" t="inlineStr">
        <is>
          <t>Y</t>
        </is>
      </c>
      <c r="F234" s="2" t="inlineStr">
        <is>
          <t>N</t>
        </is>
      </c>
      <c r="G234" s="2" t="n"/>
      <c r="H234" s="2" t="inlineStr">
        <is>
          <t>Frozen packaging composition for a confirmed shipment</t>
        </is>
      </c>
      <c r="I234" s="2" t="inlineStr">
        <is>
          <t>System (generated) / Compliance</t>
        </is>
      </c>
      <c r="J234" s="2" t="inlineStr">
        <is>
          <t>Written once on CONFIRM</t>
        </is>
      </c>
      <c r="K234" s="2" t="inlineStr">
        <is>
          <t>PK unique; not blank when row used</t>
        </is>
      </c>
      <c r="L234" s="2" t="inlineStr">
        <is>
          <t>USER</t>
        </is>
      </c>
    </row>
    <row r="235">
      <c r="A235" s="2" t="inlineStr">
        <is>
          <t>SHIPMENT_LINE</t>
        </is>
      </c>
      <c r="B235" s="2" t="inlineStr">
        <is>
          <t>SHIPMENT_ID</t>
        </is>
      </c>
      <c r="C235" s="2" t="inlineStr">
        <is>
          <t>INT</t>
        </is>
      </c>
      <c r="D235" s="2" t="inlineStr">
        <is>
          <t>Y</t>
        </is>
      </c>
      <c r="E235" s="2" t="inlineStr">
        <is>
          <t>N</t>
        </is>
      </c>
      <c r="F235" s="2" t="inlineStr">
        <is>
          <t>Y</t>
        </is>
      </c>
      <c r="G235" s="2" t="inlineStr">
        <is>
          <t>SHIPMENT</t>
        </is>
      </c>
      <c r="H235" s="2" t="inlineStr">
        <is>
          <t>Frozen packaging composition for a confirmed shipment</t>
        </is>
      </c>
      <c r="I235" s="2" t="inlineStr">
        <is>
          <t>System (generated) / Compliance</t>
        </is>
      </c>
      <c r="J235" s="2" t="inlineStr">
        <is>
          <t>Written once on CONFIRM</t>
        </is>
      </c>
      <c r="K235" s="2" t="inlineStr">
        <is>
          <t>FK → SHIPMENT (Python QA; no huge dropdown)</t>
        </is>
      </c>
      <c r="L235" s="2" t="inlineStr">
        <is>
          <t>USER</t>
        </is>
      </c>
    </row>
    <row r="236">
      <c r="A236" s="2" t="inlineStr">
        <is>
          <t>SHIPMENT_LINE</t>
        </is>
      </c>
      <c r="B236" s="2" t="inlineStr">
        <is>
          <t>COMPONENT_ID</t>
        </is>
      </c>
      <c r="C236" s="2" t="inlineStr">
        <is>
          <t>INT</t>
        </is>
      </c>
      <c r="D236" s="2" t="inlineStr">
        <is>
          <t>Y</t>
        </is>
      </c>
      <c r="E236" s="2" t="inlineStr">
        <is>
          <t>N</t>
        </is>
      </c>
      <c r="F236" s="2" t="inlineStr">
        <is>
          <t>Y</t>
        </is>
      </c>
      <c r="G236" s="2" t="inlineStr">
        <is>
          <t>COMPONENT</t>
        </is>
      </c>
      <c r="H236" s="2" t="inlineStr">
        <is>
          <t>Frozen packaging composition for a confirmed shipment</t>
        </is>
      </c>
      <c r="I236" s="2" t="inlineStr">
        <is>
          <t>System (generated) / Compliance</t>
        </is>
      </c>
      <c r="J236" s="2" t="inlineStr">
        <is>
          <t>Written once on CONFIRM</t>
        </is>
      </c>
      <c r="K236" s="2" t="inlineStr">
        <is>
          <t>FK → COMPONENT (Python QA; no huge dropdown)</t>
        </is>
      </c>
      <c r="L236" s="2" t="inlineStr">
        <is>
          <t>USER</t>
        </is>
      </c>
    </row>
    <row r="237">
      <c r="A237" s="2" t="inlineStr">
        <is>
          <t>SHIPMENT_LINE</t>
        </is>
      </c>
      <c r="B237" s="2" t="inlineStr">
        <is>
          <t>MATERIAL_ID</t>
        </is>
      </c>
      <c r="C237" s="2" t="inlineStr">
        <is>
          <t>INT</t>
        </is>
      </c>
      <c r="D237" s="2" t="inlineStr">
        <is>
          <t>Y</t>
        </is>
      </c>
      <c r="E237" s="2" t="inlineStr">
        <is>
          <t>N</t>
        </is>
      </c>
      <c r="F237" s="2" t="inlineStr">
        <is>
          <t>Y</t>
        </is>
      </c>
      <c r="G237" s="2" t="inlineStr">
        <is>
          <t>LKP_MATERIAL</t>
        </is>
      </c>
      <c r="H237" s="2" t="inlineStr">
        <is>
          <t>Frozen packaging composition for a confirmed shipment</t>
        </is>
      </c>
      <c r="I237" s="2" t="inlineStr">
        <is>
          <t>System (generated) / Compliance</t>
        </is>
      </c>
      <c r="J237" s="2" t="inlineStr">
        <is>
          <t>Written once on CONFIRM</t>
        </is>
      </c>
      <c r="K237" s="2" t="inlineStr">
        <is>
          <t>Lookup list → LKP_MATERIAL</t>
        </is>
      </c>
      <c r="L237" s="2" t="inlineStr">
        <is>
          <t>USER</t>
        </is>
      </c>
    </row>
    <row r="238">
      <c r="A238" s="2" t="inlineStr">
        <is>
          <t>SHIPMENT_LINE</t>
        </is>
      </c>
      <c r="B238" s="2" t="inlineStr">
        <is>
          <t>PACKAGING_LEVEL_ID</t>
        </is>
      </c>
      <c r="C238" s="2" t="inlineStr">
        <is>
          <t>INT</t>
        </is>
      </c>
      <c r="D238" s="2" t="inlineStr">
        <is>
          <t>Y</t>
        </is>
      </c>
      <c r="E238" s="2" t="inlineStr">
        <is>
          <t>N</t>
        </is>
      </c>
      <c r="F238" s="2" t="inlineStr">
        <is>
          <t>Y</t>
        </is>
      </c>
      <c r="G238" s="2" t="inlineStr">
        <is>
          <t>LKP_PACKAGING_LEVEL</t>
        </is>
      </c>
      <c r="H238" s="2" t="inlineStr">
        <is>
          <t>Frozen packaging composition for a confirmed shipment</t>
        </is>
      </c>
      <c r="I238" s="2" t="inlineStr">
        <is>
          <t>System (generated) / Compliance</t>
        </is>
      </c>
      <c r="J238" s="2" t="inlineStr">
        <is>
          <t>Written once on CONFIRM</t>
        </is>
      </c>
      <c r="K238" s="2" t="inlineStr">
        <is>
          <t>Lookup list → LKP_PACKAGING_LEVEL</t>
        </is>
      </c>
      <c r="L238" s="2" t="inlineStr">
        <is>
          <t>USER</t>
        </is>
      </c>
    </row>
    <row r="239">
      <c r="A239" s="2" t="inlineStr">
        <is>
          <t>SHIPMENT_LINE</t>
        </is>
      </c>
      <c r="B239" s="2" t="inlineStr">
        <is>
          <t>PACKAGING_FUNCTION_ID</t>
        </is>
      </c>
      <c r="C239" s="2" t="inlineStr">
        <is>
          <t>INT</t>
        </is>
      </c>
      <c r="D239" s="2" t="inlineStr">
        <is>
          <t>Y</t>
        </is>
      </c>
      <c r="E239" s="2" t="inlineStr">
        <is>
          <t>N</t>
        </is>
      </c>
      <c r="F239" s="2" t="inlineStr">
        <is>
          <t>Y</t>
        </is>
      </c>
      <c r="G239" s="2" t="inlineStr">
        <is>
          <t>LKP_PACKAGING_FUNCTION</t>
        </is>
      </c>
      <c r="H239" s="2" t="inlineStr">
        <is>
          <t>Frozen packaging composition for a confirmed shipment</t>
        </is>
      </c>
      <c r="I239" s="2" t="inlineStr">
        <is>
          <t>System (generated) / Compliance</t>
        </is>
      </c>
      <c r="J239" s="2" t="inlineStr">
        <is>
          <t>Written once on CONFIRM</t>
        </is>
      </c>
      <c r="K239" s="2" t="inlineStr">
        <is>
          <t>Lookup list → LKP_PACKAGING_FUNCTION</t>
        </is>
      </c>
      <c r="L239" s="2" t="inlineStr">
        <is>
          <t>USER</t>
        </is>
      </c>
    </row>
    <row r="240">
      <c r="A240" s="2" t="inlineStr">
        <is>
          <t>SHIPMENT_LINE</t>
        </is>
      </c>
      <c r="B240" s="2" t="inlineStr">
        <is>
          <t>OWNERSHIP_TYPE_ID</t>
        </is>
      </c>
      <c r="C240" s="2" t="inlineStr">
        <is>
          <t>INT</t>
        </is>
      </c>
      <c r="D240" s="2" t="inlineStr">
        <is>
          <t>Y</t>
        </is>
      </c>
      <c r="E240" s="2" t="inlineStr">
        <is>
          <t>N</t>
        </is>
      </c>
      <c r="F240" s="2" t="inlineStr">
        <is>
          <t>Y</t>
        </is>
      </c>
      <c r="G240" s="2" t="inlineStr">
        <is>
          <t>LKP_OWNERSHIP_TYPE</t>
        </is>
      </c>
      <c r="H240" s="2" t="inlineStr">
        <is>
          <t>Frozen packaging composition for a confirmed shipment</t>
        </is>
      </c>
      <c r="I240" s="2" t="inlineStr">
        <is>
          <t>System (generated) / Compliance</t>
        </is>
      </c>
      <c r="J240" s="2" t="inlineStr">
        <is>
          <t>Written once on CONFIRM</t>
        </is>
      </c>
      <c r="K240" s="2" t="inlineStr">
        <is>
          <t>Lookup list → LKP_OWNERSHIP_TYPE</t>
        </is>
      </c>
      <c r="L240" s="2" t="inlineStr">
        <is>
          <t>USER</t>
        </is>
      </c>
    </row>
    <row r="241">
      <c r="A241" s="2" t="inlineStr">
        <is>
          <t>SHIPMENT_LINE</t>
        </is>
      </c>
      <c r="B241" s="2" t="inlineStr">
        <is>
          <t>COMPONENT_QTY</t>
        </is>
      </c>
      <c r="C241" s="2" t="inlineStr">
        <is>
          <t>DECIMAL</t>
        </is>
      </c>
      <c r="D241" s="2" t="inlineStr">
        <is>
          <t>Y</t>
        </is>
      </c>
      <c r="E241" s="2" t="inlineStr">
        <is>
          <t>N</t>
        </is>
      </c>
      <c r="F241" s="2" t="inlineStr">
        <is>
          <t>N</t>
        </is>
      </c>
      <c r="G241" s="2" t="n"/>
      <c r="H241" s="2" t="inlineStr">
        <is>
          <t>Frozen packaging composition for a confirmed shipment</t>
        </is>
      </c>
      <c r="I241" s="2" t="inlineStr">
        <is>
          <t>System (generated) / Compliance</t>
        </is>
      </c>
      <c r="J241" s="2" t="inlineStr">
        <is>
          <t>Written once on CONFIRM</t>
        </is>
      </c>
      <c r="K241" s="2" t="inlineStr">
        <is>
          <t>Decimal number</t>
        </is>
      </c>
      <c r="L241" s="2" t="inlineStr">
        <is>
          <t>USER</t>
        </is>
      </c>
    </row>
    <row r="242">
      <c r="A242" s="2" t="inlineStr">
        <is>
          <t>SHIPMENT_LINE</t>
        </is>
      </c>
      <c r="B242" s="2" t="inlineStr">
        <is>
          <t>WEIGHT_G</t>
        </is>
      </c>
      <c r="C242" s="2" t="inlineStr">
        <is>
          <t>DECIMAL</t>
        </is>
      </c>
      <c r="D242" s="2" t="inlineStr">
        <is>
          <t>Y</t>
        </is>
      </c>
      <c r="E242" s="2" t="inlineStr">
        <is>
          <t>N</t>
        </is>
      </c>
      <c r="F242" s="2" t="inlineStr">
        <is>
          <t>N</t>
        </is>
      </c>
      <c r="G242" s="2" t="n"/>
      <c r="H242" s="2" t="inlineStr">
        <is>
          <t>Frozen packaging composition for a confirmed shipment</t>
        </is>
      </c>
      <c r="I242" s="2" t="inlineStr">
        <is>
          <t>System (generated) / Compliance</t>
        </is>
      </c>
      <c r="J242" s="2" t="inlineStr">
        <is>
          <t>Written once on CONFIRM</t>
        </is>
      </c>
      <c r="K242" s="2" t="inlineStr">
        <is>
          <t>Decimal number</t>
        </is>
      </c>
      <c r="L242" s="2" t="inlineStr">
        <is>
          <t>USER</t>
        </is>
      </c>
    </row>
    <row r="243">
      <c r="A243" s="2" t="inlineStr">
        <is>
          <t>SHIPMENT_LINE</t>
        </is>
      </c>
      <c r="B243" s="2" t="inlineStr">
        <is>
          <t>RECYCLED_CONTENT_PCT</t>
        </is>
      </c>
      <c r="C243" s="2" t="inlineStr">
        <is>
          <t>DECIMAL</t>
        </is>
      </c>
      <c r="D243" s="2" t="inlineStr">
        <is>
          <t>N</t>
        </is>
      </c>
      <c r="E243" s="2" t="inlineStr">
        <is>
          <t>N</t>
        </is>
      </c>
      <c r="F243" s="2" t="inlineStr">
        <is>
          <t>N</t>
        </is>
      </c>
      <c r="G243" s="2" t="n"/>
      <c r="H243" s="2" t="inlineStr">
        <is>
          <t>Frozen packaging composition for a confirmed shipment</t>
        </is>
      </c>
      <c r="I243" s="2" t="inlineStr">
        <is>
          <t>System (generated) / Compliance</t>
        </is>
      </c>
      <c r="J243" s="2" t="inlineStr">
        <is>
          <t>Written once on CONFIRM</t>
        </is>
      </c>
      <c r="K243" s="2" t="inlineStr">
        <is>
          <t>Decimal number</t>
        </is>
      </c>
      <c r="L243" s="2" t="inlineStr">
        <is>
          <t>USER</t>
        </is>
      </c>
    </row>
    <row r="244">
      <c r="A244" s="2" t="inlineStr">
        <is>
          <t>SHIPMENT_LINE</t>
        </is>
      </c>
      <c r="B244" s="2" t="inlineStr">
        <is>
          <t>SOURCE_LAYER</t>
        </is>
      </c>
      <c r="C244" s="2" t="inlineStr">
        <is>
          <t>TEXT</t>
        </is>
      </c>
      <c r="D244" s="2" t="inlineStr">
        <is>
          <t>Y</t>
        </is>
      </c>
      <c r="E244" s="2" t="inlineStr">
        <is>
          <t>N</t>
        </is>
      </c>
      <c r="F244" s="2" t="inlineStr">
        <is>
          <t>N</t>
        </is>
      </c>
      <c r="G244" s="2" t="n"/>
      <c r="H244" s="2" t="inlineStr">
        <is>
          <t>Frozen packaging composition for a confirmed shipment</t>
        </is>
      </c>
      <c r="I244" s="2" t="inlineStr">
        <is>
          <t>System (generated) / Compliance</t>
        </is>
      </c>
      <c r="J244" s="2" t="inlineStr">
        <is>
          <t>Written once on CONFIRM</t>
        </is>
      </c>
      <c r="K244" s="2" t="inlineStr">
        <is>
          <t>Text</t>
        </is>
      </c>
      <c r="L244" s="2" t="inlineStr">
        <is>
          <t>USER</t>
        </is>
      </c>
    </row>
    <row r="245">
      <c r="A245" s="2" t="inlineStr">
        <is>
          <t>SHIPMENT_LINE</t>
        </is>
      </c>
      <c r="B245" s="2" t="inlineStr">
        <is>
          <t>NOTES</t>
        </is>
      </c>
      <c r="C245" s="2" t="inlineStr">
        <is>
          <t>TEXT</t>
        </is>
      </c>
      <c r="D245" s="2" t="inlineStr">
        <is>
          <t>N</t>
        </is>
      </c>
      <c r="E245" s="2" t="inlineStr">
        <is>
          <t>N</t>
        </is>
      </c>
      <c r="F245" s="2" t="inlineStr">
        <is>
          <t>N</t>
        </is>
      </c>
      <c r="G245" s="2" t="n"/>
      <c r="H245" s="2" t="inlineStr">
        <is>
          <t>Frozen packaging composition for a confirmed shipment</t>
        </is>
      </c>
      <c r="I245" s="2" t="inlineStr">
        <is>
          <t>System (generated) / Compliance</t>
        </is>
      </c>
      <c r="J245" s="2" t="inlineStr">
        <is>
          <t>Written once on CONFIRM</t>
        </is>
      </c>
      <c r="K245" s="2" t="inlineStr">
        <is>
          <t>Text</t>
        </is>
      </c>
      <c r="L245" s="2" t="inlineStr">
        <is>
          <t>USER</t>
        </is>
      </c>
    </row>
    <row r="246">
      <c r="A246" s="2" t="inlineStr">
        <is>
          <t>TECHNICAL_FILE</t>
        </is>
      </c>
      <c r="B246" s="2" t="inlineStr">
        <is>
          <t>TECHNICAL_FILE_ID</t>
        </is>
      </c>
      <c r="C246" s="2" t="inlineStr">
        <is>
          <t>INT</t>
        </is>
      </c>
      <c r="D246" s="2" t="inlineStr">
        <is>
          <t>Y</t>
        </is>
      </c>
      <c r="E246" s="2" t="inlineStr">
        <is>
          <t>Y</t>
        </is>
      </c>
      <c r="F246" s="2" t="inlineStr">
        <is>
          <t>N</t>
        </is>
      </c>
      <c r="G246" s="2" t="n"/>
      <c r="H246" s="2" t="inlineStr">
        <is>
          <t>PPWR technical documentation package</t>
        </is>
      </c>
      <c r="I246" s="2" t="inlineStr">
        <is>
          <t>Compliance / Packaging Engineering</t>
        </is>
      </c>
      <c r="J246" s="2" t="inlineStr">
        <is>
          <t>Occasional</t>
        </is>
      </c>
      <c r="K246" s="2" t="inlineStr">
        <is>
          <t>PK unique; not blank when row used</t>
        </is>
      </c>
      <c r="L246" s="2" t="inlineStr">
        <is>
          <t>USER</t>
        </is>
      </c>
    </row>
    <row r="247">
      <c r="A247" s="2" t="inlineStr">
        <is>
          <t>TECHNICAL_FILE</t>
        </is>
      </c>
      <c r="B247" s="2" t="inlineStr">
        <is>
          <t>TECHNICAL_FILE_CODE</t>
        </is>
      </c>
      <c r="C247" s="2" t="inlineStr">
        <is>
          <t>TEXT</t>
        </is>
      </c>
      <c r="D247" s="2" t="inlineStr">
        <is>
          <t>Y</t>
        </is>
      </c>
      <c r="E247" s="2" t="inlineStr">
        <is>
          <t>N</t>
        </is>
      </c>
      <c r="F247" s="2" t="inlineStr">
        <is>
          <t>N</t>
        </is>
      </c>
      <c r="G247" s="2" t="n"/>
      <c r="H247" s="2" t="inlineStr">
        <is>
          <t>PPWR technical documentation package</t>
        </is>
      </c>
      <c r="I247" s="2" t="inlineStr">
        <is>
          <t>Compliance / Packaging Engineering</t>
        </is>
      </c>
      <c r="J247" s="2" t="inlineStr">
        <is>
          <t>Occasional</t>
        </is>
      </c>
      <c r="K247" s="2" t="inlineStr">
        <is>
          <t>Text</t>
        </is>
      </c>
      <c r="L247" s="2" t="inlineStr">
        <is>
          <t>USER</t>
        </is>
      </c>
    </row>
    <row r="248">
      <c r="A248" s="2" t="inlineStr">
        <is>
          <t>TECHNICAL_FILE</t>
        </is>
      </c>
      <c r="B248" s="2" t="inlineStr">
        <is>
          <t>TITLE</t>
        </is>
      </c>
      <c r="C248" s="2" t="inlineStr">
        <is>
          <t>TEXT</t>
        </is>
      </c>
      <c r="D248" s="2" t="inlineStr">
        <is>
          <t>Y</t>
        </is>
      </c>
      <c r="E248" s="2" t="inlineStr">
        <is>
          <t>N</t>
        </is>
      </c>
      <c r="F248" s="2" t="inlineStr">
        <is>
          <t>N</t>
        </is>
      </c>
      <c r="G248" s="2" t="n"/>
      <c r="H248" s="2" t="inlineStr">
        <is>
          <t>PPWR technical documentation package</t>
        </is>
      </c>
      <c r="I248" s="2" t="inlineStr">
        <is>
          <t>Compliance / Packaging Engineering</t>
        </is>
      </c>
      <c r="J248" s="2" t="inlineStr">
        <is>
          <t>Occasional</t>
        </is>
      </c>
      <c r="K248" s="2" t="inlineStr">
        <is>
          <t>Text</t>
        </is>
      </c>
      <c r="L248" s="2" t="inlineStr">
        <is>
          <t>USER</t>
        </is>
      </c>
    </row>
    <row r="249">
      <c r="A249" s="2" t="inlineStr">
        <is>
          <t>TECHNICAL_FILE</t>
        </is>
      </c>
      <c r="B249" s="2" t="inlineStr">
        <is>
          <t>COMPONENT_ID</t>
        </is>
      </c>
      <c r="C249" s="2" t="inlineStr">
        <is>
          <t>INT</t>
        </is>
      </c>
      <c r="D249" s="2" t="inlineStr">
        <is>
          <t>N</t>
        </is>
      </c>
      <c r="E249" s="2" t="inlineStr">
        <is>
          <t>N</t>
        </is>
      </c>
      <c r="F249" s="2" t="inlineStr">
        <is>
          <t>Y</t>
        </is>
      </c>
      <c r="G249" s="2" t="inlineStr">
        <is>
          <t>COMPONENT</t>
        </is>
      </c>
      <c r="H249" s="2" t="inlineStr">
        <is>
          <t>PPWR technical documentation package</t>
        </is>
      </c>
      <c r="I249" s="2" t="inlineStr">
        <is>
          <t>Compliance / Packaging Engineering</t>
        </is>
      </c>
      <c r="J249" s="2" t="inlineStr">
        <is>
          <t>Occasional</t>
        </is>
      </c>
      <c r="K249" s="2" t="inlineStr">
        <is>
          <t>FK → COMPONENT (Python QA; no huge dropdown)</t>
        </is>
      </c>
      <c r="L249" s="2" t="inlineStr">
        <is>
          <t>USER</t>
        </is>
      </c>
    </row>
    <row r="250">
      <c r="A250" s="2" t="inlineStr">
        <is>
          <t>TECHNICAL_FILE</t>
        </is>
      </c>
      <c r="B250" s="2" t="inlineStr">
        <is>
          <t>PACKAGING_CONFIGURATION_ID</t>
        </is>
      </c>
      <c r="C250" s="2" t="inlineStr">
        <is>
          <t>INT</t>
        </is>
      </c>
      <c r="D250" s="2" t="inlineStr">
        <is>
          <t>N</t>
        </is>
      </c>
      <c r="E250" s="2" t="inlineStr">
        <is>
          <t>N</t>
        </is>
      </c>
      <c r="F250" s="2" t="inlineStr">
        <is>
          <t>Y</t>
        </is>
      </c>
      <c r="G250" s="2" t="inlineStr">
        <is>
          <t>PACKAGING_CONFIGURATION</t>
        </is>
      </c>
      <c r="H250" s="2" t="inlineStr">
        <is>
          <t>PPWR technical documentation package</t>
        </is>
      </c>
      <c r="I250" s="2" t="inlineStr">
        <is>
          <t>Compliance / Packaging Engineering</t>
        </is>
      </c>
      <c r="J250" s="2" t="inlineStr">
        <is>
          <t>Occasional</t>
        </is>
      </c>
      <c r="K250" s="2" t="inlineStr">
        <is>
          <t>FK → PACKAGING_CONFIGURATION (Python QA; no huge dropdown)</t>
        </is>
      </c>
      <c r="L250" s="2" t="inlineStr">
        <is>
          <t>USER</t>
        </is>
      </c>
    </row>
    <row r="251">
      <c r="A251" s="2" t="inlineStr">
        <is>
          <t>TECHNICAL_FILE</t>
        </is>
      </c>
      <c r="B251" s="2" t="inlineStr">
        <is>
          <t>TRANSPORT_CONFIGURATION_ID</t>
        </is>
      </c>
      <c r="C251" s="2" t="inlineStr">
        <is>
          <t>INT</t>
        </is>
      </c>
      <c r="D251" s="2" t="inlineStr">
        <is>
          <t>N</t>
        </is>
      </c>
      <c r="E251" s="2" t="inlineStr">
        <is>
          <t>N</t>
        </is>
      </c>
      <c r="F251" s="2" t="inlineStr">
        <is>
          <t>Y</t>
        </is>
      </c>
      <c r="G251" s="2" t="inlineStr">
        <is>
          <t>TRANSPORT_CONFIGURATION</t>
        </is>
      </c>
      <c r="H251" s="2" t="inlineStr">
        <is>
          <t>PPWR technical documentation package</t>
        </is>
      </c>
      <c r="I251" s="2" t="inlineStr">
        <is>
          <t>Compliance / Packaging Engineering</t>
        </is>
      </c>
      <c r="J251" s="2" t="inlineStr">
        <is>
          <t>Occasional</t>
        </is>
      </c>
      <c r="K251" s="2" t="inlineStr">
        <is>
          <t>FK → TRANSPORT_CONFIGURATION (Python QA; no huge dropdown)</t>
        </is>
      </c>
      <c r="L251" s="2" t="inlineStr">
        <is>
          <t>USER</t>
        </is>
      </c>
    </row>
    <row r="252">
      <c r="A252" s="2" t="inlineStr">
        <is>
          <t>TECHNICAL_FILE</t>
        </is>
      </c>
      <c r="B252" s="2" t="inlineStr">
        <is>
          <t>REVISION_NO</t>
        </is>
      </c>
      <c r="C252" s="2" t="inlineStr">
        <is>
          <t>INT</t>
        </is>
      </c>
      <c r="D252" s="2" t="inlineStr">
        <is>
          <t>Y</t>
        </is>
      </c>
      <c r="E252" s="2" t="inlineStr">
        <is>
          <t>N</t>
        </is>
      </c>
      <c r="F252" s="2" t="inlineStr">
        <is>
          <t>N</t>
        </is>
      </c>
      <c r="G252" s="2" t="n"/>
      <c r="H252" s="2" t="inlineStr">
        <is>
          <t>PPWR technical documentation package</t>
        </is>
      </c>
      <c r="I252" s="2" t="inlineStr">
        <is>
          <t>Compliance / Packaging Engineering</t>
        </is>
      </c>
      <c r="J252" s="2" t="inlineStr">
        <is>
          <t>Occasional</t>
        </is>
      </c>
      <c r="K252" s="2" t="inlineStr">
        <is>
          <t>Whole number / text-capable ID</t>
        </is>
      </c>
      <c r="L252" s="2" t="inlineStr">
        <is>
          <t>USER</t>
        </is>
      </c>
    </row>
    <row r="253">
      <c r="A253" s="2" t="inlineStr">
        <is>
          <t>TECHNICAL_FILE</t>
        </is>
      </c>
      <c r="B253" s="2" t="inlineStr">
        <is>
          <t>ASSESSMENT_DATE</t>
        </is>
      </c>
      <c r="C253" s="2" t="inlineStr">
        <is>
          <t>DATE</t>
        </is>
      </c>
      <c r="D253" s="2" t="inlineStr">
        <is>
          <t>N</t>
        </is>
      </c>
      <c r="E253" s="2" t="inlineStr">
        <is>
          <t>N</t>
        </is>
      </c>
      <c r="F253" s="2" t="inlineStr">
        <is>
          <t>N</t>
        </is>
      </c>
      <c r="G253" s="2" t="n"/>
      <c r="H253" s="2" t="inlineStr">
        <is>
          <t>PPWR technical documentation package</t>
        </is>
      </c>
      <c r="I253" s="2" t="inlineStr">
        <is>
          <t>Compliance / Packaging Engineering</t>
        </is>
      </c>
      <c r="J253" s="2" t="inlineStr">
        <is>
          <t>Occasional</t>
        </is>
      </c>
      <c r="K253" s="2" t="inlineStr">
        <is>
          <t>Date DD.MM.YYYY</t>
        </is>
      </c>
      <c r="L253" s="2" t="inlineStr">
        <is>
          <t>USER</t>
        </is>
      </c>
    </row>
    <row r="254">
      <c r="A254" s="2" t="inlineStr">
        <is>
          <t>TECHNICAL_FILE</t>
        </is>
      </c>
      <c r="B254" s="2" t="inlineStr">
        <is>
          <t>RECYCLABILITY_SUMMARY</t>
        </is>
      </c>
      <c r="C254" s="2" t="inlineStr">
        <is>
          <t>TEXT</t>
        </is>
      </c>
      <c r="D254" s="2" t="inlineStr">
        <is>
          <t>N</t>
        </is>
      </c>
      <c r="E254" s="2" t="inlineStr">
        <is>
          <t>N</t>
        </is>
      </c>
      <c r="F254" s="2" t="inlineStr">
        <is>
          <t>N</t>
        </is>
      </c>
      <c r="G254" s="2" t="n"/>
      <c r="H254" s="2" t="inlineStr">
        <is>
          <t>PPWR technical documentation package</t>
        </is>
      </c>
      <c r="I254" s="2" t="inlineStr">
        <is>
          <t>Compliance / Packaging Engineering</t>
        </is>
      </c>
      <c r="J254" s="2" t="inlineStr">
        <is>
          <t>Occasional</t>
        </is>
      </c>
      <c r="K254" s="2" t="inlineStr">
        <is>
          <t>Text</t>
        </is>
      </c>
      <c r="L254" s="2" t="inlineStr">
        <is>
          <t>USER</t>
        </is>
      </c>
    </row>
    <row r="255">
      <c r="A255" s="2" t="inlineStr">
        <is>
          <t>TECHNICAL_FILE</t>
        </is>
      </c>
      <c r="B255" s="2" t="inlineStr">
        <is>
          <t>SUBSTANCE_OF_CONCERN_NOTES</t>
        </is>
      </c>
      <c r="C255" s="2" t="inlineStr">
        <is>
          <t>TEXT</t>
        </is>
      </c>
      <c r="D255" s="2" t="inlineStr">
        <is>
          <t>N</t>
        </is>
      </c>
      <c r="E255" s="2" t="inlineStr">
        <is>
          <t>N</t>
        </is>
      </c>
      <c r="F255" s="2" t="inlineStr">
        <is>
          <t>N</t>
        </is>
      </c>
      <c r="G255" s="2" t="n"/>
      <c r="H255" s="2" t="inlineStr">
        <is>
          <t>PPWR technical documentation package</t>
        </is>
      </c>
      <c r="I255" s="2" t="inlineStr">
        <is>
          <t>Compliance / Packaging Engineering</t>
        </is>
      </c>
      <c r="J255" s="2" t="inlineStr">
        <is>
          <t>Occasional</t>
        </is>
      </c>
      <c r="K255" s="2" t="inlineStr">
        <is>
          <t>Text</t>
        </is>
      </c>
      <c r="L255" s="2" t="inlineStr">
        <is>
          <t>USER</t>
        </is>
      </c>
    </row>
    <row r="256">
      <c r="A256" s="2" t="inlineStr">
        <is>
          <t>TECHNICAL_FILE</t>
        </is>
      </c>
      <c r="B256" s="2" t="inlineStr">
        <is>
          <t>DESIGN_FOR_RECYCLING_NOTES</t>
        </is>
      </c>
      <c r="C256" s="2" t="inlineStr">
        <is>
          <t>TEXT</t>
        </is>
      </c>
      <c r="D256" s="2" t="inlineStr">
        <is>
          <t>N</t>
        </is>
      </c>
      <c r="E256" s="2" t="inlineStr">
        <is>
          <t>N</t>
        </is>
      </c>
      <c r="F256" s="2" t="inlineStr">
        <is>
          <t>N</t>
        </is>
      </c>
      <c r="G256" s="2" t="n"/>
      <c r="H256" s="2" t="inlineStr">
        <is>
          <t>PPWR technical documentation package</t>
        </is>
      </c>
      <c r="I256" s="2" t="inlineStr">
        <is>
          <t>Compliance / Packaging Engineering</t>
        </is>
      </c>
      <c r="J256" s="2" t="inlineStr">
        <is>
          <t>Occasional</t>
        </is>
      </c>
      <c r="K256" s="2" t="inlineStr">
        <is>
          <t>Text</t>
        </is>
      </c>
      <c r="L256" s="2" t="inlineStr">
        <is>
          <t>USER</t>
        </is>
      </c>
    </row>
    <row r="257">
      <c r="A257" s="2" t="inlineStr">
        <is>
          <t>TECHNICAL_FILE</t>
        </is>
      </c>
      <c r="B257" s="2" t="inlineStr">
        <is>
          <t>OWNER_PERSON_ID</t>
        </is>
      </c>
      <c r="C257" s="2" t="inlineStr">
        <is>
          <t>INT</t>
        </is>
      </c>
      <c r="D257" s="2" t="inlineStr">
        <is>
          <t>N</t>
        </is>
      </c>
      <c r="E257" s="2" t="inlineStr">
        <is>
          <t>N</t>
        </is>
      </c>
      <c r="F257" s="2" t="inlineStr">
        <is>
          <t>Y</t>
        </is>
      </c>
      <c r="G257" s="2" t="inlineStr">
        <is>
          <t>PERSON</t>
        </is>
      </c>
      <c r="H257" s="2" t="inlineStr">
        <is>
          <t>PPWR technical documentation package</t>
        </is>
      </c>
      <c r="I257" s="2" t="inlineStr">
        <is>
          <t>Compliance / Packaging Engineering</t>
        </is>
      </c>
      <c r="J257" s="2" t="inlineStr">
        <is>
          <t>Occasional</t>
        </is>
      </c>
      <c r="K257" s="2" t="inlineStr">
        <is>
          <t>FK → PERSON (Python QA; no huge dropdown)</t>
        </is>
      </c>
      <c r="L257" s="2" t="inlineStr">
        <is>
          <t>USER</t>
        </is>
      </c>
    </row>
    <row r="258">
      <c r="A258" s="2" t="inlineStr">
        <is>
          <t>TECHNICAL_FILE</t>
        </is>
      </c>
      <c r="B258" s="2" t="inlineStr">
        <is>
          <t>STATUS_ID</t>
        </is>
      </c>
      <c r="C258" s="2" t="inlineStr">
        <is>
          <t>INT</t>
        </is>
      </c>
      <c r="D258" s="2" t="inlineStr">
        <is>
          <t>Y</t>
        </is>
      </c>
      <c r="E258" s="2" t="inlineStr">
        <is>
          <t>N</t>
        </is>
      </c>
      <c r="F258" s="2" t="inlineStr">
        <is>
          <t>Y</t>
        </is>
      </c>
      <c r="G258" s="2" t="inlineStr">
        <is>
          <t>LKP_STATUS</t>
        </is>
      </c>
      <c r="H258" s="2" t="inlineStr">
        <is>
          <t>PPWR technical documentation package</t>
        </is>
      </c>
      <c r="I258" s="2" t="inlineStr">
        <is>
          <t>Compliance / Packaging Engineering</t>
        </is>
      </c>
      <c r="J258" s="2" t="inlineStr">
        <is>
          <t>Occasional</t>
        </is>
      </c>
      <c r="K258" s="2" t="inlineStr">
        <is>
          <t>Lookup list → LKP_STATUS</t>
        </is>
      </c>
      <c r="L258" s="2" t="inlineStr">
        <is>
          <t>USER</t>
        </is>
      </c>
    </row>
    <row r="259">
      <c r="A259" s="2" t="inlineStr">
        <is>
          <t>TECHNICAL_FILE</t>
        </is>
      </c>
      <c r="B259" s="2" t="inlineStr">
        <is>
          <t>EFFECTIVE_FROM</t>
        </is>
      </c>
      <c r="C259" s="2" t="inlineStr">
        <is>
          <t>DATE</t>
        </is>
      </c>
      <c r="D259" s="2" t="inlineStr">
        <is>
          <t>Y</t>
        </is>
      </c>
      <c r="E259" s="2" t="inlineStr">
        <is>
          <t>N</t>
        </is>
      </c>
      <c r="F259" s="2" t="inlineStr">
        <is>
          <t>N</t>
        </is>
      </c>
      <c r="G259" s="2" t="n"/>
      <c r="H259" s="2" t="inlineStr">
        <is>
          <t>PPWR technical documentation package</t>
        </is>
      </c>
      <c r="I259" s="2" t="inlineStr">
        <is>
          <t>Compliance / Packaging Engineering</t>
        </is>
      </c>
      <c r="J259" s="2" t="inlineStr">
        <is>
          <t>Occasional</t>
        </is>
      </c>
      <c r="K259" s="2" t="inlineStr">
        <is>
          <t>Date DD.MM.YYYY</t>
        </is>
      </c>
      <c r="L259" s="2" t="inlineStr">
        <is>
          <t>USER</t>
        </is>
      </c>
    </row>
    <row r="260">
      <c r="A260" s="2" t="inlineStr">
        <is>
          <t>TECHNICAL_FILE</t>
        </is>
      </c>
      <c r="B260" s="2" t="inlineStr">
        <is>
          <t>EFFECTIVE_TO</t>
        </is>
      </c>
      <c r="C260" s="2" t="inlineStr">
        <is>
          <t>DATE</t>
        </is>
      </c>
      <c r="D260" s="2" t="inlineStr">
        <is>
          <t>N</t>
        </is>
      </c>
      <c r="E260" s="2" t="inlineStr">
        <is>
          <t>N</t>
        </is>
      </c>
      <c r="F260" s="2" t="inlineStr">
        <is>
          <t>N</t>
        </is>
      </c>
      <c r="G260" s="2" t="n"/>
      <c r="H260" s="2" t="inlineStr">
        <is>
          <t>PPWR technical documentation package</t>
        </is>
      </c>
      <c r="I260" s="2" t="inlineStr">
        <is>
          <t>Compliance / Packaging Engineering</t>
        </is>
      </c>
      <c r="J260" s="2" t="inlineStr">
        <is>
          <t>Occasional</t>
        </is>
      </c>
      <c r="K260" s="2" t="inlineStr">
        <is>
          <t>Date DD.MM.YYYY</t>
        </is>
      </c>
      <c r="L260" s="2" t="inlineStr">
        <is>
          <t>USER</t>
        </is>
      </c>
    </row>
    <row r="261">
      <c r="A261" s="2" t="inlineStr">
        <is>
          <t>TECHNICAL_FILE</t>
        </is>
      </c>
      <c r="B261" s="2" t="inlineStr">
        <is>
          <t>NOTES</t>
        </is>
      </c>
      <c r="C261" s="2" t="inlineStr">
        <is>
          <t>TEXT</t>
        </is>
      </c>
      <c r="D261" s="2" t="inlineStr">
        <is>
          <t>N</t>
        </is>
      </c>
      <c r="E261" s="2" t="inlineStr">
        <is>
          <t>N</t>
        </is>
      </c>
      <c r="F261" s="2" t="inlineStr">
        <is>
          <t>N</t>
        </is>
      </c>
      <c r="G261" s="2" t="n"/>
      <c r="H261" s="2" t="inlineStr">
        <is>
          <t>PPWR technical documentation package</t>
        </is>
      </c>
      <c r="I261" s="2" t="inlineStr">
        <is>
          <t>Compliance / Packaging Engineering</t>
        </is>
      </c>
      <c r="J261" s="2" t="inlineStr">
        <is>
          <t>Occasional</t>
        </is>
      </c>
      <c r="K261" s="2" t="inlineStr">
        <is>
          <t>Text</t>
        </is>
      </c>
      <c r="L261" s="2" t="inlineStr">
        <is>
          <t>USER</t>
        </is>
      </c>
    </row>
    <row r="262">
      <c r="A262" s="2" t="inlineStr">
        <is>
          <t>TECHNICAL_FILE</t>
        </is>
      </c>
      <c r="B262" s="2" t="inlineStr">
        <is>
          <t>CREATED_AT</t>
        </is>
      </c>
      <c r="C262" s="2" t="inlineStr">
        <is>
          <t>DATETIME</t>
        </is>
      </c>
      <c r="D262" s="2" t="inlineStr">
        <is>
          <t>Y</t>
        </is>
      </c>
      <c r="E262" s="2" t="inlineStr">
        <is>
          <t>N</t>
        </is>
      </c>
      <c r="F262" s="2" t="inlineStr">
        <is>
          <t>N</t>
        </is>
      </c>
      <c r="G262" s="2" t="n"/>
      <c r="H262" s="2" t="inlineStr">
        <is>
          <t>PPWR technical documentation package</t>
        </is>
      </c>
      <c r="I262" s="2" t="inlineStr">
        <is>
          <t>Compliance / Packaging Engineering</t>
        </is>
      </c>
      <c r="J262" s="2" t="inlineStr">
        <is>
          <t>Occasional</t>
        </is>
      </c>
      <c r="K262" s="2" t="inlineStr">
        <is>
          <t>Text</t>
        </is>
      </c>
      <c r="L262" s="2" t="inlineStr">
        <is>
          <t>SYSTEM</t>
        </is>
      </c>
    </row>
    <row r="263">
      <c r="A263" s="2" t="inlineStr">
        <is>
          <t>TECHNICAL_FILE</t>
        </is>
      </c>
      <c r="B263" s="2" t="inlineStr">
        <is>
          <t>UPDATED_AT</t>
        </is>
      </c>
      <c r="C263" s="2" t="inlineStr">
        <is>
          <t>DATETIME</t>
        </is>
      </c>
      <c r="D263" s="2" t="inlineStr">
        <is>
          <t>Y</t>
        </is>
      </c>
      <c r="E263" s="2" t="inlineStr">
        <is>
          <t>N</t>
        </is>
      </c>
      <c r="F263" s="2" t="inlineStr">
        <is>
          <t>N</t>
        </is>
      </c>
      <c r="G263" s="2" t="n"/>
      <c r="H263" s="2" t="inlineStr">
        <is>
          <t>PPWR technical documentation package</t>
        </is>
      </c>
      <c r="I263" s="2" t="inlineStr">
        <is>
          <t>Compliance / Packaging Engineering</t>
        </is>
      </c>
      <c r="J263" s="2" t="inlineStr">
        <is>
          <t>Occasional</t>
        </is>
      </c>
      <c r="K263" s="2" t="inlineStr">
        <is>
          <t>Text</t>
        </is>
      </c>
      <c r="L263" s="2" t="inlineStr">
        <is>
          <t>SYSTEM</t>
        </is>
      </c>
    </row>
    <row r="264">
      <c r="A264" s="2" t="inlineStr">
        <is>
          <t>DECLARATION_OF_CONFORMITY</t>
        </is>
      </c>
      <c r="B264" s="2" t="inlineStr">
        <is>
          <t>DECLARATION_OF_CONFORMITY_ID</t>
        </is>
      </c>
      <c r="C264" s="2" t="inlineStr">
        <is>
          <t>INT</t>
        </is>
      </c>
      <c r="D264" s="2" t="inlineStr">
        <is>
          <t>Y</t>
        </is>
      </c>
      <c r="E264" s="2" t="inlineStr">
        <is>
          <t>Y</t>
        </is>
      </c>
      <c r="F264" s="2" t="inlineStr">
        <is>
          <t>N</t>
        </is>
      </c>
      <c r="G264" s="2" t="n"/>
      <c r="H264" s="2" t="inlineStr">
        <is>
          <t>Formal PPWR Declaration of Conformity</t>
        </is>
      </c>
      <c r="I264" s="2" t="inlineStr">
        <is>
          <t>Compliance</t>
        </is>
      </c>
      <c r="J264" s="2" t="inlineStr">
        <is>
          <t>Occasional</t>
        </is>
      </c>
      <c r="K264" s="2" t="inlineStr">
        <is>
          <t>PK unique; not blank when row used</t>
        </is>
      </c>
      <c r="L264" s="2" t="inlineStr">
        <is>
          <t>USER</t>
        </is>
      </c>
    </row>
    <row r="265">
      <c r="A265" s="2" t="inlineStr">
        <is>
          <t>DECLARATION_OF_CONFORMITY</t>
        </is>
      </c>
      <c r="B265" s="2" t="inlineStr">
        <is>
          <t>DOC_NUMBER</t>
        </is>
      </c>
      <c r="C265" s="2" t="inlineStr">
        <is>
          <t>TEXT</t>
        </is>
      </c>
      <c r="D265" s="2" t="inlineStr">
        <is>
          <t>Y</t>
        </is>
      </c>
      <c r="E265" s="2" t="inlineStr">
        <is>
          <t>N</t>
        </is>
      </c>
      <c r="F265" s="2" t="inlineStr">
        <is>
          <t>N</t>
        </is>
      </c>
      <c r="G265" s="2" t="n"/>
      <c r="H265" s="2" t="inlineStr">
        <is>
          <t>Formal PPWR Declaration of Conformity</t>
        </is>
      </c>
      <c r="I265" s="2" t="inlineStr">
        <is>
          <t>Compliance</t>
        </is>
      </c>
      <c r="J265" s="2" t="inlineStr">
        <is>
          <t>Occasional</t>
        </is>
      </c>
      <c r="K265" s="2" t="inlineStr">
        <is>
          <t>Text</t>
        </is>
      </c>
      <c r="L265" s="2" t="inlineStr">
        <is>
          <t>USER</t>
        </is>
      </c>
    </row>
    <row r="266">
      <c r="A266" s="2" t="inlineStr">
        <is>
          <t>DECLARATION_OF_CONFORMITY</t>
        </is>
      </c>
      <c r="B266" s="2" t="inlineStr">
        <is>
          <t>TITLE</t>
        </is>
      </c>
      <c r="C266" s="2" t="inlineStr">
        <is>
          <t>TEXT</t>
        </is>
      </c>
      <c r="D266" s="2" t="inlineStr">
        <is>
          <t>Y</t>
        </is>
      </c>
      <c r="E266" s="2" t="inlineStr">
        <is>
          <t>N</t>
        </is>
      </c>
      <c r="F266" s="2" t="inlineStr">
        <is>
          <t>N</t>
        </is>
      </c>
      <c r="G266" s="2" t="n"/>
      <c r="H266" s="2" t="inlineStr">
        <is>
          <t>Formal PPWR Declaration of Conformity</t>
        </is>
      </c>
      <c r="I266" s="2" t="inlineStr">
        <is>
          <t>Compliance</t>
        </is>
      </c>
      <c r="J266" s="2" t="inlineStr">
        <is>
          <t>Occasional</t>
        </is>
      </c>
      <c r="K266" s="2" t="inlineStr">
        <is>
          <t>Text</t>
        </is>
      </c>
      <c r="L266" s="2" t="inlineStr">
        <is>
          <t>USER</t>
        </is>
      </c>
    </row>
    <row r="267">
      <c r="A267" s="2" t="inlineStr">
        <is>
          <t>DECLARATION_OF_CONFORMITY</t>
        </is>
      </c>
      <c r="B267" s="2" t="inlineStr">
        <is>
          <t>LEGAL_ENTITY_ID</t>
        </is>
      </c>
      <c r="C267" s="2" t="inlineStr">
        <is>
          <t>INT</t>
        </is>
      </c>
      <c r="D267" s="2" t="inlineStr">
        <is>
          <t>Y</t>
        </is>
      </c>
      <c r="E267" s="2" t="inlineStr">
        <is>
          <t>N</t>
        </is>
      </c>
      <c r="F267" s="2" t="inlineStr">
        <is>
          <t>Y</t>
        </is>
      </c>
      <c r="G267" s="2" t="inlineStr">
        <is>
          <t>LEGAL_ENTITY</t>
        </is>
      </c>
      <c r="H267" s="2" t="inlineStr">
        <is>
          <t>Formal PPWR Declaration of Conformity</t>
        </is>
      </c>
      <c r="I267" s="2" t="inlineStr">
        <is>
          <t>Compliance</t>
        </is>
      </c>
      <c r="J267" s="2" t="inlineStr">
        <is>
          <t>Occasional</t>
        </is>
      </c>
      <c r="K267" s="2" t="inlineStr">
        <is>
          <t>FK → LEGAL_ENTITY (Python QA; no huge dropdown)</t>
        </is>
      </c>
      <c r="L267" s="2" t="inlineStr">
        <is>
          <t>USER</t>
        </is>
      </c>
    </row>
    <row r="268">
      <c r="A268" s="2" t="inlineStr">
        <is>
          <t>DECLARATION_OF_CONFORMITY</t>
        </is>
      </c>
      <c r="B268" s="2" t="inlineStr">
        <is>
          <t>PRODUCT_ID</t>
        </is>
      </c>
      <c r="C268" s="2" t="inlineStr">
        <is>
          <t>INT</t>
        </is>
      </c>
      <c r="D268" s="2" t="inlineStr">
        <is>
          <t>N</t>
        </is>
      </c>
      <c r="E268" s="2" t="inlineStr">
        <is>
          <t>N</t>
        </is>
      </c>
      <c r="F268" s="2" t="inlineStr">
        <is>
          <t>Y</t>
        </is>
      </c>
      <c r="G268" s="2" t="inlineStr">
        <is>
          <t>PRODUCT</t>
        </is>
      </c>
      <c r="H268" s="2" t="inlineStr">
        <is>
          <t>Formal PPWR Declaration of Conformity</t>
        </is>
      </c>
      <c r="I268" s="2" t="inlineStr">
        <is>
          <t>Compliance</t>
        </is>
      </c>
      <c r="J268" s="2" t="inlineStr">
        <is>
          <t>Occasional</t>
        </is>
      </c>
      <c r="K268" s="2" t="inlineStr">
        <is>
          <t>FK → PRODUCT (Python QA; no huge dropdown)</t>
        </is>
      </c>
      <c r="L268" s="2" t="inlineStr">
        <is>
          <t>USER</t>
        </is>
      </c>
    </row>
    <row r="269">
      <c r="A269" s="2" t="inlineStr">
        <is>
          <t>DECLARATION_OF_CONFORMITY</t>
        </is>
      </c>
      <c r="B269" s="2" t="inlineStr">
        <is>
          <t>PACKAGING_CONFIGURATION_ID</t>
        </is>
      </c>
      <c r="C269" s="2" t="inlineStr">
        <is>
          <t>INT</t>
        </is>
      </c>
      <c r="D269" s="2" t="inlineStr">
        <is>
          <t>N</t>
        </is>
      </c>
      <c r="E269" s="2" t="inlineStr">
        <is>
          <t>N</t>
        </is>
      </c>
      <c r="F269" s="2" t="inlineStr">
        <is>
          <t>Y</t>
        </is>
      </c>
      <c r="G269" s="2" t="inlineStr">
        <is>
          <t>PACKAGING_CONFIGURATION</t>
        </is>
      </c>
      <c r="H269" s="2" t="inlineStr">
        <is>
          <t>Formal PPWR Declaration of Conformity</t>
        </is>
      </c>
      <c r="I269" s="2" t="inlineStr">
        <is>
          <t>Compliance</t>
        </is>
      </c>
      <c r="J269" s="2" t="inlineStr">
        <is>
          <t>Occasional</t>
        </is>
      </c>
      <c r="K269" s="2" t="inlineStr">
        <is>
          <t>FK → PACKAGING_CONFIGURATION (Python QA; no huge dropdown)</t>
        </is>
      </c>
      <c r="L269" s="2" t="inlineStr">
        <is>
          <t>USER</t>
        </is>
      </c>
    </row>
    <row r="270">
      <c r="A270" s="2" t="inlineStr">
        <is>
          <t>DECLARATION_OF_CONFORMITY</t>
        </is>
      </c>
      <c r="B270" s="2" t="inlineStr">
        <is>
          <t>TRANSPORT_CONFIGURATION_ID</t>
        </is>
      </c>
      <c r="C270" s="2" t="inlineStr">
        <is>
          <t>INT</t>
        </is>
      </c>
      <c r="D270" s="2" t="inlineStr">
        <is>
          <t>N</t>
        </is>
      </c>
      <c r="E270" s="2" t="inlineStr">
        <is>
          <t>N</t>
        </is>
      </c>
      <c r="F270" s="2" t="inlineStr">
        <is>
          <t>Y</t>
        </is>
      </c>
      <c r="G270" s="2" t="inlineStr">
        <is>
          <t>TRANSPORT_CONFIGURATION</t>
        </is>
      </c>
      <c r="H270" s="2" t="inlineStr">
        <is>
          <t>Formal PPWR Declaration of Conformity</t>
        </is>
      </c>
      <c r="I270" s="2" t="inlineStr">
        <is>
          <t>Compliance</t>
        </is>
      </c>
      <c r="J270" s="2" t="inlineStr">
        <is>
          <t>Occasional</t>
        </is>
      </c>
      <c r="K270" s="2" t="inlineStr">
        <is>
          <t>FK → TRANSPORT_CONFIGURATION (Python QA; no huge dropdown)</t>
        </is>
      </c>
      <c r="L270" s="2" t="inlineStr">
        <is>
          <t>USER</t>
        </is>
      </c>
    </row>
    <row r="271">
      <c r="A271" s="2" t="inlineStr">
        <is>
          <t>DECLARATION_OF_CONFORMITY</t>
        </is>
      </c>
      <c r="B271" s="2" t="inlineStr">
        <is>
          <t>TECHNICAL_FILE_ID</t>
        </is>
      </c>
      <c r="C271" s="2" t="inlineStr">
        <is>
          <t>INT</t>
        </is>
      </c>
      <c r="D271" s="2" t="inlineStr">
        <is>
          <t>Y</t>
        </is>
      </c>
      <c r="E271" s="2" t="inlineStr">
        <is>
          <t>N</t>
        </is>
      </c>
      <c r="F271" s="2" t="inlineStr">
        <is>
          <t>Y</t>
        </is>
      </c>
      <c r="G271" s="2" t="inlineStr">
        <is>
          <t>TECHNICAL_FILE</t>
        </is>
      </c>
      <c r="H271" s="2" t="inlineStr">
        <is>
          <t>Formal PPWR Declaration of Conformity</t>
        </is>
      </c>
      <c r="I271" s="2" t="inlineStr">
        <is>
          <t>Compliance</t>
        </is>
      </c>
      <c r="J271" s="2" t="inlineStr">
        <is>
          <t>Occasional</t>
        </is>
      </c>
      <c r="K271" s="2" t="inlineStr">
        <is>
          <t>FK → TECHNICAL_FILE (Python QA; no huge dropdown)</t>
        </is>
      </c>
      <c r="L271" s="2" t="inlineStr">
        <is>
          <t>USER</t>
        </is>
      </c>
    </row>
    <row r="272">
      <c r="A272" s="2" t="inlineStr">
        <is>
          <t>DECLARATION_OF_CONFORMITY</t>
        </is>
      </c>
      <c r="B272" s="2" t="inlineStr">
        <is>
          <t>RESPONSIBLE_PERSON_ID</t>
        </is>
      </c>
      <c r="C272" s="2" t="inlineStr">
        <is>
          <t>INT</t>
        </is>
      </c>
      <c r="D272" s="2" t="inlineStr">
        <is>
          <t>Y</t>
        </is>
      </c>
      <c r="E272" s="2" t="inlineStr">
        <is>
          <t>N</t>
        </is>
      </c>
      <c r="F272" s="2" t="inlineStr">
        <is>
          <t>Y</t>
        </is>
      </c>
      <c r="G272" s="2" t="inlineStr">
        <is>
          <t>PERSON</t>
        </is>
      </c>
      <c r="H272" s="2" t="inlineStr">
        <is>
          <t>Formal PPWR Declaration of Conformity</t>
        </is>
      </c>
      <c r="I272" s="2" t="inlineStr">
        <is>
          <t>Compliance</t>
        </is>
      </c>
      <c r="J272" s="2" t="inlineStr">
        <is>
          <t>Occasional</t>
        </is>
      </c>
      <c r="K272" s="2" t="inlineStr">
        <is>
          <t>FK → PERSON (Python QA; no huge dropdown)</t>
        </is>
      </c>
      <c r="L272" s="2" t="inlineStr">
        <is>
          <t>USER</t>
        </is>
      </c>
    </row>
    <row r="273">
      <c r="A273" s="2" t="inlineStr">
        <is>
          <t>DECLARATION_OF_CONFORMITY</t>
        </is>
      </c>
      <c r="B273" s="2" t="inlineStr">
        <is>
          <t>REGULATION_REFERENCE</t>
        </is>
      </c>
      <c r="C273" s="2" t="inlineStr">
        <is>
          <t>TEXT</t>
        </is>
      </c>
      <c r="D273" s="2" t="inlineStr">
        <is>
          <t>Y</t>
        </is>
      </c>
      <c r="E273" s="2" t="inlineStr">
        <is>
          <t>N</t>
        </is>
      </c>
      <c r="F273" s="2" t="inlineStr">
        <is>
          <t>N</t>
        </is>
      </c>
      <c r="G273" s="2" t="n"/>
      <c r="H273" s="2" t="inlineStr">
        <is>
          <t>Formal PPWR Declaration of Conformity</t>
        </is>
      </c>
      <c r="I273" s="2" t="inlineStr">
        <is>
          <t>Compliance</t>
        </is>
      </c>
      <c r="J273" s="2" t="inlineStr">
        <is>
          <t>Occasional</t>
        </is>
      </c>
      <c r="K273" s="2" t="inlineStr">
        <is>
          <t>Text</t>
        </is>
      </c>
      <c r="L273" s="2" t="inlineStr">
        <is>
          <t>USER</t>
        </is>
      </c>
    </row>
    <row r="274">
      <c r="A274" s="2" t="inlineStr">
        <is>
          <t>DECLARATION_OF_CONFORMITY</t>
        </is>
      </c>
      <c r="B274" s="2" t="inlineStr">
        <is>
          <t>CONFORMITY_STATEMENT</t>
        </is>
      </c>
      <c r="C274" s="2" t="inlineStr">
        <is>
          <t>TEXT</t>
        </is>
      </c>
      <c r="D274" s="2" t="inlineStr">
        <is>
          <t>Y</t>
        </is>
      </c>
      <c r="E274" s="2" t="inlineStr">
        <is>
          <t>N</t>
        </is>
      </c>
      <c r="F274" s="2" t="inlineStr">
        <is>
          <t>N</t>
        </is>
      </c>
      <c r="G274" s="2" t="n"/>
      <c r="H274" s="2" t="inlineStr">
        <is>
          <t>Formal PPWR Declaration of Conformity</t>
        </is>
      </c>
      <c r="I274" s="2" t="inlineStr">
        <is>
          <t>Compliance</t>
        </is>
      </c>
      <c r="J274" s="2" t="inlineStr">
        <is>
          <t>Occasional</t>
        </is>
      </c>
      <c r="K274" s="2" t="inlineStr">
        <is>
          <t>Text</t>
        </is>
      </c>
      <c r="L274" s="2" t="inlineStr">
        <is>
          <t>USER</t>
        </is>
      </c>
    </row>
    <row r="275">
      <c r="A275" s="2" t="inlineStr">
        <is>
          <t>DECLARATION_OF_CONFORMITY</t>
        </is>
      </c>
      <c r="B275" s="2" t="inlineStr">
        <is>
          <t>ISSUE_DATE</t>
        </is>
      </c>
      <c r="C275" s="2" t="inlineStr">
        <is>
          <t>DATE</t>
        </is>
      </c>
      <c r="D275" s="2" t="inlineStr">
        <is>
          <t>Y</t>
        </is>
      </c>
      <c r="E275" s="2" t="inlineStr">
        <is>
          <t>N</t>
        </is>
      </c>
      <c r="F275" s="2" t="inlineStr">
        <is>
          <t>N</t>
        </is>
      </c>
      <c r="G275" s="2" t="n"/>
      <c r="H275" s="2" t="inlineStr">
        <is>
          <t>Formal PPWR Declaration of Conformity</t>
        </is>
      </c>
      <c r="I275" s="2" t="inlineStr">
        <is>
          <t>Compliance</t>
        </is>
      </c>
      <c r="J275" s="2" t="inlineStr">
        <is>
          <t>Occasional</t>
        </is>
      </c>
      <c r="K275" s="2" t="inlineStr">
        <is>
          <t>Date DD.MM.YYYY</t>
        </is>
      </c>
      <c r="L275" s="2" t="inlineStr">
        <is>
          <t>USER</t>
        </is>
      </c>
    </row>
    <row r="276">
      <c r="A276" s="2" t="inlineStr">
        <is>
          <t>DECLARATION_OF_CONFORMITY</t>
        </is>
      </c>
      <c r="B276" s="2" t="inlineStr">
        <is>
          <t>VALID_UNTIL</t>
        </is>
      </c>
      <c r="C276" s="2" t="inlineStr">
        <is>
          <t>DATE</t>
        </is>
      </c>
      <c r="D276" s="2" t="inlineStr">
        <is>
          <t>N</t>
        </is>
      </c>
      <c r="E276" s="2" t="inlineStr">
        <is>
          <t>N</t>
        </is>
      </c>
      <c r="F276" s="2" t="inlineStr">
        <is>
          <t>N</t>
        </is>
      </c>
      <c r="G276" s="2" t="n"/>
      <c r="H276" s="2" t="inlineStr">
        <is>
          <t>Formal PPWR Declaration of Conformity</t>
        </is>
      </c>
      <c r="I276" s="2" t="inlineStr">
        <is>
          <t>Compliance</t>
        </is>
      </c>
      <c r="J276" s="2" t="inlineStr">
        <is>
          <t>Occasional</t>
        </is>
      </c>
      <c r="K276" s="2" t="inlineStr">
        <is>
          <t>Date DD.MM.YYYY</t>
        </is>
      </c>
      <c r="L276" s="2" t="inlineStr">
        <is>
          <t>USER</t>
        </is>
      </c>
    </row>
    <row r="277">
      <c r="A277" s="2" t="inlineStr">
        <is>
          <t>DECLARATION_OF_CONFORMITY</t>
        </is>
      </c>
      <c r="B277" s="2" t="inlineStr">
        <is>
          <t>REVISION_NO</t>
        </is>
      </c>
      <c r="C277" s="2" t="inlineStr">
        <is>
          <t>INT</t>
        </is>
      </c>
      <c r="D277" s="2" t="inlineStr">
        <is>
          <t>Y</t>
        </is>
      </c>
      <c r="E277" s="2" t="inlineStr">
        <is>
          <t>N</t>
        </is>
      </c>
      <c r="F277" s="2" t="inlineStr">
        <is>
          <t>N</t>
        </is>
      </c>
      <c r="G277" s="2" t="n"/>
      <c r="H277" s="2" t="inlineStr">
        <is>
          <t>Formal PPWR Declaration of Conformity</t>
        </is>
      </c>
      <c r="I277" s="2" t="inlineStr">
        <is>
          <t>Compliance</t>
        </is>
      </c>
      <c r="J277" s="2" t="inlineStr">
        <is>
          <t>Occasional</t>
        </is>
      </c>
      <c r="K277" s="2" t="inlineStr">
        <is>
          <t>Whole number / text-capable ID</t>
        </is>
      </c>
      <c r="L277" s="2" t="inlineStr">
        <is>
          <t>USER</t>
        </is>
      </c>
    </row>
    <row r="278">
      <c r="A278" s="2" t="inlineStr">
        <is>
          <t>DECLARATION_OF_CONFORMITY</t>
        </is>
      </c>
      <c r="B278" s="2" t="inlineStr">
        <is>
          <t>STATUS_ID</t>
        </is>
      </c>
      <c r="C278" s="2" t="inlineStr">
        <is>
          <t>INT</t>
        </is>
      </c>
      <c r="D278" s="2" t="inlineStr">
        <is>
          <t>Y</t>
        </is>
      </c>
      <c r="E278" s="2" t="inlineStr">
        <is>
          <t>N</t>
        </is>
      </c>
      <c r="F278" s="2" t="inlineStr">
        <is>
          <t>Y</t>
        </is>
      </c>
      <c r="G278" s="2" t="inlineStr">
        <is>
          <t>LKP_STATUS</t>
        </is>
      </c>
      <c r="H278" s="2" t="inlineStr">
        <is>
          <t>Formal PPWR Declaration of Conformity</t>
        </is>
      </c>
      <c r="I278" s="2" t="inlineStr">
        <is>
          <t>Compliance</t>
        </is>
      </c>
      <c r="J278" s="2" t="inlineStr">
        <is>
          <t>Occasional</t>
        </is>
      </c>
      <c r="K278" s="2" t="inlineStr">
        <is>
          <t>Lookup list → LKP_STATUS</t>
        </is>
      </c>
      <c r="L278" s="2" t="inlineStr">
        <is>
          <t>USER</t>
        </is>
      </c>
    </row>
    <row r="279">
      <c r="A279" s="2" t="inlineStr">
        <is>
          <t>DECLARATION_OF_CONFORMITY</t>
        </is>
      </c>
      <c r="B279" s="2" t="inlineStr">
        <is>
          <t>APPROVED_AT</t>
        </is>
      </c>
      <c r="C279" s="2" t="inlineStr">
        <is>
          <t>DATETIME</t>
        </is>
      </c>
      <c r="D279" s="2" t="inlineStr">
        <is>
          <t>N</t>
        </is>
      </c>
      <c r="E279" s="2" t="inlineStr">
        <is>
          <t>N</t>
        </is>
      </c>
      <c r="F279" s="2" t="inlineStr">
        <is>
          <t>N</t>
        </is>
      </c>
      <c r="G279" s="2" t="n"/>
      <c r="H279" s="2" t="inlineStr">
        <is>
          <t>Formal PPWR Declaration of Conformity</t>
        </is>
      </c>
      <c r="I279" s="2" t="inlineStr">
        <is>
          <t>Compliance</t>
        </is>
      </c>
      <c r="J279" s="2" t="inlineStr">
        <is>
          <t>Occasional</t>
        </is>
      </c>
      <c r="K279" s="2" t="inlineStr">
        <is>
          <t>Text</t>
        </is>
      </c>
      <c r="L279" s="2" t="inlineStr">
        <is>
          <t>SYSTEM</t>
        </is>
      </c>
    </row>
    <row r="280">
      <c r="A280" s="2" t="inlineStr">
        <is>
          <t>DECLARATION_OF_CONFORMITY</t>
        </is>
      </c>
      <c r="B280" s="2" t="inlineStr">
        <is>
          <t>NOTES</t>
        </is>
      </c>
      <c r="C280" s="2" t="inlineStr">
        <is>
          <t>TEXT</t>
        </is>
      </c>
      <c r="D280" s="2" t="inlineStr">
        <is>
          <t>N</t>
        </is>
      </c>
      <c r="E280" s="2" t="inlineStr">
        <is>
          <t>N</t>
        </is>
      </c>
      <c r="F280" s="2" t="inlineStr">
        <is>
          <t>N</t>
        </is>
      </c>
      <c r="G280" s="2" t="n"/>
      <c r="H280" s="2" t="inlineStr">
        <is>
          <t>Formal PPWR Declaration of Conformity</t>
        </is>
      </c>
      <c r="I280" s="2" t="inlineStr">
        <is>
          <t>Compliance</t>
        </is>
      </c>
      <c r="J280" s="2" t="inlineStr">
        <is>
          <t>Occasional</t>
        </is>
      </c>
      <c r="K280" s="2" t="inlineStr">
        <is>
          <t>Text</t>
        </is>
      </c>
      <c r="L280" s="2" t="inlineStr">
        <is>
          <t>USER</t>
        </is>
      </c>
    </row>
    <row r="281">
      <c r="A281" s="2" t="inlineStr">
        <is>
          <t>DECLARATION_OF_CONFORMITY</t>
        </is>
      </c>
      <c r="B281" s="2" t="inlineStr">
        <is>
          <t>CREATED_AT</t>
        </is>
      </c>
      <c r="C281" s="2" t="inlineStr">
        <is>
          <t>DATETIME</t>
        </is>
      </c>
      <c r="D281" s="2" t="inlineStr">
        <is>
          <t>Y</t>
        </is>
      </c>
      <c r="E281" s="2" t="inlineStr">
        <is>
          <t>N</t>
        </is>
      </c>
      <c r="F281" s="2" t="inlineStr">
        <is>
          <t>N</t>
        </is>
      </c>
      <c r="G281" s="2" t="n"/>
      <c r="H281" s="2" t="inlineStr">
        <is>
          <t>Formal PPWR Declaration of Conformity</t>
        </is>
      </c>
      <c r="I281" s="2" t="inlineStr">
        <is>
          <t>Compliance</t>
        </is>
      </c>
      <c r="J281" s="2" t="inlineStr">
        <is>
          <t>Occasional</t>
        </is>
      </c>
      <c r="K281" s="2" t="inlineStr">
        <is>
          <t>Text</t>
        </is>
      </c>
      <c r="L281" s="2" t="inlineStr">
        <is>
          <t>SYSTEM</t>
        </is>
      </c>
    </row>
    <row r="282">
      <c r="A282" s="2" t="inlineStr">
        <is>
          <t>DECLARATION_OF_CONFORMITY</t>
        </is>
      </c>
      <c r="B282" s="2" t="inlineStr">
        <is>
          <t>UPDATED_AT</t>
        </is>
      </c>
      <c r="C282" s="2" t="inlineStr">
        <is>
          <t>DATETIME</t>
        </is>
      </c>
      <c r="D282" s="2" t="inlineStr">
        <is>
          <t>Y</t>
        </is>
      </c>
      <c r="E282" s="2" t="inlineStr">
        <is>
          <t>N</t>
        </is>
      </c>
      <c r="F282" s="2" t="inlineStr">
        <is>
          <t>N</t>
        </is>
      </c>
      <c r="G282" s="2" t="n"/>
      <c r="H282" s="2" t="inlineStr">
        <is>
          <t>Formal PPWR Declaration of Conformity</t>
        </is>
      </c>
      <c r="I282" s="2" t="inlineStr">
        <is>
          <t>Compliance</t>
        </is>
      </c>
      <c r="J282" s="2" t="inlineStr">
        <is>
          <t>Occasional</t>
        </is>
      </c>
      <c r="K282" s="2" t="inlineStr">
        <is>
          <t>Text</t>
        </is>
      </c>
      <c r="L282" s="2" t="inlineStr">
        <is>
          <t>SYSTEM</t>
        </is>
      </c>
    </row>
    <row r="283">
      <c r="A283" s="2" t="inlineStr">
        <is>
          <t>STATEMENT</t>
        </is>
      </c>
      <c r="B283" s="2" t="inlineStr">
        <is>
          <t>STATEMENT_ID</t>
        </is>
      </c>
      <c r="C283" s="2" t="inlineStr">
        <is>
          <t>INT</t>
        </is>
      </c>
      <c r="D283" s="2" t="inlineStr">
        <is>
          <t>Y</t>
        </is>
      </c>
      <c r="E283" s="2" t="inlineStr">
        <is>
          <t>Y</t>
        </is>
      </c>
      <c r="F283" s="2" t="inlineStr">
        <is>
          <t>N</t>
        </is>
      </c>
      <c r="G283" s="2" t="n"/>
      <c r="H283" s="2" t="inlineStr">
        <is>
          <t>Placed-on-market statement header</t>
        </is>
      </c>
      <c r="I283" s="2" t="inlineStr">
        <is>
          <t>Compliance</t>
        </is>
      </c>
      <c r="J283" s="2" t="inlineStr">
        <is>
          <t>Periodic</t>
        </is>
      </c>
      <c r="K283" s="2" t="inlineStr">
        <is>
          <t>PK unique; not blank when row used</t>
        </is>
      </c>
      <c r="L283" s="2" t="inlineStr">
        <is>
          <t>USER</t>
        </is>
      </c>
    </row>
    <row r="284">
      <c r="A284" s="2" t="inlineStr">
        <is>
          <t>STATEMENT</t>
        </is>
      </c>
      <c r="B284" s="2" t="inlineStr">
        <is>
          <t>STATEMENT_CODE</t>
        </is>
      </c>
      <c r="C284" s="2" t="inlineStr">
        <is>
          <t>TEXT</t>
        </is>
      </c>
      <c r="D284" s="2" t="inlineStr">
        <is>
          <t>Y</t>
        </is>
      </c>
      <c r="E284" s="2" t="inlineStr">
        <is>
          <t>N</t>
        </is>
      </c>
      <c r="F284" s="2" t="inlineStr">
        <is>
          <t>N</t>
        </is>
      </c>
      <c r="G284" s="2" t="n"/>
      <c r="H284" s="2" t="inlineStr">
        <is>
          <t>Placed-on-market statement header</t>
        </is>
      </c>
      <c r="I284" s="2" t="inlineStr">
        <is>
          <t>Compliance</t>
        </is>
      </c>
      <c r="J284" s="2" t="inlineStr">
        <is>
          <t>Periodic</t>
        </is>
      </c>
      <c r="K284" s="2" t="inlineStr">
        <is>
          <t>Text</t>
        </is>
      </c>
      <c r="L284" s="2" t="inlineStr">
        <is>
          <t>USER</t>
        </is>
      </c>
    </row>
    <row r="285">
      <c r="A285" s="2" t="inlineStr">
        <is>
          <t>STATEMENT</t>
        </is>
      </c>
      <c r="B285" s="2" t="inlineStr">
        <is>
          <t>STATEMENT_TYPE_ID</t>
        </is>
      </c>
      <c r="C285" s="2" t="inlineStr">
        <is>
          <t>INT</t>
        </is>
      </c>
      <c r="D285" s="2" t="inlineStr">
        <is>
          <t>Y</t>
        </is>
      </c>
      <c r="E285" s="2" t="inlineStr">
        <is>
          <t>N</t>
        </is>
      </c>
      <c r="F285" s="2" t="inlineStr">
        <is>
          <t>Y</t>
        </is>
      </c>
      <c r="G285" s="2" t="inlineStr">
        <is>
          <t>LKP_STATEMENT_TYPE</t>
        </is>
      </c>
      <c r="H285" s="2" t="inlineStr">
        <is>
          <t>Placed-on-market statement header</t>
        </is>
      </c>
      <c r="I285" s="2" t="inlineStr">
        <is>
          <t>Compliance</t>
        </is>
      </c>
      <c r="J285" s="2" t="inlineStr">
        <is>
          <t>Periodic</t>
        </is>
      </c>
      <c r="K285" s="2" t="inlineStr">
        <is>
          <t>Lookup list → LKP_STATEMENT_TYPE</t>
        </is>
      </c>
      <c r="L285" s="2" t="inlineStr">
        <is>
          <t>USER</t>
        </is>
      </c>
    </row>
    <row r="286">
      <c r="A286" s="2" t="inlineStr">
        <is>
          <t>STATEMENT</t>
        </is>
      </c>
      <c r="B286" s="2" t="inlineStr">
        <is>
          <t>LEGAL_ENTITY_ID</t>
        </is>
      </c>
      <c r="C286" s="2" t="inlineStr">
        <is>
          <t>INT</t>
        </is>
      </c>
      <c r="D286" s="2" t="inlineStr">
        <is>
          <t>Y</t>
        </is>
      </c>
      <c r="E286" s="2" t="inlineStr">
        <is>
          <t>N</t>
        </is>
      </c>
      <c r="F286" s="2" t="inlineStr">
        <is>
          <t>Y</t>
        </is>
      </c>
      <c r="G286" s="2" t="inlineStr">
        <is>
          <t>LEGAL_ENTITY</t>
        </is>
      </c>
      <c r="H286" s="2" t="inlineStr">
        <is>
          <t>Placed-on-market statement header</t>
        </is>
      </c>
      <c r="I286" s="2" t="inlineStr">
        <is>
          <t>Compliance</t>
        </is>
      </c>
      <c r="J286" s="2" t="inlineStr">
        <is>
          <t>Periodic</t>
        </is>
      </c>
      <c r="K286" s="2" t="inlineStr">
        <is>
          <t>FK → LEGAL_ENTITY (Python QA; no huge dropdown)</t>
        </is>
      </c>
      <c r="L286" s="2" t="inlineStr">
        <is>
          <t>USER</t>
        </is>
      </c>
    </row>
    <row r="287">
      <c r="A287" s="2" t="inlineStr">
        <is>
          <t>STATEMENT</t>
        </is>
      </c>
      <c r="B287" s="2" t="inlineStr">
        <is>
          <t>COUNTRY_ID</t>
        </is>
      </c>
      <c r="C287" s="2" t="inlineStr">
        <is>
          <t>INT</t>
        </is>
      </c>
      <c r="D287" s="2" t="inlineStr">
        <is>
          <t>Y</t>
        </is>
      </c>
      <c r="E287" s="2" t="inlineStr">
        <is>
          <t>N</t>
        </is>
      </c>
      <c r="F287" s="2" t="inlineStr">
        <is>
          <t>Y</t>
        </is>
      </c>
      <c r="G287" s="2" t="inlineStr">
        <is>
          <t>LKP_COUNTRY</t>
        </is>
      </c>
      <c r="H287" s="2" t="inlineStr">
        <is>
          <t>Placed-on-market statement header</t>
        </is>
      </c>
      <c r="I287" s="2" t="inlineStr">
        <is>
          <t>Compliance</t>
        </is>
      </c>
      <c r="J287" s="2" t="inlineStr">
        <is>
          <t>Periodic</t>
        </is>
      </c>
      <c r="K287" s="2" t="inlineStr">
        <is>
          <t>Lookup list → LKP_COUNTRY</t>
        </is>
      </c>
      <c r="L287" s="2" t="inlineStr">
        <is>
          <t>USER</t>
        </is>
      </c>
    </row>
    <row r="288">
      <c r="A288" s="2" t="inlineStr">
        <is>
          <t>STATEMENT</t>
        </is>
      </c>
      <c r="B288" s="2" t="inlineStr">
        <is>
          <t>PERIOD_YEAR</t>
        </is>
      </c>
      <c r="C288" s="2" t="inlineStr">
        <is>
          <t>INT</t>
        </is>
      </c>
      <c r="D288" s="2" t="inlineStr">
        <is>
          <t>Y</t>
        </is>
      </c>
      <c r="E288" s="2" t="inlineStr">
        <is>
          <t>N</t>
        </is>
      </c>
      <c r="F288" s="2" t="inlineStr">
        <is>
          <t>N</t>
        </is>
      </c>
      <c r="G288" s="2" t="n"/>
      <c r="H288" s="2" t="inlineStr">
        <is>
          <t>Placed-on-market statement header</t>
        </is>
      </c>
      <c r="I288" s="2" t="inlineStr">
        <is>
          <t>Compliance</t>
        </is>
      </c>
      <c r="J288" s="2" t="inlineStr">
        <is>
          <t>Periodic</t>
        </is>
      </c>
      <c r="K288" s="2" t="inlineStr">
        <is>
          <t>Whole number / text-capable ID</t>
        </is>
      </c>
      <c r="L288" s="2" t="inlineStr">
        <is>
          <t>USER</t>
        </is>
      </c>
    </row>
    <row r="289">
      <c r="A289" s="2" t="inlineStr">
        <is>
          <t>STATEMENT</t>
        </is>
      </c>
      <c r="B289" s="2" t="inlineStr">
        <is>
          <t>PERIOD_MONTH</t>
        </is>
      </c>
      <c r="C289" s="2" t="inlineStr">
        <is>
          <t>INT</t>
        </is>
      </c>
      <c r="D289" s="2" t="inlineStr">
        <is>
          <t>N</t>
        </is>
      </c>
      <c r="E289" s="2" t="inlineStr">
        <is>
          <t>N</t>
        </is>
      </c>
      <c r="F289" s="2" t="inlineStr">
        <is>
          <t>N</t>
        </is>
      </c>
      <c r="G289" s="2" t="n"/>
      <c r="H289" s="2" t="inlineStr">
        <is>
          <t>Placed-on-market statement header</t>
        </is>
      </c>
      <c r="I289" s="2" t="inlineStr">
        <is>
          <t>Compliance</t>
        </is>
      </c>
      <c r="J289" s="2" t="inlineStr">
        <is>
          <t>Periodic</t>
        </is>
      </c>
      <c r="K289" s="2" t="inlineStr">
        <is>
          <t>Whole number / text-capable ID</t>
        </is>
      </c>
      <c r="L289" s="2" t="inlineStr">
        <is>
          <t>USER</t>
        </is>
      </c>
    </row>
    <row r="290">
      <c r="A290" s="2" t="inlineStr">
        <is>
          <t>STATEMENT</t>
        </is>
      </c>
      <c r="B290" s="2" t="inlineStr">
        <is>
          <t>PERIOD_FROM</t>
        </is>
      </c>
      <c r="C290" s="2" t="inlineStr">
        <is>
          <t>DATE</t>
        </is>
      </c>
      <c r="D290" s="2" t="inlineStr">
        <is>
          <t>Y</t>
        </is>
      </c>
      <c r="E290" s="2" t="inlineStr">
        <is>
          <t>N</t>
        </is>
      </c>
      <c r="F290" s="2" t="inlineStr">
        <is>
          <t>N</t>
        </is>
      </c>
      <c r="G290" s="2" t="n"/>
      <c r="H290" s="2" t="inlineStr">
        <is>
          <t>Placed-on-market statement header</t>
        </is>
      </c>
      <c r="I290" s="2" t="inlineStr">
        <is>
          <t>Compliance</t>
        </is>
      </c>
      <c r="J290" s="2" t="inlineStr">
        <is>
          <t>Periodic</t>
        </is>
      </c>
      <c r="K290" s="2" t="inlineStr">
        <is>
          <t>Date DD.MM.YYYY</t>
        </is>
      </c>
      <c r="L290" s="2" t="inlineStr">
        <is>
          <t>USER</t>
        </is>
      </c>
    </row>
    <row r="291">
      <c r="A291" s="2" t="inlineStr">
        <is>
          <t>STATEMENT</t>
        </is>
      </c>
      <c r="B291" s="2" t="inlineStr">
        <is>
          <t>PERIOD_TO</t>
        </is>
      </c>
      <c r="C291" s="2" t="inlineStr">
        <is>
          <t>DATE</t>
        </is>
      </c>
      <c r="D291" s="2" t="inlineStr">
        <is>
          <t>Y</t>
        </is>
      </c>
      <c r="E291" s="2" t="inlineStr">
        <is>
          <t>N</t>
        </is>
      </c>
      <c r="F291" s="2" t="inlineStr">
        <is>
          <t>N</t>
        </is>
      </c>
      <c r="G291" s="2" t="n"/>
      <c r="H291" s="2" t="inlineStr">
        <is>
          <t>Placed-on-market statement header</t>
        </is>
      </c>
      <c r="I291" s="2" t="inlineStr">
        <is>
          <t>Compliance</t>
        </is>
      </c>
      <c r="J291" s="2" t="inlineStr">
        <is>
          <t>Periodic</t>
        </is>
      </c>
      <c r="K291" s="2" t="inlineStr">
        <is>
          <t>Date DD.MM.YYYY</t>
        </is>
      </c>
      <c r="L291" s="2" t="inlineStr">
        <is>
          <t>USER</t>
        </is>
      </c>
    </row>
    <row r="292">
      <c r="A292" s="2" t="inlineStr">
        <is>
          <t>STATEMENT</t>
        </is>
      </c>
      <c r="B292" s="2" t="inlineStr">
        <is>
          <t>STATUS_ID</t>
        </is>
      </c>
      <c r="C292" s="2" t="inlineStr">
        <is>
          <t>INT</t>
        </is>
      </c>
      <c r="D292" s="2" t="inlineStr">
        <is>
          <t>Y</t>
        </is>
      </c>
      <c r="E292" s="2" t="inlineStr">
        <is>
          <t>N</t>
        </is>
      </c>
      <c r="F292" s="2" t="inlineStr">
        <is>
          <t>Y</t>
        </is>
      </c>
      <c r="G292" s="2" t="inlineStr">
        <is>
          <t>LKP_STATUS</t>
        </is>
      </c>
      <c r="H292" s="2" t="inlineStr">
        <is>
          <t>Placed-on-market statement header</t>
        </is>
      </c>
      <c r="I292" s="2" t="inlineStr">
        <is>
          <t>Compliance</t>
        </is>
      </c>
      <c r="J292" s="2" t="inlineStr">
        <is>
          <t>Periodic</t>
        </is>
      </c>
      <c r="K292" s="2" t="inlineStr">
        <is>
          <t>Lookup list → LKP_STATUS</t>
        </is>
      </c>
      <c r="L292" s="2" t="inlineStr">
        <is>
          <t>USER</t>
        </is>
      </c>
    </row>
    <row r="293">
      <c r="A293" s="2" t="inlineStr">
        <is>
          <t>STATEMENT</t>
        </is>
      </c>
      <c r="B293" s="2" t="inlineStr">
        <is>
          <t>GENERATED_AT</t>
        </is>
      </c>
      <c r="C293" s="2" t="inlineStr">
        <is>
          <t>DATETIME</t>
        </is>
      </c>
      <c r="D293" s="2" t="inlineStr">
        <is>
          <t>N</t>
        </is>
      </c>
      <c r="E293" s="2" t="inlineStr">
        <is>
          <t>N</t>
        </is>
      </c>
      <c r="F293" s="2" t="inlineStr">
        <is>
          <t>N</t>
        </is>
      </c>
      <c r="G293" s="2" t="n"/>
      <c r="H293" s="2" t="inlineStr">
        <is>
          <t>Placed-on-market statement header</t>
        </is>
      </c>
      <c r="I293" s="2" t="inlineStr">
        <is>
          <t>Compliance</t>
        </is>
      </c>
      <c r="J293" s="2" t="inlineStr">
        <is>
          <t>Periodic</t>
        </is>
      </c>
      <c r="K293" s="2" t="inlineStr">
        <is>
          <t>Text</t>
        </is>
      </c>
      <c r="L293" s="2" t="inlineStr">
        <is>
          <t>SYSTEM</t>
        </is>
      </c>
    </row>
    <row r="294">
      <c r="A294" s="2" t="inlineStr">
        <is>
          <t>STATEMENT</t>
        </is>
      </c>
      <c r="B294" s="2" t="inlineStr">
        <is>
          <t>APPROVED_BY_PERSON_ID</t>
        </is>
      </c>
      <c r="C294" s="2" t="inlineStr">
        <is>
          <t>INT</t>
        </is>
      </c>
      <c r="D294" s="2" t="inlineStr">
        <is>
          <t>N</t>
        </is>
      </c>
      <c r="E294" s="2" t="inlineStr">
        <is>
          <t>N</t>
        </is>
      </c>
      <c r="F294" s="2" t="inlineStr">
        <is>
          <t>Y</t>
        </is>
      </c>
      <c r="G294" s="2" t="inlineStr">
        <is>
          <t>PERSON</t>
        </is>
      </c>
      <c r="H294" s="2" t="inlineStr">
        <is>
          <t>Placed-on-market statement header</t>
        </is>
      </c>
      <c r="I294" s="2" t="inlineStr">
        <is>
          <t>Compliance</t>
        </is>
      </c>
      <c r="J294" s="2" t="inlineStr">
        <is>
          <t>Periodic</t>
        </is>
      </c>
      <c r="K294" s="2" t="inlineStr">
        <is>
          <t>FK → PERSON (Python QA; no huge dropdown)</t>
        </is>
      </c>
      <c r="L294" s="2" t="inlineStr">
        <is>
          <t>USER</t>
        </is>
      </c>
    </row>
    <row r="295">
      <c r="A295" s="2" t="inlineStr">
        <is>
          <t>STATEMENT</t>
        </is>
      </c>
      <c r="B295" s="2" t="inlineStr">
        <is>
          <t>APPROVED_AT</t>
        </is>
      </c>
      <c r="C295" s="2" t="inlineStr">
        <is>
          <t>DATETIME</t>
        </is>
      </c>
      <c r="D295" s="2" t="inlineStr">
        <is>
          <t>N</t>
        </is>
      </c>
      <c r="E295" s="2" t="inlineStr">
        <is>
          <t>N</t>
        </is>
      </c>
      <c r="F295" s="2" t="inlineStr">
        <is>
          <t>N</t>
        </is>
      </c>
      <c r="G295" s="2" t="n"/>
      <c r="H295" s="2" t="inlineStr">
        <is>
          <t>Placed-on-market statement header</t>
        </is>
      </c>
      <c r="I295" s="2" t="inlineStr">
        <is>
          <t>Compliance</t>
        </is>
      </c>
      <c r="J295" s="2" t="inlineStr">
        <is>
          <t>Periodic</t>
        </is>
      </c>
      <c r="K295" s="2" t="inlineStr">
        <is>
          <t>Text</t>
        </is>
      </c>
      <c r="L295" s="2" t="inlineStr">
        <is>
          <t>SYSTEM</t>
        </is>
      </c>
    </row>
    <row r="296">
      <c r="A296" s="2" t="inlineStr">
        <is>
          <t>STATEMENT</t>
        </is>
      </c>
      <c r="B296" s="2" t="inlineStr">
        <is>
          <t>NOTES</t>
        </is>
      </c>
      <c r="C296" s="2" t="inlineStr">
        <is>
          <t>TEXT</t>
        </is>
      </c>
      <c r="D296" s="2" t="inlineStr">
        <is>
          <t>N</t>
        </is>
      </c>
      <c r="E296" s="2" t="inlineStr">
        <is>
          <t>N</t>
        </is>
      </c>
      <c r="F296" s="2" t="inlineStr">
        <is>
          <t>N</t>
        </is>
      </c>
      <c r="G296" s="2" t="n"/>
      <c r="H296" s="2" t="inlineStr">
        <is>
          <t>Placed-on-market statement header</t>
        </is>
      </c>
      <c r="I296" s="2" t="inlineStr">
        <is>
          <t>Compliance</t>
        </is>
      </c>
      <c r="J296" s="2" t="inlineStr">
        <is>
          <t>Periodic</t>
        </is>
      </c>
      <c r="K296" s="2" t="inlineStr">
        <is>
          <t>Text</t>
        </is>
      </c>
      <c r="L296" s="2" t="inlineStr">
        <is>
          <t>USER</t>
        </is>
      </c>
    </row>
    <row r="297">
      <c r="A297" s="2" t="inlineStr">
        <is>
          <t>STATEMENT_SHIPMENT</t>
        </is>
      </c>
      <c r="B297" s="2" t="inlineStr">
        <is>
          <t>STATEMENT_SHIPMENT_ID</t>
        </is>
      </c>
      <c r="C297" s="2" t="inlineStr">
        <is>
          <t>INT</t>
        </is>
      </c>
      <c r="D297" s="2" t="inlineStr">
        <is>
          <t>Y</t>
        </is>
      </c>
      <c r="E297" s="2" t="inlineStr">
        <is>
          <t>Y</t>
        </is>
      </c>
      <c r="F297" s="2" t="inlineStr">
        <is>
          <t>N</t>
        </is>
      </c>
      <c r="G297" s="2" t="n"/>
      <c r="H297" s="2" t="inlineStr">
        <is>
          <t>Bridge: shipments included in a statement</t>
        </is>
      </c>
      <c r="I297" s="2" t="inlineStr">
        <is>
          <t>Compliance</t>
        </is>
      </c>
      <c r="J297" s="2" t="inlineStr">
        <is>
          <t>During statement draft</t>
        </is>
      </c>
      <c r="K297" s="2" t="inlineStr">
        <is>
          <t>PK unique; not blank when row used</t>
        </is>
      </c>
      <c r="L297" s="2" t="inlineStr">
        <is>
          <t>USER</t>
        </is>
      </c>
    </row>
    <row r="298">
      <c r="A298" s="2" t="inlineStr">
        <is>
          <t>STATEMENT_SHIPMENT</t>
        </is>
      </c>
      <c r="B298" s="2" t="inlineStr">
        <is>
          <t>STATEMENT_ID</t>
        </is>
      </c>
      <c r="C298" s="2" t="inlineStr">
        <is>
          <t>INT</t>
        </is>
      </c>
      <c r="D298" s="2" t="inlineStr">
        <is>
          <t>Y</t>
        </is>
      </c>
      <c r="E298" s="2" t="inlineStr">
        <is>
          <t>N</t>
        </is>
      </c>
      <c r="F298" s="2" t="inlineStr">
        <is>
          <t>Y</t>
        </is>
      </c>
      <c r="G298" s="2" t="inlineStr">
        <is>
          <t>STATEMENT</t>
        </is>
      </c>
      <c r="H298" s="2" t="inlineStr">
        <is>
          <t>Bridge: shipments included in a statement</t>
        </is>
      </c>
      <c r="I298" s="2" t="inlineStr">
        <is>
          <t>Compliance</t>
        </is>
      </c>
      <c r="J298" s="2" t="inlineStr">
        <is>
          <t>During statement draft</t>
        </is>
      </c>
      <c r="K298" s="2" t="inlineStr">
        <is>
          <t>FK → STATEMENT (Python QA; no huge dropdown)</t>
        </is>
      </c>
      <c r="L298" s="2" t="inlineStr">
        <is>
          <t>USER</t>
        </is>
      </c>
    </row>
    <row r="299">
      <c r="A299" s="2" t="inlineStr">
        <is>
          <t>STATEMENT_SHIPMENT</t>
        </is>
      </c>
      <c r="B299" s="2" t="inlineStr">
        <is>
          <t>SHIPMENT_ID</t>
        </is>
      </c>
      <c r="C299" s="2" t="inlineStr">
        <is>
          <t>INT</t>
        </is>
      </c>
      <c r="D299" s="2" t="inlineStr">
        <is>
          <t>Y</t>
        </is>
      </c>
      <c r="E299" s="2" t="inlineStr">
        <is>
          <t>N</t>
        </is>
      </c>
      <c r="F299" s="2" t="inlineStr">
        <is>
          <t>Y</t>
        </is>
      </c>
      <c r="G299" s="2" t="inlineStr">
        <is>
          <t>SHIPMENT</t>
        </is>
      </c>
      <c r="H299" s="2" t="inlineStr">
        <is>
          <t>Bridge: shipments included in a statement</t>
        </is>
      </c>
      <c r="I299" s="2" t="inlineStr">
        <is>
          <t>Compliance</t>
        </is>
      </c>
      <c r="J299" s="2" t="inlineStr">
        <is>
          <t>During statement draft</t>
        </is>
      </c>
      <c r="K299" s="2" t="inlineStr">
        <is>
          <t>FK → SHIPMENT (Python QA; no huge dropdown)</t>
        </is>
      </c>
      <c r="L299" s="2" t="inlineStr">
        <is>
          <t>USER</t>
        </is>
      </c>
    </row>
    <row r="300">
      <c r="A300" s="2" t="inlineStr">
        <is>
          <t>STATEMENT_SHIPMENT</t>
        </is>
      </c>
      <c r="B300" s="2" t="inlineStr">
        <is>
          <t>INCLUDED_AT</t>
        </is>
      </c>
      <c r="C300" s="2" t="inlineStr">
        <is>
          <t>DATETIME</t>
        </is>
      </c>
      <c r="D300" s="2" t="inlineStr">
        <is>
          <t>Y</t>
        </is>
      </c>
      <c r="E300" s="2" t="inlineStr">
        <is>
          <t>N</t>
        </is>
      </c>
      <c r="F300" s="2" t="inlineStr">
        <is>
          <t>N</t>
        </is>
      </c>
      <c r="G300" s="2" t="n"/>
      <c r="H300" s="2" t="inlineStr">
        <is>
          <t>Bridge: shipments included in a statement</t>
        </is>
      </c>
      <c r="I300" s="2" t="inlineStr">
        <is>
          <t>Compliance</t>
        </is>
      </c>
      <c r="J300" s="2" t="inlineStr">
        <is>
          <t>During statement draft</t>
        </is>
      </c>
      <c r="K300" s="2" t="inlineStr">
        <is>
          <t>Text</t>
        </is>
      </c>
      <c r="L300" s="2" t="inlineStr">
        <is>
          <t>USER</t>
        </is>
      </c>
    </row>
    <row r="301">
      <c r="A301" s="2" t="inlineStr">
        <is>
          <t>STATEMENT_LINE</t>
        </is>
      </c>
      <c r="B301" s="2" t="inlineStr">
        <is>
          <t>STATEMENT_LINE_ID</t>
        </is>
      </c>
      <c r="C301" s="2" t="inlineStr">
        <is>
          <t>INT</t>
        </is>
      </c>
      <c r="D301" s="2" t="inlineStr">
        <is>
          <t>Y</t>
        </is>
      </c>
      <c r="E301" s="2" t="inlineStr">
        <is>
          <t>Y</t>
        </is>
      </c>
      <c r="F301" s="2" t="inlineStr">
        <is>
          <t>N</t>
        </is>
      </c>
      <c r="G301" s="2" t="n"/>
      <c r="H301" s="2" t="inlineStr">
        <is>
          <t>Frozen aggregate packaging weights for regulatory reporting</t>
        </is>
      </c>
      <c r="I301" s="2" t="inlineStr">
        <is>
          <t>Compliance</t>
        </is>
      </c>
      <c r="J301" s="2" t="inlineStr">
        <is>
          <t>On generate/approve</t>
        </is>
      </c>
      <c r="K301" s="2" t="inlineStr">
        <is>
          <t>PK unique; not blank when row used</t>
        </is>
      </c>
      <c r="L301" s="2" t="inlineStr">
        <is>
          <t>USER</t>
        </is>
      </c>
    </row>
    <row r="302">
      <c r="A302" s="2" t="inlineStr">
        <is>
          <t>STATEMENT_LINE</t>
        </is>
      </c>
      <c r="B302" s="2" t="inlineStr">
        <is>
          <t>STATEMENT_ID</t>
        </is>
      </c>
      <c r="C302" s="2" t="inlineStr">
        <is>
          <t>INT</t>
        </is>
      </c>
      <c r="D302" s="2" t="inlineStr">
        <is>
          <t>Y</t>
        </is>
      </c>
      <c r="E302" s="2" t="inlineStr">
        <is>
          <t>N</t>
        </is>
      </c>
      <c r="F302" s="2" t="inlineStr">
        <is>
          <t>Y</t>
        </is>
      </c>
      <c r="G302" s="2" t="inlineStr">
        <is>
          <t>STATEMENT</t>
        </is>
      </c>
      <c r="H302" s="2" t="inlineStr">
        <is>
          <t>Frozen aggregate packaging weights for regulatory reporting</t>
        </is>
      </c>
      <c r="I302" s="2" t="inlineStr">
        <is>
          <t>Compliance</t>
        </is>
      </c>
      <c r="J302" s="2" t="inlineStr">
        <is>
          <t>On generate/approve</t>
        </is>
      </c>
      <c r="K302" s="2" t="inlineStr">
        <is>
          <t>FK → STATEMENT (Python QA; no huge dropdown)</t>
        </is>
      </c>
      <c r="L302" s="2" t="inlineStr">
        <is>
          <t>USER</t>
        </is>
      </c>
    </row>
    <row r="303">
      <c r="A303" s="2" t="inlineStr">
        <is>
          <t>STATEMENT_LINE</t>
        </is>
      </c>
      <c r="B303" s="2" t="inlineStr">
        <is>
          <t>MATERIAL_ID</t>
        </is>
      </c>
      <c r="C303" s="2" t="inlineStr">
        <is>
          <t>INT</t>
        </is>
      </c>
      <c r="D303" s="2" t="inlineStr">
        <is>
          <t>Y</t>
        </is>
      </c>
      <c r="E303" s="2" t="inlineStr">
        <is>
          <t>N</t>
        </is>
      </c>
      <c r="F303" s="2" t="inlineStr">
        <is>
          <t>Y</t>
        </is>
      </c>
      <c r="G303" s="2" t="inlineStr">
        <is>
          <t>LKP_MATERIAL</t>
        </is>
      </c>
      <c r="H303" s="2" t="inlineStr">
        <is>
          <t>Frozen aggregate packaging weights for regulatory reporting</t>
        </is>
      </c>
      <c r="I303" s="2" t="inlineStr">
        <is>
          <t>Compliance</t>
        </is>
      </c>
      <c r="J303" s="2" t="inlineStr">
        <is>
          <t>On generate/approve</t>
        </is>
      </c>
      <c r="K303" s="2" t="inlineStr">
        <is>
          <t>Lookup list → LKP_MATERIAL</t>
        </is>
      </c>
      <c r="L303" s="2" t="inlineStr">
        <is>
          <t>USER</t>
        </is>
      </c>
    </row>
    <row r="304">
      <c r="A304" s="2" t="inlineStr">
        <is>
          <t>STATEMENT_LINE</t>
        </is>
      </c>
      <c r="B304" s="2" t="inlineStr">
        <is>
          <t>PACKAGING_LEVEL_ID</t>
        </is>
      </c>
      <c r="C304" s="2" t="inlineStr">
        <is>
          <t>INT</t>
        </is>
      </c>
      <c r="D304" s="2" t="inlineStr">
        <is>
          <t>Y</t>
        </is>
      </c>
      <c r="E304" s="2" t="inlineStr">
        <is>
          <t>N</t>
        </is>
      </c>
      <c r="F304" s="2" t="inlineStr">
        <is>
          <t>Y</t>
        </is>
      </c>
      <c r="G304" s="2" t="inlineStr">
        <is>
          <t>LKP_PACKAGING_LEVEL</t>
        </is>
      </c>
      <c r="H304" s="2" t="inlineStr">
        <is>
          <t>Frozen aggregate packaging weights for regulatory reporting</t>
        </is>
      </c>
      <c r="I304" s="2" t="inlineStr">
        <is>
          <t>Compliance</t>
        </is>
      </c>
      <c r="J304" s="2" t="inlineStr">
        <is>
          <t>On generate/approve</t>
        </is>
      </c>
      <c r="K304" s="2" t="inlineStr">
        <is>
          <t>Lookup list → LKP_PACKAGING_LEVEL</t>
        </is>
      </c>
      <c r="L304" s="2" t="inlineStr">
        <is>
          <t>USER</t>
        </is>
      </c>
    </row>
    <row r="305">
      <c r="A305" s="2" t="inlineStr">
        <is>
          <t>STATEMENT_LINE</t>
        </is>
      </c>
      <c r="B305" s="2" t="inlineStr">
        <is>
          <t>OWNERSHIP_TYPE_ID</t>
        </is>
      </c>
      <c r="C305" s="2" t="inlineStr">
        <is>
          <t>INT</t>
        </is>
      </c>
      <c r="D305" s="2" t="inlineStr">
        <is>
          <t>Y</t>
        </is>
      </c>
      <c r="E305" s="2" t="inlineStr">
        <is>
          <t>N</t>
        </is>
      </c>
      <c r="F305" s="2" t="inlineStr">
        <is>
          <t>Y</t>
        </is>
      </c>
      <c r="G305" s="2" t="inlineStr">
        <is>
          <t>LKP_OWNERSHIP_TYPE</t>
        </is>
      </c>
      <c r="H305" s="2" t="inlineStr">
        <is>
          <t>Frozen aggregate packaging weights for regulatory reporting</t>
        </is>
      </c>
      <c r="I305" s="2" t="inlineStr">
        <is>
          <t>Compliance</t>
        </is>
      </c>
      <c r="J305" s="2" t="inlineStr">
        <is>
          <t>On generate/approve</t>
        </is>
      </c>
      <c r="K305" s="2" t="inlineStr">
        <is>
          <t>Lookup list → LKP_OWNERSHIP_TYPE</t>
        </is>
      </c>
      <c r="L305" s="2" t="inlineStr">
        <is>
          <t>USER</t>
        </is>
      </c>
    </row>
    <row r="306">
      <c r="A306" s="2" t="inlineStr">
        <is>
          <t>STATEMENT_LINE</t>
        </is>
      </c>
      <c r="B306" s="2" t="inlineStr">
        <is>
          <t>TOTAL_WEIGHT_KG</t>
        </is>
      </c>
      <c r="C306" s="2" t="inlineStr">
        <is>
          <t>DECIMAL</t>
        </is>
      </c>
      <c r="D306" s="2" t="inlineStr">
        <is>
          <t>Y</t>
        </is>
      </c>
      <c r="E306" s="2" t="inlineStr">
        <is>
          <t>N</t>
        </is>
      </c>
      <c r="F306" s="2" t="inlineStr">
        <is>
          <t>N</t>
        </is>
      </c>
      <c r="G306" s="2" t="n"/>
      <c r="H306" s="2" t="inlineStr">
        <is>
          <t>Frozen aggregate packaging weights for regulatory reporting</t>
        </is>
      </c>
      <c r="I306" s="2" t="inlineStr">
        <is>
          <t>Compliance</t>
        </is>
      </c>
      <c r="J306" s="2" t="inlineStr">
        <is>
          <t>On generate/approve</t>
        </is>
      </c>
      <c r="K306" s="2" t="inlineStr">
        <is>
          <t>Decimal number</t>
        </is>
      </c>
      <c r="L306" s="2" t="inlineStr">
        <is>
          <t>USER</t>
        </is>
      </c>
    </row>
    <row r="307">
      <c r="A307" s="2" t="inlineStr">
        <is>
          <t>STATEMENT_LINE</t>
        </is>
      </c>
      <c r="B307" s="2" t="inlineStr">
        <is>
          <t>RECYCLED_CONTENT_WEIGHT_KG</t>
        </is>
      </c>
      <c r="C307" s="2" t="inlineStr">
        <is>
          <t>DECIMAL</t>
        </is>
      </c>
      <c r="D307" s="2" t="inlineStr">
        <is>
          <t>N</t>
        </is>
      </c>
      <c r="E307" s="2" t="inlineStr">
        <is>
          <t>N</t>
        </is>
      </c>
      <c r="F307" s="2" t="inlineStr">
        <is>
          <t>N</t>
        </is>
      </c>
      <c r="G307" s="2" t="n"/>
      <c r="H307" s="2" t="inlineStr">
        <is>
          <t>Frozen aggregate packaging weights for regulatory reporting</t>
        </is>
      </c>
      <c r="I307" s="2" t="inlineStr">
        <is>
          <t>Compliance</t>
        </is>
      </c>
      <c r="J307" s="2" t="inlineStr">
        <is>
          <t>On generate/approve</t>
        </is>
      </c>
      <c r="K307" s="2" t="inlineStr">
        <is>
          <t>Decimal number</t>
        </is>
      </c>
      <c r="L307" s="2" t="inlineStr">
        <is>
          <t>USER</t>
        </is>
      </c>
    </row>
    <row r="308">
      <c r="A308" s="2" t="inlineStr">
        <is>
          <t>STATEMENT_LINE</t>
        </is>
      </c>
      <c r="B308" s="2" t="inlineStr">
        <is>
          <t>SOURCE_SHIPMENT_COUNT</t>
        </is>
      </c>
      <c r="C308" s="2" t="inlineStr">
        <is>
          <t>INT</t>
        </is>
      </c>
      <c r="D308" s="2" t="inlineStr">
        <is>
          <t>N</t>
        </is>
      </c>
      <c r="E308" s="2" t="inlineStr">
        <is>
          <t>N</t>
        </is>
      </c>
      <c r="F308" s="2" t="inlineStr">
        <is>
          <t>N</t>
        </is>
      </c>
      <c r="G308" s="2" t="n"/>
      <c r="H308" s="2" t="inlineStr">
        <is>
          <t>Frozen aggregate packaging weights for regulatory reporting</t>
        </is>
      </c>
      <c r="I308" s="2" t="inlineStr">
        <is>
          <t>Compliance</t>
        </is>
      </c>
      <c r="J308" s="2" t="inlineStr">
        <is>
          <t>On generate/approve</t>
        </is>
      </c>
      <c r="K308" s="2" t="inlineStr">
        <is>
          <t>Whole number / text-capable ID</t>
        </is>
      </c>
      <c r="L308" s="2" t="inlineStr">
        <is>
          <t>USER</t>
        </is>
      </c>
    </row>
    <row r="309">
      <c r="A309" s="2" t="inlineStr">
        <is>
          <t>STATEMENT_LINE</t>
        </is>
      </c>
      <c r="B309" s="2" t="inlineStr">
        <is>
          <t>NOTES</t>
        </is>
      </c>
      <c r="C309" s="2" t="inlineStr">
        <is>
          <t>TEXT</t>
        </is>
      </c>
      <c r="D309" s="2" t="inlineStr">
        <is>
          <t>N</t>
        </is>
      </c>
      <c r="E309" s="2" t="inlineStr">
        <is>
          <t>N</t>
        </is>
      </c>
      <c r="F309" s="2" t="inlineStr">
        <is>
          <t>N</t>
        </is>
      </c>
      <c r="G309" s="2" t="n"/>
      <c r="H309" s="2" t="inlineStr">
        <is>
          <t>Frozen aggregate packaging weights for regulatory reporting</t>
        </is>
      </c>
      <c r="I309" s="2" t="inlineStr">
        <is>
          <t>Compliance</t>
        </is>
      </c>
      <c r="J309" s="2" t="inlineStr">
        <is>
          <t>On generate/approve</t>
        </is>
      </c>
      <c r="K309" s="2" t="inlineStr">
        <is>
          <t>Text</t>
        </is>
      </c>
      <c r="L309" s="2" t="inlineStr">
        <is>
          <t>USER</t>
        </is>
      </c>
    </row>
    <row r="310">
      <c r="A310" s="2" t="inlineStr">
        <is>
          <t>DOCUMENT_LIBRARY</t>
        </is>
      </c>
      <c r="B310" s="2" t="inlineStr">
        <is>
          <t>DOCUMENT_ID</t>
        </is>
      </c>
      <c r="C310" s="2" t="inlineStr">
        <is>
          <t>INT</t>
        </is>
      </c>
      <c r="D310" s="2" t="inlineStr">
        <is>
          <t>Y</t>
        </is>
      </c>
      <c r="E310" s="2" t="inlineStr">
        <is>
          <t>Y</t>
        </is>
      </c>
      <c r="F310" s="2" t="inlineStr">
        <is>
          <t>N</t>
        </is>
      </c>
      <c r="G310" s="2" t="n"/>
      <c r="H310" s="2" t="inlineStr">
        <is>
          <t>Central catalog of evidence files</t>
        </is>
      </c>
      <c r="I310" s="2" t="inlineStr">
        <is>
          <t>Document Control</t>
        </is>
      </c>
      <c r="J310" s="2" t="inlineStr">
        <is>
          <t>Occasional</t>
        </is>
      </c>
      <c r="K310" s="2" t="inlineStr">
        <is>
          <t>PK unique; not blank when row used</t>
        </is>
      </c>
      <c r="L310" s="2" t="inlineStr">
        <is>
          <t>USER</t>
        </is>
      </c>
    </row>
    <row r="311">
      <c r="A311" s="2" t="inlineStr">
        <is>
          <t>DOCUMENT_LIBRARY</t>
        </is>
      </c>
      <c r="B311" s="2" t="inlineStr">
        <is>
          <t>DOCUMENT_CODE</t>
        </is>
      </c>
      <c r="C311" s="2" t="inlineStr">
        <is>
          <t>TEXT</t>
        </is>
      </c>
      <c r="D311" s="2" t="inlineStr">
        <is>
          <t>Y</t>
        </is>
      </c>
      <c r="E311" s="2" t="inlineStr">
        <is>
          <t>N</t>
        </is>
      </c>
      <c r="F311" s="2" t="inlineStr">
        <is>
          <t>N</t>
        </is>
      </c>
      <c r="G311" s="2" t="n"/>
      <c r="H311" s="2" t="inlineStr">
        <is>
          <t>Central catalog of evidence files</t>
        </is>
      </c>
      <c r="I311" s="2" t="inlineStr">
        <is>
          <t>Document Control</t>
        </is>
      </c>
      <c r="J311" s="2" t="inlineStr">
        <is>
          <t>Occasional</t>
        </is>
      </c>
      <c r="K311" s="2" t="inlineStr">
        <is>
          <t>Text</t>
        </is>
      </c>
      <c r="L311" s="2" t="inlineStr">
        <is>
          <t>USER</t>
        </is>
      </c>
    </row>
    <row r="312">
      <c r="A312" s="2" t="inlineStr">
        <is>
          <t>DOCUMENT_LIBRARY</t>
        </is>
      </c>
      <c r="B312" s="2" t="inlineStr">
        <is>
          <t>DOCUMENT_TITLE</t>
        </is>
      </c>
      <c r="C312" s="2" t="inlineStr">
        <is>
          <t>TEXT</t>
        </is>
      </c>
      <c r="D312" s="2" t="inlineStr">
        <is>
          <t>Y</t>
        </is>
      </c>
      <c r="E312" s="2" t="inlineStr">
        <is>
          <t>N</t>
        </is>
      </c>
      <c r="F312" s="2" t="inlineStr">
        <is>
          <t>N</t>
        </is>
      </c>
      <c r="G312" s="2" t="n"/>
      <c r="H312" s="2" t="inlineStr">
        <is>
          <t>Central catalog of evidence files</t>
        </is>
      </c>
      <c r="I312" s="2" t="inlineStr">
        <is>
          <t>Document Control</t>
        </is>
      </c>
      <c r="J312" s="2" t="inlineStr">
        <is>
          <t>Occasional</t>
        </is>
      </c>
      <c r="K312" s="2" t="inlineStr">
        <is>
          <t>Text</t>
        </is>
      </c>
      <c r="L312" s="2" t="inlineStr">
        <is>
          <t>USER</t>
        </is>
      </c>
    </row>
    <row r="313">
      <c r="A313" s="2" t="inlineStr">
        <is>
          <t>DOCUMENT_LIBRARY</t>
        </is>
      </c>
      <c r="B313" s="2" t="inlineStr">
        <is>
          <t>DOCUMENT_TYPE_ID</t>
        </is>
      </c>
      <c r="C313" s="2" t="inlineStr">
        <is>
          <t>INT</t>
        </is>
      </c>
      <c r="D313" s="2" t="inlineStr">
        <is>
          <t>Y</t>
        </is>
      </c>
      <c r="E313" s="2" t="inlineStr">
        <is>
          <t>N</t>
        </is>
      </c>
      <c r="F313" s="2" t="inlineStr">
        <is>
          <t>Y</t>
        </is>
      </c>
      <c r="G313" s="2" t="inlineStr">
        <is>
          <t>LKP_DOCUMENT_TYPE</t>
        </is>
      </c>
      <c r="H313" s="2" t="inlineStr">
        <is>
          <t>Central catalog of evidence files</t>
        </is>
      </c>
      <c r="I313" s="2" t="inlineStr">
        <is>
          <t>Document Control</t>
        </is>
      </c>
      <c r="J313" s="2" t="inlineStr">
        <is>
          <t>Occasional</t>
        </is>
      </c>
      <c r="K313" s="2" t="inlineStr">
        <is>
          <t>Lookup list → LKP_DOCUMENT_TYPE</t>
        </is>
      </c>
      <c r="L313" s="2" t="inlineStr">
        <is>
          <t>USER</t>
        </is>
      </c>
    </row>
    <row r="314">
      <c r="A314" s="2" t="inlineStr">
        <is>
          <t>DOCUMENT_LIBRARY</t>
        </is>
      </c>
      <c r="B314" s="2" t="inlineStr">
        <is>
          <t>FILE_URI</t>
        </is>
      </c>
      <c r="C314" s="2" t="inlineStr">
        <is>
          <t>TEXT</t>
        </is>
      </c>
      <c r="D314" s="2" t="inlineStr">
        <is>
          <t>Y</t>
        </is>
      </c>
      <c r="E314" s="2" t="inlineStr">
        <is>
          <t>N</t>
        </is>
      </c>
      <c r="F314" s="2" t="inlineStr">
        <is>
          <t>N</t>
        </is>
      </c>
      <c r="G314" s="2" t="n"/>
      <c r="H314" s="2" t="inlineStr">
        <is>
          <t>Central catalog of evidence files</t>
        </is>
      </c>
      <c r="I314" s="2" t="inlineStr">
        <is>
          <t>Document Control</t>
        </is>
      </c>
      <c r="J314" s="2" t="inlineStr">
        <is>
          <t>Occasional</t>
        </is>
      </c>
      <c r="K314" s="2" t="inlineStr">
        <is>
          <t>Text</t>
        </is>
      </c>
      <c r="L314" s="2" t="inlineStr">
        <is>
          <t>USER</t>
        </is>
      </c>
    </row>
    <row r="315">
      <c r="A315" s="2" t="inlineStr">
        <is>
          <t>DOCUMENT_LIBRARY</t>
        </is>
      </c>
      <c r="B315" s="2" t="inlineStr">
        <is>
          <t>FILE_HASH</t>
        </is>
      </c>
      <c r="C315" s="2" t="inlineStr">
        <is>
          <t>TEXT</t>
        </is>
      </c>
      <c r="D315" s="2" t="inlineStr">
        <is>
          <t>N</t>
        </is>
      </c>
      <c r="E315" s="2" t="inlineStr">
        <is>
          <t>N</t>
        </is>
      </c>
      <c r="F315" s="2" t="inlineStr">
        <is>
          <t>N</t>
        </is>
      </c>
      <c r="G315" s="2" t="n"/>
      <c r="H315" s="2" t="inlineStr">
        <is>
          <t>Central catalog of evidence files</t>
        </is>
      </c>
      <c r="I315" s="2" t="inlineStr">
        <is>
          <t>Document Control</t>
        </is>
      </c>
      <c r="J315" s="2" t="inlineStr">
        <is>
          <t>Occasional</t>
        </is>
      </c>
      <c r="K315" s="2" t="inlineStr">
        <is>
          <t>Text</t>
        </is>
      </c>
      <c r="L315" s="2" t="inlineStr">
        <is>
          <t>USER</t>
        </is>
      </c>
    </row>
    <row r="316">
      <c r="A316" s="2" t="inlineStr">
        <is>
          <t>DOCUMENT_LIBRARY</t>
        </is>
      </c>
      <c r="B316" s="2" t="inlineStr">
        <is>
          <t>ISSUE_DATE</t>
        </is>
      </c>
      <c r="C316" s="2" t="inlineStr">
        <is>
          <t>DATE</t>
        </is>
      </c>
      <c r="D316" s="2" t="inlineStr">
        <is>
          <t>N</t>
        </is>
      </c>
      <c r="E316" s="2" t="inlineStr">
        <is>
          <t>N</t>
        </is>
      </c>
      <c r="F316" s="2" t="inlineStr">
        <is>
          <t>N</t>
        </is>
      </c>
      <c r="G316" s="2" t="n"/>
      <c r="H316" s="2" t="inlineStr">
        <is>
          <t>Central catalog of evidence files</t>
        </is>
      </c>
      <c r="I316" s="2" t="inlineStr">
        <is>
          <t>Document Control</t>
        </is>
      </c>
      <c r="J316" s="2" t="inlineStr">
        <is>
          <t>Occasional</t>
        </is>
      </c>
      <c r="K316" s="2" t="inlineStr">
        <is>
          <t>Date DD.MM.YYYY</t>
        </is>
      </c>
      <c r="L316" s="2" t="inlineStr">
        <is>
          <t>USER</t>
        </is>
      </c>
    </row>
    <row r="317">
      <c r="A317" s="2" t="inlineStr">
        <is>
          <t>DOCUMENT_LIBRARY</t>
        </is>
      </c>
      <c r="B317" s="2" t="inlineStr">
        <is>
          <t>STATUS_ID</t>
        </is>
      </c>
      <c r="C317" s="2" t="inlineStr">
        <is>
          <t>INT</t>
        </is>
      </c>
      <c r="D317" s="2" t="inlineStr">
        <is>
          <t>Y</t>
        </is>
      </c>
      <c r="E317" s="2" t="inlineStr">
        <is>
          <t>N</t>
        </is>
      </c>
      <c r="F317" s="2" t="inlineStr">
        <is>
          <t>Y</t>
        </is>
      </c>
      <c r="G317" s="2" t="inlineStr">
        <is>
          <t>LKP_STATUS</t>
        </is>
      </c>
      <c r="H317" s="2" t="inlineStr">
        <is>
          <t>Central catalog of evidence files</t>
        </is>
      </c>
      <c r="I317" s="2" t="inlineStr">
        <is>
          <t>Document Control</t>
        </is>
      </c>
      <c r="J317" s="2" t="inlineStr">
        <is>
          <t>Occasional</t>
        </is>
      </c>
      <c r="K317" s="2" t="inlineStr">
        <is>
          <t>Lookup list → LKP_STATUS</t>
        </is>
      </c>
      <c r="L317" s="2" t="inlineStr">
        <is>
          <t>USER</t>
        </is>
      </c>
    </row>
    <row r="318">
      <c r="A318" s="2" t="inlineStr">
        <is>
          <t>DOCUMENT_LIBRARY</t>
        </is>
      </c>
      <c r="B318" s="2" t="inlineStr">
        <is>
          <t>NOTES</t>
        </is>
      </c>
      <c r="C318" s="2" t="inlineStr">
        <is>
          <t>TEXT</t>
        </is>
      </c>
      <c r="D318" s="2" t="inlineStr">
        <is>
          <t>N</t>
        </is>
      </c>
      <c r="E318" s="2" t="inlineStr">
        <is>
          <t>N</t>
        </is>
      </c>
      <c r="F318" s="2" t="inlineStr">
        <is>
          <t>N</t>
        </is>
      </c>
      <c r="G318" s="2" t="n"/>
      <c r="H318" s="2" t="inlineStr">
        <is>
          <t>Central catalog of evidence files</t>
        </is>
      </c>
      <c r="I318" s="2" t="inlineStr">
        <is>
          <t>Document Control</t>
        </is>
      </c>
      <c r="J318" s="2" t="inlineStr">
        <is>
          <t>Occasional</t>
        </is>
      </c>
      <c r="K318" s="2" t="inlineStr">
        <is>
          <t>Text</t>
        </is>
      </c>
      <c r="L318" s="2" t="inlineStr">
        <is>
          <t>USER</t>
        </is>
      </c>
    </row>
    <row r="319">
      <c r="A319" s="2" t="inlineStr">
        <is>
          <t>DOCUMENT_LIBRARY</t>
        </is>
      </c>
      <c r="B319" s="2" t="inlineStr">
        <is>
          <t>CREATED_AT</t>
        </is>
      </c>
      <c r="C319" s="2" t="inlineStr">
        <is>
          <t>DATETIME</t>
        </is>
      </c>
      <c r="D319" s="2" t="inlineStr">
        <is>
          <t>Y</t>
        </is>
      </c>
      <c r="E319" s="2" t="inlineStr">
        <is>
          <t>N</t>
        </is>
      </c>
      <c r="F319" s="2" t="inlineStr">
        <is>
          <t>N</t>
        </is>
      </c>
      <c r="G319" s="2" t="n"/>
      <c r="H319" s="2" t="inlineStr">
        <is>
          <t>Central catalog of evidence files</t>
        </is>
      </c>
      <c r="I319" s="2" t="inlineStr">
        <is>
          <t>Document Control</t>
        </is>
      </c>
      <c r="J319" s="2" t="inlineStr">
        <is>
          <t>Occasional</t>
        </is>
      </c>
      <c r="K319" s="2" t="inlineStr">
        <is>
          <t>Text</t>
        </is>
      </c>
      <c r="L319" s="2" t="inlineStr">
        <is>
          <t>SYSTEM</t>
        </is>
      </c>
    </row>
    <row r="320">
      <c r="A320" s="2" t="inlineStr">
        <is>
          <t>DOCUMENT_LIBRARY</t>
        </is>
      </c>
      <c r="B320" s="2" t="inlineStr">
        <is>
          <t>UPDATED_AT</t>
        </is>
      </c>
      <c r="C320" s="2" t="inlineStr">
        <is>
          <t>DATETIME</t>
        </is>
      </c>
      <c r="D320" s="2" t="inlineStr">
        <is>
          <t>Y</t>
        </is>
      </c>
      <c r="E320" s="2" t="inlineStr">
        <is>
          <t>N</t>
        </is>
      </c>
      <c r="F320" s="2" t="inlineStr">
        <is>
          <t>N</t>
        </is>
      </c>
      <c r="G320" s="2" t="n"/>
      <c r="H320" s="2" t="inlineStr">
        <is>
          <t>Central catalog of evidence files</t>
        </is>
      </c>
      <c r="I320" s="2" t="inlineStr">
        <is>
          <t>Document Control</t>
        </is>
      </c>
      <c r="J320" s="2" t="inlineStr">
        <is>
          <t>Occasional</t>
        </is>
      </c>
      <c r="K320" s="2" t="inlineStr">
        <is>
          <t>Text</t>
        </is>
      </c>
      <c r="L320" s="2" t="inlineStr">
        <is>
          <t>SYSTEM</t>
        </is>
      </c>
    </row>
    <row r="321">
      <c r="A321" s="2" t="inlineStr">
        <is>
          <t>DOCUMENT_LINK</t>
        </is>
      </c>
      <c r="B321" s="2" t="inlineStr">
        <is>
          <t>DOCUMENT_LINK_ID</t>
        </is>
      </c>
      <c r="C321" s="2" t="inlineStr">
        <is>
          <t>INT</t>
        </is>
      </c>
      <c r="D321" s="2" t="inlineStr">
        <is>
          <t>Y</t>
        </is>
      </c>
      <c r="E321" s="2" t="inlineStr">
        <is>
          <t>Y</t>
        </is>
      </c>
      <c r="F321" s="2" t="inlineStr">
        <is>
          <t>N</t>
        </is>
      </c>
      <c r="G321" s="2" t="n"/>
      <c r="H321" s="2" t="inlineStr">
        <is>
          <t>Links a library document to exactly one business record</t>
        </is>
      </c>
      <c r="I321" s="2" t="inlineStr">
        <is>
          <t>Compliance / Engineering</t>
        </is>
      </c>
      <c r="J321" s="2" t="inlineStr">
        <is>
          <t>Occasional</t>
        </is>
      </c>
      <c r="K321" s="2" t="inlineStr">
        <is>
          <t>PK unique; not blank when row used</t>
        </is>
      </c>
      <c r="L321" s="2" t="inlineStr">
        <is>
          <t>USER</t>
        </is>
      </c>
    </row>
    <row r="322">
      <c r="A322" s="2" t="inlineStr">
        <is>
          <t>DOCUMENT_LINK</t>
        </is>
      </c>
      <c r="B322" s="2" t="inlineStr">
        <is>
          <t>DOCUMENT_ID</t>
        </is>
      </c>
      <c r="C322" s="2" t="inlineStr">
        <is>
          <t>INT</t>
        </is>
      </c>
      <c r="D322" s="2" t="inlineStr">
        <is>
          <t>Y</t>
        </is>
      </c>
      <c r="E322" s="2" t="inlineStr">
        <is>
          <t>N</t>
        </is>
      </c>
      <c r="F322" s="2" t="inlineStr">
        <is>
          <t>Y</t>
        </is>
      </c>
      <c r="G322" s="2" t="inlineStr">
        <is>
          <t>DOCUMENT_LIBRARY</t>
        </is>
      </c>
      <c r="H322" s="2" t="inlineStr">
        <is>
          <t>Links a library document to exactly one business record</t>
        </is>
      </c>
      <c r="I322" s="2" t="inlineStr">
        <is>
          <t>Compliance / Engineering</t>
        </is>
      </c>
      <c r="J322" s="2" t="inlineStr">
        <is>
          <t>Occasional</t>
        </is>
      </c>
      <c r="K322" s="2" t="inlineStr">
        <is>
          <t>FK → DOCUMENT_LIBRARY (Python QA; no huge dropdown)</t>
        </is>
      </c>
      <c r="L322" s="2" t="inlineStr">
        <is>
          <t>USER</t>
        </is>
      </c>
    </row>
    <row r="323">
      <c r="A323" s="2" t="inlineStr">
        <is>
          <t>DOCUMENT_LINK</t>
        </is>
      </c>
      <c r="B323" s="2" t="inlineStr">
        <is>
          <t>COMPONENT_ID</t>
        </is>
      </c>
      <c r="C323" s="2" t="inlineStr">
        <is>
          <t>INT</t>
        </is>
      </c>
      <c r="D323" s="2" t="inlineStr">
        <is>
          <t>N</t>
        </is>
      </c>
      <c r="E323" s="2" t="inlineStr">
        <is>
          <t>N</t>
        </is>
      </c>
      <c r="F323" s="2" t="inlineStr">
        <is>
          <t>Y</t>
        </is>
      </c>
      <c r="G323" s="2" t="inlineStr">
        <is>
          <t>COMPONENT</t>
        </is>
      </c>
      <c r="H323" s="2" t="inlineStr">
        <is>
          <t>Links a library document to exactly one business record</t>
        </is>
      </c>
      <c r="I323" s="2" t="inlineStr">
        <is>
          <t>Compliance / Engineering</t>
        </is>
      </c>
      <c r="J323" s="2" t="inlineStr">
        <is>
          <t>Occasional</t>
        </is>
      </c>
      <c r="K323" s="2" t="inlineStr">
        <is>
          <t>FK → COMPONENT (Python QA; no huge dropdown)</t>
        </is>
      </c>
      <c r="L323" s="2" t="inlineStr">
        <is>
          <t>USER</t>
        </is>
      </c>
    </row>
    <row r="324">
      <c r="A324" s="2" t="inlineStr">
        <is>
          <t>DOCUMENT_LINK</t>
        </is>
      </c>
      <c r="B324" s="2" t="inlineStr">
        <is>
          <t>PRODUCT_ID</t>
        </is>
      </c>
      <c r="C324" s="2" t="inlineStr">
        <is>
          <t>INT</t>
        </is>
      </c>
      <c r="D324" s="2" t="inlineStr">
        <is>
          <t>N</t>
        </is>
      </c>
      <c r="E324" s="2" t="inlineStr">
        <is>
          <t>N</t>
        </is>
      </c>
      <c r="F324" s="2" t="inlineStr">
        <is>
          <t>Y</t>
        </is>
      </c>
      <c r="G324" s="2" t="inlineStr">
        <is>
          <t>PRODUCT</t>
        </is>
      </c>
      <c r="H324" s="2" t="inlineStr">
        <is>
          <t>Links a library document to exactly one business record</t>
        </is>
      </c>
      <c r="I324" s="2" t="inlineStr">
        <is>
          <t>Compliance / Engineering</t>
        </is>
      </c>
      <c r="J324" s="2" t="inlineStr">
        <is>
          <t>Occasional</t>
        </is>
      </c>
      <c r="K324" s="2" t="inlineStr">
        <is>
          <t>FK → PRODUCT (Python QA; no huge dropdown)</t>
        </is>
      </c>
      <c r="L324" s="2" t="inlineStr">
        <is>
          <t>USER</t>
        </is>
      </c>
    </row>
    <row r="325">
      <c r="A325" s="2" t="inlineStr">
        <is>
          <t>DOCUMENT_LINK</t>
        </is>
      </c>
      <c r="B325" s="2" t="inlineStr">
        <is>
          <t>PACKAGING_CONFIGURATION_ID</t>
        </is>
      </c>
      <c r="C325" s="2" t="inlineStr">
        <is>
          <t>INT</t>
        </is>
      </c>
      <c r="D325" s="2" t="inlineStr">
        <is>
          <t>N</t>
        </is>
      </c>
      <c r="E325" s="2" t="inlineStr">
        <is>
          <t>N</t>
        </is>
      </c>
      <c r="F325" s="2" t="inlineStr">
        <is>
          <t>Y</t>
        </is>
      </c>
      <c r="G325" s="2" t="inlineStr">
        <is>
          <t>PACKAGING_CONFIGURATION</t>
        </is>
      </c>
      <c r="H325" s="2" t="inlineStr">
        <is>
          <t>Links a library document to exactly one business record</t>
        </is>
      </c>
      <c r="I325" s="2" t="inlineStr">
        <is>
          <t>Compliance / Engineering</t>
        </is>
      </c>
      <c r="J325" s="2" t="inlineStr">
        <is>
          <t>Occasional</t>
        </is>
      </c>
      <c r="K325" s="2" t="inlineStr">
        <is>
          <t>FK → PACKAGING_CONFIGURATION (Python QA; no huge dropdown)</t>
        </is>
      </c>
      <c r="L325" s="2" t="inlineStr">
        <is>
          <t>USER</t>
        </is>
      </c>
    </row>
    <row r="326">
      <c r="A326" s="2" t="inlineStr">
        <is>
          <t>DOCUMENT_LINK</t>
        </is>
      </c>
      <c r="B326" s="2" t="inlineStr">
        <is>
          <t>TRANSPORT_CONFIGURATION_ID</t>
        </is>
      </c>
      <c r="C326" s="2" t="inlineStr">
        <is>
          <t>INT</t>
        </is>
      </c>
      <c r="D326" s="2" t="inlineStr">
        <is>
          <t>N</t>
        </is>
      </c>
      <c r="E326" s="2" t="inlineStr">
        <is>
          <t>N</t>
        </is>
      </c>
      <c r="F326" s="2" t="inlineStr">
        <is>
          <t>Y</t>
        </is>
      </c>
      <c r="G326" s="2" t="inlineStr">
        <is>
          <t>TRANSPORT_CONFIGURATION</t>
        </is>
      </c>
      <c r="H326" s="2" t="inlineStr">
        <is>
          <t>Links a library document to exactly one business record</t>
        </is>
      </c>
      <c r="I326" s="2" t="inlineStr">
        <is>
          <t>Compliance / Engineering</t>
        </is>
      </c>
      <c r="J326" s="2" t="inlineStr">
        <is>
          <t>Occasional</t>
        </is>
      </c>
      <c r="K326" s="2" t="inlineStr">
        <is>
          <t>FK → TRANSPORT_CONFIGURATION (Python QA; no huge dropdown)</t>
        </is>
      </c>
      <c r="L326" s="2" t="inlineStr">
        <is>
          <t>USER</t>
        </is>
      </c>
    </row>
    <row r="327">
      <c r="A327" s="2" t="inlineStr">
        <is>
          <t>DOCUMENT_LINK</t>
        </is>
      </c>
      <c r="B327" s="2" t="inlineStr">
        <is>
          <t>TECHNICAL_FILE_ID</t>
        </is>
      </c>
      <c r="C327" s="2" t="inlineStr">
        <is>
          <t>INT</t>
        </is>
      </c>
      <c r="D327" s="2" t="inlineStr">
        <is>
          <t>N</t>
        </is>
      </c>
      <c r="E327" s="2" t="inlineStr">
        <is>
          <t>N</t>
        </is>
      </c>
      <c r="F327" s="2" t="inlineStr">
        <is>
          <t>Y</t>
        </is>
      </c>
      <c r="G327" s="2" t="inlineStr">
        <is>
          <t>TECHNICAL_FILE</t>
        </is>
      </c>
      <c r="H327" s="2" t="inlineStr">
        <is>
          <t>Links a library document to exactly one business record</t>
        </is>
      </c>
      <c r="I327" s="2" t="inlineStr">
        <is>
          <t>Compliance / Engineering</t>
        </is>
      </c>
      <c r="J327" s="2" t="inlineStr">
        <is>
          <t>Occasional</t>
        </is>
      </c>
      <c r="K327" s="2" t="inlineStr">
        <is>
          <t>FK → TECHNICAL_FILE (Python QA; no huge dropdown)</t>
        </is>
      </c>
      <c r="L327" s="2" t="inlineStr">
        <is>
          <t>USER</t>
        </is>
      </c>
    </row>
    <row r="328">
      <c r="A328" s="2" t="inlineStr">
        <is>
          <t>DOCUMENT_LINK</t>
        </is>
      </c>
      <c r="B328" s="2" t="inlineStr">
        <is>
          <t>DECLARATION_OF_CONFORMITY_ID</t>
        </is>
      </c>
      <c r="C328" s="2" t="inlineStr">
        <is>
          <t>INT</t>
        </is>
      </c>
      <c r="D328" s="2" t="inlineStr">
        <is>
          <t>N</t>
        </is>
      </c>
      <c r="E328" s="2" t="inlineStr">
        <is>
          <t>N</t>
        </is>
      </c>
      <c r="F328" s="2" t="inlineStr">
        <is>
          <t>Y</t>
        </is>
      </c>
      <c r="G328" s="2" t="inlineStr">
        <is>
          <t>DECLARATION_OF_CONFORMITY</t>
        </is>
      </c>
      <c r="H328" s="2" t="inlineStr">
        <is>
          <t>Links a library document to exactly one business record</t>
        </is>
      </c>
      <c r="I328" s="2" t="inlineStr">
        <is>
          <t>Compliance / Engineering</t>
        </is>
      </c>
      <c r="J328" s="2" t="inlineStr">
        <is>
          <t>Occasional</t>
        </is>
      </c>
      <c r="K328" s="2" t="inlineStr">
        <is>
          <t>FK → DECLARATION_OF_CONFORMITY (Python QA; no huge dropdown)</t>
        </is>
      </c>
      <c r="L328" s="2" t="inlineStr">
        <is>
          <t>USER</t>
        </is>
      </c>
    </row>
    <row r="329">
      <c r="A329" s="2" t="inlineStr">
        <is>
          <t>DOCUMENT_LINK</t>
        </is>
      </c>
      <c r="B329" s="2" t="inlineStr">
        <is>
          <t>STATEMENT_ID</t>
        </is>
      </c>
      <c r="C329" s="2" t="inlineStr">
        <is>
          <t>INT</t>
        </is>
      </c>
      <c r="D329" s="2" t="inlineStr">
        <is>
          <t>N</t>
        </is>
      </c>
      <c r="E329" s="2" t="inlineStr">
        <is>
          <t>N</t>
        </is>
      </c>
      <c r="F329" s="2" t="inlineStr">
        <is>
          <t>Y</t>
        </is>
      </c>
      <c r="G329" s="2" t="inlineStr">
        <is>
          <t>STATEMENT</t>
        </is>
      </c>
      <c r="H329" s="2" t="inlineStr">
        <is>
          <t>Links a library document to exactly one business record</t>
        </is>
      </c>
      <c r="I329" s="2" t="inlineStr">
        <is>
          <t>Compliance / Engineering</t>
        </is>
      </c>
      <c r="J329" s="2" t="inlineStr">
        <is>
          <t>Occasional</t>
        </is>
      </c>
      <c r="K329" s="2" t="inlineStr">
        <is>
          <t>FK → STATEMENT (Python QA; no huge dropdown)</t>
        </is>
      </c>
      <c r="L329" s="2" t="inlineStr">
        <is>
          <t>USER</t>
        </is>
      </c>
    </row>
    <row r="330">
      <c r="A330" s="2" t="inlineStr">
        <is>
          <t>DOCUMENT_LINK</t>
        </is>
      </c>
      <c r="B330" s="2" t="inlineStr">
        <is>
          <t>SORT_ORDER</t>
        </is>
      </c>
      <c r="C330" s="2" t="inlineStr">
        <is>
          <t>INT</t>
        </is>
      </c>
      <c r="D330" s="2" t="inlineStr">
        <is>
          <t>Y</t>
        </is>
      </c>
      <c r="E330" s="2" t="inlineStr">
        <is>
          <t>N</t>
        </is>
      </c>
      <c r="F330" s="2" t="inlineStr">
        <is>
          <t>N</t>
        </is>
      </c>
      <c r="G330" s="2" t="n"/>
      <c r="H330" s="2" t="inlineStr">
        <is>
          <t>Links a library document to exactly one business record</t>
        </is>
      </c>
      <c r="I330" s="2" t="inlineStr">
        <is>
          <t>Compliance / Engineering</t>
        </is>
      </c>
      <c r="J330" s="2" t="inlineStr">
        <is>
          <t>Occasional</t>
        </is>
      </c>
      <c r="K330" s="2" t="inlineStr">
        <is>
          <t>Whole number / text-capable ID</t>
        </is>
      </c>
      <c r="L330" s="2" t="inlineStr">
        <is>
          <t>USER</t>
        </is>
      </c>
    </row>
    <row r="331">
      <c r="A331" s="2" t="inlineStr">
        <is>
          <t>DOCUMENT_LINK</t>
        </is>
      </c>
      <c r="B331" s="2" t="inlineStr">
        <is>
          <t>NOTES</t>
        </is>
      </c>
      <c r="C331" s="2" t="inlineStr">
        <is>
          <t>TEXT</t>
        </is>
      </c>
      <c r="D331" s="2" t="inlineStr">
        <is>
          <t>N</t>
        </is>
      </c>
      <c r="E331" s="2" t="inlineStr">
        <is>
          <t>N</t>
        </is>
      </c>
      <c r="F331" s="2" t="inlineStr">
        <is>
          <t>N</t>
        </is>
      </c>
      <c r="G331" s="2" t="n"/>
      <c r="H331" s="2" t="inlineStr">
        <is>
          <t>Links a library document to exactly one business record</t>
        </is>
      </c>
      <c r="I331" s="2" t="inlineStr">
        <is>
          <t>Compliance / Engineering</t>
        </is>
      </c>
      <c r="J331" s="2" t="inlineStr">
        <is>
          <t>Occasional</t>
        </is>
      </c>
      <c r="K331" s="2" t="inlineStr">
        <is>
          <t>Text</t>
        </is>
      </c>
      <c r="L331" s="2" t="inlineStr">
        <is>
          <t>USER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19.5" customHeight="1">
      <c r="A1" s="1" t="inlineStr">
        <is>
          <t>04_IMPORT_GUIDE — Phase F migration order (do not import yet)</t>
        </is>
      </c>
    </row>
    <row r="2">
      <c r="A2" s="2" t="n"/>
    </row>
    <row r="3" ht="15.75" customHeight="1">
      <c r="A3" s="3" t="inlineStr">
        <is>
          <t>Phase E does NOT import production data. Follow this order in Phase F:</t>
        </is>
      </c>
    </row>
    <row r="4">
      <c r="A4" s="2" t="n"/>
    </row>
    <row r="5" ht="15.75" customHeight="1">
      <c r="A5" s="3" t="inlineStr">
        <is>
          <t>1. Lookup tables (LKP_*) — already seeded in Phase E; extend codes if needed</t>
        </is>
      </c>
    </row>
    <row r="6" ht="15.75" customHeight="1">
      <c r="A6" s="3" t="inlineStr">
        <is>
          <t>2. Legal entities / external IDs (LEGAL_ENTITY, PERSON, SUPPLIER, CUSTOMER, PLANT)</t>
        </is>
      </c>
    </row>
    <row r="7" ht="15.75" customHeight="1">
      <c r="A7" s="3" t="inlineStr">
        <is>
          <t>3. Components (COMPONENT)</t>
        </is>
      </c>
    </row>
    <row r="8" ht="15.75" customHeight="1">
      <c r="A8" s="3" t="inlineStr">
        <is>
          <t>4. Component materials (COMPONENT_MATERIAL) — shares ≈ 100%</t>
        </is>
      </c>
    </row>
    <row r="9" ht="15.75" customHeight="1">
      <c r="A9" s="3" t="inlineStr">
        <is>
          <t>5. Products (PRODUCT)</t>
        </is>
      </c>
    </row>
    <row r="10" ht="15.75" customHeight="1">
      <c r="A10" s="3" t="inlineStr">
        <is>
          <t>6. Packaging configurations (PACKAGING_CONFIGURATION) — Golden Variant CONFIG_GROUP_CODE</t>
        </is>
      </c>
    </row>
    <row r="11" ht="15.75" customHeight="1">
      <c r="A11" s="3" t="inlineStr">
        <is>
          <t>7. Packaging configuration lines (PACKAGING_CONFIGURATION_LINE) — exact BOM</t>
        </is>
      </c>
    </row>
    <row r="12" ht="15.75" customHeight="1">
      <c r="A12" s="3" t="inlineStr">
        <is>
          <t>8. Transport configurations (+ lines)</t>
        </is>
      </c>
    </row>
    <row r="13" ht="15.75" customHeight="1">
      <c r="A13" s="3" t="inlineStr">
        <is>
          <t>9. Commercial scenarios (product → transport → packaging mapping)</t>
        </is>
      </c>
    </row>
    <row r="14" ht="15.75" customHeight="1">
      <c r="A14" s="3" t="inlineStr">
        <is>
          <t>10. Document / evidence metadata (DOCUMENT_LIBRARY, DOCUMENT_LINK, TF, DoC)</t>
        </is>
      </c>
    </row>
    <row r="15" ht="15.75" customHeight="1">
      <c r="A15" s="3" t="inlineStr">
        <is>
          <t>11. Shipment data if applicable (SHIPMENT, SHIPMENT_LINE, STATEMENT*)</t>
        </is>
      </c>
    </row>
    <row r="16">
      <c r="A16" s="2" t="n"/>
    </row>
    <row r="17" ht="15.75" customHeight="1">
      <c r="A17" s="3" t="inlineStr">
        <is>
          <t>Source lineage requirements (preserve on every import row where schema supports):</t>
        </is>
      </c>
    </row>
    <row r="18">
      <c r="A18" s="2" t="inlineStr">
        <is>
          <t>- Source system</t>
        </is>
      </c>
    </row>
    <row r="19">
      <c r="A19" s="2" t="inlineStr">
        <is>
          <t>- Source configuration ID / EXTERNAL_REF</t>
        </is>
      </c>
    </row>
    <row r="20">
      <c r="A20" s="2" t="inlineStr">
        <is>
          <t>- Source file / sheet / row reference (NOTES or EXTERNAL_REF convention)</t>
        </is>
      </c>
    </row>
    <row r="21">
      <c r="A21" s="2" t="inlineStr">
        <is>
          <t>- Legacy identifier</t>
        </is>
      </c>
    </row>
    <row r="22">
      <c r="A22" s="2" t="n"/>
    </row>
    <row r="23">
      <c r="A23" s="2" t="inlineStr">
        <is>
          <t>Do not invent columns. Use Schema 1.0.0 fields only.</t>
        </is>
      </c>
    </row>
    <row r="24">
      <c r="A24" s="2" t="inlineStr">
        <is>
          <t>Python ExcelRepository must own table-oriented access — avoid ad-hoc worksheet edits.</t>
        </is>
      </c>
    </row>
    <row r="25">
      <c r="A25" s="2" t="n"/>
    </row>
    <row r="26">
      <c r="A26" s="2" t="inlineStr">
        <is>
          <t>Weight: never store competing editable configuration totals; derive via WeightService.</t>
        </is>
      </c>
    </row>
    <row r="27">
      <c r="A27" s="2" t="inlineStr">
        <is>
          <t>Article 5: do not auto-populate ≤100 mg/kg without evidence.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3"/>
  </cols>
  <sheetData>
    <row r="1" ht="27.95" customHeight="1">
      <c r="A1" s="6" t="inlineStr">
        <is>
          <t>INFO_KEY</t>
        </is>
      </c>
      <c r="B1" s="6" t="inlineStr">
        <is>
          <t>INFO_VALUE</t>
        </is>
      </c>
      <c r="C1" s="6" t="inlineStr">
        <is>
          <t>UPDATED_AT</t>
        </is>
      </c>
    </row>
    <row r="2">
      <c r="A2" s="7" t="inlineStr">
        <is>
          <t>SCHEMA_VERSION</t>
        </is>
      </c>
      <c r="B2" s="8" t="inlineStr">
        <is>
          <t>1.0.0</t>
        </is>
      </c>
      <c r="C2" s="9" t="inlineStr">
        <is>
          <t>2026-08-10T19:29:54Z</t>
        </is>
      </c>
    </row>
    <row r="3">
      <c r="A3" s="7" t="inlineStr">
        <is>
          <t>WORKBOOK_NAME</t>
        </is>
      </c>
      <c r="B3" s="8" t="inlineStr">
        <is>
          <t>INCI_AKU_PPWR_PIMS_Rev00.xlsx</t>
        </is>
      </c>
      <c r="C3" s="9" t="inlineStr">
        <is>
          <t>2026-08-10T19:29:54Z</t>
        </is>
      </c>
    </row>
    <row r="4">
      <c r="A4" s="7" t="inlineStr">
        <is>
          <t>PROJECT_NAME</t>
        </is>
      </c>
      <c r="B4" s="8" t="inlineStr">
        <is>
          <t>INCI_AKU_PPWR_PIMS</t>
        </is>
      </c>
      <c r="C4" s="9" t="inlineStr">
        <is>
          <t>2026-08-10T19:29:54Z</t>
        </is>
      </c>
    </row>
    <row r="5">
      <c r="A5" s="7" t="inlineStr">
        <is>
          <t>REVISION</t>
        </is>
      </c>
      <c r="B5" s="8" t="inlineStr">
        <is>
          <t>Rev00</t>
        </is>
      </c>
      <c r="C5" s="9" t="inlineStr">
        <is>
          <t>2026-08-10T19:29:54Z</t>
        </is>
      </c>
    </row>
    <row r="6">
      <c r="A6" s="7" t="inlineStr">
        <is>
          <t>PHASE</t>
        </is>
      </c>
      <c r="B6" s="8" t="inlineStr">
        <is>
          <t>F — Production Migration</t>
        </is>
      </c>
      <c r="C6" s="9" t="inlineStr">
        <is>
          <t>2026-08-10T19:29:54Z</t>
        </is>
      </c>
    </row>
    <row r="7">
      <c r="A7" s="7" t="inlineStr">
        <is>
          <t>PRODUCTION_DATA</t>
        </is>
      </c>
      <c r="B7" s="8" t="inlineStr">
        <is>
          <t>LOADED</t>
        </is>
      </c>
      <c r="C7" s="9" t="inlineStr">
        <is>
          <t>2026-08-10T19:29:54Z</t>
        </is>
      </c>
    </row>
    <row r="8">
      <c r="A8" s="7" t="inlineStr">
        <is>
          <t>WORD_GENERATION</t>
        </is>
      </c>
      <c r="B8" s="8" t="inlineStr">
        <is>
          <t>DISABLED</t>
        </is>
      </c>
      <c r="C8" s="9" t="inlineStr">
        <is>
          <t>2026-08-10T19:29:54Z</t>
        </is>
      </c>
    </row>
    <row r="9">
      <c r="A9" s="7" t="inlineStr">
        <is>
          <t>GENERATED_AT_UTC</t>
        </is>
      </c>
      <c r="B9" s="8" t="inlineStr">
        <is>
          <t>2026-08-10T19:29:54Z</t>
        </is>
      </c>
      <c r="C9" s="9" t="inlineStr">
        <is>
          <t>2026-08-10T19:29:54Z</t>
        </is>
      </c>
    </row>
    <row r="10">
      <c r="A10" s="7" t="inlineStr">
        <is>
          <t>EXCEL_ENGINE</t>
        </is>
      </c>
      <c r="B10" s="8" t="inlineStr">
        <is>
          <t>openpyxl</t>
        </is>
      </c>
      <c r="C10" s="9" t="inlineStr">
        <is>
          <t>2026-08-10T19:29:54Z</t>
        </is>
      </c>
    </row>
    <row r="11">
      <c r="A11" s="7" t="inlineStr">
        <is>
          <t>CIP_CIF_NOTE</t>
        </is>
      </c>
      <c r="B11" s="8" t="inlineStr">
        <is>
          <t>CIF and CIP are distinct Incoterms; both active in LKP_INCOTERM</t>
        </is>
      </c>
      <c r="C11" s="9" t="inlineStr">
        <is>
          <t>2026-08-10T19:29:54Z</t>
        </is>
      </c>
    </row>
    <row r="12">
      <c r="A12" s="19" t="inlineStr">
        <is>
          <t>FINAL_CONFIG_COUNT</t>
        </is>
      </c>
      <c r="B12" t="inlineStr">
        <is>
          <t>247</t>
        </is>
      </c>
      <c r="C12" t="n">
        <v>247</v>
      </c>
    </row>
    <row r="13">
      <c r="A13" s="19" t="inlineStr">
        <is>
          <t>PHASE</t>
        </is>
      </c>
      <c r="B13" t="inlineStr">
        <is>
          <t>J — Application Layer + Document Registry Sync</t>
        </is>
      </c>
    </row>
    <row r="14">
      <c r="A14" s="19" t="inlineStr">
        <is>
          <t>DOCUMENT_REGISTRY</t>
        </is>
      </c>
      <c r="B14" t="inlineStr">
        <is>
          <t>988/988 LINKED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36" customWidth="1" min="4" max="4"/>
  </cols>
  <sheetData>
    <row r="1" ht="27.95" customHeight="1">
      <c r="A1" s="6" t="inlineStr">
        <is>
          <t>PARAMETER_ID</t>
        </is>
      </c>
      <c r="B1" s="6" t="inlineStr">
        <is>
          <t>PARAMETER_CODE</t>
        </is>
      </c>
      <c r="C1" s="6" t="inlineStr">
        <is>
          <t>PARAMETER_VALUE</t>
        </is>
      </c>
      <c r="D1" s="6" t="inlineStr">
        <is>
          <t>DESCRIPTION</t>
        </is>
      </c>
    </row>
    <row r="2">
      <c r="A2" s="7" t="inlineStr">
        <is>
          <t>1</t>
        </is>
      </c>
      <c r="B2" s="10" t="inlineStr">
        <is>
          <t>WEIGHT_UOM</t>
        </is>
      </c>
      <c r="C2" s="8" t="inlineStr">
        <is>
          <t>G</t>
        </is>
      </c>
      <c r="D2" s="8" t="inlineStr">
        <is>
          <t>Mass unit for COMPONENT.WEIGHT_G</t>
        </is>
      </c>
    </row>
    <row r="3">
      <c r="A3" s="7" t="inlineStr">
        <is>
          <t>2</t>
        </is>
      </c>
      <c r="B3" s="10" t="inlineStr">
        <is>
          <t>TRANSPORT_ALLOCATION_METHOD</t>
        </is>
      </c>
      <c r="C3" s="8" t="inlineStr">
        <is>
          <t>PER_PRODUCT_UNIT</t>
        </is>
      </c>
      <c r="D3" s="8" t="inlineStr">
        <is>
          <t>Transport-line weight allocation method</t>
        </is>
      </c>
    </row>
    <row r="4">
      <c r="A4" s="7" t="inlineStr">
        <is>
          <t>3</t>
        </is>
      </c>
      <c r="B4" s="10" t="inlineStr">
        <is>
          <t>MATERIAL_SHARE_TOLERANCE_PCT</t>
        </is>
      </c>
      <c r="C4" s="8" t="inlineStr">
        <is>
          <t>0.5</t>
        </is>
      </c>
      <c r="D4" s="8" t="inlineStr">
        <is>
          <t>Allowed deviation from 100% material shares</t>
        </is>
      </c>
    </row>
    <row r="5">
      <c r="A5" s="7" t="inlineStr">
        <is>
          <t>4</t>
        </is>
      </c>
      <c r="B5" s="10" t="inlineStr">
        <is>
          <t>ENABLE_WORD_GENERATION</t>
        </is>
      </c>
      <c r="C5" s="8" t="inlineStr">
        <is>
          <t>FALSE</t>
        </is>
      </c>
      <c r="D5" s="8" t="inlineStr">
        <is>
          <t>Document generation disabled in Phase E</t>
        </is>
      </c>
    </row>
    <row r="6">
      <c r="A6" s="7" t="inlineStr">
        <is>
          <t>5</t>
        </is>
      </c>
      <c r="B6" s="10" t="inlineStr">
        <is>
          <t>PRODUCTION_DATA_LOADED</t>
        </is>
      </c>
      <c r="C6" s="8" t="inlineStr">
        <is>
          <t>FALSE</t>
        </is>
      </c>
      <c r="D6" s="8" t="inlineStr">
        <is>
          <t>Phase F loads production masters</t>
        </is>
      </c>
    </row>
    <row r="7">
      <c r="A7" s="7" t="inlineStr">
        <is>
          <t>6</t>
        </is>
      </c>
      <c r="B7" s="10" t="inlineStr">
        <is>
          <t>ARTICLE5_BASIS_LABEL</t>
        </is>
      </c>
      <c r="C7" s="8" t="inlineStr">
        <is>
          <t>REV00 CURRENT EVIDENCE BASIS — ARTICLE 5 ASSESSMENT BASIS</t>
        </is>
      </c>
      <c r="D7" s="8" t="inlineStr">
        <is>
          <t>Controlled customer language — do not auto-fill numerical compliance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3"/>
    <col width="15" customWidth="1" min="4" max="4"/>
    <col width="13" customWidth="1" min="5" max="5"/>
    <col width="12" customWidth="1" min="6" max="6"/>
  </cols>
  <sheetData>
    <row r="1" ht="27.95" customHeight="1">
      <c r="A1" s="6" t="inlineStr">
        <is>
          <t>STATUS_ID</t>
        </is>
      </c>
      <c r="B1" s="6" t="inlineStr">
        <is>
          <t>STATUS_CODE</t>
        </is>
      </c>
      <c r="C1" s="6" t="inlineStr">
        <is>
          <t>STATUS_NAME</t>
        </is>
      </c>
      <c r="D1" s="6" t="inlineStr">
        <is>
          <t>STATUS_DOMAIN</t>
        </is>
      </c>
      <c r="E1" s="6" t="inlineStr">
        <is>
          <t>IS_EDITABLE</t>
        </is>
      </c>
      <c r="F1" s="6" t="inlineStr">
        <is>
          <t>SORT_ORDER</t>
        </is>
      </c>
    </row>
    <row r="2">
      <c r="A2" s="7" t="inlineStr">
        <is>
          <t>1</t>
        </is>
      </c>
      <c r="B2" s="10" t="inlineStr">
        <is>
          <t>DRAFT</t>
        </is>
      </c>
      <c r="C2" s="8" t="inlineStr">
        <is>
          <t>Draft</t>
        </is>
      </c>
      <c r="D2" s="8" t="inlineStr">
        <is>
          <t>MASTER</t>
        </is>
      </c>
      <c r="E2" s="10" t="b">
        <v>1</v>
      </c>
      <c r="F2" s="11" t="n">
        <v>1</v>
      </c>
    </row>
    <row r="3">
      <c r="A3" s="7" t="inlineStr">
        <is>
          <t>2</t>
        </is>
      </c>
      <c r="B3" s="10" t="inlineStr">
        <is>
          <t>ACTIVE</t>
        </is>
      </c>
      <c r="C3" s="8" t="inlineStr">
        <is>
          <t>Active</t>
        </is>
      </c>
      <c r="D3" s="8" t="inlineStr">
        <is>
          <t>MASTER</t>
        </is>
      </c>
      <c r="E3" s="10" t="b">
        <v>1</v>
      </c>
      <c r="F3" s="11" t="n">
        <v>2</v>
      </c>
    </row>
    <row r="4">
      <c r="A4" s="7" t="inlineStr">
        <is>
          <t>3</t>
        </is>
      </c>
      <c r="B4" s="10" t="inlineStr">
        <is>
          <t>OBSOLETE</t>
        </is>
      </c>
      <c r="C4" s="8" t="inlineStr">
        <is>
          <t>Obsolete</t>
        </is>
      </c>
      <c r="D4" s="8" t="inlineStr">
        <is>
          <t>MASTER</t>
        </is>
      </c>
      <c r="E4" s="10" t="b">
        <v>0</v>
      </c>
      <c r="F4" s="11" t="n">
        <v>3</v>
      </c>
    </row>
    <row r="5">
      <c r="A5" s="7" t="inlineStr">
        <is>
          <t>4</t>
        </is>
      </c>
      <c r="B5" s="10" t="inlineStr">
        <is>
          <t>CONFIRMED</t>
        </is>
      </c>
      <c r="C5" s="8" t="inlineStr">
        <is>
          <t>Confirmed</t>
        </is>
      </c>
      <c r="D5" s="8" t="inlineStr">
        <is>
          <t>SHIPMENT</t>
        </is>
      </c>
      <c r="E5" s="10" t="b">
        <v>0</v>
      </c>
      <c r="F5" s="11" t="n">
        <v>4</v>
      </c>
    </row>
    <row r="6">
      <c r="A6" s="7" t="inlineStr">
        <is>
          <t>5</t>
        </is>
      </c>
      <c r="B6" s="10" t="inlineStr">
        <is>
          <t>CANCELLED</t>
        </is>
      </c>
      <c r="C6" s="8" t="inlineStr">
        <is>
          <t>Cancelled</t>
        </is>
      </c>
      <c r="D6" s="8" t="inlineStr">
        <is>
          <t>SHIPMENT</t>
        </is>
      </c>
      <c r="E6" s="10" t="b">
        <v>0</v>
      </c>
      <c r="F6" s="11" t="n">
        <v>5</v>
      </c>
    </row>
    <row r="7">
      <c r="A7" s="7" t="inlineStr">
        <is>
          <t>6</t>
        </is>
      </c>
      <c r="B7" s="10" t="inlineStr">
        <is>
          <t>APPROVED_DOC</t>
        </is>
      </c>
      <c r="C7" s="8" t="inlineStr">
        <is>
          <t>Approved (Document)</t>
        </is>
      </c>
      <c r="D7" s="8" t="inlineStr">
        <is>
          <t>DOCUMENT</t>
        </is>
      </c>
      <c r="E7" s="10" t="b">
        <v>0</v>
      </c>
      <c r="F7" s="11" t="n">
        <v>6</v>
      </c>
    </row>
    <row r="8">
      <c r="A8" s="7" t="inlineStr">
        <is>
          <t>7</t>
        </is>
      </c>
      <c r="B8" s="10" t="inlineStr">
        <is>
          <t>REVOKED</t>
        </is>
      </c>
      <c r="C8" s="8" t="inlineStr">
        <is>
          <t>Revoked</t>
        </is>
      </c>
      <c r="D8" s="8" t="inlineStr">
        <is>
          <t>DOCUMENT</t>
        </is>
      </c>
      <c r="E8" s="10" t="b">
        <v>0</v>
      </c>
      <c r="F8" s="11" t="n">
        <v>7</v>
      </c>
    </row>
    <row r="9">
      <c r="A9" s="7" t="inlineStr">
        <is>
          <t>8</t>
        </is>
      </c>
      <c r="B9" s="10" t="inlineStr">
        <is>
          <t>APPROVED_STM</t>
        </is>
      </c>
      <c r="C9" s="8" t="inlineStr">
        <is>
          <t>Approved (Statement)</t>
        </is>
      </c>
      <c r="D9" s="8" t="inlineStr">
        <is>
          <t>STATEMENT</t>
        </is>
      </c>
      <c r="E9" s="10" t="b">
        <v>0</v>
      </c>
      <c r="F9" s="11" t="n">
        <v>8</v>
      </c>
    </row>
  </sheetData>
  <dataValidations count="1">
    <dataValidation sqref="E2:E5000" showDropDown="0" showInputMessage="0" showErrorMessage="1" allowBlank="1" errorTitle="Boolean" error="Enter TRUE or FALSE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3"/>
    <col width="15" customWidth="1" min="4" max="4"/>
  </cols>
  <sheetData>
    <row r="1" ht="27.95" customHeight="1">
      <c r="A1" s="6" t="inlineStr">
        <is>
          <t>UOM_ID</t>
        </is>
      </c>
      <c r="B1" s="6" t="inlineStr">
        <is>
          <t>UOM_CODE</t>
        </is>
      </c>
      <c r="C1" s="6" t="inlineStr">
        <is>
          <t>UOM_NAME</t>
        </is>
      </c>
      <c r="D1" s="6" t="inlineStr">
        <is>
          <t>UOM_DIMENSION</t>
        </is>
      </c>
    </row>
    <row r="2">
      <c r="A2" s="7" t="inlineStr">
        <is>
          <t>1</t>
        </is>
      </c>
      <c r="B2" s="10" t="inlineStr">
        <is>
          <t>G</t>
        </is>
      </c>
      <c r="C2" s="8" t="inlineStr">
        <is>
          <t>Gram</t>
        </is>
      </c>
      <c r="D2" s="8" t="inlineStr">
        <is>
          <t>MASS</t>
        </is>
      </c>
    </row>
    <row r="3">
      <c r="A3" s="7" t="inlineStr">
        <is>
          <t>2</t>
        </is>
      </c>
      <c r="B3" s="10" t="inlineStr">
        <is>
          <t>KG</t>
        </is>
      </c>
      <c r="C3" s="8" t="inlineStr">
        <is>
          <t>Kilogram</t>
        </is>
      </c>
      <c r="D3" s="8" t="inlineStr">
        <is>
          <t>MASS</t>
        </is>
      </c>
    </row>
    <row r="4">
      <c r="A4" s="7" t="inlineStr">
        <is>
          <t>3</t>
        </is>
      </c>
      <c r="B4" s="10" t="inlineStr">
        <is>
          <t>MM</t>
        </is>
      </c>
      <c r="C4" s="8" t="inlineStr">
        <is>
          <t>Millimeter</t>
        </is>
      </c>
      <c r="D4" s="8" t="inlineStr">
        <is>
          <t>LENGTH</t>
        </is>
      </c>
    </row>
    <row r="5">
      <c r="A5" s="7" t="inlineStr">
        <is>
          <t>4</t>
        </is>
      </c>
      <c r="B5" s="10" t="inlineStr">
        <is>
          <t>PCS</t>
        </is>
      </c>
      <c r="C5" s="8" t="inlineStr">
        <is>
          <t>Pieces</t>
        </is>
      </c>
      <c r="D5" s="8" t="inlineStr">
        <is>
          <t>COUNT</t>
        </is>
      </c>
    </row>
    <row r="6">
      <c r="A6" s="7" t="inlineStr">
        <is>
          <t>5</t>
        </is>
      </c>
      <c r="B6" s="10" t="inlineStr">
        <is>
          <t>PAL</t>
        </is>
      </c>
      <c r="C6" s="8" t="inlineStr">
        <is>
          <t>Pallet</t>
        </is>
      </c>
      <c r="D6" s="8" t="inlineStr">
        <is>
          <t>COUNT</t>
        </is>
      </c>
    </row>
    <row r="7">
      <c r="A7" s="7" t="inlineStr">
        <is>
          <t>6</t>
        </is>
      </c>
      <c r="B7" s="10" t="inlineStr">
        <is>
          <t>TEU</t>
        </is>
      </c>
      <c r="C7" s="8" t="inlineStr">
        <is>
          <t>TEU</t>
        </is>
      </c>
      <c r="D7" s="8" t="inlineStr">
        <is>
          <t>VOLUME</t>
        </is>
      </c>
    </row>
    <row r="8">
      <c r="A8" s="19" t="inlineStr">
        <is>
          <t>7</t>
        </is>
      </c>
      <c r="B8" s="19" t="inlineStr">
        <is>
          <t>M</t>
        </is>
      </c>
      <c r="C8" s="19" t="inlineStr">
        <is>
          <t>Meter</t>
        </is>
      </c>
      <c r="D8" t="inlineStr">
        <is>
          <t>LENGTH</t>
        </is>
      </c>
    </row>
    <row r="9">
      <c r="A9" s="19" t="inlineStr">
        <is>
          <t>8</t>
        </is>
      </c>
      <c r="B9" s="19" t="inlineStr">
        <is>
          <t>SET</t>
        </is>
      </c>
      <c r="C9" s="19" t="inlineStr">
        <is>
          <t>Set</t>
        </is>
      </c>
      <c r="D9" t="inlineStr">
        <is>
          <t>COUNT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3"/>
    <col width="12" customWidth="1" min="4" max="4"/>
  </cols>
  <sheetData>
    <row r="1" ht="27.95" customHeight="1">
      <c r="A1" s="6" t="inlineStr">
        <is>
          <t>PACKAGING_LEVEL_ID</t>
        </is>
      </c>
      <c r="B1" s="6" t="inlineStr">
        <is>
          <t>PACKAGING_LEVEL_CODE</t>
        </is>
      </c>
      <c r="C1" s="6" t="inlineStr">
        <is>
          <t>PACKAGING_LEVEL_NAME</t>
        </is>
      </c>
      <c r="D1" s="6" t="inlineStr">
        <is>
          <t>SORT_ORDER</t>
        </is>
      </c>
    </row>
    <row r="2">
      <c r="A2" s="7" t="inlineStr">
        <is>
          <t>1</t>
        </is>
      </c>
      <c r="B2" s="10" t="inlineStr">
        <is>
          <t>PRIMARY</t>
        </is>
      </c>
      <c r="C2" s="8" t="inlineStr">
        <is>
          <t>Primary</t>
        </is>
      </c>
      <c r="D2" s="11" t="n">
        <v>1</v>
      </c>
    </row>
    <row r="3">
      <c r="A3" s="7" t="inlineStr">
        <is>
          <t>2</t>
        </is>
      </c>
      <c r="B3" s="10" t="inlineStr">
        <is>
          <t>SECONDARY</t>
        </is>
      </c>
      <c r="C3" s="8" t="inlineStr">
        <is>
          <t>Secondary</t>
        </is>
      </c>
      <c r="D3" s="11" t="n">
        <v>2</v>
      </c>
    </row>
    <row r="4">
      <c r="A4" s="7" t="inlineStr">
        <is>
          <t>3</t>
        </is>
      </c>
      <c r="B4" s="10" t="inlineStr">
        <is>
          <t>TERTIARY</t>
        </is>
      </c>
      <c r="C4" s="8" t="inlineStr">
        <is>
          <t>Tertiary</t>
        </is>
      </c>
      <c r="D4" s="11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3"/>
  </cols>
  <sheetData>
    <row r="1" ht="27.95" customHeight="1">
      <c r="A1" s="6" t="inlineStr">
        <is>
          <t>PACKAGING_FUNCTION_ID</t>
        </is>
      </c>
      <c r="B1" s="6" t="inlineStr">
        <is>
          <t>PACKAGING_FUNCTION_CODE</t>
        </is>
      </c>
      <c r="C1" s="6" t="inlineStr">
        <is>
          <t>PACKAGING_FUNCTION_NAME</t>
        </is>
      </c>
    </row>
    <row r="2">
      <c r="A2" s="7" t="inlineStr">
        <is>
          <t>1</t>
        </is>
      </c>
      <c r="B2" s="10" t="inlineStr">
        <is>
          <t>SALES</t>
        </is>
      </c>
      <c r="C2" s="8" t="inlineStr">
        <is>
          <t>Sales Packaging</t>
        </is>
      </c>
    </row>
    <row r="3">
      <c r="A3" s="7" t="inlineStr">
        <is>
          <t>2</t>
        </is>
      </c>
      <c r="B3" s="10" t="inlineStr">
        <is>
          <t>GROUPED</t>
        </is>
      </c>
      <c r="C3" s="8" t="inlineStr">
        <is>
          <t>Grouped Packaging</t>
        </is>
      </c>
    </row>
    <row r="4">
      <c r="A4" s="7" t="inlineStr">
        <is>
          <t>3</t>
        </is>
      </c>
      <c r="B4" s="10" t="inlineStr">
        <is>
          <t>TRANSPORT</t>
        </is>
      </c>
      <c r="C4" s="8" t="inlineStr">
        <is>
          <t>Transport Packaging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3"/>
    <col width="22" customWidth="1" min="4" max="4"/>
  </cols>
  <sheetData>
    <row r="1" ht="27.95" customHeight="1">
      <c r="A1" s="6" t="inlineStr">
        <is>
          <t>COMPONENT_TYPE_ID</t>
        </is>
      </c>
      <c r="B1" s="6" t="inlineStr">
        <is>
          <t>COMPONENT_TYPE_CODE</t>
        </is>
      </c>
      <c r="C1" s="6" t="inlineStr">
        <is>
          <t>COMPONENT_TYPE_NAME</t>
        </is>
      </c>
      <c r="D1" s="6" t="inlineStr">
        <is>
          <t>DEFAULT_PACKAGING_LEVEL_ID</t>
        </is>
      </c>
    </row>
    <row r="2">
      <c r="A2" s="7" t="inlineStr">
        <is>
          <t>1</t>
        </is>
      </c>
      <c r="B2" s="10" t="inlineStr">
        <is>
          <t>CARTON</t>
        </is>
      </c>
      <c r="C2" s="8" t="inlineStr">
        <is>
          <t>Carton</t>
        </is>
      </c>
      <c r="D2" s="12" t="inlineStr">
        <is>
          <t>2</t>
        </is>
      </c>
    </row>
    <row r="3">
      <c r="A3" s="7" t="inlineStr">
        <is>
          <t>2</t>
        </is>
      </c>
      <c r="B3" s="10" t="inlineStr">
        <is>
          <t>DIVIDER</t>
        </is>
      </c>
      <c r="C3" s="8" t="inlineStr">
        <is>
          <t>Divider</t>
        </is>
      </c>
      <c r="D3" s="12" t="inlineStr">
        <is>
          <t>2</t>
        </is>
      </c>
    </row>
    <row r="4">
      <c r="A4" s="7" t="inlineStr">
        <is>
          <t>3</t>
        </is>
      </c>
      <c r="B4" s="10" t="inlineStr">
        <is>
          <t>FILM</t>
        </is>
      </c>
      <c r="C4" s="8" t="inlineStr">
        <is>
          <t>Film</t>
        </is>
      </c>
      <c r="D4" s="12" t="inlineStr">
        <is>
          <t>3</t>
        </is>
      </c>
    </row>
    <row r="5">
      <c r="A5" s="7" t="inlineStr">
        <is>
          <t>4</t>
        </is>
      </c>
      <c r="B5" s="10" t="inlineStr">
        <is>
          <t>STRAP</t>
        </is>
      </c>
      <c r="C5" s="8" t="inlineStr">
        <is>
          <t>Strap</t>
        </is>
      </c>
      <c r="D5" s="12" t="inlineStr">
        <is>
          <t>3</t>
        </is>
      </c>
    </row>
    <row r="6">
      <c r="A6" s="7" t="inlineStr">
        <is>
          <t>5</t>
        </is>
      </c>
      <c r="B6" s="10" t="inlineStr">
        <is>
          <t>LABEL</t>
        </is>
      </c>
      <c r="C6" s="8" t="inlineStr">
        <is>
          <t>Label</t>
        </is>
      </c>
      <c r="D6" s="12" t="inlineStr">
        <is>
          <t>1</t>
        </is>
      </c>
    </row>
    <row r="7">
      <c r="A7" s="7" t="inlineStr">
        <is>
          <t>6</t>
        </is>
      </c>
      <c r="B7" s="10" t="inlineStr">
        <is>
          <t>PALLET</t>
        </is>
      </c>
      <c r="C7" s="8" t="inlineStr">
        <is>
          <t>Pallet</t>
        </is>
      </c>
      <c r="D7" s="12" t="inlineStr">
        <is>
          <t>3</t>
        </is>
      </c>
    </row>
    <row r="8">
      <c r="A8" s="7" t="inlineStr">
        <is>
          <t>7</t>
        </is>
      </c>
      <c r="B8" s="10" t="inlineStr">
        <is>
          <t>BAG</t>
        </is>
      </c>
      <c r="C8" s="8" t="inlineStr">
        <is>
          <t>Bag</t>
        </is>
      </c>
      <c r="D8" s="12" t="inlineStr">
        <is>
          <t>1</t>
        </is>
      </c>
    </row>
    <row r="9">
      <c r="A9" s="7" t="inlineStr">
        <is>
          <t>8</t>
        </is>
      </c>
      <c r="B9" s="10" t="inlineStr">
        <is>
          <t>CAP</t>
        </is>
      </c>
      <c r="C9" s="8" t="inlineStr">
        <is>
          <t>Cap</t>
        </is>
      </c>
      <c r="D9" s="12" t="inlineStr">
        <is>
          <t>1</t>
        </is>
      </c>
    </row>
    <row r="10">
      <c r="A10" s="7" t="inlineStr">
        <is>
          <t>9</t>
        </is>
      </c>
      <c r="B10" s="10" t="inlineStr">
        <is>
          <t>DUNNAGE</t>
        </is>
      </c>
      <c r="C10" s="8" t="inlineStr">
        <is>
          <t>Dunnage</t>
        </is>
      </c>
      <c r="D10" s="12" t="inlineStr">
        <is>
          <t>3</t>
        </is>
      </c>
    </row>
    <row r="11">
      <c r="A11" s="7" t="inlineStr">
        <is>
          <t>10</t>
        </is>
      </c>
      <c r="B11" s="10" t="inlineStr">
        <is>
          <t>AIRBAG</t>
        </is>
      </c>
      <c r="C11" s="8" t="inlineStr">
        <is>
          <t>Airbag</t>
        </is>
      </c>
      <c r="D11" s="12" t="inlineStr">
        <is>
          <t>3</t>
        </is>
      </c>
    </row>
    <row r="12">
      <c r="A12" s="7" t="inlineStr">
        <is>
          <t>11</t>
        </is>
      </c>
      <c r="B12" s="10" t="inlineStr">
        <is>
          <t>DESICCANT</t>
        </is>
      </c>
      <c r="C12" s="8" t="inlineStr">
        <is>
          <t>Desiccant</t>
        </is>
      </c>
      <c r="D12" s="12" t="inlineStr">
        <is>
          <t>3</t>
        </is>
      </c>
    </row>
    <row r="13">
      <c r="A13" s="7" t="inlineStr">
        <is>
          <t>12</t>
        </is>
      </c>
      <c r="B13" s="10" t="inlineStr">
        <is>
          <t>CONTAINER_LINER</t>
        </is>
      </c>
      <c r="C13" s="8" t="inlineStr">
        <is>
          <t>Container Liner</t>
        </is>
      </c>
      <c r="D13" s="12" t="inlineStr">
        <is>
          <t>3</t>
        </is>
      </c>
    </row>
    <row r="14">
      <c r="A14" s="7" t="inlineStr">
        <is>
          <t>13</t>
        </is>
      </c>
      <c r="B14" s="10" t="inlineStr">
        <is>
          <t>LASHING</t>
        </is>
      </c>
      <c r="C14" s="8" t="inlineStr">
        <is>
          <t>Lashing</t>
        </is>
      </c>
      <c r="D14" s="12" t="inlineStr">
        <is>
          <t>3</t>
        </is>
      </c>
    </row>
    <row r="15">
      <c r="A15" s="7" t="inlineStr">
        <is>
          <t>14</t>
        </is>
      </c>
      <c r="B15" s="10" t="inlineStr">
        <is>
          <t>OTHER</t>
        </is>
      </c>
      <c r="C15" s="8" t="inlineStr">
        <is>
          <t>Other</t>
        </is>
      </c>
      <c r="D15" s="12" t="n"/>
    </row>
  </sheetData>
  <dataValidations count="1">
    <dataValidation sqref="D2:D5000" showDropDown="0" showInputMessage="0" showErrorMessage="1" allowBlank="1" errorTitle="Lookup FK" error="Value must exist in LKP_PACKAGING_LEVEL" type="list">
      <formula1>NR_PACKAGING_LEVEL_ID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3"/>
  </cols>
  <sheetData>
    <row r="1" ht="27.95" customHeight="1">
      <c r="A1" s="6" t="inlineStr">
        <is>
          <t>MATERIAL_FAMILY_ID</t>
        </is>
      </c>
      <c r="B1" s="6" t="inlineStr">
        <is>
          <t>MATERIAL_FAMILY_CODE</t>
        </is>
      </c>
      <c r="C1" s="6" t="inlineStr">
        <is>
          <t>MATERIAL_FAMILY_NAME</t>
        </is>
      </c>
    </row>
    <row r="2">
      <c r="A2" s="7" t="inlineStr">
        <is>
          <t>1</t>
        </is>
      </c>
      <c r="B2" s="10" t="inlineStr">
        <is>
          <t>PLASTIC</t>
        </is>
      </c>
      <c r="C2" s="8" t="inlineStr">
        <is>
          <t>Plastic</t>
        </is>
      </c>
    </row>
    <row r="3">
      <c r="A3" s="7" t="inlineStr">
        <is>
          <t>2</t>
        </is>
      </c>
      <c r="B3" s="10" t="inlineStr">
        <is>
          <t>PAPER</t>
        </is>
      </c>
      <c r="C3" s="8" t="inlineStr">
        <is>
          <t>Paper / Board</t>
        </is>
      </c>
    </row>
    <row r="4">
      <c r="A4" s="7" t="inlineStr">
        <is>
          <t>3</t>
        </is>
      </c>
      <c r="B4" s="10" t="inlineStr">
        <is>
          <t>WOOD</t>
        </is>
      </c>
      <c r="C4" s="8" t="inlineStr">
        <is>
          <t>Wood</t>
        </is>
      </c>
    </row>
    <row r="5">
      <c r="A5" s="7" t="inlineStr">
        <is>
          <t>4</t>
        </is>
      </c>
      <c r="B5" s="10" t="inlineStr">
        <is>
          <t>METAL</t>
        </is>
      </c>
      <c r="C5" s="8" t="inlineStr">
        <is>
          <t>Metal</t>
        </is>
      </c>
    </row>
    <row r="6">
      <c r="A6" s="7" t="inlineStr">
        <is>
          <t>5</t>
        </is>
      </c>
      <c r="B6" s="10" t="inlineStr">
        <is>
          <t>COMPOSITE</t>
        </is>
      </c>
      <c r="C6" s="8" t="inlineStr">
        <is>
          <t>Composite</t>
        </is>
      </c>
    </row>
    <row r="7">
      <c r="A7" s="7" t="inlineStr">
        <is>
          <t>6</t>
        </is>
      </c>
      <c r="B7" s="10" t="inlineStr">
        <is>
          <t>OTHER</t>
        </is>
      </c>
      <c r="C7" s="8" t="inlineStr">
        <is>
          <t>Other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3"/>
  </cols>
  <sheetData>
    <row r="1" ht="27.95" customHeight="1">
      <c r="A1" s="6" t="inlineStr">
        <is>
          <t>PPWR_MATERIAL_CATEGORY_ID</t>
        </is>
      </c>
      <c r="B1" s="6" t="inlineStr">
        <is>
          <t>PPWR_MATERIAL_CATEGORY_CODE</t>
        </is>
      </c>
      <c r="C1" s="6" t="inlineStr">
        <is>
          <t>PPWR_MATERIAL_CATEGORY_NAME</t>
        </is>
      </c>
    </row>
    <row r="2">
      <c r="A2" s="7" t="inlineStr">
        <is>
          <t>1</t>
        </is>
      </c>
      <c r="B2" s="10" t="inlineStr">
        <is>
          <t>PLASTIC</t>
        </is>
      </c>
      <c r="C2" s="8" t="inlineStr">
        <is>
          <t>Plastic</t>
        </is>
      </c>
    </row>
    <row r="3">
      <c r="A3" s="7" t="inlineStr">
        <is>
          <t>2</t>
        </is>
      </c>
      <c r="B3" s="10" t="inlineStr">
        <is>
          <t>PAPER_CARDBOARD</t>
        </is>
      </c>
      <c r="C3" s="8" t="inlineStr">
        <is>
          <t>Paper and cardboard</t>
        </is>
      </c>
    </row>
    <row r="4">
      <c r="A4" s="7" t="inlineStr">
        <is>
          <t>3</t>
        </is>
      </c>
      <c r="B4" s="10" t="inlineStr">
        <is>
          <t>WOOD</t>
        </is>
      </c>
      <c r="C4" s="8" t="inlineStr">
        <is>
          <t>Wood</t>
        </is>
      </c>
    </row>
    <row r="5">
      <c r="A5" s="7" t="inlineStr">
        <is>
          <t>4</t>
        </is>
      </c>
      <c r="B5" s="10" t="inlineStr">
        <is>
          <t>FERROUS</t>
        </is>
      </c>
      <c r="C5" s="8" t="inlineStr">
        <is>
          <t>Ferrous metals</t>
        </is>
      </c>
    </row>
    <row r="6">
      <c r="A6" s="7" t="inlineStr">
        <is>
          <t>5</t>
        </is>
      </c>
      <c r="B6" s="10" t="inlineStr">
        <is>
          <t>ALUMINIUM</t>
        </is>
      </c>
      <c r="C6" s="8" t="inlineStr">
        <is>
          <t>Aluminium</t>
        </is>
      </c>
    </row>
    <row r="7">
      <c r="A7" s="7" t="inlineStr">
        <is>
          <t>6</t>
        </is>
      </c>
      <c r="B7" s="10" t="inlineStr">
        <is>
          <t>GLASS</t>
        </is>
      </c>
      <c r="C7" s="8" t="inlineStr">
        <is>
          <t>Glass</t>
        </is>
      </c>
    </row>
    <row r="8">
      <c r="A8" s="7" t="inlineStr">
        <is>
          <t>7</t>
        </is>
      </c>
      <c r="B8" s="10" t="inlineStr">
        <is>
          <t>OTHER</t>
        </is>
      </c>
      <c r="C8" s="8" t="inlineStr">
        <is>
          <t>Other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3"/>
    <col width="20" customWidth="1" min="4" max="4"/>
    <col width="22" customWidth="1" min="5" max="5"/>
    <col width="14" customWidth="1" min="6" max="6"/>
    <col width="36" customWidth="1" min="7" max="7"/>
  </cols>
  <sheetData>
    <row r="1" ht="27.95" customHeight="1">
      <c r="A1" s="6" t="inlineStr">
        <is>
          <t>MATERIAL_ID</t>
        </is>
      </c>
      <c r="B1" s="6" t="inlineStr">
        <is>
          <t>MATERIAL_CODE</t>
        </is>
      </c>
      <c r="C1" s="6" t="inlineStr">
        <is>
          <t>MATERIAL_NAME</t>
        </is>
      </c>
      <c r="D1" s="6" t="inlineStr">
        <is>
          <t>MATERIAL_FAMILY_ID</t>
        </is>
      </c>
      <c r="E1" s="6" t="inlineStr">
        <is>
          <t>PPWR_MATERIAL_CATEGORY_ID</t>
        </is>
      </c>
      <c r="F1" s="6" t="inlineStr">
        <is>
          <t>IS_COMPOSITE</t>
        </is>
      </c>
      <c r="G1" s="6" t="inlineStr">
        <is>
          <t>NOTES</t>
        </is>
      </c>
    </row>
    <row r="2">
      <c r="A2" s="7" t="inlineStr">
        <is>
          <t>1</t>
        </is>
      </c>
      <c r="B2" s="10" t="inlineStr">
        <is>
          <t>LDPE</t>
        </is>
      </c>
      <c r="C2" s="8" t="inlineStr">
        <is>
          <t>LDPE</t>
        </is>
      </c>
      <c r="D2" s="12" t="inlineStr">
        <is>
          <t>1</t>
        </is>
      </c>
      <c r="E2" s="12" t="inlineStr">
        <is>
          <t>1</t>
        </is>
      </c>
      <c r="F2" s="10" t="b">
        <v>0</v>
      </c>
      <c r="G2" s="8" t="n"/>
    </row>
    <row r="3">
      <c r="A3" s="7" t="inlineStr">
        <is>
          <t>2</t>
        </is>
      </c>
      <c r="B3" s="10" t="inlineStr">
        <is>
          <t>HDPE</t>
        </is>
      </c>
      <c r="C3" s="8" t="inlineStr">
        <is>
          <t>HDPE</t>
        </is>
      </c>
      <c r="D3" s="12" t="inlineStr">
        <is>
          <t>1</t>
        </is>
      </c>
      <c r="E3" s="12" t="inlineStr">
        <is>
          <t>1</t>
        </is>
      </c>
      <c r="F3" s="10" t="b">
        <v>0</v>
      </c>
      <c r="G3" s="8" t="n"/>
    </row>
    <row r="4">
      <c r="A4" s="7" t="inlineStr">
        <is>
          <t>3</t>
        </is>
      </c>
      <c r="B4" s="10" t="inlineStr">
        <is>
          <t>PP</t>
        </is>
      </c>
      <c r="C4" s="8" t="inlineStr">
        <is>
          <t>Polypropylene</t>
        </is>
      </c>
      <c r="D4" s="12" t="inlineStr">
        <is>
          <t>1</t>
        </is>
      </c>
      <c r="E4" s="12" t="inlineStr">
        <is>
          <t>1</t>
        </is>
      </c>
      <c r="F4" s="10" t="b">
        <v>0</v>
      </c>
      <c r="G4" s="8" t="n"/>
    </row>
    <row r="5">
      <c r="A5" s="7" t="inlineStr">
        <is>
          <t>4</t>
        </is>
      </c>
      <c r="B5" s="10" t="inlineStr">
        <is>
          <t>PET</t>
        </is>
      </c>
      <c r="C5" s="8" t="inlineStr">
        <is>
          <t>PET</t>
        </is>
      </c>
      <c r="D5" s="12" t="inlineStr">
        <is>
          <t>1</t>
        </is>
      </c>
      <c r="E5" s="12" t="inlineStr">
        <is>
          <t>1</t>
        </is>
      </c>
      <c r="F5" s="10" t="b">
        <v>0</v>
      </c>
      <c r="G5" s="8" t="n"/>
    </row>
    <row r="6">
      <c r="A6" s="7" t="inlineStr">
        <is>
          <t>5</t>
        </is>
      </c>
      <c r="B6" s="10" t="inlineStr">
        <is>
          <t>PAPER_BOARD</t>
        </is>
      </c>
      <c r="C6" s="8" t="inlineStr">
        <is>
          <t>Paperboard</t>
        </is>
      </c>
      <c r="D6" s="12" t="inlineStr">
        <is>
          <t>2</t>
        </is>
      </c>
      <c r="E6" s="12" t="inlineStr">
        <is>
          <t>2</t>
        </is>
      </c>
      <c r="F6" s="10" t="b">
        <v>0</v>
      </c>
      <c r="G6" s="8" t="n"/>
    </row>
    <row r="7">
      <c r="A7" s="7" t="inlineStr">
        <is>
          <t>6</t>
        </is>
      </c>
      <c r="B7" s="10" t="inlineStr">
        <is>
          <t>CORRUGATED</t>
        </is>
      </c>
      <c r="C7" s="8" t="inlineStr">
        <is>
          <t>Corrugated board</t>
        </is>
      </c>
      <c r="D7" s="12" t="inlineStr">
        <is>
          <t>2</t>
        </is>
      </c>
      <c r="E7" s="12" t="inlineStr">
        <is>
          <t>2</t>
        </is>
      </c>
      <c r="F7" s="10" t="b">
        <v>0</v>
      </c>
      <c r="G7" s="8" t="n"/>
    </row>
    <row r="8">
      <c r="A8" s="7" t="inlineStr">
        <is>
          <t>7</t>
        </is>
      </c>
      <c r="B8" s="10" t="inlineStr">
        <is>
          <t>WOOD</t>
        </is>
      </c>
      <c r="C8" s="8" t="inlineStr">
        <is>
          <t>Wood</t>
        </is>
      </c>
      <c r="D8" s="12" t="inlineStr">
        <is>
          <t>3</t>
        </is>
      </c>
      <c r="E8" s="12" t="inlineStr">
        <is>
          <t>3</t>
        </is>
      </c>
      <c r="F8" s="10" t="b">
        <v>0</v>
      </c>
      <c r="G8" s="8" t="n"/>
    </row>
    <row r="9">
      <c r="A9" s="7" t="inlineStr">
        <is>
          <t>8</t>
        </is>
      </c>
      <c r="B9" s="10" t="inlineStr">
        <is>
          <t>STEEL</t>
        </is>
      </c>
      <c r="C9" s="8" t="inlineStr">
        <is>
          <t>Steel</t>
        </is>
      </c>
      <c r="D9" s="12" t="inlineStr">
        <is>
          <t>4</t>
        </is>
      </c>
      <c r="E9" s="12" t="inlineStr">
        <is>
          <t>4</t>
        </is>
      </c>
      <c r="F9" s="10" t="b">
        <v>0</v>
      </c>
      <c r="G9" s="8" t="n"/>
    </row>
    <row r="10">
      <c r="A10" s="7" t="inlineStr">
        <is>
          <t>9</t>
        </is>
      </c>
      <c r="B10" s="10" t="inlineStr">
        <is>
          <t>ALUMINIUM</t>
        </is>
      </c>
      <c r="C10" s="8" t="inlineStr">
        <is>
          <t>Aluminium</t>
        </is>
      </c>
      <c r="D10" s="12" t="inlineStr">
        <is>
          <t>4</t>
        </is>
      </c>
      <c r="E10" s="12" t="inlineStr">
        <is>
          <t>5</t>
        </is>
      </c>
      <c r="F10" s="10" t="b">
        <v>0</v>
      </c>
      <c r="G10" s="8" t="n"/>
    </row>
    <row r="11">
      <c r="A11" s="7" t="inlineStr">
        <is>
          <t>10</t>
        </is>
      </c>
      <c r="B11" s="10" t="inlineStr">
        <is>
          <t>COMPOSITE</t>
        </is>
      </c>
      <c r="C11" s="8" t="inlineStr">
        <is>
          <t>Composite</t>
        </is>
      </c>
      <c r="D11" s="12" t="inlineStr">
        <is>
          <t>5</t>
        </is>
      </c>
      <c r="E11" s="12" t="inlineStr">
        <is>
          <t>7</t>
        </is>
      </c>
      <c r="F11" s="10" t="b">
        <v>1</v>
      </c>
      <c r="G11" s="8" t="n"/>
    </row>
  </sheetData>
  <dataValidations count="3">
    <dataValidation sqref="D2:D5000" showDropDown="0" showInputMessage="0" showErrorMessage="1" allowBlank="1" errorTitle="Lookup FK" error="Value must exist in LKP_MATERIAL_FAMILY" type="list">
      <formula1>NR_MATERIAL_FAMILY_ID</formula1>
    </dataValidation>
    <dataValidation sqref="E2:E5000" showDropDown="0" showInputMessage="0" showErrorMessage="1" allowBlank="1" errorTitle="Lookup FK" error="Value must exist in LKP_PPWR_MATERIAL_CATEGORY" type="list">
      <formula1>NR_PPWR_MATERIAL_CATEGORY_ID</formula1>
    </dataValidation>
    <dataValidation sqref="F2:F5000" showDropDown="0" showInputMessage="0" showErrorMessage="1" allowBlank="1" errorTitle="Boolean" error="Enter TRUE or FALSE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3"/>
  </cols>
  <sheetData>
    <row r="1" ht="27.95" customHeight="1">
      <c r="A1" s="6" t="inlineStr">
        <is>
          <t>RECYCLABILITY_CLASS_ID</t>
        </is>
      </c>
      <c r="B1" s="6" t="inlineStr">
        <is>
          <t>RECYCLABILITY_CLASS_CODE</t>
        </is>
      </c>
      <c r="C1" s="6" t="inlineStr">
        <is>
          <t>RECYCLABILITY_CLASS_NAME</t>
        </is>
      </c>
    </row>
    <row r="2">
      <c r="A2" s="7" t="inlineStr">
        <is>
          <t>1</t>
        </is>
      </c>
      <c r="B2" s="10" t="inlineStr">
        <is>
          <t>A</t>
        </is>
      </c>
      <c r="C2" s="8" t="inlineStr">
        <is>
          <t>Class A</t>
        </is>
      </c>
    </row>
    <row r="3">
      <c r="A3" s="7" t="inlineStr">
        <is>
          <t>2</t>
        </is>
      </c>
      <c r="B3" s="10" t="inlineStr">
        <is>
          <t>B</t>
        </is>
      </c>
      <c r="C3" s="8" t="inlineStr">
        <is>
          <t>Class B</t>
        </is>
      </c>
    </row>
    <row r="4">
      <c r="A4" s="7" t="inlineStr">
        <is>
          <t>3</t>
        </is>
      </c>
      <c r="B4" s="10" t="inlineStr">
        <is>
          <t>C</t>
        </is>
      </c>
      <c r="C4" s="8" t="inlineStr">
        <is>
          <t>Class C</t>
        </is>
      </c>
    </row>
    <row r="5">
      <c r="A5" s="7" t="inlineStr">
        <is>
          <t>4</t>
        </is>
      </c>
      <c r="B5" s="10" t="inlineStr">
        <is>
          <t>NOT_ASSESSED</t>
        </is>
      </c>
      <c r="C5" s="8" t="inlineStr">
        <is>
          <t>Not assessed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3"/>
  </cols>
  <sheetData>
    <row r="1" ht="27.95" customHeight="1">
      <c r="A1" s="6" t="inlineStr">
        <is>
          <t>OWNERSHIP_TYPE_ID</t>
        </is>
      </c>
      <c r="B1" s="6" t="inlineStr">
        <is>
          <t>OWNERSHIP_TYPE_CODE</t>
        </is>
      </c>
      <c r="C1" s="6" t="inlineStr">
        <is>
          <t>OWNERSHIP_TYPE_NAME</t>
        </is>
      </c>
    </row>
    <row r="2">
      <c r="A2" s="7" t="inlineStr">
        <is>
          <t>1</t>
        </is>
      </c>
      <c r="B2" s="10" t="inlineStr">
        <is>
          <t>DISPOSABLE</t>
        </is>
      </c>
      <c r="C2" s="8" t="inlineStr">
        <is>
          <t>Disposable</t>
        </is>
      </c>
    </row>
    <row r="3">
      <c r="A3" s="7" t="inlineStr">
        <is>
          <t>2</t>
        </is>
      </c>
      <c r="B3" s="10" t="inlineStr">
        <is>
          <t>COMPANY_RETURNABLE</t>
        </is>
      </c>
      <c r="C3" s="8" t="inlineStr">
        <is>
          <t>Company returnable</t>
        </is>
      </c>
    </row>
    <row r="4">
      <c r="A4" s="7" t="inlineStr">
        <is>
          <t>3</t>
        </is>
      </c>
      <c r="B4" s="10" t="inlineStr">
        <is>
          <t>CUSTOMER_RETURNABLE</t>
        </is>
      </c>
      <c r="C4" s="8" t="inlineStr">
        <is>
          <t>Customer returnable</t>
        </is>
      </c>
    </row>
    <row r="5">
      <c r="A5" s="7" t="inlineStr">
        <is>
          <t>4</t>
        </is>
      </c>
      <c r="B5" s="10" t="inlineStr">
        <is>
          <t>POOL</t>
        </is>
      </c>
      <c r="C5" s="8" t="inlineStr">
        <is>
          <t>Pool packaging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3"/>
  </cols>
  <sheetData>
    <row r="1" ht="27.95" customHeight="1">
      <c r="A1" s="6" t="inlineStr">
        <is>
          <t>TRANSPORT_UNIT_TYPE_ID</t>
        </is>
      </c>
      <c r="B1" s="6" t="inlineStr">
        <is>
          <t>TRANSPORT_UNIT_TYPE_CODE</t>
        </is>
      </c>
      <c r="C1" s="6" t="inlineStr">
        <is>
          <t>TRANSPORT_UNIT_TYPE_NAME</t>
        </is>
      </c>
    </row>
    <row r="2">
      <c r="A2" s="7" t="inlineStr">
        <is>
          <t>1</t>
        </is>
      </c>
      <c r="B2" s="10" t="inlineStr">
        <is>
          <t>PIECE_PACK</t>
        </is>
      </c>
      <c r="C2" s="8" t="inlineStr">
        <is>
          <t>Piece pack</t>
        </is>
      </c>
    </row>
    <row r="3">
      <c r="A3" s="7" t="inlineStr">
        <is>
          <t>2</t>
        </is>
      </c>
      <c r="B3" s="10" t="inlineStr">
        <is>
          <t>PALLET</t>
        </is>
      </c>
      <c r="C3" s="8" t="inlineStr">
        <is>
          <t>Pallet</t>
        </is>
      </c>
    </row>
    <row r="4">
      <c r="A4" s="7" t="inlineStr">
        <is>
          <t>3</t>
        </is>
      </c>
      <c r="B4" s="10" t="inlineStr">
        <is>
          <t>CONTAINER</t>
        </is>
      </c>
      <c r="C4" s="8" t="inlineStr">
        <is>
          <t>Container</t>
        </is>
      </c>
    </row>
    <row r="5">
      <c r="A5" s="7" t="inlineStr">
        <is>
          <t>4</t>
        </is>
      </c>
      <c r="B5" s="10" t="inlineStr">
        <is>
          <t>TRUCK</t>
        </is>
      </c>
      <c r="C5" s="8" t="inlineStr">
        <is>
          <t>Truck</t>
        </is>
      </c>
    </row>
    <row r="6">
      <c r="A6" s="7" t="inlineStr">
        <is>
          <t>5</t>
        </is>
      </c>
      <c r="B6" s="10" t="inlineStr">
        <is>
          <t>STILLAGE</t>
        </is>
      </c>
      <c r="C6" s="8" t="inlineStr">
        <is>
          <t>Stillage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3"/>
  </cols>
  <sheetData>
    <row r="1" ht="27.95" customHeight="1">
      <c r="A1" s="6" t="inlineStr">
        <is>
          <t>LINE_ROLE_ID</t>
        </is>
      </c>
      <c r="B1" s="6" t="inlineStr">
        <is>
          <t>LINE_ROLE_CODE</t>
        </is>
      </c>
      <c r="C1" s="6" t="inlineStr">
        <is>
          <t>LINE_ROLE_NAME</t>
        </is>
      </c>
    </row>
    <row r="2">
      <c r="A2" s="7" t="inlineStr">
        <is>
          <t>1</t>
        </is>
      </c>
      <c r="B2" s="10" t="inlineStr">
        <is>
          <t>BASE</t>
        </is>
      </c>
      <c r="C2" s="8" t="inlineStr">
        <is>
          <t>Base</t>
        </is>
      </c>
    </row>
    <row r="3">
      <c r="A3" s="7" t="inlineStr">
        <is>
          <t>2</t>
        </is>
      </c>
      <c r="B3" s="10" t="inlineStr">
        <is>
          <t>PALLET</t>
        </is>
      </c>
      <c r="C3" s="8" t="inlineStr">
        <is>
          <t>Pallet</t>
        </is>
      </c>
    </row>
    <row r="4">
      <c r="A4" s="7" t="inlineStr">
        <is>
          <t>3</t>
        </is>
      </c>
      <c r="B4" s="10" t="inlineStr">
        <is>
          <t>WRAP</t>
        </is>
      </c>
      <c r="C4" s="8" t="inlineStr">
        <is>
          <t>Wrap</t>
        </is>
      </c>
    </row>
    <row r="5">
      <c r="A5" s="7" t="inlineStr">
        <is>
          <t>4</t>
        </is>
      </c>
      <c r="B5" s="10" t="inlineStr">
        <is>
          <t>CORNER</t>
        </is>
      </c>
      <c r="C5" s="8" t="inlineStr">
        <is>
          <t>Corner</t>
        </is>
      </c>
    </row>
    <row r="6">
      <c r="A6" s="7" t="inlineStr">
        <is>
          <t>5</t>
        </is>
      </c>
      <c r="B6" s="10" t="inlineStr">
        <is>
          <t>LAYER_PAD</t>
        </is>
      </c>
      <c r="C6" s="8" t="inlineStr">
        <is>
          <t>Layer pad</t>
        </is>
      </c>
    </row>
    <row r="7">
      <c r="A7" s="7" t="inlineStr">
        <is>
          <t>6</t>
        </is>
      </c>
      <c r="B7" s="10" t="inlineStr">
        <is>
          <t>LABEL</t>
        </is>
      </c>
      <c r="C7" s="8" t="inlineStr">
        <is>
          <t>Label</t>
        </is>
      </c>
    </row>
    <row r="8">
      <c r="A8" s="7" t="inlineStr">
        <is>
          <t>7</t>
        </is>
      </c>
      <c r="B8" s="10" t="inlineStr">
        <is>
          <t>DUNNAGE</t>
        </is>
      </c>
      <c r="C8" s="8" t="inlineStr">
        <is>
          <t>Dunnage</t>
        </is>
      </c>
    </row>
    <row r="9">
      <c r="A9" s="7" t="inlineStr">
        <is>
          <t>8</t>
        </is>
      </c>
      <c r="B9" s="10" t="inlineStr">
        <is>
          <t>AIRBAG</t>
        </is>
      </c>
      <c r="C9" s="8" t="inlineStr">
        <is>
          <t>Airbag</t>
        </is>
      </c>
    </row>
    <row r="10">
      <c r="A10" s="7" t="inlineStr">
        <is>
          <t>9</t>
        </is>
      </c>
      <c r="B10" s="10" t="inlineStr">
        <is>
          <t>LINER</t>
        </is>
      </c>
      <c r="C10" s="8" t="inlineStr">
        <is>
          <t>Liner</t>
        </is>
      </c>
    </row>
    <row r="11">
      <c r="A11" s="7" t="inlineStr">
        <is>
          <t>10</t>
        </is>
      </c>
      <c r="B11" s="10" t="inlineStr">
        <is>
          <t>LASHING</t>
        </is>
      </c>
      <c r="C11" s="8" t="inlineStr">
        <is>
          <t>Lashing</t>
        </is>
      </c>
    </row>
    <row r="12">
      <c r="A12" s="7" t="inlineStr">
        <is>
          <t>11</t>
        </is>
      </c>
      <c r="B12" s="10" t="inlineStr">
        <is>
          <t>OUTER_CARTON</t>
        </is>
      </c>
      <c r="C12" s="8" t="inlineStr">
        <is>
          <t>Outer carton</t>
        </is>
      </c>
    </row>
    <row r="13">
      <c r="A13" s="7" t="inlineStr">
        <is>
          <t>12</t>
        </is>
      </c>
      <c r="B13" s="10" t="inlineStr">
        <is>
          <t>UPPER_COVER</t>
        </is>
      </c>
      <c r="C13" s="8" t="inlineStr">
        <is>
          <t>Upper cover</t>
        </is>
      </c>
    </row>
    <row r="14">
      <c r="A14" s="7" t="inlineStr">
        <is>
          <t>13</t>
        </is>
      </c>
      <c r="B14" s="10" t="inlineStr">
        <is>
          <t>SEPARATOR</t>
        </is>
      </c>
      <c r="C14" s="8" t="inlineStr">
        <is>
          <t>Separator</t>
        </is>
      </c>
    </row>
    <row r="15">
      <c r="A15" s="7" t="inlineStr">
        <is>
          <t>14</t>
        </is>
      </c>
      <c r="B15" s="10" t="inlineStr">
        <is>
          <t>EDGE_PROTECTOR</t>
        </is>
      </c>
      <c r="C15" s="8" t="inlineStr">
        <is>
          <t>Edge protector</t>
        </is>
      </c>
    </row>
    <row r="16">
      <c r="A16" s="7" t="inlineStr">
        <is>
          <t>15</t>
        </is>
      </c>
      <c r="B16" s="10" t="inlineStr">
        <is>
          <t>SHRINK</t>
        </is>
      </c>
      <c r="C16" s="8" t="inlineStr">
        <is>
          <t>Shrink</t>
        </is>
      </c>
    </row>
    <row r="17">
      <c r="A17" s="7" t="inlineStr">
        <is>
          <t>16</t>
        </is>
      </c>
      <c r="B17" s="10" t="inlineStr">
        <is>
          <t>STRETCH</t>
        </is>
      </c>
      <c r="C17" s="8" t="inlineStr">
        <is>
          <t>Stretch</t>
        </is>
      </c>
    </row>
    <row r="18">
      <c r="A18" s="7" t="inlineStr">
        <is>
          <t>17</t>
        </is>
      </c>
      <c r="B18" s="10" t="inlineStr">
        <is>
          <t>STRAP</t>
        </is>
      </c>
      <c r="C18" s="8" t="inlineStr">
        <is>
          <t>Strap</t>
        </is>
      </c>
    </row>
    <row r="19">
      <c r="A19" s="7" t="inlineStr">
        <is>
          <t>18</t>
        </is>
      </c>
      <c r="B19" s="10" t="inlineStr">
        <is>
          <t>OTHER</t>
        </is>
      </c>
      <c r="C19" s="8" t="inlineStr">
        <is>
          <t>Other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3"/>
  </cols>
  <sheetData>
    <row r="1" ht="27.95" customHeight="1">
      <c r="A1" s="6" t="inlineStr">
        <is>
          <t>PRODUCT_CATEGORY_ID</t>
        </is>
      </c>
      <c r="B1" s="6" t="inlineStr">
        <is>
          <t>PRODUCT_CATEGORY_CODE</t>
        </is>
      </c>
      <c r="C1" s="6" t="inlineStr">
        <is>
          <t>PRODUCT_CATEGORY_NAME</t>
        </is>
      </c>
    </row>
    <row r="2">
      <c r="A2" s="7" t="inlineStr">
        <is>
          <t>1</t>
        </is>
      </c>
      <c r="B2" s="10" t="inlineStr">
        <is>
          <t>STARTER_BATTERY</t>
        </is>
      </c>
      <c r="C2" s="8" t="inlineStr">
        <is>
          <t>Starter Battery</t>
        </is>
      </c>
    </row>
    <row r="3">
      <c r="A3" s="7" t="inlineStr">
        <is>
          <t>2</t>
        </is>
      </c>
      <c r="B3" s="10" t="inlineStr">
        <is>
          <t>INDUSTRIAL_BATTERY</t>
        </is>
      </c>
      <c r="C3" s="8" t="inlineStr">
        <is>
          <t>Industrial Battery</t>
        </is>
      </c>
    </row>
    <row r="4">
      <c r="A4" s="7" t="inlineStr">
        <is>
          <t>3</t>
        </is>
      </c>
      <c r="B4" s="10" t="inlineStr">
        <is>
          <t>OTHER</t>
        </is>
      </c>
      <c r="C4" s="8" t="inlineStr">
        <is>
          <t>Other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3"/>
    <col width="14" customWidth="1" min="4" max="5"/>
  </cols>
  <sheetData>
    <row r="1" ht="27.95" customHeight="1">
      <c r="A1" s="6" t="inlineStr">
        <is>
          <t>COUNTRY_ID</t>
        </is>
      </c>
      <c r="B1" s="6" t="inlineStr">
        <is>
          <t>ISO2</t>
        </is>
      </c>
      <c r="C1" s="6" t="inlineStr">
        <is>
          <t>ISO3</t>
        </is>
      </c>
      <c r="D1" s="6" t="inlineStr">
        <is>
          <t>COUNTRY_NAME</t>
        </is>
      </c>
      <c r="E1" s="6" t="inlineStr">
        <is>
          <t>IS_EU_MARKET</t>
        </is>
      </c>
    </row>
    <row r="2">
      <c r="A2" s="7" t="inlineStr">
        <is>
          <t>1</t>
        </is>
      </c>
      <c r="B2" s="10" t="inlineStr">
        <is>
          <t>TR</t>
        </is>
      </c>
      <c r="C2" s="10" t="inlineStr">
        <is>
          <t>TUR</t>
        </is>
      </c>
      <c r="D2" s="8" t="inlineStr">
        <is>
          <t>Türkiye</t>
        </is>
      </c>
      <c r="E2" s="10" t="b">
        <v>0</v>
      </c>
    </row>
    <row r="3">
      <c r="A3" s="7" t="inlineStr">
        <is>
          <t>2</t>
        </is>
      </c>
      <c r="B3" s="10" t="inlineStr">
        <is>
          <t>DE</t>
        </is>
      </c>
      <c r="C3" s="10" t="inlineStr">
        <is>
          <t>DEU</t>
        </is>
      </c>
      <c r="D3" s="8" t="inlineStr">
        <is>
          <t>Germany</t>
        </is>
      </c>
      <c r="E3" s="10" t="b">
        <v>1</v>
      </c>
    </row>
    <row r="4">
      <c r="A4" s="7" t="inlineStr">
        <is>
          <t>3</t>
        </is>
      </c>
      <c r="B4" s="10" t="inlineStr">
        <is>
          <t>FR</t>
        </is>
      </c>
      <c r="C4" s="10" t="inlineStr">
        <is>
          <t>FRA</t>
        </is>
      </c>
      <c r="D4" s="8" t="inlineStr">
        <is>
          <t>France</t>
        </is>
      </c>
      <c r="E4" s="10" t="b">
        <v>1</v>
      </c>
    </row>
    <row r="5">
      <c r="A5" s="7" t="inlineStr">
        <is>
          <t>4</t>
        </is>
      </c>
      <c r="B5" s="10" t="inlineStr">
        <is>
          <t>IT</t>
        </is>
      </c>
      <c r="C5" s="10" t="inlineStr">
        <is>
          <t>ITA</t>
        </is>
      </c>
      <c r="D5" s="8" t="inlineStr">
        <is>
          <t>Italy</t>
        </is>
      </c>
      <c r="E5" s="10" t="b">
        <v>1</v>
      </c>
    </row>
    <row r="6">
      <c r="A6" s="7" t="inlineStr">
        <is>
          <t>5</t>
        </is>
      </c>
      <c r="B6" s="10" t="inlineStr">
        <is>
          <t>ES</t>
        </is>
      </c>
      <c r="C6" s="10" t="inlineStr">
        <is>
          <t>ESP</t>
        </is>
      </c>
      <c r="D6" s="8" t="inlineStr">
        <is>
          <t>Spain</t>
        </is>
      </c>
      <c r="E6" s="10" t="b">
        <v>1</v>
      </c>
    </row>
    <row r="7">
      <c r="A7" s="7" t="inlineStr">
        <is>
          <t>6</t>
        </is>
      </c>
      <c r="B7" s="10" t="inlineStr">
        <is>
          <t>NL</t>
        </is>
      </c>
      <c r="C7" s="10" t="inlineStr">
        <is>
          <t>NLD</t>
        </is>
      </c>
      <c r="D7" s="8" t="inlineStr">
        <is>
          <t>Netherlands</t>
        </is>
      </c>
      <c r="E7" s="10" t="b">
        <v>1</v>
      </c>
    </row>
    <row r="8">
      <c r="A8" s="7" t="inlineStr">
        <is>
          <t>7</t>
        </is>
      </c>
      <c r="B8" s="10" t="inlineStr">
        <is>
          <t>BE</t>
        </is>
      </c>
      <c r="C8" s="10" t="inlineStr">
        <is>
          <t>BEL</t>
        </is>
      </c>
      <c r="D8" s="8" t="inlineStr">
        <is>
          <t>Belgium</t>
        </is>
      </c>
      <c r="E8" s="10" t="b">
        <v>1</v>
      </c>
    </row>
    <row r="9">
      <c r="A9" s="7" t="inlineStr">
        <is>
          <t>8</t>
        </is>
      </c>
      <c r="B9" s="10" t="inlineStr">
        <is>
          <t>AT</t>
        </is>
      </c>
      <c r="C9" s="10" t="inlineStr">
        <is>
          <t>AUT</t>
        </is>
      </c>
      <c r="D9" s="8" t="inlineStr">
        <is>
          <t>Austria</t>
        </is>
      </c>
      <c r="E9" s="10" t="b">
        <v>1</v>
      </c>
    </row>
    <row r="10">
      <c r="A10" s="7" t="inlineStr">
        <is>
          <t>9</t>
        </is>
      </c>
      <c r="B10" s="10" t="inlineStr">
        <is>
          <t>PL</t>
        </is>
      </c>
      <c r="C10" s="10" t="inlineStr">
        <is>
          <t>POL</t>
        </is>
      </c>
      <c r="D10" s="8" t="inlineStr">
        <is>
          <t>Poland</t>
        </is>
      </c>
      <c r="E10" s="10" t="b">
        <v>1</v>
      </c>
    </row>
    <row r="11">
      <c r="A11" s="7" t="inlineStr">
        <is>
          <t>10</t>
        </is>
      </c>
      <c r="B11" s="10" t="inlineStr">
        <is>
          <t>GB</t>
        </is>
      </c>
      <c r="C11" s="10" t="inlineStr">
        <is>
          <t>GBR</t>
        </is>
      </c>
      <c r="D11" s="8" t="inlineStr">
        <is>
          <t>United Kingdom</t>
        </is>
      </c>
      <c r="E11" s="10" t="b">
        <v>0</v>
      </c>
    </row>
  </sheetData>
  <dataValidations count="1">
    <dataValidation sqref="E2:E5000" showDropDown="0" showInputMessage="0" showErrorMessage="1" allowBlank="1" errorTitle="Boolean" error="Enter TRUE or FALSE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3"/>
  </cols>
  <sheetData>
    <row r="1" ht="27.95" customHeight="1">
      <c r="A1" s="6" t="inlineStr">
        <is>
          <t>TRANSPORT_MODE_ID</t>
        </is>
      </c>
      <c r="B1" s="6" t="inlineStr">
        <is>
          <t>TRANSPORT_MODE_CODE</t>
        </is>
      </c>
      <c r="C1" s="6" t="inlineStr">
        <is>
          <t>TRANSPORT_MODE_NAME</t>
        </is>
      </c>
    </row>
    <row r="2">
      <c r="A2" s="7" t="inlineStr">
        <is>
          <t>1</t>
        </is>
      </c>
      <c r="B2" s="10" t="inlineStr">
        <is>
          <t>ROAD</t>
        </is>
      </c>
      <c r="C2" s="8" t="inlineStr">
        <is>
          <t>Road</t>
        </is>
      </c>
    </row>
    <row r="3">
      <c r="A3" s="7" t="inlineStr">
        <is>
          <t>2</t>
        </is>
      </c>
      <c r="B3" s="10" t="inlineStr">
        <is>
          <t>SEA</t>
        </is>
      </c>
      <c r="C3" s="8" t="inlineStr">
        <is>
          <t>Sea</t>
        </is>
      </c>
    </row>
    <row r="4">
      <c r="A4" s="7" t="inlineStr">
        <is>
          <t>3</t>
        </is>
      </c>
      <c r="B4" s="10" t="inlineStr">
        <is>
          <t>AIR</t>
        </is>
      </c>
      <c r="C4" s="8" t="inlineStr">
        <is>
          <t>Air</t>
        </is>
      </c>
    </row>
    <row r="5">
      <c r="A5" s="7" t="inlineStr">
        <is>
          <t>4</t>
        </is>
      </c>
      <c r="B5" s="10" t="inlineStr">
        <is>
          <t>RAIL</t>
        </is>
      </c>
      <c r="C5" s="8" t="inlineStr">
        <is>
          <t>Rail</t>
        </is>
      </c>
    </row>
    <row r="6">
      <c r="A6" s="7" t="inlineStr">
        <is>
          <t>5</t>
        </is>
      </c>
      <c r="B6" s="10" t="inlineStr">
        <is>
          <t>MULTI</t>
        </is>
      </c>
      <c r="C6" s="8" t="inlineStr">
        <is>
          <t>Multimodal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3"/>
  </cols>
  <sheetData>
    <row r="1" ht="27.95" customHeight="1">
      <c r="A1" s="6" t="inlineStr">
        <is>
          <t>INCOTERM_ID</t>
        </is>
      </c>
      <c r="B1" s="6" t="inlineStr">
        <is>
          <t>INCOTERM_CODE</t>
        </is>
      </c>
      <c r="C1" s="6" t="inlineStr">
        <is>
          <t>INCOTERM_NAME</t>
        </is>
      </c>
    </row>
    <row r="2">
      <c r="A2" s="7" t="inlineStr">
        <is>
          <t>1</t>
        </is>
      </c>
      <c r="B2" s="10" t="inlineStr">
        <is>
          <t>EXW</t>
        </is>
      </c>
      <c r="C2" s="8" t="inlineStr">
        <is>
          <t>Ex Works</t>
        </is>
      </c>
    </row>
    <row r="3">
      <c r="A3" s="7" t="inlineStr">
        <is>
          <t>2</t>
        </is>
      </c>
      <c r="B3" s="10" t="inlineStr">
        <is>
          <t>FCA</t>
        </is>
      </c>
      <c r="C3" s="8" t="inlineStr">
        <is>
          <t>Free Carrier</t>
        </is>
      </c>
    </row>
    <row r="4">
      <c r="A4" s="7" t="inlineStr">
        <is>
          <t>3</t>
        </is>
      </c>
      <c r="B4" s="10" t="inlineStr">
        <is>
          <t>FAS</t>
        </is>
      </c>
      <c r="C4" s="8" t="inlineStr">
        <is>
          <t>Free Alongside Ship</t>
        </is>
      </c>
    </row>
    <row r="5">
      <c r="A5" s="7" t="inlineStr">
        <is>
          <t>4</t>
        </is>
      </c>
      <c r="B5" s="10" t="inlineStr">
        <is>
          <t>FOB</t>
        </is>
      </c>
      <c r="C5" s="8" t="inlineStr">
        <is>
          <t>Free On Board</t>
        </is>
      </c>
    </row>
    <row r="6">
      <c r="A6" s="7" t="inlineStr">
        <is>
          <t>5</t>
        </is>
      </c>
      <c r="B6" s="10" t="inlineStr">
        <is>
          <t>CFR</t>
        </is>
      </c>
      <c r="C6" s="8" t="inlineStr">
        <is>
          <t>Cost and Freight</t>
        </is>
      </c>
    </row>
    <row r="7">
      <c r="A7" s="7" t="inlineStr">
        <is>
          <t>6</t>
        </is>
      </c>
      <c r="B7" s="10" t="inlineStr">
        <is>
          <t>CIF</t>
        </is>
      </c>
      <c r="C7" s="8" t="inlineStr">
        <is>
          <t>Cost Insurance and Freight</t>
        </is>
      </c>
    </row>
    <row r="8">
      <c r="A8" s="7" t="inlineStr">
        <is>
          <t>7</t>
        </is>
      </c>
      <c r="B8" s="10" t="inlineStr">
        <is>
          <t>CPT</t>
        </is>
      </c>
      <c r="C8" s="8" t="inlineStr">
        <is>
          <t>Carriage Paid To</t>
        </is>
      </c>
    </row>
    <row r="9">
      <c r="A9" s="7" t="inlineStr">
        <is>
          <t>8</t>
        </is>
      </c>
      <c r="B9" s="10" t="inlineStr">
        <is>
          <t>CIP</t>
        </is>
      </c>
      <c r="C9" s="8" t="inlineStr">
        <is>
          <t>Carriage and Insurance Paid To</t>
        </is>
      </c>
    </row>
    <row r="10">
      <c r="A10" s="7" t="inlineStr">
        <is>
          <t>9</t>
        </is>
      </c>
      <c r="B10" s="10" t="inlineStr">
        <is>
          <t>DAP</t>
        </is>
      </c>
      <c r="C10" s="8" t="inlineStr">
        <is>
          <t>Delivered At Place</t>
        </is>
      </c>
    </row>
    <row r="11">
      <c r="A11" s="7" t="inlineStr">
        <is>
          <t>10</t>
        </is>
      </c>
      <c r="B11" s="10" t="inlineStr">
        <is>
          <t>DPU</t>
        </is>
      </c>
      <c r="C11" s="8" t="inlineStr">
        <is>
          <t>Delivered at Place Unloaded</t>
        </is>
      </c>
    </row>
    <row r="12">
      <c r="A12" s="7" t="inlineStr">
        <is>
          <t>11</t>
        </is>
      </c>
      <c r="B12" s="10" t="inlineStr">
        <is>
          <t>DDP</t>
        </is>
      </c>
      <c r="C12" s="8" t="inlineStr">
        <is>
          <t>Delivered Duty Paid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3"/>
  </cols>
  <sheetData>
    <row r="1" ht="27.95" customHeight="1">
      <c r="A1" s="6" t="inlineStr">
        <is>
          <t>STATEMENT_TYPE_ID</t>
        </is>
      </c>
      <c r="B1" s="6" t="inlineStr">
        <is>
          <t>STATEMENT_TYPE_CODE</t>
        </is>
      </c>
      <c r="C1" s="6" t="inlineStr">
        <is>
          <t>STATEMENT_TYPE_NAME</t>
        </is>
      </c>
    </row>
    <row r="2">
      <c r="A2" s="7" t="inlineStr">
        <is>
          <t>1</t>
        </is>
      </c>
      <c r="B2" s="10" t="inlineStr">
        <is>
          <t>ANNUAL_MARKET</t>
        </is>
      </c>
      <c r="C2" s="8" t="inlineStr">
        <is>
          <t>Annual market statement</t>
        </is>
      </c>
    </row>
    <row r="3">
      <c r="A3" s="7" t="inlineStr">
        <is>
          <t>2</t>
        </is>
      </c>
      <c r="B3" s="10" t="inlineStr">
        <is>
          <t>QUARTERLY</t>
        </is>
      </c>
      <c r="C3" s="8" t="inlineStr">
        <is>
          <t>Quarterly statement</t>
        </is>
      </c>
    </row>
    <row r="4">
      <c r="A4" s="7" t="inlineStr">
        <is>
          <t>3</t>
        </is>
      </c>
      <c r="B4" s="10" t="inlineStr">
        <is>
          <t>INTERNAL_AUDIT</t>
        </is>
      </c>
      <c r="C4" s="8" t="inlineStr">
        <is>
          <t>Internal audit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3"/>
  </cols>
  <sheetData>
    <row r="1" ht="27.95" customHeight="1">
      <c r="A1" s="6" t="inlineStr">
        <is>
          <t>DOCUMENT_TYPE_ID</t>
        </is>
      </c>
      <c r="B1" s="6" t="inlineStr">
        <is>
          <t>DOCUMENT_TYPE_CODE</t>
        </is>
      </c>
      <c r="C1" s="6" t="inlineStr">
        <is>
          <t>DOCUMENT_TYPE_NAME</t>
        </is>
      </c>
    </row>
    <row r="2">
      <c r="A2" s="7" t="inlineStr">
        <is>
          <t>1</t>
        </is>
      </c>
      <c r="B2" s="10" t="inlineStr">
        <is>
          <t>TECH_FILE</t>
        </is>
      </c>
      <c r="C2" s="8" t="inlineStr">
        <is>
          <t>Technical File</t>
        </is>
      </c>
    </row>
    <row r="3">
      <c r="A3" s="7" t="inlineStr">
        <is>
          <t>2</t>
        </is>
      </c>
      <c r="B3" s="10" t="inlineStr">
        <is>
          <t>TEST_REPORT</t>
        </is>
      </c>
      <c r="C3" s="8" t="inlineStr">
        <is>
          <t>Test Report</t>
        </is>
      </c>
    </row>
    <row r="4">
      <c r="A4" s="7" t="inlineStr">
        <is>
          <t>3</t>
        </is>
      </c>
      <c r="B4" s="10" t="inlineStr">
        <is>
          <t>SPEC</t>
        </is>
      </c>
      <c r="C4" s="8" t="inlineStr">
        <is>
          <t>Technical Specification</t>
        </is>
      </c>
    </row>
    <row r="5">
      <c r="A5" s="7" t="inlineStr">
        <is>
          <t>4</t>
        </is>
      </c>
      <c r="B5" s="10" t="inlineStr">
        <is>
          <t>DOC_PDF</t>
        </is>
      </c>
      <c r="C5" s="8" t="inlineStr">
        <is>
          <t>Declaration PDF</t>
        </is>
      </c>
    </row>
    <row r="6">
      <c r="A6" s="7" t="inlineStr">
        <is>
          <t>5</t>
        </is>
      </c>
      <c r="B6" s="10" t="inlineStr">
        <is>
          <t>CERTIFICATE</t>
        </is>
      </c>
      <c r="C6" s="8" t="inlineStr">
        <is>
          <t>Certificate</t>
        </is>
      </c>
    </row>
    <row r="7">
      <c r="A7" s="7" t="inlineStr">
        <is>
          <t>6</t>
        </is>
      </c>
      <c r="B7" s="10" t="inlineStr">
        <is>
          <t>DRAWING</t>
        </is>
      </c>
      <c r="C7" s="8" t="inlineStr">
        <is>
          <t>Drawing</t>
        </is>
      </c>
    </row>
    <row r="8">
      <c r="A8" s="7" t="inlineStr">
        <is>
          <t>7</t>
        </is>
      </c>
      <c r="B8" s="10" t="inlineStr">
        <is>
          <t>PHOTO</t>
        </is>
      </c>
      <c r="C8" s="8" t="inlineStr">
        <is>
          <t>Photograph</t>
        </is>
      </c>
    </row>
    <row r="9">
      <c r="A9" s="7" t="inlineStr">
        <is>
          <t>8</t>
        </is>
      </c>
      <c r="B9" s="10" t="inlineStr">
        <is>
          <t>ARTWORK</t>
        </is>
      </c>
      <c r="C9" s="8" t="inlineStr">
        <is>
          <t>Artwork</t>
        </is>
      </c>
    </row>
    <row r="10">
      <c r="A10" s="7" t="inlineStr">
        <is>
          <t>9</t>
        </is>
      </c>
      <c r="B10" s="10" t="inlineStr">
        <is>
          <t>EVIDENCE</t>
        </is>
      </c>
      <c r="C10" s="8" t="inlineStr">
        <is>
          <t>Evidence</t>
        </is>
      </c>
    </row>
    <row r="11">
      <c r="A11" s="7" t="inlineStr">
        <is>
          <t>10</t>
        </is>
      </c>
      <c r="B11" s="10" t="inlineStr">
        <is>
          <t>SUPPLIER_DECLARATION</t>
        </is>
      </c>
      <c r="C11" s="8" t="inlineStr">
        <is>
          <t>Supplier Declaration</t>
        </is>
      </c>
    </row>
    <row r="12">
      <c r="A12" s="7" t="inlineStr">
        <is>
          <t>11</t>
        </is>
      </c>
      <c r="B12" s="10" t="inlineStr">
        <is>
          <t>LABEL</t>
        </is>
      </c>
      <c r="C12" s="8" t="inlineStr">
        <is>
          <t>Label</t>
        </is>
      </c>
    </row>
    <row r="13">
      <c r="A13" s="7" t="inlineStr">
        <is>
          <t>12</t>
        </is>
      </c>
      <c r="B13" s="10" t="inlineStr">
        <is>
          <t>STATEMENT</t>
        </is>
      </c>
      <c r="C13" s="8" t="inlineStr">
        <is>
          <t>Statement</t>
        </is>
      </c>
    </row>
    <row r="14">
      <c r="A14" s="7" t="inlineStr">
        <is>
          <t>13</t>
        </is>
      </c>
      <c r="B14" s="10" t="inlineStr">
        <is>
          <t>OTHER</t>
        </is>
      </c>
      <c r="C14" s="8" t="inlineStr">
        <is>
          <t>Other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3"/>
  </cols>
  <sheetData>
    <row r="1" ht="27.95" customHeight="1">
      <c r="A1" s="6" t="inlineStr">
        <is>
          <t>SCENARIO_TYPE_ID</t>
        </is>
      </c>
      <c r="B1" s="6" t="inlineStr">
        <is>
          <t>SCENARIO_TYPE_CODE</t>
        </is>
      </c>
      <c r="C1" s="6" t="inlineStr">
        <is>
          <t>SCENARIO_TYPE_NAME</t>
        </is>
      </c>
    </row>
    <row r="2">
      <c r="A2" s="7" t="inlineStr">
        <is>
          <t>1</t>
        </is>
      </c>
      <c r="B2" s="10" t="inlineStr">
        <is>
          <t>ENGINEERING_DEFAULT</t>
        </is>
      </c>
      <c r="C2" s="8" t="inlineStr">
        <is>
          <t>Engineering default</t>
        </is>
      </c>
    </row>
    <row r="3">
      <c r="A3" s="7" t="inlineStr">
        <is>
          <t>2</t>
        </is>
      </c>
      <c r="B3" s="10" t="inlineStr">
        <is>
          <t>CUSTOMER</t>
        </is>
      </c>
      <c r="C3" s="8" t="inlineStr">
        <is>
          <t>Customer scenario</t>
        </is>
      </c>
    </row>
    <row r="4">
      <c r="A4" s="7" t="inlineStr">
        <is>
          <t>3</t>
        </is>
      </c>
      <c r="B4" s="10" t="inlineStr">
        <is>
          <t>EXPORT</t>
        </is>
      </c>
      <c r="C4" s="8" t="inlineStr">
        <is>
          <t>Export scenario</t>
        </is>
      </c>
    </row>
    <row r="5">
      <c r="A5" s="7" t="inlineStr">
        <is>
          <t>4</t>
        </is>
      </c>
      <c r="B5" s="10" t="inlineStr">
        <is>
          <t>INTERNAL</t>
        </is>
      </c>
      <c r="C5" s="8" t="inlineStr">
        <is>
          <t>Internal</t>
        </is>
      </c>
    </row>
    <row r="6">
      <c r="A6" s="7" t="inlineStr">
        <is>
          <t>5</t>
        </is>
      </c>
      <c r="B6" s="10" t="inlineStr">
        <is>
          <t>SAMPLE</t>
        </is>
      </c>
      <c r="C6" s="8" t="inlineStr">
        <is>
          <t>Sample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3"/>
    <col width="14" customWidth="1" min="4" max="5"/>
    <col width="36" customWidth="1" min="6" max="6"/>
  </cols>
  <sheetData>
    <row r="1" ht="27.95" customHeight="1">
      <c r="A1" s="6" t="inlineStr">
        <is>
          <t>LEGAL_ENTITY_ID</t>
        </is>
      </c>
      <c r="B1" s="6" t="inlineStr">
        <is>
          <t>LEGAL_ENTITY_CODE</t>
        </is>
      </c>
      <c r="C1" s="6" t="inlineStr">
        <is>
          <t>LEGAL_ENTITY_NAME</t>
        </is>
      </c>
      <c r="D1" s="6" t="inlineStr">
        <is>
          <t>COUNTRY_ID</t>
        </is>
      </c>
      <c r="E1" s="6" t="inlineStr">
        <is>
          <t>STATUS_ID</t>
        </is>
      </c>
      <c r="F1" s="6" t="inlineStr">
        <is>
          <t>NOTES</t>
        </is>
      </c>
    </row>
    <row r="2">
      <c r="A2" s="19" t="inlineStr">
        <is>
          <t>1</t>
        </is>
      </c>
      <c r="B2" s="19" t="inlineStr">
        <is>
          <t>INCI_AKU</t>
        </is>
      </c>
      <c r="C2" t="inlineStr">
        <is>
          <t>İnci Akü Sanayi ve Ticaret A.Ş.</t>
        </is>
      </c>
      <c r="D2" s="19" t="inlineStr">
        <is>
          <t>1</t>
        </is>
      </c>
      <c r="E2" s="19" t="inlineStr">
        <is>
          <t>2</t>
        </is>
      </c>
      <c r="F2" t="inlineStr">
        <is>
          <t>Platform manufacturer seed — Phase F</t>
        </is>
      </c>
    </row>
  </sheetData>
  <dataValidations count="2">
    <dataValidation sqref="D2:D5000" showDropDown="0" showInputMessage="0" showErrorMessage="1" allowBlank="1" errorTitle="Lookup FK" error="Value must exist in LKP_COUNTRY" type="list">
      <formula1>NR_COUNTRY_ID</formula1>
    </dataValidation>
    <dataValidation sqref="E2:E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5"/>
    <col width="14" customWidth="1" min="6" max="6"/>
  </cols>
  <sheetData>
    <row r="1" ht="27.95" customHeight="1">
      <c r="A1" s="6" t="inlineStr">
        <is>
          <t>PERSON_ID</t>
        </is>
      </c>
      <c r="B1" s="6" t="inlineStr">
        <is>
          <t>PERSON_CODE</t>
        </is>
      </c>
      <c r="C1" s="6" t="inlineStr">
        <is>
          <t>FULL_NAME</t>
        </is>
      </c>
      <c r="D1" s="6" t="inlineStr">
        <is>
          <t>EMAIL</t>
        </is>
      </c>
      <c r="E1" s="6" t="inlineStr">
        <is>
          <t>JOB_TITLE</t>
        </is>
      </c>
      <c r="F1" s="6" t="inlineStr">
        <is>
          <t>STATUS_ID</t>
        </is>
      </c>
    </row>
    <row r="2">
      <c r="A2" s="19" t="inlineStr">
        <is>
          <t>1</t>
        </is>
      </c>
      <c r="B2" s="19" t="inlineStr">
        <is>
          <t>P-COMPLIANCE</t>
        </is>
      </c>
      <c r="C2" t="inlineStr">
        <is>
          <t>PPWR Compliance Officer</t>
        </is>
      </c>
      <c r="D2" t="inlineStr">
        <is>
          <t>compliance@inciaku.com</t>
        </is>
      </c>
      <c r="E2" t="inlineStr">
        <is>
          <t>Compliance Officer</t>
        </is>
      </c>
      <c r="F2" s="19" t="inlineStr">
        <is>
          <t>2</t>
        </is>
      </c>
    </row>
  </sheetData>
  <dataValidations count="1">
    <dataValidation sqref="F2:F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3"/>
    <col width="14" customWidth="1" min="4" max="6"/>
    <col width="36" customWidth="1" min="7" max="7"/>
  </cols>
  <sheetData>
    <row r="1" ht="27.95" customHeight="1">
      <c r="A1" s="6" t="inlineStr">
        <is>
          <t>SUPPLIER_ID</t>
        </is>
      </c>
      <c r="B1" s="6" t="inlineStr">
        <is>
          <t>SUPPLIER_CODE</t>
        </is>
      </c>
      <c r="C1" s="6" t="inlineStr">
        <is>
          <t>SUPPLIER_NAME</t>
        </is>
      </c>
      <c r="D1" s="6" t="inlineStr">
        <is>
          <t>COUNTRY_ID</t>
        </is>
      </c>
      <c r="E1" s="6" t="inlineStr">
        <is>
          <t>STATUS_ID</t>
        </is>
      </c>
      <c r="F1" s="6" t="inlineStr">
        <is>
          <t>EXTERNAL_REF</t>
        </is>
      </c>
      <c r="G1" s="6" t="inlineStr">
        <is>
          <t>NOTES</t>
        </is>
      </c>
    </row>
    <row r="2">
      <c r="A2" s="7" t="n"/>
      <c r="B2" s="10" t="n"/>
      <c r="C2" s="8" t="n"/>
      <c r="D2" s="12" t="n"/>
      <c r="E2" s="12" t="n"/>
      <c r="F2" s="10" t="n"/>
      <c r="G2" s="8" t="n"/>
    </row>
  </sheetData>
  <dataValidations count="2">
    <dataValidation sqref="D2:D5000" showDropDown="0" showInputMessage="0" showErrorMessage="1" allowBlank="1" errorTitle="Lookup FK" error="Value must exist in LKP_COUNTRY" type="list">
      <formula1>NR_COUNTRY_ID</formula1>
    </dataValidation>
    <dataValidation sqref="E2:E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3"/>
    <col width="14" customWidth="1" min="4" max="6"/>
    <col width="36" customWidth="1" min="7" max="7"/>
  </cols>
  <sheetData>
    <row r="1" ht="27.95" customHeight="1">
      <c r="A1" s="6" t="inlineStr">
        <is>
          <t>CUSTOMER_ID</t>
        </is>
      </c>
      <c r="B1" s="6" t="inlineStr">
        <is>
          <t>CUSTOMER_CODE</t>
        </is>
      </c>
      <c r="C1" s="6" t="inlineStr">
        <is>
          <t>CUSTOMER_NAME</t>
        </is>
      </c>
      <c r="D1" s="6" t="inlineStr">
        <is>
          <t>COUNTRY_ID</t>
        </is>
      </c>
      <c r="E1" s="6" t="inlineStr">
        <is>
          <t>STATUS_ID</t>
        </is>
      </c>
      <c r="F1" s="6" t="inlineStr">
        <is>
          <t>EXTERNAL_REF</t>
        </is>
      </c>
      <c r="G1" s="6" t="inlineStr">
        <is>
          <t>NOTES</t>
        </is>
      </c>
    </row>
    <row r="2">
      <c r="A2" s="7" t="n"/>
      <c r="B2" s="10" t="n"/>
      <c r="C2" s="8" t="n"/>
      <c r="D2" s="12" t="n"/>
      <c r="E2" s="12" t="n"/>
      <c r="F2" s="10" t="n"/>
      <c r="G2" s="8" t="n"/>
    </row>
  </sheetData>
  <dataValidations count="2">
    <dataValidation sqref="D2:D5000" showDropDown="0" showInputMessage="0" showErrorMessage="1" allowBlank="1" errorTitle="Lookup FK" error="Value must exist in LKP_COUNTRY" type="list">
      <formula1>NR_COUNTRY_ID</formula1>
    </dataValidation>
    <dataValidation sqref="E2:E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3"/>
    <col width="17" customWidth="1" min="4" max="4"/>
    <col width="14" customWidth="1" min="5" max="7"/>
  </cols>
  <sheetData>
    <row r="1" ht="27.95" customHeight="1">
      <c r="A1" s="6" t="inlineStr">
        <is>
          <t>PLANT_ID</t>
        </is>
      </c>
      <c r="B1" s="6" t="inlineStr">
        <is>
          <t>PLANT_CODE</t>
        </is>
      </c>
      <c r="C1" s="6" t="inlineStr">
        <is>
          <t>PLANT_NAME</t>
        </is>
      </c>
      <c r="D1" s="6" t="inlineStr">
        <is>
          <t>LEGAL_ENTITY_ID</t>
        </is>
      </c>
      <c r="E1" s="6" t="inlineStr">
        <is>
          <t>COUNTRY_ID</t>
        </is>
      </c>
      <c r="F1" s="6" t="inlineStr">
        <is>
          <t>STATUS_ID</t>
        </is>
      </c>
      <c r="G1" s="6" t="inlineStr">
        <is>
          <t>EXTERNAL_REF</t>
        </is>
      </c>
    </row>
    <row r="2">
      <c r="A2" s="19" t="inlineStr">
        <is>
          <t>1</t>
        </is>
      </c>
      <c r="B2" s="19" t="inlineStr">
        <is>
          <t>MANISA</t>
        </is>
      </c>
      <c r="C2" t="inlineStr">
        <is>
          <t>Manisa Plant</t>
        </is>
      </c>
      <c r="D2" s="19" t="inlineStr">
        <is>
          <t>1</t>
        </is>
      </c>
      <c r="E2" s="19" t="inlineStr">
        <is>
          <t>1</t>
        </is>
      </c>
      <c r="F2" s="19" t="inlineStr">
        <is>
          <t>2</t>
        </is>
      </c>
      <c r="G2" s="19" t="inlineStr">
        <is>
          <t>PLANT-01</t>
        </is>
      </c>
    </row>
  </sheetData>
  <dataValidations count="2">
    <dataValidation sqref="E2:E5000" showDropDown="0" showInputMessage="0" showErrorMessage="1" allowBlank="1" errorTitle="Lookup FK" error="Value must exist in LKP_COUNTRY" type="list">
      <formula1>NR_COUNTRY_ID</formula1>
    </dataValidation>
    <dataValidation sqref="F2:F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3"/>
    <col width="21" customWidth="1" min="4" max="4"/>
    <col width="14" customWidth="1" min="5" max="5"/>
    <col width="12" customWidth="1" min="6" max="8"/>
    <col width="14" customWidth="1" min="9" max="9"/>
    <col width="16" customWidth="1" min="10" max="10"/>
    <col width="14" customWidth="1" min="11" max="12"/>
    <col width="36" customWidth="1" min="13" max="13"/>
    <col width="12" customWidth="1" min="14" max="15"/>
  </cols>
  <sheetData>
    <row r="1" ht="27.95" customHeight="1">
      <c r="A1" s="6" t="inlineStr">
        <is>
          <t>PRODUCT_ID</t>
        </is>
      </c>
      <c r="B1" s="6" t="inlineStr">
        <is>
          <t>PRODUCT_CODE</t>
        </is>
      </c>
      <c r="C1" s="6" t="inlineStr">
        <is>
          <t>PRODUCT_NAME</t>
        </is>
      </c>
      <c r="D1" s="6" t="inlineStr">
        <is>
          <t>PRODUCT_CATEGORY_ID</t>
        </is>
      </c>
      <c r="E1" s="6" t="inlineStr">
        <is>
          <t>NET_WEIGHT_G</t>
        </is>
      </c>
      <c r="F1" s="6" t="inlineStr">
        <is>
          <t>LENGTH_MM</t>
        </is>
      </c>
      <c r="G1" s="6" t="inlineStr">
        <is>
          <t>WIDTH_MM</t>
        </is>
      </c>
      <c r="H1" s="6" t="inlineStr">
        <is>
          <t>HEIGHT_MM</t>
        </is>
      </c>
      <c r="I1" s="6" t="inlineStr">
        <is>
          <t>STATUS_ID</t>
        </is>
      </c>
      <c r="J1" s="6" t="inlineStr">
        <is>
          <t>EFFECTIVE_FROM</t>
        </is>
      </c>
      <c r="K1" s="6" t="inlineStr">
        <is>
          <t>EFFECTIVE_TO</t>
        </is>
      </c>
      <c r="L1" s="6" t="inlineStr">
        <is>
          <t>EXTERNAL_REF</t>
        </is>
      </c>
      <c r="M1" s="6" t="inlineStr">
        <is>
          <t>NOTES</t>
        </is>
      </c>
      <c r="N1" s="6" t="inlineStr">
        <is>
          <t>CREATED_AT</t>
        </is>
      </c>
      <c r="O1" s="6" t="inlineStr">
        <is>
          <t>UPDATED_AT</t>
        </is>
      </c>
    </row>
    <row r="2">
      <c r="A2" s="19" t="inlineStr">
        <is>
          <t>1</t>
        </is>
      </c>
      <c r="B2" s="19" t="inlineStr">
        <is>
          <t>1000069</t>
        </is>
      </c>
      <c r="C2" t="inlineStr">
        <is>
          <t>AKÜ,C-FLAT,DK,200AH,İNCİ SUPRA SENTOR</t>
        </is>
      </c>
      <c r="D2" s="19" t="inlineStr">
        <is>
          <t>1</t>
        </is>
      </c>
      <c r="E2" t="n">
        <v>0</v>
      </c>
      <c r="I2" s="19" t="inlineStr">
        <is>
          <t>2</t>
        </is>
      </c>
      <c r="J2" t="inlineStr">
        <is>
          <t>2026-08-08</t>
        </is>
      </c>
      <c r="L2" s="19" t="inlineStr">
        <is>
          <t>1000069</t>
        </is>
      </c>
      <c r="M2" t="inlineStr">
        <is>
          <t>STATUS=IN OEM / EU PACKAGE; SOURCE_CFG=IA-ST-CFG-0023; MARKET=None</t>
        </is>
      </c>
      <c r="N2" t="inlineStr">
        <is>
          <t>2026-08-10T19:29:54Z</t>
        </is>
      </c>
      <c r="O2" t="inlineStr">
        <is>
          <t>2026-08-10T19:29:54Z</t>
        </is>
      </c>
    </row>
    <row r="3">
      <c r="A3" s="19" t="inlineStr">
        <is>
          <t>2</t>
        </is>
      </c>
      <c r="B3" s="19" t="inlineStr">
        <is>
          <t>1000441</t>
        </is>
      </c>
      <c r="C3" t="inlineStr">
        <is>
          <t>AKÜ,A-FLAT,DK,120AH,EAS PRIDE,İÇ PYS</t>
        </is>
      </c>
      <c r="D3" s="19" t="inlineStr">
        <is>
          <t>1</t>
        </is>
      </c>
      <c r="E3" t="n">
        <v>0</v>
      </c>
      <c r="I3" s="19" t="inlineStr">
        <is>
          <t>2</t>
        </is>
      </c>
      <c r="J3" t="inlineStr">
        <is>
          <t>2026-08-08</t>
        </is>
      </c>
      <c r="L3" s="19" t="inlineStr">
        <is>
          <t>1000441</t>
        </is>
      </c>
      <c r="M3" t="inlineStr">
        <is>
          <t>STATUS=IN OEM / EU PACKAGE; SOURCE_CFG=IA-ST-CFG-0054; MARKET=YURT İÇİ AFM</t>
        </is>
      </c>
      <c r="N3" t="inlineStr">
        <is>
          <t>2026-08-10T19:29:54Z</t>
        </is>
      </c>
      <c r="O3" t="inlineStr">
        <is>
          <t>2026-08-10T19:29:54Z</t>
        </is>
      </c>
    </row>
    <row r="4">
      <c r="A4" s="19" t="inlineStr">
        <is>
          <t>3</t>
        </is>
      </c>
      <c r="B4" s="19" t="inlineStr">
        <is>
          <t>1000442</t>
        </is>
      </c>
      <c r="C4" t="inlineStr">
        <is>
          <t>AKÜ,A-FLAT,DK,135AH,EAS PRIDE,İÇ PYS</t>
        </is>
      </c>
      <c r="D4" s="19" t="inlineStr">
        <is>
          <t>1</t>
        </is>
      </c>
      <c r="E4" t="n">
        <v>0</v>
      </c>
      <c r="I4" s="19" t="inlineStr">
        <is>
          <t>2</t>
        </is>
      </c>
      <c r="J4" t="inlineStr">
        <is>
          <t>2026-08-08</t>
        </is>
      </c>
      <c r="L4" s="19" t="inlineStr">
        <is>
          <t>1000442</t>
        </is>
      </c>
      <c r="M4" t="inlineStr">
        <is>
          <t>STATUS=IN OEM / EU PACKAGE; SOURCE_CFG=IA-ST-CFG-0054; MARKET=YURT İÇİ AFM</t>
        </is>
      </c>
      <c r="N4" t="inlineStr">
        <is>
          <t>2026-08-10T19:29:54Z</t>
        </is>
      </c>
      <c r="O4" t="inlineStr">
        <is>
          <t>2026-08-10T19:29:54Z</t>
        </is>
      </c>
    </row>
    <row r="5">
      <c r="A5" s="19" t="inlineStr">
        <is>
          <t>4</t>
        </is>
      </c>
      <c r="B5" s="19" t="inlineStr">
        <is>
          <t>1000445</t>
        </is>
      </c>
      <c r="C5" t="inlineStr">
        <is>
          <t>AKÜ,B-FLAT,DK,180AH,EAS PRIDE,İÇ PYS</t>
        </is>
      </c>
      <c r="D5" s="19" t="inlineStr">
        <is>
          <t>1</t>
        </is>
      </c>
      <c r="E5" t="n">
        <v>0</v>
      </c>
      <c r="I5" s="19" t="inlineStr">
        <is>
          <t>2</t>
        </is>
      </c>
      <c r="J5" t="inlineStr">
        <is>
          <t>2026-08-08</t>
        </is>
      </c>
      <c r="L5" s="19" t="inlineStr">
        <is>
          <t>1000445</t>
        </is>
      </c>
      <c r="M5" t="inlineStr">
        <is>
          <t>STATUS=IN OEM / EU PACKAGE; SOURCE_CFG=IA-ST-CFG-0055; MARKET=YURT İÇİ AFM</t>
        </is>
      </c>
      <c r="N5" t="inlineStr">
        <is>
          <t>2026-08-10T19:29:54Z</t>
        </is>
      </c>
      <c r="O5" t="inlineStr">
        <is>
          <t>2026-08-10T19:29:54Z</t>
        </is>
      </c>
    </row>
    <row r="6">
      <c r="A6" s="19" t="inlineStr">
        <is>
          <t>5</t>
        </is>
      </c>
      <c r="B6" s="19" t="inlineStr">
        <is>
          <t>1000448</t>
        </is>
      </c>
      <c r="C6" t="inlineStr">
        <is>
          <t>AKÜ,C-FLAT,DK,200AH,EAS PRIDE,İÇ PYS</t>
        </is>
      </c>
      <c r="D6" s="19" t="inlineStr">
        <is>
          <t>1</t>
        </is>
      </c>
      <c r="E6" t="n">
        <v>0</v>
      </c>
      <c r="I6" s="19" t="inlineStr">
        <is>
          <t>2</t>
        </is>
      </c>
      <c r="J6" t="inlineStr">
        <is>
          <t>2026-08-08</t>
        </is>
      </c>
      <c r="L6" s="19" t="inlineStr">
        <is>
          <t>1000448</t>
        </is>
      </c>
      <c r="M6" t="inlineStr">
        <is>
          <t>STATUS=IN OEM / EU PACKAGE; SOURCE_CFG=IA-ST-CFG-0024; MARKET=YURT İÇİ AFM</t>
        </is>
      </c>
      <c r="N6" t="inlineStr">
        <is>
          <t>2026-08-10T19:29:54Z</t>
        </is>
      </c>
      <c r="O6" t="inlineStr">
        <is>
          <t>2026-08-10T19:29:54Z</t>
        </is>
      </c>
    </row>
    <row r="7">
      <c r="A7" s="19" t="inlineStr">
        <is>
          <t>6</t>
        </is>
      </c>
      <c r="B7" s="19" t="inlineStr">
        <is>
          <t>1000890</t>
        </is>
      </c>
      <c r="C7" t="inlineStr">
        <is>
          <t>AKÜ,A-FLAT,DK,120AH,İNCİ SUPRA SENTOR</t>
        </is>
      </c>
      <c r="D7" s="19" t="inlineStr">
        <is>
          <t>1</t>
        </is>
      </c>
      <c r="E7" t="n">
        <v>0</v>
      </c>
      <c r="I7" s="19" t="inlineStr">
        <is>
          <t>2</t>
        </is>
      </c>
      <c r="J7" t="inlineStr">
        <is>
          <t>2026-08-08</t>
        </is>
      </c>
      <c r="L7" s="19" t="inlineStr">
        <is>
          <t>1000890</t>
        </is>
      </c>
      <c r="M7" t="inlineStr">
        <is>
          <t>STATUS=IN OEM / EU PACKAGE; SOURCE_CFG=IA-ST-CFG-0051; MARKET=None</t>
        </is>
      </c>
      <c r="N7" t="inlineStr">
        <is>
          <t>2026-08-10T19:29:54Z</t>
        </is>
      </c>
      <c r="O7" t="inlineStr">
        <is>
          <t>2026-08-10T19:29:54Z</t>
        </is>
      </c>
    </row>
    <row r="8">
      <c r="A8" s="19" t="inlineStr">
        <is>
          <t>7</t>
        </is>
      </c>
      <c r="B8" s="19" t="inlineStr">
        <is>
          <t>1001102</t>
        </is>
      </c>
      <c r="C8" t="inlineStr">
        <is>
          <t>AKÜ,C-FLAT,DK,225AH,EAS PRIDE,İÇ PYS</t>
        </is>
      </c>
      <c r="D8" s="19" t="inlineStr">
        <is>
          <t>1</t>
        </is>
      </c>
      <c r="E8" t="n">
        <v>0</v>
      </c>
      <c r="I8" s="19" t="inlineStr">
        <is>
          <t>2</t>
        </is>
      </c>
      <c r="J8" t="inlineStr">
        <is>
          <t>2026-08-08</t>
        </is>
      </c>
      <c r="L8" s="19" t="inlineStr">
        <is>
          <t>1001102</t>
        </is>
      </c>
      <c r="M8" t="inlineStr">
        <is>
          <t>STATUS=IN OEM / EU PACKAGE; SOURCE_CFG=IA-ST-CFG-0024; MARKET=YURT İÇİ AFM</t>
        </is>
      </c>
      <c r="N8" t="inlineStr">
        <is>
          <t>2026-08-10T19:29:54Z</t>
        </is>
      </c>
      <c r="O8" t="inlineStr">
        <is>
          <t>2026-08-10T19:29:54Z</t>
        </is>
      </c>
    </row>
    <row r="9">
      <c r="A9" s="19" t="inlineStr">
        <is>
          <t>8</t>
        </is>
      </c>
      <c r="B9" s="19" t="inlineStr">
        <is>
          <t>1002103</t>
        </is>
      </c>
      <c r="C9" t="inlineStr">
        <is>
          <t>AKÜ,TRAKTÖRL,DK,115AH,EAS PRIDE,İÇ PYS</t>
        </is>
      </c>
      <c r="D9" s="19" t="inlineStr">
        <is>
          <t>1</t>
        </is>
      </c>
      <c r="E9" t="n">
        <v>0</v>
      </c>
      <c r="I9" s="19" t="inlineStr">
        <is>
          <t>2</t>
        </is>
      </c>
      <c r="J9" t="inlineStr">
        <is>
          <t>2026-08-08</t>
        </is>
      </c>
      <c r="L9" s="19" t="inlineStr">
        <is>
          <t>1002103</t>
        </is>
      </c>
      <c r="M9" t="inlineStr">
        <is>
          <t>STATUS=IN OEM / EU PACKAGE; SOURCE_CFG=IA-ST-CFG-0097; MARKET=YURT İÇİ AFM</t>
        </is>
      </c>
      <c r="N9" t="inlineStr">
        <is>
          <t>2026-08-10T19:29:54Z</t>
        </is>
      </c>
      <c r="O9" t="inlineStr">
        <is>
          <t>2026-08-10T19:29:54Z</t>
        </is>
      </c>
    </row>
    <row r="10">
      <c r="A10" s="19" t="inlineStr">
        <is>
          <t>9</t>
        </is>
      </c>
      <c r="B10" s="19" t="inlineStr">
        <is>
          <t>1002104</t>
        </is>
      </c>
      <c r="C10" t="inlineStr">
        <is>
          <t>AKÜ,TRAKTÖR,DK,125AH,EAS PRIDE,İÇ PYS</t>
        </is>
      </c>
      <c r="D10" s="19" t="inlineStr">
        <is>
          <t>1</t>
        </is>
      </c>
      <c r="E10" t="n">
        <v>0</v>
      </c>
      <c r="I10" s="19" t="inlineStr">
        <is>
          <t>2</t>
        </is>
      </c>
      <c r="J10" t="inlineStr">
        <is>
          <t>2026-08-08</t>
        </is>
      </c>
      <c r="L10" s="19" t="inlineStr">
        <is>
          <t>1002104</t>
        </is>
      </c>
      <c r="M10" t="inlineStr">
        <is>
          <t>STATUS=IN OEM / EU PACKAGE; SOURCE_CFG=IA-ST-CFG-0097; MARKET=YURT İÇİ AFM</t>
        </is>
      </c>
      <c r="N10" t="inlineStr">
        <is>
          <t>2026-08-10T19:29:54Z</t>
        </is>
      </c>
      <c r="O10" t="inlineStr">
        <is>
          <t>2026-08-10T19:29:54Z</t>
        </is>
      </c>
    </row>
    <row r="11">
      <c r="A11" s="19" t="inlineStr">
        <is>
          <t>10</t>
        </is>
      </c>
      <c r="B11" s="19" t="inlineStr">
        <is>
          <t>1002216</t>
        </is>
      </c>
      <c r="C11" t="inlineStr">
        <is>
          <t>AKÜ,B-FLAT,DK,180AH,İNCİ SUPRA,EEC MISIR</t>
        </is>
      </c>
      <c r="D11" s="19" t="inlineStr">
        <is>
          <t>1</t>
        </is>
      </c>
      <c r="E11" t="n">
        <v>0</v>
      </c>
      <c r="I11" s="19" t="inlineStr">
        <is>
          <t>2</t>
        </is>
      </c>
      <c r="J11" t="inlineStr">
        <is>
          <t>2026-08-08</t>
        </is>
      </c>
      <c r="L11" s="19" t="inlineStr">
        <is>
          <t>1002216</t>
        </is>
      </c>
      <c r="M11" t="inlineStr">
        <is>
          <t>STATUS=IN OEM / EU PACKAGE; SOURCE_CFG=IA-ST-CFG-0052; MARKET=MISIR EEC</t>
        </is>
      </c>
      <c r="N11" t="inlineStr">
        <is>
          <t>2026-08-10T19:29:54Z</t>
        </is>
      </c>
      <c r="O11" t="inlineStr">
        <is>
          <t>2026-08-10T19:29:54Z</t>
        </is>
      </c>
    </row>
    <row r="12">
      <c r="A12" s="19" t="inlineStr">
        <is>
          <t>11</t>
        </is>
      </c>
      <c r="B12" s="19" t="inlineStr">
        <is>
          <t>1002422</t>
        </is>
      </c>
      <c r="C12" t="inlineStr">
        <is>
          <t>AKÜ,B-FLAT,DK,170AH,HUGEL ACTION</t>
        </is>
      </c>
      <c r="D12" s="19" t="inlineStr">
        <is>
          <t>1</t>
        </is>
      </c>
      <c r="E12" t="n">
        <v>0</v>
      </c>
      <c r="I12" s="19" t="inlineStr">
        <is>
          <t>2</t>
        </is>
      </c>
      <c r="J12" t="inlineStr">
        <is>
          <t>2026-08-08</t>
        </is>
      </c>
      <c r="L12" s="19" t="inlineStr">
        <is>
          <t>1002422</t>
        </is>
      </c>
      <c r="M12" t="inlineStr">
        <is>
          <t>STATUS=IN OEM / EU PACKAGE; SOURCE_CFG=IA-ST-CFG-0052; MARKET=None</t>
        </is>
      </c>
      <c r="N12" t="inlineStr">
        <is>
          <t>2026-08-10T19:29:54Z</t>
        </is>
      </c>
      <c r="O12" t="inlineStr">
        <is>
          <t>2026-08-10T19:29:54Z</t>
        </is>
      </c>
    </row>
    <row r="13">
      <c r="A13" s="19" t="inlineStr">
        <is>
          <t>12</t>
        </is>
      </c>
      <c r="B13" s="19" t="inlineStr">
        <is>
          <t>1002873</t>
        </is>
      </c>
      <c r="C13" t="inlineStr">
        <is>
          <t>AKÜ,A-FLAT,DK,135AH,HUGEL ACTION</t>
        </is>
      </c>
      <c r="D13" s="19" t="inlineStr">
        <is>
          <t>1</t>
        </is>
      </c>
      <c r="E13" t="n">
        <v>0</v>
      </c>
      <c r="I13" s="19" t="inlineStr">
        <is>
          <t>2</t>
        </is>
      </c>
      <c r="J13" t="inlineStr">
        <is>
          <t>2026-08-08</t>
        </is>
      </c>
      <c r="L13" s="19" t="inlineStr">
        <is>
          <t>1002873</t>
        </is>
      </c>
      <c r="M13" t="inlineStr">
        <is>
          <t>STATUS=IN OEM / EU PACKAGE; SOURCE_CFG=IA-ST-CFG-0051; MARKET=None</t>
        </is>
      </c>
      <c r="N13" t="inlineStr">
        <is>
          <t>2026-08-10T19:29:54Z</t>
        </is>
      </c>
      <c r="O13" t="inlineStr">
        <is>
          <t>2026-08-10T19:29:54Z</t>
        </is>
      </c>
    </row>
    <row r="14">
      <c r="A14" s="19" t="inlineStr">
        <is>
          <t>13</t>
        </is>
      </c>
      <c r="B14" s="19" t="inlineStr">
        <is>
          <t>1003150</t>
        </is>
      </c>
      <c r="C14" t="inlineStr">
        <is>
          <t>AKÜ,A-FLAT,DK,135AH,İNCİ,SUPRA SENTOR</t>
        </is>
      </c>
      <c r="D14" s="19" t="inlineStr">
        <is>
          <t>1</t>
        </is>
      </c>
      <c r="E14" t="n">
        <v>0</v>
      </c>
      <c r="I14" s="19" t="inlineStr">
        <is>
          <t>2</t>
        </is>
      </c>
      <c r="J14" t="inlineStr">
        <is>
          <t>2026-08-08</t>
        </is>
      </c>
      <c r="L14" s="19" t="inlineStr">
        <is>
          <t>1003150</t>
        </is>
      </c>
      <c r="M14" t="inlineStr">
        <is>
          <t>STATUS=IN OEM / EU PACKAGE; SOURCE_CFG=IA-ST-CFG-0051; MARKET=None</t>
        </is>
      </c>
      <c r="N14" t="inlineStr">
        <is>
          <t>2026-08-10T19:29:54Z</t>
        </is>
      </c>
      <c r="O14" t="inlineStr">
        <is>
          <t>2026-08-10T19:29:54Z</t>
        </is>
      </c>
    </row>
    <row r="15">
      <c r="A15" s="19" t="inlineStr">
        <is>
          <t>14</t>
        </is>
      </c>
      <c r="B15" s="19" t="inlineStr">
        <is>
          <t>1003275</t>
        </is>
      </c>
      <c r="C15" t="inlineStr">
        <is>
          <t>AKÜ,C-FLAT,DK,240AH,İNCİ SUPRA SENTOR</t>
        </is>
      </c>
      <c r="D15" s="19" t="inlineStr">
        <is>
          <t>1</t>
        </is>
      </c>
      <c r="E15" t="n">
        <v>0</v>
      </c>
      <c r="I15" s="19" t="inlineStr">
        <is>
          <t>2</t>
        </is>
      </c>
      <c r="J15" t="inlineStr">
        <is>
          <t>2026-08-08</t>
        </is>
      </c>
      <c r="L15" s="19" t="inlineStr">
        <is>
          <t>1003275</t>
        </is>
      </c>
      <c r="M15" t="inlineStr">
        <is>
          <t>STATUS=IN OEM / EU PACKAGE; SOURCE_CFG=IA-ST-CFG-0023; MARKET=None</t>
        </is>
      </c>
      <c r="N15" t="inlineStr">
        <is>
          <t>2026-08-10T19:29:54Z</t>
        </is>
      </c>
      <c r="O15" t="inlineStr">
        <is>
          <t>2026-08-10T19:29:54Z</t>
        </is>
      </c>
    </row>
    <row r="16">
      <c r="A16" s="19" t="inlineStr">
        <is>
          <t>15</t>
        </is>
      </c>
      <c r="B16" s="19" t="inlineStr">
        <is>
          <t>1003330</t>
        </is>
      </c>
      <c r="C16" t="inlineStr">
        <is>
          <t>AKÜ,B-FLAT,DK,180AH,HUGEL ACTION</t>
        </is>
      </c>
      <c r="D16" s="19" t="inlineStr">
        <is>
          <t>1</t>
        </is>
      </c>
      <c r="E16" t="n">
        <v>0</v>
      </c>
      <c r="I16" s="19" t="inlineStr">
        <is>
          <t>2</t>
        </is>
      </c>
      <c r="J16" t="inlineStr">
        <is>
          <t>2026-08-08</t>
        </is>
      </c>
      <c r="L16" s="19" t="inlineStr">
        <is>
          <t>1003330</t>
        </is>
      </c>
      <c r="M16" t="inlineStr">
        <is>
          <t>STATUS=IN OEM / EU PACKAGE; SOURCE_CFG=IA-ST-CFG-0052; MARKET=None</t>
        </is>
      </c>
      <c r="N16" t="inlineStr">
        <is>
          <t>2026-08-10T19:29:54Z</t>
        </is>
      </c>
      <c r="O16" t="inlineStr">
        <is>
          <t>2026-08-10T19:29:54Z</t>
        </is>
      </c>
    </row>
    <row r="17">
      <c r="A17" s="19" t="inlineStr">
        <is>
          <t>16</t>
        </is>
      </c>
      <c r="B17" s="19" t="inlineStr">
        <is>
          <t>1003332</t>
        </is>
      </c>
      <c r="C17" t="inlineStr">
        <is>
          <t>AKÜ,B-FLAT,DK,180AH,HUGEL ACTION</t>
        </is>
      </c>
      <c r="D17" s="19" t="inlineStr">
        <is>
          <t>1</t>
        </is>
      </c>
      <c r="E17" t="n">
        <v>0</v>
      </c>
      <c r="I17" s="19" t="inlineStr">
        <is>
          <t>2</t>
        </is>
      </c>
      <c r="J17" t="inlineStr">
        <is>
          <t>2026-08-08</t>
        </is>
      </c>
      <c r="L17" s="19" t="inlineStr">
        <is>
          <t>1003332</t>
        </is>
      </c>
      <c r="M17" t="inlineStr">
        <is>
          <t>STATUS=IN OEM / EU PACKAGE; SOURCE_CFG=IA-ST-CFG-0052; MARKET=None</t>
        </is>
      </c>
      <c r="N17" t="inlineStr">
        <is>
          <t>2026-08-10T19:29:54Z</t>
        </is>
      </c>
      <c r="O17" t="inlineStr">
        <is>
          <t>2026-08-10T19:29:54Z</t>
        </is>
      </c>
    </row>
    <row r="18">
      <c r="A18" s="19" t="inlineStr">
        <is>
          <t>17</t>
        </is>
      </c>
      <c r="B18" s="19" t="inlineStr">
        <is>
          <t>1003341</t>
        </is>
      </c>
      <c r="C18" t="inlineStr">
        <is>
          <t>AKÜ,A-FLAT,DK,120AH,HUGEL ACTION</t>
        </is>
      </c>
      <c r="D18" s="19" t="inlineStr">
        <is>
          <t>1</t>
        </is>
      </c>
      <c r="E18" t="n">
        <v>0</v>
      </c>
      <c r="I18" s="19" t="inlineStr">
        <is>
          <t>2</t>
        </is>
      </c>
      <c r="J18" t="inlineStr">
        <is>
          <t>2026-08-08</t>
        </is>
      </c>
      <c r="L18" s="19" t="inlineStr">
        <is>
          <t>1003341</t>
        </is>
      </c>
      <c r="M18" t="inlineStr">
        <is>
          <t>STATUS=IN OEM / EU PACKAGE; SOURCE_CFG=IA-ST-CFG-0051; MARKET=None</t>
        </is>
      </c>
      <c r="N18" t="inlineStr">
        <is>
          <t>2026-08-10T19:29:54Z</t>
        </is>
      </c>
      <c r="O18" t="inlineStr">
        <is>
          <t>2026-08-10T19:29:54Z</t>
        </is>
      </c>
    </row>
    <row r="19">
      <c r="A19" s="19" t="inlineStr">
        <is>
          <t>18</t>
        </is>
      </c>
      <c r="B19" s="19" t="inlineStr">
        <is>
          <t>1003383</t>
        </is>
      </c>
      <c r="C19" t="inlineStr">
        <is>
          <t>AKÜ,C-FLAT,DK,200AH,HUGEL ACTION</t>
        </is>
      </c>
      <c r="D19" s="19" t="inlineStr">
        <is>
          <t>1</t>
        </is>
      </c>
      <c r="E19" t="n">
        <v>0</v>
      </c>
      <c r="I19" s="19" t="inlineStr">
        <is>
          <t>2</t>
        </is>
      </c>
      <c r="J19" t="inlineStr">
        <is>
          <t>2026-08-08</t>
        </is>
      </c>
      <c r="L19" s="19" t="inlineStr">
        <is>
          <t>1003383</t>
        </is>
      </c>
      <c r="M19" t="inlineStr">
        <is>
          <t>STATUS=IN OEM / EU PACKAGE; SOURCE_CFG=IA-ST-CFG-0023; MARKET=None</t>
        </is>
      </c>
      <c r="N19" t="inlineStr">
        <is>
          <t>2026-08-10T19:29:54Z</t>
        </is>
      </c>
      <c r="O19" t="inlineStr">
        <is>
          <t>2026-08-10T19:29:54Z</t>
        </is>
      </c>
    </row>
    <row r="20">
      <c r="A20" s="19" t="inlineStr">
        <is>
          <t>19</t>
        </is>
      </c>
      <c r="B20" s="19" t="inlineStr">
        <is>
          <t>1003403</t>
        </is>
      </c>
      <c r="C20" t="inlineStr">
        <is>
          <t>AKÜ,C-FLAT,DK,240AH,EAS PRIDE,İÇ PYS</t>
        </is>
      </c>
      <c r="D20" s="19" t="inlineStr">
        <is>
          <t>1</t>
        </is>
      </c>
      <c r="E20" t="n">
        <v>0</v>
      </c>
      <c r="I20" s="19" t="inlineStr">
        <is>
          <t>2</t>
        </is>
      </c>
      <c r="J20" t="inlineStr">
        <is>
          <t>2026-08-08</t>
        </is>
      </c>
      <c r="L20" s="19" t="inlineStr">
        <is>
          <t>1003403</t>
        </is>
      </c>
      <c r="M20" t="inlineStr">
        <is>
          <t>STATUS=IN OEM / EU PACKAGE; SOURCE_CFG=IA-ST-CFG-0024; MARKET=YURT İÇİ AFM</t>
        </is>
      </c>
      <c r="N20" t="inlineStr">
        <is>
          <t>2026-08-10T19:29:54Z</t>
        </is>
      </c>
      <c r="O20" t="inlineStr">
        <is>
          <t>2026-08-10T19:29:54Z</t>
        </is>
      </c>
    </row>
    <row r="21">
      <c r="A21" s="19" t="inlineStr">
        <is>
          <t>20</t>
        </is>
      </c>
      <c r="B21" s="19" t="inlineStr">
        <is>
          <t>1003539</t>
        </is>
      </c>
      <c r="C21" t="inlineStr">
        <is>
          <t>AKÜ,B-FLAT,DK,180AH,EAS PRIDE</t>
        </is>
      </c>
      <c r="D21" s="19" t="inlineStr">
        <is>
          <t>1</t>
        </is>
      </c>
      <c r="E21" t="n">
        <v>0</v>
      </c>
      <c r="I21" s="19" t="inlineStr">
        <is>
          <t>2</t>
        </is>
      </c>
      <c r="J21" t="inlineStr">
        <is>
          <t>2026-08-08</t>
        </is>
      </c>
      <c r="L21" s="19" t="inlineStr">
        <is>
          <t>1003539</t>
        </is>
      </c>
      <c r="M21" t="inlineStr">
        <is>
          <t>STATUS=IN OEM / EU PACKAGE; SOURCE_CFG=IA-ST-CFG-0052; MARKET=None</t>
        </is>
      </c>
      <c r="N21" t="inlineStr">
        <is>
          <t>2026-08-10T19:29:54Z</t>
        </is>
      </c>
      <c r="O21" t="inlineStr">
        <is>
          <t>2026-08-10T19:29:54Z</t>
        </is>
      </c>
    </row>
    <row r="22">
      <c r="A22" s="19" t="inlineStr">
        <is>
          <t>21</t>
        </is>
      </c>
      <c r="B22" s="19" t="inlineStr">
        <is>
          <t>1003643</t>
        </is>
      </c>
      <c r="C22" t="inlineStr">
        <is>
          <t>AKÜ,B-FLAT,DK,180AH,HUGEL ACTION,EURO</t>
        </is>
      </c>
      <c r="D22" s="19" t="inlineStr">
        <is>
          <t>1</t>
        </is>
      </c>
      <c r="E22" t="n">
        <v>0</v>
      </c>
      <c r="I22" s="19" t="inlineStr">
        <is>
          <t>2</t>
        </is>
      </c>
      <c r="J22" t="inlineStr">
        <is>
          <t>2026-08-08</t>
        </is>
      </c>
      <c r="L22" s="19" t="inlineStr">
        <is>
          <t>1003643</t>
        </is>
      </c>
      <c r="M22" t="inlineStr">
        <is>
          <t>STATUS=IN OEM / EU PACKAGE; SOURCE_CFG=IA-ST-CFG-0029; MARKET=None</t>
        </is>
      </c>
      <c r="N22" t="inlineStr">
        <is>
          <t>2026-08-10T19:29:54Z</t>
        </is>
      </c>
      <c r="O22" t="inlineStr">
        <is>
          <t>2026-08-10T19:29:54Z</t>
        </is>
      </c>
    </row>
    <row r="23">
      <c r="A23" s="19" t="inlineStr">
        <is>
          <t>22</t>
        </is>
      </c>
      <c r="B23" s="19" t="inlineStr">
        <is>
          <t>1003800</t>
        </is>
      </c>
      <c r="C23" t="inlineStr">
        <is>
          <t>AKÜ,B-FLAT,DK,180AH,BLİZZARO TRENDLINE</t>
        </is>
      </c>
      <c r="D23" s="19" t="inlineStr">
        <is>
          <t>1</t>
        </is>
      </c>
      <c r="E23" t="n">
        <v>0</v>
      </c>
      <c r="I23" s="19" t="inlineStr">
        <is>
          <t>2</t>
        </is>
      </c>
      <c r="J23" t="inlineStr">
        <is>
          <t>2026-08-08</t>
        </is>
      </c>
      <c r="L23" s="19" t="inlineStr">
        <is>
          <t>1003800</t>
        </is>
      </c>
      <c r="M23" t="inlineStr">
        <is>
          <t>STATUS=IN OEM / EU PACKAGE; SOURCE_CFG=IA-ST-CFG-0052; MARKET=None</t>
        </is>
      </c>
      <c r="N23" t="inlineStr">
        <is>
          <t>2026-08-10T19:29:54Z</t>
        </is>
      </c>
      <c r="O23" t="inlineStr">
        <is>
          <t>2026-08-10T19:29:54Z</t>
        </is>
      </c>
    </row>
    <row r="24">
      <c r="A24" s="19" t="inlineStr">
        <is>
          <t>23</t>
        </is>
      </c>
      <c r="B24" s="19" t="inlineStr">
        <is>
          <t>1003973</t>
        </is>
      </c>
      <c r="C24" t="inlineStr">
        <is>
          <t>AKÜ,TRAKTÖRL,DK,105AH,EAS PRIDE,İÇ PYS</t>
        </is>
      </c>
      <c r="D24" s="19" t="inlineStr">
        <is>
          <t>1</t>
        </is>
      </c>
      <c r="E24" t="n">
        <v>0</v>
      </c>
      <c r="I24" s="19" t="inlineStr">
        <is>
          <t>2</t>
        </is>
      </c>
      <c r="J24" t="inlineStr">
        <is>
          <t>2026-08-08</t>
        </is>
      </c>
      <c r="L24" s="19" t="inlineStr">
        <is>
          <t>1003973</t>
        </is>
      </c>
      <c r="M24" t="inlineStr">
        <is>
          <t>STATUS=IN OEM / EU PACKAGE; SOURCE_CFG=IA-ST-CFG-0097; MARKET=YURT İÇİ AFM</t>
        </is>
      </c>
      <c r="N24" t="inlineStr">
        <is>
          <t>2026-08-10T19:29:54Z</t>
        </is>
      </c>
      <c r="O24" t="inlineStr">
        <is>
          <t>2026-08-10T19:29:54Z</t>
        </is>
      </c>
    </row>
    <row r="25">
      <c r="A25" s="19" t="inlineStr">
        <is>
          <t>24</t>
        </is>
      </c>
      <c r="B25" s="19" t="inlineStr">
        <is>
          <t>1003974</t>
        </is>
      </c>
      <c r="C25" t="inlineStr">
        <is>
          <t>AKÜ,TRACTORL,DK,105AH,BLIZZTRENDL,JANENE</t>
        </is>
      </c>
      <c r="D25" s="19" t="inlineStr">
        <is>
          <t>1</t>
        </is>
      </c>
      <c r="E25" t="n">
        <v>0</v>
      </c>
      <c r="I25" s="19" t="inlineStr">
        <is>
          <t>2</t>
        </is>
      </c>
      <c r="J25" t="inlineStr">
        <is>
          <t>2026-08-08</t>
        </is>
      </c>
      <c r="L25" s="19" t="inlineStr">
        <is>
          <t>1003974</t>
        </is>
      </c>
      <c r="M25" t="inlineStr">
        <is>
          <t>STATUS=IN OEM / EU PACKAGE; SOURCE_CFG=IA-ST-CFG-0093; MARKET=JANENE İSRAİL</t>
        </is>
      </c>
      <c r="N25" t="inlineStr">
        <is>
          <t>2026-08-10T19:29:54Z</t>
        </is>
      </c>
      <c r="O25" t="inlineStr">
        <is>
          <t>2026-08-10T19:29:54Z</t>
        </is>
      </c>
    </row>
    <row r="26">
      <c r="A26" s="19" t="inlineStr">
        <is>
          <t>25</t>
        </is>
      </c>
      <c r="B26" s="19" t="inlineStr">
        <is>
          <t>1003977</t>
        </is>
      </c>
      <c r="C26" t="inlineStr">
        <is>
          <t>AKÜ,TRACTORL,DK,105AH,İNCİ SUPRA SENTOR</t>
        </is>
      </c>
      <c r="D26" s="19" t="inlineStr">
        <is>
          <t>1</t>
        </is>
      </c>
      <c r="E26" t="n">
        <v>0</v>
      </c>
      <c r="I26" s="19" t="inlineStr">
        <is>
          <t>2</t>
        </is>
      </c>
      <c r="J26" t="inlineStr">
        <is>
          <t>2026-08-08</t>
        </is>
      </c>
      <c r="L26" s="19" t="inlineStr">
        <is>
          <t>1003977</t>
        </is>
      </c>
      <c r="M26" t="inlineStr">
        <is>
          <t>STATUS=IN OEM / EU PACKAGE; SOURCE_CFG=IA-ST-CFG-0093; MARKET=None</t>
        </is>
      </c>
      <c r="N26" t="inlineStr">
        <is>
          <t>2026-08-10T19:29:54Z</t>
        </is>
      </c>
      <c r="O26" t="inlineStr">
        <is>
          <t>2026-08-10T19:29:54Z</t>
        </is>
      </c>
    </row>
    <row r="27">
      <c r="A27" s="19" t="inlineStr">
        <is>
          <t>26</t>
        </is>
      </c>
      <c r="B27" s="19" t="inlineStr">
        <is>
          <t>1004031</t>
        </is>
      </c>
      <c r="C27" t="inlineStr">
        <is>
          <t>AKÜ,B-FLAT,DK,150AH,EAS PRIDE,İÇ PYS</t>
        </is>
      </c>
      <c r="D27" s="19" t="inlineStr">
        <is>
          <t>1</t>
        </is>
      </c>
      <c r="E27" t="n">
        <v>0</v>
      </c>
      <c r="I27" s="19" t="inlineStr">
        <is>
          <t>2</t>
        </is>
      </c>
      <c r="J27" t="inlineStr">
        <is>
          <t>2026-08-08</t>
        </is>
      </c>
      <c r="L27" s="19" t="inlineStr">
        <is>
          <t>1004031</t>
        </is>
      </c>
      <c r="M27" t="inlineStr">
        <is>
          <t>STATUS=IN OEM / EU PACKAGE; SOURCE_CFG=IA-ST-CFG-0055; MARKET=YURT İÇİ AFM</t>
        </is>
      </c>
      <c r="N27" t="inlineStr">
        <is>
          <t>2026-08-10T19:29:54Z</t>
        </is>
      </c>
      <c r="O27" t="inlineStr">
        <is>
          <t>2026-08-10T19:29:54Z</t>
        </is>
      </c>
    </row>
    <row r="28">
      <c r="A28" s="19" t="inlineStr">
        <is>
          <t>27</t>
        </is>
      </c>
      <c r="B28" s="19" t="inlineStr">
        <is>
          <t>1004037</t>
        </is>
      </c>
      <c r="C28" t="inlineStr">
        <is>
          <t>AKÜ SULU,B-EX,150AH,HUGEL</t>
        </is>
      </c>
      <c r="D28" s="19" t="inlineStr">
        <is>
          <t>1</t>
        </is>
      </c>
      <c r="E28" t="n">
        <v>0</v>
      </c>
      <c r="I28" s="19" t="inlineStr">
        <is>
          <t>2</t>
        </is>
      </c>
      <c r="J28" t="inlineStr">
        <is>
          <t>2026-08-08</t>
        </is>
      </c>
      <c r="L28" s="19" t="inlineStr">
        <is>
          <t>1004037</t>
        </is>
      </c>
      <c r="M28" t="inlineStr">
        <is>
          <t>STATUS=IN OEM / EU PACKAGE; SOURCE_CFG=IA-ST-CFG-0052; MARKET=None</t>
        </is>
      </c>
      <c r="N28" t="inlineStr">
        <is>
          <t>2026-08-10T19:29:54Z</t>
        </is>
      </c>
      <c r="O28" t="inlineStr">
        <is>
          <t>2026-08-10T19:29:54Z</t>
        </is>
      </c>
    </row>
    <row r="29">
      <c r="A29" s="19" t="inlineStr">
        <is>
          <t>28</t>
        </is>
      </c>
      <c r="B29" s="19" t="inlineStr">
        <is>
          <t>1004067</t>
        </is>
      </c>
      <c r="C29" t="inlineStr">
        <is>
          <t>AKÜ,B-FLAT,DK,152AH,HUGEL ACTION,SHAWKAT</t>
        </is>
      </c>
      <c r="D29" s="19" t="inlineStr">
        <is>
          <t>1</t>
        </is>
      </c>
      <c r="E29" t="n">
        <v>0</v>
      </c>
      <c r="I29" s="19" t="inlineStr">
        <is>
          <t>2</t>
        </is>
      </c>
      <c r="J29" t="inlineStr">
        <is>
          <t>2026-08-08</t>
        </is>
      </c>
      <c r="L29" s="19" t="inlineStr">
        <is>
          <t>1004067</t>
        </is>
      </c>
      <c r="M29" t="inlineStr">
        <is>
          <t>STATUS=IN OEM / EU PACKAGE; SOURCE_CFG=IA-ST-CFG-0052; MARKET=SHAWKAT</t>
        </is>
      </c>
      <c r="N29" t="inlineStr">
        <is>
          <t>2026-08-10T19:29:54Z</t>
        </is>
      </c>
      <c r="O29" t="inlineStr">
        <is>
          <t>2026-08-10T19:29:54Z</t>
        </is>
      </c>
    </row>
    <row r="30">
      <c r="A30" s="19" t="inlineStr">
        <is>
          <t>29</t>
        </is>
      </c>
      <c r="B30" s="19" t="inlineStr">
        <is>
          <t>1004234</t>
        </is>
      </c>
      <c r="C30" t="inlineStr">
        <is>
          <t>AKÜ,B-FLAT,DK,165AH EAS PRIDE,İÇ PYS</t>
        </is>
      </c>
      <c r="D30" s="19" t="inlineStr">
        <is>
          <t>1</t>
        </is>
      </c>
      <c r="E30" t="n">
        <v>0</v>
      </c>
      <c r="I30" s="19" t="inlineStr">
        <is>
          <t>2</t>
        </is>
      </c>
      <c r="J30" t="inlineStr">
        <is>
          <t>2026-08-08</t>
        </is>
      </c>
      <c r="L30" s="19" t="inlineStr">
        <is>
          <t>1004234</t>
        </is>
      </c>
      <c r="M30" t="inlineStr">
        <is>
          <t>STATUS=IN OEM / EU PACKAGE; SOURCE_CFG=IA-ST-CFG-0055; MARKET=YURT İÇİ AFM</t>
        </is>
      </c>
      <c r="N30" t="inlineStr">
        <is>
          <t>2026-08-10T19:29:54Z</t>
        </is>
      </c>
      <c r="O30" t="inlineStr">
        <is>
          <t>2026-08-10T19:29:54Z</t>
        </is>
      </c>
    </row>
    <row r="31">
      <c r="A31" s="19" t="inlineStr">
        <is>
          <t>30</t>
        </is>
      </c>
      <c r="B31" s="19" t="inlineStr">
        <is>
          <t>1004293</t>
        </is>
      </c>
      <c r="C31" t="inlineStr">
        <is>
          <t>AKÜ,A-FLAT,DK,135AH,HUGEL ACTION,İÇ PYS</t>
        </is>
      </c>
      <c r="D31" s="19" t="inlineStr">
        <is>
          <t>1</t>
        </is>
      </c>
      <c r="E31" t="n">
        <v>0</v>
      </c>
      <c r="I31" s="19" t="inlineStr">
        <is>
          <t>2</t>
        </is>
      </c>
      <c r="J31" t="inlineStr">
        <is>
          <t>2026-08-08</t>
        </is>
      </c>
      <c r="L31" s="19" t="inlineStr">
        <is>
          <t>1004293</t>
        </is>
      </c>
      <c r="M31" t="inlineStr">
        <is>
          <t>STATUS=IN OEM / EU PACKAGE; SOURCE_CFG=IA-ST-CFG-0054; MARKET=YURT İÇİ AFM</t>
        </is>
      </c>
      <c r="N31" t="inlineStr">
        <is>
          <t>2026-08-10T19:29:54Z</t>
        </is>
      </c>
      <c r="O31" t="inlineStr">
        <is>
          <t>2026-08-10T19:29:54Z</t>
        </is>
      </c>
    </row>
    <row r="32">
      <c r="A32" s="19" t="inlineStr">
        <is>
          <t>31</t>
        </is>
      </c>
      <c r="B32" s="19" t="inlineStr">
        <is>
          <t>1004297</t>
        </is>
      </c>
      <c r="C32" t="inlineStr">
        <is>
          <t>AKÜ,B-FLAT,DK,180AH,HUGEL ACTION,İÇ PYS</t>
        </is>
      </c>
      <c r="D32" s="19" t="inlineStr">
        <is>
          <t>1</t>
        </is>
      </c>
      <c r="E32" t="n">
        <v>0</v>
      </c>
      <c r="I32" s="19" t="inlineStr">
        <is>
          <t>2</t>
        </is>
      </c>
      <c r="J32" t="inlineStr">
        <is>
          <t>2026-08-08</t>
        </is>
      </c>
      <c r="L32" s="19" t="inlineStr">
        <is>
          <t>1004297</t>
        </is>
      </c>
      <c r="M32" t="inlineStr">
        <is>
          <t>STATUS=IN OEM / EU PACKAGE; SOURCE_CFG=IA-ST-CFG-0055; MARKET=YURT İÇİ AFM</t>
        </is>
      </c>
      <c r="N32" t="inlineStr">
        <is>
          <t>2026-08-10T19:29:54Z</t>
        </is>
      </c>
      <c r="O32" t="inlineStr">
        <is>
          <t>2026-08-10T19:29:54Z</t>
        </is>
      </c>
    </row>
    <row r="33">
      <c r="A33" s="19" t="inlineStr">
        <is>
          <t>32</t>
        </is>
      </c>
      <c r="B33" s="19" t="inlineStr">
        <is>
          <t>1004304</t>
        </is>
      </c>
      <c r="C33" t="inlineStr">
        <is>
          <t>AKÜ,C-FLAT,DK,240AH,HUGEL ACTION,İÇ PYS</t>
        </is>
      </c>
      <c r="D33" s="19" t="inlineStr">
        <is>
          <t>1</t>
        </is>
      </c>
      <c r="E33" t="n">
        <v>0</v>
      </c>
      <c r="I33" s="19" t="inlineStr">
        <is>
          <t>2</t>
        </is>
      </c>
      <c r="J33" t="inlineStr">
        <is>
          <t>2026-08-08</t>
        </is>
      </c>
      <c r="L33" s="19" t="inlineStr">
        <is>
          <t>1004304</t>
        </is>
      </c>
      <c r="M33" t="inlineStr">
        <is>
          <t>STATUS=IN OEM / EU PACKAGE; SOURCE_CFG=IA-ST-CFG-0024; MARKET=YURT İÇİ AFM</t>
        </is>
      </c>
      <c r="N33" t="inlineStr">
        <is>
          <t>2026-08-10T19:29:54Z</t>
        </is>
      </c>
      <c r="O33" t="inlineStr">
        <is>
          <t>2026-08-10T19:29:54Z</t>
        </is>
      </c>
    </row>
    <row r="34">
      <c r="A34" s="19" t="inlineStr">
        <is>
          <t>33</t>
        </is>
      </c>
      <c r="B34" s="19" t="inlineStr">
        <is>
          <t>1004497</t>
        </is>
      </c>
      <c r="C34" t="inlineStr">
        <is>
          <t>AKÜ,A-FLAT,DK,135AH,BLIZZARO TRENDLINE</t>
        </is>
      </c>
      <c r="D34" s="19" t="inlineStr">
        <is>
          <t>1</t>
        </is>
      </c>
      <c r="E34" t="n">
        <v>0</v>
      </c>
      <c r="I34" s="19" t="inlineStr">
        <is>
          <t>2</t>
        </is>
      </c>
      <c r="J34" t="inlineStr">
        <is>
          <t>2026-08-08</t>
        </is>
      </c>
      <c r="L34" s="19" t="inlineStr">
        <is>
          <t>1004497</t>
        </is>
      </c>
      <c r="M34" t="inlineStr">
        <is>
          <t>STATUS=IN OEM / EU PACKAGE; SOURCE_CFG=IA-ST-CFG-0051; MARKET=None</t>
        </is>
      </c>
      <c r="N34" t="inlineStr">
        <is>
          <t>2026-08-10T19:29:54Z</t>
        </is>
      </c>
      <c r="O34" t="inlineStr">
        <is>
          <t>2026-08-10T19:29:54Z</t>
        </is>
      </c>
    </row>
    <row r="35">
      <c r="A35" s="19" t="inlineStr">
        <is>
          <t>34</t>
        </is>
      </c>
      <c r="B35" s="19" t="inlineStr">
        <is>
          <t>1004590</t>
        </is>
      </c>
      <c r="C35" t="inlineStr">
        <is>
          <t>AKÜ,TRACTOR,DK,125AH,B00,SUPRA,AIOS OEM</t>
        </is>
      </c>
      <c r="D35" s="19" t="inlineStr">
        <is>
          <t>1</t>
        </is>
      </c>
      <c r="E35" t="n">
        <v>0</v>
      </c>
      <c r="I35" s="19" t="inlineStr">
        <is>
          <t>2</t>
        </is>
      </c>
      <c r="J35" t="inlineStr">
        <is>
          <t>2026-08-08</t>
        </is>
      </c>
      <c r="L35" s="19" t="inlineStr">
        <is>
          <t>1004590</t>
        </is>
      </c>
      <c r="M35" t="inlineStr">
        <is>
          <t>STATUS=DOMESTIC-ONLY / NOT IN OEM PACKAGE; SOURCE_CFG=IA-ST-CFG-0007; MARKET=ISUZU (Yurt İçi)</t>
        </is>
      </c>
      <c r="N35" t="inlineStr">
        <is>
          <t>2026-08-10T19:29:54Z</t>
        </is>
      </c>
      <c r="O35" t="inlineStr">
        <is>
          <t>2026-08-10T19:29:54Z</t>
        </is>
      </c>
    </row>
    <row r="36">
      <c r="A36" s="19" t="inlineStr">
        <is>
          <t>35</t>
        </is>
      </c>
      <c r="B36" s="19" t="inlineStr">
        <is>
          <t>1004591</t>
        </is>
      </c>
      <c r="C36" t="inlineStr">
        <is>
          <t>AKÜ,TRACTORL,DK,105AH,B01,SUPRA,AIOS OEM</t>
        </is>
      </c>
      <c r="D36" s="19" t="inlineStr">
        <is>
          <t>1</t>
        </is>
      </c>
      <c r="E36" t="n">
        <v>0</v>
      </c>
      <c r="I36" s="19" t="inlineStr">
        <is>
          <t>2</t>
        </is>
      </c>
      <c r="J36" t="inlineStr">
        <is>
          <t>2026-08-08</t>
        </is>
      </c>
      <c r="L36" s="19" t="inlineStr">
        <is>
          <t>1004591</t>
        </is>
      </c>
      <c r="M36" t="inlineStr">
        <is>
          <t>STATUS=DOMESTIC-ONLY / NOT IN OEM PACKAGE; SOURCE_CFG=IA-ST-CFG-0007; MARKET=ISUZU (Yurt İçi)</t>
        </is>
      </c>
      <c r="N36" t="inlineStr">
        <is>
          <t>2026-08-10T19:29:54Z</t>
        </is>
      </c>
      <c r="O36" t="inlineStr">
        <is>
          <t>2026-08-10T19:29:54Z</t>
        </is>
      </c>
    </row>
    <row r="37">
      <c r="A37" s="19" t="inlineStr">
        <is>
          <t>36</t>
        </is>
      </c>
      <c r="B37" s="19" t="inlineStr">
        <is>
          <t>1004599</t>
        </is>
      </c>
      <c r="C37" t="inlineStr">
        <is>
          <t>AKÜ,TRACTORL,DK,115AH,B00,İNCİSUPR,TEMSA</t>
        </is>
      </c>
      <c r="D37" s="19" t="inlineStr">
        <is>
          <t>1</t>
        </is>
      </c>
      <c r="E37" t="n">
        <v>0</v>
      </c>
      <c r="I37" s="19" t="inlineStr">
        <is>
          <t>2</t>
        </is>
      </c>
      <c r="J37" t="inlineStr">
        <is>
          <t>2026-08-08</t>
        </is>
      </c>
      <c r="L37" s="19" t="inlineStr">
        <is>
          <t>1004599</t>
        </is>
      </c>
      <c r="M37" t="inlineStr">
        <is>
          <t>STATUS=DOMESTIC-ONLY / NOT IN OEM PACKAGE; SOURCE_CFG=IA-ST-CFG-0007; MARKET=TEMSA (Yurt İçi)</t>
        </is>
      </c>
      <c r="N37" t="inlineStr">
        <is>
          <t>2026-08-10T19:29:54Z</t>
        </is>
      </c>
      <c r="O37" t="inlineStr">
        <is>
          <t>2026-08-10T19:29:54Z</t>
        </is>
      </c>
    </row>
    <row r="38">
      <c r="A38" s="19" t="inlineStr">
        <is>
          <t>37</t>
        </is>
      </c>
      <c r="B38" s="19" t="inlineStr">
        <is>
          <t>1004600</t>
        </is>
      </c>
      <c r="C38" t="inlineStr">
        <is>
          <t>AKÜ,TRACTORL,DK,105AH,İNCİSUPRA,TEMSAOEM</t>
        </is>
      </c>
      <c r="D38" s="19" t="inlineStr">
        <is>
          <t>1</t>
        </is>
      </c>
      <c r="E38" t="n">
        <v>0</v>
      </c>
      <c r="I38" s="19" t="inlineStr">
        <is>
          <t>2</t>
        </is>
      </c>
      <c r="J38" t="inlineStr">
        <is>
          <t>2026-08-08</t>
        </is>
      </c>
      <c r="L38" s="19" t="inlineStr">
        <is>
          <t>1004600</t>
        </is>
      </c>
      <c r="M38" t="inlineStr">
        <is>
          <t>STATUS=DOMESTIC-ONLY / NOT IN OEM PACKAGE; SOURCE_CFG=IA-ST-CFG-0007; MARKET=TEMSA (Yurt İçi)</t>
        </is>
      </c>
      <c r="N38" t="inlineStr">
        <is>
          <t>2026-08-10T19:29:54Z</t>
        </is>
      </c>
      <c r="O38" t="inlineStr">
        <is>
          <t>2026-08-10T19:29:54Z</t>
        </is>
      </c>
    </row>
    <row r="39">
      <c r="A39" s="19" t="inlineStr">
        <is>
          <t>38</t>
        </is>
      </c>
      <c r="B39" s="19" t="inlineStr">
        <is>
          <t>1005175</t>
        </is>
      </c>
      <c r="C39" t="inlineStr">
        <is>
          <t>AKÜ,B-FLAT,DK,180AH,İNCİ SUPRA SENT,EURO</t>
        </is>
      </c>
      <c r="D39" s="19" t="inlineStr">
        <is>
          <t>1</t>
        </is>
      </c>
      <c r="E39" t="n">
        <v>0</v>
      </c>
      <c r="I39" s="19" t="inlineStr">
        <is>
          <t>2</t>
        </is>
      </c>
      <c r="J39" t="inlineStr">
        <is>
          <t>2026-08-08</t>
        </is>
      </c>
      <c r="L39" s="19" t="inlineStr">
        <is>
          <t>1005175</t>
        </is>
      </c>
      <c r="M39" t="inlineStr">
        <is>
          <t>STATUS=IN OEM / EU PACKAGE; SOURCE_CFG=IA-ST-CFG-0029; MARKET=None</t>
        </is>
      </c>
      <c r="N39" t="inlineStr">
        <is>
          <t>2026-08-10T19:29:54Z</t>
        </is>
      </c>
      <c r="O39" t="inlineStr">
        <is>
          <t>2026-08-10T19:29:54Z</t>
        </is>
      </c>
    </row>
    <row r="40">
      <c r="A40" s="19" t="inlineStr">
        <is>
          <t>39</t>
        </is>
      </c>
      <c r="B40" s="19" t="inlineStr">
        <is>
          <t>1005176</t>
        </is>
      </c>
      <c r="C40" t="inlineStr">
        <is>
          <t>AKÜ,C-FLAT,DK,225AH,İNCİ SUPRA SENT,EURO</t>
        </is>
      </c>
      <c r="D40" s="19" t="inlineStr">
        <is>
          <t>1</t>
        </is>
      </c>
      <c r="E40" t="n">
        <v>0</v>
      </c>
      <c r="I40" s="19" t="inlineStr">
        <is>
          <t>2</t>
        </is>
      </c>
      <c r="J40" t="inlineStr">
        <is>
          <t>2026-08-08</t>
        </is>
      </c>
      <c r="L40" s="19" t="inlineStr">
        <is>
          <t>1005176</t>
        </is>
      </c>
      <c r="M40" t="inlineStr">
        <is>
          <t>STATUS=IN OEM / EU PACKAGE; SOURCE_CFG=IA-ST-CFG-0014; MARKET=None</t>
        </is>
      </c>
      <c r="N40" t="inlineStr">
        <is>
          <t>2026-08-10T19:29:54Z</t>
        </is>
      </c>
      <c r="O40" t="inlineStr">
        <is>
          <t>2026-08-10T19:29:54Z</t>
        </is>
      </c>
    </row>
    <row r="41">
      <c r="A41" s="19" t="inlineStr">
        <is>
          <t>40</t>
        </is>
      </c>
      <c r="B41" s="19" t="inlineStr">
        <is>
          <t>1005491</t>
        </is>
      </c>
      <c r="C41" t="inlineStr">
        <is>
          <t>AKÜ,TRACTORL,DK,105AH,CARGO,MAKO,OES</t>
        </is>
      </c>
      <c r="D41" s="19" t="inlineStr">
        <is>
          <t>1</t>
        </is>
      </c>
      <c r="E41" t="n">
        <v>0</v>
      </c>
      <c r="I41" s="19" t="inlineStr">
        <is>
          <t>2</t>
        </is>
      </c>
      <c r="J41" t="inlineStr">
        <is>
          <t>2026-08-08</t>
        </is>
      </c>
      <c r="L41" s="19" t="inlineStr">
        <is>
          <t>1005491</t>
        </is>
      </c>
      <c r="M41" t="inlineStr">
        <is>
          <t>STATUS=DOMESTIC-ONLY / NOT IN OEM PACKAGE; SOURCE_CFG=IA-ST-CFG-0073; MARKET=MAKO OES (Yurt İçi)</t>
        </is>
      </c>
      <c r="N41" t="inlineStr">
        <is>
          <t>2026-08-10T19:29:54Z</t>
        </is>
      </c>
      <c r="O41" t="inlineStr">
        <is>
          <t>2026-08-10T19:29:54Z</t>
        </is>
      </c>
    </row>
    <row r="42">
      <c r="A42" s="19" t="inlineStr">
        <is>
          <t>41</t>
        </is>
      </c>
      <c r="B42" s="19" t="inlineStr">
        <is>
          <t>1005780</t>
        </is>
      </c>
      <c r="C42" t="inlineStr">
        <is>
          <t>AKÜ,C-IGYA,DK,225AH,İNCİ SUPRA,TEMSA OEM</t>
        </is>
      </c>
      <c r="D42" s="19" t="inlineStr">
        <is>
          <t>1</t>
        </is>
      </c>
      <c r="E42" t="n">
        <v>0</v>
      </c>
      <c r="I42" s="19" t="inlineStr">
        <is>
          <t>2</t>
        </is>
      </c>
      <c r="J42" t="inlineStr">
        <is>
          <t>2026-08-08</t>
        </is>
      </c>
      <c r="L42" s="19" t="inlineStr">
        <is>
          <t>1005780</t>
        </is>
      </c>
      <c r="M42" t="inlineStr">
        <is>
          <t>STATUS=DOMESTIC-ONLY / NOT IN OEM PACKAGE; SOURCE_CFG=IA-ST-CFG-0001; MARKET=TEMSA (Yurt İçi)</t>
        </is>
      </c>
      <c r="N42" t="inlineStr">
        <is>
          <t>2026-08-10T19:29:54Z</t>
        </is>
      </c>
      <c r="O42" t="inlineStr">
        <is>
          <t>2026-08-10T19:29:54Z</t>
        </is>
      </c>
    </row>
    <row r="43">
      <c r="A43" s="19" t="inlineStr">
        <is>
          <t>42</t>
        </is>
      </c>
      <c r="B43" s="19" t="inlineStr">
        <is>
          <t>1005826</t>
        </is>
      </c>
      <c r="C43" t="inlineStr">
        <is>
          <t>AKÜ,C-IGYA,DK,210AH,İNCİ SUPRASENTOR,BMC</t>
        </is>
      </c>
      <c r="D43" s="19" t="inlineStr">
        <is>
          <t>1</t>
        </is>
      </c>
      <c r="E43" t="n">
        <v>0</v>
      </c>
      <c r="I43" s="19" t="inlineStr">
        <is>
          <t>2</t>
        </is>
      </c>
      <c r="J43" t="inlineStr">
        <is>
          <t>2026-08-08</t>
        </is>
      </c>
      <c r="L43" s="19" t="inlineStr">
        <is>
          <t>1005826</t>
        </is>
      </c>
      <c r="M43" t="inlineStr">
        <is>
          <t>STATUS=DOMESTIC-ONLY / NOT IN OEM PACKAGE; SOURCE_CFG=IA-ST-CFG-0001; MARKET=BMC (Yurt İçi)</t>
        </is>
      </c>
      <c r="N43" t="inlineStr">
        <is>
          <t>2026-08-10T19:29:54Z</t>
        </is>
      </c>
      <c r="O43" t="inlineStr">
        <is>
          <t>2026-08-10T19:29:54Z</t>
        </is>
      </c>
    </row>
    <row r="44">
      <c r="A44" s="19" t="inlineStr">
        <is>
          <t>43</t>
        </is>
      </c>
      <c r="B44" s="19" t="inlineStr">
        <is>
          <t>1005827</t>
        </is>
      </c>
      <c r="C44" t="inlineStr">
        <is>
          <t>AKÜ,C-IGYA,DK,225AH,İNCİ SUPRA,BMC,HORT</t>
        </is>
      </c>
      <c r="D44" s="19" t="inlineStr">
        <is>
          <t>1</t>
        </is>
      </c>
      <c r="E44" t="n">
        <v>0</v>
      </c>
      <c r="I44" s="19" t="inlineStr">
        <is>
          <t>2</t>
        </is>
      </c>
      <c r="J44" t="inlineStr">
        <is>
          <t>2026-08-08</t>
        </is>
      </c>
      <c r="L44" s="19" t="inlineStr">
        <is>
          <t>1005827</t>
        </is>
      </c>
      <c r="M44" t="inlineStr">
        <is>
          <t>STATUS=DOMESTIC-ONLY / NOT IN OEM PACKAGE; SOURCE_CFG=IA-ST-CFG-0001; MARKET=BMC (Yurt İçi)</t>
        </is>
      </c>
      <c r="N44" t="inlineStr">
        <is>
          <t>2026-08-10T19:29:54Z</t>
        </is>
      </c>
      <c r="O44" t="inlineStr">
        <is>
          <t>2026-08-10T19:29:54Z</t>
        </is>
      </c>
    </row>
    <row r="45">
      <c r="A45" s="19" t="inlineStr">
        <is>
          <t>44</t>
        </is>
      </c>
      <c r="B45" s="19" t="inlineStr">
        <is>
          <t>1005828</t>
        </is>
      </c>
      <c r="C45" t="inlineStr">
        <is>
          <t>AKÜ,B-FLAT,DK,180AH,İNCİ SUPRASENTOR,BMC</t>
        </is>
      </c>
      <c r="D45" s="19" t="inlineStr">
        <is>
          <t>1</t>
        </is>
      </c>
      <c r="E45" t="n">
        <v>0</v>
      </c>
      <c r="I45" s="19" t="inlineStr">
        <is>
          <t>2</t>
        </is>
      </c>
      <c r="J45" t="inlineStr">
        <is>
          <t>2026-08-08</t>
        </is>
      </c>
      <c r="L45" s="19" t="inlineStr">
        <is>
          <t>1005828</t>
        </is>
      </c>
      <c r="M45" t="inlineStr">
        <is>
          <t>STATUS=DOMESTIC-ONLY / NOT IN OEM PACKAGE; SOURCE_CFG=IA-ST-CFG-0002; MARKET=BMC (Yurt İçi)</t>
        </is>
      </c>
      <c r="N45" t="inlineStr">
        <is>
          <t>2026-08-10T19:29:54Z</t>
        </is>
      </c>
      <c r="O45" t="inlineStr">
        <is>
          <t>2026-08-10T19:29:54Z</t>
        </is>
      </c>
    </row>
    <row r="46">
      <c r="A46" s="19" t="inlineStr">
        <is>
          <t>45</t>
        </is>
      </c>
      <c r="B46" s="19" t="inlineStr">
        <is>
          <t>1005829</t>
        </is>
      </c>
      <c r="C46" t="inlineStr">
        <is>
          <t>AKÜ,B-IGYA,DK,180AH,SUPRA,BMCOTOBÜS,HORT</t>
        </is>
      </c>
      <c r="D46" s="19" t="inlineStr">
        <is>
          <t>1</t>
        </is>
      </c>
      <c r="E46" t="n">
        <v>0</v>
      </c>
      <c r="I46" s="19" t="inlineStr">
        <is>
          <t>2</t>
        </is>
      </c>
      <c r="J46" t="inlineStr">
        <is>
          <t>2026-08-08</t>
        </is>
      </c>
      <c r="L46" s="19" t="inlineStr">
        <is>
          <t>1005829</t>
        </is>
      </c>
      <c r="M46" t="inlineStr">
        <is>
          <t>STATUS=DOMESTIC-ONLY / NOT IN OEM PACKAGE; SOURCE_CFG=IA-ST-CFG-0002; MARKET=BMC (Yurt İçi)</t>
        </is>
      </c>
      <c r="N46" t="inlineStr">
        <is>
          <t>2026-08-10T19:29:54Z</t>
        </is>
      </c>
      <c r="O46" t="inlineStr">
        <is>
          <t>2026-08-10T19:29:54Z</t>
        </is>
      </c>
    </row>
    <row r="47">
      <c r="A47" s="19" t="inlineStr">
        <is>
          <t>46</t>
        </is>
      </c>
      <c r="B47" s="19" t="inlineStr">
        <is>
          <t>1005833</t>
        </is>
      </c>
      <c r="C47" t="inlineStr">
        <is>
          <t>AKÜ,TRACTORL,DK,115AH,B01,SUPRA,ERKUNT</t>
        </is>
      </c>
      <c r="D47" s="19" t="inlineStr">
        <is>
          <t>1</t>
        </is>
      </c>
      <c r="E47" t="n">
        <v>0</v>
      </c>
      <c r="I47" s="19" t="inlineStr">
        <is>
          <t>2</t>
        </is>
      </c>
      <c r="J47" t="inlineStr">
        <is>
          <t>2026-08-08</t>
        </is>
      </c>
      <c r="L47" s="19" t="inlineStr">
        <is>
          <t>1005833</t>
        </is>
      </c>
      <c r="M47" t="inlineStr">
        <is>
          <t>STATUS=DOMESTIC-ONLY / NOT IN OEM PACKAGE; SOURCE_CFG=IA-ST-CFG-0007; MARKET=ERKUNT (Yurt İçi)</t>
        </is>
      </c>
      <c r="N47" t="inlineStr">
        <is>
          <t>2026-08-10T19:29:54Z</t>
        </is>
      </c>
      <c r="O47" t="inlineStr">
        <is>
          <t>2026-08-10T19:29:54Z</t>
        </is>
      </c>
    </row>
    <row r="48">
      <c r="A48" s="19" t="inlineStr">
        <is>
          <t>47</t>
        </is>
      </c>
      <c r="B48" s="19" t="inlineStr">
        <is>
          <t>1005922</t>
        </is>
      </c>
      <c r="C48" t="inlineStr">
        <is>
          <t>AKÜ,TRACTORL,DK,105AH,B01,SUPRA,ERKUNT</t>
        </is>
      </c>
      <c r="D48" s="19" t="inlineStr">
        <is>
          <t>1</t>
        </is>
      </c>
      <c r="E48" t="n">
        <v>0</v>
      </c>
      <c r="I48" s="19" t="inlineStr">
        <is>
          <t>2</t>
        </is>
      </c>
      <c r="J48" t="inlineStr">
        <is>
          <t>2026-08-08</t>
        </is>
      </c>
      <c r="L48" s="19" t="inlineStr">
        <is>
          <t>1005922</t>
        </is>
      </c>
      <c r="M48" t="inlineStr">
        <is>
          <t>STATUS=DOMESTIC-ONLY / NOT IN OEM PACKAGE; SOURCE_CFG=IA-ST-CFG-0007; MARKET=ERKUNT (Yurt İçi)</t>
        </is>
      </c>
      <c r="N48" t="inlineStr">
        <is>
          <t>2026-08-10T19:29:54Z</t>
        </is>
      </c>
      <c r="O48" t="inlineStr">
        <is>
          <t>2026-08-10T19:29:54Z</t>
        </is>
      </c>
    </row>
    <row r="49">
      <c r="A49" s="19" t="inlineStr">
        <is>
          <t>48</t>
        </is>
      </c>
      <c r="B49" s="19" t="inlineStr">
        <is>
          <t>1006036</t>
        </is>
      </c>
      <c r="C49" t="inlineStr">
        <is>
          <t>AKÜ,A-FLAT,DK,135AH,CARGO,MAKO,OES</t>
        </is>
      </c>
      <c r="D49" s="19" t="inlineStr">
        <is>
          <t>1</t>
        </is>
      </c>
      <c r="E49" t="n">
        <v>0</v>
      </c>
      <c r="I49" s="19" t="inlineStr">
        <is>
          <t>2</t>
        </is>
      </c>
      <c r="J49" t="inlineStr">
        <is>
          <t>2026-08-08</t>
        </is>
      </c>
      <c r="L49" s="19" t="inlineStr">
        <is>
          <t>1006036</t>
        </is>
      </c>
      <c r="M49" t="inlineStr">
        <is>
          <t>STATUS=DOMESTIC-ONLY / NOT IN OEM PACKAGE; SOURCE_CFG=IA-ST-CFG-0040; MARKET=MAKO OES (Yurt İçi)</t>
        </is>
      </c>
      <c r="N49" t="inlineStr">
        <is>
          <t>2026-08-10T19:29:54Z</t>
        </is>
      </c>
      <c r="O49" t="inlineStr">
        <is>
          <t>2026-08-10T19:29:54Z</t>
        </is>
      </c>
    </row>
    <row r="50">
      <c r="A50" s="19" t="inlineStr">
        <is>
          <t>49</t>
        </is>
      </c>
      <c r="B50" s="19" t="inlineStr">
        <is>
          <t>1006037</t>
        </is>
      </c>
      <c r="C50" t="inlineStr">
        <is>
          <t>AKÜ,B-FLAT,DK,150AH,CARGO,MAKO,OES</t>
        </is>
      </c>
      <c r="D50" s="19" t="inlineStr">
        <is>
          <t>1</t>
        </is>
      </c>
      <c r="E50" t="n">
        <v>0</v>
      </c>
      <c r="I50" s="19" t="inlineStr">
        <is>
          <t>2</t>
        </is>
      </c>
      <c r="J50" t="inlineStr">
        <is>
          <t>2026-08-08</t>
        </is>
      </c>
      <c r="L50" s="19" t="inlineStr">
        <is>
          <t>1006037</t>
        </is>
      </c>
      <c r="M50" t="inlineStr">
        <is>
          <t>STATUS=DOMESTIC-ONLY / NOT IN OEM PACKAGE; SOURCE_CFG=IA-ST-CFG-0032; MARKET=MAKO OES (Yurt İçi)</t>
        </is>
      </c>
      <c r="N50" t="inlineStr">
        <is>
          <t>2026-08-10T19:29:54Z</t>
        </is>
      </c>
      <c r="O50" t="inlineStr">
        <is>
          <t>2026-08-10T19:29:54Z</t>
        </is>
      </c>
    </row>
    <row r="51">
      <c r="A51" s="19" t="inlineStr">
        <is>
          <t>50</t>
        </is>
      </c>
      <c r="B51" s="19" t="inlineStr">
        <is>
          <t>1006039</t>
        </is>
      </c>
      <c r="C51" t="inlineStr">
        <is>
          <t>AKÜ,B-FLAT,DK,180AH,CARGO,MAKO,OES</t>
        </is>
      </c>
      <c r="D51" s="19" t="inlineStr">
        <is>
          <t>1</t>
        </is>
      </c>
      <c r="E51" t="n">
        <v>0</v>
      </c>
      <c r="I51" s="19" t="inlineStr">
        <is>
          <t>2</t>
        </is>
      </c>
      <c r="J51" t="inlineStr">
        <is>
          <t>2026-08-08</t>
        </is>
      </c>
      <c r="L51" s="19" t="inlineStr">
        <is>
          <t>1006039</t>
        </is>
      </c>
      <c r="M51" t="inlineStr">
        <is>
          <t>STATUS=DOMESTIC-ONLY / NOT IN OEM PACKAGE; SOURCE_CFG=IA-ST-CFG-0032; MARKET=MAKO OES (Yurt İçi)</t>
        </is>
      </c>
      <c r="N51" t="inlineStr">
        <is>
          <t>2026-08-10T19:29:54Z</t>
        </is>
      </c>
      <c r="O51" t="inlineStr">
        <is>
          <t>2026-08-10T19:29:54Z</t>
        </is>
      </c>
    </row>
    <row r="52">
      <c r="A52" s="19" t="inlineStr">
        <is>
          <t>51</t>
        </is>
      </c>
      <c r="B52" s="19" t="inlineStr">
        <is>
          <t>1006040</t>
        </is>
      </c>
      <c r="C52" t="inlineStr">
        <is>
          <t>AKÜ,C-FLAT,DK,200AH,CARGO,MAKO,OES</t>
        </is>
      </c>
      <c r="D52" s="19" t="inlineStr">
        <is>
          <t>1</t>
        </is>
      </c>
      <c r="E52" t="n">
        <v>0</v>
      </c>
      <c r="I52" s="19" t="inlineStr">
        <is>
          <t>2</t>
        </is>
      </c>
      <c r="J52" t="inlineStr">
        <is>
          <t>2026-08-08</t>
        </is>
      </c>
      <c r="L52" s="19" t="inlineStr">
        <is>
          <t>1006040</t>
        </is>
      </c>
      <c r="M52" t="inlineStr">
        <is>
          <t>STATUS=IN OEM / EU PACKAGE; SOURCE_CFG=IA-ST-CFG-0016; MARKET=MAKO OES (Yurt İçi)</t>
        </is>
      </c>
      <c r="N52" t="inlineStr">
        <is>
          <t>2026-08-10T19:29:54Z</t>
        </is>
      </c>
      <c r="O52" t="inlineStr">
        <is>
          <t>2026-08-10T19:29:54Z</t>
        </is>
      </c>
    </row>
    <row r="53">
      <c r="A53" s="19" t="inlineStr">
        <is>
          <t>52</t>
        </is>
      </c>
      <c r="B53" s="19" t="inlineStr">
        <is>
          <t>1006041</t>
        </is>
      </c>
      <c r="C53" t="inlineStr">
        <is>
          <t>AKÜ,C-FLAT,DK,225AH,CARGO,MAKO,OES</t>
        </is>
      </c>
      <c r="D53" s="19" t="inlineStr">
        <is>
          <t>1</t>
        </is>
      </c>
      <c r="E53" t="n">
        <v>0</v>
      </c>
      <c r="I53" s="19" t="inlineStr">
        <is>
          <t>2</t>
        </is>
      </c>
      <c r="J53" t="inlineStr">
        <is>
          <t>2026-08-08</t>
        </is>
      </c>
      <c r="L53" s="19" t="inlineStr">
        <is>
          <t>1006041</t>
        </is>
      </c>
      <c r="M53" t="inlineStr">
        <is>
          <t>STATUS=IN OEM / EU PACKAGE; SOURCE_CFG=IA-ST-CFG-0016; MARKET=MAKO OES (Yurt İçi)</t>
        </is>
      </c>
      <c r="N53" t="inlineStr">
        <is>
          <t>2026-08-10T19:29:54Z</t>
        </is>
      </c>
      <c r="O53" t="inlineStr">
        <is>
          <t>2026-08-10T19:29:54Z</t>
        </is>
      </c>
    </row>
    <row r="54">
      <c r="A54" s="19" t="inlineStr">
        <is>
          <t>53</t>
        </is>
      </c>
      <c r="B54" s="19" t="inlineStr">
        <is>
          <t>1006054</t>
        </is>
      </c>
      <c r="C54" t="inlineStr">
        <is>
          <t>AKÜ,C-IGYA,DK,240AH,İNCİ SUPRASENTOR,BMC</t>
        </is>
      </c>
      <c r="D54" s="19" t="inlineStr">
        <is>
          <t>1</t>
        </is>
      </c>
      <c r="E54" t="n">
        <v>0</v>
      </c>
      <c r="I54" s="19" t="inlineStr">
        <is>
          <t>2</t>
        </is>
      </c>
      <c r="J54" t="inlineStr">
        <is>
          <t>2026-08-08</t>
        </is>
      </c>
      <c r="L54" s="19" t="inlineStr">
        <is>
          <t>1006054</t>
        </is>
      </c>
      <c r="M54" t="inlineStr">
        <is>
          <t>STATUS=DOMESTIC-ONLY / NOT IN OEM PACKAGE; SOURCE_CFG=IA-ST-CFG-0001; MARKET=BMC (Yurt İçi)</t>
        </is>
      </c>
      <c r="N54" t="inlineStr">
        <is>
          <t>2026-08-10T19:29:54Z</t>
        </is>
      </c>
      <c r="O54" t="inlineStr">
        <is>
          <t>2026-08-10T19:29:54Z</t>
        </is>
      </c>
    </row>
    <row r="55">
      <c r="A55" s="19" t="inlineStr">
        <is>
          <t>54</t>
        </is>
      </c>
      <c r="B55" s="19" t="inlineStr">
        <is>
          <t>1006077</t>
        </is>
      </c>
      <c r="C55" t="inlineStr">
        <is>
          <t>AKÜ,A-IGYASMF,DK,120AH,İNCİFORMULATAURUS</t>
        </is>
      </c>
      <c r="D55" s="19" t="inlineStr">
        <is>
          <t>1</t>
        </is>
      </c>
      <c r="E55" t="n">
        <v>0</v>
      </c>
      <c r="I55" s="19" t="inlineStr">
        <is>
          <t>2</t>
        </is>
      </c>
      <c r="J55" t="inlineStr">
        <is>
          <t>2026-08-08</t>
        </is>
      </c>
      <c r="L55" s="19" t="inlineStr">
        <is>
          <t>1006077</t>
        </is>
      </c>
      <c r="M55" t="inlineStr">
        <is>
          <t>STATUS=IN OEM / EU PACKAGE; SOURCE_CFG=IA-ST-CFG-0051; MARKET=None</t>
        </is>
      </c>
      <c r="N55" t="inlineStr">
        <is>
          <t>2026-08-10T19:29:54Z</t>
        </is>
      </c>
      <c r="O55" t="inlineStr">
        <is>
          <t>2026-08-10T19:29:54Z</t>
        </is>
      </c>
    </row>
    <row r="56">
      <c r="A56" s="19" t="inlineStr">
        <is>
          <t>55</t>
        </is>
      </c>
      <c r="B56" s="19" t="inlineStr">
        <is>
          <t>1006081</t>
        </is>
      </c>
      <c r="C56" t="inlineStr">
        <is>
          <t>AKÜ,A-IGYASMF,DK,135AH,İNCİFORMULATAURUS</t>
        </is>
      </c>
      <c r="D56" s="19" t="inlineStr">
        <is>
          <t>1</t>
        </is>
      </c>
      <c r="E56" t="n">
        <v>0</v>
      </c>
      <c r="I56" s="19" t="inlineStr">
        <is>
          <t>2</t>
        </is>
      </c>
      <c r="J56" t="inlineStr">
        <is>
          <t>2026-08-08</t>
        </is>
      </c>
      <c r="L56" s="19" t="inlineStr">
        <is>
          <t>1006081</t>
        </is>
      </c>
      <c r="M56" t="inlineStr">
        <is>
          <t>STATUS=IN OEM / EU PACKAGE; SOURCE_CFG=IA-ST-CFG-0051; MARKET=None</t>
        </is>
      </c>
      <c r="N56" t="inlineStr">
        <is>
          <t>2026-08-10T19:29:54Z</t>
        </is>
      </c>
      <c r="O56" t="inlineStr">
        <is>
          <t>2026-08-10T19:29:54Z</t>
        </is>
      </c>
    </row>
    <row r="57">
      <c r="A57" s="19" t="inlineStr">
        <is>
          <t>56</t>
        </is>
      </c>
      <c r="B57" s="19" t="inlineStr">
        <is>
          <t>1006083</t>
        </is>
      </c>
      <c r="C57" t="inlineStr">
        <is>
          <t>AKÜ,A-IGYASMF,DK,140AH,İNCİFORMULATAURUS</t>
        </is>
      </c>
      <c r="D57" s="19" t="inlineStr">
        <is>
          <t>1</t>
        </is>
      </c>
      <c r="E57" t="n">
        <v>0</v>
      </c>
      <c r="I57" s="19" t="inlineStr">
        <is>
          <t>2</t>
        </is>
      </c>
      <c r="J57" t="inlineStr">
        <is>
          <t>2026-08-08</t>
        </is>
      </c>
      <c r="L57" s="19" t="inlineStr">
        <is>
          <t>1006083</t>
        </is>
      </c>
      <c r="M57" t="inlineStr">
        <is>
          <t>STATUS=IN OEM / EU PACKAGE; SOURCE_CFG=IA-ST-CFG-0051; MARKET=None</t>
        </is>
      </c>
      <c r="N57" t="inlineStr">
        <is>
          <t>2026-08-10T19:29:54Z</t>
        </is>
      </c>
      <c r="O57" t="inlineStr">
        <is>
          <t>2026-08-10T19:29:54Z</t>
        </is>
      </c>
    </row>
    <row r="58">
      <c r="A58" s="19" t="inlineStr">
        <is>
          <t>57</t>
        </is>
      </c>
      <c r="B58" s="19" t="inlineStr">
        <is>
          <t>1006152</t>
        </is>
      </c>
      <c r="C58" t="inlineStr">
        <is>
          <t>AKÜ,B-IGYASMF,DK150AH,FORMULA,EEC MISIR</t>
        </is>
      </c>
      <c r="D58" s="19" t="inlineStr">
        <is>
          <t>1</t>
        </is>
      </c>
      <c r="E58" t="n">
        <v>0</v>
      </c>
      <c r="I58" s="19" t="inlineStr">
        <is>
          <t>2</t>
        </is>
      </c>
      <c r="J58" t="inlineStr">
        <is>
          <t>2026-08-08</t>
        </is>
      </c>
      <c r="L58" s="19" t="inlineStr">
        <is>
          <t>1006152</t>
        </is>
      </c>
      <c r="M58" t="inlineStr">
        <is>
          <t>STATUS=IN OEM / EU PACKAGE; SOURCE_CFG=IA-ST-CFG-0052; MARKET=MISIR EEC</t>
        </is>
      </c>
      <c r="N58" t="inlineStr">
        <is>
          <t>2026-08-10T19:29:54Z</t>
        </is>
      </c>
      <c r="O58" t="inlineStr">
        <is>
          <t>2026-08-10T19:29:54Z</t>
        </is>
      </c>
    </row>
    <row r="59">
      <c r="A59" s="19" t="inlineStr">
        <is>
          <t>58</t>
        </is>
      </c>
      <c r="B59" s="19" t="inlineStr">
        <is>
          <t>1006165</t>
        </is>
      </c>
      <c r="C59" t="inlineStr">
        <is>
          <t>AKÜ,B-IGYASMF,DK,150AH,HUGEL ULTRA</t>
        </is>
      </c>
      <c r="D59" s="19" t="inlineStr">
        <is>
          <t>1</t>
        </is>
      </c>
      <c r="E59" t="n">
        <v>0</v>
      </c>
      <c r="I59" s="19" t="inlineStr">
        <is>
          <t>2</t>
        </is>
      </c>
      <c r="J59" t="inlineStr">
        <is>
          <t>2026-08-08</t>
        </is>
      </c>
      <c r="L59" s="19" t="inlineStr">
        <is>
          <t>1006165</t>
        </is>
      </c>
      <c r="M59" t="inlineStr">
        <is>
          <t>STATUS=IN OEM / EU PACKAGE; SOURCE_CFG=IA-ST-CFG-0052; MARKET=None</t>
        </is>
      </c>
      <c r="N59" t="inlineStr">
        <is>
          <t>2026-08-10T19:29:54Z</t>
        </is>
      </c>
      <c r="O59" t="inlineStr">
        <is>
          <t>2026-08-10T19:29:54Z</t>
        </is>
      </c>
    </row>
    <row r="60">
      <c r="A60" s="19" t="inlineStr">
        <is>
          <t>59</t>
        </is>
      </c>
      <c r="B60" s="19" t="inlineStr">
        <is>
          <t>1006428</t>
        </is>
      </c>
      <c r="C60" t="inlineStr">
        <is>
          <t>AKÜ,B-FLAT,DK,165AH,BLIZARO TREND,JANENE</t>
        </is>
      </c>
      <c r="D60" s="19" t="inlineStr">
        <is>
          <t>1</t>
        </is>
      </c>
      <c r="E60" t="n">
        <v>0</v>
      </c>
      <c r="I60" s="19" t="inlineStr">
        <is>
          <t>2</t>
        </is>
      </c>
      <c r="J60" t="inlineStr">
        <is>
          <t>2026-08-08</t>
        </is>
      </c>
      <c r="L60" s="19" t="inlineStr">
        <is>
          <t>1006428</t>
        </is>
      </c>
      <c r="M60" t="inlineStr">
        <is>
          <t>STATUS=IN OEM / EU PACKAGE; SOURCE_CFG=IA-ST-CFG-0052; MARKET=JANENE İSRAİL</t>
        </is>
      </c>
      <c r="N60" t="inlineStr">
        <is>
          <t>2026-08-10T19:29:54Z</t>
        </is>
      </c>
      <c r="O60" t="inlineStr">
        <is>
          <t>2026-08-10T19:29:54Z</t>
        </is>
      </c>
    </row>
    <row r="61">
      <c r="A61" s="19" t="inlineStr">
        <is>
          <t>60</t>
        </is>
      </c>
      <c r="B61" s="19" t="inlineStr">
        <is>
          <t>1006519</t>
        </is>
      </c>
      <c r="C61" t="inlineStr">
        <is>
          <t>AKÜ,C-IGYASMF,DK,200AH,İNCİFORMULATAURUS</t>
        </is>
      </c>
      <c r="D61" s="19" t="inlineStr">
        <is>
          <t>1</t>
        </is>
      </c>
      <c r="E61" t="n">
        <v>0</v>
      </c>
      <c r="I61" s="19" t="inlineStr">
        <is>
          <t>2</t>
        </is>
      </c>
      <c r="J61" t="inlineStr">
        <is>
          <t>2026-08-08</t>
        </is>
      </c>
      <c r="L61" s="19" t="inlineStr">
        <is>
          <t>1006519</t>
        </is>
      </c>
      <c r="M61" t="inlineStr">
        <is>
          <t>STATUS=IN OEM / EU PACKAGE; SOURCE_CFG=IA-ST-CFG-0023; MARKET=None</t>
        </is>
      </c>
      <c r="N61" t="inlineStr">
        <is>
          <t>2026-08-10T19:29:54Z</t>
        </is>
      </c>
      <c r="O61" t="inlineStr">
        <is>
          <t>2026-08-10T19:29:54Z</t>
        </is>
      </c>
    </row>
    <row r="62">
      <c r="A62" s="19" t="inlineStr">
        <is>
          <t>61</t>
        </is>
      </c>
      <c r="B62" s="19" t="inlineStr">
        <is>
          <t>1006640</t>
        </is>
      </c>
      <c r="C62" t="inlineStr">
        <is>
          <t>AKÜ,C-IGYASMF,DK,240AH,EAS ACTIVA</t>
        </is>
      </c>
      <c r="D62" s="19" t="inlineStr">
        <is>
          <t>1</t>
        </is>
      </c>
      <c r="E62" t="n">
        <v>0</v>
      </c>
      <c r="I62" s="19" t="inlineStr">
        <is>
          <t>2</t>
        </is>
      </c>
      <c r="J62" t="inlineStr">
        <is>
          <t>2026-08-08</t>
        </is>
      </c>
      <c r="L62" s="19" t="inlineStr">
        <is>
          <t>1006640</t>
        </is>
      </c>
      <c r="M62" t="inlineStr">
        <is>
          <t>STATUS=IN OEM / EU PACKAGE; SOURCE_CFG=IA-ST-CFG-0023; MARKET=None</t>
        </is>
      </c>
      <c r="N62" t="inlineStr">
        <is>
          <t>2026-08-10T19:29:54Z</t>
        </is>
      </c>
      <c r="O62" t="inlineStr">
        <is>
          <t>2026-08-10T19:29:54Z</t>
        </is>
      </c>
    </row>
    <row r="63">
      <c r="A63" s="19" t="inlineStr">
        <is>
          <t>62</t>
        </is>
      </c>
      <c r="B63" s="19" t="inlineStr">
        <is>
          <t>1006646</t>
        </is>
      </c>
      <c r="C63" t="inlineStr">
        <is>
          <t>AKÜ,A-IGYASMF,DK,120AH,HUGEL ULTRA</t>
        </is>
      </c>
      <c r="D63" s="19" t="inlineStr">
        <is>
          <t>1</t>
        </is>
      </c>
      <c r="E63" t="n">
        <v>0</v>
      </c>
      <c r="I63" s="19" t="inlineStr">
        <is>
          <t>2</t>
        </is>
      </c>
      <c r="J63" t="inlineStr">
        <is>
          <t>2026-08-08</t>
        </is>
      </c>
      <c r="L63" s="19" t="inlineStr">
        <is>
          <t>1006646</t>
        </is>
      </c>
      <c r="M63" t="inlineStr">
        <is>
          <t>STATUS=IN OEM / EU PACKAGE; SOURCE_CFG=IA-ST-CFG-0051; MARKET=None</t>
        </is>
      </c>
      <c r="N63" t="inlineStr">
        <is>
          <t>2026-08-10T19:29:54Z</t>
        </is>
      </c>
      <c r="O63" t="inlineStr">
        <is>
          <t>2026-08-10T19:29:54Z</t>
        </is>
      </c>
    </row>
    <row r="64">
      <c r="A64" s="19" t="inlineStr">
        <is>
          <t>63</t>
        </is>
      </c>
      <c r="B64" s="19" t="inlineStr">
        <is>
          <t>1006652</t>
        </is>
      </c>
      <c r="C64" t="inlineStr">
        <is>
          <t>AKÜ,LB2,DK,65AH,IGYA SMF,STARTCRAFT</t>
        </is>
      </c>
      <c r="D64" s="19" t="inlineStr">
        <is>
          <t>1</t>
        </is>
      </c>
      <c r="E64" t="n">
        <v>0</v>
      </c>
      <c r="I64" s="19" t="inlineStr">
        <is>
          <t>2</t>
        </is>
      </c>
      <c r="J64" t="inlineStr">
        <is>
          <t>2026-08-08</t>
        </is>
      </c>
      <c r="L64" s="19" t="inlineStr">
        <is>
          <t>1006652</t>
        </is>
      </c>
      <c r="M64" t="inlineStr">
        <is>
          <t>STATUS=IN OEM / EU PACKAGE; SOURCE_CFG=IA-ST-CFG-0241; MARKET=DORFELT ALMANYA</t>
        </is>
      </c>
      <c r="N64" t="inlineStr">
        <is>
          <t>2026-08-10T19:29:54Z</t>
        </is>
      </c>
      <c r="O64" t="inlineStr">
        <is>
          <t>2026-08-10T19:29:54Z</t>
        </is>
      </c>
    </row>
    <row r="65">
      <c r="A65" s="19" t="inlineStr">
        <is>
          <t>64</t>
        </is>
      </c>
      <c r="B65" s="19" t="inlineStr">
        <is>
          <t>1006654</t>
        </is>
      </c>
      <c r="C65" t="inlineStr">
        <is>
          <t>AKÜ,LB3,DK,75AH,IGYA SMF,STARTCRAFT</t>
        </is>
      </c>
      <c r="D65" s="19" t="inlineStr">
        <is>
          <t>1</t>
        </is>
      </c>
      <c r="E65" t="n">
        <v>0</v>
      </c>
      <c r="I65" s="19" t="inlineStr">
        <is>
          <t>2</t>
        </is>
      </c>
      <c r="J65" t="inlineStr">
        <is>
          <t>2026-08-08</t>
        </is>
      </c>
      <c r="L65" s="19" t="inlineStr">
        <is>
          <t>1006654</t>
        </is>
      </c>
      <c r="M65" t="inlineStr">
        <is>
          <t>STATUS=IN OEM / EU PACKAGE; SOURCE_CFG=IA-ST-CFG-0201; MARKET=DORFELT ALMANYA</t>
        </is>
      </c>
      <c r="N65" t="inlineStr">
        <is>
          <t>2026-08-10T19:29:54Z</t>
        </is>
      </c>
      <c r="O65" t="inlineStr">
        <is>
          <t>2026-08-10T19:29:54Z</t>
        </is>
      </c>
    </row>
    <row r="66">
      <c r="A66" s="19" t="inlineStr">
        <is>
          <t>65</t>
        </is>
      </c>
      <c r="B66" s="19" t="inlineStr">
        <is>
          <t>1006658</t>
        </is>
      </c>
      <c r="C66" t="inlineStr">
        <is>
          <t>AKÜ,LB5,DK,100AH,IGYA SMF,STARTCRAFT</t>
        </is>
      </c>
      <c r="D66" s="19" t="inlineStr">
        <is>
          <t>1</t>
        </is>
      </c>
      <c r="E66" t="n">
        <v>0</v>
      </c>
      <c r="I66" s="19" t="inlineStr">
        <is>
          <t>2</t>
        </is>
      </c>
      <c r="J66" t="inlineStr">
        <is>
          <t>2026-08-08</t>
        </is>
      </c>
      <c r="L66" s="19" t="inlineStr">
        <is>
          <t>1006658</t>
        </is>
      </c>
      <c r="M66" t="inlineStr">
        <is>
          <t>STATUS=IN OEM / EU PACKAGE; SOURCE_CFG=IA-ST-CFG-0118; MARKET=DORFELT ALMANYA</t>
        </is>
      </c>
      <c r="N66" t="inlineStr">
        <is>
          <t>2026-08-10T19:29:54Z</t>
        </is>
      </c>
      <c r="O66" t="inlineStr">
        <is>
          <t>2026-08-10T19:29:54Z</t>
        </is>
      </c>
    </row>
    <row r="67">
      <c r="A67" s="19" t="inlineStr">
        <is>
          <t>66</t>
        </is>
      </c>
      <c r="B67" s="19" t="inlineStr">
        <is>
          <t>1007017</t>
        </is>
      </c>
      <c r="C67" t="inlineStr">
        <is>
          <t>AKÜ,A-IGYSMF,DK,140AH,TPOWERPARTS,TEKSAN</t>
        </is>
      </c>
      <c r="D67" s="19" t="inlineStr">
        <is>
          <t>1</t>
        </is>
      </c>
      <c r="E67" t="n">
        <v>0</v>
      </c>
      <c r="I67" s="19" t="inlineStr">
        <is>
          <t>2</t>
        </is>
      </c>
      <c r="J67" t="inlineStr">
        <is>
          <t>2026-08-08</t>
        </is>
      </c>
      <c r="L67" s="19" t="inlineStr">
        <is>
          <t>1007017</t>
        </is>
      </c>
      <c r="M67" t="inlineStr">
        <is>
          <t>STATUS=IN OEM / EU PACKAGE; SOURCE_CFG=IA-ST-CFG-0039; MARKET=TEKSAN (Yurt İçi)</t>
        </is>
      </c>
      <c r="N67" t="inlineStr">
        <is>
          <t>2026-08-10T19:29:54Z</t>
        </is>
      </c>
      <c r="O67" t="inlineStr">
        <is>
          <t>2026-08-10T19:29:54Z</t>
        </is>
      </c>
    </row>
    <row r="68">
      <c r="A68" s="19" t="inlineStr">
        <is>
          <t>67</t>
        </is>
      </c>
      <c r="B68" s="19" t="inlineStr">
        <is>
          <t>1007018</t>
        </is>
      </c>
      <c r="C68" t="inlineStr">
        <is>
          <t>AKÜ,B-IGYSMF,DK,180AH,TPOWERPARTS,TEKSAN</t>
        </is>
      </c>
      <c r="D68" s="19" t="inlineStr">
        <is>
          <t>1</t>
        </is>
      </c>
      <c r="E68" t="n">
        <v>0</v>
      </c>
      <c r="I68" s="19" t="inlineStr">
        <is>
          <t>2</t>
        </is>
      </c>
      <c r="J68" t="inlineStr">
        <is>
          <t>2026-08-08</t>
        </is>
      </c>
      <c r="L68" s="19" t="inlineStr">
        <is>
          <t>1007018</t>
        </is>
      </c>
      <c r="M68" t="inlineStr">
        <is>
          <t>STATUS=IN OEM / EU PACKAGE; SOURCE_CFG=IA-ST-CFG-0029; MARKET=TEKSAN (Yurt İçi)</t>
        </is>
      </c>
      <c r="N68" t="inlineStr">
        <is>
          <t>2026-08-10T19:29:54Z</t>
        </is>
      </c>
      <c r="O68" t="inlineStr">
        <is>
          <t>2026-08-10T19:29:54Z</t>
        </is>
      </c>
    </row>
    <row r="69">
      <c r="A69" s="19" t="inlineStr">
        <is>
          <t>68</t>
        </is>
      </c>
      <c r="B69" s="19" t="inlineStr">
        <is>
          <t>1007482</t>
        </is>
      </c>
      <c r="C69" t="inlineStr">
        <is>
          <t>AKÜ,C-IGYASMF,DK,200AH,İNCİFORMULATAURUS</t>
        </is>
      </c>
      <c r="D69" s="19" t="inlineStr">
        <is>
          <t>1</t>
        </is>
      </c>
      <c r="E69" t="n">
        <v>0</v>
      </c>
      <c r="I69" s="19" t="inlineStr">
        <is>
          <t>2</t>
        </is>
      </c>
      <c r="J69" t="inlineStr">
        <is>
          <t>2026-08-08</t>
        </is>
      </c>
      <c r="L69" s="19" t="inlineStr">
        <is>
          <t>1007482</t>
        </is>
      </c>
      <c r="M69" t="inlineStr">
        <is>
          <t>STATUS=IN OEM / EU PACKAGE; SOURCE_CFG=IA-ST-CFG-0023; MARKET=None</t>
        </is>
      </c>
      <c r="N69" t="inlineStr">
        <is>
          <t>2026-08-10T19:29:54Z</t>
        </is>
      </c>
      <c r="O69" t="inlineStr">
        <is>
          <t>2026-08-10T19:29:54Z</t>
        </is>
      </c>
    </row>
    <row r="70">
      <c r="A70" s="19" t="inlineStr">
        <is>
          <t>69</t>
        </is>
      </c>
      <c r="B70" s="19" t="inlineStr">
        <is>
          <t>1007590</t>
        </is>
      </c>
      <c r="C70" t="inlineStr">
        <is>
          <t>AKÜ,A-IGYASMF,DK,140AH,HUGEL ULTRA</t>
        </is>
      </c>
      <c r="D70" s="19" t="inlineStr">
        <is>
          <t>1</t>
        </is>
      </c>
      <c r="E70" t="n">
        <v>0</v>
      </c>
      <c r="I70" s="19" t="inlineStr">
        <is>
          <t>2</t>
        </is>
      </c>
      <c r="J70" t="inlineStr">
        <is>
          <t>2026-08-08</t>
        </is>
      </c>
      <c r="L70" s="19" t="inlineStr">
        <is>
          <t>1007590</t>
        </is>
      </c>
      <c r="M70" t="inlineStr">
        <is>
          <t>STATUS=IN OEM / EU PACKAGE; SOURCE_CFG=IA-ST-CFG-0051; MARKET=None</t>
        </is>
      </c>
      <c r="N70" t="inlineStr">
        <is>
          <t>2026-08-10T19:29:54Z</t>
        </is>
      </c>
      <c r="O70" t="inlineStr">
        <is>
          <t>2026-08-10T19:29:54Z</t>
        </is>
      </c>
    </row>
    <row r="71">
      <c r="A71" s="19" t="inlineStr">
        <is>
          <t>70</t>
        </is>
      </c>
      <c r="B71" s="19" t="inlineStr">
        <is>
          <t>1007599</t>
        </is>
      </c>
      <c r="C71" t="inlineStr">
        <is>
          <t>AKÜ,TRACTORL,DK,105AH,İNCİ SUPRA,SHAWKAT</t>
        </is>
      </c>
      <c r="D71" s="19" t="inlineStr">
        <is>
          <t>1</t>
        </is>
      </c>
      <c r="E71" t="n">
        <v>0</v>
      </c>
      <c r="I71" s="19" t="inlineStr">
        <is>
          <t>2</t>
        </is>
      </c>
      <c r="J71" t="inlineStr">
        <is>
          <t>2026-08-08</t>
        </is>
      </c>
      <c r="L71" s="19" t="inlineStr">
        <is>
          <t>1007599</t>
        </is>
      </c>
      <c r="M71" t="inlineStr">
        <is>
          <t>STATUS=IN OEM / EU PACKAGE; SOURCE_CFG=IA-ST-CFG-0093; MARKET=SHAWKAT</t>
        </is>
      </c>
      <c r="N71" t="inlineStr">
        <is>
          <t>2026-08-10T19:29:54Z</t>
        </is>
      </c>
      <c r="O71" t="inlineStr">
        <is>
          <t>2026-08-10T19:29:54Z</t>
        </is>
      </c>
    </row>
    <row r="72">
      <c r="A72" s="19" t="inlineStr">
        <is>
          <t>71</t>
        </is>
      </c>
      <c r="B72" s="19" t="inlineStr">
        <is>
          <t>1007600</t>
        </is>
      </c>
      <c r="C72" t="inlineStr">
        <is>
          <t>AKÜ,A-FLAT,DK,120AH,İNCİ SUPRA,SHAWKAT</t>
        </is>
      </c>
      <c r="D72" s="19" t="inlineStr">
        <is>
          <t>1</t>
        </is>
      </c>
      <c r="E72" t="n">
        <v>0</v>
      </c>
      <c r="I72" s="19" t="inlineStr">
        <is>
          <t>2</t>
        </is>
      </c>
      <c r="J72" t="inlineStr">
        <is>
          <t>2026-08-08</t>
        </is>
      </c>
      <c r="L72" s="19" t="inlineStr">
        <is>
          <t>1007600</t>
        </is>
      </c>
      <c r="M72" t="inlineStr">
        <is>
          <t>STATUS=IN OEM / EU PACKAGE; SOURCE_CFG=IA-ST-CFG-0051; MARKET=SHAWKAT</t>
        </is>
      </c>
      <c r="N72" t="inlineStr">
        <is>
          <t>2026-08-10T19:29:54Z</t>
        </is>
      </c>
      <c r="O72" t="inlineStr">
        <is>
          <t>2026-08-10T19:29:54Z</t>
        </is>
      </c>
    </row>
    <row r="73">
      <c r="A73" s="19" t="inlineStr">
        <is>
          <t>72</t>
        </is>
      </c>
      <c r="B73" s="19" t="inlineStr">
        <is>
          <t>1007601</t>
        </is>
      </c>
      <c r="C73" t="inlineStr">
        <is>
          <t>AKÜ,A-FLAT,DK,137AH,İNCİ SUPRA,SHAWKAT</t>
        </is>
      </c>
      <c r="D73" s="19" t="inlineStr">
        <is>
          <t>1</t>
        </is>
      </c>
      <c r="E73" t="n">
        <v>0</v>
      </c>
      <c r="I73" s="19" t="inlineStr">
        <is>
          <t>2</t>
        </is>
      </c>
      <c r="J73" t="inlineStr">
        <is>
          <t>2026-08-08</t>
        </is>
      </c>
      <c r="L73" s="19" t="inlineStr">
        <is>
          <t>1007601</t>
        </is>
      </c>
      <c r="M73" t="inlineStr">
        <is>
          <t>STATUS=IN OEM / EU PACKAGE; SOURCE_CFG=IA-ST-CFG-0051; MARKET=SHAWKAT</t>
        </is>
      </c>
      <c r="N73" t="inlineStr">
        <is>
          <t>2026-08-10T19:29:54Z</t>
        </is>
      </c>
      <c r="O73" t="inlineStr">
        <is>
          <t>2026-08-10T19:29:54Z</t>
        </is>
      </c>
    </row>
    <row r="74">
      <c r="A74" s="19" t="inlineStr">
        <is>
          <t>73</t>
        </is>
      </c>
      <c r="B74" s="19" t="inlineStr">
        <is>
          <t>1007602</t>
        </is>
      </c>
      <c r="C74" t="inlineStr">
        <is>
          <t>AKÜ,B-FLAT,DK,152AH,İNCİ SUPRA,SHAWKAT</t>
        </is>
      </c>
      <c r="D74" s="19" t="inlineStr">
        <is>
          <t>1</t>
        </is>
      </c>
      <c r="E74" t="n">
        <v>0</v>
      </c>
      <c r="I74" s="19" t="inlineStr">
        <is>
          <t>2</t>
        </is>
      </c>
      <c r="J74" t="inlineStr">
        <is>
          <t>2026-08-08</t>
        </is>
      </c>
      <c r="L74" s="19" t="inlineStr">
        <is>
          <t>1007602</t>
        </is>
      </c>
      <c r="M74" t="inlineStr">
        <is>
          <t>STATUS=IN OEM / EU PACKAGE; SOURCE_CFG=IA-ST-CFG-0052; MARKET=SHAWKAT</t>
        </is>
      </c>
      <c r="N74" t="inlineStr">
        <is>
          <t>2026-08-10T19:29:54Z</t>
        </is>
      </c>
      <c r="O74" t="inlineStr">
        <is>
          <t>2026-08-10T19:29:54Z</t>
        </is>
      </c>
    </row>
    <row r="75">
      <c r="A75" s="19" t="inlineStr">
        <is>
          <t>74</t>
        </is>
      </c>
      <c r="B75" s="19" t="inlineStr">
        <is>
          <t>1007643</t>
        </is>
      </c>
      <c r="C75" t="inlineStr">
        <is>
          <t>AKÜ,A-FLAT,120AH,HUGEL ACTION,SHAWKAT</t>
        </is>
      </c>
      <c r="D75" s="19" t="inlineStr">
        <is>
          <t>1</t>
        </is>
      </c>
      <c r="E75" t="n">
        <v>0</v>
      </c>
      <c r="I75" s="19" t="inlineStr">
        <is>
          <t>2</t>
        </is>
      </c>
      <c r="J75" t="inlineStr">
        <is>
          <t>2026-08-08</t>
        </is>
      </c>
      <c r="L75" s="19" t="inlineStr">
        <is>
          <t>1007643</t>
        </is>
      </c>
      <c r="M75" t="inlineStr">
        <is>
          <t>STATUS=IN OEM / EU PACKAGE; SOURCE_CFG=IA-ST-CFG-0051; MARKET=SHAWKAT</t>
        </is>
      </c>
      <c r="N75" t="inlineStr">
        <is>
          <t>2026-08-10T19:29:54Z</t>
        </is>
      </c>
      <c r="O75" t="inlineStr">
        <is>
          <t>2026-08-10T19:29:54Z</t>
        </is>
      </c>
    </row>
    <row r="76">
      <c r="A76" s="19" t="inlineStr">
        <is>
          <t>75</t>
        </is>
      </c>
      <c r="B76" s="19" t="inlineStr">
        <is>
          <t>1007653</t>
        </is>
      </c>
      <c r="C76" t="inlineStr">
        <is>
          <t>AKÜ,TRACTORL,DK105AH,HUGELACTION,SHAWKAT</t>
        </is>
      </c>
      <c r="D76" s="19" t="inlineStr">
        <is>
          <t>1</t>
        </is>
      </c>
      <c r="E76" t="n">
        <v>0</v>
      </c>
      <c r="I76" s="19" t="inlineStr">
        <is>
          <t>2</t>
        </is>
      </c>
      <c r="J76" t="inlineStr">
        <is>
          <t>2026-08-08</t>
        </is>
      </c>
      <c r="L76" s="19" t="inlineStr">
        <is>
          <t>1007653</t>
        </is>
      </c>
      <c r="M76" t="inlineStr">
        <is>
          <t>STATUS=IN OEM / EU PACKAGE; SOURCE_CFG=IA-ST-CFG-0093; MARKET=SHAWKAT</t>
        </is>
      </c>
      <c r="N76" t="inlineStr">
        <is>
          <t>2026-08-10T19:29:54Z</t>
        </is>
      </c>
      <c r="O76" t="inlineStr">
        <is>
          <t>2026-08-10T19:29:54Z</t>
        </is>
      </c>
    </row>
    <row r="77">
      <c r="A77" s="19" t="inlineStr">
        <is>
          <t>76</t>
        </is>
      </c>
      <c r="B77" s="19" t="inlineStr">
        <is>
          <t>1007778</t>
        </is>
      </c>
      <c r="C77" t="inlineStr">
        <is>
          <t>AKÜ,B-IGYASMF,DK180AH,HUGELULTRA,SHAWKAT</t>
        </is>
      </c>
      <c r="D77" s="19" t="inlineStr">
        <is>
          <t>1</t>
        </is>
      </c>
      <c r="E77" t="n">
        <v>0</v>
      </c>
      <c r="I77" s="19" t="inlineStr">
        <is>
          <t>2</t>
        </is>
      </c>
      <c r="J77" t="inlineStr">
        <is>
          <t>2026-08-08</t>
        </is>
      </c>
      <c r="L77" s="19" t="inlineStr">
        <is>
          <t>1007778</t>
        </is>
      </c>
      <c r="M77" t="inlineStr">
        <is>
          <t>STATUS=IN OEM / EU PACKAGE; SOURCE_CFG=IA-ST-CFG-0052; MARKET=SHAWKAT</t>
        </is>
      </c>
      <c r="N77" t="inlineStr">
        <is>
          <t>2026-08-10T19:29:54Z</t>
        </is>
      </c>
      <c r="O77" t="inlineStr">
        <is>
          <t>2026-08-10T19:29:54Z</t>
        </is>
      </c>
    </row>
    <row r="78">
      <c r="A78" s="19" t="inlineStr">
        <is>
          <t>77</t>
        </is>
      </c>
      <c r="B78" s="19" t="inlineStr">
        <is>
          <t>1007985</t>
        </is>
      </c>
      <c r="C78" t="inlineStr">
        <is>
          <t>AKÜ,TRACTL,DK,115AH,HUGEL ACTION,SHAWKAT</t>
        </is>
      </c>
      <c r="D78" s="19" t="inlineStr">
        <is>
          <t>1</t>
        </is>
      </c>
      <c r="E78" t="n">
        <v>0</v>
      </c>
      <c r="I78" s="19" t="inlineStr">
        <is>
          <t>2</t>
        </is>
      </c>
      <c r="J78" t="inlineStr">
        <is>
          <t>2026-08-08</t>
        </is>
      </c>
      <c r="L78" s="19" t="inlineStr">
        <is>
          <t>1007985</t>
        </is>
      </c>
      <c r="M78" t="inlineStr">
        <is>
          <t>STATUS=IN OEM / EU PACKAGE; SOURCE_CFG=IA-ST-CFG-0093; MARKET=SHAWKAT</t>
        </is>
      </c>
      <c r="N78" t="inlineStr">
        <is>
          <t>2026-08-10T19:29:54Z</t>
        </is>
      </c>
      <c r="O78" t="inlineStr">
        <is>
          <t>2026-08-10T19:29:54Z</t>
        </is>
      </c>
    </row>
    <row r="79">
      <c r="A79" s="19" t="inlineStr">
        <is>
          <t>78</t>
        </is>
      </c>
      <c r="B79" s="19" t="inlineStr">
        <is>
          <t>1007995</t>
        </is>
      </c>
      <c r="C79" t="inlineStr">
        <is>
          <t>AKÜ,C-FLAT,DK,240AH,HUGEL ACTION,SHAWKAT</t>
        </is>
      </c>
      <c r="D79" s="19" t="inlineStr">
        <is>
          <t>1</t>
        </is>
      </c>
      <c r="E79" t="n">
        <v>0</v>
      </c>
      <c r="I79" s="19" t="inlineStr">
        <is>
          <t>2</t>
        </is>
      </c>
      <c r="J79" t="inlineStr">
        <is>
          <t>2026-08-08</t>
        </is>
      </c>
      <c r="L79" s="19" t="inlineStr">
        <is>
          <t>1007995</t>
        </is>
      </c>
      <c r="M79" t="inlineStr">
        <is>
          <t>STATUS=IN OEM / EU PACKAGE; SOURCE_CFG=IA-ST-CFG-0023; MARKET=SHAWKAT</t>
        </is>
      </c>
      <c r="N79" t="inlineStr">
        <is>
          <t>2026-08-10T19:29:54Z</t>
        </is>
      </c>
      <c r="O79" t="inlineStr">
        <is>
          <t>2026-08-10T19:29:54Z</t>
        </is>
      </c>
    </row>
    <row r="80">
      <c r="A80" s="19" t="inlineStr">
        <is>
          <t>79</t>
        </is>
      </c>
      <c r="B80" s="19" t="inlineStr">
        <is>
          <t>1008110</t>
        </is>
      </c>
      <c r="C80" t="inlineStr">
        <is>
          <t>AKÜ,C-IGYASMF,DK,240AH,İNCİFORMULA,EURO</t>
        </is>
      </c>
      <c r="D80" s="19" t="inlineStr">
        <is>
          <t>1</t>
        </is>
      </c>
      <c r="E80" t="n">
        <v>0</v>
      </c>
      <c r="I80" s="19" t="inlineStr">
        <is>
          <t>2</t>
        </is>
      </c>
      <c r="J80" t="inlineStr">
        <is>
          <t>2026-08-08</t>
        </is>
      </c>
      <c r="L80" s="19" t="inlineStr">
        <is>
          <t>1008110</t>
        </is>
      </c>
      <c r="M80" t="inlineStr">
        <is>
          <t>STATUS=IN OEM / EU PACKAGE; SOURCE_CFG=IA-ST-CFG-0014; MARKET=None</t>
        </is>
      </c>
      <c r="N80" t="inlineStr">
        <is>
          <t>2026-08-10T19:29:54Z</t>
        </is>
      </c>
      <c r="O80" t="inlineStr">
        <is>
          <t>2026-08-10T19:29:54Z</t>
        </is>
      </c>
    </row>
    <row r="81">
      <c r="A81" s="19" t="inlineStr">
        <is>
          <t>80</t>
        </is>
      </c>
      <c r="B81" s="19" t="inlineStr">
        <is>
          <t>1008113</t>
        </is>
      </c>
      <c r="C81" t="inlineStr">
        <is>
          <t>AKÜ,A-IGYASMF,DK,140AH,İNCİ FORM,EURO</t>
        </is>
      </c>
      <c r="D81" s="19" t="inlineStr">
        <is>
          <t>1</t>
        </is>
      </c>
      <c r="E81" t="n">
        <v>0</v>
      </c>
      <c r="I81" s="19" t="inlineStr">
        <is>
          <t>2</t>
        </is>
      </c>
      <c r="J81" t="inlineStr">
        <is>
          <t>2026-08-08</t>
        </is>
      </c>
      <c r="L81" s="19" t="inlineStr">
        <is>
          <t>1008113</t>
        </is>
      </c>
      <c r="M81" t="inlineStr">
        <is>
          <t>STATUS=IN OEM / EU PACKAGE; SOURCE_CFG=IA-ST-CFG-0039; MARKET=None</t>
        </is>
      </c>
      <c r="N81" t="inlineStr">
        <is>
          <t>2026-08-10T19:29:54Z</t>
        </is>
      </c>
      <c r="O81" t="inlineStr">
        <is>
          <t>2026-08-10T19:29:54Z</t>
        </is>
      </c>
    </row>
    <row r="82">
      <c r="A82" s="19" t="inlineStr">
        <is>
          <t>81</t>
        </is>
      </c>
      <c r="B82" s="19" t="inlineStr">
        <is>
          <t>1008180</t>
        </is>
      </c>
      <c r="C82" t="inlineStr">
        <is>
          <t>AKÜ,B-IGYA,TK,180AH,İNCİ SUPRA,TEMSA OEM</t>
        </is>
      </c>
      <c r="D82" s="19" t="inlineStr">
        <is>
          <t>1</t>
        </is>
      </c>
      <c r="E82" t="n">
        <v>0</v>
      </c>
      <c r="I82" s="19" t="inlineStr">
        <is>
          <t>2</t>
        </is>
      </c>
      <c r="J82" t="inlineStr">
        <is>
          <t>2026-08-08</t>
        </is>
      </c>
      <c r="L82" s="19" t="inlineStr">
        <is>
          <t>1008180</t>
        </is>
      </c>
      <c r="M82" t="inlineStr">
        <is>
          <t>STATUS=DOMESTIC-ONLY / NOT IN OEM PACKAGE; SOURCE_CFG=IA-ST-CFG-0002; MARKET=TEMSA (Yurt İçi)</t>
        </is>
      </c>
      <c r="N82" t="inlineStr">
        <is>
          <t>2026-08-10T19:29:54Z</t>
        </is>
      </c>
      <c r="O82" t="inlineStr">
        <is>
          <t>2026-08-10T19:29:54Z</t>
        </is>
      </c>
    </row>
    <row r="83">
      <c r="A83" s="19" t="inlineStr">
        <is>
          <t>82</t>
        </is>
      </c>
      <c r="B83" s="19" t="inlineStr">
        <is>
          <t>1008246</t>
        </is>
      </c>
      <c r="C83" t="inlineStr">
        <is>
          <t>AKÜ,L6,DK,KAMINA,110AH 950A,FIAT,OES</t>
        </is>
      </c>
      <c r="D83" s="19" t="inlineStr">
        <is>
          <t>1</t>
        </is>
      </c>
      <c r="E83" t="n">
        <v>0</v>
      </c>
      <c r="I83" s="19" t="inlineStr">
        <is>
          <t>2</t>
        </is>
      </c>
      <c r="J83" t="inlineStr">
        <is>
          <t>2026-08-08</t>
        </is>
      </c>
      <c r="L83" s="19" t="inlineStr">
        <is>
          <t>1008246</t>
        </is>
      </c>
      <c r="M83" t="inlineStr">
        <is>
          <t>STATUS=DOMESTIC-ONLY / NOT IN OEM PACKAGE; SOURCE_CFG=IA-ST-CFG-0041; MARKET=TOFAŞ (Yurt İçi)</t>
        </is>
      </c>
      <c r="N83" t="inlineStr">
        <is>
          <t>2026-08-10T19:29:54Z</t>
        </is>
      </c>
      <c r="O83" t="inlineStr">
        <is>
          <t>2026-08-10T19:29:54Z</t>
        </is>
      </c>
    </row>
    <row r="84">
      <c r="A84" s="19" t="inlineStr">
        <is>
          <t>83</t>
        </is>
      </c>
      <c r="B84" s="19" t="inlineStr">
        <is>
          <t>1008310</t>
        </is>
      </c>
      <c r="C84" t="inlineStr">
        <is>
          <t>AKÜ,C-IGYA,TK,225AH,İNCİ SUPRA,TEMSA OEM</t>
        </is>
      </c>
      <c r="D84" s="19" t="inlineStr">
        <is>
          <t>1</t>
        </is>
      </c>
      <c r="E84" t="n">
        <v>0</v>
      </c>
      <c r="I84" s="19" t="inlineStr">
        <is>
          <t>2</t>
        </is>
      </c>
      <c r="J84" t="inlineStr">
        <is>
          <t>2026-08-08</t>
        </is>
      </c>
      <c r="L84" s="19" t="inlineStr">
        <is>
          <t>1008310</t>
        </is>
      </c>
      <c r="M84" t="inlineStr">
        <is>
          <t>STATUS=DOMESTIC-ONLY / NOT IN OEM PACKAGE; SOURCE_CFG=IA-ST-CFG-0001; MARKET=TEMSA (Yurt İçi)</t>
        </is>
      </c>
      <c r="N84" t="inlineStr">
        <is>
          <t>2026-08-10T19:29:54Z</t>
        </is>
      </c>
      <c r="O84" t="inlineStr">
        <is>
          <t>2026-08-10T19:29:54Z</t>
        </is>
      </c>
    </row>
    <row r="85">
      <c r="A85" s="19" t="inlineStr">
        <is>
          <t>84</t>
        </is>
      </c>
      <c r="B85" s="19" t="inlineStr">
        <is>
          <t>1008311</t>
        </is>
      </c>
      <c r="C85" t="inlineStr">
        <is>
          <t>AKÜ,LB4,DK,85AH,IGYA SMF,STARTCRAFT</t>
        </is>
      </c>
      <c r="D85" s="19" t="inlineStr">
        <is>
          <t>1</t>
        </is>
      </c>
      <c r="E85" t="n">
        <v>0</v>
      </c>
      <c r="I85" s="19" t="inlineStr">
        <is>
          <t>2</t>
        </is>
      </c>
      <c r="J85" t="inlineStr">
        <is>
          <t>2026-08-08</t>
        </is>
      </c>
      <c r="L85" s="19" t="inlineStr">
        <is>
          <t>1008311</t>
        </is>
      </c>
      <c r="M85" t="inlineStr">
        <is>
          <t>STATUS=IN OEM / EU PACKAGE; SOURCE_CFG=IA-ST-CFG-0153; MARKET=DORFELT ALMANYA</t>
        </is>
      </c>
      <c r="N85" t="inlineStr">
        <is>
          <t>2026-08-10T19:29:54Z</t>
        </is>
      </c>
      <c r="O85" t="inlineStr">
        <is>
          <t>2026-08-10T19:29:54Z</t>
        </is>
      </c>
    </row>
    <row r="86">
      <c r="A86" s="19" t="inlineStr">
        <is>
          <t>85</t>
        </is>
      </c>
      <c r="B86" s="19" t="inlineStr">
        <is>
          <t>1008364</t>
        </is>
      </c>
      <c r="C86" t="inlineStr">
        <is>
          <t>AKÜ,B-FLAT,DK,180AH,İNCİ SUPRA,TEMSA OEM</t>
        </is>
      </c>
      <c r="D86" s="19" t="inlineStr">
        <is>
          <t>1</t>
        </is>
      </c>
      <c r="E86" t="n">
        <v>0</v>
      </c>
      <c r="I86" s="19" t="inlineStr">
        <is>
          <t>2</t>
        </is>
      </c>
      <c r="J86" t="inlineStr">
        <is>
          <t>2026-08-08</t>
        </is>
      </c>
      <c r="L86" s="19" t="inlineStr">
        <is>
          <t>1008364</t>
        </is>
      </c>
      <c r="M86" t="inlineStr">
        <is>
          <t>STATUS=DOMESTIC-ONLY / NOT IN OEM PACKAGE; SOURCE_CFG=IA-ST-CFG-0002; MARKET=TEMSA (Yurt İçi)</t>
        </is>
      </c>
      <c r="N86" t="inlineStr">
        <is>
          <t>2026-08-10T19:29:54Z</t>
        </is>
      </c>
      <c r="O86" t="inlineStr">
        <is>
          <t>2026-08-10T19:29:54Z</t>
        </is>
      </c>
    </row>
    <row r="87">
      <c r="A87" s="19" t="inlineStr">
        <is>
          <t>86</t>
        </is>
      </c>
      <c r="B87" s="19" t="inlineStr">
        <is>
          <t>1008365</t>
        </is>
      </c>
      <c r="C87" t="inlineStr">
        <is>
          <t>AKÜ,C-FLAT,DK,225AH,İNCİ SUPRA,TEMSA OEM</t>
        </is>
      </c>
      <c r="D87" s="19" t="inlineStr">
        <is>
          <t>1</t>
        </is>
      </c>
      <c r="E87" t="n">
        <v>0</v>
      </c>
      <c r="I87" s="19" t="inlineStr">
        <is>
          <t>2</t>
        </is>
      </c>
      <c r="J87" t="inlineStr">
        <is>
          <t>2026-08-08</t>
        </is>
      </c>
      <c r="L87" s="19" t="inlineStr">
        <is>
          <t>1008365</t>
        </is>
      </c>
      <c r="M87" t="inlineStr">
        <is>
          <t>STATUS=DOMESTIC-ONLY / NOT IN OEM PACKAGE; SOURCE_CFG=IA-ST-CFG-0001; MARKET=TEMSA (Yurt İçi)</t>
        </is>
      </c>
      <c r="N87" t="inlineStr">
        <is>
          <t>2026-08-10T19:29:54Z</t>
        </is>
      </c>
      <c r="O87" t="inlineStr">
        <is>
          <t>2026-08-10T19:29:54Z</t>
        </is>
      </c>
    </row>
    <row r="88">
      <c r="A88" s="19" t="inlineStr">
        <is>
          <t>87</t>
        </is>
      </c>
      <c r="B88" s="19" t="inlineStr">
        <is>
          <t>1008522</t>
        </is>
      </c>
      <c r="C88" t="inlineStr">
        <is>
          <t>AKÜ AGM,L3,DK,70AH,EAS AGM,EURO</t>
        </is>
      </c>
      <c r="D88" s="19" t="inlineStr">
        <is>
          <t>1</t>
        </is>
      </c>
      <c r="E88" t="n">
        <v>0</v>
      </c>
      <c r="I88" s="19" t="inlineStr">
        <is>
          <t>2</t>
        </is>
      </c>
      <c r="J88" t="inlineStr">
        <is>
          <t>2026-08-08</t>
        </is>
      </c>
      <c r="L88" s="19" t="inlineStr">
        <is>
          <t>1008522</t>
        </is>
      </c>
      <c r="M88" t="inlineStr">
        <is>
          <t>STATUS=IN OEM / EU PACKAGE; SOURCE_CFG=IA-ST-CFG-0200; MARKET=None</t>
        </is>
      </c>
      <c r="N88" t="inlineStr">
        <is>
          <t>2026-08-10T19:29:54Z</t>
        </is>
      </c>
      <c r="O88" t="inlineStr">
        <is>
          <t>2026-08-10T19:29:54Z</t>
        </is>
      </c>
    </row>
    <row r="89">
      <c r="A89" s="19" t="inlineStr">
        <is>
          <t>88</t>
        </is>
      </c>
      <c r="B89" s="19" t="inlineStr">
        <is>
          <t>1008524</t>
        </is>
      </c>
      <c r="C89" t="inlineStr">
        <is>
          <t>AKÜ AGM,L5,DK,92AH,BLIZZARO AGM S&amp;S,EURO</t>
        </is>
      </c>
      <c r="D89" s="19" t="inlineStr">
        <is>
          <t>1</t>
        </is>
      </c>
      <c r="E89" t="n">
        <v>0</v>
      </c>
      <c r="I89" s="19" t="inlineStr">
        <is>
          <t>2</t>
        </is>
      </c>
      <c r="J89" t="inlineStr">
        <is>
          <t>2026-08-08</t>
        </is>
      </c>
      <c r="L89" s="19" t="inlineStr">
        <is>
          <t>1008524</t>
        </is>
      </c>
      <c r="M89" t="inlineStr">
        <is>
          <t>STATUS=IN OEM / EU PACKAGE; SOURCE_CFG=IA-ST-CFG-0116; MARKET=None</t>
        </is>
      </c>
      <c r="N89" t="inlineStr">
        <is>
          <t>2026-08-10T19:29:54Z</t>
        </is>
      </c>
      <c r="O89" t="inlineStr">
        <is>
          <t>2026-08-10T19:29:54Z</t>
        </is>
      </c>
    </row>
    <row r="90">
      <c r="A90" s="19" t="inlineStr">
        <is>
          <t>89</t>
        </is>
      </c>
      <c r="B90" s="19" t="inlineStr">
        <is>
          <t>1008527</t>
        </is>
      </c>
      <c r="C90" t="inlineStr">
        <is>
          <t>AKÜ,C-FLAT,DK,225AH,EAS PRIDE</t>
        </is>
      </c>
      <c r="D90" s="19" t="inlineStr">
        <is>
          <t>1</t>
        </is>
      </c>
      <c r="E90" t="n">
        <v>0</v>
      </c>
      <c r="I90" s="19" t="inlineStr">
        <is>
          <t>2</t>
        </is>
      </c>
      <c r="J90" t="inlineStr">
        <is>
          <t>2026-08-08</t>
        </is>
      </c>
      <c r="L90" s="19" t="inlineStr">
        <is>
          <t>1008527</t>
        </is>
      </c>
      <c r="M90" t="inlineStr">
        <is>
          <t>STATUS=IN OEM / EU PACKAGE; SOURCE_CFG=IA-ST-CFG-0023; MARKET=None</t>
        </is>
      </c>
      <c r="N90" t="inlineStr">
        <is>
          <t>2026-08-10T19:29:54Z</t>
        </is>
      </c>
      <c r="O90" t="inlineStr">
        <is>
          <t>2026-08-10T19:29:54Z</t>
        </is>
      </c>
    </row>
    <row r="91">
      <c r="A91" s="19" t="inlineStr">
        <is>
          <t>90</t>
        </is>
      </c>
      <c r="B91" s="19" t="inlineStr">
        <is>
          <t>1008599</t>
        </is>
      </c>
      <c r="C91" t="inlineStr">
        <is>
          <t>AKÜ,C-IGYSMF,DK240AH,İNCİFORMTAURS,TEMSA</t>
        </is>
      </c>
      <c r="D91" s="19" t="inlineStr">
        <is>
          <t>1</t>
        </is>
      </c>
      <c r="E91" t="n">
        <v>0</v>
      </c>
      <c r="I91" s="19" t="inlineStr">
        <is>
          <t>2</t>
        </is>
      </c>
      <c r="J91" t="inlineStr">
        <is>
          <t>2026-08-08</t>
        </is>
      </c>
      <c r="L91" s="19" t="inlineStr">
        <is>
          <t>1008599</t>
        </is>
      </c>
      <c r="M91" t="inlineStr">
        <is>
          <t>STATUS=DOMESTIC-ONLY / NOT IN OEM PACKAGE; SOURCE_CFG=IA-ST-CFG-0001; MARKET=TEMSA (Yurt İçi)</t>
        </is>
      </c>
      <c r="N91" t="inlineStr">
        <is>
          <t>2026-08-10T19:29:54Z</t>
        </is>
      </c>
      <c r="O91" t="inlineStr">
        <is>
          <t>2026-08-10T19:29:54Z</t>
        </is>
      </c>
    </row>
    <row r="92">
      <c r="A92" s="19" t="inlineStr">
        <is>
          <t>91</t>
        </is>
      </c>
      <c r="B92" s="19" t="inlineStr">
        <is>
          <t>1008731</t>
        </is>
      </c>
      <c r="C92" t="inlineStr">
        <is>
          <t>AKÜ,TRAKTÖRL,DK,115AH,EAS PRIDE,İÇ PYS</t>
        </is>
      </c>
      <c r="D92" s="19" t="inlineStr">
        <is>
          <t>1</t>
        </is>
      </c>
      <c r="E92" t="n">
        <v>0</v>
      </c>
      <c r="I92" s="19" t="inlineStr">
        <is>
          <t>2</t>
        </is>
      </c>
      <c r="J92" t="inlineStr">
        <is>
          <t>2026-08-08</t>
        </is>
      </c>
      <c r="L92" s="19" t="inlineStr">
        <is>
          <t>1008731</t>
        </is>
      </c>
      <c r="M92" t="inlineStr">
        <is>
          <t>STATUS=IN OEM / EU PACKAGE; SOURCE_CFG=IA-ST-CFG-0097; MARKET=YURT İÇİ AFM</t>
        </is>
      </c>
      <c r="N92" t="inlineStr">
        <is>
          <t>2026-08-10T19:29:54Z</t>
        </is>
      </c>
      <c r="O92" t="inlineStr">
        <is>
          <t>2026-08-10T19:29:54Z</t>
        </is>
      </c>
    </row>
    <row r="93">
      <c r="A93" s="19" t="inlineStr">
        <is>
          <t>92</t>
        </is>
      </c>
      <c r="B93" s="19" t="inlineStr">
        <is>
          <t>1008794</t>
        </is>
      </c>
      <c r="C93" t="inlineStr">
        <is>
          <t>AKÜ,B-FLAT,DK,190AH,HUGEL ACTION,METRA</t>
        </is>
      </c>
      <c r="D93" s="19" t="inlineStr">
        <is>
          <t>1</t>
        </is>
      </c>
      <c r="E93" t="n">
        <v>0</v>
      </c>
      <c r="I93" s="19" t="inlineStr">
        <is>
          <t>2</t>
        </is>
      </c>
      <c r="J93" t="inlineStr">
        <is>
          <t>2026-08-08</t>
        </is>
      </c>
      <c r="L93" s="19" t="inlineStr">
        <is>
          <t>1008794</t>
        </is>
      </c>
      <c r="M93" t="inlineStr">
        <is>
          <t>STATUS=IN OEM / EU PACKAGE; SOURCE_CFG=IA-ST-CFG-0052; MARKET=None</t>
        </is>
      </c>
      <c r="N93" t="inlineStr">
        <is>
          <t>2026-08-10T19:29:54Z</t>
        </is>
      </c>
      <c r="O93" t="inlineStr">
        <is>
          <t>2026-08-10T19:29:54Z</t>
        </is>
      </c>
    </row>
    <row r="94">
      <c r="A94" s="19" t="inlineStr">
        <is>
          <t>93</t>
        </is>
      </c>
      <c r="B94" s="19" t="inlineStr">
        <is>
          <t>1008836</t>
        </is>
      </c>
      <c r="C94" t="inlineStr">
        <is>
          <t>AKÜ,C-IGYASMF,DK,225AH,HUGELULTRA,NASA</t>
        </is>
      </c>
      <c r="D94" s="19" t="inlineStr">
        <is>
          <t>1</t>
        </is>
      </c>
      <c r="E94" t="n">
        <v>0</v>
      </c>
      <c r="I94" s="19" t="inlineStr">
        <is>
          <t>2</t>
        </is>
      </c>
      <c r="J94" t="inlineStr">
        <is>
          <t>2026-08-08</t>
        </is>
      </c>
      <c r="L94" s="19" t="inlineStr">
        <is>
          <t>1008836</t>
        </is>
      </c>
      <c r="M94" t="inlineStr">
        <is>
          <t>STATUS=IN OEM / EU PACKAGE; SOURCE_CFG=IA-ST-CFG-0023; MARKET=NASA</t>
        </is>
      </c>
      <c r="N94" t="inlineStr">
        <is>
          <t>2026-08-10T19:29:54Z</t>
        </is>
      </c>
      <c r="O94" t="inlineStr">
        <is>
          <t>2026-08-10T19:29:54Z</t>
        </is>
      </c>
    </row>
    <row r="95">
      <c r="A95" s="19" t="inlineStr">
        <is>
          <t>94</t>
        </is>
      </c>
      <c r="B95" s="19" t="inlineStr">
        <is>
          <t>1008839</t>
        </is>
      </c>
      <c r="C95" t="inlineStr">
        <is>
          <t>AKÜ,A-IGYASMF,DK,140AH,HUGEL ULTRA,NASA</t>
        </is>
      </c>
      <c r="D95" s="19" t="inlineStr">
        <is>
          <t>1</t>
        </is>
      </c>
      <c r="E95" t="n">
        <v>0</v>
      </c>
      <c r="I95" s="19" t="inlineStr">
        <is>
          <t>2</t>
        </is>
      </c>
      <c r="J95" t="inlineStr">
        <is>
          <t>2026-08-08</t>
        </is>
      </c>
      <c r="L95" s="19" t="inlineStr">
        <is>
          <t>1008839</t>
        </is>
      </c>
      <c r="M95" t="inlineStr">
        <is>
          <t>STATUS=IN OEM / EU PACKAGE; SOURCE_CFG=IA-ST-CFG-0051; MARKET=NASA</t>
        </is>
      </c>
      <c r="N95" t="inlineStr">
        <is>
          <t>2026-08-10T19:29:54Z</t>
        </is>
      </c>
      <c r="O95" t="inlineStr">
        <is>
          <t>2026-08-10T19:29:54Z</t>
        </is>
      </c>
    </row>
    <row r="96">
      <c r="A96" s="19" t="inlineStr">
        <is>
          <t>95</t>
        </is>
      </c>
      <c r="B96" s="19" t="inlineStr">
        <is>
          <t>1008854</t>
        </is>
      </c>
      <c r="C96" t="inlineStr">
        <is>
          <t>AKÜ SULU,L6,DK,105AH,KAMINA,PSA,EF,OES</t>
        </is>
      </c>
      <c r="D96" s="19" t="inlineStr">
        <is>
          <t>1</t>
        </is>
      </c>
      <c r="E96" t="n">
        <v>0</v>
      </c>
      <c r="I96" s="19" t="inlineStr">
        <is>
          <t>2</t>
        </is>
      </c>
      <c r="J96" t="inlineStr">
        <is>
          <t>2026-08-08</t>
        </is>
      </c>
      <c r="L96" s="19" t="inlineStr">
        <is>
          <t>1008854</t>
        </is>
      </c>
      <c r="M96" t="inlineStr">
        <is>
          <t>STATUS=IN OEM / EU PACKAGE; SOURCE_CFG=IA-ST-CFG-0005; MARKET=PSA (Yurt Dışı)</t>
        </is>
      </c>
      <c r="N96" t="inlineStr">
        <is>
          <t>2026-08-10T19:29:54Z</t>
        </is>
      </c>
      <c r="O96" t="inlineStr">
        <is>
          <t>2026-08-10T19:29:54Z</t>
        </is>
      </c>
    </row>
    <row r="97">
      <c r="A97" s="19" t="inlineStr">
        <is>
          <t>96</t>
        </is>
      </c>
      <c r="B97" s="19" t="inlineStr">
        <is>
          <t>1008926</t>
        </is>
      </c>
      <c r="C97" t="inlineStr">
        <is>
          <t>AKÜ,TRACTORL,DK,105AH,HUGEL ACTION,İÇPYS</t>
        </is>
      </c>
      <c r="D97" s="19" t="inlineStr">
        <is>
          <t>1</t>
        </is>
      </c>
      <c r="E97" t="n">
        <v>0</v>
      </c>
      <c r="I97" s="19" t="inlineStr">
        <is>
          <t>2</t>
        </is>
      </c>
      <c r="J97" t="inlineStr">
        <is>
          <t>2026-08-08</t>
        </is>
      </c>
      <c r="L97" s="19" t="inlineStr">
        <is>
          <t>1008926</t>
        </is>
      </c>
      <c r="M97" t="inlineStr">
        <is>
          <t>STATUS=IN OEM / EU PACKAGE; SOURCE_CFG=IA-ST-CFG-0097; MARKET=YURT İÇİ AFM</t>
        </is>
      </c>
      <c r="N97" t="inlineStr">
        <is>
          <t>2026-08-10T19:29:54Z</t>
        </is>
      </c>
      <c r="O97" t="inlineStr">
        <is>
          <t>2026-08-10T19:29:54Z</t>
        </is>
      </c>
    </row>
    <row r="98">
      <c r="A98" s="19" t="inlineStr">
        <is>
          <t>97</t>
        </is>
      </c>
      <c r="B98" s="19" t="inlineStr">
        <is>
          <t>1008964</t>
        </is>
      </c>
      <c r="C98" t="inlineStr">
        <is>
          <t>AKÜ SULU,TRC,DK,125AH,HUGEL ACTION,NASA</t>
        </is>
      </c>
      <c r="D98" s="19" t="inlineStr">
        <is>
          <t>1</t>
        </is>
      </c>
      <c r="E98" t="n">
        <v>0</v>
      </c>
      <c r="I98" s="19" t="inlineStr">
        <is>
          <t>2</t>
        </is>
      </c>
      <c r="J98" t="inlineStr">
        <is>
          <t>2026-08-08</t>
        </is>
      </c>
      <c r="L98" s="19" t="inlineStr">
        <is>
          <t>1008964</t>
        </is>
      </c>
      <c r="M98" t="inlineStr">
        <is>
          <t>STATUS=IN OEM / EU PACKAGE; SOURCE_CFG=IA-ST-CFG-0093; MARKET=NASA</t>
        </is>
      </c>
      <c r="N98" t="inlineStr">
        <is>
          <t>2026-08-10T19:29:54Z</t>
        </is>
      </c>
      <c r="O98" t="inlineStr">
        <is>
          <t>2026-08-10T19:29:54Z</t>
        </is>
      </c>
    </row>
    <row r="99">
      <c r="A99" s="19" t="inlineStr">
        <is>
          <t>98</t>
        </is>
      </c>
      <c r="B99" s="19" t="inlineStr">
        <is>
          <t>1009029</t>
        </is>
      </c>
      <c r="C99" t="inlineStr">
        <is>
          <t>AKÜ SULU,AGM,L6,DK,105AH,KAMN,BMC</t>
        </is>
      </c>
      <c r="D99" s="19" t="inlineStr">
        <is>
          <t>1</t>
        </is>
      </c>
      <c r="E99" t="n">
        <v>0</v>
      </c>
      <c r="I99" s="19" t="inlineStr">
        <is>
          <t>2</t>
        </is>
      </c>
      <c r="J99" t="inlineStr">
        <is>
          <t>2026-08-08</t>
        </is>
      </c>
      <c r="L99" s="19" t="inlineStr">
        <is>
          <t>1009029</t>
        </is>
      </c>
      <c r="M99" t="inlineStr">
        <is>
          <t>STATUS=DOMESTIC-ONLY / NOT IN OEM PACKAGE; SOURCE_CFG=IA-ST-CFG-0007; MARKET=BMC (Yurt İçi)</t>
        </is>
      </c>
      <c r="N99" t="inlineStr">
        <is>
          <t>2026-08-10T19:29:54Z</t>
        </is>
      </c>
      <c r="O99" t="inlineStr">
        <is>
          <t>2026-08-10T19:29:54Z</t>
        </is>
      </c>
    </row>
    <row r="100">
      <c r="A100" s="19" t="inlineStr">
        <is>
          <t>99</t>
        </is>
      </c>
      <c r="B100" s="19" t="inlineStr">
        <is>
          <t>1009087</t>
        </is>
      </c>
      <c r="C100" t="inlineStr">
        <is>
          <t>AKÜ,TRACTOR,TK,125AH,B01,SUPRA,ERKUNT</t>
        </is>
      </c>
      <c r="D100" s="19" t="inlineStr">
        <is>
          <t>1</t>
        </is>
      </c>
      <c r="E100" t="n">
        <v>0</v>
      </c>
      <c r="I100" s="19" t="inlineStr">
        <is>
          <t>2</t>
        </is>
      </c>
      <c r="J100" t="inlineStr">
        <is>
          <t>2026-08-08</t>
        </is>
      </c>
      <c r="L100" s="19" t="inlineStr">
        <is>
          <t>1009087</t>
        </is>
      </c>
      <c r="M100" t="inlineStr">
        <is>
          <t>STATUS=DOMESTIC-ONLY / NOT IN OEM PACKAGE; SOURCE_CFG=IA-ST-CFG-0007; MARKET=ERKUNT (Yurt İçi)</t>
        </is>
      </c>
      <c r="N100" t="inlineStr">
        <is>
          <t>2026-08-10T19:29:54Z</t>
        </is>
      </c>
      <c r="O100" t="inlineStr">
        <is>
          <t>2026-08-10T19:29:54Z</t>
        </is>
      </c>
    </row>
    <row r="101">
      <c r="A101" s="19" t="inlineStr">
        <is>
          <t>100</t>
        </is>
      </c>
      <c r="B101" s="19" t="inlineStr">
        <is>
          <t>1009116</t>
        </is>
      </c>
      <c r="C101" t="inlineStr">
        <is>
          <t>AKÜ,B-IGYASMF,DK,180AH,İNCİFORMULA,EURO</t>
        </is>
      </c>
      <c r="D101" s="19" t="inlineStr">
        <is>
          <t>1</t>
        </is>
      </c>
      <c r="E101" t="n">
        <v>0</v>
      </c>
      <c r="I101" s="19" t="inlineStr">
        <is>
          <t>2</t>
        </is>
      </c>
      <c r="J101" t="inlineStr">
        <is>
          <t>2026-08-08</t>
        </is>
      </c>
      <c r="L101" s="19" t="inlineStr">
        <is>
          <t>1009116</t>
        </is>
      </c>
      <c r="M101" t="inlineStr">
        <is>
          <t>STATUS=IN OEM / EU PACKAGE; SOURCE_CFG=IA-ST-CFG-0029; MARKET=None</t>
        </is>
      </c>
      <c r="N101" t="inlineStr">
        <is>
          <t>2026-08-10T19:29:54Z</t>
        </is>
      </c>
      <c r="O101" t="inlineStr">
        <is>
          <t>2026-08-10T19:29:54Z</t>
        </is>
      </c>
    </row>
    <row r="102">
      <c r="A102" s="19" t="inlineStr">
        <is>
          <t>101</t>
        </is>
      </c>
      <c r="B102" s="19" t="inlineStr">
        <is>
          <t>1009129</t>
        </is>
      </c>
      <c r="C102" t="inlineStr">
        <is>
          <t>AKÜ,C-IGYASMF,DK,225AH,BİZZAROSILVERLN</t>
        </is>
      </c>
      <c r="D102" s="19" t="inlineStr">
        <is>
          <t>1</t>
        </is>
      </c>
      <c r="E102" t="n">
        <v>0</v>
      </c>
      <c r="I102" s="19" t="inlineStr">
        <is>
          <t>2</t>
        </is>
      </c>
      <c r="J102" t="inlineStr">
        <is>
          <t>2026-08-08</t>
        </is>
      </c>
      <c r="L102" s="19" t="inlineStr">
        <is>
          <t>1009129</t>
        </is>
      </c>
      <c r="M102" t="inlineStr">
        <is>
          <t>STATUS=IN OEM / EU PACKAGE; SOURCE_CFG=IA-ST-CFG-0023; MARKET=None</t>
        </is>
      </c>
      <c r="N102" t="inlineStr">
        <is>
          <t>2026-08-10T19:29:54Z</t>
        </is>
      </c>
      <c r="O102" t="inlineStr">
        <is>
          <t>2026-08-10T19:29:54Z</t>
        </is>
      </c>
    </row>
    <row r="103">
      <c r="A103" s="19" t="inlineStr">
        <is>
          <t>102</t>
        </is>
      </c>
      <c r="B103" s="19" t="inlineStr">
        <is>
          <t>1009148</t>
        </is>
      </c>
      <c r="C103" t="inlineStr">
        <is>
          <t>AKÜ,C-IGYASMF,DK,225AH,HUGELULTRA,NACITA</t>
        </is>
      </c>
      <c r="D103" s="19" t="inlineStr">
        <is>
          <t>1</t>
        </is>
      </c>
      <c r="E103" t="n">
        <v>0</v>
      </c>
      <c r="I103" s="19" t="inlineStr">
        <is>
          <t>2</t>
        </is>
      </c>
      <c r="J103" t="inlineStr">
        <is>
          <t>2026-08-08</t>
        </is>
      </c>
      <c r="L103" s="19" t="inlineStr">
        <is>
          <t>1009148</t>
        </is>
      </c>
      <c r="M103" t="inlineStr">
        <is>
          <t>STATUS=IN OEM / EU PACKAGE; SOURCE_CFG=IA-ST-CFG-0023; MARKET=MISIR NACITA</t>
        </is>
      </c>
      <c r="N103" t="inlineStr">
        <is>
          <t>2026-08-10T19:29:54Z</t>
        </is>
      </c>
      <c r="O103" t="inlineStr">
        <is>
          <t>2026-08-10T19:29:54Z</t>
        </is>
      </c>
    </row>
    <row r="104">
      <c r="A104" s="19" t="inlineStr">
        <is>
          <t>103</t>
        </is>
      </c>
      <c r="B104" s="19" t="inlineStr">
        <is>
          <t>1009149</t>
        </is>
      </c>
      <c r="C104" t="inlineStr">
        <is>
          <t>AKÜ,C-IGYASMF,DK,200AH,HUGELULTRA,NACITA</t>
        </is>
      </c>
      <c r="D104" s="19" t="inlineStr">
        <is>
          <t>1</t>
        </is>
      </c>
      <c r="E104" t="n">
        <v>0</v>
      </c>
      <c r="I104" s="19" t="inlineStr">
        <is>
          <t>2</t>
        </is>
      </c>
      <c r="J104" t="inlineStr">
        <is>
          <t>2026-08-08</t>
        </is>
      </c>
      <c r="L104" s="19" t="inlineStr">
        <is>
          <t>1009149</t>
        </is>
      </c>
      <c r="M104" t="inlineStr">
        <is>
          <t>STATUS=IN OEM / EU PACKAGE; SOURCE_CFG=IA-ST-CFG-0023; MARKET=MISIR NACITA</t>
        </is>
      </c>
      <c r="N104" t="inlineStr">
        <is>
          <t>2026-08-10T19:29:54Z</t>
        </is>
      </c>
      <c r="O104" t="inlineStr">
        <is>
          <t>2026-08-10T19:29:54Z</t>
        </is>
      </c>
    </row>
    <row r="105">
      <c r="A105" s="19" t="inlineStr">
        <is>
          <t>104</t>
        </is>
      </c>
      <c r="B105" s="19" t="inlineStr">
        <is>
          <t>1009163</t>
        </is>
      </c>
      <c r="C105" t="inlineStr">
        <is>
          <t>AKÜ,C-IGYASMF,DK,200AH,BLIZSILVRL,MISIR</t>
        </is>
      </c>
      <c r="D105" s="19" t="inlineStr">
        <is>
          <t>1</t>
        </is>
      </c>
      <c r="E105" t="n">
        <v>0</v>
      </c>
      <c r="I105" s="19" t="inlineStr">
        <is>
          <t>2</t>
        </is>
      </c>
      <c r="J105" t="inlineStr">
        <is>
          <t>2026-08-08</t>
        </is>
      </c>
      <c r="L105" s="19" t="inlineStr">
        <is>
          <t>1009163</t>
        </is>
      </c>
      <c r="M105" t="inlineStr">
        <is>
          <t>STATUS=IN OEM / EU PACKAGE; SOURCE_CFG=IA-ST-CFG-0023; MARKET=MISIR AL AMAN</t>
        </is>
      </c>
      <c r="N105" t="inlineStr">
        <is>
          <t>2026-08-10T19:29:54Z</t>
        </is>
      </c>
      <c r="O105" t="inlineStr">
        <is>
          <t>2026-08-10T19:29:54Z</t>
        </is>
      </c>
    </row>
    <row r="106">
      <c r="A106" s="19" t="inlineStr">
        <is>
          <t>105</t>
        </is>
      </c>
      <c r="B106" s="19" t="inlineStr">
        <is>
          <t>1009175</t>
        </is>
      </c>
      <c r="C106" t="inlineStr">
        <is>
          <t>AKÜ,B-IGYASMF,DK,150AH,HUGELULTRA,NACITA</t>
        </is>
      </c>
      <c r="D106" s="19" t="inlineStr">
        <is>
          <t>1</t>
        </is>
      </c>
      <c r="E106" t="n">
        <v>0</v>
      </c>
      <c r="I106" s="19" t="inlineStr">
        <is>
          <t>2</t>
        </is>
      </c>
      <c r="J106" t="inlineStr">
        <is>
          <t>2026-08-08</t>
        </is>
      </c>
      <c r="L106" s="19" t="inlineStr">
        <is>
          <t>1009175</t>
        </is>
      </c>
      <c r="M106" t="inlineStr">
        <is>
          <t>STATUS=IN OEM / EU PACKAGE; SOURCE_CFG=IA-ST-CFG-0052; MARKET=MISIR NACITA</t>
        </is>
      </c>
      <c r="N106" t="inlineStr">
        <is>
          <t>2026-08-10T19:29:54Z</t>
        </is>
      </c>
      <c r="O106" t="inlineStr">
        <is>
          <t>2026-08-10T19:29:54Z</t>
        </is>
      </c>
    </row>
    <row r="107">
      <c r="A107" s="19" t="inlineStr">
        <is>
          <t>106</t>
        </is>
      </c>
      <c r="B107" s="19" t="inlineStr">
        <is>
          <t>1009176</t>
        </is>
      </c>
      <c r="C107" t="inlineStr">
        <is>
          <t>AKÜ,B-IGYASMF,DK,150AH,BLIZSILVRL,MISIR</t>
        </is>
      </c>
      <c r="D107" s="19" t="inlineStr">
        <is>
          <t>1</t>
        </is>
      </c>
      <c r="E107" t="n">
        <v>0</v>
      </c>
      <c r="I107" s="19" t="inlineStr">
        <is>
          <t>2</t>
        </is>
      </c>
      <c r="J107" t="inlineStr">
        <is>
          <t>2026-08-08</t>
        </is>
      </c>
      <c r="L107" s="19" t="inlineStr">
        <is>
          <t>1009176</t>
        </is>
      </c>
      <c r="M107" t="inlineStr">
        <is>
          <t>STATUS=IN OEM / EU PACKAGE; SOURCE_CFG=IA-ST-CFG-0052; MARKET=MISIR AL AMAN</t>
        </is>
      </c>
      <c r="N107" t="inlineStr">
        <is>
          <t>2026-08-10T19:29:54Z</t>
        </is>
      </c>
      <c r="O107" t="inlineStr">
        <is>
          <t>2026-08-10T19:29:54Z</t>
        </is>
      </c>
    </row>
    <row r="108">
      <c r="A108" s="19" t="inlineStr">
        <is>
          <t>107</t>
        </is>
      </c>
      <c r="B108" s="19" t="inlineStr">
        <is>
          <t>1009270</t>
        </is>
      </c>
      <c r="C108" t="inlineStr">
        <is>
          <t>AKÜ,B-FLAT,DK,150AH,YUASA-CV,İÇ PYS</t>
        </is>
      </c>
      <c r="D108" s="19" t="inlineStr">
        <is>
          <t>1</t>
        </is>
      </c>
      <c r="E108" t="n">
        <v>0</v>
      </c>
      <c r="I108" s="19" t="inlineStr">
        <is>
          <t>2</t>
        </is>
      </c>
      <c r="J108" t="inlineStr">
        <is>
          <t>2026-08-08</t>
        </is>
      </c>
      <c r="L108" s="19" t="inlineStr">
        <is>
          <t>1009270</t>
        </is>
      </c>
      <c r="M108" t="inlineStr">
        <is>
          <t>STATUS=IN OEM / EU PACKAGE; SOURCE_CFG=IA-ST-CFG-0055; MARKET=YUA-CV YURT İÇİ AFM</t>
        </is>
      </c>
      <c r="N108" t="inlineStr">
        <is>
          <t>2026-08-10T19:29:54Z</t>
        </is>
      </c>
      <c r="O108" t="inlineStr">
        <is>
          <t>2026-08-10T19:29:54Z</t>
        </is>
      </c>
    </row>
    <row r="109">
      <c r="A109" s="19" t="inlineStr">
        <is>
          <t>108</t>
        </is>
      </c>
      <c r="B109" s="19" t="inlineStr">
        <is>
          <t>1009271</t>
        </is>
      </c>
      <c r="C109" t="inlineStr">
        <is>
          <t>AKÜ,B-FLAT,DK,180AH,YUASA-CV,İÇ PYS</t>
        </is>
      </c>
      <c r="D109" s="19" t="inlineStr">
        <is>
          <t>1</t>
        </is>
      </c>
      <c r="E109" t="n">
        <v>0</v>
      </c>
      <c r="I109" s="19" t="inlineStr">
        <is>
          <t>2</t>
        </is>
      </c>
      <c r="J109" t="inlineStr">
        <is>
          <t>2026-08-08</t>
        </is>
      </c>
      <c r="L109" s="19" t="inlineStr">
        <is>
          <t>1009271</t>
        </is>
      </c>
      <c r="M109" t="inlineStr">
        <is>
          <t>STATUS=IN OEM / EU PACKAGE; SOURCE_CFG=IA-ST-CFG-0055; MARKET=YUA-CV YURT İÇİ AFM</t>
        </is>
      </c>
      <c r="N109" t="inlineStr">
        <is>
          <t>2026-08-10T19:29:54Z</t>
        </is>
      </c>
      <c r="O109" t="inlineStr">
        <is>
          <t>2026-08-10T19:29:54Z</t>
        </is>
      </c>
    </row>
    <row r="110">
      <c r="A110" s="19" t="inlineStr">
        <is>
          <t>109</t>
        </is>
      </c>
      <c r="B110" s="19" t="inlineStr">
        <is>
          <t>1009273</t>
        </is>
      </c>
      <c r="C110" t="inlineStr">
        <is>
          <t>AKÜ,C-FLAT,DK,225AH,YUASA-CV,İÇ PYS</t>
        </is>
      </c>
      <c r="D110" s="19" t="inlineStr">
        <is>
          <t>1</t>
        </is>
      </c>
      <c r="E110" t="n">
        <v>0</v>
      </c>
      <c r="I110" s="19" t="inlineStr">
        <is>
          <t>2</t>
        </is>
      </c>
      <c r="J110" t="inlineStr">
        <is>
          <t>2026-08-08</t>
        </is>
      </c>
      <c r="L110" s="19" t="inlineStr">
        <is>
          <t>1009273</t>
        </is>
      </c>
      <c r="M110" t="inlineStr">
        <is>
          <t>STATUS=IN OEM / EU PACKAGE; SOURCE_CFG=IA-ST-CFG-0024; MARKET=YUA-CV YURT İÇİ AFM</t>
        </is>
      </c>
      <c r="N110" t="inlineStr">
        <is>
          <t>2026-08-10T19:29:54Z</t>
        </is>
      </c>
      <c r="O110" t="inlineStr">
        <is>
          <t>2026-08-10T19:29:54Z</t>
        </is>
      </c>
    </row>
    <row r="111">
      <c r="A111" s="19" t="inlineStr">
        <is>
          <t>110</t>
        </is>
      </c>
      <c r="B111" s="19" t="inlineStr">
        <is>
          <t>1009285</t>
        </is>
      </c>
      <c r="C111" t="inlineStr">
        <is>
          <t>AKÜ AGM,L5AGM,DK,92AH,HUGEL AGM S&amp;S,NASA</t>
        </is>
      </c>
      <c r="D111" s="19" t="inlineStr">
        <is>
          <t>1</t>
        </is>
      </c>
      <c r="E111" t="n">
        <v>0</v>
      </c>
      <c r="I111" s="19" t="inlineStr">
        <is>
          <t>2</t>
        </is>
      </c>
      <c r="J111" t="inlineStr">
        <is>
          <t>2026-08-08</t>
        </is>
      </c>
      <c r="L111" s="19" t="inlineStr">
        <is>
          <t>1009285</t>
        </is>
      </c>
      <c r="M111" t="inlineStr">
        <is>
          <t>STATUS=IN OEM / EU PACKAGE; SOURCE_CFG=IA-ST-CFG-0096; MARKET=NASA</t>
        </is>
      </c>
      <c r="N111" t="inlineStr">
        <is>
          <t>2026-08-10T19:29:54Z</t>
        </is>
      </c>
      <c r="O111" t="inlineStr">
        <is>
          <t>2026-08-10T19:29:54Z</t>
        </is>
      </c>
    </row>
    <row r="112">
      <c r="A112" s="19" t="inlineStr">
        <is>
          <t>111</t>
        </is>
      </c>
      <c r="B112" s="19" t="inlineStr">
        <is>
          <t>1009287</t>
        </is>
      </c>
      <c r="C112" t="inlineStr">
        <is>
          <t>AKÜ,B-IGYASMF,DK,150AH,EAS ACTIVA,ATWAN</t>
        </is>
      </c>
      <c r="D112" s="19" t="inlineStr">
        <is>
          <t>1</t>
        </is>
      </c>
      <c r="E112" t="n">
        <v>0</v>
      </c>
      <c r="I112" s="19" t="inlineStr">
        <is>
          <t>2</t>
        </is>
      </c>
      <c r="J112" t="inlineStr">
        <is>
          <t>2026-08-08</t>
        </is>
      </c>
      <c r="L112" s="19" t="inlineStr">
        <is>
          <t>1009287</t>
        </is>
      </c>
      <c r="M112" t="inlineStr">
        <is>
          <t>STATUS=IN OEM / EU PACKAGE; SOURCE_CFG=IA-ST-CFG-0052; MARKET=MISIR ATWAN</t>
        </is>
      </c>
      <c r="N112" t="inlineStr">
        <is>
          <t>2026-08-10T19:29:54Z</t>
        </is>
      </c>
      <c r="O112" t="inlineStr">
        <is>
          <t>2026-08-10T19:29:54Z</t>
        </is>
      </c>
    </row>
    <row r="113">
      <c r="A113" s="19" t="inlineStr">
        <is>
          <t>112</t>
        </is>
      </c>
      <c r="B113" s="19" t="inlineStr">
        <is>
          <t>1009288</t>
        </is>
      </c>
      <c r="C113" t="inlineStr">
        <is>
          <t>AKÜ,C-IGYASMF,DK,200AH,EAS ACTIVA,ATWAN</t>
        </is>
      </c>
      <c r="D113" s="19" t="inlineStr">
        <is>
          <t>1</t>
        </is>
      </c>
      <c r="E113" t="n">
        <v>0</v>
      </c>
      <c r="I113" s="19" t="inlineStr">
        <is>
          <t>2</t>
        </is>
      </c>
      <c r="J113" t="inlineStr">
        <is>
          <t>2026-08-08</t>
        </is>
      </c>
      <c r="L113" s="19" t="inlineStr">
        <is>
          <t>1009288</t>
        </is>
      </c>
      <c r="M113" t="inlineStr">
        <is>
          <t>STATUS=IN OEM / EU PACKAGE; SOURCE_CFG=IA-ST-CFG-0023; MARKET=MISIR ATWAN</t>
        </is>
      </c>
      <c r="N113" t="inlineStr">
        <is>
          <t>2026-08-10T19:29:54Z</t>
        </is>
      </c>
      <c r="O113" t="inlineStr">
        <is>
          <t>2026-08-10T19:29:54Z</t>
        </is>
      </c>
    </row>
    <row r="114">
      <c r="A114" s="19" t="inlineStr">
        <is>
          <t>113</t>
        </is>
      </c>
      <c r="B114" s="19" t="inlineStr">
        <is>
          <t>1009430</t>
        </is>
      </c>
      <c r="C114" t="inlineStr">
        <is>
          <t>AKÜ,B-IGYASMF,DK,180AH,HUGEL ULTRA,NASA</t>
        </is>
      </c>
      <c r="D114" s="19" t="inlineStr">
        <is>
          <t>1</t>
        </is>
      </c>
      <c r="E114" t="n">
        <v>0</v>
      </c>
      <c r="I114" s="19" t="inlineStr">
        <is>
          <t>2</t>
        </is>
      </c>
      <c r="J114" t="inlineStr">
        <is>
          <t>2026-08-08</t>
        </is>
      </c>
      <c r="L114" s="19" t="inlineStr">
        <is>
          <t>1009430</t>
        </is>
      </c>
      <c r="M114" t="inlineStr">
        <is>
          <t>STATUS=IN OEM / EU PACKAGE; SOURCE_CFG=IA-ST-CFG-0052; MARKET=NASA</t>
        </is>
      </c>
      <c r="N114" t="inlineStr">
        <is>
          <t>2026-08-10T19:29:54Z</t>
        </is>
      </c>
      <c r="O114" t="inlineStr">
        <is>
          <t>2026-08-10T19:29:54Z</t>
        </is>
      </c>
    </row>
    <row r="115">
      <c r="A115" s="19" t="inlineStr">
        <is>
          <t>114</t>
        </is>
      </c>
      <c r="B115" s="19" t="inlineStr">
        <is>
          <t>1009483</t>
        </is>
      </c>
      <c r="C115" t="inlineStr">
        <is>
          <t>AKÜ SULU,L0,DK,40AH,SMF 202,GS</t>
        </is>
      </c>
      <c r="D115" s="19" t="inlineStr">
        <is>
          <t>1</t>
        </is>
      </c>
      <c r="E115" t="n">
        <v>0</v>
      </c>
      <c r="I115" s="19" t="inlineStr">
        <is>
          <t>2</t>
        </is>
      </c>
      <c r="J115" t="inlineStr">
        <is>
          <t>2026-08-08</t>
        </is>
      </c>
      <c r="L115" s="19" t="inlineStr">
        <is>
          <t>1009483</t>
        </is>
      </c>
      <c r="M115" t="inlineStr">
        <is>
          <t>STATUS=IN OEM / EU PACKAGE; SOURCE_CFG=IA-ST-CFG-0236; MARKET=GS</t>
        </is>
      </c>
      <c r="N115" t="inlineStr">
        <is>
          <t>2026-08-10T19:29:54Z</t>
        </is>
      </c>
      <c r="O115" t="inlineStr">
        <is>
          <t>2026-08-10T19:29:54Z</t>
        </is>
      </c>
    </row>
    <row r="116">
      <c r="A116" s="19" t="inlineStr">
        <is>
          <t>115</t>
        </is>
      </c>
      <c r="B116" s="19" t="inlineStr">
        <is>
          <t>1009802</t>
        </is>
      </c>
      <c r="C116" t="inlineStr">
        <is>
          <t>AKÜ,C-IGYASMF,DK,200AH,FORMULA,EECMISIR</t>
        </is>
      </c>
      <c r="D116" s="19" t="inlineStr">
        <is>
          <t>1</t>
        </is>
      </c>
      <c r="E116" t="n">
        <v>0</v>
      </c>
      <c r="I116" s="19" t="inlineStr">
        <is>
          <t>2</t>
        </is>
      </c>
      <c r="J116" t="inlineStr">
        <is>
          <t>2026-08-08</t>
        </is>
      </c>
      <c r="L116" s="19" t="inlineStr">
        <is>
          <t>1009802</t>
        </is>
      </c>
      <c r="M116" t="inlineStr">
        <is>
          <t>STATUS=IN OEM / EU PACKAGE; SOURCE_CFG=IA-ST-CFG-0023; MARKET=MISIR EEC</t>
        </is>
      </c>
      <c r="N116" t="inlineStr">
        <is>
          <t>2026-08-10T19:29:54Z</t>
        </is>
      </c>
      <c r="O116" t="inlineStr">
        <is>
          <t>2026-08-10T19:29:54Z</t>
        </is>
      </c>
    </row>
    <row r="117">
      <c r="A117" s="19" t="inlineStr">
        <is>
          <t>116</t>
        </is>
      </c>
      <c r="B117" s="19" t="inlineStr">
        <is>
          <t>1009849</t>
        </is>
      </c>
      <c r="C117" t="inlineStr">
        <is>
          <t>AKÜ,LB1,DK,50AH,IGYA SMF,STARTCRAFT</t>
        </is>
      </c>
      <c r="D117" s="19" t="inlineStr">
        <is>
          <t>1</t>
        </is>
      </c>
      <c r="E117" t="n">
        <v>0</v>
      </c>
      <c r="I117" s="19" t="inlineStr">
        <is>
          <t>2</t>
        </is>
      </c>
      <c r="J117" t="inlineStr">
        <is>
          <t>2026-08-08</t>
        </is>
      </c>
      <c r="L117" s="19" t="inlineStr">
        <is>
          <t>1009849</t>
        </is>
      </c>
      <c r="M117" t="inlineStr">
        <is>
          <t>STATUS=IN OEM / EU PACKAGE; SOURCE_CFG=IA-ST-CFG-0268; MARKET=DORFELT ALMANYA</t>
        </is>
      </c>
      <c r="N117" t="inlineStr">
        <is>
          <t>2026-08-10T19:29:54Z</t>
        </is>
      </c>
      <c r="O117" t="inlineStr">
        <is>
          <t>2026-08-10T19:29:54Z</t>
        </is>
      </c>
    </row>
    <row r="118">
      <c r="A118" s="19" t="inlineStr">
        <is>
          <t>117</t>
        </is>
      </c>
      <c r="B118" s="19" t="inlineStr">
        <is>
          <t>1009868</t>
        </is>
      </c>
      <c r="C118" t="inlineStr">
        <is>
          <t>AKÜ,B-FLAT,DK,180AH,FORD YP</t>
        </is>
      </c>
      <c r="D118" s="19" t="inlineStr">
        <is>
          <t>1</t>
        </is>
      </c>
      <c r="E118" t="n">
        <v>0</v>
      </c>
      <c r="I118" s="19" t="inlineStr">
        <is>
          <t>2</t>
        </is>
      </c>
      <c r="J118" t="inlineStr">
        <is>
          <t>2026-08-08</t>
        </is>
      </c>
      <c r="L118" s="19" t="inlineStr">
        <is>
          <t>1009868</t>
        </is>
      </c>
      <c r="M118" t="inlineStr">
        <is>
          <t>STATUS=DOMESTIC-ONLY / NOT IN OEM PACKAGE; SOURCE_CFG=IA-ST-CFG-0050; MARKET=FORD (Yurt İçi)</t>
        </is>
      </c>
      <c r="N118" t="inlineStr">
        <is>
          <t>2026-08-10T19:29:54Z</t>
        </is>
      </c>
      <c r="O118" t="inlineStr">
        <is>
          <t>2026-08-10T19:29:54Z</t>
        </is>
      </c>
    </row>
    <row r="119">
      <c r="A119" s="19" t="inlineStr">
        <is>
          <t>118</t>
        </is>
      </c>
      <c r="B119" s="19" t="inlineStr">
        <is>
          <t>1009869</t>
        </is>
      </c>
      <c r="C119" t="inlineStr">
        <is>
          <t>AKÜ,C-FLAT,DK,225AH,FORD YP</t>
        </is>
      </c>
      <c r="D119" s="19" t="inlineStr">
        <is>
          <t>1</t>
        </is>
      </c>
      <c r="E119" t="n">
        <v>0</v>
      </c>
      <c r="I119" s="19" t="inlineStr">
        <is>
          <t>2</t>
        </is>
      </c>
      <c r="J119" t="inlineStr">
        <is>
          <t>2026-08-08</t>
        </is>
      </c>
      <c r="L119" s="19" t="inlineStr">
        <is>
          <t>1009869</t>
        </is>
      </c>
      <c r="M119" t="inlineStr">
        <is>
          <t>STATUS=DOMESTIC-ONLY / NOT IN OEM PACKAGE; SOURCE_CFG=IA-ST-CFG-0022; MARKET=FORD (Yurt İçi)</t>
        </is>
      </c>
      <c r="N119" t="inlineStr">
        <is>
          <t>2026-08-10T19:29:54Z</t>
        </is>
      </c>
      <c r="O119" t="inlineStr">
        <is>
          <t>2026-08-10T19:29:54Z</t>
        </is>
      </c>
    </row>
    <row r="120">
      <c r="A120" s="19" t="inlineStr">
        <is>
          <t>119</t>
        </is>
      </c>
      <c r="B120" s="19" t="inlineStr">
        <is>
          <t>1009874</t>
        </is>
      </c>
      <c r="C120" t="inlineStr">
        <is>
          <t>AKÜ,L3,DK,80AH,IGYA SMF,BOOSTER PREMIUM</t>
        </is>
      </c>
      <c r="D120" s="19" t="inlineStr">
        <is>
          <t>1</t>
        </is>
      </c>
      <c r="E120" t="n">
        <v>0</v>
      </c>
      <c r="I120" s="19" t="inlineStr">
        <is>
          <t>2</t>
        </is>
      </c>
      <c r="J120" t="inlineStr">
        <is>
          <t>2026-08-08</t>
        </is>
      </c>
      <c r="L120" s="19" t="inlineStr">
        <is>
          <t>1009874</t>
        </is>
      </c>
      <c r="M120" t="inlineStr">
        <is>
          <t>STATUS=IN OEM / EU PACKAGE; SOURCE_CFG=IA-ST-CFG-0200; MARKET=BOOSTER</t>
        </is>
      </c>
      <c r="N120" t="inlineStr">
        <is>
          <t>2026-08-10T19:29:54Z</t>
        </is>
      </c>
      <c r="O120" t="inlineStr">
        <is>
          <t>2026-08-10T19:29:54Z</t>
        </is>
      </c>
    </row>
    <row r="121">
      <c r="A121" s="19" t="inlineStr">
        <is>
          <t>120</t>
        </is>
      </c>
      <c r="B121" s="19" t="inlineStr">
        <is>
          <t>1009878</t>
        </is>
      </c>
      <c r="C121" t="inlineStr">
        <is>
          <t>AKÜ,C-FLAT,DK,225AH,İNCİ SUPRASENTOR,BMC</t>
        </is>
      </c>
      <c r="D121" s="19" t="inlineStr">
        <is>
          <t>1</t>
        </is>
      </c>
      <c r="E121" t="n">
        <v>0</v>
      </c>
      <c r="I121" s="19" t="inlineStr">
        <is>
          <t>2</t>
        </is>
      </c>
      <c r="J121" t="inlineStr">
        <is>
          <t>2026-08-08</t>
        </is>
      </c>
      <c r="L121" s="19" t="inlineStr">
        <is>
          <t>1009878</t>
        </is>
      </c>
      <c r="M121" t="inlineStr">
        <is>
          <t>STATUS=DOMESTIC-ONLY / NOT IN OEM PACKAGE; SOURCE_CFG=IA-ST-CFG-0001; MARKET=BMC (Yurt İçi)</t>
        </is>
      </c>
      <c r="N121" t="inlineStr">
        <is>
          <t>2026-08-10T19:29:54Z</t>
        </is>
      </c>
      <c r="O121" t="inlineStr">
        <is>
          <t>2026-08-10T19:29:54Z</t>
        </is>
      </c>
    </row>
    <row r="122">
      <c r="A122" s="19" t="inlineStr">
        <is>
          <t>121</t>
        </is>
      </c>
      <c r="B122" s="19" t="inlineStr">
        <is>
          <t>1009888</t>
        </is>
      </c>
      <c r="C122" t="inlineStr">
        <is>
          <t>AKÜ AGM,L6,DK,105AH,İNCİ AGM LEO,CELLMAX</t>
        </is>
      </c>
      <c r="D122" s="19" t="inlineStr">
        <is>
          <t>1</t>
        </is>
      </c>
      <c r="E122" t="n">
        <v>0</v>
      </c>
      <c r="I122" s="19" t="inlineStr">
        <is>
          <t>2</t>
        </is>
      </c>
      <c r="J122" t="inlineStr">
        <is>
          <t>2026-08-08</t>
        </is>
      </c>
      <c r="L122" s="19" t="inlineStr">
        <is>
          <t>1009888</t>
        </is>
      </c>
      <c r="M122" t="inlineStr">
        <is>
          <t>STATUS=IN OEM / EU PACKAGE; SOURCE_CFG=IA-ST-CFG-0080; MARKET=CELLMAX</t>
        </is>
      </c>
      <c r="N122" t="inlineStr">
        <is>
          <t>2026-08-10T19:29:54Z</t>
        </is>
      </c>
      <c r="O122" t="inlineStr">
        <is>
          <t>2026-08-10T19:29:54Z</t>
        </is>
      </c>
    </row>
    <row r="123">
      <c r="A123" s="19" t="inlineStr">
        <is>
          <t>122</t>
        </is>
      </c>
      <c r="B123" s="19" t="inlineStr">
        <is>
          <t>1009892</t>
        </is>
      </c>
      <c r="C123" t="inlineStr">
        <is>
          <t>AKÜ,TRACTORL,DK,115AH,OTOPRATİK,İÇ PYS</t>
        </is>
      </c>
      <c r="D123" s="19" t="inlineStr">
        <is>
          <t>1</t>
        </is>
      </c>
      <c r="E123" t="n">
        <v>0</v>
      </c>
      <c r="I123" s="19" t="inlineStr">
        <is>
          <t>2</t>
        </is>
      </c>
      <c r="J123" t="inlineStr">
        <is>
          <t>2026-08-08</t>
        </is>
      </c>
      <c r="L123" s="19" t="inlineStr">
        <is>
          <t>1009892</t>
        </is>
      </c>
      <c r="M123" t="inlineStr">
        <is>
          <t>STATUS=IN OEM / EU PACKAGE; SOURCE_CFG=IA-ST-CFG-0097; MARKET=OTOPRATİK (Yurt İçi)</t>
        </is>
      </c>
      <c r="N123" t="inlineStr">
        <is>
          <t>2026-08-10T19:29:54Z</t>
        </is>
      </c>
      <c r="O123" t="inlineStr">
        <is>
          <t>2026-08-10T19:29:54Z</t>
        </is>
      </c>
    </row>
    <row r="124">
      <c r="A124" s="19" t="inlineStr">
        <is>
          <t>123</t>
        </is>
      </c>
      <c r="B124" s="19" t="inlineStr">
        <is>
          <t>1009898</t>
        </is>
      </c>
      <c r="C124" t="inlineStr">
        <is>
          <t>AKÜ,TRACTOR,DK,125AH,ISUZU OES</t>
        </is>
      </c>
      <c r="D124" s="19" t="inlineStr">
        <is>
          <t>1</t>
        </is>
      </c>
      <c r="E124" t="n">
        <v>0</v>
      </c>
      <c r="I124" s="19" t="inlineStr">
        <is>
          <t>2</t>
        </is>
      </c>
      <c r="J124" t="inlineStr">
        <is>
          <t>2026-08-08</t>
        </is>
      </c>
      <c r="L124" s="19" t="inlineStr">
        <is>
          <t>1009898</t>
        </is>
      </c>
      <c r="M124" t="inlineStr">
        <is>
          <t>STATUS=IN OEM / EU PACKAGE; SOURCE_CFG=IA-ST-CFG-0093; MARKET=ISUZU (Yurt İçi)</t>
        </is>
      </c>
      <c r="N124" t="inlineStr">
        <is>
          <t>2026-08-10T19:29:54Z</t>
        </is>
      </c>
      <c r="O124" t="inlineStr">
        <is>
          <t>2026-08-10T19:29:54Z</t>
        </is>
      </c>
    </row>
    <row r="125">
      <c r="A125" s="19" t="inlineStr">
        <is>
          <t>124</t>
        </is>
      </c>
      <c r="B125" s="19" t="inlineStr">
        <is>
          <t>1009899</t>
        </is>
      </c>
      <c r="C125" t="inlineStr">
        <is>
          <t>AKÜ,TRACTORL,DK,105AH,ISUZU OES</t>
        </is>
      </c>
      <c r="D125" s="19" t="inlineStr">
        <is>
          <t>1</t>
        </is>
      </c>
      <c r="E125" t="n">
        <v>0</v>
      </c>
      <c r="I125" s="19" t="inlineStr">
        <is>
          <t>2</t>
        </is>
      </c>
      <c r="J125" t="inlineStr">
        <is>
          <t>2026-08-08</t>
        </is>
      </c>
      <c r="L125" s="19" t="inlineStr">
        <is>
          <t>1009899</t>
        </is>
      </c>
      <c r="M125" t="inlineStr">
        <is>
          <t>STATUS=IN OEM / EU PACKAGE; SOURCE_CFG=IA-ST-CFG-0093; MARKET=ISUZU (Yurt İçi)</t>
        </is>
      </c>
      <c r="N125" t="inlineStr">
        <is>
          <t>2026-08-10T19:29:54Z</t>
        </is>
      </c>
      <c r="O125" t="inlineStr">
        <is>
          <t>2026-08-10T19:29:54Z</t>
        </is>
      </c>
    </row>
    <row r="126">
      <c r="A126" s="19" t="inlineStr">
        <is>
          <t>125</t>
        </is>
      </c>
      <c r="B126" s="19" t="inlineStr">
        <is>
          <t>1009931</t>
        </is>
      </c>
      <c r="C126" t="inlineStr">
        <is>
          <t>AKÜ,D23,DK,70AH,IGYA SMF,BOOSTER PREMIUM</t>
        </is>
      </c>
      <c r="D126" s="19" t="inlineStr">
        <is>
          <t>1</t>
        </is>
      </c>
      <c r="E126" t="n">
        <v>0</v>
      </c>
      <c r="I126" s="19" t="inlineStr">
        <is>
          <t>2</t>
        </is>
      </c>
      <c r="J126" t="inlineStr">
        <is>
          <t>2026-08-08</t>
        </is>
      </c>
      <c r="L126" s="19" t="inlineStr">
        <is>
          <t>1009931</t>
        </is>
      </c>
      <c r="M126" t="inlineStr">
        <is>
          <t>STATUS=IN OEM / EU PACKAGE; SOURCE_CFG=IA-ST-CFG-0171; MARKET=BOOSTER</t>
        </is>
      </c>
      <c r="N126" t="inlineStr">
        <is>
          <t>2026-08-10T19:29:54Z</t>
        </is>
      </c>
      <c r="O126" t="inlineStr">
        <is>
          <t>2026-08-10T19:29:54Z</t>
        </is>
      </c>
    </row>
    <row r="127">
      <c r="A127" s="19" t="inlineStr">
        <is>
          <t>126</t>
        </is>
      </c>
      <c r="B127" s="19" t="inlineStr">
        <is>
          <t>1009937</t>
        </is>
      </c>
      <c r="C127" t="inlineStr">
        <is>
          <t>AKÜ AGM,L5,DK,92AH,VRLA,BOOSTER PREMIUM</t>
        </is>
      </c>
      <c r="D127" s="19" t="inlineStr">
        <is>
          <t>1</t>
        </is>
      </c>
      <c r="E127" t="n">
        <v>0</v>
      </c>
      <c r="I127" s="19" t="inlineStr">
        <is>
          <t>2</t>
        </is>
      </c>
      <c r="J127" t="inlineStr">
        <is>
          <t>2026-08-08</t>
        </is>
      </c>
      <c r="L127" s="19" t="inlineStr">
        <is>
          <t>1009937</t>
        </is>
      </c>
      <c r="M127" t="inlineStr">
        <is>
          <t>STATUS=IN OEM / EU PACKAGE; SOURCE_CFG=IA-ST-CFG-0116; MARKET=BOOSTER</t>
        </is>
      </c>
      <c r="N127" t="inlineStr">
        <is>
          <t>2026-08-10T19:29:54Z</t>
        </is>
      </c>
      <c r="O127" t="inlineStr">
        <is>
          <t>2026-08-10T19:29:54Z</t>
        </is>
      </c>
    </row>
    <row r="128">
      <c r="A128" s="19" t="inlineStr">
        <is>
          <t>127</t>
        </is>
      </c>
      <c r="B128" s="19" t="inlineStr">
        <is>
          <t>1009938</t>
        </is>
      </c>
      <c r="C128" t="inlineStr">
        <is>
          <t>AKÜ,D31,TK,100AH,IGYASMF,BOOSTER PREMIUM</t>
        </is>
      </c>
      <c r="D128" s="19" t="inlineStr">
        <is>
          <t>1</t>
        </is>
      </c>
      <c r="E128" t="n">
        <v>0</v>
      </c>
      <c r="I128" s="19" t="inlineStr">
        <is>
          <t>2</t>
        </is>
      </c>
      <c r="J128" t="inlineStr">
        <is>
          <t>2026-08-08</t>
        </is>
      </c>
      <c r="L128" s="19" t="inlineStr">
        <is>
          <t>1009938</t>
        </is>
      </c>
      <c r="M128" t="inlineStr">
        <is>
          <t>STATUS=IN OEM / EU PACKAGE; SOURCE_CFG=IA-ST-CFG-0115; MARKET=BOOSTER</t>
        </is>
      </c>
      <c r="N128" t="inlineStr">
        <is>
          <t>2026-08-10T19:29:54Z</t>
        </is>
      </c>
      <c r="O128" t="inlineStr">
        <is>
          <t>2026-08-10T19:29:54Z</t>
        </is>
      </c>
    </row>
    <row r="129">
      <c r="A129" s="19" t="inlineStr">
        <is>
          <t>128</t>
        </is>
      </c>
      <c r="B129" s="19" t="inlineStr">
        <is>
          <t>1009939</t>
        </is>
      </c>
      <c r="C129" t="inlineStr">
        <is>
          <t>AKÜ,D31,DK,100AH,IGYASMF,BOOSTER PREMIUM</t>
        </is>
      </c>
      <c r="D129" s="19" t="inlineStr">
        <is>
          <t>1</t>
        </is>
      </c>
      <c r="E129" t="n">
        <v>0</v>
      </c>
      <c r="I129" s="19" t="inlineStr">
        <is>
          <t>2</t>
        </is>
      </c>
      <c r="J129" t="inlineStr">
        <is>
          <t>2026-08-08</t>
        </is>
      </c>
      <c r="L129" s="19" t="inlineStr">
        <is>
          <t>1009939</t>
        </is>
      </c>
      <c r="M129" t="inlineStr">
        <is>
          <t>STATUS=IN OEM / EU PACKAGE; SOURCE_CFG=IA-ST-CFG-0115; MARKET=BOOSTER</t>
        </is>
      </c>
      <c r="N129" t="inlineStr">
        <is>
          <t>2026-08-10T19:29:54Z</t>
        </is>
      </c>
      <c r="O129" t="inlineStr">
        <is>
          <t>2026-08-10T19:29:54Z</t>
        </is>
      </c>
    </row>
    <row r="130">
      <c r="A130" s="19" t="inlineStr">
        <is>
          <t>129</t>
        </is>
      </c>
      <c r="B130" s="19" t="inlineStr">
        <is>
          <t>1009950</t>
        </is>
      </c>
      <c r="C130" t="inlineStr">
        <is>
          <t>AKÜ,L4,DK,85AH,IGYA SMF,BOOSTER PREMIUM</t>
        </is>
      </c>
      <c r="D130" s="19" t="inlineStr">
        <is>
          <t>1</t>
        </is>
      </c>
      <c r="E130" t="n">
        <v>0</v>
      </c>
      <c r="I130" s="19" t="inlineStr">
        <is>
          <t>2</t>
        </is>
      </c>
      <c r="J130" t="inlineStr">
        <is>
          <t>2026-08-08</t>
        </is>
      </c>
      <c r="L130" s="19" t="inlineStr">
        <is>
          <t>1009950</t>
        </is>
      </c>
      <c r="M130" t="inlineStr">
        <is>
          <t>STATUS=IN OEM / EU PACKAGE; SOURCE_CFG=IA-ST-CFG-0152; MARKET=BOOSTER</t>
        </is>
      </c>
      <c r="N130" t="inlineStr">
        <is>
          <t>2026-08-10T19:29:54Z</t>
        </is>
      </c>
      <c r="O130" t="inlineStr">
        <is>
          <t>2026-08-10T19:29:54Z</t>
        </is>
      </c>
    </row>
    <row r="131">
      <c r="A131" s="19" t="inlineStr">
        <is>
          <t>130</t>
        </is>
      </c>
      <c r="B131" s="19" t="inlineStr">
        <is>
          <t>1009973</t>
        </is>
      </c>
      <c r="C131" t="inlineStr">
        <is>
          <t>AKÜ,NS60,DK,45AH,IGYA SMF,NS60L MF,LUCAS</t>
        </is>
      </c>
      <c r="D131" s="19" t="inlineStr">
        <is>
          <t>1</t>
        </is>
      </c>
      <c r="E131" t="n">
        <v>0</v>
      </c>
      <c r="I131" s="19" t="inlineStr">
        <is>
          <t>2</t>
        </is>
      </c>
      <c r="J131" t="inlineStr">
        <is>
          <t>2026-08-08</t>
        </is>
      </c>
      <c r="L131" s="19" t="inlineStr">
        <is>
          <t>1009973</t>
        </is>
      </c>
      <c r="M131" t="inlineStr">
        <is>
          <t>STATUS=IN OEM / EU PACKAGE; SOURCE_CFG=IA-ST-CFG-0272; MARKET=REY &amp; LENFERNA LUCAS</t>
        </is>
      </c>
      <c r="N131" t="inlineStr">
        <is>
          <t>2026-08-10T19:29:54Z</t>
        </is>
      </c>
      <c r="O131" t="inlineStr">
        <is>
          <t>2026-08-10T19:29:54Z</t>
        </is>
      </c>
    </row>
    <row r="132">
      <c r="A132" s="19" t="inlineStr">
        <is>
          <t>131</t>
        </is>
      </c>
      <c r="B132" s="19" t="inlineStr">
        <is>
          <t>1009975</t>
        </is>
      </c>
      <c r="C132" t="inlineStr">
        <is>
          <t>AKÜ,D31,DK,70AH,IGYA SMF,N70ZL,LUCAS</t>
        </is>
      </c>
      <c r="D132" s="19" t="inlineStr">
        <is>
          <t>1</t>
        </is>
      </c>
      <c r="E132" t="n">
        <v>0</v>
      </c>
      <c r="I132" s="19" t="inlineStr">
        <is>
          <t>2</t>
        </is>
      </c>
      <c r="J132" t="inlineStr">
        <is>
          <t>2026-08-08</t>
        </is>
      </c>
      <c r="L132" s="19" t="inlineStr">
        <is>
          <t>1009975</t>
        </is>
      </c>
      <c r="M132" t="inlineStr">
        <is>
          <t>STATUS=IN OEM / EU PACKAGE; SOURCE_CFG=IA-ST-CFG-0143; MARKET=REY &amp; LENFERNA LUCAS</t>
        </is>
      </c>
      <c r="N132" t="inlineStr">
        <is>
          <t>2026-08-10T19:29:54Z</t>
        </is>
      </c>
      <c r="O132" t="inlineStr">
        <is>
          <t>2026-08-10T19:29:54Z</t>
        </is>
      </c>
    </row>
    <row r="133">
      <c r="A133" s="19" t="inlineStr">
        <is>
          <t>132</t>
        </is>
      </c>
      <c r="B133" s="19" t="inlineStr">
        <is>
          <t>1009976</t>
        </is>
      </c>
      <c r="C133" t="inlineStr">
        <is>
          <t>AKÜ,NS40,DK,35AH,IGYA SMFNS40ZL MF,LUCAS</t>
        </is>
      </c>
      <c r="D133" s="19" t="inlineStr">
        <is>
          <t>1</t>
        </is>
      </c>
      <c r="E133" t="n">
        <v>0</v>
      </c>
      <c r="I133" s="19" t="inlineStr">
        <is>
          <t>2</t>
        </is>
      </c>
      <c r="J133" t="inlineStr">
        <is>
          <t>2026-08-08</t>
        </is>
      </c>
      <c r="L133" s="19" t="inlineStr">
        <is>
          <t>1009976</t>
        </is>
      </c>
      <c r="M133" t="inlineStr">
        <is>
          <t>STATUS=IN OEM / EU PACKAGE; SOURCE_CFG=IA-ST-CFG-0284; MARKET=REY &amp; LENFERNA LUCAS</t>
        </is>
      </c>
      <c r="N133" t="inlineStr">
        <is>
          <t>2026-08-10T19:29:54Z</t>
        </is>
      </c>
      <c r="O133" t="inlineStr">
        <is>
          <t>2026-08-10T19:29:54Z</t>
        </is>
      </c>
    </row>
    <row r="134">
      <c r="A134" s="19" t="inlineStr">
        <is>
          <t>133</t>
        </is>
      </c>
      <c r="B134" s="19" t="inlineStr">
        <is>
          <t>1009977</t>
        </is>
      </c>
      <c r="C134" t="inlineStr">
        <is>
          <t>AKÜ,D31,DK,80AH,IGYA SMF,N80L,LUCAS</t>
        </is>
      </c>
      <c r="D134" s="19" t="inlineStr">
        <is>
          <t>1</t>
        </is>
      </c>
      <c r="E134" t="n">
        <v>0</v>
      </c>
      <c r="I134" s="19" t="inlineStr">
        <is>
          <t>2</t>
        </is>
      </c>
      <c r="J134" t="inlineStr">
        <is>
          <t>2026-08-08</t>
        </is>
      </c>
      <c r="L134" s="19" t="inlineStr">
        <is>
          <t>1009977</t>
        </is>
      </c>
      <c r="M134" t="inlineStr">
        <is>
          <t>STATUS=IN OEM / EU PACKAGE; SOURCE_CFG=IA-ST-CFG-0143; MARKET=REY &amp; LENFERNA LUCAS</t>
        </is>
      </c>
      <c r="N134" t="inlineStr">
        <is>
          <t>2026-08-10T19:29:54Z</t>
        </is>
      </c>
      <c r="O134" t="inlineStr">
        <is>
          <t>2026-08-10T19:29:54Z</t>
        </is>
      </c>
    </row>
    <row r="135">
      <c r="A135" s="19" t="inlineStr">
        <is>
          <t>134</t>
        </is>
      </c>
      <c r="B135" s="19" t="inlineStr">
        <is>
          <t>1009978</t>
        </is>
      </c>
      <c r="C135" t="inlineStr">
        <is>
          <t>AKÜ,D31,TK,90AH,IGYASMF,105D31R MF,LUCAS</t>
        </is>
      </c>
      <c r="D135" s="19" t="inlineStr">
        <is>
          <t>1</t>
        </is>
      </c>
      <c r="E135" t="n">
        <v>0</v>
      </c>
      <c r="I135" s="19" t="inlineStr">
        <is>
          <t>2</t>
        </is>
      </c>
      <c r="J135" t="inlineStr">
        <is>
          <t>2026-08-08</t>
        </is>
      </c>
      <c r="L135" s="19" t="inlineStr">
        <is>
          <t>1009978</t>
        </is>
      </c>
      <c r="M135" t="inlineStr">
        <is>
          <t>STATUS=IN OEM / EU PACKAGE; SOURCE_CFG=IA-ST-CFG-0143; MARKET=REY &amp; LENFERNA LUCAS</t>
        </is>
      </c>
      <c r="N135" t="inlineStr">
        <is>
          <t>2026-08-10T19:29:54Z</t>
        </is>
      </c>
      <c r="O135" t="inlineStr">
        <is>
          <t>2026-08-10T19:29:54Z</t>
        </is>
      </c>
    </row>
    <row r="136">
      <c r="A136" s="19" t="inlineStr">
        <is>
          <t>135</t>
        </is>
      </c>
      <c r="B136" s="19" t="inlineStr">
        <is>
          <t>1009979</t>
        </is>
      </c>
      <c r="C136" t="inlineStr">
        <is>
          <t>AKÜ,L5,DK,100AH,IGYA SMF,TD100L MF,LUCAS</t>
        </is>
      </c>
      <c r="D136" s="19" t="inlineStr">
        <is>
          <t>1</t>
        </is>
      </c>
      <c r="E136" t="n">
        <v>0</v>
      </c>
      <c r="I136" s="19" t="inlineStr">
        <is>
          <t>2</t>
        </is>
      </c>
      <c r="J136" t="inlineStr">
        <is>
          <t>2026-08-08</t>
        </is>
      </c>
      <c r="L136" s="19" t="inlineStr">
        <is>
          <t>1009979</t>
        </is>
      </c>
      <c r="M136" t="inlineStr">
        <is>
          <t>STATUS=IN OEM / EU PACKAGE; SOURCE_CFG=IA-ST-CFG-0096; MARKET=REY &amp; LENFERNA LUCAS</t>
        </is>
      </c>
      <c r="N136" t="inlineStr">
        <is>
          <t>2026-08-10T19:29:54Z</t>
        </is>
      </c>
      <c r="O136" t="inlineStr">
        <is>
          <t>2026-08-10T19:29:54Z</t>
        </is>
      </c>
    </row>
    <row r="137">
      <c r="A137" s="19" t="inlineStr">
        <is>
          <t>136</t>
        </is>
      </c>
      <c r="B137" s="19" t="inlineStr">
        <is>
          <t>1009980</t>
        </is>
      </c>
      <c r="C137" t="inlineStr">
        <is>
          <t>AKÜ,D23,DK,60AH,IGYA SMF,75D23L,LUCAS</t>
        </is>
      </c>
      <c r="D137" s="19" t="inlineStr">
        <is>
          <t>1</t>
        </is>
      </c>
      <c r="E137" t="n">
        <v>0</v>
      </c>
      <c r="I137" s="19" t="inlineStr">
        <is>
          <t>2</t>
        </is>
      </c>
      <c r="J137" t="inlineStr">
        <is>
          <t>2026-08-08</t>
        </is>
      </c>
      <c r="L137" s="19" t="inlineStr">
        <is>
          <t>1009980</t>
        </is>
      </c>
      <c r="M137" t="inlineStr">
        <is>
          <t>STATUS=IN OEM / EU PACKAGE; SOURCE_CFG=IA-ST-CFG-0219; MARKET=REY &amp; LENFERNA LUCAS</t>
        </is>
      </c>
      <c r="N137" t="inlineStr">
        <is>
          <t>2026-08-10T19:29:54Z</t>
        </is>
      </c>
      <c r="O137" t="inlineStr">
        <is>
          <t>2026-08-10T19:29:54Z</t>
        </is>
      </c>
    </row>
    <row r="138">
      <c r="A138" s="19" t="inlineStr">
        <is>
          <t>137</t>
        </is>
      </c>
      <c r="B138" s="19" t="inlineStr">
        <is>
          <t>1009981</t>
        </is>
      </c>
      <c r="C138" t="inlineStr">
        <is>
          <t>AKÜ,L3,DK,75AH,IGYA SMF,DIN75L,LUCAS</t>
        </is>
      </c>
      <c r="D138" s="19" t="inlineStr">
        <is>
          <t>1</t>
        </is>
      </c>
      <c r="E138" t="n">
        <v>0</v>
      </c>
      <c r="I138" s="19" t="inlineStr">
        <is>
          <t>2</t>
        </is>
      </c>
      <c r="J138" t="inlineStr">
        <is>
          <t>2026-08-08</t>
        </is>
      </c>
      <c r="L138" s="19" t="inlineStr">
        <is>
          <t>1009981</t>
        </is>
      </c>
      <c r="M138" t="inlineStr">
        <is>
          <t>STATUS=IN OEM / EU PACKAGE; SOURCE_CFG=IA-ST-CFG-0179; MARKET=REY &amp; LENFERNA LUCAS</t>
        </is>
      </c>
      <c r="N138" t="inlineStr">
        <is>
          <t>2026-08-10T19:29:54Z</t>
        </is>
      </c>
      <c r="O138" t="inlineStr">
        <is>
          <t>2026-08-10T19:29:54Z</t>
        </is>
      </c>
    </row>
    <row r="139">
      <c r="A139" s="19" t="inlineStr">
        <is>
          <t>138</t>
        </is>
      </c>
      <c r="B139" s="19" t="inlineStr">
        <is>
          <t>1009982</t>
        </is>
      </c>
      <c r="C139" t="inlineStr">
        <is>
          <t>AKÜ,B-IGYASMF,DK,150AH,N150 MF,LUCAS</t>
        </is>
      </c>
      <c r="D139" s="19" t="inlineStr">
        <is>
          <t>1</t>
        </is>
      </c>
      <c r="E139" t="n">
        <v>0</v>
      </c>
      <c r="I139" s="19" t="inlineStr">
        <is>
          <t>2</t>
        </is>
      </c>
      <c r="J139" t="inlineStr">
        <is>
          <t>2026-08-08</t>
        </is>
      </c>
      <c r="L139" s="19" t="inlineStr">
        <is>
          <t>1009982</t>
        </is>
      </c>
      <c r="M139" t="inlineStr">
        <is>
          <t>STATUS=IN OEM / EU PACKAGE; SOURCE_CFG=IA-ST-CFG-0052; MARKET=REY &amp; LENFERNA LUCAS</t>
        </is>
      </c>
      <c r="N139" t="inlineStr">
        <is>
          <t>2026-08-10T19:29:54Z</t>
        </is>
      </c>
      <c r="O139" t="inlineStr">
        <is>
          <t>2026-08-10T19:29:54Z</t>
        </is>
      </c>
    </row>
    <row r="140">
      <c r="A140" s="19" t="inlineStr">
        <is>
          <t>139</t>
        </is>
      </c>
      <c r="B140" s="19" t="inlineStr">
        <is>
          <t>1009983</t>
        </is>
      </c>
      <c r="C140" t="inlineStr">
        <is>
          <t>AKÜ,A-IGYASMF,DK,120AH,N120 MF,LUCAS</t>
        </is>
      </c>
      <c r="D140" s="19" t="inlineStr">
        <is>
          <t>1</t>
        </is>
      </c>
      <c r="E140" t="n">
        <v>0</v>
      </c>
      <c r="I140" s="19" t="inlineStr">
        <is>
          <t>2</t>
        </is>
      </c>
      <c r="J140" t="inlineStr">
        <is>
          <t>2026-08-08</t>
        </is>
      </c>
      <c r="L140" s="19" t="inlineStr">
        <is>
          <t>1009983</t>
        </is>
      </c>
      <c r="M140" t="inlineStr">
        <is>
          <t>STATUS=IN OEM / EU PACKAGE; SOURCE_CFG=IA-ST-CFG-0051; MARKET=REY &amp; LENFERNA LUCAS</t>
        </is>
      </c>
      <c r="N140" t="inlineStr">
        <is>
          <t>2026-08-10T19:29:54Z</t>
        </is>
      </c>
      <c r="O140" t="inlineStr">
        <is>
          <t>2026-08-10T19:29:54Z</t>
        </is>
      </c>
    </row>
    <row r="141">
      <c r="A141" s="19" t="inlineStr">
        <is>
          <t>140</t>
        </is>
      </c>
      <c r="B141" s="19" t="inlineStr">
        <is>
          <t>1009984</t>
        </is>
      </c>
      <c r="C141" t="inlineStr">
        <is>
          <t>AKÜ,C-IGYASMF,DK,200AH,N200 MF,LUCAS</t>
        </is>
      </c>
      <c r="D141" s="19" t="inlineStr">
        <is>
          <t>1</t>
        </is>
      </c>
      <c r="E141" t="n">
        <v>0</v>
      </c>
      <c r="I141" s="19" t="inlineStr">
        <is>
          <t>2</t>
        </is>
      </c>
      <c r="J141" t="inlineStr">
        <is>
          <t>2026-08-08</t>
        </is>
      </c>
      <c r="L141" s="19" t="inlineStr">
        <is>
          <t>1009984</t>
        </is>
      </c>
      <c r="M141" t="inlineStr">
        <is>
          <t>STATUS=IN OEM / EU PACKAGE; SOURCE_CFG=IA-ST-CFG-0023; MARKET=REY &amp; LENFERNA LUCAS</t>
        </is>
      </c>
      <c r="N141" t="inlineStr">
        <is>
          <t>2026-08-10T19:29:54Z</t>
        </is>
      </c>
      <c r="O141" t="inlineStr">
        <is>
          <t>2026-08-10T19:29:54Z</t>
        </is>
      </c>
    </row>
    <row r="142">
      <c r="A142" s="19" t="inlineStr">
        <is>
          <t>141</t>
        </is>
      </c>
      <c r="B142" s="19" t="inlineStr">
        <is>
          <t>1009985</t>
        </is>
      </c>
      <c r="C142" t="inlineStr">
        <is>
          <t>AKÜ,L1,DK,44AH,IGYA SMF,DIN44L,LUCAS</t>
        </is>
      </c>
      <c r="D142" s="19" t="inlineStr">
        <is>
          <t>1</t>
        </is>
      </c>
      <c r="E142" t="n">
        <v>0</v>
      </c>
      <c r="I142" s="19" t="inlineStr">
        <is>
          <t>2</t>
        </is>
      </c>
      <c r="J142" t="inlineStr">
        <is>
          <t>2026-08-08</t>
        </is>
      </c>
      <c r="L142" s="19" t="inlineStr">
        <is>
          <t>1009985</t>
        </is>
      </c>
      <c r="M142" t="inlineStr">
        <is>
          <t>STATUS=IN OEM / EU PACKAGE; SOURCE_CFG=IA-ST-CFG-0248; MARKET=REY &amp; LENFERNA LUCAS</t>
        </is>
      </c>
      <c r="N142" t="inlineStr">
        <is>
          <t>2026-08-10T19:29:54Z</t>
        </is>
      </c>
      <c r="O142" t="inlineStr">
        <is>
          <t>2026-08-10T19:29:54Z</t>
        </is>
      </c>
    </row>
    <row r="143">
      <c r="A143" s="19" t="inlineStr">
        <is>
          <t>142</t>
        </is>
      </c>
      <c r="B143" s="19" t="inlineStr">
        <is>
          <t>1009986</t>
        </is>
      </c>
      <c r="C143" t="inlineStr">
        <is>
          <t>AKÜ,L2,DK,62AH,IGYA SMF,DIN62L,LUCAS</t>
        </is>
      </c>
      <c r="D143" s="19" t="inlineStr">
        <is>
          <t>1</t>
        </is>
      </c>
      <c r="E143" t="n">
        <v>0</v>
      </c>
      <c r="I143" s="19" t="inlineStr">
        <is>
          <t>2</t>
        </is>
      </c>
      <c r="J143" t="inlineStr">
        <is>
          <t>2026-08-08</t>
        </is>
      </c>
      <c r="L143" s="19" t="inlineStr">
        <is>
          <t>1009986</t>
        </is>
      </c>
      <c r="M143" t="inlineStr">
        <is>
          <t>STATUS=IN OEM / EU PACKAGE; SOURCE_CFG=IA-ST-CFG-0222; MARKET=REY &amp; LENFERNA LUCAS</t>
        </is>
      </c>
      <c r="N143" t="inlineStr">
        <is>
          <t>2026-08-10T19:29:54Z</t>
        </is>
      </c>
      <c r="O143" t="inlineStr">
        <is>
          <t>2026-08-10T19:29:54Z</t>
        </is>
      </c>
    </row>
    <row r="144">
      <c r="A144" s="19" t="inlineStr">
        <is>
          <t>143</t>
        </is>
      </c>
      <c r="B144" s="19" t="inlineStr">
        <is>
          <t>1009997</t>
        </is>
      </c>
      <c r="C144" t="inlineStr">
        <is>
          <t>AKÜ,LB2,DK60AH,IGYSMF,EFBS&amp;S,BOOSTERPREM</t>
        </is>
      </c>
      <c r="D144" s="19" t="inlineStr">
        <is>
          <t>1</t>
        </is>
      </c>
      <c r="E144" t="n">
        <v>0</v>
      </c>
      <c r="I144" s="19" t="inlineStr">
        <is>
          <t>2</t>
        </is>
      </c>
      <c r="J144" t="inlineStr">
        <is>
          <t>2026-08-08</t>
        </is>
      </c>
      <c r="L144" s="19" t="inlineStr">
        <is>
          <t>1009997</t>
        </is>
      </c>
      <c r="M144" t="inlineStr">
        <is>
          <t>STATUS=IN OEM / EU PACKAGE; SOURCE_CFG=IA-ST-CFG-0240; MARKET=BOOSTER</t>
        </is>
      </c>
      <c r="N144" t="inlineStr">
        <is>
          <t>2026-08-10T19:29:54Z</t>
        </is>
      </c>
      <c r="O144" t="inlineStr">
        <is>
          <t>2026-08-10T19:29:54Z</t>
        </is>
      </c>
    </row>
    <row r="145">
      <c r="A145" s="19" t="inlineStr">
        <is>
          <t>144</t>
        </is>
      </c>
      <c r="B145" s="19" t="inlineStr">
        <is>
          <t>1010000</t>
        </is>
      </c>
      <c r="C145" t="inlineStr">
        <is>
          <t>AKÜ,B-IGYASMF,DK,180AH,SILVER,SCHNAPP</t>
        </is>
      </c>
      <c r="D145" s="19" t="inlineStr">
        <is>
          <t>1</t>
        </is>
      </c>
      <c r="E145" t="n">
        <v>0</v>
      </c>
      <c r="I145" s="19" t="inlineStr">
        <is>
          <t>2</t>
        </is>
      </c>
      <c r="J145" t="inlineStr">
        <is>
          <t>2026-08-08</t>
        </is>
      </c>
      <c r="L145" s="19" t="inlineStr">
        <is>
          <t>1010000</t>
        </is>
      </c>
      <c r="M145" t="inlineStr">
        <is>
          <t>STATUS=IN OEM / EU PACKAGE; SOURCE_CFG=IA-ST-CFG-0057; MARKET=SCHNAPP</t>
        </is>
      </c>
      <c r="N145" t="inlineStr">
        <is>
          <t>2026-08-10T19:29:54Z</t>
        </is>
      </c>
      <c r="O145" t="inlineStr">
        <is>
          <t>2026-08-10T19:29:54Z</t>
        </is>
      </c>
    </row>
    <row r="146">
      <c r="A146" s="19" t="inlineStr">
        <is>
          <t>145</t>
        </is>
      </c>
      <c r="B146" s="19" t="inlineStr">
        <is>
          <t>1010001</t>
        </is>
      </c>
      <c r="C146" t="inlineStr">
        <is>
          <t>AKÜ,C-IGYASMF,DK,225AH,SILVER,SCHNAPP</t>
        </is>
      </c>
      <c r="D146" s="19" t="inlineStr">
        <is>
          <t>1</t>
        </is>
      </c>
      <c r="E146" t="n">
        <v>0</v>
      </c>
      <c r="I146" s="19" t="inlineStr">
        <is>
          <t>2</t>
        </is>
      </c>
      <c r="J146" t="inlineStr">
        <is>
          <t>2026-08-08</t>
        </is>
      </c>
      <c r="L146" s="19" t="inlineStr">
        <is>
          <t>1010001</t>
        </is>
      </c>
      <c r="M146" t="inlineStr">
        <is>
          <t>STATUS=IN OEM / EU PACKAGE; SOURCE_CFG=IA-ST-CFG-0025; MARKET=SCHNAPP</t>
        </is>
      </c>
      <c r="N146" t="inlineStr">
        <is>
          <t>2026-08-10T19:29:54Z</t>
        </is>
      </c>
      <c r="O146" t="inlineStr">
        <is>
          <t>2026-08-10T19:29:54Z</t>
        </is>
      </c>
    </row>
    <row r="147">
      <c r="A147" s="19" t="inlineStr">
        <is>
          <t>146</t>
        </is>
      </c>
      <c r="B147" s="19" t="inlineStr">
        <is>
          <t>1010002</t>
        </is>
      </c>
      <c r="C147" t="inlineStr">
        <is>
          <t>AKÜ,B-IGYASMF,DK,170AH,STRONG,SCHNAPP</t>
        </is>
      </c>
      <c r="D147" s="19" t="inlineStr">
        <is>
          <t>1</t>
        </is>
      </c>
      <c r="E147" t="n">
        <v>0</v>
      </c>
      <c r="I147" s="19" t="inlineStr">
        <is>
          <t>2</t>
        </is>
      </c>
      <c r="J147" t="inlineStr">
        <is>
          <t>2026-08-08</t>
        </is>
      </c>
      <c r="L147" s="19" t="inlineStr">
        <is>
          <t>1010002</t>
        </is>
      </c>
      <c r="M147" t="inlineStr">
        <is>
          <t>STATUS=IN OEM / EU PACKAGE; SOURCE_CFG=IA-ST-CFG-0057; MARKET=SCHNAPP</t>
        </is>
      </c>
      <c r="N147" t="inlineStr">
        <is>
          <t>2026-08-10T19:29:54Z</t>
        </is>
      </c>
      <c r="O147" t="inlineStr">
        <is>
          <t>2026-08-10T19:29:54Z</t>
        </is>
      </c>
    </row>
    <row r="148">
      <c r="A148" s="19" t="inlineStr">
        <is>
          <t>147</t>
        </is>
      </c>
      <c r="B148" s="19" t="inlineStr">
        <is>
          <t>1010003</t>
        </is>
      </c>
      <c r="C148" t="inlineStr">
        <is>
          <t>AKÜ,A-IGYASMF,DK,145AH,STRONG,SCHNAPP</t>
        </is>
      </c>
      <c r="D148" s="19" t="inlineStr">
        <is>
          <t>1</t>
        </is>
      </c>
      <c r="E148" t="n">
        <v>0</v>
      </c>
      <c r="I148" s="19" t="inlineStr">
        <is>
          <t>2</t>
        </is>
      </c>
      <c r="J148" t="inlineStr">
        <is>
          <t>2026-08-08</t>
        </is>
      </c>
      <c r="L148" s="19" t="inlineStr">
        <is>
          <t>1010003</t>
        </is>
      </c>
      <c r="M148" t="inlineStr">
        <is>
          <t>STATUS=IN OEM / EU PACKAGE; SOURCE_CFG=IA-ST-CFG-0056; MARKET=SCHNAPP</t>
        </is>
      </c>
      <c r="N148" t="inlineStr">
        <is>
          <t>2026-08-10T19:29:54Z</t>
        </is>
      </c>
      <c r="O148" t="inlineStr">
        <is>
          <t>2026-08-10T19:29:54Z</t>
        </is>
      </c>
    </row>
    <row r="149">
      <c r="A149" s="19" t="inlineStr">
        <is>
          <t>148</t>
        </is>
      </c>
      <c r="B149" s="19" t="inlineStr">
        <is>
          <t>1010037</t>
        </is>
      </c>
      <c r="C149" t="inlineStr">
        <is>
          <t>AKÜ,L5,DK,92AH,VRLA,AGM S&amp;S,FORD OES</t>
        </is>
      </c>
      <c r="D149" s="19" t="inlineStr">
        <is>
          <t>1</t>
        </is>
      </c>
      <c r="E149" t="n">
        <v>0</v>
      </c>
      <c r="I149" s="19" t="inlineStr">
        <is>
          <t>2</t>
        </is>
      </c>
      <c r="J149" t="inlineStr">
        <is>
          <t>2026-08-08</t>
        </is>
      </c>
      <c r="L149" s="19" t="inlineStr">
        <is>
          <t>1010037</t>
        </is>
      </c>
      <c r="M149" t="inlineStr">
        <is>
          <t>STATUS=IN OEM / EU PACKAGE; SOURCE_CFG=IA-ST-CFG-0096; MARKET=FORD (Yurt İçi)</t>
        </is>
      </c>
      <c r="N149" t="inlineStr">
        <is>
          <t>2026-08-10T19:29:54Z</t>
        </is>
      </c>
      <c r="O149" t="inlineStr">
        <is>
          <t>2026-08-10T19:29:54Z</t>
        </is>
      </c>
    </row>
    <row r="150">
      <c r="A150" s="19" t="inlineStr">
        <is>
          <t>149</t>
        </is>
      </c>
      <c r="B150" s="19" t="inlineStr">
        <is>
          <t>1010038</t>
        </is>
      </c>
      <c r="C150" t="inlineStr">
        <is>
          <t>AKÜ,L3,DK,70AH,VRLA,AGM S&amp;S,FORD OES</t>
        </is>
      </c>
      <c r="D150" s="19" t="inlineStr">
        <is>
          <t>1</t>
        </is>
      </c>
      <c r="E150" t="n">
        <v>0</v>
      </c>
      <c r="I150" s="19" t="inlineStr">
        <is>
          <t>2</t>
        </is>
      </c>
      <c r="J150" t="inlineStr">
        <is>
          <t>2026-08-08</t>
        </is>
      </c>
      <c r="L150" s="19" t="inlineStr">
        <is>
          <t>1010038</t>
        </is>
      </c>
      <c r="M150" t="inlineStr">
        <is>
          <t>STATUS=IN OEM / EU PACKAGE; SOURCE_CFG=IA-ST-CFG-0179; MARKET=FORD (Yurt İçi)</t>
        </is>
      </c>
      <c r="N150" t="inlineStr">
        <is>
          <t>2026-08-10T19:29:54Z</t>
        </is>
      </c>
      <c r="O150" t="inlineStr">
        <is>
          <t>2026-08-10T19:29:54Z</t>
        </is>
      </c>
    </row>
    <row r="151">
      <c r="A151" s="19" t="inlineStr">
        <is>
          <t>150</t>
        </is>
      </c>
      <c r="B151" s="19" t="inlineStr">
        <is>
          <t>1010043</t>
        </is>
      </c>
      <c r="C151" t="inlineStr">
        <is>
          <t>AKÜ,D31,TK,80AH,IGYA SMF,N80,LUCAS</t>
        </is>
      </c>
      <c r="D151" s="19" t="inlineStr">
        <is>
          <t>1</t>
        </is>
      </c>
      <c r="E151" t="n">
        <v>0</v>
      </c>
      <c r="I151" s="19" t="inlineStr">
        <is>
          <t>2</t>
        </is>
      </c>
      <c r="J151" t="inlineStr">
        <is>
          <t>2026-08-08</t>
        </is>
      </c>
      <c r="L151" s="19" t="inlineStr">
        <is>
          <t>1010043</t>
        </is>
      </c>
      <c r="M151" t="inlineStr">
        <is>
          <t>STATUS=IN OEM / EU PACKAGE; SOURCE_CFG=IA-ST-CFG-0143; MARKET=REY &amp; LENFERNA LUCAS</t>
        </is>
      </c>
      <c r="N151" t="inlineStr">
        <is>
          <t>2026-08-10T19:29:54Z</t>
        </is>
      </c>
      <c r="O151" t="inlineStr">
        <is>
          <t>2026-08-10T19:29:54Z</t>
        </is>
      </c>
    </row>
    <row r="152">
      <c r="A152" s="19" t="inlineStr">
        <is>
          <t>151</t>
        </is>
      </c>
      <c r="B152" s="19" t="inlineStr">
        <is>
          <t>1010050</t>
        </is>
      </c>
      <c r="C152" t="inlineStr">
        <is>
          <t>AKÜ,A-IGYASMF,DK,140AH,N140,LUCAS</t>
        </is>
      </c>
      <c r="D152" s="19" t="inlineStr">
        <is>
          <t>1</t>
        </is>
      </c>
      <c r="E152" t="n">
        <v>0</v>
      </c>
      <c r="I152" s="19" t="inlineStr">
        <is>
          <t>2</t>
        </is>
      </c>
      <c r="J152" t="inlineStr">
        <is>
          <t>2026-08-08</t>
        </is>
      </c>
      <c r="L152" s="19" t="inlineStr">
        <is>
          <t>1010050</t>
        </is>
      </c>
      <c r="M152" t="inlineStr">
        <is>
          <t>STATUS=IN OEM / EU PACKAGE; SOURCE_CFG=IA-ST-CFG-0051; MARKET=REY &amp; LENFERNA LUCAS</t>
        </is>
      </c>
      <c r="N152" t="inlineStr">
        <is>
          <t>2026-08-10T19:29:54Z</t>
        </is>
      </c>
      <c r="O152" t="inlineStr">
        <is>
          <t>2026-08-10T19:29:54Z</t>
        </is>
      </c>
    </row>
    <row r="153">
      <c r="A153" s="19" t="inlineStr">
        <is>
          <t>152</t>
        </is>
      </c>
      <c r="B153" s="19" t="inlineStr">
        <is>
          <t>1010051</t>
        </is>
      </c>
      <c r="C153" t="inlineStr">
        <is>
          <t>AKÜ,B-IGYASMF,DK,180AH,N180,LUCAS</t>
        </is>
      </c>
      <c r="D153" s="19" t="inlineStr">
        <is>
          <t>1</t>
        </is>
      </c>
      <c r="E153" t="n">
        <v>0</v>
      </c>
      <c r="I153" s="19" t="inlineStr">
        <is>
          <t>2</t>
        </is>
      </c>
      <c r="J153" t="inlineStr">
        <is>
          <t>2026-08-08</t>
        </is>
      </c>
      <c r="L153" s="19" t="inlineStr">
        <is>
          <t>1010051</t>
        </is>
      </c>
      <c r="M153" t="inlineStr">
        <is>
          <t>STATUS=IN OEM / EU PACKAGE; SOURCE_CFG=IA-ST-CFG-0052; MARKET=REY &amp; LENFERNA LUCAS</t>
        </is>
      </c>
      <c r="N153" t="inlineStr">
        <is>
          <t>2026-08-10T19:29:54Z</t>
        </is>
      </c>
      <c r="O153" t="inlineStr">
        <is>
          <t>2026-08-10T19:29:54Z</t>
        </is>
      </c>
    </row>
    <row r="154">
      <c r="A154" s="19" t="inlineStr">
        <is>
          <t>153</t>
        </is>
      </c>
      <c r="B154" s="19" t="inlineStr">
        <is>
          <t>1010052</t>
        </is>
      </c>
      <c r="C154" t="inlineStr">
        <is>
          <t>AKÜ,D31,DK,90AH,IGYA SMF,105D31L,LUCAS</t>
        </is>
      </c>
      <c r="D154" s="19" t="inlineStr">
        <is>
          <t>1</t>
        </is>
      </c>
      <c r="E154" t="n">
        <v>0</v>
      </c>
      <c r="I154" s="19" t="inlineStr">
        <is>
          <t>2</t>
        </is>
      </c>
      <c r="J154" t="inlineStr">
        <is>
          <t>2026-08-08</t>
        </is>
      </c>
      <c r="L154" s="19" t="inlineStr">
        <is>
          <t>1010052</t>
        </is>
      </c>
      <c r="M154" t="inlineStr">
        <is>
          <t>STATUS=IN OEM / EU PACKAGE; SOURCE_CFG=IA-ST-CFG-0143; MARKET=REY &amp; LENFERNA LUCAS</t>
        </is>
      </c>
      <c r="N154" t="inlineStr">
        <is>
          <t>2026-08-10T19:29:54Z</t>
        </is>
      </c>
      <c r="O154" t="inlineStr">
        <is>
          <t>2026-08-10T19:29:54Z</t>
        </is>
      </c>
    </row>
    <row r="155">
      <c r="A155" s="19" t="inlineStr">
        <is>
          <t>154</t>
        </is>
      </c>
      <c r="B155" s="19" t="inlineStr">
        <is>
          <t>1010063</t>
        </is>
      </c>
      <c r="C155" t="inlineStr">
        <is>
          <t>AKÜ,TRACTOR,DK,142AH,Y1000,YBX1657,GYEUR</t>
        </is>
      </c>
      <c r="D155" s="19" t="inlineStr">
        <is>
          <t>1</t>
        </is>
      </c>
      <c r="E155" t="n">
        <v>0</v>
      </c>
      <c r="I155" s="19" t="inlineStr">
        <is>
          <t>2</t>
        </is>
      </c>
      <c r="J155" t="inlineStr">
        <is>
          <t>2026-08-08</t>
        </is>
      </c>
      <c r="L155" s="19" t="inlineStr">
        <is>
          <t>1010063</t>
        </is>
      </c>
      <c r="M155" t="inlineStr">
        <is>
          <t>STATUS=IN OEM / EU PACKAGE; SOURCE_CFG=IA-ST-CFG-0035; MARKET=GY EUR</t>
        </is>
      </c>
      <c r="N155" t="inlineStr">
        <is>
          <t>2026-08-10T19:29:54Z</t>
        </is>
      </c>
      <c r="O155" t="inlineStr">
        <is>
          <t>2026-08-10T19:29:54Z</t>
        </is>
      </c>
    </row>
    <row r="156">
      <c r="A156" s="19" t="inlineStr">
        <is>
          <t>155</t>
        </is>
      </c>
      <c r="B156" s="19" t="inlineStr">
        <is>
          <t>1010068</t>
        </is>
      </c>
      <c r="C156" t="inlineStr">
        <is>
          <t>AKÜ,TRACTORL,DK,105AH,OTOPRATİK, İÇ PYS</t>
        </is>
      </c>
      <c r="D156" s="19" t="inlineStr">
        <is>
          <t>1</t>
        </is>
      </c>
      <c r="E156" t="n">
        <v>0</v>
      </c>
      <c r="I156" s="19" t="inlineStr">
        <is>
          <t>2</t>
        </is>
      </c>
      <c r="J156" t="inlineStr">
        <is>
          <t>2026-08-08</t>
        </is>
      </c>
      <c r="L156" s="19" t="inlineStr">
        <is>
          <t>1010068</t>
        </is>
      </c>
      <c r="M156" t="inlineStr">
        <is>
          <t>STATUS=IN OEM / EU PACKAGE; SOURCE_CFG=IA-ST-CFG-0097; MARKET=OTOPRATİK (Yurt İçi)</t>
        </is>
      </c>
      <c r="N156" t="inlineStr">
        <is>
          <t>2026-08-10T19:29:54Z</t>
        </is>
      </c>
      <c r="O156" t="inlineStr">
        <is>
          <t>2026-08-10T19:29:54Z</t>
        </is>
      </c>
    </row>
    <row r="157">
      <c r="A157" s="19" t="inlineStr">
        <is>
          <t>156</t>
        </is>
      </c>
      <c r="B157" s="19" t="inlineStr">
        <is>
          <t>1010069</t>
        </is>
      </c>
      <c r="C157" t="inlineStr">
        <is>
          <t>AKÜ,C-FLAT,DK,240AH,OTOPRATİK,İÇ PYS</t>
        </is>
      </c>
      <c r="D157" s="19" t="inlineStr">
        <is>
          <t>1</t>
        </is>
      </c>
      <c r="E157" t="n">
        <v>0</v>
      </c>
      <c r="I157" s="19" t="inlineStr">
        <is>
          <t>2</t>
        </is>
      </c>
      <c r="J157" t="inlineStr">
        <is>
          <t>2026-08-08</t>
        </is>
      </c>
      <c r="L157" s="19" t="inlineStr">
        <is>
          <t>1010069</t>
        </is>
      </c>
      <c r="M157" t="inlineStr">
        <is>
          <t>STATUS=IN OEM / EU PACKAGE; SOURCE_CFG=IA-ST-CFG-0024; MARKET=OTOPRATİK (Yurt İçi)</t>
        </is>
      </c>
      <c r="N157" t="inlineStr">
        <is>
          <t>2026-08-10T19:29:54Z</t>
        </is>
      </c>
      <c r="O157" t="inlineStr">
        <is>
          <t>2026-08-10T19:29:54Z</t>
        </is>
      </c>
    </row>
    <row r="158">
      <c r="A158" s="19" t="inlineStr">
        <is>
          <t>157</t>
        </is>
      </c>
      <c r="B158" s="19" t="inlineStr">
        <is>
          <t>1010103</t>
        </is>
      </c>
      <c r="C158" t="inlineStr">
        <is>
          <t>AKÜ,A-IGYASMF,DK,120AH,BLIZSILVER,JANENE</t>
        </is>
      </c>
      <c r="D158" s="19" t="inlineStr">
        <is>
          <t>1</t>
        </is>
      </c>
      <c r="E158" t="n">
        <v>0</v>
      </c>
      <c r="I158" s="19" t="inlineStr">
        <is>
          <t>2</t>
        </is>
      </c>
      <c r="J158" t="inlineStr">
        <is>
          <t>2026-08-08</t>
        </is>
      </c>
      <c r="L158" s="19" t="inlineStr">
        <is>
          <t>1010103</t>
        </is>
      </c>
      <c r="M158" t="inlineStr">
        <is>
          <t>STATUS=IN OEM / EU PACKAGE; SOURCE_CFG=IA-ST-CFG-0051; MARKET=JANENE İSRAİL</t>
        </is>
      </c>
      <c r="N158" t="inlineStr">
        <is>
          <t>2026-08-10T19:29:54Z</t>
        </is>
      </c>
      <c r="O158" t="inlineStr">
        <is>
          <t>2026-08-10T19:29:54Z</t>
        </is>
      </c>
    </row>
    <row r="159">
      <c r="A159" s="19" t="inlineStr">
        <is>
          <t>158</t>
        </is>
      </c>
      <c r="B159" s="19" t="inlineStr">
        <is>
          <t>1010104</t>
        </is>
      </c>
      <c r="C159" t="inlineStr">
        <is>
          <t>AKÜ,B-IGYASMF,DK,170AH,BLIZZARO,JANENE</t>
        </is>
      </c>
      <c r="D159" s="19" t="inlineStr">
        <is>
          <t>1</t>
        </is>
      </c>
      <c r="E159" t="n">
        <v>0</v>
      </c>
      <c r="I159" s="19" t="inlineStr">
        <is>
          <t>2</t>
        </is>
      </c>
      <c r="J159" t="inlineStr">
        <is>
          <t>2026-08-08</t>
        </is>
      </c>
      <c r="L159" s="19" t="inlineStr">
        <is>
          <t>1010104</t>
        </is>
      </c>
      <c r="M159" t="inlineStr">
        <is>
          <t>STATUS=IN OEM / EU PACKAGE; SOURCE_CFG=IA-ST-CFG-0052; MARKET=JANENE İSRAİL</t>
        </is>
      </c>
      <c r="N159" t="inlineStr">
        <is>
          <t>2026-08-10T19:29:54Z</t>
        </is>
      </c>
      <c r="O159" t="inlineStr">
        <is>
          <t>2026-08-10T19:29:54Z</t>
        </is>
      </c>
    </row>
    <row r="160">
      <c r="A160" s="19" t="inlineStr">
        <is>
          <t>159</t>
        </is>
      </c>
      <c r="B160" s="19" t="inlineStr">
        <is>
          <t>1010105</t>
        </is>
      </c>
      <c r="C160" t="inlineStr">
        <is>
          <t>AKÜ,C-IGYASMF,DK,225AH,BİZZARO,JANENE</t>
        </is>
      </c>
      <c r="D160" s="19" t="inlineStr">
        <is>
          <t>1</t>
        </is>
      </c>
      <c r="E160" t="n">
        <v>0</v>
      </c>
      <c r="I160" s="19" t="inlineStr">
        <is>
          <t>2</t>
        </is>
      </c>
      <c r="J160" t="inlineStr">
        <is>
          <t>2026-08-08</t>
        </is>
      </c>
      <c r="L160" s="19" t="inlineStr">
        <is>
          <t>1010105</t>
        </is>
      </c>
      <c r="M160" t="inlineStr">
        <is>
          <t>STATUS=IN OEM / EU PACKAGE; SOURCE_CFG=IA-ST-CFG-0023; MARKET=JANENE İSRAİL</t>
        </is>
      </c>
      <c r="N160" t="inlineStr">
        <is>
          <t>2026-08-10T19:29:54Z</t>
        </is>
      </c>
      <c r="O160" t="inlineStr">
        <is>
          <t>2026-08-10T19:29:54Z</t>
        </is>
      </c>
    </row>
    <row r="161">
      <c r="A161" s="19" t="inlineStr">
        <is>
          <t>160</t>
        </is>
      </c>
      <c r="B161" s="19" t="inlineStr">
        <is>
          <t>1010110</t>
        </is>
      </c>
      <c r="C161" t="inlineStr">
        <is>
          <t>AKÜ AGM,L3,DK,70AH,BLIZZARO AGM,JANENE</t>
        </is>
      </c>
      <c r="D161" s="19" t="inlineStr">
        <is>
          <t>1</t>
        </is>
      </c>
      <c r="E161" t="n">
        <v>0</v>
      </c>
      <c r="I161" s="19" t="inlineStr">
        <is>
          <t>2</t>
        </is>
      </c>
      <c r="J161" t="inlineStr">
        <is>
          <t>2026-08-08</t>
        </is>
      </c>
      <c r="L161" s="19" t="inlineStr">
        <is>
          <t>1010110</t>
        </is>
      </c>
      <c r="M161" t="inlineStr">
        <is>
          <t>STATUS=IN OEM / EU PACKAGE; SOURCE_CFG=IA-ST-CFG-0179; MARKET=JANENE İSRAİL</t>
        </is>
      </c>
      <c r="N161" t="inlineStr">
        <is>
          <t>2026-08-10T19:29:54Z</t>
        </is>
      </c>
      <c r="O161" t="inlineStr">
        <is>
          <t>2026-08-10T19:29:54Z</t>
        </is>
      </c>
    </row>
    <row r="162">
      <c r="A162" s="19" t="inlineStr">
        <is>
          <t>161</t>
        </is>
      </c>
      <c r="B162" s="19" t="inlineStr">
        <is>
          <t>1010111</t>
        </is>
      </c>
      <c r="C162" t="inlineStr">
        <is>
          <t>AKÜ AGM,L5,DK,92AH,BLIZZARO AGM,JANENE</t>
        </is>
      </c>
      <c r="D162" s="19" t="inlineStr">
        <is>
          <t>1</t>
        </is>
      </c>
      <c r="E162" t="n">
        <v>0</v>
      </c>
      <c r="I162" s="19" t="inlineStr">
        <is>
          <t>2</t>
        </is>
      </c>
      <c r="J162" t="inlineStr">
        <is>
          <t>2026-08-08</t>
        </is>
      </c>
      <c r="L162" s="19" t="inlineStr">
        <is>
          <t>1010111</t>
        </is>
      </c>
      <c r="M162" t="inlineStr">
        <is>
          <t>STATUS=IN OEM / EU PACKAGE; SOURCE_CFG=IA-ST-CFG-0096; MARKET=JANENE İSRAİL</t>
        </is>
      </c>
      <c r="N162" t="inlineStr">
        <is>
          <t>2026-08-10T19:29:54Z</t>
        </is>
      </c>
      <c r="O162" t="inlineStr">
        <is>
          <t>2026-08-10T19:29:54Z</t>
        </is>
      </c>
    </row>
    <row r="163">
      <c r="A163" s="19" t="inlineStr">
        <is>
          <t>162</t>
        </is>
      </c>
      <c r="B163" s="19" t="inlineStr">
        <is>
          <t>1010160</t>
        </is>
      </c>
      <c r="C163" t="inlineStr">
        <is>
          <t>AKÜ SULU,D20,DK,55AH,İNCİ MAXIM A,İÇ PYS</t>
        </is>
      </c>
      <c r="D163" s="19" t="inlineStr">
        <is>
          <t>1</t>
        </is>
      </c>
      <c r="E163" t="n">
        <v>0</v>
      </c>
      <c r="I163" s="19" t="inlineStr">
        <is>
          <t>2</t>
        </is>
      </c>
      <c r="J163" t="inlineStr">
        <is>
          <t>2026-08-08</t>
        </is>
      </c>
      <c r="L163" s="19" t="inlineStr">
        <is>
          <t>1010160</t>
        </is>
      </c>
      <c r="M163" t="inlineStr">
        <is>
          <t>STATUS=IN OEM / EU PACKAGE; SOURCE_CFG=IA-ST-CFG-0225; MARKET=YURT İÇİ AFM</t>
        </is>
      </c>
      <c r="N163" t="inlineStr">
        <is>
          <t>2026-08-10T19:29:54Z</t>
        </is>
      </c>
      <c r="O163" t="inlineStr">
        <is>
          <t>2026-08-10T19:29:54Z</t>
        </is>
      </c>
    </row>
    <row r="164">
      <c r="A164" s="19" t="inlineStr">
        <is>
          <t>163</t>
        </is>
      </c>
      <c r="B164" s="19" t="inlineStr">
        <is>
          <t>1010161</t>
        </is>
      </c>
      <c r="C164" t="inlineStr">
        <is>
          <t>AKÜ SULU,D20,TK,55AH,İNCİ MAXIM A,İÇ PYS</t>
        </is>
      </c>
      <c r="D164" s="19" t="inlineStr">
        <is>
          <t>1</t>
        </is>
      </c>
      <c r="E164" t="n">
        <v>0</v>
      </c>
      <c r="I164" s="19" t="inlineStr">
        <is>
          <t>2</t>
        </is>
      </c>
      <c r="J164" t="inlineStr">
        <is>
          <t>2026-08-08</t>
        </is>
      </c>
      <c r="L164" s="19" t="inlineStr">
        <is>
          <t>1010161</t>
        </is>
      </c>
      <c r="M164" t="inlineStr">
        <is>
          <t>STATUS=IN OEM / EU PACKAGE; SOURCE_CFG=IA-ST-CFG-0225; MARKET=YURT İÇİ AFM</t>
        </is>
      </c>
      <c r="N164" t="inlineStr">
        <is>
          <t>2026-08-10T19:29:54Z</t>
        </is>
      </c>
      <c r="O164" t="inlineStr">
        <is>
          <t>2026-08-10T19:29:54Z</t>
        </is>
      </c>
    </row>
    <row r="165">
      <c r="A165" s="19" t="inlineStr">
        <is>
          <t>164</t>
        </is>
      </c>
      <c r="B165" s="19" t="inlineStr">
        <is>
          <t>1010168</t>
        </is>
      </c>
      <c r="C165" t="inlineStr">
        <is>
          <t>AKÜ,C-FLAT,DK,200AH,İNCİ MARINE,İÇ PYS</t>
        </is>
      </c>
      <c r="D165" s="19" t="inlineStr">
        <is>
          <t>1</t>
        </is>
      </c>
      <c r="E165" t="n">
        <v>0</v>
      </c>
      <c r="I165" s="19" t="inlineStr">
        <is>
          <t>2</t>
        </is>
      </c>
      <c r="J165" t="inlineStr">
        <is>
          <t>2026-08-08</t>
        </is>
      </c>
      <c r="L165" s="19" t="inlineStr">
        <is>
          <t>1010168</t>
        </is>
      </c>
      <c r="M165" t="inlineStr">
        <is>
          <t>STATUS=IN OEM / EU PACKAGE; SOURCE_CFG=IA-ST-CFG-0024; MARKET=YURT İÇİ AFM</t>
        </is>
      </c>
      <c r="N165" t="inlineStr">
        <is>
          <t>2026-08-10T19:29:54Z</t>
        </is>
      </c>
      <c r="O165" t="inlineStr">
        <is>
          <t>2026-08-10T19:29:54Z</t>
        </is>
      </c>
    </row>
    <row r="166">
      <c r="A166" s="19" t="inlineStr">
        <is>
          <t>165</t>
        </is>
      </c>
      <c r="B166" s="19" t="inlineStr">
        <is>
          <t>1010170</t>
        </is>
      </c>
      <c r="C166" t="inlineStr">
        <is>
          <t>AKÜ SULU,TANK,DK,125AH,İNCİ SUPRA,İÇ PYS</t>
        </is>
      </c>
      <c r="D166" s="19" t="inlineStr">
        <is>
          <t>1</t>
        </is>
      </c>
      <c r="E166" t="n">
        <v>0</v>
      </c>
      <c r="I166" s="19" t="inlineStr">
        <is>
          <t>2</t>
        </is>
      </c>
      <c r="J166" t="inlineStr">
        <is>
          <t>2026-08-08</t>
        </is>
      </c>
      <c r="L166" s="19" t="inlineStr">
        <is>
          <t>1010170</t>
        </is>
      </c>
      <c r="M166" t="inlineStr">
        <is>
          <t>STATUS=IN OEM / EU PACKAGE; SOURCE_CFG=IA-ST-CFG-0044; MARKET=YURT İÇİ AFM</t>
        </is>
      </c>
      <c r="N166" t="inlineStr">
        <is>
          <t>2026-08-10T19:29:54Z</t>
        </is>
      </c>
      <c r="O166" t="inlineStr">
        <is>
          <t>2026-08-10T19:29:54Z</t>
        </is>
      </c>
    </row>
    <row r="167">
      <c r="A167" s="19" t="inlineStr">
        <is>
          <t>166</t>
        </is>
      </c>
      <c r="B167" s="19" t="inlineStr">
        <is>
          <t>1010171</t>
        </is>
      </c>
      <c r="C167" t="inlineStr">
        <is>
          <t>AKÜ SULU,TRAKTÖRL,DK105AH,İNCİSUPRAİÇPYS</t>
        </is>
      </c>
      <c r="D167" s="19" t="inlineStr">
        <is>
          <t>1</t>
        </is>
      </c>
      <c r="E167" t="n">
        <v>0</v>
      </c>
      <c r="I167" s="19" t="inlineStr">
        <is>
          <t>2</t>
        </is>
      </c>
      <c r="J167" t="inlineStr">
        <is>
          <t>2026-08-08</t>
        </is>
      </c>
      <c r="L167" s="19" t="inlineStr">
        <is>
          <t>1010171</t>
        </is>
      </c>
      <c r="M167" t="inlineStr">
        <is>
          <t>STATUS=IN OEM / EU PACKAGE; SOURCE_CFG=IA-ST-CFG-0097; MARKET=YURT İÇİ AFM</t>
        </is>
      </c>
      <c r="N167" t="inlineStr">
        <is>
          <t>2026-08-10T19:29:54Z</t>
        </is>
      </c>
      <c r="O167" t="inlineStr">
        <is>
          <t>2026-08-10T19:29:54Z</t>
        </is>
      </c>
    </row>
    <row r="168">
      <c r="A168" s="19" t="inlineStr">
        <is>
          <t>167</t>
        </is>
      </c>
      <c r="B168" s="19" t="inlineStr">
        <is>
          <t>1010175</t>
        </is>
      </c>
      <c r="C168" t="inlineStr">
        <is>
          <t>AKÜ,TRAKTÖR,DK,125AH,İNCİ MARINE,İÇPYS</t>
        </is>
      </c>
      <c r="D168" s="19" t="inlineStr">
        <is>
          <t>1</t>
        </is>
      </c>
      <c r="E168" t="n">
        <v>0</v>
      </c>
      <c r="I168" s="19" t="inlineStr">
        <is>
          <t>2</t>
        </is>
      </c>
      <c r="J168" t="inlineStr">
        <is>
          <t>2026-08-08</t>
        </is>
      </c>
      <c r="L168" s="19" t="inlineStr">
        <is>
          <t>1010175</t>
        </is>
      </c>
      <c r="M168" t="inlineStr">
        <is>
          <t>STATUS=IN OEM / EU PACKAGE; SOURCE_CFG=IA-ST-CFG-0097; MARKET=YURT İÇİ AFM</t>
        </is>
      </c>
      <c r="N168" t="inlineStr">
        <is>
          <t>2026-08-10T19:29:54Z</t>
        </is>
      </c>
      <c r="O168" t="inlineStr">
        <is>
          <t>2026-08-10T19:29:54Z</t>
        </is>
      </c>
    </row>
    <row r="169">
      <c r="A169" s="19" t="inlineStr">
        <is>
          <t>168</t>
        </is>
      </c>
      <c r="B169" s="19" t="inlineStr">
        <is>
          <t>1010192</t>
        </is>
      </c>
      <c r="C169" t="inlineStr">
        <is>
          <t>AKÜ AGM,L3,DK,70AH,İNCİ AGM LEO,İÇ PYS</t>
        </is>
      </c>
      <c r="D169" s="19" t="inlineStr">
        <is>
          <t>1</t>
        </is>
      </c>
      <c r="E169" t="n">
        <v>0</v>
      </c>
      <c r="I169" s="19" t="inlineStr">
        <is>
          <t>2</t>
        </is>
      </c>
      <c r="J169" t="inlineStr">
        <is>
          <t>2026-08-08</t>
        </is>
      </c>
      <c r="L169" s="19" t="inlineStr">
        <is>
          <t>1010192</t>
        </is>
      </c>
      <c r="M169" t="inlineStr">
        <is>
          <t>STATUS=IN OEM / EU PACKAGE; SOURCE_CFG=IA-ST-CFG-0190; MARKET=YURT İÇİ AFM</t>
        </is>
      </c>
      <c r="N169" t="inlineStr">
        <is>
          <t>2026-08-10T19:29:54Z</t>
        </is>
      </c>
      <c r="O169" t="inlineStr">
        <is>
          <t>2026-08-10T19:29:54Z</t>
        </is>
      </c>
    </row>
    <row r="170">
      <c r="A170" s="19" t="inlineStr">
        <is>
          <t>169</t>
        </is>
      </c>
      <c r="B170" s="19" t="inlineStr">
        <is>
          <t>1010193</t>
        </is>
      </c>
      <c r="C170" t="inlineStr">
        <is>
          <t>AKÜ AGM,L5,DK,95AH,İNCİ AGM LEO,İÇ PYS</t>
        </is>
      </c>
      <c r="D170" s="19" t="inlineStr">
        <is>
          <t>1</t>
        </is>
      </c>
      <c r="E170" t="n">
        <v>0</v>
      </c>
      <c r="I170" s="19" t="inlineStr">
        <is>
          <t>2</t>
        </is>
      </c>
      <c r="J170" t="inlineStr">
        <is>
          <t>2026-08-08</t>
        </is>
      </c>
      <c r="L170" s="19" t="inlineStr">
        <is>
          <t>1010193</t>
        </is>
      </c>
      <c r="M170" t="inlineStr">
        <is>
          <t>STATUS=IN OEM / EU PACKAGE; SOURCE_CFG=IA-ST-CFG-0105; MARKET=YURT İÇİ AFM</t>
        </is>
      </c>
      <c r="N170" t="inlineStr">
        <is>
          <t>2026-08-10T19:29:54Z</t>
        </is>
      </c>
      <c r="O170" t="inlineStr">
        <is>
          <t>2026-08-10T19:29:54Z</t>
        </is>
      </c>
    </row>
    <row r="171">
      <c r="A171" s="19" t="inlineStr">
        <is>
          <t>170</t>
        </is>
      </c>
      <c r="B171" s="19" t="inlineStr">
        <is>
          <t>1010194</t>
        </is>
      </c>
      <c r="C171" t="inlineStr">
        <is>
          <t>AKÜ,B-FLAT,DK,180AH,İNCİ SUPRASENT,İÇPYS</t>
        </is>
      </c>
      <c r="D171" s="19" t="inlineStr">
        <is>
          <t>1</t>
        </is>
      </c>
      <c r="E171" t="n">
        <v>0</v>
      </c>
      <c r="I171" s="19" t="inlineStr">
        <is>
          <t>2</t>
        </is>
      </c>
      <c r="J171" t="inlineStr">
        <is>
          <t>2026-08-08</t>
        </is>
      </c>
      <c r="L171" s="19" t="inlineStr">
        <is>
          <t>1010194</t>
        </is>
      </c>
      <c r="M171" t="inlineStr">
        <is>
          <t>STATUS=IN OEM / EU PACKAGE; SOURCE_CFG=IA-ST-CFG-0055; MARKET=YURT İÇİ AFM</t>
        </is>
      </c>
      <c r="N171" t="inlineStr">
        <is>
          <t>2026-08-10T19:29:54Z</t>
        </is>
      </c>
      <c r="O171" t="inlineStr">
        <is>
          <t>2026-08-10T19:29:54Z</t>
        </is>
      </c>
    </row>
    <row r="172">
      <c r="A172" s="19" t="inlineStr">
        <is>
          <t>171</t>
        </is>
      </c>
      <c r="B172" s="19" t="inlineStr">
        <is>
          <t>1010195</t>
        </is>
      </c>
      <c r="C172" t="inlineStr">
        <is>
          <t>AKÜ,A-FLAT,DK,135AH,İNCİ SUPRASENT,İÇPYS</t>
        </is>
      </c>
      <c r="D172" s="19" t="inlineStr">
        <is>
          <t>1</t>
        </is>
      </c>
      <c r="E172" t="n">
        <v>0</v>
      </c>
      <c r="I172" s="19" t="inlineStr">
        <is>
          <t>2</t>
        </is>
      </c>
      <c r="J172" t="inlineStr">
        <is>
          <t>2026-08-08</t>
        </is>
      </c>
      <c r="L172" s="19" t="inlineStr">
        <is>
          <t>1010195</t>
        </is>
      </c>
      <c r="M172" t="inlineStr">
        <is>
          <t>STATUS=IN OEM / EU PACKAGE; SOURCE_CFG=IA-ST-CFG-0054; MARKET=YURT İÇİ AFM</t>
        </is>
      </c>
      <c r="N172" t="inlineStr">
        <is>
          <t>2026-08-10T19:29:54Z</t>
        </is>
      </c>
      <c r="O172" t="inlineStr">
        <is>
          <t>2026-08-10T19:29:54Z</t>
        </is>
      </c>
    </row>
    <row r="173">
      <c r="A173" s="19" t="inlineStr">
        <is>
          <t>172</t>
        </is>
      </c>
      <c r="B173" s="19" t="inlineStr">
        <is>
          <t>1010196</t>
        </is>
      </c>
      <c r="C173" t="inlineStr">
        <is>
          <t>AKÜ,B-FLAT,DK,150AH,İNCİ SUPRASENT,İÇPYS</t>
        </is>
      </c>
      <c r="D173" s="19" t="inlineStr">
        <is>
          <t>1</t>
        </is>
      </c>
      <c r="E173" t="n">
        <v>0</v>
      </c>
      <c r="I173" s="19" t="inlineStr">
        <is>
          <t>2</t>
        </is>
      </c>
      <c r="J173" t="inlineStr">
        <is>
          <t>2026-08-08</t>
        </is>
      </c>
      <c r="L173" s="19" t="inlineStr">
        <is>
          <t>1010196</t>
        </is>
      </c>
      <c r="M173" t="inlineStr">
        <is>
          <t>STATUS=IN OEM / EU PACKAGE; SOURCE_CFG=IA-ST-CFG-0055; MARKET=YURT İÇİ AFM</t>
        </is>
      </c>
      <c r="N173" t="inlineStr">
        <is>
          <t>2026-08-10T19:29:54Z</t>
        </is>
      </c>
      <c r="O173" t="inlineStr">
        <is>
          <t>2026-08-10T19:29:54Z</t>
        </is>
      </c>
    </row>
    <row r="174">
      <c r="A174" s="19" t="inlineStr">
        <is>
          <t>173</t>
        </is>
      </c>
      <c r="B174" s="19" t="inlineStr">
        <is>
          <t>1010198</t>
        </is>
      </c>
      <c r="C174" t="inlineStr">
        <is>
          <t>AKÜ,B-FLAT,DK,165AH,İNCİ SUPRASENT,İÇPYS</t>
        </is>
      </c>
      <c r="D174" s="19" t="inlineStr">
        <is>
          <t>1</t>
        </is>
      </c>
      <c r="E174" t="n">
        <v>0</v>
      </c>
      <c r="I174" s="19" t="inlineStr">
        <is>
          <t>2</t>
        </is>
      </c>
      <c r="J174" t="inlineStr">
        <is>
          <t>2026-08-08</t>
        </is>
      </c>
      <c r="L174" s="19" t="inlineStr">
        <is>
          <t>1010198</t>
        </is>
      </c>
      <c r="M174" t="inlineStr">
        <is>
          <t>STATUS=IN OEM / EU PACKAGE; SOURCE_CFG=IA-ST-CFG-0055; MARKET=YURT İÇİ AFM</t>
        </is>
      </c>
      <c r="N174" t="inlineStr">
        <is>
          <t>2026-08-10T19:29:54Z</t>
        </is>
      </c>
      <c r="O174" t="inlineStr">
        <is>
          <t>2026-08-10T19:29:54Z</t>
        </is>
      </c>
    </row>
    <row r="175">
      <c r="A175" s="19" t="inlineStr">
        <is>
          <t>174</t>
        </is>
      </c>
      <c r="B175" s="19" t="inlineStr">
        <is>
          <t>1010199</t>
        </is>
      </c>
      <c r="C175" t="inlineStr">
        <is>
          <t>AKÜ,C-FLAT,DK,200AH,İNCİ SUPRASENT,İÇPYS</t>
        </is>
      </c>
      <c r="D175" s="19" t="inlineStr">
        <is>
          <t>1</t>
        </is>
      </c>
      <c r="E175" t="n">
        <v>0</v>
      </c>
      <c r="I175" s="19" t="inlineStr">
        <is>
          <t>2</t>
        </is>
      </c>
      <c r="J175" t="inlineStr">
        <is>
          <t>2026-08-08</t>
        </is>
      </c>
      <c r="L175" s="19" t="inlineStr">
        <is>
          <t>1010199</t>
        </is>
      </c>
      <c r="M175" t="inlineStr">
        <is>
          <t>STATUS=IN OEM / EU PACKAGE; SOURCE_CFG=IA-ST-CFG-0024; MARKET=YURT İÇİ AFM</t>
        </is>
      </c>
      <c r="N175" t="inlineStr">
        <is>
          <t>2026-08-10T19:29:54Z</t>
        </is>
      </c>
      <c r="O175" t="inlineStr">
        <is>
          <t>2026-08-10T19:29:54Z</t>
        </is>
      </c>
    </row>
    <row r="176">
      <c r="A176" s="19" t="inlineStr">
        <is>
          <t>175</t>
        </is>
      </c>
      <c r="B176" s="19" t="inlineStr">
        <is>
          <t>1010200</t>
        </is>
      </c>
      <c r="C176" t="inlineStr">
        <is>
          <t>AKÜ,C-FLAT,DK,225AH,İNCİ SUPRASENT,İÇPYS</t>
        </is>
      </c>
      <c r="D176" s="19" t="inlineStr">
        <is>
          <t>1</t>
        </is>
      </c>
      <c r="E176" t="n">
        <v>0</v>
      </c>
      <c r="I176" s="19" t="inlineStr">
        <is>
          <t>2</t>
        </is>
      </c>
      <c r="J176" t="inlineStr">
        <is>
          <t>2026-08-08</t>
        </is>
      </c>
      <c r="L176" s="19" t="inlineStr">
        <is>
          <t>1010200</t>
        </is>
      </c>
      <c r="M176" t="inlineStr">
        <is>
          <t>STATUS=IN OEM / EU PACKAGE; SOURCE_CFG=IA-ST-CFG-0024; MARKET=YURT İÇİ AFM</t>
        </is>
      </c>
      <c r="N176" t="inlineStr">
        <is>
          <t>2026-08-10T19:29:54Z</t>
        </is>
      </c>
      <c r="O176" t="inlineStr">
        <is>
          <t>2026-08-10T19:29:54Z</t>
        </is>
      </c>
    </row>
    <row r="177">
      <c r="A177" s="19" t="inlineStr">
        <is>
          <t>176</t>
        </is>
      </c>
      <c r="B177" s="19" t="inlineStr">
        <is>
          <t>1010202</t>
        </is>
      </c>
      <c r="C177" t="inlineStr">
        <is>
          <t>AKÜ,C-FLAT,DK,240AH,İNCİ SUPRASENT,İÇPYS</t>
        </is>
      </c>
      <c r="D177" s="19" t="inlineStr">
        <is>
          <t>1</t>
        </is>
      </c>
      <c r="E177" t="n">
        <v>0</v>
      </c>
      <c r="I177" s="19" t="inlineStr">
        <is>
          <t>2</t>
        </is>
      </c>
      <c r="J177" t="inlineStr">
        <is>
          <t>2026-08-08</t>
        </is>
      </c>
      <c r="L177" s="19" t="inlineStr">
        <is>
          <t>1010202</t>
        </is>
      </c>
      <c r="M177" t="inlineStr">
        <is>
          <t>STATUS=IN OEM / EU PACKAGE; SOURCE_CFG=IA-ST-CFG-0024; MARKET=YURT İÇİ AFM</t>
        </is>
      </c>
      <c r="N177" t="inlineStr">
        <is>
          <t>2026-08-10T19:29:54Z</t>
        </is>
      </c>
      <c r="O177" t="inlineStr">
        <is>
          <t>2026-08-10T19:29:54Z</t>
        </is>
      </c>
    </row>
    <row r="178">
      <c r="A178" s="19" t="inlineStr">
        <is>
          <t>177</t>
        </is>
      </c>
      <c r="B178" s="19" t="inlineStr">
        <is>
          <t>1010204</t>
        </is>
      </c>
      <c r="C178" t="inlineStr">
        <is>
          <t>AKÜ SULU,TRAKTÖRL,DK115AHİNCİSUPRA,İÇPYS</t>
        </is>
      </c>
      <c r="D178" s="19" t="inlineStr">
        <is>
          <t>1</t>
        </is>
      </c>
      <c r="E178" t="n">
        <v>0</v>
      </c>
      <c r="I178" s="19" t="inlineStr">
        <is>
          <t>2</t>
        </is>
      </c>
      <c r="J178" t="inlineStr">
        <is>
          <t>2026-08-08</t>
        </is>
      </c>
      <c r="L178" s="19" t="inlineStr">
        <is>
          <t>1010204</t>
        </is>
      </c>
      <c r="M178" t="inlineStr">
        <is>
          <t>STATUS=IN OEM / EU PACKAGE; SOURCE_CFG=IA-ST-CFG-0097; MARKET=YURT İÇİ AFM</t>
        </is>
      </c>
      <c r="N178" t="inlineStr">
        <is>
          <t>2026-08-10T19:29:54Z</t>
        </is>
      </c>
      <c r="O178" t="inlineStr">
        <is>
          <t>2026-08-10T19:29:54Z</t>
        </is>
      </c>
    </row>
    <row r="179">
      <c r="A179" s="19" t="inlineStr">
        <is>
          <t>178</t>
        </is>
      </c>
      <c r="B179" s="19" t="inlineStr">
        <is>
          <t>1010205</t>
        </is>
      </c>
      <c r="C179" t="inlineStr">
        <is>
          <t>AKÜ,A-FLAT,DK,120AH,İNCİ SUPRASENT,İÇPYS</t>
        </is>
      </c>
      <c r="D179" s="19" t="inlineStr">
        <is>
          <t>1</t>
        </is>
      </c>
      <c r="E179" t="n">
        <v>0</v>
      </c>
      <c r="I179" s="19" t="inlineStr">
        <is>
          <t>2</t>
        </is>
      </c>
      <c r="J179" t="inlineStr">
        <is>
          <t>2026-08-08</t>
        </is>
      </c>
      <c r="L179" s="19" t="inlineStr">
        <is>
          <t>1010205</t>
        </is>
      </c>
      <c r="M179" t="inlineStr">
        <is>
          <t>STATUS=IN OEM / EU PACKAGE; SOURCE_CFG=IA-ST-CFG-0054; MARKET=YURT İÇİ AFM</t>
        </is>
      </c>
      <c r="N179" t="inlineStr">
        <is>
          <t>2026-08-10T19:29:54Z</t>
        </is>
      </c>
      <c r="O179" t="inlineStr">
        <is>
          <t>2026-08-10T19:29:54Z</t>
        </is>
      </c>
    </row>
    <row r="180">
      <c r="A180" s="19" t="inlineStr">
        <is>
          <t>179</t>
        </is>
      </c>
      <c r="B180" s="19" t="inlineStr">
        <is>
          <t>1010208</t>
        </is>
      </c>
      <c r="C180" t="inlineStr">
        <is>
          <t>AKÜ SULU,TRAKTÖR,DK125AH,İNCİSUPRA,İÇPYS</t>
        </is>
      </c>
      <c r="D180" s="19" t="inlineStr">
        <is>
          <t>1</t>
        </is>
      </c>
      <c r="E180" t="n">
        <v>0</v>
      </c>
      <c r="I180" s="19" t="inlineStr">
        <is>
          <t>2</t>
        </is>
      </c>
      <c r="J180" t="inlineStr">
        <is>
          <t>2026-08-08</t>
        </is>
      </c>
      <c r="L180" s="19" t="inlineStr">
        <is>
          <t>1010208</t>
        </is>
      </c>
      <c r="M180" t="inlineStr">
        <is>
          <t>STATUS=IN OEM / EU PACKAGE; SOURCE_CFG=IA-ST-CFG-0097; MARKET=YURT İÇİ AFM</t>
        </is>
      </c>
      <c r="N180" t="inlineStr">
        <is>
          <t>2026-08-10T19:29:54Z</t>
        </is>
      </c>
      <c r="O180" t="inlineStr">
        <is>
          <t>2026-08-10T19:29:54Z</t>
        </is>
      </c>
    </row>
    <row r="181">
      <c r="A181" s="19" t="inlineStr">
        <is>
          <t>180</t>
        </is>
      </c>
      <c r="B181" s="19" t="inlineStr">
        <is>
          <t>1010220</t>
        </is>
      </c>
      <c r="C181" t="inlineStr">
        <is>
          <t>AKÜ SULU,TRAKTÖRL,DK115AHİNCİSUPRA,İÇPYS</t>
        </is>
      </c>
      <c r="D181" s="19" t="inlineStr">
        <is>
          <t>1</t>
        </is>
      </c>
      <c r="E181" t="n">
        <v>0</v>
      </c>
      <c r="I181" s="19" t="inlineStr">
        <is>
          <t>2</t>
        </is>
      </c>
      <c r="J181" t="inlineStr">
        <is>
          <t>2026-08-08</t>
        </is>
      </c>
      <c r="L181" s="19" t="inlineStr">
        <is>
          <t>1010220</t>
        </is>
      </c>
      <c r="M181" t="inlineStr">
        <is>
          <t>STATUS=IN OEM / EU PACKAGE; SOURCE_CFG=IA-ST-CFG-0097; MARKET=YURT İÇİ AFM</t>
        </is>
      </c>
      <c r="N181" t="inlineStr">
        <is>
          <t>2026-08-10T19:29:54Z</t>
        </is>
      </c>
      <c r="O181" t="inlineStr">
        <is>
          <t>2026-08-10T19:29:54Z</t>
        </is>
      </c>
    </row>
    <row r="182">
      <c r="A182" s="19" t="inlineStr">
        <is>
          <t>181</t>
        </is>
      </c>
      <c r="B182" s="19" t="inlineStr">
        <is>
          <t>1010228</t>
        </is>
      </c>
      <c r="C182" t="inlineStr">
        <is>
          <t>AKÜ,L6,DK,110AH,KAMINA,İNCİ SUPRA,İÇPYS</t>
        </is>
      </c>
      <c r="D182" s="19" t="inlineStr">
        <is>
          <t>1</t>
        </is>
      </c>
      <c r="E182" t="n">
        <v>0</v>
      </c>
      <c r="I182" s="19" t="inlineStr">
        <is>
          <t>2</t>
        </is>
      </c>
      <c r="J182" t="inlineStr">
        <is>
          <t>2026-08-08</t>
        </is>
      </c>
      <c r="L182" s="19" t="inlineStr">
        <is>
          <t>1010228</t>
        </is>
      </c>
      <c r="M182" t="inlineStr">
        <is>
          <t>STATUS=IN OEM / EU PACKAGE; SOURCE_CFG=IA-ST-CFG-0081; MARKET=YURT İÇİ AFM</t>
        </is>
      </c>
      <c r="N182" t="inlineStr">
        <is>
          <t>2026-08-10T19:29:54Z</t>
        </is>
      </c>
      <c r="O182" t="inlineStr">
        <is>
          <t>2026-08-10T19:29:54Z</t>
        </is>
      </c>
    </row>
    <row r="183">
      <c r="A183" s="19" t="inlineStr">
        <is>
          <t>182</t>
        </is>
      </c>
      <c r="B183" s="19" t="inlineStr">
        <is>
          <t>1010265</t>
        </is>
      </c>
      <c r="C183" t="inlineStr">
        <is>
          <t>AKÜ,D20,DK,55AH,KSK,İNCİ MAXIMA,DIŞ PYS</t>
        </is>
      </c>
      <c r="D183" s="19" t="inlineStr">
        <is>
          <t>1</t>
        </is>
      </c>
      <c r="E183" t="n">
        <v>0</v>
      </c>
      <c r="I183" s="19" t="inlineStr">
        <is>
          <t>2</t>
        </is>
      </c>
      <c r="J183" t="inlineStr">
        <is>
          <t>2026-08-08</t>
        </is>
      </c>
      <c r="L183" s="19" t="inlineStr">
        <is>
          <t>1010265</t>
        </is>
      </c>
      <c r="M183" t="inlineStr">
        <is>
          <t>STATUS=IN OEM / EU PACKAGE; SOURCE_CFG=IA-ST-CFG-0220; MARKET=None</t>
        </is>
      </c>
      <c r="N183" t="inlineStr">
        <is>
          <t>2026-08-10T19:29:54Z</t>
        </is>
      </c>
      <c r="O183" t="inlineStr">
        <is>
          <t>2026-08-10T19:29:54Z</t>
        </is>
      </c>
    </row>
    <row r="184">
      <c r="A184" s="19" t="inlineStr">
        <is>
          <t>183</t>
        </is>
      </c>
      <c r="B184" s="19" t="inlineStr">
        <is>
          <t>1010398</t>
        </is>
      </c>
      <c r="C184" t="inlineStr">
        <is>
          <t>AKÜ,A-IGYASMF,DK,145AH,SILVER,SCHNAPP</t>
        </is>
      </c>
      <c r="D184" s="19" t="inlineStr">
        <is>
          <t>1</t>
        </is>
      </c>
      <c r="E184" t="n">
        <v>0</v>
      </c>
      <c r="I184" s="19" t="inlineStr">
        <is>
          <t>2</t>
        </is>
      </c>
      <c r="J184" t="inlineStr">
        <is>
          <t>2026-08-08</t>
        </is>
      </c>
      <c r="L184" s="19" t="inlineStr">
        <is>
          <t>1010398</t>
        </is>
      </c>
      <c r="M184" t="inlineStr">
        <is>
          <t>STATUS=IN OEM / EU PACKAGE; SOURCE_CFG=IA-ST-CFG-0056; MARKET=SCHNAPP</t>
        </is>
      </c>
      <c r="N184" t="inlineStr">
        <is>
          <t>2026-08-10T19:29:54Z</t>
        </is>
      </c>
      <c r="O184" t="inlineStr">
        <is>
          <t>2026-08-10T19:29:54Z</t>
        </is>
      </c>
    </row>
    <row r="185">
      <c r="A185" s="19" t="inlineStr">
        <is>
          <t>184</t>
        </is>
      </c>
      <c r="B185" s="19" t="inlineStr">
        <is>
          <t>1010399</t>
        </is>
      </c>
      <c r="C185" t="inlineStr">
        <is>
          <t>AKÜ,B-IGYASMF,DK,170AH,SILVER,SCHNAPP</t>
        </is>
      </c>
      <c r="D185" s="19" t="inlineStr">
        <is>
          <t>1</t>
        </is>
      </c>
      <c r="E185" t="n">
        <v>0</v>
      </c>
      <c r="I185" s="19" t="inlineStr">
        <is>
          <t>2</t>
        </is>
      </c>
      <c r="J185" t="inlineStr">
        <is>
          <t>2026-08-08</t>
        </is>
      </c>
      <c r="L185" s="19" t="inlineStr">
        <is>
          <t>1010399</t>
        </is>
      </c>
      <c r="M185" t="inlineStr">
        <is>
          <t>STATUS=IN OEM / EU PACKAGE; SOURCE_CFG=IA-ST-CFG-0057; MARKET=SCHNAPP</t>
        </is>
      </c>
      <c r="N185" t="inlineStr">
        <is>
          <t>2026-08-10T19:29:54Z</t>
        </is>
      </c>
      <c r="O185" t="inlineStr">
        <is>
          <t>2026-08-10T19:29:54Z</t>
        </is>
      </c>
    </row>
    <row r="186">
      <c r="A186" s="19" t="inlineStr">
        <is>
          <t>185</t>
        </is>
      </c>
      <c r="B186" s="19" t="inlineStr">
        <is>
          <t>1010423</t>
        </is>
      </c>
      <c r="C186" t="inlineStr">
        <is>
          <t>AKÜ,B-IGYSMF,DK150AH,İNCİFORMTAURS,BMC-2</t>
        </is>
      </c>
      <c r="D186" s="19" t="inlineStr">
        <is>
          <t>1</t>
        </is>
      </c>
      <c r="E186" t="n">
        <v>0</v>
      </c>
      <c r="I186" s="19" t="inlineStr">
        <is>
          <t>2</t>
        </is>
      </c>
      <c r="J186" t="inlineStr">
        <is>
          <t>2026-08-08</t>
        </is>
      </c>
      <c r="L186" s="19" t="inlineStr">
        <is>
          <t>1010423</t>
        </is>
      </c>
      <c r="M186" t="inlineStr">
        <is>
          <t>STATUS=DOMESTIC-ONLY / NOT IN OEM PACKAGE; SOURCE_CFG=IA-ST-CFG-0002; MARKET=BMC (Yurt İçi)</t>
        </is>
      </c>
      <c r="N186" t="inlineStr">
        <is>
          <t>2026-08-10T19:29:54Z</t>
        </is>
      </c>
      <c r="O186" t="inlineStr">
        <is>
          <t>2026-08-10T19:29:54Z</t>
        </is>
      </c>
    </row>
    <row r="187">
      <c r="A187" s="19" t="inlineStr">
        <is>
          <t>186</t>
        </is>
      </c>
      <c r="B187" s="19" t="inlineStr">
        <is>
          <t>1010437</t>
        </is>
      </c>
      <c r="C187" t="inlineStr">
        <is>
          <t>AKÜ,C-FLAT,DK,240AH,İNCİ SUPRA,SHAWKAT</t>
        </is>
      </c>
      <c r="D187" s="19" t="inlineStr">
        <is>
          <t>1</t>
        </is>
      </c>
      <c r="E187" t="n">
        <v>0</v>
      </c>
      <c r="I187" s="19" t="inlineStr">
        <is>
          <t>2</t>
        </is>
      </c>
      <c r="J187" t="inlineStr">
        <is>
          <t>2026-08-08</t>
        </is>
      </c>
      <c r="L187" s="19" t="inlineStr">
        <is>
          <t>1010437</t>
        </is>
      </c>
      <c r="M187" t="inlineStr">
        <is>
          <t>STATUS=IN OEM / EU PACKAGE; SOURCE_CFG=IA-ST-CFG-0023; MARKET=SHAWKAT</t>
        </is>
      </c>
      <c r="N187" t="inlineStr">
        <is>
          <t>2026-08-10T19:29:54Z</t>
        </is>
      </c>
      <c r="O187" t="inlineStr">
        <is>
          <t>2026-08-10T19:29:54Z</t>
        </is>
      </c>
    </row>
    <row r="188">
      <c r="A188" s="19" t="inlineStr">
        <is>
          <t>187</t>
        </is>
      </c>
      <c r="B188" s="19" t="inlineStr">
        <is>
          <t>1010438</t>
        </is>
      </c>
      <c r="C188" t="inlineStr">
        <is>
          <t>AKÜ,C-FLAT,DK,225AH,İNCİ SUPRA SENTOR</t>
        </is>
      </c>
      <c r="D188" s="19" t="inlineStr">
        <is>
          <t>1</t>
        </is>
      </c>
      <c r="E188" t="n">
        <v>0</v>
      </c>
      <c r="I188" s="19" t="inlineStr">
        <is>
          <t>2</t>
        </is>
      </c>
      <c r="J188" t="inlineStr">
        <is>
          <t>2026-08-08</t>
        </is>
      </c>
      <c r="L188" s="19" t="inlineStr">
        <is>
          <t>1010438</t>
        </is>
      </c>
      <c r="M188" t="inlineStr">
        <is>
          <t>STATUS=IN OEM / EU PACKAGE; SOURCE_CFG=IA-ST-CFG-0023; MARKET=None</t>
        </is>
      </c>
      <c r="N188" t="inlineStr">
        <is>
          <t>2026-08-10T19:29:54Z</t>
        </is>
      </c>
      <c r="O188" t="inlineStr">
        <is>
          <t>2026-08-10T19:29:54Z</t>
        </is>
      </c>
    </row>
    <row r="189">
      <c r="A189" s="19" t="inlineStr">
        <is>
          <t>188</t>
        </is>
      </c>
      <c r="B189" s="19" t="inlineStr">
        <is>
          <t>1010440</t>
        </is>
      </c>
      <c r="C189" t="inlineStr">
        <is>
          <t>AKÜ,C-IGYASMF,DK,240AH,İNCİFORMULATAURUS</t>
        </is>
      </c>
      <c r="D189" s="19" t="inlineStr">
        <is>
          <t>1</t>
        </is>
      </c>
      <c r="E189" t="n">
        <v>0</v>
      </c>
      <c r="I189" s="19" t="inlineStr">
        <is>
          <t>2</t>
        </is>
      </c>
      <c r="J189" t="inlineStr">
        <is>
          <t>2026-08-08</t>
        </is>
      </c>
      <c r="L189" s="19" t="inlineStr">
        <is>
          <t>1010440</t>
        </is>
      </c>
      <c r="M189" t="inlineStr">
        <is>
          <t>STATUS=IN OEM / EU PACKAGE; SOURCE_CFG=IA-ST-CFG-0023; MARKET=None</t>
        </is>
      </c>
      <c r="N189" t="inlineStr">
        <is>
          <t>2026-08-10T19:29:54Z</t>
        </is>
      </c>
      <c r="O189" t="inlineStr">
        <is>
          <t>2026-08-10T19:29:54Z</t>
        </is>
      </c>
    </row>
    <row r="190">
      <c r="A190" s="19" t="inlineStr">
        <is>
          <t>189</t>
        </is>
      </c>
      <c r="B190" s="19" t="inlineStr">
        <is>
          <t>1010441</t>
        </is>
      </c>
      <c r="C190" t="inlineStr">
        <is>
          <t>AKÜ AGM,L5,DK,95AH,İNCİ AGM LEO,EURO</t>
        </is>
      </c>
      <c r="D190" s="19" t="inlineStr">
        <is>
          <t>1</t>
        </is>
      </c>
      <c r="E190" t="n">
        <v>0</v>
      </c>
      <c r="I190" s="19" t="inlineStr">
        <is>
          <t>2</t>
        </is>
      </c>
      <c r="J190" t="inlineStr">
        <is>
          <t>2026-08-08</t>
        </is>
      </c>
      <c r="L190" s="19" t="inlineStr">
        <is>
          <t>1010441</t>
        </is>
      </c>
      <c r="M190" t="inlineStr">
        <is>
          <t>STATUS=IN OEM / EU PACKAGE; SOURCE_CFG=IA-ST-CFG-0116; MARKET=None</t>
        </is>
      </c>
      <c r="N190" t="inlineStr">
        <is>
          <t>2026-08-10T19:29:54Z</t>
        </is>
      </c>
      <c r="O190" t="inlineStr">
        <is>
          <t>2026-08-10T19:29:54Z</t>
        </is>
      </c>
    </row>
    <row r="191">
      <c r="A191" s="19" t="inlineStr">
        <is>
          <t>190</t>
        </is>
      </c>
      <c r="B191" s="19" t="inlineStr">
        <is>
          <t>1010445</t>
        </is>
      </c>
      <c r="C191" t="inlineStr">
        <is>
          <t>AKÜ,B-IGYASMF,DK190AH,B03,İNCİFORMTAURUS</t>
        </is>
      </c>
      <c r="D191" s="19" t="inlineStr">
        <is>
          <t>1</t>
        </is>
      </c>
      <c r="E191" t="n">
        <v>0</v>
      </c>
      <c r="I191" s="19" t="inlineStr">
        <is>
          <t>2</t>
        </is>
      </c>
      <c r="J191" t="inlineStr">
        <is>
          <t>2026-08-08</t>
        </is>
      </c>
      <c r="L191" s="19" t="inlineStr">
        <is>
          <t>1010445</t>
        </is>
      </c>
      <c r="M191" t="inlineStr">
        <is>
          <t>STATUS=IN OEM / EU PACKAGE; SOURCE_CFG=IA-ST-CFG-0052; MARKET=None</t>
        </is>
      </c>
      <c r="N191" t="inlineStr">
        <is>
          <t>2026-08-10T19:29:54Z</t>
        </is>
      </c>
      <c r="O191" t="inlineStr">
        <is>
          <t>2026-08-10T19:29:54Z</t>
        </is>
      </c>
    </row>
    <row r="192">
      <c r="A192" s="19" t="inlineStr">
        <is>
          <t>191</t>
        </is>
      </c>
      <c r="B192" s="19" t="inlineStr">
        <is>
          <t>1010446</t>
        </is>
      </c>
      <c r="C192" t="inlineStr">
        <is>
          <t>AKÜ,B-IGYASMF,DK,150AH,İNCİFORMULATAURUS</t>
        </is>
      </c>
      <c r="D192" s="19" t="inlineStr">
        <is>
          <t>1</t>
        </is>
      </c>
      <c r="E192" t="n">
        <v>0</v>
      </c>
      <c r="I192" s="19" t="inlineStr">
        <is>
          <t>2</t>
        </is>
      </c>
      <c r="J192" t="inlineStr">
        <is>
          <t>2026-08-08</t>
        </is>
      </c>
      <c r="L192" s="19" t="inlineStr">
        <is>
          <t>1010446</t>
        </is>
      </c>
      <c r="M192" t="inlineStr">
        <is>
          <t>STATUS=IN OEM / EU PACKAGE; SOURCE_CFG=IA-ST-CFG-0052; MARKET=None</t>
        </is>
      </c>
      <c r="N192" t="inlineStr">
        <is>
          <t>2026-08-10T19:29:54Z</t>
        </is>
      </c>
      <c r="O192" t="inlineStr">
        <is>
          <t>2026-08-10T19:29:54Z</t>
        </is>
      </c>
    </row>
    <row r="193">
      <c r="A193" s="19" t="inlineStr">
        <is>
          <t>192</t>
        </is>
      </c>
      <c r="B193" s="19" t="inlineStr">
        <is>
          <t>1010448</t>
        </is>
      </c>
      <c r="C193" t="inlineStr">
        <is>
          <t>AKÜ,A-IGYASMF,DK,120AH,İNCİFORMULATAURUS</t>
        </is>
      </c>
      <c r="D193" s="19" t="inlineStr">
        <is>
          <t>1</t>
        </is>
      </c>
      <c r="E193" t="n">
        <v>0</v>
      </c>
      <c r="I193" s="19" t="inlineStr">
        <is>
          <t>2</t>
        </is>
      </c>
      <c r="J193" t="inlineStr">
        <is>
          <t>2026-08-08</t>
        </is>
      </c>
      <c r="L193" s="19" t="inlineStr">
        <is>
          <t>1010448</t>
        </is>
      </c>
      <c r="M193" t="inlineStr">
        <is>
          <t>STATUS=IN OEM / EU PACKAGE; SOURCE_CFG=IA-ST-CFG-0051; MARKET=None</t>
        </is>
      </c>
      <c r="N193" t="inlineStr">
        <is>
          <t>2026-08-10T19:29:54Z</t>
        </is>
      </c>
      <c r="O193" t="inlineStr">
        <is>
          <t>2026-08-10T19:29:54Z</t>
        </is>
      </c>
    </row>
    <row r="194">
      <c r="A194" s="19" t="inlineStr">
        <is>
          <t>193</t>
        </is>
      </c>
      <c r="B194" s="19" t="inlineStr">
        <is>
          <t>1010451</t>
        </is>
      </c>
      <c r="C194" t="inlineStr">
        <is>
          <t>AKÜ,C-IGYASMF,DK,240AH,İNCİFORMULATAURUS</t>
        </is>
      </c>
      <c r="D194" s="19" t="inlineStr">
        <is>
          <t>1</t>
        </is>
      </c>
      <c r="E194" t="n">
        <v>0</v>
      </c>
      <c r="I194" s="19" t="inlineStr">
        <is>
          <t>2</t>
        </is>
      </c>
      <c r="J194" t="inlineStr">
        <is>
          <t>2026-08-08</t>
        </is>
      </c>
      <c r="L194" s="19" t="inlineStr">
        <is>
          <t>1010451</t>
        </is>
      </c>
      <c r="M194" t="inlineStr">
        <is>
          <t>STATUS=IN OEM / EU PACKAGE; SOURCE_CFG=IA-ST-CFG-0023; MARKET=None</t>
        </is>
      </c>
      <c r="N194" t="inlineStr">
        <is>
          <t>2026-08-10T19:29:54Z</t>
        </is>
      </c>
      <c r="O194" t="inlineStr">
        <is>
          <t>2026-08-10T19:29:54Z</t>
        </is>
      </c>
    </row>
    <row r="195">
      <c r="A195" s="19" t="inlineStr">
        <is>
          <t>194</t>
        </is>
      </c>
      <c r="B195" s="19" t="inlineStr">
        <is>
          <t>1010452</t>
        </is>
      </c>
      <c r="C195" t="inlineStr">
        <is>
          <t>AKÜ,C-FLAT,DK,225AH,İNCİ SUPRA SENTOR</t>
        </is>
      </c>
      <c r="D195" s="19" t="inlineStr">
        <is>
          <t>1</t>
        </is>
      </c>
      <c r="E195" t="n">
        <v>0</v>
      </c>
      <c r="I195" s="19" t="inlineStr">
        <is>
          <t>2</t>
        </is>
      </c>
      <c r="J195" t="inlineStr">
        <is>
          <t>2026-08-08</t>
        </is>
      </c>
      <c r="L195" s="19" t="inlineStr">
        <is>
          <t>1010452</t>
        </is>
      </c>
      <c r="M195" t="inlineStr">
        <is>
          <t>STATUS=IN OEM / EU PACKAGE; SOURCE_CFG=IA-ST-CFG-0023; MARKET=None</t>
        </is>
      </c>
      <c r="N195" t="inlineStr">
        <is>
          <t>2026-08-10T19:29:54Z</t>
        </is>
      </c>
      <c r="O195" t="inlineStr">
        <is>
          <t>2026-08-10T19:29:54Z</t>
        </is>
      </c>
    </row>
    <row r="196">
      <c r="A196" s="19" t="inlineStr">
        <is>
          <t>195</t>
        </is>
      </c>
      <c r="B196" s="19" t="inlineStr">
        <is>
          <t>1010458</t>
        </is>
      </c>
      <c r="C196" t="inlineStr">
        <is>
          <t>AKÜ,B-FLAT,DK,170AH,İNCİ SUPRA SENTOR</t>
        </is>
      </c>
      <c r="D196" s="19" t="inlineStr">
        <is>
          <t>1</t>
        </is>
      </c>
      <c r="E196" t="n">
        <v>0</v>
      </c>
      <c r="I196" s="19" t="inlineStr">
        <is>
          <t>2</t>
        </is>
      </c>
      <c r="J196" t="inlineStr">
        <is>
          <t>2026-08-08</t>
        </is>
      </c>
      <c r="L196" s="19" t="inlineStr">
        <is>
          <t>1010458</t>
        </is>
      </c>
      <c r="M196" t="inlineStr">
        <is>
          <t>STATUS=IN OEM / EU PACKAGE; SOURCE_CFG=IA-ST-CFG-0052; MARKET=None</t>
        </is>
      </c>
      <c r="N196" t="inlineStr">
        <is>
          <t>2026-08-10T19:29:54Z</t>
        </is>
      </c>
      <c r="O196" t="inlineStr">
        <is>
          <t>2026-08-10T19:29:54Z</t>
        </is>
      </c>
    </row>
    <row r="197">
      <c r="A197" s="19" t="inlineStr">
        <is>
          <t>196</t>
        </is>
      </c>
      <c r="B197" s="19" t="inlineStr">
        <is>
          <t>1010469</t>
        </is>
      </c>
      <c r="C197" t="inlineStr">
        <is>
          <t>AKÜ,TRACTOR,DK,125AH,İNCİ SUPRA SENTOR</t>
        </is>
      </c>
      <c r="D197" s="19" t="inlineStr">
        <is>
          <t>1</t>
        </is>
      </c>
      <c r="E197" t="n">
        <v>0</v>
      </c>
      <c r="I197" s="19" t="inlineStr">
        <is>
          <t>2</t>
        </is>
      </c>
      <c r="J197" t="inlineStr">
        <is>
          <t>2026-08-08</t>
        </is>
      </c>
      <c r="L197" s="19" t="inlineStr">
        <is>
          <t>1010469</t>
        </is>
      </c>
      <c r="M197" t="inlineStr">
        <is>
          <t>STATUS=IN OEM / EU PACKAGE; SOURCE_CFG=IA-ST-CFG-0093; MARKET=None</t>
        </is>
      </c>
      <c r="N197" t="inlineStr">
        <is>
          <t>2026-08-10T19:29:54Z</t>
        </is>
      </c>
      <c r="O197" t="inlineStr">
        <is>
          <t>2026-08-10T19:29:54Z</t>
        </is>
      </c>
    </row>
    <row r="198">
      <c r="A198" s="19" t="inlineStr">
        <is>
          <t>197</t>
        </is>
      </c>
      <c r="B198" s="19" t="inlineStr">
        <is>
          <t>1010471</t>
        </is>
      </c>
      <c r="C198" t="inlineStr">
        <is>
          <t>AKÜ,TRACTORL,DK,115AH,İNCİ SUPRA,SHAWKAT</t>
        </is>
      </c>
      <c r="D198" s="19" t="inlineStr">
        <is>
          <t>1</t>
        </is>
      </c>
      <c r="E198" t="n">
        <v>0</v>
      </c>
      <c r="I198" s="19" t="inlineStr">
        <is>
          <t>2</t>
        </is>
      </c>
      <c r="J198" t="inlineStr">
        <is>
          <t>2026-08-08</t>
        </is>
      </c>
      <c r="L198" s="19" t="inlineStr">
        <is>
          <t>1010471</t>
        </is>
      </c>
      <c r="M198" t="inlineStr">
        <is>
          <t>STATUS=IN OEM / EU PACKAGE; SOURCE_CFG=IA-ST-CFG-0093; MARKET=SHAWKAT</t>
        </is>
      </c>
      <c r="N198" t="inlineStr">
        <is>
          <t>2026-08-10T19:29:54Z</t>
        </is>
      </c>
      <c r="O198" t="inlineStr">
        <is>
          <t>2026-08-10T19:29:54Z</t>
        </is>
      </c>
    </row>
    <row r="199">
      <c r="A199" s="19" t="inlineStr">
        <is>
          <t>198</t>
        </is>
      </c>
      <c r="B199" s="19" t="inlineStr">
        <is>
          <t>1010479</t>
        </is>
      </c>
      <c r="C199" t="inlineStr">
        <is>
          <t>AKÜ,B-FLAT,DK,150AH,İNCİ SUPRA SENTOR</t>
        </is>
      </c>
      <c r="D199" s="19" t="inlineStr">
        <is>
          <t>1</t>
        </is>
      </c>
      <c r="E199" t="n">
        <v>0</v>
      </c>
      <c r="I199" s="19" t="inlineStr">
        <is>
          <t>2</t>
        </is>
      </c>
      <c r="J199" t="inlineStr">
        <is>
          <t>2026-08-08</t>
        </is>
      </c>
      <c r="L199" s="19" t="inlineStr">
        <is>
          <t>1010479</t>
        </is>
      </c>
      <c r="M199" t="inlineStr">
        <is>
          <t>STATUS=IN OEM / EU PACKAGE; SOURCE_CFG=IA-ST-CFG-0052; MARKET=None</t>
        </is>
      </c>
      <c r="N199" t="inlineStr">
        <is>
          <t>2026-08-10T19:29:54Z</t>
        </is>
      </c>
      <c r="O199" t="inlineStr">
        <is>
          <t>2026-08-10T19:29:54Z</t>
        </is>
      </c>
    </row>
    <row r="200">
      <c r="A200" s="19" t="inlineStr">
        <is>
          <t>199</t>
        </is>
      </c>
      <c r="B200" s="19" t="inlineStr">
        <is>
          <t>1010484</t>
        </is>
      </c>
      <c r="C200" t="inlineStr">
        <is>
          <t>AKÜ,B-IGYASMF,DK,170AH,İNCİFORMULATAURUS</t>
        </is>
      </c>
      <c r="D200" s="19" t="inlineStr">
        <is>
          <t>1</t>
        </is>
      </c>
      <c r="E200" t="n">
        <v>0</v>
      </c>
      <c r="I200" s="19" t="inlineStr">
        <is>
          <t>2</t>
        </is>
      </c>
      <c r="J200" t="inlineStr">
        <is>
          <t>2026-08-08</t>
        </is>
      </c>
      <c r="L200" s="19" t="inlineStr">
        <is>
          <t>1010484</t>
        </is>
      </c>
      <c r="M200" t="inlineStr">
        <is>
          <t>STATUS=IN OEM / EU PACKAGE; SOURCE_CFG=IA-ST-CFG-0052; MARKET=GULF</t>
        </is>
      </c>
      <c r="N200" t="inlineStr">
        <is>
          <t>2026-08-10T19:29:54Z</t>
        </is>
      </c>
      <c r="O200" t="inlineStr">
        <is>
          <t>2026-08-10T19:29:54Z</t>
        </is>
      </c>
    </row>
    <row r="201">
      <c r="A201" s="19" t="inlineStr">
        <is>
          <t>200</t>
        </is>
      </c>
      <c r="B201" s="19" t="inlineStr">
        <is>
          <t>1010501</t>
        </is>
      </c>
      <c r="C201" t="inlineStr">
        <is>
          <t>AKÜ,A-FLAT,DK,140AH,İNCİ SUPRA SENTOR</t>
        </is>
      </c>
      <c r="D201" s="19" t="inlineStr">
        <is>
          <t>1</t>
        </is>
      </c>
      <c r="E201" t="n">
        <v>0</v>
      </c>
      <c r="I201" s="19" t="inlineStr">
        <is>
          <t>2</t>
        </is>
      </c>
      <c r="J201" t="inlineStr">
        <is>
          <t>2026-08-08</t>
        </is>
      </c>
      <c r="L201" s="19" t="inlineStr">
        <is>
          <t>1010501</t>
        </is>
      </c>
      <c r="M201" t="inlineStr">
        <is>
          <t>STATUS=IN OEM / EU PACKAGE; SOURCE_CFG=IA-ST-CFG-0051; MARKET=None</t>
        </is>
      </c>
      <c r="N201" t="inlineStr">
        <is>
          <t>2026-08-10T19:29:54Z</t>
        </is>
      </c>
      <c r="O201" t="inlineStr">
        <is>
          <t>2026-08-10T19:29:54Z</t>
        </is>
      </c>
    </row>
    <row r="202">
      <c r="A202" s="19" t="inlineStr">
        <is>
          <t>201</t>
        </is>
      </c>
      <c r="B202" s="19" t="inlineStr">
        <is>
          <t>1010502</t>
        </is>
      </c>
      <c r="C202" t="inlineStr">
        <is>
          <t>AKÜ,B-FLAT,DK,190AH,İNCİ SUPRASENT,METRA</t>
        </is>
      </c>
      <c r="D202" s="19" t="inlineStr">
        <is>
          <t>1</t>
        </is>
      </c>
      <c r="E202" t="n">
        <v>0</v>
      </c>
      <c r="I202" s="19" t="inlineStr">
        <is>
          <t>2</t>
        </is>
      </c>
      <c r="J202" t="inlineStr">
        <is>
          <t>2026-08-08</t>
        </is>
      </c>
      <c r="L202" s="19" t="inlineStr">
        <is>
          <t>1010502</t>
        </is>
      </c>
      <c r="M202" t="inlineStr">
        <is>
          <t>STATUS=IN OEM / EU PACKAGE; SOURCE_CFG=IA-ST-CFG-0052; MARKET=None</t>
        </is>
      </c>
      <c r="N202" t="inlineStr">
        <is>
          <t>2026-08-10T19:29:54Z</t>
        </is>
      </c>
      <c r="O202" t="inlineStr">
        <is>
          <t>2026-08-10T19:29:54Z</t>
        </is>
      </c>
    </row>
    <row r="203">
      <c r="A203" s="19" t="inlineStr">
        <is>
          <t>202</t>
        </is>
      </c>
      <c r="B203" s="19" t="inlineStr">
        <is>
          <t>1010532</t>
        </is>
      </c>
      <c r="C203" t="inlineStr">
        <is>
          <t>AKÜ,C-FLAT,DK,225AH,İNCİ SUPRA,SHAWKAT</t>
        </is>
      </c>
      <c r="D203" s="19" t="inlineStr">
        <is>
          <t>1</t>
        </is>
      </c>
      <c r="E203" t="n">
        <v>0</v>
      </c>
      <c r="I203" s="19" t="inlineStr">
        <is>
          <t>2</t>
        </is>
      </c>
      <c r="J203" t="inlineStr">
        <is>
          <t>2026-08-08</t>
        </is>
      </c>
      <c r="L203" s="19" t="inlineStr">
        <is>
          <t>1010532</t>
        </is>
      </c>
      <c r="M203" t="inlineStr">
        <is>
          <t>STATUS=IN OEM / EU PACKAGE; SOURCE_CFG=IA-ST-CFG-0023; MARKET=SHAWKAT</t>
        </is>
      </c>
      <c r="N203" t="inlineStr">
        <is>
          <t>2026-08-10T19:29:54Z</t>
        </is>
      </c>
      <c r="O203" t="inlineStr">
        <is>
          <t>2026-08-10T19:29:54Z</t>
        </is>
      </c>
    </row>
    <row r="204">
      <c r="A204" s="19" t="inlineStr">
        <is>
          <t>203</t>
        </is>
      </c>
      <c r="B204" s="19" t="inlineStr">
        <is>
          <t>1010542</t>
        </is>
      </c>
      <c r="C204" t="inlineStr">
        <is>
          <t>AKÜ,B-FLAT,DK,180AH,İNCİ SUPRA,SHAWKAT</t>
        </is>
      </c>
      <c r="D204" s="19" t="inlineStr">
        <is>
          <t>1</t>
        </is>
      </c>
      <c r="E204" t="n">
        <v>0</v>
      </c>
      <c r="I204" s="19" t="inlineStr">
        <is>
          <t>2</t>
        </is>
      </c>
      <c r="J204" t="inlineStr">
        <is>
          <t>2026-08-08</t>
        </is>
      </c>
      <c r="L204" s="19" t="inlineStr">
        <is>
          <t>1010542</t>
        </is>
      </c>
      <c r="M204" t="inlineStr">
        <is>
          <t>STATUS=IN OEM / EU PACKAGE; SOURCE_CFG=IA-ST-CFG-0052; MARKET=SHAWKAT</t>
        </is>
      </c>
      <c r="N204" t="inlineStr">
        <is>
          <t>2026-08-10T19:29:54Z</t>
        </is>
      </c>
      <c r="O204" t="inlineStr">
        <is>
          <t>2026-08-10T19:29:54Z</t>
        </is>
      </c>
    </row>
    <row r="205">
      <c r="A205" s="19" t="inlineStr">
        <is>
          <t>204</t>
        </is>
      </c>
      <c r="B205" s="19" t="inlineStr">
        <is>
          <t>1010584</t>
        </is>
      </c>
      <c r="C205" t="inlineStr">
        <is>
          <t>AKÜ SULU,TRACTR,DK,125AH,SILVER,SCHNAPP</t>
        </is>
      </c>
      <c r="D205" s="19" t="inlineStr">
        <is>
          <t>1</t>
        </is>
      </c>
      <c r="E205" t="n">
        <v>0</v>
      </c>
      <c r="I205" s="19" t="inlineStr">
        <is>
          <t>2</t>
        </is>
      </c>
      <c r="J205" t="inlineStr">
        <is>
          <t>2026-08-08</t>
        </is>
      </c>
      <c r="L205" s="19" t="inlineStr">
        <is>
          <t>1010584</t>
        </is>
      </c>
      <c r="M205" t="inlineStr">
        <is>
          <t>STATUS=IN OEM / EU PACKAGE; SOURCE_CFG=IA-ST-CFG-0099; MARKET=SCHNAPP</t>
        </is>
      </c>
      <c r="N205" t="inlineStr">
        <is>
          <t>2026-08-10T19:29:54Z</t>
        </is>
      </c>
      <c r="O205" t="inlineStr">
        <is>
          <t>2026-08-10T19:29:54Z</t>
        </is>
      </c>
    </row>
    <row r="206">
      <c r="A206" s="19" t="inlineStr">
        <is>
          <t>205</t>
        </is>
      </c>
      <c r="B206" s="19" t="inlineStr">
        <is>
          <t>1010690</t>
        </is>
      </c>
      <c r="C206" t="inlineStr">
        <is>
          <t>AKÜ,C-IGYASMF,DK,220AH,MERCEDES/SHD,YP</t>
        </is>
      </c>
      <c r="D206" s="19" t="inlineStr">
        <is>
          <t>1</t>
        </is>
      </c>
      <c r="E206" t="n">
        <v>0</v>
      </c>
      <c r="I206" s="19" t="inlineStr">
        <is>
          <t>2</t>
        </is>
      </c>
      <c r="J206" t="inlineStr">
        <is>
          <t>2026-08-08</t>
        </is>
      </c>
      <c r="L206" s="19" t="inlineStr">
        <is>
          <t>1010690</t>
        </is>
      </c>
      <c r="M206" t="inlineStr">
        <is>
          <t>STATUS=DOMESTIC-ONLY / NOT IN OEM PACKAGE; SOURCE_CFG=IA-ST-CFG-0011; MARKET=MERCEDES (Yurt İçi)</t>
        </is>
      </c>
      <c r="N206" t="inlineStr">
        <is>
          <t>2026-08-10T19:29:54Z</t>
        </is>
      </c>
      <c r="O206" t="inlineStr">
        <is>
          <t>2026-08-10T19:29:54Z</t>
        </is>
      </c>
    </row>
    <row r="207">
      <c r="A207" s="19" t="inlineStr">
        <is>
          <t>206</t>
        </is>
      </c>
      <c r="B207" s="19" t="inlineStr">
        <is>
          <t>1010842</t>
        </is>
      </c>
      <c r="C207" t="inlineStr">
        <is>
          <t>AKÜ AGM,L3,DK,70AH,MM AGM S&amp;S,MM OES</t>
        </is>
      </c>
      <c r="D207" s="19" t="inlineStr">
        <is>
          <t>1</t>
        </is>
      </c>
      <c r="E207" t="n">
        <v>0</v>
      </c>
      <c r="I207" s="19" t="inlineStr">
        <is>
          <t>2</t>
        </is>
      </c>
      <c r="J207" t="inlineStr">
        <is>
          <t>2026-08-08</t>
        </is>
      </c>
      <c r="L207" s="19" t="inlineStr">
        <is>
          <t>1010842</t>
        </is>
      </c>
      <c r="M207" t="inlineStr">
        <is>
          <t>STATUS=DOMESTIC-ONLY / NOT IN OEM PACKAGE; SOURCE_CFG=IA-ST-CFG-0203; MARKET=MAKO OES (Yurt İçi)</t>
        </is>
      </c>
      <c r="N207" t="inlineStr">
        <is>
          <t>2026-08-10T19:29:54Z</t>
        </is>
      </c>
      <c r="O207" t="inlineStr">
        <is>
          <t>2026-08-10T19:29:54Z</t>
        </is>
      </c>
    </row>
    <row r="208">
      <c r="A208" s="19" t="inlineStr">
        <is>
          <t>207</t>
        </is>
      </c>
      <c r="B208" s="19" t="inlineStr">
        <is>
          <t>1010843</t>
        </is>
      </c>
      <c r="C208" t="inlineStr">
        <is>
          <t>AKÜ AGM,L5,DK,92AH,MM AGM S&amp;S,MM OES</t>
        </is>
      </c>
      <c r="D208" s="19" t="inlineStr">
        <is>
          <t>1</t>
        </is>
      </c>
      <c r="E208" t="n">
        <v>0</v>
      </c>
      <c r="I208" s="19" t="inlineStr">
        <is>
          <t>2</t>
        </is>
      </c>
      <c r="J208" t="inlineStr">
        <is>
          <t>2026-08-08</t>
        </is>
      </c>
      <c r="L208" s="19" t="inlineStr">
        <is>
          <t>1010843</t>
        </is>
      </c>
      <c r="M208" t="inlineStr">
        <is>
          <t>STATUS=DOMESTIC-ONLY / NOT IN OEM PACKAGE; SOURCE_CFG=IA-ST-CFG-0121; MARKET=MAKO OES (Yurt İçi)</t>
        </is>
      </c>
      <c r="N208" t="inlineStr">
        <is>
          <t>2026-08-10T19:29:54Z</t>
        </is>
      </c>
      <c r="O208" t="inlineStr">
        <is>
          <t>2026-08-10T19:29:54Z</t>
        </is>
      </c>
    </row>
    <row r="209">
      <c r="A209" s="19" t="inlineStr">
        <is>
          <t>208</t>
        </is>
      </c>
      <c r="B209" s="19" t="inlineStr">
        <is>
          <t>1010863</t>
        </is>
      </c>
      <c r="C209" t="inlineStr">
        <is>
          <t>AKÜ,B-FLAT,DK,170AH,MERCEDES DAİMLER,OES</t>
        </is>
      </c>
      <c r="D209" s="19" t="inlineStr">
        <is>
          <t>1</t>
        </is>
      </c>
      <c r="E209" t="n">
        <v>0</v>
      </c>
      <c r="I209" s="19" t="inlineStr">
        <is>
          <t>2</t>
        </is>
      </c>
      <c r="J209" t="inlineStr">
        <is>
          <t>2026-08-08</t>
        </is>
      </c>
      <c r="L209" s="19" t="inlineStr">
        <is>
          <t>1010863</t>
        </is>
      </c>
      <c r="M209" t="inlineStr">
        <is>
          <t>STATUS=IN OEM / EU PACKAGE; SOURCE_CFG=IA-ST-CFG-0027; MARKET=MERCEDES ALMANYA</t>
        </is>
      </c>
      <c r="N209" t="inlineStr">
        <is>
          <t>2026-08-10T19:29:54Z</t>
        </is>
      </c>
      <c r="O209" t="inlineStr">
        <is>
          <t>2026-08-10T19:29:54Z</t>
        </is>
      </c>
    </row>
    <row r="210">
      <c r="A210" s="19" t="inlineStr">
        <is>
          <t>209</t>
        </is>
      </c>
      <c r="B210" s="19" t="inlineStr">
        <is>
          <t>1010864</t>
        </is>
      </c>
      <c r="C210" t="inlineStr">
        <is>
          <t>AKÜ,A-FLAT,DK,140AH,MERCEDES DAİMLER,OES</t>
        </is>
      </c>
      <c r="D210" s="19" t="inlineStr">
        <is>
          <t>1</t>
        </is>
      </c>
      <c r="E210" t="n">
        <v>0</v>
      </c>
      <c r="I210" s="19" t="inlineStr">
        <is>
          <t>2</t>
        </is>
      </c>
      <c r="J210" t="inlineStr">
        <is>
          <t>2026-08-08</t>
        </is>
      </c>
      <c r="L210" s="19" t="inlineStr">
        <is>
          <t>1010864</t>
        </is>
      </c>
      <c r="M210" t="inlineStr">
        <is>
          <t>STATUS=IN OEM / EU PACKAGE; SOURCE_CFG=IA-ST-CFG-0037; MARKET=MERCEDES ALMANYA</t>
        </is>
      </c>
      <c r="N210" t="inlineStr">
        <is>
          <t>2026-08-10T19:29:54Z</t>
        </is>
      </c>
      <c r="O210" t="inlineStr">
        <is>
          <t>2026-08-10T19:29:54Z</t>
        </is>
      </c>
    </row>
    <row r="211">
      <c r="A211" s="19" t="inlineStr">
        <is>
          <t>210</t>
        </is>
      </c>
      <c r="B211" s="19" t="inlineStr">
        <is>
          <t>1010891</t>
        </is>
      </c>
      <c r="C211" t="inlineStr">
        <is>
          <t>AKÜ,A-IGYASMF,DK,140AH,EAS ACTIVA</t>
        </is>
      </c>
      <c r="D211" s="19" t="inlineStr">
        <is>
          <t>1</t>
        </is>
      </c>
      <c r="E211" t="n">
        <v>0</v>
      </c>
      <c r="I211" s="19" t="inlineStr">
        <is>
          <t>2</t>
        </is>
      </c>
      <c r="J211" t="inlineStr">
        <is>
          <t>2026-08-08</t>
        </is>
      </c>
      <c r="L211" s="19" t="inlineStr">
        <is>
          <t>1010891</t>
        </is>
      </c>
      <c r="M211" t="inlineStr">
        <is>
          <t>STATUS=IN OEM / EU PACKAGE; SOURCE_CFG=IA-ST-CFG-0051; MARKET=None</t>
        </is>
      </c>
      <c r="N211" t="inlineStr">
        <is>
          <t>2026-08-10T19:29:54Z</t>
        </is>
      </c>
      <c r="O211" t="inlineStr">
        <is>
          <t>2026-08-10T19:29:54Z</t>
        </is>
      </c>
    </row>
    <row r="212">
      <c r="A212" s="19" t="inlineStr">
        <is>
          <t>211</t>
        </is>
      </c>
      <c r="B212" s="19" t="inlineStr">
        <is>
          <t>1010899</t>
        </is>
      </c>
      <c r="C212" t="inlineStr">
        <is>
          <t>AKÜ,LB3,DK,75AH,IGYA,DIN75MF,RACER POWER</t>
        </is>
      </c>
      <c r="D212" s="19" t="inlineStr">
        <is>
          <t>1</t>
        </is>
      </c>
      <c r="E212" t="n">
        <v>0</v>
      </c>
      <c r="I212" s="19" t="inlineStr">
        <is>
          <t>2</t>
        </is>
      </c>
      <c r="J212" t="inlineStr">
        <is>
          <t>2026-08-08</t>
        </is>
      </c>
      <c r="L212" s="19" t="inlineStr">
        <is>
          <t>1010899</t>
        </is>
      </c>
      <c r="M212" t="inlineStr">
        <is>
          <t>STATUS=IN OEM / EU PACKAGE; SOURCE_CFG=IA-ST-CFG-0178; MARKET=ARCOBALENO-GANA</t>
        </is>
      </c>
      <c r="N212" t="inlineStr">
        <is>
          <t>2026-08-10T19:29:54Z</t>
        </is>
      </c>
      <c r="O212" t="inlineStr">
        <is>
          <t>2026-08-10T19:29:54Z</t>
        </is>
      </c>
    </row>
    <row r="213">
      <c r="A213" s="19" t="inlineStr">
        <is>
          <t>212</t>
        </is>
      </c>
      <c r="B213" s="19" t="inlineStr">
        <is>
          <t>1010902</t>
        </is>
      </c>
      <c r="C213" t="inlineStr">
        <is>
          <t>AKÜ,D31DK100AH,IGYA,MF135D31L,RACERPOWER</t>
        </is>
      </c>
      <c r="D213" s="19" t="inlineStr">
        <is>
          <t>1</t>
        </is>
      </c>
      <c r="E213" t="n">
        <v>0</v>
      </c>
      <c r="I213" s="19" t="inlineStr">
        <is>
          <t>2</t>
        </is>
      </c>
      <c r="J213" t="inlineStr">
        <is>
          <t>2026-08-08</t>
        </is>
      </c>
      <c r="L213" s="19" t="inlineStr">
        <is>
          <t>1010902</t>
        </is>
      </c>
      <c r="M213" t="inlineStr">
        <is>
          <t>STATUS=IN OEM / EU PACKAGE; SOURCE_CFG=IA-ST-CFG-0143; MARKET=ARCOBALENO-GANA</t>
        </is>
      </c>
      <c r="N213" t="inlineStr">
        <is>
          <t>2026-08-10T19:29:54Z</t>
        </is>
      </c>
      <c r="O213" t="inlineStr">
        <is>
          <t>2026-08-10T19:29:54Z</t>
        </is>
      </c>
    </row>
    <row r="214">
      <c r="A214" s="19" t="inlineStr">
        <is>
          <t>213</t>
        </is>
      </c>
      <c r="B214" s="19" t="inlineStr">
        <is>
          <t>1010906</t>
        </is>
      </c>
      <c r="C214" t="inlineStr">
        <is>
          <t>AKÜ,D31,DK90AH,IGYA,MF105D31L,RACERPOWER</t>
        </is>
      </c>
      <c r="D214" s="19" t="inlineStr">
        <is>
          <t>1</t>
        </is>
      </c>
      <c r="E214" t="n">
        <v>0</v>
      </c>
      <c r="I214" s="19" t="inlineStr">
        <is>
          <t>2</t>
        </is>
      </c>
      <c r="J214" t="inlineStr">
        <is>
          <t>2026-08-08</t>
        </is>
      </c>
      <c r="L214" s="19" t="inlineStr">
        <is>
          <t>1010906</t>
        </is>
      </c>
      <c r="M214" t="inlineStr">
        <is>
          <t>STATUS=IN OEM / EU PACKAGE; SOURCE_CFG=IA-ST-CFG-0143; MARKET=ARCOBALENO-GANA</t>
        </is>
      </c>
      <c r="N214" t="inlineStr">
        <is>
          <t>2026-08-10T19:29:54Z</t>
        </is>
      </c>
      <c r="O214" t="inlineStr">
        <is>
          <t>2026-08-10T19:29:54Z</t>
        </is>
      </c>
    </row>
    <row r="215">
      <c r="A215" s="19" t="inlineStr">
        <is>
          <t>214</t>
        </is>
      </c>
      <c r="B215" s="19" t="inlineStr">
        <is>
          <t>1010907</t>
        </is>
      </c>
      <c r="C215" t="inlineStr">
        <is>
          <t>AKÜ,L5,DK,100AH,IGYA,MF60038,RACERPOWER</t>
        </is>
      </c>
      <c r="D215" s="19" t="inlineStr">
        <is>
          <t>1</t>
        </is>
      </c>
      <c r="E215" t="n">
        <v>0</v>
      </c>
      <c r="I215" s="19" t="inlineStr">
        <is>
          <t>2</t>
        </is>
      </c>
      <c r="J215" t="inlineStr">
        <is>
          <t>2026-08-08</t>
        </is>
      </c>
      <c r="L215" s="19" t="inlineStr">
        <is>
          <t>1010907</t>
        </is>
      </c>
      <c r="M215" t="inlineStr">
        <is>
          <t>STATUS=IN OEM / EU PACKAGE; SOURCE_CFG=IA-ST-CFG-0096; MARKET=ARCOBALENO-GANA</t>
        </is>
      </c>
      <c r="N215" t="inlineStr">
        <is>
          <t>2026-08-10T19:29:54Z</t>
        </is>
      </c>
      <c r="O215" t="inlineStr">
        <is>
          <t>2026-08-10T19:29:54Z</t>
        </is>
      </c>
    </row>
    <row r="216">
      <c r="A216" s="19" t="inlineStr">
        <is>
          <t>215</t>
        </is>
      </c>
      <c r="B216" s="19" t="inlineStr">
        <is>
          <t>1010944</t>
        </is>
      </c>
      <c r="C216" t="inlineStr">
        <is>
          <t>AKÜ,B-FLAT,DK,180AH,ENERGY MAX</t>
        </is>
      </c>
      <c r="D216" s="19" t="inlineStr">
        <is>
          <t>1</t>
        </is>
      </c>
      <c r="E216" t="n">
        <v>0</v>
      </c>
      <c r="I216" s="19" t="inlineStr">
        <is>
          <t>2</t>
        </is>
      </c>
      <c r="J216" t="inlineStr">
        <is>
          <t>2026-08-08</t>
        </is>
      </c>
      <c r="L216" s="19" t="inlineStr">
        <is>
          <t>1010944</t>
        </is>
      </c>
      <c r="M216" t="inlineStr">
        <is>
          <t>STATUS=IN OEM / EU PACKAGE; SOURCE_CFG=IA-ST-CFG-0052; MARKET=None</t>
        </is>
      </c>
      <c r="N216" t="inlineStr">
        <is>
          <t>2026-08-10T19:29:54Z</t>
        </is>
      </c>
      <c r="O216" t="inlineStr">
        <is>
          <t>2026-08-10T19:29:54Z</t>
        </is>
      </c>
    </row>
    <row r="217">
      <c r="A217" s="19" t="inlineStr">
        <is>
          <t>216</t>
        </is>
      </c>
      <c r="B217" s="19" t="inlineStr">
        <is>
          <t>1010991</t>
        </is>
      </c>
      <c r="C217" t="inlineStr">
        <is>
          <t>AKÜ AGM,L3,DK,70AH,İNCİ AGM S&amp;S,Y.DIŞI</t>
        </is>
      </c>
      <c r="D217" s="19" t="inlineStr">
        <is>
          <t>1</t>
        </is>
      </c>
      <c r="E217" t="n">
        <v>0</v>
      </c>
      <c r="I217" s="19" t="inlineStr">
        <is>
          <t>2</t>
        </is>
      </c>
      <c r="J217" t="inlineStr">
        <is>
          <t>2026-08-08</t>
        </is>
      </c>
      <c r="L217" s="19" t="inlineStr">
        <is>
          <t>1010991</t>
        </is>
      </c>
      <c r="M217" t="inlineStr">
        <is>
          <t>STATUS=IN OEM / EU PACKAGE; SOURCE_CFG=IA-ST-CFG-0186; MARKET=None</t>
        </is>
      </c>
      <c r="N217" t="inlineStr">
        <is>
          <t>2026-08-10T19:29:54Z</t>
        </is>
      </c>
      <c r="O217" t="inlineStr">
        <is>
          <t>2026-08-10T19:29:54Z</t>
        </is>
      </c>
    </row>
    <row r="218">
      <c r="A218" s="19" t="inlineStr">
        <is>
          <t>217</t>
        </is>
      </c>
      <c r="B218" s="19" t="inlineStr">
        <is>
          <t>1010998</t>
        </is>
      </c>
      <c r="C218" t="inlineStr">
        <is>
          <t>AKÜ,C-FLAT,DK,225AH,YUASA-CV,SHAWKAT</t>
        </is>
      </c>
      <c r="D218" s="19" t="inlineStr">
        <is>
          <t>1</t>
        </is>
      </c>
      <c r="E218" t="n">
        <v>0</v>
      </c>
      <c r="I218" s="19" t="inlineStr">
        <is>
          <t>2</t>
        </is>
      </c>
      <c r="J218" t="inlineStr">
        <is>
          <t>2026-08-08</t>
        </is>
      </c>
      <c r="L218" s="19" t="inlineStr">
        <is>
          <t>1010998</t>
        </is>
      </c>
      <c r="M218" t="inlineStr">
        <is>
          <t>STATUS=IN OEM / EU PACKAGE; SOURCE_CFG=IA-ST-CFG-0020; MARKET=SHAWKAT</t>
        </is>
      </c>
      <c r="N218" t="inlineStr">
        <is>
          <t>2026-08-10T19:29:54Z</t>
        </is>
      </c>
      <c r="O218" t="inlineStr">
        <is>
          <t>2026-08-10T19:29:54Z</t>
        </is>
      </c>
    </row>
    <row r="219">
      <c r="A219" s="19" t="inlineStr">
        <is>
          <t>218</t>
        </is>
      </c>
      <c r="B219" s="19" t="inlineStr">
        <is>
          <t>1011012</t>
        </is>
      </c>
      <c r="C219" t="inlineStr">
        <is>
          <t>AKÜ,L2,DK65AH,IGYASMF,İNCİ EFB MAX,İÇPYS</t>
        </is>
      </c>
      <c r="D219" s="19" t="inlineStr">
        <is>
          <t>1</t>
        </is>
      </c>
      <c r="E219" t="n">
        <v>0</v>
      </c>
      <c r="I219" s="19" t="inlineStr">
        <is>
          <t>2</t>
        </is>
      </c>
      <c r="J219" t="inlineStr">
        <is>
          <t>2026-08-08</t>
        </is>
      </c>
      <c r="L219" s="19" t="inlineStr">
        <is>
          <t>1011012</t>
        </is>
      </c>
      <c r="M219" t="inlineStr">
        <is>
          <t>STATUS=IN OEM / EU PACKAGE; SOURCE_CFG=IA-ST-CFG-0256; MARKET=YURT İÇİ AFM</t>
        </is>
      </c>
      <c r="N219" t="inlineStr">
        <is>
          <t>2026-08-10T19:29:54Z</t>
        </is>
      </c>
      <c r="O219" t="inlineStr">
        <is>
          <t>2026-08-10T19:29:54Z</t>
        </is>
      </c>
    </row>
    <row r="220">
      <c r="A220" s="19" t="inlineStr">
        <is>
          <t>219</t>
        </is>
      </c>
      <c r="B220" s="19" t="inlineStr">
        <is>
          <t>1011013</t>
        </is>
      </c>
      <c r="C220" t="inlineStr">
        <is>
          <t>AKÜ,L3,DK75AH,IGYASMF,İNCİ EFB MAX,İÇPYS</t>
        </is>
      </c>
      <c r="D220" s="19" t="inlineStr">
        <is>
          <t>1</t>
        </is>
      </c>
      <c r="E220" t="n">
        <v>0</v>
      </c>
      <c r="I220" s="19" t="inlineStr">
        <is>
          <t>2</t>
        </is>
      </c>
      <c r="J220" t="inlineStr">
        <is>
          <t>2026-08-08</t>
        </is>
      </c>
      <c r="L220" s="19" t="inlineStr">
        <is>
          <t>1011013</t>
        </is>
      </c>
      <c r="M220" t="inlineStr">
        <is>
          <t>STATUS=IN OEM / EU PACKAGE; SOURCE_CFG=IA-ST-CFG-0182; MARKET=YURT İÇİ AFM</t>
        </is>
      </c>
      <c r="N220" t="inlineStr">
        <is>
          <t>2026-08-10T19:29:54Z</t>
        </is>
      </c>
      <c r="O220" t="inlineStr">
        <is>
          <t>2026-08-10T19:29:54Z</t>
        </is>
      </c>
    </row>
    <row r="221">
      <c r="A221" s="19" t="inlineStr">
        <is>
          <t>220</t>
        </is>
      </c>
      <c r="B221" s="19" t="inlineStr">
        <is>
          <t>1011014</t>
        </is>
      </c>
      <c r="C221" t="inlineStr">
        <is>
          <t>AKÜ,L5,DK,100AH,IGYASMF,İNCİEFBMAX,İÇPYS</t>
        </is>
      </c>
      <c r="D221" s="19" t="inlineStr">
        <is>
          <t>1</t>
        </is>
      </c>
      <c r="E221" t="n">
        <v>0</v>
      </c>
      <c r="I221" s="19" t="inlineStr">
        <is>
          <t>2</t>
        </is>
      </c>
      <c r="J221" t="inlineStr">
        <is>
          <t>2026-08-08</t>
        </is>
      </c>
      <c r="L221" s="19" t="inlineStr">
        <is>
          <t>1011014</t>
        </is>
      </c>
      <c r="M221" t="inlineStr">
        <is>
          <t>STATUS=IN OEM / EU PACKAGE; SOURCE_CFG=IA-ST-CFG-0167; MARKET=YURT İÇİ AFM</t>
        </is>
      </c>
      <c r="N221" t="inlineStr">
        <is>
          <t>2026-08-10T19:29:54Z</t>
        </is>
      </c>
      <c r="O221" t="inlineStr">
        <is>
          <t>2026-08-10T19:29:54Z</t>
        </is>
      </c>
    </row>
    <row r="222">
      <c r="A222" s="19" t="inlineStr">
        <is>
          <t>221</t>
        </is>
      </c>
      <c r="B222" s="19" t="inlineStr">
        <is>
          <t>1011015</t>
        </is>
      </c>
      <c r="C222" t="inlineStr">
        <is>
          <t>AKÜ,L4,DK85AH,IGYSMF,İNCİ EFB MAX,İÇ PYS</t>
        </is>
      </c>
      <c r="D222" s="19" t="inlineStr">
        <is>
          <t>1</t>
        </is>
      </c>
      <c r="E222" t="n">
        <v>0</v>
      </c>
      <c r="I222" s="19" t="inlineStr">
        <is>
          <t>2</t>
        </is>
      </c>
      <c r="J222" t="inlineStr">
        <is>
          <t>2026-08-08</t>
        </is>
      </c>
      <c r="L222" s="19" t="inlineStr">
        <is>
          <t>1011015</t>
        </is>
      </c>
      <c r="M222" t="inlineStr">
        <is>
          <t>STATUS=IN OEM / EU PACKAGE; SOURCE_CFG=IA-ST-CFG-0195; MARKET=YURT İÇİ AFM</t>
        </is>
      </c>
      <c r="N222" t="inlineStr">
        <is>
          <t>2026-08-10T19:29:54Z</t>
        </is>
      </c>
      <c r="O222" t="inlineStr">
        <is>
          <t>2026-08-10T19:29:54Z</t>
        </is>
      </c>
    </row>
    <row r="223">
      <c r="A223" s="19" t="inlineStr">
        <is>
          <t>222</t>
        </is>
      </c>
      <c r="B223" s="19" t="inlineStr">
        <is>
          <t>1011016</t>
        </is>
      </c>
      <c r="C223" t="inlineStr">
        <is>
          <t>AKÜ,D23,DK65AH,IGYSMF,İNCİEFBPANTR,İÇPYS</t>
        </is>
      </c>
      <c r="D223" s="19" t="inlineStr">
        <is>
          <t>1</t>
        </is>
      </c>
      <c r="E223" t="n">
        <v>0</v>
      </c>
      <c r="I223" s="19" t="inlineStr">
        <is>
          <t>2</t>
        </is>
      </c>
      <c r="J223" t="inlineStr">
        <is>
          <t>2026-08-08</t>
        </is>
      </c>
      <c r="L223" s="19" t="inlineStr">
        <is>
          <t>1011016</t>
        </is>
      </c>
      <c r="M223" t="inlineStr">
        <is>
          <t>STATUS=IN OEM / EU PACKAGE; SOURCE_CFG=IA-ST-CFG-0172; MARKET=YURT İÇİ AFM</t>
        </is>
      </c>
      <c r="N223" t="inlineStr">
        <is>
          <t>2026-08-10T19:29:54Z</t>
        </is>
      </c>
      <c r="O223" t="inlineStr">
        <is>
          <t>2026-08-10T19:29:54Z</t>
        </is>
      </c>
    </row>
    <row r="224">
      <c r="A224" s="19" t="inlineStr">
        <is>
          <t>223</t>
        </is>
      </c>
      <c r="B224" s="19" t="inlineStr">
        <is>
          <t>1011017</t>
        </is>
      </c>
      <c r="C224" t="inlineStr">
        <is>
          <t>AKÜ,D26,DK72AH,IGYSMF,İNCİEFBPANTR,İÇPYS</t>
        </is>
      </c>
      <c r="D224" s="19" t="inlineStr">
        <is>
          <t>1</t>
        </is>
      </c>
      <c r="E224" t="n">
        <v>0</v>
      </c>
      <c r="I224" s="19" t="inlineStr">
        <is>
          <t>2</t>
        </is>
      </c>
      <c r="J224" t="inlineStr">
        <is>
          <t>2026-08-08</t>
        </is>
      </c>
      <c r="L224" s="19" t="inlineStr">
        <is>
          <t>1011017</t>
        </is>
      </c>
      <c r="M224" t="inlineStr">
        <is>
          <t>STATUS=IN OEM / EU PACKAGE; SOURCE_CFG=IA-ST-CFG-0155; MARKET=YURT İÇİ AFM</t>
        </is>
      </c>
      <c r="N224" t="inlineStr">
        <is>
          <t>2026-08-10T19:29:54Z</t>
        </is>
      </c>
      <c r="O224" t="inlineStr">
        <is>
          <t>2026-08-10T19:29:54Z</t>
        </is>
      </c>
    </row>
    <row r="225">
      <c r="A225" s="19" t="inlineStr">
        <is>
          <t>224</t>
        </is>
      </c>
      <c r="B225" s="19" t="inlineStr">
        <is>
          <t>1011025</t>
        </is>
      </c>
      <c r="C225" t="inlineStr">
        <is>
          <t>AKÜ,L3,DK,VRLA,AGM 70AH 760A,ERP-TR</t>
        </is>
      </c>
      <c r="D225" s="19" t="inlineStr">
        <is>
          <t>1</t>
        </is>
      </c>
      <c r="E225" t="n">
        <v>0</v>
      </c>
      <c r="I225" s="19" t="inlineStr">
        <is>
          <t>2</t>
        </is>
      </c>
      <c r="J225" t="inlineStr">
        <is>
          <t>2026-08-08</t>
        </is>
      </c>
      <c r="L225" s="19" t="inlineStr">
        <is>
          <t>1011025</t>
        </is>
      </c>
      <c r="M225" t="inlineStr">
        <is>
          <t>STATUS=DOMESTIC-ONLY / NOT IN OEM PACKAGE; SOURCE_CFG=IA-ST-CFG-0131; MARKET=PSA (Yurt İçi)</t>
        </is>
      </c>
      <c r="N225" t="inlineStr">
        <is>
          <t>2026-08-10T19:29:54Z</t>
        </is>
      </c>
      <c r="O225" t="inlineStr">
        <is>
          <t>2026-08-10T19:29:54Z</t>
        </is>
      </c>
    </row>
    <row r="226">
      <c r="A226" s="19" t="inlineStr">
        <is>
          <t>225</t>
        </is>
      </c>
      <c r="B226" s="19" t="inlineStr">
        <is>
          <t>1011027</t>
        </is>
      </c>
      <c r="C226" t="inlineStr">
        <is>
          <t>AKÜ SULU,TRCL,DK,115AH,HUGEL ACTION,NASA</t>
        </is>
      </c>
      <c r="D226" s="19" t="inlineStr">
        <is>
          <t>1</t>
        </is>
      </c>
      <c r="E226" t="n">
        <v>0</v>
      </c>
      <c r="I226" s="19" t="inlineStr">
        <is>
          <t>2</t>
        </is>
      </c>
      <c r="J226" t="inlineStr">
        <is>
          <t>2026-08-08</t>
        </is>
      </c>
      <c r="L226" s="19" t="inlineStr">
        <is>
          <t>1011027</t>
        </is>
      </c>
      <c r="M226" t="inlineStr">
        <is>
          <t>STATUS=IN OEM / EU PACKAGE; SOURCE_CFG=IA-ST-CFG-0093; MARKET=NASA</t>
        </is>
      </c>
      <c r="N226" t="inlineStr">
        <is>
          <t>2026-08-10T19:29:54Z</t>
        </is>
      </c>
      <c r="O226" t="inlineStr">
        <is>
          <t>2026-08-10T19:29:54Z</t>
        </is>
      </c>
    </row>
    <row r="227">
      <c r="A227" s="19" t="inlineStr">
        <is>
          <t>226</t>
        </is>
      </c>
      <c r="B227" s="19" t="inlineStr">
        <is>
          <t>1011048</t>
        </is>
      </c>
      <c r="C227" t="inlineStr">
        <is>
          <t>AKÜ,L3,DK,75AH,IGYA SMF,Y3000,YBX3096,Yİ</t>
        </is>
      </c>
      <c r="D227" s="19" t="inlineStr">
        <is>
          <t>1</t>
        </is>
      </c>
      <c r="E227" t="n">
        <v>0</v>
      </c>
      <c r="I227" s="19" t="inlineStr">
        <is>
          <t>2</t>
        </is>
      </c>
      <c r="J227" t="inlineStr">
        <is>
          <t>2026-08-08</t>
        </is>
      </c>
      <c r="L227" s="19" t="inlineStr">
        <is>
          <t>1011048</t>
        </is>
      </c>
      <c r="M227" t="inlineStr">
        <is>
          <t>STATUS=IN OEM / EU PACKAGE; SOURCE_CFG=IA-ST-CFG-0182; MARKET=YURT İÇİ AFM</t>
        </is>
      </c>
      <c r="N227" t="inlineStr">
        <is>
          <t>2026-08-10T19:29:54Z</t>
        </is>
      </c>
      <c r="O227" t="inlineStr">
        <is>
          <t>2026-08-10T19:29:54Z</t>
        </is>
      </c>
    </row>
    <row r="228">
      <c r="A228" s="19" t="inlineStr">
        <is>
          <t>227</t>
        </is>
      </c>
      <c r="B228" s="19" t="inlineStr">
        <is>
          <t>1011103</t>
        </is>
      </c>
      <c r="C228" t="inlineStr">
        <is>
          <t>AKÜ,L3,DK,76AH,IGYSMF,SILVERTÜRKMENİSTAN</t>
        </is>
      </c>
      <c r="D228" s="19" t="inlineStr">
        <is>
          <t>1</t>
        </is>
      </c>
      <c r="E228" t="n">
        <v>0</v>
      </c>
      <c r="I228" s="19" t="inlineStr">
        <is>
          <t>2</t>
        </is>
      </c>
      <c r="J228" t="inlineStr">
        <is>
          <t>2026-08-08</t>
        </is>
      </c>
      <c r="L228" s="19" t="inlineStr">
        <is>
          <t>1011103</t>
        </is>
      </c>
      <c r="M228" t="inlineStr">
        <is>
          <t>STATUS=IN OEM / EU PACKAGE; SOURCE_CFG=IA-ST-CFG-0179; MARKET=TÜRKMENİSTAN</t>
        </is>
      </c>
      <c r="N228" t="inlineStr">
        <is>
          <t>2026-08-10T19:29:54Z</t>
        </is>
      </c>
      <c r="O228" t="inlineStr">
        <is>
          <t>2026-08-10T19:29:54Z</t>
        </is>
      </c>
    </row>
    <row r="229">
      <c r="A229" s="19" t="inlineStr">
        <is>
          <t>228</t>
        </is>
      </c>
      <c r="B229" s="19" t="inlineStr">
        <is>
          <t>1011129</t>
        </is>
      </c>
      <c r="C229" t="inlineStr">
        <is>
          <t>AKÜ,B-FLAT,DK,190AH,SILVER,TÜRKMENİSTAN</t>
        </is>
      </c>
      <c r="D229" s="19" t="inlineStr">
        <is>
          <t>1</t>
        </is>
      </c>
      <c r="E229" t="n">
        <v>0</v>
      </c>
      <c r="I229" s="19" t="inlineStr">
        <is>
          <t>2</t>
        </is>
      </c>
      <c r="J229" t="inlineStr">
        <is>
          <t>2026-08-08</t>
        </is>
      </c>
      <c r="L229" s="19" t="inlineStr">
        <is>
          <t>1011129</t>
        </is>
      </c>
      <c r="M229" t="inlineStr">
        <is>
          <t>STATUS=IN OEM / EU PACKAGE; SOURCE_CFG=IA-ST-CFG-0052; MARKET=TÜRKMENİSTAN</t>
        </is>
      </c>
      <c r="N229" t="inlineStr">
        <is>
          <t>2026-08-10T19:29:54Z</t>
        </is>
      </c>
      <c r="O229" t="inlineStr">
        <is>
          <t>2026-08-10T19:29:54Z</t>
        </is>
      </c>
    </row>
    <row r="230">
      <c r="A230" s="19" t="inlineStr">
        <is>
          <t>229</t>
        </is>
      </c>
      <c r="B230" s="19" t="inlineStr">
        <is>
          <t>1011152</t>
        </is>
      </c>
      <c r="C230" t="inlineStr">
        <is>
          <t>AKÜ,D26,TK75AH,IGYASMF,İNCİFORMULA,İÇPYS</t>
        </is>
      </c>
      <c r="D230" s="19" t="inlineStr">
        <is>
          <t>1</t>
        </is>
      </c>
      <c r="E230" t="n">
        <v>0</v>
      </c>
      <c r="I230" s="19" t="inlineStr">
        <is>
          <t>2</t>
        </is>
      </c>
      <c r="J230" t="inlineStr">
        <is>
          <t>2026-08-08</t>
        </is>
      </c>
      <c r="L230" s="19" t="inlineStr">
        <is>
          <t>1011152</t>
        </is>
      </c>
      <c r="M230" t="inlineStr">
        <is>
          <t>STATUS=IN OEM / EU PACKAGE; SOURCE_CFG=IA-ST-CFG-0176; MARKET=YURT İÇİ AFM</t>
        </is>
      </c>
      <c r="N230" t="inlineStr">
        <is>
          <t>2026-08-10T19:29:54Z</t>
        </is>
      </c>
      <c r="O230" t="inlineStr">
        <is>
          <t>2026-08-10T19:29:54Z</t>
        </is>
      </c>
    </row>
    <row r="231">
      <c r="A231" s="19" t="inlineStr">
        <is>
          <t>230</t>
        </is>
      </c>
      <c r="B231" s="19" t="inlineStr">
        <is>
          <t>1011153</t>
        </is>
      </c>
      <c r="C231" t="inlineStr">
        <is>
          <t>AKÜ,D26,DK75AH,IGYASMF,İNCİFORMULA,İÇPYS</t>
        </is>
      </c>
      <c r="D231" s="19" t="inlineStr">
        <is>
          <t>1</t>
        </is>
      </c>
      <c r="E231" t="n">
        <v>0</v>
      </c>
      <c r="I231" s="19" t="inlineStr">
        <is>
          <t>2</t>
        </is>
      </c>
      <c r="J231" t="inlineStr">
        <is>
          <t>2026-08-08</t>
        </is>
      </c>
      <c r="L231" s="19" t="inlineStr">
        <is>
          <t>1011153</t>
        </is>
      </c>
      <c r="M231" t="inlineStr">
        <is>
          <t>STATUS=IN OEM / EU PACKAGE; SOURCE_CFG=IA-ST-CFG-0176; MARKET=YURT İÇİ AFM</t>
        </is>
      </c>
      <c r="N231" t="inlineStr">
        <is>
          <t>2026-08-10T19:29:54Z</t>
        </is>
      </c>
      <c r="O231" t="inlineStr">
        <is>
          <t>2026-08-10T19:29:54Z</t>
        </is>
      </c>
    </row>
    <row r="232">
      <c r="A232" s="19" t="inlineStr">
        <is>
          <t>231</t>
        </is>
      </c>
      <c r="B232" s="19" t="inlineStr">
        <is>
          <t>1011154</t>
        </is>
      </c>
      <c r="C232" t="inlineStr">
        <is>
          <t>AKÜ,D31,TK90AH,IGYASMF,İNCİFORMULA,İÇPYS</t>
        </is>
      </c>
      <c r="D232" s="19" t="inlineStr">
        <is>
          <t>1</t>
        </is>
      </c>
      <c r="E232" t="n">
        <v>0</v>
      </c>
      <c r="I232" s="19" t="inlineStr">
        <is>
          <t>2</t>
        </is>
      </c>
      <c r="J232" t="inlineStr">
        <is>
          <t>2026-08-08</t>
        </is>
      </c>
      <c r="L232" s="19" t="inlineStr">
        <is>
          <t>1011154</t>
        </is>
      </c>
      <c r="M232" t="inlineStr">
        <is>
          <t>STATUS=IN OEM / EU PACKAGE; SOURCE_CFG=IA-ST-CFG-0145; MARKET=YURT İÇİ AFM</t>
        </is>
      </c>
      <c r="N232" t="inlineStr">
        <is>
          <t>2026-08-10T19:29:54Z</t>
        </is>
      </c>
      <c r="O232" t="inlineStr">
        <is>
          <t>2026-08-10T19:29:54Z</t>
        </is>
      </c>
    </row>
    <row r="233">
      <c r="A233" s="19" t="inlineStr">
        <is>
          <t>232</t>
        </is>
      </c>
      <c r="B233" s="19" t="inlineStr">
        <is>
          <t>1011155</t>
        </is>
      </c>
      <c r="C233" t="inlineStr">
        <is>
          <t>AKÜ,D31,DK90AH,IGYASMF,İNCİFORMULA,İÇPYS</t>
        </is>
      </c>
      <c r="D233" s="19" t="inlineStr">
        <is>
          <t>1</t>
        </is>
      </c>
      <c r="E233" t="n">
        <v>0</v>
      </c>
      <c r="I233" s="19" t="inlineStr">
        <is>
          <t>2</t>
        </is>
      </c>
      <c r="J233" t="inlineStr">
        <is>
          <t>2026-08-08</t>
        </is>
      </c>
      <c r="L233" s="19" t="inlineStr">
        <is>
          <t>1011155</t>
        </is>
      </c>
      <c r="M233" t="inlineStr">
        <is>
          <t>STATUS=IN OEM / EU PACKAGE; SOURCE_CFG=IA-ST-CFG-0145; MARKET=YURT İÇİ AFM</t>
        </is>
      </c>
      <c r="N233" t="inlineStr">
        <is>
          <t>2026-08-10T19:29:54Z</t>
        </is>
      </c>
      <c r="O233" t="inlineStr">
        <is>
          <t>2026-08-10T19:29:54Z</t>
        </is>
      </c>
    </row>
    <row r="234">
      <c r="A234" s="19" t="inlineStr">
        <is>
          <t>233</t>
        </is>
      </c>
      <c r="B234" s="19" t="inlineStr">
        <is>
          <t>1011156</t>
        </is>
      </c>
      <c r="C234" t="inlineStr">
        <is>
          <t>AKÜ,L2,DK,60AH,IGYASMF,İNCİFORMULA,İÇPYS</t>
        </is>
      </c>
      <c r="D234" s="19" t="inlineStr">
        <is>
          <t>1</t>
        </is>
      </c>
      <c r="E234" t="n">
        <v>0</v>
      </c>
      <c r="I234" s="19" t="inlineStr">
        <is>
          <t>2</t>
        </is>
      </c>
      <c r="J234" t="inlineStr">
        <is>
          <t>2026-08-08</t>
        </is>
      </c>
      <c r="L234" s="19" t="inlineStr">
        <is>
          <t>1011156</t>
        </is>
      </c>
      <c r="M234" t="inlineStr">
        <is>
          <t>STATUS=IN OEM / EU PACKAGE; SOURCE_CFG=IA-ST-CFG-0227; MARKET=YURT İÇİ AFM</t>
        </is>
      </c>
      <c r="N234" t="inlineStr">
        <is>
          <t>2026-08-10T19:29:54Z</t>
        </is>
      </c>
      <c r="O234" t="inlineStr">
        <is>
          <t>2026-08-10T19:29:54Z</t>
        </is>
      </c>
    </row>
    <row r="235">
      <c r="A235" s="19" t="inlineStr">
        <is>
          <t>234</t>
        </is>
      </c>
      <c r="B235" s="19" t="inlineStr">
        <is>
          <t>1011157</t>
        </is>
      </c>
      <c r="C235" t="inlineStr">
        <is>
          <t>AKÜ,L3,DK,72AH,IGYASMF,İNCİFORMULA,İÇPYS</t>
        </is>
      </c>
      <c r="D235" s="19" t="inlineStr">
        <is>
          <t>1</t>
        </is>
      </c>
      <c r="E235" t="n">
        <v>0</v>
      </c>
      <c r="I235" s="19" t="inlineStr">
        <is>
          <t>2</t>
        </is>
      </c>
      <c r="J235" t="inlineStr">
        <is>
          <t>2026-08-08</t>
        </is>
      </c>
      <c r="L235" s="19" t="inlineStr">
        <is>
          <t>1011157</t>
        </is>
      </c>
      <c r="M235" t="inlineStr">
        <is>
          <t>STATUS=IN OEM / EU PACKAGE; SOURCE_CFG=IA-ST-CFG-0182; MARKET=YURT İÇİ AFM</t>
        </is>
      </c>
      <c r="N235" t="inlineStr">
        <is>
          <t>2026-08-10T19:29:54Z</t>
        </is>
      </c>
      <c r="O235" t="inlineStr">
        <is>
          <t>2026-08-10T19:29:54Z</t>
        </is>
      </c>
    </row>
    <row r="236">
      <c r="A236" s="19" t="inlineStr">
        <is>
          <t>235</t>
        </is>
      </c>
      <c r="B236" s="19" t="inlineStr">
        <is>
          <t>1011158</t>
        </is>
      </c>
      <c r="C236" t="inlineStr">
        <is>
          <t>AKÜ,L3,DK,72AH,IGYASMF,İNCİFORMULA,İÇPYS</t>
        </is>
      </c>
      <c r="D236" s="19" t="inlineStr">
        <is>
          <t>1</t>
        </is>
      </c>
      <c r="E236" t="n">
        <v>0</v>
      </c>
      <c r="I236" s="19" t="inlineStr">
        <is>
          <t>2</t>
        </is>
      </c>
      <c r="J236" t="inlineStr">
        <is>
          <t>2026-08-08</t>
        </is>
      </c>
      <c r="L236" s="19" t="inlineStr">
        <is>
          <t>1011158</t>
        </is>
      </c>
      <c r="M236" t="inlineStr">
        <is>
          <t>STATUS=IN OEM / EU PACKAGE; SOURCE_CFG=IA-ST-CFG-0182; MARKET=YURT İÇİ AFM</t>
        </is>
      </c>
      <c r="N236" t="inlineStr">
        <is>
          <t>2026-08-10T19:29:54Z</t>
        </is>
      </c>
      <c r="O236" t="inlineStr">
        <is>
          <t>2026-08-10T19:29:54Z</t>
        </is>
      </c>
    </row>
    <row r="237">
      <c r="A237" s="19" t="inlineStr">
        <is>
          <t>236</t>
        </is>
      </c>
      <c r="B237" s="19" t="inlineStr">
        <is>
          <t>1011159</t>
        </is>
      </c>
      <c r="C237" t="inlineStr">
        <is>
          <t>AKÜ,L3,TK,72AH,IGYASMF,İNCİFORMULA,İÇPYS</t>
        </is>
      </c>
      <c r="D237" s="19" t="inlineStr">
        <is>
          <t>1</t>
        </is>
      </c>
      <c r="E237" t="n">
        <v>0</v>
      </c>
      <c r="I237" s="19" t="inlineStr">
        <is>
          <t>2</t>
        </is>
      </c>
      <c r="J237" t="inlineStr">
        <is>
          <t>2026-08-08</t>
        </is>
      </c>
      <c r="L237" s="19" t="inlineStr">
        <is>
          <t>1011159</t>
        </is>
      </c>
      <c r="M237" t="inlineStr">
        <is>
          <t>STATUS=IN OEM / EU PACKAGE; SOURCE_CFG=IA-ST-CFG-0182; MARKET=YURT İÇİ AFM</t>
        </is>
      </c>
      <c r="N237" t="inlineStr">
        <is>
          <t>2026-08-10T19:29:54Z</t>
        </is>
      </c>
      <c r="O237" t="inlineStr">
        <is>
          <t>2026-08-10T19:29:54Z</t>
        </is>
      </c>
    </row>
    <row r="238">
      <c r="A238" s="19" t="inlineStr">
        <is>
          <t>237</t>
        </is>
      </c>
      <c r="B238" s="19" t="inlineStr">
        <is>
          <t>1011160</t>
        </is>
      </c>
      <c r="C238" t="inlineStr">
        <is>
          <t>AKÜ,L5,DK,92AH,IGYASMF,İNCİFORMULA,İÇPYS</t>
        </is>
      </c>
      <c r="D238" s="19" t="inlineStr">
        <is>
          <t>1</t>
        </is>
      </c>
      <c r="E238" t="n">
        <v>0</v>
      </c>
      <c r="I238" s="19" t="inlineStr">
        <is>
          <t>2</t>
        </is>
      </c>
      <c r="J238" t="inlineStr">
        <is>
          <t>2026-08-08</t>
        </is>
      </c>
      <c r="L238" s="19" t="inlineStr">
        <is>
          <t>1011160</t>
        </is>
      </c>
      <c r="M238" t="inlineStr">
        <is>
          <t>STATUS=IN OEM / EU PACKAGE; SOURCE_CFG=IA-ST-CFG-0098; MARKET=YURT İÇİ AFM</t>
        </is>
      </c>
      <c r="N238" t="inlineStr">
        <is>
          <t>2026-08-10T19:29:54Z</t>
        </is>
      </c>
      <c r="O238" t="inlineStr">
        <is>
          <t>2026-08-10T19:29:54Z</t>
        </is>
      </c>
    </row>
    <row r="239">
      <c r="A239" s="19" t="inlineStr">
        <is>
          <t>238</t>
        </is>
      </c>
      <c r="B239" s="19" t="inlineStr">
        <is>
          <t>1011161</t>
        </is>
      </c>
      <c r="C239" t="inlineStr">
        <is>
          <t>AKÜ,LB1,DK50AH,IGYASMF,İNCİFORMULA,İÇPYS</t>
        </is>
      </c>
      <c r="D239" s="19" t="inlineStr">
        <is>
          <t>1</t>
        </is>
      </c>
      <c r="E239" t="n">
        <v>0</v>
      </c>
      <c r="I239" s="19" t="inlineStr">
        <is>
          <t>2</t>
        </is>
      </c>
      <c r="J239" t="inlineStr">
        <is>
          <t>2026-08-08</t>
        </is>
      </c>
      <c r="L239" s="19" t="inlineStr">
        <is>
          <t>1011161</t>
        </is>
      </c>
      <c r="M239" t="inlineStr">
        <is>
          <t>STATUS=IN OEM / EU PACKAGE; SOURCE_CFG=IA-ST-CFG-0251; MARKET=YURT İÇİ AFM</t>
        </is>
      </c>
      <c r="N239" t="inlineStr">
        <is>
          <t>2026-08-10T19:29:54Z</t>
        </is>
      </c>
      <c r="O239" t="inlineStr">
        <is>
          <t>2026-08-10T19:29:54Z</t>
        </is>
      </c>
    </row>
    <row r="240">
      <c r="A240" s="19" t="inlineStr">
        <is>
          <t>239</t>
        </is>
      </c>
      <c r="B240" s="19" t="inlineStr">
        <is>
          <t>1011163</t>
        </is>
      </c>
      <c r="C240" t="inlineStr">
        <is>
          <t>AKÜ,LB3,DK66AH,IGYASMF,İNCİFORMULA,İÇPYS</t>
        </is>
      </c>
      <c r="D240" s="19" t="inlineStr">
        <is>
          <t>1</t>
        </is>
      </c>
      <c r="E240" t="n">
        <v>0</v>
      </c>
      <c r="I240" s="19" t="inlineStr">
        <is>
          <t>2</t>
        </is>
      </c>
      <c r="J240" t="inlineStr">
        <is>
          <t>2026-08-08</t>
        </is>
      </c>
      <c r="L240" s="19" t="inlineStr">
        <is>
          <t>1011163</t>
        </is>
      </c>
      <c r="M240" t="inlineStr">
        <is>
          <t>STATUS=IN OEM / EU PACKAGE; SOURCE_CFG=IA-ST-CFG-0181; MARKET=YURT İÇİ AFM</t>
        </is>
      </c>
      <c r="N240" t="inlineStr">
        <is>
          <t>2026-08-10T19:29:54Z</t>
        </is>
      </c>
      <c r="O240" t="inlineStr">
        <is>
          <t>2026-08-10T19:29:54Z</t>
        </is>
      </c>
    </row>
    <row r="241">
      <c r="A241" s="19" t="inlineStr">
        <is>
          <t>240</t>
        </is>
      </c>
      <c r="B241" s="19" t="inlineStr">
        <is>
          <t>1011164</t>
        </is>
      </c>
      <c r="C241" t="inlineStr">
        <is>
          <t>AKÜ,LB4,DK82AH,IGYASMF,İNCİFORMULA,İÇPYS</t>
        </is>
      </c>
      <c r="D241" s="19" t="inlineStr">
        <is>
          <t>1</t>
        </is>
      </c>
      <c r="E241" t="n">
        <v>0</v>
      </c>
      <c r="I241" s="19" t="inlineStr">
        <is>
          <t>2</t>
        </is>
      </c>
      <c r="J241" t="inlineStr">
        <is>
          <t>2026-08-08</t>
        </is>
      </c>
      <c r="L241" s="19" t="inlineStr">
        <is>
          <t>1011164</t>
        </is>
      </c>
      <c r="M241" t="inlineStr">
        <is>
          <t>STATUS=IN OEM / EU PACKAGE; SOURCE_CFG=IA-ST-CFG-0233; MARKET=YURT İÇİ AFM</t>
        </is>
      </c>
      <c r="N241" t="inlineStr">
        <is>
          <t>2026-08-10T19:29:54Z</t>
        </is>
      </c>
      <c r="O241" t="inlineStr">
        <is>
          <t>2026-08-10T19:29:54Z</t>
        </is>
      </c>
    </row>
    <row r="242">
      <c r="A242" s="19" t="inlineStr">
        <is>
          <t>241</t>
        </is>
      </c>
      <c r="B242" s="19" t="inlineStr">
        <is>
          <t>1011165</t>
        </is>
      </c>
      <c r="C242" t="inlineStr">
        <is>
          <t>AKÜ,NS60,TK45AH,IGYSMF,İNCİFORMULA,İÇPYS</t>
        </is>
      </c>
      <c r="D242" s="19" t="inlineStr">
        <is>
          <t>1</t>
        </is>
      </c>
      <c r="E242" t="n">
        <v>0</v>
      </c>
      <c r="I242" s="19" t="inlineStr">
        <is>
          <t>2</t>
        </is>
      </c>
      <c r="J242" t="inlineStr">
        <is>
          <t>2026-08-08</t>
        </is>
      </c>
      <c r="L242" s="19" t="inlineStr">
        <is>
          <t>1011165</t>
        </is>
      </c>
      <c r="M242" t="inlineStr">
        <is>
          <t>STATUS=IN OEM / EU PACKAGE; SOURCE_CFG=IA-ST-CFG-0273; MARKET=YURT İÇİ AFM</t>
        </is>
      </c>
      <c r="N242" t="inlineStr">
        <is>
          <t>2026-08-10T19:29:54Z</t>
        </is>
      </c>
      <c r="O242" t="inlineStr">
        <is>
          <t>2026-08-10T19:29:54Z</t>
        </is>
      </c>
    </row>
    <row r="243">
      <c r="A243" s="19" t="inlineStr">
        <is>
          <t>242</t>
        </is>
      </c>
      <c r="B243" s="19" t="inlineStr">
        <is>
          <t>1011166</t>
        </is>
      </c>
      <c r="C243" t="inlineStr">
        <is>
          <t>AKÜ,NS60,DK45AH,IGYSMF,İNCİFORMULA,İÇPYS</t>
        </is>
      </c>
      <c r="D243" s="19" t="inlineStr">
        <is>
          <t>1</t>
        </is>
      </c>
      <c r="E243" t="n">
        <v>0</v>
      </c>
      <c r="I243" s="19" t="inlineStr">
        <is>
          <t>2</t>
        </is>
      </c>
      <c r="J243" t="inlineStr">
        <is>
          <t>2026-08-08</t>
        </is>
      </c>
      <c r="L243" s="19" t="inlineStr">
        <is>
          <t>1011166</t>
        </is>
      </c>
      <c r="M243" t="inlineStr">
        <is>
          <t>STATUS=IN OEM / EU PACKAGE; SOURCE_CFG=IA-ST-CFG-0273; MARKET=YURT İÇİ AFM</t>
        </is>
      </c>
      <c r="N243" t="inlineStr">
        <is>
          <t>2026-08-10T19:29:54Z</t>
        </is>
      </c>
      <c r="O243" t="inlineStr">
        <is>
          <t>2026-08-10T19:29:54Z</t>
        </is>
      </c>
    </row>
    <row r="244">
      <c r="A244" s="19" t="inlineStr">
        <is>
          <t>243</t>
        </is>
      </c>
      <c r="B244" s="19" t="inlineStr">
        <is>
          <t>1011167</t>
        </is>
      </c>
      <c r="C244" t="inlineStr">
        <is>
          <t>AKÜ,D23,DK,68AH,IGYASMF,İNCİMAXIMA,İÇPYS</t>
        </is>
      </c>
      <c r="D244" s="19" t="inlineStr">
        <is>
          <t>1</t>
        </is>
      </c>
      <c r="E244" t="n">
        <v>0</v>
      </c>
      <c r="I244" s="19" t="inlineStr">
        <is>
          <t>2</t>
        </is>
      </c>
      <c r="J244" t="inlineStr">
        <is>
          <t>2026-08-08</t>
        </is>
      </c>
      <c r="L244" s="19" t="inlineStr">
        <is>
          <t>1011167</t>
        </is>
      </c>
      <c r="M244" t="inlineStr">
        <is>
          <t>STATUS=IN OEM / EU PACKAGE; SOURCE_CFG=IA-ST-CFG-0224; MARKET=YURT İÇİ AFM</t>
        </is>
      </c>
      <c r="N244" t="inlineStr">
        <is>
          <t>2026-08-10T19:29:54Z</t>
        </is>
      </c>
      <c r="O244" t="inlineStr">
        <is>
          <t>2026-08-10T19:29:54Z</t>
        </is>
      </c>
    </row>
    <row r="245">
      <c r="A245" s="19" t="inlineStr">
        <is>
          <t>244</t>
        </is>
      </c>
      <c r="B245" s="19" t="inlineStr">
        <is>
          <t>1011168</t>
        </is>
      </c>
      <c r="C245" t="inlineStr">
        <is>
          <t>AKÜ,D26,DK,80AH,IGYASMF,İNCİMAXIMA,İÇPYS</t>
        </is>
      </c>
      <c r="D245" s="19" t="inlineStr">
        <is>
          <t>1</t>
        </is>
      </c>
      <c r="E245" t="n">
        <v>0</v>
      </c>
      <c r="I245" s="19" t="inlineStr">
        <is>
          <t>2</t>
        </is>
      </c>
      <c r="J245" t="inlineStr">
        <is>
          <t>2026-08-08</t>
        </is>
      </c>
      <c r="L245" s="19" t="inlineStr">
        <is>
          <t>1011168</t>
        </is>
      </c>
      <c r="M245" t="inlineStr">
        <is>
          <t>STATUS=IN OEM / EU PACKAGE; SOURCE_CFG=IA-ST-CFG-0176; MARKET=YURT İÇİ AFM</t>
        </is>
      </c>
      <c r="N245" t="inlineStr">
        <is>
          <t>2026-08-10T19:29:54Z</t>
        </is>
      </c>
      <c r="O245" t="inlineStr">
        <is>
          <t>2026-08-10T19:29:54Z</t>
        </is>
      </c>
    </row>
    <row r="246">
      <c r="A246" s="19" t="inlineStr">
        <is>
          <t>245</t>
        </is>
      </c>
      <c r="B246" s="19" t="inlineStr">
        <is>
          <t>1011169</t>
        </is>
      </c>
      <c r="C246" t="inlineStr">
        <is>
          <t>AKÜ,D31,DK100AH,IGYASMF,İNCİMAXIMA,İÇPYS</t>
        </is>
      </c>
      <c r="D246" s="19" t="inlineStr">
        <is>
          <t>1</t>
        </is>
      </c>
      <c r="E246" t="n">
        <v>0</v>
      </c>
      <c r="I246" s="19" t="inlineStr">
        <is>
          <t>2</t>
        </is>
      </c>
      <c r="J246" t="inlineStr">
        <is>
          <t>2026-08-08</t>
        </is>
      </c>
      <c r="L246" s="19" t="inlineStr">
        <is>
          <t>1011169</t>
        </is>
      </c>
      <c r="M246" t="inlineStr">
        <is>
          <t>STATUS=IN OEM / EU PACKAGE; SOURCE_CFG=IA-ST-CFG-0145; MARKET=YURT İÇİ AFM</t>
        </is>
      </c>
      <c r="N246" t="inlineStr">
        <is>
          <t>2026-08-10T19:29:54Z</t>
        </is>
      </c>
      <c r="O246" t="inlineStr">
        <is>
          <t>2026-08-10T19:29:54Z</t>
        </is>
      </c>
    </row>
    <row r="247">
      <c r="A247" s="19" t="inlineStr">
        <is>
          <t>246</t>
        </is>
      </c>
      <c r="B247" s="19" t="inlineStr">
        <is>
          <t>1011170</t>
        </is>
      </c>
      <c r="C247" t="inlineStr">
        <is>
          <t>AKÜ,L1,DK,54AH,IGYASMF,İNCİ MAXIMA,İÇPYS</t>
        </is>
      </c>
      <c r="D247" s="19" t="inlineStr">
        <is>
          <t>1</t>
        </is>
      </c>
      <c r="E247" t="n">
        <v>0</v>
      </c>
      <c r="I247" s="19" t="inlineStr">
        <is>
          <t>2</t>
        </is>
      </c>
      <c r="J247" t="inlineStr">
        <is>
          <t>2026-08-08</t>
        </is>
      </c>
      <c r="L247" s="19" t="inlineStr">
        <is>
          <t>1011170</t>
        </is>
      </c>
      <c r="M247" t="inlineStr">
        <is>
          <t>STATUS=IN OEM / EU PACKAGE; SOURCE_CFG=IA-ST-CFG-0252; MARKET=YURT İÇİ AFM</t>
        </is>
      </c>
      <c r="N247" t="inlineStr">
        <is>
          <t>2026-08-10T19:29:54Z</t>
        </is>
      </c>
      <c r="O247" t="inlineStr">
        <is>
          <t>2026-08-10T19:29:54Z</t>
        </is>
      </c>
    </row>
    <row r="248">
      <c r="A248" s="19" t="inlineStr">
        <is>
          <t>247</t>
        </is>
      </c>
      <c r="B248" s="19" t="inlineStr">
        <is>
          <t>1011171</t>
        </is>
      </c>
      <c r="C248" t="inlineStr">
        <is>
          <t>AKÜ,LB1,DK,52AH,IGYASMF,İNCİMAXIMA,İÇPYS</t>
        </is>
      </c>
      <c r="D248" s="19" t="inlineStr">
        <is>
          <t>1</t>
        </is>
      </c>
      <c r="E248" t="n">
        <v>0</v>
      </c>
      <c r="I248" s="19" t="inlineStr">
        <is>
          <t>2</t>
        </is>
      </c>
      <c r="J248" t="inlineStr">
        <is>
          <t>2026-08-08</t>
        </is>
      </c>
      <c r="L248" s="19" t="inlineStr">
        <is>
          <t>1011171</t>
        </is>
      </c>
      <c r="M248" t="inlineStr">
        <is>
          <t>STATUS=IN OEM / EU PACKAGE; SOURCE_CFG=IA-ST-CFG-0252; MARKET=YURT İÇİ AFM</t>
        </is>
      </c>
      <c r="N248" t="inlineStr">
        <is>
          <t>2026-08-10T19:29:54Z</t>
        </is>
      </c>
      <c r="O248" t="inlineStr">
        <is>
          <t>2026-08-10T19:29:54Z</t>
        </is>
      </c>
    </row>
    <row r="249">
      <c r="A249" s="19" t="inlineStr">
        <is>
          <t>248</t>
        </is>
      </c>
      <c r="B249" s="19" t="inlineStr">
        <is>
          <t>1011172</t>
        </is>
      </c>
      <c r="C249" t="inlineStr">
        <is>
          <t>AKÜ,L2,65AH,DK,IGYASMF,İNCİ MAXIMA,İÇPYS</t>
        </is>
      </c>
      <c r="D249" s="19" t="inlineStr">
        <is>
          <t>1</t>
        </is>
      </c>
      <c r="E249" t="n">
        <v>0</v>
      </c>
      <c r="I249" s="19" t="inlineStr">
        <is>
          <t>2</t>
        </is>
      </c>
      <c r="J249" t="inlineStr">
        <is>
          <t>2026-08-08</t>
        </is>
      </c>
      <c r="L249" s="19" t="inlineStr">
        <is>
          <t>1011172</t>
        </is>
      </c>
      <c r="M249" t="inlineStr">
        <is>
          <t>STATUS=IN OEM / EU PACKAGE; SOURCE_CFG=IA-ST-CFG-0227; MARKET=YURT İÇİ AFM</t>
        </is>
      </c>
      <c r="N249" t="inlineStr">
        <is>
          <t>2026-08-10T19:29:54Z</t>
        </is>
      </c>
      <c r="O249" t="inlineStr">
        <is>
          <t>2026-08-10T19:29:54Z</t>
        </is>
      </c>
    </row>
    <row r="250">
      <c r="A250" s="19" t="inlineStr">
        <is>
          <t>249</t>
        </is>
      </c>
      <c r="B250" s="19" t="inlineStr">
        <is>
          <t>1011173</t>
        </is>
      </c>
      <c r="C250" t="inlineStr">
        <is>
          <t>AKÜ,LB2,DK,60AH,IGYASMF,İNCİMAXIMA,İÇPYS</t>
        </is>
      </c>
      <c r="D250" s="19" t="inlineStr">
        <is>
          <t>1</t>
        </is>
      </c>
      <c r="E250" t="n">
        <v>0</v>
      </c>
      <c r="I250" s="19" t="inlineStr">
        <is>
          <t>2</t>
        </is>
      </c>
      <c r="J250" t="inlineStr">
        <is>
          <t>2026-08-08</t>
        </is>
      </c>
      <c r="L250" s="19" t="inlineStr">
        <is>
          <t>1011173</t>
        </is>
      </c>
      <c r="M250" t="inlineStr">
        <is>
          <t>STATUS=IN OEM / EU PACKAGE; SOURCE_CFG=IA-ST-CFG-0227; MARKET=YURT İÇİ AFM</t>
        </is>
      </c>
      <c r="N250" t="inlineStr">
        <is>
          <t>2026-08-10T19:29:54Z</t>
        </is>
      </c>
      <c r="O250" t="inlineStr">
        <is>
          <t>2026-08-10T19:29:54Z</t>
        </is>
      </c>
    </row>
    <row r="251">
      <c r="A251" s="19" t="inlineStr">
        <is>
          <t>250</t>
        </is>
      </c>
      <c r="B251" s="19" t="inlineStr">
        <is>
          <t>1011174</t>
        </is>
      </c>
      <c r="C251" t="inlineStr">
        <is>
          <t>AKÜ,L3,DK,80AH,IGYASMF,İNCİ MAXIMA,İÇPYS</t>
        </is>
      </c>
      <c r="D251" s="19" t="inlineStr">
        <is>
          <t>1</t>
        </is>
      </c>
      <c r="E251" t="n">
        <v>0</v>
      </c>
      <c r="I251" s="19" t="inlineStr">
        <is>
          <t>2</t>
        </is>
      </c>
      <c r="J251" t="inlineStr">
        <is>
          <t>2026-08-08</t>
        </is>
      </c>
      <c r="L251" s="19" t="inlineStr">
        <is>
          <t>1011174</t>
        </is>
      </c>
      <c r="M251" t="inlineStr">
        <is>
          <t>STATUS=IN OEM / EU PACKAGE; SOURCE_CFG=IA-ST-CFG-0182; MARKET=YURT İÇİ AFM</t>
        </is>
      </c>
      <c r="N251" t="inlineStr">
        <is>
          <t>2026-08-10T19:29:54Z</t>
        </is>
      </c>
      <c r="O251" t="inlineStr">
        <is>
          <t>2026-08-10T19:29:54Z</t>
        </is>
      </c>
    </row>
    <row r="252">
      <c r="A252" s="19" t="inlineStr">
        <is>
          <t>251</t>
        </is>
      </c>
      <c r="B252" s="19" t="inlineStr">
        <is>
          <t>1011175</t>
        </is>
      </c>
      <c r="C252" t="inlineStr">
        <is>
          <t>AKÜ,L3,DK,80AH,IGYASMF,İNCİ MAXIMA,İÇPYS</t>
        </is>
      </c>
      <c r="D252" s="19" t="inlineStr">
        <is>
          <t>1</t>
        </is>
      </c>
      <c r="E252" t="n">
        <v>0</v>
      </c>
      <c r="I252" s="19" t="inlineStr">
        <is>
          <t>2</t>
        </is>
      </c>
      <c r="J252" t="inlineStr">
        <is>
          <t>2026-08-08</t>
        </is>
      </c>
      <c r="L252" s="19" t="inlineStr">
        <is>
          <t>1011175</t>
        </is>
      </c>
      <c r="M252" t="inlineStr">
        <is>
          <t>STATUS=IN OEM / EU PACKAGE; SOURCE_CFG=IA-ST-CFG-0182; MARKET=YURT İÇİ AFM</t>
        </is>
      </c>
      <c r="N252" t="inlineStr">
        <is>
          <t>2026-08-10T19:29:54Z</t>
        </is>
      </c>
      <c r="O252" t="inlineStr">
        <is>
          <t>2026-08-10T19:29:54Z</t>
        </is>
      </c>
    </row>
    <row r="253">
      <c r="A253" s="19" t="inlineStr">
        <is>
          <t>252</t>
        </is>
      </c>
      <c r="B253" s="19" t="inlineStr">
        <is>
          <t>1011176</t>
        </is>
      </c>
      <c r="C253" t="inlineStr">
        <is>
          <t>AKÜ,LB3,DK,72AH,IGYASMF,İNCİMAXIMA,İÇPYS</t>
        </is>
      </c>
      <c r="D253" s="19" t="inlineStr">
        <is>
          <t>1</t>
        </is>
      </c>
      <c r="E253" t="n">
        <v>0</v>
      </c>
      <c r="I253" s="19" t="inlineStr">
        <is>
          <t>2</t>
        </is>
      </c>
      <c r="J253" t="inlineStr">
        <is>
          <t>2026-08-08</t>
        </is>
      </c>
      <c r="L253" s="19" t="inlineStr">
        <is>
          <t>1011176</t>
        </is>
      </c>
      <c r="M253" t="inlineStr">
        <is>
          <t>STATUS=IN OEM / EU PACKAGE; SOURCE_CFG=IA-ST-CFG-0181; MARKET=YURT İÇİ AFM</t>
        </is>
      </c>
      <c r="N253" t="inlineStr">
        <is>
          <t>2026-08-10T19:29:54Z</t>
        </is>
      </c>
      <c r="O253" t="inlineStr">
        <is>
          <t>2026-08-10T19:29:54Z</t>
        </is>
      </c>
    </row>
    <row r="254">
      <c r="A254" s="19" t="inlineStr">
        <is>
          <t>253</t>
        </is>
      </c>
      <c r="B254" s="19" t="inlineStr">
        <is>
          <t>1011177</t>
        </is>
      </c>
      <c r="C254" t="inlineStr">
        <is>
          <t>AKÜ,L4,TK,90AH,IGYASMF,İNCİ MAXIMA,İÇPYS</t>
        </is>
      </c>
      <c r="D254" s="19" t="inlineStr">
        <is>
          <t>1</t>
        </is>
      </c>
      <c r="E254" t="n">
        <v>0</v>
      </c>
      <c r="I254" s="19" t="inlineStr">
        <is>
          <t>2</t>
        </is>
      </c>
      <c r="J254" t="inlineStr">
        <is>
          <t>2026-08-08</t>
        </is>
      </c>
      <c r="L254" s="19" t="inlineStr">
        <is>
          <t>1011177</t>
        </is>
      </c>
      <c r="M254" t="inlineStr">
        <is>
          <t>STATUS=IN OEM / EU PACKAGE; SOURCE_CFG=IA-ST-CFG-0233; MARKET=YURT İÇİ AFM</t>
        </is>
      </c>
      <c r="N254" t="inlineStr">
        <is>
          <t>2026-08-10T19:29:54Z</t>
        </is>
      </c>
      <c r="O254" t="inlineStr">
        <is>
          <t>2026-08-10T19:29:54Z</t>
        </is>
      </c>
    </row>
    <row r="255">
      <c r="A255" s="19" t="inlineStr">
        <is>
          <t>254</t>
        </is>
      </c>
      <c r="B255" s="19" t="inlineStr">
        <is>
          <t>1011178</t>
        </is>
      </c>
      <c r="C255" t="inlineStr">
        <is>
          <t>AKÜ,LB4,DK,85AH,IGYASMF,İNCİMAXIMA,İÇPYS</t>
        </is>
      </c>
      <c r="D255" s="19" t="inlineStr">
        <is>
          <t>1</t>
        </is>
      </c>
      <c r="E255" t="n">
        <v>0</v>
      </c>
      <c r="I255" s="19" t="inlineStr">
        <is>
          <t>2</t>
        </is>
      </c>
      <c r="J255" t="inlineStr">
        <is>
          <t>2026-08-08</t>
        </is>
      </c>
      <c r="L255" s="19" t="inlineStr">
        <is>
          <t>1011178</t>
        </is>
      </c>
      <c r="M255" t="inlineStr">
        <is>
          <t>STATUS=IN OEM / EU PACKAGE; SOURCE_CFG=IA-ST-CFG-0233; MARKET=YURT İÇİ AFM</t>
        </is>
      </c>
      <c r="N255" t="inlineStr">
        <is>
          <t>2026-08-10T19:29:54Z</t>
        </is>
      </c>
      <c r="O255" t="inlineStr">
        <is>
          <t>2026-08-10T19:29:54Z</t>
        </is>
      </c>
    </row>
    <row r="256">
      <c r="A256" s="19" t="inlineStr">
        <is>
          <t>255</t>
        </is>
      </c>
      <c r="B256" s="19" t="inlineStr">
        <is>
          <t>1011180</t>
        </is>
      </c>
      <c r="C256" t="inlineStr">
        <is>
          <t>AKÜ,NS40,DK,42AH,IGYSMF,İNCİMAXIMA,İÇPYS</t>
        </is>
      </c>
      <c r="D256" s="19" t="inlineStr">
        <is>
          <t>1</t>
        </is>
      </c>
      <c r="E256" t="n">
        <v>0</v>
      </c>
      <c r="I256" s="19" t="inlineStr">
        <is>
          <t>2</t>
        </is>
      </c>
      <c r="J256" t="inlineStr">
        <is>
          <t>2026-08-08</t>
        </is>
      </c>
      <c r="L256" s="19" t="inlineStr">
        <is>
          <t>1011180</t>
        </is>
      </c>
      <c r="M256" t="inlineStr">
        <is>
          <t>STATUS=IN OEM / EU PACKAGE; SOURCE_CFG=IA-ST-CFG-0285; MARKET=YURT İÇİ AFM</t>
        </is>
      </c>
      <c r="N256" t="inlineStr">
        <is>
          <t>2026-08-10T19:29:54Z</t>
        </is>
      </c>
      <c r="O256" t="inlineStr">
        <is>
          <t>2026-08-10T19:29:54Z</t>
        </is>
      </c>
    </row>
    <row r="257">
      <c r="A257" s="19" t="inlineStr">
        <is>
          <t>256</t>
        </is>
      </c>
      <c r="B257" s="19" t="inlineStr">
        <is>
          <t>1011181</t>
        </is>
      </c>
      <c r="C257" t="inlineStr">
        <is>
          <t>AKÜ,NS60,DK,55AH,IGYSMF,İNCİMAXIMA,İÇPYS</t>
        </is>
      </c>
      <c r="D257" s="19" t="inlineStr">
        <is>
          <t>1</t>
        </is>
      </c>
      <c r="E257" t="n">
        <v>0</v>
      </c>
      <c r="I257" s="19" t="inlineStr">
        <is>
          <t>2</t>
        </is>
      </c>
      <c r="J257" t="inlineStr">
        <is>
          <t>2026-08-08</t>
        </is>
      </c>
      <c r="L257" s="19" t="inlineStr">
        <is>
          <t>1011181</t>
        </is>
      </c>
      <c r="M257" t="inlineStr">
        <is>
          <t>STATUS=IN OEM / EU PACKAGE; SOURCE_CFG=IA-ST-CFG-0273; MARKET=YURT İÇİ AFM</t>
        </is>
      </c>
      <c r="N257" t="inlineStr">
        <is>
          <t>2026-08-10T19:29:54Z</t>
        </is>
      </c>
      <c r="O257" t="inlineStr">
        <is>
          <t>2026-08-10T19:29:54Z</t>
        </is>
      </c>
    </row>
    <row r="258">
      <c r="A258" s="19" t="inlineStr">
        <is>
          <t>257</t>
        </is>
      </c>
      <c r="B258" s="19" t="inlineStr">
        <is>
          <t>1011184</t>
        </is>
      </c>
      <c r="C258" t="inlineStr">
        <is>
          <t>AKÜ,L2,DK,60AH,IGYASMF,İNCİ EFBS&amp;S,İÇPYS</t>
        </is>
      </c>
      <c r="D258" s="19" t="inlineStr">
        <is>
          <t>1</t>
        </is>
      </c>
      <c r="E258" t="n">
        <v>0</v>
      </c>
      <c r="I258" s="19" t="inlineStr">
        <is>
          <t>2</t>
        </is>
      </c>
      <c r="J258" t="inlineStr">
        <is>
          <t>2026-08-08</t>
        </is>
      </c>
      <c r="L258" s="19" t="inlineStr">
        <is>
          <t>1011184</t>
        </is>
      </c>
      <c r="M258" t="inlineStr">
        <is>
          <t>STATUS=IN OEM / EU PACKAGE; SOURCE_CFG=IA-ST-CFG-0257; MARKET=YURT İÇİ AFM</t>
        </is>
      </c>
      <c r="N258" t="inlineStr">
        <is>
          <t>2026-08-10T19:29:54Z</t>
        </is>
      </c>
      <c r="O258" t="inlineStr">
        <is>
          <t>2026-08-10T19:29:54Z</t>
        </is>
      </c>
    </row>
    <row r="259">
      <c r="A259" s="19" t="inlineStr">
        <is>
          <t>258</t>
        </is>
      </c>
      <c r="B259" s="19" t="inlineStr">
        <is>
          <t>1011186</t>
        </is>
      </c>
      <c r="C259" t="inlineStr">
        <is>
          <t>AKÜ,LB3,DK,65AH,IGYASMF,İNCİEFBS&amp;S,İÇPYS</t>
        </is>
      </c>
      <c r="D259" s="19" t="inlineStr">
        <is>
          <t>1</t>
        </is>
      </c>
      <c r="E259" t="n">
        <v>0</v>
      </c>
      <c r="I259" s="19" t="inlineStr">
        <is>
          <t>2</t>
        </is>
      </c>
      <c r="J259" t="inlineStr">
        <is>
          <t>2026-08-08</t>
        </is>
      </c>
      <c r="L259" s="19" t="inlineStr">
        <is>
          <t>1011186</t>
        </is>
      </c>
      <c r="M259" t="inlineStr">
        <is>
          <t>STATUS=IN OEM / EU PACKAGE; SOURCE_CFG=IA-ST-CFG-0211; MARKET=YURT İÇİ AFM</t>
        </is>
      </c>
      <c r="N259" t="inlineStr">
        <is>
          <t>2026-08-10T19:29:54Z</t>
        </is>
      </c>
      <c r="O259" t="inlineStr">
        <is>
          <t>2026-08-10T19:29:54Z</t>
        </is>
      </c>
    </row>
    <row r="260">
      <c r="A260" s="19" t="inlineStr">
        <is>
          <t>259</t>
        </is>
      </c>
      <c r="B260" s="19" t="inlineStr">
        <is>
          <t>1011187</t>
        </is>
      </c>
      <c r="C260" t="inlineStr">
        <is>
          <t>AKÜ,L3,DK,72AH,IGYASMF,İNCİ EFBS&amp;S,İÇPYS</t>
        </is>
      </c>
      <c r="D260" s="19" t="inlineStr">
        <is>
          <t>1</t>
        </is>
      </c>
      <c r="E260" t="n">
        <v>0</v>
      </c>
      <c r="I260" s="19" t="inlineStr">
        <is>
          <t>2</t>
        </is>
      </c>
      <c r="J260" t="inlineStr">
        <is>
          <t>2026-08-08</t>
        </is>
      </c>
      <c r="L260" s="19" t="inlineStr">
        <is>
          <t>1011187</t>
        </is>
      </c>
      <c r="M260" t="inlineStr">
        <is>
          <t>STATUS=IN OEM / EU PACKAGE; SOURCE_CFG=IA-ST-CFG-0212; MARKET=YURT İÇİ AFM</t>
        </is>
      </c>
      <c r="N260" t="inlineStr">
        <is>
          <t>2026-08-10T19:29:54Z</t>
        </is>
      </c>
      <c r="O260" t="inlineStr">
        <is>
          <t>2026-08-10T19:29:54Z</t>
        </is>
      </c>
    </row>
    <row r="261">
      <c r="A261" s="19" t="inlineStr">
        <is>
          <t>260</t>
        </is>
      </c>
      <c r="B261" s="19" t="inlineStr">
        <is>
          <t>1011188</t>
        </is>
      </c>
      <c r="C261" t="inlineStr">
        <is>
          <t>AKÜ,LB4,DK,75AH,IGYASMF,İNCİEFBS&amp;S,İÇPYS</t>
        </is>
      </c>
      <c r="D261" s="19" t="inlineStr">
        <is>
          <t>1</t>
        </is>
      </c>
      <c r="E261" t="n">
        <v>0</v>
      </c>
      <c r="I261" s="19" t="inlineStr">
        <is>
          <t>2</t>
        </is>
      </c>
      <c r="J261" t="inlineStr">
        <is>
          <t>2026-08-08</t>
        </is>
      </c>
      <c r="L261" s="19" t="inlineStr">
        <is>
          <t>1011188</t>
        </is>
      </c>
      <c r="M261" t="inlineStr">
        <is>
          <t>STATUS=IN OEM / EU PACKAGE; SOURCE_CFG=IA-ST-CFG-0196; MARKET=YURT İÇİ AFM</t>
        </is>
      </c>
      <c r="N261" t="inlineStr">
        <is>
          <t>2026-08-10T19:29:54Z</t>
        </is>
      </c>
      <c r="O261" t="inlineStr">
        <is>
          <t>2026-08-10T19:29:54Z</t>
        </is>
      </c>
    </row>
    <row r="262">
      <c r="A262" s="19" t="inlineStr">
        <is>
          <t>261</t>
        </is>
      </c>
      <c r="B262" s="19" t="inlineStr">
        <is>
          <t>1011189</t>
        </is>
      </c>
      <c r="C262" t="inlineStr">
        <is>
          <t>AKÜ,L4,DK,80AH,IGYASMF,İNCİ EFBS&amp;S,İÇPYS</t>
        </is>
      </c>
      <c r="D262" s="19" t="inlineStr">
        <is>
          <t>1</t>
        </is>
      </c>
      <c r="E262" t="n">
        <v>0</v>
      </c>
      <c r="I262" s="19" t="inlineStr">
        <is>
          <t>2</t>
        </is>
      </c>
      <c r="J262" t="inlineStr">
        <is>
          <t>2026-08-08</t>
        </is>
      </c>
      <c r="L262" s="19" t="inlineStr">
        <is>
          <t>1011189</t>
        </is>
      </c>
      <c r="M262" t="inlineStr">
        <is>
          <t>STATUS=IN OEM / EU PACKAGE; SOURCE_CFG=IA-ST-CFG-0197; MARKET=YURT İÇİ AFM</t>
        </is>
      </c>
      <c r="N262" t="inlineStr">
        <is>
          <t>2026-08-10T19:29:54Z</t>
        </is>
      </c>
      <c r="O262" t="inlineStr">
        <is>
          <t>2026-08-10T19:29:54Z</t>
        </is>
      </c>
    </row>
    <row r="263">
      <c r="A263" s="19" t="inlineStr">
        <is>
          <t>262</t>
        </is>
      </c>
      <c r="B263" s="19" t="inlineStr">
        <is>
          <t>1011191</t>
        </is>
      </c>
      <c r="C263" t="inlineStr">
        <is>
          <t>AKÜ,L5,DK,90AH,IGYSMF,İNCİEFBPANTR,İÇPYS</t>
        </is>
      </c>
      <c r="D263" s="19" t="inlineStr">
        <is>
          <t>1</t>
        </is>
      </c>
      <c r="E263" t="n">
        <v>0</v>
      </c>
      <c r="I263" s="19" t="inlineStr">
        <is>
          <t>2</t>
        </is>
      </c>
      <c r="J263" t="inlineStr">
        <is>
          <t>2026-08-08</t>
        </is>
      </c>
      <c r="L263" s="19" t="inlineStr">
        <is>
          <t>1011191</t>
        </is>
      </c>
      <c r="M263" t="inlineStr">
        <is>
          <t>STATUS=IN OEM / EU PACKAGE; SOURCE_CFG=IA-ST-CFG-0168; MARKET=YURT İÇİ AFM</t>
        </is>
      </c>
      <c r="N263" t="inlineStr">
        <is>
          <t>2026-08-10T19:29:54Z</t>
        </is>
      </c>
      <c r="O263" t="inlineStr">
        <is>
          <t>2026-08-10T19:29:54Z</t>
        </is>
      </c>
    </row>
    <row r="264">
      <c r="A264" s="19" t="inlineStr">
        <is>
          <t>263</t>
        </is>
      </c>
      <c r="B264" s="19" t="inlineStr">
        <is>
          <t>1011192</t>
        </is>
      </c>
      <c r="C264" t="inlineStr">
        <is>
          <t>AKÜ,L5,DK,90AH,IGYASMF,İNCİ MARINE,İÇPYS</t>
        </is>
      </c>
      <c r="D264" s="19" t="inlineStr">
        <is>
          <t>1</t>
        </is>
      </c>
      <c r="E264" t="n">
        <v>0</v>
      </c>
      <c r="I264" s="19" t="inlineStr">
        <is>
          <t>2</t>
        </is>
      </c>
      <c r="J264" t="inlineStr">
        <is>
          <t>2026-08-08</t>
        </is>
      </c>
      <c r="L264" s="19" t="inlineStr">
        <is>
          <t>1011192</t>
        </is>
      </c>
      <c r="M264" t="inlineStr">
        <is>
          <t>STATUS=IN OEM / EU PACKAGE; SOURCE_CFG=IA-ST-CFG-0098; MARKET=YURT İÇİ AFM</t>
        </is>
      </c>
      <c r="N264" t="inlineStr">
        <is>
          <t>2026-08-10T19:29:54Z</t>
        </is>
      </c>
      <c r="O264" t="inlineStr">
        <is>
          <t>2026-08-10T19:29:54Z</t>
        </is>
      </c>
    </row>
    <row r="265">
      <c r="A265" s="19" t="inlineStr">
        <is>
          <t>264</t>
        </is>
      </c>
      <c r="B265" s="19" t="inlineStr">
        <is>
          <t>1011193</t>
        </is>
      </c>
      <c r="C265" t="inlineStr">
        <is>
          <t>AKÜ,L2,DK,65AH,IGYASMF,İNCİ TAKSİ,İÇ PYS</t>
        </is>
      </c>
      <c r="D265" s="19" t="inlineStr">
        <is>
          <t>1</t>
        </is>
      </c>
      <c r="E265" t="n">
        <v>0</v>
      </c>
      <c r="I265" s="19" t="inlineStr">
        <is>
          <t>2</t>
        </is>
      </c>
      <c r="J265" t="inlineStr">
        <is>
          <t>2026-08-08</t>
        </is>
      </c>
      <c r="L265" s="19" t="inlineStr">
        <is>
          <t>1011193</t>
        </is>
      </c>
      <c r="M265" t="inlineStr">
        <is>
          <t>STATUS=IN OEM / EU PACKAGE; SOURCE_CFG=IA-ST-CFG-0227; MARKET=YURT İÇİ AFM</t>
        </is>
      </c>
      <c r="N265" t="inlineStr">
        <is>
          <t>2026-08-10T19:29:54Z</t>
        </is>
      </c>
      <c r="O265" t="inlineStr">
        <is>
          <t>2026-08-10T19:29:54Z</t>
        </is>
      </c>
    </row>
    <row r="266">
      <c r="A266" s="19" t="inlineStr">
        <is>
          <t>265</t>
        </is>
      </c>
      <c r="B266" s="19" t="inlineStr">
        <is>
          <t>1011194</t>
        </is>
      </c>
      <c r="C266" t="inlineStr">
        <is>
          <t>AKÜ,L3,DK,72AH,IGYASMF,İNCİ TAKSİ,İÇ PYS</t>
        </is>
      </c>
      <c r="D266" s="19" t="inlineStr">
        <is>
          <t>1</t>
        </is>
      </c>
      <c r="E266" t="n">
        <v>0</v>
      </c>
      <c r="I266" s="19" t="inlineStr">
        <is>
          <t>2</t>
        </is>
      </c>
      <c r="J266" t="inlineStr">
        <is>
          <t>2026-08-08</t>
        </is>
      </c>
      <c r="L266" s="19" t="inlineStr">
        <is>
          <t>1011194</t>
        </is>
      </c>
      <c r="M266" t="inlineStr">
        <is>
          <t>STATUS=IN OEM / EU PACKAGE; SOURCE_CFG=IA-ST-CFG-0182; MARKET=YURT İÇİ AFM</t>
        </is>
      </c>
      <c r="N266" t="inlineStr">
        <is>
          <t>2026-08-10T19:29:54Z</t>
        </is>
      </c>
      <c r="O266" t="inlineStr">
        <is>
          <t>2026-08-10T19:29:54Z</t>
        </is>
      </c>
    </row>
    <row r="267">
      <c r="A267" s="19" t="inlineStr">
        <is>
          <t>266</t>
        </is>
      </c>
      <c r="B267" s="19" t="inlineStr">
        <is>
          <t>1011195</t>
        </is>
      </c>
      <c r="C267" t="inlineStr">
        <is>
          <t>AKÜ,D26,DK,75AH,IGYASMF,EAS ACTIVA,İÇPYS</t>
        </is>
      </c>
      <c r="D267" s="19" t="inlineStr">
        <is>
          <t>1</t>
        </is>
      </c>
      <c r="E267" t="n">
        <v>0</v>
      </c>
      <c r="I267" s="19" t="inlineStr">
        <is>
          <t>2</t>
        </is>
      </c>
      <c r="J267" t="inlineStr">
        <is>
          <t>2026-08-08</t>
        </is>
      </c>
      <c r="L267" s="19" t="inlineStr">
        <is>
          <t>1011195</t>
        </is>
      </c>
      <c r="M267" t="inlineStr">
        <is>
          <t>STATUS=IN OEM / EU PACKAGE; SOURCE_CFG=IA-ST-CFG-0176; MARKET=YURT İÇİ AFM</t>
        </is>
      </c>
      <c r="N267" t="inlineStr">
        <is>
          <t>2026-08-10T19:29:54Z</t>
        </is>
      </c>
      <c r="O267" t="inlineStr">
        <is>
          <t>2026-08-10T19:29:54Z</t>
        </is>
      </c>
    </row>
    <row r="268">
      <c r="A268" s="19" t="inlineStr">
        <is>
          <t>267</t>
        </is>
      </c>
      <c r="B268" s="19" t="inlineStr">
        <is>
          <t>1011196</t>
        </is>
      </c>
      <c r="C268" t="inlineStr">
        <is>
          <t>AKÜ,D31,DK,90AH,IGYASMF,EAS ACTIVA,İÇPYS</t>
        </is>
      </c>
      <c r="D268" s="19" t="inlineStr">
        <is>
          <t>1</t>
        </is>
      </c>
      <c r="E268" t="n">
        <v>0</v>
      </c>
      <c r="I268" s="19" t="inlineStr">
        <is>
          <t>2</t>
        </is>
      </c>
      <c r="J268" t="inlineStr">
        <is>
          <t>2026-08-08</t>
        </is>
      </c>
      <c r="L268" s="19" t="inlineStr">
        <is>
          <t>1011196</t>
        </is>
      </c>
      <c r="M268" t="inlineStr">
        <is>
          <t>STATUS=IN OEM / EU PACKAGE; SOURCE_CFG=IA-ST-CFG-0145; MARKET=YURT İÇİ AFM</t>
        </is>
      </c>
      <c r="N268" t="inlineStr">
        <is>
          <t>2026-08-10T19:29:54Z</t>
        </is>
      </c>
      <c r="O268" t="inlineStr">
        <is>
          <t>2026-08-10T19:29:54Z</t>
        </is>
      </c>
    </row>
    <row r="269">
      <c r="A269" s="19" t="inlineStr">
        <is>
          <t>268</t>
        </is>
      </c>
      <c r="B269" s="19" t="inlineStr">
        <is>
          <t>1011197</t>
        </is>
      </c>
      <c r="C269" t="inlineStr">
        <is>
          <t>AKÜ,D31,TK,90AH,IGYASMF,EAS ACTIVA,İÇPYS</t>
        </is>
      </c>
      <c r="D269" s="19" t="inlineStr">
        <is>
          <t>1</t>
        </is>
      </c>
      <c r="E269" t="n">
        <v>0</v>
      </c>
      <c r="I269" s="19" t="inlineStr">
        <is>
          <t>2</t>
        </is>
      </c>
      <c r="J269" t="inlineStr">
        <is>
          <t>2026-08-08</t>
        </is>
      </c>
      <c r="L269" s="19" t="inlineStr">
        <is>
          <t>1011197</t>
        </is>
      </c>
      <c r="M269" t="inlineStr">
        <is>
          <t>STATUS=IN OEM / EU PACKAGE; SOURCE_CFG=IA-ST-CFG-0145; MARKET=YURT İÇİ AFM</t>
        </is>
      </c>
      <c r="N269" t="inlineStr">
        <is>
          <t>2026-08-10T19:29:54Z</t>
        </is>
      </c>
      <c r="O269" t="inlineStr">
        <is>
          <t>2026-08-10T19:29:54Z</t>
        </is>
      </c>
    </row>
    <row r="270">
      <c r="A270" s="19" t="inlineStr">
        <is>
          <t>269</t>
        </is>
      </c>
      <c r="B270" s="19" t="inlineStr">
        <is>
          <t>1011199</t>
        </is>
      </c>
      <c r="C270" t="inlineStr">
        <is>
          <t>AKÜ,LB1,DK,50AH,IGYASMF,EAS ACTIVA,İÇPYS</t>
        </is>
      </c>
      <c r="D270" s="19" t="inlineStr">
        <is>
          <t>1</t>
        </is>
      </c>
      <c r="E270" t="n">
        <v>0</v>
      </c>
      <c r="I270" s="19" t="inlineStr">
        <is>
          <t>2</t>
        </is>
      </c>
      <c r="J270" t="inlineStr">
        <is>
          <t>2026-08-08</t>
        </is>
      </c>
      <c r="L270" s="19" t="inlineStr">
        <is>
          <t>1011199</t>
        </is>
      </c>
      <c r="M270" t="inlineStr">
        <is>
          <t>STATUS=IN OEM / EU PACKAGE; SOURCE_CFG=IA-ST-CFG-0251; MARKET=YURT İÇİ AFM</t>
        </is>
      </c>
      <c r="N270" t="inlineStr">
        <is>
          <t>2026-08-10T19:29:54Z</t>
        </is>
      </c>
      <c r="O270" t="inlineStr">
        <is>
          <t>2026-08-10T19:29:54Z</t>
        </is>
      </c>
    </row>
    <row r="271">
      <c r="A271" s="19" t="inlineStr">
        <is>
          <t>270</t>
        </is>
      </c>
      <c r="B271" s="19" t="inlineStr">
        <is>
          <t>1011200</t>
        </is>
      </c>
      <c r="C271" t="inlineStr">
        <is>
          <t>AKÜ,L2,DK,60AH,IGYASMF,EAS ACTIVA,İÇ PYS</t>
        </is>
      </c>
      <c r="D271" s="19" t="inlineStr">
        <is>
          <t>1</t>
        </is>
      </c>
      <c r="E271" t="n">
        <v>0</v>
      </c>
      <c r="I271" s="19" t="inlineStr">
        <is>
          <t>2</t>
        </is>
      </c>
      <c r="J271" t="inlineStr">
        <is>
          <t>2026-08-08</t>
        </is>
      </c>
      <c r="L271" s="19" t="inlineStr">
        <is>
          <t>1011200</t>
        </is>
      </c>
      <c r="M271" t="inlineStr">
        <is>
          <t>STATUS=IN OEM / EU PACKAGE; SOURCE_CFG=IA-ST-CFG-0227; MARKET=YURT İÇİ AFM</t>
        </is>
      </c>
      <c r="N271" t="inlineStr">
        <is>
          <t>2026-08-10T19:29:54Z</t>
        </is>
      </c>
      <c r="O271" t="inlineStr">
        <is>
          <t>2026-08-10T19:29:54Z</t>
        </is>
      </c>
    </row>
    <row r="272">
      <c r="A272" s="19" t="inlineStr">
        <is>
          <t>271</t>
        </is>
      </c>
      <c r="B272" s="19" t="inlineStr">
        <is>
          <t>1011203</t>
        </is>
      </c>
      <c r="C272" t="inlineStr">
        <is>
          <t>AKÜ,LB3,DK,66AH,IGYASMF,EAS ACTIVA,İÇPYS</t>
        </is>
      </c>
      <c r="D272" s="19" t="inlineStr">
        <is>
          <t>1</t>
        </is>
      </c>
      <c r="E272" t="n">
        <v>0</v>
      </c>
      <c r="I272" s="19" t="inlineStr">
        <is>
          <t>2</t>
        </is>
      </c>
      <c r="J272" t="inlineStr">
        <is>
          <t>2026-08-08</t>
        </is>
      </c>
      <c r="L272" s="19" t="inlineStr">
        <is>
          <t>1011203</t>
        </is>
      </c>
      <c r="M272" t="inlineStr">
        <is>
          <t>STATUS=IN OEM / EU PACKAGE; SOURCE_CFG=IA-ST-CFG-0181; MARKET=YURT İÇİ AFM</t>
        </is>
      </c>
      <c r="N272" t="inlineStr">
        <is>
          <t>2026-08-10T19:29:54Z</t>
        </is>
      </c>
      <c r="O272" t="inlineStr">
        <is>
          <t>2026-08-10T19:29:54Z</t>
        </is>
      </c>
    </row>
    <row r="273">
      <c r="A273" s="19" t="inlineStr">
        <is>
          <t>272</t>
        </is>
      </c>
      <c r="B273" s="19" t="inlineStr">
        <is>
          <t>1011204</t>
        </is>
      </c>
      <c r="C273" t="inlineStr">
        <is>
          <t>AKÜ,L3,DKB13,72AH,IGYASMF,EASACTIVAİÇPYS</t>
        </is>
      </c>
      <c r="D273" s="19" t="inlineStr">
        <is>
          <t>1</t>
        </is>
      </c>
      <c r="E273" t="n">
        <v>0</v>
      </c>
      <c r="I273" s="19" t="inlineStr">
        <is>
          <t>2</t>
        </is>
      </c>
      <c r="J273" t="inlineStr">
        <is>
          <t>2026-08-08</t>
        </is>
      </c>
      <c r="L273" s="19" t="inlineStr">
        <is>
          <t>1011204</t>
        </is>
      </c>
      <c r="M273" t="inlineStr">
        <is>
          <t>STATUS=IN OEM / EU PACKAGE; SOURCE_CFG=IA-ST-CFG-0182; MARKET=YURT İÇİ AFM</t>
        </is>
      </c>
      <c r="N273" t="inlineStr">
        <is>
          <t>2026-08-10T19:29:54Z</t>
        </is>
      </c>
      <c r="O273" t="inlineStr">
        <is>
          <t>2026-08-10T19:29:54Z</t>
        </is>
      </c>
    </row>
    <row r="274">
      <c r="A274" s="19" t="inlineStr">
        <is>
          <t>273</t>
        </is>
      </c>
      <c r="B274" s="19" t="inlineStr">
        <is>
          <t>1011205</t>
        </is>
      </c>
      <c r="C274" t="inlineStr">
        <is>
          <t>AKÜ,L3,DKB01,72AH,IGYASMF,EASACTIVAİÇPYS</t>
        </is>
      </c>
      <c r="D274" s="19" t="inlineStr">
        <is>
          <t>1</t>
        </is>
      </c>
      <c r="E274" t="n">
        <v>0</v>
      </c>
      <c r="I274" s="19" t="inlineStr">
        <is>
          <t>2</t>
        </is>
      </c>
      <c r="J274" t="inlineStr">
        <is>
          <t>2026-08-08</t>
        </is>
      </c>
      <c r="L274" s="19" t="inlineStr">
        <is>
          <t>1011205</t>
        </is>
      </c>
      <c r="M274" t="inlineStr">
        <is>
          <t>STATUS=IN OEM / EU PACKAGE; SOURCE_CFG=IA-ST-CFG-0182; MARKET=YURT İÇİ AFM</t>
        </is>
      </c>
      <c r="N274" t="inlineStr">
        <is>
          <t>2026-08-10T19:29:54Z</t>
        </is>
      </c>
      <c r="O274" t="inlineStr">
        <is>
          <t>2026-08-10T19:29:54Z</t>
        </is>
      </c>
    </row>
    <row r="275">
      <c r="A275" s="19" t="inlineStr">
        <is>
          <t>274</t>
        </is>
      </c>
      <c r="B275" s="19" t="inlineStr">
        <is>
          <t>1011207</t>
        </is>
      </c>
      <c r="C275" t="inlineStr">
        <is>
          <t>AKÜ,L5,DK,92AH,IGYASMF,EAS ACTIVA,İÇ PYS</t>
        </is>
      </c>
      <c r="D275" s="19" t="inlineStr">
        <is>
          <t>1</t>
        </is>
      </c>
      <c r="E275" t="n">
        <v>0</v>
      </c>
      <c r="I275" s="19" t="inlineStr">
        <is>
          <t>2</t>
        </is>
      </c>
      <c r="J275" t="inlineStr">
        <is>
          <t>2026-08-08</t>
        </is>
      </c>
      <c r="L275" s="19" t="inlineStr">
        <is>
          <t>1011207</t>
        </is>
      </c>
      <c r="M275" t="inlineStr">
        <is>
          <t>STATUS=IN OEM / EU PACKAGE; SOURCE_CFG=IA-ST-CFG-0098; MARKET=YURT İÇİ AFM</t>
        </is>
      </c>
      <c r="N275" t="inlineStr">
        <is>
          <t>2026-08-10T19:29:54Z</t>
        </is>
      </c>
      <c r="O275" t="inlineStr">
        <is>
          <t>2026-08-10T19:29:54Z</t>
        </is>
      </c>
    </row>
    <row r="276">
      <c r="A276" s="19" t="inlineStr">
        <is>
          <t>275</t>
        </is>
      </c>
      <c r="B276" s="19" t="inlineStr">
        <is>
          <t>1011209</t>
        </is>
      </c>
      <c r="C276" t="inlineStr">
        <is>
          <t>AKÜ,LB4,DK,82AH,IGYASMF,EAS ACTIVA,İÇPYS</t>
        </is>
      </c>
      <c r="D276" s="19" t="inlineStr">
        <is>
          <t>1</t>
        </is>
      </c>
      <c r="E276" t="n">
        <v>0</v>
      </c>
      <c r="I276" s="19" t="inlineStr">
        <is>
          <t>2</t>
        </is>
      </c>
      <c r="J276" t="inlineStr">
        <is>
          <t>2026-08-08</t>
        </is>
      </c>
      <c r="L276" s="19" t="inlineStr">
        <is>
          <t>1011209</t>
        </is>
      </c>
      <c r="M276" t="inlineStr">
        <is>
          <t>STATUS=IN OEM / EU PACKAGE; SOURCE_CFG=IA-ST-CFG-0233; MARKET=YURT İÇİ AFM</t>
        </is>
      </c>
      <c r="N276" t="inlineStr">
        <is>
          <t>2026-08-10T19:29:54Z</t>
        </is>
      </c>
      <c r="O276" t="inlineStr">
        <is>
          <t>2026-08-10T19:29:54Z</t>
        </is>
      </c>
    </row>
    <row r="277">
      <c r="A277" s="19" t="inlineStr">
        <is>
          <t>276</t>
        </is>
      </c>
      <c r="B277" s="19" t="inlineStr">
        <is>
          <t>1011211</t>
        </is>
      </c>
      <c r="C277" t="inlineStr">
        <is>
          <t>AKÜ,NS60,DK,45AH,IGYASMF,EASACTIVA,İÇPYS</t>
        </is>
      </c>
      <c r="D277" s="19" t="inlineStr">
        <is>
          <t>1</t>
        </is>
      </c>
      <c r="E277" t="n">
        <v>0</v>
      </c>
      <c r="I277" s="19" t="inlineStr">
        <is>
          <t>2</t>
        </is>
      </c>
      <c r="J277" t="inlineStr">
        <is>
          <t>2026-08-08</t>
        </is>
      </c>
      <c r="L277" s="19" t="inlineStr">
        <is>
          <t>1011211</t>
        </is>
      </c>
      <c r="M277" t="inlineStr">
        <is>
          <t>STATUS=IN OEM / EU PACKAGE; SOURCE_CFG=IA-ST-CFG-0273; MARKET=YURT İÇİ AFM</t>
        </is>
      </c>
      <c r="N277" t="inlineStr">
        <is>
          <t>2026-08-10T19:29:54Z</t>
        </is>
      </c>
      <c r="O277" t="inlineStr">
        <is>
          <t>2026-08-10T19:29:54Z</t>
        </is>
      </c>
    </row>
    <row r="278">
      <c r="A278" s="19" t="inlineStr">
        <is>
          <t>277</t>
        </is>
      </c>
      <c r="B278" s="19" t="inlineStr">
        <is>
          <t>1011212</t>
        </is>
      </c>
      <c r="C278" t="inlineStr">
        <is>
          <t>AKÜ,NS60,TK,45AH,IGYASMF,EASACTIVA,İÇPYS</t>
        </is>
      </c>
      <c r="D278" s="19" t="inlineStr">
        <is>
          <t>1</t>
        </is>
      </c>
      <c r="E278" t="n">
        <v>0</v>
      </c>
      <c r="I278" s="19" t="inlineStr">
        <is>
          <t>2</t>
        </is>
      </c>
      <c r="J278" t="inlineStr">
        <is>
          <t>2026-08-08</t>
        </is>
      </c>
      <c r="L278" s="19" t="inlineStr">
        <is>
          <t>1011212</t>
        </is>
      </c>
      <c r="M278" t="inlineStr">
        <is>
          <t>STATUS=IN OEM / EU PACKAGE; SOURCE_CFG=IA-ST-CFG-0273; MARKET=YURT İÇİ AFM</t>
        </is>
      </c>
      <c r="N278" t="inlineStr">
        <is>
          <t>2026-08-10T19:29:54Z</t>
        </is>
      </c>
      <c r="O278" t="inlineStr">
        <is>
          <t>2026-08-10T19:29:54Z</t>
        </is>
      </c>
    </row>
    <row r="279">
      <c r="A279" s="19" t="inlineStr">
        <is>
          <t>278</t>
        </is>
      </c>
      <c r="B279" s="19" t="inlineStr">
        <is>
          <t>1011215</t>
        </is>
      </c>
      <c r="C279" t="inlineStr">
        <is>
          <t>AKÜ,L2,DK,60AH,IGYASMF,EAS EFBS&amp;S,İÇ PYS</t>
        </is>
      </c>
      <c r="D279" s="19" t="inlineStr">
        <is>
          <t>1</t>
        </is>
      </c>
      <c r="E279" t="n">
        <v>0</v>
      </c>
      <c r="I279" s="19" t="inlineStr">
        <is>
          <t>2</t>
        </is>
      </c>
      <c r="J279" t="inlineStr">
        <is>
          <t>2026-08-08</t>
        </is>
      </c>
      <c r="L279" s="19" t="inlineStr">
        <is>
          <t>1011215</t>
        </is>
      </c>
      <c r="M279" t="inlineStr">
        <is>
          <t>STATUS=IN OEM / EU PACKAGE; SOURCE_CFG=IA-ST-CFG-0227; MARKET=YURT İÇİ AFM</t>
        </is>
      </c>
      <c r="N279" t="inlineStr">
        <is>
          <t>2026-08-10T19:29:54Z</t>
        </is>
      </c>
      <c r="O279" t="inlineStr">
        <is>
          <t>2026-08-10T19:29:54Z</t>
        </is>
      </c>
    </row>
    <row r="280">
      <c r="A280" s="19" t="inlineStr">
        <is>
          <t>279</t>
        </is>
      </c>
      <c r="B280" s="19" t="inlineStr">
        <is>
          <t>1011216</t>
        </is>
      </c>
      <c r="C280" t="inlineStr">
        <is>
          <t>AKÜ,L3,DK,72AH,IGYASMF,EAS EFBS&amp;S,İÇ PYS</t>
        </is>
      </c>
      <c r="D280" s="19" t="inlineStr">
        <is>
          <t>1</t>
        </is>
      </c>
      <c r="E280" t="n">
        <v>0</v>
      </c>
      <c r="I280" s="19" t="inlineStr">
        <is>
          <t>2</t>
        </is>
      </c>
      <c r="J280" t="inlineStr">
        <is>
          <t>2026-08-08</t>
        </is>
      </c>
      <c r="L280" s="19" t="inlineStr">
        <is>
          <t>1011216</t>
        </is>
      </c>
      <c r="M280" t="inlineStr">
        <is>
          <t>STATUS=IN OEM / EU PACKAGE; SOURCE_CFG=IA-ST-CFG-0182; MARKET=YURT İÇİ AFM</t>
        </is>
      </c>
      <c r="N280" t="inlineStr">
        <is>
          <t>2026-08-10T19:29:54Z</t>
        </is>
      </c>
      <c r="O280" t="inlineStr">
        <is>
          <t>2026-08-10T19:29:54Z</t>
        </is>
      </c>
    </row>
    <row r="281">
      <c r="A281" s="19" t="inlineStr">
        <is>
          <t>280</t>
        </is>
      </c>
      <c r="B281" s="19" t="inlineStr">
        <is>
          <t>1011218</t>
        </is>
      </c>
      <c r="C281" t="inlineStr">
        <is>
          <t>AKÜ,D31,DK90AH,IGYSMF,HUGEL ACTION,İÇPYS</t>
        </is>
      </c>
      <c r="D281" s="19" t="inlineStr">
        <is>
          <t>1</t>
        </is>
      </c>
      <c r="E281" t="n">
        <v>0</v>
      </c>
      <c r="I281" s="19" t="inlineStr">
        <is>
          <t>2</t>
        </is>
      </c>
      <c r="J281" t="inlineStr">
        <is>
          <t>2026-08-08</t>
        </is>
      </c>
      <c r="L281" s="19" t="inlineStr">
        <is>
          <t>1011218</t>
        </is>
      </c>
      <c r="M281" t="inlineStr">
        <is>
          <t>STATUS=IN OEM / EU PACKAGE; SOURCE_CFG=IA-ST-CFG-0145; MARKET=YURT İÇİ AFM</t>
        </is>
      </c>
      <c r="N281" t="inlineStr">
        <is>
          <t>2026-08-10T19:29:54Z</t>
        </is>
      </c>
      <c r="O281" t="inlineStr">
        <is>
          <t>2026-08-10T19:29:54Z</t>
        </is>
      </c>
    </row>
    <row r="282">
      <c r="A282" s="19" t="inlineStr">
        <is>
          <t>281</t>
        </is>
      </c>
      <c r="B282" s="19" t="inlineStr">
        <is>
          <t>1011223</t>
        </is>
      </c>
      <c r="C282" t="inlineStr">
        <is>
          <t>AKÜ,LB2,DK55AH,IGYASMF,HUGELACTION,İÇPYS</t>
        </is>
      </c>
      <c r="D282" s="19" t="inlineStr">
        <is>
          <t>1</t>
        </is>
      </c>
      <c r="E282" t="n">
        <v>0</v>
      </c>
      <c r="I282" s="19" t="inlineStr">
        <is>
          <t>2</t>
        </is>
      </c>
      <c r="J282" t="inlineStr">
        <is>
          <t>2026-08-08</t>
        </is>
      </c>
      <c r="L282" s="19" t="inlineStr">
        <is>
          <t>1011223</t>
        </is>
      </c>
      <c r="M282" t="inlineStr">
        <is>
          <t>STATUS=IN OEM / EU PACKAGE; SOURCE_CFG=IA-ST-CFG-0227; MARKET=YURT İÇİ AFM</t>
        </is>
      </c>
      <c r="N282" t="inlineStr">
        <is>
          <t>2026-08-10T19:29:54Z</t>
        </is>
      </c>
      <c r="O282" t="inlineStr">
        <is>
          <t>2026-08-10T19:29:54Z</t>
        </is>
      </c>
    </row>
    <row r="283">
      <c r="A283" s="19" t="inlineStr">
        <is>
          <t>282</t>
        </is>
      </c>
      <c r="B283" s="19" t="inlineStr">
        <is>
          <t>1011224</t>
        </is>
      </c>
      <c r="C283" t="inlineStr">
        <is>
          <t>AKÜ,L2,DK,60AH,IGYASMF,HUGEL ULTRA,İÇPYS</t>
        </is>
      </c>
      <c r="D283" s="19" t="inlineStr">
        <is>
          <t>1</t>
        </is>
      </c>
      <c r="E283" t="n">
        <v>0</v>
      </c>
      <c r="I283" s="19" t="inlineStr">
        <is>
          <t>2</t>
        </is>
      </c>
      <c r="J283" t="inlineStr">
        <is>
          <t>2026-08-08</t>
        </is>
      </c>
      <c r="L283" s="19" t="inlineStr">
        <is>
          <t>1011224</t>
        </is>
      </c>
      <c r="M283" t="inlineStr">
        <is>
          <t>STATUS=IN OEM / EU PACKAGE; SOURCE_CFG=IA-ST-CFG-0227; MARKET=YURT İÇİ AFM</t>
        </is>
      </c>
      <c r="N283" t="inlineStr">
        <is>
          <t>2026-08-10T19:29:54Z</t>
        </is>
      </c>
      <c r="O283" t="inlineStr">
        <is>
          <t>2026-08-10T19:29:54Z</t>
        </is>
      </c>
    </row>
    <row r="284">
      <c r="A284" s="19" t="inlineStr">
        <is>
          <t>283</t>
        </is>
      </c>
      <c r="B284" s="19" t="inlineStr">
        <is>
          <t>1011225</t>
        </is>
      </c>
      <c r="C284" t="inlineStr">
        <is>
          <t>AKÜ,L3,DK,72AH,IGYASMF,HUGELACTION,İÇPYS</t>
        </is>
      </c>
      <c r="D284" s="19" t="inlineStr">
        <is>
          <t>1</t>
        </is>
      </c>
      <c r="E284" t="n">
        <v>0</v>
      </c>
      <c r="I284" s="19" t="inlineStr">
        <is>
          <t>2</t>
        </is>
      </c>
      <c r="J284" t="inlineStr">
        <is>
          <t>2026-08-08</t>
        </is>
      </c>
      <c r="L284" s="19" t="inlineStr">
        <is>
          <t>1011225</t>
        </is>
      </c>
      <c r="M284" t="inlineStr">
        <is>
          <t>STATUS=IN OEM / EU PACKAGE; SOURCE_CFG=IA-ST-CFG-0182; MARKET=YURT İÇİ AFM</t>
        </is>
      </c>
      <c r="N284" t="inlineStr">
        <is>
          <t>2026-08-10T19:29:54Z</t>
        </is>
      </c>
      <c r="O284" t="inlineStr">
        <is>
          <t>2026-08-10T19:29:54Z</t>
        </is>
      </c>
    </row>
    <row r="285">
      <c r="A285" s="19" t="inlineStr">
        <is>
          <t>284</t>
        </is>
      </c>
      <c r="B285" s="19" t="inlineStr">
        <is>
          <t>1011229</t>
        </is>
      </c>
      <c r="C285" t="inlineStr">
        <is>
          <t>AKÜ,L5,DK100AH,IGYASMF,HUGEL ULTRA,İÇPYS</t>
        </is>
      </c>
      <c r="D285" s="19" t="inlineStr">
        <is>
          <t>1</t>
        </is>
      </c>
      <c r="E285" t="n">
        <v>0</v>
      </c>
      <c r="I285" s="19" t="inlineStr">
        <is>
          <t>2</t>
        </is>
      </c>
      <c r="J285" t="inlineStr">
        <is>
          <t>2026-08-08</t>
        </is>
      </c>
      <c r="L285" s="19" t="inlineStr">
        <is>
          <t>1011229</t>
        </is>
      </c>
      <c r="M285" t="inlineStr">
        <is>
          <t>STATUS=IN OEM / EU PACKAGE; SOURCE_CFG=IA-ST-CFG-0098; MARKET=YURT İÇİ AFM</t>
        </is>
      </c>
      <c r="N285" t="inlineStr">
        <is>
          <t>2026-08-10T19:29:54Z</t>
        </is>
      </c>
      <c r="O285" t="inlineStr">
        <is>
          <t>2026-08-10T19:29:54Z</t>
        </is>
      </c>
    </row>
    <row r="286">
      <c r="A286" s="19" t="inlineStr">
        <is>
          <t>285</t>
        </is>
      </c>
      <c r="B286" s="19" t="inlineStr">
        <is>
          <t>1011230</t>
        </is>
      </c>
      <c r="C286" t="inlineStr">
        <is>
          <t>AKÜ,L2,DK,60AH,IGYA SMF,OTOPRATİK,İÇ PYS</t>
        </is>
      </c>
      <c r="D286" s="19" t="inlineStr">
        <is>
          <t>1</t>
        </is>
      </c>
      <c r="E286" t="n">
        <v>0</v>
      </c>
      <c r="I286" s="19" t="inlineStr">
        <is>
          <t>2</t>
        </is>
      </c>
      <c r="J286" t="inlineStr">
        <is>
          <t>2026-08-08</t>
        </is>
      </c>
      <c r="L286" s="19" t="inlineStr">
        <is>
          <t>1011230</t>
        </is>
      </c>
      <c r="M286" t="inlineStr">
        <is>
          <t>STATUS=IN OEM / EU PACKAGE; SOURCE_CFG=IA-ST-CFG-0227; MARKET=OTOPRATİK (Yurt İçi)</t>
        </is>
      </c>
      <c r="N286" t="inlineStr">
        <is>
          <t>2026-08-10T19:29:54Z</t>
        </is>
      </c>
      <c r="O286" t="inlineStr">
        <is>
          <t>2026-08-10T19:29:54Z</t>
        </is>
      </c>
    </row>
    <row r="287">
      <c r="A287" s="19" t="inlineStr">
        <is>
          <t>286</t>
        </is>
      </c>
      <c r="B287" s="19" t="inlineStr">
        <is>
          <t>1011231</t>
        </is>
      </c>
      <c r="C287" t="inlineStr">
        <is>
          <t>AKÜ,L3,DK,72AH,B01,IGYA,OTOPRATİK,İÇ PYS</t>
        </is>
      </c>
      <c r="D287" s="19" t="inlineStr">
        <is>
          <t>1</t>
        </is>
      </c>
      <c r="E287" t="n">
        <v>0</v>
      </c>
      <c r="I287" s="19" t="inlineStr">
        <is>
          <t>2</t>
        </is>
      </c>
      <c r="J287" t="inlineStr">
        <is>
          <t>2026-08-08</t>
        </is>
      </c>
      <c r="L287" s="19" t="inlineStr">
        <is>
          <t>1011231</t>
        </is>
      </c>
      <c r="M287" t="inlineStr">
        <is>
          <t>STATUS=IN OEM / EU PACKAGE; SOURCE_CFG=IA-ST-CFG-0182; MARKET=OTOPRATİK (Yurt İçi)</t>
        </is>
      </c>
      <c r="N287" t="inlineStr">
        <is>
          <t>2026-08-10T19:29:54Z</t>
        </is>
      </c>
      <c r="O287" t="inlineStr">
        <is>
          <t>2026-08-10T19:29:54Z</t>
        </is>
      </c>
    </row>
    <row r="288">
      <c r="A288" s="19" t="inlineStr">
        <is>
          <t>287</t>
        </is>
      </c>
      <c r="B288" s="19" t="inlineStr">
        <is>
          <t>1011232</t>
        </is>
      </c>
      <c r="C288" t="inlineStr">
        <is>
          <t>AKÜ,D31,DK,90AH,IGYASMF,OTOPRATİK,İÇ PYS</t>
        </is>
      </c>
      <c r="D288" s="19" t="inlineStr">
        <is>
          <t>1</t>
        </is>
      </c>
      <c r="E288" t="n">
        <v>0</v>
      </c>
      <c r="I288" s="19" t="inlineStr">
        <is>
          <t>2</t>
        </is>
      </c>
      <c r="J288" t="inlineStr">
        <is>
          <t>2026-08-08</t>
        </is>
      </c>
      <c r="L288" s="19" t="inlineStr">
        <is>
          <t>1011232</t>
        </is>
      </c>
      <c r="M288" t="inlineStr">
        <is>
          <t>STATUS=IN OEM / EU PACKAGE; SOURCE_CFG=IA-ST-CFG-0145; MARKET=OTOPRATİK (Yurt İçi)</t>
        </is>
      </c>
      <c r="N288" t="inlineStr">
        <is>
          <t>2026-08-10T19:29:54Z</t>
        </is>
      </c>
      <c r="O288" t="inlineStr">
        <is>
          <t>2026-08-10T19:29:54Z</t>
        </is>
      </c>
    </row>
    <row r="289">
      <c r="A289" s="19" t="inlineStr">
        <is>
          <t>288</t>
        </is>
      </c>
      <c r="B289" s="19" t="inlineStr">
        <is>
          <t>1011253</t>
        </is>
      </c>
      <c r="C289" t="inlineStr">
        <is>
          <t>AKÜ,D26,DK,75AH,IGYA,MF90D26L,RACERPOWER</t>
        </is>
      </c>
      <c r="D289" s="19" t="inlineStr">
        <is>
          <t>1</t>
        </is>
      </c>
      <c r="E289" t="n">
        <v>0</v>
      </c>
      <c r="I289" s="19" t="inlineStr">
        <is>
          <t>2</t>
        </is>
      </c>
      <c r="J289" t="inlineStr">
        <is>
          <t>2026-08-08</t>
        </is>
      </c>
      <c r="L289" s="19" t="inlineStr">
        <is>
          <t>1011253</t>
        </is>
      </c>
      <c r="M289" t="inlineStr">
        <is>
          <t>STATUS=IN OEM / EU PACKAGE; SOURCE_CFG=IA-ST-CFG-0175; MARKET=ARCOBALENO-GANA</t>
        </is>
      </c>
      <c r="N289" t="inlineStr">
        <is>
          <t>2026-08-10T19:29:54Z</t>
        </is>
      </c>
      <c r="O289" t="inlineStr">
        <is>
          <t>2026-08-10T19:29:54Z</t>
        </is>
      </c>
    </row>
    <row r="290">
      <c r="A290" s="19" t="inlineStr">
        <is>
          <t>289</t>
        </is>
      </c>
      <c r="B290" s="19" t="inlineStr">
        <is>
          <t>1011269</t>
        </is>
      </c>
      <c r="C290" t="inlineStr">
        <is>
          <t>AKÜ,D26,DK,66AH,IGYA SMF,NS70L,LUCAS</t>
        </is>
      </c>
      <c r="D290" s="19" t="inlineStr">
        <is>
          <t>1</t>
        </is>
      </c>
      <c r="E290" t="n">
        <v>0</v>
      </c>
      <c r="I290" s="19" t="inlineStr">
        <is>
          <t>2</t>
        </is>
      </c>
      <c r="J290" t="inlineStr">
        <is>
          <t>2026-08-08</t>
        </is>
      </c>
      <c r="L290" s="19" t="inlineStr">
        <is>
          <t>1011269</t>
        </is>
      </c>
      <c r="M290" t="inlineStr">
        <is>
          <t>STATUS=IN OEM / EU PACKAGE; SOURCE_CFG=IA-ST-CFG-0175; MARKET=REY &amp; LENFERNA LUCAS</t>
        </is>
      </c>
      <c r="N290" t="inlineStr">
        <is>
          <t>2026-08-10T19:29:54Z</t>
        </is>
      </c>
      <c r="O290" t="inlineStr">
        <is>
          <t>2026-08-10T19:29:54Z</t>
        </is>
      </c>
    </row>
    <row r="291">
      <c r="A291" s="19" t="inlineStr">
        <is>
          <t>290</t>
        </is>
      </c>
      <c r="B291" s="19" t="inlineStr">
        <is>
          <t>1011270</t>
        </is>
      </c>
      <c r="C291" t="inlineStr">
        <is>
          <t>AKÜ,D26,TK,66AH,IGYA SMF,NS70,LUCAS</t>
        </is>
      </c>
      <c r="D291" s="19" t="inlineStr">
        <is>
          <t>1</t>
        </is>
      </c>
      <c r="E291" t="n">
        <v>0</v>
      </c>
      <c r="I291" s="19" t="inlineStr">
        <is>
          <t>2</t>
        </is>
      </c>
      <c r="J291" t="inlineStr">
        <is>
          <t>2026-08-08</t>
        </is>
      </c>
      <c r="L291" s="19" t="inlineStr">
        <is>
          <t>1011270</t>
        </is>
      </c>
      <c r="M291" t="inlineStr">
        <is>
          <t>STATUS=IN OEM / EU PACKAGE; SOURCE_CFG=IA-ST-CFG-0175; MARKET=REY &amp; LENFERNA LUCAS</t>
        </is>
      </c>
      <c r="N291" t="inlineStr">
        <is>
          <t>2026-08-10T19:29:54Z</t>
        </is>
      </c>
      <c r="O291" t="inlineStr">
        <is>
          <t>2026-08-10T19:29:54Z</t>
        </is>
      </c>
    </row>
    <row r="292">
      <c r="A292" s="19" t="inlineStr">
        <is>
          <t>291</t>
        </is>
      </c>
      <c r="B292" s="19" t="inlineStr">
        <is>
          <t>1011299</t>
        </is>
      </c>
      <c r="C292" t="inlineStr">
        <is>
          <t>AKÜ,A-FLAT,DK,135AH,ENERGY MAX</t>
        </is>
      </c>
      <c r="D292" s="19" t="inlineStr">
        <is>
          <t>1</t>
        </is>
      </c>
      <c r="E292" t="n">
        <v>0</v>
      </c>
      <c r="I292" s="19" t="inlineStr">
        <is>
          <t>2</t>
        </is>
      </c>
      <c r="J292" t="inlineStr">
        <is>
          <t>2026-08-08</t>
        </is>
      </c>
      <c r="L292" s="19" t="inlineStr">
        <is>
          <t>1011299</t>
        </is>
      </c>
      <c r="M292" t="inlineStr">
        <is>
          <t>STATUS=IN OEM / EU PACKAGE; SOURCE_CFG=IA-ST-CFG-0051; MARKET=None</t>
        </is>
      </c>
      <c r="N292" t="inlineStr">
        <is>
          <t>2026-08-10T19:29:54Z</t>
        </is>
      </c>
      <c r="O292" t="inlineStr">
        <is>
          <t>2026-08-10T19:29:54Z</t>
        </is>
      </c>
    </row>
    <row r="293">
      <c r="A293" s="19" t="inlineStr">
        <is>
          <t>292</t>
        </is>
      </c>
      <c r="B293" s="19" t="inlineStr">
        <is>
          <t>1011300</t>
        </is>
      </c>
      <c r="C293" t="inlineStr">
        <is>
          <t>AKÜ AGM,L3,DK,70AH,BLIZZARO AGM S&amp;S</t>
        </is>
      </c>
      <c r="D293" s="19" t="inlineStr">
        <is>
          <t>1</t>
        </is>
      </c>
      <c r="E293" t="n">
        <v>0</v>
      </c>
      <c r="I293" s="19" t="inlineStr">
        <is>
          <t>2</t>
        </is>
      </c>
      <c r="J293" t="inlineStr">
        <is>
          <t>2026-08-08</t>
        </is>
      </c>
      <c r="L293" s="19" t="inlineStr">
        <is>
          <t>1011300</t>
        </is>
      </c>
      <c r="M293" t="inlineStr">
        <is>
          <t>STATUS=IN OEM / EU PACKAGE; SOURCE_CFG=IA-ST-CFG-0179; MARKET=None</t>
        </is>
      </c>
      <c r="N293" t="inlineStr">
        <is>
          <t>2026-08-10T19:29:54Z</t>
        </is>
      </c>
      <c r="O293" t="inlineStr">
        <is>
          <t>2026-08-10T19:29:54Z</t>
        </is>
      </c>
    </row>
    <row r="294">
      <c r="A294" s="19" t="inlineStr">
        <is>
          <t>293</t>
        </is>
      </c>
      <c r="B294" s="19" t="inlineStr">
        <is>
          <t>1011301</t>
        </is>
      </c>
      <c r="C294" t="inlineStr">
        <is>
          <t>AKÜ AGM,L5,DK,92AH,BLIZZARO AGM S&amp;S</t>
        </is>
      </c>
      <c r="D294" s="19" t="inlineStr">
        <is>
          <t>1</t>
        </is>
      </c>
      <c r="E294" t="n">
        <v>0</v>
      </c>
      <c r="I294" s="19" t="inlineStr">
        <is>
          <t>2</t>
        </is>
      </c>
      <c r="J294" t="inlineStr">
        <is>
          <t>2026-08-08</t>
        </is>
      </c>
      <c r="L294" s="19" t="inlineStr">
        <is>
          <t>1011301</t>
        </is>
      </c>
      <c r="M294" t="inlineStr">
        <is>
          <t>STATUS=IN OEM / EU PACKAGE; SOURCE_CFG=IA-ST-CFG-0096; MARKET=None</t>
        </is>
      </c>
      <c r="N294" t="inlineStr">
        <is>
          <t>2026-08-10T19:29:54Z</t>
        </is>
      </c>
      <c r="O294" t="inlineStr">
        <is>
          <t>2026-08-10T19:29:54Z</t>
        </is>
      </c>
    </row>
    <row r="295">
      <c r="A295" s="19" t="inlineStr">
        <is>
          <t>294</t>
        </is>
      </c>
      <c r="B295" s="19" t="inlineStr">
        <is>
          <t>1011307</t>
        </is>
      </c>
      <c r="C295" t="inlineStr">
        <is>
          <t>AKÜ,A-FLAT,DK,135AH,İNCİ SUPRA,TRADING</t>
        </is>
      </c>
      <c r="D295" s="19" t="inlineStr">
        <is>
          <t>1</t>
        </is>
      </c>
      <c r="E295" t="n">
        <v>0</v>
      </c>
      <c r="I295" s="19" t="inlineStr">
        <is>
          <t>2</t>
        </is>
      </c>
      <c r="J295" t="inlineStr">
        <is>
          <t>2026-08-08</t>
        </is>
      </c>
      <c r="L295" s="19" t="inlineStr">
        <is>
          <t>1011307</t>
        </is>
      </c>
      <c r="M295" t="inlineStr">
        <is>
          <t>STATUS=IN OEM / EU PACKAGE; SOURCE_CFG=IA-ST-CFG-0039; MARKET=START TRADING BULGARİSTAN</t>
        </is>
      </c>
      <c r="N295" t="inlineStr">
        <is>
          <t>2026-08-10T19:29:54Z</t>
        </is>
      </c>
      <c r="O295" t="inlineStr">
        <is>
          <t>2026-08-10T19:29:54Z</t>
        </is>
      </c>
    </row>
    <row r="296">
      <c r="A296" s="19" t="inlineStr">
        <is>
          <t>295</t>
        </is>
      </c>
      <c r="B296" s="19" t="inlineStr">
        <is>
          <t>1011324</t>
        </is>
      </c>
      <c r="C296" t="inlineStr">
        <is>
          <t>AKÜ AGM,L5,DK,92AH,İNCİ AGM,Y.DIŞI</t>
        </is>
      </c>
      <c r="D296" s="19" t="inlineStr">
        <is>
          <t>1</t>
        </is>
      </c>
      <c r="E296" t="n">
        <v>0</v>
      </c>
      <c r="I296" s="19" t="inlineStr">
        <is>
          <t>2</t>
        </is>
      </c>
      <c r="J296" t="inlineStr">
        <is>
          <t>2026-08-08</t>
        </is>
      </c>
      <c r="L296" s="19" t="inlineStr">
        <is>
          <t>1011324</t>
        </is>
      </c>
      <c r="M296" t="inlineStr">
        <is>
          <t>STATUS=IN OEM / EU PACKAGE; SOURCE_CFG=IA-ST-CFG-0096; MARKET=None</t>
        </is>
      </c>
      <c r="N296" t="inlineStr">
        <is>
          <t>2026-08-10T19:29:54Z</t>
        </is>
      </c>
      <c r="O296" t="inlineStr">
        <is>
          <t>2026-08-10T19:29:54Z</t>
        </is>
      </c>
    </row>
    <row r="297">
      <c r="A297" s="19" t="inlineStr">
        <is>
          <t>296</t>
        </is>
      </c>
      <c r="B297" s="19" t="inlineStr">
        <is>
          <t>1011330</t>
        </is>
      </c>
      <c r="C297" t="inlineStr">
        <is>
          <t>AKÜ,D31,TK100AH,IGYA,ORIGINALEDITION,FQS</t>
        </is>
      </c>
      <c r="D297" s="19" t="inlineStr">
        <is>
          <t>1</t>
        </is>
      </c>
      <c r="E297" t="n">
        <v>0</v>
      </c>
      <c r="I297" s="19" t="inlineStr">
        <is>
          <t>2</t>
        </is>
      </c>
      <c r="J297" t="inlineStr">
        <is>
          <t>2026-08-08</t>
        </is>
      </c>
      <c r="L297" s="19" t="inlineStr">
        <is>
          <t>1011330</t>
        </is>
      </c>
      <c r="M297" t="inlineStr">
        <is>
          <t>STATUS=IN OEM / EU PACKAGE; SOURCE_CFG=IA-ST-CFG-0115; MARKET=FQS BATTERY İSPANYA</t>
        </is>
      </c>
      <c r="N297" t="inlineStr">
        <is>
          <t>2026-08-10T19:29:54Z</t>
        </is>
      </c>
      <c r="O297" t="inlineStr">
        <is>
          <t>2026-08-10T19:29:54Z</t>
        </is>
      </c>
    </row>
    <row r="298">
      <c r="A298" s="19" t="inlineStr">
        <is>
          <t>297</t>
        </is>
      </c>
      <c r="B298" s="19" t="inlineStr">
        <is>
          <t>1011332</t>
        </is>
      </c>
      <c r="C298" t="inlineStr">
        <is>
          <t>AKÜ,D31,TK,95AH,IGYA,BLACK EDITION,FQS</t>
        </is>
      </c>
      <c r="D298" s="19" t="inlineStr">
        <is>
          <t>1</t>
        </is>
      </c>
      <c r="E298" t="n">
        <v>0</v>
      </c>
      <c r="I298" s="19" t="inlineStr">
        <is>
          <t>2</t>
        </is>
      </c>
      <c r="J298" t="inlineStr">
        <is>
          <t>2026-08-08</t>
        </is>
      </c>
      <c r="L298" s="19" t="inlineStr">
        <is>
          <t>1011332</t>
        </is>
      </c>
      <c r="M298" t="inlineStr">
        <is>
          <t>STATUS=IN OEM / EU PACKAGE; SOURCE_CFG=IA-ST-CFG-0115; MARKET=FQS BATTERY İSPANYA</t>
        </is>
      </c>
      <c r="N298" t="inlineStr">
        <is>
          <t>2026-08-10T19:29:54Z</t>
        </is>
      </c>
      <c r="O298" t="inlineStr">
        <is>
          <t>2026-08-10T19:29:54Z</t>
        </is>
      </c>
    </row>
    <row r="299">
      <c r="A299" s="19" t="inlineStr">
        <is>
          <t>298</t>
        </is>
      </c>
      <c r="B299" s="19" t="inlineStr">
        <is>
          <t>1011347</t>
        </is>
      </c>
      <c r="C299" t="inlineStr">
        <is>
          <t>AKÜ,B-FLAT,DK,180AH,İNCİ SUPRA SENTOR</t>
        </is>
      </c>
      <c r="D299" s="19" t="inlineStr">
        <is>
          <t>1</t>
        </is>
      </c>
      <c r="E299" t="n">
        <v>0</v>
      </c>
      <c r="I299" s="19" t="inlineStr">
        <is>
          <t>2</t>
        </is>
      </c>
      <c r="J299" t="inlineStr">
        <is>
          <t>2026-08-08</t>
        </is>
      </c>
      <c r="L299" s="19" t="inlineStr">
        <is>
          <t>1011347</t>
        </is>
      </c>
      <c r="M299" t="inlineStr">
        <is>
          <t>STATUS=IN OEM / EU PACKAGE; SOURCE_CFG=IA-ST-CFG-0052; MARKET=None</t>
        </is>
      </c>
      <c r="N299" t="inlineStr">
        <is>
          <t>2026-08-10T19:29:54Z</t>
        </is>
      </c>
      <c r="O299" t="inlineStr">
        <is>
          <t>2026-08-10T19:29:54Z</t>
        </is>
      </c>
    </row>
    <row r="300">
      <c r="A300" s="19" t="inlineStr">
        <is>
          <t>299</t>
        </is>
      </c>
      <c r="B300" s="19" t="inlineStr">
        <is>
          <t>1011375</t>
        </is>
      </c>
      <c r="C300" t="inlineStr">
        <is>
          <t>AKÜ AGM,L5,DK,92AH,VRLA,EAS AGM S&amp;S</t>
        </is>
      </c>
      <c r="D300" s="19" t="inlineStr">
        <is>
          <t>1</t>
        </is>
      </c>
      <c r="E300" t="n">
        <v>0</v>
      </c>
      <c r="I300" s="19" t="inlineStr">
        <is>
          <t>2</t>
        </is>
      </c>
      <c r="J300" t="inlineStr">
        <is>
          <t>2026-08-08</t>
        </is>
      </c>
      <c r="L300" s="19" t="inlineStr">
        <is>
          <t>1011375</t>
        </is>
      </c>
      <c r="M300" t="inlineStr">
        <is>
          <t>STATUS=IN OEM / EU PACKAGE; SOURCE_CFG=IA-ST-CFG-0096; MARKET=None</t>
        </is>
      </c>
      <c r="N300" t="inlineStr">
        <is>
          <t>2026-08-10T19:29:54Z</t>
        </is>
      </c>
      <c r="O300" t="inlineStr">
        <is>
          <t>2026-08-10T19:29:54Z</t>
        </is>
      </c>
    </row>
    <row r="301">
      <c r="A301" s="19" t="inlineStr">
        <is>
          <t>300</t>
        </is>
      </c>
      <c r="B301" s="19" t="inlineStr">
        <is>
          <t>1011398</t>
        </is>
      </c>
      <c r="C301" t="inlineStr">
        <is>
          <t>AKÜ,L2,DK,65,AH,IGYA,BPOWERSUPR,POLONYA</t>
        </is>
      </c>
      <c r="D301" s="19" t="inlineStr">
        <is>
          <t>1</t>
        </is>
      </c>
      <c r="E301" t="n">
        <v>0</v>
      </c>
      <c r="I301" s="19" t="inlineStr">
        <is>
          <t>2</t>
        </is>
      </c>
      <c r="J301" t="inlineStr">
        <is>
          <t>2026-08-08</t>
        </is>
      </c>
      <c r="L301" s="19" t="inlineStr">
        <is>
          <t>1011398</t>
        </is>
      </c>
      <c r="M301" t="inlineStr">
        <is>
          <t>STATUS=IN OEM / EU PACKAGE; SOURCE_CFG=IA-ST-CFG-0164; MARKET=BATERIE PRZEMYSLOWE POLONYA</t>
        </is>
      </c>
      <c r="N301" t="inlineStr">
        <is>
          <t>2026-08-10T19:29:54Z</t>
        </is>
      </c>
      <c r="O301" t="inlineStr">
        <is>
          <t>2026-08-10T19:29:54Z</t>
        </is>
      </c>
    </row>
    <row r="302">
      <c r="A302" s="19" t="inlineStr">
        <is>
          <t>301</t>
        </is>
      </c>
      <c r="B302" s="19" t="inlineStr">
        <is>
          <t>1011471</t>
        </is>
      </c>
      <c r="C302" t="inlineStr">
        <is>
          <t>AKÜ,C-IGYASMF,DK,220AH,MERCEDES/SHD BUS</t>
        </is>
      </c>
      <c r="D302" s="19" t="inlineStr">
        <is>
          <t>1</t>
        </is>
      </c>
      <c r="E302" t="n">
        <v>0</v>
      </c>
      <c r="I302" s="19" t="inlineStr">
        <is>
          <t>2</t>
        </is>
      </c>
      <c r="J302" t="inlineStr">
        <is>
          <t>2026-08-08</t>
        </is>
      </c>
      <c r="L302" s="19" t="inlineStr">
        <is>
          <t>1011471</t>
        </is>
      </c>
      <c r="M302" t="inlineStr">
        <is>
          <t>STATUS=DOMESTIC-ONLY / NOT IN OEM PACKAGE; SOURCE_CFG=IA-ST-CFG-0002; MARKET=MERCEDES (Yurt İçi)</t>
        </is>
      </c>
      <c r="N302" t="inlineStr">
        <is>
          <t>2026-08-10T19:29:54Z</t>
        </is>
      </c>
      <c r="O302" t="inlineStr">
        <is>
          <t>2026-08-10T19:29:54Z</t>
        </is>
      </c>
    </row>
    <row r="303">
      <c r="A303" s="19" t="inlineStr">
        <is>
          <t>302</t>
        </is>
      </c>
      <c r="B303" s="19" t="inlineStr">
        <is>
          <t>1011486</t>
        </is>
      </c>
      <c r="C303" t="inlineStr">
        <is>
          <t>AKÜ,L1,DK,54AH,IGYASMF,GYEUR,YBX5012-054</t>
        </is>
      </c>
      <c r="D303" s="19" t="inlineStr">
        <is>
          <t>1</t>
        </is>
      </c>
      <c r="E303" t="n">
        <v>0</v>
      </c>
      <c r="I303" s="19" t="inlineStr">
        <is>
          <t>2</t>
        </is>
      </c>
      <c r="J303" t="inlineStr">
        <is>
          <t>2026-08-08</t>
        </is>
      </c>
      <c r="L303" s="19" t="inlineStr">
        <is>
          <t>1011486</t>
        </is>
      </c>
      <c r="M303" t="inlineStr">
        <is>
          <t>STATUS=IN OEM / EU PACKAGE; SOURCE_CFG=IA-ST-CFG-0209; MARKET=GY EUR</t>
        </is>
      </c>
      <c r="N303" t="inlineStr">
        <is>
          <t>2026-08-10T19:29:54Z</t>
        </is>
      </c>
      <c r="O303" t="inlineStr">
        <is>
          <t>2026-08-10T19:29:54Z</t>
        </is>
      </c>
    </row>
    <row r="304">
      <c r="A304" s="19" t="inlineStr">
        <is>
          <t>303</t>
        </is>
      </c>
      <c r="B304" s="19" t="inlineStr">
        <is>
          <t>1011492</t>
        </is>
      </c>
      <c r="C304" t="inlineStr">
        <is>
          <t>AKÜ,LB4,DK85AH,IGYASMF,GYEUR,YBX5110-085</t>
        </is>
      </c>
      <c r="D304" s="19" t="inlineStr">
        <is>
          <t>1</t>
        </is>
      </c>
      <c r="E304" t="n">
        <v>0</v>
      </c>
      <c r="I304" s="19" t="inlineStr">
        <is>
          <t>2</t>
        </is>
      </c>
      <c r="J304" t="inlineStr">
        <is>
          <t>2026-08-08</t>
        </is>
      </c>
      <c r="L304" s="19" t="inlineStr">
        <is>
          <t>1011492</t>
        </is>
      </c>
      <c r="M304" t="inlineStr">
        <is>
          <t>STATUS=IN OEM / EU PACKAGE; SOURCE_CFG=IA-ST-CFG-0085; MARKET=GY EUR</t>
        </is>
      </c>
      <c r="N304" t="inlineStr">
        <is>
          <t>2026-08-10T19:29:54Z</t>
        </is>
      </c>
      <c r="O304" t="inlineStr">
        <is>
          <t>2026-08-10T19:29:54Z</t>
        </is>
      </c>
    </row>
    <row r="305">
      <c r="A305" s="19" t="inlineStr">
        <is>
          <t>304</t>
        </is>
      </c>
      <c r="B305" s="19" t="inlineStr">
        <is>
          <t>1011493</t>
        </is>
      </c>
      <c r="C305" t="inlineStr">
        <is>
          <t>AKÜ,B-FLAT,DK,180AH,HUGEL ACTION,SHAWKAT</t>
        </is>
      </c>
      <c r="D305" s="19" t="inlineStr">
        <is>
          <t>1</t>
        </is>
      </c>
      <c r="E305" t="n">
        <v>0</v>
      </c>
      <c r="I305" s="19" t="inlineStr">
        <is>
          <t>2</t>
        </is>
      </c>
      <c r="J305" t="inlineStr">
        <is>
          <t>2026-08-08</t>
        </is>
      </c>
      <c r="L305" s="19" t="inlineStr">
        <is>
          <t>1011493</t>
        </is>
      </c>
      <c r="M305" t="inlineStr">
        <is>
          <t>STATUS=IN OEM / EU PACKAGE; SOURCE_CFG=IA-ST-CFG-0052; MARKET=SHAWKAT</t>
        </is>
      </c>
      <c r="N305" t="inlineStr">
        <is>
          <t>2026-08-10T19:29:54Z</t>
        </is>
      </c>
      <c r="O305" t="inlineStr">
        <is>
          <t>2026-08-10T19:29:54Z</t>
        </is>
      </c>
    </row>
    <row r="306">
      <c r="A306" s="19" t="inlineStr">
        <is>
          <t>305</t>
        </is>
      </c>
      <c r="B306" s="19" t="inlineStr">
        <is>
          <t>1011505</t>
        </is>
      </c>
      <c r="C306" t="inlineStr">
        <is>
          <t>AKÜ,C-IGYASMF,DK,220AH,MRCDS/SHD,AKSARAY</t>
        </is>
      </c>
      <c r="D306" s="19" t="inlineStr">
        <is>
          <t>1</t>
        </is>
      </c>
      <c r="E306" t="n">
        <v>0</v>
      </c>
      <c r="I306" s="19" t="inlineStr">
        <is>
          <t>2</t>
        </is>
      </c>
      <c r="J306" t="inlineStr">
        <is>
          <t>2026-08-08</t>
        </is>
      </c>
      <c r="L306" s="19" t="inlineStr">
        <is>
          <t>1011505</t>
        </is>
      </c>
      <c r="M306" t="inlineStr">
        <is>
          <t>STATUS=DOMESTIC-ONLY / NOT IN OEM PACKAGE; SOURCE_CFG=IA-ST-CFG-0017; MARKET=MERCEDES (Yurt İçi)</t>
        </is>
      </c>
      <c r="N306" t="inlineStr">
        <is>
          <t>2026-08-10T19:29:54Z</t>
        </is>
      </c>
      <c r="O306" t="inlineStr">
        <is>
          <t>2026-08-10T19:29:54Z</t>
        </is>
      </c>
    </row>
    <row r="307">
      <c r="A307" s="19" t="inlineStr">
        <is>
          <t>306</t>
        </is>
      </c>
      <c r="B307" s="19" t="inlineStr">
        <is>
          <t>1011548</t>
        </is>
      </c>
      <c r="C307" t="inlineStr">
        <is>
          <t>AKÜ,D23,DK,65AH,IGYASMF,İNCİ EFB PANTERA</t>
        </is>
      </c>
      <c r="D307" s="19" t="inlineStr">
        <is>
          <t>1</t>
        </is>
      </c>
      <c r="E307" t="n">
        <v>0</v>
      </c>
      <c r="I307" s="19" t="inlineStr">
        <is>
          <t>2</t>
        </is>
      </c>
      <c r="J307" t="inlineStr">
        <is>
          <t>2026-08-08</t>
        </is>
      </c>
      <c r="L307" s="19" t="inlineStr">
        <is>
          <t>1011548</t>
        </is>
      </c>
      <c r="M307" t="inlineStr">
        <is>
          <t>STATUS=IN OEM / EU PACKAGE; SOURCE_CFG=IA-ST-CFG-0219; MARKET=None</t>
        </is>
      </c>
      <c r="N307" t="inlineStr">
        <is>
          <t>2026-08-10T19:29:54Z</t>
        </is>
      </c>
      <c r="O307" t="inlineStr">
        <is>
          <t>2026-08-10T19:29:54Z</t>
        </is>
      </c>
    </row>
    <row r="308">
      <c r="A308" s="19" t="inlineStr">
        <is>
          <t>307</t>
        </is>
      </c>
      <c r="B308" s="19" t="inlineStr">
        <is>
          <t>1011549</t>
        </is>
      </c>
      <c r="C308" t="inlineStr">
        <is>
          <t>AKÜ,D26,DK,72AH,IGYASMF,İNCİ EFB PANTERA</t>
        </is>
      </c>
      <c r="D308" s="19" t="inlineStr">
        <is>
          <t>1</t>
        </is>
      </c>
      <c r="E308" t="n">
        <v>0</v>
      </c>
      <c r="I308" s="19" t="inlineStr">
        <is>
          <t>2</t>
        </is>
      </c>
      <c r="J308" t="inlineStr">
        <is>
          <t>2026-08-08</t>
        </is>
      </c>
      <c r="L308" s="19" t="inlineStr">
        <is>
          <t>1011549</t>
        </is>
      </c>
      <c r="M308" t="inlineStr">
        <is>
          <t>STATUS=IN OEM / EU PACKAGE; SOURCE_CFG=IA-ST-CFG-0175; MARKET=None</t>
        </is>
      </c>
      <c r="N308" t="inlineStr">
        <is>
          <t>2026-08-10T19:29:54Z</t>
        </is>
      </c>
      <c r="O308" t="inlineStr">
        <is>
          <t>2026-08-10T19:29:54Z</t>
        </is>
      </c>
    </row>
    <row r="309">
      <c r="A309" s="19" t="inlineStr">
        <is>
          <t>308</t>
        </is>
      </c>
      <c r="B309" s="19" t="inlineStr">
        <is>
          <t>1011558</t>
        </is>
      </c>
      <c r="C309" t="inlineStr">
        <is>
          <t>AKÜLB2DK60AH,IGYSMF,EFBEDIXYEL,CANARIBAT</t>
        </is>
      </c>
      <c r="D309" s="19" t="inlineStr">
        <is>
          <t>1</t>
        </is>
      </c>
      <c r="E309" t="n">
        <v>0</v>
      </c>
      <c r="I309" s="19" t="inlineStr">
        <is>
          <t>2</t>
        </is>
      </c>
      <c r="J309" t="inlineStr">
        <is>
          <t>2026-08-08</t>
        </is>
      </c>
      <c r="L309" s="19" t="inlineStr">
        <is>
          <t>1011558</t>
        </is>
      </c>
      <c r="M309" t="inlineStr">
        <is>
          <t>STATUS=IN OEM / EU PACKAGE; SOURCE_CFG=IA-ST-CFG-0240; MARKET=CANARIBAT İSPANYA</t>
        </is>
      </c>
      <c r="N309" t="inlineStr">
        <is>
          <t>2026-08-10T19:29:54Z</t>
        </is>
      </c>
      <c r="O309" t="inlineStr">
        <is>
          <t>2026-08-10T19:29:54Z</t>
        </is>
      </c>
    </row>
    <row r="310">
      <c r="A310" s="19" t="inlineStr">
        <is>
          <t>309</t>
        </is>
      </c>
      <c r="B310" s="19" t="inlineStr">
        <is>
          <t>1011559</t>
        </is>
      </c>
      <c r="C310" t="inlineStr">
        <is>
          <t>AKÜ,L2DK60AH,IGYSMF,EFBEDIXYEL,CANARIBAT</t>
        </is>
      </c>
      <c r="D310" s="19" t="inlineStr">
        <is>
          <t>1</t>
        </is>
      </c>
      <c r="E310" t="n">
        <v>0</v>
      </c>
      <c r="I310" s="19" t="inlineStr">
        <is>
          <t>2</t>
        </is>
      </c>
      <c r="J310" t="inlineStr">
        <is>
          <t>2026-08-08</t>
        </is>
      </c>
      <c r="L310" s="19" t="inlineStr">
        <is>
          <t>1011559</t>
        </is>
      </c>
      <c r="M310" t="inlineStr">
        <is>
          <t>STATUS=IN OEM / EU PACKAGE; SOURCE_CFG=IA-ST-CFG-0240; MARKET=CANARIBAT İSPANYA</t>
        </is>
      </c>
      <c r="N310" t="inlineStr">
        <is>
          <t>2026-08-10T19:29:54Z</t>
        </is>
      </c>
      <c r="O310" t="inlineStr">
        <is>
          <t>2026-08-10T19:29:54Z</t>
        </is>
      </c>
    </row>
    <row r="311">
      <c r="A311" s="19" t="inlineStr">
        <is>
          <t>310</t>
        </is>
      </c>
      <c r="B311" s="19" t="inlineStr">
        <is>
          <t>1011560</t>
        </is>
      </c>
      <c r="C311" t="inlineStr">
        <is>
          <t>AKÜLB3DK65AH,IGYSMF,EFBEDIXYEL,CANARIBAT</t>
        </is>
      </c>
      <c r="D311" s="19" t="inlineStr">
        <is>
          <t>1</t>
        </is>
      </c>
      <c r="E311" t="n">
        <v>0</v>
      </c>
      <c r="I311" s="19" t="inlineStr">
        <is>
          <t>2</t>
        </is>
      </c>
      <c r="J311" t="inlineStr">
        <is>
          <t>2026-08-08</t>
        </is>
      </c>
      <c r="L311" s="19" t="inlineStr">
        <is>
          <t>1011560</t>
        </is>
      </c>
      <c r="M311" t="inlineStr">
        <is>
          <t>STATUS=IN OEM / EU PACKAGE; SOURCE_CFG=IA-ST-CFG-0199; MARKET=CANARIBAT İSPANYA</t>
        </is>
      </c>
      <c r="N311" t="inlineStr">
        <is>
          <t>2026-08-10T19:29:54Z</t>
        </is>
      </c>
      <c r="O311" t="inlineStr">
        <is>
          <t>2026-08-10T19:29:54Z</t>
        </is>
      </c>
    </row>
    <row r="312">
      <c r="A312" s="19" t="inlineStr">
        <is>
          <t>311</t>
        </is>
      </c>
      <c r="B312" s="19" t="inlineStr">
        <is>
          <t>1011561</t>
        </is>
      </c>
      <c r="C312" t="inlineStr">
        <is>
          <t>AKÜ,L3DK72AH,IGYSMF,EFBEDIXYEL,CANARIBAT</t>
        </is>
      </c>
      <c r="D312" s="19" t="inlineStr">
        <is>
          <t>1</t>
        </is>
      </c>
      <c r="E312" t="n">
        <v>0</v>
      </c>
      <c r="I312" s="19" t="inlineStr">
        <is>
          <t>2</t>
        </is>
      </c>
      <c r="J312" t="inlineStr">
        <is>
          <t>2026-08-08</t>
        </is>
      </c>
      <c r="L312" s="19" t="inlineStr">
        <is>
          <t>1011561</t>
        </is>
      </c>
      <c r="M312" t="inlineStr">
        <is>
          <t>STATUS=IN OEM / EU PACKAGE; SOURCE_CFG=IA-ST-CFG-0200; MARKET=CANARIBAT İSPANYA</t>
        </is>
      </c>
      <c r="N312" t="inlineStr">
        <is>
          <t>2026-08-10T19:29:54Z</t>
        </is>
      </c>
      <c r="O312" t="inlineStr">
        <is>
          <t>2026-08-10T19:29:54Z</t>
        </is>
      </c>
    </row>
    <row r="313">
      <c r="A313" s="19" t="inlineStr">
        <is>
          <t>312</t>
        </is>
      </c>
      <c r="B313" s="19" t="inlineStr">
        <is>
          <t>1011573</t>
        </is>
      </c>
      <c r="C313" t="inlineStr">
        <is>
          <t>AKÜLB2DK60AH,IGYSMF,EFBEDIXBLU,CANARIBAT</t>
        </is>
      </c>
      <c r="D313" s="19" t="inlineStr">
        <is>
          <t>1</t>
        </is>
      </c>
      <c r="E313" t="n">
        <v>0</v>
      </c>
      <c r="I313" s="19" t="inlineStr">
        <is>
          <t>2</t>
        </is>
      </c>
      <c r="J313" t="inlineStr">
        <is>
          <t>2026-08-08</t>
        </is>
      </c>
      <c r="L313" s="19" t="inlineStr">
        <is>
          <t>1011573</t>
        </is>
      </c>
      <c r="M313" t="inlineStr">
        <is>
          <t>STATUS=IN OEM / EU PACKAGE; SOURCE_CFG=IA-ST-CFG-0240; MARKET=CANARIBAT İSPANYA</t>
        </is>
      </c>
      <c r="N313" t="inlineStr">
        <is>
          <t>2026-08-10T19:29:54Z</t>
        </is>
      </c>
      <c r="O313" t="inlineStr">
        <is>
          <t>2026-08-10T19:29:54Z</t>
        </is>
      </c>
    </row>
    <row r="314">
      <c r="A314" s="19" t="inlineStr">
        <is>
          <t>313</t>
        </is>
      </c>
      <c r="B314" s="19" t="inlineStr">
        <is>
          <t>1011574</t>
        </is>
      </c>
      <c r="C314" t="inlineStr">
        <is>
          <t>AKÜ,L2DK60AH,IGYSMF,EFBEDIXBLU,CANARIBAT</t>
        </is>
      </c>
      <c r="D314" s="19" t="inlineStr">
        <is>
          <t>1</t>
        </is>
      </c>
      <c r="E314" t="n">
        <v>0</v>
      </c>
      <c r="I314" s="19" t="inlineStr">
        <is>
          <t>2</t>
        </is>
      </c>
      <c r="J314" t="inlineStr">
        <is>
          <t>2026-08-08</t>
        </is>
      </c>
      <c r="L314" s="19" t="inlineStr">
        <is>
          <t>1011574</t>
        </is>
      </c>
      <c r="M314" t="inlineStr">
        <is>
          <t>STATUS=IN OEM / EU PACKAGE; SOURCE_CFG=IA-ST-CFG-0240; MARKET=CANARIBAT İSPANYA</t>
        </is>
      </c>
      <c r="N314" t="inlineStr">
        <is>
          <t>2026-08-10T19:29:54Z</t>
        </is>
      </c>
      <c r="O314" t="inlineStr">
        <is>
          <t>2026-08-10T19:29:54Z</t>
        </is>
      </c>
    </row>
    <row r="315">
      <c r="A315" s="19" t="inlineStr">
        <is>
          <t>314</t>
        </is>
      </c>
      <c r="B315" s="19" t="inlineStr">
        <is>
          <t>1011575</t>
        </is>
      </c>
      <c r="C315" t="inlineStr">
        <is>
          <t>AKÜLB3DK65AH,IGYSMF,EFBEDIXBLU,CANARIBAT</t>
        </is>
      </c>
      <c r="D315" s="19" t="inlineStr">
        <is>
          <t>1</t>
        </is>
      </c>
      <c r="E315" t="n">
        <v>0</v>
      </c>
      <c r="I315" s="19" t="inlineStr">
        <is>
          <t>2</t>
        </is>
      </c>
      <c r="J315" t="inlineStr">
        <is>
          <t>2026-08-08</t>
        </is>
      </c>
      <c r="L315" s="19" t="inlineStr">
        <is>
          <t>1011575</t>
        </is>
      </c>
      <c r="M315" t="inlineStr">
        <is>
          <t>STATUS=IN OEM / EU PACKAGE; SOURCE_CFG=IA-ST-CFG-0199; MARKET=CANARIBAT İSPANYA</t>
        </is>
      </c>
      <c r="N315" t="inlineStr">
        <is>
          <t>2026-08-10T19:29:54Z</t>
        </is>
      </c>
      <c r="O315" t="inlineStr">
        <is>
          <t>2026-08-10T19:29:54Z</t>
        </is>
      </c>
    </row>
    <row r="316">
      <c r="A316" s="19" t="inlineStr">
        <is>
          <t>315</t>
        </is>
      </c>
      <c r="B316" s="19" t="inlineStr">
        <is>
          <t>1011576</t>
        </is>
      </c>
      <c r="C316" t="inlineStr">
        <is>
          <t>AKÜ,L3DK72AH,IGYSMF,EFBEDIXBLU,CANARIBAT</t>
        </is>
      </c>
      <c r="D316" s="19" t="inlineStr">
        <is>
          <t>1</t>
        </is>
      </c>
      <c r="E316" t="n">
        <v>0</v>
      </c>
      <c r="I316" s="19" t="inlineStr">
        <is>
          <t>2</t>
        </is>
      </c>
      <c r="J316" t="inlineStr">
        <is>
          <t>2026-08-08</t>
        </is>
      </c>
      <c r="L316" s="19" t="inlineStr">
        <is>
          <t>1011576</t>
        </is>
      </c>
      <c r="M316" t="inlineStr">
        <is>
          <t>STATUS=IN OEM / EU PACKAGE; SOURCE_CFG=IA-ST-CFG-0200; MARKET=CANARIBAT İSPANYA</t>
        </is>
      </c>
      <c r="N316" t="inlineStr">
        <is>
          <t>2026-08-10T19:29:54Z</t>
        </is>
      </c>
      <c r="O316" t="inlineStr">
        <is>
          <t>2026-08-10T19:29:54Z</t>
        </is>
      </c>
    </row>
    <row r="317">
      <c r="A317" s="19" t="inlineStr">
        <is>
          <t>316</t>
        </is>
      </c>
      <c r="B317" s="19" t="inlineStr">
        <is>
          <t>1011578</t>
        </is>
      </c>
      <c r="C317" t="inlineStr">
        <is>
          <t>AKÜ,L3,DK,70AH,AGM,EDIX BLUE,CANARIBAT</t>
        </is>
      </c>
      <c r="D317" s="19" t="inlineStr">
        <is>
          <t>1</t>
        </is>
      </c>
      <c r="E317" t="n">
        <v>0</v>
      </c>
      <c r="I317" s="19" t="inlineStr">
        <is>
          <t>2</t>
        </is>
      </c>
      <c r="J317" t="inlineStr">
        <is>
          <t>2026-08-08</t>
        </is>
      </c>
      <c r="L317" s="19" t="inlineStr">
        <is>
          <t>1011578</t>
        </is>
      </c>
      <c r="M317" t="inlineStr">
        <is>
          <t>STATUS=IN OEM / EU PACKAGE; SOURCE_CFG=IA-ST-CFG-0200; MARKET=CANARIBAT İSPANYA</t>
        </is>
      </c>
      <c r="N317" t="inlineStr">
        <is>
          <t>2026-08-10T19:29:54Z</t>
        </is>
      </c>
      <c r="O317" t="inlineStr">
        <is>
          <t>2026-08-10T19:29:54Z</t>
        </is>
      </c>
    </row>
    <row r="318">
      <c r="A318" s="19" t="inlineStr">
        <is>
          <t>317</t>
        </is>
      </c>
      <c r="B318" s="19" t="inlineStr">
        <is>
          <t>1011579</t>
        </is>
      </c>
      <c r="C318" t="inlineStr">
        <is>
          <t>AKÜ,L5,DK,92AH,AGM,EDIX BLUE,CANARIBAT</t>
        </is>
      </c>
      <c r="D318" s="19" t="inlineStr">
        <is>
          <t>1</t>
        </is>
      </c>
      <c r="E318" t="n">
        <v>0</v>
      </c>
      <c r="I318" s="19" t="inlineStr">
        <is>
          <t>2</t>
        </is>
      </c>
      <c r="J318" t="inlineStr">
        <is>
          <t>2026-08-08</t>
        </is>
      </c>
      <c r="L318" s="19" t="inlineStr">
        <is>
          <t>1011579</t>
        </is>
      </c>
      <c r="M318" t="inlineStr">
        <is>
          <t>STATUS=IN OEM / EU PACKAGE; SOURCE_CFG=IA-ST-CFG-0116; MARKET=CANARIBAT İSPANYA</t>
        </is>
      </c>
      <c r="N318" t="inlineStr">
        <is>
          <t>2026-08-10T19:29:54Z</t>
        </is>
      </c>
      <c r="O318" t="inlineStr">
        <is>
          <t>2026-08-10T19:29:54Z</t>
        </is>
      </c>
    </row>
    <row r="319">
      <c r="A319" s="19" t="inlineStr">
        <is>
          <t>318</t>
        </is>
      </c>
      <c r="B319" s="19" t="inlineStr">
        <is>
          <t>1011580</t>
        </is>
      </c>
      <c r="C319" t="inlineStr">
        <is>
          <t>AKÜ,LB1,DK44AH,IGYSMF,EDIXBLUE,CANARIBAT</t>
        </is>
      </c>
      <c r="D319" s="19" t="inlineStr">
        <is>
          <t>1</t>
        </is>
      </c>
      <c r="E319" t="n">
        <v>0</v>
      </c>
      <c r="I319" s="19" t="inlineStr">
        <is>
          <t>2</t>
        </is>
      </c>
      <c r="J319" t="inlineStr">
        <is>
          <t>2026-08-08</t>
        </is>
      </c>
      <c r="L319" s="19" t="inlineStr">
        <is>
          <t>1011580</t>
        </is>
      </c>
      <c r="M319" t="inlineStr">
        <is>
          <t>STATUS=IN OEM / EU PACKAGE; SOURCE_CFG=IA-ST-CFG-0264; MARKET=CANARIBAT İSPANYA</t>
        </is>
      </c>
      <c r="N319" t="inlineStr">
        <is>
          <t>2026-08-10T19:29:54Z</t>
        </is>
      </c>
      <c r="O319" t="inlineStr">
        <is>
          <t>2026-08-10T19:29:54Z</t>
        </is>
      </c>
    </row>
    <row r="320">
      <c r="A320" s="19" t="inlineStr">
        <is>
          <t>319</t>
        </is>
      </c>
      <c r="B320" s="19" t="inlineStr">
        <is>
          <t>1011582</t>
        </is>
      </c>
      <c r="C320" t="inlineStr">
        <is>
          <t>AKÜ,LB3,DK75AH,IGYSMF,EDIXBLUE,CANARIBAT</t>
        </is>
      </c>
      <c r="D320" s="19" t="inlineStr">
        <is>
          <t>1</t>
        </is>
      </c>
      <c r="E320" t="n">
        <v>0</v>
      </c>
      <c r="I320" s="19" t="inlineStr">
        <is>
          <t>2</t>
        </is>
      </c>
      <c r="J320" t="inlineStr">
        <is>
          <t>2026-08-08</t>
        </is>
      </c>
      <c r="L320" s="19" t="inlineStr">
        <is>
          <t>1011582</t>
        </is>
      </c>
      <c r="M320" t="inlineStr">
        <is>
          <t>STATUS=IN OEM / EU PACKAGE; SOURCE_CFG=IA-ST-CFG-0199; MARKET=CANARIBAT İSPANYA</t>
        </is>
      </c>
      <c r="N320" t="inlineStr">
        <is>
          <t>2026-08-10T19:29:54Z</t>
        </is>
      </c>
      <c r="O320" t="inlineStr">
        <is>
          <t>2026-08-10T19:29:54Z</t>
        </is>
      </c>
    </row>
    <row r="321">
      <c r="A321" s="19" t="inlineStr">
        <is>
          <t>320</t>
        </is>
      </c>
      <c r="B321" s="19" t="inlineStr">
        <is>
          <t>1011583</t>
        </is>
      </c>
      <c r="C321" t="inlineStr">
        <is>
          <t>AKÜ,L5,DK,95AH,IGYSMF,EDIXBLUE,CANARIBAT</t>
        </is>
      </c>
      <c r="D321" s="19" t="inlineStr">
        <is>
          <t>1</t>
        </is>
      </c>
      <c r="E321" t="n">
        <v>0</v>
      </c>
      <c r="I321" s="19" t="inlineStr">
        <is>
          <t>2</t>
        </is>
      </c>
      <c r="J321" t="inlineStr">
        <is>
          <t>2026-08-08</t>
        </is>
      </c>
      <c r="L321" s="19" t="inlineStr">
        <is>
          <t>1011583</t>
        </is>
      </c>
      <c r="M321" t="inlineStr">
        <is>
          <t>STATUS=IN OEM / EU PACKAGE; SOURCE_CFG=IA-ST-CFG-0116; MARKET=CANARIBAT İSPANYA</t>
        </is>
      </c>
      <c r="N321" t="inlineStr">
        <is>
          <t>2026-08-10T19:29:54Z</t>
        </is>
      </c>
      <c r="O321" t="inlineStr">
        <is>
          <t>2026-08-10T19:29:54Z</t>
        </is>
      </c>
    </row>
    <row r="322">
      <c r="A322" s="19" t="inlineStr">
        <is>
          <t>321</t>
        </is>
      </c>
      <c r="B322" s="19" t="inlineStr">
        <is>
          <t>1011584</t>
        </is>
      </c>
      <c r="C322" t="inlineStr">
        <is>
          <t>AKÜ,D31,DK100AH,IGYSMF,EDIXBLU,CANARIBAT</t>
        </is>
      </c>
      <c r="D322" s="19" t="inlineStr">
        <is>
          <t>1</t>
        </is>
      </c>
      <c r="E322" t="n">
        <v>0</v>
      </c>
      <c r="I322" s="19" t="inlineStr">
        <is>
          <t>2</t>
        </is>
      </c>
      <c r="J322" t="inlineStr">
        <is>
          <t>2026-08-08</t>
        </is>
      </c>
      <c r="L322" s="19" t="inlineStr">
        <is>
          <t>1011584</t>
        </is>
      </c>
      <c r="M322" t="inlineStr">
        <is>
          <t>STATUS=IN OEM / EU PACKAGE; SOURCE_CFG=IA-ST-CFG-0115; MARKET=CANARIBAT İSPANYA</t>
        </is>
      </c>
      <c r="N322" t="inlineStr">
        <is>
          <t>2026-08-10T19:29:54Z</t>
        </is>
      </c>
      <c r="O322" t="inlineStr">
        <is>
          <t>2026-08-10T19:29:54Z</t>
        </is>
      </c>
    </row>
    <row r="323">
      <c r="A323" s="19" t="inlineStr">
        <is>
          <t>322</t>
        </is>
      </c>
      <c r="B323" s="19" t="inlineStr">
        <is>
          <t>1011585</t>
        </is>
      </c>
      <c r="C323" t="inlineStr">
        <is>
          <t>AKÜ,D31,TK100AH,IGYSMF,EDIXBLU,CANARIBAT</t>
        </is>
      </c>
      <c r="D323" s="19" t="inlineStr">
        <is>
          <t>1</t>
        </is>
      </c>
      <c r="E323" t="n">
        <v>0</v>
      </c>
      <c r="I323" s="19" t="inlineStr">
        <is>
          <t>2</t>
        </is>
      </c>
      <c r="J323" t="inlineStr">
        <is>
          <t>2026-08-08</t>
        </is>
      </c>
      <c r="L323" s="19" t="inlineStr">
        <is>
          <t>1011585</t>
        </is>
      </c>
      <c r="M323" t="inlineStr">
        <is>
          <t>STATUS=IN OEM / EU PACKAGE; SOURCE_CFG=IA-ST-CFG-0115; MARKET=CANARIBAT İSPANYA</t>
        </is>
      </c>
      <c r="N323" t="inlineStr">
        <is>
          <t>2026-08-10T19:29:54Z</t>
        </is>
      </c>
      <c r="O323" t="inlineStr">
        <is>
          <t>2026-08-10T19:29:54Z</t>
        </is>
      </c>
    </row>
    <row r="324">
      <c r="A324" s="19" t="inlineStr">
        <is>
          <t>323</t>
        </is>
      </c>
      <c r="B324" s="19" t="inlineStr">
        <is>
          <t>1011586</t>
        </is>
      </c>
      <c r="C324" t="inlineStr">
        <is>
          <t>AKÜ,A-IGYASMF,DK140AH,EDIXBLUE,CANARIBAT</t>
        </is>
      </c>
      <c r="D324" s="19" t="inlineStr">
        <is>
          <t>1</t>
        </is>
      </c>
      <c r="E324" t="n">
        <v>0</v>
      </c>
      <c r="I324" s="19" t="inlineStr">
        <is>
          <t>2</t>
        </is>
      </c>
      <c r="J324" t="inlineStr">
        <is>
          <t>2026-08-08</t>
        </is>
      </c>
      <c r="L324" s="19" t="inlineStr">
        <is>
          <t>1011586</t>
        </is>
      </c>
      <c r="M324" t="inlineStr">
        <is>
          <t>STATUS=IN OEM / EU PACKAGE; SOURCE_CFG=IA-ST-CFG-0039; MARKET=CANARIBAT İSPANYA</t>
        </is>
      </c>
      <c r="N324" t="inlineStr">
        <is>
          <t>2026-08-10T19:29:54Z</t>
        </is>
      </c>
      <c r="O324" t="inlineStr">
        <is>
          <t>2026-08-10T19:29:54Z</t>
        </is>
      </c>
    </row>
    <row r="325">
      <c r="A325" s="19" t="inlineStr">
        <is>
          <t>324</t>
        </is>
      </c>
      <c r="B325" s="19" t="inlineStr">
        <is>
          <t>1011614</t>
        </is>
      </c>
      <c r="C325" t="inlineStr">
        <is>
          <t>AKÜ,LB3DK65AH,IGYSMF,NONAMEGYEUR7100-065</t>
        </is>
      </c>
      <c r="D325" s="19" t="inlineStr">
        <is>
          <t>1</t>
        </is>
      </c>
      <c r="E325" t="n">
        <v>0</v>
      </c>
      <c r="I325" s="19" t="inlineStr">
        <is>
          <t>2</t>
        </is>
      </c>
      <c r="J325" t="inlineStr">
        <is>
          <t>2026-08-08</t>
        </is>
      </c>
      <c r="L325" s="19" t="inlineStr">
        <is>
          <t>1011614</t>
        </is>
      </c>
      <c r="M325" t="inlineStr">
        <is>
          <t>STATUS=IN OEM / EU PACKAGE; SOURCE_CFG=IA-ST-CFG-0132; MARKET=GY EUR</t>
        </is>
      </c>
      <c r="N325" t="inlineStr">
        <is>
          <t>2026-08-10T19:29:54Z</t>
        </is>
      </c>
      <c r="O325" t="inlineStr">
        <is>
          <t>2026-08-10T19:29:54Z</t>
        </is>
      </c>
    </row>
    <row r="326">
      <c r="A326" s="19" t="inlineStr">
        <is>
          <t>325</t>
        </is>
      </c>
      <c r="B326" s="19" t="inlineStr">
        <is>
          <t>1011615</t>
        </is>
      </c>
      <c r="C326" t="inlineStr">
        <is>
          <t>AKÜ,LB4DK75AH,IGYSMF,NONAMEGYEUR7110-075</t>
        </is>
      </c>
      <c r="D326" s="19" t="inlineStr">
        <is>
          <t>1</t>
        </is>
      </c>
      <c r="E326" t="n">
        <v>0</v>
      </c>
      <c r="I326" s="19" t="inlineStr">
        <is>
          <t>2</t>
        </is>
      </c>
      <c r="J326" t="inlineStr">
        <is>
          <t>2026-08-08</t>
        </is>
      </c>
      <c r="L326" s="19" t="inlineStr">
        <is>
          <t>1011615</t>
        </is>
      </c>
      <c r="M326" t="inlineStr">
        <is>
          <t>STATUS=IN OEM / EU PACKAGE; SOURCE_CFG=IA-ST-CFG-0085; MARKET=GY EUR</t>
        </is>
      </c>
      <c r="N326" t="inlineStr">
        <is>
          <t>2026-08-10T19:29:54Z</t>
        </is>
      </c>
      <c r="O326" t="inlineStr">
        <is>
          <t>2026-08-10T19:29:54Z</t>
        </is>
      </c>
    </row>
    <row r="327">
      <c r="A327" s="19" t="inlineStr">
        <is>
          <t>326</t>
        </is>
      </c>
      <c r="B327" s="19" t="inlineStr">
        <is>
          <t>1011632</t>
        </is>
      </c>
      <c r="C327" t="inlineStr">
        <is>
          <t>AKÜ,D23,DK65AH,IGYSMF,EFB S&amp;S HUGEL,NASA</t>
        </is>
      </c>
      <c r="D327" s="19" t="inlineStr">
        <is>
          <t>1</t>
        </is>
      </c>
      <c r="E327" t="n">
        <v>0</v>
      </c>
      <c r="I327" s="19" t="inlineStr">
        <is>
          <t>2</t>
        </is>
      </c>
      <c r="J327" t="inlineStr">
        <is>
          <t>2026-08-08</t>
        </is>
      </c>
      <c r="L327" s="19" t="inlineStr">
        <is>
          <t>1011632</t>
        </is>
      </c>
      <c r="M327" t="inlineStr">
        <is>
          <t>STATUS=IN OEM / EU PACKAGE; SOURCE_CFG=IA-ST-CFG-0219; MARKET=NASA</t>
        </is>
      </c>
      <c r="N327" t="inlineStr">
        <is>
          <t>2026-08-10T19:29:54Z</t>
        </is>
      </c>
      <c r="O327" t="inlineStr">
        <is>
          <t>2026-08-10T19:29:54Z</t>
        </is>
      </c>
    </row>
    <row r="328">
      <c r="A328" s="19" t="inlineStr">
        <is>
          <t>327</t>
        </is>
      </c>
      <c r="B328" s="19" t="inlineStr">
        <is>
          <t>1011637</t>
        </is>
      </c>
      <c r="C328" t="inlineStr">
        <is>
          <t>AKÜ,LB3,DK65AH,IGYASMF,YBX7100-065,GYEUR</t>
        </is>
      </c>
      <c r="D328" s="19" t="inlineStr">
        <is>
          <t>1</t>
        </is>
      </c>
      <c r="E328" t="n">
        <v>0</v>
      </c>
      <c r="I328" s="19" t="inlineStr">
        <is>
          <t>2</t>
        </is>
      </c>
      <c r="J328" t="inlineStr">
        <is>
          <t>2026-08-08</t>
        </is>
      </c>
      <c r="L328" s="19" t="inlineStr">
        <is>
          <t>1011637</t>
        </is>
      </c>
      <c r="M328" t="inlineStr">
        <is>
          <t>STATUS=IN OEM / EU PACKAGE; SOURCE_CFG=IA-ST-CFG-0132; MARKET=GY EUR</t>
        </is>
      </c>
      <c r="N328" t="inlineStr">
        <is>
          <t>2026-08-10T19:29:54Z</t>
        </is>
      </c>
      <c r="O328" t="inlineStr">
        <is>
          <t>2026-08-10T19:29:54Z</t>
        </is>
      </c>
    </row>
    <row r="329">
      <c r="A329" s="19" t="inlineStr">
        <is>
          <t>328</t>
        </is>
      </c>
      <c r="B329" s="19" t="inlineStr">
        <is>
          <t>1011638</t>
        </is>
      </c>
      <c r="C329" t="inlineStr">
        <is>
          <t>AKÜ,LB4,DK75AH,IGYASMF,YBX7110-075,GYEUR</t>
        </is>
      </c>
      <c r="D329" s="19" t="inlineStr">
        <is>
          <t>1</t>
        </is>
      </c>
      <c r="E329" t="n">
        <v>0</v>
      </c>
      <c r="I329" s="19" t="inlineStr">
        <is>
          <t>2</t>
        </is>
      </c>
      <c r="J329" t="inlineStr">
        <is>
          <t>2026-08-08</t>
        </is>
      </c>
      <c r="L329" s="19" t="inlineStr">
        <is>
          <t>1011638</t>
        </is>
      </c>
      <c r="M329" t="inlineStr">
        <is>
          <t>STATUS=IN OEM / EU PACKAGE; SOURCE_CFG=IA-ST-CFG-0085; MARKET=GY EUR</t>
        </is>
      </c>
      <c r="N329" t="inlineStr">
        <is>
          <t>2026-08-10T19:29:54Z</t>
        </is>
      </c>
      <c r="O329" t="inlineStr">
        <is>
          <t>2026-08-10T19:29:54Z</t>
        </is>
      </c>
    </row>
    <row r="330">
      <c r="A330" s="19" t="inlineStr">
        <is>
          <t>329</t>
        </is>
      </c>
      <c r="B330" s="19" t="inlineStr">
        <is>
          <t>1011661</t>
        </is>
      </c>
      <c r="C330" t="inlineStr">
        <is>
          <t>AKÜ,B-FLAT,DK,190AH,BLIZZARO TRENDLINE</t>
        </is>
      </c>
      <c r="D330" s="19" t="inlineStr">
        <is>
          <t>1</t>
        </is>
      </c>
      <c r="E330" t="n">
        <v>0</v>
      </c>
      <c r="I330" s="19" t="inlineStr">
        <is>
          <t>2</t>
        </is>
      </c>
      <c r="J330" t="inlineStr">
        <is>
          <t>2026-08-08</t>
        </is>
      </c>
      <c r="L330" s="19" t="inlineStr">
        <is>
          <t>1011661</t>
        </is>
      </c>
      <c r="M330" t="inlineStr">
        <is>
          <t>STATUS=IN OEM / EU PACKAGE; SOURCE_CFG=IA-ST-CFG-0052; MARKET=None</t>
        </is>
      </c>
      <c r="N330" t="inlineStr">
        <is>
          <t>2026-08-10T19:29:54Z</t>
        </is>
      </c>
      <c r="O330" t="inlineStr">
        <is>
          <t>2026-08-10T19:29:54Z</t>
        </is>
      </c>
    </row>
    <row r="331">
      <c r="A331" s="19" t="inlineStr">
        <is>
          <t>330</t>
        </is>
      </c>
      <c r="B331" s="19" t="inlineStr">
        <is>
          <t>1011685</t>
        </is>
      </c>
      <c r="C331" t="inlineStr">
        <is>
          <t>AKÜ,LB3,DK,71AH,IGYASMF,Y3000,YBX3100,Yİ</t>
        </is>
      </c>
      <c r="D331" s="19" t="inlineStr">
        <is>
          <t>1</t>
        </is>
      </c>
      <c r="E331" t="n">
        <v>0</v>
      </c>
      <c r="I331" s="19" t="inlineStr">
        <is>
          <t>2</t>
        </is>
      </c>
      <c r="J331" t="inlineStr">
        <is>
          <t>2026-08-08</t>
        </is>
      </c>
      <c r="L331" s="19" t="inlineStr">
        <is>
          <t>1011685</t>
        </is>
      </c>
      <c r="M331" t="inlineStr">
        <is>
          <t>STATUS=IN OEM / EU PACKAGE; SOURCE_CFG=IA-ST-CFG-0182; MARKET=YURT İÇİ AFM</t>
        </is>
      </c>
      <c r="N331" t="inlineStr">
        <is>
          <t>2026-08-10T19:29:54Z</t>
        </is>
      </c>
      <c r="O331" t="inlineStr">
        <is>
          <t>2026-08-10T19:29:54Z</t>
        </is>
      </c>
    </row>
    <row r="332">
      <c r="A332" s="19" t="inlineStr">
        <is>
          <t>331</t>
        </is>
      </c>
      <c r="B332" s="19" t="inlineStr">
        <is>
          <t>1011687</t>
        </is>
      </c>
      <c r="C332" t="inlineStr">
        <is>
          <t>AKÜ,L4,DK,80AH,IGYSMF,EFBS&amp;S,BOOSTERPREM</t>
        </is>
      </c>
      <c r="D332" s="19" t="inlineStr">
        <is>
          <t>1</t>
        </is>
      </c>
      <c r="E332" t="n">
        <v>0</v>
      </c>
      <c r="I332" s="19" t="inlineStr">
        <is>
          <t>2</t>
        </is>
      </c>
      <c r="J332" t="inlineStr">
        <is>
          <t>2026-08-08</t>
        </is>
      </c>
      <c r="L332" s="19" t="inlineStr">
        <is>
          <t>1011687</t>
        </is>
      </c>
      <c r="M332" t="inlineStr">
        <is>
          <t>STATUS=IN OEM / EU PACKAGE; SOURCE_CFG=IA-ST-CFG-0152; MARKET=BOOSTER</t>
        </is>
      </c>
      <c r="N332" t="inlineStr">
        <is>
          <t>2026-08-10T19:29:54Z</t>
        </is>
      </c>
      <c r="O332" t="inlineStr">
        <is>
          <t>2026-08-10T19:29:54Z</t>
        </is>
      </c>
    </row>
    <row r="333">
      <c r="A333" s="19" t="inlineStr">
        <is>
          <t>332</t>
        </is>
      </c>
      <c r="B333" s="19" t="inlineStr">
        <is>
          <t>1011689</t>
        </is>
      </c>
      <c r="C333" t="inlineStr">
        <is>
          <t>AKÜ,L5,DK,102AH,IGYA SMF,OTOPRATİK,İÇPYS</t>
        </is>
      </c>
      <c r="D333" s="19" t="inlineStr">
        <is>
          <t>1</t>
        </is>
      </c>
      <c r="E333" t="n">
        <v>0</v>
      </c>
      <c r="I333" s="19" t="inlineStr">
        <is>
          <t>2</t>
        </is>
      </c>
      <c r="J333" t="inlineStr">
        <is>
          <t>2026-08-08</t>
        </is>
      </c>
      <c r="L333" s="19" t="inlineStr">
        <is>
          <t>1011689</t>
        </is>
      </c>
      <c r="M333" t="inlineStr">
        <is>
          <t>STATUS=IN OEM / EU PACKAGE; SOURCE_CFG=IA-ST-CFG-0098; MARKET=OTOPRATİK (Yurt İçi)</t>
        </is>
      </c>
      <c r="N333" t="inlineStr">
        <is>
          <t>2026-08-10T19:29:54Z</t>
        </is>
      </c>
      <c r="O333" t="inlineStr">
        <is>
          <t>2026-08-10T19:29:54Z</t>
        </is>
      </c>
    </row>
    <row r="334">
      <c r="A334" s="19" t="inlineStr">
        <is>
          <t>333</t>
        </is>
      </c>
      <c r="B334" s="19" t="inlineStr">
        <is>
          <t>1011738</t>
        </is>
      </c>
      <c r="C334" t="inlineStr">
        <is>
          <t>AKÜ AGM,L3,DK,70AH,İNCİ AGM,EURO,Y.DIŞI</t>
        </is>
      </c>
      <c r="D334" s="19" t="inlineStr">
        <is>
          <t>1</t>
        </is>
      </c>
      <c r="E334" t="n">
        <v>0</v>
      </c>
      <c r="I334" s="19" t="inlineStr">
        <is>
          <t>2</t>
        </is>
      </c>
      <c r="J334" t="inlineStr">
        <is>
          <t>2026-08-08</t>
        </is>
      </c>
      <c r="L334" s="19" t="inlineStr">
        <is>
          <t>1011738</t>
        </is>
      </c>
      <c r="M334" t="inlineStr">
        <is>
          <t>STATUS=IN OEM / EU PACKAGE; SOURCE_CFG=IA-ST-CFG-0200; MARKET=None</t>
        </is>
      </c>
      <c r="N334" t="inlineStr">
        <is>
          <t>2026-08-10T19:29:54Z</t>
        </is>
      </c>
      <c r="O334" t="inlineStr">
        <is>
          <t>2026-08-10T19:29:54Z</t>
        </is>
      </c>
    </row>
    <row r="335">
      <c r="A335" s="19" t="inlineStr">
        <is>
          <t>334</t>
        </is>
      </c>
      <c r="B335" s="19" t="inlineStr">
        <is>
          <t>1011746</t>
        </is>
      </c>
      <c r="C335" t="inlineStr">
        <is>
          <t>AKÜ,B-FLAT,DK,190AH,SUNTECH,TÜRKMENİSTAN</t>
        </is>
      </c>
      <c r="D335" s="19" t="inlineStr">
        <is>
          <t>1</t>
        </is>
      </c>
      <c r="E335" t="n">
        <v>0</v>
      </c>
      <c r="I335" s="19" t="inlineStr">
        <is>
          <t>2</t>
        </is>
      </c>
      <c r="J335" t="inlineStr">
        <is>
          <t>2026-08-08</t>
        </is>
      </c>
      <c r="L335" s="19" t="inlineStr">
        <is>
          <t>1011746</t>
        </is>
      </c>
      <c r="M335" t="inlineStr">
        <is>
          <t>STATUS=IN OEM / EU PACKAGE; SOURCE_CFG=IA-ST-CFG-0052; MARKET=TÜRKMENİSTAN</t>
        </is>
      </c>
      <c r="N335" t="inlineStr">
        <is>
          <t>2026-08-10T19:29:54Z</t>
        </is>
      </c>
      <c r="O335" t="inlineStr">
        <is>
          <t>2026-08-10T19:29:54Z</t>
        </is>
      </c>
    </row>
    <row r="336">
      <c r="A336" s="19" t="inlineStr">
        <is>
          <t>335</t>
        </is>
      </c>
      <c r="B336" s="19" t="inlineStr">
        <is>
          <t>1011760</t>
        </is>
      </c>
      <c r="C336" t="inlineStr">
        <is>
          <t>AKÜ,L2,DK,65AH,IGYASMF,EFBYBX7027-065,Yİ</t>
        </is>
      </c>
      <c r="D336" s="19" t="inlineStr">
        <is>
          <t>1</t>
        </is>
      </c>
      <c r="E336" t="n">
        <v>0</v>
      </c>
      <c r="I336" s="19" t="inlineStr">
        <is>
          <t>2</t>
        </is>
      </c>
      <c r="J336" t="inlineStr">
        <is>
          <t>2026-08-08</t>
        </is>
      </c>
      <c r="L336" s="19" t="inlineStr">
        <is>
          <t>1011760</t>
        </is>
      </c>
      <c r="M336" t="inlineStr">
        <is>
          <t>STATUS=IN OEM / EU PACKAGE; SOURCE_CFG=IA-ST-CFG-0227; MARKET=YURT İÇİ AFM</t>
        </is>
      </c>
      <c r="N336" t="inlineStr">
        <is>
          <t>2026-08-10T19:29:54Z</t>
        </is>
      </c>
      <c r="O336" t="inlineStr">
        <is>
          <t>2026-08-10T19:29:54Z</t>
        </is>
      </c>
    </row>
    <row r="337">
      <c r="A337" s="19" t="inlineStr">
        <is>
          <t>336</t>
        </is>
      </c>
      <c r="B337" s="19" t="inlineStr">
        <is>
          <t>1011761</t>
        </is>
      </c>
      <c r="C337" t="inlineStr">
        <is>
          <t>AKÜ,L3,DK,75AH,IGYASMF,EFBYBX7096-075,Yİ</t>
        </is>
      </c>
      <c r="D337" s="19" t="inlineStr">
        <is>
          <t>1</t>
        </is>
      </c>
      <c r="E337" t="n">
        <v>0</v>
      </c>
      <c r="I337" s="19" t="inlineStr">
        <is>
          <t>2</t>
        </is>
      </c>
      <c r="J337" t="inlineStr">
        <is>
          <t>2026-08-08</t>
        </is>
      </c>
      <c r="L337" s="19" t="inlineStr">
        <is>
          <t>1011761</t>
        </is>
      </c>
      <c r="M337" t="inlineStr">
        <is>
          <t>STATUS=IN OEM / EU PACKAGE; SOURCE_CFG=IA-ST-CFG-0182; MARKET=YURT İÇİ AFM</t>
        </is>
      </c>
      <c r="N337" t="inlineStr">
        <is>
          <t>2026-08-10T19:29:54Z</t>
        </is>
      </c>
      <c r="O337" t="inlineStr">
        <is>
          <t>2026-08-10T19:29:54Z</t>
        </is>
      </c>
    </row>
    <row r="338">
      <c r="A338" s="19" t="inlineStr">
        <is>
          <t>337</t>
        </is>
      </c>
      <c r="B338" s="19" t="inlineStr">
        <is>
          <t>1011762</t>
        </is>
      </c>
      <c r="C338" t="inlineStr">
        <is>
          <t>AKÜ,L4,DK,85AH,IGYSMF,EFB YBX7115-085,Yİ</t>
        </is>
      </c>
      <c r="D338" s="19" t="inlineStr">
        <is>
          <t>1</t>
        </is>
      </c>
      <c r="E338" t="n">
        <v>0</v>
      </c>
      <c r="I338" s="19" t="inlineStr">
        <is>
          <t>2</t>
        </is>
      </c>
      <c r="J338" t="inlineStr">
        <is>
          <t>2026-08-08</t>
        </is>
      </c>
      <c r="L338" s="19" t="inlineStr">
        <is>
          <t>1011762</t>
        </is>
      </c>
      <c r="M338" t="inlineStr">
        <is>
          <t>STATUS=IN OEM / EU PACKAGE; SOURCE_CFG=IA-ST-CFG-0144; MARKET=YURT İÇİ AFM</t>
        </is>
      </c>
      <c r="N338" t="inlineStr">
        <is>
          <t>2026-08-10T19:29:54Z</t>
        </is>
      </c>
      <c r="O338" t="inlineStr">
        <is>
          <t>2026-08-10T19:29:54Z</t>
        </is>
      </c>
    </row>
    <row r="339">
      <c r="A339" s="19" t="inlineStr">
        <is>
          <t>338</t>
        </is>
      </c>
      <c r="B339" s="19" t="inlineStr">
        <is>
          <t>1011763</t>
        </is>
      </c>
      <c r="C339" t="inlineStr">
        <is>
          <t>AKÜ,LB3,DK65AH,IGYSMF,EFB YBX7100-065,Yİ</t>
        </is>
      </c>
      <c r="D339" s="19" t="inlineStr">
        <is>
          <t>1</t>
        </is>
      </c>
      <c r="E339" t="n">
        <v>0</v>
      </c>
      <c r="I339" s="19" t="inlineStr">
        <is>
          <t>2</t>
        </is>
      </c>
      <c r="J339" t="inlineStr">
        <is>
          <t>2026-08-08</t>
        </is>
      </c>
      <c r="L339" s="19" t="inlineStr">
        <is>
          <t>1011763</t>
        </is>
      </c>
      <c r="M339" t="inlineStr">
        <is>
          <t>STATUS=IN OEM / EU PACKAGE; SOURCE_CFG=IA-ST-CFG-0181; MARKET=YURT İÇİ AFM</t>
        </is>
      </c>
      <c r="N339" t="inlineStr">
        <is>
          <t>2026-08-10T19:29:54Z</t>
        </is>
      </c>
      <c r="O339" t="inlineStr">
        <is>
          <t>2026-08-10T19:29:54Z</t>
        </is>
      </c>
    </row>
    <row r="340">
      <c r="A340" s="19" t="inlineStr">
        <is>
          <t>339</t>
        </is>
      </c>
      <c r="B340" s="19" t="inlineStr">
        <is>
          <t>1011764</t>
        </is>
      </c>
      <c r="C340" t="inlineStr">
        <is>
          <t>AKÜ,LB4,DK75AH,IGYSMF,EFB YBX7110-075,Yİ</t>
        </is>
      </c>
      <c r="D340" s="19" t="inlineStr">
        <is>
          <t>1</t>
        </is>
      </c>
      <c r="E340" t="n">
        <v>0</v>
      </c>
      <c r="I340" s="19" t="inlineStr">
        <is>
          <t>2</t>
        </is>
      </c>
      <c r="J340" t="inlineStr">
        <is>
          <t>2026-08-08</t>
        </is>
      </c>
      <c r="L340" s="19" t="inlineStr">
        <is>
          <t>1011764</t>
        </is>
      </c>
      <c r="M340" t="inlineStr">
        <is>
          <t>STATUS=IN OEM / EU PACKAGE; SOURCE_CFG=IA-ST-CFG-0144; MARKET=YURT İÇİ AFM</t>
        </is>
      </c>
      <c r="N340" t="inlineStr">
        <is>
          <t>2026-08-10T19:29:54Z</t>
        </is>
      </c>
      <c r="O340" t="inlineStr">
        <is>
          <t>2026-08-10T19:29:54Z</t>
        </is>
      </c>
    </row>
    <row r="341">
      <c r="A341" s="19" t="inlineStr">
        <is>
          <t>340</t>
        </is>
      </c>
      <c r="B341" s="19" t="inlineStr">
        <is>
          <t>1011785</t>
        </is>
      </c>
      <c r="C341" t="inlineStr">
        <is>
          <t>AKÜ,D23,DK,60AH,IGYA SMF,HUGEL ACTN,NASA</t>
        </is>
      </c>
      <c r="D341" s="19" t="inlineStr">
        <is>
          <t>1</t>
        </is>
      </c>
      <c r="E341" t="n">
        <v>0</v>
      </c>
      <c r="I341" s="19" t="inlineStr">
        <is>
          <t>2</t>
        </is>
      </c>
      <c r="J341" t="inlineStr">
        <is>
          <t>2026-08-08</t>
        </is>
      </c>
      <c r="L341" s="19" t="inlineStr">
        <is>
          <t>1011785</t>
        </is>
      </c>
      <c r="M341" t="inlineStr">
        <is>
          <t>STATUS=IN OEM / EU PACKAGE; SOURCE_CFG=IA-ST-CFG-0219; MARKET=NASA</t>
        </is>
      </c>
      <c r="N341" t="inlineStr">
        <is>
          <t>2026-08-10T19:29:54Z</t>
        </is>
      </c>
      <c r="O341" t="inlineStr">
        <is>
          <t>2026-08-10T19:29:54Z</t>
        </is>
      </c>
    </row>
    <row r="342">
      <c r="A342" s="19" t="inlineStr">
        <is>
          <t>341</t>
        </is>
      </c>
      <c r="B342" s="19" t="inlineStr">
        <is>
          <t>1011786</t>
        </is>
      </c>
      <c r="C342" t="inlineStr">
        <is>
          <t>AKÜ,D23,DK,50AH,IGYASMF,İNCİ FORM TAURUS</t>
        </is>
      </c>
      <c r="D342" s="19" t="inlineStr">
        <is>
          <t>1</t>
        </is>
      </c>
      <c r="E342" t="n">
        <v>0</v>
      </c>
      <c r="I342" s="19" t="inlineStr">
        <is>
          <t>2</t>
        </is>
      </c>
      <c r="J342" t="inlineStr">
        <is>
          <t>2026-08-08</t>
        </is>
      </c>
      <c r="L342" s="19" t="inlineStr">
        <is>
          <t>1011786</t>
        </is>
      </c>
      <c r="M342" t="inlineStr">
        <is>
          <t>STATUS=IN OEM / EU PACKAGE; SOURCE_CFG=IA-ST-CFG-0219; MARKET=None</t>
        </is>
      </c>
      <c r="N342" t="inlineStr">
        <is>
          <t>2026-08-10T19:29:54Z</t>
        </is>
      </c>
      <c r="O342" t="inlineStr">
        <is>
          <t>2026-08-10T19:29:54Z</t>
        </is>
      </c>
    </row>
    <row r="343">
      <c r="A343" s="19" t="inlineStr">
        <is>
          <t>342</t>
        </is>
      </c>
      <c r="B343" s="19" t="inlineStr">
        <is>
          <t>1011787</t>
        </is>
      </c>
      <c r="C343" t="inlineStr">
        <is>
          <t>AKÜ,D23,DK,60AH,IGYA SMF,İNCİ FORMTAURUS</t>
        </is>
      </c>
      <c r="D343" s="19" t="inlineStr">
        <is>
          <t>1</t>
        </is>
      </c>
      <c r="E343" t="n">
        <v>0</v>
      </c>
      <c r="I343" s="19" t="inlineStr">
        <is>
          <t>2</t>
        </is>
      </c>
      <c r="J343" t="inlineStr">
        <is>
          <t>2026-08-08</t>
        </is>
      </c>
      <c r="L343" s="19" t="inlineStr">
        <is>
          <t>1011787</t>
        </is>
      </c>
      <c r="M343" t="inlineStr">
        <is>
          <t>STATUS=IN OEM / EU PACKAGE; SOURCE_CFG=IA-ST-CFG-0219; MARKET=None</t>
        </is>
      </c>
      <c r="N343" t="inlineStr">
        <is>
          <t>2026-08-10T19:29:54Z</t>
        </is>
      </c>
      <c r="O343" t="inlineStr">
        <is>
          <t>2026-08-10T19:29:54Z</t>
        </is>
      </c>
    </row>
    <row r="344">
      <c r="A344" s="19" t="inlineStr">
        <is>
          <t>343</t>
        </is>
      </c>
      <c r="B344" s="19" t="inlineStr">
        <is>
          <t>1011788</t>
        </is>
      </c>
      <c r="C344" t="inlineStr">
        <is>
          <t>AKÜ D23,DK,50AH,IGYASMF,BLIZ.SILV,JANENE</t>
        </is>
      </c>
      <c r="D344" s="19" t="inlineStr">
        <is>
          <t>1</t>
        </is>
      </c>
      <c r="E344" t="n">
        <v>0</v>
      </c>
      <c r="I344" s="19" t="inlineStr">
        <is>
          <t>2</t>
        </is>
      </c>
      <c r="J344" t="inlineStr">
        <is>
          <t>2026-08-08</t>
        </is>
      </c>
      <c r="L344" s="19" t="inlineStr">
        <is>
          <t>1011788</t>
        </is>
      </c>
      <c r="M344" t="inlineStr">
        <is>
          <t>STATUS=IN OEM / EU PACKAGE; SOURCE_CFG=IA-ST-CFG-0219; MARKET=JANENE İSRAİL</t>
        </is>
      </c>
      <c r="N344" t="inlineStr">
        <is>
          <t>2026-08-10T19:29:54Z</t>
        </is>
      </c>
      <c r="O344" t="inlineStr">
        <is>
          <t>2026-08-10T19:29:54Z</t>
        </is>
      </c>
    </row>
    <row r="345">
      <c r="A345" s="19" t="inlineStr">
        <is>
          <t>344</t>
        </is>
      </c>
      <c r="B345" s="19" t="inlineStr">
        <is>
          <t>1011790</t>
        </is>
      </c>
      <c r="C345" t="inlineStr">
        <is>
          <t>AKÜ,D23,DK,60AH,IGYASMF,BLIZZARO SILVERL</t>
        </is>
      </c>
      <c r="D345" s="19" t="inlineStr">
        <is>
          <t>1</t>
        </is>
      </c>
      <c r="E345" t="n">
        <v>0</v>
      </c>
      <c r="I345" s="19" t="inlineStr">
        <is>
          <t>2</t>
        </is>
      </c>
      <c r="J345" t="inlineStr">
        <is>
          <t>2026-08-08</t>
        </is>
      </c>
      <c r="L345" s="19" t="inlineStr">
        <is>
          <t>1011790</t>
        </is>
      </c>
      <c r="M345" t="inlineStr">
        <is>
          <t>STATUS=IN OEM / EU PACKAGE; SOURCE_CFG=IA-ST-CFG-0219; MARKET=None</t>
        </is>
      </c>
      <c r="N345" t="inlineStr">
        <is>
          <t>2026-08-10T19:29:54Z</t>
        </is>
      </c>
      <c r="O345" t="inlineStr">
        <is>
          <t>2026-08-10T19:29:54Z</t>
        </is>
      </c>
    </row>
    <row r="346">
      <c r="A346" s="19" t="inlineStr">
        <is>
          <t>345</t>
        </is>
      </c>
      <c r="B346" s="19" t="inlineStr">
        <is>
          <t>1011791</t>
        </is>
      </c>
      <c r="C346" t="inlineStr">
        <is>
          <t>AKÜ,D23,TK,60AH,IGYSMF,BLIZZARO SILVERLN</t>
        </is>
      </c>
      <c r="D346" s="19" t="inlineStr">
        <is>
          <t>1</t>
        </is>
      </c>
      <c r="E346" t="n">
        <v>0</v>
      </c>
      <c r="I346" s="19" t="inlineStr">
        <is>
          <t>2</t>
        </is>
      </c>
      <c r="J346" t="inlineStr">
        <is>
          <t>2026-08-08</t>
        </is>
      </c>
      <c r="L346" s="19" t="inlineStr">
        <is>
          <t>1011791</t>
        </is>
      </c>
      <c r="M346" t="inlineStr">
        <is>
          <t>STATUS=IN OEM / EU PACKAGE; SOURCE_CFG=IA-ST-CFG-0219; MARKET=None</t>
        </is>
      </c>
      <c r="N346" t="inlineStr">
        <is>
          <t>2026-08-10T19:29:54Z</t>
        </is>
      </c>
      <c r="O346" t="inlineStr">
        <is>
          <t>2026-08-10T19:29:54Z</t>
        </is>
      </c>
    </row>
    <row r="347">
      <c r="A347" s="19" t="inlineStr">
        <is>
          <t>346</t>
        </is>
      </c>
      <c r="B347" s="19" t="inlineStr">
        <is>
          <t>1011792</t>
        </is>
      </c>
      <c r="C347" t="inlineStr">
        <is>
          <t>AKÜ,D23,60AH,IGYSMF,BLIZZ.SILVERLN,MISIR</t>
        </is>
      </c>
      <c r="D347" s="19" t="inlineStr">
        <is>
          <t>1</t>
        </is>
      </c>
      <c r="E347" t="n">
        <v>0</v>
      </c>
      <c r="I347" s="19" t="inlineStr">
        <is>
          <t>2</t>
        </is>
      </c>
      <c r="J347" t="inlineStr">
        <is>
          <t>2026-08-08</t>
        </is>
      </c>
      <c r="L347" s="19" t="inlineStr">
        <is>
          <t>1011792</t>
        </is>
      </c>
      <c r="M347" t="inlineStr">
        <is>
          <t>STATUS=IN OEM / EU PACKAGE; SOURCE_CFG=IA-ST-CFG-0219; MARKET=MISIR AL AMAN</t>
        </is>
      </c>
      <c r="N347" t="inlineStr">
        <is>
          <t>2026-08-10T19:29:54Z</t>
        </is>
      </c>
      <c r="O347" t="inlineStr">
        <is>
          <t>2026-08-10T19:29:54Z</t>
        </is>
      </c>
    </row>
    <row r="348">
      <c r="A348" s="19" t="inlineStr">
        <is>
          <t>347</t>
        </is>
      </c>
      <c r="B348" s="19" t="inlineStr">
        <is>
          <t>1011795</t>
        </is>
      </c>
      <c r="C348" t="inlineStr">
        <is>
          <t>AKÜ,D23,DK,68AH,IGYA SMF,İNCİ FORM TAURS</t>
        </is>
      </c>
      <c r="D348" s="19" t="inlineStr">
        <is>
          <t>1</t>
        </is>
      </c>
      <c r="E348" t="n">
        <v>0</v>
      </c>
      <c r="I348" s="19" t="inlineStr">
        <is>
          <t>2</t>
        </is>
      </c>
      <c r="J348" t="inlineStr">
        <is>
          <t>2026-08-08</t>
        </is>
      </c>
      <c r="L348" s="19" t="inlineStr">
        <is>
          <t>1011795</t>
        </is>
      </c>
      <c r="M348" t="inlineStr">
        <is>
          <t>STATUS=IN OEM / EU PACKAGE; SOURCE_CFG=IA-ST-CFG-0219; MARKET=None</t>
        </is>
      </c>
      <c r="N348" t="inlineStr">
        <is>
          <t>2026-08-10T19:29:54Z</t>
        </is>
      </c>
      <c r="O348" t="inlineStr">
        <is>
          <t>2026-08-10T19:29:54Z</t>
        </is>
      </c>
    </row>
    <row r="349">
      <c r="A349" s="19" t="inlineStr">
        <is>
          <t>348</t>
        </is>
      </c>
      <c r="B349" s="19" t="inlineStr">
        <is>
          <t>1011798</t>
        </is>
      </c>
      <c r="C349" t="inlineStr">
        <is>
          <t>AKÜ,NS60,TK,45AH,IGYASMF,İNCİTAURUS,İNCE</t>
        </is>
      </c>
      <c r="D349" s="19" t="inlineStr">
        <is>
          <t>1</t>
        </is>
      </c>
      <c r="E349" t="n">
        <v>0</v>
      </c>
      <c r="I349" s="19" t="inlineStr">
        <is>
          <t>2</t>
        </is>
      </c>
      <c r="J349" t="inlineStr">
        <is>
          <t>2026-08-08</t>
        </is>
      </c>
      <c r="L349" s="19" t="inlineStr">
        <is>
          <t>1011798</t>
        </is>
      </c>
      <c r="M349" t="inlineStr">
        <is>
          <t>STATUS=IN OEM / EU PACKAGE; SOURCE_CFG=IA-ST-CFG-0272; MARKET=None</t>
        </is>
      </c>
      <c r="N349" t="inlineStr">
        <is>
          <t>2026-08-10T19:29:54Z</t>
        </is>
      </c>
      <c r="O349" t="inlineStr">
        <is>
          <t>2026-08-10T19:29:54Z</t>
        </is>
      </c>
    </row>
    <row r="350">
      <c r="A350" s="19" t="inlineStr">
        <is>
          <t>349</t>
        </is>
      </c>
      <c r="B350" s="19" t="inlineStr">
        <is>
          <t>1011799</t>
        </is>
      </c>
      <c r="C350" t="inlineStr">
        <is>
          <t>AKÜ,NS60,TK,45AH,IGYASMF,BLIZSILVER,İNCE</t>
        </is>
      </c>
      <c r="D350" s="19" t="inlineStr">
        <is>
          <t>1</t>
        </is>
      </c>
      <c r="E350" t="n">
        <v>0</v>
      </c>
      <c r="I350" s="19" t="inlineStr">
        <is>
          <t>2</t>
        </is>
      </c>
      <c r="J350" t="inlineStr">
        <is>
          <t>2026-08-08</t>
        </is>
      </c>
      <c r="L350" s="19" t="inlineStr">
        <is>
          <t>1011799</t>
        </is>
      </c>
      <c r="M350" t="inlineStr">
        <is>
          <t>STATUS=IN OEM / EU PACKAGE; SOURCE_CFG=IA-ST-CFG-0272; MARKET=None</t>
        </is>
      </c>
      <c r="N350" t="inlineStr">
        <is>
          <t>2026-08-10T19:29:54Z</t>
        </is>
      </c>
      <c r="O350" t="inlineStr">
        <is>
          <t>2026-08-10T19:29:54Z</t>
        </is>
      </c>
    </row>
    <row r="351">
      <c r="A351" s="19" t="inlineStr">
        <is>
          <t>350</t>
        </is>
      </c>
      <c r="B351" s="19" t="inlineStr">
        <is>
          <t>1011801</t>
        </is>
      </c>
      <c r="C351" t="inlineStr">
        <is>
          <t>AKÜ,NS60,DK,45AH,IGYASMF,HUGEL,İNCE,NASA</t>
        </is>
      </c>
      <c r="D351" s="19" t="inlineStr">
        <is>
          <t>1</t>
        </is>
      </c>
      <c r="E351" t="n">
        <v>0</v>
      </c>
      <c r="I351" s="19" t="inlineStr">
        <is>
          <t>2</t>
        </is>
      </c>
      <c r="J351" t="inlineStr">
        <is>
          <t>2026-08-08</t>
        </is>
      </c>
      <c r="L351" s="19" t="inlineStr">
        <is>
          <t>1011801</t>
        </is>
      </c>
      <c r="M351" t="inlineStr">
        <is>
          <t>STATUS=IN OEM / EU PACKAGE; SOURCE_CFG=IA-ST-CFG-0272; MARKET=NASA</t>
        </is>
      </c>
      <c r="N351" t="inlineStr">
        <is>
          <t>2026-08-10T19:29:54Z</t>
        </is>
      </c>
      <c r="O351" t="inlineStr">
        <is>
          <t>2026-08-10T19:29:54Z</t>
        </is>
      </c>
    </row>
    <row r="352">
      <c r="A352" s="19" t="inlineStr">
        <is>
          <t>351</t>
        </is>
      </c>
      <c r="B352" s="19" t="inlineStr">
        <is>
          <t>1011805</t>
        </is>
      </c>
      <c r="C352" t="inlineStr">
        <is>
          <t>AKÜ,NS60,DK,45AH,IGYASMF,HUGELULTRA,ISBC</t>
        </is>
      </c>
      <c r="D352" s="19" t="inlineStr">
        <is>
          <t>1</t>
        </is>
      </c>
      <c r="E352" t="n">
        <v>0</v>
      </c>
      <c r="I352" s="19" t="inlineStr">
        <is>
          <t>2</t>
        </is>
      </c>
      <c r="J352" t="inlineStr">
        <is>
          <t>2026-08-08</t>
        </is>
      </c>
      <c r="L352" s="19" t="inlineStr">
        <is>
          <t>1011805</t>
        </is>
      </c>
      <c r="M352" t="inlineStr">
        <is>
          <t>STATUS=IN OEM / EU PACKAGE; SOURCE_CFG=IA-ST-CFG-0272; MARKET=None</t>
        </is>
      </c>
      <c r="N352" t="inlineStr">
        <is>
          <t>2026-08-10T19:29:54Z</t>
        </is>
      </c>
      <c r="O352" t="inlineStr">
        <is>
          <t>2026-08-10T19:29:54Z</t>
        </is>
      </c>
    </row>
    <row r="353">
      <c r="A353" s="19" t="inlineStr">
        <is>
          <t>352</t>
        </is>
      </c>
      <c r="B353" s="19" t="inlineStr">
        <is>
          <t>1011806</t>
        </is>
      </c>
      <c r="C353" t="inlineStr">
        <is>
          <t>AKÜ,NS60,DK,45AH,IGYASMF,HUGELULTRA,İNCE</t>
        </is>
      </c>
      <c r="D353" s="19" t="inlineStr">
        <is>
          <t>1</t>
        </is>
      </c>
      <c r="E353" t="n">
        <v>0</v>
      </c>
      <c r="I353" s="19" t="inlineStr">
        <is>
          <t>2</t>
        </is>
      </c>
      <c r="J353" t="inlineStr">
        <is>
          <t>2026-08-08</t>
        </is>
      </c>
      <c r="L353" s="19" t="inlineStr">
        <is>
          <t>1011806</t>
        </is>
      </c>
      <c r="M353" t="inlineStr">
        <is>
          <t>STATUS=IN OEM / EU PACKAGE; SOURCE_CFG=IA-ST-CFG-0272; MARKET=None</t>
        </is>
      </c>
      <c r="N353" t="inlineStr">
        <is>
          <t>2026-08-10T19:29:54Z</t>
        </is>
      </c>
      <c r="O353" t="inlineStr">
        <is>
          <t>2026-08-10T19:29:54Z</t>
        </is>
      </c>
    </row>
    <row r="354">
      <c r="A354" s="19" t="inlineStr">
        <is>
          <t>353</t>
        </is>
      </c>
      <c r="B354" s="19" t="inlineStr">
        <is>
          <t>1011808</t>
        </is>
      </c>
      <c r="C354" t="inlineStr">
        <is>
          <t>AKÜ,NS60,DK,45AH,IGYASMF,HUGELULTRNACITA</t>
        </is>
      </c>
      <c r="D354" s="19" t="inlineStr">
        <is>
          <t>1</t>
        </is>
      </c>
      <c r="E354" t="n">
        <v>0</v>
      </c>
      <c r="I354" s="19" t="inlineStr">
        <is>
          <t>2</t>
        </is>
      </c>
      <c r="J354" t="inlineStr">
        <is>
          <t>2026-08-08</t>
        </is>
      </c>
      <c r="L354" s="19" t="inlineStr">
        <is>
          <t>1011808</t>
        </is>
      </c>
      <c r="M354" t="inlineStr">
        <is>
          <t>STATUS=IN OEM / EU PACKAGE; SOURCE_CFG=IA-ST-CFG-0272; MARKET=MISIR NACITA</t>
        </is>
      </c>
      <c r="N354" t="inlineStr">
        <is>
          <t>2026-08-10T19:29:54Z</t>
        </is>
      </c>
      <c r="O354" t="inlineStr">
        <is>
          <t>2026-08-10T19:29:54Z</t>
        </is>
      </c>
    </row>
    <row r="355">
      <c r="A355" s="19" t="inlineStr">
        <is>
          <t>354</t>
        </is>
      </c>
      <c r="B355" s="19" t="inlineStr">
        <is>
          <t>1011810</t>
        </is>
      </c>
      <c r="C355" t="inlineStr">
        <is>
          <t>AKÜ,NS60,DK,45AH,IGYASMF,BLIZ,İNCE,MISIR</t>
        </is>
      </c>
      <c r="D355" s="19" t="inlineStr">
        <is>
          <t>1</t>
        </is>
      </c>
      <c r="E355" t="n">
        <v>0</v>
      </c>
      <c r="I355" s="19" t="inlineStr">
        <is>
          <t>2</t>
        </is>
      </c>
      <c r="J355" t="inlineStr">
        <is>
          <t>2026-08-08</t>
        </is>
      </c>
      <c r="L355" s="19" t="inlineStr">
        <is>
          <t>1011810</t>
        </is>
      </c>
      <c r="M355" t="inlineStr">
        <is>
          <t>STATUS=IN OEM / EU PACKAGE; SOURCE_CFG=IA-ST-CFG-0272; MARKET=MISIR AL AMAN</t>
        </is>
      </c>
      <c r="N355" t="inlineStr">
        <is>
          <t>2026-08-10T19:29:54Z</t>
        </is>
      </c>
      <c r="O355" t="inlineStr">
        <is>
          <t>2026-08-10T19:29:54Z</t>
        </is>
      </c>
    </row>
    <row r="356">
      <c r="A356" s="19" t="inlineStr">
        <is>
          <t>355</t>
        </is>
      </c>
      <c r="B356" s="19" t="inlineStr">
        <is>
          <t>1011811</t>
        </is>
      </c>
      <c r="C356" t="inlineStr">
        <is>
          <t>AKÜ,NS60,DK45AH,IGYASFM,HUGEL,İNCENACITA</t>
        </is>
      </c>
      <c r="D356" s="19" t="inlineStr">
        <is>
          <t>1</t>
        </is>
      </c>
      <c r="E356" t="n">
        <v>0</v>
      </c>
      <c r="I356" s="19" t="inlineStr">
        <is>
          <t>2</t>
        </is>
      </c>
      <c r="J356" t="inlineStr">
        <is>
          <t>2026-08-08</t>
        </is>
      </c>
      <c r="L356" s="19" t="inlineStr">
        <is>
          <t>1011811</t>
        </is>
      </c>
      <c r="M356" t="inlineStr">
        <is>
          <t>STATUS=IN OEM / EU PACKAGE; SOURCE_CFG=IA-ST-CFG-0272; MARKET=MISIR NACITA</t>
        </is>
      </c>
      <c r="N356" t="inlineStr">
        <is>
          <t>2026-08-10T19:29:54Z</t>
        </is>
      </c>
      <c r="O356" t="inlineStr">
        <is>
          <t>2026-08-10T19:29:54Z</t>
        </is>
      </c>
    </row>
    <row r="357">
      <c r="A357" s="19" t="inlineStr">
        <is>
          <t>356</t>
        </is>
      </c>
      <c r="B357" s="19" t="inlineStr">
        <is>
          <t>1011812</t>
        </is>
      </c>
      <c r="C357" t="inlineStr">
        <is>
          <t>AKÜ,NS60,DK45AH,IGYASMF,BLIZSILVR,MISIR</t>
        </is>
      </c>
      <c r="D357" s="19" t="inlineStr">
        <is>
          <t>1</t>
        </is>
      </c>
      <c r="E357" t="n">
        <v>0</v>
      </c>
      <c r="I357" s="19" t="inlineStr">
        <is>
          <t>2</t>
        </is>
      </c>
      <c r="J357" t="inlineStr">
        <is>
          <t>2026-08-08</t>
        </is>
      </c>
      <c r="L357" s="19" t="inlineStr">
        <is>
          <t>1011812</t>
        </is>
      </c>
      <c r="M357" t="inlineStr">
        <is>
          <t>STATUS=IN OEM / EU PACKAGE; SOURCE_CFG=IA-ST-CFG-0272; MARKET=MISIR AL AMAN</t>
        </is>
      </c>
      <c r="N357" t="inlineStr">
        <is>
          <t>2026-08-10T19:29:54Z</t>
        </is>
      </c>
      <c r="O357" t="inlineStr">
        <is>
          <t>2026-08-10T19:29:54Z</t>
        </is>
      </c>
    </row>
    <row r="358">
      <c r="A358" s="19" t="inlineStr">
        <is>
          <t>357</t>
        </is>
      </c>
      <c r="B358" s="19" t="inlineStr">
        <is>
          <t>1011813</t>
        </is>
      </c>
      <c r="C358" t="inlineStr">
        <is>
          <t>AKÜ,NS60,DK45AH,IGYSMF,EAS,İNCEKOLİATWAN</t>
        </is>
      </c>
      <c r="D358" s="19" t="inlineStr">
        <is>
          <t>1</t>
        </is>
      </c>
      <c r="E358" t="n">
        <v>0</v>
      </c>
      <c r="I358" s="19" t="inlineStr">
        <is>
          <t>2</t>
        </is>
      </c>
      <c r="J358" t="inlineStr">
        <is>
          <t>2026-08-08</t>
        </is>
      </c>
      <c r="L358" s="19" t="inlineStr">
        <is>
          <t>1011813</t>
        </is>
      </c>
      <c r="M358" t="inlineStr">
        <is>
          <t>STATUS=IN OEM / EU PACKAGE; SOURCE_CFG=IA-ST-CFG-0250; MARKET=MISIR ATWAN</t>
        </is>
      </c>
      <c r="N358" t="inlineStr">
        <is>
          <t>2026-08-10T19:29:54Z</t>
        </is>
      </c>
      <c r="O358" t="inlineStr">
        <is>
          <t>2026-08-10T19:29:54Z</t>
        </is>
      </c>
    </row>
    <row r="359">
      <c r="A359" s="19" t="inlineStr">
        <is>
          <t>358</t>
        </is>
      </c>
      <c r="B359" s="19" t="inlineStr">
        <is>
          <t>1011814</t>
        </is>
      </c>
      <c r="C359" t="inlineStr">
        <is>
          <t>AKÜ,NS60,DK,45AH,IGYA SMF,İNCİ,EEC MISIR</t>
        </is>
      </c>
      <c r="D359" s="19" t="inlineStr">
        <is>
          <t>1</t>
        </is>
      </c>
      <c r="E359" t="n">
        <v>0</v>
      </c>
      <c r="I359" s="19" t="inlineStr">
        <is>
          <t>2</t>
        </is>
      </c>
      <c r="J359" t="inlineStr">
        <is>
          <t>2026-08-08</t>
        </is>
      </c>
      <c r="L359" s="19" t="inlineStr">
        <is>
          <t>1011814</t>
        </is>
      </c>
      <c r="M359" t="inlineStr">
        <is>
          <t>STATUS=IN OEM / EU PACKAGE; SOURCE_CFG=IA-ST-CFG-0272; MARKET=MISIR EEC</t>
        </is>
      </c>
      <c r="N359" t="inlineStr">
        <is>
          <t>2026-08-10T19:29:54Z</t>
        </is>
      </c>
      <c r="O359" t="inlineStr">
        <is>
          <t>2026-08-10T19:29:54Z</t>
        </is>
      </c>
    </row>
    <row r="360">
      <c r="A360" s="19" t="inlineStr">
        <is>
          <t>359</t>
        </is>
      </c>
      <c r="B360" s="19" t="inlineStr">
        <is>
          <t>1011815</t>
        </is>
      </c>
      <c r="C360" t="inlineStr">
        <is>
          <t>AKÜ,NS60,DK,55AH,IGYA SMF,İNCİ TAURUS</t>
        </is>
      </c>
      <c r="D360" s="19" t="inlineStr">
        <is>
          <t>1</t>
        </is>
      </c>
      <c r="E360" t="n">
        <v>0</v>
      </c>
      <c r="I360" s="19" t="inlineStr">
        <is>
          <t>2</t>
        </is>
      </c>
      <c r="J360" t="inlineStr">
        <is>
          <t>2026-08-08</t>
        </is>
      </c>
      <c r="L360" s="19" t="inlineStr">
        <is>
          <t>1011815</t>
        </is>
      </c>
      <c r="M360" t="inlineStr">
        <is>
          <t>STATUS=IN OEM / EU PACKAGE; SOURCE_CFG=IA-ST-CFG-0272; MARKET=None</t>
        </is>
      </c>
      <c r="N360" t="inlineStr">
        <is>
          <t>2026-08-10T19:29:54Z</t>
        </is>
      </c>
      <c r="O360" t="inlineStr">
        <is>
          <t>2026-08-10T19:29:54Z</t>
        </is>
      </c>
    </row>
    <row r="361">
      <c r="A361" s="19" t="inlineStr">
        <is>
          <t>360</t>
        </is>
      </c>
      <c r="B361" s="19" t="inlineStr">
        <is>
          <t>1011816</t>
        </is>
      </c>
      <c r="C361" t="inlineStr">
        <is>
          <t>AKÜ,NS60,DK,45AH,IGYASMF,İNCİTAURUS,İNCE</t>
        </is>
      </c>
      <c r="D361" s="19" t="inlineStr">
        <is>
          <t>1</t>
        </is>
      </c>
      <c r="E361" t="n">
        <v>0</v>
      </c>
      <c r="I361" s="19" t="inlineStr">
        <is>
          <t>2</t>
        </is>
      </c>
      <c r="J361" t="inlineStr">
        <is>
          <t>2026-08-08</t>
        </is>
      </c>
      <c r="L361" s="19" t="inlineStr">
        <is>
          <t>1011816</t>
        </is>
      </c>
      <c r="M361" t="inlineStr">
        <is>
          <t>STATUS=IN OEM / EU PACKAGE; SOURCE_CFG=IA-ST-CFG-0272; MARKET=None</t>
        </is>
      </c>
      <c r="N361" t="inlineStr">
        <is>
          <t>2026-08-10T19:29:54Z</t>
        </is>
      </c>
      <c r="O361" t="inlineStr">
        <is>
          <t>2026-08-10T19:29:54Z</t>
        </is>
      </c>
    </row>
    <row r="362">
      <c r="A362" s="19" t="inlineStr">
        <is>
          <t>361</t>
        </is>
      </c>
      <c r="B362" s="19" t="inlineStr">
        <is>
          <t>1011817</t>
        </is>
      </c>
      <c r="C362" t="inlineStr">
        <is>
          <t>AKÜ,NS60,DK,45AH,IGYASMF,BLIZ,İNCEJANENE</t>
        </is>
      </c>
      <c r="D362" s="19" t="inlineStr">
        <is>
          <t>1</t>
        </is>
      </c>
      <c r="E362" t="n">
        <v>0</v>
      </c>
      <c r="I362" s="19" t="inlineStr">
        <is>
          <t>2</t>
        </is>
      </c>
      <c r="J362" t="inlineStr">
        <is>
          <t>2026-08-08</t>
        </is>
      </c>
      <c r="L362" s="19" t="inlineStr">
        <is>
          <t>1011817</t>
        </is>
      </c>
      <c r="M362" t="inlineStr">
        <is>
          <t>STATUS=IN OEM / EU PACKAGE; SOURCE_CFG=IA-ST-CFG-0272; MARKET=JANENE İSRAİL</t>
        </is>
      </c>
      <c r="N362" t="inlineStr">
        <is>
          <t>2026-08-10T19:29:54Z</t>
        </is>
      </c>
      <c r="O362" t="inlineStr">
        <is>
          <t>2026-08-10T19:29:54Z</t>
        </is>
      </c>
    </row>
    <row r="363">
      <c r="A363" s="19" t="inlineStr">
        <is>
          <t>362</t>
        </is>
      </c>
      <c r="B363" s="19" t="inlineStr">
        <is>
          <t>1011827</t>
        </is>
      </c>
      <c r="C363" t="inlineStr">
        <is>
          <t>AKÜ,NS40,DK,35AH,IGYASMF,HUGEL,İNCE,NASA</t>
        </is>
      </c>
      <c r="D363" s="19" t="inlineStr">
        <is>
          <t>1</t>
        </is>
      </c>
      <c r="E363" t="n">
        <v>0</v>
      </c>
      <c r="I363" s="19" t="inlineStr">
        <is>
          <t>2</t>
        </is>
      </c>
      <c r="J363" t="inlineStr">
        <is>
          <t>2026-08-08</t>
        </is>
      </c>
      <c r="L363" s="19" t="inlineStr">
        <is>
          <t>1011827</t>
        </is>
      </c>
      <c r="M363" t="inlineStr">
        <is>
          <t>STATUS=IN OEM / EU PACKAGE; SOURCE_CFG=IA-ST-CFG-0284; MARKET=NASA</t>
        </is>
      </c>
      <c r="N363" t="inlineStr">
        <is>
          <t>2026-08-10T19:29:54Z</t>
        </is>
      </c>
      <c r="O363" t="inlineStr">
        <is>
          <t>2026-08-10T19:29:54Z</t>
        </is>
      </c>
    </row>
    <row r="364">
      <c r="A364" s="19" t="inlineStr">
        <is>
          <t>363</t>
        </is>
      </c>
      <c r="B364" s="19" t="inlineStr">
        <is>
          <t>1011828</t>
        </is>
      </c>
      <c r="C364" t="inlineStr">
        <is>
          <t>AKÜ,NS40,DK,35AH,IGYASMF,BLIZ,İNCE,MISIR</t>
        </is>
      </c>
      <c r="D364" s="19" t="inlineStr">
        <is>
          <t>1</t>
        </is>
      </c>
      <c r="E364" t="n">
        <v>0</v>
      </c>
      <c r="I364" s="19" t="inlineStr">
        <is>
          <t>2</t>
        </is>
      </c>
      <c r="J364" t="inlineStr">
        <is>
          <t>2026-08-08</t>
        </is>
      </c>
      <c r="L364" s="19" t="inlineStr">
        <is>
          <t>1011828</t>
        </is>
      </c>
      <c r="M364" t="inlineStr">
        <is>
          <t>STATUS=IN OEM / EU PACKAGE; SOURCE_CFG=IA-ST-CFG-0284; MARKET=MISIR AL AMAN</t>
        </is>
      </c>
      <c r="N364" t="inlineStr">
        <is>
          <t>2026-08-10T19:29:54Z</t>
        </is>
      </c>
      <c r="O364" t="inlineStr">
        <is>
          <t>2026-08-10T19:29:54Z</t>
        </is>
      </c>
    </row>
    <row r="365">
      <c r="A365" s="19" t="inlineStr">
        <is>
          <t>364</t>
        </is>
      </c>
      <c r="B365" s="19" t="inlineStr">
        <is>
          <t>1011829</t>
        </is>
      </c>
      <c r="C365" t="inlineStr">
        <is>
          <t>AKÜ,NS40,DK,35AH,IGYSMF,HUGEL,İNCENACITA</t>
        </is>
      </c>
      <c r="D365" s="19" t="inlineStr">
        <is>
          <t>1</t>
        </is>
      </c>
      <c r="E365" t="n">
        <v>0</v>
      </c>
      <c r="I365" s="19" t="inlineStr">
        <is>
          <t>2</t>
        </is>
      </c>
      <c r="J365" t="inlineStr">
        <is>
          <t>2026-08-08</t>
        </is>
      </c>
      <c r="L365" s="19" t="inlineStr">
        <is>
          <t>1011829</t>
        </is>
      </c>
      <c r="M365" t="inlineStr">
        <is>
          <t>STATUS=IN OEM / EU PACKAGE; SOURCE_CFG=IA-ST-CFG-0284; MARKET=MISIR NACITA</t>
        </is>
      </c>
      <c r="N365" t="inlineStr">
        <is>
          <t>2026-08-10T19:29:54Z</t>
        </is>
      </c>
      <c r="O365" t="inlineStr">
        <is>
          <t>2026-08-10T19:29:54Z</t>
        </is>
      </c>
    </row>
    <row r="366">
      <c r="A366" s="19" t="inlineStr">
        <is>
          <t>365</t>
        </is>
      </c>
      <c r="B366" s="19" t="inlineStr">
        <is>
          <t>1011830</t>
        </is>
      </c>
      <c r="C366" t="inlineStr">
        <is>
          <t>AKÜ,NS40,DK,35AH,IGYA SMF,EAS,İNCE,ATWAN</t>
        </is>
      </c>
      <c r="D366" s="19" t="inlineStr">
        <is>
          <t>1</t>
        </is>
      </c>
      <c r="E366" t="n">
        <v>0</v>
      </c>
      <c r="I366" s="19" t="inlineStr">
        <is>
          <t>2</t>
        </is>
      </c>
      <c r="J366" t="inlineStr">
        <is>
          <t>2026-08-08</t>
        </is>
      </c>
      <c r="L366" s="19" t="inlineStr">
        <is>
          <t>1011830</t>
        </is>
      </c>
      <c r="M366" t="inlineStr">
        <is>
          <t>STATUS=IN OEM / EU PACKAGE; SOURCE_CFG=IA-ST-CFG-0282; MARKET=MISIR ATWAN</t>
        </is>
      </c>
      <c r="N366" t="inlineStr">
        <is>
          <t>2026-08-10T19:29:54Z</t>
        </is>
      </c>
      <c r="O366" t="inlineStr">
        <is>
          <t>2026-08-10T19:29:54Z</t>
        </is>
      </c>
    </row>
    <row r="367">
      <c r="A367" s="19" t="inlineStr">
        <is>
          <t>366</t>
        </is>
      </c>
      <c r="B367" s="19" t="inlineStr">
        <is>
          <t>1011831</t>
        </is>
      </c>
      <c r="C367" t="inlineStr">
        <is>
          <t>AKÜ,NS40,DK,35AH,IGYSMF,İNCİTAU,İNCE,EEC</t>
        </is>
      </c>
      <c r="D367" s="19" t="inlineStr">
        <is>
          <t>1</t>
        </is>
      </c>
      <c r="E367" t="n">
        <v>0</v>
      </c>
      <c r="I367" s="19" t="inlineStr">
        <is>
          <t>2</t>
        </is>
      </c>
      <c r="J367" t="inlineStr">
        <is>
          <t>2026-08-08</t>
        </is>
      </c>
      <c r="L367" s="19" t="inlineStr">
        <is>
          <t>1011831</t>
        </is>
      </c>
      <c r="M367" t="inlineStr">
        <is>
          <t>STATUS=IN OEM / EU PACKAGE; SOURCE_CFG=IA-ST-CFG-0284; MARKET=MISIR EEC</t>
        </is>
      </c>
      <c r="N367" t="inlineStr">
        <is>
          <t>2026-08-10T19:29:54Z</t>
        </is>
      </c>
      <c r="O367" t="inlineStr">
        <is>
          <t>2026-08-10T19:29:54Z</t>
        </is>
      </c>
    </row>
    <row r="368">
      <c r="A368" s="19" t="inlineStr">
        <is>
          <t>367</t>
        </is>
      </c>
      <c r="B368" s="19" t="inlineStr">
        <is>
          <t>1011832</t>
        </is>
      </c>
      <c r="C368" t="inlineStr">
        <is>
          <t>AKÜ,NS40,DK,42AH,IGYASMF,İNCİTAURUS,İNCE</t>
        </is>
      </c>
      <c r="D368" s="19" t="inlineStr">
        <is>
          <t>1</t>
        </is>
      </c>
      <c r="E368" t="n">
        <v>0</v>
      </c>
      <c r="I368" s="19" t="inlineStr">
        <is>
          <t>2</t>
        </is>
      </c>
      <c r="J368" t="inlineStr">
        <is>
          <t>2026-08-08</t>
        </is>
      </c>
      <c r="L368" s="19" t="inlineStr">
        <is>
          <t>1011832</t>
        </is>
      </c>
      <c r="M368" t="inlineStr">
        <is>
          <t>STATUS=IN OEM / EU PACKAGE; SOURCE_CFG=IA-ST-CFG-0284; MARKET=None</t>
        </is>
      </c>
      <c r="N368" t="inlineStr">
        <is>
          <t>2026-08-10T19:29:54Z</t>
        </is>
      </c>
      <c r="O368" t="inlineStr">
        <is>
          <t>2026-08-10T19:29:54Z</t>
        </is>
      </c>
    </row>
    <row r="369">
      <c r="A369" s="19" t="inlineStr">
        <is>
          <t>368</t>
        </is>
      </c>
      <c r="B369" s="19" t="inlineStr">
        <is>
          <t>1011834</t>
        </is>
      </c>
      <c r="C369" t="inlineStr">
        <is>
          <t>AKÜ,NS40,DK,42AH,IGYSMF,BLIZ,İNCE,JANENE</t>
        </is>
      </c>
      <c r="D369" s="19" t="inlineStr">
        <is>
          <t>1</t>
        </is>
      </c>
      <c r="E369" t="n">
        <v>0</v>
      </c>
      <c r="I369" s="19" t="inlineStr">
        <is>
          <t>2</t>
        </is>
      </c>
      <c r="J369" t="inlineStr">
        <is>
          <t>2026-08-08</t>
        </is>
      </c>
      <c r="L369" s="19" t="inlineStr">
        <is>
          <t>1011834</t>
        </is>
      </c>
      <c r="M369" t="inlineStr">
        <is>
          <t>STATUS=IN OEM / EU PACKAGE; SOURCE_CFG=IA-ST-CFG-0284; MARKET=JANENE İSRAİL</t>
        </is>
      </c>
      <c r="N369" t="inlineStr">
        <is>
          <t>2026-08-10T19:29:54Z</t>
        </is>
      </c>
      <c r="O369" t="inlineStr">
        <is>
          <t>2026-08-10T19:29:54Z</t>
        </is>
      </c>
    </row>
    <row r="370">
      <c r="A370" s="19" t="inlineStr">
        <is>
          <t>369</t>
        </is>
      </c>
      <c r="B370" s="19" t="inlineStr">
        <is>
          <t>1011835</t>
        </is>
      </c>
      <c r="C370" t="inlineStr">
        <is>
          <t>AKÜ,NS40,DK,25AH,IGYA SMF,EAS,İNCE,ATWAN</t>
        </is>
      </c>
      <c r="D370" s="19" t="inlineStr">
        <is>
          <t>1</t>
        </is>
      </c>
      <c r="E370" t="n">
        <v>0</v>
      </c>
      <c r="I370" s="19" t="inlineStr">
        <is>
          <t>2</t>
        </is>
      </c>
      <c r="J370" t="inlineStr">
        <is>
          <t>2026-08-08</t>
        </is>
      </c>
      <c r="L370" s="19" t="inlineStr">
        <is>
          <t>1011835</t>
        </is>
      </c>
      <c r="M370" t="inlineStr">
        <is>
          <t>STATUS=IN OEM / EU PACKAGE; SOURCE_CFG=IA-ST-CFG-0284; MARKET=MISIR ATWAN</t>
        </is>
      </c>
      <c r="N370" t="inlineStr">
        <is>
          <t>2026-08-10T19:29:54Z</t>
        </is>
      </c>
      <c r="O370" t="inlineStr">
        <is>
          <t>2026-08-10T19:29:54Z</t>
        </is>
      </c>
    </row>
    <row r="371">
      <c r="A371" s="19" t="inlineStr">
        <is>
          <t>370</t>
        </is>
      </c>
      <c r="B371" s="19" t="inlineStr">
        <is>
          <t>1011836</t>
        </is>
      </c>
      <c r="C371" t="inlineStr">
        <is>
          <t>AKÜ,NS40,DK,25AH,IGYSMF,HUGEL,İNCENACITA</t>
        </is>
      </c>
      <c r="D371" s="19" t="inlineStr">
        <is>
          <t>1</t>
        </is>
      </c>
      <c r="E371" t="n">
        <v>0</v>
      </c>
      <c r="I371" s="19" t="inlineStr">
        <is>
          <t>2</t>
        </is>
      </c>
      <c r="J371" t="inlineStr">
        <is>
          <t>2026-08-08</t>
        </is>
      </c>
      <c r="L371" s="19" t="inlineStr">
        <is>
          <t>1011836</t>
        </is>
      </c>
      <c r="M371" t="inlineStr">
        <is>
          <t>STATUS=IN OEM / EU PACKAGE; SOURCE_CFG=IA-ST-CFG-0284; MARKET=MISIR NACITA</t>
        </is>
      </c>
      <c r="N371" t="inlineStr">
        <is>
          <t>2026-08-10T19:29:54Z</t>
        </is>
      </c>
      <c r="O371" t="inlineStr">
        <is>
          <t>2026-08-10T19:29:54Z</t>
        </is>
      </c>
    </row>
    <row r="372">
      <c r="A372" s="19" t="inlineStr">
        <is>
          <t>371</t>
        </is>
      </c>
      <c r="B372" s="19" t="inlineStr">
        <is>
          <t>1011838</t>
        </is>
      </c>
      <c r="C372" t="inlineStr">
        <is>
          <t>AKÜ,NS40,DK,42AH,IGYASMF,BLIZ,İNCEJANENE</t>
        </is>
      </c>
      <c r="D372" s="19" t="inlineStr">
        <is>
          <t>1</t>
        </is>
      </c>
      <c r="E372" t="n">
        <v>0</v>
      </c>
      <c r="I372" s="19" t="inlineStr">
        <is>
          <t>2</t>
        </is>
      </c>
      <c r="J372" t="inlineStr">
        <is>
          <t>2026-08-08</t>
        </is>
      </c>
      <c r="L372" s="19" t="inlineStr">
        <is>
          <t>1011838</t>
        </is>
      </c>
      <c r="M372" t="inlineStr">
        <is>
          <t>STATUS=IN OEM / EU PACKAGE; SOURCE_CFG=IA-ST-CFG-0284; MARKET=JANENE İSRAİL</t>
        </is>
      </c>
      <c r="N372" t="inlineStr">
        <is>
          <t>2026-08-10T19:29:54Z</t>
        </is>
      </c>
      <c r="O372" t="inlineStr">
        <is>
          <t>2026-08-10T19:29:54Z</t>
        </is>
      </c>
    </row>
    <row r="373">
      <c r="A373" s="19" t="inlineStr">
        <is>
          <t>372</t>
        </is>
      </c>
      <c r="B373" s="19" t="inlineStr">
        <is>
          <t>1011843</t>
        </is>
      </c>
      <c r="C373" t="inlineStr">
        <is>
          <t>AKÜ,D23,DK,68AH,IGYA SMF,HUGEL ULTRA</t>
        </is>
      </c>
      <c r="D373" s="19" t="inlineStr">
        <is>
          <t>1</t>
        </is>
      </c>
      <c r="E373" t="n">
        <v>0</v>
      </c>
      <c r="I373" s="19" t="inlineStr">
        <is>
          <t>2</t>
        </is>
      </c>
      <c r="J373" t="inlineStr">
        <is>
          <t>2026-08-08</t>
        </is>
      </c>
      <c r="L373" s="19" t="inlineStr">
        <is>
          <t>1011843</t>
        </is>
      </c>
      <c r="M373" t="inlineStr">
        <is>
          <t>STATUS=IN OEM / EU PACKAGE; SOURCE_CFG=IA-ST-CFG-0219; MARKET=None</t>
        </is>
      </c>
      <c r="N373" t="inlineStr">
        <is>
          <t>2026-08-10T19:29:54Z</t>
        </is>
      </c>
      <c r="O373" t="inlineStr">
        <is>
          <t>2026-08-10T19:29:54Z</t>
        </is>
      </c>
    </row>
    <row r="374">
      <c r="A374" s="19" t="inlineStr">
        <is>
          <t>373</t>
        </is>
      </c>
      <c r="B374" s="19" t="inlineStr">
        <is>
          <t>1011845</t>
        </is>
      </c>
      <c r="C374" t="inlineStr">
        <is>
          <t>AKÜ,D23,DK,60AH,IGY SMF,HUGEL,NACITA</t>
        </is>
      </c>
      <c r="D374" s="19" t="inlineStr">
        <is>
          <t>1</t>
        </is>
      </c>
      <c r="E374" t="n">
        <v>0</v>
      </c>
      <c r="I374" s="19" t="inlineStr">
        <is>
          <t>2</t>
        </is>
      </c>
      <c r="J374" t="inlineStr">
        <is>
          <t>2026-08-08</t>
        </is>
      </c>
      <c r="L374" s="19" t="inlineStr">
        <is>
          <t>1011845</t>
        </is>
      </c>
      <c r="M374" t="inlineStr">
        <is>
          <t>STATUS=IN OEM / EU PACKAGE; SOURCE_CFG=IA-ST-CFG-0219; MARKET=MISIR NACITA</t>
        </is>
      </c>
      <c r="N374" t="inlineStr">
        <is>
          <t>2026-08-10T19:29:54Z</t>
        </is>
      </c>
      <c r="O374" t="inlineStr">
        <is>
          <t>2026-08-10T19:29:54Z</t>
        </is>
      </c>
    </row>
    <row r="375">
      <c r="A375" s="19" t="inlineStr">
        <is>
          <t>374</t>
        </is>
      </c>
      <c r="B375" s="19" t="inlineStr">
        <is>
          <t>1011852</t>
        </is>
      </c>
      <c r="C375" t="inlineStr">
        <is>
          <t>AKÜ,D23,DK,60AH,IGYASMF,İNCİ FORM TAURUS</t>
        </is>
      </c>
      <c r="D375" s="19" t="inlineStr">
        <is>
          <t>1</t>
        </is>
      </c>
      <c r="E375" t="n">
        <v>0</v>
      </c>
      <c r="I375" s="19" t="inlineStr">
        <is>
          <t>2</t>
        </is>
      </c>
      <c r="J375" t="inlineStr">
        <is>
          <t>2026-08-08</t>
        </is>
      </c>
      <c r="L375" s="19" t="inlineStr">
        <is>
          <t>1011852</t>
        </is>
      </c>
      <c r="M375" t="inlineStr">
        <is>
          <t>STATUS=IN OEM / EU PACKAGE; SOURCE_CFG=IA-ST-CFG-0219; MARKET=None</t>
        </is>
      </c>
      <c r="N375" t="inlineStr">
        <is>
          <t>2026-08-10T19:29:54Z</t>
        </is>
      </c>
      <c r="O375" t="inlineStr">
        <is>
          <t>2026-08-10T19:29:54Z</t>
        </is>
      </c>
    </row>
    <row r="376">
      <c r="A376" s="19" t="inlineStr">
        <is>
          <t>375</t>
        </is>
      </c>
      <c r="B376" s="19" t="inlineStr">
        <is>
          <t>1011853</t>
        </is>
      </c>
      <c r="C376" t="inlineStr">
        <is>
          <t>AKÜ,D23,DK,60AH,B01,IGY SMF,İNCİ FORMULA</t>
        </is>
      </c>
      <c r="D376" s="19" t="inlineStr">
        <is>
          <t>1</t>
        </is>
      </c>
      <c r="E376" t="n">
        <v>0</v>
      </c>
      <c r="I376" s="19" t="inlineStr">
        <is>
          <t>2</t>
        </is>
      </c>
      <c r="J376" t="inlineStr">
        <is>
          <t>2026-08-08</t>
        </is>
      </c>
      <c r="L376" s="19" t="inlineStr">
        <is>
          <t>1011853</t>
        </is>
      </c>
      <c r="M376" t="inlineStr">
        <is>
          <t>STATUS=IN OEM / EU PACKAGE; SOURCE_CFG=IA-ST-CFG-0219; MARKET=None</t>
        </is>
      </c>
      <c r="N376" t="inlineStr">
        <is>
          <t>2026-08-10T19:29:54Z</t>
        </is>
      </c>
      <c r="O376" t="inlineStr">
        <is>
          <t>2026-08-10T19:29:54Z</t>
        </is>
      </c>
    </row>
    <row r="377">
      <c r="A377" s="19" t="inlineStr">
        <is>
          <t>376</t>
        </is>
      </c>
      <c r="B377" s="19" t="inlineStr">
        <is>
          <t>1011854</t>
        </is>
      </c>
      <c r="C377" t="inlineStr">
        <is>
          <t>AKÜ,LB4,DK,75AH,IGYASMF,İNCİ EFB PANTERA</t>
        </is>
      </c>
      <c r="D377" s="19" t="inlineStr">
        <is>
          <t>1</t>
        </is>
      </c>
      <c r="E377" t="n">
        <v>0</v>
      </c>
      <c r="I377" s="19" t="inlineStr">
        <is>
          <t>2</t>
        </is>
      </c>
      <c r="J377" t="inlineStr">
        <is>
          <t>2026-08-08</t>
        </is>
      </c>
      <c r="L377" s="19" t="inlineStr">
        <is>
          <t>1011854</t>
        </is>
      </c>
      <c r="M377" t="inlineStr">
        <is>
          <t>STATUS=IN OEM / EU PACKAGE; SOURCE_CFG=IA-ST-CFG-0142; MARKET=None</t>
        </is>
      </c>
      <c r="N377" t="inlineStr">
        <is>
          <t>2026-08-10T19:29:54Z</t>
        </is>
      </c>
      <c r="O377" t="inlineStr">
        <is>
          <t>2026-08-10T19:29:54Z</t>
        </is>
      </c>
    </row>
    <row r="378">
      <c r="A378" s="19" t="inlineStr">
        <is>
          <t>377</t>
        </is>
      </c>
      <c r="B378" s="19" t="inlineStr">
        <is>
          <t>1011855</t>
        </is>
      </c>
      <c r="C378" t="inlineStr">
        <is>
          <t>AKÜ,D23,DK,60AH,IGY SMF,EAS ACTIVA,ATWAN</t>
        </is>
      </c>
      <c r="D378" s="19" t="inlineStr">
        <is>
          <t>1</t>
        </is>
      </c>
      <c r="E378" t="n">
        <v>0</v>
      </c>
      <c r="I378" s="19" t="inlineStr">
        <is>
          <t>2</t>
        </is>
      </c>
      <c r="J378" t="inlineStr">
        <is>
          <t>2026-08-08</t>
        </is>
      </c>
      <c r="L378" s="19" t="inlineStr">
        <is>
          <t>1011855</t>
        </is>
      </c>
      <c r="M378" t="inlineStr">
        <is>
          <t>STATUS=IN OEM / EU PACKAGE; SOURCE_CFG=IA-ST-CFG-0219; MARKET=MISIR ATWAN</t>
        </is>
      </c>
      <c r="N378" t="inlineStr">
        <is>
          <t>2026-08-10T19:29:54Z</t>
        </is>
      </c>
      <c r="O378" t="inlineStr">
        <is>
          <t>2026-08-10T19:29:54Z</t>
        </is>
      </c>
    </row>
    <row r="379">
      <c r="A379" s="19" t="inlineStr">
        <is>
          <t>378</t>
        </is>
      </c>
      <c r="B379" s="19" t="inlineStr">
        <is>
          <t>1011861</t>
        </is>
      </c>
      <c r="C379" t="inlineStr">
        <is>
          <t>AKÜ,LB3,DK,66AH,IGYA SMF,HUGEL ACTION</t>
        </is>
      </c>
      <c r="D379" s="19" t="inlineStr">
        <is>
          <t>1</t>
        </is>
      </c>
      <c r="E379" t="n">
        <v>0</v>
      </c>
      <c r="I379" s="19" t="inlineStr">
        <is>
          <t>2</t>
        </is>
      </c>
      <c r="J379" t="inlineStr">
        <is>
          <t>2026-08-08</t>
        </is>
      </c>
      <c r="L379" s="19" t="inlineStr">
        <is>
          <t>1011861</t>
        </is>
      </c>
      <c r="M379" t="inlineStr">
        <is>
          <t>STATUS=IN OEM / EU PACKAGE; SOURCE_CFG=IA-ST-CFG-0178; MARKET=None</t>
        </is>
      </c>
      <c r="N379" t="inlineStr">
        <is>
          <t>2026-08-10T19:29:54Z</t>
        </is>
      </c>
      <c r="O379" t="inlineStr">
        <is>
          <t>2026-08-10T19:29:54Z</t>
        </is>
      </c>
    </row>
    <row r="380">
      <c r="A380" s="19" t="inlineStr">
        <is>
          <t>379</t>
        </is>
      </c>
      <c r="B380" s="19" t="inlineStr">
        <is>
          <t>1011862</t>
        </is>
      </c>
      <c r="C380" t="inlineStr">
        <is>
          <t>AKÜ,LB3,DK,66AH,IGYASMF,HUGEL ULTRA,NASA</t>
        </is>
      </c>
      <c r="D380" s="19" t="inlineStr">
        <is>
          <t>1</t>
        </is>
      </c>
      <c r="E380" t="n">
        <v>0</v>
      </c>
      <c r="I380" s="19" t="inlineStr">
        <is>
          <t>2</t>
        </is>
      </c>
      <c r="J380" t="inlineStr">
        <is>
          <t>2026-08-08</t>
        </is>
      </c>
      <c r="L380" s="19" t="inlineStr">
        <is>
          <t>1011862</t>
        </is>
      </c>
      <c r="M380" t="inlineStr">
        <is>
          <t>STATUS=IN OEM / EU PACKAGE; SOURCE_CFG=IA-ST-CFG-0178; MARKET=NASA</t>
        </is>
      </c>
      <c r="N380" t="inlineStr">
        <is>
          <t>2026-08-10T19:29:54Z</t>
        </is>
      </c>
      <c r="O380" t="inlineStr">
        <is>
          <t>2026-08-10T19:29:54Z</t>
        </is>
      </c>
    </row>
    <row r="381">
      <c r="A381" s="19" t="inlineStr">
        <is>
          <t>380</t>
        </is>
      </c>
      <c r="B381" s="19" t="inlineStr">
        <is>
          <t>1011863</t>
        </is>
      </c>
      <c r="C381" t="inlineStr">
        <is>
          <t>AKÜ,LB3,DK,72AH,IGYASMF,BLIZSILVR,MISIR</t>
        </is>
      </c>
      <c r="D381" s="19" t="inlineStr">
        <is>
          <t>1</t>
        </is>
      </c>
      <c r="E381" t="n">
        <v>0</v>
      </c>
      <c r="I381" s="19" t="inlineStr">
        <is>
          <t>2</t>
        </is>
      </c>
      <c r="J381" t="inlineStr">
        <is>
          <t>2026-08-08</t>
        </is>
      </c>
      <c r="L381" s="19" t="inlineStr">
        <is>
          <t>1011863</t>
        </is>
      </c>
      <c r="M381" t="inlineStr">
        <is>
          <t>STATUS=IN OEM / EU PACKAGE; SOURCE_CFG=IA-ST-CFG-0178; MARKET=MISIR AL AMAN</t>
        </is>
      </c>
      <c r="N381" t="inlineStr">
        <is>
          <t>2026-08-10T19:29:54Z</t>
        </is>
      </c>
      <c r="O381" t="inlineStr">
        <is>
          <t>2026-08-10T19:29:54Z</t>
        </is>
      </c>
    </row>
    <row r="382">
      <c r="A382" s="19" t="inlineStr">
        <is>
          <t>381</t>
        </is>
      </c>
      <c r="B382" s="19" t="inlineStr">
        <is>
          <t>1011867</t>
        </is>
      </c>
      <c r="C382" t="inlineStr">
        <is>
          <t>AKÜ,LB3,DK,65AH,IGYASMF,İNCİ EFB PANTERA</t>
        </is>
      </c>
      <c r="D382" s="19" t="inlineStr">
        <is>
          <t>1</t>
        </is>
      </c>
      <c r="E382" t="n">
        <v>0</v>
      </c>
      <c r="I382" s="19" t="inlineStr">
        <is>
          <t>2</t>
        </is>
      </c>
      <c r="J382" t="inlineStr">
        <is>
          <t>2026-08-08</t>
        </is>
      </c>
      <c r="L382" s="19" t="inlineStr">
        <is>
          <t>1011867</t>
        </is>
      </c>
      <c r="M382" t="inlineStr">
        <is>
          <t>STATUS=IN OEM / EU PACKAGE; SOURCE_CFG=IA-ST-CFG-0178; MARKET=NASA</t>
        </is>
      </c>
      <c r="N382" t="inlineStr">
        <is>
          <t>2026-08-10T19:29:54Z</t>
        </is>
      </c>
      <c r="O382" t="inlineStr">
        <is>
          <t>2026-08-10T19:29:54Z</t>
        </is>
      </c>
    </row>
    <row r="383">
      <c r="A383" s="19" t="inlineStr">
        <is>
          <t>382</t>
        </is>
      </c>
      <c r="B383" s="19" t="inlineStr">
        <is>
          <t>1011868</t>
        </is>
      </c>
      <c r="C383" t="inlineStr">
        <is>
          <t>AKÜ,LB3,DK,72AH,IGYA SMF,İNCİ FORMTAURUS</t>
        </is>
      </c>
      <c r="D383" s="19" t="inlineStr">
        <is>
          <t>1</t>
        </is>
      </c>
      <c r="E383" t="n">
        <v>0</v>
      </c>
      <c r="I383" s="19" t="inlineStr">
        <is>
          <t>2</t>
        </is>
      </c>
      <c r="J383" t="inlineStr">
        <is>
          <t>2026-08-08</t>
        </is>
      </c>
      <c r="L383" s="19" t="inlineStr">
        <is>
          <t>1011868</t>
        </is>
      </c>
      <c r="M383" t="inlineStr">
        <is>
          <t>STATUS=IN OEM / EU PACKAGE; SOURCE_CFG=IA-ST-CFG-0178; MARKET=None</t>
        </is>
      </c>
      <c r="N383" t="inlineStr">
        <is>
          <t>2026-08-10T19:29:54Z</t>
        </is>
      </c>
      <c r="O383" t="inlineStr">
        <is>
          <t>2026-08-10T19:29:54Z</t>
        </is>
      </c>
    </row>
    <row r="384">
      <c r="A384" s="19" t="inlineStr">
        <is>
          <t>383</t>
        </is>
      </c>
      <c r="B384" s="19" t="inlineStr">
        <is>
          <t>1011875</t>
        </is>
      </c>
      <c r="C384" t="inlineStr">
        <is>
          <t>AKÜ,LB2,DK,62AH,IGYASMF,İNCİ FORM TAURUS</t>
        </is>
      </c>
      <c r="D384" s="19" t="inlineStr">
        <is>
          <t>1</t>
        </is>
      </c>
      <c r="E384" t="n">
        <v>0</v>
      </c>
      <c r="I384" s="19" t="inlineStr">
        <is>
          <t>2</t>
        </is>
      </c>
      <c r="J384" t="inlineStr">
        <is>
          <t>2026-08-08</t>
        </is>
      </c>
      <c r="L384" s="19" t="inlineStr">
        <is>
          <t>1011875</t>
        </is>
      </c>
      <c r="M384" t="inlineStr">
        <is>
          <t>STATUS=IN OEM / EU PACKAGE; SOURCE_CFG=IA-ST-CFG-0222; MARKET=None</t>
        </is>
      </c>
      <c r="N384" t="inlineStr">
        <is>
          <t>2026-08-10T19:29:54Z</t>
        </is>
      </c>
      <c r="O384" t="inlineStr">
        <is>
          <t>2026-08-10T19:29:54Z</t>
        </is>
      </c>
    </row>
    <row r="385">
      <c r="A385" s="19" t="inlineStr">
        <is>
          <t>384</t>
        </is>
      </c>
      <c r="B385" s="19" t="inlineStr">
        <is>
          <t>1011877</t>
        </is>
      </c>
      <c r="C385" t="inlineStr">
        <is>
          <t>AKÜ,LB1,DK,44AH,IGYA SMF,EAS ACTIVA</t>
        </is>
      </c>
      <c r="D385" s="19" t="inlineStr">
        <is>
          <t>1</t>
        </is>
      </c>
      <c r="E385" t="n">
        <v>0</v>
      </c>
      <c r="I385" s="19" t="inlineStr">
        <is>
          <t>2</t>
        </is>
      </c>
      <c r="J385" t="inlineStr">
        <is>
          <t>2026-08-08</t>
        </is>
      </c>
      <c r="L385" s="19" t="inlineStr">
        <is>
          <t>1011877</t>
        </is>
      </c>
      <c r="M385" t="inlineStr">
        <is>
          <t>STATUS=IN OEM / EU PACKAGE; SOURCE_CFG=IA-ST-CFG-0247; MARKET=None</t>
        </is>
      </c>
      <c r="N385" t="inlineStr">
        <is>
          <t>2026-08-10T19:29:54Z</t>
        </is>
      </c>
      <c r="O385" t="inlineStr">
        <is>
          <t>2026-08-10T19:29:54Z</t>
        </is>
      </c>
    </row>
    <row r="386">
      <c r="A386" s="19" t="inlineStr">
        <is>
          <t>385</t>
        </is>
      </c>
      <c r="B386" s="19" t="inlineStr">
        <is>
          <t>1011878</t>
        </is>
      </c>
      <c r="C386" t="inlineStr">
        <is>
          <t>AKÜ,LB1,DK,50AH,IGYASMF,İNCİ FORM TAURUS</t>
        </is>
      </c>
      <c r="D386" s="19" t="inlineStr">
        <is>
          <t>1</t>
        </is>
      </c>
      <c r="E386" t="n">
        <v>0</v>
      </c>
      <c r="I386" s="19" t="inlineStr">
        <is>
          <t>2</t>
        </is>
      </c>
      <c r="J386" t="inlineStr">
        <is>
          <t>2026-08-08</t>
        </is>
      </c>
      <c r="L386" s="19" t="inlineStr">
        <is>
          <t>1011878</t>
        </is>
      </c>
      <c r="M386" t="inlineStr">
        <is>
          <t>STATUS=IN OEM / EU PACKAGE; SOURCE_CFG=IA-ST-CFG-0247; MARKET=None</t>
        </is>
      </c>
      <c r="N386" t="inlineStr">
        <is>
          <t>2026-08-10T19:29:54Z</t>
        </is>
      </c>
      <c r="O386" t="inlineStr">
        <is>
          <t>2026-08-10T19:29:54Z</t>
        </is>
      </c>
    </row>
    <row r="387">
      <c r="A387" s="19" t="inlineStr">
        <is>
          <t>386</t>
        </is>
      </c>
      <c r="B387" s="19" t="inlineStr">
        <is>
          <t>1011881</t>
        </is>
      </c>
      <c r="C387" t="inlineStr">
        <is>
          <t>AKÜ,D26,DK,60AH,IGYASMF,BLIZSILVR,JANENE</t>
        </is>
      </c>
      <c r="D387" s="19" t="inlineStr">
        <is>
          <t>1</t>
        </is>
      </c>
      <c r="E387" t="n">
        <v>0</v>
      </c>
      <c r="I387" s="19" t="inlineStr">
        <is>
          <t>2</t>
        </is>
      </c>
      <c r="J387" t="inlineStr">
        <is>
          <t>2026-08-08</t>
        </is>
      </c>
      <c r="L387" s="19" t="inlineStr">
        <is>
          <t>1011881</t>
        </is>
      </c>
      <c r="M387" t="inlineStr">
        <is>
          <t>STATUS=IN OEM / EU PACKAGE; SOURCE_CFG=IA-ST-CFG-0175; MARKET=JANENE İSRAİL</t>
        </is>
      </c>
      <c r="N387" t="inlineStr">
        <is>
          <t>2026-08-10T19:29:54Z</t>
        </is>
      </c>
      <c r="O387" t="inlineStr">
        <is>
          <t>2026-08-10T19:29:54Z</t>
        </is>
      </c>
    </row>
    <row r="388">
      <c r="A388" s="19" t="inlineStr">
        <is>
          <t>387</t>
        </is>
      </c>
      <c r="B388" s="19" t="inlineStr">
        <is>
          <t>1011882</t>
        </is>
      </c>
      <c r="C388" t="inlineStr">
        <is>
          <t>AKÜ,D26,TK,60AH,IGYASMF,BLIZSILVR,JANENE</t>
        </is>
      </c>
      <c r="D388" s="19" t="inlineStr">
        <is>
          <t>1</t>
        </is>
      </c>
      <c r="E388" t="n">
        <v>0</v>
      </c>
      <c r="I388" s="19" t="inlineStr">
        <is>
          <t>2</t>
        </is>
      </c>
      <c r="J388" t="inlineStr">
        <is>
          <t>2026-08-08</t>
        </is>
      </c>
      <c r="L388" s="19" t="inlineStr">
        <is>
          <t>1011882</t>
        </is>
      </c>
      <c r="M388" t="inlineStr">
        <is>
          <t>STATUS=IN OEM / EU PACKAGE; SOURCE_CFG=IA-ST-CFG-0175; MARKET=JANENE İSRAİL</t>
        </is>
      </c>
      <c r="N388" t="inlineStr">
        <is>
          <t>2026-08-10T19:29:54Z</t>
        </is>
      </c>
      <c r="O388" t="inlineStr">
        <is>
          <t>2026-08-10T19:29:54Z</t>
        </is>
      </c>
    </row>
    <row r="389">
      <c r="A389" s="19" t="inlineStr">
        <is>
          <t>388</t>
        </is>
      </c>
      <c r="B389" s="19" t="inlineStr">
        <is>
          <t>1011883</t>
        </is>
      </c>
      <c r="C389" t="inlineStr">
        <is>
          <t>AKÜ,D26,TK,72AH,IGY SMF,BLIZZARO,SILVER</t>
        </is>
      </c>
      <c r="D389" s="19" t="inlineStr">
        <is>
          <t>1</t>
        </is>
      </c>
      <c r="E389" t="n">
        <v>0</v>
      </c>
      <c r="I389" s="19" t="inlineStr">
        <is>
          <t>2</t>
        </is>
      </c>
      <c r="J389" t="inlineStr">
        <is>
          <t>2026-08-08</t>
        </is>
      </c>
      <c r="L389" s="19" t="inlineStr">
        <is>
          <t>1011883</t>
        </is>
      </c>
      <c r="M389" t="inlineStr">
        <is>
          <t>STATUS=IN OEM / EU PACKAGE; SOURCE_CFG=IA-ST-CFG-0175; MARKET=None</t>
        </is>
      </c>
      <c r="N389" t="inlineStr">
        <is>
          <t>2026-08-10T19:29:54Z</t>
        </is>
      </c>
      <c r="O389" t="inlineStr">
        <is>
          <t>2026-08-10T19:29:54Z</t>
        </is>
      </c>
    </row>
    <row r="390">
      <c r="A390" s="19" t="inlineStr">
        <is>
          <t>389</t>
        </is>
      </c>
      <c r="B390" s="19" t="inlineStr">
        <is>
          <t>1011887</t>
        </is>
      </c>
      <c r="C390" t="inlineStr">
        <is>
          <t>AKÜ,D26,TK,72AH,IGYSMF,HUGELULTRA,NACITA</t>
        </is>
      </c>
      <c r="D390" s="19" t="inlineStr">
        <is>
          <t>1</t>
        </is>
      </c>
      <c r="E390" t="n">
        <v>0</v>
      </c>
      <c r="I390" s="19" t="inlineStr">
        <is>
          <t>2</t>
        </is>
      </c>
      <c r="J390" t="inlineStr">
        <is>
          <t>2026-08-08</t>
        </is>
      </c>
      <c r="L390" s="19" t="inlineStr">
        <is>
          <t>1011887</t>
        </is>
      </c>
      <c r="M390" t="inlineStr">
        <is>
          <t>STATUS=IN OEM / EU PACKAGE; SOURCE_CFG=IA-ST-CFG-0175; MARKET=MISIR NACITA</t>
        </is>
      </c>
      <c r="N390" t="inlineStr">
        <is>
          <t>2026-08-10T19:29:54Z</t>
        </is>
      </c>
      <c r="O390" t="inlineStr">
        <is>
          <t>2026-08-10T19:29:54Z</t>
        </is>
      </c>
    </row>
    <row r="391">
      <c r="A391" s="19" t="inlineStr">
        <is>
          <t>390</t>
        </is>
      </c>
      <c r="B391" s="19" t="inlineStr">
        <is>
          <t>1011888</t>
        </is>
      </c>
      <c r="C391" t="inlineStr">
        <is>
          <t>AKÜ,D26,TK,60AH,IGYSMF,HUGELULTRA,NACITA</t>
        </is>
      </c>
      <c r="D391" s="19" t="inlineStr">
        <is>
          <t>1</t>
        </is>
      </c>
      <c r="E391" t="n">
        <v>0</v>
      </c>
      <c r="I391" s="19" t="inlineStr">
        <is>
          <t>2</t>
        </is>
      </c>
      <c r="J391" t="inlineStr">
        <is>
          <t>2026-08-08</t>
        </is>
      </c>
      <c r="L391" s="19" t="inlineStr">
        <is>
          <t>1011888</t>
        </is>
      </c>
      <c r="M391" t="inlineStr">
        <is>
          <t>STATUS=IN OEM / EU PACKAGE; SOURCE_CFG=IA-ST-CFG-0175; MARKET=MISIR NACITA</t>
        </is>
      </c>
      <c r="N391" t="inlineStr">
        <is>
          <t>2026-08-10T19:29:54Z</t>
        </is>
      </c>
      <c r="O391" t="inlineStr">
        <is>
          <t>2026-08-10T19:29:54Z</t>
        </is>
      </c>
    </row>
    <row r="392">
      <c r="A392" s="19" t="inlineStr">
        <is>
          <t>391</t>
        </is>
      </c>
      <c r="B392" s="19" t="inlineStr">
        <is>
          <t>1011890</t>
        </is>
      </c>
      <c r="C392" t="inlineStr">
        <is>
          <t>AKÜ,D26,TK,75AH,IGYSMF,İNCİTAURS,SHAWKAT</t>
        </is>
      </c>
      <c r="D392" s="19" t="inlineStr">
        <is>
          <t>1</t>
        </is>
      </c>
      <c r="E392" t="n">
        <v>0</v>
      </c>
      <c r="I392" s="19" t="inlineStr">
        <is>
          <t>2</t>
        </is>
      </c>
      <c r="J392" t="inlineStr">
        <is>
          <t>2026-08-08</t>
        </is>
      </c>
      <c r="L392" s="19" t="inlineStr">
        <is>
          <t>1011890</t>
        </is>
      </c>
      <c r="M392" t="inlineStr">
        <is>
          <t>STATUS=IN OEM / EU PACKAGE; SOURCE_CFG=IA-ST-CFG-0175; MARKET=SHAWKAT</t>
        </is>
      </c>
      <c r="N392" t="inlineStr">
        <is>
          <t>2026-08-10T19:29:54Z</t>
        </is>
      </c>
      <c r="O392" t="inlineStr">
        <is>
          <t>2026-08-10T19:29:54Z</t>
        </is>
      </c>
    </row>
    <row r="393">
      <c r="A393" s="19" t="inlineStr">
        <is>
          <t>392</t>
        </is>
      </c>
      <c r="B393" s="19" t="inlineStr">
        <is>
          <t>1011893</t>
        </is>
      </c>
      <c r="C393" t="inlineStr">
        <is>
          <t>AKÜ,L5,DK,88AH,IGYASMF,HUGEL ACTION,NASA</t>
        </is>
      </c>
      <c r="D393" s="19" t="inlineStr">
        <is>
          <t>1</t>
        </is>
      </c>
      <c r="E393" t="n">
        <v>0</v>
      </c>
      <c r="I393" s="19" t="inlineStr">
        <is>
          <t>2</t>
        </is>
      </c>
      <c r="J393" t="inlineStr">
        <is>
          <t>2026-08-08</t>
        </is>
      </c>
      <c r="L393" s="19" t="inlineStr">
        <is>
          <t>1011893</t>
        </is>
      </c>
      <c r="M393" t="inlineStr">
        <is>
          <t>STATUS=IN OEM / EU PACKAGE; SOURCE_CFG=IA-ST-CFG-0096; MARKET=NASA</t>
        </is>
      </c>
      <c r="N393" t="inlineStr">
        <is>
          <t>2026-08-10T19:29:54Z</t>
        </is>
      </c>
      <c r="O393" t="inlineStr">
        <is>
          <t>2026-08-10T19:29:54Z</t>
        </is>
      </c>
    </row>
    <row r="394">
      <c r="A394" s="19" t="inlineStr">
        <is>
          <t>393</t>
        </is>
      </c>
      <c r="B394" s="19" t="inlineStr">
        <is>
          <t>1011894</t>
        </is>
      </c>
      <c r="C394" t="inlineStr">
        <is>
          <t>AKÜ,L5,DK,100AH,IGYA SMF,HUGEL ULTRA</t>
        </is>
      </c>
      <c r="D394" s="19" t="inlineStr">
        <is>
          <t>1</t>
        </is>
      </c>
      <c r="E394" t="n">
        <v>0</v>
      </c>
      <c r="I394" s="19" t="inlineStr">
        <is>
          <t>2</t>
        </is>
      </c>
      <c r="J394" t="inlineStr">
        <is>
          <t>2026-08-08</t>
        </is>
      </c>
      <c r="L394" s="19" t="inlineStr">
        <is>
          <t>1011894</t>
        </is>
      </c>
      <c r="M394" t="inlineStr">
        <is>
          <t>STATUS=IN OEM / EU PACKAGE; SOURCE_CFG=IA-ST-CFG-0096; MARKET=None</t>
        </is>
      </c>
      <c r="N394" t="inlineStr">
        <is>
          <t>2026-08-10T19:29:54Z</t>
        </is>
      </c>
      <c r="O394" t="inlineStr">
        <is>
          <t>2026-08-10T19:29:54Z</t>
        </is>
      </c>
    </row>
    <row r="395">
      <c r="A395" s="19" t="inlineStr">
        <is>
          <t>394</t>
        </is>
      </c>
      <c r="B395" s="19" t="inlineStr">
        <is>
          <t>1011895</t>
        </is>
      </c>
      <c r="C395" t="inlineStr">
        <is>
          <t>AKÜ,L5,DK,100AH,IGYA SMF,HUGEL ACTION</t>
        </is>
      </c>
      <c r="D395" s="19" t="inlineStr">
        <is>
          <t>1</t>
        </is>
      </c>
      <c r="E395" t="n">
        <v>0</v>
      </c>
      <c r="I395" s="19" t="inlineStr">
        <is>
          <t>2</t>
        </is>
      </c>
      <c r="J395" t="inlineStr">
        <is>
          <t>2026-08-08</t>
        </is>
      </c>
      <c r="L395" s="19" t="inlineStr">
        <is>
          <t>1011895</t>
        </is>
      </c>
      <c r="M395" t="inlineStr">
        <is>
          <t>STATUS=IN OEM / EU PACKAGE; SOURCE_CFG=IA-ST-CFG-0096; MARKET=None</t>
        </is>
      </c>
      <c r="N395" t="inlineStr">
        <is>
          <t>2026-08-10T19:29:54Z</t>
        </is>
      </c>
      <c r="O395" t="inlineStr">
        <is>
          <t>2026-08-10T19:29:54Z</t>
        </is>
      </c>
    </row>
    <row r="396">
      <c r="A396" s="19" t="inlineStr">
        <is>
          <t>395</t>
        </is>
      </c>
      <c r="B396" s="19" t="inlineStr">
        <is>
          <t>1011896</t>
        </is>
      </c>
      <c r="C396" t="inlineStr">
        <is>
          <t>AKÜ,D26,DK,72AH,IGYASMF,HUGEL ULTRA,NASA</t>
        </is>
      </c>
      <c r="D396" s="19" t="inlineStr">
        <is>
          <t>1</t>
        </is>
      </c>
      <c r="E396" t="n">
        <v>0</v>
      </c>
      <c r="I396" s="19" t="inlineStr">
        <is>
          <t>2</t>
        </is>
      </c>
      <c r="J396" t="inlineStr">
        <is>
          <t>2026-08-08</t>
        </is>
      </c>
      <c r="L396" s="19" t="inlineStr">
        <is>
          <t>1011896</t>
        </is>
      </c>
      <c r="M396" t="inlineStr">
        <is>
          <t>STATUS=IN OEM / EU PACKAGE; SOURCE_CFG=IA-ST-CFG-0175; MARKET=NASA</t>
        </is>
      </c>
      <c r="N396" t="inlineStr">
        <is>
          <t>2026-08-10T19:29:54Z</t>
        </is>
      </c>
      <c r="O396" t="inlineStr">
        <is>
          <t>2026-08-10T19:29:54Z</t>
        </is>
      </c>
    </row>
    <row r="397">
      <c r="A397" s="19" t="inlineStr">
        <is>
          <t>396</t>
        </is>
      </c>
      <c r="B397" s="19" t="inlineStr">
        <is>
          <t>1011897</t>
        </is>
      </c>
      <c r="C397" t="inlineStr">
        <is>
          <t>AKÜ,L5,DK,100AH,IGYA SMF,EAS ACTIVA</t>
        </is>
      </c>
      <c r="D397" s="19" t="inlineStr">
        <is>
          <t>1</t>
        </is>
      </c>
      <c r="E397" t="n">
        <v>0</v>
      </c>
      <c r="I397" s="19" t="inlineStr">
        <is>
          <t>2</t>
        </is>
      </c>
      <c r="J397" t="inlineStr">
        <is>
          <t>2026-08-08</t>
        </is>
      </c>
      <c r="L397" s="19" t="inlineStr">
        <is>
          <t>1011897</t>
        </is>
      </c>
      <c r="M397" t="inlineStr">
        <is>
          <t>STATUS=IN OEM / EU PACKAGE; SOURCE_CFG=IA-ST-CFG-0096; MARKET=None</t>
        </is>
      </c>
      <c r="N397" t="inlineStr">
        <is>
          <t>2026-08-10T19:29:54Z</t>
        </is>
      </c>
      <c r="O397" t="inlineStr">
        <is>
          <t>2026-08-10T19:29:54Z</t>
        </is>
      </c>
    </row>
    <row r="398">
      <c r="A398" s="19" t="inlineStr">
        <is>
          <t>397</t>
        </is>
      </c>
      <c r="B398" s="19" t="inlineStr">
        <is>
          <t>1011898</t>
        </is>
      </c>
      <c r="C398" t="inlineStr">
        <is>
          <t>AKÜ,D26,TK,72AH,IGY SMF,ULTRA,NASA,7014</t>
        </is>
      </c>
      <c r="D398" s="19" t="inlineStr">
        <is>
          <t>1</t>
        </is>
      </c>
      <c r="E398" t="n">
        <v>0</v>
      </c>
      <c r="I398" s="19" t="inlineStr">
        <is>
          <t>2</t>
        </is>
      </c>
      <c r="J398" t="inlineStr">
        <is>
          <t>2026-08-08</t>
        </is>
      </c>
      <c r="L398" s="19" t="inlineStr">
        <is>
          <t>1011898</t>
        </is>
      </c>
      <c r="M398" t="inlineStr">
        <is>
          <t>STATUS=IN OEM / EU PACKAGE; SOURCE_CFG=IA-ST-CFG-0175; MARKET=NASA</t>
        </is>
      </c>
      <c r="N398" t="inlineStr">
        <is>
          <t>2026-08-10T19:29:54Z</t>
        </is>
      </c>
      <c r="O398" t="inlineStr">
        <is>
          <t>2026-08-10T19:29:54Z</t>
        </is>
      </c>
    </row>
    <row r="399">
      <c r="A399" s="19" t="inlineStr">
        <is>
          <t>398</t>
        </is>
      </c>
      <c r="B399" s="19" t="inlineStr">
        <is>
          <t>1011899</t>
        </is>
      </c>
      <c r="C399" t="inlineStr">
        <is>
          <t>AKÜ,L5,DK,100AH,IGYASMF,BLIZZARO SILVERL</t>
        </is>
      </c>
      <c r="D399" s="19" t="inlineStr">
        <is>
          <t>1</t>
        </is>
      </c>
      <c r="E399" t="n">
        <v>0</v>
      </c>
      <c r="I399" s="19" t="inlineStr">
        <is>
          <t>2</t>
        </is>
      </c>
      <c r="J399" t="inlineStr">
        <is>
          <t>2026-08-08</t>
        </is>
      </c>
      <c r="L399" s="19" t="inlineStr">
        <is>
          <t>1011899</t>
        </is>
      </c>
      <c r="M399" t="inlineStr">
        <is>
          <t>STATUS=IN OEM / EU PACKAGE; SOURCE_CFG=IA-ST-CFG-0096; MARKET=None</t>
        </is>
      </c>
      <c r="N399" t="inlineStr">
        <is>
          <t>2026-08-10T19:29:54Z</t>
        </is>
      </c>
      <c r="O399" t="inlineStr">
        <is>
          <t>2026-08-10T19:29:54Z</t>
        </is>
      </c>
    </row>
    <row r="400">
      <c r="A400" s="19" t="inlineStr">
        <is>
          <t>399</t>
        </is>
      </c>
      <c r="B400" s="19" t="inlineStr">
        <is>
          <t>1011900</t>
        </is>
      </c>
      <c r="C400" t="inlineStr">
        <is>
          <t>AKÜ,D26,DK,72AH,IGYASMF,BLIZZAROSILVERLN</t>
        </is>
      </c>
      <c r="D400" s="19" t="inlineStr">
        <is>
          <t>1</t>
        </is>
      </c>
      <c r="E400" t="n">
        <v>0</v>
      </c>
      <c r="I400" s="19" t="inlineStr">
        <is>
          <t>2</t>
        </is>
      </c>
      <c r="J400" t="inlineStr">
        <is>
          <t>2026-08-08</t>
        </is>
      </c>
      <c r="L400" s="19" t="inlineStr">
        <is>
          <t>1011900</t>
        </is>
      </c>
      <c r="M400" t="inlineStr">
        <is>
          <t>STATUS=IN OEM / EU PACKAGE; SOURCE_CFG=IA-ST-CFG-0175; MARKET=None</t>
        </is>
      </c>
      <c r="N400" t="inlineStr">
        <is>
          <t>2026-08-10T19:29:54Z</t>
        </is>
      </c>
      <c r="O400" t="inlineStr">
        <is>
          <t>2026-08-10T19:29:54Z</t>
        </is>
      </c>
    </row>
    <row r="401">
      <c r="A401" s="19" t="inlineStr">
        <is>
          <t>400</t>
        </is>
      </c>
      <c r="B401" s="19" t="inlineStr">
        <is>
          <t>1011901</t>
        </is>
      </c>
      <c r="C401" t="inlineStr">
        <is>
          <t>AKÜ,L5,DK,100AH,IGYSMF,BLIZSILVER,JANENE</t>
        </is>
      </c>
      <c r="D401" s="19" t="inlineStr">
        <is>
          <t>1</t>
        </is>
      </c>
      <c r="E401" t="n">
        <v>0</v>
      </c>
      <c r="I401" s="19" t="inlineStr">
        <is>
          <t>2</t>
        </is>
      </c>
      <c r="J401" t="inlineStr">
        <is>
          <t>2026-08-08</t>
        </is>
      </c>
      <c r="L401" s="19" t="inlineStr">
        <is>
          <t>1011901</t>
        </is>
      </c>
      <c r="M401" t="inlineStr">
        <is>
          <t>STATUS=IN OEM / EU PACKAGE; SOURCE_CFG=IA-ST-CFG-0096; MARKET=JANENE İSRAİL</t>
        </is>
      </c>
      <c r="N401" t="inlineStr">
        <is>
          <t>2026-08-10T19:29:54Z</t>
        </is>
      </c>
      <c r="O401" t="inlineStr">
        <is>
          <t>2026-08-10T19:29:54Z</t>
        </is>
      </c>
    </row>
    <row r="402">
      <c r="A402" s="19" t="inlineStr">
        <is>
          <t>401</t>
        </is>
      </c>
      <c r="B402" s="19" t="inlineStr">
        <is>
          <t>1011903</t>
        </is>
      </c>
      <c r="C402" t="inlineStr">
        <is>
          <t>AKÜ,D26,DK,75AH,IGYSMF,İNCİTAURS,SHAWKAT</t>
        </is>
      </c>
      <c r="D402" s="19" t="inlineStr">
        <is>
          <t>1</t>
        </is>
      </c>
      <c r="E402" t="n">
        <v>0</v>
      </c>
      <c r="I402" s="19" t="inlineStr">
        <is>
          <t>2</t>
        </is>
      </c>
      <c r="J402" t="inlineStr">
        <is>
          <t>2026-08-08</t>
        </is>
      </c>
      <c r="L402" s="19" t="inlineStr">
        <is>
          <t>1011903</t>
        </is>
      </c>
      <c r="M402" t="inlineStr">
        <is>
          <t>STATUS=IN OEM / EU PACKAGE; SOURCE_CFG=IA-ST-CFG-0175; MARKET=SHAWKAT</t>
        </is>
      </c>
      <c r="N402" t="inlineStr">
        <is>
          <t>2026-08-10T19:29:54Z</t>
        </is>
      </c>
      <c r="O402" t="inlineStr">
        <is>
          <t>2026-08-10T19:29:54Z</t>
        </is>
      </c>
    </row>
    <row r="403">
      <c r="A403" s="19" t="inlineStr">
        <is>
          <t>402</t>
        </is>
      </c>
      <c r="B403" s="19" t="inlineStr">
        <is>
          <t>1011904</t>
        </is>
      </c>
      <c r="C403" t="inlineStr">
        <is>
          <t>AKÜ,D26,TK,72AH,IGYASMF,İNCİ FORM TAURUS</t>
        </is>
      </c>
      <c r="D403" s="19" t="inlineStr">
        <is>
          <t>1</t>
        </is>
      </c>
      <c r="E403" t="n">
        <v>0</v>
      </c>
      <c r="I403" s="19" t="inlineStr">
        <is>
          <t>2</t>
        </is>
      </c>
      <c r="J403" t="inlineStr">
        <is>
          <t>2026-08-08</t>
        </is>
      </c>
      <c r="L403" s="19" t="inlineStr">
        <is>
          <t>1011904</t>
        </is>
      </c>
      <c r="M403" t="inlineStr">
        <is>
          <t>STATUS=IN OEM / EU PACKAGE; SOURCE_CFG=IA-ST-CFG-0175; MARKET=None</t>
        </is>
      </c>
      <c r="N403" t="inlineStr">
        <is>
          <t>2026-08-10T19:29:54Z</t>
        </is>
      </c>
      <c r="O403" t="inlineStr">
        <is>
          <t>2026-08-10T19:29:54Z</t>
        </is>
      </c>
    </row>
    <row r="404">
      <c r="A404" s="19" t="inlineStr">
        <is>
          <t>403</t>
        </is>
      </c>
      <c r="B404" s="19" t="inlineStr">
        <is>
          <t>1011906</t>
        </is>
      </c>
      <c r="C404" t="inlineStr">
        <is>
          <t>AKÜ,D26,DK,72AH,IGYA SMF,HUGEL ULTRA</t>
        </is>
      </c>
      <c r="D404" s="19" t="inlineStr">
        <is>
          <t>1</t>
        </is>
      </c>
      <c r="E404" t="n">
        <v>0</v>
      </c>
      <c r="I404" s="19" t="inlineStr">
        <is>
          <t>2</t>
        </is>
      </c>
      <c r="J404" t="inlineStr">
        <is>
          <t>2026-08-08</t>
        </is>
      </c>
      <c r="L404" s="19" t="inlineStr">
        <is>
          <t>1011906</t>
        </is>
      </c>
      <c r="M404" t="inlineStr">
        <is>
          <t>STATUS=IN OEM / EU PACKAGE; SOURCE_CFG=IA-ST-CFG-0175; MARKET=None</t>
        </is>
      </c>
      <c r="N404" t="inlineStr">
        <is>
          <t>2026-08-10T19:29:54Z</t>
        </is>
      </c>
      <c r="O404" t="inlineStr">
        <is>
          <t>2026-08-10T19:29:54Z</t>
        </is>
      </c>
    </row>
    <row r="405">
      <c r="A405" s="19" t="inlineStr">
        <is>
          <t>404</t>
        </is>
      </c>
      <c r="B405" s="19" t="inlineStr">
        <is>
          <t>1011907</t>
        </is>
      </c>
      <c r="C405" t="inlineStr">
        <is>
          <t>AKÜ,D26,TK,72AH,IGYA SMF,HUGEL ULTRA</t>
        </is>
      </c>
      <c r="D405" s="19" t="inlineStr">
        <is>
          <t>1</t>
        </is>
      </c>
      <c r="E405" t="n">
        <v>0</v>
      </c>
      <c r="I405" s="19" t="inlineStr">
        <is>
          <t>2</t>
        </is>
      </c>
      <c r="J405" t="inlineStr">
        <is>
          <t>2026-08-08</t>
        </is>
      </c>
      <c r="L405" s="19" t="inlineStr">
        <is>
          <t>1011907</t>
        </is>
      </c>
      <c r="M405" t="inlineStr">
        <is>
          <t>STATUS=IN OEM / EU PACKAGE; SOURCE_CFG=IA-ST-CFG-0175; MARKET=None</t>
        </is>
      </c>
      <c r="N405" t="inlineStr">
        <is>
          <t>2026-08-10T19:29:54Z</t>
        </is>
      </c>
      <c r="O405" t="inlineStr">
        <is>
          <t>2026-08-10T19:29:54Z</t>
        </is>
      </c>
    </row>
    <row r="406">
      <c r="A406" s="19" t="inlineStr">
        <is>
          <t>405</t>
        </is>
      </c>
      <c r="B406" s="19" t="inlineStr">
        <is>
          <t>1011908</t>
        </is>
      </c>
      <c r="C406" t="inlineStr">
        <is>
          <t>AKÜ,D26,DK,66AH,IGYASMF,BLIZSILVR,MISIR</t>
        </is>
      </c>
      <c r="D406" s="19" t="inlineStr">
        <is>
          <t>1</t>
        </is>
      </c>
      <c r="E406" t="n">
        <v>0</v>
      </c>
      <c r="I406" s="19" t="inlineStr">
        <is>
          <t>2</t>
        </is>
      </c>
      <c r="J406" t="inlineStr">
        <is>
          <t>2026-08-08</t>
        </is>
      </c>
      <c r="L406" s="19" t="inlineStr">
        <is>
          <t>1011908</t>
        </is>
      </c>
      <c r="M406" t="inlineStr">
        <is>
          <t>STATUS=IN OEM / EU PACKAGE; SOURCE_CFG=IA-ST-CFG-0175; MARKET=MISIR AL AMAN</t>
        </is>
      </c>
      <c r="N406" t="inlineStr">
        <is>
          <t>2026-08-10T19:29:54Z</t>
        </is>
      </c>
      <c r="O406" t="inlineStr">
        <is>
          <t>2026-08-10T19:29:54Z</t>
        </is>
      </c>
    </row>
    <row r="407">
      <c r="A407" s="19" t="inlineStr">
        <is>
          <t>406</t>
        </is>
      </c>
      <c r="B407" s="19" t="inlineStr">
        <is>
          <t>1011909</t>
        </is>
      </c>
      <c r="C407" t="inlineStr">
        <is>
          <t>AKÜ,D31,DK,100AH,IGYA SMF,İNCİ TAURUS</t>
        </is>
      </c>
      <c r="D407" s="19" t="inlineStr">
        <is>
          <t>1</t>
        </is>
      </c>
      <c r="E407" t="n">
        <v>0</v>
      </c>
      <c r="I407" s="19" t="inlineStr">
        <is>
          <t>2</t>
        </is>
      </c>
      <c r="J407" t="inlineStr">
        <is>
          <t>2026-08-08</t>
        </is>
      </c>
      <c r="L407" s="19" t="inlineStr">
        <is>
          <t>1011909</t>
        </is>
      </c>
      <c r="M407" t="inlineStr">
        <is>
          <t>STATUS=IN OEM / EU PACKAGE; SOURCE_CFG=IA-ST-CFG-0143; MARKET=None</t>
        </is>
      </c>
      <c r="N407" t="inlineStr">
        <is>
          <t>2026-08-10T19:29:54Z</t>
        </is>
      </c>
      <c r="O407" t="inlineStr">
        <is>
          <t>2026-08-10T19:29:54Z</t>
        </is>
      </c>
    </row>
    <row r="408">
      <c r="A408" s="19" t="inlineStr">
        <is>
          <t>407</t>
        </is>
      </c>
      <c r="B408" s="19" t="inlineStr">
        <is>
          <t>1011910</t>
        </is>
      </c>
      <c r="C408" t="inlineStr">
        <is>
          <t>AKÜ,D31,DK,100AH,IGYA SMF,HUGEL ULTRA</t>
        </is>
      </c>
      <c r="D408" s="19" t="inlineStr">
        <is>
          <t>1</t>
        </is>
      </c>
      <c r="E408" t="n">
        <v>0</v>
      </c>
      <c r="I408" s="19" t="inlineStr">
        <is>
          <t>2</t>
        </is>
      </c>
      <c r="J408" t="inlineStr">
        <is>
          <t>2026-08-08</t>
        </is>
      </c>
      <c r="L408" s="19" t="inlineStr">
        <is>
          <t>1011910</t>
        </is>
      </c>
      <c r="M408" t="inlineStr">
        <is>
          <t>STATUS=IN OEM / EU PACKAGE; SOURCE_CFG=IA-ST-CFG-0143; MARKET=None</t>
        </is>
      </c>
      <c r="N408" t="inlineStr">
        <is>
          <t>2026-08-10T19:29:54Z</t>
        </is>
      </c>
      <c r="O408" t="inlineStr">
        <is>
          <t>2026-08-10T19:29:54Z</t>
        </is>
      </c>
    </row>
    <row r="409">
      <c r="A409" s="19" t="inlineStr">
        <is>
          <t>408</t>
        </is>
      </c>
      <c r="B409" s="19" t="inlineStr">
        <is>
          <t>1011911</t>
        </is>
      </c>
      <c r="C409" t="inlineStr">
        <is>
          <t>AKÜ,D31,TK,100AH,IGYA SMF,HUGEL ULTRA</t>
        </is>
      </c>
      <c r="D409" s="19" t="inlineStr">
        <is>
          <t>1</t>
        </is>
      </c>
      <c r="E409" t="n">
        <v>0</v>
      </c>
      <c r="I409" s="19" t="inlineStr">
        <is>
          <t>2</t>
        </is>
      </c>
      <c r="J409" t="inlineStr">
        <is>
          <t>2026-08-08</t>
        </is>
      </c>
      <c r="L409" s="19" t="inlineStr">
        <is>
          <t>1011911</t>
        </is>
      </c>
      <c r="M409" t="inlineStr">
        <is>
          <t>STATUS=IN OEM / EU PACKAGE; SOURCE_CFG=IA-ST-CFG-0143; MARKET=None</t>
        </is>
      </c>
      <c r="N409" t="inlineStr">
        <is>
          <t>2026-08-10T19:29:54Z</t>
        </is>
      </c>
      <c r="O409" t="inlineStr">
        <is>
          <t>2026-08-10T19:29:54Z</t>
        </is>
      </c>
    </row>
    <row r="410">
      <c r="A410" s="19" t="inlineStr">
        <is>
          <t>409</t>
        </is>
      </c>
      <c r="B410" s="19" t="inlineStr">
        <is>
          <t>1011912</t>
        </is>
      </c>
      <c r="C410" t="inlineStr">
        <is>
          <t>AKÜ,D31,DK,90AH,IGYA SMF,HUGEL ULTRA</t>
        </is>
      </c>
      <c r="D410" s="19" t="inlineStr">
        <is>
          <t>1</t>
        </is>
      </c>
      <c r="E410" t="n">
        <v>0</v>
      </c>
      <c r="I410" s="19" t="inlineStr">
        <is>
          <t>2</t>
        </is>
      </c>
      <c r="J410" t="inlineStr">
        <is>
          <t>2026-08-08</t>
        </is>
      </c>
      <c r="L410" s="19" t="inlineStr">
        <is>
          <t>1011912</t>
        </is>
      </c>
      <c r="M410" t="inlineStr">
        <is>
          <t>STATUS=IN OEM / EU PACKAGE; SOURCE_CFG=IA-ST-CFG-0143; MARKET=None</t>
        </is>
      </c>
      <c r="N410" t="inlineStr">
        <is>
          <t>2026-08-10T19:29:54Z</t>
        </is>
      </c>
      <c r="O410" t="inlineStr">
        <is>
          <t>2026-08-10T19:29:54Z</t>
        </is>
      </c>
    </row>
    <row r="411">
      <c r="A411" s="19" t="inlineStr">
        <is>
          <t>410</t>
        </is>
      </c>
      <c r="B411" s="19" t="inlineStr">
        <is>
          <t>1011913</t>
        </is>
      </c>
      <c r="C411" t="inlineStr">
        <is>
          <t>AKÜ,D31,TK,90AH,IGYA,FORMLA,KOLİEECMISIR</t>
        </is>
      </c>
      <c r="D411" s="19" t="inlineStr">
        <is>
          <t>1</t>
        </is>
      </c>
      <c r="E411" t="n">
        <v>0</v>
      </c>
      <c r="I411" s="19" t="inlineStr">
        <is>
          <t>2</t>
        </is>
      </c>
      <c r="J411" t="inlineStr">
        <is>
          <t>2026-08-08</t>
        </is>
      </c>
      <c r="L411" s="19" t="inlineStr">
        <is>
          <t>1011913</t>
        </is>
      </c>
      <c r="M411" t="inlineStr">
        <is>
          <t>STATUS=IN OEM / EU PACKAGE; SOURCE_CFG=IA-ST-CFG-0128; MARKET=MISIR EEC</t>
        </is>
      </c>
      <c r="N411" t="inlineStr">
        <is>
          <t>2026-08-10T19:29:54Z</t>
        </is>
      </c>
      <c r="O411" t="inlineStr">
        <is>
          <t>2026-08-10T19:29:54Z</t>
        </is>
      </c>
    </row>
    <row r="412">
      <c r="A412" s="19" t="inlineStr">
        <is>
          <t>411</t>
        </is>
      </c>
      <c r="B412" s="19" t="inlineStr">
        <is>
          <t>1011914</t>
        </is>
      </c>
      <c r="C412" t="inlineStr">
        <is>
          <t>AKÜ,D31,TK,90AH,IGYA SMF,HUGEL ULTRA</t>
        </is>
      </c>
      <c r="D412" s="19" t="inlineStr">
        <is>
          <t>1</t>
        </is>
      </c>
      <c r="E412" t="n">
        <v>0</v>
      </c>
      <c r="I412" s="19" t="inlineStr">
        <is>
          <t>2</t>
        </is>
      </c>
      <c r="J412" t="inlineStr">
        <is>
          <t>2026-08-08</t>
        </is>
      </c>
      <c r="L412" s="19" t="inlineStr">
        <is>
          <t>1011914</t>
        </is>
      </c>
      <c r="M412" t="inlineStr">
        <is>
          <t>STATUS=IN OEM / EU PACKAGE; SOURCE_CFG=IA-ST-CFG-0143; MARKET=None</t>
        </is>
      </c>
      <c r="N412" t="inlineStr">
        <is>
          <t>2026-08-10T19:29:54Z</t>
        </is>
      </c>
      <c r="O412" t="inlineStr">
        <is>
          <t>2026-08-10T19:29:54Z</t>
        </is>
      </c>
    </row>
    <row r="413">
      <c r="A413" s="19" t="inlineStr">
        <is>
          <t>412</t>
        </is>
      </c>
      <c r="B413" s="19" t="inlineStr">
        <is>
          <t>1011915</t>
        </is>
      </c>
      <c r="C413" t="inlineStr">
        <is>
          <t>AKÜ,D31,DK,90AH,IGYA SMF,BLIZZAROSILVERL</t>
        </is>
      </c>
      <c r="D413" s="19" t="inlineStr">
        <is>
          <t>1</t>
        </is>
      </c>
      <c r="E413" t="n">
        <v>0</v>
      </c>
      <c r="I413" s="19" t="inlineStr">
        <is>
          <t>2</t>
        </is>
      </c>
      <c r="J413" t="inlineStr">
        <is>
          <t>2026-08-08</t>
        </is>
      </c>
      <c r="L413" s="19" t="inlineStr">
        <is>
          <t>1011915</t>
        </is>
      </c>
      <c r="M413" t="inlineStr">
        <is>
          <t>STATUS=IN OEM / EU PACKAGE; SOURCE_CFG=IA-ST-CFG-0143; MARKET=None</t>
        </is>
      </c>
      <c r="N413" t="inlineStr">
        <is>
          <t>2026-08-10T19:29:54Z</t>
        </is>
      </c>
      <c r="O413" t="inlineStr">
        <is>
          <t>2026-08-10T19:29:54Z</t>
        </is>
      </c>
    </row>
    <row r="414">
      <c r="A414" s="19" t="inlineStr">
        <is>
          <t>413</t>
        </is>
      </c>
      <c r="B414" s="19" t="inlineStr">
        <is>
          <t>1011916</t>
        </is>
      </c>
      <c r="C414" t="inlineStr">
        <is>
          <t>AKÜ,D31,TK,90AH,IGY SMF,BLIZ SILV,JANENE</t>
        </is>
      </c>
      <c r="D414" s="19" t="inlineStr">
        <is>
          <t>1</t>
        </is>
      </c>
      <c r="E414" t="n">
        <v>0</v>
      </c>
      <c r="I414" s="19" t="inlineStr">
        <is>
          <t>2</t>
        </is>
      </c>
      <c r="J414" t="inlineStr">
        <is>
          <t>2026-08-08</t>
        </is>
      </c>
      <c r="L414" s="19" t="inlineStr">
        <is>
          <t>1011916</t>
        </is>
      </c>
      <c r="M414" t="inlineStr">
        <is>
          <t>STATUS=IN OEM / EU PACKAGE; SOURCE_CFG=IA-ST-CFG-0143; MARKET=JANENE İSRAİL</t>
        </is>
      </c>
      <c r="N414" t="inlineStr">
        <is>
          <t>2026-08-10T19:29:54Z</t>
        </is>
      </c>
      <c r="O414" t="inlineStr">
        <is>
          <t>2026-08-10T19:29:54Z</t>
        </is>
      </c>
    </row>
    <row r="415">
      <c r="A415" s="19" t="inlineStr">
        <is>
          <t>414</t>
        </is>
      </c>
      <c r="B415" s="19" t="inlineStr">
        <is>
          <t>1011918</t>
        </is>
      </c>
      <c r="C415" t="inlineStr">
        <is>
          <t>AKÜ,D31,DK,90AH,IGY SMF,BLIZ SILV,JANENE</t>
        </is>
      </c>
      <c r="D415" s="19" t="inlineStr">
        <is>
          <t>1</t>
        </is>
      </c>
      <c r="E415" t="n">
        <v>0</v>
      </c>
      <c r="I415" s="19" t="inlineStr">
        <is>
          <t>2</t>
        </is>
      </c>
      <c r="J415" t="inlineStr">
        <is>
          <t>2026-08-08</t>
        </is>
      </c>
      <c r="L415" s="19" t="inlineStr">
        <is>
          <t>1011918</t>
        </is>
      </c>
      <c r="M415" t="inlineStr">
        <is>
          <t>STATUS=IN OEM / EU PACKAGE; SOURCE_CFG=IA-ST-CFG-0143; MARKET=JANENE İSRAİL</t>
        </is>
      </c>
      <c r="N415" t="inlineStr">
        <is>
          <t>2026-08-10T19:29:54Z</t>
        </is>
      </c>
      <c r="O415" t="inlineStr">
        <is>
          <t>2026-08-10T19:29:54Z</t>
        </is>
      </c>
    </row>
    <row r="416">
      <c r="A416" s="19" t="inlineStr">
        <is>
          <t>415</t>
        </is>
      </c>
      <c r="B416" s="19" t="inlineStr">
        <is>
          <t>1011919</t>
        </is>
      </c>
      <c r="C416" t="inlineStr">
        <is>
          <t>AKÜ,D31,DK,80AH,IGY SMF,FORMULA TAURUS</t>
        </is>
      </c>
      <c r="D416" s="19" t="inlineStr">
        <is>
          <t>1</t>
        </is>
      </c>
      <c r="E416" t="n">
        <v>0</v>
      </c>
      <c r="I416" s="19" t="inlineStr">
        <is>
          <t>2</t>
        </is>
      </c>
      <c r="J416" t="inlineStr">
        <is>
          <t>2026-08-08</t>
        </is>
      </c>
      <c r="L416" s="19" t="inlineStr">
        <is>
          <t>1011919</t>
        </is>
      </c>
      <c r="M416" t="inlineStr">
        <is>
          <t>STATUS=IN OEM / EU PACKAGE; SOURCE_CFG=IA-ST-CFG-0143; MARKET=None</t>
        </is>
      </c>
      <c r="N416" t="inlineStr">
        <is>
          <t>2026-08-10T19:29:54Z</t>
        </is>
      </c>
      <c r="O416" t="inlineStr">
        <is>
          <t>2026-08-10T19:29:54Z</t>
        </is>
      </c>
    </row>
    <row r="417">
      <c r="A417" s="19" t="inlineStr">
        <is>
          <t>416</t>
        </is>
      </c>
      <c r="B417" s="19" t="inlineStr">
        <is>
          <t>1011920</t>
        </is>
      </c>
      <c r="C417" t="inlineStr">
        <is>
          <t>AKÜ,D31,DK,80AH,IGYA SMF,HUGEL ULTRA</t>
        </is>
      </c>
      <c r="D417" s="19" t="inlineStr">
        <is>
          <t>1</t>
        </is>
      </c>
      <c r="E417" t="n">
        <v>0</v>
      </c>
      <c r="I417" s="19" t="inlineStr">
        <is>
          <t>2</t>
        </is>
      </c>
      <c r="J417" t="inlineStr">
        <is>
          <t>2026-08-08</t>
        </is>
      </c>
      <c r="L417" s="19" t="inlineStr">
        <is>
          <t>1011920</t>
        </is>
      </c>
      <c r="M417" t="inlineStr">
        <is>
          <t>STATUS=IN OEM / EU PACKAGE; SOURCE_CFG=IA-ST-CFG-0143; MARKET=None</t>
        </is>
      </c>
      <c r="N417" t="inlineStr">
        <is>
          <t>2026-08-10T19:29:54Z</t>
        </is>
      </c>
      <c r="O417" t="inlineStr">
        <is>
          <t>2026-08-10T19:29:54Z</t>
        </is>
      </c>
    </row>
    <row r="418">
      <c r="A418" s="19" t="inlineStr">
        <is>
          <t>417</t>
        </is>
      </c>
      <c r="B418" s="19" t="inlineStr">
        <is>
          <t>1011925</t>
        </is>
      </c>
      <c r="C418" t="inlineStr">
        <is>
          <t>AKÜ,D31,TK100AH,IGYSMF,HUGELULTRA,NACITA</t>
        </is>
      </c>
      <c r="D418" s="19" t="inlineStr">
        <is>
          <t>1</t>
        </is>
      </c>
      <c r="E418" t="n">
        <v>0</v>
      </c>
      <c r="I418" s="19" t="inlineStr">
        <is>
          <t>2</t>
        </is>
      </c>
      <c r="J418" t="inlineStr">
        <is>
          <t>2026-08-08</t>
        </is>
      </c>
      <c r="L418" s="19" t="inlineStr">
        <is>
          <t>1011925</t>
        </is>
      </c>
      <c r="M418" t="inlineStr">
        <is>
          <t>STATUS=IN OEM / EU PACKAGE; SOURCE_CFG=IA-ST-CFG-0143; MARKET=MISIR NACITA</t>
        </is>
      </c>
      <c r="N418" t="inlineStr">
        <is>
          <t>2026-08-10T19:29:54Z</t>
        </is>
      </c>
      <c r="O418" t="inlineStr">
        <is>
          <t>2026-08-10T19:29:54Z</t>
        </is>
      </c>
    </row>
    <row r="419">
      <c r="A419" s="19" t="inlineStr">
        <is>
          <t>418</t>
        </is>
      </c>
      <c r="B419" s="19" t="inlineStr">
        <is>
          <t>1011926</t>
        </is>
      </c>
      <c r="C419" t="inlineStr">
        <is>
          <t>AKÜ,D31,TK,80AH,IGYSMF,HUGELULTRA,NACITA</t>
        </is>
      </c>
      <c r="D419" s="19" t="inlineStr">
        <is>
          <t>1</t>
        </is>
      </c>
      <c r="E419" t="n">
        <v>0</v>
      </c>
      <c r="I419" s="19" t="inlineStr">
        <is>
          <t>2</t>
        </is>
      </c>
      <c r="J419" t="inlineStr">
        <is>
          <t>2026-08-08</t>
        </is>
      </c>
      <c r="L419" s="19" t="inlineStr">
        <is>
          <t>1011926</t>
        </is>
      </c>
      <c r="M419" t="inlineStr">
        <is>
          <t>STATUS=IN OEM / EU PACKAGE; SOURCE_CFG=IA-ST-CFG-0143; MARKET=MISIR NACITA</t>
        </is>
      </c>
      <c r="N419" t="inlineStr">
        <is>
          <t>2026-08-10T19:29:54Z</t>
        </is>
      </c>
      <c r="O419" t="inlineStr">
        <is>
          <t>2026-08-10T19:29:54Z</t>
        </is>
      </c>
    </row>
    <row r="420">
      <c r="A420" s="19" t="inlineStr">
        <is>
          <t>419</t>
        </is>
      </c>
      <c r="B420" s="19" t="inlineStr">
        <is>
          <t>1011927</t>
        </is>
      </c>
      <c r="C420" t="inlineStr">
        <is>
          <t>AKÜ,D31,TK,90AH,IGYSMF,HUGEL ULTR,NACITA</t>
        </is>
      </c>
      <c r="D420" s="19" t="inlineStr">
        <is>
          <t>1</t>
        </is>
      </c>
      <c r="E420" t="n">
        <v>0</v>
      </c>
      <c r="I420" s="19" t="inlineStr">
        <is>
          <t>2</t>
        </is>
      </c>
      <c r="J420" t="inlineStr">
        <is>
          <t>2026-08-08</t>
        </is>
      </c>
      <c r="L420" s="19" t="inlineStr">
        <is>
          <t>1011927</t>
        </is>
      </c>
      <c r="M420" t="inlineStr">
        <is>
          <t>STATUS=IN OEM / EU PACKAGE; SOURCE_CFG=IA-ST-CFG-0143; MARKET=MISIR NACITA</t>
        </is>
      </c>
      <c r="N420" t="inlineStr">
        <is>
          <t>2026-08-10T19:29:54Z</t>
        </is>
      </c>
      <c r="O420" t="inlineStr">
        <is>
          <t>2026-08-10T19:29:54Z</t>
        </is>
      </c>
    </row>
    <row r="421">
      <c r="A421" s="19" t="inlineStr">
        <is>
          <t>420</t>
        </is>
      </c>
      <c r="B421" s="19" t="inlineStr">
        <is>
          <t>1011930</t>
        </is>
      </c>
      <c r="C421" t="inlineStr">
        <is>
          <t>AKÜ,D31,TK,80AH,IGYASMF,BLIZSILVR,MISIR</t>
        </is>
      </c>
      <c r="D421" s="19" t="inlineStr">
        <is>
          <t>1</t>
        </is>
      </c>
      <c r="E421" t="n">
        <v>0</v>
      </c>
      <c r="I421" s="19" t="inlineStr">
        <is>
          <t>2</t>
        </is>
      </c>
      <c r="J421" t="inlineStr">
        <is>
          <t>2026-08-08</t>
        </is>
      </c>
      <c r="L421" s="19" t="inlineStr">
        <is>
          <t>1011930</t>
        </is>
      </c>
      <c r="M421" t="inlineStr">
        <is>
          <t>STATUS=IN OEM / EU PACKAGE; SOURCE_CFG=IA-ST-CFG-0126; MARKET=MISIR AL AMAN</t>
        </is>
      </c>
      <c r="N421" t="inlineStr">
        <is>
          <t>2026-08-10T19:29:54Z</t>
        </is>
      </c>
      <c r="O421" t="inlineStr">
        <is>
          <t>2026-08-10T19:29:54Z</t>
        </is>
      </c>
    </row>
    <row r="422">
      <c r="A422" s="19" t="inlineStr">
        <is>
          <t>421</t>
        </is>
      </c>
      <c r="B422" s="19" t="inlineStr">
        <is>
          <t>1011931</t>
        </is>
      </c>
      <c r="C422" t="inlineStr">
        <is>
          <t>AKÜ,D31,DK,80AH,IGYASMF,BLIZSILVR,MISIR</t>
        </is>
      </c>
      <c r="D422" s="19" t="inlineStr">
        <is>
          <t>1</t>
        </is>
      </c>
      <c r="E422" t="n">
        <v>0</v>
      </c>
      <c r="I422" s="19" t="inlineStr">
        <is>
          <t>2</t>
        </is>
      </c>
      <c r="J422" t="inlineStr">
        <is>
          <t>2026-08-08</t>
        </is>
      </c>
      <c r="L422" s="19" t="inlineStr">
        <is>
          <t>1011931</t>
        </is>
      </c>
      <c r="M422" t="inlineStr">
        <is>
          <t>STATUS=IN OEM / EU PACKAGE; SOURCE_CFG=IA-ST-CFG-0126; MARKET=MISIR AL AMAN</t>
        </is>
      </c>
      <c r="N422" t="inlineStr">
        <is>
          <t>2026-08-10T19:29:54Z</t>
        </is>
      </c>
      <c r="O422" t="inlineStr">
        <is>
          <t>2026-08-10T19:29:54Z</t>
        </is>
      </c>
    </row>
    <row r="423">
      <c r="A423" s="19" t="inlineStr">
        <is>
          <t>422</t>
        </is>
      </c>
      <c r="B423" s="19" t="inlineStr">
        <is>
          <t>1011932</t>
        </is>
      </c>
      <c r="C423" t="inlineStr">
        <is>
          <t>AKÜ,D31,TK,90AH,IGYASMF,İNCİ FORM TAURUS</t>
        </is>
      </c>
      <c r="D423" s="19" t="inlineStr">
        <is>
          <t>1</t>
        </is>
      </c>
      <c r="E423" t="n">
        <v>0</v>
      </c>
      <c r="I423" s="19" t="inlineStr">
        <is>
          <t>2</t>
        </is>
      </c>
      <c r="J423" t="inlineStr">
        <is>
          <t>2026-08-08</t>
        </is>
      </c>
      <c r="L423" s="19" t="inlineStr">
        <is>
          <t>1011932</t>
        </is>
      </c>
      <c r="M423" t="inlineStr">
        <is>
          <t>STATUS=IN OEM / EU PACKAGE; SOURCE_CFG=IA-ST-CFG-0143; MARKET=None</t>
        </is>
      </c>
      <c r="N423" t="inlineStr">
        <is>
          <t>2026-08-10T19:29:54Z</t>
        </is>
      </c>
      <c r="O423" t="inlineStr">
        <is>
          <t>2026-08-10T19:29:54Z</t>
        </is>
      </c>
    </row>
    <row r="424">
      <c r="A424" s="19" t="inlineStr">
        <is>
          <t>423</t>
        </is>
      </c>
      <c r="B424" s="19" t="inlineStr">
        <is>
          <t>1011933</t>
        </is>
      </c>
      <c r="C424" t="inlineStr">
        <is>
          <t>AKÜ,D31,TK,90AH,IGYSMF,BLIZZ.SILVR,MISIR</t>
        </is>
      </c>
      <c r="D424" s="19" t="inlineStr">
        <is>
          <t>1</t>
        </is>
      </c>
      <c r="E424" t="n">
        <v>0</v>
      </c>
      <c r="I424" s="19" t="inlineStr">
        <is>
          <t>2</t>
        </is>
      </c>
      <c r="J424" t="inlineStr">
        <is>
          <t>2026-08-08</t>
        </is>
      </c>
      <c r="L424" s="19" t="inlineStr">
        <is>
          <t>1011933</t>
        </is>
      </c>
      <c r="M424" t="inlineStr">
        <is>
          <t>STATUS=IN OEM / EU PACKAGE; SOURCE_CFG=IA-ST-CFG-0126; MARKET=MISIR AL AMAN</t>
        </is>
      </c>
      <c r="N424" t="inlineStr">
        <is>
          <t>2026-08-10T19:29:54Z</t>
        </is>
      </c>
      <c r="O424" t="inlineStr">
        <is>
          <t>2026-08-10T19:29:54Z</t>
        </is>
      </c>
    </row>
    <row r="425">
      <c r="A425" s="19" t="inlineStr">
        <is>
          <t>424</t>
        </is>
      </c>
      <c r="B425" s="19" t="inlineStr">
        <is>
          <t>1011934</t>
        </is>
      </c>
      <c r="C425" t="inlineStr">
        <is>
          <t>AKÜ,D31,DK,90AH,IGYSMF,BLIZZ.SILVR,MISIR</t>
        </is>
      </c>
      <c r="D425" s="19" t="inlineStr">
        <is>
          <t>1</t>
        </is>
      </c>
      <c r="E425" t="n">
        <v>0</v>
      </c>
      <c r="I425" s="19" t="inlineStr">
        <is>
          <t>2</t>
        </is>
      </c>
      <c r="J425" t="inlineStr">
        <is>
          <t>2026-08-08</t>
        </is>
      </c>
      <c r="L425" s="19" t="inlineStr">
        <is>
          <t>1011934</t>
        </is>
      </c>
      <c r="M425" t="inlineStr">
        <is>
          <t>STATUS=IN OEM / EU PACKAGE; SOURCE_CFG=IA-ST-CFG-0126; MARKET=MISIR AL AMAN</t>
        </is>
      </c>
      <c r="N425" t="inlineStr">
        <is>
          <t>2026-08-10T19:29:54Z</t>
        </is>
      </c>
      <c r="O425" t="inlineStr">
        <is>
          <t>2026-08-10T19:29:54Z</t>
        </is>
      </c>
    </row>
    <row r="426">
      <c r="A426" s="19" t="inlineStr">
        <is>
          <t>425</t>
        </is>
      </c>
      <c r="B426" s="19" t="inlineStr">
        <is>
          <t>1011935</t>
        </is>
      </c>
      <c r="C426" t="inlineStr">
        <is>
          <t>AKÜ,D31,TK,80AH,IGYASMF,EAS KOLİLİ,ATWAN</t>
        </is>
      </c>
      <c r="D426" s="19" t="inlineStr">
        <is>
          <t>1</t>
        </is>
      </c>
      <c r="E426" t="n">
        <v>0</v>
      </c>
      <c r="I426" s="19" t="inlineStr">
        <is>
          <t>2</t>
        </is>
      </c>
      <c r="J426" t="inlineStr">
        <is>
          <t>2026-08-08</t>
        </is>
      </c>
      <c r="L426" s="19" t="inlineStr">
        <is>
          <t>1011935</t>
        </is>
      </c>
      <c r="M426" t="inlineStr">
        <is>
          <t>STATUS=IN OEM / EU PACKAGE; SOURCE_CFG=IA-ST-CFG-0122; MARKET=MISIR ATWAN</t>
        </is>
      </c>
      <c r="N426" t="inlineStr">
        <is>
          <t>2026-08-10T19:29:54Z</t>
        </is>
      </c>
      <c r="O426" t="inlineStr">
        <is>
          <t>2026-08-10T19:29:54Z</t>
        </is>
      </c>
    </row>
    <row r="427">
      <c r="A427" s="19" t="inlineStr">
        <is>
          <t>426</t>
        </is>
      </c>
      <c r="B427" s="19" t="inlineStr">
        <is>
          <t>1011936</t>
        </is>
      </c>
      <c r="C427" t="inlineStr">
        <is>
          <t>AKÜ,D31,TK,90AH,IGYASMF,EAS KOLİLİ,ATWAN</t>
        </is>
      </c>
      <c r="D427" s="19" t="inlineStr">
        <is>
          <t>1</t>
        </is>
      </c>
      <c r="E427" t="n">
        <v>0</v>
      </c>
      <c r="I427" s="19" t="inlineStr">
        <is>
          <t>2</t>
        </is>
      </c>
      <c r="J427" t="inlineStr">
        <is>
          <t>2026-08-08</t>
        </is>
      </c>
      <c r="L427" s="19" t="inlineStr">
        <is>
          <t>1011936</t>
        </is>
      </c>
      <c r="M427" t="inlineStr">
        <is>
          <t>STATUS=IN OEM / EU PACKAGE; SOURCE_CFG=IA-ST-CFG-0122; MARKET=MISIR ATWAN</t>
        </is>
      </c>
      <c r="N427" t="inlineStr">
        <is>
          <t>2026-08-10T19:29:54Z</t>
        </is>
      </c>
      <c r="O427" t="inlineStr">
        <is>
          <t>2026-08-10T19:29:54Z</t>
        </is>
      </c>
    </row>
    <row r="428">
      <c r="A428" s="19" t="inlineStr">
        <is>
          <t>427</t>
        </is>
      </c>
      <c r="B428" s="19" t="inlineStr">
        <is>
          <t>1011937</t>
        </is>
      </c>
      <c r="C428" t="inlineStr">
        <is>
          <t>AKÜ,D31,TK,100AH,IGYSMF,HUGEL ULTRA,NASA</t>
        </is>
      </c>
      <c r="D428" s="19" t="inlineStr">
        <is>
          <t>1</t>
        </is>
      </c>
      <c r="E428" t="n">
        <v>0</v>
      </c>
      <c r="I428" s="19" t="inlineStr">
        <is>
          <t>2</t>
        </is>
      </c>
      <c r="J428" t="inlineStr">
        <is>
          <t>2026-08-08</t>
        </is>
      </c>
      <c r="L428" s="19" t="inlineStr">
        <is>
          <t>1011937</t>
        </is>
      </c>
      <c r="M428" t="inlineStr">
        <is>
          <t>STATUS=IN OEM / EU PACKAGE; SOURCE_CFG=IA-ST-CFG-0143; MARKET=NASA</t>
        </is>
      </c>
      <c r="N428" t="inlineStr">
        <is>
          <t>2026-08-10T19:29:54Z</t>
        </is>
      </c>
      <c r="O428" t="inlineStr">
        <is>
          <t>2026-08-10T19:29:54Z</t>
        </is>
      </c>
    </row>
    <row r="429">
      <c r="A429" s="19" t="inlineStr">
        <is>
          <t>428</t>
        </is>
      </c>
      <c r="B429" s="19" t="inlineStr">
        <is>
          <t>1011938</t>
        </is>
      </c>
      <c r="C429" t="inlineStr">
        <is>
          <t>AKÜ,D31,DK,100AH,IGY SMF,HUGEL,NASA</t>
        </is>
      </c>
      <c r="D429" s="19" t="inlineStr">
        <is>
          <t>1</t>
        </is>
      </c>
      <c r="E429" t="n">
        <v>0</v>
      </c>
      <c r="I429" s="19" t="inlineStr">
        <is>
          <t>2</t>
        </is>
      </c>
      <c r="J429" t="inlineStr">
        <is>
          <t>2026-08-08</t>
        </is>
      </c>
      <c r="L429" s="19" t="inlineStr">
        <is>
          <t>1011938</t>
        </is>
      </c>
      <c r="M429" t="inlineStr">
        <is>
          <t>STATUS=IN OEM / EU PACKAGE; SOURCE_CFG=IA-ST-CFG-0143; MARKET=NASA</t>
        </is>
      </c>
      <c r="N429" t="inlineStr">
        <is>
          <t>2026-08-10T19:29:54Z</t>
        </is>
      </c>
      <c r="O429" t="inlineStr">
        <is>
          <t>2026-08-10T19:29:54Z</t>
        </is>
      </c>
    </row>
    <row r="430">
      <c r="A430" s="19" t="inlineStr">
        <is>
          <t>429</t>
        </is>
      </c>
      <c r="B430" s="19" t="inlineStr">
        <is>
          <t>1011939</t>
        </is>
      </c>
      <c r="C430" t="inlineStr">
        <is>
          <t>AKÜ,D31,TK,100AH,IGYSMF,EAS,KOLİLİ,ATWAN</t>
        </is>
      </c>
      <c r="D430" s="19" t="inlineStr">
        <is>
          <t>1</t>
        </is>
      </c>
      <c r="E430" t="n">
        <v>0</v>
      </c>
      <c r="I430" s="19" t="inlineStr">
        <is>
          <t>2</t>
        </is>
      </c>
      <c r="J430" t="inlineStr">
        <is>
          <t>2026-08-08</t>
        </is>
      </c>
      <c r="L430" s="19" t="inlineStr">
        <is>
          <t>1011939</t>
        </is>
      </c>
      <c r="M430" t="inlineStr">
        <is>
          <t>STATUS=IN OEM / EU PACKAGE; SOURCE_CFG=IA-ST-CFG-0122; MARKET=MISIR ATWAN</t>
        </is>
      </c>
      <c r="N430" t="inlineStr">
        <is>
          <t>2026-08-10T19:29:54Z</t>
        </is>
      </c>
      <c r="O430" t="inlineStr">
        <is>
          <t>2026-08-10T19:29:54Z</t>
        </is>
      </c>
    </row>
    <row r="431">
      <c r="A431" s="19" t="inlineStr">
        <is>
          <t>430</t>
        </is>
      </c>
      <c r="B431" s="19" t="inlineStr">
        <is>
          <t>1011940</t>
        </is>
      </c>
      <c r="C431" t="inlineStr">
        <is>
          <t>AKÜ,D31,TK,80AH,IGYA,FORMLA,KOLİEECMISIR</t>
        </is>
      </c>
      <c r="D431" s="19" t="inlineStr">
        <is>
          <t>1</t>
        </is>
      </c>
      <c r="E431" t="n">
        <v>0</v>
      </c>
      <c r="I431" s="19" t="inlineStr">
        <is>
          <t>2</t>
        </is>
      </c>
      <c r="J431" t="inlineStr">
        <is>
          <t>2026-08-08</t>
        </is>
      </c>
      <c r="L431" s="19" t="inlineStr">
        <is>
          <t>1011940</t>
        </is>
      </c>
      <c r="M431" t="inlineStr">
        <is>
          <t>STATUS=IN OEM / EU PACKAGE; SOURCE_CFG=IA-ST-CFG-0128; MARKET=MISIR EEC</t>
        </is>
      </c>
      <c r="N431" t="inlineStr">
        <is>
          <t>2026-08-10T19:29:54Z</t>
        </is>
      </c>
      <c r="O431" t="inlineStr">
        <is>
          <t>2026-08-10T19:29:54Z</t>
        </is>
      </c>
    </row>
    <row r="432">
      <c r="A432" s="19" t="inlineStr">
        <is>
          <t>431</t>
        </is>
      </c>
      <c r="B432" s="19" t="inlineStr">
        <is>
          <t>1011941</t>
        </is>
      </c>
      <c r="C432" t="inlineStr">
        <is>
          <t>AKÜ,D31,DK,80AH,IGYA,FORMLA,KOLİEECMISIR</t>
        </is>
      </c>
      <c r="D432" s="19" t="inlineStr">
        <is>
          <t>1</t>
        </is>
      </c>
      <c r="E432" t="n">
        <v>0</v>
      </c>
      <c r="I432" s="19" t="inlineStr">
        <is>
          <t>2</t>
        </is>
      </c>
      <c r="J432" t="inlineStr">
        <is>
          <t>2026-08-08</t>
        </is>
      </c>
      <c r="L432" s="19" t="inlineStr">
        <is>
          <t>1011941</t>
        </is>
      </c>
      <c r="M432" t="inlineStr">
        <is>
          <t>STATUS=IN OEM / EU PACKAGE; SOURCE_CFG=IA-ST-CFG-0128; MARKET=MISIR EEC</t>
        </is>
      </c>
      <c r="N432" t="inlineStr">
        <is>
          <t>2026-08-10T19:29:54Z</t>
        </is>
      </c>
      <c r="O432" t="inlineStr">
        <is>
          <t>2026-08-10T19:29:54Z</t>
        </is>
      </c>
    </row>
    <row r="433">
      <c r="A433" s="19" t="inlineStr">
        <is>
          <t>432</t>
        </is>
      </c>
      <c r="B433" s="19" t="inlineStr">
        <is>
          <t>1011945</t>
        </is>
      </c>
      <c r="C433" t="inlineStr">
        <is>
          <t>AKÜ,D31,DK,90AH,IGYSMF,HUGELULTRA,NACITA</t>
        </is>
      </c>
      <c r="D433" s="19" t="inlineStr">
        <is>
          <t>1</t>
        </is>
      </c>
      <c r="E433" t="n">
        <v>0</v>
      </c>
      <c r="I433" s="19" t="inlineStr">
        <is>
          <t>2</t>
        </is>
      </c>
      <c r="J433" t="inlineStr">
        <is>
          <t>2026-08-08</t>
        </is>
      </c>
      <c r="L433" s="19" t="inlineStr">
        <is>
          <t>1011945</t>
        </is>
      </c>
      <c r="M433" t="inlineStr">
        <is>
          <t>STATUS=IN OEM / EU PACKAGE; SOURCE_CFG=IA-ST-CFG-0143; MARKET=MISIR NACITA</t>
        </is>
      </c>
      <c r="N433" t="inlineStr">
        <is>
          <t>2026-08-10T19:29:54Z</t>
        </is>
      </c>
      <c r="O433" t="inlineStr">
        <is>
          <t>2026-08-10T19:29:54Z</t>
        </is>
      </c>
    </row>
    <row r="434">
      <c r="A434" s="19" t="inlineStr">
        <is>
          <t>433</t>
        </is>
      </c>
      <c r="B434" s="19" t="inlineStr">
        <is>
          <t>1011946</t>
        </is>
      </c>
      <c r="C434" t="inlineStr">
        <is>
          <t>AKÜ,D31,DK,90AH,IGY SMF,İNCİ FORMULA</t>
        </is>
      </c>
      <c r="D434" s="19" t="inlineStr">
        <is>
          <t>1</t>
        </is>
      </c>
      <c r="E434" t="n">
        <v>0</v>
      </c>
      <c r="I434" s="19" t="inlineStr">
        <is>
          <t>2</t>
        </is>
      </c>
      <c r="J434" t="inlineStr">
        <is>
          <t>2026-08-08</t>
        </is>
      </c>
      <c r="L434" s="19" t="inlineStr">
        <is>
          <t>1011946</t>
        </is>
      </c>
      <c r="M434" t="inlineStr">
        <is>
          <t>STATUS=IN OEM / EU PACKAGE; SOURCE_CFG=IA-ST-CFG-0143; MARKET=None</t>
        </is>
      </c>
      <c r="N434" t="inlineStr">
        <is>
          <t>2026-08-10T19:29:54Z</t>
        </is>
      </c>
      <c r="O434" t="inlineStr">
        <is>
          <t>2026-08-10T19:29:54Z</t>
        </is>
      </c>
    </row>
    <row r="435">
      <c r="A435" s="19" t="inlineStr">
        <is>
          <t>434</t>
        </is>
      </c>
      <c r="B435" s="19" t="inlineStr">
        <is>
          <t>1011948</t>
        </is>
      </c>
      <c r="C435" t="inlineStr">
        <is>
          <t>AKÜ,D31,TK,90AH,IGY SMF,İNCİ FORMULA</t>
        </is>
      </c>
      <c r="D435" s="19" t="inlineStr">
        <is>
          <t>1</t>
        </is>
      </c>
      <c r="E435" t="n">
        <v>0</v>
      </c>
      <c r="I435" s="19" t="inlineStr">
        <is>
          <t>2</t>
        </is>
      </c>
      <c r="J435" t="inlineStr">
        <is>
          <t>2026-08-08</t>
        </is>
      </c>
      <c r="L435" s="19" t="inlineStr">
        <is>
          <t>1011948</t>
        </is>
      </c>
      <c r="M435" t="inlineStr">
        <is>
          <t>STATUS=IN OEM / EU PACKAGE; SOURCE_CFG=IA-ST-CFG-0143; MARKET=None</t>
        </is>
      </c>
      <c r="N435" t="inlineStr">
        <is>
          <t>2026-08-10T19:29:54Z</t>
        </is>
      </c>
      <c r="O435" t="inlineStr">
        <is>
          <t>2026-08-10T19:29:54Z</t>
        </is>
      </c>
    </row>
    <row r="436">
      <c r="A436" s="19" t="inlineStr">
        <is>
          <t>435</t>
        </is>
      </c>
      <c r="B436" s="19" t="inlineStr">
        <is>
          <t>1011950</t>
        </is>
      </c>
      <c r="C436" t="inlineStr">
        <is>
          <t>AKÜ,D31,TK,100AH,IGYASMF,İNCİ FORM TAURS</t>
        </is>
      </c>
      <c r="D436" s="19" t="inlineStr">
        <is>
          <t>1</t>
        </is>
      </c>
      <c r="E436" t="n">
        <v>0</v>
      </c>
      <c r="I436" s="19" t="inlineStr">
        <is>
          <t>2</t>
        </is>
      </c>
      <c r="J436" t="inlineStr">
        <is>
          <t>2026-08-08</t>
        </is>
      </c>
      <c r="L436" s="19" t="inlineStr">
        <is>
          <t>1011950</t>
        </is>
      </c>
      <c r="M436" t="inlineStr">
        <is>
          <t>STATUS=IN OEM / EU PACKAGE; SOURCE_CFG=IA-ST-CFG-0143; MARKET=None</t>
        </is>
      </c>
      <c r="N436" t="inlineStr">
        <is>
          <t>2026-08-10T19:29:54Z</t>
        </is>
      </c>
      <c r="O436" t="inlineStr">
        <is>
          <t>2026-08-10T19:29:54Z</t>
        </is>
      </c>
    </row>
    <row r="437">
      <c r="A437" s="19" t="inlineStr">
        <is>
          <t>436</t>
        </is>
      </c>
      <c r="B437" s="19" t="inlineStr">
        <is>
          <t>1011952</t>
        </is>
      </c>
      <c r="C437" t="inlineStr">
        <is>
          <t>AKÜ,D31,DK,100AH,IGYASMF,İNCİ FORM TAURS</t>
        </is>
      </c>
      <c r="D437" s="19" t="inlineStr">
        <is>
          <t>1</t>
        </is>
      </c>
      <c r="E437" t="n">
        <v>0</v>
      </c>
      <c r="I437" s="19" t="inlineStr">
        <is>
          <t>2</t>
        </is>
      </c>
      <c r="J437" t="inlineStr">
        <is>
          <t>2026-08-08</t>
        </is>
      </c>
      <c r="L437" s="19" t="inlineStr">
        <is>
          <t>1011952</t>
        </is>
      </c>
      <c r="M437" t="inlineStr">
        <is>
          <t>STATUS=IN OEM / EU PACKAGE; SOURCE_CFG=IA-ST-CFG-0143; MARKET=None</t>
        </is>
      </c>
      <c r="N437" t="inlineStr">
        <is>
          <t>2026-08-10T19:29:54Z</t>
        </is>
      </c>
      <c r="O437" t="inlineStr">
        <is>
          <t>2026-08-10T19:29:54Z</t>
        </is>
      </c>
    </row>
    <row r="438">
      <c r="A438" s="19" t="inlineStr">
        <is>
          <t>437</t>
        </is>
      </c>
      <c r="B438" s="19" t="inlineStr">
        <is>
          <t>1011956</t>
        </is>
      </c>
      <c r="C438" t="inlineStr">
        <is>
          <t>AKÜ,D31,DK,80AH,IGYASMF,EAS ACTIVA,ATWAN</t>
        </is>
      </c>
      <c r="D438" s="19" t="inlineStr">
        <is>
          <t>1</t>
        </is>
      </c>
      <c r="E438" t="n">
        <v>0</v>
      </c>
      <c r="I438" s="19" t="inlineStr">
        <is>
          <t>2</t>
        </is>
      </c>
      <c r="J438" t="inlineStr">
        <is>
          <t>2026-08-08</t>
        </is>
      </c>
      <c r="L438" s="19" t="inlineStr">
        <is>
          <t>1011956</t>
        </is>
      </c>
      <c r="M438" t="inlineStr">
        <is>
          <t>STATUS=IN OEM / EU PACKAGE; SOURCE_CFG=IA-ST-CFG-0143; MARKET=MISIR ATWAN</t>
        </is>
      </c>
      <c r="N438" t="inlineStr">
        <is>
          <t>2026-08-10T19:29:54Z</t>
        </is>
      </c>
      <c r="O438" t="inlineStr">
        <is>
          <t>2026-08-10T19:29:54Z</t>
        </is>
      </c>
    </row>
    <row r="439">
      <c r="A439" s="19" t="inlineStr">
        <is>
          <t>438</t>
        </is>
      </c>
      <c r="B439" s="19" t="inlineStr">
        <is>
          <t>1011960</t>
        </is>
      </c>
      <c r="C439" t="inlineStr">
        <is>
          <t>AKÜ,L5,DK,100AH,IGYSMF,İNCİTAUR,EECMISIR</t>
        </is>
      </c>
      <c r="D439" s="19" t="inlineStr">
        <is>
          <t>1</t>
        </is>
      </c>
      <c r="E439" t="n">
        <v>0</v>
      </c>
      <c r="I439" s="19" t="inlineStr">
        <is>
          <t>2</t>
        </is>
      </c>
      <c r="J439" t="inlineStr">
        <is>
          <t>2026-08-08</t>
        </is>
      </c>
      <c r="L439" s="19" t="inlineStr">
        <is>
          <t>1011960</t>
        </is>
      </c>
      <c r="M439" t="inlineStr">
        <is>
          <t>STATUS=IN OEM / EU PACKAGE; SOURCE_CFG=IA-ST-CFG-0096; MARKET=MISIR EEC</t>
        </is>
      </c>
      <c r="N439" t="inlineStr">
        <is>
          <t>2026-08-10T19:29:54Z</t>
        </is>
      </c>
      <c r="O439" t="inlineStr">
        <is>
          <t>2026-08-10T19:29:54Z</t>
        </is>
      </c>
    </row>
    <row r="440">
      <c r="A440" s="19" t="inlineStr">
        <is>
          <t>439</t>
        </is>
      </c>
      <c r="B440" s="19" t="inlineStr">
        <is>
          <t>1011961</t>
        </is>
      </c>
      <c r="C440" t="inlineStr">
        <is>
          <t>AKÜ,L5,DK,100AH,IGYA SMF,HUGEL ULTRA</t>
        </is>
      </c>
      <c r="D440" s="19" t="inlineStr">
        <is>
          <t>1</t>
        </is>
      </c>
      <c r="E440" t="n">
        <v>0</v>
      </c>
      <c r="I440" s="19" t="inlineStr">
        <is>
          <t>2</t>
        </is>
      </c>
      <c r="J440" t="inlineStr">
        <is>
          <t>2026-08-08</t>
        </is>
      </c>
      <c r="L440" s="19" t="inlineStr">
        <is>
          <t>1011961</t>
        </is>
      </c>
      <c r="M440" t="inlineStr">
        <is>
          <t>STATUS=IN OEM / EU PACKAGE; SOURCE_CFG=IA-ST-CFG-0096; MARKET=None</t>
        </is>
      </c>
      <c r="N440" t="inlineStr">
        <is>
          <t>2026-08-10T19:29:54Z</t>
        </is>
      </c>
      <c r="O440" t="inlineStr">
        <is>
          <t>2026-08-10T19:29:54Z</t>
        </is>
      </c>
    </row>
    <row r="441">
      <c r="A441" s="19" t="inlineStr">
        <is>
          <t>440</t>
        </is>
      </c>
      <c r="B441" s="19" t="inlineStr">
        <is>
          <t>1011965</t>
        </is>
      </c>
      <c r="C441" t="inlineStr">
        <is>
          <t>AKÜ,L5,DK,90AH,IGYA SMF,İNCİ EFB PANTERA</t>
        </is>
      </c>
      <c r="D441" s="19" t="inlineStr">
        <is>
          <t>1</t>
        </is>
      </c>
      <c r="E441" t="n">
        <v>0</v>
      </c>
      <c r="I441" s="19" t="inlineStr">
        <is>
          <t>2</t>
        </is>
      </c>
      <c r="J441" t="inlineStr">
        <is>
          <t>2026-08-08</t>
        </is>
      </c>
      <c r="L441" s="19" t="inlineStr">
        <is>
          <t>1011965</t>
        </is>
      </c>
      <c r="M441" t="inlineStr">
        <is>
          <t>STATUS=IN OEM / EU PACKAGE; SOURCE_CFG=IA-ST-CFG-0096; MARKET=None</t>
        </is>
      </c>
      <c r="N441" t="inlineStr">
        <is>
          <t>2026-08-10T19:29:54Z</t>
        </is>
      </c>
      <c r="O441" t="inlineStr">
        <is>
          <t>2026-08-10T19:29:54Z</t>
        </is>
      </c>
    </row>
    <row r="442">
      <c r="A442" s="19" t="inlineStr">
        <is>
          <t>441</t>
        </is>
      </c>
      <c r="B442" s="19" t="inlineStr">
        <is>
          <t>1011966</t>
        </is>
      </c>
      <c r="C442" t="inlineStr">
        <is>
          <t>AKÜ,L5,DK,100AH,IGYASMF,İNCİEFBMAXTIGRIS</t>
        </is>
      </c>
      <c r="D442" s="19" t="inlineStr">
        <is>
          <t>1</t>
        </is>
      </c>
      <c r="E442" t="n">
        <v>0</v>
      </c>
      <c r="I442" s="19" t="inlineStr">
        <is>
          <t>2</t>
        </is>
      </c>
      <c r="J442" t="inlineStr">
        <is>
          <t>2026-08-08</t>
        </is>
      </c>
      <c r="L442" s="19" t="inlineStr">
        <is>
          <t>1011966</t>
        </is>
      </c>
      <c r="M442" t="inlineStr">
        <is>
          <t>STATUS=IN OEM / EU PACKAGE; SOURCE_CFG=IA-ST-CFG-0096; MARKET=None</t>
        </is>
      </c>
      <c r="N442" t="inlineStr">
        <is>
          <t>2026-08-10T19:29:54Z</t>
        </is>
      </c>
      <c r="O442" t="inlineStr">
        <is>
          <t>2026-08-10T19:29:54Z</t>
        </is>
      </c>
    </row>
    <row r="443">
      <c r="A443" s="19" t="inlineStr">
        <is>
          <t>442</t>
        </is>
      </c>
      <c r="B443" s="19" t="inlineStr">
        <is>
          <t>1011967</t>
        </is>
      </c>
      <c r="C443" t="inlineStr">
        <is>
          <t>AKÜ,L5,DK,100AH,IGYASMF,HUGELULTR,NACITA</t>
        </is>
      </c>
      <c r="D443" s="19" t="inlineStr">
        <is>
          <t>1</t>
        </is>
      </c>
      <c r="E443" t="n">
        <v>0</v>
      </c>
      <c r="I443" s="19" t="inlineStr">
        <is>
          <t>2</t>
        </is>
      </c>
      <c r="J443" t="inlineStr">
        <is>
          <t>2026-08-08</t>
        </is>
      </c>
      <c r="L443" s="19" t="inlineStr">
        <is>
          <t>1011967</t>
        </is>
      </c>
      <c r="M443" t="inlineStr">
        <is>
          <t>STATUS=IN OEM / EU PACKAGE; SOURCE_CFG=IA-ST-CFG-0096; MARKET=MISIR NACITA</t>
        </is>
      </c>
      <c r="N443" t="inlineStr">
        <is>
          <t>2026-08-10T19:29:54Z</t>
        </is>
      </c>
      <c r="O443" t="inlineStr">
        <is>
          <t>2026-08-10T19:29:54Z</t>
        </is>
      </c>
    </row>
    <row r="444">
      <c r="A444" s="19" t="inlineStr">
        <is>
          <t>443</t>
        </is>
      </c>
      <c r="B444" s="19" t="inlineStr">
        <is>
          <t>1011968</t>
        </is>
      </c>
      <c r="C444" t="inlineStr">
        <is>
          <t>AKÜ,L5,DK,100AH,IGYASMF,BLIZSILVER,MISIR</t>
        </is>
      </c>
      <c r="D444" s="19" t="inlineStr">
        <is>
          <t>1</t>
        </is>
      </c>
      <c r="E444" t="n">
        <v>0</v>
      </c>
      <c r="I444" s="19" t="inlineStr">
        <is>
          <t>2</t>
        </is>
      </c>
      <c r="J444" t="inlineStr">
        <is>
          <t>2026-08-08</t>
        </is>
      </c>
      <c r="L444" s="19" t="inlineStr">
        <is>
          <t>1011968</t>
        </is>
      </c>
      <c r="M444" t="inlineStr">
        <is>
          <t>STATUS=IN OEM / EU PACKAGE; SOURCE_CFG=IA-ST-CFG-0096; MARKET=MISIR AL AMAN</t>
        </is>
      </c>
      <c r="N444" t="inlineStr">
        <is>
          <t>2026-08-10T19:29:54Z</t>
        </is>
      </c>
      <c r="O444" t="inlineStr">
        <is>
          <t>2026-08-10T19:29:54Z</t>
        </is>
      </c>
    </row>
    <row r="445">
      <c r="A445" s="19" t="inlineStr">
        <is>
          <t>444</t>
        </is>
      </c>
      <c r="B445" s="19" t="inlineStr">
        <is>
          <t>1011969</t>
        </is>
      </c>
      <c r="C445" t="inlineStr">
        <is>
          <t>AKÜ,L5,DK,90AH,IGYASMF,HUGELULTRA,NACITA</t>
        </is>
      </c>
      <c r="D445" s="19" t="inlineStr">
        <is>
          <t>1</t>
        </is>
      </c>
      <c r="E445" t="n">
        <v>0</v>
      </c>
      <c r="I445" s="19" t="inlineStr">
        <is>
          <t>2</t>
        </is>
      </c>
      <c r="J445" t="inlineStr">
        <is>
          <t>2026-08-08</t>
        </is>
      </c>
      <c r="L445" s="19" t="inlineStr">
        <is>
          <t>1011969</t>
        </is>
      </c>
      <c r="M445" t="inlineStr">
        <is>
          <t>STATUS=IN OEM / EU PACKAGE; SOURCE_CFG=IA-ST-CFG-0096; MARKET=MISIR NACITA</t>
        </is>
      </c>
      <c r="N445" t="inlineStr">
        <is>
          <t>2026-08-10T19:29:54Z</t>
        </is>
      </c>
      <c r="O445" t="inlineStr">
        <is>
          <t>2026-08-10T19:29:54Z</t>
        </is>
      </c>
    </row>
    <row r="446">
      <c r="A446" s="19" t="inlineStr">
        <is>
          <t>445</t>
        </is>
      </c>
      <c r="B446" s="19" t="inlineStr">
        <is>
          <t>1011970</t>
        </is>
      </c>
      <c r="C446" t="inlineStr">
        <is>
          <t>AKÜ,L5,DK,90AH,IGYASMF,BLIZSILVER,MISIR</t>
        </is>
      </c>
      <c r="D446" s="19" t="inlineStr">
        <is>
          <t>1</t>
        </is>
      </c>
      <c r="E446" t="n">
        <v>0</v>
      </c>
      <c r="I446" s="19" t="inlineStr">
        <is>
          <t>2</t>
        </is>
      </c>
      <c r="J446" t="inlineStr">
        <is>
          <t>2026-08-08</t>
        </is>
      </c>
      <c r="L446" s="19" t="inlineStr">
        <is>
          <t>1011970</t>
        </is>
      </c>
      <c r="M446" t="inlineStr">
        <is>
          <t>STATUS=IN OEM / EU PACKAGE; SOURCE_CFG=IA-ST-CFG-0096; MARKET=MISIR AL AMAN</t>
        </is>
      </c>
      <c r="N446" t="inlineStr">
        <is>
          <t>2026-08-10T19:29:54Z</t>
        </is>
      </c>
      <c r="O446" t="inlineStr">
        <is>
          <t>2026-08-10T19:29:54Z</t>
        </is>
      </c>
    </row>
    <row r="447">
      <c r="A447" s="19" t="inlineStr">
        <is>
          <t>446</t>
        </is>
      </c>
      <c r="B447" s="19" t="inlineStr">
        <is>
          <t>1011971</t>
        </is>
      </c>
      <c r="C447" t="inlineStr">
        <is>
          <t>AKÜ,L5,DK,88AH,IGYSMF,EASACTVKOLİLİATWAN</t>
        </is>
      </c>
      <c r="D447" s="19" t="inlineStr">
        <is>
          <t>1</t>
        </is>
      </c>
      <c r="E447" t="n">
        <v>0</v>
      </c>
      <c r="I447" s="19" t="inlineStr">
        <is>
          <t>2</t>
        </is>
      </c>
      <c r="J447" t="inlineStr">
        <is>
          <t>2026-08-08</t>
        </is>
      </c>
      <c r="L447" s="19" t="inlineStr">
        <is>
          <t>1011971</t>
        </is>
      </c>
      <c r="M447" t="inlineStr">
        <is>
          <t>STATUS=IN OEM / EU PACKAGE; SOURCE_CFG=IA-ST-CFG-0165; MARKET=MISIR ATWAN</t>
        </is>
      </c>
      <c r="N447" t="inlineStr">
        <is>
          <t>2026-08-10T19:29:54Z</t>
        </is>
      </c>
      <c r="O447" t="inlineStr">
        <is>
          <t>2026-08-10T19:29:54Z</t>
        </is>
      </c>
    </row>
    <row r="448">
      <c r="A448" s="19" t="inlineStr">
        <is>
          <t>447</t>
        </is>
      </c>
      <c r="B448" s="19" t="inlineStr">
        <is>
          <t>1011972</t>
        </is>
      </c>
      <c r="C448" t="inlineStr">
        <is>
          <t>AKÜ,L5,DK,102AH,IGYASMF,İNCİ FORM TAURUS</t>
        </is>
      </c>
      <c r="D448" s="19" t="inlineStr">
        <is>
          <t>1</t>
        </is>
      </c>
      <c r="E448" t="n">
        <v>0</v>
      </c>
      <c r="I448" s="19" t="inlineStr">
        <is>
          <t>2</t>
        </is>
      </c>
      <c r="J448" t="inlineStr">
        <is>
          <t>2026-08-08</t>
        </is>
      </c>
      <c r="L448" s="19" t="inlineStr">
        <is>
          <t>1011972</t>
        </is>
      </c>
      <c r="M448" t="inlineStr">
        <is>
          <t>STATUS=IN OEM / EU PACKAGE; SOURCE_CFG=IA-ST-CFG-0096; MARKET=None</t>
        </is>
      </c>
      <c r="N448" t="inlineStr">
        <is>
          <t>2026-08-10T19:29:54Z</t>
        </is>
      </c>
      <c r="O448" t="inlineStr">
        <is>
          <t>2026-08-10T19:29:54Z</t>
        </is>
      </c>
    </row>
    <row r="449">
      <c r="A449" s="19" t="inlineStr">
        <is>
          <t>448</t>
        </is>
      </c>
      <c r="B449" s="19" t="inlineStr">
        <is>
          <t>1011974</t>
        </is>
      </c>
      <c r="C449" t="inlineStr">
        <is>
          <t>AKÜ,L5,DK,100AH,IGYASMF,İNCİ FORM TAURUS</t>
        </is>
      </c>
      <c r="D449" s="19" t="inlineStr">
        <is>
          <t>1</t>
        </is>
      </c>
      <c r="E449" t="n">
        <v>0</v>
      </c>
      <c r="I449" s="19" t="inlineStr">
        <is>
          <t>2</t>
        </is>
      </c>
      <c r="J449" t="inlineStr">
        <is>
          <t>2026-08-08</t>
        </is>
      </c>
      <c r="L449" s="19" t="inlineStr">
        <is>
          <t>1011974</t>
        </is>
      </c>
      <c r="M449" t="inlineStr">
        <is>
          <t>STATUS=IN OEM / EU PACKAGE; SOURCE_CFG=IA-ST-CFG-0096; MARKET=None</t>
        </is>
      </c>
      <c r="N449" t="inlineStr">
        <is>
          <t>2026-08-10T19:29:54Z</t>
        </is>
      </c>
      <c r="O449" t="inlineStr">
        <is>
          <t>2026-08-10T19:29:54Z</t>
        </is>
      </c>
    </row>
    <row r="450">
      <c r="A450" s="19" t="inlineStr">
        <is>
          <t>449</t>
        </is>
      </c>
      <c r="B450" s="19" t="inlineStr">
        <is>
          <t>1011977</t>
        </is>
      </c>
      <c r="C450" t="inlineStr">
        <is>
          <t>AKÜ,L5,DK,90AH,IGYSMF,İNCİTAURS,EECMISIR</t>
        </is>
      </c>
      <c r="D450" s="19" t="inlineStr">
        <is>
          <t>1</t>
        </is>
      </c>
      <c r="E450" t="n">
        <v>0</v>
      </c>
      <c r="I450" s="19" t="inlineStr">
        <is>
          <t>2</t>
        </is>
      </c>
      <c r="J450" t="inlineStr">
        <is>
          <t>2026-08-08</t>
        </is>
      </c>
      <c r="L450" s="19" t="inlineStr">
        <is>
          <t>1011977</t>
        </is>
      </c>
      <c r="M450" t="inlineStr">
        <is>
          <t>STATUS=IN OEM / EU PACKAGE; SOURCE_CFG=IA-ST-CFG-0096; MARKET=MISIR EEC</t>
        </is>
      </c>
      <c r="N450" t="inlineStr">
        <is>
          <t>2026-08-10T19:29:54Z</t>
        </is>
      </c>
      <c r="O450" t="inlineStr">
        <is>
          <t>2026-08-10T19:29:54Z</t>
        </is>
      </c>
    </row>
    <row r="451">
      <c r="A451" s="19" t="inlineStr">
        <is>
          <t>450</t>
        </is>
      </c>
      <c r="B451" s="19" t="inlineStr">
        <is>
          <t>1011981</t>
        </is>
      </c>
      <c r="C451" t="inlineStr">
        <is>
          <t>AKÜ,L5,DK,100AH,IGYA SMF,ENERGY MAX</t>
        </is>
      </c>
      <c r="D451" s="19" t="inlineStr">
        <is>
          <t>1</t>
        </is>
      </c>
      <c r="E451" t="n">
        <v>0</v>
      </c>
      <c r="I451" s="19" t="inlineStr">
        <is>
          <t>2</t>
        </is>
      </c>
      <c r="J451" t="inlineStr">
        <is>
          <t>2026-08-08</t>
        </is>
      </c>
      <c r="L451" s="19" t="inlineStr">
        <is>
          <t>1011981</t>
        </is>
      </c>
      <c r="M451" t="inlineStr">
        <is>
          <t>STATUS=IN OEM / EU PACKAGE; SOURCE_CFG=IA-ST-CFG-0096; MARKET=None</t>
        </is>
      </c>
      <c r="N451" t="inlineStr">
        <is>
          <t>2026-08-10T19:29:54Z</t>
        </is>
      </c>
      <c r="O451" t="inlineStr">
        <is>
          <t>2026-08-10T19:29:54Z</t>
        </is>
      </c>
    </row>
    <row r="452">
      <c r="A452" s="19" t="inlineStr">
        <is>
          <t>451</t>
        </is>
      </c>
      <c r="B452" s="19" t="inlineStr">
        <is>
          <t>1011982</t>
        </is>
      </c>
      <c r="C452" t="inlineStr">
        <is>
          <t>AKÜ,L4,DK,82AH,IGYA SMF,HUGEL ULTRA</t>
        </is>
      </c>
      <c r="D452" s="19" t="inlineStr">
        <is>
          <t>1</t>
        </is>
      </c>
      <c r="E452" t="n">
        <v>0</v>
      </c>
      <c r="I452" s="19" t="inlineStr">
        <is>
          <t>2</t>
        </is>
      </c>
      <c r="J452" t="inlineStr">
        <is>
          <t>2026-08-08</t>
        </is>
      </c>
      <c r="L452" s="19" t="inlineStr">
        <is>
          <t>1011982</t>
        </is>
      </c>
      <c r="M452" t="inlineStr">
        <is>
          <t>STATUS=IN OEM / EU PACKAGE; SOURCE_CFG=IA-ST-CFG-0231; MARKET=None</t>
        </is>
      </c>
      <c r="N452" t="inlineStr">
        <is>
          <t>2026-08-10T19:29:54Z</t>
        </is>
      </c>
      <c r="O452" t="inlineStr">
        <is>
          <t>2026-08-10T19:29:54Z</t>
        </is>
      </c>
    </row>
    <row r="453">
      <c r="A453" s="19" t="inlineStr">
        <is>
          <t>452</t>
        </is>
      </c>
      <c r="B453" s="19" t="inlineStr">
        <is>
          <t>1011983</t>
        </is>
      </c>
      <c r="C453" t="inlineStr">
        <is>
          <t>AKÜ,L4,DK,82AH,IGYASMF,BLİZSILVER,JANENE</t>
        </is>
      </c>
      <c r="D453" s="19" t="inlineStr">
        <is>
          <t>1</t>
        </is>
      </c>
      <c r="E453" t="n">
        <v>0</v>
      </c>
      <c r="I453" s="19" t="inlineStr">
        <is>
          <t>2</t>
        </is>
      </c>
      <c r="J453" t="inlineStr">
        <is>
          <t>2026-08-08</t>
        </is>
      </c>
      <c r="L453" s="19" t="inlineStr">
        <is>
          <t>1011983</t>
        </is>
      </c>
      <c r="M453" t="inlineStr">
        <is>
          <t>STATUS=IN OEM / EU PACKAGE; SOURCE_CFG=IA-ST-CFG-0231; MARKET=JANENE İSRAİL</t>
        </is>
      </c>
      <c r="N453" t="inlineStr">
        <is>
          <t>2026-08-10T19:29:54Z</t>
        </is>
      </c>
      <c r="O453" t="inlineStr">
        <is>
          <t>2026-08-10T19:29:54Z</t>
        </is>
      </c>
    </row>
    <row r="454">
      <c r="A454" s="19" t="inlineStr">
        <is>
          <t>453</t>
        </is>
      </c>
      <c r="B454" s="19" t="inlineStr">
        <is>
          <t>1011985</t>
        </is>
      </c>
      <c r="C454" t="inlineStr">
        <is>
          <t>AKÜ,L1,DK,50AH,IGYASMF,HUGEL ACTION,NASA</t>
        </is>
      </c>
      <c r="D454" s="19" t="inlineStr">
        <is>
          <t>1</t>
        </is>
      </c>
      <c r="E454" t="n">
        <v>0</v>
      </c>
      <c r="I454" s="19" t="inlineStr">
        <is>
          <t>2</t>
        </is>
      </c>
      <c r="J454" t="inlineStr">
        <is>
          <t>2026-08-08</t>
        </is>
      </c>
      <c r="L454" s="19" t="inlineStr">
        <is>
          <t>1011985</t>
        </is>
      </c>
      <c r="M454" t="inlineStr">
        <is>
          <t>STATUS=IN OEM / EU PACKAGE; SOURCE_CFG=IA-ST-CFG-0248; MARKET=NASA</t>
        </is>
      </c>
      <c r="N454" t="inlineStr">
        <is>
          <t>2026-08-10T19:29:54Z</t>
        </is>
      </c>
      <c r="O454" t="inlineStr">
        <is>
          <t>2026-08-10T19:29:54Z</t>
        </is>
      </c>
    </row>
    <row r="455">
      <c r="A455" s="19" t="inlineStr">
        <is>
          <t>454</t>
        </is>
      </c>
      <c r="B455" s="19" t="inlineStr">
        <is>
          <t>1011986</t>
        </is>
      </c>
      <c r="C455" t="inlineStr">
        <is>
          <t>AKÜ,L1,DK,45AH,IGYA SMF,HUGEL ACTION</t>
        </is>
      </c>
      <c r="D455" s="19" t="inlineStr">
        <is>
          <t>1</t>
        </is>
      </c>
      <c r="E455" t="n">
        <v>0</v>
      </c>
      <c r="I455" s="19" t="inlineStr">
        <is>
          <t>2</t>
        </is>
      </c>
      <c r="J455" t="inlineStr">
        <is>
          <t>2026-08-08</t>
        </is>
      </c>
      <c r="L455" s="19" t="inlineStr">
        <is>
          <t>1011986</t>
        </is>
      </c>
      <c r="M455" t="inlineStr">
        <is>
          <t>STATUS=IN OEM / EU PACKAGE; SOURCE_CFG=IA-ST-CFG-0248; MARKET=None</t>
        </is>
      </c>
      <c r="N455" t="inlineStr">
        <is>
          <t>2026-08-10T19:29:54Z</t>
        </is>
      </c>
      <c r="O455" t="inlineStr">
        <is>
          <t>2026-08-10T19:29:54Z</t>
        </is>
      </c>
    </row>
    <row r="456">
      <c r="A456" s="19" t="inlineStr">
        <is>
          <t>455</t>
        </is>
      </c>
      <c r="B456" s="19" t="inlineStr">
        <is>
          <t>1011987</t>
        </is>
      </c>
      <c r="C456" t="inlineStr">
        <is>
          <t>AKÜ,L1,DK,50AH,IGYASMF,BLIZ SILVR,JANENE</t>
        </is>
      </c>
      <c r="D456" s="19" t="inlineStr">
        <is>
          <t>1</t>
        </is>
      </c>
      <c r="E456" t="n">
        <v>0</v>
      </c>
      <c r="I456" s="19" t="inlineStr">
        <is>
          <t>2</t>
        </is>
      </c>
      <c r="J456" t="inlineStr">
        <is>
          <t>2026-08-08</t>
        </is>
      </c>
      <c r="L456" s="19" t="inlineStr">
        <is>
          <t>1011987</t>
        </is>
      </c>
      <c r="M456" t="inlineStr">
        <is>
          <t>STATUS=IN OEM / EU PACKAGE; SOURCE_CFG=IA-ST-CFG-0248; MARKET=JANENE İSRAİL</t>
        </is>
      </c>
      <c r="N456" t="inlineStr">
        <is>
          <t>2026-08-10T19:29:54Z</t>
        </is>
      </c>
      <c r="O456" t="inlineStr">
        <is>
          <t>2026-08-10T19:29:54Z</t>
        </is>
      </c>
    </row>
    <row r="457">
      <c r="A457" s="19" t="inlineStr">
        <is>
          <t>456</t>
        </is>
      </c>
      <c r="B457" s="19" t="inlineStr">
        <is>
          <t>1011988</t>
        </is>
      </c>
      <c r="C457" t="inlineStr">
        <is>
          <t>AKÜ,L1,DK,44AH,IGYASMF,HUGELULTRA,NACITA</t>
        </is>
      </c>
      <c r="D457" s="19" t="inlineStr">
        <is>
          <t>1</t>
        </is>
      </c>
      <c r="E457" t="n">
        <v>0</v>
      </c>
      <c r="I457" s="19" t="inlineStr">
        <is>
          <t>2</t>
        </is>
      </c>
      <c r="J457" t="inlineStr">
        <is>
          <t>2026-08-08</t>
        </is>
      </c>
      <c r="L457" s="19" t="inlineStr">
        <is>
          <t>1011988</t>
        </is>
      </c>
      <c r="M457" t="inlineStr">
        <is>
          <t>STATUS=IN OEM / EU PACKAGE; SOURCE_CFG=IA-ST-CFG-0248; MARKET=MISIR NACITA</t>
        </is>
      </c>
      <c r="N457" t="inlineStr">
        <is>
          <t>2026-08-10T19:29:54Z</t>
        </is>
      </c>
      <c r="O457" t="inlineStr">
        <is>
          <t>2026-08-10T19:29:54Z</t>
        </is>
      </c>
    </row>
    <row r="458">
      <c r="A458" s="19" t="inlineStr">
        <is>
          <t>457</t>
        </is>
      </c>
      <c r="B458" s="19" t="inlineStr">
        <is>
          <t>1011989</t>
        </is>
      </c>
      <c r="C458" t="inlineStr">
        <is>
          <t>AKÜ,L1,DK,44AH,IGYASMF,BLIZSILVRL,MISIR</t>
        </is>
      </c>
      <c r="D458" s="19" t="inlineStr">
        <is>
          <t>1</t>
        </is>
      </c>
      <c r="E458" t="n">
        <v>0</v>
      </c>
      <c r="I458" s="19" t="inlineStr">
        <is>
          <t>2</t>
        </is>
      </c>
      <c r="J458" t="inlineStr">
        <is>
          <t>2026-08-08</t>
        </is>
      </c>
      <c r="L458" s="19" t="inlineStr">
        <is>
          <t>1011989</t>
        </is>
      </c>
      <c r="M458" t="inlineStr">
        <is>
          <t>STATUS=IN OEM / EU PACKAGE; SOURCE_CFG=IA-ST-CFG-0248; MARKET=MISIR AL AMAN</t>
        </is>
      </c>
      <c r="N458" t="inlineStr">
        <is>
          <t>2026-08-10T19:29:54Z</t>
        </is>
      </c>
      <c r="O458" t="inlineStr">
        <is>
          <t>2026-08-10T19:29:54Z</t>
        </is>
      </c>
    </row>
    <row r="459">
      <c r="A459" s="19" t="inlineStr">
        <is>
          <t>458</t>
        </is>
      </c>
      <c r="B459" s="19" t="inlineStr">
        <is>
          <t>1011990</t>
        </is>
      </c>
      <c r="C459" t="inlineStr">
        <is>
          <t>AKÜ,L1,DK,44AH,IGY SMF,HUGEL ULTRA,GULF</t>
        </is>
      </c>
      <c r="D459" s="19" t="inlineStr">
        <is>
          <t>1</t>
        </is>
      </c>
      <c r="E459" t="n">
        <v>0</v>
      </c>
      <c r="I459" s="19" t="inlineStr">
        <is>
          <t>2</t>
        </is>
      </c>
      <c r="J459" t="inlineStr">
        <is>
          <t>2026-08-08</t>
        </is>
      </c>
      <c r="L459" s="19" t="inlineStr">
        <is>
          <t>1011990</t>
        </is>
      </c>
      <c r="M459" t="inlineStr">
        <is>
          <t>STATUS=IN OEM / EU PACKAGE; SOURCE_CFG=IA-ST-CFG-0248; MARKET=GULF</t>
        </is>
      </c>
      <c r="N459" t="inlineStr">
        <is>
          <t>2026-08-10T19:29:54Z</t>
        </is>
      </c>
      <c r="O459" t="inlineStr">
        <is>
          <t>2026-08-10T19:29:54Z</t>
        </is>
      </c>
    </row>
    <row r="460">
      <c r="A460" s="19" t="inlineStr">
        <is>
          <t>459</t>
        </is>
      </c>
      <c r="B460" s="19" t="inlineStr">
        <is>
          <t>1011991</t>
        </is>
      </c>
      <c r="C460" t="inlineStr">
        <is>
          <t>AKÜ,L1,DK,44AH,IGYA SMF,İNCİ FORMULA</t>
        </is>
      </c>
      <c r="D460" s="19" t="inlineStr">
        <is>
          <t>1</t>
        </is>
      </c>
      <c r="E460" t="n">
        <v>0</v>
      </c>
      <c r="I460" s="19" t="inlineStr">
        <is>
          <t>2</t>
        </is>
      </c>
      <c r="J460" t="inlineStr">
        <is>
          <t>2026-08-08</t>
        </is>
      </c>
      <c r="L460" s="19" t="inlineStr">
        <is>
          <t>1011991</t>
        </is>
      </c>
      <c r="M460" t="inlineStr">
        <is>
          <t>STATUS=IN OEM / EU PACKAGE; SOURCE_CFG=IA-ST-CFG-0248; MARKET=None</t>
        </is>
      </c>
      <c r="N460" t="inlineStr">
        <is>
          <t>2026-08-10T19:29:54Z</t>
        </is>
      </c>
      <c r="O460" t="inlineStr">
        <is>
          <t>2026-08-10T19:29:54Z</t>
        </is>
      </c>
    </row>
    <row r="461">
      <c r="A461" s="19" t="inlineStr">
        <is>
          <t>460</t>
        </is>
      </c>
      <c r="B461" s="19" t="inlineStr">
        <is>
          <t>1011992</t>
        </is>
      </c>
      <c r="C461" t="inlineStr">
        <is>
          <t>AKÜ,L1,DK,50AH,IGYA SMF,İNCİ FORM TAURUS</t>
        </is>
      </c>
      <c r="D461" s="19" t="inlineStr">
        <is>
          <t>1</t>
        </is>
      </c>
      <c r="E461" t="n">
        <v>0</v>
      </c>
      <c r="I461" s="19" t="inlineStr">
        <is>
          <t>2</t>
        </is>
      </c>
      <c r="J461" t="inlineStr">
        <is>
          <t>2026-08-08</t>
        </is>
      </c>
      <c r="L461" s="19" t="inlineStr">
        <is>
          <t>1011992</t>
        </is>
      </c>
      <c r="M461" t="inlineStr">
        <is>
          <t>STATUS=IN OEM / EU PACKAGE; SOURCE_CFG=IA-ST-CFG-0248; MARKET=None</t>
        </is>
      </c>
      <c r="N461" t="inlineStr">
        <is>
          <t>2026-08-10T19:29:54Z</t>
        </is>
      </c>
      <c r="O461" t="inlineStr">
        <is>
          <t>2026-08-10T19:29:54Z</t>
        </is>
      </c>
    </row>
    <row r="462">
      <c r="A462" s="19" t="inlineStr">
        <is>
          <t>461</t>
        </is>
      </c>
      <c r="B462" s="19" t="inlineStr">
        <is>
          <t>1011999</t>
        </is>
      </c>
      <c r="C462" t="inlineStr">
        <is>
          <t>AKÜ,L4,DK,80AH,IGYA SMF,İNCİ EFB PANTERA</t>
        </is>
      </c>
      <c r="D462" s="19" t="inlineStr">
        <is>
          <t>1</t>
        </is>
      </c>
      <c r="E462" t="n">
        <v>0</v>
      </c>
      <c r="I462" s="19" t="inlineStr">
        <is>
          <t>2</t>
        </is>
      </c>
      <c r="J462" t="inlineStr">
        <is>
          <t>2026-08-08</t>
        </is>
      </c>
      <c r="L462" s="19" t="inlineStr">
        <is>
          <t>1011999</t>
        </is>
      </c>
      <c r="M462" t="inlineStr">
        <is>
          <t>STATUS=IN OEM / EU PACKAGE; SOURCE_CFG=IA-ST-CFG-0142; MARKET=None</t>
        </is>
      </c>
      <c r="N462" t="inlineStr">
        <is>
          <t>2026-08-10T19:29:54Z</t>
        </is>
      </c>
      <c r="O462" t="inlineStr">
        <is>
          <t>2026-08-10T19:29:54Z</t>
        </is>
      </c>
    </row>
    <row r="463">
      <c r="A463" s="19" t="inlineStr">
        <is>
          <t>462</t>
        </is>
      </c>
      <c r="B463" s="19" t="inlineStr">
        <is>
          <t>1012001</t>
        </is>
      </c>
      <c r="C463" t="inlineStr">
        <is>
          <t>AKÜ,L4,DK,82AH,IGYA SMF,İNCİ FORM TAURUS</t>
        </is>
      </c>
      <c r="D463" s="19" t="inlineStr">
        <is>
          <t>1</t>
        </is>
      </c>
      <c r="E463" t="n">
        <v>0</v>
      </c>
      <c r="I463" s="19" t="inlineStr">
        <is>
          <t>2</t>
        </is>
      </c>
      <c r="J463" t="inlineStr">
        <is>
          <t>2026-08-08</t>
        </is>
      </c>
      <c r="L463" s="19" t="inlineStr">
        <is>
          <t>1012001</t>
        </is>
      </c>
      <c r="M463" t="inlineStr">
        <is>
          <t>STATUS=IN OEM / EU PACKAGE; SOURCE_CFG=IA-ST-CFG-0231; MARKET=None</t>
        </is>
      </c>
      <c r="N463" t="inlineStr">
        <is>
          <t>2026-08-10T19:29:54Z</t>
        </is>
      </c>
      <c r="O463" t="inlineStr">
        <is>
          <t>2026-08-10T19:29:54Z</t>
        </is>
      </c>
    </row>
    <row r="464">
      <c r="A464" s="19" t="inlineStr">
        <is>
          <t>463</t>
        </is>
      </c>
      <c r="B464" s="19" t="inlineStr">
        <is>
          <t>1012003</t>
        </is>
      </c>
      <c r="C464" t="inlineStr">
        <is>
          <t>AKÜ,L2,DK,55AH,IGYA SMF,HUGEL ULTRA,NASA</t>
        </is>
      </c>
      <c r="D464" s="19" t="inlineStr">
        <is>
          <t>1</t>
        </is>
      </c>
      <c r="E464" t="n">
        <v>0</v>
      </c>
      <c r="I464" s="19" t="inlineStr">
        <is>
          <t>2</t>
        </is>
      </c>
      <c r="J464" t="inlineStr">
        <is>
          <t>2026-08-08</t>
        </is>
      </c>
      <c r="L464" s="19" t="inlineStr">
        <is>
          <t>1012003</t>
        </is>
      </c>
      <c r="M464" t="inlineStr">
        <is>
          <t>STATUS=IN OEM / EU PACKAGE; SOURCE_CFG=IA-ST-CFG-0222; MARKET=NASA</t>
        </is>
      </c>
      <c r="N464" t="inlineStr">
        <is>
          <t>2026-08-10T19:29:54Z</t>
        </is>
      </c>
      <c r="O464" t="inlineStr">
        <is>
          <t>2026-08-10T19:29:54Z</t>
        </is>
      </c>
    </row>
    <row r="465">
      <c r="A465" s="19" t="inlineStr">
        <is>
          <t>464</t>
        </is>
      </c>
      <c r="B465" s="19" t="inlineStr">
        <is>
          <t>1012004</t>
        </is>
      </c>
      <c r="C465" t="inlineStr">
        <is>
          <t>AKÜ,L2,DK,62AH,IGYA SMF,HUGEL ULTRA</t>
        </is>
      </c>
      <c r="D465" s="19" t="inlineStr">
        <is>
          <t>1</t>
        </is>
      </c>
      <c r="E465" t="n">
        <v>0</v>
      </c>
      <c r="I465" s="19" t="inlineStr">
        <is>
          <t>2</t>
        </is>
      </c>
      <c r="J465" t="inlineStr">
        <is>
          <t>2026-08-08</t>
        </is>
      </c>
      <c r="L465" s="19" t="inlineStr">
        <is>
          <t>1012004</t>
        </is>
      </c>
      <c r="M465" t="inlineStr">
        <is>
          <t>STATUS=IN OEM / EU PACKAGE; SOURCE_CFG=IA-ST-CFG-0222; MARKET=None</t>
        </is>
      </c>
      <c r="N465" t="inlineStr">
        <is>
          <t>2026-08-10T19:29:54Z</t>
        </is>
      </c>
      <c r="O465" t="inlineStr">
        <is>
          <t>2026-08-10T19:29:54Z</t>
        </is>
      </c>
    </row>
    <row r="466">
      <c r="A466" s="19" t="inlineStr">
        <is>
          <t>465</t>
        </is>
      </c>
      <c r="B466" s="19" t="inlineStr">
        <is>
          <t>1012006</t>
        </is>
      </c>
      <c r="C466" t="inlineStr">
        <is>
          <t>AKÜ,L2,DK,55AH,IGYA SMF,HUGEL ACTION</t>
        </is>
      </c>
      <c r="D466" s="19" t="inlineStr">
        <is>
          <t>1</t>
        </is>
      </c>
      <c r="E466" t="n">
        <v>0</v>
      </c>
      <c r="I466" s="19" t="inlineStr">
        <is>
          <t>2</t>
        </is>
      </c>
      <c r="J466" t="inlineStr">
        <is>
          <t>2026-08-08</t>
        </is>
      </c>
      <c r="L466" s="19" t="inlineStr">
        <is>
          <t>1012006</t>
        </is>
      </c>
      <c r="M466" t="inlineStr">
        <is>
          <t>STATUS=IN OEM / EU PACKAGE; SOURCE_CFG=IA-ST-CFG-0222; MARKET=None</t>
        </is>
      </c>
      <c r="N466" t="inlineStr">
        <is>
          <t>2026-08-10T19:29:54Z</t>
        </is>
      </c>
      <c r="O466" t="inlineStr">
        <is>
          <t>2026-08-10T19:29:54Z</t>
        </is>
      </c>
    </row>
    <row r="467">
      <c r="A467" s="19" t="inlineStr">
        <is>
          <t>466</t>
        </is>
      </c>
      <c r="B467" s="19" t="inlineStr">
        <is>
          <t>1012007</t>
        </is>
      </c>
      <c r="C467" t="inlineStr">
        <is>
          <t>AKÜ,L2,DK,60AH,IGYA SMF,HUGEL ACTION</t>
        </is>
      </c>
      <c r="D467" s="19" t="inlineStr">
        <is>
          <t>1</t>
        </is>
      </c>
      <c r="E467" t="n">
        <v>0</v>
      </c>
      <c r="I467" s="19" t="inlineStr">
        <is>
          <t>2</t>
        </is>
      </c>
      <c r="J467" t="inlineStr">
        <is>
          <t>2026-08-08</t>
        </is>
      </c>
      <c r="L467" s="19" t="inlineStr">
        <is>
          <t>1012007</t>
        </is>
      </c>
      <c r="M467" t="inlineStr">
        <is>
          <t>STATUS=IN OEM / EU PACKAGE; SOURCE_CFG=IA-ST-CFG-0222; MARKET=None</t>
        </is>
      </c>
      <c r="N467" t="inlineStr">
        <is>
          <t>2026-08-10T19:29:54Z</t>
        </is>
      </c>
      <c r="O467" t="inlineStr">
        <is>
          <t>2026-08-10T19:29:54Z</t>
        </is>
      </c>
    </row>
    <row r="468">
      <c r="A468" s="19" t="inlineStr">
        <is>
          <t>467</t>
        </is>
      </c>
      <c r="B468" s="19" t="inlineStr">
        <is>
          <t>1012009</t>
        </is>
      </c>
      <c r="C468" t="inlineStr">
        <is>
          <t>AKÜ,L2,DK,60AH,IGYASMF,BLIZ SILVR,JANENE</t>
        </is>
      </c>
      <c r="D468" s="19" t="inlineStr">
        <is>
          <t>1</t>
        </is>
      </c>
      <c r="E468" t="n">
        <v>0</v>
      </c>
      <c r="I468" s="19" t="inlineStr">
        <is>
          <t>2</t>
        </is>
      </c>
      <c r="J468" t="inlineStr">
        <is>
          <t>2026-08-08</t>
        </is>
      </c>
      <c r="L468" s="19" t="inlineStr">
        <is>
          <t>1012009</t>
        </is>
      </c>
      <c r="M468" t="inlineStr">
        <is>
          <t>STATUS=IN OEM / EU PACKAGE; SOURCE_CFG=IA-ST-CFG-0222; MARKET=JANENE İSRAİL</t>
        </is>
      </c>
      <c r="N468" t="inlineStr">
        <is>
          <t>2026-08-10T19:29:54Z</t>
        </is>
      </c>
      <c r="O468" t="inlineStr">
        <is>
          <t>2026-08-10T19:29:54Z</t>
        </is>
      </c>
    </row>
    <row r="469">
      <c r="A469" s="19" t="inlineStr">
        <is>
          <t>468</t>
        </is>
      </c>
      <c r="B469" s="19" t="inlineStr">
        <is>
          <t>1012010</t>
        </is>
      </c>
      <c r="C469" t="inlineStr">
        <is>
          <t>AKÜ,L2,DK,55AH,IGYASMF,BLIZ.TREND,JANENE</t>
        </is>
      </c>
      <c r="D469" s="19" t="inlineStr">
        <is>
          <t>1</t>
        </is>
      </c>
      <c r="E469" t="n">
        <v>0</v>
      </c>
      <c r="I469" s="19" t="inlineStr">
        <is>
          <t>2</t>
        </is>
      </c>
      <c r="J469" t="inlineStr">
        <is>
          <t>2026-08-08</t>
        </is>
      </c>
      <c r="L469" s="19" t="inlineStr">
        <is>
          <t>1012010</t>
        </is>
      </c>
      <c r="M469" t="inlineStr">
        <is>
          <t>STATUS=IN OEM / EU PACKAGE; SOURCE_CFG=IA-ST-CFG-0222; MARKET=JANENE İSRAİL</t>
        </is>
      </c>
      <c r="N469" t="inlineStr">
        <is>
          <t>2026-08-10T19:29:54Z</t>
        </is>
      </c>
      <c r="O469" t="inlineStr">
        <is>
          <t>2026-08-10T19:29:54Z</t>
        </is>
      </c>
    </row>
    <row r="470">
      <c r="A470" s="19" t="inlineStr">
        <is>
          <t>469</t>
        </is>
      </c>
      <c r="B470" s="19" t="inlineStr">
        <is>
          <t>1012011</t>
        </is>
      </c>
      <c r="C470" t="inlineStr">
        <is>
          <t>AKÜ,L2,DK,62AH,IGYA,FORMLA,KOLİ,EECMISIR</t>
        </is>
      </c>
      <c r="D470" s="19" t="inlineStr">
        <is>
          <t>1</t>
        </is>
      </c>
      <c r="E470" t="n">
        <v>0</v>
      </c>
      <c r="I470" s="19" t="inlineStr">
        <is>
          <t>2</t>
        </is>
      </c>
      <c r="J470" t="inlineStr">
        <is>
          <t>2026-08-08</t>
        </is>
      </c>
      <c r="L470" s="19" t="inlineStr">
        <is>
          <t>1012011</t>
        </is>
      </c>
      <c r="M470" t="inlineStr">
        <is>
          <t>STATUS=IN OEM / EU PACKAGE; SOURCE_CFG=IA-ST-CFG-0261; MARKET=MISIR EEC</t>
        </is>
      </c>
      <c r="N470" t="inlineStr">
        <is>
          <t>2026-08-10T19:29:54Z</t>
        </is>
      </c>
      <c r="O470" t="inlineStr">
        <is>
          <t>2026-08-10T19:29:54Z</t>
        </is>
      </c>
    </row>
    <row r="471">
      <c r="A471" s="19" t="inlineStr">
        <is>
          <t>470</t>
        </is>
      </c>
      <c r="B471" s="19" t="inlineStr">
        <is>
          <t>1012013</t>
        </is>
      </c>
      <c r="C471" t="inlineStr">
        <is>
          <t>AKÜ,L3,DK,72AH,IGYASMF,HUGEL ACTION,NASA</t>
        </is>
      </c>
      <c r="D471" s="19" t="inlineStr">
        <is>
          <t>1</t>
        </is>
      </c>
      <c r="E471" t="n">
        <v>0</v>
      </c>
      <c r="I471" s="19" t="inlineStr">
        <is>
          <t>2</t>
        </is>
      </c>
      <c r="J471" t="inlineStr">
        <is>
          <t>2026-08-08</t>
        </is>
      </c>
      <c r="L471" s="19" t="inlineStr">
        <is>
          <t>1012013</t>
        </is>
      </c>
      <c r="M471" t="inlineStr">
        <is>
          <t>STATUS=IN OEM / EU PACKAGE; SOURCE_CFG=IA-ST-CFG-0179; MARKET=NASA</t>
        </is>
      </c>
      <c r="N471" t="inlineStr">
        <is>
          <t>2026-08-10T19:29:54Z</t>
        </is>
      </c>
      <c r="O471" t="inlineStr">
        <is>
          <t>2026-08-10T19:29:54Z</t>
        </is>
      </c>
    </row>
    <row r="472">
      <c r="A472" s="19" t="inlineStr">
        <is>
          <t>471</t>
        </is>
      </c>
      <c r="B472" s="19" t="inlineStr">
        <is>
          <t>1012014</t>
        </is>
      </c>
      <c r="C472" t="inlineStr">
        <is>
          <t>AKÜ,L3,DK,75AH,IGYA SMF,HUGEL ULTRA</t>
        </is>
      </c>
      <c r="D472" s="19" t="inlineStr">
        <is>
          <t>1</t>
        </is>
      </c>
      <c r="E472" t="n">
        <v>0</v>
      </c>
      <c r="I472" s="19" t="inlineStr">
        <is>
          <t>2</t>
        </is>
      </c>
      <c r="J472" t="inlineStr">
        <is>
          <t>2026-08-08</t>
        </is>
      </c>
      <c r="L472" s="19" t="inlineStr">
        <is>
          <t>1012014</t>
        </is>
      </c>
      <c r="M472" t="inlineStr">
        <is>
          <t>STATUS=IN OEM / EU PACKAGE; SOURCE_CFG=IA-ST-CFG-0179; MARKET=None</t>
        </is>
      </c>
      <c r="N472" t="inlineStr">
        <is>
          <t>2026-08-10T19:29:54Z</t>
        </is>
      </c>
      <c r="O472" t="inlineStr">
        <is>
          <t>2026-08-10T19:29:54Z</t>
        </is>
      </c>
    </row>
    <row r="473">
      <c r="A473" s="19" t="inlineStr">
        <is>
          <t>472</t>
        </is>
      </c>
      <c r="B473" s="19" t="inlineStr">
        <is>
          <t>1012015</t>
        </is>
      </c>
      <c r="C473" t="inlineStr">
        <is>
          <t>AKÜ,L3,DK,75AH,IGYA SMF,HUGEL ULTRA</t>
        </is>
      </c>
      <c r="D473" s="19" t="inlineStr">
        <is>
          <t>1</t>
        </is>
      </c>
      <c r="E473" t="n">
        <v>0</v>
      </c>
      <c r="I473" s="19" t="inlineStr">
        <is>
          <t>2</t>
        </is>
      </c>
      <c r="J473" t="inlineStr">
        <is>
          <t>2026-08-08</t>
        </is>
      </c>
      <c r="L473" s="19" t="inlineStr">
        <is>
          <t>1012015</t>
        </is>
      </c>
      <c r="M473" t="inlineStr">
        <is>
          <t>STATUS=IN OEM / EU PACKAGE; SOURCE_CFG=IA-ST-CFG-0179; MARKET=None</t>
        </is>
      </c>
      <c r="N473" t="inlineStr">
        <is>
          <t>2026-08-10T19:29:54Z</t>
        </is>
      </c>
      <c r="O473" t="inlineStr">
        <is>
          <t>2026-08-10T19:29:54Z</t>
        </is>
      </c>
    </row>
    <row r="474">
      <c r="A474" s="19" t="inlineStr">
        <is>
          <t>473</t>
        </is>
      </c>
      <c r="B474" s="19" t="inlineStr">
        <is>
          <t>1012016</t>
        </is>
      </c>
      <c r="C474" t="inlineStr">
        <is>
          <t>AKÜ,L3,DK,72AH,IGYA SMF,HUGEL ACTION</t>
        </is>
      </c>
      <c r="D474" s="19" t="inlineStr">
        <is>
          <t>1</t>
        </is>
      </c>
      <c r="E474" t="n">
        <v>0</v>
      </c>
      <c r="I474" s="19" t="inlineStr">
        <is>
          <t>2</t>
        </is>
      </c>
      <c r="J474" t="inlineStr">
        <is>
          <t>2026-08-08</t>
        </is>
      </c>
      <c r="L474" s="19" t="inlineStr">
        <is>
          <t>1012016</t>
        </is>
      </c>
      <c r="M474" t="inlineStr">
        <is>
          <t>STATUS=IN OEM / EU PACKAGE; SOURCE_CFG=IA-ST-CFG-0179; MARKET=None</t>
        </is>
      </c>
      <c r="N474" t="inlineStr">
        <is>
          <t>2026-08-10T19:29:54Z</t>
        </is>
      </c>
      <c r="O474" t="inlineStr">
        <is>
          <t>2026-08-10T19:29:54Z</t>
        </is>
      </c>
    </row>
    <row r="475">
      <c r="A475" s="19" t="inlineStr">
        <is>
          <t>474</t>
        </is>
      </c>
      <c r="B475" s="19" t="inlineStr">
        <is>
          <t>1012017</t>
        </is>
      </c>
      <c r="C475" t="inlineStr">
        <is>
          <t>AKÜ,L3,TK,75AH,IGYA SMF,HUGEL ULTRA</t>
        </is>
      </c>
      <c r="D475" s="19" t="inlineStr">
        <is>
          <t>1</t>
        </is>
      </c>
      <c r="E475" t="n">
        <v>0</v>
      </c>
      <c r="I475" s="19" t="inlineStr">
        <is>
          <t>2</t>
        </is>
      </c>
      <c r="J475" t="inlineStr">
        <is>
          <t>2026-08-08</t>
        </is>
      </c>
      <c r="L475" s="19" t="inlineStr">
        <is>
          <t>1012017</t>
        </is>
      </c>
      <c r="M475" t="inlineStr">
        <is>
          <t>STATUS=IN OEM / EU PACKAGE; SOURCE_CFG=IA-ST-CFG-0179; MARKET=None</t>
        </is>
      </c>
      <c r="N475" t="inlineStr">
        <is>
          <t>2026-08-10T19:29:54Z</t>
        </is>
      </c>
      <c r="O475" t="inlineStr">
        <is>
          <t>2026-08-10T19:29:54Z</t>
        </is>
      </c>
    </row>
    <row r="476">
      <c r="A476" s="19" t="inlineStr">
        <is>
          <t>475</t>
        </is>
      </c>
      <c r="B476" s="19" t="inlineStr">
        <is>
          <t>1012019</t>
        </is>
      </c>
      <c r="C476" t="inlineStr">
        <is>
          <t>AKÜ,L2,DK,55AH,IGYASMF,HUGEL ULTRA,ATLAS</t>
        </is>
      </c>
      <c r="D476" s="19" t="inlineStr">
        <is>
          <t>1</t>
        </is>
      </c>
      <c r="E476" t="n">
        <v>0</v>
      </c>
      <c r="I476" s="19" t="inlineStr">
        <is>
          <t>2</t>
        </is>
      </c>
      <c r="J476" t="inlineStr">
        <is>
          <t>2026-08-08</t>
        </is>
      </c>
      <c r="L476" s="19" t="inlineStr">
        <is>
          <t>1012019</t>
        </is>
      </c>
      <c r="M476" t="inlineStr">
        <is>
          <t>STATUS=IN OEM / EU PACKAGE; SOURCE_CFG=IA-ST-CFG-0222; MARKET=None</t>
        </is>
      </c>
      <c r="N476" t="inlineStr">
        <is>
          <t>2026-08-10T19:29:54Z</t>
        </is>
      </c>
      <c r="O476" t="inlineStr">
        <is>
          <t>2026-08-10T19:29:54Z</t>
        </is>
      </c>
    </row>
    <row r="477">
      <c r="A477" s="19" t="inlineStr">
        <is>
          <t>476</t>
        </is>
      </c>
      <c r="B477" s="19" t="inlineStr">
        <is>
          <t>1012020</t>
        </is>
      </c>
      <c r="C477" t="inlineStr">
        <is>
          <t>AKÜ,L3,DK,74AH,IGYA SMF,HUGEL ACTION</t>
        </is>
      </c>
      <c r="D477" s="19" t="inlineStr">
        <is>
          <t>1</t>
        </is>
      </c>
      <c r="E477" t="n">
        <v>0</v>
      </c>
      <c r="I477" s="19" t="inlineStr">
        <is>
          <t>2</t>
        </is>
      </c>
      <c r="J477" t="inlineStr">
        <is>
          <t>2026-08-08</t>
        </is>
      </c>
      <c r="L477" s="19" t="inlineStr">
        <is>
          <t>1012020</t>
        </is>
      </c>
      <c r="M477" t="inlineStr">
        <is>
          <t>STATUS=IN OEM / EU PACKAGE; SOURCE_CFG=IA-ST-CFG-0179; MARKET=None</t>
        </is>
      </c>
      <c r="N477" t="inlineStr">
        <is>
          <t>2026-08-10T19:29:54Z</t>
        </is>
      </c>
      <c r="O477" t="inlineStr">
        <is>
          <t>2026-08-10T19:29:54Z</t>
        </is>
      </c>
    </row>
    <row r="478">
      <c r="A478" s="19" t="inlineStr">
        <is>
          <t>477</t>
        </is>
      </c>
      <c r="B478" s="19" t="inlineStr">
        <is>
          <t>1012022</t>
        </is>
      </c>
      <c r="C478" t="inlineStr">
        <is>
          <t>AKÜ,L3,DK,75AH,IGYA SMF,EAS ACTIVA</t>
        </is>
      </c>
      <c r="D478" s="19" t="inlineStr">
        <is>
          <t>1</t>
        </is>
      </c>
      <c r="E478" t="n">
        <v>0</v>
      </c>
      <c r="I478" s="19" t="inlineStr">
        <is>
          <t>2</t>
        </is>
      </c>
      <c r="J478" t="inlineStr">
        <is>
          <t>2026-08-08</t>
        </is>
      </c>
      <c r="L478" s="19" t="inlineStr">
        <is>
          <t>1012022</t>
        </is>
      </c>
      <c r="M478" t="inlineStr">
        <is>
          <t>STATUS=IN OEM / EU PACKAGE; SOURCE_CFG=IA-ST-CFG-0179; MARKET=None</t>
        </is>
      </c>
      <c r="N478" t="inlineStr">
        <is>
          <t>2026-08-10T19:29:54Z</t>
        </is>
      </c>
      <c r="O478" t="inlineStr">
        <is>
          <t>2026-08-10T19:29:54Z</t>
        </is>
      </c>
    </row>
    <row r="479">
      <c r="A479" s="19" t="inlineStr">
        <is>
          <t>478</t>
        </is>
      </c>
      <c r="B479" s="19" t="inlineStr">
        <is>
          <t>1012023</t>
        </is>
      </c>
      <c r="C479" t="inlineStr">
        <is>
          <t>AKÜ,L2,DK,60AH,IGYSMF,İNCİEFBPANT,MIRKAZ</t>
        </is>
      </c>
      <c r="D479" s="19" t="inlineStr">
        <is>
          <t>1</t>
        </is>
      </c>
      <c r="E479" t="n">
        <v>0</v>
      </c>
      <c r="I479" s="19" t="inlineStr">
        <is>
          <t>2</t>
        </is>
      </c>
      <c r="J479" t="inlineStr">
        <is>
          <t>2026-08-08</t>
        </is>
      </c>
      <c r="L479" s="19" t="inlineStr">
        <is>
          <t>1012023</t>
        </is>
      </c>
      <c r="M479" t="inlineStr">
        <is>
          <t>STATUS=IN OEM / EU PACKAGE; SOURCE_CFG=IA-ST-CFG-0222; MARKET=MIRKAZ İSRAİL</t>
        </is>
      </c>
      <c r="N479" t="inlineStr">
        <is>
          <t>2026-08-10T19:29:54Z</t>
        </is>
      </c>
      <c r="O479" t="inlineStr">
        <is>
          <t>2026-08-10T19:29:54Z</t>
        </is>
      </c>
    </row>
    <row r="480">
      <c r="A480" s="19" t="inlineStr">
        <is>
          <t>479</t>
        </is>
      </c>
      <c r="B480" s="19" t="inlineStr">
        <is>
          <t>1012024</t>
        </is>
      </c>
      <c r="C480" t="inlineStr">
        <is>
          <t>AKÜ,L3,DK,75AH,IGYASMF,BLIZSILVER,JANENE</t>
        </is>
      </c>
      <c r="D480" s="19" t="inlineStr">
        <is>
          <t>1</t>
        </is>
      </c>
      <c r="E480" t="n">
        <v>0</v>
      </c>
      <c r="I480" s="19" t="inlineStr">
        <is>
          <t>2</t>
        </is>
      </c>
      <c r="J480" t="inlineStr">
        <is>
          <t>2026-08-08</t>
        </is>
      </c>
      <c r="L480" s="19" t="inlineStr">
        <is>
          <t>1012024</t>
        </is>
      </c>
      <c r="M480" t="inlineStr">
        <is>
          <t>STATUS=IN OEM / EU PACKAGE; SOURCE_CFG=IA-ST-CFG-0179; MARKET=JANENE İSRAİL</t>
        </is>
      </c>
      <c r="N480" t="inlineStr">
        <is>
          <t>2026-08-10T19:29:54Z</t>
        </is>
      </c>
      <c r="O480" t="inlineStr">
        <is>
          <t>2026-08-10T19:29:54Z</t>
        </is>
      </c>
    </row>
    <row r="481">
      <c r="A481" s="19" t="inlineStr">
        <is>
          <t>480</t>
        </is>
      </c>
      <c r="B481" s="19" t="inlineStr">
        <is>
          <t>1012025</t>
        </is>
      </c>
      <c r="C481" t="inlineStr">
        <is>
          <t>AKÜ,L3,DK,75AH,IGYSMF,İNCİTAUR,EEC MISIR</t>
        </is>
      </c>
      <c r="D481" s="19" t="inlineStr">
        <is>
          <t>1</t>
        </is>
      </c>
      <c r="E481" t="n">
        <v>0</v>
      </c>
      <c r="I481" s="19" t="inlineStr">
        <is>
          <t>2</t>
        </is>
      </c>
      <c r="J481" t="inlineStr">
        <is>
          <t>2026-08-08</t>
        </is>
      </c>
      <c r="L481" s="19" t="inlineStr">
        <is>
          <t>1012025</t>
        </is>
      </c>
      <c r="M481" t="inlineStr">
        <is>
          <t>STATUS=IN OEM / EU PACKAGE; SOURCE_CFG=IA-ST-CFG-0179; MARKET=MISIR EEC</t>
        </is>
      </c>
      <c r="N481" t="inlineStr">
        <is>
          <t>2026-08-10T19:29:54Z</t>
        </is>
      </c>
      <c r="O481" t="inlineStr">
        <is>
          <t>2026-08-10T19:29:54Z</t>
        </is>
      </c>
    </row>
    <row r="482">
      <c r="A482" s="19" t="inlineStr">
        <is>
          <t>481</t>
        </is>
      </c>
      <c r="B482" s="19" t="inlineStr">
        <is>
          <t>1012027</t>
        </is>
      </c>
      <c r="C482" t="inlineStr">
        <is>
          <t>AKÜ,L3,DK,75AH,IGYASMF,BLIZZARO SILVERLN</t>
        </is>
      </c>
      <c r="D482" s="19" t="inlineStr">
        <is>
          <t>1</t>
        </is>
      </c>
      <c r="E482" t="n">
        <v>0</v>
      </c>
      <c r="I482" s="19" t="inlineStr">
        <is>
          <t>2</t>
        </is>
      </c>
      <c r="J482" t="inlineStr">
        <is>
          <t>2026-08-08</t>
        </is>
      </c>
      <c r="L482" s="19" t="inlineStr">
        <is>
          <t>1012027</t>
        </is>
      </c>
      <c r="M482" t="inlineStr">
        <is>
          <t>STATUS=IN OEM / EU PACKAGE; SOURCE_CFG=IA-ST-CFG-0179; MARKET=None</t>
        </is>
      </c>
      <c r="N482" t="inlineStr">
        <is>
          <t>2026-08-10T19:29:54Z</t>
        </is>
      </c>
      <c r="O482" t="inlineStr">
        <is>
          <t>2026-08-10T19:29:54Z</t>
        </is>
      </c>
    </row>
    <row r="483">
      <c r="A483" s="19" t="inlineStr">
        <is>
          <t>482</t>
        </is>
      </c>
      <c r="B483" s="19" t="inlineStr">
        <is>
          <t>1012030</t>
        </is>
      </c>
      <c r="C483" t="inlineStr">
        <is>
          <t>AKÜ,L2,DK,62AH,IGYASMF,HUGELULTRA,NACITA</t>
        </is>
      </c>
      <c r="D483" s="19" t="inlineStr">
        <is>
          <t>1</t>
        </is>
      </c>
      <c r="E483" t="n">
        <v>0</v>
      </c>
      <c r="I483" s="19" t="inlineStr">
        <is>
          <t>2</t>
        </is>
      </c>
      <c r="J483" t="inlineStr">
        <is>
          <t>2026-08-08</t>
        </is>
      </c>
      <c r="L483" s="19" t="inlineStr">
        <is>
          <t>1012030</t>
        </is>
      </c>
      <c r="M483" t="inlineStr">
        <is>
          <t>STATUS=IN OEM / EU PACKAGE; SOURCE_CFG=IA-ST-CFG-0222; MARKET=MISIR NACITA</t>
        </is>
      </c>
      <c r="N483" t="inlineStr">
        <is>
          <t>2026-08-10T19:29:54Z</t>
        </is>
      </c>
      <c r="O483" t="inlineStr">
        <is>
          <t>2026-08-10T19:29:54Z</t>
        </is>
      </c>
    </row>
    <row r="484">
      <c r="A484" s="19" t="inlineStr">
        <is>
          <t>483</t>
        </is>
      </c>
      <c r="B484" s="19" t="inlineStr">
        <is>
          <t>1012031</t>
        </is>
      </c>
      <c r="C484" t="inlineStr">
        <is>
          <t>AKÜ,L2,TK,62AH,IGYASMF,HUGELULTRA,NACITA</t>
        </is>
      </c>
      <c r="D484" s="19" t="inlineStr">
        <is>
          <t>1</t>
        </is>
      </c>
      <c r="E484" t="n">
        <v>0</v>
      </c>
      <c r="I484" s="19" t="inlineStr">
        <is>
          <t>2</t>
        </is>
      </c>
      <c r="J484" t="inlineStr">
        <is>
          <t>2026-08-08</t>
        </is>
      </c>
      <c r="L484" s="19" t="inlineStr">
        <is>
          <t>1012031</t>
        </is>
      </c>
      <c r="M484" t="inlineStr">
        <is>
          <t>STATUS=IN OEM / EU PACKAGE; SOURCE_CFG=IA-ST-CFG-0222; MARKET=MISIR NACITA</t>
        </is>
      </c>
      <c r="N484" t="inlineStr">
        <is>
          <t>2026-08-10T19:29:54Z</t>
        </is>
      </c>
      <c r="O484" t="inlineStr">
        <is>
          <t>2026-08-10T19:29:54Z</t>
        </is>
      </c>
    </row>
    <row r="485">
      <c r="A485" s="19" t="inlineStr">
        <is>
          <t>484</t>
        </is>
      </c>
      <c r="B485" s="19" t="inlineStr">
        <is>
          <t>1012032</t>
        </is>
      </c>
      <c r="C485" t="inlineStr">
        <is>
          <t>AKÜ,L3,DK,72AH,IGYA SMF,HUGEL ULTRA</t>
        </is>
      </c>
      <c r="D485" s="19" t="inlineStr">
        <is>
          <t>1</t>
        </is>
      </c>
      <c r="E485" t="n">
        <v>0</v>
      </c>
      <c r="I485" s="19" t="inlineStr">
        <is>
          <t>2</t>
        </is>
      </c>
      <c r="J485" t="inlineStr">
        <is>
          <t>2026-08-08</t>
        </is>
      </c>
      <c r="L485" s="19" t="inlineStr">
        <is>
          <t>1012032</t>
        </is>
      </c>
      <c r="M485" t="inlineStr">
        <is>
          <t>STATUS=IN OEM / EU PACKAGE; SOURCE_CFG=IA-ST-CFG-0179; MARKET=None</t>
        </is>
      </c>
      <c r="N485" t="inlineStr">
        <is>
          <t>2026-08-10T19:29:54Z</t>
        </is>
      </c>
      <c r="O485" t="inlineStr">
        <is>
          <t>2026-08-10T19:29:54Z</t>
        </is>
      </c>
    </row>
    <row r="486">
      <c r="A486" s="19" t="inlineStr">
        <is>
          <t>485</t>
        </is>
      </c>
      <c r="B486" s="19" t="inlineStr">
        <is>
          <t>1012034</t>
        </is>
      </c>
      <c r="C486" t="inlineStr">
        <is>
          <t>AKÜ,L2,DK,62AH,IGYASMF,BLIZSILVRL,MISIR</t>
        </is>
      </c>
      <c r="D486" s="19" t="inlineStr">
        <is>
          <t>1</t>
        </is>
      </c>
      <c r="E486" t="n">
        <v>0</v>
      </c>
      <c r="I486" s="19" t="inlineStr">
        <is>
          <t>2</t>
        </is>
      </c>
      <c r="J486" t="inlineStr">
        <is>
          <t>2026-08-08</t>
        </is>
      </c>
      <c r="L486" s="19" t="inlineStr">
        <is>
          <t>1012034</t>
        </is>
      </c>
      <c r="M486" t="inlineStr">
        <is>
          <t>STATUS=IN OEM / EU PACKAGE; SOURCE_CFG=IA-ST-CFG-0259; MARKET=MISIR AL AMAN</t>
        </is>
      </c>
      <c r="N486" t="inlineStr">
        <is>
          <t>2026-08-10T19:29:54Z</t>
        </is>
      </c>
      <c r="O486" t="inlineStr">
        <is>
          <t>2026-08-10T19:29:54Z</t>
        </is>
      </c>
    </row>
    <row r="487">
      <c r="A487" s="19" t="inlineStr">
        <is>
          <t>486</t>
        </is>
      </c>
      <c r="B487" s="19" t="inlineStr">
        <is>
          <t>1012035</t>
        </is>
      </c>
      <c r="C487" t="inlineStr">
        <is>
          <t>AKÜ,L2,TK,62AH,IGYASMF,BLIZSILVRL,MISIR</t>
        </is>
      </c>
      <c r="D487" s="19" t="inlineStr">
        <is>
          <t>1</t>
        </is>
      </c>
      <c r="E487" t="n">
        <v>0</v>
      </c>
      <c r="I487" s="19" t="inlineStr">
        <is>
          <t>2</t>
        </is>
      </c>
      <c r="J487" t="inlineStr">
        <is>
          <t>2026-08-08</t>
        </is>
      </c>
      <c r="L487" s="19" t="inlineStr">
        <is>
          <t>1012035</t>
        </is>
      </c>
      <c r="M487" t="inlineStr">
        <is>
          <t>STATUS=IN OEM / EU PACKAGE; SOURCE_CFG=IA-ST-CFG-0259; MARKET=MISIR AL AMAN</t>
        </is>
      </c>
      <c r="N487" t="inlineStr">
        <is>
          <t>2026-08-10T19:29:54Z</t>
        </is>
      </c>
      <c r="O487" t="inlineStr">
        <is>
          <t>2026-08-10T19:29:54Z</t>
        </is>
      </c>
    </row>
    <row r="488">
      <c r="A488" s="19" t="inlineStr">
        <is>
          <t>487</t>
        </is>
      </c>
      <c r="B488" s="19" t="inlineStr">
        <is>
          <t>1012036</t>
        </is>
      </c>
      <c r="C488" t="inlineStr">
        <is>
          <t>AKÜ,L2,DK,60AH,IGY SMF,HUGEL ULTRA</t>
        </is>
      </c>
      <c r="D488" s="19" t="inlineStr">
        <is>
          <t>1</t>
        </is>
      </c>
      <c r="E488" t="n">
        <v>0</v>
      </c>
      <c r="I488" s="19" t="inlineStr">
        <is>
          <t>2</t>
        </is>
      </c>
      <c r="J488" t="inlineStr">
        <is>
          <t>2026-08-08</t>
        </is>
      </c>
      <c r="L488" s="19" t="inlineStr">
        <is>
          <t>1012036</t>
        </is>
      </c>
      <c r="M488" t="inlineStr">
        <is>
          <t>STATUS=IN OEM / EU PACKAGE; SOURCE_CFG=IA-ST-CFG-0222; MARKET=None</t>
        </is>
      </c>
      <c r="N488" t="inlineStr">
        <is>
          <t>2026-08-10T19:29:54Z</t>
        </is>
      </c>
      <c r="O488" t="inlineStr">
        <is>
          <t>2026-08-10T19:29:54Z</t>
        </is>
      </c>
    </row>
    <row r="489">
      <c r="A489" s="19" t="inlineStr">
        <is>
          <t>488</t>
        </is>
      </c>
      <c r="B489" s="19" t="inlineStr">
        <is>
          <t>1012037</t>
        </is>
      </c>
      <c r="C489" t="inlineStr">
        <is>
          <t>AKÜ,L3,DK,75AH,IGYA SMF,ENERGY MAX</t>
        </is>
      </c>
      <c r="D489" s="19" t="inlineStr">
        <is>
          <t>1</t>
        </is>
      </c>
      <c r="E489" t="n">
        <v>0</v>
      </c>
      <c r="I489" s="19" t="inlineStr">
        <is>
          <t>2</t>
        </is>
      </c>
      <c r="J489" t="inlineStr">
        <is>
          <t>2026-08-08</t>
        </is>
      </c>
      <c r="L489" s="19" t="inlineStr">
        <is>
          <t>1012037</t>
        </is>
      </c>
      <c r="M489" t="inlineStr">
        <is>
          <t>STATUS=IN OEM / EU PACKAGE; SOURCE_CFG=IA-ST-CFG-0179; MARKET=None</t>
        </is>
      </c>
      <c r="N489" t="inlineStr">
        <is>
          <t>2026-08-10T19:29:54Z</t>
        </is>
      </c>
      <c r="O489" t="inlineStr">
        <is>
          <t>2026-08-10T19:29:54Z</t>
        </is>
      </c>
    </row>
    <row r="490">
      <c r="A490" s="19" t="inlineStr">
        <is>
          <t>489</t>
        </is>
      </c>
      <c r="B490" s="19" t="inlineStr">
        <is>
          <t>1012038</t>
        </is>
      </c>
      <c r="C490" t="inlineStr">
        <is>
          <t>AKÜ,L2,DK,60AH,IGY SMF,EFBS&amp;S HUGEL,NASA</t>
        </is>
      </c>
      <c r="D490" s="19" t="inlineStr">
        <is>
          <t>1</t>
        </is>
      </c>
      <c r="E490" t="n">
        <v>0</v>
      </c>
      <c r="I490" s="19" t="inlineStr">
        <is>
          <t>2</t>
        </is>
      </c>
      <c r="J490" t="inlineStr">
        <is>
          <t>2026-08-08</t>
        </is>
      </c>
      <c r="L490" s="19" t="inlineStr">
        <is>
          <t>1012038</t>
        </is>
      </c>
      <c r="M490" t="inlineStr">
        <is>
          <t>STATUS=IN OEM / EU PACKAGE; SOURCE_CFG=IA-ST-CFG-0222; MARKET=NASA</t>
        </is>
      </c>
      <c r="N490" t="inlineStr">
        <is>
          <t>2026-08-10T19:29:54Z</t>
        </is>
      </c>
      <c r="O490" t="inlineStr">
        <is>
          <t>2026-08-10T19:29:54Z</t>
        </is>
      </c>
    </row>
    <row r="491">
      <c r="A491" s="19" t="inlineStr">
        <is>
          <t>490</t>
        </is>
      </c>
      <c r="B491" s="19" t="inlineStr">
        <is>
          <t>1012040</t>
        </is>
      </c>
      <c r="C491" t="inlineStr">
        <is>
          <t>AKÜ,L3,DK,72AH,IGYSMF,İNCİEFBPANT,MIRKAZ</t>
        </is>
      </c>
      <c r="D491" s="19" t="inlineStr">
        <is>
          <t>1</t>
        </is>
      </c>
      <c r="E491" t="n">
        <v>0</v>
      </c>
      <c r="I491" s="19" t="inlineStr">
        <is>
          <t>2</t>
        </is>
      </c>
      <c r="J491" t="inlineStr">
        <is>
          <t>2026-08-08</t>
        </is>
      </c>
      <c r="L491" s="19" t="inlineStr">
        <is>
          <t>1012040</t>
        </is>
      </c>
      <c r="M491" t="inlineStr">
        <is>
          <t>STATUS=IN OEM / EU PACKAGE; SOURCE_CFG=IA-ST-CFG-0179; MARKET=MIRKAZ İSRAİL</t>
        </is>
      </c>
      <c r="N491" t="inlineStr">
        <is>
          <t>2026-08-10T19:29:54Z</t>
        </is>
      </c>
      <c r="O491" t="inlineStr">
        <is>
          <t>2026-08-10T19:29:54Z</t>
        </is>
      </c>
    </row>
    <row r="492">
      <c r="A492" s="19" t="inlineStr">
        <is>
          <t>491</t>
        </is>
      </c>
      <c r="B492" s="19" t="inlineStr">
        <is>
          <t>1012041</t>
        </is>
      </c>
      <c r="C492" t="inlineStr">
        <is>
          <t>AKÜ,L2,DK,62AH,IGYASMF,EASACTVKOLİ,ATWAN</t>
        </is>
      </c>
      <c r="D492" s="19" t="inlineStr">
        <is>
          <t>1</t>
        </is>
      </c>
      <c r="E492" t="n">
        <v>0</v>
      </c>
      <c r="I492" s="19" t="inlineStr">
        <is>
          <t>2</t>
        </is>
      </c>
      <c r="J492" t="inlineStr">
        <is>
          <t>2026-08-08</t>
        </is>
      </c>
      <c r="L492" s="19" t="inlineStr">
        <is>
          <t>1012041</t>
        </is>
      </c>
      <c r="M492" t="inlineStr">
        <is>
          <t>STATUS=IN OEM / EU PACKAGE; SOURCE_CFG=IA-ST-CFG-0254; MARKET=MISIR ATWAN</t>
        </is>
      </c>
      <c r="N492" t="inlineStr">
        <is>
          <t>2026-08-10T19:29:54Z</t>
        </is>
      </c>
      <c r="O492" t="inlineStr">
        <is>
          <t>2026-08-10T19:29:54Z</t>
        </is>
      </c>
    </row>
    <row r="493">
      <c r="A493" s="19" t="inlineStr">
        <is>
          <t>492</t>
        </is>
      </c>
      <c r="B493" s="19" t="inlineStr">
        <is>
          <t>1012042</t>
        </is>
      </c>
      <c r="C493" t="inlineStr">
        <is>
          <t>AKÜ,L2,TK,62AH,IGYSMF,EAS ACTVKOLİ,ATWAN</t>
        </is>
      </c>
      <c r="D493" s="19" t="inlineStr">
        <is>
          <t>1</t>
        </is>
      </c>
      <c r="E493" t="n">
        <v>0</v>
      </c>
      <c r="I493" s="19" t="inlineStr">
        <is>
          <t>2</t>
        </is>
      </c>
      <c r="J493" t="inlineStr">
        <is>
          <t>2026-08-08</t>
        </is>
      </c>
      <c r="L493" s="19" t="inlineStr">
        <is>
          <t>1012042</t>
        </is>
      </c>
      <c r="M493" t="inlineStr">
        <is>
          <t>STATUS=IN OEM / EU PACKAGE; SOURCE_CFG=IA-ST-CFG-0254; MARKET=MISIR ATWAN</t>
        </is>
      </c>
      <c r="N493" t="inlineStr">
        <is>
          <t>2026-08-10T19:29:54Z</t>
        </is>
      </c>
      <c r="O493" t="inlineStr">
        <is>
          <t>2026-08-10T19:29:54Z</t>
        </is>
      </c>
    </row>
    <row r="494">
      <c r="A494" s="19" t="inlineStr">
        <is>
          <t>493</t>
        </is>
      </c>
      <c r="B494" s="19" t="inlineStr">
        <is>
          <t>1012043</t>
        </is>
      </c>
      <c r="C494" t="inlineStr">
        <is>
          <t>AKÜ,L3,DK,72AH,IGYA SMF,HUGEL EFB S&amp;S</t>
        </is>
      </c>
      <c r="D494" s="19" t="inlineStr">
        <is>
          <t>1</t>
        </is>
      </c>
      <c r="E494" t="n">
        <v>0</v>
      </c>
      <c r="I494" s="19" t="inlineStr">
        <is>
          <t>2</t>
        </is>
      </c>
      <c r="J494" t="inlineStr">
        <is>
          <t>2026-08-08</t>
        </is>
      </c>
      <c r="L494" s="19" t="inlineStr">
        <is>
          <t>1012043</t>
        </is>
      </c>
      <c r="M494" t="inlineStr">
        <is>
          <t>STATUS=IN OEM / EU PACKAGE; SOURCE_CFG=IA-ST-CFG-0179; MARKET=None</t>
        </is>
      </c>
      <c r="N494" t="inlineStr">
        <is>
          <t>2026-08-10T19:29:54Z</t>
        </is>
      </c>
      <c r="O494" t="inlineStr">
        <is>
          <t>2026-08-10T19:29:54Z</t>
        </is>
      </c>
    </row>
    <row r="495">
      <c r="A495" s="19" t="inlineStr">
        <is>
          <t>494</t>
        </is>
      </c>
      <c r="B495" s="19" t="inlineStr">
        <is>
          <t>1012046</t>
        </is>
      </c>
      <c r="C495" t="inlineStr">
        <is>
          <t>AKÜ,L3,DK,72AH,IGYASMF,HUGEL EFBS&amp;S,NASA</t>
        </is>
      </c>
      <c r="D495" s="19" t="inlineStr">
        <is>
          <t>1</t>
        </is>
      </c>
      <c r="E495" t="n">
        <v>0</v>
      </c>
      <c r="I495" s="19" t="inlineStr">
        <is>
          <t>2</t>
        </is>
      </c>
      <c r="J495" t="inlineStr">
        <is>
          <t>2026-08-08</t>
        </is>
      </c>
      <c r="L495" s="19" t="inlineStr">
        <is>
          <t>1012046</t>
        </is>
      </c>
      <c r="M495" t="inlineStr">
        <is>
          <t>STATUS=IN OEM / EU PACKAGE; SOURCE_CFG=IA-ST-CFG-0179; MARKET=NASA</t>
        </is>
      </c>
      <c r="N495" t="inlineStr">
        <is>
          <t>2026-08-10T19:29:54Z</t>
        </is>
      </c>
      <c r="O495" t="inlineStr">
        <is>
          <t>2026-08-10T19:29:54Z</t>
        </is>
      </c>
    </row>
    <row r="496">
      <c r="A496" s="19" t="inlineStr">
        <is>
          <t>495</t>
        </is>
      </c>
      <c r="B496" s="19" t="inlineStr">
        <is>
          <t>1012048</t>
        </is>
      </c>
      <c r="C496" t="inlineStr">
        <is>
          <t>AKÜ,L3,DK,66AH,IGYASMF,HUGELULTRA,NACITA</t>
        </is>
      </c>
      <c r="D496" s="19" t="inlineStr">
        <is>
          <t>1</t>
        </is>
      </c>
      <c r="E496" t="n">
        <v>0</v>
      </c>
      <c r="I496" s="19" t="inlineStr">
        <is>
          <t>2</t>
        </is>
      </c>
      <c r="J496" t="inlineStr">
        <is>
          <t>2026-08-08</t>
        </is>
      </c>
      <c r="L496" s="19" t="inlineStr">
        <is>
          <t>1012048</t>
        </is>
      </c>
      <c r="M496" t="inlineStr">
        <is>
          <t>STATUS=IN OEM / EU PACKAGE; SOURCE_CFG=IA-ST-CFG-0179; MARKET=MISIR NACITA</t>
        </is>
      </c>
      <c r="N496" t="inlineStr">
        <is>
          <t>2026-08-10T19:29:54Z</t>
        </is>
      </c>
      <c r="O496" t="inlineStr">
        <is>
          <t>2026-08-10T19:29:54Z</t>
        </is>
      </c>
    </row>
    <row r="497">
      <c r="A497" s="19" t="inlineStr">
        <is>
          <t>496</t>
        </is>
      </c>
      <c r="B497" s="19" t="inlineStr">
        <is>
          <t>1012050</t>
        </is>
      </c>
      <c r="C497" t="inlineStr">
        <is>
          <t>AKÜ,L3,DK,75AH,IGYASMF,BLIZSILVRL,MISIR</t>
        </is>
      </c>
      <c r="D497" s="19" t="inlineStr">
        <is>
          <t>1</t>
        </is>
      </c>
      <c r="E497" t="n">
        <v>0</v>
      </c>
      <c r="I497" s="19" t="inlineStr">
        <is>
          <t>2</t>
        </is>
      </c>
      <c r="J497" t="inlineStr">
        <is>
          <t>2026-08-08</t>
        </is>
      </c>
      <c r="L497" s="19" t="inlineStr">
        <is>
          <t>1012050</t>
        </is>
      </c>
      <c r="M497" t="inlineStr">
        <is>
          <t>STATUS=IN OEM / EU PACKAGE; SOURCE_CFG=IA-ST-CFG-0179; MARKET=MISIR AL AMAN</t>
        </is>
      </c>
      <c r="N497" t="inlineStr">
        <is>
          <t>2026-08-10T19:29:54Z</t>
        </is>
      </c>
      <c r="O497" t="inlineStr">
        <is>
          <t>2026-08-10T19:29:54Z</t>
        </is>
      </c>
    </row>
    <row r="498">
      <c r="A498" s="19" t="inlineStr">
        <is>
          <t>497</t>
        </is>
      </c>
      <c r="B498" s="19" t="inlineStr">
        <is>
          <t>1012051</t>
        </is>
      </c>
      <c r="C498" t="inlineStr">
        <is>
          <t>AKÜ,L2,TK,62AH,IGYA SMF,İNCİ FORM TAURUS</t>
        </is>
      </c>
      <c r="D498" s="19" t="inlineStr">
        <is>
          <t>1</t>
        </is>
      </c>
      <c r="E498" t="n">
        <v>0</v>
      </c>
      <c r="I498" s="19" t="inlineStr">
        <is>
          <t>2</t>
        </is>
      </c>
      <c r="J498" t="inlineStr">
        <is>
          <t>2026-08-08</t>
        </is>
      </c>
      <c r="L498" s="19" t="inlineStr">
        <is>
          <t>1012051</t>
        </is>
      </c>
      <c r="M498" t="inlineStr">
        <is>
          <t>STATUS=IN OEM / EU PACKAGE; SOURCE_CFG=IA-ST-CFG-0222; MARKET=None</t>
        </is>
      </c>
      <c r="N498" t="inlineStr">
        <is>
          <t>2026-08-10T19:29:54Z</t>
        </is>
      </c>
      <c r="O498" t="inlineStr">
        <is>
          <t>2026-08-10T19:29:54Z</t>
        </is>
      </c>
    </row>
    <row r="499">
      <c r="A499" s="19" t="inlineStr">
        <is>
          <t>498</t>
        </is>
      </c>
      <c r="B499" s="19" t="inlineStr">
        <is>
          <t>1012052</t>
        </is>
      </c>
      <c r="C499" t="inlineStr">
        <is>
          <t>AKÜ,L2,DK,62AH,IGYA SMF,İNCİ FORM TAURUS</t>
        </is>
      </c>
      <c r="D499" s="19" t="inlineStr">
        <is>
          <t>1</t>
        </is>
      </c>
      <c r="E499" t="n">
        <v>0</v>
      </c>
      <c r="I499" s="19" t="inlineStr">
        <is>
          <t>2</t>
        </is>
      </c>
      <c r="J499" t="inlineStr">
        <is>
          <t>2026-08-08</t>
        </is>
      </c>
      <c r="L499" s="19" t="inlineStr">
        <is>
          <t>1012052</t>
        </is>
      </c>
      <c r="M499" t="inlineStr">
        <is>
          <t>STATUS=IN OEM / EU PACKAGE; SOURCE_CFG=IA-ST-CFG-0222; MARKET=None</t>
        </is>
      </c>
      <c r="N499" t="inlineStr">
        <is>
          <t>2026-08-10T19:29:54Z</t>
        </is>
      </c>
      <c r="O499" t="inlineStr">
        <is>
          <t>2026-08-10T19:29:54Z</t>
        </is>
      </c>
    </row>
    <row r="500">
      <c r="A500" s="19" t="inlineStr">
        <is>
          <t>499</t>
        </is>
      </c>
      <c r="B500" s="19" t="inlineStr">
        <is>
          <t>1012053</t>
        </is>
      </c>
      <c r="C500" t="inlineStr">
        <is>
          <t>AKÜ,L3,DK,75AH,IGYASMF,HUGELULTRA,NACITA</t>
        </is>
      </c>
      <c r="D500" s="19" t="inlineStr">
        <is>
          <t>1</t>
        </is>
      </c>
      <c r="E500" t="n">
        <v>0</v>
      </c>
      <c r="I500" s="19" t="inlineStr">
        <is>
          <t>2</t>
        </is>
      </c>
      <c r="J500" t="inlineStr">
        <is>
          <t>2026-08-08</t>
        </is>
      </c>
      <c r="L500" s="19" t="inlineStr">
        <is>
          <t>1012053</t>
        </is>
      </c>
      <c r="M500" t="inlineStr">
        <is>
          <t>STATUS=IN OEM / EU PACKAGE; SOURCE_CFG=IA-ST-CFG-0179; MARKET=MISIR NACITA</t>
        </is>
      </c>
      <c r="N500" t="inlineStr">
        <is>
          <t>2026-08-10T19:29:54Z</t>
        </is>
      </c>
      <c r="O500" t="inlineStr">
        <is>
          <t>2026-08-10T19:29:54Z</t>
        </is>
      </c>
    </row>
    <row r="501">
      <c r="A501" s="19" t="inlineStr">
        <is>
          <t>500</t>
        </is>
      </c>
      <c r="B501" s="19" t="inlineStr">
        <is>
          <t>1012054</t>
        </is>
      </c>
      <c r="C501" t="inlineStr">
        <is>
          <t>AKÜ,L2,DK,62AH,IGY SMF,İNCİ FORMULA</t>
        </is>
      </c>
      <c r="D501" s="19" t="inlineStr">
        <is>
          <t>1</t>
        </is>
      </c>
      <c r="E501" t="n">
        <v>0</v>
      </c>
      <c r="I501" s="19" t="inlineStr">
        <is>
          <t>2</t>
        </is>
      </c>
      <c r="J501" t="inlineStr">
        <is>
          <t>2026-08-08</t>
        </is>
      </c>
      <c r="L501" s="19" t="inlineStr">
        <is>
          <t>1012054</t>
        </is>
      </c>
      <c r="M501" t="inlineStr">
        <is>
          <t>STATUS=IN OEM / EU PACKAGE; SOURCE_CFG=IA-ST-CFG-0222; MARKET=None</t>
        </is>
      </c>
      <c r="N501" t="inlineStr">
        <is>
          <t>2026-08-10T19:29:54Z</t>
        </is>
      </c>
      <c r="O501" t="inlineStr">
        <is>
          <t>2026-08-10T19:29:54Z</t>
        </is>
      </c>
    </row>
    <row r="502">
      <c r="A502" s="19" t="inlineStr">
        <is>
          <t>501</t>
        </is>
      </c>
      <c r="B502" s="19" t="inlineStr">
        <is>
          <t>1012055</t>
        </is>
      </c>
      <c r="C502" t="inlineStr">
        <is>
          <t>AKÜ,L3,DK,66AH,IGYA SMF,EAS KOLİLİ,ATWAN</t>
        </is>
      </c>
      <c r="D502" s="19" t="inlineStr">
        <is>
          <t>1</t>
        </is>
      </c>
      <c r="E502" t="n">
        <v>0</v>
      </c>
      <c r="I502" s="19" t="inlineStr">
        <is>
          <t>2</t>
        </is>
      </c>
      <c r="J502" t="inlineStr">
        <is>
          <t>2026-08-08</t>
        </is>
      </c>
      <c r="L502" s="19" t="inlineStr">
        <is>
          <t>1012055</t>
        </is>
      </c>
      <c r="M502" t="inlineStr">
        <is>
          <t>STATUS=IN OEM / EU PACKAGE; SOURCE_CFG=IA-ST-CFG-0210; MARKET=MISIR ATWAN</t>
        </is>
      </c>
      <c r="N502" t="inlineStr">
        <is>
          <t>2026-08-10T19:29:54Z</t>
        </is>
      </c>
      <c r="O502" t="inlineStr">
        <is>
          <t>2026-08-10T19:29:54Z</t>
        </is>
      </c>
    </row>
    <row r="503">
      <c r="A503" s="19" t="inlineStr">
        <is>
          <t>502</t>
        </is>
      </c>
      <c r="B503" s="19" t="inlineStr">
        <is>
          <t>1012056</t>
        </is>
      </c>
      <c r="C503" t="inlineStr">
        <is>
          <t>AKÜ,L2,DK,55AH,IGYA SMF,İNCİ FORM TAURUS</t>
        </is>
      </c>
      <c r="D503" s="19" t="inlineStr">
        <is>
          <t>1</t>
        </is>
      </c>
      <c r="E503" t="n">
        <v>0</v>
      </c>
      <c r="I503" s="19" t="inlineStr">
        <is>
          <t>2</t>
        </is>
      </c>
      <c r="J503" t="inlineStr">
        <is>
          <t>2026-08-08</t>
        </is>
      </c>
      <c r="L503" s="19" t="inlineStr">
        <is>
          <t>1012056</t>
        </is>
      </c>
      <c r="M503" t="inlineStr">
        <is>
          <t>STATUS=IN OEM / EU PACKAGE; SOURCE_CFG=IA-ST-CFG-0222; MARKET=None</t>
        </is>
      </c>
      <c r="N503" t="inlineStr">
        <is>
          <t>2026-08-10T19:29:54Z</t>
        </is>
      </c>
      <c r="O503" t="inlineStr">
        <is>
          <t>2026-08-10T19:29:54Z</t>
        </is>
      </c>
    </row>
    <row r="504">
      <c r="A504" s="19" t="inlineStr">
        <is>
          <t>503</t>
        </is>
      </c>
      <c r="B504" s="19" t="inlineStr">
        <is>
          <t>1012057</t>
        </is>
      </c>
      <c r="C504" t="inlineStr">
        <is>
          <t>AKÜ,L3,DK,75AH,IGYA SMF,EAS KOLİLİ,ATWAN</t>
        </is>
      </c>
      <c r="D504" s="19" t="inlineStr">
        <is>
          <t>1</t>
        </is>
      </c>
      <c r="E504" t="n">
        <v>0</v>
      </c>
      <c r="I504" s="19" t="inlineStr">
        <is>
          <t>2</t>
        </is>
      </c>
      <c r="J504" t="inlineStr">
        <is>
          <t>2026-08-08</t>
        </is>
      </c>
      <c r="L504" s="19" t="inlineStr">
        <is>
          <t>1012057</t>
        </is>
      </c>
      <c r="M504" t="inlineStr">
        <is>
          <t>STATUS=IN OEM / EU PACKAGE; SOURCE_CFG=IA-ST-CFG-0210; MARKET=MISIR ATWAN</t>
        </is>
      </c>
      <c r="N504" t="inlineStr">
        <is>
          <t>2026-08-10T19:29:54Z</t>
        </is>
      </c>
      <c r="O504" t="inlineStr">
        <is>
          <t>2026-08-10T19:29:54Z</t>
        </is>
      </c>
    </row>
    <row r="505">
      <c r="A505" s="19" t="inlineStr">
        <is>
          <t>504</t>
        </is>
      </c>
      <c r="B505" s="19" t="inlineStr">
        <is>
          <t>1012058</t>
        </is>
      </c>
      <c r="C505" t="inlineStr">
        <is>
          <t>AKÜ,L2,DK,60AH,IGYA SMF,İNCİ FORM TAURUS</t>
        </is>
      </c>
      <c r="D505" s="19" t="inlineStr">
        <is>
          <t>1</t>
        </is>
      </c>
      <c r="E505" t="n">
        <v>0</v>
      </c>
      <c r="I505" s="19" t="inlineStr">
        <is>
          <t>2</t>
        </is>
      </c>
      <c r="J505" t="inlineStr">
        <is>
          <t>2026-08-08</t>
        </is>
      </c>
      <c r="L505" s="19" t="inlineStr">
        <is>
          <t>1012058</t>
        </is>
      </c>
      <c r="M505" t="inlineStr">
        <is>
          <t>STATUS=IN OEM / EU PACKAGE; SOURCE_CFG=IA-ST-CFG-0222; MARKET=None</t>
        </is>
      </c>
      <c r="N505" t="inlineStr">
        <is>
          <t>2026-08-10T19:29:54Z</t>
        </is>
      </c>
      <c r="O505" t="inlineStr">
        <is>
          <t>2026-08-10T19:29:54Z</t>
        </is>
      </c>
    </row>
    <row r="506">
      <c r="A506" s="19" t="inlineStr">
        <is>
          <t>505</t>
        </is>
      </c>
      <c r="B506" s="19" t="inlineStr">
        <is>
          <t>1012060</t>
        </is>
      </c>
      <c r="C506" t="inlineStr">
        <is>
          <t>AKÜ,L3,TK,75AH,IGYA SMF,İNCİ FORM TAURUS</t>
        </is>
      </c>
      <c r="D506" s="19" t="inlineStr">
        <is>
          <t>1</t>
        </is>
      </c>
      <c r="E506" t="n">
        <v>0</v>
      </c>
      <c r="I506" s="19" t="inlineStr">
        <is>
          <t>2</t>
        </is>
      </c>
      <c r="J506" t="inlineStr">
        <is>
          <t>2026-08-08</t>
        </is>
      </c>
      <c r="L506" s="19" t="inlineStr">
        <is>
          <t>1012060</t>
        </is>
      </c>
      <c r="M506" t="inlineStr">
        <is>
          <t>STATUS=IN OEM / EU PACKAGE; SOURCE_CFG=IA-ST-CFG-0179; MARKET=None</t>
        </is>
      </c>
      <c r="N506" t="inlineStr">
        <is>
          <t>2026-08-10T19:29:54Z</t>
        </is>
      </c>
      <c r="O506" t="inlineStr">
        <is>
          <t>2026-08-10T19:29:54Z</t>
        </is>
      </c>
    </row>
    <row r="507">
      <c r="A507" s="19" t="inlineStr">
        <is>
          <t>506</t>
        </is>
      </c>
      <c r="B507" s="19" t="inlineStr">
        <is>
          <t>1012062</t>
        </is>
      </c>
      <c r="C507" t="inlineStr">
        <is>
          <t>AKÜ,L2,TK,62AH,IGYA,FORMLA,KOLİ,EECMISIR</t>
        </is>
      </c>
      <c r="D507" s="19" t="inlineStr">
        <is>
          <t>1</t>
        </is>
      </c>
      <c r="E507" t="n">
        <v>0</v>
      </c>
      <c r="I507" s="19" t="inlineStr">
        <is>
          <t>2</t>
        </is>
      </c>
      <c r="J507" t="inlineStr">
        <is>
          <t>2026-08-08</t>
        </is>
      </c>
      <c r="L507" s="19" t="inlineStr">
        <is>
          <t>1012062</t>
        </is>
      </c>
      <c r="M507" t="inlineStr">
        <is>
          <t>STATUS=IN OEM / EU PACKAGE; SOURCE_CFG=IA-ST-CFG-0261; MARKET=MISIR EEC</t>
        </is>
      </c>
      <c r="N507" t="inlineStr">
        <is>
          <t>2026-08-10T19:29:54Z</t>
        </is>
      </c>
      <c r="O507" t="inlineStr">
        <is>
          <t>2026-08-10T19:29:54Z</t>
        </is>
      </c>
    </row>
    <row r="508">
      <c r="A508" s="19" t="inlineStr">
        <is>
          <t>507</t>
        </is>
      </c>
      <c r="B508" s="19" t="inlineStr">
        <is>
          <t>1012063</t>
        </is>
      </c>
      <c r="C508" t="inlineStr">
        <is>
          <t>AKÜ,L3,DK,75AH,IGYA SMF,İNCİ FORM TAURUS</t>
        </is>
      </c>
      <c r="D508" s="19" t="inlineStr">
        <is>
          <t>1</t>
        </is>
      </c>
      <c r="E508" t="n">
        <v>0</v>
      </c>
      <c r="I508" s="19" t="inlineStr">
        <is>
          <t>2</t>
        </is>
      </c>
      <c r="J508" t="inlineStr">
        <is>
          <t>2026-08-08</t>
        </is>
      </c>
      <c r="L508" s="19" t="inlineStr">
        <is>
          <t>1012063</t>
        </is>
      </c>
      <c r="M508" t="inlineStr">
        <is>
          <t>STATUS=IN OEM / EU PACKAGE; SOURCE_CFG=IA-ST-CFG-0179; MARKET=None</t>
        </is>
      </c>
      <c r="N508" t="inlineStr">
        <is>
          <t>2026-08-10T19:29:54Z</t>
        </is>
      </c>
      <c r="O508" t="inlineStr">
        <is>
          <t>2026-08-10T19:29:54Z</t>
        </is>
      </c>
    </row>
    <row r="509">
      <c r="A509" s="19" t="inlineStr">
        <is>
          <t>508</t>
        </is>
      </c>
      <c r="B509" s="19" t="inlineStr">
        <is>
          <t>1012067</t>
        </is>
      </c>
      <c r="C509" t="inlineStr">
        <is>
          <t>AKÜ,L3,DK,72AH,IGYA SMF,İNCİ FORM TAURUS</t>
        </is>
      </c>
      <c r="D509" s="19" t="inlineStr">
        <is>
          <t>1</t>
        </is>
      </c>
      <c r="E509" t="n">
        <v>0</v>
      </c>
      <c r="I509" s="19" t="inlineStr">
        <is>
          <t>2</t>
        </is>
      </c>
      <c r="J509" t="inlineStr">
        <is>
          <t>2026-08-08</t>
        </is>
      </c>
      <c r="L509" s="19" t="inlineStr">
        <is>
          <t>1012067</t>
        </is>
      </c>
      <c r="M509" t="inlineStr">
        <is>
          <t>STATUS=IN OEM / EU PACKAGE; SOURCE_CFG=IA-ST-CFG-0179; MARKET=None</t>
        </is>
      </c>
      <c r="N509" t="inlineStr">
        <is>
          <t>2026-08-10T19:29:54Z</t>
        </is>
      </c>
      <c r="O509" t="inlineStr">
        <is>
          <t>2026-08-10T19:29:54Z</t>
        </is>
      </c>
    </row>
    <row r="510">
      <c r="A510" s="19" t="inlineStr">
        <is>
          <t>509</t>
        </is>
      </c>
      <c r="B510" s="19" t="inlineStr">
        <is>
          <t>1012085</t>
        </is>
      </c>
      <c r="C510" t="inlineStr">
        <is>
          <t>AKÜ,D31,DK,80AH,IGYSMF,HUGELULTRA,NACITA</t>
        </is>
      </c>
      <c r="D510" s="19" t="inlineStr">
        <is>
          <t>1</t>
        </is>
      </c>
      <c r="E510" t="n">
        <v>0</v>
      </c>
      <c r="I510" s="19" t="inlineStr">
        <is>
          <t>2</t>
        </is>
      </c>
      <c r="J510" t="inlineStr">
        <is>
          <t>2026-08-08</t>
        </is>
      </c>
      <c r="L510" s="19" t="inlineStr">
        <is>
          <t>1012085</t>
        </is>
      </c>
      <c r="M510" t="inlineStr">
        <is>
          <t>STATUS=IN OEM / EU PACKAGE; SOURCE_CFG=IA-ST-CFG-0143; MARKET=MISIR NACITA</t>
        </is>
      </c>
      <c r="N510" t="inlineStr">
        <is>
          <t>2026-08-10T19:29:54Z</t>
        </is>
      </c>
      <c r="O510" t="inlineStr">
        <is>
          <t>2026-08-10T19:29:54Z</t>
        </is>
      </c>
    </row>
    <row r="511">
      <c r="A511" s="19" t="inlineStr">
        <is>
          <t>510</t>
        </is>
      </c>
      <c r="B511" s="19" t="inlineStr">
        <is>
          <t>1012089</t>
        </is>
      </c>
      <c r="C511" t="inlineStr">
        <is>
          <t>AKÜ,L3,DK,72AH,IGYASMF,NOYPANISSANEFBOES</t>
        </is>
      </c>
      <c r="D511" s="19" t="inlineStr">
        <is>
          <t>1</t>
        </is>
      </c>
      <c r="E511" t="n">
        <v>0</v>
      </c>
      <c r="I511" s="19" t="inlineStr">
        <is>
          <t>2</t>
        </is>
      </c>
      <c r="J511" t="inlineStr">
        <is>
          <t>2026-08-08</t>
        </is>
      </c>
      <c r="L511" s="19" t="inlineStr">
        <is>
          <t>1012089</t>
        </is>
      </c>
      <c r="M511" t="inlineStr">
        <is>
          <t>STATUS=IN OEM / EU PACKAGE; SOURCE_CFG=IA-ST-CFG-0179; MARKET=NOYPA-NISSAN (Yurt İçi)</t>
        </is>
      </c>
      <c r="N511" t="inlineStr">
        <is>
          <t>2026-08-10T19:29:54Z</t>
        </is>
      </c>
      <c r="O511" t="inlineStr">
        <is>
          <t>2026-08-10T19:29:54Z</t>
        </is>
      </c>
    </row>
    <row r="512">
      <c r="A512" s="19" t="inlineStr">
        <is>
          <t>511</t>
        </is>
      </c>
      <c r="B512" s="19" t="inlineStr">
        <is>
          <t>1012090</t>
        </is>
      </c>
      <c r="C512" t="inlineStr">
        <is>
          <t>AKÜ,L2,DK,63AH,IGYASMF,NOYPANISSANEFBOES</t>
        </is>
      </c>
      <c r="D512" s="19" t="inlineStr">
        <is>
          <t>1</t>
        </is>
      </c>
      <c r="E512" t="n">
        <v>0</v>
      </c>
      <c r="I512" s="19" t="inlineStr">
        <is>
          <t>2</t>
        </is>
      </c>
      <c r="J512" t="inlineStr">
        <is>
          <t>2026-08-08</t>
        </is>
      </c>
      <c r="L512" s="19" t="inlineStr">
        <is>
          <t>1012090</t>
        </is>
      </c>
      <c r="M512" t="inlineStr">
        <is>
          <t>STATUS=IN OEM / EU PACKAGE; SOURCE_CFG=IA-ST-CFG-0222; MARKET=NOYPA-NISSAN (Yurt İçi)</t>
        </is>
      </c>
      <c r="N512" t="inlineStr">
        <is>
          <t>2026-08-10T19:29:54Z</t>
        </is>
      </c>
      <c r="O512" t="inlineStr">
        <is>
          <t>2026-08-10T19:29:54Z</t>
        </is>
      </c>
    </row>
    <row r="513">
      <c r="A513" s="19" t="inlineStr">
        <is>
          <t>512</t>
        </is>
      </c>
      <c r="B513" s="19" t="inlineStr">
        <is>
          <t>1012091</t>
        </is>
      </c>
      <c r="C513" t="inlineStr">
        <is>
          <t>AKÜ,L1,DK,50AH,IGYA SMF,NOYPA-NISSAN,OES</t>
        </is>
      </c>
      <c r="D513" s="19" t="inlineStr">
        <is>
          <t>1</t>
        </is>
      </c>
      <c r="E513" t="n">
        <v>0</v>
      </c>
      <c r="I513" s="19" t="inlineStr">
        <is>
          <t>2</t>
        </is>
      </c>
      <c r="J513" t="inlineStr">
        <is>
          <t>2026-08-08</t>
        </is>
      </c>
      <c r="L513" s="19" t="inlineStr">
        <is>
          <t>1012091</t>
        </is>
      </c>
      <c r="M513" t="inlineStr">
        <is>
          <t>STATUS=IN OEM / EU PACKAGE; SOURCE_CFG=IA-ST-CFG-0248; MARKET=NOYPA-NISSAN (Yurt İçi)</t>
        </is>
      </c>
      <c r="N513" t="inlineStr">
        <is>
          <t>2026-08-10T19:29:54Z</t>
        </is>
      </c>
      <c r="O513" t="inlineStr">
        <is>
          <t>2026-08-10T19:29:54Z</t>
        </is>
      </c>
    </row>
    <row r="514">
      <c r="A514" s="19" t="inlineStr">
        <is>
          <t>513</t>
        </is>
      </c>
      <c r="B514" s="19" t="inlineStr">
        <is>
          <t>1012092</t>
        </is>
      </c>
      <c r="C514" t="inlineStr">
        <is>
          <t>AKÜ,L2,DK,60AH,IGYA SMF,NOYPA-NISSAN,OES</t>
        </is>
      </c>
      <c r="D514" s="19" t="inlineStr">
        <is>
          <t>1</t>
        </is>
      </c>
      <c r="E514" t="n">
        <v>0</v>
      </c>
      <c r="I514" s="19" t="inlineStr">
        <is>
          <t>2</t>
        </is>
      </c>
      <c r="J514" t="inlineStr">
        <is>
          <t>2026-08-08</t>
        </is>
      </c>
      <c r="L514" s="19" t="inlineStr">
        <is>
          <t>1012092</t>
        </is>
      </c>
      <c r="M514" t="inlineStr">
        <is>
          <t>STATUS=IN OEM / EU PACKAGE; SOURCE_CFG=IA-ST-CFG-0222; MARKET=NOYPA-NISSAN (Yurt İçi)</t>
        </is>
      </c>
      <c r="N514" t="inlineStr">
        <is>
          <t>2026-08-10T19:29:54Z</t>
        </is>
      </c>
      <c r="O514" t="inlineStr">
        <is>
          <t>2026-08-10T19:29:54Z</t>
        </is>
      </c>
    </row>
    <row r="515">
      <c r="A515" s="19" t="inlineStr">
        <is>
          <t>514</t>
        </is>
      </c>
      <c r="B515" s="19" t="inlineStr">
        <is>
          <t>1012093</t>
        </is>
      </c>
      <c r="C515" t="inlineStr">
        <is>
          <t>AKÜ,L3,DK,70AH,IGYA SMF,NOYPA-NISSAN,OES</t>
        </is>
      </c>
      <c r="D515" s="19" t="inlineStr">
        <is>
          <t>1</t>
        </is>
      </c>
      <c r="E515" t="n">
        <v>0</v>
      </c>
      <c r="I515" s="19" t="inlineStr">
        <is>
          <t>2</t>
        </is>
      </c>
      <c r="J515" t="inlineStr">
        <is>
          <t>2026-08-08</t>
        </is>
      </c>
      <c r="L515" s="19" t="inlineStr">
        <is>
          <t>1012093</t>
        </is>
      </c>
      <c r="M515" t="inlineStr">
        <is>
          <t>STATUS=IN OEM / EU PACKAGE; SOURCE_CFG=IA-ST-CFG-0179; MARKET=NOYPA-NISSAN (Yurt İçi)</t>
        </is>
      </c>
      <c r="N515" t="inlineStr">
        <is>
          <t>2026-08-10T19:29:54Z</t>
        </is>
      </c>
      <c r="O515" t="inlineStr">
        <is>
          <t>2026-08-10T19:29:54Z</t>
        </is>
      </c>
    </row>
    <row r="516">
      <c r="A516" s="19" t="inlineStr">
        <is>
          <t>515</t>
        </is>
      </c>
      <c r="B516" s="19" t="inlineStr">
        <is>
          <t>1012094</t>
        </is>
      </c>
      <c r="C516" t="inlineStr">
        <is>
          <t>AKÜ,L2,DK,60AH,IGYA SMF,TEMSA EFB,YP,OES</t>
        </is>
      </c>
      <c r="D516" s="19" t="inlineStr">
        <is>
          <t>1</t>
        </is>
      </c>
      <c r="E516" t="n">
        <v>0</v>
      </c>
      <c r="I516" s="19" t="inlineStr">
        <is>
          <t>2</t>
        </is>
      </c>
      <c r="J516" t="inlineStr">
        <is>
          <t>2026-08-08</t>
        </is>
      </c>
      <c r="L516" s="19" t="inlineStr">
        <is>
          <t>1012094</t>
        </is>
      </c>
      <c r="M516" t="inlineStr">
        <is>
          <t>STATUS=IN OEM / EU PACKAGE; SOURCE_CFG=IA-ST-CFG-0227; MARKET=TEMSA (Yurt İçi)</t>
        </is>
      </c>
      <c r="N516" t="inlineStr">
        <is>
          <t>2026-08-10T19:29:54Z</t>
        </is>
      </c>
      <c r="O516" t="inlineStr">
        <is>
          <t>2026-08-10T19:29:54Z</t>
        </is>
      </c>
    </row>
    <row r="517">
      <c r="A517" s="19" t="inlineStr">
        <is>
          <t>516</t>
        </is>
      </c>
      <c r="B517" s="19" t="inlineStr">
        <is>
          <t>1012095</t>
        </is>
      </c>
      <c r="C517" t="inlineStr">
        <is>
          <t>AKÜ,L2,DK,60AH,IGYA SMF,TEMSA,YP,OES</t>
        </is>
      </c>
      <c r="D517" s="19" t="inlineStr">
        <is>
          <t>1</t>
        </is>
      </c>
      <c r="E517" t="n">
        <v>0</v>
      </c>
      <c r="I517" s="19" t="inlineStr">
        <is>
          <t>2</t>
        </is>
      </c>
      <c r="J517" t="inlineStr">
        <is>
          <t>2026-08-08</t>
        </is>
      </c>
      <c r="L517" s="19" t="inlineStr">
        <is>
          <t>1012095</t>
        </is>
      </c>
      <c r="M517" t="inlineStr">
        <is>
          <t>STATUS=IN OEM / EU PACKAGE; SOURCE_CFG=IA-ST-CFG-0227; MARKET=TEMSA (Yurt İçi)</t>
        </is>
      </c>
      <c r="N517" t="inlineStr">
        <is>
          <t>2026-08-10T19:29:54Z</t>
        </is>
      </c>
      <c r="O517" t="inlineStr">
        <is>
          <t>2026-08-10T19:29:54Z</t>
        </is>
      </c>
    </row>
    <row r="518">
      <c r="A518" s="19" t="inlineStr">
        <is>
          <t>517</t>
        </is>
      </c>
      <c r="B518" s="19" t="inlineStr">
        <is>
          <t>1012096</t>
        </is>
      </c>
      <c r="C518" t="inlineStr">
        <is>
          <t>AKÜ,D26,TK,75AH,IGYA SMF,TEMSA,YP,OES</t>
        </is>
      </c>
      <c r="D518" s="19" t="inlineStr">
        <is>
          <t>1</t>
        </is>
      </c>
      <c r="E518" t="n">
        <v>0</v>
      </c>
      <c r="I518" s="19" t="inlineStr">
        <is>
          <t>2</t>
        </is>
      </c>
      <c r="J518" t="inlineStr">
        <is>
          <t>2026-08-08</t>
        </is>
      </c>
      <c r="L518" s="19" t="inlineStr">
        <is>
          <t>1012096</t>
        </is>
      </c>
      <c r="M518" t="inlineStr">
        <is>
          <t>STATUS=IN OEM / EU PACKAGE; SOURCE_CFG=IA-ST-CFG-0176; MARKET=TEMSA (Yurt İçi)</t>
        </is>
      </c>
      <c r="N518" t="inlineStr">
        <is>
          <t>2026-08-10T19:29:54Z</t>
        </is>
      </c>
      <c r="O518" t="inlineStr">
        <is>
          <t>2026-08-10T19:29:54Z</t>
        </is>
      </c>
    </row>
    <row r="519">
      <c r="A519" s="19" t="inlineStr">
        <is>
          <t>518</t>
        </is>
      </c>
      <c r="B519" s="19" t="inlineStr">
        <is>
          <t>1012097</t>
        </is>
      </c>
      <c r="C519" t="inlineStr">
        <is>
          <t>AKÜ,L2,DK,IGYA SMF,EFB 60AH 560A,OV</t>
        </is>
      </c>
      <c r="D519" s="19" t="inlineStr">
        <is>
          <t>1</t>
        </is>
      </c>
      <c r="E519" t="n">
        <v>0</v>
      </c>
      <c r="I519" s="19" t="inlineStr">
        <is>
          <t>2</t>
        </is>
      </c>
      <c r="J519" t="inlineStr">
        <is>
          <t>2026-08-08</t>
        </is>
      </c>
      <c r="L519" s="19" t="inlineStr">
        <is>
          <t>1012097</t>
        </is>
      </c>
      <c r="M519" t="inlineStr">
        <is>
          <t>STATUS=IN OEM / EU PACKAGE; SOURCE_CFG=IA-ST-CFG-0162; MARKET=PSA (Yurt Dışı)</t>
        </is>
      </c>
      <c r="N519" t="inlineStr">
        <is>
          <t>2026-08-10T19:29:54Z</t>
        </is>
      </c>
      <c r="O519" t="inlineStr">
        <is>
          <t>2026-08-10T19:29:54Z</t>
        </is>
      </c>
    </row>
    <row r="520">
      <c r="A520" s="19" t="inlineStr">
        <is>
          <t>519</t>
        </is>
      </c>
      <c r="B520" s="19" t="inlineStr">
        <is>
          <t>1012098</t>
        </is>
      </c>
      <c r="C520" t="inlineStr">
        <is>
          <t>AKÜ,LB2,DK,IGYA SMF,60AH 510A,OV</t>
        </is>
      </c>
      <c r="D520" s="19" t="inlineStr">
        <is>
          <t>1</t>
        </is>
      </c>
      <c r="E520" t="n">
        <v>0</v>
      </c>
      <c r="I520" s="19" t="inlineStr">
        <is>
          <t>2</t>
        </is>
      </c>
      <c r="J520" t="inlineStr">
        <is>
          <t>2026-08-08</t>
        </is>
      </c>
      <c r="L520" s="19" t="inlineStr">
        <is>
          <t>1012098</t>
        </is>
      </c>
      <c r="M520" t="inlineStr">
        <is>
          <t>STATUS=IN OEM / EU PACKAGE; SOURCE_CFG=IA-ST-CFG-0162; MARKET=PSA (Yurt Dışı)</t>
        </is>
      </c>
      <c r="N520" t="inlineStr">
        <is>
          <t>2026-08-10T19:29:54Z</t>
        </is>
      </c>
      <c r="O520" t="inlineStr">
        <is>
          <t>2026-08-10T19:29:54Z</t>
        </is>
      </c>
    </row>
    <row r="521">
      <c r="A521" s="19" t="inlineStr">
        <is>
          <t>520</t>
        </is>
      </c>
      <c r="B521" s="19" t="inlineStr">
        <is>
          <t>1012099</t>
        </is>
      </c>
      <c r="C521" t="inlineStr">
        <is>
          <t>AKÜ,LB1,DK,IGYA SMF,50AH 420A,OV</t>
        </is>
      </c>
      <c r="D521" s="19" t="inlineStr">
        <is>
          <t>1</t>
        </is>
      </c>
      <c r="E521" t="n">
        <v>0</v>
      </c>
      <c r="I521" s="19" t="inlineStr">
        <is>
          <t>2</t>
        </is>
      </c>
      <c r="J521" t="inlineStr">
        <is>
          <t>2026-08-08</t>
        </is>
      </c>
      <c r="L521" s="19" t="inlineStr">
        <is>
          <t>1012099</t>
        </is>
      </c>
      <c r="M521" t="inlineStr">
        <is>
          <t>STATUS=IN OEM / EU PACKAGE; SOURCE_CFG=IA-ST-CFG-0209; MARKET=PSA (Yurt Dışı)</t>
        </is>
      </c>
      <c r="N521" t="inlineStr">
        <is>
          <t>2026-08-10T19:29:54Z</t>
        </is>
      </c>
      <c r="O521" t="inlineStr">
        <is>
          <t>2026-08-10T19:29:54Z</t>
        </is>
      </c>
    </row>
    <row r="522">
      <c r="A522" s="19" t="inlineStr">
        <is>
          <t>521</t>
        </is>
      </c>
      <c r="B522" s="19" t="inlineStr">
        <is>
          <t>1012100</t>
        </is>
      </c>
      <c r="C522" t="inlineStr">
        <is>
          <t>AKÜ,LB4,DK,IGYA SMF,75AH 720A,OV</t>
        </is>
      </c>
      <c r="D522" s="19" t="inlineStr">
        <is>
          <t>1</t>
        </is>
      </c>
      <c r="E522" t="n">
        <v>0</v>
      </c>
      <c r="I522" s="19" t="inlineStr">
        <is>
          <t>2</t>
        </is>
      </c>
      <c r="J522" t="inlineStr">
        <is>
          <t>2026-08-08</t>
        </is>
      </c>
      <c r="L522" s="19" t="inlineStr">
        <is>
          <t>1012100</t>
        </is>
      </c>
      <c r="M522" t="inlineStr">
        <is>
          <t>STATUS=IN OEM / EU PACKAGE; SOURCE_CFG=IA-ST-CFG-0085; MARKET=PSA (Yurt Dışı)</t>
        </is>
      </c>
      <c r="N522" t="inlineStr">
        <is>
          <t>2026-08-10T19:29:54Z</t>
        </is>
      </c>
      <c r="O522" t="inlineStr">
        <is>
          <t>2026-08-10T19:29:54Z</t>
        </is>
      </c>
    </row>
    <row r="523">
      <c r="A523" s="19" t="inlineStr">
        <is>
          <t>522</t>
        </is>
      </c>
      <c r="B523" s="19" t="inlineStr">
        <is>
          <t>1012101</t>
        </is>
      </c>
      <c r="C523" t="inlineStr">
        <is>
          <t>AKÜ,LB3,DK,IGYA SMF,65AH 640A,OV</t>
        </is>
      </c>
      <c r="D523" s="19" t="inlineStr">
        <is>
          <t>1</t>
        </is>
      </c>
      <c r="E523" t="n">
        <v>0</v>
      </c>
      <c r="I523" s="19" t="inlineStr">
        <is>
          <t>2</t>
        </is>
      </c>
      <c r="J523" t="inlineStr">
        <is>
          <t>2026-08-08</t>
        </is>
      </c>
      <c r="L523" s="19" t="inlineStr">
        <is>
          <t>1012101</t>
        </is>
      </c>
      <c r="M523" t="inlineStr">
        <is>
          <t>STATUS=IN OEM / EU PACKAGE; SOURCE_CFG=IA-ST-CFG-0132; MARKET=PSA (Yurt Dışı)</t>
        </is>
      </c>
      <c r="N523" t="inlineStr">
        <is>
          <t>2026-08-10T19:29:54Z</t>
        </is>
      </c>
      <c r="O523" t="inlineStr">
        <is>
          <t>2026-08-10T19:29:54Z</t>
        </is>
      </c>
    </row>
    <row r="524">
      <c r="A524" s="19" t="inlineStr">
        <is>
          <t>523</t>
        </is>
      </c>
      <c r="B524" s="19" t="inlineStr">
        <is>
          <t>1012102</t>
        </is>
      </c>
      <c r="C524" t="inlineStr">
        <is>
          <t>AKÜ,LB3,DK,IGYA SMF,70AH 750A,OV</t>
        </is>
      </c>
      <c r="D524" s="19" t="inlineStr">
        <is>
          <t>1</t>
        </is>
      </c>
      <c r="E524" t="n">
        <v>0</v>
      </c>
      <c r="I524" s="19" t="inlineStr">
        <is>
          <t>2</t>
        </is>
      </c>
      <c r="J524" t="inlineStr">
        <is>
          <t>2026-08-08</t>
        </is>
      </c>
      <c r="L524" s="19" t="inlineStr">
        <is>
          <t>1012102</t>
        </is>
      </c>
      <c r="M524" t="inlineStr">
        <is>
          <t>STATUS=IN OEM / EU PACKAGE; SOURCE_CFG=IA-ST-CFG-0132; MARKET=PSA (Yurt Dışı)</t>
        </is>
      </c>
      <c r="N524" t="inlineStr">
        <is>
          <t>2026-08-10T19:29:54Z</t>
        </is>
      </c>
      <c r="O524" t="inlineStr">
        <is>
          <t>2026-08-10T19:29:54Z</t>
        </is>
      </c>
    </row>
    <row r="525">
      <c r="A525" s="19" t="inlineStr">
        <is>
          <t>524</t>
        </is>
      </c>
      <c r="B525" s="19" t="inlineStr">
        <is>
          <t>1012103</t>
        </is>
      </c>
      <c r="C525" t="inlineStr">
        <is>
          <t>AKÜ,L3,DK,IGYA SMF,70AH 720A,OV</t>
        </is>
      </c>
      <c r="D525" s="19" t="inlineStr">
        <is>
          <t>1</t>
        </is>
      </c>
      <c r="E525" t="n">
        <v>0</v>
      </c>
      <c r="I525" s="19" t="inlineStr">
        <is>
          <t>2</t>
        </is>
      </c>
      <c r="J525" t="inlineStr">
        <is>
          <t>2026-08-08</t>
        </is>
      </c>
      <c r="L525" s="19" t="inlineStr">
        <is>
          <t>1012103</t>
        </is>
      </c>
      <c r="M525" t="inlineStr">
        <is>
          <t>STATUS=IN OEM / EU PACKAGE; SOURCE_CFG=IA-ST-CFG-0132; MARKET=PSA (Yurt Dışı)</t>
        </is>
      </c>
      <c r="N525" t="inlineStr">
        <is>
          <t>2026-08-10T19:29:54Z</t>
        </is>
      </c>
      <c r="O525" t="inlineStr">
        <is>
          <t>2026-08-10T19:29:54Z</t>
        </is>
      </c>
    </row>
    <row r="526">
      <c r="A526" s="19" t="inlineStr">
        <is>
          <t>525</t>
        </is>
      </c>
      <c r="B526" s="19" t="inlineStr">
        <is>
          <t>1012104</t>
        </is>
      </c>
      <c r="C526" t="inlineStr">
        <is>
          <t>AKÜ,L3,DK,IGYA SMF,70AH 640A,OV</t>
        </is>
      </c>
      <c r="D526" s="19" t="inlineStr">
        <is>
          <t>1</t>
        </is>
      </c>
      <c r="E526" t="n">
        <v>0</v>
      </c>
      <c r="I526" s="19" t="inlineStr">
        <is>
          <t>2</t>
        </is>
      </c>
      <c r="J526" t="inlineStr">
        <is>
          <t>2026-08-08</t>
        </is>
      </c>
      <c r="L526" s="19" t="inlineStr">
        <is>
          <t>1012104</t>
        </is>
      </c>
      <c r="M526" t="inlineStr">
        <is>
          <t>STATUS=IN OEM / EU PACKAGE; SOURCE_CFG=IA-ST-CFG-0132; MARKET=PSA (Yurt Dışı)</t>
        </is>
      </c>
      <c r="N526" t="inlineStr">
        <is>
          <t>2026-08-10T19:29:54Z</t>
        </is>
      </c>
      <c r="O526" t="inlineStr">
        <is>
          <t>2026-08-10T19:29:54Z</t>
        </is>
      </c>
    </row>
    <row r="527">
      <c r="A527" s="19" t="inlineStr">
        <is>
          <t>526</t>
        </is>
      </c>
      <c r="B527" s="19" t="inlineStr">
        <is>
          <t>1012105</t>
        </is>
      </c>
      <c r="C527" t="inlineStr">
        <is>
          <t>AKÜ,L2,DK,IGYA SMF,60AH 540A,OV</t>
        </is>
      </c>
      <c r="D527" s="19" t="inlineStr">
        <is>
          <t>1</t>
        </is>
      </c>
      <c r="E527" t="n">
        <v>0</v>
      </c>
      <c r="I527" s="19" t="inlineStr">
        <is>
          <t>2</t>
        </is>
      </c>
      <c r="J527" t="inlineStr">
        <is>
          <t>2026-08-08</t>
        </is>
      </c>
      <c r="L527" s="19" t="inlineStr">
        <is>
          <t>1012105</t>
        </is>
      </c>
      <c r="M527" t="inlineStr">
        <is>
          <t>STATUS=IN OEM / EU PACKAGE; SOURCE_CFG=IA-ST-CFG-0162; MARKET=PSA (Yurt Dışı)</t>
        </is>
      </c>
      <c r="N527" t="inlineStr">
        <is>
          <t>2026-08-10T19:29:54Z</t>
        </is>
      </c>
      <c r="O527" t="inlineStr">
        <is>
          <t>2026-08-10T19:29:54Z</t>
        </is>
      </c>
    </row>
    <row r="528">
      <c r="A528" s="19" t="inlineStr">
        <is>
          <t>527</t>
        </is>
      </c>
      <c r="B528" s="19" t="inlineStr">
        <is>
          <t>1012106</t>
        </is>
      </c>
      <c r="C528" t="inlineStr">
        <is>
          <t>AKÜ,L2,DK,IGYA SMF,60AH 640A,OV</t>
        </is>
      </c>
      <c r="D528" s="19" t="inlineStr">
        <is>
          <t>1</t>
        </is>
      </c>
      <c r="E528" t="n">
        <v>0</v>
      </c>
      <c r="I528" s="19" t="inlineStr">
        <is>
          <t>2</t>
        </is>
      </c>
      <c r="J528" t="inlineStr">
        <is>
          <t>2026-08-08</t>
        </is>
      </c>
      <c r="L528" s="19" t="inlineStr">
        <is>
          <t>1012106</t>
        </is>
      </c>
      <c r="M528" t="inlineStr">
        <is>
          <t>STATUS=IN OEM / EU PACKAGE; SOURCE_CFG=IA-ST-CFG-0162; MARKET=PSA (Yurt Dışı)</t>
        </is>
      </c>
      <c r="N528" t="inlineStr">
        <is>
          <t>2026-08-10T19:29:54Z</t>
        </is>
      </c>
      <c r="O528" t="inlineStr">
        <is>
          <t>2026-08-10T19:29:54Z</t>
        </is>
      </c>
    </row>
    <row r="529">
      <c r="A529" s="19" t="inlineStr">
        <is>
          <t>528</t>
        </is>
      </c>
      <c r="B529" s="19" t="inlineStr">
        <is>
          <t>1012108</t>
        </is>
      </c>
      <c r="C529" t="inlineStr">
        <is>
          <t>AKÜ,LB2,DK,IGYA SMF,60AH 510A,OV</t>
        </is>
      </c>
      <c r="D529" s="19" t="inlineStr">
        <is>
          <t>1</t>
        </is>
      </c>
      <c r="E529" t="n">
        <v>0</v>
      </c>
      <c r="I529" s="19" t="inlineStr">
        <is>
          <t>2</t>
        </is>
      </c>
      <c r="J529" t="inlineStr">
        <is>
          <t>2026-08-08</t>
        </is>
      </c>
      <c r="L529" s="19" t="inlineStr">
        <is>
          <t>1012108</t>
        </is>
      </c>
      <c r="M529" t="inlineStr">
        <is>
          <t>STATUS=IN OEM / EU PACKAGE; SOURCE_CFG=IA-ST-CFG-0162; MARKET=PSA (Yurt Dışı)</t>
        </is>
      </c>
      <c r="N529" t="inlineStr">
        <is>
          <t>2026-08-10T19:29:54Z</t>
        </is>
      </c>
      <c r="O529" t="inlineStr">
        <is>
          <t>2026-08-10T19:29:54Z</t>
        </is>
      </c>
    </row>
    <row r="530">
      <c r="A530" s="19" t="inlineStr">
        <is>
          <t>529</t>
        </is>
      </c>
      <c r="B530" s="19" t="inlineStr">
        <is>
          <t>1012109</t>
        </is>
      </c>
      <c r="C530" t="inlineStr">
        <is>
          <t>AKÜ,LB3,DK,IGYA SMF,65AH 640A,OV</t>
        </is>
      </c>
      <c r="D530" s="19" t="inlineStr">
        <is>
          <t>1</t>
        </is>
      </c>
      <c r="E530" t="n">
        <v>0</v>
      </c>
      <c r="I530" s="19" t="inlineStr">
        <is>
          <t>2</t>
        </is>
      </c>
      <c r="J530" t="inlineStr">
        <is>
          <t>2026-08-08</t>
        </is>
      </c>
      <c r="L530" s="19" t="inlineStr">
        <is>
          <t>1012109</t>
        </is>
      </c>
      <c r="M530" t="inlineStr">
        <is>
          <t>STATUS=IN OEM / EU PACKAGE; SOURCE_CFG=IA-ST-CFG-0132; MARKET=PSA (Yurt Dışı)</t>
        </is>
      </c>
      <c r="N530" t="inlineStr">
        <is>
          <t>2026-08-10T19:29:54Z</t>
        </is>
      </c>
      <c r="O530" t="inlineStr">
        <is>
          <t>2026-08-10T19:29:54Z</t>
        </is>
      </c>
    </row>
    <row r="531">
      <c r="A531" s="19" t="inlineStr">
        <is>
          <t>530</t>
        </is>
      </c>
      <c r="B531" s="19" t="inlineStr">
        <is>
          <t>1012110</t>
        </is>
      </c>
      <c r="C531" t="inlineStr">
        <is>
          <t>AKÜ,LB3,DK,IGYA SMF,70AH 750A,OV</t>
        </is>
      </c>
      <c r="D531" s="19" t="inlineStr">
        <is>
          <t>1</t>
        </is>
      </c>
      <c r="E531" t="n">
        <v>0</v>
      </c>
      <c r="I531" s="19" t="inlineStr">
        <is>
          <t>2</t>
        </is>
      </c>
      <c r="J531" t="inlineStr">
        <is>
          <t>2026-08-08</t>
        </is>
      </c>
      <c r="L531" s="19" t="inlineStr">
        <is>
          <t>1012110</t>
        </is>
      </c>
      <c r="M531" t="inlineStr">
        <is>
          <t>STATUS=IN OEM / EU PACKAGE; SOURCE_CFG=IA-ST-CFG-0132; MARKET=PSA (Yurt Dışı)</t>
        </is>
      </c>
      <c r="N531" t="inlineStr">
        <is>
          <t>2026-08-10T19:29:54Z</t>
        </is>
      </c>
      <c r="O531" t="inlineStr">
        <is>
          <t>2026-08-10T19:29:54Z</t>
        </is>
      </c>
    </row>
    <row r="532">
      <c r="A532" s="19" t="inlineStr">
        <is>
          <t>531</t>
        </is>
      </c>
      <c r="B532" s="19" t="inlineStr">
        <is>
          <t>1012111</t>
        </is>
      </c>
      <c r="C532" t="inlineStr">
        <is>
          <t>AKÜ,LB1,DK,IGYA SMF,50AH 420A,OV</t>
        </is>
      </c>
      <c r="D532" s="19" t="inlineStr">
        <is>
          <t>1</t>
        </is>
      </c>
      <c r="E532" t="n">
        <v>0</v>
      </c>
      <c r="I532" s="19" t="inlineStr">
        <is>
          <t>2</t>
        </is>
      </c>
      <c r="J532" t="inlineStr">
        <is>
          <t>2026-08-08</t>
        </is>
      </c>
      <c r="L532" s="19" t="inlineStr">
        <is>
          <t>1012111</t>
        </is>
      </c>
      <c r="M532" t="inlineStr">
        <is>
          <t>STATUS=IN OEM / EU PACKAGE; SOURCE_CFG=IA-ST-CFG-0209; MARKET=PSA (Yurt Dışı)</t>
        </is>
      </c>
      <c r="N532" t="inlineStr">
        <is>
          <t>2026-08-10T19:29:54Z</t>
        </is>
      </c>
      <c r="O532" t="inlineStr">
        <is>
          <t>2026-08-10T19:29:54Z</t>
        </is>
      </c>
    </row>
    <row r="533">
      <c r="A533" s="19" t="inlineStr">
        <is>
          <t>532</t>
        </is>
      </c>
      <c r="B533" s="19" t="inlineStr">
        <is>
          <t>1012112</t>
        </is>
      </c>
      <c r="C533" t="inlineStr">
        <is>
          <t>AKÜ,LB4,DK,IGYA SMF,75AH 720A,OV</t>
        </is>
      </c>
      <c r="D533" s="19" t="inlineStr">
        <is>
          <t>1</t>
        </is>
      </c>
      <c r="E533" t="n">
        <v>0</v>
      </c>
      <c r="I533" s="19" t="inlineStr">
        <is>
          <t>2</t>
        </is>
      </c>
      <c r="J533" t="inlineStr">
        <is>
          <t>2026-08-08</t>
        </is>
      </c>
      <c r="L533" s="19" t="inlineStr">
        <is>
          <t>1012112</t>
        </is>
      </c>
      <c r="M533" t="inlineStr">
        <is>
          <t>STATUS=IN OEM / EU PACKAGE; SOURCE_CFG=IA-ST-CFG-0085; MARKET=PSA (Yurt Dışı)</t>
        </is>
      </c>
      <c r="N533" t="inlineStr">
        <is>
          <t>2026-08-10T19:29:54Z</t>
        </is>
      </c>
      <c r="O533" t="inlineStr">
        <is>
          <t>2026-08-10T19:29:54Z</t>
        </is>
      </c>
    </row>
    <row r="534">
      <c r="A534" s="19" t="inlineStr">
        <is>
          <t>533</t>
        </is>
      </c>
      <c r="B534" s="19" t="inlineStr">
        <is>
          <t>1012122</t>
        </is>
      </c>
      <c r="C534" t="inlineStr">
        <is>
          <t>AKÜ,LB4,DK85AH,IGYASMF,GYEUR,HAL5110-085</t>
        </is>
      </c>
      <c r="D534" s="19" t="inlineStr">
        <is>
          <t>1</t>
        </is>
      </c>
      <c r="E534" t="n">
        <v>0</v>
      </c>
      <c r="I534" s="19" t="inlineStr">
        <is>
          <t>2</t>
        </is>
      </c>
      <c r="J534" t="inlineStr">
        <is>
          <t>2026-08-08</t>
        </is>
      </c>
      <c r="L534" s="19" t="inlineStr">
        <is>
          <t>1012122</t>
        </is>
      </c>
      <c r="M534" t="inlineStr">
        <is>
          <t>STATUS=IN OEM / EU PACKAGE; SOURCE_CFG=IA-ST-CFG-0085; MARKET=GY EUR</t>
        </is>
      </c>
      <c r="N534" t="inlineStr">
        <is>
          <t>2026-08-10T19:29:54Z</t>
        </is>
      </c>
      <c r="O534" t="inlineStr">
        <is>
          <t>2026-08-10T19:29:54Z</t>
        </is>
      </c>
    </row>
    <row r="535">
      <c r="A535" s="19" t="inlineStr">
        <is>
          <t>534</t>
        </is>
      </c>
      <c r="B535" s="19" t="inlineStr">
        <is>
          <t>1012123</t>
        </is>
      </c>
      <c r="C535" t="inlineStr">
        <is>
          <t>AKÜ,LB3,DK65AH,IGYASMF,GYEUR,HEB7100-065</t>
        </is>
      </c>
      <c r="D535" s="19" t="inlineStr">
        <is>
          <t>1</t>
        </is>
      </c>
      <c r="E535" t="n">
        <v>0</v>
      </c>
      <c r="I535" s="19" t="inlineStr">
        <is>
          <t>2</t>
        </is>
      </c>
      <c r="J535" t="inlineStr">
        <is>
          <t>2026-08-08</t>
        </is>
      </c>
      <c r="L535" s="19" t="inlineStr">
        <is>
          <t>1012123</t>
        </is>
      </c>
      <c r="M535" t="inlineStr">
        <is>
          <t>STATUS=IN OEM / EU PACKAGE; SOURCE_CFG=IA-ST-CFG-0132; MARKET=GY EUR</t>
        </is>
      </c>
      <c r="N535" t="inlineStr">
        <is>
          <t>2026-08-10T19:29:54Z</t>
        </is>
      </c>
      <c r="O535" t="inlineStr">
        <is>
          <t>2026-08-10T19:29:54Z</t>
        </is>
      </c>
    </row>
    <row r="536">
      <c r="A536" s="19" t="inlineStr">
        <is>
          <t>535</t>
        </is>
      </c>
      <c r="B536" s="19" t="inlineStr">
        <is>
          <t>1012124</t>
        </is>
      </c>
      <c r="C536" t="inlineStr">
        <is>
          <t>AKÜ,LB4,DK75AH,IGYASMF,GYEUR,HEB7110-075</t>
        </is>
      </c>
      <c r="D536" s="19" t="inlineStr">
        <is>
          <t>1</t>
        </is>
      </c>
      <c r="E536" t="n">
        <v>0</v>
      </c>
      <c r="I536" s="19" t="inlineStr">
        <is>
          <t>2</t>
        </is>
      </c>
      <c r="J536" t="inlineStr">
        <is>
          <t>2026-08-08</t>
        </is>
      </c>
      <c r="L536" s="19" t="inlineStr">
        <is>
          <t>1012124</t>
        </is>
      </c>
      <c r="M536" t="inlineStr">
        <is>
          <t>STATUS=IN OEM / EU PACKAGE; SOURCE_CFG=IA-ST-CFG-0085; MARKET=GY EUR</t>
        </is>
      </c>
      <c r="N536" t="inlineStr">
        <is>
          <t>2026-08-10T19:29:54Z</t>
        </is>
      </c>
      <c r="O536" t="inlineStr">
        <is>
          <t>2026-08-10T19:29:54Z</t>
        </is>
      </c>
    </row>
    <row r="537">
      <c r="A537" s="19" t="inlineStr">
        <is>
          <t>536</t>
        </is>
      </c>
      <c r="B537" s="19" t="inlineStr">
        <is>
          <t>1012125</t>
        </is>
      </c>
      <c r="C537" t="inlineStr">
        <is>
          <t>AKÜ,L1,DK,54AH,IGYASMF,GYEUR,HAL5012-054</t>
        </is>
      </c>
      <c r="D537" s="19" t="inlineStr">
        <is>
          <t>1</t>
        </is>
      </c>
      <c r="E537" t="n">
        <v>0</v>
      </c>
      <c r="I537" s="19" t="inlineStr">
        <is>
          <t>2</t>
        </is>
      </c>
      <c r="J537" t="inlineStr">
        <is>
          <t>2026-08-08</t>
        </is>
      </c>
      <c r="L537" s="19" t="inlineStr">
        <is>
          <t>1012125</t>
        </is>
      </c>
      <c r="M537" t="inlineStr">
        <is>
          <t>STATUS=IN OEM / EU PACKAGE; SOURCE_CFG=IA-ST-CFG-0209; MARKET=GY EUR</t>
        </is>
      </c>
      <c r="N537" t="inlineStr">
        <is>
          <t>2026-08-10T19:29:54Z</t>
        </is>
      </c>
      <c r="O537" t="inlineStr">
        <is>
          <t>2026-08-10T19:29:54Z</t>
        </is>
      </c>
    </row>
    <row r="538">
      <c r="A538" s="19" t="inlineStr">
        <is>
          <t>537</t>
        </is>
      </c>
      <c r="B538" s="19" t="inlineStr">
        <is>
          <t>1012132</t>
        </is>
      </c>
      <c r="C538" t="inlineStr">
        <is>
          <t>AKÜ,AGM,L6,DK,105AH,AGM S&amp;S 1662,SCHNAPP</t>
        </is>
      </c>
      <c r="D538" s="19" t="inlineStr">
        <is>
          <t>1</t>
        </is>
      </c>
      <c r="E538" t="n">
        <v>0</v>
      </c>
      <c r="I538" s="19" t="inlineStr">
        <is>
          <t>2</t>
        </is>
      </c>
      <c r="J538" t="inlineStr">
        <is>
          <t>2026-08-08</t>
        </is>
      </c>
      <c r="L538" s="19" t="inlineStr">
        <is>
          <t>1012132</t>
        </is>
      </c>
      <c r="M538" t="inlineStr">
        <is>
          <t>STATUS=IN OEM / EU PACKAGE; SOURCE_CFG=IA-ST-CFG-0082; MARKET=SCHNAPP</t>
        </is>
      </c>
      <c r="N538" t="inlineStr">
        <is>
          <t>2026-08-10T19:29:54Z</t>
        </is>
      </c>
      <c r="O538" t="inlineStr">
        <is>
          <t>2026-08-10T19:29:54Z</t>
        </is>
      </c>
    </row>
    <row r="539">
      <c r="A539" s="19" t="inlineStr">
        <is>
          <t>538</t>
        </is>
      </c>
      <c r="B539" s="19" t="inlineStr">
        <is>
          <t>1012136</t>
        </is>
      </c>
      <c r="C539" t="inlineStr">
        <is>
          <t>AKÜ,LB2,DK,62AH,IGYA SMF,HUGEL ULTRA</t>
        </is>
      </c>
      <c r="D539" s="19" t="inlineStr">
        <is>
          <t>1</t>
        </is>
      </c>
      <c r="E539" t="n">
        <v>0</v>
      </c>
      <c r="I539" s="19" t="inlineStr">
        <is>
          <t>2</t>
        </is>
      </c>
      <c r="J539" t="inlineStr">
        <is>
          <t>2026-08-08</t>
        </is>
      </c>
      <c r="L539" s="19" t="inlineStr">
        <is>
          <t>1012136</t>
        </is>
      </c>
      <c r="M539" t="inlineStr">
        <is>
          <t>STATUS=IN OEM / EU PACKAGE; SOURCE_CFG=IA-ST-CFG-0222; MARKET=None</t>
        </is>
      </c>
      <c r="N539" t="inlineStr">
        <is>
          <t>2026-08-10T19:29:54Z</t>
        </is>
      </c>
      <c r="O539" t="inlineStr">
        <is>
          <t>2026-08-10T19:29:54Z</t>
        </is>
      </c>
    </row>
    <row r="540">
      <c r="A540" s="19" t="inlineStr">
        <is>
          <t>539</t>
        </is>
      </c>
      <c r="B540" s="19" t="inlineStr">
        <is>
          <t>1012137</t>
        </is>
      </c>
      <c r="C540" t="inlineStr">
        <is>
          <t>AKÜ,LB3,DK,70AH,IGYA SMF,HUGEL ULTRA</t>
        </is>
      </c>
      <c r="D540" s="19" t="inlineStr">
        <is>
          <t>1</t>
        </is>
      </c>
      <c r="E540" t="n">
        <v>0</v>
      </c>
      <c r="I540" s="19" t="inlineStr">
        <is>
          <t>2</t>
        </is>
      </c>
      <c r="J540" t="inlineStr">
        <is>
          <t>2026-08-08</t>
        </is>
      </c>
      <c r="L540" s="19" t="inlineStr">
        <is>
          <t>1012137</t>
        </is>
      </c>
      <c r="M540" t="inlineStr">
        <is>
          <t>STATUS=IN OEM / EU PACKAGE; SOURCE_CFG=IA-ST-CFG-0178; MARKET=None</t>
        </is>
      </c>
      <c r="N540" t="inlineStr">
        <is>
          <t>2026-08-10T19:29:54Z</t>
        </is>
      </c>
      <c r="O540" t="inlineStr">
        <is>
          <t>2026-08-10T19:29:54Z</t>
        </is>
      </c>
    </row>
    <row r="541">
      <c r="A541" s="19" t="inlineStr">
        <is>
          <t>540</t>
        </is>
      </c>
      <c r="B541" s="19" t="inlineStr">
        <is>
          <t>1012138</t>
        </is>
      </c>
      <c r="C541" t="inlineStr">
        <is>
          <t>AKÜ,L4,DK,82AH,IGYA SMF,HUGEL ULTRA</t>
        </is>
      </c>
      <c r="D541" s="19" t="inlineStr">
        <is>
          <t>1</t>
        </is>
      </c>
      <c r="E541" t="n">
        <v>0</v>
      </c>
      <c r="I541" s="19" t="inlineStr">
        <is>
          <t>2</t>
        </is>
      </c>
      <c r="J541" t="inlineStr">
        <is>
          <t>2026-08-08</t>
        </is>
      </c>
      <c r="L541" s="19" t="inlineStr">
        <is>
          <t>1012138</t>
        </is>
      </c>
      <c r="M541" t="inlineStr">
        <is>
          <t>STATUS=IN OEM / EU PACKAGE; SOURCE_CFG=IA-ST-CFG-0231; MARKET=None</t>
        </is>
      </c>
      <c r="N541" t="inlineStr">
        <is>
          <t>2026-08-10T19:29:54Z</t>
        </is>
      </c>
      <c r="O541" t="inlineStr">
        <is>
          <t>2026-08-10T19:29:54Z</t>
        </is>
      </c>
    </row>
    <row r="542">
      <c r="A542" s="19" t="inlineStr">
        <is>
          <t>541</t>
        </is>
      </c>
      <c r="B542" s="19" t="inlineStr">
        <is>
          <t>1012139</t>
        </is>
      </c>
      <c r="C542" t="inlineStr">
        <is>
          <t>AKÜ,LB3,DK,72AH,IGYSMF,BLIZZARO SILVERLN</t>
        </is>
      </c>
      <c r="D542" s="19" t="inlineStr">
        <is>
          <t>1</t>
        </is>
      </c>
      <c r="E542" t="n">
        <v>0</v>
      </c>
      <c r="I542" s="19" t="inlineStr">
        <is>
          <t>2</t>
        </is>
      </c>
      <c r="J542" t="inlineStr">
        <is>
          <t>2026-08-08</t>
        </is>
      </c>
      <c r="L542" s="19" t="inlineStr">
        <is>
          <t>1012139</t>
        </is>
      </c>
      <c r="M542" t="inlineStr">
        <is>
          <t>STATUS=IN OEM / EU PACKAGE; SOURCE_CFG=IA-ST-CFG-0178; MARKET=None</t>
        </is>
      </c>
      <c r="N542" t="inlineStr">
        <is>
          <t>2026-08-10T19:29:54Z</t>
        </is>
      </c>
      <c r="O542" t="inlineStr">
        <is>
          <t>2026-08-10T19:29:54Z</t>
        </is>
      </c>
    </row>
    <row r="543">
      <c r="A543" s="19" t="inlineStr">
        <is>
          <t>542</t>
        </is>
      </c>
      <c r="B543" s="19" t="inlineStr">
        <is>
          <t>1012141</t>
        </is>
      </c>
      <c r="C543" t="inlineStr">
        <is>
          <t>AKÜ,L3,DK,72AH,IGYSMF,BLIZZAROS&amp;S,JANENE</t>
        </is>
      </c>
      <c r="D543" s="19" t="inlineStr">
        <is>
          <t>1</t>
        </is>
      </c>
      <c r="E543" t="n">
        <v>0</v>
      </c>
      <c r="I543" s="19" t="inlineStr">
        <is>
          <t>2</t>
        </is>
      </c>
      <c r="J543" t="inlineStr">
        <is>
          <t>2026-08-08</t>
        </is>
      </c>
      <c r="L543" s="19" t="inlineStr">
        <is>
          <t>1012141</t>
        </is>
      </c>
      <c r="M543" t="inlineStr">
        <is>
          <t>STATUS=IN OEM / EU PACKAGE; SOURCE_CFG=IA-ST-CFG-0179; MARKET=JANENE İSRAİL</t>
        </is>
      </c>
      <c r="N543" t="inlineStr">
        <is>
          <t>2026-08-10T19:29:54Z</t>
        </is>
      </c>
      <c r="O543" t="inlineStr">
        <is>
          <t>2026-08-10T19:29:54Z</t>
        </is>
      </c>
    </row>
    <row r="544">
      <c r="A544" s="19" t="inlineStr">
        <is>
          <t>543</t>
        </is>
      </c>
      <c r="B544" s="19" t="inlineStr">
        <is>
          <t>1012144</t>
        </is>
      </c>
      <c r="C544" t="inlineStr">
        <is>
          <t>AKÜ,LB1,DK,50AH,IGYA SMF,HUGEL ULTRA</t>
        </is>
      </c>
      <c r="D544" s="19" t="inlineStr">
        <is>
          <t>1</t>
        </is>
      </c>
      <c r="E544" t="n">
        <v>0</v>
      </c>
      <c r="I544" s="19" t="inlineStr">
        <is>
          <t>2</t>
        </is>
      </c>
      <c r="J544" t="inlineStr">
        <is>
          <t>2026-08-08</t>
        </is>
      </c>
      <c r="L544" s="19" t="inlineStr">
        <is>
          <t>1012144</t>
        </is>
      </c>
      <c r="M544" t="inlineStr">
        <is>
          <t>STATUS=IN OEM / EU PACKAGE; SOURCE_CFG=IA-ST-CFG-0247; MARKET=None</t>
        </is>
      </c>
      <c r="N544" t="inlineStr">
        <is>
          <t>2026-08-10T19:29:54Z</t>
        </is>
      </c>
      <c r="O544" t="inlineStr">
        <is>
          <t>2026-08-10T19:29:54Z</t>
        </is>
      </c>
    </row>
    <row r="545">
      <c r="A545" s="19" t="inlineStr">
        <is>
          <t>544</t>
        </is>
      </c>
      <c r="B545" s="19" t="inlineStr">
        <is>
          <t>1012146</t>
        </is>
      </c>
      <c r="C545" t="inlineStr">
        <is>
          <t>AKÜ,L2,DK,60AH,IGYASMF,İNCİ,CEZAYİR CIMA</t>
        </is>
      </c>
      <c r="D545" s="19" t="inlineStr">
        <is>
          <t>1</t>
        </is>
      </c>
      <c r="E545" t="n">
        <v>0</v>
      </c>
      <c r="I545" s="19" t="inlineStr">
        <is>
          <t>2</t>
        </is>
      </c>
      <c r="J545" t="inlineStr">
        <is>
          <t>2026-08-08</t>
        </is>
      </c>
      <c r="L545" s="19" t="inlineStr">
        <is>
          <t>1012146</t>
        </is>
      </c>
      <c r="M545" t="inlineStr">
        <is>
          <t>STATUS=IN OEM / EU PACKAGE; SOURCE_CFG=IA-ST-CFG-0222; MARKET=CEZAİR SARL CIMA</t>
        </is>
      </c>
      <c r="N545" t="inlineStr">
        <is>
          <t>2026-08-10T19:29:54Z</t>
        </is>
      </c>
      <c r="O545" t="inlineStr">
        <is>
          <t>2026-08-10T19:29:54Z</t>
        </is>
      </c>
    </row>
    <row r="546">
      <c r="A546" s="19" t="inlineStr">
        <is>
          <t>545</t>
        </is>
      </c>
      <c r="B546" s="19" t="inlineStr">
        <is>
          <t>1012147</t>
        </is>
      </c>
      <c r="C546" t="inlineStr">
        <is>
          <t>AKÜ,L4,DK,80AH,IGYSMF,BLIZEFB S&amp;S,JANENE</t>
        </is>
      </c>
      <c r="D546" s="19" t="inlineStr">
        <is>
          <t>1</t>
        </is>
      </c>
      <c r="E546" t="n">
        <v>0</v>
      </c>
      <c r="I546" s="19" t="inlineStr">
        <is>
          <t>2</t>
        </is>
      </c>
      <c r="J546" t="inlineStr">
        <is>
          <t>2026-08-08</t>
        </is>
      </c>
      <c r="L546" s="19" t="inlineStr">
        <is>
          <t>1012147</t>
        </is>
      </c>
      <c r="M546" t="inlineStr">
        <is>
          <t>STATUS=IN OEM / EU PACKAGE; SOURCE_CFG=IA-ST-CFG-0142; MARKET=JANENE İSRAİL</t>
        </is>
      </c>
      <c r="N546" t="inlineStr">
        <is>
          <t>2026-08-10T19:29:54Z</t>
        </is>
      </c>
      <c r="O546" t="inlineStr">
        <is>
          <t>2026-08-10T19:29:54Z</t>
        </is>
      </c>
    </row>
    <row r="547">
      <c r="A547" s="19" t="inlineStr">
        <is>
          <t>546</t>
        </is>
      </c>
      <c r="B547" s="19" t="inlineStr">
        <is>
          <t>1012149</t>
        </is>
      </c>
      <c r="C547" t="inlineStr">
        <is>
          <t>AKÜ,NS60,DK,45AH,IGYSMF,BLIZZAROSILVRLNE</t>
        </is>
      </c>
      <c r="D547" s="19" t="inlineStr">
        <is>
          <t>1</t>
        </is>
      </c>
      <c r="E547" t="n">
        <v>0</v>
      </c>
      <c r="I547" s="19" t="inlineStr">
        <is>
          <t>2</t>
        </is>
      </c>
      <c r="J547" t="inlineStr">
        <is>
          <t>2026-08-08</t>
        </is>
      </c>
      <c r="L547" s="19" t="inlineStr">
        <is>
          <t>1012149</t>
        </is>
      </c>
      <c r="M547" t="inlineStr">
        <is>
          <t>STATUS=IN OEM / EU PACKAGE; SOURCE_CFG=IA-ST-CFG-0272; MARKET=None</t>
        </is>
      </c>
      <c r="N547" t="inlineStr">
        <is>
          <t>2026-08-10T19:29:54Z</t>
        </is>
      </c>
      <c r="O547" t="inlineStr">
        <is>
          <t>2026-08-10T19:29:54Z</t>
        </is>
      </c>
    </row>
    <row r="548">
      <c r="A548" s="19" t="inlineStr">
        <is>
          <t>547</t>
        </is>
      </c>
      <c r="B548" s="19" t="inlineStr">
        <is>
          <t>1012150</t>
        </is>
      </c>
      <c r="C548" t="inlineStr">
        <is>
          <t>AKÜ,D26,DK,75AH,IGYASMF,İNCİ FORM TAURUS</t>
        </is>
      </c>
      <c r="D548" s="19" t="inlineStr">
        <is>
          <t>1</t>
        </is>
      </c>
      <c r="E548" t="n">
        <v>0</v>
      </c>
      <c r="I548" s="19" t="inlineStr">
        <is>
          <t>2</t>
        </is>
      </c>
      <c r="J548" t="inlineStr">
        <is>
          <t>2026-08-08</t>
        </is>
      </c>
      <c r="L548" s="19" t="inlineStr">
        <is>
          <t>1012150</t>
        </is>
      </c>
      <c r="M548" t="inlineStr">
        <is>
          <t>STATUS=IN OEM / EU PACKAGE; SOURCE_CFG=IA-ST-CFG-0175; MARKET=None</t>
        </is>
      </c>
      <c r="N548" t="inlineStr">
        <is>
          <t>2026-08-10T19:29:54Z</t>
        </is>
      </c>
      <c r="O548" t="inlineStr">
        <is>
          <t>2026-08-10T19:29:54Z</t>
        </is>
      </c>
    </row>
    <row r="549">
      <c r="A549" s="19" t="inlineStr">
        <is>
          <t>548</t>
        </is>
      </c>
      <c r="B549" s="19" t="inlineStr">
        <is>
          <t>1012155</t>
        </is>
      </c>
      <c r="C549" t="inlineStr">
        <is>
          <t>AKÜ,D26,TK,66AH,IGYASMF,BLIZSILVR,MISIR</t>
        </is>
      </c>
      <c r="D549" s="19" t="inlineStr">
        <is>
          <t>1</t>
        </is>
      </c>
      <c r="E549" t="n">
        <v>0</v>
      </c>
      <c r="I549" s="19" t="inlineStr">
        <is>
          <t>2</t>
        </is>
      </c>
      <c r="J549" t="inlineStr">
        <is>
          <t>2026-08-08</t>
        </is>
      </c>
      <c r="L549" s="19" t="inlineStr">
        <is>
          <t>1012155</t>
        </is>
      </c>
      <c r="M549" t="inlineStr">
        <is>
          <t>STATUS=IN OEM / EU PACKAGE; SOURCE_CFG=IA-ST-CFG-0175; MARKET=MISIR AL AMAN</t>
        </is>
      </c>
      <c r="N549" t="inlineStr">
        <is>
          <t>2026-08-10T19:29:54Z</t>
        </is>
      </c>
      <c r="O549" t="inlineStr">
        <is>
          <t>2026-08-10T19:29:54Z</t>
        </is>
      </c>
    </row>
    <row r="550">
      <c r="A550" s="19" t="inlineStr">
        <is>
          <t>549</t>
        </is>
      </c>
      <c r="B550" s="19" t="inlineStr">
        <is>
          <t>1012156</t>
        </is>
      </c>
      <c r="C550" t="inlineStr">
        <is>
          <t>AKÜ,D26,TK,72AH,IGYASMF,EAS KOLİLİ,ATWAN</t>
        </is>
      </c>
      <c r="D550" s="19" t="inlineStr">
        <is>
          <t>1</t>
        </is>
      </c>
      <c r="E550" t="n">
        <v>0</v>
      </c>
      <c r="I550" s="19" t="inlineStr">
        <is>
          <t>2</t>
        </is>
      </c>
      <c r="J550" t="inlineStr">
        <is>
          <t>2026-08-08</t>
        </is>
      </c>
      <c r="L550" s="19" t="inlineStr">
        <is>
          <t>1012156</t>
        </is>
      </c>
      <c r="M550" t="inlineStr">
        <is>
          <t>STATUS=IN OEM / EU PACKAGE; SOURCE_CFG=IA-ST-CFG-0156; MARKET=MISIR ATWAN</t>
        </is>
      </c>
      <c r="N550" t="inlineStr">
        <is>
          <t>2026-08-10T19:29:54Z</t>
        </is>
      </c>
      <c r="O550" t="inlineStr">
        <is>
          <t>2026-08-10T19:29:54Z</t>
        </is>
      </c>
    </row>
    <row r="551">
      <c r="A551" s="19" t="inlineStr">
        <is>
          <t>550</t>
        </is>
      </c>
      <c r="B551" s="19" t="inlineStr">
        <is>
          <t>1012160</t>
        </is>
      </c>
      <c r="C551" t="inlineStr">
        <is>
          <t>AKÜ,L5,DK,100AH,IGYASMF,EAS KOLİLİ,ATWAN</t>
        </is>
      </c>
      <c r="D551" s="19" t="inlineStr">
        <is>
          <t>1</t>
        </is>
      </c>
      <c r="E551" t="n">
        <v>0</v>
      </c>
      <c r="I551" s="19" t="inlineStr">
        <is>
          <t>2</t>
        </is>
      </c>
      <c r="J551" t="inlineStr">
        <is>
          <t>2026-08-08</t>
        </is>
      </c>
      <c r="L551" s="19" t="inlineStr">
        <is>
          <t>1012160</t>
        </is>
      </c>
      <c r="M551" t="inlineStr">
        <is>
          <t>STATUS=IN OEM / EU PACKAGE; SOURCE_CFG=IA-ST-CFG-0165; MARKET=MISIR ATWAN</t>
        </is>
      </c>
      <c r="N551" t="inlineStr">
        <is>
          <t>2026-08-10T19:29:54Z</t>
        </is>
      </c>
      <c r="O551" t="inlineStr">
        <is>
          <t>2026-08-10T19:29:54Z</t>
        </is>
      </c>
    </row>
    <row r="552">
      <c r="A552" s="19" t="inlineStr">
        <is>
          <t>551</t>
        </is>
      </c>
      <c r="B552" s="19" t="inlineStr">
        <is>
          <t>1012162</t>
        </is>
      </c>
      <c r="C552" t="inlineStr">
        <is>
          <t>AKÜ,L1,DK,44AH,IGYA SMF,EAS KOLİLİ,ATWAN</t>
        </is>
      </c>
      <c r="D552" s="19" t="inlineStr">
        <is>
          <t>1</t>
        </is>
      </c>
      <c r="E552" t="n">
        <v>0</v>
      </c>
      <c r="I552" s="19" t="inlineStr">
        <is>
          <t>2</t>
        </is>
      </c>
      <c r="J552" t="inlineStr">
        <is>
          <t>2026-08-08</t>
        </is>
      </c>
      <c r="L552" s="19" t="inlineStr">
        <is>
          <t>1012162</t>
        </is>
      </c>
      <c r="M552" t="inlineStr">
        <is>
          <t>STATUS=IN OEM / EU PACKAGE; SOURCE_CFG=IA-ST-CFG-0270; MARKET=MISIR ATWAN</t>
        </is>
      </c>
      <c r="N552" t="inlineStr">
        <is>
          <t>2026-08-10T19:29:54Z</t>
        </is>
      </c>
      <c r="O552" t="inlineStr">
        <is>
          <t>2026-08-10T19:29:54Z</t>
        </is>
      </c>
    </row>
    <row r="553">
      <c r="A553" s="19" t="inlineStr">
        <is>
          <t>552</t>
        </is>
      </c>
      <c r="B553" s="19" t="inlineStr">
        <is>
          <t>1012165</t>
        </is>
      </c>
      <c r="C553" t="inlineStr">
        <is>
          <t>AKÜ,L2,DK,60AH,IGYA SMF,İNCİ FORM TAURUS</t>
        </is>
      </c>
      <c r="D553" s="19" t="inlineStr">
        <is>
          <t>1</t>
        </is>
      </c>
      <c r="E553" t="n">
        <v>0</v>
      </c>
      <c r="I553" s="19" t="inlineStr">
        <is>
          <t>2</t>
        </is>
      </c>
      <c r="J553" t="inlineStr">
        <is>
          <t>2026-08-08</t>
        </is>
      </c>
      <c r="L553" s="19" t="inlineStr">
        <is>
          <t>1012165</t>
        </is>
      </c>
      <c r="M553" t="inlineStr">
        <is>
          <t>STATUS=IN OEM / EU PACKAGE; SOURCE_CFG=IA-ST-CFG-0222; MARKET=None</t>
        </is>
      </c>
      <c r="N553" t="inlineStr">
        <is>
          <t>2026-08-10T19:29:54Z</t>
        </is>
      </c>
      <c r="O553" t="inlineStr">
        <is>
          <t>2026-08-10T19:29:54Z</t>
        </is>
      </c>
    </row>
    <row r="554">
      <c r="A554" s="19" t="inlineStr">
        <is>
          <t>553</t>
        </is>
      </c>
      <c r="B554" s="19" t="inlineStr">
        <is>
          <t>1012166</t>
        </is>
      </c>
      <c r="C554" t="inlineStr">
        <is>
          <t>AKÜ,D26,DK,75AH,IGYASMF,İNCİ FORM TAURUS</t>
        </is>
      </c>
      <c r="D554" s="19" t="inlineStr">
        <is>
          <t>1</t>
        </is>
      </c>
      <c r="E554" t="n">
        <v>0</v>
      </c>
      <c r="I554" s="19" t="inlineStr">
        <is>
          <t>2</t>
        </is>
      </c>
      <c r="J554" t="inlineStr">
        <is>
          <t>2026-08-08</t>
        </is>
      </c>
      <c r="L554" s="19" t="inlineStr">
        <is>
          <t>1012166</t>
        </is>
      </c>
      <c r="M554" t="inlineStr">
        <is>
          <t>STATUS=IN OEM / EU PACKAGE; SOURCE_CFG=IA-ST-CFG-0175; MARKET=None</t>
        </is>
      </c>
      <c r="N554" t="inlineStr">
        <is>
          <t>2026-08-10T19:29:54Z</t>
        </is>
      </c>
      <c r="O554" t="inlineStr">
        <is>
          <t>2026-08-10T19:29:54Z</t>
        </is>
      </c>
    </row>
    <row r="555">
      <c r="A555" s="19" t="inlineStr">
        <is>
          <t>554</t>
        </is>
      </c>
      <c r="B555" s="19" t="inlineStr">
        <is>
          <t>1012170</t>
        </is>
      </c>
      <c r="C555" t="inlineStr">
        <is>
          <t>AKÜ,LB1,DK,45AH,IGYASMF,Y3000,YBX3063,Yİ</t>
        </is>
      </c>
      <c r="D555" s="19" t="inlineStr">
        <is>
          <t>1</t>
        </is>
      </c>
      <c r="E555" t="n">
        <v>0</v>
      </c>
      <c r="I555" s="19" t="inlineStr">
        <is>
          <t>2</t>
        </is>
      </c>
      <c r="J555" t="inlineStr">
        <is>
          <t>2026-08-08</t>
        </is>
      </c>
      <c r="L555" s="19" t="inlineStr">
        <is>
          <t>1012170</t>
        </is>
      </c>
      <c r="M555" t="inlineStr">
        <is>
          <t>STATUS=IN OEM / EU PACKAGE; SOURCE_CFG=IA-ST-CFG-0251; MARKET=YURT İÇİ AFM</t>
        </is>
      </c>
      <c r="N555" t="inlineStr">
        <is>
          <t>2026-08-10T19:29:54Z</t>
        </is>
      </c>
      <c r="O555" t="inlineStr">
        <is>
          <t>2026-08-10T19:29:54Z</t>
        </is>
      </c>
    </row>
    <row r="556">
      <c r="A556" s="19" t="inlineStr">
        <is>
          <t>555</t>
        </is>
      </c>
      <c r="B556" s="19" t="inlineStr">
        <is>
          <t>1012172</t>
        </is>
      </c>
      <c r="C556" t="inlineStr">
        <is>
          <t>AKÜ,L2,DK,60AH,IGYA SMF,Y3000,YBX3027,Yİ</t>
        </is>
      </c>
      <c r="D556" s="19" t="inlineStr">
        <is>
          <t>1</t>
        </is>
      </c>
      <c r="E556" t="n">
        <v>0</v>
      </c>
      <c r="I556" s="19" t="inlineStr">
        <is>
          <t>2</t>
        </is>
      </c>
      <c r="J556" t="inlineStr">
        <is>
          <t>2026-08-08</t>
        </is>
      </c>
      <c r="L556" s="19" t="inlineStr">
        <is>
          <t>1012172</t>
        </is>
      </c>
      <c r="M556" t="inlineStr">
        <is>
          <t>STATUS=IN OEM / EU PACKAGE; SOURCE_CFG=IA-ST-CFG-0226; MARKET=YURT İÇİ AFM</t>
        </is>
      </c>
      <c r="N556" t="inlineStr">
        <is>
          <t>2026-08-10T19:29:54Z</t>
        </is>
      </c>
      <c r="O556" t="inlineStr">
        <is>
          <t>2026-08-10T19:29:54Z</t>
        </is>
      </c>
    </row>
    <row r="557">
      <c r="A557" s="19" t="inlineStr">
        <is>
          <t>556</t>
        </is>
      </c>
      <c r="B557" s="19" t="inlineStr">
        <is>
          <t>1012175</t>
        </is>
      </c>
      <c r="C557" t="inlineStr">
        <is>
          <t>AKÜ,L5,DK,95AH,IGYA SMF,Y3000,YBX3019,Yİ</t>
        </is>
      </c>
      <c r="D557" s="19" t="inlineStr">
        <is>
          <t>1</t>
        </is>
      </c>
      <c r="E557" t="n">
        <v>0</v>
      </c>
      <c r="I557" s="19" t="inlineStr">
        <is>
          <t>2</t>
        </is>
      </c>
      <c r="J557" t="inlineStr">
        <is>
          <t>2026-08-08</t>
        </is>
      </c>
      <c r="L557" s="19" t="inlineStr">
        <is>
          <t>1012175</t>
        </is>
      </c>
      <c r="M557" t="inlineStr">
        <is>
          <t>STATUS=IN OEM / EU PACKAGE; SOURCE_CFG=IA-ST-CFG-0098; MARKET=YURT İÇİ AFM</t>
        </is>
      </c>
      <c r="N557" t="inlineStr">
        <is>
          <t>2026-08-10T19:29:54Z</t>
        </is>
      </c>
      <c r="O557" t="inlineStr">
        <is>
          <t>2026-08-10T19:29:54Z</t>
        </is>
      </c>
    </row>
    <row r="558">
      <c r="A558" s="19" t="inlineStr">
        <is>
          <t>557</t>
        </is>
      </c>
      <c r="B558" s="19" t="inlineStr">
        <is>
          <t>1012179</t>
        </is>
      </c>
      <c r="C558" t="inlineStr">
        <is>
          <t>AKÜ,D31,DK,90AH,IGYASMF,Y3000,YBX3335,Yİ</t>
        </is>
      </c>
      <c r="D558" s="19" t="inlineStr">
        <is>
          <t>1</t>
        </is>
      </c>
      <c r="E558" t="n">
        <v>0</v>
      </c>
      <c r="I558" s="19" t="inlineStr">
        <is>
          <t>2</t>
        </is>
      </c>
      <c r="J558" t="inlineStr">
        <is>
          <t>2026-08-08</t>
        </is>
      </c>
      <c r="L558" s="19" t="inlineStr">
        <is>
          <t>1012179</t>
        </is>
      </c>
      <c r="M558" t="inlineStr">
        <is>
          <t>STATUS=IN OEM / EU PACKAGE; SOURCE_CFG=IA-ST-CFG-0145; MARKET=YURT İÇİ AFM</t>
        </is>
      </c>
      <c r="N558" t="inlineStr">
        <is>
          <t>2026-08-10T19:29:54Z</t>
        </is>
      </c>
      <c r="O558" t="inlineStr">
        <is>
          <t>2026-08-10T19:29:54Z</t>
        </is>
      </c>
    </row>
    <row r="559">
      <c r="A559" s="19" t="inlineStr">
        <is>
          <t>558</t>
        </is>
      </c>
      <c r="B559" s="19" t="inlineStr">
        <is>
          <t>1012181</t>
        </is>
      </c>
      <c r="C559" t="inlineStr">
        <is>
          <t>AKÜ,B-FLAT,DK,190AH,İNCİ SUPRA SENTOR</t>
        </is>
      </c>
      <c r="D559" s="19" t="inlineStr">
        <is>
          <t>1</t>
        </is>
      </c>
      <c r="E559" t="n">
        <v>0</v>
      </c>
      <c r="I559" s="19" t="inlineStr">
        <is>
          <t>2</t>
        </is>
      </c>
      <c r="J559" t="inlineStr">
        <is>
          <t>2026-08-08</t>
        </is>
      </c>
      <c r="L559" s="19" t="inlineStr">
        <is>
          <t>1012181</t>
        </is>
      </c>
      <c r="M559" t="inlineStr">
        <is>
          <t>STATUS=IN OEM / EU PACKAGE; SOURCE_CFG=IA-ST-CFG-0052; MARKET=None</t>
        </is>
      </c>
      <c r="N559" t="inlineStr">
        <is>
          <t>2026-08-10T19:29:54Z</t>
        </is>
      </c>
      <c r="O559" t="inlineStr">
        <is>
          <t>2026-08-10T19:29:54Z</t>
        </is>
      </c>
    </row>
    <row r="560">
      <c r="A560" s="19" t="inlineStr">
        <is>
          <t>559</t>
        </is>
      </c>
      <c r="B560" s="19" t="inlineStr">
        <is>
          <t>1012183</t>
        </is>
      </c>
      <c r="C560" t="inlineStr">
        <is>
          <t>AKÜ,L2,DK,60AH,IGYASMF,BLIZZARO SILVERLN</t>
        </is>
      </c>
      <c r="D560" s="19" t="inlineStr">
        <is>
          <t>1</t>
        </is>
      </c>
      <c r="E560" t="n">
        <v>0</v>
      </c>
      <c r="I560" s="19" t="inlineStr">
        <is>
          <t>2</t>
        </is>
      </c>
      <c r="J560" t="inlineStr">
        <is>
          <t>2026-08-08</t>
        </is>
      </c>
      <c r="L560" s="19" t="inlineStr">
        <is>
          <t>1012183</t>
        </is>
      </c>
      <c r="M560" t="inlineStr">
        <is>
          <t>STATUS=IN OEM / EU PACKAGE; SOURCE_CFG=IA-ST-CFG-0222; MARKET=None</t>
        </is>
      </c>
      <c r="N560" t="inlineStr">
        <is>
          <t>2026-08-10T19:29:54Z</t>
        </is>
      </c>
      <c r="O560" t="inlineStr">
        <is>
          <t>2026-08-10T19:29:54Z</t>
        </is>
      </c>
    </row>
    <row r="561">
      <c r="A561" s="19" t="inlineStr">
        <is>
          <t>560</t>
        </is>
      </c>
      <c r="B561" s="19" t="inlineStr">
        <is>
          <t>1012185</t>
        </is>
      </c>
      <c r="C561" t="inlineStr">
        <is>
          <t>AKÜ,L2,DK,60AH,IGYSMF,BLIZAROTREND,METRA</t>
        </is>
      </c>
      <c r="D561" s="19" t="inlineStr">
        <is>
          <t>1</t>
        </is>
      </c>
      <c r="E561" t="n">
        <v>0</v>
      </c>
      <c r="I561" s="19" t="inlineStr">
        <is>
          <t>2</t>
        </is>
      </c>
      <c r="J561" t="inlineStr">
        <is>
          <t>2026-08-08</t>
        </is>
      </c>
      <c r="L561" s="19" t="inlineStr">
        <is>
          <t>1012185</t>
        </is>
      </c>
      <c r="M561" t="inlineStr">
        <is>
          <t>STATUS=IN OEM / EU PACKAGE; SOURCE_CFG=IA-ST-CFG-0222; MARKET=None</t>
        </is>
      </c>
      <c r="N561" t="inlineStr">
        <is>
          <t>2026-08-10T19:29:54Z</t>
        </is>
      </c>
      <c r="O561" t="inlineStr">
        <is>
          <t>2026-08-10T19:29:54Z</t>
        </is>
      </c>
    </row>
    <row r="562">
      <c r="A562" s="19" t="inlineStr">
        <is>
          <t>561</t>
        </is>
      </c>
      <c r="B562" s="19" t="inlineStr">
        <is>
          <t>1012187</t>
        </is>
      </c>
      <c r="C562" t="inlineStr">
        <is>
          <t>AKÜ,L2,TK,60AH,IGYSMF,HUGEL ACTION,METRA</t>
        </is>
      </c>
      <c r="D562" s="19" t="inlineStr">
        <is>
          <t>1</t>
        </is>
      </c>
      <c r="E562" t="n">
        <v>0</v>
      </c>
      <c r="I562" s="19" t="inlineStr">
        <is>
          <t>2</t>
        </is>
      </c>
      <c r="J562" t="inlineStr">
        <is>
          <t>2026-08-08</t>
        </is>
      </c>
      <c r="L562" s="19" t="inlineStr">
        <is>
          <t>1012187</t>
        </is>
      </c>
      <c r="M562" t="inlineStr">
        <is>
          <t>STATUS=IN OEM / EU PACKAGE; SOURCE_CFG=IA-ST-CFG-0222; MARKET=None</t>
        </is>
      </c>
      <c r="N562" t="inlineStr">
        <is>
          <t>2026-08-10T19:29:54Z</t>
        </is>
      </c>
      <c r="O562" t="inlineStr">
        <is>
          <t>2026-08-10T19:29:54Z</t>
        </is>
      </c>
    </row>
    <row r="563">
      <c r="A563" s="19" t="inlineStr">
        <is>
          <t>562</t>
        </is>
      </c>
      <c r="B563" s="19" t="inlineStr">
        <is>
          <t>1012188</t>
        </is>
      </c>
      <c r="C563" t="inlineStr">
        <is>
          <t>AKÜ,L2,TK,60AH,IGYSMF,BLIZAROTREND,METRA</t>
        </is>
      </c>
      <c r="D563" s="19" t="inlineStr">
        <is>
          <t>1</t>
        </is>
      </c>
      <c r="E563" t="n">
        <v>0</v>
      </c>
      <c r="I563" s="19" t="inlineStr">
        <is>
          <t>2</t>
        </is>
      </c>
      <c r="J563" t="inlineStr">
        <is>
          <t>2026-08-08</t>
        </is>
      </c>
      <c r="L563" s="19" t="inlineStr">
        <is>
          <t>1012188</t>
        </is>
      </c>
      <c r="M563" t="inlineStr">
        <is>
          <t>STATUS=IN OEM / EU PACKAGE; SOURCE_CFG=IA-ST-CFG-0222; MARKET=None</t>
        </is>
      </c>
      <c r="N563" t="inlineStr">
        <is>
          <t>2026-08-10T19:29:54Z</t>
        </is>
      </c>
      <c r="O563" t="inlineStr">
        <is>
          <t>2026-08-10T19:29:54Z</t>
        </is>
      </c>
    </row>
    <row r="564">
      <c r="A564" s="19" t="inlineStr">
        <is>
          <t>563</t>
        </is>
      </c>
      <c r="B564" s="19" t="inlineStr">
        <is>
          <t>1012190</t>
        </is>
      </c>
      <c r="C564" t="inlineStr">
        <is>
          <t>AKÜ,L2,DK,65AH,IGYSMF,İNCİMAXIMA,DIŞ PYS</t>
        </is>
      </c>
      <c r="D564" s="19" t="inlineStr">
        <is>
          <t>1</t>
        </is>
      </c>
      <c r="E564" t="n">
        <v>0</v>
      </c>
      <c r="I564" s="19" t="inlineStr">
        <is>
          <t>2</t>
        </is>
      </c>
      <c r="J564" t="inlineStr">
        <is>
          <t>2026-08-08</t>
        </is>
      </c>
      <c r="L564" s="19" t="inlineStr">
        <is>
          <t>1012190</t>
        </is>
      </c>
      <c r="M564" t="inlineStr">
        <is>
          <t>STATUS=IN OEM / EU PACKAGE; SOURCE_CFG=IA-ST-CFG-0222; MARKET=None</t>
        </is>
      </c>
      <c r="N564" t="inlineStr">
        <is>
          <t>2026-08-10T19:29:54Z</t>
        </is>
      </c>
      <c r="O564" t="inlineStr">
        <is>
          <t>2026-08-10T19:29:54Z</t>
        </is>
      </c>
    </row>
    <row r="565">
      <c r="A565" s="19" t="inlineStr">
        <is>
          <t>564</t>
        </is>
      </c>
      <c r="B565" s="19" t="inlineStr">
        <is>
          <t>1012191</t>
        </is>
      </c>
      <c r="C565" t="inlineStr">
        <is>
          <t>AKÜ,L2,DK,60AH,IGYA SMF,İNCİ SUPRA,METRA</t>
        </is>
      </c>
      <c r="D565" s="19" t="inlineStr">
        <is>
          <t>1</t>
        </is>
      </c>
      <c r="E565" t="n">
        <v>0</v>
      </c>
      <c r="I565" s="19" t="inlineStr">
        <is>
          <t>2</t>
        </is>
      </c>
      <c r="J565" t="inlineStr">
        <is>
          <t>2026-08-08</t>
        </is>
      </c>
      <c r="L565" s="19" t="inlineStr">
        <is>
          <t>1012191</t>
        </is>
      </c>
      <c r="M565" t="inlineStr">
        <is>
          <t>STATUS=IN OEM / EU PACKAGE; SOURCE_CFG=IA-ST-CFG-0222; MARKET=None</t>
        </is>
      </c>
      <c r="N565" t="inlineStr">
        <is>
          <t>2026-08-10T19:29:54Z</t>
        </is>
      </c>
      <c r="O565" t="inlineStr">
        <is>
          <t>2026-08-10T19:29:54Z</t>
        </is>
      </c>
    </row>
    <row r="566">
      <c r="A566" s="19" t="inlineStr">
        <is>
          <t>565</t>
        </is>
      </c>
      <c r="B566" s="19" t="inlineStr">
        <is>
          <t>1012192</t>
        </is>
      </c>
      <c r="C566" t="inlineStr">
        <is>
          <t>AKÜ,L2,TK,60AH,IGYA SMF,İNCİ SUPRA,METRA</t>
        </is>
      </c>
      <c r="D566" s="19" t="inlineStr">
        <is>
          <t>1</t>
        </is>
      </c>
      <c r="E566" t="n">
        <v>0</v>
      </c>
      <c r="I566" s="19" t="inlineStr">
        <is>
          <t>2</t>
        </is>
      </c>
      <c r="J566" t="inlineStr">
        <is>
          <t>2026-08-08</t>
        </is>
      </c>
      <c r="L566" s="19" t="inlineStr">
        <is>
          <t>1012192</t>
        </is>
      </c>
      <c r="M566" t="inlineStr">
        <is>
          <t>STATUS=IN OEM / EU PACKAGE; SOURCE_CFG=IA-ST-CFG-0222; MARKET=None</t>
        </is>
      </c>
      <c r="N566" t="inlineStr">
        <is>
          <t>2026-08-10T19:29:54Z</t>
        </is>
      </c>
      <c r="O566" t="inlineStr">
        <is>
          <t>2026-08-10T19:29:54Z</t>
        </is>
      </c>
    </row>
    <row r="567">
      <c r="A567" s="19" t="inlineStr">
        <is>
          <t>566</t>
        </is>
      </c>
      <c r="B567" s="19" t="inlineStr">
        <is>
          <t>1012193</t>
        </is>
      </c>
      <c r="C567" t="inlineStr">
        <is>
          <t>AKÜ,L2,TK,65AH,IGYSMF,İNCİ MAXIMA,DIŞPYS</t>
        </is>
      </c>
      <c r="D567" s="19" t="inlineStr">
        <is>
          <t>1</t>
        </is>
      </c>
      <c r="E567" t="n">
        <v>0</v>
      </c>
      <c r="I567" s="19" t="inlineStr">
        <is>
          <t>2</t>
        </is>
      </c>
      <c r="J567" t="inlineStr">
        <is>
          <t>2026-08-08</t>
        </is>
      </c>
      <c r="L567" s="19" t="inlineStr">
        <is>
          <t>1012193</t>
        </is>
      </c>
      <c r="M567" t="inlineStr">
        <is>
          <t>STATUS=IN OEM / EU PACKAGE; SOURCE_CFG=IA-ST-CFG-0222; MARKET=None</t>
        </is>
      </c>
      <c r="N567" t="inlineStr">
        <is>
          <t>2026-08-10T19:29:54Z</t>
        </is>
      </c>
      <c r="O567" t="inlineStr">
        <is>
          <t>2026-08-10T19:29:54Z</t>
        </is>
      </c>
    </row>
    <row r="568">
      <c r="A568" s="19" t="inlineStr">
        <is>
          <t>567</t>
        </is>
      </c>
      <c r="B568" s="19" t="inlineStr">
        <is>
          <t>1012238</t>
        </is>
      </c>
      <c r="C568" t="inlineStr">
        <is>
          <t>AKÜ,L1,DK,50AH,IGYSMF,İNCİ SUPRA,METRA</t>
        </is>
      </c>
      <c r="D568" s="19" t="inlineStr">
        <is>
          <t>1</t>
        </is>
      </c>
      <c r="E568" t="n">
        <v>0</v>
      </c>
      <c r="I568" s="19" t="inlineStr">
        <is>
          <t>2</t>
        </is>
      </c>
      <c r="J568" t="inlineStr">
        <is>
          <t>2026-08-08</t>
        </is>
      </c>
      <c r="L568" s="19" t="inlineStr">
        <is>
          <t>1012238</t>
        </is>
      </c>
      <c r="M568" t="inlineStr">
        <is>
          <t>STATUS=IN OEM / EU PACKAGE; SOURCE_CFG=IA-ST-CFG-0248; MARKET=None</t>
        </is>
      </c>
      <c r="N568" t="inlineStr">
        <is>
          <t>2026-08-10T19:29:54Z</t>
        </is>
      </c>
      <c r="O568" t="inlineStr">
        <is>
          <t>2026-08-10T19:29:54Z</t>
        </is>
      </c>
    </row>
    <row r="569">
      <c r="A569" s="19" t="inlineStr">
        <is>
          <t>568</t>
        </is>
      </c>
      <c r="B569" s="19" t="inlineStr">
        <is>
          <t>1012239</t>
        </is>
      </c>
      <c r="C569" t="inlineStr">
        <is>
          <t>AKÜ,L1,DK,52AH,IGYA SMF,İNCİ FORM TAURUS</t>
        </is>
      </c>
      <c r="D569" s="19" t="inlineStr">
        <is>
          <t>1</t>
        </is>
      </c>
      <c r="E569" t="n">
        <v>0</v>
      </c>
      <c r="I569" s="19" t="inlineStr">
        <is>
          <t>2</t>
        </is>
      </c>
      <c r="J569" t="inlineStr">
        <is>
          <t>2026-08-08</t>
        </is>
      </c>
      <c r="L569" s="19" t="inlineStr">
        <is>
          <t>1012239</t>
        </is>
      </c>
      <c r="M569" t="inlineStr">
        <is>
          <t>STATUS=IN OEM / EU PACKAGE; SOURCE_CFG=IA-ST-CFG-0248; MARKET=None</t>
        </is>
      </c>
      <c r="N569" t="inlineStr">
        <is>
          <t>2026-08-10T19:29:54Z</t>
        </is>
      </c>
      <c r="O569" t="inlineStr">
        <is>
          <t>2026-08-10T19:29:54Z</t>
        </is>
      </c>
    </row>
    <row r="570">
      <c r="A570" s="19" t="inlineStr">
        <is>
          <t>569</t>
        </is>
      </c>
      <c r="B570" s="19" t="inlineStr">
        <is>
          <t>1012246</t>
        </is>
      </c>
      <c r="C570" t="inlineStr">
        <is>
          <t>AKÜ,D31,DK100AH,IGYSMF,İNCİMAXIMA,DIŞPYS</t>
        </is>
      </c>
      <c r="D570" s="19" t="inlineStr">
        <is>
          <t>1</t>
        </is>
      </c>
      <c r="E570" t="n">
        <v>0</v>
      </c>
      <c r="I570" s="19" t="inlineStr">
        <is>
          <t>2</t>
        </is>
      </c>
      <c r="J570" t="inlineStr">
        <is>
          <t>2026-08-08</t>
        </is>
      </c>
      <c r="L570" s="19" t="inlineStr">
        <is>
          <t>1012246</t>
        </is>
      </c>
      <c r="M570" t="inlineStr">
        <is>
          <t>STATUS=IN OEM / EU PACKAGE; SOURCE_CFG=IA-ST-CFG-0143; MARKET=None</t>
        </is>
      </c>
      <c r="N570" t="inlineStr">
        <is>
          <t>2026-08-10T19:29:54Z</t>
        </is>
      </c>
      <c r="O570" t="inlineStr">
        <is>
          <t>2026-08-10T19:29:54Z</t>
        </is>
      </c>
    </row>
    <row r="571">
      <c r="A571" s="19" t="inlineStr">
        <is>
          <t>570</t>
        </is>
      </c>
      <c r="B571" s="19" t="inlineStr">
        <is>
          <t>1012248</t>
        </is>
      </c>
      <c r="C571" t="inlineStr">
        <is>
          <t>AKÜ,D31,TK100AH,IGYSMF,İNCİMAXIMA,DIŞPYS</t>
        </is>
      </c>
      <c r="D571" s="19" t="inlineStr">
        <is>
          <t>1</t>
        </is>
      </c>
      <c r="E571" t="n">
        <v>0</v>
      </c>
      <c r="I571" s="19" t="inlineStr">
        <is>
          <t>2</t>
        </is>
      </c>
      <c r="J571" t="inlineStr">
        <is>
          <t>2026-08-08</t>
        </is>
      </c>
      <c r="L571" s="19" t="inlineStr">
        <is>
          <t>1012248</t>
        </is>
      </c>
      <c r="M571" t="inlineStr">
        <is>
          <t>STATUS=IN OEM / EU PACKAGE; SOURCE_CFG=IA-ST-CFG-0143; MARKET=None</t>
        </is>
      </c>
      <c r="N571" t="inlineStr">
        <is>
          <t>2026-08-10T19:29:54Z</t>
        </is>
      </c>
      <c r="O571" t="inlineStr">
        <is>
          <t>2026-08-10T19:29:54Z</t>
        </is>
      </c>
    </row>
    <row r="572">
      <c r="A572" s="19" t="inlineStr">
        <is>
          <t>571</t>
        </is>
      </c>
      <c r="B572" s="19" t="inlineStr">
        <is>
          <t>1012249</t>
        </is>
      </c>
      <c r="C572" t="inlineStr">
        <is>
          <t>AKÜ,D31DK95AH,IGYSMF,GRİSYH,SILVR,SCHNPP</t>
        </is>
      </c>
      <c r="D572" s="19" t="inlineStr">
        <is>
          <t>1</t>
        </is>
      </c>
      <c r="E572" t="n">
        <v>0</v>
      </c>
      <c r="I572" s="19" t="inlineStr">
        <is>
          <t>2</t>
        </is>
      </c>
      <c r="J572" t="inlineStr">
        <is>
          <t>2026-08-08</t>
        </is>
      </c>
      <c r="L572" s="19" t="inlineStr">
        <is>
          <t>1012249</t>
        </is>
      </c>
      <c r="M572" t="inlineStr">
        <is>
          <t>STATUS=IN OEM / EU PACKAGE; SOURCE_CFG=IA-ST-CFG-0146; MARKET=SCHNAPP</t>
        </is>
      </c>
      <c r="N572" t="inlineStr">
        <is>
          <t>2026-08-10T19:29:54Z</t>
        </is>
      </c>
      <c r="O572" t="inlineStr">
        <is>
          <t>2026-08-10T19:29:54Z</t>
        </is>
      </c>
    </row>
    <row r="573">
      <c r="A573" s="19" t="inlineStr">
        <is>
          <t>572</t>
        </is>
      </c>
      <c r="B573" s="19" t="inlineStr">
        <is>
          <t>1012250</t>
        </is>
      </c>
      <c r="C573" t="inlineStr">
        <is>
          <t>AKÜD31DK95AH,IGYSMF,GRİSYH,STRONG,SCHNPP</t>
        </is>
      </c>
      <c r="D573" s="19" t="inlineStr">
        <is>
          <t>1</t>
        </is>
      </c>
      <c r="E573" t="n">
        <v>0</v>
      </c>
      <c r="I573" s="19" t="inlineStr">
        <is>
          <t>2</t>
        </is>
      </c>
      <c r="J573" t="inlineStr">
        <is>
          <t>2026-08-08</t>
        </is>
      </c>
      <c r="L573" s="19" t="inlineStr">
        <is>
          <t>1012250</t>
        </is>
      </c>
      <c r="M573" t="inlineStr">
        <is>
          <t>STATUS=IN OEM / EU PACKAGE; SOURCE_CFG=IA-ST-CFG-0146; MARKET=SCHNAPP</t>
        </is>
      </c>
      <c r="N573" t="inlineStr">
        <is>
          <t>2026-08-10T19:29:54Z</t>
        </is>
      </c>
      <c r="O573" t="inlineStr">
        <is>
          <t>2026-08-10T19:29:54Z</t>
        </is>
      </c>
    </row>
    <row r="574">
      <c r="A574" s="19" t="inlineStr">
        <is>
          <t>573</t>
        </is>
      </c>
      <c r="B574" s="19" t="inlineStr">
        <is>
          <t>1012251</t>
        </is>
      </c>
      <c r="C574" t="inlineStr">
        <is>
          <t>AKÜD31TK95AH,IGYSMF,GRİSYH,STRONG,SCHNPP</t>
        </is>
      </c>
      <c r="D574" s="19" t="inlineStr">
        <is>
          <t>1</t>
        </is>
      </c>
      <c r="E574" t="n">
        <v>0</v>
      </c>
      <c r="I574" s="19" t="inlineStr">
        <is>
          <t>2</t>
        </is>
      </c>
      <c r="J574" t="inlineStr">
        <is>
          <t>2026-08-08</t>
        </is>
      </c>
      <c r="L574" s="19" t="inlineStr">
        <is>
          <t>1012251</t>
        </is>
      </c>
      <c r="M574" t="inlineStr">
        <is>
          <t>STATUS=IN OEM / EU PACKAGE; SOURCE_CFG=IA-ST-CFG-0146; MARKET=SCHNAPP</t>
        </is>
      </c>
      <c r="N574" t="inlineStr">
        <is>
          <t>2026-08-10T19:29:54Z</t>
        </is>
      </c>
      <c r="O574" t="inlineStr">
        <is>
          <t>2026-08-10T19:29:54Z</t>
        </is>
      </c>
    </row>
    <row r="575">
      <c r="A575" s="19" t="inlineStr">
        <is>
          <t>574</t>
        </is>
      </c>
      <c r="B575" s="19" t="inlineStr">
        <is>
          <t>1012254</t>
        </is>
      </c>
      <c r="C575" t="inlineStr">
        <is>
          <t>AKÜ,L5,DK,92AH,IGYA SMF,İNCİ SUPRA,METRA</t>
        </is>
      </c>
      <c r="D575" s="19" t="inlineStr">
        <is>
          <t>1</t>
        </is>
      </c>
      <c r="E575" t="n">
        <v>0</v>
      </c>
      <c r="I575" s="19" t="inlineStr">
        <is>
          <t>2</t>
        </is>
      </c>
      <c r="J575" t="inlineStr">
        <is>
          <t>2026-08-08</t>
        </is>
      </c>
      <c r="L575" s="19" t="inlineStr">
        <is>
          <t>1012254</t>
        </is>
      </c>
      <c r="M575" t="inlineStr">
        <is>
          <t>STATUS=IN OEM / EU PACKAGE; SOURCE_CFG=IA-ST-CFG-0096; MARKET=None</t>
        </is>
      </c>
      <c r="N575" t="inlineStr">
        <is>
          <t>2026-08-10T19:29:54Z</t>
        </is>
      </c>
      <c r="O575" t="inlineStr">
        <is>
          <t>2026-08-10T19:29:54Z</t>
        </is>
      </c>
    </row>
    <row r="576">
      <c r="A576" s="19" t="inlineStr">
        <is>
          <t>575</t>
        </is>
      </c>
      <c r="B576" s="19" t="inlineStr">
        <is>
          <t>1012257</t>
        </is>
      </c>
      <c r="C576" t="inlineStr">
        <is>
          <t>AKÜ,L5,DK,102AH,IGYSMF,İNCİMAXIMA,DIŞPYS</t>
        </is>
      </c>
      <c r="D576" s="19" t="inlineStr">
        <is>
          <t>1</t>
        </is>
      </c>
      <c r="E576" t="n">
        <v>0</v>
      </c>
      <c r="I576" s="19" t="inlineStr">
        <is>
          <t>2</t>
        </is>
      </c>
      <c r="J576" t="inlineStr">
        <is>
          <t>2026-08-08</t>
        </is>
      </c>
      <c r="L576" s="19" t="inlineStr">
        <is>
          <t>1012257</t>
        </is>
      </c>
      <c r="M576" t="inlineStr">
        <is>
          <t>STATUS=IN OEM / EU PACKAGE; SOURCE_CFG=IA-ST-CFG-0096; MARKET=None</t>
        </is>
      </c>
      <c r="N576" t="inlineStr">
        <is>
          <t>2026-08-10T19:29:54Z</t>
        </is>
      </c>
      <c r="O576" t="inlineStr">
        <is>
          <t>2026-08-10T19:29:54Z</t>
        </is>
      </c>
    </row>
    <row r="577">
      <c r="A577" s="19" t="inlineStr">
        <is>
          <t>576</t>
        </is>
      </c>
      <c r="B577" s="19" t="inlineStr">
        <is>
          <t>1012258</t>
        </is>
      </c>
      <c r="C577" t="inlineStr">
        <is>
          <t>AKÜ,L5,DK,100AH,IGYASMF,İNCİ FORM TAURUS</t>
        </is>
      </c>
      <c r="D577" s="19" t="inlineStr">
        <is>
          <t>1</t>
        </is>
      </c>
      <c r="E577" t="n">
        <v>0</v>
      </c>
      <c r="I577" s="19" t="inlineStr">
        <is>
          <t>2</t>
        </is>
      </c>
      <c r="J577" t="inlineStr">
        <is>
          <t>2026-08-08</t>
        </is>
      </c>
      <c r="L577" s="19" t="inlineStr">
        <is>
          <t>1012258</t>
        </is>
      </c>
      <c r="M577" t="inlineStr">
        <is>
          <t>STATUS=IN OEM / EU PACKAGE; SOURCE_CFG=IA-ST-CFG-0096; MARKET=None</t>
        </is>
      </c>
      <c r="N577" t="inlineStr">
        <is>
          <t>2026-08-10T19:29:54Z</t>
        </is>
      </c>
      <c r="O577" t="inlineStr">
        <is>
          <t>2026-08-10T19:29:54Z</t>
        </is>
      </c>
    </row>
    <row r="578">
      <c r="A578" s="19" t="inlineStr">
        <is>
          <t>577</t>
        </is>
      </c>
      <c r="B578" s="19" t="inlineStr">
        <is>
          <t>1012259</t>
        </is>
      </c>
      <c r="C578" t="inlineStr">
        <is>
          <t>AKÜ L5,DK,105AH,IGYASMF,İNCİ FORM TAURUS</t>
        </is>
      </c>
      <c r="D578" s="19" t="inlineStr">
        <is>
          <t>1</t>
        </is>
      </c>
      <c r="E578" t="n">
        <v>0</v>
      </c>
      <c r="I578" s="19" t="inlineStr">
        <is>
          <t>2</t>
        </is>
      </c>
      <c r="J578" t="inlineStr">
        <is>
          <t>2026-08-08</t>
        </is>
      </c>
      <c r="L578" s="19" t="inlineStr">
        <is>
          <t>1012259</t>
        </is>
      </c>
      <c r="M578" t="inlineStr">
        <is>
          <t>STATUS=IN OEM / EU PACKAGE; SOURCE_CFG=IA-ST-CFG-0096; MARKET=None</t>
        </is>
      </c>
      <c r="N578" t="inlineStr">
        <is>
          <t>2026-08-10T19:29:54Z</t>
        </is>
      </c>
      <c r="O578" t="inlineStr">
        <is>
          <t>2026-08-10T19:29:54Z</t>
        </is>
      </c>
    </row>
    <row r="579">
      <c r="A579" s="19" t="inlineStr">
        <is>
          <t>578</t>
        </is>
      </c>
      <c r="B579" s="19" t="inlineStr">
        <is>
          <t>1012264</t>
        </is>
      </c>
      <c r="C579" t="inlineStr">
        <is>
          <t>AKÜ,L5,DK,100AH,IGYA SMF,SILVER SCHNAP</t>
        </is>
      </c>
      <c r="D579" s="19" t="inlineStr">
        <is>
          <t>1</t>
        </is>
      </c>
      <c r="E579" t="n">
        <v>0</v>
      </c>
      <c r="I579" s="19" t="inlineStr">
        <is>
          <t>2</t>
        </is>
      </c>
      <c r="J579" t="inlineStr">
        <is>
          <t>2026-08-08</t>
        </is>
      </c>
      <c r="L579" s="19" t="inlineStr">
        <is>
          <t>1012264</t>
        </is>
      </c>
      <c r="M579" t="inlineStr">
        <is>
          <t>STATUS=IN OEM / EU PACKAGE; SOURCE_CFG=IA-ST-CFG-0101; MARKET=SCHNAPP</t>
        </is>
      </c>
      <c r="N579" t="inlineStr">
        <is>
          <t>2026-08-10T19:29:54Z</t>
        </is>
      </c>
      <c r="O579" t="inlineStr">
        <is>
          <t>2026-08-10T19:29:54Z</t>
        </is>
      </c>
    </row>
    <row r="580">
      <c r="A580" s="19" t="inlineStr">
        <is>
          <t>579</t>
        </is>
      </c>
      <c r="B580" s="19" t="inlineStr">
        <is>
          <t>1012265</t>
        </is>
      </c>
      <c r="C580" t="inlineStr">
        <is>
          <t>AKÜ,L5,DK,100AH,IGYA SMF,STRONG SCHNAP</t>
        </is>
      </c>
      <c r="D580" s="19" t="inlineStr">
        <is>
          <t>1</t>
        </is>
      </c>
      <c r="E580" t="n">
        <v>0</v>
      </c>
      <c r="I580" s="19" t="inlineStr">
        <is>
          <t>2</t>
        </is>
      </c>
      <c r="J580" t="inlineStr">
        <is>
          <t>2026-08-08</t>
        </is>
      </c>
      <c r="L580" s="19" t="inlineStr">
        <is>
          <t>1012265</t>
        </is>
      </c>
      <c r="M580" t="inlineStr">
        <is>
          <t>STATUS=IN OEM / EU PACKAGE; SOURCE_CFG=IA-ST-CFG-0101; MARKET=SCHNAPP</t>
        </is>
      </c>
      <c r="N580" t="inlineStr">
        <is>
          <t>2026-08-10T19:29:54Z</t>
        </is>
      </c>
      <c r="O580" t="inlineStr">
        <is>
          <t>2026-08-10T19:29:54Z</t>
        </is>
      </c>
    </row>
    <row r="581">
      <c r="A581" s="19" t="inlineStr">
        <is>
          <t>580</t>
        </is>
      </c>
      <c r="B581" s="19" t="inlineStr">
        <is>
          <t>1012274</t>
        </is>
      </c>
      <c r="C581" t="inlineStr">
        <is>
          <t>AKÜ,D26,DK,72AH,IGYASMF,İNCİ FORM TAURUS</t>
        </is>
      </c>
      <c r="D581" s="19" t="inlineStr">
        <is>
          <t>1</t>
        </is>
      </c>
      <c r="E581" t="n">
        <v>0</v>
      </c>
      <c r="I581" s="19" t="inlineStr">
        <is>
          <t>2</t>
        </is>
      </c>
      <c r="J581" t="inlineStr">
        <is>
          <t>2026-08-08</t>
        </is>
      </c>
      <c r="L581" s="19" t="inlineStr">
        <is>
          <t>1012274</t>
        </is>
      </c>
      <c r="M581" t="inlineStr">
        <is>
          <t>STATUS=IN OEM / EU PACKAGE; SOURCE_CFG=IA-ST-CFG-0175; MARKET=None</t>
        </is>
      </c>
      <c r="N581" t="inlineStr">
        <is>
          <t>2026-08-10T19:29:54Z</t>
        </is>
      </c>
      <c r="O581" t="inlineStr">
        <is>
          <t>2026-08-10T19:29:54Z</t>
        </is>
      </c>
    </row>
    <row r="582">
      <c r="A582" s="19" t="inlineStr">
        <is>
          <t>581</t>
        </is>
      </c>
      <c r="B582" s="19" t="inlineStr">
        <is>
          <t>1012275</t>
        </is>
      </c>
      <c r="C582" t="inlineStr">
        <is>
          <t>AKÜ,D26,DK,80AH,IGYSMF,İNCİMAXIMA,DIŞPYS</t>
        </is>
      </c>
      <c r="D582" s="19" t="inlineStr">
        <is>
          <t>1</t>
        </is>
      </c>
      <c r="E582" t="n">
        <v>0</v>
      </c>
      <c r="I582" s="19" t="inlineStr">
        <is>
          <t>2</t>
        </is>
      </c>
      <c r="J582" t="inlineStr">
        <is>
          <t>2026-08-08</t>
        </is>
      </c>
      <c r="L582" s="19" t="inlineStr">
        <is>
          <t>1012275</t>
        </is>
      </c>
      <c r="M582" t="inlineStr">
        <is>
          <t>STATUS=IN OEM / EU PACKAGE; SOURCE_CFG=IA-ST-CFG-0175; MARKET=None</t>
        </is>
      </c>
      <c r="N582" t="inlineStr">
        <is>
          <t>2026-08-10T19:29:54Z</t>
        </is>
      </c>
      <c r="O582" t="inlineStr">
        <is>
          <t>2026-08-10T19:29:54Z</t>
        </is>
      </c>
    </row>
    <row r="583">
      <c r="A583" s="19" t="inlineStr">
        <is>
          <t>582</t>
        </is>
      </c>
      <c r="B583" s="19" t="inlineStr">
        <is>
          <t>1012276</t>
        </is>
      </c>
      <c r="C583" t="inlineStr">
        <is>
          <t>AKÜD26,DK65AH,IGYSMF,GRİSYH,STRONG,SCHNP</t>
        </is>
      </c>
      <c r="D583" s="19" t="inlineStr">
        <is>
          <t>1</t>
        </is>
      </c>
      <c r="E583" t="n">
        <v>0</v>
      </c>
      <c r="I583" s="19" t="inlineStr">
        <is>
          <t>2</t>
        </is>
      </c>
      <c r="J583" t="inlineStr">
        <is>
          <t>2026-08-08</t>
        </is>
      </c>
      <c r="L583" s="19" t="inlineStr">
        <is>
          <t>1012276</t>
        </is>
      </c>
      <c r="M583" t="inlineStr">
        <is>
          <t>STATUS=IN OEM / EU PACKAGE; SOURCE_CFG=IA-ST-CFG-0183; MARKET=SCHNAPP</t>
        </is>
      </c>
      <c r="N583" t="inlineStr">
        <is>
          <t>2026-08-10T19:29:54Z</t>
        </is>
      </c>
      <c r="O583" t="inlineStr">
        <is>
          <t>2026-08-10T19:29:54Z</t>
        </is>
      </c>
    </row>
    <row r="584">
      <c r="A584" s="19" t="inlineStr">
        <is>
          <t>583</t>
        </is>
      </c>
      <c r="B584" s="19" t="inlineStr">
        <is>
          <t>1012277</t>
        </is>
      </c>
      <c r="C584" t="inlineStr">
        <is>
          <t>AKÜD26,DK65AH,IGYSMF,GRİSYH,SILVER,SCHNP</t>
        </is>
      </c>
      <c r="D584" s="19" t="inlineStr">
        <is>
          <t>1</t>
        </is>
      </c>
      <c r="E584" t="n">
        <v>0</v>
      </c>
      <c r="I584" s="19" t="inlineStr">
        <is>
          <t>2</t>
        </is>
      </c>
      <c r="J584" t="inlineStr">
        <is>
          <t>2026-08-08</t>
        </is>
      </c>
      <c r="L584" s="19" t="inlineStr">
        <is>
          <t>1012277</t>
        </is>
      </c>
      <c r="M584" t="inlineStr">
        <is>
          <t>STATUS=IN OEM / EU PACKAGE; SOURCE_CFG=IA-ST-CFG-0183; MARKET=SCHNAPP</t>
        </is>
      </c>
      <c r="N584" t="inlineStr">
        <is>
          <t>2026-08-10T19:29:54Z</t>
        </is>
      </c>
      <c r="O584" t="inlineStr">
        <is>
          <t>2026-08-10T19:29:54Z</t>
        </is>
      </c>
    </row>
    <row r="585">
      <c r="A585" s="19" t="inlineStr">
        <is>
          <t>584</t>
        </is>
      </c>
      <c r="B585" s="19" t="inlineStr">
        <is>
          <t>1012279</t>
        </is>
      </c>
      <c r="C585" t="inlineStr">
        <is>
          <t>AKÜD26,DK80AH,IGYSMF,GRİSYH,SILVER,SCHNP</t>
        </is>
      </c>
      <c r="D585" s="19" t="inlineStr">
        <is>
          <t>1</t>
        </is>
      </c>
      <c r="E585" t="n">
        <v>0</v>
      </c>
      <c r="I585" s="19" t="inlineStr">
        <is>
          <t>2</t>
        </is>
      </c>
      <c r="J585" t="inlineStr">
        <is>
          <t>2026-08-08</t>
        </is>
      </c>
      <c r="L585" s="19" t="inlineStr">
        <is>
          <t>1012279</t>
        </is>
      </c>
      <c r="M585" t="inlineStr">
        <is>
          <t>STATUS=IN OEM / EU PACKAGE; SOURCE_CFG=IA-ST-CFG-0183; MARKET=SCHNAPP</t>
        </is>
      </c>
      <c r="N585" t="inlineStr">
        <is>
          <t>2026-08-10T19:29:54Z</t>
        </is>
      </c>
      <c r="O585" t="inlineStr">
        <is>
          <t>2026-08-10T19:29:54Z</t>
        </is>
      </c>
    </row>
    <row r="586">
      <c r="A586" s="19" t="inlineStr">
        <is>
          <t>585</t>
        </is>
      </c>
      <c r="B586" s="19" t="inlineStr">
        <is>
          <t>1012280</t>
        </is>
      </c>
      <c r="C586" t="inlineStr">
        <is>
          <t>AKÜD26,DK80AH,IGYSMF,GRİSYH,STRONG,SCHNP</t>
        </is>
      </c>
      <c r="D586" s="19" t="inlineStr">
        <is>
          <t>1</t>
        </is>
      </c>
      <c r="E586" t="n">
        <v>0</v>
      </c>
      <c r="I586" s="19" t="inlineStr">
        <is>
          <t>2</t>
        </is>
      </c>
      <c r="J586" t="inlineStr">
        <is>
          <t>2026-08-08</t>
        </is>
      </c>
      <c r="L586" s="19" t="inlineStr">
        <is>
          <t>1012280</t>
        </is>
      </c>
      <c r="M586" t="inlineStr">
        <is>
          <t>STATUS=IN OEM / EU PACKAGE; SOURCE_CFG=IA-ST-CFG-0183; MARKET=SCHNAPP</t>
        </is>
      </c>
      <c r="N586" t="inlineStr">
        <is>
          <t>2026-08-10T19:29:54Z</t>
        </is>
      </c>
      <c r="O586" t="inlineStr">
        <is>
          <t>2026-08-10T19:29:54Z</t>
        </is>
      </c>
    </row>
    <row r="587">
      <c r="A587" s="19" t="inlineStr">
        <is>
          <t>586</t>
        </is>
      </c>
      <c r="B587" s="19" t="inlineStr">
        <is>
          <t>1012286</t>
        </is>
      </c>
      <c r="C587" t="inlineStr">
        <is>
          <t>AKÜ,D23DK60AH,IGYSMF,GRİSYH,STRONG,SCHNP</t>
        </is>
      </c>
      <c r="D587" s="19" t="inlineStr">
        <is>
          <t>1</t>
        </is>
      </c>
      <c r="E587" t="n">
        <v>0</v>
      </c>
      <c r="I587" s="19" t="inlineStr">
        <is>
          <t>2</t>
        </is>
      </c>
      <c r="J587" t="inlineStr">
        <is>
          <t>2026-08-08</t>
        </is>
      </c>
      <c r="L587" s="19" t="inlineStr">
        <is>
          <t>1012286</t>
        </is>
      </c>
      <c r="M587" t="inlineStr">
        <is>
          <t>STATUS=IN OEM / EU PACKAGE; SOURCE_CFG=IA-ST-CFG-0228; MARKET=SCHNAPP</t>
        </is>
      </c>
      <c r="N587" t="inlineStr">
        <is>
          <t>2026-08-10T19:29:54Z</t>
        </is>
      </c>
      <c r="O587" t="inlineStr">
        <is>
          <t>2026-08-10T19:29:54Z</t>
        </is>
      </c>
    </row>
    <row r="588">
      <c r="A588" s="19" t="inlineStr">
        <is>
          <t>587</t>
        </is>
      </c>
      <c r="B588" s="19" t="inlineStr">
        <is>
          <t>1012287</t>
        </is>
      </c>
      <c r="C588" t="inlineStr">
        <is>
          <t>AKÜ,D23,DK,68AH,IGYA SMF,MAXIMA,DIŞ PYS</t>
        </is>
      </c>
      <c r="D588" s="19" t="inlineStr">
        <is>
          <t>1</t>
        </is>
      </c>
      <c r="E588" t="n">
        <v>0</v>
      </c>
      <c r="I588" s="19" t="inlineStr">
        <is>
          <t>2</t>
        </is>
      </c>
      <c r="J588" t="inlineStr">
        <is>
          <t>2026-08-08</t>
        </is>
      </c>
      <c r="L588" s="19" t="inlineStr">
        <is>
          <t>1012287</t>
        </is>
      </c>
      <c r="M588" t="inlineStr">
        <is>
          <t>STATUS=IN OEM / EU PACKAGE; SOURCE_CFG=IA-ST-CFG-0219; MARKET=None</t>
        </is>
      </c>
      <c r="N588" t="inlineStr">
        <is>
          <t>2026-08-10T19:29:54Z</t>
        </is>
      </c>
      <c r="O588" t="inlineStr">
        <is>
          <t>2026-08-10T19:29:54Z</t>
        </is>
      </c>
    </row>
    <row r="589">
      <c r="A589" s="19" t="inlineStr">
        <is>
          <t>588</t>
        </is>
      </c>
      <c r="B589" s="19" t="inlineStr">
        <is>
          <t>1012288</t>
        </is>
      </c>
      <c r="C589" t="inlineStr">
        <is>
          <t>AKÜD23DK60AH,IGYSMF,GRİSYH,SILVER,SCHNAP</t>
        </is>
      </c>
      <c r="D589" s="19" t="inlineStr">
        <is>
          <t>1</t>
        </is>
      </c>
      <c r="E589" t="n">
        <v>0</v>
      </c>
      <c r="I589" s="19" t="inlineStr">
        <is>
          <t>2</t>
        </is>
      </c>
      <c r="J589" t="inlineStr">
        <is>
          <t>2026-08-08</t>
        </is>
      </c>
      <c r="L589" s="19" t="inlineStr">
        <is>
          <t>1012288</t>
        </is>
      </c>
      <c r="M589" t="inlineStr">
        <is>
          <t>STATUS=IN OEM / EU PACKAGE; SOURCE_CFG=IA-ST-CFG-0228; MARKET=SCHNAPP</t>
        </is>
      </c>
      <c r="N589" t="inlineStr">
        <is>
          <t>2026-08-10T19:29:54Z</t>
        </is>
      </c>
      <c r="O589" t="inlineStr">
        <is>
          <t>2026-08-10T19:29:54Z</t>
        </is>
      </c>
    </row>
    <row r="590">
      <c r="A590" s="19" t="inlineStr">
        <is>
          <t>589</t>
        </is>
      </c>
      <c r="B590" s="19" t="inlineStr">
        <is>
          <t>1012289</t>
        </is>
      </c>
      <c r="C590" t="inlineStr">
        <is>
          <t>AKÜ,D23,TK,62AH,IGYA,B0,İNCİTAUR,SHAWKAT</t>
        </is>
      </c>
      <c r="D590" s="19" t="inlineStr">
        <is>
          <t>1</t>
        </is>
      </c>
      <c r="E590" t="n">
        <v>0</v>
      </c>
      <c r="I590" s="19" t="inlineStr">
        <is>
          <t>2</t>
        </is>
      </c>
      <c r="J590" t="inlineStr">
        <is>
          <t>2026-08-08</t>
        </is>
      </c>
      <c r="L590" s="19" t="inlineStr">
        <is>
          <t>1012289</t>
        </is>
      </c>
      <c r="M590" t="inlineStr">
        <is>
          <t>STATUS=IN OEM / EU PACKAGE; SOURCE_CFG=IA-ST-CFG-0219; MARKET=SHAWKAT</t>
        </is>
      </c>
      <c r="N590" t="inlineStr">
        <is>
          <t>2026-08-10T19:29:54Z</t>
        </is>
      </c>
      <c r="O590" t="inlineStr">
        <is>
          <t>2026-08-10T19:29:54Z</t>
        </is>
      </c>
    </row>
    <row r="591">
      <c r="A591" s="19" t="inlineStr">
        <is>
          <t>590</t>
        </is>
      </c>
      <c r="B591" s="19" t="inlineStr">
        <is>
          <t>1012292</t>
        </is>
      </c>
      <c r="C591" t="inlineStr">
        <is>
          <t>AKÜ,D23,TK,60AH,IGYASMF,İNCİ FORM TAURUS</t>
        </is>
      </c>
      <c r="D591" s="19" t="inlineStr">
        <is>
          <t>1</t>
        </is>
      </c>
      <c r="E591" t="n">
        <v>0</v>
      </c>
      <c r="I591" s="19" t="inlineStr">
        <is>
          <t>2</t>
        </is>
      </c>
      <c r="J591" t="inlineStr">
        <is>
          <t>2026-08-08</t>
        </is>
      </c>
      <c r="L591" s="19" t="inlineStr">
        <is>
          <t>1012292</t>
        </is>
      </c>
      <c r="M591" t="inlineStr">
        <is>
          <t>STATUS=IN OEM / EU PACKAGE; SOURCE_CFG=IA-ST-CFG-0219; MARKET=None</t>
        </is>
      </c>
      <c r="N591" t="inlineStr">
        <is>
          <t>2026-08-10T19:29:54Z</t>
        </is>
      </c>
      <c r="O591" t="inlineStr">
        <is>
          <t>2026-08-10T19:29:54Z</t>
        </is>
      </c>
    </row>
    <row r="592">
      <c r="A592" s="19" t="inlineStr">
        <is>
          <t>591</t>
        </is>
      </c>
      <c r="B592" s="19" t="inlineStr">
        <is>
          <t>1012296</t>
        </is>
      </c>
      <c r="C592" t="inlineStr">
        <is>
          <t>AKÜ,D23,TK,60AH,IGYSMF,B01,BLIZZARO SILV</t>
        </is>
      </c>
      <c r="D592" s="19" t="inlineStr">
        <is>
          <t>1</t>
        </is>
      </c>
      <c r="E592" t="n">
        <v>0</v>
      </c>
      <c r="I592" s="19" t="inlineStr">
        <is>
          <t>2</t>
        </is>
      </c>
      <c r="J592" t="inlineStr">
        <is>
          <t>2026-08-08</t>
        </is>
      </c>
      <c r="L592" s="19" t="inlineStr">
        <is>
          <t>1012296</t>
        </is>
      </c>
      <c r="M592" t="inlineStr">
        <is>
          <t>STATUS=IN OEM / EU PACKAGE; SOURCE_CFG=IA-ST-CFG-0219; MARKET=None</t>
        </is>
      </c>
      <c r="N592" t="inlineStr">
        <is>
          <t>2026-08-10T19:29:54Z</t>
        </is>
      </c>
      <c r="O592" t="inlineStr">
        <is>
          <t>2026-08-10T19:29:54Z</t>
        </is>
      </c>
    </row>
    <row r="593">
      <c r="A593" s="19" t="inlineStr">
        <is>
          <t>592</t>
        </is>
      </c>
      <c r="B593" s="19" t="inlineStr">
        <is>
          <t>1012298</t>
        </is>
      </c>
      <c r="C593" t="inlineStr">
        <is>
          <t>AKÜ,D23,DK,60AH,IGYSMF,İNCİTAUR,EECMISIR</t>
        </is>
      </c>
      <c r="D593" s="19" t="inlineStr">
        <is>
          <t>1</t>
        </is>
      </c>
      <c r="E593" t="n">
        <v>0</v>
      </c>
      <c r="I593" s="19" t="inlineStr">
        <is>
          <t>2</t>
        </is>
      </c>
      <c r="J593" t="inlineStr">
        <is>
          <t>2026-08-08</t>
        </is>
      </c>
      <c r="L593" s="19" t="inlineStr">
        <is>
          <t>1012298</t>
        </is>
      </c>
      <c r="M593" t="inlineStr">
        <is>
          <t>STATUS=IN OEM / EU PACKAGE; SOURCE_CFG=IA-ST-CFG-0219; MARKET=MISIR EEC</t>
        </is>
      </c>
      <c r="N593" t="inlineStr">
        <is>
          <t>2026-08-10T19:29:54Z</t>
        </is>
      </c>
      <c r="O593" t="inlineStr">
        <is>
          <t>2026-08-10T19:29:54Z</t>
        </is>
      </c>
    </row>
    <row r="594">
      <c r="A594" s="19" t="inlineStr">
        <is>
          <t>593</t>
        </is>
      </c>
      <c r="B594" s="19" t="inlineStr">
        <is>
          <t>1012304</t>
        </is>
      </c>
      <c r="C594" t="inlineStr">
        <is>
          <t>AKÜ,LB1,DK,43AH,IGYA SMF,SILVER SCHNAP</t>
        </is>
      </c>
      <c r="D594" s="19" t="inlineStr">
        <is>
          <t>1</t>
        </is>
      </c>
      <c r="E594" t="n">
        <v>0</v>
      </c>
      <c r="I594" s="19" t="inlineStr">
        <is>
          <t>2</t>
        </is>
      </c>
      <c r="J594" t="inlineStr">
        <is>
          <t>2026-08-08</t>
        </is>
      </c>
      <c r="L594" s="19" t="inlineStr">
        <is>
          <t>1012304</t>
        </is>
      </c>
      <c r="M594" t="inlineStr">
        <is>
          <t>STATUS=IN OEM / EU PACKAGE; SOURCE_CFG=IA-ST-CFG-0249; MARKET=SCHNAPP</t>
        </is>
      </c>
      <c r="N594" t="inlineStr">
        <is>
          <t>2026-08-10T19:29:54Z</t>
        </is>
      </c>
      <c r="O594" t="inlineStr">
        <is>
          <t>2026-08-10T19:29:54Z</t>
        </is>
      </c>
    </row>
    <row r="595">
      <c r="A595" s="19" t="inlineStr">
        <is>
          <t>594</t>
        </is>
      </c>
      <c r="B595" s="19" t="inlineStr">
        <is>
          <t>1012306</t>
        </is>
      </c>
      <c r="C595" t="inlineStr">
        <is>
          <t>AKÜD26,TK80AH,IGYSMF,GRİSYH,STRONG,SCHNP</t>
        </is>
      </c>
      <c r="D595" s="19" t="inlineStr">
        <is>
          <t>1</t>
        </is>
      </c>
      <c r="E595" t="n">
        <v>0</v>
      </c>
      <c r="I595" s="19" t="inlineStr">
        <is>
          <t>2</t>
        </is>
      </c>
      <c r="J595" t="inlineStr">
        <is>
          <t>2026-08-08</t>
        </is>
      </c>
      <c r="L595" s="19" t="inlineStr">
        <is>
          <t>1012306</t>
        </is>
      </c>
      <c r="M595" t="inlineStr">
        <is>
          <t>STATUS=IN OEM / EU PACKAGE; SOURCE_CFG=IA-ST-CFG-0183; MARKET=SCHNAPP</t>
        </is>
      </c>
      <c r="N595" t="inlineStr">
        <is>
          <t>2026-08-10T19:29:54Z</t>
        </is>
      </c>
      <c r="O595" t="inlineStr">
        <is>
          <t>2026-08-10T19:29:54Z</t>
        </is>
      </c>
    </row>
    <row r="596">
      <c r="A596" s="19" t="inlineStr">
        <is>
          <t>595</t>
        </is>
      </c>
      <c r="B596" s="19" t="inlineStr">
        <is>
          <t>1012307</t>
        </is>
      </c>
      <c r="C596" t="inlineStr">
        <is>
          <t>AKÜ,LB2,DK,45AH,IGYASMF,İNCİ FORM TAURUS</t>
        </is>
      </c>
      <c r="D596" s="19" t="inlineStr">
        <is>
          <t>1</t>
        </is>
      </c>
      <c r="E596" t="n">
        <v>0</v>
      </c>
      <c r="I596" s="19" t="inlineStr">
        <is>
          <t>2</t>
        </is>
      </c>
      <c r="J596" t="inlineStr">
        <is>
          <t>2026-08-08</t>
        </is>
      </c>
      <c r="L596" s="19" t="inlineStr">
        <is>
          <t>1012307</t>
        </is>
      </c>
      <c r="M596" t="inlineStr">
        <is>
          <t>STATUS=IN OEM / EU PACKAGE; SOURCE_CFG=IA-ST-CFG-0222; MARKET=None</t>
        </is>
      </c>
      <c r="N596" t="inlineStr">
        <is>
          <t>2026-08-10T19:29:54Z</t>
        </is>
      </c>
      <c r="O596" t="inlineStr">
        <is>
          <t>2026-08-10T19:29:54Z</t>
        </is>
      </c>
    </row>
    <row r="597">
      <c r="A597" s="19" t="inlineStr">
        <is>
          <t>596</t>
        </is>
      </c>
      <c r="B597" s="19" t="inlineStr">
        <is>
          <t>1012309</t>
        </is>
      </c>
      <c r="C597" t="inlineStr">
        <is>
          <t>AKÜD26,TK80AH,IGYSMFG,RİSYH,SILVER,SCHNP</t>
        </is>
      </c>
      <c r="D597" s="19" t="inlineStr">
        <is>
          <t>1</t>
        </is>
      </c>
      <c r="E597" t="n">
        <v>0</v>
      </c>
      <c r="I597" s="19" t="inlineStr">
        <is>
          <t>2</t>
        </is>
      </c>
      <c r="J597" t="inlineStr">
        <is>
          <t>2026-08-08</t>
        </is>
      </c>
      <c r="L597" s="19" t="inlineStr">
        <is>
          <t>1012309</t>
        </is>
      </c>
      <c r="M597" t="inlineStr">
        <is>
          <t>STATUS=IN OEM / EU PACKAGE; SOURCE_CFG=IA-ST-CFG-0183; MARKET=SCHNAPP</t>
        </is>
      </c>
      <c r="N597" t="inlineStr">
        <is>
          <t>2026-08-10T19:29:54Z</t>
        </is>
      </c>
      <c r="O597" t="inlineStr">
        <is>
          <t>2026-08-10T19:29:54Z</t>
        </is>
      </c>
    </row>
    <row r="598">
      <c r="A598" s="19" t="inlineStr">
        <is>
          <t>597</t>
        </is>
      </c>
      <c r="B598" s="19" t="inlineStr">
        <is>
          <t>1012313</t>
        </is>
      </c>
      <c r="C598" t="inlineStr">
        <is>
          <t>AKÜ LB2,DK,60AH,IGYASMF,İNCİMAXIMADIŞPYS</t>
        </is>
      </c>
      <c r="D598" s="19" t="inlineStr">
        <is>
          <t>1</t>
        </is>
      </c>
      <c r="E598" t="n">
        <v>0</v>
      </c>
      <c r="I598" s="19" t="inlineStr">
        <is>
          <t>2</t>
        </is>
      </c>
      <c r="J598" t="inlineStr">
        <is>
          <t>2026-08-08</t>
        </is>
      </c>
      <c r="L598" s="19" t="inlineStr">
        <is>
          <t>1012313</t>
        </is>
      </c>
      <c r="M598" t="inlineStr">
        <is>
          <t>STATUS=IN OEM / EU PACKAGE; SOURCE_CFG=IA-ST-CFG-0222; MARKET=None</t>
        </is>
      </c>
      <c r="N598" t="inlineStr">
        <is>
          <t>2026-08-10T19:29:54Z</t>
        </is>
      </c>
      <c r="O598" t="inlineStr">
        <is>
          <t>2026-08-10T19:29:54Z</t>
        </is>
      </c>
    </row>
    <row r="599">
      <c r="A599" s="19" t="inlineStr">
        <is>
          <t>598</t>
        </is>
      </c>
      <c r="B599" s="19" t="inlineStr">
        <is>
          <t>1012314</t>
        </is>
      </c>
      <c r="C599" t="inlineStr">
        <is>
          <t>AKÜ,LB2,DK,60AH,IGYASMF,İNCİ SUPRA,METRA</t>
        </is>
      </c>
      <c r="D599" s="19" t="inlineStr">
        <is>
          <t>1</t>
        </is>
      </c>
      <c r="E599" t="n">
        <v>0</v>
      </c>
      <c r="I599" s="19" t="inlineStr">
        <is>
          <t>2</t>
        </is>
      </c>
      <c r="J599" t="inlineStr">
        <is>
          <t>2026-08-08</t>
        </is>
      </c>
      <c r="L599" s="19" t="inlineStr">
        <is>
          <t>1012314</t>
        </is>
      </c>
      <c r="M599" t="inlineStr">
        <is>
          <t>STATUS=IN OEM / EU PACKAGE; SOURCE_CFG=IA-ST-CFG-0222; MARKET=None</t>
        </is>
      </c>
      <c r="N599" t="inlineStr">
        <is>
          <t>2026-08-10T19:29:54Z</t>
        </is>
      </c>
      <c r="O599" t="inlineStr">
        <is>
          <t>2026-08-10T19:29:54Z</t>
        </is>
      </c>
    </row>
    <row r="600">
      <c r="A600" s="19" t="inlineStr">
        <is>
          <t>599</t>
        </is>
      </c>
      <c r="B600" s="19" t="inlineStr">
        <is>
          <t>1012320</t>
        </is>
      </c>
      <c r="C600" t="inlineStr">
        <is>
          <t>AKÜ,D26,TK,72AH,IGYSMF,İNCİTAUR,EECMISIR</t>
        </is>
      </c>
      <c r="D600" s="19" t="inlineStr">
        <is>
          <t>1</t>
        </is>
      </c>
      <c r="E600" t="n">
        <v>0</v>
      </c>
      <c r="I600" s="19" t="inlineStr">
        <is>
          <t>2</t>
        </is>
      </c>
      <c r="J600" t="inlineStr">
        <is>
          <t>2026-08-08</t>
        </is>
      </c>
      <c r="L600" s="19" t="inlineStr">
        <is>
          <t>1012320</t>
        </is>
      </c>
      <c r="M600" t="inlineStr">
        <is>
          <t>STATUS=IN OEM / EU PACKAGE; SOURCE_CFG=IA-ST-CFG-0175; MARKET=MISIR EEC</t>
        </is>
      </c>
      <c r="N600" t="inlineStr">
        <is>
          <t>2026-08-10T19:29:54Z</t>
        </is>
      </c>
      <c r="O600" t="inlineStr">
        <is>
          <t>2026-08-10T19:29:54Z</t>
        </is>
      </c>
    </row>
    <row r="601">
      <c r="A601" s="19" t="inlineStr">
        <is>
          <t>600</t>
        </is>
      </c>
      <c r="B601" s="19" t="inlineStr">
        <is>
          <t>1012332</t>
        </is>
      </c>
      <c r="C601" t="inlineStr">
        <is>
          <t>AKÜL1,DK50AH,IGYSMF,GRİSYH,STRONG,SCHNPP</t>
        </is>
      </c>
      <c r="D601" s="19" t="inlineStr">
        <is>
          <t>1</t>
        </is>
      </c>
      <c r="E601" t="n">
        <v>0</v>
      </c>
      <c r="I601" s="19" t="inlineStr">
        <is>
          <t>2</t>
        </is>
      </c>
      <c r="J601" t="inlineStr">
        <is>
          <t>2026-08-08</t>
        </is>
      </c>
      <c r="L601" s="19" t="inlineStr">
        <is>
          <t>1012332</t>
        </is>
      </c>
      <c r="M601" t="inlineStr">
        <is>
          <t>STATUS=IN OEM / EU PACKAGE; SOURCE_CFG=IA-ST-CFG-0249; MARKET=SCHNAPP</t>
        </is>
      </c>
      <c r="N601" t="inlineStr">
        <is>
          <t>2026-08-10T19:29:54Z</t>
        </is>
      </c>
      <c r="O601" t="inlineStr">
        <is>
          <t>2026-08-10T19:29:54Z</t>
        </is>
      </c>
    </row>
    <row r="602">
      <c r="A602" s="19" t="inlineStr">
        <is>
          <t>601</t>
        </is>
      </c>
      <c r="B602" s="19" t="inlineStr">
        <is>
          <t>1012333</t>
        </is>
      </c>
      <c r="C602" t="inlineStr">
        <is>
          <t>AKÜ,LB3,DK,72AH,IGYASMF,İNCİMAXIMADIŞPYS</t>
        </is>
      </c>
      <c r="D602" s="19" t="inlineStr">
        <is>
          <t>1</t>
        </is>
      </c>
      <c r="E602" t="n">
        <v>0</v>
      </c>
      <c r="I602" s="19" t="inlineStr">
        <is>
          <t>2</t>
        </is>
      </c>
      <c r="J602" t="inlineStr">
        <is>
          <t>2026-08-08</t>
        </is>
      </c>
      <c r="L602" s="19" t="inlineStr">
        <is>
          <t>1012333</t>
        </is>
      </c>
      <c r="M602" t="inlineStr">
        <is>
          <t>STATUS=IN OEM / EU PACKAGE; SOURCE_CFG=IA-ST-CFG-0178; MARKET=None</t>
        </is>
      </c>
      <c r="N602" t="inlineStr">
        <is>
          <t>2026-08-10T19:29:54Z</t>
        </is>
      </c>
      <c r="O602" t="inlineStr">
        <is>
          <t>2026-08-10T19:29:54Z</t>
        </is>
      </c>
    </row>
    <row r="603">
      <c r="A603" s="19" t="inlineStr">
        <is>
          <t>602</t>
        </is>
      </c>
      <c r="B603" s="19" t="inlineStr">
        <is>
          <t>1012334</t>
        </is>
      </c>
      <c r="C603" t="inlineStr">
        <is>
          <t>AKÜ,LB3,DK,75AH,IGYASMF,İNCİ SUPRA,METRA</t>
        </is>
      </c>
      <c r="D603" s="19" t="inlineStr">
        <is>
          <t>1</t>
        </is>
      </c>
      <c r="E603" t="n">
        <v>0</v>
      </c>
      <c r="I603" s="19" t="inlineStr">
        <is>
          <t>2</t>
        </is>
      </c>
      <c r="J603" t="inlineStr">
        <is>
          <t>2026-08-08</t>
        </is>
      </c>
      <c r="L603" s="19" t="inlineStr">
        <is>
          <t>1012334</t>
        </is>
      </c>
      <c r="M603" t="inlineStr">
        <is>
          <t>STATUS=IN OEM / EU PACKAGE; SOURCE_CFG=IA-ST-CFG-0178; MARKET=None</t>
        </is>
      </c>
      <c r="N603" t="inlineStr">
        <is>
          <t>2026-08-10T19:29:54Z</t>
        </is>
      </c>
      <c r="O603" t="inlineStr">
        <is>
          <t>2026-08-10T19:29:54Z</t>
        </is>
      </c>
    </row>
    <row r="604">
      <c r="A604" s="19" t="inlineStr">
        <is>
          <t>603</t>
        </is>
      </c>
      <c r="B604" s="19" t="inlineStr">
        <is>
          <t>1012335</t>
        </is>
      </c>
      <c r="C604" t="inlineStr">
        <is>
          <t>AKÜ,LB3,DK,72AH,IGYSMF,İNCİTAUR,EECMISIR</t>
        </is>
      </c>
      <c r="D604" s="19" t="inlineStr">
        <is>
          <t>1</t>
        </is>
      </c>
      <c r="E604" t="n">
        <v>0</v>
      </c>
      <c r="I604" s="19" t="inlineStr">
        <is>
          <t>2</t>
        </is>
      </c>
      <c r="J604" t="inlineStr">
        <is>
          <t>2026-08-08</t>
        </is>
      </c>
      <c r="L604" s="19" t="inlineStr">
        <is>
          <t>1012335</t>
        </is>
      </c>
      <c r="M604" t="inlineStr">
        <is>
          <t>STATUS=IN OEM / EU PACKAGE; SOURCE_CFG=IA-ST-CFG-0178; MARKET=MISIR EEC</t>
        </is>
      </c>
      <c r="N604" t="inlineStr">
        <is>
          <t>2026-08-10T19:29:54Z</t>
        </is>
      </c>
      <c r="O604" t="inlineStr">
        <is>
          <t>2026-08-10T19:29:54Z</t>
        </is>
      </c>
    </row>
    <row r="605">
      <c r="A605" s="19" t="inlineStr">
        <is>
          <t>604</t>
        </is>
      </c>
      <c r="B605" s="19" t="inlineStr">
        <is>
          <t>1012336</t>
        </is>
      </c>
      <c r="C605" t="inlineStr">
        <is>
          <t>AKÜL1,DK50AH,IGYSMF,GRİSYH,SILVER,SCHNPP</t>
        </is>
      </c>
      <c r="D605" s="19" t="inlineStr">
        <is>
          <t>1</t>
        </is>
      </c>
      <c r="E605" t="n">
        <v>0</v>
      </c>
      <c r="I605" s="19" t="inlineStr">
        <is>
          <t>2</t>
        </is>
      </c>
      <c r="J605" t="inlineStr">
        <is>
          <t>2026-08-08</t>
        </is>
      </c>
      <c r="L605" s="19" t="inlineStr">
        <is>
          <t>1012336</t>
        </is>
      </c>
      <c r="M605" t="inlineStr">
        <is>
          <t>STATUS=IN OEM / EU PACKAGE; SOURCE_CFG=IA-ST-CFG-0249; MARKET=SCHNAPP</t>
        </is>
      </c>
      <c r="N605" t="inlineStr">
        <is>
          <t>2026-08-10T19:29:54Z</t>
        </is>
      </c>
      <c r="O605" t="inlineStr">
        <is>
          <t>2026-08-10T19:29:54Z</t>
        </is>
      </c>
    </row>
    <row r="606">
      <c r="A606" s="19" t="inlineStr">
        <is>
          <t>605</t>
        </is>
      </c>
      <c r="B606" s="19" t="inlineStr">
        <is>
          <t>1012337</t>
        </is>
      </c>
      <c r="C606" t="inlineStr">
        <is>
          <t>AKÜ,LB3,DK,66AH,IGYA SMF,STRONG,SCHNAPP</t>
        </is>
      </c>
      <c r="D606" s="19" t="inlineStr">
        <is>
          <t>1</t>
        </is>
      </c>
      <c r="E606" t="n">
        <v>0</v>
      </c>
      <c r="I606" s="19" t="inlineStr">
        <is>
          <t>2</t>
        </is>
      </c>
      <c r="J606" t="inlineStr">
        <is>
          <t>2026-08-08</t>
        </is>
      </c>
      <c r="L606" s="19" t="inlineStr">
        <is>
          <t>1012337</t>
        </is>
      </c>
      <c r="M606" t="inlineStr">
        <is>
          <t>STATUS=IN OEM / EU PACKAGE; SOURCE_CFG=IA-ST-CFG-0185; MARKET=SCHNAPP</t>
        </is>
      </c>
      <c r="N606" t="inlineStr">
        <is>
          <t>2026-08-10T19:29:54Z</t>
        </is>
      </c>
      <c r="O606" t="inlineStr">
        <is>
          <t>2026-08-10T19:29:54Z</t>
        </is>
      </c>
    </row>
    <row r="607">
      <c r="A607" s="19" t="inlineStr">
        <is>
          <t>606</t>
        </is>
      </c>
      <c r="B607" s="19" t="inlineStr">
        <is>
          <t>1012339</t>
        </is>
      </c>
      <c r="C607" t="inlineStr">
        <is>
          <t>AKÜL1,TK50AH,IGYSMF,GRİSYH,SILVER,SCHNAP</t>
        </is>
      </c>
      <c r="D607" s="19" t="inlineStr">
        <is>
          <t>1</t>
        </is>
      </c>
      <c r="E607" t="n">
        <v>0</v>
      </c>
      <c r="I607" s="19" t="inlineStr">
        <is>
          <t>2</t>
        </is>
      </c>
      <c r="J607" t="inlineStr">
        <is>
          <t>2026-08-08</t>
        </is>
      </c>
      <c r="L607" s="19" t="inlineStr">
        <is>
          <t>1012339</t>
        </is>
      </c>
      <c r="M607" t="inlineStr">
        <is>
          <t>STATUS=IN OEM / EU PACKAGE; SOURCE_CFG=IA-ST-CFG-0249; MARKET=SCHNAPP</t>
        </is>
      </c>
      <c r="N607" t="inlineStr">
        <is>
          <t>2026-08-10T19:29:54Z</t>
        </is>
      </c>
      <c r="O607" t="inlineStr">
        <is>
          <t>2026-08-10T19:29:54Z</t>
        </is>
      </c>
    </row>
    <row r="608">
      <c r="A608" s="19" t="inlineStr">
        <is>
          <t>607</t>
        </is>
      </c>
      <c r="B608" s="19" t="inlineStr">
        <is>
          <t>1012340</t>
        </is>
      </c>
      <c r="C608" t="inlineStr">
        <is>
          <t>AKÜ,LB3,DK,66AH,IGYA SMF,SILVER,SCHNAPP</t>
        </is>
      </c>
      <c r="D608" s="19" t="inlineStr">
        <is>
          <t>1</t>
        </is>
      </c>
      <c r="E608" t="n">
        <v>0</v>
      </c>
      <c r="I608" s="19" t="inlineStr">
        <is>
          <t>2</t>
        </is>
      </c>
      <c r="J608" t="inlineStr">
        <is>
          <t>2026-08-08</t>
        </is>
      </c>
      <c r="L608" s="19" t="inlineStr">
        <is>
          <t>1012340</t>
        </is>
      </c>
      <c r="M608" t="inlineStr">
        <is>
          <t>STATUS=IN OEM / EU PACKAGE; SOURCE_CFG=IA-ST-CFG-0185; MARKET=SCHNAPP</t>
        </is>
      </c>
      <c r="N608" t="inlineStr">
        <is>
          <t>2026-08-10T19:29:54Z</t>
        </is>
      </c>
      <c r="O608" t="inlineStr">
        <is>
          <t>2026-08-10T19:29:54Z</t>
        </is>
      </c>
    </row>
    <row r="609">
      <c r="A609" s="19" t="inlineStr">
        <is>
          <t>608</t>
        </is>
      </c>
      <c r="B609" s="19" t="inlineStr">
        <is>
          <t>1012341</t>
        </is>
      </c>
      <c r="C609" t="inlineStr">
        <is>
          <t>AKÜ,LB4,DK,82AH,IGYASMF,İNCİ FORM TAURUS</t>
        </is>
      </c>
      <c r="D609" s="19" t="inlineStr">
        <is>
          <t>1</t>
        </is>
      </c>
      <c r="E609" t="n">
        <v>0</v>
      </c>
      <c r="I609" s="19" t="inlineStr">
        <is>
          <t>2</t>
        </is>
      </c>
      <c r="J609" t="inlineStr">
        <is>
          <t>2026-08-08</t>
        </is>
      </c>
      <c r="L609" s="19" t="inlineStr">
        <is>
          <t>1012341</t>
        </is>
      </c>
      <c r="M609" t="inlineStr">
        <is>
          <t>STATUS=IN OEM / EU PACKAGE; SOURCE_CFG=IA-ST-CFG-0231; MARKET=None</t>
        </is>
      </c>
      <c r="N609" t="inlineStr">
        <is>
          <t>2026-08-10T19:29:54Z</t>
        </is>
      </c>
      <c r="O609" t="inlineStr">
        <is>
          <t>2026-08-10T19:29:54Z</t>
        </is>
      </c>
    </row>
    <row r="610">
      <c r="A610" s="19" t="inlineStr">
        <is>
          <t>609</t>
        </is>
      </c>
      <c r="B610" s="19" t="inlineStr">
        <is>
          <t>1012342</t>
        </is>
      </c>
      <c r="C610" t="inlineStr">
        <is>
          <t>AKÜ,LB4,DK,80AH,IGYA SMF,EAS ACTIVA</t>
        </is>
      </c>
      <c r="D610" s="19" t="inlineStr">
        <is>
          <t>1</t>
        </is>
      </c>
      <c r="E610" t="n">
        <v>0</v>
      </c>
      <c r="I610" s="19" t="inlineStr">
        <is>
          <t>2</t>
        </is>
      </c>
      <c r="J610" t="inlineStr">
        <is>
          <t>2026-08-08</t>
        </is>
      </c>
      <c r="L610" s="19" t="inlineStr">
        <is>
          <t>1012342</t>
        </is>
      </c>
      <c r="M610" t="inlineStr">
        <is>
          <t>STATUS=IN OEM / EU PACKAGE; SOURCE_CFG=IA-ST-CFG-0231; MARKET=None</t>
        </is>
      </c>
      <c r="N610" t="inlineStr">
        <is>
          <t>2026-08-10T19:29:54Z</t>
        </is>
      </c>
      <c r="O610" t="inlineStr">
        <is>
          <t>2026-08-10T19:29:54Z</t>
        </is>
      </c>
    </row>
    <row r="611">
      <c r="A611" s="19" t="inlineStr">
        <is>
          <t>610</t>
        </is>
      </c>
      <c r="B611" s="19" t="inlineStr">
        <is>
          <t>1012345</t>
        </is>
      </c>
      <c r="C611" t="inlineStr">
        <is>
          <t>AKÜ,LB4,DK,85AH,IGYASMF,İNCİMAXIMADIŞPYS</t>
        </is>
      </c>
      <c r="D611" s="19" t="inlineStr">
        <is>
          <t>1</t>
        </is>
      </c>
      <c r="E611" t="n">
        <v>0</v>
      </c>
      <c r="I611" s="19" t="inlineStr">
        <is>
          <t>2</t>
        </is>
      </c>
      <c r="J611" t="inlineStr">
        <is>
          <t>2026-08-08</t>
        </is>
      </c>
      <c r="L611" s="19" t="inlineStr">
        <is>
          <t>1012345</t>
        </is>
      </c>
      <c r="M611" t="inlineStr">
        <is>
          <t>STATUS=IN OEM / EU PACKAGE; SOURCE_CFG=IA-ST-CFG-0231; MARKET=None</t>
        </is>
      </c>
      <c r="N611" t="inlineStr">
        <is>
          <t>2026-08-10T19:29:54Z</t>
        </is>
      </c>
      <c r="O611" t="inlineStr">
        <is>
          <t>2026-08-10T19:29:54Z</t>
        </is>
      </c>
    </row>
    <row r="612">
      <c r="A612" s="19" t="inlineStr">
        <is>
          <t>611</t>
        </is>
      </c>
      <c r="B612" s="19" t="inlineStr">
        <is>
          <t>1012346</t>
        </is>
      </c>
      <c r="C612" t="inlineStr">
        <is>
          <t>AKÜ,LB4,DK,82AH,IGYASMF,İNCİ FORM TAURUS</t>
        </is>
      </c>
      <c r="D612" s="19" t="inlineStr">
        <is>
          <t>1</t>
        </is>
      </c>
      <c r="E612" t="n">
        <v>0</v>
      </c>
      <c r="I612" s="19" t="inlineStr">
        <is>
          <t>2</t>
        </is>
      </c>
      <c r="J612" t="inlineStr">
        <is>
          <t>2026-08-08</t>
        </is>
      </c>
      <c r="L612" s="19" t="inlineStr">
        <is>
          <t>1012346</t>
        </is>
      </c>
      <c r="M612" t="inlineStr">
        <is>
          <t>STATUS=IN OEM / EU PACKAGE; SOURCE_CFG=IA-ST-CFG-0231; MARKET=None</t>
        </is>
      </c>
      <c r="N612" t="inlineStr">
        <is>
          <t>2026-08-10T19:29:54Z</t>
        </is>
      </c>
      <c r="O612" t="inlineStr">
        <is>
          <t>2026-08-10T19:29:54Z</t>
        </is>
      </c>
    </row>
    <row r="613">
      <c r="A613" s="19" t="inlineStr">
        <is>
          <t>612</t>
        </is>
      </c>
      <c r="B613" s="19" t="inlineStr">
        <is>
          <t>1012348</t>
        </is>
      </c>
      <c r="C613" t="inlineStr">
        <is>
          <t>AKÜ,LB4,DK,80AH,IGYA SMF,SILVER SCHNAP</t>
        </is>
      </c>
      <c r="D613" s="19" t="inlineStr">
        <is>
          <t>1</t>
        </is>
      </c>
      <c r="E613" t="n">
        <v>0</v>
      </c>
      <c r="I613" s="19" t="inlineStr">
        <is>
          <t>2</t>
        </is>
      </c>
      <c r="J613" t="inlineStr">
        <is>
          <t>2026-08-08</t>
        </is>
      </c>
      <c r="L613" s="19" t="inlineStr">
        <is>
          <t>1012348</t>
        </is>
      </c>
      <c r="M613" t="inlineStr">
        <is>
          <t>STATUS=IN OEM / EU PACKAGE; SOURCE_CFG=IA-ST-CFG-0234; MARKET=SCHNAPP</t>
        </is>
      </c>
      <c r="N613" t="inlineStr">
        <is>
          <t>2026-08-10T19:29:54Z</t>
        </is>
      </c>
      <c r="O613" t="inlineStr">
        <is>
          <t>2026-08-10T19:29:54Z</t>
        </is>
      </c>
    </row>
    <row r="614">
      <c r="A614" s="19" t="inlineStr">
        <is>
          <t>613</t>
        </is>
      </c>
      <c r="B614" s="19" t="inlineStr">
        <is>
          <t>1012349</t>
        </is>
      </c>
      <c r="C614" t="inlineStr">
        <is>
          <t>AKÜ,LB4,DK,75AH,IGYA SMF,EFB S&amp;S,SCHNAPP</t>
        </is>
      </c>
      <c r="D614" s="19" t="inlineStr">
        <is>
          <t>1</t>
        </is>
      </c>
      <c r="E614" t="n">
        <v>0</v>
      </c>
      <c r="I614" s="19" t="inlineStr">
        <is>
          <t>2</t>
        </is>
      </c>
      <c r="J614" t="inlineStr">
        <is>
          <t>2026-08-08</t>
        </is>
      </c>
      <c r="L614" s="19" t="inlineStr">
        <is>
          <t>1012349</t>
        </is>
      </c>
      <c r="M614" t="inlineStr">
        <is>
          <t>STATUS=IN OEM / EU PACKAGE; SOURCE_CFG=IA-ST-CFG-0148; MARKET=SCHNAPP</t>
        </is>
      </c>
      <c r="N614" t="inlineStr">
        <is>
          <t>2026-08-10T19:29:54Z</t>
        </is>
      </c>
      <c r="O614" t="inlineStr">
        <is>
          <t>2026-08-10T19:29:54Z</t>
        </is>
      </c>
    </row>
    <row r="615">
      <c r="A615" s="19" t="inlineStr">
        <is>
          <t>614</t>
        </is>
      </c>
      <c r="B615" s="19" t="inlineStr">
        <is>
          <t>1012355</t>
        </is>
      </c>
      <c r="C615" t="inlineStr">
        <is>
          <t>AKUL1,TK50AH,IGYSMF,GRİSYH,STRONG,SCHNPP</t>
        </is>
      </c>
      <c r="D615" s="19" t="inlineStr">
        <is>
          <t>1</t>
        </is>
      </c>
      <c r="E615" t="n">
        <v>0</v>
      </c>
      <c r="I615" s="19" t="inlineStr">
        <is>
          <t>2</t>
        </is>
      </c>
      <c r="J615" t="inlineStr">
        <is>
          <t>2026-08-08</t>
        </is>
      </c>
      <c r="L615" s="19" t="inlineStr">
        <is>
          <t>1012355</t>
        </is>
      </c>
      <c r="M615" t="inlineStr">
        <is>
          <t>STATUS=IN OEM / EU PACKAGE; SOURCE_CFG=IA-ST-CFG-0249; MARKET=SCHNAPP</t>
        </is>
      </c>
      <c r="N615" t="inlineStr">
        <is>
          <t>2026-08-10T19:29:54Z</t>
        </is>
      </c>
      <c r="O615" t="inlineStr">
        <is>
          <t>2026-08-10T19:29:54Z</t>
        </is>
      </c>
    </row>
    <row r="616">
      <c r="A616" s="19" t="inlineStr">
        <is>
          <t>615</t>
        </is>
      </c>
      <c r="B616" s="19" t="inlineStr">
        <is>
          <t>1012364</t>
        </is>
      </c>
      <c r="C616" t="inlineStr">
        <is>
          <t>AKUD31TK95AH,IGYSMF,GRİSYH,SILVER,SCHNPP</t>
        </is>
      </c>
      <c r="D616" s="19" t="inlineStr">
        <is>
          <t>1</t>
        </is>
      </c>
      <c r="E616" t="n">
        <v>0</v>
      </c>
      <c r="I616" s="19" t="inlineStr">
        <is>
          <t>2</t>
        </is>
      </c>
      <c r="J616" t="inlineStr">
        <is>
          <t>2026-08-08</t>
        </is>
      </c>
      <c r="L616" s="19" t="inlineStr">
        <is>
          <t>1012364</t>
        </is>
      </c>
      <c r="M616" t="inlineStr">
        <is>
          <t>STATUS=IN OEM / EU PACKAGE; SOURCE_CFG=IA-ST-CFG-0146; MARKET=SCHNAPP</t>
        </is>
      </c>
      <c r="N616" t="inlineStr">
        <is>
          <t>2026-08-10T19:29:54Z</t>
        </is>
      </c>
      <c r="O616" t="inlineStr">
        <is>
          <t>2026-08-10T19:29:54Z</t>
        </is>
      </c>
    </row>
    <row r="617">
      <c r="A617" s="19" t="inlineStr">
        <is>
          <t>616</t>
        </is>
      </c>
      <c r="B617" s="19" t="inlineStr">
        <is>
          <t>1012365</t>
        </is>
      </c>
      <c r="C617" t="inlineStr">
        <is>
          <t>AKÜ,NS40,TK,42AH,IGYA SMF,HUGEL ULTRA</t>
        </is>
      </c>
      <c r="D617" s="19" t="inlineStr">
        <is>
          <t>1</t>
        </is>
      </c>
      <c r="E617" t="n">
        <v>0</v>
      </c>
      <c r="I617" s="19" t="inlineStr">
        <is>
          <t>2</t>
        </is>
      </c>
      <c r="J617" t="inlineStr">
        <is>
          <t>2026-08-08</t>
        </is>
      </c>
      <c r="L617" s="19" t="inlineStr">
        <is>
          <t>1012365</t>
        </is>
      </c>
      <c r="M617" t="inlineStr">
        <is>
          <t>STATUS=IN OEM / EU PACKAGE; SOURCE_CFG=IA-ST-CFG-0284; MARKET=None</t>
        </is>
      </c>
      <c r="N617" t="inlineStr">
        <is>
          <t>2026-08-10T19:29:54Z</t>
        </is>
      </c>
      <c r="O617" t="inlineStr">
        <is>
          <t>2026-08-10T19:29:54Z</t>
        </is>
      </c>
    </row>
    <row r="618">
      <c r="A618" s="19" t="inlineStr">
        <is>
          <t>617</t>
        </is>
      </c>
      <c r="B618" s="19" t="inlineStr">
        <is>
          <t>1012372</t>
        </is>
      </c>
      <c r="C618" t="inlineStr">
        <is>
          <t>AKÜ,L2,DK,55AH,IGYA SMF,İNCİ SUPRA,METRA</t>
        </is>
      </c>
      <c r="D618" s="19" t="inlineStr">
        <is>
          <t>1</t>
        </is>
      </c>
      <c r="E618" t="n">
        <v>0</v>
      </c>
      <c r="I618" s="19" t="inlineStr">
        <is>
          <t>2</t>
        </is>
      </c>
      <c r="J618" t="inlineStr">
        <is>
          <t>2026-08-08</t>
        </is>
      </c>
      <c r="L618" s="19" t="inlineStr">
        <is>
          <t>1012372</t>
        </is>
      </c>
      <c r="M618" t="inlineStr">
        <is>
          <t>STATUS=IN OEM / EU PACKAGE; SOURCE_CFG=IA-ST-CFG-0222; MARKET=None</t>
        </is>
      </c>
      <c r="N618" t="inlineStr">
        <is>
          <t>2026-08-10T19:29:54Z</t>
        </is>
      </c>
      <c r="O618" t="inlineStr">
        <is>
          <t>2026-08-10T19:29:54Z</t>
        </is>
      </c>
    </row>
    <row r="619">
      <c r="A619" s="19" t="inlineStr">
        <is>
          <t>618</t>
        </is>
      </c>
      <c r="B619" s="19" t="inlineStr">
        <is>
          <t>1012379</t>
        </is>
      </c>
      <c r="C619" t="inlineStr">
        <is>
          <t>AKÜL2,DK55AH,IGYSMF,GRİSYH,STRONG,SCHNAP</t>
        </is>
      </c>
      <c r="D619" s="19" t="inlineStr">
        <is>
          <t>1</t>
        </is>
      </c>
      <c r="E619" t="n">
        <v>0</v>
      </c>
      <c r="I619" s="19" t="inlineStr">
        <is>
          <t>2</t>
        </is>
      </c>
      <c r="J619" t="inlineStr">
        <is>
          <t>2026-08-08</t>
        </is>
      </c>
      <c r="L619" s="19" t="inlineStr">
        <is>
          <t>1012379</t>
        </is>
      </c>
      <c r="M619" t="inlineStr">
        <is>
          <t>STATUS=IN OEM / EU PACKAGE; SOURCE_CFG=IA-ST-CFG-0230; MARKET=SCHNAPP</t>
        </is>
      </c>
      <c r="N619" t="inlineStr">
        <is>
          <t>2026-08-10T19:29:54Z</t>
        </is>
      </c>
      <c r="O619" t="inlineStr">
        <is>
          <t>2026-08-10T19:29:54Z</t>
        </is>
      </c>
    </row>
    <row r="620">
      <c r="A620" s="19" t="inlineStr">
        <is>
          <t>619</t>
        </is>
      </c>
      <c r="B620" s="19" t="inlineStr">
        <is>
          <t>1012382</t>
        </is>
      </c>
      <c r="C620" t="inlineStr">
        <is>
          <t>AKÜL2,TK55AH,IGYSMF,GRİSYH,STRONG,SCHNAP</t>
        </is>
      </c>
      <c r="D620" s="19" t="inlineStr">
        <is>
          <t>1</t>
        </is>
      </c>
      <c r="E620" t="n">
        <v>0</v>
      </c>
      <c r="I620" s="19" t="inlineStr">
        <is>
          <t>2</t>
        </is>
      </c>
      <c r="J620" t="inlineStr">
        <is>
          <t>2026-08-08</t>
        </is>
      </c>
      <c r="L620" s="19" t="inlineStr">
        <is>
          <t>1012382</t>
        </is>
      </c>
      <c r="M620" t="inlineStr">
        <is>
          <t>STATUS=IN OEM / EU PACKAGE; SOURCE_CFG=IA-ST-CFG-0230; MARKET=SCHNAPP</t>
        </is>
      </c>
      <c r="N620" t="inlineStr">
        <is>
          <t>2026-08-10T19:29:54Z</t>
        </is>
      </c>
      <c r="O620" t="inlineStr">
        <is>
          <t>2026-08-10T19:29:54Z</t>
        </is>
      </c>
    </row>
    <row r="621">
      <c r="A621" s="19" t="inlineStr">
        <is>
          <t>620</t>
        </is>
      </c>
      <c r="B621" s="19" t="inlineStr">
        <is>
          <t>1012383</t>
        </is>
      </c>
      <c r="C621" t="inlineStr">
        <is>
          <t>AKÜL2,DK55AH,IGYSMF,GRİSYH,SILVER,SCHNAP</t>
        </is>
      </c>
      <c r="D621" s="19" t="inlineStr">
        <is>
          <t>1</t>
        </is>
      </c>
      <c r="E621" t="n">
        <v>0</v>
      </c>
      <c r="I621" s="19" t="inlineStr">
        <is>
          <t>2</t>
        </is>
      </c>
      <c r="J621" t="inlineStr">
        <is>
          <t>2026-08-08</t>
        </is>
      </c>
      <c r="L621" s="19" t="inlineStr">
        <is>
          <t>1012383</t>
        </is>
      </c>
      <c r="M621" t="inlineStr">
        <is>
          <t>STATUS=IN OEM / EU PACKAGE; SOURCE_CFG=IA-ST-CFG-0230; MARKET=SCHNAPP</t>
        </is>
      </c>
      <c r="N621" t="inlineStr">
        <is>
          <t>2026-08-10T19:29:54Z</t>
        </is>
      </c>
      <c r="O621" t="inlineStr">
        <is>
          <t>2026-08-10T19:29:54Z</t>
        </is>
      </c>
    </row>
    <row r="622">
      <c r="A622" s="19" t="inlineStr">
        <is>
          <t>621</t>
        </is>
      </c>
      <c r="B622" s="19" t="inlineStr">
        <is>
          <t>1012386</t>
        </is>
      </c>
      <c r="C622" t="inlineStr">
        <is>
          <t>AKÜL2,TK55AH,IGYSMF,GRİSYH,SILVER,SCHNAP</t>
        </is>
      </c>
      <c r="D622" s="19" t="inlineStr">
        <is>
          <t>1</t>
        </is>
      </c>
      <c r="E622" t="n">
        <v>0</v>
      </c>
      <c r="I622" s="19" t="inlineStr">
        <is>
          <t>2</t>
        </is>
      </c>
      <c r="J622" t="inlineStr">
        <is>
          <t>2026-08-08</t>
        </is>
      </c>
      <c r="L622" s="19" t="inlineStr">
        <is>
          <t>1012386</t>
        </is>
      </c>
      <c r="M622" t="inlineStr">
        <is>
          <t>STATUS=IN OEM / EU PACKAGE; SOURCE_CFG=IA-ST-CFG-0230; MARKET=SCHNAPP</t>
        </is>
      </c>
      <c r="N622" t="inlineStr">
        <is>
          <t>2026-08-10T19:29:54Z</t>
        </is>
      </c>
      <c r="O622" t="inlineStr">
        <is>
          <t>2026-08-10T19:29:54Z</t>
        </is>
      </c>
    </row>
    <row r="623">
      <c r="A623" s="19" t="inlineStr">
        <is>
          <t>622</t>
        </is>
      </c>
      <c r="B623" s="19" t="inlineStr">
        <is>
          <t>1012389</t>
        </is>
      </c>
      <c r="C623" t="inlineStr">
        <is>
          <t>AKÜL2,DK62AH,IGYSMF,GRİSYH,SILVER,SCHNAP</t>
        </is>
      </c>
      <c r="D623" s="19" t="inlineStr">
        <is>
          <t>1</t>
        </is>
      </c>
      <c r="E623" t="n">
        <v>0</v>
      </c>
      <c r="I623" s="19" t="inlineStr">
        <is>
          <t>2</t>
        </is>
      </c>
      <c r="J623" t="inlineStr">
        <is>
          <t>2026-08-08</t>
        </is>
      </c>
      <c r="L623" s="19" t="inlineStr">
        <is>
          <t>1012389</t>
        </is>
      </c>
      <c r="M623" t="inlineStr">
        <is>
          <t>STATUS=IN OEM / EU PACKAGE; SOURCE_CFG=IA-ST-CFG-0230; MARKET=SCHNAPP</t>
        </is>
      </c>
      <c r="N623" t="inlineStr">
        <is>
          <t>2026-08-10T19:29:54Z</t>
        </is>
      </c>
      <c r="O623" t="inlineStr">
        <is>
          <t>2026-08-10T19:29:54Z</t>
        </is>
      </c>
    </row>
    <row r="624">
      <c r="A624" s="19" t="inlineStr">
        <is>
          <t>623</t>
        </is>
      </c>
      <c r="B624" s="19" t="inlineStr">
        <is>
          <t>1012391</t>
        </is>
      </c>
      <c r="C624" t="inlineStr">
        <is>
          <t>AKÜL2,DK62AH,IGYSMF,GRİSYH,STRONG,SCHNAP</t>
        </is>
      </c>
      <c r="D624" s="19" t="inlineStr">
        <is>
          <t>1</t>
        </is>
      </c>
      <c r="E624" t="n">
        <v>0</v>
      </c>
      <c r="I624" s="19" t="inlineStr">
        <is>
          <t>2</t>
        </is>
      </c>
      <c r="J624" t="inlineStr">
        <is>
          <t>2026-08-08</t>
        </is>
      </c>
      <c r="L624" s="19" t="inlineStr">
        <is>
          <t>1012391</t>
        </is>
      </c>
      <c r="M624" t="inlineStr">
        <is>
          <t>STATUS=IN OEM / EU PACKAGE; SOURCE_CFG=IA-ST-CFG-0230; MARKET=SCHNAPP</t>
        </is>
      </c>
      <c r="N624" t="inlineStr">
        <is>
          <t>2026-08-10T19:29:54Z</t>
        </is>
      </c>
      <c r="O624" t="inlineStr">
        <is>
          <t>2026-08-10T19:29:54Z</t>
        </is>
      </c>
    </row>
    <row r="625">
      <c r="A625" s="19" t="inlineStr">
        <is>
          <t>624</t>
        </is>
      </c>
      <c r="B625" s="19" t="inlineStr">
        <is>
          <t>1012392</t>
        </is>
      </c>
      <c r="C625" t="inlineStr">
        <is>
          <t>AKÜL2,TK62AH,IGYSMF,GRİSYH,STRONG,SCHNAP</t>
        </is>
      </c>
      <c r="D625" s="19" t="inlineStr">
        <is>
          <t>1</t>
        </is>
      </c>
      <c r="E625" t="n">
        <v>0</v>
      </c>
      <c r="I625" s="19" t="inlineStr">
        <is>
          <t>2</t>
        </is>
      </c>
      <c r="J625" t="inlineStr">
        <is>
          <t>2026-08-08</t>
        </is>
      </c>
      <c r="L625" s="19" t="inlineStr">
        <is>
          <t>1012392</t>
        </is>
      </c>
      <c r="M625" t="inlineStr">
        <is>
          <t>STATUS=IN OEM / EU PACKAGE; SOURCE_CFG=IA-ST-CFG-0230; MARKET=SCHNAPP</t>
        </is>
      </c>
      <c r="N625" t="inlineStr">
        <is>
          <t>2026-08-10T19:29:54Z</t>
        </is>
      </c>
      <c r="O625" t="inlineStr">
        <is>
          <t>2026-08-10T19:29:54Z</t>
        </is>
      </c>
    </row>
    <row r="626">
      <c r="A626" s="19" t="inlineStr">
        <is>
          <t>625</t>
        </is>
      </c>
      <c r="B626" s="19" t="inlineStr">
        <is>
          <t>1012394</t>
        </is>
      </c>
      <c r="C626" t="inlineStr">
        <is>
          <t>AKÜ,L2,DK,60AH,IGYA SMF,EFB S&amp;S,SCHNAPP</t>
        </is>
      </c>
      <c r="D626" s="19" t="inlineStr">
        <is>
          <t>1</t>
        </is>
      </c>
      <c r="E626" t="n">
        <v>0</v>
      </c>
      <c r="I626" s="19" t="inlineStr">
        <is>
          <t>2</t>
        </is>
      </c>
      <c r="J626" t="inlineStr">
        <is>
          <t>2026-08-08</t>
        </is>
      </c>
      <c r="L626" s="19" t="inlineStr">
        <is>
          <t>1012394</t>
        </is>
      </c>
      <c r="M626" t="inlineStr">
        <is>
          <t>STATUS=IN OEM / EU PACKAGE; SOURCE_CFG=IA-ST-CFG-0230; MARKET=SCHNAPP</t>
        </is>
      </c>
      <c r="N626" t="inlineStr">
        <is>
          <t>2026-08-10T19:29:54Z</t>
        </is>
      </c>
      <c r="O626" t="inlineStr">
        <is>
          <t>2026-08-10T19:29:54Z</t>
        </is>
      </c>
    </row>
    <row r="627">
      <c r="A627" s="19" t="inlineStr">
        <is>
          <t>626</t>
        </is>
      </c>
      <c r="B627" s="19" t="inlineStr">
        <is>
          <t>1012396</t>
        </is>
      </c>
      <c r="C627" t="inlineStr">
        <is>
          <t>AKÜ,L4,DK,82AH,IGYA,NONAME,94R-860,HYTEC</t>
        </is>
      </c>
      <c r="D627" s="19" t="inlineStr">
        <is>
          <t>1</t>
        </is>
      </c>
      <c r="E627" t="n">
        <v>0</v>
      </c>
      <c r="I627" s="19" t="inlineStr">
        <is>
          <t>2</t>
        </is>
      </c>
      <c r="J627" t="inlineStr">
        <is>
          <t>2026-08-08</t>
        </is>
      </c>
      <c r="L627" s="19" t="inlineStr">
        <is>
          <t>1012396</t>
        </is>
      </c>
      <c r="M627" t="inlineStr">
        <is>
          <t>STATUS=IN OEM / EU PACKAGE; SOURCE_CFG=IA-ST-CFG-0232; MARKET=HYTEC AUTO AMERİKA</t>
        </is>
      </c>
      <c r="N627" t="inlineStr">
        <is>
          <t>2026-08-10T19:29:54Z</t>
        </is>
      </c>
      <c r="O627" t="inlineStr">
        <is>
          <t>2026-08-10T19:29:54Z</t>
        </is>
      </c>
    </row>
    <row r="628">
      <c r="A628" s="19" t="inlineStr">
        <is>
          <t>627</t>
        </is>
      </c>
      <c r="B628" s="19" t="inlineStr">
        <is>
          <t>1012404</t>
        </is>
      </c>
      <c r="C628" t="inlineStr">
        <is>
          <t>AKÜ,L5,DK,100AH,IGYA SMF,EAS EFB S&amp;S</t>
        </is>
      </c>
      <c r="D628" s="19" t="inlineStr">
        <is>
          <t>1</t>
        </is>
      </c>
      <c r="E628" t="n">
        <v>0</v>
      </c>
      <c r="I628" s="19" t="inlineStr">
        <is>
          <t>2</t>
        </is>
      </c>
      <c r="J628" t="inlineStr">
        <is>
          <t>2026-08-08</t>
        </is>
      </c>
      <c r="L628" s="19" t="inlineStr">
        <is>
          <t>1012404</t>
        </is>
      </c>
      <c r="M628" t="inlineStr">
        <is>
          <t>STATUS=IN OEM / EU PACKAGE; SOURCE_CFG=IA-ST-CFG-0096; MARKET=None</t>
        </is>
      </c>
      <c r="N628" t="inlineStr">
        <is>
          <t>2026-08-10T19:29:54Z</t>
        </is>
      </c>
      <c r="O628" t="inlineStr">
        <is>
          <t>2026-08-10T19:29:54Z</t>
        </is>
      </c>
    </row>
    <row r="629">
      <c r="A629" s="19" t="inlineStr">
        <is>
          <t>628</t>
        </is>
      </c>
      <c r="B629" s="19" t="inlineStr">
        <is>
          <t>1012405</t>
        </is>
      </c>
      <c r="C629" t="inlineStr">
        <is>
          <t>AKÜ,L5,DK,100AH,IGYA SMF,HUGEL EFB S&amp;S</t>
        </is>
      </c>
      <c r="D629" s="19" t="inlineStr">
        <is>
          <t>1</t>
        </is>
      </c>
      <c r="E629" t="n">
        <v>0</v>
      </c>
      <c r="I629" s="19" t="inlineStr">
        <is>
          <t>2</t>
        </is>
      </c>
      <c r="J629" t="inlineStr">
        <is>
          <t>2026-08-08</t>
        </is>
      </c>
      <c r="L629" s="19" t="inlineStr">
        <is>
          <t>1012405</t>
        </is>
      </c>
      <c r="M629" t="inlineStr">
        <is>
          <t>STATUS=IN OEM / EU PACKAGE; SOURCE_CFG=IA-ST-CFG-0096; MARKET=None</t>
        </is>
      </c>
      <c r="N629" t="inlineStr">
        <is>
          <t>2026-08-10T19:29:54Z</t>
        </is>
      </c>
      <c r="O629" t="inlineStr">
        <is>
          <t>2026-08-10T19:29:54Z</t>
        </is>
      </c>
    </row>
    <row r="630">
      <c r="A630" s="19" t="inlineStr">
        <is>
          <t>629</t>
        </is>
      </c>
      <c r="B630" s="19" t="inlineStr">
        <is>
          <t>1012407</t>
        </is>
      </c>
      <c r="C630" t="inlineStr">
        <is>
          <t>AKÜ,L5,DK100AH,IGYASMF,BLIZZARS&amp;S,JANENE</t>
        </is>
      </c>
      <c r="D630" s="19" t="inlineStr">
        <is>
          <t>1</t>
        </is>
      </c>
      <c r="E630" t="n">
        <v>0</v>
      </c>
      <c r="I630" s="19" t="inlineStr">
        <is>
          <t>2</t>
        </is>
      </c>
      <c r="J630" t="inlineStr">
        <is>
          <t>2026-08-08</t>
        </is>
      </c>
      <c r="L630" s="19" t="inlineStr">
        <is>
          <t>1012407</t>
        </is>
      </c>
      <c r="M630" t="inlineStr">
        <is>
          <t>STATUS=IN OEM / EU PACKAGE; SOURCE_CFG=IA-ST-CFG-0096; MARKET=JANENE İSRAİL</t>
        </is>
      </c>
      <c r="N630" t="inlineStr">
        <is>
          <t>2026-08-10T19:29:54Z</t>
        </is>
      </c>
      <c r="O630" t="inlineStr">
        <is>
          <t>2026-08-10T19:29:54Z</t>
        </is>
      </c>
    </row>
    <row r="631">
      <c r="A631" s="19" t="inlineStr">
        <is>
          <t>630</t>
        </is>
      </c>
      <c r="B631" s="19" t="inlineStr">
        <is>
          <t>1012408</t>
        </is>
      </c>
      <c r="C631" t="inlineStr">
        <is>
          <t>AKÜ,L5,DK,100AH,IGYASMF,BLIZZARO EFB S&amp;S</t>
        </is>
      </c>
      <c r="D631" s="19" t="inlineStr">
        <is>
          <t>1</t>
        </is>
      </c>
      <c r="E631" t="n">
        <v>0</v>
      </c>
      <c r="I631" s="19" t="inlineStr">
        <is>
          <t>2</t>
        </is>
      </c>
      <c r="J631" t="inlineStr">
        <is>
          <t>2026-08-08</t>
        </is>
      </c>
      <c r="L631" s="19" t="inlineStr">
        <is>
          <t>1012408</t>
        </is>
      </c>
      <c r="M631" t="inlineStr">
        <is>
          <t>STATUS=IN OEM / EU PACKAGE; SOURCE_CFG=IA-ST-CFG-0096; MARKET=None</t>
        </is>
      </c>
      <c r="N631" t="inlineStr">
        <is>
          <t>2026-08-10T19:29:54Z</t>
        </is>
      </c>
      <c r="O631" t="inlineStr">
        <is>
          <t>2026-08-10T19:29:54Z</t>
        </is>
      </c>
    </row>
    <row r="632">
      <c r="A632" s="19" t="inlineStr">
        <is>
          <t>631</t>
        </is>
      </c>
      <c r="B632" s="19" t="inlineStr">
        <is>
          <t>1012413</t>
        </is>
      </c>
      <c r="C632" t="inlineStr">
        <is>
          <t>AKÜ,L3,DK,66AH,IGYA SMF,İNCİ FORM TAURUS</t>
        </is>
      </c>
      <c r="D632" s="19" t="inlineStr">
        <is>
          <t>1</t>
        </is>
      </c>
      <c r="E632" t="n">
        <v>0</v>
      </c>
      <c r="I632" s="19" t="inlineStr">
        <is>
          <t>2</t>
        </is>
      </c>
      <c r="J632" t="inlineStr">
        <is>
          <t>2026-08-08</t>
        </is>
      </c>
      <c r="L632" s="19" t="inlineStr">
        <is>
          <t>1012413</t>
        </is>
      </c>
      <c r="M632" t="inlineStr">
        <is>
          <t>STATUS=IN OEM / EU PACKAGE; SOURCE_CFG=IA-ST-CFG-0179; MARKET=None</t>
        </is>
      </c>
      <c r="N632" t="inlineStr">
        <is>
          <t>2026-08-10T19:29:54Z</t>
        </is>
      </c>
      <c r="O632" t="inlineStr">
        <is>
          <t>2026-08-10T19:29:54Z</t>
        </is>
      </c>
    </row>
    <row r="633">
      <c r="A633" s="19" t="inlineStr">
        <is>
          <t>632</t>
        </is>
      </c>
      <c r="B633" s="19" t="inlineStr">
        <is>
          <t>1012414</t>
        </is>
      </c>
      <c r="C633" t="inlineStr">
        <is>
          <t>AKÜL3,DK,75AH,IGYSMF,BLIZZAROTREND,METRA</t>
        </is>
      </c>
      <c r="D633" s="19" t="inlineStr">
        <is>
          <t>1</t>
        </is>
      </c>
      <c r="E633" t="n">
        <v>0</v>
      </c>
      <c r="I633" s="19" t="inlineStr">
        <is>
          <t>2</t>
        </is>
      </c>
      <c r="J633" t="inlineStr">
        <is>
          <t>2026-08-08</t>
        </is>
      </c>
      <c r="L633" s="19" t="inlineStr">
        <is>
          <t>1012414</t>
        </is>
      </c>
      <c r="M633" t="inlineStr">
        <is>
          <t>STATUS=IN OEM / EU PACKAGE; SOURCE_CFG=IA-ST-CFG-0179; MARKET=None</t>
        </is>
      </c>
      <c r="N633" t="inlineStr">
        <is>
          <t>2026-08-10T19:29:54Z</t>
        </is>
      </c>
      <c r="O633" t="inlineStr">
        <is>
          <t>2026-08-10T19:29:54Z</t>
        </is>
      </c>
    </row>
    <row r="634">
      <c r="A634" s="19" t="inlineStr">
        <is>
          <t>633</t>
        </is>
      </c>
      <c r="B634" s="19" t="inlineStr">
        <is>
          <t>1012416</t>
        </is>
      </c>
      <c r="C634" t="inlineStr">
        <is>
          <t>AKÜ,L3,DK,80AH,IGYSMF,İNCİMAXIMA,DIŞ PYS</t>
        </is>
      </c>
      <c r="D634" s="19" t="inlineStr">
        <is>
          <t>1</t>
        </is>
      </c>
      <c r="E634" t="n">
        <v>0</v>
      </c>
      <c r="I634" s="19" t="inlineStr">
        <is>
          <t>2</t>
        </is>
      </c>
      <c r="J634" t="inlineStr">
        <is>
          <t>2026-08-08</t>
        </is>
      </c>
      <c r="L634" s="19" t="inlineStr">
        <is>
          <t>1012416</t>
        </is>
      </c>
      <c r="M634" t="inlineStr">
        <is>
          <t>STATUS=IN OEM / EU PACKAGE; SOURCE_CFG=IA-ST-CFG-0179; MARKET=None</t>
        </is>
      </c>
      <c r="N634" t="inlineStr">
        <is>
          <t>2026-08-10T19:29:54Z</t>
        </is>
      </c>
      <c r="O634" t="inlineStr">
        <is>
          <t>2026-08-10T19:29:54Z</t>
        </is>
      </c>
    </row>
    <row r="635">
      <c r="A635" s="19" t="inlineStr">
        <is>
          <t>634</t>
        </is>
      </c>
      <c r="B635" s="19" t="inlineStr">
        <is>
          <t>1012417</t>
        </is>
      </c>
      <c r="C635" t="inlineStr">
        <is>
          <t>AKÜ,L3,TK,75AH,IGYSMF,İNCİ SUPRA,METRA</t>
        </is>
      </c>
      <c r="D635" s="19" t="inlineStr">
        <is>
          <t>1</t>
        </is>
      </c>
      <c r="E635" t="n">
        <v>0</v>
      </c>
      <c r="I635" s="19" t="inlineStr">
        <is>
          <t>2</t>
        </is>
      </c>
      <c r="J635" t="inlineStr">
        <is>
          <t>2026-08-08</t>
        </is>
      </c>
      <c r="L635" s="19" t="inlineStr">
        <is>
          <t>1012417</t>
        </is>
      </c>
      <c r="M635" t="inlineStr">
        <is>
          <t>STATUS=IN OEM / EU PACKAGE; SOURCE_CFG=IA-ST-CFG-0179; MARKET=None</t>
        </is>
      </c>
      <c r="N635" t="inlineStr">
        <is>
          <t>2026-08-10T19:29:54Z</t>
        </is>
      </c>
      <c r="O635" t="inlineStr">
        <is>
          <t>2026-08-10T19:29:54Z</t>
        </is>
      </c>
    </row>
    <row r="636">
      <c r="A636" s="19" t="inlineStr">
        <is>
          <t>635</t>
        </is>
      </c>
      <c r="B636" s="19" t="inlineStr">
        <is>
          <t>1012418</t>
        </is>
      </c>
      <c r="C636" t="inlineStr">
        <is>
          <t>AKÜ,L3,DK,75AH,IGYSMF,İNCİ SUPRA,METRA</t>
        </is>
      </c>
      <c r="D636" s="19" t="inlineStr">
        <is>
          <t>1</t>
        </is>
      </c>
      <c r="E636" t="n">
        <v>0</v>
      </c>
      <c r="I636" s="19" t="inlineStr">
        <is>
          <t>2</t>
        </is>
      </c>
      <c r="J636" t="inlineStr">
        <is>
          <t>2026-08-08</t>
        </is>
      </c>
      <c r="L636" s="19" t="inlineStr">
        <is>
          <t>1012418</t>
        </is>
      </c>
      <c r="M636" t="inlineStr">
        <is>
          <t>STATUS=IN OEM / EU PACKAGE; SOURCE_CFG=IA-ST-CFG-0179; MARKET=None</t>
        </is>
      </c>
      <c r="N636" t="inlineStr">
        <is>
          <t>2026-08-10T19:29:54Z</t>
        </is>
      </c>
      <c r="O636" t="inlineStr">
        <is>
          <t>2026-08-10T19:29:54Z</t>
        </is>
      </c>
    </row>
    <row r="637">
      <c r="A637" s="19" t="inlineStr">
        <is>
          <t>636</t>
        </is>
      </c>
      <c r="B637" s="19" t="inlineStr">
        <is>
          <t>1012425</t>
        </is>
      </c>
      <c r="C637" t="inlineStr">
        <is>
          <t>AKÜ,L3,DK72AH,IGYSMF,GRİSYH,SILVR,SCHNAP</t>
        </is>
      </c>
      <c r="D637" s="19" t="inlineStr">
        <is>
          <t>1</t>
        </is>
      </c>
      <c r="E637" t="n">
        <v>0</v>
      </c>
      <c r="I637" s="19" t="inlineStr">
        <is>
          <t>2</t>
        </is>
      </c>
      <c r="J637" t="inlineStr">
        <is>
          <t>2026-08-08</t>
        </is>
      </c>
      <c r="L637" s="19" t="inlineStr">
        <is>
          <t>1012425</t>
        </is>
      </c>
      <c r="M637" t="inlineStr">
        <is>
          <t>STATUS=IN OEM / EU PACKAGE; SOURCE_CFG=IA-ST-CFG-0185; MARKET=SCHNAPP</t>
        </is>
      </c>
      <c r="N637" t="inlineStr">
        <is>
          <t>2026-08-10T19:29:54Z</t>
        </is>
      </c>
      <c r="O637" t="inlineStr">
        <is>
          <t>2026-08-10T19:29:54Z</t>
        </is>
      </c>
    </row>
    <row r="638">
      <c r="A638" s="19" t="inlineStr">
        <is>
          <t>637</t>
        </is>
      </c>
      <c r="B638" s="19" t="inlineStr">
        <is>
          <t>1012426</t>
        </is>
      </c>
      <c r="C638" t="inlineStr">
        <is>
          <t>AKÜ,L3,DK72AH,IGYSMF,GRİSYH,STRONG,SCHNP</t>
        </is>
      </c>
      <c r="D638" s="19" t="inlineStr">
        <is>
          <t>1</t>
        </is>
      </c>
      <c r="E638" t="n">
        <v>0</v>
      </c>
      <c r="I638" s="19" t="inlineStr">
        <is>
          <t>2</t>
        </is>
      </c>
      <c r="J638" t="inlineStr">
        <is>
          <t>2026-08-08</t>
        </is>
      </c>
      <c r="L638" s="19" t="inlineStr">
        <is>
          <t>1012426</t>
        </is>
      </c>
      <c r="M638" t="inlineStr">
        <is>
          <t>STATUS=IN OEM / EU PACKAGE; SOURCE_CFG=IA-ST-CFG-0185; MARKET=SCHNAPP</t>
        </is>
      </c>
      <c r="N638" t="inlineStr">
        <is>
          <t>2026-08-10T19:29:54Z</t>
        </is>
      </c>
      <c r="O638" t="inlineStr">
        <is>
          <t>2026-08-10T19:29:54Z</t>
        </is>
      </c>
    </row>
    <row r="639">
      <c r="A639" s="19" t="inlineStr">
        <is>
          <t>638</t>
        </is>
      </c>
      <c r="B639" s="19" t="inlineStr">
        <is>
          <t>1012428</t>
        </is>
      </c>
      <c r="C639" t="inlineStr">
        <is>
          <t>AKÜ,L3,DK,70AH,IGYA SMF,EFB S&amp;S,SCHNAPP</t>
        </is>
      </c>
      <c r="D639" s="19" t="inlineStr">
        <is>
          <t>1</t>
        </is>
      </c>
      <c r="E639" t="n">
        <v>0</v>
      </c>
      <c r="I639" s="19" t="inlineStr">
        <is>
          <t>2</t>
        </is>
      </c>
      <c r="J639" t="inlineStr">
        <is>
          <t>2026-08-08</t>
        </is>
      </c>
      <c r="L639" s="19" t="inlineStr">
        <is>
          <t>1012428</t>
        </is>
      </c>
      <c r="M639" t="inlineStr">
        <is>
          <t>STATUS=IN OEM / EU PACKAGE; SOURCE_CFG=IA-ST-CFG-0185; MARKET=SCHNAPP</t>
        </is>
      </c>
      <c r="N639" t="inlineStr">
        <is>
          <t>2026-08-10T19:29:54Z</t>
        </is>
      </c>
      <c r="O639" t="inlineStr">
        <is>
          <t>2026-08-10T19:29:54Z</t>
        </is>
      </c>
    </row>
    <row r="640">
      <c r="A640" s="19" t="inlineStr">
        <is>
          <t>639</t>
        </is>
      </c>
      <c r="B640" s="19" t="inlineStr">
        <is>
          <t>1012429</t>
        </is>
      </c>
      <c r="C640" t="inlineStr">
        <is>
          <t>AKÜ,L3,TK72AH,IGYSMF,GRİSYH,STRONG,SCHNP</t>
        </is>
      </c>
      <c r="D640" s="19" t="inlineStr">
        <is>
          <t>1</t>
        </is>
      </c>
      <c r="E640" t="n">
        <v>0</v>
      </c>
      <c r="I640" s="19" t="inlineStr">
        <is>
          <t>2</t>
        </is>
      </c>
      <c r="J640" t="inlineStr">
        <is>
          <t>2026-08-08</t>
        </is>
      </c>
      <c r="L640" s="19" t="inlineStr">
        <is>
          <t>1012429</t>
        </is>
      </c>
      <c r="M640" t="inlineStr">
        <is>
          <t>STATUS=IN OEM / EU PACKAGE; SOURCE_CFG=IA-ST-CFG-0185; MARKET=SCHNAPP</t>
        </is>
      </c>
      <c r="N640" t="inlineStr">
        <is>
          <t>2026-08-10T19:29:54Z</t>
        </is>
      </c>
      <c r="O640" t="inlineStr">
        <is>
          <t>2026-08-10T19:29:54Z</t>
        </is>
      </c>
    </row>
    <row r="641">
      <c r="A641" s="19" t="inlineStr">
        <is>
          <t>640</t>
        </is>
      </c>
      <c r="B641" s="19" t="inlineStr">
        <is>
          <t>1012431</t>
        </is>
      </c>
      <c r="C641" t="inlineStr">
        <is>
          <t>AKÜ,L4,DK,90AH,IGYSMF,İNCİMAXIMA,DIŞ PYS</t>
        </is>
      </c>
      <c r="D641" s="19" t="inlineStr">
        <is>
          <t>1</t>
        </is>
      </c>
      <c r="E641" t="n">
        <v>0</v>
      </c>
      <c r="I641" s="19" t="inlineStr">
        <is>
          <t>2</t>
        </is>
      </c>
      <c r="J641" t="inlineStr">
        <is>
          <t>2026-08-08</t>
        </is>
      </c>
      <c r="L641" s="19" t="inlineStr">
        <is>
          <t>1012431</t>
        </is>
      </c>
      <c r="M641" t="inlineStr">
        <is>
          <t>STATUS=IN OEM / EU PACKAGE; SOURCE_CFG=IA-ST-CFG-0231; MARKET=None</t>
        </is>
      </c>
      <c r="N641" t="inlineStr">
        <is>
          <t>2026-08-10T19:29:54Z</t>
        </is>
      </c>
      <c r="O641" t="inlineStr">
        <is>
          <t>2026-08-10T19:29:54Z</t>
        </is>
      </c>
    </row>
    <row r="642">
      <c r="A642" s="19" t="inlineStr">
        <is>
          <t>641</t>
        </is>
      </c>
      <c r="B642" s="19" t="inlineStr">
        <is>
          <t>1012432</t>
        </is>
      </c>
      <c r="C642" t="inlineStr">
        <is>
          <t>AKÜ AGM,L2,DK,60AH,İNCİ AGM LEO,İÇ PYS</t>
        </is>
      </c>
      <c r="D642" s="19" t="inlineStr">
        <is>
          <t>1</t>
        </is>
      </c>
      <c r="E642" t="n">
        <v>0</v>
      </c>
      <c r="I642" s="19" t="inlineStr">
        <is>
          <t>2</t>
        </is>
      </c>
      <c r="J642" t="inlineStr">
        <is>
          <t>2026-08-08</t>
        </is>
      </c>
      <c r="L642" s="19" t="inlineStr">
        <is>
          <t>1012432</t>
        </is>
      </c>
      <c r="M642" t="inlineStr">
        <is>
          <t>STATUS=IN OEM / EU PACKAGE; SOURCE_CFG=IA-ST-CFG-0238; MARKET=YURT İÇİ AFM</t>
        </is>
      </c>
      <c r="N642" t="inlineStr">
        <is>
          <t>2026-08-10T19:29:54Z</t>
        </is>
      </c>
      <c r="O642" t="inlineStr">
        <is>
          <t>2026-08-10T19:29:54Z</t>
        </is>
      </c>
    </row>
    <row r="643">
      <c r="A643" s="19" t="inlineStr">
        <is>
          <t>642</t>
        </is>
      </c>
      <c r="B643" s="19" t="inlineStr">
        <is>
          <t>1012433</t>
        </is>
      </c>
      <c r="C643" t="inlineStr">
        <is>
          <t>AKÜ AGM,L4,DK,80AH,İNCİ AGM LEO,İÇ PYS</t>
        </is>
      </c>
      <c r="D643" s="19" t="inlineStr">
        <is>
          <t>1</t>
        </is>
      </c>
      <c r="E643" t="n">
        <v>0</v>
      </c>
      <c r="I643" s="19" t="inlineStr">
        <is>
          <t>2</t>
        </is>
      </c>
      <c r="J643" t="inlineStr">
        <is>
          <t>2026-08-08</t>
        </is>
      </c>
      <c r="L643" s="19" t="inlineStr">
        <is>
          <t>1012433</t>
        </is>
      </c>
      <c r="M643" t="inlineStr">
        <is>
          <t>STATUS=IN OEM / EU PACKAGE; SOURCE_CFG=IA-ST-CFG-0150; MARKET=YURT İÇİ AFM</t>
        </is>
      </c>
      <c r="N643" t="inlineStr">
        <is>
          <t>2026-08-10T19:29:54Z</t>
        </is>
      </c>
      <c r="O643" t="inlineStr">
        <is>
          <t>2026-08-10T19:29:54Z</t>
        </is>
      </c>
    </row>
    <row r="644">
      <c r="A644" s="19" t="inlineStr">
        <is>
          <t>643</t>
        </is>
      </c>
      <c r="B644" s="19" t="inlineStr">
        <is>
          <t>1012435</t>
        </is>
      </c>
      <c r="C644" t="inlineStr">
        <is>
          <t>AKÜ,NS60,TK,45AH,IGYA SMF,HUGEL ULTRA</t>
        </is>
      </c>
      <c r="D644" s="19" t="inlineStr">
        <is>
          <t>1</t>
        </is>
      </c>
      <c r="E644" t="n">
        <v>0</v>
      </c>
      <c r="I644" s="19" t="inlineStr">
        <is>
          <t>2</t>
        </is>
      </c>
      <c r="J644" t="inlineStr">
        <is>
          <t>2026-08-08</t>
        </is>
      </c>
      <c r="L644" s="19" t="inlineStr">
        <is>
          <t>1012435</t>
        </is>
      </c>
      <c r="M644" t="inlineStr">
        <is>
          <t>STATUS=IN OEM / EU PACKAGE; SOURCE_CFG=IA-ST-CFG-0272; MARKET=None</t>
        </is>
      </c>
      <c r="N644" t="inlineStr">
        <is>
          <t>2026-08-10T19:29:54Z</t>
        </is>
      </c>
      <c r="O644" t="inlineStr">
        <is>
          <t>2026-08-10T19:29:54Z</t>
        </is>
      </c>
    </row>
    <row r="645">
      <c r="A645" s="19" t="inlineStr">
        <is>
          <t>644</t>
        </is>
      </c>
      <c r="B645" s="19" t="inlineStr">
        <is>
          <t>1012437</t>
        </is>
      </c>
      <c r="C645" t="inlineStr">
        <is>
          <t>AKÜ,NS60,DK,45AH,IGYA SMF,HUGEL ULTRA</t>
        </is>
      </c>
      <c r="D645" s="19" t="inlineStr">
        <is>
          <t>1</t>
        </is>
      </c>
      <c r="E645" t="n">
        <v>0</v>
      </c>
      <c r="I645" s="19" t="inlineStr">
        <is>
          <t>2</t>
        </is>
      </c>
      <c r="J645" t="inlineStr">
        <is>
          <t>2026-08-08</t>
        </is>
      </c>
      <c r="L645" s="19" t="inlineStr">
        <is>
          <t>1012437</t>
        </is>
      </c>
      <c r="M645" t="inlineStr">
        <is>
          <t>STATUS=IN OEM / EU PACKAGE; SOURCE_CFG=IA-ST-CFG-0272; MARKET=None</t>
        </is>
      </c>
      <c r="N645" t="inlineStr">
        <is>
          <t>2026-08-10T19:29:54Z</t>
        </is>
      </c>
      <c r="O645" t="inlineStr">
        <is>
          <t>2026-08-10T19:29:54Z</t>
        </is>
      </c>
    </row>
    <row r="646">
      <c r="A646" s="19" t="inlineStr">
        <is>
          <t>645</t>
        </is>
      </c>
      <c r="B646" s="19" t="inlineStr">
        <is>
          <t>1012443</t>
        </is>
      </c>
      <c r="C646" t="inlineStr">
        <is>
          <t>AKÜ,NS60,DK,45AH,IGYA SMF,SILVER SCHNAP</t>
        </is>
      </c>
      <c r="D646" s="19" t="inlineStr">
        <is>
          <t>1</t>
        </is>
      </c>
      <c r="E646" t="n">
        <v>0</v>
      </c>
      <c r="I646" s="19" t="inlineStr">
        <is>
          <t>2</t>
        </is>
      </c>
      <c r="J646" t="inlineStr">
        <is>
          <t>2026-08-08</t>
        </is>
      </c>
      <c r="L646" s="19" t="inlineStr">
        <is>
          <t>1012443</t>
        </is>
      </c>
      <c r="M646" t="inlineStr">
        <is>
          <t>STATUS=IN OEM / EU PACKAGE; SOURCE_CFG=IA-ST-CFG-0274; MARKET=SCHNAPP</t>
        </is>
      </c>
      <c r="N646" t="inlineStr">
        <is>
          <t>2026-08-10T19:29:54Z</t>
        </is>
      </c>
      <c r="O646" t="inlineStr">
        <is>
          <t>2026-08-10T19:29:54Z</t>
        </is>
      </c>
    </row>
    <row r="647">
      <c r="A647" s="19" t="inlineStr">
        <is>
          <t>646</t>
        </is>
      </c>
      <c r="B647" s="19" t="inlineStr">
        <is>
          <t>1012444</t>
        </is>
      </c>
      <c r="C647" t="inlineStr">
        <is>
          <t>AKÜ,NS60,DK,45AH,IGYA SMF,STRONG SCHNAP</t>
        </is>
      </c>
      <c r="D647" s="19" t="inlineStr">
        <is>
          <t>1</t>
        </is>
      </c>
      <c r="E647" t="n">
        <v>0</v>
      </c>
      <c r="I647" s="19" t="inlineStr">
        <is>
          <t>2</t>
        </is>
      </c>
      <c r="J647" t="inlineStr">
        <is>
          <t>2026-08-08</t>
        </is>
      </c>
      <c r="L647" s="19" t="inlineStr">
        <is>
          <t>1012444</t>
        </is>
      </c>
      <c r="M647" t="inlineStr">
        <is>
          <t>STATUS=IN OEM / EU PACKAGE; SOURCE_CFG=IA-ST-CFG-0274; MARKET=SCHNAPP</t>
        </is>
      </c>
      <c r="N647" t="inlineStr">
        <is>
          <t>2026-08-10T19:29:54Z</t>
        </is>
      </c>
      <c r="O647" t="inlineStr">
        <is>
          <t>2026-08-10T19:29:54Z</t>
        </is>
      </c>
    </row>
    <row r="648">
      <c r="A648" s="19" t="inlineStr">
        <is>
          <t>647</t>
        </is>
      </c>
      <c r="B648" s="19" t="inlineStr">
        <is>
          <t>1012446</t>
        </is>
      </c>
      <c r="C648" t="inlineStr">
        <is>
          <t>AKÜ,NS40,DK,40AH,B1,IGYASMF,STRONGSCHNAP</t>
        </is>
      </c>
      <c r="D648" s="19" t="inlineStr">
        <is>
          <t>1</t>
        </is>
      </c>
      <c r="E648" t="n">
        <v>0</v>
      </c>
      <c r="I648" s="19" t="inlineStr">
        <is>
          <t>2</t>
        </is>
      </c>
      <c r="J648" t="inlineStr">
        <is>
          <t>2026-08-08</t>
        </is>
      </c>
      <c r="L648" s="19" t="inlineStr">
        <is>
          <t>1012446</t>
        </is>
      </c>
      <c r="M648" t="inlineStr">
        <is>
          <t>STATUS=IN OEM / EU PACKAGE; SOURCE_CFG=IA-ST-CFG-0286; MARKET=SCHNAPP</t>
        </is>
      </c>
      <c r="N648" t="inlineStr">
        <is>
          <t>2026-08-10T19:29:54Z</t>
        </is>
      </c>
      <c r="O648" t="inlineStr">
        <is>
          <t>2026-08-10T19:29:54Z</t>
        </is>
      </c>
    </row>
    <row r="649">
      <c r="A649" s="19" t="inlineStr">
        <is>
          <t>648</t>
        </is>
      </c>
      <c r="B649" s="19" t="inlineStr">
        <is>
          <t>1012447</t>
        </is>
      </c>
      <c r="C649" t="inlineStr">
        <is>
          <t>AKÜ,NS40,DK,40AH,B1,IGYASMF,SILVERSCHNAP</t>
        </is>
      </c>
      <c r="D649" s="19" t="inlineStr">
        <is>
          <t>1</t>
        </is>
      </c>
      <c r="E649" t="n">
        <v>0</v>
      </c>
      <c r="I649" s="19" t="inlineStr">
        <is>
          <t>2</t>
        </is>
      </c>
      <c r="J649" t="inlineStr">
        <is>
          <t>2026-08-08</t>
        </is>
      </c>
      <c r="L649" s="19" t="inlineStr">
        <is>
          <t>1012447</t>
        </is>
      </c>
      <c r="M649" t="inlineStr">
        <is>
          <t>STATUS=IN OEM / EU PACKAGE; SOURCE_CFG=IA-ST-CFG-0286; MARKET=SCHNAPP</t>
        </is>
      </c>
      <c r="N649" t="inlineStr">
        <is>
          <t>2026-08-10T19:29:54Z</t>
        </is>
      </c>
      <c r="O649" t="inlineStr">
        <is>
          <t>2026-08-10T19:29:54Z</t>
        </is>
      </c>
    </row>
    <row r="650">
      <c r="A650" s="19" t="inlineStr">
        <is>
          <t>649</t>
        </is>
      </c>
      <c r="B650" s="19" t="inlineStr">
        <is>
          <t>1012448</t>
        </is>
      </c>
      <c r="C650" t="inlineStr">
        <is>
          <t>AKÜ,NS40,DK,40AH,B0,IGYASMF,STRONGSCHNAP</t>
        </is>
      </c>
      <c r="D650" s="19" t="inlineStr">
        <is>
          <t>1</t>
        </is>
      </c>
      <c r="E650" t="n">
        <v>0</v>
      </c>
      <c r="I650" s="19" t="inlineStr">
        <is>
          <t>2</t>
        </is>
      </c>
      <c r="J650" t="inlineStr">
        <is>
          <t>2026-08-08</t>
        </is>
      </c>
      <c r="L650" s="19" t="inlineStr">
        <is>
          <t>1012448</t>
        </is>
      </c>
      <c r="M650" t="inlineStr">
        <is>
          <t>STATUS=IN OEM / EU PACKAGE; SOURCE_CFG=IA-ST-CFG-0286; MARKET=SCHNAPP</t>
        </is>
      </c>
      <c r="N650" t="inlineStr">
        <is>
          <t>2026-08-10T19:29:54Z</t>
        </is>
      </c>
      <c r="O650" t="inlineStr">
        <is>
          <t>2026-08-10T19:29:54Z</t>
        </is>
      </c>
    </row>
    <row r="651">
      <c r="A651" s="19" t="inlineStr">
        <is>
          <t>650</t>
        </is>
      </c>
      <c r="B651" s="19" t="inlineStr">
        <is>
          <t>1012449</t>
        </is>
      </c>
      <c r="C651" t="inlineStr">
        <is>
          <t>AKÜ,NS40,DK,40AH,B0,IGYASMF,SILVERSCHNAP</t>
        </is>
      </c>
      <c r="D651" s="19" t="inlineStr">
        <is>
          <t>1</t>
        </is>
      </c>
      <c r="E651" t="n">
        <v>0</v>
      </c>
      <c r="I651" s="19" t="inlineStr">
        <is>
          <t>2</t>
        </is>
      </c>
      <c r="J651" t="inlineStr">
        <is>
          <t>2026-08-08</t>
        </is>
      </c>
      <c r="L651" s="19" t="inlineStr">
        <is>
          <t>1012449</t>
        </is>
      </c>
      <c r="M651" t="inlineStr">
        <is>
          <t>STATUS=IN OEM / EU PACKAGE; SOURCE_CFG=IA-ST-CFG-0286; MARKET=SCHNAPP</t>
        </is>
      </c>
      <c r="N651" t="inlineStr">
        <is>
          <t>2026-08-10T19:29:54Z</t>
        </is>
      </c>
      <c r="O651" t="inlineStr">
        <is>
          <t>2026-08-10T19:29:54Z</t>
        </is>
      </c>
    </row>
    <row r="652">
      <c r="A652" s="19" t="inlineStr">
        <is>
          <t>651</t>
        </is>
      </c>
      <c r="B652" s="19" t="inlineStr">
        <is>
          <t>1012451</t>
        </is>
      </c>
      <c r="C652" t="inlineStr">
        <is>
          <t>AKÜ,NS60,TK,45AH,IGYSMF,İNCİ TAUR,DIŞPYS</t>
        </is>
      </c>
      <c r="D652" s="19" t="inlineStr">
        <is>
          <t>1</t>
        </is>
      </c>
      <c r="E652" t="n">
        <v>0</v>
      </c>
      <c r="I652" s="19" t="inlineStr">
        <is>
          <t>2</t>
        </is>
      </c>
      <c r="J652" t="inlineStr">
        <is>
          <t>2026-08-08</t>
        </is>
      </c>
      <c r="L652" s="19" t="inlineStr">
        <is>
          <t>1012451</t>
        </is>
      </c>
      <c r="M652" t="inlineStr">
        <is>
          <t>STATUS=IN OEM / EU PACKAGE; SOURCE_CFG=IA-ST-CFG-0272; MARKET=None</t>
        </is>
      </c>
      <c r="N652" t="inlineStr">
        <is>
          <t>2026-08-10T19:29:54Z</t>
        </is>
      </c>
      <c r="O652" t="inlineStr">
        <is>
          <t>2026-08-10T19:29:54Z</t>
        </is>
      </c>
    </row>
    <row r="653">
      <c r="A653" s="19" t="inlineStr">
        <is>
          <t>652</t>
        </is>
      </c>
      <c r="B653" s="19" t="inlineStr">
        <is>
          <t>1012452</t>
        </is>
      </c>
      <c r="C653" t="inlineStr">
        <is>
          <t>AKÜ,NS40,DK,42AH,IGYSMF,İNCİ FORM TAURUS</t>
        </is>
      </c>
      <c r="D653" s="19" t="inlineStr">
        <is>
          <t>1</t>
        </is>
      </c>
      <c r="E653" t="n">
        <v>0</v>
      </c>
      <c r="I653" s="19" t="inlineStr">
        <is>
          <t>2</t>
        </is>
      </c>
      <c r="J653" t="inlineStr">
        <is>
          <t>2026-08-08</t>
        </is>
      </c>
      <c r="L653" s="19" t="inlineStr">
        <is>
          <t>1012452</t>
        </is>
      </c>
      <c r="M653" t="inlineStr">
        <is>
          <t>STATUS=IN OEM / EU PACKAGE; SOURCE_CFG=IA-ST-CFG-0284; MARKET=None</t>
        </is>
      </c>
      <c r="N653" t="inlineStr">
        <is>
          <t>2026-08-10T19:29:54Z</t>
        </is>
      </c>
      <c r="O653" t="inlineStr">
        <is>
          <t>2026-08-10T19:29:54Z</t>
        </is>
      </c>
    </row>
    <row r="654">
      <c r="A654" s="19" t="inlineStr">
        <is>
          <t>653</t>
        </is>
      </c>
      <c r="B654" s="19" t="inlineStr">
        <is>
          <t>1012453</t>
        </is>
      </c>
      <c r="C654" t="inlineStr">
        <is>
          <t>KÜ,NS40,TK,42AH,IGYSMF,İNCİ FORM TAURUS</t>
        </is>
      </c>
      <c r="D654" s="19" t="inlineStr">
        <is>
          <t>1</t>
        </is>
      </c>
      <c r="E654" t="n">
        <v>0</v>
      </c>
      <c r="I654" s="19" t="inlineStr">
        <is>
          <t>2</t>
        </is>
      </c>
      <c r="J654" t="inlineStr">
        <is>
          <t>2026-08-08</t>
        </is>
      </c>
      <c r="L654" s="19" t="inlineStr">
        <is>
          <t>1012453</t>
        </is>
      </c>
      <c r="M654" t="inlineStr">
        <is>
          <t>STATUS=IN OEM / EU PACKAGE; SOURCE_CFG=IA-ST-CFG-0284; MARKET=None</t>
        </is>
      </c>
      <c r="N654" t="inlineStr">
        <is>
          <t>2026-08-10T19:29:54Z</t>
        </is>
      </c>
      <c r="O654" t="inlineStr">
        <is>
          <t>2026-08-10T19:29:54Z</t>
        </is>
      </c>
    </row>
    <row r="655">
      <c r="A655" s="19" t="inlineStr">
        <is>
          <t>654</t>
        </is>
      </c>
      <c r="B655" s="19" t="inlineStr">
        <is>
          <t>1012457</t>
        </is>
      </c>
      <c r="C655" t="inlineStr">
        <is>
          <t>AKÜ,NS60,DK,45AH,IGYA SMF,STRONG SCHNAP</t>
        </is>
      </c>
      <c r="D655" s="19" t="inlineStr">
        <is>
          <t>1</t>
        </is>
      </c>
      <c r="E655" t="n">
        <v>0</v>
      </c>
      <c r="I655" s="19" t="inlineStr">
        <is>
          <t>2</t>
        </is>
      </c>
      <c r="J655" t="inlineStr">
        <is>
          <t>2026-08-08</t>
        </is>
      </c>
      <c r="L655" s="19" t="inlineStr">
        <is>
          <t>1012457</t>
        </is>
      </c>
      <c r="M655" t="inlineStr">
        <is>
          <t>STATUS=IN OEM / EU PACKAGE; SOURCE_CFG=IA-ST-CFG-0274; MARKET=SCHNAPP</t>
        </is>
      </c>
      <c r="N655" t="inlineStr">
        <is>
          <t>2026-08-10T19:29:54Z</t>
        </is>
      </c>
      <c r="O655" t="inlineStr">
        <is>
          <t>2026-08-10T19:29:54Z</t>
        </is>
      </c>
    </row>
    <row r="656">
      <c r="A656" s="19" t="inlineStr">
        <is>
          <t>655</t>
        </is>
      </c>
      <c r="B656" s="19" t="inlineStr">
        <is>
          <t>1012458</t>
        </is>
      </c>
      <c r="C656" t="inlineStr">
        <is>
          <t>AKÜ,NS60,TK,45AH,IGYA SMF,STRONG SCHNAP</t>
        </is>
      </c>
      <c r="D656" s="19" t="inlineStr">
        <is>
          <t>1</t>
        </is>
      </c>
      <c r="E656" t="n">
        <v>0</v>
      </c>
      <c r="I656" s="19" t="inlineStr">
        <is>
          <t>2</t>
        </is>
      </c>
      <c r="J656" t="inlineStr">
        <is>
          <t>2026-08-08</t>
        </is>
      </c>
      <c r="L656" s="19" t="inlineStr">
        <is>
          <t>1012458</t>
        </is>
      </c>
      <c r="M656" t="inlineStr">
        <is>
          <t>STATUS=IN OEM / EU PACKAGE; SOURCE_CFG=IA-ST-CFG-0274; MARKET=SCHNAPP</t>
        </is>
      </c>
      <c r="N656" t="inlineStr">
        <is>
          <t>2026-08-10T19:29:54Z</t>
        </is>
      </c>
      <c r="O656" t="inlineStr">
        <is>
          <t>2026-08-10T19:29:54Z</t>
        </is>
      </c>
    </row>
    <row r="657">
      <c r="A657" s="19" t="inlineStr">
        <is>
          <t>656</t>
        </is>
      </c>
      <c r="B657" s="19" t="inlineStr">
        <is>
          <t>1012464</t>
        </is>
      </c>
      <c r="C657" t="inlineStr">
        <is>
          <t>AKÜ,NS60,DK,45AH,IGYA SMF,SILVER SCHNAP</t>
        </is>
      </c>
      <c r="D657" s="19" t="inlineStr">
        <is>
          <t>1</t>
        </is>
      </c>
      <c r="E657" t="n">
        <v>0</v>
      </c>
      <c r="I657" s="19" t="inlineStr">
        <is>
          <t>2</t>
        </is>
      </c>
      <c r="J657" t="inlineStr">
        <is>
          <t>2026-08-08</t>
        </is>
      </c>
      <c r="L657" s="19" t="inlineStr">
        <is>
          <t>1012464</t>
        </is>
      </c>
      <c r="M657" t="inlineStr">
        <is>
          <t>STATUS=IN OEM / EU PACKAGE; SOURCE_CFG=IA-ST-CFG-0274; MARKET=SCHNAPP</t>
        </is>
      </c>
      <c r="N657" t="inlineStr">
        <is>
          <t>2026-08-10T19:29:54Z</t>
        </is>
      </c>
      <c r="O657" t="inlineStr">
        <is>
          <t>2026-08-10T19:29:54Z</t>
        </is>
      </c>
    </row>
    <row r="658">
      <c r="A658" s="19" t="inlineStr">
        <is>
          <t>657</t>
        </is>
      </c>
      <c r="B658" s="19" t="inlineStr">
        <is>
          <t>1012465</t>
        </is>
      </c>
      <c r="C658" t="inlineStr">
        <is>
          <t>AKÜ,NS60,TK,45AH,IGYA SMF,SILVER SCHNAP</t>
        </is>
      </c>
      <c r="D658" s="19" t="inlineStr">
        <is>
          <t>1</t>
        </is>
      </c>
      <c r="E658" t="n">
        <v>0</v>
      </c>
      <c r="I658" s="19" t="inlineStr">
        <is>
          <t>2</t>
        </is>
      </c>
      <c r="J658" t="inlineStr">
        <is>
          <t>2026-08-08</t>
        </is>
      </c>
      <c r="L658" s="19" t="inlineStr">
        <is>
          <t>1012465</t>
        </is>
      </c>
      <c r="M658" t="inlineStr">
        <is>
          <t>STATUS=IN OEM / EU PACKAGE; SOURCE_CFG=IA-ST-CFG-0274; MARKET=SCHNAPP</t>
        </is>
      </c>
      <c r="N658" t="inlineStr">
        <is>
          <t>2026-08-10T19:29:54Z</t>
        </is>
      </c>
      <c r="O658" t="inlineStr">
        <is>
          <t>2026-08-10T19:29:54Z</t>
        </is>
      </c>
    </row>
    <row r="659">
      <c r="A659" s="19" t="inlineStr">
        <is>
          <t>658</t>
        </is>
      </c>
      <c r="B659" s="19" t="inlineStr">
        <is>
          <t>1012467</t>
        </is>
      </c>
      <c r="C659" t="inlineStr">
        <is>
          <t>AKÜ,NS60,DK45AH,IGYSMF,İNCİTAUR,EECMISIR</t>
        </is>
      </c>
      <c r="D659" s="19" t="inlineStr">
        <is>
          <t>1</t>
        </is>
      </c>
      <c r="E659" t="n">
        <v>0</v>
      </c>
      <c r="I659" s="19" t="inlineStr">
        <is>
          <t>2</t>
        </is>
      </c>
      <c r="J659" t="inlineStr">
        <is>
          <t>2026-08-08</t>
        </is>
      </c>
      <c r="L659" s="19" t="inlineStr">
        <is>
          <t>1012467</t>
        </is>
      </c>
      <c r="M659" t="inlineStr">
        <is>
          <t>STATUS=IN OEM / EU PACKAGE; SOURCE_CFG=IA-ST-CFG-0272; MARKET=MISIR EEC</t>
        </is>
      </c>
      <c r="N659" t="inlineStr">
        <is>
          <t>2026-08-10T19:29:54Z</t>
        </is>
      </c>
      <c r="O659" t="inlineStr">
        <is>
          <t>2026-08-10T19:29:54Z</t>
        </is>
      </c>
    </row>
    <row r="660">
      <c r="A660" s="19" t="inlineStr">
        <is>
          <t>659</t>
        </is>
      </c>
      <c r="B660" s="19" t="inlineStr">
        <is>
          <t>1012468</t>
        </is>
      </c>
      <c r="C660" t="inlineStr">
        <is>
          <t>AKÜ AGM,L6,DK,105AH,İNCİ AGM LEO,İÇ PYS</t>
        </is>
      </c>
      <c r="D660" s="19" t="inlineStr">
        <is>
          <t>1</t>
        </is>
      </c>
      <c r="E660" t="n">
        <v>0</v>
      </c>
      <c r="I660" s="19" t="inlineStr">
        <is>
          <t>2</t>
        </is>
      </c>
      <c r="J660" t="inlineStr">
        <is>
          <t>2026-08-08</t>
        </is>
      </c>
      <c r="L660" s="19" t="inlineStr">
        <is>
          <t>1012468</t>
        </is>
      </c>
      <c r="M660" t="inlineStr">
        <is>
          <t>STATUS=IN OEM / EU PACKAGE; SOURCE_CFG=IA-ST-CFG-0062; MARKET=YURT İÇİ AFM</t>
        </is>
      </c>
      <c r="N660" t="inlineStr">
        <is>
          <t>2026-08-10T19:29:54Z</t>
        </is>
      </c>
      <c r="O660" t="inlineStr">
        <is>
          <t>2026-08-10T19:29:54Z</t>
        </is>
      </c>
    </row>
    <row r="661">
      <c r="A661" s="19" t="inlineStr">
        <is>
          <t>660</t>
        </is>
      </c>
      <c r="B661" s="19" t="inlineStr">
        <is>
          <t>1012469</t>
        </is>
      </c>
      <c r="C661" t="inlineStr">
        <is>
          <t>AKÜ,D26,TK,75AH,IGYA SMF,İNCİ TAURUS</t>
        </is>
      </c>
      <c r="D661" s="19" t="inlineStr">
        <is>
          <t>1</t>
        </is>
      </c>
      <c r="E661" t="n">
        <v>0</v>
      </c>
      <c r="I661" s="19" t="inlineStr">
        <is>
          <t>2</t>
        </is>
      </c>
      <c r="J661" t="inlineStr">
        <is>
          <t>2026-08-08</t>
        </is>
      </c>
      <c r="L661" s="19" t="inlineStr">
        <is>
          <t>1012469</t>
        </is>
      </c>
      <c r="M661" t="inlineStr">
        <is>
          <t>STATUS=IN OEM / EU PACKAGE; SOURCE_CFG=IA-ST-CFG-0175; MARKET=None</t>
        </is>
      </c>
      <c r="N661" t="inlineStr">
        <is>
          <t>2026-08-10T19:29:54Z</t>
        </is>
      </c>
      <c r="O661" t="inlineStr">
        <is>
          <t>2026-08-10T19:29:54Z</t>
        </is>
      </c>
    </row>
    <row r="662">
      <c r="A662" s="19" t="inlineStr">
        <is>
          <t>661</t>
        </is>
      </c>
      <c r="B662" s="19" t="inlineStr">
        <is>
          <t>1012470</t>
        </is>
      </c>
      <c r="C662" t="inlineStr">
        <is>
          <t>AKÜ,L1,DK,46AH,IGYA SMF,HUGEL ULTRA</t>
        </is>
      </c>
      <c r="D662" s="19" t="inlineStr">
        <is>
          <t>1</t>
        </is>
      </c>
      <c r="E662" t="n">
        <v>0</v>
      </c>
      <c r="I662" s="19" t="inlineStr">
        <is>
          <t>2</t>
        </is>
      </c>
      <c r="J662" t="inlineStr">
        <is>
          <t>2026-08-08</t>
        </is>
      </c>
      <c r="L662" s="19" t="inlineStr">
        <is>
          <t>1012470</t>
        </is>
      </c>
      <c r="M662" t="inlineStr">
        <is>
          <t>STATUS=IN OEM / EU PACKAGE; SOURCE_CFG=IA-ST-CFG-0248; MARKET=None</t>
        </is>
      </c>
      <c r="N662" t="inlineStr">
        <is>
          <t>2026-08-10T19:29:54Z</t>
        </is>
      </c>
      <c r="O662" t="inlineStr">
        <is>
          <t>2026-08-10T19:29:54Z</t>
        </is>
      </c>
    </row>
    <row r="663">
      <c r="A663" s="19" t="inlineStr">
        <is>
          <t>662</t>
        </is>
      </c>
      <c r="B663" s="19" t="inlineStr">
        <is>
          <t>1012471</t>
        </is>
      </c>
      <c r="C663" t="inlineStr">
        <is>
          <t>AKÜ,LB3,DK,66AH,IGYA SMF,HUGEL ULTRA</t>
        </is>
      </c>
      <c r="D663" s="19" t="inlineStr">
        <is>
          <t>1</t>
        </is>
      </c>
      <c r="E663" t="n">
        <v>0</v>
      </c>
      <c r="I663" s="19" t="inlineStr">
        <is>
          <t>2</t>
        </is>
      </c>
      <c r="J663" t="inlineStr">
        <is>
          <t>2026-08-08</t>
        </is>
      </c>
      <c r="L663" s="19" t="inlineStr">
        <is>
          <t>1012471</t>
        </is>
      </c>
      <c r="M663" t="inlineStr">
        <is>
          <t>STATUS=IN OEM / EU PACKAGE; SOURCE_CFG=IA-ST-CFG-0178; MARKET=None</t>
        </is>
      </c>
      <c r="N663" t="inlineStr">
        <is>
          <t>2026-08-10T19:29:54Z</t>
        </is>
      </c>
      <c r="O663" t="inlineStr">
        <is>
          <t>2026-08-10T19:29:54Z</t>
        </is>
      </c>
    </row>
    <row r="664">
      <c r="A664" s="19" t="inlineStr">
        <is>
          <t>663</t>
        </is>
      </c>
      <c r="B664" s="19" t="inlineStr">
        <is>
          <t>1012472</t>
        </is>
      </c>
      <c r="C664" t="inlineStr">
        <is>
          <t>AKÜ,L2,DK,55AH,IGYA SMF,HUGEL ULTRA</t>
        </is>
      </c>
      <c r="D664" s="19" t="inlineStr">
        <is>
          <t>1</t>
        </is>
      </c>
      <c r="E664" t="n">
        <v>0</v>
      </c>
      <c r="I664" s="19" t="inlineStr">
        <is>
          <t>2</t>
        </is>
      </c>
      <c r="J664" t="inlineStr">
        <is>
          <t>2026-08-08</t>
        </is>
      </c>
      <c r="L664" s="19" t="inlineStr">
        <is>
          <t>1012472</t>
        </is>
      </c>
      <c r="M664" t="inlineStr">
        <is>
          <t>STATUS=IN OEM / EU PACKAGE; SOURCE_CFG=IA-ST-CFG-0222; MARKET=None</t>
        </is>
      </c>
      <c r="N664" t="inlineStr">
        <is>
          <t>2026-08-10T19:29:54Z</t>
        </is>
      </c>
      <c r="O664" t="inlineStr">
        <is>
          <t>2026-08-10T19:29:54Z</t>
        </is>
      </c>
    </row>
    <row r="665">
      <c r="A665" s="19" t="inlineStr">
        <is>
          <t>664</t>
        </is>
      </c>
      <c r="B665" s="19" t="inlineStr">
        <is>
          <t>1012473</t>
        </is>
      </c>
      <c r="C665" t="inlineStr">
        <is>
          <t>AKÜ,LB2,DK,60AH,IGYA SMF,EAS ACTIVA</t>
        </is>
      </c>
      <c r="D665" s="19" t="inlineStr">
        <is>
          <t>1</t>
        </is>
      </c>
      <c r="E665" t="n">
        <v>0</v>
      </c>
      <c r="I665" s="19" t="inlineStr">
        <is>
          <t>2</t>
        </is>
      </c>
      <c r="J665" t="inlineStr">
        <is>
          <t>2026-08-08</t>
        </is>
      </c>
      <c r="L665" s="19" t="inlineStr">
        <is>
          <t>1012473</t>
        </is>
      </c>
      <c r="M665" t="inlineStr">
        <is>
          <t>STATUS=IN OEM / EU PACKAGE; SOURCE_CFG=IA-ST-CFG-0222; MARKET=None</t>
        </is>
      </c>
      <c r="N665" t="inlineStr">
        <is>
          <t>2026-08-10T19:29:54Z</t>
        </is>
      </c>
      <c r="O665" t="inlineStr">
        <is>
          <t>2026-08-10T19:29:54Z</t>
        </is>
      </c>
    </row>
    <row r="666">
      <c r="A666" s="19" t="inlineStr">
        <is>
          <t>665</t>
        </is>
      </c>
      <c r="B666" s="19" t="inlineStr">
        <is>
          <t>1012474</t>
        </is>
      </c>
      <c r="C666" t="inlineStr">
        <is>
          <t>AKÜ,L4,DK,82AH,IGYA SMF,HUGEL ACTION</t>
        </is>
      </c>
      <c r="D666" s="19" t="inlineStr">
        <is>
          <t>1</t>
        </is>
      </c>
      <c r="E666" t="n">
        <v>0</v>
      </c>
      <c r="I666" s="19" t="inlineStr">
        <is>
          <t>2</t>
        </is>
      </c>
      <c r="J666" t="inlineStr">
        <is>
          <t>2026-08-08</t>
        </is>
      </c>
      <c r="L666" s="19" t="inlineStr">
        <is>
          <t>1012474</t>
        </is>
      </c>
      <c r="M666" t="inlineStr">
        <is>
          <t>STATUS=IN OEM / EU PACKAGE; SOURCE_CFG=IA-ST-CFG-0231; MARKET=None</t>
        </is>
      </c>
      <c r="N666" t="inlineStr">
        <is>
          <t>2026-08-10T19:29:54Z</t>
        </is>
      </c>
      <c r="O666" t="inlineStr">
        <is>
          <t>2026-08-10T19:29:54Z</t>
        </is>
      </c>
    </row>
    <row r="667">
      <c r="A667" s="19" t="inlineStr">
        <is>
          <t>666</t>
        </is>
      </c>
      <c r="B667" s="19" t="inlineStr">
        <is>
          <t>1012477</t>
        </is>
      </c>
      <c r="C667" t="inlineStr">
        <is>
          <t>AKÜ,D31,DK,100AH,IGYA SMF,EAS ACTIVA</t>
        </is>
      </c>
      <c r="D667" s="19" t="inlineStr">
        <is>
          <t>1</t>
        </is>
      </c>
      <c r="E667" t="n">
        <v>0</v>
      </c>
      <c r="I667" s="19" t="inlineStr">
        <is>
          <t>2</t>
        </is>
      </c>
      <c r="J667" t="inlineStr">
        <is>
          <t>2026-08-08</t>
        </is>
      </c>
      <c r="L667" s="19" t="inlineStr">
        <is>
          <t>1012477</t>
        </is>
      </c>
      <c r="M667" t="inlineStr">
        <is>
          <t>STATUS=IN OEM / EU PACKAGE; SOURCE_CFG=IA-ST-CFG-0143; MARKET=None</t>
        </is>
      </c>
      <c r="N667" t="inlineStr">
        <is>
          <t>2026-08-10T19:29:54Z</t>
        </is>
      </c>
      <c r="O667" t="inlineStr">
        <is>
          <t>2026-08-10T19:29:54Z</t>
        </is>
      </c>
    </row>
    <row r="668">
      <c r="A668" s="19" t="inlineStr">
        <is>
          <t>667</t>
        </is>
      </c>
      <c r="B668" s="19" t="inlineStr">
        <is>
          <t>1012479</t>
        </is>
      </c>
      <c r="C668" t="inlineStr">
        <is>
          <t>AKÜ,D31,DK,100AH,IGYSMF,BLİZZARO SILVERL</t>
        </is>
      </c>
      <c r="D668" s="19" t="inlineStr">
        <is>
          <t>1</t>
        </is>
      </c>
      <c r="E668" t="n">
        <v>0</v>
      </c>
      <c r="I668" s="19" t="inlineStr">
        <is>
          <t>2</t>
        </is>
      </c>
      <c r="J668" t="inlineStr">
        <is>
          <t>2026-08-08</t>
        </is>
      </c>
      <c r="L668" s="19" t="inlineStr">
        <is>
          <t>1012479</t>
        </is>
      </c>
      <c r="M668" t="inlineStr">
        <is>
          <t>STATUS=IN OEM / EU PACKAGE; SOURCE_CFG=IA-ST-CFG-0143; MARKET=None</t>
        </is>
      </c>
      <c r="N668" t="inlineStr">
        <is>
          <t>2026-08-10T19:29:54Z</t>
        </is>
      </c>
      <c r="O668" t="inlineStr">
        <is>
          <t>2026-08-10T19:29:54Z</t>
        </is>
      </c>
    </row>
    <row r="669">
      <c r="A669" s="19" t="inlineStr">
        <is>
          <t>668</t>
        </is>
      </c>
      <c r="B669" s="19" t="inlineStr">
        <is>
          <t>1012480</t>
        </is>
      </c>
      <c r="C669" t="inlineStr">
        <is>
          <t>AKÜ,D31,TK,100AH,IGYSMF,BLİZZARO SILVERL</t>
        </is>
      </c>
      <c r="D669" s="19" t="inlineStr">
        <is>
          <t>1</t>
        </is>
      </c>
      <c r="E669" t="n">
        <v>0</v>
      </c>
      <c r="I669" s="19" t="inlineStr">
        <is>
          <t>2</t>
        </is>
      </c>
      <c r="J669" t="inlineStr">
        <is>
          <t>2026-08-08</t>
        </is>
      </c>
      <c r="L669" s="19" t="inlineStr">
        <is>
          <t>1012480</t>
        </is>
      </c>
      <c r="M669" t="inlineStr">
        <is>
          <t>STATUS=IN OEM / EU PACKAGE; SOURCE_CFG=IA-ST-CFG-0143; MARKET=None</t>
        </is>
      </c>
      <c r="N669" t="inlineStr">
        <is>
          <t>2026-08-10T19:29:54Z</t>
        </is>
      </c>
      <c r="O669" t="inlineStr">
        <is>
          <t>2026-08-10T19:29:54Z</t>
        </is>
      </c>
    </row>
    <row r="670">
      <c r="A670" s="19" t="inlineStr">
        <is>
          <t>669</t>
        </is>
      </c>
      <c r="B670" s="19" t="inlineStr">
        <is>
          <t>1012484</t>
        </is>
      </c>
      <c r="C670" t="inlineStr">
        <is>
          <t>AKÜ,LB2,DK,60AH,IGYA SMF,EAS ACTIVA,EURO</t>
        </is>
      </c>
      <c r="D670" s="19" t="inlineStr">
        <is>
          <t>1</t>
        </is>
      </c>
      <c r="E670" t="n">
        <v>0</v>
      </c>
      <c r="I670" s="19" t="inlineStr">
        <is>
          <t>2</t>
        </is>
      </c>
      <c r="J670" t="inlineStr">
        <is>
          <t>2026-08-08</t>
        </is>
      </c>
      <c r="L670" s="19" t="inlineStr">
        <is>
          <t>1012484</t>
        </is>
      </c>
      <c r="M670" t="inlineStr">
        <is>
          <t>STATUS=IN OEM / EU PACKAGE; SOURCE_CFG=IA-ST-CFG-0240; MARKET=None</t>
        </is>
      </c>
      <c r="N670" t="inlineStr">
        <is>
          <t>2026-08-10T19:29:54Z</t>
        </is>
      </c>
      <c r="O670" t="inlineStr">
        <is>
          <t>2026-08-10T19:29:54Z</t>
        </is>
      </c>
    </row>
    <row r="671">
      <c r="A671" s="19" t="inlineStr">
        <is>
          <t>670</t>
        </is>
      </c>
      <c r="B671" s="19" t="inlineStr">
        <is>
          <t>1012485</t>
        </is>
      </c>
      <c r="C671" t="inlineStr">
        <is>
          <t>AKÜ,L3,DK,75AH,IGYA SMF,EAS ACTIVA,EURO</t>
        </is>
      </c>
      <c r="D671" s="19" t="inlineStr">
        <is>
          <t>1</t>
        </is>
      </c>
      <c r="E671" t="n">
        <v>0</v>
      </c>
      <c r="I671" s="19" t="inlineStr">
        <is>
          <t>2</t>
        </is>
      </c>
      <c r="J671" t="inlineStr">
        <is>
          <t>2026-08-08</t>
        </is>
      </c>
      <c r="L671" s="19" t="inlineStr">
        <is>
          <t>1012485</t>
        </is>
      </c>
      <c r="M671" t="inlineStr">
        <is>
          <t>STATUS=IN OEM / EU PACKAGE; SOURCE_CFG=IA-ST-CFG-0200; MARKET=None</t>
        </is>
      </c>
      <c r="N671" t="inlineStr">
        <is>
          <t>2026-08-10T19:29:54Z</t>
        </is>
      </c>
      <c r="O671" t="inlineStr">
        <is>
          <t>2026-08-10T19:29:54Z</t>
        </is>
      </c>
    </row>
    <row r="672">
      <c r="A672" s="19" t="inlineStr">
        <is>
          <t>671</t>
        </is>
      </c>
      <c r="B672" s="19" t="inlineStr">
        <is>
          <t>1012486</t>
        </is>
      </c>
      <c r="C672" t="inlineStr">
        <is>
          <t>AKÜ,LB2,DK,60AH,IGYASMF,BLIZZARO SILVERL</t>
        </is>
      </c>
      <c r="D672" s="19" t="inlineStr">
        <is>
          <t>1</t>
        </is>
      </c>
      <c r="E672" t="n">
        <v>0</v>
      </c>
      <c r="I672" s="19" t="inlineStr">
        <is>
          <t>2</t>
        </is>
      </c>
      <c r="J672" t="inlineStr">
        <is>
          <t>2026-08-08</t>
        </is>
      </c>
      <c r="L672" s="19" t="inlineStr">
        <is>
          <t>1012486</t>
        </is>
      </c>
      <c r="M672" t="inlineStr">
        <is>
          <t>STATUS=IN OEM / EU PACKAGE; SOURCE_CFG=IA-ST-CFG-0222; MARKET=None</t>
        </is>
      </c>
      <c r="N672" t="inlineStr">
        <is>
          <t>2026-08-10T19:29:54Z</t>
        </is>
      </c>
      <c r="O672" t="inlineStr">
        <is>
          <t>2026-08-10T19:29:54Z</t>
        </is>
      </c>
    </row>
    <row r="673">
      <c r="A673" s="19" t="inlineStr">
        <is>
          <t>672</t>
        </is>
      </c>
      <c r="B673" s="19" t="inlineStr">
        <is>
          <t>1012487</t>
        </is>
      </c>
      <c r="C673" t="inlineStr">
        <is>
          <t>AKÜ,LB3,DK,72AH,IGYA SMF,EAS ACTIVA,EURO</t>
        </is>
      </c>
      <c r="D673" s="19" t="inlineStr">
        <is>
          <t>1</t>
        </is>
      </c>
      <c r="E673" t="n">
        <v>0</v>
      </c>
      <c r="I673" s="19" t="inlineStr">
        <is>
          <t>2</t>
        </is>
      </c>
      <c r="J673" t="inlineStr">
        <is>
          <t>2026-08-08</t>
        </is>
      </c>
      <c r="L673" s="19" t="inlineStr">
        <is>
          <t>1012487</t>
        </is>
      </c>
      <c r="M673" t="inlineStr">
        <is>
          <t>STATUS=IN OEM / EU PACKAGE; SOURCE_CFG=IA-ST-CFG-0199; MARKET=None</t>
        </is>
      </c>
      <c r="N673" t="inlineStr">
        <is>
          <t>2026-08-10T19:29:54Z</t>
        </is>
      </c>
      <c r="O673" t="inlineStr">
        <is>
          <t>2026-08-10T19:29:54Z</t>
        </is>
      </c>
    </row>
    <row r="674">
      <c r="A674" s="19" t="inlineStr">
        <is>
          <t>673</t>
        </is>
      </c>
      <c r="B674" s="19" t="inlineStr">
        <is>
          <t>1012488</t>
        </is>
      </c>
      <c r="C674" t="inlineStr">
        <is>
          <t>AKÜ,L2,DK,60AH,IGYA SMF,İNCİ EFB PANTERA</t>
        </is>
      </c>
      <c r="D674" s="19" t="inlineStr">
        <is>
          <t>1</t>
        </is>
      </c>
      <c r="E674" t="n">
        <v>0</v>
      </c>
      <c r="I674" s="19" t="inlineStr">
        <is>
          <t>2</t>
        </is>
      </c>
      <c r="J674" t="inlineStr">
        <is>
          <t>2026-08-08</t>
        </is>
      </c>
      <c r="L674" s="19" t="inlineStr">
        <is>
          <t>1012488</t>
        </is>
      </c>
      <c r="M674" t="inlineStr">
        <is>
          <t>STATUS=IN OEM / EU PACKAGE; SOURCE_CFG=IA-ST-CFG-0222; MARKET=None</t>
        </is>
      </c>
      <c r="N674" t="inlineStr">
        <is>
          <t>2026-08-10T19:29:54Z</t>
        </is>
      </c>
      <c r="O674" t="inlineStr">
        <is>
          <t>2026-08-10T19:29:54Z</t>
        </is>
      </c>
    </row>
    <row r="675">
      <c r="A675" s="19" t="inlineStr">
        <is>
          <t>674</t>
        </is>
      </c>
      <c r="B675" s="19" t="inlineStr">
        <is>
          <t>1012490</t>
        </is>
      </c>
      <c r="C675" t="inlineStr">
        <is>
          <t>AKÜ,L1,DK,50AH,IGYA SMF,BLIZZARO SILVERL</t>
        </is>
      </c>
      <c r="D675" s="19" t="inlineStr">
        <is>
          <t>1</t>
        </is>
      </c>
      <c r="E675" t="n">
        <v>0</v>
      </c>
      <c r="I675" s="19" t="inlineStr">
        <is>
          <t>2</t>
        </is>
      </c>
      <c r="J675" t="inlineStr">
        <is>
          <t>2026-08-08</t>
        </is>
      </c>
      <c r="L675" s="19" t="inlineStr">
        <is>
          <t>1012490</t>
        </is>
      </c>
      <c r="M675" t="inlineStr">
        <is>
          <t>STATUS=IN OEM / EU PACKAGE; SOURCE_CFG=IA-ST-CFG-0248; MARKET=None</t>
        </is>
      </c>
      <c r="N675" t="inlineStr">
        <is>
          <t>2026-08-10T19:29:54Z</t>
        </is>
      </c>
      <c r="O675" t="inlineStr">
        <is>
          <t>2026-08-10T19:29:54Z</t>
        </is>
      </c>
    </row>
    <row r="676">
      <c r="A676" s="19" t="inlineStr">
        <is>
          <t>675</t>
        </is>
      </c>
      <c r="B676" s="19" t="inlineStr">
        <is>
          <t>1012491</t>
        </is>
      </c>
      <c r="C676" t="inlineStr">
        <is>
          <t>AKÜ,LB1,DK,50AH,IGYASMF,BLIZZARO SILVERL</t>
        </is>
      </c>
      <c r="D676" s="19" t="inlineStr">
        <is>
          <t>1</t>
        </is>
      </c>
      <c r="E676" t="n">
        <v>0</v>
      </c>
      <c r="I676" s="19" t="inlineStr">
        <is>
          <t>2</t>
        </is>
      </c>
      <c r="J676" t="inlineStr">
        <is>
          <t>2026-08-08</t>
        </is>
      </c>
      <c r="L676" s="19" t="inlineStr">
        <is>
          <t>1012491</t>
        </is>
      </c>
      <c r="M676" t="inlineStr">
        <is>
          <t>STATUS=IN OEM / EU PACKAGE; SOURCE_CFG=IA-ST-CFG-0247; MARKET=None</t>
        </is>
      </c>
      <c r="N676" t="inlineStr">
        <is>
          <t>2026-08-10T19:29:54Z</t>
        </is>
      </c>
      <c r="O676" t="inlineStr">
        <is>
          <t>2026-08-10T19:29:54Z</t>
        </is>
      </c>
    </row>
    <row r="677">
      <c r="A677" s="19" t="inlineStr">
        <is>
          <t>676</t>
        </is>
      </c>
      <c r="B677" s="19" t="inlineStr">
        <is>
          <t>1012497</t>
        </is>
      </c>
      <c r="C677" t="inlineStr">
        <is>
          <t>AKÜ,NS60,TK,45AH,IGYASMF,EAS ACTIVA,EURO</t>
        </is>
      </c>
      <c r="D677" s="19" t="inlineStr">
        <is>
          <t>1</t>
        </is>
      </c>
      <c r="E677" t="n">
        <v>0</v>
      </c>
      <c r="I677" s="19" t="inlineStr">
        <is>
          <t>2</t>
        </is>
      </c>
      <c r="J677" t="inlineStr">
        <is>
          <t>2026-08-08</t>
        </is>
      </c>
      <c r="L677" s="19" t="inlineStr">
        <is>
          <t>1012497</t>
        </is>
      </c>
      <c r="M677" t="inlineStr">
        <is>
          <t>STATUS=IN OEM / EU PACKAGE; SOURCE_CFG=IA-ST-CFG-0235; MARKET=ATHLANTIC SUHI</t>
        </is>
      </c>
      <c r="N677" t="inlineStr">
        <is>
          <t>2026-08-10T19:29:54Z</t>
        </is>
      </c>
      <c r="O677" t="inlineStr">
        <is>
          <t>2026-08-10T19:29:54Z</t>
        </is>
      </c>
    </row>
    <row r="678">
      <c r="A678" s="19" t="inlineStr">
        <is>
          <t>677</t>
        </is>
      </c>
      <c r="B678" s="19" t="inlineStr">
        <is>
          <t>1012504</t>
        </is>
      </c>
      <c r="C678" t="inlineStr">
        <is>
          <t>AKÜ,L3,DK,72AH,IGYA SMF,EAS EFB S&amp;S</t>
        </is>
      </c>
      <c r="D678" s="19" t="inlineStr">
        <is>
          <t>1</t>
        </is>
      </c>
      <c r="E678" t="n">
        <v>0</v>
      </c>
      <c r="I678" s="19" t="inlineStr">
        <is>
          <t>2</t>
        </is>
      </c>
      <c r="J678" t="inlineStr">
        <is>
          <t>2026-08-08</t>
        </is>
      </c>
      <c r="L678" s="19" t="inlineStr">
        <is>
          <t>1012504</t>
        </is>
      </c>
      <c r="M678" t="inlineStr">
        <is>
          <t>STATUS=IN OEM / EU PACKAGE; SOURCE_CFG=IA-ST-CFG-0179; MARKET=None</t>
        </is>
      </c>
      <c r="N678" t="inlineStr">
        <is>
          <t>2026-08-10T19:29:54Z</t>
        </is>
      </c>
      <c r="O678" t="inlineStr">
        <is>
          <t>2026-08-10T19:29:54Z</t>
        </is>
      </c>
    </row>
    <row r="679">
      <c r="A679" s="19" t="inlineStr">
        <is>
          <t>678</t>
        </is>
      </c>
      <c r="B679" s="19" t="inlineStr">
        <is>
          <t>1012506</t>
        </is>
      </c>
      <c r="C679" t="inlineStr">
        <is>
          <t>AKÜ,NS40,DK,42AH,IGYASMF,EAS ACTIVA,EURO</t>
        </is>
      </c>
      <c r="D679" s="19" t="inlineStr">
        <is>
          <t>1</t>
        </is>
      </c>
      <c r="E679" t="n">
        <v>0</v>
      </c>
      <c r="I679" s="19" t="inlineStr">
        <is>
          <t>2</t>
        </is>
      </c>
      <c r="J679" t="inlineStr">
        <is>
          <t>2026-08-08</t>
        </is>
      </c>
      <c r="L679" s="19" t="inlineStr">
        <is>
          <t>1012506</t>
        </is>
      </c>
      <c r="M679" t="inlineStr">
        <is>
          <t>STATUS=IN OEM / EU PACKAGE; SOURCE_CFG=IA-ST-CFG-0253; MARKET=ATHLANTIC SUHI</t>
        </is>
      </c>
      <c r="N679" t="inlineStr">
        <is>
          <t>2026-08-10T19:29:54Z</t>
        </is>
      </c>
      <c r="O679" t="inlineStr">
        <is>
          <t>2026-08-10T19:29:54Z</t>
        </is>
      </c>
    </row>
    <row r="680">
      <c r="A680" s="19" t="inlineStr">
        <is>
          <t>679</t>
        </is>
      </c>
      <c r="B680" s="19" t="inlineStr">
        <is>
          <t>1012507</t>
        </is>
      </c>
      <c r="C680" t="inlineStr">
        <is>
          <t>AKÜ,D23,DK,60AH,IGYASMF,EAS ACTIVA,EURO</t>
        </is>
      </c>
      <c r="D680" s="19" t="inlineStr">
        <is>
          <t>1</t>
        </is>
      </c>
      <c r="E680" t="n">
        <v>0</v>
      </c>
      <c r="I680" s="19" t="inlineStr">
        <is>
          <t>2</t>
        </is>
      </c>
      <c r="J680" t="inlineStr">
        <is>
          <t>2026-08-08</t>
        </is>
      </c>
      <c r="L680" s="19" t="inlineStr">
        <is>
          <t>1012507</t>
        </is>
      </c>
      <c r="M680" t="inlineStr">
        <is>
          <t>STATUS=IN OEM / EU PACKAGE; SOURCE_CFG=IA-ST-CFG-0171; MARKET=ATHLANTIC SUHI</t>
        </is>
      </c>
      <c r="N680" t="inlineStr">
        <is>
          <t>2026-08-10T19:29:54Z</t>
        </is>
      </c>
      <c r="O680" t="inlineStr">
        <is>
          <t>2026-08-10T19:29:54Z</t>
        </is>
      </c>
    </row>
    <row r="681">
      <c r="A681" s="19" t="inlineStr">
        <is>
          <t>680</t>
        </is>
      </c>
      <c r="B681" s="19" t="inlineStr">
        <is>
          <t>1012508</t>
        </is>
      </c>
      <c r="C681" t="inlineStr">
        <is>
          <t>AKÜ,NS60,DK,45AH,IGYASMF,EAS ACTIVA,EURO</t>
        </is>
      </c>
      <c r="D681" s="19" t="inlineStr">
        <is>
          <t>1</t>
        </is>
      </c>
      <c r="E681" t="n">
        <v>0</v>
      </c>
      <c r="I681" s="19" t="inlineStr">
        <is>
          <t>2</t>
        </is>
      </c>
      <c r="J681" t="inlineStr">
        <is>
          <t>2026-08-08</t>
        </is>
      </c>
      <c r="L681" s="19" t="inlineStr">
        <is>
          <t>1012508</t>
        </is>
      </c>
      <c r="M681" t="inlineStr">
        <is>
          <t>STATUS=IN OEM / EU PACKAGE; SOURCE_CFG=IA-ST-CFG-0235; MARKET=None</t>
        </is>
      </c>
      <c r="N681" t="inlineStr">
        <is>
          <t>2026-08-10T19:29:54Z</t>
        </is>
      </c>
      <c r="O681" t="inlineStr">
        <is>
          <t>2026-08-10T19:29:54Z</t>
        </is>
      </c>
    </row>
    <row r="682">
      <c r="A682" s="19" t="inlineStr">
        <is>
          <t>681</t>
        </is>
      </c>
      <c r="B682" s="19" t="inlineStr">
        <is>
          <t>1012515</t>
        </is>
      </c>
      <c r="C682" t="inlineStr">
        <is>
          <t>AKÜ,D23,DK,65AH,IGYA SMF,EFB S&amp;S,SCHNAPP</t>
        </is>
      </c>
      <c r="D682" s="19" t="inlineStr">
        <is>
          <t>1</t>
        </is>
      </c>
      <c r="E682" t="n">
        <v>0</v>
      </c>
      <c r="I682" s="19" t="inlineStr">
        <is>
          <t>2</t>
        </is>
      </c>
      <c r="J682" t="inlineStr">
        <is>
          <t>2026-08-08</t>
        </is>
      </c>
      <c r="L682" s="19" t="inlineStr">
        <is>
          <t>1012515</t>
        </is>
      </c>
      <c r="M682" t="inlineStr">
        <is>
          <t>STATUS=IN OEM / EU PACKAGE; SOURCE_CFG=IA-ST-CFG-0228; MARKET=SCHNAPP</t>
        </is>
      </c>
      <c r="N682" t="inlineStr">
        <is>
          <t>2026-08-10T19:29:54Z</t>
        </is>
      </c>
      <c r="O682" t="inlineStr">
        <is>
          <t>2026-08-10T19:29:54Z</t>
        </is>
      </c>
    </row>
    <row r="683">
      <c r="A683" s="19" t="inlineStr">
        <is>
          <t>682</t>
        </is>
      </c>
      <c r="B683" s="19" t="inlineStr">
        <is>
          <t>1012516</t>
        </is>
      </c>
      <c r="C683" t="inlineStr">
        <is>
          <t>AKÜ,C-FLAT,DK,225AH,HUGEL ACTION,TRADING</t>
        </is>
      </c>
      <c r="D683" s="19" t="inlineStr">
        <is>
          <t>1</t>
        </is>
      </c>
      <c r="E683" t="n">
        <v>0</v>
      </c>
      <c r="I683" s="19" t="inlineStr">
        <is>
          <t>2</t>
        </is>
      </c>
      <c r="J683" t="inlineStr">
        <is>
          <t>2026-08-08</t>
        </is>
      </c>
      <c r="L683" s="19" t="inlineStr">
        <is>
          <t>1012516</t>
        </is>
      </c>
      <c r="M683" t="inlineStr">
        <is>
          <t>STATUS=IN OEM / EU PACKAGE; SOURCE_CFG=IA-ST-CFG-0014; MARKET=START TRADING BULGARİSTAN</t>
        </is>
      </c>
      <c r="N683" t="inlineStr">
        <is>
          <t>2026-08-10T19:29:54Z</t>
        </is>
      </c>
      <c r="O683" t="inlineStr">
        <is>
          <t>2026-08-10T19:29:54Z</t>
        </is>
      </c>
    </row>
    <row r="684">
      <c r="A684" s="19" t="inlineStr">
        <is>
          <t>683</t>
        </is>
      </c>
      <c r="B684" s="19" t="inlineStr">
        <is>
          <t>1012520</t>
        </is>
      </c>
      <c r="C684" t="inlineStr">
        <is>
          <t>AKÜ,L3,DK,72AH,IGYASMF,HUGEL EFBS&amp;S,EURO</t>
        </is>
      </c>
      <c r="D684" s="19" t="inlineStr">
        <is>
          <t>1</t>
        </is>
      </c>
      <c r="E684" t="n">
        <v>0</v>
      </c>
      <c r="I684" s="19" t="inlineStr">
        <is>
          <t>2</t>
        </is>
      </c>
      <c r="J684" t="inlineStr">
        <is>
          <t>2026-08-08</t>
        </is>
      </c>
      <c r="L684" s="19" t="inlineStr">
        <is>
          <t>1012520</t>
        </is>
      </c>
      <c r="M684" t="inlineStr">
        <is>
          <t>STATUS=IN OEM / EU PACKAGE; SOURCE_CFG=IA-ST-CFG-0200; MARKET=None</t>
        </is>
      </c>
      <c r="N684" t="inlineStr">
        <is>
          <t>2026-08-10T19:29:54Z</t>
        </is>
      </c>
      <c r="O684" t="inlineStr">
        <is>
          <t>2026-08-10T19:29:54Z</t>
        </is>
      </c>
    </row>
    <row r="685">
      <c r="A685" s="19" t="inlineStr">
        <is>
          <t>684</t>
        </is>
      </c>
      <c r="B685" s="19" t="inlineStr">
        <is>
          <t>1012524</t>
        </is>
      </c>
      <c r="C685" t="inlineStr">
        <is>
          <t>AKÜ,L2,DK,60AH,IGYA SMF,HUGEL ULTRA,EURO</t>
        </is>
      </c>
      <c r="D685" s="19" t="inlineStr">
        <is>
          <t>1</t>
        </is>
      </c>
      <c r="E685" t="n">
        <v>0</v>
      </c>
      <c r="I685" s="19" t="inlineStr">
        <is>
          <t>2</t>
        </is>
      </c>
      <c r="J685" t="inlineStr">
        <is>
          <t>2026-08-08</t>
        </is>
      </c>
      <c r="L685" s="19" t="inlineStr">
        <is>
          <t>1012524</t>
        </is>
      </c>
      <c r="M685" t="inlineStr">
        <is>
          <t>STATUS=IN OEM / EU PACKAGE; SOURCE_CFG=IA-ST-CFG-0240; MARKET=None</t>
        </is>
      </c>
      <c r="N685" t="inlineStr">
        <is>
          <t>2026-08-10T19:29:54Z</t>
        </is>
      </c>
      <c r="O685" t="inlineStr">
        <is>
          <t>2026-08-10T19:29:54Z</t>
        </is>
      </c>
    </row>
    <row r="686">
      <c r="A686" s="19" t="inlineStr">
        <is>
          <t>685</t>
        </is>
      </c>
      <c r="B686" s="19" t="inlineStr">
        <is>
          <t>1012526</t>
        </is>
      </c>
      <c r="C686" t="inlineStr">
        <is>
          <t>AKÜ,L5,DK,100AH,IGYASMF,HUGEL ULTRA,EURO</t>
        </is>
      </c>
      <c r="D686" s="19" t="inlineStr">
        <is>
          <t>1</t>
        </is>
      </c>
      <c r="E686" t="n">
        <v>0</v>
      </c>
      <c r="I686" s="19" t="inlineStr">
        <is>
          <t>2</t>
        </is>
      </c>
      <c r="J686" t="inlineStr">
        <is>
          <t>2026-08-08</t>
        </is>
      </c>
      <c r="L686" s="19" t="inlineStr">
        <is>
          <t>1012526</t>
        </is>
      </c>
      <c r="M686" t="inlineStr">
        <is>
          <t>STATUS=IN OEM / EU PACKAGE; SOURCE_CFG=IA-ST-CFG-0116; MARKET=None</t>
        </is>
      </c>
      <c r="N686" t="inlineStr">
        <is>
          <t>2026-08-10T19:29:54Z</t>
        </is>
      </c>
      <c r="O686" t="inlineStr">
        <is>
          <t>2026-08-10T19:29:54Z</t>
        </is>
      </c>
    </row>
    <row r="687">
      <c r="A687" s="19" t="inlineStr">
        <is>
          <t>686</t>
        </is>
      </c>
      <c r="B687" s="19" t="inlineStr">
        <is>
          <t>1012528</t>
        </is>
      </c>
      <c r="C687" t="inlineStr">
        <is>
          <t>AKÜ,L3,DK,75AH,IGYA SMF,HUGEL ULTRA,EURO</t>
        </is>
      </c>
      <c r="D687" s="19" t="inlineStr">
        <is>
          <t>1</t>
        </is>
      </c>
      <c r="E687" t="n">
        <v>0</v>
      </c>
      <c r="I687" s="19" t="inlineStr">
        <is>
          <t>2</t>
        </is>
      </c>
      <c r="J687" t="inlineStr">
        <is>
          <t>2026-08-08</t>
        </is>
      </c>
      <c r="L687" s="19" t="inlineStr">
        <is>
          <t>1012528</t>
        </is>
      </c>
      <c r="M687" t="inlineStr">
        <is>
          <t>STATUS=IN OEM / EU PACKAGE; SOURCE_CFG=IA-ST-CFG-0200; MARKET=None</t>
        </is>
      </c>
      <c r="N687" t="inlineStr">
        <is>
          <t>2026-08-10T19:29:54Z</t>
        </is>
      </c>
      <c r="O687" t="inlineStr">
        <is>
          <t>2026-08-10T19:29:54Z</t>
        </is>
      </c>
    </row>
    <row r="688">
      <c r="A688" s="19" t="inlineStr">
        <is>
          <t>687</t>
        </is>
      </c>
      <c r="B688" s="19" t="inlineStr">
        <is>
          <t>1012534</t>
        </is>
      </c>
      <c r="C688" t="inlineStr">
        <is>
          <t>AKÜ,L2,DK,60AH,IGYA SMF,EAS ACTIVA</t>
        </is>
      </c>
      <c r="D688" s="19" t="inlineStr">
        <is>
          <t>1</t>
        </is>
      </c>
      <c r="E688" t="n">
        <v>0</v>
      </c>
      <c r="I688" s="19" t="inlineStr">
        <is>
          <t>2</t>
        </is>
      </c>
      <c r="J688" t="inlineStr">
        <is>
          <t>2026-08-08</t>
        </is>
      </c>
      <c r="L688" s="19" t="inlineStr">
        <is>
          <t>1012534</t>
        </is>
      </c>
      <c r="M688" t="inlineStr">
        <is>
          <t>STATUS=IN OEM / EU PACKAGE; SOURCE_CFG=IA-ST-CFG-0222; MARKET=None</t>
        </is>
      </c>
      <c r="N688" t="inlineStr">
        <is>
          <t>2026-08-10T19:29:54Z</t>
        </is>
      </c>
      <c r="O688" t="inlineStr">
        <is>
          <t>2026-08-10T19:29:54Z</t>
        </is>
      </c>
    </row>
    <row r="689">
      <c r="A689" s="19" t="inlineStr">
        <is>
          <t>688</t>
        </is>
      </c>
      <c r="B689" s="19" t="inlineStr">
        <is>
          <t>1012535</t>
        </is>
      </c>
      <c r="C689" t="inlineStr">
        <is>
          <t>AKÜ,LB1,DK,46AH,IGYA SMF,HUGEL ULTRA</t>
        </is>
      </c>
      <c r="D689" s="19" t="inlineStr">
        <is>
          <t>1</t>
        </is>
      </c>
      <c r="E689" t="n">
        <v>0</v>
      </c>
      <c r="I689" s="19" t="inlineStr">
        <is>
          <t>2</t>
        </is>
      </c>
      <c r="J689" t="inlineStr">
        <is>
          <t>2026-08-08</t>
        </is>
      </c>
      <c r="L689" s="19" t="inlineStr">
        <is>
          <t>1012535</t>
        </is>
      </c>
      <c r="M689" t="inlineStr">
        <is>
          <t>STATUS=IN OEM / EU PACKAGE; SOURCE_CFG=IA-ST-CFG-0247; MARKET=None</t>
        </is>
      </c>
      <c r="N689" t="inlineStr">
        <is>
          <t>2026-08-10T19:29:54Z</t>
        </is>
      </c>
      <c r="O689" t="inlineStr">
        <is>
          <t>2026-08-10T19:29:54Z</t>
        </is>
      </c>
    </row>
    <row r="690">
      <c r="A690" s="19" t="inlineStr">
        <is>
          <t>689</t>
        </is>
      </c>
      <c r="B690" s="19" t="inlineStr">
        <is>
          <t>1012537</t>
        </is>
      </c>
      <c r="C690" t="inlineStr">
        <is>
          <t>AKÜ,L3,DK,66AH,IGYA SMF,HUGEL ACTION</t>
        </is>
      </c>
      <c r="D690" s="19" t="inlineStr">
        <is>
          <t>1</t>
        </is>
      </c>
      <c r="E690" t="n">
        <v>0</v>
      </c>
      <c r="I690" s="19" t="inlineStr">
        <is>
          <t>2</t>
        </is>
      </c>
      <c r="J690" t="inlineStr">
        <is>
          <t>2026-08-08</t>
        </is>
      </c>
      <c r="L690" s="19" t="inlineStr">
        <is>
          <t>1012537</t>
        </is>
      </c>
      <c r="M690" t="inlineStr">
        <is>
          <t>STATUS=IN OEM / EU PACKAGE; SOURCE_CFG=IA-ST-CFG-0179; MARKET=None</t>
        </is>
      </c>
      <c r="N690" t="inlineStr">
        <is>
          <t>2026-08-10T19:29:54Z</t>
        </is>
      </c>
      <c r="O690" t="inlineStr">
        <is>
          <t>2026-08-10T19:29:54Z</t>
        </is>
      </c>
    </row>
    <row r="691">
      <c r="A691" s="19" t="inlineStr">
        <is>
          <t>690</t>
        </is>
      </c>
      <c r="B691" s="19" t="inlineStr">
        <is>
          <t>1012541</t>
        </is>
      </c>
      <c r="C691" t="inlineStr">
        <is>
          <t>AKÜ,D31,TK,100AH,IGYA SMF,EAS ACTIVA</t>
        </is>
      </c>
      <c r="D691" s="19" t="inlineStr">
        <is>
          <t>1</t>
        </is>
      </c>
      <c r="E691" t="n">
        <v>0</v>
      </c>
      <c r="I691" s="19" t="inlineStr">
        <is>
          <t>2</t>
        </is>
      </c>
      <c r="J691" t="inlineStr">
        <is>
          <t>2026-08-08</t>
        </is>
      </c>
      <c r="L691" s="19" t="inlineStr">
        <is>
          <t>1012541</t>
        </is>
      </c>
      <c r="M691" t="inlineStr">
        <is>
          <t>STATUS=IN OEM / EU PACKAGE; SOURCE_CFG=IA-ST-CFG-0143; MARKET=None</t>
        </is>
      </c>
      <c r="N691" t="inlineStr">
        <is>
          <t>2026-08-10T19:29:54Z</t>
        </is>
      </c>
      <c r="O691" t="inlineStr">
        <is>
          <t>2026-08-10T19:29:54Z</t>
        </is>
      </c>
    </row>
    <row r="692">
      <c r="A692" s="19" t="inlineStr">
        <is>
          <t>691</t>
        </is>
      </c>
      <c r="B692" s="19" t="inlineStr">
        <is>
          <t>1012543</t>
        </is>
      </c>
      <c r="C692" t="inlineStr">
        <is>
          <t>AKÜ,D23,DK,50AH,IGYA SMF,HUGEL ULTRA</t>
        </is>
      </c>
      <c r="D692" s="19" t="inlineStr">
        <is>
          <t>1</t>
        </is>
      </c>
      <c r="E692" t="n">
        <v>0</v>
      </c>
      <c r="I692" s="19" t="inlineStr">
        <is>
          <t>2</t>
        </is>
      </c>
      <c r="J692" t="inlineStr">
        <is>
          <t>2026-08-08</t>
        </is>
      </c>
      <c r="L692" s="19" t="inlineStr">
        <is>
          <t>1012543</t>
        </is>
      </c>
      <c r="M692" t="inlineStr">
        <is>
          <t>STATUS=IN OEM / EU PACKAGE; SOURCE_CFG=IA-ST-CFG-0219; MARKET=None</t>
        </is>
      </c>
      <c r="N692" t="inlineStr">
        <is>
          <t>2026-08-10T19:29:54Z</t>
        </is>
      </c>
      <c r="O692" t="inlineStr">
        <is>
          <t>2026-08-10T19:29:54Z</t>
        </is>
      </c>
    </row>
    <row r="693">
      <c r="A693" s="19" t="inlineStr">
        <is>
          <t>692</t>
        </is>
      </c>
      <c r="B693" s="19" t="inlineStr">
        <is>
          <t>1012549</t>
        </is>
      </c>
      <c r="C693" t="inlineStr">
        <is>
          <t>AKÜ,L3,DK,72AH,IGYASMF,BLIZZARO SILVERLN</t>
        </is>
      </c>
      <c r="D693" s="19" t="inlineStr">
        <is>
          <t>1</t>
        </is>
      </c>
      <c r="E693" t="n">
        <v>0</v>
      </c>
      <c r="I693" s="19" t="inlineStr">
        <is>
          <t>2</t>
        </is>
      </c>
      <c r="J693" t="inlineStr">
        <is>
          <t>2026-08-08</t>
        </is>
      </c>
      <c r="L693" s="19" t="inlineStr">
        <is>
          <t>1012549</t>
        </is>
      </c>
      <c r="M693" t="inlineStr">
        <is>
          <t>STATUS=IN OEM / EU PACKAGE; SOURCE_CFG=IA-ST-CFG-0179; MARKET=None</t>
        </is>
      </c>
      <c r="N693" t="inlineStr">
        <is>
          <t>2026-08-10T19:29:54Z</t>
        </is>
      </c>
      <c r="O693" t="inlineStr">
        <is>
          <t>2026-08-10T19:29:54Z</t>
        </is>
      </c>
    </row>
    <row r="694">
      <c r="A694" s="19" t="inlineStr">
        <is>
          <t>693</t>
        </is>
      </c>
      <c r="B694" s="19" t="inlineStr">
        <is>
          <t>1012550</t>
        </is>
      </c>
      <c r="C694" t="inlineStr">
        <is>
          <t>AKÜ,D31,DK,70AH,IGYASMF,İNCİ FORM TAURUS</t>
        </is>
      </c>
      <c r="D694" s="19" t="inlineStr">
        <is>
          <t>1</t>
        </is>
      </c>
      <c r="E694" t="n">
        <v>0</v>
      </c>
      <c r="I694" s="19" t="inlineStr">
        <is>
          <t>2</t>
        </is>
      </c>
      <c r="J694" t="inlineStr">
        <is>
          <t>2026-08-08</t>
        </is>
      </c>
      <c r="L694" s="19" t="inlineStr">
        <is>
          <t>1012550</t>
        </is>
      </c>
      <c r="M694" t="inlineStr">
        <is>
          <t>STATUS=IN OEM / EU PACKAGE; SOURCE_CFG=IA-ST-CFG-0143; MARKET=None</t>
        </is>
      </c>
      <c r="N694" t="inlineStr">
        <is>
          <t>2026-08-10T19:29:54Z</t>
        </is>
      </c>
      <c r="O694" t="inlineStr">
        <is>
          <t>2026-08-10T19:29:54Z</t>
        </is>
      </c>
    </row>
    <row r="695">
      <c r="A695" s="19" t="inlineStr">
        <is>
          <t>694</t>
        </is>
      </c>
      <c r="B695" s="19" t="inlineStr">
        <is>
          <t>1012551</t>
        </is>
      </c>
      <c r="C695" t="inlineStr">
        <is>
          <t>AKÜ,D31,TK,70AH,IGYASMF,İNCİ FORM TAURUS</t>
        </is>
      </c>
      <c r="D695" s="19" t="inlineStr">
        <is>
          <t>1</t>
        </is>
      </c>
      <c r="E695" t="n">
        <v>0</v>
      </c>
      <c r="I695" s="19" t="inlineStr">
        <is>
          <t>2</t>
        </is>
      </c>
      <c r="J695" t="inlineStr">
        <is>
          <t>2026-08-08</t>
        </is>
      </c>
      <c r="L695" s="19" t="inlineStr">
        <is>
          <t>1012551</t>
        </is>
      </c>
      <c r="M695" t="inlineStr">
        <is>
          <t>STATUS=IN OEM / EU PACKAGE; SOURCE_CFG=IA-ST-CFG-0143; MARKET=None</t>
        </is>
      </c>
      <c r="N695" t="inlineStr">
        <is>
          <t>2026-08-10T19:29:54Z</t>
        </is>
      </c>
      <c r="O695" t="inlineStr">
        <is>
          <t>2026-08-10T19:29:54Z</t>
        </is>
      </c>
    </row>
    <row r="696">
      <c r="A696" s="19" t="inlineStr">
        <is>
          <t>695</t>
        </is>
      </c>
      <c r="B696" s="19" t="inlineStr">
        <is>
          <t>1012553</t>
        </is>
      </c>
      <c r="C696" t="inlineStr">
        <is>
          <t>AKÜ,NS60,DK,45AH,IGYA SMF,EAS ACTIVA</t>
        </is>
      </c>
      <c r="D696" s="19" t="inlineStr">
        <is>
          <t>1</t>
        </is>
      </c>
      <c r="E696" t="n">
        <v>0</v>
      </c>
      <c r="I696" s="19" t="inlineStr">
        <is>
          <t>2</t>
        </is>
      </c>
      <c r="J696" t="inlineStr">
        <is>
          <t>2026-08-08</t>
        </is>
      </c>
      <c r="L696" s="19" t="inlineStr">
        <is>
          <t>1012553</t>
        </is>
      </c>
      <c r="M696" t="inlineStr">
        <is>
          <t>STATUS=IN OEM / EU PACKAGE; SOURCE_CFG=IA-ST-CFG-0272; MARKET=None</t>
        </is>
      </c>
      <c r="N696" t="inlineStr">
        <is>
          <t>2026-08-10T19:29:54Z</t>
        </is>
      </c>
      <c r="O696" t="inlineStr">
        <is>
          <t>2026-08-10T19:29:54Z</t>
        </is>
      </c>
    </row>
    <row r="697">
      <c r="A697" s="19" t="inlineStr">
        <is>
          <t>696</t>
        </is>
      </c>
      <c r="B697" s="19" t="inlineStr">
        <is>
          <t>1012555</t>
        </is>
      </c>
      <c r="C697" t="inlineStr">
        <is>
          <t>AKÜ,NS40,DK,35AH,IGYSMF,BLIZZARO SILVERL</t>
        </is>
      </c>
      <c r="D697" s="19" t="inlineStr">
        <is>
          <t>1</t>
        </is>
      </c>
      <c r="E697" t="n">
        <v>0</v>
      </c>
      <c r="I697" s="19" t="inlineStr">
        <is>
          <t>2</t>
        </is>
      </c>
      <c r="J697" t="inlineStr">
        <is>
          <t>2026-08-08</t>
        </is>
      </c>
      <c r="L697" s="19" t="inlineStr">
        <is>
          <t>1012555</t>
        </is>
      </c>
      <c r="M697" t="inlineStr">
        <is>
          <t>STATUS=IN OEM / EU PACKAGE; SOURCE_CFG=IA-ST-CFG-0284; MARKET=None</t>
        </is>
      </c>
      <c r="N697" t="inlineStr">
        <is>
          <t>2026-08-10T19:29:54Z</t>
        </is>
      </c>
      <c r="O697" t="inlineStr">
        <is>
          <t>2026-08-10T19:29:54Z</t>
        </is>
      </c>
    </row>
    <row r="698">
      <c r="A698" s="19" t="inlineStr">
        <is>
          <t>697</t>
        </is>
      </c>
      <c r="B698" s="19" t="inlineStr">
        <is>
          <t>1012559</t>
        </is>
      </c>
      <c r="C698" t="inlineStr">
        <is>
          <t>AKÜ,LB1,DK,44AH,IGYASMF,İNCİ FORM TAURUS</t>
        </is>
      </c>
      <c r="D698" s="19" t="inlineStr">
        <is>
          <t>1</t>
        </is>
      </c>
      <c r="E698" t="n">
        <v>0</v>
      </c>
      <c r="I698" s="19" t="inlineStr">
        <is>
          <t>2</t>
        </is>
      </c>
      <c r="J698" t="inlineStr">
        <is>
          <t>2026-08-08</t>
        </is>
      </c>
      <c r="L698" s="19" t="inlineStr">
        <is>
          <t>1012559</t>
        </is>
      </c>
      <c r="M698" t="inlineStr">
        <is>
          <t>STATUS=IN OEM / EU PACKAGE; SOURCE_CFG=IA-ST-CFG-0247; MARKET=None</t>
        </is>
      </c>
      <c r="N698" t="inlineStr">
        <is>
          <t>2026-08-10T19:29:54Z</t>
        </is>
      </c>
      <c r="O698" t="inlineStr">
        <is>
          <t>2026-08-10T19:29:54Z</t>
        </is>
      </c>
    </row>
    <row r="699">
      <c r="A699" s="19" t="inlineStr">
        <is>
          <t>698</t>
        </is>
      </c>
      <c r="B699" s="19" t="inlineStr">
        <is>
          <t>1012560</t>
        </is>
      </c>
      <c r="C699" t="inlineStr">
        <is>
          <t>AKÜ,L2,TK,55AH,IGYA SMF,İNCİ FORM TAURUS</t>
        </is>
      </c>
      <c r="D699" s="19" t="inlineStr">
        <is>
          <t>1</t>
        </is>
      </c>
      <c r="E699" t="n">
        <v>0</v>
      </c>
      <c r="I699" s="19" t="inlineStr">
        <is>
          <t>2</t>
        </is>
      </c>
      <c r="J699" t="inlineStr">
        <is>
          <t>2026-08-08</t>
        </is>
      </c>
      <c r="L699" s="19" t="inlineStr">
        <is>
          <t>1012560</t>
        </is>
      </c>
      <c r="M699" t="inlineStr">
        <is>
          <t>STATUS=IN OEM / EU PACKAGE; SOURCE_CFG=IA-ST-CFG-0222; MARKET=None</t>
        </is>
      </c>
      <c r="N699" t="inlineStr">
        <is>
          <t>2026-08-10T19:29:54Z</t>
        </is>
      </c>
      <c r="O699" t="inlineStr">
        <is>
          <t>2026-08-10T19:29:54Z</t>
        </is>
      </c>
    </row>
    <row r="700">
      <c r="A700" s="19" t="inlineStr">
        <is>
          <t>699</t>
        </is>
      </c>
      <c r="B700" s="19" t="inlineStr">
        <is>
          <t>1012562</t>
        </is>
      </c>
      <c r="C700" t="inlineStr">
        <is>
          <t>AKÜ,L5,DK,90AH,IGYA SMF,İNCİ FORM TAURUS</t>
        </is>
      </c>
      <c r="D700" s="19" t="inlineStr">
        <is>
          <t>1</t>
        </is>
      </c>
      <c r="E700" t="n">
        <v>0</v>
      </c>
      <c r="I700" s="19" t="inlineStr">
        <is>
          <t>2</t>
        </is>
      </c>
      <c r="J700" t="inlineStr">
        <is>
          <t>2026-08-08</t>
        </is>
      </c>
      <c r="L700" s="19" t="inlineStr">
        <is>
          <t>1012562</t>
        </is>
      </c>
      <c r="M700" t="inlineStr">
        <is>
          <t>STATUS=IN OEM / EU PACKAGE; SOURCE_CFG=IA-ST-CFG-0096; MARKET=None</t>
        </is>
      </c>
      <c r="N700" t="inlineStr">
        <is>
          <t>2026-08-10T19:29:54Z</t>
        </is>
      </c>
      <c r="O700" t="inlineStr">
        <is>
          <t>2026-08-10T19:29:54Z</t>
        </is>
      </c>
    </row>
    <row r="701">
      <c r="A701" s="19" t="inlineStr">
        <is>
          <t>700</t>
        </is>
      </c>
      <c r="B701" s="19" t="inlineStr">
        <is>
          <t>1012563</t>
        </is>
      </c>
      <c r="C701" t="inlineStr">
        <is>
          <t>AKÜ,LB3,DK,72AH,IGYSMF,İNCİFORMTAUR,EURO</t>
        </is>
      </c>
      <c r="D701" s="19" t="inlineStr">
        <is>
          <t>1</t>
        </is>
      </c>
      <c r="E701" t="n">
        <v>0</v>
      </c>
      <c r="I701" s="19" t="inlineStr">
        <is>
          <t>2</t>
        </is>
      </c>
      <c r="J701" t="inlineStr">
        <is>
          <t>2026-08-08</t>
        </is>
      </c>
      <c r="L701" s="19" t="inlineStr">
        <is>
          <t>1012563</t>
        </is>
      </c>
      <c r="M701" t="inlineStr">
        <is>
          <t>STATUS=IN OEM / EU PACKAGE; SOURCE_CFG=IA-ST-CFG-0199; MARKET=None</t>
        </is>
      </c>
      <c r="N701" t="inlineStr">
        <is>
          <t>2026-08-10T19:29:54Z</t>
        </is>
      </c>
      <c r="O701" t="inlineStr">
        <is>
          <t>2026-08-10T19:29:54Z</t>
        </is>
      </c>
    </row>
    <row r="702">
      <c r="A702" s="19" t="inlineStr">
        <is>
          <t>701</t>
        </is>
      </c>
      <c r="B702" s="19" t="inlineStr">
        <is>
          <t>1012568</t>
        </is>
      </c>
      <c r="C702" t="inlineStr">
        <is>
          <t>AKÜ,D26,DK,75AH,IGYA SMF,HUGEL ULTRA</t>
        </is>
      </c>
      <c r="D702" s="19" t="inlineStr">
        <is>
          <t>1</t>
        </is>
      </c>
      <c r="E702" t="n">
        <v>0</v>
      </c>
      <c r="I702" s="19" t="inlineStr">
        <is>
          <t>2</t>
        </is>
      </c>
      <c r="J702" t="inlineStr">
        <is>
          <t>2026-08-08</t>
        </is>
      </c>
      <c r="L702" s="19" t="inlineStr">
        <is>
          <t>1012568</t>
        </is>
      </c>
      <c r="M702" t="inlineStr">
        <is>
          <t>STATUS=IN OEM / EU PACKAGE; SOURCE_CFG=IA-ST-CFG-0175; MARKET=None</t>
        </is>
      </c>
      <c r="N702" t="inlineStr">
        <is>
          <t>2026-08-10T19:29:54Z</t>
        </is>
      </c>
      <c r="O702" t="inlineStr">
        <is>
          <t>2026-08-10T19:29:54Z</t>
        </is>
      </c>
    </row>
    <row r="703">
      <c r="A703" s="19" t="inlineStr">
        <is>
          <t>702</t>
        </is>
      </c>
      <c r="B703" s="19" t="inlineStr">
        <is>
          <t>1012570</t>
        </is>
      </c>
      <c r="C703" t="inlineStr">
        <is>
          <t>AKÜ,LB2,DK,62AH,IGYSMF,İNCİFORMTAUR,EURO</t>
        </is>
      </c>
      <c r="D703" s="19" t="inlineStr">
        <is>
          <t>1</t>
        </is>
      </c>
      <c r="E703" t="n">
        <v>0</v>
      </c>
      <c r="I703" s="19" t="inlineStr">
        <is>
          <t>2</t>
        </is>
      </c>
      <c r="J703" t="inlineStr">
        <is>
          <t>2026-08-08</t>
        </is>
      </c>
      <c r="L703" s="19" t="inlineStr">
        <is>
          <t>1012570</t>
        </is>
      </c>
      <c r="M703" t="inlineStr">
        <is>
          <t>STATUS=IN OEM / EU PACKAGE; SOURCE_CFG=IA-ST-CFG-0240; MARKET=None</t>
        </is>
      </c>
      <c r="N703" t="inlineStr">
        <is>
          <t>2026-08-10T19:29:54Z</t>
        </is>
      </c>
      <c r="O703" t="inlineStr">
        <is>
          <t>2026-08-10T19:29:54Z</t>
        </is>
      </c>
    </row>
    <row r="704">
      <c r="A704" s="19" t="inlineStr">
        <is>
          <t>703</t>
        </is>
      </c>
      <c r="B704" s="19" t="inlineStr">
        <is>
          <t>1012577</t>
        </is>
      </c>
      <c r="C704" t="inlineStr">
        <is>
          <t>AKÜ,L2,DK,55AH,IGYSMF,EAS ACTVKOLİ,ATWAN</t>
        </is>
      </c>
      <c r="D704" s="19" t="inlineStr">
        <is>
          <t>1</t>
        </is>
      </c>
      <c r="E704" t="n">
        <v>0</v>
      </c>
      <c r="I704" s="19" t="inlineStr">
        <is>
          <t>2</t>
        </is>
      </c>
      <c r="J704" t="inlineStr">
        <is>
          <t>2026-08-08</t>
        </is>
      </c>
      <c r="L704" s="19" t="inlineStr">
        <is>
          <t>1012577</t>
        </is>
      </c>
      <c r="M704" t="inlineStr">
        <is>
          <t>STATUS=IN OEM / EU PACKAGE; SOURCE_CFG=IA-ST-CFG-0254; MARKET=MISIR ATWAN</t>
        </is>
      </c>
      <c r="N704" t="inlineStr">
        <is>
          <t>2026-08-10T19:29:54Z</t>
        </is>
      </c>
      <c r="O704" t="inlineStr">
        <is>
          <t>2026-08-10T19:29:54Z</t>
        </is>
      </c>
    </row>
    <row r="705">
      <c r="A705" s="19" t="inlineStr">
        <is>
          <t>704</t>
        </is>
      </c>
      <c r="B705" s="19" t="inlineStr">
        <is>
          <t>1012578</t>
        </is>
      </c>
      <c r="C705" t="inlineStr">
        <is>
          <t>AKÜ,D31,TK,100AH,IGYSMF,İNCİ FORM TAURUS</t>
        </is>
      </c>
      <c r="D705" s="19" t="inlineStr">
        <is>
          <t>1</t>
        </is>
      </c>
      <c r="E705" t="n">
        <v>0</v>
      </c>
      <c r="I705" s="19" t="inlineStr">
        <is>
          <t>2</t>
        </is>
      </c>
      <c r="J705" t="inlineStr">
        <is>
          <t>2026-08-08</t>
        </is>
      </c>
      <c r="L705" s="19" t="inlineStr">
        <is>
          <t>1012578</t>
        </is>
      </c>
      <c r="M705" t="inlineStr">
        <is>
          <t>STATUS=IN OEM / EU PACKAGE; SOURCE_CFG=IA-ST-CFG-0143; MARKET=None</t>
        </is>
      </c>
      <c r="N705" t="inlineStr">
        <is>
          <t>2026-08-10T19:29:54Z</t>
        </is>
      </c>
      <c r="O705" t="inlineStr">
        <is>
          <t>2026-08-10T19:29:54Z</t>
        </is>
      </c>
    </row>
    <row r="706">
      <c r="A706" s="19" t="inlineStr">
        <is>
          <t>705</t>
        </is>
      </c>
      <c r="B706" s="19" t="inlineStr">
        <is>
          <t>1012583</t>
        </is>
      </c>
      <c r="C706" t="inlineStr">
        <is>
          <t>AKÜ,NS60,DK,45AH,IGYSMF,İNCİ FORM TAURUS</t>
        </is>
      </c>
      <c r="D706" s="19" t="inlineStr">
        <is>
          <t>1</t>
        </is>
      </c>
      <c r="E706" t="n">
        <v>0</v>
      </c>
      <c r="I706" s="19" t="inlineStr">
        <is>
          <t>2</t>
        </is>
      </c>
      <c r="J706" t="inlineStr">
        <is>
          <t>2026-08-08</t>
        </is>
      </c>
      <c r="L706" s="19" t="inlineStr">
        <is>
          <t>1012583</t>
        </is>
      </c>
      <c r="M706" t="inlineStr">
        <is>
          <t>STATUS=IN OEM / EU PACKAGE; SOURCE_CFG=IA-ST-CFG-0272; MARKET=None</t>
        </is>
      </c>
      <c r="N706" t="inlineStr">
        <is>
          <t>2026-08-10T19:29:54Z</t>
        </is>
      </c>
      <c r="O706" t="inlineStr">
        <is>
          <t>2026-08-10T19:29:54Z</t>
        </is>
      </c>
    </row>
    <row r="707">
      <c r="A707" s="19" t="inlineStr">
        <is>
          <t>706</t>
        </is>
      </c>
      <c r="B707" s="19" t="inlineStr">
        <is>
          <t>1012584</t>
        </is>
      </c>
      <c r="C707" t="inlineStr">
        <is>
          <t>AKÜ,L2,TK,55AH,IGYA SMF,İNCİ FORM TAURUS</t>
        </is>
      </c>
      <c r="D707" s="19" t="inlineStr">
        <is>
          <t>1</t>
        </is>
      </c>
      <c r="E707" t="n">
        <v>0</v>
      </c>
      <c r="I707" s="19" t="inlineStr">
        <is>
          <t>2</t>
        </is>
      </c>
      <c r="J707" t="inlineStr">
        <is>
          <t>2026-08-08</t>
        </is>
      </c>
      <c r="L707" s="19" t="inlineStr">
        <is>
          <t>1012584</t>
        </is>
      </c>
      <c r="M707" t="inlineStr">
        <is>
          <t>STATUS=IN OEM / EU PACKAGE; SOURCE_CFG=IA-ST-CFG-0222; MARKET=None</t>
        </is>
      </c>
      <c r="N707" t="inlineStr">
        <is>
          <t>2026-08-10T19:29:54Z</t>
        </is>
      </c>
      <c r="O707" t="inlineStr">
        <is>
          <t>2026-08-10T19:29:54Z</t>
        </is>
      </c>
    </row>
    <row r="708">
      <c r="A708" s="19" t="inlineStr">
        <is>
          <t>707</t>
        </is>
      </c>
      <c r="B708" s="19" t="inlineStr">
        <is>
          <t>1012586</t>
        </is>
      </c>
      <c r="C708" t="inlineStr">
        <is>
          <t>AKÜ,LB3,DK,70AH,IGYASMF,İNCİ FORM TAURUS</t>
        </is>
      </c>
      <c r="D708" s="19" t="inlineStr">
        <is>
          <t>1</t>
        </is>
      </c>
      <c r="E708" t="n">
        <v>0</v>
      </c>
      <c r="I708" s="19" t="inlineStr">
        <is>
          <t>2</t>
        </is>
      </c>
      <c r="J708" t="inlineStr">
        <is>
          <t>2026-08-08</t>
        </is>
      </c>
      <c r="L708" s="19" t="inlineStr">
        <is>
          <t>1012586</t>
        </is>
      </c>
      <c r="M708" t="inlineStr">
        <is>
          <t>STATUS=IN OEM / EU PACKAGE; SOURCE_CFG=IA-ST-CFG-0178; MARKET=None</t>
        </is>
      </c>
      <c r="N708" t="inlineStr">
        <is>
          <t>2026-08-10T19:29:54Z</t>
        </is>
      </c>
      <c r="O708" t="inlineStr">
        <is>
          <t>2026-08-10T19:29:54Z</t>
        </is>
      </c>
    </row>
    <row r="709">
      <c r="A709" s="19" t="inlineStr">
        <is>
          <t>708</t>
        </is>
      </c>
      <c r="B709" s="19" t="inlineStr">
        <is>
          <t>1012587</t>
        </is>
      </c>
      <c r="C709" t="inlineStr">
        <is>
          <t>AKÜ,LB2,DK,60AH,IGYASMF,İNCİ FORM TAURUS</t>
        </is>
      </c>
      <c r="D709" s="19" t="inlineStr">
        <is>
          <t>1</t>
        </is>
      </c>
      <c r="E709" t="n">
        <v>0</v>
      </c>
      <c r="I709" s="19" t="inlineStr">
        <is>
          <t>2</t>
        </is>
      </c>
      <c r="J709" t="inlineStr">
        <is>
          <t>2026-08-08</t>
        </is>
      </c>
      <c r="L709" s="19" t="inlineStr">
        <is>
          <t>1012587</t>
        </is>
      </c>
      <c r="M709" t="inlineStr">
        <is>
          <t>STATUS=IN OEM / EU PACKAGE; SOURCE_CFG=IA-ST-CFG-0222; MARKET=None</t>
        </is>
      </c>
      <c r="N709" t="inlineStr">
        <is>
          <t>2026-08-10T19:29:54Z</t>
        </is>
      </c>
      <c r="O709" t="inlineStr">
        <is>
          <t>2026-08-10T19:29:54Z</t>
        </is>
      </c>
    </row>
    <row r="710">
      <c r="A710" s="19" t="inlineStr">
        <is>
          <t>709</t>
        </is>
      </c>
      <c r="B710" s="19" t="inlineStr">
        <is>
          <t>1012588</t>
        </is>
      </c>
      <c r="C710" t="inlineStr">
        <is>
          <t>AKÜ,L5,DK,92AH,IGYA SMF,İNCİ FORM TAURUS</t>
        </is>
      </c>
      <c r="D710" s="19" t="inlineStr">
        <is>
          <t>1</t>
        </is>
      </c>
      <c r="E710" t="n">
        <v>0</v>
      </c>
      <c r="I710" s="19" t="inlineStr">
        <is>
          <t>2</t>
        </is>
      </c>
      <c r="J710" t="inlineStr">
        <is>
          <t>2026-08-08</t>
        </is>
      </c>
      <c r="L710" s="19" t="inlineStr">
        <is>
          <t>1012588</t>
        </is>
      </c>
      <c r="M710" t="inlineStr">
        <is>
          <t>STATUS=IN OEM / EU PACKAGE; SOURCE_CFG=IA-ST-CFG-0096; MARKET=None</t>
        </is>
      </c>
      <c r="N710" t="inlineStr">
        <is>
          <t>2026-08-10T19:29:54Z</t>
        </is>
      </c>
      <c r="O710" t="inlineStr">
        <is>
          <t>2026-08-10T19:29:54Z</t>
        </is>
      </c>
    </row>
    <row r="711">
      <c r="A711" s="19" t="inlineStr">
        <is>
          <t>710</t>
        </is>
      </c>
      <c r="B711" s="19" t="inlineStr">
        <is>
          <t>1012597</t>
        </is>
      </c>
      <c r="C711" t="inlineStr">
        <is>
          <t>AKÜ,LB2,DK60AH,IGYSMF,BLIZZAROS&amp;S,JANENE</t>
        </is>
      </c>
      <c r="D711" s="19" t="inlineStr">
        <is>
          <t>1</t>
        </is>
      </c>
      <c r="E711" t="n">
        <v>0</v>
      </c>
      <c r="I711" s="19" t="inlineStr">
        <is>
          <t>2</t>
        </is>
      </c>
      <c r="J711" t="inlineStr">
        <is>
          <t>2026-08-08</t>
        </is>
      </c>
      <c r="L711" s="19" t="inlineStr">
        <is>
          <t>1012597</t>
        </is>
      </c>
      <c r="M711" t="inlineStr">
        <is>
          <t>STATUS=IN OEM / EU PACKAGE; SOURCE_CFG=IA-ST-CFG-0222; MARKET=JANENE İSRAİL</t>
        </is>
      </c>
      <c r="N711" t="inlineStr">
        <is>
          <t>2026-08-10T19:29:54Z</t>
        </is>
      </c>
      <c r="O711" t="inlineStr">
        <is>
          <t>2026-08-10T19:29:54Z</t>
        </is>
      </c>
    </row>
    <row r="712">
      <c r="A712" s="19" t="inlineStr">
        <is>
          <t>711</t>
        </is>
      </c>
      <c r="B712" s="19" t="inlineStr">
        <is>
          <t>1012599</t>
        </is>
      </c>
      <c r="C712" t="inlineStr">
        <is>
          <t>AKÜ,L2,DK,60AH,IGYSMF,HUGELULTRA,TÜRKMEN</t>
        </is>
      </c>
      <c r="D712" s="19" t="inlineStr">
        <is>
          <t>1</t>
        </is>
      </c>
      <c r="E712" t="n">
        <v>0</v>
      </c>
      <c r="I712" s="19" t="inlineStr">
        <is>
          <t>2</t>
        </is>
      </c>
      <c r="J712" t="inlineStr">
        <is>
          <t>2026-08-08</t>
        </is>
      </c>
      <c r="L712" s="19" t="inlineStr">
        <is>
          <t>1012599</t>
        </is>
      </c>
      <c r="M712" t="inlineStr">
        <is>
          <t>STATUS=IN OEM / EU PACKAGE; SOURCE_CFG=IA-ST-CFG-0222; MARKET=TÜRKMENİSTAN</t>
        </is>
      </c>
      <c r="N712" t="inlineStr">
        <is>
          <t>2026-08-10T19:29:54Z</t>
        </is>
      </c>
      <c r="O712" t="inlineStr">
        <is>
          <t>2026-08-10T19:29:54Z</t>
        </is>
      </c>
    </row>
    <row r="713">
      <c r="A713" s="19" t="inlineStr">
        <is>
          <t>712</t>
        </is>
      </c>
      <c r="B713" s="19" t="inlineStr">
        <is>
          <t>1012600</t>
        </is>
      </c>
      <c r="C713" t="inlineStr">
        <is>
          <t>AKÜ,LB4,DK,80AH,IGYA SMF,EAS ACTIVA,EURO</t>
        </is>
      </c>
      <c r="D713" s="19" t="inlineStr">
        <is>
          <t>1</t>
        </is>
      </c>
      <c r="E713" t="n">
        <v>0</v>
      </c>
      <c r="I713" s="19" t="inlineStr">
        <is>
          <t>2</t>
        </is>
      </c>
      <c r="J713" t="inlineStr">
        <is>
          <t>2026-08-08</t>
        </is>
      </c>
      <c r="L713" s="19" t="inlineStr">
        <is>
          <t>1012600</t>
        </is>
      </c>
      <c r="M713" t="inlineStr">
        <is>
          <t>STATUS=IN OEM / EU PACKAGE; SOURCE_CFG=IA-ST-CFG-0152; MARKET=ATHLANTIC SUHI</t>
        </is>
      </c>
      <c r="N713" t="inlineStr">
        <is>
          <t>2026-08-10T19:29:54Z</t>
        </is>
      </c>
      <c r="O713" t="inlineStr">
        <is>
          <t>2026-08-10T19:29:54Z</t>
        </is>
      </c>
    </row>
    <row r="714">
      <c r="A714" s="19" t="inlineStr">
        <is>
          <t>713</t>
        </is>
      </c>
      <c r="B714" s="19" t="inlineStr">
        <is>
          <t>1012612</t>
        </is>
      </c>
      <c r="C714" t="inlineStr">
        <is>
          <t>AKÜ,LB2,DK,60AH,IGYSMF,İNCİ FORM,TRADING</t>
        </is>
      </c>
      <c r="D714" s="19" t="inlineStr">
        <is>
          <t>1</t>
        </is>
      </c>
      <c r="E714" t="n">
        <v>0</v>
      </c>
      <c r="I714" s="19" t="inlineStr">
        <is>
          <t>2</t>
        </is>
      </c>
      <c r="J714" t="inlineStr">
        <is>
          <t>2026-08-08</t>
        </is>
      </c>
      <c r="L714" s="19" t="inlineStr">
        <is>
          <t>1012612</t>
        </is>
      </c>
      <c r="M714" t="inlineStr">
        <is>
          <t>STATUS=IN OEM / EU PACKAGE; SOURCE_CFG=IA-ST-CFG-0163; MARKET=START TRADING BULGARİSTAN</t>
        </is>
      </c>
      <c r="N714" t="inlineStr">
        <is>
          <t>2026-08-10T19:29:54Z</t>
        </is>
      </c>
      <c r="O714" t="inlineStr">
        <is>
          <t>2026-08-10T19:29:54Z</t>
        </is>
      </c>
    </row>
    <row r="715">
      <c r="A715" s="19" t="inlineStr">
        <is>
          <t>714</t>
        </is>
      </c>
      <c r="B715" s="19" t="inlineStr">
        <is>
          <t>1012613</t>
        </is>
      </c>
      <c r="C715" t="inlineStr">
        <is>
          <t>AKÜ,L3,DK,75AH,IGYASMF,İNCİ FORM,TRADING</t>
        </is>
      </c>
      <c r="D715" s="19" t="inlineStr">
        <is>
          <t>1</t>
        </is>
      </c>
      <c r="E715" t="n">
        <v>0</v>
      </c>
      <c r="I715" s="19" t="inlineStr">
        <is>
          <t>2</t>
        </is>
      </c>
      <c r="J715" t="inlineStr">
        <is>
          <t>2026-08-08</t>
        </is>
      </c>
      <c r="L715" s="19" t="inlineStr">
        <is>
          <t>1012613</t>
        </is>
      </c>
      <c r="M715" t="inlineStr">
        <is>
          <t>STATUS=IN OEM / EU PACKAGE; SOURCE_CFG=IA-ST-CFG-0134; MARKET=START TRADING BULGARİSTAN</t>
        </is>
      </c>
      <c r="N715" t="inlineStr">
        <is>
          <t>2026-08-10T19:29:54Z</t>
        </is>
      </c>
      <c r="O715" t="inlineStr">
        <is>
          <t>2026-08-10T19:29:54Z</t>
        </is>
      </c>
    </row>
    <row r="716">
      <c r="A716" s="19" t="inlineStr">
        <is>
          <t>715</t>
        </is>
      </c>
      <c r="B716" s="19" t="inlineStr">
        <is>
          <t>1012614</t>
        </is>
      </c>
      <c r="C716" t="inlineStr">
        <is>
          <t>AKÜ,L4,DK,82AH,IGYASMF,İNCİ FORM,TRADING</t>
        </is>
      </c>
      <c r="D716" s="19" t="inlineStr">
        <is>
          <t>1</t>
        </is>
      </c>
      <c r="E716" t="n">
        <v>0</v>
      </c>
      <c r="I716" s="19" t="inlineStr">
        <is>
          <t>2</t>
        </is>
      </c>
      <c r="J716" t="inlineStr">
        <is>
          <t>2026-08-08</t>
        </is>
      </c>
      <c r="L716" s="19" t="inlineStr">
        <is>
          <t>1012614</t>
        </is>
      </c>
      <c r="M716" t="inlineStr">
        <is>
          <t>STATUS=IN OEM / EU PACKAGE; SOURCE_CFG=IA-ST-CFG-0086; MARKET=START TRADING BULGARİSTAN</t>
        </is>
      </c>
      <c r="N716" t="inlineStr">
        <is>
          <t>2026-08-10T19:29:54Z</t>
        </is>
      </c>
      <c r="O716" t="inlineStr">
        <is>
          <t>2026-08-10T19:29:54Z</t>
        </is>
      </c>
    </row>
    <row r="717">
      <c r="A717" s="19" t="inlineStr">
        <is>
          <t>716</t>
        </is>
      </c>
      <c r="B717" s="19" t="inlineStr">
        <is>
          <t>1012615</t>
        </is>
      </c>
      <c r="C717" t="inlineStr">
        <is>
          <t>AKÜ,L5,DK,100AH,IGYSMF,İNCİ FORM,TRADING</t>
        </is>
      </c>
      <c r="D717" s="19" t="inlineStr">
        <is>
          <t>1</t>
        </is>
      </c>
      <c r="E717" t="n">
        <v>0</v>
      </c>
      <c r="I717" s="19" t="inlineStr">
        <is>
          <t>2</t>
        </is>
      </c>
      <c r="J717" t="inlineStr">
        <is>
          <t>2026-08-08</t>
        </is>
      </c>
      <c r="L717" s="19" t="inlineStr">
        <is>
          <t>1012615</t>
        </is>
      </c>
      <c r="M717" t="inlineStr">
        <is>
          <t>STATUS=IN OEM / EU PACKAGE; SOURCE_CFG=IA-ST-CFG-0071; MARKET=START TRADING BULGARİSTAN</t>
        </is>
      </c>
      <c r="N717" t="inlineStr">
        <is>
          <t>2026-08-10T19:29:54Z</t>
        </is>
      </c>
      <c r="O717" t="inlineStr">
        <is>
          <t>2026-08-10T19:29:54Z</t>
        </is>
      </c>
    </row>
    <row r="718">
      <c r="A718" s="19" t="inlineStr">
        <is>
          <t>717</t>
        </is>
      </c>
      <c r="B718" s="19" t="inlineStr">
        <is>
          <t>1012618</t>
        </is>
      </c>
      <c r="C718" t="inlineStr">
        <is>
          <t>AKÜ,L3,DK,75AH,IGYSMF,HUGELULTRA,TRADING</t>
        </is>
      </c>
      <c r="D718" s="19" t="inlineStr">
        <is>
          <t>1</t>
        </is>
      </c>
      <c r="E718" t="n">
        <v>0</v>
      </c>
      <c r="I718" s="19" t="inlineStr">
        <is>
          <t>2</t>
        </is>
      </c>
      <c r="J718" t="inlineStr">
        <is>
          <t>2026-08-08</t>
        </is>
      </c>
      <c r="L718" s="19" t="inlineStr">
        <is>
          <t>1012618</t>
        </is>
      </c>
      <c r="M718" t="inlineStr">
        <is>
          <t>STATUS=IN OEM / EU PACKAGE; SOURCE_CFG=IA-ST-CFG-0134; MARKET=START TRADING BULGARİSTAN</t>
        </is>
      </c>
      <c r="N718" t="inlineStr">
        <is>
          <t>2026-08-10T19:29:54Z</t>
        </is>
      </c>
      <c r="O718" t="inlineStr">
        <is>
          <t>2026-08-10T19:29:54Z</t>
        </is>
      </c>
    </row>
    <row r="719">
      <c r="A719" s="19" t="inlineStr">
        <is>
          <t>718</t>
        </is>
      </c>
      <c r="B719" s="19" t="inlineStr">
        <is>
          <t>1012619</t>
        </is>
      </c>
      <c r="C719" t="inlineStr">
        <is>
          <t>AKÜ,L4,DK,82AH,IGYSMF,HUGELULTRA,TRADING</t>
        </is>
      </c>
      <c r="D719" s="19" t="inlineStr">
        <is>
          <t>1</t>
        </is>
      </c>
      <c r="E719" t="n">
        <v>0</v>
      </c>
      <c r="I719" s="19" t="inlineStr">
        <is>
          <t>2</t>
        </is>
      </c>
      <c r="J719" t="inlineStr">
        <is>
          <t>2026-08-08</t>
        </is>
      </c>
      <c r="L719" s="19" t="inlineStr">
        <is>
          <t>1012619</t>
        </is>
      </c>
      <c r="M719" t="inlineStr">
        <is>
          <t>STATUS=IN OEM / EU PACKAGE; SOURCE_CFG=IA-ST-CFG-0086; MARKET=START TRADING BULGARİSTAN</t>
        </is>
      </c>
      <c r="N719" t="inlineStr">
        <is>
          <t>2026-08-10T19:29:54Z</t>
        </is>
      </c>
      <c r="O719" t="inlineStr">
        <is>
          <t>2026-08-10T19:29:54Z</t>
        </is>
      </c>
    </row>
    <row r="720">
      <c r="A720" s="19" t="inlineStr">
        <is>
          <t>719</t>
        </is>
      </c>
      <c r="B720" s="19" t="inlineStr">
        <is>
          <t>1012620</t>
        </is>
      </c>
      <c r="C720" t="inlineStr">
        <is>
          <t>AKÜ,L5,DK,100AH,IGYSMF,HUGELULTR,TRADING</t>
        </is>
      </c>
      <c r="D720" s="19" t="inlineStr">
        <is>
          <t>1</t>
        </is>
      </c>
      <c r="E720" t="n">
        <v>0</v>
      </c>
      <c r="I720" s="19" t="inlineStr">
        <is>
          <t>2</t>
        </is>
      </c>
      <c r="J720" t="inlineStr">
        <is>
          <t>2026-08-08</t>
        </is>
      </c>
      <c r="L720" s="19" t="inlineStr">
        <is>
          <t>1012620</t>
        </is>
      </c>
      <c r="M720" t="inlineStr">
        <is>
          <t>STATUS=IN OEM / EU PACKAGE; SOURCE_CFG=IA-ST-CFG-0071; MARKET=START TRADING BULGARİSTAN</t>
        </is>
      </c>
      <c r="N720" t="inlineStr">
        <is>
          <t>2026-08-10T19:29:54Z</t>
        </is>
      </c>
      <c r="O720" t="inlineStr">
        <is>
          <t>2026-08-10T19:29:54Z</t>
        </is>
      </c>
    </row>
    <row r="721">
      <c r="A721" s="19" t="inlineStr">
        <is>
          <t>720</t>
        </is>
      </c>
      <c r="B721" s="19" t="inlineStr">
        <is>
          <t>1012624</t>
        </is>
      </c>
      <c r="C721" t="inlineStr">
        <is>
          <t>AKÜ,LB1,DK,44AH,IGYSMF,İNCİ FORM,TRADING</t>
        </is>
      </c>
      <c r="D721" s="19" t="inlineStr">
        <is>
          <t>1</t>
        </is>
      </c>
      <c r="E721" t="n">
        <v>0</v>
      </c>
      <c r="I721" s="19" t="inlineStr">
        <is>
          <t>2</t>
        </is>
      </c>
      <c r="J721" t="inlineStr">
        <is>
          <t>2026-08-08</t>
        </is>
      </c>
      <c r="L721" s="19" t="inlineStr">
        <is>
          <t>1012624</t>
        </is>
      </c>
      <c r="M721" t="inlineStr">
        <is>
          <t>STATUS=IN OEM / EU PACKAGE; SOURCE_CFG=IA-ST-CFG-0204; MARKET=START TRADING BULGARİSTAN</t>
        </is>
      </c>
      <c r="N721" t="inlineStr">
        <is>
          <t>2026-08-10T19:29:54Z</t>
        </is>
      </c>
      <c r="O721" t="inlineStr">
        <is>
          <t>2026-08-10T19:29:54Z</t>
        </is>
      </c>
    </row>
    <row r="722">
      <c r="A722" s="19" t="inlineStr">
        <is>
          <t>721</t>
        </is>
      </c>
      <c r="B722" s="19" t="inlineStr">
        <is>
          <t>1012628</t>
        </is>
      </c>
      <c r="C722" t="inlineStr">
        <is>
          <t>AKÜ,L1,DK,54AH,IGYA SMF,İNCİ MAXIMA,EURO</t>
        </is>
      </c>
      <c r="D722" s="19" t="inlineStr">
        <is>
          <t>1</t>
        </is>
      </c>
      <c r="E722" t="n">
        <v>0</v>
      </c>
      <c r="I722" s="19" t="inlineStr">
        <is>
          <t>2</t>
        </is>
      </c>
      <c r="J722" t="inlineStr">
        <is>
          <t>2026-08-08</t>
        </is>
      </c>
      <c r="L722" s="19" t="inlineStr">
        <is>
          <t>1012628</t>
        </is>
      </c>
      <c r="M722" t="inlineStr">
        <is>
          <t>STATUS=IN OEM / EU PACKAGE; SOURCE_CFG=IA-ST-CFG-0265; MARKET=None</t>
        </is>
      </c>
      <c r="N722" t="inlineStr">
        <is>
          <t>2026-08-10T19:29:54Z</t>
        </is>
      </c>
      <c r="O722" t="inlineStr">
        <is>
          <t>2026-08-10T19:29:54Z</t>
        </is>
      </c>
    </row>
    <row r="723">
      <c r="A723" s="19" t="inlineStr">
        <is>
          <t>722</t>
        </is>
      </c>
      <c r="B723" s="19" t="inlineStr">
        <is>
          <t>1012629</t>
        </is>
      </c>
      <c r="C723" t="inlineStr">
        <is>
          <t>AKÜ,LB1,DK,44AH,IGYSMF,HUGELULTR,TRADING</t>
        </is>
      </c>
      <c r="D723" s="19" t="inlineStr">
        <is>
          <t>1</t>
        </is>
      </c>
      <c r="E723" t="n">
        <v>0</v>
      </c>
      <c r="I723" s="19" t="inlineStr">
        <is>
          <t>2</t>
        </is>
      </c>
      <c r="J723" t="inlineStr">
        <is>
          <t>2026-08-08</t>
        </is>
      </c>
      <c r="L723" s="19" t="inlineStr">
        <is>
          <t>1012629</t>
        </is>
      </c>
      <c r="M723" t="inlineStr">
        <is>
          <t>STATUS=IN OEM / EU PACKAGE; SOURCE_CFG=IA-ST-CFG-0204; MARKET=START TRADING BULGARİSTAN</t>
        </is>
      </c>
      <c r="N723" t="inlineStr">
        <is>
          <t>2026-08-10T19:29:54Z</t>
        </is>
      </c>
      <c r="O723" t="inlineStr">
        <is>
          <t>2026-08-10T19:29:54Z</t>
        </is>
      </c>
    </row>
    <row r="724">
      <c r="A724" s="19" t="inlineStr">
        <is>
          <t>723</t>
        </is>
      </c>
      <c r="B724" s="19" t="inlineStr">
        <is>
          <t>1012630</t>
        </is>
      </c>
      <c r="C724" t="inlineStr">
        <is>
          <t>AKÜ,L2,DK,62AH,IGYSMF,HUGELULTRA,TÜRKMEN</t>
        </is>
      </c>
      <c r="D724" s="19" t="inlineStr">
        <is>
          <t>1</t>
        </is>
      </c>
      <c r="E724" t="n">
        <v>0</v>
      </c>
      <c r="I724" s="19" t="inlineStr">
        <is>
          <t>2</t>
        </is>
      </c>
      <c r="J724" t="inlineStr">
        <is>
          <t>2026-08-08</t>
        </is>
      </c>
      <c r="L724" s="19" t="inlineStr">
        <is>
          <t>1012630</t>
        </is>
      </c>
      <c r="M724" t="inlineStr">
        <is>
          <t>STATUS=IN OEM / EU PACKAGE; SOURCE_CFG=IA-ST-CFG-0222; MARKET=None</t>
        </is>
      </c>
      <c r="N724" t="inlineStr">
        <is>
          <t>2026-08-10T19:29:54Z</t>
        </is>
      </c>
      <c r="O724" t="inlineStr">
        <is>
          <t>2026-08-10T19:29:54Z</t>
        </is>
      </c>
    </row>
    <row r="725">
      <c r="A725" s="19" t="inlineStr">
        <is>
          <t>724</t>
        </is>
      </c>
      <c r="B725" s="19" t="inlineStr">
        <is>
          <t>1012631</t>
        </is>
      </c>
      <c r="C725" t="inlineStr">
        <is>
          <t>AKÜ,L2,DK,60AH,IGYASMF,İNCİ FORM,TRADING</t>
        </is>
      </c>
      <c r="D725" s="19" t="inlineStr">
        <is>
          <t>1</t>
        </is>
      </c>
      <c r="E725" t="n">
        <v>0</v>
      </c>
      <c r="I725" s="19" t="inlineStr">
        <is>
          <t>2</t>
        </is>
      </c>
      <c r="J725" t="inlineStr">
        <is>
          <t>2026-08-08</t>
        </is>
      </c>
      <c r="L725" s="19" t="inlineStr">
        <is>
          <t>1012631</t>
        </is>
      </c>
      <c r="M725" t="inlineStr">
        <is>
          <t>STATUS=IN OEM / EU PACKAGE; SOURCE_CFG=IA-ST-CFG-0163; MARKET=START TRADING BULGARİSTAN</t>
        </is>
      </c>
      <c r="N725" t="inlineStr">
        <is>
          <t>2026-08-10T19:29:54Z</t>
        </is>
      </c>
      <c r="O725" t="inlineStr">
        <is>
          <t>2026-08-10T19:29:54Z</t>
        </is>
      </c>
    </row>
    <row r="726">
      <c r="A726" s="19" t="inlineStr">
        <is>
          <t>725</t>
        </is>
      </c>
      <c r="B726" s="19" t="inlineStr">
        <is>
          <t>1012632</t>
        </is>
      </c>
      <c r="C726" t="inlineStr">
        <is>
          <t>AKÜ,L2,DK,60AH,IGYSMF,HUGELULTRA,TRADING</t>
        </is>
      </c>
      <c r="D726" s="19" t="inlineStr">
        <is>
          <t>1</t>
        </is>
      </c>
      <c r="E726" t="n">
        <v>0</v>
      </c>
      <c r="I726" s="19" t="inlineStr">
        <is>
          <t>2</t>
        </is>
      </c>
      <c r="J726" t="inlineStr">
        <is>
          <t>2026-08-08</t>
        </is>
      </c>
      <c r="L726" s="19" t="inlineStr">
        <is>
          <t>1012632</t>
        </is>
      </c>
      <c r="M726" t="inlineStr">
        <is>
          <t>STATUS=IN OEM / EU PACKAGE; SOURCE_CFG=IA-ST-CFG-0163; MARKET=START TRADING BULGARİSTAN</t>
        </is>
      </c>
      <c r="N726" t="inlineStr">
        <is>
          <t>2026-08-10T19:29:54Z</t>
        </is>
      </c>
      <c r="O726" t="inlineStr">
        <is>
          <t>2026-08-10T19:29:54Z</t>
        </is>
      </c>
    </row>
    <row r="727">
      <c r="A727" s="19" t="inlineStr">
        <is>
          <t>726</t>
        </is>
      </c>
      <c r="B727" s="19" t="inlineStr">
        <is>
          <t>1012633</t>
        </is>
      </c>
      <c r="C727" t="inlineStr">
        <is>
          <t>AKÜ,L1,DK,50Ah,IGYA SMF,FIAT,52200683</t>
        </is>
      </c>
      <c r="D727" s="19" t="inlineStr">
        <is>
          <t>1</t>
        </is>
      </c>
      <c r="E727" t="n">
        <v>0</v>
      </c>
      <c r="I727" s="19" t="inlineStr">
        <is>
          <t>2</t>
        </is>
      </c>
      <c r="J727" t="inlineStr">
        <is>
          <t>2026-08-08</t>
        </is>
      </c>
      <c r="L727" s="19" t="inlineStr">
        <is>
          <t>1012633</t>
        </is>
      </c>
      <c r="M727" t="inlineStr">
        <is>
          <t>STATUS=DOMESTIC-ONLY / NOT IN OEM PACKAGE; SOURCE_CFG=IA-ST-CFG-0042; MARKET=TOFAŞ (Yurt İçi)</t>
        </is>
      </c>
      <c r="N727" t="inlineStr">
        <is>
          <t>2026-08-10T19:29:54Z</t>
        </is>
      </c>
      <c r="O727" t="inlineStr">
        <is>
          <t>2026-08-10T19:29:54Z</t>
        </is>
      </c>
    </row>
    <row r="728">
      <c r="A728" s="19" t="inlineStr">
        <is>
          <t>727</t>
        </is>
      </c>
      <c r="B728" s="19" t="inlineStr">
        <is>
          <t>1012638</t>
        </is>
      </c>
      <c r="C728" t="inlineStr">
        <is>
          <t>AKÜ,L1,DK,52AH,IGYSMF,Y3000EXPORT,KOLİLİ</t>
        </is>
      </c>
      <c r="D728" s="19" t="inlineStr">
        <is>
          <t>1</t>
        </is>
      </c>
      <c r="E728" t="n">
        <v>0</v>
      </c>
      <c r="I728" s="19" t="inlineStr">
        <is>
          <t>2</t>
        </is>
      </c>
      <c r="J728" t="inlineStr">
        <is>
          <t>2026-08-08</t>
        </is>
      </c>
      <c r="L728" s="19" t="inlineStr">
        <is>
          <t>1012638</t>
        </is>
      </c>
      <c r="M728" t="inlineStr">
        <is>
          <t>STATUS=IN OEM / EU PACKAGE; SOURCE_CFG=IA-ST-CFG-0104; MARKET=YUASA 3000 EXPORT</t>
        </is>
      </c>
      <c r="N728" t="inlineStr">
        <is>
          <t>2026-08-10T19:29:54Z</t>
        </is>
      </c>
      <c r="O728" t="inlineStr">
        <is>
          <t>2026-08-10T19:29:54Z</t>
        </is>
      </c>
    </row>
    <row r="729">
      <c r="A729" s="19" t="inlineStr">
        <is>
          <t>728</t>
        </is>
      </c>
      <c r="B729" s="19" t="inlineStr">
        <is>
          <t>1012641</t>
        </is>
      </c>
      <c r="C729" t="inlineStr">
        <is>
          <t>AKÜ,L4,DK,82AH,IGYSMF,Y3000EXPORT,KOLİLİ</t>
        </is>
      </c>
      <c r="D729" s="19" t="inlineStr">
        <is>
          <t>1</t>
        </is>
      </c>
      <c r="E729" t="n">
        <v>0</v>
      </c>
      <c r="I729" s="19" t="inlineStr">
        <is>
          <t>2</t>
        </is>
      </c>
      <c r="J729" t="inlineStr">
        <is>
          <t>2026-08-08</t>
        </is>
      </c>
      <c r="L729" s="19" t="inlineStr">
        <is>
          <t>1012641</t>
        </is>
      </c>
      <c r="M729" t="inlineStr">
        <is>
          <t>STATUS=IN OEM / EU PACKAGE; SOURCE_CFG=IA-ST-CFG-0060; MARKET=YUASA 3000 EXPORT</t>
        </is>
      </c>
      <c r="N729" t="inlineStr">
        <is>
          <t>2026-08-10T19:29:54Z</t>
        </is>
      </c>
      <c r="O729" t="inlineStr">
        <is>
          <t>2026-08-10T19:29:54Z</t>
        </is>
      </c>
    </row>
    <row r="730">
      <c r="A730" s="19" t="inlineStr">
        <is>
          <t>729</t>
        </is>
      </c>
      <c r="B730" s="19" t="inlineStr">
        <is>
          <t>1012643</t>
        </is>
      </c>
      <c r="C730" t="inlineStr">
        <is>
          <t>AKÜ,D23,TK60AH,IGYSMF,Y3000EXPORT,KOLİLİ</t>
        </is>
      </c>
      <c r="D730" s="19" t="inlineStr">
        <is>
          <t>1</t>
        </is>
      </c>
      <c r="E730" t="n">
        <v>0</v>
      </c>
      <c r="I730" s="19" t="inlineStr">
        <is>
          <t>2</t>
        </is>
      </c>
      <c r="J730" t="inlineStr">
        <is>
          <t>2026-08-08</t>
        </is>
      </c>
      <c r="L730" s="19" t="inlineStr">
        <is>
          <t>1012643</t>
        </is>
      </c>
      <c r="M730" t="inlineStr">
        <is>
          <t>STATUS=IN OEM / EU PACKAGE; SOURCE_CFG=IA-ST-CFG-0075; MARKET=YUASA 3000 EXPORT</t>
        </is>
      </c>
      <c r="N730" t="inlineStr">
        <is>
          <t>2026-08-10T19:29:54Z</t>
        </is>
      </c>
      <c r="O730" t="inlineStr">
        <is>
          <t>2026-08-10T19:29:54Z</t>
        </is>
      </c>
    </row>
    <row r="731">
      <c r="A731" s="19" t="inlineStr">
        <is>
          <t>730</t>
        </is>
      </c>
      <c r="B731" s="19" t="inlineStr">
        <is>
          <t>1012648</t>
        </is>
      </c>
      <c r="C731" t="inlineStr">
        <is>
          <t>AKÜ,D31,TK95AH,IGYSMF,Y3000EXPORT,KOLİLİ</t>
        </is>
      </c>
      <c r="D731" s="19" t="inlineStr">
        <is>
          <t>1</t>
        </is>
      </c>
      <c r="E731" t="n">
        <v>0</v>
      </c>
      <c r="I731" s="19" t="inlineStr">
        <is>
          <t>2</t>
        </is>
      </c>
      <c r="J731" t="inlineStr">
        <is>
          <t>2026-08-08</t>
        </is>
      </c>
      <c r="L731" s="19" t="inlineStr">
        <is>
          <t>1012648</t>
        </is>
      </c>
      <c r="M731" t="inlineStr">
        <is>
          <t>STATUS=IN OEM / EU PACKAGE; SOURCE_CFG=IA-ST-CFG-0059; MARKET=YUASA 3000 EXPORT</t>
        </is>
      </c>
      <c r="N731" t="inlineStr">
        <is>
          <t>2026-08-10T19:29:54Z</t>
        </is>
      </c>
      <c r="O731" t="inlineStr">
        <is>
          <t>2026-08-10T19:29:54Z</t>
        </is>
      </c>
    </row>
    <row r="732">
      <c r="A732" s="19" t="inlineStr">
        <is>
          <t>731</t>
        </is>
      </c>
      <c r="B732" s="19" t="inlineStr">
        <is>
          <t>1012649</t>
        </is>
      </c>
      <c r="C732" t="inlineStr">
        <is>
          <t>AKÜ,D31,DK95AH,IGYSMF,Y3000EXPORT,KOLİLİ</t>
        </is>
      </c>
      <c r="D732" s="19" t="inlineStr">
        <is>
          <t>1</t>
        </is>
      </c>
      <c r="E732" t="n">
        <v>0</v>
      </c>
      <c r="I732" s="19" t="inlineStr">
        <is>
          <t>2</t>
        </is>
      </c>
      <c r="J732" t="inlineStr">
        <is>
          <t>2026-08-08</t>
        </is>
      </c>
      <c r="L732" s="19" t="inlineStr">
        <is>
          <t>1012649</t>
        </is>
      </c>
      <c r="M732" t="inlineStr">
        <is>
          <t>STATUS=IN OEM / EU PACKAGE; SOURCE_CFG=IA-ST-CFG-0059; MARKET=YUASA 3000 EXPORT</t>
        </is>
      </c>
      <c r="N732" t="inlineStr">
        <is>
          <t>2026-08-10T19:29:54Z</t>
        </is>
      </c>
      <c r="O732" t="inlineStr">
        <is>
          <t>2026-08-10T19:29:54Z</t>
        </is>
      </c>
    </row>
    <row r="733">
      <c r="A733" s="19" t="inlineStr">
        <is>
          <t>732</t>
        </is>
      </c>
      <c r="B733" s="19" t="inlineStr">
        <is>
          <t>1012653</t>
        </is>
      </c>
      <c r="C733" t="inlineStr">
        <is>
          <t>AKÜ,D31,DK,IGYASMF,90AH 740A(EN),PSA,OES</t>
        </is>
      </c>
      <c r="D733" s="19" t="inlineStr">
        <is>
          <t>1</t>
        </is>
      </c>
      <c r="E733" t="n">
        <v>0</v>
      </c>
      <c r="I733" s="19" t="inlineStr">
        <is>
          <t>2</t>
        </is>
      </c>
      <c r="J733" t="inlineStr">
        <is>
          <t>2026-08-08</t>
        </is>
      </c>
      <c r="L733" s="19" t="inlineStr">
        <is>
          <t>1012653</t>
        </is>
      </c>
      <c r="M733" t="inlineStr">
        <is>
          <t>STATUS=IN OEM / EU PACKAGE; SOURCE_CFG=IA-ST-CFG-0109; MARKET=PSA (Yurt Dışı)</t>
        </is>
      </c>
      <c r="N733" t="inlineStr">
        <is>
          <t>2026-08-10T19:29:54Z</t>
        </is>
      </c>
      <c r="O733" t="inlineStr">
        <is>
          <t>2026-08-10T19:29:54Z</t>
        </is>
      </c>
    </row>
    <row r="734">
      <c r="A734" s="19" t="inlineStr">
        <is>
          <t>733</t>
        </is>
      </c>
      <c r="B734" s="19" t="inlineStr">
        <is>
          <t>1012654</t>
        </is>
      </c>
      <c r="C734" t="inlineStr">
        <is>
          <t>AKÜ,NS40,DK,IGYASMF,35AH,İNCE KB,PSA,OES</t>
        </is>
      </c>
      <c r="D734" s="19" t="inlineStr">
        <is>
          <t>1</t>
        </is>
      </c>
      <c r="E734" t="n">
        <v>0</v>
      </c>
      <c r="I734" s="19" t="inlineStr">
        <is>
          <t>2</t>
        </is>
      </c>
      <c r="J734" t="inlineStr">
        <is>
          <t>2026-08-08</t>
        </is>
      </c>
      <c r="L734" s="19" t="inlineStr">
        <is>
          <t>1012654</t>
        </is>
      </c>
      <c r="M734" t="inlineStr">
        <is>
          <t>STATUS=IN OEM / EU PACKAGE; SOURCE_CFG=IA-ST-CFG-0065; MARKET=PSA (Yurt Dışı)</t>
        </is>
      </c>
      <c r="N734" t="inlineStr">
        <is>
          <t>2026-08-10T19:29:54Z</t>
        </is>
      </c>
      <c r="O734" t="inlineStr">
        <is>
          <t>2026-08-10T19:29:54Z</t>
        </is>
      </c>
    </row>
    <row r="735">
      <c r="A735" s="19" t="inlineStr">
        <is>
          <t>734</t>
        </is>
      </c>
      <c r="B735" s="19" t="inlineStr">
        <is>
          <t>1012657</t>
        </is>
      </c>
      <c r="C735" t="inlineStr">
        <is>
          <t>AKÜ,L3,DK,IGYA SMF,EFB70AH720A,5600VG</t>
        </is>
      </c>
      <c r="D735" s="19" t="inlineStr">
        <is>
          <t>1</t>
        </is>
      </c>
      <c r="E735" t="n">
        <v>0</v>
      </c>
      <c r="I735" s="19" t="inlineStr">
        <is>
          <t>2</t>
        </is>
      </c>
      <c r="J735" t="inlineStr">
        <is>
          <t>2026-08-08</t>
        </is>
      </c>
      <c r="L735" s="19" t="inlineStr">
        <is>
          <t>1012657</t>
        </is>
      </c>
      <c r="M735" t="inlineStr">
        <is>
          <t>STATUS=IN OEM / EU PACKAGE; SOURCE_CFG=IA-ST-CFG-0113; MARKET=PSA (Yurt Dışı)</t>
        </is>
      </c>
      <c r="N735" t="inlineStr">
        <is>
          <t>2026-08-10T19:29:54Z</t>
        </is>
      </c>
      <c r="O735" t="inlineStr">
        <is>
          <t>2026-08-10T19:29:54Z</t>
        </is>
      </c>
    </row>
    <row r="736">
      <c r="A736" s="19" t="inlineStr">
        <is>
          <t>735</t>
        </is>
      </c>
      <c r="B736" s="19" t="inlineStr">
        <is>
          <t>1012658</t>
        </is>
      </c>
      <c r="C736" t="inlineStr">
        <is>
          <t>AKÜ,L2,DK,GSY SMF,EFB 60AH 640A,5600VF</t>
        </is>
      </c>
      <c r="D736" s="19" t="inlineStr">
        <is>
          <t>1</t>
        </is>
      </c>
      <c r="E736" t="n">
        <v>0</v>
      </c>
      <c r="I736" s="19" t="inlineStr">
        <is>
          <t>2</t>
        </is>
      </c>
      <c r="J736" t="inlineStr">
        <is>
          <t>2026-08-08</t>
        </is>
      </c>
      <c r="L736" s="19" t="inlineStr">
        <is>
          <t>1012658</t>
        </is>
      </c>
      <c r="M736" t="inlineStr">
        <is>
          <t>STATUS=IN OEM / EU PACKAGE; SOURCE_CFG=IA-ST-CFG-0162; MARKET=PSA (Yurt Dışı)</t>
        </is>
      </c>
      <c r="N736" t="inlineStr">
        <is>
          <t>2026-08-10T19:29:54Z</t>
        </is>
      </c>
      <c r="O736" t="inlineStr">
        <is>
          <t>2026-08-10T19:29:54Z</t>
        </is>
      </c>
    </row>
    <row r="737">
      <c r="A737" s="19" t="inlineStr">
        <is>
          <t>736</t>
        </is>
      </c>
      <c r="B737" s="19" t="inlineStr">
        <is>
          <t>1012659</t>
        </is>
      </c>
      <c r="C737" t="inlineStr">
        <is>
          <t>AKÜ,L3DK,IGYASMF,75AH800A,1638948680,PSA</t>
        </is>
      </c>
      <c r="D737" s="19" t="inlineStr">
        <is>
          <t>1</t>
        </is>
      </c>
      <c r="E737" t="n">
        <v>0</v>
      </c>
      <c r="I737" s="19" t="inlineStr">
        <is>
          <t>2</t>
        </is>
      </c>
      <c r="J737" t="inlineStr">
        <is>
          <t>2026-08-08</t>
        </is>
      </c>
      <c r="L737" s="19" t="inlineStr">
        <is>
          <t>1012659</t>
        </is>
      </c>
      <c r="M737" t="inlineStr">
        <is>
          <t>STATUS=IN OEM / EU PACKAGE; SOURCE_CFG=IA-ST-CFG-0132; MARKET=PSA (Yurt Dışı)</t>
        </is>
      </c>
      <c r="N737" t="inlineStr">
        <is>
          <t>2026-08-10T19:29:54Z</t>
        </is>
      </c>
      <c r="O737" t="inlineStr">
        <is>
          <t>2026-08-10T19:29:54Z</t>
        </is>
      </c>
    </row>
    <row r="738">
      <c r="A738" s="19" t="inlineStr">
        <is>
          <t>737</t>
        </is>
      </c>
      <c r="B738" s="19" t="inlineStr">
        <is>
          <t>1012662</t>
        </is>
      </c>
      <c r="C738" t="inlineStr">
        <is>
          <t>AKÜ L2,DK,IGYA SMF,EFB 60AH 520A,ERP-TR</t>
        </is>
      </c>
      <c r="D738" s="19" t="inlineStr">
        <is>
          <t>1</t>
        </is>
      </c>
      <c r="E738" t="n">
        <v>0</v>
      </c>
      <c r="I738" s="19" t="inlineStr">
        <is>
          <t>2</t>
        </is>
      </c>
      <c r="J738" t="inlineStr">
        <is>
          <t>2026-08-08</t>
        </is>
      </c>
      <c r="L738" s="19" t="inlineStr">
        <is>
          <t>1012662</t>
        </is>
      </c>
      <c r="M738" t="inlineStr">
        <is>
          <t>STATUS=DOMESTIC-ONLY / NOT IN OEM PACKAGE; SOURCE_CFG=IA-ST-CFG-0159; MARKET=PSA (Yurt İçi)</t>
        </is>
      </c>
      <c r="N738" t="inlineStr">
        <is>
          <t>2026-08-10T19:29:54Z</t>
        </is>
      </c>
      <c r="O738" t="inlineStr">
        <is>
          <t>2026-08-10T19:29:54Z</t>
        </is>
      </c>
    </row>
    <row r="739">
      <c r="A739" s="19" t="inlineStr">
        <is>
          <t>738</t>
        </is>
      </c>
      <c r="B739" s="19" t="inlineStr">
        <is>
          <t>1012665</t>
        </is>
      </c>
      <c r="C739" t="inlineStr">
        <is>
          <t>AKÜ,L3,DK,IGYA SMF,EFB70AH680A,ERP-TR</t>
        </is>
      </c>
      <c r="D739" s="19" t="inlineStr">
        <is>
          <t>1</t>
        </is>
      </c>
      <c r="E739" t="n">
        <v>0</v>
      </c>
      <c r="I739" s="19" t="inlineStr">
        <is>
          <t>2</t>
        </is>
      </c>
      <c r="J739" t="inlineStr">
        <is>
          <t>2026-08-08</t>
        </is>
      </c>
      <c r="L739" s="19" t="inlineStr">
        <is>
          <t>1012665</t>
        </is>
      </c>
      <c r="M739" t="inlineStr">
        <is>
          <t>STATUS=DOMESTIC-ONLY / NOT IN OEM PACKAGE; SOURCE_CFG=IA-ST-CFG-0131; MARKET=PSA (Yurt İçi)</t>
        </is>
      </c>
      <c r="N739" t="inlineStr">
        <is>
          <t>2026-08-10T19:29:54Z</t>
        </is>
      </c>
      <c r="O739" t="inlineStr">
        <is>
          <t>2026-08-10T19:29:54Z</t>
        </is>
      </c>
    </row>
    <row r="740">
      <c r="A740" s="19" t="inlineStr">
        <is>
          <t>739</t>
        </is>
      </c>
      <c r="B740" s="19" t="inlineStr">
        <is>
          <t>1012667</t>
        </is>
      </c>
      <c r="C740" t="inlineStr">
        <is>
          <t>AKÜ,LB1,DK,IGYA SMF,44AH 440A,ERP-TR</t>
        </is>
      </c>
      <c r="D740" s="19" t="inlineStr">
        <is>
          <t>1</t>
        </is>
      </c>
      <c r="E740" t="n">
        <v>0</v>
      </c>
      <c r="I740" s="19" t="inlineStr">
        <is>
          <t>2</t>
        </is>
      </c>
      <c r="J740" t="inlineStr">
        <is>
          <t>2026-08-08</t>
        </is>
      </c>
      <c r="L740" s="19" t="inlineStr">
        <is>
          <t>1012667</t>
        </is>
      </c>
      <c r="M740" t="inlineStr">
        <is>
          <t>STATUS=DOMESTIC-ONLY / NOT IN OEM PACKAGE; SOURCE_CFG=IA-ST-CFG-0207; MARKET=PSA (Yurt İçi)</t>
        </is>
      </c>
      <c r="N740" t="inlineStr">
        <is>
          <t>2026-08-10T19:29:54Z</t>
        </is>
      </c>
      <c r="O740" t="inlineStr">
        <is>
          <t>2026-08-10T19:29:54Z</t>
        </is>
      </c>
    </row>
    <row r="741">
      <c r="A741" s="19" t="inlineStr">
        <is>
          <t>740</t>
        </is>
      </c>
      <c r="B741" s="19" t="inlineStr">
        <is>
          <t>1012674</t>
        </is>
      </c>
      <c r="C741" t="inlineStr">
        <is>
          <t>AKÜ,LB2,DK,IGYA SMF,60AH 540A,ERP-TR</t>
        </is>
      </c>
      <c r="D741" s="19" t="inlineStr">
        <is>
          <t>1</t>
        </is>
      </c>
      <c r="E741" t="n">
        <v>0</v>
      </c>
      <c r="I741" s="19" t="inlineStr">
        <is>
          <t>2</t>
        </is>
      </c>
      <c r="J741" t="inlineStr">
        <is>
          <t>2026-08-08</t>
        </is>
      </c>
      <c r="L741" s="19" t="inlineStr">
        <is>
          <t>1012674</t>
        </is>
      </c>
      <c r="M741" t="inlineStr">
        <is>
          <t>STATUS=DOMESTIC-ONLY / NOT IN OEM PACKAGE; SOURCE_CFG=IA-ST-CFG-0159; MARKET=PSA (Yurt İçi)</t>
        </is>
      </c>
      <c r="N741" t="inlineStr">
        <is>
          <t>2026-08-10T19:29:54Z</t>
        </is>
      </c>
      <c r="O741" t="inlineStr">
        <is>
          <t>2026-08-10T19:29:54Z</t>
        </is>
      </c>
    </row>
    <row r="742">
      <c r="A742" s="19" t="inlineStr">
        <is>
          <t>741</t>
        </is>
      </c>
      <c r="B742" s="19" t="inlineStr">
        <is>
          <t>1012675</t>
        </is>
      </c>
      <c r="C742" t="inlineStr">
        <is>
          <t>AKÜ,L2,DK,IGYA SMF,60AH 540A,ERP-TR</t>
        </is>
      </c>
      <c r="D742" s="19" t="inlineStr">
        <is>
          <t>1</t>
        </is>
      </c>
      <c r="E742" t="n">
        <v>0</v>
      </c>
      <c r="I742" s="19" t="inlineStr">
        <is>
          <t>2</t>
        </is>
      </c>
      <c r="J742" t="inlineStr">
        <is>
          <t>2026-08-08</t>
        </is>
      </c>
      <c r="L742" s="19" t="inlineStr">
        <is>
          <t>1012675</t>
        </is>
      </c>
      <c r="M742" t="inlineStr">
        <is>
          <t>STATUS=DOMESTIC-ONLY / NOT IN OEM PACKAGE; SOURCE_CFG=IA-ST-CFG-0159; MARKET=PSA (Yurt İçi)</t>
        </is>
      </c>
      <c r="N742" t="inlineStr">
        <is>
          <t>2026-08-10T19:29:54Z</t>
        </is>
      </c>
      <c r="O742" t="inlineStr">
        <is>
          <t>2026-08-10T19:29:54Z</t>
        </is>
      </c>
    </row>
    <row r="743">
      <c r="A743" s="19" t="inlineStr">
        <is>
          <t>742</t>
        </is>
      </c>
      <c r="B743" s="19" t="inlineStr">
        <is>
          <t>1012676</t>
        </is>
      </c>
      <c r="C743" t="inlineStr">
        <is>
          <t>AKÜ,L2,DK,IGYA SMF,63AH 610A,ERP-TR</t>
        </is>
      </c>
      <c r="D743" s="19" t="inlineStr">
        <is>
          <t>1</t>
        </is>
      </c>
      <c r="E743" t="n">
        <v>0</v>
      </c>
      <c r="I743" s="19" t="inlineStr">
        <is>
          <t>2</t>
        </is>
      </c>
      <c r="J743" t="inlineStr">
        <is>
          <t>2026-08-08</t>
        </is>
      </c>
      <c r="L743" s="19" t="inlineStr">
        <is>
          <t>1012676</t>
        </is>
      </c>
      <c r="M743" t="inlineStr">
        <is>
          <t>STATUS=DOMESTIC-ONLY / NOT IN OEM PACKAGE; SOURCE_CFG=IA-ST-CFG-0159; MARKET=PSA (Yurt İçi)</t>
        </is>
      </c>
      <c r="N743" t="inlineStr">
        <is>
          <t>2026-08-10T19:29:54Z</t>
        </is>
      </c>
      <c r="O743" t="inlineStr">
        <is>
          <t>2026-08-10T19:29:54Z</t>
        </is>
      </c>
    </row>
    <row r="744">
      <c r="A744" s="19" t="inlineStr">
        <is>
          <t>743</t>
        </is>
      </c>
      <c r="B744" s="19" t="inlineStr">
        <is>
          <t>1012677</t>
        </is>
      </c>
      <c r="C744" t="inlineStr">
        <is>
          <t>AKÜ,LB3,DK,IGYA SMF,72AH 680A,ERP-TR</t>
        </is>
      </c>
      <c r="D744" s="19" t="inlineStr">
        <is>
          <t>1</t>
        </is>
      </c>
      <c r="E744" t="n">
        <v>0</v>
      </c>
      <c r="I744" s="19" t="inlineStr">
        <is>
          <t>2</t>
        </is>
      </c>
      <c r="J744" t="inlineStr">
        <is>
          <t>2026-08-08</t>
        </is>
      </c>
      <c r="L744" s="19" t="inlineStr">
        <is>
          <t>1012677</t>
        </is>
      </c>
      <c r="M744" t="inlineStr">
        <is>
          <t>STATUS=DOMESTIC-ONLY / NOT IN OEM PACKAGE; SOURCE_CFG=IA-ST-CFG-0130; MARKET=PSA (Yurt İçi)</t>
        </is>
      </c>
      <c r="N744" t="inlineStr">
        <is>
          <t>2026-08-10T19:29:54Z</t>
        </is>
      </c>
      <c r="O744" t="inlineStr">
        <is>
          <t>2026-08-10T19:29:54Z</t>
        </is>
      </c>
    </row>
    <row r="745">
      <c r="A745" s="19" t="inlineStr">
        <is>
          <t>744</t>
        </is>
      </c>
      <c r="B745" s="19" t="inlineStr">
        <is>
          <t>1012678</t>
        </is>
      </c>
      <c r="C745" t="inlineStr">
        <is>
          <t>AKÜ,LB3,DK,IGYA SMF,74AH 700A,ERP-TR</t>
        </is>
      </c>
      <c r="D745" s="19" t="inlineStr">
        <is>
          <t>1</t>
        </is>
      </c>
      <c r="E745" t="n">
        <v>0</v>
      </c>
      <c r="I745" s="19" t="inlineStr">
        <is>
          <t>2</t>
        </is>
      </c>
      <c r="J745" t="inlineStr">
        <is>
          <t>2026-08-08</t>
        </is>
      </c>
      <c r="L745" s="19" t="inlineStr">
        <is>
          <t>1012678</t>
        </is>
      </c>
      <c r="M745" t="inlineStr">
        <is>
          <t>STATUS=DOMESTIC-ONLY / NOT IN OEM PACKAGE; SOURCE_CFG=IA-ST-CFG-0130; MARKET=PSA (Yurt İçi)</t>
        </is>
      </c>
      <c r="N745" t="inlineStr">
        <is>
          <t>2026-08-10T19:29:54Z</t>
        </is>
      </c>
      <c r="O745" t="inlineStr">
        <is>
          <t>2026-08-10T19:29:54Z</t>
        </is>
      </c>
    </row>
    <row r="746">
      <c r="A746" s="19" t="inlineStr">
        <is>
          <t>745</t>
        </is>
      </c>
      <c r="B746" s="19" t="inlineStr">
        <is>
          <t>1012679</t>
        </is>
      </c>
      <c r="C746" t="inlineStr">
        <is>
          <t>AKÜ,L3,DK,IGYA SMF,75AH 720A,ERP-TR</t>
        </is>
      </c>
      <c r="D746" s="19" t="inlineStr">
        <is>
          <t>1</t>
        </is>
      </c>
      <c r="E746" t="n">
        <v>0</v>
      </c>
      <c r="I746" s="19" t="inlineStr">
        <is>
          <t>2</t>
        </is>
      </c>
      <c r="J746" t="inlineStr">
        <is>
          <t>2026-08-08</t>
        </is>
      </c>
      <c r="L746" s="19" t="inlineStr">
        <is>
          <t>1012679</t>
        </is>
      </c>
      <c r="M746" t="inlineStr">
        <is>
          <t>STATUS=DOMESTIC-ONLY / NOT IN OEM PACKAGE; SOURCE_CFG=IA-ST-CFG-0131; MARKET=PSA (Yurt İçi)</t>
        </is>
      </c>
      <c r="N746" t="inlineStr">
        <is>
          <t>2026-08-10T19:29:54Z</t>
        </is>
      </c>
      <c r="O746" t="inlineStr">
        <is>
          <t>2026-08-10T19:29:54Z</t>
        </is>
      </c>
    </row>
    <row r="747">
      <c r="A747" s="19" t="inlineStr">
        <is>
          <t>746</t>
        </is>
      </c>
      <c r="B747" s="19" t="inlineStr">
        <is>
          <t>1012681</t>
        </is>
      </c>
      <c r="C747" t="inlineStr">
        <is>
          <t>AKÜ,LB4,DK,IGYA SMF,80AH 740A,ERP-TR</t>
        </is>
      </c>
      <c r="D747" s="19" t="inlineStr">
        <is>
          <t>1</t>
        </is>
      </c>
      <c r="E747" t="n">
        <v>0</v>
      </c>
      <c r="I747" s="19" t="inlineStr">
        <is>
          <t>2</t>
        </is>
      </c>
      <c r="J747" t="inlineStr">
        <is>
          <t>2026-08-08</t>
        </is>
      </c>
      <c r="L747" s="19" t="inlineStr">
        <is>
          <t>1012681</t>
        </is>
      </c>
      <c r="M747" t="inlineStr">
        <is>
          <t>STATUS=DOMESTIC-ONLY / NOT IN OEM PACKAGE; SOURCE_CFG=IA-ST-CFG-0084; MARKET=PSA (Yurt İçi)</t>
        </is>
      </c>
      <c r="N747" t="inlineStr">
        <is>
          <t>2026-08-10T19:29:54Z</t>
        </is>
      </c>
      <c r="O747" t="inlineStr">
        <is>
          <t>2026-08-10T19:29:54Z</t>
        </is>
      </c>
    </row>
    <row r="748">
      <c r="A748" s="19" t="inlineStr">
        <is>
          <t>747</t>
        </is>
      </c>
      <c r="B748" s="19" t="inlineStr">
        <is>
          <t>1012682</t>
        </is>
      </c>
      <c r="C748" t="inlineStr">
        <is>
          <t>AKÜ,L5,DK,IGYA SMF,95AH 800A,ERP-TR</t>
        </is>
      </c>
      <c r="D748" s="19" t="inlineStr">
        <is>
          <t>1</t>
        </is>
      </c>
      <c r="E748" t="n">
        <v>0</v>
      </c>
      <c r="I748" s="19" t="inlineStr">
        <is>
          <t>2</t>
        </is>
      </c>
      <c r="J748" t="inlineStr">
        <is>
          <t>2026-08-08</t>
        </is>
      </c>
      <c r="L748" s="19" t="inlineStr">
        <is>
          <t>1012682</t>
        </is>
      </c>
      <c r="M748" t="inlineStr">
        <is>
          <t>STATUS=IN OEM / EU PACKAGE; SOURCE_CFG=IA-ST-CFG-0066; MARKET=PSA (Yurt İçi)</t>
        </is>
      </c>
      <c r="N748" t="inlineStr">
        <is>
          <t>2026-08-10T19:29:54Z</t>
        </is>
      </c>
      <c r="O748" t="inlineStr">
        <is>
          <t>2026-08-10T19:29:54Z</t>
        </is>
      </c>
    </row>
    <row r="749">
      <c r="A749" s="19" t="inlineStr">
        <is>
          <t>748</t>
        </is>
      </c>
      <c r="B749" s="19" t="inlineStr">
        <is>
          <t>1012683</t>
        </is>
      </c>
      <c r="C749" t="inlineStr">
        <is>
          <t>AKÜ,L5,DK,IGYA SMF,95AH 950A,ERP-TR</t>
        </is>
      </c>
      <c r="D749" s="19" t="inlineStr">
        <is>
          <t>1</t>
        </is>
      </c>
      <c r="E749" t="n">
        <v>0</v>
      </c>
      <c r="I749" s="19" t="inlineStr">
        <is>
          <t>2</t>
        </is>
      </c>
      <c r="J749" t="inlineStr">
        <is>
          <t>2026-08-08</t>
        </is>
      </c>
      <c r="L749" s="19" t="inlineStr">
        <is>
          <t>1012683</t>
        </is>
      </c>
      <c r="M749" t="inlineStr">
        <is>
          <t>STATUS=IN OEM / EU PACKAGE; SOURCE_CFG=IA-ST-CFG-0066; MARKET=PSA (Yurt İçi)</t>
        </is>
      </c>
      <c r="N749" t="inlineStr">
        <is>
          <t>2026-08-10T19:29:54Z</t>
        </is>
      </c>
      <c r="O749" t="inlineStr">
        <is>
          <t>2026-08-10T19:29:54Z</t>
        </is>
      </c>
    </row>
    <row r="750">
      <c r="A750" s="19" t="inlineStr">
        <is>
          <t>749</t>
        </is>
      </c>
      <c r="B750" s="19" t="inlineStr">
        <is>
          <t>1012685</t>
        </is>
      </c>
      <c r="C750" t="inlineStr">
        <is>
          <t>AKÜ,L3,DK,IGYA SMF,75AH 800A,ERP-FR</t>
        </is>
      </c>
      <c r="D750" s="19" t="inlineStr">
        <is>
          <t>1</t>
        </is>
      </c>
      <c r="E750" t="n">
        <v>0</v>
      </c>
      <c r="I750" s="19" t="inlineStr">
        <is>
          <t>2</t>
        </is>
      </c>
      <c r="J750" t="inlineStr">
        <is>
          <t>2026-08-08</t>
        </is>
      </c>
      <c r="L750" s="19" t="inlineStr">
        <is>
          <t>1012685</t>
        </is>
      </c>
      <c r="M750" t="inlineStr">
        <is>
          <t>STATUS=IN OEM / EU PACKAGE; SOURCE_CFG=IA-ST-CFG-0113; MARKET=PSA (Yurt Dışı)</t>
        </is>
      </c>
      <c r="N750" t="inlineStr">
        <is>
          <t>2026-08-10T19:29:54Z</t>
        </is>
      </c>
      <c r="O750" t="inlineStr">
        <is>
          <t>2026-08-10T19:29:54Z</t>
        </is>
      </c>
    </row>
    <row r="751">
      <c r="A751" s="19" t="inlineStr">
        <is>
          <t>750</t>
        </is>
      </c>
      <c r="B751" s="19" t="inlineStr">
        <is>
          <t>1012686</t>
        </is>
      </c>
      <c r="C751" t="inlineStr">
        <is>
          <t>AKÜ,D31,DK,105AH,IGYA SMF,SDF OEM</t>
        </is>
      </c>
      <c r="D751" s="19" t="inlineStr">
        <is>
          <t>1</t>
        </is>
      </c>
      <c r="E751" t="n">
        <v>0</v>
      </c>
      <c r="I751" s="19" t="inlineStr">
        <is>
          <t>2</t>
        </is>
      </c>
      <c r="J751" t="inlineStr">
        <is>
          <t>2026-08-08</t>
        </is>
      </c>
      <c r="L751" s="19" t="inlineStr">
        <is>
          <t>1012686</t>
        </is>
      </c>
      <c r="M751" t="inlineStr">
        <is>
          <t>STATUS=IN OEM / EU PACKAGE; SOURCE_CFG=IA-ST-CFG-0145; MARKET=SDF (Yurt İçi)</t>
        </is>
      </c>
      <c r="N751" t="inlineStr">
        <is>
          <t>2026-08-10T19:29:54Z</t>
        </is>
      </c>
      <c r="O751" t="inlineStr">
        <is>
          <t>2026-08-10T19:29:54Z</t>
        </is>
      </c>
    </row>
    <row r="752">
      <c r="A752" s="19" t="inlineStr">
        <is>
          <t>751</t>
        </is>
      </c>
      <c r="B752" s="19" t="inlineStr">
        <is>
          <t>1012687</t>
        </is>
      </c>
      <c r="C752" t="inlineStr">
        <is>
          <t>AKÜ,NS60,TK,45AH,IGYA SMF,EAS ACTIVA</t>
        </is>
      </c>
      <c r="D752" s="19" t="inlineStr">
        <is>
          <t>1</t>
        </is>
      </c>
      <c r="E752" t="n">
        <v>0</v>
      </c>
      <c r="I752" s="19" t="inlineStr">
        <is>
          <t>2</t>
        </is>
      </c>
      <c r="J752" t="inlineStr">
        <is>
          <t>2026-08-08</t>
        </is>
      </c>
      <c r="L752" s="19" t="inlineStr">
        <is>
          <t>1012687</t>
        </is>
      </c>
      <c r="M752" t="inlineStr">
        <is>
          <t>STATUS=IN OEM / EU PACKAGE; SOURCE_CFG=IA-ST-CFG-0272; MARKET=None</t>
        </is>
      </c>
      <c r="N752" t="inlineStr">
        <is>
          <t>2026-08-10T19:29:54Z</t>
        </is>
      </c>
      <c r="O752" t="inlineStr">
        <is>
          <t>2026-08-10T19:29:54Z</t>
        </is>
      </c>
    </row>
    <row r="753">
      <c r="A753" s="19" t="inlineStr">
        <is>
          <t>752</t>
        </is>
      </c>
      <c r="B753" s="19" t="inlineStr">
        <is>
          <t>1012688</t>
        </is>
      </c>
      <c r="C753" t="inlineStr">
        <is>
          <t>AKÜ,LB4,DK,75AH,IGYA SMF,EAS EFB S&amp;S</t>
        </is>
      </c>
      <c r="D753" s="19" t="inlineStr">
        <is>
          <t>1</t>
        </is>
      </c>
      <c r="E753" t="n">
        <v>0</v>
      </c>
      <c r="I753" s="19" t="inlineStr">
        <is>
          <t>2</t>
        </is>
      </c>
      <c r="J753" t="inlineStr">
        <is>
          <t>2026-08-08</t>
        </is>
      </c>
      <c r="L753" s="19" t="inlineStr">
        <is>
          <t>1012688</t>
        </is>
      </c>
      <c r="M753" t="inlineStr">
        <is>
          <t>STATUS=IN OEM / EU PACKAGE; SOURCE_CFG=IA-ST-CFG-0142; MARKET=None</t>
        </is>
      </c>
      <c r="N753" t="inlineStr">
        <is>
          <t>2026-08-10T19:29:54Z</t>
        </is>
      </c>
      <c r="O753" t="inlineStr">
        <is>
          <t>2026-08-10T19:29:54Z</t>
        </is>
      </c>
    </row>
    <row r="754">
      <c r="A754" s="19" t="inlineStr">
        <is>
          <t>753</t>
        </is>
      </c>
      <c r="B754" s="19" t="inlineStr">
        <is>
          <t>1012689</t>
        </is>
      </c>
      <c r="C754" t="inlineStr">
        <is>
          <t>AKÜ,LB2,DK,60AH,IGYA SMF,EAS EFB S&amp;S</t>
        </is>
      </c>
      <c r="D754" s="19" t="inlineStr">
        <is>
          <t>1</t>
        </is>
      </c>
      <c r="E754" t="n">
        <v>0</v>
      </c>
      <c r="I754" s="19" t="inlineStr">
        <is>
          <t>2</t>
        </is>
      </c>
      <c r="J754" t="inlineStr">
        <is>
          <t>2026-08-08</t>
        </is>
      </c>
      <c r="L754" s="19" t="inlineStr">
        <is>
          <t>1012689</t>
        </is>
      </c>
      <c r="M754" t="inlineStr">
        <is>
          <t>STATUS=IN OEM / EU PACKAGE; SOURCE_CFG=IA-ST-CFG-0222; MARKET=None</t>
        </is>
      </c>
      <c r="N754" t="inlineStr">
        <is>
          <t>2026-08-10T19:29:54Z</t>
        </is>
      </c>
      <c r="O754" t="inlineStr">
        <is>
          <t>2026-08-10T19:29:54Z</t>
        </is>
      </c>
    </row>
    <row r="755">
      <c r="A755" s="19" t="inlineStr">
        <is>
          <t>754</t>
        </is>
      </c>
      <c r="B755" s="19" t="inlineStr">
        <is>
          <t>1012690</t>
        </is>
      </c>
      <c r="C755" t="inlineStr">
        <is>
          <t>AKÜ,L2,DK,60AH,IGYA SMF,ENERGY MAX</t>
        </is>
      </c>
      <c r="D755" s="19" t="inlineStr">
        <is>
          <t>1</t>
        </is>
      </c>
      <c r="E755" t="n">
        <v>0</v>
      </c>
      <c r="I755" s="19" t="inlineStr">
        <is>
          <t>2</t>
        </is>
      </c>
      <c r="J755" t="inlineStr">
        <is>
          <t>2026-08-08</t>
        </is>
      </c>
      <c r="L755" s="19" t="inlineStr">
        <is>
          <t>1012690</t>
        </is>
      </c>
      <c r="M755" t="inlineStr">
        <is>
          <t>STATUS=IN OEM / EU PACKAGE; SOURCE_CFG=IA-ST-CFG-0222; MARKET=None</t>
        </is>
      </c>
      <c r="N755" t="inlineStr">
        <is>
          <t>2026-08-10T19:29:54Z</t>
        </is>
      </c>
      <c r="O755" t="inlineStr">
        <is>
          <t>2026-08-10T19:29:54Z</t>
        </is>
      </c>
    </row>
    <row r="756">
      <c r="A756" s="19" t="inlineStr">
        <is>
          <t>755</t>
        </is>
      </c>
      <c r="B756" s="19" t="inlineStr">
        <is>
          <t>1012692</t>
        </is>
      </c>
      <c r="C756" t="inlineStr">
        <is>
          <t>AKÜ,L4,DK,80AH,IGYA SMF,EAS EFB S&amp;S</t>
        </is>
      </c>
      <c r="D756" s="19" t="inlineStr">
        <is>
          <t>1</t>
        </is>
      </c>
      <c r="E756" t="n">
        <v>0</v>
      </c>
      <c r="I756" s="19" t="inlineStr">
        <is>
          <t>2</t>
        </is>
      </c>
      <c r="J756" t="inlineStr">
        <is>
          <t>2026-08-08</t>
        </is>
      </c>
      <c r="L756" s="19" t="inlineStr">
        <is>
          <t>1012692</t>
        </is>
      </c>
      <c r="M756" t="inlineStr">
        <is>
          <t>STATUS=IN OEM / EU PACKAGE; SOURCE_CFG=IA-ST-CFG-0142; MARKET=None</t>
        </is>
      </c>
      <c r="N756" t="inlineStr">
        <is>
          <t>2026-08-10T19:29:54Z</t>
        </is>
      </c>
      <c r="O756" t="inlineStr">
        <is>
          <t>2026-08-10T19:29:54Z</t>
        </is>
      </c>
    </row>
    <row r="757">
      <c r="A757" s="19" t="inlineStr">
        <is>
          <t>756</t>
        </is>
      </c>
      <c r="B757" s="19" t="inlineStr">
        <is>
          <t>1012694</t>
        </is>
      </c>
      <c r="C757" t="inlineStr">
        <is>
          <t>AKÜ,LB1,DK,52AH,IGYSMF,İNCİMAXIMA,DIŞPYS</t>
        </is>
      </c>
      <c r="D757" s="19" t="inlineStr">
        <is>
          <t>1</t>
        </is>
      </c>
      <c r="E757" t="n">
        <v>0</v>
      </c>
      <c r="I757" s="19" t="inlineStr">
        <is>
          <t>2</t>
        </is>
      </c>
      <c r="J757" t="inlineStr">
        <is>
          <t>2026-08-08</t>
        </is>
      </c>
      <c r="L757" s="19" t="inlineStr">
        <is>
          <t>1012694</t>
        </is>
      </c>
      <c r="M757" t="inlineStr">
        <is>
          <t>STATUS=IN OEM / EU PACKAGE; SOURCE_CFG=IA-ST-CFG-0248; MARKET=None</t>
        </is>
      </c>
      <c r="N757" t="inlineStr">
        <is>
          <t>2026-08-10T19:29:54Z</t>
        </is>
      </c>
      <c r="O757" t="inlineStr">
        <is>
          <t>2026-08-10T19:29:54Z</t>
        </is>
      </c>
    </row>
    <row r="758">
      <c r="A758" s="19" t="inlineStr">
        <is>
          <t>757</t>
        </is>
      </c>
      <c r="B758" s="19" t="inlineStr">
        <is>
          <t>1012695</t>
        </is>
      </c>
      <c r="C758" t="inlineStr">
        <is>
          <t>AKÜ,L3,DK,72AH,IGYA SMF,İNCİ EFB PANTERA</t>
        </is>
      </c>
      <c r="D758" s="19" t="inlineStr">
        <is>
          <t>1</t>
        </is>
      </c>
      <c r="E758" t="n">
        <v>0</v>
      </c>
      <c r="I758" s="19" t="inlineStr">
        <is>
          <t>2</t>
        </is>
      </c>
      <c r="J758" t="inlineStr">
        <is>
          <t>2026-08-08</t>
        </is>
      </c>
      <c r="L758" s="19" t="inlineStr">
        <is>
          <t>1012695</t>
        </is>
      </c>
      <c r="M758" t="inlineStr">
        <is>
          <t>STATUS=IN OEM / EU PACKAGE; SOURCE_CFG=IA-ST-CFG-0179; MARKET=None</t>
        </is>
      </c>
      <c r="N758" t="inlineStr">
        <is>
          <t>2026-08-10T19:29:54Z</t>
        </is>
      </c>
      <c r="O758" t="inlineStr">
        <is>
          <t>2026-08-10T19:29:54Z</t>
        </is>
      </c>
    </row>
    <row r="759">
      <c r="A759" s="19" t="inlineStr">
        <is>
          <t>758</t>
        </is>
      </c>
      <c r="B759" s="19" t="inlineStr">
        <is>
          <t>1012697</t>
        </is>
      </c>
      <c r="C759" t="inlineStr">
        <is>
          <t>AKÜ,L1,DK,50AH,IGYASMF,İNCİ FORM,TRADING</t>
        </is>
      </c>
      <c r="D759" s="19" t="inlineStr">
        <is>
          <t>1</t>
        </is>
      </c>
      <c r="E759" t="n">
        <v>0</v>
      </c>
      <c r="I759" s="19" t="inlineStr">
        <is>
          <t>2</t>
        </is>
      </c>
      <c r="J759" t="inlineStr">
        <is>
          <t>2026-08-08</t>
        </is>
      </c>
      <c r="L759" s="19" t="inlineStr">
        <is>
          <t>1012697</t>
        </is>
      </c>
      <c r="M759" t="inlineStr">
        <is>
          <t>STATUS=IN OEM / EU PACKAGE; SOURCE_CFG=IA-ST-CFG-0205; MARKET=START TRADING BULGARİSTAN</t>
        </is>
      </c>
      <c r="N759" t="inlineStr">
        <is>
          <t>2026-08-10T19:29:54Z</t>
        </is>
      </c>
      <c r="O759" t="inlineStr">
        <is>
          <t>2026-08-10T19:29:54Z</t>
        </is>
      </c>
    </row>
    <row r="760">
      <c r="A760" s="19" t="inlineStr">
        <is>
          <t>759</t>
        </is>
      </c>
      <c r="B760" s="19" t="inlineStr">
        <is>
          <t>1012699</t>
        </is>
      </c>
      <c r="C760" t="inlineStr">
        <is>
          <t>AKÜ,LB2,DK,60AH,IGYSMF,İNCİ FORM,TRADING</t>
        </is>
      </c>
      <c r="D760" s="19" t="inlineStr">
        <is>
          <t>1</t>
        </is>
      </c>
      <c r="E760" t="n">
        <v>0</v>
      </c>
      <c r="I760" s="19" t="inlineStr">
        <is>
          <t>2</t>
        </is>
      </c>
      <c r="J760" t="inlineStr">
        <is>
          <t>2026-08-08</t>
        </is>
      </c>
      <c r="L760" s="19" t="inlineStr">
        <is>
          <t>1012699</t>
        </is>
      </c>
      <c r="M760" t="inlineStr">
        <is>
          <t>STATUS=IN OEM / EU PACKAGE; SOURCE_CFG=IA-ST-CFG-0163; MARKET=START TRADING BULGARİSTAN</t>
        </is>
      </c>
      <c r="N760" t="inlineStr">
        <is>
          <t>2026-08-10T19:29:54Z</t>
        </is>
      </c>
      <c r="O760" t="inlineStr">
        <is>
          <t>2026-08-10T19:29:54Z</t>
        </is>
      </c>
    </row>
    <row r="761">
      <c r="A761" s="19" t="inlineStr">
        <is>
          <t>760</t>
        </is>
      </c>
      <c r="B761" s="19" t="inlineStr">
        <is>
          <t>1012702</t>
        </is>
      </c>
      <c r="C761" t="inlineStr">
        <is>
          <t>AKÜ,D23,DK,62AH,IGYA SMF,İNCİ TAURUS</t>
        </is>
      </c>
      <c r="D761" s="19" t="inlineStr">
        <is>
          <t>1</t>
        </is>
      </c>
      <c r="E761" t="n">
        <v>0</v>
      </c>
      <c r="I761" s="19" t="inlineStr">
        <is>
          <t>2</t>
        </is>
      </c>
      <c r="J761" t="inlineStr">
        <is>
          <t>2026-08-08</t>
        </is>
      </c>
      <c r="L761" s="19" t="inlineStr">
        <is>
          <t>1012702</t>
        </is>
      </c>
      <c r="M761" t="inlineStr">
        <is>
          <t>STATUS=IN OEM / EU PACKAGE; SOURCE_CFG=IA-ST-CFG-0219; MARKET=None</t>
        </is>
      </c>
      <c r="N761" t="inlineStr">
        <is>
          <t>2026-08-10T19:29:54Z</t>
        </is>
      </c>
      <c r="O761" t="inlineStr">
        <is>
          <t>2026-08-10T19:29:54Z</t>
        </is>
      </c>
    </row>
    <row r="762">
      <c r="A762" s="19" t="inlineStr">
        <is>
          <t>761</t>
        </is>
      </c>
      <c r="B762" s="19" t="inlineStr">
        <is>
          <t>1012703</t>
        </is>
      </c>
      <c r="C762" t="inlineStr">
        <is>
          <t>AKÜ,LB3,DK,70AH,IGYA SMF,FORD OES</t>
        </is>
      </c>
      <c r="D762" s="19" t="inlineStr">
        <is>
          <t>1</t>
        </is>
      </c>
      <c r="E762" t="n">
        <v>0</v>
      </c>
      <c r="I762" s="19" t="inlineStr">
        <is>
          <t>2</t>
        </is>
      </c>
      <c r="J762" t="inlineStr">
        <is>
          <t>2026-08-08</t>
        </is>
      </c>
      <c r="L762" s="19" t="inlineStr">
        <is>
          <t>1012703</t>
        </is>
      </c>
      <c r="M762" t="inlineStr">
        <is>
          <t>STATUS=IN OEM / EU PACKAGE; SOURCE_CFG=IA-ST-CFG-0178; MARKET=FORD (Yurt İçi)</t>
        </is>
      </c>
      <c r="N762" t="inlineStr">
        <is>
          <t>2026-08-10T19:29:54Z</t>
        </is>
      </c>
      <c r="O762" t="inlineStr">
        <is>
          <t>2026-08-10T19:29:54Z</t>
        </is>
      </c>
    </row>
    <row r="763">
      <c r="A763" s="19" t="inlineStr">
        <is>
          <t>762</t>
        </is>
      </c>
      <c r="B763" s="19" t="inlineStr">
        <is>
          <t>1012704</t>
        </is>
      </c>
      <c r="C763" t="inlineStr">
        <is>
          <t>AKÜ,LB1,DK,44AH,IGYA SMF,FORD OES</t>
        </is>
      </c>
      <c r="D763" s="19" t="inlineStr">
        <is>
          <t>1</t>
        </is>
      </c>
      <c r="E763" t="n">
        <v>0</v>
      </c>
      <c r="I763" s="19" t="inlineStr">
        <is>
          <t>2</t>
        </is>
      </c>
      <c r="J763" t="inlineStr">
        <is>
          <t>2026-08-08</t>
        </is>
      </c>
      <c r="L763" s="19" t="inlineStr">
        <is>
          <t>1012704</t>
        </is>
      </c>
      <c r="M763" t="inlineStr">
        <is>
          <t>STATUS=IN OEM / EU PACKAGE; SOURCE_CFG=IA-ST-CFG-0247; MARKET=FORD (Yurt İçi)</t>
        </is>
      </c>
      <c r="N763" t="inlineStr">
        <is>
          <t>2026-08-10T19:29:54Z</t>
        </is>
      </c>
      <c r="O763" t="inlineStr">
        <is>
          <t>2026-08-10T19:29:54Z</t>
        </is>
      </c>
    </row>
    <row r="764">
      <c r="A764" s="19" t="inlineStr">
        <is>
          <t>763</t>
        </is>
      </c>
      <c r="B764" s="19" t="inlineStr">
        <is>
          <t>1012705</t>
        </is>
      </c>
      <c r="C764" t="inlineStr">
        <is>
          <t>AKÜ,L1,DK,50AH,IGYA SMF,FORD OES</t>
        </is>
      </c>
      <c r="D764" s="19" t="inlineStr">
        <is>
          <t>1</t>
        </is>
      </c>
      <c r="E764" t="n">
        <v>0</v>
      </c>
      <c r="I764" s="19" t="inlineStr">
        <is>
          <t>2</t>
        </is>
      </c>
      <c r="J764" t="inlineStr">
        <is>
          <t>2026-08-08</t>
        </is>
      </c>
      <c r="L764" s="19" t="inlineStr">
        <is>
          <t>1012705</t>
        </is>
      </c>
      <c r="M764" t="inlineStr">
        <is>
          <t>STATUS=IN OEM / EU PACKAGE; SOURCE_CFG=IA-ST-CFG-0248; MARKET=FORD (Yurt İçi)</t>
        </is>
      </c>
      <c r="N764" t="inlineStr">
        <is>
          <t>2026-08-10T19:29:54Z</t>
        </is>
      </c>
      <c r="O764" t="inlineStr">
        <is>
          <t>2026-08-10T19:29:54Z</t>
        </is>
      </c>
    </row>
    <row r="765">
      <c r="A765" s="19" t="inlineStr">
        <is>
          <t>764</t>
        </is>
      </c>
      <c r="B765" s="19" t="inlineStr">
        <is>
          <t>1012706</t>
        </is>
      </c>
      <c r="C765" t="inlineStr">
        <is>
          <t>AKÜ,LB2,DK,60AH,IGYA SMF,FORD OES</t>
        </is>
      </c>
      <c r="D765" s="19" t="inlineStr">
        <is>
          <t>1</t>
        </is>
      </c>
      <c r="E765" t="n">
        <v>0</v>
      </c>
      <c r="I765" s="19" t="inlineStr">
        <is>
          <t>2</t>
        </is>
      </c>
      <c r="J765" t="inlineStr">
        <is>
          <t>2026-08-08</t>
        </is>
      </c>
      <c r="L765" s="19" t="inlineStr">
        <is>
          <t>1012706</t>
        </is>
      </c>
      <c r="M765" t="inlineStr">
        <is>
          <t>STATUS=IN OEM / EU PACKAGE; SOURCE_CFG=IA-ST-CFG-0222; MARKET=FORD (Yurt İçi)</t>
        </is>
      </c>
      <c r="N765" t="inlineStr">
        <is>
          <t>2026-08-10T19:29:54Z</t>
        </is>
      </c>
      <c r="O765" t="inlineStr">
        <is>
          <t>2026-08-10T19:29:54Z</t>
        </is>
      </c>
    </row>
    <row r="766">
      <c r="A766" s="19" t="inlineStr">
        <is>
          <t>765</t>
        </is>
      </c>
      <c r="B766" s="19" t="inlineStr">
        <is>
          <t>1012707</t>
        </is>
      </c>
      <c r="C766" t="inlineStr">
        <is>
          <t>AKÜ,LB3,DK,72AH,IGYA SMF,FORD OES</t>
        </is>
      </c>
      <c r="D766" s="19" t="inlineStr">
        <is>
          <t>1</t>
        </is>
      </c>
      <c r="E766" t="n">
        <v>0</v>
      </c>
      <c r="I766" s="19" t="inlineStr">
        <is>
          <t>2</t>
        </is>
      </c>
      <c r="J766" t="inlineStr">
        <is>
          <t>2026-08-08</t>
        </is>
      </c>
      <c r="L766" s="19" t="inlineStr">
        <is>
          <t>1012707</t>
        </is>
      </c>
      <c r="M766" t="inlineStr">
        <is>
          <t>STATUS=IN OEM / EU PACKAGE; SOURCE_CFG=IA-ST-CFG-0178; MARKET=FORD (Yurt İçi)</t>
        </is>
      </c>
      <c r="N766" t="inlineStr">
        <is>
          <t>2026-08-10T19:29:54Z</t>
        </is>
      </c>
      <c r="O766" t="inlineStr">
        <is>
          <t>2026-08-10T19:29:54Z</t>
        </is>
      </c>
    </row>
    <row r="767">
      <c r="A767" s="19" t="inlineStr">
        <is>
          <t>766</t>
        </is>
      </c>
      <c r="B767" s="19" t="inlineStr">
        <is>
          <t>1012709</t>
        </is>
      </c>
      <c r="C767" t="inlineStr">
        <is>
          <t>AKÜ,LB4,DK,82AH,IGYA SMF,FORD OES</t>
        </is>
      </c>
      <c r="D767" s="19" t="inlineStr">
        <is>
          <t>1</t>
        </is>
      </c>
      <c r="E767" t="n">
        <v>0</v>
      </c>
      <c r="I767" s="19" t="inlineStr">
        <is>
          <t>2</t>
        </is>
      </c>
      <c r="J767" t="inlineStr">
        <is>
          <t>2026-08-08</t>
        </is>
      </c>
      <c r="L767" s="19" t="inlineStr">
        <is>
          <t>1012709</t>
        </is>
      </c>
      <c r="M767" t="inlineStr">
        <is>
          <t>STATUS=IN OEM / EU PACKAGE; SOURCE_CFG=IA-ST-CFG-0142; MARKET=FORD (Yurt İçi)</t>
        </is>
      </c>
      <c r="N767" t="inlineStr">
        <is>
          <t>2026-08-10T19:29:54Z</t>
        </is>
      </c>
      <c r="O767" t="inlineStr">
        <is>
          <t>2026-08-10T19:29:54Z</t>
        </is>
      </c>
    </row>
    <row r="768">
      <c r="A768" s="19" t="inlineStr">
        <is>
          <t>767</t>
        </is>
      </c>
      <c r="B768" s="19" t="inlineStr">
        <is>
          <t>1012710</t>
        </is>
      </c>
      <c r="C768" t="inlineStr">
        <is>
          <t>AKÜ,LB3,DK,65AH,IGYASMF,EFB S&amp;S,FORD OES</t>
        </is>
      </c>
      <c r="D768" s="19" t="inlineStr">
        <is>
          <t>1</t>
        </is>
      </c>
      <c r="E768" t="n">
        <v>0</v>
      </c>
      <c r="I768" s="19" t="inlineStr">
        <is>
          <t>2</t>
        </is>
      </c>
      <c r="J768" t="inlineStr">
        <is>
          <t>2026-08-08</t>
        </is>
      </c>
      <c r="L768" s="19" t="inlineStr">
        <is>
          <t>1012710</t>
        </is>
      </c>
      <c r="M768" t="inlineStr">
        <is>
          <t>STATUS=IN OEM / EU PACKAGE; SOURCE_CFG=IA-ST-CFG-0178; MARKET=FORD (Yurt İçi)</t>
        </is>
      </c>
      <c r="N768" t="inlineStr">
        <is>
          <t>2026-08-10T19:29:54Z</t>
        </is>
      </c>
      <c r="O768" t="inlineStr">
        <is>
          <t>2026-08-10T19:29:54Z</t>
        </is>
      </c>
    </row>
    <row r="769">
      <c r="A769" s="19" t="inlineStr">
        <is>
          <t>768</t>
        </is>
      </c>
      <c r="B769" s="19" t="inlineStr">
        <is>
          <t>1012712</t>
        </is>
      </c>
      <c r="C769" t="inlineStr">
        <is>
          <t>AKÜ,L3,DK,70AH,IGYA SMF,EFB S&amp;S,FORD OES</t>
        </is>
      </c>
      <c r="D769" s="19" t="inlineStr">
        <is>
          <t>1</t>
        </is>
      </c>
      <c r="E769" t="n">
        <v>0</v>
      </c>
      <c r="I769" s="19" t="inlineStr">
        <is>
          <t>2</t>
        </is>
      </c>
      <c r="J769" t="inlineStr">
        <is>
          <t>2026-08-08</t>
        </is>
      </c>
      <c r="L769" s="19" t="inlineStr">
        <is>
          <t>1012712</t>
        </is>
      </c>
      <c r="M769" t="inlineStr">
        <is>
          <t>STATUS=IN OEM / EU PACKAGE; SOURCE_CFG=IA-ST-CFG-0179; MARKET=FORD (Yurt İçi)</t>
        </is>
      </c>
      <c r="N769" t="inlineStr">
        <is>
          <t>2026-08-10T19:29:54Z</t>
        </is>
      </c>
      <c r="O769" t="inlineStr">
        <is>
          <t>2026-08-10T19:29:54Z</t>
        </is>
      </c>
    </row>
    <row r="770">
      <c r="A770" s="19" t="inlineStr">
        <is>
          <t>769</t>
        </is>
      </c>
      <c r="B770" s="19" t="inlineStr">
        <is>
          <t>1012713</t>
        </is>
      </c>
      <c r="C770" t="inlineStr">
        <is>
          <t>AKÜ,L5,DK,100AH,IGYASMF,İNCİ SUPRA,TAFE</t>
        </is>
      </c>
      <c r="D770" s="19" t="inlineStr">
        <is>
          <t>1</t>
        </is>
      </c>
      <c r="E770" t="n">
        <v>0</v>
      </c>
      <c r="I770" s="19" t="inlineStr">
        <is>
          <t>2</t>
        </is>
      </c>
      <c r="J770" t="inlineStr">
        <is>
          <t>2026-08-08</t>
        </is>
      </c>
      <c r="L770" s="19" t="inlineStr">
        <is>
          <t>1012713</t>
        </is>
      </c>
      <c r="M770" t="inlineStr">
        <is>
          <t>STATUS=DOMESTIC-ONLY / NOT IN OEM PACKAGE; SOURCE_CFG=IA-ST-CFG-0007; MARKET=TAFE (Yurt İçi)</t>
        </is>
      </c>
      <c r="N770" t="inlineStr">
        <is>
          <t>2026-08-10T19:29:54Z</t>
        </is>
      </c>
      <c r="O770" t="inlineStr">
        <is>
          <t>2026-08-10T19:29:54Z</t>
        </is>
      </c>
    </row>
    <row r="771">
      <c r="A771" s="19" t="inlineStr">
        <is>
          <t>770</t>
        </is>
      </c>
      <c r="B771" s="19" t="inlineStr">
        <is>
          <t>1012714</t>
        </is>
      </c>
      <c r="C771" t="inlineStr">
        <is>
          <t>AKÜ,L5,DK,102AH,IGYSMF,TPOWERPARTSTEKSAN</t>
        </is>
      </c>
      <c r="D771" s="19" t="inlineStr">
        <is>
          <t>1</t>
        </is>
      </c>
      <c r="E771" t="n">
        <v>0</v>
      </c>
      <c r="I771" s="19" t="inlineStr">
        <is>
          <t>2</t>
        </is>
      </c>
      <c r="J771" t="inlineStr">
        <is>
          <t>2026-08-08</t>
        </is>
      </c>
      <c r="L771" s="19" t="inlineStr">
        <is>
          <t>1012714</t>
        </is>
      </c>
      <c r="M771" t="inlineStr">
        <is>
          <t>STATUS=DOMESTIC-ONLY / NOT IN OEM PACKAGE; SOURCE_CFG=IA-ST-CFG-0074; MARKET=TEKSAN (Yurt İçi)</t>
        </is>
      </c>
      <c r="N771" t="inlineStr">
        <is>
          <t>2026-08-10T19:29:54Z</t>
        </is>
      </c>
      <c r="O771" t="inlineStr">
        <is>
          <t>2026-08-10T19:29:54Z</t>
        </is>
      </c>
    </row>
    <row r="772">
      <c r="A772" s="19" t="inlineStr">
        <is>
          <t>771</t>
        </is>
      </c>
      <c r="B772" s="19" t="inlineStr">
        <is>
          <t>1012715</t>
        </is>
      </c>
      <c r="C772" t="inlineStr">
        <is>
          <t>AKÜ,NS60,DK47AH,IGYSMF,TPOWERPARTSTEKSAN</t>
        </is>
      </c>
      <c r="D772" s="19" t="inlineStr">
        <is>
          <t>1</t>
        </is>
      </c>
      <c r="E772" t="n">
        <v>0</v>
      </c>
      <c r="I772" s="19" t="inlineStr">
        <is>
          <t>2</t>
        </is>
      </c>
      <c r="J772" t="inlineStr">
        <is>
          <t>2026-08-08</t>
        </is>
      </c>
      <c r="L772" s="19" t="inlineStr">
        <is>
          <t>1012715</t>
        </is>
      </c>
      <c r="M772" t="inlineStr">
        <is>
          <t>STATUS=DOMESTIC-ONLY / NOT IN OEM PACKAGE; SOURCE_CFG=IA-ST-CFG-0120; MARKET=TEKSAN (Yurt İçi)</t>
        </is>
      </c>
      <c r="N772" t="inlineStr">
        <is>
          <t>2026-08-10T19:29:54Z</t>
        </is>
      </c>
      <c r="O772" t="inlineStr">
        <is>
          <t>2026-08-10T19:29:54Z</t>
        </is>
      </c>
    </row>
    <row r="773">
      <c r="A773" s="19" t="inlineStr">
        <is>
          <t>772</t>
        </is>
      </c>
      <c r="B773" s="19" t="inlineStr">
        <is>
          <t>1012716</t>
        </is>
      </c>
      <c r="C773" t="inlineStr">
        <is>
          <t>AKÜ,LB3,DK,75AH,IGYSMF,TPOWERPARTSTEKSAN</t>
        </is>
      </c>
      <c r="D773" s="19" t="inlineStr">
        <is>
          <t>1</t>
        </is>
      </c>
      <c r="E773" t="n">
        <v>0</v>
      </c>
      <c r="I773" s="19" t="inlineStr">
        <is>
          <t>2</t>
        </is>
      </c>
      <c r="J773" t="inlineStr">
        <is>
          <t>2026-08-08</t>
        </is>
      </c>
      <c r="L773" s="19" t="inlineStr">
        <is>
          <t>1012716</t>
        </is>
      </c>
      <c r="M773" t="inlineStr">
        <is>
          <t>STATUS=DOMESTIC-ONLY / NOT IN OEM PACKAGE; SOURCE_CFG=IA-ST-CFG-0136; MARKET=TEKSAN (Yurt İçi)</t>
        </is>
      </c>
      <c r="N773" t="inlineStr">
        <is>
          <t>2026-08-10T19:29:54Z</t>
        </is>
      </c>
      <c r="O773" t="inlineStr">
        <is>
          <t>2026-08-10T19:29:54Z</t>
        </is>
      </c>
    </row>
    <row r="774">
      <c r="A774" s="19" t="inlineStr">
        <is>
          <t>773</t>
        </is>
      </c>
      <c r="B774" s="19" t="inlineStr">
        <is>
          <t>1012738</t>
        </is>
      </c>
      <c r="C774" t="inlineStr">
        <is>
          <t>AKÜ,L3,DK,72AH,IGYSMF,HUGELULTRA,POLONYA</t>
        </is>
      </c>
      <c r="D774" s="19" t="inlineStr">
        <is>
          <t>1</t>
        </is>
      </c>
      <c r="E774" t="n">
        <v>0</v>
      </c>
      <c r="I774" s="19" t="inlineStr">
        <is>
          <t>2</t>
        </is>
      </c>
      <c r="J774" t="inlineStr">
        <is>
          <t>2026-08-08</t>
        </is>
      </c>
      <c r="L774" s="19" t="inlineStr">
        <is>
          <t>1012738</t>
        </is>
      </c>
      <c r="M774" t="inlineStr">
        <is>
          <t>STATUS=IN OEM / EU PACKAGE; SOURCE_CFG=IA-ST-CFG-0135; MARKET=BATERIE PRZEMYSLOWE POLONYA</t>
        </is>
      </c>
      <c r="N774" t="inlineStr">
        <is>
          <t>2026-08-10T19:29:54Z</t>
        </is>
      </c>
      <c r="O774" t="inlineStr">
        <is>
          <t>2026-08-10T19:29:54Z</t>
        </is>
      </c>
    </row>
    <row r="775">
      <c r="A775" s="19" t="inlineStr">
        <is>
          <t>774</t>
        </is>
      </c>
      <c r="B775" s="19" t="inlineStr">
        <is>
          <t>1012739</t>
        </is>
      </c>
      <c r="C775" t="inlineStr">
        <is>
          <t>AKÜ,LB3,DK72AH,IGYSMF,HUGELULTRA,POLONYA</t>
        </is>
      </c>
      <c r="D775" s="19" t="inlineStr">
        <is>
          <t>1</t>
        </is>
      </c>
      <c r="E775" t="n">
        <v>0</v>
      </c>
      <c r="I775" s="19" t="inlineStr">
        <is>
          <t>2</t>
        </is>
      </c>
      <c r="J775" t="inlineStr">
        <is>
          <t>2026-08-08</t>
        </is>
      </c>
      <c r="L775" s="19" t="inlineStr">
        <is>
          <t>1012739</t>
        </is>
      </c>
      <c r="M775" t="inlineStr">
        <is>
          <t>STATUS=IN OEM / EU PACKAGE; SOURCE_CFG=IA-ST-CFG-0135; MARKET=BATERIE PRZEMYSLOWE POLONYA</t>
        </is>
      </c>
      <c r="N775" t="inlineStr">
        <is>
          <t>2026-08-10T19:29:54Z</t>
        </is>
      </c>
      <c r="O775" t="inlineStr">
        <is>
          <t>2026-08-10T19:29:54Z</t>
        </is>
      </c>
    </row>
    <row r="776">
      <c r="A776" s="19" t="inlineStr">
        <is>
          <t>775</t>
        </is>
      </c>
      <c r="B776" s="19" t="inlineStr">
        <is>
          <t>1012740</t>
        </is>
      </c>
      <c r="C776" t="inlineStr">
        <is>
          <t>AKÜ,LB4,DK80AH,IGYSMF,HUGELULTRA,POLONYA</t>
        </is>
      </c>
      <c r="D776" s="19" t="inlineStr">
        <is>
          <t>1</t>
        </is>
      </c>
      <c r="E776" t="n">
        <v>0</v>
      </c>
      <c r="I776" s="19" t="inlineStr">
        <is>
          <t>2</t>
        </is>
      </c>
      <c r="J776" t="inlineStr">
        <is>
          <t>2026-08-08</t>
        </is>
      </c>
      <c r="L776" s="19" t="inlineStr">
        <is>
          <t>1012740</t>
        </is>
      </c>
      <c r="M776" t="inlineStr">
        <is>
          <t>STATUS=IN OEM / EU PACKAGE; SOURCE_CFG=IA-ST-CFG-0087; MARKET=BATERIE PRZEMYSLOWE POLONYA</t>
        </is>
      </c>
      <c r="N776" t="inlineStr">
        <is>
          <t>2026-08-10T19:29:54Z</t>
        </is>
      </c>
      <c r="O776" t="inlineStr">
        <is>
          <t>2026-08-10T19:29:54Z</t>
        </is>
      </c>
    </row>
    <row r="777">
      <c r="A777" s="19" t="inlineStr">
        <is>
          <t>776</t>
        </is>
      </c>
      <c r="B777" s="19" t="inlineStr">
        <is>
          <t>1012741</t>
        </is>
      </c>
      <c r="C777" t="inlineStr">
        <is>
          <t>AKÜ,LB1,DK44AH,IGYSMF,HUGELULTRA,POLONYA</t>
        </is>
      </c>
      <c r="D777" s="19" t="inlineStr">
        <is>
          <t>1</t>
        </is>
      </c>
      <c r="E777" t="n">
        <v>0</v>
      </c>
      <c r="I777" s="19" t="inlineStr">
        <is>
          <t>2</t>
        </is>
      </c>
      <c r="J777" t="inlineStr">
        <is>
          <t>2026-08-08</t>
        </is>
      </c>
      <c r="L777" s="19" t="inlineStr">
        <is>
          <t>1012741</t>
        </is>
      </c>
      <c r="M777" t="inlineStr">
        <is>
          <t>STATUS=IN OEM / EU PACKAGE; SOURCE_CFG=IA-ST-CFG-0206; MARKET=BATERIE PRZEMYSLOWE POLONYA</t>
        </is>
      </c>
      <c r="N777" t="inlineStr">
        <is>
          <t>2026-08-10T19:29:54Z</t>
        </is>
      </c>
      <c r="O777" t="inlineStr">
        <is>
          <t>2026-08-10T19:29:54Z</t>
        </is>
      </c>
    </row>
    <row r="778">
      <c r="A778" s="19" t="inlineStr">
        <is>
          <t>777</t>
        </is>
      </c>
      <c r="B778" s="19" t="inlineStr">
        <is>
          <t>1012742</t>
        </is>
      </c>
      <c r="C778" t="inlineStr">
        <is>
          <t>AKÜ,L1,DK,50AH,IGYSMF,HUGELULTRA,POLONYA</t>
        </is>
      </c>
      <c r="D778" s="19" t="inlineStr">
        <is>
          <t>1</t>
        </is>
      </c>
      <c r="E778" t="n">
        <v>0</v>
      </c>
      <c r="I778" s="19" t="inlineStr">
        <is>
          <t>2</t>
        </is>
      </c>
      <c r="J778" t="inlineStr">
        <is>
          <t>2026-08-08</t>
        </is>
      </c>
      <c r="L778" s="19" t="inlineStr">
        <is>
          <t>1012742</t>
        </is>
      </c>
      <c r="M778" t="inlineStr">
        <is>
          <t>STATUS=IN OEM / EU PACKAGE; SOURCE_CFG=IA-ST-CFG-0206; MARKET=BATERIE PRZEMYSLOWE POLONYA</t>
        </is>
      </c>
      <c r="N778" t="inlineStr">
        <is>
          <t>2026-08-10T19:29:54Z</t>
        </is>
      </c>
      <c r="O778" t="inlineStr">
        <is>
          <t>2026-08-10T19:29:54Z</t>
        </is>
      </c>
    </row>
    <row r="779">
      <c r="A779" s="19" t="inlineStr">
        <is>
          <t>778</t>
        </is>
      </c>
      <c r="B779" s="19" t="inlineStr">
        <is>
          <t>1012743</t>
        </is>
      </c>
      <c r="C779" t="inlineStr">
        <is>
          <t>AKÜ,L2,DK,60AH,IGYSMF,HUGELULTRA,POLONYA</t>
        </is>
      </c>
      <c r="D779" s="19" t="inlineStr">
        <is>
          <t>1</t>
        </is>
      </c>
      <c r="E779" t="n">
        <v>0</v>
      </c>
      <c r="I779" s="19" t="inlineStr">
        <is>
          <t>2</t>
        </is>
      </c>
      <c r="J779" t="inlineStr">
        <is>
          <t>2026-08-08</t>
        </is>
      </c>
      <c r="L779" s="19" t="inlineStr">
        <is>
          <t>1012743</t>
        </is>
      </c>
      <c r="M779" t="inlineStr">
        <is>
          <t>STATUS=IN OEM / EU PACKAGE; SOURCE_CFG=IA-ST-CFG-0164; MARKET=BATERIE PRZEMYSLOWE POLONYA</t>
        </is>
      </c>
      <c r="N779" t="inlineStr">
        <is>
          <t>2026-08-10T19:29:54Z</t>
        </is>
      </c>
      <c r="O779" t="inlineStr">
        <is>
          <t>2026-08-10T19:29:54Z</t>
        </is>
      </c>
    </row>
    <row r="780">
      <c r="A780" s="19" t="inlineStr">
        <is>
          <t>779</t>
        </is>
      </c>
      <c r="B780" s="19" t="inlineStr">
        <is>
          <t>1012744</t>
        </is>
      </c>
      <c r="C780" t="inlineStr">
        <is>
          <t>AKÜ,LB2,DK60AH,IGYSMF,HUGELULTRA,POLONYA</t>
        </is>
      </c>
      <c r="D780" s="19" t="inlineStr">
        <is>
          <t>1</t>
        </is>
      </c>
      <c r="E780" t="n">
        <v>0</v>
      </c>
      <c r="I780" s="19" t="inlineStr">
        <is>
          <t>2</t>
        </is>
      </c>
      <c r="J780" t="inlineStr">
        <is>
          <t>2026-08-08</t>
        </is>
      </c>
      <c r="L780" s="19" t="inlineStr">
        <is>
          <t>1012744</t>
        </is>
      </c>
      <c r="M780" t="inlineStr">
        <is>
          <t>STATUS=IN OEM / EU PACKAGE; SOURCE_CFG=IA-ST-CFG-0164; MARKET=BATERIE PRZEMYSLOWE POLONYA</t>
        </is>
      </c>
      <c r="N780" t="inlineStr">
        <is>
          <t>2026-08-10T19:29:54Z</t>
        </is>
      </c>
      <c r="O780" t="inlineStr">
        <is>
          <t>2026-08-10T19:29:54Z</t>
        </is>
      </c>
    </row>
    <row r="781">
      <c r="A781" s="19" t="inlineStr">
        <is>
          <t>780</t>
        </is>
      </c>
      <c r="B781" s="19" t="inlineStr">
        <is>
          <t>1012765</t>
        </is>
      </c>
      <c r="C781" t="inlineStr">
        <is>
          <t>AKÜ,L3,DK,72AH,IGYA SMF,BLIZZARO EFB S&amp;S</t>
        </is>
      </c>
      <c r="D781" s="19" t="inlineStr">
        <is>
          <t>1</t>
        </is>
      </c>
      <c r="E781" t="n">
        <v>0</v>
      </c>
      <c r="I781" s="19" t="inlineStr">
        <is>
          <t>2</t>
        </is>
      </c>
      <c r="J781" t="inlineStr">
        <is>
          <t>2026-08-08</t>
        </is>
      </c>
      <c r="L781" s="19" t="inlineStr">
        <is>
          <t>1012765</t>
        </is>
      </c>
      <c r="M781" t="inlineStr">
        <is>
          <t>STATUS=IN OEM / EU PACKAGE; SOURCE_CFG=IA-ST-CFG-0179; MARKET=None</t>
        </is>
      </c>
      <c r="N781" t="inlineStr">
        <is>
          <t>2026-08-10T19:29:54Z</t>
        </is>
      </c>
      <c r="O781" t="inlineStr">
        <is>
          <t>2026-08-10T19:29:54Z</t>
        </is>
      </c>
    </row>
    <row r="782">
      <c r="A782" s="19" t="inlineStr">
        <is>
          <t>781</t>
        </is>
      </c>
      <c r="B782" s="19" t="inlineStr">
        <is>
          <t>1012768</t>
        </is>
      </c>
      <c r="C782" t="inlineStr">
        <is>
          <t>AKÜ,D31,TK,70AH,IGYA SMF,HUGEL ULTRA</t>
        </is>
      </c>
      <c r="D782" s="19" t="inlineStr">
        <is>
          <t>1</t>
        </is>
      </c>
      <c r="E782" t="n">
        <v>0</v>
      </c>
      <c r="I782" s="19" t="inlineStr">
        <is>
          <t>2</t>
        </is>
      </c>
      <c r="J782" t="inlineStr">
        <is>
          <t>2026-08-08</t>
        </is>
      </c>
      <c r="L782" s="19" t="inlineStr">
        <is>
          <t>1012768</t>
        </is>
      </c>
      <c r="M782" t="inlineStr">
        <is>
          <t>STATUS=IN OEM / EU PACKAGE; SOURCE_CFG=IA-ST-CFG-0143; MARKET=None</t>
        </is>
      </c>
      <c r="N782" t="inlineStr">
        <is>
          <t>2026-08-10T19:29:54Z</t>
        </is>
      </c>
      <c r="O782" t="inlineStr">
        <is>
          <t>2026-08-10T19:29:54Z</t>
        </is>
      </c>
    </row>
    <row r="783">
      <c r="A783" s="19" t="inlineStr">
        <is>
          <t>782</t>
        </is>
      </c>
      <c r="B783" s="19" t="inlineStr">
        <is>
          <t>1012769</t>
        </is>
      </c>
      <c r="C783" t="inlineStr">
        <is>
          <t>AKÜ,L5,DK,88AH,IGYSMF,İNCİTAURUS,SHAWKAT</t>
        </is>
      </c>
      <c r="D783" s="19" t="inlineStr">
        <is>
          <t>1</t>
        </is>
      </c>
      <c r="E783" t="n">
        <v>0</v>
      </c>
      <c r="I783" s="19" t="inlineStr">
        <is>
          <t>2</t>
        </is>
      </c>
      <c r="J783" t="inlineStr">
        <is>
          <t>2026-08-08</t>
        </is>
      </c>
      <c r="L783" s="19" t="inlineStr">
        <is>
          <t>1012769</t>
        </is>
      </c>
      <c r="M783" t="inlineStr">
        <is>
          <t>STATUS=IN OEM / EU PACKAGE; SOURCE_CFG=IA-ST-CFG-0096; MARKET=SHAWKAT</t>
        </is>
      </c>
      <c r="N783" t="inlineStr">
        <is>
          <t>2026-08-10T19:29:54Z</t>
        </is>
      </c>
      <c r="O783" t="inlineStr">
        <is>
          <t>2026-08-10T19:29:54Z</t>
        </is>
      </c>
    </row>
    <row r="784">
      <c r="A784" s="19" t="inlineStr">
        <is>
          <t>783</t>
        </is>
      </c>
      <c r="B784" s="19" t="inlineStr">
        <is>
          <t>1012770</t>
        </is>
      </c>
      <c r="C784" t="inlineStr">
        <is>
          <t>AKÜ,LB1,DK,44AH,IGYA SMF,EAS ACTIVA,EURO</t>
        </is>
      </c>
      <c r="D784" s="19" t="inlineStr">
        <is>
          <t>1</t>
        </is>
      </c>
      <c r="E784" t="n">
        <v>0</v>
      </c>
      <c r="I784" s="19" t="inlineStr">
        <is>
          <t>2</t>
        </is>
      </c>
      <c r="J784" t="inlineStr">
        <is>
          <t>2026-08-08</t>
        </is>
      </c>
      <c r="L784" s="19" t="inlineStr">
        <is>
          <t>1012770</t>
        </is>
      </c>
      <c r="M784" t="inlineStr">
        <is>
          <t>STATUS=IN OEM / EU PACKAGE; SOURCE_CFG=IA-ST-CFG-0264; MARKET=ATHLANTIC SUHI</t>
        </is>
      </c>
      <c r="N784" t="inlineStr">
        <is>
          <t>2026-08-10T19:29:54Z</t>
        </is>
      </c>
      <c r="O784" t="inlineStr">
        <is>
          <t>2026-08-10T19:29:54Z</t>
        </is>
      </c>
    </row>
    <row r="785">
      <c r="A785" s="19" t="inlineStr">
        <is>
          <t>784</t>
        </is>
      </c>
      <c r="B785" s="19" t="inlineStr">
        <is>
          <t>1012772</t>
        </is>
      </c>
      <c r="C785" t="inlineStr">
        <is>
          <t>AKÜ,L2,TK,60AH,IGYA SMF,İNCİ FORM TAURUS</t>
        </is>
      </c>
      <c r="D785" s="19" t="inlineStr">
        <is>
          <t>1</t>
        </is>
      </c>
      <c r="E785" t="n">
        <v>0</v>
      </c>
      <c r="I785" s="19" t="inlineStr">
        <is>
          <t>2</t>
        </is>
      </c>
      <c r="J785" t="inlineStr">
        <is>
          <t>2026-08-08</t>
        </is>
      </c>
      <c r="L785" s="19" t="inlineStr">
        <is>
          <t>1012772</t>
        </is>
      </c>
      <c r="M785" t="inlineStr">
        <is>
          <t>STATUS=IN OEM / EU PACKAGE; SOURCE_CFG=IA-ST-CFG-0222; MARKET=None</t>
        </is>
      </c>
      <c r="N785" t="inlineStr">
        <is>
          <t>2026-08-10T19:29:54Z</t>
        </is>
      </c>
      <c r="O785" t="inlineStr">
        <is>
          <t>2026-08-10T19:29:54Z</t>
        </is>
      </c>
    </row>
    <row r="786">
      <c r="A786" s="19" t="inlineStr">
        <is>
          <t>785</t>
        </is>
      </c>
      <c r="B786" s="19" t="inlineStr">
        <is>
          <t>1012773</t>
        </is>
      </c>
      <c r="C786" t="inlineStr">
        <is>
          <t>AKÜ,L5,DK,92AH,İNCİ AGM LEO,EEC MISIR</t>
        </is>
      </c>
      <c r="D786" s="19" t="inlineStr">
        <is>
          <t>1</t>
        </is>
      </c>
      <c r="E786" t="n">
        <v>0</v>
      </c>
      <c r="I786" s="19" t="inlineStr">
        <is>
          <t>2</t>
        </is>
      </c>
      <c r="J786" t="inlineStr">
        <is>
          <t>2026-08-08</t>
        </is>
      </c>
      <c r="L786" s="19" t="inlineStr">
        <is>
          <t>1012773</t>
        </is>
      </c>
      <c r="M786" t="inlineStr">
        <is>
          <t>STATUS=IN OEM / EU PACKAGE; SOURCE_CFG=IA-ST-CFG-0096; MARKET=MISIR EEC</t>
        </is>
      </c>
      <c r="N786" t="inlineStr">
        <is>
          <t>2026-08-10T19:29:54Z</t>
        </is>
      </c>
      <c r="O786" t="inlineStr">
        <is>
          <t>2026-08-10T19:29:54Z</t>
        </is>
      </c>
    </row>
    <row r="787">
      <c r="A787" s="19" t="inlineStr">
        <is>
          <t>786</t>
        </is>
      </c>
      <c r="B787" s="19" t="inlineStr">
        <is>
          <t>1012786</t>
        </is>
      </c>
      <c r="C787" t="inlineStr">
        <is>
          <t>AKÜ,L6,DK,110AH,KAMINA,İNCİ SUPRA SENTOR</t>
        </is>
      </c>
      <c r="D787" s="19" t="inlineStr">
        <is>
          <t>1</t>
        </is>
      </c>
      <c r="E787" t="n">
        <v>0</v>
      </c>
      <c r="I787" s="19" t="inlineStr">
        <is>
          <t>2</t>
        </is>
      </c>
      <c r="J787" t="inlineStr">
        <is>
          <t>2026-08-08</t>
        </is>
      </c>
      <c r="L787" s="19" t="inlineStr">
        <is>
          <t>1012786</t>
        </is>
      </c>
      <c r="M787" t="inlineStr">
        <is>
          <t>STATUS=IN OEM / EU PACKAGE; SOURCE_CFG=IA-ST-CFG-0080; MARKET=None</t>
        </is>
      </c>
      <c r="N787" t="inlineStr">
        <is>
          <t>2026-08-10T19:29:54Z</t>
        </is>
      </c>
      <c r="O787" t="inlineStr">
        <is>
          <t>2026-08-10T19:29:54Z</t>
        </is>
      </c>
    </row>
    <row r="788">
      <c r="A788" s="19" t="inlineStr">
        <is>
          <t>787</t>
        </is>
      </c>
      <c r="B788" s="19" t="inlineStr">
        <is>
          <t>1012787</t>
        </is>
      </c>
      <c r="C788" t="inlineStr">
        <is>
          <t>AKÜ,D31,TK,90AH,IGYSMF,İNCİTAURUS,HATTAT</t>
        </is>
      </c>
      <c r="D788" s="19" t="inlineStr">
        <is>
          <t>1</t>
        </is>
      </c>
      <c r="E788" t="n">
        <v>0</v>
      </c>
      <c r="I788" s="19" t="inlineStr">
        <is>
          <t>2</t>
        </is>
      </c>
      <c r="J788" t="inlineStr">
        <is>
          <t>2026-08-08</t>
        </is>
      </c>
      <c r="L788" s="19" t="inlineStr">
        <is>
          <t>1012787</t>
        </is>
      </c>
      <c r="M788" t="inlineStr">
        <is>
          <t>STATUS=IN OEM / EU PACKAGE; SOURCE_CFG=IA-ST-CFG-0143; MARKET=HATTAT (Yurt İçi)</t>
        </is>
      </c>
      <c r="N788" t="inlineStr">
        <is>
          <t>2026-08-10T19:29:54Z</t>
        </is>
      </c>
      <c r="O788" t="inlineStr">
        <is>
          <t>2026-08-10T19:29:54Z</t>
        </is>
      </c>
    </row>
    <row r="789">
      <c r="A789" s="19" t="inlineStr">
        <is>
          <t>788</t>
        </is>
      </c>
      <c r="B789" s="19" t="inlineStr">
        <is>
          <t>1012788</t>
        </is>
      </c>
      <c r="C789" t="inlineStr">
        <is>
          <t>AKÜ,L5,DK105AH,IGYA,B13,İNCİTAURS,HATTAT</t>
        </is>
      </c>
      <c r="D789" s="19" t="inlineStr">
        <is>
          <t>1</t>
        </is>
      </c>
      <c r="E789" t="n">
        <v>0</v>
      </c>
      <c r="I789" s="19" t="inlineStr">
        <is>
          <t>2</t>
        </is>
      </c>
      <c r="J789" t="inlineStr">
        <is>
          <t>2026-08-08</t>
        </is>
      </c>
      <c r="L789" s="19" t="inlineStr">
        <is>
          <t>1012788</t>
        </is>
      </c>
      <c r="M789" t="inlineStr">
        <is>
          <t>STATUS=IN OEM / EU PACKAGE; SOURCE_CFG=IA-ST-CFG-0096; MARKET=HATTAT (Yurt İçi)</t>
        </is>
      </c>
      <c r="N789" t="inlineStr">
        <is>
          <t>2026-08-10T19:29:54Z</t>
        </is>
      </c>
      <c r="O789" t="inlineStr">
        <is>
          <t>2026-08-10T19:29:54Z</t>
        </is>
      </c>
    </row>
    <row r="790">
      <c r="A790" s="19" t="inlineStr">
        <is>
          <t>789</t>
        </is>
      </c>
      <c r="B790" s="19" t="inlineStr">
        <is>
          <t>1012789</t>
        </is>
      </c>
      <c r="C790" t="inlineStr">
        <is>
          <t>AKÜ,NS60,DK45AH,IGYSMF,HUGELULTR,TRADING</t>
        </is>
      </c>
      <c r="D790" s="19" t="inlineStr">
        <is>
          <t>1</t>
        </is>
      </c>
      <c r="E790" t="n">
        <v>0</v>
      </c>
      <c r="I790" s="19" t="inlineStr">
        <is>
          <t>2</t>
        </is>
      </c>
      <c r="J790" t="inlineStr">
        <is>
          <t>2026-08-08</t>
        </is>
      </c>
      <c r="L790" s="19" t="inlineStr">
        <is>
          <t>1012789</t>
        </is>
      </c>
      <c r="M790" t="inlineStr">
        <is>
          <t>STATUS=IN OEM / EU PACKAGE; SOURCE_CFG=IA-ST-CFG-0235; MARKET=START TRADING BULGARİSTAN</t>
        </is>
      </c>
      <c r="N790" t="inlineStr">
        <is>
          <t>2026-08-10T19:29:54Z</t>
        </is>
      </c>
      <c r="O790" t="inlineStr">
        <is>
          <t>2026-08-10T19:29:54Z</t>
        </is>
      </c>
    </row>
    <row r="791">
      <c r="A791" s="19" t="inlineStr">
        <is>
          <t>790</t>
        </is>
      </c>
      <c r="B791" s="19" t="inlineStr">
        <is>
          <t>1012790</t>
        </is>
      </c>
      <c r="C791" t="inlineStr">
        <is>
          <t>AKÜ,D31,DK100AH,IGYSMF,HUGELULTR,TRADING</t>
        </is>
      </c>
      <c r="D791" s="19" t="inlineStr">
        <is>
          <t>1</t>
        </is>
      </c>
      <c r="E791" t="n">
        <v>0</v>
      </c>
      <c r="I791" s="19" t="inlineStr">
        <is>
          <t>2</t>
        </is>
      </c>
      <c r="J791" t="inlineStr">
        <is>
          <t>2026-08-08</t>
        </is>
      </c>
      <c r="L791" s="19" t="inlineStr">
        <is>
          <t>1012790</t>
        </is>
      </c>
      <c r="M791" t="inlineStr">
        <is>
          <t>STATUS=IN OEM / EU PACKAGE; SOURCE_CFG=IA-ST-CFG-0115; MARKET=START TRADING BULGARİSTAN</t>
        </is>
      </c>
      <c r="N791" t="inlineStr">
        <is>
          <t>2026-08-10T19:29:54Z</t>
        </is>
      </c>
      <c r="O791" t="inlineStr">
        <is>
          <t>2026-08-10T19:29:54Z</t>
        </is>
      </c>
    </row>
    <row r="792">
      <c r="A792" s="19" t="inlineStr">
        <is>
          <t>791</t>
        </is>
      </c>
      <c r="B792" s="19" t="inlineStr">
        <is>
          <t>1012791</t>
        </is>
      </c>
      <c r="C792" t="inlineStr">
        <is>
          <t>AKÜ,D31,TK100AH,IGYSMF,HUGELULTR,TRADING</t>
        </is>
      </c>
      <c r="D792" s="19" t="inlineStr">
        <is>
          <t>1</t>
        </is>
      </c>
      <c r="E792" t="n">
        <v>0</v>
      </c>
      <c r="I792" s="19" t="inlineStr">
        <is>
          <t>2</t>
        </is>
      </c>
      <c r="J792" t="inlineStr">
        <is>
          <t>2026-08-08</t>
        </is>
      </c>
      <c r="L792" s="19" t="inlineStr">
        <is>
          <t>1012791</t>
        </is>
      </c>
      <c r="M792" t="inlineStr">
        <is>
          <t>STATUS=IN OEM / EU PACKAGE; SOURCE_CFG=IA-ST-CFG-0115; MARKET=START TRADING BULGARİSTAN</t>
        </is>
      </c>
      <c r="N792" t="inlineStr">
        <is>
          <t>2026-08-10T19:29:54Z</t>
        </is>
      </c>
      <c r="O792" t="inlineStr">
        <is>
          <t>2026-08-10T19:29:54Z</t>
        </is>
      </c>
    </row>
    <row r="793">
      <c r="A793" s="19" t="inlineStr">
        <is>
          <t>792</t>
        </is>
      </c>
      <c r="B793" s="19" t="inlineStr">
        <is>
          <t>1012792</t>
        </is>
      </c>
      <c r="C793" t="inlineStr">
        <is>
          <t>AKÜ,NS40,DK,42AH,IGYA SMF,HUGEL ULTRA</t>
        </is>
      </c>
      <c r="D793" s="19" t="inlineStr">
        <is>
          <t>1</t>
        </is>
      </c>
      <c r="E793" t="n">
        <v>0</v>
      </c>
      <c r="I793" s="19" t="inlineStr">
        <is>
          <t>2</t>
        </is>
      </c>
      <c r="J793" t="inlineStr">
        <is>
          <t>2026-08-08</t>
        </is>
      </c>
      <c r="L793" s="19" t="inlineStr">
        <is>
          <t>1012792</t>
        </is>
      </c>
      <c r="M793" t="inlineStr">
        <is>
          <t>STATUS=IN OEM / EU PACKAGE; SOURCE_CFG=IA-ST-CFG-0284; MARKET=None</t>
        </is>
      </c>
      <c r="N793" t="inlineStr">
        <is>
          <t>2026-08-10T19:29:54Z</t>
        </is>
      </c>
      <c r="O793" t="inlineStr">
        <is>
          <t>2026-08-10T19:29:54Z</t>
        </is>
      </c>
    </row>
    <row r="794">
      <c r="A794" s="19" t="inlineStr">
        <is>
          <t>793</t>
        </is>
      </c>
      <c r="B794" s="19" t="inlineStr">
        <is>
          <t>1012810</t>
        </is>
      </c>
      <c r="C794" t="inlineStr">
        <is>
          <t>AKÜ,L2,DK,65AH,IGYASMF,İNCİ EFBMAXTIGRIS</t>
        </is>
      </c>
      <c r="D794" s="19" t="inlineStr">
        <is>
          <t>1</t>
        </is>
      </c>
      <c r="E794" t="n">
        <v>0</v>
      </c>
      <c r="I794" s="19" t="inlineStr">
        <is>
          <t>2</t>
        </is>
      </c>
      <c r="J794" t="inlineStr">
        <is>
          <t>2026-08-08</t>
        </is>
      </c>
      <c r="L794" s="19" t="inlineStr">
        <is>
          <t>1012810</t>
        </is>
      </c>
      <c r="M794" t="inlineStr">
        <is>
          <t>STATUS=IN OEM / EU PACKAGE; SOURCE_CFG=IA-ST-CFG-0222; MARKET=None</t>
        </is>
      </c>
      <c r="N794" t="inlineStr">
        <is>
          <t>2026-08-10T19:29:54Z</t>
        </is>
      </c>
      <c r="O794" t="inlineStr">
        <is>
          <t>2026-08-10T19:29:54Z</t>
        </is>
      </c>
    </row>
    <row r="795">
      <c r="A795" s="19" t="inlineStr">
        <is>
          <t>794</t>
        </is>
      </c>
      <c r="B795" s="19" t="inlineStr">
        <is>
          <t>1012811</t>
        </is>
      </c>
      <c r="C795" t="inlineStr">
        <is>
          <t>AKÜ,L3,DK,75AH,IGYASMF,İNCİ EFBMAXTIGRIS</t>
        </is>
      </c>
      <c r="D795" s="19" t="inlineStr">
        <is>
          <t>1</t>
        </is>
      </c>
      <c r="E795" t="n">
        <v>0</v>
      </c>
      <c r="I795" s="19" t="inlineStr">
        <is>
          <t>2</t>
        </is>
      </c>
      <c r="J795" t="inlineStr">
        <is>
          <t>2026-08-08</t>
        </is>
      </c>
      <c r="L795" s="19" t="inlineStr">
        <is>
          <t>1012811</t>
        </is>
      </c>
      <c r="M795" t="inlineStr">
        <is>
          <t>STATUS=IN OEM / EU PACKAGE; SOURCE_CFG=IA-ST-CFG-0179; MARKET=None</t>
        </is>
      </c>
      <c r="N795" t="inlineStr">
        <is>
          <t>2026-08-10T19:29:54Z</t>
        </is>
      </c>
      <c r="O795" t="inlineStr">
        <is>
          <t>2026-08-10T19:29:54Z</t>
        </is>
      </c>
    </row>
    <row r="796">
      <c r="A796" s="19" t="inlineStr">
        <is>
          <t>795</t>
        </is>
      </c>
      <c r="B796" s="19" t="inlineStr">
        <is>
          <t>1012820</t>
        </is>
      </c>
      <c r="C796" t="inlineStr">
        <is>
          <t>AKÜ,L2,DK,60AH,IGYA SMF,FIAT YP,OES</t>
        </is>
      </c>
      <c r="D796" s="19" t="inlineStr">
        <is>
          <t>1</t>
        </is>
      </c>
      <c r="E796" t="n">
        <v>0</v>
      </c>
      <c r="I796" s="19" t="inlineStr">
        <is>
          <t>2</t>
        </is>
      </c>
      <c r="J796" t="inlineStr">
        <is>
          <t>2026-08-08</t>
        </is>
      </c>
      <c r="L796" s="19" t="inlineStr">
        <is>
          <t>1012820</t>
        </is>
      </c>
      <c r="M796" t="inlineStr">
        <is>
          <t>STATUS=DOMESTIC-ONLY / NOT IN OEM PACKAGE; SOURCE_CFG=IA-ST-CFG-0242; MARKET=TOFAŞ (Yurt İçi)</t>
        </is>
      </c>
      <c r="N796" t="inlineStr">
        <is>
          <t>2026-08-10T19:29:54Z</t>
        </is>
      </c>
      <c r="O796" t="inlineStr">
        <is>
          <t>2026-08-10T19:29:54Z</t>
        </is>
      </c>
    </row>
    <row r="797">
      <c r="A797" s="19" t="inlineStr">
        <is>
          <t>796</t>
        </is>
      </c>
      <c r="B797" s="19" t="inlineStr">
        <is>
          <t>1012821</t>
        </is>
      </c>
      <c r="C797" t="inlineStr">
        <is>
          <t>AKÜ,D31,DK,90AH,IGYSMF,İNCİTAURS,AIOSOEM</t>
        </is>
      </c>
      <c r="D797" s="19" t="inlineStr">
        <is>
          <t>1</t>
        </is>
      </c>
      <c r="E797" t="n">
        <v>0</v>
      </c>
      <c r="I797" s="19" t="inlineStr">
        <is>
          <t>2</t>
        </is>
      </c>
      <c r="J797" t="inlineStr">
        <is>
          <t>2026-08-08</t>
        </is>
      </c>
      <c r="L797" s="19" t="inlineStr">
        <is>
          <t>1012821</t>
        </is>
      </c>
      <c r="M797" t="inlineStr">
        <is>
          <t>STATUS=DOMESTIC-ONLY / NOT IN OEM PACKAGE; SOURCE_CFG=IA-ST-CFG-0008; MARKET=ISUZU (Yurt İçi)</t>
        </is>
      </c>
      <c r="N797" t="inlineStr">
        <is>
          <t>2026-08-10T19:29:54Z</t>
        </is>
      </c>
      <c r="O797" t="inlineStr">
        <is>
          <t>2026-08-10T19:29:54Z</t>
        </is>
      </c>
    </row>
    <row r="798">
      <c r="A798" s="19" t="inlineStr">
        <is>
          <t>797</t>
        </is>
      </c>
      <c r="B798" s="19" t="inlineStr">
        <is>
          <t>1012822</t>
        </is>
      </c>
      <c r="C798" t="inlineStr">
        <is>
          <t>AKÜ,D31,DK,90AH,IGYA SMF,ISUZU OES</t>
        </is>
      </c>
      <c r="D798" s="19" t="inlineStr">
        <is>
          <t>1</t>
        </is>
      </c>
      <c r="E798" t="n">
        <v>0</v>
      </c>
      <c r="I798" s="19" t="inlineStr">
        <is>
          <t>2</t>
        </is>
      </c>
      <c r="J798" t="inlineStr">
        <is>
          <t>2026-08-08</t>
        </is>
      </c>
      <c r="L798" s="19" t="inlineStr">
        <is>
          <t>1012822</t>
        </is>
      </c>
      <c r="M798" t="inlineStr">
        <is>
          <t>STATUS=IN OEM / EU PACKAGE; SOURCE_CFG=IA-ST-CFG-0143; MARKET=ISUZU (Yurt İçi)</t>
        </is>
      </c>
      <c r="N798" t="inlineStr">
        <is>
          <t>2026-08-10T19:29:54Z</t>
        </is>
      </c>
      <c r="O798" t="inlineStr">
        <is>
          <t>2026-08-10T19:29:54Z</t>
        </is>
      </c>
    </row>
    <row r="799">
      <c r="A799" s="19" t="inlineStr">
        <is>
          <t>798</t>
        </is>
      </c>
      <c r="B799" s="19" t="inlineStr">
        <is>
          <t>1012823</t>
        </is>
      </c>
      <c r="C799" t="inlineStr">
        <is>
          <t>AKÜ,D31,TK,90AH,IGYA SMF,MAKO YP,OES</t>
        </is>
      </c>
      <c r="D799" s="19" t="inlineStr">
        <is>
          <t>1</t>
        </is>
      </c>
      <c r="E799" t="n">
        <v>0</v>
      </c>
      <c r="I799" s="19" t="inlineStr">
        <is>
          <t>2</t>
        </is>
      </c>
      <c r="J799" t="inlineStr">
        <is>
          <t>2026-08-08</t>
        </is>
      </c>
      <c r="L799" s="19" t="inlineStr">
        <is>
          <t>1012823</t>
        </is>
      </c>
      <c r="M799" t="inlineStr">
        <is>
          <t>STATUS=DOMESTIC-ONLY / NOT IN OEM PACKAGE; SOURCE_CFG=IA-ST-CFG-0119; MARKET=MAKO OES (Yurt İçi)</t>
        </is>
      </c>
      <c r="N799" t="inlineStr">
        <is>
          <t>2026-08-10T19:29:54Z</t>
        </is>
      </c>
      <c r="O799" t="inlineStr">
        <is>
          <t>2026-08-10T19:29:54Z</t>
        </is>
      </c>
    </row>
    <row r="800">
      <c r="A800" s="19" t="inlineStr">
        <is>
          <t>799</t>
        </is>
      </c>
      <c r="B800" s="19" t="inlineStr">
        <is>
          <t>1012824</t>
        </is>
      </c>
      <c r="C800" t="inlineStr">
        <is>
          <t>AKÜ,L5,DK,102AH,IGYA SMF,MAKO YP,OES</t>
        </is>
      </c>
      <c r="D800" s="19" t="inlineStr">
        <is>
          <t>1</t>
        </is>
      </c>
      <c r="E800" t="n">
        <v>0</v>
      </c>
      <c r="I800" s="19" t="inlineStr">
        <is>
          <t>2</t>
        </is>
      </c>
      <c r="J800" t="inlineStr">
        <is>
          <t>2026-08-08</t>
        </is>
      </c>
      <c r="L800" s="19" t="inlineStr">
        <is>
          <t>1012824</t>
        </is>
      </c>
      <c r="M800" t="inlineStr">
        <is>
          <t>STATUS=DOMESTIC-ONLY / NOT IN OEM PACKAGE; SOURCE_CFG=IA-ST-CFG-0121; MARKET=MAKO OES (Yurt İçi)</t>
        </is>
      </c>
      <c r="N800" t="inlineStr">
        <is>
          <t>2026-08-10T19:29:54Z</t>
        </is>
      </c>
      <c r="O800" t="inlineStr">
        <is>
          <t>2026-08-10T19:29:54Z</t>
        </is>
      </c>
    </row>
    <row r="801">
      <c r="A801" s="19" t="inlineStr">
        <is>
          <t>800</t>
        </is>
      </c>
      <c r="B801" s="19" t="inlineStr">
        <is>
          <t>1012825</t>
        </is>
      </c>
      <c r="C801" t="inlineStr">
        <is>
          <t>AKÜ,L2,DK,60AH,IGYA SMF,MAKO YP,OES</t>
        </is>
      </c>
      <c r="D801" s="19" t="inlineStr">
        <is>
          <t>1</t>
        </is>
      </c>
      <c r="E801" t="n">
        <v>0</v>
      </c>
      <c r="I801" s="19" t="inlineStr">
        <is>
          <t>2</t>
        </is>
      </c>
      <c r="J801" t="inlineStr">
        <is>
          <t>2026-08-08</t>
        </is>
      </c>
      <c r="L801" s="19" t="inlineStr">
        <is>
          <t>1012825</t>
        </is>
      </c>
      <c r="M801" t="inlineStr">
        <is>
          <t>STATUS=DOMESTIC-ONLY / NOT IN OEM PACKAGE; SOURCE_CFG=IA-ST-CFG-0242; MARKET=MAKO OES (Yurt İçi)</t>
        </is>
      </c>
      <c r="N801" t="inlineStr">
        <is>
          <t>2026-08-10T19:29:54Z</t>
        </is>
      </c>
      <c r="O801" t="inlineStr">
        <is>
          <t>2026-08-10T19:29:54Z</t>
        </is>
      </c>
    </row>
    <row r="802">
      <c r="A802" s="19" t="inlineStr">
        <is>
          <t>801</t>
        </is>
      </c>
      <c r="B802" s="19" t="inlineStr">
        <is>
          <t>1012827</t>
        </is>
      </c>
      <c r="C802" t="inlineStr">
        <is>
          <t>AKÜ,L3,DK,72AH,IGYA SMF,FIAT YP,OES</t>
        </is>
      </c>
      <c r="D802" s="19" t="inlineStr">
        <is>
          <t>1</t>
        </is>
      </c>
      <c r="E802" t="n">
        <v>0</v>
      </c>
      <c r="I802" s="19" t="inlineStr">
        <is>
          <t>2</t>
        </is>
      </c>
      <c r="J802" t="inlineStr">
        <is>
          <t>2026-08-08</t>
        </is>
      </c>
      <c r="L802" s="19" t="inlineStr">
        <is>
          <t>1012827</t>
        </is>
      </c>
      <c r="M802" t="inlineStr">
        <is>
          <t>STATUS=DOMESTIC-ONLY / NOT IN OEM PACKAGE; SOURCE_CFG=IA-ST-CFG-0203; MARKET=TOFAŞ (Yurt İçi)</t>
        </is>
      </c>
      <c r="N802" t="inlineStr">
        <is>
          <t>2026-08-10T19:29:54Z</t>
        </is>
      </c>
      <c r="O802" t="inlineStr">
        <is>
          <t>2026-08-10T19:29:54Z</t>
        </is>
      </c>
    </row>
    <row r="803">
      <c r="A803" s="19" t="inlineStr">
        <is>
          <t>802</t>
        </is>
      </c>
      <c r="B803" s="19" t="inlineStr">
        <is>
          <t>1012828</t>
        </is>
      </c>
      <c r="C803" t="inlineStr">
        <is>
          <t>AKÜ,L3,DK,72AH,IGYA SMF,MAKO YP,OES</t>
        </is>
      </c>
      <c r="D803" s="19" t="inlineStr">
        <is>
          <t>1</t>
        </is>
      </c>
      <c r="E803" t="n">
        <v>0</v>
      </c>
      <c r="I803" s="19" t="inlineStr">
        <is>
          <t>2</t>
        </is>
      </c>
      <c r="J803" t="inlineStr">
        <is>
          <t>2026-08-08</t>
        </is>
      </c>
      <c r="L803" s="19" t="inlineStr">
        <is>
          <t>1012828</t>
        </is>
      </c>
      <c r="M803" t="inlineStr">
        <is>
          <t>STATUS=DOMESTIC-ONLY / NOT IN OEM PACKAGE; SOURCE_CFG=IA-ST-CFG-0203; MARKET=MAKO OES (Yurt İçi)</t>
        </is>
      </c>
      <c r="N803" t="inlineStr">
        <is>
          <t>2026-08-10T19:29:54Z</t>
        </is>
      </c>
      <c r="O803" t="inlineStr">
        <is>
          <t>2026-08-10T19:29:54Z</t>
        </is>
      </c>
    </row>
    <row r="804">
      <c r="A804" s="19" t="inlineStr">
        <is>
          <t>803</t>
        </is>
      </c>
      <c r="B804" s="19" t="inlineStr">
        <is>
          <t>1012829</t>
        </is>
      </c>
      <c r="C804" t="inlineStr">
        <is>
          <t>AKÜ,L3,DK,72AH,IGYA SMF,FIAT YP,OES</t>
        </is>
      </c>
      <c r="D804" s="19" t="inlineStr">
        <is>
          <t>1</t>
        </is>
      </c>
      <c r="E804" t="n">
        <v>0</v>
      </c>
      <c r="I804" s="19" t="inlineStr">
        <is>
          <t>2</t>
        </is>
      </c>
      <c r="J804" t="inlineStr">
        <is>
          <t>2026-08-08</t>
        </is>
      </c>
      <c r="L804" s="19" t="inlineStr">
        <is>
          <t>1012829</t>
        </is>
      </c>
      <c r="M804" t="inlineStr">
        <is>
          <t>STATUS=DOMESTIC-ONLY / NOT IN OEM PACKAGE; SOURCE_CFG=IA-ST-CFG-0203; MARKET=TOFAŞ (Yurt İçi)</t>
        </is>
      </c>
      <c r="N804" t="inlineStr">
        <is>
          <t>2026-08-10T19:29:54Z</t>
        </is>
      </c>
      <c r="O804" t="inlineStr">
        <is>
          <t>2026-08-10T19:29:54Z</t>
        </is>
      </c>
    </row>
    <row r="805">
      <c r="A805" s="19" t="inlineStr">
        <is>
          <t>804</t>
        </is>
      </c>
      <c r="B805" s="19" t="inlineStr">
        <is>
          <t>1012830</t>
        </is>
      </c>
      <c r="C805" t="inlineStr">
        <is>
          <t>AKÜ,L3,DK,72AH,B01,IGYA SMF,MAKO YP,OES</t>
        </is>
      </c>
      <c r="D805" s="19" t="inlineStr">
        <is>
          <t>1</t>
        </is>
      </c>
      <c r="E805" t="n">
        <v>0</v>
      </c>
      <c r="I805" s="19" t="inlineStr">
        <is>
          <t>2</t>
        </is>
      </c>
      <c r="J805" t="inlineStr">
        <is>
          <t>2026-08-08</t>
        </is>
      </c>
      <c r="L805" s="19" t="inlineStr">
        <is>
          <t>1012830</t>
        </is>
      </c>
      <c r="M805" t="inlineStr">
        <is>
          <t>STATUS=DOMESTIC-ONLY / NOT IN OEM PACKAGE; SOURCE_CFG=IA-ST-CFG-0203; MARKET=MAKO OES (Yurt İçi)</t>
        </is>
      </c>
      <c r="N805" t="inlineStr">
        <is>
          <t>2026-08-10T19:29:54Z</t>
        </is>
      </c>
      <c r="O805" t="inlineStr">
        <is>
          <t>2026-08-10T19:29:54Z</t>
        </is>
      </c>
    </row>
    <row r="806">
      <c r="A806" s="19" t="inlineStr">
        <is>
          <t>805</t>
        </is>
      </c>
      <c r="B806" s="19" t="inlineStr">
        <is>
          <t>1012831</t>
        </is>
      </c>
      <c r="C806" t="inlineStr">
        <is>
          <t>AKÜ,LB1,DK,50AH,IGYA SMF,MAKO YP,OES</t>
        </is>
      </c>
      <c r="D806" s="19" t="inlineStr">
        <is>
          <t>1</t>
        </is>
      </c>
      <c r="E806" t="n">
        <v>0</v>
      </c>
      <c r="I806" s="19" t="inlineStr">
        <is>
          <t>2</t>
        </is>
      </c>
      <c r="J806" t="inlineStr">
        <is>
          <t>2026-08-08</t>
        </is>
      </c>
      <c r="L806" s="19" t="inlineStr">
        <is>
          <t>1012831</t>
        </is>
      </c>
      <c r="M806" t="inlineStr">
        <is>
          <t>STATUS=DOMESTIC-ONLY / NOT IN OEM PACKAGE; SOURCE_CFG=IA-ST-CFG-0280; MARKET=MAKO OES (Yurt İçi)</t>
        </is>
      </c>
      <c r="N806" t="inlineStr">
        <is>
          <t>2026-08-10T19:29:54Z</t>
        </is>
      </c>
      <c r="O806" t="inlineStr">
        <is>
          <t>2026-08-10T19:29:54Z</t>
        </is>
      </c>
    </row>
    <row r="807">
      <c r="A807" s="19" t="inlineStr">
        <is>
          <t>806</t>
        </is>
      </c>
      <c r="B807" s="19" t="inlineStr">
        <is>
          <t>1012833</t>
        </is>
      </c>
      <c r="C807" t="inlineStr">
        <is>
          <t>AKÜ,L1,DK,50Ah,IGYASMF,FIAT OES,55178584</t>
        </is>
      </c>
      <c r="D807" s="19" t="inlineStr">
        <is>
          <t>1</t>
        </is>
      </c>
      <c r="E807" t="n">
        <v>0</v>
      </c>
      <c r="I807" s="19" t="inlineStr">
        <is>
          <t>2</t>
        </is>
      </c>
      <c r="J807" t="inlineStr">
        <is>
          <t>2026-08-08</t>
        </is>
      </c>
      <c r="L807" s="19" t="inlineStr">
        <is>
          <t>1012833</t>
        </is>
      </c>
      <c r="M807" t="inlineStr">
        <is>
          <t>STATUS=DOMESTIC-ONLY / NOT IN OEM PACKAGE; SOURCE_CFG=IA-ST-CFG-0281; MARKET=TOFAŞ (Yurt İçi)</t>
        </is>
      </c>
      <c r="N807" t="inlineStr">
        <is>
          <t>2026-08-10T19:29:54Z</t>
        </is>
      </c>
      <c r="O807" t="inlineStr">
        <is>
          <t>2026-08-10T19:29:54Z</t>
        </is>
      </c>
    </row>
    <row r="808">
      <c r="A808" s="19" t="inlineStr">
        <is>
          <t>807</t>
        </is>
      </c>
      <c r="B808" s="19" t="inlineStr">
        <is>
          <t>1012834</t>
        </is>
      </c>
      <c r="C808" t="inlineStr">
        <is>
          <t>AKÜ,NS60,DK,45AH,IGYA SMF,MAKO YP,OES</t>
        </is>
      </c>
      <c r="D808" s="19" t="inlineStr">
        <is>
          <t>1</t>
        </is>
      </c>
      <c r="E808" t="n">
        <v>0</v>
      </c>
      <c r="I808" s="19" t="inlineStr">
        <is>
          <t>2</t>
        </is>
      </c>
      <c r="J808" t="inlineStr">
        <is>
          <t>2026-08-08</t>
        </is>
      </c>
      <c r="L808" s="19" t="inlineStr">
        <is>
          <t>1012834</t>
        </is>
      </c>
      <c r="M808" t="inlineStr">
        <is>
          <t>STATUS=DOMESTIC-ONLY / NOT IN OEM PACKAGE; SOURCE_CFG=IA-ST-CFG-0237; MARKET=MAKO OES (Yurt İçi)</t>
        </is>
      </c>
      <c r="N808" t="inlineStr">
        <is>
          <t>2026-08-10T19:29:54Z</t>
        </is>
      </c>
      <c r="O808" t="inlineStr">
        <is>
          <t>2026-08-10T19:29:54Z</t>
        </is>
      </c>
    </row>
    <row r="809">
      <c r="A809" s="19" t="inlineStr">
        <is>
          <t>808</t>
        </is>
      </c>
      <c r="B809" s="19" t="inlineStr">
        <is>
          <t>1012835</t>
        </is>
      </c>
      <c r="C809" t="inlineStr">
        <is>
          <t>AKÜ,L5,DK,90AH,IGYA SMF,S&amp;S MAKO YP,OES</t>
        </is>
      </c>
      <c r="D809" s="19" t="inlineStr">
        <is>
          <t>1</t>
        </is>
      </c>
      <c r="E809" t="n">
        <v>0</v>
      </c>
      <c r="I809" s="19" t="inlineStr">
        <is>
          <t>2</t>
        </is>
      </c>
      <c r="J809" t="inlineStr">
        <is>
          <t>2026-08-08</t>
        </is>
      </c>
      <c r="L809" s="19" t="inlineStr">
        <is>
          <t>1012835</t>
        </is>
      </c>
      <c r="M809" t="inlineStr">
        <is>
          <t>STATUS=DOMESTIC-ONLY / NOT IN OEM PACKAGE; SOURCE_CFG=IA-ST-CFG-0121; MARKET=MAKO OES (Yurt İçi)</t>
        </is>
      </c>
      <c r="N809" t="inlineStr">
        <is>
          <t>2026-08-10T19:29:54Z</t>
        </is>
      </c>
      <c r="O809" t="inlineStr">
        <is>
          <t>2026-08-10T19:29:54Z</t>
        </is>
      </c>
    </row>
    <row r="810">
      <c r="A810" s="19" t="inlineStr">
        <is>
          <t>809</t>
        </is>
      </c>
      <c r="B810" s="19" t="inlineStr">
        <is>
          <t>1012838</t>
        </is>
      </c>
      <c r="C810" t="inlineStr">
        <is>
          <t>AKÜ,L3,DK,72AH,B13,IGYASMF,SUPRA,AIOSOEM</t>
        </is>
      </c>
      <c r="D810" s="19" t="inlineStr">
        <is>
          <t>1</t>
        </is>
      </c>
      <c r="E810" t="n">
        <v>0</v>
      </c>
      <c r="I810" s="19" t="inlineStr">
        <is>
          <t>2</t>
        </is>
      </c>
      <c r="J810" t="inlineStr">
        <is>
          <t>2026-08-08</t>
        </is>
      </c>
      <c r="L810" s="19" t="inlineStr">
        <is>
          <t>1012838</t>
        </is>
      </c>
      <c r="M810" t="inlineStr">
        <is>
          <t>STATUS=DOMESTIC-ONLY / NOT IN OEM PACKAGE; SOURCE_CFG=IA-ST-CFG-0009; MARKET=ISUZU (Yurt İçi)</t>
        </is>
      </c>
      <c r="N810" t="inlineStr">
        <is>
          <t>2026-08-10T19:29:54Z</t>
        </is>
      </c>
      <c r="O810" t="inlineStr">
        <is>
          <t>2026-08-10T19:29:54Z</t>
        </is>
      </c>
    </row>
    <row r="811">
      <c r="A811" s="19" t="inlineStr">
        <is>
          <t>810</t>
        </is>
      </c>
      <c r="B811" s="19" t="inlineStr">
        <is>
          <t>1012839</t>
        </is>
      </c>
      <c r="C811" t="inlineStr">
        <is>
          <t>AKÜ,L3,DK,72AH,IGYA SMF,ISUZU OES</t>
        </is>
      </c>
      <c r="D811" s="19" t="inlineStr">
        <is>
          <t>1</t>
        </is>
      </c>
      <c r="E811" t="n">
        <v>0</v>
      </c>
      <c r="I811" s="19" t="inlineStr">
        <is>
          <t>2</t>
        </is>
      </c>
      <c r="J811" t="inlineStr">
        <is>
          <t>2026-08-08</t>
        </is>
      </c>
      <c r="L811" s="19" t="inlineStr">
        <is>
          <t>1012839</t>
        </is>
      </c>
      <c r="M811" t="inlineStr">
        <is>
          <t>STATUS=IN OEM / EU PACKAGE; SOURCE_CFG=IA-ST-CFG-0179; MARKET=ISUZU (Yurt İçi)</t>
        </is>
      </c>
      <c r="N811" t="inlineStr">
        <is>
          <t>2026-08-10T19:29:54Z</t>
        </is>
      </c>
      <c r="O811" t="inlineStr">
        <is>
          <t>2026-08-10T19:29:54Z</t>
        </is>
      </c>
    </row>
    <row r="812">
      <c r="A812" s="19" t="inlineStr">
        <is>
          <t>811</t>
        </is>
      </c>
      <c r="B812" s="19" t="inlineStr">
        <is>
          <t>1012840</t>
        </is>
      </c>
      <c r="C812" t="inlineStr">
        <is>
          <t>AKÜ,L2,DK,63AH,IGYA SMF,S&amp;S,FIAT YP,OES</t>
        </is>
      </c>
      <c r="D812" s="19" t="inlineStr">
        <is>
          <t>1</t>
        </is>
      </c>
      <c r="E812" t="n">
        <v>0</v>
      </c>
      <c r="I812" s="19" t="inlineStr">
        <is>
          <t>2</t>
        </is>
      </c>
      <c r="J812" t="inlineStr">
        <is>
          <t>2026-08-08</t>
        </is>
      </c>
      <c r="L812" s="19" t="inlineStr">
        <is>
          <t>1012840</t>
        </is>
      </c>
      <c r="M812" t="inlineStr">
        <is>
          <t>STATUS=DOMESTIC-ONLY / NOT IN OEM PACKAGE; SOURCE_CFG=IA-ST-CFG-0242; MARKET=TOFAŞ (Yurt İçi)</t>
        </is>
      </c>
      <c r="N812" t="inlineStr">
        <is>
          <t>2026-08-10T19:29:54Z</t>
        </is>
      </c>
      <c r="O812" t="inlineStr">
        <is>
          <t>2026-08-10T19:29:54Z</t>
        </is>
      </c>
    </row>
    <row r="813">
      <c r="A813" s="19" t="inlineStr">
        <is>
          <t>812</t>
        </is>
      </c>
      <c r="B813" s="19" t="inlineStr">
        <is>
          <t>1012841</t>
        </is>
      </c>
      <c r="C813" t="inlineStr">
        <is>
          <t>AKÜ,L2,DK,63AH,IGYA SMF,S&amp;S,MAKO YP,OES</t>
        </is>
      </c>
      <c r="D813" s="19" t="inlineStr">
        <is>
          <t>1</t>
        </is>
      </c>
      <c r="E813" t="n">
        <v>0</v>
      </c>
      <c r="I813" s="19" t="inlineStr">
        <is>
          <t>2</t>
        </is>
      </c>
      <c r="J813" t="inlineStr">
        <is>
          <t>2026-08-08</t>
        </is>
      </c>
      <c r="L813" s="19" t="inlineStr">
        <is>
          <t>1012841</t>
        </is>
      </c>
      <c r="M813" t="inlineStr">
        <is>
          <t>STATUS=DOMESTIC-ONLY / NOT IN OEM PACKAGE; SOURCE_CFG=IA-ST-CFG-0242; MARKET=MAKO OES (Yurt İçi)</t>
        </is>
      </c>
      <c r="N813" t="inlineStr">
        <is>
          <t>2026-08-10T19:29:54Z</t>
        </is>
      </c>
      <c r="O813" t="inlineStr">
        <is>
          <t>2026-08-10T19:29:54Z</t>
        </is>
      </c>
    </row>
    <row r="814">
      <c r="A814" s="19" t="inlineStr">
        <is>
          <t>813</t>
        </is>
      </c>
      <c r="B814" s="19" t="inlineStr">
        <is>
          <t>1012842</t>
        </is>
      </c>
      <c r="C814" t="inlineStr">
        <is>
          <t>AKÜ,L3,DK,72AH,IGYA SMF,S&amp;S,FIAT YP,OES</t>
        </is>
      </c>
      <c r="D814" s="19" t="inlineStr">
        <is>
          <t>1</t>
        </is>
      </c>
      <c r="E814" t="n">
        <v>0</v>
      </c>
      <c r="I814" s="19" t="inlineStr">
        <is>
          <t>2</t>
        </is>
      </c>
      <c r="J814" t="inlineStr">
        <is>
          <t>2026-08-08</t>
        </is>
      </c>
      <c r="L814" s="19" t="inlineStr">
        <is>
          <t>1012842</t>
        </is>
      </c>
      <c r="M814" t="inlineStr">
        <is>
          <t>STATUS=DOMESTIC-ONLY / NOT IN OEM PACKAGE; SOURCE_CFG=IA-ST-CFG-0203; MARKET=TOFAŞ (Yurt İçi)</t>
        </is>
      </c>
      <c r="N814" t="inlineStr">
        <is>
          <t>2026-08-10T19:29:54Z</t>
        </is>
      </c>
      <c r="O814" t="inlineStr">
        <is>
          <t>2026-08-10T19:29:54Z</t>
        </is>
      </c>
    </row>
    <row r="815">
      <c r="A815" s="19" t="inlineStr">
        <is>
          <t>814</t>
        </is>
      </c>
      <c r="B815" s="19" t="inlineStr">
        <is>
          <t>1012843</t>
        </is>
      </c>
      <c r="C815" t="inlineStr">
        <is>
          <t>AKÜ,L3,DK,72AH,IGYA SMF,S&amp;S,MAKO YP,OES</t>
        </is>
      </c>
      <c r="D815" s="19" t="inlineStr">
        <is>
          <t>1</t>
        </is>
      </c>
      <c r="E815" t="n">
        <v>0</v>
      </c>
      <c r="I815" s="19" t="inlineStr">
        <is>
          <t>2</t>
        </is>
      </c>
      <c r="J815" t="inlineStr">
        <is>
          <t>2026-08-08</t>
        </is>
      </c>
      <c r="L815" s="19" t="inlineStr">
        <is>
          <t>1012843</t>
        </is>
      </c>
      <c r="M815" t="inlineStr">
        <is>
          <t>STATUS=DOMESTIC-ONLY / NOT IN OEM PACKAGE; SOURCE_CFG=IA-ST-CFG-0203; MARKET=MAKO OES (Yurt İçi)</t>
        </is>
      </c>
      <c r="N815" t="inlineStr">
        <is>
          <t>2026-08-10T19:29:54Z</t>
        </is>
      </c>
      <c r="O815" t="inlineStr">
        <is>
          <t>2026-08-10T19:29:54Z</t>
        </is>
      </c>
    </row>
    <row r="816">
      <c r="A816" s="19" t="inlineStr">
        <is>
          <t>815</t>
        </is>
      </c>
      <c r="B816" s="19" t="inlineStr">
        <is>
          <t>1012844</t>
        </is>
      </c>
      <c r="C816" t="inlineStr">
        <is>
          <t>AKÜ,LB3,DK,75AH,IGYA SMF,MAKO YP,OES</t>
        </is>
      </c>
      <c r="D816" s="19" t="inlineStr">
        <is>
          <t>1</t>
        </is>
      </c>
      <c r="E816" t="n">
        <v>0</v>
      </c>
      <c r="I816" s="19" t="inlineStr">
        <is>
          <t>2</t>
        </is>
      </c>
      <c r="J816" t="inlineStr">
        <is>
          <t>2026-08-08</t>
        </is>
      </c>
      <c r="L816" s="19" t="inlineStr">
        <is>
          <t>1012844</t>
        </is>
      </c>
      <c r="M816" t="inlineStr">
        <is>
          <t>STATUS=DOMESTIC-ONLY / NOT IN OEM PACKAGE; SOURCE_CFG=IA-ST-CFG-0202; MARKET=MAKO OES (Yurt İçi)</t>
        </is>
      </c>
      <c r="N816" t="inlineStr">
        <is>
          <t>2026-08-10T19:29:54Z</t>
        </is>
      </c>
      <c r="O816" t="inlineStr">
        <is>
          <t>2026-08-10T19:29:54Z</t>
        </is>
      </c>
    </row>
    <row r="817">
      <c r="A817" s="19" t="inlineStr">
        <is>
          <t>816</t>
        </is>
      </c>
      <c r="B817" s="19" t="inlineStr">
        <is>
          <t>1012845</t>
        </is>
      </c>
      <c r="C817" t="inlineStr">
        <is>
          <t>AKÜ,L5,TK,105AH,IGYASMF,İNCİSUPRA,ERKUNT</t>
        </is>
      </c>
      <c r="D817" s="19" t="inlineStr">
        <is>
          <t>1</t>
        </is>
      </c>
      <c r="E817" t="n">
        <v>0</v>
      </c>
      <c r="I817" s="19" t="inlineStr">
        <is>
          <t>2</t>
        </is>
      </c>
      <c r="J817" t="inlineStr">
        <is>
          <t>2026-08-08</t>
        </is>
      </c>
      <c r="L817" s="19" t="inlineStr">
        <is>
          <t>1012845</t>
        </is>
      </c>
      <c r="M817" t="inlineStr">
        <is>
          <t>STATUS=DOMESTIC-ONLY / NOT IN OEM PACKAGE; SOURCE_CFG=IA-ST-CFG-0007; MARKET=ERKUNT (Yurt İçi)</t>
        </is>
      </c>
      <c r="N817" t="inlineStr">
        <is>
          <t>2026-08-10T19:29:54Z</t>
        </is>
      </c>
      <c r="O817" t="inlineStr">
        <is>
          <t>2026-08-10T19:29:54Z</t>
        </is>
      </c>
    </row>
    <row r="818">
      <c r="A818" s="19" t="inlineStr">
        <is>
          <t>817</t>
        </is>
      </c>
      <c r="B818" s="19" t="inlineStr">
        <is>
          <t>1012846</t>
        </is>
      </c>
      <c r="C818" t="inlineStr">
        <is>
          <t>AKÜ,LB2,DK,60AH,IGYA SMF,MAKO YP,OES</t>
        </is>
      </c>
      <c r="D818" s="19" t="inlineStr">
        <is>
          <t>1</t>
        </is>
      </c>
      <c r="E818" t="n">
        <v>0</v>
      </c>
      <c r="I818" s="19" t="inlineStr">
        <is>
          <t>2</t>
        </is>
      </c>
      <c r="J818" t="inlineStr">
        <is>
          <t>2026-08-08</t>
        </is>
      </c>
      <c r="L818" s="19" t="inlineStr">
        <is>
          <t>1012846</t>
        </is>
      </c>
      <c r="M818" t="inlineStr">
        <is>
          <t>STATUS=DOMESTIC-ONLY / NOT IN OEM PACKAGE; SOURCE_CFG=IA-ST-CFG-0242; MARKET=MAKO OES (Yurt İçi)</t>
        </is>
      </c>
      <c r="N818" t="inlineStr">
        <is>
          <t>2026-08-10T19:29:54Z</t>
        </is>
      </c>
      <c r="O818" t="inlineStr">
        <is>
          <t>2026-08-10T19:29:54Z</t>
        </is>
      </c>
    </row>
    <row r="819">
      <c r="A819" s="19" t="inlineStr">
        <is>
          <t>818</t>
        </is>
      </c>
      <c r="B819" s="19" t="inlineStr">
        <is>
          <t>1012847</t>
        </is>
      </c>
      <c r="C819" t="inlineStr">
        <is>
          <t>AKÜ,D31,DK,90AH,IGYA SMF,MAKO YP,OES</t>
        </is>
      </c>
      <c r="D819" s="19" t="inlineStr">
        <is>
          <t>1</t>
        </is>
      </c>
      <c r="E819" t="n">
        <v>0</v>
      </c>
      <c r="I819" s="19" t="inlineStr">
        <is>
          <t>2</t>
        </is>
      </c>
      <c r="J819" t="inlineStr">
        <is>
          <t>2026-08-08</t>
        </is>
      </c>
      <c r="L819" s="19" t="inlineStr">
        <is>
          <t>1012847</t>
        </is>
      </c>
      <c r="M819" t="inlineStr">
        <is>
          <t>STATUS=DOMESTIC-ONLY / NOT IN OEM PACKAGE; SOURCE_CFG=IA-ST-CFG-0119; MARKET=MAKO OES (Yurt İçi)</t>
        </is>
      </c>
      <c r="N819" t="inlineStr">
        <is>
          <t>2026-08-10T19:29:54Z</t>
        </is>
      </c>
      <c r="O819" t="inlineStr">
        <is>
          <t>2026-08-10T19:29:54Z</t>
        </is>
      </c>
    </row>
    <row r="820">
      <c r="A820" s="19" t="inlineStr">
        <is>
          <t>819</t>
        </is>
      </c>
      <c r="B820" s="19" t="inlineStr">
        <is>
          <t>1012848</t>
        </is>
      </c>
      <c r="C820" t="inlineStr">
        <is>
          <t>AKÜ,L3,DK,70Ah,IGYA SMF,FIAT YP,OES</t>
        </is>
      </c>
      <c r="D820" s="19" t="inlineStr">
        <is>
          <t>1</t>
        </is>
      </c>
      <c r="E820" t="n">
        <v>0</v>
      </c>
      <c r="I820" s="19" t="inlineStr">
        <is>
          <t>2</t>
        </is>
      </c>
      <c r="J820" t="inlineStr">
        <is>
          <t>2026-08-08</t>
        </is>
      </c>
      <c r="L820" s="19" t="inlineStr">
        <is>
          <t>1012848</t>
        </is>
      </c>
      <c r="M820" t="inlineStr">
        <is>
          <t>STATUS=DOMESTIC-ONLY / NOT IN OEM PACKAGE; SOURCE_CFG=IA-ST-CFG-0203; MARKET=TOFAŞ (Yurt İçi)</t>
        </is>
      </c>
      <c r="N820" t="inlineStr">
        <is>
          <t>2026-08-10T19:29:54Z</t>
        </is>
      </c>
      <c r="O820" t="inlineStr">
        <is>
          <t>2026-08-10T19:29:54Z</t>
        </is>
      </c>
    </row>
    <row r="821">
      <c r="A821" s="19" t="inlineStr">
        <is>
          <t>820</t>
        </is>
      </c>
      <c r="B821" s="19" t="inlineStr">
        <is>
          <t>1012849</t>
        </is>
      </c>
      <c r="C821" t="inlineStr">
        <is>
          <t>AKÜ,L3,DK,75AH,IGYA SMF,MAKO YP,OES</t>
        </is>
      </c>
      <c r="D821" s="19" t="inlineStr">
        <is>
          <t>1</t>
        </is>
      </c>
      <c r="E821" t="n">
        <v>0</v>
      </c>
      <c r="I821" s="19" t="inlineStr">
        <is>
          <t>2</t>
        </is>
      </c>
      <c r="J821" t="inlineStr">
        <is>
          <t>2026-08-08</t>
        </is>
      </c>
      <c r="L821" s="19" t="inlineStr">
        <is>
          <t>1012849</t>
        </is>
      </c>
      <c r="M821" t="inlineStr">
        <is>
          <t>STATUS=DOMESTIC-ONLY / NOT IN OEM PACKAGE; SOURCE_CFG=IA-ST-CFG-0203; MARKET=MAKO OES (Yurt İçi)</t>
        </is>
      </c>
      <c r="N821" t="inlineStr">
        <is>
          <t>2026-08-10T19:29:54Z</t>
        </is>
      </c>
      <c r="O821" t="inlineStr">
        <is>
          <t>2026-08-10T19:29:54Z</t>
        </is>
      </c>
    </row>
    <row r="822">
      <c r="A822" s="19" t="inlineStr">
        <is>
          <t>821</t>
        </is>
      </c>
      <c r="B822" s="19" t="inlineStr">
        <is>
          <t>1012850</t>
        </is>
      </c>
      <c r="C822" t="inlineStr">
        <is>
          <t>AKÜ,D26,DK,70AH,IGYA SMF,ISUZU OES</t>
        </is>
      </c>
      <c r="D822" s="19" t="inlineStr">
        <is>
          <t>1</t>
        </is>
      </c>
      <c r="E822" t="n">
        <v>0</v>
      </c>
      <c r="I822" s="19" t="inlineStr">
        <is>
          <t>2</t>
        </is>
      </c>
      <c r="J822" t="inlineStr">
        <is>
          <t>2026-08-08</t>
        </is>
      </c>
      <c r="L822" s="19" t="inlineStr">
        <is>
          <t>1012850</t>
        </is>
      </c>
      <c r="M822" t="inlineStr">
        <is>
          <t>STATUS=IN OEM / EU PACKAGE; SOURCE_CFG=IA-ST-CFG-0175; MARKET=ISUZU (Yurt İçi)</t>
        </is>
      </c>
      <c r="N822" t="inlineStr">
        <is>
          <t>2026-08-10T19:29:54Z</t>
        </is>
      </c>
      <c r="O822" t="inlineStr">
        <is>
          <t>2026-08-10T19:29:54Z</t>
        </is>
      </c>
    </row>
    <row r="823">
      <c r="A823" s="19" t="inlineStr">
        <is>
          <t>822</t>
        </is>
      </c>
      <c r="B823" s="19" t="inlineStr">
        <is>
          <t>1012851</t>
        </is>
      </c>
      <c r="C823" t="inlineStr">
        <is>
          <t>AKÜ,D26,DK,68AH,IGYA SMF,AIOS OEM</t>
        </is>
      </c>
      <c r="D823" s="19" t="inlineStr">
        <is>
          <t>1</t>
        </is>
      </c>
      <c r="E823" t="n">
        <v>0</v>
      </c>
      <c r="I823" s="19" t="inlineStr">
        <is>
          <t>2</t>
        </is>
      </c>
      <c r="J823" t="inlineStr">
        <is>
          <t>2026-08-08</t>
        </is>
      </c>
      <c r="L823" s="19" t="inlineStr">
        <is>
          <t>1012851</t>
        </is>
      </c>
      <c r="M823" t="inlineStr">
        <is>
          <t>STATUS=DOMESTIC-ONLY / NOT IN OEM PACKAGE; SOURCE_CFG=IA-ST-CFG-0009; MARKET=ISUZU (Yurt İçi)</t>
        </is>
      </c>
      <c r="N823" t="inlineStr">
        <is>
          <t>2026-08-10T19:29:54Z</t>
        </is>
      </c>
      <c r="O823" t="inlineStr">
        <is>
          <t>2026-08-10T19:29:54Z</t>
        </is>
      </c>
    </row>
    <row r="824">
      <c r="A824" s="19" t="inlineStr">
        <is>
          <t>823</t>
        </is>
      </c>
      <c r="B824" s="19" t="inlineStr">
        <is>
          <t>1012852</t>
        </is>
      </c>
      <c r="C824" t="inlineStr">
        <is>
          <t>AKÜ,D26,DK,68AH,IGYA SMF,ISUZU OES</t>
        </is>
      </c>
      <c r="D824" s="19" t="inlineStr">
        <is>
          <t>1</t>
        </is>
      </c>
      <c r="E824" t="n">
        <v>0</v>
      </c>
      <c r="I824" s="19" t="inlineStr">
        <is>
          <t>2</t>
        </is>
      </c>
      <c r="J824" t="inlineStr">
        <is>
          <t>2026-08-08</t>
        </is>
      </c>
      <c r="L824" s="19" t="inlineStr">
        <is>
          <t>1012852</t>
        </is>
      </c>
      <c r="M824" t="inlineStr">
        <is>
          <t>STATUS=IN OEM / EU PACKAGE; SOURCE_CFG=IA-ST-CFG-0175; MARKET=ISUZU (Yurt İçi)</t>
        </is>
      </c>
      <c r="N824" t="inlineStr">
        <is>
          <t>2026-08-10T19:29:54Z</t>
        </is>
      </c>
      <c r="O824" t="inlineStr">
        <is>
          <t>2026-08-10T19:29:54Z</t>
        </is>
      </c>
    </row>
    <row r="825">
      <c r="A825" s="19" t="inlineStr">
        <is>
          <t>824</t>
        </is>
      </c>
      <c r="B825" s="19" t="inlineStr">
        <is>
          <t>1012857</t>
        </is>
      </c>
      <c r="C825" t="inlineStr">
        <is>
          <t>AKÜ,L5,DK102AH,IGYSMF,MAXIMA,DIŞPYS,EURO</t>
        </is>
      </c>
      <c r="D825" s="19" t="inlineStr">
        <is>
          <t>1</t>
        </is>
      </c>
      <c r="E825" t="n">
        <v>0</v>
      </c>
      <c r="I825" s="19" t="inlineStr">
        <is>
          <t>2</t>
        </is>
      </c>
      <c r="J825" t="inlineStr">
        <is>
          <t>2026-08-08</t>
        </is>
      </c>
      <c r="L825" s="19" t="inlineStr">
        <is>
          <t>1012857</t>
        </is>
      </c>
      <c r="M825" t="inlineStr">
        <is>
          <t>STATUS=IN OEM / EU PACKAGE; SOURCE_CFG=IA-ST-CFG-0116; MARKET=None</t>
        </is>
      </c>
      <c r="N825" t="inlineStr">
        <is>
          <t>2026-08-10T19:29:54Z</t>
        </is>
      </c>
      <c r="O825" t="inlineStr">
        <is>
          <t>2026-08-10T19:29:54Z</t>
        </is>
      </c>
    </row>
    <row r="826">
      <c r="A826" s="19" t="inlineStr">
        <is>
          <t>825</t>
        </is>
      </c>
      <c r="B826" s="19" t="inlineStr">
        <is>
          <t>1012862</t>
        </is>
      </c>
      <c r="C826" t="inlineStr">
        <is>
          <t>AKÜ,NS60,DK62AH,IGYSMF,İNCİTAURS,SHAWKAT</t>
        </is>
      </c>
      <c r="D826" s="19" t="inlineStr">
        <is>
          <t>1</t>
        </is>
      </c>
      <c r="E826" t="n">
        <v>0</v>
      </c>
      <c r="I826" s="19" t="inlineStr">
        <is>
          <t>2</t>
        </is>
      </c>
      <c r="J826" t="inlineStr">
        <is>
          <t>2026-08-08</t>
        </is>
      </c>
      <c r="L826" s="19" t="inlineStr">
        <is>
          <t>1012862</t>
        </is>
      </c>
      <c r="M826" t="inlineStr">
        <is>
          <t>STATUS=IN OEM / EU PACKAGE; SOURCE_CFG=IA-ST-CFG-0272; MARKET=SHAWKAT</t>
        </is>
      </c>
      <c r="N826" t="inlineStr">
        <is>
          <t>2026-08-10T19:29:54Z</t>
        </is>
      </c>
      <c r="O826" t="inlineStr">
        <is>
          <t>2026-08-10T19:29:54Z</t>
        </is>
      </c>
    </row>
    <row r="827">
      <c r="A827" s="19" t="inlineStr">
        <is>
          <t>826</t>
        </is>
      </c>
      <c r="B827" s="19" t="inlineStr">
        <is>
          <t>1012868</t>
        </is>
      </c>
      <c r="C827" t="inlineStr">
        <is>
          <t>AKÜ,D26,DK,62AH,IGYSMF,İNCİTAURS,SHAWKAT</t>
        </is>
      </c>
      <c r="D827" s="19" t="inlineStr">
        <is>
          <t>1</t>
        </is>
      </c>
      <c r="E827" t="n">
        <v>0</v>
      </c>
      <c r="I827" s="19" t="inlineStr">
        <is>
          <t>2</t>
        </is>
      </c>
      <c r="J827" t="inlineStr">
        <is>
          <t>2026-08-08</t>
        </is>
      </c>
      <c r="L827" s="19" t="inlineStr">
        <is>
          <t>1012868</t>
        </is>
      </c>
      <c r="M827" t="inlineStr">
        <is>
          <t>STATUS=IN OEM / EU PACKAGE; SOURCE_CFG=IA-ST-CFG-0175; MARKET=SHAWKAT</t>
        </is>
      </c>
      <c r="N827" t="inlineStr">
        <is>
          <t>2026-08-10T19:29:54Z</t>
        </is>
      </c>
      <c r="O827" t="inlineStr">
        <is>
          <t>2026-08-10T19:29:54Z</t>
        </is>
      </c>
    </row>
    <row r="828">
      <c r="A828" s="19" t="inlineStr">
        <is>
          <t>827</t>
        </is>
      </c>
      <c r="B828" s="19" t="inlineStr">
        <is>
          <t>1012870</t>
        </is>
      </c>
      <c r="C828" t="inlineStr">
        <is>
          <t>AKÜ,L4,DK,82AH,IGYSMF,HUGELULTRA,SHAWKAT</t>
        </is>
      </c>
      <c r="D828" s="19" t="inlineStr">
        <is>
          <t>1</t>
        </is>
      </c>
      <c r="E828" t="n">
        <v>0</v>
      </c>
      <c r="I828" s="19" t="inlineStr">
        <is>
          <t>2</t>
        </is>
      </c>
      <c r="J828" t="inlineStr">
        <is>
          <t>2026-08-08</t>
        </is>
      </c>
      <c r="L828" s="19" t="inlineStr">
        <is>
          <t>1012870</t>
        </is>
      </c>
      <c r="M828" t="inlineStr">
        <is>
          <t>STATUS=IN OEM / EU PACKAGE; SOURCE_CFG=IA-ST-CFG-0231; MARKET=SHAWKAT</t>
        </is>
      </c>
      <c r="N828" t="inlineStr">
        <is>
          <t>2026-08-10T19:29:54Z</t>
        </is>
      </c>
      <c r="O828" t="inlineStr">
        <is>
          <t>2026-08-10T19:29:54Z</t>
        </is>
      </c>
    </row>
    <row r="829">
      <c r="A829" s="19" t="inlineStr">
        <is>
          <t>828</t>
        </is>
      </c>
      <c r="B829" s="19" t="inlineStr">
        <is>
          <t>1012871</t>
        </is>
      </c>
      <c r="C829" t="inlineStr">
        <is>
          <t>AKÜ,L2,DK,60AH,IGYASMF,EFBS&amp;S,PILOT PER.</t>
        </is>
      </c>
      <c r="D829" s="19" t="inlineStr">
        <is>
          <t>1</t>
        </is>
      </c>
      <c r="E829" t="n">
        <v>0</v>
      </c>
      <c r="I829" s="19" t="inlineStr">
        <is>
          <t>2</t>
        </is>
      </c>
      <c r="J829" t="inlineStr">
        <is>
          <t>2026-08-08</t>
        </is>
      </c>
      <c r="L829" s="19" t="inlineStr">
        <is>
          <t>1012871</t>
        </is>
      </c>
      <c r="M829" t="inlineStr">
        <is>
          <t>STATUS=IN OEM / EU PACKAGE; SOURCE_CFG=IA-ST-CFG-0240; MARKET=LAMPA ITALY İTALYA</t>
        </is>
      </c>
      <c r="N829" t="inlineStr">
        <is>
          <t>2026-08-10T19:29:54Z</t>
        </is>
      </c>
      <c r="O829" t="inlineStr">
        <is>
          <t>2026-08-10T19:29:54Z</t>
        </is>
      </c>
    </row>
    <row r="830">
      <c r="A830" s="19" t="inlineStr">
        <is>
          <t>829</t>
        </is>
      </c>
      <c r="B830" s="19" t="inlineStr">
        <is>
          <t>1012872</t>
        </is>
      </c>
      <c r="C830" t="inlineStr">
        <is>
          <t>AKÜ,L3,DK,72AH,IGYASMF,EFBS&amp;S,PILOT PER.</t>
        </is>
      </c>
      <c r="D830" s="19" t="inlineStr">
        <is>
          <t>1</t>
        </is>
      </c>
      <c r="E830" t="n">
        <v>0</v>
      </c>
      <c r="I830" s="19" t="inlineStr">
        <is>
          <t>2</t>
        </is>
      </c>
      <c r="J830" t="inlineStr">
        <is>
          <t>2026-08-08</t>
        </is>
      </c>
      <c r="L830" s="19" t="inlineStr">
        <is>
          <t>1012872</t>
        </is>
      </c>
      <c r="M830" t="inlineStr">
        <is>
          <t>STATUS=IN OEM / EU PACKAGE; SOURCE_CFG=IA-ST-CFG-0200; MARKET=LAMPA ITALY İTALYA</t>
        </is>
      </c>
      <c r="N830" t="inlineStr">
        <is>
          <t>2026-08-10T19:29:54Z</t>
        </is>
      </c>
      <c r="O830" t="inlineStr">
        <is>
          <t>2026-08-10T19:29:54Z</t>
        </is>
      </c>
    </row>
    <row r="831">
      <c r="A831" s="19" t="inlineStr">
        <is>
          <t>830</t>
        </is>
      </c>
      <c r="B831" s="19" t="inlineStr">
        <is>
          <t>1012873</t>
        </is>
      </c>
      <c r="C831" t="inlineStr">
        <is>
          <t>AKÜ,L4,DK,80AH,IGYASMF,EFBS&amp;S,PILOT PER.</t>
        </is>
      </c>
      <c r="D831" s="19" t="inlineStr">
        <is>
          <t>1</t>
        </is>
      </c>
      <c r="E831" t="n">
        <v>0</v>
      </c>
      <c r="I831" s="19" t="inlineStr">
        <is>
          <t>2</t>
        </is>
      </c>
      <c r="J831" t="inlineStr">
        <is>
          <t>2026-08-08</t>
        </is>
      </c>
      <c r="L831" s="19" t="inlineStr">
        <is>
          <t>1012873</t>
        </is>
      </c>
      <c r="M831" t="inlineStr">
        <is>
          <t>STATUS=IN OEM / EU PACKAGE; SOURCE_CFG=IA-ST-CFG-0152; MARKET=LAMPA ITALY İTALYA</t>
        </is>
      </c>
      <c r="N831" t="inlineStr">
        <is>
          <t>2026-08-10T19:29:54Z</t>
        </is>
      </c>
      <c r="O831" t="inlineStr">
        <is>
          <t>2026-08-10T19:29:54Z</t>
        </is>
      </c>
    </row>
    <row r="832">
      <c r="A832" s="19" t="inlineStr">
        <is>
          <t>831</t>
        </is>
      </c>
      <c r="B832" s="19" t="inlineStr">
        <is>
          <t>1012874</t>
        </is>
      </c>
      <c r="C832" t="inlineStr">
        <is>
          <t>AKÜ,L5,DK,90AH,IGYASMF,EFBS&amp;S,PILOT PER.</t>
        </is>
      </c>
      <c r="D832" s="19" t="inlineStr">
        <is>
          <t>1</t>
        </is>
      </c>
      <c r="E832" t="n">
        <v>0</v>
      </c>
      <c r="I832" s="19" t="inlineStr">
        <is>
          <t>2</t>
        </is>
      </c>
      <c r="J832" t="inlineStr">
        <is>
          <t>2026-08-08</t>
        </is>
      </c>
      <c r="L832" s="19" t="inlineStr">
        <is>
          <t>1012874</t>
        </is>
      </c>
      <c r="M832" t="inlineStr">
        <is>
          <t>STATUS=IN OEM / EU PACKAGE; SOURCE_CFG=IA-ST-CFG-0116; MARKET=LAMPA ITALY İTALYA</t>
        </is>
      </c>
      <c r="N832" t="inlineStr">
        <is>
          <t>2026-08-10T19:29:54Z</t>
        </is>
      </c>
      <c r="O832" t="inlineStr">
        <is>
          <t>2026-08-10T19:29:54Z</t>
        </is>
      </c>
    </row>
    <row r="833">
      <c r="A833" s="19" t="inlineStr">
        <is>
          <t>832</t>
        </is>
      </c>
      <c r="B833" s="19" t="inlineStr">
        <is>
          <t>1012875</t>
        </is>
      </c>
      <c r="C833" t="inlineStr">
        <is>
          <t>AKÜ,L5,DK,100AH,IGYASMF,EFBS&amp;S,PILOT PER</t>
        </is>
      </c>
      <c r="D833" s="19" t="inlineStr">
        <is>
          <t>1</t>
        </is>
      </c>
      <c r="E833" t="n">
        <v>0</v>
      </c>
      <c r="I833" s="19" t="inlineStr">
        <is>
          <t>2</t>
        </is>
      </c>
      <c r="J833" t="inlineStr">
        <is>
          <t>2026-08-08</t>
        </is>
      </c>
      <c r="L833" s="19" t="inlineStr">
        <is>
          <t>1012875</t>
        </is>
      </c>
      <c r="M833" t="inlineStr">
        <is>
          <t>STATUS=IN OEM / EU PACKAGE; SOURCE_CFG=IA-ST-CFG-0116; MARKET=LAMPA ITALY İTALYA</t>
        </is>
      </c>
      <c r="N833" t="inlineStr">
        <is>
          <t>2026-08-10T19:29:54Z</t>
        </is>
      </c>
      <c r="O833" t="inlineStr">
        <is>
          <t>2026-08-10T19:29:54Z</t>
        </is>
      </c>
    </row>
    <row r="834">
      <c r="A834" s="19" t="inlineStr">
        <is>
          <t>833</t>
        </is>
      </c>
      <c r="B834" s="19" t="inlineStr">
        <is>
          <t>1012876</t>
        </is>
      </c>
      <c r="C834" t="inlineStr">
        <is>
          <t>AKÜ,LB2,DK,60AH,IGYASMF,EFBS&amp;S,PILOT PER</t>
        </is>
      </c>
      <c r="D834" s="19" t="inlineStr">
        <is>
          <t>1</t>
        </is>
      </c>
      <c r="E834" t="n">
        <v>0</v>
      </c>
      <c r="I834" s="19" t="inlineStr">
        <is>
          <t>2</t>
        </is>
      </c>
      <c r="J834" t="inlineStr">
        <is>
          <t>2026-08-08</t>
        </is>
      </c>
      <c r="L834" s="19" t="inlineStr">
        <is>
          <t>1012876</t>
        </is>
      </c>
      <c r="M834" t="inlineStr">
        <is>
          <t>STATUS=IN OEM / EU PACKAGE; SOURCE_CFG=IA-ST-CFG-0240; MARKET=LAMPA ITALY İTALYA</t>
        </is>
      </c>
      <c r="N834" t="inlineStr">
        <is>
          <t>2026-08-10T19:29:54Z</t>
        </is>
      </c>
      <c r="O834" t="inlineStr">
        <is>
          <t>2026-08-10T19:29:54Z</t>
        </is>
      </c>
    </row>
    <row r="835">
      <c r="A835" s="19" t="inlineStr">
        <is>
          <t>834</t>
        </is>
      </c>
      <c r="B835" s="19" t="inlineStr">
        <is>
          <t>1012877</t>
        </is>
      </c>
      <c r="C835" t="inlineStr">
        <is>
          <t>AKÜ,LB3,DK,65AH,IGYASMF,EFBS&amp;S,PILOT PER</t>
        </is>
      </c>
      <c r="D835" s="19" t="inlineStr">
        <is>
          <t>1</t>
        </is>
      </c>
      <c r="E835" t="n">
        <v>0</v>
      </c>
      <c r="I835" s="19" t="inlineStr">
        <is>
          <t>2</t>
        </is>
      </c>
      <c r="J835" t="inlineStr">
        <is>
          <t>2026-08-08</t>
        </is>
      </c>
      <c r="L835" s="19" t="inlineStr">
        <is>
          <t>1012877</t>
        </is>
      </c>
      <c r="M835" t="inlineStr">
        <is>
          <t>STATUS=IN OEM / EU PACKAGE; SOURCE_CFG=IA-ST-CFG-0199; MARKET=LAMPA ITALY İTALYA</t>
        </is>
      </c>
      <c r="N835" t="inlineStr">
        <is>
          <t>2026-08-10T19:29:54Z</t>
        </is>
      </c>
      <c r="O835" t="inlineStr">
        <is>
          <t>2026-08-10T19:29:54Z</t>
        </is>
      </c>
    </row>
    <row r="836">
      <c r="A836" s="19" t="inlineStr">
        <is>
          <t>835</t>
        </is>
      </c>
      <c r="B836" s="19" t="inlineStr">
        <is>
          <t>1012878</t>
        </is>
      </c>
      <c r="C836" t="inlineStr">
        <is>
          <t>AKÜ,LB4,DK,75AH,IGYASMF,EFBS&amp;S,PILOT PER</t>
        </is>
      </c>
      <c r="D836" s="19" t="inlineStr">
        <is>
          <t>1</t>
        </is>
      </c>
      <c r="E836" t="n">
        <v>0</v>
      </c>
      <c r="I836" s="19" t="inlineStr">
        <is>
          <t>2</t>
        </is>
      </c>
      <c r="J836" t="inlineStr">
        <is>
          <t>2026-08-08</t>
        </is>
      </c>
      <c r="L836" s="19" t="inlineStr">
        <is>
          <t>1012878</t>
        </is>
      </c>
      <c r="M836" t="inlineStr">
        <is>
          <t>STATUS=IN OEM / EU PACKAGE; SOURCE_CFG=IA-ST-CFG-0152; MARKET=LAMPA ITALY İTALYA</t>
        </is>
      </c>
      <c r="N836" t="inlineStr">
        <is>
          <t>2026-08-10T19:29:54Z</t>
        </is>
      </c>
      <c r="O836" t="inlineStr">
        <is>
          <t>2026-08-10T19:29:54Z</t>
        </is>
      </c>
    </row>
    <row r="837">
      <c r="A837" s="19" t="inlineStr">
        <is>
          <t>836</t>
        </is>
      </c>
      <c r="B837" s="19" t="inlineStr">
        <is>
          <t>1012879</t>
        </is>
      </c>
      <c r="C837" t="inlineStr">
        <is>
          <t>AKÜ,L0,DK,40AH,DINNEW,PILOT PERFORMANCE</t>
        </is>
      </c>
      <c r="D837" s="19" t="inlineStr">
        <is>
          <t>1</t>
        </is>
      </c>
      <c r="E837" t="n">
        <v>0</v>
      </c>
      <c r="I837" s="19" t="inlineStr">
        <is>
          <t>2</t>
        </is>
      </c>
      <c r="J837" t="inlineStr">
        <is>
          <t>2026-08-08</t>
        </is>
      </c>
      <c r="L837" s="19" t="inlineStr">
        <is>
          <t>1012879</t>
        </is>
      </c>
      <c r="M837" t="inlineStr">
        <is>
          <t>STATUS=IN OEM / EU PACKAGE; SOURCE_CFG=IA-ST-CFG-0277; MARKET=LAMPA ITALY İTALYA</t>
        </is>
      </c>
      <c r="N837" t="inlineStr">
        <is>
          <t>2026-08-10T19:29:54Z</t>
        </is>
      </c>
      <c r="O837" t="inlineStr">
        <is>
          <t>2026-08-10T19:29:54Z</t>
        </is>
      </c>
    </row>
    <row r="838">
      <c r="A838" s="19" t="inlineStr">
        <is>
          <t>837</t>
        </is>
      </c>
      <c r="B838" s="19" t="inlineStr">
        <is>
          <t>1012880</t>
        </is>
      </c>
      <c r="C838" t="inlineStr">
        <is>
          <t>AKÜ,L1,DK,44AH,IGYASMF,PILOT PERFORMANCE</t>
        </is>
      </c>
      <c r="D838" s="19" t="inlineStr">
        <is>
          <t>1</t>
        </is>
      </c>
      <c r="E838" t="n">
        <v>0</v>
      </c>
      <c r="I838" s="19" t="inlineStr">
        <is>
          <t>2</t>
        </is>
      </c>
      <c r="J838" t="inlineStr">
        <is>
          <t>2026-08-08</t>
        </is>
      </c>
      <c r="L838" s="19" t="inlineStr">
        <is>
          <t>1012880</t>
        </is>
      </c>
      <c r="M838" t="inlineStr">
        <is>
          <t>STATUS=IN OEM / EU PACKAGE; SOURCE_CFG=IA-ST-CFG-0266; MARKET=LAMPA ITALY İTALYA</t>
        </is>
      </c>
      <c r="N838" t="inlineStr">
        <is>
          <t>2026-08-10T19:29:54Z</t>
        </is>
      </c>
      <c r="O838" t="inlineStr">
        <is>
          <t>2026-08-10T19:29:54Z</t>
        </is>
      </c>
    </row>
    <row r="839">
      <c r="A839" s="19" t="inlineStr">
        <is>
          <t>838</t>
        </is>
      </c>
      <c r="B839" s="19" t="inlineStr">
        <is>
          <t>1012881</t>
        </is>
      </c>
      <c r="C839" t="inlineStr">
        <is>
          <t>AKÜ,L1,DK,50AH,IGYASMF,PILOT PERFORMANCE</t>
        </is>
      </c>
      <c r="D839" s="19" t="inlineStr">
        <is>
          <t>1</t>
        </is>
      </c>
      <c r="E839" t="n">
        <v>0</v>
      </c>
      <c r="I839" s="19" t="inlineStr">
        <is>
          <t>2</t>
        </is>
      </c>
      <c r="J839" t="inlineStr">
        <is>
          <t>2026-08-08</t>
        </is>
      </c>
      <c r="L839" s="19" t="inlineStr">
        <is>
          <t>1012881</t>
        </is>
      </c>
      <c r="M839" t="inlineStr">
        <is>
          <t>STATUS=IN OEM / EU PACKAGE; SOURCE_CFG=IA-ST-CFG-0266; MARKET=LAMPA ITALY İTALYA</t>
        </is>
      </c>
      <c r="N839" t="inlineStr">
        <is>
          <t>2026-08-10T19:29:54Z</t>
        </is>
      </c>
      <c r="O839" t="inlineStr">
        <is>
          <t>2026-08-10T19:29:54Z</t>
        </is>
      </c>
    </row>
    <row r="840">
      <c r="A840" s="19" t="inlineStr">
        <is>
          <t>839</t>
        </is>
      </c>
      <c r="B840" s="19" t="inlineStr">
        <is>
          <t>1012884</t>
        </is>
      </c>
      <c r="C840" t="inlineStr">
        <is>
          <t>AKÜ,LB1,DK,50AH,IGYSMF,PILOT PERFORMANCE</t>
        </is>
      </c>
      <c r="D840" s="19" t="inlineStr">
        <is>
          <t>1</t>
        </is>
      </c>
      <c r="E840" t="n">
        <v>0</v>
      </c>
      <c r="I840" s="19" t="inlineStr">
        <is>
          <t>2</t>
        </is>
      </c>
      <c r="J840" t="inlineStr">
        <is>
          <t>2026-08-08</t>
        </is>
      </c>
      <c r="L840" s="19" t="inlineStr">
        <is>
          <t>1012884</t>
        </is>
      </c>
      <c r="M840" t="inlineStr">
        <is>
          <t>STATUS=IN OEM / EU PACKAGE; SOURCE_CFG=IA-ST-CFG-0264; MARKET=LAMPA ITALY İTALYA</t>
        </is>
      </c>
      <c r="N840" t="inlineStr">
        <is>
          <t>2026-08-10T19:29:54Z</t>
        </is>
      </c>
      <c r="O840" t="inlineStr">
        <is>
          <t>2026-08-10T19:29:54Z</t>
        </is>
      </c>
    </row>
    <row r="841">
      <c r="A841" s="19" t="inlineStr">
        <is>
          <t>840</t>
        </is>
      </c>
      <c r="B841" s="19" t="inlineStr">
        <is>
          <t>1012885</t>
        </is>
      </c>
      <c r="C841" t="inlineStr">
        <is>
          <t>AKÜ,L2,DK,60AH,IGYASMF,PILOT PERFORMANCE</t>
        </is>
      </c>
      <c r="D841" s="19" t="inlineStr">
        <is>
          <t>1</t>
        </is>
      </c>
      <c r="E841" t="n">
        <v>0</v>
      </c>
      <c r="I841" s="19" t="inlineStr">
        <is>
          <t>2</t>
        </is>
      </c>
      <c r="J841" t="inlineStr">
        <is>
          <t>2026-08-08</t>
        </is>
      </c>
      <c r="L841" s="19" t="inlineStr">
        <is>
          <t>1012885</t>
        </is>
      </c>
      <c r="M841" t="inlineStr">
        <is>
          <t>STATUS=IN OEM / EU PACKAGE; SOURCE_CFG=IA-ST-CFG-0240; MARKET=LAMPA ITALY İTALYA</t>
        </is>
      </c>
      <c r="N841" t="inlineStr">
        <is>
          <t>2026-08-10T19:29:54Z</t>
        </is>
      </c>
      <c r="O841" t="inlineStr">
        <is>
          <t>2026-08-10T19:29:54Z</t>
        </is>
      </c>
    </row>
    <row r="842">
      <c r="A842" s="19" t="inlineStr">
        <is>
          <t>841</t>
        </is>
      </c>
      <c r="B842" s="19" t="inlineStr">
        <is>
          <t>1012886</t>
        </is>
      </c>
      <c r="C842" t="inlineStr">
        <is>
          <t>AKÜ,L2,TK,60AH,IGYASMF,PILOT PERFORMANCE</t>
        </is>
      </c>
      <c r="D842" s="19" t="inlineStr">
        <is>
          <t>1</t>
        </is>
      </c>
      <c r="E842" t="n">
        <v>0</v>
      </c>
      <c r="I842" s="19" t="inlineStr">
        <is>
          <t>2</t>
        </is>
      </c>
      <c r="J842" t="inlineStr">
        <is>
          <t>2026-08-08</t>
        </is>
      </c>
      <c r="L842" s="19" t="inlineStr">
        <is>
          <t>1012886</t>
        </is>
      </c>
      <c r="M842" t="inlineStr">
        <is>
          <t>STATUS=IN OEM / EU PACKAGE; SOURCE_CFG=IA-ST-CFG-0240; MARKET=LAMPA ITALY İTALYA</t>
        </is>
      </c>
      <c r="N842" t="inlineStr">
        <is>
          <t>2026-08-10T19:29:54Z</t>
        </is>
      </c>
      <c r="O842" t="inlineStr">
        <is>
          <t>2026-08-10T19:29:54Z</t>
        </is>
      </c>
    </row>
    <row r="843">
      <c r="A843" s="19" t="inlineStr">
        <is>
          <t>842</t>
        </is>
      </c>
      <c r="B843" s="19" t="inlineStr">
        <is>
          <t>1012887</t>
        </is>
      </c>
      <c r="C843" t="inlineStr">
        <is>
          <t>AKÜ,LB2,DK,60AH,IGYSMF,PILOT PERFORMANCE</t>
        </is>
      </c>
      <c r="D843" s="19" t="inlineStr">
        <is>
          <t>1</t>
        </is>
      </c>
      <c r="E843" t="n">
        <v>0</v>
      </c>
      <c r="I843" s="19" t="inlineStr">
        <is>
          <t>2</t>
        </is>
      </c>
      <c r="J843" t="inlineStr">
        <is>
          <t>2026-08-08</t>
        </is>
      </c>
      <c r="L843" s="19" t="inlineStr">
        <is>
          <t>1012887</t>
        </is>
      </c>
      <c r="M843" t="inlineStr">
        <is>
          <t>STATUS=IN OEM / EU PACKAGE; SOURCE_CFG=IA-ST-CFG-0240; MARKET=LAMPA ITALY İTALYA</t>
        </is>
      </c>
      <c r="N843" t="inlineStr">
        <is>
          <t>2026-08-10T19:29:54Z</t>
        </is>
      </c>
      <c r="O843" t="inlineStr">
        <is>
          <t>2026-08-10T19:29:54Z</t>
        </is>
      </c>
    </row>
    <row r="844">
      <c r="A844" s="19" t="inlineStr">
        <is>
          <t>843</t>
        </is>
      </c>
      <c r="B844" s="19" t="inlineStr">
        <is>
          <t>1012889</t>
        </is>
      </c>
      <c r="C844" t="inlineStr">
        <is>
          <t>AKÜ,L3,DK,75AH,IGYASMF,PILOT PERFORMANCE</t>
        </is>
      </c>
      <c r="D844" s="19" t="inlineStr">
        <is>
          <t>1</t>
        </is>
      </c>
      <c r="E844" t="n">
        <v>0</v>
      </c>
      <c r="I844" s="19" t="inlineStr">
        <is>
          <t>2</t>
        </is>
      </c>
      <c r="J844" t="inlineStr">
        <is>
          <t>2026-08-08</t>
        </is>
      </c>
      <c r="L844" s="19" t="inlineStr">
        <is>
          <t>1012889</t>
        </is>
      </c>
      <c r="M844" t="inlineStr">
        <is>
          <t>STATUS=IN OEM / EU PACKAGE; SOURCE_CFG=IA-ST-CFG-0200; MARKET=LAMPA ITALY İTALYA</t>
        </is>
      </c>
      <c r="N844" t="inlineStr">
        <is>
          <t>2026-08-10T19:29:54Z</t>
        </is>
      </c>
      <c r="O844" t="inlineStr">
        <is>
          <t>2026-08-10T19:29:54Z</t>
        </is>
      </c>
    </row>
    <row r="845">
      <c r="A845" s="19" t="inlineStr">
        <is>
          <t>844</t>
        </is>
      </c>
      <c r="B845" s="19" t="inlineStr">
        <is>
          <t>1012890</t>
        </is>
      </c>
      <c r="C845" t="inlineStr">
        <is>
          <t>AKÜ,L3,TK,75AH,IGYASMF,PILOT PERFORMANCE</t>
        </is>
      </c>
      <c r="D845" s="19" t="inlineStr">
        <is>
          <t>1</t>
        </is>
      </c>
      <c r="E845" t="n">
        <v>0</v>
      </c>
      <c r="I845" s="19" t="inlineStr">
        <is>
          <t>2</t>
        </is>
      </c>
      <c r="J845" t="inlineStr">
        <is>
          <t>2026-08-08</t>
        </is>
      </c>
      <c r="L845" s="19" t="inlineStr">
        <is>
          <t>1012890</t>
        </is>
      </c>
      <c r="M845" t="inlineStr">
        <is>
          <t>STATUS=IN OEM / EU PACKAGE; SOURCE_CFG=IA-ST-CFG-0200; MARKET=LAMPA ITALY İTALYA</t>
        </is>
      </c>
      <c r="N845" t="inlineStr">
        <is>
          <t>2026-08-10T19:29:54Z</t>
        </is>
      </c>
      <c r="O845" t="inlineStr">
        <is>
          <t>2026-08-10T19:29:54Z</t>
        </is>
      </c>
    </row>
    <row r="846">
      <c r="A846" s="19" t="inlineStr">
        <is>
          <t>845</t>
        </is>
      </c>
      <c r="B846" s="19" t="inlineStr">
        <is>
          <t>1012891</t>
        </is>
      </c>
      <c r="C846" t="inlineStr">
        <is>
          <t>AKÜ,LB3,DK,66AH,IGYSMF,PILOT PERFORMANCE</t>
        </is>
      </c>
      <c r="D846" s="19" t="inlineStr">
        <is>
          <t>1</t>
        </is>
      </c>
      <c r="E846" t="n">
        <v>0</v>
      </c>
      <c r="I846" s="19" t="inlineStr">
        <is>
          <t>2</t>
        </is>
      </c>
      <c r="J846" t="inlineStr">
        <is>
          <t>2026-08-08</t>
        </is>
      </c>
      <c r="L846" s="19" t="inlineStr">
        <is>
          <t>1012891</t>
        </is>
      </c>
      <c r="M846" t="inlineStr">
        <is>
          <t>STATUS=IN OEM / EU PACKAGE; SOURCE_CFG=IA-ST-CFG-0199; MARKET=LAMPA ITALY İTALYA</t>
        </is>
      </c>
      <c r="N846" t="inlineStr">
        <is>
          <t>2026-08-10T19:29:54Z</t>
        </is>
      </c>
      <c r="O846" t="inlineStr">
        <is>
          <t>2026-08-10T19:29:54Z</t>
        </is>
      </c>
    </row>
    <row r="847">
      <c r="A847" s="19" t="inlineStr">
        <is>
          <t>846</t>
        </is>
      </c>
      <c r="B847" s="19" t="inlineStr">
        <is>
          <t>1012892</t>
        </is>
      </c>
      <c r="C847" t="inlineStr">
        <is>
          <t>AKÜ,LB3,DK,72AH,IGYSMF,PILOT PERFORMANCE</t>
        </is>
      </c>
      <c r="D847" s="19" t="inlineStr">
        <is>
          <t>1</t>
        </is>
      </c>
      <c r="E847" t="n">
        <v>0</v>
      </c>
      <c r="I847" s="19" t="inlineStr">
        <is>
          <t>2</t>
        </is>
      </c>
      <c r="J847" t="inlineStr">
        <is>
          <t>2026-08-08</t>
        </is>
      </c>
      <c r="L847" s="19" t="inlineStr">
        <is>
          <t>1012892</t>
        </is>
      </c>
      <c r="M847" t="inlineStr">
        <is>
          <t>STATUS=IN OEM / EU PACKAGE; SOURCE_CFG=IA-ST-CFG-0199; MARKET=LAMPA ITALY İTALYA</t>
        </is>
      </c>
      <c r="N847" t="inlineStr">
        <is>
          <t>2026-08-10T19:29:54Z</t>
        </is>
      </c>
      <c r="O847" t="inlineStr">
        <is>
          <t>2026-08-10T19:29:54Z</t>
        </is>
      </c>
    </row>
    <row r="848">
      <c r="A848" s="19" t="inlineStr">
        <is>
          <t>847</t>
        </is>
      </c>
      <c r="B848" s="19" t="inlineStr">
        <is>
          <t>1012894</t>
        </is>
      </c>
      <c r="C848" t="inlineStr">
        <is>
          <t>AKÜ,LB4,DK,80AH,IGYSMF,PILOT PERFORMANCE</t>
        </is>
      </c>
      <c r="D848" s="19" t="inlineStr">
        <is>
          <t>1</t>
        </is>
      </c>
      <c r="E848" t="n">
        <v>0</v>
      </c>
      <c r="I848" s="19" t="inlineStr">
        <is>
          <t>2</t>
        </is>
      </c>
      <c r="J848" t="inlineStr">
        <is>
          <t>2026-08-08</t>
        </is>
      </c>
      <c r="L848" s="19" t="inlineStr">
        <is>
          <t>1012894</t>
        </is>
      </c>
      <c r="M848" t="inlineStr">
        <is>
          <t>STATUS=IN OEM / EU PACKAGE; SOURCE_CFG=IA-ST-CFG-0152; MARKET=LAMPA ITALY İTALYA</t>
        </is>
      </c>
      <c r="N848" t="inlineStr">
        <is>
          <t>2026-08-10T19:29:54Z</t>
        </is>
      </c>
      <c r="O848" t="inlineStr">
        <is>
          <t>2026-08-10T19:29:54Z</t>
        </is>
      </c>
    </row>
    <row r="849">
      <c r="A849" s="19" t="inlineStr">
        <is>
          <t>848</t>
        </is>
      </c>
      <c r="B849" s="19" t="inlineStr">
        <is>
          <t>1012895</t>
        </is>
      </c>
      <c r="C849" t="inlineStr">
        <is>
          <t>AKÜ,L5,DK,90AH,IGYASMF,PILOT PERFORMANCE</t>
        </is>
      </c>
      <c r="D849" s="19" t="inlineStr">
        <is>
          <t>1</t>
        </is>
      </c>
      <c r="E849" t="n">
        <v>0</v>
      </c>
      <c r="I849" s="19" t="inlineStr">
        <is>
          <t>2</t>
        </is>
      </c>
      <c r="J849" t="inlineStr">
        <is>
          <t>2026-08-08</t>
        </is>
      </c>
      <c r="L849" s="19" t="inlineStr">
        <is>
          <t>1012895</t>
        </is>
      </c>
      <c r="M849" t="inlineStr">
        <is>
          <t>STATUS=IN OEM / EU PACKAGE; SOURCE_CFG=IA-ST-CFG-0116; MARKET=LAMPA ITALY İTALYA</t>
        </is>
      </c>
      <c r="N849" t="inlineStr">
        <is>
          <t>2026-08-10T19:29:54Z</t>
        </is>
      </c>
      <c r="O849" t="inlineStr">
        <is>
          <t>2026-08-10T19:29:54Z</t>
        </is>
      </c>
    </row>
    <row r="850">
      <c r="A850" s="19" t="inlineStr">
        <is>
          <t>849</t>
        </is>
      </c>
      <c r="B850" s="19" t="inlineStr">
        <is>
          <t>1012896</t>
        </is>
      </c>
      <c r="C850" t="inlineStr">
        <is>
          <t>AKÜ,L5,DK,100AH,IGYSMF,PILOT PERFORMANCE</t>
        </is>
      </c>
      <c r="D850" s="19" t="inlineStr">
        <is>
          <t>1</t>
        </is>
      </c>
      <c r="E850" t="n">
        <v>0</v>
      </c>
      <c r="I850" s="19" t="inlineStr">
        <is>
          <t>2</t>
        </is>
      </c>
      <c r="J850" t="inlineStr">
        <is>
          <t>2026-08-08</t>
        </is>
      </c>
      <c r="L850" s="19" t="inlineStr">
        <is>
          <t>1012896</t>
        </is>
      </c>
      <c r="M850" t="inlineStr">
        <is>
          <t>STATUS=IN OEM / EU PACKAGE; SOURCE_CFG=IA-ST-CFG-0116; MARKET=LAMPA ITALY İTALYA</t>
        </is>
      </c>
      <c r="N850" t="inlineStr">
        <is>
          <t>2026-08-10T19:29:54Z</t>
        </is>
      </c>
      <c r="O850" t="inlineStr">
        <is>
          <t>2026-08-10T19:29:54Z</t>
        </is>
      </c>
    </row>
    <row r="851">
      <c r="A851" s="19" t="inlineStr">
        <is>
          <t>850</t>
        </is>
      </c>
      <c r="B851" s="19" t="inlineStr">
        <is>
          <t>1012897</t>
        </is>
      </c>
      <c r="C851" t="inlineStr">
        <is>
          <t>AKÜ,LB5,DK,90AH,IGYSMF,PILOT PERFORMANCE</t>
        </is>
      </c>
      <c r="D851" s="19" t="inlineStr">
        <is>
          <t>1</t>
        </is>
      </c>
      <c r="E851" t="n">
        <v>0</v>
      </c>
      <c r="I851" s="19" t="inlineStr">
        <is>
          <t>2</t>
        </is>
      </c>
      <c r="J851" t="inlineStr">
        <is>
          <t>2026-08-08</t>
        </is>
      </c>
      <c r="L851" s="19" t="inlineStr">
        <is>
          <t>1012897</t>
        </is>
      </c>
      <c r="M851" t="inlineStr">
        <is>
          <t>STATUS=IN OEM / EU PACKAGE; SOURCE_CFG=IA-ST-CFG-0116; MARKET=LAMPA ITALY İTALYA</t>
        </is>
      </c>
      <c r="N851" t="inlineStr">
        <is>
          <t>2026-08-10T19:29:54Z</t>
        </is>
      </c>
      <c r="O851" t="inlineStr">
        <is>
          <t>2026-08-10T19:29:54Z</t>
        </is>
      </c>
    </row>
    <row r="852">
      <c r="A852" s="19" t="inlineStr">
        <is>
          <t>851</t>
        </is>
      </c>
      <c r="B852" s="19" t="inlineStr">
        <is>
          <t>1012898</t>
        </is>
      </c>
      <c r="C852" t="inlineStr">
        <is>
          <t>AKÜ,L4,DK,100AH,IGYSMF,PILOT PERFORMANCE</t>
        </is>
      </c>
      <c r="D852" s="19" t="inlineStr">
        <is>
          <t>1</t>
        </is>
      </c>
      <c r="E852" t="n">
        <v>0</v>
      </c>
      <c r="I852" s="19" t="inlineStr">
        <is>
          <t>2</t>
        </is>
      </c>
      <c r="J852" t="inlineStr">
        <is>
          <t>2026-08-08</t>
        </is>
      </c>
      <c r="L852" s="19" t="inlineStr">
        <is>
          <t>1012898</t>
        </is>
      </c>
      <c r="M852" t="inlineStr">
        <is>
          <t>STATUS=IN OEM / EU PACKAGE; SOURCE_CFG=IA-ST-CFG-0152; MARKET=LAMPA ITALY İTALYA</t>
        </is>
      </c>
      <c r="N852" t="inlineStr">
        <is>
          <t>2026-08-10T19:29:54Z</t>
        </is>
      </c>
      <c r="O852" t="inlineStr">
        <is>
          <t>2026-08-10T19:29:54Z</t>
        </is>
      </c>
    </row>
    <row r="853">
      <c r="A853" s="19" t="inlineStr">
        <is>
          <t>852</t>
        </is>
      </c>
      <c r="B853" s="19" t="inlineStr">
        <is>
          <t>1012899</t>
        </is>
      </c>
      <c r="C853" t="inlineStr">
        <is>
          <t>AKÜ,D31,DK,102AH,IGYA,HUGELULTRA,SHAWKAT</t>
        </is>
      </c>
      <c r="D853" s="19" t="inlineStr">
        <is>
          <t>1</t>
        </is>
      </c>
      <c r="E853" t="n">
        <v>0</v>
      </c>
      <c r="I853" s="19" t="inlineStr">
        <is>
          <t>2</t>
        </is>
      </c>
      <c r="J853" t="inlineStr">
        <is>
          <t>2026-08-08</t>
        </is>
      </c>
      <c r="L853" s="19" t="inlineStr">
        <is>
          <t>1012899</t>
        </is>
      </c>
      <c r="M853" t="inlineStr">
        <is>
          <t>STATUS=IN OEM / EU PACKAGE; SOURCE_CFG=IA-ST-CFG-0143; MARKET=SHAWKAT</t>
        </is>
      </c>
      <c r="N853" t="inlineStr">
        <is>
          <t>2026-08-10T19:29:54Z</t>
        </is>
      </c>
      <c r="O853" t="inlineStr">
        <is>
          <t>2026-08-10T19:29:54Z</t>
        </is>
      </c>
    </row>
    <row r="854">
      <c r="A854" s="19" t="inlineStr">
        <is>
          <t>853</t>
        </is>
      </c>
      <c r="B854" s="19" t="inlineStr">
        <is>
          <t>1012903</t>
        </is>
      </c>
      <c r="C854" t="inlineStr">
        <is>
          <t>AKÜ,L5,DK,102AH,IGYA,HUGEL ULTRA,SHAWKAT</t>
        </is>
      </c>
      <c r="D854" s="19" t="inlineStr">
        <is>
          <t>1</t>
        </is>
      </c>
      <c r="E854" t="n">
        <v>0</v>
      </c>
      <c r="I854" s="19" t="inlineStr">
        <is>
          <t>2</t>
        </is>
      </c>
      <c r="J854" t="inlineStr">
        <is>
          <t>2026-08-08</t>
        </is>
      </c>
      <c r="L854" s="19" t="inlineStr">
        <is>
          <t>1012903</t>
        </is>
      </c>
      <c r="M854" t="inlineStr">
        <is>
          <t>STATUS=IN OEM / EU PACKAGE; SOURCE_CFG=IA-ST-CFG-0096; MARKET=SHAWKAT</t>
        </is>
      </c>
      <c r="N854" t="inlineStr">
        <is>
          <t>2026-08-10T19:29:54Z</t>
        </is>
      </c>
      <c r="O854" t="inlineStr">
        <is>
          <t>2026-08-10T19:29:54Z</t>
        </is>
      </c>
    </row>
    <row r="855">
      <c r="A855" s="19" t="inlineStr">
        <is>
          <t>854</t>
        </is>
      </c>
      <c r="B855" s="19" t="inlineStr">
        <is>
          <t>1012904</t>
        </is>
      </c>
      <c r="C855" t="inlineStr">
        <is>
          <t>AKÜ,L4,DK,82AH,IGYA,İNCİFORMTAUR,SHAWKAT</t>
        </is>
      </c>
      <c r="D855" s="19" t="inlineStr">
        <is>
          <t>1</t>
        </is>
      </c>
      <c r="E855" t="n">
        <v>0</v>
      </c>
      <c r="I855" s="19" t="inlineStr">
        <is>
          <t>2</t>
        </is>
      </c>
      <c r="J855" t="inlineStr">
        <is>
          <t>2026-08-08</t>
        </is>
      </c>
      <c r="L855" s="19" t="inlineStr">
        <is>
          <t>1012904</t>
        </is>
      </c>
      <c r="M855" t="inlineStr">
        <is>
          <t>STATUS=IN OEM / EU PACKAGE; SOURCE_CFG=IA-ST-CFG-0231; MARKET=SHAWKAT</t>
        </is>
      </c>
      <c r="N855" t="inlineStr">
        <is>
          <t>2026-08-10T19:29:54Z</t>
        </is>
      </c>
      <c r="O855" t="inlineStr">
        <is>
          <t>2026-08-10T19:29:54Z</t>
        </is>
      </c>
    </row>
    <row r="856">
      <c r="A856" s="19" t="inlineStr">
        <is>
          <t>855</t>
        </is>
      </c>
      <c r="B856" s="19" t="inlineStr">
        <is>
          <t>1012905</t>
        </is>
      </c>
      <c r="C856" t="inlineStr">
        <is>
          <t>AKÜ,L5,DK102AH,IGYA,İNCİFORMTAUR,SHAWKAT</t>
        </is>
      </c>
      <c r="D856" s="19" t="inlineStr">
        <is>
          <t>1</t>
        </is>
      </c>
      <c r="E856" t="n">
        <v>0</v>
      </c>
      <c r="I856" s="19" t="inlineStr">
        <is>
          <t>2</t>
        </is>
      </c>
      <c r="J856" t="inlineStr">
        <is>
          <t>2026-08-08</t>
        </is>
      </c>
      <c r="L856" s="19" t="inlineStr">
        <is>
          <t>1012905</t>
        </is>
      </c>
      <c r="M856" t="inlineStr">
        <is>
          <t>STATUS=IN OEM / EU PACKAGE; SOURCE_CFG=IA-ST-CFG-0096; MARKET=SHAWKAT</t>
        </is>
      </c>
      <c r="N856" t="inlineStr">
        <is>
          <t>2026-08-10T19:29:54Z</t>
        </is>
      </c>
      <c r="O856" t="inlineStr">
        <is>
          <t>2026-08-10T19:29:54Z</t>
        </is>
      </c>
    </row>
    <row r="857">
      <c r="A857" s="19" t="inlineStr">
        <is>
          <t>856</t>
        </is>
      </c>
      <c r="B857" s="19" t="inlineStr">
        <is>
          <t>1012906</t>
        </is>
      </c>
      <c r="C857" t="inlineStr">
        <is>
          <t>AKÜ,L3,DK,75AH,IGYA,HUGEL ULTRA,SHAWKAT</t>
        </is>
      </c>
      <c r="D857" s="19" t="inlineStr">
        <is>
          <t>1</t>
        </is>
      </c>
      <c r="E857" t="n">
        <v>0</v>
      </c>
      <c r="I857" s="19" t="inlineStr">
        <is>
          <t>2</t>
        </is>
      </c>
      <c r="J857" t="inlineStr">
        <is>
          <t>2026-08-08</t>
        </is>
      </c>
      <c r="L857" s="19" t="inlineStr">
        <is>
          <t>1012906</t>
        </is>
      </c>
      <c r="M857" t="inlineStr">
        <is>
          <t>STATUS=IN OEM / EU PACKAGE; SOURCE_CFG=IA-ST-CFG-0179; MARKET=SHAWKAT</t>
        </is>
      </c>
      <c r="N857" t="inlineStr">
        <is>
          <t>2026-08-10T19:29:54Z</t>
        </is>
      </c>
      <c r="O857" t="inlineStr">
        <is>
          <t>2026-08-10T19:29:54Z</t>
        </is>
      </c>
    </row>
    <row r="858">
      <c r="A858" s="19" t="inlineStr">
        <is>
          <t>857</t>
        </is>
      </c>
      <c r="B858" s="19" t="inlineStr">
        <is>
          <t>1012907</t>
        </is>
      </c>
      <c r="C858" t="inlineStr">
        <is>
          <t>AKÜ,D31,DK90AH,IGYA,İNCİFORMTAUR,SHAWKAT</t>
        </is>
      </c>
      <c r="D858" s="19" t="inlineStr">
        <is>
          <t>1</t>
        </is>
      </c>
      <c r="E858" t="n">
        <v>0</v>
      </c>
      <c r="I858" s="19" t="inlineStr">
        <is>
          <t>2</t>
        </is>
      </c>
      <c r="J858" t="inlineStr">
        <is>
          <t>2026-08-08</t>
        </is>
      </c>
      <c r="L858" s="19" t="inlineStr">
        <is>
          <t>1012907</t>
        </is>
      </c>
      <c r="M858" t="inlineStr">
        <is>
          <t>STATUS=IN OEM / EU PACKAGE; SOURCE_CFG=IA-ST-CFG-0143; MARKET=SHAWKAT</t>
        </is>
      </c>
      <c r="N858" t="inlineStr">
        <is>
          <t>2026-08-10T19:29:54Z</t>
        </is>
      </c>
      <c r="O858" t="inlineStr">
        <is>
          <t>2026-08-10T19:29:54Z</t>
        </is>
      </c>
    </row>
    <row r="859">
      <c r="A859" s="19" t="inlineStr">
        <is>
          <t>858</t>
        </is>
      </c>
      <c r="B859" s="19" t="inlineStr">
        <is>
          <t>1012908</t>
        </is>
      </c>
      <c r="C859" t="inlineStr">
        <is>
          <t>AKÜ,D26,DK,62AH,IGYA,HUGEL ULTRA,SHAWKAT</t>
        </is>
      </c>
      <c r="D859" s="19" t="inlineStr">
        <is>
          <t>1</t>
        </is>
      </c>
      <c r="E859" t="n">
        <v>0</v>
      </c>
      <c r="I859" s="19" t="inlineStr">
        <is>
          <t>2</t>
        </is>
      </c>
      <c r="J859" t="inlineStr">
        <is>
          <t>2026-08-08</t>
        </is>
      </c>
      <c r="L859" s="19" t="inlineStr">
        <is>
          <t>1012908</t>
        </is>
      </c>
      <c r="M859" t="inlineStr">
        <is>
          <t>STATUS=IN OEM / EU PACKAGE; SOURCE_CFG=IA-ST-CFG-0175; MARKET=SHAWKAT</t>
        </is>
      </c>
      <c r="N859" t="inlineStr">
        <is>
          <t>2026-08-10T19:29:54Z</t>
        </is>
      </c>
      <c r="O859" t="inlineStr">
        <is>
          <t>2026-08-10T19:29:54Z</t>
        </is>
      </c>
    </row>
    <row r="860">
      <c r="A860" s="19" t="inlineStr">
        <is>
          <t>859</t>
        </is>
      </c>
      <c r="B860" s="19" t="inlineStr">
        <is>
          <t>1012909</t>
        </is>
      </c>
      <c r="C860" t="inlineStr">
        <is>
          <t>AKÜ,L5,DK,90AH,IGYA,İNCİFORMTAUR,SHAWKAT</t>
        </is>
      </c>
      <c r="D860" s="19" t="inlineStr">
        <is>
          <t>1</t>
        </is>
      </c>
      <c r="E860" t="n">
        <v>0</v>
      </c>
      <c r="I860" s="19" t="inlineStr">
        <is>
          <t>2</t>
        </is>
      </c>
      <c r="J860" t="inlineStr">
        <is>
          <t>2026-08-08</t>
        </is>
      </c>
      <c r="L860" s="19" t="inlineStr">
        <is>
          <t>1012909</t>
        </is>
      </c>
      <c r="M860" t="inlineStr">
        <is>
          <t>STATUS=IN OEM / EU PACKAGE; SOURCE_CFG=IA-ST-CFG-0096; MARKET=SHAWKAT</t>
        </is>
      </c>
      <c r="N860" t="inlineStr">
        <is>
          <t>2026-08-10T19:29:54Z</t>
        </is>
      </c>
      <c r="O860" t="inlineStr">
        <is>
          <t>2026-08-10T19:29:54Z</t>
        </is>
      </c>
    </row>
    <row r="861">
      <c r="A861" s="19" t="inlineStr">
        <is>
          <t>860</t>
        </is>
      </c>
      <c r="B861" s="19" t="inlineStr">
        <is>
          <t>1012910</t>
        </is>
      </c>
      <c r="C861" t="inlineStr">
        <is>
          <t>AKÜ,L2,TK,62AH,IGYA,İNCİFORMTAUR,SHAWKAT</t>
        </is>
      </c>
      <c r="D861" s="19" t="inlineStr">
        <is>
          <t>1</t>
        </is>
      </c>
      <c r="E861" t="n">
        <v>0</v>
      </c>
      <c r="I861" s="19" t="inlineStr">
        <is>
          <t>2</t>
        </is>
      </c>
      <c r="J861" t="inlineStr">
        <is>
          <t>2026-08-08</t>
        </is>
      </c>
      <c r="L861" s="19" t="inlineStr">
        <is>
          <t>1012910</t>
        </is>
      </c>
      <c r="M861" t="inlineStr">
        <is>
          <t>STATUS=IN OEM / EU PACKAGE; SOURCE_CFG=IA-ST-CFG-0222; MARKET=SHAWKAT</t>
        </is>
      </c>
      <c r="N861" t="inlineStr">
        <is>
          <t>2026-08-10T19:29:54Z</t>
        </is>
      </c>
      <c r="O861" t="inlineStr">
        <is>
          <t>2026-08-10T19:29:54Z</t>
        </is>
      </c>
    </row>
    <row r="862">
      <c r="A862" s="19" t="inlineStr">
        <is>
          <t>861</t>
        </is>
      </c>
      <c r="B862" s="19" t="inlineStr">
        <is>
          <t>1012911</t>
        </is>
      </c>
      <c r="C862" t="inlineStr">
        <is>
          <t>AKÜ,L3,TK,75AH,IGYA,İNCİFORMTAUR,SHAWKAT</t>
        </is>
      </c>
      <c r="D862" s="19" t="inlineStr">
        <is>
          <t>1</t>
        </is>
      </c>
      <c r="E862" t="n">
        <v>0</v>
      </c>
      <c r="I862" s="19" t="inlineStr">
        <is>
          <t>2</t>
        </is>
      </c>
      <c r="J862" t="inlineStr">
        <is>
          <t>2026-08-08</t>
        </is>
      </c>
      <c r="L862" s="19" t="inlineStr">
        <is>
          <t>1012911</t>
        </is>
      </c>
      <c r="M862" t="inlineStr">
        <is>
          <t>STATUS=IN OEM / EU PACKAGE; SOURCE_CFG=IA-ST-CFG-0179; MARKET=SHAWKAT</t>
        </is>
      </c>
      <c r="N862" t="inlineStr">
        <is>
          <t>2026-08-10T19:29:54Z</t>
        </is>
      </c>
      <c r="O862" t="inlineStr">
        <is>
          <t>2026-08-10T19:29:54Z</t>
        </is>
      </c>
    </row>
    <row r="863">
      <c r="A863" s="19" t="inlineStr">
        <is>
          <t>862</t>
        </is>
      </c>
      <c r="B863" s="19" t="inlineStr">
        <is>
          <t>1012912</t>
        </is>
      </c>
      <c r="C863" t="inlineStr">
        <is>
          <t>AKÜ,D31,TK102AH,IGYA,İNCİFORMTAU,SHAWKAT</t>
        </is>
      </c>
      <c r="D863" s="19" t="inlineStr">
        <is>
          <t>1</t>
        </is>
      </c>
      <c r="E863" t="n">
        <v>0</v>
      </c>
      <c r="I863" s="19" t="inlineStr">
        <is>
          <t>2</t>
        </is>
      </c>
      <c r="J863" t="inlineStr">
        <is>
          <t>2026-08-08</t>
        </is>
      </c>
      <c r="L863" s="19" t="inlineStr">
        <is>
          <t>1012912</t>
        </is>
      </c>
      <c r="M863" t="inlineStr">
        <is>
          <t>STATUS=IN OEM / EU PACKAGE; SOURCE_CFG=IA-ST-CFG-0143; MARKET=SHAWKAT</t>
        </is>
      </c>
      <c r="N863" t="inlineStr">
        <is>
          <t>2026-08-10T19:29:54Z</t>
        </is>
      </c>
      <c r="O863" t="inlineStr">
        <is>
          <t>2026-08-10T19:29:54Z</t>
        </is>
      </c>
    </row>
    <row r="864">
      <c r="A864" s="19" t="inlineStr">
        <is>
          <t>863</t>
        </is>
      </c>
      <c r="B864" s="19" t="inlineStr">
        <is>
          <t>1012913</t>
        </is>
      </c>
      <c r="C864" t="inlineStr">
        <is>
          <t>AKÜ,L3,DK,75AH,IGYA,İNCİFORMTAUR,SHAWKAT</t>
        </is>
      </c>
      <c r="D864" s="19" t="inlineStr">
        <is>
          <t>1</t>
        </is>
      </c>
      <c r="E864" t="n">
        <v>0</v>
      </c>
      <c r="I864" s="19" t="inlineStr">
        <is>
          <t>2</t>
        </is>
      </c>
      <c r="J864" t="inlineStr">
        <is>
          <t>2026-08-08</t>
        </is>
      </c>
      <c r="L864" s="19" t="inlineStr">
        <is>
          <t>1012913</t>
        </is>
      </c>
      <c r="M864" t="inlineStr">
        <is>
          <t>STATUS=IN OEM / EU PACKAGE; SOURCE_CFG=IA-ST-CFG-0179; MARKET=SHAWKAT</t>
        </is>
      </c>
      <c r="N864" t="inlineStr">
        <is>
          <t>2026-08-10T19:29:54Z</t>
        </is>
      </c>
      <c r="O864" t="inlineStr">
        <is>
          <t>2026-08-10T19:29:54Z</t>
        </is>
      </c>
    </row>
    <row r="865">
      <c r="A865" s="19" t="inlineStr">
        <is>
          <t>864</t>
        </is>
      </c>
      <c r="B865" s="19" t="inlineStr">
        <is>
          <t>1012914</t>
        </is>
      </c>
      <c r="C865" t="inlineStr">
        <is>
          <t>AKÜ,D23,DK,62AH,IGYA,İNCİFORMTAU,SHAWKAT</t>
        </is>
      </c>
      <c r="D865" s="19" t="inlineStr">
        <is>
          <t>1</t>
        </is>
      </c>
      <c r="E865" t="n">
        <v>0</v>
      </c>
      <c r="I865" s="19" t="inlineStr">
        <is>
          <t>2</t>
        </is>
      </c>
      <c r="J865" t="inlineStr">
        <is>
          <t>2026-08-08</t>
        </is>
      </c>
      <c r="L865" s="19" t="inlineStr">
        <is>
          <t>1012914</t>
        </is>
      </c>
      <c r="M865" t="inlineStr">
        <is>
          <t>STATUS=IN OEM / EU PACKAGE; SOURCE_CFG=IA-ST-CFG-0219; MARKET=SHAWKAT</t>
        </is>
      </c>
      <c r="N865" t="inlineStr">
        <is>
          <t>2026-08-10T19:29:54Z</t>
        </is>
      </c>
      <c r="O865" t="inlineStr">
        <is>
          <t>2026-08-10T19:29:54Z</t>
        </is>
      </c>
    </row>
    <row r="866">
      <c r="A866" s="19" t="inlineStr">
        <is>
          <t>865</t>
        </is>
      </c>
      <c r="B866" s="19" t="inlineStr">
        <is>
          <t>1012915</t>
        </is>
      </c>
      <c r="C866" t="inlineStr">
        <is>
          <t>AKÜ,L2,DK,62AH,IGYA,İNCİFORMTAUR,SHAWKAT</t>
        </is>
      </c>
      <c r="D866" s="19" t="inlineStr">
        <is>
          <t>1</t>
        </is>
      </c>
      <c r="E866" t="n">
        <v>0</v>
      </c>
      <c r="I866" s="19" t="inlineStr">
        <is>
          <t>2</t>
        </is>
      </c>
      <c r="J866" t="inlineStr">
        <is>
          <t>2026-08-08</t>
        </is>
      </c>
      <c r="L866" s="19" t="inlineStr">
        <is>
          <t>1012915</t>
        </is>
      </c>
      <c r="M866" t="inlineStr">
        <is>
          <t>STATUS=IN OEM / EU PACKAGE; SOURCE_CFG=IA-ST-CFG-0222; MARKET=SHAWKAT</t>
        </is>
      </c>
      <c r="N866" t="inlineStr">
        <is>
          <t>2026-08-10T19:29:54Z</t>
        </is>
      </c>
      <c r="O866" t="inlineStr">
        <is>
          <t>2026-08-10T19:29:54Z</t>
        </is>
      </c>
    </row>
    <row r="867">
      <c r="A867" s="19" t="inlineStr">
        <is>
          <t>866</t>
        </is>
      </c>
      <c r="B867" s="19" t="inlineStr">
        <is>
          <t>1012916</t>
        </is>
      </c>
      <c r="C867" t="inlineStr">
        <is>
          <t>AKÜ,D31,DK102AH,IGYA,İNCİFORMTAU,SHAWKAT</t>
        </is>
      </c>
      <c r="D867" s="19" t="inlineStr">
        <is>
          <t>1</t>
        </is>
      </c>
      <c r="E867" t="n">
        <v>0</v>
      </c>
      <c r="I867" s="19" t="inlineStr">
        <is>
          <t>2</t>
        </is>
      </c>
      <c r="J867" t="inlineStr">
        <is>
          <t>2026-08-08</t>
        </is>
      </c>
      <c r="L867" s="19" t="inlineStr">
        <is>
          <t>1012916</t>
        </is>
      </c>
      <c r="M867" t="inlineStr">
        <is>
          <t>STATUS=IN OEM / EU PACKAGE; SOURCE_CFG=IA-ST-CFG-0143; MARKET=SHAWKAT</t>
        </is>
      </c>
      <c r="N867" t="inlineStr">
        <is>
          <t>2026-08-10T19:29:54Z</t>
        </is>
      </c>
      <c r="O867" t="inlineStr">
        <is>
          <t>2026-08-10T19:29:54Z</t>
        </is>
      </c>
    </row>
    <row r="868">
      <c r="A868" s="19" t="inlineStr">
        <is>
          <t>867</t>
        </is>
      </c>
      <c r="B868" s="19" t="inlineStr">
        <is>
          <t>1012917</t>
        </is>
      </c>
      <c r="C868" t="inlineStr">
        <is>
          <t>AKÜ,D31,TK,90AH,IGYA,İNCİFORMTAU,SHAWKAT</t>
        </is>
      </c>
      <c r="D868" s="19" t="inlineStr">
        <is>
          <t>1</t>
        </is>
      </c>
      <c r="E868" t="n">
        <v>0</v>
      </c>
      <c r="I868" s="19" t="inlineStr">
        <is>
          <t>2</t>
        </is>
      </c>
      <c r="J868" t="inlineStr">
        <is>
          <t>2026-08-08</t>
        </is>
      </c>
      <c r="L868" s="19" t="inlineStr">
        <is>
          <t>1012917</t>
        </is>
      </c>
      <c r="M868" t="inlineStr">
        <is>
          <t>STATUS=IN OEM / EU PACKAGE; SOURCE_CFG=IA-ST-CFG-0143; MARKET=SHAWKAT</t>
        </is>
      </c>
      <c r="N868" t="inlineStr">
        <is>
          <t>2026-08-10T19:29:54Z</t>
        </is>
      </c>
      <c r="O868" t="inlineStr">
        <is>
          <t>2026-08-10T19:29:54Z</t>
        </is>
      </c>
    </row>
    <row r="869">
      <c r="A869" s="19" t="inlineStr">
        <is>
          <t>868</t>
        </is>
      </c>
      <c r="B869" s="19" t="inlineStr">
        <is>
          <t>1012918</t>
        </is>
      </c>
      <c r="C869" t="inlineStr">
        <is>
          <t>AKÜ,L2,DK,62Ah,IGYASMF,ENERGYMAX,SHAWKAT</t>
        </is>
      </c>
      <c r="D869" s="19" t="inlineStr">
        <is>
          <t>1</t>
        </is>
      </c>
      <c r="E869" t="n">
        <v>0</v>
      </c>
      <c r="I869" s="19" t="inlineStr">
        <is>
          <t>2</t>
        </is>
      </c>
      <c r="J869" t="inlineStr">
        <is>
          <t>2026-08-08</t>
        </is>
      </c>
      <c r="L869" s="19" t="inlineStr">
        <is>
          <t>1012918</t>
        </is>
      </c>
      <c r="M869" t="inlineStr">
        <is>
          <t>STATUS=IN OEM / EU PACKAGE; SOURCE_CFG=IA-ST-CFG-0222; MARKET=SHAWKAT</t>
        </is>
      </c>
      <c r="N869" t="inlineStr">
        <is>
          <t>2026-08-10T19:29:54Z</t>
        </is>
      </c>
      <c r="O869" t="inlineStr">
        <is>
          <t>2026-08-10T19:29:54Z</t>
        </is>
      </c>
    </row>
    <row r="870">
      <c r="A870" s="19" t="inlineStr">
        <is>
          <t>869</t>
        </is>
      </c>
      <c r="B870" s="19" t="inlineStr">
        <is>
          <t>1012922</t>
        </is>
      </c>
      <c r="C870" t="inlineStr">
        <is>
          <t>AKÜ,L2,DK,57AH,IGYASMF,ENERGYMAX,SHAWKAT</t>
        </is>
      </c>
      <c r="D870" s="19" t="inlineStr">
        <is>
          <t>1</t>
        </is>
      </c>
      <c r="E870" t="n">
        <v>0</v>
      </c>
      <c r="I870" s="19" t="inlineStr">
        <is>
          <t>2</t>
        </is>
      </c>
      <c r="J870" t="inlineStr">
        <is>
          <t>2026-08-08</t>
        </is>
      </c>
      <c r="L870" s="19" t="inlineStr">
        <is>
          <t>1012922</t>
        </is>
      </c>
      <c r="M870" t="inlineStr">
        <is>
          <t>STATUS=IN OEM / EU PACKAGE; SOURCE_CFG=IA-ST-CFG-0222; MARKET=SHAWKAT</t>
        </is>
      </c>
      <c r="N870" t="inlineStr">
        <is>
          <t>2026-08-10T19:29:54Z</t>
        </is>
      </c>
      <c r="O870" t="inlineStr">
        <is>
          <t>2026-08-10T19:29:54Z</t>
        </is>
      </c>
    </row>
    <row r="871">
      <c r="A871" s="19" t="inlineStr">
        <is>
          <t>870</t>
        </is>
      </c>
      <c r="B871" s="19" t="inlineStr">
        <is>
          <t>1012929</t>
        </is>
      </c>
      <c r="C871" t="inlineStr">
        <is>
          <t>AKÜ,L3,DK,72AH,IGYA,HUGEL ACTION,SHAWKAT</t>
        </is>
      </c>
      <c r="D871" s="19" t="inlineStr">
        <is>
          <t>1</t>
        </is>
      </c>
      <c r="E871" t="n">
        <v>0</v>
      </c>
      <c r="I871" s="19" t="inlineStr">
        <is>
          <t>2</t>
        </is>
      </c>
      <c r="J871" t="inlineStr">
        <is>
          <t>2026-08-08</t>
        </is>
      </c>
      <c r="L871" s="19" t="inlineStr">
        <is>
          <t>1012929</t>
        </is>
      </c>
      <c r="M871" t="inlineStr">
        <is>
          <t>STATUS=IN OEM / EU PACKAGE; SOURCE_CFG=IA-ST-CFG-0179; MARKET=SHAWKAT</t>
        </is>
      </c>
      <c r="N871" t="inlineStr">
        <is>
          <t>2026-08-10T19:29:54Z</t>
        </is>
      </c>
      <c r="O871" t="inlineStr">
        <is>
          <t>2026-08-10T19:29:54Z</t>
        </is>
      </c>
    </row>
    <row r="872">
      <c r="A872" s="19" t="inlineStr">
        <is>
          <t>871</t>
        </is>
      </c>
      <c r="B872" s="19" t="inlineStr">
        <is>
          <t>1012930</t>
        </is>
      </c>
      <c r="C872" t="inlineStr">
        <is>
          <t>AKÜ,D31,DK,90AH,IGYA,HUGEL ULTRA,SHAWKAT</t>
        </is>
      </c>
      <c r="D872" s="19" t="inlineStr">
        <is>
          <t>1</t>
        </is>
      </c>
      <c r="E872" t="n">
        <v>0</v>
      </c>
      <c r="I872" s="19" t="inlineStr">
        <is>
          <t>2</t>
        </is>
      </c>
      <c r="J872" t="inlineStr">
        <is>
          <t>2026-08-08</t>
        </is>
      </c>
      <c r="L872" s="19" t="inlineStr">
        <is>
          <t>1012930</t>
        </is>
      </c>
      <c r="M872" t="inlineStr">
        <is>
          <t>STATUS=IN OEM / EU PACKAGE; SOURCE_CFG=IA-ST-CFG-0143; MARKET=SHAWKAT</t>
        </is>
      </c>
      <c r="N872" t="inlineStr">
        <is>
          <t>2026-08-10T19:29:54Z</t>
        </is>
      </c>
      <c r="O872" t="inlineStr">
        <is>
          <t>2026-08-10T19:29:54Z</t>
        </is>
      </c>
    </row>
    <row r="873">
      <c r="A873" s="19" t="inlineStr">
        <is>
          <t>872</t>
        </is>
      </c>
      <c r="B873" s="19" t="inlineStr">
        <is>
          <t>1012932</t>
        </is>
      </c>
      <c r="C873" t="inlineStr">
        <is>
          <t>AKÜ,NS60,DK45AH,IGYA,İNCİFORMTAU,SHAWKAT</t>
        </is>
      </c>
      <c r="D873" s="19" t="inlineStr">
        <is>
          <t>1</t>
        </is>
      </c>
      <c r="E873" t="n">
        <v>0</v>
      </c>
      <c r="I873" s="19" t="inlineStr">
        <is>
          <t>2</t>
        </is>
      </c>
      <c r="J873" t="inlineStr">
        <is>
          <t>2026-08-08</t>
        </is>
      </c>
      <c r="L873" s="19" t="inlineStr">
        <is>
          <t>1012932</t>
        </is>
      </c>
      <c r="M873" t="inlineStr">
        <is>
          <t>STATUS=IN OEM / EU PACKAGE; SOURCE_CFG=IA-ST-CFG-0272; MARKET=SHAWKAT</t>
        </is>
      </c>
      <c r="N873" t="inlineStr">
        <is>
          <t>2026-08-10T19:29:54Z</t>
        </is>
      </c>
      <c r="O873" t="inlineStr">
        <is>
          <t>2026-08-10T19:29:54Z</t>
        </is>
      </c>
    </row>
    <row r="874">
      <c r="A874" s="19" t="inlineStr">
        <is>
          <t>873</t>
        </is>
      </c>
      <c r="B874" s="19" t="inlineStr">
        <is>
          <t>1012937</t>
        </is>
      </c>
      <c r="C874" t="inlineStr">
        <is>
          <t>AKÜ,D23,TK,62AH,IGYA,EASA CTIVA,SHAWKAT</t>
        </is>
      </c>
      <c r="D874" s="19" t="inlineStr">
        <is>
          <t>1</t>
        </is>
      </c>
      <c r="E874" t="n">
        <v>0</v>
      </c>
      <c r="I874" s="19" t="inlineStr">
        <is>
          <t>2</t>
        </is>
      </c>
      <c r="J874" t="inlineStr">
        <is>
          <t>2026-08-08</t>
        </is>
      </c>
      <c r="L874" s="19" t="inlineStr">
        <is>
          <t>1012937</t>
        </is>
      </c>
      <c r="M874" t="inlineStr">
        <is>
          <t>STATUS=IN OEM / EU PACKAGE; SOURCE_CFG=IA-ST-CFG-0219; MARKET=SHAWKAT</t>
        </is>
      </c>
      <c r="N874" t="inlineStr">
        <is>
          <t>2026-08-10T19:29:54Z</t>
        </is>
      </c>
      <c r="O874" t="inlineStr">
        <is>
          <t>2026-08-10T19:29:54Z</t>
        </is>
      </c>
    </row>
    <row r="875">
      <c r="A875" s="19" t="inlineStr">
        <is>
          <t>874</t>
        </is>
      </c>
      <c r="B875" s="19" t="inlineStr">
        <is>
          <t>1012939</t>
        </is>
      </c>
      <c r="C875" t="inlineStr">
        <is>
          <t>AKÜ,D23,DK,62AH,IGYA,HUGEL ULTRA,SHAWKAT</t>
        </is>
      </c>
      <c r="D875" s="19" t="inlineStr">
        <is>
          <t>1</t>
        </is>
      </c>
      <c r="E875" t="n">
        <v>0</v>
      </c>
      <c r="I875" s="19" t="inlineStr">
        <is>
          <t>2</t>
        </is>
      </c>
      <c r="J875" t="inlineStr">
        <is>
          <t>2026-08-08</t>
        </is>
      </c>
      <c r="L875" s="19" t="inlineStr">
        <is>
          <t>1012939</t>
        </is>
      </c>
      <c r="M875" t="inlineStr">
        <is>
          <t>STATUS=IN OEM / EU PACKAGE; SOURCE_CFG=IA-ST-CFG-0219; MARKET=SHAWKAT</t>
        </is>
      </c>
      <c r="N875" t="inlineStr">
        <is>
          <t>2026-08-10T19:29:54Z</t>
        </is>
      </c>
      <c r="O875" t="inlineStr">
        <is>
          <t>2026-08-10T19:29:54Z</t>
        </is>
      </c>
    </row>
    <row r="876">
      <c r="A876" s="19" t="inlineStr">
        <is>
          <t>875</t>
        </is>
      </c>
      <c r="B876" s="19" t="inlineStr">
        <is>
          <t>1012940</t>
        </is>
      </c>
      <c r="C876" t="inlineStr">
        <is>
          <t>AKÜ,L3,TK,75AH,IGYSMF,HUGELULTRA,SHAWKAT</t>
        </is>
      </c>
      <c r="D876" s="19" t="inlineStr">
        <is>
          <t>1</t>
        </is>
      </c>
      <c r="E876" t="n">
        <v>0</v>
      </c>
      <c r="I876" s="19" t="inlineStr">
        <is>
          <t>2</t>
        </is>
      </c>
      <c r="J876" t="inlineStr">
        <is>
          <t>2026-08-08</t>
        </is>
      </c>
      <c r="L876" s="19" t="inlineStr">
        <is>
          <t>1012940</t>
        </is>
      </c>
      <c r="M876" t="inlineStr">
        <is>
          <t>STATUS=IN OEM / EU PACKAGE; SOURCE_CFG=IA-ST-CFG-0179; MARKET=SHAWKAT</t>
        </is>
      </c>
      <c r="N876" t="inlineStr">
        <is>
          <t>2026-08-10T19:29:54Z</t>
        </is>
      </c>
      <c r="O876" t="inlineStr">
        <is>
          <t>2026-08-10T19:29:54Z</t>
        </is>
      </c>
    </row>
    <row r="877">
      <c r="A877" s="19" t="inlineStr">
        <is>
          <t>876</t>
        </is>
      </c>
      <c r="B877" s="19" t="inlineStr">
        <is>
          <t>1012943</t>
        </is>
      </c>
      <c r="C877" t="inlineStr">
        <is>
          <t>AKÜ,D26,DK75AH,IGYSMF,HUGELULTRA,SHAWKAT</t>
        </is>
      </c>
      <c r="D877" s="19" t="inlineStr">
        <is>
          <t>1</t>
        </is>
      </c>
      <c r="E877" t="n">
        <v>0</v>
      </c>
      <c r="I877" s="19" t="inlineStr">
        <is>
          <t>2</t>
        </is>
      </c>
      <c r="J877" t="inlineStr">
        <is>
          <t>2026-08-08</t>
        </is>
      </c>
      <c r="L877" s="19" t="inlineStr">
        <is>
          <t>1012943</t>
        </is>
      </c>
      <c r="M877" t="inlineStr">
        <is>
          <t>STATUS=IN OEM / EU PACKAGE; SOURCE_CFG=IA-ST-CFG-0175; MARKET=SHAWKAT</t>
        </is>
      </c>
      <c r="N877" t="inlineStr">
        <is>
          <t>2026-08-10T19:29:54Z</t>
        </is>
      </c>
      <c r="O877" t="inlineStr">
        <is>
          <t>2026-08-10T19:29:54Z</t>
        </is>
      </c>
    </row>
    <row r="878">
      <c r="A878" s="19" t="inlineStr">
        <is>
          <t>877</t>
        </is>
      </c>
      <c r="B878" s="19" t="inlineStr">
        <is>
          <t>1012946</t>
        </is>
      </c>
      <c r="C878" t="inlineStr">
        <is>
          <t>AKÜ,D26,TK,62AH,IGYA,İNCİFORMTAU,SHAWKAT</t>
        </is>
      </c>
      <c r="D878" s="19" t="inlineStr">
        <is>
          <t>1</t>
        </is>
      </c>
      <c r="E878" t="n">
        <v>0</v>
      </c>
      <c r="I878" s="19" t="inlineStr">
        <is>
          <t>2</t>
        </is>
      </c>
      <c r="J878" t="inlineStr">
        <is>
          <t>2026-08-08</t>
        </is>
      </c>
      <c r="L878" s="19" t="inlineStr">
        <is>
          <t>1012946</t>
        </is>
      </c>
      <c r="M878" t="inlineStr">
        <is>
          <t>STATUS=IN OEM / EU PACKAGE; SOURCE_CFG=IA-ST-CFG-0175; MARKET=SHAWKAT</t>
        </is>
      </c>
      <c r="N878" t="inlineStr">
        <is>
          <t>2026-08-10T19:29:54Z</t>
        </is>
      </c>
      <c r="O878" t="inlineStr">
        <is>
          <t>2026-08-10T19:29:54Z</t>
        </is>
      </c>
    </row>
    <row r="879">
      <c r="A879" s="19" t="inlineStr">
        <is>
          <t>878</t>
        </is>
      </c>
      <c r="B879" s="19" t="inlineStr">
        <is>
          <t>1012949</t>
        </is>
      </c>
      <c r="C879" t="inlineStr">
        <is>
          <t>AKÜ,NS60,DK,45AH,IGYA,HUGELULTRA,SHAWKAT</t>
        </is>
      </c>
      <c r="D879" s="19" t="inlineStr">
        <is>
          <t>1</t>
        </is>
      </c>
      <c r="E879" t="n">
        <v>0</v>
      </c>
      <c r="I879" s="19" t="inlineStr">
        <is>
          <t>2</t>
        </is>
      </c>
      <c r="J879" t="inlineStr">
        <is>
          <t>2026-08-08</t>
        </is>
      </c>
      <c r="L879" s="19" t="inlineStr">
        <is>
          <t>1012949</t>
        </is>
      </c>
      <c r="M879" t="inlineStr">
        <is>
          <t>STATUS=IN OEM / EU PACKAGE; SOURCE_CFG=IA-ST-CFG-0272; MARKET=SHAWKAT</t>
        </is>
      </c>
      <c r="N879" t="inlineStr">
        <is>
          <t>2026-08-10T19:29:54Z</t>
        </is>
      </c>
      <c r="O879" t="inlineStr">
        <is>
          <t>2026-08-10T19:29:54Z</t>
        </is>
      </c>
    </row>
    <row r="880">
      <c r="A880" s="19" t="inlineStr">
        <is>
          <t>879</t>
        </is>
      </c>
      <c r="B880" s="19" t="inlineStr">
        <is>
          <t>1012956</t>
        </is>
      </c>
      <c r="C880" t="inlineStr">
        <is>
          <t>AKÜ,L3,TK72AH,IGYSMF,GRİSYH,SILVR,SCHNAP</t>
        </is>
      </c>
      <c r="D880" s="19" t="inlineStr">
        <is>
          <t>1</t>
        </is>
      </c>
      <c r="E880" t="n">
        <v>0</v>
      </c>
      <c r="I880" s="19" t="inlineStr">
        <is>
          <t>2</t>
        </is>
      </c>
      <c r="J880" t="inlineStr">
        <is>
          <t>2026-08-08</t>
        </is>
      </c>
      <c r="L880" s="19" t="inlineStr">
        <is>
          <t>1012956</t>
        </is>
      </c>
      <c r="M880" t="inlineStr">
        <is>
          <t>STATUS=IN OEM / EU PACKAGE; SOURCE_CFG=IA-ST-CFG-0185; MARKET=SCHNAPP</t>
        </is>
      </c>
      <c r="N880" t="inlineStr">
        <is>
          <t>2026-08-10T19:29:54Z</t>
        </is>
      </c>
      <c r="O880" t="inlineStr">
        <is>
          <t>2026-08-10T19:29:54Z</t>
        </is>
      </c>
    </row>
    <row r="881">
      <c r="A881" s="19" t="inlineStr">
        <is>
          <t>880</t>
        </is>
      </c>
      <c r="B881" s="19" t="inlineStr">
        <is>
          <t>1012957</t>
        </is>
      </c>
      <c r="C881" t="inlineStr">
        <is>
          <t>AKÜ,L1,TK,44AH,IGYA SMF,SMF 077,GS</t>
        </is>
      </c>
      <c r="D881" s="19" t="inlineStr">
        <is>
          <t>1</t>
        </is>
      </c>
      <c r="E881" t="n">
        <v>0</v>
      </c>
      <c r="I881" s="19" t="inlineStr">
        <is>
          <t>2</t>
        </is>
      </c>
      <c r="J881" t="inlineStr">
        <is>
          <t>2026-08-08</t>
        </is>
      </c>
      <c r="L881" s="19" t="inlineStr">
        <is>
          <t>1012957</t>
        </is>
      </c>
      <c r="M881" t="inlineStr">
        <is>
          <t>STATUS=IN OEM / EU PACKAGE; SOURCE_CFG=IA-ST-CFG-0209; MARKET=GS</t>
        </is>
      </c>
      <c r="N881" t="inlineStr">
        <is>
          <t>2026-08-10T19:29:54Z</t>
        </is>
      </c>
      <c r="O881" t="inlineStr">
        <is>
          <t>2026-08-10T19:29:54Z</t>
        </is>
      </c>
    </row>
    <row r="882">
      <c r="A882" s="19" t="inlineStr">
        <is>
          <t>881</t>
        </is>
      </c>
      <c r="B882" s="19" t="inlineStr">
        <is>
          <t>1012958</t>
        </is>
      </c>
      <c r="C882" t="inlineStr">
        <is>
          <t>AKÜ,L1,DK,52AH,IGYA SMF,SMF 012,GS</t>
        </is>
      </c>
      <c r="D882" s="19" t="inlineStr">
        <is>
          <t>1</t>
        </is>
      </c>
      <c r="E882" t="n">
        <v>0</v>
      </c>
      <c r="I882" s="19" t="inlineStr">
        <is>
          <t>2</t>
        </is>
      </c>
      <c r="J882" t="inlineStr">
        <is>
          <t>2026-08-08</t>
        </is>
      </c>
      <c r="L882" s="19" t="inlineStr">
        <is>
          <t>1012958</t>
        </is>
      </c>
      <c r="M882" t="inlineStr">
        <is>
          <t>STATUS=IN OEM / EU PACKAGE; SOURCE_CFG=IA-ST-CFG-0209; MARKET=GS</t>
        </is>
      </c>
      <c r="N882" t="inlineStr">
        <is>
          <t>2026-08-10T19:29:54Z</t>
        </is>
      </c>
      <c r="O882" t="inlineStr">
        <is>
          <t>2026-08-10T19:29:54Z</t>
        </is>
      </c>
    </row>
    <row r="883">
      <c r="A883" s="19" t="inlineStr">
        <is>
          <t>882</t>
        </is>
      </c>
      <c r="B883" s="19" t="inlineStr">
        <is>
          <t>1012959</t>
        </is>
      </c>
      <c r="C883" t="inlineStr">
        <is>
          <t>AKÜ,LB1,DK,46AH,IGYA SMF,SMF 063,GS</t>
        </is>
      </c>
      <c r="D883" s="19" t="inlineStr">
        <is>
          <t>1</t>
        </is>
      </c>
      <c r="E883" t="n">
        <v>0</v>
      </c>
      <c r="I883" s="19" t="inlineStr">
        <is>
          <t>2</t>
        </is>
      </c>
      <c r="J883" t="inlineStr">
        <is>
          <t>2026-08-08</t>
        </is>
      </c>
      <c r="L883" s="19" t="inlineStr">
        <is>
          <t>1012959</t>
        </is>
      </c>
      <c r="M883" t="inlineStr">
        <is>
          <t>STATUS=IN OEM / EU PACKAGE; SOURCE_CFG=IA-ST-CFG-0209; MARKET=GS</t>
        </is>
      </c>
      <c r="N883" t="inlineStr">
        <is>
          <t>2026-08-10T19:29:54Z</t>
        </is>
      </c>
      <c r="O883" t="inlineStr">
        <is>
          <t>2026-08-10T19:29:54Z</t>
        </is>
      </c>
    </row>
    <row r="884">
      <c r="A884" s="19" t="inlineStr">
        <is>
          <t>883</t>
        </is>
      </c>
      <c r="B884" s="19" t="inlineStr">
        <is>
          <t>1012962</t>
        </is>
      </c>
      <c r="C884" t="inlineStr">
        <is>
          <t>AKÜ,LB2,DK,60AH,IGYA SMF,SMF 075,GS</t>
        </is>
      </c>
      <c r="D884" s="19" t="inlineStr">
        <is>
          <t>1</t>
        </is>
      </c>
      <c r="E884" t="n">
        <v>0</v>
      </c>
      <c r="I884" s="19" t="inlineStr">
        <is>
          <t>2</t>
        </is>
      </c>
      <c r="J884" t="inlineStr">
        <is>
          <t>2026-08-08</t>
        </is>
      </c>
      <c r="L884" s="19" t="inlineStr">
        <is>
          <t>1012962</t>
        </is>
      </c>
      <c r="M884" t="inlineStr">
        <is>
          <t>STATUS=IN OEM / EU PACKAGE; SOURCE_CFG=IA-ST-CFG-0162; MARKET=GS</t>
        </is>
      </c>
      <c r="N884" t="inlineStr">
        <is>
          <t>2026-08-10T19:29:54Z</t>
        </is>
      </c>
      <c r="O884" t="inlineStr">
        <is>
          <t>2026-08-10T19:29:54Z</t>
        </is>
      </c>
    </row>
    <row r="885">
      <c r="A885" s="19" t="inlineStr">
        <is>
          <t>884</t>
        </is>
      </c>
      <c r="B885" s="19" t="inlineStr">
        <is>
          <t>1012966</t>
        </is>
      </c>
      <c r="C885" t="inlineStr">
        <is>
          <t>AKÜ,L4,DK,82AH,IGYA SMF,SMF 115,GS</t>
        </is>
      </c>
      <c r="D885" s="19" t="inlineStr">
        <is>
          <t>1</t>
        </is>
      </c>
      <c r="E885" t="n">
        <v>0</v>
      </c>
      <c r="I885" s="19" t="inlineStr">
        <is>
          <t>2</t>
        </is>
      </c>
      <c r="J885" t="inlineStr">
        <is>
          <t>2026-08-08</t>
        </is>
      </c>
      <c r="L885" s="19" t="inlineStr">
        <is>
          <t>1012966</t>
        </is>
      </c>
      <c r="M885" t="inlineStr">
        <is>
          <t>STATUS=IN OEM / EU PACKAGE; SOURCE_CFG=IA-ST-CFG-0085; MARKET=GS</t>
        </is>
      </c>
      <c r="N885" t="inlineStr">
        <is>
          <t>2026-08-10T19:29:54Z</t>
        </is>
      </c>
      <c r="O885" t="inlineStr">
        <is>
          <t>2026-08-10T19:29:54Z</t>
        </is>
      </c>
    </row>
    <row r="886">
      <c r="A886" s="19" t="inlineStr">
        <is>
          <t>885</t>
        </is>
      </c>
      <c r="B886" s="19" t="inlineStr">
        <is>
          <t>1012967</t>
        </is>
      </c>
      <c r="C886" t="inlineStr">
        <is>
          <t>AKÜ,LB4,DK,80AH,IGYA SMF,SMF 110,GS</t>
        </is>
      </c>
      <c r="D886" s="19" t="inlineStr">
        <is>
          <t>1</t>
        </is>
      </c>
      <c r="E886" t="n">
        <v>0</v>
      </c>
      <c r="I886" s="19" t="inlineStr">
        <is>
          <t>2</t>
        </is>
      </c>
      <c r="J886" t="inlineStr">
        <is>
          <t>2026-08-08</t>
        </is>
      </c>
      <c r="L886" s="19" t="inlineStr">
        <is>
          <t>1012967</t>
        </is>
      </c>
      <c r="M886" t="inlineStr">
        <is>
          <t>STATUS=IN OEM / EU PACKAGE; SOURCE_CFG=IA-ST-CFG-0085; MARKET=GS</t>
        </is>
      </c>
      <c r="N886" t="inlineStr">
        <is>
          <t>2026-08-10T19:29:54Z</t>
        </is>
      </c>
      <c r="O886" t="inlineStr">
        <is>
          <t>2026-08-10T19:29:54Z</t>
        </is>
      </c>
    </row>
    <row r="887">
      <c r="A887" s="19" t="inlineStr">
        <is>
          <t>886</t>
        </is>
      </c>
      <c r="B887" s="19" t="inlineStr">
        <is>
          <t>1012969</t>
        </is>
      </c>
      <c r="C887" t="inlineStr">
        <is>
          <t>AKÜ,LB5,DK,90AH,IGYA SMF,SMF 017,GS</t>
        </is>
      </c>
      <c r="D887" s="19" t="inlineStr">
        <is>
          <t>1</t>
        </is>
      </c>
      <c r="E887" t="n">
        <v>0</v>
      </c>
      <c r="I887" s="19" t="inlineStr">
        <is>
          <t>2</t>
        </is>
      </c>
      <c r="J887" t="inlineStr">
        <is>
          <t>2026-08-08</t>
        </is>
      </c>
      <c r="L887" s="19" t="inlineStr">
        <is>
          <t>1012969</t>
        </is>
      </c>
      <c r="M887" t="inlineStr">
        <is>
          <t>STATUS=IN OEM / EU PACKAGE; SOURCE_CFG=IA-ST-CFG-0068; MARKET=GS</t>
        </is>
      </c>
      <c r="N887" t="inlineStr">
        <is>
          <t>2026-08-10T19:29:54Z</t>
        </is>
      </c>
      <c r="O887" t="inlineStr">
        <is>
          <t>2026-08-10T19:29:54Z</t>
        </is>
      </c>
    </row>
    <row r="888">
      <c r="A888" s="19" t="inlineStr">
        <is>
          <t>887</t>
        </is>
      </c>
      <c r="B888" s="19" t="inlineStr">
        <is>
          <t>1012970</t>
        </is>
      </c>
      <c r="C888" t="inlineStr">
        <is>
          <t>AKÜ,D23,DK,60AH,IGYA SMF,SMF 005,GS</t>
        </is>
      </c>
      <c r="D888" s="19" t="inlineStr">
        <is>
          <t>1</t>
        </is>
      </c>
      <c r="E888" t="n">
        <v>0</v>
      </c>
      <c r="I888" s="19" t="inlineStr">
        <is>
          <t>2</t>
        </is>
      </c>
      <c r="J888" t="inlineStr">
        <is>
          <t>2026-08-08</t>
        </is>
      </c>
      <c r="L888" s="19" t="inlineStr">
        <is>
          <t>1012970</t>
        </is>
      </c>
      <c r="M888" t="inlineStr">
        <is>
          <t>STATUS=IN OEM / EU PACKAGE; SOURCE_CFG=IA-ST-CFG-0188; MARKET=GS</t>
        </is>
      </c>
      <c r="N888" t="inlineStr">
        <is>
          <t>2026-08-10T19:29:54Z</t>
        </is>
      </c>
      <c r="O888" t="inlineStr">
        <is>
          <t>2026-08-10T19:29:54Z</t>
        </is>
      </c>
    </row>
    <row r="889">
      <c r="A889" s="19" t="inlineStr">
        <is>
          <t>888</t>
        </is>
      </c>
      <c r="B889" s="19" t="inlineStr">
        <is>
          <t>1012971</t>
        </is>
      </c>
      <c r="C889" t="inlineStr">
        <is>
          <t>AKÜ,D23,TK,60AH,IGYA SMF,SMF 014,GS</t>
        </is>
      </c>
      <c r="D889" s="19" t="inlineStr">
        <is>
          <t>1</t>
        </is>
      </c>
      <c r="E889" t="n">
        <v>0</v>
      </c>
      <c r="I889" s="19" t="inlineStr">
        <is>
          <t>2</t>
        </is>
      </c>
      <c r="J889" t="inlineStr">
        <is>
          <t>2026-08-08</t>
        </is>
      </c>
      <c r="L889" s="19" t="inlineStr">
        <is>
          <t>1012971</t>
        </is>
      </c>
      <c r="M889" t="inlineStr">
        <is>
          <t>STATUS=IN OEM / EU PACKAGE; SOURCE_CFG=IA-ST-CFG-0188; MARKET=GS</t>
        </is>
      </c>
      <c r="N889" t="inlineStr">
        <is>
          <t>2026-08-10T19:29:54Z</t>
        </is>
      </c>
      <c r="O889" t="inlineStr">
        <is>
          <t>2026-08-10T19:29:54Z</t>
        </is>
      </c>
    </row>
    <row r="890">
      <c r="A890" s="19" t="inlineStr">
        <is>
          <t>889</t>
        </is>
      </c>
      <c r="B890" s="19" t="inlineStr">
        <is>
          <t>1012972</t>
        </is>
      </c>
      <c r="C890" t="inlineStr">
        <is>
          <t>AKÜ,D26,DK,72AH,IGYA SMF,SMF 068,GS</t>
        </is>
      </c>
      <c r="D890" s="19" t="inlineStr">
        <is>
          <t>1</t>
        </is>
      </c>
      <c r="E890" t="n">
        <v>0</v>
      </c>
      <c r="I890" s="19" t="inlineStr">
        <is>
          <t>2</t>
        </is>
      </c>
      <c r="J890" t="inlineStr">
        <is>
          <t>2026-08-08</t>
        </is>
      </c>
      <c r="L890" s="19" t="inlineStr">
        <is>
          <t>1012972</t>
        </is>
      </c>
      <c r="M890" t="inlineStr">
        <is>
          <t>STATUS=IN OEM / EU PACKAGE; SOURCE_CFG=IA-ST-CFG-0160; MARKET=GS</t>
        </is>
      </c>
      <c r="N890" t="inlineStr">
        <is>
          <t>2026-08-10T19:29:54Z</t>
        </is>
      </c>
      <c r="O890" t="inlineStr">
        <is>
          <t>2026-08-10T19:29:54Z</t>
        </is>
      </c>
    </row>
    <row r="891">
      <c r="A891" s="19" t="inlineStr">
        <is>
          <t>890</t>
        </is>
      </c>
      <c r="B891" s="19" t="inlineStr">
        <is>
          <t>1012973</t>
        </is>
      </c>
      <c r="C891" t="inlineStr">
        <is>
          <t>AKÜ,D26,TK,72AH,IGYA SMF,SMF 069,GS</t>
        </is>
      </c>
      <c r="D891" s="19" t="inlineStr">
        <is>
          <t>1</t>
        </is>
      </c>
      <c r="E891" t="n">
        <v>0</v>
      </c>
      <c r="I891" s="19" t="inlineStr">
        <is>
          <t>2</t>
        </is>
      </c>
      <c r="J891" t="inlineStr">
        <is>
          <t>2026-08-08</t>
        </is>
      </c>
      <c r="L891" s="19" t="inlineStr">
        <is>
          <t>1012973</t>
        </is>
      </c>
      <c r="M891" t="inlineStr">
        <is>
          <t>STATUS=IN OEM / EU PACKAGE; SOURCE_CFG=IA-ST-CFG-0160; MARKET=GS</t>
        </is>
      </c>
      <c r="N891" t="inlineStr">
        <is>
          <t>2026-08-10T19:29:54Z</t>
        </is>
      </c>
      <c r="O891" t="inlineStr">
        <is>
          <t>2026-08-10T19:29:54Z</t>
        </is>
      </c>
    </row>
    <row r="892">
      <c r="A892" s="19" t="inlineStr">
        <is>
          <t>891</t>
        </is>
      </c>
      <c r="B892" s="19" t="inlineStr">
        <is>
          <t>1012974</t>
        </is>
      </c>
      <c r="C892" t="inlineStr">
        <is>
          <t>AKÜ,D31,TK,95AH,IGYA SMF,SMF 334,GS</t>
        </is>
      </c>
      <c r="D892" s="19" t="inlineStr">
        <is>
          <t>1</t>
        </is>
      </c>
      <c r="E892" t="n">
        <v>0</v>
      </c>
      <c r="I892" s="19" t="inlineStr">
        <is>
          <t>2</t>
        </is>
      </c>
      <c r="J892" t="inlineStr">
        <is>
          <t>2026-08-08</t>
        </is>
      </c>
      <c r="L892" s="19" t="inlineStr">
        <is>
          <t>1012974</t>
        </is>
      </c>
      <c r="M892" t="inlineStr">
        <is>
          <t>STATUS=IN OEM / EU PACKAGE; SOURCE_CFG=IA-ST-CFG-0111; MARKET=GS</t>
        </is>
      </c>
      <c r="N892" t="inlineStr">
        <is>
          <t>2026-08-10T19:29:54Z</t>
        </is>
      </c>
      <c r="O892" t="inlineStr">
        <is>
          <t>2026-08-10T19:29:54Z</t>
        </is>
      </c>
    </row>
    <row r="893">
      <c r="A893" s="19" t="inlineStr">
        <is>
          <t>892</t>
        </is>
      </c>
      <c r="B893" s="19" t="inlineStr">
        <is>
          <t>1012975</t>
        </is>
      </c>
      <c r="C893" t="inlineStr">
        <is>
          <t>AKÜ,D31,DK,95AH,IGYA SMF,SMF 335,GS</t>
        </is>
      </c>
      <c r="D893" s="19" t="inlineStr">
        <is>
          <t>1</t>
        </is>
      </c>
      <c r="E893" t="n">
        <v>0</v>
      </c>
      <c r="I893" s="19" t="inlineStr">
        <is>
          <t>2</t>
        </is>
      </c>
      <c r="J893" t="inlineStr">
        <is>
          <t>2026-08-08</t>
        </is>
      </c>
      <c r="L893" s="19" t="inlineStr">
        <is>
          <t>1012975</t>
        </is>
      </c>
      <c r="M893" t="inlineStr">
        <is>
          <t>STATUS=IN OEM / EU PACKAGE; SOURCE_CFG=IA-ST-CFG-0111; MARKET=GS</t>
        </is>
      </c>
      <c r="N893" t="inlineStr">
        <is>
          <t>2026-08-10T19:29:54Z</t>
        </is>
      </c>
      <c r="O893" t="inlineStr">
        <is>
          <t>2026-08-10T19:29:54Z</t>
        </is>
      </c>
    </row>
    <row r="894">
      <c r="A894" s="19" t="inlineStr">
        <is>
          <t>893</t>
        </is>
      </c>
      <c r="B894" s="19" t="inlineStr">
        <is>
          <t>1012976</t>
        </is>
      </c>
      <c r="C894" t="inlineStr">
        <is>
          <t>AKÜ,D31,DK,105AH,IGYA,İNCİFORM,YANMAROEM</t>
        </is>
      </c>
      <c r="D894" s="19" t="inlineStr">
        <is>
          <t>1</t>
        </is>
      </c>
      <c r="E894" t="n">
        <v>0</v>
      </c>
      <c r="I894" s="19" t="inlineStr">
        <is>
          <t>2</t>
        </is>
      </c>
      <c r="J894" t="inlineStr">
        <is>
          <t>2026-08-08</t>
        </is>
      </c>
      <c r="L894" s="19" t="inlineStr">
        <is>
          <t>1012976</t>
        </is>
      </c>
      <c r="M894" t="inlineStr">
        <is>
          <t>STATUS=IN OEM / EU PACKAGE; SOURCE_CFG=IA-ST-CFG-0145; MARKET=YANMAR OEM (SOLİS) (Yurt İçi)</t>
        </is>
      </c>
      <c r="N894" t="inlineStr">
        <is>
          <t>2026-08-10T19:29:54Z</t>
        </is>
      </c>
      <c r="O894" t="inlineStr">
        <is>
          <t>2026-08-10T19:29:54Z</t>
        </is>
      </c>
    </row>
    <row r="895">
      <c r="A895" s="19" t="inlineStr">
        <is>
          <t>894</t>
        </is>
      </c>
      <c r="B895" s="19" t="inlineStr">
        <is>
          <t>1012977</t>
        </is>
      </c>
      <c r="C895" t="inlineStr">
        <is>
          <t>AKÜ,D23,TK,60AH,IGYA,İNCİFORM,YANMAR OEM</t>
        </is>
      </c>
      <c r="D895" s="19" t="inlineStr">
        <is>
          <t>1</t>
        </is>
      </c>
      <c r="E895" t="n">
        <v>0</v>
      </c>
      <c r="I895" s="19" t="inlineStr">
        <is>
          <t>2</t>
        </is>
      </c>
      <c r="J895" t="inlineStr">
        <is>
          <t>2026-08-08</t>
        </is>
      </c>
      <c r="L895" s="19" t="inlineStr">
        <is>
          <t>1012977</t>
        </is>
      </c>
      <c r="M895" t="inlineStr">
        <is>
          <t>STATUS=IN OEM / EU PACKAGE; SOURCE_CFG=IA-ST-CFG-0224; MARKET=YANMAR OEM (SOLİS) (Yurt İçi)</t>
        </is>
      </c>
      <c r="N895" t="inlineStr">
        <is>
          <t>2026-08-10T19:29:54Z</t>
        </is>
      </c>
      <c r="O895" t="inlineStr">
        <is>
          <t>2026-08-10T19:29:54Z</t>
        </is>
      </c>
    </row>
    <row r="896">
      <c r="A896" s="19" t="inlineStr">
        <is>
          <t>895</t>
        </is>
      </c>
      <c r="B896" s="19" t="inlineStr">
        <is>
          <t>1012984</t>
        </is>
      </c>
      <c r="C896" t="inlineStr">
        <is>
          <t>AKÜ,L2,DK,60AH,GSY SMF,FCA EFB,50569189</t>
        </is>
      </c>
      <c r="D896" s="19" t="inlineStr">
        <is>
          <t>1</t>
        </is>
      </c>
      <c r="E896" t="n">
        <v>0</v>
      </c>
      <c r="I896" s="19" t="inlineStr">
        <is>
          <t>2</t>
        </is>
      </c>
      <c r="J896" t="inlineStr">
        <is>
          <t>2026-08-08</t>
        </is>
      </c>
      <c r="L896" s="19" t="inlineStr">
        <is>
          <t>1012984</t>
        </is>
      </c>
      <c r="M896" t="inlineStr">
        <is>
          <t>STATUS=IN OEM / EU PACKAGE; SOURCE_CFG=IA-ST-CFG-0162; MARKET=TOFAŞ (Yurt Dışı)</t>
        </is>
      </c>
      <c r="N896" t="inlineStr">
        <is>
          <t>2026-08-10T19:29:54Z</t>
        </is>
      </c>
      <c r="O896" t="inlineStr">
        <is>
          <t>2026-08-10T19:29:54Z</t>
        </is>
      </c>
    </row>
    <row r="897">
      <c r="A897" s="19" t="inlineStr">
        <is>
          <t>896</t>
        </is>
      </c>
      <c r="B897" s="19" t="inlineStr">
        <is>
          <t>1012985</t>
        </is>
      </c>
      <c r="C897" t="inlineStr">
        <is>
          <t>AKÜ,L3,DK,70AH,GSY SMF,FCA EFB,50569187</t>
        </is>
      </c>
      <c r="D897" s="19" t="inlineStr">
        <is>
          <t>1</t>
        </is>
      </c>
      <c r="E897" t="n">
        <v>0</v>
      </c>
      <c r="I897" s="19" t="inlineStr">
        <is>
          <t>2</t>
        </is>
      </c>
      <c r="J897" t="inlineStr">
        <is>
          <t>2026-08-08</t>
        </is>
      </c>
      <c r="L897" s="19" t="inlineStr">
        <is>
          <t>1012985</t>
        </is>
      </c>
      <c r="M897" t="inlineStr">
        <is>
          <t>STATUS=IN OEM / EU PACKAGE; SOURCE_CFG=IA-ST-CFG-0132; MARKET=TOFAŞ (Yurt Dışı)</t>
        </is>
      </c>
      <c r="N897" t="inlineStr">
        <is>
          <t>2026-08-10T19:29:54Z</t>
        </is>
      </c>
      <c r="O897" t="inlineStr">
        <is>
          <t>2026-08-10T19:29:54Z</t>
        </is>
      </c>
    </row>
    <row r="898">
      <c r="A898" s="19" t="inlineStr">
        <is>
          <t>897</t>
        </is>
      </c>
      <c r="B898" s="19" t="inlineStr">
        <is>
          <t>1012986</t>
        </is>
      </c>
      <c r="C898" t="inlineStr">
        <is>
          <t>AKÜ,L5,DK,102AH,IGYA SMF,BOOSTER CARBON</t>
        </is>
      </c>
      <c r="D898" s="19" t="inlineStr">
        <is>
          <t>1</t>
        </is>
      </c>
      <c r="E898" t="n">
        <v>0</v>
      </c>
      <c r="I898" s="19" t="inlineStr">
        <is>
          <t>2</t>
        </is>
      </c>
      <c r="J898" t="inlineStr">
        <is>
          <t>2026-08-08</t>
        </is>
      </c>
      <c r="L898" s="19" t="inlineStr">
        <is>
          <t>1012986</t>
        </is>
      </c>
      <c r="M898" t="inlineStr">
        <is>
          <t>STATUS=IN OEM / EU PACKAGE; SOURCE_CFG=IA-ST-CFG-0116; MARKET=BOOSTER</t>
        </is>
      </c>
      <c r="N898" t="inlineStr">
        <is>
          <t>2026-08-10T19:29:54Z</t>
        </is>
      </c>
      <c r="O898" t="inlineStr">
        <is>
          <t>2026-08-10T19:29:54Z</t>
        </is>
      </c>
    </row>
    <row r="899">
      <c r="A899" s="19" t="inlineStr">
        <is>
          <t>898</t>
        </is>
      </c>
      <c r="B899" s="19" t="inlineStr">
        <is>
          <t>1012987</t>
        </is>
      </c>
      <c r="C899" t="inlineStr">
        <is>
          <t>AKÜ,D31,DK,100AH,IGYA SMF,BOOSTER CARBON</t>
        </is>
      </c>
      <c r="D899" s="19" t="inlineStr">
        <is>
          <t>1</t>
        </is>
      </c>
      <c r="E899" t="n">
        <v>0</v>
      </c>
      <c r="I899" s="19" t="inlineStr">
        <is>
          <t>2</t>
        </is>
      </c>
      <c r="J899" t="inlineStr">
        <is>
          <t>2026-08-08</t>
        </is>
      </c>
      <c r="L899" s="19" t="inlineStr">
        <is>
          <t>1012987</t>
        </is>
      </c>
      <c r="M899" t="inlineStr">
        <is>
          <t>STATUS=IN OEM / EU PACKAGE; SOURCE_CFG=IA-ST-CFG-0115; MARKET=BOOSTER</t>
        </is>
      </c>
      <c r="N899" t="inlineStr">
        <is>
          <t>2026-08-10T19:29:54Z</t>
        </is>
      </c>
      <c r="O899" t="inlineStr">
        <is>
          <t>2026-08-10T19:29:54Z</t>
        </is>
      </c>
    </row>
    <row r="900">
      <c r="A900" s="19" t="inlineStr">
        <is>
          <t>899</t>
        </is>
      </c>
      <c r="B900" s="19" t="inlineStr">
        <is>
          <t>1012988</t>
        </is>
      </c>
      <c r="C900" t="inlineStr">
        <is>
          <t>AKÜ,D31,TK,100AH,IGYA SMF,BOOSTER CARBON</t>
        </is>
      </c>
      <c r="D900" s="19" t="inlineStr">
        <is>
          <t>1</t>
        </is>
      </c>
      <c r="E900" t="n">
        <v>0</v>
      </c>
      <c r="I900" s="19" t="inlineStr">
        <is>
          <t>2</t>
        </is>
      </c>
      <c r="J900" t="inlineStr">
        <is>
          <t>2026-08-08</t>
        </is>
      </c>
      <c r="L900" s="19" t="inlineStr">
        <is>
          <t>1012988</t>
        </is>
      </c>
      <c r="M900" t="inlineStr">
        <is>
          <t>STATUS=IN OEM / EU PACKAGE; SOURCE_CFG=IA-ST-CFG-0115; MARKET=BOOSTER</t>
        </is>
      </c>
      <c r="N900" t="inlineStr">
        <is>
          <t>2026-08-10T19:29:54Z</t>
        </is>
      </c>
      <c r="O900" t="inlineStr">
        <is>
          <t>2026-08-10T19:29:54Z</t>
        </is>
      </c>
    </row>
    <row r="901">
      <c r="A901" s="19" t="inlineStr">
        <is>
          <t>900</t>
        </is>
      </c>
      <c r="B901" s="19" t="inlineStr">
        <is>
          <t>1013000</t>
        </is>
      </c>
      <c r="C901" t="inlineStr">
        <is>
          <t>AKÜ,D31,DK,90AH,IGYA SMF,HUGEL ULTRA</t>
        </is>
      </c>
      <c r="D901" s="19" t="inlineStr">
        <is>
          <t>1</t>
        </is>
      </c>
      <c r="E901" t="n">
        <v>0</v>
      </c>
      <c r="I901" s="19" t="inlineStr">
        <is>
          <t>2</t>
        </is>
      </c>
      <c r="J901" t="inlineStr">
        <is>
          <t>2026-08-08</t>
        </is>
      </c>
      <c r="L901" s="19" t="inlineStr">
        <is>
          <t>1013000</t>
        </is>
      </c>
      <c r="M901" t="inlineStr">
        <is>
          <t>STATUS=IN OEM / EU PACKAGE; SOURCE_CFG=IA-ST-CFG-0143; MARKET=None</t>
        </is>
      </c>
      <c r="N901" t="inlineStr">
        <is>
          <t>2026-08-10T19:29:54Z</t>
        </is>
      </c>
      <c r="O901" t="inlineStr">
        <is>
          <t>2026-08-10T19:29:54Z</t>
        </is>
      </c>
    </row>
    <row r="902">
      <c r="A902" s="19" t="inlineStr">
        <is>
          <t>901</t>
        </is>
      </c>
      <c r="B902" s="19" t="inlineStr">
        <is>
          <t>1013007</t>
        </is>
      </c>
      <c r="C902" t="inlineStr">
        <is>
          <t>AKÜ,NS60,DK,50AH,IGYSMF,İNCEKB,ENERGYMAX</t>
        </is>
      </c>
      <c r="D902" s="19" t="inlineStr">
        <is>
          <t>1</t>
        </is>
      </c>
      <c r="E902" t="n">
        <v>0</v>
      </c>
      <c r="I902" s="19" t="inlineStr">
        <is>
          <t>2</t>
        </is>
      </c>
      <c r="J902" t="inlineStr">
        <is>
          <t>2026-08-08</t>
        </is>
      </c>
      <c r="L902" s="19" t="inlineStr">
        <is>
          <t>1013007</t>
        </is>
      </c>
      <c r="M902" t="inlineStr">
        <is>
          <t>STATUS=IN OEM / EU PACKAGE; SOURCE_CFG=IA-ST-CFG-0272; MARKET=None</t>
        </is>
      </c>
      <c r="N902" t="inlineStr">
        <is>
          <t>2026-08-10T19:29:54Z</t>
        </is>
      </c>
      <c r="O902" t="inlineStr">
        <is>
          <t>2026-08-10T19:29:54Z</t>
        </is>
      </c>
    </row>
    <row r="903">
      <c r="A903" s="19" t="inlineStr">
        <is>
          <t>902</t>
        </is>
      </c>
      <c r="B903" s="19" t="inlineStr">
        <is>
          <t>1013040</t>
        </is>
      </c>
      <c r="C903" t="inlineStr">
        <is>
          <t>AKÜ,L3,DK,75AH,IGYA SMF,İNCİ FORM TAURUS</t>
        </is>
      </c>
      <c r="D903" s="19" t="inlineStr">
        <is>
          <t>1</t>
        </is>
      </c>
      <c r="E903" t="n">
        <v>0</v>
      </c>
      <c r="I903" s="19" t="inlineStr">
        <is>
          <t>2</t>
        </is>
      </c>
      <c r="J903" t="inlineStr">
        <is>
          <t>2026-08-08</t>
        </is>
      </c>
      <c r="L903" s="19" t="inlineStr">
        <is>
          <t>1013040</t>
        </is>
      </c>
      <c r="M903" t="inlineStr">
        <is>
          <t>STATUS=IN OEM / EU PACKAGE; SOURCE_CFG=IA-ST-CFG-0179; MARKET=None</t>
        </is>
      </c>
      <c r="N903" t="inlineStr">
        <is>
          <t>2026-08-10T19:29:54Z</t>
        </is>
      </c>
      <c r="O903" t="inlineStr">
        <is>
          <t>2026-08-10T19:29:54Z</t>
        </is>
      </c>
    </row>
    <row r="904">
      <c r="A904" s="19" t="inlineStr">
        <is>
          <t>903</t>
        </is>
      </c>
      <c r="B904" s="19" t="inlineStr">
        <is>
          <t>1013043</t>
        </is>
      </c>
      <c r="C904" t="inlineStr">
        <is>
          <t>AKÜ,L1,DK,54AH,IGYA,NONAME,GYEUR5012-054</t>
        </is>
      </c>
      <c r="D904" s="19" t="inlineStr">
        <is>
          <t>1</t>
        </is>
      </c>
      <c r="E904" t="n">
        <v>0</v>
      </c>
      <c r="I904" s="19" t="inlineStr">
        <is>
          <t>2</t>
        </is>
      </c>
      <c r="J904" t="inlineStr">
        <is>
          <t>2026-08-08</t>
        </is>
      </c>
      <c r="L904" s="19" t="inlineStr">
        <is>
          <t>1013043</t>
        </is>
      </c>
      <c r="M904" t="inlineStr">
        <is>
          <t>STATUS=IN OEM / EU PACKAGE; SOURCE_CFG=IA-ST-CFG-0209; MARKET=GY EUR</t>
        </is>
      </c>
      <c r="N904" t="inlineStr">
        <is>
          <t>2026-08-10T19:29:54Z</t>
        </is>
      </c>
      <c r="O904" t="inlineStr">
        <is>
          <t>2026-08-10T19:29:54Z</t>
        </is>
      </c>
    </row>
    <row r="905">
      <c r="A905" s="19" t="inlineStr">
        <is>
          <t>904</t>
        </is>
      </c>
      <c r="B905" s="19" t="inlineStr">
        <is>
          <t>1013045</t>
        </is>
      </c>
      <c r="C905" t="inlineStr">
        <is>
          <t>AKÜ,LB4,DK85AH,IGYA,NONAME,GYEUR5110-085</t>
        </is>
      </c>
      <c r="D905" s="19" t="inlineStr">
        <is>
          <t>1</t>
        </is>
      </c>
      <c r="E905" t="n">
        <v>0</v>
      </c>
      <c r="I905" s="19" t="inlineStr">
        <is>
          <t>2</t>
        </is>
      </c>
      <c r="J905" t="inlineStr">
        <is>
          <t>2026-08-08</t>
        </is>
      </c>
      <c r="L905" s="19" t="inlineStr">
        <is>
          <t>1013045</t>
        </is>
      </c>
      <c r="M905" t="inlineStr">
        <is>
          <t>STATUS=IN OEM / EU PACKAGE; SOURCE_CFG=IA-ST-CFG-0085; MARKET=GY EUR</t>
        </is>
      </c>
      <c r="N905" t="inlineStr">
        <is>
          <t>2026-08-10T19:29:54Z</t>
        </is>
      </c>
      <c r="O905" t="inlineStr">
        <is>
          <t>2026-08-10T19:29:54Z</t>
        </is>
      </c>
    </row>
    <row r="906">
      <c r="A906" s="19" t="inlineStr">
        <is>
          <t>905</t>
        </is>
      </c>
      <c r="B906" s="19" t="inlineStr">
        <is>
          <t>1013050</t>
        </is>
      </c>
      <c r="C906" t="inlineStr">
        <is>
          <t>AKÜ,D26,TK,60AH,IGYA SMF,HUGEL ULTRA</t>
        </is>
      </c>
      <c r="D906" s="19" t="inlineStr">
        <is>
          <t>1</t>
        </is>
      </c>
      <c r="E906" t="n">
        <v>0</v>
      </c>
      <c r="I906" s="19" t="inlineStr">
        <is>
          <t>2</t>
        </is>
      </c>
      <c r="J906" t="inlineStr">
        <is>
          <t>2026-08-08</t>
        </is>
      </c>
      <c r="L906" s="19" t="inlineStr">
        <is>
          <t>1013050</t>
        </is>
      </c>
      <c r="M906" t="inlineStr">
        <is>
          <t>STATUS=IN OEM / EU PACKAGE; SOURCE_CFG=IA-ST-CFG-0175; MARKET=None</t>
        </is>
      </c>
      <c r="N906" t="inlineStr">
        <is>
          <t>2026-08-10T19:29:54Z</t>
        </is>
      </c>
      <c r="O906" t="inlineStr">
        <is>
          <t>2026-08-10T19:29:54Z</t>
        </is>
      </c>
    </row>
    <row r="907">
      <c r="A907" s="19" t="inlineStr">
        <is>
          <t>906</t>
        </is>
      </c>
      <c r="B907" s="19" t="inlineStr">
        <is>
          <t>1013055</t>
        </is>
      </c>
      <c r="C907" t="inlineStr">
        <is>
          <t>AKÜ,TRACTORL,DK,115AH,BLIZZTRENDL,JANENE</t>
        </is>
      </c>
      <c r="D907" s="19" t="inlineStr">
        <is>
          <t>1</t>
        </is>
      </c>
      <c r="E907" t="n">
        <v>0</v>
      </c>
      <c r="I907" s="19" t="inlineStr">
        <is>
          <t>2</t>
        </is>
      </c>
      <c r="J907" t="inlineStr">
        <is>
          <t>2026-08-08</t>
        </is>
      </c>
      <c r="L907" s="19" t="inlineStr">
        <is>
          <t>1013055</t>
        </is>
      </c>
      <c r="M907" t="inlineStr">
        <is>
          <t>STATUS=IN OEM / EU PACKAGE; SOURCE_CFG=IA-ST-CFG-0093; MARKET=JANENE İSRAİL</t>
        </is>
      </c>
      <c r="N907" t="inlineStr">
        <is>
          <t>2026-08-10T19:29:54Z</t>
        </is>
      </c>
      <c r="O907" t="inlineStr">
        <is>
          <t>2026-08-10T19:29:54Z</t>
        </is>
      </c>
    </row>
    <row r="908">
      <c r="A908" s="19" t="inlineStr">
        <is>
          <t>907</t>
        </is>
      </c>
      <c r="B908" s="19" t="inlineStr">
        <is>
          <t>1013056</t>
        </is>
      </c>
      <c r="C908" t="inlineStr">
        <is>
          <t>AKÜ,L1,DK,50AH,IGYA SMF,HUGEL ULTRA</t>
        </is>
      </c>
      <c r="D908" s="19" t="inlineStr">
        <is>
          <t>1</t>
        </is>
      </c>
      <c r="E908" t="n">
        <v>0</v>
      </c>
      <c r="I908" s="19" t="inlineStr">
        <is>
          <t>2</t>
        </is>
      </c>
      <c r="J908" t="inlineStr">
        <is>
          <t>2026-08-08</t>
        </is>
      </c>
      <c r="L908" s="19" t="inlineStr">
        <is>
          <t>1013056</t>
        </is>
      </c>
      <c r="M908" t="inlineStr">
        <is>
          <t>STATUS=IN OEM / EU PACKAGE; SOURCE_CFG=IA-ST-CFG-0248; MARKET=None</t>
        </is>
      </c>
      <c r="N908" t="inlineStr">
        <is>
          <t>2026-08-10T19:29:54Z</t>
        </is>
      </c>
      <c r="O908" t="inlineStr">
        <is>
          <t>2026-08-10T19:29:54Z</t>
        </is>
      </c>
    </row>
    <row r="909">
      <c r="A909" s="19" t="inlineStr">
        <is>
          <t>908</t>
        </is>
      </c>
      <c r="B909" s="19" t="inlineStr">
        <is>
          <t>1013058</t>
        </is>
      </c>
      <c r="C909" t="inlineStr">
        <is>
          <t>AKÜ,NS60,TK,45AH,IGYA SMF,HUGEL ULTRA</t>
        </is>
      </c>
      <c r="D909" s="19" t="inlineStr">
        <is>
          <t>1</t>
        </is>
      </c>
      <c r="E909" t="n">
        <v>0</v>
      </c>
      <c r="I909" s="19" t="inlineStr">
        <is>
          <t>2</t>
        </is>
      </c>
      <c r="J909" t="inlineStr">
        <is>
          <t>2026-08-08</t>
        </is>
      </c>
      <c r="L909" s="19" t="inlineStr">
        <is>
          <t>1013058</t>
        </is>
      </c>
      <c r="M909" t="inlineStr">
        <is>
          <t>STATUS=IN OEM / EU PACKAGE; SOURCE_CFG=IA-ST-CFG-0272; MARKET=None</t>
        </is>
      </c>
      <c r="N909" t="inlineStr">
        <is>
          <t>2026-08-10T19:29:54Z</t>
        </is>
      </c>
      <c r="O909" t="inlineStr">
        <is>
          <t>2026-08-10T19:29:54Z</t>
        </is>
      </c>
    </row>
    <row r="910">
      <c r="A910" s="19" t="inlineStr">
        <is>
          <t>909</t>
        </is>
      </c>
      <c r="B910" s="19" t="inlineStr">
        <is>
          <t>1013059</t>
        </is>
      </c>
      <c r="C910" t="inlineStr">
        <is>
          <t>AKÜ,L1,DK,46AH,IGYSMF,İNCİFORM,EEC MISIR</t>
        </is>
      </c>
      <c r="D910" s="19" t="inlineStr">
        <is>
          <t>1</t>
        </is>
      </c>
      <c r="E910" t="n">
        <v>0</v>
      </c>
      <c r="I910" s="19" t="inlineStr">
        <is>
          <t>2</t>
        </is>
      </c>
      <c r="J910" t="inlineStr">
        <is>
          <t>2026-08-08</t>
        </is>
      </c>
      <c r="L910" s="19" t="inlineStr">
        <is>
          <t>1013059</t>
        </is>
      </c>
      <c r="M910" t="inlineStr">
        <is>
          <t>STATUS=IN OEM / EU PACKAGE; SOURCE_CFG=IA-ST-CFG-0248; MARKET=MISIR EEC</t>
        </is>
      </c>
      <c r="N910" t="inlineStr">
        <is>
          <t>2026-08-10T19:29:54Z</t>
        </is>
      </c>
      <c r="O910" t="inlineStr">
        <is>
          <t>2026-08-10T19:29:54Z</t>
        </is>
      </c>
    </row>
    <row r="911">
      <c r="A911" s="19" t="inlineStr">
        <is>
          <t>910</t>
        </is>
      </c>
      <c r="B911" s="19" t="inlineStr">
        <is>
          <t>1013067</t>
        </is>
      </c>
      <c r="C911" t="inlineStr">
        <is>
          <t>AKÜ,C-IGYASMF,DK225AH,İNCİFORMTAU,SHDNEW</t>
        </is>
      </c>
      <c r="D911" s="19" t="inlineStr">
        <is>
          <t>1</t>
        </is>
      </c>
      <c r="E911" t="n">
        <v>0</v>
      </c>
      <c r="I911" s="19" t="inlineStr">
        <is>
          <t>2</t>
        </is>
      </c>
      <c r="J911" t="inlineStr">
        <is>
          <t>2026-08-08</t>
        </is>
      </c>
      <c r="L911" s="19" t="inlineStr">
        <is>
          <t>1013067</t>
        </is>
      </c>
      <c r="M911" t="inlineStr">
        <is>
          <t>STATUS=IN OEM / EU PACKAGE; SOURCE_CFG=IA-ST-CFG-0014; MARKET=None</t>
        </is>
      </c>
      <c r="N911" t="inlineStr">
        <is>
          <t>2026-08-10T19:29:54Z</t>
        </is>
      </c>
      <c r="O911" t="inlineStr">
        <is>
          <t>2026-08-10T19:29:54Z</t>
        </is>
      </c>
    </row>
    <row r="912">
      <c r="A912" s="19" t="inlineStr">
        <is>
          <t>911</t>
        </is>
      </c>
      <c r="B912" s="19" t="inlineStr">
        <is>
          <t>1013071</t>
        </is>
      </c>
      <c r="C912" t="inlineStr">
        <is>
          <t>AKÜ,B-IGYASMF,DK185AH,İNCİEFBPANTERAEURO</t>
        </is>
      </c>
      <c r="D912" s="19" t="inlineStr">
        <is>
          <t>1</t>
        </is>
      </c>
      <c r="E912" t="n">
        <v>0</v>
      </c>
      <c r="I912" s="19" t="inlineStr">
        <is>
          <t>2</t>
        </is>
      </c>
      <c r="J912" t="inlineStr">
        <is>
          <t>2026-08-08</t>
        </is>
      </c>
      <c r="L912" s="19" t="inlineStr">
        <is>
          <t>1013071</t>
        </is>
      </c>
      <c r="M912" t="inlineStr">
        <is>
          <t>STATUS=IN OEM / EU PACKAGE; SOURCE_CFG=IA-ST-CFG-0029; MARKET=None</t>
        </is>
      </c>
      <c r="N912" t="inlineStr">
        <is>
          <t>2026-08-10T19:29:54Z</t>
        </is>
      </c>
      <c r="O912" t="inlineStr">
        <is>
          <t>2026-08-10T19:29:54Z</t>
        </is>
      </c>
    </row>
    <row r="913">
      <c r="A913" s="19" t="inlineStr">
        <is>
          <t>912</t>
        </is>
      </c>
      <c r="B913" s="19" t="inlineStr">
        <is>
          <t>1013075</t>
        </is>
      </c>
      <c r="C913" t="inlineStr">
        <is>
          <t>AKÜ,L5,DK,90AH,IGYA SMF,BLIZZARO EFB S&amp;S</t>
        </is>
      </c>
      <c r="D913" s="19" t="inlineStr">
        <is>
          <t>1</t>
        </is>
      </c>
      <c r="E913" t="n">
        <v>0</v>
      </c>
      <c r="I913" s="19" t="inlineStr">
        <is>
          <t>2</t>
        </is>
      </c>
      <c r="J913" t="inlineStr">
        <is>
          <t>2026-08-08</t>
        </is>
      </c>
      <c r="L913" s="19" t="inlineStr">
        <is>
          <t>1013075</t>
        </is>
      </c>
      <c r="M913" t="inlineStr">
        <is>
          <t>STATUS=IN OEM / EU PACKAGE; SOURCE_CFG=IA-ST-CFG-0096; MARKET=None</t>
        </is>
      </c>
      <c r="N913" t="inlineStr">
        <is>
          <t>2026-08-10T19:29:54Z</t>
        </is>
      </c>
      <c r="O913" t="inlineStr">
        <is>
          <t>2026-08-10T19:29:54Z</t>
        </is>
      </c>
    </row>
    <row r="914">
      <c r="A914" s="19" t="inlineStr">
        <is>
          <t>913</t>
        </is>
      </c>
      <c r="B914" s="19" t="inlineStr">
        <is>
          <t>1013076</t>
        </is>
      </c>
      <c r="C914" t="inlineStr">
        <is>
          <t>AKÜ,L1,DK,50AH,IGYA,İNCİFORMTAUR,SHAWKAT</t>
        </is>
      </c>
      <c r="D914" s="19" t="inlineStr">
        <is>
          <t>1</t>
        </is>
      </c>
      <c r="E914" t="n">
        <v>0</v>
      </c>
      <c r="I914" s="19" t="inlineStr">
        <is>
          <t>2</t>
        </is>
      </c>
      <c r="J914" t="inlineStr">
        <is>
          <t>2026-08-08</t>
        </is>
      </c>
      <c r="L914" s="19" t="inlineStr">
        <is>
          <t>1013076</t>
        </is>
      </c>
      <c r="M914" t="inlineStr">
        <is>
          <t>STATUS=IN OEM / EU PACKAGE; SOURCE_CFG=IA-ST-CFG-0248; MARKET=SHAWKAT</t>
        </is>
      </c>
      <c r="N914" t="inlineStr">
        <is>
          <t>2026-08-10T19:29:54Z</t>
        </is>
      </c>
      <c r="O914" t="inlineStr">
        <is>
          <t>2026-08-10T19:29:54Z</t>
        </is>
      </c>
    </row>
    <row r="915">
      <c r="A915" s="19" t="inlineStr">
        <is>
          <t>914</t>
        </is>
      </c>
      <c r="B915" s="19" t="inlineStr">
        <is>
          <t>1013077</t>
        </is>
      </c>
      <c r="C915" t="inlineStr">
        <is>
          <t>AKÜ,L2,DK,62AH,IGYA,HUGEL ULTRA,SHAWKAT</t>
        </is>
      </c>
      <c r="D915" s="19" t="inlineStr">
        <is>
          <t>1</t>
        </is>
      </c>
      <c r="E915" t="n">
        <v>0</v>
      </c>
      <c r="I915" s="19" t="inlineStr">
        <is>
          <t>2</t>
        </is>
      </c>
      <c r="J915" t="inlineStr">
        <is>
          <t>2026-08-08</t>
        </is>
      </c>
      <c r="L915" s="19" t="inlineStr">
        <is>
          <t>1013077</t>
        </is>
      </c>
      <c r="M915" t="inlineStr">
        <is>
          <t>STATUS=IN OEM / EU PACKAGE; SOURCE_CFG=IA-ST-CFG-0222; MARKET=SHAWKAT</t>
        </is>
      </c>
      <c r="N915" t="inlineStr">
        <is>
          <t>2026-08-10T19:29:54Z</t>
        </is>
      </c>
      <c r="O915" t="inlineStr">
        <is>
          <t>2026-08-10T19:29:54Z</t>
        </is>
      </c>
    </row>
    <row r="916">
      <c r="A916" s="19" t="inlineStr">
        <is>
          <t>915</t>
        </is>
      </c>
      <c r="B916" s="19" t="inlineStr">
        <is>
          <t>1013079</t>
        </is>
      </c>
      <c r="C916" t="inlineStr">
        <is>
          <t>AKÜ,D26,DK,62AH,IGYA,BLIZSILVERL,SHAWKAT</t>
        </is>
      </c>
      <c r="D916" s="19" t="inlineStr">
        <is>
          <t>1</t>
        </is>
      </c>
      <c r="E916" t="n">
        <v>0</v>
      </c>
      <c r="I916" s="19" t="inlineStr">
        <is>
          <t>2</t>
        </is>
      </c>
      <c r="J916" t="inlineStr">
        <is>
          <t>2026-08-08</t>
        </is>
      </c>
      <c r="L916" s="19" t="inlineStr">
        <is>
          <t>1013079</t>
        </is>
      </c>
      <c r="M916" t="inlineStr">
        <is>
          <t>STATUS=IN OEM / EU PACKAGE; SOURCE_CFG=IA-ST-CFG-0175; MARKET=SHAWKAT</t>
        </is>
      </c>
      <c r="N916" t="inlineStr">
        <is>
          <t>2026-08-10T19:29:54Z</t>
        </is>
      </c>
      <c r="O916" t="inlineStr">
        <is>
          <t>2026-08-10T19:29:54Z</t>
        </is>
      </c>
    </row>
    <row r="917">
      <c r="A917" s="19" t="inlineStr">
        <is>
          <t>916</t>
        </is>
      </c>
      <c r="B917" s="19" t="inlineStr">
        <is>
          <t>1013081</t>
        </is>
      </c>
      <c r="C917" t="inlineStr">
        <is>
          <t>AKÜ,D31,DK,90AH,IGYA,İNCİTAURUS,TEMSA YP</t>
        </is>
      </c>
      <c r="D917" s="19" t="inlineStr">
        <is>
          <t>1</t>
        </is>
      </c>
      <c r="E917" t="n">
        <v>0</v>
      </c>
      <c r="I917" s="19" t="inlineStr">
        <is>
          <t>2</t>
        </is>
      </c>
      <c r="J917" t="inlineStr">
        <is>
          <t>2026-08-08</t>
        </is>
      </c>
      <c r="L917" s="19" t="inlineStr">
        <is>
          <t>1013081</t>
        </is>
      </c>
      <c r="M917" t="inlineStr">
        <is>
          <t>STATUS=IN OEM / EU PACKAGE; SOURCE_CFG=IA-ST-CFG-0145; MARKET=TEMSA (Yurt İçi)</t>
        </is>
      </c>
      <c r="N917" t="inlineStr">
        <is>
          <t>2026-08-10T19:29:54Z</t>
        </is>
      </c>
      <c r="O917" t="inlineStr">
        <is>
          <t>2026-08-10T19:29:54Z</t>
        </is>
      </c>
    </row>
    <row r="918">
      <c r="A918" s="19" t="inlineStr">
        <is>
          <t>917</t>
        </is>
      </c>
      <c r="B918" s="19" t="inlineStr">
        <is>
          <t>1013083</t>
        </is>
      </c>
      <c r="C918" t="inlineStr">
        <is>
          <t>AKÜ,L2,DK,60AH,GSYSMF,FIATEFB,TR52216091</t>
        </is>
      </c>
      <c r="D918" s="19" t="inlineStr">
        <is>
          <t>1</t>
        </is>
      </c>
      <c r="E918" t="n">
        <v>0</v>
      </c>
      <c r="I918" s="19" t="inlineStr">
        <is>
          <t>2</t>
        </is>
      </c>
      <c r="J918" t="inlineStr">
        <is>
          <t>2026-08-08</t>
        </is>
      </c>
      <c r="L918" s="19" t="inlineStr">
        <is>
          <t>1013083</t>
        </is>
      </c>
      <c r="M918" t="inlineStr">
        <is>
          <t>STATUS=DOMESTIC-ONLY / NOT IN OEM PACKAGE; SOURCE_CFG=IA-ST-CFG-0019; MARKET=TOFAŞ (Yurt İçi)</t>
        </is>
      </c>
      <c r="N918" t="inlineStr">
        <is>
          <t>2026-08-10T19:29:54Z</t>
        </is>
      </c>
      <c r="O918" t="inlineStr">
        <is>
          <t>2026-08-10T19:29:54Z</t>
        </is>
      </c>
    </row>
    <row r="919">
      <c r="A919" s="19" t="inlineStr">
        <is>
          <t>918</t>
        </is>
      </c>
      <c r="B919" s="19" t="inlineStr">
        <is>
          <t>1013084</t>
        </is>
      </c>
      <c r="C919" t="inlineStr">
        <is>
          <t>AKÜ,L3,DK,70AH,GSYSMF,FIATEFB,TR52216092</t>
        </is>
      </c>
      <c r="D919" s="19" t="inlineStr">
        <is>
          <t>1</t>
        </is>
      </c>
      <c r="E919" t="n">
        <v>0</v>
      </c>
      <c r="I919" s="19" t="inlineStr">
        <is>
          <t>2</t>
        </is>
      </c>
      <c r="J919" t="inlineStr">
        <is>
          <t>2026-08-08</t>
        </is>
      </c>
      <c r="L919" s="19" t="inlineStr">
        <is>
          <t>1013084</t>
        </is>
      </c>
      <c r="M919" t="inlineStr">
        <is>
          <t>STATUS=DOMESTIC-ONLY / NOT IN OEM PACKAGE; SOURCE_CFG=IA-ST-CFG-0018; MARKET=TOFAŞ (Yurt İçi)</t>
        </is>
      </c>
      <c r="N919" t="inlineStr">
        <is>
          <t>2026-08-10T19:29:54Z</t>
        </is>
      </c>
      <c r="O919" t="inlineStr">
        <is>
          <t>2026-08-10T19:29:54Z</t>
        </is>
      </c>
    </row>
    <row r="920">
      <c r="A920" s="19" t="inlineStr">
        <is>
          <t>919</t>
        </is>
      </c>
      <c r="B920" s="19" t="inlineStr">
        <is>
          <t>1013097</t>
        </is>
      </c>
      <c r="C920" t="inlineStr">
        <is>
          <t>AKÜ,LB2,DK,60AH,IGYASMF,İNCİ EFB PANTERA</t>
        </is>
      </c>
      <c r="D920" s="19" t="inlineStr">
        <is>
          <t>1</t>
        </is>
      </c>
      <c r="E920" t="n">
        <v>0</v>
      </c>
      <c r="I920" s="19" t="inlineStr">
        <is>
          <t>2</t>
        </is>
      </c>
      <c r="J920" t="inlineStr">
        <is>
          <t>2026-08-08</t>
        </is>
      </c>
      <c r="L920" s="19" t="inlineStr">
        <is>
          <t>1013097</t>
        </is>
      </c>
      <c r="M920" t="inlineStr">
        <is>
          <t>STATUS=IN OEM / EU PACKAGE; SOURCE_CFG=IA-ST-CFG-0222; MARKET=None</t>
        </is>
      </c>
      <c r="N920" t="inlineStr">
        <is>
          <t>2026-08-10T19:29:54Z</t>
        </is>
      </c>
      <c r="O920" t="inlineStr">
        <is>
          <t>2026-08-10T19:29:54Z</t>
        </is>
      </c>
    </row>
    <row r="921">
      <c r="A921" s="19" t="inlineStr">
        <is>
          <t>920</t>
        </is>
      </c>
      <c r="B921" s="19" t="inlineStr">
        <is>
          <t>1013118</t>
        </is>
      </c>
      <c r="C921" t="inlineStr">
        <is>
          <t>AKÜ,LB1,DK,52AH,IGYSMF,MAXIMAKOLİ,REDMAY</t>
        </is>
      </c>
      <c r="D921" s="19" t="inlineStr">
        <is>
          <t>1</t>
        </is>
      </c>
      <c r="E921" t="n">
        <v>0</v>
      </c>
      <c r="I921" s="19" t="inlineStr">
        <is>
          <t>2</t>
        </is>
      </c>
      <c r="J921" t="inlineStr">
        <is>
          <t>2026-08-08</t>
        </is>
      </c>
      <c r="L921" s="19" t="inlineStr">
        <is>
          <t>1013118</t>
        </is>
      </c>
      <c r="M921" t="inlineStr">
        <is>
          <t>STATUS=IN OEM / EU PACKAGE; SOURCE_CFG=IA-ST-CFG-0271; MARKET=REDMAY URUGUAY</t>
        </is>
      </c>
      <c r="N921" t="inlineStr">
        <is>
          <t>2026-08-10T19:29:54Z</t>
        </is>
      </c>
      <c r="O921" t="inlineStr">
        <is>
          <t>2026-08-10T19:29:54Z</t>
        </is>
      </c>
    </row>
    <row r="922">
      <c r="A922" s="19" t="inlineStr">
        <is>
          <t>921</t>
        </is>
      </c>
      <c r="B922" s="19" t="inlineStr">
        <is>
          <t>1013119</t>
        </is>
      </c>
      <c r="C922" t="inlineStr">
        <is>
          <t>AKÜ,LB2,DK,60AH,IGYSMF,MAXIMAKOLİ,REDMAY</t>
        </is>
      </c>
      <c r="D922" s="19" t="inlineStr">
        <is>
          <t>1</t>
        </is>
      </c>
      <c r="E922" t="n">
        <v>0</v>
      </c>
      <c r="I922" s="19" t="inlineStr">
        <is>
          <t>2</t>
        </is>
      </c>
      <c r="J922" t="inlineStr">
        <is>
          <t>2026-08-08</t>
        </is>
      </c>
      <c r="L922" s="19" t="inlineStr">
        <is>
          <t>1013119</t>
        </is>
      </c>
      <c r="M922" t="inlineStr">
        <is>
          <t>STATUS=IN OEM / EU PACKAGE; SOURCE_CFG=IA-ST-CFG-0260; MARKET=REDMAY URUGUAY</t>
        </is>
      </c>
      <c r="N922" t="inlineStr">
        <is>
          <t>2026-08-10T19:29:54Z</t>
        </is>
      </c>
      <c r="O922" t="inlineStr">
        <is>
          <t>2026-08-10T19:29:54Z</t>
        </is>
      </c>
    </row>
    <row r="923">
      <c r="A923" s="19" t="inlineStr">
        <is>
          <t>922</t>
        </is>
      </c>
      <c r="B923" s="19" t="inlineStr">
        <is>
          <t>1013120</t>
        </is>
      </c>
      <c r="C923" t="inlineStr">
        <is>
          <t>AKÜ,L5,DK,102AH,IGYSMF,MAXIMAKOLİ,REDMAY</t>
        </is>
      </c>
      <c r="D923" s="19" t="inlineStr">
        <is>
          <t>1</t>
        </is>
      </c>
      <c r="E923" t="n">
        <v>0</v>
      </c>
      <c r="I923" s="19" t="inlineStr">
        <is>
          <t>2</t>
        </is>
      </c>
      <c r="J923" t="inlineStr">
        <is>
          <t>2026-08-08</t>
        </is>
      </c>
      <c r="L923" s="19" t="inlineStr">
        <is>
          <t>1013120</t>
        </is>
      </c>
      <c r="M923" t="inlineStr">
        <is>
          <t>STATUS=IN OEM / EU PACKAGE; SOURCE_CFG=IA-ST-CFG-0169; MARKET=REDMAY URUGUAY</t>
        </is>
      </c>
      <c r="N923" t="inlineStr">
        <is>
          <t>2026-08-10T19:29:54Z</t>
        </is>
      </c>
      <c r="O923" t="inlineStr">
        <is>
          <t>2026-08-10T19:29:54Z</t>
        </is>
      </c>
    </row>
    <row r="924">
      <c r="A924" s="19" t="inlineStr">
        <is>
          <t>923</t>
        </is>
      </c>
      <c r="B924" s="19" t="inlineStr">
        <is>
          <t>1013123</t>
        </is>
      </c>
      <c r="C924" t="inlineStr">
        <is>
          <t>AKÜ,NS40,DK42AH,IGYSMF,FORMULAKOLİREDMAY</t>
        </is>
      </c>
      <c r="D924" s="19" t="inlineStr">
        <is>
          <t>1</t>
        </is>
      </c>
      <c r="E924" t="n">
        <v>0</v>
      </c>
      <c r="I924" s="19" t="inlineStr">
        <is>
          <t>2</t>
        </is>
      </c>
      <c r="J924" t="inlineStr">
        <is>
          <t>2026-08-08</t>
        </is>
      </c>
      <c r="L924" s="19" t="inlineStr">
        <is>
          <t>1013123</t>
        </is>
      </c>
      <c r="M924" t="inlineStr">
        <is>
          <t>STATUS=IN OEM / EU PACKAGE; SOURCE_CFG=IA-ST-CFG-0283; MARKET=REDMAY URUGUAY</t>
        </is>
      </c>
      <c r="N924" t="inlineStr">
        <is>
          <t>2026-08-10T19:29:54Z</t>
        </is>
      </c>
      <c r="O924" t="inlineStr">
        <is>
          <t>2026-08-10T19:29:54Z</t>
        </is>
      </c>
    </row>
    <row r="925">
      <c r="A925" s="19" t="inlineStr">
        <is>
          <t>924</t>
        </is>
      </c>
      <c r="B925" s="19" t="inlineStr">
        <is>
          <t>1013126</t>
        </is>
      </c>
      <c r="C925" t="inlineStr">
        <is>
          <t>AKÜ,L2,DK,60AH,IGYA SMF,EFB S&amp;S,FORD OES</t>
        </is>
      </c>
      <c r="D925" s="19" t="inlineStr">
        <is>
          <t>1</t>
        </is>
      </c>
      <c r="E925" t="n">
        <v>0</v>
      </c>
      <c r="I925" s="19" t="inlineStr">
        <is>
          <t>2</t>
        </is>
      </c>
      <c r="J925" t="inlineStr">
        <is>
          <t>2026-08-08</t>
        </is>
      </c>
      <c r="L925" s="19" t="inlineStr">
        <is>
          <t>1013126</t>
        </is>
      </c>
      <c r="M925" t="inlineStr">
        <is>
          <t>STATUS=IN OEM / EU PACKAGE; SOURCE_CFG=IA-ST-CFG-0222; MARKET=FORD (Yurt İçi)</t>
        </is>
      </c>
      <c r="N925" t="inlineStr">
        <is>
          <t>2026-08-10T19:29:54Z</t>
        </is>
      </c>
      <c r="O925" t="inlineStr">
        <is>
          <t>2026-08-10T19:29:54Z</t>
        </is>
      </c>
    </row>
    <row r="926">
      <c r="A926" s="19" t="inlineStr">
        <is>
          <t>925</t>
        </is>
      </c>
      <c r="B926" s="19" t="inlineStr">
        <is>
          <t>1013132</t>
        </is>
      </c>
      <c r="C926" t="inlineStr">
        <is>
          <t>AKÜ,L3,DK,72AH,IGYA SMF,HUGEL ULTRA</t>
        </is>
      </c>
      <c r="D926" s="19" t="inlineStr">
        <is>
          <t>1</t>
        </is>
      </c>
      <c r="E926" t="n">
        <v>0</v>
      </c>
      <c r="I926" s="19" t="inlineStr">
        <is>
          <t>2</t>
        </is>
      </c>
      <c r="J926" t="inlineStr">
        <is>
          <t>2026-08-08</t>
        </is>
      </c>
      <c r="L926" s="19" t="inlineStr">
        <is>
          <t>1013132</t>
        </is>
      </c>
      <c r="M926" t="inlineStr">
        <is>
          <t>STATUS=IN OEM / EU PACKAGE; SOURCE_CFG=IA-ST-CFG-0179; MARKET=None</t>
        </is>
      </c>
      <c r="N926" t="inlineStr">
        <is>
          <t>2026-08-10T19:29:54Z</t>
        </is>
      </c>
      <c r="O926" t="inlineStr">
        <is>
          <t>2026-08-10T19:29:54Z</t>
        </is>
      </c>
    </row>
    <row r="927">
      <c r="A927" s="19" t="inlineStr">
        <is>
          <t>926</t>
        </is>
      </c>
      <c r="B927" s="19" t="inlineStr">
        <is>
          <t>1013135</t>
        </is>
      </c>
      <c r="C927" t="inlineStr">
        <is>
          <t>AKÜ,A-FLAT,DK,120AH,SILVER,TÜRKMENİSTAN</t>
        </is>
      </c>
      <c r="D927" s="19" t="inlineStr">
        <is>
          <t>1</t>
        </is>
      </c>
      <c r="E927" t="n">
        <v>0</v>
      </c>
      <c r="I927" s="19" t="inlineStr">
        <is>
          <t>2</t>
        </is>
      </c>
      <c r="J927" t="inlineStr">
        <is>
          <t>2026-08-08</t>
        </is>
      </c>
      <c r="L927" s="19" t="inlineStr">
        <is>
          <t>1013135</t>
        </is>
      </c>
      <c r="M927" t="inlineStr">
        <is>
          <t>STATUS=IN OEM / EU PACKAGE; SOURCE_CFG=IA-ST-CFG-0051; MARKET=TÜRKMENİSTAN</t>
        </is>
      </c>
      <c r="N927" t="inlineStr">
        <is>
          <t>2026-08-10T19:29:54Z</t>
        </is>
      </c>
      <c r="O927" t="inlineStr">
        <is>
          <t>2026-08-10T19:29:54Z</t>
        </is>
      </c>
    </row>
    <row r="928">
      <c r="A928" s="19" t="inlineStr">
        <is>
          <t>927</t>
        </is>
      </c>
      <c r="B928" s="19" t="inlineStr">
        <is>
          <t>1013136</t>
        </is>
      </c>
      <c r="C928" t="inlineStr">
        <is>
          <t>AKÜ,C-FLAT,DK,225AH,SILVER,TÜRKMENİSTAN</t>
        </is>
      </c>
      <c r="D928" s="19" t="inlineStr">
        <is>
          <t>1</t>
        </is>
      </c>
      <c r="E928" t="n">
        <v>0</v>
      </c>
      <c r="I928" s="19" t="inlineStr">
        <is>
          <t>2</t>
        </is>
      </c>
      <c r="J928" t="inlineStr">
        <is>
          <t>2026-08-08</t>
        </is>
      </c>
      <c r="L928" s="19" t="inlineStr">
        <is>
          <t>1013136</t>
        </is>
      </c>
      <c r="M928" t="inlineStr">
        <is>
          <t>STATUS=IN OEM / EU PACKAGE; SOURCE_CFG=IA-ST-CFG-0023; MARKET=TÜRKMENİSTAN</t>
        </is>
      </c>
      <c r="N928" t="inlineStr">
        <is>
          <t>2026-08-10T19:29:54Z</t>
        </is>
      </c>
      <c r="O928" t="inlineStr">
        <is>
          <t>2026-08-10T19:29:54Z</t>
        </is>
      </c>
    </row>
    <row r="929">
      <c r="A929" s="19" t="inlineStr">
        <is>
          <t>928</t>
        </is>
      </c>
      <c r="B929" s="19" t="inlineStr">
        <is>
          <t>1013144</t>
        </is>
      </c>
      <c r="C929" t="inlineStr">
        <is>
          <t>AKÜ,L3,DK,75AH,IGYASMF,HI-TECH,TÜRKMNSTN</t>
        </is>
      </c>
      <c r="D929" s="19" t="inlineStr">
        <is>
          <t>1</t>
        </is>
      </c>
      <c r="E929" t="n">
        <v>0</v>
      </c>
      <c r="I929" s="19" t="inlineStr">
        <is>
          <t>2</t>
        </is>
      </c>
      <c r="J929" t="inlineStr">
        <is>
          <t>2026-08-08</t>
        </is>
      </c>
      <c r="L929" s="19" t="inlineStr">
        <is>
          <t>1013144</t>
        </is>
      </c>
      <c r="M929" t="inlineStr">
        <is>
          <t>STATUS=IN OEM / EU PACKAGE; SOURCE_CFG=IA-ST-CFG-0179; MARKET=TÜRKMENİSTAN</t>
        </is>
      </c>
      <c r="N929" t="inlineStr">
        <is>
          <t>2026-08-10T19:29:54Z</t>
        </is>
      </c>
      <c r="O929" t="inlineStr">
        <is>
          <t>2026-08-10T19:29:54Z</t>
        </is>
      </c>
    </row>
    <row r="930">
      <c r="A930" s="19" t="inlineStr">
        <is>
          <t>929</t>
        </is>
      </c>
      <c r="B930" s="19" t="inlineStr">
        <is>
          <t>1013150</t>
        </is>
      </c>
      <c r="C930" t="inlineStr">
        <is>
          <t>AKÜ,AGM,L3,DK,70AH,HUGEL AGM S&amp;S,NACITA</t>
        </is>
      </c>
      <c r="D930" s="19" t="inlineStr">
        <is>
          <t>1</t>
        </is>
      </c>
      <c r="E930" t="n">
        <v>0</v>
      </c>
      <c r="I930" s="19" t="inlineStr">
        <is>
          <t>2</t>
        </is>
      </c>
      <c r="J930" t="inlineStr">
        <is>
          <t>2026-08-08</t>
        </is>
      </c>
      <c r="L930" s="19" t="inlineStr">
        <is>
          <t>1013150</t>
        </is>
      </c>
      <c r="M930" t="inlineStr">
        <is>
          <t>STATUS=IN OEM / EU PACKAGE; SOURCE_CFG=IA-ST-CFG-0179; MARKET=MISIR NACITA</t>
        </is>
      </c>
      <c r="N930" t="inlineStr">
        <is>
          <t>2026-08-10T19:29:54Z</t>
        </is>
      </c>
      <c r="O930" t="inlineStr">
        <is>
          <t>2026-08-10T19:29:54Z</t>
        </is>
      </c>
    </row>
    <row r="931">
      <c r="A931" s="19" t="inlineStr">
        <is>
          <t>930</t>
        </is>
      </c>
      <c r="B931" s="19" t="inlineStr">
        <is>
          <t>1013151</t>
        </is>
      </c>
      <c r="C931" t="inlineStr">
        <is>
          <t>AKÜ,AGM,L5,DK,92AH,HUGEL AGM S&amp;S,NACITA</t>
        </is>
      </c>
      <c r="D931" s="19" t="inlineStr">
        <is>
          <t>1</t>
        </is>
      </c>
      <c r="E931" t="n">
        <v>0</v>
      </c>
      <c r="I931" s="19" t="inlineStr">
        <is>
          <t>2</t>
        </is>
      </c>
      <c r="J931" t="inlineStr">
        <is>
          <t>2026-08-08</t>
        </is>
      </c>
      <c r="L931" s="19" t="inlineStr">
        <is>
          <t>1013151</t>
        </is>
      </c>
      <c r="M931" t="inlineStr">
        <is>
          <t>STATUS=IN OEM / EU PACKAGE; SOURCE_CFG=IA-ST-CFG-0096; MARKET=MISIR NACITA</t>
        </is>
      </c>
      <c r="N931" t="inlineStr">
        <is>
          <t>2026-08-10T19:29:54Z</t>
        </is>
      </c>
      <c r="O931" t="inlineStr">
        <is>
          <t>2026-08-10T19:29:54Z</t>
        </is>
      </c>
    </row>
    <row r="932">
      <c r="A932" s="19" t="inlineStr">
        <is>
          <t>931</t>
        </is>
      </c>
      <c r="B932" s="19" t="inlineStr">
        <is>
          <t>1013152</t>
        </is>
      </c>
      <c r="C932" t="inlineStr">
        <is>
          <t>AKÜ,A-IGYASMF,DK,120AH,HUGELULTRA,NACITA</t>
        </is>
      </c>
      <c r="D932" s="19" t="inlineStr">
        <is>
          <t>1</t>
        </is>
      </c>
      <c r="E932" t="n">
        <v>0</v>
      </c>
      <c r="I932" s="19" t="inlineStr">
        <is>
          <t>2</t>
        </is>
      </c>
      <c r="J932" t="inlineStr">
        <is>
          <t>2026-08-08</t>
        </is>
      </c>
      <c r="L932" s="19" t="inlineStr">
        <is>
          <t>1013152</t>
        </is>
      </c>
      <c r="M932" t="inlineStr">
        <is>
          <t>STATUS=IN OEM / EU PACKAGE; SOURCE_CFG=IA-ST-CFG-0051; MARKET=MISIR NACITA</t>
        </is>
      </c>
      <c r="N932" t="inlineStr">
        <is>
          <t>2026-08-10T19:29:54Z</t>
        </is>
      </c>
      <c r="O932" t="inlineStr">
        <is>
          <t>2026-08-10T19:29:54Z</t>
        </is>
      </c>
    </row>
    <row r="933">
      <c r="A933" s="19" t="inlineStr">
        <is>
          <t>932</t>
        </is>
      </c>
      <c r="B933" s="19" t="inlineStr">
        <is>
          <t>1013153</t>
        </is>
      </c>
      <c r="C933" t="inlineStr">
        <is>
          <t>AKÜ,B-IGYASMF,DK,180AH,HUGELULTRA,NACITA</t>
        </is>
      </c>
      <c r="D933" s="19" t="inlineStr">
        <is>
          <t>1</t>
        </is>
      </c>
      <c r="E933" t="n">
        <v>0</v>
      </c>
      <c r="I933" s="19" t="inlineStr">
        <is>
          <t>2</t>
        </is>
      </c>
      <c r="J933" t="inlineStr">
        <is>
          <t>2026-08-08</t>
        </is>
      </c>
      <c r="L933" s="19" t="inlineStr">
        <is>
          <t>1013153</t>
        </is>
      </c>
      <c r="M933" t="inlineStr">
        <is>
          <t>STATUS=IN OEM / EU PACKAGE; SOURCE_CFG=IA-ST-CFG-0052; MARKET=MISIR NACITA</t>
        </is>
      </c>
      <c r="N933" t="inlineStr">
        <is>
          <t>2026-08-10T19:29:54Z</t>
        </is>
      </c>
      <c r="O933" t="inlineStr">
        <is>
          <t>2026-08-10T19:29:54Z</t>
        </is>
      </c>
    </row>
    <row r="934">
      <c r="A934" s="19" t="inlineStr">
        <is>
          <t>933</t>
        </is>
      </c>
      <c r="B934" s="19" t="inlineStr">
        <is>
          <t>1013154</t>
        </is>
      </c>
      <c r="C934" t="inlineStr">
        <is>
          <t>AKÜ,D26,DK,72AH,IGYSMF,HUGELULTRA,NACITA</t>
        </is>
      </c>
      <c r="D934" s="19" t="inlineStr">
        <is>
          <t>1</t>
        </is>
      </c>
      <c r="E934" t="n">
        <v>0</v>
      </c>
      <c r="I934" s="19" t="inlineStr">
        <is>
          <t>2</t>
        </is>
      </c>
      <c r="J934" t="inlineStr">
        <is>
          <t>2026-08-08</t>
        </is>
      </c>
      <c r="L934" s="19" t="inlineStr">
        <is>
          <t>1013154</t>
        </is>
      </c>
      <c r="M934" t="inlineStr">
        <is>
          <t>STATUS=IN OEM / EU PACKAGE; SOURCE_CFG=IA-ST-CFG-0175; MARKET=MISIR NACITA</t>
        </is>
      </c>
      <c r="N934" t="inlineStr">
        <is>
          <t>2026-08-10T19:29:54Z</t>
        </is>
      </c>
      <c r="O934" t="inlineStr">
        <is>
          <t>2026-08-10T19:29:54Z</t>
        </is>
      </c>
    </row>
    <row r="935">
      <c r="A935" s="19" t="inlineStr">
        <is>
          <t>934</t>
        </is>
      </c>
      <c r="B935" s="19" t="inlineStr">
        <is>
          <t>1013172</t>
        </is>
      </c>
      <c r="C935" t="inlineStr">
        <is>
          <t>AKÜ,D31,TK,90AH,IGYA,NONAME,YUASAAMERICA</t>
        </is>
      </c>
      <c r="D935" s="19" t="inlineStr">
        <is>
          <t>1</t>
        </is>
      </c>
      <c r="E935" t="n">
        <v>0</v>
      </c>
      <c r="I935" s="19" t="inlineStr">
        <is>
          <t>2</t>
        </is>
      </c>
      <c r="J935" t="inlineStr">
        <is>
          <t>2026-08-08</t>
        </is>
      </c>
      <c r="L935" s="19" t="inlineStr">
        <is>
          <t>1013172</t>
        </is>
      </c>
      <c r="M935" t="inlineStr">
        <is>
          <t>STATUS=IN OEM / EU PACKAGE; SOURCE_CFG=IA-ST-CFG-0140; MARKET=YUASA AMERICA</t>
        </is>
      </c>
      <c r="N935" t="inlineStr">
        <is>
          <t>2026-08-10T19:29:54Z</t>
        </is>
      </c>
      <c r="O935" t="inlineStr">
        <is>
          <t>2026-08-10T19:29:54Z</t>
        </is>
      </c>
    </row>
    <row r="936">
      <c r="A936" s="19" t="inlineStr">
        <is>
          <t>935</t>
        </is>
      </c>
      <c r="B936" s="19" t="inlineStr">
        <is>
          <t>1013183</t>
        </is>
      </c>
      <c r="C936" t="inlineStr">
        <is>
          <t>AKÜ AGM,L3,DK,70AH,VRLAPILOT PERFORMANCE</t>
        </is>
      </c>
      <c r="D936" s="19" t="inlineStr">
        <is>
          <t>1</t>
        </is>
      </c>
      <c r="E936" t="n">
        <v>0</v>
      </c>
      <c r="I936" s="19" t="inlineStr">
        <is>
          <t>2</t>
        </is>
      </c>
      <c r="J936" t="inlineStr">
        <is>
          <t>2026-08-08</t>
        </is>
      </c>
      <c r="L936" s="19" t="inlineStr">
        <is>
          <t>1013183</t>
        </is>
      </c>
      <c r="M936" t="inlineStr">
        <is>
          <t>STATUS=IN OEM / EU PACKAGE; SOURCE_CFG=IA-ST-CFG-0200; MARKET=LAMPA ITALY İTALYA</t>
        </is>
      </c>
      <c r="N936" t="inlineStr">
        <is>
          <t>2026-08-10T19:29:54Z</t>
        </is>
      </c>
      <c r="O936" t="inlineStr">
        <is>
          <t>2026-08-10T19:29:54Z</t>
        </is>
      </c>
    </row>
    <row r="937">
      <c r="A937" s="19" t="inlineStr">
        <is>
          <t>936</t>
        </is>
      </c>
      <c r="B937" s="19" t="inlineStr">
        <is>
          <t>1013184</t>
        </is>
      </c>
      <c r="C937" t="inlineStr">
        <is>
          <t>AKÜ AGM,L5,DK,92AH,VRLAPILOT PERFORMANCE</t>
        </is>
      </c>
      <c r="D937" s="19" t="inlineStr">
        <is>
          <t>1</t>
        </is>
      </c>
      <c r="E937" t="n">
        <v>0</v>
      </c>
      <c r="I937" s="19" t="inlineStr">
        <is>
          <t>2</t>
        </is>
      </c>
      <c r="J937" t="inlineStr">
        <is>
          <t>2026-08-08</t>
        </is>
      </c>
      <c r="L937" s="19" t="inlineStr">
        <is>
          <t>1013184</t>
        </is>
      </c>
      <c r="M937" t="inlineStr">
        <is>
          <t>STATUS=IN OEM / EU PACKAGE; SOURCE_CFG=IA-ST-CFG-0116; MARKET=LAMPA ITALY İTALYA</t>
        </is>
      </c>
      <c r="N937" t="inlineStr">
        <is>
          <t>2026-08-10T19:29:54Z</t>
        </is>
      </c>
      <c r="O937" t="inlineStr">
        <is>
          <t>2026-08-10T19:29:54Z</t>
        </is>
      </c>
    </row>
    <row r="938">
      <c r="A938" s="19" t="inlineStr">
        <is>
          <t>937</t>
        </is>
      </c>
      <c r="B938" s="19" t="inlineStr">
        <is>
          <t>1013185</t>
        </is>
      </c>
      <c r="C938" t="inlineStr">
        <is>
          <t>AKÜ AGM,L6,DK,105AH,VRLAPILOTPERFORMANCE</t>
        </is>
      </c>
      <c r="D938" s="19" t="inlineStr">
        <is>
          <t>1</t>
        </is>
      </c>
      <c r="E938" t="n">
        <v>0</v>
      </c>
      <c r="I938" s="19" t="inlineStr">
        <is>
          <t>2</t>
        </is>
      </c>
      <c r="J938" t="inlineStr">
        <is>
          <t>2026-08-08</t>
        </is>
      </c>
      <c r="L938" s="19" t="inlineStr">
        <is>
          <t>1013185</t>
        </is>
      </c>
      <c r="M938" t="inlineStr">
        <is>
          <t>STATUS=IN OEM / EU PACKAGE; SOURCE_CFG=IA-ST-CFG-0071; MARKET=LAMPA ITALY İTALYA</t>
        </is>
      </c>
      <c r="N938" t="inlineStr">
        <is>
          <t>2026-08-10T19:29:54Z</t>
        </is>
      </c>
      <c r="O938" t="inlineStr">
        <is>
          <t>2026-08-10T19:29:54Z</t>
        </is>
      </c>
    </row>
    <row r="939">
      <c r="A939" s="19" t="inlineStr">
        <is>
          <t>938</t>
        </is>
      </c>
      <c r="B939" s="19" t="inlineStr">
        <is>
          <t>1013189</t>
        </is>
      </c>
      <c r="C939" t="inlineStr">
        <is>
          <t>AKÜ,L2,DK,55AH,IGYASMF,PILOT PERFORMANCE</t>
        </is>
      </c>
      <c r="D939" s="19" t="inlineStr">
        <is>
          <t>1</t>
        </is>
      </c>
      <c r="E939" t="n">
        <v>0</v>
      </c>
      <c r="I939" s="19" t="inlineStr">
        <is>
          <t>2</t>
        </is>
      </c>
      <c r="J939" t="inlineStr">
        <is>
          <t>2026-08-08</t>
        </is>
      </c>
      <c r="L939" s="19" t="inlineStr">
        <is>
          <t>1013189</t>
        </is>
      </c>
      <c r="M939" t="inlineStr">
        <is>
          <t>STATUS=IN OEM / EU PACKAGE; SOURCE_CFG=IA-ST-CFG-0240; MARKET=LAMPA ITALY İTALYA</t>
        </is>
      </c>
      <c r="N939" t="inlineStr">
        <is>
          <t>2026-08-10T19:29:54Z</t>
        </is>
      </c>
      <c r="O939" t="inlineStr">
        <is>
          <t>2026-08-10T19:29:54Z</t>
        </is>
      </c>
    </row>
    <row r="940">
      <c r="A940" s="19" t="inlineStr">
        <is>
          <t>939</t>
        </is>
      </c>
      <c r="B940" s="19" t="inlineStr">
        <is>
          <t>1013191</t>
        </is>
      </c>
      <c r="C940" t="inlineStr">
        <is>
          <t>AKÜ,L2,DK,60AH,IGYASMF,PILOT PERFORMANCE</t>
        </is>
      </c>
      <c r="D940" s="19" t="inlineStr">
        <is>
          <t>1</t>
        </is>
      </c>
      <c r="E940" t="n">
        <v>0</v>
      </c>
      <c r="I940" s="19" t="inlineStr">
        <is>
          <t>2</t>
        </is>
      </c>
      <c r="J940" t="inlineStr">
        <is>
          <t>2026-08-08</t>
        </is>
      </c>
      <c r="L940" s="19" t="inlineStr">
        <is>
          <t>1013191</t>
        </is>
      </c>
      <c r="M940" t="inlineStr">
        <is>
          <t>STATUS=IN OEM / EU PACKAGE; SOURCE_CFG=IA-ST-CFG-0240; MARKET=LAMPA ITALY İTALYA</t>
        </is>
      </c>
      <c r="N940" t="inlineStr">
        <is>
          <t>2026-08-10T19:29:54Z</t>
        </is>
      </c>
      <c r="O940" t="inlineStr">
        <is>
          <t>2026-08-10T19:29:54Z</t>
        </is>
      </c>
    </row>
    <row r="941">
      <c r="A941" s="19" t="inlineStr">
        <is>
          <t>940</t>
        </is>
      </c>
      <c r="B941" s="19" t="inlineStr">
        <is>
          <t>1013193</t>
        </is>
      </c>
      <c r="C941" t="inlineStr">
        <is>
          <t>AKÜ,LB2,DK,60AH,IGYASMF,PILOTPERFORMANCE</t>
        </is>
      </c>
      <c r="D941" s="19" t="inlineStr">
        <is>
          <t>1</t>
        </is>
      </c>
      <c r="E941" t="n">
        <v>0</v>
      </c>
      <c r="I941" s="19" t="inlineStr">
        <is>
          <t>2</t>
        </is>
      </c>
      <c r="J941" t="inlineStr">
        <is>
          <t>2026-08-08</t>
        </is>
      </c>
      <c r="L941" s="19" t="inlineStr">
        <is>
          <t>1013193</t>
        </is>
      </c>
      <c r="M941" t="inlineStr">
        <is>
          <t>STATUS=IN OEM / EU PACKAGE; SOURCE_CFG=IA-ST-CFG-0240; MARKET=LAMPA ITALY İTALYA</t>
        </is>
      </c>
      <c r="N941" t="inlineStr">
        <is>
          <t>2026-08-10T19:29:54Z</t>
        </is>
      </c>
      <c r="O941" t="inlineStr">
        <is>
          <t>2026-08-10T19:29:54Z</t>
        </is>
      </c>
    </row>
    <row r="942">
      <c r="A942" s="19" t="inlineStr">
        <is>
          <t>941</t>
        </is>
      </c>
      <c r="B942" s="19" t="inlineStr">
        <is>
          <t>1013194</t>
        </is>
      </c>
      <c r="C942" t="inlineStr">
        <is>
          <t>AKÜ,L4,DK,82AH,IGYASMF,PILOT PERFORMANCE</t>
        </is>
      </c>
      <c r="D942" s="19" t="inlineStr">
        <is>
          <t>1</t>
        </is>
      </c>
      <c r="E942" t="n">
        <v>0</v>
      </c>
      <c r="I942" s="19" t="inlineStr">
        <is>
          <t>2</t>
        </is>
      </c>
      <c r="J942" t="inlineStr">
        <is>
          <t>2026-08-08</t>
        </is>
      </c>
      <c r="L942" s="19" t="inlineStr">
        <is>
          <t>1013194</t>
        </is>
      </c>
      <c r="M942" t="inlineStr">
        <is>
          <t>STATUS=IN OEM / EU PACKAGE; SOURCE_CFG=IA-ST-CFG-0152; MARKET=LAMPA ITALY İTALYA</t>
        </is>
      </c>
      <c r="N942" t="inlineStr">
        <is>
          <t>2026-08-10T19:29:54Z</t>
        </is>
      </c>
      <c r="O942" t="inlineStr">
        <is>
          <t>2026-08-10T19:29:54Z</t>
        </is>
      </c>
    </row>
    <row r="943">
      <c r="A943" s="19" t="inlineStr">
        <is>
          <t>942</t>
        </is>
      </c>
      <c r="B943" s="19" t="inlineStr">
        <is>
          <t>1013195</t>
        </is>
      </c>
      <c r="C943" t="inlineStr">
        <is>
          <t>AKÜ,L4,TK,90AH,IGYASMF,PILOT PERFORMANCE</t>
        </is>
      </c>
      <c r="D943" s="19" t="inlineStr">
        <is>
          <t>1</t>
        </is>
      </c>
      <c r="E943" t="n">
        <v>0</v>
      </c>
      <c r="I943" s="19" t="inlineStr">
        <is>
          <t>2</t>
        </is>
      </c>
      <c r="J943" t="inlineStr">
        <is>
          <t>2026-08-08</t>
        </is>
      </c>
      <c r="L943" s="19" t="inlineStr">
        <is>
          <t>1013195</t>
        </is>
      </c>
      <c r="M943" t="inlineStr">
        <is>
          <t>STATUS=IN OEM / EU PACKAGE; SOURCE_CFG=IA-ST-CFG-0152; MARKET=LAMPA ITALY İTALYA</t>
        </is>
      </c>
      <c r="N943" t="inlineStr">
        <is>
          <t>2026-08-10T19:29:54Z</t>
        </is>
      </c>
      <c r="O943" t="inlineStr">
        <is>
          <t>2026-08-10T19:29:54Z</t>
        </is>
      </c>
    </row>
    <row r="944">
      <c r="A944" s="19" t="inlineStr">
        <is>
          <t>943</t>
        </is>
      </c>
      <c r="B944" s="19" t="inlineStr">
        <is>
          <t>1013196</t>
        </is>
      </c>
      <c r="C944" t="inlineStr">
        <is>
          <t>AKÜ,L5,DK,100AH,IGYASMF,PILOTPERFORMANCE</t>
        </is>
      </c>
      <c r="D944" s="19" t="inlineStr">
        <is>
          <t>1</t>
        </is>
      </c>
      <c r="E944" t="n">
        <v>0</v>
      </c>
      <c r="I944" s="19" t="inlineStr">
        <is>
          <t>2</t>
        </is>
      </c>
      <c r="J944" t="inlineStr">
        <is>
          <t>2026-08-08</t>
        </is>
      </c>
      <c r="L944" s="19" t="inlineStr">
        <is>
          <t>1013196</t>
        </is>
      </c>
      <c r="M944" t="inlineStr">
        <is>
          <t>STATUS=IN OEM / EU PACKAGE; SOURCE_CFG=IA-ST-CFG-0116; MARKET=LAMPA ITALY İTALYA</t>
        </is>
      </c>
      <c r="N944" t="inlineStr">
        <is>
          <t>2026-08-10T19:29:54Z</t>
        </is>
      </c>
      <c r="O944" t="inlineStr">
        <is>
          <t>2026-08-10T19:29:54Z</t>
        </is>
      </c>
    </row>
    <row r="945">
      <c r="A945" s="19" t="inlineStr">
        <is>
          <t>944</t>
        </is>
      </c>
      <c r="B945" s="19" t="inlineStr">
        <is>
          <t>1013198</t>
        </is>
      </c>
      <c r="C945" t="inlineStr">
        <is>
          <t>AKÜ,LB2,DK,45AH,IGYASMF,PILOTPERFORMANCE</t>
        </is>
      </c>
      <c r="D945" s="19" t="inlineStr">
        <is>
          <t>1</t>
        </is>
      </c>
      <c r="E945" t="n">
        <v>0</v>
      </c>
      <c r="I945" s="19" t="inlineStr">
        <is>
          <t>2</t>
        </is>
      </c>
      <c r="J945" t="inlineStr">
        <is>
          <t>2026-08-08</t>
        </is>
      </c>
      <c r="L945" s="19" t="inlineStr">
        <is>
          <t>1013198</t>
        </is>
      </c>
      <c r="M945" t="inlineStr">
        <is>
          <t>STATUS=IN OEM / EU PACKAGE; SOURCE_CFG=IA-ST-CFG-0240; MARKET=LAMPA ITALY İTALYA</t>
        </is>
      </c>
      <c r="N945" t="inlineStr">
        <is>
          <t>2026-08-10T19:29:54Z</t>
        </is>
      </c>
      <c r="O945" t="inlineStr">
        <is>
          <t>2026-08-10T19:29:54Z</t>
        </is>
      </c>
    </row>
    <row r="946">
      <c r="A946" s="19" t="inlineStr">
        <is>
          <t>945</t>
        </is>
      </c>
      <c r="B946" s="19" t="inlineStr">
        <is>
          <t>1013217</t>
        </is>
      </c>
      <c r="C946" t="inlineStr">
        <is>
          <t>AKÜ,L1,DK,52AH,IGYA SMF,NO NAME,GY EUR</t>
        </is>
      </c>
      <c r="D946" s="19" t="inlineStr">
        <is>
          <t>1</t>
        </is>
      </c>
      <c r="E946" t="n">
        <v>0</v>
      </c>
      <c r="I946" s="19" t="inlineStr">
        <is>
          <t>2</t>
        </is>
      </c>
      <c r="J946" t="inlineStr">
        <is>
          <t>2026-08-08</t>
        </is>
      </c>
      <c r="L946" s="19" t="inlineStr">
        <is>
          <t>1013217</t>
        </is>
      </c>
      <c r="M946" t="inlineStr">
        <is>
          <t>STATUS=IN OEM / EU PACKAGE; SOURCE_CFG=IA-ST-CFG-0209; MARKET=GY EUR</t>
        </is>
      </c>
      <c r="N946" t="inlineStr">
        <is>
          <t>2026-08-10T19:29:54Z</t>
        </is>
      </c>
      <c r="O946" t="inlineStr">
        <is>
          <t>2026-08-10T19:29:54Z</t>
        </is>
      </c>
    </row>
    <row r="947">
      <c r="A947" s="19" t="inlineStr">
        <is>
          <t>946</t>
        </is>
      </c>
      <c r="B947" s="19" t="inlineStr">
        <is>
          <t>1013218</t>
        </is>
      </c>
      <c r="C947" t="inlineStr">
        <is>
          <t>AKÜ,LB1,DK,46AH,IGYA SMF,NO NAME,GY EUR</t>
        </is>
      </c>
      <c r="D947" s="19" t="inlineStr">
        <is>
          <t>1</t>
        </is>
      </c>
      <c r="E947" t="n">
        <v>0</v>
      </c>
      <c r="I947" s="19" t="inlineStr">
        <is>
          <t>2</t>
        </is>
      </c>
      <c r="J947" t="inlineStr">
        <is>
          <t>2026-08-08</t>
        </is>
      </c>
      <c r="L947" s="19" t="inlineStr">
        <is>
          <t>1013218</t>
        </is>
      </c>
      <c r="M947" t="inlineStr">
        <is>
          <t>STATUS=IN OEM / EU PACKAGE; SOURCE_CFG=IA-ST-CFG-0209; MARKET=GY EUR</t>
        </is>
      </c>
      <c r="N947" t="inlineStr">
        <is>
          <t>2026-08-10T19:29:54Z</t>
        </is>
      </c>
      <c r="O947" t="inlineStr">
        <is>
          <t>2026-08-10T19:29:54Z</t>
        </is>
      </c>
    </row>
    <row r="948">
      <c r="A948" s="19" t="inlineStr">
        <is>
          <t>947</t>
        </is>
      </c>
      <c r="B948" s="19" t="inlineStr">
        <is>
          <t>1013219</t>
        </is>
      </c>
      <c r="C948" t="inlineStr">
        <is>
          <t>AKÜ,D31,TK,95AH,IGYA SMF,NO NAME,GY EUR</t>
        </is>
      </c>
      <c r="D948" s="19" t="inlineStr">
        <is>
          <t>1</t>
        </is>
      </c>
      <c r="E948" t="n">
        <v>0</v>
      </c>
      <c r="I948" s="19" t="inlineStr">
        <is>
          <t>2</t>
        </is>
      </c>
      <c r="J948" t="inlineStr">
        <is>
          <t>2026-08-08</t>
        </is>
      </c>
      <c r="L948" s="19" t="inlineStr">
        <is>
          <t>1013219</t>
        </is>
      </c>
      <c r="M948" t="inlineStr">
        <is>
          <t>STATUS=IN OEM / EU PACKAGE; SOURCE_CFG=IA-ST-CFG-0111; MARKET=GY EUR</t>
        </is>
      </c>
      <c r="N948" t="inlineStr">
        <is>
          <t>2026-08-10T19:29:54Z</t>
        </is>
      </c>
      <c r="O948" t="inlineStr">
        <is>
          <t>2026-08-10T19:29:54Z</t>
        </is>
      </c>
    </row>
    <row r="949">
      <c r="A949" s="19" t="inlineStr">
        <is>
          <t>948</t>
        </is>
      </c>
      <c r="B949" s="19" t="inlineStr">
        <is>
          <t>1013221</t>
        </is>
      </c>
      <c r="C949" t="inlineStr">
        <is>
          <t>AKÜ,D31,DK,95AH,IGYA SMF,NO NAME,GY EUR</t>
        </is>
      </c>
      <c r="D949" s="19" t="inlineStr">
        <is>
          <t>1</t>
        </is>
      </c>
      <c r="E949" t="n">
        <v>0</v>
      </c>
      <c r="I949" s="19" t="inlineStr">
        <is>
          <t>2</t>
        </is>
      </c>
      <c r="J949" t="inlineStr">
        <is>
          <t>2026-08-08</t>
        </is>
      </c>
      <c r="L949" s="19" t="inlineStr">
        <is>
          <t>1013221</t>
        </is>
      </c>
      <c r="M949" t="inlineStr">
        <is>
          <t>STATUS=IN OEM / EU PACKAGE; SOURCE_CFG=IA-ST-CFG-0111; MARKET=GY EUR</t>
        </is>
      </c>
      <c r="N949" t="inlineStr">
        <is>
          <t>2026-08-10T19:29:54Z</t>
        </is>
      </c>
      <c r="O949" t="inlineStr">
        <is>
          <t>2026-08-10T19:29:54Z</t>
        </is>
      </c>
    </row>
    <row r="950">
      <c r="A950" s="19" t="inlineStr">
        <is>
          <t>949</t>
        </is>
      </c>
      <c r="B950" s="19" t="inlineStr">
        <is>
          <t>1013222</t>
        </is>
      </c>
      <c r="C950" t="inlineStr">
        <is>
          <t>AKÜ,D26,DK,80AH,IGYA SMF,NO NAME,GY EUR</t>
        </is>
      </c>
      <c r="D950" s="19" t="inlineStr">
        <is>
          <t>1</t>
        </is>
      </c>
      <c r="E950" t="n">
        <v>0</v>
      </c>
      <c r="I950" s="19" t="inlineStr">
        <is>
          <t>2</t>
        </is>
      </c>
      <c r="J950" t="inlineStr">
        <is>
          <t>2026-08-08</t>
        </is>
      </c>
      <c r="L950" s="19" t="inlineStr">
        <is>
          <t>1013222</t>
        </is>
      </c>
      <c r="M950" t="inlineStr">
        <is>
          <t>STATUS=IN OEM / EU PACKAGE; SOURCE_CFG=IA-ST-CFG-0160; MARKET=GY EUR</t>
        </is>
      </c>
      <c r="N950" t="inlineStr">
        <is>
          <t>2026-08-10T19:29:54Z</t>
        </is>
      </c>
      <c r="O950" t="inlineStr">
        <is>
          <t>2026-08-10T19:29:54Z</t>
        </is>
      </c>
    </row>
    <row r="951">
      <c r="A951" s="19" t="inlineStr">
        <is>
          <t>950</t>
        </is>
      </c>
      <c r="B951" s="19" t="inlineStr">
        <is>
          <t>1013223</t>
        </is>
      </c>
      <c r="C951" t="inlineStr">
        <is>
          <t>AKÜ,LB2,DK,60AH,IGYA SMF,NO NAME,GY EUR</t>
        </is>
      </c>
      <c r="D951" s="19" t="inlineStr">
        <is>
          <t>1</t>
        </is>
      </c>
      <c r="E951" t="n">
        <v>0</v>
      </c>
      <c r="I951" s="19" t="inlineStr">
        <is>
          <t>2</t>
        </is>
      </c>
      <c r="J951" t="inlineStr">
        <is>
          <t>2026-08-08</t>
        </is>
      </c>
      <c r="L951" s="19" t="inlineStr">
        <is>
          <t>1013223</t>
        </is>
      </c>
      <c r="M951" t="inlineStr">
        <is>
          <t>STATUS=IN OEM / EU PACKAGE; SOURCE_CFG=IA-ST-CFG-0162; MARKET=GY EUR</t>
        </is>
      </c>
      <c r="N951" t="inlineStr">
        <is>
          <t>2026-08-10T19:29:54Z</t>
        </is>
      </c>
      <c r="O951" t="inlineStr">
        <is>
          <t>2026-08-10T19:29:54Z</t>
        </is>
      </c>
    </row>
    <row r="952">
      <c r="A952" s="19" t="inlineStr">
        <is>
          <t>951</t>
        </is>
      </c>
      <c r="B952" s="19" t="inlineStr">
        <is>
          <t>1013224</t>
        </is>
      </c>
      <c r="C952" t="inlineStr">
        <is>
          <t>AKÜ,LB1,DK,52AH,IGYA SMF,NO NAME,GY EUR</t>
        </is>
      </c>
      <c r="D952" s="19" t="inlineStr">
        <is>
          <t>1</t>
        </is>
      </c>
      <c r="E952" t="n">
        <v>0</v>
      </c>
      <c r="I952" s="19" t="inlineStr">
        <is>
          <t>2</t>
        </is>
      </c>
      <c r="J952" t="inlineStr">
        <is>
          <t>2026-08-08</t>
        </is>
      </c>
      <c r="L952" s="19" t="inlineStr">
        <is>
          <t>1013224</t>
        </is>
      </c>
      <c r="M952" t="inlineStr">
        <is>
          <t>STATUS=IN OEM / EU PACKAGE; SOURCE_CFG=IA-ST-CFG-0209; MARKET=GY EUR</t>
        </is>
      </c>
      <c r="N952" t="inlineStr">
        <is>
          <t>2026-08-10T19:29:54Z</t>
        </is>
      </c>
      <c r="O952" t="inlineStr">
        <is>
          <t>2026-08-10T19:29:54Z</t>
        </is>
      </c>
    </row>
    <row r="953">
      <c r="A953" s="19" t="inlineStr">
        <is>
          <t>952</t>
        </is>
      </c>
      <c r="B953" s="19" t="inlineStr">
        <is>
          <t>1013225</t>
        </is>
      </c>
      <c r="C953" t="inlineStr">
        <is>
          <t>AKÜ,NS60,TK,45AH,IGYA,NONAME,İNCEKBGYEUR</t>
        </is>
      </c>
      <c r="D953" s="19" t="inlineStr">
        <is>
          <t>1</t>
        </is>
      </c>
      <c r="E953" t="n">
        <v>0</v>
      </c>
      <c r="I953" s="19" t="inlineStr">
        <is>
          <t>2</t>
        </is>
      </c>
      <c r="J953" t="inlineStr">
        <is>
          <t>2026-08-08</t>
        </is>
      </c>
      <c r="L953" s="19" t="inlineStr">
        <is>
          <t>1013225</t>
        </is>
      </c>
      <c r="M953" t="inlineStr">
        <is>
          <t>STATUS=IN OEM / EU PACKAGE; SOURCE_CFG=IA-ST-CFG-0245; MARKET=GY EUR</t>
        </is>
      </c>
      <c r="N953" t="inlineStr">
        <is>
          <t>2026-08-10T19:29:54Z</t>
        </is>
      </c>
      <c r="O953" t="inlineStr">
        <is>
          <t>2026-08-10T19:29:54Z</t>
        </is>
      </c>
    </row>
    <row r="954">
      <c r="A954" s="19" t="inlineStr">
        <is>
          <t>953</t>
        </is>
      </c>
      <c r="B954" s="19" t="inlineStr">
        <is>
          <t>1013238</t>
        </is>
      </c>
      <c r="C954" t="inlineStr">
        <is>
          <t>AKÜ,L2,DK,62AH,IGYSMF,BLIZZTREND,SHAWKAT</t>
        </is>
      </c>
      <c r="D954" s="19" t="inlineStr">
        <is>
          <t>1</t>
        </is>
      </c>
      <c r="E954" t="n">
        <v>0</v>
      </c>
      <c r="I954" s="19" t="inlineStr">
        <is>
          <t>2</t>
        </is>
      </c>
      <c r="J954" t="inlineStr">
        <is>
          <t>2026-08-08</t>
        </is>
      </c>
      <c r="L954" s="19" t="inlineStr">
        <is>
          <t>1013238</t>
        </is>
      </c>
      <c r="M954" t="inlineStr">
        <is>
          <t>STATUS=IN OEM / EU PACKAGE; SOURCE_CFG=IA-ST-CFG-0222; MARKET=SHAWKAT</t>
        </is>
      </c>
      <c r="N954" t="inlineStr">
        <is>
          <t>2026-08-10T19:29:54Z</t>
        </is>
      </c>
      <c r="O954" t="inlineStr">
        <is>
          <t>2026-08-10T19:29:54Z</t>
        </is>
      </c>
    </row>
    <row r="955">
      <c r="A955" s="19" t="inlineStr">
        <is>
          <t>954</t>
        </is>
      </c>
      <c r="B955" s="19" t="inlineStr">
        <is>
          <t>1013245</t>
        </is>
      </c>
      <c r="C955" t="inlineStr">
        <is>
          <t>AKÜ AGM,L2,DK,60AH,MM AGM S&amp;S,EXIDE OES</t>
        </is>
      </c>
      <c r="D955" s="19" t="inlineStr">
        <is>
          <t>1</t>
        </is>
      </c>
      <c r="E955" t="n">
        <v>0</v>
      </c>
      <c r="I955" s="19" t="inlineStr">
        <is>
          <t>2</t>
        </is>
      </c>
      <c r="J955" t="inlineStr">
        <is>
          <t>2026-08-08</t>
        </is>
      </c>
      <c r="L955" s="19" t="inlineStr">
        <is>
          <t>1013245</t>
        </is>
      </c>
      <c r="M955" t="inlineStr">
        <is>
          <t>STATUS=DOMESTIC-ONLY / NOT IN OEM PACKAGE; SOURCE_CFG=IA-ST-CFG-0242; MARKET=MAKO OES (Yurt İçi)</t>
        </is>
      </c>
      <c r="N955" t="inlineStr">
        <is>
          <t>2026-08-10T19:29:54Z</t>
        </is>
      </c>
      <c r="O955" t="inlineStr">
        <is>
          <t>2026-08-10T19:29:54Z</t>
        </is>
      </c>
    </row>
    <row r="956">
      <c r="A956" s="19" t="inlineStr">
        <is>
          <t>955</t>
        </is>
      </c>
      <c r="B956" s="19" t="inlineStr">
        <is>
          <t>1013246</t>
        </is>
      </c>
      <c r="C956" t="inlineStr">
        <is>
          <t>AKÜ AGM,L3,DK,70AH,MM AGM S&amp;S,EXIDE OES</t>
        </is>
      </c>
      <c r="D956" s="19" t="inlineStr">
        <is>
          <t>1</t>
        </is>
      </c>
      <c r="E956" t="n">
        <v>0</v>
      </c>
      <c r="I956" s="19" t="inlineStr">
        <is>
          <t>2</t>
        </is>
      </c>
      <c r="J956" t="inlineStr">
        <is>
          <t>2026-08-08</t>
        </is>
      </c>
      <c r="L956" s="19" t="inlineStr">
        <is>
          <t>1013246</t>
        </is>
      </c>
      <c r="M956" t="inlineStr">
        <is>
          <t>STATUS=DOMESTIC-ONLY / NOT IN OEM PACKAGE; SOURCE_CFG=IA-ST-CFG-0203; MARKET=MAKO OES (Yurt İçi)</t>
        </is>
      </c>
      <c r="N956" t="inlineStr">
        <is>
          <t>2026-08-10T19:29:54Z</t>
        </is>
      </c>
      <c r="O956" t="inlineStr">
        <is>
          <t>2026-08-10T19:29:54Z</t>
        </is>
      </c>
    </row>
    <row r="957">
      <c r="A957" s="19" t="inlineStr">
        <is>
          <t>956</t>
        </is>
      </c>
      <c r="B957" s="19" t="inlineStr">
        <is>
          <t>1013247</t>
        </is>
      </c>
      <c r="C957" t="inlineStr">
        <is>
          <t>AKÜ AGM,L4,DK,80AH,MM AGM S&amp;S,EXIDE OES</t>
        </is>
      </c>
      <c r="D957" s="19" t="inlineStr">
        <is>
          <t>1</t>
        </is>
      </c>
      <c r="E957" t="n">
        <v>0</v>
      </c>
      <c r="I957" s="19" t="inlineStr">
        <is>
          <t>2</t>
        </is>
      </c>
      <c r="J957" t="inlineStr">
        <is>
          <t>2026-08-08</t>
        </is>
      </c>
      <c r="L957" s="19" t="inlineStr">
        <is>
          <t>1013247</t>
        </is>
      </c>
      <c r="M957" t="inlineStr">
        <is>
          <t>STATUS=DOMESTIC-ONLY / NOT IN OEM PACKAGE; SOURCE_CFG=IA-ST-CFG-0154; MARKET=MAKO OES (Yurt İçi)</t>
        </is>
      </c>
      <c r="N957" t="inlineStr">
        <is>
          <t>2026-08-10T19:29:54Z</t>
        </is>
      </c>
      <c r="O957" t="inlineStr">
        <is>
          <t>2026-08-10T19:29:54Z</t>
        </is>
      </c>
    </row>
    <row r="958">
      <c r="A958" s="19" t="inlineStr">
        <is>
          <t>957</t>
        </is>
      </c>
      <c r="B958" s="19" t="inlineStr">
        <is>
          <t>1013248</t>
        </is>
      </c>
      <c r="C958" t="inlineStr">
        <is>
          <t>AKÜ AGM,L5,DK,95AH,MM AGM S&amp;S,EXIDE OES</t>
        </is>
      </c>
      <c r="D958" s="19" t="inlineStr">
        <is>
          <t>1</t>
        </is>
      </c>
      <c r="E958" t="n">
        <v>0</v>
      </c>
      <c r="I958" s="19" t="inlineStr">
        <is>
          <t>2</t>
        </is>
      </c>
      <c r="J958" t="inlineStr">
        <is>
          <t>2026-08-08</t>
        </is>
      </c>
      <c r="L958" s="19" t="inlineStr">
        <is>
          <t>1013248</t>
        </is>
      </c>
      <c r="M958" t="inlineStr">
        <is>
          <t>STATUS=DOMESTIC-ONLY / NOT IN OEM PACKAGE; SOURCE_CFG=IA-ST-CFG-0121; MARKET=MAKO OES (Yurt İçi)</t>
        </is>
      </c>
      <c r="N958" t="inlineStr">
        <is>
          <t>2026-08-10T19:29:54Z</t>
        </is>
      </c>
      <c r="O958" t="inlineStr">
        <is>
          <t>2026-08-10T19:29:54Z</t>
        </is>
      </c>
    </row>
    <row r="959">
      <c r="A959" s="19" t="inlineStr">
        <is>
          <t>958</t>
        </is>
      </c>
      <c r="B959" s="19" t="inlineStr">
        <is>
          <t>1013249</t>
        </is>
      </c>
      <c r="C959" t="inlineStr">
        <is>
          <t>AKÜ,L2,TK,62AH,IGYA SMF,MAKO,EXIDE OES</t>
        </is>
      </c>
      <c r="D959" s="19" t="inlineStr">
        <is>
          <t>1</t>
        </is>
      </c>
      <c r="E959" t="n">
        <v>0</v>
      </c>
      <c r="I959" s="19" t="inlineStr">
        <is>
          <t>2</t>
        </is>
      </c>
      <c r="J959" t="inlineStr">
        <is>
          <t>2026-08-08</t>
        </is>
      </c>
      <c r="L959" s="19" t="inlineStr">
        <is>
          <t>1013249</t>
        </is>
      </c>
      <c r="M959" t="inlineStr">
        <is>
          <t>STATUS=DOMESTIC-ONLY / NOT IN OEM PACKAGE; SOURCE_CFG=IA-ST-CFG-0242; MARKET=MAKO OES (Yurt İçi)</t>
        </is>
      </c>
      <c r="N959" t="inlineStr">
        <is>
          <t>2026-08-10T19:29:54Z</t>
        </is>
      </c>
      <c r="O959" t="inlineStr">
        <is>
          <t>2026-08-10T19:29:54Z</t>
        </is>
      </c>
    </row>
    <row r="960">
      <c r="A960" s="19" t="inlineStr">
        <is>
          <t>959</t>
        </is>
      </c>
      <c r="B960" s="19" t="inlineStr">
        <is>
          <t>1013251</t>
        </is>
      </c>
      <c r="C960" t="inlineStr">
        <is>
          <t>AKÜ,L5,DK,95AH,IGYA SMF,MAKO,EXIDE OES</t>
        </is>
      </c>
      <c r="D960" s="19" t="inlineStr">
        <is>
          <t>1</t>
        </is>
      </c>
      <c r="E960" t="n">
        <v>0</v>
      </c>
      <c r="I960" s="19" t="inlineStr">
        <is>
          <t>2</t>
        </is>
      </c>
      <c r="J960" t="inlineStr">
        <is>
          <t>2026-08-08</t>
        </is>
      </c>
      <c r="L960" s="19" t="inlineStr">
        <is>
          <t>1013251</t>
        </is>
      </c>
      <c r="M960" t="inlineStr">
        <is>
          <t>STATUS=DOMESTIC-ONLY / NOT IN OEM PACKAGE; SOURCE_CFG=IA-ST-CFG-0121; MARKET=MAKO OES (Yurt İçi)</t>
        </is>
      </c>
      <c r="N960" t="inlineStr">
        <is>
          <t>2026-08-10T19:29:54Z</t>
        </is>
      </c>
      <c r="O960" t="inlineStr">
        <is>
          <t>2026-08-10T19:29:54Z</t>
        </is>
      </c>
    </row>
    <row r="961">
      <c r="A961" s="19" t="inlineStr">
        <is>
          <t>960</t>
        </is>
      </c>
      <c r="B961" s="19" t="inlineStr">
        <is>
          <t>1013252</t>
        </is>
      </c>
      <c r="C961" t="inlineStr">
        <is>
          <t>AKÜ,D31,TK,95AH,IGYA SMF,MAKO,EXIDE OES</t>
        </is>
      </c>
      <c r="D961" s="19" t="inlineStr">
        <is>
          <t>1</t>
        </is>
      </c>
      <c r="E961" t="n">
        <v>0</v>
      </c>
      <c r="I961" s="19" t="inlineStr">
        <is>
          <t>2</t>
        </is>
      </c>
      <c r="J961" t="inlineStr">
        <is>
          <t>2026-08-08</t>
        </is>
      </c>
      <c r="L961" s="19" t="inlineStr">
        <is>
          <t>1013252</t>
        </is>
      </c>
      <c r="M961" t="inlineStr">
        <is>
          <t>STATUS=DOMESTIC-ONLY / NOT IN OEM PACKAGE; SOURCE_CFG=IA-ST-CFG-0119; MARKET=MAKO OES (Yurt İçi)</t>
        </is>
      </c>
      <c r="N961" t="inlineStr">
        <is>
          <t>2026-08-10T19:29:54Z</t>
        </is>
      </c>
      <c r="O961" t="inlineStr">
        <is>
          <t>2026-08-10T19:29:54Z</t>
        </is>
      </c>
    </row>
    <row r="962">
      <c r="A962" s="19" t="inlineStr">
        <is>
          <t>961</t>
        </is>
      </c>
      <c r="B962" s="19" t="inlineStr">
        <is>
          <t>1013260</t>
        </is>
      </c>
      <c r="C962" t="inlineStr">
        <is>
          <t>AKÜ,L6,DK,105AH,AGMS&amp;S,DUCATO FIATYP,OES</t>
        </is>
      </c>
      <c r="D962" s="19" t="inlineStr">
        <is>
          <t>1</t>
        </is>
      </c>
      <c r="E962" t="n">
        <v>0</v>
      </c>
      <c r="I962" s="19" t="inlineStr">
        <is>
          <t>2</t>
        </is>
      </c>
      <c r="J962" t="inlineStr">
        <is>
          <t>2026-08-08</t>
        </is>
      </c>
      <c r="L962" s="19" t="inlineStr">
        <is>
          <t>1013260</t>
        </is>
      </c>
      <c r="M962" t="inlineStr">
        <is>
          <t>STATUS=DOMESTIC-ONLY / NOT IN OEM PACKAGE; SOURCE_CFG=IA-ST-CFG-0074; MARKET=TOFAŞ (Yurt İçi)</t>
        </is>
      </c>
      <c r="N962" t="inlineStr">
        <is>
          <t>2026-08-10T19:29:54Z</t>
        </is>
      </c>
      <c r="O962" t="inlineStr">
        <is>
          <t>2026-08-10T19:29:54Z</t>
        </is>
      </c>
    </row>
    <row r="963">
      <c r="A963" s="19" t="inlineStr">
        <is>
          <t>962</t>
        </is>
      </c>
      <c r="B963" s="19" t="inlineStr">
        <is>
          <t>1013274</t>
        </is>
      </c>
      <c r="C963" t="inlineStr">
        <is>
          <t>AKÜ,A-IGYASMF,DK,120AH,PILOT PERFORMANCE</t>
        </is>
      </c>
      <c r="D963" s="19" t="inlineStr">
        <is>
          <t>1</t>
        </is>
      </c>
      <c r="E963" t="n">
        <v>0</v>
      </c>
      <c r="I963" s="19" t="inlineStr">
        <is>
          <t>2</t>
        </is>
      </c>
      <c r="J963" t="inlineStr">
        <is>
          <t>2026-08-08</t>
        </is>
      </c>
      <c r="L963" s="19" t="inlineStr">
        <is>
          <t>1013274</t>
        </is>
      </c>
      <c r="M963" t="inlineStr">
        <is>
          <t>STATUS=IN OEM / EU PACKAGE; SOURCE_CFG=IA-ST-CFG-0039; MARKET=LAMPA ITALY İTALYA</t>
        </is>
      </c>
      <c r="N963" t="inlineStr">
        <is>
          <t>2026-08-10T19:29:54Z</t>
        </is>
      </c>
      <c r="O963" t="inlineStr">
        <is>
          <t>2026-08-10T19:29:54Z</t>
        </is>
      </c>
    </row>
    <row r="964">
      <c r="A964" s="19" t="inlineStr">
        <is>
          <t>963</t>
        </is>
      </c>
      <c r="B964" s="19" t="inlineStr">
        <is>
          <t>1013275</t>
        </is>
      </c>
      <c r="C964" t="inlineStr">
        <is>
          <t>AKÜ,A-IGYASMF,DK,140AH,PILOT PERFORMANCE</t>
        </is>
      </c>
      <c r="D964" s="19" t="inlineStr">
        <is>
          <t>1</t>
        </is>
      </c>
      <c r="E964" t="n">
        <v>0</v>
      </c>
      <c r="I964" s="19" t="inlineStr">
        <is>
          <t>2</t>
        </is>
      </c>
      <c r="J964" t="inlineStr">
        <is>
          <t>2026-08-08</t>
        </is>
      </c>
      <c r="L964" s="19" t="inlineStr">
        <is>
          <t>1013275</t>
        </is>
      </c>
      <c r="M964" t="inlineStr">
        <is>
          <t>STATUS=IN OEM / EU PACKAGE; SOURCE_CFG=IA-ST-CFG-0039; MARKET=LAMPA ITALY İTALYA</t>
        </is>
      </c>
      <c r="N964" t="inlineStr">
        <is>
          <t>2026-08-10T19:29:54Z</t>
        </is>
      </c>
      <c r="O964" t="inlineStr">
        <is>
          <t>2026-08-10T19:29:54Z</t>
        </is>
      </c>
    </row>
    <row r="965">
      <c r="A965" s="19" t="inlineStr">
        <is>
          <t>964</t>
        </is>
      </c>
      <c r="B965" s="19" t="inlineStr">
        <is>
          <t>1013276</t>
        </is>
      </c>
      <c r="C965" t="inlineStr">
        <is>
          <t>AKÜ,B-IGYASMF,DK,150AH,PILOT PERFORMANCE</t>
        </is>
      </c>
      <c r="D965" s="19" t="inlineStr">
        <is>
          <t>1</t>
        </is>
      </c>
      <c r="E965" t="n">
        <v>0</v>
      </c>
      <c r="I965" s="19" t="inlineStr">
        <is>
          <t>2</t>
        </is>
      </c>
      <c r="J965" t="inlineStr">
        <is>
          <t>2026-08-08</t>
        </is>
      </c>
      <c r="L965" s="19" t="inlineStr">
        <is>
          <t>1013276</t>
        </is>
      </c>
      <c r="M965" t="inlineStr">
        <is>
          <t>STATUS=IN OEM / EU PACKAGE; SOURCE_CFG=IA-ST-CFG-0029; MARKET=LAMPA ITALY İTALYA</t>
        </is>
      </c>
      <c r="N965" t="inlineStr">
        <is>
          <t>2026-08-10T19:29:54Z</t>
        </is>
      </c>
      <c r="O965" t="inlineStr">
        <is>
          <t>2026-08-10T19:29:54Z</t>
        </is>
      </c>
    </row>
    <row r="966">
      <c r="A966" s="19" t="inlineStr">
        <is>
          <t>965</t>
        </is>
      </c>
      <c r="B966" s="19" t="inlineStr">
        <is>
          <t>1013277</t>
        </is>
      </c>
      <c r="C966" t="inlineStr">
        <is>
          <t>AKÜ,B-IGYASMF,TK,150AH,PILOT PERFORMANCE</t>
        </is>
      </c>
      <c r="D966" s="19" t="inlineStr">
        <is>
          <t>1</t>
        </is>
      </c>
      <c r="E966" t="n">
        <v>0</v>
      </c>
      <c r="I966" s="19" t="inlineStr">
        <is>
          <t>2</t>
        </is>
      </c>
      <c r="J966" t="inlineStr">
        <is>
          <t>2026-08-08</t>
        </is>
      </c>
      <c r="L966" s="19" t="inlineStr">
        <is>
          <t>1013277</t>
        </is>
      </c>
      <c r="M966" t="inlineStr">
        <is>
          <t>STATUS=IN OEM / EU PACKAGE; SOURCE_CFG=IA-ST-CFG-0029; MARKET=LAMPA ITALY İTALYA</t>
        </is>
      </c>
      <c r="N966" t="inlineStr">
        <is>
          <t>2026-08-10T19:29:54Z</t>
        </is>
      </c>
      <c r="O966" t="inlineStr">
        <is>
          <t>2026-08-10T19:29:54Z</t>
        </is>
      </c>
    </row>
    <row r="967">
      <c r="A967" s="19" t="inlineStr">
        <is>
          <t>966</t>
        </is>
      </c>
      <c r="B967" s="19" t="inlineStr">
        <is>
          <t>1013280</t>
        </is>
      </c>
      <c r="C967" t="inlineStr">
        <is>
          <t>AKÜ,B-IGYASMF,DK,180AH,PILOT PERFORMANCE</t>
        </is>
      </c>
      <c r="D967" s="19" t="inlineStr">
        <is>
          <t>1</t>
        </is>
      </c>
      <c r="E967" t="n">
        <v>0</v>
      </c>
      <c r="I967" s="19" t="inlineStr">
        <is>
          <t>2</t>
        </is>
      </c>
      <c r="J967" t="inlineStr">
        <is>
          <t>2026-08-08</t>
        </is>
      </c>
      <c r="L967" s="19" t="inlineStr">
        <is>
          <t>1013280</t>
        </is>
      </c>
      <c r="M967" t="inlineStr">
        <is>
          <t>STATUS=IN OEM / EU PACKAGE; SOURCE_CFG=IA-ST-CFG-0029; MARKET=LAMPA ITALY İTALYA</t>
        </is>
      </c>
      <c r="N967" t="inlineStr">
        <is>
          <t>2026-08-10T19:29:54Z</t>
        </is>
      </c>
      <c r="O967" t="inlineStr">
        <is>
          <t>2026-08-10T19:29:54Z</t>
        </is>
      </c>
    </row>
    <row r="968">
      <c r="A968" s="19" t="inlineStr">
        <is>
          <t>967</t>
        </is>
      </c>
      <c r="B968" s="19" t="inlineStr">
        <is>
          <t>1013281</t>
        </is>
      </c>
      <c r="C968" t="inlineStr">
        <is>
          <t>AKÜ,C-IGYASMF,DK,200AH,PILOT PERFORMANCE</t>
        </is>
      </c>
      <c r="D968" s="19" t="inlineStr">
        <is>
          <t>1</t>
        </is>
      </c>
      <c r="E968" t="n">
        <v>0</v>
      </c>
      <c r="I968" s="19" t="inlineStr">
        <is>
          <t>2</t>
        </is>
      </c>
      <c r="J968" t="inlineStr">
        <is>
          <t>2026-08-08</t>
        </is>
      </c>
      <c r="L968" s="19" t="inlineStr">
        <is>
          <t>1013281</t>
        </is>
      </c>
      <c r="M968" t="inlineStr">
        <is>
          <t>STATUS=IN OEM / EU PACKAGE; SOURCE_CFG=IA-ST-CFG-0014; MARKET=LAMPA ITALY İTALYA</t>
        </is>
      </c>
      <c r="N968" t="inlineStr">
        <is>
          <t>2026-08-10T19:29:54Z</t>
        </is>
      </c>
      <c r="O968" t="inlineStr">
        <is>
          <t>2026-08-10T19:29:54Z</t>
        </is>
      </c>
    </row>
    <row r="969">
      <c r="A969" s="19" t="inlineStr">
        <is>
          <t>968</t>
        </is>
      </c>
      <c r="B969" s="19" t="inlineStr">
        <is>
          <t>1013283</t>
        </is>
      </c>
      <c r="C969" t="inlineStr">
        <is>
          <t>AKÜ,C-IGYASMF,DK,225AH,PILOT PERFORMANCE</t>
        </is>
      </c>
      <c r="D969" s="19" t="inlineStr">
        <is>
          <t>1</t>
        </is>
      </c>
      <c r="E969" t="n">
        <v>0</v>
      </c>
      <c r="I969" s="19" t="inlineStr">
        <is>
          <t>2</t>
        </is>
      </c>
      <c r="J969" t="inlineStr">
        <is>
          <t>2026-08-08</t>
        </is>
      </c>
      <c r="L969" s="19" t="inlineStr">
        <is>
          <t>1013283</t>
        </is>
      </c>
      <c r="M969" t="inlineStr">
        <is>
          <t>STATUS=IN OEM / EU PACKAGE; SOURCE_CFG=IA-ST-CFG-0014; MARKET=LAMPA ITALY İTALYA</t>
        </is>
      </c>
      <c r="N969" t="inlineStr">
        <is>
          <t>2026-08-10T19:29:54Z</t>
        </is>
      </c>
      <c r="O969" t="inlineStr">
        <is>
          <t>2026-08-10T19:29:54Z</t>
        </is>
      </c>
    </row>
    <row r="970">
      <c r="A970" s="19" t="inlineStr">
        <is>
          <t>969</t>
        </is>
      </c>
      <c r="B970" s="19" t="inlineStr">
        <is>
          <t>1013285</t>
        </is>
      </c>
      <c r="C970" t="inlineStr">
        <is>
          <t>AKÜ,AGM,L3,DK,70AH,HUGEL AGM S&amp;S,EURO</t>
        </is>
      </c>
      <c r="D970" s="19" t="inlineStr">
        <is>
          <t>1</t>
        </is>
      </c>
      <c r="E970" t="n">
        <v>0</v>
      </c>
      <c r="I970" s="19" t="inlineStr">
        <is>
          <t>2</t>
        </is>
      </c>
      <c r="J970" t="inlineStr">
        <is>
          <t>2026-08-08</t>
        </is>
      </c>
      <c r="L970" s="19" t="inlineStr">
        <is>
          <t>1013285</t>
        </is>
      </c>
      <c r="M970" t="inlineStr">
        <is>
          <t>STATUS=IN OEM / EU PACKAGE; SOURCE_CFG=IA-ST-CFG-0200; MARKET=None</t>
        </is>
      </c>
      <c r="N970" t="inlineStr">
        <is>
          <t>2026-08-10T19:29:54Z</t>
        </is>
      </c>
      <c r="O970" t="inlineStr">
        <is>
          <t>2026-08-10T19:29:54Z</t>
        </is>
      </c>
    </row>
    <row r="971">
      <c r="A971" s="19" t="inlineStr">
        <is>
          <t>970</t>
        </is>
      </c>
      <c r="B971" s="19" t="inlineStr">
        <is>
          <t>1013286</t>
        </is>
      </c>
      <c r="C971" t="inlineStr">
        <is>
          <t>AKÜ,AGM,L5,DK,92AH,HUGEL AGM S&amp;S,EURO</t>
        </is>
      </c>
      <c r="D971" s="19" t="inlineStr">
        <is>
          <t>1</t>
        </is>
      </c>
      <c r="E971" t="n">
        <v>0</v>
      </c>
      <c r="I971" s="19" t="inlineStr">
        <is>
          <t>2</t>
        </is>
      </c>
      <c r="J971" t="inlineStr">
        <is>
          <t>2026-08-08</t>
        </is>
      </c>
      <c r="L971" s="19" t="inlineStr">
        <is>
          <t>1013286</t>
        </is>
      </c>
      <c r="M971" t="inlineStr">
        <is>
          <t>STATUS=IN OEM / EU PACKAGE; SOURCE_CFG=IA-ST-CFG-0116; MARKET=None</t>
        </is>
      </c>
      <c r="N971" t="inlineStr">
        <is>
          <t>2026-08-10T19:29:54Z</t>
        </is>
      </c>
      <c r="O971" t="inlineStr">
        <is>
          <t>2026-08-10T19:29:54Z</t>
        </is>
      </c>
    </row>
    <row r="972">
      <c r="A972" s="19" t="inlineStr">
        <is>
          <t>971</t>
        </is>
      </c>
      <c r="B972" s="19" t="inlineStr">
        <is>
          <t>1013300</t>
        </is>
      </c>
      <c r="C972" t="inlineStr">
        <is>
          <t>AKÜ,L1,DK,50AH,IGYA SMF,EAS ACTIVA</t>
        </is>
      </c>
      <c r="D972" s="19" t="inlineStr">
        <is>
          <t>1</t>
        </is>
      </c>
      <c r="E972" t="n">
        <v>0</v>
      </c>
      <c r="I972" s="19" t="inlineStr">
        <is>
          <t>2</t>
        </is>
      </c>
      <c r="J972" t="inlineStr">
        <is>
          <t>2026-08-08</t>
        </is>
      </c>
      <c r="L972" s="19" t="inlineStr">
        <is>
          <t>1013300</t>
        </is>
      </c>
      <c r="M972" t="inlineStr">
        <is>
          <t>STATUS=IN OEM / EU PACKAGE; SOURCE_CFG=IA-ST-CFG-0248; MARKET=None</t>
        </is>
      </c>
      <c r="N972" t="inlineStr">
        <is>
          <t>2026-08-10T19:29:54Z</t>
        </is>
      </c>
      <c r="O972" t="inlineStr">
        <is>
          <t>2026-08-10T19:29:54Z</t>
        </is>
      </c>
    </row>
    <row r="973">
      <c r="A973" s="19" t="inlineStr">
        <is>
          <t>972</t>
        </is>
      </c>
      <c r="B973" s="19" t="inlineStr">
        <is>
          <t>1013306</t>
        </is>
      </c>
      <c r="C973" t="inlineStr">
        <is>
          <t>AKÜ,L3,DK,75AH,IGYA,Y3000 EXPORT,NACITA</t>
        </is>
      </c>
      <c r="D973" s="19" t="inlineStr">
        <is>
          <t>1</t>
        </is>
      </c>
      <c r="E973" t="n">
        <v>0</v>
      </c>
      <c r="I973" s="19" t="inlineStr">
        <is>
          <t>2</t>
        </is>
      </c>
      <c r="J973" t="inlineStr">
        <is>
          <t>2026-08-08</t>
        </is>
      </c>
      <c r="L973" s="19" t="inlineStr">
        <is>
          <t>1013306</t>
        </is>
      </c>
      <c r="M973" t="inlineStr">
        <is>
          <t>STATUS=IN OEM / EU PACKAGE; SOURCE_CFG=IA-ST-CFG-0179; MARKET=MISIR NACITA</t>
        </is>
      </c>
      <c r="N973" t="inlineStr">
        <is>
          <t>2026-08-10T19:29:54Z</t>
        </is>
      </c>
      <c r="O973" t="inlineStr">
        <is>
          <t>2026-08-10T19:29:54Z</t>
        </is>
      </c>
    </row>
    <row r="974">
      <c r="A974" s="19" t="inlineStr">
        <is>
          <t>973</t>
        </is>
      </c>
      <c r="B974" s="19" t="inlineStr">
        <is>
          <t>1013311</t>
        </is>
      </c>
      <c r="C974" t="inlineStr">
        <is>
          <t>AKÜ,LB2,DK60AH,IGYSMF,EDIXBLUE,CANARIBAT</t>
        </is>
      </c>
      <c r="D974" s="19" t="inlineStr">
        <is>
          <t>1</t>
        </is>
      </c>
      <c r="E974" t="n">
        <v>0</v>
      </c>
      <c r="I974" s="19" t="inlineStr">
        <is>
          <t>2</t>
        </is>
      </c>
      <c r="J974" t="inlineStr">
        <is>
          <t>2026-08-08</t>
        </is>
      </c>
      <c r="L974" s="19" t="inlineStr">
        <is>
          <t>1013311</t>
        </is>
      </c>
      <c r="M974" t="inlineStr">
        <is>
          <t>STATUS=IN OEM / EU PACKAGE; SOURCE_CFG=IA-ST-CFG-0240; MARKET=CANARIBAT İSPANYA</t>
        </is>
      </c>
      <c r="N974" t="inlineStr">
        <is>
          <t>2026-08-10T19:29:54Z</t>
        </is>
      </c>
      <c r="O974" t="inlineStr">
        <is>
          <t>2026-08-10T19:29:54Z</t>
        </is>
      </c>
    </row>
    <row r="975">
      <c r="A975" s="19" t="inlineStr">
        <is>
          <t>974</t>
        </is>
      </c>
      <c r="B975" s="19" t="inlineStr">
        <is>
          <t>1013312</t>
        </is>
      </c>
      <c r="C975" t="inlineStr">
        <is>
          <t>AKÜ,C-IGYASMF,DK225AH,EDIXBLUE,CANARIBAT</t>
        </is>
      </c>
      <c r="D975" s="19" t="inlineStr">
        <is>
          <t>1</t>
        </is>
      </c>
      <c r="E975" t="n">
        <v>0</v>
      </c>
      <c r="I975" s="19" t="inlineStr">
        <is>
          <t>2</t>
        </is>
      </c>
      <c r="J975" t="inlineStr">
        <is>
          <t>2026-08-08</t>
        </is>
      </c>
      <c r="L975" s="19" t="inlineStr">
        <is>
          <t>1013312</t>
        </is>
      </c>
      <c r="M975" t="inlineStr">
        <is>
          <t>STATUS=IN OEM / EU PACKAGE; SOURCE_CFG=IA-ST-CFG-0014; MARKET=CANARIBAT İSPANYA</t>
        </is>
      </c>
      <c r="N975" t="inlineStr">
        <is>
          <t>2026-08-10T19:29:54Z</t>
        </is>
      </c>
      <c r="O975" t="inlineStr">
        <is>
          <t>2026-08-10T19:29:54Z</t>
        </is>
      </c>
    </row>
    <row r="976">
      <c r="A976" s="19" t="inlineStr">
        <is>
          <t>975</t>
        </is>
      </c>
      <c r="B976" s="19" t="inlineStr">
        <is>
          <t>1013319</t>
        </is>
      </c>
      <c r="C976" t="inlineStr">
        <is>
          <t>AKÜ,D23,DK,60AH430A,IGYA,Y3000,ORTA DOĞU</t>
        </is>
      </c>
      <c r="D976" s="19" t="inlineStr">
        <is>
          <t>1</t>
        </is>
      </c>
      <c r="E976" t="n">
        <v>0</v>
      </c>
      <c r="I976" s="19" t="inlineStr">
        <is>
          <t>2</t>
        </is>
      </c>
      <c r="J976" t="inlineStr">
        <is>
          <t>2026-08-08</t>
        </is>
      </c>
      <c r="L976" s="19" t="inlineStr">
        <is>
          <t>1013319</t>
        </is>
      </c>
      <c r="M976" t="inlineStr">
        <is>
          <t>STATUS=IN OEM / EU PACKAGE; SOURCE_CFG=IA-ST-CFG-0219; MARKET=YUASA 3000 EXPORT</t>
        </is>
      </c>
      <c r="N976" t="inlineStr">
        <is>
          <t>2026-08-10T19:29:54Z</t>
        </is>
      </c>
      <c r="O976" t="inlineStr">
        <is>
          <t>2026-08-10T19:29:54Z</t>
        </is>
      </c>
    </row>
    <row r="977">
      <c r="A977" s="19" t="inlineStr">
        <is>
          <t>976</t>
        </is>
      </c>
      <c r="B977" s="19" t="inlineStr">
        <is>
          <t>1013321</t>
        </is>
      </c>
      <c r="C977" t="inlineStr">
        <is>
          <t>AKÜ,D26,DK,72AH,IGYA,Y3000 EXPORT,KOLİLİ</t>
        </is>
      </c>
      <c r="D977" s="19" t="inlineStr">
        <is>
          <t>1</t>
        </is>
      </c>
      <c r="E977" t="n">
        <v>0</v>
      </c>
      <c r="I977" s="19" t="inlineStr">
        <is>
          <t>2</t>
        </is>
      </c>
      <c r="J977" t="inlineStr">
        <is>
          <t>2026-08-08</t>
        </is>
      </c>
      <c r="L977" s="19" t="inlineStr">
        <is>
          <t>1013321</t>
        </is>
      </c>
      <c r="M977" t="inlineStr">
        <is>
          <t>STATUS=IN OEM / EU PACKAGE; SOURCE_CFG=IA-ST-CFG-0157; MARKET=YUASA 3000 EXPORT</t>
        </is>
      </c>
      <c r="N977" t="inlineStr">
        <is>
          <t>2026-08-10T19:29:54Z</t>
        </is>
      </c>
      <c r="O977" t="inlineStr">
        <is>
          <t>2026-08-10T19:29:54Z</t>
        </is>
      </c>
    </row>
    <row r="978">
      <c r="A978" s="19" t="inlineStr">
        <is>
          <t>977</t>
        </is>
      </c>
      <c r="B978" s="19" t="inlineStr">
        <is>
          <t>1013333</t>
        </is>
      </c>
      <c r="C978" t="inlineStr">
        <is>
          <t>AKÜ,D31,DK,90AH670A,IGYA,Y3000,ORTA DOĞU</t>
        </is>
      </c>
      <c r="D978" s="19" t="inlineStr">
        <is>
          <t>1</t>
        </is>
      </c>
      <c r="E978" t="n">
        <v>0</v>
      </c>
      <c r="I978" s="19" t="inlineStr">
        <is>
          <t>2</t>
        </is>
      </c>
      <c r="J978" t="inlineStr">
        <is>
          <t>2026-08-08</t>
        </is>
      </c>
      <c r="L978" s="19" t="inlineStr">
        <is>
          <t>1013333</t>
        </is>
      </c>
      <c r="M978" t="inlineStr">
        <is>
          <t>STATUS=IN OEM / EU PACKAGE; SOURCE_CFG=IA-ST-CFG-0143; MARKET=YUASA 3000 EXPORT</t>
        </is>
      </c>
      <c r="N978" t="inlineStr">
        <is>
          <t>2026-08-10T19:29:54Z</t>
        </is>
      </c>
      <c r="O978" t="inlineStr">
        <is>
          <t>2026-08-10T19:29:54Z</t>
        </is>
      </c>
    </row>
    <row r="979">
      <c r="A979" s="19" t="inlineStr">
        <is>
          <t>978</t>
        </is>
      </c>
      <c r="B979" s="19" t="inlineStr">
        <is>
          <t>1013347</t>
        </is>
      </c>
      <c r="C979" t="inlineStr">
        <is>
          <t>AKÜ,L4,DK,82AH,IGYSMF,Y3000EXPORT,KOLİLİ</t>
        </is>
      </c>
      <c r="D979" s="19" t="inlineStr">
        <is>
          <t>1</t>
        </is>
      </c>
      <c r="E979" t="n">
        <v>0</v>
      </c>
      <c r="I979" s="19" t="inlineStr">
        <is>
          <t>2</t>
        </is>
      </c>
      <c r="J979" t="inlineStr">
        <is>
          <t>2026-08-08</t>
        </is>
      </c>
      <c r="L979" s="19" t="inlineStr">
        <is>
          <t>1013347</t>
        </is>
      </c>
      <c r="M979" t="inlineStr">
        <is>
          <t>STATUS=IN OEM / EU PACKAGE; SOURCE_CFG=IA-ST-CFG-0124; MARKET=YUASA 3000 EXPORT</t>
        </is>
      </c>
      <c r="N979" t="inlineStr">
        <is>
          <t>2026-08-10T19:29:54Z</t>
        </is>
      </c>
      <c r="O979" t="inlineStr">
        <is>
          <t>2026-08-10T19:29:54Z</t>
        </is>
      </c>
    </row>
    <row r="980">
      <c r="A980" s="19" t="inlineStr">
        <is>
          <t>979</t>
        </is>
      </c>
      <c r="B980" s="19" t="inlineStr">
        <is>
          <t>1013380</t>
        </is>
      </c>
      <c r="C980" t="inlineStr">
        <is>
          <t>AKÜ,L2,DK,60AH,İNCİ AGM LEO,Y.DIŞIKOLİLİ</t>
        </is>
      </c>
      <c r="D980" s="19" t="inlineStr">
        <is>
          <t>1</t>
        </is>
      </c>
      <c r="E980" t="n">
        <v>0</v>
      </c>
      <c r="I980" s="19" t="inlineStr">
        <is>
          <t>2</t>
        </is>
      </c>
      <c r="J980" t="inlineStr">
        <is>
          <t>2026-08-08</t>
        </is>
      </c>
      <c r="L980" s="19" t="inlineStr">
        <is>
          <t>1013380</t>
        </is>
      </c>
      <c r="M980" t="inlineStr">
        <is>
          <t>STATUS=IN OEM / EU PACKAGE; SOURCE_CFG=IA-ST-CFG-0192; MARKET=None</t>
        </is>
      </c>
      <c r="N980" t="inlineStr">
        <is>
          <t>2026-08-10T19:29:54Z</t>
        </is>
      </c>
      <c r="O980" t="inlineStr">
        <is>
          <t>2026-08-10T19:29:54Z</t>
        </is>
      </c>
    </row>
    <row r="981">
      <c r="A981" s="19" t="inlineStr">
        <is>
          <t>980</t>
        </is>
      </c>
      <c r="B981" s="19" t="inlineStr">
        <is>
          <t>1013381</t>
        </is>
      </c>
      <c r="C981" t="inlineStr">
        <is>
          <t>AKÜ,L3,DK,70AH,İNCİ AGM LEO,Y.DIŞIKOLİLİ</t>
        </is>
      </c>
      <c r="D981" s="19" t="inlineStr">
        <is>
          <t>1</t>
        </is>
      </c>
      <c r="E981" t="n">
        <v>0</v>
      </c>
      <c r="I981" s="19" t="inlineStr">
        <is>
          <t>2</t>
        </is>
      </c>
      <c r="J981" t="inlineStr">
        <is>
          <t>2026-08-08</t>
        </is>
      </c>
      <c r="L981" s="19" t="inlineStr">
        <is>
          <t>1013381</t>
        </is>
      </c>
      <c r="M981" t="inlineStr">
        <is>
          <t>STATUS=IN OEM / EU PACKAGE; SOURCE_CFG=IA-ST-CFG-0138; MARKET=None</t>
        </is>
      </c>
      <c r="N981" t="inlineStr">
        <is>
          <t>2026-08-10T19:29:54Z</t>
        </is>
      </c>
      <c r="O981" t="inlineStr">
        <is>
          <t>2026-08-10T19:29:54Z</t>
        </is>
      </c>
    </row>
    <row r="982">
      <c r="A982" s="19" t="inlineStr">
        <is>
          <t>981</t>
        </is>
      </c>
      <c r="B982" s="19" t="inlineStr">
        <is>
          <t>1013383</t>
        </is>
      </c>
      <c r="C982" t="inlineStr">
        <is>
          <t>AKÜ,L5,DK,95AH,İNCİ AGM LEO,Y.DIŞIKOLİLİ</t>
        </is>
      </c>
      <c r="D982" s="19" t="inlineStr">
        <is>
          <t>1</t>
        </is>
      </c>
      <c r="E982" t="n">
        <v>0</v>
      </c>
      <c r="I982" s="19" t="inlineStr">
        <is>
          <t>2</t>
        </is>
      </c>
      <c r="J982" t="inlineStr">
        <is>
          <t>2026-08-08</t>
        </is>
      </c>
      <c r="L982" s="19" t="inlineStr">
        <is>
          <t>1013383</t>
        </is>
      </c>
      <c r="M982" t="inlineStr">
        <is>
          <t>STATUS=IN OEM / EU PACKAGE; SOURCE_CFG=IA-ST-CFG-0090; MARKET=None</t>
        </is>
      </c>
      <c r="N982" t="inlineStr">
        <is>
          <t>2026-08-10T19:29:54Z</t>
        </is>
      </c>
      <c r="O982" t="inlineStr">
        <is>
          <t>2026-08-10T19:29:54Z</t>
        </is>
      </c>
    </row>
    <row r="983">
      <c r="A983" s="19" t="inlineStr">
        <is>
          <t>982</t>
        </is>
      </c>
      <c r="B983" s="19" t="inlineStr">
        <is>
          <t>1013391</t>
        </is>
      </c>
      <c r="C983" t="inlineStr">
        <is>
          <t>AKÜ,D31,DK,105AH,IGYSMF,İNCİTAURS,OTOKAR</t>
        </is>
      </c>
      <c r="D983" s="19" t="inlineStr">
        <is>
          <t>1</t>
        </is>
      </c>
      <c r="E983" t="n">
        <v>0</v>
      </c>
      <c r="I983" s="19" t="inlineStr">
        <is>
          <t>2</t>
        </is>
      </c>
      <c r="J983" t="inlineStr">
        <is>
          <t>2026-08-08</t>
        </is>
      </c>
      <c r="L983" s="19" t="inlineStr">
        <is>
          <t>1013391</t>
        </is>
      </c>
      <c r="M983" t="inlineStr">
        <is>
          <t>STATUS=DOMESTIC-ONLY / NOT IN OEM PACKAGE; SOURCE_CFG=IA-ST-CFG-0008; MARKET=OTOKAR (Yurt İçi)</t>
        </is>
      </c>
      <c r="N983" t="inlineStr">
        <is>
          <t>2026-08-10T19:29:54Z</t>
        </is>
      </c>
      <c r="O983" t="inlineStr">
        <is>
          <t>2026-08-10T19:29:54Z</t>
        </is>
      </c>
    </row>
    <row r="984">
      <c r="A984" s="19" t="inlineStr">
        <is>
          <t>983</t>
        </is>
      </c>
      <c r="B984" s="19" t="inlineStr">
        <is>
          <t>1013393</t>
        </is>
      </c>
      <c r="C984" t="inlineStr">
        <is>
          <t>AKÜ,C-FLAT,DK240AH,İNCİSUPRASENT,TRADING</t>
        </is>
      </c>
      <c r="D984" s="19" t="inlineStr">
        <is>
          <t>1</t>
        </is>
      </c>
      <c r="E984" t="n">
        <v>0</v>
      </c>
      <c r="I984" s="19" t="inlineStr">
        <is>
          <t>2</t>
        </is>
      </c>
      <c r="J984" t="inlineStr">
        <is>
          <t>2026-08-08</t>
        </is>
      </c>
      <c r="L984" s="19" t="inlineStr">
        <is>
          <t>1013393</t>
        </is>
      </c>
      <c r="M984" t="inlineStr">
        <is>
          <t>STATUS=IN OEM / EU PACKAGE; SOURCE_CFG=IA-ST-CFG-0014; MARKET=START TRADING BULGARİSTAN</t>
        </is>
      </c>
      <c r="N984" t="inlineStr">
        <is>
          <t>2026-08-10T19:29:54Z</t>
        </is>
      </c>
      <c r="O984" t="inlineStr">
        <is>
          <t>2026-08-10T19:29:54Z</t>
        </is>
      </c>
    </row>
    <row r="985">
      <c r="A985" s="19" t="inlineStr">
        <is>
          <t>984</t>
        </is>
      </c>
      <c r="B985" s="19" t="inlineStr">
        <is>
          <t>1013394</t>
        </is>
      </c>
      <c r="C985" t="inlineStr">
        <is>
          <t>AKÜ,C-IGYASMF,DK,225AH,SHD,İNCİFORMULA</t>
        </is>
      </c>
      <c r="D985" s="19" t="inlineStr">
        <is>
          <t>1</t>
        </is>
      </c>
      <c r="E985" t="n">
        <v>0</v>
      </c>
      <c r="I985" s="19" t="inlineStr">
        <is>
          <t>2</t>
        </is>
      </c>
      <c r="J985" t="inlineStr">
        <is>
          <t>2026-08-08</t>
        </is>
      </c>
      <c r="L985" s="19" t="inlineStr">
        <is>
          <t>1013394</t>
        </is>
      </c>
      <c r="M985" t="inlineStr">
        <is>
          <t>STATUS=IN OEM / EU PACKAGE; SOURCE_CFG=IA-ST-CFG-0023; MARKET=None</t>
        </is>
      </c>
      <c r="N985" t="inlineStr">
        <is>
          <t>2026-08-10T19:29:54Z</t>
        </is>
      </c>
      <c r="O985" t="inlineStr">
        <is>
          <t>2026-08-10T19:29:54Z</t>
        </is>
      </c>
    </row>
    <row r="986">
      <c r="A986" s="19" t="inlineStr">
        <is>
          <t>985</t>
        </is>
      </c>
      <c r="B986" s="19" t="inlineStr">
        <is>
          <t>1013397</t>
        </is>
      </c>
      <c r="C986" t="inlineStr">
        <is>
          <t>AKÜ,D26,DK,72AH,IGYSMF,Y3000EXPORT,NAZIM</t>
        </is>
      </c>
      <c r="D986" s="19" t="inlineStr">
        <is>
          <t>1</t>
        </is>
      </c>
      <c r="E986" t="n">
        <v>0</v>
      </c>
      <c r="I986" s="19" t="inlineStr">
        <is>
          <t>2</t>
        </is>
      </c>
      <c r="J986" t="inlineStr">
        <is>
          <t>2026-08-08</t>
        </is>
      </c>
      <c r="L986" s="19" t="inlineStr">
        <is>
          <t>1013397</t>
        </is>
      </c>
      <c r="M986" t="inlineStr">
        <is>
          <t>STATUS=IN OEM / EU PACKAGE; SOURCE_CFG=IA-ST-CFG-0173; MARKET=None</t>
        </is>
      </c>
      <c r="N986" t="inlineStr">
        <is>
          <t>2026-08-10T19:29:54Z</t>
        </is>
      </c>
      <c r="O986" t="inlineStr">
        <is>
          <t>2026-08-10T19:29:54Z</t>
        </is>
      </c>
    </row>
    <row r="987">
      <c r="A987" s="19" t="inlineStr">
        <is>
          <t>986</t>
        </is>
      </c>
      <c r="B987" s="19" t="inlineStr">
        <is>
          <t>1013402</t>
        </is>
      </c>
      <c r="C987" t="inlineStr">
        <is>
          <t>AKÜ,L2,DK,60AH,IGYA SMF,HUGEL EFB S&amp;S</t>
        </is>
      </c>
      <c r="D987" s="19" t="inlineStr">
        <is>
          <t>1</t>
        </is>
      </c>
      <c r="E987" t="n">
        <v>0</v>
      </c>
      <c r="I987" s="19" t="inlineStr">
        <is>
          <t>2</t>
        </is>
      </c>
      <c r="J987" t="inlineStr">
        <is>
          <t>2026-08-08</t>
        </is>
      </c>
      <c r="L987" s="19" t="inlineStr">
        <is>
          <t>1013402</t>
        </is>
      </c>
      <c r="M987" t="inlineStr">
        <is>
          <t>STATUS=IN OEM / EU PACKAGE; SOURCE_CFG=IA-ST-CFG-0222; MARKET=None</t>
        </is>
      </c>
      <c r="N987" t="inlineStr">
        <is>
          <t>2026-08-10T19:29:54Z</t>
        </is>
      </c>
      <c r="O987" t="inlineStr">
        <is>
          <t>2026-08-10T19:29:54Z</t>
        </is>
      </c>
    </row>
    <row r="988">
      <c r="A988" s="19" t="inlineStr">
        <is>
          <t>987</t>
        </is>
      </c>
      <c r="B988" s="19" t="inlineStr">
        <is>
          <t>1013403</t>
        </is>
      </c>
      <c r="C988" t="inlineStr">
        <is>
          <t>AKÜ,L0,DK40AH,DINNEW,GRİSYH,STRONG,SCHNP</t>
        </is>
      </c>
      <c r="D988" s="19" t="inlineStr">
        <is>
          <t>1</t>
        </is>
      </c>
      <c r="E988" t="n">
        <v>0</v>
      </c>
      <c r="I988" s="19" t="inlineStr">
        <is>
          <t>2</t>
        </is>
      </c>
      <c r="J988" t="inlineStr">
        <is>
          <t>2026-08-08</t>
        </is>
      </c>
      <c r="L988" s="19" t="inlineStr">
        <is>
          <t>1013403</t>
        </is>
      </c>
      <c r="M988" t="inlineStr">
        <is>
          <t>STATUS=IN OEM / EU PACKAGE; SOURCE_CFG=IA-ST-CFG-0263; MARKET=SCHNAPP</t>
        </is>
      </c>
      <c r="N988" t="inlineStr">
        <is>
          <t>2026-08-10T19:29:54Z</t>
        </is>
      </c>
      <c r="O988" t="inlineStr">
        <is>
          <t>2026-08-10T19:29:54Z</t>
        </is>
      </c>
    </row>
    <row r="989">
      <c r="A989" s="19" t="inlineStr">
        <is>
          <t>988</t>
        </is>
      </c>
      <c r="B989" s="19" t="inlineStr">
        <is>
          <t>1013404</t>
        </is>
      </c>
      <c r="C989" t="inlineStr">
        <is>
          <t>AKÜ,B-IGYASMF,DK180AH,EDIXBLUE,CANARIBAT</t>
        </is>
      </c>
      <c r="D989" s="19" t="inlineStr">
        <is>
          <t>1</t>
        </is>
      </c>
      <c r="E989" t="n">
        <v>0</v>
      </c>
      <c r="I989" s="19" t="inlineStr">
        <is>
          <t>2</t>
        </is>
      </c>
      <c r="J989" t="inlineStr">
        <is>
          <t>2026-08-08</t>
        </is>
      </c>
      <c r="L989" s="19" t="inlineStr">
        <is>
          <t>1013404</t>
        </is>
      </c>
      <c r="M989" t="inlineStr">
        <is>
          <t>STATUS=IN OEM / EU PACKAGE; SOURCE_CFG=IA-ST-CFG-0029; MARKET=CANARIBAT İSPANYA</t>
        </is>
      </c>
      <c r="N989" t="inlineStr">
        <is>
          <t>2026-08-10T19:29:54Z</t>
        </is>
      </c>
      <c r="O989" t="inlineStr">
        <is>
          <t>2026-08-10T19:29:54Z</t>
        </is>
      </c>
    </row>
    <row r="990">
      <c r="A990" s="19" t="inlineStr">
        <is>
          <t>989</t>
        </is>
      </c>
      <c r="B990" s="19" t="inlineStr">
        <is>
          <t>1013405</t>
        </is>
      </c>
      <c r="C990" t="inlineStr">
        <is>
          <t>AKÜ,TRACTORL,DK,115AH,EDIXBLUE,CANARIBAT</t>
        </is>
      </c>
      <c r="D990" s="19" t="inlineStr">
        <is>
          <t>1</t>
        </is>
      </c>
      <c r="E990" t="n">
        <v>0</v>
      </c>
      <c r="I990" s="19" t="inlineStr">
        <is>
          <t>2</t>
        </is>
      </c>
      <c r="J990" t="inlineStr">
        <is>
          <t>2026-08-08</t>
        </is>
      </c>
      <c r="L990" s="19" t="inlineStr">
        <is>
          <t>1013405</t>
        </is>
      </c>
      <c r="M990" t="inlineStr">
        <is>
          <t>STATUS=IN OEM / EU PACKAGE; SOURCE_CFG=IA-ST-CFG-0070; MARKET=CANARIBAT İSPANYA</t>
        </is>
      </c>
      <c r="N990" t="inlineStr">
        <is>
          <t>2026-08-10T19:29:54Z</t>
        </is>
      </c>
      <c r="O990" t="inlineStr">
        <is>
          <t>2026-08-10T19:29:54Z</t>
        </is>
      </c>
    </row>
    <row r="991">
      <c r="A991" s="19" t="inlineStr">
        <is>
          <t>990</t>
        </is>
      </c>
      <c r="B991" s="19" t="inlineStr">
        <is>
          <t>1013409</t>
        </is>
      </c>
      <c r="C991" t="inlineStr">
        <is>
          <t>AKÜ,D23,TK,60AH,IGYA SMF,HUGEL ULTRA</t>
        </is>
      </c>
      <c r="D991" s="19" t="inlineStr">
        <is>
          <t>1</t>
        </is>
      </c>
      <c r="E991" t="n">
        <v>0</v>
      </c>
      <c r="I991" s="19" t="inlineStr">
        <is>
          <t>2</t>
        </is>
      </c>
      <c r="J991" t="inlineStr">
        <is>
          <t>2026-08-08</t>
        </is>
      </c>
      <c r="L991" s="19" t="inlineStr">
        <is>
          <t>1013409</t>
        </is>
      </c>
      <c r="M991" t="inlineStr">
        <is>
          <t>STATUS=IN OEM / EU PACKAGE; SOURCE_CFG=IA-ST-CFG-0219; MARKET=None</t>
        </is>
      </c>
      <c r="N991" t="inlineStr">
        <is>
          <t>2026-08-10T19:29:54Z</t>
        </is>
      </c>
      <c r="O991" t="inlineStr">
        <is>
          <t>2026-08-10T19:29:54Z</t>
        </is>
      </c>
    </row>
    <row r="992">
      <c r="A992" s="19" t="inlineStr">
        <is>
          <t>991</t>
        </is>
      </c>
      <c r="B992" s="19" t="inlineStr">
        <is>
          <t>1013412</t>
        </is>
      </c>
      <c r="C992" t="inlineStr">
        <is>
          <t>AKÜ,L2,DK,60AH,GSYSMF,MOPAR EFB,XFCA OES</t>
        </is>
      </c>
      <c r="D992" s="19" t="inlineStr">
        <is>
          <t>1</t>
        </is>
      </c>
      <c r="E992" t="n">
        <v>0</v>
      </c>
      <c r="I992" s="19" t="inlineStr">
        <is>
          <t>2</t>
        </is>
      </c>
      <c r="J992" t="inlineStr">
        <is>
          <t>2026-08-08</t>
        </is>
      </c>
      <c r="L992" s="19" t="inlineStr">
        <is>
          <t>1013412</t>
        </is>
      </c>
      <c r="M992" t="inlineStr">
        <is>
          <t>STATUS=IN OEM / EU PACKAGE; SOURCE_CFG=IA-ST-CFG-0162; MARKET=FCA OES (Yurt Dışı)</t>
        </is>
      </c>
      <c r="N992" t="inlineStr">
        <is>
          <t>2026-08-10T19:29:54Z</t>
        </is>
      </c>
      <c r="O992" t="inlineStr">
        <is>
          <t>2026-08-10T19:29:54Z</t>
        </is>
      </c>
    </row>
    <row r="993">
      <c r="A993" s="19" t="inlineStr">
        <is>
          <t>992</t>
        </is>
      </c>
      <c r="B993" s="19" t="inlineStr">
        <is>
          <t>1013413</t>
        </is>
      </c>
      <c r="C993" t="inlineStr">
        <is>
          <t>AKÜ,L3,DK,70AH,GSYSMF,MOPAR EFB,XFCA OES</t>
        </is>
      </c>
      <c r="D993" s="19" t="inlineStr">
        <is>
          <t>1</t>
        </is>
      </c>
      <c r="E993" t="n">
        <v>0</v>
      </c>
      <c r="I993" s="19" t="inlineStr">
        <is>
          <t>2</t>
        </is>
      </c>
      <c r="J993" t="inlineStr">
        <is>
          <t>2026-08-08</t>
        </is>
      </c>
      <c r="L993" s="19" t="inlineStr">
        <is>
          <t>1013413</t>
        </is>
      </c>
      <c r="M993" t="inlineStr">
        <is>
          <t>STATUS=IN OEM / EU PACKAGE; SOURCE_CFG=IA-ST-CFG-0132; MARKET=FCA OES (Yurt Dışı)</t>
        </is>
      </c>
      <c r="N993" t="inlineStr">
        <is>
          <t>2026-08-10T19:29:54Z</t>
        </is>
      </c>
      <c r="O993" t="inlineStr">
        <is>
          <t>2026-08-10T19:29:54Z</t>
        </is>
      </c>
    </row>
    <row r="994">
      <c r="A994" s="19" t="inlineStr">
        <is>
          <t>993</t>
        </is>
      </c>
      <c r="B994" s="19" t="inlineStr">
        <is>
          <t>1013414</t>
        </is>
      </c>
      <c r="C994" t="inlineStr">
        <is>
          <t>AKÜ,D26,DK,80AH,IGYA SMF,EFB S&amp;S,SCHNAPP</t>
        </is>
      </c>
      <c r="D994" s="19" t="inlineStr">
        <is>
          <t>1</t>
        </is>
      </c>
      <c r="E994" t="n">
        <v>0</v>
      </c>
      <c r="I994" s="19" t="inlineStr">
        <is>
          <t>2</t>
        </is>
      </c>
      <c r="J994" t="inlineStr">
        <is>
          <t>2026-08-08</t>
        </is>
      </c>
      <c r="L994" s="19" t="inlineStr">
        <is>
          <t>1013414</t>
        </is>
      </c>
      <c r="M994" t="inlineStr">
        <is>
          <t>STATUS=IN OEM / EU PACKAGE; SOURCE_CFG=IA-ST-CFG-0183; MARKET=SCHNAPP</t>
        </is>
      </c>
      <c r="N994" t="inlineStr">
        <is>
          <t>2026-08-10T19:29:54Z</t>
        </is>
      </c>
      <c r="O994" t="inlineStr">
        <is>
          <t>2026-08-10T19:29:54Z</t>
        </is>
      </c>
    </row>
    <row r="995">
      <c r="A995" s="19" t="inlineStr">
        <is>
          <t>994</t>
        </is>
      </c>
      <c r="B995" s="19" t="inlineStr">
        <is>
          <t>1013419</t>
        </is>
      </c>
      <c r="C995" t="inlineStr">
        <is>
          <t>AKÜ,D26,DK,72AH,IGYSMF,HUGEL EFBS&amp;S,EURO</t>
        </is>
      </c>
      <c r="D995" s="19" t="inlineStr">
        <is>
          <t>1</t>
        </is>
      </c>
      <c r="E995" t="n">
        <v>0</v>
      </c>
      <c r="I995" s="19" t="inlineStr">
        <is>
          <t>2</t>
        </is>
      </c>
      <c r="J995" t="inlineStr">
        <is>
          <t>2026-08-08</t>
        </is>
      </c>
      <c r="L995" s="19" t="inlineStr">
        <is>
          <t>1013419</t>
        </is>
      </c>
      <c r="M995" t="inlineStr">
        <is>
          <t>STATUS=IN OEM / EU PACKAGE; SOURCE_CFG=IA-ST-CFG-0107; MARKET=None</t>
        </is>
      </c>
      <c r="N995" t="inlineStr">
        <is>
          <t>2026-08-10T19:29:54Z</t>
        </is>
      </c>
      <c r="O995" t="inlineStr">
        <is>
          <t>2026-08-10T19:29:54Z</t>
        </is>
      </c>
    </row>
    <row r="996">
      <c r="A996" s="19" t="inlineStr">
        <is>
          <t>995</t>
        </is>
      </c>
      <c r="B996" s="19" t="inlineStr">
        <is>
          <t>1013423</t>
        </is>
      </c>
      <c r="C996" t="inlineStr">
        <is>
          <t>AKÜ,LB3,DK,72AH,IGYASMF,HUGEL ULTRA,EURO</t>
        </is>
      </c>
      <c r="D996" s="19" t="inlineStr">
        <is>
          <t>1</t>
        </is>
      </c>
      <c r="E996" t="n">
        <v>0</v>
      </c>
      <c r="I996" s="19" t="inlineStr">
        <is>
          <t>2</t>
        </is>
      </c>
      <c r="J996" t="inlineStr">
        <is>
          <t>2026-08-08</t>
        </is>
      </c>
      <c r="L996" s="19" t="inlineStr">
        <is>
          <t>1013423</t>
        </is>
      </c>
      <c r="M996" t="inlineStr">
        <is>
          <t>STATUS=IN OEM / EU PACKAGE; SOURCE_CFG=IA-ST-CFG-0199; MARKET=None</t>
        </is>
      </c>
      <c r="N996" t="inlineStr">
        <is>
          <t>2026-08-10T19:29:54Z</t>
        </is>
      </c>
      <c r="O996" t="inlineStr">
        <is>
          <t>2026-08-10T19:29:54Z</t>
        </is>
      </c>
    </row>
    <row r="997">
      <c r="A997" s="19" t="inlineStr">
        <is>
          <t>996</t>
        </is>
      </c>
      <c r="B997" s="19" t="inlineStr">
        <is>
          <t>1013429</t>
        </is>
      </c>
      <c r="C997" t="inlineStr">
        <is>
          <t>AKÜ,D23,DK,65AH,IGYSMF,HUGEL EFBS&amp;S,EURO</t>
        </is>
      </c>
      <c r="D997" s="19" t="inlineStr">
        <is>
          <t>1</t>
        </is>
      </c>
      <c r="E997" t="n">
        <v>0</v>
      </c>
      <c r="I997" s="19" t="inlineStr">
        <is>
          <t>2</t>
        </is>
      </c>
      <c r="J997" t="inlineStr">
        <is>
          <t>2026-08-08</t>
        </is>
      </c>
      <c r="L997" s="19" t="inlineStr">
        <is>
          <t>1013429</t>
        </is>
      </c>
      <c r="M997" t="inlineStr">
        <is>
          <t>STATUS=IN OEM / EU PACKAGE; SOURCE_CFG=IA-ST-CFG-0171; MARKET=None</t>
        </is>
      </c>
      <c r="N997" t="inlineStr">
        <is>
          <t>2026-08-10T19:29:54Z</t>
        </is>
      </c>
      <c r="O997" t="inlineStr">
        <is>
          <t>2026-08-10T19:29:54Z</t>
        </is>
      </c>
    </row>
    <row r="998">
      <c r="A998" s="19" t="inlineStr">
        <is>
          <t>997</t>
        </is>
      </c>
      <c r="B998" s="19" t="inlineStr">
        <is>
          <t>1013439</t>
        </is>
      </c>
      <c r="C998" t="inlineStr">
        <is>
          <t>AKÜ,L5,DK,92AH,IGYASMF,İNCİSUPRASENT,BMC</t>
        </is>
      </c>
      <c r="D998" s="19" t="inlineStr">
        <is>
          <t>1</t>
        </is>
      </c>
      <c r="E998" t="n">
        <v>0</v>
      </c>
      <c r="I998" s="19" t="inlineStr">
        <is>
          <t>2</t>
        </is>
      </c>
      <c r="J998" t="inlineStr">
        <is>
          <t>2026-08-08</t>
        </is>
      </c>
      <c r="L998" s="19" t="inlineStr">
        <is>
          <t>1013439</t>
        </is>
      </c>
      <c r="M998" t="inlineStr">
        <is>
          <t>STATUS=DOMESTIC-ONLY / NOT IN OEM PACKAGE; SOURCE_CFG=IA-ST-CFG-0007; MARKET=BMC (Yurt İçi)</t>
        </is>
      </c>
      <c r="N998" t="inlineStr">
        <is>
          <t>2026-08-10T19:29:54Z</t>
        </is>
      </c>
      <c r="O998" t="inlineStr">
        <is>
          <t>2026-08-10T19:29:54Z</t>
        </is>
      </c>
    </row>
    <row r="999">
      <c r="A999" s="19" t="inlineStr">
        <is>
          <t>998</t>
        </is>
      </c>
      <c r="B999" s="19" t="inlineStr">
        <is>
          <t>1013440</t>
        </is>
      </c>
      <c r="C999" t="inlineStr">
        <is>
          <t>AKÜ,L0,DK,40AH,DIN NEW,HUGEL ACTION,EURO</t>
        </is>
      </c>
      <c r="D999" s="19" t="inlineStr">
        <is>
          <t>1</t>
        </is>
      </c>
      <c r="E999" t="n">
        <v>0</v>
      </c>
      <c r="I999" s="19" t="inlineStr">
        <is>
          <t>2</t>
        </is>
      </c>
      <c r="J999" t="inlineStr">
        <is>
          <t>2026-08-08</t>
        </is>
      </c>
      <c r="L999" s="19" t="inlineStr">
        <is>
          <t>1013440</t>
        </is>
      </c>
      <c r="M999" t="inlineStr">
        <is>
          <t>STATUS=IN OEM / EU PACKAGE; SOURCE_CFG=IA-ST-CFG-0276; MARKET=None</t>
        </is>
      </c>
      <c r="N999" t="inlineStr">
        <is>
          <t>2026-08-10T19:29:54Z</t>
        </is>
      </c>
      <c r="O999" t="inlineStr">
        <is>
          <t>2026-08-10T19:29:54Z</t>
        </is>
      </c>
    </row>
    <row r="1000">
      <c r="A1000" s="19" t="inlineStr">
        <is>
          <t>999</t>
        </is>
      </c>
      <c r="B1000" s="19" t="inlineStr">
        <is>
          <t>1013442</t>
        </is>
      </c>
      <c r="C1000" t="inlineStr">
        <is>
          <t>AKÜ,C-IGY,DK225AH,SHDNEW,TPOWERPARTEKSAN</t>
        </is>
      </c>
      <c r="D1000" s="19" t="inlineStr">
        <is>
          <t>1</t>
        </is>
      </c>
      <c r="E1000" t="n">
        <v>0</v>
      </c>
      <c r="I1000" s="19" t="inlineStr">
        <is>
          <t>2</t>
        </is>
      </c>
      <c r="J1000" t="inlineStr">
        <is>
          <t>2026-08-08</t>
        </is>
      </c>
      <c r="L1000" s="19" t="inlineStr">
        <is>
          <t>1013442</t>
        </is>
      </c>
      <c r="M1000" t="inlineStr">
        <is>
          <t>STATUS=IN OEM / EU PACKAGE; SOURCE_CFG=IA-ST-CFG-0014; MARKET=TEKSAN (Yurt İçi)</t>
        </is>
      </c>
      <c r="N1000" t="inlineStr">
        <is>
          <t>2026-08-10T19:29:54Z</t>
        </is>
      </c>
      <c r="O1000" t="inlineStr">
        <is>
          <t>2026-08-10T19:29:54Z</t>
        </is>
      </c>
    </row>
    <row r="1001">
      <c r="A1001" s="19" t="inlineStr">
        <is>
          <t>1000</t>
        </is>
      </c>
      <c r="B1001" s="19" t="inlineStr">
        <is>
          <t>1013443</t>
        </is>
      </c>
      <c r="C1001" t="inlineStr">
        <is>
          <t>AKÜ,L5,DK,105AH,IGYASMF,HUGEL ULTRA,EURO</t>
        </is>
      </c>
      <c r="D1001" s="19" t="inlineStr">
        <is>
          <t>1</t>
        </is>
      </c>
      <c r="E1001" t="n">
        <v>0</v>
      </c>
      <c r="I1001" s="19" t="inlineStr">
        <is>
          <t>2</t>
        </is>
      </c>
      <c r="J1001" t="inlineStr">
        <is>
          <t>2026-08-08</t>
        </is>
      </c>
      <c r="L1001" s="19" t="inlineStr">
        <is>
          <t>1013443</t>
        </is>
      </c>
      <c r="M1001" t="inlineStr">
        <is>
          <t>STATUS=IN OEM / EU PACKAGE; SOURCE_CFG=IA-ST-CFG-0116; MARKET=None</t>
        </is>
      </c>
      <c r="N1001" t="inlineStr">
        <is>
          <t>2026-08-10T19:29:54Z</t>
        </is>
      </c>
      <c r="O1001" t="inlineStr">
        <is>
          <t>2026-08-10T19:29:54Z</t>
        </is>
      </c>
    </row>
    <row r="1002">
      <c r="A1002" s="19" t="inlineStr">
        <is>
          <t>1001</t>
        </is>
      </c>
      <c r="B1002" s="19" t="inlineStr">
        <is>
          <t>1013444</t>
        </is>
      </c>
      <c r="C1002" t="inlineStr">
        <is>
          <t>AKÜ,NS60,DK,45AH,IGYASMF,HUGELULTRA,EURO</t>
        </is>
      </c>
      <c r="D1002" s="19" t="inlineStr">
        <is>
          <t>1</t>
        </is>
      </c>
      <c r="E1002" t="n">
        <v>0</v>
      </c>
      <c r="I1002" s="19" t="inlineStr">
        <is>
          <t>2</t>
        </is>
      </c>
      <c r="J1002" t="inlineStr">
        <is>
          <t>2026-08-08</t>
        </is>
      </c>
      <c r="L1002" s="19" t="inlineStr">
        <is>
          <t>1013444</t>
        </is>
      </c>
      <c r="M1002" t="inlineStr">
        <is>
          <t>STATUS=IN OEM / EU PACKAGE; SOURCE_CFG=IA-ST-CFG-0235; MARKET=None</t>
        </is>
      </c>
      <c r="N1002" t="inlineStr">
        <is>
          <t>2026-08-10T19:29:54Z</t>
        </is>
      </c>
      <c r="O1002" t="inlineStr">
        <is>
          <t>2026-08-10T19:29:54Z</t>
        </is>
      </c>
    </row>
    <row r="1003">
      <c r="A1003" s="19" t="inlineStr">
        <is>
          <t>1002</t>
        </is>
      </c>
      <c r="B1003" s="19" t="inlineStr">
        <is>
          <t>1013445</t>
        </is>
      </c>
      <c r="C1003" t="inlineStr">
        <is>
          <t>AKÜ,NS60,TK,45AH,IGYASMF,HUGELULTRA,EURO</t>
        </is>
      </c>
      <c r="D1003" s="19" t="inlineStr">
        <is>
          <t>1</t>
        </is>
      </c>
      <c r="E1003" t="n">
        <v>0</v>
      </c>
      <c r="I1003" s="19" t="inlineStr">
        <is>
          <t>2</t>
        </is>
      </c>
      <c r="J1003" t="inlineStr">
        <is>
          <t>2026-08-08</t>
        </is>
      </c>
      <c r="L1003" s="19" t="inlineStr">
        <is>
          <t>1013445</t>
        </is>
      </c>
      <c r="M1003" t="inlineStr">
        <is>
          <t>STATUS=IN OEM / EU PACKAGE; SOURCE_CFG=IA-ST-CFG-0235; MARKET=None</t>
        </is>
      </c>
      <c r="N1003" t="inlineStr">
        <is>
          <t>2026-08-10T19:29:54Z</t>
        </is>
      </c>
      <c r="O1003" t="inlineStr">
        <is>
          <t>2026-08-10T19:29:54Z</t>
        </is>
      </c>
    </row>
    <row r="1004">
      <c r="A1004" s="19" t="inlineStr">
        <is>
          <t>1003</t>
        </is>
      </c>
      <c r="B1004" s="19" t="inlineStr">
        <is>
          <t>1013455</t>
        </is>
      </c>
      <c r="C1004" t="inlineStr">
        <is>
          <t>AKÜ,L2,TK,62AH,IGYA,HUGEL ULTRA,SHAWKAT</t>
        </is>
      </c>
      <c r="D1004" s="19" t="inlineStr">
        <is>
          <t>1</t>
        </is>
      </c>
      <c r="E1004" t="n">
        <v>0</v>
      </c>
      <c r="I1004" s="19" t="inlineStr">
        <is>
          <t>2</t>
        </is>
      </c>
      <c r="J1004" t="inlineStr">
        <is>
          <t>2026-08-08</t>
        </is>
      </c>
      <c r="L1004" s="19" t="inlineStr">
        <is>
          <t>1013455</t>
        </is>
      </c>
      <c r="M1004" t="inlineStr">
        <is>
          <t>STATUS=IN OEM / EU PACKAGE; SOURCE_CFG=IA-ST-CFG-0222; MARKET=SHAWKAT</t>
        </is>
      </c>
      <c r="N1004" t="inlineStr">
        <is>
          <t>2026-08-10T19:29:54Z</t>
        </is>
      </c>
      <c r="O1004" t="inlineStr">
        <is>
          <t>2026-08-10T19:29:54Z</t>
        </is>
      </c>
    </row>
    <row r="1005">
      <c r="A1005" s="19" t="inlineStr">
        <is>
          <t>1004</t>
        </is>
      </c>
      <c r="B1005" s="19" t="inlineStr">
        <is>
          <t>1013456</t>
        </is>
      </c>
      <c r="C1005" t="inlineStr">
        <is>
          <t>AKÜ,L2,TK,62AH,IGYA,BLIZZSILVRLN,SHAWKAT</t>
        </is>
      </c>
      <c r="D1005" s="19" t="inlineStr">
        <is>
          <t>1</t>
        </is>
      </c>
      <c r="E1005" t="n">
        <v>0</v>
      </c>
      <c r="I1005" s="19" t="inlineStr">
        <is>
          <t>2</t>
        </is>
      </c>
      <c r="J1005" t="inlineStr">
        <is>
          <t>2026-08-08</t>
        </is>
      </c>
      <c r="L1005" s="19" t="inlineStr">
        <is>
          <t>1013456</t>
        </is>
      </c>
      <c r="M1005" t="inlineStr">
        <is>
          <t>STATUS=IN OEM / EU PACKAGE; SOURCE_CFG=IA-ST-CFG-0222; MARKET=SHAWKAT</t>
        </is>
      </c>
      <c r="N1005" t="inlineStr">
        <is>
          <t>2026-08-10T19:29:54Z</t>
        </is>
      </c>
      <c r="O1005" t="inlineStr">
        <is>
          <t>2026-08-10T19:29:54Z</t>
        </is>
      </c>
    </row>
    <row r="1006">
      <c r="A1006" s="19" t="inlineStr">
        <is>
          <t>1005</t>
        </is>
      </c>
      <c r="B1006" s="19" t="inlineStr">
        <is>
          <t>1013460</t>
        </is>
      </c>
      <c r="C1006" t="inlineStr">
        <is>
          <t>AKÜ AGM,L3,DK,70AH,BLIZZARO AGM S&amp;S,EURO</t>
        </is>
      </c>
      <c r="D1006" s="19" t="inlineStr">
        <is>
          <t>1</t>
        </is>
      </c>
      <c r="E1006" t="n">
        <v>0</v>
      </c>
      <c r="I1006" s="19" t="inlineStr">
        <is>
          <t>2</t>
        </is>
      </c>
      <c r="J1006" t="inlineStr">
        <is>
          <t>2026-08-08</t>
        </is>
      </c>
      <c r="L1006" s="19" t="inlineStr">
        <is>
          <t>1013460</t>
        </is>
      </c>
      <c r="M1006" t="inlineStr">
        <is>
          <t>STATUS=IN OEM / EU PACKAGE; SOURCE_CFG=IA-ST-CFG-0200; MARKET=None</t>
        </is>
      </c>
      <c r="N1006" t="inlineStr">
        <is>
          <t>2026-08-10T19:29:54Z</t>
        </is>
      </c>
      <c r="O1006" t="inlineStr">
        <is>
          <t>2026-08-10T19:29:54Z</t>
        </is>
      </c>
    </row>
    <row r="1007">
      <c r="A1007" s="19" t="inlineStr">
        <is>
          <t>1006</t>
        </is>
      </c>
      <c r="B1007" s="19" t="inlineStr">
        <is>
          <t>1013461</t>
        </is>
      </c>
      <c r="C1007" t="inlineStr">
        <is>
          <t>AKÜ AGM,L6,DK,105AH,BLIZZARO AGMS&amp;S,EURO</t>
        </is>
      </c>
      <c r="D1007" s="19" t="inlineStr">
        <is>
          <t>1</t>
        </is>
      </c>
      <c r="E1007" t="n">
        <v>0</v>
      </c>
      <c r="I1007" s="19" t="inlineStr">
        <is>
          <t>2</t>
        </is>
      </c>
      <c r="J1007" t="inlineStr">
        <is>
          <t>2026-08-08</t>
        </is>
      </c>
      <c r="L1007" s="19" t="inlineStr">
        <is>
          <t>1013461</t>
        </is>
      </c>
      <c r="M1007" t="inlineStr">
        <is>
          <t>STATUS=IN OEM / EU PACKAGE; SOURCE_CFG=IA-ST-CFG-0071; MARKET=None</t>
        </is>
      </c>
      <c r="N1007" t="inlineStr">
        <is>
          <t>2026-08-10T19:29:54Z</t>
        </is>
      </c>
      <c r="O1007" t="inlineStr">
        <is>
          <t>2026-08-10T19:29:54Z</t>
        </is>
      </c>
    </row>
    <row r="1008">
      <c r="A1008" s="19" t="inlineStr">
        <is>
          <t>1007</t>
        </is>
      </c>
      <c r="B1008" s="19" t="inlineStr">
        <is>
          <t>1013462</t>
        </is>
      </c>
      <c r="C1008" t="inlineStr">
        <is>
          <t>AKÜ,LB2,DK,60AH,IGYSMF,BLIZZSILVERL,EURO</t>
        </is>
      </c>
      <c r="D1008" s="19" t="inlineStr">
        <is>
          <t>1</t>
        </is>
      </c>
      <c r="E1008" t="n">
        <v>0</v>
      </c>
      <c r="I1008" s="19" t="inlineStr">
        <is>
          <t>2</t>
        </is>
      </c>
      <c r="J1008" t="inlineStr">
        <is>
          <t>2026-08-08</t>
        </is>
      </c>
      <c r="L1008" s="19" t="inlineStr">
        <is>
          <t>1013462</t>
        </is>
      </c>
      <c r="M1008" t="inlineStr">
        <is>
          <t>STATUS=IN OEM / EU PACKAGE; SOURCE_CFG=IA-ST-CFG-0240; MARKET=None</t>
        </is>
      </c>
      <c r="N1008" t="inlineStr">
        <is>
          <t>2026-08-10T19:29:54Z</t>
        </is>
      </c>
      <c r="O1008" t="inlineStr">
        <is>
          <t>2026-08-10T19:29:54Z</t>
        </is>
      </c>
    </row>
    <row r="1009">
      <c r="A1009" s="19" t="inlineStr">
        <is>
          <t>1008</t>
        </is>
      </c>
      <c r="B1009" s="19" t="inlineStr">
        <is>
          <t>1013463</t>
        </is>
      </c>
      <c r="C1009" t="inlineStr">
        <is>
          <t>AKÜ,L2,DK,60AH,IGYSMF,BLIZZSILVERLN,EURO</t>
        </is>
      </c>
      <c r="D1009" s="19" t="inlineStr">
        <is>
          <t>1</t>
        </is>
      </c>
      <c r="E1009" t="n">
        <v>0</v>
      </c>
      <c r="I1009" s="19" t="inlineStr">
        <is>
          <t>2</t>
        </is>
      </c>
      <c r="J1009" t="inlineStr">
        <is>
          <t>2026-08-08</t>
        </is>
      </c>
      <c r="L1009" s="19" t="inlineStr">
        <is>
          <t>1013463</t>
        </is>
      </c>
      <c r="M1009" t="inlineStr">
        <is>
          <t>STATUS=IN OEM / EU PACKAGE; SOURCE_CFG=IA-ST-CFG-0240; MARKET=None</t>
        </is>
      </c>
      <c r="N1009" t="inlineStr">
        <is>
          <t>2026-08-10T19:29:54Z</t>
        </is>
      </c>
      <c r="O1009" t="inlineStr">
        <is>
          <t>2026-08-10T19:29:54Z</t>
        </is>
      </c>
    </row>
    <row r="1010">
      <c r="A1010" s="19" t="inlineStr">
        <is>
          <t>1009</t>
        </is>
      </c>
      <c r="B1010" s="19" t="inlineStr">
        <is>
          <t>1013464</t>
        </is>
      </c>
      <c r="C1010" t="inlineStr">
        <is>
          <t>AKÜ,LB3,DK,72AH,IGYSMF,BLIZZSILVERL,EURO</t>
        </is>
      </c>
      <c r="D1010" s="19" t="inlineStr">
        <is>
          <t>1</t>
        </is>
      </c>
      <c r="E1010" t="n">
        <v>0</v>
      </c>
      <c r="I1010" s="19" t="inlineStr">
        <is>
          <t>2</t>
        </is>
      </c>
      <c r="J1010" t="inlineStr">
        <is>
          <t>2026-08-08</t>
        </is>
      </c>
      <c r="L1010" s="19" t="inlineStr">
        <is>
          <t>1013464</t>
        </is>
      </c>
      <c r="M1010" t="inlineStr">
        <is>
          <t>STATUS=IN OEM / EU PACKAGE; SOURCE_CFG=IA-ST-CFG-0199; MARKET=None</t>
        </is>
      </c>
      <c r="N1010" t="inlineStr">
        <is>
          <t>2026-08-10T19:29:54Z</t>
        </is>
      </c>
      <c r="O1010" t="inlineStr">
        <is>
          <t>2026-08-10T19:29:54Z</t>
        </is>
      </c>
    </row>
    <row r="1011">
      <c r="A1011" s="19" t="inlineStr">
        <is>
          <t>1010</t>
        </is>
      </c>
      <c r="B1011" s="19" t="inlineStr">
        <is>
          <t>1013465</t>
        </is>
      </c>
      <c r="C1011" t="inlineStr">
        <is>
          <t>AKÜ,L3,DK,75AH,IGYSMF,BLİZZSILVERLN,EURO</t>
        </is>
      </c>
      <c r="D1011" s="19" t="inlineStr">
        <is>
          <t>1</t>
        </is>
      </c>
      <c r="E1011" t="n">
        <v>0</v>
      </c>
      <c r="I1011" s="19" t="inlineStr">
        <is>
          <t>2</t>
        </is>
      </c>
      <c r="J1011" t="inlineStr">
        <is>
          <t>2026-08-08</t>
        </is>
      </c>
      <c r="L1011" s="19" t="inlineStr">
        <is>
          <t>1013465</t>
        </is>
      </c>
      <c r="M1011" t="inlineStr">
        <is>
          <t>STATUS=IN OEM / EU PACKAGE; SOURCE_CFG=IA-ST-CFG-0200; MARKET=None</t>
        </is>
      </c>
      <c r="N1011" t="inlineStr">
        <is>
          <t>2026-08-10T19:29:54Z</t>
        </is>
      </c>
      <c r="O1011" t="inlineStr">
        <is>
          <t>2026-08-10T19:29:54Z</t>
        </is>
      </c>
    </row>
    <row r="1012">
      <c r="A1012" s="19" t="inlineStr">
        <is>
          <t>1011</t>
        </is>
      </c>
      <c r="B1012" s="19" t="inlineStr">
        <is>
          <t>1013467</t>
        </is>
      </c>
      <c r="C1012" t="inlineStr">
        <is>
          <t>AKÜ,L5,DK,100AH,IGYSMF,BLIZZSILVERL,EURO</t>
        </is>
      </c>
      <c r="D1012" s="19" t="inlineStr">
        <is>
          <t>1</t>
        </is>
      </c>
      <c r="E1012" t="n">
        <v>0</v>
      </c>
      <c r="I1012" s="19" t="inlineStr">
        <is>
          <t>2</t>
        </is>
      </c>
      <c r="J1012" t="inlineStr">
        <is>
          <t>2026-08-08</t>
        </is>
      </c>
      <c r="L1012" s="19" t="inlineStr">
        <is>
          <t>1013467</t>
        </is>
      </c>
      <c r="M1012" t="inlineStr">
        <is>
          <t>STATUS=IN OEM / EU PACKAGE; SOURCE_CFG=IA-ST-CFG-0116; MARKET=None</t>
        </is>
      </c>
      <c r="N1012" t="inlineStr">
        <is>
          <t>2026-08-10T19:29:54Z</t>
        </is>
      </c>
      <c r="O1012" t="inlineStr">
        <is>
          <t>2026-08-10T19:29:54Z</t>
        </is>
      </c>
    </row>
    <row r="1013">
      <c r="A1013" s="19" t="inlineStr">
        <is>
          <t>1012</t>
        </is>
      </c>
      <c r="B1013" s="19" t="inlineStr">
        <is>
          <t>1013469</t>
        </is>
      </c>
      <c r="C1013" t="inlineStr">
        <is>
          <t>AKÜ,C-FLAT,DK,225AH,BLİZZAROTRENDLN,EURO</t>
        </is>
      </c>
      <c r="D1013" s="19" t="inlineStr">
        <is>
          <t>1</t>
        </is>
      </c>
      <c r="E1013" t="n">
        <v>0</v>
      </c>
      <c r="I1013" s="19" t="inlineStr">
        <is>
          <t>2</t>
        </is>
      </c>
      <c r="J1013" t="inlineStr">
        <is>
          <t>2026-08-08</t>
        </is>
      </c>
      <c r="L1013" s="19" t="inlineStr">
        <is>
          <t>1013469</t>
        </is>
      </c>
      <c r="M1013" t="inlineStr">
        <is>
          <t>STATUS=IN OEM / EU PACKAGE; SOURCE_CFG=IA-ST-CFG-0014; MARKET=None</t>
        </is>
      </c>
      <c r="N1013" t="inlineStr">
        <is>
          <t>2026-08-10T19:29:54Z</t>
        </is>
      </c>
      <c r="O1013" t="inlineStr">
        <is>
          <t>2026-08-10T19:29:54Z</t>
        </is>
      </c>
    </row>
    <row r="1014">
      <c r="A1014" s="19" t="inlineStr">
        <is>
          <t>1013</t>
        </is>
      </c>
      <c r="B1014" s="19" t="inlineStr">
        <is>
          <t>1013480</t>
        </is>
      </c>
      <c r="C1014" t="inlineStr">
        <is>
          <t>AKÜ,D26,TK,75AH,IGYA SMF,HUGEL ULTRA</t>
        </is>
      </c>
      <c r="D1014" s="19" t="inlineStr">
        <is>
          <t>1</t>
        </is>
      </c>
      <c r="E1014" t="n">
        <v>0</v>
      </c>
      <c r="I1014" s="19" t="inlineStr">
        <is>
          <t>2</t>
        </is>
      </c>
      <c r="J1014" t="inlineStr">
        <is>
          <t>2026-08-08</t>
        </is>
      </c>
      <c r="L1014" s="19" t="inlineStr">
        <is>
          <t>1013480</t>
        </is>
      </c>
      <c r="M1014" t="inlineStr">
        <is>
          <t>STATUS=IN OEM / EU PACKAGE; SOURCE_CFG=IA-ST-CFG-0175; MARKET=None</t>
        </is>
      </c>
      <c r="N1014" t="inlineStr">
        <is>
          <t>2026-08-10T19:29:54Z</t>
        </is>
      </c>
      <c r="O1014" t="inlineStr">
        <is>
          <t>2026-08-10T19:29:54Z</t>
        </is>
      </c>
    </row>
    <row r="1015">
      <c r="A1015" s="19" t="inlineStr">
        <is>
          <t>1014</t>
        </is>
      </c>
      <c r="B1015" s="19" t="inlineStr">
        <is>
          <t>1013483</t>
        </is>
      </c>
      <c r="C1015" t="inlineStr">
        <is>
          <t>AKÜ AGM,L4,DK,80AH,BLIZZARO AGM S&amp;S</t>
        </is>
      </c>
      <c r="D1015" s="19" t="inlineStr">
        <is>
          <t>1</t>
        </is>
      </c>
      <c r="E1015" t="n">
        <v>0</v>
      </c>
      <c r="I1015" s="19" t="inlineStr">
        <is>
          <t>2</t>
        </is>
      </c>
      <c r="J1015" t="inlineStr">
        <is>
          <t>2026-08-08</t>
        </is>
      </c>
      <c r="L1015" s="19" t="inlineStr">
        <is>
          <t>1013483</t>
        </is>
      </c>
      <c r="M1015" t="inlineStr">
        <is>
          <t>STATUS=IN OEM / EU PACKAGE; SOURCE_CFG=IA-ST-CFG-0142; MARKET=None</t>
        </is>
      </c>
      <c r="N1015" t="inlineStr">
        <is>
          <t>2026-08-10T19:29:54Z</t>
        </is>
      </c>
      <c r="O1015" t="inlineStr">
        <is>
          <t>2026-08-10T19:29:54Z</t>
        </is>
      </c>
    </row>
    <row r="1016">
      <c r="A1016" s="19" t="inlineStr">
        <is>
          <t>1015</t>
        </is>
      </c>
      <c r="B1016" s="19" t="inlineStr">
        <is>
          <t>1013484</t>
        </is>
      </c>
      <c r="C1016" t="inlineStr">
        <is>
          <t>AKÜ,LB2,DK,60AH,IGYASMF,BLIZZARO EFB S&amp;S</t>
        </is>
      </c>
      <c r="D1016" s="19" t="inlineStr">
        <is>
          <t>1</t>
        </is>
      </c>
      <c r="E1016" t="n">
        <v>0</v>
      </c>
      <c r="I1016" s="19" t="inlineStr">
        <is>
          <t>2</t>
        </is>
      </c>
      <c r="J1016" t="inlineStr">
        <is>
          <t>2026-08-08</t>
        </is>
      </c>
      <c r="L1016" s="19" t="inlineStr">
        <is>
          <t>1013484</t>
        </is>
      </c>
      <c r="M1016" t="inlineStr">
        <is>
          <t>STATUS=IN OEM / EU PACKAGE; SOURCE_CFG=IA-ST-CFG-0222; MARKET=None</t>
        </is>
      </c>
      <c r="N1016" t="inlineStr">
        <is>
          <t>2026-08-10T19:29:54Z</t>
        </is>
      </c>
      <c r="O1016" t="inlineStr">
        <is>
          <t>2026-08-10T19:29:54Z</t>
        </is>
      </c>
    </row>
    <row r="1017">
      <c r="A1017" s="19" t="inlineStr">
        <is>
          <t>1016</t>
        </is>
      </c>
      <c r="B1017" s="19" t="inlineStr">
        <is>
          <t>1013486</t>
        </is>
      </c>
      <c r="C1017" t="inlineStr">
        <is>
          <t>AKÜ,L5,DK,102AH,IGYA,İNCİMAXIMA,MECALAC</t>
        </is>
      </c>
      <c r="D1017" s="19" t="inlineStr">
        <is>
          <t>1</t>
        </is>
      </c>
      <c r="E1017" t="n">
        <v>0</v>
      </c>
      <c r="I1017" s="19" t="inlineStr">
        <is>
          <t>2</t>
        </is>
      </c>
      <c r="J1017" t="inlineStr">
        <is>
          <t>2026-08-08</t>
        </is>
      </c>
      <c r="L1017" s="19" t="inlineStr">
        <is>
          <t>1013486</t>
        </is>
      </c>
      <c r="M1017" t="inlineStr">
        <is>
          <t>STATUS=IN OEM / EU PACKAGE; SOURCE_CFG=IA-ST-CFG-0098; MARKET=MECALAC OEM İZMİR (Yurt İçi)</t>
        </is>
      </c>
      <c r="N1017" t="inlineStr">
        <is>
          <t>2026-08-10T19:29:54Z</t>
        </is>
      </c>
      <c r="O1017" t="inlineStr">
        <is>
          <t>2026-08-10T19:29:54Z</t>
        </is>
      </c>
    </row>
    <row r="1018">
      <c r="A1018" s="19" t="inlineStr">
        <is>
          <t>1017</t>
        </is>
      </c>
      <c r="B1018" s="19" t="inlineStr">
        <is>
          <t>1013487</t>
        </is>
      </c>
      <c r="C1018" t="inlineStr">
        <is>
          <t>AKÜ,L6,DK,110AH,KAMINA,İNCİSUPRA,MECALAC</t>
        </is>
      </c>
      <c r="D1018" s="19" t="inlineStr">
        <is>
          <t>1</t>
        </is>
      </c>
      <c r="E1018" t="n">
        <v>0</v>
      </c>
      <c r="I1018" s="19" t="inlineStr">
        <is>
          <t>2</t>
        </is>
      </c>
      <c r="J1018" t="inlineStr">
        <is>
          <t>2026-08-08</t>
        </is>
      </c>
      <c r="L1018" s="19" t="inlineStr">
        <is>
          <t>1013487</t>
        </is>
      </c>
      <c r="M1018" t="inlineStr">
        <is>
          <t>STATUS=IN OEM / EU PACKAGE; SOURCE_CFG=IA-ST-CFG-0081; MARKET=MECALAC OEM İZMİR (Yurt İçi)</t>
        </is>
      </c>
      <c r="N1018" t="inlineStr">
        <is>
          <t>2026-08-10T19:29:54Z</t>
        </is>
      </c>
      <c r="O1018" t="inlineStr">
        <is>
          <t>2026-08-10T19:29:54Z</t>
        </is>
      </c>
    </row>
    <row r="1019">
      <c r="A1019" s="19" t="inlineStr">
        <is>
          <t>1018</t>
        </is>
      </c>
      <c r="B1019" s="19" t="inlineStr">
        <is>
          <t>1013493</t>
        </is>
      </c>
      <c r="C1019" t="inlineStr">
        <is>
          <t>AKÜ,L2,DK,62AH,IGYA,SILVER,TÜRKMENİSTAN</t>
        </is>
      </c>
      <c r="D1019" s="19" t="inlineStr">
        <is>
          <t>1</t>
        </is>
      </c>
      <c r="E1019" t="n">
        <v>0</v>
      </c>
      <c r="I1019" s="19" t="inlineStr">
        <is>
          <t>2</t>
        </is>
      </c>
      <c r="J1019" t="inlineStr">
        <is>
          <t>2026-08-08</t>
        </is>
      </c>
      <c r="L1019" s="19" t="inlineStr">
        <is>
          <t>1013493</t>
        </is>
      </c>
      <c r="M1019" t="inlineStr">
        <is>
          <t>STATUS=IN OEM / EU PACKAGE; SOURCE_CFG=IA-ST-CFG-0222; MARKET=TÜRKMENİSTAN</t>
        </is>
      </c>
      <c r="N1019" t="inlineStr">
        <is>
          <t>2026-08-10T19:29:54Z</t>
        </is>
      </c>
      <c r="O1019" t="inlineStr">
        <is>
          <t>2026-08-10T19:29:54Z</t>
        </is>
      </c>
    </row>
    <row r="1020">
      <c r="A1020" s="19" t="inlineStr">
        <is>
          <t>1019</t>
        </is>
      </c>
      <c r="B1020" s="19" t="inlineStr">
        <is>
          <t>1013496</t>
        </is>
      </c>
      <c r="C1020" t="inlineStr">
        <is>
          <t>AKÜ,D26,TK,72AH,IGYASMF,İNCİ FORM TAURUS</t>
        </is>
      </c>
      <c r="D1020" s="19" t="inlineStr">
        <is>
          <t>1</t>
        </is>
      </c>
      <c r="E1020" t="n">
        <v>0</v>
      </c>
      <c r="I1020" s="19" t="inlineStr">
        <is>
          <t>2</t>
        </is>
      </c>
      <c r="J1020" t="inlineStr">
        <is>
          <t>2026-08-08</t>
        </is>
      </c>
      <c r="L1020" s="19" t="inlineStr">
        <is>
          <t>1013496</t>
        </is>
      </c>
      <c r="M1020" t="inlineStr">
        <is>
          <t>STATUS=IN OEM / EU PACKAGE; SOURCE_CFG=IA-ST-CFG-0175; MARKET=None</t>
        </is>
      </c>
      <c r="N1020" t="inlineStr">
        <is>
          <t>2026-08-10T19:29:54Z</t>
        </is>
      </c>
      <c r="O1020" t="inlineStr">
        <is>
          <t>2026-08-10T19:29:54Z</t>
        </is>
      </c>
    </row>
    <row r="1021">
      <c r="A1021" s="19" t="inlineStr">
        <is>
          <t>1020</t>
        </is>
      </c>
      <c r="B1021" s="19" t="inlineStr">
        <is>
          <t>1013500</t>
        </is>
      </c>
      <c r="C1021" t="inlineStr">
        <is>
          <t>AKÜ,L3,DK,75AH,IGYSMF,EDIXBLUE,CANARIBAT</t>
        </is>
      </c>
      <c r="D1021" s="19" t="inlineStr">
        <is>
          <t>1</t>
        </is>
      </c>
      <c r="E1021" t="n">
        <v>0</v>
      </c>
      <c r="I1021" s="19" t="inlineStr">
        <is>
          <t>2</t>
        </is>
      </c>
      <c r="J1021" t="inlineStr">
        <is>
          <t>2026-08-08</t>
        </is>
      </c>
      <c r="L1021" s="19" t="inlineStr">
        <is>
          <t>1013500</t>
        </is>
      </c>
      <c r="M1021" t="inlineStr">
        <is>
          <t>STATUS=IN OEM / EU PACKAGE; SOURCE_CFG=IA-ST-CFG-0200; MARKET=CANARIBAT İSPANYA</t>
        </is>
      </c>
      <c r="N1021" t="inlineStr">
        <is>
          <t>2026-08-10T19:29:54Z</t>
        </is>
      </c>
      <c r="O1021" t="inlineStr">
        <is>
          <t>2026-08-10T19:29:54Z</t>
        </is>
      </c>
    </row>
    <row r="1022">
      <c r="A1022" s="19" t="inlineStr">
        <is>
          <t>1021</t>
        </is>
      </c>
      <c r="B1022" s="19" t="inlineStr">
        <is>
          <t>1013523</t>
        </is>
      </c>
      <c r="C1022" t="inlineStr">
        <is>
          <t>AKÜ,LB4,DK,80AH,IGYASMF,İNCİ FORM TAURUS</t>
        </is>
      </c>
      <c r="D1022" s="19" t="inlineStr">
        <is>
          <t>1</t>
        </is>
      </c>
      <c r="E1022" t="n">
        <v>0</v>
      </c>
      <c r="I1022" s="19" t="inlineStr">
        <is>
          <t>2</t>
        </is>
      </c>
      <c r="J1022" t="inlineStr">
        <is>
          <t>2026-08-08</t>
        </is>
      </c>
      <c r="L1022" s="19" t="inlineStr">
        <is>
          <t>1013523</t>
        </is>
      </c>
      <c r="M1022" t="inlineStr">
        <is>
          <t>STATUS=IN OEM / EU PACKAGE; SOURCE_CFG=IA-ST-CFG-0231; MARKET=None</t>
        </is>
      </c>
      <c r="N1022" t="inlineStr">
        <is>
          <t>2026-08-10T19:29:54Z</t>
        </is>
      </c>
      <c r="O1022" t="inlineStr">
        <is>
          <t>2026-08-10T19:29:54Z</t>
        </is>
      </c>
    </row>
    <row r="1023">
      <c r="A1023" s="19" t="inlineStr">
        <is>
          <t>1022</t>
        </is>
      </c>
      <c r="B1023" s="19" t="inlineStr">
        <is>
          <t>1013531</t>
        </is>
      </c>
      <c r="C1023" t="inlineStr">
        <is>
          <t>AKÜ,L0,DK,40AH,DINNEWPROFILE,NO NAME,SKG</t>
        </is>
      </c>
      <c r="D1023" s="19" t="inlineStr">
        <is>
          <t>1</t>
        </is>
      </c>
      <c r="E1023" t="n">
        <v>0</v>
      </c>
      <c r="I1023" s="19" t="inlineStr">
        <is>
          <t>2</t>
        </is>
      </c>
      <c r="J1023" t="inlineStr">
        <is>
          <t>2026-08-08</t>
        </is>
      </c>
      <c r="L1023" s="19" t="inlineStr">
        <is>
          <t>1013531</t>
        </is>
      </c>
      <c r="M1023" t="inlineStr">
        <is>
          <t>STATUS=IN OEM / EU PACKAGE; SOURCE_CFG=IA-ST-CFG-0275; MARKET=SKG İTALYA</t>
        </is>
      </c>
      <c r="N1023" t="inlineStr">
        <is>
          <t>2026-08-10T19:29:54Z</t>
        </is>
      </c>
      <c r="O1023" t="inlineStr">
        <is>
          <t>2026-08-10T19:29:54Z</t>
        </is>
      </c>
    </row>
    <row r="1024">
      <c r="A1024" s="19" t="inlineStr">
        <is>
          <t>1023</t>
        </is>
      </c>
      <c r="B1024" s="19" t="inlineStr">
        <is>
          <t>1013533</t>
        </is>
      </c>
      <c r="C1024" t="inlineStr">
        <is>
          <t>AKÜ,L1,DK,50AH,IGYA SMF,NO NAME,SKG</t>
        </is>
      </c>
      <c r="D1024" s="19" t="inlineStr">
        <is>
          <t>1</t>
        </is>
      </c>
      <c r="E1024" t="n">
        <v>0</v>
      </c>
      <c r="I1024" s="19" t="inlineStr">
        <is>
          <t>2</t>
        </is>
      </c>
      <c r="J1024" t="inlineStr">
        <is>
          <t>2026-08-08</t>
        </is>
      </c>
      <c r="L1024" s="19" t="inlineStr">
        <is>
          <t>1013533</t>
        </is>
      </c>
      <c r="M1024" t="inlineStr">
        <is>
          <t>STATUS=IN OEM / EU PACKAGE; SOURCE_CFG=IA-ST-CFG-0269; MARKET=SKG İTALYA</t>
        </is>
      </c>
      <c r="N1024" t="inlineStr">
        <is>
          <t>2026-08-10T19:29:54Z</t>
        </is>
      </c>
      <c r="O1024" t="inlineStr">
        <is>
          <t>2026-08-10T19:29:54Z</t>
        </is>
      </c>
    </row>
    <row r="1025">
      <c r="A1025" s="19" t="inlineStr">
        <is>
          <t>1024</t>
        </is>
      </c>
      <c r="B1025" s="19" t="inlineStr">
        <is>
          <t>1013535</t>
        </is>
      </c>
      <c r="C1025" t="inlineStr">
        <is>
          <t>AKÜ,L2,DK,60AH,IGYA SMF,NO NAME,SKG</t>
        </is>
      </c>
      <c r="D1025" s="19" t="inlineStr">
        <is>
          <t>1</t>
        </is>
      </c>
      <c r="E1025" t="n">
        <v>0</v>
      </c>
      <c r="I1025" s="19" t="inlineStr">
        <is>
          <t>2</t>
        </is>
      </c>
      <c r="J1025" t="inlineStr">
        <is>
          <t>2026-08-08</t>
        </is>
      </c>
      <c r="L1025" s="19" t="inlineStr">
        <is>
          <t>1013535</t>
        </is>
      </c>
      <c r="M1025" t="inlineStr">
        <is>
          <t>STATUS=IN OEM / EU PACKAGE; SOURCE_CFG=IA-ST-CFG-0239; MARKET=SKG İTALYA</t>
        </is>
      </c>
      <c r="N1025" t="inlineStr">
        <is>
          <t>2026-08-10T19:29:54Z</t>
        </is>
      </c>
      <c r="O1025" t="inlineStr">
        <is>
          <t>2026-08-10T19:29:54Z</t>
        </is>
      </c>
    </row>
    <row r="1026">
      <c r="A1026" s="19" t="inlineStr">
        <is>
          <t>1025</t>
        </is>
      </c>
      <c r="B1026" s="19" t="inlineStr">
        <is>
          <t>1013537</t>
        </is>
      </c>
      <c r="C1026" t="inlineStr">
        <is>
          <t>AKÜ,L3,DK,75AH,IGYA SMF,NO NAME,SKG</t>
        </is>
      </c>
      <c r="D1026" s="19" t="inlineStr">
        <is>
          <t>1</t>
        </is>
      </c>
      <c r="E1026" t="n">
        <v>0</v>
      </c>
      <c r="I1026" s="19" t="inlineStr">
        <is>
          <t>2</t>
        </is>
      </c>
      <c r="J1026" t="inlineStr">
        <is>
          <t>2026-08-08</t>
        </is>
      </c>
      <c r="L1026" s="19" t="inlineStr">
        <is>
          <t>1013537</t>
        </is>
      </c>
      <c r="M1026" t="inlineStr">
        <is>
          <t>STATUS=IN OEM / EU PACKAGE; SOURCE_CFG=IA-ST-CFG-0198; MARKET=SKG İTALYA</t>
        </is>
      </c>
      <c r="N1026" t="inlineStr">
        <is>
          <t>2026-08-10T19:29:54Z</t>
        </is>
      </c>
      <c r="O1026" t="inlineStr">
        <is>
          <t>2026-08-10T19:29:54Z</t>
        </is>
      </c>
    </row>
    <row r="1027">
      <c r="A1027" s="19" t="inlineStr">
        <is>
          <t>1026</t>
        </is>
      </c>
      <c r="B1027" s="19" t="inlineStr">
        <is>
          <t>1013538</t>
        </is>
      </c>
      <c r="C1027" t="inlineStr">
        <is>
          <t>AKÜ,L6,DK,110AH,KAMINA,NO NAME,SKG</t>
        </is>
      </c>
      <c r="D1027" s="19" t="inlineStr">
        <is>
          <t>1</t>
        </is>
      </c>
      <c r="E1027" t="n">
        <v>0</v>
      </c>
      <c r="I1027" s="19" t="inlineStr">
        <is>
          <t>2</t>
        </is>
      </c>
      <c r="J1027" t="inlineStr">
        <is>
          <t>2026-08-08</t>
        </is>
      </c>
      <c r="L1027" s="19" t="inlineStr">
        <is>
          <t>1013538</t>
        </is>
      </c>
      <c r="M1027" t="inlineStr">
        <is>
          <t>STATUS=IN OEM / EU PACKAGE; SOURCE_CFG=IA-ST-CFG-0068; MARKET=SKG İTALYA</t>
        </is>
      </c>
      <c r="N1027" t="inlineStr">
        <is>
          <t>2026-08-10T19:29:54Z</t>
        </is>
      </c>
      <c r="O1027" t="inlineStr">
        <is>
          <t>2026-08-10T19:29:54Z</t>
        </is>
      </c>
    </row>
    <row r="1028">
      <c r="A1028" s="19" t="inlineStr">
        <is>
          <t>1027</t>
        </is>
      </c>
      <c r="B1028" s="19" t="inlineStr">
        <is>
          <t>1013540</t>
        </is>
      </c>
      <c r="C1028" t="inlineStr">
        <is>
          <t>AKÜ,L5,DK,105AH,IGYA SMF,EAS ACTIVA,EURO</t>
        </is>
      </c>
      <c r="D1028" s="19" t="inlineStr">
        <is>
          <t>1</t>
        </is>
      </c>
      <c r="E1028" t="n">
        <v>0</v>
      </c>
      <c r="I1028" s="19" t="inlineStr">
        <is>
          <t>2</t>
        </is>
      </c>
      <c r="J1028" t="inlineStr">
        <is>
          <t>2026-08-08</t>
        </is>
      </c>
      <c r="L1028" s="19" t="inlineStr">
        <is>
          <t>1013540</t>
        </is>
      </c>
      <c r="M1028" t="inlineStr">
        <is>
          <t>STATUS=IN OEM / EU PACKAGE; SOURCE_CFG=IA-ST-CFG-0116; MARKET=None</t>
        </is>
      </c>
      <c r="N1028" t="inlineStr">
        <is>
          <t>2026-08-10T19:29:54Z</t>
        </is>
      </c>
      <c r="O1028" t="inlineStr">
        <is>
          <t>2026-08-10T19:29:54Z</t>
        </is>
      </c>
    </row>
    <row r="1029">
      <c r="A1029" s="19" t="inlineStr">
        <is>
          <t>1028</t>
        </is>
      </c>
      <c r="B1029" s="19" t="inlineStr">
        <is>
          <t>1013542</t>
        </is>
      </c>
      <c r="C1029" t="inlineStr">
        <is>
          <t>AKÜ,A-IGYASMF,DK,140AH,EAS ACTIVA,EURO</t>
        </is>
      </c>
      <c r="D1029" s="19" t="inlineStr">
        <is>
          <t>1</t>
        </is>
      </c>
      <c r="E1029" t="n">
        <v>0</v>
      </c>
      <c r="I1029" s="19" t="inlineStr">
        <is>
          <t>2</t>
        </is>
      </c>
      <c r="J1029" t="inlineStr">
        <is>
          <t>2026-08-08</t>
        </is>
      </c>
      <c r="L1029" s="19" t="inlineStr">
        <is>
          <t>1013542</t>
        </is>
      </c>
      <c r="M1029" t="inlineStr">
        <is>
          <t>STATUS=IN OEM / EU PACKAGE; SOURCE_CFG=IA-ST-CFG-0039; MARKET=None</t>
        </is>
      </c>
      <c r="N1029" t="inlineStr">
        <is>
          <t>2026-08-10T19:29:54Z</t>
        </is>
      </c>
      <c r="O1029" t="inlineStr">
        <is>
          <t>2026-08-10T19:29:54Z</t>
        </is>
      </c>
    </row>
    <row r="1030">
      <c r="A1030" s="19" t="inlineStr">
        <is>
          <t>1029</t>
        </is>
      </c>
      <c r="B1030" s="19" t="inlineStr">
        <is>
          <t>1013546</t>
        </is>
      </c>
      <c r="C1030" t="inlineStr">
        <is>
          <t>AKÜ,A-FLAT,DK,120AH,EAS PRIDE,EURO</t>
        </is>
      </c>
      <c r="D1030" s="19" t="inlineStr">
        <is>
          <t>1</t>
        </is>
      </c>
      <c r="E1030" t="n">
        <v>0</v>
      </c>
      <c r="I1030" s="19" t="inlineStr">
        <is>
          <t>2</t>
        </is>
      </c>
      <c r="J1030" t="inlineStr">
        <is>
          <t>2026-08-08</t>
        </is>
      </c>
      <c r="L1030" s="19" t="inlineStr">
        <is>
          <t>1013546</t>
        </is>
      </c>
      <c r="M1030" t="inlineStr">
        <is>
          <t>STATUS=IN OEM / EU PACKAGE; SOURCE_CFG=IA-ST-CFG-0039; MARKET=None</t>
        </is>
      </c>
      <c r="N1030" t="inlineStr">
        <is>
          <t>2026-08-10T19:29:54Z</t>
        </is>
      </c>
      <c r="O1030" t="inlineStr">
        <is>
          <t>2026-08-10T19:29:54Z</t>
        </is>
      </c>
    </row>
    <row r="1031">
      <c r="A1031" s="19" t="inlineStr">
        <is>
          <t>1030</t>
        </is>
      </c>
      <c r="B1031" s="19" t="inlineStr">
        <is>
          <t>1013549</t>
        </is>
      </c>
      <c r="C1031" t="inlineStr">
        <is>
          <t>AKÜ,B-FLAT,DK,180AH,EAS PRIDE,EURO</t>
        </is>
      </c>
      <c r="D1031" s="19" t="inlineStr">
        <is>
          <t>1</t>
        </is>
      </c>
      <c r="E1031" t="n">
        <v>0</v>
      </c>
      <c r="I1031" s="19" t="inlineStr">
        <is>
          <t>2</t>
        </is>
      </c>
      <c r="J1031" t="inlineStr">
        <is>
          <t>2026-08-08</t>
        </is>
      </c>
      <c r="L1031" s="19" t="inlineStr">
        <is>
          <t>1013549</t>
        </is>
      </c>
      <c r="M1031" t="inlineStr">
        <is>
          <t>STATUS=IN OEM / EU PACKAGE; SOURCE_CFG=IA-ST-CFG-0029; MARKET=None</t>
        </is>
      </c>
      <c r="N1031" t="inlineStr">
        <is>
          <t>2026-08-10T19:29:54Z</t>
        </is>
      </c>
      <c r="O1031" t="inlineStr">
        <is>
          <t>2026-08-10T19:29:54Z</t>
        </is>
      </c>
    </row>
    <row r="1032">
      <c r="A1032" s="19" t="inlineStr">
        <is>
          <t>1031</t>
        </is>
      </c>
      <c r="B1032" s="19" t="inlineStr">
        <is>
          <t>1013556</t>
        </is>
      </c>
      <c r="C1032" t="inlineStr">
        <is>
          <t>AKÜ,D26,DK72AH,IGYSMF,Y3000EXPORT,TÜRKMN</t>
        </is>
      </c>
      <c r="D1032" s="19" t="inlineStr">
        <is>
          <t>1</t>
        </is>
      </c>
      <c r="E1032" t="n">
        <v>0</v>
      </c>
      <c r="I1032" s="19" t="inlineStr">
        <is>
          <t>2</t>
        </is>
      </c>
      <c r="J1032" t="inlineStr">
        <is>
          <t>2026-08-08</t>
        </is>
      </c>
      <c r="L1032" s="19" t="inlineStr">
        <is>
          <t>1013556</t>
        </is>
      </c>
      <c r="M1032" t="inlineStr">
        <is>
          <t>STATUS=IN OEM / EU PACKAGE; SOURCE_CFG=IA-ST-CFG-0174; MARKET=YUASA 3000 EXPORT TÜRKMENİSTAN</t>
        </is>
      </c>
      <c r="N1032" t="inlineStr">
        <is>
          <t>2026-08-10T19:29:54Z</t>
        </is>
      </c>
      <c r="O1032" t="inlineStr">
        <is>
          <t>2026-08-10T19:29:54Z</t>
        </is>
      </c>
    </row>
    <row r="1033">
      <c r="A1033" s="19" t="inlineStr">
        <is>
          <t>1032</t>
        </is>
      </c>
      <c r="B1033" s="19" t="inlineStr">
        <is>
          <t>1013560</t>
        </is>
      </c>
      <c r="C1033" t="inlineStr">
        <is>
          <t>AKÜ,L3,DK,75AH 650A,IGYA,YUASA,ORTA DOĞU</t>
        </is>
      </c>
      <c r="D1033" s="19" t="inlineStr">
        <is>
          <t>1</t>
        </is>
      </c>
      <c r="E1033" t="n">
        <v>0</v>
      </c>
      <c r="I1033" s="19" t="inlineStr">
        <is>
          <t>2</t>
        </is>
      </c>
      <c r="J1033" t="inlineStr">
        <is>
          <t>2026-08-08</t>
        </is>
      </c>
      <c r="L1033" s="19" t="inlineStr">
        <is>
          <t>1013560</t>
        </is>
      </c>
      <c r="M1033" t="inlineStr">
        <is>
          <t>STATUS=IN OEM / EU PACKAGE; SOURCE_CFG=IA-ST-CFG-0179; MARKET=YUASA 3000 EXPORT</t>
        </is>
      </c>
      <c r="N1033" t="inlineStr">
        <is>
          <t>2026-08-10T19:29:54Z</t>
        </is>
      </c>
      <c r="O1033" t="inlineStr">
        <is>
          <t>2026-08-10T19:29:54Z</t>
        </is>
      </c>
    </row>
    <row r="1034">
      <c r="A1034" s="19" t="inlineStr">
        <is>
          <t>1033</t>
        </is>
      </c>
      <c r="B1034" s="19" t="inlineStr">
        <is>
          <t>1013563</t>
        </is>
      </c>
      <c r="C1034" t="inlineStr">
        <is>
          <t>AKÜ,D31,DK80AH,IGYSMF,PERFORMANCEBATTERY</t>
        </is>
      </c>
      <c r="D1034" s="19" t="inlineStr">
        <is>
          <t>1</t>
        </is>
      </c>
      <c r="E1034" t="n">
        <v>0</v>
      </c>
      <c r="I1034" s="19" t="inlineStr">
        <is>
          <t>2</t>
        </is>
      </c>
      <c r="J1034" t="inlineStr">
        <is>
          <t>2026-08-08</t>
        </is>
      </c>
      <c r="L1034" s="19" t="inlineStr">
        <is>
          <t>1013563</t>
        </is>
      </c>
      <c r="M1034" t="inlineStr">
        <is>
          <t>STATUS=IN OEM / EU PACKAGE; SOURCE_CFG=IA-ST-CFG-0143; MARKET=DOMİNİK CUM.PERFORMANCE BATT.</t>
        </is>
      </c>
      <c r="N1034" t="inlineStr">
        <is>
          <t>2026-08-10T19:29:54Z</t>
        </is>
      </c>
      <c r="O1034" t="inlineStr">
        <is>
          <t>2026-08-10T19:29:54Z</t>
        </is>
      </c>
    </row>
    <row r="1035">
      <c r="A1035" s="19" t="inlineStr">
        <is>
          <t>1034</t>
        </is>
      </c>
      <c r="B1035" s="19" t="inlineStr">
        <is>
          <t>1013565</t>
        </is>
      </c>
      <c r="C1035" t="inlineStr">
        <is>
          <t>AKÜ,NS60,DK45AH,IGYSMF,PERFORMANCEBATTER</t>
        </is>
      </c>
      <c r="D1035" s="19" t="inlineStr">
        <is>
          <t>1</t>
        </is>
      </c>
      <c r="E1035" t="n">
        <v>0</v>
      </c>
      <c r="I1035" s="19" t="inlineStr">
        <is>
          <t>2</t>
        </is>
      </c>
      <c r="J1035" t="inlineStr">
        <is>
          <t>2026-08-08</t>
        </is>
      </c>
      <c r="L1035" s="19" t="inlineStr">
        <is>
          <t>1013565</t>
        </is>
      </c>
      <c r="M1035" t="inlineStr">
        <is>
          <t>STATUS=IN OEM / EU PACKAGE; SOURCE_CFG=IA-ST-CFG-0272; MARKET=DOMİNİK CUM.PERFORMANCE BATT.</t>
        </is>
      </c>
      <c r="N1035" t="inlineStr">
        <is>
          <t>2026-08-10T19:29:54Z</t>
        </is>
      </c>
      <c r="O1035" t="inlineStr">
        <is>
          <t>2026-08-10T19:29:54Z</t>
        </is>
      </c>
    </row>
    <row r="1036">
      <c r="A1036" s="19" t="inlineStr">
        <is>
          <t>1035</t>
        </is>
      </c>
      <c r="B1036" s="19" t="inlineStr">
        <is>
          <t>1013566</t>
        </is>
      </c>
      <c r="C1036" t="inlineStr">
        <is>
          <t>AKÜ,NS40,DK42AH,IGYSMF,PERFORMANCEBATTER</t>
        </is>
      </c>
      <c r="D1036" s="19" t="inlineStr">
        <is>
          <t>1</t>
        </is>
      </c>
      <c r="E1036" t="n">
        <v>0</v>
      </c>
      <c r="I1036" s="19" t="inlineStr">
        <is>
          <t>2</t>
        </is>
      </c>
      <c r="J1036" t="inlineStr">
        <is>
          <t>2026-08-08</t>
        </is>
      </c>
      <c r="L1036" s="19" t="inlineStr">
        <is>
          <t>1013566</t>
        </is>
      </c>
      <c r="M1036" t="inlineStr">
        <is>
          <t>STATUS=IN OEM / EU PACKAGE; SOURCE_CFG=IA-ST-CFG-0284; MARKET=DOMİNİK CUM.PERFORMANCE BATT.</t>
        </is>
      </c>
      <c r="N1036" t="inlineStr">
        <is>
          <t>2026-08-10T19:29:54Z</t>
        </is>
      </c>
      <c r="O1036" t="inlineStr">
        <is>
          <t>2026-08-10T19:29:54Z</t>
        </is>
      </c>
    </row>
    <row r="1037">
      <c r="A1037" s="19" t="inlineStr">
        <is>
          <t>1036</t>
        </is>
      </c>
      <c r="B1037" s="19" t="inlineStr">
        <is>
          <t>1013569</t>
        </is>
      </c>
      <c r="C1037" t="inlineStr">
        <is>
          <t>AKÜ,L2,DK,60AH550A,IGYSMF,YUASA,ORTADOĞU</t>
        </is>
      </c>
      <c r="D1037" s="19" t="inlineStr">
        <is>
          <t>1</t>
        </is>
      </c>
      <c r="E1037" t="n">
        <v>0</v>
      </c>
      <c r="I1037" s="19" t="inlineStr">
        <is>
          <t>2</t>
        </is>
      </c>
      <c r="J1037" t="inlineStr">
        <is>
          <t>2026-08-08</t>
        </is>
      </c>
      <c r="L1037" s="19" t="inlineStr">
        <is>
          <t>1013569</t>
        </is>
      </c>
      <c r="M1037" t="inlineStr">
        <is>
          <t>STATUS=IN OEM / EU PACKAGE; SOURCE_CFG=IA-ST-CFG-0222; MARKET=YUASA 3000 EXPORT</t>
        </is>
      </c>
      <c r="N1037" t="inlineStr">
        <is>
          <t>2026-08-10T19:29:54Z</t>
        </is>
      </c>
      <c r="O1037" t="inlineStr">
        <is>
          <t>2026-08-10T19:29:54Z</t>
        </is>
      </c>
    </row>
    <row r="1038">
      <c r="A1038" s="19" t="inlineStr">
        <is>
          <t>1037</t>
        </is>
      </c>
      <c r="B1038" s="19" t="inlineStr">
        <is>
          <t>1013572</t>
        </is>
      </c>
      <c r="C1038" t="inlineStr">
        <is>
          <t>AKÜ,L4,DK,82AH,IGYASMF,BLIZ.SILVERL,EURO</t>
        </is>
      </c>
      <c r="D1038" s="19" t="inlineStr">
        <is>
          <t>1</t>
        </is>
      </c>
      <c r="E1038" t="n">
        <v>0</v>
      </c>
      <c r="I1038" s="19" t="inlineStr">
        <is>
          <t>2</t>
        </is>
      </c>
      <c r="J1038" t="inlineStr">
        <is>
          <t>2026-08-08</t>
        </is>
      </c>
      <c r="L1038" s="19" t="inlineStr">
        <is>
          <t>1013572</t>
        </is>
      </c>
      <c r="M1038" t="inlineStr">
        <is>
          <t>STATUS=IN OEM / EU PACKAGE; SOURCE_CFG=IA-ST-CFG-0152; MARKET=None</t>
        </is>
      </c>
      <c r="N1038" t="inlineStr">
        <is>
          <t>2026-08-10T19:29:54Z</t>
        </is>
      </c>
      <c r="O1038" t="inlineStr">
        <is>
          <t>2026-08-10T19:29:54Z</t>
        </is>
      </c>
    </row>
    <row r="1039">
      <c r="A1039" s="19" t="inlineStr">
        <is>
          <t>1038</t>
        </is>
      </c>
      <c r="B1039" s="19" t="inlineStr">
        <is>
          <t>1013574</t>
        </is>
      </c>
      <c r="C1039" t="inlineStr">
        <is>
          <t>AKÜ,D23,DK,60AH,IGYSMF,BLIZ.SILVERL,EURO</t>
        </is>
      </c>
      <c r="D1039" s="19" t="inlineStr">
        <is>
          <t>1</t>
        </is>
      </c>
      <c r="E1039" t="n">
        <v>0</v>
      </c>
      <c r="I1039" s="19" t="inlineStr">
        <is>
          <t>2</t>
        </is>
      </c>
      <c r="J1039" t="inlineStr">
        <is>
          <t>2026-08-08</t>
        </is>
      </c>
      <c r="L1039" s="19" t="inlineStr">
        <is>
          <t>1013574</t>
        </is>
      </c>
      <c r="M1039" t="inlineStr">
        <is>
          <t>STATUS=IN OEM / EU PACKAGE; SOURCE_CFG=IA-ST-CFG-0171; MARKET=None</t>
        </is>
      </c>
      <c r="N1039" t="inlineStr">
        <is>
          <t>2026-08-10T19:29:54Z</t>
        </is>
      </c>
      <c r="O1039" t="inlineStr">
        <is>
          <t>2026-08-10T19:29:54Z</t>
        </is>
      </c>
    </row>
    <row r="1040">
      <c r="A1040" s="19" t="inlineStr">
        <is>
          <t>1039</t>
        </is>
      </c>
      <c r="B1040" s="19" t="inlineStr">
        <is>
          <t>1013575</t>
        </is>
      </c>
      <c r="C1040" t="inlineStr">
        <is>
          <t>AKÜ,D23,TK,60AH,IGYSMF,BLIZ.SILVERL,EURO</t>
        </is>
      </c>
      <c r="D1040" s="19" t="inlineStr">
        <is>
          <t>1</t>
        </is>
      </c>
      <c r="E1040" t="n">
        <v>0</v>
      </c>
      <c r="I1040" s="19" t="inlineStr">
        <is>
          <t>2</t>
        </is>
      </c>
      <c r="J1040" t="inlineStr">
        <is>
          <t>2026-08-08</t>
        </is>
      </c>
      <c r="L1040" s="19" t="inlineStr">
        <is>
          <t>1013575</t>
        </is>
      </c>
      <c r="M1040" t="inlineStr">
        <is>
          <t>STATUS=IN OEM / EU PACKAGE; SOURCE_CFG=IA-ST-CFG-0171; MARKET=None</t>
        </is>
      </c>
      <c r="N1040" t="inlineStr">
        <is>
          <t>2026-08-10T19:29:54Z</t>
        </is>
      </c>
      <c r="O1040" t="inlineStr">
        <is>
          <t>2026-08-10T19:29:54Z</t>
        </is>
      </c>
    </row>
    <row r="1041">
      <c r="A1041" s="19" t="inlineStr">
        <is>
          <t>1040</t>
        </is>
      </c>
      <c r="B1041" s="19" t="inlineStr">
        <is>
          <t>1013576</t>
        </is>
      </c>
      <c r="C1041" t="inlineStr">
        <is>
          <t>AKÜ,D31,DK,100AH,IGYSMF,BLİZSILVERL,EURO</t>
        </is>
      </c>
      <c r="D1041" s="19" t="inlineStr">
        <is>
          <t>1</t>
        </is>
      </c>
      <c r="E1041" t="n">
        <v>0</v>
      </c>
      <c r="I1041" s="19" t="inlineStr">
        <is>
          <t>2</t>
        </is>
      </c>
      <c r="J1041" t="inlineStr">
        <is>
          <t>2026-08-08</t>
        </is>
      </c>
      <c r="L1041" s="19" t="inlineStr">
        <is>
          <t>1013576</t>
        </is>
      </c>
      <c r="M1041" t="inlineStr">
        <is>
          <t>STATUS=IN OEM / EU PACKAGE; SOURCE_CFG=IA-ST-CFG-0115; MARKET=None</t>
        </is>
      </c>
      <c r="N1041" t="inlineStr">
        <is>
          <t>2026-08-10T19:29:54Z</t>
        </is>
      </c>
      <c r="O1041" t="inlineStr">
        <is>
          <t>2026-08-10T19:29:54Z</t>
        </is>
      </c>
    </row>
    <row r="1042">
      <c r="A1042" s="19" t="inlineStr">
        <is>
          <t>1041</t>
        </is>
      </c>
      <c r="B1042" s="19" t="inlineStr">
        <is>
          <t>1013599</t>
        </is>
      </c>
      <c r="C1042" t="inlineStr">
        <is>
          <t>AKÜ,NS40,TK,42AH,IGYASMF,EAS ACTIVA,EURO</t>
        </is>
      </c>
      <c r="D1042" s="19" t="inlineStr">
        <is>
          <t>1</t>
        </is>
      </c>
      <c r="E1042" t="n">
        <v>0</v>
      </c>
      <c r="I1042" s="19" t="inlineStr">
        <is>
          <t>2</t>
        </is>
      </c>
      <c r="J1042" t="inlineStr">
        <is>
          <t>2026-08-08</t>
        </is>
      </c>
      <c r="L1042" s="19" t="inlineStr">
        <is>
          <t>1013599</t>
        </is>
      </c>
      <c r="M1042" t="inlineStr">
        <is>
          <t>STATUS=IN OEM / EU PACKAGE; SOURCE_CFG=IA-ST-CFG-0253; MARKET=None</t>
        </is>
      </c>
      <c r="N1042" t="inlineStr">
        <is>
          <t>2026-08-10T19:29:54Z</t>
        </is>
      </c>
      <c r="O1042" t="inlineStr">
        <is>
          <t>2026-08-10T19:29:54Z</t>
        </is>
      </c>
    </row>
    <row r="1043">
      <c r="A1043" s="19" t="inlineStr">
        <is>
          <t>1042</t>
        </is>
      </c>
      <c r="B1043" s="19" t="inlineStr">
        <is>
          <t>1013610</t>
        </is>
      </c>
      <c r="C1043" t="inlineStr">
        <is>
          <t>AKÜL2,TK62AH,IGYSMF,GRİSYH,SILVER,SCHNAP</t>
        </is>
      </c>
      <c r="D1043" s="19" t="inlineStr">
        <is>
          <t>1</t>
        </is>
      </c>
      <c r="E1043" t="n">
        <v>0</v>
      </c>
      <c r="I1043" s="19" t="inlineStr">
        <is>
          <t>2</t>
        </is>
      </c>
      <c r="J1043" t="inlineStr">
        <is>
          <t>2026-08-08</t>
        </is>
      </c>
      <c r="L1043" s="19" t="inlineStr">
        <is>
          <t>1013610</t>
        </is>
      </c>
      <c r="M1043" t="inlineStr">
        <is>
          <t>STATUS=IN OEM / EU PACKAGE; SOURCE_CFG=IA-ST-CFG-0230; MARKET=SCHNAPP</t>
        </is>
      </c>
      <c r="N1043" t="inlineStr">
        <is>
          <t>2026-08-10T19:29:54Z</t>
        </is>
      </c>
      <c r="O1043" t="inlineStr">
        <is>
          <t>2026-08-10T19:29:54Z</t>
        </is>
      </c>
    </row>
    <row r="1044">
      <c r="A1044" s="19" t="inlineStr">
        <is>
          <t>1043</t>
        </is>
      </c>
      <c r="B1044" s="19" t="inlineStr">
        <is>
          <t>1013616</t>
        </is>
      </c>
      <c r="C1044" t="inlineStr">
        <is>
          <t>AKÜ AGM,L6,DK,105AH,İNCİ AGM LEO,Y.DIŞI</t>
        </is>
      </c>
      <c r="D1044" s="19" t="inlineStr">
        <is>
          <t>1</t>
        </is>
      </c>
      <c r="E1044" t="n">
        <v>0</v>
      </c>
      <c r="I1044" s="19" t="inlineStr">
        <is>
          <t>2</t>
        </is>
      </c>
      <c r="J1044" t="inlineStr">
        <is>
          <t>2026-08-08</t>
        </is>
      </c>
      <c r="L1044" s="19" t="inlineStr">
        <is>
          <t>1013616</t>
        </is>
      </c>
      <c r="M1044" t="inlineStr">
        <is>
          <t>STATUS=IN OEM / EU PACKAGE; SOURCE_CFG=IA-ST-CFG-0080; MARKET=None</t>
        </is>
      </c>
      <c r="N1044" t="inlineStr">
        <is>
          <t>2026-08-10T19:29:54Z</t>
        </is>
      </c>
      <c r="O1044" t="inlineStr">
        <is>
          <t>2026-08-10T19:29:54Z</t>
        </is>
      </c>
    </row>
    <row r="1045">
      <c r="A1045" s="19" t="inlineStr">
        <is>
          <t>1044</t>
        </is>
      </c>
      <c r="B1045" s="19" t="inlineStr">
        <is>
          <t>1013617</t>
        </is>
      </c>
      <c r="C1045" t="inlineStr">
        <is>
          <t>AKÜ,C-IGYASMF,DK,250AH,İNCİ MAXIMA</t>
        </is>
      </c>
      <c r="D1045" s="19" t="inlineStr">
        <is>
          <t>1</t>
        </is>
      </c>
      <c r="E1045" t="n">
        <v>0</v>
      </c>
      <c r="I1045" s="19" t="inlineStr">
        <is>
          <t>2</t>
        </is>
      </c>
      <c r="J1045" t="inlineStr">
        <is>
          <t>2026-08-08</t>
        </is>
      </c>
      <c r="L1045" s="19" t="inlineStr">
        <is>
          <t>1013617</t>
        </is>
      </c>
      <c r="M1045" t="inlineStr">
        <is>
          <t>STATUS=IN OEM / EU PACKAGE; SOURCE_CFG=IA-ST-CFG-0023; MARKET=None</t>
        </is>
      </c>
      <c r="N1045" t="inlineStr">
        <is>
          <t>2026-08-10T19:29:54Z</t>
        </is>
      </c>
      <c r="O1045" t="inlineStr">
        <is>
          <t>2026-08-10T19:29:54Z</t>
        </is>
      </c>
    </row>
    <row r="1046">
      <c r="A1046" s="19" t="inlineStr">
        <is>
          <t>1045</t>
        </is>
      </c>
      <c r="B1046" s="19" t="inlineStr">
        <is>
          <t>1013624</t>
        </is>
      </c>
      <c r="C1046" t="inlineStr">
        <is>
          <t>AKÜ,L2,DK,60AH,IGYA,NO NAME,EFBS&amp;S,PARTS</t>
        </is>
      </c>
      <c r="D1046" s="19" t="inlineStr">
        <is>
          <t>1</t>
        </is>
      </c>
      <c r="E1046" t="n">
        <v>0</v>
      </c>
      <c r="I1046" s="19" t="inlineStr">
        <is>
          <t>2</t>
        </is>
      </c>
      <c r="J1046" t="inlineStr">
        <is>
          <t>2026-08-08</t>
        </is>
      </c>
      <c r="L1046" s="19" t="inlineStr">
        <is>
          <t>1013624</t>
        </is>
      </c>
      <c r="M1046" t="inlineStr">
        <is>
          <t>STATUS=IN OEM / EU PACKAGE; SOURCE_CFG=IA-ST-CFG-0241; MARKET=CAR PARTS DISTRIBUZIONE İTALYA</t>
        </is>
      </c>
      <c r="N1046" t="inlineStr">
        <is>
          <t>2026-08-10T19:29:54Z</t>
        </is>
      </c>
      <c r="O1046" t="inlineStr">
        <is>
          <t>2026-08-10T19:29:54Z</t>
        </is>
      </c>
    </row>
    <row r="1047">
      <c r="A1047" s="19" t="inlineStr">
        <is>
          <t>1046</t>
        </is>
      </c>
      <c r="B1047" s="19" t="inlineStr">
        <is>
          <t>1013625</t>
        </is>
      </c>
      <c r="C1047" t="inlineStr">
        <is>
          <t>AKÜ,LB3,DK,70AH,IGYA,NONAME,EFBS&amp;S,PARTS</t>
        </is>
      </c>
      <c r="D1047" s="19" t="inlineStr">
        <is>
          <t>1</t>
        </is>
      </c>
      <c r="E1047" t="n">
        <v>0</v>
      </c>
      <c r="I1047" s="19" t="inlineStr">
        <is>
          <t>2</t>
        </is>
      </c>
      <c r="J1047" t="inlineStr">
        <is>
          <t>2026-08-08</t>
        </is>
      </c>
      <c r="L1047" s="19" t="inlineStr">
        <is>
          <t>1013625</t>
        </is>
      </c>
      <c r="M1047" t="inlineStr">
        <is>
          <t>STATUS=IN OEM / EU PACKAGE; SOURCE_CFG=IA-ST-CFG-0201; MARKET=CAR PARTS DISTRIBUZIONE İTALYA</t>
        </is>
      </c>
      <c r="N1047" t="inlineStr">
        <is>
          <t>2026-08-10T19:29:54Z</t>
        </is>
      </c>
      <c r="O1047" t="inlineStr">
        <is>
          <t>2026-08-10T19:29:54Z</t>
        </is>
      </c>
    </row>
    <row r="1048">
      <c r="A1048" s="19" t="inlineStr">
        <is>
          <t>1047</t>
        </is>
      </c>
      <c r="B1048" s="19" t="inlineStr">
        <is>
          <t>1013626</t>
        </is>
      </c>
      <c r="C1048" t="inlineStr">
        <is>
          <t>AKÜ,L3,DK,70AH,IGYA,NO NAME,EFBS&amp;S,PARTS</t>
        </is>
      </c>
      <c r="D1048" s="19" t="inlineStr">
        <is>
          <t>1</t>
        </is>
      </c>
      <c r="E1048" t="n">
        <v>0</v>
      </c>
      <c r="I1048" s="19" t="inlineStr">
        <is>
          <t>2</t>
        </is>
      </c>
      <c r="J1048" t="inlineStr">
        <is>
          <t>2026-08-08</t>
        </is>
      </c>
      <c r="L1048" s="19" t="inlineStr">
        <is>
          <t>1013626</t>
        </is>
      </c>
      <c r="M1048" t="inlineStr">
        <is>
          <t>STATUS=IN OEM / EU PACKAGE; SOURCE_CFG=IA-ST-CFG-0201; MARKET=CAR PARTS DISTRIBUZIONE İTALYA</t>
        </is>
      </c>
      <c r="N1048" t="inlineStr">
        <is>
          <t>2026-08-10T19:29:54Z</t>
        </is>
      </c>
      <c r="O1048" t="inlineStr">
        <is>
          <t>2026-08-10T19:29:54Z</t>
        </is>
      </c>
    </row>
    <row r="1049">
      <c r="A1049" s="19" t="inlineStr">
        <is>
          <t>1048</t>
        </is>
      </c>
      <c r="B1049" s="19" t="inlineStr">
        <is>
          <t>1013628</t>
        </is>
      </c>
      <c r="C1049" t="inlineStr">
        <is>
          <t>AKÜ,LB2,DK,62AH,IGYA SMF,NO NAME,PARTS</t>
        </is>
      </c>
      <c r="D1049" s="19" t="inlineStr">
        <is>
          <t>1</t>
        </is>
      </c>
      <c r="E1049" t="n">
        <v>0</v>
      </c>
      <c r="I1049" s="19" t="inlineStr">
        <is>
          <t>2</t>
        </is>
      </c>
      <c r="J1049" t="inlineStr">
        <is>
          <t>2026-08-08</t>
        </is>
      </c>
      <c r="L1049" s="19" t="inlineStr">
        <is>
          <t>1013628</t>
        </is>
      </c>
      <c r="M1049" t="inlineStr">
        <is>
          <t>STATUS=IN OEM / EU PACKAGE; SOURCE_CFG=IA-ST-CFG-0241; MARKET=CAR PARTS DISTRIBUZIONE İTALYA</t>
        </is>
      </c>
      <c r="N1049" t="inlineStr">
        <is>
          <t>2026-08-10T19:29:54Z</t>
        </is>
      </c>
      <c r="O1049" t="inlineStr">
        <is>
          <t>2026-08-10T19:29:54Z</t>
        </is>
      </c>
    </row>
    <row r="1050">
      <c r="A1050" s="19" t="inlineStr">
        <is>
          <t>1049</t>
        </is>
      </c>
      <c r="B1050" s="19" t="inlineStr">
        <is>
          <t>1013629</t>
        </is>
      </c>
      <c r="C1050" t="inlineStr">
        <is>
          <t>AKÜ,LB2,DK,65AH,IGYA SMF,NO NAME,PARTS</t>
        </is>
      </c>
      <c r="D1050" s="19" t="inlineStr">
        <is>
          <t>1</t>
        </is>
      </c>
      <c r="E1050" t="n">
        <v>0</v>
      </c>
      <c r="I1050" s="19" t="inlineStr">
        <is>
          <t>2</t>
        </is>
      </c>
      <c r="J1050" t="inlineStr">
        <is>
          <t>2026-08-08</t>
        </is>
      </c>
      <c r="L1050" s="19" t="inlineStr">
        <is>
          <t>1013629</t>
        </is>
      </c>
      <c r="M1050" t="inlineStr">
        <is>
          <t>STATUS=IN OEM / EU PACKAGE; SOURCE_CFG=IA-ST-CFG-0241; MARKET=CAR PARTS DISTRIBUZIONE İTALYA</t>
        </is>
      </c>
      <c r="N1050" t="inlineStr">
        <is>
          <t>2026-08-10T19:29:54Z</t>
        </is>
      </c>
      <c r="O1050" t="inlineStr">
        <is>
          <t>2026-08-10T19:29:54Z</t>
        </is>
      </c>
    </row>
    <row r="1051">
      <c r="A1051" s="19" t="inlineStr">
        <is>
          <t>1050</t>
        </is>
      </c>
      <c r="B1051" s="19" t="inlineStr">
        <is>
          <t>1013632</t>
        </is>
      </c>
      <c r="C1051" t="inlineStr">
        <is>
          <t>AKÜ,LB3,DK,70AH,IGYA SMF,NO NAME,PARTS</t>
        </is>
      </c>
      <c r="D1051" s="19" t="inlineStr">
        <is>
          <t>1</t>
        </is>
      </c>
      <c r="E1051" t="n">
        <v>0</v>
      </c>
      <c r="I1051" s="19" t="inlineStr">
        <is>
          <t>2</t>
        </is>
      </c>
      <c r="J1051" t="inlineStr">
        <is>
          <t>2026-08-08</t>
        </is>
      </c>
      <c r="L1051" s="19" t="inlineStr">
        <is>
          <t>1013632</t>
        </is>
      </c>
      <c r="M1051" t="inlineStr">
        <is>
          <t>STATUS=IN OEM / EU PACKAGE; SOURCE_CFG=IA-ST-CFG-0201; MARKET=CAR PARTS DISTRIBUZIONE İTALYA</t>
        </is>
      </c>
      <c r="N1051" t="inlineStr">
        <is>
          <t>2026-08-10T19:29:54Z</t>
        </is>
      </c>
      <c r="O1051" t="inlineStr">
        <is>
          <t>2026-08-10T19:29:54Z</t>
        </is>
      </c>
    </row>
    <row r="1052">
      <c r="A1052" s="19" t="inlineStr">
        <is>
          <t>1051</t>
        </is>
      </c>
      <c r="B1052" s="19" t="inlineStr">
        <is>
          <t>1013633</t>
        </is>
      </c>
      <c r="C1052" t="inlineStr">
        <is>
          <t>AKÜ,LB3,DK,70AH,IGYA SMF,NO NAME,PARTS</t>
        </is>
      </c>
      <c r="D1052" s="19" t="inlineStr">
        <is>
          <t>1</t>
        </is>
      </c>
      <c r="E1052" t="n">
        <v>0</v>
      </c>
      <c r="I1052" s="19" t="inlineStr">
        <is>
          <t>2</t>
        </is>
      </c>
      <c r="J1052" t="inlineStr">
        <is>
          <t>2026-08-08</t>
        </is>
      </c>
      <c r="L1052" s="19" t="inlineStr">
        <is>
          <t>1013633</t>
        </is>
      </c>
      <c r="M1052" t="inlineStr">
        <is>
          <t>STATUS=IN OEM / EU PACKAGE; SOURCE_CFG=IA-ST-CFG-0201; MARKET=CAR PARTS DISTRIBUZIONE İTALYA</t>
        </is>
      </c>
      <c r="N1052" t="inlineStr">
        <is>
          <t>2026-08-10T19:29:54Z</t>
        </is>
      </c>
      <c r="O1052" t="inlineStr">
        <is>
          <t>2026-08-10T19:29:54Z</t>
        </is>
      </c>
    </row>
    <row r="1053">
      <c r="A1053" s="19" t="inlineStr">
        <is>
          <t>1052</t>
        </is>
      </c>
      <c r="B1053" s="19" t="inlineStr">
        <is>
          <t>1013635</t>
        </is>
      </c>
      <c r="C1053" t="inlineStr">
        <is>
          <t>AKÜ,L3,DK,70AH,IGYA SMF,NO NAME,PARTS</t>
        </is>
      </c>
      <c r="D1053" s="19" t="inlineStr">
        <is>
          <t>1</t>
        </is>
      </c>
      <c r="E1053" t="n">
        <v>0</v>
      </c>
      <c r="I1053" s="19" t="inlineStr">
        <is>
          <t>2</t>
        </is>
      </c>
      <c r="J1053" t="inlineStr">
        <is>
          <t>2026-08-08</t>
        </is>
      </c>
      <c r="L1053" s="19" t="inlineStr">
        <is>
          <t>1013635</t>
        </is>
      </c>
      <c r="M1053" t="inlineStr">
        <is>
          <t>STATUS=IN OEM / EU PACKAGE; SOURCE_CFG=IA-ST-CFG-0201; MARKET=CAR PARTS DISTRIBUZIONE İTALYA</t>
        </is>
      </c>
      <c r="N1053" t="inlineStr">
        <is>
          <t>2026-08-10T19:29:54Z</t>
        </is>
      </c>
      <c r="O1053" t="inlineStr">
        <is>
          <t>2026-08-10T19:29:54Z</t>
        </is>
      </c>
    </row>
    <row r="1054">
      <c r="A1054" s="19" t="inlineStr">
        <is>
          <t>1053</t>
        </is>
      </c>
      <c r="B1054" s="19" t="inlineStr">
        <is>
          <t>1013637</t>
        </is>
      </c>
      <c r="C1054" t="inlineStr">
        <is>
          <t>AKÜ,L3,DK,82AH,IGYA SMF,NO NAME,PARTS</t>
        </is>
      </c>
      <c r="D1054" s="19" t="inlineStr">
        <is>
          <t>1</t>
        </is>
      </c>
      <c r="E1054" t="n">
        <v>0</v>
      </c>
      <c r="I1054" s="19" t="inlineStr">
        <is>
          <t>2</t>
        </is>
      </c>
      <c r="J1054" t="inlineStr">
        <is>
          <t>2026-08-08</t>
        </is>
      </c>
      <c r="L1054" s="19" t="inlineStr">
        <is>
          <t>1013637</t>
        </is>
      </c>
      <c r="M1054" t="inlineStr">
        <is>
          <t>STATUS=IN OEM / EU PACKAGE; SOURCE_CFG=IA-ST-CFG-0201; MARKET=CAR PARTS DISTRIBUZIONE İTALYA</t>
        </is>
      </c>
      <c r="N1054" t="inlineStr">
        <is>
          <t>2026-08-10T19:29:54Z</t>
        </is>
      </c>
      <c r="O1054" t="inlineStr">
        <is>
          <t>2026-08-10T19:29:54Z</t>
        </is>
      </c>
    </row>
    <row r="1055">
      <c r="A1055" s="19" t="inlineStr">
        <is>
          <t>1054</t>
        </is>
      </c>
      <c r="B1055" s="19" t="inlineStr">
        <is>
          <t>1013638</t>
        </is>
      </c>
      <c r="C1055" t="inlineStr">
        <is>
          <t>AKÜ,L4,DK,100AH,IGYA SMF,NO NAME,PARTS</t>
        </is>
      </c>
      <c r="D1055" s="19" t="inlineStr">
        <is>
          <t>1</t>
        </is>
      </c>
      <c r="E1055" t="n">
        <v>0</v>
      </c>
      <c r="I1055" s="19" t="inlineStr">
        <is>
          <t>2</t>
        </is>
      </c>
      <c r="J1055" t="inlineStr">
        <is>
          <t>2026-08-08</t>
        </is>
      </c>
      <c r="L1055" s="19" t="inlineStr">
        <is>
          <t>1013638</t>
        </is>
      </c>
      <c r="M1055" t="inlineStr">
        <is>
          <t>STATUS=IN OEM / EU PACKAGE; SOURCE_CFG=IA-ST-CFG-0153; MARKET=CAR PARTS DISTRIBUZIONE İTALYA</t>
        </is>
      </c>
      <c r="N1055" t="inlineStr">
        <is>
          <t>2026-08-10T19:29:54Z</t>
        </is>
      </c>
      <c r="O1055" t="inlineStr">
        <is>
          <t>2026-08-10T19:29:54Z</t>
        </is>
      </c>
    </row>
    <row r="1056">
      <c r="A1056" s="19" t="inlineStr">
        <is>
          <t>1055</t>
        </is>
      </c>
      <c r="B1056" s="19" t="inlineStr">
        <is>
          <t>1013639</t>
        </is>
      </c>
      <c r="C1056" t="inlineStr">
        <is>
          <t>AKÜ,L4,DK,100AH,IGYA SMF,NO NAME,PARTS</t>
        </is>
      </c>
      <c r="D1056" s="19" t="inlineStr">
        <is>
          <t>1</t>
        </is>
      </c>
      <c r="E1056" t="n">
        <v>0</v>
      </c>
      <c r="I1056" s="19" t="inlineStr">
        <is>
          <t>2</t>
        </is>
      </c>
      <c r="J1056" t="inlineStr">
        <is>
          <t>2026-08-08</t>
        </is>
      </c>
      <c r="L1056" s="19" t="inlineStr">
        <is>
          <t>1013639</t>
        </is>
      </c>
      <c r="M1056" t="inlineStr">
        <is>
          <t>STATUS=IN OEM / EU PACKAGE; SOURCE_CFG=IA-ST-CFG-0153; MARKET=CAR PARTS DISTRIBUZIONE İTALYA</t>
        </is>
      </c>
      <c r="N1056" t="inlineStr">
        <is>
          <t>2026-08-10T19:29:54Z</t>
        </is>
      </c>
      <c r="O1056" t="inlineStr">
        <is>
          <t>2026-08-10T19:29:54Z</t>
        </is>
      </c>
    </row>
    <row r="1057">
      <c r="A1057" s="19" t="inlineStr">
        <is>
          <t>1056</t>
        </is>
      </c>
      <c r="B1057" s="19" t="inlineStr">
        <is>
          <t>1013641</t>
        </is>
      </c>
      <c r="C1057" t="inlineStr">
        <is>
          <t>AKÜ,D31,DK,100AH,IGYA SMF,NO NAME,PARTS</t>
        </is>
      </c>
      <c r="D1057" s="19" t="inlineStr">
        <is>
          <t>1</t>
        </is>
      </c>
      <c r="E1057" t="n">
        <v>0</v>
      </c>
      <c r="I1057" s="19" t="inlineStr">
        <is>
          <t>2</t>
        </is>
      </c>
      <c r="J1057" t="inlineStr">
        <is>
          <t>2026-08-08</t>
        </is>
      </c>
      <c r="L1057" s="19" t="inlineStr">
        <is>
          <t>1013641</t>
        </is>
      </c>
      <c r="M1057" t="inlineStr">
        <is>
          <t>STATUS=IN OEM / EU PACKAGE; SOURCE_CFG=IA-ST-CFG-0112; MARKET=CAR PARTS DISTRIBUZIONE İTALYA</t>
        </is>
      </c>
      <c r="N1057" t="inlineStr">
        <is>
          <t>2026-08-10T19:29:54Z</t>
        </is>
      </c>
      <c r="O1057" t="inlineStr">
        <is>
          <t>2026-08-10T19:29:54Z</t>
        </is>
      </c>
    </row>
    <row r="1058">
      <c r="A1058" s="19" t="inlineStr">
        <is>
          <t>1057</t>
        </is>
      </c>
      <c r="B1058" s="19" t="inlineStr">
        <is>
          <t>1013642</t>
        </is>
      </c>
      <c r="C1058" t="inlineStr">
        <is>
          <t>AKÜ,D31,TK,100AH,IGYA SMF,NO NAME,PARTS</t>
        </is>
      </c>
      <c r="D1058" s="19" t="inlineStr">
        <is>
          <t>1</t>
        </is>
      </c>
      <c r="E1058" t="n">
        <v>0</v>
      </c>
      <c r="I1058" s="19" t="inlineStr">
        <is>
          <t>2</t>
        </is>
      </c>
      <c r="J1058" t="inlineStr">
        <is>
          <t>2026-08-08</t>
        </is>
      </c>
      <c r="L1058" s="19" t="inlineStr">
        <is>
          <t>1013642</t>
        </is>
      </c>
      <c r="M1058" t="inlineStr">
        <is>
          <t>STATUS=IN OEM / EU PACKAGE; SOURCE_CFG=IA-ST-CFG-0112; MARKET=CAR PARTS DISTRIBUZIONE İTALYA</t>
        </is>
      </c>
      <c r="N1058" t="inlineStr">
        <is>
          <t>2026-08-10T19:29:54Z</t>
        </is>
      </c>
      <c r="O1058" t="inlineStr">
        <is>
          <t>2026-08-10T19:29:54Z</t>
        </is>
      </c>
    </row>
    <row r="1059">
      <c r="A1059" s="19" t="inlineStr">
        <is>
          <t>1058</t>
        </is>
      </c>
      <c r="B1059" s="19" t="inlineStr">
        <is>
          <t>1013643</t>
        </is>
      </c>
      <c r="C1059" t="inlineStr">
        <is>
          <t>AKÜ,B-FLAT,DK,180AH,NO NAME,PARTS</t>
        </is>
      </c>
      <c r="D1059" s="19" t="inlineStr">
        <is>
          <t>1</t>
        </is>
      </c>
      <c r="E1059" t="n">
        <v>0</v>
      </c>
      <c r="I1059" s="19" t="inlineStr">
        <is>
          <t>2</t>
        </is>
      </c>
      <c r="J1059" t="inlineStr">
        <is>
          <t>2026-08-08</t>
        </is>
      </c>
      <c r="L1059" s="19" t="inlineStr">
        <is>
          <t>1013643</t>
        </is>
      </c>
      <c r="M1059" t="inlineStr">
        <is>
          <t>STATUS=IN OEM / EU PACKAGE; SOURCE_CFG=IA-ST-CFG-0028; MARKET=CAR PARTS DISTRIBUZIONE İTALYA</t>
        </is>
      </c>
      <c r="N1059" t="inlineStr">
        <is>
          <t>2026-08-10T19:29:54Z</t>
        </is>
      </c>
      <c r="O1059" t="inlineStr">
        <is>
          <t>2026-08-10T19:29:54Z</t>
        </is>
      </c>
    </row>
    <row r="1060">
      <c r="A1060" s="19" t="inlineStr">
        <is>
          <t>1059</t>
        </is>
      </c>
      <c r="B1060" s="19" t="inlineStr">
        <is>
          <t>1013644</t>
        </is>
      </c>
      <c r="C1060" t="inlineStr">
        <is>
          <t>AKÜ,C-FLAT,DK,220AH,NO NAME,PARTS</t>
        </is>
      </c>
      <c r="D1060" s="19" t="inlineStr">
        <is>
          <t>1</t>
        </is>
      </c>
      <c r="E1060" t="n">
        <v>0</v>
      </c>
      <c r="I1060" s="19" t="inlineStr">
        <is>
          <t>2</t>
        </is>
      </c>
      <c r="J1060" t="inlineStr">
        <is>
          <t>2026-08-08</t>
        </is>
      </c>
      <c r="L1060" s="19" t="inlineStr">
        <is>
          <t>1013644</t>
        </is>
      </c>
      <c r="M1060" t="inlineStr">
        <is>
          <t>STATUS=IN OEM / EU PACKAGE; SOURCE_CFG=IA-ST-CFG-0013; MARKET=CAR PARTS DISTRIBUZIONE İTALYA</t>
        </is>
      </c>
      <c r="N1060" t="inlineStr">
        <is>
          <t>2026-08-10T19:29:54Z</t>
        </is>
      </c>
      <c r="O1060" t="inlineStr">
        <is>
          <t>2026-08-10T19:29:54Z</t>
        </is>
      </c>
    </row>
    <row r="1061">
      <c r="A1061" s="19" t="inlineStr">
        <is>
          <t>1060</t>
        </is>
      </c>
      <c r="B1061" s="19" t="inlineStr">
        <is>
          <t>1013645</t>
        </is>
      </c>
      <c r="C1061" t="inlineStr">
        <is>
          <t>AKÜ,C-IGYASMF,DK,230AH,İNCİ EFB PANTERA</t>
        </is>
      </c>
      <c r="D1061" s="19" t="inlineStr">
        <is>
          <t>1</t>
        </is>
      </c>
      <c r="E1061" t="n">
        <v>0</v>
      </c>
      <c r="I1061" s="19" t="inlineStr">
        <is>
          <t>2</t>
        </is>
      </c>
      <c r="J1061" t="inlineStr">
        <is>
          <t>2026-08-08</t>
        </is>
      </c>
      <c r="L1061" s="19" t="inlineStr">
        <is>
          <t>1013645</t>
        </is>
      </c>
      <c r="M1061" t="inlineStr">
        <is>
          <t>STATUS=IN OEM / EU PACKAGE; SOURCE_CFG=IA-ST-CFG-0023; MARKET=None</t>
        </is>
      </c>
      <c r="N1061" t="inlineStr">
        <is>
          <t>2026-08-10T19:29:54Z</t>
        </is>
      </c>
      <c r="O1061" t="inlineStr">
        <is>
          <t>2026-08-10T19:29:54Z</t>
        </is>
      </c>
    </row>
    <row r="1062">
      <c r="A1062" s="19" t="inlineStr">
        <is>
          <t>1061</t>
        </is>
      </c>
      <c r="B1062" s="19" t="inlineStr">
        <is>
          <t>1013671</t>
        </is>
      </c>
      <c r="C1062" t="inlineStr">
        <is>
          <t>AKÜ,L2,DK,65AH,IGYASMF,EAS EXTRA,DIŞ PYS</t>
        </is>
      </c>
      <c r="D1062" s="19" t="inlineStr">
        <is>
          <t>1</t>
        </is>
      </c>
      <c r="E1062" t="n">
        <v>0</v>
      </c>
      <c r="I1062" s="19" t="inlineStr">
        <is>
          <t>2</t>
        </is>
      </c>
      <c r="J1062" t="inlineStr">
        <is>
          <t>2026-08-08</t>
        </is>
      </c>
      <c r="L1062" s="19" t="inlineStr">
        <is>
          <t>1013671</t>
        </is>
      </c>
      <c r="M1062" t="inlineStr">
        <is>
          <t>STATUS=IN OEM / EU PACKAGE; SOURCE_CFG=IA-ST-CFG-0222; MARKET=None</t>
        </is>
      </c>
      <c r="N1062" t="inlineStr">
        <is>
          <t>2026-08-10T19:29:54Z</t>
        </is>
      </c>
      <c r="O1062" t="inlineStr">
        <is>
          <t>2026-08-10T19:29:54Z</t>
        </is>
      </c>
    </row>
    <row r="1063">
      <c r="A1063" s="19" t="inlineStr">
        <is>
          <t>1062</t>
        </is>
      </c>
      <c r="B1063" s="19" t="inlineStr">
        <is>
          <t>1013675</t>
        </is>
      </c>
      <c r="C1063" t="inlineStr">
        <is>
          <t>AKÜ,L3,DK,80AH,IGYASMF,EAS EXTRA,DIŞ PYS</t>
        </is>
      </c>
      <c r="D1063" s="19" t="inlineStr">
        <is>
          <t>1</t>
        </is>
      </c>
      <c r="E1063" t="n">
        <v>0</v>
      </c>
      <c r="I1063" s="19" t="inlineStr">
        <is>
          <t>2</t>
        </is>
      </c>
      <c r="J1063" t="inlineStr">
        <is>
          <t>2026-08-08</t>
        </is>
      </c>
      <c r="L1063" s="19" t="inlineStr">
        <is>
          <t>1013675</t>
        </is>
      </c>
      <c r="M1063" t="inlineStr">
        <is>
          <t>STATUS=IN OEM / EU PACKAGE; SOURCE_CFG=IA-ST-CFG-0179; MARKET=None</t>
        </is>
      </c>
      <c r="N1063" t="inlineStr">
        <is>
          <t>2026-08-10T19:29:54Z</t>
        </is>
      </c>
      <c r="O1063" t="inlineStr">
        <is>
          <t>2026-08-10T19:29:54Z</t>
        </is>
      </c>
    </row>
    <row r="1064">
      <c r="A1064" s="19" t="inlineStr">
        <is>
          <t>1063</t>
        </is>
      </c>
      <c r="B1064" s="19" t="inlineStr">
        <is>
          <t>1013679</t>
        </is>
      </c>
      <c r="C1064" t="inlineStr">
        <is>
          <t>AKÜ,L5,DK,102AH,IGYASMF,EAS EXTRA,DIŞPYS</t>
        </is>
      </c>
      <c r="D1064" s="19" t="inlineStr">
        <is>
          <t>1</t>
        </is>
      </c>
      <c r="E1064" t="n">
        <v>0</v>
      </c>
      <c r="I1064" s="19" t="inlineStr">
        <is>
          <t>2</t>
        </is>
      </c>
      <c r="J1064" t="inlineStr">
        <is>
          <t>2026-08-08</t>
        </is>
      </c>
      <c r="L1064" s="19" t="inlineStr">
        <is>
          <t>1013679</t>
        </is>
      </c>
      <c r="M1064" t="inlineStr">
        <is>
          <t>STATUS=IN OEM / EU PACKAGE; SOURCE_CFG=IA-ST-CFG-0096; MARKET=None</t>
        </is>
      </c>
      <c r="N1064" t="inlineStr">
        <is>
          <t>2026-08-10T19:29:54Z</t>
        </is>
      </c>
      <c r="O1064" t="inlineStr">
        <is>
          <t>2026-08-10T19:29:54Z</t>
        </is>
      </c>
    </row>
    <row r="1065">
      <c r="A1065" s="19" t="inlineStr">
        <is>
          <t>1064</t>
        </is>
      </c>
      <c r="B1065" s="19" t="inlineStr">
        <is>
          <t>1013682</t>
        </is>
      </c>
      <c r="C1065" t="inlineStr">
        <is>
          <t>AKÜ,C-IGYASMF,DK,250AH,BLIZGOLDLN,DIŞPYS</t>
        </is>
      </c>
      <c r="D1065" s="19" t="inlineStr">
        <is>
          <t>1</t>
        </is>
      </c>
      <c r="E1065" t="n">
        <v>0</v>
      </c>
      <c r="I1065" s="19" t="inlineStr">
        <is>
          <t>2</t>
        </is>
      </c>
      <c r="J1065" t="inlineStr">
        <is>
          <t>2026-08-08</t>
        </is>
      </c>
      <c r="L1065" s="19" t="inlineStr">
        <is>
          <t>1013682</t>
        </is>
      </c>
      <c r="M1065" t="inlineStr">
        <is>
          <t>STATUS=IN OEM / EU PACKAGE; SOURCE_CFG=IA-ST-CFG-0014; MARKET=None</t>
        </is>
      </c>
      <c r="N1065" t="inlineStr">
        <is>
          <t>2026-08-10T19:29:54Z</t>
        </is>
      </c>
      <c r="O1065" t="inlineStr">
        <is>
          <t>2026-08-10T19:29:54Z</t>
        </is>
      </c>
    </row>
    <row r="1066">
      <c r="A1066" s="19" t="inlineStr">
        <is>
          <t>1065</t>
        </is>
      </c>
      <c r="B1066" s="19" t="inlineStr">
        <is>
          <t>1013692</t>
        </is>
      </c>
      <c r="C1066" t="inlineStr">
        <is>
          <t>AKÜ,L2,DK,65AH,IGYSMF,BLIZ.GOLDLN,DIŞPYS</t>
        </is>
      </c>
      <c r="D1066" s="19" t="inlineStr">
        <is>
          <t>1</t>
        </is>
      </c>
      <c r="E1066" t="n">
        <v>0</v>
      </c>
      <c r="I1066" s="19" t="inlineStr">
        <is>
          <t>2</t>
        </is>
      </c>
      <c r="J1066" t="inlineStr">
        <is>
          <t>2026-08-08</t>
        </is>
      </c>
      <c r="L1066" s="19" t="inlineStr">
        <is>
          <t>1013692</t>
        </is>
      </c>
      <c r="M1066" t="inlineStr">
        <is>
          <t>STATUS=IN OEM / EU PACKAGE; SOURCE_CFG=IA-ST-CFG-0222; MARKET=None</t>
        </is>
      </c>
      <c r="N1066" t="inlineStr">
        <is>
          <t>2026-08-10T19:29:54Z</t>
        </is>
      </c>
      <c r="O1066" t="inlineStr">
        <is>
          <t>2026-08-10T19:29:54Z</t>
        </is>
      </c>
    </row>
    <row r="1067">
      <c r="A1067" s="19" t="inlineStr">
        <is>
          <t>1066</t>
        </is>
      </c>
      <c r="B1067" s="19" t="inlineStr">
        <is>
          <t>1013696</t>
        </is>
      </c>
      <c r="C1067" t="inlineStr">
        <is>
          <t>AKÜ,L3,DK,80AH,IGYSMF,BLIZ.GOLDLN,DIŞPYS</t>
        </is>
      </c>
      <c r="D1067" s="19" t="inlineStr">
        <is>
          <t>1</t>
        </is>
      </c>
      <c r="E1067" t="n">
        <v>0</v>
      </c>
      <c r="I1067" s="19" t="inlineStr">
        <is>
          <t>2</t>
        </is>
      </c>
      <c r="J1067" t="inlineStr">
        <is>
          <t>2026-08-08</t>
        </is>
      </c>
      <c r="L1067" s="19" t="inlineStr">
        <is>
          <t>1013696</t>
        </is>
      </c>
      <c r="M1067" t="inlineStr">
        <is>
          <t>STATUS=IN OEM / EU PACKAGE; SOURCE_CFG=IA-ST-CFG-0179; MARKET=None</t>
        </is>
      </c>
      <c r="N1067" t="inlineStr">
        <is>
          <t>2026-08-10T19:29:54Z</t>
        </is>
      </c>
      <c r="O1067" t="inlineStr">
        <is>
          <t>2026-08-10T19:29:54Z</t>
        </is>
      </c>
    </row>
    <row r="1068">
      <c r="A1068" s="19" t="inlineStr">
        <is>
          <t>1067</t>
        </is>
      </c>
      <c r="B1068" s="19" t="inlineStr">
        <is>
          <t>1013708</t>
        </is>
      </c>
      <c r="C1068" t="inlineStr">
        <is>
          <t>AKÜ,L3,DK,IGYASMF,75AH,700A,MERCEDES EFB</t>
        </is>
      </c>
      <c r="D1068" s="19" t="inlineStr">
        <is>
          <t>1</t>
        </is>
      </c>
      <c r="E1068" t="n">
        <v>0</v>
      </c>
      <c r="I1068" s="19" t="inlineStr">
        <is>
          <t>2</t>
        </is>
      </c>
      <c r="J1068" t="inlineStr">
        <is>
          <t>2026-08-08</t>
        </is>
      </c>
      <c r="L1068" s="19" t="inlineStr">
        <is>
          <t>1013708</t>
        </is>
      </c>
      <c r="M1068" t="inlineStr">
        <is>
          <t>STATUS=DOMESTIC-ONLY / NOT IN OEM PACKAGE; SOURCE_CFG=IA-ST-CFG-0019; MARKET=MERCEDES (Yurt İçi)</t>
        </is>
      </c>
      <c r="N1068" t="inlineStr">
        <is>
          <t>2026-08-10T19:29:54Z</t>
        </is>
      </c>
      <c r="O1068" t="inlineStr">
        <is>
          <t>2026-08-10T19:29:54Z</t>
        </is>
      </c>
    </row>
    <row r="1069">
      <c r="A1069" s="19" t="inlineStr">
        <is>
          <t>1068</t>
        </is>
      </c>
      <c r="B1069" s="19" t="inlineStr">
        <is>
          <t>1013713</t>
        </is>
      </c>
      <c r="C1069" t="inlineStr">
        <is>
          <t>AKÜ,L4,DK,90AH,IGYA,BOOSTER,TÜRKMENİSTAN</t>
        </is>
      </c>
      <c r="D1069" s="19" t="inlineStr">
        <is>
          <t>1</t>
        </is>
      </c>
      <c r="E1069" t="n">
        <v>0</v>
      </c>
      <c r="I1069" s="19" t="inlineStr">
        <is>
          <t>2</t>
        </is>
      </c>
      <c r="J1069" t="inlineStr">
        <is>
          <t>2026-08-08</t>
        </is>
      </c>
      <c r="L1069" s="19" t="inlineStr">
        <is>
          <t>1013713</t>
        </is>
      </c>
      <c r="M1069" t="inlineStr">
        <is>
          <t>STATUS=IN OEM / EU PACKAGE; SOURCE_CFG=IA-ST-CFG-0221; MARKET=TÜRKMENİSTAN</t>
        </is>
      </c>
      <c r="N1069" t="inlineStr">
        <is>
          <t>2026-08-10T19:29:54Z</t>
        </is>
      </c>
      <c r="O1069" t="inlineStr">
        <is>
          <t>2026-08-10T19:29:54Z</t>
        </is>
      </c>
    </row>
    <row r="1070">
      <c r="A1070" s="19" t="inlineStr">
        <is>
          <t>1069</t>
        </is>
      </c>
      <c r="B1070" s="19" t="inlineStr">
        <is>
          <t>1013717</t>
        </is>
      </c>
      <c r="C1070" t="inlineStr">
        <is>
          <t>AKÜ,LB4,DK,85AH,IGYSMF,BLIZGOLDLNYD,EURO</t>
        </is>
      </c>
      <c r="D1070" s="19" t="inlineStr">
        <is>
          <t>1</t>
        </is>
      </c>
      <c r="E1070" t="n">
        <v>0</v>
      </c>
      <c r="I1070" s="19" t="inlineStr">
        <is>
          <t>2</t>
        </is>
      </c>
      <c r="J1070" t="inlineStr">
        <is>
          <t>2026-08-08</t>
        </is>
      </c>
      <c r="L1070" s="19" t="inlineStr">
        <is>
          <t>1013717</t>
        </is>
      </c>
      <c r="M1070" t="inlineStr">
        <is>
          <t>STATUS=IN OEM / EU PACKAGE; SOURCE_CFG=IA-ST-CFG-0152; MARKET=None</t>
        </is>
      </c>
      <c r="N1070" t="inlineStr">
        <is>
          <t>2026-08-10T19:29:54Z</t>
        </is>
      </c>
      <c r="O1070" t="inlineStr">
        <is>
          <t>2026-08-10T19:29:54Z</t>
        </is>
      </c>
    </row>
    <row r="1071">
      <c r="A1071" s="19" t="inlineStr">
        <is>
          <t>1070</t>
        </is>
      </c>
      <c r="B1071" s="19" t="inlineStr">
        <is>
          <t>1013718</t>
        </is>
      </c>
      <c r="C1071" t="inlineStr">
        <is>
          <t>AKÜ,L5,DK,102AH,IGYSMF,BLIZGOLDLNYD,EURO</t>
        </is>
      </c>
      <c r="D1071" s="19" t="inlineStr">
        <is>
          <t>1</t>
        </is>
      </c>
      <c r="E1071" t="n">
        <v>0</v>
      </c>
      <c r="I1071" s="19" t="inlineStr">
        <is>
          <t>2</t>
        </is>
      </c>
      <c r="J1071" t="inlineStr">
        <is>
          <t>2026-08-08</t>
        </is>
      </c>
      <c r="L1071" s="19" t="inlineStr">
        <is>
          <t>1013718</t>
        </is>
      </c>
      <c r="M1071" t="inlineStr">
        <is>
          <t>STATUS=IN OEM / EU PACKAGE; SOURCE_CFG=IA-ST-CFG-0116; MARKET=None</t>
        </is>
      </c>
      <c r="N1071" t="inlineStr">
        <is>
          <t>2026-08-10T19:29:54Z</t>
        </is>
      </c>
      <c r="O1071" t="inlineStr">
        <is>
          <t>2026-08-10T19:29:54Z</t>
        </is>
      </c>
    </row>
    <row r="1072">
      <c r="A1072" s="19" t="inlineStr">
        <is>
          <t>1071</t>
        </is>
      </c>
      <c r="B1072" s="19" t="inlineStr">
        <is>
          <t>1013721</t>
        </is>
      </c>
      <c r="C1072" t="inlineStr">
        <is>
          <t>AKÜ,C-FLAT,DK,240AH,BLIZZ.TRENDLINE,EURO</t>
        </is>
      </c>
      <c r="D1072" s="19" t="inlineStr">
        <is>
          <t>1</t>
        </is>
      </c>
      <c r="E1072" t="n">
        <v>0</v>
      </c>
      <c r="I1072" s="19" t="inlineStr">
        <is>
          <t>2</t>
        </is>
      </c>
      <c r="J1072" t="inlineStr">
        <is>
          <t>2026-08-08</t>
        </is>
      </c>
      <c r="L1072" s="19" t="inlineStr">
        <is>
          <t>1013721</t>
        </is>
      </c>
      <c r="M1072" t="inlineStr">
        <is>
          <t>STATUS=IN OEM / EU PACKAGE; SOURCE_CFG=IA-ST-CFG-0014; MARKET=None</t>
        </is>
      </c>
      <c r="N1072" t="inlineStr">
        <is>
          <t>2026-08-10T19:29:54Z</t>
        </is>
      </c>
      <c r="O1072" t="inlineStr">
        <is>
          <t>2026-08-10T19:29:54Z</t>
        </is>
      </c>
    </row>
    <row r="1073">
      <c r="A1073" s="19" t="inlineStr">
        <is>
          <t>1072</t>
        </is>
      </c>
      <c r="B1073" s="19" t="inlineStr">
        <is>
          <t>1013722</t>
        </is>
      </c>
      <c r="C1073" t="inlineStr">
        <is>
          <t>AKÜ,L4,DK,80AH,IGYA,NO NAME,EFBS&amp;S,PARTS</t>
        </is>
      </c>
      <c r="D1073" s="19" t="inlineStr">
        <is>
          <t>1</t>
        </is>
      </c>
      <c r="E1073" t="n">
        <v>0</v>
      </c>
      <c r="I1073" s="19" t="inlineStr">
        <is>
          <t>2</t>
        </is>
      </c>
      <c r="J1073" t="inlineStr">
        <is>
          <t>2026-08-08</t>
        </is>
      </c>
      <c r="L1073" s="19" t="inlineStr">
        <is>
          <t>1013722</t>
        </is>
      </c>
      <c r="M1073" t="inlineStr">
        <is>
          <t>STATUS=IN OEM / EU PACKAGE; SOURCE_CFG=IA-ST-CFG-0153; MARKET=CAR PARTS DISTRIBUZIONE İTALYA</t>
        </is>
      </c>
      <c r="N1073" t="inlineStr">
        <is>
          <t>2026-08-10T19:29:54Z</t>
        </is>
      </c>
      <c r="O1073" t="inlineStr">
        <is>
          <t>2026-08-10T19:29:54Z</t>
        </is>
      </c>
    </row>
    <row r="1074">
      <c r="A1074" s="19" t="inlineStr">
        <is>
          <t>1073</t>
        </is>
      </c>
      <c r="B1074" s="19" t="inlineStr">
        <is>
          <t>1013723</t>
        </is>
      </c>
      <c r="C1074" t="inlineStr">
        <is>
          <t>AKÜ,TRACTOR,DK,125AH,HUGEL ACTION</t>
        </is>
      </c>
      <c r="D1074" s="19" t="inlineStr">
        <is>
          <t>1</t>
        </is>
      </c>
      <c r="E1074" t="n">
        <v>0</v>
      </c>
      <c r="I1074" s="19" t="inlineStr">
        <is>
          <t>2</t>
        </is>
      </c>
      <c r="J1074" t="inlineStr">
        <is>
          <t>2026-08-08</t>
        </is>
      </c>
      <c r="L1074" s="19" t="inlineStr">
        <is>
          <t>1013723</t>
        </is>
      </c>
      <c r="M1074" t="inlineStr">
        <is>
          <t>STATUS=IN OEM / EU PACKAGE; SOURCE_CFG=IA-ST-CFG-0093; MARKET=None</t>
        </is>
      </c>
      <c r="N1074" t="inlineStr">
        <is>
          <t>2026-08-10T19:29:54Z</t>
        </is>
      </c>
      <c r="O1074" t="inlineStr">
        <is>
          <t>2026-08-10T19:29:54Z</t>
        </is>
      </c>
    </row>
    <row r="1075">
      <c r="A1075" s="19" t="inlineStr">
        <is>
          <t>1074</t>
        </is>
      </c>
      <c r="B1075" s="19" t="inlineStr">
        <is>
          <t>1013733</t>
        </is>
      </c>
      <c r="C1075" t="inlineStr">
        <is>
          <t>AKÜ,C-FLAT,DK,240AH,HUGEL ACTION,TRADING</t>
        </is>
      </c>
      <c r="D1075" s="19" t="inlineStr">
        <is>
          <t>1</t>
        </is>
      </c>
      <c r="E1075" t="n">
        <v>0</v>
      </c>
      <c r="I1075" s="19" t="inlineStr">
        <is>
          <t>2</t>
        </is>
      </c>
      <c r="J1075" t="inlineStr">
        <is>
          <t>2026-08-08</t>
        </is>
      </c>
      <c r="L1075" s="19" t="inlineStr">
        <is>
          <t>1013733</t>
        </is>
      </c>
      <c r="M1075" t="inlineStr">
        <is>
          <t>STATUS=IN OEM / EU PACKAGE; SOURCE_CFG=IA-ST-CFG-0014; MARKET=START TRADING BULGARİSTAN</t>
        </is>
      </c>
      <c r="N1075" t="inlineStr">
        <is>
          <t>2026-08-10T19:29:54Z</t>
        </is>
      </c>
      <c r="O1075" t="inlineStr">
        <is>
          <t>2026-08-10T19:29:54Z</t>
        </is>
      </c>
    </row>
    <row r="1076">
      <c r="A1076" s="19" t="inlineStr">
        <is>
          <t>1075</t>
        </is>
      </c>
      <c r="B1076" s="19" t="inlineStr">
        <is>
          <t>1013734</t>
        </is>
      </c>
      <c r="C1076" t="inlineStr">
        <is>
          <t>AKÜ,L2DK,60AH,VRLA,AGM YBX9027-060,GYEUR</t>
        </is>
      </c>
      <c r="D1076" s="19" t="inlineStr">
        <is>
          <t>1</t>
        </is>
      </c>
      <c r="E1076" t="n">
        <v>0</v>
      </c>
      <c r="I1076" s="19" t="inlineStr">
        <is>
          <t>2</t>
        </is>
      </c>
      <c r="J1076" t="inlineStr">
        <is>
          <t>2026-08-08</t>
        </is>
      </c>
      <c r="L1076" s="19" t="inlineStr">
        <is>
          <t>1013734</t>
        </is>
      </c>
      <c r="M1076" t="inlineStr">
        <is>
          <t>STATUS=IN OEM / EU PACKAGE; SOURCE_CFG=IA-ST-CFG-0149; MARKET=GY EUR</t>
        </is>
      </c>
      <c r="N1076" t="inlineStr">
        <is>
          <t>2026-08-10T19:29:54Z</t>
        </is>
      </c>
      <c r="O1076" t="inlineStr">
        <is>
          <t>2026-08-10T19:29:54Z</t>
        </is>
      </c>
    </row>
    <row r="1077">
      <c r="A1077" s="19" t="inlineStr">
        <is>
          <t>1076</t>
        </is>
      </c>
      <c r="B1077" s="19" t="inlineStr">
        <is>
          <t>1013735</t>
        </is>
      </c>
      <c r="C1077" t="inlineStr">
        <is>
          <t>AKÜ,L3DK,70AH,VRLA,AGM YBX9096-070,GYEUR</t>
        </is>
      </c>
      <c r="D1077" s="19" t="inlineStr">
        <is>
          <t>1</t>
        </is>
      </c>
      <c r="E1077" t="n">
        <v>0</v>
      </c>
      <c r="I1077" s="19" t="inlineStr">
        <is>
          <t>2</t>
        </is>
      </c>
      <c r="J1077" t="inlineStr">
        <is>
          <t>2026-08-08</t>
        </is>
      </c>
      <c r="L1077" s="19" t="inlineStr">
        <is>
          <t>1013735</t>
        </is>
      </c>
      <c r="M1077" t="inlineStr">
        <is>
          <t>STATUS=IN OEM / EU PACKAGE; SOURCE_CFG=IA-ST-CFG-0113; MARKET=GY EUR</t>
        </is>
      </c>
      <c r="N1077" t="inlineStr">
        <is>
          <t>2026-08-10T19:29:54Z</t>
        </is>
      </c>
      <c r="O1077" t="inlineStr">
        <is>
          <t>2026-08-10T19:29:54Z</t>
        </is>
      </c>
    </row>
    <row r="1078">
      <c r="A1078" s="19" t="inlineStr">
        <is>
          <t>1077</t>
        </is>
      </c>
      <c r="B1078" s="19" t="inlineStr">
        <is>
          <t>1013736</t>
        </is>
      </c>
      <c r="C1078" t="inlineStr">
        <is>
          <t>AKÜ,L4DK,80AH,VRLA,AGM YBX9115-080,GYEUR</t>
        </is>
      </c>
      <c r="D1078" s="19" t="inlineStr">
        <is>
          <t>1</t>
        </is>
      </c>
      <c r="E1078" t="n">
        <v>0</v>
      </c>
      <c r="I1078" s="19" t="inlineStr">
        <is>
          <t>2</t>
        </is>
      </c>
      <c r="J1078" t="inlineStr">
        <is>
          <t>2026-08-08</t>
        </is>
      </c>
      <c r="L1078" s="19" t="inlineStr">
        <is>
          <t>1013736</t>
        </is>
      </c>
      <c r="M1078" t="inlineStr">
        <is>
          <t>STATUS=IN OEM / EU PACKAGE; SOURCE_CFG=IA-ST-CFG-0085; MARKET=GY EUR</t>
        </is>
      </c>
      <c r="N1078" t="inlineStr">
        <is>
          <t>2026-08-10T19:29:54Z</t>
        </is>
      </c>
      <c r="O1078" t="inlineStr">
        <is>
          <t>2026-08-10T19:29:54Z</t>
        </is>
      </c>
    </row>
    <row r="1079">
      <c r="A1079" s="19" t="inlineStr">
        <is>
          <t>1078</t>
        </is>
      </c>
      <c r="B1079" s="19" t="inlineStr">
        <is>
          <t>1013737</t>
        </is>
      </c>
      <c r="C1079" t="inlineStr">
        <is>
          <t>AKÜ,L5DK,95AH,VRLA,AGM YBX9019-095,GYEUR</t>
        </is>
      </c>
      <c r="D1079" s="19" t="inlineStr">
        <is>
          <t>1</t>
        </is>
      </c>
      <c r="E1079" t="n">
        <v>0</v>
      </c>
      <c r="I1079" s="19" t="inlineStr">
        <is>
          <t>2</t>
        </is>
      </c>
      <c r="J1079" t="inlineStr">
        <is>
          <t>2026-08-08</t>
        </is>
      </c>
      <c r="L1079" s="19" t="inlineStr">
        <is>
          <t>1013737</t>
        </is>
      </c>
      <c r="M1079" t="inlineStr">
        <is>
          <t>STATUS=IN OEM / EU PACKAGE; SOURCE_CFG=IA-ST-CFG-0068; MARKET=GY EUR</t>
        </is>
      </c>
      <c r="N1079" t="inlineStr">
        <is>
          <t>2026-08-10T19:29:54Z</t>
        </is>
      </c>
      <c r="O1079" t="inlineStr">
        <is>
          <t>2026-08-10T19:29:54Z</t>
        </is>
      </c>
    </row>
    <row r="1080">
      <c r="A1080" s="19" t="inlineStr">
        <is>
          <t>1079</t>
        </is>
      </c>
      <c r="B1080" s="19" t="inlineStr">
        <is>
          <t>1013738</t>
        </is>
      </c>
      <c r="C1080" t="inlineStr">
        <is>
          <t>AKÜ,L6DK105AH,VRLA,AGM YBX9020-105,GYEUR</t>
        </is>
      </c>
      <c r="D1080" s="19" t="inlineStr">
        <is>
          <t>1</t>
        </is>
      </c>
      <c r="E1080" t="n">
        <v>0</v>
      </c>
      <c r="I1080" s="19" t="inlineStr">
        <is>
          <t>2</t>
        </is>
      </c>
      <c r="J1080" t="inlineStr">
        <is>
          <t>2026-08-08</t>
        </is>
      </c>
      <c r="L1080" s="19" t="inlineStr">
        <is>
          <t>1013738</t>
        </is>
      </c>
      <c r="M1080" t="inlineStr">
        <is>
          <t>STATUS=IN OEM / EU PACKAGE; SOURCE_CFG=IA-ST-CFG-0058; MARKET=GY EUR</t>
        </is>
      </c>
      <c r="N1080" t="inlineStr">
        <is>
          <t>2026-08-10T19:29:54Z</t>
        </is>
      </c>
      <c r="O1080" t="inlineStr">
        <is>
          <t>2026-08-10T19:29:54Z</t>
        </is>
      </c>
    </row>
    <row r="1081">
      <c r="A1081" s="19" t="inlineStr">
        <is>
          <t>1080</t>
        </is>
      </c>
      <c r="B1081" s="19" t="inlineStr">
        <is>
          <t>1013739</t>
        </is>
      </c>
      <c r="C1081" t="inlineStr">
        <is>
          <t>AKÜ,L1,DK,54AH,IGYASMF,EAS EXTRA,YD,EURO</t>
        </is>
      </c>
      <c r="D1081" s="19" t="inlineStr">
        <is>
          <t>1</t>
        </is>
      </c>
      <c r="E1081" t="n">
        <v>0</v>
      </c>
      <c r="I1081" s="19" t="inlineStr">
        <is>
          <t>2</t>
        </is>
      </c>
      <c r="J1081" t="inlineStr">
        <is>
          <t>2026-08-08</t>
        </is>
      </c>
      <c r="L1081" s="19" t="inlineStr">
        <is>
          <t>1013739</t>
        </is>
      </c>
      <c r="M1081" t="inlineStr">
        <is>
          <t>STATUS=IN OEM / EU PACKAGE; SOURCE_CFG=IA-ST-CFG-0266; MARKET=None</t>
        </is>
      </c>
      <c r="N1081" t="inlineStr">
        <is>
          <t>2026-08-10T19:29:54Z</t>
        </is>
      </c>
      <c r="O1081" t="inlineStr">
        <is>
          <t>2026-08-10T19:29:54Z</t>
        </is>
      </c>
    </row>
    <row r="1082">
      <c r="A1082" s="19" t="inlineStr">
        <is>
          <t>1081</t>
        </is>
      </c>
      <c r="B1082" s="19" t="inlineStr">
        <is>
          <t>1013740</t>
        </is>
      </c>
      <c r="C1082" t="inlineStr">
        <is>
          <t>AKÜ,LB1,DK,52AH,IGYASMF,EASEXTRA,YD,EURO</t>
        </is>
      </c>
      <c r="D1082" s="19" t="inlineStr">
        <is>
          <t>1</t>
        </is>
      </c>
      <c r="E1082" t="n">
        <v>0</v>
      </c>
      <c r="I1082" s="19" t="inlineStr">
        <is>
          <t>2</t>
        </is>
      </c>
      <c r="J1082" t="inlineStr">
        <is>
          <t>2026-08-08</t>
        </is>
      </c>
      <c r="L1082" s="19" t="inlineStr">
        <is>
          <t>1013740</t>
        </is>
      </c>
      <c r="M1082" t="inlineStr">
        <is>
          <t>STATUS=IN OEM / EU PACKAGE; SOURCE_CFG=IA-ST-CFG-0264; MARKET=None</t>
        </is>
      </c>
      <c r="N1082" t="inlineStr">
        <is>
          <t>2026-08-10T19:29:54Z</t>
        </is>
      </c>
      <c r="O1082" t="inlineStr">
        <is>
          <t>2026-08-10T19:29:54Z</t>
        </is>
      </c>
    </row>
    <row r="1083">
      <c r="A1083" s="19" t="inlineStr">
        <is>
          <t>1082</t>
        </is>
      </c>
      <c r="B1083" s="19" t="inlineStr">
        <is>
          <t>1013742</t>
        </is>
      </c>
      <c r="C1083" t="inlineStr">
        <is>
          <t>AKÜ,L2,DK,65AH,IGYASMF,EAS EXTRA,YD,EURO</t>
        </is>
      </c>
      <c r="D1083" s="19" t="inlineStr">
        <is>
          <t>1</t>
        </is>
      </c>
      <c r="E1083" t="n">
        <v>0</v>
      </c>
      <c r="I1083" s="19" t="inlineStr">
        <is>
          <t>2</t>
        </is>
      </c>
      <c r="J1083" t="inlineStr">
        <is>
          <t>2026-08-08</t>
        </is>
      </c>
      <c r="L1083" s="19" t="inlineStr">
        <is>
          <t>1013742</t>
        </is>
      </c>
      <c r="M1083" t="inlineStr">
        <is>
          <t>STATUS=IN OEM / EU PACKAGE; SOURCE_CFG=IA-ST-CFG-0240; MARKET=None</t>
        </is>
      </c>
      <c r="N1083" t="inlineStr">
        <is>
          <t>2026-08-10T19:29:54Z</t>
        </is>
      </c>
      <c r="O1083" t="inlineStr">
        <is>
          <t>2026-08-10T19:29:54Z</t>
        </is>
      </c>
    </row>
    <row r="1084">
      <c r="A1084" s="19" t="inlineStr">
        <is>
          <t>1083</t>
        </is>
      </c>
      <c r="B1084" s="19" t="inlineStr">
        <is>
          <t>1013743</t>
        </is>
      </c>
      <c r="C1084" t="inlineStr">
        <is>
          <t>AKÜ,L3,DK,80AH,IGYASMF,EAS EXTRA,YD,EURO</t>
        </is>
      </c>
      <c r="D1084" s="19" t="inlineStr">
        <is>
          <t>1</t>
        </is>
      </c>
      <c r="E1084" t="n">
        <v>0</v>
      </c>
      <c r="I1084" s="19" t="inlineStr">
        <is>
          <t>2</t>
        </is>
      </c>
      <c r="J1084" t="inlineStr">
        <is>
          <t>2026-08-08</t>
        </is>
      </c>
      <c r="L1084" s="19" t="inlineStr">
        <is>
          <t>1013743</t>
        </is>
      </c>
      <c r="M1084" t="inlineStr">
        <is>
          <t>STATUS=IN OEM / EU PACKAGE; SOURCE_CFG=IA-ST-CFG-0200; MARKET=None</t>
        </is>
      </c>
      <c r="N1084" t="inlineStr">
        <is>
          <t>2026-08-10T19:29:54Z</t>
        </is>
      </c>
      <c r="O1084" t="inlineStr">
        <is>
          <t>2026-08-10T19:29:54Z</t>
        </is>
      </c>
    </row>
    <row r="1085">
      <c r="A1085" s="19" t="inlineStr">
        <is>
          <t>1084</t>
        </is>
      </c>
      <c r="B1085" s="19" t="inlineStr">
        <is>
          <t>1013744</t>
        </is>
      </c>
      <c r="C1085" t="inlineStr">
        <is>
          <t>AKÜ,LB4,DK,85AH,IGYASMF,EASEXTRA,YD,EURO</t>
        </is>
      </c>
      <c r="D1085" s="19" t="inlineStr">
        <is>
          <t>1</t>
        </is>
      </c>
      <c r="E1085" t="n">
        <v>0</v>
      </c>
      <c r="I1085" s="19" t="inlineStr">
        <is>
          <t>2</t>
        </is>
      </c>
      <c r="J1085" t="inlineStr">
        <is>
          <t>2026-08-08</t>
        </is>
      </c>
      <c r="L1085" s="19" t="inlineStr">
        <is>
          <t>1013744</t>
        </is>
      </c>
      <c r="M1085" t="inlineStr">
        <is>
          <t>STATUS=IN OEM / EU PACKAGE; SOURCE_CFG=IA-ST-CFG-0152; MARKET=None</t>
        </is>
      </c>
      <c r="N1085" t="inlineStr">
        <is>
          <t>2026-08-10T19:29:54Z</t>
        </is>
      </c>
      <c r="O1085" t="inlineStr">
        <is>
          <t>2026-08-10T19:29:54Z</t>
        </is>
      </c>
    </row>
    <row r="1086">
      <c r="A1086" s="19" t="inlineStr">
        <is>
          <t>1085</t>
        </is>
      </c>
      <c r="B1086" s="19" t="inlineStr">
        <is>
          <t>1013745</t>
        </is>
      </c>
      <c r="C1086" t="inlineStr">
        <is>
          <t>AKÜ,L4,DK,90AH,IGYASMF,EAS EXTRA,YD,EURO</t>
        </is>
      </c>
      <c r="D1086" s="19" t="inlineStr">
        <is>
          <t>1</t>
        </is>
      </c>
      <c r="E1086" t="n">
        <v>0</v>
      </c>
      <c r="I1086" s="19" t="inlineStr">
        <is>
          <t>2</t>
        </is>
      </c>
      <c r="J1086" t="inlineStr">
        <is>
          <t>2026-08-08</t>
        </is>
      </c>
      <c r="L1086" s="19" t="inlineStr">
        <is>
          <t>1013745</t>
        </is>
      </c>
      <c r="M1086" t="inlineStr">
        <is>
          <t>STATUS=IN OEM / EU PACKAGE; SOURCE_CFG=IA-ST-CFG-0152; MARKET=None</t>
        </is>
      </c>
      <c r="N1086" t="inlineStr">
        <is>
          <t>2026-08-10T19:29:54Z</t>
        </is>
      </c>
      <c r="O1086" t="inlineStr">
        <is>
          <t>2026-08-10T19:29:54Z</t>
        </is>
      </c>
    </row>
    <row r="1087">
      <c r="A1087" s="19" t="inlineStr">
        <is>
          <t>1086</t>
        </is>
      </c>
      <c r="B1087" s="19" t="inlineStr">
        <is>
          <t>1013746</t>
        </is>
      </c>
      <c r="C1087" t="inlineStr">
        <is>
          <t>AKÜ,NS60,DK,55AH,IGYSMF,EASEXTRA,YD,EURO</t>
        </is>
      </c>
      <c r="D1087" s="19" t="inlineStr">
        <is>
          <t>1</t>
        </is>
      </c>
      <c r="E1087" t="n">
        <v>0</v>
      </c>
      <c r="I1087" s="19" t="inlineStr">
        <is>
          <t>2</t>
        </is>
      </c>
      <c r="J1087" t="inlineStr">
        <is>
          <t>2026-08-08</t>
        </is>
      </c>
      <c r="L1087" s="19" t="inlineStr">
        <is>
          <t>1013746</t>
        </is>
      </c>
      <c r="M1087" t="inlineStr">
        <is>
          <t>STATUS=IN OEM / EU PACKAGE; SOURCE_CFG=IA-ST-CFG-0235; MARKET=None</t>
        </is>
      </c>
      <c r="N1087" t="inlineStr">
        <is>
          <t>2026-08-10T19:29:54Z</t>
        </is>
      </c>
      <c r="O1087" t="inlineStr">
        <is>
          <t>2026-08-10T19:29:54Z</t>
        </is>
      </c>
    </row>
    <row r="1088">
      <c r="A1088" s="19" t="inlineStr">
        <is>
          <t>1087</t>
        </is>
      </c>
      <c r="B1088" s="19" t="inlineStr">
        <is>
          <t>1013747</t>
        </is>
      </c>
      <c r="C1088" t="inlineStr">
        <is>
          <t>AKÜ,D23,DK,68AH,IGYSMF,EAS EXTRA,YD,EURO</t>
        </is>
      </c>
      <c r="D1088" s="19" t="inlineStr">
        <is>
          <t>1</t>
        </is>
      </c>
      <c r="E1088" t="n">
        <v>0</v>
      </c>
      <c r="I1088" s="19" t="inlineStr">
        <is>
          <t>2</t>
        </is>
      </c>
      <c r="J1088" t="inlineStr">
        <is>
          <t>2026-08-08</t>
        </is>
      </c>
      <c r="L1088" s="19" t="inlineStr">
        <is>
          <t>1013747</t>
        </is>
      </c>
      <c r="M1088" t="inlineStr">
        <is>
          <t>STATUS=IN OEM / EU PACKAGE; SOURCE_CFG=IA-ST-CFG-0171; MARKET=None</t>
        </is>
      </c>
      <c r="N1088" t="inlineStr">
        <is>
          <t>2026-08-10T19:29:54Z</t>
        </is>
      </c>
      <c r="O1088" t="inlineStr">
        <is>
          <t>2026-08-10T19:29:54Z</t>
        </is>
      </c>
    </row>
    <row r="1089">
      <c r="A1089" s="19" t="inlineStr">
        <is>
          <t>1088</t>
        </is>
      </c>
      <c r="B1089" s="19" t="inlineStr">
        <is>
          <t>1013748</t>
        </is>
      </c>
      <c r="C1089" t="inlineStr">
        <is>
          <t>AKÜ,D26,DK,80AH,IGYSMF,EAS EXTRA,YD,EURO</t>
        </is>
      </c>
      <c r="D1089" s="19" t="inlineStr">
        <is>
          <t>1</t>
        </is>
      </c>
      <c r="E1089" t="n">
        <v>0</v>
      </c>
      <c r="I1089" s="19" t="inlineStr">
        <is>
          <t>2</t>
        </is>
      </c>
      <c r="J1089" t="inlineStr">
        <is>
          <t>2026-08-08</t>
        </is>
      </c>
      <c r="L1089" s="19" t="inlineStr">
        <is>
          <t>1013748</t>
        </is>
      </c>
      <c r="M1089" t="inlineStr">
        <is>
          <t>STATUS=IN OEM / EU PACKAGE; SOURCE_CFG=IA-ST-CFG-0107; MARKET=None</t>
        </is>
      </c>
      <c r="N1089" t="inlineStr">
        <is>
          <t>2026-08-10T19:29:54Z</t>
        </is>
      </c>
      <c r="O1089" t="inlineStr">
        <is>
          <t>2026-08-10T19:29:54Z</t>
        </is>
      </c>
    </row>
    <row r="1090">
      <c r="A1090" s="19" t="inlineStr">
        <is>
          <t>1089</t>
        </is>
      </c>
      <c r="B1090" s="19" t="inlineStr">
        <is>
          <t>1013749</t>
        </is>
      </c>
      <c r="C1090" t="inlineStr">
        <is>
          <t>AKÜ,D31,DK,100AH,IGYSMF,EASEXTRA,YD,EURO</t>
        </is>
      </c>
      <c r="D1090" s="19" t="inlineStr">
        <is>
          <t>1</t>
        </is>
      </c>
      <c r="E1090" t="n">
        <v>0</v>
      </c>
      <c r="I1090" s="19" t="inlineStr">
        <is>
          <t>2</t>
        </is>
      </c>
      <c r="J1090" t="inlineStr">
        <is>
          <t>2026-08-08</t>
        </is>
      </c>
      <c r="L1090" s="19" t="inlineStr">
        <is>
          <t>1013749</t>
        </is>
      </c>
      <c r="M1090" t="inlineStr">
        <is>
          <t>STATUS=IN OEM / EU PACKAGE; SOURCE_CFG=IA-ST-CFG-0115; MARKET=None</t>
        </is>
      </c>
      <c r="N1090" t="inlineStr">
        <is>
          <t>2026-08-10T19:29:54Z</t>
        </is>
      </c>
      <c r="O1090" t="inlineStr">
        <is>
          <t>2026-08-10T19:29:54Z</t>
        </is>
      </c>
    </row>
    <row r="1091">
      <c r="A1091" s="19" t="inlineStr">
        <is>
          <t>1090</t>
        </is>
      </c>
      <c r="B1091" s="19" t="inlineStr">
        <is>
          <t>1013765</t>
        </is>
      </c>
      <c r="C1091" t="inlineStr">
        <is>
          <t>AKÜ,B-FLAT,TK,180AH,İNCİSUPRA,TEMSA OEM</t>
        </is>
      </c>
      <c r="D1091" s="19" t="inlineStr">
        <is>
          <t>1</t>
        </is>
      </c>
      <c r="E1091" t="n">
        <v>0</v>
      </c>
      <c r="I1091" s="19" t="inlineStr">
        <is>
          <t>2</t>
        </is>
      </c>
      <c r="J1091" t="inlineStr">
        <is>
          <t>2026-08-08</t>
        </is>
      </c>
      <c r="L1091" s="19" t="inlineStr">
        <is>
          <t>1013765</t>
        </is>
      </c>
      <c r="M1091" t="inlineStr">
        <is>
          <t>STATUS=DOMESTIC-ONLY / NOT IN OEM PACKAGE; SOURCE_CFG=IA-ST-CFG-0002; MARKET=TEMSA (Yurt İçi)</t>
        </is>
      </c>
      <c r="N1091" t="inlineStr">
        <is>
          <t>2026-08-10T19:29:54Z</t>
        </is>
      </c>
      <c r="O1091" t="inlineStr">
        <is>
          <t>2026-08-10T19:29:54Z</t>
        </is>
      </c>
    </row>
    <row r="1092">
      <c r="A1092" s="19" t="inlineStr">
        <is>
          <t>1091</t>
        </is>
      </c>
      <c r="B1092" s="19" t="inlineStr">
        <is>
          <t>1013769</t>
        </is>
      </c>
      <c r="C1092" t="inlineStr">
        <is>
          <t>AKÜ SULU,TRACTR,DK,125AH,STRONG,SCHNAPP</t>
        </is>
      </c>
      <c r="D1092" s="19" t="inlineStr">
        <is>
          <t>1</t>
        </is>
      </c>
      <c r="E1092" t="n">
        <v>0</v>
      </c>
      <c r="I1092" s="19" t="inlineStr">
        <is>
          <t>2</t>
        </is>
      </c>
      <c r="J1092" t="inlineStr">
        <is>
          <t>2026-08-08</t>
        </is>
      </c>
      <c r="L1092" s="19" t="inlineStr">
        <is>
          <t>1013769</t>
        </is>
      </c>
      <c r="M1092" t="inlineStr">
        <is>
          <t>STATUS=IN OEM / EU PACKAGE; SOURCE_CFG=IA-ST-CFG-0099; MARKET=SCHNAPP</t>
        </is>
      </c>
      <c r="N1092" t="inlineStr">
        <is>
          <t>2026-08-10T19:29:54Z</t>
        </is>
      </c>
      <c r="O1092" t="inlineStr">
        <is>
          <t>2026-08-10T19:29:54Z</t>
        </is>
      </c>
    </row>
    <row r="1093">
      <c r="A1093" s="19" t="inlineStr">
        <is>
          <t>1092</t>
        </is>
      </c>
      <c r="B1093" s="19" t="inlineStr">
        <is>
          <t>1013773</t>
        </is>
      </c>
      <c r="C1093" t="inlineStr">
        <is>
          <t>AKÜ,L2,DK,60AH,VRLA,AGM YBX9027-060,Yİ</t>
        </is>
      </c>
      <c r="D1093" s="19" t="inlineStr">
        <is>
          <t>1</t>
        </is>
      </c>
      <c r="E1093" t="n">
        <v>0</v>
      </c>
      <c r="I1093" s="19" t="inlineStr">
        <is>
          <t>2</t>
        </is>
      </c>
      <c r="J1093" t="inlineStr">
        <is>
          <t>2026-08-08</t>
        </is>
      </c>
      <c r="L1093" s="19" t="inlineStr">
        <is>
          <t>1013773</t>
        </is>
      </c>
      <c r="M1093" t="inlineStr">
        <is>
          <t>STATUS=IN OEM / EU PACKAGE; SOURCE_CFG=IA-ST-CFG-0227; MARKET=YURT İÇİ AFM</t>
        </is>
      </c>
      <c r="N1093" t="inlineStr">
        <is>
          <t>2026-08-10T19:29:54Z</t>
        </is>
      </c>
      <c r="O1093" t="inlineStr">
        <is>
          <t>2026-08-10T19:29:54Z</t>
        </is>
      </c>
    </row>
    <row r="1094">
      <c r="A1094" s="19" t="inlineStr">
        <is>
          <t>1093</t>
        </is>
      </c>
      <c r="B1094" s="19" t="inlineStr">
        <is>
          <t>1013774</t>
        </is>
      </c>
      <c r="C1094" t="inlineStr">
        <is>
          <t>AKÜ,L3,DK,70AH,VRLA,AGM YBX9096-070,Yİ</t>
        </is>
      </c>
      <c r="D1094" s="19" t="inlineStr">
        <is>
          <t>1</t>
        </is>
      </c>
      <c r="E1094" t="n">
        <v>0</v>
      </c>
      <c r="I1094" s="19" t="inlineStr">
        <is>
          <t>2</t>
        </is>
      </c>
      <c r="J1094" t="inlineStr">
        <is>
          <t>2026-08-08</t>
        </is>
      </c>
      <c r="L1094" s="19" t="inlineStr">
        <is>
          <t>1013774</t>
        </is>
      </c>
      <c r="M1094" t="inlineStr">
        <is>
          <t>STATUS=IN OEM / EU PACKAGE; SOURCE_CFG=IA-ST-CFG-0182; MARKET=YURT İÇİ AFM</t>
        </is>
      </c>
      <c r="N1094" t="inlineStr">
        <is>
          <t>2026-08-10T19:29:54Z</t>
        </is>
      </c>
      <c r="O1094" t="inlineStr">
        <is>
          <t>2026-08-10T19:29:54Z</t>
        </is>
      </c>
    </row>
    <row r="1095">
      <c r="A1095" s="19" t="inlineStr">
        <is>
          <t>1094</t>
        </is>
      </c>
      <c r="B1095" s="19" t="inlineStr">
        <is>
          <t>1013775</t>
        </is>
      </c>
      <c r="C1095" t="inlineStr">
        <is>
          <t>AKÜ,L4,DK,80AH,VRLA,AGM YBX9115-080,Yİ</t>
        </is>
      </c>
      <c r="D1095" s="19" t="inlineStr">
        <is>
          <t>1</t>
        </is>
      </c>
      <c r="E1095" t="n">
        <v>0</v>
      </c>
      <c r="I1095" s="19" t="inlineStr">
        <is>
          <t>2</t>
        </is>
      </c>
      <c r="J1095" t="inlineStr">
        <is>
          <t>2026-08-08</t>
        </is>
      </c>
      <c r="L1095" s="19" t="inlineStr">
        <is>
          <t>1013775</t>
        </is>
      </c>
      <c r="M1095" t="inlineStr">
        <is>
          <t>STATUS=IN OEM / EU PACKAGE; SOURCE_CFG=IA-ST-CFG-0144; MARKET=YURT İÇİ AFM</t>
        </is>
      </c>
      <c r="N1095" t="inlineStr">
        <is>
          <t>2026-08-10T19:29:54Z</t>
        </is>
      </c>
      <c r="O1095" t="inlineStr">
        <is>
          <t>2026-08-10T19:29:54Z</t>
        </is>
      </c>
    </row>
    <row r="1096">
      <c r="A1096" s="19" t="inlineStr">
        <is>
          <t>1095</t>
        </is>
      </c>
      <c r="B1096" s="19" t="inlineStr">
        <is>
          <t>1013776</t>
        </is>
      </c>
      <c r="C1096" t="inlineStr">
        <is>
          <t>AKÜ,L5,DK,95AH,VRLA,AGM YBX9019-095,Yİ</t>
        </is>
      </c>
      <c r="D1096" s="19" t="inlineStr">
        <is>
          <t>1</t>
        </is>
      </c>
      <c r="E1096" t="n">
        <v>0</v>
      </c>
      <c r="I1096" s="19" t="inlineStr">
        <is>
          <t>2</t>
        </is>
      </c>
      <c r="J1096" t="inlineStr">
        <is>
          <t>2026-08-08</t>
        </is>
      </c>
      <c r="L1096" s="19" t="inlineStr">
        <is>
          <t>1013776</t>
        </is>
      </c>
      <c r="M1096" t="inlineStr">
        <is>
          <t>STATUS=IN OEM / EU PACKAGE; SOURCE_CFG=IA-ST-CFG-0098; MARKET=YURT İÇİ AFM</t>
        </is>
      </c>
      <c r="N1096" t="inlineStr">
        <is>
          <t>2026-08-10T19:29:54Z</t>
        </is>
      </c>
      <c r="O1096" t="inlineStr">
        <is>
          <t>2026-08-10T19:29:54Z</t>
        </is>
      </c>
    </row>
    <row r="1097">
      <c r="A1097" s="19" t="inlineStr">
        <is>
          <t>1096</t>
        </is>
      </c>
      <c r="B1097" s="19" t="inlineStr">
        <is>
          <t>1013777</t>
        </is>
      </c>
      <c r="C1097" t="inlineStr">
        <is>
          <t>AKÜ,L6,DK,105AH,VRLA,AGM YBX9020-105,Yİ</t>
        </is>
      </c>
      <c r="D1097" s="19" t="inlineStr">
        <is>
          <t>1</t>
        </is>
      </c>
      <c r="E1097" t="n">
        <v>0</v>
      </c>
      <c r="I1097" s="19" t="inlineStr">
        <is>
          <t>2</t>
        </is>
      </c>
      <c r="J1097" t="inlineStr">
        <is>
          <t>2026-08-08</t>
        </is>
      </c>
      <c r="L1097" s="19" t="inlineStr">
        <is>
          <t>1013777</t>
        </is>
      </c>
      <c r="M1097" t="inlineStr">
        <is>
          <t>STATUS=IN OEM / EU PACKAGE; SOURCE_CFG=IA-ST-CFG-0081; MARKET=YURT İÇİ AFM</t>
        </is>
      </c>
      <c r="N1097" t="inlineStr">
        <is>
          <t>2026-08-10T19:29:54Z</t>
        </is>
      </c>
      <c r="O1097" t="inlineStr">
        <is>
          <t>2026-08-10T19:29:54Z</t>
        </is>
      </c>
    </row>
    <row r="1098">
      <c r="A1098" s="19" t="inlineStr">
        <is>
          <t>1097</t>
        </is>
      </c>
      <c r="B1098" s="19" t="inlineStr">
        <is>
          <t>1013778</t>
        </is>
      </c>
      <c r="C1098" t="inlineStr">
        <is>
          <t>AKÜ,C-FLAT,DK,225AH,HUGEL ACTION,SHAWKAT</t>
        </is>
      </c>
      <c r="D1098" s="19" t="inlineStr">
        <is>
          <t>1</t>
        </is>
      </c>
      <c r="E1098" t="n">
        <v>0</v>
      </c>
      <c r="I1098" s="19" t="inlineStr">
        <is>
          <t>2</t>
        </is>
      </c>
      <c r="J1098" t="inlineStr">
        <is>
          <t>2026-08-08</t>
        </is>
      </c>
      <c r="L1098" s="19" t="inlineStr">
        <is>
          <t>1013778</t>
        </is>
      </c>
      <c r="M1098" t="inlineStr">
        <is>
          <t>STATUS=IN OEM / EU PACKAGE; SOURCE_CFG=IA-ST-CFG-0023; MARKET=SHAWKAT</t>
        </is>
      </c>
      <c r="N1098" t="inlineStr">
        <is>
          <t>2026-08-10T19:29:54Z</t>
        </is>
      </c>
      <c r="O1098" t="inlineStr">
        <is>
          <t>2026-08-10T19:29:54Z</t>
        </is>
      </c>
    </row>
    <row r="1099">
      <c r="A1099" s="19" t="inlineStr">
        <is>
          <t>1098</t>
        </is>
      </c>
      <c r="B1099" s="19" t="inlineStr">
        <is>
          <t>1013791</t>
        </is>
      </c>
      <c r="C1099" t="inlineStr">
        <is>
          <t>AKÜ,D26,DK,70AH540A,IGYSMF,Y3000,SHAWKAT</t>
        </is>
      </c>
      <c r="D1099" s="19" t="inlineStr">
        <is>
          <t>1</t>
        </is>
      </c>
      <c r="E1099" t="n">
        <v>0</v>
      </c>
      <c r="I1099" s="19" t="inlineStr">
        <is>
          <t>2</t>
        </is>
      </c>
      <c r="J1099" t="inlineStr">
        <is>
          <t>2026-08-08</t>
        </is>
      </c>
      <c r="L1099" s="19" t="inlineStr">
        <is>
          <t>1013791</t>
        </is>
      </c>
      <c r="M1099" t="inlineStr">
        <is>
          <t>STATUS=IN OEM / EU PACKAGE; SOURCE_CFG=IA-ST-CFG-0157; MARKET=SHAWKAT</t>
        </is>
      </c>
      <c r="N1099" t="inlineStr">
        <is>
          <t>2026-08-10T19:29:54Z</t>
        </is>
      </c>
      <c r="O1099" t="inlineStr">
        <is>
          <t>2026-08-10T19:29:54Z</t>
        </is>
      </c>
    </row>
    <row r="1100">
      <c r="A1100" s="19" t="inlineStr">
        <is>
          <t>1099</t>
        </is>
      </c>
      <c r="B1100" s="19" t="inlineStr">
        <is>
          <t>1013794</t>
        </is>
      </c>
      <c r="C1100" t="inlineStr">
        <is>
          <t>AKÜ,LB4,DK,80AH720A,IGYSMF,Y3000,SHAWKAT</t>
        </is>
      </c>
      <c r="D1100" s="19" t="inlineStr">
        <is>
          <t>1</t>
        </is>
      </c>
      <c r="E1100" t="n">
        <v>0</v>
      </c>
      <c r="I1100" s="19" t="inlineStr">
        <is>
          <t>2</t>
        </is>
      </c>
      <c r="J1100" t="inlineStr">
        <is>
          <t>2026-08-08</t>
        </is>
      </c>
      <c r="L1100" s="19" t="inlineStr">
        <is>
          <t>1013794</t>
        </is>
      </c>
      <c r="M1100" t="inlineStr">
        <is>
          <t>STATUS=IN OEM / EU PACKAGE; SOURCE_CFG=IA-ST-CFG-0194; MARKET=SHAWKAT</t>
        </is>
      </c>
      <c r="N1100" t="inlineStr">
        <is>
          <t>2026-08-10T19:29:54Z</t>
        </is>
      </c>
      <c r="O1100" t="inlineStr">
        <is>
          <t>2026-08-10T19:29:54Z</t>
        </is>
      </c>
    </row>
    <row r="1101">
      <c r="A1101" s="19" t="inlineStr">
        <is>
          <t>1100</t>
        </is>
      </c>
      <c r="B1101" s="19" t="inlineStr">
        <is>
          <t>1013795</t>
        </is>
      </c>
      <c r="C1101" t="inlineStr">
        <is>
          <t>AKÜ,D31,DK,90AH670A,IGYSMF,Y3000,SHAWKAT</t>
        </is>
      </c>
      <c r="D1101" s="19" t="inlineStr">
        <is>
          <t>1</t>
        </is>
      </c>
      <c r="E1101" t="n">
        <v>0</v>
      </c>
      <c r="I1101" s="19" t="inlineStr">
        <is>
          <t>2</t>
        </is>
      </c>
      <c r="J1101" t="inlineStr">
        <is>
          <t>2026-08-08</t>
        </is>
      </c>
      <c r="L1101" s="19" t="inlineStr">
        <is>
          <t>1013795</t>
        </is>
      </c>
      <c r="M1101" t="inlineStr">
        <is>
          <t>STATUS=IN OEM / EU PACKAGE; SOURCE_CFG=IA-ST-CFG-0123; MARKET=SHAWKAT</t>
        </is>
      </c>
      <c r="N1101" t="inlineStr">
        <is>
          <t>2026-08-10T19:29:54Z</t>
        </is>
      </c>
      <c r="O1101" t="inlineStr">
        <is>
          <t>2026-08-10T19:29:54Z</t>
        </is>
      </c>
    </row>
    <row r="1102">
      <c r="A1102" s="19" t="inlineStr">
        <is>
          <t>1101</t>
        </is>
      </c>
      <c r="B1102" s="19" t="inlineStr">
        <is>
          <t>1013803</t>
        </is>
      </c>
      <c r="C1102" t="inlineStr">
        <is>
          <t>AKÜ,L2,DK,60AH,AGM,EDIX BLUE,CANARIBAT</t>
        </is>
      </c>
      <c r="D1102" s="19" t="inlineStr">
        <is>
          <t>1</t>
        </is>
      </c>
      <c r="E1102" t="n">
        <v>0</v>
      </c>
      <c r="I1102" s="19" t="inlineStr">
        <is>
          <t>2</t>
        </is>
      </c>
      <c r="J1102" t="inlineStr">
        <is>
          <t>2026-08-08</t>
        </is>
      </c>
      <c r="L1102" s="19" t="inlineStr">
        <is>
          <t>1013803</t>
        </is>
      </c>
      <c r="M1102" t="inlineStr">
        <is>
          <t>STATUS=IN OEM / EU PACKAGE; SOURCE_CFG=IA-ST-CFG-0240; MARKET=CANARIBAT İSPANYA</t>
        </is>
      </c>
      <c r="N1102" t="inlineStr">
        <is>
          <t>2026-08-10T19:29:54Z</t>
        </is>
      </c>
      <c r="O1102" t="inlineStr">
        <is>
          <t>2026-08-10T19:29:54Z</t>
        </is>
      </c>
    </row>
    <row r="1103">
      <c r="A1103" s="19" t="inlineStr">
        <is>
          <t>1102</t>
        </is>
      </c>
      <c r="B1103" s="19" t="inlineStr">
        <is>
          <t>1013818</t>
        </is>
      </c>
      <c r="C1103" t="inlineStr">
        <is>
          <t>AKÜ,L0,DK,40AH,DINNEWPROFIL,İNCİ SUPRA</t>
        </is>
      </c>
      <c r="D1103" s="19" t="inlineStr">
        <is>
          <t>1</t>
        </is>
      </c>
      <c r="E1103" t="n">
        <v>0</v>
      </c>
      <c r="I1103" s="19" t="inlineStr">
        <is>
          <t>2</t>
        </is>
      </c>
      <c r="J1103" t="inlineStr">
        <is>
          <t>2026-08-08</t>
        </is>
      </c>
      <c r="L1103" s="19" t="inlineStr">
        <is>
          <t>1013818</t>
        </is>
      </c>
      <c r="M1103" t="inlineStr">
        <is>
          <t>STATUS=IN OEM / EU PACKAGE; SOURCE_CFG=IA-ST-CFG-0262; MARKET=None</t>
        </is>
      </c>
      <c r="N1103" t="inlineStr">
        <is>
          <t>2026-08-10T19:29:54Z</t>
        </is>
      </c>
      <c r="O1103" t="inlineStr">
        <is>
          <t>2026-08-10T19:29:54Z</t>
        </is>
      </c>
    </row>
    <row r="1104">
      <c r="A1104" s="19" t="inlineStr">
        <is>
          <t>1103</t>
        </is>
      </c>
      <c r="B1104" s="19" t="inlineStr">
        <is>
          <t>1013834</t>
        </is>
      </c>
      <c r="C1104" t="inlineStr">
        <is>
          <t>AKÜ,LB4,DK,80AH,IGYA,NONAME,EFBS&amp;S,PARTS</t>
        </is>
      </c>
      <c r="D1104" s="19" t="inlineStr">
        <is>
          <t>1</t>
        </is>
      </c>
      <c r="E1104" t="n">
        <v>0</v>
      </c>
      <c r="I1104" s="19" t="inlineStr">
        <is>
          <t>2</t>
        </is>
      </c>
      <c r="J1104" t="inlineStr">
        <is>
          <t>2026-08-08</t>
        </is>
      </c>
      <c r="L1104" s="19" t="inlineStr">
        <is>
          <t>1013834</t>
        </is>
      </c>
      <c r="M1104" t="inlineStr">
        <is>
          <t>STATUS=IN OEM / EU PACKAGE; SOURCE_CFG=IA-ST-CFG-0153; MARKET=CAR PARTS DISTRIBUZIONE İTALYA</t>
        </is>
      </c>
      <c r="N1104" t="inlineStr">
        <is>
          <t>2026-08-10T19:29:54Z</t>
        </is>
      </c>
      <c r="O1104" t="inlineStr">
        <is>
          <t>2026-08-10T19:29:54Z</t>
        </is>
      </c>
    </row>
    <row r="1105">
      <c r="A1105" s="19" t="inlineStr">
        <is>
          <t>1104</t>
        </is>
      </c>
      <c r="B1105" s="19" t="inlineStr">
        <is>
          <t>1013838</t>
        </is>
      </c>
      <c r="C1105" t="inlineStr">
        <is>
          <t>AKÜ,L2,TK,65AH,IGYASMF,EAS EXTRA,YD,EURO</t>
        </is>
      </c>
      <c r="D1105" s="19" t="inlineStr">
        <is>
          <t>1</t>
        </is>
      </c>
      <c r="E1105" t="n">
        <v>0</v>
      </c>
      <c r="I1105" s="19" t="inlineStr">
        <is>
          <t>2</t>
        </is>
      </c>
      <c r="J1105" t="inlineStr">
        <is>
          <t>2026-08-08</t>
        </is>
      </c>
      <c r="L1105" s="19" t="inlineStr">
        <is>
          <t>1013838</t>
        </is>
      </c>
      <c r="M1105" t="inlineStr">
        <is>
          <t>STATUS=IN OEM / EU PACKAGE; SOURCE_CFG=IA-ST-CFG-0240; MARKET=None</t>
        </is>
      </c>
      <c r="N1105" t="inlineStr">
        <is>
          <t>2026-08-10T19:29:54Z</t>
        </is>
      </c>
      <c r="O1105" t="inlineStr">
        <is>
          <t>2026-08-10T19:29:54Z</t>
        </is>
      </c>
    </row>
    <row r="1106">
      <c r="A1106" s="19" t="inlineStr">
        <is>
          <t>1105</t>
        </is>
      </c>
      <c r="B1106" s="19" t="inlineStr">
        <is>
          <t>1013840</t>
        </is>
      </c>
      <c r="C1106" t="inlineStr">
        <is>
          <t>AKÜ,D31,TK,100AH,IGYSMF,EASEXTRA,YD,EURO</t>
        </is>
      </c>
      <c r="D1106" s="19" t="inlineStr">
        <is>
          <t>1</t>
        </is>
      </c>
      <c r="E1106" t="n">
        <v>0</v>
      </c>
      <c r="I1106" s="19" t="inlineStr">
        <is>
          <t>2</t>
        </is>
      </c>
      <c r="J1106" t="inlineStr">
        <is>
          <t>2026-08-08</t>
        </is>
      </c>
      <c r="L1106" s="19" t="inlineStr">
        <is>
          <t>1013840</t>
        </is>
      </c>
      <c r="M1106" t="inlineStr">
        <is>
          <t>STATUS=IN OEM / EU PACKAGE; SOURCE_CFG=IA-ST-CFG-0115; MARKET=None</t>
        </is>
      </c>
      <c r="N1106" t="inlineStr">
        <is>
          <t>2026-08-10T19:29:54Z</t>
        </is>
      </c>
      <c r="O1106" t="inlineStr">
        <is>
          <t>2026-08-10T19:29:54Z</t>
        </is>
      </c>
    </row>
    <row r="1107">
      <c r="A1107" s="19" t="inlineStr">
        <is>
          <t>1106</t>
        </is>
      </c>
      <c r="B1107" s="19" t="inlineStr">
        <is>
          <t>1013844</t>
        </is>
      </c>
      <c r="C1107" t="inlineStr">
        <is>
          <t>AKÜ,B-IGYASMF,DK,152AH,İNCİFORM,SHAWKAT</t>
        </is>
      </c>
      <c r="D1107" s="19" t="inlineStr">
        <is>
          <t>1</t>
        </is>
      </c>
      <c r="E1107" t="n">
        <v>0</v>
      </c>
      <c r="I1107" s="19" t="inlineStr">
        <is>
          <t>2</t>
        </is>
      </c>
      <c r="J1107" t="inlineStr">
        <is>
          <t>2026-08-08</t>
        </is>
      </c>
      <c r="L1107" s="19" t="inlineStr">
        <is>
          <t>1013844</t>
        </is>
      </c>
      <c r="M1107" t="inlineStr">
        <is>
          <t>STATUS=IN OEM / EU PACKAGE; SOURCE_CFG=IA-ST-CFG-0052; MARKET=SHAWKAT</t>
        </is>
      </c>
      <c r="N1107" t="inlineStr">
        <is>
          <t>2026-08-10T19:29:54Z</t>
        </is>
      </c>
      <c r="O1107" t="inlineStr">
        <is>
          <t>2026-08-10T19:29:54Z</t>
        </is>
      </c>
    </row>
    <row r="1108">
      <c r="A1108" s="19" t="inlineStr">
        <is>
          <t>1107</t>
        </is>
      </c>
      <c r="B1108" s="19" t="inlineStr">
        <is>
          <t>1013847</t>
        </is>
      </c>
      <c r="C1108" t="inlineStr">
        <is>
          <t>AKÜ,L4,DK,80AH,BLIZZARO AGM S&amp;S,YD,EURO</t>
        </is>
      </c>
      <c r="D1108" s="19" t="inlineStr">
        <is>
          <t>1</t>
        </is>
      </c>
      <c r="E1108" t="n">
        <v>0</v>
      </c>
      <c r="I1108" s="19" t="inlineStr">
        <is>
          <t>2</t>
        </is>
      </c>
      <c r="J1108" t="inlineStr">
        <is>
          <t>2026-08-08</t>
        </is>
      </c>
      <c r="L1108" s="19" t="inlineStr">
        <is>
          <t>1013847</t>
        </is>
      </c>
      <c r="M1108" t="inlineStr">
        <is>
          <t>STATUS=IN OEM / EU PACKAGE; SOURCE_CFG=IA-ST-CFG-0152; MARKET=None</t>
        </is>
      </c>
      <c r="N1108" t="inlineStr">
        <is>
          <t>2026-08-10T19:29:54Z</t>
        </is>
      </c>
      <c r="O1108" t="inlineStr">
        <is>
          <t>2026-08-10T19:29:54Z</t>
        </is>
      </c>
    </row>
    <row r="1109">
      <c r="A1109" s="19" t="inlineStr">
        <is>
          <t>1108</t>
        </is>
      </c>
      <c r="B1109" s="19" t="inlineStr">
        <is>
          <t>1013851</t>
        </is>
      </c>
      <c r="C1109" t="inlineStr">
        <is>
          <t>AKÜ,D31,DK,90AH,IGYASMF,BLIZZSILVER,EURO</t>
        </is>
      </c>
      <c r="D1109" s="19" t="inlineStr">
        <is>
          <t>1</t>
        </is>
      </c>
      <c r="E1109" t="n">
        <v>0</v>
      </c>
      <c r="I1109" s="19" t="inlineStr">
        <is>
          <t>2</t>
        </is>
      </c>
      <c r="J1109" t="inlineStr">
        <is>
          <t>2026-08-08</t>
        </is>
      </c>
      <c r="L1109" s="19" t="inlineStr">
        <is>
          <t>1013851</t>
        </is>
      </c>
      <c r="M1109" t="inlineStr">
        <is>
          <t>STATUS=IN OEM / EU PACKAGE; SOURCE_CFG=IA-ST-CFG-0115; MARKET=None</t>
        </is>
      </c>
      <c r="N1109" t="inlineStr">
        <is>
          <t>2026-08-10T19:29:54Z</t>
        </is>
      </c>
      <c r="O1109" t="inlineStr">
        <is>
          <t>2026-08-10T19:29:54Z</t>
        </is>
      </c>
    </row>
    <row r="1110">
      <c r="A1110" s="19" t="inlineStr">
        <is>
          <t>1109</t>
        </is>
      </c>
      <c r="B1110" s="19" t="inlineStr">
        <is>
          <t>1013852</t>
        </is>
      </c>
      <c r="C1110" t="inlineStr">
        <is>
          <t>AKÜ,D31,TK,90AH,IGYASMF,BLIZZSILVER,EURO</t>
        </is>
      </c>
      <c r="D1110" s="19" t="inlineStr">
        <is>
          <t>1</t>
        </is>
      </c>
      <c r="E1110" t="n">
        <v>0</v>
      </c>
      <c r="I1110" s="19" t="inlineStr">
        <is>
          <t>2</t>
        </is>
      </c>
      <c r="J1110" t="inlineStr">
        <is>
          <t>2026-08-08</t>
        </is>
      </c>
      <c r="L1110" s="19" t="inlineStr">
        <is>
          <t>1013852</t>
        </is>
      </c>
      <c r="M1110" t="inlineStr">
        <is>
          <t>STATUS=IN OEM / EU PACKAGE; SOURCE_CFG=IA-ST-CFG-0115; MARKET=None</t>
        </is>
      </c>
      <c r="N1110" t="inlineStr">
        <is>
          <t>2026-08-10T19:29:54Z</t>
        </is>
      </c>
      <c r="O1110" t="inlineStr">
        <is>
          <t>2026-08-10T19:29:54Z</t>
        </is>
      </c>
    </row>
    <row r="1111">
      <c r="A1111" s="19" t="inlineStr">
        <is>
          <t>1110</t>
        </is>
      </c>
      <c r="B1111" s="19" t="inlineStr">
        <is>
          <t>1013854</t>
        </is>
      </c>
      <c r="C1111" t="inlineStr">
        <is>
          <t>AKÜ,B-FLAT,DK,180AH,BLIZZ.TRENDLINE,EURO</t>
        </is>
      </c>
      <c r="D1111" s="19" t="inlineStr">
        <is>
          <t>1</t>
        </is>
      </c>
      <c r="E1111" t="n">
        <v>0</v>
      </c>
      <c r="I1111" s="19" t="inlineStr">
        <is>
          <t>2</t>
        </is>
      </c>
      <c r="J1111" t="inlineStr">
        <is>
          <t>2026-08-08</t>
        </is>
      </c>
      <c r="L1111" s="19" t="inlineStr">
        <is>
          <t>1013854</t>
        </is>
      </c>
      <c r="M1111" t="inlineStr">
        <is>
          <t>STATUS=IN OEM / EU PACKAGE; SOURCE_CFG=IA-ST-CFG-0029; MARKET=None</t>
        </is>
      </c>
      <c r="N1111" t="inlineStr">
        <is>
          <t>2026-08-10T19:29:54Z</t>
        </is>
      </c>
      <c r="O1111" t="inlineStr">
        <is>
          <t>2026-08-10T19:29:54Z</t>
        </is>
      </c>
    </row>
    <row r="1112">
      <c r="A1112" s="19" t="inlineStr">
        <is>
          <t>1111</t>
        </is>
      </c>
      <c r="B1112" s="19" t="inlineStr">
        <is>
          <t>1013857</t>
        </is>
      </c>
      <c r="C1112" t="inlineStr">
        <is>
          <t>AKÜ,A-FLAT,TK,120AH,NO NAME,PARTS</t>
        </is>
      </c>
      <c r="D1112" s="19" t="inlineStr">
        <is>
          <t>1</t>
        </is>
      </c>
      <c r="E1112" t="n">
        <v>0</v>
      </c>
      <c r="I1112" s="19" t="inlineStr">
        <is>
          <t>2</t>
        </is>
      </c>
      <c r="J1112" t="inlineStr">
        <is>
          <t>2026-08-08</t>
        </is>
      </c>
      <c r="L1112" s="19" t="inlineStr">
        <is>
          <t>1013857</t>
        </is>
      </c>
      <c r="M1112" t="inlineStr">
        <is>
          <t>STATUS=IN OEM / EU PACKAGE; SOURCE_CFG=IA-ST-CFG-0038; MARKET=CAR PARTS DISTRIBUZIONE İTALYA</t>
        </is>
      </c>
      <c r="N1112" t="inlineStr">
        <is>
          <t>2026-08-10T19:29:54Z</t>
        </is>
      </c>
      <c r="O1112" t="inlineStr">
        <is>
          <t>2026-08-10T19:29:54Z</t>
        </is>
      </c>
    </row>
    <row r="1113">
      <c r="A1113" s="19" t="inlineStr">
        <is>
          <t>1112</t>
        </is>
      </c>
      <c r="B1113" s="19" t="inlineStr">
        <is>
          <t>1013860</t>
        </is>
      </c>
      <c r="C1113" t="inlineStr">
        <is>
          <t>AKÜ,NS60,TK,45AH,IGYASMF,BLIZZ.SILV,EURO</t>
        </is>
      </c>
      <c r="D1113" s="19" t="inlineStr">
        <is>
          <t>1</t>
        </is>
      </c>
      <c r="E1113" t="n">
        <v>0</v>
      </c>
      <c r="I1113" s="19" t="inlineStr">
        <is>
          <t>2</t>
        </is>
      </c>
      <c r="J1113" t="inlineStr">
        <is>
          <t>2026-08-08</t>
        </is>
      </c>
      <c r="L1113" s="19" t="inlineStr">
        <is>
          <t>1013860</t>
        </is>
      </c>
      <c r="M1113" t="inlineStr">
        <is>
          <t>STATUS=IN OEM / EU PACKAGE; SOURCE_CFG=IA-ST-CFG-0235; MARKET=None</t>
        </is>
      </c>
      <c r="N1113" t="inlineStr">
        <is>
          <t>2026-08-10T19:29:54Z</t>
        </is>
      </c>
      <c r="O1113" t="inlineStr">
        <is>
          <t>2026-08-10T19:29:54Z</t>
        </is>
      </c>
    </row>
    <row r="1114">
      <c r="A1114" s="19" t="inlineStr">
        <is>
          <t>1113</t>
        </is>
      </c>
      <c r="B1114" s="19" t="inlineStr">
        <is>
          <t>1013861</t>
        </is>
      </c>
      <c r="C1114" t="inlineStr">
        <is>
          <t>AKÜ,D26,TK,72AH,IGYASMF,BLIZZ.,SILV,EURO</t>
        </is>
      </c>
      <c r="D1114" s="19" t="inlineStr">
        <is>
          <t>1</t>
        </is>
      </c>
      <c r="E1114" t="n">
        <v>0</v>
      </c>
      <c r="I1114" s="19" t="inlineStr">
        <is>
          <t>2</t>
        </is>
      </c>
      <c r="J1114" t="inlineStr">
        <is>
          <t>2026-08-08</t>
        </is>
      </c>
      <c r="L1114" s="19" t="inlineStr">
        <is>
          <t>1013861</t>
        </is>
      </c>
      <c r="M1114" t="inlineStr">
        <is>
          <t>STATUS=IN OEM / EU PACKAGE; SOURCE_CFG=IA-ST-CFG-0107; MARKET=None</t>
        </is>
      </c>
      <c r="N1114" t="inlineStr">
        <is>
          <t>2026-08-10T19:29:54Z</t>
        </is>
      </c>
      <c r="O1114" t="inlineStr">
        <is>
          <t>2026-08-10T19:29:54Z</t>
        </is>
      </c>
    </row>
    <row r="1115">
      <c r="A1115" s="19" t="inlineStr">
        <is>
          <t>1114</t>
        </is>
      </c>
      <c r="B1115" s="19" t="inlineStr">
        <is>
          <t>1013863</t>
        </is>
      </c>
      <c r="C1115" t="inlineStr">
        <is>
          <t>AKÜ,L5,DK,100AH,IGYA SMF,ENERGYMAX,EURO</t>
        </is>
      </c>
      <c r="D1115" s="19" t="inlineStr">
        <is>
          <t>1</t>
        </is>
      </c>
      <c r="E1115" t="n">
        <v>0</v>
      </c>
      <c r="I1115" s="19" t="inlineStr">
        <is>
          <t>2</t>
        </is>
      </c>
      <c r="J1115" t="inlineStr">
        <is>
          <t>2026-08-08</t>
        </is>
      </c>
      <c r="L1115" s="19" t="inlineStr">
        <is>
          <t>1013863</t>
        </is>
      </c>
      <c r="M1115" t="inlineStr">
        <is>
          <t>STATUS=IN OEM / EU PACKAGE; SOURCE_CFG=IA-ST-CFG-0116; MARKET=None</t>
        </is>
      </c>
      <c r="N1115" t="inlineStr">
        <is>
          <t>2026-08-10T19:29:54Z</t>
        </is>
      </c>
      <c r="O1115" t="inlineStr">
        <is>
          <t>2026-08-10T19:29:54Z</t>
        </is>
      </c>
    </row>
    <row r="1116">
      <c r="A1116" s="19" t="inlineStr">
        <is>
          <t>1115</t>
        </is>
      </c>
      <c r="B1116" s="19" t="inlineStr">
        <is>
          <t>1013865</t>
        </is>
      </c>
      <c r="C1116" t="inlineStr">
        <is>
          <t>AKÜ,L5,DK,105AH,IGYA SMF,HUGEL ULTRA</t>
        </is>
      </c>
      <c r="D1116" s="19" t="inlineStr">
        <is>
          <t>1</t>
        </is>
      </c>
      <c r="E1116" t="n">
        <v>0</v>
      </c>
      <c r="I1116" s="19" t="inlineStr">
        <is>
          <t>2</t>
        </is>
      </c>
      <c r="J1116" t="inlineStr">
        <is>
          <t>2026-08-08</t>
        </is>
      </c>
      <c r="L1116" s="19" t="inlineStr">
        <is>
          <t>1013865</t>
        </is>
      </c>
      <c r="M1116" t="inlineStr">
        <is>
          <t>STATUS=IN OEM / EU PACKAGE; SOURCE_CFG=IA-ST-CFG-0096; MARKET=None</t>
        </is>
      </c>
      <c r="N1116" t="inlineStr">
        <is>
          <t>2026-08-10T19:29:54Z</t>
        </is>
      </c>
      <c r="O1116" t="inlineStr">
        <is>
          <t>2026-08-10T19:29:54Z</t>
        </is>
      </c>
    </row>
    <row r="1117">
      <c r="A1117" s="19" t="inlineStr">
        <is>
          <t>1116</t>
        </is>
      </c>
      <c r="B1117" s="19" t="inlineStr">
        <is>
          <t>1013869</t>
        </is>
      </c>
      <c r="C1117" t="inlineStr">
        <is>
          <t>AKÜ,L2,DK,60AH,GSY SMF,S&amp;S,MAKO YP,OES</t>
        </is>
      </c>
      <c r="D1117" s="19" t="inlineStr">
        <is>
          <t>1</t>
        </is>
      </c>
      <c r="E1117" t="n">
        <v>0</v>
      </c>
      <c r="I1117" s="19" t="inlineStr">
        <is>
          <t>2</t>
        </is>
      </c>
      <c r="J1117" t="inlineStr">
        <is>
          <t>2026-08-08</t>
        </is>
      </c>
      <c r="L1117" s="19" t="inlineStr">
        <is>
          <t>1013869</t>
        </is>
      </c>
      <c r="M1117" t="inlineStr">
        <is>
          <t>STATUS=DOMESTIC-ONLY / NOT IN OEM PACKAGE; SOURCE_CFG=IA-ST-CFG-0242; MARKET=MAKO OES (Yurt İçi)</t>
        </is>
      </c>
      <c r="N1117" t="inlineStr">
        <is>
          <t>2026-08-10T19:29:54Z</t>
        </is>
      </c>
      <c r="O1117" t="inlineStr">
        <is>
          <t>2026-08-10T19:29:54Z</t>
        </is>
      </c>
    </row>
    <row r="1118">
      <c r="A1118" s="19" t="inlineStr">
        <is>
          <t>1117</t>
        </is>
      </c>
      <c r="B1118" s="19" t="inlineStr">
        <is>
          <t>1013870</t>
        </is>
      </c>
      <c r="C1118" t="inlineStr">
        <is>
          <t>AKÜ,L3,DK,70AH,GSY SMF,S&amp;S,MAKO YP,OES</t>
        </is>
      </c>
      <c r="D1118" s="19" t="inlineStr">
        <is>
          <t>1</t>
        </is>
      </c>
      <c r="E1118" t="n">
        <v>0</v>
      </c>
      <c r="I1118" s="19" t="inlineStr">
        <is>
          <t>2</t>
        </is>
      </c>
      <c r="J1118" t="inlineStr">
        <is>
          <t>2026-08-08</t>
        </is>
      </c>
      <c r="L1118" s="19" t="inlineStr">
        <is>
          <t>1013870</t>
        </is>
      </c>
      <c r="M1118" t="inlineStr">
        <is>
          <t>STATUS=DOMESTIC-ONLY / NOT IN OEM PACKAGE; SOURCE_CFG=IA-ST-CFG-0203; MARKET=MAKO OES (Yurt İçi)</t>
        </is>
      </c>
      <c r="N1118" t="inlineStr">
        <is>
          <t>2026-08-10T19:29:54Z</t>
        </is>
      </c>
      <c r="O1118" t="inlineStr">
        <is>
          <t>2026-08-10T19:29:54Z</t>
        </is>
      </c>
    </row>
    <row r="1119">
      <c r="A1119" s="19" t="inlineStr">
        <is>
          <t>1118</t>
        </is>
      </c>
      <c r="B1119" s="19" t="inlineStr">
        <is>
          <t>1013871</t>
        </is>
      </c>
      <c r="C1119" t="inlineStr">
        <is>
          <t>AKÜ AGM,L2,DK,60AH,İNCİ AGM LEO,EURO,YD</t>
        </is>
      </c>
      <c r="D1119" s="19" t="inlineStr">
        <is>
          <t>1</t>
        </is>
      </c>
      <c r="E1119" t="n">
        <v>0</v>
      </c>
      <c r="I1119" s="19" t="inlineStr">
        <is>
          <t>2</t>
        </is>
      </c>
      <c r="J1119" t="inlineStr">
        <is>
          <t>2026-08-08</t>
        </is>
      </c>
      <c r="L1119" s="19" t="inlineStr">
        <is>
          <t>1013871</t>
        </is>
      </c>
      <c r="M1119" t="inlineStr">
        <is>
          <t>STATUS=IN OEM / EU PACKAGE; SOURCE_CFG=IA-ST-CFG-0240; MARKET=None</t>
        </is>
      </c>
      <c r="N1119" t="inlineStr">
        <is>
          <t>2026-08-10T19:29:54Z</t>
        </is>
      </c>
      <c r="O1119" t="inlineStr">
        <is>
          <t>2026-08-10T19:29:54Z</t>
        </is>
      </c>
    </row>
    <row r="1120">
      <c r="A1120" s="19" t="inlineStr">
        <is>
          <t>1119</t>
        </is>
      </c>
      <c r="B1120" s="19" t="inlineStr">
        <is>
          <t>1013872</t>
        </is>
      </c>
      <c r="C1120" t="inlineStr">
        <is>
          <t>AKÜ AGM,L6,DK,105AH,İNCİ AGM LEO,EURO,YD</t>
        </is>
      </c>
      <c r="D1120" s="19" t="inlineStr">
        <is>
          <t>1</t>
        </is>
      </c>
      <c r="E1120" t="n">
        <v>0</v>
      </c>
      <c r="I1120" s="19" t="inlineStr">
        <is>
          <t>2</t>
        </is>
      </c>
      <c r="J1120" t="inlineStr">
        <is>
          <t>2026-08-08</t>
        </is>
      </c>
      <c r="L1120" s="19" t="inlineStr">
        <is>
          <t>1013872</t>
        </is>
      </c>
      <c r="M1120" t="inlineStr">
        <is>
          <t>STATUS=IN OEM / EU PACKAGE; SOURCE_CFG=IA-ST-CFG-0071; MARKET=None</t>
        </is>
      </c>
      <c r="N1120" t="inlineStr">
        <is>
          <t>2026-08-10T19:29:54Z</t>
        </is>
      </c>
      <c r="O1120" t="inlineStr">
        <is>
          <t>2026-08-10T19:29:54Z</t>
        </is>
      </c>
    </row>
    <row r="1121">
      <c r="A1121" s="19" t="inlineStr">
        <is>
          <t>1120</t>
        </is>
      </c>
      <c r="B1121" s="19" t="inlineStr">
        <is>
          <t>1013873</t>
        </is>
      </c>
      <c r="C1121" t="inlineStr">
        <is>
          <t>AKÜ,NS60,DK,45AH,IGYSMF,BLIZ.SILVRL,EURO</t>
        </is>
      </c>
      <c r="D1121" s="19" t="inlineStr">
        <is>
          <t>1</t>
        </is>
      </c>
      <c r="E1121" t="n">
        <v>0</v>
      </c>
      <c r="I1121" s="19" t="inlineStr">
        <is>
          <t>2</t>
        </is>
      </c>
      <c r="J1121" t="inlineStr">
        <is>
          <t>2026-08-08</t>
        </is>
      </c>
      <c r="L1121" s="19" t="inlineStr">
        <is>
          <t>1013873</t>
        </is>
      </c>
      <c r="M1121" t="inlineStr">
        <is>
          <t>STATUS=IN OEM / EU PACKAGE; SOURCE_CFG=IA-ST-CFG-0235; MARKET=None</t>
        </is>
      </c>
      <c r="N1121" t="inlineStr">
        <is>
          <t>2026-08-10T19:29:54Z</t>
        </is>
      </c>
      <c r="O1121" t="inlineStr">
        <is>
          <t>2026-08-10T19:29:54Z</t>
        </is>
      </c>
    </row>
    <row r="1122">
      <c r="A1122" s="19" t="inlineStr">
        <is>
          <t>1121</t>
        </is>
      </c>
      <c r="B1122" s="19" t="inlineStr">
        <is>
          <t>1013888</t>
        </is>
      </c>
      <c r="C1122" t="inlineStr">
        <is>
          <t>AKÜ,D26,DK,75AH,IGYSMF,SILVERTÜRKMENİSTN</t>
        </is>
      </c>
      <c r="D1122" s="19" t="inlineStr">
        <is>
          <t>1</t>
        </is>
      </c>
      <c r="E1122" t="n">
        <v>0</v>
      </c>
      <c r="I1122" s="19" t="inlineStr">
        <is>
          <t>2</t>
        </is>
      </c>
      <c r="J1122" t="inlineStr">
        <is>
          <t>2026-08-08</t>
        </is>
      </c>
      <c r="L1122" s="19" t="inlineStr">
        <is>
          <t>1013888</t>
        </is>
      </c>
      <c r="M1122" t="inlineStr">
        <is>
          <t>STATUS=IN OEM / EU PACKAGE; SOURCE_CFG=IA-ST-CFG-0175; MARKET=TÜRKMENİSTAN</t>
        </is>
      </c>
      <c r="N1122" t="inlineStr">
        <is>
          <t>2026-08-10T19:29:54Z</t>
        </is>
      </c>
      <c r="O1122" t="inlineStr">
        <is>
          <t>2026-08-10T19:29:54Z</t>
        </is>
      </c>
    </row>
    <row r="1123">
      <c r="A1123" s="19" t="inlineStr">
        <is>
          <t>1122</t>
        </is>
      </c>
      <c r="B1123" s="19" t="inlineStr">
        <is>
          <t>1013896</t>
        </is>
      </c>
      <c r="C1123" t="inlineStr">
        <is>
          <t>AKÜ,L5,DK,100AH,IGYA SMF,İNCİAKÜ,SUPRA</t>
        </is>
      </c>
      <c r="D1123" s="19" t="inlineStr">
        <is>
          <t>1</t>
        </is>
      </c>
      <c r="E1123" t="n">
        <v>0</v>
      </c>
      <c r="I1123" s="19" t="inlineStr">
        <is>
          <t>2</t>
        </is>
      </c>
      <c r="J1123" t="inlineStr">
        <is>
          <t>2026-08-08</t>
        </is>
      </c>
      <c r="L1123" s="19" t="inlineStr">
        <is>
          <t>1013896</t>
        </is>
      </c>
      <c r="M1123" t="inlineStr">
        <is>
          <t>STATUS=IN OEM / EU PACKAGE; SOURCE_CFG=IA-ST-CFG-0096; MARKET=None</t>
        </is>
      </c>
      <c r="N1123" t="inlineStr">
        <is>
          <t>2026-08-10T19:29:54Z</t>
        </is>
      </c>
      <c r="O1123" t="inlineStr">
        <is>
          <t>2026-08-10T19:29:54Z</t>
        </is>
      </c>
    </row>
    <row r="1124">
      <c r="A1124" s="19" t="inlineStr">
        <is>
          <t>1123</t>
        </is>
      </c>
      <c r="B1124" s="19" t="inlineStr">
        <is>
          <t>1013897</t>
        </is>
      </c>
      <c r="C1124" t="inlineStr">
        <is>
          <t>AKÜ AGM,L2,DK,60AH,İNCİ AGM LEO,SHRİNKLİ</t>
        </is>
      </c>
      <c r="D1124" s="19" t="inlineStr">
        <is>
          <t>1</t>
        </is>
      </c>
      <c r="E1124" t="n">
        <v>0</v>
      </c>
      <c r="I1124" s="19" t="inlineStr">
        <is>
          <t>2</t>
        </is>
      </c>
      <c r="J1124" t="inlineStr">
        <is>
          <t>2026-08-08</t>
        </is>
      </c>
      <c r="L1124" s="19" t="inlineStr">
        <is>
          <t>1013897</t>
        </is>
      </c>
      <c r="M1124" t="inlineStr">
        <is>
          <t>STATUS=IN OEM / EU PACKAGE; SOURCE_CFG=IA-ST-CFG-0222; MARKET=None</t>
        </is>
      </c>
      <c r="N1124" t="inlineStr">
        <is>
          <t>2026-08-10T19:29:54Z</t>
        </is>
      </c>
      <c r="O1124" t="inlineStr">
        <is>
          <t>2026-08-10T19:29:54Z</t>
        </is>
      </c>
    </row>
    <row r="1125">
      <c r="A1125" s="19" t="inlineStr">
        <is>
          <t>1124</t>
        </is>
      </c>
      <c r="B1125" s="19" t="inlineStr">
        <is>
          <t>1013898</t>
        </is>
      </c>
      <c r="C1125" t="inlineStr">
        <is>
          <t>AKÜ AGM,L4,DK,80AH,İNCİ AGM LEO,SHRİNKLİ</t>
        </is>
      </c>
      <c r="D1125" s="19" t="inlineStr">
        <is>
          <t>1</t>
        </is>
      </c>
      <c r="E1125" t="n">
        <v>0</v>
      </c>
      <c r="I1125" s="19" t="inlineStr">
        <is>
          <t>2</t>
        </is>
      </c>
      <c r="J1125" t="inlineStr">
        <is>
          <t>2026-08-08</t>
        </is>
      </c>
      <c r="L1125" s="19" t="inlineStr">
        <is>
          <t>1013898</t>
        </is>
      </c>
      <c r="M1125" t="inlineStr">
        <is>
          <t>STATUS=IN OEM / EU PACKAGE; SOURCE_CFG=IA-ST-CFG-0142; MARKET=None</t>
        </is>
      </c>
      <c r="N1125" t="inlineStr">
        <is>
          <t>2026-08-10T19:29:54Z</t>
        </is>
      </c>
      <c r="O1125" t="inlineStr">
        <is>
          <t>2026-08-10T19:29:54Z</t>
        </is>
      </c>
    </row>
    <row r="1126">
      <c r="A1126" s="19" t="inlineStr">
        <is>
          <t>1125</t>
        </is>
      </c>
      <c r="B1126" s="19" t="inlineStr">
        <is>
          <t>1013899</t>
        </is>
      </c>
      <c r="C1126" t="inlineStr">
        <is>
          <t>AKÜ AGM,L2,DK,60AH,BLIZZARO AGM S&amp;S</t>
        </is>
      </c>
      <c r="D1126" s="19" t="inlineStr">
        <is>
          <t>1</t>
        </is>
      </c>
      <c r="E1126" t="n">
        <v>0</v>
      </c>
      <c r="I1126" s="19" t="inlineStr">
        <is>
          <t>2</t>
        </is>
      </c>
      <c r="J1126" t="inlineStr">
        <is>
          <t>2026-08-08</t>
        </is>
      </c>
      <c r="L1126" s="19" t="inlineStr">
        <is>
          <t>1013899</t>
        </is>
      </c>
      <c r="M1126" t="inlineStr">
        <is>
          <t>STATUS=IN OEM / EU PACKAGE; SOURCE_CFG=IA-ST-CFG-0222; MARKET=None</t>
        </is>
      </c>
      <c r="N1126" t="inlineStr">
        <is>
          <t>2026-08-10T19:29:54Z</t>
        </is>
      </c>
      <c r="O1126" t="inlineStr">
        <is>
          <t>2026-08-10T19:29:54Z</t>
        </is>
      </c>
    </row>
    <row r="1127">
      <c r="A1127" s="19" t="inlineStr">
        <is>
          <t>1126</t>
        </is>
      </c>
      <c r="B1127" s="19" t="inlineStr">
        <is>
          <t>1013901</t>
        </is>
      </c>
      <c r="C1127" t="inlineStr">
        <is>
          <t>AKÜ,D23,DK,65AH,IGYSMF,BLIZZARO EFB S&amp;S</t>
        </is>
      </c>
      <c r="D1127" s="19" t="inlineStr">
        <is>
          <t>1</t>
        </is>
      </c>
      <c r="E1127" t="n">
        <v>0</v>
      </c>
      <c r="I1127" s="19" t="inlineStr">
        <is>
          <t>2</t>
        </is>
      </c>
      <c r="J1127" t="inlineStr">
        <is>
          <t>2026-08-08</t>
        </is>
      </c>
      <c r="L1127" s="19" t="inlineStr">
        <is>
          <t>1013901</t>
        </is>
      </c>
      <c r="M1127" t="inlineStr">
        <is>
          <t>STATUS=IN OEM / EU PACKAGE; SOURCE_CFG=IA-ST-CFG-0219; MARKET=None</t>
        </is>
      </c>
      <c r="N1127" t="inlineStr">
        <is>
          <t>2026-08-10T19:29:54Z</t>
        </is>
      </c>
      <c r="O1127" t="inlineStr">
        <is>
          <t>2026-08-10T19:29:54Z</t>
        </is>
      </c>
    </row>
    <row r="1128">
      <c r="A1128" s="19" t="inlineStr">
        <is>
          <t>1127</t>
        </is>
      </c>
      <c r="B1128" s="19" t="inlineStr">
        <is>
          <t>1013902</t>
        </is>
      </c>
      <c r="C1128" t="inlineStr">
        <is>
          <t>AKÜ,D26,DK,72AH,IGYSMF,BLIZZARO EFB S&amp;S</t>
        </is>
      </c>
      <c r="D1128" s="19" t="inlineStr">
        <is>
          <t>1</t>
        </is>
      </c>
      <c r="E1128" t="n">
        <v>0</v>
      </c>
      <c r="I1128" s="19" t="inlineStr">
        <is>
          <t>2</t>
        </is>
      </c>
      <c r="J1128" t="inlineStr">
        <is>
          <t>2026-08-08</t>
        </is>
      </c>
      <c r="L1128" s="19" t="inlineStr">
        <is>
          <t>1013902</t>
        </is>
      </c>
      <c r="M1128" t="inlineStr">
        <is>
          <t>STATUS=IN OEM / EU PACKAGE; SOURCE_CFG=IA-ST-CFG-0175; MARKET=None</t>
        </is>
      </c>
      <c r="N1128" t="inlineStr">
        <is>
          <t>2026-08-10T19:29:54Z</t>
        </is>
      </c>
      <c r="O1128" t="inlineStr">
        <is>
          <t>2026-08-10T19:29:54Z</t>
        </is>
      </c>
    </row>
    <row r="1129">
      <c r="A1129" s="19" t="inlineStr">
        <is>
          <t>1128</t>
        </is>
      </c>
      <c r="B1129" s="19" t="inlineStr">
        <is>
          <t>1013903</t>
        </is>
      </c>
      <c r="C1129" t="inlineStr">
        <is>
          <t>AKÜ,L5,DK,100AH,IGYSMF,BLIZZARO TRENDLN</t>
        </is>
      </c>
      <c r="D1129" s="19" t="inlineStr">
        <is>
          <t>1</t>
        </is>
      </c>
      <c r="E1129" t="n">
        <v>0</v>
      </c>
      <c r="I1129" s="19" t="inlineStr">
        <is>
          <t>2</t>
        </is>
      </c>
      <c r="J1129" t="inlineStr">
        <is>
          <t>2026-08-08</t>
        </is>
      </c>
      <c r="L1129" s="19" t="inlineStr">
        <is>
          <t>1013903</t>
        </is>
      </c>
      <c r="M1129" t="inlineStr">
        <is>
          <t>STATUS=IN OEM / EU PACKAGE; SOURCE_CFG=IA-ST-CFG-0096; MARKET=None</t>
        </is>
      </c>
      <c r="N1129" t="inlineStr">
        <is>
          <t>2026-08-10T19:29:54Z</t>
        </is>
      </c>
      <c r="O1129" t="inlineStr">
        <is>
          <t>2026-08-10T19:29:54Z</t>
        </is>
      </c>
    </row>
    <row r="1130">
      <c r="A1130" s="19" t="inlineStr">
        <is>
          <t>1129</t>
        </is>
      </c>
      <c r="B1130" s="19" t="inlineStr">
        <is>
          <t>1013906</t>
        </is>
      </c>
      <c r="C1130" t="inlineStr">
        <is>
          <t>AKÜ,TRACTOR,DK,130AH,B0,İNCİSUPRA,HATTAT</t>
        </is>
      </c>
      <c r="D1130" s="19" t="inlineStr">
        <is>
          <t>1</t>
        </is>
      </c>
      <c r="E1130" t="n">
        <v>0</v>
      </c>
      <c r="I1130" s="19" t="inlineStr">
        <is>
          <t>2</t>
        </is>
      </c>
      <c r="J1130" t="inlineStr">
        <is>
          <t>2026-08-08</t>
        </is>
      </c>
      <c r="L1130" s="19" t="inlineStr">
        <is>
          <t>1013906</t>
        </is>
      </c>
      <c r="M1130" t="inlineStr">
        <is>
          <t>STATUS=IN OEM / EU PACKAGE; SOURCE_CFG=IA-ST-CFG-0093; MARKET=HATTAT (Yurt İçi)</t>
        </is>
      </c>
      <c r="N1130" t="inlineStr">
        <is>
          <t>2026-08-10T19:29:54Z</t>
        </is>
      </c>
      <c r="O1130" t="inlineStr">
        <is>
          <t>2026-08-10T19:29:54Z</t>
        </is>
      </c>
    </row>
    <row r="1131">
      <c r="A1131" s="19" t="inlineStr">
        <is>
          <t>1130</t>
        </is>
      </c>
      <c r="B1131" s="19" t="inlineStr">
        <is>
          <t>1013907</t>
        </is>
      </c>
      <c r="C1131" t="inlineStr">
        <is>
          <t>AKÜ,L5,DK105AH,IGYA,B01,İNCİTAURS,HATTAT</t>
        </is>
      </c>
      <c r="D1131" s="19" t="inlineStr">
        <is>
          <t>1</t>
        </is>
      </c>
      <c r="E1131" t="n">
        <v>0</v>
      </c>
      <c r="I1131" s="19" t="inlineStr">
        <is>
          <t>2</t>
        </is>
      </c>
      <c r="J1131" t="inlineStr">
        <is>
          <t>2026-08-08</t>
        </is>
      </c>
      <c r="L1131" s="19" t="inlineStr">
        <is>
          <t>1013907</t>
        </is>
      </c>
      <c r="M1131" t="inlineStr">
        <is>
          <t>STATUS=IN OEM / EU PACKAGE; SOURCE_CFG=IA-ST-CFG-0096; MARKET=HATTAT (Yurt İçi)</t>
        </is>
      </c>
      <c r="N1131" t="inlineStr">
        <is>
          <t>2026-08-10T19:29:54Z</t>
        </is>
      </c>
      <c r="O1131" t="inlineStr">
        <is>
          <t>2026-08-10T19:29:54Z</t>
        </is>
      </c>
    </row>
    <row r="1132">
      <c r="A1132" s="19" t="inlineStr">
        <is>
          <t>1131</t>
        </is>
      </c>
      <c r="B1132" s="19" t="inlineStr">
        <is>
          <t>1013914</t>
        </is>
      </c>
      <c r="C1132" t="inlineStr">
        <is>
          <t>AKÜ,L6,DK,110AH,KAMINA,NO NAME,PARTS</t>
        </is>
      </c>
      <c r="D1132" s="19" t="inlineStr">
        <is>
          <t>1</t>
        </is>
      </c>
      <c r="E1132" t="n">
        <v>0</v>
      </c>
      <c r="I1132" s="19" t="inlineStr">
        <is>
          <t>2</t>
        </is>
      </c>
      <c r="J1132" t="inlineStr">
        <is>
          <t>2026-08-08</t>
        </is>
      </c>
      <c r="L1132" s="19" t="inlineStr">
        <is>
          <t>1013914</t>
        </is>
      </c>
      <c r="M1132" t="inlineStr">
        <is>
          <t>STATUS=IN OEM / EU PACKAGE; SOURCE_CFG=IA-ST-CFG-0072; MARKET=CAR PARTS DISTRIBUZIONE İTALYA</t>
        </is>
      </c>
      <c r="N1132" t="inlineStr">
        <is>
          <t>2026-08-10T19:29:54Z</t>
        </is>
      </c>
      <c r="O1132" t="inlineStr">
        <is>
          <t>2026-08-10T19:29:54Z</t>
        </is>
      </c>
    </row>
    <row r="1133">
      <c r="A1133" s="19" t="inlineStr">
        <is>
          <t>1132</t>
        </is>
      </c>
      <c r="B1133" s="19" t="inlineStr">
        <is>
          <t>1013920</t>
        </is>
      </c>
      <c r="C1133" t="inlineStr">
        <is>
          <t>AKÜ,L4,DK,90AH,IGYA SMF,NO NAME,SKG</t>
        </is>
      </c>
      <c r="D1133" s="19" t="inlineStr">
        <is>
          <t>1</t>
        </is>
      </c>
      <c r="E1133" t="n">
        <v>0</v>
      </c>
      <c r="I1133" s="19" t="inlineStr">
        <is>
          <t>2</t>
        </is>
      </c>
      <c r="J1133" t="inlineStr">
        <is>
          <t>2026-08-08</t>
        </is>
      </c>
      <c r="L1133" s="19" t="inlineStr">
        <is>
          <t>1013920</t>
        </is>
      </c>
      <c r="M1133" t="inlineStr">
        <is>
          <t>STATUS=IN OEM / EU PACKAGE; SOURCE_CFG=IA-ST-CFG-0151; MARKET=SKG İTALYA</t>
        </is>
      </c>
      <c r="N1133" t="inlineStr">
        <is>
          <t>2026-08-10T19:29:54Z</t>
        </is>
      </c>
      <c r="O1133" t="inlineStr">
        <is>
          <t>2026-08-10T19:29:54Z</t>
        </is>
      </c>
    </row>
    <row r="1134">
      <c r="A1134" s="19" t="inlineStr">
        <is>
          <t>1133</t>
        </is>
      </c>
      <c r="B1134" s="19" t="inlineStr">
        <is>
          <t>1013921</t>
        </is>
      </c>
      <c r="C1134" t="inlineStr">
        <is>
          <t>AKÜ,L2,DK,60AH,IGYSMF,İNCİTAURUS,TÜRKMEN</t>
        </is>
      </c>
      <c r="D1134" s="19" t="inlineStr">
        <is>
          <t>1</t>
        </is>
      </c>
      <c r="E1134" t="n">
        <v>0</v>
      </c>
      <c r="I1134" s="19" t="inlineStr">
        <is>
          <t>2</t>
        </is>
      </c>
      <c r="J1134" t="inlineStr">
        <is>
          <t>2026-08-08</t>
        </is>
      </c>
      <c r="L1134" s="19" t="inlineStr">
        <is>
          <t>1013921</t>
        </is>
      </c>
      <c r="M1134" t="inlineStr">
        <is>
          <t>STATUS=IN OEM / EU PACKAGE; SOURCE_CFG=IA-ST-CFG-0222; MARKET=TÜRKMENİSTAN</t>
        </is>
      </c>
      <c r="N1134" t="inlineStr">
        <is>
          <t>2026-08-10T19:29:54Z</t>
        </is>
      </c>
      <c r="O1134" t="inlineStr">
        <is>
          <t>2026-08-10T19:29:54Z</t>
        </is>
      </c>
    </row>
    <row r="1135">
      <c r="A1135" s="19" t="inlineStr">
        <is>
          <t>1134</t>
        </is>
      </c>
      <c r="B1135" s="19" t="inlineStr">
        <is>
          <t>1013922</t>
        </is>
      </c>
      <c r="C1135" t="inlineStr">
        <is>
          <t>AKÜ,L3,DK,75AH,IGYASMF,İNCİEFBMAXSHAWKAT</t>
        </is>
      </c>
      <c r="D1135" s="19" t="inlineStr">
        <is>
          <t>1</t>
        </is>
      </c>
      <c r="E1135" t="n">
        <v>0</v>
      </c>
      <c r="I1135" s="19" t="inlineStr">
        <is>
          <t>2</t>
        </is>
      </c>
      <c r="J1135" t="inlineStr">
        <is>
          <t>2026-08-08</t>
        </is>
      </c>
      <c r="L1135" s="19" t="inlineStr">
        <is>
          <t>1013922</t>
        </is>
      </c>
      <c r="M1135" t="inlineStr">
        <is>
          <t>STATUS=IN OEM / EU PACKAGE; SOURCE_CFG=IA-ST-CFG-0179; MARKET=SHAWKAT</t>
        </is>
      </c>
      <c r="N1135" t="inlineStr">
        <is>
          <t>2026-08-10T19:29:54Z</t>
        </is>
      </c>
      <c r="O1135" t="inlineStr">
        <is>
          <t>2026-08-10T19:29:54Z</t>
        </is>
      </c>
    </row>
    <row r="1136">
      <c r="A1136" s="19" t="inlineStr">
        <is>
          <t>1135</t>
        </is>
      </c>
      <c r="B1136" s="19" t="inlineStr">
        <is>
          <t>1013923</t>
        </is>
      </c>
      <c r="C1136" t="inlineStr">
        <is>
          <t>AKÜ,L4,DK,80AH,IGYA,İNCİEFBPANTR,SHAWKAT</t>
        </is>
      </c>
      <c r="D1136" s="19" t="inlineStr">
        <is>
          <t>1</t>
        </is>
      </c>
      <c r="E1136" t="n">
        <v>0</v>
      </c>
      <c r="I1136" s="19" t="inlineStr">
        <is>
          <t>2</t>
        </is>
      </c>
      <c r="J1136" t="inlineStr">
        <is>
          <t>2026-08-08</t>
        </is>
      </c>
      <c r="L1136" s="19" t="inlineStr">
        <is>
          <t>1013923</t>
        </is>
      </c>
      <c r="M1136" t="inlineStr">
        <is>
          <t>STATUS=IN OEM / EU PACKAGE; SOURCE_CFG=IA-ST-CFG-0142; MARKET=SHAWKAT</t>
        </is>
      </c>
      <c r="N1136" t="inlineStr">
        <is>
          <t>2026-08-10T19:29:54Z</t>
        </is>
      </c>
      <c r="O1136" t="inlineStr">
        <is>
          <t>2026-08-10T19:29:54Z</t>
        </is>
      </c>
    </row>
    <row r="1137">
      <c r="A1137" s="19" t="inlineStr">
        <is>
          <t>1136</t>
        </is>
      </c>
      <c r="B1137" s="19" t="inlineStr">
        <is>
          <t>1013924</t>
        </is>
      </c>
      <c r="C1137" t="inlineStr">
        <is>
          <t>AKÜ,L5,DK,90AH,IGYA,İNCİEFBPANTR,SHAWKAT</t>
        </is>
      </c>
      <c r="D1137" s="19" t="inlineStr">
        <is>
          <t>1</t>
        </is>
      </c>
      <c r="E1137" t="n">
        <v>0</v>
      </c>
      <c r="I1137" s="19" t="inlineStr">
        <is>
          <t>2</t>
        </is>
      </c>
      <c r="J1137" t="inlineStr">
        <is>
          <t>2026-08-08</t>
        </is>
      </c>
      <c r="L1137" s="19" t="inlineStr">
        <is>
          <t>1013924</t>
        </is>
      </c>
      <c r="M1137" t="inlineStr">
        <is>
          <t>STATUS=IN OEM / EU PACKAGE; SOURCE_CFG=IA-ST-CFG-0096; MARKET=SHAWKAT</t>
        </is>
      </c>
      <c r="N1137" t="inlineStr">
        <is>
          <t>2026-08-10T19:29:54Z</t>
        </is>
      </c>
      <c r="O1137" t="inlineStr">
        <is>
          <t>2026-08-10T19:29:54Z</t>
        </is>
      </c>
    </row>
    <row r="1138">
      <c r="A1138" s="19" t="inlineStr">
        <is>
          <t>1137</t>
        </is>
      </c>
      <c r="B1138" s="19" t="inlineStr">
        <is>
          <t>1013926</t>
        </is>
      </c>
      <c r="C1138" t="inlineStr">
        <is>
          <t>AKÜ,L0,DK40AH,DINNEW,GRİSYH,STRONG,SCHNP</t>
        </is>
      </c>
      <c r="D1138" s="19" t="inlineStr">
        <is>
          <t>1</t>
        </is>
      </c>
      <c r="E1138" t="n">
        <v>0</v>
      </c>
      <c r="I1138" s="19" t="inlineStr">
        <is>
          <t>2</t>
        </is>
      </c>
      <c r="J1138" t="inlineStr">
        <is>
          <t>2026-08-08</t>
        </is>
      </c>
      <c r="L1138" s="19" t="inlineStr">
        <is>
          <t>1013926</t>
        </is>
      </c>
      <c r="M1138" t="inlineStr">
        <is>
          <t>STATUS=IN OEM / EU PACKAGE; SOURCE_CFG=IA-ST-CFG-0263; MARKET=SCHNAPP</t>
        </is>
      </c>
      <c r="N1138" t="inlineStr">
        <is>
          <t>2026-08-10T19:29:54Z</t>
        </is>
      </c>
      <c r="O1138" t="inlineStr">
        <is>
          <t>2026-08-10T19:29:54Z</t>
        </is>
      </c>
    </row>
    <row r="1139">
      <c r="A1139" s="19" t="inlineStr">
        <is>
          <t>1138</t>
        </is>
      </c>
      <c r="B1139" s="19" t="inlineStr">
        <is>
          <t>1013940</t>
        </is>
      </c>
      <c r="C1139" t="inlineStr">
        <is>
          <t>AKÜ,L2,TK,65AH,IGYASMF,HUGEL MEGA,DIŞPYS</t>
        </is>
      </c>
      <c r="D1139" s="19" t="inlineStr">
        <is>
          <t>1</t>
        </is>
      </c>
      <c r="E1139" t="n">
        <v>0</v>
      </c>
      <c r="I1139" s="19" t="inlineStr">
        <is>
          <t>2</t>
        </is>
      </c>
      <c r="J1139" t="inlineStr">
        <is>
          <t>2026-08-08</t>
        </is>
      </c>
      <c r="L1139" s="19" t="inlineStr">
        <is>
          <t>1013940</t>
        </is>
      </c>
      <c r="M1139" t="inlineStr">
        <is>
          <t>STATUS=IN OEM / EU PACKAGE; SOURCE_CFG=IA-ST-CFG-0222; MARKET=None</t>
        </is>
      </c>
      <c r="N1139" t="inlineStr">
        <is>
          <t>2026-08-10T19:29:54Z</t>
        </is>
      </c>
      <c r="O1139" t="inlineStr">
        <is>
          <t>2026-08-10T19:29:54Z</t>
        </is>
      </c>
    </row>
    <row r="1140">
      <c r="A1140" s="19" t="inlineStr">
        <is>
          <t>1139</t>
        </is>
      </c>
      <c r="B1140" s="19" t="inlineStr">
        <is>
          <t>1013943</t>
        </is>
      </c>
      <c r="C1140" t="inlineStr">
        <is>
          <t>AKÜ,L3,DK,80AH,IGYASMF,HUGEL MEGA,DIŞPYS</t>
        </is>
      </c>
      <c r="D1140" s="19" t="inlineStr">
        <is>
          <t>1</t>
        </is>
      </c>
      <c r="E1140" t="n">
        <v>0</v>
      </c>
      <c r="I1140" s="19" t="inlineStr">
        <is>
          <t>2</t>
        </is>
      </c>
      <c r="J1140" t="inlineStr">
        <is>
          <t>2026-08-08</t>
        </is>
      </c>
      <c r="L1140" s="19" t="inlineStr">
        <is>
          <t>1013943</t>
        </is>
      </c>
      <c r="M1140" t="inlineStr">
        <is>
          <t>STATUS=IN OEM / EU PACKAGE; SOURCE_CFG=IA-ST-CFG-0179; MARKET=None</t>
        </is>
      </c>
      <c r="N1140" t="inlineStr">
        <is>
          <t>2026-08-10T19:29:54Z</t>
        </is>
      </c>
      <c r="O1140" t="inlineStr">
        <is>
          <t>2026-08-10T19:29:54Z</t>
        </is>
      </c>
    </row>
    <row r="1141">
      <c r="A1141" s="19" t="inlineStr">
        <is>
          <t>1140</t>
        </is>
      </c>
      <c r="B1141" s="19" t="inlineStr">
        <is>
          <t>1013946</t>
        </is>
      </c>
      <c r="C1141" t="inlineStr">
        <is>
          <t>AKÜ,LB4,DK,85AH,IGYSMF,HUGEL MEGA,DIŞPYS</t>
        </is>
      </c>
      <c r="D1141" s="19" t="inlineStr">
        <is>
          <t>1</t>
        </is>
      </c>
      <c r="E1141" t="n">
        <v>0</v>
      </c>
      <c r="I1141" s="19" t="inlineStr">
        <is>
          <t>2</t>
        </is>
      </c>
      <c r="J1141" t="inlineStr">
        <is>
          <t>2026-08-08</t>
        </is>
      </c>
      <c r="L1141" s="19" t="inlineStr">
        <is>
          <t>1013946</t>
        </is>
      </c>
      <c r="M1141" t="inlineStr">
        <is>
          <t>STATUS=IN OEM / EU PACKAGE; SOURCE_CFG=IA-ST-CFG-0231; MARKET=None</t>
        </is>
      </c>
      <c r="N1141" t="inlineStr">
        <is>
          <t>2026-08-10T19:29:54Z</t>
        </is>
      </c>
      <c r="O1141" t="inlineStr">
        <is>
          <t>2026-08-10T19:29:54Z</t>
        </is>
      </c>
    </row>
    <row r="1142">
      <c r="A1142" s="19" t="inlineStr">
        <is>
          <t>1141</t>
        </is>
      </c>
      <c r="B1142" s="19" t="inlineStr">
        <is>
          <t>1013948</t>
        </is>
      </c>
      <c r="C1142" t="inlineStr">
        <is>
          <t>AKÜ,NS60,DK,45AH,IGYSMF,BLIZZARO SILVERL</t>
        </is>
      </c>
      <c r="D1142" s="19" t="inlineStr">
        <is>
          <t>1</t>
        </is>
      </c>
      <c r="E1142" t="n">
        <v>0</v>
      </c>
      <c r="I1142" s="19" t="inlineStr">
        <is>
          <t>2</t>
        </is>
      </c>
      <c r="J1142" t="inlineStr">
        <is>
          <t>2026-08-08</t>
        </is>
      </c>
      <c r="L1142" s="19" t="inlineStr">
        <is>
          <t>1013948</t>
        </is>
      </c>
      <c r="M1142" t="inlineStr">
        <is>
          <t>STATUS=IN OEM / EU PACKAGE; SOURCE_CFG=IA-ST-CFG-0272; MARKET=None</t>
        </is>
      </c>
      <c r="N1142" t="inlineStr">
        <is>
          <t>2026-08-10T19:29:54Z</t>
        </is>
      </c>
      <c r="O1142" t="inlineStr">
        <is>
          <t>2026-08-10T19:29:54Z</t>
        </is>
      </c>
    </row>
    <row r="1143">
      <c r="A1143" s="19" t="inlineStr">
        <is>
          <t>1142</t>
        </is>
      </c>
      <c r="B1143" s="19" t="inlineStr">
        <is>
          <t>1013950</t>
        </is>
      </c>
      <c r="C1143" t="inlineStr">
        <is>
          <t>AKÜ,B-IGYASMF,DK,180AH,BLIZZAROSILVERLIN</t>
        </is>
      </c>
      <c r="D1143" s="19" t="inlineStr">
        <is>
          <t>1</t>
        </is>
      </c>
      <c r="E1143" t="n">
        <v>0</v>
      </c>
      <c r="I1143" s="19" t="inlineStr">
        <is>
          <t>2</t>
        </is>
      </c>
      <c r="J1143" t="inlineStr">
        <is>
          <t>2026-08-08</t>
        </is>
      </c>
      <c r="L1143" s="19" t="inlineStr">
        <is>
          <t>1013950</t>
        </is>
      </c>
      <c r="M1143" t="inlineStr">
        <is>
          <t>STATUS=IN OEM / EU PACKAGE; SOURCE_CFG=IA-ST-CFG-0052; MARKET=None</t>
        </is>
      </c>
      <c r="N1143" t="inlineStr">
        <is>
          <t>2026-08-10T19:29:54Z</t>
        </is>
      </c>
      <c r="O1143" t="inlineStr">
        <is>
          <t>2026-08-10T19:29:54Z</t>
        </is>
      </c>
    </row>
    <row r="1144">
      <c r="A1144" s="19" t="inlineStr">
        <is>
          <t>1143</t>
        </is>
      </c>
      <c r="B1144" s="19" t="inlineStr">
        <is>
          <t>1013956</t>
        </is>
      </c>
      <c r="C1144" t="inlineStr">
        <is>
          <t>AKÜ,L3,TK,75AH,IGYA SMF,HUGEL ACTION</t>
        </is>
      </c>
      <c r="D1144" s="19" t="inlineStr">
        <is>
          <t>1</t>
        </is>
      </c>
      <c r="E1144" t="n">
        <v>0</v>
      </c>
      <c r="I1144" s="19" t="inlineStr">
        <is>
          <t>2</t>
        </is>
      </c>
      <c r="J1144" t="inlineStr">
        <is>
          <t>2026-08-08</t>
        </is>
      </c>
      <c r="L1144" s="19" t="inlineStr">
        <is>
          <t>1013956</t>
        </is>
      </c>
      <c r="M1144" t="inlineStr">
        <is>
          <t>STATUS=IN OEM / EU PACKAGE; SOURCE_CFG=IA-ST-CFG-0179; MARKET=None</t>
        </is>
      </c>
      <c r="N1144" t="inlineStr">
        <is>
          <t>2026-08-10T19:29:54Z</t>
        </is>
      </c>
      <c r="O1144" t="inlineStr">
        <is>
          <t>2026-08-10T19:29:54Z</t>
        </is>
      </c>
    </row>
    <row r="1145">
      <c r="A1145" s="19" t="inlineStr">
        <is>
          <t>1144</t>
        </is>
      </c>
      <c r="B1145" s="19" t="inlineStr">
        <is>
          <t>1013964</t>
        </is>
      </c>
      <c r="C1145" t="inlineStr">
        <is>
          <t>AKÜ,L5,DK100AH,IGYSMF,HUGELULTRA,POLONYA</t>
        </is>
      </c>
      <c r="D1145" s="19" t="inlineStr">
        <is>
          <t>1</t>
        </is>
      </c>
      <c r="E1145" t="n">
        <v>0</v>
      </c>
      <c r="I1145" s="19" t="inlineStr">
        <is>
          <t>2</t>
        </is>
      </c>
      <c r="J1145" t="inlineStr">
        <is>
          <t>2026-08-08</t>
        </is>
      </c>
      <c r="L1145" s="19" t="inlineStr">
        <is>
          <t>1013964</t>
        </is>
      </c>
      <c r="M1145" t="inlineStr">
        <is>
          <t>STATUS=IN OEM / EU PACKAGE; SOURCE_CFG=IA-ST-CFG-0072; MARKET=BATERIE PRZEMYSLOWE POLONYA</t>
        </is>
      </c>
      <c r="N1145" t="inlineStr">
        <is>
          <t>2026-08-10T19:29:54Z</t>
        </is>
      </c>
      <c r="O1145" t="inlineStr">
        <is>
          <t>2026-08-10T19:29:54Z</t>
        </is>
      </c>
    </row>
    <row r="1146">
      <c r="A1146" s="19" t="inlineStr">
        <is>
          <t>1145</t>
        </is>
      </c>
      <c r="B1146" s="19" t="inlineStr">
        <is>
          <t>1013965</t>
        </is>
      </c>
      <c r="C1146" t="inlineStr">
        <is>
          <t>AKÜ,LB3,DK,72AH,IGYSMF,MAXIMAKOLİ,REDMAY</t>
        </is>
      </c>
      <c r="D1146" s="19" t="inlineStr">
        <is>
          <t>1</t>
        </is>
      </c>
      <c r="E1146" t="n">
        <v>0</v>
      </c>
      <c r="I1146" s="19" t="inlineStr">
        <is>
          <t>2</t>
        </is>
      </c>
      <c r="J1146" t="inlineStr">
        <is>
          <t>2026-08-08</t>
        </is>
      </c>
      <c r="L1146" s="19" t="inlineStr">
        <is>
          <t>1013965</t>
        </is>
      </c>
      <c r="M1146" t="inlineStr">
        <is>
          <t>STATUS=IN OEM / EU PACKAGE; SOURCE_CFG=IA-ST-CFG-0216; MARKET=REDMAY URUGUAY</t>
        </is>
      </c>
      <c r="N1146" t="inlineStr">
        <is>
          <t>2026-08-10T19:29:54Z</t>
        </is>
      </c>
      <c r="O1146" t="inlineStr">
        <is>
          <t>2026-08-10T19:29:54Z</t>
        </is>
      </c>
    </row>
    <row r="1147">
      <c r="A1147" s="19" t="inlineStr">
        <is>
          <t>1146</t>
        </is>
      </c>
      <c r="B1147" s="19" t="inlineStr">
        <is>
          <t>1013966</t>
        </is>
      </c>
      <c r="C1147" t="inlineStr">
        <is>
          <t>AKÜ,D31,DK100AH,IGYSMF,MAXIMAKOLİ,REDMAY</t>
        </is>
      </c>
      <c r="D1147" s="19" t="inlineStr">
        <is>
          <t>1</t>
        </is>
      </c>
      <c r="E1147" t="n">
        <v>0</v>
      </c>
      <c r="I1147" s="19" t="inlineStr">
        <is>
          <t>2</t>
        </is>
      </c>
      <c r="J1147" t="inlineStr">
        <is>
          <t>2026-08-08</t>
        </is>
      </c>
      <c r="L1147" s="19" t="inlineStr">
        <is>
          <t>1013966</t>
        </is>
      </c>
      <c r="M1147" t="inlineStr">
        <is>
          <t>STATUS=IN OEM / EU PACKAGE; SOURCE_CFG=IA-ST-CFG-0128; MARKET=REDMAY URUGUAY</t>
        </is>
      </c>
      <c r="N1147" t="inlineStr">
        <is>
          <t>2026-08-10T19:29:54Z</t>
        </is>
      </c>
      <c r="O1147" t="inlineStr">
        <is>
          <t>2026-08-10T19:29:54Z</t>
        </is>
      </c>
    </row>
    <row r="1148">
      <c r="A1148" s="19" t="inlineStr">
        <is>
          <t>1147</t>
        </is>
      </c>
      <c r="B1148" s="19" t="inlineStr">
        <is>
          <t>1013968</t>
        </is>
      </c>
      <c r="C1148" t="inlineStr">
        <is>
          <t>AKÜ,B-IGYASMF,DK170AHB00,İNCİFORM,REDMAY</t>
        </is>
      </c>
      <c r="D1148" s="19" t="inlineStr">
        <is>
          <t>1</t>
        </is>
      </c>
      <c r="E1148" t="n">
        <v>0</v>
      </c>
      <c r="I1148" s="19" t="inlineStr">
        <is>
          <t>2</t>
        </is>
      </c>
      <c r="J1148" t="inlineStr">
        <is>
          <t>2026-08-08</t>
        </is>
      </c>
      <c r="L1148" s="19" t="inlineStr">
        <is>
          <t>1013968</t>
        </is>
      </c>
      <c r="M1148" t="inlineStr">
        <is>
          <t>STATUS=IN OEM / EU PACKAGE; SOURCE_CFG=IA-ST-CFG-0052; MARKET=REDMAY URUGUAY</t>
        </is>
      </c>
      <c r="N1148" t="inlineStr">
        <is>
          <t>2026-08-10T19:29:54Z</t>
        </is>
      </c>
      <c r="O1148" t="inlineStr">
        <is>
          <t>2026-08-10T19:29:54Z</t>
        </is>
      </c>
    </row>
    <row r="1149">
      <c r="A1149" s="19" t="inlineStr">
        <is>
          <t>1148</t>
        </is>
      </c>
      <c r="B1149" s="19" t="inlineStr">
        <is>
          <t>1013969</t>
        </is>
      </c>
      <c r="C1149" t="inlineStr">
        <is>
          <t>AKÜ,B-IGYASMF,DK180AHB03,İNCİFORM,REDMAY</t>
        </is>
      </c>
      <c r="D1149" s="19" t="inlineStr">
        <is>
          <t>1</t>
        </is>
      </c>
      <c r="E1149" t="n">
        <v>0</v>
      </c>
      <c r="I1149" s="19" t="inlineStr">
        <is>
          <t>2</t>
        </is>
      </c>
      <c r="J1149" t="inlineStr">
        <is>
          <t>2026-08-08</t>
        </is>
      </c>
      <c r="L1149" s="19" t="inlineStr">
        <is>
          <t>1013969</t>
        </is>
      </c>
      <c r="M1149" t="inlineStr">
        <is>
          <t>STATUS=IN OEM / EU PACKAGE; SOURCE_CFG=IA-ST-CFG-0052; MARKET=REDMAY URUGUAY</t>
        </is>
      </c>
      <c r="N1149" t="inlineStr">
        <is>
          <t>2026-08-10T19:29:54Z</t>
        </is>
      </c>
      <c r="O1149" t="inlineStr">
        <is>
          <t>2026-08-10T19:29:54Z</t>
        </is>
      </c>
    </row>
    <row r="1150">
      <c r="A1150" s="19" t="inlineStr">
        <is>
          <t>1149</t>
        </is>
      </c>
      <c r="B1150" s="19" t="inlineStr">
        <is>
          <t>1013970</t>
        </is>
      </c>
      <c r="C1150" t="inlineStr">
        <is>
          <t>AKÜ,L3,DK,80AH,IGYASMF,HUGELMEGA,YD,EURO</t>
        </is>
      </c>
      <c r="D1150" s="19" t="inlineStr">
        <is>
          <t>1</t>
        </is>
      </c>
      <c r="E1150" t="n">
        <v>0</v>
      </c>
      <c r="I1150" s="19" t="inlineStr">
        <is>
          <t>2</t>
        </is>
      </c>
      <c r="J1150" t="inlineStr">
        <is>
          <t>2026-08-08</t>
        </is>
      </c>
      <c r="L1150" s="19" t="inlineStr">
        <is>
          <t>1013970</t>
        </is>
      </c>
      <c r="M1150" t="inlineStr">
        <is>
          <t>STATUS=IN OEM / EU PACKAGE; SOURCE_CFG=IA-ST-CFG-0200; MARKET=None</t>
        </is>
      </c>
      <c r="N1150" t="inlineStr">
        <is>
          <t>2026-08-10T19:29:54Z</t>
        </is>
      </c>
      <c r="O1150" t="inlineStr">
        <is>
          <t>2026-08-10T19:29:54Z</t>
        </is>
      </c>
    </row>
    <row r="1151">
      <c r="A1151" s="19" t="inlineStr">
        <is>
          <t>1150</t>
        </is>
      </c>
      <c r="B1151" s="19" t="inlineStr">
        <is>
          <t>1013973</t>
        </is>
      </c>
      <c r="C1151" t="inlineStr">
        <is>
          <t>AKÜ,L1,DK,54AH,IGYSMF,HUGEL MEGA,YD,EURO</t>
        </is>
      </c>
      <c r="D1151" s="19" t="inlineStr">
        <is>
          <t>1</t>
        </is>
      </c>
      <c r="E1151" t="n">
        <v>0</v>
      </c>
      <c r="I1151" s="19" t="inlineStr">
        <is>
          <t>2</t>
        </is>
      </c>
      <c r="J1151" t="inlineStr">
        <is>
          <t>2026-08-08</t>
        </is>
      </c>
      <c r="L1151" s="19" t="inlineStr">
        <is>
          <t>1013973</t>
        </is>
      </c>
      <c r="M1151" t="inlineStr">
        <is>
          <t>STATUS=IN OEM / EU PACKAGE; SOURCE_CFG=IA-ST-CFG-0266; MARKET=None</t>
        </is>
      </c>
      <c r="N1151" t="inlineStr">
        <is>
          <t>2026-08-10T19:29:54Z</t>
        </is>
      </c>
      <c r="O1151" t="inlineStr">
        <is>
          <t>2026-08-10T19:29:54Z</t>
        </is>
      </c>
    </row>
    <row r="1152">
      <c r="A1152" s="19" t="inlineStr">
        <is>
          <t>1151</t>
        </is>
      </c>
      <c r="B1152" s="19" t="inlineStr">
        <is>
          <t>1013974</t>
        </is>
      </c>
      <c r="C1152" t="inlineStr">
        <is>
          <t>AKÜ,L2,DK,65AH,IGYSMF,HUGEL MEGA,YD,EURO</t>
        </is>
      </c>
      <c r="D1152" s="19" t="inlineStr">
        <is>
          <t>1</t>
        </is>
      </c>
      <c r="E1152" t="n">
        <v>0</v>
      </c>
      <c r="I1152" s="19" t="inlineStr">
        <is>
          <t>2</t>
        </is>
      </c>
      <c r="J1152" t="inlineStr">
        <is>
          <t>2026-08-08</t>
        </is>
      </c>
      <c r="L1152" s="19" t="inlineStr">
        <is>
          <t>1013974</t>
        </is>
      </c>
      <c r="M1152" t="inlineStr">
        <is>
          <t>STATUS=IN OEM / EU PACKAGE; SOURCE_CFG=IA-ST-CFG-0240; MARKET=None</t>
        </is>
      </c>
      <c r="N1152" t="inlineStr">
        <is>
          <t>2026-08-10T19:29:54Z</t>
        </is>
      </c>
      <c r="O1152" t="inlineStr">
        <is>
          <t>2026-08-10T19:29:54Z</t>
        </is>
      </c>
    </row>
    <row r="1153">
      <c r="A1153" s="19" t="inlineStr">
        <is>
          <t>1152</t>
        </is>
      </c>
      <c r="B1153" s="19" t="inlineStr">
        <is>
          <t>1013978</t>
        </is>
      </c>
      <c r="C1153" t="inlineStr">
        <is>
          <t>AKÜ,AGM,L5,DK,95AH,AGM S&amp;S 1629R,SCHNAPP</t>
        </is>
      </c>
      <c r="D1153" s="19" t="inlineStr">
        <is>
          <t>1</t>
        </is>
      </c>
      <c r="E1153" t="n">
        <v>0</v>
      </c>
      <c r="I1153" s="19" t="inlineStr">
        <is>
          <t>2</t>
        </is>
      </c>
      <c r="J1153" t="inlineStr">
        <is>
          <t>2026-08-08</t>
        </is>
      </c>
      <c r="L1153" s="19" t="inlineStr">
        <is>
          <t>1013978</t>
        </is>
      </c>
      <c r="M1153" t="inlineStr">
        <is>
          <t>STATUS=IN OEM / EU PACKAGE; SOURCE_CFG=IA-ST-CFG-0100; MARKET=SCHNAPP</t>
        </is>
      </c>
      <c r="N1153" t="inlineStr">
        <is>
          <t>2026-08-10T19:29:54Z</t>
        </is>
      </c>
      <c r="O1153" t="inlineStr">
        <is>
          <t>2026-08-10T19:29:54Z</t>
        </is>
      </c>
    </row>
    <row r="1154">
      <c r="A1154" s="19" t="inlineStr">
        <is>
          <t>1153</t>
        </is>
      </c>
      <c r="B1154" s="19" t="inlineStr">
        <is>
          <t>1013979</t>
        </is>
      </c>
      <c r="C1154" t="inlineStr">
        <is>
          <t>AKÜ,AGM,L3,DK,70AH,AGM S&amp;S 1688,SCHNAPP</t>
        </is>
      </c>
      <c r="D1154" s="19" t="inlineStr">
        <is>
          <t>1</t>
        </is>
      </c>
      <c r="E1154" t="n">
        <v>0</v>
      </c>
      <c r="I1154" s="19" t="inlineStr">
        <is>
          <t>2</t>
        </is>
      </c>
      <c r="J1154" t="inlineStr">
        <is>
          <t>2026-08-08</t>
        </is>
      </c>
      <c r="L1154" s="19" t="inlineStr">
        <is>
          <t>1013979</t>
        </is>
      </c>
      <c r="M1154" t="inlineStr">
        <is>
          <t>STATUS=IN OEM / EU PACKAGE; SOURCE_CFG=IA-ST-CFG-0184; MARKET=SCHNAPP</t>
        </is>
      </c>
      <c r="N1154" t="inlineStr">
        <is>
          <t>2026-08-10T19:29:54Z</t>
        </is>
      </c>
      <c r="O1154" t="inlineStr">
        <is>
          <t>2026-08-10T19:29:54Z</t>
        </is>
      </c>
    </row>
    <row r="1155">
      <c r="A1155" s="19" t="inlineStr">
        <is>
          <t>1154</t>
        </is>
      </c>
      <c r="B1155" s="19" t="inlineStr">
        <is>
          <t>1013980</t>
        </is>
      </c>
      <c r="C1155" t="inlineStr">
        <is>
          <t>AKÜ,AGM,L2,DK,60AH,AGM S&amp;S 1666R,SCHNAPP</t>
        </is>
      </c>
      <c r="D1155" s="19" t="inlineStr">
        <is>
          <t>1</t>
        </is>
      </c>
      <c r="E1155" t="n">
        <v>0</v>
      </c>
      <c r="I1155" s="19" t="inlineStr">
        <is>
          <t>2</t>
        </is>
      </c>
      <c r="J1155" t="inlineStr">
        <is>
          <t>2026-08-08</t>
        </is>
      </c>
      <c r="L1155" s="19" t="inlineStr">
        <is>
          <t>1013980</t>
        </is>
      </c>
      <c r="M1155" t="inlineStr">
        <is>
          <t>STATUS=IN OEM / EU PACKAGE; SOURCE_CFG=IA-ST-CFG-0229; MARKET=SCHNAPP</t>
        </is>
      </c>
      <c r="N1155" t="inlineStr">
        <is>
          <t>2026-08-10T19:29:54Z</t>
        </is>
      </c>
      <c r="O1155" t="inlineStr">
        <is>
          <t>2026-08-10T19:29:54Z</t>
        </is>
      </c>
    </row>
    <row r="1156">
      <c r="A1156" s="19" t="inlineStr">
        <is>
          <t>1155</t>
        </is>
      </c>
      <c r="B1156" s="19" t="inlineStr">
        <is>
          <t>1013981</t>
        </is>
      </c>
      <c r="C1156" t="inlineStr">
        <is>
          <t>AKÜ,AGM,L4,DK,80AH,AGM S&amp;S 1681R,SCHNAPP</t>
        </is>
      </c>
      <c r="D1156" s="19" t="inlineStr">
        <is>
          <t>1</t>
        </is>
      </c>
      <c r="E1156" t="n">
        <v>0</v>
      </c>
      <c r="I1156" s="19" t="inlineStr">
        <is>
          <t>2</t>
        </is>
      </c>
      <c r="J1156" t="inlineStr">
        <is>
          <t>2026-08-08</t>
        </is>
      </c>
      <c r="L1156" s="19" t="inlineStr">
        <is>
          <t>1013981</t>
        </is>
      </c>
      <c r="M1156" t="inlineStr">
        <is>
          <t>STATUS=IN OEM / EU PACKAGE; SOURCE_CFG=IA-ST-CFG-0147; MARKET=SCHNAPP</t>
        </is>
      </c>
      <c r="N1156" t="inlineStr">
        <is>
          <t>2026-08-10T19:29:54Z</t>
        </is>
      </c>
      <c r="O1156" t="inlineStr">
        <is>
          <t>2026-08-10T19:29:54Z</t>
        </is>
      </c>
    </row>
    <row r="1157">
      <c r="A1157" s="19" t="inlineStr">
        <is>
          <t>1156</t>
        </is>
      </c>
      <c r="B1157" s="19" t="inlineStr">
        <is>
          <t>1013983</t>
        </is>
      </c>
      <c r="C1157" t="inlineStr">
        <is>
          <t>AKÜ,LB1,DK,44AH,IGYSMF,BLIZ.SILVERL,EURO</t>
        </is>
      </c>
      <c r="D1157" s="19" t="inlineStr">
        <is>
          <t>1</t>
        </is>
      </c>
      <c r="E1157" t="n">
        <v>0</v>
      </c>
      <c r="I1157" s="19" t="inlineStr">
        <is>
          <t>2</t>
        </is>
      </c>
      <c r="J1157" t="inlineStr">
        <is>
          <t>2026-08-08</t>
        </is>
      </c>
      <c r="L1157" s="19" t="inlineStr">
        <is>
          <t>1013983</t>
        </is>
      </c>
      <c r="M1157" t="inlineStr">
        <is>
          <t>STATUS=IN OEM / EU PACKAGE; SOURCE_CFG=IA-ST-CFG-0264; MARKET=None</t>
        </is>
      </c>
      <c r="N1157" t="inlineStr">
        <is>
          <t>2026-08-10T19:29:54Z</t>
        </is>
      </c>
      <c r="O1157" t="inlineStr">
        <is>
          <t>2026-08-10T19:29:54Z</t>
        </is>
      </c>
    </row>
    <row r="1158">
      <c r="A1158" s="19" t="inlineStr">
        <is>
          <t>1157</t>
        </is>
      </c>
      <c r="B1158" s="19" t="inlineStr">
        <is>
          <t>1013984</t>
        </is>
      </c>
      <c r="C1158" t="inlineStr">
        <is>
          <t>AKÜ,L3,TK,75AH,IGYASMF,BLIZZ.SILVER,EURO</t>
        </is>
      </c>
      <c r="D1158" s="19" t="inlineStr">
        <is>
          <t>1</t>
        </is>
      </c>
      <c r="E1158" t="n">
        <v>0</v>
      </c>
      <c r="I1158" s="19" t="inlineStr">
        <is>
          <t>2</t>
        </is>
      </c>
      <c r="J1158" t="inlineStr">
        <is>
          <t>2026-08-08</t>
        </is>
      </c>
      <c r="L1158" s="19" t="inlineStr">
        <is>
          <t>1013984</t>
        </is>
      </c>
      <c r="M1158" t="inlineStr">
        <is>
          <t>STATUS=IN OEM / EU PACKAGE; SOURCE_CFG=IA-ST-CFG-0200; MARKET=None</t>
        </is>
      </c>
      <c r="N1158" t="inlineStr">
        <is>
          <t>2026-08-10T19:29:54Z</t>
        </is>
      </c>
      <c r="O1158" t="inlineStr">
        <is>
          <t>2026-08-10T19:29:54Z</t>
        </is>
      </c>
    </row>
    <row r="1159">
      <c r="A1159" s="19" t="inlineStr">
        <is>
          <t>1158</t>
        </is>
      </c>
      <c r="B1159" s="19" t="inlineStr">
        <is>
          <t>1013986</t>
        </is>
      </c>
      <c r="C1159" t="inlineStr">
        <is>
          <t>AKÜ,C-IGYA SMF,DK,240AH,MERCEDES/SHD BUS</t>
        </is>
      </c>
      <c r="D1159" s="19" t="inlineStr">
        <is>
          <t>1</t>
        </is>
      </c>
      <c r="E1159" t="n">
        <v>0</v>
      </c>
      <c r="I1159" s="19" t="inlineStr">
        <is>
          <t>2</t>
        </is>
      </c>
      <c r="J1159" t="inlineStr">
        <is>
          <t>2026-08-08</t>
        </is>
      </c>
      <c r="L1159" s="19" t="inlineStr">
        <is>
          <t>1013986</t>
        </is>
      </c>
      <c r="M1159" t="inlineStr">
        <is>
          <t>STATUS=DOMESTIC-ONLY / NOT IN OEM PACKAGE; SOURCE_CFG=IA-ST-CFG-0002; MARKET=MERCEDES (Yurt İçi)</t>
        </is>
      </c>
      <c r="N1159" t="inlineStr">
        <is>
          <t>2026-08-10T19:29:54Z</t>
        </is>
      </c>
      <c r="O1159" t="inlineStr">
        <is>
          <t>2026-08-10T19:29:54Z</t>
        </is>
      </c>
    </row>
    <row r="1160">
      <c r="A1160" s="19" t="inlineStr">
        <is>
          <t>1159</t>
        </is>
      </c>
      <c r="B1160" s="19" t="inlineStr">
        <is>
          <t>1013987</t>
        </is>
      </c>
      <c r="C1160" t="inlineStr">
        <is>
          <t>AKÜ,L2,DK,65AH,IGYASMF,YBX7027-065,GYEUR</t>
        </is>
      </c>
      <c r="D1160" s="19" t="inlineStr">
        <is>
          <t>1</t>
        </is>
      </c>
      <c r="E1160" t="n">
        <v>0</v>
      </c>
      <c r="I1160" s="19" t="inlineStr">
        <is>
          <t>2</t>
        </is>
      </c>
      <c r="J1160" t="inlineStr">
        <is>
          <t>2026-08-08</t>
        </is>
      </c>
      <c r="L1160" s="19" t="inlineStr">
        <is>
          <t>1013987</t>
        </is>
      </c>
      <c r="M1160" t="inlineStr">
        <is>
          <t>STATUS=IN OEM / EU PACKAGE; SOURCE_CFG=IA-ST-CFG-0162; MARKET=GY EUR</t>
        </is>
      </c>
      <c r="N1160" t="inlineStr">
        <is>
          <t>2026-08-10T19:29:54Z</t>
        </is>
      </c>
      <c r="O1160" t="inlineStr">
        <is>
          <t>2026-08-10T19:29:54Z</t>
        </is>
      </c>
    </row>
    <row r="1161">
      <c r="A1161" s="19" t="inlineStr">
        <is>
          <t>1160</t>
        </is>
      </c>
      <c r="B1161" s="19" t="inlineStr">
        <is>
          <t>1013989</t>
        </is>
      </c>
      <c r="C1161" t="inlineStr">
        <is>
          <t>AKÜ AGM,L2,DK,60AH,EAS AGM S&amp;S,İÇ PYS</t>
        </is>
      </c>
      <c r="D1161" s="19" t="inlineStr">
        <is>
          <t>1</t>
        </is>
      </c>
      <c r="E1161" t="n">
        <v>0</v>
      </c>
      <c r="I1161" s="19" t="inlineStr">
        <is>
          <t>2</t>
        </is>
      </c>
      <c r="J1161" t="inlineStr">
        <is>
          <t>2026-08-08</t>
        </is>
      </c>
      <c r="L1161" s="19" t="inlineStr">
        <is>
          <t>1013989</t>
        </is>
      </c>
      <c r="M1161" t="inlineStr">
        <is>
          <t>STATUS=IN OEM / EU PACKAGE; SOURCE_CFG=IA-ST-CFG-0193; MARKET=YURT İÇİ AFM</t>
        </is>
      </c>
      <c r="N1161" t="inlineStr">
        <is>
          <t>2026-08-10T19:29:54Z</t>
        </is>
      </c>
      <c r="O1161" t="inlineStr">
        <is>
          <t>2026-08-10T19:29:54Z</t>
        </is>
      </c>
    </row>
    <row r="1162">
      <c r="A1162" s="19" t="inlineStr">
        <is>
          <t>1161</t>
        </is>
      </c>
      <c r="B1162" s="19" t="inlineStr">
        <is>
          <t>1013990</t>
        </is>
      </c>
      <c r="C1162" t="inlineStr">
        <is>
          <t>AKÜ AGM,L3,DK,70AH,EAS AGM S&amp;S,İÇ PYS</t>
        </is>
      </c>
      <c r="D1162" s="19" t="inlineStr">
        <is>
          <t>1</t>
        </is>
      </c>
      <c r="E1162" t="n">
        <v>0</v>
      </c>
      <c r="I1162" s="19" t="inlineStr">
        <is>
          <t>2</t>
        </is>
      </c>
      <c r="J1162" t="inlineStr">
        <is>
          <t>2026-08-08</t>
        </is>
      </c>
      <c r="L1162" s="19" t="inlineStr">
        <is>
          <t>1013990</t>
        </is>
      </c>
      <c r="M1162" t="inlineStr">
        <is>
          <t>STATUS=IN OEM / EU PACKAGE; SOURCE_CFG=IA-ST-CFG-0139; MARKET=YURT İÇİ AFM</t>
        </is>
      </c>
      <c r="N1162" t="inlineStr">
        <is>
          <t>2026-08-10T19:29:54Z</t>
        </is>
      </c>
      <c r="O1162" t="inlineStr">
        <is>
          <t>2026-08-10T19:29:54Z</t>
        </is>
      </c>
    </row>
    <row r="1163">
      <c r="A1163" s="19" t="inlineStr">
        <is>
          <t>1162</t>
        </is>
      </c>
      <c r="B1163" s="19" t="inlineStr">
        <is>
          <t>1013991</t>
        </is>
      </c>
      <c r="C1163" t="inlineStr">
        <is>
          <t>AKÜ AGM,L4,DK,80AH,EAS AGM S&amp;S,İÇ PYS</t>
        </is>
      </c>
      <c r="D1163" s="19" t="inlineStr">
        <is>
          <t>1</t>
        </is>
      </c>
      <c r="E1163" t="n">
        <v>0</v>
      </c>
      <c r="I1163" s="19" t="inlineStr">
        <is>
          <t>2</t>
        </is>
      </c>
      <c r="J1163" t="inlineStr">
        <is>
          <t>2026-08-08</t>
        </is>
      </c>
      <c r="L1163" s="19" t="inlineStr">
        <is>
          <t>1013991</t>
        </is>
      </c>
      <c r="M1163" t="inlineStr">
        <is>
          <t>STATUS=IN OEM / EU PACKAGE; SOURCE_CFG=IA-ST-CFG-0127; MARKET=YURT İÇİ AFM</t>
        </is>
      </c>
      <c r="N1163" t="inlineStr">
        <is>
          <t>2026-08-10T19:29:54Z</t>
        </is>
      </c>
      <c r="O1163" t="inlineStr">
        <is>
          <t>2026-08-10T19:29:54Z</t>
        </is>
      </c>
    </row>
    <row r="1164">
      <c r="A1164" s="19" t="inlineStr">
        <is>
          <t>1163</t>
        </is>
      </c>
      <c r="B1164" s="19" t="inlineStr">
        <is>
          <t>1013992</t>
        </is>
      </c>
      <c r="C1164" t="inlineStr">
        <is>
          <t>AKÜ AGM,L5,DK,95AH,EAS AGM S&amp;S,İÇ PYS</t>
        </is>
      </c>
      <c r="D1164" s="19" t="inlineStr">
        <is>
          <t>1</t>
        </is>
      </c>
      <c r="E1164" t="n">
        <v>0</v>
      </c>
      <c r="I1164" s="19" t="inlineStr">
        <is>
          <t>2</t>
        </is>
      </c>
      <c r="J1164" t="inlineStr">
        <is>
          <t>2026-08-08</t>
        </is>
      </c>
      <c r="L1164" s="19" t="inlineStr">
        <is>
          <t>1013992</t>
        </is>
      </c>
      <c r="M1164" t="inlineStr">
        <is>
          <t>STATUS=IN OEM / EU PACKAGE; SOURCE_CFG=IA-ST-CFG-0091; MARKET=YURT İÇİ AFM</t>
        </is>
      </c>
      <c r="N1164" t="inlineStr">
        <is>
          <t>2026-08-10T19:29:54Z</t>
        </is>
      </c>
      <c r="O1164" t="inlineStr">
        <is>
          <t>2026-08-10T19:29:54Z</t>
        </is>
      </c>
    </row>
    <row r="1165">
      <c r="A1165" s="19" t="inlineStr">
        <is>
          <t>1164</t>
        </is>
      </c>
      <c r="B1165" s="19" t="inlineStr">
        <is>
          <t>1013993</t>
        </is>
      </c>
      <c r="C1165" t="inlineStr">
        <is>
          <t>AKÜ AGM,L6,DK,105AH,EAS AGM S&amp;S,İÇ PYS</t>
        </is>
      </c>
      <c r="D1165" s="19" t="inlineStr">
        <is>
          <t>1</t>
        </is>
      </c>
      <c r="E1165" t="n">
        <v>0</v>
      </c>
      <c r="I1165" s="19" t="inlineStr">
        <is>
          <t>2</t>
        </is>
      </c>
      <c r="J1165" t="inlineStr">
        <is>
          <t>2026-08-08</t>
        </is>
      </c>
      <c r="L1165" s="19" t="inlineStr">
        <is>
          <t>1013993</t>
        </is>
      </c>
      <c r="M1165" t="inlineStr">
        <is>
          <t>STATUS=IN OEM / EU PACKAGE; SOURCE_CFG=IA-ST-CFG-0076; MARKET=YURT İÇİ AFM</t>
        </is>
      </c>
      <c r="N1165" t="inlineStr">
        <is>
          <t>2026-08-10T19:29:54Z</t>
        </is>
      </c>
      <c r="O1165" t="inlineStr">
        <is>
          <t>2026-08-10T19:29:54Z</t>
        </is>
      </c>
    </row>
    <row r="1166">
      <c r="A1166" s="19" t="inlineStr">
        <is>
          <t>1165</t>
        </is>
      </c>
      <c r="B1166" s="19" t="inlineStr">
        <is>
          <t>1013994</t>
        </is>
      </c>
      <c r="C1166" t="inlineStr">
        <is>
          <t>AKÜ,LB3,DK,65AH,IGYASMF,EAS EFBS&amp;S,İÇPYS</t>
        </is>
      </c>
      <c r="D1166" s="19" t="inlineStr">
        <is>
          <t>1</t>
        </is>
      </c>
      <c r="E1166" t="n">
        <v>0</v>
      </c>
      <c r="I1166" s="19" t="inlineStr">
        <is>
          <t>2</t>
        </is>
      </c>
      <c r="J1166" t="inlineStr">
        <is>
          <t>2026-08-08</t>
        </is>
      </c>
      <c r="L1166" s="19" t="inlineStr">
        <is>
          <t>1013994</t>
        </is>
      </c>
      <c r="M1166" t="inlineStr">
        <is>
          <t>STATUS=IN OEM / EU PACKAGE; SOURCE_CFG=IA-ST-CFG-0181; MARKET=YURT İÇİ AFM</t>
        </is>
      </c>
      <c r="N1166" t="inlineStr">
        <is>
          <t>2026-08-10T19:29:54Z</t>
        </is>
      </c>
      <c r="O1166" t="inlineStr">
        <is>
          <t>2026-08-10T19:29:54Z</t>
        </is>
      </c>
    </row>
    <row r="1167">
      <c r="A1167" s="19" t="inlineStr">
        <is>
          <t>1166</t>
        </is>
      </c>
      <c r="B1167" s="19" t="inlineStr">
        <is>
          <t>1013995</t>
        </is>
      </c>
      <c r="C1167" t="inlineStr">
        <is>
          <t>AKÜ,LB4,DK,75AH,IGYASMF,EAS EFBS&amp;S,İÇPYS</t>
        </is>
      </c>
      <c r="D1167" s="19" t="inlineStr">
        <is>
          <t>1</t>
        </is>
      </c>
      <c r="E1167" t="n">
        <v>0</v>
      </c>
      <c r="I1167" s="19" t="inlineStr">
        <is>
          <t>2</t>
        </is>
      </c>
      <c r="J1167" t="inlineStr">
        <is>
          <t>2026-08-08</t>
        </is>
      </c>
      <c r="L1167" s="19" t="inlineStr">
        <is>
          <t>1013995</t>
        </is>
      </c>
      <c r="M1167" t="inlineStr">
        <is>
          <t>STATUS=IN OEM / EU PACKAGE; SOURCE_CFG=IA-ST-CFG-0144; MARKET=YURT İÇİ AFM</t>
        </is>
      </c>
      <c r="N1167" t="inlineStr">
        <is>
          <t>2026-08-10T19:29:54Z</t>
        </is>
      </c>
      <c r="O1167" t="inlineStr">
        <is>
          <t>2026-08-10T19:29:54Z</t>
        </is>
      </c>
    </row>
    <row r="1168">
      <c r="A1168" s="19" t="inlineStr">
        <is>
          <t>1167</t>
        </is>
      </c>
      <c r="B1168" s="19" t="inlineStr">
        <is>
          <t>1013996</t>
        </is>
      </c>
      <c r="C1168" t="inlineStr">
        <is>
          <t>AKÜ,L4,DK,80AH,IGYASMF,EAS EFB S&amp;S,İÇPYS</t>
        </is>
      </c>
      <c r="D1168" s="19" t="inlineStr">
        <is>
          <t>1</t>
        </is>
      </c>
      <c r="E1168" t="n">
        <v>0</v>
      </c>
      <c r="I1168" s="19" t="inlineStr">
        <is>
          <t>2</t>
        </is>
      </c>
      <c r="J1168" t="inlineStr">
        <is>
          <t>2026-08-08</t>
        </is>
      </c>
      <c r="L1168" s="19" t="inlineStr">
        <is>
          <t>1013996</t>
        </is>
      </c>
      <c r="M1168" t="inlineStr">
        <is>
          <t>STATUS=IN OEM / EU PACKAGE; SOURCE_CFG=IA-ST-CFG-0144; MARKET=YURT İÇİ AFM</t>
        </is>
      </c>
      <c r="N1168" t="inlineStr">
        <is>
          <t>2026-08-10T19:29:54Z</t>
        </is>
      </c>
      <c r="O1168" t="inlineStr">
        <is>
          <t>2026-08-10T19:29:54Z</t>
        </is>
      </c>
    </row>
    <row r="1169">
      <c r="A1169" s="19" t="inlineStr">
        <is>
          <t>1168</t>
        </is>
      </c>
      <c r="B1169" s="19" t="inlineStr">
        <is>
          <t>1013997</t>
        </is>
      </c>
      <c r="C1169" t="inlineStr">
        <is>
          <t>AKÜ,L5,DK,90AH,IGYASMF,EAS EFB S&amp;S,İÇPYS</t>
        </is>
      </c>
      <c r="D1169" s="19" t="inlineStr">
        <is>
          <t>1</t>
        </is>
      </c>
      <c r="E1169" t="n">
        <v>0</v>
      </c>
      <c r="I1169" s="19" t="inlineStr">
        <is>
          <t>2</t>
        </is>
      </c>
      <c r="J1169" t="inlineStr">
        <is>
          <t>2026-08-08</t>
        </is>
      </c>
      <c r="L1169" s="19" t="inlineStr">
        <is>
          <t>1013997</t>
        </is>
      </c>
      <c r="M1169" t="inlineStr">
        <is>
          <t>STATUS=IN OEM / EU PACKAGE; SOURCE_CFG=IA-ST-CFG-0098; MARKET=YURT İÇİ AFM</t>
        </is>
      </c>
      <c r="N1169" t="inlineStr">
        <is>
          <t>2026-08-10T19:29:54Z</t>
        </is>
      </c>
      <c r="O1169" t="inlineStr">
        <is>
          <t>2026-08-10T19:29:54Z</t>
        </is>
      </c>
    </row>
    <row r="1170">
      <c r="A1170" s="19" t="inlineStr">
        <is>
          <t>1169</t>
        </is>
      </c>
      <c r="B1170" s="19" t="inlineStr">
        <is>
          <t>1013998</t>
        </is>
      </c>
      <c r="C1170" t="inlineStr">
        <is>
          <t>AKÜ,D23,DK,65AH,IGYASMF,EAS EFBS&amp;S,İÇPYS</t>
        </is>
      </c>
      <c r="D1170" s="19" t="inlineStr">
        <is>
          <t>1</t>
        </is>
      </c>
      <c r="E1170" t="n">
        <v>0</v>
      </c>
      <c r="I1170" s="19" t="inlineStr">
        <is>
          <t>2</t>
        </is>
      </c>
      <c r="J1170" t="inlineStr">
        <is>
          <t>2026-08-08</t>
        </is>
      </c>
      <c r="L1170" s="19" t="inlineStr">
        <is>
          <t>1013998</t>
        </is>
      </c>
      <c r="M1170" t="inlineStr">
        <is>
          <t>STATUS=IN OEM / EU PACKAGE; SOURCE_CFG=IA-ST-CFG-0224; MARKET=YURT İÇİ AFM</t>
        </is>
      </c>
      <c r="N1170" t="inlineStr">
        <is>
          <t>2026-08-10T19:29:54Z</t>
        </is>
      </c>
      <c r="O1170" t="inlineStr">
        <is>
          <t>2026-08-10T19:29:54Z</t>
        </is>
      </c>
    </row>
    <row r="1171">
      <c r="A1171" s="19" t="inlineStr">
        <is>
          <t>1170</t>
        </is>
      </c>
      <c r="B1171" s="19" t="inlineStr">
        <is>
          <t>1013999</t>
        </is>
      </c>
      <c r="C1171" t="inlineStr">
        <is>
          <t>AKÜ,D26,DK,72AH,IGYASMF,EAS EFBS&amp;S,İÇPYS</t>
        </is>
      </c>
      <c r="D1171" s="19" t="inlineStr">
        <is>
          <t>1</t>
        </is>
      </c>
      <c r="E1171" t="n">
        <v>0</v>
      </c>
      <c r="I1171" s="19" t="inlineStr">
        <is>
          <t>2</t>
        </is>
      </c>
      <c r="J1171" t="inlineStr">
        <is>
          <t>2026-08-08</t>
        </is>
      </c>
      <c r="L1171" s="19" t="inlineStr">
        <is>
          <t>1013999</t>
        </is>
      </c>
      <c r="M1171" t="inlineStr">
        <is>
          <t>STATUS=IN OEM / EU PACKAGE; SOURCE_CFG=IA-ST-CFG-0176; MARKET=YURT İÇİ AFM</t>
        </is>
      </c>
      <c r="N1171" t="inlineStr">
        <is>
          <t>2026-08-10T19:29:54Z</t>
        </is>
      </c>
      <c r="O1171" t="inlineStr">
        <is>
          <t>2026-08-10T19:29:54Z</t>
        </is>
      </c>
    </row>
    <row r="1172">
      <c r="A1172" s="19" t="inlineStr">
        <is>
          <t>1171</t>
        </is>
      </c>
      <c r="B1172" s="19" t="inlineStr">
        <is>
          <t>1014000</t>
        </is>
      </c>
      <c r="C1172" t="inlineStr">
        <is>
          <t>AKÜ,L2,DK,65AH,IGYA SMF,EAS EXTRA,İÇ PYS</t>
        </is>
      </c>
      <c r="D1172" s="19" t="inlineStr">
        <is>
          <t>1</t>
        </is>
      </c>
      <c r="E1172" t="n">
        <v>0</v>
      </c>
      <c r="I1172" s="19" t="inlineStr">
        <is>
          <t>2</t>
        </is>
      </c>
      <c r="J1172" t="inlineStr">
        <is>
          <t>2026-08-08</t>
        </is>
      </c>
      <c r="L1172" s="19" t="inlineStr">
        <is>
          <t>1014000</t>
        </is>
      </c>
      <c r="M1172" t="inlineStr">
        <is>
          <t>STATUS=IN OEM / EU PACKAGE; SOURCE_CFG=IA-ST-CFG-0227; MARKET=YURT İÇİ AFM</t>
        </is>
      </c>
      <c r="N1172" t="inlineStr">
        <is>
          <t>2026-08-10T19:29:54Z</t>
        </is>
      </c>
      <c r="O1172" t="inlineStr">
        <is>
          <t>2026-08-10T19:29:54Z</t>
        </is>
      </c>
    </row>
    <row r="1173">
      <c r="A1173" s="19" t="inlineStr">
        <is>
          <t>1172</t>
        </is>
      </c>
      <c r="B1173" s="19" t="inlineStr">
        <is>
          <t>1014001</t>
        </is>
      </c>
      <c r="C1173" t="inlineStr">
        <is>
          <t>AKÜ,LB2,DK,60AH,IGYASMF,EAS EXTRA,İÇ PYS</t>
        </is>
      </c>
      <c r="D1173" s="19" t="inlineStr">
        <is>
          <t>1</t>
        </is>
      </c>
      <c r="E1173" t="n">
        <v>0</v>
      </c>
      <c r="I1173" s="19" t="inlineStr">
        <is>
          <t>2</t>
        </is>
      </c>
      <c r="J1173" t="inlineStr">
        <is>
          <t>2026-08-08</t>
        </is>
      </c>
      <c r="L1173" s="19" t="inlineStr">
        <is>
          <t>1014001</t>
        </is>
      </c>
      <c r="M1173" t="inlineStr">
        <is>
          <t>STATUS=IN OEM / EU PACKAGE; SOURCE_CFG=IA-ST-CFG-0227; MARKET=YURT İÇİ AFM</t>
        </is>
      </c>
      <c r="N1173" t="inlineStr">
        <is>
          <t>2026-08-10T19:29:54Z</t>
        </is>
      </c>
      <c r="O1173" t="inlineStr">
        <is>
          <t>2026-08-10T19:29:54Z</t>
        </is>
      </c>
    </row>
    <row r="1174">
      <c r="A1174" s="19" t="inlineStr">
        <is>
          <t>1173</t>
        </is>
      </c>
      <c r="B1174" s="19" t="inlineStr">
        <is>
          <t>1014002</t>
        </is>
      </c>
      <c r="C1174" t="inlineStr">
        <is>
          <t>AKÜ,L3,DK,80AH,IGYSMF,EASEXTRA,B13,İÇPYS</t>
        </is>
      </c>
      <c r="D1174" s="19" t="inlineStr">
        <is>
          <t>1</t>
        </is>
      </c>
      <c r="E1174" t="n">
        <v>0</v>
      </c>
      <c r="I1174" s="19" t="inlineStr">
        <is>
          <t>2</t>
        </is>
      </c>
      <c r="J1174" t="inlineStr">
        <is>
          <t>2026-08-08</t>
        </is>
      </c>
      <c r="L1174" s="19" t="inlineStr">
        <is>
          <t>1014002</t>
        </is>
      </c>
      <c r="M1174" t="inlineStr">
        <is>
          <t>STATUS=IN OEM / EU PACKAGE; SOURCE_CFG=IA-ST-CFG-0182; MARKET=YURT İÇİ AFM</t>
        </is>
      </c>
      <c r="N1174" t="inlineStr">
        <is>
          <t>2026-08-10T19:29:54Z</t>
        </is>
      </c>
      <c r="O1174" t="inlineStr">
        <is>
          <t>2026-08-10T19:29:54Z</t>
        </is>
      </c>
    </row>
    <row r="1175">
      <c r="A1175" s="19" t="inlineStr">
        <is>
          <t>1174</t>
        </is>
      </c>
      <c r="B1175" s="19" t="inlineStr">
        <is>
          <t>1014003</t>
        </is>
      </c>
      <c r="C1175" t="inlineStr">
        <is>
          <t>AKÜ,L3,DK,80AH,IGYSMF,EASEXTRA,B01,İÇPYS</t>
        </is>
      </c>
      <c r="D1175" s="19" t="inlineStr">
        <is>
          <t>1</t>
        </is>
      </c>
      <c r="E1175" t="n">
        <v>0</v>
      </c>
      <c r="I1175" s="19" t="inlineStr">
        <is>
          <t>2</t>
        </is>
      </c>
      <c r="J1175" t="inlineStr">
        <is>
          <t>2026-08-08</t>
        </is>
      </c>
      <c r="L1175" s="19" t="inlineStr">
        <is>
          <t>1014003</t>
        </is>
      </c>
      <c r="M1175" t="inlineStr">
        <is>
          <t>STATUS=IN OEM / EU PACKAGE; SOURCE_CFG=IA-ST-CFG-0182; MARKET=YURT İÇİ AFM</t>
        </is>
      </c>
      <c r="N1175" t="inlineStr">
        <is>
          <t>2026-08-10T19:29:54Z</t>
        </is>
      </c>
      <c r="O1175" t="inlineStr">
        <is>
          <t>2026-08-10T19:29:54Z</t>
        </is>
      </c>
    </row>
    <row r="1176">
      <c r="A1176" s="19" t="inlineStr">
        <is>
          <t>1175</t>
        </is>
      </c>
      <c r="B1176" s="19" t="inlineStr">
        <is>
          <t>1014006</t>
        </is>
      </c>
      <c r="C1176" t="inlineStr">
        <is>
          <t>AKÜ,NS40,DK,42AH,IGYASMF,EAS EXTRA,İÇPYS</t>
        </is>
      </c>
      <c r="D1176" s="19" t="inlineStr">
        <is>
          <t>1</t>
        </is>
      </c>
      <c r="E1176" t="n">
        <v>0</v>
      </c>
      <c r="I1176" s="19" t="inlineStr">
        <is>
          <t>2</t>
        </is>
      </c>
      <c r="J1176" t="inlineStr">
        <is>
          <t>2026-08-08</t>
        </is>
      </c>
      <c r="L1176" s="19" t="inlineStr">
        <is>
          <t>1014006</t>
        </is>
      </c>
      <c r="M1176" t="inlineStr">
        <is>
          <t>STATUS=IN OEM / EU PACKAGE; SOURCE_CFG=IA-ST-CFG-0285; MARKET=YURT İÇİ AFM</t>
        </is>
      </c>
      <c r="N1176" t="inlineStr">
        <is>
          <t>2026-08-10T19:29:54Z</t>
        </is>
      </c>
      <c r="O1176" t="inlineStr">
        <is>
          <t>2026-08-10T19:29:54Z</t>
        </is>
      </c>
    </row>
    <row r="1177">
      <c r="A1177" s="19" t="inlineStr">
        <is>
          <t>1176</t>
        </is>
      </c>
      <c r="B1177" s="19" t="inlineStr">
        <is>
          <t>1014007</t>
        </is>
      </c>
      <c r="C1177" t="inlineStr">
        <is>
          <t>AKÜ,NS60,DK,55AH,IGYASMF,EAS EXTRA,İÇPYS</t>
        </is>
      </c>
      <c r="D1177" s="19" t="inlineStr">
        <is>
          <t>1</t>
        </is>
      </c>
      <c r="E1177" t="n">
        <v>0</v>
      </c>
      <c r="I1177" s="19" t="inlineStr">
        <is>
          <t>2</t>
        </is>
      </c>
      <c r="J1177" t="inlineStr">
        <is>
          <t>2026-08-08</t>
        </is>
      </c>
      <c r="L1177" s="19" t="inlineStr">
        <is>
          <t>1014007</t>
        </is>
      </c>
      <c r="M1177" t="inlineStr">
        <is>
          <t>STATUS=IN OEM / EU PACKAGE; SOURCE_CFG=IA-ST-CFG-0273; MARKET=YURT İÇİ AFM</t>
        </is>
      </c>
      <c r="N1177" t="inlineStr">
        <is>
          <t>2026-08-10T19:29:54Z</t>
        </is>
      </c>
      <c r="O1177" t="inlineStr">
        <is>
          <t>2026-08-10T19:29:54Z</t>
        </is>
      </c>
    </row>
    <row r="1178">
      <c r="A1178" s="19" t="inlineStr">
        <is>
          <t>1177</t>
        </is>
      </c>
      <c r="B1178" s="19" t="inlineStr">
        <is>
          <t>1014008</t>
        </is>
      </c>
      <c r="C1178" t="inlineStr">
        <is>
          <t>AKÜ SULU,D20,DK,55AH,EAS EXTRA,İÇ PYS</t>
        </is>
      </c>
      <c r="D1178" s="19" t="inlineStr">
        <is>
          <t>1</t>
        </is>
      </c>
      <c r="E1178" t="n">
        <v>0</v>
      </c>
      <c r="I1178" s="19" t="inlineStr">
        <is>
          <t>2</t>
        </is>
      </c>
      <c r="J1178" t="inlineStr">
        <is>
          <t>2026-08-08</t>
        </is>
      </c>
      <c r="L1178" s="19" t="inlineStr">
        <is>
          <t>1014008</t>
        </is>
      </c>
      <c r="M1178" t="inlineStr">
        <is>
          <t>STATUS=IN OEM / EU PACKAGE; SOURCE_CFG=IA-ST-CFG-0225; MARKET=YURT İÇİ AFM</t>
        </is>
      </c>
      <c r="N1178" t="inlineStr">
        <is>
          <t>2026-08-10T19:29:54Z</t>
        </is>
      </c>
      <c r="O1178" t="inlineStr">
        <is>
          <t>2026-08-10T19:29:54Z</t>
        </is>
      </c>
    </row>
    <row r="1179">
      <c r="A1179" s="19" t="inlineStr">
        <is>
          <t>1178</t>
        </is>
      </c>
      <c r="B1179" s="19" t="inlineStr">
        <is>
          <t>1014009</t>
        </is>
      </c>
      <c r="C1179" t="inlineStr">
        <is>
          <t>AKÜ SULU,D20,TK,55AH,EAS EXTRA,İÇ PYS</t>
        </is>
      </c>
      <c r="D1179" s="19" t="inlineStr">
        <is>
          <t>1</t>
        </is>
      </c>
      <c r="E1179" t="n">
        <v>0</v>
      </c>
      <c r="I1179" s="19" t="inlineStr">
        <is>
          <t>2</t>
        </is>
      </c>
      <c r="J1179" t="inlineStr">
        <is>
          <t>2026-08-08</t>
        </is>
      </c>
      <c r="L1179" s="19" t="inlineStr">
        <is>
          <t>1014009</t>
        </is>
      </c>
      <c r="M1179" t="inlineStr">
        <is>
          <t>STATUS=IN OEM / EU PACKAGE; SOURCE_CFG=IA-ST-CFG-0225; MARKET=YURT İÇİ AFM</t>
        </is>
      </c>
      <c r="N1179" t="inlineStr">
        <is>
          <t>2026-08-10T19:29:54Z</t>
        </is>
      </c>
      <c r="O1179" t="inlineStr">
        <is>
          <t>2026-08-10T19:29:54Z</t>
        </is>
      </c>
    </row>
    <row r="1180">
      <c r="A1180" s="19" t="inlineStr">
        <is>
          <t>1179</t>
        </is>
      </c>
      <c r="B1180" s="19" t="inlineStr">
        <is>
          <t>1014011</t>
        </is>
      </c>
      <c r="C1180" t="inlineStr">
        <is>
          <t>AKÜ,D23,DK,68AH,IGYASMF,EAS EXTRA,İÇ PYS</t>
        </is>
      </c>
      <c r="D1180" s="19" t="inlineStr">
        <is>
          <t>1</t>
        </is>
      </c>
      <c r="E1180" t="n">
        <v>0</v>
      </c>
      <c r="I1180" s="19" t="inlineStr">
        <is>
          <t>2</t>
        </is>
      </c>
      <c r="J1180" t="inlineStr">
        <is>
          <t>2026-08-08</t>
        </is>
      </c>
      <c r="L1180" s="19" t="inlineStr">
        <is>
          <t>1014011</t>
        </is>
      </c>
      <c r="M1180" t="inlineStr">
        <is>
          <t>STATUS=IN OEM / EU PACKAGE; SOURCE_CFG=IA-ST-CFG-0224; MARKET=YURT İÇİ AFM</t>
        </is>
      </c>
      <c r="N1180" t="inlineStr">
        <is>
          <t>2026-08-10T19:29:54Z</t>
        </is>
      </c>
      <c r="O1180" t="inlineStr">
        <is>
          <t>2026-08-10T19:29:54Z</t>
        </is>
      </c>
    </row>
    <row r="1181">
      <c r="A1181" s="19" t="inlineStr">
        <is>
          <t>1180</t>
        </is>
      </c>
      <c r="B1181" s="19" t="inlineStr">
        <is>
          <t>1014012</t>
        </is>
      </c>
      <c r="C1181" t="inlineStr">
        <is>
          <t>AKÜ,D31,DK100AH,IGYASMF,EAS EXTRA,İÇ PYS</t>
        </is>
      </c>
      <c r="D1181" s="19" t="inlineStr">
        <is>
          <t>1</t>
        </is>
      </c>
      <c r="E1181" t="n">
        <v>0</v>
      </c>
      <c r="I1181" s="19" t="inlineStr">
        <is>
          <t>2</t>
        </is>
      </c>
      <c r="J1181" t="inlineStr">
        <is>
          <t>2026-08-08</t>
        </is>
      </c>
      <c r="L1181" s="19" t="inlineStr">
        <is>
          <t>1014012</t>
        </is>
      </c>
      <c r="M1181" t="inlineStr">
        <is>
          <t>STATUS=IN OEM / EU PACKAGE; SOURCE_CFG=IA-ST-CFG-0145; MARKET=YURT İÇİ AFM</t>
        </is>
      </c>
      <c r="N1181" t="inlineStr">
        <is>
          <t>2026-08-10T19:29:54Z</t>
        </is>
      </c>
      <c r="O1181" t="inlineStr">
        <is>
          <t>2026-08-10T19:29:54Z</t>
        </is>
      </c>
    </row>
    <row r="1182">
      <c r="A1182" s="19" t="inlineStr">
        <is>
          <t>1181</t>
        </is>
      </c>
      <c r="B1182" s="19" t="inlineStr">
        <is>
          <t>1014013</t>
        </is>
      </c>
      <c r="C1182" t="inlineStr">
        <is>
          <t>AKÜ,A-IGYA SMF,DK,145AH,EAS EXTRA,İÇ PYS</t>
        </is>
      </c>
      <c r="D1182" s="19" t="inlineStr">
        <is>
          <t>1</t>
        </is>
      </c>
      <c r="E1182" t="n">
        <v>0</v>
      </c>
      <c r="I1182" s="19" t="inlineStr">
        <is>
          <t>2</t>
        </is>
      </c>
      <c r="J1182" t="inlineStr">
        <is>
          <t>2026-08-08</t>
        </is>
      </c>
      <c r="L1182" s="19" t="inlineStr">
        <is>
          <t>1014013</t>
        </is>
      </c>
      <c r="M1182" t="inlineStr">
        <is>
          <t>STATUS=IN OEM / EU PACKAGE; SOURCE_CFG=IA-ST-CFG-0054; MARKET=YURT İÇİ AFM</t>
        </is>
      </c>
      <c r="N1182" t="inlineStr">
        <is>
          <t>2026-08-10T19:29:54Z</t>
        </is>
      </c>
      <c r="O1182" t="inlineStr">
        <is>
          <t>2026-08-10T19:29:54Z</t>
        </is>
      </c>
    </row>
    <row r="1183">
      <c r="A1183" s="19" t="inlineStr">
        <is>
          <t>1182</t>
        </is>
      </c>
      <c r="B1183" s="19" t="inlineStr">
        <is>
          <t>1014014</t>
        </is>
      </c>
      <c r="C1183" t="inlineStr">
        <is>
          <t>AKÜ,B-IGYA SMF,DK,190AH,EAS EXTRA,İÇ PYS</t>
        </is>
      </c>
      <c r="D1183" s="19" t="inlineStr">
        <is>
          <t>1</t>
        </is>
      </c>
      <c r="E1183" t="n">
        <v>0</v>
      </c>
      <c r="I1183" s="19" t="inlineStr">
        <is>
          <t>2</t>
        </is>
      </c>
      <c r="J1183" t="inlineStr">
        <is>
          <t>2026-08-08</t>
        </is>
      </c>
      <c r="L1183" s="19" t="inlineStr">
        <is>
          <t>1014014</t>
        </is>
      </c>
      <c r="M1183" t="inlineStr">
        <is>
          <t>STATUS=IN OEM / EU PACKAGE; SOURCE_CFG=IA-ST-CFG-0055; MARKET=YURT İÇİ AFM</t>
        </is>
      </c>
      <c r="N1183" t="inlineStr">
        <is>
          <t>2026-08-10T19:29:54Z</t>
        </is>
      </c>
      <c r="O1183" t="inlineStr">
        <is>
          <t>2026-08-10T19:29:54Z</t>
        </is>
      </c>
    </row>
    <row r="1184">
      <c r="A1184" s="19" t="inlineStr">
        <is>
          <t>1183</t>
        </is>
      </c>
      <c r="B1184" s="19" t="inlineStr">
        <is>
          <t>1014015</t>
        </is>
      </c>
      <c r="C1184" t="inlineStr">
        <is>
          <t>AKÜ,C-IGYA SMF,DK,250AH,EAS EXTRA,İÇ PYS</t>
        </is>
      </c>
      <c r="D1184" s="19" t="inlineStr">
        <is>
          <t>1</t>
        </is>
      </c>
      <c r="E1184" t="n">
        <v>0</v>
      </c>
      <c r="I1184" s="19" t="inlineStr">
        <is>
          <t>2</t>
        </is>
      </c>
      <c r="J1184" t="inlineStr">
        <is>
          <t>2026-08-08</t>
        </is>
      </c>
      <c r="L1184" s="19" t="inlineStr">
        <is>
          <t>1014015</t>
        </is>
      </c>
      <c r="M1184" t="inlineStr">
        <is>
          <t>STATUS=IN OEM / EU PACKAGE; SOURCE_CFG=IA-ST-CFG-0024; MARKET=YURT İÇİ AFM</t>
        </is>
      </c>
      <c r="N1184" t="inlineStr">
        <is>
          <t>2026-08-10T19:29:54Z</t>
        </is>
      </c>
      <c r="O1184" t="inlineStr">
        <is>
          <t>2026-08-10T19:29:54Z</t>
        </is>
      </c>
    </row>
    <row r="1185">
      <c r="A1185" s="19" t="inlineStr">
        <is>
          <t>1184</t>
        </is>
      </c>
      <c r="B1185" s="19" t="inlineStr">
        <is>
          <t>1014016</t>
        </is>
      </c>
      <c r="C1185" t="inlineStr">
        <is>
          <t>AKÜ,B-IGYASMF,DK,185AH,EAS EFB S&amp;S,İÇPYS</t>
        </is>
      </c>
      <c r="D1185" s="19" t="inlineStr">
        <is>
          <t>1</t>
        </is>
      </c>
      <c r="E1185" t="n">
        <v>0</v>
      </c>
      <c r="I1185" s="19" t="inlineStr">
        <is>
          <t>2</t>
        </is>
      </c>
      <c r="J1185" t="inlineStr">
        <is>
          <t>2026-08-08</t>
        </is>
      </c>
      <c r="L1185" s="19" t="inlineStr">
        <is>
          <t>1014016</t>
        </is>
      </c>
      <c r="M1185" t="inlineStr">
        <is>
          <t>STATUS=IN OEM / EU PACKAGE; SOURCE_CFG=IA-ST-CFG-0055; MARKET=YURT İÇİ AFM</t>
        </is>
      </c>
      <c r="N1185" t="inlineStr">
        <is>
          <t>2026-08-10T19:29:54Z</t>
        </is>
      </c>
      <c r="O1185" t="inlineStr">
        <is>
          <t>2026-08-10T19:29:54Z</t>
        </is>
      </c>
    </row>
    <row r="1186">
      <c r="A1186" s="19" t="inlineStr">
        <is>
          <t>1185</t>
        </is>
      </c>
      <c r="B1186" s="19" t="inlineStr">
        <is>
          <t>1014017</t>
        </is>
      </c>
      <c r="C1186" t="inlineStr">
        <is>
          <t>AKÜ,C-IGYASMF,DK,230AH,EAS EFB S&amp;S,İÇPYS</t>
        </is>
      </c>
      <c r="D1186" s="19" t="inlineStr">
        <is>
          <t>1</t>
        </is>
      </c>
      <c r="E1186" t="n">
        <v>0</v>
      </c>
      <c r="I1186" s="19" t="inlineStr">
        <is>
          <t>2</t>
        </is>
      </c>
      <c r="J1186" t="inlineStr">
        <is>
          <t>2026-08-08</t>
        </is>
      </c>
      <c r="L1186" s="19" t="inlineStr">
        <is>
          <t>1014017</t>
        </is>
      </c>
      <c r="M1186" t="inlineStr">
        <is>
          <t>STATUS=IN OEM / EU PACKAGE; SOURCE_CFG=IA-ST-CFG-0024; MARKET=YURT İÇİ AFM</t>
        </is>
      </c>
      <c r="N1186" t="inlineStr">
        <is>
          <t>2026-08-10T19:29:54Z</t>
        </is>
      </c>
      <c r="O1186" t="inlineStr">
        <is>
          <t>2026-08-10T19:29:54Z</t>
        </is>
      </c>
    </row>
    <row r="1187">
      <c r="A1187" s="19" t="inlineStr">
        <is>
          <t>1186</t>
        </is>
      </c>
      <c r="B1187" s="19" t="inlineStr">
        <is>
          <t>1014018</t>
        </is>
      </c>
      <c r="C1187" t="inlineStr">
        <is>
          <t>AKÜ,A-IGYA,DK,135AH,EASACTIVASHDNEWİÇPYS</t>
        </is>
      </c>
      <c r="D1187" s="19" t="inlineStr">
        <is>
          <t>1</t>
        </is>
      </c>
      <c r="E1187" t="n">
        <v>0</v>
      </c>
      <c r="I1187" s="19" t="inlineStr">
        <is>
          <t>2</t>
        </is>
      </c>
      <c r="J1187" t="inlineStr">
        <is>
          <t>2026-08-08</t>
        </is>
      </c>
      <c r="L1187" s="19" t="inlineStr">
        <is>
          <t>1014018</t>
        </is>
      </c>
      <c r="M1187" t="inlineStr">
        <is>
          <t>STATUS=IN OEM / EU PACKAGE; SOURCE_CFG=IA-ST-CFG-0054; MARKET=YURT İÇİ AFM</t>
        </is>
      </c>
      <c r="N1187" t="inlineStr">
        <is>
          <t>2026-08-10T19:29:54Z</t>
        </is>
      </c>
      <c r="O1187" t="inlineStr">
        <is>
          <t>2026-08-10T19:29:54Z</t>
        </is>
      </c>
    </row>
    <row r="1188">
      <c r="A1188" s="19" t="inlineStr">
        <is>
          <t>1187</t>
        </is>
      </c>
      <c r="B1188" s="19" t="inlineStr">
        <is>
          <t>1014019</t>
        </is>
      </c>
      <c r="C1188" t="inlineStr">
        <is>
          <t>AKÜ,B-IGYA,DK,150AH,EASACTIVASHDNEWİÇPYS</t>
        </is>
      </c>
      <c r="D1188" s="19" t="inlineStr">
        <is>
          <t>1</t>
        </is>
      </c>
      <c r="E1188" t="n">
        <v>0</v>
      </c>
      <c r="I1188" s="19" t="inlineStr">
        <is>
          <t>2</t>
        </is>
      </c>
      <c r="J1188" t="inlineStr">
        <is>
          <t>2026-08-08</t>
        </is>
      </c>
      <c r="L1188" s="19" t="inlineStr">
        <is>
          <t>1014019</t>
        </is>
      </c>
      <c r="M1188" t="inlineStr">
        <is>
          <t>STATUS=IN OEM / EU PACKAGE; SOURCE_CFG=IA-ST-CFG-0055; MARKET=YURT İÇİ AFM</t>
        </is>
      </c>
      <c r="N1188" t="inlineStr">
        <is>
          <t>2026-08-10T19:29:54Z</t>
        </is>
      </c>
      <c r="O1188" t="inlineStr">
        <is>
          <t>2026-08-10T19:29:54Z</t>
        </is>
      </c>
    </row>
    <row r="1189">
      <c r="A1189" s="19" t="inlineStr">
        <is>
          <t>1188</t>
        </is>
      </c>
      <c r="B1189" s="19" t="inlineStr">
        <is>
          <t>1014020</t>
        </is>
      </c>
      <c r="C1189" t="inlineStr">
        <is>
          <t>AKÜ,B-IGYA,DK,180AH,EASACTIVASHDNEWİÇPYS</t>
        </is>
      </c>
      <c r="D1189" s="19" t="inlineStr">
        <is>
          <t>1</t>
        </is>
      </c>
      <c r="E1189" t="n">
        <v>0</v>
      </c>
      <c r="I1189" s="19" t="inlineStr">
        <is>
          <t>2</t>
        </is>
      </c>
      <c r="J1189" t="inlineStr">
        <is>
          <t>2026-08-08</t>
        </is>
      </c>
      <c r="L1189" s="19" t="inlineStr">
        <is>
          <t>1014020</t>
        </is>
      </c>
      <c r="M1189" t="inlineStr">
        <is>
          <t>STATUS=IN OEM / EU PACKAGE; SOURCE_CFG=IA-ST-CFG-0055; MARKET=YURT İÇİ AFM</t>
        </is>
      </c>
      <c r="N1189" t="inlineStr">
        <is>
          <t>2026-08-10T19:29:54Z</t>
        </is>
      </c>
      <c r="O1189" t="inlineStr">
        <is>
          <t>2026-08-10T19:29:54Z</t>
        </is>
      </c>
    </row>
    <row r="1190">
      <c r="A1190" s="19" t="inlineStr">
        <is>
          <t>1189</t>
        </is>
      </c>
      <c r="B1190" s="19" t="inlineStr">
        <is>
          <t>1014021</t>
        </is>
      </c>
      <c r="C1190" t="inlineStr">
        <is>
          <t>AKÜ,C-IGYA,DK,225AH,EASACTIVASHDNEWİÇPYS</t>
        </is>
      </c>
      <c r="D1190" s="19" t="inlineStr">
        <is>
          <t>1</t>
        </is>
      </c>
      <c r="E1190" t="n">
        <v>0</v>
      </c>
      <c r="I1190" s="19" t="inlineStr">
        <is>
          <t>2</t>
        </is>
      </c>
      <c r="J1190" t="inlineStr">
        <is>
          <t>2026-08-08</t>
        </is>
      </c>
      <c r="L1190" s="19" t="inlineStr">
        <is>
          <t>1014021</t>
        </is>
      </c>
      <c r="M1190" t="inlineStr">
        <is>
          <t>STATUS=IN OEM / EU PACKAGE; SOURCE_CFG=IA-ST-CFG-0024; MARKET=YURT İÇİ AFM</t>
        </is>
      </c>
      <c r="N1190" t="inlineStr">
        <is>
          <t>2026-08-10T19:29:54Z</t>
        </is>
      </c>
      <c r="O1190" t="inlineStr">
        <is>
          <t>2026-08-10T19:29:54Z</t>
        </is>
      </c>
    </row>
    <row r="1191">
      <c r="A1191" s="19" t="inlineStr">
        <is>
          <t>1190</t>
        </is>
      </c>
      <c r="B1191" s="19" t="inlineStr">
        <is>
          <t>1014026</t>
        </is>
      </c>
      <c r="C1191" t="inlineStr">
        <is>
          <t>AKÜ,A-IGYASMF,DK,135AH,HUGELULTRA,SHDNEW</t>
        </is>
      </c>
      <c r="D1191" s="19" t="inlineStr">
        <is>
          <t>1</t>
        </is>
      </c>
      <c r="E1191" t="n">
        <v>0</v>
      </c>
      <c r="I1191" s="19" t="inlineStr">
        <is>
          <t>2</t>
        </is>
      </c>
      <c r="J1191" t="inlineStr">
        <is>
          <t>2026-08-08</t>
        </is>
      </c>
      <c r="L1191" s="19" t="inlineStr">
        <is>
          <t>1014026</t>
        </is>
      </c>
      <c r="M1191" t="inlineStr">
        <is>
          <t>STATUS=IN OEM / EU PACKAGE; SOURCE_CFG=IA-ST-CFG-0039; MARKET=None</t>
        </is>
      </c>
      <c r="N1191" t="inlineStr">
        <is>
          <t>2026-08-10T19:29:54Z</t>
        </is>
      </c>
      <c r="O1191" t="inlineStr">
        <is>
          <t>2026-08-10T19:29:54Z</t>
        </is>
      </c>
    </row>
    <row r="1192">
      <c r="A1192" s="19" t="inlineStr">
        <is>
          <t>1191</t>
        </is>
      </c>
      <c r="B1192" s="19" t="inlineStr">
        <is>
          <t>1014036</t>
        </is>
      </c>
      <c r="C1192" t="inlineStr">
        <is>
          <t>AKÜ,L2DK65AH,IGYSMF,NONAME,GYEUR7027-065</t>
        </is>
      </c>
      <c r="D1192" s="19" t="inlineStr">
        <is>
          <t>1</t>
        </is>
      </c>
      <c r="E1192" t="n">
        <v>0</v>
      </c>
      <c r="I1192" s="19" t="inlineStr">
        <is>
          <t>2</t>
        </is>
      </c>
      <c r="J1192" t="inlineStr">
        <is>
          <t>2026-08-08</t>
        </is>
      </c>
      <c r="L1192" s="19" t="inlineStr">
        <is>
          <t>1014036</t>
        </is>
      </c>
      <c r="M1192" t="inlineStr">
        <is>
          <t>STATUS=IN OEM / EU PACKAGE; SOURCE_CFG=IA-ST-CFG-0162; MARKET=GY EUR</t>
        </is>
      </c>
      <c r="N1192" t="inlineStr">
        <is>
          <t>2026-08-10T19:29:54Z</t>
        </is>
      </c>
      <c r="O1192" t="inlineStr">
        <is>
          <t>2026-08-10T19:29:54Z</t>
        </is>
      </c>
    </row>
    <row r="1193">
      <c r="A1193" s="19" t="inlineStr">
        <is>
          <t>1192</t>
        </is>
      </c>
      <c r="B1193" s="19" t="inlineStr">
        <is>
          <t>1014039</t>
        </is>
      </c>
      <c r="C1193" t="inlineStr">
        <is>
          <t>AKÜ,L2,DK,60AH,IGYSMF,EFB,NONAME,CARANDA</t>
        </is>
      </c>
      <c r="D1193" s="19" t="inlineStr">
        <is>
          <t>1</t>
        </is>
      </c>
      <c r="E1193" t="n">
        <v>0</v>
      </c>
      <c r="I1193" s="19" t="inlineStr">
        <is>
          <t>2</t>
        </is>
      </c>
      <c r="J1193" t="inlineStr">
        <is>
          <t>2026-08-08</t>
        </is>
      </c>
      <c r="L1193" s="19" t="inlineStr">
        <is>
          <t>1014039</t>
        </is>
      </c>
      <c r="M1193" t="inlineStr">
        <is>
          <t>STATUS=IN OEM / EU PACKAGE; SOURCE_CFG=IA-ST-CFG-0164; MARKET=CARANDA ROMANYA</t>
        </is>
      </c>
      <c r="N1193" t="inlineStr">
        <is>
          <t>2026-08-10T19:29:54Z</t>
        </is>
      </c>
      <c r="O1193" t="inlineStr">
        <is>
          <t>2026-08-10T19:29:54Z</t>
        </is>
      </c>
    </row>
    <row r="1194">
      <c r="A1194" s="19" t="inlineStr">
        <is>
          <t>1193</t>
        </is>
      </c>
      <c r="B1194" s="19" t="inlineStr">
        <is>
          <t>1014041</t>
        </is>
      </c>
      <c r="C1194" t="inlineStr">
        <is>
          <t>AKÜ,L3,DK,75AH,IGYASMF,EFB,NONAMECARANDA</t>
        </is>
      </c>
      <c r="D1194" s="19" t="inlineStr">
        <is>
          <t>1</t>
        </is>
      </c>
      <c r="E1194" t="n">
        <v>0</v>
      </c>
      <c r="I1194" s="19" t="inlineStr">
        <is>
          <t>2</t>
        </is>
      </c>
      <c r="J1194" t="inlineStr">
        <is>
          <t>2026-08-08</t>
        </is>
      </c>
      <c r="L1194" s="19" t="inlineStr">
        <is>
          <t>1014041</t>
        </is>
      </c>
      <c r="M1194" t="inlineStr">
        <is>
          <t>STATUS=IN OEM / EU PACKAGE; SOURCE_CFG=IA-ST-CFG-0135; MARKET=CARANDA ROMANYA</t>
        </is>
      </c>
      <c r="N1194" t="inlineStr">
        <is>
          <t>2026-08-10T19:29:54Z</t>
        </is>
      </c>
      <c r="O1194" t="inlineStr">
        <is>
          <t>2026-08-10T19:29:54Z</t>
        </is>
      </c>
    </row>
    <row r="1195">
      <c r="A1195" s="19" t="inlineStr">
        <is>
          <t>1194</t>
        </is>
      </c>
      <c r="B1195" s="19" t="inlineStr">
        <is>
          <t>1014042</t>
        </is>
      </c>
      <c r="C1195" t="inlineStr">
        <is>
          <t>AKÜ,L3,DK,72AH,IGYSMF,EFB,NONAME,CARANDA</t>
        </is>
      </c>
      <c r="D1195" s="19" t="inlineStr">
        <is>
          <t>1</t>
        </is>
      </c>
      <c r="E1195" t="n">
        <v>0</v>
      </c>
      <c r="I1195" s="19" t="inlineStr">
        <is>
          <t>2</t>
        </is>
      </c>
      <c r="J1195" t="inlineStr">
        <is>
          <t>2026-08-08</t>
        </is>
      </c>
      <c r="L1195" s="19" t="inlineStr">
        <is>
          <t>1014042</t>
        </is>
      </c>
      <c r="M1195" t="inlineStr">
        <is>
          <t>STATUS=IN OEM / EU PACKAGE; SOURCE_CFG=IA-ST-CFG-0135; MARKET=CARANDA ROMANYA</t>
        </is>
      </c>
      <c r="N1195" t="inlineStr">
        <is>
          <t>2026-08-10T19:29:54Z</t>
        </is>
      </c>
      <c r="O1195" t="inlineStr">
        <is>
          <t>2026-08-10T19:29:54Z</t>
        </is>
      </c>
    </row>
    <row r="1196">
      <c r="A1196" s="19" t="inlineStr">
        <is>
          <t>1195</t>
        </is>
      </c>
      <c r="B1196" s="19" t="inlineStr">
        <is>
          <t>1014046</t>
        </is>
      </c>
      <c r="C1196" t="inlineStr">
        <is>
          <t>AKÜ,L5,DK,100AH,IGYASMF,EFBNONAMECARANDA</t>
        </is>
      </c>
      <c r="D1196" s="19" t="inlineStr">
        <is>
          <t>1</t>
        </is>
      </c>
      <c r="E1196" t="n">
        <v>0</v>
      </c>
      <c r="I1196" s="19" t="inlineStr">
        <is>
          <t>2</t>
        </is>
      </c>
      <c r="J1196" t="inlineStr">
        <is>
          <t>2026-08-08</t>
        </is>
      </c>
      <c r="L1196" s="19" t="inlineStr">
        <is>
          <t>1014046</t>
        </is>
      </c>
      <c r="M1196" t="inlineStr">
        <is>
          <t>STATUS=IN OEM / EU PACKAGE; SOURCE_CFG=IA-ST-CFG-0072; MARKET=CARANDA ROMANYA</t>
        </is>
      </c>
      <c r="N1196" t="inlineStr">
        <is>
          <t>2026-08-10T19:29:54Z</t>
        </is>
      </c>
      <c r="O1196" t="inlineStr">
        <is>
          <t>2026-08-10T19:29:54Z</t>
        </is>
      </c>
    </row>
    <row r="1197">
      <c r="A1197" s="19" t="inlineStr">
        <is>
          <t>1196</t>
        </is>
      </c>
      <c r="B1197" s="19" t="inlineStr">
        <is>
          <t>1014048</t>
        </is>
      </c>
      <c r="C1197" t="inlineStr">
        <is>
          <t>AKÜ,C-IGYASMF,DK,230AH,EFBNONAME,CARANDA</t>
        </is>
      </c>
      <c r="D1197" s="19" t="inlineStr">
        <is>
          <t>1</t>
        </is>
      </c>
      <c r="E1197" t="n">
        <v>0</v>
      </c>
      <c r="I1197" s="19" t="inlineStr">
        <is>
          <t>2</t>
        </is>
      </c>
      <c r="J1197" t="inlineStr">
        <is>
          <t>2026-08-08</t>
        </is>
      </c>
      <c r="L1197" s="19" t="inlineStr">
        <is>
          <t>1014048</t>
        </is>
      </c>
      <c r="M1197" t="inlineStr">
        <is>
          <t>STATUS=IN OEM / EU PACKAGE; SOURCE_CFG=IA-ST-CFG-0013; MARKET=CARANDA ROMANYA</t>
        </is>
      </c>
      <c r="N1197" t="inlineStr">
        <is>
          <t>2026-08-10T19:29:54Z</t>
        </is>
      </c>
      <c r="O1197" t="inlineStr">
        <is>
          <t>2026-08-10T19:29:54Z</t>
        </is>
      </c>
    </row>
    <row r="1198">
      <c r="A1198" s="19" t="inlineStr">
        <is>
          <t>1197</t>
        </is>
      </c>
      <c r="B1198" s="19" t="inlineStr">
        <is>
          <t>1014049</t>
        </is>
      </c>
      <c r="C1198" t="inlineStr">
        <is>
          <t>AKÜ,L2,DK,60AH,VRLA,AGM,NO NAME,CARANDA</t>
        </is>
      </c>
      <c r="D1198" s="19" t="inlineStr">
        <is>
          <t>1</t>
        </is>
      </c>
      <c r="E1198" t="n">
        <v>0</v>
      </c>
      <c r="I1198" s="19" t="inlineStr">
        <is>
          <t>2</t>
        </is>
      </c>
      <c r="J1198" t="inlineStr">
        <is>
          <t>2026-08-08</t>
        </is>
      </c>
      <c r="L1198" s="19" t="inlineStr">
        <is>
          <t>1014049</t>
        </is>
      </c>
      <c r="M1198" t="inlineStr">
        <is>
          <t>STATUS=IN OEM / EU PACKAGE; SOURCE_CFG=IA-ST-CFG-0164; MARKET=CARANDA ROMANYA</t>
        </is>
      </c>
      <c r="N1198" t="inlineStr">
        <is>
          <t>2026-08-10T19:29:54Z</t>
        </is>
      </c>
      <c r="O1198" t="inlineStr">
        <is>
          <t>2026-08-10T19:29:54Z</t>
        </is>
      </c>
    </row>
    <row r="1199">
      <c r="A1199" s="19" t="inlineStr">
        <is>
          <t>1198</t>
        </is>
      </c>
      <c r="B1199" s="19" t="inlineStr">
        <is>
          <t>1014050</t>
        </is>
      </c>
      <c r="C1199" t="inlineStr">
        <is>
          <t>AKÜ,L3,DK,70AH,VRLA,AGM,NO NAME,CARANDA</t>
        </is>
      </c>
      <c r="D1199" s="19" t="inlineStr">
        <is>
          <t>1</t>
        </is>
      </c>
      <c r="E1199" t="n">
        <v>0</v>
      </c>
      <c r="I1199" s="19" t="inlineStr">
        <is>
          <t>2</t>
        </is>
      </c>
      <c r="J1199" t="inlineStr">
        <is>
          <t>2026-08-08</t>
        </is>
      </c>
      <c r="L1199" s="19" t="inlineStr">
        <is>
          <t>1014050</t>
        </is>
      </c>
      <c r="M1199" t="inlineStr">
        <is>
          <t>STATUS=IN OEM / EU PACKAGE; SOURCE_CFG=IA-ST-CFG-0135; MARKET=CARANDA ROMANYA</t>
        </is>
      </c>
      <c r="N1199" t="inlineStr">
        <is>
          <t>2026-08-10T19:29:54Z</t>
        </is>
      </c>
      <c r="O1199" t="inlineStr">
        <is>
          <t>2026-08-10T19:29:54Z</t>
        </is>
      </c>
    </row>
    <row r="1200">
      <c r="A1200" s="19" t="inlineStr">
        <is>
          <t>1199</t>
        </is>
      </c>
      <c r="B1200" s="19" t="inlineStr">
        <is>
          <t>1014051</t>
        </is>
      </c>
      <c r="C1200" t="inlineStr">
        <is>
          <t>AKÜ,L4,DK,80AH,VRLA,AGM,NO NAME,CARANDA</t>
        </is>
      </c>
      <c r="D1200" s="19" t="inlineStr">
        <is>
          <t>1</t>
        </is>
      </c>
      <c r="E1200" t="n">
        <v>0</v>
      </c>
      <c r="I1200" s="19" t="inlineStr">
        <is>
          <t>2</t>
        </is>
      </c>
      <c r="J1200" t="inlineStr">
        <is>
          <t>2026-08-08</t>
        </is>
      </c>
      <c r="L1200" s="19" t="inlineStr">
        <is>
          <t>1014051</t>
        </is>
      </c>
      <c r="M1200" t="inlineStr">
        <is>
          <t>STATUS=IN OEM / EU PACKAGE; SOURCE_CFG=IA-ST-CFG-0087; MARKET=CARANDA ROMANYA</t>
        </is>
      </c>
      <c r="N1200" t="inlineStr">
        <is>
          <t>2026-08-10T19:29:54Z</t>
        </is>
      </c>
      <c r="O1200" t="inlineStr">
        <is>
          <t>2026-08-10T19:29:54Z</t>
        </is>
      </c>
    </row>
    <row r="1201">
      <c r="A1201" s="19" t="inlineStr">
        <is>
          <t>1200</t>
        </is>
      </c>
      <c r="B1201" s="19" t="inlineStr">
        <is>
          <t>1014052</t>
        </is>
      </c>
      <c r="C1201" t="inlineStr">
        <is>
          <t>AKÜ,L5,DK,95AH,VRLA,AGM,NO NAME,CARANDA</t>
        </is>
      </c>
      <c r="D1201" s="19" t="inlineStr">
        <is>
          <t>1</t>
        </is>
      </c>
      <c r="E1201" t="n">
        <v>0</v>
      </c>
      <c r="I1201" s="19" t="inlineStr">
        <is>
          <t>2</t>
        </is>
      </c>
      <c r="J1201" t="inlineStr">
        <is>
          <t>2026-08-08</t>
        </is>
      </c>
      <c r="L1201" s="19" t="inlineStr">
        <is>
          <t>1014052</t>
        </is>
      </c>
      <c r="M1201" t="inlineStr">
        <is>
          <t>STATUS=IN OEM / EU PACKAGE; SOURCE_CFG=IA-ST-CFG-0072; MARKET=CARANDA ROMANYA</t>
        </is>
      </c>
      <c r="N1201" t="inlineStr">
        <is>
          <t>2026-08-10T19:29:54Z</t>
        </is>
      </c>
      <c r="O1201" t="inlineStr">
        <is>
          <t>2026-08-10T19:29:54Z</t>
        </is>
      </c>
    </row>
    <row r="1202">
      <c r="A1202" s="19" t="inlineStr">
        <is>
          <t>1201</t>
        </is>
      </c>
      <c r="B1202" s="19" t="inlineStr">
        <is>
          <t>1014053</t>
        </is>
      </c>
      <c r="C1202" t="inlineStr">
        <is>
          <t>AKÜ,L6,DK,105AH,VRLA,AGM,NO NAME,CARANDA</t>
        </is>
      </c>
      <c r="D1202" s="19" t="inlineStr">
        <is>
          <t>1</t>
        </is>
      </c>
      <c r="E1202" t="n">
        <v>0</v>
      </c>
      <c r="I1202" s="19" t="inlineStr">
        <is>
          <t>2</t>
        </is>
      </c>
      <c r="J1202" t="inlineStr">
        <is>
          <t>2026-08-08</t>
        </is>
      </c>
      <c r="L1202" s="19" t="inlineStr">
        <is>
          <t>1014053</t>
        </is>
      </c>
      <c r="M1202" t="inlineStr">
        <is>
          <t>STATUS=IN OEM / EU PACKAGE; SOURCE_CFG=IA-ST-CFG-0072; MARKET=CARANDA ROMANYA</t>
        </is>
      </c>
      <c r="N1202" t="inlineStr">
        <is>
          <t>2026-08-10T19:29:54Z</t>
        </is>
      </c>
      <c r="O1202" t="inlineStr">
        <is>
          <t>2026-08-10T19:29:54Z</t>
        </is>
      </c>
    </row>
    <row r="1203">
      <c r="A1203" s="19" t="inlineStr">
        <is>
          <t>1202</t>
        </is>
      </c>
      <c r="B1203" s="19" t="inlineStr">
        <is>
          <t>1014054</t>
        </is>
      </c>
      <c r="C1203" t="inlineStr">
        <is>
          <t>AKÜ,L2,DK,60AH,VRLA,BLIZZARO AGMS&amp;S,EURO</t>
        </is>
      </c>
      <c r="D1203" s="19" t="inlineStr">
        <is>
          <t>1</t>
        </is>
      </c>
      <c r="E1203" t="n">
        <v>0</v>
      </c>
      <c r="I1203" s="19" t="inlineStr">
        <is>
          <t>2</t>
        </is>
      </c>
      <c r="J1203" t="inlineStr">
        <is>
          <t>2026-08-08</t>
        </is>
      </c>
      <c r="L1203" s="19" t="inlineStr">
        <is>
          <t>1014054</t>
        </is>
      </c>
      <c r="M1203" t="inlineStr">
        <is>
          <t>STATUS=IN OEM / EU PACKAGE; SOURCE_CFG=IA-ST-CFG-0240; MARKET=None</t>
        </is>
      </c>
      <c r="N1203" t="inlineStr">
        <is>
          <t>2026-08-10T19:29:54Z</t>
        </is>
      </c>
      <c r="O1203" t="inlineStr">
        <is>
          <t>2026-08-10T19:29:54Z</t>
        </is>
      </c>
    </row>
    <row r="1204">
      <c r="A1204" s="19" t="inlineStr">
        <is>
          <t>1203</t>
        </is>
      </c>
      <c r="B1204" s="19" t="inlineStr">
        <is>
          <t>1014055</t>
        </is>
      </c>
      <c r="C1204" t="inlineStr">
        <is>
          <t>AKÜ,L1,DK,45AH,IGYSMF,BLIZ.TRENDLNE,EURO</t>
        </is>
      </c>
      <c r="D1204" s="19" t="inlineStr">
        <is>
          <t>1</t>
        </is>
      </c>
      <c r="E1204" t="n">
        <v>0</v>
      </c>
      <c r="I1204" s="19" t="inlineStr">
        <is>
          <t>2</t>
        </is>
      </c>
      <c r="J1204" t="inlineStr">
        <is>
          <t>2026-08-08</t>
        </is>
      </c>
      <c r="L1204" s="19" t="inlineStr">
        <is>
          <t>1014055</t>
        </is>
      </c>
      <c r="M1204" t="inlineStr">
        <is>
          <t>STATUS=IN OEM / EU PACKAGE; SOURCE_CFG=IA-ST-CFG-0266; MARKET=None</t>
        </is>
      </c>
      <c r="N1204" t="inlineStr">
        <is>
          <t>2026-08-10T19:29:54Z</t>
        </is>
      </c>
      <c r="O1204" t="inlineStr">
        <is>
          <t>2026-08-10T19:29:54Z</t>
        </is>
      </c>
    </row>
    <row r="1205">
      <c r="A1205" s="19" t="inlineStr">
        <is>
          <t>1204</t>
        </is>
      </c>
      <c r="B1205" s="19" t="inlineStr">
        <is>
          <t>1014059</t>
        </is>
      </c>
      <c r="C1205" t="inlineStr">
        <is>
          <t>AKÜ,B-IGYASMF,DK,150AH,İNCİFORMULATAURUS</t>
        </is>
      </c>
      <c r="D1205" s="19" t="inlineStr">
        <is>
          <t>1</t>
        </is>
      </c>
      <c r="E1205" t="n">
        <v>0</v>
      </c>
      <c r="I1205" s="19" t="inlineStr">
        <is>
          <t>2</t>
        </is>
      </c>
      <c r="J1205" t="inlineStr">
        <is>
          <t>2026-08-08</t>
        </is>
      </c>
      <c r="L1205" s="19" t="inlineStr">
        <is>
          <t>1014059</t>
        </is>
      </c>
      <c r="M1205" t="inlineStr">
        <is>
          <t>STATUS=IN OEM / EU PACKAGE; SOURCE_CFG=IA-ST-CFG-0052; MARKET=None</t>
        </is>
      </c>
      <c r="N1205" t="inlineStr">
        <is>
          <t>2026-08-10T19:29:54Z</t>
        </is>
      </c>
      <c r="O1205" t="inlineStr">
        <is>
          <t>2026-08-10T19:29:54Z</t>
        </is>
      </c>
    </row>
    <row r="1206">
      <c r="A1206" s="19" t="inlineStr">
        <is>
          <t>1205</t>
        </is>
      </c>
      <c r="B1206" s="19" t="inlineStr">
        <is>
          <t>1014063</t>
        </is>
      </c>
      <c r="C1206" t="inlineStr">
        <is>
          <t>AKÜ,A-IGYA,DK,135AH,FORMULA,SHDNEW,İÇPYS</t>
        </is>
      </c>
      <c r="D1206" s="19" t="inlineStr">
        <is>
          <t>1</t>
        </is>
      </c>
      <c r="E1206" t="n">
        <v>0</v>
      </c>
      <c r="I1206" s="19" t="inlineStr">
        <is>
          <t>2</t>
        </is>
      </c>
      <c r="J1206" t="inlineStr">
        <is>
          <t>2026-08-08</t>
        </is>
      </c>
      <c r="L1206" s="19" t="inlineStr">
        <is>
          <t>1014063</t>
        </is>
      </c>
      <c r="M1206" t="inlineStr">
        <is>
          <t>STATUS=IN OEM / EU PACKAGE; SOURCE_CFG=IA-ST-CFG-0054; MARKET=YURT İÇİ AFM</t>
        </is>
      </c>
      <c r="N1206" t="inlineStr">
        <is>
          <t>2026-08-10T19:29:54Z</t>
        </is>
      </c>
      <c r="O1206" t="inlineStr">
        <is>
          <t>2026-08-10T19:29:54Z</t>
        </is>
      </c>
    </row>
    <row r="1207">
      <c r="A1207" s="19" t="inlineStr">
        <is>
          <t>1206</t>
        </is>
      </c>
      <c r="B1207" s="19" t="inlineStr">
        <is>
          <t>1014064</t>
        </is>
      </c>
      <c r="C1207" t="inlineStr">
        <is>
          <t>AKÜ,B-IGYA,DK,150AH,FORMULA,SHDNEW,İÇPYS</t>
        </is>
      </c>
      <c r="D1207" s="19" t="inlineStr">
        <is>
          <t>1</t>
        </is>
      </c>
      <c r="E1207" t="n">
        <v>0</v>
      </c>
      <c r="I1207" s="19" t="inlineStr">
        <is>
          <t>2</t>
        </is>
      </c>
      <c r="J1207" t="inlineStr">
        <is>
          <t>2026-08-08</t>
        </is>
      </c>
      <c r="L1207" s="19" t="inlineStr">
        <is>
          <t>1014064</t>
        </is>
      </c>
      <c r="M1207" t="inlineStr">
        <is>
          <t>STATUS=IN OEM / EU PACKAGE; SOURCE_CFG=IA-ST-CFG-0055; MARKET=YURT İÇİ AFM</t>
        </is>
      </c>
      <c r="N1207" t="inlineStr">
        <is>
          <t>2026-08-10T19:29:54Z</t>
        </is>
      </c>
      <c r="O1207" t="inlineStr">
        <is>
          <t>2026-08-10T19:29:54Z</t>
        </is>
      </c>
    </row>
    <row r="1208">
      <c r="A1208" s="19" t="inlineStr">
        <is>
          <t>1207</t>
        </is>
      </c>
      <c r="B1208" s="19" t="inlineStr">
        <is>
          <t>1014065</t>
        </is>
      </c>
      <c r="C1208" t="inlineStr">
        <is>
          <t>AKÜ,B-IGYA,DK,180AH,FORMULA,SHDNEW,İÇPYS</t>
        </is>
      </c>
      <c r="D1208" s="19" t="inlineStr">
        <is>
          <t>1</t>
        </is>
      </c>
      <c r="E1208" t="n">
        <v>0</v>
      </c>
      <c r="I1208" s="19" t="inlineStr">
        <is>
          <t>2</t>
        </is>
      </c>
      <c r="J1208" t="inlineStr">
        <is>
          <t>2026-08-08</t>
        </is>
      </c>
      <c r="L1208" s="19" t="inlineStr">
        <is>
          <t>1014065</t>
        </is>
      </c>
      <c r="M1208" t="inlineStr">
        <is>
          <t>STATUS=IN OEM / EU PACKAGE; SOURCE_CFG=IA-ST-CFG-0055; MARKET=YURT İÇİ AFM</t>
        </is>
      </c>
      <c r="N1208" t="inlineStr">
        <is>
          <t>2026-08-10T19:29:54Z</t>
        </is>
      </c>
      <c r="O1208" t="inlineStr">
        <is>
          <t>2026-08-10T19:29:54Z</t>
        </is>
      </c>
    </row>
    <row r="1209">
      <c r="A1209" s="19" t="inlineStr">
        <is>
          <t>1208</t>
        </is>
      </c>
      <c r="B1209" s="19" t="inlineStr">
        <is>
          <t>1014066</t>
        </is>
      </c>
      <c r="C1209" t="inlineStr">
        <is>
          <t>AKÜ,C-IGYA,DK,225AH,FORMULA,SHDNEW,İÇPYS</t>
        </is>
      </c>
      <c r="D1209" s="19" t="inlineStr">
        <is>
          <t>1</t>
        </is>
      </c>
      <c r="E1209" t="n">
        <v>0</v>
      </c>
      <c r="I1209" s="19" t="inlineStr">
        <is>
          <t>2</t>
        </is>
      </c>
      <c r="J1209" t="inlineStr">
        <is>
          <t>2026-08-08</t>
        </is>
      </c>
      <c r="L1209" s="19" t="inlineStr">
        <is>
          <t>1014066</t>
        </is>
      </c>
      <c r="M1209" t="inlineStr">
        <is>
          <t>STATUS=IN OEM / EU PACKAGE; SOURCE_CFG=IA-ST-CFG-0024; MARKET=YURT İÇİ AFM</t>
        </is>
      </c>
      <c r="N1209" t="inlineStr">
        <is>
          <t>2026-08-10T19:29:54Z</t>
        </is>
      </c>
      <c r="O1209" t="inlineStr">
        <is>
          <t>2026-08-10T19:29:54Z</t>
        </is>
      </c>
    </row>
    <row r="1210">
      <c r="A1210" s="19" t="inlineStr">
        <is>
          <t>1209</t>
        </is>
      </c>
      <c r="B1210" s="19" t="inlineStr">
        <is>
          <t>1014067</t>
        </is>
      </c>
      <c r="C1210" t="inlineStr">
        <is>
          <t>AKÜ,A-IGYASMF,DK,145AH,İNCİMAXIMA,İÇ PYS</t>
        </is>
      </c>
      <c r="D1210" s="19" t="inlineStr">
        <is>
          <t>1</t>
        </is>
      </c>
      <c r="E1210" t="n">
        <v>0</v>
      </c>
      <c r="I1210" s="19" t="inlineStr">
        <is>
          <t>2</t>
        </is>
      </c>
      <c r="J1210" t="inlineStr">
        <is>
          <t>2026-08-08</t>
        </is>
      </c>
      <c r="L1210" s="19" t="inlineStr">
        <is>
          <t>1014067</t>
        </is>
      </c>
      <c r="M1210" t="inlineStr">
        <is>
          <t>STATUS=IN OEM / EU PACKAGE; SOURCE_CFG=IA-ST-CFG-0054; MARKET=YURT İÇİ AFM</t>
        </is>
      </c>
      <c r="N1210" t="inlineStr">
        <is>
          <t>2026-08-10T19:29:54Z</t>
        </is>
      </c>
      <c r="O1210" t="inlineStr">
        <is>
          <t>2026-08-10T19:29:54Z</t>
        </is>
      </c>
    </row>
    <row r="1211">
      <c r="A1211" s="19" t="inlineStr">
        <is>
          <t>1210</t>
        </is>
      </c>
      <c r="B1211" s="19" t="inlineStr">
        <is>
          <t>1014068</t>
        </is>
      </c>
      <c r="C1211" t="inlineStr">
        <is>
          <t>AKÜ,B-IGYASMF,DK,190AH,İNCİMAXIMA,İÇ PYS</t>
        </is>
      </c>
      <c r="D1211" s="19" t="inlineStr">
        <is>
          <t>1</t>
        </is>
      </c>
      <c r="E1211" t="n">
        <v>0</v>
      </c>
      <c r="I1211" s="19" t="inlineStr">
        <is>
          <t>2</t>
        </is>
      </c>
      <c r="J1211" t="inlineStr">
        <is>
          <t>2026-08-08</t>
        </is>
      </c>
      <c r="L1211" s="19" t="inlineStr">
        <is>
          <t>1014068</t>
        </is>
      </c>
      <c r="M1211" t="inlineStr">
        <is>
          <t>STATUS=IN OEM / EU PACKAGE; SOURCE_CFG=IA-ST-CFG-0055; MARKET=YURT İÇİ AFM</t>
        </is>
      </c>
      <c r="N1211" t="inlineStr">
        <is>
          <t>2026-08-10T19:29:54Z</t>
        </is>
      </c>
      <c r="O1211" t="inlineStr">
        <is>
          <t>2026-08-10T19:29:54Z</t>
        </is>
      </c>
    </row>
    <row r="1212">
      <c r="A1212" s="19" t="inlineStr">
        <is>
          <t>1211</t>
        </is>
      </c>
      <c r="B1212" s="19" t="inlineStr">
        <is>
          <t>1014069</t>
        </is>
      </c>
      <c r="C1212" t="inlineStr">
        <is>
          <t>AKÜ,C-IGYASMF,DK,250AH,İNCİMAXIMA,İÇ PYS</t>
        </is>
      </c>
      <c r="D1212" s="19" t="inlineStr">
        <is>
          <t>1</t>
        </is>
      </c>
      <c r="E1212" t="n">
        <v>0</v>
      </c>
      <c r="I1212" s="19" t="inlineStr">
        <is>
          <t>2</t>
        </is>
      </c>
      <c r="J1212" t="inlineStr">
        <is>
          <t>2026-08-08</t>
        </is>
      </c>
      <c r="L1212" s="19" t="inlineStr">
        <is>
          <t>1014069</t>
        </is>
      </c>
      <c r="M1212" t="inlineStr">
        <is>
          <t>STATUS=IN OEM / EU PACKAGE; SOURCE_CFG=IA-ST-CFG-0024; MARKET=YURT İÇİ AFM</t>
        </is>
      </c>
      <c r="N1212" t="inlineStr">
        <is>
          <t>2026-08-10T19:29:54Z</t>
        </is>
      </c>
      <c r="O1212" t="inlineStr">
        <is>
          <t>2026-08-10T19:29:54Z</t>
        </is>
      </c>
    </row>
    <row r="1213">
      <c r="A1213" s="19" t="inlineStr">
        <is>
          <t>1212</t>
        </is>
      </c>
      <c r="B1213" s="19" t="inlineStr">
        <is>
          <t>1014070</t>
        </is>
      </c>
      <c r="C1213" t="inlineStr">
        <is>
          <t>AKÜ,B-IGYASMF,DK,185AH,İNCİEFBPANT,İÇPYS</t>
        </is>
      </c>
      <c r="D1213" s="19" t="inlineStr">
        <is>
          <t>1</t>
        </is>
      </c>
      <c r="E1213" t="n">
        <v>0</v>
      </c>
      <c r="I1213" s="19" t="inlineStr">
        <is>
          <t>2</t>
        </is>
      </c>
      <c r="J1213" t="inlineStr">
        <is>
          <t>2026-08-08</t>
        </is>
      </c>
      <c r="L1213" s="19" t="inlineStr">
        <is>
          <t>1014070</t>
        </is>
      </c>
      <c r="M1213" t="inlineStr">
        <is>
          <t>STATUS=IN OEM / EU PACKAGE; SOURCE_CFG=IA-ST-CFG-0055; MARKET=YURT İÇİ AFM</t>
        </is>
      </c>
      <c r="N1213" t="inlineStr">
        <is>
          <t>2026-08-10T19:29:54Z</t>
        </is>
      </c>
      <c r="O1213" t="inlineStr">
        <is>
          <t>2026-08-10T19:29:54Z</t>
        </is>
      </c>
    </row>
    <row r="1214">
      <c r="A1214" s="19" t="inlineStr">
        <is>
          <t>1213</t>
        </is>
      </c>
      <c r="B1214" s="19" t="inlineStr">
        <is>
          <t>1014071</t>
        </is>
      </c>
      <c r="C1214" t="inlineStr">
        <is>
          <t>AKÜ,C-IGYASMF,DK,230AH,İNCİEFBPANT,İÇPYS</t>
        </is>
      </c>
      <c r="D1214" s="19" t="inlineStr">
        <is>
          <t>1</t>
        </is>
      </c>
      <c r="E1214" t="n">
        <v>0</v>
      </c>
      <c r="I1214" s="19" t="inlineStr">
        <is>
          <t>2</t>
        </is>
      </c>
      <c r="J1214" t="inlineStr">
        <is>
          <t>2026-08-08</t>
        </is>
      </c>
      <c r="L1214" s="19" t="inlineStr">
        <is>
          <t>1014071</t>
        </is>
      </c>
      <c r="M1214" t="inlineStr">
        <is>
          <t>STATUS=IN OEM / EU PACKAGE; SOURCE_CFG=IA-ST-CFG-0024; MARKET=YURT İÇİ AFM</t>
        </is>
      </c>
      <c r="N1214" t="inlineStr">
        <is>
          <t>2026-08-10T19:29:54Z</t>
        </is>
      </c>
      <c r="O1214" t="inlineStr">
        <is>
          <t>2026-08-10T19:29:54Z</t>
        </is>
      </c>
    </row>
    <row r="1215">
      <c r="A1215" s="19" t="inlineStr">
        <is>
          <t>1214</t>
        </is>
      </c>
      <c r="B1215" s="19" t="inlineStr">
        <is>
          <t>1014075</t>
        </is>
      </c>
      <c r="C1215" t="inlineStr">
        <is>
          <t>AKÜ,C-IGYASMF,DK,225AH,Y3000SHDNEW,İÇPYS</t>
        </is>
      </c>
      <c r="D1215" s="19" t="inlineStr">
        <is>
          <t>1</t>
        </is>
      </c>
      <c r="E1215" t="n">
        <v>0</v>
      </c>
      <c r="I1215" s="19" t="inlineStr">
        <is>
          <t>2</t>
        </is>
      </c>
      <c r="J1215" t="inlineStr">
        <is>
          <t>2026-08-08</t>
        </is>
      </c>
      <c r="L1215" s="19" t="inlineStr">
        <is>
          <t>1014075</t>
        </is>
      </c>
      <c r="M1215" t="inlineStr">
        <is>
          <t>STATUS=IN OEM / EU PACKAGE; SOURCE_CFG=IA-ST-CFG-0024; MARKET=YURT İÇİ AFM</t>
        </is>
      </c>
      <c r="N1215" t="inlineStr">
        <is>
          <t>2026-08-10T19:29:54Z</t>
        </is>
      </c>
      <c r="O1215" t="inlineStr">
        <is>
          <t>2026-08-10T19:29:54Z</t>
        </is>
      </c>
    </row>
    <row r="1216">
      <c r="A1216" s="19" t="inlineStr">
        <is>
          <t>1215</t>
        </is>
      </c>
      <c r="B1216" s="19" t="inlineStr">
        <is>
          <t>1014076</t>
        </is>
      </c>
      <c r="C1216" t="inlineStr">
        <is>
          <t>AKÜ,A-IGYA SMF,DK,145AH,Y5000,İÇ PYS</t>
        </is>
      </c>
      <c r="D1216" s="19" t="inlineStr">
        <is>
          <t>1</t>
        </is>
      </c>
      <c r="E1216" t="n">
        <v>0</v>
      </c>
      <c r="I1216" s="19" t="inlineStr">
        <is>
          <t>2</t>
        </is>
      </c>
      <c r="J1216" t="inlineStr">
        <is>
          <t>2026-08-08</t>
        </is>
      </c>
      <c r="L1216" s="19" t="inlineStr">
        <is>
          <t>1014076</t>
        </is>
      </c>
      <c r="M1216" t="inlineStr">
        <is>
          <t>STATUS=IN OEM / EU PACKAGE; SOURCE_CFG=IA-ST-CFG-0054; MARKET=YURT İÇİ AFM</t>
        </is>
      </c>
      <c r="N1216" t="inlineStr">
        <is>
          <t>2026-08-10T19:29:54Z</t>
        </is>
      </c>
      <c r="O1216" t="inlineStr">
        <is>
          <t>2026-08-10T19:29:54Z</t>
        </is>
      </c>
    </row>
    <row r="1217">
      <c r="A1217" s="19" t="inlineStr">
        <is>
          <t>1216</t>
        </is>
      </c>
      <c r="B1217" s="19" t="inlineStr">
        <is>
          <t>1014077</t>
        </is>
      </c>
      <c r="C1217" t="inlineStr">
        <is>
          <t>AKÜ,B-IGYA SMF,DK,190AH,Y5000,İÇ PYS</t>
        </is>
      </c>
      <c r="D1217" s="19" t="inlineStr">
        <is>
          <t>1</t>
        </is>
      </c>
      <c r="E1217" t="n">
        <v>0</v>
      </c>
      <c r="I1217" s="19" t="inlineStr">
        <is>
          <t>2</t>
        </is>
      </c>
      <c r="J1217" t="inlineStr">
        <is>
          <t>2026-08-08</t>
        </is>
      </c>
      <c r="L1217" s="19" t="inlineStr">
        <is>
          <t>1014077</t>
        </is>
      </c>
      <c r="M1217" t="inlineStr">
        <is>
          <t>STATUS=IN OEM / EU PACKAGE; SOURCE_CFG=IA-ST-CFG-0055; MARKET=YURT İÇİ AFM</t>
        </is>
      </c>
      <c r="N1217" t="inlineStr">
        <is>
          <t>2026-08-10T19:29:54Z</t>
        </is>
      </c>
      <c r="O1217" t="inlineStr">
        <is>
          <t>2026-08-10T19:29:54Z</t>
        </is>
      </c>
    </row>
    <row r="1218">
      <c r="A1218" s="19" t="inlineStr">
        <is>
          <t>1217</t>
        </is>
      </c>
      <c r="B1218" s="19" t="inlineStr">
        <is>
          <t>1014078</t>
        </is>
      </c>
      <c r="C1218" t="inlineStr">
        <is>
          <t>AKÜ,C-IGYA SMF,DK,250AH,Y5000,İÇ PYS</t>
        </is>
      </c>
      <c r="D1218" s="19" t="inlineStr">
        <is>
          <t>1</t>
        </is>
      </c>
      <c r="E1218" t="n">
        <v>0</v>
      </c>
      <c r="I1218" s="19" t="inlineStr">
        <is>
          <t>2</t>
        </is>
      </c>
      <c r="J1218" t="inlineStr">
        <is>
          <t>2026-08-08</t>
        </is>
      </c>
      <c r="L1218" s="19" t="inlineStr">
        <is>
          <t>1014078</t>
        </is>
      </c>
      <c r="M1218" t="inlineStr">
        <is>
          <t>STATUS=IN OEM / EU PACKAGE; SOURCE_CFG=IA-ST-CFG-0024; MARKET=YURT İÇİ AFM</t>
        </is>
      </c>
      <c r="N1218" t="inlineStr">
        <is>
          <t>2026-08-10T19:29:54Z</t>
        </is>
      </c>
      <c r="O1218" t="inlineStr">
        <is>
          <t>2026-08-10T19:29:54Z</t>
        </is>
      </c>
    </row>
    <row r="1219">
      <c r="A1219" s="19" t="inlineStr">
        <is>
          <t>1218</t>
        </is>
      </c>
      <c r="B1219" s="19" t="inlineStr">
        <is>
          <t>1014080</t>
        </is>
      </c>
      <c r="C1219" t="inlineStr">
        <is>
          <t>AKÜ,C-IGYA SMF,DK,230AH,Y7000,İÇ PYS</t>
        </is>
      </c>
      <c r="D1219" s="19" t="inlineStr">
        <is>
          <t>1</t>
        </is>
      </c>
      <c r="E1219" t="n">
        <v>0</v>
      </c>
      <c r="I1219" s="19" t="inlineStr">
        <is>
          <t>2</t>
        </is>
      </c>
      <c r="J1219" t="inlineStr">
        <is>
          <t>2026-08-08</t>
        </is>
      </c>
      <c r="L1219" s="19" t="inlineStr">
        <is>
          <t>1014080</t>
        </is>
      </c>
      <c r="M1219" t="inlineStr">
        <is>
          <t>STATUS=IN OEM / EU PACKAGE; SOURCE_CFG=IA-ST-CFG-0024; MARKET=YURT İÇİ AFM</t>
        </is>
      </c>
      <c r="N1219" t="inlineStr">
        <is>
          <t>2026-08-10T19:29:54Z</t>
        </is>
      </c>
      <c r="O1219" t="inlineStr">
        <is>
          <t>2026-08-10T19:29:54Z</t>
        </is>
      </c>
    </row>
    <row r="1220">
      <c r="A1220" s="19" t="inlineStr">
        <is>
          <t>1219</t>
        </is>
      </c>
      <c r="B1220" s="19" t="inlineStr">
        <is>
          <t>1014085</t>
        </is>
      </c>
      <c r="C1220" t="inlineStr">
        <is>
          <t>AKÜ,A-FLAT,DK,120AH,NO NAME,PARTS</t>
        </is>
      </c>
      <c r="D1220" s="19" t="inlineStr">
        <is>
          <t>1</t>
        </is>
      </c>
      <c r="E1220" t="n">
        <v>0</v>
      </c>
      <c r="I1220" s="19" t="inlineStr">
        <is>
          <t>2</t>
        </is>
      </c>
      <c r="J1220" t="inlineStr">
        <is>
          <t>2026-08-08</t>
        </is>
      </c>
      <c r="L1220" s="19" t="inlineStr">
        <is>
          <t>1014085</t>
        </is>
      </c>
      <c r="M1220" t="inlineStr">
        <is>
          <t>STATUS=IN OEM / EU PACKAGE; SOURCE_CFG=IA-ST-CFG-0038; MARKET=CAR PARTS DISTRIBUZIONE İTALYA</t>
        </is>
      </c>
      <c r="N1220" t="inlineStr">
        <is>
          <t>2026-08-10T19:29:54Z</t>
        </is>
      </c>
      <c r="O1220" t="inlineStr">
        <is>
          <t>2026-08-10T19:29:54Z</t>
        </is>
      </c>
    </row>
    <row r="1221">
      <c r="A1221" s="19" t="inlineStr">
        <is>
          <t>1220</t>
        </is>
      </c>
      <c r="B1221" s="19" t="inlineStr">
        <is>
          <t>1014091</t>
        </is>
      </c>
      <c r="C1221" t="inlineStr">
        <is>
          <t>AKÜ,L1,DK,50AH,IGYA,HUGEL ULTRA,SHAWKAT</t>
        </is>
      </c>
      <c r="D1221" s="19" t="inlineStr">
        <is>
          <t>1</t>
        </is>
      </c>
      <c r="E1221" t="n">
        <v>0</v>
      </c>
      <c r="I1221" s="19" t="inlineStr">
        <is>
          <t>2</t>
        </is>
      </c>
      <c r="J1221" t="inlineStr">
        <is>
          <t>2026-08-08</t>
        </is>
      </c>
      <c r="L1221" s="19" t="inlineStr">
        <is>
          <t>1014091</t>
        </is>
      </c>
      <c r="M1221" t="inlineStr">
        <is>
          <t>STATUS=IN OEM / EU PACKAGE; SOURCE_CFG=IA-ST-CFG-0248; MARKET=SHAWKAT</t>
        </is>
      </c>
      <c r="N1221" t="inlineStr">
        <is>
          <t>2026-08-10T19:29:54Z</t>
        </is>
      </c>
      <c r="O1221" t="inlineStr">
        <is>
          <t>2026-08-10T19:29:54Z</t>
        </is>
      </c>
    </row>
    <row r="1222">
      <c r="A1222" s="19" t="inlineStr">
        <is>
          <t>1221</t>
        </is>
      </c>
      <c r="B1222" s="19" t="inlineStr">
        <is>
          <t>1014094</t>
        </is>
      </c>
      <c r="C1222" t="inlineStr">
        <is>
          <t>AKÜ,L6,DK,110AH,KAMINA,SILVER,SCHNAPP</t>
        </is>
      </c>
      <c r="D1222" s="19" t="inlineStr">
        <is>
          <t>1</t>
        </is>
      </c>
      <c r="E1222" t="n">
        <v>0</v>
      </c>
      <c r="I1222" s="19" t="inlineStr">
        <is>
          <t>2</t>
        </is>
      </c>
      <c r="J1222" t="inlineStr">
        <is>
          <t>2026-08-08</t>
        </is>
      </c>
      <c r="L1222" s="19" t="inlineStr">
        <is>
          <t>1014094</t>
        </is>
      </c>
      <c r="M1222" t="inlineStr">
        <is>
          <t>STATUS=IN OEM / EU PACKAGE; SOURCE_CFG=IA-ST-CFG-0083; MARKET=SCHNAPP</t>
        </is>
      </c>
      <c r="N1222" t="inlineStr">
        <is>
          <t>2026-08-10T19:29:54Z</t>
        </is>
      </c>
      <c r="O1222" t="inlineStr">
        <is>
          <t>2026-08-10T19:29:54Z</t>
        </is>
      </c>
    </row>
    <row r="1223">
      <c r="A1223" s="19" t="inlineStr">
        <is>
          <t>1222</t>
        </is>
      </c>
      <c r="B1223" s="19" t="inlineStr">
        <is>
          <t>1014095</t>
        </is>
      </c>
      <c r="C1223" t="inlineStr">
        <is>
          <t>AKÜ,LB3,DK,65AH,IGYA SMF,EFB S&amp;S,SCHNAPP</t>
        </is>
      </c>
      <c r="D1223" s="19" t="inlineStr">
        <is>
          <t>1</t>
        </is>
      </c>
      <c r="E1223" t="n">
        <v>0</v>
      </c>
      <c r="I1223" s="19" t="inlineStr">
        <is>
          <t>2</t>
        </is>
      </c>
      <c r="J1223" t="inlineStr">
        <is>
          <t>2026-08-08</t>
        </is>
      </c>
      <c r="L1223" s="19" t="inlineStr">
        <is>
          <t>1014095</t>
        </is>
      </c>
      <c r="M1223" t="inlineStr">
        <is>
          <t>STATUS=IN OEM / EU PACKAGE; SOURCE_CFG=IA-ST-CFG-0185; MARKET=SCHNAPP</t>
        </is>
      </c>
      <c r="N1223" t="inlineStr">
        <is>
          <t>2026-08-10T19:29:54Z</t>
        </is>
      </c>
      <c r="O1223" t="inlineStr">
        <is>
          <t>2026-08-10T19:29:54Z</t>
        </is>
      </c>
    </row>
    <row r="1224">
      <c r="A1224" s="19" t="inlineStr">
        <is>
          <t>1223</t>
        </is>
      </c>
      <c r="B1224" s="19" t="inlineStr">
        <is>
          <t>1014113</t>
        </is>
      </c>
      <c r="C1224" t="inlineStr">
        <is>
          <t>AKÜ,D23,DK,65AH,IGYSMF,HUGELEFBS&amp;S,YDIŞI</t>
        </is>
      </c>
      <c r="D1224" s="19" t="inlineStr">
        <is>
          <t>1</t>
        </is>
      </c>
      <c r="E1224" t="n">
        <v>0</v>
      </c>
      <c r="I1224" s="19" t="inlineStr">
        <is>
          <t>2</t>
        </is>
      </c>
      <c r="J1224" t="inlineStr">
        <is>
          <t>2026-08-08</t>
        </is>
      </c>
      <c r="L1224" s="19" t="inlineStr">
        <is>
          <t>1014113</t>
        </is>
      </c>
      <c r="M1224" t="inlineStr">
        <is>
          <t>STATUS=IN OEM / EU PACKAGE; SOURCE_CFG=IA-ST-CFG-0219; MARKET=None</t>
        </is>
      </c>
      <c r="N1224" t="inlineStr">
        <is>
          <t>2026-08-10T19:29:54Z</t>
        </is>
      </c>
      <c r="O1224" t="inlineStr">
        <is>
          <t>2026-08-10T19:29:54Z</t>
        </is>
      </c>
    </row>
    <row r="1225">
      <c r="A1225" s="19" t="inlineStr">
        <is>
          <t>1224</t>
        </is>
      </c>
      <c r="B1225" s="19" t="inlineStr">
        <is>
          <t>1014117</t>
        </is>
      </c>
      <c r="C1225" t="inlineStr">
        <is>
          <t>AKÜ,D31,DK105AH,IGYA,İNCİFORMULATAURUS</t>
        </is>
      </c>
      <c r="D1225" s="19" t="inlineStr">
        <is>
          <t>1</t>
        </is>
      </c>
      <c r="E1225" t="n">
        <v>0</v>
      </c>
      <c r="I1225" s="19" t="inlineStr">
        <is>
          <t>2</t>
        </is>
      </c>
      <c r="J1225" t="inlineStr">
        <is>
          <t>2026-08-08</t>
        </is>
      </c>
      <c r="L1225" s="19" t="inlineStr">
        <is>
          <t>1014117</t>
        </is>
      </c>
      <c r="M1225" t="inlineStr">
        <is>
          <t>STATUS=IN OEM / EU PACKAGE; SOURCE_CFG=IA-ST-CFG-0143; MARKET=None</t>
        </is>
      </c>
      <c r="N1225" t="inlineStr">
        <is>
          <t>2026-08-10T19:29:54Z</t>
        </is>
      </c>
      <c r="O1225" t="inlineStr">
        <is>
          <t>2026-08-10T19:29:54Z</t>
        </is>
      </c>
    </row>
    <row r="1226">
      <c r="A1226" s="19" t="inlineStr">
        <is>
          <t>1225</t>
        </is>
      </c>
      <c r="B1226" s="19" t="inlineStr">
        <is>
          <t>1014118</t>
        </is>
      </c>
      <c r="C1226" t="inlineStr">
        <is>
          <t>AKÜ,LB2,DK,60AH,IGYA,ELECTRA,TÜRKMENİSTN</t>
        </is>
      </c>
      <c r="D1226" s="19" t="inlineStr">
        <is>
          <t>1</t>
        </is>
      </c>
      <c r="E1226" t="n">
        <v>0</v>
      </c>
      <c r="I1226" s="19" t="inlineStr">
        <is>
          <t>2</t>
        </is>
      </c>
      <c r="J1226" t="inlineStr">
        <is>
          <t>2026-08-08</t>
        </is>
      </c>
      <c r="L1226" s="19" t="inlineStr">
        <is>
          <t>1014118</t>
        </is>
      </c>
      <c r="M1226" t="inlineStr">
        <is>
          <t>STATUS=IN OEM / EU PACKAGE; SOURCE_CFG=IA-ST-CFG-0222; MARKET=TÜRKMENİSTAN</t>
        </is>
      </c>
      <c r="N1226" t="inlineStr">
        <is>
          <t>2026-08-10T19:29:54Z</t>
        </is>
      </c>
      <c r="O1226" t="inlineStr">
        <is>
          <t>2026-08-10T19:29:54Z</t>
        </is>
      </c>
    </row>
    <row r="1227">
      <c r="A1227" s="19" t="inlineStr">
        <is>
          <t>1226</t>
        </is>
      </c>
      <c r="B1227" s="19" t="inlineStr">
        <is>
          <t>1014119</t>
        </is>
      </c>
      <c r="C1227" t="inlineStr">
        <is>
          <t>AKÜ,LB2,DK,60AH,IGYA,HI-TECH,TÜRKMENİSTN</t>
        </is>
      </c>
      <c r="D1227" s="19" t="inlineStr">
        <is>
          <t>1</t>
        </is>
      </c>
      <c r="E1227" t="n">
        <v>0</v>
      </c>
      <c r="I1227" s="19" t="inlineStr">
        <is>
          <t>2</t>
        </is>
      </c>
      <c r="J1227" t="inlineStr">
        <is>
          <t>2026-08-08</t>
        </is>
      </c>
      <c r="L1227" s="19" t="inlineStr">
        <is>
          <t>1014119</t>
        </is>
      </c>
      <c r="M1227" t="inlineStr">
        <is>
          <t>STATUS=IN OEM / EU PACKAGE; SOURCE_CFG=IA-ST-CFG-0222; MARKET=TÜRKMENİSTAN</t>
        </is>
      </c>
      <c r="N1227" t="inlineStr">
        <is>
          <t>2026-08-10T19:29:54Z</t>
        </is>
      </c>
      <c r="O1227" t="inlineStr">
        <is>
          <t>2026-08-10T19:29:54Z</t>
        </is>
      </c>
    </row>
    <row r="1228">
      <c r="A1228" s="19" t="inlineStr">
        <is>
          <t>1227</t>
        </is>
      </c>
      <c r="B1228" s="19" t="inlineStr">
        <is>
          <t>1014130</t>
        </is>
      </c>
      <c r="C1228" t="inlineStr">
        <is>
          <t>AKÜ AGM,L6,DK,105AH,İNCİ AGM LEO,YD</t>
        </is>
      </c>
      <c r="D1228" s="19" t="inlineStr">
        <is>
          <t>1</t>
        </is>
      </c>
      <c r="E1228" t="n">
        <v>0</v>
      </c>
      <c r="I1228" s="19" t="inlineStr">
        <is>
          <t>2</t>
        </is>
      </c>
      <c r="J1228" t="inlineStr">
        <is>
          <t>2026-08-08</t>
        </is>
      </c>
      <c r="L1228" s="19" t="inlineStr">
        <is>
          <t>1014130</t>
        </is>
      </c>
      <c r="M1228" t="inlineStr">
        <is>
          <t>STATUS=IN OEM / EU PACKAGE; SOURCE_CFG=IA-ST-CFG-0080; MARKET=None</t>
        </is>
      </c>
      <c r="N1228" t="inlineStr">
        <is>
          <t>2026-08-10T19:29:54Z</t>
        </is>
      </c>
      <c r="O1228" t="inlineStr">
        <is>
          <t>2026-08-10T19:29:54Z</t>
        </is>
      </c>
    </row>
    <row r="1229">
      <c r="A1229" s="19" t="inlineStr">
        <is>
          <t>1228</t>
        </is>
      </c>
      <c r="B1229" s="19" t="inlineStr">
        <is>
          <t>1014140</t>
        </is>
      </c>
      <c r="C1229" t="inlineStr">
        <is>
          <t>AKÜ,L0,DK40AH,DINNEW,GRİSYH,SILVER,SCHNP</t>
        </is>
      </c>
      <c r="D1229" s="19" t="inlineStr">
        <is>
          <t>1</t>
        </is>
      </c>
      <c r="E1229" t="n">
        <v>0</v>
      </c>
      <c r="I1229" s="19" t="inlineStr">
        <is>
          <t>2</t>
        </is>
      </c>
      <c r="J1229" t="inlineStr">
        <is>
          <t>2026-08-08</t>
        </is>
      </c>
      <c r="L1229" s="19" t="inlineStr">
        <is>
          <t>1014140</t>
        </is>
      </c>
      <c r="M1229" t="inlineStr">
        <is>
          <t>STATUS=IN OEM / EU PACKAGE; SOURCE_CFG=IA-ST-CFG-0263; MARKET=SCHNAPP</t>
        </is>
      </c>
      <c r="N1229" t="inlineStr">
        <is>
          <t>2026-08-10T19:29:54Z</t>
        </is>
      </c>
      <c r="O1229" t="inlineStr">
        <is>
          <t>2026-08-10T19:29:54Z</t>
        </is>
      </c>
    </row>
    <row r="1230">
      <c r="A1230" s="19" t="inlineStr">
        <is>
          <t>1229</t>
        </is>
      </c>
      <c r="B1230" s="19" t="inlineStr">
        <is>
          <t>1014141</t>
        </is>
      </c>
      <c r="C1230" t="inlineStr">
        <is>
          <t>AKÜ,LB2,DK,63AH,IGYASMF,BOOSTERCARBONMAX</t>
        </is>
      </c>
      <c r="D1230" s="19" t="inlineStr">
        <is>
          <t>1</t>
        </is>
      </c>
      <c r="E1230" t="n">
        <v>0</v>
      </c>
      <c r="I1230" s="19" t="inlineStr">
        <is>
          <t>2</t>
        </is>
      </c>
      <c r="J1230" t="inlineStr">
        <is>
          <t>2026-08-08</t>
        </is>
      </c>
      <c r="L1230" s="19" t="inlineStr">
        <is>
          <t>1014141</t>
        </is>
      </c>
      <c r="M1230" t="inlineStr">
        <is>
          <t>STATUS=IN OEM / EU PACKAGE; SOURCE_CFG=IA-ST-CFG-0240; MARKET=BOOSTER</t>
        </is>
      </c>
      <c r="N1230" t="inlineStr">
        <is>
          <t>2026-08-10T19:29:54Z</t>
        </is>
      </c>
      <c r="O1230" t="inlineStr">
        <is>
          <t>2026-08-10T19:29:54Z</t>
        </is>
      </c>
    </row>
    <row r="1231">
      <c r="A1231" s="19" t="inlineStr">
        <is>
          <t>1230</t>
        </is>
      </c>
      <c r="B1231" s="19" t="inlineStr">
        <is>
          <t>1014142</t>
        </is>
      </c>
      <c r="C1231" t="inlineStr">
        <is>
          <t>AKÜ,LB3,DK,73AH,IGYASMF,BOOSTERCARBONMAX</t>
        </is>
      </c>
      <c r="D1231" s="19" t="inlineStr">
        <is>
          <t>1</t>
        </is>
      </c>
      <c r="E1231" t="n">
        <v>0</v>
      </c>
      <c r="I1231" s="19" t="inlineStr">
        <is>
          <t>2</t>
        </is>
      </c>
      <c r="J1231" t="inlineStr">
        <is>
          <t>2026-08-08</t>
        </is>
      </c>
      <c r="L1231" s="19" t="inlineStr">
        <is>
          <t>1014142</t>
        </is>
      </c>
      <c r="M1231" t="inlineStr">
        <is>
          <t>STATUS=IN OEM / EU PACKAGE; SOURCE_CFG=IA-ST-CFG-0199; MARKET=BOOSTER</t>
        </is>
      </c>
      <c r="N1231" t="inlineStr">
        <is>
          <t>2026-08-10T19:29:54Z</t>
        </is>
      </c>
      <c r="O1231" t="inlineStr">
        <is>
          <t>2026-08-10T19:29:54Z</t>
        </is>
      </c>
    </row>
    <row r="1232">
      <c r="A1232" s="19" t="inlineStr">
        <is>
          <t>1231</t>
        </is>
      </c>
      <c r="B1232" s="19" t="inlineStr">
        <is>
          <t>1014143</t>
        </is>
      </c>
      <c r="C1232" t="inlineStr">
        <is>
          <t>AKÜ,L3,DK,82AH,IGYASMF,BOOSTER CARBONMAX</t>
        </is>
      </c>
      <c r="D1232" s="19" t="inlineStr">
        <is>
          <t>1</t>
        </is>
      </c>
      <c r="E1232" t="n">
        <v>0</v>
      </c>
      <c r="I1232" s="19" t="inlineStr">
        <is>
          <t>2</t>
        </is>
      </c>
      <c r="J1232" t="inlineStr">
        <is>
          <t>2026-08-08</t>
        </is>
      </c>
      <c r="L1232" s="19" t="inlineStr">
        <is>
          <t>1014143</t>
        </is>
      </c>
      <c r="M1232" t="inlineStr">
        <is>
          <t>STATUS=IN OEM / EU PACKAGE; SOURCE_CFG=IA-ST-CFG-0200; MARKET=BOOSTER</t>
        </is>
      </c>
      <c r="N1232" t="inlineStr">
        <is>
          <t>2026-08-10T19:29:54Z</t>
        </is>
      </c>
      <c r="O1232" t="inlineStr">
        <is>
          <t>2026-08-10T19:29:54Z</t>
        </is>
      </c>
    </row>
    <row r="1233">
      <c r="A1233" s="19" t="inlineStr">
        <is>
          <t>1232</t>
        </is>
      </c>
      <c r="B1233" s="19" t="inlineStr">
        <is>
          <t>1014144</t>
        </is>
      </c>
      <c r="C1233" t="inlineStr">
        <is>
          <t>AKÜ,L5,DK,104AH,IGYASMF,BOOSTERCARBONMAX</t>
        </is>
      </c>
      <c r="D1233" s="19" t="inlineStr">
        <is>
          <t>1</t>
        </is>
      </c>
      <c r="E1233" t="n">
        <v>0</v>
      </c>
      <c r="I1233" s="19" t="inlineStr">
        <is>
          <t>2</t>
        </is>
      </c>
      <c r="J1233" t="inlineStr">
        <is>
          <t>2026-08-08</t>
        </is>
      </c>
      <c r="L1233" s="19" t="inlineStr">
        <is>
          <t>1014144</t>
        </is>
      </c>
      <c r="M1233" t="inlineStr">
        <is>
          <t>STATUS=IN OEM / EU PACKAGE; SOURCE_CFG=IA-ST-CFG-0116; MARKET=BOOSTER</t>
        </is>
      </c>
      <c r="N1233" t="inlineStr">
        <is>
          <t>2026-08-10T19:29:54Z</t>
        </is>
      </c>
      <c r="O1233" t="inlineStr">
        <is>
          <t>2026-08-10T19:29:54Z</t>
        </is>
      </c>
    </row>
    <row r="1234">
      <c r="A1234" s="19" t="inlineStr">
        <is>
          <t>1233</t>
        </is>
      </c>
      <c r="B1234" s="19" t="inlineStr">
        <is>
          <t>1014145</t>
        </is>
      </c>
      <c r="C1234" t="inlineStr">
        <is>
          <t>AKÜ,D31,TK,101AH,IGYSMF,BOOSTERCARBONMAX</t>
        </is>
      </c>
      <c r="D1234" s="19" t="inlineStr">
        <is>
          <t>1</t>
        </is>
      </c>
      <c r="E1234" t="n">
        <v>0</v>
      </c>
      <c r="I1234" s="19" t="inlineStr">
        <is>
          <t>2</t>
        </is>
      </c>
      <c r="J1234" t="inlineStr">
        <is>
          <t>2026-08-08</t>
        </is>
      </c>
      <c r="L1234" s="19" t="inlineStr">
        <is>
          <t>1014145</t>
        </is>
      </c>
      <c r="M1234" t="inlineStr">
        <is>
          <t>STATUS=IN OEM / EU PACKAGE; SOURCE_CFG=IA-ST-CFG-0115; MARKET=BOOSTER</t>
        </is>
      </c>
      <c r="N1234" t="inlineStr">
        <is>
          <t>2026-08-10T19:29:54Z</t>
        </is>
      </c>
      <c r="O1234" t="inlineStr">
        <is>
          <t>2026-08-10T19:29:54Z</t>
        </is>
      </c>
    </row>
    <row r="1235">
      <c r="A1235" s="19" t="inlineStr">
        <is>
          <t>1234</t>
        </is>
      </c>
      <c r="B1235" s="19" t="inlineStr">
        <is>
          <t>1014146</t>
        </is>
      </c>
      <c r="C1235" t="inlineStr">
        <is>
          <t>AKÜ,D31,DK,101AH,IGYSMF,BOOSTERCARBONMAX</t>
        </is>
      </c>
      <c r="D1235" s="19" t="inlineStr">
        <is>
          <t>1</t>
        </is>
      </c>
      <c r="E1235" t="n">
        <v>0</v>
      </c>
      <c r="I1235" s="19" t="inlineStr">
        <is>
          <t>2</t>
        </is>
      </c>
      <c r="J1235" t="inlineStr">
        <is>
          <t>2026-08-08</t>
        </is>
      </c>
      <c r="L1235" s="19" t="inlineStr">
        <is>
          <t>1014146</t>
        </is>
      </c>
      <c r="M1235" t="inlineStr">
        <is>
          <t>STATUS=IN OEM / EU PACKAGE; SOURCE_CFG=IA-ST-CFG-0115; MARKET=BOOSTER</t>
        </is>
      </c>
      <c r="N1235" t="inlineStr">
        <is>
          <t>2026-08-10T19:29:54Z</t>
        </is>
      </c>
      <c r="O1235" t="inlineStr">
        <is>
          <t>2026-08-10T19:29:54Z</t>
        </is>
      </c>
    </row>
    <row r="1236">
      <c r="A1236" s="19" t="inlineStr">
        <is>
          <t>1235</t>
        </is>
      </c>
      <c r="B1236" s="19" t="inlineStr">
        <is>
          <t>1014147</t>
        </is>
      </c>
      <c r="C1236" t="inlineStr">
        <is>
          <t>AKÜ,D23,TK,60AH,IGYASMF,İNCİ FORM TAURUS</t>
        </is>
      </c>
      <c r="D1236" s="19" t="inlineStr">
        <is>
          <t>1</t>
        </is>
      </c>
      <c r="E1236" t="n">
        <v>0</v>
      </c>
      <c r="I1236" s="19" t="inlineStr">
        <is>
          <t>2</t>
        </is>
      </c>
      <c r="J1236" t="inlineStr">
        <is>
          <t>2026-08-08</t>
        </is>
      </c>
      <c r="L1236" s="19" t="inlineStr">
        <is>
          <t>1014147</t>
        </is>
      </c>
      <c r="M1236" t="inlineStr">
        <is>
          <t>STATUS=IN OEM / EU PACKAGE; SOURCE_CFG=IA-ST-CFG-0219; MARKET=None</t>
        </is>
      </c>
      <c r="N1236" t="inlineStr">
        <is>
          <t>2026-08-10T19:29:54Z</t>
        </is>
      </c>
      <c r="O1236" t="inlineStr">
        <is>
          <t>2026-08-10T19:29:54Z</t>
        </is>
      </c>
    </row>
    <row r="1237">
      <c r="A1237" s="19" t="inlineStr">
        <is>
          <t>1236</t>
        </is>
      </c>
      <c r="B1237" s="19" t="inlineStr">
        <is>
          <t>1014148</t>
        </is>
      </c>
      <c r="C1237" t="inlineStr">
        <is>
          <t>AKÜ,B-FLAT,DK,190AH,EAS PRIDE</t>
        </is>
      </c>
      <c r="D1237" s="19" t="inlineStr">
        <is>
          <t>1</t>
        </is>
      </c>
      <c r="E1237" t="n">
        <v>0</v>
      </c>
      <c r="I1237" s="19" t="inlineStr">
        <is>
          <t>2</t>
        </is>
      </c>
      <c r="J1237" t="inlineStr">
        <is>
          <t>2026-08-08</t>
        </is>
      </c>
      <c r="L1237" s="19" t="inlineStr">
        <is>
          <t>1014148</t>
        </is>
      </c>
      <c r="M1237" t="inlineStr">
        <is>
          <t>STATUS=IN OEM / EU PACKAGE; SOURCE_CFG=IA-ST-CFG-0052; MARKET=None</t>
        </is>
      </c>
      <c r="N1237" t="inlineStr">
        <is>
          <t>2026-08-10T19:29:54Z</t>
        </is>
      </c>
      <c r="O1237" t="inlineStr">
        <is>
          <t>2026-08-10T19:29:54Z</t>
        </is>
      </c>
    </row>
    <row r="1238">
      <c r="A1238" s="19" t="inlineStr">
        <is>
          <t>1237</t>
        </is>
      </c>
      <c r="B1238" s="19" t="inlineStr">
        <is>
          <t>1014151</t>
        </is>
      </c>
      <c r="C1238" t="inlineStr">
        <is>
          <t>AKÜ,D26,DK,72AH,IGYASMF,BLIZZ.,SILV,EURO</t>
        </is>
      </c>
      <c r="D1238" s="19" t="inlineStr">
        <is>
          <t>1</t>
        </is>
      </c>
      <c r="E1238" t="n">
        <v>0</v>
      </c>
      <c r="I1238" s="19" t="inlineStr">
        <is>
          <t>2</t>
        </is>
      </c>
      <c r="J1238" t="inlineStr">
        <is>
          <t>2026-08-08</t>
        </is>
      </c>
      <c r="L1238" s="19" t="inlineStr">
        <is>
          <t>1014151</t>
        </is>
      </c>
      <c r="M1238" t="inlineStr">
        <is>
          <t>STATUS=IN OEM / EU PACKAGE; SOURCE_CFG=IA-ST-CFG-0107; MARKET=None</t>
        </is>
      </c>
      <c r="N1238" t="inlineStr">
        <is>
          <t>2026-08-10T19:29:54Z</t>
        </is>
      </c>
      <c r="O1238" t="inlineStr">
        <is>
          <t>2026-08-10T19:29:54Z</t>
        </is>
      </c>
    </row>
    <row r="1239">
      <c r="A1239" s="19" t="inlineStr">
        <is>
          <t>1238</t>
        </is>
      </c>
      <c r="B1239" s="19" t="inlineStr">
        <is>
          <t>1014152</t>
        </is>
      </c>
      <c r="C1239" t="inlineStr">
        <is>
          <t>AKÜ,A-IGYASMF,DK,140AH,BLIZ.SILVRLN,EURO</t>
        </is>
      </c>
      <c r="D1239" s="19" t="inlineStr">
        <is>
          <t>1</t>
        </is>
      </c>
      <c r="E1239" t="n">
        <v>0</v>
      </c>
      <c r="I1239" s="19" t="inlineStr">
        <is>
          <t>2</t>
        </is>
      </c>
      <c r="J1239" t="inlineStr">
        <is>
          <t>2026-08-08</t>
        </is>
      </c>
      <c r="L1239" s="19" t="inlineStr">
        <is>
          <t>1014152</t>
        </is>
      </c>
      <c r="M1239" t="inlineStr">
        <is>
          <t>STATUS=IN OEM / EU PACKAGE; SOURCE_CFG=IA-ST-CFG-0039; MARKET=None</t>
        </is>
      </c>
      <c r="N1239" t="inlineStr">
        <is>
          <t>2026-08-10T19:29:54Z</t>
        </is>
      </c>
      <c r="O1239" t="inlineStr">
        <is>
          <t>2026-08-10T19:29:54Z</t>
        </is>
      </c>
    </row>
    <row r="1240">
      <c r="A1240" s="19" t="inlineStr">
        <is>
          <t>1239</t>
        </is>
      </c>
      <c r="B1240" s="19" t="inlineStr">
        <is>
          <t>1014153</t>
        </is>
      </c>
      <c r="C1240" t="inlineStr">
        <is>
          <t>AKÜ,B-FLAT,DK,190AH,BLIZZAROTRENDLN,EURO</t>
        </is>
      </c>
      <c r="D1240" s="19" t="inlineStr">
        <is>
          <t>1</t>
        </is>
      </c>
      <c r="E1240" t="n">
        <v>0</v>
      </c>
      <c r="I1240" s="19" t="inlineStr">
        <is>
          <t>2</t>
        </is>
      </c>
      <c r="J1240" t="inlineStr">
        <is>
          <t>2026-08-08</t>
        </is>
      </c>
      <c r="L1240" s="19" t="inlineStr">
        <is>
          <t>1014153</t>
        </is>
      </c>
      <c r="M1240" t="inlineStr">
        <is>
          <t>STATUS=IN OEM / EU PACKAGE; SOURCE_CFG=IA-ST-CFG-0029; MARKET=None</t>
        </is>
      </c>
      <c r="N1240" t="inlineStr">
        <is>
          <t>2026-08-10T19:29:54Z</t>
        </is>
      </c>
      <c r="O1240" t="inlineStr">
        <is>
          <t>2026-08-10T19:29:54Z</t>
        </is>
      </c>
    </row>
    <row r="1241">
      <c r="A1241" s="19" t="inlineStr">
        <is>
          <t>1240</t>
        </is>
      </c>
      <c r="B1241" s="19" t="inlineStr">
        <is>
          <t>1014154</t>
        </is>
      </c>
      <c r="C1241" t="inlineStr">
        <is>
          <t>AKÜ,L4,DK,82AH,IGYA SMF,İNCİ FORM TAURUS</t>
        </is>
      </c>
      <c r="D1241" s="19" t="inlineStr">
        <is>
          <t>1</t>
        </is>
      </c>
      <c r="E1241" t="n">
        <v>0</v>
      </c>
      <c r="I1241" s="19" t="inlineStr">
        <is>
          <t>2</t>
        </is>
      </c>
      <c r="J1241" t="inlineStr">
        <is>
          <t>2026-08-08</t>
        </is>
      </c>
      <c r="L1241" s="19" t="inlineStr">
        <is>
          <t>1014154</t>
        </is>
      </c>
      <c r="M1241" t="inlineStr">
        <is>
          <t>STATUS=IN OEM / EU PACKAGE; SOURCE_CFG=IA-ST-CFG-0231; MARKET=None</t>
        </is>
      </c>
      <c r="N1241" t="inlineStr">
        <is>
          <t>2026-08-10T19:29:54Z</t>
        </is>
      </c>
      <c r="O1241" t="inlineStr">
        <is>
          <t>2026-08-10T19:29:54Z</t>
        </is>
      </c>
    </row>
    <row r="1242">
      <c r="A1242" s="19" t="inlineStr">
        <is>
          <t>1241</t>
        </is>
      </c>
      <c r="B1242" s="19" t="inlineStr">
        <is>
          <t>1014155</t>
        </is>
      </c>
      <c r="C1242" t="inlineStr">
        <is>
          <t>AKÜ,A-FLAT,DK,145AH,MF145,RACER POWER</t>
        </is>
      </c>
      <c r="D1242" s="19" t="inlineStr">
        <is>
          <t>1</t>
        </is>
      </c>
      <c r="E1242" t="n">
        <v>0</v>
      </c>
      <c r="I1242" s="19" t="inlineStr">
        <is>
          <t>2</t>
        </is>
      </c>
      <c r="J1242" t="inlineStr">
        <is>
          <t>2026-08-08</t>
        </is>
      </c>
      <c r="L1242" s="19" t="inlineStr">
        <is>
          <t>1014155</t>
        </is>
      </c>
      <c r="M1242" t="inlineStr">
        <is>
          <t>STATUS=IN OEM / EU PACKAGE; SOURCE_CFG=IA-ST-CFG-0051; MARKET=ARCOBALENO-GANA</t>
        </is>
      </c>
      <c r="N1242" t="inlineStr">
        <is>
          <t>2026-08-10T19:29:54Z</t>
        </is>
      </c>
      <c r="O1242" t="inlineStr">
        <is>
          <t>2026-08-10T19:29:54Z</t>
        </is>
      </c>
    </row>
    <row r="1243">
      <c r="A1243" s="19" t="inlineStr">
        <is>
          <t>1242</t>
        </is>
      </c>
      <c r="B1243" s="19" t="inlineStr">
        <is>
          <t>1014157</t>
        </is>
      </c>
      <c r="C1243" t="inlineStr">
        <is>
          <t>AKÜ,B-FLAT,TK,210AH,MF210,RACER POWER</t>
        </is>
      </c>
      <c r="D1243" s="19" t="inlineStr">
        <is>
          <t>1</t>
        </is>
      </c>
      <c r="E1243" t="n">
        <v>0</v>
      </c>
      <c r="I1243" s="19" t="inlineStr">
        <is>
          <t>2</t>
        </is>
      </c>
      <c r="J1243" t="inlineStr">
        <is>
          <t>2026-08-08</t>
        </is>
      </c>
      <c r="L1243" s="19" t="inlineStr">
        <is>
          <t>1014157</t>
        </is>
      </c>
      <c r="M1243" t="inlineStr">
        <is>
          <t>STATUS=IN OEM / EU PACKAGE; SOURCE_CFG=IA-ST-CFG-0052; MARKET=ARCOBALENO-GANA</t>
        </is>
      </c>
      <c r="N1243" t="inlineStr">
        <is>
          <t>2026-08-10T19:29:54Z</t>
        </is>
      </c>
      <c r="O1243" t="inlineStr">
        <is>
          <t>2026-08-10T19:29:54Z</t>
        </is>
      </c>
    </row>
    <row r="1244">
      <c r="A1244" s="19" t="inlineStr">
        <is>
          <t>1243</t>
        </is>
      </c>
      <c r="B1244" s="19" t="inlineStr">
        <is>
          <t>1014159</t>
        </is>
      </c>
      <c r="C1244" t="inlineStr">
        <is>
          <t>AKÜ,C-IGYASMF,DK,240AH,MF240,RACERPOWER</t>
        </is>
      </c>
      <c r="D1244" s="19" t="inlineStr">
        <is>
          <t>1</t>
        </is>
      </c>
      <c r="E1244" t="n">
        <v>0</v>
      </c>
      <c r="I1244" s="19" t="inlineStr">
        <is>
          <t>2</t>
        </is>
      </c>
      <c r="J1244" t="inlineStr">
        <is>
          <t>2026-08-08</t>
        </is>
      </c>
      <c r="L1244" s="19" t="inlineStr">
        <is>
          <t>1014159</t>
        </is>
      </c>
      <c r="M1244" t="inlineStr">
        <is>
          <t>STATUS=IN OEM / EU PACKAGE; SOURCE_CFG=IA-ST-CFG-0023; MARKET=ARCOBALENO-GANA</t>
        </is>
      </c>
      <c r="N1244" t="inlineStr">
        <is>
          <t>2026-08-10T19:29:54Z</t>
        </is>
      </c>
      <c r="O1244" t="inlineStr">
        <is>
          <t>2026-08-10T19:29:54Z</t>
        </is>
      </c>
    </row>
    <row r="1245">
      <c r="A1245" s="19" t="inlineStr">
        <is>
          <t>1244</t>
        </is>
      </c>
      <c r="B1245" s="19" t="inlineStr">
        <is>
          <t>1014160</t>
        </is>
      </c>
      <c r="C1245" t="inlineStr">
        <is>
          <t>AKÜ,LB2,DK,60AH,IGYASMF,BLIZZ.TRENDLINE</t>
        </is>
      </c>
      <c r="D1245" s="19" t="inlineStr">
        <is>
          <t>1</t>
        </is>
      </c>
      <c r="E1245" t="n">
        <v>0</v>
      </c>
      <c r="I1245" s="19" t="inlineStr">
        <is>
          <t>2</t>
        </is>
      </c>
      <c r="J1245" t="inlineStr">
        <is>
          <t>2026-08-08</t>
        </is>
      </c>
      <c r="L1245" s="19" t="inlineStr">
        <is>
          <t>1014160</t>
        </is>
      </c>
      <c r="M1245" t="inlineStr">
        <is>
          <t>STATUS=IN OEM / EU PACKAGE; SOURCE_CFG=IA-ST-CFG-0222; MARKET=None</t>
        </is>
      </c>
      <c r="N1245" t="inlineStr">
        <is>
          <t>2026-08-10T19:29:54Z</t>
        </is>
      </c>
      <c r="O1245" t="inlineStr">
        <is>
          <t>2026-08-10T19:29:54Z</t>
        </is>
      </c>
    </row>
    <row r="1246">
      <c r="A1246" s="19" t="inlineStr">
        <is>
          <t>1245</t>
        </is>
      </c>
      <c r="B1246" s="19" t="inlineStr">
        <is>
          <t>1014161</t>
        </is>
      </c>
      <c r="C1246" t="inlineStr">
        <is>
          <t>AKÜ,D31,DK,105AH,IGYSMF,İNCİTAURS,ERKUNT</t>
        </is>
      </c>
      <c r="D1246" s="19" t="inlineStr">
        <is>
          <t>1</t>
        </is>
      </c>
      <c r="E1246" t="n">
        <v>0</v>
      </c>
      <c r="I1246" s="19" t="inlineStr">
        <is>
          <t>2</t>
        </is>
      </c>
      <c r="J1246" t="inlineStr">
        <is>
          <t>2026-08-08</t>
        </is>
      </c>
      <c r="L1246" s="19" t="inlineStr">
        <is>
          <t>1014161</t>
        </is>
      </c>
      <c r="M1246" t="inlineStr">
        <is>
          <t>STATUS=DOMESTIC-ONLY / NOT IN OEM PACKAGE; SOURCE_CFG=IA-ST-CFG-0008; MARKET=ERKUNT (Yurt İçi)</t>
        </is>
      </c>
      <c r="N1246" t="inlineStr">
        <is>
          <t>2026-08-10T19:29:54Z</t>
        </is>
      </c>
      <c r="O1246" t="inlineStr">
        <is>
          <t>2026-08-10T19:29:54Z</t>
        </is>
      </c>
    </row>
    <row r="1247">
      <c r="A1247" s="19" t="inlineStr">
        <is>
          <t>1246</t>
        </is>
      </c>
      <c r="B1247" s="19" t="inlineStr">
        <is>
          <t>1014163</t>
        </is>
      </c>
      <c r="C1247" t="inlineStr">
        <is>
          <t>AKÜ,B-IGYASMF,DK,185AH,EAS EFB S&amp;S</t>
        </is>
      </c>
      <c r="D1247" s="19" t="inlineStr">
        <is>
          <t>1</t>
        </is>
      </c>
      <c r="E1247" t="n">
        <v>0</v>
      </c>
      <c r="I1247" s="19" t="inlineStr">
        <is>
          <t>2</t>
        </is>
      </c>
      <c r="J1247" t="inlineStr">
        <is>
          <t>2026-08-08</t>
        </is>
      </c>
      <c r="L1247" s="19" t="inlineStr">
        <is>
          <t>1014163</t>
        </is>
      </c>
      <c r="M1247" t="inlineStr">
        <is>
          <t>STATUS=IN OEM / EU PACKAGE; SOURCE_CFG=IA-ST-CFG-0052; MARKET=None</t>
        </is>
      </c>
      <c r="N1247" t="inlineStr">
        <is>
          <t>2026-08-10T19:29:54Z</t>
        </is>
      </c>
      <c r="O1247" t="inlineStr">
        <is>
          <t>2026-08-10T19:29:54Z</t>
        </is>
      </c>
    </row>
    <row r="1248">
      <c r="A1248" s="19" t="inlineStr">
        <is>
          <t>1247</t>
        </is>
      </c>
      <c r="B1248" s="19" t="inlineStr">
        <is>
          <t>1014164</t>
        </is>
      </c>
      <c r="C1248" t="inlineStr">
        <is>
          <t>AKÜ,C-IGYASMF,DK,230AH,EAS EFB S&amp;S</t>
        </is>
      </c>
      <c r="D1248" s="19" t="inlineStr">
        <is>
          <t>1</t>
        </is>
      </c>
      <c r="E1248" t="n">
        <v>0</v>
      </c>
      <c r="I1248" s="19" t="inlineStr">
        <is>
          <t>2</t>
        </is>
      </c>
      <c r="J1248" t="inlineStr">
        <is>
          <t>2026-08-08</t>
        </is>
      </c>
      <c r="L1248" s="19" t="inlineStr">
        <is>
          <t>1014164</t>
        </is>
      </c>
      <c r="M1248" t="inlineStr">
        <is>
          <t>STATUS=IN OEM / EU PACKAGE; SOURCE_CFG=IA-ST-CFG-0023; MARKET=None</t>
        </is>
      </c>
      <c r="N1248" t="inlineStr">
        <is>
          <t>2026-08-10T19:29:54Z</t>
        </is>
      </c>
      <c r="O1248" t="inlineStr">
        <is>
          <t>2026-08-10T19:29:54Z</t>
        </is>
      </c>
    </row>
    <row r="1249">
      <c r="A1249" s="19" t="inlineStr">
        <is>
          <t>1248</t>
        </is>
      </c>
      <c r="B1249" s="19" t="inlineStr">
        <is>
          <t>1014165</t>
        </is>
      </c>
      <c r="C1249" t="inlineStr">
        <is>
          <t>AKÜ,L6,DK,110AH,KAMINA,EAS PRIDE,İÇPYS</t>
        </is>
      </c>
      <c r="D1249" s="19" t="inlineStr">
        <is>
          <t>1</t>
        </is>
      </c>
      <c r="E1249" t="n">
        <v>0</v>
      </c>
      <c r="I1249" s="19" t="inlineStr">
        <is>
          <t>2</t>
        </is>
      </c>
      <c r="J1249" t="inlineStr">
        <is>
          <t>2026-08-08</t>
        </is>
      </c>
      <c r="L1249" s="19" t="inlineStr">
        <is>
          <t>1014165</t>
        </is>
      </c>
      <c r="M1249" t="inlineStr">
        <is>
          <t>STATUS=IN OEM / EU PACKAGE; SOURCE_CFG=IA-ST-CFG-0081; MARKET=YURT İÇİ AFM</t>
        </is>
      </c>
      <c r="N1249" t="inlineStr">
        <is>
          <t>2026-08-10T19:29:54Z</t>
        </is>
      </c>
      <c r="O1249" t="inlineStr">
        <is>
          <t>2026-08-10T19:29:54Z</t>
        </is>
      </c>
    </row>
    <row r="1250">
      <c r="A1250" s="19" t="inlineStr">
        <is>
          <t>1249</t>
        </is>
      </c>
      <c r="B1250" s="19" t="inlineStr">
        <is>
          <t>1014167</t>
        </is>
      </c>
      <c r="C1250" t="inlineStr">
        <is>
          <t>AKÜ,L6,DK,105AH,VRLA,HUGEL AGM S&amp;S,EURO</t>
        </is>
      </c>
      <c r="D1250" s="19" t="inlineStr">
        <is>
          <t>1</t>
        </is>
      </c>
      <c r="E1250" t="n">
        <v>0</v>
      </c>
      <c r="I1250" s="19" t="inlineStr">
        <is>
          <t>2</t>
        </is>
      </c>
      <c r="J1250" t="inlineStr">
        <is>
          <t>2026-08-08</t>
        </is>
      </c>
      <c r="L1250" s="19" t="inlineStr">
        <is>
          <t>1014167</t>
        </is>
      </c>
      <c r="M1250" t="inlineStr">
        <is>
          <t>STATUS=IN OEM / EU PACKAGE; SOURCE_CFG=IA-ST-CFG-0071; MARKET=None</t>
        </is>
      </c>
      <c r="N1250" t="inlineStr">
        <is>
          <t>2026-08-10T19:29:54Z</t>
        </is>
      </c>
      <c r="O1250" t="inlineStr">
        <is>
          <t>2026-08-10T19:29:54Z</t>
        </is>
      </c>
    </row>
    <row r="1251">
      <c r="A1251" s="19" t="inlineStr">
        <is>
          <t>1250</t>
        </is>
      </c>
      <c r="B1251" s="19" t="inlineStr">
        <is>
          <t>1014168</t>
        </is>
      </c>
      <c r="C1251" t="inlineStr">
        <is>
          <t>AKÜ,LB4,DK,85AH,IGYSMF,HUGELMEGA,YD,EURO</t>
        </is>
      </c>
      <c r="D1251" s="19" t="inlineStr">
        <is>
          <t>1</t>
        </is>
      </c>
      <c r="E1251" t="n">
        <v>0</v>
      </c>
      <c r="I1251" s="19" t="inlineStr">
        <is>
          <t>2</t>
        </is>
      </c>
      <c r="J1251" t="inlineStr">
        <is>
          <t>2026-08-08</t>
        </is>
      </c>
      <c r="L1251" s="19" t="inlineStr">
        <is>
          <t>1014168</t>
        </is>
      </c>
      <c r="M1251" t="inlineStr">
        <is>
          <t>STATUS=IN OEM / EU PACKAGE; SOURCE_CFG=IA-ST-CFG-0152; MARKET=None</t>
        </is>
      </c>
      <c r="N1251" t="inlineStr">
        <is>
          <t>2026-08-10T19:29:54Z</t>
        </is>
      </c>
      <c r="O1251" t="inlineStr">
        <is>
          <t>2026-08-10T19:29:54Z</t>
        </is>
      </c>
    </row>
    <row r="1252">
      <c r="A1252" s="19" t="inlineStr">
        <is>
          <t>1251</t>
        </is>
      </c>
      <c r="B1252" s="19" t="inlineStr">
        <is>
          <t>1014172</t>
        </is>
      </c>
      <c r="C1252" t="inlineStr">
        <is>
          <t>AKÜ,C-IGYASMF,DK,225AH,EAS ACTIVA,ATWAN</t>
        </is>
      </c>
      <c r="D1252" s="19" t="inlineStr">
        <is>
          <t>1</t>
        </is>
      </c>
      <c r="E1252" t="n">
        <v>0</v>
      </c>
      <c r="I1252" s="19" t="inlineStr">
        <is>
          <t>2</t>
        </is>
      </c>
      <c r="J1252" t="inlineStr">
        <is>
          <t>2026-08-08</t>
        </is>
      </c>
      <c r="L1252" s="19" t="inlineStr">
        <is>
          <t>1014172</t>
        </is>
      </c>
      <c r="M1252" t="inlineStr">
        <is>
          <t>STATUS=IN OEM / EU PACKAGE; SOURCE_CFG=IA-ST-CFG-0023; MARKET=MISIR ATWAN</t>
        </is>
      </c>
      <c r="N1252" t="inlineStr">
        <is>
          <t>2026-08-10T19:29:54Z</t>
        </is>
      </c>
      <c r="O1252" t="inlineStr">
        <is>
          <t>2026-08-10T19:29:54Z</t>
        </is>
      </c>
    </row>
    <row r="1253">
      <c r="A1253" s="19" t="inlineStr">
        <is>
          <t>1252</t>
        </is>
      </c>
      <c r="B1253" s="19" t="inlineStr">
        <is>
          <t>1014173</t>
        </is>
      </c>
      <c r="C1253" t="inlineStr">
        <is>
          <t>AKÜ,D31,DK,90AH,IGYASMF,EAS KOLİLİ,ATWAN</t>
        </is>
      </c>
      <c r="D1253" s="19" t="inlineStr">
        <is>
          <t>1</t>
        </is>
      </c>
      <c r="E1253" t="n">
        <v>0</v>
      </c>
      <c r="I1253" s="19" t="inlineStr">
        <is>
          <t>2</t>
        </is>
      </c>
      <c r="J1253" t="inlineStr">
        <is>
          <t>2026-08-08</t>
        </is>
      </c>
      <c r="L1253" s="19" t="inlineStr">
        <is>
          <t>1014173</t>
        </is>
      </c>
      <c r="M1253" t="inlineStr">
        <is>
          <t>STATUS=IN OEM / EU PACKAGE; SOURCE_CFG=IA-ST-CFG-0125; MARKET=MISIR ATWAN</t>
        </is>
      </c>
      <c r="N1253" t="inlineStr">
        <is>
          <t>2026-08-10T19:29:54Z</t>
        </is>
      </c>
      <c r="O1253" t="inlineStr">
        <is>
          <t>2026-08-10T19:29:54Z</t>
        </is>
      </c>
    </row>
    <row r="1254">
      <c r="A1254" s="19" t="inlineStr">
        <is>
          <t>1253</t>
        </is>
      </c>
      <c r="B1254" s="19" t="inlineStr">
        <is>
          <t>1014174</t>
        </is>
      </c>
      <c r="C1254" t="inlineStr">
        <is>
          <t>AKÜ,AGM,L5,DK,92AH,EAS AGM S&amp;S,ATWAN</t>
        </is>
      </c>
      <c r="D1254" s="19" t="inlineStr">
        <is>
          <t>1</t>
        </is>
      </c>
      <c r="E1254" t="n">
        <v>0</v>
      </c>
      <c r="I1254" s="19" t="inlineStr">
        <is>
          <t>2</t>
        </is>
      </c>
      <c r="J1254" t="inlineStr">
        <is>
          <t>2026-08-08</t>
        </is>
      </c>
      <c r="L1254" s="19" t="inlineStr">
        <is>
          <t>1014174</t>
        </is>
      </c>
      <c r="M1254" t="inlineStr">
        <is>
          <t>STATUS=IN OEM / EU PACKAGE; SOURCE_CFG=IA-ST-CFG-0096; MARKET=MISIR ATWAN</t>
        </is>
      </c>
      <c r="N1254" t="inlineStr">
        <is>
          <t>2026-08-10T19:29:54Z</t>
        </is>
      </c>
      <c r="O1254" t="inlineStr">
        <is>
          <t>2026-08-10T19:29:54Z</t>
        </is>
      </c>
    </row>
    <row r="1255">
      <c r="A1255" s="19" t="inlineStr">
        <is>
          <t>1254</t>
        </is>
      </c>
      <c r="B1255" s="19" t="inlineStr">
        <is>
          <t>1014175</t>
        </is>
      </c>
      <c r="C1255" t="inlineStr">
        <is>
          <t>AKÜ,AGM,L6,DK,105AH,EAS AGM S&amp;S,ATWAN</t>
        </is>
      </c>
      <c r="D1255" s="19" t="inlineStr">
        <is>
          <t>1</t>
        </is>
      </c>
      <c r="E1255" t="n">
        <v>0</v>
      </c>
      <c r="I1255" s="19" t="inlineStr">
        <is>
          <t>2</t>
        </is>
      </c>
      <c r="J1255" t="inlineStr">
        <is>
          <t>2026-08-08</t>
        </is>
      </c>
      <c r="L1255" s="19" t="inlineStr">
        <is>
          <t>1014175</t>
        </is>
      </c>
      <c r="M1255" t="inlineStr">
        <is>
          <t>STATUS=IN OEM / EU PACKAGE; SOURCE_CFG=IA-ST-CFG-0080; MARKET=MISIR ATWAN</t>
        </is>
      </c>
      <c r="N1255" t="inlineStr">
        <is>
          <t>2026-08-10T19:29:54Z</t>
        </is>
      </c>
      <c r="O1255" t="inlineStr">
        <is>
          <t>2026-08-10T19:29:54Z</t>
        </is>
      </c>
    </row>
    <row r="1256">
      <c r="A1256" s="19" t="inlineStr">
        <is>
          <t>1255</t>
        </is>
      </c>
      <c r="B1256" s="19" t="inlineStr">
        <is>
          <t>1014176</t>
        </is>
      </c>
      <c r="C1256" t="inlineStr">
        <is>
          <t>AKÜ,L2,TK,60AH,IGYASMF,BLIZZSILVRLN,EURO</t>
        </is>
      </c>
      <c r="D1256" s="19" t="inlineStr">
        <is>
          <t>1</t>
        </is>
      </c>
      <c r="E1256" t="n">
        <v>0</v>
      </c>
      <c r="I1256" s="19" t="inlineStr">
        <is>
          <t>2</t>
        </is>
      </c>
      <c r="J1256" t="inlineStr">
        <is>
          <t>2026-08-08</t>
        </is>
      </c>
      <c r="L1256" s="19" t="inlineStr">
        <is>
          <t>1014176</t>
        </is>
      </c>
      <c r="M1256" t="inlineStr">
        <is>
          <t>STATUS=IN OEM / EU PACKAGE; SOURCE_CFG=IA-ST-CFG-0240; MARKET=None</t>
        </is>
      </c>
      <c r="N1256" t="inlineStr">
        <is>
          <t>2026-08-10T19:29:54Z</t>
        </is>
      </c>
      <c r="O1256" t="inlineStr">
        <is>
          <t>2026-08-10T19:29:54Z</t>
        </is>
      </c>
    </row>
    <row r="1257">
      <c r="A1257" s="19" t="inlineStr">
        <is>
          <t>1256</t>
        </is>
      </c>
      <c r="B1257" s="19" t="inlineStr">
        <is>
          <t>1014178</t>
        </is>
      </c>
      <c r="C1257" t="inlineStr">
        <is>
          <t>AKÜ,C-IGYASMF,DK,240AH,BLIZSILVERLN,EURO</t>
        </is>
      </c>
      <c r="D1257" s="19" t="inlineStr">
        <is>
          <t>1</t>
        </is>
      </c>
      <c r="E1257" t="n">
        <v>0</v>
      </c>
      <c r="I1257" s="19" t="inlineStr">
        <is>
          <t>2</t>
        </is>
      </c>
      <c r="J1257" t="inlineStr">
        <is>
          <t>2026-08-08</t>
        </is>
      </c>
      <c r="L1257" s="19" t="inlineStr">
        <is>
          <t>1014178</t>
        </is>
      </c>
      <c r="M1257" t="inlineStr">
        <is>
          <t>STATUS=IN OEM / EU PACKAGE; SOURCE_CFG=IA-ST-CFG-0014; MARKET=None</t>
        </is>
      </c>
      <c r="N1257" t="inlineStr">
        <is>
          <t>2026-08-10T19:29:54Z</t>
        </is>
      </c>
      <c r="O1257" t="inlineStr">
        <is>
          <t>2026-08-10T19:29:54Z</t>
        </is>
      </c>
    </row>
    <row r="1258">
      <c r="A1258" s="19" t="inlineStr">
        <is>
          <t>1257</t>
        </is>
      </c>
      <c r="B1258" s="19" t="inlineStr">
        <is>
          <t>1014180</t>
        </is>
      </c>
      <c r="C1258" t="inlineStr">
        <is>
          <t>AKÜ,L4,DK,82AH,IGYSMF,PERFORMANCEBATTERY</t>
        </is>
      </c>
      <c r="D1258" s="19" t="inlineStr">
        <is>
          <t>1</t>
        </is>
      </c>
      <c r="E1258" t="n">
        <v>0</v>
      </c>
      <c r="I1258" s="19" t="inlineStr">
        <is>
          <t>2</t>
        </is>
      </c>
      <c r="J1258" t="inlineStr">
        <is>
          <t>2026-08-08</t>
        </is>
      </c>
      <c r="L1258" s="19" t="inlineStr">
        <is>
          <t>1014180</t>
        </is>
      </c>
      <c r="M1258" t="inlineStr">
        <is>
          <t>STATUS=IN OEM / EU PACKAGE; SOURCE_CFG=IA-ST-CFG-0231; MARKET=DOMİNİK CUM.PERFORMANCE BATT.</t>
        </is>
      </c>
      <c r="N1258" t="inlineStr">
        <is>
          <t>2026-08-10T19:29:54Z</t>
        </is>
      </c>
      <c r="O1258" t="inlineStr">
        <is>
          <t>2026-08-10T19:29:54Z</t>
        </is>
      </c>
    </row>
    <row r="1259">
      <c r="A1259" s="19" t="inlineStr">
        <is>
          <t>1258</t>
        </is>
      </c>
      <c r="B1259" s="19" t="inlineStr">
        <is>
          <t>1014182</t>
        </is>
      </c>
      <c r="C1259" t="inlineStr">
        <is>
          <t>AKÜ,L1,DK,45AH,IGYSMF,PERFORMANCEBATTERY</t>
        </is>
      </c>
      <c r="D1259" s="19" t="inlineStr">
        <is>
          <t>1</t>
        </is>
      </c>
      <c r="E1259" t="n">
        <v>0</v>
      </c>
      <c r="I1259" s="19" t="inlineStr">
        <is>
          <t>2</t>
        </is>
      </c>
      <c r="J1259" t="inlineStr">
        <is>
          <t>2026-08-08</t>
        </is>
      </c>
      <c r="L1259" s="19" t="inlineStr">
        <is>
          <t>1014182</t>
        </is>
      </c>
      <c r="M1259" t="inlineStr">
        <is>
          <t>STATUS=IN OEM / EU PACKAGE; SOURCE_CFG=IA-ST-CFG-0248; MARKET=DOMİNİK CUM.PERFORMANCE BATT.</t>
        </is>
      </c>
      <c r="N1259" t="inlineStr">
        <is>
          <t>2026-08-10T19:29:54Z</t>
        </is>
      </c>
      <c r="O1259" t="inlineStr">
        <is>
          <t>2026-08-10T19:29:54Z</t>
        </is>
      </c>
    </row>
    <row r="1260">
      <c r="A1260" s="19" t="inlineStr">
        <is>
          <t>1259</t>
        </is>
      </c>
      <c r="B1260" s="19" t="inlineStr">
        <is>
          <t>1014183</t>
        </is>
      </c>
      <c r="C1260" t="inlineStr">
        <is>
          <t>AKÜ,L2,DK,55AH,IGYSMF,PERFORMANCEBATTERY</t>
        </is>
      </c>
      <c r="D1260" s="19" t="inlineStr">
        <is>
          <t>1</t>
        </is>
      </c>
      <c r="E1260" t="n">
        <v>0</v>
      </c>
      <c r="I1260" s="19" t="inlineStr">
        <is>
          <t>2</t>
        </is>
      </c>
      <c r="J1260" t="inlineStr">
        <is>
          <t>2026-08-08</t>
        </is>
      </c>
      <c r="L1260" s="19" t="inlineStr">
        <is>
          <t>1014183</t>
        </is>
      </c>
      <c r="M1260" t="inlineStr">
        <is>
          <t>STATUS=IN OEM / EU PACKAGE; SOURCE_CFG=IA-ST-CFG-0222; MARKET=DOMİNİK CUM.PERFORMANCE BATT.</t>
        </is>
      </c>
      <c r="N1260" t="inlineStr">
        <is>
          <t>2026-08-10T19:29:54Z</t>
        </is>
      </c>
      <c r="O1260" t="inlineStr">
        <is>
          <t>2026-08-10T19:29:54Z</t>
        </is>
      </c>
    </row>
    <row r="1261">
      <c r="A1261" s="19" t="inlineStr">
        <is>
          <t>1260</t>
        </is>
      </c>
      <c r="B1261" s="19" t="inlineStr">
        <is>
          <t>1014189</t>
        </is>
      </c>
      <c r="C1261" t="inlineStr">
        <is>
          <t>AKÜ,D23,TK,68AH,IGYSMF,EAS EXTRA,YD,EURO</t>
        </is>
      </c>
      <c r="D1261" s="19" t="inlineStr">
        <is>
          <t>1</t>
        </is>
      </c>
      <c r="E1261" t="n">
        <v>0</v>
      </c>
      <c r="I1261" s="19" t="inlineStr">
        <is>
          <t>2</t>
        </is>
      </c>
      <c r="J1261" t="inlineStr">
        <is>
          <t>2026-08-08</t>
        </is>
      </c>
      <c r="L1261" s="19" t="inlineStr">
        <is>
          <t>1014189</t>
        </is>
      </c>
      <c r="M1261" t="inlineStr">
        <is>
          <t>STATUS=IN OEM / EU PACKAGE; SOURCE_CFG=IA-ST-CFG-0171; MARKET=None</t>
        </is>
      </c>
      <c r="N1261" t="inlineStr">
        <is>
          <t>2026-08-10T19:29:54Z</t>
        </is>
      </c>
      <c r="O1261" t="inlineStr">
        <is>
          <t>2026-08-10T19:29:54Z</t>
        </is>
      </c>
    </row>
    <row r="1262">
      <c r="A1262" s="19" t="inlineStr">
        <is>
          <t>1261</t>
        </is>
      </c>
      <c r="B1262" s="19" t="inlineStr">
        <is>
          <t>1014192</t>
        </is>
      </c>
      <c r="C1262" t="inlineStr">
        <is>
          <t>AKÜ,AGM,L6,DK,105AH,EAS AGM S&amp;S</t>
        </is>
      </c>
      <c r="D1262" s="19" t="inlineStr">
        <is>
          <t>1</t>
        </is>
      </c>
      <c r="E1262" t="n">
        <v>0</v>
      </c>
      <c r="I1262" s="19" t="inlineStr">
        <is>
          <t>2</t>
        </is>
      </c>
      <c r="J1262" t="inlineStr">
        <is>
          <t>2026-08-08</t>
        </is>
      </c>
      <c r="L1262" s="19" t="inlineStr">
        <is>
          <t>1014192</t>
        </is>
      </c>
      <c r="M1262" t="inlineStr">
        <is>
          <t>STATUS=IN OEM / EU PACKAGE; SOURCE_CFG=IA-ST-CFG-0080; MARKET=None</t>
        </is>
      </c>
      <c r="N1262" t="inlineStr">
        <is>
          <t>2026-08-10T19:29:54Z</t>
        </is>
      </c>
      <c r="O1262" t="inlineStr">
        <is>
          <t>2026-08-10T19:29:54Z</t>
        </is>
      </c>
    </row>
    <row r="1263">
      <c r="A1263" s="19" t="inlineStr">
        <is>
          <t>1262</t>
        </is>
      </c>
      <c r="B1263" s="19" t="inlineStr">
        <is>
          <t>1014193</t>
        </is>
      </c>
      <c r="C1263" t="inlineStr">
        <is>
          <t>AKÜ,B-IGYASMF,DK,190AH,EAS EXTRA</t>
        </is>
      </c>
      <c r="D1263" s="19" t="inlineStr">
        <is>
          <t>1</t>
        </is>
      </c>
      <c r="E1263" t="n">
        <v>0</v>
      </c>
      <c r="I1263" s="19" t="inlineStr">
        <is>
          <t>2</t>
        </is>
      </c>
      <c r="J1263" t="inlineStr">
        <is>
          <t>2026-08-08</t>
        </is>
      </c>
      <c r="L1263" s="19" t="inlineStr">
        <is>
          <t>1014193</t>
        </is>
      </c>
      <c r="M1263" t="inlineStr">
        <is>
          <t>STATUS=IN OEM / EU PACKAGE; SOURCE_CFG=IA-ST-CFG-0052; MARKET=None</t>
        </is>
      </c>
      <c r="N1263" t="inlineStr">
        <is>
          <t>2026-08-10T19:29:54Z</t>
        </is>
      </c>
      <c r="O1263" t="inlineStr">
        <is>
          <t>2026-08-10T19:29:54Z</t>
        </is>
      </c>
    </row>
    <row r="1264">
      <c r="A1264" s="19" t="inlineStr">
        <is>
          <t>1263</t>
        </is>
      </c>
      <c r="B1264" s="19" t="inlineStr">
        <is>
          <t>1014196</t>
        </is>
      </c>
      <c r="C1264" t="inlineStr">
        <is>
          <t>AKÜ,C-IGYASMF,DK,225AH,EAS ACTIVA,SHDNEW</t>
        </is>
      </c>
      <c r="D1264" s="19" t="inlineStr">
        <is>
          <t>1</t>
        </is>
      </c>
      <c r="E1264" t="n">
        <v>0</v>
      </c>
      <c r="I1264" s="19" t="inlineStr">
        <is>
          <t>2</t>
        </is>
      </c>
      <c r="J1264" t="inlineStr">
        <is>
          <t>2026-08-08</t>
        </is>
      </c>
      <c r="L1264" s="19" t="inlineStr">
        <is>
          <t>1014196</t>
        </is>
      </c>
      <c r="M1264" t="inlineStr">
        <is>
          <t>STATUS=IN OEM / EU PACKAGE; SOURCE_CFG=IA-ST-CFG-0023; MARKET=None</t>
        </is>
      </c>
      <c r="N1264" t="inlineStr">
        <is>
          <t>2026-08-10T19:29:54Z</t>
        </is>
      </c>
      <c r="O1264" t="inlineStr">
        <is>
          <t>2026-08-10T19:29:54Z</t>
        </is>
      </c>
    </row>
    <row r="1265">
      <c r="A1265" s="19" t="inlineStr">
        <is>
          <t>1264</t>
        </is>
      </c>
      <c r="B1265" s="19" t="inlineStr">
        <is>
          <t>1014197</t>
        </is>
      </c>
      <c r="C1265" t="inlineStr">
        <is>
          <t>AKÜ,NS60,TK,55AH,IGYSMF,İNCİMAXIMA,İÇPYS</t>
        </is>
      </c>
      <c r="D1265" s="19" t="inlineStr">
        <is>
          <t>1</t>
        </is>
      </c>
      <c r="E1265" t="n">
        <v>0</v>
      </c>
      <c r="I1265" s="19" t="inlineStr">
        <is>
          <t>2</t>
        </is>
      </c>
      <c r="J1265" t="inlineStr">
        <is>
          <t>2026-08-08</t>
        </is>
      </c>
      <c r="L1265" s="19" t="inlineStr">
        <is>
          <t>1014197</t>
        </is>
      </c>
      <c r="M1265" t="inlineStr">
        <is>
          <t>STATUS=IN OEM / EU PACKAGE; SOURCE_CFG=IA-ST-CFG-0273; MARKET=YURT İÇİ AFM</t>
        </is>
      </c>
      <c r="N1265" t="inlineStr">
        <is>
          <t>2026-08-10T19:29:54Z</t>
        </is>
      </c>
      <c r="O1265" t="inlineStr">
        <is>
          <t>2026-08-10T19:29:54Z</t>
        </is>
      </c>
    </row>
    <row r="1266">
      <c r="A1266" s="19" t="inlineStr">
        <is>
          <t>1265</t>
        </is>
      </c>
      <c r="B1266" s="19" t="inlineStr">
        <is>
          <t>1014198</t>
        </is>
      </c>
      <c r="C1266" t="inlineStr">
        <is>
          <t>AKÜ,L2,DK,60AH,AGM BOOSTER PREMIUM MAX</t>
        </is>
      </c>
      <c r="D1266" s="19" t="inlineStr">
        <is>
          <t>1</t>
        </is>
      </c>
      <c r="E1266" t="n">
        <v>0</v>
      </c>
      <c r="I1266" s="19" t="inlineStr">
        <is>
          <t>2</t>
        </is>
      </c>
      <c r="J1266" t="inlineStr">
        <is>
          <t>2026-08-08</t>
        </is>
      </c>
      <c r="L1266" s="19" t="inlineStr">
        <is>
          <t>1014198</t>
        </is>
      </c>
      <c r="M1266" t="inlineStr">
        <is>
          <t>STATUS=IN OEM / EU PACKAGE; SOURCE_CFG=IA-ST-CFG-0163; MARKET=BOOSTER</t>
        </is>
      </c>
      <c r="N1266" t="inlineStr">
        <is>
          <t>2026-08-10T19:29:54Z</t>
        </is>
      </c>
      <c r="O1266" t="inlineStr">
        <is>
          <t>2026-08-10T19:29:54Z</t>
        </is>
      </c>
    </row>
    <row r="1267">
      <c r="A1267" s="19" t="inlineStr">
        <is>
          <t>1266</t>
        </is>
      </c>
      <c r="B1267" s="19" t="inlineStr">
        <is>
          <t>1014199</t>
        </is>
      </c>
      <c r="C1267" t="inlineStr">
        <is>
          <t>AKÜ,L3,DK,70AH,AGM BOOSTER PREMIUM MAX</t>
        </is>
      </c>
      <c r="D1267" s="19" t="inlineStr">
        <is>
          <t>1</t>
        </is>
      </c>
      <c r="E1267" t="n">
        <v>0</v>
      </c>
      <c r="I1267" s="19" t="inlineStr">
        <is>
          <t>2</t>
        </is>
      </c>
      <c r="J1267" t="inlineStr">
        <is>
          <t>2026-08-08</t>
        </is>
      </c>
      <c r="L1267" s="19" t="inlineStr">
        <is>
          <t>1014199</t>
        </is>
      </c>
      <c r="M1267" t="inlineStr">
        <is>
          <t>STATUS=IN OEM / EU PACKAGE; SOURCE_CFG=IA-ST-CFG-0134; MARKET=BOOSTER</t>
        </is>
      </c>
      <c r="N1267" t="inlineStr">
        <is>
          <t>2026-08-10T19:29:54Z</t>
        </is>
      </c>
      <c r="O1267" t="inlineStr">
        <is>
          <t>2026-08-10T19:29:54Z</t>
        </is>
      </c>
    </row>
    <row r="1268">
      <c r="A1268" s="19" t="inlineStr">
        <is>
          <t>1267</t>
        </is>
      </c>
      <c r="B1268" s="19" t="inlineStr">
        <is>
          <t>1014200</t>
        </is>
      </c>
      <c r="C1268" t="inlineStr">
        <is>
          <t>AKÜ,L4,DK,80AH,AGM BOOSTER PREMIUM MAX</t>
        </is>
      </c>
      <c r="D1268" s="19" t="inlineStr">
        <is>
          <t>1</t>
        </is>
      </c>
      <c r="E1268" t="n">
        <v>0</v>
      </c>
      <c r="I1268" s="19" t="inlineStr">
        <is>
          <t>2</t>
        </is>
      </c>
      <c r="J1268" t="inlineStr">
        <is>
          <t>2026-08-08</t>
        </is>
      </c>
      <c r="L1268" s="19" t="inlineStr">
        <is>
          <t>1014200</t>
        </is>
      </c>
      <c r="M1268" t="inlineStr">
        <is>
          <t>STATUS=IN OEM / EU PACKAGE; SOURCE_CFG=IA-ST-CFG-0086; MARKET=BOOSTER</t>
        </is>
      </c>
      <c r="N1268" t="inlineStr">
        <is>
          <t>2026-08-10T19:29:54Z</t>
        </is>
      </c>
      <c r="O1268" t="inlineStr">
        <is>
          <t>2026-08-10T19:29:54Z</t>
        </is>
      </c>
    </row>
    <row r="1269">
      <c r="A1269" s="19" t="inlineStr">
        <is>
          <t>1268</t>
        </is>
      </c>
      <c r="B1269" s="19" t="inlineStr">
        <is>
          <t>1014201</t>
        </is>
      </c>
      <c r="C1269" t="inlineStr">
        <is>
          <t>AKÜ,L3,DK72AH,IGYA,EFB BOOSTERPREMIUMMAX</t>
        </is>
      </c>
      <c r="D1269" s="19" t="inlineStr">
        <is>
          <t>1</t>
        </is>
      </c>
      <c r="E1269" t="n">
        <v>0</v>
      </c>
      <c r="I1269" s="19" t="inlineStr">
        <is>
          <t>2</t>
        </is>
      </c>
      <c r="J1269" t="inlineStr">
        <is>
          <t>2026-08-08</t>
        </is>
      </c>
      <c r="L1269" s="19" t="inlineStr">
        <is>
          <t>1014201</t>
        </is>
      </c>
      <c r="M1269" t="inlineStr">
        <is>
          <t>STATUS=IN OEM / EU PACKAGE; SOURCE_CFG=IA-ST-CFG-0134; MARKET=BOOSTER</t>
        </is>
      </c>
      <c r="N1269" t="inlineStr">
        <is>
          <t>2026-08-10T19:29:54Z</t>
        </is>
      </c>
      <c r="O1269" t="inlineStr">
        <is>
          <t>2026-08-10T19:29:54Z</t>
        </is>
      </c>
    </row>
    <row r="1270">
      <c r="A1270" s="19" t="inlineStr">
        <is>
          <t>1269</t>
        </is>
      </c>
      <c r="B1270" s="19" t="inlineStr">
        <is>
          <t>1014202</t>
        </is>
      </c>
      <c r="C1270" t="inlineStr">
        <is>
          <t>AKÜ,LB2,DK,60AH,IGYA SMF,EFB S&amp;S,LUCAS</t>
        </is>
      </c>
      <c r="D1270" s="19" t="inlineStr">
        <is>
          <t>1</t>
        </is>
      </c>
      <c r="E1270" t="n">
        <v>0</v>
      </c>
      <c r="I1270" s="19" t="inlineStr">
        <is>
          <t>2</t>
        </is>
      </c>
      <c r="J1270" t="inlineStr">
        <is>
          <t>2026-08-08</t>
        </is>
      </c>
      <c r="L1270" s="19" t="inlineStr">
        <is>
          <t>1014202</t>
        </is>
      </c>
      <c r="M1270" t="inlineStr">
        <is>
          <t>STATUS=IN OEM / EU PACKAGE; SOURCE_CFG=IA-ST-CFG-0222; MARKET=REY &amp; LENFERNA LUCAS</t>
        </is>
      </c>
      <c r="N1270" t="inlineStr">
        <is>
          <t>2026-08-10T19:29:54Z</t>
        </is>
      </c>
      <c r="O1270" t="inlineStr">
        <is>
          <t>2026-08-10T19:29:54Z</t>
        </is>
      </c>
    </row>
    <row r="1271">
      <c r="A1271" s="19" t="inlineStr">
        <is>
          <t>1270</t>
        </is>
      </c>
      <c r="B1271" s="19" t="inlineStr">
        <is>
          <t>1014203</t>
        </is>
      </c>
      <c r="C1271" t="inlineStr">
        <is>
          <t>AKÜ,LB3,DK,65AH,IGYA SMF,EFB S&amp;S,LUCAS</t>
        </is>
      </c>
      <c r="D1271" s="19" t="inlineStr">
        <is>
          <t>1</t>
        </is>
      </c>
      <c r="E1271" t="n">
        <v>0</v>
      </c>
      <c r="I1271" s="19" t="inlineStr">
        <is>
          <t>2</t>
        </is>
      </c>
      <c r="J1271" t="inlineStr">
        <is>
          <t>2026-08-08</t>
        </is>
      </c>
      <c r="L1271" s="19" t="inlineStr">
        <is>
          <t>1014203</t>
        </is>
      </c>
      <c r="M1271" t="inlineStr">
        <is>
          <t>STATUS=IN OEM / EU PACKAGE; SOURCE_CFG=IA-ST-CFG-0178; MARKET=REY &amp; LENFERNA LUCAS</t>
        </is>
      </c>
      <c r="N1271" t="inlineStr">
        <is>
          <t>2026-08-10T19:29:54Z</t>
        </is>
      </c>
      <c r="O1271" t="inlineStr">
        <is>
          <t>2026-08-10T19:29:54Z</t>
        </is>
      </c>
    </row>
    <row r="1272">
      <c r="A1272" s="19" t="inlineStr">
        <is>
          <t>1271</t>
        </is>
      </c>
      <c r="B1272" s="19" t="inlineStr">
        <is>
          <t>1014204</t>
        </is>
      </c>
      <c r="C1272" t="inlineStr">
        <is>
          <t>AKÜ,LB4,DK,75AH,IGYA SMF,EFB S&amp;S,LUCAS</t>
        </is>
      </c>
      <c r="D1272" s="19" t="inlineStr">
        <is>
          <t>1</t>
        </is>
      </c>
      <c r="E1272" t="n">
        <v>0</v>
      </c>
      <c r="I1272" s="19" t="inlineStr">
        <is>
          <t>2</t>
        </is>
      </c>
      <c r="J1272" t="inlineStr">
        <is>
          <t>2026-08-08</t>
        </is>
      </c>
      <c r="L1272" s="19" t="inlineStr">
        <is>
          <t>1014204</t>
        </is>
      </c>
      <c r="M1272" t="inlineStr">
        <is>
          <t>STATUS=IN OEM / EU PACKAGE; SOURCE_CFG=IA-ST-CFG-0142; MARKET=REY &amp; LENFERNA LUCAS</t>
        </is>
      </c>
      <c r="N1272" t="inlineStr">
        <is>
          <t>2026-08-10T19:29:54Z</t>
        </is>
      </c>
      <c r="O1272" t="inlineStr">
        <is>
          <t>2026-08-10T19:29:54Z</t>
        </is>
      </c>
    </row>
    <row r="1273">
      <c r="A1273" s="19" t="inlineStr">
        <is>
          <t>1272</t>
        </is>
      </c>
      <c r="B1273" s="19" t="inlineStr">
        <is>
          <t>1014205</t>
        </is>
      </c>
      <c r="C1273" t="inlineStr">
        <is>
          <t>AKÜ,L5,DK,90AH,IGYA SMF,EFB S&amp;S,LUCAS</t>
        </is>
      </c>
      <c r="D1273" s="19" t="inlineStr">
        <is>
          <t>1</t>
        </is>
      </c>
      <c r="E1273" t="n">
        <v>0</v>
      </c>
      <c r="I1273" s="19" t="inlineStr">
        <is>
          <t>2</t>
        </is>
      </c>
      <c r="J1273" t="inlineStr">
        <is>
          <t>2026-08-08</t>
        </is>
      </c>
      <c r="L1273" s="19" t="inlineStr">
        <is>
          <t>1014205</t>
        </is>
      </c>
      <c r="M1273" t="inlineStr">
        <is>
          <t>STATUS=IN OEM / EU PACKAGE; SOURCE_CFG=IA-ST-CFG-0096; MARKET=REY &amp; LENFERNA LUCAS</t>
        </is>
      </c>
      <c r="N1273" t="inlineStr">
        <is>
          <t>2026-08-10T19:29:54Z</t>
        </is>
      </c>
      <c r="O1273" t="inlineStr">
        <is>
          <t>2026-08-10T19:29:54Z</t>
        </is>
      </c>
    </row>
    <row r="1274">
      <c r="A1274" s="19" t="inlineStr">
        <is>
          <t>1273</t>
        </is>
      </c>
      <c r="B1274" s="19" t="inlineStr">
        <is>
          <t>1014210</t>
        </is>
      </c>
      <c r="C1274" t="inlineStr">
        <is>
          <t>AKÜ,L2,DK,60AH,IGYSMF,BLIZZ.EFB S&amp;S,EURO</t>
        </is>
      </c>
      <c r="D1274" s="19" t="inlineStr">
        <is>
          <t>1</t>
        </is>
      </c>
      <c r="E1274" t="n">
        <v>0</v>
      </c>
      <c r="I1274" s="19" t="inlineStr">
        <is>
          <t>2</t>
        </is>
      </c>
      <c r="J1274" t="inlineStr">
        <is>
          <t>2026-08-08</t>
        </is>
      </c>
      <c r="L1274" s="19" t="inlineStr">
        <is>
          <t>1014210</t>
        </is>
      </c>
      <c r="M1274" t="inlineStr">
        <is>
          <t>STATUS=IN OEM / EU PACKAGE; SOURCE_CFG=IA-ST-CFG-0163; MARKET=None</t>
        </is>
      </c>
      <c r="N1274" t="inlineStr">
        <is>
          <t>2026-08-10T19:29:54Z</t>
        </is>
      </c>
      <c r="O1274" t="inlineStr">
        <is>
          <t>2026-08-10T19:29:54Z</t>
        </is>
      </c>
    </row>
    <row r="1275">
      <c r="A1275" s="19" t="inlineStr">
        <is>
          <t>1274</t>
        </is>
      </c>
      <c r="B1275" s="19" t="inlineStr">
        <is>
          <t>1014213</t>
        </is>
      </c>
      <c r="C1275" t="inlineStr">
        <is>
          <t>AKÜ,D23,DK,65AH,IGYSMF,BLIZZ.EFBS&amp;S,EURO</t>
        </is>
      </c>
      <c r="D1275" s="19" t="inlineStr">
        <is>
          <t>1</t>
        </is>
      </c>
      <c r="E1275" t="n">
        <v>0</v>
      </c>
      <c r="I1275" s="19" t="inlineStr">
        <is>
          <t>2</t>
        </is>
      </c>
      <c r="J1275" t="inlineStr">
        <is>
          <t>2026-08-08</t>
        </is>
      </c>
      <c r="L1275" s="19" t="inlineStr">
        <is>
          <t>1014213</t>
        </is>
      </c>
      <c r="M1275" t="inlineStr">
        <is>
          <t>STATUS=IN OEM / EU PACKAGE; SOURCE_CFG=IA-ST-CFG-0171; MARKET=None</t>
        </is>
      </c>
      <c r="N1275" t="inlineStr">
        <is>
          <t>2026-08-10T19:29:54Z</t>
        </is>
      </c>
      <c r="O1275" t="inlineStr">
        <is>
          <t>2026-08-10T19:29:54Z</t>
        </is>
      </c>
    </row>
    <row r="1276">
      <c r="A1276" s="19" t="inlineStr">
        <is>
          <t>1275</t>
        </is>
      </c>
      <c r="B1276" s="19" t="inlineStr">
        <is>
          <t>1014220</t>
        </is>
      </c>
      <c r="C1276" t="inlineStr">
        <is>
          <t>AKÜ,L3,DK,76AH,IGYA,SUNTECH,TÜRKMENİSTAN</t>
        </is>
      </c>
      <c r="D1276" s="19" t="inlineStr">
        <is>
          <t>1</t>
        </is>
      </c>
      <c r="E1276" t="n">
        <v>0</v>
      </c>
      <c r="I1276" s="19" t="inlineStr">
        <is>
          <t>2</t>
        </is>
      </c>
      <c r="J1276" t="inlineStr">
        <is>
          <t>2026-08-08</t>
        </is>
      </c>
      <c r="L1276" s="19" t="inlineStr">
        <is>
          <t>1014220</t>
        </is>
      </c>
      <c r="M1276" t="inlineStr">
        <is>
          <t>STATUS=IN OEM / EU PACKAGE; SOURCE_CFG=IA-ST-CFG-0179; MARKET=TÜRKMENİSTAN</t>
        </is>
      </c>
      <c r="N1276" t="inlineStr">
        <is>
          <t>2026-08-10T19:29:54Z</t>
        </is>
      </c>
      <c r="O1276" t="inlineStr">
        <is>
          <t>2026-08-10T19:29:54Z</t>
        </is>
      </c>
    </row>
    <row r="1277">
      <c r="A1277" s="19" t="inlineStr">
        <is>
          <t>1276</t>
        </is>
      </c>
      <c r="B1277" s="19" t="inlineStr">
        <is>
          <t>1014221</t>
        </is>
      </c>
      <c r="C1277" t="inlineStr">
        <is>
          <t>AKÜ,LB2,DK,62AH,IGYA,SUNTECH,TÜRKMENİSTN</t>
        </is>
      </c>
      <c r="D1277" s="19" t="inlineStr">
        <is>
          <t>1</t>
        </is>
      </c>
      <c r="E1277" t="n">
        <v>0</v>
      </c>
      <c r="I1277" s="19" t="inlineStr">
        <is>
          <t>2</t>
        </is>
      </c>
      <c r="J1277" t="inlineStr">
        <is>
          <t>2026-08-08</t>
        </is>
      </c>
      <c r="L1277" s="19" t="inlineStr">
        <is>
          <t>1014221</t>
        </is>
      </c>
      <c r="M1277" t="inlineStr">
        <is>
          <t>STATUS=IN OEM / EU PACKAGE; SOURCE_CFG=IA-ST-CFG-0222; MARKET=TÜRKMENİSTAN</t>
        </is>
      </c>
      <c r="N1277" t="inlineStr">
        <is>
          <t>2026-08-10T19:29:54Z</t>
        </is>
      </c>
      <c r="O1277" t="inlineStr">
        <is>
          <t>2026-08-10T19:29:54Z</t>
        </is>
      </c>
    </row>
    <row r="1278">
      <c r="A1278" s="19" t="inlineStr">
        <is>
          <t>1277</t>
        </is>
      </c>
      <c r="B1278" s="19" t="inlineStr">
        <is>
          <t>1014222</t>
        </is>
      </c>
      <c r="C1278" t="inlineStr">
        <is>
          <t>AKÜ,C-IGYASMF,DK225AH,İNCİFORMTAU,SHDNEW</t>
        </is>
      </c>
      <c r="D1278" s="19" t="inlineStr">
        <is>
          <t>1</t>
        </is>
      </c>
      <c r="E1278" t="n">
        <v>0</v>
      </c>
      <c r="I1278" s="19" t="inlineStr">
        <is>
          <t>2</t>
        </is>
      </c>
      <c r="J1278" t="inlineStr">
        <is>
          <t>2026-08-08</t>
        </is>
      </c>
      <c r="L1278" s="19" t="inlineStr">
        <is>
          <t>1014222</t>
        </is>
      </c>
      <c r="M1278" t="inlineStr">
        <is>
          <t>STATUS=IN OEM / EU PACKAGE; SOURCE_CFG=IA-ST-CFG-0023; MARKET=None</t>
        </is>
      </c>
      <c r="N1278" t="inlineStr">
        <is>
          <t>2026-08-10T19:29:54Z</t>
        </is>
      </c>
      <c r="O1278" t="inlineStr">
        <is>
          <t>2026-08-10T19:29:54Z</t>
        </is>
      </c>
    </row>
    <row r="1279">
      <c r="A1279" s="19" t="inlineStr">
        <is>
          <t>1278</t>
        </is>
      </c>
      <c r="B1279" s="19" t="inlineStr">
        <is>
          <t>1014223</t>
        </is>
      </c>
      <c r="C1279" t="inlineStr">
        <is>
          <t>AKÜ,LB3,DK,72AH,IGYA SMF,EAS ACTIVA</t>
        </is>
      </c>
      <c r="D1279" s="19" t="inlineStr">
        <is>
          <t>1</t>
        </is>
      </c>
      <c r="E1279" t="n">
        <v>0</v>
      </c>
      <c r="I1279" s="19" t="inlineStr">
        <is>
          <t>2</t>
        </is>
      </c>
      <c r="J1279" t="inlineStr">
        <is>
          <t>2026-08-08</t>
        </is>
      </c>
      <c r="L1279" s="19" t="inlineStr">
        <is>
          <t>1014223</t>
        </is>
      </c>
      <c r="M1279" t="inlineStr">
        <is>
          <t>STATUS=IN OEM / EU PACKAGE; SOURCE_CFG=IA-ST-CFG-0178; MARKET=None</t>
        </is>
      </c>
      <c r="N1279" t="inlineStr">
        <is>
          <t>2026-08-10T19:29:54Z</t>
        </is>
      </c>
      <c r="O1279" t="inlineStr">
        <is>
          <t>2026-08-10T19:29:54Z</t>
        </is>
      </c>
    </row>
    <row r="1280">
      <c r="A1280" s="19" t="inlineStr">
        <is>
          <t>1279</t>
        </is>
      </c>
      <c r="B1280" s="19" t="inlineStr">
        <is>
          <t>1014253</t>
        </is>
      </c>
      <c r="C1280" t="inlineStr">
        <is>
          <t>AKÜ,L5,DK,100AH,IGYSMF,YBX7019-100,GYEUR</t>
        </is>
      </c>
      <c r="D1280" s="19" t="inlineStr">
        <is>
          <t>1</t>
        </is>
      </c>
      <c r="E1280" t="n">
        <v>0</v>
      </c>
      <c r="I1280" s="19" t="inlineStr">
        <is>
          <t>2</t>
        </is>
      </c>
      <c r="J1280" t="inlineStr">
        <is>
          <t>2026-08-08</t>
        </is>
      </c>
      <c r="L1280" s="19" t="inlineStr">
        <is>
          <t>1014253</t>
        </is>
      </c>
      <c r="M1280" t="inlineStr">
        <is>
          <t>STATUS=IN OEM / EU PACKAGE; SOURCE_CFG=IA-ST-CFG-0068; MARKET=GY EUR</t>
        </is>
      </c>
      <c r="N1280" t="inlineStr">
        <is>
          <t>2026-08-10T19:29:54Z</t>
        </is>
      </c>
      <c r="O1280" t="inlineStr">
        <is>
          <t>2026-08-10T19:29:54Z</t>
        </is>
      </c>
    </row>
    <row r="1281">
      <c r="A1281" s="19" t="inlineStr">
        <is>
          <t>1280</t>
        </is>
      </c>
      <c r="B1281" s="19" t="inlineStr">
        <is>
          <t>1014254</t>
        </is>
      </c>
      <c r="C1281" t="inlineStr">
        <is>
          <t>AKÜ,L5DK100AH,IGYSMF,NONAME7019-100GYEUR</t>
        </is>
      </c>
      <c r="D1281" s="19" t="inlineStr">
        <is>
          <t>1</t>
        </is>
      </c>
      <c r="E1281" t="n">
        <v>0</v>
      </c>
      <c r="I1281" s="19" t="inlineStr">
        <is>
          <t>2</t>
        </is>
      </c>
      <c r="J1281" t="inlineStr">
        <is>
          <t>2026-08-08</t>
        </is>
      </c>
      <c r="L1281" s="19" t="inlineStr">
        <is>
          <t>1014254</t>
        </is>
      </c>
      <c r="M1281" t="inlineStr">
        <is>
          <t>STATUS=IN OEM / EU PACKAGE; SOURCE_CFG=IA-ST-CFG-0068; MARKET=GY EUR</t>
        </is>
      </c>
      <c r="N1281" t="inlineStr">
        <is>
          <t>2026-08-10T19:29:54Z</t>
        </is>
      </c>
      <c r="O1281" t="inlineStr">
        <is>
          <t>2026-08-10T19:29:54Z</t>
        </is>
      </c>
    </row>
    <row r="1282">
      <c r="A1282" s="19" t="inlineStr">
        <is>
          <t>1281</t>
        </is>
      </c>
      <c r="B1282" s="19" t="inlineStr">
        <is>
          <t>1014255</t>
        </is>
      </c>
      <c r="C1282" t="inlineStr">
        <is>
          <t>AKÜ,L3,DK,75AH,IGYASMF,YBX7096-075,GYEUR</t>
        </is>
      </c>
      <c r="D1282" s="19" t="inlineStr">
        <is>
          <t>1</t>
        </is>
      </c>
      <c r="E1282" t="n">
        <v>0</v>
      </c>
      <c r="I1282" s="19" t="inlineStr">
        <is>
          <t>2</t>
        </is>
      </c>
      <c r="J1282" t="inlineStr">
        <is>
          <t>2026-08-08</t>
        </is>
      </c>
      <c r="L1282" s="19" t="inlineStr">
        <is>
          <t>1014255</t>
        </is>
      </c>
      <c r="M1282" t="inlineStr">
        <is>
          <t>STATUS=IN OEM / EU PACKAGE; SOURCE_CFG=IA-ST-CFG-0103; MARKET=GY EUR</t>
        </is>
      </c>
      <c r="N1282" t="inlineStr">
        <is>
          <t>2026-08-10T19:29:54Z</t>
        </is>
      </c>
      <c r="O1282" t="inlineStr">
        <is>
          <t>2026-08-10T19:29:54Z</t>
        </is>
      </c>
    </row>
    <row r="1283">
      <c r="A1283" s="19" t="inlineStr">
        <is>
          <t>1282</t>
        </is>
      </c>
      <c r="B1283" s="19" t="inlineStr">
        <is>
          <t>1014256</t>
        </is>
      </c>
      <c r="C1283" t="inlineStr">
        <is>
          <t>AKÜ,L3DK75AH,IGYASMF,NONAME7096-075GYEUR</t>
        </is>
      </c>
      <c r="D1283" s="19" t="inlineStr">
        <is>
          <t>1</t>
        </is>
      </c>
      <c r="E1283" t="n">
        <v>0</v>
      </c>
      <c r="I1283" s="19" t="inlineStr">
        <is>
          <t>2</t>
        </is>
      </c>
      <c r="J1283" t="inlineStr">
        <is>
          <t>2026-08-08</t>
        </is>
      </c>
      <c r="L1283" s="19" t="inlineStr">
        <is>
          <t>1014256</t>
        </is>
      </c>
      <c r="M1283" t="inlineStr">
        <is>
          <t>STATUS=IN OEM / EU PACKAGE; SOURCE_CFG=IA-ST-CFG-0103; MARKET=GY EUR</t>
        </is>
      </c>
      <c r="N1283" t="inlineStr">
        <is>
          <t>2026-08-10T19:29:54Z</t>
        </is>
      </c>
      <c r="O1283" t="inlineStr">
        <is>
          <t>2026-08-10T19:29:54Z</t>
        </is>
      </c>
    </row>
    <row r="1284">
      <c r="A1284" s="19" t="inlineStr">
        <is>
          <t>1283</t>
        </is>
      </c>
      <c r="B1284" s="19" t="inlineStr">
        <is>
          <t>1014258</t>
        </is>
      </c>
      <c r="C1284" t="inlineStr">
        <is>
          <t>AKÜ AGM,L4,DK,80AH,HUGEL AGM S&amp;S,EURO</t>
        </is>
      </c>
      <c r="D1284" s="19" t="inlineStr">
        <is>
          <t>1</t>
        </is>
      </c>
      <c r="E1284" t="n">
        <v>0</v>
      </c>
      <c r="I1284" s="19" t="inlineStr">
        <is>
          <t>2</t>
        </is>
      </c>
      <c r="J1284" t="inlineStr">
        <is>
          <t>2026-08-08</t>
        </is>
      </c>
      <c r="L1284" s="19" t="inlineStr">
        <is>
          <t>1014258</t>
        </is>
      </c>
      <c r="M1284" t="inlineStr">
        <is>
          <t>STATUS=IN OEM / EU PACKAGE; SOURCE_CFG=IA-ST-CFG-0086; MARKET=None</t>
        </is>
      </c>
      <c r="N1284" t="inlineStr">
        <is>
          <t>2026-08-10T19:29:54Z</t>
        </is>
      </c>
      <c r="O1284" t="inlineStr">
        <is>
          <t>2026-08-10T19:29:54Z</t>
        </is>
      </c>
    </row>
    <row r="1285">
      <c r="A1285" s="19" t="inlineStr">
        <is>
          <t>1284</t>
        </is>
      </c>
      <c r="B1285" s="19" t="inlineStr">
        <is>
          <t>1014268</t>
        </is>
      </c>
      <c r="C1285" t="inlineStr">
        <is>
          <t>AKÜ,L2,TK,60AH,IGYASMF,BLIZ SILVR,JANENE</t>
        </is>
      </c>
      <c r="D1285" s="19" t="inlineStr">
        <is>
          <t>1</t>
        </is>
      </c>
      <c r="E1285" t="n">
        <v>0</v>
      </c>
      <c r="I1285" s="19" t="inlineStr">
        <is>
          <t>2</t>
        </is>
      </c>
      <c r="J1285" t="inlineStr">
        <is>
          <t>2026-08-08</t>
        </is>
      </c>
      <c r="L1285" s="19" t="inlineStr">
        <is>
          <t>1014268</t>
        </is>
      </c>
      <c r="M1285" t="inlineStr">
        <is>
          <t>STATUS=IN OEM / EU PACKAGE; SOURCE_CFG=IA-ST-CFG-0222; MARKET=JANENE İSRAİL</t>
        </is>
      </c>
      <c r="N1285" t="inlineStr">
        <is>
          <t>2026-08-10T19:29:54Z</t>
        </is>
      </c>
      <c r="O1285" t="inlineStr">
        <is>
          <t>2026-08-10T19:29:54Z</t>
        </is>
      </c>
    </row>
    <row r="1286">
      <c r="A1286" s="19" t="inlineStr">
        <is>
          <t>1285</t>
        </is>
      </c>
      <c r="B1286" s="19" t="inlineStr">
        <is>
          <t>1014269</t>
        </is>
      </c>
      <c r="C1286" t="inlineStr">
        <is>
          <t>AKÜ AGM,L2,DK,60AH,VRLA,BLIZZARO AGM S&amp;S</t>
        </is>
      </c>
      <c r="D1286" s="19" t="inlineStr">
        <is>
          <t>1</t>
        </is>
      </c>
      <c r="E1286" t="n">
        <v>0</v>
      </c>
      <c r="I1286" s="19" t="inlineStr">
        <is>
          <t>2</t>
        </is>
      </c>
      <c r="J1286" t="inlineStr">
        <is>
          <t>2026-08-08</t>
        </is>
      </c>
      <c r="L1286" s="19" t="inlineStr">
        <is>
          <t>1014269</t>
        </is>
      </c>
      <c r="M1286" t="inlineStr">
        <is>
          <t>STATUS=IN OEM / EU PACKAGE; SOURCE_CFG=IA-ST-CFG-0222; MARKET=None</t>
        </is>
      </c>
      <c r="N1286" t="inlineStr">
        <is>
          <t>2026-08-10T19:29:54Z</t>
        </is>
      </c>
      <c r="O1286" t="inlineStr">
        <is>
          <t>2026-08-10T19:29:54Z</t>
        </is>
      </c>
    </row>
    <row r="1287">
      <c r="A1287" s="19" t="inlineStr">
        <is>
          <t>1286</t>
        </is>
      </c>
      <c r="B1287" s="19" t="inlineStr">
        <is>
          <t>1014270</t>
        </is>
      </c>
      <c r="C1287" t="inlineStr">
        <is>
          <t>AKÜ AGM,L3,DK,70AH,VRLA,BLIZZARO AGM S&amp;S</t>
        </is>
      </c>
      <c r="D1287" s="19" t="inlineStr">
        <is>
          <t>1</t>
        </is>
      </c>
      <c r="E1287" t="n">
        <v>0</v>
      </c>
      <c r="I1287" s="19" t="inlineStr">
        <is>
          <t>2</t>
        </is>
      </c>
      <c r="J1287" t="inlineStr">
        <is>
          <t>2026-08-08</t>
        </is>
      </c>
      <c r="L1287" s="19" t="inlineStr">
        <is>
          <t>1014270</t>
        </is>
      </c>
      <c r="M1287" t="inlineStr">
        <is>
          <t>STATUS=IN OEM / EU PACKAGE; SOURCE_CFG=IA-ST-CFG-0179; MARKET=None</t>
        </is>
      </c>
      <c r="N1287" t="inlineStr">
        <is>
          <t>2026-08-10T19:29:54Z</t>
        </is>
      </c>
      <c r="O1287" t="inlineStr">
        <is>
          <t>2026-08-10T19:29:54Z</t>
        </is>
      </c>
    </row>
    <row r="1288">
      <c r="A1288" s="19" t="inlineStr">
        <is>
          <t>1287</t>
        </is>
      </c>
      <c r="B1288" s="19" t="inlineStr">
        <is>
          <t>1014271</t>
        </is>
      </c>
      <c r="C1288" t="inlineStr">
        <is>
          <t>AKÜ AGM,L4,DK,80AH,VRLA,BLIZZARO AGM S&amp;S</t>
        </is>
      </c>
      <c r="D1288" s="19" t="inlineStr">
        <is>
          <t>1</t>
        </is>
      </c>
      <c r="E1288" t="n">
        <v>0</v>
      </c>
      <c r="I1288" s="19" t="inlineStr">
        <is>
          <t>2</t>
        </is>
      </c>
      <c r="J1288" t="inlineStr">
        <is>
          <t>2026-08-08</t>
        </is>
      </c>
      <c r="L1288" s="19" t="inlineStr">
        <is>
          <t>1014271</t>
        </is>
      </c>
      <c r="M1288" t="inlineStr">
        <is>
          <t>STATUS=IN OEM / EU PACKAGE; SOURCE_CFG=IA-ST-CFG-0142; MARKET=None</t>
        </is>
      </c>
      <c r="N1288" t="inlineStr">
        <is>
          <t>2026-08-10T19:29:54Z</t>
        </is>
      </c>
      <c r="O1288" t="inlineStr">
        <is>
          <t>2026-08-10T19:29:54Z</t>
        </is>
      </c>
    </row>
    <row r="1289">
      <c r="A1289" s="19" t="inlineStr">
        <is>
          <t>1288</t>
        </is>
      </c>
      <c r="B1289" s="19" t="inlineStr">
        <is>
          <t>1014272</t>
        </is>
      </c>
      <c r="C1289" t="inlineStr">
        <is>
          <t>AKÜ AGM,L5,DK,92AH,VRLA,BLIZZARO AGM S&amp;S</t>
        </is>
      </c>
      <c r="D1289" s="19" t="inlineStr">
        <is>
          <t>1</t>
        </is>
      </c>
      <c r="E1289" t="n">
        <v>0</v>
      </c>
      <c r="I1289" s="19" t="inlineStr">
        <is>
          <t>2</t>
        </is>
      </c>
      <c r="J1289" t="inlineStr">
        <is>
          <t>2026-08-08</t>
        </is>
      </c>
      <c r="L1289" s="19" t="inlineStr">
        <is>
          <t>1014272</t>
        </is>
      </c>
      <c r="M1289" t="inlineStr">
        <is>
          <t>STATUS=IN OEM / EU PACKAGE; SOURCE_CFG=IA-ST-CFG-0096; MARKET=None</t>
        </is>
      </c>
      <c r="N1289" t="inlineStr">
        <is>
          <t>2026-08-10T19:29:54Z</t>
        </is>
      </c>
      <c r="O1289" t="inlineStr">
        <is>
          <t>2026-08-10T19:29:54Z</t>
        </is>
      </c>
    </row>
    <row r="1290">
      <c r="A1290" s="19" t="inlineStr">
        <is>
          <t>1289</t>
        </is>
      </c>
      <c r="B1290" s="19" t="inlineStr">
        <is>
          <t>1014275</t>
        </is>
      </c>
      <c r="C1290" t="inlineStr">
        <is>
          <t>AKÜ,L2,DK,65AH,IGYASMF,BLIZZARO GOLDLINE</t>
        </is>
      </c>
      <c r="D1290" s="19" t="inlineStr">
        <is>
          <t>1</t>
        </is>
      </c>
      <c r="E1290" t="n">
        <v>0</v>
      </c>
      <c r="I1290" s="19" t="inlineStr">
        <is>
          <t>2</t>
        </is>
      </c>
      <c r="J1290" t="inlineStr">
        <is>
          <t>2026-08-08</t>
        </is>
      </c>
      <c r="L1290" s="19" t="inlineStr">
        <is>
          <t>1014275</t>
        </is>
      </c>
      <c r="M1290" t="inlineStr">
        <is>
          <t>STATUS=IN OEM / EU PACKAGE; SOURCE_CFG=IA-ST-CFG-0222; MARKET=None</t>
        </is>
      </c>
      <c r="N1290" t="inlineStr">
        <is>
          <t>2026-08-10T19:29:54Z</t>
        </is>
      </c>
      <c r="O1290" t="inlineStr">
        <is>
          <t>2026-08-10T19:29:54Z</t>
        </is>
      </c>
    </row>
    <row r="1291">
      <c r="A1291" s="19" t="inlineStr">
        <is>
          <t>1290</t>
        </is>
      </c>
      <c r="B1291" s="19" t="inlineStr">
        <is>
          <t>1014276</t>
        </is>
      </c>
      <c r="C1291" t="inlineStr">
        <is>
          <t>AKÜ,L3,DK,80AH,IGYASMF,BLIZZARO GOLDLINE</t>
        </is>
      </c>
      <c r="D1291" s="19" t="inlineStr">
        <is>
          <t>1</t>
        </is>
      </c>
      <c r="E1291" t="n">
        <v>0</v>
      </c>
      <c r="I1291" s="19" t="inlineStr">
        <is>
          <t>2</t>
        </is>
      </c>
      <c r="J1291" t="inlineStr">
        <is>
          <t>2026-08-08</t>
        </is>
      </c>
      <c r="L1291" s="19" t="inlineStr">
        <is>
          <t>1014276</t>
        </is>
      </c>
      <c r="M1291" t="inlineStr">
        <is>
          <t>STATUS=IN OEM / EU PACKAGE; SOURCE_CFG=IA-ST-CFG-0179; MARKET=None</t>
        </is>
      </c>
      <c r="N1291" t="inlineStr">
        <is>
          <t>2026-08-10T19:29:54Z</t>
        </is>
      </c>
      <c r="O1291" t="inlineStr">
        <is>
          <t>2026-08-10T19:29:54Z</t>
        </is>
      </c>
    </row>
    <row r="1292">
      <c r="A1292" s="19" t="inlineStr">
        <is>
          <t>1291</t>
        </is>
      </c>
      <c r="B1292" s="19" t="inlineStr">
        <is>
          <t>1014277</t>
        </is>
      </c>
      <c r="C1292" t="inlineStr">
        <is>
          <t>AKÜ,L5,DK,102AH,IGYSMF,BLIZZARO GOLDLINE</t>
        </is>
      </c>
      <c r="D1292" s="19" t="inlineStr">
        <is>
          <t>1</t>
        </is>
      </c>
      <c r="E1292" t="n">
        <v>0</v>
      </c>
      <c r="I1292" s="19" t="inlineStr">
        <is>
          <t>2</t>
        </is>
      </c>
      <c r="J1292" t="inlineStr">
        <is>
          <t>2026-08-08</t>
        </is>
      </c>
      <c r="L1292" s="19" t="inlineStr">
        <is>
          <t>1014277</t>
        </is>
      </c>
      <c r="M1292" t="inlineStr">
        <is>
          <t>STATUS=IN OEM / EU PACKAGE; SOURCE_CFG=IA-ST-CFG-0096; MARKET=None</t>
        </is>
      </c>
      <c r="N1292" t="inlineStr">
        <is>
          <t>2026-08-10T19:29:54Z</t>
        </is>
      </c>
      <c r="O1292" t="inlineStr">
        <is>
          <t>2026-08-10T19:29:54Z</t>
        </is>
      </c>
    </row>
    <row r="1293">
      <c r="A1293" s="19" t="inlineStr">
        <is>
          <t>1292</t>
        </is>
      </c>
      <c r="B1293" s="19" t="inlineStr">
        <is>
          <t>1014278</t>
        </is>
      </c>
      <c r="C1293" t="inlineStr">
        <is>
          <t>AKÜ,L2,DK,60AH,IGYSMF,BLIZZAROSILVERLINE</t>
        </is>
      </c>
      <c r="D1293" s="19" t="inlineStr">
        <is>
          <t>1</t>
        </is>
      </c>
      <c r="E1293" t="n">
        <v>0</v>
      </c>
      <c r="I1293" s="19" t="inlineStr">
        <is>
          <t>2</t>
        </is>
      </c>
      <c r="J1293" t="inlineStr">
        <is>
          <t>2026-08-08</t>
        </is>
      </c>
      <c r="L1293" s="19" t="inlineStr">
        <is>
          <t>1014278</t>
        </is>
      </c>
      <c r="M1293" t="inlineStr">
        <is>
          <t>STATUS=IN OEM / EU PACKAGE; SOURCE_CFG=IA-ST-CFG-0222; MARKET=None</t>
        </is>
      </c>
      <c r="N1293" t="inlineStr">
        <is>
          <t>2026-08-10T19:29:54Z</t>
        </is>
      </c>
      <c r="O1293" t="inlineStr">
        <is>
          <t>2026-08-10T19:29:54Z</t>
        </is>
      </c>
    </row>
    <row r="1294">
      <c r="A1294" s="19" t="inlineStr">
        <is>
          <t>1293</t>
        </is>
      </c>
      <c r="B1294" s="19" t="inlineStr">
        <is>
          <t>1014280</t>
        </is>
      </c>
      <c r="C1294" t="inlineStr">
        <is>
          <t>AKÜ,L3,DK,75AH,IGYSMF,BLIZZAROSILVERLINE</t>
        </is>
      </c>
      <c r="D1294" s="19" t="inlineStr">
        <is>
          <t>1</t>
        </is>
      </c>
      <c r="E1294" t="n">
        <v>0</v>
      </c>
      <c r="I1294" s="19" t="inlineStr">
        <is>
          <t>2</t>
        </is>
      </c>
      <c r="J1294" t="inlineStr">
        <is>
          <t>2026-08-08</t>
        </is>
      </c>
      <c r="L1294" s="19" t="inlineStr">
        <is>
          <t>1014280</t>
        </is>
      </c>
      <c r="M1294" t="inlineStr">
        <is>
          <t>STATUS=IN OEM / EU PACKAGE; SOURCE_CFG=IA-ST-CFG-0179; MARKET=None</t>
        </is>
      </c>
      <c r="N1294" t="inlineStr">
        <is>
          <t>2026-08-10T19:29:54Z</t>
        </is>
      </c>
      <c r="O1294" t="inlineStr">
        <is>
          <t>2026-08-10T19:29:54Z</t>
        </is>
      </c>
    </row>
    <row r="1295">
      <c r="A1295" s="19" t="inlineStr">
        <is>
          <t>1294</t>
        </is>
      </c>
      <c r="B1295" s="19" t="inlineStr">
        <is>
          <t>1014281</t>
        </is>
      </c>
      <c r="C1295" t="inlineStr">
        <is>
          <t>AKÜ,L5,DK,92AH,IGYSMF,BLIZZAROSILVERLINE</t>
        </is>
      </c>
      <c r="D1295" s="19" t="inlineStr">
        <is>
          <t>1</t>
        </is>
      </c>
      <c r="E1295" t="n">
        <v>0</v>
      </c>
      <c r="I1295" s="19" t="inlineStr">
        <is>
          <t>2</t>
        </is>
      </c>
      <c r="J1295" t="inlineStr">
        <is>
          <t>2026-08-08</t>
        </is>
      </c>
      <c r="L1295" s="19" t="inlineStr">
        <is>
          <t>1014281</t>
        </is>
      </c>
      <c r="M1295" t="inlineStr">
        <is>
          <t>STATUS=IN OEM / EU PACKAGE; SOURCE_CFG=IA-ST-CFG-0096; MARKET=None</t>
        </is>
      </c>
      <c r="N1295" t="inlineStr">
        <is>
          <t>2026-08-10T19:29:54Z</t>
        </is>
      </c>
      <c r="O1295" t="inlineStr">
        <is>
          <t>2026-08-10T19:29:54Z</t>
        </is>
      </c>
    </row>
    <row r="1296">
      <c r="A1296" s="19" t="inlineStr">
        <is>
          <t>1295</t>
        </is>
      </c>
      <c r="B1296" s="19" t="inlineStr">
        <is>
          <t>1014283</t>
        </is>
      </c>
      <c r="C1296" t="inlineStr">
        <is>
          <t>AKÜ,NS60,DK,45AH,IGYSMF,BLIZZAROSILVRLNE</t>
        </is>
      </c>
      <c r="D1296" s="19" t="inlineStr">
        <is>
          <t>1</t>
        </is>
      </c>
      <c r="E1296" t="n">
        <v>0</v>
      </c>
      <c r="I1296" s="19" t="inlineStr">
        <is>
          <t>2</t>
        </is>
      </c>
      <c r="J1296" t="inlineStr">
        <is>
          <t>2026-08-08</t>
        </is>
      </c>
      <c r="L1296" s="19" t="inlineStr">
        <is>
          <t>1014283</t>
        </is>
      </c>
      <c r="M1296" t="inlineStr">
        <is>
          <t>STATUS=IN OEM / EU PACKAGE; SOURCE_CFG=IA-ST-CFG-0272; MARKET=None</t>
        </is>
      </c>
      <c r="N1296" t="inlineStr">
        <is>
          <t>2026-08-10T19:29:54Z</t>
        </is>
      </c>
      <c r="O1296" t="inlineStr">
        <is>
          <t>2026-08-10T19:29:54Z</t>
        </is>
      </c>
    </row>
    <row r="1297">
      <c r="A1297" s="19" t="inlineStr">
        <is>
          <t>1296</t>
        </is>
      </c>
      <c r="B1297" s="19" t="inlineStr">
        <is>
          <t>1014285</t>
        </is>
      </c>
      <c r="C1297" t="inlineStr">
        <is>
          <t>AKÜ,D26,DK,75AH,IGYSMF,BLIZZAROSILVERLNE</t>
        </is>
      </c>
      <c r="D1297" s="19" t="inlineStr">
        <is>
          <t>1</t>
        </is>
      </c>
      <c r="E1297" t="n">
        <v>0</v>
      </c>
      <c r="I1297" s="19" t="inlineStr">
        <is>
          <t>2</t>
        </is>
      </c>
      <c r="J1297" t="inlineStr">
        <is>
          <t>2026-08-08</t>
        </is>
      </c>
      <c r="L1297" s="19" t="inlineStr">
        <is>
          <t>1014285</t>
        </is>
      </c>
      <c r="M1297" t="inlineStr">
        <is>
          <t>STATUS=IN OEM / EU PACKAGE; SOURCE_CFG=IA-ST-CFG-0175; MARKET=None</t>
        </is>
      </c>
      <c r="N1297" t="inlineStr">
        <is>
          <t>2026-08-10T19:29:54Z</t>
        </is>
      </c>
      <c r="O1297" t="inlineStr">
        <is>
          <t>2026-08-10T19:29:54Z</t>
        </is>
      </c>
    </row>
    <row r="1298">
      <c r="A1298" s="19" t="inlineStr">
        <is>
          <t>1297</t>
        </is>
      </c>
      <c r="B1298" s="19" t="inlineStr">
        <is>
          <t>1014307</t>
        </is>
      </c>
      <c r="C1298" t="inlineStr">
        <is>
          <t>AKÜ,A-IGYA,TK135AH,FORMULA,SHDNEW,YANMAR</t>
        </is>
      </c>
      <c r="D1298" s="19" t="inlineStr">
        <is>
          <t>1</t>
        </is>
      </c>
      <c r="E1298" t="n">
        <v>0</v>
      </c>
      <c r="I1298" s="19" t="inlineStr">
        <is>
          <t>2</t>
        </is>
      </c>
      <c r="J1298" t="inlineStr">
        <is>
          <t>2026-08-08</t>
        </is>
      </c>
      <c r="L1298" s="19" t="inlineStr">
        <is>
          <t>1014307</t>
        </is>
      </c>
      <c r="M1298" t="inlineStr">
        <is>
          <t>STATUS=IN OEM / EU PACKAGE; SOURCE_CFG=IA-ST-CFG-0054; MARKET=YANMAR OEM (SOLİS) (Yurt İçi)</t>
        </is>
      </c>
      <c r="N1298" t="inlineStr">
        <is>
          <t>2026-08-10T19:29:54Z</t>
        </is>
      </c>
      <c r="O1298" t="inlineStr">
        <is>
          <t>2026-08-10T19:29:54Z</t>
        </is>
      </c>
    </row>
    <row r="1299">
      <c r="A1299" s="19" t="inlineStr">
        <is>
          <t>1298</t>
        </is>
      </c>
      <c r="B1299" s="19" t="inlineStr">
        <is>
          <t>1014311</t>
        </is>
      </c>
      <c r="C1299" t="inlineStr">
        <is>
          <t>AKÜ,L2DK,60AH,VRLA,AGMYBX9027-060,EXPORT</t>
        </is>
      </c>
      <c r="D1299" s="19" t="inlineStr">
        <is>
          <t>1</t>
        </is>
      </c>
      <c r="E1299" t="n">
        <v>0</v>
      </c>
      <c r="I1299" s="19" t="inlineStr">
        <is>
          <t>2</t>
        </is>
      </c>
      <c r="J1299" t="inlineStr">
        <is>
          <t>2026-08-08</t>
        </is>
      </c>
      <c r="L1299" s="19" t="inlineStr">
        <is>
          <t>1014311</t>
        </is>
      </c>
      <c r="M1299" t="inlineStr">
        <is>
          <t>STATUS=IN OEM / EU PACKAGE; SOURCE_CFG=IA-ST-CFG-0106; MARKET=YUASA 9000 AGM EXPORT</t>
        </is>
      </c>
      <c r="N1299" t="inlineStr">
        <is>
          <t>2026-08-10T19:29:54Z</t>
        </is>
      </c>
      <c r="O1299" t="inlineStr">
        <is>
          <t>2026-08-10T19:29:54Z</t>
        </is>
      </c>
    </row>
    <row r="1300">
      <c r="A1300" s="19" t="inlineStr">
        <is>
          <t>1299</t>
        </is>
      </c>
      <c r="B1300" s="19" t="inlineStr">
        <is>
          <t>1014312</t>
        </is>
      </c>
      <c r="C1300" t="inlineStr">
        <is>
          <t>AKÜ,L3DK,70AH,VRLA,AGMYBX9096-070,EXPORT</t>
        </is>
      </c>
      <c r="D1300" s="19" t="inlineStr">
        <is>
          <t>1</t>
        </is>
      </c>
      <c r="E1300" t="n">
        <v>0</v>
      </c>
      <c r="I1300" s="19" t="inlineStr">
        <is>
          <t>2</t>
        </is>
      </c>
      <c r="J1300" t="inlineStr">
        <is>
          <t>2026-08-08</t>
        </is>
      </c>
      <c r="L1300" s="19" t="inlineStr">
        <is>
          <t>1014312</t>
        </is>
      </c>
      <c r="M1300" t="inlineStr">
        <is>
          <t>STATUS=IN OEM / EU PACKAGE; SOURCE_CFG=IA-ST-CFG-0078; MARKET=YUASA 9000 AGM EXPORT</t>
        </is>
      </c>
      <c r="N1300" t="inlineStr">
        <is>
          <t>2026-08-10T19:29:54Z</t>
        </is>
      </c>
      <c r="O1300" t="inlineStr">
        <is>
          <t>2026-08-10T19:29:54Z</t>
        </is>
      </c>
    </row>
    <row r="1301">
      <c r="A1301" s="19" t="inlineStr">
        <is>
          <t>1300</t>
        </is>
      </c>
      <c r="B1301" s="19" t="inlineStr">
        <is>
          <t>1014313</t>
        </is>
      </c>
      <c r="C1301" t="inlineStr">
        <is>
          <t>AKÜ,L4DK,80AH,VRLA,AGMYBX9115-080,EXPORT</t>
        </is>
      </c>
      <c r="D1301" s="19" t="inlineStr">
        <is>
          <t>1</t>
        </is>
      </c>
      <c r="E1301" t="n">
        <v>0</v>
      </c>
      <c r="I1301" s="19" t="inlineStr">
        <is>
          <t>2</t>
        </is>
      </c>
      <c r="J1301" t="inlineStr">
        <is>
          <t>2026-08-08</t>
        </is>
      </c>
      <c r="L1301" s="19" t="inlineStr">
        <is>
          <t>1014313</t>
        </is>
      </c>
      <c r="M1301" t="inlineStr">
        <is>
          <t>STATUS=IN OEM / EU PACKAGE; SOURCE_CFG=IA-ST-CFG-0063; MARKET=YUASA 9000 AGM EXPORT</t>
        </is>
      </c>
      <c r="N1301" t="inlineStr">
        <is>
          <t>2026-08-10T19:29:54Z</t>
        </is>
      </c>
      <c r="O1301" t="inlineStr">
        <is>
          <t>2026-08-10T19:29:54Z</t>
        </is>
      </c>
    </row>
    <row r="1302">
      <c r="A1302" s="19" t="inlineStr">
        <is>
          <t>1301</t>
        </is>
      </c>
      <c r="B1302" s="19" t="inlineStr">
        <is>
          <t>1014314</t>
        </is>
      </c>
      <c r="C1302" t="inlineStr">
        <is>
          <t>AKÜ,L5DK,95AH,VRLA,AGMYBX9019-095,EXPORT</t>
        </is>
      </c>
      <c r="D1302" s="19" t="inlineStr">
        <is>
          <t>1</t>
        </is>
      </c>
      <c r="E1302" t="n">
        <v>0</v>
      </c>
      <c r="I1302" s="19" t="inlineStr">
        <is>
          <t>2</t>
        </is>
      </c>
      <c r="J1302" t="inlineStr">
        <is>
          <t>2026-08-08</t>
        </is>
      </c>
      <c r="L1302" s="19" t="inlineStr">
        <is>
          <t>1014314</t>
        </is>
      </c>
      <c r="M1302" t="inlineStr">
        <is>
          <t>STATUS=IN OEM / EU PACKAGE; SOURCE_CFG=IA-ST-CFG-0046; MARKET=YUASA 9000 AGM EXPORT</t>
        </is>
      </c>
      <c r="N1302" t="inlineStr">
        <is>
          <t>2026-08-10T19:29:54Z</t>
        </is>
      </c>
      <c r="O1302" t="inlineStr">
        <is>
          <t>2026-08-10T19:29:54Z</t>
        </is>
      </c>
    </row>
    <row r="1303">
      <c r="A1303" s="19" t="inlineStr">
        <is>
          <t>1302</t>
        </is>
      </c>
      <c r="B1303" s="19" t="inlineStr">
        <is>
          <t>1014315</t>
        </is>
      </c>
      <c r="C1303" t="inlineStr">
        <is>
          <t>AKÜ,L6DK105AH,VRLA,AGMYBX9020-105,EXPORT</t>
        </is>
      </c>
      <c r="D1303" s="19" t="inlineStr">
        <is>
          <t>1</t>
        </is>
      </c>
      <c r="E1303" t="n">
        <v>0</v>
      </c>
      <c r="I1303" s="19" t="inlineStr">
        <is>
          <t>2</t>
        </is>
      </c>
      <c r="J1303" t="inlineStr">
        <is>
          <t>2026-08-08</t>
        </is>
      </c>
      <c r="L1303" s="19" t="inlineStr">
        <is>
          <t>1014315</t>
        </is>
      </c>
      <c r="M1303" t="inlineStr">
        <is>
          <t>STATUS=IN OEM / EU PACKAGE; SOURCE_CFG=IA-ST-CFG-0045; MARKET=YUASA 9000 AGM EXPORT</t>
        </is>
      </c>
      <c r="N1303" t="inlineStr">
        <is>
          <t>2026-08-10T19:29:54Z</t>
        </is>
      </c>
      <c r="O1303" t="inlineStr">
        <is>
          <t>2026-08-10T19:29:54Z</t>
        </is>
      </c>
    </row>
    <row r="1304">
      <c r="A1304" s="19" t="inlineStr">
        <is>
          <t>1303</t>
        </is>
      </c>
      <c r="B1304" s="19" t="inlineStr">
        <is>
          <t>1014316</t>
        </is>
      </c>
      <c r="C1304" t="inlineStr">
        <is>
          <t>AKÜ AGM,L5,DK,95AH,VRLA,İNCİ AGM LEO</t>
        </is>
      </c>
      <c r="D1304" s="19" t="inlineStr">
        <is>
          <t>1</t>
        </is>
      </c>
      <c r="E1304" t="n">
        <v>0</v>
      </c>
      <c r="I1304" s="19" t="inlineStr">
        <is>
          <t>2</t>
        </is>
      </c>
      <c r="J1304" t="inlineStr">
        <is>
          <t>2026-08-08</t>
        </is>
      </c>
      <c r="L1304" s="19" t="inlineStr">
        <is>
          <t>1014316</t>
        </is>
      </c>
      <c r="M1304" t="inlineStr">
        <is>
          <t>STATUS=IN OEM / EU PACKAGE; SOURCE_CFG=IA-ST-CFG-0096; MARKET=None</t>
        </is>
      </c>
      <c r="N1304" t="inlineStr">
        <is>
          <t>2026-08-10T19:29:54Z</t>
        </is>
      </c>
      <c r="O1304" t="inlineStr">
        <is>
          <t>2026-08-10T19:29:54Z</t>
        </is>
      </c>
    </row>
    <row r="1305">
      <c r="A1305" s="19" t="inlineStr">
        <is>
          <t>1304</t>
        </is>
      </c>
      <c r="B1305" s="19" t="inlineStr">
        <is>
          <t>1014324</t>
        </is>
      </c>
      <c r="C1305" t="inlineStr">
        <is>
          <t>AKÜ,D20,DK,55AH,KSK,ZITEX BATTERY</t>
        </is>
      </c>
      <c r="D1305" s="19" t="inlineStr">
        <is>
          <t>1</t>
        </is>
      </c>
      <c r="E1305" t="n">
        <v>0</v>
      </c>
      <c r="I1305" s="19" t="inlineStr">
        <is>
          <t>2</t>
        </is>
      </c>
      <c r="J1305" t="inlineStr">
        <is>
          <t>2026-08-08</t>
        </is>
      </c>
      <c r="L1305" s="19" t="inlineStr">
        <is>
          <t>1014324</t>
        </is>
      </c>
      <c r="M1305" t="inlineStr">
        <is>
          <t>STATUS=IN OEM / EU PACKAGE; SOURCE_CFG=IA-ST-CFG-0220; MARKET=RAYA ENERGY INC. KANADA</t>
        </is>
      </c>
      <c r="N1305" t="inlineStr">
        <is>
          <t>2026-08-10T19:29:54Z</t>
        </is>
      </c>
      <c r="O1305" t="inlineStr">
        <is>
          <t>2026-08-10T19:29:54Z</t>
        </is>
      </c>
    </row>
    <row r="1306">
      <c r="A1306" s="19" t="inlineStr">
        <is>
          <t>1305</t>
        </is>
      </c>
      <c r="B1306" s="19" t="inlineStr">
        <is>
          <t>1014327</t>
        </is>
      </c>
      <c r="C1306" t="inlineStr">
        <is>
          <t>AKÜ,D23,DK,68AH,IGYASMF,ZITEX BATTERY</t>
        </is>
      </c>
      <c r="D1306" s="19" t="inlineStr">
        <is>
          <t>1</t>
        </is>
      </c>
      <c r="E1306" t="n">
        <v>0</v>
      </c>
      <c r="I1306" s="19" t="inlineStr">
        <is>
          <t>2</t>
        </is>
      </c>
      <c r="J1306" t="inlineStr">
        <is>
          <t>2026-08-08</t>
        </is>
      </c>
      <c r="L1306" s="19" t="inlineStr">
        <is>
          <t>1014327</t>
        </is>
      </c>
      <c r="M1306" t="inlineStr">
        <is>
          <t>STATUS=IN OEM / EU PACKAGE; SOURCE_CFG=IA-ST-CFG-0219; MARKET=RAYA ENERGY INC. KANADA</t>
        </is>
      </c>
      <c r="N1306" t="inlineStr">
        <is>
          <t>2026-08-10T19:29:54Z</t>
        </is>
      </c>
      <c r="O1306" t="inlineStr">
        <is>
          <t>2026-08-10T19:29:54Z</t>
        </is>
      </c>
    </row>
    <row r="1307">
      <c r="A1307" s="19" t="inlineStr">
        <is>
          <t>1306</t>
        </is>
      </c>
      <c r="B1307" s="19" t="inlineStr">
        <is>
          <t>1014328</t>
        </is>
      </c>
      <c r="C1307" t="inlineStr">
        <is>
          <t>AKÜ,L4,DK,82AH,IGYASMF,ZITEX BATTERY</t>
        </is>
      </c>
      <c r="D1307" s="19" t="inlineStr">
        <is>
          <t>1</t>
        </is>
      </c>
      <c r="E1307" t="n">
        <v>0</v>
      </c>
      <c r="I1307" s="19" t="inlineStr">
        <is>
          <t>2</t>
        </is>
      </c>
      <c r="J1307" t="inlineStr">
        <is>
          <t>2026-08-08</t>
        </is>
      </c>
      <c r="L1307" s="19" t="inlineStr">
        <is>
          <t>1014328</t>
        </is>
      </c>
      <c r="M1307" t="inlineStr">
        <is>
          <t>STATUS=IN OEM / EU PACKAGE; SOURCE_CFG=IA-ST-CFG-0231; MARKET=RAYA ENERGY INC. KANADA</t>
        </is>
      </c>
      <c r="N1307" t="inlineStr">
        <is>
          <t>2026-08-10T19:29:54Z</t>
        </is>
      </c>
      <c r="O1307" t="inlineStr">
        <is>
          <t>2026-08-10T19:29:54Z</t>
        </is>
      </c>
    </row>
    <row r="1308">
      <c r="A1308" s="19" t="inlineStr">
        <is>
          <t>1307</t>
        </is>
      </c>
      <c r="B1308" s="19" t="inlineStr">
        <is>
          <t>1014329</t>
        </is>
      </c>
      <c r="C1308" t="inlineStr">
        <is>
          <t>AKÜ,L3,DK,72AH,IGYASMF,ZITEX BATTERY</t>
        </is>
      </c>
      <c r="D1308" s="19" t="inlineStr">
        <is>
          <t>1</t>
        </is>
      </c>
      <c r="E1308" t="n">
        <v>0</v>
      </c>
      <c r="I1308" s="19" t="inlineStr">
        <is>
          <t>2</t>
        </is>
      </c>
      <c r="J1308" t="inlineStr">
        <is>
          <t>2026-08-08</t>
        </is>
      </c>
      <c r="L1308" s="19" t="inlineStr">
        <is>
          <t>1014329</t>
        </is>
      </c>
      <c r="M1308" t="inlineStr">
        <is>
          <t>STATUS=IN OEM / EU PACKAGE; SOURCE_CFG=IA-ST-CFG-0179; MARKET=RAYA ENERGY INC. KANADA</t>
        </is>
      </c>
      <c r="N1308" t="inlineStr">
        <is>
          <t>2026-08-10T19:29:54Z</t>
        </is>
      </c>
      <c r="O1308" t="inlineStr">
        <is>
          <t>2026-08-10T19:29:54Z</t>
        </is>
      </c>
    </row>
    <row r="1309">
      <c r="A1309" s="19" t="inlineStr">
        <is>
          <t>1308</t>
        </is>
      </c>
      <c r="B1309" s="19" t="inlineStr">
        <is>
          <t>1014331</t>
        </is>
      </c>
      <c r="C1309" t="inlineStr">
        <is>
          <t>AKÜ,L1,DK,54AH,IGYASMF,ZITEX BATTERY</t>
        </is>
      </c>
      <c r="D1309" s="19" t="inlineStr">
        <is>
          <t>1</t>
        </is>
      </c>
      <c r="E1309" t="n">
        <v>0</v>
      </c>
      <c r="I1309" s="19" t="inlineStr">
        <is>
          <t>2</t>
        </is>
      </c>
      <c r="J1309" t="inlineStr">
        <is>
          <t>2026-08-08</t>
        </is>
      </c>
      <c r="L1309" s="19" t="inlineStr">
        <is>
          <t>1014331</t>
        </is>
      </c>
      <c r="M1309" t="inlineStr">
        <is>
          <t>STATUS=IN OEM / EU PACKAGE; SOURCE_CFG=IA-ST-CFG-0248; MARKET=RAYA ENERGY INC. KANADA</t>
        </is>
      </c>
      <c r="N1309" t="inlineStr">
        <is>
          <t>2026-08-10T19:29:54Z</t>
        </is>
      </c>
      <c r="O1309" t="inlineStr">
        <is>
          <t>2026-08-10T19:29:54Z</t>
        </is>
      </c>
    </row>
    <row r="1310">
      <c r="A1310" s="19" t="inlineStr">
        <is>
          <t>1309</t>
        </is>
      </c>
      <c r="B1310" s="19" t="inlineStr">
        <is>
          <t>1014332</t>
        </is>
      </c>
      <c r="C1310" t="inlineStr">
        <is>
          <t>AKÜ,D26,DK,80AH,IGYASMF,ZITEX BATTERY</t>
        </is>
      </c>
      <c r="D1310" s="19" t="inlineStr">
        <is>
          <t>1</t>
        </is>
      </c>
      <c r="E1310" t="n">
        <v>0</v>
      </c>
      <c r="I1310" s="19" t="inlineStr">
        <is>
          <t>2</t>
        </is>
      </c>
      <c r="J1310" t="inlineStr">
        <is>
          <t>2026-08-08</t>
        </is>
      </c>
      <c r="L1310" s="19" t="inlineStr">
        <is>
          <t>1014332</t>
        </is>
      </c>
      <c r="M1310" t="inlineStr">
        <is>
          <t>STATUS=IN OEM / EU PACKAGE; SOURCE_CFG=IA-ST-CFG-0175; MARKET=RAYA ENERGY INC. KANADA</t>
        </is>
      </c>
      <c r="N1310" t="inlineStr">
        <is>
          <t>2026-08-10T19:29:54Z</t>
        </is>
      </c>
      <c r="O1310" t="inlineStr">
        <is>
          <t>2026-08-10T19:29:54Z</t>
        </is>
      </c>
    </row>
    <row r="1311">
      <c r="A1311" s="19" t="inlineStr">
        <is>
          <t>1310</t>
        </is>
      </c>
      <c r="B1311" s="19" t="inlineStr">
        <is>
          <t>1014333</t>
        </is>
      </c>
      <c r="C1311" t="inlineStr">
        <is>
          <t>AKÜ,NS60DK,52AH,IGYASMF,ZITEX BATTERY</t>
        </is>
      </c>
      <c r="D1311" s="19" t="inlineStr">
        <is>
          <t>1</t>
        </is>
      </c>
      <c r="E1311" t="n">
        <v>0</v>
      </c>
      <c r="I1311" s="19" t="inlineStr">
        <is>
          <t>2</t>
        </is>
      </c>
      <c r="J1311" t="inlineStr">
        <is>
          <t>2026-08-08</t>
        </is>
      </c>
      <c r="L1311" s="19" t="inlineStr">
        <is>
          <t>1014333</t>
        </is>
      </c>
      <c r="M1311" t="inlineStr">
        <is>
          <t>STATUS=IN OEM / EU PACKAGE; SOURCE_CFG=IA-ST-CFG-0272; MARKET=RAYA ENERGY INC. KANADA</t>
        </is>
      </c>
      <c r="N1311" t="inlineStr">
        <is>
          <t>2026-08-10T19:29:54Z</t>
        </is>
      </c>
      <c r="O1311" t="inlineStr">
        <is>
          <t>2026-08-10T19:29:54Z</t>
        </is>
      </c>
    </row>
    <row r="1312">
      <c r="A1312" s="19" t="inlineStr">
        <is>
          <t>1311</t>
        </is>
      </c>
      <c r="B1312" s="19" t="inlineStr">
        <is>
          <t>1014342</t>
        </is>
      </c>
      <c r="C1312" t="inlineStr">
        <is>
          <t>AKÜ,D26,DK,72AH,IGYA SMF,HUGEL ULTRA</t>
        </is>
      </c>
      <c r="D1312" s="19" t="inlineStr">
        <is>
          <t>1</t>
        </is>
      </c>
      <c r="E1312" t="n">
        <v>0</v>
      </c>
      <c r="I1312" s="19" t="inlineStr">
        <is>
          <t>2</t>
        </is>
      </c>
      <c r="J1312" t="inlineStr">
        <is>
          <t>2026-08-08</t>
        </is>
      </c>
      <c r="L1312" s="19" t="inlineStr">
        <is>
          <t>1014342</t>
        </is>
      </c>
      <c r="M1312" t="inlineStr">
        <is>
          <t>STATUS=IN OEM / EU PACKAGE; SOURCE_CFG=IA-ST-CFG-0175; MARKET=None</t>
        </is>
      </c>
      <c r="N1312" t="inlineStr">
        <is>
          <t>2026-08-10T19:29:54Z</t>
        </is>
      </c>
      <c r="O1312" t="inlineStr">
        <is>
          <t>2026-08-10T19:29:54Z</t>
        </is>
      </c>
    </row>
    <row r="1313">
      <c r="A1313" s="19" t="inlineStr">
        <is>
          <t>1312</t>
        </is>
      </c>
      <c r="B1313" s="19" t="inlineStr">
        <is>
          <t>1014344</t>
        </is>
      </c>
      <c r="C1313" t="inlineStr">
        <is>
          <t>AKÜ,L2,DK,62AH,IGYSMF,HUGELULTRA,TÜRKMEN</t>
        </is>
      </c>
      <c r="D1313" s="19" t="inlineStr">
        <is>
          <t>1</t>
        </is>
      </c>
      <c r="E1313" t="n">
        <v>0</v>
      </c>
      <c r="I1313" s="19" t="inlineStr">
        <is>
          <t>2</t>
        </is>
      </c>
      <c r="J1313" t="inlineStr">
        <is>
          <t>2026-08-08</t>
        </is>
      </c>
      <c r="L1313" s="19" t="inlineStr">
        <is>
          <t>1014344</t>
        </is>
      </c>
      <c r="M1313" t="inlineStr">
        <is>
          <t>STATUS=IN OEM / EU PACKAGE; SOURCE_CFG=IA-ST-CFG-0222; MARKET=TÜRKMENİSTAN</t>
        </is>
      </c>
      <c r="N1313" t="inlineStr">
        <is>
          <t>2026-08-10T19:29:54Z</t>
        </is>
      </c>
      <c r="O1313" t="inlineStr">
        <is>
          <t>2026-08-10T19:29:54Z</t>
        </is>
      </c>
    </row>
    <row r="1314">
      <c r="A1314" s="19" t="inlineStr">
        <is>
          <t>1313</t>
        </is>
      </c>
      <c r="B1314" s="19" t="inlineStr">
        <is>
          <t>1014345</t>
        </is>
      </c>
      <c r="C1314" t="inlineStr">
        <is>
          <t>AKÜ,D31,TK,80AH,IGYA,TECHNO POWER,ALSAFA</t>
        </is>
      </c>
      <c r="D1314" s="19" t="inlineStr">
        <is>
          <t>1</t>
        </is>
      </c>
      <c r="E1314" t="n">
        <v>0</v>
      </c>
      <c r="I1314" s="19" t="inlineStr">
        <is>
          <t>2</t>
        </is>
      </c>
      <c r="J1314" t="inlineStr">
        <is>
          <t>2026-08-08</t>
        </is>
      </c>
      <c r="L1314" s="19" t="inlineStr">
        <is>
          <t>1014345</t>
        </is>
      </c>
      <c r="M1314" t="inlineStr">
        <is>
          <t>STATUS=IN OEM / EU PACKAGE; SOURCE_CFG=IA-ST-CFG-0143; MARKET=MISIR ALSAFA</t>
        </is>
      </c>
      <c r="N1314" t="inlineStr">
        <is>
          <t>2026-08-10T19:29:54Z</t>
        </is>
      </c>
      <c r="O1314" t="inlineStr">
        <is>
          <t>2026-08-10T19:29:54Z</t>
        </is>
      </c>
    </row>
    <row r="1315">
      <c r="A1315" s="19" t="inlineStr">
        <is>
          <t>1314</t>
        </is>
      </c>
      <c r="B1315" s="19" t="inlineStr">
        <is>
          <t>1014347</t>
        </is>
      </c>
      <c r="C1315" t="inlineStr">
        <is>
          <t>AKÜ,L2,DK,62AH,IGYA,TECHNO POWER,ALSAFA</t>
        </is>
      </c>
      <c r="D1315" s="19" t="inlineStr">
        <is>
          <t>1</t>
        </is>
      </c>
      <c r="E1315" t="n">
        <v>0</v>
      </c>
      <c r="I1315" s="19" t="inlineStr">
        <is>
          <t>2</t>
        </is>
      </c>
      <c r="J1315" t="inlineStr">
        <is>
          <t>2026-08-08</t>
        </is>
      </c>
      <c r="L1315" s="19" t="inlineStr">
        <is>
          <t>1014347</t>
        </is>
      </c>
      <c r="M1315" t="inlineStr">
        <is>
          <t>STATUS=IN OEM / EU PACKAGE; SOURCE_CFG=IA-ST-CFG-0222; MARKET=MISIR ALSAFA</t>
        </is>
      </c>
      <c r="N1315" t="inlineStr">
        <is>
          <t>2026-08-10T19:29:54Z</t>
        </is>
      </c>
      <c r="O1315" t="inlineStr">
        <is>
          <t>2026-08-10T19:29:54Z</t>
        </is>
      </c>
    </row>
    <row r="1316">
      <c r="A1316" s="19" t="inlineStr">
        <is>
          <t>1315</t>
        </is>
      </c>
      <c r="B1316" s="19" t="inlineStr">
        <is>
          <t>1014348</t>
        </is>
      </c>
      <c r="C1316" t="inlineStr">
        <is>
          <t>AKÜ,L2,TK,62AH,IGYA,TECHNO POWER,ALSAFA</t>
        </is>
      </c>
      <c r="D1316" s="19" t="inlineStr">
        <is>
          <t>1</t>
        </is>
      </c>
      <c r="E1316" t="n">
        <v>0</v>
      </c>
      <c r="I1316" s="19" t="inlineStr">
        <is>
          <t>2</t>
        </is>
      </c>
      <c r="J1316" t="inlineStr">
        <is>
          <t>2026-08-08</t>
        </is>
      </c>
      <c r="L1316" s="19" t="inlineStr">
        <is>
          <t>1014348</t>
        </is>
      </c>
      <c r="M1316" t="inlineStr">
        <is>
          <t>STATUS=IN OEM / EU PACKAGE; SOURCE_CFG=IA-ST-CFG-0222; MARKET=MISIR ALSAFA</t>
        </is>
      </c>
      <c r="N1316" t="inlineStr">
        <is>
          <t>2026-08-10T19:29:54Z</t>
        </is>
      </c>
      <c r="O1316" t="inlineStr">
        <is>
          <t>2026-08-10T19:29:54Z</t>
        </is>
      </c>
    </row>
    <row r="1317">
      <c r="A1317" s="19" t="inlineStr">
        <is>
          <t>1316</t>
        </is>
      </c>
      <c r="B1317" s="19" t="inlineStr">
        <is>
          <t>1014349</t>
        </is>
      </c>
      <c r="C1317" t="inlineStr">
        <is>
          <t>AKÜ,NS60,DK,45AH,IGYA,TECHNOPOWER,ALSAFA</t>
        </is>
      </c>
      <c r="D1317" s="19" t="inlineStr">
        <is>
          <t>1</t>
        </is>
      </c>
      <c r="E1317" t="n">
        <v>0</v>
      </c>
      <c r="I1317" s="19" t="inlineStr">
        <is>
          <t>2</t>
        </is>
      </c>
      <c r="J1317" t="inlineStr">
        <is>
          <t>2026-08-08</t>
        </is>
      </c>
      <c r="L1317" s="19" t="inlineStr">
        <is>
          <t>1014349</t>
        </is>
      </c>
      <c r="M1317" t="inlineStr">
        <is>
          <t>STATUS=IN OEM / EU PACKAGE; SOURCE_CFG=IA-ST-CFG-0272; MARKET=MISIR ALSAFA</t>
        </is>
      </c>
      <c r="N1317" t="inlineStr">
        <is>
          <t>2026-08-10T19:29:54Z</t>
        </is>
      </c>
      <c r="O1317" t="inlineStr">
        <is>
          <t>2026-08-10T19:29:54Z</t>
        </is>
      </c>
    </row>
    <row r="1318">
      <c r="A1318" s="19" t="inlineStr">
        <is>
          <t>1317</t>
        </is>
      </c>
      <c r="B1318" s="19" t="inlineStr">
        <is>
          <t>1014350</t>
        </is>
      </c>
      <c r="C1318" t="inlineStr">
        <is>
          <t>AKÜ,L3,DK,75AH,IGYA,TECHNO POWER,ALSAFA</t>
        </is>
      </c>
      <c r="D1318" s="19" t="inlineStr">
        <is>
          <t>1</t>
        </is>
      </c>
      <c r="E1318" t="n">
        <v>0</v>
      </c>
      <c r="I1318" s="19" t="inlineStr">
        <is>
          <t>2</t>
        </is>
      </c>
      <c r="J1318" t="inlineStr">
        <is>
          <t>2026-08-08</t>
        </is>
      </c>
      <c r="L1318" s="19" t="inlineStr">
        <is>
          <t>1014350</t>
        </is>
      </c>
      <c r="M1318" t="inlineStr">
        <is>
          <t>STATUS=IN OEM / EU PACKAGE; SOURCE_CFG=IA-ST-CFG-0179; MARKET=MISIR ALSAFA</t>
        </is>
      </c>
      <c r="N1318" t="inlineStr">
        <is>
          <t>2026-08-10T19:29:54Z</t>
        </is>
      </c>
      <c r="O1318" t="inlineStr">
        <is>
          <t>2026-08-10T19:29:54Z</t>
        </is>
      </c>
    </row>
    <row r="1319">
      <c r="A1319" s="19" t="inlineStr">
        <is>
          <t>1318</t>
        </is>
      </c>
      <c r="B1319" s="19" t="inlineStr">
        <is>
          <t>1014355</t>
        </is>
      </c>
      <c r="C1319" t="inlineStr">
        <is>
          <t>AKÜ,C-IGYA,DK,200AH,TECHNO POWER,ALSAFA</t>
        </is>
      </c>
      <c r="D1319" s="19" t="inlineStr">
        <is>
          <t>1</t>
        </is>
      </c>
      <c r="E1319" t="n">
        <v>0</v>
      </c>
      <c r="I1319" s="19" t="inlineStr">
        <is>
          <t>2</t>
        </is>
      </c>
      <c r="J1319" t="inlineStr">
        <is>
          <t>2026-08-08</t>
        </is>
      </c>
      <c r="L1319" s="19" t="inlineStr">
        <is>
          <t>1014355</t>
        </is>
      </c>
      <c r="M1319" t="inlineStr">
        <is>
          <t>STATUS=IN OEM / EU PACKAGE; SOURCE_CFG=IA-ST-CFG-0023; MARKET=MISIR ALSAFA</t>
        </is>
      </c>
      <c r="N1319" t="inlineStr">
        <is>
          <t>2026-08-10T19:29:54Z</t>
        </is>
      </c>
      <c r="O1319" t="inlineStr">
        <is>
          <t>2026-08-10T19:29:54Z</t>
        </is>
      </c>
    </row>
    <row r="1320">
      <c r="A1320" s="19" t="inlineStr">
        <is>
          <t>1319</t>
        </is>
      </c>
      <c r="B1320" s="19" t="inlineStr">
        <is>
          <t>1014356</t>
        </is>
      </c>
      <c r="C1320" t="inlineStr">
        <is>
          <t>AKÜ,L5,DK,100AH,IGYA,TECHNO POWER,ALSAFA</t>
        </is>
      </c>
      <c r="D1320" s="19" t="inlineStr">
        <is>
          <t>1</t>
        </is>
      </c>
      <c r="E1320" t="n">
        <v>0</v>
      </c>
      <c r="I1320" s="19" t="inlineStr">
        <is>
          <t>2</t>
        </is>
      </c>
      <c r="J1320" t="inlineStr">
        <is>
          <t>2026-08-08</t>
        </is>
      </c>
      <c r="L1320" s="19" t="inlineStr">
        <is>
          <t>1014356</t>
        </is>
      </c>
      <c r="M1320" t="inlineStr">
        <is>
          <t>STATUS=IN OEM / EU PACKAGE; SOURCE_CFG=IA-ST-CFG-0096; MARKET=MISIR ALSAFA</t>
        </is>
      </c>
      <c r="N1320" t="inlineStr">
        <is>
          <t>2026-08-10T19:29:54Z</t>
        </is>
      </c>
      <c r="O1320" t="inlineStr">
        <is>
          <t>2026-08-10T19:29:54Z</t>
        </is>
      </c>
    </row>
    <row r="1321">
      <c r="A1321" s="19" t="inlineStr">
        <is>
          <t>1320</t>
        </is>
      </c>
      <c r="B1321" s="19" t="inlineStr">
        <is>
          <t>1014357</t>
        </is>
      </c>
      <c r="C1321" t="inlineStr">
        <is>
          <t>AKÜ,D23,DK,60AH,IGYA,TECHNO POWER,ALSAFA</t>
        </is>
      </c>
      <c r="D1321" s="19" t="inlineStr">
        <is>
          <t>1</t>
        </is>
      </c>
      <c r="E1321" t="n">
        <v>0</v>
      </c>
      <c r="I1321" s="19" t="inlineStr">
        <is>
          <t>2</t>
        </is>
      </c>
      <c r="J1321" t="inlineStr">
        <is>
          <t>2026-08-08</t>
        </is>
      </c>
      <c r="L1321" s="19" t="inlineStr">
        <is>
          <t>1014357</t>
        </is>
      </c>
      <c r="M1321" t="inlineStr">
        <is>
          <t>STATUS=IN OEM / EU PACKAGE; SOURCE_CFG=IA-ST-CFG-0219; MARKET=MISIR ALSAFA</t>
        </is>
      </c>
      <c r="N1321" t="inlineStr">
        <is>
          <t>2026-08-10T19:29:54Z</t>
        </is>
      </c>
      <c r="O1321" t="inlineStr">
        <is>
          <t>2026-08-10T19:29:54Z</t>
        </is>
      </c>
    </row>
    <row r="1322">
      <c r="A1322" s="19" t="inlineStr">
        <is>
          <t>1321</t>
        </is>
      </c>
      <c r="B1322" s="19" t="inlineStr">
        <is>
          <t>1014358</t>
        </is>
      </c>
      <c r="C1322" t="inlineStr">
        <is>
          <t>AKÜ,B-IGYASMF,TK,150AH,İNCİFORMULATAURUS</t>
        </is>
      </c>
      <c r="D1322" s="19" t="inlineStr">
        <is>
          <t>1</t>
        </is>
      </c>
      <c r="E1322" t="n">
        <v>0</v>
      </c>
      <c r="I1322" s="19" t="inlineStr">
        <is>
          <t>2</t>
        </is>
      </c>
      <c r="J1322" t="inlineStr">
        <is>
          <t>2026-08-08</t>
        </is>
      </c>
      <c r="L1322" s="19" t="inlineStr">
        <is>
          <t>1014358</t>
        </is>
      </c>
      <c r="M1322" t="inlineStr">
        <is>
          <t>STATUS=IN OEM / EU PACKAGE; SOURCE_CFG=IA-ST-CFG-0052; MARKET=None</t>
        </is>
      </c>
      <c r="N1322" t="inlineStr">
        <is>
          <t>2026-08-10T19:29:54Z</t>
        </is>
      </c>
      <c r="O1322" t="inlineStr">
        <is>
          <t>2026-08-10T19:29:54Z</t>
        </is>
      </c>
    </row>
    <row r="1323">
      <c r="A1323" s="19" t="inlineStr">
        <is>
          <t>1322</t>
        </is>
      </c>
      <c r="B1323" s="19" t="inlineStr">
        <is>
          <t>1014364</t>
        </is>
      </c>
      <c r="C1323" t="inlineStr">
        <is>
          <t>AKÜ,C-IGYA,DK,250AH,İNCİMAXIMA,GÜLERYÜZ</t>
        </is>
      </c>
      <c r="D1323" s="19" t="inlineStr">
        <is>
          <t>1</t>
        </is>
      </c>
      <c r="E1323" t="n">
        <v>0</v>
      </c>
      <c r="I1323" s="19" t="inlineStr">
        <is>
          <t>2</t>
        </is>
      </c>
      <c r="J1323" t="inlineStr">
        <is>
          <t>2026-08-08</t>
        </is>
      </c>
      <c r="L1323" s="19" t="inlineStr">
        <is>
          <t>1014364</t>
        </is>
      </c>
      <c r="M1323" t="inlineStr">
        <is>
          <t>STATUS=IN OEM / EU PACKAGE; SOURCE_CFG=IA-ST-CFG-0024; MARKET=OTOMOTİV (Yurt İçi)</t>
        </is>
      </c>
      <c r="N1323" t="inlineStr">
        <is>
          <t>2026-08-10T19:29:54Z</t>
        </is>
      </c>
      <c r="O1323" t="inlineStr">
        <is>
          <t>2026-08-10T19:29:54Z</t>
        </is>
      </c>
    </row>
    <row r="1324">
      <c r="A1324" s="19" t="inlineStr">
        <is>
          <t>1323</t>
        </is>
      </c>
      <c r="B1324" s="19" t="inlineStr">
        <is>
          <t>1014367</t>
        </is>
      </c>
      <c r="C1324" t="inlineStr">
        <is>
          <t>AKÜ,L1,DK,52AH,IGYA,4012-052,NONAMEGYEUR</t>
        </is>
      </c>
      <c r="D1324" s="19" t="inlineStr">
        <is>
          <t>1</t>
        </is>
      </c>
      <c r="E1324" t="n">
        <v>0</v>
      </c>
      <c r="I1324" s="19" t="inlineStr">
        <is>
          <t>2</t>
        </is>
      </c>
      <c r="J1324" t="inlineStr">
        <is>
          <t>2026-08-08</t>
        </is>
      </c>
      <c r="L1324" s="19" t="inlineStr">
        <is>
          <t>1014367</t>
        </is>
      </c>
      <c r="M1324" t="inlineStr">
        <is>
          <t>STATUS=IN OEM / EU PACKAGE; SOURCE_CFG=IA-ST-CFG-0209; MARKET=GY EUR</t>
        </is>
      </c>
      <c r="N1324" t="inlineStr">
        <is>
          <t>2026-08-10T19:29:54Z</t>
        </is>
      </c>
      <c r="O1324" t="inlineStr">
        <is>
          <t>2026-08-10T19:29:54Z</t>
        </is>
      </c>
    </row>
    <row r="1325">
      <c r="A1325" s="19" t="inlineStr">
        <is>
          <t>1324</t>
        </is>
      </c>
      <c r="B1325" s="19" t="inlineStr">
        <is>
          <t>1014368</t>
        </is>
      </c>
      <c r="C1325" t="inlineStr">
        <is>
          <t>AKÜ,D23,DK,60AH,IGYA,3005-060NONAMEGYEUR</t>
        </is>
      </c>
      <c r="D1325" s="19" t="inlineStr">
        <is>
          <t>1</t>
        </is>
      </c>
      <c r="E1325" t="n">
        <v>0</v>
      </c>
      <c r="I1325" s="19" t="inlineStr">
        <is>
          <t>2</t>
        </is>
      </c>
      <c r="J1325" t="inlineStr">
        <is>
          <t>2026-08-08</t>
        </is>
      </c>
      <c r="L1325" s="19" t="inlineStr">
        <is>
          <t>1014368</t>
        </is>
      </c>
      <c r="M1325" t="inlineStr">
        <is>
          <t>STATUS=IN OEM / EU PACKAGE; SOURCE_CFG=IA-ST-CFG-0188; MARKET=GY EUR</t>
        </is>
      </c>
      <c r="N1325" t="inlineStr">
        <is>
          <t>2026-08-10T19:29:54Z</t>
        </is>
      </c>
      <c r="O1325" t="inlineStr">
        <is>
          <t>2026-08-10T19:29:54Z</t>
        </is>
      </c>
    </row>
    <row r="1326">
      <c r="A1326" s="19" t="inlineStr">
        <is>
          <t>1325</t>
        </is>
      </c>
      <c r="B1326" s="19" t="inlineStr">
        <is>
          <t>1014369</t>
        </is>
      </c>
      <c r="C1326" t="inlineStr">
        <is>
          <t>AKÜ,NS40,DK,42AH,IGYA,EASJENERATÖR,İÇPYS</t>
        </is>
      </c>
      <c r="D1326" s="19" t="inlineStr">
        <is>
          <t>1</t>
        </is>
      </c>
      <c r="E1326" t="n">
        <v>0</v>
      </c>
      <c r="I1326" s="19" t="inlineStr">
        <is>
          <t>2</t>
        </is>
      </c>
      <c r="J1326" t="inlineStr">
        <is>
          <t>2026-08-08</t>
        </is>
      </c>
      <c r="L1326" s="19" t="inlineStr">
        <is>
          <t>1014369</t>
        </is>
      </c>
      <c r="M1326" t="inlineStr">
        <is>
          <t>STATUS=IN OEM / EU PACKAGE; SOURCE_CFG=IA-ST-CFG-0284; MARKET=YURT İÇİ AFM</t>
        </is>
      </c>
      <c r="N1326" t="inlineStr">
        <is>
          <t>2026-08-10T19:29:54Z</t>
        </is>
      </c>
      <c r="O1326" t="inlineStr">
        <is>
          <t>2026-08-10T19:29:54Z</t>
        </is>
      </c>
    </row>
    <row r="1327">
      <c r="A1327" s="19" t="inlineStr">
        <is>
          <t>1326</t>
        </is>
      </c>
      <c r="B1327" s="19" t="inlineStr">
        <is>
          <t>1014370</t>
        </is>
      </c>
      <c r="C1327" t="inlineStr">
        <is>
          <t>AKÜ,L2,DK,60AH,IGYA,EAS JENERATÖR,İÇ PYS</t>
        </is>
      </c>
      <c r="D1327" s="19" t="inlineStr">
        <is>
          <t>1</t>
        </is>
      </c>
      <c r="E1327" t="n">
        <v>0</v>
      </c>
      <c r="I1327" s="19" t="inlineStr">
        <is>
          <t>2</t>
        </is>
      </c>
      <c r="J1327" t="inlineStr">
        <is>
          <t>2026-08-08</t>
        </is>
      </c>
      <c r="L1327" s="19" t="inlineStr">
        <is>
          <t>1014370</t>
        </is>
      </c>
      <c r="M1327" t="inlineStr">
        <is>
          <t>STATUS=IN OEM / EU PACKAGE; SOURCE_CFG=IA-ST-CFG-0222; MARKET=YURT İÇİ AFM</t>
        </is>
      </c>
      <c r="N1327" t="inlineStr">
        <is>
          <t>2026-08-10T19:29:54Z</t>
        </is>
      </c>
      <c r="O1327" t="inlineStr">
        <is>
          <t>2026-08-10T19:29:54Z</t>
        </is>
      </c>
    </row>
    <row r="1328">
      <c r="A1328" s="19" t="inlineStr">
        <is>
          <t>1327</t>
        </is>
      </c>
      <c r="B1328" s="19" t="inlineStr">
        <is>
          <t>1014371</t>
        </is>
      </c>
      <c r="C1328" t="inlineStr">
        <is>
          <t>AKÜ,L5,DK,100AH,IGYA,EASJENERATÖR,İÇ PYS</t>
        </is>
      </c>
      <c r="D1328" s="19" t="inlineStr">
        <is>
          <t>1</t>
        </is>
      </c>
      <c r="E1328" t="n">
        <v>0</v>
      </c>
      <c r="I1328" s="19" t="inlineStr">
        <is>
          <t>2</t>
        </is>
      </c>
      <c r="J1328" t="inlineStr">
        <is>
          <t>2026-08-08</t>
        </is>
      </c>
      <c r="L1328" s="19" t="inlineStr">
        <is>
          <t>1014371</t>
        </is>
      </c>
      <c r="M1328" t="inlineStr">
        <is>
          <t>STATUS=IN OEM / EU PACKAGE; SOURCE_CFG=IA-ST-CFG-0096; MARKET=YURT İÇİ AFM</t>
        </is>
      </c>
      <c r="N1328" t="inlineStr">
        <is>
          <t>2026-08-10T19:29:54Z</t>
        </is>
      </c>
      <c r="O1328" t="inlineStr">
        <is>
          <t>2026-08-10T19:29:54Z</t>
        </is>
      </c>
    </row>
    <row r="1329">
      <c r="A1329" s="19" t="inlineStr">
        <is>
          <t>1328</t>
        </is>
      </c>
      <c r="B1329" s="19" t="inlineStr">
        <is>
          <t>1014372</t>
        </is>
      </c>
      <c r="C1329" t="inlineStr">
        <is>
          <t>AKÜ,L3,DK,75AH,IGYA,EAS JENERATÖR,İÇ PYS</t>
        </is>
      </c>
      <c r="D1329" s="19" t="inlineStr">
        <is>
          <t>1</t>
        </is>
      </c>
      <c r="E1329" t="n">
        <v>0</v>
      </c>
      <c r="I1329" s="19" t="inlineStr">
        <is>
          <t>2</t>
        </is>
      </c>
      <c r="J1329" t="inlineStr">
        <is>
          <t>2026-08-08</t>
        </is>
      </c>
      <c r="L1329" s="19" t="inlineStr">
        <is>
          <t>1014372</t>
        </is>
      </c>
      <c r="M1329" t="inlineStr">
        <is>
          <t>STATUS=IN OEM / EU PACKAGE; SOURCE_CFG=IA-ST-CFG-0179; MARKET=YURT İÇİ AFM</t>
        </is>
      </c>
      <c r="N1329" t="inlineStr">
        <is>
          <t>2026-08-10T19:29:54Z</t>
        </is>
      </c>
      <c r="O1329" t="inlineStr">
        <is>
          <t>2026-08-10T19:29:54Z</t>
        </is>
      </c>
    </row>
    <row r="1330">
      <c r="A1330" s="19" t="inlineStr">
        <is>
          <t>1329</t>
        </is>
      </c>
      <c r="B1330" s="19" t="inlineStr">
        <is>
          <t>1014373</t>
        </is>
      </c>
      <c r="C1330" t="inlineStr">
        <is>
          <t>AKÜ,D31,DK,90AH,IGYA,EAS JENERATÖR,İÇPYS</t>
        </is>
      </c>
      <c r="D1330" s="19" t="inlineStr">
        <is>
          <t>1</t>
        </is>
      </c>
      <c r="E1330" t="n">
        <v>0</v>
      </c>
      <c r="I1330" s="19" t="inlineStr">
        <is>
          <t>2</t>
        </is>
      </c>
      <c r="J1330" t="inlineStr">
        <is>
          <t>2026-08-08</t>
        </is>
      </c>
      <c r="L1330" s="19" t="inlineStr">
        <is>
          <t>1014373</t>
        </is>
      </c>
      <c r="M1330" t="inlineStr">
        <is>
          <t>STATUS=IN OEM / EU PACKAGE; SOURCE_CFG=IA-ST-CFG-0141; MARKET=YURT İÇİ AFM</t>
        </is>
      </c>
      <c r="N1330" t="inlineStr">
        <is>
          <t>2026-08-10T19:29:54Z</t>
        </is>
      </c>
      <c r="O1330" t="inlineStr">
        <is>
          <t>2026-08-10T19:29:54Z</t>
        </is>
      </c>
    </row>
    <row r="1331">
      <c r="A1331" s="19" t="inlineStr">
        <is>
          <t>1330</t>
        </is>
      </c>
      <c r="B1331" s="19" t="inlineStr">
        <is>
          <t>1014374</t>
        </is>
      </c>
      <c r="C1331" t="inlineStr">
        <is>
          <t>AKÜ,A-IGYA,DK,135AH,EAS JENERATÖR,İÇ PYS</t>
        </is>
      </c>
      <c r="D1331" s="19" t="inlineStr">
        <is>
          <t>1</t>
        </is>
      </c>
      <c r="E1331" t="n">
        <v>0</v>
      </c>
      <c r="I1331" s="19" t="inlineStr">
        <is>
          <t>2</t>
        </is>
      </c>
      <c r="J1331" t="inlineStr">
        <is>
          <t>2026-08-08</t>
        </is>
      </c>
      <c r="L1331" s="19" t="inlineStr">
        <is>
          <t>1014374</t>
        </is>
      </c>
      <c r="M1331" t="inlineStr">
        <is>
          <t>STATUS=IN OEM / EU PACKAGE; SOURCE_CFG=IA-ST-CFG-0047; MARKET=YURT İÇİ AFM</t>
        </is>
      </c>
      <c r="N1331" t="inlineStr">
        <is>
          <t>2026-08-10T19:29:54Z</t>
        </is>
      </c>
      <c r="O1331" t="inlineStr">
        <is>
          <t>2026-08-10T19:29:54Z</t>
        </is>
      </c>
    </row>
    <row r="1332">
      <c r="A1332" s="19" t="inlineStr">
        <is>
          <t>1331</t>
        </is>
      </c>
      <c r="B1332" s="19" t="inlineStr">
        <is>
          <t>1014375</t>
        </is>
      </c>
      <c r="C1332" t="inlineStr">
        <is>
          <t>AKÜ,B-IGYA,DK,150AH,EAS JENERATÖR,İÇ PYS</t>
        </is>
      </c>
      <c r="D1332" s="19" t="inlineStr">
        <is>
          <t>1</t>
        </is>
      </c>
      <c r="E1332" t="n">
        <v>0</v>
      </c>
      <c r="I1332" s="19" t="inlineStr">
        <is>
          <t>2</t>
        </is>
      </c>
      <c r="J1332" t="inlineStr">
        <is>
          <t>2026-08-08</t>
        </is>
      </c>
      <c r="L1332" s="19" t="inlineStr">
        <is>
          <t>1014375</t>
        </is>
      </c>
      <c r="M1332" t="inlineStr">
        <is>
          <t>STATUS=IN OEM / EU PACKAGE; SOURCE_CFG=IA-ST-CFG-0048; MARKET=YURT İÇİ AFM</t>
        </is>
      </c>
      <c r="N1332" t="inlineStr">
        <is>
          <t>2026-08-10T19:29:54Z</t>
        </is>
      </c>
      <c r="O1332" t="inlineStr">
        <is>
          <t>2026-08-10T19:29:54Z</t>
        </is>
      </c>
    </row>
    <row r="1333">
      <c r="A1333" s="19" t="inlineStr">
        <is>
          <t>1332</t>
        </is>
      </c>
      <c r="B1333" s="19" t="inlineStr">
        <is>
          <t>1014377</t>
        </is>
      </c>
      <c r="C1333" t="inlineStr">
        <is>
          <t>AKÜ,TRACTORL,DK,115AH,İNCİ SUPRA SENTOR</t>
        </is>
      </c>
      <c r="D1333" s="19" t="inlineStr">
        <is>
          <t>1</t>
        </is>
      </c>
      <c r="E1333" t="n">
        <v>0</v>
      </c>
      <c r="I1333" s="19" t="inlineStr">
        <is>
          <t>2</t>
        </is>
      </c>
      <c r="J1333" t="inlineStr">
        <is>
          <t>2026-08-08</t>
        </is>
      </c>
      <c r="L1333" s="19" t="inlineStr">
        <is>
          <t>1014377</t>
        </is>
      </c>
      <c r="M1333" t="inlineStr">
        <is>
          <t>STATUS=IN OEM / EU PACKAGE; SOURCE_CFG=IA-ST-CFG-0093; MARKET=None</t>
        </is>
      </c>
      <c r="N1333" t="inlineStr">
        <is>
          <t>2026-08-10T19:29:54Z</t>
        </is>
      </c>
      <c r="O1333" t="inlineStr">
        <is>
          <t>2026-08-10T19:29:54Z</t>
        </is>
      </c>
    </row>
    <row r="1334">
      <c r="A1334" s="19" t="inlineStr">
        <is>
          <t>1333</t>
        </is>
      </c>
      <c r="B1334" s="19" t="inlineStr">
        <is>
          <t>1014378</t>
        </is>
      </c>
      <c r="C1334" t="inlineStr">
        <is>
          <t>AKÜ,NS60,TK,55AH,IGYASMF,EAS EXTRA,İÇPYS</t>
        </is>
      </c>
      <c r="D1334" s="19" t="inlineStr">
        <is>
          <t>1</t>
        </is>
      </c>
      <c r="E1334" t="n">
        <v>0</v>
      </c>
      <c r="I1334" s="19" t="inlineStr">
        <is>
          <t>2</t>
        </is>
      </c>
      <c r="J1334" t="inlineStr">
        <is>
          <t>2026-08-08</t>
        </is>
      </c>
      <c r="L1334" s="19" t="inlineStr">
        <is>
          <t>1014378</t>
        </is>
      </c>
      <c r="M1334" t="inlineStr">
        <is>
          <t>STATUS=IN OEM / EU PACKAGE; SOURCE_CFG=IA-ST-CFG-0273; MARKET=YURT İÇİ AFM</t>
        </is>
      </c>
      <c r="N1334" t="inlineStr">
        <is>
          <t>2026-08-10T19:29:54Z</t>
        </is>
      </c>
      <c r="O1334" t="inlineStr">
        <is>
          <t>2026-08-10T19:29:54Z</t>
        </is>
      </c>
    </row>
    <row r="1335">
      <c r="A1335" s="19" t="inlineStr">
        <is>
          <t>1334</t>
        </is>
      </c>
      <c r="B1335" s="19" t="inlineStr">
        <is>
          <t>1014379</t>
        </is>
      </c>
      <c r="C1335" t="inlineStr">
        <is>
          <t>AKÜ,D23,TK,60AH,IGYA,3014-060NONAMEGYEUR</t>
        </is>
      </c>
      <c r="D1335" s="19" t="inlineStr">
        <is>
          <t>1</t>
        </is>
      </c>
      <c r="E1335" t="n">
        <v>0</v>
      </c>
      <c r="I1335" s="19" t="inlineStr">
        <is>
          <t>2</t>
        </is>
      </c>
      <c r="J1335" t="inlineStr">
        <is>
          <t>2026-08-08</t>
        </is>
      </c>
      <c r="L1335" s="19" t="inlineStr">
        <is>
          <t>1014379</t>
        </is>
      </c>
      <c r="M1335" t="inlineStr">
        <is>
          <t>STATUS=IN OEM / EU PACKAGE; SOURCE_CFG=IA-ST-CFG-0188; MARKET=GY EUR</t>
        </is>
      </c>
      <c r="N1335" t="inlineStr">
        <is>
          <t>2026-08-10T19:29:54Z</t>
        </is>
      </c>
      <c r="O1335" t="inlineStr">
        <is>
          <t>2026-08-10T19:29:54Z</t>
        </is>
      </c>
    </row>
    <row r="1336">
      <c r="A1336" s="19" t="inlineStr">
        <is>
          <t>1335</t>
        </is>
      </c>
      <c r="B1336" s="19" t="inlineStr">
        <is>
          <t>1014380</t>
        </is>
      </c>
      <c r="C1336" t="inlineStr">
        <is>
          <t>AKÜ,D31,DK,95AH,IGYA,3335-095NONAMEGYEUR</t>
        </is>
      </c>
      <c r="D1336" s="19" t="inlineStr">
        <is>
          <t>1</t>
        </is>
      </c>
      <c r="E1336" t="n">
        <v>0</v>
      </c>
      <c r="I1336" s="19" t="inlineStr">
        <is>
          <t>2</t>
        </is>
      </c>
      <c r="J1336" t="inlineStr">
        <is>
          <t>2026-08-08</t>
        </is>
      </c>
      <c r="L1336" s="19" t="inlineStr">
        <is>
          <t>1014380</t>
        </is>
      </c>
      <c r="M1336" t="inlineStr">
        <is>
          <t>STATUS=IN OEM / EU PACKAGE; SOURCE_CFG=IA-ST-CFG-0111; MARKET=GY EUR</t>
        </is>
      </c>
      <c r="N1336" t="inlineStr">
        <is>
          <t>2026-08-10T19:29:54Z</t>
        </is>
      </c>
      <c r="O1336" t="inlineStr">
        <is>
          <t>2026-08-10T19:29:54Z</t>
        </is>
      </c>
    </row>
    <row r="1337">
      <c r="A1337" s="19" t="inlineStr">
        <is>
          <t>1336</t>
        </is>
      </c>
      <c r="B1337" s="19" t="inlineStr">
        <is>
          <t>1014381</t>
        </is>
      </c>
      <c r="C1337" t="inlineStr">
        <is>
          <t>AKÜ,A-FLAT,DK,135AH,İNCİ SUPRASENTOR,MST</t>
        </is>
      </c>
      <c r="D1337" s="19" t="inlineStr">
        <is>
          <t>1</t>
        </is>
      </c>
      <c r="E1337" t="n">
        <v>0</v>
      </c>
      <c r="I1337" s="19" t="inlineStr">
        <is>
          <t>2</t>
        </is>
      </c>
      <c r="J1337" t="inlineStr">
        <is>
          <t>2026-08-08</t>
        </is>
      </c>
      <c r="L1337" s="19" t="inlineStr">
        <is>
          <t>1014381</t>
        </is>
      </c>
      <c r="M1337" t="inlineStr">
        <is>
          <t>STATUS=IN OEM / EU PACKAGE; SOURCE_CFG=IA-ST-CFG-0051; MARKET=MST İŞ MAKİNALARI (Yurt İçi)</t>
        </is>
      </c>
      <c r="N1337" t="inlineStr">
        <is>
          <t>2026-08-10T19:29:54Z</t>
        </is>
      </c>
      <c r="O1337" t="inlineStr">
        <is>
          <t>2026-08-10T19:29:54Z</t>
        </is>
      </c>
    </row>
    <row r="1338">
      <c r="A1338" s="19" t="inlineStr">
        <is>
          <t>1337</t>
        </is>
      </c>
      <c r="B1338" s="19" t="inlineStr">
        <is>
          <t>1014382</t>
        </is>
      </c>
      <c r="C1338" t="inlineStr">
        <is>
          <t>AKÜ,B-FLAT,DK,165AH,İNCİ SUPRASENTOR,MST</t>
        </is>
      </c>
      <c r="D1338" s="19" t="inlineStr">
        <is>
          <t>1</t>
        </is>
      </c>
      <c r="E1338" t="n">
        <v>0</v>
      </c>
      <c r="I1338" s="19" t="inlineStr">
        <is>
          <t>2</t>
        </is>
      </c>
      <c r="J1338" t="inlineStr">
        <is>
          <t>2026-08-08</t>
        </is>
      </c>
      <c r="L1338" s="19" t="inlineStr">
        <is>
          <t>1014382</t>
        </is>
      </c>
      <c r="M1338" t="inlineStr">
        <is>
          <t>STATUS=IN OEM / EU PACKAGE; SOURCE_CFG=IA-ST-CFG-0052; MARKET=MST İŞ MAKİNALARI (Yurt İçi)</t>
        </is>
      </c>
      <c r="N1338" t="inlineStr">
        <is>
          <t>2026-08-10T19:29:54Z</t>
        </is>
      </c>
      <c r="O1338" t="inlineStr">
        <is>
          <t>2026-08-10T19:29:54Z</t>
        </is>
      </c>
    </row>
    <row r="1339">
      <c r="A1339" s="19" t="inlineStr">
        <is>
          <t>1338</t>
        </is>
      </c>
      <c r="B1339" s="19" t="inlineStr">
        <is>
          <t>1014383</t>
        </is>
      </c>
      <c r="C1339" t="inlineStr">
        <is>
          <t>AKÜ,L2,DK,65AH,IGYASMF,GYEUR,HEB7027-065</t>
        </is>
      </c>
      <c r="D1339" s="19" t="inlineStr">
        <is>
          <t>1</t>
        </is>
      </c>
      <c r="E1339" t="n">
        <v>0</v>
      </c>
      <c r="I1339" s="19" t="inlineStr">
        <is>
          <t>2</t>
        </is>
      </c>
      <c r="J1339" t="inlineStr">
        <is>
          <t>2026-08-08</t>
        </is>
      </c>
      <c r="L1339" s="19" t="inlineStr">
        <is>
          <t>1014383</t>
        </is>
      </c>
      <c r="M1339" t="inlineStr">
        <is>
          <t>STATUS=IN OEM / EU PACKAGE; SOURCE_CFG=IA-ST-CFG-0162; MARKET=GY EUR</t>
        </is>
      </c>
      <c r="N1339" t="inlineStr">
        <is>
          <t>2026-08-10T19:29:54Z</t>
        </is>
      </c>
      <c r="O1339" t="inlineStr">
        <is>
          <t>2026-08-10T19:29:54Z</t>
        </is>
      </c>
    </row>
    <row r="1340">
      <c r="A1340" s="19" t="inlineStr">
        <is>
          <t>1339</t>
        </is>
      </c>
      <c r="B1340" s="19" t="inlineStr">
        <is>
          <t>1014384</t>
        </is>
      </c>
      <c r="C1340" t="inlineStr">
        <is>
          <t>AKÜ,L3,DK,75AH,IGYASMF,GYEUR,HEB7096-075</t>
        </is>
      </c>
      <c r="D1340" s="19" t="inlineStr">
        <is>
          <t>1</t>
        </is>
      </c>
      <c r="E1340" t="n">
        <v>0</v>
      </c>
      <c r="I1340" s="19" t="inlineStr">
        <is>
          <t>2</t>
        </is>
      </c>
      <c r="J1340" t="inlineStr">
        <is>
          <t>2026-08-08</t>
        </is>
      </c>
      <c r="L1340" s="19" t="inlineStr">
        <is>
          <t>1014384</t>
        </is>
      </c>
      <c r="M1340" t="inlineStr">
        <is>
          <t>STATUS=IN OEM / EU PACKAGE; SOURCE_CFG=IA-ST-CFG-0103; MARKET=GY EUR</t>
        </is>
      </c>
      <c r="N1340" t="inlineStr">
        <is>
          <t>2026-08-10T19:29:54Z</t>
        </is>
      </c>
      <c r="O1340" t="inlineStr">
        <is>
          <t>2026-08-10T19:29:54Z</t>
        </is>
      </c>
    </row>
    <row r="1341">
      <c r="A1341" s="19" t="inlineStr">
        <is>
          <t>1340</t>
        </is>
      </c>
      <c r="B1341" s="19" t="inlineStr">
        <is>
          <t>1014390</t>
        </is>
      </c>
      <c r="C1341" t="inlineStr">
        <is>
          <t>AKÜ,L0,DK,40AH,DINNEW,BLIZZ.TRENDLN,EURO</t>
        </is>
      </c>
      <c r="D1341" s="19" t="inlineStr">
        <is>
          <t>1</t>
        </is>
      </c>
      <c r="E1341" t="n">
        <v>0</v>
      </c>
      <c r="I1341" s="19" t="inlineStr">
        <is>
          <t>2</t>
        </is>
      </c>
      <c r="J1341" t="inlineStr">
        <is>
          <t>2026-08-08</t>
        </is>
      </c>
      <c r="L1341" s="19" t="inlineStr">
        <is>
          <t>1014390</t>
        </is>
      </c>
      <c r="M1341" t="inlineStr">
        <is>
          <t>STATUS=IN OEM / EU PACKAGE; SOURCE_CFG=IA-ST-CFG-0276; MARKET=None</t>
        </is>
      </c>
      <c r="N1341" t="inlineStr">
        <is>
          <t>2026-08-10T19:29:54Z</t>
        </is>
      </c>
      <c r="O1341" t="inlineStr">
        <is>
          <t>2026-08-10T19:29:54Z</t>
        </is>
      </c>
    </row>
    <row r="1342">
      <c r="A1342" s="19" t="inlineStr">
        <is>
          <t>1341</t>
        </is>
      </c>
      <c r="B1342" s="19" t="inlineStr">
        <is>
          <t>1014391</t>
        </is>
      </c>
      <c r="C1342" t="inlineStr">
        <is>
          <t>AKÜ,A-FLAT,DK,140AH,HUGEL ACTION,EURO</t>
        </is>
      </c>
      <c r="D1342" s="19" t="inlineStr">
        <is>
          <t>1</t>
        </is>
      </c>
      <c r="E1342" t="n">
        <v>0</v>
      </c>
      <c r="I1342" s="19" t="inlineStr">
        <is>
          <t>2</t>
        </is>
      </c>
      <c r="J1342" t="inlineStr">
        <is>
          <t>2026-08-08</t>
        </is>
      </c>
      <c r="L1342" s="19" t="inlineStr">
        <is>
          <t>1014391</t>
        </is>
      </c>
      <c r="M1342" t="inlineStr">
        <is>
          <t>STATUS=IN OEM / EU PACKAGE; SOURCE_CFG=IA-ST-CFG-0039; MARKET=None</t>
        </is>
      </c>
      <c r="N1342" t="inlineStr">
        <is>
          <t>2026-08-10T19:29:54Z</t>
        </is>
      </c>
      <c r="O1342" t="inlineStr">
        <is>
          <t>2026-08-10T19:29:54Z</t>
        </is>
      </c>
    </row>
    <row r="1343">
      <c r="A1343" s="19" t="inlineStr">
        <is>
          <t>1342</t>
        </is>
      </c>
      <c r="B1343" s="19" t="inlineStr">
        <is>
          <t>1014392</t>
        </is>
      </c>
      <c r="C1343" t="inlineStr">
        <is>
          <t>AKÜ,C-FLAT,DK,200AH,HUGEL ACTION,EURO</t>
        </is>
      </c>
      <c r="D1343" s="19" t="inlineStr">
        <is>
          <t>1</t>
        </is>
      </c>
      <c r="E1343" t="n">
        <v>0</v>
      </c>
      <c r="I1343" s="19" t="inlineStr">
        <is>
          <t>2</t>
        </is>
      </c>
      <c r="J1343" t="inlineStr">
        <is>
          <t>2026-08-08</t>
        </is>
      </c>
      <c r="L1343" s="19" t="inlineStr">
        <is>
          <t>1014392</t>
        </is>
      </c>
      <c r="M1343" t="inlineStr">
        <is>
          <t>STATUS=IN OEM / EU PACKAGE; SOURCE_CFG=IA-ST-CFG-0014; MARKET=None</t>
        </is>
      </c>
      <c r="N1343" t="inlineStr">
        <is>
          <t>2026-08-10T19:29:54Z</t>
        </is>
      </c>
      <c r="O1343" t="inlineStr">
        <is>
          <t>2026-08-10T19:29:54Z</t>
        </is>
      </c>
    </row>
    <row r="1344">
      <c r="A1344" s="19" t="inlineStr">
        <is>
          <t>1343</t>
        </is>
      </c>
      <c r="B1344" s="19" t="inlineStr">
        <is>
          <t>1014393</t>
        </is>
      </c>
      <c r="C1344" t="inlineStr">
        <is>
          <t>AKÜ,C-IGYASMF,DK,250AH,İNCİMAXIMA,REDMAY</t>
        </is>
      </c>
      <c r="D1344" s="19" t="inlineStr">
        <is>
          <t>1</t>
        </is>
      </c>
      <c r="E1344" t="n">
        <v>0</v>
      </c>
      <c r="I1344" s="19" t="inlineStr">
        <is>
          <t>2</t>
        </is>
      </c>
      <c r="J1344" t="inlineStr">
        <is>
          <t>2026-08-08</t>
        </is>
      </c>
      <c r="L1344" s="19" t="inlineStr">
        <is>
          <t>1014393</t>
        </is>
      </c>
      <c r="M1344" t="inlineStr">
        <is>
          <t>STATUS=IN OEM / EU PACKAGE; SOURCE_CFG=IA-ST-CFG-0023; MARKET=REDMAY URUGUAY</t>
        </is>
      </c>
      <c r="N1344" t="inlineStr">
        <is>
          <t>2026-08-10T19:29:54Z</t>
        </is>
      </c>
      <c r="O1344" t="inlineStr">
        <is>
          <t>2026-08-10T19:29:54Z</t>
        </is>
      </c>
    </row>
    <row r="1345">
      <c r="A1345" s="19" t="inlineStr">
        <is>
          <t>1344</t>
        </is>
      </c>
      <c r="B1345" s="19" t="inlineStr">
        <is>
          <t>1014394</t>
        </is>
      </c>
      <c r="C1345" t="inlineStr">
        <is>
          <t>AKÜ,L2,DK,65AH,IGYASMF,İNCİEFBMAX,REDMAY</t>
        </is>
      </c>
      <c r="D1345" s="19" t="inlineStr">
        <is>
          <t>1</t>
        </is>
      </c>
      <c r="E1345" t="n">
        <v>0</v>
      </c>
      <c r="I1345" s="19" t="inlineStr">
        <is>
          <t>2</t>
        </is>
      </c>
      <c r="J1345" t="inlineStr">
        <is>
          <t>2026-08-08</t>
        </is>
      </c>
      <c r="L1345" s="19" t="inlineStr">
        <is>
          <t>1014394</t>
        </is>
      </c>
      <c r="M1345" t="inlineStr">
        <is>
          <t>STATUS=IN OEM / EU PACKAGE; SOURCE_CFG=IA-ST-CFG-0222; MARKET=REDMAY URUGUAY</t>
        </is>
      </c>
      <c r="N1345" t="inlineStr">
        <is>
          <t>2026-08-10T19:29:54Z</t>
        </is>
      </c>
      <c r="O1345" t="inlineStr">
        <is>
          <t>2026-08-10T19:29:54Z</t>
        </is>
      </c>
    </row>
    <row r="1346">
      <c r="A1346" s="19" t="inlineStr">
        <is>
          <t>1345</t>
        </is>
      </c>
      <c r="B1346" s="19" t="inlineStr">
        <is>
          <t>1014395</t>
        </is>
      </c>
      <c r="C1346" t="inlineStr">
        <is>
          <t>AKÜ,L1,DK,45AH,IGYASMF,İNCİ SUPRA,REDMAY</t>
        </is>
      </c>
      <c r="D1346" s="19" t="inlineStr">
        <is>
          <t>1</t>
        </is>
      </c>
      <c r="E1346" t="n">
        <v>0</v>
      </c>
      <c r="I1346" s="19" t="inlineStr">
        <is>
          <t>2</t>
        </is>
      </c>
      <c r="J1346" t="inlineStr">
        <is>
          <t>2026-08-08</t>
        </is>
      </c>
      <c r="L1346" s="19" t="inlineStr">
        <is>
          <t>1014395</t>
        </is>
      </c>
      <c r="M1346" t="inlineStr">
        <is>
          <t>STATUS=IN OEM / EU PACKAGE; SOURCE_CFG=IA-ST-CFG-0248; MARKET=REDMAY URUGUAY</t>
        </is>
      </c>
      <c r="N1346" t="inlineStr">
        <is>
          <t>2026-08-10T19:29:54Z</t>
        </is>
      </c>
      <c r="O1346" t="inlineStr">
        <is>
          <t>2026-08-10T19:29:54Z</t>
        </is>
      </c>
    </row>
    <row r="1347">
      <c r="A1347" s="19" t="inlineStr">
        <is>
          <t>1346</t>
        </is>
      </c>
      <c r="B1347" s="19" t="inlineStr">
        <is>
          <t>1014396</t>
        </is>
      </c>
      <c r="C1347" t="inlineStr">
        <is>
          <t>AKÜ,LB2,DK,60AH,IGYASMF,İNCİ FORM,REDMAY</t>
        </is>
      </c>
      <c r="D1347" s="19" t="inlineStr">
        <is>
          <t>1</t>
        </is>
      </c>
      <c r="E1347" t="n">
        <v>0</v>
      </c>
      <c r="I1347" s="19" t="inlineStr">
        <is>
          <t>2</t>
        </is>
      </c>
      <c r="J1347" t="inlineStr">
        <is>
          <t>2026-08-08</t>
        </is>
      </c>
      <c r="L1347" s="19" t="inlineStr">
        <is>
          <t>1014396</t>
        </is>
      </c>
      <c r="M1347" t="inlineStr">
        <is>
          <t>STATUS=IN OEM / EU PACKAGE; SOURCE_CFG=IA-ST-CFG-0222; MARKET=REDMAY URUGUAY</t>
        </is>
      </c>
      <c r="N1347" t="inlineStr">
        <is>
          <t>2026-08-10T19:29:54Z</t>
        </is>
      </c>
      <c r="O1347" t="inlineStr">
        <is>
          <t>2026-08-10T19:29:54Z</t>
        </is>
      </c>
    </row>
    <row r="1348">
      <c r="A1348" s="19" t="inlineStr">
        <is>
          <t>1347</t>
        </is>
      </c>
      <c r="B1348" s="19" t="inlineStr">
        <is>
          <t>1014397</t>
        </is>
      </c>
      <c r="C1348" t="inlineStr">
        <is>
          <t>AKÜ,LB3,DK,66AH,IGYASMF,İNCİ FORM,REDMAY</t>
        </is>
      </c>
      <c r="D1348" s="19" t="inlineStr">
        <is>
          <t>1</t>
        </is>
      </c>
      <c r="E1348" t="n">
        <v>0</v>
      </c>
      <c r="I1348" s="19" t="inlineStr">
        <is>
          <t>2</t>
        </is>
      </c>
      <c r="J1348" t="inlineStr">
        <is>
          <t>2026-08-08</t>
        </is>
      </c>
      <c r="L1348" s="19" t="inlineStr">
        <is>
          <t>1014397</t>
        </is>
      </c>
      <c r="M1348" t="inlineStr">
        <is>
          <t>STATUS=IN OEM / EU PACKAGE; SOURCE_CFG=IA-ST-CFG-0178; MARKET=REDMAY URUGUAY</t>
        </is>
      </c>
      <c r="N1348" t="inlineStr">
        <is>
          <t>2026-08-10T19:29:54Z</t>
        </is>
      </c>
      <c r="O1348" t="inlineStr">
        <is>
          <t>2026-08-10T19:29:54Z</t>
        </is>
      </c>
    </row>
    <row r="1349">
      <c r="A1349" s="19" t="inlineStr">
        <is>
          <t>1348</t>
        </is>
      </c>
      <c r="B1349" s="19" t="inlineStr">
        <is>
          <t>1014399</t>
        </is>
      </c>
      <c r="C1349" t="inlineStr">
        <is>
          <t>AKÜ AGM,L1,DK,50AH,İNCİ AGM LEO,İÇ PYS</t>
        </is>
      </c>
      <c r="D1349" s="19" t="inlineStr">
        <is>
          <t>1</t>
        </is>
      </c>
      <c r="E1349" t="n">
        <v>0</v>
      </c>
      <c r="I1349" s="19" t="inlineStr">
        <is>
          <t>2</t>
        </is>
      </c>
      <c r="J1349" t="inlineStr">
        <is>
          <t>2026-08-08</t>
        </is>
      </c>
      <c r="L1349" s="19" t="inlineStr">
        <is>
          <t>1014399</t>
        </is>
      </c>
      <c r="M1349" t="inlineStr">
        <is>
          <t>STATUS=IN OEM / EU PACKAGE; SOURCE_CFG=IA-ST-CFG-0243; MARKET=YURT İÇİ AFM</t>
        </is>
      </c>
      <c r="N1349" t="inlineStr">
        <is>
          <t>2026-08-10T19:29:54Z</t>
        </is>
      </c>
      <c r="O1349" t="inlineStr">
        <is>
          <t>2026-08-10T19:29:54Z</t>
        </is>
      </c>
    </row>
    <row r="1350">
      <c r="A1350" s="19" t="inlineStr">
        <is>
          <t>1349</t>
        </is>
      </c>
      <c r="B1350" s="19" t="inlineStr">
        <is>
          <t>1014400</t>
        </is>
      </c>
      <c r="C1350" t="inlineStr">
        <is>
          <t>AKÜ AGM,L1,DK,50AH,EAS AGM S&amp;S,İÇ PYS</t>
        </is>
      </c>
      <c r="D1350" s="19" t="inlineStr">
        <is>
          <t>1</t>
        </is>
      </c>
      <c r="E1350" t="n">
        <v>0</v>
      </c>
      <c r="I1350" s="19" t="inlineStr">
        <is>
          <t>2</t>
        </is>
      </c>
      <c r="J1350" t="inlineStr">
        <is>
          <t>2026-08-08</t>
        </is>
      </c>
      <c r="L1350" s="19" t="inlineStr">
        <is>
          <t>1014400</t>
        </is>
      </c>
      <c r="M1350" t="inlineStr">
        <is>
          <t>STATUS=IN OEM / EU PACKAGE; SOURCE_CFG=IA-ST-CFG-0214; MARKET=YURT İÇİ AFM</t>
        </is>
      </c>
      <c r="N1350" t="inlineStr">
        <is>
          <t>2026-08-10T19:29:54Z</t>
        </is>
      </c>
      <c r="O1350" t="inlineStr">
        <is>
          <t>2026-08-10T19:29:54Z</t>
        </is>
      </c>
    </row>
    <row r="1351">
      <c r="A1351" s="19" t="inlineStr">
        <is>
          <t>1350</t>
        </is>
      </c>
      <c r="B1351" s="19" t="inlineStr">
        <is>
          <t>1014402</t>
        </is>
      </c>
      <c r="C1351" t="inlineStr">
        <is>
          <t>AKÜ,L4,DK,85AH,IGYA,3115-082,NONAMEGYEUR</t>
        </is>
      </c>
      <c r="D1351" s="19" t="inlineStr">
        <is>
          <t>1</t>
        </is>
      </c>
      <c r="E1351" t="n">
        <v>0</v>
      </c>
      <c r="I1351" s="19" t="inlineStr">
        <is>
          <t>2</t>
        </is>
      </c>
      <c r="J1351" t="inlineStr">
        <is>
          <t>2026-08-08</t>
        </is>
      </c>
      <c r="L1351" s="19" t="inlineStr">
        <is>
          <t>1014402</t>
        </is>
      </c>
      <c r="M1351" t="inlineStr">
        <is>
          <t>STATUS=IN OEM / EU PACKAGE; SOURCE_CFG=IA-ST-CFG-0087; MARKET=GY EUR</t>
        </is>
      </c>
      <c r="N1351" t="inlineStr">
        <is>
          <t>2026-08-10T19:29:54Z</t>
        </is>
      </c>
      <c r="O1351" t="inlineStr">
        <is>
          <t>2026-08-10T19:29:54Z</t>
        </is>
      </c>
    </row>
    <row r="1352">
      <c r="A1352" s="19" t="inlineStr">
        <is>
          <t>1351</t>
        </is>
      </c>
      <c r="B1352" s="19" t="inlineStr">
        <is>
          <t>1014403</t>
        </is>
      </c>
      <c r="C1352" t="inlineStr">
        <is>
          <t>AKÜ,L2,DK,65AH,IGYASMF,GYEUR,YBX5027-065</t>
        </is>
      </c>
      <c r="D1352" s="19" t="inlineStr">
        <is>
          <t>1</t>
        </is>
      </c>
      <c r="E1352" t="n">
        <v>0</v>
      </c>
      <c r="I1352" s="19" t="inlineStr">
        <is>
          <t>2</t>
        </is>
      </c>
      <c r="J1352" t="inlineStr">
        <is>
          <t>2026-08-08</t>
        </is>
      </c>
      <c r="L1352" s="19" t="inlineStr">
        <is>
          <t>1014403</t>
        </is>
      </c>
      <c r="M1352" t="inlineStr">
        <is>
          <t>STATUS=IN OEM / EU PACKAGE; SOURCE_CFG=IA-ST-CFG-0162; MARKET=GY EUR</t>
        </is>
      </c>
      <c r="N1352" t="inlineStr">
        <is>
          <t>2026-08-10T19:29:54Z</t>
        </is>
      </c>
      <c r="O1352" t="inlineStr">
        <is>
          <t>2026-08-10T19:29:54Z</t>
        </is>
      </c>
    </row>
    <row r="1353">
      <c r="A1353" s="19" t="inlineStr">
        <is>
          <t>1352</t>
        </is>
      </c>
      <c r="B1353" s="19" t="inlineStr">
        <is>
          <t>1014404</t>
        </is>
      </c>
      <c r="C1353" t="inlineStr">
        <is>
          <t>AKÜ,L3,DK,80AH,IGYASMF,GYEUR,YBX5096-080</t>
        </is>
      </c>
      <c r="D1353" s="19" t="inlineStr">
        <is>
          <t>1</t>
        </is>
      </c>
      <c r="E1353" t="n">
        <v>0</v>
      </c>
      <c r="I1353" s="19" t="inlineStr">
        <is>
          <t>2</t>
        </is>
      </c>
      <c r="J1353" t="inlineStr">
        <is>
          <t>2026-08-08</t>
        </is>
      </c>
      <c r="L1353" s="19" t="inlineStr">
        <is>
          <t>1014404</t>
        </is>
      </c>
      <c r="M1353" t="inlineStr">
        <is>
          <t>STATUS=IN OEM / EU PACKAGE; SOURCE_CFG=IA-ST-CFG-0113; MARKET=GY EUR</t>
        </is>
      </c>
      <c r="N1353" t="inlineStr">
        <is>
          <t>2026-08-10T19:29:54Z</t>
        </is>
      </c>
      <c r="O1353" t="inlineStr">
        <is>
          <t>2026-08-10T19:29:54Z</t>
        </is>
      </c>
    </row>
    <row r="1354">
      <c r="A1354" s="19" t="inlineStr">
        <is>
          <t>1353</t>
        </is>
      </c>
      <c r="B1354" s="19" t="inlineStr">
        <is>
          <t>1014405</t>
        </is>
      </c>
      <c r="C1354" t="inlineStr">
        <is>
          <t>AKÜ,LB3,DK75AH,IGYASMF,GYEUR,YBX5100-075</t>
        </is>
      </c>
      <c r="D1354" s="19" t="inlineStr">
        <is>
          <t>1</t>
        </is>
      </c>
      <c r="E1354" t="n">
        <v>0</v>
      </c>
      <c r="I1354" s="19" t="inlineStr">
        <is>
          <t>2</t>
        </is>
      </c>
      <c r="J1354" t="inlineStr">
        <is>
          <t>2026-08-08</t>
        </is>
      </c>
      <c r="L1354" s="19" t="inlineStr">
        <is>
          <t>1014405</t>
        </is>
      </c>
      <c r="M1354" t="inlineStr">
        <is>
          <t>STATUS=IN OEM / EU PACKAGE; SOURCE_CFG=IA-ST-CFG-0132; MARKET=GY EUR</t>
        </is>
      </c>
      <c r="N1354" t="inlineStr">
        <is>
          <t>2026-08-10T19:29:54Z</t>
        </is>
      </c>
      <c r="O1354" t="inlineStr">
        <is>
          <t>2026-08-10T19:29:54Z</t>
        </is>
      </c>
    </row>
    <row r="1355">
      <c r="A1355" s="19" t="inlineStr">
        <is>
          <t>1354</t>
        </is>
      </c>
      <c r="B1355" s="19" t="inlineStr">
        <is>
          <t>1014406</t>
        </is>
      </c>
      <c r="C1355" t="inlineStr">
        <is>
          <t>AKÜ,L4,DK,90AH,IGYASMF,GYEUR,YBX5115-090</t>
        </is>
      </c>
      <c r="D1355" s="19" t="inlineStr">
        <is>
          <t>1</t>
        </is>
      </c>
      <c r="E1355" t="n">
        <v>0</v>
      </c>
      <c r="I1355" s="19" t="inlineStr">
        <is>
          <t>2</t>
        </is>
      </c>
      <c r="J1355" t="inlineStr">
        <is>
          <t>2026-08-08</t>
        </is>
      </c>
      <c r="L1355" s="19" t="inlineStr">
        <is>
          <t>1014406</t>
        </is>
      </c>
      <c r="M1355" t="inlineStr">
        <is>
          <t>STATUS=IN OEM / EU PACKAGE; SOURCE_CFG=IA-ST-CFG-0085; MARKET=GY EUR</t>
        </is>
      </c>
      <c r="N1355" t="inlineStr">
        <is>
          <t>2026-08-10T19:29:54Z</t>
        </is>
      </c>
      <c r="O1355" t="inlineStr">
        <is>
          <t>2026-08-10T19:29:54Z</t>
        </is>
      </c>
    </row>
    <row r="1356">
      <c r="A1356" s="19" t="inlineStr">
        <is>
          <t>1355</t>
        </is>
      </c>
      <c r="B1356" s="19" t="inlineStr">
        <is>
          <t>1014407</t>
        </is>
      </c>
      <c r="C1356" t="inlineStr">
        <is>
          <t>AKÜ,L4,TK,90AH,IGYASMF,GYEUR,YBX5116-090</t>
        </is>
      </c>
      <c r="D1356" s="19" t="inlineStr">
        <is>
          <t>1</t>
        </is>
      </c>
      <c r="E1356" t="n">
        <v>0</v>
      </c>
      <c r="I1356" s="19" t="inlineStr">
        <is>
          <t>2</t>
        </is>
      </c>
      <c r="J1356" t="inlineStr">
        <is>
          <t>2026-08-08</t>
        </is>
      </c>
      <c r="L1356" s="19" t="inlineStr">
        <is>
          <t>1014407</t>
        </is>
      </c>
      <c r="M1356" t="inlineStr">
        <is>
          <t>STATUS=IN OEM / EU PACKAGE; SOURCE_CFG=IA-ST-CFG-0085; MARKET=GY EUR</t>
        </is>
      </c>
      <c r="N1356" t="inlineStr">
        <is>
          <t>2026-08-10T19:29:54Z</t>
        </is>
      </c>
      <c r="O1356" t="inlineStr">
        <is>
          <t>2026-08-10T19:29:54Z</t>
        </is>
      </c>
    </row>
    <row r="1357">
      <c r="A1357" s="19" t="inlineStr">
        <is>
          <t>1356</t>
        </is>
      </c>
      <c r="B1357" s="19" t="inlineStr">
        <is>
          <t>1014408</t>
        </is>
      </c>
      <c r="C1357" t="inlineStr">
        <is>
          <t>AKÜ,L5,DK100AH,IGYASMF,GYEUR,YBX5019-100</t>
        </is>
      </c>
      <c r="D1357" s="19" t="inlineStr">
        <is>
          <t>1</t>
        </is>
      </c>
      <c r="E1357" t="n">
        <v>0</v>
      </c>
      <c r="I1357" s="19" t="inlineStr">
        <is>
          <t>2</t>
        </is>
      </c>
      <c r="J1357" t="inlineStr">
        <is>
          <t>2026-08-08</t>
        </is>
      </c>
      <c r="L1357" s="19" t="inlineStr">
        <is>
          <t>1014408</t>
        </is>
      </c>
      <c r="M1357" t="inlineStr">
        <is>
          <t>STATUS=IN OEM / EU PACKAGE; SOURCE_CFG=IA-ST-CFG-0068; MARKET=GY EUR</t>
        </is>
      </c>
      <c r="N1357" t="inlineStr">
        <is>
          <t>2026-08-10T19:29:54Z</t>
        </is>
      </c>
      <c r="O1357" t="inlineStr">
        <is>
          <t>2026-08-10T19:29:54Z</t>
        </is>
      </c>
    </row>
    <row r="1358">
      <c r="A1358" s="19" t="inlineStr">
        <is>
          <t>1357</t>
        </is>
      </c>
      <c r="B1358" s="19" t="inlineStr">
        <is>
          <t>1014409</t>
        </is>
      </c>
      <c r="C1358" t="inlineStr">
        <is>
          <t>AKÜ,L2,DK,65AH,IGYASMF,GYEUR,HAL5027-065</t>
        </is>
      </c>
      <c r="D1358" s="19" t="inlineStr">
        <is>
          <t>1</t>
        </is>
      </c>
      <c r="E1358" t="n">
        <v>0</v>
      </c>
      <c r="I1358" s="19" t="inlineStr">
        <is>
          <t>2</t>
        </is>
      </c>
      <c r="J1358" t="inlineStr">
        <is>
          <t>2026-08-08</t>
        </is>
      </c>
      <c r="L1358" s="19" t="inlineStr">
        <is>
          <t>1014409</t>
        </is>
      </c>
      <c r="M1358" t="inlineStr">
        <is>
          <t>STATUS=IN OEM / EU PACKAGE; SOURCE_CFG=IA-ST-CFG-0162; MARKET=GY EUR</t>
        </is>
      </c>
      <c r="N1358" t="inlineStr">
        <is>
          <t>2026-08-10T19:29:54Z</t>
        </is>
      </c>
      <c r="O1358" t="inlineStr">
        <is>
          <t>2026-08-10T19:29:54Z</t>
        </is>
      </c>
    </row>
    <row r="1359">
      <c r="A1359" s="19" t="inlineStr">
        <is>
          <t>1358</t>
        </is>
      </c>
      <c r="B1359" s="19" t="inlineStr">
        <is>
          <t>1014410</t>
        </is>
      </c>
      <c r="C1359" t="inlineStr">
        <is>
          <t>AKÜ,L2,DK,65AH,IGYA,NONAME,GYEUR5027-065</t>
        </is>
      </c>
      <c r="D1359" s="19" t="inlineStr">
        <is>
          <t>1</t>
        </is>
      </c>
      <c r="E1359" t="n">
        <v>0</v>
      </c>
      <c r="I1359" s="19" t="inlineStr">
        <is>
          <t>2</t>
        </is>
      </c>
      <c r="J1359" t="inlineStr">
        <is>
          <t>2026-08-08</t>
        </is>
      </c>
      <c r="L1359" s="19" t="inlineStr">
        <is>
          <t>1014410</t>
        </is>
      </c>
      <c r="M1359" t="inlineStr">
        <is>
          <t>STATUS=IN OEM / EU PACKAGE; SOURCE_CFG=IA-ST-CFG-0162; MARKET=GY EUR</t>
        </is>
      </c>
      <c r="N1359" t="inlineStr">
        <is>
          <t>2026-08-10T19:29:54Z</t>
        </is>
      </c>
      <c r="O1359" t="inlineStr">
        <is>
          <t>2026-08-10T19:29:54Z</t>
        </is>
      </c>
    </row>
    <row r="1360">
      <c r="A1360" s="19" t="inlineStr">
        <is>
          <t>1359</t>
        </is>
      </c>
      <c r="B1360" s="19" t="inlineStr">
        <is>
          <t>1014412</t>
        </is>
      </c>
      <c r="C1360" t="inlineStr">
        <is>
          <t>AKÜ,L3,DK,80AH,IGYASMF,GYEUR,HAL5096-080</t>
        </is>
      </c>
      <c r="D1360" s="19" t="inlineStr">
        <is>
          <t>1</t>
        </is>
      </c>
      <c r="E1360" t="n">
        <v>0</v>
      </c>
      <c r="I1360" s="19" t="inlineStr">
        <is>
          <t>2</t>
        </is>
      </c>
      <c r="J1360" t="inlineStr">
        <is>
          <t>2026-08-08</t>
        </is>
      </c>
      <c r="L1360" s="19" t="inlineStr">
        <is>
          <t>1014412</t>
        </is>
      </c>
      <c r="M1360" t="inlineStr">
        <is>
          <t>STATUS=IN OEM / EU PACKAGE; SOURCE_CFG=IA-ST-CFG-0113; MARKET=GY EUR</t>
        </is>
      </c>
      <c r="N1360" t="inlineStr">
        <is>
          <t>2026-08-10T19:29:54Z</t>
        </is>
      </c>
      <c r="O1360" t="inlineStr">
        <is>
          <t>2026-08-10T19:29:54Z</t>
        </is>
      </c>
    </row>
    <row r="1361">
      <c r="A1361" s="19" t="inlineStr">
        <is>
          <t>1360</t>
        </is>
      </c>
      <c r="B1361" s="19" t="inlineStr">
        <is>
          <t>1014414</t>
        </is>
      </c>
      <c r="C1361" t="inlineStr">
        <is>
          <t>AKÜ,L3,DK80AH,IGYSMF,NONAMEGYEUR5096-080</t>
        </is>
      </c>
      <c r="D1361" s="19" t="inlineStr">
        <is>
          <t>1</t>
        </is>
      </c>
      <c r="E1361" t="n">
        <v>0</v>
      </c>
      <c r="I1361" s="19" t="inlineStr">
        <is>
          <t>2</t>
        </is>
      </c>
      <c r="J1361" t="inlineStr">
        <is>
          <t>2026-08-08</t>
        </is>
      </c>
      <c r="L1361" s="19" t="inlineStr">
        <is>
          <t>1014414</t>
        </is>
      </c>
      <c r="M1361" t="inlineStr">
        <is>
          <t>STATUS=IN OEM / EU PACKAGE; SOURCE_CFG=IA-ST-CFG-0113; MARKET=GY EUR</t>
        </is>
      </c>
      <c r="N1361" t="inlineStr">
        <is>
          <t>2026-08-10T19:29:54Z</t>
        </is>
      </c>
      <c r="O1361" t="inlineStr">
        <is>
          <t>2026-08-10T19:29:54Z</t>
        </is>
      </c>
    </row>
    <row r="1362">
      <c r="A1362" s="19" t="inlineStr">
        <is>
          <t>1361</t>
        </is>
      </c>
      <c r="B1362" s="19" t="inlineStr">
        <is>
          <t>1014415</t>
        </is>
      </c>
      <c r="C1362" t="inlineStr">
        <is>
          <t>AKÜ,LB3DK75AH,IGYSMF,NONAMEGYEUR5100-075</t>
        </is>
      </c>
      <c r="D1362" s="19" t="inlineStr">
        <is>
          <t>1</t>
        </is>
      </c>
      <c r="E1362" t="n">
        <v>0</v>
      </c>
      <c r="I1362" s="19" t="inlineStr">
        <is>
          <t>2</t>
        </is>
      </c>
      <c r="J1362" t="inlineStr">
        <is>
          <t>2026-08-08</t>
        </is>
      </c>
      <c r="L1362" s="19" t="inlineStr">
        <is>
          <t>1014415</t>
        </is>
      </c>
      <c r="M1362" t="inlineStr">
        <is>
          <t>STATUS=IN OEM / EU PACKAGE; SOURCE_CFG=IA-ST-CFG-0132; MARKET=GY EUR</t>
        </is>
      </c>
      <c r="N1362" t="inlineStr">
        <is>
          <t>2026-08-10T19:29:54Z</t>
        </is>
      </c>
      <c r="O1362" t="inlineStr">
        <is>
          <t>2026-08-10T19:29:54Z</t>
        </is>
      </c>
    </row>
    <row r="1363">
      <c r="A1363" s="19" t="inlineStr">
        <is>
          <t>1362</t>
        </is>
      </c>
      <c r="B1363" s="19" t="inlineStr">
        <is>
          <t>1014416</t>
        </is>
      </c>
      <c r="C1363" t="inlineStr">
        <is>
          <t>AKÜ,LB3,DK75AH,IGYASMF,GYEUR,HAL5100-075</t>
        </is>
      </c>
      <c r="D1363" s="19" t="inlineStr">
        <is>
          <t>1</t>
        </is>
      </c>
      <c r="E1363" t="n">
        <v>0</v>
      </c>
      <c r="I1363" s="19" t="inlineStr">
        <is>
          <t>2</t>
        </is>
      </c>
      <c r="J1363" t="inlineStr">
        <is>
          <t>2026-08-08</t>
        </is>
      </c>
      <c r="L1363" s="19" t="inlineStr">
        <is>
          <t>1014416</t>
        </is>
      </c>
      <c r="M1363" t="inlineStr">
        <is>
          <t>STATUS=IN OEM / EU PACKAGE; SOURCE_CFG=IA-ST-CFG-0132; MARKET=GY EUR</t>
        </is>
      </c>
      <c r="N1363" t="inlineStr">
        <is>
          <t>2026-08-10T19:29:54Z</t>
        </is>
      </c>
      <c r="O1363" t="inlineStr">
        <is>
          <t>2026-08-10T19:29:54Z</t>
        </is>
      </c>
    </row>
    <row r="1364">
      <c r="A1364" s="19" t="inlineStr">
        <is>
          <t>1363</t>
        </is>
      </c>
      <c r="B1364" s="19" t="inlineStr">
        <is>
          <t>1014417</t>
        </is>
      </c>
      <c r="C1364" t="inlineStr">
        <is>
          <t>AKÜ,L4DK90AH,IGYSMFNONAME,GYEUR,5115-090</t>
        </is>
      </c>
      <c r="D1364" s="19" t="inlineStr">
        <is>
          <t>1</t>
        </is>
      </c>
      <c r="E1364" t="n">
        <v>0</v>
      </c>
      <c r="I1364" s="19" t="inlineStr">
        <is>
          <t>2</t>
        </is>
      </c>
      <c r="J1364" t="inlineStr">
        <is>
          <t>2026-08-08</t>
        </is>
      </c>
      <c r="L1364" s="19" t="inlineStr">
        <is>
          <t>1014417</t>
        </is>
      </c>
      <c r="M1364" t="inlineStr">
        <is>
          <t>STATUS=IN OEM / EU PACKAGE; SOURCE_CFG=IA-ST-CFG-0085; MARKET=GY EUR</t>
        </is>
      </c>
      <c r="N1364" t="inlineStr">
        <is>
          <t>2026-08-10T19:29:54Z</t>
        </is>
      </c>
      <c r="O1364" t="inlineStr">
        <is>
          <t>2026-08-10T19:29:54Z</t>
        </is>
      </c>
    </row>
    <row r="1365">
      <c r="A1365" s="19" t="inlineStr">
        <is>
          <t>1364</t>
        </is>
      </c>
      <c r="B1365" s="19" t="inlineStr">
        <is>
          <t>1014420</t>
        </is>
      </c>
      <c r="C1365" t="inlineStr">
        <is>
          <t>AKÜ,L5,DK100AH,IGYASMF,GYEUR,HAL5019-100</t>
        </is>
      </c>
      <c r="D1365" s="19" t="inlineStr">
        <is>
          <t>1</t>
        </is>
      </c>
      <c r="E1365" t="n">
        <v>0</v>
      </c>
      <c r="I1365" s="19" t="inlineStr">
        <is>
          <t>2</t>
        </is>
      </c>
      <c r="J1365" t="inlineStr">
        <is>
          <t>2026-08-08</t>
        </is>
      </c>
      <c r="L1365" s="19" t="inlineStr">
        <is>
          <t>1014420</t>
        </is>
      </c>
      <c r="M1365" t="inlineStr">
        <is>
          <t>STATUS=IN OEM / EU PACKAGE; SOURCE_CFG=IA-ST-CFG-0068; MARKET=GY EUR</t>
        </is>
      </c>
      <c r="N1365" t="inlineStr">
        <is>
          <t>2026-08-10T19:29:54Z</t>
        </is>
      </c>
      <c r="O1365" t="inlineStr">
        <is>
          <t>2026-08-10T19:29:54Z</t>
        </is>
      </c>
    </row>
    <row r="1366">
      <c r="A1366" s="19" t="inlineStr">
        <is>
          <t>1365</t>
        </is>
      </c>
      <c r="B1366" s="19" t="inlineStr">
        <is>
          <t>1014422</t>
        </is>
      </c>
      <c r="C1366" t="inlineStr">
        <is>
          <t>AKÜ,L5DK100AH,IGYSMF,NONAMEGYEUR5019-100</t>
        </is>
      </c>
      <c r="D1366" s="19" t="inlineStr">
        <is>
          <t>1</t>
        </is>
      </c>
      <c r="E1366" t="n">
        <v>0</v>
      </c>
      <c r="I1366" s="19" t="inlineStr">
        <is>
          <t>2</t>
        </is>
      </c>
      <c r="J1366" t="inlineStr">
        <is>
          <t>2026-08-08</t>
        </is>
      </c>
      <c r="L1366" s="19" t="inlineStr">
        <is>
          <t>1014422</t>
        </is>
      </c>
      <c r="M1366" t="inlineStr">
        <is>
          <t>STATUS=IN OEM / EU PACKAGE; SOURCE_CFG=IA-ST-CFG-0068; MARKET=GY EUR</t>
        </is>
      </c>
      <c r="N1366" t="inlineStr">
        <is>
          <t>2026-08-10T19:29:54Z</t>
        </is>
      </c>
      <c r="O1366" t="inlineStr">
        <is>
          <t>2026-08-10T19:29:54Z</t>
        </is>
      </c>
    </row>
    <row r="1367">
      <c r="A1367" s="19" t="inlineStr">
        <is>
          <t>1366</t>
        </is>
      </c>
      <c r="B1367" s="19" t="inlineStr">
        <is>
          <t>1014423</t>
        </is>
      </c>
      <c r="C1367" t="inlineStr">
        <is>
          <t>AKÜ,L2,DK,62AH,IGYASMF,GYEUR,YBX3027-062</t>
        </is>
      </c>
      <c r="D1367" s="19" t="inlineStr">
        <is>
          <t>1</t>
        </is>
      </c>
      <c r="E1367" t="n">
        <v>0</v>
      </c>
      <c r="I1367" s="19" t="inlineStr">
        <is>
          <t>2</t>
        </is>
      </c>
      <c r="J1367" t="inlineStr">
        <is>
          <t>2026-08-08</t>
        </is>
      </c>
      <c r="L1367" s="19" t="inlineStr">
        <is>
          <t>1014423</t>
        </is>
      </c>
      <c r="M1367" t="inlineStr">
        <is>
          <t>STATUS=IN OEM / EU PACKAGE; SOURCE_CFG=IA-ST-CFG-0162; MARKET=GY EUR</t>
        </is>
      </c>
      <c r="N1367" t="inlineStr">
        <is>
          <t>2026-08-10T19:29:54Z</t>
        </is>
      </c>
      <c r="O1367" t="inlineStr">
        <is>
          <t>2026-08-10T19:29:54Z</t>
        </is>
      </c>
    </row>
    <row r="1368">
      <c r="A1368" s="19" t="inlineStr">
        <is>
          <t>1367</t>
        </is>
      </c>
      <c r="B1368" s="19" t="inlineStr">
        <is>
          <t>1014424</t>
        </is>
      </c>
      <c r="C1368" t="inlineStr">
        <is>
          <t>AKÜ,L3,DK,76AH,IGYASMF,GYEUR,YBX3096-076</t>
        </is>
      </c>
      <c r="D1368" s="19" t="inlineStr">
        <is>
          <t>1</t>
        </is>
      </c>
      <c r="E1368" t="n">
        <v>0</v>
      </c>
      <c r="I1368" s="19" t="inlineStr">
        <is>
          <t>2</t>
        </is>
      </c>
      <c r="J1368" t="inlineStr">
        <is>
          <t>2026-08-08</t>
        </is>
      </c>
      <c r="L1368" s="19" t="inlineStr">
        <is>
          <t>1014424</t>
        </is>
      </c>
      <c r="M1368" t="inlineStr">
        <is>
          <t>STATUS=IN OEM / EU PACKAGE; SOURCE_CFG=IA-ST-CFG-0132; MARKET=GY EUR</t>
        </is>
      </c>
      <c r="N1368" t="inlineStr">
        <is>
          <t>2026-08-10T19:29:54Z</t>
        </is>
      </c>
      <c r="O1368" t="inlineStr">
        <is>
          <t>2026-08-10T19:29:54Z</t>
        </is>
      </c>
    </row>
    <row r="1369">
      <c r="A1369" s="19" t="inlineStr">
        <is>
          <t>1368</t>
        </is>
      </c>
      <c r="B1369" s="19" t="inlineStr">
        <is>
          <t>1014425</t>
        </is>
      </c>
      <c r="C1369" t="inlineStr">
        <is>
          <t>AKÜ,LB3,DK71AH,IGYASMF,GYEUR,YBX3100-071</t>
        </is>
      </c>
      <c r="D1369" s="19" t="inlineStr">
        <is>
          <t>1</t>
        </is>
      </c>
      <c r="E1369" t="n">
        <v>0</v>
      </c>
      <c r="I1369" s="19" t="inlineStr">
        <is>
          <t>2</t>
        </is>
      </c>
      <c r="J1369" t="inlineStr">
        <is>
          <t>2026-08-08</t>
        </is>
      </c>
      <c r="L1369" s="19" t="inlineStr">
        <is>
          <t>1014425</t>
        </is>
      </c>
      <c r="M1369" t="inlineStr">
        <is>
          <t>STATUS=IN OEM / EU PACKAGE; SOURCE_CFG=IA-ST-CFG-0132; MARKET=GY EUR</t>
        </is>
      </c>
      <c r="N1369" t="inlineStr">
        <is>
          <t>2026-08-10T19:29:54Z</t>
        </is>
      </c>
      <c r="O1369" t="inlineStr">
        <is>
          <t>2026-08-10T19:29:54Z</t>
        </is>
      </c>
    </row>
    <row r="1370">
      <c r="A1370" s="19" t="inlineStr">
        <is>
          <t>1369</t>
        </is>
      </c>
      <c r="B1370" s="19" t="inlineStr">
        <is>
          <t>1014426</t>
        </is>
      </c>
      <c r="C1370" t="inlineStr">
        <is>
          <t>AKÜ,L5,DK,95AH,IGYASMF,GYEUR,YBX3019-095</t>
        </is>
      </c>
      <c r="D1370" s="19" t="inlineStr">
        <is>
          <t>1</t>
        </is>
      </c>
      <c r="E1370" t="n">
        <v>0</v>
      </c>
      <c r="I1370" s="19" t="inlineStr">
        <is>
          <t>2</t>
        </is>
      </c>
      <c r="J1370" t="inlineStr">
        <is>
          <t>2026-08-08</t>
        </is>
      </c>
      <c r="L1370" s="19" t="inlineStr">
        <is>
          <t>1014426</t>
        </is>
      </c>
      <c r="M1370" t="inlineStr">
        <is>
          <t>STATUS=IN OEM / EU PACKAGE; SOURCE_CFG=IA-ST-CFG-0068; MARKET=GY EUR</t>
        </is>
      </c>
      <c r="N1370" t="inlineStr">
        <is>
          <t>2026-08-10T19:29:54Z</t>
        </is>
      </c>
      <c r="O1370" t="inlineStr">
        <is>
          <t>2026-08-10T19:29:54Z</t>
        </is>
      </c>
    </row>
    <row r="1371">
      <c r="A1371" s="19" t="inlineStr">
        <is>
          <t>1370</t>
        </is>
      </c>
      <c r="B1371" s="19" t="inlineStr">
        <is>
          <t>1014427</t>
        </is>
      </c>
      <c r="C1371" t="inlineStr">
        <is>
          <t>AKÜ,L2,DK,62AH,IGYA SMF,SMF 027,GS</t>
        </is>
      </c>
      <c r="D1371" s="19" t="inlineStr">
        <is>
          <t>1</t>
        </is>
      </c>
      <c r="E1371" t="n">
        <v>0</v>
      </c>
      <c r="I1371" s="19" t="inlineStr">
        <is>
          <t>2</t>
        </is>
      </c>
      <c r="J1371" t="inlineStr">
        <is>
          <t>2026-08-08</t>
        </is>
      </c>
      <c r="L1371" s="19" t="inlineStr">
        <is>
          <t>1014427</t>
        </is>
      </c>
      <c r="M1371" t="inlineStr">
        <is>
          <t>STATUS=IN OEM / EU PACKAGE; SOURCE_CFG=IA-ST-CFG-0162; MARKET=GS</t>
        </is>
      </c>
      <c r="N1371" t="inlineStr">
        <is>
          <t>2026-08-10T19:29:54Z</t>
        </is>
      </c>
      <c r="O1371" t="inlineStr">
        <is>
          <t>2026-08-10T19:29:54Z</t>
        </is>
      </c>
    </row>
    <row r="1372">
      <c r="A1372" s="19" t="inlineStr">
        <is>
          <t>1371</t>
        </is>
      </c>
      <c r="B1372" s="19" t="inlineStr">
        <is>
          <t>1014428</t>
        </is>
      </c>
      <c r="C1372" t="inlineStr">
        <is>
          <t>AKÜ,L2,TK,60AH,IGYA SMF,SMF 078,GS</t>
        </is>
      </c>
      <c r="D1372" s="19" t="inlineStr">
        <is>
          <t>1</t>
        </is>
      </c>
      <c r="E1372" t="n">
        <v>0</v>
      </c>
      <c r="I1372" s="19" t="inlineStr">
        <is>
          <t>2</t>
        </is>
      </c>
      <c r="J1372" t="inlineStr">
        <is>
          <t>2026-08-08</t>
        </is>
      </c>
      <c r="L1372" s="19" t="inlineStr">
        <is>
          <t>1014428</t>
        </is>
      </c>
      <c r="M1372" t="inlineStr">
        <is>
          <t>STATUS=IN OEM / EU PACKAGE; SOURCE_CFG=IA-ST-CFG-0162; MARKET=GS</t>
        </is>
      </c>
      <c r="N1372" t="inlineStr">
        <is>
          <t>2026-08-10T19:29:54Z</t>
        </is>
      </c>
      <c r="O1372" t="inlineStr">
        <is>
          <t>2026-08-10T19:29:54Z</t>
        </is>
      </c>
    </row>
    <row r="1373">
      <c r="A1373" s="19" t="inlineStr">
        <is>
          <t>1372</t>
        </is>
      </c>
      <c r="B1373" s="19" t="inlineStr">
        <is>
          <t>1014429</t>
        </is>
      </c>
      <c r="C1373" t="inlineStr">
        <is>
          <t>AKÜ,L3,DK,75AH,IGYA SMF,SMF 096,GS</t>
        </is>
      </c>
      <c r="D1373" s="19" t="inlineStr">
        <is>
          <t>1</t>
        </is>
      </c>
      <c r="E1373" t="n">
        <v>0</v>
      </c>
      <c r="I1373" s="19" t="inlineStr">
        <is>
          <t>2</t>
        </is>
      </c>
      <c r="J1373" t="inlineStr">
        <is>
          <t>2026-08-08</t>
        </is>
      </c>
      <c r="L1373" s="19" t="inlineStr">
        <is>
          <t>1014429</t>
        </is>
      </c>
      <c r="M1373" t="inlineStr">
        <is>
          <t>STATUS=IN OEM / EU PACKAGE; SOURCE_CFG=IA-ST-CFG-0132; MARKET=GS</t>
        </is>
      </c>
      <c r="N1373" t="inlineStr">
        <is>
          <t>2026-08-10T19:29:54Z</t>
        </is>
      </c>
      <c r="O1373" t="inlineStr">
        <is>
          <t>2026-08-10T19:29:54Z</t>
        </is>
      </c>
    </row>
    <row r="1374">
      <c r="A1374" s="19" t="inlineStr">
        <is>
          <t>1373</t>
        </is>
      </c>
      <c r="B1374" s="19" t="inlineStr">
        <is>
          <t>1014430</t>
        </is>
      </c>
      <c r="C1374" t="inlineStr">
        <is>
          <t>AKÜ,L3,TK,75AH,IGYA SMF,SMF 086,GS</t>
        </is>
      </c>
      <c r="D1374" s="19" t="inlineStr">
        <is>
          <t>1</t>
        </is>
      </c>
      <c r="E1374" t="n">
        <v>0</v>
      </c>
      <c r="I1374" s="19" t="inlineStr">
        <is>
          <t>2</t>
        </is>
      </c>
      <c r="J1374" t="inlineStr">
        <is>
          <t>2026-08-08</t>
        </is>
      </c>
      <c r="L1374" s="19" t="inlineStr">
        <is>
          <t>1014430</t>
        </is>
      </c>
      <c r="M1374" t="inlineStr">
        <is>
          <t>STATUS=IN OEM / EU PACKAGE; SOURCE_CFG=IA-ST-CFG-0132; MARKET=GS</t>
        </is>
      </c>
      <c r="N1374" t="inlineStr">
        <is>
          <t>2026-08-10T19:29:54Z</t>
        </is>
      </c>
      <c r="O1374" t="inlineStr">
        <is>
          <t>2026-08-10T19:29:54Z</t>
        </is>
      </c>
    </row>
    <row r="1375">
      <c r="A1375" s="19" t="inlineStr">
        <is>
          <t>1374</t>
        </is>
      </c>
      <c r="B1375" s="19" t="inlineStr">
        <is>
          <t>1014431</t>
        </is>
      </c>
      <c r="C1375" t="inlineStr">
        <is>
          <t>AKÜ,LB3,DK,72AH,IGYA SMF,SMF 100,GS</t>
        </is>
      </c>
      <c r="D1375" s="19" t="inlineStr">
        <is>
          <t>1</t>
        </is>
      </c>
      <c r="E1375" t="n">
        <v>0</v>
      </c>
      <c r="I1375" s="19" t="inlineStr">
        <is>
          <t>2</t>
        </is>
      </c>
      <c r="J1375" t="inlineStr">
        <is>
          <t>2026-08-08</t>
        </is>
      </c>
      <c r="L1375" s="19" t="inlineStr">
        <is>
          <t>1014431</t>
        </is>
      </c>
      <c r="M1375" t="inlineStr">
        <is>
          <t>STATUS=IN OEM / EU PACKAGE; SOURCE_CFG=IA-ST-CFG-0132; MARKET=GS</t>
        </is>
      </c>
      <c r="N1375" t="inlineStr">
        <is>
          <t>2026-08-10T19:29:54Z</t>
        </is>
      </c>
      <c r="O1375" t="inlineStr">
        <is>
          <t>2026-08-10T19:29:54Z</t>
        </is>
      </c>
    </row>
    <row r="1376">
      <c r="A1376" s="19" t="inlineStr">
        <is>
          <t>1375</t>
        </is>
      </c>
      <c r="B1376" s="19" t="inlineStr">
        <is>
          <t>1014432</t>
        </is>
      </c>
      <c r="C1376" t="inlineStr">
        <is>
          <t>AKÜ,L5,DK,95AH,IGYA SMF,SMF 019,GS</t>
        </is>
      </c>
      <c r="D1376" s="19" t="inlineStr">
        <is>
          <t>1</t>
        </is>
      </c>
      <c r="E1376" t="n">
        <v>0</v>
      </c>
      <c r="I1376" s="19" t="inlineStr">
        <is>
          <t>2</t>
        </is>
      </c>
      <c r="J1376" t="inlineStr">
        <is>
          <t>2026-08-08</t>
        </is>
      </c>
      <c r="L1376" s="19" t="inlineStr">
        <is>
          <t>1014432</t>
        </is>
      </c>
      <c r="M1376" t="inlineStr">
        <is>
          <t>STATUS=IN OEM / EU PACKAGE; SOURCE_CFG=IA-ST-CFG-0068; MARKET=GS</t>
        </is>
      </c>
      <c r="N1376" t="inlineStr">
        <is>
          <t>2026-08-10T19:29:54Z</t>
        </is>
      </c>
      <c r="O1376" t="inlineStr">
        <is>
          <t>2026-08-10T19:29:54Z</t>
        </is>
      </c>
    </row>
    <row r="1377">
      <c r="A1377" s="19" t="inlineStr">
        <is>
          <t>1376</t>
        </is>
      </c>
      <c r="B1377" s="19" t="inlineStr">
        <is>
          <t>1014433</t>
        </is>
      </c>
      <c r="C1377" t="inlineStr">
        <is>
          <t>AKÜ,L2,TK,62AH,IGYASMF,GYEUR,YBX3078-062</t>
        </is>
      </c>
      <c r="D1377" s="19" t="inlineStr">
        <is>
          <t>1</t>
        </is>
      </c>
      <c r="E1377" t="n">
        <v>0</v>
      </c>
      <c r="I1377" s="19" t="inlineStr">
        <is>
          <t>2</t>
        </is>
      </c>
      <c r="J1377" t="inlineStr">
        <is>
          <t>2026-08-08</t>
        </is>
      </c>
      <c r="L1377" s="19" t="inlineStr">
        <is>
          <t>1014433</t>
        </is>
      </c>
      <c r="M1377" t="inlineStr">
        <is>
          <t>STATUS=IN OEM / EU PACKAGE; SOURCE_CFG=IA-ST-CFG-0162; MARKET=GY EUR</t>
        </is>
      </c>
      <c r="N1377" t="inlineStr">
        <is>
          <t>2026-08-10T19:29:54Z</t>
        </is>
      </c>
      <c r="O1377" t="inlineStr">
        <is>
          <t>2026-08-10T19:29:54Z</t>
        </is>
      </c>
    </row>
    <row r="1378">
      <c r="A1378" s="19" t="inlineStr">
        <is>
          <t>1377</t>
        </is>
      </c>
      <c r="B1378" s="19" t="inlineStr">
        <is>
          <t>1014434</t>
        </is>
      </c>
      <c r="C1378" t="inlineStr">
        <is>
          <t>AKÜ,L2,TK,60AH,IGYSMF,Y3000EXPORT,KOLİLİ</t>
        </is>
      </c>
      <c r="D1378" s="19" t="inlineStr">
        <is>
          <t>1</t>
        </is>
      </c>
      <c r="E1378" t="n">
        <v>0</v>
      </c>
      <c r="I1378" s="19" t="inlineStr">
        <is>
          <t>2</t>
        </is>
      </c>
      <c r="J1378" t="inlineStr">
        <is>
          <t>2026-08-08</t>
        </is>
      </c>
      <c r="L1378" s="19" t="inlineStr">
        <is>
          <t>1014434</t>
        </is>
      </c>
      <c r="M1378" t="inlineStr">
        <is>
          <t>STATUS=IN OEM / EU PACKAGE; SOURCE_CFG=IA-ST-CFG-0088; MARKET=YUASA 3000 EXPORT</t>
        </is>
      </c>
      <c r="N1378" t="inlineStr">
        <is>
          <t>2026-08-10T19:29:54Z</t>
        </is>
      </c>
      <c r="O1378" t="inlineStr">
        <is>
          <t>2026-08-10T19:29:54Z</t>
        </is>
      </c>
    </row>
    <row r="1379">
      <c r="A1379" s="19" t="inlineStr">
        <is>
          <t>1378</t>
        </is>
      </c>
      <c r="B1379" s="19" t="inlineStr">
        <is>
          <t>1014435</t>
        </is>
      </c>
      <c r="C1379" t="inlineStr">
        <is>
          <t>AKÜ,L2,TK,60AH,IGYA,Y3000EXP KOLİ,NACITA</t>
        </is>
      </c>
      <c r="D1379" s="19" t="inlineStr">
        <is>
          <t>1</t>
        </is>
      </c>
      <c r="E1379" t="n">
        <v>0</v>
      </c>
      <c r="I1379" s="19" t="inlineStr">
        <is>
          <t>2</t>
        </is>
      </c>
      <c r="J1379" t="inlineStr">
        <is>
          <t>2026-08-08</t>
        </is>
      </c>
      <c r="L1379" s="19" t="inlineStr">
        <is>
          <t>1014435</t>
        </is>
      </c>
      <c r="M1379" t="inlineStr">
        <is>
          <t>STATUS=IN OEM / EU PACKAGE; SOURCE_CFG=IA-ST-CFG-0255; MARKET=MISIR NACITA</t>
        </is>
      </c>
      <c r="N1379" t="inlineStr">
        <is>
          <t>2026-08-10T19:29:54Z</t>
        </is>
      </c>
      <c r="O1379" t="inlineStr">
        <is>
          <t>2026-08-10T19:29:54Z</t>
        </is>
      </c>
    </row>
    <row r="1380">
      <c r="A1380" s="19" t="inlineStr">
        <is>
          <t>1379</t>
        </is>
      </c>
      <c r="B1380" s="19" t="inlineStr">
        <is>
          <t>1014436</t>
        </is>
      </c>
      <c r="C1380" t="inlineStr">
        <is>
          <t>AKÜ,L2,TK,60AH,IGYA SMF,Y3000 EXPORT</t>
        </is>
      </c>
      <c r="D1380" s="19" t="inlineStr">
        <is>
          <t>1</t>
        </is>
      </c>
      <c r="E1380" t="n">
        <v>0</v>
      </c>
      <c r="I1380" s="19" t="inlineStr">
        <is>
          <t>2</t>
        </is>
      </c>
      <c r="J1380" t="inlineStr">
        <is>
          <t>2026-08-08</t>
        </is>
      </c>
      <c r="L1380" s="19" t="inlineStr">
        <is>
          <t>1014436</t>
        </is>
      </c>
      <c r="M1380" t="inlineStr">
        <is>
          <t>STATUS=IN OEM / EU PACKAGE; SOURCE_CFG=IA-ST-CFG-0162; MARKET=YUASA 3000 EXPORT</t>
        </is>
      </c>
      <c r="N1380" t="inlineStr">
        <is>
          <t>2026-08-10T19:29:54Z</t>
        </is>
      </c>
      <c r="O1380" t="inlineStr">
        <is>
          <t>2026-08-10T19:29:54Z</t>
        </is>
      </c>
    </row>
    <row r="1381">
      <c r="A1381" s="19" t="inlineStr">
        <is>
          <t>1380</t>
        </is>
      </c>
      <c r="B1381" s="19" t="inlineStr">
        <is>
          <t>1014437</t>
        </is>
      </c>
      <c r="C1381" t="inlineStr">
        <is>
          <t>AKÜ,L2,DK,62AH,IGYASMF,GYEUR,HAL3027-062</t>
        </is>
      </c>
      <c r="D1381" s="19" t="inlineStr">
        <is>
          <t>1</t>
        </is>
      </c>
      <c r="E1381" t="n">
        <v>0</v>
      </c>
      <c r="I1381" s="19" t="inlineStr">
        <is>
          <t>2</t>
        </is>
      </c>
      <c r="J1381" t="inlineStr">
        <is>
          <t>2026-08-08</t>
        </is>
      </c>
      <c r="L1381" s="19" t="inlineStr">
        <is>
          <t>1014437</t>
        </is>
      </c>
      <c r="M1381" t="inlineStr">
        <is>
          <t>STATUS=IN OEM / EU PACKAGE; SOURCE_CFG=IA-ST-CFG-0162; MARKET=GY EUR</t>
        </is>
      </c>
      <c r="N1381" t="inlineStr">
        <is>
          <t>2026-08-10T19:29:54Z</t>
        </is>
      </c>
      <c r="O1381" t="inlineStr">
        <is>
          <t>2026-08-10T19:29:54Z</t>
        </is>
      </c>
    </row>
    <row r="1382">
      <c r="A1382" s="19" t="inlineStr">
        <is>
          <t>1381</t>
        </is>
      </c>
      <c r="B1382" s="19" t="inlineStr">
        <is>
          <t>1014439</t>
        </is>
      </c>
      <c r="C1382" t="inlineStr">
        <is>
          <t>AKÜ,L2,DK,62AH,IGYA,NONAME,GYEUR3027-062</t>
        </is>
      </c>
      <c r="D1382" s="19" t="inlineStr">
        <is>
          <t>1</t>
        </is>
      </c>
      <c r="E1382" t="n">
        <v>0</v>
      </c>
      <c r="I1382" s="19" t="inlineStr">
        <is>
          <t>2</t>
        </is>
      </c>
      <c r="J1382" t="inlineStr">
        <is>
          <t>2026-08-08</t>
        </is>
      </c>
      <c r="L1382" s="19" t="inlineStr">
        <is>
          <t>1014439</t>
        </is>
      </c>
      <c r="M1382" t="inlineStr">
        <is>
          <t>STATUS=IN OEM / EU PACKAGE; SOURCE_CFG=IA-ST-CFG-0162; MARKET=GY EUR</t>
        </is>
      </c>
      <c r="N1382" t="inlineStr">
        <is>
          <t>2026-08-10T19:29:54Z</t>
        </is>
      </c>
      <c r="O1382" t="inlineStr">
        <is>
          <t>2026-08-10T19:29:54Z</t>
        </is>
      </c>
    </row>
    <row r="1383">
      <c r="A1383" s="19" t="inlineStr">
        <is>
          <t>1382</t>
        </is>
      </c>
      <c r="B1383" s="19" t="inlineStr">
        <is>
          <t>1014440</t>
        </is>
      </c>
      <c r="C1383" t="inlineStr">
        <is>
          <t>AKÜ,L2,DK,62AH,IGYA,Y3000EXP KOLİ,NACITA</t>
        </is>
      </c>
      <c r="D1383" s="19" t="inlineStr">
        <is>
          <t>1</t>
        </is>
      </c>
      <c r="E1383" t="n">
        <v>0</v>
      </c>
      <c r="I1383" s="19" t="inlineStr">
        <is>
          <t>2</t>
        </is>
      </c>
      <c r="J1383" t="inlineStr">
        <is>
          <t>2026-08-08</t>
        </is>
      </c>
      <c r="L1383" s="19" t="inlineStr">
        <is>
          <t>1014440</t>
        </is>
      </c>
      <c r="M1383" t="inlineStr">
        <is>
          <t>STATUS=IN OEM / EU PACKAGE; SOURCE_CFG=IA-ST-CFG-0255; MARKET=MISIR NACITA</t>
        </is>
      </c>
      <c r="N1383" t="inlineStr">
        <is>
          <t>2026-08-10T19:29:54Z</t>
        </is>
      </c>
      <c r="O1383" t="inlineStr">
        <is>
          <t>2026-08-10T19:29:54Z</t>
        </is>
      </c>
    </row>
    <row r="1384">
      <c r="A1384" s="19" t="inlineStr">
        <is>
          <t>1383</t>
        </is>
      </c>
      <c r="B1384" s="19" t="inlineStr">
        <is>
          <t>1014441</t>
        </is>
      </c>
      <c r="C1384" t="inlineStr">
        <is>
          <t>AKÜ,L2,DK,62AH,IGYSMF,Y3000EXPORT,KOLİLİ</t>
        </is>
      </c>
      <c r="D1384" s="19" t="inlineStr">
        <is>
          <t>1</t>
        </is>
      </c>
      <c r="E1384" t="n">
        <v>0</v>
      </c>
      <c r="I1384" s="19" t="inlineStr">
        <is>
          <t>2</t>
        </is>
      </c>
      <c r="J1384" t="inlineStr">
        <is>
          <t>2026-08-08</t>
        </is>
      </c>
      <c r="L1384" s="19" t="inlineStr">
        <is>
          <t>1014441</t>
        </is>
      </c>
      <c r="M1384" t="inlineStr">
        <is>
          <t>STATUS=IN OEM / EU PACKAGE; SOURCE_CFG=IA-ST-CFG-0191; MARKET=YUASA 3000 EXPORT</t>
        </is>
      </c>
      <c r="N1384" t="inlineStr">
        <is>
          <t>2026-08-10T19:29:54Z</t>
        </is>
      </c>
      <c r="O1384" t="inlineStr">
        <is>
          <t>2026-08-10T19:29:54Z</t>
        </is>
      </c>
    </row>
    <row r="1385">
      <c r="A1385" s="19" t="inlineStr">
        <is>
          <t>1384</t>
        </is>
      </c>
      <c r="B1385" s="19" t="inlineStr">
        <is>
          <t>1014442</t>
        </is>
      </c>
      <c r="C1385" t="inlineStr">
        <is>
          <t>AKÜ,L2,DK,62AH,IGYA SMF,Y3000 EXPORT</t>
        </is>
      </c>
      <c r="D1385" s="19" t="inlineStr">
        <is>
          <t>1</t>
        </is>
      </c>
      <c r="E1385" t="n">
        <v>0</v>
      </c>
      <c r="I1385" s="19" t="inlineStr">
        <is>
          <t>2</t>
        </is>
      </c>
      <c r="J1385" t="inlineStr">
        <is>
          <t>2026-08-08</t>
        </is>
      </c>
      <c r="L1385" s="19" t="inlineStr">
        <is>
          <t>1014442</t>
        </is>
      </c>
      <c r="M1385" t="inlineStr">
        <is>
          <t>STATUS=IN OEM / EU PACKAGE; SOURCE_CFG=IA-ST-CFG-0162; MARKET=YUASA 3000 EXPORT</t>
        </is>
      </c>
      <c r="N1385" t="inlineStr">
        <is>
          <t>2026-08-10T19:29:54Z</t>
        </is>
      </c>
      <c r="O1385" t="inlineStr">
        <is>
          <t>2026-08-10T19:29:54Z</t>
        </is>
      </c>
    </row>
    <row r="1386">
      <c r="A1386" s="19" t="inlineStr">
        <is>
          <t>1385</t>
        </is>
      </c>
      <c r="B1386" s="19" t="inlineStr">
        <is>
          <t>1014443</t>
        </is>
      </c>
      <c r="C1386" t="inlineStr">
        <is>
          <t>AKÜ,L2,DK,62AH,IGYSMF,Y3000EXPORT,TÜRKMN</t>
        </is>
      </c>
      <c r="D1386" s="19" t="inlineStr">
        <is>
          <t>1</t>
        </is>
      </c>
      <c r="E1386" t="n">
        <v>0</v>
      </c>
      <c r="I1386" s="19" t="inlineStr">
        <is>
          <t>2</t>
        </is>
      </c>
      <c r="J1386" t="inlineStr">
        <is>
          <t>2026-08-08</t>
        </is>
      </c>
      <c r="L1386" s="19" t="inlineStr">
        <is>
          <t>1014443</t>
        </is>
      </c>
      <c r="M1386" t="inlineStr">
        <is>
          <t>STATUS=IN OEM / EU PACKAGE; SOURCE_CFG=IA-ST-CFG-0218; MARKET=YUASA 3000 EXPORT TÜRKMENİSTAN</t>
        </is>
      </c>
      <c r="N1386" t="inlineStr">
        <is>
          <t>2026-08-10T19:29:54Z</t>
        </is>
      </c>
      <c r="O1386" t="inlineStr">
        <is>
          <t>2026-08-10T19:29:54Z</t>
        </is>
      </c>
    </row>
    <row r="1387">
      <c r="A1387" s="19" t="inlineStr">
        <is>
          <t>1386</t>
        </is>
      </c>
      <c r="B1387" s="19" t="inlineStr">
        <is>
          <t>1014444</t>
        </is>
      </c>
      <c r="C1387" t="inlineStr">
        <is>
          <t>AKÜ,L3,TK,76AH,IGYASMF,GYEUR,YBX3086-076</t>
        </is>
      </c>
      <c r="D1387" s="19" t="inlineStr">
        <is>
          <t>1</t>
        </is>
      </c>
      <c r="E1387" t="n">
        <v>0</v>
      </c>
      <c r="I1387" s="19" t="inlineStr">
        <is>
          <t>2</t>
        </is>
      </c>
      <c r="J1387" t="inlineStr">
        <is>
          <t>2026-08-08</t>
        </is>
      </c>
      <c r="L1387" s="19" t="inlineStr">
        <is>
          <t>1014444</t>
        </is>
      </c>
      <c r="M1387" t="inlineStr">
        <is>
          <t>STATUS=IN OEM / EU PACKAGE; SOURCE_CFG=IA-ST-CFG-0132; MARKET=GY EUR</t>
        </is>
      </c>
      <c r="N1387" t="inlineStr">
        <is>
          <t>2026-08-10T19:29:54Z</t>
        </is>
      </c>
      <c r="O1387" t="inlineStr">
        <is>
          <t>2026-08-10T19:29:54Z</t>
        </is>
      </c>
    </row>
    <row r="1388">
      <c r="A1388" s="19" t="inlineStr">
        <is>
          <t>1387</t>
        </is>
      </c>
      <c r="B1388" s="19" t="inlineStr">
        <is>
          <t>1014445</t>
        </is>
      </c>
      <c r="C1388" t="inlineStr">
        <is>
          <t>AKÜ,L3TK76AH,IGYSMF,NONAME,GYEUR3086-076</t>
        </is>
      </c>
      <c r="D1388" s="19" t="inlineStr">
        <is>
          <t>1</t>
        </is>
      </c>
      <c r="E1388" t="n">
        <v>0</v>
      </c>
      <c r="I1388" s="19" t="inlineStr">
        <is>
          <t>2</t>
        </is>
      </c>
      <c r="J1388" t="inlineStr">
        <is>
          <t>2026-08-08</t>
        </is>
      </c>
      <c r="L1388" s="19" t="inlineStr">
        <is>
          <t>1014445</t>
        </is>
      </c>
      <c r="M1388" t="inlineStr">
        <is>
          <t>STATUS=IN OEM / EU PACKAGE; SOURCE_CFG=IA-ST-CFG-0132; MARKET=GY EUR</t>
        </is>
      </c>
      <c r="N1388" t="inlineStr">
        <is>
          <t>2026-08-10T19:29:54Z</t>
        </is>
      </c>
      <c r="O1388" t="inlineStr">
        <is>
          <t>2026-08-10T19:29:54Z</t>
        </is>
      </c>
    </row>
    <row r="1389">
      <c r="A1389" s="19" t="inlineStr">
        <is>
          <t>1388</t>
        </is>
      </c>
      <c r="B1389" s="19" t="inlineStr">
        <is>
          <t>1014446</t>
        </is>
      </c>
      <c r="C1389" t="inlineStr">
        <is>
          <t>AKÜ,L3DK76AH,IGYASMF,HALFORD,HAL3096-076</t>
        </is>
      </c>
      <c r="D1389" s="19" t="inlineStr">
        <is>
          <t>1</t>
        </is>
      </c>
      <c r="E1389" t="n">
        <v>0</v>
      </c>
      <c r="I1389" s="19" t="inlineStr">
        <is>
          <t>2</t>
        </is>
      </c>
      <c r="J1389" t="inlineStr">
        <is>
          <t>2026-08-08</t>
        </is>
      </c>
      <c r="L1389" s="19" t="inlineStr">
        <is>
          <t>1014446</t>
        </is>
      </c>
      <c r="M1389" t="inlineStr">
        <is>
          <t>STATUS=IN OEM / EU PACKAGE; SOURCE_CFG=IA-ST-CFG-0132; MARKET=GY EUR</t>
        </is>
      </c>
      <c r="N1389" t="inlineStr">
        <is>
          <t>2026-08-10T19:29:54Z</t>
        </is>
      </c>
      <c r="O1389" t="inlineStr">
        <is>
          <t>2026-08-10T19:29:54Z</t>
        </is>
      </c>
    </row>
    <row r="1390">
      <c r="A1390" s="19" t="inlineStr">
        <is>
          <t>1389</t>
        </is>
      </c>
      <c r="B1390" s="19" t="inlineStr">
        <is>
          <t>1014447</t>
        </is>
      </c>
      <c r="C1390" t="inlineStr">
        <is>
          <t>AKÜ,L3,DK,76AH,IGYASMF,NO NAME,3096-076</t>
        </is>
      </c>
      <c r="D1390" s="19" t="inlineStr">
        <is>
          <t>1</t>
        </is>
      </c>
      <c r="E1390" t="n">
        <v>0</v>
      </c>
      <c r="I1390" s="19" t="inlineStr">
        <is>
          <t>2</t>
        </is>
      </c>
      <c r="J1390" t="inlineStr">
        <is>
          <t>2026-08-08</t>
        </is>
      </c>
      <c r="L1390" s="19" t="inlineStr">
        <is>
          <t>1014447</t>
        </is>
      </c>
      <c r="M1390" t="inlineStr">
        <is>
          <t>STATUS=IN OEM / EU PACKAGE; SOURCE_CFG=IA-ST-CFG-0132; MARKET=GY EUR</t>
        </is>
      </c>
      <c r="N1390" t="inlineStr">
        <is>
          <t>2026-08-10T19:29:54Z</t>
        </is>
      </c>
      <c r="O1390" t="inlineStr">
        <is>
          <t>2026-08-10T19:29:54Z</t>
        </is>
      </c>
    </row>
    <row r="1391">
      <c r="A1391" s="19" t="inlineStr">
        <is>
          <t>1390</t>
        </is>
      </c>
      <c r="B1391" s="19" t="inlineStr">
        <is>
          <t>1014448</t>
        </is>
      </c>
      <c r="C1391" t="inlineStr">
        <is>
          <t>AKÜ,L3,DK,75AH,IGYSMF,Y3000EXPORT,KOLİLİ</t>
        </is>
      </c>
      <c r="D1391" s="19" t="inlineStr">
        <is>
          <t>1</t>
        </is>
      </c>
      <c r="E1391" t="n">
        <v>0</v>
      </c>
      <c r="I1391" s="19" t="inlineStr">
        <is>
          <t>2</t>
        </is>
      </c>
      <c r="J1391" t="inlineStr">
        <is>
          <t>2026-08-08</t>
        </is>
      </c>
      <c r="L1391" s="19" t="inlineStr">
        <is>
          <t>1014448</t>
        </is>
      </c>
      <c r="M1391" t="inlineStr">
        <is>
          <t>STATUS=IN OEM / EU PACKAGE; SOURCE_CFG=IA-ST-CFG-0061; MARKET=YUASA 3000 EXPORT</t>
        </is>
      </c>
      <c r="N1391" t="inlineStr">
        <is>
          <t>2026-08-10T19:29:54Z</t>
        </is>
      </c>
      <c r="O1391" t="inlineStr">
        <is>
          <t>2026-08-10T19:29:54Z</t>
        </is>
      </c>
    </row>
    <row r="1392">
      <c r="A1392" s="19" t="inlineStr">
        <is>
          <t>1391</t>
        </is>
      </c>
      <c r="B1392" s="19" t="inlineStr">
        <is>
          <t>1014450</t>
        </is>
      </c>
      <c r="C1392" t="inlineStr">
        <is>
          <t>AKÜ,L3,DK,75AH,IGYA SMF,NO NAME,GY EUR</t>
        </is>
      </c>
      <c r="D1392" s="19" t="inlineStr">
        <is>
          <t>1</t>
        </is>
      </c>
      <c r="E1392" t="n">
        <v>0</v>
      </c>
      <c r="I1392" s="19" t="inlineStr">
        <is>
          <t>2</t>
        </is>
      </c>
      <c r="J1392" t="inlineStr">
        <is>
          <t>2026-08-08</t>
        </is>
      </c>
      <c r="L1392" s="19" t="inlineStr">
        <is>
          <t>1014450</t>
        </is>
      </c>
      <c r="M1392" t="inlineStr">
        <is>
          <t>STATUS=IN OEM / EU PACKAGE; SOURCE_CFG=IA-ST-CFG-0132; MARKET=GY EUR</t>
        </is>
      </c>
      <c r="N1392" t="inlineStr">
        <is>
          <t>2026-08-10T19:29:54Z</t>
        </is>
      </c>
      <c r="O1392" t="inlineStr">
        <is>
          <t>2026-08-10T19:29:54Z</t>
        </is>
      </c>
    </row>
    <row r="1393">
      <c r="A1393" s="19" t="inlineStr">
        <is>
          <t>1392</t>
        </is>
      </c>
      <c r="B1393" s="19" t="inlineStr">
        <is>
          <t>1014451</t>
        </is>
      </c>
      <c r="C1393" t="inlineStr">
        <is>
          <t>AKÜ,L3,DK,75AH,IGYSMF,Y3000EXPORT,KOLİLİ</t>
        </is>
      </c>
      <c r="D1393" s="19" t="inlineStr">
        <is>
          <t>1</t>
        </is>
      </c>
      <c r="E1393" t="n">
        <v>0</v>
      </c>
      <c r="I1393" s="19" t="inlineStr">
        <is>
          <t>2</t>
        </is>
      </c>
      <c r="J1393" t="inlineStr">
        <is>
          <t>2026-08-08</t>
        </is>
      </c>
      <c r="L1393" s="19" t="inlineStr">
        <is>
          <t>1014451</t>
        </is>
      </c>
      <c r="M1393" t="inlineStr">
        <is>
          <t>STATUS=IN OEM / EU PACKAGE; SOURCE_CFG=IA-ST-CFG-0137; MARKET=YUASA 3000 EXPORT</t>
        </is>
      </c>
      <c r="N1393" t="inlineStr">
        <is>
          <t>2026-08-10T19:29:54Z</t>
        </is>
      </c>
      <c r="O1393" t="inlineStr">
        <is>
          <t>2026-08-10T19:29:54Z</t>
        </is>
      </c>
    </row>
    <row r="1394">
      <c r="A1394" s="19" t="inlineStr">
        <is>
          <t>1393</t>
        </is>
      </c>
      <c r="B1394" s="19" t="inlineStr">
        <is>
          <t>1014452</t>
        </is>
      </c>
      <c r="C1394" t="inlineStr">
        <is>
          <t>AKÜ,L3,DK,75AH,IGYA SMF,Y3000 EXPORT</t>
        </is>
      </c>
      <c r="D1394" s="19" t="inlineStr">
        <is>
          <t>1</t>
        </is>
      </c>
      <c r="E1394" t="n">
        <v>0</v>
      </c>
      <c r="I1394" s="19" t="inlineStr">
        <is>
          <t>2</t>
        </is>
      </c>
      <c r="J1394" t="inlineStr">
        <is>
          <t>2026-08-08</t>
        </is>
      </c>
      <c r="L1394" s="19" t="inlineStr">
        <is>
          <t>1014452</t>
        </is>
      </c>
      <c r="M1394" t="inlineStr">
        <is>
          <t>STATUS=IN OEM / EU PACKAGE; SOURCE_CFG=IA-ST-CFG-0132; MARKET=YUASA 3000 EXPORT</t>
        </is>
      </c>
      <c r="N1394" t="inlineStr">
        <is>
          <t>2026-08-10T19:29:54Z</t>
        </is>
      </c>
      <c r="O1394" t="inlineStr">
        <is>
          <t>2026-08-10T19:29:54Z</t>
        </is>
      </c>
    </row>
    <row r="1395">
      <c r="A1395" s="19" t="inlineStr">
        <is>
          <t>1394</t>
        </is>
      </c>
      <c r="B1395" s="19" t="inlineStr">
        <is>
          <t>1014453</t>
        </is>
      </c>
      <c r="C1395" t="inlineStr">
        <is>
          <t>AKÜ,L3,DK,75AH,IGYA,NONAME,GYEUR4096-075</t>
        </is>
      </c>
      <c r="D1395" s="19" t="inlineStr">
        <is>
          <t>1</t>
        </is>
      </c>
      <c r="E1395" t="n">
        <v>0</v>
      </c>
      <c r="I1395" s="19" t="inlineStr">
        <is>
          <t>2</t>
        </is>
      </c>
      <c r="J1395" t="inlineStr">
        <is>
          <t>2026-08-08</t>
        </is>
      </c>
      <c r="L1395" s="19" t="inlineStr">
        <is>
          <t>1014453</t>
        </is>
      </c>
      <c r="M1395" t="inlineStr">
        <is>
          <t>STATUS=IN OEM / EU PACKAGE; SOURCE_CFG=IA-ST-CFG-0132; MARKET=GY EUR</t>
        </is>
      </c>
      <c r="N1395" t="inlineStr">
        <is>
          <t>2026-08-10T19:29:54Z</t>
        </is>
      </c>
      <c r="O1395" t="inlineStr">
        <is>
          <t>2026-08-10T19:29:54Z</t>
        </is>
      </c>
    </row>
    <row r="1396">
      <c r="A1396" s="19" t="inlineStr">
        <is>
          <t>1395</t>
        </is>
      </c>
      <c r="B1396" s="19" t="inlineStr">
        <is>
          <t>1014454</t>
        </is>
      </c>
      <c r="C1396" t="inlineStr">
        <is>
          <t>AKÜ,LB3DK71AH,IGYSMFNONAME,GYEUR3100-071</t>
        </is>
      </c>
      <c r="D1396" s="19" t="inlineStr">
        <is>
          <t>1</t>
        </is>
      </c>
      <c r="E1396" t="n">
        <v>0</v>
      </c>
      <c r="I1396" s="19" t="inlineStr">
        <is>
          <t>2</t>
        </is>
      </c>
      <c r="J1396" t="inlineStr">
        <is>
          <t>2026-08-08</t>
        </is>
      </c>
      <c r="L1396" s="19" t="inlineStr">
        <is>
          <t>1014454</t>
        </is>
      </c>
      <c r="M1396" t="inlineStr">
        <is>
          <t>STATUS=IN OEM / EU PACKAGE; SOURCE_CFG=IA-ST-CFG-0132; MARKET=GY EUR</t>
        </is>
      </c>
      <c r="N1396" t="inlineStr">
        <is>
          <t>2026-08-10T19:29:54Z</t>
        </is>
      </c>
      <c r="O1396" t="inlineStr">
        <is>
          <t>2026-08-10T19:29:54Z</t>
        </is>
      </c>
    </row>
    <row r="1397">
      <c r="A1397" s="19" t="inlineStr">
        <is>
          <t>1396</t>
        </is>
      </c>
      <c r="B1397" s="19" t="inlineStr">
        <is>
          <t>1014456</t>
        </is>
      </c>
      <c r="C1397" t="inlineStr">
        <is>
          <t>AKÜ,LB3,DK,72AH,IGYA SMF,Y3000 EXPORT</t>
        </is>
      </c>
      <c r="D1397" s="19" t="inlineStr">
        <is>
          <t>1</t>
        </is>
      </c>
      <c r="E1397" t="n">
        <v>0</v>
      </c>
      <c r="I1397" s="19" t="inlineStr">
        <is>
          <t>2</t>
        </is>
      </c>
      <c r="J1397" t="inlineStr">
        <is>
          <t>2026-08-08</t>
        </is>
      </c>
      <c r="L1397" s="19" t="inlineStr">
        <is>
          <t>1014456</t>
        </is>
      </c>
      <c r="M1397" t="inlineStr">
        <is>
          <t>STATUS=IN OEM / EU PACKAGE; SOURCE_CFG=IA-ST-CFG-0132; MARKET=YUASA 3000 EXPORT</t>
        </is>
      </c>
      <c r="N1397" t="inlineStr">
        <is>
          <t>2026-08-10T19:29:54Z</t>
        </is>
      </c>
      <c r="O1397" t="inlineStr">
        <is>
          <t>2026-08-10T19:29:54Z</t>
        </is>
      </c>
    </row>
    <row r="1398">
      <c r="A1398" s="19" t="inlineStr">
        <is>
          <t>1397</t>
        </is>
      </c>
      <c r="B1398" s="19" t="inlineStr">
        <is>
          <t>1014457</t>
        </is>
      </c>
      <c r="C1398" t="inlineStr">
        <is>
          <t>AKÜ,L5DK95AH,IGYSMFNONAME,GYEUR,3019-095</t>
        </is>
      </c>
      <c r="D1398" s="19" t="inlineStr">
        <is>
          <t>1</t>
        </is>
      </c>
      <c r="E1398" t="n">
        <v>0</v>
      </c>
      <c r="I1398" s="19" t="inlineStr">
        <is>
          <t>2</t>
        </is>
      </c>
      <c r="J1398" t="inlineStr">
        <is>
          <t>2026-08-08</t>
        </is>
      </c>
      <c r="L1398" s="19" t="inlineStr">
        <is>
          <t>1014457</t>
        </is>
      </c>
      <c r="M1398" t="inlineStr">
        <is>
          <t>STATUS=IN OEM / EU PACKAGE; SOURCE_CFG=IA-ST-CFG-0068; MARKET=GY EUR</t>
        </is>
      </c>
      <c r="N1398" t="inlineStr">
        <is>
          <t>2026-08-10T19:29:54Z</t>
        </is>
      </c>
      <c r="O1398" t="inlineStr">
        <is>
          <t>2026-08-10T19:29:54Z</t>
        </is>
      </c>
    </row>
    <row r="1399">
      <c r="A1399" s="19" t="inlineStr">
        <is>
          <t>1398</t>
        </is>
      </c>
      <c r="B1399" s="19" t="inlineStr">
        <is>
          <t>1014460</t>
        </is>
      </c>
      <c r="C1399" t="inlineStr">
        <is>
          <t>AKÜ,L5,DK,100AH,IGYASMF,NONAME,GSTAYLAND</t>
        </is>
      </c>
      <c r="D1399" s="19" t="inlineStr">
        <is>
          <t>1</t>
        </is>
      </c>
      <c r="E1399" t="n">
        <v>0</v>
      </c>
      <c r="I1399" s="19" t="inlineStr">
        <is>
          <t>2</t>
        </is>
      </c>
      <c r="J1399" t="inlineStr">
        <is>
          <t>2026-08-08</t>
        </is>
      </c>
      <c r="L1399" s="19" t="inlineStr">
        <is>
          <t>1014460</t>
        </is>
      </c>
      <c r="M1399" t="inlineStr">
        <is>
          <t>STATUS=IN OEM / EU PACKAGE; SOURCE_CFG=IA-ST-CFG-0102; MARKET=YUASA 3000</t>
        </is>
      </c>
      <c r="N1399" t="inlineStr">
        <is>
          <t>2026-08-10T19:29:54Z</t>
        </is>
      </c>
      <c r="O1399" t="inlineStr">
        <is>
          <t>2026-08-10T19:29:54Z</t>
        </is>
      </c>
    </row>
    <row r="1400">
      <c r="A1400" s="19" t="inlineStr">
        <is>
          <t>1399</t>
        </is>
      </c>
      <c r="B1400" s="19" t="inlineStr">
        <is>
          <t>1014461</t>
        </is>
      </c>
      <c r="C1400" t="inlineStr">
        <is>
          <t>AKÜ,L5,DK,95AH,IGYA,Y3000EXP KOLİ,NACITA</t>
        </is>
      </c>
      <c r="D1400" s="19" t="inlineStr">
        <is>
          <t>1</t>
        </is>
      </c>
      <c r="E1400" t="n">
        <v>0</v>
      </c>
      <c r="I1400" s="19" t="inlineStr">
        <is>
          <t>2</t>
        </is>
      </c>
      <c r="J1400" t="inlineStr">
        <is>
          <t>2026-08-08</t>
        </is>
      </c>
      <c r="L1400" s="19" t="inlineStr">
        <is>
          <t>1014461</t>
        </is>
      </c>
      <c r="M1400" t="inlineStr">
        <is>
          <t>STATUS=IN OEM / EU PACKAGE; SOURCE_CFG=IA-ST-CFG-0166; MARKET=MISIR NACITA</t>
        </is>
      </c>
      <c r="N1400" t="inlineStr">
        <is>
          <t>2026-08-10T19:29:54Z</t>
        </is>
      </c>
      <c r="O1400" t="inlineStr">
        <is>
          <t>2026-08-10T19:29:54Z</t>
        </is>
      </c>
    </row>
    <row r="1401">
      <c r="A1401" s="19" t="inlineStr">
        <is>
          <t>1400</t>
        </is>
      </c>
      <c r="B1401" s="19" t="inlineStr">
        <is>
          <t>1014462</t>
        </is>
      </c>
      <c r="C1401" t="inlineStr">
        <is>
          <t>AKÜ,L5,DK,95AH,IGYSMF,Y3000EXPORT,KOLİLİ</t>
        </is>
      </c>
      <c r="D1401" s="19" t="inlineStr">
        <is>
          <t>1</t>
        </is>
      </c>
      <c r="E1401" t="n">
        <v>0</v>
      </c>
      <c r="I1401" s="19" t="inlineStr">
        <is>
          <t>2</t>
        </is>
      </c>
      <c r="J1401" t="inlineStr">
        <is>
          <t>2026-08-08</t>
        </is>
      </c>
      <c r="L1401" s="19" t="inlineStr">
        <is>
          <t>1014462</t>
        </is>
      </c>
      <c r="M1401" t="inlineStr">
        <is>
          <t>STATUS=IN OEM / EU PACKAGE; SOURCE_CFG=IA-ST-CFG-0089; MARKET=YUASA 3000 EXPORT</t>
        </is>
      </c>
      <c r="N1401" t="inlineStr">
        <is>
          <t>2026-08-10T19:29:54Z</t>
        </is>
      </c>
      <c r="O1401" t="inlineStr">
        <is>
          <t>2026-08-10T19:29:54Z</t>
        </is>
      </c>
    </row>
    <row r="1402">
      <c r="A1402" s="19" t="inlineStr">
        <is>
          <t>1401</t>
        </is>
      </c>
      <c r="B1402" s="19" t="inlineStr">
        <is>
          <t>1014463</t>
        </is>
      </c>
      <c r="C1402" t="inlineStr">
        <is>
          <t>AKÜ,L5,DK,95AH,IGYA SMF,Y3000 EXPORT</t>
        </is>
      </c>
      <c r="D1402" s="19" t="inlineStr">
        <is>
          <t>1</t>
        </is>
      </c>
      <c r="E1402" t="n">
        <v>0</v>
      </c>
      <c r="I1402" s="19" t="inlineStr">
        <is>
          <t>2</t>
        </is>
      </c>
      <c r="J1402" t="inlineStr">
        <is>
          <t>2026-08-08</t>
        </is>
      </c>
      <c r="L1402" s="19" t="inlineStr">
        <is>
          <t>1014463</t>
        </is>
      </c>
      <c r="M1402" t="inlineStr">
        <is>
          <t>STATUS=IN OEM / EU PACKAGE; SOURCE_CFG=IA-ST-CFG-0068; MARKET=YUASA 3000 EXPORT</t>
        </is>
      </c>
      <c r="N1402" t="inlineStr">
        <is>
          <t>2026-08-10T19:29:54Z</t>
        </is>
      </c>
      <c r="O1402" t="inlineStr">
        <is>
          <t>2026-08-10T19:29:54Z</t>
        </is>
      </c>
    </row>
    <row r="1403">
      <c r="A1403" s="19" t="inlineStr">
        <is>
          <t>1402</t>
        </is>
      </c>
      <c r="B1403" s="19" t="inlineStr">
        <is>
          <t>1014464</t>
        </is>
      </c>
      <c r="C1403" t="inlineStr">
        <is>
          <t>AKÜ,L5,DK,95AH850A,IGYSMF,YUASA,ORTADOĞU</t>
        </is>
      </c>
      <c r="D1403" s="19" t="inlineStr">
        <is>
          <t>1</t>
        </is>
      </c>
      <c r="E1403" t="n">
        <v>0</v>
      </c>
      <c r="I1403" s="19" t="inlineStr">
        <is>
          <t>2</t>
        </is>
      </c>
      <c r="J1403" t="inlineStr">
        <is>
          <t>2026-08-08</t>
        </is>
      </c>
      <c r="L1403" s="19" t="inlineStr">
        <is>
          <t>1014464</t>
        </is>
      </c>
      <c r="M1403" t="inlineStr">
        <is>
          <t>STATUS=IN OEM / EU PACKAGE; SOURCE_CFG=IA-ST-CFG-0096; MARKET=YUASA 3000 EXPORT</t>
        </is>
      </c>
      <c r="N1403" t="inlineStr">
        <is>
          <t>2026-08-10T19:29:54Z</t>
        </is>
      </c>
      <c r="O1403" t="inlineStr">
        <is>
          <t>2026-08-10T19:29:54Z</t>
        </is>
      </c>
    </row>
    <row r="1404">
      <c r="A1404" s="19" t="inlineStr">
        <is>
          <t>1403</t>
        </is>
      </c>
      <c r="B1404" s="19" t="inlineStr">
        <is>
          <t>1014465</t>
        </is>
      </c>
      <c r="C1404" t="inlineStr">
        <is>
          <t>AKÜ,L5,DK,95AH850A,IGYASMF,Y3000,SHAWKAT</t>
        </is>
      </c>
      <c r="D1404" s="19" t="inlineStr">
        <is>
          <t>1</t>
        </is>
      </c>
      <c r="E1404" t="n">
        <v>0</v>
      </c>
      <c r="I1404" s="19" t="inlineStr">
        <is>
          <t>2</t>
        </is>
      </c>
      <c r="J1404" t="inlineStr">
        <is>
          <t>2026-08-08</t>
        </is>
      </c>
      <c r="L1404" s="19" t="inlineStr">
        <is>
          <t>1014465</t>
        </is>
      </c>
      <c r="M1404" t="inlineStr">
        <is>
          <t>STATUS=IN OEM / EU PACKAGE; SOURCE_CFG=IA-ST-CFG-0166; MARKET=SHAWKAT</t>
        </is>
      </c>
      <c r="N1404" t="inlineStr">
        <is>
          <t>2026-08-10T19:29:54Z</t>
        </is>
      </c>
      <c r="O1404" t="inlineStr">
        <is>
          <t>2026-08-10T19:29:54Z</t>
        </is>
      </c>
    </row>
    <row r="1405">
      <c r="A1405" s="19" t="inlineStr">
        <is>
          <t>1404</t>
        </is>
      </c>
      <c r="B1405" s="19" t="inlineStr">
        <is>
          <t>1014473</t>
        </is>
      </c>
      <c r="C1405" t="inlineStr">
        <is>
          <t>AKÜ,B-IGYASMF,DK,185AH,İNCİEFBPANT,HABAŞ</t>
        </is>
      </c>
      <c r="D1405" s="19" t="inlineStr">
        <is>
          <t>1</t>
        </is>
      </c>
      <c r="E1405" t="n">
        <v>0</v>
      </c>
      <c r="I1405" s="19" t="inlineStr">
        <is>
          <t>2</t>
        </is>
      </c>
      <c r="J1405" t="inlineStr">
        <is>
          <t>2026-08-08</t>
        </is>
      </c>
      <c r="L1405" s="19" t="inlineStr">
        <is>
          <t>1014473</t>
        </is>
      </c>
      <c r="M1405" t="inlineStr">
        <is>
          <t>STATUS=IN OEM / EU PACKAGE; SOURCE_CFG=IA-ST-CFG-0052; MARKET=HABAŞ OEM (Yurt İçi)</t>
        </is>
      </c>
      <c r="N1405" t="inlineStr">
        <is>
          <t>2026-08-10T19:29:54Z</t>
        </is>
      </c>
      <c r="O1405" t="inlineStr">
        <is>
          <t>2026-08-10T19:29:54Z</t>
        </is>
      </c>
    </row>
    <row r="1406">
      <c r="A1406" s="19" t="inlineStr">
        <is>
          <t>1405</t>
        </is>
      </c>
      <c r="B1406" s="19" t="inlineStr">
        <is>
          <t>1014475</t>
        </is>
      </c>
      <c r="C1406" t="inlineStr">
        <is>
          <t>AKÜ,B-FLAT,TK,180AH,İNCİ SUPRA,REDMAY</t>
        </is>
      </c>
      <c r="D1406" s="19" t="inlineStr">
        <is>
          <t>1</t>
        </is>
      </c>
      <c r="E1406" t="n">
        <v>0</v>
      </c>
      <c r="I1406" s="19" t="inlineStr">
        <is>
          <t>2</t>
        </is>
      </c>
      <c r="J1406" t="inlineStr">
        <is>
          <t>2026-08-08</t>
        </is>
      </c>
      <c r="L1406" s="19" t="inlineStr">
        <is>
          <t>1014475</t>
        </is>
      </c>
      <c r="M1406" t="inlineStr">
        <is>
          <t>STATUS=IN OEM / EU PACKAGE; SOURCE_CFG=IA-ST-CFG-0052; MARKET=REDMAY URUGUAY</t>
        </is>
      </c>
      <c r="N1406" t="inlineStr">
        <is>
          <t>2026-08-10T19:29:54Z</t>
        </is>
      </c>
      <c r="O1406" t="inlineStr">
        <is>
          <t>2026-08-10T19:29:54Z</t>
        </is>
      </c>
    </row>
    <row r="1407">
      <c r="A1407" s="19" t="inlineStr">
        <is>
          <t>1406</t>
        </is>
      </c>
      <c r="B1407" s="19" t="inlineStr">
        <is>
          <t>1014476</t>
        </is>
      </c>
      <c r="C1407" t="inlineStr">
        <is>
          <t>AKÜ,L1,DK,45AH,IGYA SMF,NO NAME,REDMAY</t>
        </is>
      </c>
      <c r="D1407" s="19" t="inlineStr">
        <is>
          <t>1</t>
        </is>
      </c>
      <c r="E1407" t="n">
        <v>0</v>
      </c>
      <c r="I1407" s="19" t="inlineStr">
        <is>
          <t>2</t>
        </is>
      </c>
      <c r="J1407" t="inlineStr">
        <is>
          <t>2026-08-08</t>
        </is>
      </c>
      <c r="L1407" s="19" t="inlineStr">
        <is>
          <t>1014476</t>
        </is>
      </c>
      <c r="M1407" t="inlineStr">
        <is>
          <t>STATUS=IN OEM / EU PACKAGE; SOURCE_CFG=IA-ST-CFG-0246; MARKET=REDMAY URUGUAY</t>
        </is>
      </c>
      <c r="N1407" t="inlineStr">
        <is>
          <t>2026-08-10T19:29:54Z</t>
        </is>
      </c>
      <c r="O1407" t="inlineStr">
        <is>
          <t>2026-08-10T19:29:54Z</t>
        </is>
      </c>
    </row>
    <row r="1408">
      <c r="A1408" s="19" t="inlineStr">
        <is>
          <t>1407</t>
        </is>
      </c>
      <c r="B1408" s="19" t="inlineStr">
        <is>
          <t>1014477</t>
        </is>
      </c>
      <c r="C1408" t="inlineStr">
        <is>
          <t>AKÜ,LB2,DK,60AH,IGYA SMF,NO NAME,REDMAY</t>
        </is>
      </c>
      <c r="D1408" s="19" t="inlineStr">
        <is>
          <t>1</t>
        </is>
      </c>
      <c r="E1408" t="n">
        <v>0</v>
      </c>
      <c r="I1408" s="19" t="inlineStr">
        <is>
          <t>2</t>
        </is>
      </c>
      <c r="J1408" t="inlineStr">
        <is>
          <t>2026-08-08</t>
        </is>
      </c>
      <c r="L1408" s="19" t="inlineStr">
        <is>
          <t>1014477</t>
        </is>
      </c>
      <c r="M1408" t="inlineStr">
        <is>
          <t>STATUS=IN OEM / EU PACKAGE; SOURCE_CFG=IA-ST-CFG-0223; MARKET=REDMAY URUGUAY</t>
        </is>
      </c>
      <c r="N1408" t="inlineStr">
        <is>
          <t>2026-08-10T19:29:54Z</t>
        </is>
      </c>
      <c r="O1408" t="inlineStr">
        <is>
          <t>2026-08-10T19:29:54Z</t>
        </is>
      </c>
    </row>
    <row r="1409">
      <c r="A1409" s="19" t="inlineStr">
        <is>
          <t>1408</t>
        </is>
      </c>
      <c r="B1409" s="19" t="inlineStr">
        <is>
          <t>1014478</t>
        </is>
      </c>
      <c r="C1409" t="inlineStr">
        <is>
          <t>AKÜ,LB3,DK,66AH,IGYA SMF,NO NAME,REDMAY</t>
        </is>
      </c>
      <c r="D1409" s="19" t="inlineStr">
        <is>
          <t>1</t>
        </is>
      </c>
      <c r="E1409" t="n">
        <v>0</v>
      </c>
      <c r="I1409" s="19" t="inlineStr">
        <is>
          <t>2</t>
        </is>
      </c>
      <c r="J1409" t="inlineStr">
        <is>
          <t>2026-08-08</t>
        </is>
      </c>
      <c r="L1409" s="19" t="inlineStr">
        <is>
          <t>1014478</t>
        </is>
      </c>
      <c r="M1409" t="inlineStr">
        <is>
          <t>STATUS=IN OEM / EU PACKAGE; SOURCE_CFG=IA-ST-CFG-0180; MARKET=REDMAY URUGUAY</t>
        </is>
      </c>
      <c r="N1409" t="inlineStr">
        <is>
          <t>2026-08-10T19:29:54Z</t>
        </is>
      </c>
      <c r="O1409" t="inlineStr">
        <is>
          <t>2026-08-10T19:29:54Z</t>
        </is>
      </c>
    </row>
    <row r="1410">
      <c r="A1410" s="19" t="inlineStr">
        <is>
          <t>1409</t>
        </is>
      </c>
      <c r="B1410" s="19" t="inlineStr">
        <is>
          <t>1014479</t>
        </is>
      </c>
      <c r="C1410" t="inlineStr">
        <is>
          <t>AKÜ,A-IGYA,TK,120AH,İNCİ FORMULA,ERKUNT</t>
        </is>
      </c>
      <c r="D1410" s="19" t="inlineStr">
        <is>
          <t>1</t>
        </is>
      </c>
      <c r="E1410" t="n">
        <v>0</v>
      </c>
      <c r="I1410" s="19" t="inlineStr">
        <is>
          <t>2</t>
        </is>
      </c>
      <c r="J1410" t="inlineStr">
        <is>
          <t>2026-08-08</t>
        </is>
      </c>
      <c r="L1410" s="19" t="inlineStr">
        <is>
          <t>1014479</t>
        </is>
      </c>
      <c r="M1410" t="inlineStr">
        <is>
          <t>STATUS=DOMESTIC-ONLY / NOT IN OEM PACKAGE; SOURCE_CFG=IA-ST-CFG-0003; MARKET=ERKUNT (Yurt İçi)</t>
        </is>
      </c>
      <c r="N1410" t="inlineStr">
        <is>
          <t>2026-08-10T19:29:54Z</t>
        </is>
      </c>
      <c r="O1410" t="inlineStr">
        <is>
          <t>2026-08-10T19:29:54Z</t>
        </is>
      </c>
    </row>
    <row r="1411">
      <c r="A1411" s="19" t="inlineStr">
        <is>
          <t>1410</t>
        </is>
      </c>
      <c r="B1411" s="19" t="inlineStr">
        <is>
          <t>1014480</t>
        </is>
      </c>
      <c r="C1411" t="inlineStr">
        <is>
          <t>AKÜ,A-IGYASMF,DK,135AH,BLIZSILVER,SHDNEW</t>
        </is>
      </c>
      <c r="D1411" s="19" t="inlineStr">
        <is>
          <t>1</t>
        </is>
      </c>
      <c r="E1411" t="n">
        <v>0</v>
      </c>
      <c r="I1411" s="19" t="inlineStr">
        <is>
          <t>2</t>
        </is>
      </c>
      <c r="J1411" t="inlineStr">
        <is>
          <t>2026-08-08</t>
        </is>
      </c>
      <c r="L1411" s="19" t="inlineStr">
        <is>
          <t>1014480</t>
        </is>
      </c>
      <c r="M1411" t="inlineStr">
        <is>
          <t>STATUS=IN OEM / EU PACKAGE; SOURCE_CFG=IA-ST-CFG-0051; MARKET=None</t>
        </is>
      </c>
      <c r="N1411" t="inlineStr">
        <is>
          <t>2026-08-10T19:29:54Z</t>
        </is>
      </c>
      <c r="O1411" t="inlineStr">
        <is>
          <t>2026-08-10T19:29:54Z</t>
        </is>
      </c>
    </row>
    <row r="1412">
      <c r="A1412" s="19" t="inlineStr">
        <is>
          <t>1411</t>
        </is>
      </c>
      <c r="B1412" s="19" t="inlineStr">
        <is>
          <t>1014481</t>
        </is>
      </c>
      <c r="C1412" t="inlineStr">
        <is>
          <t>AKÜ AGM,L2,DK,60AH,BLIZZARO AGM,JANENE</t>
        </is>
      </c>
      <c r="D1412" s="19" t="inlineStr">
        <is>
          <t>1</t>
        </is>
      </c>
      <c r="E1412" t="n">
        <v>0</v>
      </c>
      <c r="I1412" s="19" t="inlineStr">
        <is>
          <t>2</t>
        </is>
      </c>
      <c r="J1412" t="inlineStr">
        <is>
          <t>2026-08-08</t>
        </is>
      </c>
      <c r="L1412" s="19" t="inlineStr">
        <is>
          <t>1014481</t>
        </is>
      </c>
      <c r="M1412" t="inlineStr">
        <is>
          <t>STATUS=IN OEM / EU PACKAGE; SOURCE_CFG=IA-ST-CFG-0222; MARKET=JANENE İSRAİL</t>
        </is>
      </c>
      <c r="N1412" t="inlineStr">
        <is>
          <t>2026-08-10T19:29:54Z</t>
        </is>
      </c>
      <c r="O1412" t="inlineStr">
        <is>
          <t>2026-08-10T19:29:54Z</t>
        </is>
      </c>
    </row>
    <row r="1413">
      <c r="A1413" s="19" t="inlineStr">
        <is>
          <t>1412</t>
        </is>
      </c>
      <c r="B1413" s="19" t="inlineStr">
        <is>
          <t>1014482</t>
        </is>
      </c>
      <c r="C1413" t="inlineStr">
        <is>
          <t>AKÜ AGM,L4,DK,80AH,BLIZZARO AGM,JANENE</t>
        </is>
      </c>
      <c r="D1413" s="19" t="inlineStr">
        <is>
          <t>1</t>
        </is>
      </c>
      <c r="E1413" t="n">
        <v>0</v>
      </c>
      <c r="I1413" s="19" t="inlineStr">
        <is>
          <t>2</t>
        </is>
      </c>
      <c r="J1413" t="inlineStr">
        <is>
          <t>2026-08-08</t>
        </is>
      </c>
      <c r="L1413" s="19" t="inlineStr">
        <is>
          <t>1014482</t>
        </is>
      </c>
      <c r="M1413" t="inlineStr">
        <is>
          <t>STATUS=IN OEM / EU PACKAGE; SOURCE_CFG=IA-ST-CFG-0142; MARKET=JANENE İSRAİL</t>
        </is>
      </c>
      <c r="N1413" t="inlineStr">
        <is>
          <t>2026-08-10T19:29:54Z</t>
        </is>
      </c>
      <c r="O1413" t="inlineStr">
        <is>
          <t>2026-08-10T19:29:54Z</t>
        </is>
      </c>
    </row>
    <row r="1414">
      <c r="A1414" s="19" t="inlineStr">
        <is>
          <t>1413</t>
        </is>
      </c>
      <c r="B1414" s="19" t="inlineStr">
        <is>
          <t>1014486</t>
        </is>
      </c>
      <c r="C1414" t="inlineStr">
        <is>
          <t>AKÜ,D23,60AH,IGYSMF,BLIZZSILVERLN,MISIR</t>
        </is>
      </c>
      <c r="D1414" s="19" t="inlineStr">
        <is>
          <t>1</t>
        </is>
      </c>
      <c r="E1414" t="n">
        <v>0</v>
      </c>
      <c r="I1414" s="19" t="inlineStr">
        <is>
          <t>2</t>
        </is>
      </c>
      <c r="J1414" t="inlineStr">
        <is>
          <t>2026-08-08</t>
        </is>
      </c>
      <c r="L1414" s="19" t="inlineStr">
        <is>
          <t>1014486</t>
        </is>
      </c>
      <c r="M1414" t="inlineStr">
        <is>
          <t>STATUS=IN OEM / EU PACKAGE; SOURCE_CFG=IA-ST-CFG-0219; MARKET=MISIR AL AMAN</t>
        </is>
      </c>
      <c r="N1414" t="inlineStr">
        <is>
          <t>2026-08-10T19:29:54Z</t>
        </is>
      </c>
      <c r="O1414" t="inlineStr">
        <is>
          <t>2026-08-10T19:29:54Z</t>
        </is>
      </c>
    </row>
    <row r="1415">
      <c r="A1415" s="19" t="inlineStr">
        <is>
          <t>1414</t>
        </is>
      </c>
      <c r="B1415" s="19" t="inlineStr">
        <is>
          <t>1014490</t>
        </is>
      </c>
      <c r="C1415" t="inlineStr">
        <is>
          <t>AKÜ,D31,DK,80AH,IGYSMF,İNCİTAURUS,KOLİLİ</t>
        </is>
      </c>
      <c r="D1415" s="19" t="inlineStr">
        <is>
          <t>1</t>
        </is>
      </c>
      <c r="E1415" t="n">
        <v>0</v>
      </c>
      <c r="I1415" s="19" t="inlineStr">
        <is>
          <t>2</t>
        </is>
      </c>
      <c r="J1415" t="inlineStr">
        <is>
          <t>2026-08-08</t>
        </is>
      </c>
      <c r="L1415" s="19" t="inlineStr">
        <is>
          <t>1014490</t>
        </is>
      </c>
      <c r="M1415" t="inlineStr">
        <is>
          <t>STATUS=IN OEM / EU PACKAGE; SOURCE_CFG=IA-ST-CFG-0129; MARKET=None</t>
        </is>
      </c>
      <c r="N1415" t="inlineStr">
        <is>
          <t>2026-08-10T19:29:54Z</t>
        </is>
      </c>
      <c r="O1415" t="inlineStr">
        <is>
          <t>2026-08-10T19:29:54Z</t>
        </is>
      </c>
    </row>
    <row r="1416">
      <c r="A1416" s="19" t="inlineStr">
        <is>
          <t>1415</t>
        </is>
      </c>
      <c r="B1416" s="19" t="inlineStr">
        <is>
          <t>1014491</t>
        </is>
      </c>
      <c r="C1416" t="inlineStr">
        <is>
          <t>AKÜ AGM,C,DK,220AH,İNCİ AGM LEO,İÇ PYS</t>
        </is>
      </c>
      <c r="D1416" s="19" t="inlineStr">
        <is>
          <t>1</t>
        </is>
      </c>
      <c r="E1416" t="n">
        <v>0</v>
      </c>
      <c r="I1416" s="19" t="inlineStr">
        <is>
          <t>2</t>
        </is>
      </c>
      <c r="J1416" t="inlineStr">
        <is>
          <t>2026-08-08</t>
        </is>
      </c>
      <c r="L1416" s="19" t="inlineStr">
        <is>
          <t>1014491</t>
        </is>
      </c>
      <c r="M1416" t="inlineStr">
        <is>
          <t>STATUS=IN OEM / EU PACKAGE; SOURCE_CFG=IA-ST-CFG-0016; MARKET=YURT İÇİ AFM</t>
        </is>
      </c>
      <c r="N1416" t="inlineStr">
        <is>
          <t>2026-08-10T19:29:54Z</t>
        </is>
      </c>
      <c r="O1416" t="inlineStr">
        <is>
          <t>2026-08-10T19:29:54Z</t>
        </is>
      </c>
    </row>
    <row r="1417">
      <c r="A1417" s="19" t="inlineStr">
        <is>
          <t>1416</t>
        </is>
      </c>
      <c r="B1417" s="19" t="inlineStr">
        <is>
          <t>1014492</t>
        </is>
      </c>
      <c r="C1417" t="inlineStr">
        <is>
          <t>AKÜ AGM,C,DK,220AH,EAS AGM S&amp;S,İÇ PYS</t>
        </is>
      </c>
      <c r="D1417" s="19" t="inlineStr">
        <is>
          <t>1</t>
        </is>
      </c>
      <c r="E1417" t="n">
        <v>0</v>
      </c>
      <c r="I1417" s="19" t="inlineStr">
        <is>
          <t>2</t>
        </is>
      </c>
      <c r="J1417" t="inlineStr">
        <is>
          <t>2026-08-08</t>
        </is>
      </c>
      <c r="L1417" s="19" t="inlineStr">
        <is>
          <t>1014492</t>
        </is>
      </c>
      <c r="M1417" t="inlineStr">
        <is>
          <t>STATUS=IN OEM / EU PACKAGE; SOURCE_CFG=IA-ST-CFG-0024; MARKET=YURT İÇİ AFM</t>
        </is>
      </c>
      <c r="N1417" t="inlineStr">
        <is>
          <t>2026-08-10T19:29:54Z</t>
        </is>
      </c>
      <c r="O1417" t="inlineStr">
        <is>
          <t>2026-08-10T19:29:54Z</t>
        </is>
      </c>
    </row>
    <row r="1418">
      <c r="A1418" s="19" t="inlineStr">
        <is>
          <t>1417</t>
        </is>
      </c>
      <c r="B1418" s="19" t="inlineStr">
        <is>
          <t>1014493</t>
        </is>
      </c>
      <c r="C1418" t="inlineStr">
        <is>
          <t>AKÜ,L6,DK105AH,VRLA,AGM YBX9020-105_Grey</t>
        </is>
      </c>
      <c r="D1418" s="19" t="inlineStr">
        <is>
          <t>1</t>
        </is>
      </c>
      <c r="E1418" t="n">
        <v>0</v>
      </c>
      <c r="I1418" s="19" t="inlineStr">
        <is>
          <t>2</t>
        </is>
      </c>
      <c r="J1418" t="inlineStr">
        <is>
          <t>2026-08-08</t>
        </is>
      </c>
      <c r="L1418" s="19" t="inlineStr">
        <is>
          <t>1014493</t>
        </is>
      </c>
      <c r="M1418" t="inlineStr">
        <is>
          <t>STATUS=IN OEM / EU PACKAGE; SOURCE_CFG=IA-ST-CFG-0058; MARKET=GY EUR</t>
        </is>
      </c>
      <c r="N1418" t="inlineStr">
        <is>
          <t>2026-08-10T19:29:54Z</t>
        </is>
      </c>
      <c r="O1418" t="inlineStr">
        <is>
          <t>2026-08-10T19:29:54Z</t>
        </is>
      </c>
    </row>
    <row r="1419">
      <c r="A1419" s="19" t="inlineStr">
        <is>
          <t>1418</t>
        </is>
      </c>
      <c r="B1419" s="19" t="inlineStr">
        <is>
          <t>1014494</t>
        </is>
      </c>
      <c r="C1419" t="inlineStr">
        <is>
          <t>AKÜ,B-IGYASMF,DK190AH,B03,EASACTIVA,EURO</t>
        </is>
      </c>
      <c r="D1419" s="19" t="inlineStr">
        <is>
          <t>1</t>
        </is>
      </c>
      <c r="E1419" t="n">
        <v>0</v>
      </c>
      <c r="I1419" s="19" t="inlineStr">
        <is>
          <t>2</t>
        </is>
      </c>
      <c r="J1419" t="inlineStr">
        <is>
          <t>2026-08-08</t>
        </is>
      </c>
      <c r="L1419" s="19" t="inlineStr">
        <is>
          <t>1014494</t>
        </is>
      </c>
      <c r="M1419" t="inlineStr">
        <is>
          <t>STATUS=IN OEM / EU PACKAGE; SOURCE_CFG=IA-ST-CFG-0029; MARKET=None</t>
        </is>
      </c>
      <c r="N1419" t="inlineStr">
        <is>
          <t>2026-08-10T19:29:54Z</t>
        </is>
      </c>
      <c r="O1419" t="inlineStr">
        <is>
          <t>2026-08-10T19:29:54Z</t>
        </is>
      </c>
    </row>
    <row r="1420">
      <c r="A1420" s="19" t="inlineStr">
        <is>
          <t>1419</t>
        </is>
      </c>
      <c r="B1420" s="19" t="inlineStr">
        <is>
          <t>1014495</t>
        </is>
      </c>
      <c r="C1420" t="inlineStr">
        <is>
          <t>AKÜ,C-IGYASMF,DK,240AH,EAS ACTIVA,EURO</t>
        </is>
      </c>
      <c r="D1420" s="19" t="inlineStr">
        <is>
          <t>1</t>
        </is>
      </c>
      <c r="E1420" t="n">
        <v>0</v>
      </c>
      <c r="I1420" s="19" t="inlineStr">
        <is>
          <t>2</t>
        </is>
      </c>
      <c r="J1420" t="inlineStr">
        <is>
          <t>2026-08-08</t>
        </is>
      </c>
      <c r="L1420" s="19" t="inlineStr">
        <is>
          <t>1014495</t>
        </is>
      </c>
      <c r="M1420" t="inlineStr">
        <is>
          <t>STATUS=IN OEM / EU PACKAGE; SOURCE_CFG=IA-ST-CFG-0014; MARKET=None</t>
        </is>
      </c>
      <c r="N1420" t="inlineStr">
        <is>
          <t>2026-08-10T19:29:54Z</t>
        </is>
      </c>
      <c r="O1420" t="inlineStr">
        <is>
          <t>2026-08-10T19:29:54Z</t>
        </is>
      </c>
    </row>
    <row r="1421">
      <c r="A1421" s="19" t="inlineStr">
        <is>
          <t>1420</t>
        </is>
      </c>
      <c r="B1421" s="19" t="inlineStr">
        <is>
          <t>1014496</t>
        </is>
      </c>
      <c r="C1421" t="inlineStr">
        <is>
          <t>AKÜ,AGM,L2,DK,60AH,EAS AGM S&amp;S,EURO</t>
        </is>
      </c>
      <c r="D1421" s="19" t="inlineStr">
        <is>
          <t>1</t>
        </is>
      </c>
      <c r="E1421" t="n">
        <v>0</v>
      </c>
      <c r="I1421" s="19" t="inlineStr">
        <is>
          <t>2</t>
        </is>
      </c>
      <c r="J1421" t="inlineStr">
        <is>
          <t>2026-08-08</t>
        </is>
      </c>
      <c r="L1421" s="19" t="inlineStr">
        <is>
          <t>1014496</t>
        </is>
      </c>
      <c r="M1421" t="inlineStr">
        <is>
          <t>STATUS=IN OEM / EU PACKAGE; SOURCE_CFG=IA-ST-CFG-0240; MARKET=None</t>
        </is>
      </c>
      <c r="N1421" t="inlineStr">
        <is>
          <t>2026-08-10T19:29:54Z</t>
        </is>
      </c>
      <c r="O1421" t="inlineStr">
        <is>
          <t>2026-08-10T19:29:54Z</t>
        </is>
      </c>
    </row>
    <row r="1422">
      <c r="A1422" s="19" t="inlineStr">
        <is>
          <t>1421</t>
        </is>
      </c>
      <c r="B1422" s="19" t="inlineStr">
        <is>
          <t>1014497</t>
        </is>
      </c>
      <c r="C1422" t="inlineStr">
        <is>
          <t>AKÜ,AGM,L4,DK,80AH,EAS AGM S&amp;S,EURO</t>
        </is>
      </c>
      <c r="D1422" s="19" t="inlineStr">
        <is>
          <t>1</t>
        </is>
      </c>
      <c r="E1422" t="n">
        <v>0</v>
      </c>
      <c r="I1422" s="19" t="inlineStr">
        <is>
          <t>2</t>
        </is>
      </c>
      <c r="J1422" t="inlineStr">
        <is>
          <t>2026-08-08</t>
        </is>
      </c>
      <c r="L1422" s="19" t="inlineStr">
        <is>
          <t>1014497</t>
        </is>
      </c>
      <c r="M1422" t="inlineStr">
        <is>
          <t>STATUS=IN OEM / EU PACKAGE; SOURCE_CFG=IA-ST-CFG-0086; MARKET=None</t>
        </is>
      </c>
      <c r="N1422" t="inlineStr">
        <is>
          <t>2026-08-10T19:29:54Z</t>
        </is>
      </c>
      <c r="O1422" t="inlineStr">
        <is>
          <t>2026-08-10T19:29:54Z</t>
        </is>
      </c>
    </row>
    <row r="1423">
      <c r="A1423" s="19" t="inlineStr">
        <is>
          <t>1422</t>
        </is>
      </c>
      <c r="B1423" s="19" t="inlineStr">
        <is>
          <t>1014498</t>
        </is>
      </c>
      <c r="C1423" t="inlineStr">
        <is>
          <t>AKÜ,AGM,L5,DK,92AH,EAS AGM S&amp;S,EURO</t>
        </is>
      </c>
      <c r="D1423" s="19" t="inlineStr">
        <is>
          <t>1</t>
        </is>
      </c>
      <c r="E1423" t="n">
        <v>0</v>
      </c>
      <c r="I1423" s="19" t="inlineStr">
        <is>
          <t>2</t>
        </is>
      </c>
      <c r="J1423" t="inlineStr">
        <is>
          <t>2026-08-08</t>
        </is>
      </c>
      <c r="L1423" s="19" t="inlineStr">
        <is>
          <t>1014498</t>
        </is>
      </c>
      <c r="M1423" t="inlineStr">
        <is>
          <t>STATUS=IN OEM / EU PACKAGE; SOURCE_CFG=IA-ST-CFG-0116; MARKET=None</t>
        </is>
      </c>
      <c r="N1423" t="inlineStr">
        <is>
          <t>2026-08-10T19:29:54Z</t>
        </is>
      </c>
      <c r="O1423" t="inlineStr">
        <is>
          <t>2026-08-10T19:29:54Z</t>
        </is>
      </c>
    </row>
    <row r="1424">
      <c r="A1424" s="19" t="inlineStr">
        <is>
          <t>1423</t>
        </is>
      </c>
      <c r="B1424" s="19" t="inlineStr">
        <is>
          <t>1014499</t>
        </is>
      </c>
      <c r="C1424" t="inlineStr">
        <is>
          <t>AKÜ,AGM,L6,DK,105AH,EAS AGM S&amp;S,EURO</t>
        </is>
      </c>
      <c r="D1424" s="19" t="inlineStr">
        <is>
          <t>1</t>
        </is>
      </c>
      <c r="E1424" t="n">
        <v>0</v>
      </c>
      <c r="I1424" s="19" t="inlineStr">
        <is>
          <t>2</t>
        </is>
      </c>
      <c r="J1424" t="inlineStr">
        <is>
          <t>2026-08-08</t>
        </is>
      </c>
      <c r="L1424" s="19" t="inlineStr">
        <is>
          <t>1014499</t>
        </is>
      </c>
      <c r="M1424" t="inlineStr">
        <is>
          <t>STATUS=IN OEM / EU PACKAGE; SOURCE_CFG=IA-ST-CFG-0071; MARKET=None</t>
        </is>
      </c>
      <c r="N1424" t="inlineStr">
        <is>
          <t>2026-08-10T19:29:54Z</t>
        </is>
      </c>
      <c r="O1424" t="inlineStr">
        <is>
          <t>2026-08-10T19:29:54Z</t>
        </is>
      </c>
    </row>
    <row r="1425">
      <c r="A1425" s="19" t="inlineStr">
        <is>
          <t>1424</t>
        </is>
      </c>
      <c r="B1425" s="19" t="inlineStr">
        <is>
          <t>1014500</t>
        </is>
      </c>
      <c r="C1425" t="inlineStr">
        <is>
          <t>AKÜ,L1,DK,54AH,IGYA SMF,NO NAME,EURO</t>
        </is>
      </c>
      <c r="D1425" s="19" t="inlineStr">
        <is>
          <t>1</t>
        </is>
      </c>
      <c r="E1425" t="n">
        <v>0</v>
      </c>
      <c r="I1425" s="19" t="inlineStr">
        <is>
          <t>2</t>
        </is>
      </c>
      <c r="J1425" t="inlineStr">
        <is>
          <t>2026-08-08</t>
        </is>
      </c>
      <c r="L1425" s="19" t="inlineStr">
        <is>
          <t>1014500</t>
        </is>
      </c>
      <c r="M1425" t="inlineStr">
        <is>
          <t>STATUS=IN OEM / EU PACKAGE; SOURCE_CFG=IA-ST-CFG-0267; MARKET=None</t>
        </is>
      </c>
      <c r="N1425" t="inlineStr">
        <is>
          <t>2026-08-10T19:29:54Z</t>
        </is>
      </c>
      <c r="O1425" t="inlineStr">
        <is>
          <t>2026-08-10T19:29:54Z</t>
        </is>
      </c>
    </row>
    <row r="1426">
      <c r="A1426" s="19" t="inlineStr">
        <is>
          <t>1425</t>
        </is>
      </c>
      <c r="B1426" s="19" t="inlineStr">
        <is>
          <t>1014501</t>
        </is>
      </c>
      <c r="C1426" t="inlineStr">
        <is>
          <t>AKÜ,NS60,DK45AH,IGYA,T3PERFORMANCEBATTER</t>
        </is>
      </c>
      <c r="D1426" s="19" t="inlineStr">
        <is>
          <t>1</t>
        </is>
      </c>
      <c r="E1426" t="n">
        <v>0</v>
      </c>
      <c r="I1426" s="19" t="inlineStr">
        <is>
          <t>2</t>
        </is>
      </c>
      <c r="J1426" t="inlineStr">
        <is>
          <t>2026-08-08</t>
        </is>
      </c>
      <c r="L1426" s="19" t="inlineStr">
        <is>
          <t>1014501</t>
        </is>
      </c>
      <c r="M1426" t="inlineStr">
        <is>
          <t>STATUS=IN OEM / EU PACKAGE; SOURCE_CFG=IA-ST-CFG-0272; MARKET=DOMİNİK CUM.PERFORMANCE BATT.</t>
        </is>
      </c>
      <c r="N1426" t="inlineStr">
        <is>
          <t>2026-08-10T19:29:54Z</t>
        </is>
      </c>
      <c r="O1426" t="inlineStr">
        <is>
          <t>2026-08-10T19:29:54Z</t>
        </is>
      </c>
    </row>
    <row r="1427">
      <c r="A1427" s="19" t="inlineStr">
        <is>
          <t>1426</t>
        </is>
      </c>
      <c r="B1427" s="19" t="inlineStr">
        <is>
          <t>1014516</t>
        </is>
      </c>
      <c r="C1427" t="inlineStr">
        <is>
          <t>AKÜ,L3,DK,75AH,IGYASMF,HI-TECH,TÜRKMNSTN</t>
        </is>
      </c>
      <c r="D1427" s="19" t="inlineStr">
        <is>
          <t>1</t>
        </is>
      </c>
      <c r="E1427" t="n">
        <v>0</v>
      </c>
      <c r="I1427" s="19" t="inlineStr">
        <is>
          <t>2</t>
        </is>
      </c>
      <c r="J1427" t="inlineStr">
        <is>
          <t>2026-08-08</t>
        </is>
      </c>
      <c r="L1427" s="19" t="inlineStr">
        <is>
          <t>1014516</t>
        </is>
      </c>
      <c r="M1427" t="inlineStr">
        <is>
          <t>STATUS=IN OEM / EU PACKAGE; SOURCE_CFG=IA-ST-CFG-0179; MARKET=TÜRKMENİSTAN</t>
        </is>
      </c>
      <c r="N1427" t="inlineStr">
        <is>
          <t>2026-08-10T19:29:54Z</t>
        </is>
      </c>
      <c r="O1427" t="inlineStr">
        <is>
          <t>2026-08-10T19:29:54Z</t>
        </is>
      </c>
    </row>
    <row r="1428">
      <c r="A1428" s="19" t="inlineStr">
        <is>
          <t>1427</t>
        </is>
      </c>
      <c r="B1428" s="19" t="inlineStr">
        <is>
          <t>1014527</t>
        </is>
      </c>
      <c r="C1428" t="inlineStr">
        <is>
          <t>AKÜ,D31,TK,70AH,IGYASMF,NO NAME,EURO</t>
        </is>
      </c>
      <c r="D1428" s="19" t="inlineStr">
        <is>
          <t>1</t>
        </is>
      </c>
      <c r="E1428" t="n">
        <v>0</v>
      </c>
      <c r="I1428" s="19" t="inlineStr">
        <is>
          <t>2</t>
        </is>
      </c>
      <c r="J1428" t="inlineStr">
        <is>
          <t>2026-08-08</t>
        </is>
      </c>
      <c r="L1428" s="19" t="inlineStr">
        <is>
          <t>1014527</t>
        </is>
      </c>
      <c r="M1428" t="inlineStr">
        <is>
          <t>STATUS=IN OEM / EU PACKAGE; SOURCE_CFG=IA-ST-CFG-0117; MARKET=None</t>
        </is>
      </c>
      <c r="N1428" t="inlineStr">
        <is>
          <t>2026-08-10T19:29:54Z</t>
        </is>
      </c>
      <c r="O1428" t="inlineStr">
        <is>
          <t>2026-08-10T19:29:54Z</t>
        </is>
      </c>
    </row>
    <row r="1429">
      <c r="A1429" s="19" t="inlineStr">
        <is>
          <t>1428</t>
        </is>
      </c>
      <c r="B1429" s="19" t="inlineStr">
        <is>
          <t>1014534</t>
        </is>
      </c>
      <c r="C1429" t="inlineStr">
        <is>
          <t>AKÜ,D23,DK,68AH,IGYASMF,BLIZZAROGOLDLINE</t>
        </is>
      </c>
      <c r="D1429" s="19" t="inlineStr">
        <is>
          <t>1</t>
        </is>
      </c>
      <c r="E1429" t="n">
        <v>0</v>
      </c>
      <c r="I1429" s="19" t="inlineStr">
        <is>
          <t>2</t>
        </is>
      </c>
      <c r="J1429" t="inlineStr">
        <is>
          <t>2026-08-08</t>
        </is>
      </c>
      <c r="L1429" s="19" t="inlineStr">
        <is>
          <t>1014534</t>
        </is>
      </c>
      <c r="M1429" t="inlineStr">
        <is>
          <t>STATUS=IN OEM / EU PACKAGE; SOURCE_CFG=IA-ST-CFG-0219; MARKET=None</t>
        </is>
      </c>
      <c r="N1429" t="inlineStr">
        <is>
          <t>2026-08-10T19:29:54Z</t>
        </is>
      </c>
      <c r="O1429" t="inlineStr">
        <is>
          <t>2026-08-10T19:29:54Z</t>
        </is>
      </c>
    </row>
    <row r="1430">
      <c r="A1430" s="19" t="inlineStr">
        <is>
          <t>1429</t>
        </is>
      </c>
      <c r="B1430" s="19" t="inlineStr">
        <is>
          <t>1014535</t>
        </is>
      </c>
      <c r="C1430" t="inlineStr">
        <is>
          <t>AKÜ,LB3DK71AH,IGYASMFHALFORD,HAL3100-071</t>
        </is>
      </c>
      <c r="D1430" s="19" t="inlineStr">
        <is>
          <t>1</t>
        </is>
      </c>
      <c r="E1430" t="n">
        <v>0</v>
      </c>
      <c r="I1430" s="19" t="inlineStr">
        <is>
          <t>2</t>
        </is>
      </c>
      <c r="J1430" t="inlineStr">
        <is>
          <t>2026-08-08</t>
        </is>
      </c>
      <c r="L1430" s="19" t="inlineStr">
        <is>
          <t>1014535</t>
        </is>
      </c>
      <c r="M1430" t="inlineStr">
        <is>
          <t>STATUS=IN OEM / EU PACKAGE; SOURCE_CFG=IA-ST-CFG-0132; MARKET=GY EUR</t>
        </is>
      </c>
      <c r="N1430" t="inlineStr">
        <is>
          <t>2026-08-10T19:29:54Z</t>
        </is>
      </c>
      <c r="O1430" t="inlineStr">
        <is>
          <t>2026-08-10T19:29:54Z</t>
        </is>
      </c>
    </row>
    <row r="1431">
      <c r="A1431" s="19" t="inlineStr">
        <is>
          <t>1430</t>
        </is>
      </c>
      <c r="B1431" s="19" t="inlineStr">
        <is>
          <t>1014536</t>
        </is>
      </c>
      <c r="C1431" t="inlineStr">
        <is>
          <t>AKÜ,L5DK95AH,IGYASMF,HALFORD,HAL3019-095</t>
        </is>
      </c>
      <c r="D1431" s="19" t="inlineStr">
        <is>
          <t>1</t>
        </is>
      </c>
      <c r="E1431" t="n">
        <v>0</v>
      </c>
      <c r="I1431" s="19" t="inlineStr">
        <is>
          <t>2</t>
        </is>
      </c>
      <c r="J1431" t="inlineStr">
        <is>
          <t>2026-08-08</t>
        </is>
      </c>
      <c r="L1431" s="19" t="inlineStr">
        <is>
          <t>1014536</t>
        </is>
      </c>
      <c r="M1431" t="inlineStr">
        <is>
          <t>STATUS=IN OEM / EU PACKAGE; SOURCE_CFG=IA-ST-CFG-0068; MARKET=GY EUR</t>
        </is>
      </c>
      <c r="N1431" t="inlineStr">
        <is>
          <t>2026-08-10T19:29:54Z</t>
        </is>
      </c>
      <c r="O1431" t="inlineStr">
        <is>
          <t>2026-08-10T19:29:54Z</t>
        </is>
      </c>
    </row>
    <row r="1432">
      <c r="A1432" s="19" t="inlineStr">
        <is>
          <t>1431</t>
        </is>
      </c>
      <c r="B1432" s="19" t="inlineStr">
        <is>
          <t>1014537</t>
        </is>
      </c>
      <c r="C1432" t="inlineStr">
        <is>
          <t>AKÜ,L5DK100AH,IGYASMFHALFORD,HALL36L-EFB</t>
        </is>
      </c>
      <c r="D1432" s="19" t="inlineStr">
        <is>
          <t>1</t>
        </is>
      </c>
      <c r="E1432" t="n">
        <v>0</v>
      </c>
      <c r="I1432" s="19" t="inlineStr">
        <is>
          <t>2</t>
        </is>
      </c>
      <c r="J1432" t="inlineStr">
        <is>
          <t>2026-08-08</t>
        </is>
      </c>
      <c r="L1432" s="19" t="inlineStr">
        <is>
          <t>1014537</t>
        </is>
      </c>
      <c r="M1432" t="inlineStr">
        <is>
          <t>STATUS=IN OEM / EU PACKAGE; SOURCE_CFG=IA-ST-CFG-0068; MARKET=GY EUR</t>
        </is>
      </c>
      <c r="N1432" t="inlineStr">
        <is>
          <t>2026-08-10T19:29:54Z</t>
        </is>
      </c>
      <c r="O1432" t="inlineStr">
        <is>
          <t>2026-08-10T19:29:54Z</t>
        </is>
      </c>
    </row>
    <row r="1433">
      <c r="A1433" s="19" t="inlineStr">
        <is>
          <t>1432</t>
        </is>
      </c>
      <c r="B1433" s="19" t="inlineStr">
        <is>
          <t>1014542</t>
        </is>
      </c>
      <c r="C1433" t="inlineStr">
        <is>
          <t>AKÜ,L2,DK,60AH,VRLA,NONAME9027-060,GYEUR</t>
        </is>
      </c>
      <c r="D1433" s="19" t="inlineStr">
        <is>
          <t>1</t>
        </is>
      </c>
      <c r="E1433" t="n">
        <v>0</v>
      </c>
      <c r="I1433" s="19" t="inlineStr">
        <is>
          <t>2</t>
        </is>
      </c>
      <c r="J1433" t="inlineStr">
        <is>
          <t>2026-08-08</t>
        </is>
      </c>
      <c r="L1433" s="19" t="inlineStr">
        <is>
          <t>1014542</t>
        </is>
      </c>
      <c r="M1433" t="inlineStr">
        <is>
          <t>STATUS=IN OEM / EU PACKAGE; SOURCE_CFG=IA-ST-CFG-0149; MARKET=GY EUR</t>
        </is>
      </c>
      <c r="N1433" t="inlineStr">
        <is>
          <t>2026-08-10T19:29:54Z</t>
        </is>
      </c>
      <c r="O1433" t="inlineStr">
        <is>
          <t>2026-08-10T19:29:54Z</t>
        </is>
      </c>
    </row>
    <row r="1434">
      <c r="A1434" s="19" t="inlineStr">
        <is>
          <t>1433</t>
        </is>
      </c>
      <c r="B1434" s="19" t="inlineStr">
        <is>
          <t>1014543</t>
        </is>
      </c>
      <c r="C1434" t="inlineStr">
        <is>
          <t>AKÜ,L3,DK,70AH,VRLA,NONAME9096-070,GYEUR</t>
        </is>
      </c>
      <c r="D1434" s="19" t="inlineStr">
        <is>
          <t>1</t>
        </is>
      </c>
      <c r="E1434" t="n">
        <v>0</v>
      </c>
      <c r="I1434" s="19" t="inlineStr">
        <is>
          <t>2</t>
        </is>
      </c>
      <c r="J1434" t="inlineStr">
        <is>
          <t>2026-08-08</t>
        </is>
      </c>
      <c r="L1434" s="19" t="inlineStr">
        <is>
          <t>1014543</t>
        </is>
      </c>
      <c r="M1434" t="inlineStr">
        <is>
          <t>STATUS=IN OEM / EU PACKAGE; SOURCE_CFG=IA-ST-CFG-0113; MARKET=GY EUR</t>
        </is>
      </c>
      <c r="N1434" t="inlineStr">
        <is>
          <t>2026-08-10T19:29:54Z</t>
        </is>
      </c>
      <c r="O1434" t="inlineStr">
        <is>
          <t>2026-08-10T19:29:54Z</t>
        </is>
      </c>
    </row>
    <row r="1435">
      <c r="A1435" s="19" t="inlineStr">
        <is>
          <t>1434</t>
        </is>
      </c>
      <c r="B1435" s="19" t="inlineStr">
        <is>
          <t>1014544</t>
        </is>
      </c>
      <c r="C1435" t="inlineStr">
        <is>
          <t>AKÜ,L4,DK,80AH,VRLA,NONAME9115-080,GYEUR</t>
        </is>
      </c>
      <c r="D1435" s="19" t="inlineStr">
        <is>
          <t>1</t>
        </is>
      </c>
      <c r="E1435" t="n">
        <v>0</v>
      </c>
      <c r="I1435" s="19" t="inlineStr">
        <is>
          <t>2</t>
        </is>
      </c>
      <c r="J1435" t="inlineStr">
        <is>
          <t>2026-08-08</t>
        </is>
      </c>
      <c r="L1435" s="19" t="inlineStr">
        <is>
          <t>1014544</t>
        </is>
      </c>
      <c r="M1435" t="inlineStr">
        <is>
          <t>STATUS=IN OEM / EU PACKAGE; SOURCE_CFG=IA-ST-CFG-0085; MARKET=GY EUR</t>
        </is>
      </c>
      <c r="N1435" t="inlineStr">
        <is>
          <t>2026-08-10T19:29:54Z</t>
        </is>
      </c>
      <c r="O1435" t="inlineStr">
        <is>
          <t>2026-08-10T19:29:54Z</t>
        </is>
      </c>
    </row>
    <row r="1436">
      <c r="A1436" s="19" t="inlineStr">
        <is>
          <t>1435</t>
        </is>
      </c>
      <c r="B1436" s="19" t="inlineStr">
        <is>
          <t>1014545</t>
        </is>
      </c>
      <c r="C1436" t="inlineStr">
        <is>
          <t>AKÜ,L5,DK,95AH,VRLA,NONAME9019-095,GYEUR</t>
        </is>
      </c>
      <c r="D1436" s="19" t="inlineStr">
        <is>
          <t>1</t>
        </is>
      </c>
      <c r="E1436" t="n">
        <v>0</v>
      </c>
      <c r="I1436" s="19" t="inlineStr">
        <is>
          <t>2</t>
        </is>
      </c>
      <c r="J1436" t="inlineStr">
        <is>
          <t>2026-08-08</t>
        </is>
      </c>
      <c r="L1436" s="19" t="inlineStr">
        <is>
          <t>1014545</t>
        </is>
      </c>
      <c r="M1436" t="inlineStr">
        <is>
          <t>STATUS=IN OEM / EU PACKAGE; SOURCE_CFG=IA-ST-CFG-0068; MARKET=GY EUR</t>
        </is>
      </c>
      <c r="N1436" t="inlineStr">
        <is>
          <t>2026-08-10T19:29:54Z</t>
        </is>
      </c>
      <c r="O1436" t="inlineStr">
        <is>
          <t>2026-08-10T19:29:54Z</t>
        </is>
      </c>
    </row>
    <row r="1437">
      <c r="A1437" s="19" t="inlineStr">
        <is>
          <t>1436</t>
        </is>
      </c>
      <c r="B1437" s="19" t="inlineStr">
        <is>
          <t>1014546</t>
        </is>
      </c>
      <c r="C1437" t="inlineStr">
        <is>
          <t>AKÜ,L6,DK105AH,VRLA,NONAME9020-105,GYEUR</t>
        </is>
      </c>
      <c r="D1437" s="19" t="inlineStr">
        <is>
          <t>1</t>
        </is>
      </c>
      <c r="E1437" t="n">
        <v>0</v>
      </c>
      <c r="I1437" s="19" t="inlineStr">
        <is>
          <t>2</t>
        </is>
      </c>
      <c r="J1437" t="inlineStr">
        <is>
          <t>2026-08-08</t>
        </is>
      </c>
      <c r="L1437" s="19" t="inlineStr">
        <is>
          <t>1014546</t>
        </is>
      </c>
      <c r="M1437" t="inlineStr">
        <is>
          <t>STATUS=IN OEM / EU PACKAGE; SOURCE_CFG=IA-ST-CFG-0058; MARKET=GY EUR</t>
        </is>
      </c>
      <c r="N1437" t="inlineStr">
        <is>
          <t>2026-08-10T19:29:54Z</t>
        </is>
      </c>
      <c r="O1437" t="inlineStr">
        <is>
          <t>2026-08-10T19:29:54Z</t>
        </is>
      </c>
    </row>
    <row r="1438">
      <c r="A1438" s="19" t="inlineStr">
        <is>
          <t>1437</t>
        </is>
      </c>
      <c r="B1438" s="19" t="inlineStr">
        <is>
          <t>1014548</t>
        </is>
      </c>
      <c r="C1438" t="inlineStr">
        <is>
          <t>AKÜ,LB4,DK,80AH,IGYSMF,HUGELULTRA,NACITA</t>
        </is>
      </c>
      <c r="D1438" s="19" t="inlineStr">
        <is>
          <t>1</t>
        </is>
      </c>
      <c r="E1438" t="n">
        <v>0</v>
      </c>
      <c r="I1438" s="19" t="inlineStr">
        <is>
          <t>2</t>
        </is>
      </c>
      <c r="J1438" t="inlineStr">
        <is>
          <t>2026-08-08</t>
        </is>
      </c>
      <c r="L1438" s="19" t="inlineStr">
        <is>
          <t>1014548</t>
        </is>
      </c>
      <c r="M1438" t="inlineStr">
        <is>
          <t>STATUS=IN OEM / EU PACKAGE; SOURCE_CFG=IA-ST-CFG-0231; MARKET=MISIR NACITA</t>
        </is>
      </c>
      <c r="N1438" t="inlineStr">
        <is>
          <t>2026-08-10T19:29:54Z</t>
        </is>
      </c>
      <c r="O1438" t="inlineStr">
        <is>
          <t>2026-08-10T19:29:54Z</t>
        </is>
      </c>
    </row>
    <row r="1439">
      <c r="A1439" s="19" t="inlineStr">
        <is>
          <t>1438</t>
        </is>
      </c>
      <c r="B1439" s="19" t="inlineStr">
        <is>
          <t>1014549</t>
        </is>
      </c>
      <c r="C1439" t="inlineStr">
        <is>
          <t>AKÜ,AGM,L2,DK,60AH,HUGEL AGM S&amp;S,NACITA</t>
        </is>
      </c>
      <c r="D1439" s="19" t="inlineStr">
        <is>
          <t>1</t>
        </is>
      </c>
      <c r="E1439" t="n">
        <v>0</v>
      </c>
      <c r="I1439" s="19" t="inlineStr">
        <is>
          <t>2</t>
        </is>
      </c>
      <c r="J1439" t="inlineStr">
        <is>
          <t>2026-08-08</t>
        </is>
      </c>
      <c r="L1439" s="19" t="inlineStr">
        <is>
          <t>1014549</t>
        </is>
      </c>
      <c r="M1439" t="inlineStr">
        <is>
          <t>STATUS=IN OEM / EU PACKAGE; SOURCE_CFG=IA-ST-CFG-0222; MARKET=MISIR NACITA</t>
        </is>
      </c>
      <c r="N1439" t="inlineStr">
        <is>
          <t>2026-08-10T19:29:54Z</t>
        </is>
      </c>
      <c r="O1439" t="inlineStr">
        <is>
          <t>2026-08-10T19:29:54Z</t>
        </is>
      </c>
    </row>
    <row r="1440">
      <c r="A1440" s="19" t="inlineStr">
        <is>
          <t>1439</t>
        </is>
      </c>
      <c r="B1440" s="19" t="inlineStr">
        <is>
          <t>1014550</t>
        </is>
      </c>
      <c r="C1440" t="inlineStr">
        <is>
          <t>AKÜ,AGM,L4,DK,80AH,HUGEL AGM S&amp;S,NACITA</t>
        </is>
      </c>
      <c r="D1440" s="19" t="inlineStr">
        <is>
          <t>1</t>
        </is>
      </c>
      <c r="E1440" t="n">
        <v>0</v>
      </c>
      <c r="I1440" s="19" t="inlineStr">
        <is>
          <t>2</t>
        </is>
      </c>
      <c r="J1440" t="inlineStr">
        <is>
          <t>2026-08-08</t>
        </is>
      </c>
      <c r="L1440" s="19" t="inlineStr">
        <is>
          <t>1014550</t>
        </is>
      </c>
      <c r="M1440" t="inlineStr">
        <is>
          <t>STATUS=IN OEM / EU PACKAGE; SOURCE_CFG=IA-ST-CFG-0142; MARKET=MISIR NACITA</t>
        </is>
      </c>
      <c r="N1440" t="inlineStr">
        <is>
          <t>2026-08-10T19:29:54Z</t>
        </is>
      </c>
      <c r="O1440" t="inlineStr">
        <is>
          <t>2026-08-10T19:29:54Z</t>
        </is>
      </c>
    </row>
    <row r="1441">
      <c r="A1441" s="19" t="inlineStr">
        <is>
          <t>1440</t>
        </is>
      </c>
      <c r="B1441" s="19" t="inlineStr">
        <is>
          <t>1014551</t>
        </is>
      </c>
      <c r="C1441" t="inlineStr">
        <is>
          <t>AKÜ,AGM,L6,DK,105AH,HUGEL AGM S&amp;S,NACITA</t>
        </is>
      </c>
      <c r="D1441" s="19" t="inlineStr">
        <is>
          <t>1</t>
        </is>
      </c>
      <c r="E1441" t="n">
        <v>0</v>
      </c>
      <c r="I1441" s="19" t="inlineStr">
        <is>
          <t>2</t>
        </is>
      </c>
      <c r="J1441" t="inlineStr">
        <is>
          <t>2026-08-08</t>
        </is>
      </c>
      <c r="L1441" s="19" t="inlineStr">
        <is>
          <t>1014551</t>
        </is>
      </c>
      <c r="M1441" t="inlineStr">
        <is>
          <t>STATUS=IN OEM / EU PACKAGE; SOURCE_CFG=IA-ST-CFG-0080; MARKET=MISIR NACITA</t>
        </is>
      </c>
      <c r="N1441" t="inlineStr">
        <is>
          <t>2026-08-10T19:29:54Z</t>
        </is>
      </c>
      <c r="O1441" t="inlineStr">
        <is>
          <t>2026-08-10T19:29:54Z</t>
        </is>
      </c>
    </row>
    <row r="1442">
      <c r="A1442" s="19" t="inlineStr">
        <is>
          <t>1441</t>
        </is>
      </c>
      <c r="B1442" s="19" t="inlineStr">
        <is>
          <t>1014552</t>
        </is>
      </c>
      <c r="C1442" t="inlineStr">
        <is>
          <t>AKÜ,L2,DK,60AH,IGYSMF,HUGELEFBS&amp;S,NACITA</t>
        </is>
      </c>
      <c r="D1442" s="19" t="inlineStr">
        <is>
          <t>1</t>
        </is>
      </c>
      <c r="E1442" t="n">
        <v>0</v>
      </c>
      <c r="I1442" s="19" t="inlineStr">
        <is>
          <t>2</t>
        </is>
      </c>
      <c r="J1442" t="inlineStr">
        <is>
          <t>2026-08-08</t>
        </is>
      </c>
      <c r="L1442" s="19" t="inlineStr">
        <is>
          <t>1014552</t>
        </is>
      </c>
      <c r="M1442" t="inlineStr">
        <is>
          <t>STATUS=IN OEM / EU PACKAGE; SOURCE_CFG=IA-ST-CFG-0222; MARKET=MISIR NACITA</t>
        </is>
      </c>
      <c r="N1442" t="inlineStr">
        <is>
          <t>2026-08-10T19:29:54Z</t>
        </is>
      </c>
      <c r="O1442" t="inlineStr">
        <is>
          <t>2026-08-10T19:29:54Z</t>
        </is>
      </c>
    </row>
    <row r="1443">
      <c r="A1443" s="19" t="inlineStr">
        <is>
          <t>1442</t>
        </is>
      </c>
      <c r="B1443" s="19" t="inlineStr">
        <is>
          <t>1014553</t>
        </is>
      </c>
      <c r="C1443" t="inlineStr">
        <is>
          <t>AKÜ,L3,DK,72AH,IGYSMF,HUGELEFBS&amp;S,NACITA</t>
        </is>
      </c>
      <c r="D1443" s="19" t="inlineStr">
        <is>
          <t>1</t>
        </is>
      </c>
      <c r="E1443" t="n">
        <v>0</v>
      </c>
      <c r="I1443" s="19" t="inlineStr">
        <is>
          <t>2</t>
        </is>
      </c>
      <c r="J1443" t="inlineStr">
        <is>
          <t>2026-08-08</t>
        </is>
      </c>
      <c r="L1443" s="19" t="inlineStr">
        <is>
          <t>1014553</t>
        </is>
      </c>
      <c r="M1443" t="inlineStr">
        <is>
          <t>STATUS=IN OEM / EU PACKAGE; SOURCE_CFG=IA-ST-CFG-0179; MARKET=MISIR NACITA</t>
        </is>
      </c>
      <c r="N1443" t="inlineStr">
        <is>
          <t>2026-08-10T19:29:54Z</t>
        </is>
      </c>
      <c r="O1443" t="inlineStr">
        <is>
          <t>2026-08-10T19:29:54Z</t>
        </is>
      </c>
    </row>
    <row r="1444">
      <c r="A1444" s="19" t="inlineStr">
        <is>
          <t>1443</t>
        </is>
      </c>
      <c r="B1444" s="19" t="inlineStr">
        <is>
          <t>1014554</t>
        </is>
      </c>
      <c r="C1444" t="inlineStr">
        <is>
          <t>AKÜ,L4,DK,80AH,IGYSMF,HUGELEFBS&amp;S,NACITA</t>
        </is>
      </c>
      <c r="D1444" s="19" t="inlineStr">
        <is>
          <t>1</t>
        </is>
      </c>
      <c r="E1444" t="n">
        <v>0</v>
      </c>
      <c r="I1444" s="19" t="inlineStr">
        <is>
          <t>2</t>
        </is>
      </c>
      <c r="J1444" t="inlineStr">
        <is>
          <t>2026-08-08</t>
        </is>
      </c>
      <c r="L1444" s="19" t="inlineStr">
        <is>
          <t>1014554</t>
        </is>
      </c>
      <c r="M1444" t="inlineStr">
        <is>
          <t>STATUS=IN OEM / EU PACKAGE; SOURCE_CFG=IA-ST-CFG-0142; MARKET=MISIR NACITA</t>
        </is>
      </c>
      <c r="N1444" t="inlineStr">
        <is>
          <t>2026-08-10T19:29:54Z</t>
        </is>
      </c>
      <c r="O1444" t="inlineStr">
        <is>
          <t>2026-08-10T19:29:54Z</t>
        </is>
      </c>
    </row>
    <row r="1445">
      <c r="A1445" s="19" t="inlineStr">
        <is>
          <t>1444</t>
        </is>
      </c>
      <c r="B1445" s="19" t="inlineStr">
        <is>
          <t>1014555</t>
        </is>
      </c>
      <c r="C1445" t="inlineStr">
        <is>
          <t>AKÜ,L5,DK,90AH,IGYSMF,HUGELEFBS&amp;S,NACITA</t>
        </is>
      </c>
      <c r="D1445" s="19" t="inlineStr">
        <is>
          <t>1</t>
        </is>
      </c>
      <c r="E1445" t="n">
        <v>0</v>
      </c>
      <c r="I1445" s="19" t="inlineStr">
        <is>
          <t>2</t>
        </is>
      </c>
      <c r="J1445" t="inlineStr">
        <is>
          <t>2026-08-08</t>
        </is>
      </c>
      <c r="L1445" s="19" t="inlineStr">
        <is>
          <t>1014555</t>
        </is>
      </c>
      <c r="M1445" t="inlineStr">
        <is>
          <t>STATUS=IN OEM / EU PACKAGE; SOURCE_CFG=IA-ST-CFG-0096; MARKET=MISIR NACITA</t>
        </is>
      </c>
      <c r="N1445" t="inlineStr">
        <is>
          <t>2026-08-10T19:29:54Z</t>
        </is>
      </c>
      <c r="O1445" t="inlineStr">
        <is>
          <t>2026-08-10T19:29:54Z</t>
        </is>
      </c>
    </row>
    <row r="1446">
      <c r="A1446" s="19" t="inlineStr">
        <is>
          <t>1445</t>
        </is>
      </c>
      <c r="B1446" s="19" t="inlineStr">
        <is>
          <t>1014556</t>
        </is>
      </c>
      <c r="C1446" t="inlineStr">
        <is>
          <t>AKÜ,LB1,DK,52AH,IGYSMF,BPOWERSUP,POLONYA</t>
        </is>
      </c>
      <c r="D1446" s="19" t="inlineStr">
        <is>
          <t>1</t>
        </is>
      </c>
      <c r="E1446" t="n">
        <v>0</v>
      </c>
      <c r="I1446" s="19" t="inlineStr">
        <is>
          <t>2</t>
        </is>
      </c>
      <c r="J1446" t="inlineStr">
        <is>
          <t>2026-08-08</t>
        </is>
      </c>
      <c r="L1446" s="19" t="inlineStr">
        <is>
          <t>1014556</t>
        </is>
      </c>
      <c r="M1446" t="inlineStr">
        <is>
          <t>STATUS=IN OEM / EU PACKAGE; SOURCE_CFG=IA-ST-CFG-0206; MARKET=BATERIE PRZEMYSLOWE POLONYA</t>
        </is>
      </c>
      <c r="N1446" t="inlineStr">
        <is>
          <t>2026-08-10T19:29:54Z</t>
        </is>
      </c>
      <c r="O1446" t="inlineStr">
        <is>
          <t>2026-08-10T19:29:54Z</t>
        </is>
      </c>
    </row>
    <row r="1447">
      <c r="A1447" s="19" t="inlineStr">
        <is>
          <t>1446</t>
        </is>
      </c>
      <c r="B1447" s="19" t="inlineStr">
        <is>
          <t>1014557</t>
        </is>
      </c>
      <c r="C1447" t="inlineStr">
        <is>
          <t>AKÜ,L1,DK,55AH,IGYSMF,BPOWERSUPR,POLONYA</t>
        </is>
      </c>
      <c r="D1447" s="19" t="inlineStr">
        <is>
          <t>1</t>
        </is>
      </c>
      <c r="E1447" t="n">
        <v>0</v>
      </c>
      <c r="I1447" s="19" t="inlineStr">
        <is>
          <t>2</t>
        </is>
      </c>
      <c r="J1447" t="inlineStr">
        <is>
          <t>2026-08-08</t>
        </is>
      </c>
      <c r="L1447" s="19" t="inlineStr">
        <is>
          <t>1014557</t>
        </is>
      </c>
      <c r="M1447" t="inlineStr">
        <is>
          <t>STATUS=IN OEM / EU PACKAGE; SOURCE_CFG=IA-ST-CFG-0206; MARKET=BATERIE PRZEMYSLOWE POLONYA</t>
        </is>
      </c>
      <c r="N1447" t="inlineStr">
        <is>
          <t>2026-08-10T19:29:54Z</t>
        </is>
      </c>
      <c r="O1447" t="inlineStr">
        <is>
          <t>2026-08-10T19:29:54Z</t>
        </is>
      </c>
    </row>
    <row r="1448">
      <c r="A1448" s="19" t="inlineStr">
        <is>
          <t>1447</t>
        </is>
      </c>
      <c r="B1448" s="19" t="inlineStr">
        <is>
          <t>1014558</t>
        </is>
      </c>
      <c r="C1448" t="inlineStr">
        <is>
          <t>AKÜ,L5,DK,102AH,IGYSMF,BPOWERSUP,POLONYA</t>
        </is>
      </c>
      <c r="D1448" s="19" t="inlineStr">
        <is>
          <t>1</t>
        </is>
      </c>
      <c r="E1448" t="n">
        <v>0</v>
      </c>
      <c r="I1448" s="19" t="inlineStr">
        <is>
          <t>2</t>
        </is>
      </c>
      <c r="J1448" t="inlineStr">
        <is>
          <t>2026-08-08</t>
        </is>
      </c>
      <c r="L1448" s="19" t="inlineStr">
        <is>
          <t>1014558</t>
        </is>
      </c>
      <c r="M1448" t="inlineStr">
        <is>
          <t>STATUS=IN OEM / EU PACKAGE; SOURCE_CFG=IA-ST-CFG-0072; MARKET=BATERIE PRZEMYSLOWE POLONYA</t>
        </is>
      </c>
      <c r="N1448" t="inlineStr">
        <is>
          <t>2026-08-10T19:29:54Z</t>
        </is>
      </c>
      <c r="O1448" t="inlineStr">
        <is>
          <t>2026-08-10T19:29:54Z</t>
        </is>
      </c>
    </row>
    <row r="1449">
      <c r="A1449" s="19" t="inlineStr">
        <is>
          <t>1448</t>
        </is>
      </c>
      <c r="B1449" s="19" t="inlineStr">
        <is>
          <t>1014559</t>
        </is>
      </c>
      <c r="C1449" t="inlineStr">
        <is>
          <t>AKÜ,L3,DK,80AH,IGYSMF,BPOWERSUPR,POLONYA</t>
        </is>
      </c>
      <c r="D1449" s="19" t="inlineStr">
        <is>
          <t>1</t>
        </is>
      </c>
      <c r="E1449" t="n">
        <v>0</v>
      </c>
      <c r="I1449" s="19" t="inlineStr">
        <is>
          <t>2</t>
        </is>
      </c>
      <c r="J1449" t="inlineStr">
        <is>
          <t>2026-08-08</t>
        </is>
      </c>
      <c r="L1449" s="19" t="inlineStr">
        <is>
          <t>1014559</t>
        </is>
      </c>
      <c r="M1449" t="inlineStr">
        <is>
          <t>STATUS=IN OEM / EU PACKAGE; SOURCE_CFG=IA-ST-CFG-0135; MARKET=BATERIE PRZEMYSLOWE POLONYA</t>
        </is>
      </c>
      <c r="N1449" t="inlineStr">
        <is>
          <t>2026-08-10T19:29:54Z</t>
        </is>
      </c>
      <c r="O1449" t="inlineStr">
        <is>
          <t>2026-08-10T19:29:54Z</t>
        </is>
      </c>
    </row>
    <row r="1450">
      <c r="A1450" s="19" t="inlineStr">
        <is>
          <t>1449</t>
        </is>
      </c>
      <c r="B1450" s="19" t="inlineStr">
        <is>
          <t>1014560</t>
        </is>
      </c>
      <c r="C1450" t="inlineStr">
        <is>
          <t>AKÜ,LB3,DK,74AH,IGYSMF,BPOWERSUP,POLONYA</t>
        </is>
      </c>
      <c r="D1450" s="19" t="inlineStr">
        <is>
          <t>1</t>
        </is>
      </c>
      <c r="E1450" t="n">
        <v>0</v>
      </c>
      <c r="I1450" s="19" t="inlineStr">
        <is>
          <t>2</t>
        </is>
      </c>
      <c r="J1450" t="inlineStr">
        <is>
          <t>2026-08-08</t>
        </is>
      </c>
      <c r="L1450" s="19" t="inlineStr">
        <is>
          <t>1014560</t>
        </is>
      </c>
      <c r="M1450" t="inlineStr">
        <is>
          <t>STATUS=IN OEM / EU PACKAGE; SOURCE_CFG=IA-ST-CFG-0135; MARKET=BATERIE PRZEMYSLOWE POLONYA</t>
        </is>
      </c>
      <c r="N1450" t="inlineStr">
        <is>
          <t>2026-08-10T19:29:54Z</t>
        </is>
      </c>
      <c r="O1450" t="inlineStr">
        <is>
          <t>2026-08-10T19:29:54Z</t>
        </is>
      </c>
    </row>
    <row r="1451">
      <c r="A1451" s="19" t="inlineStr">
        <is>
          <t>1450</t>
        </is>
      </c>
      <c r="B1451" s="19" t="inlineStr">
        <is>
          <t>1014561</t>
        </is>
      </c>
      <c r="C1451" t="inlineStr">
        <is>
          <t>AKÜ,LB4,DK,85AH,IGYSMF,BPOWERSUP,POLONYA</t>
        </is>
      </c>
      <c r="D1451" s="19" t="inlineStr">
        <is>
          <t>1</t>
        </is>
      </c>
      <c r="E1451" t="n">
        <v>0</v>
      </c>
      <c r="I1451" s="19" t="inlineStr">
        <is>
          <t>2</t>
        </is>
      </c>
      <c r="J1451" t="inlineStr">
        <is>
          <t>2026-08-08</t>
        </is>
      </c>
      <c r="L1451" s="19" t="inlineStr">
        <is>
          <t>1014561</t>
        </is>
      </c>
      <c r="M1451" t="inlineStr">
        <is>
          <t>STATUS=IN OEM / EU PACKAGE; SOURCE_CFG=IA-ST-CFG-0087; MARKET=BATERIE PRZEMYSLOWE POLONYA</t>
        </is>
      </c>
      <c r="N1451" t="inlineStr">
        <is>
          <t>2026-08-10T19:29:54Z</t>
        </is>
      </c>
      <c r="O1451" t="inlineStr">
        <is>
          <t>2026-08-10T19:29:54Z</t>
        </is>
      </c>
    </row>
    <row r="1452">
      <c r="A1452" s="19" t="inlineStr">
        <is>
          <t>1451</t>
        </is>
      </c>
      <c r="B1452" s="19" t="inlineStr">
        <is>
          <t>1014562</t>
        </is>
      </c>
      <c r="C1452" t="inlineStr">
        <is>
          <t>AKÜ,L4,DK,92AH,IGYSMF,BPOWERSUPR,POLONYA</t>
        </is>
      </c>
      <c r="D1452" s="19" t="inlineStr">
        <is>
          <t>1</t>
        </is>
      </c>
      <c r="E1452" t="n">
        <v>0</v>
      </c>
      <c r="I1452" s="19" t="inlineStr">
        <is>
          <t>2</t>
        </is>
      </c>
      <c r="J1452" t="inlineStr">
        <is>
          <t>2026-08-08</t>
        </is>
      </c>
      <c r="L1452" s="19" t="inlineStr">
        <is>
          <t>1014562</t>
        </is>
      </c>
      <c r="M1452" t="inlineStr">
        <is>
          <t>STATUS=IN OEM / EU PACKAGE; SOURCE_CFG=IA-ST-CFG-0087; MARKET=BATERIE PRZEMYSLOWE POLONYA</t>
        </is>
      </c>
      <c r="N1452" t="inlineStr">
        <is>
          <t>2026-08-10T19:29:54Z</t>
        </is>
      </c>
      <c r="O1452" t="inlineStr">
        <is>
          <t>2026-08-10T19:29:54Z</t>
        </is>
      </c>
    </row>
    <row r="1453">
      <c r="A1453" s="19" t="inlineStr">
        <is>
          <t>1452</t>
        </is>
      </c>
      <c r="B1453" s="19" t="inlineStr">
        <is>
          <t>1014563</t>
        </is>
      </c>
      <c r="C1453" t="inlineStr">
        <is>
          <t>AKÜ,L2,DK,60AH,IGYASMF,HUGELACTION,İÇPYS</t>
        </is>
      </c>
      <c r="D1453" s="19" t="inlineStr">
        <is>
          <t>1</t>
        </is>
      </c>
      <c r="E1453" t="n">
        <v>0</v>
      </c>
      <c r="I1453" s="19" t="inlineStr">
        <is>
          <t>2</t>
        </is>
      </c>
      <c r="J1453" t="inlineStr">
        <is>
          <t>2026-08-08</t>
        </is>
      </c>
      <c r="L1453" s="19" t="inlineStr">
        <is>
          <t>1014563</t>
        </is>
      </c>
      <c r="M1453" t="inlineStr">
        <is>
          <t>STATUS=IN OEM / EU PACKAGE; SOURCE_CFG=IA-ST-CFG-0227; MARKET=YURT İÇİ AFM</t>
        </is>
      </c>
      <c r="N1453" t="inlineStr">
        <is>
          <t>2026-08-10T19:29:54Z</t>
        </is>
      </c>
      <c r="O1453" t="inlineStr">
        <is>
          <t>2026-08-10T19:29:54Z</t>
        </is>
      </c>
    </row>
    <row r="1454">
      <c r="A1454" s="19" t="inlineStr">
        <is>
          <t>1453</t>
        </is>
      </c>
      <c r="B1454" s="19" t="inlineStr">
        <is>
          <t>1014564</t>
        </is>
      </c>
      <c r="C1454" t="inlineStr">
        <is>
          <t>AKÜ,L3,DK,72AH,IGYAB01,HUGELACTION,İÇPYS</t>
        </is>
      </c>
      <c r="D1454" s="19" t="inlineStr">
        <is>
          <t>1</t>
        </is>
      </c>
      <c r="E1454" t="n">
        <v>0</v>
      </c>
      <c r="I1454" s="19" t="inlineStr">
        <is>
          <t>2</t>
        </is>
      </c>
      <c r="J1454" t="inlineStr">
        <is>
          <t>2026-08-08</t>
        </is>
      </c>
      <c r="L1454" s="19" t="inlineStr">
        <is>
          <t>1014564</t>
        </is>
      </c>
      <c r="M1454" t="inlineStr">
        <is>
          <t>STATUS=IN OEM / EU PACKAGE; SOURCE_CFG=IA-ST-CFG-0182; MARKET=YURT İÇİ AFM</t>
        </is>
      </c>
      <c r="N1454" t="inlineStr">
        <is>
          <t>2026-08-10T19:29:54Z</t>
        </is>
      </c>
      <c r="O1454" t="inlineStr">
        <is>
          <t>2026-08-10T19:29:54Z</t>
        </is>
      </c>
    </row>
    <row r="1455">
      <c r="A1455" s="19" t="inlineStr">
        <is>
          <t>1454</t>
        </is>
      </c>
      <c r="B1455" s="19" t="inlineStr">
        <is>
          <t>1014565</t>
        </is>
      </c>
      <c r="C1455" t="inlineStr">
        <is>
          <t>AKÜ,L3,DK,72AH,IGYAB13,HUGELACTION,İÇPYS</t>
        </is>
      </c>
      <c r="D1455" s="19" t="inlineStr">
        <is>
          <t>1</t>
        </is>
      </c>
      <c r="E1455" t="n">
        <v>0</v>
      </c>
      <c r="I1455" s="19" t="inlineStr">
        <is>
          <t>2</t>
        </is>
      </c>
      <c r="J1455" t="inlineStr">
        <is>
          <t>2026-08-08</t>
        </is>
      </c>
      <c r="L1455" s="19" t="inlineStr">
        <is>
          <t>1014565</t>
        </is>
      </c>
      <c r="M1455" t="inlineStr">
        <is>
          <t>STATUS=IN OEM / EU PACKAGE; SOURCE_CFG=IA-ST-CFG-0182; MARKET=YURT İÇİ AFM</t>
        </is>
      </c>
      <c r="N1455" t="inlineStr">
        <is>
          <t>2026-08-10T19:29:54Z</t>
        </is>
      </c>
      <c r="O1455" t="inlineStr">
        <is>
          <t>2026-08-10T19:29:54Z</t>
        </is>
      </c>
    </row>
    <row r="1456">
      <c r="A1456" s="19" t="inlineStr">
        <is>
          <t>1455</t>
        </is>
      </c>
      <c r="B1456" s="19" t="inlineStr">
        <is>
          <t>1014566</t>
        </is>
      </c>
      <c r="C1456" t="inlineStr">
        <is>
          <t>AKÜ,L5,DK,92AH,IGYASMF,HUGELACTION,İÇPYS</t>
        </is>
      </c>
      <c r="D1456" s="19" t="inlineStr">
        <is>
          <t>1</t>
        </is>
      </c>
      <c r="E1456" t="n">
        <v>0</v>
      </c>
      <c r="I1456" s="19" t="inlineStr">
        <is>
          <t>2</t>
        </is>
      </c>
      <c r="J1456" t="inlineStr">
        <is>
          <t>2026-08-08</t>
        </is>
      </c>
      <c r="L1456" s="19" t="inlineStr">
        <is>
          <t>1014566</t>
        </is>
      </c>
      <c r="M1456" t="inlineStr">
        <is>
          <t>STATUS=IN OEM / EU PACKAGE; SOURCE_CFG=IA-ST-CFG-0098; MARKET=YURT İÇİ AFM</t>
        </is>
      </c>
      <c r="N1456" t="inlineStr">
        <is>
          <t>2026-08-10T19:29:54Z</t>
        </is>
      </c>
      <c r="O1456" t="inlineStr">
        <is>
          <t>2026-08-10T19:29:54Z</t>
        </is>
      </c>
    </row>
    <row r="1457">
      <c r="A1457" s="19" t="inlineStr">
        <is>
          <t>1456</t>
        </is>
      </c>
      <c r="B1457" s="19" t="inlineStr">
        <is>
          <t>1014567</t>
        </is>
      </c>
      <c r="C1457" t="inlineStr">
        <is>
          <t>AKÜ,LB1,DK50AH,IGYASMF,HUGELACTION,İÇPYS</t>
        </is>
      </c>
      <c r="D1457" s="19" t="inlineStr">
        <is>
          <t>1</t>
        </is>
      </c>
      <c r="E1457" t="n">
        <v>0</v>
      </c>
      <c r="I1457" s="19" t="inlineStr">
        <is>
          <t>2</t>
        </is>
      </c>
      <c r="J1457" t="inlineStr">
        <is>
          <t>2026-08-08</t>
        </is>
      </c>
      <c r="L1457" s="19" t="inlineStr">
        <is>
          <t>1014567</t>
        </is>
      </c>
      <c r="M1457" t="inlineStr">
        <is>
          <t>STATUS=IN OEM / EU PACKAGE; SOURCE_CFG=IA-ST-CFG-0251; MARKET=YURT İÇİ AFM</t>
        </is>
      </c>
      <c r="N1457" t="inlineStr">
        <is>
          <t>2026-08-10T19:29:54Z</t>
        </is>
      </c>
      <c r="O1457" t="inlineStr">
        <is>
          <t>2026-08-10T19:29:54Z</t>
        </is>
      </c>
    </row>
    <row r="1458">
      <c r="A1458" s="19" t="inlineStr">
        <is>
          <t>1457</t>
        </is>
      </c>
      <c r="B1458" s="19" t="inlineStr">
        <is>
          <t>1014569</t>
        </is>
      </c>
      <c r="C1458" t="inlineStr">
        <is>
          <t>AKÜ,LB3,DK66AH,IGYASMF,HUGELACTION,İÇPYS</t>
        </is>
      </c>
      <c r="D1458" s="19" t="inlineStr">
        <is>
          <t>1</t>
        </is>
      </c>
      <c r="E1458" t="n">
        <v>0</v>
      </c>
      <c r="I1458" s="19" t="inlineStr">
        <is>
          <t>2</t>
        </is>
      </c>
      <c r="J1458" t="inlineStr">
        <is>
          <t>2026-08-08</t>
        </is>
      </c>
      <c r="L1458" s="19" t="inlineStr">
        <is>
          <t>1014569</t>
        </is>
      </c>
      <c r="M1458" t="inlineStr">
        <is>
          <t>STATUS=IN OEM / EU PACKAGE; SOURCE_CFG=IA-ST-CFG-0181; MARKET=YURT İÇİ AFM</t>
        </is>
      </c>
      <c r="N1458" t="inlineStr">
        <is>
          <t>2026-08-10T19:29:54Z</t>
        </is>
      </c>
      <c r="O1458" t="inlineStr">
        <is>
          <t>2026-08-10T19:29:54Z</t>
        </is>
      </c>
    </row>
    <row r="1459">
      <c r="A1459" s="19" t="inlineStr">
        <is>
          <t>1458</t>
        </is>
      </c>
      <c r="B1459" s="19" t="inlineStr">
        <is>
          <t>1014572</t>
        </is>
      </c>
      <c r="C1459" t="inlineStr">
        <is>
          <t>AKÜ,D23,DK60AH,IGYASMF,HUGELACTION,İÇPYS</t>
        </is>
      </c>
      <c r="D1459" s="19" t="inlineStr">
        <is>
          <t>1</t>
        </is>
      </c>
      <c r="E1459" t="n">
        <v>0</v>
      </c>
      <c r="I1459" s="19" t="inlineStr">
        <is>
          <t>2</t>
        </is>
      </c>
      <c r="J1459" t="inlineStr">
        <is>
          <t>2026-08-08</t>
        </is>
      </c>
      <c r="L1459" s="19" t="inlineStr">
        <is>
          <t>1014572</t>
        </is>
      </c>
      <c r="M1459" t="inlineStr">
        <is>
          <t>STATUS=IN OEM / EU PACKAGE; SOURCE_CFG=IA-ST-CFG-0224; MARKET=YURT İÇİ AFM</t>
        </is>
      </c>
      <c r="N1459" t="inlineStr">
        <is>
          <t>2026-08-10T19:29:54Z</t>
        </is>
      </c>
      <c r="O1459" t="inlineStr">
        <is>
          <t>2026-08-10T19:29:54Z</t>
        </is>
      </c>
    </row>
    <row r="1460">
      <c r="A1460" s="19" t="inlineStr">
        <is>
          <t>1459</t>
        </is>
      </c>
      <c r="B1460" s="19" t="inlineStr">
        <is>
          <t>1014573</t>
        </is>
      </c>
      <c r="C1460" t="inlineStr">
        <is>
          <t>AKÜ,C-FLAT,DK,225AH,HUGEL ACTION,İÇ PYS</t>
        </is>
      </c>
      <c r="D1460" s="19" t="inlineStr">
        <is>
          <t>1</t>
        </is>
      </c>
      <c r="E1460" t="n">
        <v>0</v>
      </c>
      <c r="I1460" s="19" t="inlineStr">
        <is>
          <t>2</t>
        </is>
      </c>
      <c r="J1460" t="inlineStr">
        <is>
          <t>2026-08-08</t>
        </is>
      </c>
      <c r="L1460" s="19" t="inlineStr">
        <is>
          <t>1014573</t>
        </is>
      </c>
      <c r="M1460" t="inlineStr">
        <is>
          <t>STATUS=IN OEM / EU PACKAGE; SOURCE_CFG=IA-ST-CFG-0024; MARKET=YURT İÇİ AFM</t>
        </is>
      </c>
      <c r="N1460" t="inlineStr">
        <is>
          <t>2026-08-10T19:29:54Z</t>
        </is>
      </c>
      <c r="O1460" t="inlineStr">
        <is>
          <t>2026-08-10T19:29:54Z</t>
        </is>
      </c>
    </row>
    <row r="1461">
      <c r="A1461" s="19" t="inlineStr">
        <is>
          <t>1460</t>
        </is>
      </c>
      <c r="B1461" s="19" t="inlineStr">
        <is>
          <t>1014574</t>
        </is>
      </c>
      <c r="C1461" t="inlineStr">
        <is>
          <t>AKÜ,L2,DK,60AH,IGYA SMF,AUTOPRO,İÇ PYS</t>
        </is>
      </c>
      <c r="D1461" s="19" t="inlineStr">
        <is>
          <t>1</t>
        </is>
      </c>
      <c r="E1461" t="n">
        <v>0</v>
      </c>
      <c r="I1461" s="19" t="inlineStr">
        <is>
          <t>2</t>
        </is>
      </c>
      <c r="J1461" t="inlineStr">
        <is>
          <t>2026-08-08</t>
        </is>
      </c>
      <c r="L1461" s="19" t="inlineStr">
        <is>
          <t>1014574</t>
        </is>
      </c>
      <c r="M1461" t="inlineStr">
        <is>
          <t>STATUS=IN OEM / EU PACKAGE; SOURCE_CFG=IA-ST-CFG-0227; MARKET=YURT İÇİ AFM</t>
        </is>
      </c>
      <c r="N1461" t="inlineStr">
        <is>
          <t>2026-08-10T19:29:54Z</t>
        </is>
      </c>
      <c r="O1461" t="inlineStr">
        <is>
          <t>2026-08-10T19:29:54Z</t>
        </is>
      </c>
    </row>
    <row r="1462">
      <c r="A1462" s="19" t="inlineStr">
        <is>
          <t>1461</t>
        </is>
      </c>
      <c r="B1462" s="19" t="inlineStr">
        <is>
          <t>1014575</t>
        </is>
      </c>
      <c r="C1462" t="inlineStr">
        <is>
          <t>AKÜ,L3,DK,72AH,IGYA B01,AUTOPRO,İÇ PYS</t>
        </is>
      </c>
      <c r="D1462" s="19" t="inlineStr">
        <is>
          <t>1</t>
        </is>
      </c>
      <c r="E1462" t="n">
        <v>0</v>
      </c>
      <c r="I1462" s="19" t="inlineStr">
        <is>
          <t>2</t>
        </is>
      </c>
      <c r="J1462" t="inlineStr">
        <is>
          <t>2026-08-08</t>
        </is>
      </c>
      <c r="L1462" s="19" t="inlineStr">
        <is>
          <t>1014575</t>
        </is>
      </c>
      <c r="M1462" t="inlineStr">
        <is>
          <t>STATUS=IN OEM / EU PACKAGE; SOURCE_CFG=IA-ST-CFG-0182; MARKET=YURT İÇİ AFM</t>
        </is>
      </c>
      <c r="N1462" t="inlineStr">
        <is>
          <t>2026-08-10T19:29:54Z</t>
        </is>
      </c>
      <c r="O1462" t="inlineStr">
        <is>
          <t>2026-08-10T19:29:54Z</t>
        </is>
      </c>
    </row>
    <row r="1463">
      <c r="A1463" s="19" t="inlineStr">
        <is>
          <t>1462</t>
        </is>
      </c>
      <c r="B1463" s="19" t="inlineStr">
        <is>
          <t>1014576</t>
        </is>
      </c>
      <c r="C1463" t="inlineStr">
        <is>
          <t>AKÜ,L3,DK,72AH,IGYA B13,AUTOPRO,İÇ PYS</t>
        </is>
      </c>
      <c r="D1463" s="19" t="inlineStr">
        <is>
          <t>1</t>
        </is>
      </c>
      <c r="E1463" t="n">
        <v>0</v>
      </c>
      <c r="I1463" s="19" t="inlineStr">
        <is>
          <t>2</t>
        </is>
      </c>
      <c r="J1463" t="inlineStr">
        <is>
          <t>2026-08-08</t>
        </is>
      </c>
      <c r="L1463" s="19" t="inlineStr">
        <is>
          <t>1014576</t>
        </is>
      </c>
      <c r="M1463" t="inlineStr">
        <is>
          <t>STATUS=IN OEM / EU PACKAGE; SOURCE_CFG=IA-ST-CFG-0182; MARKET=YURT İÇİ AFM</t>
        </is>
      </c>
      <c r="N1463" t="inlineStr">
        <is>
          <t>2026-08-10T19:29:54Z</t>
        </is>
      </c>
      <c r="O1463" t="inlineStr">
        <is>
          <t>2026-08-10T19:29:54Z</t>
        </is>
      </c>
    </row>
    <row r="1464">
      <c r="A1464" s="19" t="inlineStr">
        <is>
          <t>1463</t>
        </is>
      </c>
      <c r="B1464" s="19" t="inlineStr">
        <is>
          <t>1014577</t>
        </is>
      </c>
      <c r="C1464" t="inlineStr">
        <is>
          <t>AKÜ,L5,DK,92AH,IGYA SMF,AUTOPRO,İÇ PYS</t>
        </is>
      </c>
      <c r="D1464" s="19" t="inlineStr">
        <is>
          <t>1</t>
        </is>
      </c>
      <c r="E1464" t="n">
        <v>0</v>
      </c>
      <c r="I1464" s="19" t="inlineStr">
        <is>
          <t>2</t>
        </is>
      </c>
      <c r="J1464" t="inlineStr">
        <is>
          <t>2026-08-08</t>
        </is>
      </c>
      <c r="L1464" s="19" t="inlineStr">
        <is>
          <t>1014577</t>
        </is>
      </c>
      <c r="M1464" t="inlineStr">
        <is>
          <t>STATUS=IN OEM / EU PACKAGE; SOURCE_CFG=IA-ST-CFG-0098; MARKET=YURT İÇİ AFM</t>
        </is>
      </c>
      <c r="N1464" t="inlineStr">
        <is>
          <t>2026-08-10T19:29:54Z</t>
        </is>
      </c>
      <c r="O1464" t="inlineStr">
        <is>
          <t>2026-08-10T19:29:54Z</t>
        </is>
      </c>
    </row>
    <row r="1465">
      <c r="A1465" s="19" t="inlineStr">
        <is>
          <t>1464</t>
        </is>
      </c>
      <c r="B1465" s="19" t="inlineStr">
        <is>
          <t>1014578</t>
        </is>
      </c>
      <c r="C1465" t="inlineStr">
        <is>
          <t>AKÜ,LB3,DK,66AH,IGYA SMF,AUTOPRO,İÇ PYS</t>
        </is>
      </c>
      <c r="D1465" s="19" t="inlineStr">
        <is>
          <t>1</t>
        </is>
      </c>
      <c r="E1465" t="n">
        <v>0</v>
      </c>
      <c r="I1465" s="19" t="inlineStr">
        <is>
          <t>2</t>
        </is>
      </c>
      <c r="J1465" t="inlineStr">
        <is>
          <t>2026-08-08</t>
        </is>
      </c>
      <c r="L1465" s="19" t="inlineStr">
        <is>
          <t>1014578</t>
        </is>
      </c>
      <c r="M1465" t="inlineStr">
        <is>
          <t>STATUS=IN OEM / EU PACKAGE; SOURCE_CFG=IA-ST-CFG-0181; MARKET=YURT İÇİ AFM</t>
        </is>
      </c>
      <c r="N1465" t="inlineStr">
        <is>
          <t>2026-08-10T19:29:54Z</t>
        </is>
      </c>
      <c r="O1465" t="inlineStr">
        <is>
          <t>2026-08-10T19:29:54Z</t>
        </is>
      </c>
    </row>
    <row r="1466">
      <c r="A1466" s="19" t="inlineStr">
        <is>
          <t>1465</t>
        </is>
      </c>
      <c r="B1466" s="19" t="inlineStr">
        <is>
          <t>1014579</t>
        </is>
      </c>
      <c r="C1466" t="inlineStr">
        <is>
          <t>AKÜ,D31,DK,90AH,IGYA SMF,AUTOPRO,İÇ PYS</t>
        </is>
      </c>
      <c r="D1466" s="19" t="inlineStr">
        <is>
          <t>1</t>
        </is>
      </c>
      <c r="E1466" t="n">
        <v>0</v>
      </c>
      <c r="I1466" s="19" t="inlineStr">
        <is>
          <t>2</t>
        </is>
      </c>
      <c r="J1466" t="inlineStr">
        <is>
          <t>2026-08-08</t>
        </is>
      </c>
      <c r="L1466" s="19" t="inlineStr">
        <is>
          <t>1014579</t>
        </is>
      </c>
      <c r="M1466" t="inlineStr">
        <is>
          <t>STATUS=IN OEM / EU PACKAGE; SOURCE_CFG=IA-ST-CFG-0145; MARKET=YURT İÇİ AFM</t>
        </is>
      </c>
      <c r="N1466" t="inlineStr">
        <is>
          <t>2026-08-10T19:29:54Z</t>
        </is>
      </c>
      <c r="O1466" t="inlineStr">
        <is>
          <t>2026-08-10T19:29:54Z</t>
        </is>
      </c>
    </row>
    <row r="1467">
      <c r="A1467" s="19" t="inlineStr">
        <is>
          <t>1466</t>
        </is>
      </c>
      <c r="B1467" s="19" t="inlineStr">
        <is>
          <t>1014580</t>
        </is>
      </c>
      <c r="C1467" t="inlineStr">
        <is>
          <t>AKÜ,A-FLAT,DK,135AH,AUTOPRO,İÇ PYS</t>
        </is>
      </c>
      <c r="D1467" s="19" t="inlineStr">
        <is>
          <t>1</t>
        </is>
      </c>
      <c r="E1467" t="n">
        <v>0</v>
      </c>
      <c r="I1467" s="19" t="inlineStr">
        <is>
          <t>2</t>
        </is>
      </c>
      <c r="J1467" t="inlineStr">
        <is>
          <t>2026-08-08</t>
        </is>
      </c>
      <c r="L1467" s="19" t="inlineStr">
        <is>
          <t>1014580</t>
        </is>
      </c>
      <c r="M1467" t="inlineStr">
        <is>
          <t>STATUS=IN OEM / EU PACKAGE; SOURCE_CFG=IA-ST-CFG-0054; MARKET=YURT İÇİ AFM</t>
        </is>
      </c>
      <c r="N1467" t="inlineStr">
        <is>
          <t>2026-08-10T19:29:54Z</t>
        </is>
      </c>
      <c r="O1467" t="inlineStr">
        <is>
          <t>2026-08-10T19:29:54Z</t>
        </is>
      </c>
    </row>
    <row r="1468">
      <c r="A1468" s="19" t="inlineStr">
        <is>
          <t>1467</t>
        </is>
      </c>
      <c r="B1468" s="19" t="inlineStr">
        <is>
          <t>1014581</t>
        </is>
      </c>
      <c r="C1468" t="inlineStr">
        <is>
          <t>AKÜ,B-FLAT,DK,180AH,AUTOPRO,İÇ PYS</t>
        </is>
      </c>
      <c r="D1468" s="19" t="inlineStr">
        <is>
          <t>1</t>
        </is>
      </c>
      <c r="E1468" t="n">
        <v>0</v>
      </c>
      <c r="I1468" s="19" t="inlineStr">
        <is>
          <t>2</t>
        </is>
      </c>
      <c r="J1468" t="inlineStr">
        <is>
          <t>2026-08-08</t>
        </is>
      </c>
      <c r="L1468" s="19" t="inlineStr">
        <is>
          <t>1014581</t>
        </is>
      </c>
      <c r="M1468" t="inlineStr">
        <is>
          <t>STATUS=IN OEM / EU PACKAGE; SOURCE_CFG=IA-ST-CFG-0055; MARKET=YURT İÇİ AFM</t>
        </is>
      </c>
      <c r="N1468" t="inlineStr">
        <is>
          <t>2026-08-10T19:29:54Z</t>
        </is>
      </c>
      <c r="O1468" t="inlineStr">
        <is>
          <t>2026-08-10T19:29:54Z</t>
        </is>
      </c>
    </row>
    <row r="1469">
      <c r="A1469" s="19" t="inlineStr">
        <is>
          <t>1468</t>
        </is>
      </c>
      <c r="B1469" s="19" t="inlineStr">
        <is>
          <t>1014582</t>
        </is>
      </c>
      <c r="C1469" t="inlineStr">
        <is>
          <t>AKÜ,C-FLAT,DK,225AH,AUTOPRO,İÇ PYS</t>
        </is>
      </c>
      <c r="D1469" s="19" t="inlineStr">
        <is>
          <t>1</t>
        </is>
      </c>
      <c r="E1469" t="n">
        <v>0</v>
      </c>
      <c r="I1469" s="19" t="inlineStr">
        <is>
          <t>2</t>
        </is>
      </c>
      <c r="J1469" t="inlineStr">
        <is>
          <t>2026-08-08</t>
        </is>
      </c>
      <c r="L1469" s="19" t="inlineStr">
        <is>
          <t>1014582</t>
        </is>
      </c>
      <c r="M1469" t="inlineStr">
        <is>
          <t>STATUS=IN OEM / EU PACKAGE; SOURCE_CFG=IA-ST-CFG-0024; MARKET=YURT İÇİ AFM</t>
        </is>
      </c>
      <c r="N1469" t="inlineStr">
        <is>
          <t>2026-08-10T19:29:54Z</t>
        </is>
      </c>
      <c r="O1469" t="inlineStr">
        <is>
          <t>2026-08-10T19:29:54Z</t>
        </is>
      </c>
    </row>
    <row r="1470">
      <c r="A1470" s="19" t="inlineStr">
        <is>
          <t>1469</t>
        </is>
      </c>
      <c r="B1470" s="19" t="inlineStr">
        <is>
          <t>1014583</t>
        </is>
      </c>
      <c r="C1470" t="inlineStr">
        <is>
          <t>AKÜ,TRACTORL,DK,105AH,AUTOPRO,İÇ PYS</t>
        </is>
      </c>
      <c r="D1470" s="19" t="inlineStr">
        <is>
          <t>1</t>
        </is>
      </c>
      <c r="E1470" t="n">
        <v>0</v>
      </c>
      <c r="I1470" s="19" t="inlineStr">
        <is>
          <t>2</t>
        </is>
      </c>
      <c r="J1470" t="inlineStr">
        <is>
          <t>2026-08-08</t>
        </is>
      </c>
      <c r="L1470" s="19" t="inlineStr">
        <is>
          <t>1014583</t>
        </is>
      </c>
      <c r="M1470" t="inlineStr">
        <is>
          <t>STATUS=IN OEM / EU PACKAGE; SOURCE_CFG=IA-ST-CFG-0097; MARKET=YURT İÇİ AFM</t>
        </is>
      </c>
      <c r="N1470" t="inlineStr">
        <is>
          <t>2026-08-10T19:29:54Z</t>
        </is>
      </c>
      <c r="O1470" t="inlineStr">
        <is>
          <t>2026-08-10T19:29:54Z</t>
        </is>
      </c>
    </row>
    <row r="1471">
      <c r="A1471" s="19" t="inlineStr">
        <is>
          <t>1470</t>
        </is>
      </c>
      <c r="B1471" s="19" t="inlineStr">
        <is>
          <t>1014584</t>
        </is>
      </c>
      <c r="C1471" t="inlineStr">
        <is>
          <t>AKÜ,L2,DK,60AH,IGYA SMF,ENERGYMAX,İÇ PYS</t>
        </is>
      </c>
      <c r="D1471" s="19" t="inlineStr">
        <is>
          <t>1</t>
        </is>
      </c>
      <c r="E1471" t="n">
        <v>0</v>
      </c>
      <c r="I1471" s="19" t="inlineStr">
        <is>
          <t>2</t>
        </is>
      </c>
      <c r="J1471" t="inlineStr">
        <is>
          <t>2026-08-08</t>
        </is>
      </c>
      <c r="L1471" s="19" t="inlineStr">
        <is>
          <t>1014584</t>
        </is>
      </c>
      <c r="M1471" t="inlineStr">
        <is>
          <t>STATUS=IN OEM / EU PACKAGE; SOURCE_CFG=IA-ST-CFG-0227; MARKET=YURT İÇİ AFM</t>
        </is>
      </c>
      <c r="N1471" t="inlineStr">
        <is>
          <t>2026-08-10T19:29:54Z</t>
        </is>
      </c>
      <c r="O1471" t="inlineStr">
        <is>
          <t>2026-08-10T19:29:54Z</t>
        </is>
      </c>
    </row>
    <row r="1472">
      <c r="A1472" s="19" t="inlineStr">
        <is>
          <t>1471</t>
        </is>
      </c>
      <c r="B1472" s="19" t="inlineStr">
        <is>
          <t>1014585</t>
        </is>
      </c>
      <c r="C1472" t="inlineStr">
        <is>
          <t>AKÜ,L3,DK,72AH,IGYA B01,ENERGYMAX,İÇ PYS</t>
        </is>
      </c>
      <c r="D1472" s="19" t="inlineStr">
        <is>
          <t>1</t>
        </is>
      </c>
      <c r="E1472" t="n">
        <v>0</v>
      </c>
      <c r="I1472" s="19" t="inlineStr">
        <is>
          <t>2</t>
        </is>
      </c>
      <c r="J1472" t="inlineStr">
        <is>
          <t>2026-08-08</t>
        </is>
      </c>
      <c r="L1472" s="19" t="inlineStr">
        <is>
          <t>1014585</t>
        </is>
      </c>
      <c r="M1472" t="inlineStr">
        <is>
          <t>STATUS=IN OEM / EU PACKAGE; SOURCE_CFG=IA-ST-CFG-0182; MARKET=YURT İÇİ AFM</t>
        </is>
      </c>
      <c r="N1472" t="inlineStr">
        <is>
          <t>2026-08-10T19:29:54Z</t>
        </is>
      </c>
      <c r="O1472" t="inlineStr">
        <is>
          <t>2026-08-10T19:29:54Z</t>
        </is>
      </c>
    </row>
    <row r="1473">
      <c r="A1473" s="19" t="inlineStr">
        <is>
          <t>1472</t>
        </is>
      </c>
      <c r="B1473" s="19" t="inlineStr">
        <is>
          <t>1014586</t>
        </is>
      </c>
      <c r="C1473" t="inlineStr">
        <is>
          <t>AKÜ,L3,DK,72AH,IGYA B13,ENERGYMAX,İÇ PYS</t>
        </is>
      </c>
      <c r="D1473" s="19" t="inlineStr">
        <is>
          <t>1</t>
        </is>
      </c>
      <c r="E1473" t="n">
        <v>0</v>
      </c>
      <c r="I1473" s="19" t="inlineStr">
        <is>
          <t>2</t>
        </is>
      </c>
      <c r="J1473" t="inlineStr">
        <is>
          <t>2026-08-08</t>
        </is>
      </c>
      <c r="L1473" s="19" t="inlineStr">
        <is>
          <t>1014586</t>
        </is>
      </c>
      <c r="M1473" t="inlineStr">
        <is>
          <t>STATUS=IN OEM / EU PACKAGE; SOURCE_CFG=IA-ST-CFG-0182; MARKET=YURT İÇİ AFM</t>
        </is>
      </c>
      <c r="N1473" t="inlineStr">
        <is>
          <t>2026-08-10T19:29:54Z</t>
        </is>
      </c>
      <c r="O1473" t="inlineStr">
        <is>
          <t>2026-08-10T19:29:54Z</t>
        </is>
      </c>
    </row>
    <row r="1474">
      <c r="A1474" s="19" t="inlineStr">
        <is>
          <t>1473</t>
        </is>
      </c>
      <c r="B1474" s="19" t="inlineStr">
        <is>
          <t>1014587</t>
        </is>
      </c>
      <c r="C1474" t="inlineStr">
        <is>
          <t>AKÜ,L5,DK,92AH,IGYA SMF,ENERGYMAX,İÇ PYS</t>
        </is>
      </c>
      <c r="D1474" s="19" t="inlineStr">
        <is>
          <t>1</t>
        </is>
      </c>
      <c r="E1474" t="n">
        <v>0</v>
      </c>
      <c r="I1474" s="19" t="inlineStr">
        <is>
          <t>2</t>
        </is>
      </c>
      <c r="J1474" t="inlineStr">
        <is>
          <t>2026-08-08</t>
        </is>
      </c>
      <c r="L1474" s="19" t="inlineStr">
        <is>
          <t>1014587</t>
        </is>
      </c>
      <c r="M1474" t="inlineStr">
        <is>
          <t>STATUS=IN OEM / EU PACKAGE; SOURCE_CFG=IA-ST-CFG-0098; MARKET=YURT İÇİ AFM</t>
        </is>
      </c>
      <c r="N1474" t="inlineStr">
        <is>
          <t>2026-08-10T19:29:54Z</t>
        </is>
      </c>
      <c r="O1474" t="inlineStr">
        <is>
          <t>2026-08-10T19:29:54Z</t>
        </is>
      </c>
    </row>
    <row r="1475">
      <c r="A1475" s="19" t="inlineStr">
        <is>
          <t>1474</t>
        </is>
      </c>
      <c r="B1475" s="19" t="inlineStr">
        <is>
          <t>1014588</t>
        </is>
      </c>
      <c r="C1475" t="inlineStr">
        <is>
          <t>AKÜ,LB3,DK,66AH,IGYASMF,ENERGYMAX,İÇ PYS</t>
        </is>
      </c>
      <c r="D1475" s="19" t="inlineStr">
        <is>
          <t>1</t>
        </is>
      </c>
      <c r="E1475" t="n">
        <v>0</v>
      </c>
      <c r="I1475" s="19" t="inlineStr">
        <is>
          <t>2</t>
        </is>
      </c>
      <c r="J1475" t="inlineStr">
        <is>
          <t>2026-08-08</t>
        </is>
      </c>
      <c r="L1475" s="19" t="inlineStr">
        <is>
          <t>1014588</t>
        </is>
      </c>
      <c r="M1475" t="inlineStr">
        <is>
          <t>STATUS=IN OEM / EU PACKAGE; SOURCE_CFG=IA-ST-CFG-0181; MARKET=YURT İÇİ AFM</t>
        </is>
      </c>
      <c r="N1475" t="inlineStr">
        <is>
          <t>2026-08-10T19:29:54Z</t>
        </is>
      </c>
      <c r="O1475" t="inlineStr">
        <is>
          <t>2026-08-10T19:29:54Z</t>
        </is>
      </c>
    </row>
    <row r="1476">
      <c r="A1476" s="19" t="inlineStr">
        <is>
          <t>1475</t>
        </is>
      </c>
      <c r="B1476" s="19" t="inlineStr">
        <is>
          <t>1014589</t>
        </is>
      </c>
      <c r="C1476" t="inlineStr">
        <is>
          <t>AKÜ,D31,DK,90AH,IGYASMF,ENERGYMAX,İÇ PYS</t>
        </is>
      </c>
      <c r="D1476" s="19" t="inlineStr">
        <is>
          <t>1</t>
        </is>
      </c>
      <c r="E1476" t="n">
        <v>0</v>
      </c>
      <c r="I1476" s="19" t="inlineStr">
        <is>
          <t>2</t>
        </is>
      </c>
      <c r="J1476" t="inlineStr">
        <is>
          <t>2026-08-08</t>
        </is>
      </c>
      <c r="L1476" s="19" t="inlineStr">
        <is>
          <t>1014589</t>
        </is>
      </c>
      <c r="M1476" t="inlineStr">
        <is>
          <t>STATUS=IN OEM / EU PACKAGE; SOURCE_CFG=IA-ST-CFG-0145; MARKET=YURT İÇİ AFM</t>
        </is>
      </c>
      <c r="N1476" t="inlineStr">
        <is>
          <t>2026-08-10T19:29:54Z</t>
        </is>
      </c>
      <c r="O1476" t="inlineStr">
        <is>
          <t>2026-08-10T19:29:54Z</t>
        </is>
      </c>
    </row>
    <row r="1477">
      <c r="A1477" s="19" t="inlineStr">
        <is>
          <t>1476</t>
        </is>
      </c>
      <c r="B1477" s="19" t="inlineStr">
        <is>
          <t>1014590</t>
        </is>
      </c>
      <c r="C1477" t="inlineStr">
        <is>
          <t>AKÜ,A-FLAT,DK,135AH,ENERGYMAX,İÇ PYS</t>
        </is>
      </c>
      <c r="D1477" s="19" t="inlineStr">
        <is>
          <t>1</t>
        </is>
      </c>
      <c r="E1477" t="n">
        <v>0</v>
      </c>
      <c r="I1477" s="19" t="inlineStr">
        <is>
          <t>2</t>
        </is>
      </c>
      <c r="J1477" t="inlineStr">
        <is>
          <t>2026-08-08</t>
        </is>
      </c>
      <c r="L1477" s="19" t="inlineStr">
        <is>
          <t>1014590</t>
        </is>
      </c>
      <c r="M1477" t="inlineStr">
        <is>
          <t>STATUS=IN OEM / EU PACKAGE; SOURCE_CFG=IA-ST-CFG-0054; MARKET=YURT İÇİ AFM</t>
        </is>
      </c>
      <c r="N1477" t="inlineStr">
        <is>
          <t>2026-08-10T19:29:54Z</t>
        </is>
      </c>
      <c r="O1477" t="inlineStr">
        <is>
          <t>2026-08-10T19:29:54Z</t>
        </is>
      </c>
    </row>
    <row r="1478">
      <c r="A1478" s="19" t="inlineStr">
        <is>
          <t>1477</t>
        </is>
      </c>
      <c r="B1478" s="19" t="inlineStr">
        <is>
          <t>1014591</t>
        </is>
      </c>
      <c r="C1478" t="inlineStr">
        <is>
          <t>AKÜ,B-FLAT,DK,180AH,ENERGYMAX,İÇ PYS</t>
        </is>
      </c>
      <c r="D1478" s="19" t="inlineStr">
        <is>
          <t>1</t>
        </is>
      </c>
      <c r="E1478" t="n">
        <v>0</v>
      </c>
      <c r="I1478" s="19" t="inlineStr">
        <is>
          <t>2</t>
        </is>
      </c>
      <c r="J1478" t="inlineStr">
        <is>
          <t>2026-08-08</t>
        </is>
      </c>
      <c r="L1478" s="19" t="inlineStr">
        <is>
          <t>1014591</t>
        </is>
      </c>
      <c r="M1478" t="inlineStr">
        <is>
          <t>STATUS=IN OEM / EU PACKAGE; SOURCE_CFG=IA-ST-CFG-0055; MARKET=YURT İÇİ AFM</t>
        </is>
      </c>
      <c r="N1478" t="inlineStr">
        <is>
          <t>2026-08-10T19:29:54Z</t>
        </is>
      </c>
      <c r="O1478" t="inlineStr">
        <is>
          <t>2026-08-10T19:29:54Z</t>
        </is>
      </c>
    </row>
    <row r="1479">
      <c r="A1479" s="19" t="inlineStr">
        <is>
          <t>1478</t>
        </is>
      </c>
      <c r="B1479" s="19" t="inlineStr">
        <is>
          <t>1014592</t>
        </is>
      </c>
      <c r="C1479" t="inlineStr">
        <is>
          <t>AKÜ,C-FLAT,DK,225AH,ENERGYMAX,İÇ PYS</t>
        </is>
      </c>
      <c r="D1479" s="19" t="inlineStr">
        <is>
          <t>1</t>
        </is>
      </c>
      <c r="E1479" t="n">
        <v>0</v>
      </c>
      <c r="I1479" s="19" t="inlineStr">
        <is>
          <t>2</t>
        </is>
      </c>
      <c r="J1479" t="inlineStr">
        <is>
          <t>2026-08-08</t>
        </is>
      </c>
      <c r="L1479" s="19" t="inlineStr">
        <is>
          <t>1014592</t>
        </is>
      </c>
      <c r="M1479" t="inlineStr">
        <is>
          <t>STATUS=IN OEM / EU PACKAGE; SOURCE_CFG=IA-ST-CFG-0024; MARKET=YURT İÇİ AFM</t>
        </is>
      </c>
      <c r="N1479" t="inlineStr">
        <is>
          <t>2026-08-10T19:29:54Z</t>
        </is>
      </c>
      <c r="O1479" t="inlineStr">
        <is>
          <t>2026-08-10T19:29:54Z</t>
        </is>
      </c>
    </row>
    <row r="1480">
      <c r="A1480" s="19" t="inlineStr">
        <is>
          <t>1479</t>
        </is>
      </c>
      <c r="B1480" s="19" t="inlineStr">
        <is>
          <t>1014593</t>
        </is>
      </c>
      <c r="C1480" t="inlineStr">
        <is>
          <t>AKÜ,TRACTORL,DK,105AH,ENERGYMAX,İÇ PYS</t>
        </is>
      </c>
      <c r="D1480" s="19" t="inlineStr">
        <is>
          <t>1</t>
        </is>
      </c>
      <c r="E1480" t="n">
        <v>0</v>
      </c>
      <c r="I1480" s="19" t="inlineStr">
        <is>
          <t>2</t>
        </is>
      </c>
      <c r="J1480" t="inlineStr">
        <is>
          <t>2026-08-08</t>
        </is>
      </c>
      <c r="L1480" s="19" t="inlineStr">
        <is>
          <t>1014593</t>
        </is>
      </c>
      <c r="M1480" t="inlineStr">
        <is>
          <t>STATUS=IN OEM / EU PACKAGE; SOURCE_CFG=IA-ST-CFG-0097; MARKET=YURT İÇİ AFM</t>
        </is>
      </c>
      <c r="N1480" t="inlineStr">
        <is>
          <t>2026-08-10T19:29:54Z</t>
        </is>
      </c>
      <c r="O1480" t="inlineStr">
        <is>
          <t>2026-08-10T19:29:54Z</t>
        </is>
      </c>
    </row>
    <row r="1481">
      <c r="A1481" s="19" t="inlineStr">
        <is>
          <t>1480</t>
        </is>
      </c>
      <c r="B1481" s="19" t="inlineStr">
        <is>
          <t>1014595</t>
        </is>
      </c>
      <c r="C1481" t="inlineStr">
        <is>
          <t>AKÜ,L3,DK,75AH,IGYA,SUNTECH,TÜRKMENİSTAN</t>
        </is>
      </c>
      <c r="D1481" s="19" t="inlineStr">
        <is>
          <t>1</t>
        </is>
      </c>
      <c r="E1481" t="n">
        <v>0</v>
      </c>
      <c r="I1481" s="19" t="inlineStr">
        <is>
          <t>2</t>
        </is>
      </c>
      <c r="J1481" t="inlineStr">
        <is>
          <t>2026-08-08</t>
        </is>
      </c>
      <c r="L1481" s="19" t="inlineStr">
        <is>
          <t>1014595</t>
        </is>
      </c>
      <c r="M1481" t="inlineStr">
        <is>
          <t>STATUS=IN OEM / EU PACKAGE; SOURCE_CFG=IA-ST-CFG-0179; MARKET=TÜRKMENİSTAN</t>
        </is>
      </c>
      <c r="N1481" t="inlineStr">
        <is>
          <t>2026-08-10T19:29:54Z</t>
        </is>
      </c>
      <c r="O1481" t="inlineStr">
        <is>
          <t>2026-08-10T19:29:54Z</t>
        </is>
      </c>
    </row>
    <row r="1482">
      <c r="A1482" s="19" t="inlineStr">
        <is>
          <t>1481</t>
        </is>
      </c>
      <c r="B1482" s="19" t="inlineStr">
        <is>
          <t>1014596</t>
        </is>
      </c>
      <c r="C1482" t="inlineStr">
        <is>
          <t>AKÜ,D26,DK72AH,IGYASMF,HUGELACTION,İÇPYS</t>
        </is>
      </c>
      <c r="D1482" s="19" t="inlineStr">
        <is>
          <t>1</t>
        </is>
      </c>
      <c r="E1482" t="n">
        <v>0</v>
      </c>
      <c r="I1482" s="19" t="inlineStr">
        <is>
          <t>2</t>
        </is>
      </c>
      <c r="J1482" t="inlineStr">
        <is>
          <t>2026-08-08</t>
        </is>
      </c>
      <c r="L1482" s="19" t="inlineStr">
        <is>
          <t>1014596</t>
        </is>
      </c>
      <c r="M1482" t="inlineStr">
        <is>
          <t>STATUS=IN OEM / EU PACKAGE; SOURCE_CFG=IA-ST-CFG-0176; MARKET=YURT İÇİ AFM</t>
        </is>
      </c>
      <c r="N1482" t="inlineStr">
        <is>
          <t>2026-08-10T19:29:54Z</t>
        </is>
      </c>
      <c r="O1482" t="inlineStr">
        <is>
          <t>2026-08-10T19:29:54Z</t>
        </is>
      </c>
    </row>
    <row r="1483">
      <c r="A1483" s="19" t="inlineStr">
        <is>
          <t>1482</t>
        </is>
      </c>
      <c r="B1483" s="19" t="inlineStr">
        <is>
          <t>1014597</t>
        </is>
      </c>
      <c r="C1483" t="inlineStr">
        <is>
          <t>AKÜ,D23,DK,60AH,IGYASMF,ZITEX BATTERY</t>
        </is>
      </c>
      <c r="D1483" s="19" t="inlineStr">
        <is>
          <t>1</t>
        </is>
      </c>
      <c r="E1483" t="n">
        <v>0</v>
      </c>
      <c r="I1483" s="19" t="inlineStr">
        <is>
          <t>2</t>
        </is>
      </c>
      <c r="J1483" t="inlineStr">
        <is>
          <t>2026-08-08</t>
        </is>
      </c>
      <c r="L1483" s="19" t="inlineStr">
        <is>
          <t>1014597</t>
        </is>
      </c>
      <c r="M1483" t="inlineStr">
        <is>
          <t>STATUS=IN OEM / EU PACKAGE; SOURCE_CFG=IA-ST-CFG-0219; MARKET=RAYA ENERGY INC. KANADA</t>
        </is>
      </c>
      <c r="N1483" t="inlineStr">
        <is>
          <t>2026-08-10T19:29:54Z</t>
        </is>
      </c>
      <c r="O1483" t="inlineStr">
        <is>
          <t>2026-08-10T19:29:54Z</t>
        </is>
      </c>
    </row>
    <row r="1484">
      <c r="A1484" s="19" t="inlineStr">
        <is>
          <t>1483</t>
        </is>
      </c>
      <c r="B1484" s="19" t="inlineStr">
        <is>
          <t>1014598</t>
        </is>
      </c>
      <c r="C1484" t="inlineStr">
        <is>
          <t>AKÜ,D23,TK,60AH,IGYASMF,ZITEX BATTERY</t>
        </is>
      </c>
      <c r="D1484" s="19" t="inlineStr">
        <is>
          <t>1</t>
        </is>
      </c>
      <c r="E1484" t="n">
        <v>0</v>
      </c>
      <c r="I1484" s="19" t="inlineStr">
        <is>
          <t>2</t>
        </is>
      </c>
      <c r="J1484" t="inlineStr">
        <is>
          <t>2026-08-08</t>
        </is>
      </c>
      <c r="L1484" s="19" t="inlineStr">
        <is>
          <t>1014598</t>
        </is>
      </c>
      <c r="M1484" t="inlineStr">
        <is>
          <t>STATUS=IN OEM / EU PACKAGE; SOURCE_CFG=IA-ST-CFG-0219; MARKET=RAYA ENERGY INC. KANADA</t>
        </is>
      </c>
      <c r="N1484" t="inlineStr">
        <is>
          <t>2026-08-10T19:29:54Z</t>
        </is>
      </c>
      <c r="O1484" t="inlineStr">
        <is>
          <t>2026-08-10T19:29:54Z</t>
        </is>
      </c>
    </row>
    <row r="1485">
      <c r="A1485" s="19" t="inlineStr">
        <is>
          <t>1484</t>
        </is>
      </c>
      <c r="B1485" s="19" t="inlineStr">
        <is>
          <t>1014600</t>
        </is>
      </c>
      <c r="C1485" t="inlineStr">
        <is>
          <t>AKÜ,D26,DK,72AH,IGYASMF,ZITEX BATTERY</t>
        </is>
      </c>
      <c r="D1485" s="19" t="inlineStr">
        <is>
          <t>1</t>
        </is>
      </c>
      <c r="E1485" t="n">
        <v>0</v>
      </c>
      <c r="I1485" s="19" t="inlineStr">
        <is>
          <t>2</t>
        </is>
      </c>
      <c r="J1485" t="inlineStr">
        <is>
          <t>2026-08-08</t>
        </is>
      </c>
      <c r="L1485" s="19" t="inlineStr">
        <is>
          <t>1014600</t>
        </is>
      </c>
      <c r="M1485" t="inlineStr">
        <is>
          <t>STATUS=IN OEM / EU PACKAGE; SOURCE_CFG=IA-ST-CFG-0175; MARKET=RAYA ENERGY INC. KANADA</t>
        </is>
      </c>
      <c r="N1485" t="inlineStr">
        <is>
          <t>2026-08-10T19:29:54Z</t>
        </is>
      </c>
      <c r="O1485" t="inlineStr">
        <is>
          <t>2026-08-10T19:29:54Z</t>
        </is>
      </c>
    </row>
    <row r="1486">
      <c r="A1486" s="19" t="inlineStr">
        <is>
          <t>1485</t>
        </is>
      </c>
      <c r="B1486" s="19" t="inlineStr">
        <is>
          <t>1014602</t>
        </is>
      </c>
      <c r="C1486" t="inlineStr">
        <is>
          <t>AKÜ LB2,DK,60AH,IGYASMF,ZITEX BATTERY</t>
        </is>
      </c>
      <c r="D1486" s="19" t="inlineStr">
        <is>
          <t>1</t>
        </is>
      </c>
      <c r="E1486" t="n">
        <v>0</v>
      </c>
      <c r="I1486" s="19" t="inlineStr">
        <is>
          <t>2</t>
        </is>
      </c>
      <c r="J1486" t="inlineStr">
        <is>
          <t>2026-08-08</t>
        </is>
      </c>
      <c r="L1486" s="19" t="inlineStr">
        <is>
          <t>1014602</t>
        </is>
      </c>
      <c r="M1486" t="inlineStr">
        <is>
          <t>STATUS=IN OEM / EU PACKAGE; SOURCE_CFG=IA-ST-CFG-0222; MARKET=RAYA ENERGY INC. KANADA</t>
        </is>
      </c>
      <c r="N1486" t="inlineStr">
        <is>
          <t>2026-08-10T19:29:54Z</t>
        </is>
      </c>
      <c r="O1486" t="inlineStr">
        <is>
          <t>2026-08-10T19:29:54Z</t>
        </is>
      </c>
    </row>
    <row r="1487">
      <c r="A1487" s="19" t="inlineStr">
        <is>
          <t>1486</t>
        </is>
      </c>
      <c r="B1487" s="19" t="inlineStr">
        <is>
          <t>1014604</t>
        </is>
      </c>
      <c r="C1487" t="inlineStr">
        <is>
          <t>AKÜ,L2,DK,60AH,IGYA SMF,ZITEX BATTERY</t>
        </is>
      </c>
      <c r="D1487" s="19" t="inlineStr">
        <is>
          <t>1</t>
        </is>
      </c>
      <c r="E1487" t="n">
        <v>0</v>
      </c>
      <c r="I1487" s="19" t="inlineStr">
        <is>
          <t>2</t>
        </is>
      </c>
      <c r="J1487" t="inlineStr">
        <is>
          <t>2026-08-08</t>
        </is>
      </c>
      <c r="L1487" s="19" t="inlineStr">
        <is>
          <t>1014604</t>
        </is>
      </c>
      <c r="M1487" t="inlineStr">
        <is>
          <t>STATUS=IN OEM / EU PACKAGE; SOURCE_CFG=IA-ST-CFG-0222; MARKET=RAYA ENERGY INC. KANADA</t>
        </is>
      </c>
      <c r="N1487" t="inlineStr">
        <is>
          <t>2026-08-10T19:29:54Z</t>
        </is>
      </c>
      <c r="O1487" t="inlineStr">
        <is>
          <t>2026-08-10T19:29:54Z</t>
        </is>
      </c>
    </row>
    <row r="1488">
      <c r="A1488" s="19" t="inlineStr">
        <is>
          <t>1487</t>
        </is>
      </c>
      <c r="B1488" s="19" t="inlineStr">
        <is>
          <t>1014605</t>
        </is>
      </c>
      <c r="C1488" t="inlineStr">
        <is>
          <t>AKÜ,L3,DK,66AH,IGYA SMF,ZITEX BATTERY</t>
        </is>
      </c>
      <c r="D1488" s="19" t="inlineStr">
        <is>
          <t>1</t>
        </is>
      </c>
      <c r="E1488" t="n">
        <v>0</v>
      </c>
      <c r="I1488" s="19" t="inlineStr">
        <is>
          <t>2</t>
        </is>
      </c>
      <c r="J1488" t="inlineStr">
        <is>
          <t>2026-08-08</t>
        </is>
      </c>
      <c r="L1488" s="19" t="inlineStr">
        <is>
          <t>1014605</t>
        </is>
      </c>
      <c r="M1488" t="inlineStr">
        <is>
          <t>STATUS=IN OEM / EU PACKAGE; SOURCE_CFG=IA-ST-CFG-0179; MARKET=RAYA ENERGY INC. KANADA</t>
        </is>
      </c>
      <c r="N1488" t="inlineStr">
        <is>
          <t>2026-08-10T19:29:54Z</t>
        </is>
      </c>
      <c r="O1488" t="inlineStr">
        <is>
          <t>2026-08-10T19:29:54Z</t>
        </is>
      </c>
    </row>
    <row r="1489">
      <c r="A1489" s="19" t="inlineStr">
        <is>
          <t>1488</t>
        </is>
      </c>
      <c r="B1489" s="19" t="inlineStr">
        <is>
          <t>1014612</t>
        </is>
      </c>
      <c r="C1489" t="inlineStr">
        <is>
          <t>AKÜ,A-FLAT,DK,120AH,İNCİ SUPRASENTR,EURO</t>
        </is>
      </c>
      <c r="D1489" s="19" t="inlineStr">
        <is>
          <t>1</t>
        </is>
      </c>
      <c r="E1489" t="n">
        <v>0</v>
      </c>
      <c r="I1489" s="19" t="inlineStr">
        <is>
          <t>2</t>
        </is>
      </c>
      <c r="J1489" t="inlineStr">
        <is>
          <t>2026-08-08</t>
        </is>
      </c>
      <c r="L1489" s="19" t="inlineStr">
        <is>
          <t>1014612</t>
        </is>
      </c>
      <c r="M1489" t="inlineStr">
        <is>
          <t>STATUS=IN OEM / EU PACKAGE; SOURCE_CFG=IA-ST-CFG-0039; MARKET=None</t>
        </is>
      </c>
      <c r="N1489" t="inlineStr">
        <is>
          <t>2026-08-10T19:29:54Z</t>
        </is>
      </c>
      <c r="O1489" t="inlineStr">
        <is>
          <t>2026-08-10T19:29:54Z</t>
        </is>
      </c>
    </row>
    <row r="1490">
      <c r="A1490" s="19" t="inlineStr">
        <is>
          <t>1489</t>
        </is>
      </c>
      <c r="B1490" s="19" t="inlineStr">
        <is>
          <t>1014613</t>
        </is>
      </c>
      <c r="C1490" t="inlineStr">
        <is>
          <t>AKÜ,L5,DK,92AH,TECHNO POWER AGM,ALSAFA</t>
        </is>
      </c>
      <c r="D1490" s="19" t="inlineStr">
        <is>
          <t>1</t>
        </is>
      </c>
      <c r="E1490" t="n">
        <v>0</v>
      </c>
      <c r="I1490" s="19" t="inlineStr">
        <is>
          <t>2</t>
        </is>
      </c>
      <c r="J1490" t="inlineStr">
        <is>
          <t>2026-08-08</t>
        </is>
      </c>
      <c r="L1490" s="19" t="inlineStr">
        <is>
          <t>1014613</t>
        </is>
      </c>
      <c r="M1490" t="inlineStr">
        <is>
          <t>STATUS=IN OEM / EU PACKAGE; SOURCE_CFG=IA-ST-CFG-0096; MARKET=MISIR ALSAFA</t>
        </is>
      </c>
      <c r="N1490" t="inlineStr">
        <is>
          <t>2026-08-10T19:29:54Z</t>
        </is>
      </c>
      <c r="O1490" t="inlineStr">
        <is>
          <t>2026-08-10T19:29:54Z</t>
        </is>
      </c>
    </row>
    <row r="1491">
      <c r="A1491" s="19" t="inlineStr">
        <is>
          <t>1490</t>
        </is>
      </c>
      <c r="B1491" s="19" t="inlineStr">
        <is>
          <t>1014614</t>
        </is>
      </c>
      <c r="C1491" t="inlineStr">
        <is>
          <t>AKÜ,D31,DK,80AH,IGYA,TECHNO POWER,ALSAFA</t>
        </is>
      </c>
      <c r="D1491" s="19" t="inlineStr">
        <is>
          <t>1</t>
        </is>
      </c>
      <c r="E1491" t="n">
        <v>0</v>
      </c>
      <c r="I1491" s="19" t="inlineStr">
        <is>
          <t>2</t>
        </is>
      </c>
      <c r="J1491" t="inlineStr">
        <is>
          <t>2026-08-08</t>
        </is>
      </c>
      <c r="L1491" s="19" t="inlineStr">
        <is>
          <t>1014614</t>
        </is>
      </c>
      <c r="M1491" t="inlineStr">
        <is>
          <t>STATUS=IN OEM / EU PACKAGE; SOURCE_CFG=IA-ST-CFG-0143; MARKET=MISIR ALSAFA</t>
        </is>
      </c>
      <c r="N1491" t="inlineStr">
        <is>
          <t>2026-08-10T19:29:54Z</t>
        </is>
      </c>
      <c r="O1491" t="inlineStr">
        <is>
          <t>2026-08-10T19:29:54Z</t>
        </is>
      </c>
    </row>
    <row r="1492">
      <c r="A1492" s="19" t="inlineStr">
        <is>
          <t>1491</t>
        </is>
      </c>
      <c r="B1492" s="19" t="inlineStr">
        <is>
          <t>1014616</t>
        </is>
      </c>
      <c r="C1492" t="inlineStr">
        <is>
          <t>AKÜ,L1,DK,54AH,IGYA,PILOTPERFORMANCEPLUS</t>
        </is>
      </c>
      <c r="D1492" s="19" t="inlineStr">
        <is>
          <t>1</t>
        </is>
      </c>
      <c r="E1492" t="n">
        <v>0</v>
      </c>
      <c r="I1492" s="19" t="inlineStr">
        <is>
          <t>2</t>
        </is>
      </c>
      <c r="J1492" t="inlineStr">
        <is>
          <t>2026-08-08</t>
        </is>
      </c>
      <c r="L1492" s="19" t="inlineStr">
        <is>
          <t>1014616</t>
        </is>
      </c>
      <c r="M1492" t="inlineStr">
        <is>
          <t>STATUS=IN OEM / EU PACKAGE; SOURCE_CFG=IA-ST-CFG-0266; MARKET=LAMPA ITALY İTALYA</t>
        </is>
      </c>
      <c r="N1492" t="inlineStr">
        <is>
          <t>2026-08-10T19:29:54Z</t>
        </is>
      </c>
      <c r="O1492" t="inlineStr">
        <is>
          <t>2026-08-10T19:29:54Z</t>
        </is>
      </c>
    </row>
    <row r="1493">
      <c r="A1493" s="19" t="inlineStr">
        <is>
          <t>1492</t>
        </is>
      </c>
      <c r="B1493" s="19" t="inlineStr">
        <is>
          <t>1014617</t>
        </is>
      </c>
      <c r="C1493" t="inlineStr">
        <is>
          <t>AKÜ,LB1,DK52AH,IGYA,PILOTPERFORMANCEPLUS</t>
        </is>
      </c>
      <c r="D1493" s="19" t="inlineStr">
        <is>
          <t>1</t>
        </is>
      </c>
      <c r="E1493" t="n">
        <v>0</v>
      </c>
      <c r="I1493" s="19" t="inlineStr">
        <is>
          <t>2</t>
        </is>
      </c>
      <c r="J1493" t="inlineStr">
        <is>
          <t>2026-08-08</t>
        </is>
      </c>
      <c r="L1493" s="19" t="inlineStr">
        <is>
          <t>1014617</t>
        </is>
      </c>
      <c r="M1493" t="inlineStr">
        <is>
          <t>STATUS=IN OEM / EU PACKAGE; SOURCE_CFG=IA-ST-CFG-0264; MARKET=LAMPA ITALY İTALYA</t>
        </is>
      </c>
      <c r="N1493" t="inlineStr">
        <is>
          <t>2026-08-10T19:29:54Z</t>
        </is>
      </c>
      <c r="O1493" t="inlineStr">
        <is>
          <t>2026-08-10T19:29:54Z</t>
        </is>
      </c>
    </row>
    <row r="1494">
      <c r="A1494" s="19" t="inlineStr">
        <is>
          <t>1493</t>
        </is>
      </c>
      <c r="B1494" s="19" t="inlineStr">
        <is>
          <t>1014618</t>
        </is>
      </c>
      <c r="C1494" t="inlineStr">
        <is>
          <t>AKÜ,L2,DK,65AH,IGYA,PILOTPERFORMANCEPLUS</t>
        </is>
      </c>
      <c r="D1494" s="19" t="inlineStr">
        <is>
          <t>1</t>
        </is>
      </c>
      <c r="E1494" t="n">
        <v>0</v>
      </c>
      <c r="I1494" s="19" t="inlineStr">
        <is>
          <t>2</t>
        </is>
      </c>
      <c r="J1494" t="inlineStr">
        <is>
          <t>2026-08-08</t>
        </is>
      </c>
      <c r="L1494" s="19" t="inlineStr">
        <is>
          <t>1014618</t>
        </is>
      </c>
      <c r="M1494" t="inlineStr">
        <is>
          <t>STATUS=IN OEM / EU PACKAGE; SOURCE_CFG=IA-ST-CFG-0240; MARKET=LAMPA ITALY İTALYA</t>
        </is>
      </c>
      <c r="N1494" t="inlineStr">
        <is>
          <t>2026-08-10T19:29:54Z</t>
        </is>
      </c>
      <c r="O1494" t="inlineStr">
        <is>
          <t>2026-08-10T19:29:54Z</t>
        </is>
      </c>
    </row>
    <row r="1495">
      <c r="A1495" s="19" t="inlineStr">
        <is>
          <t>1494</t>
        </is>
      </c>
      <c r="B1495" s="19" t="inlineStr">
        <is>
          <t>1014619</t>
        </is>
      </c>
      <c r="C1495" t="inlineStr">
        <is>
          <t>AKÜ,L3,DK,80AH,IGYA,PILOTPERFORMANCEPLUS</t>
        </is>
      </c>
      <c r="D1495" s="19" t="inlineStr">
        <is>
          <t>1</t>
        </is>
      </c>
      <c r="E1495" t="n">
        <v>0</v>
      </c>
      <c r="I1495" s="19" t="inlineStr">
        <is>
          <t>2</t>
        </is>
      </c>
      <c r="J1495" t="inlineStr">
        <is>
          <t>2026-08-08</t>
        </is>
      </c>
      <c r="L1495" s="19" t="inlineStr">
        <is>
          <t>1014619</t>
        </is>
      </c>
      <c r="M1495" t="inlineStr">
        <is>
          <t>STATUS=IN OEM / EU PACKAGE; SOURCE_CFG=IA-ST-CFG-0200; MARKET=LAMPA ITALY İTALYA</t>
        </is>
      </c>
      <c r="N1495" t="inlineStr">
        <is>
          <t>2026-08-10T19:29:54Z</t>
        </is>
      </c>
      <c r="O1495" t="inlineStr">
        <is>
          <t>2026-08-10T19:29:54Z</t>
        </is>
      </c>
    </row>
    <row r="1496">
      <c r="A1496" s="19" t="inlineStr">
        <is>
          <t>1495</t>
        </is>
      </c>
      <c r="B1496" s="19" t="inlineStr">
        <is>
          <t>1014620</t>
        </is>
      </c>
      <c r="C1496" t="inlineStr">
        <is>
          <t>AKÜ,LB4,DK85AH,IGYA,PILOTPERFORMANCEPLUS</t>
        </is>
      </c>
      <c r="D1496" s="19" t="inlineStr">
        <is>
          <t>1</t>
        </is>
      </c>
      <c r="E1496" t="n">
        <v>0</v>
      </c>
      <c r="I1496" s="19" t="inlineStr">
        <is>
          <t>2</t>
        </is>
      </c>
      <c r="J1496" t="inlineStr">
        <is>
          <t>2026-08-08</t>
        </is>
      </c>
      <c r="L1496" s="19" t="inlineStr">
        <is>
          <t>1014620</t>
        </is>
      </c>
      <c r="M1496" t="inlineStr">
        <is>
          <t>STATUS=IN OEM / EU PACKAGE; SOURCE_CFG=IA-ST-CFG-0152; MARKET=LAMPA ITALY İTALYA</t>
        </is>
      </c>
      <c r="N1496" t="inlineStr">
        <is>
          <t>2026-08-10T19:29:54Z</t>
        </is>
      </c>
      <c r="O1496" t="inlineStr">
        <is>
          <t>2026-08-10T19:29:54Z</t>
        </is>
      </c>
    </row>
    <row r="1497">
      <c r="A1497" s="19" t="inlineStr">
        <is>
          <t>1496</t>
        </is>
      </c>
      <c r="B1497" s="19" t="inlineStr">
        <is>
          <t>1014621</t>
        </is>
      </c>
      <c r="C1497" t="inlineStr">
        <is>
          <t>AKÜ,L3,TK,75AH,IGYASMF,HUGELULTRA,NACITA</t>
        </is>
      </c>
      <c r="D1497" s="19" t="inlineStr">
        <is>
          <t>1</t>
        </is>
      </c>
      <c r="E1497" t="n">
        <v>0</v>
      </c>
      <c r="I1497" s="19" t="inlineStr">
        <is>
          <t>2</t>
        </is>
      </c>
      <c r="J1497" t="inlineStr">
        <is>
          <t>2026-08-08</t>
        </is>
      </c>
      <c r="L1497" s="19" t="inlineStr">
        <is>
          <t>1014621</t>
        </is>
      </c>
      <c r="M1497" t="inlineStr">
        <is>
          <t>STATUS=IN OEM / EU PACKAGE; SOURCE_CFG=IA-ST-CFG-0179; MARKET=MISIR NACITA</t>
        </is>
      </c>
      <c r="N1497" t="inlineStr">
        <is>
          <t>2026-08-10T19:29:54Z</t>
        </is>
      </c>
      <c r="O1497" t="inlineStr">
        <is>
          <t>2026-08-10T19:29:54Z</t>
        </is>
      </c>
    </row>
    <row r="1498">
      <c r="A1498" s="19" t="inlineStr">
        <is>
          <t>1497</t>
        </is>
      </c>
      <c r="B1498" s="19" t="inlineStr">
        <is>
          <t>1014622</t>
        </is>
      </c>
      <c r="C1498" t="inlineStr">
        <is>
          <t>AKÜ,LB3,DK,70AH,IGYSMF,HUGELULTRA,NACITA</t>
        </is>
      </c>
      <c r="D1498" s="19" t="inlineStr">
        <is>
          <t>1</t>
        </is>
      </c>
      <c r="E1498" t="n">
        <v>0</v>
      </c>
      <c r="I1498" s="19" t="inlineStr">
        <is>
          <t>2</t>
        </is>
      </c>
      <c r="J1498" t="inlineStr">
        <is>
          <t>2026-08-08</t>
        </is>
      </c>
      <c r="L1498" s="19" t="inlineStr">
        <is>
          <t>1014622</t>
        </is>
      </c>
      <c r="M1498" t="inlineStr">
        <is>
          <t>STATUS=IN OEM / EU PACKAGE; SOURCE_CFG=IA-ST-CFG-0178; MARKET=MISIR NACITA</t>
        </is>
      </c>
      <c r="N1498" t="inlineStr">
        <is>
          <t>2026-08-10T19:29:54Z</t>
        </is>
      </c>
      <c r="O1498" t="inlineStr">
        <is>
          <t>2026-08-10T19:29:54Z</t>
        </is>
      </c>
    </row>
    <row r="1499">
      <c r="A1499" s="19" t="inlineStr">
        <is>
          <t>1498</t>
        </is>
      </c>
      <c r="B1499" s="19" t="inlineStr">
        <is>
          <t>1014623</t>
        </is>
      </c>
      <c r="C1499" t="inlineStr">
        <is>
          <t>AKÜ,LB4,DK80AH,IGYASMF,HUGELACTION,İÇPYS</t>
        </is>
      </c>
      <c r="D1499" s="19" t="inlineStr">
        <is>
          <t>1</t>
        </is>
      </c>
      <c r="E1499" t="n">
        <v>0</v>
      </c>
      <c r="I1499" s="19" t="inlineStr">
        <is>
          <t>2</t>
        </is>
      </c>
      <c r="J1499" t="inlineStr">
        <is>
          <t>2026-08-08</t>
        </is>
      </c>
      <c r="L1499" s="19" t="inlineStr">
        <is>
          <t>1014623</t>
        </is>
      </c>
      <c r="M1499" t="inlineStr">
        <is>
          <t>STATUS=IN OEM / EU PACKAGE; SOURCE_CFG=IA-ST-CFG-0233; MARKET=YURT İÇİ AFM</t>
        </is>
      </c>
      <c r="N1499" t="inlineStr">
        <is>
          <t>2026-08-10T19:29:54Z</t>
        </is>
      </c>
      <c r="O1499" t="inlineStr">
        <is>
          <t>2026-08-10T19:29:54Z</t>
        </is>
      </c>
    </row>
    <row r="1500">
      <c r="A1500" s="19" t="inlineStr">
        <is>
          <t>1499</t>
        </is>
      </c>
      <c r="B1500" s="19" t="inlineStr">
        <is>
          <t>1014631</t>
        </is>
      </c>
      <c r="C1500" t="inlineStr">
        <is>
          <t>AKÜ,L3,DK,80AH,IGYA,İNCİMAXIMA,TENAX OEM</t>
        </is>
      </c>
      <c r="D1500" s="19" t="inlineStr">
        <is>
          <t>1</t>
        </is>
      </c>
      <c r="E1500" t="n">
        <v>0</v>
      </c>
      <c r="I1500" s="19" t="inlineStr">
        <is>
          <t>2</t>
        </is>
      </c>
      <c r="J1500" t="inlineStr">
        <is>
          <t>2026-08-08</t>
        </is>
      </c>
      <c r="L1500" s="19" t="inlineStr">
        <is>
          <t>1014631</t>
        </is>
      </c>
      <c r="M1500" t="inlineStr">
        <is>
          <t>STATUS=IN OEM / EU PACKAGE; SOURCE_CFG=IA-ST-CFG-0182; MARKET=TENAX OEM (Yurt İçi)</t>
        </is>
      </c>
      <c r="N1500" t="inlineStr">
        <is>
          <t>2026-08-10T19:29:54Z</t>
        </is>
      </c>
      <c r="O1500" t="inlineStr">
        <is>
          <t>2026-08-10T19:29:54Z</t>
        </is>
      </c>
    </row>
    <row r="1501">
      <c r="A1501" s="19" t="inlineStr">
        <is>
          <t>1500</t>
        </is>
      </c>
      <c r="B1501" s="19" t="inlineStr">
        <is>
          <t>1014640</t>
        </is>
      </c>
      <c r="C1501" t="inlineStr">
        <is>
          <t>AKÜ,C-IGYASMF,DK,225AH,FORMULA,EEC MISIR</t>
        </is>
      </c>
      <c r="D1501" s="19" t="inlineStr">
        <is>
          <t>1</t>
        </is>
      </c>
      <c r="E1501" t="n">
        <v>0</v>
      </c>
      <c r="I1501" s="19" t="inlineStr">
        <is>
          <t>2</t>
        </is>
      </c>
      <c r="J1501" t="inlineStr">
        <is>
          <t>2026-08-08</t>
        </is>
      </c>
      <c r="L1501" s="19" t="inlineStr">
        <is>
          <t>1014640</t>
        </is>
      </c>
      <c r="M1501" t="inlineStr">
        <is>
          <t>STATUS=IN OEM / EU PACKAGE; SOURCE_CFG=IA-ST-CFG-0023; MARKET=MISIR EEC</t>
        </is>
      </c>
      <c r="N1501" t="inlineStr">
        <is>
          <t>2026-08-10T19:29:54Z</t>
        </is>
      </c>
      <c r="O1501" t="inlineStr">
        <is>
          <t>2026-08-10T19:29:54Z</t>
        </is>
      </c>
    </row>
    <row r="1502">
      <c r="A1502" s="19" t="inlineStr">
        <is>
          <t>1501</t>
        </is>
      </c>
      <c r="B1502" s="19" t="inlineStr">
        <is>
          <t>1014642</t>
        </is>
      </c>
      <c r="C1502" t="inlineStr">
        <is>
          <t>AKÜ,AGM,L3,DK,70AH,HUGEL AGM S&amp;S,EURO</t>
        </is>
      </c>
      <c r="D1502" s="19" t="inlineStr">
        <is>
          <t>1</t>
        </is>
      </c>
      <c r="E1502" t="n">
        <v>0</v>
      </c>
      <c r="I1502" s="19" t="inlineStr">
        <is>
          <t>2</t>
        </is>
      </c>
      <c r="J1502" t="inlineStr">
        <is>
          <t>2026-08-08</t>
        </is>
      </c>
      <c r="L1502" s="19" t="inlineStr">
        <is>
          <t>1014642</t>
        </is>
      </c>
      <c r="M1502" t="inlineStr">
        <is>
          <t>STATUS=IN OEM / EU PACKAGE; SOURCE_CFG=IA-ST-CFG-0200; MARKET=None</t>
        </is>
      </c>
      <c r="N1502" t="inlineStr">
        <is>
          <t>2026-08-10T19:29:54Z</t>
        </is>
      </c>
      <c r="O1502" t="inlineStr">
        <is>
          <t>2026-08-10T19:29:54Z</t>
        </is>
      </c>
    </row>
    <row r="1503">
      <c r="A1503" s="19" t="inlineStr">
        <is>
          <t>1502</t>
        </is>
      </c>
      <c r="B1503" s="19" t="inlineStr">
        <is>
          <t>1014643</t>
        </is>
      </c>
      <c r="C1503" t="inlineStr">
        <is>
          <t>AKÜ,AGM,L5,DK,95AH,HUGEL AGM S&amp;S,EURO</t>
        </is>
      </c>
      <c r="D1503" s="19" t="inlineStr">
        <is>
          <t>1</t>
        </is>
      </c>
      <c r="E1503" t="n">
        <v>0</v>
      </c>
      <c r="I1503" s="19" t="inlineStr">
        <is>
          <t>2</t>
        </is>
      </c>
      <c r="J1503" t="inlineStr">
        <is>
          <t>2026-08-08</t>
        </is>
      </c>
      <c r="L1503" s="19" t="inlineStr">
        <is>
          <t>1014643</t>
        </is>
      </c>
      <c r="M1503" t="inlineStr">
        <is>
          <t>STATUS=IN OEM / EU PACKAGE; SOURCE_CFG=IA-ST-CFG-0116; MARKET=None</t>
        </is>
      </c>
      <c r="N1503" t="inlineStr">
        <is>
          <t>2026-08-10T19:29:54Z</t>
        </is>
      </c>
      <c r="O1503" t="inlineStr">
        <is>
          <t>2026-08-10T19:29:54Z</t>
        </is>
      </c>
    </row>
    <row r="1504">
      <c r="A1504" s="19" t="inlineStr">
        <is>
          <t>1503</t>
        </is>
      </c>
      <c r="B1504" s="19" t="inlineStr">
        <is>
          <t>1014644</t>
        </is>
      </c>
      <c r="C1504" t="inlineStr">
        <is>
          <t>AKÜ,LB3,DK,72AH,IGYA SMF,HUGEL MEGA,EURO</t>
        </is>
      </c>
      <c r="D1504" s="19" t="inlineStr">
        <is>
          <t>1</t>
        </is>
      </c>
      <c r="E1504" t="n">
        <v>0</v>
      </c>
      <c r="I1504" s="19" t="inlineStr">
        <is>
          <t>2</t>
        </is>
      </c>
      <c r="J1504" t="inlineStr">
        <is>
          <t>2026-08-08</t>
        </is>
      </c>
      <c r="L1504" s="19" t="inlineStr">
        <is>
          <t>1014644</t>
        </is>
      </c>
      <c r="M1504" t="inlineStr">
        <is>
          <t>STATUS=IN OEM / EU PACKAGE; SOURCE_CFG=IA-ST-CFG-0199; MARKET=None</t>
        </is>
      </c>
      <c r="N1504" t="inlineStr">
        <is>
          <t>2026-08-10T19:29:54Z</t>
        </is>
      </c>
      <c r="O1504" t="inlineStr">
        <is>
          <t>2026-08-10T19:29:54Z</t>
        </is>
      </c>
    </row>
    <row r="1505">
      <c r="A1505" s="19" t="inlineStr">
        <is>
          <t>1504</t>
        </is>
      </c>
      <c r="B1505" s="19" t="inlineStr">
        <is>
          <t>1014645</t>
        </is>
      </c>
      <c r="C1505" t="inlineStr">
        <is>
          <t>AKÜ,L4,DK,90AH,IGYA SMF,HUGEL MEGA,EURO</t>
        </is>
      </c>
      <c r="D1505" s="19" t="inlineStr">
        <is>
          <t>1</t>
        </is>
      </c>
      <c r="E1505" t="n">
        <v>0</v>
      </c>
      <c r="I1505" s="19" t="inlineStr">
        <is>
          <t>2</t>
        </is>
      </c>
      <c r="J1505" t="inlineStr">
        <is>
          <t>2026-08-08</t>
        </is>
      </c>
      <c r="L1505" s="19" t="inlineStr">
        <is>
          <t>1014645</t>
        </is>
      </c>
      <c r="M1505" t="inlineStr">
        <is>
          <t>STATUS=IN OEM / EU PACKAGE; SOURCE_CFG=IA-ST-CFG-0152; MARKET=None</t>
        </is>
      </c>
      <c r="N1505" t="inlineStr">
        <is>
          <t>2026-08-10T19:29:54Z</t>
        </is>
      </c>
      <c r="O1505" t="inlineStr">
        <is>
          <t>2026-08-10T19:29:54Z</t>
        </is>
      </c>
    </row>
    <row r="1506">
      <c r="A1506" s="19" t="inlineStr">
        <is>
          <t>1505</t>
        </is>
      </c>
      <c r="B1506" s="19" t="inlineStr">
        <is>
          <t>1014646</t>
        </is>
      </c>
      <c r="C1506" t="inlineStr">
        <is>
          <t>AKÜ,L5,DK,102AH,IGYA SMF,HUGEL MEGA,EURO</t>
        </is>
      </c>
      <c r="D1506" s="19" t="inlineStr">
        <is>
          <t>1</t>
        </is>
      </c>
      <c r="E1506" t="n">
        <v>0</v>
      </c>
      <c r="I1506" s="19" t="inlineStr">
        <is>
          <t>2</t>
        </is>
      </c>
      <c r="J1506" t="inlineStr">
        <is>
          <t>2026-08-08</t>
        </is>
      </c>
      <c r="L1506" s="19" t="inlineStr">
        <is>
          <t>1014646</t>
        </is>
      </c>
      <c r="M1506" t="inlineStr">
        <is>
          <t>STATUS=IN OEM / EU PACKAGE; SOURCE_CFG=IA-ST-CFG-0116; MARKET=None</t>
        </is>
      </c>
      <c r="N1506" t="inlineStr">
        <is>
          <t>2026-08-10T19:29:54Z</t>
        </is>
      </c>
      <c r="O1506" t="inlineStr">
        <is>
          <t>2026-08-10T19:29:54Z</t>
        </is>
      </c>
    </row>
    <row r="1507">
      <c r="A1507" s="19" t="inlineStr">
        <is>
          <t>1506</t>
        </is>
      </c>
      <c r="B1507" s="19" t="inlineStr">
        <is>
          <t>1014647</t>
        </is>
      </c>
      <c r="C1507" t="inlineStr">
        <is>
          <t>AKÜ,D23,DK,68AH,IGYA SMF,HUGEL MEGA,EURO</t>
        </is>
      </c>
      <c r="D1507" s="19" t="inlineStr">
        <is>
          <t>1</t>
        </is>
      </c>
      <c r="E1507" t="n">
        <v>0</v>
      </c>
      <c r="I1507" s="19" t="inlineStr">
        <is>
          <t>2</t>
        </is>
      </c>
      <c r="J1507" t="inlineStr">
        <is>
          <t>2026-08-08</t>
        </is>
      </c>
      <c r="L1507" s="19" t="inlineStr">
        <is>
          <t>1014647</t>
        </is>
      </c>
      <c r="M1507" t="inlineStr">
        <is>
          <t>STATUS=IN OEM / EU PACKAGE; SOURCE_CFG=IA-ST-CFG-0171; MARKET=None</t>
        </is>
      </c>
      <c r="N1507" t="inlineStr">
        <is>
          <t>2026-08-10T19:29:54Z</t>
        </is>
      </c>
      <c r="O1507" t="inlineStr">
        <is>
          <t>2026-08-10T19:29:54Z</t>
        </is>
      </c>
    </row>
    <row r="1508">
      <c r="A1508" s="19" t="inlineStr">
        <is>
          <t>1507</t>
        </is>
      </c>
      <c r="B1508" s="19" t="inlineStr">
        <is>
          <t>1014648</t>
        </is>
      </c>
      <c r="C1508" t="inlineStr">
        <is>
          <t>AKÜ,D26,DK,80AH,IGYA SMF,HUGEL MEGA,EURO</t>
        </is>
      </c>
      <c r="D1508" s="19" t="inlineStr">
        <is>
          <t>1</t>
        </is>
      </c>
      <c r="E1508" t="n">
        <v>0</v>
      </c>
      <c r="I1508" s="19" t="inlineStr">
        <is>
          <t>2</t>
        </is>
      </c>
      <c r="J1508" t="inlineStr">
        <is>
          <t>2026-08-08</t>
        </is>
      </c>
      <c r="L1508" s="19" t="inlineStr">
        <is>
          <t>1014648</t>
        </is>
      </c>
      <c r="M1508" t="inlineStr">
        <is>
          <t>STATUS=IN OEM / EU PACKAGE; SOURCE_CFG=IA-ST-CFG-0107; MARKET=None</t>
        </is>
      </c>
      <c r="N1508" t="inlineStr">
        <is>
          <t>2026-08-10T19:29:54Z</t>
        </is>
      </c>
      <c r="O1508" t="inlineStr">
        <is>
          <t>2026-08-10T19:29:54Z</t>
        </is>
      </c>
    </row>
    <row r="1509">
      <c r="A1509" s="19" t="inlineStr">
        <is>
          <t>1508</t>
        </is>
      </c>
      <c r="B1509" s="19" t="inlineStr">
        <is>
          <t>1014649</t>
        </is>
      </c>
      <c r="C1509" t="inlineStr">
        <is>
          <t>AKÜ,D31,DK,100AH,IGYASMF,HUGEL MEGA,EURO</t>
        </is>
      </c>
      <c r="D1509" s="19" t="inlineStr">
        <is>
          <t>1</t>
        </is>
      </c>
      <c r="E1509" t="n">
        <v>0</v>
      </c>
      <c r="I1509" s="19" t="inlineStr">
        <is>
          <t>2</t>
        </is>
      </c>
      <c r="J1509" t="inlineStr">
        <is>
          <t>2026-08-08</t>
        </is>
      </c>
      <c r="L1509" s="19" t="inlineStr">
        <is>
          <t>1014649</t>
        </is>
      </c>
      <c r="M1509" t="inlineStr">
        <is>
          <t>STATUS=IN OEM / EU PACKAGE; SOURCE_CFG=IA-ST-CFG-0115; MARKET=None</t>
        </is>
      </c>
      <c r="N1509" t="inlineStr">
        <is>
          <t>2026-08-10T19:29:54Z</t>
        </is>
      </c>
      <c r="O1509" t="inlineStr">
        <is>
          <t>2026-08-10T19:29:54Z</t>
        </is>
      </c>
    </row>
    <row r="1510">
      <c r="A1510" s="19" t="inlineStr">
        <is>
          <t>1509</t>
        </is>
      </c>
      <c r="B1510" s="19" t="inlineStr">
        <is>
          <t>1014650</t>
        </is>
      </c>
      <c r="C1510" t="inlineStr">
        <is>
          <t>AKÜ,L3,DK,75AH,IGYASMF,HUGELULTRA KOLİLİ</t>
        </is>
      </c>
      <c r="D1510" s="19" t="inlineStr">
        <is>
          <t>1</t>
        </is>
      </c>
      <c r="E1510" t="n">
        <v>0</v>
      </c>
      <c r="I1510" s="19" t="inlineStr">
        <is>
          <t>2</t>
        </is>
      </c>
      <c r="J1510" t="inlineStr">
        <is>
          <t>2026-08-08</t>
        </is>
      </c>
      <c r="L1510" s="19" t="inlineStr">
        <is>
          <t>1014650</t>
        </is>
      </c>
      <c r="M1510" t="inlineStr">
        <is>
          <t>STATUS=IN OEM / EU PACKAGE; SOURCE_CFG=IA-ST-CFG-0215; MARKET=None</t>
        </is>
      </c>
      <c r="N1510" t="inlineStr">
        <is>
          <t>2026-08-10T19:29:54Z</t>
        </is>
      </c>
      <c r="O1510" t="inlineStr">
        <is>
          <t>2026-08-10T19:29:54Z</t>
        </is>
      </c>
    </row>
    <row r="1511">
      <c r="A1511" s="19" t="inlineStr">
        <is>
          <t>1510</t>
        </is>
      </c>
      <c r="B1511" s="19" t="inlineStr">
        <is>
          <t>1014652</t>
        </is>
      </c>
      <c r="C1511" t="inlineStr">
        <is>
          <t>AKÜ,L2,TK,62AH,IGYA,NONAME,GYEUR3078-062</t>
        </is>
      </c>
      <c r="D1511" s="19" t="inlineStr">
        <is>
          <t>1</t>
        </is>
      </c>
      <c r="E1511" t="n">
        <v>0</v>
      </c>
      <c r="I1511" s="19" t="inlineStr">
        <is>
          <t>2</t>
        </is>
      </c>
      <c r="J1511" t="inlineStr">
        <is>
          <t>2026-08-08</t>
        </is>
      </c>
      <c r="L1511" s="19" t="inlineStr">
        <is>
          <t>1014652</t>
        </is>
      </c>
      <c r="M1511" t="inlineStr">
        <is>
          <t>STATUS=IN OEM / EU PACKAGE; SOURCE_CFG=IA-ST-CFG-0162; MARKET=GY EUR</t>
        </is>
      </c>
      <c r="N1511" t="inlineStr">
        <is>
          <t>2026-08-10T19:29:54Z</t>
        </is>
      </c>
      <c r="O1511" t="inlineStr">
        <is>
          <t>2026-08-10T19:29:54Z</t>
        </is>
      </c>
    </row>
    <row r="1512">
      <c r="A1512" s="19" t="inlineStr">
        <is>
          <t>1511</t>
        </is>
      </c>
      <c r="B1512" s="19" t="inlineStr">
        <is>
          <t>1014653</t>
        </is>
      </c>
      <c r="C1512" t="inlineStr">
        <is>
          <t>AKÜ,L2,DK,65AH,IGYASMF,BPOWERSUP,POLONYA</t>
        </is>
      </c>
      <c r="D1512" s="19" t="inlineStr">
        <is>
          <t>1</t>
        </is>
      </c>
      <c r="E1512" t="n">
        <v>0</v>
      </c>
      <c r="I1512" s="19" t="inlineStr">
        <is>
          <t>2</t>
        </is>
      </c>
      <c r="J1512" t="inlineStr">
        <is>
          <t>2026-08-08</t>
        </is>
      </c>
      <c r="L1512" s="19" t="inlineStr">
        <is>
          <t>1014653</t>
        </is>
      </c>
      <c r="M1512" t="inlineStr">
        <is>
          <t>STATUS=IN OEM / EU PACKAGE; SOURCE_CFG=IA-ST-CFG-0164; MARKET=BATERIE PRZEMYSLOWE POLONYA</t>
        </is>
      </c>
      <c r="N1512" t="inlineStr">
        <is>
          <t>2026-08-10T19:29:54Z</t>
        </is>
      </c>
      <c r="O1512" t="inlineStr">
        <is>
          <t>2026-08-10T19:29:54Z</t>
        </is>
      </c>
    </row>
    <row r="1513">
      <c r="A1513" s="19" t="inlineStr">
        <is>
          <t>1512</t>
        </is>
      </c>
      <c r="B1513" s="19" t="inlineStr">
        <is>
          <t>1014654</t>
        </is>
      </c>
      <c r="C1513" t="inlineStr">
        <is>
          <t>AKÜ,LB2,DK,62AH,IGYSMF,BPOWERSUP,POLONYA</t>
        </is>
      </c>
      <c r="D1513" s="19" t="inlineStr">
        <is>
          <t>1</t>
        </is>
      </c>
      <c r="E1513" t="n">
        <v>0</v>
      </c>
      <c r="I1513" s="19" t="inlineStr">
        <is>
          <t>2</t>
        </is>
      </c>
      <c r="J1513" t="inlineStr">
        <is>
          <t>2026-08-08</t>
        </is>
      </c>
      <c r="L1513" s="19" t="inlineStr">
        <is>
          <t>1014654</t>
        </is>
      </c>
      <c r="M1513" t="inlineStr">
        <is>
          <t>STATUS=IN OEM / EU PACKAGE; SOURCE_CFG=IA-ST-CFG-0164; MARKET=BATERIE PRZEMYSLOWE POLONYA</t>
        </is>
      </c>
      <c r="N1513" t="inlineStr">
        <is>
          <t>2026-08-10T19:29:54Z</t>
        </is>
      </c>
      <c r="O1513" t="inlineStr">
        <is>
          <t>2026-08-10T19:29:54Z</t>
        </is>
      </c>
    </row>
    <row r="1514">
      <c r="A1514" s="19" t="inlineStr">
        <is>
          <t>1513</t>
        </is>
      </c>
      <c r="B1514" s="19" t="inlineStr">
        <is>
          <t>1014655</t>
        </is>
      </c>
      <c r="C1514" t="inlineStr">
        <is>
          <t>AKÜ,L0,DK,40AH,DINNEWPROFILE,FIAT YP,OES</t>
        </is>
      </c>
      <c r="D1514" s="19" t="inlineStr">
        <is>
          <t>1</t>
        </is>
      </c>
      <c r="E1514" t="n">
        <v>0</v>
      </c>
      <c r="I1514" s="19" t="inlineStr">
        <is>
          <t>2</t>
        </is>
      </c>
      <c r="J1514" t="inlineStr">
        <is>
          <t>2026-08-08</t>
        </is>
      </c>
      <c r="L1514" s="19" t="inlineStr">
        <is>
          <t>1014655</t>
        </is>
      </c>
      <c r="M1514" t="inlineStr">
        <is>
          <t>STATUS=DOMESTIC-ONLY / NOT IN OEM PACKAGE; SOURCE_CFG=IA-ST-CFG-0279; MARKET=TOFAŞ (Yurt İçi)</t>
        </is>
      </c>
      <c r="N1514" t="inlineStr">
        <is>
          <t>2026-08-10T19:29:54Z</t>
        </is>
      </c>
      <c r="O1514" t="inlineStr">
        <is>
          <t>2026-08-10T19:29:54Z</t>
        </is>
      </c>
    </row>
    <row r="1515">
      <c r="A1515" s="19" t="inlineStr">
        <is>
          <t>1514</t>
        </is>
      </c>
      <c r="B1515" s="19" t="inlineStr">
        <is>
          <t>1014656</t>
        </is>
      </c>
      <c r="C1515" t="inlineStr">
        <is>
          <t>AKÜ,LB1,DK,43AH,IGYASMF,NO NAME,BP43,SKG</t>
        </is>
      </c>
      <c r="D1515" s="19" t="inlineStr">
        <is>
          <t>1</t>
        </is>
      </c>
      <c r="E1515" t="n">
        <v>0</v>
      </c>
      <c r="I1515" s="19" t="inlineStr">
        <is>
          <t>2</t>
        </is>
      </c>
      <c r="J1515" t="inlineStr">
        <is>
          <t>2026-08-08</t>
        </is>
      </c>
      <c r="L1515" s="19" t="inlineStr">
        <is>
          <t>1014656</t>
        </is>
      </c>
      <c r="M1515" t="inlineStr">
        <is>
          <t>STATUS=IN OEM / EU PACKAGE; SOURCE_CFG=IA-ST-CFG-0269; MARKET=SKG İTALYA</t>
        </is>
      </c>
      <c r="N1515" t="inlineStr">
        <is>
          <t>2026-08-10T19:29:54Z</t>
        </is>
      </c>
      <c r="O1515" t="inlineStr">
        <is>
          <t>2026-08-10T19:29:54Z</t>
        </is>
      </c>
    </row>
    <row r="1516">
      <c r="A1516" s="19" t="inlineStr">
        <is>
          <t>1515</t>
        </is>
      </c>
      <c r="B1516" s="19" t="inlineStr">
        <is>
          <t>1014657</t>
        </is>
      </c>
      <c r="C1516" t="inlineStr">
        <is>
          <t>AKÜ,LB2,DK,60AH,IGYASMF,NO NAME,BP60,SKG</t>
        </is>
      </c>
      <c r="D1516" s="19" t="inlineStr">
        <is>
          <t>1</t>
        </is>
      </c>
      <c r="E1516" t="n">
        <v>0</v>
      </c>
      <c r="I1516" s="19" t="inlineStr">
        <is>
          <t>2</t>
        </is>
      </c>
      <c r="J1516" t="inlineStr">
        <is>
          <t>2026-08-08</t>
        </is>
      </c>
      <c r="L1516" s="19" t="inlineStr">
        <is>
          <t>1014657</t>
        </is>
      </c>
      <c r="M1516" t="inlineStr">
        <is>
          <t>STATUS=IN OEM / EU PACKAGE; SOURCE_CFG=IA-ST-CFG-0239; MARKET=SKG İTALYA</t>
        </is>
      </c>
      <c r="N1516" t="inlineStr">
        <is>
          <t>2026-08-10T19:29:54Z</t>
        </is>
      </c>
      <c r="O1516" t="inlineStr">
        <is>
          <t>2026-08-10T19:29:54Z</t>
        </is>
      </c>
    </row>
    <row r="1517">
      <c r="A1517" s="19" t="inlineStr">
        <is>
          <t>1516</t>
        </is>
      </c>
      <c r="B1517" s="19" t="inlineStr">
        <is>
          <t>1014658</t>
        </is>
      </c>
      <c r="C1517" t="inlineStr">
        <is>
          <t>AKÜ,L2,DK,62AH,IGYASMF,NO NAME,BP62,SKG</t>
        </is>
      </c>
      <c r="D1517" s="19" t="inlineStr">
        <is>
          <t>1</t>
        </is>
      </c>
      <c r="E1517" t="n">
        <v>0</v>
      </c>
      <c r="I1517" s="19" t="inlineStr">
        <is>
          <t>2</t>
        </is>
      </c>
      <c r="J1517" t="inlineStr">
        <is>
          <t>2026-08-08</t>
        </is>
      </c>
      <c r="L1517" s="19" t="inlineStr">
        <is>
          <t>1014658</t>
        </is>
      </c>
      <c r="M1517" t="inlineStr">
        <is>
          <t>STATUS=IN OEM / EU PACKAGE; SOURCE_CFG=IA-ST-CFG-0239; MARKET=SKG İTALYA</t>
        </is>
      </c>
      <c r="N1517" t="inlineStr">
        <is>
          <t>2026-08-10T19:29:54Z</t>
        </is>
      </c>
      <c r="O1517" t="inlineStr">
        <is>
          <t>2026-08-10T19:29:54Z</t>
        </is>
      </c>
    </row>
    <row r="1518">
      <c r="A1518" s="19" t="inlineStr">
        <is>
          <t>1517</t>
        </is>
      </c>
      <c r="B1518" s="19" t="inlineStr">
        <is>
          <t>1014659</t>
        </is>
      </c>
      <c r="C1518" t="inlineStr">
        <is>
          <t>AKÜ,LB3,DK,70AH,IGYASMF,NO NAME,BP70,SKG</t>
        </is>
      </c>
      <c r="D1518" s="19" t="inlineStr">
        <is>
          <t>1</t>
        </is>
      </c>
      <c r="E1518" t="n">
        <v>0</v>
      </c>
      <c r="I1518" s="19" t="inlineStr">
        <is>
          <t>2</t>
        </is>
      </c>
      <c r="J1518" t="inlineStr">
        <is>
          <t>2026-08-08</t>
        </is>
      </c>
      <c r="L1518" s="19" t="inlineStr">
        <is>
          <t>1014659</t>
        </is>
      </c>
      <c r="M1518" t="inlineStr">
        <is>
          <t>STATUS=IN OEM / EU PACKAGE; SOURCE_CFG=IA-ST-CFG-0198; MARKET=SKG İTALYA</t>
        </is>
      </c>
      <c r="N1518" t="inlineStr">
        <is>
          <t>2026-08-10T19:29:54Z</t>
        </is>
      </c>
      <c r="O1518" t="inlineStr">
        <is>
          <t>2026-08-10T19:29:54Z</t>
        </is>
      </c>
    </row>
    <row r="1519">
      <c r="A1519" s="19" t="inlineStr">
        <is>
          <t>1518</t>
        </is>
      </c>
      <c r="B1519" s="19" t="inlineStr">
        <is>
          <t>1014660</t>
        </is>
      </c>
      <c r="C1519" t="inlineStr">
        <is>
          <t>AKÜ,L3,DK,74AH,IGYASMF,NO NAME,BP74,SKG</t>
        </is>
      </c>
      <c r="D1519" s="19" t="inlineStr">
        <is>
          <t>1</t>
        </is>
      </c>
      <c r="E1519" t="n">
        <v>0</v>
      </c>
      <c r="I1519" s="19" t="inlineStr">
        <is>
          <t>2</t>
        </is>
      </c>
      <c r="J1519" t="inlineStr">
        <is>
          <t>2026-08-08</t>
        </is>
      </c>
      <c r="L1519" s="19" t="inlineStr">
        <is>
          <t>1014660</t>
        </is>
      </c>
      <c r="M1519" t="inlineStr">
        <is>
          <t>STATUS=IN OEM / EU PACKAGE; SOURCE_CFG=IA-ST-CFG-0198; MARKET=SKG İTALYA</t>
        </is>
      </c>
      <c r="N1519" t="inlineStr">
        <is>
          <t>2026-08-10T19:29:54Z</t>
        </is>
      </c>
      <c r="O1519" t="inlineStr">
        <is>
          <t>2026-08-10T19:29:54Z</t>
        </is>
      </c>
    </row>
    <row r="1520">
      <c r="A1520" s="19" t="inlineStr">
        <is>
          <t>1519</t>
        </is>
      </c>
      <c r="B1520" s="19" t="inlineStr">
        <is>
          <t>1014661</t>
        </is>
      </c>
      <c r="C1520" t="inlineStr">
        <is>
          <t>AKÜ,LB4,DK,85AH,IGYASMF,NO NAME,BP85,SKG</t>
        </is>
      </c>
      <c r="D1520" s="19" t="inlineStr">
        <is>
          <t>1</t>
        </is>
      </c>
      <c r="E1520" t="n">
        <v>0</v>
      </c>
      <c r="I1520" s="19" t="inlineStr">
        <is>
          <t>2</t>
        </is>
      </c>
      <c r="J1520" t="inlineStr">
        <is>
          <t>2026-08-08</t>
        </is>
      </c>
      <c r="L1520" s="19" t="inlineStr">
        <is>
          <t>1014661</t>
        </is>
      </c>
      <c r="M1520" t="inlineStr">
        <is>
          <t>STATUS=IN OEM / EU PACKAGE; SOURCE_CFG=IA-ST-CFG-0151; MARKET=SKG İTALYA</t>
        </is>
      </c>
      <c r="N1520" t="inlineStr">
        <is>
          <t>2026-08-10T19:29:54Z</t>
        </is>
      </c>
      <c r="O1520" t="inlineStr">
        <is>
          <t>2026-08-10T19:29:54Z</t>
        </is>
      </c>
    </row>
    <row r="1521">
      <c r="A1521" s="19" t="inlineStr">
        <is>
          <t>1520</t>
        </is>
      </c>
      <c r="B1521" s="19" t="inlineStr">
        <is>
          <t>1014662</t>
        </is>
      </c>
      <c r="C1521" t="inlineStr">
        <is>
          <t>AKÜ,L5,DK,95AH,IGYASMF,NO NAME,BP95,SKG</t>
        </is>
      </c>
      <c r="D1521" s="19" t="inlineStr">
        <is>
          <t>1</t>
        </is>
      </c>
      <c r="E1521" t="n">
        <v>0</v>
      </c>
      <c r="I1521" s="19" t="inlineStr">
        <is>
          <t>2</t>
        </is>
      </c>
      <c r="J1521" t="inlineStr">
        <is>
          <t>2026-08-08</t>
        </is>
      </c>
      <c r="L1521" s="19" t="inlineStr">
        <is>
          <t>1014662</t>
        </is>
      </c>
      <c r="M1521" t="inlineStr">
        <is>
          <t>STATUS=IN OEM / EU PACKAGE; SOURCE_CFG=IA-ST-CFG-0114; MARKET=SKG İTALYA</t>
        </is>
      </c>
      <c r="N1521" t="inlineStr">
        <is>
          <t>2026-08-10T19:29:54Z</t>
        </is>
      </c>
      <c r="O1521" t="inlineStr">
        <is>
          <t>2026-08-10T19:29:54Z</t>
        </is>
      </c>
    </row>
    <row r="1522">
      <c r="A1522" s="19" t="inlineStr">
        <is>
          <t>1521</t>
        </is>
      </c>
      <c r="B1522" s="19" t="inlineStr">
        <is>
          <t>1014663</t>
        </is>
      </c>
      <c r="C1522" t="inlineStr">
        <is>
          <t>AKÜ,L2,DK,60AH,IGYASMF,NONAME,027EFB,SKG</t>
        </is>
      </c>
      <c r="D1522" s="19" t="inlineStr">
        <is>
          <t>1</t>
        </is>
      </c>
      <c r="E1522" t="n">
        <v>0</v>
      </c>
      <c r="I1522" s="19" t="inlineStr">
        <is>
          <t>2</t>
        </is>
      </c>
      <c r="J1522" t="inlineStr">
        <is>
          <t>2026-08-08</t>
        </is>
      </c>
      <c r="L1522" s="19" t="inlineStr">
        <is>
          <t>1014663</t>
        </is>
      </c>
      <c r="M1522" t="inlineStr">
        <is>
          <t>STATUS=IN OEM / EU PACKAGE; SOURCE_CFG=IA-ST-CFG-0239; MARKET=SKG İTALYA</t>
        </is>
      </c>
      <c r="N1522" t="inlineStr">
        <is>
          <t>2026-08-10T19:29:54Z</t>
        </is>
      </c>
      <c r="O1522" t="inlineStr">
        <is>
          <t>2026-08-10T19:29:54Z</t>
        </is>
      </c>
    </row>
    <row r="1523">
      <c r="A1523" s="19" t="inlineStr">
        <is>
          <t>1522</t>
        </is>
      </c>
      <c r="B1523" s="19" t="inlineStr">
        <is>
          <t>1014664</t>
        </is>
      </c>
      <c r="C1523" t="inlineStr">
        <is>
          <t>AKÜ,LB3,DK,65AH,IGYASMF,NONAME100EFB,SKG</t>
        </is>
      </c>
      <c r="D1523" s="19" t="inlineStr">
        <is>
          <t>1</t>
        </is>
      </c>
      <c r="E1523" t="n">
        <v>0</v>
      </c>
      <c r="I1523" s="19" t="inlineStr">
        <is>
          <t>2</t>
        </is>
      </c>
      <c r="J1523" t="inlineStr">
        <is>
          <t>2026-08-08</t>
        </is>
      </c>
      <c r="L1523" s="19" t="inlineStr">
        <is>
          <t>1014664</t>
        </is>
      </c>
      <c r="M1523" t="inlineStr">
        <is>
          <t>STATUS=IN OEM / EU PACKAGE; SOURCE_CFG=IA-ST-CFG-0198; MARKET=SKG İTALYA</t>
        </is>
      </c>
      <c r="N1523" t="inlineStr">
        <is>
          <t>2026-08-10T19:29:54Z</t>
        </is>
      </c>
      <c r="O1523" t="inlineStr">
        <is>
          <t>2026-08-10T19:29:54Z</t>
        </is>
      </c>
    </row>
    <row r="1524">
      <c r="A1524" s="19" t="inlineStr">
        <is>
          <t>1523</t>
        </is>
      </c>
      <c r="B1524" s="19" t="inlineStr">
        <is>
          <t>1014665</t>
        </is>
      </c>
      <c r="C1524" t="inlineStr">
        <is>
          <t>AKÜ,L3,DK,72AH,IGYASMF,NONAME,096EFB,SKG</t>
        </is>
      </c>
      <c r="D1524" s="19" t="inlineStr">
        <is>
          <t>1</t>
        </is>
      </c>
      <c r="E1524" t="n">
        <v>0</v>
      </c>
      <c r="I1524" s="19" t="inlineStr">
        <is>
          <t>2</t>
        </is>
      </c>
      <c r="J1524" t="inlineStr">
        <is>
          <t>2026-08-08</t>
        </is>
      </c>
      <c r="L1524" s="19" t="inlineStr">
        <is>
          <t>1014665</t>
        </is>
      </c>
      <c r="M1524" t="inlineStr">
        <is>
          <t>STATUS=IN OEM / EU PACKAGE; SOURCE_CFG=IA-ST-CFG-0198; MARKET=SKG İTALYA</t>
        </is>
      </c>
      <c r="N1524" t="inlineStr">
        <is>
          <t>2026-08-10T19:29:54Z</t>
        </is>
      </c>
      <c r="O1524" t="inlineStr">
        <is>
          <t>2026-08-10T19:29:54Z</t>
        </is>
      </c>
    </row>
    <row r="1525">
      <c r="A1525" s="19" t="inlineStr">
        <is>
          <t>1524</t>
        </is>
      </c>
      <c r="B1525" s="19" t="inlineStr">
        <is>
          <t>1014666</t>
        </is>
      </c>
      <c r="C1525" t="inlineStr">
        <is>
          <t>AKÜ,LB4,DK,75AH,IGYASMF,NONAME110EFB,SKG</t>
        </is>
      </c>
      <c r="D1525" s="19" t="inlineStr">
        <is>
          <t>1</t>
        </is>
      </c>
      <c r="E1525" t="n">
        <v>0</v>
      </c>
      <c r="I1525" s="19" t="inlineStr">
        <is>
          <t>2</t>
        </is>
      </c>
      <c r="J1525" t="inlineStr">
        <is>
          <t>2026-08-08</t>
        </is>
      </c>
      <c r="L1525" s="19" t="inlineStr">
        <is>
          <t>1014666</t>
        </is>
      </c>
      <c r="M1525" t="inlineStr">
        <is>
          <t>STATUS=IN OEM / EU PACKAGE; SOURCE_CFG=IA-ST-CFG-0151; MARKET=SKG İTALYA</t>
        </is>
      </c>
      <c r="N1525" t="inlineStr">
        <is>
          <t>2026-08-10T19:29:54Z</t>
        </is>
      </c>
      <c r="O1525" t="inlineStr">
        <is>
          <t>2026-08-10T19:29:54Z</t>
        </is>
      </c>
    </row>
    <row r="1526">
      <c r="A1526" s="19" t="inlineStr">
        <is>
          <t>1525</t>
        </is>
      </c>
      <c r="B1526" s="19" t="inlineStr">
        <is>
          <t>1014667</t>
        </is>
      </c>
      <c r="C1526" t="inlineStr">
        <is>
          <t>AKÜ AGM,L5,DK,95AH,NO NAME,019AGM,SKG</t>
        </is>
      </c>
      <c r="D1526" s="19" t="inlineStr">
        <is>
          <t>1</t>
        </is>
      </c>
      <c r="E1526" t="n">
        <v>0</v>
      </c>
      <c r="I1526" s="19" t="inlineStr">
        <is>
          <t>2</t>
        </is>
      </c>
      <c r="J1526" t="inlineStr">
        <is>
          <t>2026-08-08</t>
        </is>
      </c>
      <c r="L1526" s="19" t="inlineStr">
        <is>
          <t>1014667</t>
        </is>
      </c>
      <c r="M1526" t="inlineStr">
        <is>
          <t>STATUS=IN OEM / EU PACKAGE; SOURCE_CFG=IA-ST-CFG-0114; MARKET=SKG İTALYA</t>
        </is>
      </c>
      <c r="N1526" t="inlineStr">
        <is>
          <t>2026-08-10T19:29:54Z</t>
        </is>
      </c>
      <c r="O1526" t="inlineStr">
        <is>
          <t>2026-08-10T19:29:54Z</t>
        </is>
      </c>
    </row>
    <row r="1527">
      <c r="A1527" s="19" t="inlineStr">
        <is>
          <t>1526</t>
        </is>
      </c>
      <c r="B1527" s="19" t="inlineStr">
        <is>
          <t>1014668</t>
        </is>
      </c>
      <c r="C1527" t="inlineStr">
        <is>
          <t>AKÜ AGM,L2,DK,60AH,NO NAME,027AGM,SKG</t>
        </is>
      </c>
      <c r="D1527" s="19" t="inlineStr">
        <is>
          <t>1</t>
        </is>
      </c>
      <c r="E1527" t="n">
        <v>0</v>
      </c>
      <c r="I1527" s="19" t="inlineStr">
        <is>
          <t>2</t>
        </is>
      </c>
      <c r="J1527" t="inlineStr">
        <is>
          <t>2026-08-08</t>
        </is>
      </c>
      <c r="L1527" s="19" t="inlineStr">
        <is>
          <t>1014668</t>
        </is>
      </c>
      <c r="M1527" t="inlineStr">
        <is>
          <t>STATUS=IN OEM / EU PACKAGE; SOURCE_CFG=IA-ST-CFG-0239; MARKET=SKG İTALYA</t>
        </is>
      </c>
      <c r="N1527" t="inlineStr">
        <is>
          <t>2026-08-10T19:29:54Z</t>
        </is>
      </c>
      <c r="O1527" t="inlineStr">
        <is>
          <t>2026-08-10T19:29:54Z</t>
        </is>
      </c>
    </row>
    <row r="1528">
      <c r="A1528" s="19" t="inlineStr">
        <is>
          <t>1527</t>
        </is>
      </c>
      <c r="B1528" s="19" t="inlineStr">
        <is>
          <t>1014669</t>
        </is>
      </c>
      <c r="C1528" t="inlineStr">
        <is>
          <t>AKÜ AGM,L3,DK,70AH,NO NAME,096AGM,SKG</t>
        </is>
      </c>
      <c r="D1528" s="19" t="inlineStr">
        <is>
          <t>1</t>
        </is>
      </c>
      <c r="E1528" t="n">
        <v>0</v>
      </c>
      <c r="I1528" s="19" t="inlineStr">
        <is>
          <t>2</t>
        </is>
      </c>
      <c r="J1528" t="inlineStr">
        <is>
          <t>2026-08-08</t>
        </is>
      </c>
      <c r="L1528" s="19" t="inlineStr">
        <is>
          <t>1014669</t>
        </is>
      </c>
      <c r="M1528" t="inlineStr">
        <is>
          <t>STATUS=IN OEM / EU PACKAGE; SOURCE_CFG=IA-ST-CFG-0198; MARKET=SKG İTALYA</t>
        </is>
      </c>
      <c r="N1528" t="inlineStr">
        <is>
          <t>2026-08-10T19:29:54Z</t>
        </is>
      </c>
      <c r="O1528" t="inlineStr">
        <is>
          <t>2026-08-10T19:29:54Z</t>
        </is>
      </c>
    </row>
    <row r="1529">
      <c r="A1529" s="19" t="inlineStr">
        <is>
          <t>1528</t>
        </is>
      </c>
      <c r="B1529" s="19" t="inlineStr">
        <is>
          <t>1014670</t>
        </is>
      </c>
      <c r="C1529" t="inlineStr">
        <is>
          <t>AKÜ AGM,L4,DK,80AH,NO NAME,110AGM,SKG</t>
        </is>
      </c>
      <c r="D1529" s="19" t="inlineStr">
        <is>
          <t>1</t>
        </is>
      </c>
      <c r="E1529" t="n">
        <v>0</v>
      </c>
      <c r="I1529" s="19" t="inlineStr">
        <is>
          <t>2</t>
        </is>
      </c>
      <c r="J1529" t="inlineStr">
        <is>
          <t>2026-08-08</t>
        </is>
      </c>
      <c r="L1529" s="19" t="inlineStr">
        <is>
          <t>1014670</t>
        </is>
      </c>
      <c r="M1529" t="inlineStr">
        <is>
          <t>STATUS=IN OEM / EU PACKAGE; SOURCE_CFG=IA-ST-CFG-0151; MARKET=SKG İTALYA</t>
        </is>
      </c>
      <c r="N1529" t="inlineStr">
        <is>
          <t>2026-08-10T19:29:54Z</t>
        </is>
      </c>
      <c r="O1529" t="inlineStr">
        <is>
          <t>2026-08-10T19:29:54Z</t>
        </is>
      </c>
    </row>
    <row r="1530">
      <c r="A1530" s="19" t="inlineStr">
        <is>
          <t>1529</t>
        </is>
      </c>
      <c r="B1530" s="19" t="inlineStr">
        <is>
          <t>1014673</t>
        </is>
      </c>
      <c r="C1530" t="inlineStr">
        <is>
          <t>AKÜ,C-IGYASMF,DK,230AH,BLIZZARO EFB S&amp;S</t>
        </is>
      </c>
      <c r="D1530" s="19" t="inlineStr">
        <is>
          <t>1</t>
        </is>
      </c>
      <c r="E1530" t="n">
        <v>0</v>
      </c>
      <c r="I1530" s="19" t="inlineStr">
        <is>
          <t>2</t>
        </is>
      </c>
      <c r="J1530" t="inlineStr">
        <is>
          <t>2026-08-08</t>
        </is>
      </c>
      <c r="L1530" s="19" t="inlineStr">
        <is>
          <t>1014673</t>
        </is>
      </c>
      <c r="M1530" t="inlineStr">
        <is>
          <t>STATUS=IN OEM / EU PACKAGE; SOURCE_CFG=IA-ST-CFG-0023; MARKET=None</t>
        </is>
      </c>
      <c r="N1530" t="inlineStr">
        <is>
          <t>2026-08-10T19:29:54Z</t>
        </is>
      </c>
      <c r="O1530" t="inlineStr">
        <is>
          <t>2026-08-10T19:29:54Z</t>
        </is>
      </c>
    </row>
    <row r="1531">
      <c r="A1531" s="19" t="inlineStr">
        <is>
          <t>1530</t>
        </is>
      </c>
      <c r="B1531" s="19" t="inlineStr">
        <is>
          <t>1014674</t>
        </is>
      </c>
      <c r="C1531" t="inlineStr">
        <is>
          <t>AKÜ,B-IGYASMF,DK,180AH,BLIZSILVER,SHDNEW</t>
        </is>
      </c>
      <c r="D1531" s="19" t="inlineStr">
        <is>
          <t>1</t>
        </is>
      </c>
      <c r="E1531" t="n">
        <v>0</v>
      </c>
      <c r="I1531" s="19" t="inlineStr">
        <is>
          <t>2</t>
        </is>
      </c>
      <c r="J1531" t="inlineStr">
        <is>
          <t>2026-08-08</t>
        </is>
      </c>
      <c r="L1531" s="19" t="inlineStr">
        <is>
          <t>1014674</t>
        </is>
      </c>
      <c r="M1531" t="inlineStr">
        <is>
          <t>STATUS=IN OEM / EU PACKAGE; SOURCE_CFG=IA-ST-CFG-0052; MARKET=None</t>
        </is>
      </c>
      <c r="N1531" t="inlineStr">
        <is>
          <t>2026-08-10T19:29:54Z</t>
        </is>
      </c>
      <c r="O1531" t="inlineStr">
        <is>
          <t>2026-08-10T19:29:54Z</t>
        </is>
      </c>
    </row>
    <row r="1532">
      <c r="A1532" s="19" t="inlineStr">
        <is>
          <t>1531</t>
        </is>
      </c>
      <c r="B1532" s="19" t="inlineStr">
        <is>
          <t>1014675</t>
        </is>
      </c>
      <c r="C1532" t="inlineStr">
        <is>
          <t>AKÜ,L5,DK,105AH,IGYASMF,İNCİMAXIMA,İÇPYS</t>
        </is>
      </c>
      <c r="D1532" s="19" t="inlineStr">
        <is>
          <t>1</t>
        </is>
      </c>
      <c r="E1532" t="n">
        <v>0</v>
      </c>
      <c r="I1532" s="19" t="inlineStr">
        <is>
          <t>2</t>
        </is>
      </c>
      <c r="J1532" t="inlineStr">
        <is>
          <t>2026-08-08</t>
        </is>
      </c>
      <c r="L1532" s="19" t="inlineStr">
        <is>
          <t>1014675</t>
        </is>
      </c>
      <c r="M1532" t="inlineStr">
        <is>
          <t>STATUS=IN OEM / EU PACKAGE; SOURCE_CFG=IA-ST-CFG-0098; MARKET=YURT İÇİ AFM</t>
        </is>
      </c>
      <c r="N1532" t="inlineStr">
        <is>
          <t>2026-08-10T19:29:54Z</t>
        </is>
      </c>
      <c r="O1532" t="inlineStr">
        <is>
          <t>2026-08-10T19:29:54Z</t>
        </is>
      </c>
    </row>
    <row r="1533">
      <c r="A1533" s="19" t="inlineStr">
        <is>
          <t>1532</t>
        </is>
      </c>
      <c r="B1533" s="19" t="inlineStr">
        <is>
          <t>1014676</t>
        </is>
      </c>
      <c r="C1533" t="inlineStr">
        <is>
          <t>AKÜ,L5,DK,105AH,IGYASMF,EAS EXTRA,İÇ PYS</t>
        </is>
      </c>
      <c r="D1533" s="19" t="inlineStr">
        <is>
          <t>1</t>
        </is>
      </c>
      <c r="E1533" t="n">
        <v>0</v>
      </c>
      <c r="I1533" s="19" t="inlineStr">
        <is>
          <t>2</t>
        </is>
      </c>
      <c r="J1533" t="inlineStr">
        <is>
          <t>2026-08-08</t>
        </is>
      </c>
      <c r="L1533" s="19" t="inlineStr">
        <is>
          <t>1014676</t>
        </is>
      </c>
      <c r="M1533" t="inlineStr">
        <is>
          <t>STATUS=IN OEM / EU PACKAGE; SOURCE_CFG=IA-ST-CFG-0098; MARKET=YURT İÇİ AFM</t>
        </is>
      </c>
      <c r="N1533" t="inlineStr">
        <is>
          <t>2026-08-10T19:29:54Z</t>
        </is>
      </c>
      <c r="O1533" t="inlineStr">
        <is>
          <t>2026-08-10T19:29:54Z</t>
        </is>
      </c>
    </row>
    <row r="1534">
      <c r="A1534" s="19" t="inlineStr">
        <is>
          <t>1533</t>
        </is>
      </c>
      <c r="B1534" s="19" t="inlineStr">
        <is>
          <t>1014678</t>
        </is>
      </c>
      <c r="C1534" t="inlineStr">
        <is>
          <t>AKÜ,L2,DK,60AH,IGYA,İNCİFORMULA,HONDAOES</t>
        </is>
      </c>
      <c r="D1534" s="19" t="inlineStr">
        <is>
          <t>1</t>
        </is>
      </c>
      <c r="E1534" t="n">
        <v>0</v>
      </c>
      <c r="I1534" s="19" t="inlineStr">
        <is>
          <t>2</t>
        </is>
      </c>
      <c r="J1534" t="inlineStr">
        <is>
          <t>2026-08-08</t>
        </is>
      </c>
      <c r="L1534" s="19" t="inlineStr">
        <is>
          <t>1014678</t>
        </is>
      </c>
      <c r="M1534" t="inlineStr">
        <is>
          <t>STATUS=IN OEM / EU PACKAGE; SOURCE_CFG=IA-ST-CFG-0222; MARKET=HONDA OES (Yurt İçi)</t>
        </is>
      </c>
      <c r="N1534" t="inlineStr">
        <is>
          <t>2026-08-10T19:29:54Z</t>
        </is>
      </c>
      <c r="O1534" t="inlineStr">
        <is>
          <t>2026-08-10T19:29:54Z</t>
        </is>
      </c>
    </row>
    <row r="1535">
      <c r="A1535" s="19" t="inlineStr">
        <is>
          <t>1534</t>
        </is>
      </c>
      <c r="B1535" s="19" t="inlineStr">
        <is>
          <t>1014679</t>
        </is>
      </c>
      <c r="C1535" t="inlineStr">
        <is>
          <t>AKÜ,A-FLAT,DK,120AH,EAS PRIDE</t>
        </is>
      </c>
      <c r="D1535" s="19" t="inlineStr">
        <is>
          <t>1</t>
        </is>
      </c>
      <c r="E1535" t="n">
        <v>0</v>
      </c>
      <c r="I1535" s="19" t="inlineStr">
        <is>
          <t>2</t>
        </is>
      </c>
      <c r="J1535" t="inlineStr">
        <is>
          <t>2026-08-08</t>
        </is>
      </c>
      <c r="L1535" s="19" t="inlineStr">
        <is>
          <t>1014679</t>
        </is>
      </c>
      <c r="M1535" t="inlineStr">
        <is>
          <t>STATUS=IN OEM / EU PACKAGE; SOURCE_CFG=IA-ST-CFG-0051; MARKET=None</t>
        </is>
      </c>
      <c r="N1535" t="inlineStr">
        <is>
          <t>2026-08-10T19:29:54Z</t>
        </is>
      </c>
      <c r="O1535" t="inlineStr">
        <is>
          <t>2026-08-10T19:29:54Z</t>
        </is>
      </c>
    </row>
    <row r="1536">
      <c r="A1536" s="19" t="inlineStr">
        <is>
          <t>1535</t>
        </is>
      </c>
      <c r="B1536" s="19" t="inlineStr">
        <is>
          <t>1014682</t>
        </is>
      </c>
      <c r="C1536" t="inlineStr">
        <is>
          <t>AKÜ,A-IGYASMF,DK,135AH,İNCİFORMUL,SHDNEW</t>
        </is>
      </c>
      <c r="D1536" s="19" t="inlineStr">
        <is>
          <t>1</t>
        </is>
      </c>
      <c r="E1536" t="n">
        <v>0</v>
      </c>
      <c r="I1536" s="19" t="inlineStr">
        <is>
          <t>2</t>
        </is>
      </c>
      <c r="J1536" t="inlineStr">
        <is>
          <t>2026-08-08</t>
        </is>
      </c>
      <c r="L1536" s="19" t="inlineStr">
        <is>
          <t>1014682</t>
        </is>
      </c>
      <c r="M1536" t="inlineStr">
        <is>
          <t>STATUS=IN OEM / EU PACKAGE; SOURCE_CFG=IA-ST-CFG-0051; MARKET=None</t>
        </is>
      </c>
      <c r="N1536" t="inlineStr">
        <is>
          <t>2026-08-10T19:29:54Z</t>
        </is>
      </c>
      <c r="O1536" t="inlineStr">
        <is>
          <t>2026-08-10T19:29:54Z</t>
        </is>
      </c>
    </row>
    <row r="1537">
      <c r="A1537" s="19" t="inlineStr">
        <is>
          <t>1536</t>
        </is>
      </c>
      <c r="B1537" s="19" t="inlineStr">
        <is>
          <t>1014683</t>
        </is>
      </c>
      <c r="C1537" t="inlineStr">
        <is>
          <t>AKÜ,B-IGYASMF,DK180AH,İNCİFORMULA,SHDNEW</t>
        </is>
      </c>
      <c r="D1537" s="19" t="inlineStr">
        <is>
          <t>1</t>
        </is>
      </c>
      <c r="E1537" t="n">
        <v>0</v>
      </c>
      <c r="I1537" s="19" t="inlineStr">
        <is>
          <t>2</t>
        </is>
      </c>
      <c r="J1537" t="inlineStr">
        <is>
          <t>2026-08-08</t>
        </is>
      </c>
      <c r="L1537" s="19" t="inlineStr">
        <is>
          <t>1014683</t>
        </is>
      </c>
      <c r="M1537" t="inlineStr">
        <is>
          <t>STATUS=IN OEM / EU PACKAGE; SOURCE_CFG=IA-ST-CFG-0052; MARKET=None</t>
        </is>
      </c>
      <c r="N1537" t="inlineStr">
        <is>
          <t>2026-08-10T19:29:54Z</t>
        </is>
      </c>
      <c r="O1537" t="inlineStr">
        <is>
          <t>2026-08-10T19:29:54Z</t>
        </is>
      </c>
    </row>
    <row r="1538">
      <c r="A1538" s="19" t="inlineStr">
        <is>
          <t>1537</t>
        </is>
      </c>
      <c r="B1538" s="19" t="inlineStr">
        <is>
          <t>1014685</t>
        </is>
      </c>
      <c r="C1538" t="inlineStr">
        <is>
          <t>AKÜ,C-FLAT,DK,230AH,ENERGY MAX,EURO</t>
        </is>
      </c>
      <c r="D1538" s="19" t="inlineStr">
        <is>
          <t>1</t>
        </is>
      </c>
      <c r="E1538" t="n">
        <v>0</v>
      </c>
      <c r="I1538" s="19" t="inlineStr">
        <is>
          <t>2</t>
        </is>
      </c>
      <c r="J1538" t="inlineStr">
        <is>
          <t>2026-08-08</t>
        </is>
      </c>
      <c r="L1538" s="19" t="inlineStr">
        <is>
          <t>1014685</t>
        </is>
      </c>
      <c r="M1538" t="inlineStr">
        <is>
          <t>STATUS=IN OEM / EU PACKAGE; SOURCE_CFG=IA-ST-CFG-0014; MARKET=None</t>
        </is>
      </c>
      <c r="N1538" t="inlineStr">
        <is>
          <t>2026-08-10T19:29:54Z</t>
        </is>
      </c>
      <c r="O1538" t="inlineStr">
        <is>
          <t>2026-08-10T19:29:54Z</t>
        </is>
      </c>
    </row>
    <row r="1539">
      <c r="A1539" s="19" t="inlineStr">
        <is>
          <t>1538</t>
        </is>
      </c>
      <c r="B1539" s="19" t="inlineStr">
        <is>
          <t>1014686</t>
        </is>
      </c>
      <c r="C1539" t="inlineStr">
        <is>
          <t>AKÜ,B-FLAT,DK,180AH,ENERGY MAX,EURO</t>
        </is>
      </c>
      <c r="D1539" s="19" t="inlineStr">
        <is>
          <t>1</t>
        </is>
      </c>
      <c r="E1539" t="n">
        <v>0</v>
      </c>
      <c r="I1539" s="19" t="inlineStr">
        <is>
          <t>2</t>
        </is>
      </c>
      <c r="J1539" t="inlineStr">
        <is>
          <t>2026-08-08</t>
        </is>
      </c>
      <c r="L1539" s="19" t="inlineStr">
        <is>
          <t>1014686</t>
        </is>
      </c>
      <c r="M1539" t="inlineStr">
        <is>
          <t>STATUS=IN OEM / EU PACKAGE; SOURCE_CFG=IA-ST-CFG-0029; MARKET=None</t>
        </is>
      </c>
      <c r="N1539" t="inlineStr">
        <is>
          <t>2026-08-10T19:29:54Z</t>
        </is>
      </c>
      <c r="O1539" t="inlineStr">
        <is>
          <t>2026-08-10T19:29:54Z</t>
        </is>
      </c>
    </row>
    <row r="1540">
      <c r="A1540" s="19" t="inlineStr">
        <is>
          <t>1539</t>
        </is>
      </c>
      <c r="B1540" s="19" t="inlineStr">
        <is>
          <t>1014687</t>
        </is>
      </c>
      <c r="C1540" t="inlineStr">
        <is>
          <t>AKÜ,A-FLAT,DK,135AH,ENERGY MAX,EURO</t>
        </is>
      </c>
      <c r="D1540" s="19" t="inlineStr">
        <is>
          <t>1</t>
        </is>
      </c>
      <c r="E1540" t="n">
        <v>0</v>
      </c>
      <c r="I1540" s="19" t="inlineStr">
        <is>
          <t>2</t>
        </is>
      </c>
      <c r="J1540" t="inlineStr">
        <is>
          <t>2026-08-08</t>
        </is>
      </c>
      <c r="L1540" s="19" t="inlineStr">
        <is>
          <t>1014687</t>
        </is>
      </c>
      <c r="M1540" t="inlineStr">
        <is>
          <t>STATUS=IN OEM / EU PACKAGE; SOURCE_CFG=IA-ST-CFG-0039; MARKET=None</t>
        </is>
      </c>
      <c r="N1540" t="inlineStr">
        <is>
          <t>2026-08-10T19:29:54Z</t>
        </is>
      </c>
      <c r="O1540" t="inlineStr">
        <is>
          <t>2026-08-10T19:29:54Z</t>
        </is>
      </c>
    </row>
    <row r="1541">
      <c r="A1541" s="19" t="inlineStr">
        <is>
          <t>1540</t>
        </is>
      </c>
      <c r="B1541" s="19" t="inlineStr">
        <is>
          <t>1014688</t>
        </is>
      </c>
      <c r="C1541" t="inlineStr">
        <is>
          <t>AKÜ,L3,DK,75AH,IGYA SMF,ENERGY MAX,EURO</t>
        </is>
      </c>
      <c r="D1541" s="19" t="inlineStr">
        <is>
          <t>1</t>
        </is>
      </c>
      <c r="E1541" t="n">
        <v>0</v>
      </c>
      <c r="I1541" s="19" t="inlineStr">
        <is>
          <t>2</t>
        </is>
      </c>
      <c r="J1541" t="inlineStr">
        <is>
          <t>2026-08-08</t>
        </is>
      </c>
      <c r="L1541" s="19" t="inlineStr">
        <is>
          <t>1014688</t>
        </is>
      </c>
      <c r="M1541" t="inlineStr">
        <is>
          <t>STATUS=IN OEM / EU PACKAGE; SOURCE_CFG=IA-ST-CFG-0200; MARKET=None</t>
        </is>
      </c>
      <c r="N1541" t="inlineStr">
        <is>
          <t>2026-08-10T19:29:54Z</t>
        </is>
      </c>
      <c r="O1541" t="inlineStr">
        <is>
          <t>2026-08-10T19:29:54Z</t>
        </is>
      </c>
    </row>
    <row r="1542">
      <c r="A1542" s="19" t="inlineStr">
        <is>
          <t>1541</t>
        </is>
      </c>
      <c r="B1542" s="19" t="inlineStr">
        <is>
          <t>1014689</t>
        </is>
      </c>
      <c r="C1542" t="inlineStr">
        <is>
          <t>AKÜ,L2,DK,60AH,IGYA SMF,ENERGY MAX,EURO</t>
        </is>
      </c>
      <c r="D1542" s="19" t="inlineStr">
        <is>
          <t>1</t>
        </is>
      </c>
      <c r="E1542" t="n">
        <v>0</v>
      </c>
      <c r="I1542" s="19" t="inlineStr">
        <is>
          <t>2</t>
        </is>
      </c>
      <c r="J1542" t="inlineStr">
        <is>
          <t>2026-08-08</t>
        </is>
      </c>
      <c r="L1542" s="19" t="inlineStr">
        <is>
          <t>1014689</t>
        </is>
      </c>
      <c r="M1542" t="inlineStr">
        <is>
          <t>STATUS=IN OEM / EU PACKAGE; SOURCE_CFG=IA-ST-CFG-0240; MARKET=None</t>
        </is>
      </c>
      <c r="N1542" t="inlineStr">
        <is>
          <t>2026-08-10T19:29:54Z</t>
        </is>
      </c>
      <c r="O1542" t="inlineStr">
        <is>
          <t>2026-08-10T19:29:54Z</t>
        </is>
      </c>
    </row>
    <row r="1543">
      <c r="A1543" s="19" t="inlineStr">
        <is>
          <t>1542</t>
        </is>
      </c>
      <c r="B1543" s="19" t="inlineStr">
        <is>
          <t>1014690</t>
        </is>
      </c>
      <c r="C1543" t="inlineStr">
        <is>
          <t>AKÜ,TRACTORL,DK,105AH,BLIZ.TRENDLIN,EUR0</t>
        </is>
      </c>
      <c r="D1543" s="19" t="inlineStr">
        <is>
          <t>1</t>
        </is>
      </c>
      <c r="E1543" t="n">
        <v>0</v>
      </c>
      <c r="I1543" s="19" t="inlineStr">
        <is>
          <t>2</t>
        </is>
      </c>
      <c r="J1543" t="inlineStr">
        <is>
          <t>2026-08-08</t>
        </is>
      </c>
      <c r="L1543" s="19" t="inlineStr">
        <is>
          <t>1014690</t>
        </is>
      </c>
      <c r="M1543" t="inlineStr">
        <is>
          <t>STATUS=IN OEM / EU PACKAGE; SOURCE_CFG=IA-ST-CFG-0070; MARKET=None</t>
        </is>
      </c>
      <c r="N1543" t="inlineStr">
        <is>
          <t>2026-08-10T19:29:54Z</t>
        </is>
      </c>
      <c r="O1543" t="inlineStr">
        <is>
          <t>2026-08-10T19:29:54Z</t>
        </is>
      </c>
    </row>
    <row r="1544">
      <c r="A1544" s="19" t="inlineStr">
        <is>
          <t>1543</t>
        </is>
      </c>
      <c r="B1544" s="19" t="inlineStr">
        <is>
          <t>1014691</t>
        </is>
      </c>
      <c r="C1544" t="inlineStr">
        <is>
          <t>AKÜ,LB2,DK,60AH,IGYA,BOOSTER,TÜRKMENİSTN</t>
        </is>
      </c>
      <c r="D1544" s="19" t="inlineStr">
        <is>
          <t>1</t>
        </is>
      </c>
      <c r="E1544" t="n">
        <v>0</v>
      </c>
      <c r="I1544" s="19" t="inlineStr">
        <is>
          <t>2</t>
        </is>
      </c>
      <c r="J1544" t="inlineStr">
        <is>
          <t>2026-08-08</t>
        </is>
      </c>
      <c r="L1544" s="19" t="inlineStr">
        <is>
          <t>1014691</t>
        </is>
      </c>
      <c r="M1544" t="inlineStr">
        <is>
          <t>STATUS=IN OEM / EU PACKAGE; SOURCE_CFG=IA-ST-CFG-0222; MARKET=TÜRKMENİSTAN</t>
        </is>
      </c>
      <c r="N1544" t="inlineStr">
        <is>
          <t>2026-08-10T19:29:54Z</t>
        </is>
      </c>
      <c r="O1544" t="inlineStr">
        <is>
          <t>2026-08-10T19:29:54Z</t>
        </is>
      </c>
    </row>
    <row r="1545">
      <c r="A1545" s="19" t="inlineStr">
        <is>
          <t>1544</t>
        </is>
      </c>
      <c r="B1545" s="19" t="inlineStr">
        <is>
          <t>1014692</t>
        </is>
      </c>
      <c r="C1545" t="inlineStr">
        <is>
          <t>AKÜ,L2,DK,60AH,IGYA,EASACTIVA,TÜRKMENSTN</t>
        </is>
      </c>
      <c r="D1545" s="19" t="inlineStr">
        <is>
          <t>1</t>
        </is>
      </c>
      <c r="E1545" t="n">
        <v>0</v>
      </c>
      <c r="I1545" s="19" t="inlineStr">
        <is>
          <t>2</t>
        </is>
      </c>
      <c r="J1545" t="inlineStr">
        <is>
          <t>2026-08-08</t>
        </is>
      </c>
      <c r="L1545" s="19" t="inlineStr">
        <is>
          <t>1014692</t>
        </is>
      </c>
      <c r="M1545" t="inlineStr">
        <is>
          <t>STATUS=IN OEM / EU PACKAGE; SOURCE_CFG=IA-ST-CFG-0222; MARKET=TÜRKMENİSTAN</t>
        </is>
      </c>
      <c r="N1545" t="inlineStr">
        <is>
          <t>2026-08-10T19:29:54Z</t>
        </is>
      </c>
      <c r="O1545" t="inlineStr">
        <is>
          <t>2026-08-10T19:29:54Z</t>
        </is>
      </c>
    </row>
    <row r="1546">
      <c r="A1546" s="19" t="inlineStr">
        <is>
          <t>1545</t>
        </is>
      </c>
      <c r="B1546" s="19" t="inlineStr">
        <is>
          <t>1014693</t>
        </is>
      </c>
      <c r="C1546" t="inlineStr">
        <is>
          <t>AKÜ,L3,DK,75AH,IGYA,EASACTIVA,TÜRKMENSTN</t>
        </is>
      </c>
      <c r="D1546" s="19" t="inlineStr">
        <is>
          <t>1</t>
        </is>
      </c>
      <c r="E1546" t="n">
        <v>0</v>
      </c>
      <c r="I1546" s="19" t="inlineStr">
        <is>
          <t>2</t>
        </is>
      </c>
      <c r="J1546" t="inlineStr">
        <is>
          <t>2026-08-08</t>
        </is>
      </c>
      <c r="L1546" s="19" t="inlineStr">
        <is>
          <t>1014693</t>
        </is>
      </c>
      <c r="M1546" t="inlineStr">
        <is>
          <t>STATUS=IN OEM / EU PACKAGE; SOURCE_CFG=IA-ST-CFG-0179; MARKET=TÜRKMENİSTAN</t>
        </is>
      </c>
      <c r="N1546" t="inlineStr">
        <is>
          <t>2026-08-10T19:29:54Z</t>
        </is>
      </c>
      <c r="O1546" t="inlineStr">
        <is>
          <t>2026-08-10T19:29:54Z</t>
        </is>
      </c>
    </row>
    <row r="1547">
      <c r="A1547" s="19" t="inlineStr">
        <is>
          <t>1546</t>
        </is>
      </c>
      <c r="B1547" s="19" t="inlineStr">
        <is>
          <t>1014694</t>
        </is>
      </c>
      <c r="C1547" t="inlineStr">
        <is>
          <t>AKÜ,L3,DK,75AH,IGYA,İNCİFORML,TÜRKMENSTN</t>
        </is>
      </c>
      <c r="D1547" s="19" t="inlineStr">
        <is>
          <t>1</t>
        </is>
      </c>
      <c r="E1547" t="n">
        <v>0</v>
      </c>
      <c r="I1547" s="19" t="inlineStr">
        <is>
          <t>2</t>
        </is>
      </c>
      <c r="J1547" t="inlineStr">
        <is>
          <t>2026-08-08</t>
        </is>
      </c>
      <c r="L1547" s="19" t="inlineStr">
        <is>
          <t>1014694</t>
        </is>
      </c>
      <c r="M1547" t="inlineStr">
        <is>
          <t>STATUS=IN OEM / EU PACKAGE; SOURCE_CFG=IA-ST-CFG-0179; MARKET=TÜRKMENİSTAN</t>
        </is>
      </c>
      <c r="N1547" t="inlineStr">
        <is>
          <t>2026-08-10T19:29:54Z</t>
        </is>
      </c>
      <c r="O1547" t="inlineStr">
        <is>
          <t>2026-08-10T19:29:54Z</t>
        </is>
      </c>
    </row>
    <row r="1548">
      <c r="A1548" s="19" t="inlineStr">
        <is>
          <t>1547</t>
        </is>
      </c>
      <c r="B1548" s="19" t="inlineStr">
        <is>
          <t>1014695</t>
        </is>
      </c>
      <c r="C1548" t="inlineStr">
        <is>
          <t>AKÜ,L2,DK,60AH,IGYA,İNCİFORML,TÜRKMENSTN</t>
        </is>
      </c>
      <c r="D1548" s="19" t="inlineStr">
        <is>
          <t>1</t>
        </is>
      </c>
      <c r="E1548" t="n">
        <v>0</v>
      </c>
      <c r="I1548" s="19" t="inlineStr">
        <is>
          <t>2</t>
        </is>
      </c>
      <c r="J1548" t="inlineStr">
        <is>
          <t>2026-08-08</t>
        </is>
      </c>
      <c r="L1548" s="19" t="inlineStr">
        <is>
          <t>1014695</t>
        </is>
      </c>
      <c r="M1548" t="inlineStr">
        <is>
          <t>STATUS=IN OEM / EU PACKAGE; SOURCE_CFG=IA-ST-CFG-0222; MARKET=TÜRKMENİSTAN</t>
        </is>
      </c>
      <c r="N1548" t="inlineStr">
        <is>
          <t>2026-08-10T19:29:54Z</t>
        </is>
      </c>
      <c r="O1548" t="inlineStr">
        <is>
          <t>2026-08-10T19:29:54Z</t>
        </is>
      </c>
    </row>
    <row r="1549">
      <c r="A1549" s="19" t="inlineStr">
        <is>
          <t>1548</t>
        </is>
      </c>
      <c r="B1549" s="19" t="inlineStr">
        <is>
          <t>1014696</t>
        </is>
      </c>
      <c r="C1549" t="inlineStr">
        <is>
          <t>AKÜ,L2,DK,62AH,IGYA,HUGELULTRA,TÜRKMNSTN</t>
        </is>
      </c>
      <c r="D1549" s="19" t="inlineStr">
        <is>
          <t>1</t>
        </is>
      </c>
      <c r="E1549" t="n">
        <v>0</v>
      </c>
      <c r="I1549" s="19" t="inlineStr">
        <is>
          <t>2</t>
        </is>
      </c>
      <c r="J1549" t="inlineStr">
        <is>
          <t>2026-08-08</t>
        </is>
      </c>
      <c r="L1549" s="19" t="inlineStr">
        <is>
          <t>1014696</t>
        </is>
      </c>
      <c r="M1549" t="inlineStr">
        <is>
          <t>STATUS=IN OEM / EU PACKAGE; SOURCE_CFG=IA-ST-CFG-0222; MARKET=TÜRKMENİSTAN</t>
        </is>
      </c>
      <c r="N1549" t="inlineStr">
        <is>
          <t>2026-08-10T19:29:54Z</t>
        </is>
      </c>
      <c r="O1549" t="inlineStr">
        <is>
          <t>2026-08-10T19:29:54Z</t>
        </is>
      </c>
    </row>
    <row r="1550">
      <c r="A1550" s="19" t="inlineStr">
        <is>
          <t>1549</t>
        </is>
      </c>
      <c r="B1550" s="19" t="inlineStr">
        <is>
          <t>1014697</t>
        </is>
      </c>
      <c r="C1550" t="inlineStr">
        <is>
          <t>AKÜ,L3,DK,75AH,IGYA,HUGELULTRA,TÜRKMNSTN</t>
        </is>
      </c>
      <c r="D1550" s="19" t="inlineStr">
        <is>
          <t>1</t>
        </is>
      </c>
      <c r="E1550" t="n">
        <v>0</v>
      </c>
      <c r="I1550" s="19" t="inlineStr">
        <is>
          <t>2</t>
        </is>
      </c>
      <c r="J1550" t="inlineStr">
        <is>
          <t>2026-08-08</t>
        </is>
      </c>
      <c r="L1550" s="19" t="inlineStr">
        <is>
          <t>1014697</t>
        </is>
      </c>
      <c r="M1550" t="inlineStr">
        <is>
          <t>STATUS=IN OEM / EU PACKAGE; SOURCE_CFG=IA-ST-CFG-0179; MARKET=TÜRKMENİSTAN</t>
        </is>
      </c>
      <c r="N1550" t="inlineStr">
        <is>
          <t>2026-08-10T19:29:54Z</t>
        </is>
      </c>
      <c r="O1550" t="inlineStr">
        <is>
          <t>2026-08-10T19:29:54Z</t>
        </is>
      </c>
    </row>
    <row r="1551">
      <c r="A1551" s="19" t="inlineStr">
        <is>
          <t>1550</t>
        </is>
      </c>
      <c r="B1551" s="19" t="inlineStr">
        <is>
          <t>1014698</t>
        </is>
      </c>
      <c r="C1551" t="inlineStr">
        <is>
          <t>AKÜ,D26,DK,75AH,IGYA,HUGELULTRA,TÜRKMNST</t>
        </is>
      </c>
      <c r="D1551" s="19" t="inlineStr">
        <is>
          <t>1</t>
        </is>
      </c>
      <c r="E1551" t="n">
        <v>0</v>
      </c>
      <c r="I1551" s="19" t="inlineStr">
        <is>
          <t>2</t>
        </is>
      </c>
      <c r="J1551" t="inlineStr">
        <is>
          <t>2026-08-08</t>
        </is>
      </c>
      <c r="L1551" s="19" t="inlineStr">
        <is>
          <t>1014698</t>
        </is>
      </c>
      <c r="M1551" t="inlineStr">
        <is>
          <t>STATUS=IN OEM / EU PACKAGE; SOURCE_CFG=IA-ST-CFG-0175; MARKET=TÜRKMENİSTAN</t>
        </is>
      </c>
      <c r="N1551" t="inlineStr">
        <is>
          <t>2026-08-10T19:29:54Z</t>
        </is>
      </c>
      <c r="O1551" t="inlineStr">
        <is>
          <t>2026-08-10T19:29:54Z</t>
        </is>
      </c>
    </row>
    <row r="1552">
      <c r="A1552" s="19" t="inlineStr">
        <is>
          <t>1551</t>
        </is>
      </c>
      <c r="B1552" s="19" t="inlineStr">
        <is>
          <t>1014699</t>
        </is>
      </c>
      <c r="C1552" t="inlineStr">
        <is>
          <t>AKÜ,L3,DK,75AH,IGYASMF,HI-TECH,TÜRKMNSTN</t>
        </is>
      </c>
      <c r="D1552" s="19" t="inlineStr">
        <is>
          <t>1</t>
        </is>
      </c>
      <c r="E1552" t="n">
        <v>0</v>
      </c>
      <c r="I1552" s="19" t="inlineStr">
        <is>
          <t>2</t>
        </is>
      </c>
      <c r="J1552" t="inlineStr">
        <is>
          <t>2026-08-08</t>
        </is>
      </c>
      <c r="L1552" s="19" t="inlineStr">
        <is>
          <t>1014699</t>
        </is>
      </c>
      <c r="M1552" t="inlineStr">
        <is>
          <t>STATUS=IN OEM / EU PACKAGE; SOURCE_CFG=IA-ST-CFG-0179; MARKET=TÜRKMENİSTAN</t>
        </is>
      </c>
      <c r="N1552" t="inlineStr">
        <is>
          <t>2026-08-10T19:29:54Z</t>
        </is>
      </c>
      <c r="O1552" t="inlineStr">
        <is>
          <t>2026-08-10T19:29:54Z</t>
        </is>
      </c>
    </row>
    <row r="1553">
      <c r="A1553" s="19" t="inlineStr">
        <is>
          <t>1552</t>
        </is>
      </c>
      <c r="B1553" s="19" t="inlineStr">
        <is>
          <t>1014700</t>
        </is>
      </c>
      <c r="C1553" t="inlineStr">
        <is>
          <t>AKÜ,LB2,DK,60AH,IGYA,HI-TECH,TÜRKMENİSTN</t>
        </is>
      </c>
      <c r="D1553" s="19" t="inlineStr">
        <is>
          <t>1</t>
        </is>
      </c>
      <c r="E1553" t="n">
        <v>0</v>
      </c>
      <c r="I1553" s="19" t="inlineStr">
        <is>
          <t>2</t>
        </is>
      </c>
      <c r="J1553" t="inlineStr">
        <is>
          <t>2026-08-08</t>
        </is>
      </c>
      <c r="L1553" s="19" t="inlineStr">
        <is>
          <t>1014700</t>
        </is>
      </c>
      <c r="M1553" t="inlineStr">
        <is>
          <t>STATUS=IN OEM / EU PACKAGE; SOURCE_CFG=IA-ST-CFG-0222; MARKET=TÜRKMENİSTAN</t>
        </is>
      </c>
      <c r="N1553" t="inlineStr">
        <is>
          <t>2026-08-10T19:29:54Z</t>
        </is>
      </c>
      <c r="O1553" t="inlineStr">
        <is>
          <t>2026-08-10T19:29:54Z</t>
        </is>
      </c>
    </row>
    <row r="1554">
      <c r="A1554" s="19" t="inlineStr">
        <is>
          <t>1553</t>
        </is>
      </c>
      <c r="B1554" s="19" t="inlineStr">
        <is>
          <t>1014701</t>
        </is>
      </c>
      <c r="C1554" t="inlineStr">
        <is>
          <t>AKÜ,LB2,DK,60AH,IGYA,ELECTRA,TÜRKMENİSTN</t>
        </is>
      </c>
      <c r="D1554" s="19" t="inlineStr">
        <is>
          <t>1</t>
        </is>
      </c>
      <c r="E1554" t="n">
        <v>0</v>
      </c>
      <c r="I1554" s="19" t="inlineStr">
        <is>
          <t>2</t>
        </is>
      </c>
      <c r="J1554" t="inlineStr">
        <is>
          <t>2026-08-08</t>
        </is>
      </c>
      <c r="L1554" s="19" t="inlineStr">
        <is>
          <t>1014701</t>
        </is>
      </c>
      <c r="M1554" t="inlineStr">
        <is>
          <t>STATUS=IN OEM / EU PACKAGE; SOURCE_CFG=IA-ST-CFG-0222; MARKET=TÜRKMENİSTAN</t>
        </is>
      </c>
      <c r="N1554" t="inlineStr">
        <is>
          <t>2026-08-10T19:29:54Z</t>
        </is>
      </c>
      <c r="O1554" t="inlineStr">
        <is>
          <t>2026-08-10T19:29:54Z</t>
        </is>
      </c>
    </row>
    <row r="1555">
      <c r="A1555" s="19" t="inlineStr">
        <is>
          <t>1554</t>
        </is>
      </c>
      <c r="B1555" s="19" t="inlineStr">
        <is>
          <t>1014708</t>
        </is>
      </c>
      <c r="C1555" t="inlineStr">
        <is>
          <t>AKÜ,L1,DK,44AH,IGYA,İNCİ FORM TAURS,EURO</t>
        </is>
      </c>
      <c r="D1555" s="19" t="inlineStr">
        <is>
          <t>1</t>
        </is>
      </c>
      <c r="E1555" t="n">
        <v>0</v>
      </c>
      <c r="I1555" s="19" t="inlineStr">
        <is>
          <t>2</t>
        </is>
      </c>
      <c r="J1555" t="inlineStr">
        <is>
          <t>2026-08-08</t>
        </is>
      </c>
      <c r="L1555" s="19" t="inlineStr">
        <is>
          <t>1014708</t>
        </is>
      </c>
      <c r="M1555" t="inlineStr">
        <is>
          <t>STATUS=IN OEM / EU PACKAGE; SOURCE_CFG=IA-ST-CFG-0266; MARKET=None</t>
        </is>
      </c>
      <c r="N1555" t="inlineStr">
        <is>
          <t>2026-08-10T19:29:54Z</t>
        </is>
      </c>
      <c r="O1555" t="inlineStr">
        <is>
          <t>2026-08-10T19:29:54Z</t>
        </is>
      </c>
    </row>
    <row r="1556">
      <c r="A1556" s="19" t="inlineStr">
        <is>
          <t>1555</t>
        </is>
      </c>
      <c r="B1556" s="19" t="inlineStr">
        <is>
          <t>1014709</t>
        </is>
      </c>
      <c r="C1556" t="inlineStr">
        <is>
          <t>AKÜ,L3,DK,75AH,IGYA,ENERGYMAX,TÜRKMENSTN</t>
        </is>
      </c>
      <c r="D1556" s="19" t="inlineStr">
        <is>
          <t>1</t>
        </is>
      </c>
      <c r="E1556" t="n">
        <v>0</v>
      </c>
      <c r="I1556" s="19" t="inlineStr">
        <is>
          <t>2</t>
        </is>
      </c>
      <c r="J1556" t="inlineStr">
        <is>
          <t>2026-08-08</t>
        </is>
      </c>
      <c r="L1556" s="19" t="inlineStr">
        <is>
          <t>1014709</t>
        </is>
      </c>
      <c r="M1556" t="inlineStr">
        <is>
          <t>STATUS=IN OEM / EU PACKAGE; SOURCE_CFG=IA-ST-CFG-0179; MARKET=TÜRKMENİSTAN</t>
        </is>
      </c>
      <c r="N1556" t="inlineStr">
        <is>
          <t>2026-08-10T19:29:54Z</t>
        </is>
      </c>
      <c r="O1556" t="inlineStr">
        <is>
          <t>2026-08-10T19:29:54Z</t>
        </is>
      </c>
    </row>
    <row r="1557">
      <c r="A1557" s="19" t="inlineStr">
        <is>
          <t>1556</t>
        </is>
      </c>
      <c r="B1557" s="19" t="inlineStr">
        <is>
          <t>1014710</t>
        </is>
      </c>
      <c r="C1557" t="inlineStr">
        <is>
          <t>AKÜ,C-FLAT,DK,225AH,HUGEL ACTION,POLONYA</t>
        </is>
      </c>
      <c r="D1557" s="19" t="inlineStr">
        <is>
          <t>1</t>
        </is>
      </c>
      <c r="E1557" t="n">
        <v>0</v>
      </c>
      <c r="I1557" s="19" t="inlineStr">
        <is>
          <t>2</t>
        </is>
      </c>
      <c r="J1557" t="inlineStr">
        <is>
          <t>2026-08-08</t>
        </is>
      </c>
      <c r="L1557" s="19" t="inlineStr">
        <is>
          <t>1014710</t>
        </is>
      </c>
      <c r="M1557" t="inlineStr">
        <is>
          <t>STATUS=IN OEM / EU PACKAGE; SOURCE_CFG=IA-ST-CFG-0013; MARKET=BATERIE PRZEMYSLOWE POLONYA</t>
        </is>
      </c>
      <c r="N1557" t="inlineStr">
        <is>
          <t>2026-08-10T19:29:54Z</t>
        </is>
      </c>
      <c r="O1557" t="inlineStr">
        <is>
          <t>2026-08-10T19:29:54Z</t>
        </is>
      </c>
    </row>
    <row r="1558">
      <c r="A1558" s="19" t="inlineStr">
        <is>
          <t>1557</t>
        </is>
      </c>
      <c r="B1558" s="19" t="inlineStr">
        <is>
          <t>1014711</t>
        </is>
      </c>
      <c r="C1558" t="inlineStr">
        <is>
          <t>AKÜ,B-FLAT,DK,180AH,HUGEL ACTION,POLONYA</t>
        </is>
      </c>
      <c r="D1558" s="19" t="inlineStr">
        <is>
          <t>1</t>
        </is>
      </c>
      <c r="E1558" t="n">
        <v>0</v>
      </c>
      <c r="I1558" s="19" t="inlineStr">
        <is>
          <t>2</t>
        </is>
      </c>
      <c r="J1558" t="inlineStr">
        <is>
          <t>2026-08-08</t>
        </is>
      </c>
      <c r="L1558" s="19" t="inlineStr">
        <is>
          <t>1014711</t>
        </is>
      </c>
      <c r="M1558" t="inlineStr">
        <is>
          <t>STATUS=IN OEM / EU PACKAGE; SOURCE_CFG=IA-ST-CFG-0028; MARKET=BATERIE PRZEMYSLOWE POLONYA</t>
        </is>
      </c>
      <c r="N1558" t="inlineStr">
        <is>
          <t>2026-08-10T19:29:54Z</t>
        </is>
      </c>
      <c r="O1558" t="inlineStr">
        <is>
          <t>2026-08-10T19:29:54Z</t>
        </is>
      </c>
    </row>
    <row r="1559">
      <c r="A1559" s="19" t="inlineStr">
        <is>
          <t>1558</t>
        </is>
      </c>
      <c r="B1559" s="19" t="inlineStr">
        <is>
          <t>1014712</t>
        </is>
      </c>
      <c r="C1559" t="inlineStr">
        <is>
          <t>AKÜ,D31,DK,100AH,IGYA,BPOWERSUPR,POLONYA</t>
        </is>
      </c>
      <c r="D1559" s="19" t="inlineStr">
        <is>
          <t>1</t>
        </is>
      </c>
      <c r="E1559" t="n">
        <v>0</v>
      </c>
      <c r="I1559" s="19" t="inlineStr">
        <is>
          <t>2</t>
        </is>
      </c>
      <c r="J1559" t="inlineStr">
        <is>
          <t>2026-08-08</t>
        </is>
      </c>
      <c r="L1559" s="19" t="inlineStr">
        <is>
          <t>1014712</t>
        </is>
      </c>
      <c r="M1559" t="inlineStr">
        <is>
          <t>STATUS=IN OEM / EU PACKAGE; SOURCE_CFG=IA-ST-CFG-0112; MARKET=BATERIE PRZEMYSLOWE POLONYA</t>
        </is>
      </c>
      <c r="N1559" t="inlineStr">
        <is>
          <t>2026-08-10T19:29:54Z</t>
        </is>
      </c>
      <c r="O1559" t="inlineStr">
        <is>
          <t>2026-08-10T19:29:54Z</t>
        </is>
      </c>
    </row>
    <row r="1560">
      <c r="A1560" s="19" t="inlineStr">
        <is>
          <t>1559</t>
        </is>
      </c>
      <c r="B1560" s="19" t="inlineStr">
        <is>
          <t>1014713</t>
        </is>
      </c>
      <c r="C1560" t="inlineStr">
        <is>
          <t>AKÜ,D31,TK,100AH,IGYA,BPOWERSUPR,POLONYA</t>
        </is>
      </c>
      <c r="D1560" s="19" t="inlineStr">
        <is>
          <t>1</t>
        </is>
      </c>
      <c r="E1560" t="n">
        <v>0</v>
      </c>
      <c r="I1560" s="19" t="inlineStr">
        <is>
          <t>2</t>
        </is>
      </c>
      <c r="J1560" t="inlineStr">
        <is>
          <t>2026-08-08</t>
        </is>
      </c>
      <c r="L1560" s="19" t="inlineStr">
        <is>
          <t>1014713</t>
        </is>
      </c>
      <c r="M1560" t="inlineStr">
        <is>
          <t>STATUS=IN OEM / EU PACKAGE; SOURCE_CFG=IA-ST-CFG-0112; MARKET=BATERIE PRZEMYSLOWE POLONYA</t>
        </is>
      </c>
      <c r="N1560" t="inlineStr">
        <is>
          <t>2026-08-10T19:29:54Z</t>
        </is>
      </c>
      <c r="O1560" t="inlineStr">
        <is>
          <t>2026-08-10T19:29:54Z</t>
        </is>
      </c>
    </row>
    <row r="1561">
      <c r="A1561" s="19" t="inlineStr">
        <is>
          <t>1560</t>
        </is>
      </c>
      <c r="B1561" s="19" t="inlineStr">
        <is>
          <t>1014714</t>
        </is>
      </c>
      <c r="C1561" t="inlineStr">
        <is>
          <t>AKÜ,D26,DK,80AH,IGYA,BPOWER SUPR,POLONYA</t>
        </is>
      </c>
      <c r="D1561" s="19" t="inlineStr">
        <is>
          <t>1</t>
        </is>
      </c>
      <c r="E1561" t="n">
        <v>0</v>
      </c>
      <c r="I1561" s="19" t="inlineStr">
        <is>
          <t>2</t>
        </is>
      </c>
      <c r="J1561" t="inlineStr">
        <is>
          <t>2026-08-08</t>
        </is>
      </c>
      <c r="L1561" s="19" t="inlineStr">
        <is>
          <t>1014714</t>
        </is>
      </c>
      <c r="M1561" t="inlineStr">
        <is>
          <t>STATUS=IN OEM / EU PACKAGE; SOURCE_CFG=IA-ST-CFG-0161; MARKET=BATERIE PRZEMYSLOWE POLONYA</t>
        </is>
      </c>
      <c r="N1561" t="inlineStr">
        <is>
          <t>2026-08-10T19:29:54Z</t>
        </is>
      </c>
      <c r="O1561" t="inlineStr">
        <is>
          <t>2026-08-10T19:29:54Z</t>
        </is>
      </c>
    </row>
    <row r="1562">
      <c r="A1562" s="19" t="inlineStr">
        <is>
          <t>1561</t>
        </is>
      </c>
      <c r="B1562" s="19" t="inlineStr">
        <is>
          <t>1014715</t>
        </is>
      </c>
      <c r="C1562" t="inlineStr">
        <is>
          <t>AKÜ,D23,DK,65AH,IGYA,BPOWER SUPR,POLONYA</t>
        </is>
      </c>
      <c r="D1562" s="19" t="inlineStr">
        <is>
          <t>1</t>
        </is>
      </c>
      <c r="E1562" t="n">
        <v>0</v>
      </c>
      <c r="I1562" s="19" t="inlineStr">
        <is>
          <t>2</t>
        </is>
      </c>
      <c r="J1562" t="inlineStr">
        <is>
          <t>2026-08-08</t>
        </is>
      </c>
      <c r="L1562" s="19" t="inlineStr">
        <is>
          <t>1014715</t>
        </is>
      </c>
      <c r="M1562" t="inlineStr">
        <is>
          <t>STATUS=IN OEM / EU PACKAGE; SOURCE_CFG=IA-ST-CFG-0189; MARKET=BATERIE PRZEMYSLOWE POLONYA</t>
        </is>
      </c>
      <c r="N1562" t="inlineStr">
        <is>
          <t>2026-08-10T19:29:54Z</t>
        </is>
      </c>
      <c r="O1562" t="inlineStr">
        <is>
          <t>2026-08-10T19:29:54Z</t>
        </is>
      </c>
    </row>
    <row r="1563">
      <c r="A1563" s="19" t="inlineStr">
        <is>
          <t>1562</t>
        </is>
      </c>
      <c r="B1563" s="19" t="inlineStr">
        <is>
          <t>1014716</t>
        </is>
      </c>
      <c r="C1563" t="inlineStr">
        <is>
          <t>AKÜ,D23,TK,65AH,IGYA,BPOWER SUPR,POLONYA</t>
        </is>
      </c>
      <c r="D1563" s="19" t="inlineStr">
        <is>
          <t>1</t>
        </is>
      </c>
      <c r="E1563" t="n">
        <v>0</v>
      </c>
      <c r="I1563" s="19" t="inlineStr">
        <is>
          <t>2</t>
        </is>
      </c>
      <c r="J1563" t="inlineStr">
        <is>
          <t>2026-08-08</t>
        </is>
      </c>
      <c r="L1563" s="19" t="inlineStr">
        <is>
          <t>1014716</t>
        </is>
      </c>
      <c r="M1563" t="inlineStr">
        <is>
          <t>STATUS=IN OEM / EU PACKAGE; SOURCE_CFG=IA-ST-CFG-0189; MARKET=BATERIE PRZEMYSLOWE POLONYA</t>
        </is>
      </c>
      <c r="N1563" t="inlineStr">
        <is>
          <t>2026-08-10T19:29:54Z</t>
        </is>
      </c>
      <c r="O1563" t="inlineStr">
        <is>
          <t>2026-08-10T19:29:54Z</t>
        </is>
      </c>
    </row>
    <row r="1564">
      <c r="A1564" s="19" t="inlineStr">
        <is>
          <t>1563</t>
        </is>
      </c>
      <c r="B1564" s="19" t="inlineStr">
        <is>
          <t>1014718</t>
        </is>
      </c>
      <c r="C1564" t="inlineStr">
        <is>
          <t>AKÜ AGM,L3,DK,70AH,EAS AGM S&amp;S,ATWAN</t>
        </is>
      </c>
      <c r="D1564" s="19" t="inlineStr">
        <is>
          <t>1</t>
        </is>
      </c>
      <c r="E1564" t="n">
        <v>0</v>
      </c>
      <c r="I1564" s="19" t="inlineStr">
        <is>
          <t>2</t>
        </is>
      </c>
      <c r="J1564" t="inlineStr">
        <is>
          <t>2026-08-08</t>
        </is>
      </c>
      <c r="L1564" s="19" t="inlineStr">
        <is>
          <t>1014718</t>
        </is>
      </c>
      <c r="M1564" t="inlineStr">
        <is>
          <t>STATUS=IN OEM / EU PACKAGE; SOURCE_CFG=IA-ST-CFG-0179; MARKET=MISIR ATWAN</t>
        </is>
      </c>
      <c r="N1564" t="inlineStr">
        <is>
          <t>2026-08-10T19:29:54Z</t>
        </is>
      </c>
      <c r="O1564" t="inlineStr">
        <is>
          <t>2026-08-10T19:29:54Z</t>
        </is>
      </c>
    </row>
    <row r="1565">
      <c r="A1565" s="19" t="inlineStr">
        <is>
          <t>1564</t>
        </is>
      </c>
      <c r="B1565" s="19" t="inlineStr">
        <is>
          <t>1014721</t>
        </is>
      </c>
      <c r="C1565" t="inlineStr">
        <is>
          <t>AKÜ,L1,DK,45AH,IGYA SMF,NO NAME</t>
        </is>
      </c>
      <c r="D1565" s="19" t="inlineStr">
        <is>
          <t>1</t>
        </is>
      </c>
      <c r="E1565" t="n">
        <v>0</v>
      </c>
      <c r="I1565" s="19" t="inlineStr">
        <is>
          <t>2</t>
        </is>
      </c>
      <c r="J1565" t="inlineStr">
        <is>
          <t>2026-08-08</t>
        </is>
      </c>
      <c r="L1565" s="19" t="inlineStr">
        <is>
          <t>1014721</t>
        </is>
      </c>
      <c r="M1565" t="inlineStr">
        <is>
          <t>STATUS=IN OEM / EU PACKAGE; SOURCE_CFG=IA-ST-CFG-0246; MARKET=None</t>
        </is>
      </c>
      <c r="N1565" t="inlineStr">
        <is>
          <t>2026-08-10T19:29:54Z</t>
        </is>
      </c>
      <c r="O1565" t="inlineStr">
        <is>
          <t>2026-08-10T19:29:54Z</t>
        </is>
      </c>
    </row>
    <row r="1566">
      <c r="A1566" s="19" t="inlineStr">
        <is>
          <t>1565</t>
        </is>
      </c>
      <c r="B1566" s="19" t="inlineStr">
        <is>
          <t>1014724</t>
        </is>
      </c>
      <c r="C1566" t="inlineStr">
        <is>
          <t>AKÜ,L5,DK,88AH,IGYA SMF,NO NAME</t>
        </is>
      </c>
      <c r="D1566" s="19" t="inlineStr">
        <is>
          <t>1</t>
        </is>
      </c>
      <c r="E1566" t="n">
        <v>0</v>
      </c>
      <c r="I1566" s="19" t="inlineStr">
        <is>
          <t>2</t>
        </is>
      </c>
      <c r="J1566" t="inlineStr">
        <is>
          <t>2026-08-08</t>
        </is>
      </c>
      <c r="L1566" s="19" t="inlineStr">
        <is>
          <t>1014724</t>
        </is>
      </c>
      <c r="M1566" t="inlineStr">
        <is>
          <t>STATUS=IN OEM / EU PACKAGE; SOURCE_CFG=IA-ST-CFG-0094; MARKET=None</t>
        </is>
      </c>
      <c r="N1566" t="inlineStr">
        <is>
          <t>2026-08-10T19:29:54Z</t>
        </is>
      </c>
      <c r="O1566" t="inlineStr">
        <is>
          <t>2026-08-10T19:29:54Z</t>
        </is>
      </c>
    </row>
    <row r="1567">
      <c r="A1567" s="19" t="inlineStr">
        <is>
          <t>1566</t>
        </is>
      </c>
      <c r="B1567" s="19" t="inlineStr">
        <is>
          <t>1014726</t>
        </is>
      </c>
      <c r="C1567" t="inlineStr">
        <is>
          <t>AKÜ,C-IGYASMF,DK,225AH,NO NAME</t>
        </is>
      </c>
      <c r="D1567" s="19" t="inlineStr">
        <is>
          <t>1</t>
        </is>
      </c>
      <c r="E1567" t="n">
        <v>0</v>
      </c>
      <c r="I1567" s="19" t="inlineStr">
        <is>
          <t>2</t>
        </is>
      </c>
      <c r="J1567" t="inlineStr">
        <is>
          <t>2026-08-08</t>
        </is>
      </c>
      <c r="L1567" s="19" t="inlineStr">
        <is>
          <t>1014726</t>
        </is>
      </c>
      <c r="M1567" t="inlineStr">
        <is>
          <t>STATUS=IN OEM / EU PACKAGE; SOURCE_CFG=IA-ST-CFG-0034; MARKET=None</t>
        </is>
      </c>
      <c r="N1567" t="inlineStr">
        <is>
          <t>2026-08-10T19:29:54Z</t>
        </is>
      </c>
      <c r="O1567" t="inlineStr">
        <is>
          <t>2026-08-10T19:29:54Z</t>
        </is>
      </c>
    </row>
    <row r="1568">
      <c r="A1568" s="19" t="inlineStr">
        <is>
          <t>1567</t>
        </is>
      </c>
      <c r="B1568" s="19" t="inlineStr">
        <is>
          <t>1014727</t>
        </is>
      </c>
      <c r="C1568" t="inlineStr">
        <is>
          <t>AKÜ,A-IGYASMF,DK,140AH,NO NAME</t>
        </is>
      </c>
      <c r="D1568" s="19" t="inlineStr">
        <is>
          <t>1</t>
        </is>
      </c>
      <c r="E1568" t="n">
        <v>0</v>
      </c>
      <c r="I1568" s="19" t="inlineStr">
        <is>
          <t>2</t>
        </is>
      </c>
      <c r="J1568" t="inlineStr">
        <is>
          <t>2026-08-08</t>
        </is>
      </c>
      <c r="L1568" s="19" t="inlineStr">
        <is>
          <t>1014727</t>
        </is>
      </c>
      <c r="M1568" t="inlineStr">
        <is>
          <t>STATUS=IN OEM / EU PACKAGE; SOURCE_CFG=IA-ST-CFG-0049; MARKET=None</t>
        </is>
      </c>
      <c r="N1568" t="inlineStr">
        <is>
          <t>2026-08-10T19:29:54Z</t>
        </is>
      </c>
      <c r="O1568" t="inlineStr">
        <is>
          <t>2026-08-10T19:29:54Z</t>
        </is>
      </c>
    </row>
    <row r="1569">
      <c r="A1569" s="19" t="inlineStr">
        <is>
          <t>1568</t>
        </is>
      </c>
      <c r="B1569" s="19" t="inlineStr">
        <is>
          <t>1014729</t>
        </is>
      </c>
      <c r="C1569" t="inlineStr">
        <is>
          <t>AKÜ,D31,DK,105AH,IGYA,BLIZZAROSILVERLINE</t>
        </is>
      </c>
      <c r="D1569" s="19" t="inlineStr">
        <is>
          <t>1</t>
        </is>
      </c>
      <c r="E1569" t="n">
        <v>0</v>
      </c>
      <c r="I1569" s="19" t="inlineStr">
        <is>
          <t>2</t>
        </is>
      </c>
      <c r="J1569" t="inlineStr">
        <is>
          <t>2026-08-08</t>
        </is>
      </c>
      <c r="L1569" s="19" t="inlineStr">
        <is>
          <t>1014729</t>
        </is>
      </c>
      <c r="M1569" t="inlineStr">
        <is>
          <t>STATUS=IN OEM / EU PACKAGE; SOURCE_CFG=IA-ST-CFG-0143; MARKET=None</t>
        </is>
      </c>
      <c r="N1569" t="inlineStr">
        <is>
          <t>2026-08-10T19:29:54Z</t>
        </is>
      </c>
      <c r="O1569" t="inlineStr">
        <is>
          <t>2026-08-10T19:29:54Z</t>
        </is>
      </c>
    </row>
    <row r="1570">
      <c r="A1570" s="19" t="inlineStr">
        <is>
          <t>1569</t>
        </is>
      </c>
      <c r="B1570" s="19" t="inlineStr">
        <is>
          <t>1014731</t>
        </is>
      </c>
      <c r="C1570" t="inlineStr">
        <is>
          <t>AKÜ,C-IGYASMF,DK,250AH,İNCİMAXIMASHAWKAT</t>
        </is>
      </c>
      <c r="D1570" s="19" t="inlineStr">
        <is>
          <t>1</t>
        </is>
      </c>
      <c r="E1570" t="n">
        <v>0</v>
      </c>
      <c r="I1570" s="19" t="inlineStr">
        <is>
          <t>2</t>
        </is>
      </c>
      <c r="J1570" t="inlineStr">
        <is>
          <t>2026-08-08</t>
        </is>
      </c>
      <c r="L1570" s="19" t="inlineStr">
        <is>
          <t>1014731</t>
        </is>
      </c>
      <c r="M1570" t="inlineStr">
        <is>
          <t>STATUS=IN OEM / EU PACKAGE; SOURCE_CFG=IA-ST-CFG-0023; MARKET=SHAWKAT</t>
        </is>
      </c>
      <c r="N1570" t="inlineStr">
        <is>
          <t>2026-08-10T19:29:54Z</t>
        </is>
      </c>
      <c r="O1570" t="inlineStr">
        <is>
          <t>2026-08-10T19:29:54Z</t>
        </is>
      </c>
    </row>
    <row r="1571">
      <c r="A1571" s="19" t="inlineStr">
        <is>
          <t>1570</t>
        </is>
      </c>
      <c r="B1571" s="19" t="inlineStr">
        <is>
          <t>1014736</t>
        </is>
      </c>
      <c r="C1571" t="inlineStr">
        <is>
          <t>AKÜ,B-FLAT,DK190AH,PILOTPERFR,TÜRKMENSTN</t>
        </is>
      </c>
      <c r="D1571" s="19" t="inlineStr">
        <is>
          <t>1</t>
        </is>
      </c>
      <c r="E1571" t="n">
        <v>0</v>
      </c>
      <c r="I1571" s="19" t="inlineStr">
        <is>
          <t>2</t>
        </is>
      </c>
      <c r="J1571" t="inlineStr">
        <is>
          <t>2026-08-08</t>
        </is>
      </c>
      <c r="L1571" s="19" t="inlineStr">
        <is>
          <t>1014736</t>
        </is>
      </c>
      <c r="M1571" t="inlineStr">
        <is>
          <t>STATUS=IN OEM / EU PACKAGE; SOURCE_CFG=IA-ST-CFG-0052; MARKET=TÜRKMENİSTAN</t>
        </is>
      </c>
      <c r="N1571" t="inlineStr">
        <is>
          <t>2026-08-10T19:29:54Z</t>
        </is>
      </c>
      <c r="O1571" t="inlineStr">
        <is>
          <t>2026-08-10T19:29:54Z</t>
        </is>
      </c>
    </row>
    <row r="1572">
      <c r="A1572" s="19" t="inlineStr">
        <is>
          <t>1571</t>
        </is>
      </c>
      <c r="B1572" s="19" t="inlineStr">
        <is>
          <t>1014737</t>
        </is>
      </c>
      <c r="C1572" t="inlineStr">
        <is>
          <t>AKÜ,L5,DK100AH,IGYA,PILOTPERF,TÜRKMENSTN</t>
        </is>
      </c>
      <c r="D1572" s="19" t="inlineStr">
        <is>
          <t>1</t>
        </is>
      </c>
      <c r="E1572" t="n">
        <v>0</v>
      </c>
      <c r="I1572" s="19" t="inlineStr">
        <is>
          <t>2</t>
        </is>
      </c>
      <c r="J1572" t="inlineStr">
        <is>
          <t>2026-08-08</t>
        </is>
      </c>
      <c r="L1572" s="19" t="inlineStr">
        <is>
          <t>1014737</t>
        </is>
      </c>
      <c r="M1572" t="inlineStr">
        <is>
          <t>STATUS=IN OEM / EU PACKAGE; SOURCE_CFG=IA-ST-CFG-0096; MARKET=TÜRKMENİSTAN</t>
        </is>
      </c>
      <c r="N1572" t="inlineStr">
        <is>
          <t>2026-08-10T19:29:54Z</t>
        </is>
      </c>
      <c r="O1572" t="inlineStr">
        <is>
          <t>2026-08-10T19:29:54Z</t>
        </is>
      </c>
    </row>
    <row r="1573">
      <c r="A1573" s="19" t="inlineStr">
        <is>
          <t>1572</t>
        </is>
      </c>
      <c r="B1573" s="19" t="inlineStr">
        <is>
          <t>1014738</t>
        </is>
      </c>
      <c r="C1573" t="inlineStr">
        <is>
          <t>AKÜ,L3,DK75AH,IGYA,PILOTPERFR,TÜRKMENSTN</t>
        </is>
      </c>
      <c r="D1573" s="19" t="inlineStr">
        <is>
          <t>1</t>
        </is>
      </c>
      <c r="E1573" t="n">
        <v>0</v>
      </c>
      <c r="I1573" s="19" t="inlineStr">
        <is>
          <t>2</t>
        </is>
      </c>
      <c r="J1573" t="inlineStr">
        <is>
          <t>2026-08-08</t>
        </is>
      </c>
      <c r="L1573" s="19" t="inlineStr">
        <is>
          <t>1014738</t>
        </is>
      </c>
      <c r="M1573" t="inlineStr">
        <is>
          <t>STATUS=IN OEM / EU PACKAGE; SOURCE_CFG=IA-ST-CFG-0179; MARKET=TÜRKMENİSTAN</t>
        </is>
      </c>
      <c r="N1573" t="inlineStr">
        <is>
          <t>2026-08-10T19:29:54Z</t>
        </is>
      </c>
      <c r="O1573" t="inlineStr">
        <is>
          <t>2026-08-10T19:29:54Z</t>
        </is>
      </c>
    </row>
    <row r="1574">
      <c r="A1574" s="19" t="inlineStr">
        <is>
          <t>1573</t>
        </is>
      </c>
      <c r="B1574" s="19" t="inlineStr">
        <is>
          <t>1014739</t>
        </is>
      </c>
      <c r="C1574" t="inlineStr">
        <is>
          <t>AKÜ,L2,DK62AH,IGYA,PILOTPERFR,TÜRKMENSTN</t>
        </is>
      </c>
      <c r="D1574" s="19" t="inlineStr">
        <is>
          <t>1</t>
        </is>
      </c>
      <c r="E1574" t="n">
        <v>0</v>
      </c>
      <c r="I1574" s="19" t="inlineStr">
        <is>
          <t>2</t>
        </is>
      </c>
      <c r="J1574" t="inlineStr">
        <is>
          <t>2026-08-08</t>
        </is>
      </c>
      <c r="L1574" s="19" t="inlineStr">
        <is>
          <t>1014739</t>
        </is>
      </c>
      <c r="M1574" t="inlineStr">
        <is>
          <t>STATUS=IN OEM / EU PACKAGE; SOURCE_CFG=IA-ST-CFG-0222; MARKET=TÜRKMENİSTAN</t>
        </is>
      </c>
      <c r="N1574" t="inlineStr">
        <is>
          <t>2026-08-10T19:29:54Z</t>
        </is>
      </c>
      <c r="O1574" t="inlineStr">
        <is>
          <t>2026-08-10T19:29:54Z</t>
        </is>
      </c>
    </row>
    <row r="1575">
      <c r="A1575" s="19" t="inlineStr">
        <is>
          <t>1574</t>
        </is>
      </c>
      <c r="B1575" s="19" t="inlineStr">
        <is>
          <t>1014740</t>
        </is>
      </c>
      <c r="C1575" t="inlineStr">
        <is>
          <t>AKÜ,L3,DK,84AH,IGYA,MF58513,RACERPOWER</t>
        </is>
      </c>
      <c r="D1575" s="19" t="inlineStr">
        <is>
          <t>1</t>
        </is>
      </c>
      <c r="E1575" t="n">
        <v>0</v>
      </c>
      <c r="I1575" s="19" t="inlineStr">
        <is>
          <t>2</t>
        </is>
      </c>
      <c r="J1575" t="inlineStr">
        <is>
          <t>2026-08-08</t>
        </is>
      </c>
      <c r="L1575" s="19" t="inlineStr">
        <is>
          <t>1014740</t>
        </is>
      </c>
      <c r="M1575" t="inlineStr">
        <is>
          <t>STATUS=IN OEM / EU PACKAGE; SOURCE_CFG=IA-ST-CFG-0179; MARKET=ARCOBALENO-GANA</t>
        </is>
      </c>
      <c r="N1575" t="inlineStr">
        <is>
          <t>2026-08-10T19:29:54Z</t>
        </is>
      </c>
      <c r="O1575" t="inlineStr">
        <is>
          <t>2026-08-10T19:29:54Z</t>
        </is>
      </c>
    </row>
    <row r="1576">
      <c r="A1576" s="19" t="inlineStr">
        <is>
          <t>1575</t>
        </is>
      </c>
      <c r="B1576" s="19" t="inlineStr">
        <is>
          <t>1014741</t>
        </is>
      </c>
      <c r="C1576" t="inlineStr">
        <is>
          <t>AKÜ,D31DK110AH,IGYA,MF110D31L,RACERPOWER</t>
        </is>
      </c>
      <c r="D1576" s="19" t="inlineStr">
        <is>
          <t>1</t>
        </is>
      </c>
      <c r="E1576" t="n">
        <v>0</v>
      </c>
      <c r="I1576" s="19" t="inlineStr">
        <is>
          <t>2</t>
        </is>
      </c>
      <c r="J1576" t="inlineStr">
        <is>
          <t>2026-08-08</t>
        </is>
      </c>
      <c r="L1576" s="19" t="inlineStr">
        <is>
          <t>1014741</t>
        </is>
      </c>
      <c r="M1576" t="inlineStr">
        <is>
          <t>STATUS=IN OEM / EU PACKAGE; SOURCE_CFG=IA-ST-CFG-0143; MARKET=ARCOBALENO-GANA</t>
        </is>
      </c>
      <c r="N1576" t="inlineStr">
        <is>
          <t>2026-08-10T19:29:54Z</t>
        </is>
      </c>
      <c r="O1576" t="inlineStr">
        <is>
          <t>2026-08-10T19:29:54Z</t>
        </is>
      </c>
    </row>
    <row r="1577">
      <c r="A1577" s="19" t="inlineStr">
        <is>
          <t>1576</t>
        </is>
      </c>
      <c r="B1577" s="19" t="inlineStr">
        <is>
          <t>1014742</t>
        </is>
      </c>
      <c r="C1577" t="inlineStr">
        <is>
          <t>AKÜ,C-IGYASMF,DK,245AH,N245MF,RACERPOWER</t>
        </is>
      </c>
      <c r="D1577" s="19" t="inlineStr">
        <is>
          <t>1</t>
        </is>
      </c>
      <c r="E1577" t="n">
        <v>0</v>
      </c>
      <c r="I1577" s="19" t="inlineStr">
        <is>
          <t>2</t>
        </is>
      </c>
      <c r="J1577" t="inlineStr">
        <is>
          <t>2026-08-08</t>
        </is>
      </c>
      <c r="L1577" s="19" t="inlineStr">
        <is>
          <t>1014742</t>
        </is>
      </c>
      <c r="M1577" t="inlineStr">
        <is>
          <t>STATUS=IN OEM / EU PACKAGE; SOURCE_CFG=IA-ST-CFG-0023; MARKET=ARCOBALENO-GANA</t>
        </is>
      </c>
      <c r="N1577" t="inlineStr">
        <is>
          <t>2026-08-10T19:29:54Z</t>
        </is>
      </c>
      <c r="O1577" t="inlineStr">
        <is>
          <t>2026-08-10T19:29:54Z</t>
        </is>
      </c>
    </row>
    <row r="1578">
      <c r="A1578" s="19" t="inlineStr">
        <is>
          <t>1577</t>
        </is>
      </c>
      <c r="B1578" s="19" t="inlineStr">
        <is>
          <t>1014743</t>
        </is>
      </c>
      <c r="C1578" t="inlineStr">
        <is>
          <t>AKÜ,L3,TK,72AH,IGYA,İNCİ FORMULA TAURUS</t>
        </is>
      </c>
      <c r="D1578" s="19" t="inlineStr">
        <is>
          <t>1</t>
        </is>
      </c>
      <c r="E1578" t="n">
        <v>0</v>
      </c>
      <c r="I1578" s="19" t="inlineStr">
        <is>
          <t>2</t>
        </is>
      </c>
      <c r="J1578" t="inlineStr">
        <is>
          <t>2026-08-08</t>
        </is>
      </c>
      <c r="L1578" s="19" t="inlineStr">
        <is>
          <t>1014743</t>
        </is>
      </c>
      <c r="M1578" t="inlineStr">
        <is>
          <t>STATUS=IN OEM / EU PACKAGE; SOURCE_CFG=IA-ST-CFG-0179; MARKET=None</t>
        </is>
      </c>
      <c r="N1578" t="inlineStr">
        <is>
          <t>2026-08-10T19:29:54Z</t>
        </is>
      </c>
      <c r="O1578" t="inlineStr">
        <is>
          <t>2026-08-10T19:29:54Z</t>
        </is>
      </c>
    </row>
    <row r="1579">
      <c r="A1579" s="19" t="inlineStr">
        <is>
          <t>1578</t>
        </is>
      </c>
      <c r="B1579" s="19" t="inlineStr">
        <is>
          <t>1014750</t>
        </is>
      </c>
      <c r="C1579" t="inlineStr">
        <is>
          <t>AKÜ,L2,DK,62AH,IGYA,GLO3027-062,STARTAX</t>
        </is>
      </c>
      <c r="D1579" s="19" t="inlineStr">
        <is>
          <t>1</t>
        </is>
      </c>
      <c r="E1579" t="n">
        <v>0</v>
      </c>
      <c r="I1579" s="19" t="inlineStr">
        <is>
          <t>2</t>
        </is>
      </c>
      <c r="J1579" t="inlineStr">
        <is>
          <t>2026-08-08</t>
        </is>
      </c>
      <c r="L1579" s="19" t="inlineStr">
        <is>
          <t>1014750</t>
        </is>
      </c>
      <c r="M1579" t="inlineStr">
        <is>
          <t>STATUS=IN OEM / EU PACKAGE; SOURCE_CFG=IA-ST-CFG-0162; MARKET=GS STARTAX FINLAND OY</t>
        </is>
      </c>
      <c r="N1579" t="inlineStr">
        <is>
          <t>2026-08-10T19:29:54Z</t>
        </is>
      </c>
      <c r="O1579" t="inlineStr">
        <is>
          <t>2026-08-10T19:29:54Z</t>
        </is>
      </c>
    </row>
    <row r="1580">
      <c r="A1580" s="19" t="inlineStr">
        <is>
          <t>1579</t>
        </is>
      </c>
      <c r="B1580" s="19" t="inlineStr">
        <is>
          <t>1014752</t>
        </is>
      </c>
      <c r="C1580" t="inlineStr">
        <is>
          <t>AKÜ,L3,DK,76AH,IGYA,GLO3096-076,STARTAX</t>
        </is>
      </c>
      <c r="D1580" s="19" t="inlineStr">
        <is>
          <t>1</t>
        </is>
      </c>
      <c r="E1580" t="n">
        <v>0</v>
      </c>
      <c r="I1580" s="19" t="inlineStr">
        <is>
          <t>2</t>
        </is>
      </c>
      <c r="J1580" t="inlineStr">
        <is>
          <t>2026-08-08</t>
        </is>
      </c>
      <c r="L1580" s="19" t="inlineStr">
        <is>
          <t>1014752</t>
        </is>
      </c>
      <c r="M1580" t="inlineStr">
        <is>
          <t>STATUS=IN OEM / EU PACKAGE; SOURCE_CFG=IA-ST-CFG-0132; MARKET=GS STARTAX FINLAND OY</t>
        </is>
      </c>
      <c r="N1580" t="inlineStr">
        <is>
          <t>2026-08-10T19:29:54Z</t>
        </is>
      </c>
      <c r="O1580" t="inlineStr">
        <is>
          <t>2026-08-10T19:29:54Z</t>
        </is>
      </c>
    </row>
    <row r="1581">
      <c r="A1581" s="19" t="inlineStr">
        <is>
          <t>1580</t>
        </is>
      </c>
      <c r="B1581" s="19" t="inlineStr">
        <is>
          <t>1014753</t>
        </is>
      </c>
      <c r="C1581" t="inlineStr">
        <is>
          <t>AKÜ,LB3,DK,71AH,IGYA,GLO3100-071,STARTAX</t>
        </is>
      </c>
      <c r="D1581" s="19" t="inlineStr">
        <is>
          <t>1</t>
        </is>
      </c>
      <c r="E1581" t="n">
        <v>0</v>
      </c>
      <c r="I1581" s="19" t="inlineStr">
        <is>
          <t>2</t>
        </is>
      </c>
      <c r="J1581" t="inlineStr">
        <is>
          <t>2026-08-08</t>
        </is>
      </c>
      <c r="L1581" s="19" t="inlineStr">
        <is>
          <t>1014753</t>
        </is>
      </c>
      <c r="M1581" t="inlineStr">
        <is>
          <t>STATUS=IN OEM / EU PACKAGE; SOURCE_CFG=IA-ST-CFG-0132; MARKET=GS STARTAX FINLAND OY</t>
        </is>
      </c>
      <c r="N1581" t="inlineStr">
        <is>
          <t>2026-08-10T19:29:54Z</t>
        </is>
      </c>
      <c r="O1581" t="inlineStr">
        <is>
          <t>2026-08-10T19:29:54Z</t>
        </is>
      </c>
    </row>
    <row r="1582">
      <c r="A1582" s="19" t="inlineStr">
        <is>
          <t>1581</t>
        </is>
      </c>
      <c r="B1582" s="19" t="inlineStr">
        <is>
          <t>1014754</t>
        </is>
      </c>
      <c r="C1582" t="inlineStr">
        <is>
          <t>AKÜ,L5,DK,95AH,IGYA,GLO3019-095,STARTAX</t>
        </is>
      </c>
      <c r="D1582" s="19" t="inlineStr">
        <is>
          <t>1</t>
        </is>
      </c>
      <c r="E1582" t="n">
        <v>0</v>
      </c>
      <c r="I1582" s="19" t="inlineStr">
        <is>
          <t>2</t>
        </is>
      </c>
      <c r="J1582" t="inlineStr">
        <is>
          <t>2026-08-08</t>
        </is>
      </c>
      <c r="L1582" s="19" t="inlineStr">
        <is>
          <t>1014754</t>
        </is>
      </c>
      <c r="M1582" t="inlineStr">
        <is>
          <t>STATUS=IN OEM / EU PACKAGE; SOURCE_CFG=IA-ST-CFG-0068; MARKET=GS STARTAX FINLAND OY</t>
        </is>
      </c>
      <c r="N1582" t="inlineStr">
        <is>
          <t>2026-08-10T19:29:54Z</t>
        </is>
      </c>
      <c r="O1582" t="inlineStr">
        <is>
          <t>2026-08-10T19:29:54Z</t>
        </is>
      </c>
    </row>
    <row r="1583">
      <c r="A1583" s="19" t="inlineStr">
        <is>
          <t>1582</t>
        </is>
      </c>
      <c r="B1583" s="19" t="inlineStr">
        <is>
          <t>1014755</t>
        </is>
      </c>
      <c r="C1583" t="inlineStr">
        <is>
          <t>AKÜ,LB3,DK,75AH,IGYASMF,İNCİMAXIMA,İÇPYS</t>
        </is>
      </c>
      <c r="D1583" s="19" t="inlineStr">
        <is>
          <t>1</t>
        </is>
      </c>
      <c r="E1583" t="n">
        <v>0</v>
      </c>
      <c r="I1583" s="19" t="inlineStr">
        <is>
          <t>2</t>
        </is>
      </c>
      <c r="J1583" t="inlineStr">
        <is>
          <t>2026-08-08</t>
        </is>
      </c>
      <c r="L1583" s="19" t="inlineStr">
        <is>
          <t>1014755</t>
        </is>
      </c>
      <c r="M1583" t="inlineStr">
        <is>
          <t>STATUS=IN OEM / EU PACKAGE; SOURCE_CFG=IA-ST-CFG-0181; MARKET=YURT İÇİ AFM</t>
        </is>
      </c>
      <c r="N1583" t="inlineStr">
        <is>
          <t>2026-08-10T19:29:54Z</t>
        </is>
      </c>
      <c r="O1583" t="inlineStr">
        <is>
          <t>2026-08-10T19:29:54Z</t>
        </is>
      </c>
    </row>
    <row r="1584">
      <c r="A1584" s="19" t="inlineStr">
        <is>
          <t>1583</t>
        </is>
      </c>
      <c r="B1584" s="19" t="inlineStr">
        <is>
          <t>1014756</t>
        </is>
      </c>
      <c r="C1584" t="inlineStr">
        <is>
          <t>AKÜ,LB3,DK,75AH,IGYASMF,EAS EXTRA,İÇ PYS</t>
        </is>
      </c>
      <c r="D1584" s="19" t="inlineStr">
        <is>
          <t>1</t>
        </is>
      </c>
      <c r="E1584" t="n">
        <v>0</v>
      </c>
      <c r="I1584" s="19" t="inlineStr">
        <is>
          <t>2</t>
        </is>
      </c>
      <c r="J1584" t="inlineStr">
        <is>
          <t>2026-08-08</t>
        </is>
      </c>
      <c r="L1584" s="19" t="inlineStr">
        <is>
          <t>1014756</t>
        </is>
      </c>
      <c r="M1584" t="inlineStr">
        <is>
          <t>STATUS=IN OEM / EU PACKAGE; SOURCE_CFG=IA-ST-CFG-0181; MARKET=YURT İÇİ AFM</t>
        </is>
      </c>
      <c r="N1584" t="inlineStr">
        <is>
          <t>2026-08-10T19:29:54Z</t>
        </is>
      </c>
      <c r="O1584" t="inlineStr">
        <is>
          <t>2026-08-10T19:29:54Z</t>
        </is>
      </c>
    </row>
    <row r="1585">
      <c r="A1585" s="19" t="inlineStr">
        <is>
          <t>1584</t>
        </is>
      </c>
      <c r="B1585" s="19" t="inlineStr">
        <is>
          <t>1014757</t>
        </is>
      </c>
      <c r="C1585" t="inlineStr">
        <is>
          <t>AKÜ,LB3,DK72AH,IGYASMF,İNCİFORMULA,İÇPYS</t>
        </is>
      </c>
      <c r="D1585" s="19" t="inlineStr">
        <is>
          <t>1</t>
        </is>
      </c>
      <c r="E1585" t="n">
        <v>0</v>
      </c>
      <c r="I1585" s="19" t="inlineStr">
        <is>
          <t>2</t>
        </is>
      </c>
      <c r="J1585" t="inlineStr">
        <is>
          <t>2026-08-08</t>
        </is>
      </c>
      <c r="L1585" s="19" t="inlineStr">
        <is>
          <t>1014757</t>
        </is>
      </c>
      <c r="M1585" t="inlineStr">
        <is>
          <t>STATUS=IN OEM / EU PACKAGE; SOURCE_CFG=IA-ST-CFG-0181; MARKET=YURT İÇİ AFM</t>
        </is>
      </c>
      <c r="N1585" t="inlineStr">
        <is>
          <t>2026-08-10T19:29:54Z</t>
        </is>
      </c>
      <c r="O1585" t="inlineStr">
        <is>
          <t>2026-08-10T19:29:54Z</t>
        </is>
      </c>
    </row>
    <row r="1586">
      <c r="A1586" s="19" t="inlineStr">
        <is>
          <t>1585</t>
        </is>
      </c>
      <c r="B1586" s="19" t="inlineStr">
        <is>
          <t>1014758</t>
        </is>
      </c>
      <c r="C1586" t="inlineStr">
        <is>
          <t>AKÜ,LB3,DK,72AH,IGYASMF,EAS ACTIVA,İÇPYS</t>
        </is>
      </c>
      <c r="D1586" s="19" t="inlineStr">
        <is>
          <t>1</t>
        </is>
      </c>
      <c r="E1586" t="n">
        <v>0</v>
      </c>
      <c r="I1586" s="19" t="inlineStr">
        <is>
          <t>2</t>
        </is>
      </c>
      <c r="J1586" t="inlineStr">
        <is>
          <t>2026-08-08</t>
        </is>
      </c>
      <c r="L1586" s="19" t="inlineStr">
        <is>
          <t>1014758</t>
        </is>
      </c>
      <c r="M1586" t="inlineStr">
        <is>
          <t>STATUS=IN OEM / EU PACKAGE; SOURCE_CFG=IA-ST-CFG-0181; MARKET=YURT İÇİ AFM</t>
        </is>
      </c>
      <c r="N1586" t="inlineStr">
        <is>
          <t>2026-08-10T19:29:54Z</t>
        </is>
      </c>
      <c r="O1586" t="inlineStr">
        <is>
          <t>2026-08-10T19:29:54Z</t>
        </is>
      </c>
    </row>
    <row r="1587">
      <c r="A1587" s="19" t="inlineStr">
        <is>
          <t>1586</t>
        </is>
      </c>
      <c r="B1587" s="19" t="inlineStr">
        <is>
          <t>1014761</t>
        </is>
      </c>
      <c r="C1587" t="inlineStr">
        <is>
          <t>AKÜ,C-IGYASMF,DK,225AH,HUGEL ULTRA</t>
        </is>
      </c>
      <c r="D1587" s="19" t="inlineStr">
        <is>
          <t>1</t>
        </is>
      </c>
      <c r="E1587" t="n">
        <v>0</v>
      </c>
      <c r="I1587" s="19" t="inlineStr">
        <is>
          <t>2</t>
        </is>
      </c>
      <c r="J1587" t="inlineStr">
        <is>
          <t>2026-08-08</t>
        </is>
      </c>
      <c r="L1587" s="19" t="inlineStr">
        <is>
          <t>1014761</t>
        </is>
      </c>
      <c r="M1587" t="inlineStr">
        <is>
          <t>STATUS=IN OEM / EU PACKAGE; SOURCE_CFG=IA-ST-CFG-0023; MARKET=None</t>
        </is>
      </c>
      <c r="N1587" t="inlineStr">
        <is>
          <t>2026-08-10T19:29:54Z</t>
        </is>
      </c>
      <c r="O1587" t="inlineStr">
        <is>
          <t>2026-08-10T19:29:54Z</t>
        </is>
      </c>
    </row>
    <row r="1588">
      <c r="A1588" s="19" t="inlineStr">
        <is>
          <t>1587</t>
        </is>
      </c>
      <c r="B1588" s="19" t="inlineStr">
        <is>
          <t>1014762</t>
        </is>
      </c>
      <c r="C1588" t="inlineStr">
        <is>
          <t>AKÜ,L5,DK,100AH,IGYASMF,SILVER,TÜRKMNSTN</t>
        </is>
      </c>
      <c r="D1588" s="19" t="inlineStr">
        <is>
          <t>1</t>
        </is>
      </c>
      <c r="E1588" t="n">
        <v>0</v>
      </c>
      <c r="I1588" s="19" t="inlineStr">
        <is>
          <t>2</t>
        </is>
      </c>
      <c r="J1588" t="inlineStr">
        <is>
          <t>2026-08-08</t>
        </is>
      </c>
      <c r="L1588" s="19" t="inlineStr">
        <is>
          <t>1014762</t>
        </is>
      </c>
      <c r="M1588" t="inlineStr">
        <is>
          <t>STATUS=IN OEM / EU PACKAGE; SOURCE_CFG=IA-ST-CFG-0096; MARKET=TÜRKMENİSTAN</t>
        </is>
      </c>
      <c r="N1588" t="inlineStr">
        <is>
          <t>2026-08-10T19:29:54Z</t>
        </is>
      </c>
      <c r="O1588" t="inlineStr">
        <is>
          <t>2026-08-10T19:29:54Z</t>
        </is>
      </c>
    </row>
    <row r="1589">
      <c r="A1589" s="19" t="inlineStr">
        <is>
          <t>1588</t>
        </is>
      </c>
      <c r="B1589" s="19" t="inlineStr">
        <is>
          <t>1014763</t>
        </is>
      </c>
      <c r="C1589" t="inlineStr">
        <is>
          <t>AKÜ,L5,DK,92AH,IGYA SMF,HUGEL ULTRA</t>
        </is>
      </c>
      <c r="D1589" s="19" t="inlineStr">
        <is>
          <t>1</t>
        </is>
      </c>
      <c r="E1589" t="n">
        <v>0</v>
      </c>
      <c r="I1589" s="19" t="inlineStr">
        <is>
          <t>2</t>
        </is>
      </c>
      <c r="J1589" t="inlineStr">
        <is>
          <t>2026-08-08</t>
        </is>
      </c>
      <c r="L1589" s="19" t="inlineStr">
        <is>
          <t>1014763</t>
        </is>
      </c>
      <c r="M1589" t="inlineStr">
        <is>
          <t>STATUS=IN OEM / EU PACKAGE; SOURCE_CFG=IA-ST-CFG-0096; MARKET=None</t>
        </is>
      </c>
      <c r="N1589" t="inlineStr">
        <is>
          <t>2026-08-10T19:29:54Z</t>
        </is>
      </c>
      <c r="O1589" t="inlineStr">
        <is>
          <t>2026-08-10T19:29:54Z</t>
        </is>
      </c>
    </row>
    <row r="1590">
      <c r="A1590" s="19" t="inlineStr">
        <is>
          <t>1589</t>
        </is>
      </c>
      <c r="B1590" s="19" t="inlineStr">
        <is>
          <t>1014764</t>
        </is>
      </c>
      <c r="C1590" t="inlineStr">
        <is>
          <t>AKÜ,D26,DK,75AH,IGYA,İNCİFORMUL,TÜRKMNST</t>
        </is>
      </c>
      <c r="D1590" s="19" t="inlineStr">
        <is>
          <t>1</t>
        </is>
      </c>
      <c r="E1590" t="n">
        <v>0</v>
      </c>
      <c r="I1590" s="19" t="inlineStr">
        <is>
          <t>2</t>
        </is>
      </c>
      <c r="J1590" t="inlineStr">
        <is>
          <t>2026-08-08</t>
        </is>
      </c>
      <c r="L1590" s="19" t="inlineStr">
        <is>
          <t>1014764</t>
        </is>
      </c>
      <c r="M1590" t="inlineStr">
        <is>
          <t>STATUS=IN OEM / EU PACKAGE; SOURCE_CFG=IA-ST-CFG-0175; MARKET=TÜRKMENİSTAN</t>
        </is>
      </c>
      <c r="N1590" t="inlineStr">
        <is>
          <t>2026-08-10T19:29:54Z</t>
        </is>
      </c>
      <c r="O1590" t="inlineStr">
        <is>
          <t>2026-08-10T19:29:54Z</t>
        </is>
      </c>
    </row>
    <row r="1591">
      <c r="A1591" s="19" t="inlineStr">
        <is>
          <t>1590</t>
        </is>
      </c>
      <c r="B1591" s="19" t="inlineStr">
        <is>
          <t>1014765</t>
        </is>
      </c>
      <c r="C1591" t="inlineStr">
        <is>
          <t>AKÜ,D26,DK,75AH,IGYA,EAS ACTIVA,TÜRKMNST</t>
        </is>
      </c>
      <c r="D1591" s="19" t="inlineStr">
        <is>
          <t>1</t>
        </is>
      </c>
      <c r="E1591" t="n">
        <v>0</v>
      </c>
      <c r="I1591" s="19" t="inlineStr">
        <is>
          <t>2</t>
        </is>
      </c>
      <c r="J1591" t="inlineStr">
        <is>
          <t>2026-08-08</t>
        </is>
      </c>
      <c r="L1591" s="19" t="inlineStr">
        <is>
          <t>1014765</t>
        </is>
      </c>
      <c r="M1591" t="inlineStr">
        <is>
          <t>STATUS=IN OEM / EU PACKAGE; SOURCE_CFG=IA-ST-CFG-0175; MARKET=TÜRKMENİSTAN</t>
        </is>
      </c>
      <c r="N1591" t="inlineStr">
        <is>
          <t>2026-08-10T19:29:54Z</t>
        </is>
      </c>
      <c r="O1591" t="inlineStr">
        <is>
          <t>2026-08-10T19:29:54Z</t>
        </is>
      </c>
    </row>
    <row r="1592">
      <c r="A1592" s="19" t="inlineStr">
        <is>
          <t>1591</t>
        </is>
      </c>
      <c r="B1592" s="19" t="inlineStr">
        <is>
          <t>1014766</t>
        </is>
      </c>
      <c r="C1592" t="inlineStr">
        <is>
          <t>AKÜ,L3,DK,75AH,IGYASMF,SILVER,TÜRKMNSTN</t>
        </is>
      </c>
      <c r="D1592" s="19" t="inlineStr">
        <is>
          <t>1</t>
        </is>
      </c>
      <c r="E1592" t="n">
        <v>0</v>
      </c>
      <c r="I1592" s="19" t="inlineStr">
        <is>
          <t>2</t>
        </is>
      </c>
      <c r="J1592" t="inlineStr">
        <is>
          <t>2026-08-08</t>
        </is>
      </c>
      <c r="L1592" s="19" t="inlineStr">
        <is>
          <t>1014766</t>
        </is>
      </c>
      <c r="M1592" t="inlineStr">
        <is>
          <t>STATUS=IN OEM / EU PACKAGE; SOURCE_CFG=IA-ST-CFG-0179; MARKET=TÜRKMENİSTAN</t>
        </is>
      </c>
      <c r="N1592" t="inlineStr">
        <is>
          <t>2026-08-10T19:29:54Z</t>
        </is>
      </c>
      <c r="O1592" t="inlineStr">
        <is>
          <t>2026-08-10T19:29:54Z</t>
        </is>
      </c>
    </row>
    <row r="1593">
      <c r="A1593" s="19" t="inlineStr">
        <is>
          <t>1592</t>
        </is>
      </c>
      <c r="B1593" s="19" t="inlineStr">
        <is>
          <t>1014767</t>
        </is>
      </c>
      <c r="C1593" t="inlineStr">
        <is>
          <t>AKÜ,L2,DK,60AH,IGYSMF,İNCİTAURUS,TÜRKMEN</t>
        </is>
      </c>
      <c r="D1593" s="19" t="inlineStr">
        <is>
          <t>1</t>
        </is>
      </c>
      <c r="E1593" t="n">
        <v>0</v>
      </c>
      <c r="I1593" s="19" t="inlineStr">
        <is>
          <t>2</t>
        </is>
      </c>
      <c r="J1593" t="inlineStr">
        <is>
          <t>2026-08-08</t>
        </is>
      </c>
      <c r="L1593" s="19" t="inlineStr">
        <is>
          <t>1014767</t>
        </is>
      </c>
      <c r="M1593" t="inlineStr">
        <is>
          <t>STATUS=IN OEM / EU PACKAGE; SOURCE_CFG=IA-ST-CFG-0222; MARKET=TÜRKMENİSTAN</t>
        </is>
      </c>
      <c r="N1593" t="inlineStr">
        <is>
          <t>2026-08-10T19:29:54Z</t>
        </is>
      </c>
      <c r="O1593" t="inlineStr">
        <is>
          <t>2026-08-10T19:29:54Z</t>
        </is>
      </c>
    </row>
    <row r="1594">
      <c r="A1594" s="19" t="inlineStr">
        <is>
          <t>1593</t>
        </is>
      </c>
      <c r="B1594" s="19" t="inlineStr">
        <is>
          <t>1014768</t>
        </is>
      </c>
      <c r="C1594" t="inlineStr">
        <is>
          <t>AKÜ,L3,DK,75AH,IGYA,BLIZZSILVRLN,TÜRKMEN</t>
        </is>
      </c>
      <c r="D1594" s="19" t="inlineStr">
        <is>
          <t>1</t>
        </is>
      </c>
      <c r="E1594" t="n">
        <v>0</v>
      </c>
      <c r="I1594" s="19" t="inlineStr">
        <is>
          <t>2</t>
        </is>
      </c>
      <c r="J1594" t="inlineStr">
        <is>
          <t>2026-08-08</t>
        </is>
      </c>
      <c r="L1594" s="19" t="inlineStr">
        <is>
          <t>1014768</t>
        </is>
      </c>
      <c r="M1594" t="inlineStr">
        <is>
          <t>STATUS=IN OEM / EU PACKAGE; SOURCE_CFG=IA-ST-CFG-0179; MARKET=TÜRKMENİSTAN</t>
        </is>
      </c>
      <c r="N1594" t="inlineStr">
        <is>
          <t>2026-08-10T19:29:54Z</t>
        </is>
      </c>
      <c r="O1594" t="inlineStr">
        <is>
          <t>2026-08-10T19:29:54Z</t>
        </is>
      </c>
    </row>
    <row r="1595">
      <c r="A1595" s="19" t="inlineStr">
        <is>
          <t>1594</t>
        </is>
      </c>
      <c r="B1595" s="19" t="inlineStr">
        <is>
          <t>1014769</t>
        </is>
      </c>
      <c r="C1595" t="inlineStr">
        <is>
          <t>AKÜ,D26,DK,75AH,IGYA,BLIZZSILVRLN,TÜRKMN</t>
        </is>
      </c>
      <c r="D1595" s="19" t="inlineStr">
        <is>
          <t>1</t>
        </is>
      </c>
      <c r="E1595" t="n">
        <v>0</v>
      </c>
      <c r="I1595" s="19" t="inlineStr">
        <is>
          <t>2</t>
        </is>
      </c>
      <c r="J1595" t="inlineStr">
        <is>
          <t>2026-08-08</t>
        </is>
      </c>
      <c r="L1595" s="19" t="inlineStr">
        <is>
          <t>1014769</t>
        </is>
      </c>
      <c r="M1595" t="inlineStr">
        <is>
          <t>STATUS=IN OEM / EU PACKAGE; SOURCE_CFG=IA-ST-CFG-0175; MARKET=TÜRKMENİSTAN</t>
        </is>
      </c>
      <c r="N1595" t="inlineStr">
        <is>
          <t>2026-08-10T19:29:54Z</t>
        </is>
      </c>
      <c r="O1595" t="inlineStr">
        <is>
          <t>2026-08-10T19:29:54Z</t>
        </is>
      </c>
    </row>
    <row r="1596">
      <c r="A1596" s="19" t="inlineStr">
        <is>
          <t>1595</t>
        </is>
      </c>
      <c r="B1596" s="19" t="inlineStr">
        <is>
          <t>1014770</t>
        </is>
      </c>
      <c r="C1596" t="inlineStr">
        <is>
          <t>AKÜ,L2,DK,60AH,IGYA,BLIZZSILVRLN,TÜRKMEN</t>
        </is>
      </c>
      <c r="D1596" s="19" t="inlineStr">
        <is>
          <t>1</t>
        </is>
      </c>
      <c r="E1596" t="n">
        <v>0</v>
      </c>
      <c r="I1596" s="19" t="inlineStr">
        <is>
          <t>2</t>
        </is>
      </c>
      <c r="J1596" t="inlineStr">
        <is>
          <t>2026-08-08</t>
        </is>
      </c>
      <c r="L1596" s="19" t="inlineStr">
        <is>
          <t>1014770</t>
        </is>
      </c>
      <c r="M1596" t="inlineStr">
        <is>
          <t>STATUS=IN OEM / EU PACKAGE; SOURCE_CFG=IA-ST-CFG-0222; MARKET=TÜRKMENİSTAN</t>
        </is>
      </c>
      <c r="N1596" t="inlineStr">
        <is>
          <t>2026-08-10T19:29:54Z</t>
        </is>
      </c>
      <c r="O1596" t="inlineStr">
        <is>
          <t>2026-08-10T19:29:54Z</t>
        </is>
      </c>
    </row>
    <row r="1597">
      <c r="A1597" s="19" t="inlineStr">
        <is>
          <t>1596</t>
        </is>
      </c>
      <c r="B1597" s="19" t="inlineStr">
        <is>
          <t>1014771</t>
        </is>
      </c>
      <c r="C1597" t="inlineStr">
        <is>
          <t>AKÜ,LB4,DK,82AH,IGYASMF,HUGEL ULTRA,EURO</t>
        </is>
      </c>
      <c r="D1597" s="19" t="inlineStr">
        <is>
          <t>1</t>
        </is>
      </c>
      <c r="E1597" t="n">
        <v>0</v>
      </c>
      <c r="I1597" s="19" t="inlineStr">
        <is>
          <t>2</t>
        </is>
      </c>
      <c r="J1597" t="inlineStr">
        <is>
          <t>2026-08-08</t>
        </is>
      </c>
      <c r="L1597" s="19" t="inlineStr">
        <is>
          <t>1014771</t>
        </is>
      </c>
      <c r="M1597" t="inlineStr">
        <is>
          <t>STATUS=IN OEM / EU PACKAGE; SOURCE_CFG=IA-ST-CFG-0152; MARKET=None</t>
        </is>
      </c>
      <c r="N1597" t="inlineStr">
        <is>
          <t>2026-08-10T19:29:54Z</t>
        </is>
      </c>
      <c r="O1597" t="inlineStr">
        <is>
          <t>2026-08-10T19:29:54Z</t>
        </is>
      </c>
    </row>
    <row r="1598">
      <c r="A1598" s="19" t="inlineStr">
        <is>
          <t>1597</t>
        </is>
      </c>
      <c r="B1598" s="19" t="inlineStr">
        <is>
          <t>1014772</t>
        </is>
      </c>
      <c r="C1598" t="inlineStr">
        <is>
          <t>AKÜ,D23,DK,60AH,IGYASMF,HUGEL ULTRA,EURO</t>
        </is>
      </c>
      <c r="D1598" s="19" t="inlineStr">
        <is>
          <t>1</t>
        </is>
      </c>
      <c r="E1598" t="n">
        <v>0</v>
      </c>
      <c r="I1598" s="19" t="inlineStr">
        <is>
          <t>2</t>
        </is>
      </c>
      <c r="J1598" t="inlineStr">
        <is>
          <t>2026-08-08</t>
        </is>
      </c>
      <c r="L1598" s="19" t="inlineStr">
        <is>
          <t>1014772</t>
        </is>
      </c>
      <c r="M1598" t="inlineStr">
        <is>
          <t>STATUS=IN OEM / EU PACKAGE; SOURCE_CFG=IA-ST-CFG-0171; MARKET=None</t>
        </is>
      </c>
      <c r="N1598" t="inlineStr">
        <is>
          <t>2026-08-10T19:29:54Z</t>
        </is>
      </c>
      <c r="O1598" t="inlineStr">
        <is>
          <t>2026-08-10T19:29:54Z</t>
        </is>
      </c>
    </row>
    <row r="1599">
      <c r="A1599" s="19" t="inlineStr">
        <is>
          <t>1598</t>
        </is>
      </c>
      <c r="B1599" s="19" t="inlineStr">
        <is>
          <t>1014773</t>
        </is>
      </c>
      <c r="C1599" t="inlineStr">
        <is>
          <t>AKÜ,D26,DK,72AH,IGYASMF,HUGEL ULTRA,EURO</t>
        </is>
      </c>
      <c r="D1599" s="19" t="inlineStr">
        <is>
          <t>1</t>
        </is>
      </c>
      <c r="E1599" t="n">
        <v>0</v>
      </c>
      <c r="I1599" s="19" t="inlineStr">
        <is>
          <t>2</t>
        </is>
      </c>
      <c r="J1599" t="inlineStr">
        <is>
          <t>2026-08-08</t>
        </is>
      </c>
      <c r="L1599" s="19" t="inlineStr">
        <is>
          <t>1014773</t>
        </is>
      </c>
      <c r="M1599" t="inlineStr">
        <is>
          <t>STATUS=IN OEM / EU PACKAGE; SOURCE_CFG=IA-ST-CFG-0107; MARKET=None</t>
        </is>
      </c>
      <c r="N1599" t="inlineStr">
        <is>
          <t>2026-08-10T19:29:54Z</t>
        </is>
      </c>
      <c r="O1599" t="inlineStr">
        <is>
          <t>2026-08-10T19:29:54Z</t>
        </is>
      </c>
    </row>
    <row r="1600">
      <c r="A1600" s="19" t="inlineStr">
        <is>
          <t>1599</t>
        </is>
      </c>
      <c r="B1600" s="19" t="inlineStr">
        <is>
          <t>1014774</t>
        </is>
      </c>
      <c r="C1600" t="inlineStr">
        <is>
          <t>AKÜ,B-IGYASMF,DK,185AH,NO NAME,SKG</t>
        </is>
      </c>
      <c r="D1600" s="19" t="inlineStr">
        <is>
          <t>1</t>
        </is>
      </c>
      <c r="E1600" t="n">
        <v>0</v>
      </c>
      <c r="I1600" s="19" t="inlineStr">
        <is>
          <t>2</t>
        </is>
      </c>
      <c r="J1600" t="inlineStr">
        <is>
          <t>2026-08-08</t>
        </is>
      </c>
      <c r="L1600" s="19" t="inlineStr">
        <is>
          <t>1014774</t>
        </is>
      </c>
      <c r="M1600" t="inlineStr">
        <is>
          <t>STATUS=IN OEM / EU PACKAGE; SOURCE_CFG=IA-ST-CFG-0028; MARKET=SKG İTALYA</t>
        </is>
      </c>
      <c r="N1600" t="inlineStr">
        <is>
          <t>2026-08-10T19:29:54Z</t>
        </is>
      </c>
      <c r="O1600" t="inlineStr">
        <is>
          <t>2026-08-10T19:29:54Z</t>
        </is>
      </c>
    </row>
    <row r="1601">
      <c r="A1601" s="19" t="inlineStr">
        <is>
          <t>1600</t>
        </is>
      </c>
      <c r="B1601" s="19" t="inlineStr">
        <is>
          <t>1014775</t>
        </is>
      </c>
      <c r="C1601" t="inlineStr">
        <is>
          <t>AKÜ,C-IGYASMF,DK,230AH,NO NAME,SKG</t>
        </is>
      </c>
      <c r="D1601" s="19" t="inlineStr">
        <is>
          <t>1</t>
        </is>
      </c>
      <c r="E1601" t="n">
        <v>0</v>
      </c>
      <c r="I1601" s="19" t="inlineStr">
        <is>
          <t>2</t>
        </is>
      </c>
      <c r="J1601" t="inlineStr">
        <is>
          <t>2026-08-08</t>
        </is>
      </c>
      <c r="L1601" s="19" t="inlineStr">
        <is>
          <t>1014775</t>
        </is>
      </c>
      <c r="M1601" t="inlineStr">
        <is>
          <t>STATUS=IN OEM / EU PACKAGE; SOURCE_CFG=IA-ST-CFG-0013; MARKET=SKG İTALYA</t>
        </is>
      </c>
      <c r="N1601" t="inlineStr">
        <is>
          <t>2026-08-10T19:29:54Z</t>
        </is>
      </c>
      <c r="O1601" t="inlineStr">
        <is>
          <t>2026-08-10T19:29:54Z</t>
        </is>
      </c>
    </row>
    <row r="1602">
      <c r="A1602" s="19" t="inlineStr">
        <is>
          <t>1601</t>
        </is>
      </c>
      <c r="B1602" s="19" t="inlineStr">
        <is>
          <t>1014778</t>
        </is>
      </c>
      <c r="C1602" t="inlineStr">
        <is>
          <t>AKÜ,B-FLAT,DK,160AH,NO NAME,PARTS</t>
        </is>
      </c>
      <c r="D1602" s="19" t="inlineStr">
        <is>
          <t>1</t>
        </is>
      </c>
      <c r="E1602" t="n">
        <v>0</v>
      </c>
      <c r="I1602" s="19" t="inlineStr">
        <is>
          <t>2</t>
        </is>
      </c>
      <c r="J1602" t="inlineStr">
        <is>
          <t>2026-08-08</t>
        </is>
      </c>
      <c r="L1602" s="19" t="inlineStr">
        <is>
          <t>1014778</t>
        </is>
      </c>
      <c r="M1602" t="inlineStr">
        <is>
          <t>STATUS=IN OEM / EU PACKAGE; SOURCE_CFG=IA-ST-CFG-0031; MARKET=CAR PARTS DISTRIBUZIONE İTALYA</t>
        </is>
      </c>
      <c r="N1602" t="inlineStr">
        <is>
          <t>2026-08-10T19:29:54Z</t>
        </is>
      </c>
      <c r="O1602" t="inlineStr">
        <is>
          <t>2026-08-10T19:29:54Z</t>
        </is>
      </c>
    </row>
    <row r="1603">
      <c r="A1603" s="19" t="inlineStr">
        <is>
          <t>1602</t>
        </is>
      </c>
      <c r="B1603" s="19" t="inlineStr">
        <is>
          <t>1014779</t>
        </is>
      </c>
      <c r="C1603" t="inlineStr">
        <is>
          <t>AKÜ,L5,DK,88AH,IGYA SMF,NO NAME,PARTS</t>
        </is>
      </c>
      <c r="D1603" s="19" t="inlineStr">
        <is>
          <t>1</t>
        </is>
      </c>
      <c r="E1603" t="n">
        <v>0</v>
      </c>
      <c r="I1603" s="19" t="inlineStr">
        <is>
          <t>2</t>
        </is>
      </c>
      <c r="J1603" t="inlineStr">
        <is>
          <t>2026-08-08</t>
        </is>
      </c>
      <c r="L1603" s="19" t="inlineStr">
        <is>
          <t>1014779</t>
        </is>
      </c>
      <c r="M1603" t="inlineStr">
        <is>
          <t>STATUS=IN OEM / EU PACKAGE; SOURCE_CFG=IA-ST-CFG-0118; MARKET=CAR PARTS DISTRIBUZIONE İTALYA</t>
        </is>
      </c>
      <c r="N1603" t="inlineStr">
        <is>
          <t>2026-08-10T19:29:54Z</t>
        </is>
      </c>
      <c r="O1603" t="inlineStr">
        <is>
          <t>2026-08-10T19:29:54Z</t>
        </is>
      </c>
    </row>
    <row r="1604">
      <c r="A1604" s="19" t="inlineStr">
        <is>
          <t>1603</t>
        </is>
      </c>
      <c r="B1604" s="19" t="inlineStr">
        <is>
          <t>1014780</t>
        </is>
      </c>
      <c r="C1604" t="inlineStr">
        <is>
          <t>AKÜ,L5,DK,100AH,IGYA SMF,NONAME,PARTS</t>
        </is>
      </c>
      <c r="D1604" s="19" t="inlineStr">
        <is>
          <t>1</t>
        </is>
      </c>
      <c r="E1604" t="n">
        <v>0</v>
      </c>
      <c r="I1604" s="19" t="inlineStr">
        <is>
          <t>2</t>
        </is>
      </c>
      <c r="J1604" t="inlineStr">
        <is>
          <t>2026-08-08</t>
        </is>
      </c>
      <c r="L1604" s="19" t="inlineStr">
        <is>
          <t>1014780</t>
        </is>
      </c>
      <c r="M1604" t="inlineStr">
        <is>
          <t>STATUS=IN OEM / EU PACKAGE; SOURCE_CFG=IA-ST-CFG-0118; MARKET=CAR PARTS DISTRIBUZIONE İTALYA</t>
        </is>
      </c>
      <c r="N1604" t="inlineStr">
        <is>
          <t>2026-08-10T19:29:54Z</t>
        </is>
      </c>
      <c r="O1604" t="inlineStr">
        <is>
          <t>2026-08-10T19:29:54Z</t>
        </is>
      </c>
    </row>
    <row r="1605">
      <c r="A1605" s="19" t="inlineStr">
        <is>
          <t>1604</t>
        </is>
      </c>
      <c r="B1605" s="19" t="inlineStr">
        <is>
          <t>1014782</t>
        </is>
      </c>
      <c r="C1605" t="inlineStr">
        <is>
          <t>AKÜ,A-IGYA,DK,120AH,EAS JENERATÖR,İÇ PYS</t>
        </is>
      </c>
      <c r="D1605" s="19" t="inlineStr">
        <is>
          <t>1</t>
        </is>
      </c>
      <c r="E1605" t="n">
        <v>0</v>
      </c>
      <c r="I1605" s="19" t="inlineStr">
        <is>
          <t>2</t>
        </is>
      </c>
      <c r="J1605" t="inlineStr">
        <is>
          <t>2026-08-08</t>
        </is>
      </c>
      <c r="L1605" s="19" t="inlineStr">
        <is>
          <t>1014782</t>
        </is>
      </c>
      <c r="M1605" t="inlineStr">
        <is>
          <t>STATUS=IN OEM / EU PACKAGE; SOURCE_CFG=IA-ST-CFG-0047; MARKET=YURT İÇİ AFM</t>
        </is>
      </c>
      <c r="N1605" t="inlineStr">
        <is>
          <t>2026-08-10T19:29:54Z</t>
        </is>
      </c>
      <c r="O1605" t="inlineStr">
        <is>
          <t>2026-08-10T19:29:54Z</t>
        </is>
      </c>
    </row>
    <row r="1606">
      <c r="A1606" s="19" t="inlineStr">
        <is>
          <t>1605</t>
        </is>
      </c>
      <c r="B1606" s="19" t="inlineStr">
        <is>
          <t>1014783</t>
        </is>
      </c>
      <c r="C1606" t="inlineStr">
        <is>
          <t>AKÜ,B-IGYA,DK,180AH,EAS JENERATÖR,İÇ PYS</t>
        </is>
      </c>
      <c r="D1606" s="19" t="inlineStr">
        <is>
          <t>1</t>
        </is>
      </c>
      <c r="E1606" t="n">
        <v>0</v>
      </c>
      <c r="I1606" s="19" t="inlineStr">
        <is>
          <t>2</t>
        </is>
      </c>
      <c r="J1606" t="inlineStr">
        <is>
          <t>2026-08-08</t>
        </is>
      </c>
      <c r="L1606" s="19" t="inlineStr">
        <is>
          <t>1014783</t>
        </is>
      </c>
      <c r="M1606" t="inlineStr">
        <is>
          <t>STATUS=IN OEM / EU PACKAGE; SOURCE_CFG=IA-ST-CFG-0048; MARKET=YURT İÇİ AFM</t>
        </is>
      </c>
      <c r="N1606" t="inlineStr">
        <is>
          <t>2026-08-10T19:29:54Z</t>
        </is>
      </c>
      <c r="O1606" t="inlineStr">
        <is>
          <t>2026-08-10T19:29:54Z</t>
        </is>
      </c>
    </row>
    <row r="1607">
      <c r="A1607" s="19" t="inlineStr">
        <is>
          <t>1606</t>
        </is>
      </c>
      <c r="B1607" s="19" t="inlineStr">
        <is>
          <t>1014784</t>
        </is>
      </c>
      <c r="C1607" t="inlineStr">
        <is>
          <t>AKÜ,C-IGYA,DK,200AH,EAS JENERATÖR,İÇ PYS</t>
        </is>
      </c>
      <c r="D1607" s="19" t="inlineStr">
        <is>
          <t>1</t>
        </is>
      </c>
      <c r="E1607" t="n">
        <v>0</v>
      </c>
      <c r="I1607" s="19" t="inlineStr">
        <is>
          <t>2</t>
        </is>
      </c>
      <c r="J1607" t="inlineStr">
        <is>
          <t>2026-08-08</t>
        </is>
      </c>
      <c r="L1607" s="19" t="inlineStr">
        <is>
          <t>1014784</t>
        </is>
      </c>
      <c r="M1607" t="inlineStr">
        <is>
          <t>STATUS=IN OEM / EU PACKAGE; SOURCE_CFG=IA-ST-CFG-0021; MARKET=YURT İÇİ AFM</t>
        </is>
      </c>
      <c r="N1607" t="inlineStr">
        <is>
          <t>2026-08-10T19:29:54Z</t>
        </is>
      </c>
      <c r="O1607" t="inlineStr">
        <is>
          <t>2026-08-10T19:29:54Z</t>
        </is>
      </c>
    </row>
    <row r="1608">
      <c r="A1608" s="19" t="inlineStr">
        <is>
          <t>1607</t>
        </is>
      </c>
      <c r="B1608" s="19" t="inlineStr">
        <is>
          <t>1014788</t>
        </is>
      </c>
      <c r="C1608" t="inlineStr">
        <is>
          <t>AKÜ,L5,DK,100AH,IGYSMF,NONAME,GS VIETNAM</t>
        </is>
      </c>
      <c r="D1608" s="19" t="inlineStr">
        <is>
          <t>1</t>
        </is>
      </c>
      <c r="E1608" t="n">
        <v>0</v>
      </c>
      <c r="I1608" s="19" t="inlineStr">
        <is>
          <t>2</t>
        </is>
      </c>
      <c r="J1608" t="inlineStr">
        <is>
          <t>2026-08-08</t>
        </is>
      </c>
      <c r="L1608" s="19" t="inlineStr">
        <is>
          <t>1014788</t>
        </is>
      </c>
      <c r="M1608" t="inlineStr">
        <is>
          <t>STATUS=IN OEM / EU PACKAGE; SOURCE_CFG=IA-ST-CFG-0092; MARKET=GS</t>
        </is>
      </c>
      <c r="N1608" t="inlineStr">
        <is>
          <t>2026-08-10T19:29:54Z</t>
        </is>
      </c>
      <c r="O1608" t="inlineStr">
        <is>
          <t>2026-08-10T19:29:54Z</t>
        </is>
      </c>
    </row>
    <row r="1609">
      <c r="A1609" s="19" t="inlineStr">
        <is>
          <t>1608</t>
        </is>
      </c>
      <c r="B1609" s="19" t="inlineStr">
        <is>
          <t>1014789</t>
        </is>
      </c>
      <c r="C1609" t="inlineStr">
        <is>
          <t>AKÜ,L3,DK,70AH,GSY,MOPAR,K0 PX9836412880</t>
        </is>
      </c>
      <c r="D1609" s="19" t="inlineStr">
        <is>
          <t>1</t>
        </is>
      </c>
      <c r="E1609" t="n">
        <v>0</v>
      </c>
      <c r="I1609" s="19" t="inlineStr">
        <is>
          <t>2</t>
        </is>
      </c>
      <c r="J1609" t="inlineStr">
        <is>
          <t>2026-08-08</t>
        </is>
      </c>
      <c r="L1609" s="19" t="inlineStr">
        <is>
          <t>1014789</t>
        </is>
      </c>
      <c r="M1609" t="inlineStr">
        <is>
          <t>STATUS=DOMESTIC-ONLY / NOT IN OEM PACKAGE; SOURCE_CFG=IA-ST-CFG-0018; MARKET=TOFAŞ K0 (Yurt İçi)</t>
        </is>
      </c>
      <c r="N1609" t="inlineStr">
        <is>
          <t>2026-08-10T19:29:54Z</t>
        </is>
      </c>
      <c r="O1609" t="inlineStr">
        <is>
          <t>2026-08-10T19:29:54Z</t>
        </is>
      </c>
    </row>
    <row r="1610">
      <c r="A1610" s="19" t="inlineStr">
        <is>
          <t>1609</t>
        </is>
      </c>
      <c r="B1610" s="19" t="inlineStr">
        <is>
          <t>1014790</t>
        </is>
      </c>
      <c r="C1610" t="inlineStr">
        <is>
          <t>AKÜ,L3,DK,70AH,GSY,MOPAR,K0 NA9866800080</t>
        </is>
      </c>
      <c r="D1610" s="19" t="inlineStr">
        <is>
          <t>1</t>
        </is>
      </c>
      <c r="E1610" t="n">
        <v>0</v>
      </c>
      <c r="I1610" s="19" t="inlineStr">
        <is>
          <t>2</t>
        </is>
      </c>
      <c r="J1610" t="inlineStr">
        <is>
          <t>2026-08-08</t>
        </is>
      </c>
      <c r="L1610" s="19" t="inlineStr">
        <is>
          <t>1014790</t>
        </is>
      </c>
      <c r="M1610" t="inlineStr">
        <is>
          <t>STATUS=DOMESTIC-ONLY / NOT IN OEM PACKAGE; SOURCE_CFG=IA-ST-CFG-0018; MARKET=TOFAŞ K0 (Yurt İçi)</t>
        </is>
      </c>
      <c r="N1610" t="inlineStr">
        <is>
          <t>2026-08-10T19:29:54Z</t>
        </is>
      </c>
      <c r="O1610" t="inlineStr">
        <is>
          <t>2026-08-10T19:29:54Z</t>
        </is>
      </c>
    </row>
    <row r="1611">
      <c r="A1611" s="19" t="inlineStr">
        <is>
          <t>1610</t>
        </is>
      </c>
      <c r="B1611" s="19" t="inlineStr">
        <is>
          <t>1014792</t>
        </is>
      </c>
      <c r="C1611" t="inlineStr">
        <is>
          <t>AKÜ,L3,DK,70AH,BLIZZARO AGM S&amp;S,MISIR</t>
        </is>
      </c>
      <c r="D1611" s="19" t="inlineStr">
        <is>
          <t>1</t>
        </is>
      </c>
      <c r="E1611" t="n">
        <v>0</v>
      </c>
      <c r="I1611" s="19" t="inlineStr">
        <is>
          <t>2</t>
        </is>
      </c>
      <c r="J1611" t="inlineStr">
        <is>
          <t>2026-08-08</t>
        </is>
      </c>
      <c r="L1611" s="19" t="inlineStr">
        <is>
          <t>1014792</t>
        </is>
      </c>
      <c r="M1611" t="inlineStr">
        <is>
          <t>STATUS=IN OEM / EU PACKAGE; SOURCE_CFG=IA-ST-CFG-0179; MARKET=MISIR AL AMAN</t>
        </is>
      </c>
      <c r="N1611" t="inlineStr">
        <is>
          <t>2026-08-10T19:29:54Z</t>
        </is>
      </c>
      <c r="O1611" t="inlineStr">
        <is>
          <t>2026-08-10T19:29:54Z</t>
        </is>
      </c>
    </row>
    <row r="1612">
      <c r="A1612" s="19" t="inlineStr">
        <is>
          <t>1611</t>
        </is>
      </c>
      <c r="B1612" s="19" t="inlineStr">
        <is>
          <t>1014793</t>
        </is>
      </c>
      <c r="C1612" t="inlineStr">
        <is>
          <t>AKÜ,B-IGYASMF,DK,170AH,İNCİ FORM TAURUS</t>
        </is>
      </c>
      <c r="D1612" s="19" t="inlineStr">
        <is>
          <t>1</t>
        </is>
      </c>
      <c r="E1612" t="n">
        <v>0</v>
      </c>
      <c r="I1612" s="19" t="inlineStr">
        <is>
          <t>2</t>
        </is>
      </c>
      <c r="J1612" t="inlineStr">
        <is>
          <t>2026-08-08</t>
        </is>
      </c>
      <c r="L1612" s="19" t="inlineStr">
        <is>
          <t>1014793</t>
        </is>
      </c>
      <c r="M1612" t="inlineStr">
        <is>
          <t>STATUS=IN OEM / EU PACKAGE; SOURCE_CFG=IA-ST-CFG-0052; MARKET=None</t>
        </is>
      </c>
      <c r="N1612" t="inlineStr">
        <is>
          <t>2026-08-10T19:29:54Z</t>
        </is>
      </c>
      <c r="O1612" t="inlineStr">
        <is>
          <t>2026-08-10T19:29:54Z</t>
        </is>
      </c>
    </row>
    <row r="1613">
      <c r="A1613" s="19" t="inlineStr">
        <is>
          <t>1612</t>
        </is>
      </c>
      <c r="B1613" s="19" t="inlineStr">
        <is>
          <t>1014794</t>
        </is>
      </c>
      <c r="C1613" t="inlineStr">
        <is>
          <t>AKÜ AGM,L5,DK,92AH,İNCİ AGM LEO,EURO</t>
        </is>
      </c>
      <c r="D1613" s="19" t="inlineStr">
        <is>
          <t>1</t>
        </is>
      </c>
      <c r="E1613" t="n">
        <v>0</v>
      </c>
      <c r="I1613" s="19" t="inlineStr">
        <is>
          <t>2</t>
        </is>
      </c>
      <c r="J1613" t="inlineStr">
        <is>
          <t>2026-08-08</t>
        </is>
      </c>
      <c r="L1613" s="19" t="inlineStr">
        <is>
          <t>1014794</t>
        </is>
      </c>
      <c r="M1613" t="inlineStr">
        <is>
          <t>STATUS=IN OEM / EU PACKAGE; SOURCE_CFG=IA-ST-CFG-0116; MARKET=None</t>
        </is>
      </c>
      <c r="N1613" t="inlineStr">
        <is>
          <t>2026-08-10T19:29:54Z</t>
        </is>
      </c>
      <c r="O1613" t="inlineStr">
        <is>
          <t>2026-08-10T19:29:54Z</t>
        </is>
      </c>
    </row>
    <row r="1614">
      <c r="A1614" s="19" t="inlineStr">
        <is>
          <t>1613</t>
        </is>
      </c>
      <c r="B1614" s="19" t="inlineStr">
        <is>
          <t>1014795</t>
        </is>
      </c>
      <c r="C1614" t="inlineStr">
        <is>
          <t>AKÜ L5,DK,105AH,IGYA,İNCİFORMTAURUS,EURO</t>
        </is>
      </c>
      <c r="D1614" s="19" t="inlineStr">
        <is>
          <t>1</t>
        </is>
      </c>
      <c r="E1614" t="n">
        <v>0</v>
      </c>
      <c r="I1614" s="19" t="inlineStr">
        <is>
          <t>2</t>
        </is>
      </c>
      <c r="J1614" t="inlineStr">
        <is>
          <t>2026-08-08</t>
        </is>
      </c>
      <c r="L1614" s="19" t="inlineStr">
        <is>
          <t>1014795</t>
        </is>
      </c>
      <c r="M1614" t="inlineStr">
        <is>
          <t>STATUS=IN OEM / EU PACKAGE; SOURCE_CFG=IA-ST-CFG-0116; MARKET=None</t>
        </is>
      </c>
      <c r="N1614" t="inlineStr">
        <is>
          <t>2026-08-10T19:29:54Z</t>
        </is>
      </c>
      <c r="O1614" t="inlineStr">
        <is>
          <t>2026-08-10T19:29:54Z</t>
        </is>
      </c>
    </row>
    <row r="1615">
      <c r="A1615" s="19" t="inlineStr">
        <is>
          <t>1614</t>
        </is>
      </c>
      <c r="B1615" s="19" t="inlineStr">
        <is>
          <t>1014796</t>
        </is>
      </c>
      <c r="C1615" t="inlineStr">
        <is>
          <t>AKÜ,L2,DK,65AH,IGYASMF,EAS EFB MAX,İÇPYS</t>
        </is>
      </c>
      <c r="D1615" s="19" t="inlineStr">
        <is>
          <t>1</t>
        </is>
      </c>
      <c r="E1615" t="n">
        <v>0</v>
      </c>
      <c r="I1615" s="19" t="inlineStr">
        <is>
          <t>2</t>
        </is>
      </c>
      <c r="J1615" t="inlineStr">
        <is>
          <t>2026-08-08</t>
        </is>
      </c>
      <c r="L1615" s="19" t="inlineStr">
        <is>
          <t>1014796</t>
        </is>
      </c>
      <c r="M1615" t="inlineStr">
        <is>
          <t>STATUS=IN OEM / EU PACKAGE; SOURCE_CFG=IA-ST-CFG-0258; MARKET=YURT İÇİ AFM</t>
        </is>
      </c>
      <c r="N1615" t="inlineStr">
        <is>
          <t>2026-08-10T19:29:54Z</t>
        </is>
      </c>
      <c r="O1615" t="inlineStr">
        <is>
          <t>2026-08-10T19:29:54Z</t>
        </is>
      </c>
    </row>
    <row r="1616">
      <c r="A1616" s="19" t="inlineStr">
        <is>
          <t>1615</t>
        </is>
      </c>
      <c r="B1616" s="19" t="inlineStr">
        <is>
          <t>1014797</t>
        </is>
      </c>
      <c r="C1616" t="inlineStr">
        <is>
          <t>AKÜ,L3,DK,75AH,IGYASMF,EAS EFB MAX,İÇPYS</t>
        </is>
      </c>
      <c r="D1616" s="19" t="inlineStr">
        <is>
          <t>1</t>
        </is>
      </c>
      <c r="E1616" t="n">
        <v>0</v>
      </c>
      <c r="I1616" s="19" t="inlineStr">
        <is>
          <t>2</t>
        </is>
      </c>
      <c r="J1616" t="inlineStr">
        <is>
          <t>2026-08-08</t>
        </is>
      </c>
      <c r="L1616" s="19" t="inlineStr">
        <is>
          <t>1014797</t>
        </is>
      </c>
      <c r="M1616" t="inlineStr">
        <is>
          <t>STATUS=IN OEM / EU PACKAGE; SOURCE_CFG=IA-ST-CFG-0213; MARKET=YURT İÇİ AFM</t>
        </is>
      </c>
      <c r="N1616" t="inlineStr">
        <is>
          <t>2026-08-10T19:29:54Z</t>
        </is>
      </c>
      <c r="O1616" t="inlineStr">
        <is>
          <t>2026-08-10T19:29:54Z</t>
        </is>
      </c>
    </row>
    <row r="1617">
      <c r="A1617" s="19" t="inlineStr">
        <is>
          <t>1616</t>
        </is>
      </c>
      <c r="B1617" s="19" t="inlineStr">
        <is>
          <t>1014798</t>
        </is>
      </c>
      <c r="C1617" t="inlineStr">
        <is>
          <t>AKÜ,L5,DK,100AH,IGYA SMF,ZITEX BATTERY</t>
        </is>
      </c>
      <c r="D1617" s="19" t="inlineStr">
        <is>
          <t>1</t>
        </is>
      </c>
      <c r="E1617" t="n">
        <v>0</v>
      </c>
      <c r="I1617" s="19" t="inlineStr">
        <is>
          <t>2</t>
        </is>
      </c>
      <c r="J1617" t="inlineStr">
        <is>
          <t>2026-08-08</t>
        </is>
      </c>
      <c r="L1617" s="19" t="inlineStr">
        <is>
          <t>1014798</t>
        </is>
      </c>
      <c r="M1617" t="inlineStr">
        <is>
          <t>STATUS=IN OEM / EU PACKAGE; SOURCE_CFG=IA-ST-CFG-0096; MARKET=RAYA ENERGY INC. KANADA</t>
        </is>
      </c>
      <c r="N1617" t="inlineStr">
        <is>
          <t>2026-08-10T19:29:54Z</t>
        </is>
      </c>
      <c r="O1617" t="inlineStr">
        <is>
          <t>2026-08-10T19:29:54Z</t>
        </is>
      </c>
    </row>
    <row r="1618">
      <c r="A1618" s="19" t="inlineStr">
        <is>
          <t>1617</t>
        </is>
      </c>
      <c r="B1618" s="19" t="inlineStr">
        <is>
          <t>1014801</t>
        </is>
      </c>
      <c r="C1618" t="inlineStr">
        <is>
          <t>AKÜ,D23,DK,50AH,IGYASMF,GOOD YEAR,DUBAI</t>
        </is>
      </c>
      <c r="D1618" s="19" t="inlineStr">
        <is>
          <t>1</t>
        </is>
      </c>
      <c r="E1618" t="n">
        <v>0</v>
      </c>
      <c r="I1618" s="19" t="inlineStr">
        <is>
          <t>2</t>
        </is>
      </c>
      <c r="J1618" t="inlineStr">
        <is>
          <t>2026-08-08</t>
        </is>
      </c>
      <c r="L1618" s="19" t="inlineStr">
        <is>
          <t>1014801</t>
        </is>
      </c>
      <c r="M1618" t="inlineStr">
        <is>
          <t>STATUS=IN OEM / EU PACKAGE; SOURCE_CFG=IA-ST-CFG-0219; MARKET=ALONSA ELEC.GULF FZCO (DUBAI)</t>
        </is>
      </c>
      <c r="N1618" t="inlineStr">
        <is>
          <t>2026-08-10T19:29:54Z</t>
        </is>
      </c>
      <c r="O1618" t="inlineStr">
        <is>
          <t>2026-08-10T19:29:54Z</t>
        </is>
      </c>
    </row>
    <row r="1619">
      <c r="A1619" s="19" t="inlineStr">
        <is>
          <t>1618</t>
        </is>
      </c>
      <c r="B1619" s="19" t="inlineStr">
        <is>
          <t>1014803</t>
        </is>
      </c>
      <c r="C1619" t="inlineStr">
        <is>
          <t>AKÜ,D31,TK,70AH,IGYASMF,GOOD YEAR,DUBAI</t>
        </is>
      </c>
      <c r="D1619" s="19" t="inlineStr">
        <is>
          <t>1</t>
        </is>
      </c>
      <c r="E1619" t="n">
        <v>0</v>
      </c>
      <c r="I1619" s="19" t="inlineStr">
        <is>
          <t>2</t>
        </is>
      </c>
      <c r="J1619" t="inlineStr">
        <is>
          <t>2026-08-08</t>
        </is>
      </c>
      <c r="L1619" s="19" t="inlineStr">
        <is>
          <t>1014803</t>
        </is>
      </c>
      <c r="M1619" t="inlineStr">
        <is>
          <t>STATUS=IN OEM / EU PACKAGE; SOURCE_CFG=IA-ST-CFG-0143; MARKET=ALONSA ELEC.GULF FZCO (DUBAI)</t>
        </is>
      </c>
      <c r="N1619" t="inlineStr">
        <is>
          <t>2026-08-10T19:29:54Z</t>
        </is>
      </c>
      <c r="O1619" t="inlineStr">
        <is>
          <t>2026-08-10T19:29:54Z</t>
        </is>
      </c>
    </row>
    <row r="1620">
      <c r="A1620" s="19" t="inlineStr">
        <is>
          <t>1619</t>
        </is>
      </c>
      <c r="B1620" s="19" t="inlineStr">
        <is>
          <t>1014814</t>
        </is>
      </c>
      <c r="C1620" t="inlineStr">
        <is>
          <t>AKÜ,LB2,DK,60AH,IGYA,NONAME,EFBS&amp;S,PARTS</t>
        </is>
      </c>
      <c r="D1620" s="19" t="inlineStr">
        <is>
          <t>1</t>
        </is>
      </c>
      <c r="E1620" t="n">
        <v>0</v>
      </c>
      <c r="I1620" s="19" t="inlineStr">
        <is>
          <t>2</t>
        </is>
      </c>
      <c r="J1620" t="inlineStr">
        <is>
          <t>2026-08-08</t>
        </is>
      </c>
      <c r="L1620" s="19" t="inlineStr">
        <is>
          <t>1014814</t>
        </is>
      </c>
      <c r="M1620" t="inlineStr">
        <is>
          <t>STATUS=IN OEM / EU PACKAGE; SOURCE_CFG=IA-ST-CFG-0241; MARKET=CAR PARTS DISTRIBUZIONE İTALYA</t>
        </is>
      </c>
      <c r="N1620" t="inlineStr">
        <is>
          <t>2026-08-10T19:29:54Z</t>
        </is>
      </c>
      <c r="O1620" t="inlineStr">
        <is>
          <t>2026-08-10T19:29:54Z</t>
        </is>
      </c>
    </row>
    <row r="1621">
      <c r="A1621" s="19" t="inlineStr">
        <is>
          <t>1620</t>
        </is>
      </c>
      <c r="B1621" s="19" t="inlineStr">
        <is>
          <t>1014815</t>
        </is>
      </c>
      <c r="C1621" t="inlineStr">
        <is>
          <t>AKÜ,L0,DK,40AH,DINNEWPROFIL,NONAME,PARTS</t>
        </is>
      </c>
      <c r="D1621" s="19" t="inlineStr">
        <is>
          <t>1</t>
        </is>
      </c>
      <c r="E1621" t="n">
        <v>0</v>
      </c>
      <c r="I1621" s="19" t="inlineStr">
        <is>
          <t>2</t>
        </is>
      </c>
      <c r="J1621" t="inlineStr">
        <is>
          <t>2026-08-08</t>
        </is>
      </c>
      <c r="L1621" s="19" t="inlineStr">
        <is>
          <t>1014815</t>
        </is>
      </c>
      <c r="M1621" t="inlineStr">
        <is>
          <t>STATUS=IN OEM / EU PACKAGE; SOURCE_CFG=IA-ST-CFG-0278; MARKET=CAR PARTS DISTRIBUZIONE İTALYA</t>
        </is>
      </c>
      <c r="N1621" t="inlineStr">
        <is>
          <t>2026-08-10T19:29:54Z</t>
        </is>
      </c>
      <c r="O1621" t="inlineStr">
        <is>
          <t>2026-08-10T19:29:54Z</t>
        </is>
      </c>
    </row>
    <row r="1622">
      <c r="A1622" s="19" t="inlineStr">
        <is>
          <t>1621</t>
        </is>
      </c>
      <c r="B1622" s="19" t="inlineStr">
        <is>
          <t>1014816</t>
        </is>
      </c>
      <c r="C1622" t="inlineStr">
        <is>
          <t>AKÜ SULU,TANK,125AH,İNCİ SUPRA SENTOR</t>
        </is>
      </c>
      <c r="D1622" s="19" t="inlineStr">
        <is>
          <t>1</t>
        </is>
      </c>
      <c r="E1622" t="n">
        <v>0</v>
      </c>
      <c r="I1622" s="19" t="inlineStr">
        <is>
          <t>2</t>
        </is>
      </c>
      <c r="J1622" t="inlineStr">
        <is>
          <t>2026-08-08</t>
        </is>
      </c>
      <c r="L1622" s="19" t="inlineStr">
        <is>
          <t>1014816</t>
        </is>
      </c>
      <c r="M1622" t="inlineStr">
        <is>
          <t>STATUS=IN OEM / EU PACKAGE; SOURCE_CFG=IA-ST-CFG-0043; MARKET=None</t>
        </is>
      </c>
      <c r="N1622" t="inlineStr">
        <is>
          <t>2026-08-10T19:29:54Z</t>
        </is>
      </c>
      <c r="O1622" t="inlineStr">
        <is>
          <t>2026-08-10T19:29:54Z</t>
        </is>
      </c>
    </row>
    <row r="1623">
      <c r="A1623" s="19" t="inlineStr">
        <is>
          <t>1622</t>
        </is>
      </c>
      <c r="B1623" s="19" t="inlineStr">
        <is>
          <t>1014817</t>
        </is>
      </c>
      <c r="C1623" t="inlineStr">
        <is>
          <t>AKÜ,NS40,DK,35AH,IGYA SMF,NO NAME,REDMAY</t>
        </is>
      </c>
      <c r="D1623" s="19" t="inlineStr">
        <is>
          <t>1</t>
        </is>
      </c>
      <c r="E1623" t="n">
        <v>0</v>
      </c>
      <c r="I1623" s="19" t="inlineStr">
        <is>
          <t>2</t>
        </is>
      </c>
      <c r="J1623" t="inlineStr">
        <is>
          <t>2026-08-08</t>
        </is>
      </c>
      <c r="L1623" s="19" t="inlineStr">
        <is>
          <t>1014817</t>
        </is>
      </c>
      <c r="M1623" t="inlineStr">
        <is>
          <t>STATUS=IN OEM / EU PACKAGE; SOURCE_CFG=IA-ST-CFG-0284; MARKET=REDMAY URUGUAY</t>
        </is>
      </c>
      <c r="N1623" t="inlineStr">
        <is>
          <t>2026-08-10T19:29:54Z</t>
        </is>
      </c>
      <c r="O1623" t="inlineStr">
        <is>
          <t>2026-08-10T19:29:54Z</t>
        </is>
      </c>
    </row>
    <row r="1624">
      <c r="A1624" s="19" t="inlineStr">
        <is>
          <t>1623</t>
        </is>
      </c>
      <c r="B1624" s="19" t="inlineStr">
        <is>
          <t>1014818</t>
        </is>
      </c>
      <c r="C1624" t="inlineStr">
        <is>
          <t>AKÜ,L1,DK,50AH,IGYA SMF,NO NAME,REDMAY</t>
        </is>
      </c>
      <c r="D1624" s="19" t="inlineStr">
        <is>
          <t>1</t>
        </is>
      </c>
      <c r="E1624" t="n">
        <v>0</v>
      </c>
      <c r="I1624" s="19" t="inlineStr">
        <is>
          <t>2</t>
        </is>
      </c>
      <c r="J1624" t="inlineStr">
        <is>
          <t>2026-08-08</t>
        </is>
      </c>
      <c r="L1624" s="19" t="inlineStr">
        <is>
          <t>1014818</t>
        </is>
      </c>
      <c r="M1624" t="inlineStr">
        <is>
          <t>STATUS=IN OEM / EU PACKAGE; SOURCE_CFG=IA-ST-CFG-0248; MARKET=REDMAY URUGUAY</t>
        </is>
      </c>
      <c r="N1624" t="inlineStr">
        <is>
          <t>2026-08-10T19:29:54Z</t>
        </is>
      </c>
      <c r="O1624" t="inlineStr">
        <is>
          <t>2026-08-10T19:29:54Z</t>
        </is>
      </c>
    </row>
    <row r="1625">
      <c r="A1625" s="19" t="inlineStr">
        <is>
          <t>1624</t>
        </is>
      </c>
      <c r="B1625" s="19" t="inlineStr">
        <is>
          <t>1014819</t>
        </is>
      </c>
      <c r="C1625" t="inlineStr">
        <is>
          <t>AKÜ,LB2,DK,60AH,IGYA SMF,NO NAME,REDMAY</t>
        </is>
      </c>
      <c r="D1625" s="19" t="inlineStr">
        <is>
          <t>1</t>
        </is>
      </c>
      <c r="E1625" t="n">
        <v>0</v>
      </c>
      <c r="I1625" s="19" t="inlineStr">
        <is>
          <t>2</t>
        </is>
      </c>
      <c r="J1625" t="inlineStr">
        <is>
          <t>2026-08-08</t>
        </is>
      </c>
      <c r="L1625" s="19" t="inlineStr">
        <is>
          <t>1014819</t>
        </is>
      </c>
      <c r="M1625" t="inlineStr">
        <is>
          <t>STATUS=IN OEM / EU PACKAGE; SOURCE_CFG=IA-ST-CFG-0222; MARKET=REDMAY URUGUAY</t>
        </is>
      </c>
      <c r="N1625" t="inlineStr">
        <is>
          <t>2026-08-10T19:29:54Z</t>
        </is>
      </c>
      <c r="O1625" t="inlineStr">
        <is>
          <t>2026-08-10T19:29:54Z</t>
        </is>
      </c>
    </row>
    <row r="1626">
      <c r="A1626" s="19" t="inlineStr">
        <is>
          <t>1625</t>
        </is>
      </c>
      <c r="B1626" s="19" t="inlineStr">
        <is>
          <t>1014820</t>
        </is>
      </c>
      <c r="C1626" t="inlineStr">
        <is>
          <t>AKÜ,LB3,DK,66AH,IGYA SMF,NO NAME,REDMAY</t>
        </is>
      </c>
      <c r="D1626" s="19" t="inlineStr">
        <is>
          <t>1</t>
        </is>
      </c>
      <c r="E1626" t="n">
        <v>0</v>
      </c>
      <c r="I1626" s="19" t="inlineStr">
        <is>
          <t>2</t>
        </is>
      </c>
      <c r="J1626" t="inlineStr">
        <is>
          <t>2026-08-08</t>
        </is>
      </c>
      <c r="L1626" s="19" t="inlineStr">
        <is>
          <t>1014820</t>
        </is>
      </c>
      <c r="M1626" t="inlineStr">
        <is>
          <t>STATUS=IN OEM / EU PACKAGE; SOURCE_CFG=IA-ST-CFG-0178; MARKET=REDMAY URUGUAY</t>
        </is>
      </c>
      <c r="N1626" t="inlineStr">
        <is>
          <t>2026-08-10T19:29:54Z</t>
        </is>
      </c>
      <c r="O1626" t="inlineStr">
        <is>
          <t>2026-08-10T19:29:54Z</t>
        </is>
      </c>
    </row>
    <row r="1627">
      <c r="A1627" s="19" t="inlineStr">
        <is>
          <t>1626</t>
        </is>
      </c>
      <c r="B1627" s="19" t="inlineStr">
        <is>
          <t>1014821</t>
        </is>
      </c>
      <c r="C1627" t="inlineStr">
        <is>
          <t>AKÜ,NS40,TK,35AH,IGYSMF,İNCİ FORM TAURUS</t>
        </is>
      </c>
      <c r="D1627" s="19" t="inlineStr">
        <is>
          <t>1</t>
        </is>
      </c>
      <c r="E1627" t="n">
        <v>0</v>
      </c>
      <c r="I1627" s="19" t="inlineStr">
        <is>
          <t>2</t>
        </is>
      </c>
      <c r="J1627" t="inlineStr">
        <is>
          <t>2026-08-08</t>
        </is>
      </c>
      <c r="L1627" s="19" t="inlineStr">
        <is>
          <t>1014821</t>
        </is>
      </c>
      <c r="M1627" t="inlineStr">
        <is>
          <t>STATUS=IN OEM / EU PACKAGE; SOURCE_CFG=IA-ST-CFG-0284; MARKET=None</t>
        </is>
      </c>
      <c r="N1627" t="inlineStr">
        <is>
          <t>2026-08-10T19:29:54Z</t>
        </is>
      </c>
      <c r="O1627" t="inlineStr">
        <is>
          <t>2026-08-10T19:29:54Z</t>
        </is>
      </c>
    </row>
    <row r="1628">
      <c r="A1628" s="19" t="inlineStr">
        <is>
          <t>1627</t>
        </is>
      </c>
      <c r="B1628" s="19" t="inlineStr">
        <is>
          <t>1014830</t>
        </is>
      </c>
      <c r="C1628" t="inlineStr">
        <is>
          <t>AKÜ,C-IGYASMF,DK,240AH,BLIZZARO SILVERLN</t>
        </is>
      </c>
      <c r="D1628" s="19" t="inlineStr">
        <is>
          <t>1</t>
        </is>
      </c>
      <c r="E1628" t="n">
        <v>0</v>
      </c>
      <c r="I1628" s="19" t="inlineStr">
        <is>
          <t>2</t>
        </is>
      </c>
      <c r="J1628" t="inlineStr">
        <is>
          <t>2026-08-08</t>
        </is>
      </c>
      <c r="L1628" s="19" t="inlineStr">
        <is>
          <t>1014830</t>
        </is>
      </c>
      <c r="M1628" t="inlineStr">
        <is>
          <t>STATUS=IN OEM / EU PACKAGE; SOURCE_CFG=IA-ST-CFG-0023; MARKET=None</t>
        </is>
      </c>
      <c r="N1628" t="inlineStr">
        <is>
          <t>2026-08-10T19:29:54Z</t>
        </is>
      </c>
      <c r="O1628" t="inlineStr">
        <is>
          <t>2026-08-10T19:29:54Z</t>
        </is>
      </c>
    </row>
    <row r="1629">
      <c r="A1629" s="19" t="inlineStr">
        <is>
          <t>1628</t>
        </is>
      </c>
      <c r="B1629" s="19" t="inlineStr">
        <is>
          <t>1014831</t>
        </is>
      </c>
      <c r="C1629" t="inlineStr">
        <is>
          <t>AKÜ,NS40,DK,35AH,IGYASMF,HUGELULTRA,İNCE</t>
        </is>
      </c>
      <c r="D1629" s="19" t="inlineStr">
        <is>
          <t>1</t>
        </is>
      </c>
      <c r="E1629" t="n">
        <v>0</v>
      </c>
      <c r="I1629" s="19" t="inlineStr">
        <is>
          <t>2</t>
        </is>
      </c>
      <c r="J1629" t="inlineStr">
        <is>
          <t>2026-08-08</t>
        </is>
      </c>
      <c r="L1629" s="19" t="inlineStr">
        <is>
          <t>1014831</t>
        </is>
      </c>
      <c r="M1629" t="inlineStr">
        <is>
          <t>STATUS=IN OEM / EU PACKAGE; SOURCE_CFG=IA-ST-CFG-0284; MARKET=None</t>
        </is>
      </c>
      <c r="N1629" t="inlineStr">
        <is>
          <t>2026-08-10T19:29:54Z</t>
        </is>
      </c>
      <c r="O1629" t="inlineStr">
        <is>
          <t>2026-08-10T19:29:54Z</t>
        </is>
      </c>
    </row>
    <row r="1630">
      <c r="A1630" s="19" t="inlineStr">
        <is>
          <t>1629</t>
        </is>
      </c>
      <c r="B1630" s="19" t="inlineStr">
        <is>
          <t>1014832</t>
        </is>
      </c>
      <c r="C1630" t="inlineStr">
        <is>
          <t>AKÜ,NS40,DK,35AH,IGYASMF,İNCİTAURUS,İNCE</t>
        </is>
      </c>
      <c r="D1630" s="19" t="inlineStr">
        <is>
          <t>1</t>
        </is>
      </c>
      <c r="E1630" t="n">
        <v>0</v>
      </c>
      <c r="I1630" s="19" t="inlineStr">
        <is>
          <t>2</t>
        </is>
      </c>
      <c r="J1630" t="inlineStr">
        <is>
          <t>2026-08-08</t>
        </is>
      </c>
      <c r="L1630" s="19" t="inlineStr">
        <is>
          <t>1014832</t>
        </is>
      </c>
      <c r="M1630" t="inlineStr">
        <is>
          <t>STATUS=IN OEM / EU PACKAGE; SOURCE_CFG=IA-ST-CFG-0284; MARKET=None</t>
        </is>
      </c>
      <c r="N1630" t="inlineStr">
        <is>
          <t>2026-08-10T19:29:54Z</t>
        </is>
      </c>
      <c r="O1630" t="inlineStr">
        <is>
          <t>2026-08-10T19:29:54Z</t>
        </is>
      </c>
    </row>
    <row r="1631">
      <c r="A1631" s="19" t="inlineStr">
        <is>
          <t>1630</t>
        </is>
      </c>
      <c r="B1631" s="19" t="inlineStr">
        <is>
          <t>1014844</t>
        </is>
      </c>
      <c r="C1631" t="inlineStr">
        <is>
          <t>AKÜ,NS40,DK,35AH,IGYA,İNCİ FORM TAURUS</t>
        </is>
      </c>
      <c r="D1631" s="19" t="inlineStr">
        <is>
          <t>1</t>
        </is>
      </c>
      <c r="E1631" t="n">
        <v>0</v>
      </c>
      <c r="I1631" s="19" t="inlineStr">
        <is>
          <t>2</t>
        </is>
      </c>
      <c r="J1631" t="inlineStr">
        <is>
          <t>2026-08-08</t>
        </is>
      </c>
      <c r="L1631" s="19" t="inlineStr">
        <is>
          <t>1014844</t>
        </is>
      </c>
      <c r="M1631" t="inlineStr">
        <is>
          <t>STATUS=IN OEM / EU PACKAGE; SOURCE_CFG=IA-ST-CFG-0284; MARKET=None</t>
        </is>
      </c>
      <c r="N1631" t="inlineStr">
        <is>
          <t>2026-08-10T19:29:54Z</t>
        </is>
      </c>
      <c r="O1631" t="inlineStr">
        <is>
          <t>2026-08-10T19:29:54Z</t>
        </is>
      </c>
    </row>
    <row r="1632">
      <c r="A1632" s="19" t="inlineStr">
        <is>
          <t>1631</t>
        </is>
      </c>
      <c r="B1632" s="19" t="inlineStr">
        <is>
          <t>1014847</t>
        </is>
      </c>
      <c r="C1632" t="inlineStr">
        <is>
          <t>AKÜ,D23,DK,60AH,B01,IGYA,İNCİFORMULA,BMC</t>
        </is>
      </c>
      <c r="D1632" s="19" t="inlineStr">
        <is>
          <t>1</t>
        </is>
      </c>
      <c r="E1632" t="n">
        <v>0</v>
      </c>
      <c r="I1632" s="19" t="inlineStr">
        <is>
          <t>2</t>
        </is>
      </c>
      <c r="J1632" t="inlineStr">
        <is>
          <t>2026-08-08</t>
        </is>
      </c>
      <c r="L1632" s="19" t="inlineStr">
        <is>
          <t>1014847</t>
        </is>
      </c>
      <c r="M1632" t="inlineStr">
        <is>
          <t>STATUS=DOMESTIC-ONLY / NOT IN OEM PACKAGE; SOURCE_CFG=IA-ST-CFG-0033; MARKET=BMC (Yurt İçi)</t>
        </is>
      </c>
      <c r="N1632" t="inlineStr">
        <is>
          <t>2026-08-10T19:29:54Z</t>
        </is>
      </c>
      <c r="O1632" t="inlineStr">
        <is>
          <t>2026-08-10T19:29:54Z</t>
        </is>
      </c>
    </row>
    <row r="1633">
      <c r="A1633" s="19" t="inlineStr">
        <is>
          <t>1632</t>
        </is>
      </c>
      <c r="B1633" s="19" t="inlineStr">
        <is>
          <t>1014848</t>
        </is>
      </c>
      <c r="C1633" t="inlineStr">
        <is>
          <t>AKÜ,LB5,DK,90AH,IGYASMF,İNCİ FORM TAURUS</t>
        </is>
      </c>
      <c r="D1633" s="19" t="inlineStr">
        <is>
          <t>1</t>
        </is>
      </c>
      <c r="E1633" t="n">
        <v>0</v>
      </c>
      <c r="I1633" s="19" t="inlineStr">
        <is>
          <t>2</t>
        </is>
      </c>
      <c r="J1633" t="inlineStr">
        <is>
          <t>2026-08-08</t>
        </is>
      </c>
      <c r="L1633" s="19" t="inlineStr">
        <is>
          <t>1014848</t>
        </is>
      </c>
      <c r="M1633" t="inlineStr">
        <is>
          <t>STATUS=IN OEM / EU PACKAGE; SOURCE_CFG=IA-ST-CFG-0095; MARKET=None</t>
        </is>
      </c>
      <c r="N1633" t="inlineStr">
        <is>
          <t>2026-08-10T19:29:54Z</t>
        </is>
      </c>
      <c r="O1633" t="inlineStr">
        <is>
          <t>2026-08-10T19:29:54Z</t>
        </is>
      </c>
    </row>
    <row r="1634">
      <c r="A1634" s="19" t="inlineStr">
        <is>
          <t>1633</t>
        </is>
      </c>
      <c r="B1634" s="19" t="inlineStr">
        <is>
          <t>1014850</t>
        </is>
      </c>
      <c r="C1634" t="inlineStr">
        <is>
          <t>AKÜ,D26,DK,72AH,IGYA SMF,TITAN,BESA</t>
        </is>
      </c>
      <c r="D1634" s="19" t="inlineStr">
        <is>
          <t>1</t>
        </is>
      </c>
      <c r="E1634" t="n">
        <v>0</v>
      </c>
      <c r="I1634" s="19" t="inlineStr">
        <is>
          <t>2</t>
        </is>
      </c>
      <c r="J1634" t="inlineStr">
        <is>
          <t>2026-08-08</t>
        </is>
      </c>
      <c r="L1634" s="19" t="inlineStr">
        <is>
          <t>1014850</t>
        </is>
      </c>
      <c r="M1634" t="inlineStr">
        <is>
          <t>STATUS=IN OEM / EU PACKAGE; SOURCE_CFG=IA-ST-CFG-0107; MARKET=ALEX ARABATZIS BSA(YUNANİSTAN)</t>
        </is>
      </c>
      <c r="N1634" t="inlineStr">
        <is>
          <t>2026-08-10T19:29:54Z</t>
        </is>
      </c>
      <c r="O1634" t="inlineStr">
        <is>
          <t>2026-08-10T19:29:54Z</t>
        </is>
      </c>
    </row>
    <row r="1635">
      <c r="A1635" s="19" t="inlineStr">
        <is>
          <t>1634</t>
        </is>
      </c>
      <c r="B1635" s="19" t="inlineStr">
        <is>
          <t>1014851</t>
        </is>
      </c>
      <c r="C1635" t="inlineStr">
        <is>
          <t>AKÜ,D26,TK,72AH,IGYA SMF,TITAN,BESA</t>
        </is>
      </c>
      <c r="D1635" s="19" t="inlineStr">
        <is>
          <t>1</t>
        </is>
      </c>
      <c r="E1635" t="n">
        <v>0</v>
      </c>
      <c r="I1635" s="19" t="inlineStr">
        <is>
          <t>2</t>
        </is>
      </c>
      <c r="J1635" t="inlineStr">
        <is>
          <t>2026-08-08</t>
        </is>
      </c>
      <c r="L1635" s="19" t="inlineStr">
        <is>
          <t>1014851</t>
        </is>
      </c>
      <c r="M1635" t="inlineStr">
        <is>
          <t>STATUS=IN OEM / EU PACKAGE; SOURCE_CFG=IA-ST-CFG-0107; MARKET=ALEX ARABATZIS BSA(YUNANİSTAN)</t>
        </is>
      </c>
      <c r="N1635" t="inlineStr">
        <is>
          <t>2026-08-10T19:29:54Z</t>
        </is>
      </c>
      <c r="O1635" t="inlineStr">
        <is>
          <t>2026-08-10T19:29:54Z</t>
        </is>
      </c>
    </row>
    <row r="1636">
      <c r="A1636" s="19" t="inlineStr">
        <is>
          <t>1635</t>
        </is>
      </c>
      <c r="B1636" s="19" t="inlineStr">
        <is>
          <t>1014852</t>
        </is>
      </c>
      <c r="C1636" t="inlineStr">
        <is>
          <t>AKÜ,D23,DK,60AH,IGYA SMF,TITAN,BESA</t>
        </is>
      </c>
      <c r="D1636" s="19" t="inlineStr">
        <is>
          <t>1</t>
        </is>
      </c>
      <c r="E1636" t="n">
        <v>0</v>
      </c>
      <c r="I1636" s="19" t="inlineStr">
        <is>
          <t>2</t>
        </is>
      </c>
      <c r="J1636" t="inlineStr">
        <is>
          <t>2026-08-08</t>
        </is>
      </c>
      <c r="L1636" s="19" t="inlineStr">
        <is>
          <t>1014852</t>
        </is>
      </c>
      <c r="M1636" t="inlineStr">
        <is>
          <t>STATUS=IN OEM / EU PACKAGE; SOURCE_CFG=IA-ST-CFG-0171; MARKET=ALEX ARABATZIS BSA(YUNANİSTAN)</t>
        </is>
      </c>
      <c r="N1636" t="inlineStr">
        <is>
          <t>2026-08-10T19:29:54Z</t>
        </is>
      </c>
      <c r="O1636" t="inlineStr">
        <is>
          <t>2026-08-10T19:29:54Z</t>
        </is>
      </c>
    </row>
    <row r="1637">
      <c r="A1637" s="19" t="inlineStr">
        <is>
          <t>1636</t>
        </is>
      </c>
      <c r="B1637" s="19" t="inlineStr">
        <is>
          <t>1014853</t>
        </is>
      </c>
      <c r="C1637" t="inlineStr">
        <is>
          <t>AKÜ,D31,TK,100AH,IGYA SMF,TITAN,BESA</t>
        </is>
      </c>
      <c r="D1637" s="19" t="inlineStr">
        <is>
          <t>1</t>
        </is>
      </c>
      <c r="E1637" t="n">
        <v>0</v>
      </c>
      <c r="I1637" s="19" t="inlineStr">
        <is>
          <t>2</t>
        </is>
      </c>
      <c r="J1637" t="inlineStr">
        <is>
          <t>2026-08-08</t>
        </is>
      </c>
      <c r="L1637" s="19" t="inlineStr">
        <is>
          <t>1014853</t>
        </is>
      </c>
      <c r="M1637" t="inlineStr">
        <is>
          <t>STATUS=IN OEM / EU PACKAGE; SOURCE_CFG=IA-ST-CFG-0115; MARKET=ALEX ARABATZIS BSA(YUNANİSTAN)</t>
        </is>
      </c>
      <c r="N1637" t="inlineStr">
        <is>
          <t>2026-08-10T19:29:54Z</t>
        </is>
      </c>
      <c r="O1637" t="inlineStr">
        <is>
          <t>2026-08-10T19:29:54Z</t>
        </is>
      </c>
    </row>
    <row r="1638">
      <c r="A1638" s="19" t="inlineStr">
        <is>
          <t>1637</t>
        </is>
      </c>
      <c r="B1638" s="19" t="inlineStr">
        <is>
          <t>1014854</t>
        </is>
      </c>
      <c r="C1638" t="inlineStr">
        <is>
          <t>AKÜ,D31,DK,100AH,IGYA SMF,TITAN,BESA</t>
        </is>
      </c>
      <c r="D1638" s="19" t="inlineStr">
        <is>
          <t>1</t>
        </is>
      </c>
      <c r="E1638" t="n">
        <v>0</v>
      </c>
      <c r="I1638" s="19" t="inlineStr">
        <is>
          <t>2</t>
        </is>
      </c>
      <c r="J1638" t="inlineStr">
        <is>
          <t>2026-08-08</t>
        </is>
      </c>
      <c r="L1638" s="19" t="inlineStr">
        <is>
          <t>1014854</t>
        </is>
      </c>
      <c r="M1638" t="inlineStr">
        <is>
          <t>STATUS=IN OEM / EU PACKAGE; SOURCE_CFG=IA-ST-CFG-0115; MARKET=ALEX ARABATZIS BSA(YUNANİSTAN)</t>
        </is>
      </c>
      <c r="N1638" t="inlineStr">
        <is>
          <t>2026-08-10T19:29:54Z</t>
        </is>
      </c>
      <c r="O1638" t="inlineStr">
        <is>
          <t>2026-08-10T19:29:54Z</t>
        </is>
      </c>
    </row>
    <row r="1639">
      <c r="A1639" s="19" t="inlineStr">
        <is>
          <t>1638</t>
        </is>
      </c>
      <c r="B1639" s="19" t="inlineStr">
        <is>
          <t>1014855</t>
        </is>
      </c>
      <c r="C1639" t="inlineStr">
        <is>
          <t>AKÜ,L1,DK,50AH,IGYA SMF,TITAN,BESA</t>
        </is>
      </c>
      <c r="D1639" s="19" t="inlineStr">
        <is>
          <t>1</t>
        </is>
      </c>
      <c r="E1639" t="n">
        <v>0</v>
      </c>
      <c r="I1639" s="19" t="inlineStr">
        <is>
          <t>2</t>
        </is>
      </c>
      <c r="J1639" t="inlineStr">
        <is>
          <t>2026-08-08</t>
        </is>
      </c>
      <c r="L1639" s="19" t="inlineStr">
        <is>
          <t>1014855</t>
        </is>
      </c>
      <c r="M1639" t="inlineStr">
        <is>
          <t>STATUS=IN OEM / EU PACKAGE; SOURCE_CFG=IA-ST-CFG-0266; MARKET=ALEX ARABATZIS BSA(YUNANİSTAN)</t>
        </is>
      </c>
      <c r="N1639" t="inlineStr">
        <is>
          <t>2026-08-10T19:29:54Z</t>
        </is>
      </c>
      <c r="O1639" t="inlineStr">
        <is>
          <t>2026-08-10T19:29:54Z</t>
        </is>
      </c>
    </row>
    <row r="1640">
      <c r="A1640" s="19" t="inlineStr">
        <is>
          <t>1639</t>
        </is>
      </c>
      <c r="B1640" s="19" t="inlineStr">
        <is>
          <t>1014856</t>
        </is>
      </c>
      <c r="C1640" t="inlineStr">
        <is>
          <t>AKÜ,LB2,DK,60AH,IGYA SMF,TITAN,BESA</t>
        </is>
      </c>
      <c r="D1640" s="19" t="inlineStr">
        <is>
          <t>1</t>
        </is>
      </c>
      <c r="E1640" t="n">
        <v>0</v>
      </c>
      <c r="I1640" s="19" t="inlineStr">
        <is>
          <t>2</t>
        </is>
      </c>
      <c r="J1640" t="inlineStr">
        <is>
          <t>2026-08-08</t>
        </is>
      </c>
      <c r="L1640" s="19" t="inlineStr">
        <is>
          <t>1014856</t>
        </is>
      </c>
      <c r="M1640" t="inlineStr">
        <is>
          <t>STATUS=IN OEM / EU PACKAGE; SOURCE_CFG=IA-ST-CFG-0240; MARKET=ALEX ARABATZIS BSA(YUNANİSTAN)</t>
        </is>
      </c>
      <c r="N1640" t="inlineStr">
        <is>
          <t>2026-08-10T19:29:54Z</t>
        </is>
      </c>
      <c r="O1640" t="inlineStr">
        <is>
          <t>2026-08-10T19:29:54Z</t>
        </is>
      </c>
    </row>
    <row r="1641">
      <c r="A1641" s="19" t="inlineStr">
        <is>
          <t>1640</t>
        </is>
      </c>
      <c r="B1641" s="19" t="inlineStr">
        <is>
          <t>1014857</t>
        </is>
      </c>
      <c r="C1641" t="inlineStr">
        <is>
          <t>AKÜ,L2,DK,60AH,IGYA SMF,TITAN,BESA</t>
        </is>
      </c>
      <c r="D1641" s="19" t="inlineStr">
        <is>
          <t>1</t>
        </is>
      </c>
      <c r="E1641" t="n">
        <v>0</v>
      </c>
      <c r="I1641" s="19" t="inlineStr">
        <is>
          <t>2</t>
        </is>
      </c>
      <c r="J1641" t="inlineStr">
        <is>
          <t>2026-08-08</t>
        </is>
      </c>
      <c r="L1641" s="19" t="inlineStr">
        <is>
          <t>1014857</t>
        </is>
      </c>
      <c r="M1641" t="inlineStr">
        <is>
          <t>STATUS=IN OEM / EU PACKAGE; SOURCE_CFG=IA-ST-CFG-0240; MARKET=ALEX ARABATZIS BSA(YUNANİSTAN)</t>
        </is>
      </c>
      <c r="N1641" t="inlineStr">
        <is>
          <t>2026-08-10T19:29:54Z</t>
        </is>
      </c>
      <c r="O1641" t="inlineStr">
        <is>
          <t>2026-08-10T19:29:54Z</t>
        </is>
      </c>
    </row>
    <row r="1642">
      <c r="A1642" s="19" t="inlineStr">
        <is>
          <t>1641</t>
        </is>
      </c>
      <c r="B1642" s="19" t="inlineStr">
        <is>
          <t>1014858</t>
        </is>
      </c>
      <c r="C1642" t="inlineStr">
        <is>
          <t>AKÜ,LB3,DK,72AH,IGYA SMF,TITAN,BESA</t>
        </is>
      </c>
      <c r="D1642" s="19" t="inlineStr">
        <is>
          <t>1</t>
        </is>
      </c>
      <c r="E1642" t="n">
        <v>0</v>
      </c>
      <c r="I1642" s="19" t="inlineStr">
        <is>
          <t>2</t>
        </is>
      </c>
      <c r="J1642" t="inlineStr">
        <is>
          <t>2026-08-08</t>
        </is>
      </c>
      <c r="L1642" s="19" t="inlineStr">
        <is>
          <t>1014858</t>
        </is>
      </c>
      <c r="M1642" t="inlineStr">
        <is>
          <t>STATUS=IN OEM / EU PACKAGE; SOURCE_CFG=IA-ST-CFG-0199; MARKET=ALEX ARABATZIS BSA(YUNANİSTAN)</t>
        </is>
      </c>
      <c r="N1642" t="inlineStr">
        <is>
          <t>2026-08-10T19:29:54Z</t>
        </is>
      </c>
      <c r="O1642" t="inlineStr">
        <is>
          <t>2026-08-10T19:29:54Z</t>
        </is>
      </c>
    </row>
    <row r="1643">
      <c r="A1643" s="19" t="inlineStr">
        <is>
          <t>1642</t>
        </is>
      </c>
      <c r="B1643" s="19" t="inlineStr">
        <is>
          <t>1014859</t>
        </is>
      </c>
      <c r="C1643" t="inlineStr">
        <is>
          <t>AKÜ,L3,DK,75AH,IGYA SMF,TITAN,BESA</t>
        </is>
      </c>
      <c r="D1643" s="19" t="inlineStr">
        <is>
          <t>1</t>
        </is>
      </c>
      <c r="E1643" t="n">
        <v>0</v>
      </c>
      <c r="I1643" s="19" t="inlineStr">
        <is>
          <t>2</t>
        </is>
      </c>
      <c r="J1643" t="inlineStr">
        <is>
          <t>2026-08-08</t>
        </is>
      </c>
      <c r="L1643" s="19" t="inlineStr">
        <is>
          <t>1014859</t>
        </is>
      </c>
      <c r="M1643" t="inlineStr">
        <is>
          <t>STATUS=IN OEM / EU PACKAGE; SOURCE_CFG=IA-ST-CFG-0200; MARKET=ALEX ARABATZIS BSA(YUNANİSTAN)</t>
        </is>
      </c>
      <c r="N1643" t="inlineStr">
        <is>
          <t>2026-08-10T19:29:54Z</t>
        </is>
      </c>
      <c r="O1643" t="inlineStr">
        <is>
          <t>2026-08-10T19:29:54Z</t>
        </is>
      </c>
    </row>
    <row r="1644">
      <c r="A1644" s="19" t="inlineStr">
        <is>
          <t>1643</t>
        </is>
      </c>
      <c r="B1644" s="19" t="inlineStr">
        <is>
          <t>1014860</t>
        </is>
      </c>
      <c r="C1644" t="inlineStr">
        <is>
          <t>AKÜ,L5,DK,105AH,IGYA SMF,TITAN,BESA</t>
        </is>
      </c>
      <c r="D1644" s="19" t="inlineStr">
        <is>
          <t>1</t>
        </is>
      </c>
      <c r="E1644" t="n">
        <v>0</v>
      </c>
      <c r="I1644" s="19" t="inlineStr">
        <is>
          <t>2</t>
        </is>
      </c>
      <c r="J1644" t="inlineStr">
        <is>
          <t>2026-08-08</t>
        </is>
      </c>
      <c r="L1644" s="19" t="inlineStr">
        <is>
          <t>1014860</t>
        </is>
      </c>
      <c r="M1644" t="inlineStr">
        <is>
          <t>STATUS=IN OEM / EU PACKAGE; SOURCE_CFG=IA-ST-CFG-0116; MARKET=ALEX ARABATZIS BSA(YUNANİSTAN)</t>
        </is>
      </c>
      <c r="N1644" t="inlineStr">
        <is>
          <t>2026-08-10T19:29:54Z</t>
        </is>
      </c>
      <c r="O1644" t="inlineStr">
        <is>
          <t>2026-08-10T19:29:54Z</t>
        </is>
      </c>
    </row>
    <row r="1645">
      <c r="A1645" s="19" t="inlineStr">
        <is>
          <t>1644</t>
        </is>
      </c>
      <c r="B1645" s="19" t="inlineStr">
        <is>
          <t>1014861</t>
        </is>
      </c>
      <c r="C1645" t="inlineStr">
        <is>
          <t>AKÜ,A-FLAT,DK,110AH,TITAN,BESA</t>
        </is>
      </c>
      <c r="D1645" s="19" t="inlineStr">
        <is>
          <t>1</t>
        </is>
      </c>
      <c r="E1645" t="n">
        <v>0</v>
      </c>
      <c r="I1645" s="19" t="inlineStr">
        <is>
          <t>2</t>
        </is>
      </c>
      <c r="J1645" t="inlineStr">
        <is>
          <t>2026-08-08</t>
        </is>
      </c>
      <c r="L1645" s="19" t="inlineStr">
        <is>
          <t>1014861</t>
        </is>
      </c>
      <c r="M1645" t="inlineStr">
        <is>
          <t>STATUS=IN OEM / EU PACKAGE; SOURCE_CFG=IA-ST-CFG-0039; MARKET=ALEX ARABATZIS BSA(YUNANİSTAN)</t>
        </is>
      </c>
      <c r="N1645" t="inlineStr">
        <is>
          <t>2026-08-10T19:29:54Z</t>
        </is>
      </c>
      <c r="O1645" t="inlineStr">
        <is>
          <t>2026-08-10T19:29:54Z</t>
        </is>
      </c>
    </row>
    <row r="1646">
      <c r="A1646" s="19" t="inlineStr">
        <is>
          <t>1645</t>
        </is>
      </c>
      <c r="B1646" s="19" t="inlineStr">
        <is>
          <t>1014862</t>
        </is>
      </c>
      <c r="C1646" t="inlineStr">
        <is>
          <t>AKÜ,A-FLAT,DK,120AH,TITAN,BESA</t>
        </is>
      </c>
      <c r="D1646" s="19" t="inlineStr">
        <is>
          <t>1</t>
        </is>
      </c>
      <c r="E1646" t="n">
        <v>0</v>
      </c>
      <c r="I1646" s="19" t="inlineStr">
        <is>
          <t>2</t>
        </is>
      </c>
      <c r="J1646" t="inlineStr">
        <is>
          <t>2026-08-08</t>
        </is>
      </c>
      <c r="L1646" s="19" t="inlineStr">
        <is>
          <t>1014862</t>
        </is>
      </c>
      <c r="M1646" t="inlineStr">
        <is>
          <t>STATUS=IN OEM / EU PACKAGE; SOURCE_CFG=IA-ST-CFG-0039; MARKET=ALEX ARABATZIS BSA(YUNANİSTAN)</t>
        </is>
      </c>
      <c r="N1646" t="inlineStr">
        <is>
          <t>2026-08-10T19:29:54Z</t>
        </is>
      </c>
      <c r="O1646" t="inlineStr">
        <is>
          <t>2026-08-10T19:29:54Z</t>
        </is>
      </c>
    </row>
    <row r="1647">
      <c r="A1647" s="19" t="inlineStr">
        <is>
          <t>1646</t>
        </is>
      </c>
      <c r="B1647" s="19" t="inlineStr">
        <is>
          <t>1014863</t>
        </is>
      </c>
      <c r="C1647" t="inlineStr">
        <is>
          <t>AKÜ,B-FLAT,DK,180AH,TITAN,BESA</t>
        </is>
      </c>
      <c r="D1647" s="19" t="inlineStr">
        <is>
          <t>1</t>
        </is>
      </c>
      <c r="E1647" t="n">
        <v>0</v>
      </c>
      <c r="I1647" s="19" t="inlineStr">
        <is>
          <t>2</t>
        </is>
      </c>
      <c r="J1647" t="inlineStr">
        <is>
          <t>2026-08-08</t>
        </is>
      </c>
      <c r="L1647" s="19" t="inlineStr">
        <is>
          <t>1014863</t>
        </is>
      </c>
      <c r="M1647" t="inlineStr">
        <is>
          <t>STATUS=IN OEM / EU PACKAGE; SOURCE_CFG=IA-ST-CFG-0029; MARKET=ALEX ARABATZIS BSA(YUNANİSTAN)</t>
        </is>
      </c>
      <c r="N1647" t="inlineStr">
        <is>
          <t>2026-08-10T19:29:54Z</t>
        </is>
      </c>
      <c r="O1647" t="inlineStr">
        <is>
          <t>2026-08-10T19:29:54Z</t>
        </is>
      </c>
    </row>
    <row r="1648">
      <c r="A1648" s="19" t="inlineStr">
        <is>
          <t>1647</t>
        </is>
      </c>
      <c r="B1648" s="19" t="inlineStr">
        <is>
          <t>1014864</t>
        </is>
      </c>
      <c r="C1648" t="inlineStr">
        <is>
          <t>AKÜ,C-FLAT,DK,225AH,TITAN,BESA</t>
        </is>
      </c>
      <c r="D1648" s="19" t="inlineStr">
        <is>
          <t>1</t>
        </is>
      </c>
      <c r="E1648" t="n">
        <v>0</v>
      </c>
      <c r="I1648" s="19" t="inlineStr">
        <is>
          <t>2</t>
        </is>
      </c>
      <c r="J1648" t="inlineStr">
        <is>
          <t>2026-08-08</t>
        </is>
      </c>
      <c r="L1648" s="19" t="inlineStr">
        <is>
          <t>1014864</t>
        </is>
      </c>
      <c r="M1648" t="inlineStr">
        <is>
          <t>STATUS=IN OEM / EU PACKAGE; SOURCE_CFG=IA-ST-CFG-0014; MARKET=ALEX ARABATZIS BSA(YUNANİSTAN)</t>
        </is>
      </c>
      <c r="N1648" t="inlineStr">
        <is>
          <t>2026-08-10T19:29:54Z</t>
        </is>
      </c>
      <c r="O1648" t="inlineStr">
        <is>
          <t>2026-08-10T19:29:54Z</t>
        </is>
      </c>
    </row>
    <row r="1649">
      <c r="A1649" s="19" t="inlineStr">
        <is>
          <t>1648</t>
        </is>
      </c>
      <c r="B1649" s="19" t="inlineStr">
        <is>
          <t>1014865</t>
        </is>
      </c>
      <c r="C1649" t="inlineStr">
        <is>
          <t>AKÜ,C-IGYASMF,DK,225AH,TITAN,BESA</t>
        </is>
      </c>
      <c r="D1649" s="19" t="inlineStr">
        <is>
          <t>1</t>
        </is>
      </c>
      <c r="E1649" t="n">
        <v>0</v>
      </c>
      <c r="I1649" s="19" t="inlineStr">
        <is>
          <t>2</t>
        </is>
      </c>
      <c r="J1649" t="inlineStr">
        <is>
          <t>2026-08-08</t>
        </is>
      </c>
      <c r="L1649" s="19" t="inlineStr">
        <is>
          <t>1014865</t>
        </is>
      </c>
      <c r="M1649" t="inlineStr">
        <is>
          <t>STATUS=IN OEM / EU PACKAGE; SOURCE_CFG=IA-ST-CFG-0014; MARKET=ALEX ARABATZIS BSA(YUNANİSTAN)</t>
        </is>
      </c>
      <c r="N1649" t="inlineStr">
        <is>
          <t>2026-08-10T19:29:54Z</t>
        </is>
      </c>
      <c r="O1649" t="inlineStr">
        <is>
          <t>2026-08-10T19:29:54Z</t>
        </is>
      </c>
    </row>
    <row r="1650">
      <c r="A1650" s="19" t="inlineStr">
        <is>
          <t>1649</t>
        </is>
      </c>
      <c r="B1650" s="19" t="inlineStr">
        <is>
          <t>1014866</t>
        </is>
      </c>
      <c r="C1650" t="inlineStr">
        <is>
          <t>AKÜ,L5,DK,100AH,IGYA,BOOSTER,TÜRKMENİSTN</t>
        </is>
      </c>
      <c r="D1650" s="19" t="inlineStr">
        <is>
          <t>1</t>
        </is>
      </c>
      <c r="E1650" t="n">
        <v>0</v>
      </c>
      <c r="I1650" s="19" t="inlineStr">
        <is>
          <t>2</t>
        </is>
      </c>
      <c r="J1650" t="inlineStr">
        <is>
          <t>2026-08-08</t>
        </is>
      </c>
      <c r="L1650" s="19" t="inlineStr">
        <is>
          <t>1014866</t>
        </is>
      </c>
      <c r="M1650" t="inlineStr">
        <is>
          <t>STATUS=IN OEM / EU PACKAGE; SOURCE_CFG=IA-ST-CFG-0096; MARKET=TÜRKMENİSTAN</t>
        </is>
      </c>
      <c r="N1650" t="inlineStr">
        <is>
          <t>2026-08-10T19:29:54Z</t>
        </is>
      </c>
      <c r="O1650" t="inlineStr">
        <is>
          <t>2026-08-10T19:29:54Z</t>
        </is>
      </c>
    </row>
    <row r="1651">
      <c r="A1651" s="19" t="inlineStr">
        <is>
          <t>1650</t>
        </is>
      </c>
      <c r="B1651" s="19" t="inlineStr">
        <is>
          <t>1014867</t>
        </is>
      </c>
      <c r="C1651" t="inlineStr">
        <is>
          <t>AKÜ,L2,DK,60AH,IGYA,EASACTIVA,TÜRKMENSTN</t>
        </is>
      </c>
      <c r="D1651" s="19" t="inlineStr">
        <is>
          <t>1</t>
        </is>
      </c>
      <c r="E1651" t="n">
        <v>0</v>
      </c>
      <c r="I1651" s="19" t="inlineStr">
        <is>
          <t>2</t>
        </is>
      </c>
      <c r="J1651" t="inlineStr">
        <is>
          <t>2026-08-08</t>
        </is>
      </c>
      <c r="L1651" s="19" t="inlineStr">
        <is>
          <t>1014867</t>
        </is>
      </c>
      <c r="M1651" t="inlineStr">
        <is>
          <t>STATUS=IN OEM / EU PACKAGE; SOURCE_CFG=IA-ST-CFG-0222; MARKET=TÜRKMENİSTAN</t>
        </is>
      </c>
      <c r="N1651" t="inlineStr">
        <is>
          <t>2026-08-10T19:29:54Z</t>
        </is>
      </c>
      <c r="O1651" t="inlineStr">
        <is>
          <t>2026-08-10T19:29:54Z</t>
        </is>
      </c>
    </row>
    <row r="1652">
      <c r="A1652" s="19" t="inlineStr">
        <is>
          <t>1651</t>
        </is>
      </c>
      <c r="B1652" s="19" t="inlineStr">
        <is>
          <t>1014879</t>
        </is>
      </c>
      <c r="C1652" t="inlineStr">
        <is>
          <t>AKÜ,LB1,DK,44AH,IGYA,FP36-750,FURIAPOWER</t>
        </is>
      </c>
      <c r="D1652" s="19" t="inlineStr">
        <is>
          <t>1</t>
        </is>
      </c>
      <c r="E1652" t="n">
        <v>0</v>
      </c>
      <c r="I1652" s="19" t="inlineStr">
        <is>
          <t>2</t>
        </is>
      </c>
      <c r="J1652" t="inlineStr">
        <is>
          <t>2026-08-08</t>
        </is>
      </c>
      <c r="L1652" s="19" t="inlineStr">
        <is>
          <t>1014879</t>
        </is>
      </c>
      <c r="M1652" t="inlineStr">
        <is>
          <t>STATUS=IN OEM / EU PACKAGE; SOURCE_CFG=IA-ST-CFG-0247; MARKET=MULTISERVICIOSGOODWHEVENEZUELA</t>
        </is>
      </c>
      <c r="N1652" t="inlineStr">
        <is>
          <t>2026-08-10T19:29:54Z</t>
        </is>
      </c>
      <c r="O1652" t="inlineStr">
        <is>
          <t>2026-08-10T19:29:54Z</t>
        </is>
      </c>
    </row>
    <row r="1653">
      <c r="A1653" s="19" t="inlineStr">
        <is>
          <t>1652</t>
        </is>
      </c>
      <c r="B1653" s="19" t="inlineStr">
        <is>
          <t>1014880</t>
        </is>
      </c>
      <c r="C1653" t="inlineStr">
        <is>
          <t>AKÜ,LB2,DK,45AH,IGYA,FP22-850,FURIAPOWER</t>
        </is>
      </c>
      <c r="D1653" s="19" t="inlineStr">
        <is>
          <t>1</t>
        </is>
      </c>
      <c r="E1653" t="n">
        <v>0</v>
      </c>
      <c r="I1653" s="19" t="inlineStr">
        <is>
          <t>2</t>
        </is>
      </c>
      <c r="J1653" t="inlineStr">
        <is>
          <t>2026-08-08</t>
        </is>
      </c>
      <c r="L1653" s="19" t="inlineStr">
        <is>
          <t>1014880</t>
        </is>
      </c>
      <c r="M1653" t="inlineStr">
        <is>
          <t>STATUS=IN OEM / EU PACKAGE; SOURCE_CFG=IA-ST-CFG-0222; MARKET=MULTISERVICIOSGOODWHEVENEZUELA</t>
        </is>
      </c>
      <c r="N1653" t="inlineStr">
        <is>
          <t>2026-08-10T19:29:54Z</t>
        </is>
      </c>
      <c r="O1653" t="inlineStr">
        <is>
          <t>2026-08-10T19:29:54Z</t>
        </is>
      </c>
    </row>
    <row r="1654">
      <c r="A1654" s="19" t="inlineStr">
        <is>
          <t>1653</t>
        </is>
      </c>
      <c r="B1654" s="19" t="inlineStr">
        <is>
          <t>1014881</t>
        </is>
      </c>
      <c r="C1654" t="inlineStr">
        <is>
          <t>AKÜ,L2,DK,55AH,IGYA,FP47R-900,FURIAPOWER</t>
        </is>
      </c>
      <c r="D1654" s="19" t="inlineStr">
        <is>
          <t>1</t>
        </is>
      </c>
      <c r="E1654" t="n">
        <v>0</v>
      </c>
      <c r="I1654" s="19" t="inlineStr">
        <is>
          <t>2</t>
        </is>
      </c>
      <c r="J1654" t="inlineStr">
        <is>
          <t>2026-08-08</t>
        </is>
      </c>
      <c r="L1654" s="19" t="inlineStr">
        <is>
          <t>1014881</t>
        </is>
      </c>
      <c r="M1654" t="inlineStr">
        <is>
          <t>STATUS=IN OEM / EU PACKAGE; SOURCE_CFG=IA-ST-CFG-0222; MARKET=MULTISERVICIOSGOODWHEVENEZUELA</t>
        </is>
      </c>
      <c r="N1654" t="inlineStr">
        <is>
          <t>2026-08-10T19:29:54Z</t>
        </is>
      </c>
      <c r="O1654" t="inlineStr">
        <is>
          <t>2026-08-10T19:29:54Z</t>
        </is>
      </c>
    </row>
    <row r="1655">
      <c r="A1655" s="19" t="inlineStr">
        <is>
          <t>1654</t>
        </is>
      </c>
      <c r="B1655" s="19" t="inlineStr">
        <is>
          <t>1014882</t>
        </is>
      </c>
      <c r="C1655" t="inlineStr">
        <is>
          <t>AKÜ,L2,TK,55AH,IGYA,FP47-900,FURIA POWER</t>
        </is>
      </c>
      <c r="D1655" s="19" t="inlineStr">
        <is>
          <t>1</t>
        </is>
      </c>
      <c r="E1655" t="n">
        <v>0</v>
      </c>
      <c r="I1655" s="19" t="inlineStr">
        <is>
          <t>2</t>
        </is>
      </c>
      <c r="J1655" t="inlineStr">
        <is>
          <t>2026-08-08</t>
        </is>
      </c>
      <c r="L1655" s="19" t="inlineStr">
        <is>
          <t>1014882</t>
        </is>
      </c>
      <c r="M1655" t="inlineStr">
        <is>
          <t>STATUS=IN OEM / EU PACKAGE; SOURCE_CFG=IA-ST-CFG-0222; MARKET=MULTISERVICIOSGOODWHEVENEZUELA</t>
        </is>
      </c>
      <c r="N1655" t="inlineStr">
        <is>
          <t>2026-08-10T19:29:54Z</t>
        </is>
      </c>
      <c r="O1655" t="inlineStr">
        <is>
          <t>2026-08-10T19:29:54Z</t>
        </is>
      </c>
    </row>
    <row r="1656">
      <c r="A1656" s="19" t="inlineStr">
        <is>
          <t>1655</t>
        </is>
      </c>
      <c r="B1656" s="19" t="inlineStr">
        <is>
          <t>1014883</t>
        </is>
      </c>
      <c r="C1656" t="inlineStr">
        <is>
          <t>AKÜ,L2,TK,55AH,IGYA,FP47-950,FURIA POWER</t>
        </is>
      </c>
      <c r="D1656" s="19" t="inlineStr">
        <is>
          <t>1</t>
        </is>
      </c>
      <c r="E1656" t="n">
        <v>0</v>
      </c>
      <c r="I1656" s="19" t="inlineStr">
        <is>
          <t>2</t>
        </is>
      </c>
      <c r="J1656" t="inlineStr">
        <is>
          <t>2026-08-08</t>
        </is>
      </c>
      <c r="L1656" s="19" t="inlineStr">
        <is>
          <t>1014883</t>
        </is>
      </c>
      <c r="M1656" t="inlineStr">
        <is>
          <t>STATUS=IN OEM / EU PACKAGE; SOURCE_CFG=IA-ST-CFG-0222; MARKET=MULTISERVICIOSGOODWHEVENEZUELA</t>
        </is>
      </c>
      <c r="N1656" t="inlineStr">
        <is>
          <t>2026-08-10T19:29:54Z</t>
        </is>
      </c>
      <c r="O1656" t="inlineStr">
        <is>
          <t>2026-08-10T19:29:54Z</t>
        </is>
      </c>
    </row>
    <row r="1657">
      <c r="A1657" s="19" t="inlineStr">
        <is>
          <t>1656</t>
        </is>
      </c>
      <c r="B1657" s="19" t="inlineStr">
        <is>
          <t>1014884</t>
        </is>
      </c>
      <c r="C1657" t="inlineStr">
        <is>
          <t>AKÜ,L3,DK,66AH,IGYA,FP43R-1000FURIAPOWER</t>
        </is>
      </c>
      <c r="D1657" s="19" t="inlineStr">
        <is>
          <t>1</t>
        </is>
      </c>
      <c r="E1657" t="n">
        <v>0</v>
      </c>
      <c r="I1657" s="19" t="inlineStr">
        <is>
          <t>2</t>
        </is>
      </c>
      <c r="J1657" t="inlineStr">
        <is>
          <t>2026-08-08</t>
        </is>
      </c>
      <c r="L1657" s="19" t="inlineStr">
        <is>
          <t>1014884</t>
        </is>
      </c>
      <c r="M1657" t="inlineStr">
        <is>
          <t>STATUS=IN OEM / EU PACKAGE; SOURCE_CFG=IA-ST-CFG-0179; MARKET=MULTISERVICIOSGOODWHEVENEZUELA</t>
        </is>
      </c>
      <c r="N1657" t="inlineStr">
        <is>
          <t>2026-08-10T19:29:54Z</t>
        </is>
      </c>
      <c r="O1657" t="inlineStr">
        <is>
          <t>2026-08-10T19:29:54Z</t>
        </is>
      </c>
    </row>
    <row r="1658">
      <c r="A1658" s="19" t="inlineStr">
        <is>
          <t>1657</t>
        </is>
      </c>
      <c r="B1658" s="19" t="inlineStr">
        <is>
          <t>1014885</t>
        </is>
      </c>
      <c r="C1658" t="inlineStr">
        <is>
          <t>AKÜ,NS40DK35AH,IGYA,FPNS40-600FURIAPOWER</t>
        </is>
      </c>
      <c r="D1658" s="19" t="inlineStr">
        <is>
          <t>1</t>
        </is>
      </c>
      <c r="E1658" t="n">
        <v>0</v>
      </c>
      <c r="I1658" s="19" t="inlineStr">
        <is>
          <t>2</t>
        </is>
      </c>
      <c r="J1658" t="inlineStr">
        <is>
          <t>2026-08-08</t>
        </is>
      </c>
      <c r="L1658" s="19" t="inlineStr">
        <is>
          <t>1014885</t>
        </is>
      </c>
      <c r="M1658" t="inlineStr">
        <is>
          <t>STATUS=IN OEM / EU PACKAGE; SOURCE_CFG=IA-ST-CFG-0284; MARKET=MULTISERVICIOSGOODWHEVENEZUELA</t>
        </is>
      </c>
      <c r="N1658" t="inlineStr">
        <is>
          <t>2026-08-10T19:29:54Z</t>
        </is>
      </c>
      <c r="O1658" t="inlineStr">
        <is>
          <t>2026-08-10T19:29:54Z</t>
        </is>
      </c>
    </row>
    <row r="1659">
      <c r="A1659" s="19" t="inlineStr">
        <is>
          <t>1658</t>
        </is>
      </c>
      <c r="B1659" s="19" t="inlineStr">
        <is>
          <t>1014886</t>
        </is>
      </c>
      <c r="C1659" t="inlineStr">
        <is>
          <t>AKÜ,NS60DK45AH,IGYA,FPN60L-700FURIAPOWER</t>
        </is>
      </c>
      <c r="D1659" s="19" t="inlineStr">
        <is>
          <t>1</t>
        </is>
      </c>
      <c r="E1659" t="n">
        <v>0</v>
      </c>
      <c r="I1659" s="19" t="inlineStr">
        <is>
          <t>2</t>
        </is>
      </c>
      <c r="J1659" t="inlineStr">
        <is>
          <t>2026-08-08</t>
        </is>
      </c>
      <c r="L1659" s="19" t="inlineStr">
        <is>
          <t>1014886</t>
        </is>
      </c>
      <c r="M1659" t="inlineStr">
        <is>
          <t>STATUS=IN OEM / EU PACKAGE; SOURCE_CFG=IA-ST-CFG-0272; MARKET=MULTISERVICIOSGOODWHEVENEZUELA</t>
        </is>
      </c>
      <c r="N1659" t="inlineStr">
        <is>
          <t>2026-08-10T19:29:54Z</t>
        </is>
      </c>
      <c r="O1659" t="inlineStr">
        <is>
          <t>2026-08-10T19:29:54Z</t>
        </is>
      </c>
    </row>
    <row r="1660">
      <c r="A1660" s="19" t="inlineStr">
        <is>
          <t>1659</t>
        </is>
      </c>
      <c r="B1660" s="19" t="inlineStr">
        <is>
          <t>1014887</t>
        </is>
      </c>
      <c r="C1660" t="inlineStr">
        <is>
          <t>AKÜ,D26,DK66AH,IGYA,FP24R-1000FURIAPOWER</t>
        </is>
      </c>
      <c r="D1660" s="19" t="inlineStr">
        <is>
          <t>1</t>
        </is>
      </c>
      <c r="E1660" t="n">
        <v>0</v>
      </c>
      <c r="I1660" s="19" t="inlineStr">
        <is>
          <t>2</t>
        </is>
      </c>
      <c r="J1660" t="inlineStr">
        <is>
          <t>2026-08-08</t>
        </is>
      </c>
      <c r="L1660" s="19" t="inlineStr">
        <is>
          <t>1014887</t>
        </is>
      </c>
      <c r="M1660" t="inlineStr">
        <is>
          <t>STATUS=IN OEM / EU PACKAGE; SOURCE_CFG=IA-ST-CFG-0175; MARKET=MULTISERVICIOSGOODWHEVENEZUELA</t>
        </is>
      </c>
      <c r="N1660" t="inlineStr">
        <is>
          <t>2026-08-10T19:29:54Z</t>
        </is>
      </c>
      <c r="O1660" t="inlineStr">
        <is>
          <t>2026-08-10T19:29:54Z</t>
        </is>
      </c>
    </row>
    <row r="1661">
      <c r="A1661" s="19" t="inlineStr">
        <is>
          <t>1660</t>
        </is>
      </c>
      <c r="B1661" s="19" t="inlineStr">
        <is>
          <t>1014891</t>
        </is>
      </c>
      <c r="C1661" t="inlineStr">
        <is>
          <t>AKÜ,L3,DK,72AH,IGYA SMF,EFB S&amp;S,LUCAS</t>
        </is>
      </c>
      <c r="D1661" s="19" t="inlineStr">
        <is>
          <t>1</t>
        </is>
      </c>
      <c r="E1661" t="n">
        <v>0</v>
      </c>
      <c r="I1661" s="19" t="inlineStr">
        <is>
          <t>2</t>
        </is>
      </c>
      <c r="J1661" t="inlineStr">
        <is>
          <t>2026-08-08</t>
        </is>
      </c>
      <c r="L1661" s="19" t="inlineStr">
        <is>
          <t>1014891</t>
        </is>
      </c>
      <c r="M1661" t="inlineStr">
        <is>
          <t>STATUS=IN OEM / EU PACKAGE; SOURCE_CFG=IA-ST-CFG-0179; MARKET=REY &amp; LENFERNA LUCAS</t>
        </is>
      </c>
      <c r="N1661" t="inlineStr">
        <is>
          <t>2026-08-10T19:29:54Z</t>
        </is>
      </c>
      <c r="O1661" t="inlineStr">
        <is>
          <t>2026-08-10T19:29:54Z</t>
        </is>
      </c>
    </row>
    <row r="1662">
      <c r="A1662" s="19" t="inlineStr">
        <is>
          <t>1661</t>
        </is>
      </c>
      <c r="B1662" s="19" t="inlineStr">
        <is>
          <t>1014892</t>
        </is>
      </c>
      <c r="C1662" t="inlineStr">
        <is>
          <t>AKÜ,L4,DK,80AH,IGYA SMF,EFB S&amp;S,LUCAS</t>
        </is>
      </c>
      <c r="D1662" s="19" t="inlineStr">
        <is>
          <t>1</t>
        </is>
      </c>
      <c r="E1662" t="n">
        <v>0</v>
      </c>
      <c r="I1662" s="19" t="inlineStr">
        <is>
          <t>2</t>
        </is>
      </c>
      <c r="J1662" t="inlineStr">
        <is>
          <t>2026-08-08</t>
        </is>
      </c>
      <c r="L1662" s="19" t="inlineStr">
        <is>
          <t>1014892</t>
        </is>
      </c>
      <c r="M1662" t="inlineStr">
        <is>
          <t>STATUS=IN OEM / EU PACKAGE; SOURCE_CFG=IA-ST-CFG-0142; MARKET=REY &amp; LENFERNA LUCAS</t>
        </is>
      </c>
      <c r="N1662" t="inlineStr">
        <is>
          <t>2026-08-10T19:29:54Z</t>
        </is>
      </c>
      <c r="O1662" t="inlineStr">
        <is>
          <t>2026-08-10T19:29:54Z</t>
        </is>
      </c>
    </row>
    <row r="1663">
      <c r="A1663" s="19" t="inlineStr">
        <is>
          <t>1662</t>
        </is>
      </c>
      <c r="B1663" s="19" t="inlineStr">
        <is>
          <t>1014893</t>
        </is>
      </c>
      <c r="C1663" t="inlineStr">
        <is>
          <t>AKÜ,L2,DK,60AH,VRLA,AGM S&amp;S,LUCAS</t>
        </is>
      </c>
      <c r="D1663" s="19" t="inlineStr">
        <is>
          <t>1</t>
        </is>
      </c>
      <c r="E1663" t="n">
        <v>0</v>
      </c>
      <c r="I1663" s="19" t="inlineStr">
        <is>
          <t>2</t>
        </is>
      </c>
      <c r="J1663" t="inlineStr">
        <is>
          <t>2026-08-08</t>
        </is>
      </c>
      <c r="L1663" s="19" t="inlineStr">
        <is>
          <t>1014893</t>
        </is>
      </c>
      <c r="M1663" t="inlineStr">
        <is>
          <t>STATUS=IN OEM / EU PACKAGE; SOURCE_CFG=IA-ST-CFG-0222; MARKET=REY &amp; LENFERNA LUCAS</t>
        </is>
      </c>
      <c r="N1663" t="inlineStr">
        <is>
          <t>2026-08-10T19:29:54Z</t>
        </is>
      </c>
      <c r="O1663" t="inlineStr">
        <is>
          <t>2026-08-10T19:29:54Z</t>
        </is>
      </c>
    </row>
    <row r="1664">
      <c r="A1664" s="19" t="inlineStr">
        <is>
          <t>1663</t>
        </is>
      </c>
      <c r="B1664" s="19" t="inlineStr">
        <is>
          <t>1014894</t>
        </is>
      </c>
      <c r="C1664" t="inlineStr">
        <is>
          <t>AKÜ,L3,DK,70AH,VRLA,AGM S&amp;S,LUCAS</t>
        </is>
      </c>
      <c r="D1664" s="19" t="inlineStr">
        <is>
          <t>1</t>
        </is>
      </c>
      <c r="E1664" t="n">
        <v>0</v>
      </c>
      <c r="I1664" s="19" t="inlineStr">
        <is>
          <t>2</t>
        </is>
      </c>
      <c r="J1664" t="inlineStr">
        <is>
          <t>2026-08-08</t>
        </is>
      </c>
      <c r="L1664" s="19" t="inlineStr">
        <is>
          <t>1014894</t>
        </is>
      </c>
      <c r="M1664" t="inlineStr">
        <is>
          <t>STATUS=IN OEM / EU PACKAGE; SOURCE_CFG=IA-ST-CFG-0179; MARKET=REY &amp; LENFERNA LUCAS</t>
        </is>
      </c>
      <c r="N1664" t="inlineStr">
        <is>
          <t>2026-08-10T19:29:54Z</t>
        </is>
      </c>
      <c r="O1664" t="inlineStr">
        <is>
          <t>2026-08-10T19:29:54Z</t>
        </is>
      </c>
    </row>
    <row r="1665">
      <c r="A1665" s="19" t="inlineStr">
        <is>
          <t>1664</t>
        </is>
      </c>
      <c r="B1665" s="19" t="inlineStr">
        <is>
          <t>1014895</t>
        </is>
      </c>
      <c r="C1665" t="inlineStr">
        <is>
          <t>AKÜ,L4,DK,80AH,VRLA,AGM S&amp;S,LUCAS</t>
        </is>
      </c>
      <c r="D1665" s="19" t="inlineStr">
        <is>
          <t>1</t>
        </is>
      </c>
      <c r="E1665" t="n">
        <v>0</v>
      </c>
      <c r="I1665" s="19" t="inlineStr">
        <is>
          <t>2</t>
        </is>
      </c>
      <c r="J1665" t="inlineStr">
        <is>
          <t>2026-08-08</t>
        </is>
      </c>
      <c r="L1665" s="19" t="inlineStr">
        <is>
          <t>1014895</t>
        </is>
      </c>
      <c r="M1665" t="inlineStr">
        <is>
          <t>STATUS=IN OEM / EU PACKAGE; SOURCE_CFG=IA-ST-CFG-0142; MARKET=REY &amp; LENFERNA LUCAS</t>
        </is>
      </c>
      <c r="N1665" t="inlineStr">
        <is>
          <t>2026-08-10T19:29:54Z</t>
        </is>
      </c>
      <c r="O1665" t="inlineStr">
        <is>
          <t>2026-08-10T19:29:54Z</t>
        </is>
      </c>
    </row>
    <row r="1666">
      <c r="A1666" s="19" t="inlineStr">
        <is>
          <t>1665</t>
        </is>
      </c>
      <c r="B1666" s="19" t="inlineStr">
        <is>
          <t>1014896</t>
        </is>
      </c>
      <c r="C1666" t="inlineStr">
        <is>
          <t>AKÜ,L5,DK,95AH,VRLA,AGM S&amp;S,LUCAS</t>
        </is>
      </c>
      <c r="D1666" s="19" t="inlineStr">
        <is>
          <t>1</t>
        </is>
      </c>
      <c r="E1666" t="n">
        <v>0</v>
      </c>
      <c r="I1666" s="19" t="inlineStr">
        <is>
          <t>2</t>
        </is>
      </c>
      <c r="J1666" t="inlineStr">
        <is>
          <t>2026-08-08</t>
        </is>
      </c>
      <c r="L1666" s="19" t="inlineStr">
        <is>
          <t>1014896</t>
        </is>
      </c>
      <c r="M1666" t="inlineStr">
        <is>
          <t>STATUS=IN OEM / EU PACKAGE; SOURCE_CFG=IA-ST-CFG-0096; MARKET=REY &amp; LENFERNA LUCAS</t>
        </is>
      </c>
      <c r="N1666" t="inlineStr">
        <is>
          <t>2026-08-10T19:29:54Z</t>
        </is>
      </c>
      <c r="O1666" t="inlineStr">
        <is>
          <t>2026-08-10T19:29:54Z</t>
        </is>
      </c>
    </row>
    <row r="1667">
      <c r="A1667" s="19" t="inlineStr">
        <is>
          <t>1666</t>
        </is>
      </c>
      <c r="B1667" s="19" t="inlineStr">
        <is>
          <t>1014897</t>
        </is>
      </c>
      <c r="C1667" t="inlineStr">
        <is>
          <t>AKÜ,B-IGYASMF,DK,180AH,Y3000SHDEXP,GYITA</t>
        </is>
      </c>
      <c r="D1667" s="19" t="inlineStr">
        <is>
          <t>1</t>
        </is>
      </c>
      <c r="E1667" t="n">
        <v>0</v>
      </c>
      <c r="I1667" s="19" t="inlineStr">
        <is>
          <t>2</t>
        </is>
      </c>
      <c r="J1667" t="inlineStr">
        <is>
          <t>2026-08-08</t>
        </is>
      </c>
      <c r="L1667" s="19" t="inlineStr">
        <is>
          <t>1014897</t>
        </is>
      </c>
      <c r="M1667" t="inlineStr">
        <is>
          <t>STATUS=IN OEM / EU PACKAGE; SOURCE_CFG=IA-ST-CFG-0030; MARKET=GY ITALY</t>
        </is>
      </c>
      <c r="N1667" t="inlineStr">
        <is>
          <t>2026-08-10T19:29:54Z</t>
        </is>
      </c>
      <c r="O1667" t="inlineStr">
        <is>
          <t>2026-08-10T19:29:54Z</t>
        </is>
      </c>
    </row>
    <row r="1668">
      <c r="A1668" s="19" t="inlineStr">
        <is>
          <t>1667</t>
        </is>
      </c>
      <c r="B1668" s="19" t="inlineStr">
        <is>
          <t>1014898</t>
        </is>
      </c>
      <c r="C1668" t="inlineStr">
        <is>
          <t>AKÜ,B-IGYASMF,TK,180AH,Y3000SHDEXP,GYITA</t>
        </is>
      </c>
      <c r="D1668" s="19" t="inlineStr">
        <is>
          <t>1</t>
        </is>
      </c>
      <c r="E1668" t="n">
        <v>0</v>
      </c>
      <c r="I1668" s="19" t="inlineStr">
        <is>
          <t>2</t>
        </is>
      </c>
      <c r="J1668" t="inlineStr">
        <is>
          <t>2026-08-08</t>
        </is>
      </c>
      <c r="L1668" s="19" t="inlineStr">
        <is>
          <t>1014898</t>
        </is>
      </c>
      <c r="M1668" t="inlineStr">
        <is>
          <t>STATUS=IN OEM / EU PACKAGE; SOURCE_CFG=IA-ST-CFG-0030; MARKET=GY ITALY</t>
        </is>
      </c>
      <c r="N1668" t="inlineStr">
        <is>
          <t>2026-08-10T19:29:54Z</t>
        </is>
      </c>
      <c r="O1668" t="inlineStr">
        <is>
          <t>2026-08-10T19:29:54Z</t>
        </is>
      </c>
    </row>
    <row r="1669">
      <c r="A1669" s="19" t="inlineStr">
        <is>
          <t>1668</t>
        </is>
      </c>
      <c r="B1669" s="19" t="inlineStr">
        <is>
          <t>1014899</t>
        </is>
      </c>
      <c r="C1669" t="inlineStr">
        <is>
          <t>AKÜ,C-IGYASMF,DK,220AH,Y3000SHDEXP,GYITA</t>
        </is>
      </c>
      <c r="D1669" s="19" t="inlineStr">
        <is>
          <t>1</t>
        </is>
      </c>
      <c r="E1669" t="n">
        <v>0</v>
      </c>
      <c r="I1669" s="19" t="inlineStr">
        <is>
          <t>2</t>
        </is>
      </c>
      <c r="J1669" t="inlineStr">
        <is>
          <t>2026-08-08</t>
        </is>
      </c>
      <c r="L1669" s="19" t="inlineStr">
        <is>
          <t>1014899</t>
        </is>
      </c>
      <c r="M1669" t="inlineStr">
        <is>
          <t>STATUS=IN OEM / EU PACKAGE; SOURCE_CFG=IA-ST-CFG-0015; MARKET=GY ITALY</t>
        </is>
      </c>
      <c r="N1669" t="inlineStr">
        <is>
          <t>2026-08-10T19:29:54Z</t>
        </is>
      </c>
      <c r="O1669" t="inlineStr">
        <is>
          <t>2026-08-10T19:29:54Z</t>
        </is>
      </c>
    </row>
    <row r="1670">
      <c r="A1670" s="19" t="inlineStr">
        <is>
          <t>1669</t>
        </is>
      </c>
      <c r="B1670" s="19" t="inlineStr">
        <is>
          <t>1014900</t>
        </is>
      </c>
      <c r="C1670" t="inlineStr">
        <is>
          <t>AKÜ,B-IGYASMF,DK,185AH,Y5000SHDEXP,GYITA</t>
        </is>
      </c>
      <c r="D1670" s="19" t="inlineStr">
        <is>
          <t>1</t>
        </is>
      </c>
      <c r="E1670" t="n">
        <v>0</v>
      </c>
      <c r="I1670" s="19" t="inlineStr">
        <is>
          <t>2</t>
        </is>
      </c>
      <c r="J1670" t="inlineStr">
        <is>
          <t>2026-08-08</t>
        </is>
      </c>
      <c r="L1670" s="19" t="inlineStr">
        <is>
          <t>1014900</t>
        </is>
      </c>
      <c r="M1670" t="inlineStr">
        <is>
          <t>STATUS=IN OEM / EU PACKAGE; SOURCE_CFG=IA-ST-CFG-0030; MARKET=GY ITALY</t>
        </is>
      </c>
      <c r="N1670" t="inlineStr">
        <is>
          <t>2026-08-10T19:29:54Z</t>
        </is>
      </c>
      <c r="O1670" t="inlineStr">
        <is>
          <t>2026-08-10T19:29:54Z</t>
        </is>
      </c>
    </row>
    <row r="1671">
      <c r="A1671" s="19" t="inlineStr">
        <is>
          <t>1670</t>
        </is>
      </c>
      <c r="B1671" s="19" t="inlineStr">
        <is>
          <t>1014901</t>
        </is>
      </c>
      <c r="C1671" t="inlineStr">
        <is>
          <t>AKÜ,B-IGYASMF,TK,185AH,Y5000SHDEXP,GYITA</t>
        </is>
      </c>
      <c r="D1671" s="19" t="inlineStr">
        <is>
          <t>1</t>
        </is>
      </c>
      <c r="E1671" t="n">
        <v>0</v>
      </c>
      <c r="I1671" s="19" t="inlineStr">
        <is>
          <t>2</t>
        </is>
      </c>
      <c r="J1671" t="inlineStr">
        <is>
          <t>2026-08-08</t>
        </is>
      </c>
      <c r="L1671" s="19" t="inlineStr">
        <is>
          <t>1014901</t>
        </is>
      </c>
      <c r="M1671" t="inlineStr">
        <is>
          <t>STATUS=IN OEM / EU PACKAGE; SOURCE_CFG=IA-ST-CFG-0030; MARKET=GY ITALY</t>
        </is>
      </c>
      <c r="N1671" t="inlineStr">
        <is>
          <t>2026-08-10T19:29:54Z</t>
        </is>
      </c>
      <c r="O1671" t="inlineStr">
        <is>
          <t>2026-08-10T19:29:54Z</t>
        </is>
      </c>
    </row>
    <row r="1672">
      <c r="A1672" s="19" t="inlineStr">
        <is>
          <t>1671</t>
        </is>
      </c>
      <c r="B1672" s="19" t="inlineStr">
        <is>
          <t>1014902</t>
        </is>
      </c>
      <c r="C1672" t="inlineStr">
        <is>
          <t>AKÜ,C-IGYASMF,DK,230AH,Y5000SHDEXP,GYITA</t>
        </is>
      </c>
      <c r="D1672" s="19" t="inlineStr">
        <is>
          <t>1</t>
        </is>
      </c>
      <c r="E1672" t="n">
        <v>0</v>
      </c>
      <c r="I1672" s="19" t="inlineStr">
        <is>
          <t>2</t>
        </is>
      </c>
      <c r="J1672" t="inlineStr">
        <is>
          <t>2026-08-08</t>
        </is>
      </c>
      <c r="L1672" s="19" t="inlineStr">
        <is>
          <t>1014902</t>
        </is>
      </c>
      <c r="M1672" t="inlineStr">
        <is>
          <t>STATUS=IN OEM / EU PACKAGE; SOURCE_CFG=IA-ST-CFG-0015; MARKET=GY ITALY</t>
        </is>
      </c>
      <c r="N1672" t="inlineStr">
        <is>
          <t>2026-08-10T19:29:54Z</t>
        </is>
      </c>
      <c r="O1672" t="inlineStr">
        <is>
          <t>2026-08-10T19:29:54Z</t>
        </is>
      </c>
    </row>
    <row r="1673">
      <c r="A1673" s="19" t="inlineStr">
        <is>
          <t>1672</t>
        </is>
      </c>
      <c r="B1673" s="19" t="inlineStr">
        <is>
          <t>1014903</t>
        </is>
      </c>
      <c r="C1673" t="inlineStr">
        <is>
          <t>AKÜ,B-IGYASMF,DK,185AH,Y7000SHDEXP,GYITA</t>
        </is>
      </c>
      <c r="D1673" s="19" t="inlineStr">
        <is>
          <t>1</t>
        </is>
      </c>
      <c r="E1673" t="n">
        <v>0</v>
      </c>
      <c r="I1673" s="19" t="inlineStr">
        <is>
          <t>2</t>
        </is>
      </c>
      <c r="J1673" t="inlineStr">
        <is>
          <t>2026-08-08</t>
        </is>
      </c>
      <c r="L1673" s="19" t="inlineStr">
        <is>
          <t>1014903</t>
        </is>
      </c>
      <c r="M1673" t="inlineStr">
        <is>
          <t>STATUS=IN OEM / EU PACKAGE; SOURCE_CFG=IA-ST-CFG-0030; MARKET=GY ITALY</t>
        </is>
      </c>
      <c r="N1673" t="inlineStr">
        <is>
          <t>2026-08-10T19:29:54Z</t>
        </is>
      </c>
      <c r="O1673" t="inlineStr">
        <is>
          <t>2026-08-10T19:29:54Z</t>
        </is>
      </c>
    </row>
    <row r="1674">
      <c r="A1674" s="19" t="inlineStr">
        <is>
          <t>1673</t>
        </is>
      </c>
      <c r="B1674" s="19" t="inlineStr">
        <is>
          <t>1014904</t>
        </is>
      </c>
      <c r="C1674" t="inlineStr">
        <is>
          <t>AKÜ,C-IGYASMF,DK,230AH,Y7000SHDEXP,GYITA</t>
        </is>
      </c>
      <c r="D1674" s="19" t="inlineStr">
        <is>
          <t>1</t>
        </is>
      </c>
      <c r="E1674" t="n">
        <v>0</v>
      </c>
      <c r="I1674" s="19" t="inlineStr">
        <is>
          <t>2</t>
        </is>
      </c>
      <c r="J1674" t="inlineStr">
        <is>
          <t>2026-08-08</t>
        </is>
      </c>
      <c r="L1674" s="19" t="inlineStr">
        <is>
          <t>1014904</t>
        </is>
      </c>
      <c r="M1674" t="inlineStr">
        <is>
          <t>STATUS=IN OEM / EU PACKAGE; SOURCE_CFG=IA-ST-CFG-0006; MARKET=GY ITALY</t>
        </is>
      </c>
      <c r="N1674" t="inlineStr">
        <is>
          <t>2026-08-10T19:29:54Z</t>
        </is>
      </c>
      <c r="O1674" t="inlineStr">
        <is>
          <t>2026-08-10T19:29:54Z</t>
        </is>
      </c>
    </row>
    <row r="1675">
      <c r="A1675" s="19" t="inlineStr">
        <is>
          <t>1674</t>
        </is>
      </c>
      <c r="B1675" s="19" t="inlineStr">
        <is>
          <t>1014905</t>
        </is>
      </c>
      <c r="C1675" t="inlineStr">
        <is>
          <t>AKÜ,B-IGYASMF,DK,180AH,Y3000NONAME,GYITA</t>
        </is>
      </c>
      <c r="D1675" s="19" t="inlineStr">
        <is>
          <t>1</t>
        </is>
      </c>
      <c r="E1675" t="n">
        <v>0</v>
      </c>
      <c r="I1675" s="19" t="inlineStr">
        <is>
          <t>2</t>
        </is>
      </c>
      <c r="J1675" t="inlineStr">
        <is>
          <t>2026-08-08</t>
        </is>
      </c>
      <c r="L1675" s="19" t="inlineStr">
        <is>
          <t>1014905</t>
        </is>
      </c>
      <c r="M1675" t="inlineStr">
        <is>
          <t>STATUS=IN OEM / EU PACKAGE; SOURCE_CFG=IA-ST-CFG-0030; MARKET=GY ITALY</t>
        </is>
      </c>
      <c r="N1675" t="inlineStr">
        <is>
          <t>2026-08-10T19:29:54Z</t>
        </is>
      </c>
      <c r="O1675" t="inlineStr">
        <is>
          <t>2026-08-10T19:29:54Z</t>
        </is>
      </c>
    </row>
    <row r="1676">
      <c r="A1676" s="19" t="inlineStr">
        <is>
          <t>1675</t>
        </is>
      </c>
      <c r="B1676" s="19" t="inlineStr">
        <is>
          <t>1014906</t>
        </is>
      </c>
      <c r="C1676" t="inlineStr">
        <is>
          <t>AKÜ,B-IGYASMF,TK,180AH,Y3000NONAME,GYITA</t>
        </is>
      </c>
      <c r="D1676" s="19" t="inlineStr">
        <is>
          <t>1</t>
        </is>
      </c>
      <c r="E1676" t="n">
        <v>0</v>
      </c>
      <c r="I1676" s="19" t="inlineStr">
        <is>
          <t>2</t>
        </is>
      </c>
      <c r="J1676" t="inlineStr">
        <is>
          <t>2026-08-08</t>
        </is>
      </c>
      <c r="L1676" s="19" t="inlineStr">
        <is>
          <t>1014906</t>
        </is>
      </c>
      <c r="M1676" t="inlineStr">
        <is>
          <t>STATUS=IN OEM / EU PACKAGE; SOURCE_CFG=IA-ST-CFG-0030; MARKET=GY ITALY</t>
        </is>
      </c>
      <c r="N1676" t="inlineStr">
        <is>
          <t>2026-08-10T19:29:54Z</t>
        </is>
      </c>
      <c r="O1676" t="inlineStr">
        <is>
          <t>2026-08-10T19:29:54Z</t>
        </is>
      </c>
    </row>
    <row r="1677">
      <c r="A1677" s="19" t="inlineStr">
        <is>
          <t>1676</t>
        </is>
      </c>
      <c r="B1677" s="19" t="inlineStr">
        <is>
          <t>1014907</t>
        </is>
      </c>
      <c r="C1677" t="inlineStr">
        <is>
          <t>AKÜ,C-IGYASMF,DK,220AH,Y3000NONAME,GYITA</t>
        </is>
      </c>
      <c r="D1677" s="19" t="inlineStr">
        <is>
          <t>1</t>
        </is>
      </c>
      <c r="E1677" t="n">
        <v>0</v>
      </c>
      <c r="I1677" s="19" t="inlineStr">
        <is>
          <t>2</t>
        </is>
      </c>
      <c r="J1677" t="inlineStr">
        <is>
          <t>2026-08-08</t>
        </is>
      </c>
      <c r="L1677" s="19" t="inlineStr">
        <is>
          <t>1014907</t>
        </is>
      </c>
      <c r="M1677" t="inlineStr">
        <is>
          <t>STATUS=IN OEM / EU PACKAGE; SOURCE_CFG=IA-ST-CFG-0015; MARKET=GY ITALY</t>
        </is>
      </c>
      <c r="N1677" t="inlineStr">
        <is>
          <t>2026-08-10T19:29:54Z</t>
        </is>
      </c>
      <c r="O1677" t="inlineStr">
        <is>
          <t>2026-08-10T19:29:54Z</t>
        </is>
      </c>
    </row>
    <row r="1678">
      <c r="A1678" s="19" t="inlineStr">
        <is>
          <t>1677</t>
        </is>
      </c>
      <c r="B1678" s="19" t="inlineStr">
        <is>
          <t>1014908</t>
        </is>
      </c>
      <c r="C1678" t="inlineStr">
        <is>
          <t>AKÜ,B-IGYASMF,DK,185AH,Y5000NONAME,GYITA</t>
        </is>
      </c>
      <c r="D1678" s="19" t="inlineStr">
        <is>
          <t>1</t>
        </is>
      </c>
      <c r="E1678" t="n">
        <v>0</v>
      </c>
      <c r="I1678" s="19" t="inlineStr">
        <is>
          <t>2</t>
        </is>
      </c>
      <c r="J1678" t="inlineStr">
        <is>
          <t>2026-08-08</t>
        </is>
      </c>
      <c r="L1678" s="19" t="inlineStr">
        <is>
          <t>1014908</t>
        </is>
      </c>
      <c r="M1678" t="inlineStr">
        <is>
          <t>STATUS=IN OEM / EU PACKAGE; SOURCE_CFG=IA-ST-CFG-0030; MARKET=GY ITALY</t>
        </is>
      </c>
      <c r="N1678" t="inlineStr">
        <is>
          <t>2026-08-10T19:29:54Z</t>
        </is>
      </c>
      <c r="O1678" t="inlineStr">
        <is>
          <t>2026-08-10T19:29:54Z</t>
        </is>
      </c>
    </row>
    <row r="1679">
      <c r="A1679" s="19" t="inlineStr">
        <is>
          <t>1678</t>
        </is>
      </c>
      <c r="B1679" s="19" t="inlineStr">
        <is>
          <t>1014909</t>
        </is>
      </c>
      <c r="C1679" t="inlineStr">
        <is>
          <t>AKÜ,B-IGYASMF,TK,185AH,Y5000NONAME,GYITA</t>
        </is>
      </c>
      <c r="D1679" s="19" t="inlineStr">
        <is>
          <t>1</t>
        </is>
      </c>
      <c r="E1679" t="n">
        <v>0</v>
      </c>
      <c r="I1679" s="19" t="inlineStr">
        <is>
          <t>2</t>
        </is>
      </c>
      <c r="J1679" t="inlineStr">
        <is>
          <t>2026-08-08</t>
        </is>
      </c>
      <c r="L1679" s="19" t="inlineStr">
        <is>
          <t>1014909</t>
        </is>
      </c>
      <c r="M1679" t="inlineStr">
        <is>
          <t>STATUS=IN OEM / EU PACKAGE; SOURCE_CFG=IA-ST-CFG-0030; MARKET=GY ITALY</t>
        </is>
      </c>
      <c r="N1679" t="inlineStr">
        <is>
          <t>2026-08-10T19:29:54Z</t>
        </is>
      </c>
      <c r="O1679" t="inlineStr">
        <is>
          <t>2026-08-10T19:29:54Z</t>
        </is>
      </c>
    </row>
    <row r="1680">
      <c r="A1680" s="19" t="inlineStr">
        <is>
          <t>1679</t>
        </is>
      </c>
      <c r="B1680" s="19" t="inlineStr">
        <is>
          <t>1014910</t>
        </is>
      </c>
      <c r="C1680" t="inlineStr">
        <is>
          <t>AKÜ,C-IGYASMF,DK,230AH,Y5000NONAME,GYITA</t>
        </is>
      </c>
      <c r="D1680" s="19" t="inlineStr">
        <is>
          <t>1</t>
        </is>
      </c>
      <c r="E1680" t="n">
        <v>0</v>
      </c>
      <c r="I1680" s="19" t="inlineStr">
        <is>
          <t>2</t>
        </is>
      </c>
      <c r="J1680" t="inlineStr">
        <is>
          <t>2026-08-08</t>
        </is>
      </c>
      <c r="L1680" s="19" t="inlineStr">
        <is>
          <t>1014910</t>
        </is>
      </c>
      <c r="M1680" t="inlineStr">
        <is>
          <t>STATUS=IN OEM / EU PACKAGE; SOURCE_CFG=IA-ST-CFG-0015; MARKET=GY ITALY</t>
        </is>
      </c>
      <c r="N1680" t="inlineStr">
        <is>
          <t>2026-08-10T19:29:54Z</t>
        </is>
      </c>
      <c r="O1680" t="inlineStr">
        <is>
          <t>2026-08-10T19:29:54Z</t>
        </is>
      </c>
    </row>
    <row r="1681">
      <c r="A1681" s="19" t="inlineStr">
        <is>
          <t>1680</t>
        </is>
      </c>
      <c r="B1681" s="19" t="inlineStr">
        <is>
          <t>1014911</t>
        </is>
      </c>
      <c r="C1681" t="inlineStr">
        <is>
          <t>AKÜ,B-IGYASMF,DK,185AH,Y7000NONAME,GYITA</t>
        </is>
      </c>
      <c r="D1681" s="19" t="inlineStr">
        <is>
          <t>1</t>
        </is>
      </c>
      <c r="E1681" t="n">
        <v>0</v>
      </c>
      <c r="I1681" s="19" t="inlineStr">
        <is>
          <t>2</t>
        </is>
      </c>
      <c r="J1681" t="inlineStr">
        <is>
          <t>2026-08-08</t>
        </is>
      </c>
      <c r="L1681" s="19" t="inlineStr">
        <is>
          <t>1014911</t>
        </is>
      </c>
      <c r="M1681" t="inlineStr">
        <is>
          <t>STATUS=IN OEM / EU PACKAGE; SOURCE_CFG=IA-ST-CFG-0030; MARKET=GY ITALY</t>
        </is>
      </c>
      <c r="N1681" t="inlineStr">
        <is>
          <t>2026-08-10T19:29:54Z</t>
        </is>
      </c>
      <c r="O1681" t="inlineStr">
        <is>
          <t>2026-08-10T19:29:54Z</t>
        </is>
      </c>
    </row>
    <row r="1682">
      <c r="A1682" s="19" t="inlineStr">
        <is>
          <t>1681</t>
        </is>
      </c>
      <c r="B1682" s="19" t="inlineStr">
        <is>
          <t>1014912</t>
        </is>
      </c>
      <c r="C1682" t="inlineStr">
        <is>
          <t>AKÜ,C-IGYASMF,DK,230AH,Y7000NONAME,GYITA</t>
        </is>
      </c>
      <c r="D1682" s="19" t="inlineStr">
        <is>
          <t>1</t>
        </is>
      </c>
      <c r="E1682" t="n">
        <v>0</v>
      </c>
      <c r="I1682" s="19" t="inlineStr">
        <is>
          <t>2</t>
        </is>
      </c>
      <c r="J1682" t="inlineStr">
        <is>
          <t>2026-08-08</t>
        </is>
      </c>
      <c r="L1682" s="19" t="inlineStr">
        <is>
          <t>1014912</t>
        </is>
      </c>
      <c r="M1682" t="inlineStr">
        <is>
          <t>STATUS=IN OEM / EU PACKAGE; SOURCE_CFG=IA-ST-CFG-0006; MARKET=GY ITALY</t>
        </is>
      </c>
      <c r="N1682" t="inlineStr">
        <is>
          <t>2026-08-10T19:29:54Z</t>
        </is>
      </c>
      <c r="O1682" t="inlineStr">
        <is>
          <t>2026-08-10T19:29:54Z</t>
        </is>
      </c>
    </row>
    <row r="1683">
      <c r="A1683" s="19" t="inlineStr">
        <is>
          <t>1682</t>
        </is>
      </c>
      <c r="B1683" s="19" t="inlineStr">
        <is>
          <t>1014914</t>
        </is>
      </c>
      <c r="C1683" t="inlineStr">
        <is>
          <t>AKÜ,LB2,DK,60AH,IGYA SMF,TITAN,BESA</t>
        </is>
      </c>
      <c r="D1683" s="19" t="inlineStr">
        <is>
          <t>1</t>
        </is>
      </c>
      <c r="E1683" t="n">
        <v>0</v>
      </c>
      <c r="I1683" s="19" t="inlineStr">
        <is>
          <t>2</t>
        </is>
      </c>
      <c r="J1683" t="inlineStr">
        <is>
          <t>2026-08-08</t>
        </is>
      </c>
      <c r="L1683" s="19" t="inlineStr">
        <is>
          <t>1014914</t>
        </is>
      </c>
      <c r="M1683" t="inlineStr">
        <is>
          <t>STATUS=IN OEM / EU PACKAGE; SOURCE_CFG=IA-ST-CFG-0240; MARKET=ALEX ARABATZIS BSA(YUNANİSTAN)</t>
        </is>
      </c>
      <c r="N1683" t="inlineStr">
        <is>
          <t>2026-08-10T19:29:54Z</t>
        </is>
      </c>
      <c r="O1683" t="inlineStr">
        <is>
          <t>2026-08-10T19:29:54Z</t>
        </is>
      </c>
    </row>
    <row r="1684">
      <c r="A1684" s="19" t="inlineStr">
        <is>
          <t>1683</t>
        </is>
      </c>
      <c r="B1684" s="19" t="inlineStr">
        <is>
          <t>1014915</t>
        </is>
      </c>
      <c r="C1684" t="inlineStr">
        <is>
          <t>AKÜ,L2,TK,55AH,IGYA SMF,TITAN,BESA</t>
        </is>
      </c>
      <c r="D1684" s="19" t="inlineStr">
        <is>
          <t>1</t>
        </is>
      </c>
      <c r="E1684" t="n">
        <v>0</v>
      </c>
      <c r="I1684" s="19" t="inlineStr">
        <is>
          <t>2</t>
        </is>
      </c>
      <c r="J1684" t="inlineStr">
        <is>
          <t>2026-08-08</t>
        </is>
      </c>
      <c r="L1684" s="19" t="inlineStr">
        <is>
          <t>1014915</t>
        </is>
      </c>
      <c r="M1684" t="inlineStr">
        <is>
          <t>STATUS=IN OEM / EU PACKAGE; SOURCE_CFG=IA-ST-CFG-0240; MARKET=ALEX ARABATZIS BSA(YUNANİSTAN)</t>
        </is>
      </c>
      <c r="N1684" t="inlineStr">
        <is>
          <t>2026-08-10T19:29:54Z</t>
        </is>
      </c>
      <c r="O1684" t="inlineStr">
        <is>
          <t>2026-08-10T19:29:54Z</t>
        </is>
      </c>
    </row>
    <row r="1685">
      <c r="A1685" s="19" t="inlineStr">
        <is>
          <t>1684</t>
        </is>
      </c>
      <c r="B1685" s="19" t="inlineStr">
        <is>
          <t>1014916</t>
        </is>
      </c>
      <c r="C1685" t="inlineStr">
        <is>
          <t>AKÜ,L5,DK,110AH,IGYA,MF60038,RACER POWER</t>
        </is>
      </c>
      <c r="D1685" s="19" t="inlineStr">
        <is>
          <t>1</t>
        </is>
      </c>
      <c r="E1685" t="n">
        <v>0</v>
      </c>
      <c r="I1685" s="19" t="inlineStr">
        <is>
          <t>2</t>
        </is>
      </c>
      <c r="J1685" t="inlineStr">
        <is>
          <t>2026-08-08</t>
        </is>
      </c>
      <c r="L1685" s="19" t="inlineStr">
        <is>
          <t>1014916</t>
        </is>
      </c>
      <c r="M1685" t="inlineStr">
        <is>
          <t>STATUS=IN OEM / EU PACKAGE; SOURCE_CFG=IA-ST-CFG-0096; MARKET=ARCOBALENO-GANA</t>
        </is>
      </c>
      <c r="N1685" t="inlineStr">
        <is>
          <t>2026-08-10T19:29:54Z</t>
        </is>
      </c>
      <c r="O1685" t="inlineStr">
        <is>
          <t>2026-08-10T19:29:54Z</t>
        </is>
      </c>
    </row>
    <row r="1686">
      <c r="A1686" s="19" t="inlineStr">
        <is>
          <t>1685</t>
        </is>
      </c>
      <c r="B1686" s="19" t="inlineStr">
        <is>
          <t>1014917</t>
        </is>
      </c>
      <c r="C1686" t="inlineStr">
        <is>
          <t>AKÜ,D31TK110AH,IGYA,MF110D31R,RACERPOWER</t>
        </is>
      </c>
      <c r="D1686" s="19" t="inlineStr">
        <is>
          <t>1</t>
        </is>
      </c>
      <c r="E1686" t="n">
        <v>0</v>
      </c>
      <c r="I1686" s="19" t="inlineStr">
        <is>
          <t>2</t>
        </is>
      </c>
      <c r="J1686" t="inlineStr">
        <is>
          <t>2026-08-08</t>
        </is>
      </c>
      <c r="L1686" s="19" t="inlineStr">
        <is>
          <t>1014917</t>
        </is>
      </c>
      <c r="M1686" t="inlineStr">
        <is>
          <t>STATUS=IN OEM / EU PACKAGE; SOURCE_CFG=IA-ST-CFG-0143; MARKET=ARCOBALENO-GANA</t>
        </is>
      </c>
      <c r="N1686" t="inlineStr">
        <is>
          <t>2026-08-10T19:29:54Z</t>
        </is>
      </c>
      <c r="O1686" t="inlineStr">
        <is>
          <t>2026-08-10T19:29:54Z</t>
        </is>
      </c>
    </row>
    <row r="1687">
      <c r="A1687" s="19" t="inlineStr">
        <is>
          <t>1686</t>
        </is>
      </c>
      <c r="B1687" s="19" t="inlineStr">
        <is>
          <t>1014918</t>
        </is>
      </c>
      <c r="C1687" t="inlineStr">
        <is>
          <t>AKÜ,D31,DK,90AH,IGYA,İNCİFORMULA,CEYTECH</t>
        </is>
      </c>
      <c r="D1687" s="19" t="inlineStr">
        <is>
          <t>1</t>
        </is>
      </c>
      <c r="E1687" t="n">
        <v>0</v>
      </c>
      <c r="I1687" s="19" t="inlineStr">
        <is>
          <t>2</t>
        </is>
      </c>
      <c r="J1687" t="inlineStr">
        <is>
          <t>2026-08-08</t>
        </is>
      </c>
      <c r="L1687" s="19" t="inlineStr">
        <is>
          <t>1014918</t>
        </is>
      </c>
      <c r="M1687" t="inlineStr">
        <is>
          <t>STATUS=IN OEM / EU PACKAGE; SOURCE_CFG=IA-ST-CFG-0143; MARKET=CEYTECH İŞ MAKİNALARI OEM (Yurt İçi)</t>
        </is>
      </c>
      <c r="N1687" t="inlineStr">
        <is>
          <t>2026-08-10T19:29:54Z</t>
        </is>
      </c>
      <c r="O1687" t="inlineStr">
        <is>
          <t>2026-08-10T19:29:54Z</t>
        </is>
      </c>
    </row>
    <row r="1688">
      <c r="A1688" s="19" t="inlineStr">
        <is>
          <t>1687</t>
        </is>
      </c>
      <c r="B1688" s="19" t="inlineStr">
        <is>
          <t>1014919</t>
        </is>
      </c>
      <c r="C1688" t="inlineStr">
        <is>
          <t>AKÜ,A-FLAT,DK,120AH,İNCİ SUPRA,CEYTECH</t>
        </is>
      </c>
      <c r="D1688" s="19" t="inlineStr">
        <is>
          <t>1</t>
        </is>
      </c>
      <c r="E1688" t="n">
        <v>0</v>
      </c>
      <c r="I1688" s="19" t="inlineStr">
        <is>
          <t>2</t>
        </is>
      </c>
      <c r="J1688" t="inlineStr">
        <is>
          <t>2026-08-08</t>
        </is>
      </c>
      <c r="L1688" s="19" t="inlineStr">
        <is>
          <t>1014919</t>
        </is>
      </c>
      <c r="M1688" t="inlineStr">
        <is>
          <t>STATUS=IN OEM / EU PACKAGE; SOURCE_CFG=IA-ST-CFG-0051; MARKET=CEYTECH İŞ MAKİNALARI OEM (Yurt İçi)</t>
        </is>
      </c>
      <c r="N1688" t="inlineStr">
        <is>
          <t>2026-08-10T19:29:54Z</t>
        </is>
      </c>
      <c r="O1688" t="inlineStr">
        <is>
          <t>2026-08-10T19:29:54Z</t>
        </is>
      </c>
    </row>
    <row r="1689">
      <c r="A1689" s="19" t="inlineStr">
        <is>
          <t>1688</t>
        </is>
      </c>
      <c r="B1689" s="19" t="inlineStr">
        <is>
          <t>1014920</t>
        </is>
      </c>
      <c r="C1689" t="inlineStr">
        <is>
          <t>AKÜ,TRACTORL,DK,105AH,İNCİ SUPRA,CEYTECH</t>
        </is>
      </c>
      <c r="D1689" s="19" t="inlineStr">
        <is>
          <t>1</t>
        </is>
      </c>
      <c r="E1689" t="n">
        <v>0</v>
      </c>
      <c r="I1689" s="19" t="inlineStr">
        <is>
          <t>2</t>
        </is>
      </c>
      <c r="J1689" t="inlineStr">
        <is>
          <t>2026-08-08</t>
        </is>
      </c>
      <c r="L1689" s="19" t="inlineStr">
        <is>
          <t>1014920</t>
        </is>
      </c>
      <c r="M1689" t="inlineStr">
        <is>
          <t>STATUS=IN OEM / EU PACKAGE; SOURCE_CFG=IA-ST-CFG-0093; MARKET=CEYTECH İŞ MAKİNALARI OEM (Yurt İçi)</t>
        </is>
      </c>
      <c r="N1689" t="inlineStr">
        <is>
          <t>2026-08-10T19:29:54Z</t>
        </is>
      </c>
      <c r="O1689" t="inlineStr">
        <is>
          <t>2026-08-10T19:29:54Z</t>
        </is>
      </c>
    </row>
    <row r="1690">
      <c r="A1690" s="19" t="inlineStr">
        <is>
          <t>1689</t>
        </is>
      </c>
      <c r="B1690" s="19" t="inlineStr">
        <is>
          <t>1014921</t>
        </is>
      </c>
      <c r="C1690" t="inlineStr">
        <is>
          <t>AKÜ,D31,TK90AH,IGYA,İNCİMAXIMA,YANMAROEM</t>
        </is>
      </c>
      <c r="D1690" s="19" t="inlineStr">
        <is>
          <t>1</t>
        </is>
      </c>
      <c r="E1690" t="n">
        <v>0</v>
      </c>
      <c r="I1690" s="19" t="inlineStr">
        <is>
          <t>2</t>
        </is>
      </c>
      <c r="J1690" t="inlineStr">
        <is>
          <t>2026-08-08</t>
        </is>
      </c>
      <c r="L1690" s="19" t="inlineStr">
        <is>
          <t>1014921</t>
        </is>
      </c>
      <c r="M1690" t="inlineStr">
        <is>
          <t>STATUS=IN OEM / EU PACKAGE; SOURCE_CFG=IA-ST-CFG-0145; MARKET=YANMAR OEM (SOLİS) (Yurt İçi)</t>
        </is>
      </c>
      <c r="N1690" t="inlineStr">
        <is>
          <t>2026-08-10T19:29:54Z</t>
        </is>
      </c>
      <c r="O1690" t="inlineStr">
        <is>
          <t>2026-08-10T19:29:54Z</t>
        </is>
      </c>
    </row>
    <row r="1691">
      <c r="A1691" s="19" t="inlineStr">
        <is>
          <t>1690</t>
        </is>
      </c>
      <c r="B1691" s="19" t="inlineStr">
        <is>
          <t>1014922</t>
        </is>
      </c>
      <c r="C1691" t="inlineStr">
        <is>
          <t>AKÜ,L5,DK,100AH,IGYA SMF,STARTCRAFT</t>
        </is>
      </c>
      <c r="D1691" s="19" t="inlineStr">
        <is>
          <t>1</t>
        </is>
      </c>
      <c r="E1691" t="n">
        <v>0</v>
      </c>
      <c r="I1691" s="19" t="inlineStr">
        <is>
          <t>2</t>
        </is>
      </c>
      <c r="J1691" t="inlineStr">
        <is>
          <t>2026-08-08</t>
        </is>
      </c>
      <c r="L1691" s="19" t="inlineStr">
        <is>
          <t>1014922</t>
        </is>
      </c>
      <c r="M1691" t="inlineStr">
        <is>
          <t>STATUS=IN OEM / EU PACKAGE; SOURCE_CFG=IA-ST-CFG-0118; MARKET=DORFELT ALMANYA</t>
        </is>
      </c>
      <c r="N1691" t="inlineStr">
        <is>
          <t>2026-08-10T19:29:54Z</t>
        </is>
      </c>
      <c r="O1691" t="inlineStr">
        <is>
          <t>2026-08-10T19:29:54Z</t>
        </is>
      </c>
    </row>
    <row r="1692">
      <c r="A1692" s="19" t="inlineStr">
        <is>
          <t>1691</t>
        </is>
      </c>
      <c r="B1692" s="19" t="inlineStr">
        <is>
          <t>1014923</t>
        </is>
      </c>
      <c r="C1692" t="inlineStr">
        <is>
          <t>AKÜ,L6,DK,110AH,KMN,İNCİ FORMULA,İÇ PYS</t>
        </is>
      </c>
      <c r="D1692" s="19" t="inlineStr">
        <is>
          <t>1</t>
        </is>
      </c>
      <c r="E1692" t="n">
        <v>0</v>
      </c>
      <c r="I1692" s="19" t="inlineStr">
        <is>
          <t>2</t>
        </is>
      </c>
      <c r="J1692" t="inlineStr">
        <is>
          <t>2026-08-08</t>
        </is>
      </c>
      <c r="L1692" s="19" t="inlineStr">
        <is>
          <t>1014923</t>
        </is>
      </c>
      <c r="M1692" t="inlineStr">
        <is>
          <t>STATUS=IN OEM / EU PACKAGE; SOURCE_CFG=IA-ST-CFG-0081; MARKET=YURT İÇİ AFM</t>
        </is>
      </c>
      <c r="N1692" t="inlineStr">
        <is>
          <t>2026-08-10T19:29:54Z</t>
        </is>
      </c>
      <c r="O1692" t="inlineStr">
        <is>
          <t>2026-08-10T19:29:54Z</t>
        </is>
      </c>
    </row>
    <row r="1693">
      <c r="A1693" s="19" t="inlineStr">
        <is>
          <t>1692</t>
        </is>
      </c>
      <c r="B1693" s="19" t="inlineStr">
        <is>
          <t>1014924</t>
        </is>
      </c>
      <c r="C1693" t="inlineStr">
        <is>
          <t>AKÜ,L6,DK,110AH,KAMINA,EAS ACTIVA,İÇ PYS</t>
        </is>
      </c>
      <c r="D1693" s="19" t="inlineStr">
        <is>
          <t>1</t>
        </is>
      </c>
      <c r="E1693" t="n">
        <v>0</v>
      </c>
      <c r="I1693" s="19" t="inlineStr">
        <is>
          <t>2</t>
        </is>
      </c>
      <c r="J1693" t="inlineStr">
        <is>
          <t>2026-08-08</t>
        </is>
      </c>
      <c r="L1693" s="19" t="inlineStr">
        <is>
          <t>1014924</t>
        </is>
      </c>
      <c r="M1693" t="inlineStr">
        <is>
          <t>STATUS=IN OEM / EU PACKAGE; SOURCE_CFG=IA-ST-CFG-0081; MARKET=YURT İÇİ AFM</t>
        </is>
      </c>
      <c r="N1693" t="inlineStr">
        <is>
          <t>2026-08-10T19:29:54Z</t>
        </is>
      </c>
      <c r="O1693" t="inlineStr">
        <is>
          <t>2026-08-10T19:29:54Z</t>
        </is>
      </c>
    </row>
    <row r="1694">
      <c r="A1694" s="19" t="inlineStr">
        <is>
          <t>1693</t>
        </is>
      </c>
      <c r="B1694" s="19" t="inlineStr">
        <is>
          <t>1014925</t>
        </is>
      </c>
      <c r="C1694" t="inlineStr">
        <is>
          <t>AKÜ AGM,L1,DK,50AH,VRLAPILOT PERFORMANCE</t>
        </is>
      </c>
      <c r="D1694" s="19" t="inlineStr">
        <is>
          <t>1</t>
        </is>
      </c>
      <c r="E1694" t="n">
        <v>0</v>
      </c>
      <c r="I1694" s="19" t="inlineStr">
        <is>
          <t>2</t>
        </is>
      </c>
      <c r="J1694" t="inlineStr">
        <is>
          <t>2026-08-08</t>
        </is>
      </c>
      <c r="L1694" s="19" t="inlineStr">
        <is>
          <t>1014925</t>
        </is>
      </c>
      <c r="M1694" t="inlineStr">
        <is>
          <t>STATUS=IN OEM / EU PACKAGE; SOURCE_CFG=IA-ST-CFG-0266; MARKET=LAMPA ITALY İTALYA</t>
        </is>
      </c>
      <c r="N1694" t="inlineStr">
        <is>
          <t>2026-08-10T19:29:54Z</t>
        </is>
      </c>
      <c r="O1694" t="inlineStr">
        <is>
          <t>2026-08-10T19:29:54Z</t>
        </is>
      </c>
    </row>
    <row r="1695">
      <c r="A1695" s="19" t="inlineStr">
        <is>
          <t>1694</t>
        </is>
      </c>
      <c r="B1695" s="19" t="inlineStr">
        <is>
          <t>1014926</t>
        </is>
      </c>
      <c r="C1695" t="inlineStr">
        <is>
          <t>AKÜ,D23,DK60AH,IGYA,Y3000EXPORT,KOLİEURO</t>
        </is>
      </c>
      <c r="D1695" s="19" t="inlineStr">
        <is>
          <t>1</t>
        </is>
      </c>
      <c r="E1695" t="n">
        <v>0</v>
      </c>
      <c r="I1695" s="19" t="inlineStr">
        <is>
          <t>2</t>
        </is>
      </c>
      <c r="J1695" t="inlineStr">
        <is>
          <t>2026-08-08</t>
        </is>
      </c>
      <c r="L1695" s="19" t="inlineStr">
        <is>
          <t>1014926</t>
        </is>
      </c>
      <c r="M1695" t="inlineStr">
        <is>
          <t>STATUS=IN OEM / EU PACKAGE; SOURCE_CFG=IA-ST-CFG-0170; MARKET=YUASA 3000 EXPORT</t>
        </is>
      </c>
      <c r="N1695" t="inlineStr">
        <is>
          <t>2026-08-10T19:29:54Z</t>
        </is>
      </c>
      <c r="O1695" t="inlineStr">
        <is>
          <t>2026-08-10T19:29:54Z</t>
        </is>
      </c>
    </row>
    <row r="1696">
      <c r="A1696" s="19" t="inlineStr">
        <is>
          <t>1695</t>
        </is>
      </c>
      <c r="B1696" s="19" t="inlineStr">
        <is>
          <t>1014927</t>
        </is>
      </c>
      <c r="C1696" t="inlineStr">
        <is>
          <t>AKÜ,D31,DK95AH,IGYA,Y3000EXPORT,KOLİEURO</t>
        </is>
      </c>
      <c r="D1696" s="19" t="inlineStr">
        <is>
          <t>1</t>
        </is>
      </c>
      <c r="E1696" t="n">
        <v>0</v>
      </c>
      <c r="I1696" s="19" t="inlineStr">
        <is>
          <t>2</t>
        </is>
      </c>
      <c r="J1696" t="inlineStr">
        <is>
          <t>2026-08-08</t>
        </is>
      </c>
      <c r="L1696" s="19" t="inlineStr">
        <is>
          <t>1014927</t>
        </is>
      </c>
      <c r="M1696" t="inlineStr">
        <is>
          <t>STATUS=IN OEM / EU PACKAGE; SOURCE_CFG=IA-ST-CFG-0077; MARKET=YUASA 3000 EXPORT</t>
        </is>
      </c>
      <c r="N1696" t="inlineStr">
        <is>
          <t>2026-08-10T19:29:54Z</t>
        </is>
      </c>
      <c r="O1696" t="inlineStr">
        <is>
          <t>2026-08-10T19:29:54Z</t>
        </is>
      </c>
    </row>
    <row r="1697">
      <c r="A1697" s="19" t="inlineStr">
        <is>
          <t>1696</t>
        </is>
      </c>
      <c r="B1697" s="19" t="inlineStr">
        <is>
          <t>1014928</t>
        </is>
      </c>
      <c r="C1697" t="inlineStr">
        <is>
          <t>AKÜ,L5DK,95AHVRLA,AGMYBX9019-095EXPREURO</t>
        </is>
      </c>
      <c r="D1697" s="19" t="inlineStr">
        <is>
          <t>1</t>
        </is>
      </c>
      <c r="E1697" t="n">
        <v>0</v>
      </c>
      <c r="I1697" s="19" t="inlineStr">
        <is>
          <t>2</t>
        </is>
      </c>
      <c r="J1697" t="inlineStr">
        <is>
          <t>2026-08-08</t>
        </is>
      </c>
      <c r="L1697" s="19" t="inlineStr">
        <is>
          <t>1014928</t>
        </is>
      </c>
      <c r="M1697" t="inlineStr">
        <is>
          <t>STATUS=IN OEM / EU PACKAGE; SOURCE_CFG=IA-ST-CFG-0110; MARKET=YUASA 9000 AGM EXPORT</t>
        </is>
      </c>
      <c r="N1697" t="inlineStr">
        <is>
          <t>2026-08-10T19:29:54Z</t>
        </is>
      </c>
      <c r="O1697" t="inlineStr">
        <is>
          <t>2026-08-10T19:29:54Z</t>
        </is>
      </c>
    </row>
    <row r="1698">
      <c r="A1698" s="19" t="inlineStr">
        <is>
          <t>1697</t>
        </is>
      </c>
      <c r="B1698" s="19" t="inlineStr">
        <is>
          <t>1014929</t>
        </is>
      </c>
      <c r="C1698" t="inlineStr">
        <is>
          <t>AKÜ,L6DK105AHVRLA,AGMYBX9020-105EXPREURO</t>
        </is>
      </c>
      <c r="D1698" s="19" t="inlineStr">
        <is>
          <t>1</t>
        </is>
      </c>
      <c r="E1698" t="n">
        <v>0</v>
      </c>
      <c r="I1698" s="19" t="inlineStr">
        <is>
          <t>2</t>
        </is>
      </c>
      <c r="J1698" t="inlineStr">
        <is>
          <t>2026-08-08</t>
        </is>
      </c>
      <c r="L1698" s="19" t="inlineStr">
        <is>
          <t>1014929</t>
        </is>
      </c>
      <c r="M1698" t="inlineStr">
        <is>
          <t>STATUS=IN OEM / EU PACKAGE; SOURCE_CFG=IA-ST-CFG-0066; MARKET=YUASA 9000 AGM EXPORT</t>
        </is>
      </c>
      <c r="N1698" t="inlineStr">
        <is>
          <t>2026-08-10T19:29:54Z</t>
        </is>
      </c>
      <c r="O1698" t="inlineStr">
        <is>
          <t>2026-08-10T19:29:54Z</t>
        </is>
      </c>
    </row>
    <row r="1699">
      <c r="A1699" s="19" t="inlineStr">
        <is>
          <t>1698</t>
        </is>
      </c>
      <c r="B1699" s="19" t="inlineStr">
        <is>
          <t>1014930</t>
        </is>
      </c>
      <c r="C1699" t="inlineStr">
        <is>
          <t>AKÜ,L5,DK,92AH,IGYA SMF,NO NAME,PARTS</t>
        </is>
      </c>
      <c r="D1699" s="19" t="inlineStr">
        <is>
          <t>1</t>
        </is>
      </c>
      <c r="E1699" t="n">
        <v>0</v>
      </c>
      <c r="I1699" s="19" t="inlineStr">
        <is>
          <t>2</t>
        </is>
      </c>
      <c r="J1699" t="inlineStr">
        <is>
          <t>2026-08-08</t>
        </is>
      </c>
      <c r="L1699" s="19" t="inlineStr">
        <is>
          <t>1014930</t>
        </is>
      </c>
      <c r="M1699" t="inlineStr">
        <is>
          <t>STATUS=IN OEM / EU PACKAGE; SOURCE_CFG=IA-ST-CFG-0118; MARKET=CAR PARTS DISTRIBUZIONE İTALYA</t>
        </is>
      </c>
      <c r="N1699" t="inlineStr">
        <is>
          <t>2026-08-10T19:29:54Z</t>
        </is>
      </c>
      <c r="O1699" t="inlineStr">
        <is>
          <t>2026-08-10T19:29:54Z</t>
        </is>
      </c>
    </row>
    <row r="1700">
      <c r="A1700" s="19" t="inlineStr">
        <is>
          <t>1699</t>
        </is>
      </c>
      <c r="B1700" s="19" t="inlineStr">
        <is>
          <t>1014931</t>
        </is>
      </c>
      <c r="C1700" t="inlineStr">
        <is>
          <t>AKÜ,D23,DK,60AH,IGYA SMF,NO NAME,PARTS</t>
        </is>
      </c>
      <c r="D1700" s="19" t="inlineStr">
        <is>
          <t>1</t>
        </is>
      </c>
      <c r="E1700" t="n">
        <v>0</v>
      </c>
      <c r="I1700" s="19" t="inlineStr">
        <is>
          <t>2</t>
        </is>
      </c>
      <c r="J1700" t="inlineStr">
        <is>
          <t>2026-08-08</t>
        </is>
      </c>
      <c r="L1700" s="19" t="inlineStr">
        <is>
          <t>1014931</t>
        </is>
      </c>
      <c r="M1700" t="inlineStr">
        <is>
          <t>STATUS=IN OEM / EU PACKAGE; SOURCE_CFG=IA-ST-CFG-0189; MARKET=CAR PARTS DISTRIBUZIONE İTALYA</t>
        </is>
      </c>
      <c r="N1700" t="inlineStr">
        <is>
          <t>2026-08-10T19:29:54Z</t>
        </is>
      </c>
      <c r="O1700" t="inlineStr">
        <is>
          <t>2026-08-10T19:29:54Z</t>
        </is>
      </c>
    </row>
    <row r="1701">
      <c r="A1701" s="19" t="inlineStr">
        <is>
          <t>1700</t>
        </is>
      </c>
      <c r="B1701" s="19" t="inlineStr">
        <is>
          <t>1014932</t>
        </is>
      </c>
      <c r="C1701" t="inlineStr">
        <is>
          <t>AKÜ,D26,DK,72AH,IGYA SMF,NO NAME,PARTS</t>
        </is>
      </c>
      <c r="D1701" s="19" t="inlineStr">
        <is>
          <t>1</t>
        </is>
      </c>
      <c r="E1701" t="n">
        <v>0</v>
      </c>
      <c r="I1701" s="19" t="inlineStr">
        <is>
          <t>2</t>
        </is>
      </c>
      <c r="J1701" t="inlineStr">
        <is>
          <t>2026-08-08</t>
        </is>
      </c>
      <c r="L1701" s="19" t="inlineStr">
        <is>
          <t>1014932</t>
        </is>
      </c>
      <c r="M1701" t="inlineStr">
        <is>
          <t>STATUS=IN OEM / EU PACKAGE; SOURCE_CFG=IA-ST-CFG-0161; MARKET=CAR PARTS DISTRIBUZIONE İTALYA</t>
        </is>
      </c>
      <c r="N1701" t="inlineStr">
        <is>
          <t>2026-08-10T19:29:54Z</t>
        </is>
      </c>
      <c r="O1701" t="inlineStr">
        <is>
          <t>2026-08-10T19:29:54Z</t>
        </is>
      </c>
    </row>
    <row r="1702">
      <c r="A1702" s="19" t="inlineStr">
        <is>
          <t>1701</t>
        </is>
      </c>
      <c r="B1702" s="19" t="inlineStr">
        <is>
          <t>1014933</t>
        </is>
      </c>
      <c r="C1702" t="inlineStr">
        <is>
          <t>AKÜ,L3,DK,70AH,AGM9096-070,EXPORT,NACITA</t>
        </is>
      </c>
      <c r="D1702" s="19" t="inlineStr">
        <is>
          <t>1</t>
        </is>
      </c>
      <c r="E1702" t="n">
        <v>0</v>
      </c>
      <c r="I1702" s="19" t="inlineStr">
        <is>
          <t>2</t>
        </is>
      </c>
      <c r="J1702" t="inlineStr">
        <is>
          <t>2026-08-08</t>
        </is>
      </c>
      <c r="L1702" s="19" t="inlineStr">
        <is>
          <t>1014933</t>
        </is>
      </c>
      <c r="M1702" t="inlineStr">
        <is>
          <t>STATUS=IN OEM / EU PACKAGE; SOURCE_CFG=IA-ST-CFG-0079; MARKET=MISIR NACITA</t>
        </is>
      </c>
      <c r="N1702" t="inlineStr">
        <is>
          <t>2026-08-10T19:29:54Z</t>
        </is>
      </c>
      <c r="O1702" t="inlineStr">
        <is>
          <t>2026-08-10T19:29:54Z</t>
        </is>
      </c>
    </row>
    <row r="1703">
      <c r="A1703" s="19" t="inlineStr">
        <is>
          <t>1702</t>
        </is>
      </c>
      <c r="B1703" s="19" t="inlineStr">
        <is>
          <t>1014934</t>
        </is>
      </c>
      <c r="C1703" t="inlineStr">
        <is>
          <t>AKÜ,L4,DK,80AH,AGM9115-080,EXPORT,NACITA</t>
        </is>
      </c>
      <c r="D1703" s="19" t="inlineStr">
        <is>
          <t>1</t>
        </is>
      </c>
      <c r="E1703" t="n">
        <v>0</v>
      </c>
      <c r="I1703" s="19" t="inlineStr">
        <is>
          <t>2</t>
        </is>
      </c>
      <c r="J1703" t="inlineStr">
        <is>
          <t>2026-08-08</t>
        </is>
      </c>
      <c r="L1703" s="19" t="inlineStr">
        <is>
          <t>1014934</t>
        </is>
      </c>
      <c r="M1703" t="inlineStr">
        <is>
          <t>STATUS=IN OEM / EU PACKAGE; SOURCE_CFG=IA-ST-CFG-0064; MARKET=MISIR NACITA</t>
        </is>
      </c>
      <c r="N1703" t="inlineStr">
        <is>
          <t>2026-08-10T19:29:54Z</t>
        </is>
      </c>
      <c r="O1703" t="inlineStr">
        <is>
          <t>2026-08-10T19:29:54Z</t>
        </is>
      </c>
    </row>
    <row r="1704">
      <c r="A1704" s="19" t="inlineStr">
        <is>
          <t>1703</t>
        </is>
      </c>
      <c r="B1704" s="19" t="inlineStr">
        <is>
          <t>1014935</t>
        </is>
      </c>
      <c r="C1704" t="inlineStr">
        <is>
          <t>AKÜ,L2,DK,65AH,IGYA,7027-065EXPORTNACITA</t>
        </is>
      </c>
      <c r="D1704" s="19" t="inlineStr">
        <is>
          <t>1</t>
        </is>
      </c>
      <c r="E1704" t="n">
        <v>0</v>
      </c>
      <c r="I1704" s="19" t="inlineStr">
        <is>
          <t>2</t>
        </is>
      </c>
      <c r="J1704" t="inlineStr">
        <is>
          <t>2026-08-08</t>
        </is>
      </c>
      <c r="L1704" s="19" t="inlineStr">
        <is>
          <t>1014935</t>
        </is>
      </c>
      <c r="M1704" t="inlineStr">
        <is>
          <t>STATUS=IN OEM / EU PACKAGE; SOURCE_CFG=IA-ST-CFG-0222; MARKET=MISIR NACITA</t>
        </is>
      </c>
      <c r="N1704" t="inlineStr">
        <is>
          <t>2026-08-10T19:29:54Z</t>
        </is>
      </c>
      <c r="O1704" t="inlineStr">
        <is>
          <t>2026-08-10T19:29:54Z</t>
        </is>
      </c>
    </row>
    <row r="1705">
      <c r="A1705" s="19" t="inlineStr">
        <is>
          <t>1704</t>
        </is>
      </c>
      <c r="B1705" s="19" t="inlineStr">
        <is>
          <t>1014936</t>
        </is>
      </c>
      <c r="C1705" t="inlineStr">
        <is>
          <t>AKÜ,L3,DK,80AH,IGYA,7096-075EXPORTNACITA</t>
        </is>
      </c>
      <c r="D1705" s="19" t="inlineStr">
        <is>
          <t>1</t>
        </is>
      </c>
      <c r="E1705" t="n">
        <v>0</v>
      </c>
      <c r="I1705" s="19" t="inlineStr">
        <is>
          <t>2</t>
        </is>
      </c>
      <c r="J1705" t="inlineStr">
        <is>
          <t>2026-08-08</t>
        </is>
      </c>
      <c r="L1705" s="19" t="inlineStr">
        <is>
          <t>1014936</t>
        </is>
      </c>
      <c r="M1705" t="inlineStr">
        <is>
          <t>STATUS=IN OEM / EU PACKAGE; SOURCE_CFG=IA-ST-CFG-0179; MARKET=MISIR NACITA</t>
        </is>
      </c>
      <c r="N1705" t="inlineStr">
        <is>
          <t>2026-08-10T19:29:54Z</t>
        </is>
      </c>
      <c r="O1705" t="inlineStr">
        <is>
          <t>2026-08-10T19:29:54Z</t>
        </is>
      </c>
    </row>
    <row r="1706">
      <c r="A1706" s="19" t="inlineStr">
        <is>
          <t>1705</t>
        </is>
      </c>
      <c r="B1706" s="19" t="inlineStr">
        <is>
          <t>1014937</t>
        </is>
      </c>
      <c r="C1706" t="inlineStr">
        <is>
          <t>AKÜ,L4,DK,85AH,IGYA,7115-085EXPORTNACITA</t>
        </is>
      </c>
      <c r="D1706" s="19" t="inlineStr">
        <is>
          <t>1</t>
        </is>
      </c>
      <c r="E1706" t="n">
        <v>0</v>
      </c>
      <c r="I1706" s="19" t="inlineStr">
        <is>
          <t>2</t>
        </is>
      </c>
      <c r="J1706" t="inlineStr">
        <is>
          <t>2026-08-08</t>
        </is>
      </c>
      <c r="L1706" s="19" t="inlineStr">
        <is>
          <t>1014937</t>
        </is>
      </c>
      <c r="M1706" t="inlineStr">
        <is>
          <t>STATUS=IN OEM / EU PACKAGE; SOURCE_CFG=IA-ST-CFG-0142; MARKET=MISIR NACITA</t>
        </is>
      </c>
      <c r="N1706" t="inlineStr">
        <is>
          <t>2026-08-10T19:29:54Z</t>
        </is>
      </c>
      <c r="O1706" t="inlineStr">
        <is>
          <t>2026-08-10T19:29:54Z</t>
        </is>
      </c>
    </row>
    <row r="1707">
      <c r="A1707" s="19" t="inlineStr">
        <is>
          <t>1706</t>
        </is>
      </c>
      <c r="B1707" s="19" t="inlineStr">
        <is>
          <t>1014938</t>
        </is>
      </c>
      <c r="C1707" t="inlineStr">
        <is>
          <t>AKÜ,D20,DK,55AH,KSK,İNCİMAXIMA,YANMAROEM</t>
        </is>
      </c>
      <c r="D1707" s="19" t="inlineStr">
        <is>
          <t>1</t>
        </is>
      </c>
      <c r="E1707" t="n">
        <v>0</v>
      </c>
      <c r="I1707" s="19" t="inlineStr">
        <is>
          <t>2</t>
        </is>
      </c>
      <c r="J1707" t="inlineStr">
        <is>
          <t>2026-08-08</t>
        </is>
      </c>
      <c r="L1707" s="19" t="inlineStr">
        <is>
          <t>1014938</t>
        </is>
      </c>
      <c r="M1707" t="inlineStr">
        <is>
          <t>STATUS=IN OEM / EU PACKAGE; SOURCE_CFG=IA-ST-CFG-0225; MARKET=YANMAR OEM (SOLİS) (Yurt İçi)</t>
        </is>
      </c>
      <c r="N1707" t="inlineStr">
        <is>
          <t>2026-08-10T19:29:54Z</t>
        </is>
      </c>
      <c r="O1707" t="inlineStr">
        <is>
          <t>2026-08-10T19:29:54Z</t>
        </is>
      </c>
    </row>
    <row r="1708">
      <c r="A1708" s="19" t="inlineStr">
        <is>
          <t>1707</t>
        </is>
      </c>
      <c r="B1708" s="19" t="inlineStr">
        <is>
          <t>1014939</t>
        </is>
      </c>
      <c r="C1708" t="inlineStr">
        <is>
          <t>AKÜ,D31TK100AH,IGYA,İNCİMAXIMA,YANMAROEM</t>
        </is>
      </c>
      <c r="D1708" s="19" t="inlineStr">
        <is>
          <t>1</t>
        </is>
      </c>
      <c r="E1708" t="n">
        <v>0</v>
      </c>
      <c r="I1708" s="19" t="inlineStr">
        <is>
          <t>2</t>
        </is>
      </c>
      <c r="J1708" t="inlineStr">
        <is>
          <t>2026-08-08</t>
        </is>
      </c>
      <c r="L1708" s="19" t="inlineStr">
        <is>
          <t>1014939</t>
        </is>
      </c>
      <c r="M1708" t="inlineStr">
        <is>
          <t>STATUS=IN OEM / EU PACKAGE; SOURCE_CFG=IA-ST-CFG-0145; MARKET=YANMAR OEM (SOLİS) (Yurt İçi)</t>
        </is>
      </c>
      <c r="N1708" t="inlineStr">
        <is>
          <t>2026-08-10T19:29:54Z</t>
        </is>
      </c>
      <c r="O1708" t="inlineStr">
        <is>
          <t>2026-08-10T19:29:54Z</t>
        </is>
      </c>
    </row>
    <row r="1709">
      <c r="A1709" s="19" t="inlineStr">
        <is>
          <t>1708</t>
        </is>
      </c>
      <c r="B1709" s="19" t="inlineStr">
        <is>
          <t>1014940</t>
        </is>
      </c>
      <c r="C1709" t="inlineStr">
        <is>
          <t>AKÜ,D31DK105AHIGYA,FP30HLT1250FURIAPOWER</t>
        </is>
      </c>
      <c r="D1709" s="19" t="inlineStr">
        <is>
          <t>1</t>
        </is>
      </c>
      <c r="E1709" t="n">
        <v>0</v>
      </c>
      <c r="I1709" s="19" t="inlineStr">
        <is>
          <t>2</t>
        </is>
      </c>
      <c r="J1709" t="inlineStr">
        <is>
          <t>2026-08-08</t>
        </is>
      </c>
      <c r="L1709" s="19" t="inlineStr">
        <is>
          <t>1014940</t>
        </is>
      </c>
      <c r="M1709" t="inlineStr">
        <is>
          <t>STATUS=IN OEM / EU PACKAGE; SOURCE_CFG=IA-ST-CFG-0143; MARKET=MULTISERVICIOSGOODWHEVENEZUELA</t>
        </is>
      </c>
      <c r="N1709" t="inlineStr">
        <is>
          <t>2026-08-10T19:29:54Z</t>
        </is>
      </c>
      <c r="O1709" t="inlineStr">
        <is>
          <t>2026-08-10T19:29:54Z</t>
        </is>
      </c>
    </row>
    <row r="1710">
      <c r="A1710" s="19" t="inlineStr">
        <is>
          <t>1709</t>
        </is>
      </c>
      <c r="B1710" s="19" t="inlineStr">
        <is>
          <t>1014941</t>
        </is>
      </c>
      <c r="C1710" t="inlineStr">
        <is>
          <t>AKÜ,D26,TK80AH,IGYA,İNCİMAXIMA,YANMAROEM</t>
        </is>
      </c>
      <c r="D1710" s="19" t="inlineStr">
        <is>
          <t>1</t>
        </is>
      </c>
      <c r="E1710" t="n">
        <v>0</v>
      </c>
      <c r="I1710" s="19" t="inlineStr">
        <is>
          <t>2</t>
        </is>
      </c>
      <c r="J1710" t="inlineStr">
        <is>
          <t>2026-08-08</t>
        </is>
      </c>
      <c r="L1710" s="19" t="inlineStr">
        <is>
          <t>1014941</t>
        </is>
      </c>
      <c r="M1710" t="inlineStr">
        <is>
          <t>STATUS=IN OEM / EU PACKAGE; SOURCE_CFG=IA-ST-CFG-0176; MARKET=YANMAR OEM (SOLİS) (Yurt İçi)</t>
        </is>
      </c>
      <c r="N1710" t="inlineStr">
        <is>
          <t>2026-08-10T19:29:54Z</t>
        </is>
      </c>
      <c r="O1710" t="inlineStr">
        <is>
          <t>2026-08-10T19:29:54Z</t>
        </is>
      </c>
    </row>
    <row r="1711">
      <c r="A1711" s="19" t="inlineStr">
        <is>
          <t>1710</t>
        </is>
      </c>
      <c r="B1711" s="19" t="inlineStr">
        <is>
          <t>1014943</t>
        </is>
      </c>
      <c r="C1711" t="inlineStr">
        <is>
          <t>AKÜ,L2,DK,60AH,IGYA SMF,TITAN,BESA</t>
        </is>
      </c>
      <c r="D1711" s="19" t="inlineStr">
        <is>
          <t>1</t>
        </is>
      </c>
      <c r="E1711" t="n">
        <v>0</v>
      </c>
      <c r="I1711" s="19" t="inlineStr">
        <is>
          <t>2</t>
        </is>
      </c>
      <c r="J1711" t="inlineStr">
        <is>
          <t>2026-08-08</t>
        </is>
      </c>
      <c r="L1711" s="19" t="inlineStr">
        <is>
          <t>1014943</t>
        </is>
      </c>
      <c r="M1711" t="inlineStr">
        <is>
          <t>STATUS=IN OEM / EU PACKAGE; SOURCE_CFG=IA-ST-CFG-0240; MARKET=ALEX ARABATZIS BSA(YUNANİSTAN)</t>
        </is>
      </c>
      <c r="N1711" t="inlineStr">
        <is>
          <t>2026-08-10T19:29:54Z</t>
        </is>
      </c>
      <c r="O1711" t="inlineStr">
        <is>
          <t>2026-08-10T19:29:54Z</t>
        </is>
      </c>
    </row>
    <row r="1712">
      <c r="A1712" s="19" t="inlineStr">
        <is>
          <t>1711</t>
        </is>
      </c>
      <c r="B1712" s="19" t="inlineStr">
        <is>
          <t>1014944</t>
        </is>
      </c>
      <c r="C1712" t="inlineStr">
        <is>
          <t>AKÜ,TRACTORL,DK,115AH,TITAN,BESA</t>
        </is>
      </c>
      <c r="D1712" s="19" t="inlineStr">
        <is>
          <t>1</t>
        </is>
      </c>
      <c r="E1712" t="n">
        <v>0</v>
      </c>
      <c r="I1712" s="19" t="inlineStr">
        <is>
          <t>2</t>
        </is>
      </c>
      <c r="J1712" t="inlineStr">
        <is>
          <t>2026-08-08</t>
        </is>
      </c>
      <c r="L1712" s="19" t="inlineStr">
        <is>
          <t>1014944</t>
        </is>
      </c>
      <c r="M1712" t="inlineStr">
        <is>
          <t>STATUS=IN OEM / EU PACKAGE; SOURCE_CFG=IA-ST-CFG-0070; MARKET=ALEX ARABATZIS BSA(YUNANİSTAN)</t>
        </is>
      </c>
      <c r="N1712" t="inlineStr">
        <is>
          <t>2026-08-10T19:29:54Z</t>
        </is>
      </c>
      <c r="O1712" t="inlineStr">
        <is>
          <t>2026-08-10T19:29:54Z</t>
        </is>
      </c>
    </row>
    <row r="1713">
      <c r="A1713" s="19" t="inlineStr">
        <is>
          <t>1712</t>
        </is>
      </c>
      <c r="B1713" s="19" t="inlineStr">
        <is>
          <t>1014945</t>
        </is>
      </c>
      <c r="C1713" t="inlineStr">
        <is>
          <t>AKÜ,A-FLAT,DK,135AH,TITAN,BESA</t>
        </is>
      </c>
      <c r="D1713" s="19" t="inlineStr">
        <is>
          <t>1</t>
        </is>
      </c>
      <c r="E1713" t="n">
        <v>0</v>
      </c>
      <c r="I1713" s="19" t="inlineStr">
        <is>
          <t>2</t>
        </is>
      </c>
      <c r="J1713" t="inlineStr">
        <is>
          <t>2026-08-08</t>
        </is>
      </c>
      <c r="L1713" s="19" t="inlineStr">
        <is>
          <t>1014945</t>
        </is>
      </c>
      <c r="M1713" t="inlineStr">
        <is>
          <t>STATUS=IN OEM / EU PACKAGE; SOURCE_CFG=IA-ST-CFG-0039; MARKET=ALEX ARABATZIS BSA(YUNANİSTAN)</t>
        </is>
      </c>
      <c r="N1713" t="inlineStr">
        <is>
          <t>2026-08-10T19:29:54Z</t>
        </is>
      </c>
      <c r="O1713" t="inlineStr">
        <is>
          <t>2026-08-10T19:29:54Z</t>
        </is>
      </c>
    </row>
    <row r="1714">
      <c r="A1714" s="19" t="inlineStr">
        <is>
          <t>1713</t>
        </is>
      </c>
      <c r="B1714" s="19" t="inlineStr">
        <is>
          <t>1014946</t>
        </is>
      </c>
      <c r="C1714" t="inlineStr">
        <is>
          <t>AKÜ,B-IGYASMF,DK,180AH,TITAN,BESA</t>
        </is>
      </c>
      <c r="D1714" s="19" t="inlineStr">
        <is>
          <t>1</t>
        </is>
      </c>
      <c r="E1714" t="n">
        <v>0</v>
      </c>
      <c r="I1714" s="19" t="inlineStr">
        <is>
          <t>2</t>
        </is>
      </c>
      <c r="J1714" t="inlineStr">
        <is>
          <t>2026-08-08</t>
        </is>
      </c>
      <c r="L1714" s="19" t="inlineStr">
        <is>
          <t>1014946</t>
        </is>
      </c>
      <c r="M1714" t="inlineStr">
        <is>
          <t>STATUS=IN OEM / EU PACKAGE; SOURCE_CFG=IA-ST-CFG-0029; MARKET=ALEX ARABATZIS BSA(YUNANİSTAN)</t>
        </is>
      </c>
      <c r="N1714" t="inlineStr">
        <is>
          <t>2026-08-10T19:29:54Z</t>
        </is>
      </c>
      <c r="O1714" t="inlineStr">
        <is>
          <t>2026-08-10T19:29:54Z</t>
        </is>
      </c>
    </row>
    <row r="1715">
      <c r="A1715" s="19" t="inlineStr">
        <is>
          <t>1714</t>
        </is>
      </c>
      <c r="B1715" s="19" t="inlineStr">
        <is>
          <t>1014947</t>
        </is>
      </c>
      <c r="C1715" t="inlineStr">
        <is>
          <t>AKÜ,C-IGYASMF,DK,230AH,TITAN,BESA</t>
        </is>
      </c>
      <c r="D1715" s="19" t="inlineStr">
        <is>
          <t>1</t>
        </is>
      </c>
      <c r="E1715" t="n">
        <v>0</v>
      </c>
      <c r="I1715" s="19" t="inlineStr">
        <is>
          <t>2</t>
        </is>
      </c>
      <c r="J1715" t="inlineStr">
        <is>
          <t>2026-08-08</t>
        </is>
      </c>
      <c r="L1715" s="19" t="inlineStr">
        <is>
          <t>1014947</t>
        </is>
      </c>
      <c r="M1715" t="inlineStr">
        <is>
          <t>STATUS=IN OEM / EU PACKAGE; SOURCE_CFG=IA-ST-CFG-0014; MARKET=ALEX ARABATZIS BSA(YUNANİSTAN)</t>
        </is>
      </c>
      <c r="N1715" t="inlineStr">
        <is>
          <t>2026-08-10T19:29:54Z</t>
        </is>
      </c>
      <c r="O1715" t="inlineStr">
        <is>
          <t>2026-08-10T19:29:54Z</t>
        </is>
      </c>
    </row>
    <row r="1716">
      <c r="A1716" s="19" t="inlineStr">
        <is>
          <t>1715</t>
        </is>
      </c>
      <c r="B1716" s="19" t="inlineStr">
        <is>
          <t>1014949</t>
        </is>
      </c>
      <c r="C1716" t="inlineStr">
        <is>
          <t>AKÜ,L0,DK,40AH,DINNEW,İNCİ SUPRA,SHAWKAT</t>
        </is>
      </c>
      <c r="D1716" s="19" t="inlineStr">
        <is>
          <t>1</t>
        </is>
      </c>
      <c r="E1716" t="n">
        <v>0</v>
      </c>
      <c r="I1716" s="19" t="inlineStr">
        <is>
          <t>2</t>
        </is>
      </c>
      <c r="J1716" t="inlineStr">
        <is>
          <t>2026-08-08</t>
        </is>
      </c>
      <c r="L1716" s="19" t="inlineStr">
        <is>
          <t>1014949</t>
        </is>
      </c>
      <c r="M1716" t="inlineStr">
        <is>
          <t>STATUS=IN OEM / EU PACKAGE; SOURCE_CFG=IA-ST-CFG-0262; MARKET=SHAWKAT</t>
        </is>
      </c>
      <c r="N1716" t="inlineStr">
        <is>
          <t>2026-08-10T19:29:54Z</t>
        </is>
      </c>
      <c r="O1716" t="inlineStr">
        <is>
          <t>2026-08-10T19:29:54Z</t>
        </is>
      </c>
    </row>
    <row r="1717">
      <c r="A1717" s="19" t="inlineStr">
        <is>
          <t>1716</t>
        </is>
      </c>
      <c r="B1717" s="19" t="inlineStr">
        <is>
          <t>1014950</t>
        </is>
      </c>
      <c r="C1717" t="inlineStr">
        <is>
          <t>AKÜ,L3,DK,70AH,GSYSMF,S&amp;S K0,FIAT YP,OES</t>
        </is>
      </c>
      <c r="D1717" s="19" t="inlineStr">
        <is>
          <t>1</t>
        </is>
      </c>
      <c r="E1717" t="n">
        <v>0</v>
      </c>
      <c r="I1717" s="19" t="inlineStr">
        <is>
          <t>2</t>
        </is>
      </c>
      <c r="J1717" t="inlineStr">
        <is>
          <t>2026-08-08</t>
        </is>
      </c>
      <c r="L1717" s="19" t="inlineStr">
        <is>
          <t>1014950</t>
        </is>
      </c>
      <c r="M1717" t="inlineStr">
        <is>
          <t>STATUS=DOMESTIC-ONLY / NOT IN OEM PACKAGE; SOURCE_CFG=IA-ST-CFG-0203; MARKET=TOFAŞ (Yurt İçi)</t>
        </is>
      </c>
      <c r="N1717" t="inlineStr">
        <is>
          <t>2026-08-10T19:29:54Z</t>
        </is>
      </c>
      <c r="O1717" t="inlineStr">
        <is>
          <t>2026-08-10T19:29:54Z</t>
        </is>
      </c>
    </row>
    <row r="1718">
      <c r="A1718" s="19" t="inlineStr">
        <is>
          <t>1717</t>
        </is>
      </c>
      <c r="B1718" s="19" t="inlineStr">
        <is>
          <t>1014951</t>
        </is>
      </c>
      <c r="C1718" t="inlineStr">
        <is>
          <t>AKÜ,B-FLAT,DK,180AH,ENERGY MAX,EURO</t>
        </is>
      </c>
      <c r="D1718" s="19" t="inlineStr">
        <is>
          <t>1</t>
        </is>
      </c>
      <c r="E1718" t="n">
        <v>0</v>
      </c>
      <c r="I1718" s="19" t="inlineStr">
        <is>
          <t>2</t>
        </is>
      </c>
      <c r="J1718" t="inlineStr">
        <is>
          <t>2026-08-08</t>
        </is>
      </c>
      <c r="L1718" s="19" t="inlineStr">
        <is>
          <t>1014951</t>
        </is>
      </c>
      <c r="M1718" t="inlineStr">
        <is>
          <t>STATUS=IN OEM / EU PACKAGE; SOURCE_CFG=IA-ST-CFG-0029; MARKET=None</t>
        </is>
      </c>
      <c r="N1718" t="inlineStr">
        <is>
          <t>2026-08-10T19:29:54Z</t>
        </is>
      </c>
      <c r="O1718" t="inlineStr">
        <is>
          <t>2026-08-10T19:29:54Z</t>
        </is>
      </c>
    </row>
    <row r="1719">
      <c r="A1719" s="19" t="inlineStr">
        <is>
          <t>1718</t>
        </is>
      </c>
      <c r="B1719" s="19" t="inlineStr">
        <is>
          <t>1014952</t>
        </is>
      </c>
      <c r="C1719" t="inlineStr">
        <is>
          <t>AKÜ,L5,DK,100AH,IGYA,HUGEL ACTION,İÇ PYS</t>
        </is>
      </c>
      <c r="D1719" s="19" t="inlineStr">
        <is>
          <t>1</t>
        </is>
      </c>
      <c r="E1719" t="n">
        <v>0</v>
      </c>
      <c r="I1719" s="19" t="inlineStr">
        <is>
          <t>2</t>
        </is>
      </c>
      <c r="J1719" t="inlineStr">
        <is>
          <t>2026-08-08</t>
        </is>
      </c>
      <c r="L1719" s="19" t="inlineStr">
        <is>
          <t>1014952</t>
        </is>
      </c>
      <c r="M1719" t="inlineStr">
        <is>
          <t>STATUS=IN OEM / EU PACKAGE; SOURCE_CFG=IA-ST-CFG-0098; MARKET=YURT İÇİ AFM</t>
        </is>
      </c>
      <c r="N1719" t="inlineStr">
        <is>
          <t>2026-08-10T19:29:54Z</t>
        </is>
      </c>
      <c r="O1719" t="inlineStr">
        <is>
          <t>2026-08-10T19:29:54Z</t>
        </is>
      </c>
    </row>
    <row r="1720">
      <c r="A1720" s="19" t="inlineStr">
        <is>
          <t>1719</t>
        </is>
      </c>
      <c r="B1720" s="19" t="inlineStr">
        <is>
          <t>1014953</t>
        </is>
      </c>
      <c r="C1720" t="inlineStr">
        <is>
          <t>AKÜ,L5,DK,100AH,IGYA SMF,AUTOPRO,İÇ PYS</t>
        </is>
      </c>
      <c r="D1720" s="19" t="inlineStr">
        <is>
          <t>1</t>
        </is>
      </c>
      <c r="E1720" t="n">
        <v>0</v>
      </c>
      <c r="I1720" s="19" t="inlineStr">
        <is>
          <t>2</t>
        </is>
      </c>
      <c r="J1720" t="inlineStr">
        <is>
          <t>2026-08-08</t>
        </is>
      </c>
      <c r="L1720" s="19" t="inlineStr">
        <is>
          <t>1014953</t>
        </is>
      </c>
      <c r="M1720" t="inlineStr">
        <is>
          <t>STATUS=IN OEM / EU PACKAGE; SOURCE_CFG=IA-ST-CFG-0098; MARKET=YURT İÇİ AFM</t>
        </is>
      </c>
      <c r="N1720" t="inlineStr">
        <is>
          <t>2026-08-10T19:29:54Z</t>
        </is>
      </c>
      <c r="O1720" t="inlineStr">
        <is>
          <t>2026-08-10T19:29:54Z</t>
        </is>
      </c>
    </row>
    <row r="1721">
      <c r="A1721" s="19" t="inlineStr">
        <is>
          <t>1720</t>
        </is>
      </c>
      <c r="B1721" s="19" t="inlineStr">
        <is>
          <t>1014954</t>
        </is>
      </c>
      <c r="C1721" t="inlineStr">
        <is>
          <t>AKÜ,L5,DK,100AH,IGYASMF,ENERGYMAX,İÇ PYS</t>
        </is>
      </c>
      <c r="D1721" s="19" t="inlineStr">
        <is>
          <t>1</t>
        </is>
      </c>
      <c r="E1721" t="n">
        <v>0</v>
      </c>
      <c r="I1721" s="19" t="inlineStr">
        <is>
          <t>2</t>
        </is>
      </c>
      <c r="J1721" t="inlineStr">
        <is>
          <t>2026-08-08</t>
        </is>
      </c>
      <c r="L1721" s="19" t="inlineStr">
        <is>
          <t>1014954</t>
        </is>
      </c>
      <c r="M1721" t="inlineStr">
        <is>
          <t>STATUS=IN OEM / EU PACKAGE; SOURCE_CFG=IA-ST-CFG-0098; MARKET=YURT İÇİ AFM</t>
        </is>
      </c>
      <c r="N1721" t="inlineStr">
        <is>
          <t>2026-08-10T19:29:54Z</t>
        </is>
      </c>
      <c r="O1721" t="inlineStr">
        <is>
          <t>2026-08-10T19:29:54Z</t>
        </is>
      </c>
    </row>
    <row r="1722">
      <c r="A1722" s="19" t="inlineStr">
        <is>
          <t>1721</t>
        </is>
      </c>
      <c r="B1722" s="19" t="inlineStr">
        <is>
          <t>1014955</t>
        </is>
      </c>
      <c r="C1722" t="inlineStr">
        <is>
          <t>AKÜ AGM,L2,DK,62AH,İNCİ AGM LEO,SHAWKAT</t>
        </is>
      </c>
      <c r="D1722" s="19" t="inlineStr">
        <is>
          <t>1</t>
        </is>
      </c>
      <c r="E1722" t="n">
        <v>0</v>
      </c>
      <c r="I1722" s="19" t="inlineStr">
        <is>
          <t>2</t>
        </is>
      </c>
      <c r="J1722" t="inlineStr">
        <is>
          <t>2026-08-08</t>
        </is>
      </c>
      <c r="L1722" s="19" t="inlineStr">
        <is>
          <t>1014955</t>
        </is>
      </c>
      <c r="M1722" t="inlineStr">
        <is>
          <t>STATUS=IN OEM / EU PACKAGE; SOURCE_CFG=IA-ST-CFG-0222; MARKET=SHAWKAT</t>
        </is>
      </c>
      <c r="N1722" t="inlineStr">
        <is>
          <t>2026-08-10T19:29:54Z</t>
        </is>
      </c>
      <c r="O1722" t="inlineStr">
        <is>
          <t>2026-08-10T19:29:54Z</t>
        </is>
      </c>
    </row>
    <row r="1723">
      <c r="A1723" s="19" t="inlineStr">
        <is>
          <t>1722</t>
        </is>
      </c>
      <c r="B1723" s="19" t="inlineStr">
        <is>
          <t>1014956</t>
        </is>
      </c>
      <c r="C1723" t="inlineStr">
        <is>
          <t>AKÜ AGM,L3,DK,70AH,İNCİ AGM LEO,SHAWKAT</t>
        </is>
      </c>
      <c r="D1723" s="19" t="inlineStr">
        <is>
          <t>1</t>
        </is>
      </c>
      <c r="E1723" t="n">
        <v>0</v>
      </c>
      <c r="I1723" s="19" t="inlineStr">
        <is>
          <t>2</t>
        </is>
      </c>
      <c r="J1723" t="inlineStr">
        <is>
          <t>2026-08-08</t>
        </is>
      </c>
      <c r="L1723" s="19" t="inlineStr">
        <is>
          <t>1014956</t>
        </is>
      </c>
      <c r="M1723" t="inlineStr">
        <is>
          <t>STATUS=IN OEM / EU PACKAGE; SOURCE_CFG=IA-ST-CFG-0186; MARKET=SHAWKAT</t>
        </is>
      </c>
      <c r="N1723" t="inlineStr">
        <is>
          <t>2026-08-10T19:29:54Z</t>
        </is>
      </c>
      <c r="O1723" t="inlineStr">
        <is>
          <t>2026-08-10T19:29:54Z</t>
        </is>
      </c>
    </row>
    <row r="1724">
      <c r="A1724" s="19" t="inlineStr">
        <is>
          <t>1723</t>
        </is>
      </c>
      <c r="B1724" s="19" t="inlineStr">
        <is>
          <t>1014957</t>
        </is>
      </c>
      <c r="C1724" t="inlineStr">
        <is>
          <t>AKÜ AGM,L4,DK,80AH,İNCİ AGM LEO,SHAWKAT</t>
        </is>
      </c>
      <c r="D1724" s="19" t="inlineStr">
        <is>
          <t>1</t>
        </is>
      </c>
      <c r="E1724" t="n">
        <v>0</v>
      </c>
      <c r="I1724" s="19" t="inlineStr">
        <is>
          <t>2</t>
        </is>
      </c>
      <c r="J1724" t="inlineStr">
        <is>
          <t>2026-08-08</t>
        </is>
      </c>
      <c r="L1724" s="19" t="inlineStr">
        <is>
          <t>1014957</t>
        </is>
      </c>
      <c r="M1724" t="inlineStr">
        <is>
          <t>STATUS=IN OEM / EU PACKAGE; SOURCE_CFG=IA-ST-CFG-0142; MARKET=SHAWKAT</t>
        </is>
      </c>
      <c r="N1724" t="inlineStr">
        <is>
          <t>2026-08-10T19:29:54Z</t>
        </is>
      </c>
      <c r="O1724" t="inlineStr">
        <is>
          <t>2026-08-10T19:29:54Z</t>
        </is>
      </c>
    </row>
    <row r="1725">
      <c r="A1725" s="19" t="inlineStr">
        <is>
          <t>1724</t>
        </is>
      </c>
      <c r="B1725" s="19" t="inlineStr">
        <is>
          <t>1014958</t>
        </is>
      </c>
      <c r="C1725" t="inlineStr">
        <is>
          <t>AKÜ AGM,L5,DK,95AH,İNCİ AGM LEO,SHAWKAT</t>
        </is>
      </c>
      <c r="D1725" s="19" t="inlineStr">
        <is>
          <t>1</t>
        </is>
      </c>
      <c r="E1725" t="n">
        <v>0</v>
      </c>
      <c r="I1725" s="19" t="inlineStr">
        <is>
          <t>2</t>
        </is>
      </c>
      <c r="J1725" t="inlineStr">
        <is>
          <t>2026-08-08</t>
        </is>
      </c>
      <c r="L1725" s="19" t="inlineStr">
        <is>
          <t>1014958</t>
        </is>
      </c>
      <c r="M1725" t="inlineStr">
        <is>
          <t>STATUS=IN OEM / EU PACKAGE; SOURCE_CFG=IA-ST-CFG-0096; MARKET=SHAWKAT</t>
        </is>
      </c>
      <c r="N1725" t="inlineStr">
        <is>
          <t>2026-08-10T19:29:54Z</t>
        </is>
      </c>
      <c r="O1725" t="inlineStr">
        <is>
          <t>2026-08-10T19:29:54Z</t>
        </is>
      </c>
    </row>
    <row r="1726">
      <c r="A1726" s="19" t="inlineStr">
        <is>
          <t>1725</t>
        </is>
      </c>
      <c r="B1726" s="19" t="inlineStr">
        <is>
          <t>1014959</t>
        </is>
      </c>
      <c r="C1726" t="inlineStr">
        <is>
          <t>AKÜ AGM,L6,DK,105AH,İNCİ AGM LEO,SHAWKAT</t>
        </is>
      </c>
      <c r="D1726" s="19" t="inlineStr">
        <is>
          <t>1</t>
        </is>
      </c>
      <c r="E1726" t="n">
        <v>0</v>
      </c>
      <c r="I1726" s="19" t="inlineStr">
        <is>
          <t>2</t>
        </is>
      </c>
      <c r="J1726" t="inlineStr">
        <is>
          <t>2026-08-08</t>
        </is>
      </c>
      <c r="L1726" s="19" t="inlineStr">
        <is>
          <t>1014959</t>
        </is>
      </c>
      <c r="M1726" t="inlineStr">
        <is>
          <t>STATUS=IN OEM / EU PACKAGE; SOURCE_CFG=IA-ST-CFG-0080; MARKET=SHAWKAT</t>
        </is>
      </c>
      <c r="N1726" t="inlineStr">
        <is>
          <t>2026-08-10T19:29:54Z</t>
        </is>
      </c>
      <c r="O1726" t="inlineStr">
        <is>
          <t>2026-08-10T19:29:54Z</t>
        </is>
      </c>
    </row>
    <row r="1727">
      <c r="A1727" s="19" t="inlineStr">
        <is>
          <t>1726</t>
        </is>
      </c>
      <c r="B1727" s="19" t="inlineStr">
        <is>
          <t>1014960</t>
        </is>
      </c>
      <c r="C1727" t="inlineStr">
        <is>
          <t>AKÜ,L2,DK,62AH,IGYA,NONAME,4027-062GYEUR</t>
        </is>
      </c>
      <c r="D1727" s="19" t="inlineStr">
        <is>
          <t>1</t>
        </is>
      </c>
      <c r="E1727" t="n">
        <v>0</v>
      </c>
      <c r="I1727" s="19" t="inlineStr">
        <is>
          <t>2</t>
        </is>
      </c>
      <c r="J1727" t="inlineStr">
        <is>
          <t>2026-08-08</t>
        </is>
      </c>
      <c r="L1727" s="19" t="inlineStr">
        <is>
          <t>1014960</t>
        </is>
      </c>
      <c r="M1727" t="inlineStr">
        <is>
          <t>STATUS=IN OEM / EU PACKAGE; SOURCE_CFG=IA-ST-CFG-0162; MARKET=GY EUR</t>
        </is>
      </c>
      <c r="N1727" t="inlineStr">
        <is>
          <t>2026-08-10T19:29:54Z</t>
        </is>
      </c>
      <c r="O1727" t="inlineStr">
        <is>
          <t>2026-08-10T19:29:54Z</t>
        </is>
      </c>
    </row>
    <row r="1728">
      <c r="A1728" s="19" t="inlineStr">
        <is>
          <t>1727</t>
        </is>
      </c>
      <c r="B1728" s="19" t="inlineStr">
        <is>
          <t>1014961</t>
        </is>
      </c>
      <c r="C1728" t="inlineStr">
        <is>
          <t>AKÜ,L3,DK,75AH,IGYA,NONAME,4096-075GYEUR</t>
        </is>
      </c>
      <c r="D1728" s="19" t="inlineStr">
        <is>
          <t>1</t>
        </is>
      </c>
      <c r="E1728" t="n">
        <v>0</v>
      </c>
      <c r="I1728" s="19" t="inlineStr">
        <is>
          <t>2</t>
        </is>
      </c>
      <c r="J1728" t="inlineStr">
        <is>
          <t>2026-08-08</t>
        </is>
      </c>
      <c r="L1728" s="19" t="inlineStr">
        <is>
          <t>1014961</t>
        </is>
      </c>
      <c r="M1728" t="inlineStr">
        <is>
          <t>STATUS=IN OEM / EU PACKAGE; SOURCE_CFG=IA-ST-CFG-0132; MARKET=GY EUR</t>
        </is>
      </c>
      <c r="N1728" t="inlineStr">
        <is>
          <t>2026-08-10T19:29:54Z</t>
        </is>
      </c>
      <c r="O1728" t="inlineStr">
        <is>
          <t>2026-08-10T19:29:54Z</t>
        </is>
      </c>
    </row>
    <row r="1729">
      <c r="A1729" s="19" t="inlineStr">
        <is>
          <t>1728</t>
        </is>
      </c>
      <c r="B1729" s="19" t="inlineStr">
        <is>
          <t>1014962</t>
        </is>
      </c>
      <c r="C1729" t="inlineStr">
        <is>
          <t>AKÜ,L5,DK,95AH,IGYA,NONAME,4019-095GYEUR</t>
        </is>
      </c>
      <c r="D1729" s="19" t="inlineStr">
        <is>
          <t>1</t>
        </is>
      </c>
      <c r="E1729" t="n">
        <v>0</v>
      </c>
      <c r="I1729" s="19" t="inlineStr">
        <is>
          <t>2</t>
        </is>
      </c>
      <c r="J1729" t="inlineStr">
        <is>
          <t>2026-08-08</t>
        </is>
      </c>
      <c r="L1729" s="19" t="inlineStr">
        <is>
          <t>1014962</t>
        </is>
      </c>
      <c r="M1729" t="inlineStr">
        <is>
          <t>STATUS=IN OEM / EU PACKAGE; SOURCE_CFG=IA-ST-CFG-0068; MARKET=GY EUR</t>
        </is>
      </c>
      <c r="N1729" t="inlineStr">
        <is>
          <t>2026-08-10T19:29:54Z</t>
        </is>
      </c>
      <c r="O1729" t="inlineStr">
        <is>
          <t>2026-08-10T19:29:54Z</t>
        </is>
      </c>
    </row>
    <row r="1730">
      <c r="A1730" s="19" t="inlineStr">
        <is>
          <t>1729</t>
        </is>
      </c>
      <c r="B1730" s="19" t="inlineStr">
        <is>
          <t>1014963</t>
        </is>
      </c>
      <c r="C1730" t="inlineStr">
        <is>
          <t>AKÜ SULU,L0,DK,40AH,SMF 202,GS</t>
        </is>
      </c>
      <c r="D1730" s="19" t="inlineStr">
        <is>
          <t>1</t>
        </is>
      </c>
      <c r="E1730" t="n">
        <v>0</v>
      </c>
      <c r="I1730" s="19" t="inlineStr">
        <is>
          <t>2</t>
        </is>
      </c>
      <c r="J1730" t="inlineStr">
        <is>
          <t>2026-08-08</t>
        </is>
      </c>
      <c r="L1730" s="19" t="inlineStr">
        <is>
          <t>1014963</t>
        </is>
      </c>
      <c r="M1730" t="inlineStr">
        <is>
          <t>STATUS=IN OEM / EU PACKAGE; SOURCE_CFG=IA-ST-CFG-0236; MARKET=GS</t>
        </is>
      </c>
      <c r="N1730" t="inlineStr">
        <is>
          <t>2026-08-10T19:29:54Z</t>
        </is>
      </c>
      <c r="O1730" t="inlineStr">
        <is>
          <t>2026-08-10T19:29:54Z</t>
        </is>
      </c>
    </row>
    <row r="1731">
      <c r="A1731" s="19" t="inlineStr">
        <is>
          <t>1730</t>
        </is>
      </c>
      <c r="B1731" s="19" t="inlineStr">
        <is>
          <t>1014964</t>
        </is>
      </c>
      <c r="C1731" t="inlineStr">
        <is>
          <t>AKÜ,C-VRLA,DK,220AH,MAKO AGM,OES</t>
        </is>
      </c>
      <c r="D1731" s="19" t="inlineStr">
        <is>
          <t>1</t>
        </is>
      </c>
      <c r="E1731" t="n">
        <v>0</v>
      </c>
      <c r="I1731" s="19" t="inlineStr">
        <is>
          <t>2</t>
        </is>
      </c>
      <c r="J1731" t="inlineStr">
        <is>
          <t>2026-08-08</t>
        </is>
      </c>
      <c r="L1731" s="19" t="inlineStr">
        <is>
          <t>1014964</t>
        </is>
      </c>
      <c r="M1731" t="inlineStr">
        <is>
          <t>STATUS=IN OEM / EU PACKAGE; SOURCE_CFG=IA-ST-CFG-0016; MARKET=MAKO OES (Yurt İçi)</t>
        </is>
      </c>
      <c r="N1731" t="inlineStr">
        <is>
          <t>2026-08-10T19:29:54Z</t>
        </is>
      </c>
      <c r="O1731" t="inlineStr">
        <is>
          <t>2026-08-10T19:29:54Z</t>
        </is>
      </c>
    </row>
    <row r="1732">
      <c r="A1732" s="19" t="inlineStr">
        <is>
          <t>1731</t>
        </is>
      </c>
      <c r="B1732" s="19" t="inlineStr">
        <is>
          <t>1014965</t>
        </is>
      </c>
      <c r="C1732" t="inlineStr">
        <is>
          <t>AKÜ,B-IGYASMF,DK,185AH,MAKO EFB,OES</t>
        </is>
      </c>
      <c r="D1732" s="19" t="inlineStr">
        <is>
          <t>1</t>
        </is>
      </c>
      <c r="E1732" t="n">
        <v>0</v>
      </c>
      <c r="I1732" s="19" t="inlineStr">
        <is>
          <t>2</t>
        </is>
      </c>
      <c r="J1732" t="inlineStr">
        <is>
          <t>2026-08-08</t>
        </is>
      </c>
      <c r="L1732" s="19" t="inlineStr">
        <is>
          <t>1014965</t>
        </is>
      </c>
      <c r="M1732" t="inlineStr">
        <is>
          <t>STATUS=DOMESTIC-ONLY / NOT IN OEM PACKAGE; SOURCE_CFG=IA-ST-CFG-0032; MARKET=MAKO OES (Yurt İçi)</t>
        </is>
      </c>
      <c r="N1732" t="inlineStr">
        <is>
          <t>2026-08-10T19:29:54Z</t>
        </is>
      </c>
      <c r="O1732" t="inlineStr">
        <is>
          <t>2026-08-10T19:29:54Z</t>
        </is>
      </c>
    </row>
    <row r="1733">
      <c r="A1733" s="19" t="inlineStr">
        <is>
          <t>1732</t>
        </is>
      </c>
      <c r="B1733" s="19" t="inlineStr">
        <is>
          <t>1014966</t>
        </is>
      </c>
      <c r="C1733" t="inlineStr">
        <is>
          <t>AKÜ,C-IGYASMF,DK,230AH,MAKO EFB,OES</t>
        </is>
      </c>
      <c r="D1733" s="19" t="inlineStr">
        <is>
          <t>1</t>
        </is>
      </c>
      <c r="E1733" t="n">
        <v>0</v>
      </c>
      <c r="I1733" s="19" t="inlineStr">
        <is>
          <t>2</t>
        </is>
      </c>
      <c r="J1733" t="inlineStr">
        <is>
          <t>2026-08-08</t>
        </is>
      </c>
      <c r="L1733" s="19" t="inlineStr">
        <is>
          <t>1014966</t>
        </is>
      </c>
      <c r="M1733" t="inlineStr">
        <is>
          <t>STATUS=IN OEM / EU PACKAGE; SOURCE_CFG=IA-ST-CFG-0016; MARKET=MAKO OES (Yurt İçi)</t>
        </is>
      </c>
      <c r="N1733" t="inlineStr">
        <is>
          <t>2026-08-10T19:29:54Z</t>
        </is>
      </c>
      <c r="O1733" t="inlineStr">
        <is>
          <t>2026-08-10T19:29:54Z</t>
        </is>
      </c>
    </row>
    <row r="1734">
      <c r="A1734" s="19" t="inlineStr">
        <is>
          <t>1733</t>
        </is>
      </c>
      <c r="B1734" s="19" t="inlineStr">
        <is>
          <t>1014967</t>
        </is>
      </c>
      <c r="C1734" t="inlineStr">
        <is>
          <t>AKÜ,A-IGYASMF,DK,145AH,MAKOHEAVYDUTY,OES</t>
        </is>
      </c>
      <c r="D1734" s="19" t="inlineStr">
        <is>
          <t>1</t>
        </is>
      </c>
      <c r="E1734" t="n">
        <v>0</v>
      </c>
      <c r="I1734" s="19" t="inlineStr">
        <is>
          <t>2</t>
        </is>
      </c>
      <c r="J1734" t="inlineStr">
        <is>
          <t>2026-08-08</t>
        </is>
      </c>
      <c r="L1734" s="19" t="inlineStr">
        <is>
          <t>1014967</t>
        </is>
      </c>
      <c r="M1734" t="inlineStr">
        <is>
          <t>STATUS=DOMESTIC-ONLY / NOT IN OEM PACKAGE; SOURCE_CFG=IA-ST-CFG-0040; MARKET=MAKO OES (Yurt İçi)</t>
        </is>
      </c>
      <c r="N1734" t="inlineStr">
        <is>
          <t>2026-08-10T19:29:54Z</t>
        </is>
      </c>
      <c r="O1734" t="inlineStr">
        <is>
          <t>2026-08-10T19:29:54Z</t>
        </is>
      </c>
    </row>
    <row r="1735">
      <c r="A1735" s="19" t="inlineStr">
        <is>
          <t>1734</t>
        </is>
      </c>
      <c r="B1735" s="19" t="inlineStr">
        <is>
          <t>1014968</t>
        </is>
      </c>
      <c r="C1735" t="inlineStr">
        <is>
          <t>AKÜ,B-IGYASMF,DK,190AH,MAKOHEAVYDUTY,OES</t>
        </is>
      </c>
      <c r="D1735" s="19" t="inlineStr">
        <is>
          <t>1</t>
        </is>
      </c>
      <c r="E1735" t="n">
        <v>0</v>
      </c>
      <c r="I1735" s="19" t="inlineStr">
        <is>
          <t>2</t>
        </is>
      </c>
      <c r="J1735" t="inlineStr">
        <is>
          <t>2026-08-08</t>
        </is>
      </c>
      <c r="L1735" s="19" t="inlineStr">
        <is>
          <t>1014968</t>
        </is>
      </c>
      <c r="M1735" t="inlineStr">
        <is>
          <t>STATUS=DOMESTIC-ONLY / NOT IN OEM PACKAGE; SOURCE_CFG=IA-ST-CFG-0032; MARKET=MAKO OES (Yurt İçi)</t>
        </is>
      </c>
      <c r="N1735" t="inlineStr">
        <is>
          <t>2026-08-10T19:29:54Z</t>
        </is>
      </c>
      <c r="O1735" t="inlineStr">
        <is>
          <t>2026-08-10T19:29:54Z</t>
        </is>
      </c>
    </row>
    <row r="1736">
      <c r="A1736" s="19" t="inlineStr">
        <is>
          <t>1735</t>
        </is>
      </c>
      <c r="B1736" s="19" t="inlineStr">
        <is>
          <t>1014969</t>
        </is>
      </c>
      <c r="C1736" t="inlineStr">
        <is>
          <t>AKÜ,C-IGYASMF,DK,250AH,MAKOHEAVYDUTY,OES</t>
        </is>
      </c>
      <c r="D1736" s="19" t="inlineStr">
        <is>
          <t>1</t>
        </is>
      </c>
      <c r="E1736" t="n">
        <v>0</v>
      </c>
      <c r="I1736" s="19" t="inlineStr">
        <is>
          <t>2</t>
        </is>
      </c>
      <c r="J1736" t="inlineStr">
        <is>
          <t>2026-08-08</t>
        </is>
      </c>
      <c r="L1736" s="19" t="inlineStr">
        <is>
          <t>1014969</t>
        </is>
      </c>
      <c r="M1736" t="inlineStr">
        <is>
          <t>STATUS=IN OEM / EU PACKAGE; SOURCE_CFG=IA-ST-CFG-0016; MARKET=MAKO OES (Yurt İçi)</t>
        </is>
      </c>
      <c r="N1736" t="inlineStr">
        <is>
          <t>2026-08-10T19:29:54Z</t>
        </is>
      </c>
      <c r="O1736" t="inlineStr">
        <is>
          <t>2026-08-10T19:29:54Z</t>
        </is>
      </c>
    </row>
    <row r="1737">
      <c r="A1737" s="19" t="inlineStr">
        <is>
          <t>1736</t>
        </is>
      </c>
      <c r="B1737" s="19" t="inlineStr">
        <is>
          <t>1014970</t>
        </is>
      </c>
      <c r="C1737" t="inlineStr">
        <is>
          <t>AKÜ,A-IGYASMF,DK,135AH,MAKOHEAVYDUTY,OES</t>
        </is>
      </c>
      <c r="D1737" s="19" t="inlineStr">
        <is>
          <t>1</t>
        </is>
      </c>
      <c r="E1737" t="n">
        <v>0</v>
      </c>
      <c r="I1737" s="19" t="inlineStr">
        <is>
          <t>2</t>
        </is>
      </c>
      <c r="J1737" t="inlineStr">
        <is>
          <t>2026-08-08</t>
        </is>
      </c>
      <c r="L1737" s="19" t="inlineStr">
        <is>
          <t>1014970</t>
        </is>
      </c>
      <c r="M1737" t="inlineStr">
        <is>
          <t>STATUS=DOMESTIC-ONLY / NOT IN OEM PACKAGE; SOURCE_CFG=IA-ST-CFG-0040; MARKET=MAKO OES (Yurt İçi)</t>
        </is>
      </c>
      <c r="N1737" t="inlineStr">
        <is>
          <t>2026-08-10T19:29:54Z</t>
        </is>
      </c>
      <c r="O1737" t="inlineStr">
        <is>
          <t>2026-08-10T19:29:54Z</t>
        </is>
      </c>
    </row>
    <row r="1738">
      <c r="A1738" s="19" t="inlineStr">
        <is>
          <t>1737</t>
        </is>
      </c>
      <c r="B1738" s="19" t="inlineStr">
        <is>
          <t>1014971</t>
        </is>
      </c>
      <c r="C1738" t="inlineStr">
        <is>
          <t>AKÜ,B-IGYASMF,DK,150AH,MAKOHEAVYDUTY,OES</t>
        </is>
      </c>
      <c r="D1738" s="19" t="inlineStr">
        <is>
          <t>1</t>
        </is>
      </c>
      <c r="E1738" t="n">
        <v>0</v>
      </c>
      <c r="I1738" s="19" t="inlineStr">
        <is>
          <t>2</t>
        </is>
      </c>
      <c r="J1738" t="inlineStr">
        <is>
          <t>2026-08-08</t>
        </is>
      </c>
      <c r="L1738" s="19" t="inlineStr">
        <is>
          <t>1014971</t>
        </is>
      </c>
      <c r="M1738" t="inlineStr">
        <is>
          <t>STATUS=DOMESTIC-ONLY / NOT IN OEM PACKAGE; SOURCE_CFG=IA-ST-CFG-0032; MARKET=MAKO OES (Yurt İçi)</t>
        </is>
      </c>
      <c r="N1738" t="inlineStr">
        <is>
          <t>2026-08-10T19:29:54Z</t>
        </is>
      </c>
      <c r="O1738" t="inlineStr">
        <is>
          <t>2026-08-10T19:29:54Z</t>
        </is>
      </c>
    </row>
    <row r="1739">
      <c r="A1739" s="19" t="inlineStr">
        <is>
          <t>1738</t>
        </is>
      </c>
      <c r="B1739" s="19" t="inlineStr">
        <is>
          <t>1014972</t>
        </is>
      </c>
      <c r="C1739" t="inlineStr">
        <is>
          <t>AKÜ,B-IGYASMF,DK,180AH,MAKOHEAVYDUTY,OES</t>
        </is>
      </c>
      <c r="D1739" s="19" t="inlineStr">
        <is>
          <t>1</t>
        </is>
      </c>
      <c r="E1739" t="n">
        <v>0</v>
      </c>
      <c r="I1739" s="19" t="inlineStr">
        <is>
          <t>2</t>
        </is>
      </c>
      <c r="J1739" t="inlineStr">
        <is>
          <t>2026-08-08</t>
        </is>
      </c>
      <c r="L1739" s="19" t="inlineStr">
        <is>
          <t>1014972</t>
        </is>
      </c>
      <c r="M1739" t="inlineStr">
        <is>
          <t>STATUS=DOMESTIC-ONLY / NOT IN OEM PACKAGE; SOURCE_CFG=IA-ST-CFG-0032; MARKET=MAKO OES (Yurt İçi)</t>
        </is>
      </c>
      <c r="N1739" t="inlineStr">
        <is>
          <t>2026-08-10T19:29:54Z</t>
        </is>
      </c>
      <c r="O1739" t="inlineStr">
        <is>
          <t>2026-08-10T19:29:54Z</t>
        </is>
      </c>
    </row>
    <row r="1740">
      <c r="A1740" s="19" t="inlineStr">
        <is>
          <t>1739</t>
        </is>
      </c>
      <c r="B1740" s="19" t="inlineStr">
        <is>
          <t>1014973</t>
        </is>
      </c>
      <c r="C1740" t="inlineStr">
        <is>
          <t>AKÜ,C-IGYASMF,DK,225AH,MAKOHEAVYDUTY,OES</t>
        </is>
      </c>
      <c r="D1740" s="19" t="inlineStr">
        <is>
          <t>1</t>
        </is>
      </c>
      <c r="E1740" t="n">
        <v>0</v>
      </c>
      <c r="I1740" s="19" t="inlineStr">
        <is>
          <t>2</t>
        </is>
      </c>
      <c r="J1740" t="inlineStr">
        <is>
          <t>2026-08-08</t>
        </is>
      </c>
      <c r="L1740" s="19" t="inlineStr">
        <is>
          <t>1014973</t>
        </is>
      </c>
      <c r="M1740" t="inlineStr">
        <is>
          <t>STATUS=IN OEM / EU PACKAGE; SOURCE_CFG=IA-ST-CFG-0016; MARKET=MAKO OES (Yurt İçi)</t>
        </is>
      </c>
      <c r="N1740" t="inlineStr">
        <is>
          <t>2026-08-10T19:29:54Z</t>
        </is>
      </c>
      <c r="O1740" t="inlineStr">
        <is>
          <t>2026-08-10T19:29:54Z</t>
        </is>
      </c>
    </row>
    <row r="1741">
      <c r="A1741" s="19" t="inlineStr">
        <is>
          <t>1740</t>
        </is>
      </c>
      <c r="B1741" s="19" t="inlineStr">
        <is>
          <t>1014974</t>
        </is>
      </c>
      <c r="C1741" t="inlineStr">
        <is>
          <t>AKÜ,L1,TK,44AH,IGYA SMF,SMF 077,GS</t>
        </is>
      </c>
      <c r="D1741" s="19" t="inlineStr">
        <is>
          <t>1</t>
        </is>
      </c>
      <c r="E1741" t="n">
        <v>0</v>
      </c>
      <c r="I1741" s="19" t="inlineStr">
        <is>
          <t>2</t>
        </is>
      </c>
      <c r="J1741" t="inlineStr">
        <is>
          <t>2026-08-08</t>
        </is>
      </c>
      <c r="L1741" s="19" t="inlineStr">
        <is>
          <t>1014974</t>
        </is>
      </c>
      <c r="M1741" t="inlineStr">
        <is>
          <t>STATUS=IN OEM / EU PACKAGE; SOURCE_CFG=IA-ST-CFG-0209; MARKET=GS</t>
        </is>
      </c>
      <c r="N1741" t="inlineStr">
        <is>
          <t>2026-08-10T19:29:54Z</t>
        </is>
      </c>
      <c r="O1741" t="inlineStr">
        <is>
          <t>2026-08-10T19:29:54Z</t>
        </is>
      </c>
    </row>
    <row r="1742">
      <c r="A1742" s="19" t="inlineStr">
        <is>
          <t>1741</t>
        </is>
      </c>
      <c r="B1742" s="19" t="inlineStr">
        <is>
          <t>1014975</t>
        </is>
      </c>
      <c r="C1742" t="inlineStr">
        <is>
          <t>AKÜ,L1,DK,52AH,IGYA SMF,SMF 012,GS</t>
        </is>
      </c>
      <c r="D1742" s="19" t="inlineStr">
        <is>
          <t>1</t>
        </is>
      </c>
      <c r="E1742" t="n">
        <v>0</v>
      </c>
      <c r="I1742" s="19" t="inlineStr">
        <is>
          <t>2</t>
        </is>
      </c>
      <c r="J1742" t="inlineStr">
        <is>
          <t>2026-08-08</t>
        </is>
      </c>
      <c r="L1742" s="19" t="inlineStr">
        <is>
          <t>1014975</t>
        </is>
      </c>
      <c r="M1742" t="inlineStr">
        <is>
          <t>STATUS=IN OEM / EU PACKAGE; SOURCE_CFG=IA-ST-CFG-0209; MARKET=GS</t>
        </is>
      </c>
      <c r="N1742" t="inlineStr">
        <is>
          <t>2026-08-10T19:29:54Z</t>
        </is>
      </c>
      <c r="O1742" t="inlineStr">
        <is>
          <t>2026-08-10T19:29:54Z</t>
        </is>
      </c>
    </row>
    <row r="1743">
      <c r="A1743" s="19" t="inlineStr">
        <is>
          <t>1742</t>
        </is>
      </c>
      <c r="B1743" s="19" t="inlineStr">
        <is>
          <t>1014976</t>
        </is>
      </c>
      <c r="C1743" t="inlineStr">
        <is>
          <t>AKÜ,LB1,DK,46AH,IGYA SMF,SMF 063,GS</t>
        </is>
      </c>
      <c r="D1743" s="19" t="inlineStr">
        <is>
          <t>1</t>
        </is>
      </c>
      <c r="E1743" t="n">
        <v>0</v>
      </c>
      <c r="I1743" s="19" t="inlineStr">
        <is>
          <t>2</t>
        </is>
      </c>
      <c r="J1743" t="inlineStr">
        <is>
          <t>2026-08-08</t>
        </is>
      </c>
      <c r="L1743" s="19" t="inlineStr">
        <is>
          <t>1014976</t>
        </is>
      </c>
      <c r="M1743" t="inlineStr">
        <is>
          <t>STATUS=IN OEM / EU PACKAGE; SOURCE_CFG=IA-ST-CFG-0209; MARKET=GS</t>
        </is>
      </c>
      <c r="N1743" t="inlineStr">
        <is>
          <t>2026-08-10T19:29:54Z</t>
        </is>
      </c>
      <c r="O1743" t="inlineStr">
        <is>
          <t>2026-08-10T19:29:54Z</t>
        </is>
      </c>
    </row>
    <row r="1744">
      <c r="A1744" s="19" t="inlineStr">
        <is>
          <t>1743</t>
        </is>
      </c>
      <c r="B1744" s="19" t="inlineStr">
        <is>
          <t>1014977</t>
        </is>
      </c>
      <c r="C1744" t="inlineStr">
        <is>
          <t>AKÜ,LB2,DK,60AH,IGYA SMF,SMF 075,GS</t>
        </is>
      </c>
      <c r="D1744" s="19" t="inlineStr">
        <is>
          <t>1</t>
        </is>
      </c>
      <c r="E1744" t="n">
        <v>0</v>
      </c>
      <c r="I1744" s="19" t="inlineStr">
        <is>
          <t>2</t>
        </is>
      </c>
      <c r="J1744" t="inlineStr">
        <is>
          <t>2026-08-08</t>
        </is>
      </c>
      <c r="L1744" s="19" t="inlineStr">
        <is>
          <t>1014977</t>
        </is>
      </c>
      <c r="M1744" t="inlineStr">
        <is>
          <t>STATUS=IN OEM / EU PACKAGE; SOURCE_CFG=IA-ST-CFG-0162; MARKET=GS</t>
        </is>
      </c>
      <c r="N1744" t="inlineStr">
        <is>
          <t>2026-08-10T19:29:54Z</t>
        </is>
      </c>
      <c r="O1744" t="inlineStr">
        <is>
          <t>2026-08-10T19:29:54Z</t>
        </is>
      </c>
    </row>
    <row r="1745">
      <c r="A1745" s="19" t="inlineStr">
        <is>
          <t>1744</t>
        </is>
      </c>
      <c r="B1745" s="19" t="inlineStr">
        <is>
          <t>1014978</t>
        </is>
      </c>
      <c r="C1745" t="inlineStr">
        <is>
          <t>AKÜ,L4,DK,82AH,IGYA SMF,SMF 115,GS</t>
        </is>
      </c>
      <c r="D1745" s="19" t="inlineStr">
        <is>
          <t>1</t>
        </is>
      </c>
      <c r="E1745" t="n">
        <v>0</v>
      </c>
      <c r="I1745" s="19" t="inlineStr">
        <is>
          <t>2</t>
        </is>
      </c>
      <c r="J1745" t="inlineStr">
        <is>
          <t>2026-08-08</t>
        </is>
      </c>
      <c r="L1745" s="19" t="inlineStr">
        <is>
          <t>1014978</t>
        </is>
      </c>
      <c r="M1745" t="inlineStr">
        <is>
          <t>STATUS=IN OEM / EU PACKAGE; SOURCE_CFG=IA-ST-CFG-0085; MARKET=GS</t>
        </is>
      </c>
      <c r="N1745" t="inlineStr">
        <is>
          <t>2026-08-10T19:29:54Z</t>
        </is>
      </c>
      <c r="O1745" t="inlineStr">
        <is>
          <t>2026-08-10T19:29:54Z</t>
        </is>
      </c>
    </row>
    <row r="1746">
      <c r="A1746" s="19" t="inlineStr">
        <is>
          <t>1745</t>
        </is>
      </c>
      <c r="B1746" s="19" t="inlineStr">
        <is>
          <t>1014984</t>
        </is>
      </c>
      <c r="C1746" t="inlineStr">
        <is>
          <t>AKÜ,LB4,DK,80AH,IGYA SMF,SMF 110,GS</t>
        </is>
      </c>
      <c r="D1746" s="19" t="inlineStr">
        <is>
          <t>1</t>
        </is>
      </c>
      <c r="E1746" t="n">
        <v>0</v>
      </c>
      <c r="I1746" s="19" t="inlineStr">
        <is>
          <t>2</t>
        </is>
      </c>
      <c r="J1746" t="inlineStr">
        <is>
          <t>2026-08-08</t>
        </is>
      </c>
      <c r="L1746" s="19" t="inlineStr">
        <is>
          <t>1014984</t>
        </is>
      </c>
      <c r="M1746" t="inlineStr">
        <is>
          <t>STATUS=IN OEM / EU PACKAGE; SOURCE_CFG=IA-ST-CFG-0085; MARKET=GS</t>
        </is>
      </c>
      <c r="N1746" t="inlineStr">
        <is>
          <t>2026-08-10T19:29:54Z</t>
        </is>
      </c>
      <c r="O1746" t="inlineStr">
        <is>
          <t>2026-08-10T19:29:54Z</t>
        </is>
      </c>
    </row>
    <row r="1747">
      <c r="A1747" s="19" t="inlineStr">
        <is>
          <t>1746</t>
        </is>
      </c>
      <c r="B1747" s="19" t="inlineStr">
        <is>
          <t>1014985</t>
        </is>
      </c>
      <c r="C1747" t="inlineStr">
        <is>
          <t>AKÜ,C-FLAT,DK,240AH,İNCİ SUPRA,SHAWKAT</t>
        </is>
      </c>
      <c r="D1747" s="19" t="inlineStr">
        <is>
          <t>1</t>
        </is>
      </c>
      <c r="E1747" t="n">
        <v>0</v>
      </c>
      <c r="I1747" s="19" t="inlineStr">
        <is>
          <t>2</t>
        </is>
      </c>
      <c r="J1747" t="inlineStr">
        <is>
          <t>2026-08-08</t>
        </is>
      </c>
      <c r="L1747" s="19" t="inlineStr">
        <is>
          <t>1014985</t>
        </is>
      </c>
      <c r="M1747" t="inlineStr">
        <is>
          <t>STATUS=IN OEM / EU PACKAGE; SOURCE_CFG=IA-ST-CFG-0023; MARKET=SHAWKAT</t>
        </is>
      </c>
      <c r="N1747" t="inlineStr">
        <is>
          <t>2026-08-10T19:29:54Z</t>
        </is>
      </c>
      <c r="O1747" t="inlineStr">
        <is>
          <t>2026-08-10T19:29:54Z</t>
        </is>
      </c>
    </row>
    <row r="1748">
      <c r="A1748" s="19" t="inlineStr">
        <is>
          <t>1747</t>
        </is>
      </c>
      <c r="B1748" s="19" t="inlineStr">
        <is>
          <t>1014986</t>
        </is>
      </c>
      <c r="C1748" t="inlineStr">
        <is>
          <t>AKÜ,LB3,DK,72AH,IGYA,TECHNO POWER,ALSAFA</t>
        </is>
      </c>
      <c r="D1748" s="19" t="inlineStr">
        <is>
          <t>1</t>
        </is>
      </c>
      <c r="E1748" t="n">
        <v>0</v>
      </c>
      <c r="I1748" s="19" t="inlineStr">
        <is>
          <t>2</t>
        </is>
      </c>
      <c r="J1748" t="inlineStr">
        <is>
          <t>2026-08-08</t>
        </is>
      </c>
      <c r="L1748" s="19" t="inlineStr">
        <is>
          <t>1014986</t>
        </is>
      </c>
      <c r="M1748" t="inlineStr">
        <is>
          <t>STATUS=IN OEM / EU PACKAGE; SOURCE_CFG=IA-ST-CFG-0178; MARKET=MISIR ALSAFA</t>
        </is>
      </c>
      <c r="N1748" t="inlineStr">
        <is>
          <t>2026-08-10T19:29:54Z</t>
        </is>
      </c>
      <c r="O1748" t="inlineStr">
        <is>
          <t>2026-08-10T19:29:54Z</t>
        </is>
      </c>
    </row>
    <row r="1749">
      <c r="A1749" s="19" t="inlineStr">
        <is>
          <t>1748</t>
        </is>
      </c>
      <c r="B1749" s="19" t="inlineStr">
        <is>
          <t>1014987</t>
        </is>
      </c>
      <c r="C1749" t="inlineStr">
        <is>
          <t>AKÜ,LB4,DK,80AH,IGYA,TECHNO POWER,ALSAFA</t>
        </is>
      </c>
      <c r="D1749" s="19" t="inlineStr">
        <is>
          <t>1</t>
        </is>
      </c>
      <c r="E1749" t="n">
        <v>0</v>
      </c>
      <c r="I1749" s="19" t="inlineStr">
        <is>
          <t>2</t>
        </is>
      </c>
      <c r="J1749" t="inlineStr">
        <is>
          <t>2026-08-08</t>
        </is>
      </c>
      <c r="L1749" s="19" t="inlineStr">
        <is>
          <t>1014987</t>
        </is>
      </c>
      <c r="M1749" t="inlineStr">
        <is>
          <t>STATUS=IN OEM / EU PACKAGE; SOURCE_CFG=IA-ST-CFG-0231; MARKET=MISIR ALSAFA</t>
        </is>
      </c>
      <c r="N1749" t="inlineStr">
        <is>
          <t>2026-08-10T19:29:54Z</t>
        </is>
      </c>
      <c r="O1749" t="inlineStr">
        <is>
          <t>2026-08-10T19:29:54Z</t>
        </is>
      </c>
    </row>
    <row r="1750">
      <c r="A1750" s="19" t="inlineStr">
        <is>
          <t>1749</t>
        </is>
      </c>
      <c r="B1750" s="19" t="inlineStr">
        <is>
          <t>1014988</t>
        </is>
      </c>
      <c r="C1750" t="inlineStr">
        <is>
          <t>AKÜ,L6,DK,105AH,TECHNO POWER AGM,ALSAFA</t>
        </is>
      </c>
      <c r="D1750" s="19" t="inlineStr">
        <is>
          <t>1</t>
        </is>
      </c>
      <c r="E1750" t="n">
        <v>0</v>
      </c>
      <c r="I1750" s="19" t="inlineStr">
        <is>
          <t>2</t>
        </is>
      </c>
      <c r="J1750" t="inlineStr">
        <is>
          <t>2026-08-08</t>
        </is>
      </c>
      <c r="L1750" s="19" t="inlineStr">
        <is>
          <t>1014988</t>
        </is>
      </c>
      <c r="M1750" t="inlineStr">
        <is>
          <t>STATUS=IN OEM / EU PACKAGE; SOURCE_CFG=IA-ST-CFG-0080; MARKET=MISIR ALSAFA</t>
        </is>
      </c>
      <c r="N1750" t="inlineStr">
        <is>
          <t>2026-08-10T19:29:54Z</t>
        </is>
      </c>
      <c r="O1750" t="inlineStr">
        <is>
          <t>2026-08-10T19:29:54Z</t>
        </is>
      </c>
    </row>
    <row r="1751">
      <c r="A1751" s="19" t="inlineStr">
        <is>
          <t>1750</t>
        </is>
      </c>
      <c r="B1751" s="19" t="inlineStr">
        <is>
          <t>1014989</t>
        </is>
      </c>
      <c r="C1751" t="inlineStr">
        <is>
          <t>AKÜ NS40,DK,42AH,IGYASMF,İNCİ FORMTAURUS</t>
        </is>
      </c>
      <c r="D1751" s="19" t="inlineStr">
        <is>
          <t>1</t>
        </is>
      </c>
      <c r="E1751" t="n">
        <v>0</v>
      </c>
      <c r="I1751" s="19" t="inlineStr">
        <is>
          <t>2</t>
        </is>
      </c>
      <c r="J1751" t="inlineStr">
        <is>
          <t>2026-08-08</t>
        </is>
      </c>
      <c r="L1751" s="19" t="inlineStr">
        <is>
          <t>1014989</t>
        </is>
      </c>
      <c r="M1751" t="inlineStr">
        <is>
          <t>STATUS=IN OEM / EU PACKAGE; SOURCE_CFG=IA-ST-CFG-0284; MARKET=None</t>
        </is>
      </c>
      <c r="N1751" t="inlineStr">
        <is>
          <t>2026-08-10T19:29:54Z</t>
        </is>
      </c>
      <c r="O1751" t="inlineStr">
        <is>
          <t>2026-08-10T19:29:54Z</t>
        </is>
      </c>
    </row>
    <row r="1752">
      <c r="A1752" s="19" t="inlineStr">
        <is>
          <t>1751</t>
        </is>
      </c>
      <c r="B1752" s="19" t="inlineStr">
        <is>
          <t>1014990</t>
        </is>
      </c>
      <c r="C1752" t="inlineStr">
        <is>
          <t>AKÜ,B-IGYASMF,DK,180AH,EAS ACTIVA,SHDNEW</t>
        </is>
      </c>
      <c r="D1752" s="19" t="inlineStr">
        <is>
          <t>1</t>
        </is>
      </c>
      <c r="E1752" t="n">
        <v>0</v>
      </c>
      <c r="I1752" s="19" t="inlineStr">
        <is>
          <t>2</t>
        </is>
      </c>
      <c r="J1752" t="inlineStr">
        <is>
          <t>2026-08-08</t>
        </is>
      </c>
      <c r="L1752" s="19" t="inlineStr">
        <is>
          <t>1014990</t>
        </is>
      </c>
      <c r="M1752" t="inlineStr">
        <is>
          <t>STATUS=IN OEM / EU PACKAGE; SOURCE_CFG=IA-ST-CFG-0052; MARKET=None</t>
        </is>
      </c>
      <c r="N1752" t="inlineStr">
        <is>
          <t>2026-08-10T19:29:54Z</t>
        </is>
      </c>
      <c r="O1752" t="inlineStr">
        <is>
          <t>2026-08-10T19:29:54Z</t>
        </is>
      </c>
    </row>
    <row r="1753">
      <c r="A1753" s="19" t="inlineStr">
        <is>
          <t>1752</t>
        </is>
      </c>
      <c r="B1753" s="19" t="inlineStr">
        <is>
          <t>1014991</t>
        </is>
      </c>
      <c r="C1753" t="inlineStr">
        <is>
          <t>AKÜ,LB2,DK,55AH,IGYASMF,MACHTPOWER,CONEX</t>
        </is>
      </c>
      <c r="D1753" s="19" t="inlineStr">
        <is>
          <t>1</t>
        </is>
      </c>
      <c r="E1753" t="n">
        <v>0</v>
      </c>
      <c r="I1753" s="19" t="inlineStr">
        <is>
          <t>2</t>
        </is>
      </c>
      <c r="J1753" t="inlineStr">
        <is>
          <t>2026-08-08</t>
        </is>
      </c>
      <c r="L1753" s="19" t="inlineStr">
        <is>
          <t>1014991</t>
        </is>
      </c>
      <c r="M1753" t="inlineStr">
        <is>
          <t>STATUS=IN OEM / EU PACKAGE; SOURCE_CFG=IA-ST-CFG-0163; MARKET=CONEX ROMANYA</t>
        </is>
      </c>
      <c r="N1753" t="inlineStr">
        <is>
          <t>2026-08-10T19:29:54Z</t>
        </is>
      </c>
      <c r="O1753" t="inlineStr">
        <is>
          <t>2026-08-10T19:29:54Z</t>
        </is>
      </c>
    </row>
    <row r="1754">
      <c r="A1754" s="19" t="inlineStr">
        <is>
          <t>1753</t>
        </is>
      </c>
      <c r="B1754" s="19" t="inlineStr">
        <is>
          <t>1014992</t>
        </is>
      </c>
      <c r="C1754" t="inlineStr">
        <is>
          <t>AKÜ LB2,DK,60AH,IGYASMF,MACHTPOWER,CONEX</t>
        </is>
      </c>
      <c r="D1754" s="19" t="inlineStr">
        <is>
          <t>1</t>
        </is>
      </c>
      <c r="E1754" t="n">
        <v>0</v>
      </c>
      <c r="I1754" s="19" t="inlineStr">
        <is>
          <t>2</t>
        </is>
      </c>
      <c r="J1754" t="inlineStr">
        <is>
          <t>2026-08-08</t>
        </is>
      </c>
      <c r="L1754" s="19" t="inlineStr">
        <is>
          <t>1014992</t>
        </is>
      </c>
      <c r="M1754" t="inlineStr">
        <is>
          <t>STATUS=IN OEM / EU PACKAGE; SOURCE_CFG=IA-ST-CFG-0163; MARKET=CONEX ROMANYA</t>
        </is>
      </c>
      <c r="N1754" t="inlineStr">
        <is>
          <t>2026-08-10T19:29:54Z</t>
        </is>
      </c>
      <c r="O1754" t="inlineStr">
        <is>
          <t>2026-08-10T19:29:54Z</t>
        </is>
      </c>
    </row>
    <row r="1755">
      <c r="A1755" s="19" t="inlineStr">
        <is>
          <t>1754</t>
        </is>
      </c>
      <c r="B1755" s="19" t="inlineStr">
        <is>
          <t>1014993</t>
        </is>
      </c>
      <c r="C1755" t="inlineStr">
        <is>
          <t>AKÜ,L2,DK,65AH,IGYASMF,MACHT POWER,CONEX</t>
        </is>
      </c>
      <c r="D1755" s="19" t="inlineStr">
        <is>
          <t>1</t>
        </is>
      </c>
      <c r="E1755" t="n">
        <v>0</v>
      </c>
      <c r="I1755" s="19" t="inlineStr">
        <is>
          <t>2</t>
        </is>
      </c>
      <c r="J1755" t="inlineStr">
        <is>
          <t>2026-08-08</t>
        </is>
      </c>
      <c r="L1755" s="19" t="inlineStr">
        <is>
          <t>1014993</t>
        </is>
      </c>
      <c r="M1755" t="inlineStr">
        <is>
          <t>STATUS=IN OEM / EU PACKAGE; SOURCE_CFG=IA-ST-CFG-0163; MARKET=CONEX ROMANYA</t>
        </is>
      </c>
      <c r="N1755" t="inlineStr">
        <is>
          <t>2026-08-10T19:29:54Z</t>
        </is>
      </c>
      <c r="O1755" t="inlineStr">
        <is>
          <t>2026-08-10T19:29:54Z</t>
        </is>
      </c>
    </row>
    <row r="1756">
      <c r="A1756" s="19" t="inlineStr">
        <is>
          <t>1755</t>
        </is>
      </c>
      <c r="B1756" s="19" t="inlineStr">
        <is>
          <t>1014994</t>
        </is>
      </c>
      <c r="C1756" t="inlineStr">
        <is>
          <t>AKÜ,LB3,DK,70AH,IGYASMF,MACHTPOWER,CONEX</t>
        </is>
      </c>
      <c r="D1756" s="19" t="inlineStr">
        <is>
          <t>1</t>
        </is>
      </c>
      <c r="E1756" t="n">
        <v>0</v>
      </c>
      <c r="I1756" s="19" t="inlineStr">
        <is>
          <t>2</t>
        </is>
      </c>
      <c r="J1756" t="inlineStr">
        <is>
          <t>2026-08-08</t>
        </is>
      </c>
      <c r="L1756" s="19" t="inlineStr">
        <is>
          <t>1014994</t>
        </is>
      </c>
      <c r="M1756" t="inlineStr">
        <is>
          <t>STATUS=IN OEM / EU PACKAGE; SOURCE_CFG=IA-ST-CFG-0133; MARKET=CONEX ROMANYA</t>
        </is>
      </c>
      <c r="N1756" t="inlineStr">
        <is>
          <t>2026-08-10T19:29:54Z</t>
        </is>
      </c>
      <c r="O1756" t="inlineStr">
        <is>
          <t>2026-08-10T19:29:54Z</t>
        </is>
      </c>
    </row>
    <row r="1757">
      <c r="A1757" s="19" t="inlineStr">
        <is>
          <t>1756</t>
        </is>
      </c>
      <c r="B1757" s="19" t="inlineStr">
        <is>
          <t>1014995</t>
        </is>
      </c>
      <c r="C1757" t="inlineStr">
        <is>
          <t>AKÜ,L3,DK,75AH,IGYASMF,MACHT POWER,CONEX</t>
        </is>
      </c>
      <c r="D1757" s="19" t="inlineStr">
        <is>
          <t>1</t>
        </is>
      </c>
      <c r="E1757" t="n">
        <v>0</v>
      </c>
      <c r="I1757" s="19" t="inlineStr">
        <is>
          <t>2</t>
        </is>
      </c>
      <c r="J1757" t="inlineStr">
        <is>
          <t>2026-08-08</t>
        </is>
      </c>
      <c r="L1757" s="19" t="inlineStr">
        <is>
          <t>1014995</t>
        </is>
      </c>
      <c r="M1757" t="inlineStr">
        <is>
          <t>STATUS=IN OEM / EU PACKAGE; SOURCE_CFG=IA-ST-CFG-0134; MARKET=CONEX ROMANYA</t>
        </is>
      </c>
      <c r="N1757" t="inlineStr">
        <is>
          <t>2026-08-10T19:29:54Z</t>
        </is>
      </c>
      <c r="O1757" t="inlineStr">
        <is>
          <t>2026-08-10T19:29:54Z</t>
        </is>
      </c>
    </row>
    <row r="1758">
      <c r="A1758" s="19" t="inlineStr">
        <is>
          <t>1757</t>
        </is>
      </c>
      <c r="B1758" s="19" t="inlineStr">
        <is>
          <t>1014996</t>
        </is>
      </c>
      <c r="C1758" t="inlineStr">
        <is>
          <t>AKÜ,LB4,DK,80AH,IGYASMF,MACHTPOWER,CONEX</t>
        </is>
      </c>
      <c r="D1758" s="19" t="inlineStr">
        <is>
          <t>1</t>
        </is>
      </c>
      <c r="E1758" t="n">
        <v>0</v>
      </c>
      <c r="I1758" s="19" t="inlineStr">
        <is>
          <t>2</t>
        </is>
      </c>
      <c r="J1758" t="inlineStr">
        <is>
          <t>2026-08-08</t>
        </is>
      </c>
      <c r="L1758" s="19" t="inlineStr">
        <is>
          <t>1014996</t>
        </is>
      </c>
      <c r="M1758" t="inlineStr">
        <is>
          <t>STATUS=IN OEM / EU PACKAGE; SOURCE_CFG=IA-ST-CFG-0086; MARKET=CONEX ROMANYA</t>
        </is>
      </c>
      <c r="N1758" t="inlineStr">
        <is>
          <t>2026-08-10T19:29:54Z</t>
        </is>
      </c>
      <c r="O1758" t="inlineStr">
        <is>
          <t>2026-08-10T19:29:54Z</t>
        </is>
      </c>
    </row>
    <row r="1759">
      <c r="A1759" s="19" t="inlineStr">
        <is>
          <t>1758</t>
        </is>
      </c>
      <c r="B1759" s="19" t="inlineStr">
        <is>
          <t>1014997</t>
        </is>
      </c>
      <c r="C1759" t="inlineStr">
        <is>
          <t>AKÜ,LB4,DK,85AH,IGYASMF,MACHTPOWER,CONEX</t>
        </is>
      </c>
      <c r="D1759" s="19" t="inlineStr">
        <is>
          <t>1</t>
        </is>
      </c>
      <c r="E1759" t="n">
        <v>0</v>
      </c>
      <c r="I1759" s="19" t="inlineStr">
        <is>
          <t>2</t>
        </is>
      </c>
      <c r="J1759" t="inlineStr">
        <is>
          <t>2026-08-08</t>
        </is>
      </c>
      <c r="L1759" s="19" t="inlineStr">
        <is>
          <t>1014997</t>
        </is>
      </c>
      <c r="M1759" t="inlineStr">
        <is>
          <t>STATUS=IN OEM / EU PACKAGE; SOURCE_CFG=IA-ST-CFG-0086; MARKET=CONEX ROMANYA</t>
        </is>
      </c>
      <c r="N1759" t="inlineStr">
        <is>
          <t>2026-08-10T19:29:54Z</t>
        </is>
      </c>
      <c r="O1759" t="inlineStr">
        <is>
          <t>2026-08-10T19:29:54Z</t>
        </is>
      </c>
    </row>
    <row r="1760">
      <c r="A1760" s="19" t="inlineStr">
        <is>
          <t>1759</t>
        </is>
      </c>
      <c r="B1760" s="19" t="inlineStr">
        <is>
          <t>1014998</t>
        </is>
      </c>
      <c r="C1760" t="inlineStr">
        <is>
          <t>AKÜ,L5,DK,100AH,IGYASMF,MACHTPOWER,CONEX</t>
        </is>
      </c>
      <c r="D1760" s="19" t="inlineStr">
        <is>
          <t>1</t>
        </is>
      </c>
      <c r="E1760" t="n">
        <v>0</v>
      </c>
      <c r="I1760" s="19" t="inlineStr">
        <is>
          <t>2</t>
        </is>
      </c>
      <c r="J1760" t="inlineStr">
        <is>
          <t>2026-08-08</t>
        </is>
      </c>
      <c r="L1760" s="19" t="inlineStr">
        <is>
          <t>1014998</t>
        </is>
      </c>
      <c r="M1760" t="inlineStr">
        <is>
          <t>STATUS=IN OEM / EU PACKAGE; SOURCE_CFG=IA-ST-CFG-0071; MARKET=CONEX ROMANYA</t>
        </is>
      </c>
      <c r="N1760" t="inlineStr">
        <is>
          <t>2026-08-10T19:29:54Z</t>
        </is>
      </c>
      <c r="O1760" t="inlineStr">
        <is>
          <t>2026-08-10T19:29:54Z</t>
        </is>
      </c>
    </row>
    <row r="1761">
      <c r="A1761" s="19" t="inlineStr">
        <is>
          <t>1760</t>
        </is>
      </c>
      <c r="B1761" s="19" t="inlineStr">
        <is>
          <t>1014999</t>
        </is>
      </c>
      <c r="C1761" t="inlineStr">
        <is>
          <t>AKÜ,L2,DK,65AH,IGYASMF,İNCİMAXIMA,REDMAY</t>
        </is>
      </c>
      <c r="D1761" s="19" t="inlineStr">
        <is>
          <t>1</t>
        </is>
      </c>
      <c r="E1761" t="n">
        <v>0</v>
      </c>
      <c r="I1761" s="19" t="inlineStr">
        <is>
          <t>2</t>
        </is>
      </c>
      <c r="J1761" t="inlineStr">
        <is>
          <t>2026-08-08</t>
        </is>
      </c>
      <c r="L1761" s="19" t="inlineStr">
        <is>
          <t>1014999</t>
        </is>
      </c>
      <c r="M1761" t="inlineStr">
        <is>
          <t>STATUS=IN OEM / EU PACKAGE; SOURCE_CFG=IA-ST-CFG-0222; MARKET=REDMAY URUGUAY</t>
        </is>
      </c>
      <c r="N1761" t="inlineStr">
        <is>
          <t>2026-08-10T19:29:54Z</t>
        </is>
      </c>
      <c r="O1761" t="inlineStr">
        <is>
          <t>2026-08-10T19:29:54Z</t>
        </is>
      </c>
    </row>
    <row r="1762">
      <c r="A1762" s="19" t="inlineStr">
        <is>
          <t>1761</t>
        </is>
      </c>
      <c r="B1762" s="19" t="inlineStr">
        <is>
          <t>1015000</t>
        </is>
      </c>
      <c r="C1762" t="inlineStr">
        <is>
          <t>AKÜ,LB1,DK,50AH,IGYA SMF,NO NAME,REDMAY</t>
        </is>
      </c>
      <c r="D1762" s="19" t="inlineStr">
        <is>
          <t>1</t>
        </is>
      </c>
      <c r="E1762" t="n">
        <v>0</v>
      </c>
      <c r="I1762" s="19" t="inlineStr">
        <is>
          <t>2</t>
        </is>
      </c>
      <c r="J1762" t="inlineStr">
        <is>
          <t>2026-08-08</t>
        </is>
      </c>
      <c r="L1762" s="19" t="inlineStr">
        <is>
          <t>1015000</t>
        </is>
      </c>
      <c r="M1762" t="inlineStr">
        <is>
          <t>STATUS=IN OEM / EU PACKAGE; SOURCE_CFG=IA-ST-CFG-0247; MARKET=REDMAY URUGUAY</t>
        </is>
      </c>
      <c r="N1762" t="inlineStr">
        <is>
          <t>2026-08-10T19:29:54Z</t>
        </is>
      </c>
      <c r="O1762" t="inlineStr">
        <is>
          <t>2026-08-10T19:29:54Z</t>
        </is>
      </c>
    </row>
    <row r="1763">
      <c r="A1763" s="19" t="inlineStr">
        <is>
          <t>1762</t>
        </is>
      </c>
      <c r="B1763" s="19" t="inlineStr">
        <is>
          <t>1015001</t>
        </is>
      </c>
      <c r="C1763" t="inlineStr">
        <is>
          <t>AKÜ,LB5,DK,90AH,IGYA SMF,SMF 017,GS</t>
        </is>
      </c>
      <c r="D1763" s="19" t="inlineStr">
        <is>
          <t>1</t>
        </is>
      </c>
      <c r="E1763" t="n">
        <v>0</v>
      </c>
      <c r="I1763" s="19" t="inlineStr">
        <is>
          <t>2</t>
        </is>
      </c>
      <c r="J1763" t="inlineStr">
        <is>
          <t>2026-08-08</t>
        </is>
      </c>
      <c r="L1763" s="19" t="inlineStr">
        <is>
          <t>1015001</t>
        </is>
      </c>
      <c r="M1763" t="inlineStr">
        <is>
          <t>STATUS=IN OEM / EU PACKAGE; SOURCE_CFG=IA-ST-CFG-0068; MARKET=GS</t>
        </is>
      </c>
      <c r="N1763" t="inlineStr">
        <is>
          <t>2026-08-10T19:29:54Z</t>
        </is>
      </c>
      <c r="O1763" t="inlineStr">
        <is>
          <t>2026-08-10T19:29:54Z</t>
        </is>
      </c>
    </row>
    <row r="1764">
      <c r="A1764" s="19" t="inlineStr">
        <is>
          <t>1763</t>
        </is>
      </c>
      <c r="B1764" s="19" t="inlineStr">
        <is>
          <t>1015002</t>
        </is>
      </c>
      <c r="C1764" t="inlineStr">
        <is>
          <t>AKÜ,D23,DK,60AH,IGYA SMF,SMF 005,GS</t>
        </is>
      </c>
      <c r="D1764" s="19" t="inlineStr">
        <is>
          <t>1</t>
        </is>
      </c>
      <c r="E1764" t="n">
        <v>0</v>
      </c>
      <c r="I1764" s="19" t="inlineStr">
        <is>
          <t>2</t>
        </is>
      </c>
      <c r="J1764" t="inlineStr">
        <is>
          <t>2026-08-08</t>
        </is>
      </c>
      <c r="L1764" s="19" t="inlineStr">
        <is>
          <t>1015002</t>
        </is>
      </c>
      <c r="M1764" t="inlineStr">
        <is>
          <t>STATUS=IN OEM / EU PACKAGE; SOURCE_CFG=IA-ST-CFG-0188; MARKET=GS</t>
        </is>
      </c>
      <c r="N1764" t="inlineStr">
        <is>
          <t>2026-08-10T19:29:54Z</t>
        </is>
      </c>
      <c r="O1764" t="inlineStr">
        <is>
          <t>2026-08-10T19:29:54Z</t>
        </is>
      </c>
    </row>
    <row r="1765">
      <c r="A1765" s="19" t="inlineStr">
        <is>
          <t>1764</t>
        </is>
      </c>
      <c r="B1765" s="19" t="inlineStr">
        <is>
          <t>1015003</t>
        </is>
      </c>
      <c r="C1765" t="inlineStr">
        <is>
          <t>AKÜ,D23,TK,60AH,IGYA SMF,SMF 014,GS</t>
        </is>
      </c>
      <c r="D1765" s="19" t="inlineStr">
        <is>
          <t>1</t>
        </is>
      </c>
      <c r="E1765" t="n">
        <v>0</v>
      </c>
      <c r="I1765" s="19" t="inlineStr">
        <is>
          <t>2</t>
        </is>
      </c>
      <c r="J1765" t="inlineStr">
        <is>
          <t>2026-08-08</t>
        </is>
      </c>
      <c r="L1765" s="19" t="inlineStr">
        <is>
          <t>1015003</t>
        </is>
      </c>
      <c r="M1765" t="inlineStr">
        <is>
          <t>STATUS=IN OEM / EU PACKAGE; SOURCE_CFG=IA-ST-CFG-0188; MARKET=GS</t>
        </is>
      </c>
      <c r="N1765" t="inlineStr">
        <is>
          <t>2026-08-10T19:29:54Z</t>
        </is>
      </c>
      <c r="O1765" t="inlineStr">
        <is>
          <t>2026-08-10T19:29:54Z</t>
        </is>
      </c>
    </row>
    <row r="1766">
      <c r="A1766" s="19" t="inlineStr">
        <is>
          <t>1765</t>
        </is>
      </c>
      <c r="B1766" s="19" t="inlineStr">
        <is>
          <t>1015004</t>
        </is>
      </c>
      <c r="C1766" t="inlineStr">
        <is>
          <t>AKÜ,D26,DK,72AH,IGYA SMF,SMF 068,GS</t>
        </is>
      </c>
      <c r="D1766" s="19" t="inlineStr">
        <is>
          <t>1</t>
        </is>
      </c>
      <c r="E1766" t="n">
        <v>0</v>
      </c>
      <c r="I1766" s="19" t="inlineStr">
        <is>
          <t>2</t>
        </is>
      </c>
      <c r="J1766" t="inlineStr">
        <is>
          <t>2026-08-08</t>
        </is>
      </c>
      <c r="L1766" s="19" t="inlineStr">
        <is>
          <t>1015004</t>
        </is>
      </c>
      <c r="M1766" t="inlineStr">
        <is>
          <t>STATUS=IN OEM / EU PACKAGE; SOURCE_CFG=IA-ST-CFG-0160; MARKET=GS</t>
        </is>
      </c>
      <c r="N1766" t="inlineStr">
        <is>
          <t>2026-08-10T19:29:54Z</t>
        </is>
      </c>
      <c r="O1766" t="inlineStr">
        <is>
          <t>2026-08-10T19:29:54Z</t>
        </is>
      </c>
    </row>
    <row r="1767">
      <c r="A1767" s="19" t="inlineStr">
        <is>
          <t>1766</t>
        </is>
      </c>
      <c r="B1767" s="19" t="inlineStr">
        <is>
          <t>1015005</t>
        </is>
      </c>
      <c r="C1767" t="inlineStr">
        <is>
          <t>AKÜ,D26,TK,72AH,IGYA SMF,SMF 069,GS</t>
        </is>
      </c>
      <c r="D1767" s="19" t="inlineStr">
        <is>
          <t>1</t>
        </is>
      </c>
      <c r="E1767" t="n">
        <v>0</v>
      </c>
      <c r="I1767" s="19" t="inlineStr">
        <is>
          <t>2</t>
        </is>
      </c>
      <c r="J1767" t="inlineStr">
        <is>
          <t>2026-08-08</t>
        </is>
      </c>
      <c r="L1767" s="19" t="inlineStr">
        <is>
          <t>1015005</t>
        </is>
      </c>
      <c r="M1767" t="inlineStr">
        <is>
          <t>STATUS=IN OEM / EU PACKAGE; SOURCE_CFG=IA-ST-CFG-0160; MARKET=GS</t>
        </is>
      </c>
      <c r="N1767" t="inlineStr">
        <is>
          <t>2026-08-10T19:29:54Z</t>
        </is>
      </c>
      <c r="O1767" t="inlineStr">
        <is>
          <t>2026-08-10T19:29:54Z</t>
        </is>
      </c>
    </row>
    <row r="1768">
      <c r="A1768" s="19" t="inlineStr">
        <is>
          <t>1767</t>
        </is>
      </c>
      <c r="B1768" s="19" t="inlineStr">
        <is>
          <t>1015006</t>
        </is>
      </c>
      <c r="C1768" t="inlineStr">
        <is>
          <t>AKÜ,D31,DK,95AH,IGYA SMF,SMF 335,GS</t>
        </is>
      </c>
      <c r="D1768" s="19" t="inlineStr">
        <is>
          <t>1</t>
        </is>
      </c>
      <c r="E1768" t="n">
        <v>0</v>
      </c>
      <c r="I1768" s="19" t="inlineStr">
        <is>
          <t>2</t>
        </is>
      </c>
      <c r="J1768" t="inlineStr">
        <is>
          <t>2026-08-08</t>
        </is>
      </c>
      <c r="L1768" s="19" t="inlineStr">
        <is>
          <t>1015006</t>
        </is>
      </c>
      <c r="M1768" t="inlineStr">
        <is>
          <t>STATUS=IN OEM / EU PACKAGE; SOURCE_CFG=IA-ST-CFG-0111; MARKET=GS</t>
        </is>
      </c>
      <c r="N1768" t="inlineStr">
        <is>
          <t>2026-08-10T19:29:54Z</t>
        </is>
      </c>
      <c r="O1768" t="inlineStr">
        <is>
          <t>2026-08-10T19:29:54Z</t>
        </is>
      </c>
    </row>
    <row r="1769">
      <c r="A1769" s="19" t="inlineStr">
        <is>
          <t>1768</t>
        </is>
      </c>
      <c r="B1769" s="19" t="inlineStr">
        <is>
          <t>1015007</t>
        </is>
      </c>
      <c r="C1769" t="inlineStr">
        <is>
          <t>AKÜ,D31,TK,95AH,IGYA SMF,SMF 334,GS</t>
        </is>
      </c>
      <c r="D1769" s="19" t="inlineStr">
        <is>
          <t>1</t>
        </is>
      </c>
      <c r="E1769" t="n">
        <v>0</v>
      </c>
      <c r="I1769" s="19" t="inlineStr">
        <is>
          <t>2</t>
        </is>
      </c>
      <c r="J1769" t="inlineStr">
        <is>
          <t>2026-08-08</t>
        </is>
      </c>
      <c r="L1769" s="19" t="inlineStr">
        <is>
          <t>1015007</t>
        </is>
      </c>
      <c r="M1769" t="inlineStr">
        <is>
          <t>STATUS=IN OEM / EU PACKAGE; SOURCE_CFG=IA-ST-CFG-0111; MARKET=GS</t>
        </is>
      </c>
      <c r="N1769" t="inlineStr">
        <is>
          <t>2026-08-10T19:29:54Z</t>
        </is>
      </c>
      <c r="O1769" t="inlineStr">
        <is>
          <t>2026-08-10T19:29:54Z</t>
        </is>
      </c>
    </row>
    <row r="1770">
      <c r="A1770" s="19" t="inlineStr">
        <is>
          <t>1769</t>
        </is>
      </c>
      <c r="B1770" s="19" t="inlineStr">
        <is>
          <t>1015008</t>
        </is>
      </c>
      <c r="C1770" t="inlineStr">
        <is>
          <t>AKÜ,NS40,DK,35AH,IGYASMF,BLIZZ.SILV,EURO</t>
        </is>
      </c>
      <c r="D1770" s="19" t="inlineStr">
        <is>
          <t>1</t>
        </is>
      </c>
      <c r="E1770" t="n">
        <v>0</v>
      </c>
      <c r="I1770" s="19" t="inlineStr">
        <is>
          <t>2</t>
        </is>
      </c>
      <c r="J1770" t="inlineStr">
        <is>
          <t>2026-08-08</t>
        </is>
      </c>
      <c r="L1770" s="19" t="inlineStr">
        <is>
          <t>1015008</t>
        </is>
      </c>
      <c r="M1770" t="inlineStr">
        <is>
          <t>STATUS=IN OEM / EU PACKAGE; SOURCE_CFG=IA-ST-CFG-0253; MARKET=None</t>
        </is>
      </c>
      <c r="N1770" t="inlineStr">
        <is>
          <t>2026-08-10T19:29:54Z</t>
        </is>
      </c>
      <c r="O1770" t="inlineStr">
        <is>
          <t>2026-08-10T19:29:54Z</t>
        </is>
      </c>
    </row>
    <row r="1771">
      <c r="A1771" s="19" t="inlineStr">
        <is>
          <t>1770</t>
        </is>
      </c>
      <c r="B1771" s="19" t="inlineStr">
        <is>
          <t>1015010</t>
        </is>
      </c>
      <c r="C1771" t="inlineStr">
        <is>
          <t>AKÜ,L2,DK,62AH,IGYA SMF,ZITEX BATTERY</t>
        </is>
      </c>
      <c r="D1771" s="19" t="inlineStr">
        <is>
          <t>1</t>
        </is>
      </c>
      <c r="E1771" t="n">
        <v>0</v>
      </c>
      <c r="I1771" s="19" t="inlineStr">
        <is>
          <t>2</t>
        </is>
      </c>
      <c r="J1771" t="inlineStr">
        <is>
          <t>2026-08-08</t>
        </is>
      </c>
      <c r="L1771" s="19" t="inlineStr">
        <is>
          <t>1015010</t>
        </is>
      </c>
      <c r="M1771" t="inlineStr">
        <is>
          <t>STATUS=IN OEM / EU PACKAGE; SOURCE_CFG=IA-ST-CFG-0222; MARKET=RAYA ENERGY INC. KANADA</t>
        </is>
      </c>
      <c r="N1771" t="inlineStr">
        <is>
          <t>2026-08-10T19:29:54Z</t>
        </is>
      </c>
      <c r="O1771" t="inlineStr">
        <is>
          <t>2026-08-10T19:29:54Z</t>
        </is>
      </c>
    </row>
    <row r="1772">
      <c r="A1772" s="19" t="inlineStr">
        <is>
          <t>1771</t>
        </is>
      </c>
      <c r="B1772" s="19" t="inlineStr">
        <is>
          <t>1015011</t>
        </is>
      </c>
      <c r="C1772" t="inlineStr">
        <is>
          <t>AKÜ,L3,DK,75AH,IGYA SMF,ZITEX BATTERY</t>
        </is>
      </c>
      <c r="D1772" s="19" t="inlineStr">
        <is>
          <t>1</t>
        </is>
      </c>
      <c r="E1772" t="n">
        <v>0</v>
      </c>
      <c r="I1772" s="19" t="inlineStr">
        <is>
          <t>2</t>
        </is>
      </c>
      <c r="J1772" t="inlineStr">
        <is>
          <t>2026-08-08</t>
        </is>
      </c>
      <c r="L1772" s="19" t="inlineStr">
        <is>
          <t>1015011</t>
        </is>
      </c>
      <c r="M1772" t="inlineStr">
        <is>
          <t>STATUS=IN OEM / EU PACKAGE; SOURCE_CFG=IA-ST-CFG-0179; MARKET=RAYA ENERGY INC. KANADA</t>
        </is>
      </c>
      <c r="N1772" t="inlineStr">
        <is>
          <t>2026-08-10T19:29:54Z</t>
        </is>
      </c>
      <c r="O1772" t="inlineStr">
        <is>
          <t>2026-08-10T19:29:54Z</t>
        </is>
      </c>
    </row>
    <row r="1773">
      <c r="A1773" s="19" t="inlineStr">
        <is>
          <t>1772</t>
        </is>
      </c>
      <c r="B1773" s="19" t="inlineStr">
        <is>
          <t>1015012</t>
        </is>
      </c>
      <c r="C1773" t="inlineStr">
        <is>
          <t>AKÜ,L4,DK,90AH,IGYA SMF,ZITEX BATTERY</t>
        </is>
      </c>
      <c r="D1773" s="19" t="inlineStr">
        <is>
          <t>1</t>
        </is>
      </c>
      <c r="E1773" t="n">
        <v>0</v>
      </c>
      <c r="I1773" s="19" t="inlineStr">
        <is>
          <t>2</t>
        </is>
      </c>
      <c r="J1773" t="inlineStr">
        <is>
          <t>2026-08-08</t>
        </is>
      </c>
      <c r="L1773" s="19" t="inlineStr">
        <is>
          <t>1015012</t>
        </is>
      </c>
      <c r="M1773" t="inlineStr">
        <is>
          <t>STATUS=IN OEM / EU PACKAGE; SOURCE_CFG=IA-ST-CFG-0221; MARKET=RAYA ENERGY INC. KANADA</t>
        </is>
      </c>
      <c r="N1773" t="inlineStr">
        <is>
          <t>2026-08-10T19:29:54Z</t>
        </is>
      </c>
      <c r="O1773" t="inlineStr">
        <is>
          <t>2026-08-10T19:29:54Z</t>
        </is>
      </c>
    </row>
    <row r="1774">
      <c r="A1774" s="19" t="inlineStr">
        <is>
          <t>1773</t>
        </is>
      </c>
      <c r="B1774" s="19" t="inlineStr">
        <is>
          <t>1015013</t>
        </is>
      </c>
      <c r="C1774" t="inlineStr">
        <is>
          <t>AKÜ,L5,DK,100AH,IGYA SMF,ZITEX BATTERY</t>
        </is>
      </c>
      <c r="D1774" s="19" t="inlineStr">
        <is>
          <t>1</t>
        </is>
      </c>
      <c r="E1774" t="n">
        <v>0</v>
      </c>
      <c r="I1774" s="19" t="inlineStr">
        <is>
          <t>2</t>
        </is>
      </c>
      <c r="J1774" t="inlineStr">
        <is>
          <t>2026-08-08</t>
        </is>
      </c>
      <c r="L1774" s="19" t="inlineStr">
        <is>
          <t>1015013</t>
        </is>
      </c>
      <c r="M1774" t="inlineStr">
        <is>
          <t>STATUS=IN OEM / EU PACKAGE; SOURCE_CFG=IA-ST-CFG-0096; MARKET=RAYA ENERGY INC. KANADA</t>
        </is>
      </c>
      <c r="N1774" t="inlineStr">
        <is>
          <t>2026-08-10T19:29:54Z</t>
        </is>
      </c>
      <c r="O1774" t="inlineStr">
        <is>
          <t>2026-08-10T19:29:54Z</t>
        </is>
      </c>
    </row>
    <row r="1775">
      <c r="A1775" s="19" t="inlineStr">
        <is>
          <t>1774</t>
        </is>
      </c>
      <c r="B1775" s="19" t="inlineStr">
        <is>
          <t>1015014</t>
        </is>
      </c>
      <c r="C1775" t="inlineStr">
        <is>
          <t>AKÜ,A-FLAT,DK,120AH,ZITEX BATTERY</t>
        </is>
      </c>
      <c r="D1775" s="19" t="inlineStr">
        <is>
          <t>1</t>
        </is>
      </c>
      <c r="E1775" t="n">
        <v>0</v>
      </c>
      <c r="I1775" s="19" t="inlineStr">
        <is>
          <t>2</t>
        </is>
      </c>
      <c r="J1775" t="inlineStr">
        <is>
          <t>2026-08-08</t>
        </is>
      </c>
      <c r="L1775" s="19" t="inlineStr">
        <is>
          <t>1015014</t>
        </is>
      </c>
      <c r="M1775" t="inlineStr">
        <is>
          <t>STATUS=IN OEM / EU PACKAGE; SOURCE_CFG=IA-ST-CFG-0051; MARKET=RAYA ENERGY INC. KANADA</t>
        </is>
      </c>
      <c r="N1775" t="inlineStr">
        <is>
          <t>2026-08-10T19:29:54Z</t>
        </is>
      </c>
      <c r="O1775" t="inlineStr">
        <is>
          <t>2026-08-10T19:29:54Z</t>
        </is>
      </c>
    </row>
    <row r="1776">
      <c r="A1776" s="19" t="inlineStr">
        <is>
          <t>1775</t>
        </is>
      </c>
      <c r="B1776" s="19" t="inlineStr">
        <is>
          <t>1015015</t>
        </is>
      </c>
      <c r="C1776" t="inlineStr">
        <is>
          <t>AKÜ,B-FLAT,DK,190AH,ZITEX BATTERY</t>
        </is>
      </c>
      <c r="D1776" s="19" t="inlineStr">
        <is>
          <t>1</t>
        </is>
      </c>
      <c r="E1776" t="n">
        <v>0</v>
      </c>
      <c r="I1776" s="19" t="inlineStr">
        <is>
          <t>2</t>
        </is>
      </c>
      <c r="J1776" t="inlineStr">
        <is>
          <t>2026-08-08</t>
        </is>
      </c>
      <c r="L1776" s="19" t="inlineStr">
        <is>
          <t>1015015</t>
        </is>
      </c>
      <c r="M1776" t="inlineStr">
        <is>
          <t>STATUS=IN OEM / EU PACKAGE; SOURCE_CFG=IA-ST-CFG-0052; MARKET=RAYA ENERGY INC. KANADA</t>
        </is>
      </c>
      <c r="N1776" t="inlineStr">
        <is>
          <t>2026-08-10T19:29:54Z</t>
        </is>
      </c>
      <c r="O1776" t="inlineStr">
        <is>
          <t>2026-08-10T19:29:54Z</t>
        </is>
      </c>
    </row>
    <row r="1777">
      <c r="A1777" s="19" t="inlineStr">
        <is>
          <t>1776</t>
        </is>
      </c>
      <c r="B1777" s="19" t="inlineStr">
        <is>
          <t>1015016</t>
        </is>
      </c>
      <c r="C1777" t="inlineStr">
        <is>
          <t>AKÜ,A-FLAT,DK120AH,PILOTPERFR,TÜRKMENSTN</t>
        </is>
      </c>
      <c r="D1777" s="19" t="inlineStr">
        <is>
          <t>1</t>
        </is>
      </c>
      <c r="E1777" t="n">
        <v>0</v>
      </c>
      <c r="I1777" s="19" t="inlineStr">
        <is>
          <t>2</t>
        </is>
      </c>
      <c r="J1777" t="inlineStr">
        <is>
          <t>2026-08-08</t>
        </is>
      </c>
      <c r="L1777" s="19" t="inlineStr">
        <is>
          <t>1015016</t>
        </is>
      </c>
      <c r="M1777" t="inlineStr">
        <is>
          <t>STATUS=IN OEM / EU PACKAGE; SOURCE_CFG=IA-ST-CFG-0051; MARKET=TÜRKMENİSTAN</t>
        </is>
      </c>
      <c r="N1777" t="inlineStr">
        <is>
          <t>2026-08-10T19:29:54Z</t>
        </is>
      </c>
      <c r="O1777" t="inlineStr">
        <is>
          <t>2026-08-10T19:29:54Z</t>
        </is>
      </c>
    </row>
    <row r="1778">
      <c r="A1778" s="19" t="inlineStr">
        <is>
          <t>1777</t>
        </is>
      </c>
      <c r="B1778" s="19" t="inlineStr">
        <is>
          <t>1015017</t>
        </is>
      </c>
      <c r="C1778" t="inlineStr">
        <is>
          <t>AKÜ,D31,DK90AH,IGYA,PILOTPERF,TÜRKMENSTN</t>
        </is>
      </c>
      <c r="D1778" s="19" t="inlineStr">
        <is>
          <t>1</t>
        </is>
      </c>
      <c r="E1778" t="n">
        <v>0</v>
      </c>
      <c r="I1778" s="19" t="inlineStr">
        <is>
          <t>2</t>
        </is>
      </c>
      <c r="J1778" t="inlineStr">
        <is>
          <t>2026-08-08</t>
        </is>
      </c>
      <c r="L1778" s="19" t="inlineStr">
        <is>
          <t>1015017</t>
        </is>
      </c>
      <c r="M1778" t="inlineStr">
        <is>
          <t>STATUS=IN OEM / EU PACKAGE; SOURCE_CFG=IA-ST-CFG-0143; MARKET=TÜRKMENİSTAN</t>
        </is>
      </c>
      <c r="N1778" t="inlineStr">
        <is>
          <t>2026-08-10T19:29:54Z</t>
        </is>
      </c>
      <c r="O1778" t="inlineStr">
        <is>
          <t>2026-08-10T19:29:54Z</t>
        </is>
      </c>
    </row>
    <row r="1779">
      <c r="A1779" s="19" t="inlineStr">
        <is>
          <t>1778</t>
        </is>
      </c>
      <c r="B1779" s="19" t="inlineStr">
        <is>
          <t>1015018</t>
        </is>
      </c>
      <c r="C1779" t="inlineStr">
        <is>
          <t>AKÜ,L4,DK,90AH,IGYA,PILOTPERF,TÜRKMENSTN</t>
        </is>
      </c>
      <c r="D1779" s="19" t="inlineStr">
        <is>
          <t>1</t>
        </is>
      </c>
      <c r="E1779" t="n">
        <v>0</v>
      </c>
      <c r="I1779" s="19" t="inlineStr">
        <is>
          <t>2</t>
        </is>
      </c>
      <c r="J1779" t="inlineStr">
        <is>
          <t>2026-08-08</t>
        </is>
      </c>
      <c r="L1779" s="19" t="inlineStr">
        <is>
          <t>1015018</t>
        </is>
      </c>
      <c r="M1779" t="inlineStr">
        <is>
          <t>STATUS=IN OEM / EU PACKAGE; SOURCE_CFG=IA-ST-CFG-0221; MARKET=TÜRKMENİSTAN</t>
        </is>
      </c>
      <c r="N1779" t="inlineStr">
        <is>
          <t>2026-08-10T19:29:54Z</t>
        </is>
      </c>
      <c r="O1779" t="inlineStr">
        <is>
          <t>2026-08-10T19:29:54Z</t>
        </is>
      </c>
    </row>
    <row r="1780">
      <c r="A1780" s="19" t="inlineStr">
        <is>
          <t>1779</t>
        </is>
      </c>
      <c r="B1780" s="19" t="inlineStr">
        <is>
          <t>1015019</t>
        </is>
      </c>
      <c r="C1780" t="inlineStr">
        <is>
          <t>AKÜ,D26,DK75AH,IGYA,PILOTPERF,TÜRKMENSTN</t>
        </is>
      </c>
      <c r="D1780" s="19" t="inlineStr">
        <is>
          <t>1</t>
        </is>
      </c>
      <c r="E1780" t="n">
        <v>0</v>
      </c>
      <c r="I1780" s="19" t="inlineStr">
        <is>
          <t>2</t>
        </is>
      </c>
      <c r="J1780" t="inlineStr">
        <is>
          <t>2026-08-08</t>
        </is>
      </c>
      <c r="L1780" s="19" t="inlineStr">
        <is>
          <t>1015019</t>
        </is>
      </c>
      <c r="M1780" t="inlineStr">
        <is>
          <t>STATUS=IN OEM / EU PACKAGE; SOURCE_CFG=IA-ST-CFG-0175; MARKET=TÜRKMENİSTAN</t>
        </is>
      </c>
      <c r="N1780" t="inlineStr">
        <is>
          <t>2026-08-10T19:29:54Z</t>
        </is>
      </c>
      <c r="O1780" t="inlineStr">
        <is>
          <t>2026-08-10T19:29:54Z</t>
        </is>
      </c>
    </row>
    <row r="1781">
      <c r="A1781" s="19" t="inlineStr">
        <is>
          <t>1780</t>
        </is>
      </c>
      <c r="B1781" s="19" t="inlineStr">
        <is>
          <t>1015020</t>
        </is>
      </c>
      <c r="C1781" t="inlineStr">
        <is>
          <t>AKÜ,L3,DK,75AH,IGYA,PILOTPERF,TÜRKMENSTN</t>
        </is>
      </c>
      <c r="D1781" s="19" t="inlineStr">
        <is>
          <t>1</t>
        </is>
      </c>
      <c r="E1781" t="n">
        <v>0</v>
      </c>
      <c r="I1781" s="19" t="inlineStr">
        <is>
          <t>2</t>
        </is>
      </c>
      <c r="J1781" t="inlineStr">
        <is>
          <t>2026-08-08</t>
        </is>
      </c>
      <c r="L1781" s="19" t="inlineStr">
        <is>
          <t>1015020</t>
        </is>
      </c>
      <c r="M1781" t="inlineStr">
        <is>
          <t>STATUS=IN OEM / EU PACKAGE; SOURCE_CFG=IA-ST-CFG-0179; MARKET=TÜRKMENİSTAN</t>
        </is>
      </c>
      <c r="N1781" t="inlineStr">
        <is>
          <t>2026-08-10T19:29:54Z</t>
        </is>
      </c>
      <c r="O1781" t="inlineStr">
        <is>
          <t>2026-08-10T19:29:54Z</t>
        </is>
      </c>
    </row>
    <row r="1782">
      <c r="A1782" s="19" t="inlineStr">
        <is>
          <t>1781</t>
        </is>
      </c>
      <c r="B1782" s="19" t="inlineStr">
        <is>
          <t>1015021</t>
        </is>
      </c>
      <c r="C1782" t="inlineStr">
        <is>
          <t>AKÜ,D31,DK,90AH,IGYA,SILVER,TÜRKMENİSTAN</t>
        </is>
      </c>
      <c r="D1782" s="19" t="inlineStr">
        <is>
          <t>1</t>
        </is>
      </c>
      <c r="E1782" t="n">
        <v>0</v>
      </c>
      <c r="I1782" s="19" t="inlineStr">
        <is>
          <t>2</t>
        </is>
      </c>
      <c r="J1782" t="inlineStr">
        <is>
          <t>2026-08-08</t>
        </is>
      </c>
      <c r="L1782" s="19" t="inlineStr">
        <is>
          <t>1015021</t>
        </is>
      </c>
      <c r="M1782" t="inlineStr">
        <is>
          <t>STATUS=IN OEM / EU PACKAGE; SOURCE_CFG=IA-ST-CFG-0143; MARKET=TÜRKMENİSTAN</t>
        </is>
      </c>
      <c r="N1782" t="inlineStr">
        <is>
          <t>2026-08-10T19:29:54Z</t>
        </is>
      </c>
      <c r="O1782" t="inlineStr">
        <is>
          <t>2026-08-10T19:29:54Z</t>
        </is>
      </c>
    </row>
    <row r="1783">
      <c r="A1783" s="19" t="inlineStr">
        <is>
          <t>1782</t>
        </is>
      </c>
      <c r="B1783" s="19" t="inlineStr">
        <is>
          <t>1015022</t>
        </is>
      </c>
      <c r="C1783" t="inlineStr">
        <is>
          <t>AKÜ,L4,DK,90AH,IGYA,SILVER,TÜRKMENİSTAN</t>
        </is>
      </c>
      <c r="D1783" s="19" t="inlineStr">
        <is>
          <t>1</t>
        </is>
      </c>
      <c r="E1783" t="n">
        <v>0</v>
      </c>
      <c r="I1783" s="19" t="inlineStr">
        <is>
          <t>2</t>
        </is>
      </c>
      <c r="J1783" t="inlineStr">
        <is>
          <t>2026-08-08</t>
        </is>
      </c>
      <c r="L1783" s="19" t="inlineStr">
        <is>
          <t>1015022</t>
        </is>
      </c>
      <c r="M1783" t="inlineStr">
        <is>
          <t>STATUS=IN OEM / EU PACKAGE; SOURCE_CFG=IA-ST-CFG-0221; MARKET=TÜRKMENİSTAN</t>
        </is>
      </c>
      <c r="N1783" t="inlineStr">
        <is>
          <t>2026-08-10T19:29:54Z</t>
        </is>
      </c>
      <c r="O1783" t="inlineStr">
        <is>
          <t>2026-08-10T19:29:54Z</t>
        </is>
      </c>
    </row>
    <row r="1784">
      <c r="A1784" s="19" t="inlineStr">
        <is>
          <t>1783</t>
        </is>
      </c>
      <c r="B1784" s="19" t="inlineStr">
        <is>
          <t>1015023</t>
        </is>
      </c>
      <c r="C1784" t="inlineStr">
        <is>
          <t>AKÜ,L3,DK,75AH,IGYA,BOOSTER,TÜRKMENİSTAN</t>
        </is>
      </c>
      <c r="D1784" s="19" t="inlineStr">
        <is>
          <t>1</t>
        </is>
      </c>
      <c r="E1784" t="n">
        <v>0</v>
      </c>
      <c r="I1784" s="19" t="inlineStr">
        <is>
          <t>2</t>
        </is>
      </c>
      <c r="J1784" t="inlineStr">
        <is>
          <t>2026-08-08</t>
        </is>
      </c>
      <c r="L1784" s="19" t="inlineStr">
        <is>
          <t>1015023</t>
        </is>
      </c>
      <c r="M1784" t="inlineStr">
        <is>
          <t>STATUS=IN OEM / EU PACKAGE; SOURCE_CFG=IA-ST-CFG-0179; MARKET=TÜRKMENİSTAN</t>
        </is>
      </c>
      <c r="N1784" t="inlineStr">
        <is>
          <t>2026-08-10T19:29:54Z</t>
        </is>
      </c>
      <c r="O1784" t="inlineStr">
        <is>
          <t>2026-08-10T19:29:54Z</t>
        </is>
      </c>
    </row>
    <row r="1785">
      <c r="A1785" s="19" t="inlineStr">
        <is>
          <t>1784</t>
        </is>
      </c>
      <c r="B1785" s="19" t="inlineStr">
        <is>
          <t>1015024</t>
        </is>
      </c>
      <c r="C1785" t="inlineStr">
        <is>
          <t>AKÜ,L1,DK,44AH,IGYA SMF,NO NAME,BP44,SKG</t>
        </is>
      </c>
      <c r="D1785" s="19" t="inlineStr">
        <is>
          <t>1</t>
        </is>
      </c>
      <c r="E1785" t="n">
        <v>0</v>
      </c>
      <c r="I1785" s="19" t="inlineStr">
        <is>
          <t>2</t>
        </is>
      </c>
      <c r="J1785" t="inlineStr">
        <is>
          <t>2026-08-08</t>
        </is>
      </c>
      <c r="L1785" s="19" t="inlineStr">
        <is>
          <t>1015024</t>
        </is>
      </c>
      <c r="M1785" t="inlineStr">
        <is>
          <t>STATUS=IN OEM / EU PACKAGE; SOURCE_CFG=IA-ST-CFG-0269; MARKET=SKG İTALYA</t>
        </is>
      </c>
      <c r="N1785" t="inlineStr">
        <is>
          <t>2026-08-10T19:29:54Z</t>
        </is>
      </c>
      <c r="O1785" t="inlineStr">
        <is>
          <t>2026-08-10T19:29:54Z</t>
        </is>
      </c>
    </row>
    <row r="1786">
      <c r="A1786" s="19" t="inlineStr">
        <is>
          <t>1785</t>
        </is>
      </c>
      <c r="B1786" s="19" t="inlineStr">
        <is>
          <t>1015025</t>
        </is>
      </c>
      <c r="C1786" t="inlineStr">
        <is>
          <t>AKÜ,L1,DK,50AH,IGYA SMF,NO NAME,BP50,SKG</t>
        </is>
      </c>
      <c r="D1786" s="19" t="inlineStr">
        <is>
          <t>1</t>
        </is>
      </c>
      <c r="E1786" t="n">
        <v>0</v>
      </c>
      <c r="I1786" s="19" t="inlineStr">
        <is>
          <t>2</t>
        </is>
      </c>
      <c r="J1786" t="inlineStr">
        <is>
          <t>2026-08-08</t>
        </is>
      </c>
      <c r="L1786" s="19" t="inlineStr">
        <is>
          <t>1015025</t>
        </is>
      </c>
      <c r="M1786" t="inlineStr">
        <is>
          <t>STATUS=IN OEM / EU PACKAGE; SOURCE_CFG=IA-ST-CFG-0269; MARKET=SKG İTALYA</t>
        </is>
      </c>
      <c r="N1786" t="inlineStr">
        <is>
          <t>2026-08-10T19:29:54Z</t>
        </is>
      </c>
      <c r="O1786" t="inlineStr">
        <is>
          <t>2026-08-10T19:29:54Z</t>
        </is>
      </c>
    </row>
    <row r="1787">
      <c r="A1787" s="19" t="inlineStr">
        <is>
          <t>1786</t>
        </is>
      </c>
      <c r="B1787" s="19" t="inlineStr">
        <is>
          <t>1015026</t>
        </is>
      </c>
      <c r="C1787" t="inlineStr">
        <is>
          <t>AKÜ,LB2,DK,60AH,IGYASMF,NO NAME,BP60,SKG</t>
        </is>
      </c>
      <c r="D1787" s="19" t="inlineStr">
        <is>
          <t>1</t>
        </is>
      </c>
      <c r="E1787" t="n">
        <v>0</v>
      </c>
      <c r="I1787" s="19" t="inlineStr">
        <is>
          <t>2</t>
        </is>
      </c>
      <c r="J1787" t="inlineStr">
        <is>
          <t>2026-08-08</t>
        </is>
      </c>
      <c r="L1787" s="19" t="inlineStr">
        <is>
          <t>1015026</t>
        </is>
      </c>
      <c r="M1787" t="inlineStr">
        <is>
          <t>STATUS=IN OEM / EU PACKAGE; SOURCE_CFG=IA-ST-CFG-0239; MARKET=SKG İTALYA</t>
        </is>
      </c>
      <c r="N1787" t="inlineStr">
        <is>
          <t>2026-08-10T19:29:54Z</t>
        </is>
      </c>
      <c r="O1787" t="inlineStr">
        <is>
          <t>2026-08-10T19:29:54Z</t>
        </is>
      </c>
    </row>
    <row r="1788">
      <c r="A1788" s="19" t="inlineStr">
        <is>
          <t>1787</t>
        </is>
      </c>
      <c r="B1788" s="19" t="inlineStr">
        <is>
          <t>1015027</t>
        </is>
      </c>
      <c r="C1788" t="inlineStr">
        <is>
          <t>AKÜ,L2,DK,62AH,IGYA SMF,NO NAME,BP62,SKG</t>
        </is>
      </c>
      <c r="D1788" s="19" t="inlineStr">
        <is>
          <t>1</t>
        </is>
      </c>
      <c r="E1788" t="n">
        <v>0</v>
      </c>
      <c r="I1788" s="19" t="inlineStr">
        <is>
          <t>2</t>
        </is>
      </c>
      <c r="J1788" t="inlineStr">
        <is>
          <t>2026-08-08</t>
        </is>
      </c>
      <c r="L1788" s="19" t="inlineStr">
        <is>
          <t>1015027</t>
        </is>
      </c>
      <c r="M1788" t="inlineStr">
        <is>
          <t>STATUS=IN OEM / EU PACKAGE; SOURCE_CFG=IA-ST-CFG-0239; MARKET=SKG İTALYA</t>
        </is>
      </c>
      <c r="N1788" t="inlineStr">
        <is>
          <t>2026-08-10T19:29:54Z</t>
        </is>
      </c>
      <c r="O1788" t="inlineStr">
        <is>
          <t>2026-08-10T19:29:54Z</t>
        </is>
      </c>
    </row>
    <row r="1789">
      <c r="A1789" s="19" t="inlineStr">
        <is>
          <t>1788</t>
        </is>
      </c>
      <c r="B1789" s="19" t="inlineStr">
        <is>
          <t>1015028</t>
        </is>
      </c>
      <c r="C1789" t="inlineStr">
        <is>
          <t>AKÜ,LB3,DK,70AH,IGYASMF,NO NAME,BP70,SKG</t>
        </is>
      </c>
      <c r="D1789" s="19" t="inlineStr">
        <is>
          <t>1</t>
        </is>
      </c>
      <c r="E1789" t="n">
        <v>0</v>
      </c>
      <c r="I1789" s="19" t="inlineStr">
        <is>
          <t>2</t>
        </is>
      </c>
      <c r="J1789" t="inlineStr">
        <is>
          <t>2026-08-08</t>
        </is>
      </c>
      <c r="L1789" s="19" t="inlineStr">
        <is>
          <t>1015028</t>
        </is>
      </c>
      <c r="M1789" t="inlineStr">
        <is>
          <t>STATUS=IN OEM / EU PACKAGE; SOURCE_CFG=IA-ST-CFG-0198; MARKET=SKG İTALYA</t>
        </is>
      </c>
      <c r="N1789" t="inlineStr">
        <is>
          <t>2026-08-10T19:29:54Z</t>
        </is>
      </c>
      <c r="O1789" t="inlineStr">
        <is>
          <t>2026-08-10T19:29:54Z</t>
        </is>
      </c>
    </row>
    <row r="1790">
      <c r="A1790" s="19" t="inlineStr">
        <is>
          <t>1789</t>
        </is>
      </c>
      <c r="B1790" s="19" t="inlineStr">
        <is>
          <t>1015029</t>
        </is>
      </c>
      <c r="C1790" t="inlineStr">
        <is>
          <t>AKÜ,L3,DK,74AH,IGYA SMF,NO NAME,BP74,SKG</t>
        </is>
      </c>
      <c r="D1790" s="19" t="inlineStr">
        <is>
          <t>1</t>
        </is>
      </c>
      <c r="E1790" t="n">
        <v>0</v>
      </c>
      <c r="I1790" s="19" t="inlineStr">
        <is>
          <t>2</t>
        </is>
      </c>
      <c r="J1790" t="inlineStr">
        <is>
          <t>2026-08-08</t>
        </is>
      </c>
      <c r="L1790" s="19" t="inlineStr">
        <is>
          <t>1015029</t>
        </is>
      </c>
      <c r="M1790" t="inlineStr">
        <is>
          <t>STATUS=IN OEM / EU PACKAGE; SOURCE_CFG=IA-ST-CFG-0198; MARKET=SKG İTALYA</t>
        </is>
      </c>
      <c r="N1790" t="inlineStr">
        <is>
          <t>2026-08-10T19:29:54Z</t>
        </is>
      </c>
      <c r="O1790" t="inlineStr">
        <is>
          <t>2026-08-10T19:29:54Z</t>
        </is>
      </c>
    </row>
    <row r="1791">
      <c r="A1791" s="19" t="inlineStr">
        <is>
          <t>1790</t>
        </is>
      </c>
      <c r="B1791" s="19" t="inlineStr">
        <is>
          <t>1015030</t>
        </is>
      </c>
      <c r="C1791" t="inlineStr">
        <is>
          <t>AKÜ,LB4,DK,85AH,IGYASMF,NO NAME,BP85,SKG</t>
        </is>
      </c>
      <c r="D1791" s="19" t="inlineStr">
        <is>
          <t>1</t>
        </is>
      </c>
      <c r="E1791" t="n">
        <v>0</v>
      </c>
      <c r="I1791" s="19" t="inlineStr">
        <is>
          <t>2</t>
        </is>
      </c>
      <c r="J1791" t="inlineStr">
        <is>
          <t>2026-08-08</t>
        </is>
      </c>
      <c r="L1791" s="19" t="inlineStr">
        <is>
          <t>1015030</t>
        </is>
      </c>
      <c r="M1791" t="inlineStr">
        <is>
          <t>STATUS=IN OEM / EU PACKAGE; SOURCE_CFG=IA-ST-CFG-0151; MARKET=SKG İTALYA</t>
        </is>
      </c>
      <c r="N1791" t="inlineStr">
        <is>
          <t>2026-08-10T19:29:54Z</t>
        </is>
      </c>
      <c r="O1791" t="inlineStr">
        <is>
          <t>2026-08-10T19:29:54Z</t>
        </is>
      </c>
    </row>
    <row r="1792">
      <c r="A1792" s="19" t="inlineStr">
        <is>
          <t>1791</t>
        </is>
      </c>
      <c r="B1792" s="19" t="inlineStr">
        <is>
          <t>1015031</t>
        </is>
      </c>
      <c r="C1792" t="inlineStr">
        <is>
          <t>AKÜ,L4,DK,92AH,IGYA SMF,NO NAME,BP92,SKG</t>
        </is>
      </c>
      <c r="D1792" s="19" t="inlineStr">
        <is>
          <t>1</t>
        </is>
      </c>
      <c r="E1792" t="n">
        <v>0</v>
      </c>
      <c r="I1792" s="19" t="inlineStr">
        <is>
          <t>2</t>
        </is>
      </c>
      <c r="J1792" t="inlineStr">
        <is>
          <t>2026-08-08</t>
        </is>
      </c>
      <c r="L1792" s="19" t="inlineStr">
        <is>
          <t>1015031</t>
        </is>
      </c>
      <c r="M1792" t="inlineStr">
        <is>
          <t>STATUS=IN OEM / EU PACKAGE; SOURCE_CFG=IA-ST-CFG-0151; MARKET=SKG İTALYA</t>
        </is>
      </c>
      <c r="N1792" t="inlineStr">
        <is>
          <t>2026-08-10T19:29:54Z</t>
        </is>
      </c>
      <c r="O1792" t="inlineStr">
        <is>
          <t>2026-08-10T19:29:54Z</t>
        </is>
      </c>
    </row>
    <row r="1793">
      <c r="A1793" s="19" t="inlineStr">
        <is>
          <t>1792</t>
        </is>
      </c>
      <c r="B1793" s="19" t="inlineStr">
        <is>
          <t>1015032</t>
        </is>
      </c>
      <c r="C1793" t="inlineStr">
        <is>
          <t>AKÜ,L5,DK,95AH,IGYA SMF,NO NAME,BP95,SKG</t>
        </is>
      </c>
      <c r="D1793" s="19" t="inlineStr">
        <is>
          <t>1</t>
        </is>
      </c>
      <c r="E1793" t="n">
        <v>0</v>
      </c>
      <c r="I1793" s="19" t="inlineStr">
        <is>
          <t>2</t>
        </is>
      </c>
      <c r="J1793" t="inlineStr">
        <is>
          <t>2026-08-08</t>
        </is>
      </c>
      <c r="L1793" s="19" t="inlineStr">
        <is>
          <t>1015032</t>
        </is>
      </c>
      <c r="M1793" t="inlineStr">
        <is>
          <t>STATUS=IN OEM / EU PACKAGE; SOURCE_CFG=IA-ST-CFG-0114; MARKET=SKG İTALYA</t>
        </is>
      </c>
      <c r="N1793" t="inlineStr">
        <is>
          <t>2026-08-10T19:29:54Z</t>
        </is>
      </c>
      <c r="O1793" t="inlineStr">
        <is>
          <t>2026-08-10T19:29:54Z</t>
        </is>
      </c>
    </row>
    <row r="1794">
      <c r="A1794" s="19" t="inlineStr">
        <is>
          <t>1793</t>
        </is>
      </c>
      <c r="B1794" s="19" t="inlineStr">
        <is>
          <t>1015033</t>
        </is>
      </c>
      <c r="C1794" t="inlineStr">
        <is>
          <t>AKÜ,L6,DK,110AH,KAMINA,NO NAME,BP110,SKG</t>
        </is>
      </c>
      <c r="D1794" s="19" t="inlineStr">
        <is>
          <t>1</t>
        </is>
      </c>
      <c r="E1794" t="n">
        <v>0</v>
      </c>
      <c r="I1794" s="19" t="inlineStr">
        <is>
          <t>2</t>
        </is>
      </c>
      <c r="J1794" t="inlineStr">
        <is>
          <t>2026-08-08</t>
        </is>
      </c>
      <c r="L1794" s="19" t="inlineStr">
        <is>
          <t>1015033</t>
        </is>
      </c>
      <c r="M1794" t="inlineStr">
        <is>
          <t>STATUS=IN OEM / EU PACKAGE; SOURCE_CFG=IA-ST-CFG-0068; MARKET=SKG İTALYA</t>
        </is>
      </c>
      <c r="N1794" t="inlineStr">
        <is>
          <t>2026-08-10T19:29:54Z</t>
        </is>
      </c>
      <c r="O1794" t="inlineStr">
        <is>
          <t>2026-08-10T19:29:54Z</t>
        </is>
      </c>
    </row>
    <row r="1795">
      <c r="A1795" s="19" t="inlineStr">
        <is>
          <t>1794</t>
        </is>
      </c>
      <c r="B1795" s="19" t="inlineStr">
        <is>
          <t>1015034</t>
        </is>
      </c>
      <c r="C1795" t="inlineStr">
        <is>
          <t>AKÜ,D26,DK,72AH,IGYA,124R,ZITEXBATTERY</t>
        </is>
      </c>
      <c r="D1795" s="19" t="inlineStr">
        <is>
          <t>1</t>
        </is>
      </c>
      <c r="E1795" t="n">
        <v>0</v>
      </c>
      <c r="I1795" s="19" t="inlineStr">
        <is>
          <t>2</t>
        </is>
      </c>
      <c r="J1795" t="inlineStr">
        <is>
          <t>2026-08-08</t>
        </is>
      </c>
      <c r="L1795" s="19" t="inlineStr">
        <is>
          <t>1015034</t>
        </is>
      </c>
      <c r="M1795" t="inlineStr">
        <is>
          <t>STATUS=IN OEM / EU PACKAGE; SOURCE_CFG=IA-ST-CFG-0175; MARKET=RAYA ENERGY INC. KANADA</t>
        </is>
      </c>
      <c r="N1795" t="inlineStr">
        <is>
          <t>2026-08-10T19:29:54Z</t>
        </is>
      </c>
      <c r="O1795" t="inlineStr">
        <is>
          <t>2026-08-10T19:29:54Z</t>
        </is>
      </c>
    </row>
    <row r="1796">
      <c r="A1796" s="19" t="inlineStr">
        <is>
          <t>1795</t>
        </is>
      </c>
      <c r="B1796" s="19" t="inlineStr">
        <is>
          <t>1015035</t>
        </is>
      </c>
      <c r="C1796" t="inlineStr">
        <is>
          <t>AKÜ,A-IGYASMF,DK,140AH,TITAN,BESA</t>
        </is>
      </c>
      <c r="D1796" s="19" t="inlineStr">
        <is>
          <t>1</t>
        </is>
      </c>
      <c r="E1796" t="n">
        <v>0</v>
      </c>
      <c r="I1796" s="19" t="inlineStr">
        <is>
          <t>2</t>
        </is>
      </c>
      <c r="J1796" t="inlineStr">
        <is>
          <t>2026-08-08</t>
        </is>
      </c>
      <c r="L1796" s="19" t="inlineStr">
        <is>
          <t>1015035</t>
        </is>
      </c>
      <c r="M1796" t="inlineStr">
        <is>
          <t>STATUS=IN OEM / EU PACKAGE; SOURCE_CFG=IA-ST-CFG-0039; MARKET=ALEX ARABATZIS BSA(YUNANİSTAN)</t>
        </is>
      </c>
      <c r="N1796" t="inlineStr">
        <is>
          <t>2026-08-10T19:29:54Z</t>
        </is>
      </c>
      <c r="O1796" t="inlineStr">
        <is>
          <t>2026-08-10T19:29:54Z</t>
        </is>
      </c>
    </row>
    <row r="1797">
      <c r="A1797" s="19" t="inlineStr">
        <is>
          <t>1796</t>
        </is>
      </c>
      <c r="B1797" s="19" t="inlineStr">
        <is>
          <t>1015036</t>
        </is>
      </c>
      <c r="C1797" t="inlineStr">
        <is>
          <t>AKÜ,B-FLAT,DK,165AH,TITAN,BESA</t>
        </is>
      </c>
      <c r="D1797" s="19" t="inlineStr">
        <is>
          <t>1</t>
        </is>
      </c>
      <c r="E1797" t="n">
        <v>0</v>
      </c>
      <c r="I1797" s="19" t="inlineStr">
        <is>
          <t>2</t>
        </is>
      </c>
      <c r="J1797" t="inlineStr">
        <is>
          <t>2026-08-08</t>
        </is>
      </c>
      <c r="L1797" s="19" t="inlineStr">
        <is>
          <t>1015036</t>
        </is>
      </c>
      <c r="M1797" t="inlineStr">
        <is>
          <t>STATUS=IN OEM / EU PACKAGE; SOURCE_CFG=IA-ST-CFG-0029; MARKET=ALEX ARABATZIS BSA(YUNANİSTAN)</t>
        </is>
      </c>
      <c r="N1797" t="inlineStr">
        <is>
          <t>2026-08-10T19:29:54Z</t>
        </is>
      </c>
      <c r="O1797" t="inlineStr">
        <is>
          <t>2026-08-10T19:29:54Z</t>
        </is>
      </c>
    </row>
    <row r="1798">
      <c r="A1798" s="19" t="inlineStr">
        <is>
          <t>1797</t>
        </is>
      </c>
      <c r="B1798" s="19" t="inlineStr">
        <is>
          <t>1015037</t>
        </is>
      </c>
      <c r="C1798" t="inlineStr">
        <is>
          <t>AKÜ,B-IGYASMF,DK,180AH,TITAN,BESA</t>
        </is>
      </c>
      <c r="D1798" s="19" t="inlineStr">
        <is>
          <t>1</t>
        </is>
      </c>
      <c r="E1798" t="n">
        <v>0</v>
      </c>
      <c r="I1798" s="19" t="inlineStr">
        <is>
          <t>2</t>
        </is>
      </c>
      <c r="J1798" t="inlineStr">
        <is>
          <t>2026-08-08</t>
        </is>
      </c>
      <c r="L1798" s="19" t="inlineStr">
        <is>
          <t>1015037</t>
        </is>
      </c>
      <c r="M1798" t="inlineStr">
        <is>
          <t>STATUS=IN OEM / EU PACKAGE; SOURCE_CFG=IA-ST-CFG-0029; MARKET=ALEX ARABATZIS BSA(YUNANİSTAN)</t>
        </is>
      </c>
      <c r="N1798" t="inlineStr">
        <is>
          <t>2026-08-10T19:29:54Z</t>
        </is>
      </c>
      <c r="O1798" t="inlineStr">
        <is>
          <t>2026-08-10T19:29:54Z</t>
        </is>
      </c>
    </row>
    <row r="1799">
      <c r="A1799" s="19" t="inlineStr">
        <is>
          <t>1798</t>
        </is>
      </c>
      <c r="B1799" s="19" t="inlineStr">
        <is>
          <t>1015038</t>
        </is>
      </c>
      <c r="C1799" t="inlineStr">
        <is>
          <t>AKÜ,B-IGYASMF,DK,190AH,BLIZZAROSILVERLNE</t>
        </is>
      </c>
      <c r="D1799" s="19" t="inlineStr">
        <is>
          <t>1</t>
        </is>
      </c>
      <c r="E1799" t="n">
        <v>0</v>
      </c>
      <c r="I1799" s="19" t="inlineStr">
        <is>
          <t>2</t>
        </is>
      </c>
      <c r="J1799" t="inlineStr">
        <is>
          <t>2026-08-08</t>
        </is>
      </c>
      <c r="L1799" s="19" t="inlineStr">
        <is>
          <t>1015038</t>
        </is>
      </c>
      <c r="M1799" t="inlineStr">
        <is>
          <t>STATUS=IN OEM / EU PACKAGE; SOURCE_CFG=IA-ST-CFG-0052; MARKET=None</t>
        </is>
      </c>
      <c r="N1799" t="inlineStr">
        <is>
          <t>2026-08-10T19:29:54Z</t>
        </is>
      </c>
      <c r="O1799" t="inlineStr">
        <is>
          <t>2026-08-10T19:29:54Z</t>
        </is>
      </c>
    </row>
    <row r="1800">
      <c r="A1800" s="19" t="inlineStr">
        <is>
          <t>1799</t>
        </is>
      </c>
      <c r="B1800" s="19" t="inlineStr">
        <is>
          <t>1015039</t>
        </is>
      </c>
      <c r="C1800" t="inlineStr">
        <is>
          <t>AKÜ,D31,DK,80AH,IGYA SMF,NO NAME,REDMAY</t>
        </is>
      </c>
      <c r="D1800" s="19" t="inlineStr">
        <is>
          <t>1</t>
        </is>
      </c>
      <c r="E1800" t="n">
        <v>0</v>
      </c>
      <c r="I1800" s="19" t="inlineStr">
        <is>
          <t>2</t>
        </is>
      </c>
      <c r="J1800" t="inlineStr">
        <is>
          <t>2026-08-08</t>
        </is>
      </c>
      <c r="L1800" s="19" t="inlineStr">
        <is>
          <t>1015039</t>
        </is>
      </c>
      <c r="M1800" t="inlineStr">
        <is>
          <t>STATUS=IN OEM / EU PACKAGE; SOURCE_CFG=IA-ST-CFG-0141; MARKET=REDMAY URUGUAY</t>
        </is>
      </c>
      <c r="N1800" t="inlineStr">
        <is>
          <t>2026-08-10T19:29:54Z</t>
        </is>
      </c>
      <c r="O1800" t="inlineStr">
        <is>
          <t>2026-08-10T19:29:54Z</t>
        </is>
      </c>
    </row>
    <row r="1801">
      <c r="A1801" s="19" t="inlineStr">
        <is>
          <t>1800</t>
        </is>
      </c>
      <c r="B1801" s="19" t="inlineStr">
        <is>
          <t>1015040</t>
        </is>
      </c>
      <c r="C1801" t="inlineStr">
        <is>
          <t>AKÜ,L5,DK,102AH,IGYA SMF,SDF OEM</t>
        </is>
      </c>
      <c r="D1801" s="19" t="inlineStr">
        <is>
          <t>1</t>
        </is>
      </c>
      <c r="E1801" t="n">
        <v>0</v>
      </c>
      <c r="I1801" s="19" t="inlineStr">
        <is>
          <t>2</t>
        </is>
      </c>
      <c r="J1801" t="inlineStr">
        <is>
          <t>2026-08-08</t>
        </is>
      </c>
      <c r="L1801" s="19" t="inlineStr">
        <is>
          <t>1015040</t>
        </is>
      </c>
      <c r="M1801" t="inlineStr">
        <is>
          <t>STATUS=IN OEM / EU PACKAGE; SOURCE_CFG=IA-ST-CFG-0098; MARKET=SDF (Yurt İçi)</t>
        </is>
      </c>
      <c r="N1801" t="inlineStr">
        <is>
          <t>2026-08-10T19:29:54Z</t>
        </is>
      </c>
      <c r="O1801" t="inlineStr">
        <is>
          <t>2026-08-10T19:29:54Z</t>
        </is>
      </c>
    </row>
    <row r="1802">
      <c r="A1802" s="19" t="inlineStr">
        <is>
          <t>1801</t>
        </is>
      </c>
      <c r="B1802" s="19" t="inlineStr">
        <is>
          <t>1015041</t>
        </is>
      </c>
      <c r="C1802" t="inlineStr">
        <is>
          <t>AKÜ,L4,DK,90AH,IGYA SMF,SDF OEM</t>
        </is>
      </c>
      <c r="D1802" s="19" t="inlineStr">
        <is>
          <t>1</t>
        </is>
      </c>
      <c r="E1802" t="n">
        <v>0</v>
      </c>
      <c r="I1802" s="19" t="inlineStr">
        <is>
          <t>2</t>
        </is>
      </c>
      <c r="J1802" t="inlineStr">
        <is>
          <t>2026-08-08</t>
        </is>
      </c>
      <c r="L1802" s="19" t="inlineStr">
        <is>
          <t>1015041</t>
        </is>
      </c>
      <c r="M1802" t="inlineStr">
        <is>
          <t>STATUS=IN OEM / EU PACKAGE; SOURCE_CFG=IA-ST-CFG-0233; MARKET=SDF (Yurt İçi)</t>
        </is>
      </c>
      <c r="N1802" t="inlineStr">
        <is>
          <t>2026-08-10T19:29:54Z</t>
        </is>
      </c>
      <c r="O1802" t="inlineStr">
        <is>
          <t>2026-08-10T19:29:54Z</t>
        </is>
      </c>
    </row>
    <row r="1803">
      <c r="A1803" s="19" t="inlineStr">
        <is>
          <t>1802</t>
        </is>
      </c>
      <c r="B1803" s="19" t="inlineStr">
        <is>
          <t>1015042</t>
        </is>
      </c>
      <c r="C1803" t="inlineStr">
        <is>
          <t>AKÜ,D31,DK,95AH,IGYA SMF,SDF OEM</t>
        </is>
      </c>
      <c r="D1803" s="19" t="inlineStr">
        <is>
          <t>1</t>
        </is>
      </c>
      <c r="E1803" t="n">
        <v>0</v>
      </c>
      <c r="I1803" s="19" t="inlineStr">
        <is>
          <t>2</t>
        </is>
      </c>
      <c r="J1803" t="inlineStr">
        <is>
          <t>2026-08-08</t>
        </is>
      </c>
      <c r="L1803" s="19" t="inlineStr">
        <is>
          <t>1015042</t>
        </is>
      </c>
      <c r="M1803" t="inlineStr">
        <is>
          <t>STATUS=IN OEM / EU PACKAGE; SOURCE_CFG=IA-ST-CFG-0145; MARKET=SDF (Yurt İçi)</t>
        </is>
      </c>
      <c r="N1803" t="inlineStr">
        <is>
          <t>2026-08-10T19:29:54Z</t>
        </is>
      </c>
      <c r="O1803" t="inlineStr">
        <is>
          <t>2026-08-10T19:29:54Z</t>
        </is>
      </c>
    </row>
    <row r="1804">
      <c r="A1804" s="19" t="inlineStr">
        <is>
          <t>1803</t>
        </is>
      </c>
      <c r="B1804" s="19" t="inlineStr">
        <is>
          <t>1015043</t>
        </is>
      </c>
      <c r="C1804" t="inlineStr">
        <is>
          <t>AKÜ,NS60,TK,IGYA SMF,45AH 400A,ERP-TR</t>
        </is>
      </c>
      <c r="D1804" s="19" t="inlineStr">
        <is>
          <t>1</t>
        </is>
      </c>
      <c r="E1804" t="n">
        <v>0</v>
      </c>
      <c r="I1804" s="19" t="inlineStr">
        <is>
          <t>2</t>
        </is>
      </c>
      <c r="J1804" t="inlineStr">
        <is>
          <t>2026-08-08</t>
        </is>
      </c>
      <c r="L1804" s="19" t="inlineStr">
        <is>
          <t>1015043</t>
        </is>
      </c>
      <c r="M1804" t="inlineStr">
        <is>
          <t>STATUS=DOMESTIC-ONLY / NOT IN OEM PACKAGE; SOURCE_CFG=IA-ST-CFG-0244; MARKET=PSA (Yurt İçi)</t>
        </is>
      </c>
      <c r="N1804" t="inlineStr">
        <is>
          <t>2026-08-10T19:29:54Z</t>
        </is>
      </c>
      <c r="O1804" t="inlineStr">
        <is>
          <t>2026-08-10T19:29:54Z</t>
        </is>
      </c>
    </row>
    <row r="1805">
      <c r="A1805" s="19" t="inlineStr">
        <is>
          <t>1804</t>
        </is>
      </c>
      <c r="B1805" s="19" t="inlineStr">
        <is>
          <t>1015044</t>
        </is>
      </c>
      <c r="C1805" t="inlineStr">
        <is>
          <t>AKÜ,NS60,DK,IGYA SMF,45AH 400A,ERP-TR</t>
        </is>
      </c>
      <c r="D1805" s="19" t="inlineStr">
        <is>
          <t>1</t>
        </is>
      </c>
      <c r="E1805" t="n">
        <v>0</v>
      </c>
      <c r="I1805" s="19" t="inlineStr">
        <is>
          <t>2</t>
        </is>
      </c>
      <c r="J1805" t="inlineStr">
        <is>
          <t>2026-08-08</t>
        </is>
      </c>
      <c r="L1805" s="19" t="inlineStr">
        <is>
          <t>1015044</t>
        </is>
      </c>
      <c r="M1805" t="inlineStr">
        <is>
          <t>STATUS=DOMESTIC-ONLY / NOT IN OEM PACKAGE; SOURCE_CFG=IA-ST-CFG-0244; MARKET=PSA (Yurt İçi)</t>
        </is>
      </c>
      <c r="N1805" t="inlineStr">
        <is>
          <t>2026-08-10T19:29:54Z</t>
        </is>
      </c>
      <c r="O1805" t="inlineStr">
        <is>
          <t>2026-08-10T19:29:54Z</t>
        </is>
      </c>
    </row>
    <row r="1806">
      <c r="A1806" s="19" t="inlineStr">
        <is>
          <t>1805</t>
        </is>
      </c>
      <c r="B1806" s="19" t="inlineStr">
        <is>
          <t>1015045</t>
        </is>
      </c>
      <c r="C1806" t="inlineStr">
        <is>
          <t>AKÜ,L1,DK,IGYA SMF,54AH 500A,ERP-TR</t>
        </is>
      </c>
      <c r="D1806" s="19" t="inlineStr">
        <is>
          <t>1</t>
        </is>
      </c>
      <c r="E1806" t="n">
        <v>0</v>
      </c>
      <c r="I1806" s="19" t="inlineStr">
        <is>
          <t>2</t>
        </is>
      </c>
      <c r="J1806" t="inlineStr">
        <is>
          <t>2026-08-08</t>
        </is>
      </c>
      <c r="L1806" s="19" t="inlineStr">
        <is>
          <t>1015045</t>
        </is>
      </c>
      <c r="M1806" t="inlineStr">
        <is>
          <t>STATUS=DOMESTIC-ONLY / NOT IN OEM PACKAGE; SOURCE_CFG=IA-ST-CFG-0208; MARKET=PSA (Yurt İçi)</t>
        </is>
      </c>
      <c r="N1806" t="inlineStr">
        <is>
          <t>2026-08-10T19:29:54Z</t>
        </is>
      </c>
      <c r="O1806" t="inlineStr">
        <is>
          <t>2026-08-10T19:29:54Z</t>
        </is>
      </c>
    </row>
    <row r="1807">
      <c r="A1807" s="19" t="inlineStr">
        <is>
          <t>1806</t>
        </is>
      </c>
      <c r="B1807" s="19" t="inlineStr">
        <is>
          <t>1015046</t>
        </is>
      </c>
      <c r="C1807" t="inlineStr">
        <is>
          <t>AKÜ,D26,DK,IGYA SMF,70AH 600A,ERP-TR</t>
        </is>
      </c>
      <c r="D1807" s="19" t="inlineStr">
        <is>
          <t>1</t>
        </is>
      </c>
      <c r="E1807" t="n">
        <v>0</v>
      </c>
      <c r="I1807" s="19" t="inlineStr">
        <is>
          <t>2</t>
        </is>
      </c>
      <c r="J1807" t="inlineStr">
        <is>
          <t>2026-08-08</t>
        </is>
      </c>
      <c r="L1807" s="19" t="inlineStr">
        <is>
          <t>1015046</t>
        </is>
      </c>
      <c r="M1807" t="inlineStr">
        <is>
          <t>STATUS=DOMESTIC-ONLY / NOT IN OEM PACKAGE; SOURCE_CFG=IA-ST-CFG-0158; MARKET=PSA (Yurt İçi)</t>
        </is>
      </c>
      <c r="N1807" t="inlineStr">
        <is>
          <t>2026-08-10T19:29:54Z</t>
        </is>
      </c>
      <c r="O1807" t="inlineStr">
        <is>
          <t>2026-08-10T19:29:54Z</t>
        </is>
      </c>
    </row>
    <row r="1808">
      <c r="A1808" s="19" t="inlineStr">
        <is>
          <t>1807</t>
        </is>
      </c>
      <c r="B1808" s="19" t="inlineStr">
        <is>
          <t>1015048</t>
        </is>
      </c>
      <c r="C1808" t="inlineStr">
        <is>
          <t>AKÜ AGM,L6,DK,105AH,İNCİ AGM LEO,TEKSAN</t>
        </is>
      </c>
      <c r="D1808" s="19" t="inlineStr">
        <is>
          <t>1</t>
        </is>
      </c>
      <c r="E1808" t="n">
        <v>0</v>
      </c>
      <c r="I1808" s="19" t="inlineStr">
        <is>
          <t>2</t>
        </is>
      </c>
      <c r="J1808" t="inlineStr">
        <is>
          <t>2026-08-08</t>
        </is>
      </c>
      <c r="L1808" s="19" t="inlineStr">
        <is>
          <t>1015048</t>
        </is>
      </c>
      <c r="M1808" t="inlineStr">
        <is>
          <t>STATUS=DOMESTIC-ONLY / NOT IN OEM PACKAGE; SOURCE_CFG=IA-ST-CFG-0074; MARKET=TEKSAN (Yurt İçi)</t>
        </is>
      </c>
      <c r="N1808" t="inlineStr">
        <is>
          <t>2026-08-10T19:29:54Z</t>
        </is>
      </c>
      <c r="O1808" t="inlineStr">
        <is>
          <t>2026-08-10T19:29:54Z</t>
        </is>
      </c>
    </row>
    <row r="1809">
      <c r="A1809" s="19" t="inlineStr">
        <is>
          <t>1808</t>
        </is>
      </c>
      <c r="B1809" s="19" t="inlineStr">
        <is>
          <t>1015049</t>
        </is>
      </c>
      <c r="C1809" t="inlineStr">
        <is>
          <t>AKÜ AGM,C,DK,220AH,İNCİ AGM LEO,OEM</t>
        </is>
      </c>
      <c r="D1809" s="19" t="inlineStr">
        <is>
          <t>1</t>
        </is>
      </c>
      <c r="E1809" t="n">
        <v>0</v>
      </c>
      <c r="I1809" s="19" t="inlineStr">
        <is>
          <t>2</t>
        </is>
      </c>
      <c r="J1809" t="inlineStr">
        <is>
          <t>2026-08-08</t>
        </is>
      </c>
      <c r="L1809" s="19" t="inlineStr">
        <is>
          <t>1015049</t>
        </is>
      </c>
      <c r="M1809" t="inlineStr">
        <is>
          <t>STATUS=IN OEM / EU PACKAGE; SOURCE_CFG=IA-ST-CFG-0014; MARKET=TEKSAN (Yurt İçi)</t>
        </is>
      </c>
      <c r="N1809" t="inlineStr">
        <is>
          <t>2026-08-10T19:29:54Z</t>
        </is>
      </c>
      <c r="O1809" t="inlineStr">
        <is>
          <t>2026-08-10T19:29:54Z</t>
        </is>
      </c>
    </row>
    <row r="1810">
      <c r="A1810" s="19" t="inlineStr">
        <is>
          <t>1809</t>
        </is>
      </c>
      <c r="B1810" s="19" t="inlineStr">
        <is>
          <t>1015050</t>
        </is>
      </c>
      <c r="C1810" t="inlineStr">
        <is>
          <t>AKÜ,L3,DK,IGYA SMF,72AH 700A,ERP-TR</t>
        </is>
      </c>
      <c r="D1810" s="19" t="inlineStr">
        <is>
          <t>1</t>
        </is>
      </c>
      <c r="E1810" t="n">
        <v>0</v>
      </c>
      <c r="I1810" s="19" t="inlineStr">
        <is>
          <t>2</t>
        </is>
      </c>
      <c r="J1810" t="inlineStr">
        <is>
          <t>2026-08-08</t>
        </is>
      </c>
      <c r="L1810" s="19" t="inlineStr">
        <is>
          <t>1015050</t>
        </is>
      </c>
      <c r="M1810" t="inlineStr">
        <is>
          <t>STATUS=DOMESTIC-ONLY / NOT IN OEM PACKAGE; SOURCE_CFG=IA-ST-CFG-0131; MARKET=PSA (Yurt İçi)</t>
        </is>
      </c>
      <c r="N1810" t="inlineStr">
        <is>
          <t>2026-08-10T19:29:54Z</t>
        </is>
      </c>
      <c r="O1810" t="inlineStr">
        <is>
          <t>2026-08-10T19:29:54Z</t>
        </is>
      </c>
    </row>
    <row r="1811">
      <c r="A1811" s="19" t="inlineStr">
        <is>
          <t>1810</t>
        </is>
      </c>
      <c r="B1811" s="19" t="inlineStr">
        <is>
          <t>1015051</t>
        </is>
      </c>
      <c r="C1811" t="inlineStr">
        <is>
          <t>AKÜ,LB4,DK,IGYA SMF,EFB 75AH 730A,ERP-TR</t>
        </is>
      </c>
      <c r="D1811" s="19" t="inlineStr">
        <is>
          <t>1</t>
        </is>
      </c>
      <c r="E1811" t="n">
        <v>0</v>
      </c>
      <c r="I1811" s="19" t="inlineStr">
        <is>
          <t>2</t>
        </is>
      </c>
      <c r="J1811" t="inlineStr">
        <is>
          <t>2026-08-08</t>
        </is>
      </c>
      <c r="L1811" s="19" t="inlineStr">
        <is>
          <t>1015051</t>
        </is>
      </c>
      <c r="M1811" t="inlineStr">
        <is>
          <t>STATUS=DOMESTIC-ONLY / NOT IN OEM PACKAGE; SOURCE_CFG=IA-ST-CFG-0084; MARKET=PSA (Yurt İçi)</t>
        </is>
      </c>
      <c r="N1811" t="inlineStr">
        <is>
          <t>2026-08-10T19:29:54Z</t>
        </is>
      </c>
      <c r="O1811" t="inlineStr">
        <is>
          <t>2026-08-10T19:29:54Z</t>
        </is>
      </c>
    </row>
    <row r="1812">
      <c r="A1812" s="19" t="inlineStr">
        <is>
          <t>1811</t>
        </is>
      </c>
      <c r="B1812" s="19" t="inlineStr">
        <is>
          <t>1015052</t>
        </is>
      </c>
      <c r="C1812" t="inlineStr">
        <is>
          <t>AKÜ,L4,DK,VRLA,AGM 80AH 800A,ERP-TR</t>
        </is>
      </c>
      <c r="D1812" s="19" t="inlineStr">
        <is>
          <t>1</t>
        </is>
      </c>
      <c r="E1812" t="n">
        <v>0</v>
      </c>
      <c r="I1812" s="19" t="inlineStr">
        <is>
          <t>2</t>
        </is>
      </c>
      <c r="J1812" t="inlineStr">
        <is>
          <t>2026-08-08</t>
        </is>
      </c>
      <c r="L1812" s="19" t="inlineStr">
        <is>
          <t>1015052</t>
        </is>
      </c>
      <c r="M1812" t="inlineStr">
        <is>
          <t>STATUS=DOMESTIC-ONLY / NOT IN OEM PACKAGE; SOURCE_CFG=IA-ST-CFG-0084; MARKET=PSA (Yurt İçi)</t>
        </is>
      </c>
      <c r="N1812" t="inlineStr">
        <is>
          <t>2026-08-10T19:29:54Z</t>
        </is>
      </c>
      <c r="O1812" t="inlineStr">
        <is>
          <t>2026-08-10T19:29:54Z</t>
        </is>
      </c>
    </row>
    <row r="1813">
      <c r="A1813" s="19" t="inlineStr">
        <is>
          <t>1812</t>
        </is>
      </c>
      <c r="B1813" s="19" t="inlineStr">
        <is>
          <t>1015053</t>
        </is>
      </c>
      <c r="C1813" t="inlineStr">
        <is>
          <t>AKÜ,D31,DK,IGYA SMF,90AH 740A,ERP-TR</t>
        </is>
      </c>
      <c r="D1813" s="19" t="inlineStr">
        <is>
          <t>1</t>
        </is>
      </c>
      <c r="E1813" t="n">
        <v>0</v>
      </c>
      <c r="I1813" s="19" t="inlineStr">
        <is>
          <t>2</t>
        </is>
      </c>
      <c r="J1813" t="inlineStr">
        <is>
          <t>2026-08-08</t>
        </is>
      </c>
      <c r="L1813" s="19" t="inlineStr">
        <is>
          <t>1015053</t>
        </is>
      </c>
      <c r="M1813" t="inlineStr">
        <is>
          <t>STATUS=DOMESTIC-ONLY / NOT IN OEM PACKAGE; SOURCE_CFG=IA-ST-CFG-0108; MARKET=PSA (Yurt İçi)</t>
        </is>
      </c>
      <c r="N1813" t="inlineStr">
        <is>
          <t>2026-08-10T19:29:54Z</t>
        </is>
      </c>
      <c r="O1813" t="inlineStr">
        <is>
          <t>2026-08-10T19:29:54Z</t>
        </is>
      </c>
    </row>
    <row r="1814">
      <c r="A1814" s="19" t="inlineStr">
        <is>
          <t>1813</t>
        </is>
      </c>
      <c r="B1814" s="19" t="inlineStr">
        <is>
          <t>1015054</t>
        </is>
      </c>
      <c r="C1814" t="inlineStr">
        <is>
          <t>AKÜ,L5,DK,VRLA,AGM 95AH 870A,ERP-TR</t>
        </is>
      </c>
      <c r="D1814" s="19" t="inlineStr">
        <is>
          <t>1</t>
        </is>
      </c>
      <c r="E1814" t="n">
        <v>0</v>
      </c>
      <c r="I1814" s="19" t="inlineStr">
        <is>
          <t>2</t>
        </is>
      </c>
      <c r="J1814" t="inlineStr">
        <is>
          <t>2026-08-08</t>
        </is>
      </c>
      <c r="L1814" s="19" t="inlineStr">
        <is>
          <t>1015054</t>
        </is>
      </c>
      <c r="M1814" t="inlineStr">
        <is>
          <t>STATUS=IN OEM / EU PACKAGE; SOURCE_CFG=IA-ST-CFG-0066; MARKET=PSA (Yurt İçi)</t>
        </is>
      </c>
      <c r="N1814" t="inlineStr">
        <is>
          <t>2026-08-10T19:29:54Z</t>
        </is>
      </c>
      <c r="O1814" t="inlineStr">
        <is>
          <t>2026-08-10T19:29:54Z</t>
        </is>
      </c>
    </row>
    <row r="1815">
      <c r="A1815" s="19" t="inlineStr">
        <is>
          <t>1814</t>
        </is>
      </c>
      <c r="B1815" s="19" t="inlineStr">
        <is>
          <t>1015055</t>
        </is>
      </c>
      <c r="C1815" t="inlineStr">
        <is>
          <t>AKÜ,L5,DK,IGYA SMF,100AH 820A,ERP-TR</t>
        </is>
      </c>
      <c r="D1815" s="19" t="inlineStr">
        <is>
          <t>1</t>
        </is>
      </c>
      <c r="E1815" t="n">
        <v>0</v>
      </c>
      <c r="I1815" s="19" t="inlineStr">
        <is>
          <t>2</t>
        </is>
      </c>
      <c r="J1815" t="inlineStr">
        <is>
          <t>2026-08-08</t>
        </is>
      </c>
      <c r="L1815" s="19" t="inlineStr">
        <is>
          <t>1015055</t>
        </is>
      </c>
      <c r="M1815" t="inlineStr">
        <is>
          <t>STATUS=IN OEM / EU PACKAGE; SOURCE_CFG=IA-ST-CFG-0066; MARKET=PSA (Yurt İçi)</t>
        </is>
      </c>
      <c r="N1815" t="inlineStr">
        <is>
          <t>2026-08-10T19:29:54Z</t>
        </is>
      </c>
      <c r="O1815" t="inlineStr">
        <is>
          <t>2026-08-10T19:29:54Z</t>
        </is>
      </c>
    </row>
    <row r="1816">
      <c r="A1816" s="19" t="inlineStr">
        <is>
          <t>1815</t>
        </is>
      </c>
      <c r="B1816" s="19" t="inlineStr">
        <is>
          <t>1015056</t>
        </is>
      </c>
      <c r="C1816" t="inlineStr">
        <is>
          <t>AKÜ,L5,DK,IGYA SMF,EFB 100AH 850A,ERP-TR</t>
        </is>
      </c>
      <c r="D1816" s="19" t="inlineStr">
        <is>
          <t>1</t>
        </is>
      </c>
      <c r="E1816" t="n">
        <v>0</v>
      </c>
      <c r="I1816" s="19" t="inlineStr">
        <is>
          <t>2</t>
        </is>
      </c>
      <c r="J1816" t="inlineStr">
        <is>
          <t>2026-08-08</t>
        </is>
      </c>
      <c r="L1816" s="19" t="inlineStr">
        <is>
          <t>1015056</t>
        </is>
      </c>
      <c r="M1816" t="inlineStr">
        <is>
          <t>STATUS=IN OEM / EU PACKAGE; SOURCE_CFG=IA-ST-CFG-0066; MARKET=PSA (Yurt İçi)</t>
        </is>
      </c>
      <c r="N1816" t="inlineStr">
        <is>
          <t>2026-08-10T19:29:54Z</t>
        </is>
      </c>
      <c r="O1816" t="inlineStr">
        <is>
          <t>2026-08-10T19:29:54Z</t>
        </is>
      </c>
    </row>
    <row r="1817">
      <c r="A1817" s="19" t="inlineStr">
        <is>
          <t>1816</t>
        </is>
      </c>
      <c r="B1817" s="19" t="inlineStr">
        <is>
          <t>1015057</t>
        </is>
      </c>
      <c r="C1817" t="inlineStr">
        <is>
          <t>AKÜ,TRACTORL,DK,105AH 760A,ERP-TR</t>
        </is>
      </c>
      <c r="D1817" s="19" t="inlineStr">
        <is>
          <t>1</t>
        </is>
      </c>
      <c r="E1817" t="n">
        <v>0</v>
      </c>
      <c r="I1817" s="19" t="inlineStr">
        <is>
          <t>2</t>
        </is>
      </c>
      <c r="J1817" t="inlineStr">
        <is>
          <t>2026-08-08</t>
        </is>
      </c>
      <c r="L1817" s="19" t="inlineStr">
        <is>
          <t>1015057</t>
        </is>
      </c>
      <c r="M1817" t="inlineStr">
        <is>
          <t>STATUS=DOMESTIC-ONLY / NOT IN OEM PACKAGE; SOURCE_CFG=IA-ST-CFG-0067; MARKET=PSA (Yurt İçi)</t>
        </is>
      </c>
      <c r="N1817" t="inlineStr">
        <is>
          <t>2026-08-10T19:29:54Z</t>
        </is>
      </c>
      <c r="O1817" t="inlineStr">
        <is>
          <t>2026-08-10T19:29:54Z</t>
        </is>
      </c>
    </row>
    <row r="1818">
      <c r="A1818" s="19" t="inlineStr">
        <is>
          <t>1817</t>
        </is>
      </c>
      <c r="B1818" s="19" t="inlineStr">
        <is>
          <t>1015058</t>
        </is>
      </c>
      <c r="C1818" t="inlineStr">
        <is>
          <t>AKÜ,L6,DK,VRLA,AGM 105AH 940A,ERP-TR</t>
        </is>
      </c>
      <c r="D1818" s="19" t="inlineStr">
        <is>
          <t>1</t>
        </is>
      </c>
      <c r="E1818" t="n">
        <v>0</v>
      </c>
      <c r="I1818" s="19" t="inlineStr">
        <is>
          <t>2</t>
        </is>
      </c>
      <c r="J1818" t="inlineStr">
        <is>
          <t>2026-08-08</t>
        </is>
      </c>
      <c r="L1818" s="19" t="inlineStr">
        <is>
          <t>1015058</t>
        </is>
      </c>
      <c r="M1818" t="inlineStr">
        <is>
          <t>STATUS=IN OEM / EU PACKAGE; SOURCE_CFG=IA-ST-CFG-0066; MARKET=PSA (Yurt İçi)</t>
        </is>
      </c>
      <c r="N1818" t="inlineStr">
        <is>
          <t>2026-08-10T19:29:54Z</t>
        </is>
      </c>
      <c r="O1818" t="inlineStr">
        <is>
          <t>2026-08-10T19:29:54Z</t>
        </is>
      </c>
    </row>
    <row r="1819">
      <c r="A1819" s="19" t="inlineStr">
        <is>
          <t>1818</t>
        </is>
      </c>
      <c r="B1819" s="19" t="inlineStr">
        <is>
          <t>1015059</t>
        </is>
      </c>
      <c r="C1819" t="inlineStr">
        <is>
          <t>AKÜ,L6,DK,KAMINA,110AH 920A,ERP-TR</t>
        </is>
      </c>
      <c r="D1819" s="19" t="inlineStr">
        <is>
          <t>1</t>
        </is>
      </c>
      <c r="E1819" t="n">
        <v>0</v>
      </c>
      <c r="I1819" s="19" t="inlineStr">
        <is>
          <t>2</t>
        </is>
      </c>
      <c r="J1819" t="inlineStr">
        <is>
          <t>2026-08-08</t>
        </is>
      </c>
      <c r="L1819" s="19" t="inlineStr">
        <is>
          <t>1015059</t>
        </is>
      </c>
      <c r="M1819" t="inlineStr">
        <is>
          <t>STATUS=DOMESTIC-ONLY / NOT IN OEM PACKAGE; SOURCE_CFG=IA-ST-CFG-0069; MARKET=PSA (Yurt İçi)</t>
        </is>
      </c>
      <c r="N1819" t="inlineStr">
        <is>
          <t>2026-08-10T19:29:54Z</t>
        </is>
      </c>
      <c r="O1819" t="inlineStr">
        <is>
          <t>2026-08-10T19:29:54Z</t>
        </is>
      </c>
    </row>
    <row r="1820">
      <c r="A1820" s="19" t="inlineStr">
        <is>
          <t>1819</t>
        </is>
      </c>
      <c r="B1820" s="19" t="inlineStr">
        <is>
          <t>1015060</t>
        </is>
      </c>
      <c r="C1820" t="inlineStr">
        <is>
          <t>AKÜ,A-IGYASMF,DK,135AH 950A,ERP-TR</t>
        </is>
      </c>
      <c r="D1820" s="19" t="inlineStr">
        <is>
          <t>1</t>
        </is>
      </c>
      <c r="E1820" t="n">
        <v>0</v>
      </c>
      <c r="I1820" s="19" t="inlineStr">
        <is>
          <t>2</t>
        </is>
      </c>
      <c r="J1820" t="inlineStr">
        <is>
          <t>2026-08-08</t>
        </is>
      </c>
      <c r="L1820" s="19" t="inlineStr">
        <is>
          <t>1015060</t>
        </is>
      </c>
      <c r="M1820" t="inlineStr">
        <is>
          <t>STATUS=DOMESTIC-ONLY / NOT IN OEM PACKAGE; SOURCE_CFG=IA-ST-CFG-0036; MARKET=PSA (Yurt İçi)</t>
        </is>
      </c>
      <c r="N1820" t="inlineStr">
        <is>
          <t>2026-08-10T19:29:54Z</t>
        </is>
      </c>
      <c r="O1820" t="inlineStr">
        <is>
          <t>2026-08-10T19:29:54Z</t>
        </is>
      </c>
    </row>
    <row r="1821">
      <c r="A1821" s="19" t="inlineStr">
        <is>
          <t>1820</t>
        </is>
      </c>
      <c r="B1821" s="19" t="inlineStr">
        <is>
          <t>1015061</t>
        </is>
      </c>
      <c r="C1821" t="inlineStr">
        <is>
          <t>AKÜ,B-IGYASMF,DK,180AH 1200A,ERP-TR</t>
        </is>
      </c>
      <c r="D1821" s="19" t="inlineStr">
        <is>
          <t>1</t>
        </is>
      </c>
      <c r="E1821" t="n">
        <v>0</v>
      </c>
      <c r="I1821" s="19" t="inlineStr">
        <is>
          <t>2</t>
        </is>
      </c>
      <c r="J1821" t="inlineStr">
        <is>
          <t>2026-08-08</t>
        </is>
      </c>
      <c r="L1821" s="19" t="inlineStr">
        <is>
          <t>1015061</t>
        </is>
      </c>
      <c r="M1821" t="inlineStr">
        <is>
          <t>STATUS=DOMESTIC-ONLY / NOT IN OEM PACKAGE; SOURCE_CFG=IA-ST-CFG-0026; MARKET=PSA (Yurt İçi)</t>
        </is>
      </c>
      <c r="N1821" t="inlineStr">
        <is>
          <t>2026-08-10T19:29:54Z</t>
        </is>
      </c>
      <c r="O1821" t="inlineStr">
        <is>
          <t>2026-08-10T19:29:54Z</t>
        </is>
      </c>
    </row>
    <row r="1822">
      <c r="A1822" s="19" t="inlineStr">
        <is>
          <t>1821</t>
        </is>
      </c>
      <c r="B1822" s="19" t="inlineStr">
        <is>
          <t>1015062</t>
        </is>
      </c>
      <c r="C1822" t="inlineStr">
        <is>
          <t>AKÜ,C-IGYASMF,DK,225AH 1250A,ERP-TR</t>
        </is>
      </c>
      <c r="D1822" s="19" t="inlineStr">
        <is>
          <t>1</t>
        </is>
      </c>
      <c r="E1822" t="n">
        <v>0</v>
      </c>
      <c r="I1822" s="19" t="inlineStr">
        <is>
          <t>2</t>
        </is>
      </c>
      <c r="J1822" t="inlineStr">
        <is>
          <t>2026-08-08</t>
        </is>
      </c>
      <c r="L1822" s="19" t="inlineStr">
        <is>
          <t>1015062</t>
        </is>
      </c>
      <c r="M1822" t="inlineStr">
        <is>
          <t>STATUS=DOMESTIC-ONLY / NOT IN OEM PACKAGE; SOURCE_CFG=IA-ST-CFG-0010; MARKET=PSA (Yurt İçi)</t>
        </is>
      </c>
      <c r="N1822" t="inlineStr">
        <is>
          <t>2026-08-10T19:29:54Z</t>
        </is>
      </c>
      <c r="O1822" t="inlineStr">
        <is>
          <t>2026-08-10T19:29:54Z</t>
        </is>
      </c>
    </row>
    <row r="1823">
      <c r="A1823" s="19" t="inlineStr">
        <is>
          <t>1822</t>
        </is>
      </c>
      <c r="B1823" s="19" t="inlineStr">
        <is>
          <t>1015063</t>
        </is>
      </c>
      <c r="C1823" t="inlineStr">
        <is>
          <t>AKÜ,L1,DK,IGYA SMF,45AH 400A,ERP-TR</t>
        </is>
      </c>
      <c r="D1823" s="19" t="inlineStr">
        <is>
          <t>1</t>
        </is>
      </c>
      <c r="E1823" t="n">
        <v>0</v>
      </c>
      <c r="I1823" s="19" t="inlineStr">
        <is>
          <t>2</t>
        </is>
      </c>
      <c r="J1823" t="inlineStr">
        <is>
          <t>2026-08-08</t>
        </is>
      </c>
      <c r="L1823" s="19" t="inlineStr">
        <is>
          <t>1015063</t>
        </is>
      </c>
      <c r="M1823" t="inlineStr">
        <is>
          <t>STATUS=DOMESTIC-ONLY / NOT IN OEM PACKAGE; SOURCE_CFG=IA-ST-CFG-0208; MARKET=PSA (Yurt İçi)</t>
        </is>
      </c>
      <c r="N1823" t="inlineStr">
        <is>
          <t>2026-08-10T19:29:54Z</t>
        </is>
      </c>
      <c r="O1823" t="inlineStr">
        <is>
          <t>2026-08-10T19:29:54Z</t>
        </is>
      </c>
    </row>
    <row r="1824">
      <c r="A1824" s="19" t="inlineStr">
        <is>
          <t>1823</t>
        </is>
      </c>
      <c r="B1824" s="19" t="inlineStr">
        <is>
          <t>1015064</t>
        </is>
      </c>
      <c r="C1824" t="inlineStr">
        <is>
          <t>AKÜ,L1,DK,IGYA SMF,52AH 470A,ERP-TR</t>
        </is>
      </c>
      <c r="D1824" s="19" t="inlineStr">
        <is>
          <t>1</t>
        </is>
      </c>
      <c r="E1824" t="n">
        <v>0</v>
      </c>
      <c r="I1824" s="19" t="inlineStr">
        <is>
          <t>2</t>
        </is>
      </c>
      <c r="J1824" t="inlineStr">
        <is>
          <t>2026-08-08</t>
        </is>
      </c>
      <c r="L1824" s="19" t="inlineStr">
        <is>
          <t>1015064</t>
        </is>
      </c>
      <c r="M1824" t="inlineStr">
        <is>
          <t>STATUS=DOMESTIC-ONLY / NOT IN OEM PACKAGE; SOURCE_CFG=IA-ST-CFG-0208; MARKET=PSA (Yurt İçi)</t>
        </is>
      </c>
      <c r="N1824" t="inlineStr">
        <is>
          <t>2026-08-10T19:29:54Z</t>
        </is>
      </c>
      <c r="O1824" t="inlineStr">
        <is>
          <t>2026-08-10T19:29:54Z</t>
        </is>
      </c>
    </row>
    <row r="1825">
      <c r="A1825" s="19" t="inlineStr">
        <is>
          <t>1824</t>
        </is>
      </c>
      <c r="B1825" s="19" t="inlineStr">
        <is>
          <t>1015065</t>
        </is>
      </c>
      <c r="C1825" t="inlineStr">
        <is>
          <t>AKÜ,L1,DK,IGYA SMF,54AH 530A,ERP-TR</t>
        </is>
      </c>
      <c r="D1825" s="19" t="inlineStr">
        <is>
          <t>1</t>
        </is>
      </c>
      <c r="E1825" t="n">
        <v>0</v>
      </c>
      <c r="I1825" s="19" t="inlineStr">
        <is>
          <t>2</t>
        </is>
      </c>
      <c r="J1825" t="inlineStr">
        <is>
          <t>2026-08-08</t>
        </is>
      </c>
      <c r="L1825" s="19" t="inlineStr">
        <is>
          <t>1015065</t>
        </is>
      </c>
      <c r="M1825" t="inlineStr">
        <is>
          <t>STATUS=DOMESTIC-ONLY / NOT IN OEM PACKAGE; SOURCE_CFG=IA-ST-CFG-0208; MARKET=PSA (Yurt İçi)</t>
        </is>
      </c>
      <c r="N1825" t="inlineStr">
        <is>
          <t>2026-08-10T19:29:54Z</t>
        </is>
      </c>
      <c r="O1825" t="inlineStr">
        <is>
          <t>2026-08-10T19:29:54Z</t>
        </is>
      </c>
    </row>
    <row r="1826">
      <c r="A1826" s="19" t="inlineStr">
        <is>
          <t>1825</t>
        </is>
      </c>
      <c r="B1826" s="19" t="inlineStr">
        <is>
          <t>1015066</t>
        </is>
      </c>
      <c r="C1826" t="inlineStr">
        <is>
          <t>AKÜ,D23,DK,IGYA SMF,60AH 500A,ERP-TR</t>
        </is>
      </c>
      <c r="D1826" s="19" t="inlineStr">
        <is>
          <t>1</t>
        </is>
      </c>
      <c r="E1826" t="n">
        <v>0</v>
      </c>
      <c r="I1826" s="19" t="inlineStr">
        <is>
          <t>2</t>
        </is>
      </c>
      <c r="J1826" t="inlineStr">
        <is>
          <t>2026-08-08</t>
        </is>
      </c>
      <c r="L1826" s="19" t="inlineStr">
        <is>
          <t>1015066</t>
        </is>
      </c>
      <c r="M1826" t="inlineStr">
        <is>
          <t>STATUS=DOMESTIC-ONLY / NOT IN OEM PACKAGE; SOURCE_CFG=IA-ST-CFG-0187; MARKET=PSA (Yurt İçi)</t>
        </is>
      </c>
      <c r="N1826" t="inlineStr">
        <is>
          <t>2026-08-10T19:29:54Z</t>
        </is>
      </c>
      <c r="O1826" t="inlineStr">
        <is>
          <t>2026-08-10T19:29:54Z</t>
        </is>
      </c>
    </row>
    <row r="1827">
      <c r="A1827" s="19" t="inlineStr">
        <is>
          <t>1826</t>
        </is>
      </c>
      <c r="B1827" s="19" t="inlineStr">
        <is>
          <t>1015067</t>
        </is>
      </c>
      <c r="C1827" t="inlineStr">
        <is>
          <t>AKÜ,L3,DK,IGYA SMF,EFB 70AH 680A,ERP-TR</t>
        </is>
      </c>
      <c r="D1827" s="19" t="inlineStr">
        <is>
          <t>1</t>
        </is>
      </c>
      <c r="E1827" t="n">
        <v>0</v>
      </c>
      <c r="I1827" s="19" t="inlineStr">
        <is>
          <t>2</t>
        </is>
      </c>
      <c r="J1827" t="inlineStr">
        <is>
          <t>2026-08-08</t>
        </is>
      </c>
      <c r="L1827" s="19" t="inlineStr">
        <is>
          <t>1015067</t>
        </is>
      </c>
      <c r="M1827" t="inlineStr">
        <is>
          <t>STATUS=DOMESTIC-ONLY / NOT IN OEM PACKAGE; SOURCE_CFG=IA-ST-CFG-0131; MARKET=PSA (Yurt İçi)</t>
        </is>
      </c>
      <c r="N1827" t="inlineStr">
        <is>
          <t>2026-08-10T19:29:54Z</t>
        </is>
      </c>
      <c r="O1827" t="inlineStr">
        <is>
          <t>2026-08-10T19:29:54Z</t>
        </is>
      </c>
    </row>
    <row r="1828">
      <c r="A1828" s="19" t="inlineStr">
        <is>
          <t>1827</t>
        </is>
      </c>
      <c r="B1828" s="19" t="inlineStr">
        <is>
          <t>1015068</t>
        </is>
      </c>
      <c r="C1828" t="inlineStr">
        <is>
          <t>AKÜ,LB4,DK,IGYA SMF,80AH 740A,ERP-TR</t>
        </is>
      </c>
      <c r="D1828" s="19" t="inlineStr">
        <is>
          <t>1</t>
        </is>
      </c>
      <c r="E1828" t="n">
        <v>0</v>
      </c>
      <c r="I1828" s="19" t="inlineStr">
        <is>
          <t>2</t>
        </is>
      </c>
      <c r="J1828" t="inlineStr">
        <is>
          <t>2026-08-08</t>
        </is>
      </c>
      <c r="L1828" s="19" t="inlineStr">
        <is>
          <t>1015068</t>
        </is>
      </c>
      <c r="M1828" t="inlineStr">
        <is>
          <t>STATUS=DOMESTIC-ONLY / NOT IN OEM PACKAGE; SOURCE_CFG=IA-ST-CFG-0084; MARKET=PSA (Yurt İçi)</t>
        </is>
      </c>
      <c r="N1828" t="inlineStr">
        <is>
          <t>2026-08-10T19:29:54Z</t>
        </is>
      </c>
      <c r="O1828" t="inlineStr">
        <is>
          <t>2026-08-10T19:29:54Z</t>
        </is>
      </c>
    </row>
    <row r="1829">
      <c r="A1829" s="19" t="inlineStr">
        <is>
          <t>1828</t>
        </is>
      </c>
      <c r="B1829" s="19" t="inlineStr">
        <is>
          <t>1015070</t>
        </is>
      </c>
      <c r="C1829" t="inlineStr">
        <is>
          <t>AKÜ,L3,TK,75AH,IGYA,FP43-1100,FURIAPOWER</t>
        </is>
      </c>
      <c r="D1829" s="19" t="inlineStr">
        <is>
          <t>1</t>
        </is>
      </c>
      <c r="E1829" t="n">
        <v>0</v>
      </c>
      <c r="I1829" s="19" t="inlineStr">
        <is>
          <t>2</t>
        </is>
      </c>
      <c r="J1829" t="inlineStr">
        <is>
          <t>2026-08-08</t>
        </is>
      </c>
      <c r="L1829" s="19" t="inlineStr">
        <is>
          <t>1015070</t>
        </is>
      </c>
      <c r="M1829" t="inlineStr">
        <is>
          <t>STATUS=IN OEM / EU PACKAGE; SOURCE_CFG=IA-ST-CFG-0179; MARKET=MULTISERVICIOSGOODWHEVENEZUELA</t>
        </is>
      </c>
      <c r="N1829" t="inlineStr">
        <is>
          <t>2026-08-10T19:29:54Z</t>
        </is>
      </c>
      <c r="O1829" t="inlineStr">
        <is>
          <t>2026-08-10T19:29:54Z</t>
        </is>
      </c>
    </row>
    <row r="1830">
      <c r="A1830" s="19" t="inlineStr">
        <is>
          <t>1829</t>
        </is>
      </c>
      <c r="B1830" s="19" t="inlineStr">
        <is>
          <t>1015071</t>
        </is>
      </c>
      <c r="C1830" t="inlineStr">
        <is>
          <t>AKÜ,L6,DK,110AH,KAMINA,ZITEX BATTARY</t>
        </is>
      </c>
      <c r="D1830" s="19" t="inlineStr">
        <is>
          <t>1</t>
        </is>
      </c>
      <c r="E1830" t="n">
        <v>0</v>
      </c>
      <c r="I1830" s="19" t="inlineStr">
        <is>
          <t>2</t>
        </is>
      </c>
      <c r="J1830" t="inlineStr">
        <is>
          <t>2026-08-08</t>
        </is>
      </c>
      <c r="L1830" s="19" t="inlineStr">
        <is>
          <t>1015071</t>
        </is>
      </c>
      <c r="M1830" t="inlineStr">
        <is>
          <t>STATUS=IN OEM / EU PACKAGE; SOURCE_CFG=IA-ST-CFG-0080; MARKET=RAYA ENERGY INC. KANADA</t>
        </is>
      </c>
      <c r="N1830" t="inlineStr">
        <is>
          <t>2026-08-10T19:29:54Z</t>
        </is>
      </c>
      <c r="O1830" t="inlineStr">
        <is>
          <t>2026-08-10T19:29:54Z</t>
        </is>
      </c>
    </row>
    <row r="1831">
      <c r="A1831" s="19" t="inlineStr">
        <is>
          <t>1830</t>
        </is>
      </c>
      <c r="B1831" s="19" t="inlineStr">
        <is>
          <t>1015073</t>
        </is>
      </c>
      <c r="C1831" t="inlineStr">
        <is>
          <t>AKÜ,L2,DK,62AH,IGYA,BLIZSILVERLN,SHAWKAT</t>
        </is>
      </c>
      <c r="D1831" s="19" t="inlineStr">
        <is>
          <t>1</t>
        </is>
      </c>
      <c r="E1831" t="n">
        <v>0</v>
      </c>
      <c r="I1831" s="19" t="inlineStr">
        <is>
          <t>2</t>
        </is>
      </c>
      <c r="J1831" t="inlineStr">
        <is>
          <t>2026-08-08</t>
        </is>
      </c>
      <c r="L1831" s="19" t="inlineStr">
        <is>
          <t>1015073</t>
        </is>
      </c>
      <c r="M1831" t="inlineStr">
        <is>
          <t>STATUS=IN OEM / EU PACKAGE; SOURCE_CFG=IA-ST-CFG-0222; MARKET=SHAWKAT</t>
        </is>
      </c>
      <c r="N1831" t="inlineStr">
        <is>
          <t>2026-08-10T19:29:54Z</t>
        </is>
      </c>
      <c r="O1831" t="inlineStr">
        <is>
          <t>2026-08-10T19:29:54Z</t>
        </is>
      </c>
    </row>
    <row r="1832">
      <c r="A1832" s="19" t="inlineStr">
        <is>
          <t>1831</t>
        </is>
      </c>
      <c r="B1832" s="19" t="inlineStr">
        <is>
          <t>1015074</t>
        </is>
      </c>
      <c r="C1832" t="inlineStr">
        <is>
          <t>AKÜ,L5,DK,95AH,EAS AGMS&amp;S,İŞBİRJENERATÖR</t>
        </is>
      </c>
      <c r="D1832" s="19" t="inlineStr">
        <is>
          <t>1</t>
        </is>
      </c>
      <c r="E1832" t="n">
        <v>0</v>
      </c>
      <c r="I1832" s="19" t="inlineStr">
        <is>
          <t>2</t>
        </is>
      </c>
      <c r="J1832" t="inlineStr">
        <is>
          <t>2026-08-08</t>
        </is>
      </c>
      <c r="L1832" s="19" t="inlineStr">
        <is>
          <t>1015074</t>
        </is>
      </c>
      <c r="M1832" t="inlineStr">
        <is>
          <t>STATUS=IN OEM / EU PACKAGE; SOURCE_CFG=IA-ST-CFG-0096; MARKET=İŞBİR JENERATÖR OEM (Yurt İçi)</t>
        </is>
      </c>
      <c r="N1832" t="inlineStr">
        <is>
          <t>2026-08-10T19:29:54Z</t>
        </is>
      </c>
      <c r="O1832" t="inlineStr">
        <is>
          <t>2026-08-10T19:29:54Z</t>
        </is>
      </c>
    </row>
    <row r="1833">
      <c r="A1833" s="19" t="inlineStr">
        <is>
          <t>1832</t>
        </is>
      </c>
      <c r="B1833" s="19" t="inlineStr">
        <is>
          <t>1015075</t>
        </is>
      </c>
      <c r="C1833" t="inlineStr">
        <is>
          <t>AKÜ,L5,DK,102AH,IGYA,EAS EXTRA,İŞBİRJENE</t>
        </is>
      </c>
      <c r="D1833" s="19" t="inlineStr">
        <is>
          <t>1</t>
        </is>
      </c>
      <c r="E1833" t="n">
        <v>0</v>
      </c>
      <c r="I1833" s="19" t="inlineStr">
        <is>
          <t>2</t>
        </is>
      </c>
      <c r="J1833" t="inlineStr">
        <is>
          <t>2026-08-08</t>
        </is>
      </c>
      <c r="L1833" s="19" t="inlineStr">
        <is>
          <t>1015075</t>
        </is>
      </c>
      <c r="M1833" t="inlineStr">
        <is>
          <t>STATUS=IN OEM / EU PACKAGE; SOURCE_CFG=IA-ST-CFG-0096; MARKET=İŞBİR JENERATÖR OEM (Yurt İçi)</t>
        </is>
      </c>
      <c r="N1833" t="inlineStr">
        <is>
          <t>2026-08-10T19:29:54Z</t>
        </is>
      </c>
      <c r="O1833" t="inlineStr">
        <is>
          <t>2026-08-10T19:29:54Z</t>
        </is>
      </c>
    </row>
    <row r="1834">
      <c r="A1834" s="19" t="inlineStr">
        <is>
          <t>1833</t>
        </is>
      </c>
      <c r="B1834" s="19" t="inlineStr">
        <is>
          <t>1015076</t>
        </is>
      </c>
      <c r="C1834" t="inlineStr">
        <is>
          <t>AKÜ,LB1,DK,50AH,IGYA,EAS ACTIVA,İŞBİRJEN</t>
        </is>
      </c>
      <c r="D1834" s="19" t="inlineStr">
        <is>
          <t>1</t>
        </is>
      </c>
      <c r="E1834" t="n">
        <v>0</v>
      </c>
      <c r="I1834" s="19" t="inlineStr">
        <is>
          <t>2</t>
        </is>
      </c>
      <c r="J1834" t="inlineStr">
        <is>
          <t>2026-08-08</t>
        </is>
      </c>
      <c r="L1834" s="19" t="inlineStr">
        <is>
          <t>1015076</t>
        </is>
      </c>
      <c r="M1834" t="inlineStr">
        <is>
          <t>STATUS=IN OEM / EU PACKAGE; SOURCE_CFG=IA-ST-CFG-0247; MARKET=İŞBİR JENERATÖR OEM (Yurt İçi)</t>
        </is>
      </c>
      <c r="N1834" t="inlineStr">
        <is>
          <t>2026-08-10T19:29:54Z</t>
        </is>
      </c>
      <c r="O1834" t="inlineStr">
        <is>
          <t>2026-08-10T19:29:54Z</t>
        </is>
      </c>
    </row>
    <row r="1835">
      <c r="A1835" s="19" t="inlineStr">
        <is>
          <t>1834</t>
        </is>
      </c>
      <c r="B1835" s="19" t="inlineStr">
        <is>
          <t>1015077</t>
        </is>
      </c>
      <c r="C1835" t="inlineStr">
        <is>
          <t>AKÜ,C,DK,220AH,EAS AGMS&amp;S,İŞBİRJENERATÖR</t>
        </is>
      </c>
      <c r="D1835" s="19" t="inlineStr">
        <is>
          <t>1</t>
        </is>
      </c>
      <c r="E1835" t="n">
        <v>0</v>
      </c>
      <c r="I1835" s="19" t="inlineStr">
        <is>
          <t>2</t>
        </is>
      </c>
      <c r="J1835" t="inlineStr">
        <is>
          <t>2026-08-08</t>
        </is>
      </c>
      <c r="L1835" s="19" t="inlineStr">
        <is>
          <t>1015077</t>
        </is>
      </c>
      <c r="M1835" t="inlineStr">
        <is>
          <t>STATUS=IN OEM / EU PACKAGE; SOURCE_CFG=IA-ST-CFG-0023; MARKET=İŞBİR JENERATÖR OEM (Yurt İçi)</t>
        </is>
      </c>
      <c r="N1835" t="inlineStr">
        <is>
          <t>2026-08-10T19:29:54Z</t>
        </is>
      </c>
      <c r="O1835" t="inlineStr">
        <is>
          <t>2026-08-10T19:29:54Z</t>
        </is>
      </c>
    </row>
    <row r="1836">
      <c r="A1836" s="19" t="inlineStr">
        <is>
          <t>1835</t>
        </is>
      </c>
      <c r="B1836" s="19" t="inlineStr">
        <is>
          <t>1015079</t>
        </is>
      </c>
      <c r="C1836" t="inlineStr">
        <is>
          <t>AKÜ,D31,DK,90AH,IGYASMF,HUGEL ULTRA,EURO</t>
        </is>
      </c>
      <c r="D1836" s="19" t="inlineStr">
        <is>
          <t>1</t>
        </is>
      </c>
      <c r="E1836" t="n">
        <v>0</v>
      </c>
      <c r="I1836" s="19" t="inlineStr">
        <is>
          <t>2</t>
        </is>
      </c>
      <c r="J1836" t="inlineStr">
        <is>
          <t>2026-08-08</t>
        </is>
      </c>
      <c r="L1836" s="19" t="inlineStr">
        <is>
          <t>1015079</t>
        </is>
      </c>
      <c r="M1836" t="inlineStr">
        <is>
          <t>STATUS=IN OEM / EU PACKAGE; SOURCE_CFG=IA-ST-CFG-0115; MARKET=None</t>
        </is>
      </c>
      <c r="N1836" t="inlineStr">
        <is>
          <t>2026-08-10T19:29:54Z</t>
        </is>
      </c>
      <c r="O1836" t="inlineStr">
        <is>
          <t>2026-08-10T19:29:54Z</t>
        </is>
      </c>
    </row>
    <row r="1837">
      <c r="A1837" s="19" t="inlineStr">
        <is>
          <t>1836</t>
        </is>
      </c>
      <c r="B1837" s="19" t="inlineStr">
        <is>
          <t>1015081</t>
        </is>
      </c>
      <c r="C1837" t="inlineStr">
        <is>
          <t>AKÜ,NS40,DK42AH,IGYA,İNCİMAXIMA,HONDAOES</t>
        </is>
      </c>
      <c r="D1837" s="19" t="inlineStr">
        <is>
          <t>1</t>
        </is>
      </c>
      <c r="E1837" t="n">
        <v>0</v>
      </c>
      <c r="I1837" s="19" t="inlineStr">
        <is>
          <t>2</t>
        </is>
      </c>
      <c r="J1837" t="inlineStr">
        <is>
          <t>2026-08-08</t>
        </is>
      </c>
      <c r="L1837" s="19" t="inlineStr">
        <is>
          <t>1015081</t>
        </is>
      </c>
      <c r="M1837" t="inlineStr">
        <is>
          <t>STATUS=IN OEM / EU PACKAGE; SOURCE_CFG=IA-ST-CFG-0284; MARKET=HONDA OES (Yurt İçi)</t>
        </is>
      </c>
      <c r="N1837" t="inlineStr">
        <is>
          <t>2026-08-10T19:29:54Z</t>
        </is>
      </c>
      <c r="O1837" t="inlineStr">
        <is>
          <t>2026-08-10T19:29:54Z</t>
        </is>
      </c>
    </row>
    <row r="1838">
      <c r="A1838" s="19" t="inlineStr">
        <is>
          <t>1837</t>
        </is>
      </c>
      <c r="B1838" s="19" t="inlineStr">
        <is>
          <t>1015082</t>
        </is>
      </c>
      <c r="C1838" t="inlineStr">
        <is>
          <t>AKÜ,D31,TK,100AH,IGYA,BLIZZ.SILVR,MISIR</t>
        </is>
      </c>
      <c r="D1838" s="19" t="inlineStr">
        <is>
          <t>1</t>
        </is>
      </c>
      <c r="E1838" t="n">
        <v>0</v>
      </c>
      <c r="I1838" s="19" t="inlineStr">
        <is>
          <t>2</t>
        </is>
      </c>
      <c r="J1838" t="inlineStr">
        <is>
          <t>2026-08-08</t>
        </is>
      </c>
      <c r="L1838" s="19" t="inlineStr">
        <is>
          <t>1015082</t>
        </is>
      </c>
      <c r="M1838" t="inlineStr">
        <is>
          <t>STATUS=IN OEM / EU PACKAGE; SOURCE_CFG=IA-ST-CFG-0126; MARKET=MISIR AL AMAN</t>
        </is>
      </c>
      <c r="N1838" t="inlineStr">
        <is>
          <t>2026-08-10T19:29:54Z</t>
        </is>
      </c>
      <c r="O1838" t="inlineStr">
        <is>
          <t>2026-08-10T19:29:54Z</t>
        </is>
      </c>
    </row>
    <row r="1839">
      <c r="A1839" s="19" t="inlineStr">
        <is>
          <t>1838</t>
        </is>
      </c>
      <c r="B1839" s="19" t="inlineStr">
        <is>
          <t>1015083</t>
        </is>
      </c>
      <c r="C1839" t="inlineStr">
        <is>
          <t>AKÜ,LB4,DK,80AH,IGYASMF,EAS ACTIVA,ATWAN</t>
        </is>
      </c>
      <c r="D1839" s="19" t="inlineStr">
        <is>
          <t>1</t>
        </is>
      </c>
      <c r="E1839" t="n">
        <v>0</v>
      </c>
      <c r="I1839" s="19" t="inlineStr">
        <is>
          <t>2</t>
        </is>
      </c>
      <c r="J1839" t="inlineStr">
        <is>
          <t>2026-08-08</t>
        </is>
      </c>
      <c r="L1839" s="19" t="inlineStr">
        <is>
          <t>1015083</t>
        </is>
      </c>
      <c r="M1839" t="inlineStr">
        <is>
          <t>STATUS=IN OEM / EU PACKAGE; SOURCE_CFG=IA-ST-CFG-0231; MARKET=MISIR ATWAN</t>
        </is>
      </c>
      <c r="N1839" t="inlineStr">
        <is>
          <t>2026-08-10T19:29:54Z</t>
        </is>
      </c>
      <c r="O1839" t="inlineStr">
        <is>
          <t>2026-08-10T19:29:54Z</t>
        </is>
      </c>
    </row>
    <row r="1840">
      <c r="A1840" s="19" t="inlineStr">
        <is>
          <t>1839</t>
        </is>
      </c>
      <c r="B1840" s="19" t="inlineStr">
        <is>
          <t>1015084</t>
        </is>
      </c>
      <c r="C1840" t="inlineStr">
        <is>
          <t>AKÜ,L4,DK,82AH,IGYA,FP94R-1200FURIAPOWER</t>
        </is>
      </c>
      <c r="D1840" s="19" t="inlineStr">
        <is>
          <t>1</t>
        </is>
      </c>
      <c r="E1840" t="n">
        <v>0</v>
      </c>
      <c r="I1840" s="19" t="inlineStr">
        <is>
          <t>2</t>
        </is>
      </c>
      <c r="J1840" t="inlineStr">
        <is>
          <t>2026-08-08</t>
        </is>
      </c>
      <c r="L1840" s="19" t="inlineStr">
        <is>
          <t>1015084</t>
        </is>
      </c>
      <c r="M1840" t="inlineStr">
        <is>
          <t>STATUS=IN OEM / EU PACKAGE; SOURCE_CFG=IA-ST-CFG-0231; MARKET=MULTISERVICIOSGOODWHEVENEZUELA</t>
        </is>
      </c>
      <c r="N1840" t="inlineStr">
        <is>
          <t>2026-08-10T19:29:54Z</t>
        </is>
      </c>
      <c r="O1840" t="inlineStr">
        <is>
          <t>2026-08-10T19:29:54Z</t>
        </is>
      </c>
    </row>
    <row r="1841">
      <c r="A1841" s="19" t="inlineStr">
        <is>
          <t>1840</t>
        </is>
      </c>
      <c r="B1841" s="19" t="inlineStr">
        <is>
          <t>1015085</t>
        </is>
      </c>
      <c r="C1841" t="inlineStr">
        <is>
          <t>AKÜ,D23DK,60AH,IGYAB01,İNCİTAUR,EECMISIR</t>
        </is>
      </c>
      <c r="D1841" s="19" t="inlineStr">
        <is>
          <t>1</t>
        </is>
      </c>
      <c r="E1841" t="n">
        <v>0</v>
      </c>
      <c r="I1841" s="19" t="inlineStr">
        <is>
          <t>2</t>
        </is>
      </c>
      <c r="J1841" t="inlineStr">
        <is>
          <t>2026-08-08</t>
        </is>
      </c>
      <c r="L1841" s="19" t="inlineStr">
        <is>
          <t>1015085</t>
        </is>
      </c>
      <c r="M1841" t="inlineStr">
        <is>
          <t>STATUS=IN OEM / EU PACKAGE; SOURCE_CFG=IA-ST-CFG-0219; MARKET=MISIR EEC</t>
        </is>
      </c>
      <c r="N1841" t="inlineStr">
        <is>
          <t>2026-08-10T19:29:54Z</t>
        </is>
      </c>
      <c r="O1841" t="inlineStr">
        <is>
          <t>2026-08-10T19:29:54Z</t>
        </is>
      </c>
    </row>
    <row r="1842">
      <c r="A1842" s="19" t="inlineStr">
        <is>
          <t>1841</t>
        </is>
      </c>
      <c r="B1842" s="19" t="inlineStr">
        <is>
          <t>1015087</t>
        </is>
      </c>
      <c r="C1842" t="inlineStr">
        <is>
          <t>AKÜ,L2,DK,60AH,IGYA,SWM,URZAT OTOMTV.OEM</t>
        </is>
      </c>
      <c r="D1842" s="19" t="inlineStr">
        <is>
          <t>1</t>
        </is>
      </c>
      <c r="E1842" t="n">
        <v>0</v>
      </c>
      <c r="I1842" s="19" t="inlineStr">
        <is>
          <t>2</t>
        </is>
      </c>
      <c r="J1842" t="inlineStr">
        <is>
          <t>2026-08-08</t>
        </is>
      </c>
      <c r="L1842" s="19" t="inlineStr">
        <is>
          <t>1015087</t>
        </is>
      </c>
      <c r="M1842" t="inlineStr">
        <is>
          <t>STATUS=IN OEM / EU PACKAGE; SOURCE_CFG=IA-ST-CFG-0223; MARKET=URZAT OTOMOTİV OEM (Yurt İçi)</t>
        </is>
      </c>
      <c r="N1842" t="inlineStr">
        <is>
          <t>2026-08-10T19:29:54Z</t>
        </is>
      </c>
      <c r="O1842" t="inlineStr">
        <is>
          <t>2026-08-10T19:29:54Z</t>
        </is>
      </c>
    </row>
    <row r="1843">
      <c r="A1843" s="19" t="inlineStr">
        <is>
          <t>1842</t>
        </is>
      </c>
      <c r="B1843" s="19" t="inlineStr">
        <is>
          <t>1015088</t>
        </is>
      </c>
      <c r="C1843" t="inlineStr">
        <is>
          <t>AKÜ,L2,DK,62AH,IGYASMF,ADN3027-062,GYNRD</t>
        </is>
      </c>
      <c r="D1843" s="19" t="inlineStr">
        <is>
          <t>1</t>
        </is>
      </c>
      <c r="E1843" t="n">
        <v>0</v>
      </c>
      <c r="I1843" s="19" t="inlineStr">
        <is>
          <t>2</t>
        </is>
      </c>
      <c r="J1843" t="inlineStr">
        <is>
          <t>2026-08-08</t>
        </is>
      </c>
      <c r="L1843" s="19" t="inlineStr">
        <is>
          <t>1015088</t>
        </is>
      </c>
      <c r="M1843" t="inlineStr">
        <is>
          <t>STATUS=IN OEM / EU PACKAGE; SOURCE_CFG=IA-ST-CFG-0162; MARKET=GY NRD (ADN BALTIC NORDIC)</t>
        </is>
      </c>
      <c r="N1843" t="inlineStr">
        <is>
          <t>2026-08-10T19:29:54Z</t>
        </is>
      </c>
      <c r="O1843" t="inlineStr">
        <is>
          <t>2026-08-10T19:29:54Z</t>
        </is>
      </c>
    </row>
    <row r="1844">
      <c r="A1844" s="19" t="inlineStr">
        <is>
          <t>1843</t>
        </is>
      </c>
      <c r="B1844" s="19" t="inlineStr">
        <is>
          <t>1015089</t>
        </is>
      </c>
      <c r="C1844" t="inlineStr">
        <is>
          <t>AKÜ,L2,DK,65AH,IGYASMF,ADN5027-065,GYNRD</t>
        </is>
      </c>
      <c r="D1844" s="19" t="inlineStr">
        <is>
          <t>1</t>
        </is>
      </c>
      <c r="E1844" t="n">
        <v>0</v>
      </c>
      <c r="I1844" s="19" t="inlineStr">
        <is>
          <t>2</t>
        </is>
      </c>
      <c r="J1844" t="inlineStr">
        <is>
          <t>2026-08-08</t>
        </is>
      </c>
      <c r="L1844" s="19" t="inlineStr">
        <is>
          <t>1015089</t>
        </is>
      </c>
      <c r="M1844" t="inlineStr">
        <is>
          <t>STATUS=IN OEM / EU PACKAGE; SOURCE_CFG=IA-ST-CFG-0162; MARKET=GY NRD (ADN BALTIC NORDIC)</t>
        </is>
      </c>
      <c r="N1844" t="inlineStr">
        <is>
          <t>2026-08-10T19:29:54Z</t>
        </is>
      </c>
      <c r="O1844" t="inlineStr">
        <is>
          <t>2026-08-10T19:29:54Z</t>
        </is>
      </c>
    </row>
    <row r="1845">
      <c r="A1845" s="19" t="inlineStr">
        <is>
          <t>1844</t>
        </is>
      </c>
      <c r="B1845" s="19" t="inlineStr">
        <is>
          <t>1015090</t>
        </is>
      </c>
      <c r="C1845" t="inlineStr">
        <is>
          <t>AKÜ,LB3,DK72AH,IGYASMF,ADN3100-071,GYNRD</t>
        </is>
      </c>
      <c r="D1845" s="19" t="inlineStr">
        <is>
          <t>1</t>
        </is>
      </c>
      <c r="E1845" t="n">
        <v>0</v>
      </c>
      <c r="I1845" s="19" t="inlineStr">
        <is>
          <t>2</t>
        </is>
      </c>
      <c r="J1845" t="inlineStr">
        <is>
          <t>2026-08-08</t>
        </is>
      </c>
      <c r="L1845" s="19" t="inlineStr">
        <is>
          <t>1015090</t>
        </is>
      </c>
      <c r="M1845" t="inlineStr">
        <is>
          <t>STATUS=IN OEM / EU PACKAGE; SOURCE_CFG=IA-ST-CFG-0132; MARKET=GY NRD (ADN BALTIC NORDIC)</t>
        </is>
      </c>
      <c r="N1845" t="inlineStr">
        <is>
          <t>2026-08-10T19:29:54Z</t>
        </is>
      </c>
      <c r="O1845" t="inlineStr">
        <is>
          <t>2026-08-10T19:29:54Z</t>
        </is>
      </c>
    </row>
    <row r="1846">
      <c r="A1846" s="19" t="inlineStr">
        <is>
          <t>1845</t>
        </is>
      </c>
      <c r="B1846" s="19" t="inlineStr">
        <is>
          <t>1015091</t>
        </is>
      </c>
      <c r="C1846" t="inlineStr">
        <is>
          <t>AKÜ,L3,DK,76AH,IGYASMF,ADN3096-076,GYNRD</t>
        </is>
      </c>
      <c r="D1846" s="19" t="inlineStr">
        <is>
          <t>1</t>
        </is>
      </c>
      <c r="E1846" t="n">
        <v>0</v>
      </c>
      <c r="I1846" s="19" t="inlineStr">
        <is>
          <t>2</t>
        </is>
      </c>
      <c r="J1846" t="inlineStr">
        <is>
          <t>2026-08-08</t>
        </is>
      </c>
      <c r="L1846" s="19" t="inlineStr">
        <is>
          <t>1015091</t>
        </is>
      </c>
      <c r="M1846" t="inlineStr">
        <is>
          <t>STATUS=IN OEM / EU PACKAGE; SOURCE_CFG=IA-ST-CFG-0132; MARKET=GY NRD (ADN BALTIC NORDIC)</t>
        </is>
      </c>
      <c r="N1846" t="inlineStr">
        <is>
          <t>2026-08-10T19:29:54Z</t>
        </is>
      </c>
      <c r="O1846" t="inlineStr">
        <is>
          <t>2026-08-10T19:29:54Z</t>
        </is>
      </c>
    </row>
    <row r="1847">
      <c r="A1847" s="19" t="inlineStr">
        <is>
          <t>1846</t>
        </is>
      </c>
      <c r="B1847" s="19" t="inlineStr">
        <is>
          <t>1015092</t>
        </is>
      </c>
      <c r="C1847" t="inlineStr">
        <is>
          <t>AKÜ,L3,DK,80AH,IGYASMF,ADN5096-080,GYNRD</t>
        </is>
      </c>
      <c r="D1847" s="19" t="inlineStr">
        <is>
          <t>1</t>
        </is>
      </c>
      <c r="E1847" t="n">
        <v>0</v>
      </c>
      <c r="I1847" s="19" t="inlineStr">
        <is>
          <t>2</t>
        </is>
      </c>
      <c r="J1847" t="inlineStr">
        <is>
          <t>2026-08-08</t>
        </is>
      </c>
      <c r="L1847" s="19" t="inlineStr">
        <is>
          <t>1015092</t>
        </is>
      </c>
      <c r="M1847" t="inlineStr">
        <is>
          <t>STATUS=IN OEM / EU PACKAGE; SOURCE_CFG=IA-ST-CFG-0113; MARKET=GY NRD (ADN BALTIC NORDIC)</t>
        </is>
      </c>
      <c r="N1847" t="inlineStr">
        <is>
          <t>2026-08-10T19:29:54Z</t>
        </is>
      </c>
      <c r="O1847" t="inlineStr">
        <is>
          <t>2026-08-10T19:29:54Z</t>
        </is>
      </c>
    </row>
    <row r="1848">
      <c r="A1848" s="19" t="inlineStr">
        <is>
          <t>1847</t>
        </is>
      </c>
      <c r="B1848" s="19" t="inlineStr">
        <is>
          <t>1015093</t>
        </is>
      </c>
      <c r="C1848" t="inlineStr">
        <is>
          <t>AKÜ,L5,DK100AH,IGYASMF,ADN3019-095,GYNRD</t>
        </is>
      </c>
      <c r="D1848" s="19" t="inlineStr">
        <is>
          <t>1</t>
        </is>
      </c>
      <c r="E1848" t="n">
        <v>0</v>
      </c>
      <c r="I1848" s="19" t="inlineStr">
        <is>
          <t>2</t>
        </is>
      </c>
      <c r="J1848" t="inlineStr">
        <is>
          <t>2026-08-08</t>
        </is>
      </c>
      <c r="L1848" s="19" t="inlineStr">
        <is>
          <t>1015093</t>
        </is>
      </c>
      <c r="M1848" t="inlineStr">
        <is>
          <t>STATUS=IN OEM / EU PACKAGE; SOURCE_CFG=IA-ST-CFG-0068; MARKET=GY NRD (ADN BALTIC NORDIC)</t>
        </is>
      </c>
      <c r="N1848" t="inlineStr">
        <is>
          <t>2026-08-10T19:29:54Z</t>
        </is>
      </c>
      <c r="O1848" t="inlineStr">
        <is>
          <t>2026-08-10T19:29:54Z</t>
        </is>
      </c>
    </row>
    <row r="1849">
      <c r="A1849" s="19" t="inlineStr">
        <is>
          <t>1848</t>
        </is>
      </c>
      <c r="B1849" s="19" t="inlineStr">
        <is>
          <t>1015094</t>
        </is>
      </c>
      <c r="C1849" t="inlineStr">
        <is>
          <t>AKÜ,L5,DK,90AH,IGYA,EASACTIVA,TÜRKMENSTN</t>
        </is>
      </c>
      <c r="D1849" s="19" t="inlineStr">
        <is>
          <t>1</t>
        </is>
      </c>
      <c r="E1849" t="n">
        <v>0</v>
      </c>
      <c r="I1849" s="19" t="inlineStr">
        <is>
          <t>2</t>
        </is>
      </c>
      <c r="J1849" t="inlineStr">
        <is>
          <t>2026-08-08</t>
        </is>
      </c>
      <c r="L1849" s="19" t="inlineStr">
        <is>
          <t>1015094</t>
        </is>
      </c>
      <c r="M1849" t="inlineStr">
        <is>
          <t>STATUS=IN OEM / EU PACKAGE; SOURCE_CFG=IA-ST-CFG-0096; MARKET=TÜRKMENİSTAN</t>
        </is>
      </c>
      <c r="N1849" t="inlineStr">
        <is>
          <t>2026-08-10T19:29:54Z</t>
        </is>
      </c>
      <c r="O1849" t="inlineStr">
        <is>
          <t>2026-08-10T19:29:54Z</t>
        </is>
      </c>
    </row>
    <row r="1850">
      <c r="A1850" s="19" t="inlineStr">
        <is>
          <t>1849</t>
        </is>
      </c>
      <c r="B1850" s="19" t="inlineStr">
        <is>
          <t>1015095</t>
        </is>
      </c>
      <c r="C1850" t="inlineStr">
        <is>
          <t>AKÜ,C-IGYA SMF,DK,225AH,EAS ACTIV A</t>
        </is>
      </c>
      <c r="D1850" s="19" t="inlineStr">
        <is>
          <t>1</t>
        </is>
      </c>
      <c r="E1850" t="n">
        <v>0</v>
      </c>
      <c r="I1850" s="19" t="inlineStr">
        <is>
          <t>2</t>
        </is>
      </c>
      <c r="J1850" t="inlineStr">
        <is>
          <t>2026-08-08</t>
        </is>
      </c>
      <c r="L1850" s="19" t="inlineStr">
        <is>
          <t>1015095</t>
        </is>
      </c>
      <c r="M1850" t="inlineStr">
        <is>
          <t>STATUS=IN OEM / EU PACKAGE; SOURCE_CFG=IA-ST-CFG-0023; MARKET=None</t>
        </is>
      </c>
      <c r="N1850" t="inlineStr">
        <is>
          <t>2026-08-10T19:29:54Z</t>
        </is>
      </c>
      <c r="O1850" t="inlineStr">
        <is>
          <t>2026-08-10T19:29:54Z</t>
        </is>
      </c>
    </row>
    <row r="1851">
      <c r="A1851" s="19" t="inlineStr">
        <is>
          <t>1850</t>
        </is>
      </c>
      <c r="B1851" s="19" t="inlineStr">
        <is>
          <t>1015096</t>
        </is>
      </c>
      <c r="C1851" t="inlineStr">
        <is>
          <t>AKÜ,L2,DK,60AH,IGYA SMF,BLIZZARO EFB S&amp;S</t>
        </is>
      </c>
      <c r="D1851" s="19" t="inlineStr">
        <is>
          <t>1</t>
        </is>
      </c>
      <c r="E1851" t="n">
        <v>0</v>
      </c>
      <c r="I1851" s="19" t="inlineStr">
        <is>
          <t>2</t>
        </is>
      </c>
      <c r="J1851" t="inlineStr">
        <is>
          <t>2026-08-08</t>
        </is>
      </c>
      <c r="L1851" s="19" t="inlineStr">
        <is>
          <t>1015096</t>
        </is>
      </c>
      <c r="M1851" t="inlineStr">
        <is>
          <t>STATUS=IN OEM / EU PACKAGE; SOURCE_CFG=IA-ST-CFG-0222; MARKET=None</t>
        </is>
      </c>
      <c r="N1851" t="inlineStr">
        <is>
          <t>2026-08-10T19:29:54Z</t>
        </is>
      </c>
      <c r="O1851" t="inlineStr">
        <is>
          <t>2026-08-10T19:29:54Z</t>
        </is>
      </c>
    </row>
    <row r="1852">
      <c r="A1852" s="19" t="inlineStr">
        <is>
          <t>1851</t>
        </is>
      </c>
      <c r="B1852" s="19" t="inlineStr">
        <is>
          <t>1015098</t>
        </is>
      </c>
      <c r="C1852" t="inlineStr">
        <is>
          <t>AKÜ,LB2,DK,60AH,IGYA,ENERGYMAX,TÜRKMNSTN</t>
        </is>
      </c>
      <c r="D1852" s="19" t="inlineStr">
        <is>
          <t>1</t>
        </is>
      </c>
      <c r="E1852" t="n">
        <v>0</v>
      </c>
      <c r="I1852" s="19" t="inlineStr">
        <is>
          <t>2</t>
        </is>
      </c>
      <c r="J1852" t="inlineStr">
        <is>
          <t>2026-08-08</t>
        </is>
      </c>
      <c r="L1852" s="19" t="inlineStr">
        <is>
          <t>1015098</t>
        </is>
      </c>
      <c r="M1852" t="inlineStr">
        <is>
          <t>STATUS=IN OEM / EU PACKAGE; SOURCE_CFG=IA-ST-CFG-0222; MARKET=TÜRKMENİSTAN</t>
        </is>
      </c>
      <c r="N1852" t="inlineStr">
        <is>
          <t>2026-08-10T19:29:54Z</t>
        </is>
      </c>
      <c r="O1852" t="inlineStr">
        <is>
          <t>2026-08-10T19:29:54Z</t>
        </is>
      </c>
    </row>
    <row r="1853">
      <c r="A1853" s="19" t="inlineStr">
        <is>
          <t>1852</t>
        </is>
      </c>
      <c r="B1853" s="19" t="inlineStr">
        <is>
          <t>1015099</t>
        </is>
      </c>
      <c r="C1853" t="inlineStr">
        <is>
          <t>AKÜ,L3,DK,75AH,IGYA,SUNTECH,TÜRKMENİSTAN</t>
        </is>
      </c>
      <c r="D1853" s="19" t="inlineStr">
        <is>
          <t>1</t>
        </is>
      </c>
      <c r="E1853" t="n">
        <v>0</v>
      </c>
      <c r="I1853" s="19" t="inlineStr">
        <is>
          <t>2</t>
        </is>
      </c>
      <c r="J1853" t="inlineStr">
        <is>
          <t>2026-08-08</t>
        </is>
      </c>
      <c r="L1853" s="19" t="inlineStr">
        <is>
          <t>1015099</t>
        </is>
      </c>
      <c r="M1853" t="inlineStr">
        <is>
          <t>STATUS=IN OEM / EU PACKAGE; SOURCE_CFG=IA-ST-CFG-0179; MARKET=TÜRKMENİSTAN</t>
        </is>
      </c>
      <c r="N1853" t="inlineStr">
        <is>
          <t>2026-08-10T19:29:54Z</t>
        </is>
      </c>
      <c r="O1853" t="inlineStr">
        <is>
          <t>2026-08-10T19:29:54Z</t>
        </is>
      </c>
    </row>
    <row r="1854">
      <c r="A1854" s="19" t="inlineStr">
        <is>
          <t>1853</t>
        </is>
      </c>
      <c r="B1854" s="19" t="inlineStr">
        <is>
          <t>1015100</t>
        </is>
      </c>
      <c r="C1854" t="inlineStr">
        <is>
          <t>AKÜ,L2,DK,62AH,IGYA,SUNTECH,TÜRKMENİSTAN</t>
        </is>
      </c>
      <c r="D1854" s="19" t="inlineStr">
        <is>
          <t>1</t>
        </is>
      </c>
      <c r="E1854" t="n">
        <v>0</v>
      </c>
      <c r="I1854" s="19" t="inlineStr">
        <is>
          <t>2</t>
        </is>
      </c>
      <c r="J1854" t="inlineStr">
        <is>
          <t>2026-08-08</t>
        </is>
      </c>
      <c r="L1854" s="19" t="inlineStr">
        <is>
          <t>1015100</t>
        </is>
      </c>
      <c r="M1854" t="inlineStr">
        <is>
          <t>STATUS=IN OEM / EU PACKAGE; SOURCE_CFG=IA-ST-CFG-0222; MARKET=TÜRKMENİSTAN</t>
        </is>
      </c>
      <c r="N1854" t="inlineStr">
        <is>
          <t>2026-08-10T19:29:54Z</t>
        </is>
      </c>
      <c r="O1854" t="inlineStr">
        <is>
          <t>2026-08-10T19:29:54Z</t>
        </is>
      </c>
    </row>
    <row r="1855">
      <c r="A1855" s="19" t="inlineStr">
        <is>
          <t>1854</t>
        </is>
      </c>
      <c r="B1855" s="19" t="inlineStr">
        <is>
          <t>1015101</t>
        </is>
      </c>
      <c r="C1855" t="inlineStr">
        <is>
          <t>AKÜ,L2,DK,60AH,IGYA,NO NAME,EFB L2,SKG</t>
        </is>
      </c>
      <c r="D1855" s="19" t="inlineStr">
        <is>
          <t>1</t>
        </is>
      </c>
      <c r="E1855" t="n">
        <v>0</v>
      </c>
      <c r="I1855" s="19" t="inlineStr">
        <is>
          <t>2</t>
        </is>
      </c>
      <c r="J1855" t="inlineStr">
        <is>
          <t>2026-08-08</t>
        </is>
      </c>
      <c r="L1855" s="19" t="inlineStr">
        <is>
          <t>1015101</t>
        </is>
      </c>
      <c r="M1855" t="inlineStr">
        <is>
          <t>STATUS=IN OEM / EU PACKAGE; SOURCE_CFG=IA-ST-CFG-0239; MARKET=SKG İTALYA</t>
        </is>
      </c>
      <c r="N1855" t="inlineStr">
        <is>
          <t>2026-08-10T19:29:54Z</t>
        </is>
      </c>
      <c r="O1855" t="inlineStr">
        <is>
          <t>2026-08-10T19:29:54Z</t>
        </is>
      </c>
    </row>
    <row r="1856">
      <c r="A1856" s="19" t="inlineStr">
        <is>
          <t>1855</t>
        </is>
      </c>
      <c r="B1856" s="19" t="inlineStr">
        <is>
          <t>1015102</t>
        </is>
      </c>
      <c r="C1856" t="inlineStr">
        <is>
          <t>AKÜ,L3,DK,72AH,IGYA,NO NAME,EFB L3,SKG</t>
        </is>
      </c>
      <c r="D1856" s="19" t="inlineStr">
        <is>
          <t>1</t>
        </is>
      </c>
      <c r="E1856" t="n">
        <v>0</v>
      </c>
      <c r="I1856" s="19" t="inlineStr">
        <is>
          <t>2</t>
        </is>
      </c>
      <c r="J1856" t="inlineStr">
        <is>
          <t>2026-08-08</t>
        </is>
      </c>
      <c r="L1856" s="19" t="inlineStr">
        <is>
          <t>1015102</t>
        </is>
      </c>
      <c r="M1856" t="inlineStr">
        <is>
          <t>STATUS=IN OEM / EU PACKAGE; SOURCE_CFG=IA-ST-CFG-0198; MARKET=SKG İTALYA</t>
        </is>
      </c>
      <c r="N1856" t="inlineStr">
        <is>
          <t>2026-08-10T19:29:54Z</t>
        </is>
      </c>
      <c r="O1856" t="inlineStr">
        <is>
          <t>2026-08-10T19:29:54Z</t>
        </is>
      </c>
    </row>
    <row r="1857">
      <c r="A1857" s="19" t="inlineStr">
        <is>
          <t>1856</t>
        </is>
      </c>
      <c r="B1857" s="19" t="inlineStr">
        <is>
          <t>1015103</t>
        </is>
      </c>
      <c r="C1857" t="inlineStr">
        <is>
          <t>AKÜ,L4,DK,80AH,IGYA,NO NAME,EFB L4,SKG</t>
        </is>
      </c>
      <c r="D1857" s="19" t="inlineStr">
        <is>
          <t>1</t>
        </is>
      </c>
      <c r="E1857" t="n">
        <v>0</v>
      </c>
      <c r="I1857" s="19" t="inlineStr">
        <is>
          <t>2</t>
        </is>
      </c>
      <c r="J1857" t="inlineStr">
        <is>
          <t>2026-08-08</t>
        </is>
      </c>
      <c r="L1857" s="19" t="inlineStr">
        <is>
          <t>1015103</t>
        </is>
      </c>
      <c r="M1857" t="inlineStr">
        <is>
          <t>STATUS=IN OEM / EU PACKAGE; SOURCE_CFG=IA-ST-CFG-0151; MARKET=SKG İTALYA</t>
        </is>
      </c>
      <c r="N1857" t="inlineStr">
        <is>
          <t>2026-08-10T19:29:54Z</t>
        </is>
      </c>
      <c r="O1857" t="inlineStr">
        <is>
          <t>2026-08-10T19:29:54Z</t>
        </is>
      </c>
    </row>
    <row r="1858">
      <c r="A1858" s="19" t="inlineStr">
        <is>
          <t>1857</t>
        </is>
      </c>
      <c r="B1858" s="19" t="inlineStr">
        <is>
          <t>1015104</t>
        </is>
      </c>
      <c r="C1858" t="inlineStr">
        <is>
          <t>AKÜ,L5,DK,90AH,IGYA,NO NAME,EFB L5,SKG</t>
        </is>
      </c>
      <c r="D1858" s="19" t="inlineStr">
        <is>
          <t>1</t>
        </is>
      </c>
      <c r="E1858" t="n">
        <v>0</v>
      </c>
      <c r="I1858" s="19" t="inlineStr">
        <is>
          <t>2</t>
        </is>
      </c>
      <c r="J1858" t="inlineStr">
        <is>
          <t>2026-08-08</t>
        </is>
      </c>
      <c r="L1858" s="19" t="inlineStr">
        <is>
          <t>1015104</t>
        </is>
      </c>
      <c r="M1858" t="inlineStr">
        <is>
          <t>STATUS=IN OEM / EU PACKAGE; SOURCE_CFG=IA-ST-CFG-0114; MARKET=SKG İTALYA</t>
        </is>
      </c>
      <c r="N1858" t="inlineStr">
        <is>
          <t>2026-08-10T19:29:54Z</t>
        </is>
      </c>
      <c r="O1858" t="inlineStr">
        <is>
          <t>2026-08-10T19:29:54Z</t>
        </is>
      </c>
    </row>
    <row r="1859">
      <c r="A1859" s="19" t="inlineStr">
        <is>
          <t>1858</t>
        </is>
      </c>
      <c r="B1859" s="19" t="inlineStr">
        <is>
          <t>1015105</t>
        </is>
      </c>
      <c r="C1859" t="inlineStr">
        <is>
          <t>AKÜ,C-IGYASMF,DK,220AH,MERCEDES,FRANSA</t>
        </is>
      </c>
      <c r="D1859" s="19" t="inlineStr">
        <is>
          <t>1</t>
        </is>
      </c>
      <c r="E1859" t="n">
        <v>0</v>
      </c>
      <c r="I1859" s="19" t="inlineStr">
        <is>
          <t>2</t>
        </is>
      </c>
      <c r="J1859" t="inlineStr">
        <is>
          <t>2026-08-08</t>
        </is>
      </c>
      <c r="L1859" s="19" t="inlineStr">
        <is>
          <t>1015105</t>
        </is>
      </c>
      <c r="M1859" t="inlineStr">
        <is>
          <t>STATUS=IN OEM / EU PACKAGE; SOURCE_CFG=IA-ST-CFG-0012; MARKET=MERCEDES FRANSA</t>
        </is>
      </c>
      <c r="N1859" t="inlineStr">
        <is>
          <t>2026-08-10T19:29:54Z</t>
        </is>
      </c>
      <c r="O1859" t="inlineStr">
        <is>
          <t>2026-08-10T19:29:54Z</t>
        </is>
      </c>
    </row>
    <row r="1860">
      <c r="A1860" s="19" t="inlineStr">
        <is>
          <t>1859</t>
        </is>
      </c>
      <c r="B1860" s="19" t="inlineStr">
        <is>
          <t>1015106</t>
        </is>
      </c>
      <c r="C1860" t="inlineStr">
        <is>
          <t>AKÜ,D23,DK,70AH,IGYA SMF,BOOSTER CARBON</t>
        </is>
      </c>
      <c r="D1860" s="19" t="inlineStr">
        <is>
          <t>1</t>
        </is>
      </c>
      <c r="E1860" t="n">
        <v>0</v>
      </c>
      <c r="I1860" s="19" t="inlineStr">
        <is>
          <t>2</t>
        </is>
      </c>
      <c r="J1860" t="inlineStr">
        <is>
          <t>2026-08-08</t>
        </is>
      </c>
      <c r="L1860" s="19" t="inlineStr">
        <is>
          <t>1015106</t>
        </is>
      </c>
      <c r="M1860" t="inlineStr">
        <is>
          <t>STATUS=IN OEM / EU PACKAGE; SOURCE_CFG=IA-ST-CFG-0171; MARKET=BOOSTER</t>
        </is>
      </c>
      <c r="N1860" t="inlineStr">
        <is>
          <t>2026-08-10T19:29:54Z</t>
        </is>
      </c>
      <c r="O1860" t="inlineStr">
        <is>
          <t>2026-08-10T19:29:54Z</t>
        </is>
      </c>
    </row>
    <row r="1861">
      <c r="A1861" s="19" t="inlineStr">
        <is>
          <t>1860</t>
        </is>
      </c>
      <c r="B1861" s="19" t="inlineStr">
        <is>
          <t>1015107</t>
        </is>
      </c>
      <c r="C1861" t="inlineStr">
        <is>
          <t>AKÜ,NS60,DK,45AH,IGYASMF,BOOSTER PREMIUM</t>
        </is>
      </c>
      <c r="D1861" s="19" t="inlineStr">
        <is>
          <t>1</t>
        </is>
      </c>
      <c r="E1861" t="n">
        <v>0</v>
      </c>
      <c r="I1861" s="19" t="inlineStr">
        <is>
          <t>2</t>
        </is>
      </c>
      <c r="J1861" t="inlineStr">
        <is>
          <t>2026-08-08</t>
        </is>
      </c>
      <c r="L1861" s="19" t="inlineStr">
        <is>
          <t>1015107</t>
        </is>
      </c>
      <c r="M1861" t="inlineStr">
        <is>
          <t>STATUS=IN OEM / EU PACKAGE; SOURCE_CFG=IA-ST-CFG-0235; MARKET=BOOSTER</t>
        </is>
      </c>
      <c r="N1861" t="inlineStr">
        <is>
          <t>2026-08-10T19:29:54Z</t>
        </is>
      </c>
      <c r="O1861" t="inlineStr">
        <is>
          <t>2026-08-10T19:29:54Z</t>
        </is>
      </c>
    </row>
    <row r="1862">
      <c r="A1862" s="19" t="inlineStr">
        <is>
          <t>1861</t>
        </is>
      </c>
      <c r="B1862" s="19" t="inlineStr">
        <is>
          <t>1015108</t>
        </is>
      </c>
      <c r="C1862" t="inlineStr">
        <is>
          <t>AKÜ,NS60,TK,45AH,IGYASMF,BOOSTER PREMIUM</t>
        </is>
      </c>
      <c r="D1862" s="19" t="inlineStr">
        <is>
          <t>1</t>
        </is>
      </c>
      <c r="E1862" t="n">
        <v>0</v>
      </c>
      <c r="I1862" s="19" t="inlineStr">
        <is>
          <t>2</t>
        </is>
      </c>
      <c r="J1862" t="inlineStr">
        <is>
          <t>2026-08-08</t>
        </is>
      </c>
      <c r="L1862" s="19" t="inlineStr">
        <is>
          <t>1015108</t>
        </is>
      </c>
      <c r="M1862" t="inlineStr">
        <is>
          <t>STATUS=IN OEM / EU PACKAGE; SOURCE_CFG=IA-ST-CFG-0235; MARKET=BOOSTER</t>
        </is>
      </c>
      <c r="N1862" t="inlineStr">
        <is>
          <t>2026-08-10T19:29:54Z</t>
        </is>
      </c>
      <c r="O1862" t="inlineStr">
        <is>
          <t>2026-08-10T19:29:54Z</t>
        </is>
      </c>
    </row>
    <row r="1863">
      <c r="A1863" s="19" t="inlineStr">
        <is>
          <t>1862</t>
        </is>
      </c>
      <c r="B1863" s="19" t="inlineStr">
        <is>
          <t>1015109</t>
        </is>
      </c>
      <c r="C1863" t="inlineStr">
        <is>
          <t>AKÜ,L1,DK,52AH,IGYA,BPOWER ELITE,POLONYA</t>
        </is>
      </c>
      <c r="D1863" s="19" t="inlineStr">
        <is>
          <t>1</t>
        </is>
      </c>
      <c r="E1863" t="n">
        <v>0</v>
      </c>
      <c r="I1863" s="19" t="inlineStr">
        <is>
          <t>2</t>
        </is>
      </c>
      <c r="J1863" t="inlineStr">
        <is>
          <t>2026-08-08</t>
        </is>
      </c>
      <c r="L1863" s="19" t="inlineStr">
        <is>
          <t>1015109</t>
        </is>
      </c>
      <c r="M1863" t="inlineStr">
        <is>
          <t>STATUS=IN OEM / EU PACKAGE; SOURCE_CFG=IA-ST-CFG-0206; MARKET=BATERIE PRZEMYSLOWE POLONYA</t>
        </is>
      </c>
      <c r="N1863" t="inlineStr">
        <is>
          <t>2026-08-10T19:29:54Z</t>
        </is>
      </c>
      <c r="O1863" t="inlineStr">
        <is>
          <t>2026-08-10T19:29:54Z</t>
        </is>
      </c>
    </row>
    <row r="1864">
      <c r="A1864" s="19" t="inlineStr">
        <is>
          <t>1863</t>
        </is>
      </c>
      <c r="B1864" s="19" t="inlineStr">
        <is>
          <t>1015110</t>
        </is>
      </c>
      <c r="C1864" t="inlineStr">
        <is>
          <t>AKÜ,LB1,DK,52AH,IGYA,BPOWERELITE,POLONYA</t>
        </is>
      </c>
      <c r="D1864" s="19" t="inlineStr">
        <is>
          <t>1</t>
        </is>
      </c>
      <c r="E1864" t="n">
        <v>0</v>
      </c>
      <c r="I1864" s="19" t="inlineStr">
        <is>
          <t>2</t>
        </is>
      </c>
      <c r="J1864" t="inlineStr">
        <is>
          <t>2026-08-08</t>
        </is>
      </c>
      <c r="L1864" s="19" t="inlineStr">
        <is>
          <t>1015110</t>
        </is>
      </c>
      <c r="M1864" t="inlineStr">
        <is>
          <t>STATUS=IN OEM / EU PACKAGE; SOURCE_CFG=IA-ST-CFG-0206; MARKET=BATERIE PRZEMYSLOWE POLONYA</t>
        </is>
      </c>
      <c r="N1864" t="inlineStr">
        <is>
          <t>2026-08-10T19:29:54Z</t>
        </is>
      </c>
      <c r="O1864" t="inlineStr">
        <is>
          <t>2026-08-10T19:29:54Z</t>
        </is>
      </c>
    </row>
    <row r="1865">
      <c r="A1865" s="19" t="inlineStr">
        <is>
          <t>1864</t>
        </is>
      </c>
      <c r="B1865" s="19" t="inlineStr">
        <is>
          <t>1015111</t>
        </is>
      </c>
      <c r="C1865" t="inlineStr">
        <is>
          <t>AKÜ,LB1,DK,45AH,IGYA,BPOWERELITE,POLONYA</t>
        </is>
      </c>
      <c r="D1865" s="19" t="inlineStr">
        <is>
          <t>1</t>
        </is>
      </c>
      <c r="E1865" t="n">
        <v>0</v>
      </c>
      <c r="I1865" s="19" t="inlineStr">
        <is>
          <t>2</t>
        </is>
      </c>
      <c r="J1865" t="inlineStr">
        <is>
          <t>2026-08-08</t>
        </is>
      </c>
      <c r="L1865" s="19" t="inlineStr">
        <is>
          <t>1015111</t>
        </is>
      </c>
      <c r="M1865" t="inlineStr">
        <is>
          <t>STATUS=IN OEM / EU PACKAGE; SOURCE_CFG=IA-ST-CFG-0206; MARKET=BATERIE PRZEMYSLOWE POLONYA</t>
        </is>
      </c>
      <c r="N1865" t="inlineStr">
        <is>
          <t>2026-08-10T19:29:54Z</t>
        </is>
      </c>
      <c r="O1865" t="inlineStr">
        <is>
          <t>2026-08-10T19:29:54Z</t>
        </is>
      </c>
    </row>
    <row r="1866">
      <c r="A1866" s="19" t="inlineStr">
        <is>
          <t>1865</t>
        </is>
      </c>
      <c r="B1866" s="19" t="inlineStr">
        <is>
          <t>1015112</t>
        </is>
      </c>
      <c r="C1866" t="inlineStr">
        <is>
          <t>AKÜ,L2,DK,62AH,IGYA,BPOWER ELITE,POLONYA</t>
        </is>
      </c>
      <c r="D1866" s="19" t="inlineStr">
        <is>
          <t>1</t>
        </is>
      </c>
      <c r="E1866" t="n">
        <v>0</v>
      </c>
      <c r="I1866" s="19" t="inlineStr">
        <is>
          <t>2</t>
        </is>
      </c>
      <c r="J1866" t="inlineStr">
        <is>
          <t>2026-08-08</t>
        </is>
      </c>
      <c r="L1866" s="19" t="inlineStr">
        <is>
          <t>1015112</t>
        </is>
      </c>
      <c r="M1866" t="inlineStr">
        <is>
          <t>STATUS=IN OEM / EU PACKAGE; SOURCE_CFG=IA-ST-CFG-0164; MARKET=BATERIE PRZEMYSLOWE POLONYA</t>
        </is>
      </c>
      <c r="N1866" t="inlineStr">
        <is>
          <t>2026-08-10T19:29:54Z</t>
        </is>
      </c>
      <c r="O1866" t="inlineStr">
        <is>
          <t>2026-08-10T19:29:54Z</t>
        </is>
      </c>
    </row>
    <row r="1867">
      <c r="A1867" s="19" t="inlineStr">
        <is>
          <t>1866</t>
        </is>
      </c>
      <c r="B1867" s="19" t="inlineStr">
        <is>
          <t>1015113</t>
        </is>
      </c>
      <c r="C1867" t="inlineStr">
        <is>
          <t>AKÜ,LB2,DK,61AH,IGYA,BPOWERELITE,POLONYA</t>
        </is>
      </c>
      <c r="D1867" s="19" t="inlineStr">
        <is>
          <t>1</t>
        </is>
      </c>
      <c r="E1867" t="n">
        <v>0</v>
      </c>
      <c r="I1867" s="19" t="inlineStr">
        <is>
          <t>2</t>
        </is>
      </c>
      <c r="J1867" t="inlineStr">
        <is>
          <t>2026-08-08</t>
        </is>
      </c>
      <c r="L1867" s="19" t="inlineStr">
        <is>
          <t>1015113</t>
        </is>
      </c>
      <c r="M1867" t="inlineStr">
        <is>
          <t>STATUS=IN OEM / EU PACKAGE; SOURCE_CFG=IA-ST-CFG-0164; MARKET=BATERIE PRZEMYSLOWE POLONYA</t>
        </is>
      </c>
      <c r="N1867" t="inlineStr">
        <is>
          <t>2026-08-10T19:29:54Z</t>
        </is>
      </c>
      <c r="O1867" t="inlineStr">
        <is>
          <t>2026-08-10T19:29:54Z</t>
        </is>
      </c>
    </row>
    <row r="1868">
      <c r="A1868" s="19" t="inlineStr">
        <is>
          <t>1867</t>
        </is>
      </c>
      <c r="B1868" s="19" t="inlineStr">
        <is>
          <t>1015114</t>
        </is>
      </c>
      <c r="C1868" t="inlineStr">
        <is>
          <t>AKÜ,LB3,DK,74AH,IGYA,BPOWERELITE,POLONYA</t>
        </is>
      </c>
      <c r="D1868" s="19" t="inlineStr">
        <is>
          <t>1</t>
        </is>
      </c>
      <c r="E1868" t="n">
        <v>0</v>
      </c>
      <c r="I1868" s="19" t="inlineStr">
        <is>
          <t>2</t>
        </is>
      </c>
      <c r="J1868" t="inlineStr">
        <is>
          <t>2026-08-08</t>
        </is>
      </c>
      <c r="L1868" s="19" t="inlineStr">
        <is>
          <t>1015114</t>
        </is>
      </c>
      <c r="M1868" t="inlineStr">
        <is>
          <t>STATUS=IN OEM / EU PACKAGE; SOURCE_CFG=IA-ST-CFG-0135; MARKET=BATERIE PRZEMYSLOWE POLONYA</t>
        </is>
      </c>
      <c r="N1868" t="inlineStr">
        <is>
          <t>2026-08-10T19:29:54Z</t>
        </is>
      </c>
      <c r="O1868" t="inlineStr">
        <is>
          <t>2026-08-10T19:29:54Z</t>
        </is>
      </c>
    </row>
    <row r="1869">
      <c r="A1869" s="19" t="inlineStr">
        <is>
          <t>1868</t>
        </is>
      </c>
      <c r="B1869" s="19" t="inlineStr">
        <is>
          <t>1015115</t>
        </is>
      </c>
      <c r="C1869" t="inlineStr">
        <is>
          <t>AKÜ,L3,DK,75AH,IGYA,BPOWER ELITE,POLONYA</t>
        </is>
      </c>
      <c r="D1869" s="19" t="inlineStr">
        <is>
          <t>1</t>
        </is>
      </c>
      <c r="E1869" t="n">
        <v>0</v>
      </c>
      <c r="I1869" s="19" t="inlineStr">
        <is>
          <t>2</t>
        </is>
      </c>
      <c r="J1869" t="inlineStr">
        <is>
          <t>2026-08-08</t>
        </is>
      </c>
      <c r="L1869" s="19" t="inlineStr">
        <is>
          <t>1015115</t>
        </is>
      </c>
      <c r="M1869" t="inlineStr">
        <is>
          <t>STATUS=IN OEM / EU PACKAGE; SOURCE_CFG=IA-ST-CFG-0135; MARKET=BATERIE PRZEMYSLOWE POLONYA</t>
        </is>
      </c>
      <c r="N1869" t="inlineStr">
        <is>
          <t>2026-08-10T19:29:54Z</t>
        </is>
      </c>
      <c r="O1869" t="inlineStr">
        <is>
          <t>2026-08-10T19:29:54Z</t>
        </is>
      </c>
    </row>
    <row r="1870">
      <c r="A1870" s="19" t="inlineStr">
        <is>
          <t>1869</t>
        </is>
      </c>
      <c r="B1870" s="19" t="inlineStr">
        <is>
          <t>1015116</t>
        </is>
      </c>
      <c r="C1870" t="inlineStr">
        <is>
          <t>AKÜ,L4,DK,90AH,IGYA,BPOWER ELITE,POLONYA</t>
        </is>
      </c>
      <c r="D1870" s="19" t="inlineStr">
        <is>
          <t>1</t>
        </is>
      </c>
      <c r="E1870" t="n">
        <v>0</v>
      </c>
      <c r="I1870" s="19" t="inlineStr">
        <is>
          <t>2</t>
        </is>
      </c>
      <c r="J1870" t="inlineStr">
        <is>
          <t>2026-08-08</t>
        </is>
      </c>
      <c r="L1870" s="19" t="inlineStr">
        <is>
          <t>1015116</t>
        </is>
      </c>
      <c r="M1870" t="inlineStr">
        <is>
          <t>STATUS=IN OEM / EU PACKAGE; SOURCE_CFG=IA-ST-CFG-0087; MARKET=BATERIE PRZEMYSLOWE POLONYA</t>
        </is>
      </c>
      <c r="N1870" t="inlineStr">
        <is>
          <t>2026-08-10T19:29:54Z</t>
        </is>
      </c>
      <c r="O1870" t="inlineStr">
        <is>
          <t>2026-08-10T19:29:54Z</t>
        </is>
      </c>
    </row>
    <row r="1871">
      <c r="A1871" s="19" t="inlineStr">
        <is>
          <t>1870</t>
        </is>
      </c>
      <c r="B1871" s="19" t="inlineStr">
        <is>
          <t>1015117</t>
        </is>
      </c>
      <c r="C1871" t="inlineStr">
        <is>
          <t>AKÜ,LB4,DK,85AH,IGYA,BPOWERELITE,POLONYA</t>
        </is>
      </c>
      <c r="D1871" s="19" t="inlineStr">
        <is>
          <t>1</t>
        </is>
      </c>
      <c r="E1871" t="n">
        <v>0</v>
      </c>
      <c r="I1871" s="19" t="inlineStr">
        <is>
          <t>2</t>
        </is>
      </c>
      <c r="J1871" t="inlineStr">
        <is>
          <t>2026-08-08</t>
        </is>
      </c>
      <c r="L1871" s="19" t="inlineStr">
        <is>
          <t>1015117</t>
        </is>
      </c>
      <c r="M1871" t="inlineStr">
        <is>
          <t>STATUS=IN OEM / EU PACKAGE; SOURCE_CFG=IA-ST-CFG-0087; MARKET=BATERIE PRZEMYSLOWE POLONYA</t>
        </is>
      </c>
      <c r="N1871" t="inlineStr">
        <is>
          <t>2026-08-10T19:29:54Z</t>
        </is>
      </c>
      <c r="O1871" t="inlineStr">
        <is>
          <t>2026-08-10T19:29:54Z</t>
        </is>
      </c>
    </row>
    <row r="1872">
      <c r="A1872" s="19" t="inlineStr">
        <is>
          <t>1871</t>
        </is>
      </c>
      <c r="B1872" s="19" t="inlineStr">
        <is>
          <t>1015118</t>
        </is>
      </c>
      <c r="C1872" t="inlineStr">
        <is>
          <t>AKÜ,L5,DK,100AH,IGYA,BPOWERELITE,POLONYA</t>
        </is>
      </c>
      <c r="D1872" s="19" t="inlineStr">
        <is>
          <t>1</t>
        </is>
      </c>
      <c r="E1872" t="n">
        <v>0</v>
      </c>
      <c r="I1872" s="19" t="inlineStr">
        <is>
          <t>2</t>
        </is>
      </c>
      <c r="J1872" t="inlineStr">
        <is>
          <t>2026-08-08</t>
        </is>
      </c>
      <c r="L1872" s="19" t="inlineStr">
        <is>
          <t>1015118</t>
        </is>
      </c>
      <c r="M1872" t="inlineStr">
        <is>
          <t>STATUS=IN OEM / EU PACKAGE; SOURCE_CFG=IA-ST-CFG-0072; MARKET=BATERIE PRZEMYSLOWE POLONYA</t>
        </is>
      </c>
      <c r="N1872" t="inlineStr">
        <is>
          <t>2026-08-10T19:29:54Z</t>
        </is>
      </c>
      <c r="O1872" t="inlineStr">
        <is>
          <t>2026-08-10T19:29:54Z</t>
        </is>
      </c>
    </row>
    <row r="1873">
      <c r="A1873" s="19" t="inlineStr">
        <is>
          <t>1872</t>
        </is>
      </c>
      <c r="B1873" s="19" t="inlineStr">
        <is>
          <t>1015123</t>
        </is>
      </c>
      <c r="C1873" t="inlineStr">
        <is>
          <t>AKÜ,NS40,DK,35AH,IGYASMF,36B20,MARVEL</t>
        </is>
      </c>
      <c r="D1873" s="19" t="inlineStr">
        <is>
          <t>1</t>
        </is>
      </c>
      <c r="E1873" t="n">
        <v>0</v>
      </c>
      <c r="I1873" s="19" t="inlineStr">
        <is>
          <t>2</t>
        </is>
      </c>
      <c r="J1873" t="inlineStr">
        <is>
          <t>2026-08-08</t>
        </is>
      </c>
      <c r="L1873" s="19" t="inlineStr">
        <is>
          <t>1015123</t>
        </is>
      </c>
      <c r="M1873" t="inlineStr">
        <is>
          <t>STATUS=IN OEM / EU PACKAGE; SOURCE_CFG=IA-ST-CFG-0284; MARKET=AWAEL S.A.R.L. (LÜBNAN)</t>
        </is>
      </c>
      <c r="N1873" t="inlineStr">
        <is>
          <t>2026-08-10T19:29:54Z</t>
        </is>
      </c>
      <c r="O1873" t="inlineStr">
        <is>
          <t>2026-08-10T19:29:54Z</t>
        </is>
      </c>
    </row>
    <row r="1874">
      <c r="A1874" s="19" t="inlineStr">
        <is>
          <t>1873</t>
        </is>
      </c>
      <c r="B1874" s="19" t="inlineStr">
        <is>
          <t>1015124</t>
        </is>
      </c>
      <c r="C1874" t="inlineStr">
        <is>
          <t>AKÜ,NS60,DK,45AH,IGYASMF,55B24L,MARVEL</t>
        </is>
      </c>
      <c r="D1874" s="19" t="inlineStr">
        <is>
          <t>1</t>
        </is>
      </c>
      <c r="E1874" t="n">
        <v>0</v>
      </c>
      <c r="I1874" s="19" t="inlineStr">
        <is>
          <t>2</t>
        </is>
      </c>
      <c r="J1874" t="inlineStr">
        <is>
          <t>2026-08-08</t>
        </is>
      </c>
      <c r="L1874" s="19" t="inlineStr">
        <is>
          <t>1015124</t>
        </is>
      </c>
      <c r="M1874" t="inlineStr">
        <is>
          <t>STATUS=IN OEM / EU PACKAGE; SOURCE_CFG=IA-ST-CFG-0272; MARKET=AWAEL S.A.R.L. (LÜBNAN)</t>
        </is>
      </c>
      <c r="N1874" t="inlineStr">
        <is>
          <t>2026-08-10T19:29:54Z</t>
        </is>
      </c>
      <c r="O1874" t="inlineStr">
        <is>
          <t>2026-08-10T19:29:54Z</t>
        </is>
      </c>
    </row>
    <row r="1875">
      <c r="A1875" s="19" t="inlineStr">
        <is>
          <t>1874</t>
        </is>
      </c>
      <c r="B1875" s="19" t="inlineStr">
        <is>
          <t>1015125</t>
        </is>
      </c>
      <c r="C1875" t="inlineStr">
        <is>
          <t>AKÜ,L2,DK,55AH,IGYA SMF,DIN55,MARVEL</t>
        </is>
      </c>
      <c r="D1875" s="19" t="inlineStr">
        <is>
          <t>1</t>
        </is>
      </c>
      <c r="E1875" t="n">
        <v>0</v>
      </c>
      <c r="I1875" s="19" t="inlineStr">
        <is>
          <t>2</t>
        </is>
      </c>
      <c r="J1875" t="inlineStr">
        <is>
          <t>2026-08-08</t>
        </is>
      </c>
      <c r="L1875" s="19" t="inlineStr">
        <is>
          <t>1015125</t>
        </is>
      </c>
      <c r="M1875" t="inlineStr">
        <is>
          <t>STATUS=IN OEM / EU PACKAGE; SOURCE_CFG=IA-ST-CFG-0222; MARKET=AWAEL S.A.R.L. (LÜBNAN)</t>
        </is>
      </c>
      <c r="N1875" t="inlineStr">
        <is>
          <t>2026-08-10T19:29:54Z</t>
        </is>
      </c>
      <c r="O1875" t="inlineStr">
        <is>
          <t>2026-08-10T19:29:54Z</t>
        </is>
      </c>
    </row>
    <row r="1876">
      <c r="A1876" s="19" t="inlineStr">
        <is>
          <t>1875</t>
        </is>
      </c>
      <c r="B1876" s="19" t="inlineStr">
        <is>
          <t>1015126</t>
        </is>
      </c>
      <c r="C1876" t="inlineStr">
        <is>
          <t>AKÜ,L3,DK,70AH,IGYA SMF,DIN66,MARVEL</t>
        </is>
      </c>
      <c r="D1876" s="19" t="inlineStr">
        <is>
          <t>1</t>
        </is>
      </c>
      <c r="E1876" t="n">
        <v>0</v>
      </c>
      <c r="I1876" s="19" t="inlineStr">
        <is>
          <t>2</t>
        </is>
      </c>
      <c r="J1876" t="inlineStr">
        <is>
          <t>2026-08-08</t>
        </is>
      </c>
      <c r="L1876" s="19" t="inlineStr">
        <is>
          <t>1015126</t>
        </is>
      </c>
      <c r="M1876" t="inlineStr">
        <is>
          <t>STATUS=IN OEM / EU PACKAGE; SOURCE_CFG=IA-ST-CFG-0179; MARKET=AWAEL S.A.R.L. (LÜBNAN)</t>
        </is>
      </c>
      <c r="N1876" t="inlineStr">
        <is>
          <t>2026-08-10T19:29:54Z</t>
        </is>
      </c>
      <c r="O1876" t="inlineStr">
        <is>
          <t>2026-08-10T19:29:54Z</t>
        </is>
      </c>
    </row>
    <row r="1877">
      <c r="A1877" s="19" t="inlineStr">
        <is>
          <t>1876</t>
        </is>
      </c>
      <c r="B1877" s="19" t="inlineStr">
        <is>
          <t>1015127</t>
        </is>
      </c>
      <c r="C1877" t="inlineStr">
        <is>
          <t>AKÜ,D26,DK,75AH,IGYA SMF,80D26L,MARVEL</t>
        </is>
      </c>
      <c r="D1877" s="19" t="inlineStr">
        <is>
          <t>1</t>
        </is>
      </c>
      <c r="E1877" t="n">
        <v>0</v>
      </c>
      <c r="I1877" s="19" t="inlineStr">
        <is>
          <t>2</t>
        </is>
      </c>
      <c r="J1877" t="inlineStr">
        <is>
          <t>2026-08-08</t>
        </is>
      </c>
      <c r="L1877" s="19" t="inlineStr">
        <is>
          <t>1015127</t>
        </is>
      </c>
      <c r="M1877" t="inlineStr">
        <is>
          <t>STATUS=IN OEM / EU PACKAGE; SOURCE_CFG=IA-ST-CFG-0175; MARKET=AWAEL S.A.R.L. (LÜBNAN)</t>
        </is>
      </c>
      <c r="N1877" t="inlineStr">
        <is>
          <t>2026-08-10T19:29:54Z</t>
        </is>
      </c>
      <c r="O1877" t="inlineStr">
        <is>
          <t>2026-08-10T19:29:54Z</t>
        </is>
      </c>
    </row>
    <row r="1878">
      <c r="A1878" s="19" t="inlineStr">
        <is>
          <t>1877</t>
        </is>
      </c>
      <c r="B1878" s="19" t="inlineStr">
        <is>
          <t>1015128</t>
        </is>
      </c>
      <c r="C1878" t="inlineStr">
        <is>
          <t>AKÜ,D31,TK,100AH,IGYA SMF,105D31R,MARVEL</t>
        </is>
      </c>
      <c r="D1878" s="19" t="inlineStr">
        <is>
          <t>1</t>
        </is>
      </c>
      <c r="E1878" t="n">
        <v>0</v>
      </c>
      <c r="I1878" s="19" t="inlineStr">
        <is>
          <t>2</t>
        </is>
      </c>
      <c r="J1878" t="inlineStr">
        <is>
          <t>2026-08-08</t>
        </is>
      </c>
      <c r="L1878" s="19" t="inlineStr">
        <is>
          <t>1015128</t>
        </is>
      </c>
      <c r="M1878" t="inlineStr">
        <is>
          <t>STATUS=IN OEM / EU PACKAGE; SOURCE_CFG=IA-ST-CFG-0143; MARKET=AWAEL S.A.R.L. (LÜBNAN)</t>
        </is>
      </c>
      <c r="N1878" t="inlineStr">
        <is>
          <t>2026-08-10T19:29:54Z</t>
        </is>
      </c>
      <c r="O1878" t="inlineStr">
        <is>
          <t>2026-08-10T19:29:54Z</t>
        </is>
      </c>
    </row>
    <row r="1879">
      <c r="A1879" s="19" t="inlineStr">
        <is>
          <t>1878</t>
        </is>
      </c>
      <c r="B1879" s="19" t="inlineStr">
        <is>
          <t>1015129</t>
        </is>
      </c>
      <c r="C1879" t="inlineStr">
        <is>
          <t>AKÜ,L5,DK,100AH,IGYA SMF,60044,MARVEL</t>
        </is>
      </c>
      <c r="D1879" s="19" t="inlineStr">
        <is>
          <t>1</t>
        </is>
      </c>
      <c r="E1879" t="n">
        <v>0</v>
      </c>
      <c r="I1879" s="19" t="inlineStr">
        <is>
          <t>2</t>
        </is>
      </c>
      <c r="J1879" t="inlineStr">
        <is>
          <t>2026-08-08</t>
        </is>
      </c>
      <c r="L1879" s="19" t="inlineStr">
        <is>
          <t>1015129</t>
        </is>
      </c>
      <c r="M1879" t="inlineStr">
        <is>
          <t>STATUS=IN OEM / EU PACKAGE; SOURCE_CFG=IA-ST-CFG-0096; MARKET=AWAEL S.A.R.L. (LÜBNAN)</t>
        </is>
      </c>
      <c r="N1879" t="inlineStr">
        <is>
          <t>2026-08-10T19:29:54Z</t>
        </is>
      </c>
      <c r="O1879" t="inlineStr">
        <is>
          <t>2026-08-10T19:29:54Z</t>
        </is>
      </c>
    </row>
    <row r="1880">
      <c r="A1880" s="19" t="inlineStr">
        <is>
          <t>1879</t>
        </is>
      </c>
      <c r="B1880" s="19" t="inlineStr">
        <is>
          <t>1015130</t>
        </is>
      </c>
      <c r="C1880" t="inlineStr">
        <is>
          <t>AKÜ,A-IGYA,DK,140AH,BOOSTER PREMIUM ECO</t>
        </is>
      </c>
      <c r="D1880" s="19" t="inlineStr">
        <is>
          <t>1</t>
        </is>
      </c>
      <c r="E1880" t="n">
        <v>0</v>
      </c>
      <c r="I1880" s="19" t="inlineStr">
        <is>
          <t>2</t>
        </is>
      </c>
      <c r="J1880" t="inlineStr">
        <is>
          <t>2026-08-08</t>
        </is>
      </c>
      <c r="L1880" s="19" t="inlineStr">
        <is>
          <t>1015130</t>
        </is>
      </c>
      <c r="M1880" t="inlineStr">
        <is>
          <t>STATUS=IN OEM / EU PACKAGE; SOURCE_CFG=IA-ST-CFG-0039; MARKET=BOOSTER</t>
        </is>
      </c>
      <c r="N1880" t="inlineStr">
        <is>
          <t>2026-08-10T19:29:54Z</t>
        </is>
      </c>
      <c r="O1880" t="inlineStr">
        <is>
          <t>2026-08-10T19:29:54Z</t>
        </is>
      </c>
    </row>
    <row r="1881">
      <c r="A1881" s="19" t="inlineStr">
        <is>
          <t>1880</t>
        </is>
      </c>
      <c r="B1881" s="19" t="inlineStr">
        <is>
          <t>1015131</t>
        </is>
      </c>
      <c r="C1881" t="inlineStr">
        <is>
          <t>AKÜ,B-IGYA,DK,180AH,BOOSTER PREMIUM ECO</t>
        </is>
      </c>
      <c r="D1881" s="19" t="inlineStr">
        <is>
          <t>1</t>
        </is>
      </c>
      <c r="E1881" t="n">
        <v>0</v>
      </c>
      <c r="I1881" s="19" t="inlineStr">
        <is>
          <t>2</t>
        </is>
      </c>
      <c r="J1881" t="inlineStr">
        <is>
          <t>2026-08-08</t>
        </is>
      </c>
      <c r="L1881" s="19" t="inlineStr">
        <is>
          <t>1015131</t>
        </is>
      </c>
      <c r="M1881" t="inlineStr">
        <is>
          <t>STATUS=IN OEM / EU PACKAGE; SOURCE_CFG=IA-ST-CFG-0029; MARKET=BOOSTER</t>
        </is>
      </c>
      <c r="N1881" t="inlineStr">
        <is>
          <t>2026-08-10T19:29:54Z</t>
        </is>
      </c>
      <c r="O1881" t="inlineStr">
        <is>
          <t>2026-08-10T19:29:54Z</t>
        </is>
      </c>
    </row>
    <row r="1882">
      <c r="A1882" s="19" t="inlineStr">
        <is>
          <t>1881</t>
        </is>
      </c>
      <c r="B1882" s="19" t="inlineStr">
        <is>
          <t>1015132</t>
        </is>
      </c>
      <c r="C1882" t="inlineStr">
        <is>
          <t>AKÜ,C-IGYA,DK,225AH,BOOSTER PREMIUM ECO</t>
        </is>
      </c>
      <c r="D1882" s="19" t="inlineStr">
        <is>
          <t>1</t>
        </is>
      </c>
      <c r="E1882" t="n">
        <v>0</v>
      </c>
      <c r="I1882" s="19" t="inlineStr">
        <is>
          <t>2</t>
        </is>
      </c>
      <c r="J1882" t="inlineStr">
        <is>
          <t>2026-08-08</t>
        </is>
      </c>
      <c r="L1882" s="19" t="inlineStr">
        <is>
          <t>1015132</t>
        </is>
      </c>
      <c r="M1882" t="inlineStr">
        <is>
          <t>STATUS=IN OEM / EU PACKAGE; SOURCE_CFG=IA-ST-CFG-0014; MARKET=BOOSTER</t>
        </is>
      </c>
      <c r="N1882" t="inlineStr">
        <is>
          <t>2026-08-10T19:29:54Z</t>
        </is>
      </c>
      <c r="O1882" t="inlineStr">
        <is>
          <t>2026-08-10T19:29:54Z</t>
        </is>
      </c>
    </row>
    <row r="1883">
      <c r="A1883" s="19" t="inlineStr">
        <is>
          <t>1882</t>
        </is>
      </c>
      <c r="B1883" s="19" t="inlineStr">
        <is>
          <t>1015133</t>
        </is>
      </c>
      <c r="C1883" t="inlineStr">
        <is>
          <t>AKÜ,L2,TK,60AH,IGYA SMF,EAS ACTIVA</t>
        </is>
      </c>
      <c r="D1883" s="19" t="inlineStr">
        <is>
          <t>1</t>
        </is>
      </c>
      <c r="E1883" t="n">
        <v>0</v>
      </c>
      <c r="I1883" s="19" t="inlineStr">
        <is>
          <t>2</t>
        </is>
      </c>
      <c r="J1883" t="inlineStr">
        <is>
          <t>2026-08-08</t>
        </is>
      </c>
      <c r="L1883" s="19" t="inlineStr">
        <is>
          <t>1015133</t>
        </is>
      </c>
      <c r="M1883" t="inlineStr">
        <is>
          <t>STATUS=IN OEM / EU PACKAGE; SOURCE_CFG=IA-ST-CFG-0222; MARKET=None</t>
        </is>
      </c>
      <c r="N1883" t="inlineStr">
        <is>
          <t>2026-08-10T19:29:54Z</t>
        </is>
      </c>
      <c r="O1883" t="inlineStr">
        <is>
          <t>2026-08-10T19:29:54Z</t>
        </is>
      </c>
    </row>
    <row r="1884">
      <c r="A1884" s="19" t="inlineStr">
        <is>
          <t>1883</t>
        </is>
      </c>
      <c r="B1884" s="19" t="inlineStr">
        <is>
          <t>1015134</t>
        </is>
      </c>
      <c r="C1884" t="inlineStr">
        <is>
          <t>AKÜ,NS40,TK,35AH,IGYA SMF,EAS ACTIVA</t>
        </is>
      </c>
      <c r="D1884" s="19" t="inlineStr">
        <is>
          <t>1</t>
        </is>
      </c>
      <c r="E1884" t="n">
        <v>0</v>
      </c>
      <c r="I1884" s="19" t="inlineStr">
        <is>
          <t>2</t>
        </is>
      </c>
      <c r="J1884" t="inlineStr">
        <is>
          <t>2026-08-08</t>
        </is>
      </c>
      <c r="L1884" s="19" t="inlineStr">
        <is>
          <t>1015134</t>
        </is>
      </c>
      <c r="M1884" t="inlineStr">
        <is>
          <t>STATUS=IN OEM / EU PACKAGE; SOURCE_CFG=IA-ST-CFG-0284; MARKET=None</t>
        </is>
      </c>
      <c r="N1884" t="inlineStr">
        <is>
          <t>2026-08-10T19:29:54Z</t>
        </is>
      </c>
      <c r="O1884" t="inlineStr">
        <is>
          <t>2026-08-10T19:29:54Z</t>
        </is>
      </c>
    </row>
    <row r="1885">
      <c r="A1885" s="19" t="inlineStr">
        <is>
          <t>1884</t>
        </is>
      </c>
      <c r="B1885" s="19" t="inlineStr">
        <is>
          <t>1015135</t>
        </is>
      </c>
      <c r="C1885" t="inlineStr">
        <is>
          <t>AKÜ,NS40,DK,35AH,IGYA SMF,EAS ACTIVA</t>
        </is>
      </c>
      <c r="D1885" s="19" t="inlineStr">
        <is>
          <t>1</t>
        </is>
      </c>
      <c r="E1885" t="n">
        <v>0</v>
      </c>
      <c r="I1885" s="19" t="inlineStr">
        <is>
          <t>2</t>
        </is>
      </c>
      <c r="J1885" t="inlineStr">
        <is>
          <t>2026-08-08</t>
        </is>
      </c>
      <c r="L1885" s="19" t="inlineStr">
        <is>
          <t>1015135</t>
        </is>
      </c>
      <c r="M1885" t="inlineStr">
        <is>
          <t>STATUS=IN OEM / EU PACKAGE; SOURCE_CFG=IA-ST-CFG-0284; MARKET=None</t>
        </is>
      </c>
      <c r="N1885" t="inlineStr">
        <is>
          <t>2026-08-10T19:29:54Z</t>
        </is>
      </c>
      <c r="O1885" t="inlineStr">
        <is>
          <t>2026-08-10T19:29:54Z</t>
        </is>
      </c>
    </row>
    <row r="1886">
      <c r="A1886" s="19" t="inlineStr">
        <is>
          <t>1885</t>
        </is>
      </c>
      <c r="B1886" s="19" t="inlineStr">
        <is>
          <t>1015136</t>
        </is>
      </c>
      <c r="C1886" t="inlineStr">
        <is>
          <t>AKÜ,NS40,DK,42AH,IGYA SMF,EAS ACTIVA</t>
        </is>
      </c>
      <c r="D1886" s="19" t="inlineStr">
        <is>
          <t>1</t>
        </is>
      </c>
      <c r="E1886" t="n">
        <v>0</v>
      </c>
      <c r="I1886" s="19" t="inlineStr">
        <is>
          <t>2</t>
        </is>
      </c>
      <c r="J1886" t="inlineStr">
        <is>
          <t>2026-08-08</t>
        </is>
      </c>
      <c r="L1886" s="19" t="inlineStr">
        <is>
          <t>1015136</t>
        </is>
      </c>
      <c r="M1886" t="inlineStr">
        <is>
          <t>STATUS=IN OEM / EU PACKAGE; SOURCE_CFG=IA-ST-CFG-0284; MARKET=None</t>
        </is>
      </c>
      <c r="N1886" t="inlineStr">
        <is>
          <t>2026-08-10T19:29:54Z</t>
        </is>
      </c>
      <c r="O1886" t="inlineStr">
        <is>
          <t>2026-08-10T19:29:54Z</t>
        </is>
      </c>
    </row>
    <row r="1887">
      <c r="A1887" s="19" t="inlineStr">
        <is>
          <t>1886</t>
        </is>
      </c>
      <c r="B1887" s="19" t="inlineStr">
        <is>
          <t>1015137</t>
        </is>
      </c>
      <c r="C1887" t="inlineStr">
        <is>
          <t>AKÜ,NS60,DK,45AH,IGYA SMF,EAS ACTIVA</t>
        </is>
      </c>
      <c r="D1887" s="19" t="inlineStr">
        <is>
          <t>1</t>
        </is>
      </c>
      <c r="E1887" t="n">
        <v>0</v>
      </c>
      <c r="I1887" s="19" t="inlineStr">
        <is>
          <t>2</t>
        </is>
      </c>
      <c r="J1887" t="inlineStr">
        <is>
          <t>2026-08-08</t>
        </is>
      </c>
      <c r="L1887" s="19" t="inlineStr">
        <is>
          <t>1015137</t>
        </is>
      </c>
      <c r="M1887" t="inlineStr">
        <is>
          <t>STATUS=IN OEM / EU PACKAGE; SOURCE_CFG=IA-ST-CFG-0272; MARKET=None</t>
        </is>
      </c>
      <c r="N1887" t="inlineStr">
        <is>
          <t>2026-08-10T19:29:54Z</t>
        </is>
      </c>
      <c r="O1887" t="inlineStr">
        <is>
          <t>2026-08-10T19:29:54Z</t>
        </is>
      </c>
    </row>
    <row r="1888">
      <c r="A1888" s="19" t="inlineStr">
        <is>
          <t>1887</t>
        </is>
      </c>
      <c r="B1888" s="19" t="inlineStr">
        <is>
          <t>1015138</t>
        </is>
      </c>
      <c r="C1888" t="inlineStr">
        <is>
          <t>KÜ,NS60,TK,45AH,IGYA SMF,EAS ACTIVA</t>
        </is>
      </c>
      <c r="D1888" s="19" t="inlineStr">
        <is>
          <t>1</t>
        </is>
      </c>
      <c r="E1888" t="n">
        <v>0</v>
      </c>
      <c r="I1888" s="19" t="inlineStr">
        <is>
          <t>2</t>
        </is>
      </c>
      <c r="J1888" t="inlineStr">
        <is>
          <t>2026-08-08</t>
        </is>
      </c>
      <c r="L1888" s="19" t="inlineStr">
        <is>
          <t>1015138</t>
        </is>
      </c>
      <c r="M1888" t="inlineStr">
        <is>
          <t>STATUS=IN OEM / EU PACKAGE; SOURCE_CFG=IA-ST-CFG-0272; MARKET=None</t>
        </is>
      </c>
      <c r="N1888" t="inlineStr">
        <is>
          <t>2026-08-10T19:29:54Z</t>
        </is>
      </c>
      <c r="O1888" t="inlineStr">
        <is>
          <t>2026-08-10T19:29:54Z</t>
        </is>
      </c>
    </row>
    <row r="1889">
      <c r="A1889" s="19" t="inlineStr">
        <is>
          <t>1888</t>
        </is>
      </c>
      <c r="B1889" s="19" t="inlineStr">
        <is>
          <t>1015139</t>
        </is>
      </c>
      <c r="C1889" t="inlineStr">
        <is>
          <t>AKÜ,D23,DK,60AH,IGYA SMF,EAS ACTIVA</t>
        </is>
      </c>
      <c r="D1889" s="19" t="inlineStr">
        <is>
          <t>1</t>
        </is>
      </c>
      <c r="E1889" t="n">
        <v>0</v>
      </c>
      <c r="I1889" s="19" t="inlineStr">
        <is>
          <t>2</t>
        </is>
      </c>
      <c r="J1889" t="inlineStr">
        <is>
          <t>2026-08-08</t>
        </is>
      </c>
      <c r="L1889" s="19" t="inlineStr">
        <is>
          <t>1015139</t>
        </is>
      </c>
      <c r="M1889" t="inlineStr">
        <is>
          <t>STATUS=IN OEM / EU PACKAGE; SOURCE_CFG=IA-ST-CFG-0219; MARKET=None</t>
        </is>
      </c>
      <c r="N1889" t="inlineStr">
        <is>
          <t>2026-08-10T19:29:54Z</t>
        </is>
      </c>
      <c r="O1889" t="inlineStr">
        <is>
          <t>2026-08-10T19:29:54Z</t>
        </is>
      </c>
    </row>
    <row r="1890">
      <c r="A1890" s="19" t="inlineStr">
        <is>
          <t>1889</t>
        </is>
      </c>
      <c r="B1890" s="19" t="inlineStr">
        <is>
          <t>1015140</t>
        </is>
      </c>
      <c r="C1890" t="inlineStr">
        <is>
          <t>AKÜ,D26,DK,72AH,IGYA SMF,EAS ACTIVA</t>
        </is>
      </c>
      <c r="D1890" s="19" t="inlineStr">
        <is>
          <t>1</t>
        </is>
      </c>
      <c r="E1890" t="n">
        <v>0</v>
      </c>
      <c r="I1890" s="19" t="inlineStr">
        <is>
          <t>2</t>
        </is>
      </c>
      <c r="J1890" t="inlineStr">
        <is>
          <t>2026-08-08</t>
        </is>
      </c>
      <c r="L1890" s="19" t="inlineStr">
        <is>
          <t>1015140</t>
        </is>
      </c>
      <c r="M1890" t="inlineStr">
        <is>
          <t>STATUS=IN OEM / EU PACKAGE; SOURCE_CFG=IA-ST-CFG-0175; MARKET=None</t>
        </is>
      </c>
      <c r="N1890" t="inlineStr">
        <is>
          <t>2026-08-10T19:29:54Z</t>
        </is>
      </c>
      <c r="O1890" t="inlineStr">
        <is>
          <t>2026-08-10T19:29:54Z</t>
        </is>
      </c>
    </row>
    <row r="1891">
      <c r="A1891" s="19" t="inlineStr">
        <is>
          <t>1890</t>
        </is>
      </c>
      <c r="B1891" s="19" t="inlineStr">
        <is>
          <t>1015141</t>
        </is>
      </c>
      <c r="C1891" t="inlineStr">
        <is>
          <t>KÜ,D26,TK,72AH,IGYA SMF,EAS ACTIVA</t>
        </is>
      </c>
      <c r="D1891" s="19" t="inlineStr">
        <is>
          <t>1</t>
        </is>
      </c>
      <c r="E1891" t="n">
        <v>0</v>
      </c>
      <c r="I1891" s="19" t="inlineStr">
        <is>
          <t>2</t>
        </is>
      </c>
      <c r="J1891" t="inlineStr">
        <is>
          <t>2026-08-08</t>
        </is>
      </c>
      <c r="L1891" s="19" t="inlineStr">
        <is>
          <t>1015141</t>
        </is>
      </c>
      <c r="M1891" t="inlineStr">
        <is>
          <t>STATUS=IN OEM / EU PACKAGE; SOURCE_CFG=IA-ST-CFG-0175; MARKET=None</t>
        </is>
      </c>
      <c r="N1891" t="inlineStr">
        <is>
          <t>2026-08-10T19:29:54Z</t>
        </is>
      </c>
      <c r="O1891" t="inlineStr">
        <is>
          <t>2026-08-10T19:29:54Z</t>
        </is>
      </c>
    </row>
    <row r="1892">
      <c r="A1892" s="19" t="inlineStr">
        <is>
          <t>1891</t>
        </is>
      </c>
      <c r="B1892" s="19" t="inlineStr">
        <is>
          <t>1015142</t>
        </is>
      </c>
      <c r="C1892" t="inlineStr">
        <is>
          <t>AKÜ,D31,DK,80AH,IGYA SMF,EAS ACTIVA</t>
        </is>
      </c>
      <c r="D1892" s="19" t="inlineStr">
        <is>
          <t>1</t>
        </is>
      </c>
      <c r="E1892" t="n">
        <v>0</v>
      </c>
      <c r="I1892" s="19" t="inlineStr">
        <is>
          <t>2</t>
        </is>
      </c>
      <c r="J1892" t="inlineStr">
        <is>
          <t>2026-08-08</t>
        </is>
      </c>
      <c r="L1892" s="19" t="inlineStr">
        <is>
          <t>1015142</t>
        </is>
      </c>
      <c r="M1892" t="inlineStr">
        <is>
          <t>STATUS=IN OEM / EU PACKAGE; SOURCE_CFG=IA-ST-CFG-0143; MARKET=None</t>
        </is>
      </c>
      <c r="N1892" t="inlineStr">
        <is>
          <t>2026-08-10T19:29:54Z</t>
        </is>
      </c>
      <c r="O1892" t="inlineStr">
        <is>
          <t>2026-08-10T19:29:54Z</t>
        </is>
      </c>
    </row>
    <row r="1893">
      <c r="A1893" s="19" t="inlineStr">
        <is>
          <t>1892</t>
        </is>
      </c>
      <c r="B1893" s="19" t="inlineStr">
        <is>
          <t>1015143</t>
        </is>
      </c>
      <c r="C1893" t="inlineStr">
        <is>
          <t>AKÜ,D31,DK,90AH,IGYA SMF,EAS ACTIVA</t>
        </is>
      </c>
      <c r="D1893" s="19" t="inlineStr">
        <is>
          <t>1</t>
        </is>
      </c>
      <c r="E1893" t="n">
        <v>0</v>
      </c>
      <c r="I1893" s="19" t="inlineStr">
        <is>
          <t>2</t>
        </is>
      </c>
      <c r="J1893" t="inlineStr">
        <is>
          <t>2026-08-08</t>
        </is>
      </c>
      <c r="L1893" s="19" t="inlineStr">
        <is>
          <t>1015143</t>
        </is>
      </c>
      <c r="M1893" t="inlineStr">
        <is>
          <t>STATUS=IN OEM / EU PACKAGE; SOURCE_CFG=IA-ST-CFG-0143; MARKET=None</t>
        </is>
      </c>
      <c r="N1893" t="inlineStr">
        <is>
          <t>2026-08-10T19:29:54Z</t>
        </is>
      </c>
      <c r="O1893" t="inlineStr">
        <is>
          <t>2026-08-10T19:29:54Z</t>
        </is>
      </c>
    </row>
    <row r="1894">
      <c r="A1894" s="19" t="inlineStr">
        <is>
          <t>1893</t>
        </is>
      </c>
      <c r="B1894" s="19" t="inlineStr">
        <is>
          <t>1015144</t>
        </is>
      </c>
      <c r="C1894" t="inlineStr">
        <is>
          <t>AKÜ,D31,TK,90AH,IGYA SMF,EAS ACTIVA</t>
        </is>
      </c>
      <c r="D1894" s="19" t="inlineStr">
        <is>
          <t>1</t>
        </is>
      </c>
      <c r="E1894" t="n">
        <v>0</v>
      </c>
      <c r="I1894" s="19" t="inlineStr">
        <is>
          <t>2</t>
        </is>
      </c>
      <c r="J1894" t="inlineStr">
        <is>
          <t>2026-08-08</t>
        </is>
      </c>
      <c r="L1894" s="19" t="inlineStr">
        <is>
          <t>1015144</t>
        </is>
      </c>
      <c r="M1894" t="inlineStr">
        <is>
          <t>STATUS=IN OEM / EU PACKAGE; SOURCE_CFG=IA-ST-CFG-0143; MARKET=None</t>
        </is>
      </c>
      <c r="N1894" t="inlineStr">
        <is>
          <t>2026-08-10T19:29:54Z</t>
        </is>
      </c>
      <c r="O1894" t="inlineStr">
        <is>
          <t>2026-08-10T19:29:54Z</t>
        </is>
      </c>
    </row>
    <row r="1895">
      <c r="A1895" s="19" t="inlineStr">
        <is>
          <t>1894</t>
        </is>
      </c>
      <c r="B1895" s="19" t="inlineStr">
        <is>
          <t>1015145</t>
        </is>
      </c>
      <c r="C1895" t="inlineStr">
        <is>
          <t>AKÜ,L5,DK,90AH,IGYA SMF,EAS EFB S&amp;S</t>
        </is>
      </c>
      <c r="D1895" s="19" t="inlineStr">
        <is>
          <t>1</t>
        </is>
      </c>
      <c r="E1895" t="n">
        <v>0</v>
      </c>
      <c r="I1895" s="19" t="inlineStr">
        <is>
          <t>2</t>
        </is>
      </c>
      <c r="J1895" t="inlineStr">
        <is>
          <t>2026-08-08</t>
        </is>
      </c>
      <c r="L1895" s="19" t="inlineStr">
        <is>
          <t>1015145</t>
        </is>
      </c>
      <c r="M1895" t="inlineStr">
        <is>
          <t>STATUS=IN OEM / EU PACKAGE; SOURCE_CFG=IA-ST-CFG-0096; MARKET=None</t>
        </is>
      </c>
      <c r="N1895" t="inlineStr">
        <is>
          <t>2026-08-10T19:29:54Z</t>
        </is>
      </c>
      <c r="O1895" t="inlineStr">
        <is>
          <t>2026-08-10T19:29:54Z</t>
        </is>
      </c>
    </row>
    <row r="1896">
      <c r="A1896" s="19" t="inlineStr">
        <is>
          <t>1895</t>
        </is>
      </c>
      <c r="B1896" s="19" t="inlineStr">
        <is>
          <t>1015146</t>
        </is>
      </c>
      <c r="C1896" t="inlineStr">
        <is>
          <t>AKÜ,D23,DK,65AH,IGYA SMF,EAS EFB S&amp;S</t>
        </is>
      </c>
      <c r="D1896" s="19" t="inlineStr">
        <is>
          <t>1</t>
        </is>
      </c>
      <c r="E1896" t="n">
        <v>0</v>
      </c>
      <c r="I1896" s="19" t="inlineStr">
        <is>
          <t>2</t>
        </is>
      </c>
      <c r="J1896" t="inlineStr">
        <is>
          <t>2026-08-08</t>
        </is>
      </c>
      <c r="L1896" s="19" t="inlineStr">
        <is>
          <t>1015146</t>
        </is>
      </c>
      <c r="M1896" t="inlineStr">
        <is>
          <t>STATUS=IN OEM / EU PACKAGE; SOURCE_CFG=IA-ST-CFG-0219; MARKET=None</t>
        </is>
      </c>
      <c r="N1896" t="inlineStr">
        <is>
          <t>2026-08-10T19:29:54Z</t>
        </is>
      </c>
      <c r="O1896" t="inlineStr">
        <is>
          <t>2026-08-10T19:29:54Z</t>
        </is>
      </c>
    </row>
    <row r="1897">
      <c r="A1897" s="19" t="inlineStr">
        <is>
          <t>1896</t>
        </is>
      </c>
      <c r="B1897" s="19" t="inlineStr">
        <is>
          <t>1015147</t>
        </is>
      </c>
      <c r="C1897" t="inlineStr">
        <is>
          <t>AKÜ,A-IGYASMF,DK,120AH,EAS ACTIVA</t>
        </is>
      </c>
      <c r="D1897" s="19" t="inlineStr">
        <is>
          <t>1</t>
        </is>
      </c>
      <c r="E1897" t="n">
        <v>0</v>
      </c>
      <c r="I1897" s="19" t="inlineStr">
        <is>
          <t>2</t>
        </is>
      </c>
      <c r="J1897" t="inlineStr">
        <is>
          <t>2026-08-08</t>
        </is>
      </c>
      <c r="L1897" s="19" t="inlineStr">
        <is>
          <t>1015147</t>
        </is>
      </c>
      <c r="M1897" t="inlineStr">
        <is>
          <t>STATUS=IN OEM / EU PACKAGE; SOURCE_CFG=IA-ST-CFG-0051; MARKET=None</t>
        </is>
      </c>
      <c r="N1897" t="inlineStr">
        <is>
          <t>2026-08-10T19:29:54Z</t>
        </is>
      </c>
      <c r="O1897" t="inlineStr">
        <is>
          <t>2026-08-10T19:29:54Z</t>
        </is>
      </c>
    </row>
    <row r="1898">
      <c r="A1898" s="19" t="inlineStr">
        <is>
          <t>1897</t>
        </is>
      </c>
      <c r="B1898" s="19" t="inlineStr">
        <is>
          <t>1015148</t>
        </is>
      </c>
      <c r="C1898" t="inlineStr">
        <is>
          <t>AKÜ,C-IGYASMF,DK,250AH,EAS EXTRA</t>
        </is>
      </c>
      <c r="D1898" s="19" t="inlineStr">
        <is>
          <t>1</t>
        </is>
      </c>
      <c r="E1898" t="n">
        <v>0</v>
      </c>
      <c r="I1898" s="19" t="inlineStr">
        <is>
          <t>2</t>
        </is>
      </c>
      <c r="J1898" t="inlineStr">
        <is>
          <t>2026-08-08</t>
        </is>
      </c>
      <c r="L1898" s="19" t="inlineStr">
        <is>
          <t>1015148</t>
        </is>
      </c>
      <c r="M1898" t="inlineStr">
        <is>
          <t>STATUS=IN OEM / EU PACKAGE; SOURCE_CFG=IA-ST-CFG-0023; MARKET=None</t>
        </is>
      </c>
      <c r="N1898" t="inlineStr">
        <is>
          <t>2026-08-10T19:29:54Z</t>
        </is>
      </c>
      <c r="O1898" t="inlineStr">
        <is>
          <t>2026-08-10T19:29:54Z</t>
        </is>
      </c>
    </row>
    <row r="1899">
      <c r="A1899" s="19" t="inlineStr">
        <is>
          <t>1898</t>
        </is>
      </c>
      <c r="B1899" s="19" t="inlineStr">
        <is>
          <t>1015149</t>
        </is>
      </c>
      <c r="C1899" t="inlineStr">
        <is>
          <t>AKÜ,A-IGYASMF,DK,135AH,EAS ACTIVA</t>
        </is>
      </c>
      <c r="D1899" s="19" t="inlineStr">
        <is>
          <t>1</t>
        </is>
      </c>
      <c r="E1899" t="n">
        <v>0</v>
      </c>
      <c r="I1899" s="19" t="inlineStr">
        <is>
          <t>2</t>
        </is>
      </c>
      <c r="J1899" t="inlineStr">
        <is>
          <t>2026-08-08</t>
        </is>
      </c>
      <c r="L1899" s="19" t="inlineStr">
        <is>
          <t>1015149</t>
        </is>
      </c>
      <c r="M1899" t="inlineStr">
        <is>
          <t>STATUS=IN OEM / EU PACKAGE; SOURCE_CFG=IA-ST-CFG-0051; MARKET=None</t>
        </is>
      </c>
      <c r="N1899" t="inlineStr">
        <is>
          <t>2026-08-10T19:29:54Z</t>
        </is>
      </c>
      <c r="O1899" t="inlineStr">
        <is>
          <t>2026-08-10T19:29:54Z</t>
        </is>
      </c>
    </row>
    <row r="1900">
      <c r="A1900" s="19" t="inlineStr">
        <is>
          <t>1899</t>
        </is>
      </c>
      <c r="B1900" s="19" t="inlineStr">
        <is>
          <t>1015150</t>
        </is>
      </c>
      <c r="C1900" t="inlineStr">
        <is>
          <t>AKÜ,B-IGYASMF,DK,180AH,EAS ACTIVA</t>
        </is>
      </c>
      <c r="D1900" s="19" t="inlineStr">
        <is>
          <t>1</t>
        </is>
      </c>
      <c r="E1900" t="n">
        <v>0</v>
      </c>
      <c r="I1900" s="19" t="inlineStr">
        <is>
          <t>2</t>
        </is>
      </c>
      <c r="J1900" t="inlineStr">
        <is>
          <t>2026-08-08</t>
        </is>
      </c>
      <c r="L1900" s="19" t="inlineStr">
        <is>
          <t>1015150</t>
        </is>
      </c>
      <c r="M1900" t="inlineStr">
        <is>
          <t>STATUS=IN OEM / EU PACKAGE; SOURCE_CFG=IA-ST-CFG-0052; MARKET=None</t>
        </is>
      </c>
      <c r="N1900" t="inlineStr">
        <is>
          <t>2026-08-10T19:29:54Z</t>
        </is>
      </c>
      <c r="O1900" t="inlineStr">
        <is>
          <t>2026-08-10T19:29:54Z</t>
        </is>
      </c>
    </row>
    <row r="1901">
      <c r="A1901" s="19" t="inlineStr">
        <is>
          <t>1900</t>
        </is>
      </c>
      <c r="B1901" s="19" t="inlineStr">
        <is>
          <t>1015151</t>
        </is>
      </c>
      <c r="C1901" t="inlineStr">
        <is>
          <t>AKÜ,TRACTORL,DK,115AH,EAS PRIDE</t>
        </is>
      </c>
      <c r="D1901" s="19" t="inlineStr">
        <is>
          <t>1</t>
        </is>
      </c>
      <c r="E1901" t="n">
        <v>0</v>
      </c>
      <c r="I1901" s="19" t="inlineStr">
        <is>
          <t>2</t>
        </is>
      </c>
      <c r="J1901" t="inlineStr">
        <is>
          <t>2026-08-08</t>
        </is>
      </c>
      <c r="L1901" s="19" t="inlineStr">
        <is>
          <t>1015151</t>
        </is>
      </c>
      <c r="M1901" t="inlineStr">
        <is>
          <t>STATUS=IN OEM / EU PACKAGE; SOURCE_CFG=IA-ST-CFG-0093; MARKET=None</t>
        </is>
      </c>
      <c r="N1901" t="inlineStr">
        <is>
          <t>2026-08-10T19:29:54Z</t>
        </is>
      </c>
      <c r="O1901" t="inlineStr">
        <is>
          <t>2026-08-10T19:29:54Z</t>
        </is>
      </c>
    </row>
    <row r="1902">
      <c r="A1902" s="19" t="inlineStr">
        <is>
          <t>1901</t>
        </is>
      </c>
      <c r="B1902" s="19" t="inlineStr">
        <is>
          <t>1015152</t>
        </is>
      </c>
      <c r="C1902" t="inlineStr">
        <is>
          <t>AKÜ,L4,DK,80AH,BLIZZARO AGM S&amp;S,MISIR</t>
        </is>
      </c>
      <c r="D1902" s="19" t="inlineStr">
        <is>
          <t>1</t>
        </is>
      </c>
      <c r="E1902" t="n">
        <v>0</v>
      </c>
      <c r="I1902" s="19" t="inlineStr">
        <is>
          <t>2</t>
        </is>
      </c>
      <c r="J1902" t="inlineStr">
        <is>
          <t>2026-08-08</t>
        </is>
      </c>
      <c r="L1902" s="19" t="inlineStr">
        <is>
          <t>1015152</t>
        </is>
      </c>
      <c r="M1902" t="inlineStr">
        <is>
          <t>STATUS=IN OEM / EU PACKAGE; SOURCE_CFG=IA-ST-CFG-0142; MARKET=MISIR AL AMAN</t>
        </is>
      </c>
      <c r="N1902" t="inlineStr">
        <is>
          <t>2026-08-10T19:29:54Z</t>
        </is>
      </c>
      <c r="O1902" t="inlineStr">
        <is>
          <t>2026-08-10T19:29:54Z</t>
        </is>
      </c>
    </row>
    <row r="1903">
      <c r="A1903" s="19" t="inlineStr">
        <is>
          <t>1902</t>
        </is>
      </c>
      <c r="B1903" s="19" t="inlineStr">
        <is>
          <t>1015155</t>
        </is>
      </c>
      <c r="C1903" t="inlineStr">
        <is>
          <t>AKÜ,L3,DK,72AH,IGYA,İNCİTAURUS,FULL JENR</t>
        </is>
      </c>
      <c r="D1903" s="19" t="inlineStr">
        <is>
          <t>1</t>
        </is>
      </c>
      <c r="E1903" t="n">
        <v>0</v>
      </c>
      <c r="I1903" s="19" t="inlineStr">
        <is>
          <t>2</t>
        </is>
      </c>
      <c r="J1903" t="inlineStr">
        <is>
          <t>2026-08-08</t>
        </is>
      </c>
      <c r="L1903" s="19" t="inlineStr">
        <is>
          <t>1015155</t>
        </is>
      </c>
      <c r="M1903" t="inlineStr">
        <is>
          <t>STATUS=IN OEM / EU PACKAGE; SOURCE_CFG=IA-ST-CFG-0179; MARKET=FULL JENERATÖR OEM (Yurt İçi)</t>
        </is>
      </c>
      <c r="N1903" t="inlineStr">
        <is>
          <t>2026-08-10T19:29:54Z</t>
        </is>
      </c>
      <c r="O1903" t="inlineStr">
        <is>
          <t>2026-08-10T19:29:54Z</t>
        </is>
      </c>
    </row>
    <row r="1904">
      <c r="A1904" s="19" t="inlineStr">
        <is>
          <t>1903</t>
        </is>
      </c>
      <c r="B1904" s="19" t="inlineStr">
        <is>
          <t>1015156</t>
        </is>
      </c>
      <c r="C1904" t="inlineStr">
        <is>
          <t>AKÜ,C-FLAT,DK,200AH,İNCİ SUPRA,FULL JENR</t>
        </is>
      </c>
      <c r="D1904" s="19" t="inlineStr">
        <is>
          <t>1</t>
        </is>
      </c>
      <c r="E1904" t="n">
        <v>0</v>
      </c>
      <c r="I1904" s="19" t="inlineStr">
        <is>
          <t>2</t>
        </is>
      </c>
      <c r="J1904" t="inlineStr">
        <is>
          <t>2026-08-08</t>
        </is>
      </c>
      <c r="L1904" s="19" t="inlineStr">
        <is>
          <t>1015156</t>
        </is>
      </c>
      <c r="M1904" t="inlineStr">
        <is>
          <t>STATUS=IN OEM / EU PACKAGE; SOURCE_CFG=IA-ST-CFG-0023; MARKET=FULL JENERATÖR OEM (Yurt İçi)</t>
        </is>
      </c>
      <c r="N1904" t="inlineStr">
        <is>
          <t>2026-08-10T19:29:54Z</t>
        </is>
      </c>
      <c r="O1904" t="inlineStr">
        <is>
          <t>2026-08-10T19:29:54Z</t>
        </is>
      </c>
    </row>
    <row r="1905">
      <c r="A1905" s="19" t="inlineStr">
        <is>
          <t>1904</t>
        </is>
      </c>
      <c r="B1905" s="19" t="inlineStr">
        <is>
          <t>1015157</t>
        </is>
      </c>
      <c r="C1905" t="inlineStr">
        <is>
          <t>AKÜ,L4,DK,80AH,VRLA,AGM S&amp;S,FORD OES</t>
        </is>
      </c>
      <c r="D1905" s="19" t="inlineStr">
        <is>
          <t>1</t>
        </is>
      </c>
      <c r="E1905" t="n">
        <v>0</v>
      </c>
      <c r="I1905" s="19" t="inlineStr">
        <is>
          <t>2</t>
        </is>
      </c>
      <c r="J1905" t="inlineStr">
        <is>
          <t>2026-08-08</t>
        </is>
      </c>
      <c r="L1905" s="19" t="inlineStr">
        <is>
          <t>1015157</t>
        </is>
      </c>
      <c r="M1905" t="inlineStr">
        <is>
          <t>STATUS=IN OEM / EU PACKAGE; SOURCE_CFG=IA-ST-CFG-0142; MARKET=FORD (Yurt İçi)</t>
        </is>
      </c>
      <c r="N1905" t="inlineStr">
        <is>
          <t>2026-08-10T19:29:54Z</t>
        </is>
      </c>
      <c r="O1905" t="inlineStr">
        <is>
          <t>2026-08-10T19:29:54Z</t>
        </is>
      </c>
    </row>
    <row r="1906">
      <c r="A1906" s="19" t="inlineStr">
        <is>
          <t>1905</t>
        </is>
      </c>
      <c r="B1906" s="19" t="inlineStr">
        <is>
          <t>1015158</t>
        </is>
      </c>
      <c r="C1906" t="inlineStr">
        <is>
          <t>AKÜ,L3,DK,75AH,IGYA SMF,EFB S&amp;S,FORD OES</t>
        </is>
      </c>
      <c r="D1906" s="19" t="inlineStr">
        <is>
          <t>1</t>
        </is>
      </c>
      <c r="E1906" t="n">
        <v>0</v>
      </c>
      <c r="I1906" s="19" t="inlineStr">
        <is>
          <t>2</t>
        </is>
      </c>
      <c r="J1906" t="inlineStr">
        <is>
          <t>2026-08-08</t>
        </is>
      </c>
      <c r="L1906" s="19" t="inlineStr">
        <is>
          <t>1015158</t>
        </is>
      </c>
      <c r="M1906" t="inlineStr">
        <is>
          <t>STATUS=IN OEM / EU PACKAGE; SOURCE_CFG=IA-ST-CFG-0179; MARKET=FORD (Yurt İçi)</t>
        </is>
      </c>
      <c r="N1906" t="inlineStr">
        <is>
          <t>2026-08-10T19:29:54Z</t>
        </is>
      </c>
      <c r="O1906" t="inlineStr">
        <is>
          <t>2026-08-10T19:29:54Z</t>
        </is>
      </c>
    </row>
    <row r="1907">
      <c r="A1907" s="19" t="inlineStr">
        <is>
          <t>1906</t>
        </is>
      </c>
      <c r="B1907" s="19" t="inlineStr">
        <is>
          <t>1015159</t>
        </is>
      </c>
      <c r="C1907" t="inlineStr">
        <is>
          <t>AKÜ,LB3,DK,60AH,IGYASMF,EFB S&amp;S,FORD OES</t>
        </is>
      </c>
      <c r="D1907" s="19" t="inlineStr">
        <is>
          <t>1</t>
        </is>
      </c>
      <c r="E1907" t="n">
        <v>0</v>
      </c>
      <c r="I1907" s="19" t="inlineStr">
        <is>
          <t>2</t>
        </is>
      </c>
      <c r="J1907" t="inlineStr">
        <is>
          <t>2026-08-08</t>
        </is>
      </c>
      <c r="L1907" s="19" t="inlineStr">
        <is>
          <t>1015159</t>
        </is>
      </c>
      <c r="M1907" t="inlineStr">
        <is>
          <t>STATUS=IN OEM / EU PACKAGE; SOURCE_CFG=IA-ST-CFG-0178; MARKET=FORD (Yurt İçi)</t>
        </is>
      </c>
      <c r="N1907" t="inlineStr">
        <is>
          <t>2026-08-10T19:29:54Z</t>
        </is>
      </c>
      <c r="O1907" t="inlineStr">
        <is>
          <t>2026-08-10T19:29:54Z</t>
        </is>
      </c>
    </row>
    <row r="1908">
      <c r="A1908" s="19" t="inlineStr">
        <is>
          <t>1907</t>
        </is>
      </c>
      <c r="B1908" s="19" t="inlineStr">
        <is>
          <t>1015161</t>
        </is>
      </c>
      <c r="C1908" t="inlineStr">
        <is>
          <t>AKÜ,L4,DK,80AH,IGYA SMF,FORD OES</t>
        </is>
      </c>
      <c r="D1908" s="19" t="inlineStr">
        <is>
          <t>1</t>
        </is>
      </c>
      <c r="E1908" t="n">
        <v>0</v>
      </c>
      <c r="I1908" s="19" t="inlineStr">
        <is>
          <t>2</t>
        </is>
      </c>
      <c r="J1908" t="inlineStr">
        <is>
          <t>2026-08-08</t>
        </is>
      </c>
      <c r="L1908" s="19" t="inlineStr">
        <is>
          <t>1015161</t>
        </is>
      </c>
      <c r="M1908" t="inlineStr">
        <is>
          <t>STATUS=IN OEM / EU PACKAGE; SOURCE_CFG=IA-ST-CFG-0142; MARKET=FORD (Yurt İçi)</t>
        </is>
      </c>
      <c r="N1908" t="inlineStr">
        <is>
          <t>2026-08-10T19:29:54Z</t>
        </is>
      </c>
      <c r="O1908" t="inlineStr">
        <is>
          <t>2026-08-10T19:29:54Z</t>
        </is>
      </c>
    </row>
    <row r="1909">
      <c r="A1909" s="19" t="inlineStr">
        <is>
          <t>1908</t>
        </is>
      </c>
      <c r="B1909" s="19" t="inlineStr">
        <is>
          <t>1015162</t>
        </is>
      </c>
      <c r="C1909" t="inlineStr">
        <is>
          <t>AKÜ,LB1,DK,50AH,IGYA SMF,FORD OES</t>
        </is>
      </c>
      <c r="D1909" s="19" t="inlineStr">
        <is>
          <t>1</t>
        </is>
      </c>
      <c r="E1909" t="n">
        <v>0</v>
      </c>
      <c r="I1909" s="19" t="inlineStr">
        <is>
          <t>2</t>
        </is>
      </c>
      <c r="J1909" t="inlineStr">
        <is>
          <t>2026-08-08</t>
        </is>
      </c>
      <c r="L1909" s="19" t="inlineStr">
        <is>
          <t>1015162</t>
        </is>
      </c>
      <c r="M1909" t="inlineStr">
        <is>
          <t>STATUS=IN OEM / EU PACKAGE; SOURCE_CFG=IA-ST-CFG-0247; MARKET=FORD (Yurt İçi)</t>
        </is>
      </c>
      <c r="N1909" t="inlineStr">
        <is>
          <t>2026-08-10T19:29:54Z</t>
        </is>
      </c>
      <c r="O1909" t="inlineStr">
        <is>
          <t>2026-08-10T19:29:54Z</t>
        </is>
      </c>
    </row>
    <row r="1910">
      <c r="A1910" s="19" t="inlineStr">
        <is>
          <t>1909</t>
        </is>
      </c>
      <c r="B1910" s="19" t="inlineStr">
        <is>
          <t>1015163</t>
        </is>
      </c>
      <c r="C1910" t="inlineStr">
        <is>
          <t>AKÜ,LB3,DK,60AH,IGYA SMF,FORD OES</t>
        </is>
      </c>
      <c r="D1910" s="19" t="inlineStr">
        <is>
          <t>1</t>
        </is>
      </c>
      <c r="E1910" t="n">
        <v>0</v>
      </c>
      <c r="I1910" s="19" t="inlineStr">
        <is>
          <t>2</t>
        </is>
      </c>
      <c r="J1910" t="inlineStr">
        <is>
          <t>2026-08-08</t>
        </is>
      </c>
      <c r="L1910" s="19" t="inlineStr">
        <is>
          <t>1015163</t>
        </is>
      </c>
      <c r="M1910" t="inlineStr">
        <is>
          <t>STATUS=IN OEM / EU PACKAGE; SOURCE_CFG=IA-ST-CFG-0178; MARKET=FORD (Yurt İçi)</t>
        </is>
      </c>
      <c r="N1910" t="inlineStr">
        <is>
          <t>2026-08-10T19:29:54Z</t>
        </is>
      </c>
      <c r="O1910" t="inlineStr">
        <is>
          <t>2026-08-10T19:29:54Z</t>
        </is>
      </c>
    </row>
    <row r="1911">
      <c r="A1911" s="19" t="inlineStr">
        <is>
          <t>1910</t>
        </is>
      </c>
      <c r="B1911" s="19" t="inlineStr">
        <is>
          <t>1015164</t>
        </is>
      </c>
      <c r="C1911" t="inlineStr">
        <is>
          <t>AKÜ,LB4,DK,80AH,IGYA SMF,FORD OES</t>
        </is>
      </c>
      <c r="D1911" s="19" t="inlineStr">
        <is>
          <t>1</t>
        </is>
      </c>
      <c r="E1911" t="n">
        <v>0</v>
      </c>
      <c r="I1911" s="19" t="inlineStr">
        <is>
          <t>2</t>
        </is>
      </c>
      <c r="J1911" t="inlineStr">
        <is>
          <t>2026-08-08</t>
        </is>
      </c>
      <c r="L1911" s="19" t="inlineStr">
        <is>
          <t>1015164</t>
        </is>
      </c>
      <c r="M1911" t="inlineStr">
        <is>
          <t>STATUS=IN OEM / EU PACKAGE; SOURCE_CFG=IA-ST-CFG-0142; MARKET=FORD (Yurt İçi)</t>
        </is>
      </c>
      <c r="N1911" t="inlineStr">
        <is>
          <t>2026-08-10T19:29:54Z</t>
        </is>
      </c>
      <c r="O1911" t="inlineStr">
        <is>
          <t>2026-08-10T19:29:54Z</t>
        </is>
      </c>
    </row>
    <row r="1912">
      <c r="A1912" s="19" t="inlineStr">
        <is>
          <t>1911</t>
        </is>
      </c>
      <c r="B1912" s="19" t="inlineStr">
        <is>
          <t>1015165</t>
        </is>
      </c>
      <c r="C1912" t="inlineStr">
        <is>
          <t>AKÜ,B-IGYA,DK,185AH,PILOTPERFORMANCE EFB</t>
        </is>
      </c>
      <c r="D1912" s="19" t="inlineStr">
        <is>
          <t>1</t>
        </is>
      </c>
      <c r="E1912" t="n">
        <v>0</v>
      </c>
      <c r="I1912" s="19" t="inlineStr">
        <is>
          <t>2</t>
        </is>
      </c>
      <c r="J1912" t="inlineStr">
        <is>
          <t>2026-08-08</t>
        </is>
      </c>
      <c r="L1912" s="19" t="inlineStr">
        <is>
          <t>1015165</t>
        </is>
      </c>
      <c r="M1912" t="inlineStr">
        <is>
          <t>STATUS=IN OEM / EU PACKAGE; SOURCE_CFG=IA-ST-CFG-0029; MARKET=LAMPA ITALY İTALYA</t>
        </is>
      </c>
      <c r="N1912" t="inlineStr">
        <is>
          <t>2026-08-10T19:29:54Z</t>
        </is>
      </c>
      <c r="O1912" t="inlineStr">
        <is>
          <t>2026-08-10T19:29:54Z</t>
        </is>
      </c>
    </row>
    <row r="1913">
      <c r="A1913" s="19" t="inlineStr">
        <is>
          <t>1912</t>
        </is>
      </c>
      <c r="B1913" s="19" t="inlineStr">
        <is>
          <t>1015166</t>
        </is>
      </c>
      <c r="C1913" t="inlineStr">
        <is>
          <t>AKÜ,C-IGYA,DK,230AH,PILOTPERFORMANCE EFB</t>
        </is>
      </c>
      <c r="D1913" s="19" t="inlineStr">
        <is>
          <t>1</t>
        </is>
      </c>
      <c r="E1913" t="n">
        <v>0</v>
      </c>
      <c r="I1913" s="19" t="inlineStr">
        <is>
          <t>2</t>
        </is>
      </c>
      <c r="J1913" t="inlineStr">
        <is>
          <t>2026-08-08</t>
        </is>
      </c>
      <c r="L1913" s="19" t="inlineStr">
        <is>
          <t>1015166</t>
        </is>
      </c>
      <c r="M1913" t="inlineStr">
        <is>
          <t>STATUS=IN OEM / EU PACKAGE; SOURCE_CFG=IA-ST-CFG-0014; MARKET=LAMPA ITALY İTALYA</t>
        </is>
      </c>
      <c r="N1913" t="inlineStr">
        <is>
          <t>2026-08-10T19:29:54Z</t>
        </is>
      </c>
      <c r="O1913" t="inlineStr">
        <is>
          <t>2026-08-10T19:29:54Z</t>
        </is>
      </c>
    </row>
    <row r="1914">
      <c r="A1914" s="19" t="inlineStr">
        <is>
          <t>1913</t>
        </is>
      </c>
      <c r="B1914" s="19" t="inlineStr">
        <is>
          <t>1015167</t>
        </is>
      </c>
      <c r="C1914" t="inlineStr">
        <is>
          <t>AKÜ,L0,DK,40AH,DINNEW,NO NAME,BP40,SKG</t>
        </is>
      </c>
      <c r="D1914" s="19" t="inlineStr">
        <is>
          <t>1</t>
        </is>
      </c>
      <c r="E1914" t="n">
        <v>0</v>
      </c>
      <c r="I1914" s="19" t="inlineStr">
        <is>
          <t>2</t>
        </is>
      </c>
      <c r="J1914" t="inlineStr">
        <is>
          <t>2026-08-08</t>
        </is>
      </c>
      <c r="L1914" s="19" t="inlineStr">
        <is>
          <t>1015167</t>
        </is>
      </c>
      <c r="M1914" t="inlineStr">
        <is>
          <t>STATUS=IN OEM / EU PACKAGE; SOURCE_CFG=IA-ST-CFG-0275; MARKET=SKG İTALYA</t>
        </is>
      </c>
      <c r="N1914" t="inlineStr">
        <is>
          <t>2026-08-10T19:29:54Z</t>
        </is>
      </c>
      <c r="O1914" t="inlineStr">
        <is>
          <t>2026-08-10T19:29:54Z</t>
        </is>
      </c>
    </row>
    <row r="1915">
      <c r="A1915" s="19" t="inlineStr">
        <is>
          <t>1914</t>
        </is>
      </c>
      <c r="B1915" s="19" t="inlineStr">
        <is>
          <t>1015168</t>
        </is>
      </c>
      <c r="C1915" t="inlineStr">
        <is>
          <t>AKÜ,LB1,DK,50AH,IGYA SMF,TITAN,BESA</t>
        </is>
      </c>
      <c r="D1915" s="19" t="inlineStr">
        <is>
          <t>1</t>
        </is>
      </c>
      <c r="E1915" t="n">
        <v>0</v>
      </c>
      <c r="I1915" s="19" t="inlineStr">
        <is>
          <t>2</t>
        </is>
      </c>
      <c r="J1915" t="inlineStr">
        <is>
          <t>2026-08-08</t>
        </is>
      </c>
      <c r="L1915" s="19" t="inlineStr">
        <is>
          <t>1015168</t>
        </is>
      </c>
      <c r="M1915" t="inlineStr">
        <is>
          <t>STATUS=IN OEM / EU PACKAGE; SOURCE_CFG=IA-ST-CFG-0266; MARKET=ALEX ARABATZIS BSA(YUNANİSTAN)</t>
        </is>
      </c>
      <c r="N1915" t="inlineStr">
        <is>
          <t>2026-08-10T19:29:54Z</t>
        </is>
      </c>
      <c r="O1915" t="inlineStr">
        <is>
          <t>2026-08-10T19:29:54Z</t>
        </is>
      </c>
    </row>
    <row r="1916">
      <c r="A1916" s="19" t="inlineStr">
        <is>
          <t>1915</t>
        </is>
      </c>
      <c r="B1916" s="19" t="inlineStr">
        <is>
          <t>1015169</t>
        </is>
      </c>
      <c r="C1916" t="inlineStr">
        <is>
          <t>AKÜ,C,DK,220AH,VRLA,AGMYBX9625-220,GYEUR</t>
        </is>
      </c>
      <c r="D1916" s="19" t="inlineStr">
        <is>
          <t>1</t>
        </is>
      </c>
      <c r="E1916" t="n">
        <v>0</v>
      </c>
      <c r="I1916" s="19" t="inlineStr">
        <is>
          <t>2</t>
        </is>
      </c>
      <c r="J1916" t="inlineStr">
        <is>
          <t>2026-08-08</t>
        </is>
      </c>
      <c r="L1916" s="19" t="inlineStr">
        <is>
          <t>1015169</t>
        </is>
      </c>
      <c r="M1916" t="inlineStr">
        <is>
          <t>STATUS=IN OEM / EU PACKAGE; SOURCE_CFG=IA-ST-CFG-0004; MARKET=GY EUR</t>
        </is>
      </c>
      <c r="N1916" t="inlineStr">
        <is>
          <t>2026-08-10T19:29:54Z</t>
        </is>
      </c>
      <c r="O1916" t="inlineStr">
        <is>
          <t>2026-08-10T19:29:54Z</t>
        </is>
      </c>
    </row>
    <row r="1917">
      <c r="A1917" s="19" t="inlineStr">
        <is>
          <t>1916</t>
        </is>
      </c>
      <c r="B1917" s="19" t="inlineStr">
        <is>
          <t>1015170</t>
        </is>
      </c>
      <c r="C1917" t="inlineStr">
        <is>
          <t>AKÜ,C-IGYASMF,DK,225AH,BLIZZAROSILVERLNE</t>
        </is>
      </c>
      <c r="D1917" s="19" t="inlineStr">
        <is>
          <t>1</t>
        </is>
      </c>
      <c r="E1917" t="n">
        <v>0</v>
      </c>
      <c r="I1917" s="19" t="inlineStr">
        <is>
          <t>2</t>
        </is>
      </c>
      <c r="J1917" t="inlineStr">
        <is>
          <t>2026-08-08</t>
        </is>
      </c>
      <c r="L1917" s="19" t="inlineStr">
        <is>
          <t>1015170</t>
        </is>
      </c>
      <c r="M1917" t="inlineStr">
        <is>
          <t>STATUS=IN OEM / EU PACKAGE; SOURCE_CFG=IA-ST-CFG-0023; MARKET=None</t>
        </is>
      </c>
      <c r="N1917" t="inlineStr">
        <is>
          <t>2026-08-10T19:29:54Z</t>
        </is>
      </c>
      <c r="O1917" t="inlineStr">
        <is>
          <t>2026-08-10T19:29:54Z</t>
        </is>
      </c>
    </row>
    <row r="1918">
      <c r="A1918" s="19" t="inlineStr">
        <is>
          <t>1917</t>
        </is>
      </c>
      <c r="B1918" s="19" t="inlineStr">
        <is>
          <t>1015172</t>
        </is>
      </c>
      <c r="C1918" t="inlineStr">
        <is>
          <t>AKÜ,L3,DK,75AH,IGYA,GYEUR,SST3096-075</t>
        </is>
      </c>
      <c r="D1918" s="19" t="inlineStr">
        <is>
          <t>1</t>
        </is>
      </c>
      <c r="E1918" t="n">
        <v>0</v>
      </c>
      <c r="I1918" s="19" t="inlineStr">
        <is>
          <t>2</t>
        </is>
      </c>
      <c r="J1918" t="inlineStr">
        <is>
          <t>2026-08-08</t>
        </is>
      </c>
      <c r="L1918" s="19" t="inlineStr">
        <is>
          <t>1015172</t>
        </is>
      </c>
      <c r="M1918" t="inlineStr">
        <is>
          <t>STATUS=IN OEM / EU PACKAGE; SOURCE_CFG=IA-ST-CFG-0132; MARKET=GY EUR</t>
        </is>
      </c>
      <c r="N1918" t="inlineStr">
        <is>
          <t>2026-08-10T19:29:54Z</t>
        </is>
      </c>
      <c r="O1918" t="inlineStr">
        <is>
          <t>2026-08-10T19:29:54Z</t>
        </is>
      </c>
    </row>
    <row r="1919">
      <c r="A1919" s="19" t="inlineStr">
        <is>
          <t>1918</t>
        </is>
      </c>
      <c r="B1919" s="19" t="inlineStr">
        <is>
          <t>1015173</t>
        </is>
      </c>
      <c r="C1919" t="inlineStr">
        <is>
          <t>AKÜ,LB3,DK,73AH,IGYA,GYEUR,SST3100-073</t>
        </is>
      </c>
      <c r="D1919" s="19" t="inlineStr">
        <is>
          <t>1</t>
        </is>
      </c>
      <c r="E1919" t="n">
        <v>0</v>
      </c>
      <c r="I1919" s="19" t="inlineStr">
        <is>
          <t>2</t>
        </is>
      </c>
      <c r="J1919" t="inlineStr">
        <is>
          <t>2026-08-08</t>
        </is>
      </c>
      <c r="L1919" s="19" t="inlineStr">
        <is>
          <t>1015173</t>
        </is>
      </c>
      <c r="M1919" t="inlineStr">
        <is>
          <t>STATUS=IN OEM / EU PACKAGE; SOURCE_CFG=IA-ST-CFG-0132; MARKET=GY EUR</t>
        </is>
      </c>
      <c r="N1919" t="inlineStr">
        <is>
          <t>2026-08-10T19:29:54Z</t>
        </is>
      </c>
      <c r="O1919" t="inlineStr">
        <is>
          <t>2026-08-10T19:29:54Z</t>
        </is>
      </c>
    </row>
    <row r="1920">
      <c r="A1920" s="19" t="inlineStr">
        <is>
          <t>1919</t>
        </is>
      </c>
      <c r="B1920" s="19" t="inlineStr">
        <is>
          <t>1015174</t>
        </is>
      </c>
      <c r="C1920" t="inlineStr">
        <is>
          <t>AKÜ,LB1,DK,46AH,IGYA,GYNRD,PST4063-046</t>
        </is>
      </c>
      <c r="D1920" s="19" t="inlineStr">
        <is>
          <t>1</t>
        </is>
      </c>
      <c r="E1920" t="n">
        <v>0</v>
      </c>
      <c r="I1920" s="19" t="inlineStr">
        <is>
          <t>2</t>
        </is>
      </c>
      <c r="J1920" t="inlineStr">
        <is>
          <t>2026-08-08</t>
        </is>
      </c>
      <c r="L1920" s="19" t="inlineStr">
        <is>
          <t>1015174</t>
        </is>
      </c>
      <c r="M1920" t="inlineStr">
        <is>
          <t>STATUS=IN OEM / EU PACKAGE; SOURCE_CFG=IA-ST-CFG-0209; MARKET=GY NRD (ADN BALTIC NORDIC)</t>
        </is>
      </c>
      <c r="N1920" t="inlineStr">
        <is>
          <t>2026-08-10T19:29:54Z</t>
        </is>
      </c>
      <c r="O1920" t="inlineStr">
        <is>
          <t>2026-08-10T19:29:54Z</t>
        </is>
      </c>
    </row>
    <row r="1921">
      <c r="A1921" s="19" t="inlineStr">
        <is>
          <t>1920</t>
        </is>
      </c>
      <c r="B1921" s="19" t="inlineStr">
        <is>
          <t>1015175</t>
        </is>
      </c>
      <c r="C1921" t="inlineStr">
        <is>
          <t>AKÜ,L1,DK,52AH,IGYA,GYNRD,PST4012-052</t>
        </is>
      </c>
      <c r="D1921" s="19" t="inlineStr">
        <is>
          <t>1</t>
        </is>
      </c>
      <c r="E1921" t="n">
        <v>0</v>
      </c>
      <c r="I1921" s="19" t="inlineStr">
        <is>
          <t>2</t>
        </is>
      </c>
      <c r="J1921" t="inlineStr">
        <is>
          <t>2026-08-08</t>
        </is>
      </c>
      <c r="L1921" s="19" t="inlineStr">
        <is>
          <t>1015175</t>
        </is>
      </c>
      <c r="M1921" t="inlineStr">
        <is>
          <t>STATUS=IN OEM / EU PACKAGE; SOURCE_CFG=IA-ST-CFG-0209; MARKET=GY NRD (ADN BALTIC NORDIC)</t>
        </is>
      </c>
      <c r="N1921" t="inlineStr">
        <is>
          <t>2026-08-10T19:29:54Z</t>
        </is>
      </c>
      <c r="O1921" t="inlineStr">
        <is>
          <t>2026-08-10T19:29:54Z</t>
        </is>
      </c>
    </row>
    <row r="1922">
      <c r="A1922" s="19" t="inlineStr">
        <is>
          <t>1921</t>
        </is>
      </c>
      <c r="B1922" s="19" t="inlineStr">
        <is>
          <t>1015176</t>
        </is>
      </c>
      <c r="C1922" t="inlineStr">
        <is>
          <t>AKÜ,L2,DK,62AH,IGYA,GYNRD,PST4027-062</t>
        </is>
      </c>
      <c r="D1922" s="19" t="inlineStr">
        <is>
          <t>1</t>
        </is>
      </c>
      <c r="E1922" t="n">
        <v>0</v>
      </c>
      <c r="I1922" s="19" t="inlineStr">
        <is>
          <t>2</t>
        </is>
      </c>
      <c r="J1922" t="inlineStr">
        <is>
          <t>2026-08-08</t>
        </is>
      </c>
      <c r="L1922" s="19" t="inlineStr">
        <is>
          <t>1015176</t>
        </is>
      </c>
      <c r="M1922" t="inlineStr">
        <is>
          <t>STATUS=IN OEM / EU PACKAGE; SOURCE_CFG=IA-ST-CFG-0162; MARKET=GY NRD (ADN BALTIC NORDIC)</t>
        </is>
      </c>
      <c r="N1922" t="inlineStr">
        <is>
          <t>2026-08-10T19:29:54Z</t>
        </is>
      </c>
      <c r="O1922" t="inlineStr">
        <is>
          <t>2026-08-10T19:29:54Z</t>
        </is>
      </c>
    </row>
    <row r="1923">
      <c r="A1923" s="19" t="inlineStr">
        <is>
          <t>1922</t>
        </is>
      </c>
      <c r="B1923" s="19" t="inlineStr">
        <is>
          <t>1015177</t>
        </is>
      </c>
      <c r="C1923" t="inlineStr">
        <is>
          <t>AKÜ,D23,DK,60AH,IGYA,GYNRD,PST4005-060</t>
        </is>
      </c>
      <c r="D1923" s="19" t="inlineStr">
        <is>
          <t>1</t>
        </is>
      </c>
      <c r="E1923" t="n">
        <v>0</v>
      </c>
      <c r="I1923" s="19" t="inlineStr">
        <is>
          <t>2</t>
        </is>
      </c>
      <c r="J1923" t="inlineStr">
        <is>
          <t>2026-08-08</t>
        </is>
      </c>
      <c r="L1923" s="19" t="inlineStr">
        <is>
          <t>1015177</t>
        </is>
      </c>
      <c r="M1923" t="inlineStr">
        <is>
          <t>STATUS=IN OEM / EU PACKAGE; SOURCE_CFG=IA-ST-CFG-0188; MARKET=GY NRD (ADN BALTIC NORDIC)</t>
        </is>
      </c>
      <c r="N1923" t="inlineStr">
        <is>
          <t>2026-08-10T19:29:54Z</t>
        </is>
      </c>
      <c r="O1923" t="inlineStr">
        <is>
          <t>2026-08-10T19:29:54Z</t>
        </is>
      </c>
    </row>
    <row r="1924">
      <c r="A1924" s="19" t="inlineStr">
        <is>
          <t>1923</t>
        </is>
      </c>
      <c r="B1924" s="19" t="inlineStr">
        <is>
          <t>1015178</t>
        </is>
      </c>
      <c r="C1924" t="inlineStr">
        <is>
          <t>AKÜ,D26,TK,72AH,IGYA,GYNRD,PST4069-072</t>
        </is>
      </c>
      <c r="D1924" s="19" t="inlineStr">
        <is>
          <t>1</t>
        </is>
      </c>
      <c r="E1924" t="n">
        <v>0</v>
      </c>
      <c r="I1924" s="19" t="inlineStr">
        <is>
          <t>2</t>
        </is>
      </c>
      <c r="J1924" t="inlineStr">
        <is>
          <t>2026-08-08</t>
        </is>
      </c>
      <c r="L1924" s="19" t="inlineStr">
        <is>
          <t>1015178</t>
        </is>
      </c>
      <c r="M1924" t="inlineStr">
        <is>
          <t>STATUS=IN OEM / EU PACKAGE; SOURCE_CFG=IA-ST-CFG-0160; MARKET=GY NRD (ADN BALTIC NORDIC)</t>
        </is>
      </c>
      <c r="N1924" t="inlineStr">
        <is>
          <t>2026-08-10T19:29:54Z</t>
        </is>
      </c>
      <c r="O1924" t="inlineStr">
        <is>
          <t>2026-08-10T19:29:54Z</t>
        </is>
      </c>
    </row>
    <row r="1925">
      <c r="A1925" s="19" t="inlineStr">
        <is>
          <t>1924</t>
        </is>
      </c>
      <c r="B1925" s="19" t="inlineStr">
        <is>
          <t>1015179</t>
        </is>
      </c>
      <c r="C1925" t="inlineStr">
        <is>
          <t>AKÜ,D26,DK,72AH,IGYA,GYNRD,PST4068-072</t>
        </is>
      </c>
      <c r="D1925" s="19" t="inlineStr">
        <is>
          <t>1</t>
        </is>
      </c>
      <c r="E1925" t="n">
        <v>0</v>
      </c>
      <c r="I1925" s="19" t="inlineStr">
        <is>
          <t>2</t>
        </is>
      </c>
      <c r="J1925" t="inlineStr">
        <is>
          <t>2026-08-08</t>
        </is>
      </c>
      <c r="L1925" s="19" t="inlineStr">
        <is>
          <t>1015179</t>
        </is>
      </c>
      <c r="M1925" t="inlineStr">
        <is>
          <t>STATUS=IN OEM / EU PACKAGE; SOURCE_CFG=IA-ST-CFG-0160; MARKET=GY NRD (ADN BALTIC NORDIC)</t>
        </is>
      </c>
      <c r="N1925" t="inlineStr">
        <is>
          <t>2026-08-10T19:29:54Z</t>
        </is>
      </c>
      <c r="O1925" t="inlineStr">
        <is>
          <t>2026-08-10T19:29:54Z</t>
        </is>
      </c>
    </row>
    <row r="1926">
      <c r="A1926" s="19" t="inlineStr">
        <is>
          <t>1925</t>
        </is>
      </c>
      <c r="B1926" s="19" t="inlineStr">
        <is>
          <t>1015180</t>
        </is>
      </c>
      <c r="C1926" t="inlineStr">
        <is>
          <t>AKÜ,LB3,DK,72AH,IGYA,GYNRD,PST4100-072</t>
        </is>
      </c>
      <c r="D1926" s="19" t="inlineStr">
        <is>
          <t>1</t>
        </is>
      </c>
      <c r="E1926" t="n">
        <v>0</v>
      </c>
      <c r="I1926" s="19" t="inlineStr">
        <is>
          <t>2</t>
        </is>
      </c>
      <c r="J1926" t="inlineStr">
        <is>
          <t>2026-08-08</t>
        </is>
      </c>
      <c r="L1926" s="19" t="inlineStr">
        <is>
          <t>1015180</t>
        </is>
      </c>
      <c r="M1926" t="inlineStr">
        <is>
          <t>STATUS=IN OEM / EU PACKAGE; SOURCE_CFG=IA-ST-CFG-0132; MARKET=GY NRD (ADN BALTIC NORDIC)</t>
        </is>
      </c>
      <c r="N1926" t="inlineStr">
        <is>
          <t>2026-08-10T19:29:54Z</t>
        </is>
      </c>
      <c r="O1926" t="inlineStr">
        <is>
          <t>2026-08-10T19:29:54Z</t>
        </is>
      </c>
    </row>
    <row r="1927">
      <c r="A1927" s="19" t="inlineStr">
        <is>
          <t>1926</t>
        </is>
      </c>
      <c r="B1927" s="19" t="inlineStr">
        <is>
          <t>1015181</t>
        </is>
      </c>
      <c r="C1927" t="inlineStr">
        <is>
          <t>AKÜ,L3,DK,75AH,IGYA,GYNRD,PST4096-075</t>
        </is>
      </c>
      <c r="D1927" s="19" t="inlineStr">
        <is>
          <t>1</t>
        </is>
      </c>
      <c r="E1927" t="n">
        <v>0</v>
      </c>
      <c r="I1927" s="19" t="inlineStr">
        <is>
          <t>2</t>
        </is>
      </c>
      <c r="J1927" t="inlineStr">
        <is>
          <t>2026-08-08</t>
        </is>
      </c>
      <c r="L1927" s="19" t="inlineStr">
        <is>
          <t>1015181</t>
        </is>
      </c>
      <c r="M1927" t="inlineStr">
        <is>
          <t>STATUS=IN OEM / EU PACKAGE; SOURCE_CFG=IA-ST-CFG-0132; MARKET=GY NRD (ADN BALTIC NORDIC)</t>
        </is>
      </c>
      <c r="N1927" t="inlineStr">
        <is>
          <t>2026-08-10T19:29:54Z</t>
        </is>
      </c>
      <c r="O1927" t="inlineStr">
        <is>
          <t>2026-08-10T19:29:54Z</t>
        </is>
      </c>
    </row>
    <row r="1928">
      <c r="A1928" s="19" t="inlineStr">
        <is>
          <t>1927</t>
        </is>
      </c>
      <c r="B1928" s="19" t="inlineStr">
        <is>
          <t>1015182</t>
        </is>
      </c>
      <c r="C1928" t="inlineStr">
        <is>
          <t>AKÜ,LB4,DK,80AH,IGYA,GYNRD,PST4110-080</t>
        </is>
      </c>
      <c r="D1928" s="19" t="inlineStr">
        <is>
          <t>1</t>
        </is>
      </c>
      <c r="E1928" t="n">
        <v>0</v>
      </c>
      <c r="I1928" s="19" t="inlineStr">
        <is>
          <t>2</t>
        </is>
      </c>
      <c r="J1928" t="inlineStr">
        <is>
          <t>2026-08-08</t>
        </is>
      </c>
      <c r="L1928" s="19" t="inlineStr">
        <is>
          <t>1015182</t>
        </is>
      </c>
      <c r="M1928" t="inlineStr">
        <is>
          <t>STATUS=IN OEM / EU PACKAGE; SOURCE_CFG=IA-ST-CFG-0085; MARKET=GY NRD (ADN BALTIC NORDIC)</t>
        </is>
      </c>
      <c r="N1928" t="inlineStr">
        <is>
          <t>2026-08-10T19:29:54Z</t>
        </is>
      </c>
      <c r="O1928" t="inlineStr">
        <is>
          <t>2026-08-10T19:29:54Z</t>
        </is>
      </c>
    </row>
    <row r="1929">
      <c r="A1929" s="19" t="inlineStr">
        <is>
          <t>1928</t>
        </is>
      </c>
      <c r="B1929" s="19" t="inlineStr">
        <is>
          <t>1015183</t>
        </is>
      </c>
      <c r="C1929" t="inlineStr">
        <is>
          <t>AKÜ,L5,DK,100AH,IGYA,GYNRD,PST4019-095</t>
        </is>
      </c>
      <c r="D1929" s="19" t="inlineStr">
        <is>
          <t>1</t>
        </is>
      </c>
      <c r="E1929" t="n">
        <v>0</v>
      </c>
      <c r="I1929" s="19" t="inlineStr">
        <is>
          <t>2</t>
        </is>
      </c>
      <c r="J1929" t="inlineStr">
        <is>
          <t>2026-08-08</t>
        </is>
      </c>
      <c r="L1929" s="19" t="inlineStr">
        <is>
          <t>1015183</t>
        </is>
      </c>
      <c r="M1929" t="inlineStr">
        <is>
          <t>STATUS=IN OEM / EU PACKAGE; SOURCE_CFG=IA-ST-CFG-0068; MARKET=GY NRD (ADN BALTIC NORDIC)</t>
        </is>
      </c>
      <c r="N1929" t="inlineStr">
        <is>
          <t>2026-08-10T19:29:54Z</t>
        </is>
      </c>
      <c r="O1929" t="inlineStr">
        <is>
          <t>2026-08-10T19:29:54Z</t>
        </is>
      </c>
    </row>
    <row r="1930">
      <c r="A1930" s="19" t="inlineStr">
        <is>
          <t>1929</t>
        </is>
      </c>
      <c r="B1930" s="19" t="inlineStr">
        <is>
          <t>1015184</t>
        </is>
      </c>
      <c r="C1930" t="inlineStr">
        <is>
          <t>AKÜ,D31,TK,95AH,IGYA,GYNRD,PST4334-095</t>
        </is>
      </c>
      <c r="D1930" s="19" t="inlineStr">
        <is>
          <t>1</t>
        </is>
      </c>
      <c r="E1930" t="n">
        <v>0</v>
      </c>
      <c r="I1930" s="19" t="inlineStr">
        <is>
          <t>2</t>
        </is>
      </c>
      <c r="J1930" t="inlineStr">
        <is>
          <t>2026-08-08</t>
        </is>
      </c>
      <c r="L1930" s="19" t="inlineStr">
        <is>
          <t>1015184</t>
        </is>
      </c>
      <c r="M1930" t="inlineStr">
        <is>
          <t>STATUS=IN OEM / EU PACKAGE; SOURCE_CFG=IA-ST-CFG-0111; MARKET=GY NRD (ADN BALTIC NORDIC)</t>
        </is>
      </c>
      <c r="N1930" t="inlineStr">
        <is>
          <t>2026-08-10T19:29:54Z</t>
        </is>
      </c>
      <c r="O1930" t="inlineStr">
        <is>
          <t>2026-08-10T19:29:54Z</t>
        </is>
      </c>
    </row>
    <row r="1931">
      <c r="A1931" s="19" t="inlineStr">
        <is>
          <t>1930</t>
        </is>
      </c>
      <c r="B1931" s="19" t="inlineStr">
        <is>
          <t>1015185</t>
        </is>
      </c>
      <c r="C1931" t="inlineStr">
        <is>
          <t>AKÜ,D31,DK,95AH,IGYA,GYNRD,PST4335-095</t>
        </is>
      </c>
      <c r="D1931" s="19" t="inlineStr">
        <is>
          <t>1</t>
        </is>
      </c>
      <c r="E1931" t="n">
        <v>0</v>
      </c>
      <c r="I1931" s="19" t="inlineStr">
        <is>
          <t>2</t>
        </is>
      </c>
      <c r="J1931" t="inlineStr">
        <is>
          <t>2026-08-08</t>
        </is>
      </c>
      <c r="L1931" s="19" t="inlineStr">
        <is>
          <t>1015185</t>
        </is>
      </c>
      <c r="M1931" t="inlineStr">
        <is>
          <t>STATUS=IN OEM / EU PACKAGE; SOURCE_CFG=IA-ST-CFG-0111; MARKET=GY NRD (ADN BALTIC NORDIC)</t>
        </is>
      </c>
      <c r="N1931" t="inlineStr">
        <is>
          <t>2026-08-10T19:29:54Z</t>
        </is>
      </c>
      <c r="O1931" t="inlineStr">
        <is>
          <t>2026-08-10T19:29:54Z</t>
        </is>
      </c>
    </row>
    <row r="1932">
      <c r="A1932" s="19" t="inlineStr">
        <is>
          <t>1931</t>
        </is>
      </c>
      <c r="B1932" s="19" t="inlineStr">
        <is>
          <t>1015190</t>
        </is>
      </c>
      <c r="C1932" t="inlineStr">
        <is>
          <t>AKÜ,NS40,DK,35AH,IGYA SMF,GORILA,REDMAY</t>
        </is>
      </c>
      <c r="D1932" s="19" t="inlineStr">
        <is>
          <t>1</t>
        </is>
      </c>
      <c r="E1932" t="n">
        <v>0</v>
      </c>
      <c r="I1932" s="19" t="inlineStr">
        <is>
          <t>2</t>
        </is>
      </c>
      <c r="J1932" t="inlineStr">
        <is>
          <t>2026-08-08</t>
        </is>
      </c>
      <c r="L1932" s="19" t="inlineStr">
        <is>
          <t>1015190</t>
        </is>
      </c>
      <c r="M1932" t="inlineStr">
        <is>
          <t>STATUS=IN OEM / EU PACKAGE; SOURCE_CFG=IA-ST-CFG-0284; MARKET=REDMAY URUGUAY</t>
        </is>
      </c>
      <c r="N1932" t="inlineStr">
        <is>
          <t>2026-08-10T19:29:54Z</t>
        </is>
      </c>
      <c r="O1932" t="inlineStr">
        <is>
          <t>2026-08-10T19:29:54Z</t>
        </is>
      </c>
    </row>
    <row r="1933">
      <c r="A1933" s="19" t="inlineStr">
        <is>
          <t>1932</t>
        </is>
      </c>
      <c r="B1933" s="19" t="inlineStr">
        <is>
          <t>1015191</t>
        </is>
      </c>
      <c r="C1933" t="inlineStr">
        <is>
          <t>AKÜ,LB1,DK,50AH,IGYA SMF,GORILA,REDMAY</t>
        </is>
      </c>
      <c r="D1933" s="19" t="inlineStr">
        <is>
          <t>1</t>
        </is>
      </c>
      <c r="E1933" t="n">
        <v>0</v>
      </c>
      <c r="I1933" s="19" t="inlineStr">
        <is>
          <t>2</t>
        </is>
      </c>
      <c r="J1933" t="inlineStr">
        <is>
          <t>2026-08-08</t>
        </is>
      </c>
      <c r="L1933" s="19" t="inlineStr">
        <is>
          <t>1015191</t>
        </is>
      </c>
      <c r="M1933" t="inlineStr">
        <is>
          <t>STATUS=IN OEM / EU PACKAGE; SOURCE_CFG=IA-ST-CFG-0247; MARKET=REDMAY URUGUAY</t>
        </is>
      </c>
      <c r="N1933" t="inlineStr">
        <is>
          <t>2026-08-10T19:29:54Z</t>
        </is>
      </c>
      <c r="O1933" t="inlineStr">
        <is>
          <t>2026-08-10T19:29:54Z</t>
        </is>
      </c>
    </row>
    <row r="1934">
      <c r="A1934" s="19" t="inlineStr">
        <is>
          <t>1933</t>
        </is>
      </c>
      <c r="B1934" s="19" t="inlineStr">
        <is>
          <t>1015192</t>
        </is>
      </c>
      <c r="C1934" t="inlineStr">
        <is>
          <t>AKÜ,LB2,DK,60AH,IGYA SMF,GORILA,REDMAY</t>
        </is>
      </c>
      <c r="D1934" s="19" t="inlineStr">
        <is>
          <t>1</t>
        </is>
      </c>
      <c r="E1934" t="n">
        <v>0</v>
      </c>
      <c r="I1934" s="19" t="inlineStr">
        <is>
          <t>2</t>
        </is>
      </c>
      <c r="J1934" t="inlineStr">
        <is>
          <t>2026-08-08</t>
        </is>
      </c>
      <c r="L1934" s="19" t="inlineStr">
        <is>
          <t>1015192</t>
        </is>
      </c>
      <c r="M1934" t="inlineStr">
        <is>
          <t>STATUS=IN OEM / EU PACKAGE; SOURCE_CFG=IA-ST-CFG-0222; MARKET=REDMAY URUGUAY</t>
        </is>
      </c>
      <c r="N1934" t="inlineStr">
        <is>
          <t>2026-08-10T19:29:54Z</t>
        </is>
      </c>
      <c r="O1934" t="inlineStr">
        <is>
          <t>2026-08-10T19:29:54Z</t>
        </is>
      </c>
    </row>
    <row r="1935">
      <c r="A1935" s="19" t="inlineStr">
        <is>
          <t>1934</t>
        </is>
      </c>
      <c r="B1935" s="19" t="inlineStr">
        <is>
          <t>1015193</t>
        </is>
      </c>
      <c r="C1935" t="inlineStr">
        <is>
          <t>AKÜ,LB3,DK,70AH,IGYA SMF,GORILA,REDMAY</t>
        </is>
      </c>
      <c r="D1935" s="19" t="inlineStr">
        <is>
          <t>1</t>
        </is>
      </c>
      <c r="E1935" t="n">
        <v>0</v>
      </c>
      <c r="I1935" s="19" t="inlineStr">
        <is>
          <t>2</t>
        </is>
      </c>
      <c r="J1935" t="inlineStr">
        <is>
          <t>2026-08-08</t>
        </is>
      </c>
      <c r="L1935" s="19" t="inlineStr">
        <is>
          <t>1015193</t>
        </is>
      </c>
      <c r="M1935" t="inlineStr">
        <is>
          <t>STATUS=IN OEM / EU PACKAGE; SOURCE_CFG=IA-ST-CFG-0178; MARKET=REDMAY URUGUAY</t>
        </is>
      </c>
      <c r="N1935" t="inlineStr">
        <is>
          <t>2026-08-10T19:29:54Z</t>
        </is>
      </c>
      <c r="O1935" t="inlineStr">
        <is>
          <t>2026-08-10T19:29:54Z</t>
        </is>
      </c>
    </row>
    <row r="1936">
      <c r="A1936" s="19" t="inlineStr">
        <is>
          <t>1935</t>
        </is>
      </c>
      <c r="B1936" s="19" t="inlineStr">
        <is>
          <t>1015194</t>
        </is>
      </c>
      <c r="C1936" t="inlineStr">
        <is>
          <t>AKÜ,B-IGYASMF,DK,185AH,Y5000SHDEXP,GYITA</t>
        </is>
      </c>
      <c r="D1936" s="19" t="inlineStr">
        <is>
          <t>1</t>
        </is>
      </c>
      <c r="E1936" t="n">
        <v>0</v>
      </c>
      <c r="I1936" s="19" t="inlineStr">
        <is>
          <t>2</t>
        </is>
      </c>
      <c r="J1936" t="inlineStr">
        <is>
          <t>2026-08-08</t>
        </is>
      </c>
      <c r="L1936" s="19" t="inlineStr">
        <is>
          <t>1015194</t>
        </is>
      </c>
      <c r="M1936" t="inlineStr">
        <is>
          <t>STATUS=IN OEM / EU PACKAGE; SOURCE_CFG=IA-ST-CFG-0030; MARKET=GY ITALY</t>
        </is>
      </c>
      <c r="N1936" t="inlineStr">
        <is>
          <t>2026-08-10T19:29:54Z</t>
        </is>
      </c>
      <c r="O1936" t="inlineStr">
        <is>
          <t>2026-08-10T19:29:54Z</t>
        </is>
      </c>
    </row>
    <row r="1937">
      <c r="A1937" s="19" t="inlineStr">
        <is>
          <t>1936</t>
        </is>
      </c>
      <c r="B1937" s="19" t="inlineStr">
        <is>
          <t>1015195</t>
        </is>
      </c>
      <c r="C1937" t="inlineStr">
        <is>
          <t>AKÜ,B-IGYASMF,TK,185AH,Y5000SHDEXP,GYITA</t>
        </is>
      </c>
      <c r="D1937" s="19" t="inlineStr">
        <is>
          <t>1</t>
        </is>
      </c>
      <c r="E1937" t="n">
        <v>0</v>
      </c>
      <c r="I1937" s="19" t="inlineStr">
        <is>
          <t>2</t>
        </is>
      </c>
      <c r="J1937" t="inlineStr">
        <is>
          <t>2026-08-08</t>
        </is>
      </c>
      <c r="L1937" s="19" t="inlineStr">
        <is>
          <t>1015195</t>
        </is>
      </c>
      <c r="M1937" t="inlineStr">
        <is>
          <t>STATUS=IN OEM / EU PACKAGE; SOURCE_CFG=IA-ST-CFG-0030; MARKET=GY ITALY</t>
        </is>
      </c>
      <c r="N1937" t="inlineStr">
        <is>
          <t>2026-08-10T19:29:54Z</t>
        </is>
      </c>
      <c r="O1937" t="inlineStr">
        <is>
          <t>2026-08-10T19:29:54Z</t>
        </is>
      </c>
    </row>
    <row r="1938">
      <c r="A1938" s="19" t="inlineStr">
        <is>
          <t>1937</t>
        </is>
      </c>
      <c r="B1938" s="19" t="inlineStr">
        <is>
          <t>1015196</t>
        </is>
      </c>
      <c r="C1938" t="inlineStr">
        <is>
          <t>AKÜ,C-IGYASMF,DK,230AH,Y5000SHDEXP,GYITA</t>
        </is>
      </c>
      <c r="D1938" s="19" t="inlineStr">
        <is>
          <t>1</t>
        </is>
      </c>
      <c r="E1938" t="n">
        <v>0</v>
      </c>
      <c r="I1938" s="19" t="inlineStr">
        <is>
          <t>2</t>
        </is>
      </c>
      <c r="J1938" t="inlineStr">
        <is>
          <t>2026-08-08</t>
        </is>
      </c>
      <c r="L1938" s="19" t="inlineStr">
        <is>
          <t>1015196</t>
        </is>
      </c>
      <c r="M1938" t="inlineStr">
        <is>
          <t>STATUS=IN OEM / EU PACKAGE; SOURCE_CFG=IA-ST-CFG-0015; MARKET=GY ITALY</t>
        </is>
      </c>
      <c r="N1938" t="inlineStr">
        <is>
          <t>2026-08-10T19:29:54Z</t>
        </is>
      </c>
      <c r="O1938" t="inlineStr">
        <is>
          <t>2026-08-10T19:29:54Z</t>
        </is>
      </c>
    </row>
    <row r="1939">
      <c r="A1939" s="19" t="inlineStr">
        <is>
          <t>1938</t>
        </is>
      </c>
      <c r="B1939" s="19" t="inlineStr">
        <is>
          <t>1015197</t>
        </is>
      </c>
      <c r="C1939" t="inlineStr">
        <is>
          <t>AKÜ,B-IGYASMF,DK,185AH,Y7000SHDEXP,GYITA</t>
        </is>
      </c>
      <c r="D1939" s="19" t="inlineStr">
        <is>
          <t>1</t>
        </is>
      </c>
      <c r="E1939" t="n">
        <v>0</v>
      </c>
      <c r="I1939" s="19" t="inlineStr">
        <is>
          <t>2</t>
        </is>
      </c>
      <c r="J1939" t="inlineStr">
        <is>
          <t>2026-08-08</t>
        </is>
      </c>
      <c r="L1939" s="19" t="inlineStr">
        <is>
          <t>1015197</t>
        </is>
      </c>
      <c r="M1939" t="inlineStr">
        <is>
          <t>STATUS=IN OEM / EU PACKAGE; SOURCE_CFG=IA-ST-CFG-0030; MARKET=GY ITALY</t>
        </is>
      </c>
      <c r="N1939" t="inlineStr">
        <is>
          <t>2026-08-10T19:29:54Z</t>
        </is>
      </c>
      <c r="O1939" t="inlineStr">
        <is>
          <t>2026-08-10T19:29:54Z</t>
        </is>
      </c>
    </row>
    <row r="1940">
      <c r="A1940" s="19" t="inlineStr">
        <is>
          <t>1939</t>
        </is>
      </c>
      <c r="B1940" s="19" t="inlineStr">
        <is>
          <t>1015198</t>
        </is>
      </c>
      <c r="C1940" t="inlineStr">
        <is>
          <t>AKÜ,B-IGYASMF,DK,185AH,Y5000NONAME,GYITA</t>
        </is>
      </c>
      <c r="D1940" s="19" t="inlineStr">
        <is>
          <t>1</t>
        </is>
      </c>
      <c r="E1940" t="n">
        <v>0</v>
      </c>
      <c r="I1940" s="19" t="inlineStr">
        <is>
          <t>2</t>
        </is>
      </c>
      <c r="J1940" t="inlineStr">
        <is>
          <t>2026-08-08</t>
        </is>
      </c>
      <c r="L1940" s="19" t="inlineStr">
        <is>
          <t>1015198</t>
        </is>
      </c>
      <c r="M1940" t="inlineStr">
        <is>
          <t>STATUS=IN OEM / EU PACKAGE; SOURCE_CFG=IA-ST-CFG-0030; MARKET=GY ITALY</t>
        </is>
      </c>
      <c r="N1940" t="inlineStr">
        <is>
          <t>2026-08-10T19:29:54Z</t>
        </is>
      </c>
      <c r="O1940" t="inlineStr">
        <is>
          <t>2026-08-10T19:29:54Z</t>
        </is>
      </c>
    </row>
    <row r="1941">
      <c r="A1941" s="19" t="inlineStr">
        <is>
          <t>1940</t>
        </is>
      </c>
      <c r="B1941" s="19" t="inlineStr">
        <is>
          <t>1015199</t>
        </is>
      </c>
      <c r="C1941" t="inlineStr">
        <is>
          <t>AKÜ,B-IGYASMF,TK,185AH,Y5000NONAME,GYITA</t>
        </is>
      </c>
      <c r="D1941" s="19" t="inlineStr">
        <is>
          <t>1</t>
        </is>
      </c>
      <c r="E1941" t="n">
        <v>0</v>
      </c>
      <c r="I1941" s="19" t="inlineStr">
        <is>
          <t>2</t>
        </is>
      </c>
      <c r="J1941" t="inlineStr">
        <is>
          <t>2026-08-08</t>
        </is>
      </c>
      <c r="L1941" s="19" t="inlineStr">
        <is>
          <t>1015199</t>
        </is>
      </c>
      <c r="M1941" t="inlineStr">
        <is>
          <t>STATUS=IN OEM / EU PACKAGE; SOURCE_CFG=IA-ST-CFG-0030; MARKET=GY ITALY</t>
        </is>
      </c>
      <c r="N1941" t="inlineStr">
        <is>
          <t>2026-08-10T19:29:54Z</t>
        </is>
      </c>
      <c r="O1941" t="inlineStr">
        <is>
          <t>2026-08-10T19:29:54Z</t>
        </is>
      </c>
    </row>
    <row r="1942">
      <c r="A1942" s="19" t="inlineStr">
        <is>
          <t>1941</t>
        </is>
      </c>
      <c r="B1942" s="19" t="inlineStr">
        <is>
          <t>1015200</t>
        </is>
      </c>
      <c r="C1942" t="inlineStr">
        <is>
          <t>AKÜ,C-IGYASMF,DK,230AH,Y5000NONAME,GYITA</t>
        </is>
      </c>
      <c r="D1942" s="19" t="inlineStr">
        <is>
          <t>1</t>
        </is>
      </c>
      <c r="E1942" t="n">
        <v>0</v>
      </c>
      <c r="I1942" s="19" t="inlineStr">
        <is>
          <t>2</t>
        </is>
      </c>
      <c r="J1942" t="inlineStr">
        <is>
          <t>2026-08-08</t>
        </is>
      </c>
      <c r="L1942" s="19" t="inlineStr">
        <is>
          <t>1015200</t>
        </is>
      </c>
      <c r="M1942" t="inlineStr">
        <is>
          <t>STATUS=IN OEM / EU PACKAGE; SOURCE_CFG=IA-ST-CFG-0015; MARKET=GY ITALY</t>
        </is>
      </c>
      <c r="N1942" t="inlineStr">
        <is>
          <t>2026-08-10T19:29:54Z</t>
        </is>
      </c>
      <c r="O1942" t="inlineStr">
        <is>
          <t>2026-08-10T19:29:54Z</t>
        </is>
      </c>
    </row>
    <row r="1943">
      <c r="A1943" s="19" t="inlineStr">
        <is>
          <t>1942</t>
        </is>
      </c>
      <c r="B1943" s="19" t="inlineStr">
        <is>
          <t>1015201</t>
        </is>
      </c>
      <c r="C1943" t="inlineStr">
        <is>
          <t>AKÜ,B-IGYASMF,DK,185AH,Y7000NONAME,GYITA</t>
        </is>
      </c>
      <c r="D1943" s="19" t="inlineStr">
        <is>
          <t>1</t>
        </is>
      </c>
      <c r="E1943" t="n">
        <v>0</v>
      </c>
      <c r="I1943" s="19" t="inlineStr">
        <is>
          <t>2</t>
        </is>
      </c>
      <c r="J1943" t="inlineStr">
        <is>
          <t>2026-08-08</t>
        </is>
      </c>
      <c r="L1943" s="19" t="inlineStr">
        <is>
          <t>1015201</t>
        </is>
      </c>
      <c r="M1943" t="inlineStr">
        <is>
          <t>STATUS=IN OEM / EU PACKAGE; SOURCE_CFG=IA-ST-CFG-0030; MARKET=GY ITALY</t>
        </is>
      </c>
      <c r="N1943" t="inlineStr">
        <is>
          <t>2026-08-10T19:29:54Z</t>
        </is>
      </c>
      <c r="O1943" t="inlineStr">
        <is>
          <t>2026-08-10T19:29:54Z</t>
        </is>
      </c>
    </row>
    <row r="1944">
      <c r="A1944" s="19" t="inlineStr">
        <is>
          <t>1943</t>
        </is>
      </c>
      <c r="B1944" s="19" t="inlineStr">
        <is>
          <t>1015202</t>
        </is>
      </c>
      <c r="C1944" t="inlineStr">
        <is>
          <t>AKÜ,L1,DK,44AH,IGYA SMF,HUGEL ULTRA</t>
        </is>
      </c>
      <c r="D1944" s="19" t="inlineStr">
        <is>
          <t>1</t>
        </is>
      </c>
      <c r="E1944" t="n">
        <v>0</v>
      </c>
      <c r="I1944" s="19" t="inlineStr">
        <is>
          <t>2</t>
        </is>
      </c>
      <c r="J1944" t="inlineStr">
        <is>
          <t>2026-08-08</t>
        </is>
      </c>
      <c r="L1944" s="19" t="inlineStr">
        <is>
          <t>1015202</t>
        </is>
      </c>
      <c r="M1944" t="inlineStr">
        <is>
          <t>STATUS=IN OEM / EU PACKAGE; SOURCE_CFG=IA-ST-CFG-0248; MARKET=None</t>
        </is>
      </c>
      <c r="N1944" t="inlineStr">
        <is>
          <t>2026-08-10T19:29:54Z</t>
        </is>
      </c>
      <c r="O1944" t="inlineStr">
        <is>
          <t>2026-08-10T19:29:54Z</t>
        </is>
      </c>
    </row>
    <row r="1945">
      <c r="A1945" s="19" t="inlineStr">
        <is>
          <t>1944</t>
        </is>
      </c>
      <c r="B1945" s="19" t="inlineStr">
        <is>
          <t>1015203</t>
        </is>
      </c>
      <c r="C1945" t="inlineStr">
        <is>
          <t>AKÜ,LB4,DK,80AH,IGYA SMF,MAKO,EXIDE OES</t>
        </is>
      </c>
      <c r="D1945" s="19" t="inlineStr">
        <is>
          <t>1</t>
        </is>
      </c>
      <c r="E1945" t="n">
        <v>0</v>
      </c>
      <c r="I1945" s="19" t="inlineStr">
        <is>
          <t>2</t>
        </is>
      </c>
      <c r="J1945" t="inlineStr">
        <is>
          <t>2026-08-08</t>
        </is>
      </c>
      <c r="L1945" s="19" t="inlineStr">
        <is>
          <t>1015203</t>
        </is>
      </c>
      <c r="M1945" t="inlineStr">
        <is>
          <t>STATUS=DOMESTIC-ONLY / NOT IN OEM PACKAGE; SOURCE_CFG=IA-ST-CFG-0154; MARKET=MAKO OES (Yurt İçi)</t>
        </is>
      </c>
      <c r="N1945" t="inlineStr">
        <is>
          <t>2026-08-10T19:29:54Z</t>
        </is>
      </c>
      <c r="O1945" t="inlineStr">
        <is>
          <t>2026-08-10T19:29:54Z</t>
        </is>
      </c>
    </row>
    <row r="1946">
      <c r="A1946" s="19" t="inlineStr">
        <is>
          <t>1945</t>
        </is>
      </c>
      <c r="B1946" s="19" t="inlineStr">
        <is>
          <t>1015205</t>
        </is>
      </c>
      <c r="C1946" t="inlineStr">
        <is>
          <t>AKÜ,L4,DK,85AH,IGYASMF,YBX3115-085,GYEUR</t>
        </is>
      </c>
      <c r="D1946" s="19" t="inlineStr">
        <is>
          <t>1</t>
        </is>
      </c>
      <c r="E1946" t="n">
        <v>0</v>
      </c>
      <c r="I1946" s="19" t="inlineStr">
        <is>
          <t>2</t>
        </is>
      </c>
      <c r="J1946" t="inlineStr">
        <is>
          <t>2026-08-08</t>
        </is>
      </c>
      <c r="L1946" s="19" t="inlineStr">
        <is>
          <t>1015205</t>
        </is>
      </c>
      <c r="M1946" t="inlineStr">
        <is>
          <t>STATUS=IN OEM / EU PACKAGE; SOURCE_CFG=IA-ST-CFG-0085; MARKET=GY EUR</t>
        </is>
      </c>
      <c r="N1946" t="inlineStr">
        <is>
          <t>2026-08-10T19:29:54Z</t>
        </is>
      </c>
      <c r="O1946" t="inlineStr">
        <is>
          <t>2026-08-10T19:29:54Z</t>
        </is>
      </c>
    </row>
    <row r="1947">
      <c r="A1947" s="19" t="inlineStr">
        <is>
          <t>1946</t>
        </is>
      </c>
      <c r="B1947" s="19" t="inlineStr">
        <is>
          <t>1015206</t>
        </is>
      </c>
      <c r="C1947" t="inlineStr">
        <is>
          <t>AKÜ,L4,DK,85AH,IGYASMF,YBX7115-085,GYEUR</t>
        </is>
      </c>
      <c r="D1947" s="19" t="inlineStr">
        <is>
          <t>1</t>
        </is>
      </c>
      <c r="E1947" t="n">
        <v>0</v>
      </c>
      <c r="I1947" s="19" t="inlineStr">
        <is>
          <t>2</t>
        </is>
      </c>
      <c r="J1947" t="inlineStr">
        <is>
          <t>2026-08-08</t>
        </is>
      </c>
      <c r="L1947" s="19" t="inlineStr">
        <is>
          <t>1015206</t>
        </is>
      </c>
      <c r="M1947" t="inlineStr">
        <is>
          <t>STATUS=IN OEM / EU PACKAGE; SOURCE_CFG=IA-ST-CFG-0085; MARKET=GY EUR</t>
        </is>
      </c>
      <c r="N1947" t="inlineStr">
        <is>
          <t>2026-08-10T19:29:54Z</t>
        </is>
      </c>
      <c r="O1947" t="inlineStr">
        <is>
          <t>2026-08-10T19:29:54Z</t>
        </is>
      </c>
    </row>
    <row r="1948">
      <c r="A1948" s="19" t="inlineStr">
        <is>
          <t>1947</t>
        </is>
      </c>
      <c r="B1948" s="19" t="inlineStr">
        <is>
          <t>1015209</t>
        </is>
      </c>
      <c r="C1948" t="inlineStr">
        <is>
          <t>AKÜ,L1,DK,54AH,IGYASMF,YBX5012-054,GYEUR</t>
        </is>
      </c>
      <c r="D1948" s="19" t="inlineStr">
        <is>
          <t>1</t>
        </is>
      </c>
      <c r="E1948" t="n">
        <v>0</v>
      </c>
      <c r="I1948" s="19" t="inlineStr">
        <is>
          <t>2</t>
        </is>
      </c>
      <c r="J1948" t="inlineStr">
        <is>
          <t>2026-08-08</t>
        </is>
      </c>
      <c r="L1948" s="19" t="inlineStr">
        <is>
          <t>1015209</t>
        </is>
      </c>
      <c r="M1948" t="inlineStr">
        <is>
          <t>STATUS=IN OEM / EU PACKAGE; SOURCE_CFG=IA-ST-CFG-0209; MARKET=GY EUR</t>
        </is>
      </c>
      <c r="N1948" t="inlineStr">
        <is>
          <t>2026-08-10T19:29:54Z</t>
        </is>
      </c>
      <c r="O1948" t="inlineStr">
        <is>
          <t>2026-08-10T19:29:54Z</t>
        </is>
      </c>
    </row>
    <row r="1949">
      <c r="A1949" s="19" t="inlineStr">
        <is>
          <t>1948</t>
        </is>
      </c>
      <c r="B1949" s="19" t="inlineStr">
        <is>
          <t>1015210</t>
        </is>
      </c>
      <c r="C1949" t="inlineStr">
        <is>
          <t>AKÜ,L1,DK,54AH,IGYASMF,HAL5012-054,GYEUR</t>
        </is>
      </c>
      <c r="D1949" s="19" t="inlineStr">
        <is>
          <t>1</t>
        </is>
      </c>
      <c r="E1949" t="n">
        <v>0</v>
      </c>
      <c r="I1949" s="19" t="inlineStr">
        <is>
          <t>2</t>
        </is>
      </c>
      <c r="J1949" t="inlineStr">
        <is>
          <t>2026-08-08</t>
        </is>
      </c>
      <c r="L1949" s="19" t="inlineStr">
        <is>
          <t>1015210</t>
        </is>
      </c>
      <c r="M1949" t="inlineStr">
        <is>
          <t>STATUS=IN OEM / EU PACKAGE; SOURCE_CFG=IA-ST-CFG-0209; MARKET=GY EUR</t>
        </is>
      </c>
      <c r="N1949" t="inlineStr">
        <is>
          <t>2026-08-10T19:29:54Z</t>
        </is>
      </c>
      <c r="O1949" t="inlineStr">
        <is>
          <t>2026-08-10T19:29:54Z</t>
        </is>
      </c>
    </row>
    <row r="1950">
      <c r="A1950" s="19" t="inlineStr">
        <is>
          <t>1949</t>
        </is>
      </c>
      <c r="B1950" s="19" t="inlineStr">
        <is>
          <t>1015211</t>
        </is>
      </c>
      <c r="C1950" t="inlineStr">
        <is>
          <t>AKÜ,L1,DK,54AH,IGYA,NONAME,5012-054GYEUR</t>
        </is>
      </c>
      <c r="D1950" s="19" t="inlineStr">
        <is>
          <t>1</t>
        </is>
      </c>
      <c r="E1950" t="n">
        <v>0</v>
      </c>
      <c r="I1950" s="19" t="inlineStr">
        <is>
          <t>2</t>
        </is>
      </c>
      <c r="J1950" t="inlineStr">
        <is>
          <t>2026-08-08</t>
        </is>
      </c>
      <c r="L1950" s="19" t="inlineStr">
        <is>
          <t>1015211</t>
        </is>
      </c>
      <c r="M1950" t="inlineStr">
        <is>
          <t>STATUS=IN OEM / EU PACKAGE; SOURCE_CFG=IA-ST-CFG-0209; MARKET=GY EUR</t>
        </is>
      </c>
      <c r="N1950" t="inlineStr">
        <is>
          <t>2026-08-10T19:29:54Z</t>
        </is>
      </c>
      <c r="O1950" t="inlineStr">
        <is>
          <t>2026-08-10T19:29:54Z</t>
        </is>
      </c>
    </row>
    <row r="1951">
      <c r="A1951" s="19" t="inlineStr">
        <is>
          <t>1950</t>
        </is>
      </c>
      <c r="B1951" s="19" t="inlineStr">
        <is>
          <t>1015212</t>
        </is>
      </c>
      <c r="C1951" t="inlineStr">
        <is>
          <t>AKÜ,L2,DK,65AH,IGYASMF,YBX5027-065,GYEUR</t>
        </is>
      </c>
      <c r="D1951" s="19" t="inlineStr">
        <is>
          <t>1</t>
        </is>
      </c>
      <c r="E1951" t="n">
        <v>0</v>
      </c>
      <c r="I1951" s="19" t="inlineStr">
        <is>
          <t>2</t>
        </is>
      </c>
      <c r="J1951" t="inlineStr">
        <is>
          <t>2026-08-08</t>
        </is>
      </c>
      <c r="L1951" s="19" t="inlineStr">
        <is>
          <t>1015212</t>
        </is>
      </c>
      <c r="M1951" t="inlineStr">
        <is>
          <t>STATUS=IN OEM / EU PACKAGE; SOURCE_CFG=IA-ST-CFG-0162; MARKET=GY EUR</t>
        </is>
      </c>
      <c r="N1951" t="inlineStr">
        <is>
          <t>2026-08-10T19:29:54Z</t>
        </is>
      </c>
      <c r="O1951" t="inlineStr">
        <is>
          <t>2026-08-10T19:29:54Z</t>
        </is>
      </c>
    </row>
    <row r="1952">
      <c r="A1952" s="19" t="inlineStr">
        <is>
          <t>1951</t>
        </is>
      </c>
      <c r="B1952" s="19" t="inlineStr">
        <is>
          <t>1015213</t>
        </is>
      </c>
      <c r="C1952" t="inlineStr">
        <is>
          <t>AKÜ,L2,DK,65AH,IGYASMF,HAL5027-065,GYEUR</t>
        </is>
      </c>
      <c r="D1952" s="19" t="inlineStr">
        <is>
          <t>1</t>
        </is>
      </c>
      <c r="E1952" t="n">
        <v>0</v>
      </c>
      <c r="I1952" s="19" t="inlineStr">
        <is>
          <t>2</t>
        </is>
      </c>
      <c r="J1952" t="inlineStr">
        <is>
          <t>2026-08-08</t>
        </is>
      </c>
      <c r="L1952" s="19" t="inlineStr">
        <is>
          <t>1015213</t>
        </is>
      </c>
      <c r="M1952" t="inlineStr">
        <is>
          <t>STATUS=IN OEM / EU PACKAGE; SOURCE_CFG=IA-ST-CFG-0162; MARKET=GY EUR</t>
        </is>
      </c>
      <c r="N1952" t="inlineStr">
        <is>
          <t>2026-08-10T19:29:54Z</t>
        </is>
      </c>
      <c r="O1952" t="inlineStr">
        <is>
          <t>2026-08-10T19:29:54Z</t>
        </is>
      </c>
    </row>
    <row r="1953">
      <c r="A1953" s="19" t="inlineStr">
        <is>
          <t>1952</t>
        </is>
      </c>
      <c r="B1953" s="19" t="inlineStr">
        <is>
          <t>1015214</t>
        </is>
      </c>
      <c r="C1953" t="inlineStr">
        <is>
          <t>AKÜ,L2,DK,65AH,IGYA,NONAME,5027-065GYEUR</t>
        </is>
      </c>
      <c r="D1953" s="19" t="inlineStr">
        <is>
          <t>1</t>
        </is>
      </c>
      <c r="E1953" t="n">
        <v>0</v>
      </c>
      <c r="I1953" s="19" t="inlineStr">
        <is>
          <t>2</t>
        </is>
      </c>
      <c r="J1953" t="inlineStr">
        <is>
          <t>2026-08-08</t>
        </is>
      </c>
      <c r="L1953" s="19" t="inlineStr">
        <is>
          <t>1015214</t>
        </is>
      </c>
      <c r="M1953" t="inlineStr">
        <is>
          <t>STATUS=IN OEM / EU PACKAGE; SOURCE_CFG=IA-ST-CFG-0162; MARKET=GY EUR</t>
        </is>
      </c>
      <c r="N1953" t="inlineStr">
        <is>
          <t>2026-08-10T19:29:54Z</t>
        </is>
      </c>
      <c r="O1953" t="inlineStr">
        <is>
          <t>2026-08-10T19:29:54Z</t>
        </is>
      </c>
    </row>
    <row r="1954">
      <c r="A1954" s="19" t="inlineStr">
        <is>
          <t>1953</t>
        </is>
      </c>
      <c r="B1954" s="19" t="inlineStr">
        <is>
          <t>1015215</t>
        </is>
      </c>
      <c r="C1954" t="inlineStr">
        <is>
          <t>AKÜ,L2,DK,65AH,IGYASMF,ADN5027-065,GYNRD</t>
        </is>
      </c>
      <c r="D1954" s="19" t="inlineStr">
        <is>
          <t>1</t>
        </is>
      </c>
      <c r="E1954" t="n">
        <v>0</v>
      </c>
      <c r="I1954" s="19" t="inlineStr">
        <is>
          <t>2</t>
        </is>
      </c>
      <c r="J1954" t="inlineStr">
        <is>
          <t>2026-08-08</t>
        </is>
      </c>
      <c r="L1954" s="19" t="inlineStr">
        <is>
          <t>1015215</t>
        </is>
      </c>
      <c r="M1954" t="inlineStr">
        <is>
          <t>STATUS=IN OEM / EU PACKAGE; SOURCE_CFG=IA-ST-CFG-0162; MARKET=GY NRD (ADN BALTIC NORDIC)</t>
        </is>
      </c>
      <c r="N1954" t="inlineStr">
        <is>
          <t>2026-08-10T19:29:54Z</t>
        </is>
      </c>
      <c r="O1954" t="inlineStr">
        <is>
          <t>2026-08-10T19:29:54Z</t>
        </is>
      </c>
    </row>
    <row r="1955">
      <c r="A1955" s="19" t="inlineStr">
        <is>
          <t>1954</t>
        </is>
      </c>
      <c r="B1955" s="19" t="inlineStr">
        <is>
          <t>1015216</t>
        </is>
      </c>
      <c r="C1955" t="inlineStr">
        <is>
          <t>AKÜ,L3,DK,80AH,IGYASMF,YBX5096-080,GYEUR</t>
        </is>
      </c>
      <c r="D1955" s="19" t="inlineStr">
        <is>
          <t>1</t>
        </is>
      </c>
      <c r="E1955" t="n">
        <v>0</v>
      </c>
      <c r="I1955" s="19" t="inlineStr">
        <is>
          <t>2</t>
        </is>
      </c>
      <c r="J1955" t="inlineStr">
        <is>
          <t>2026-08-08</t>
        </is>
      </c>
      <c r="L1955" s="19" t="inlineStr">
        <is>
          <t>1015216</t>
        </is>
      </c>
      <c r="M1955" t="inlineStr">
        <is>
          <t>STATUS=IN OEM / EU PACKAGE; SOURCE_CFG=IA-ST-CFG-0113; MARKET=GY EUR</t>
        </is>
      </c>
      <c r="N1955" t="inlineStr">
        <is>
          <t>2026-08-10T19:29:54Z</t>
        </is>
      </c>
      <c r="O1955" t="inlineStr">
        <is>
          <t>2026-08-10T19:29:54Z</t>
        </is>
      </c>
    </row>
    <row r="1956">
      <c r="A1956" s="19" t="inlineStr">
        <is>
          <t>1955</t>
        </is>
      </c>
      <c r="B1956" s="19" t="inlineStr">
        <is>
          <t>1015217</t>
        </is>
      </c>
      <c r="C1956" t="inlineStr">
        <is>
          <t>AKÜ,L3,DK,80AH,IGYASMF,HAL5096-080,GYEUR</t>
        </is>
      </c>
      <c r="D1956" s="19" t="inlineStr">
        <is>
          <t>1</t>
        </is>
      </c>
      <c r="E1956" t="n">
        <v>0</v>
      </c>
      <c r="I1956" s="19" t="inlineStr">
        <is>
          <t>2</t>
        </is>
      </c>
      <c r="J1956" t="inlineStr">
        <is>
          <t>2026-08-08</t>
        </is>
      </c>
      <c r="L1956" s="19" t="inlineStr">
        <is>
          <t>1015217</t>
        </is>
      </c>
      <c r="M1956" t="inlineStr">
        <is>
          <t>STATUS=IN OEM / EU PACKAGE; SOURCE_CFG=IA-ST-CFG-0113; MARKET=GY EUR</t>
        </is>
      </c>
      <c r="N1956" t="inlineStr">
        <is>
          <t>2026-08-10T19:29:54Z</t>
        </is>
      </c>
      <c r="O1956" t="inlineStr">
        <is>
          <t>2026-08-10T19:29:54Z</t>
        </is>
      </c>
    </row>
    <row r="1957">
      <c r="A1957" s="19" t="inlineStr">
        <is>
          <t>1956</t>
        </is>
      </c>
      <c r="B1957" s="19" t="inlineStr">
        <is>
          <t>1015218</t>
        </is>
      </c>
      <c r="C1957" t="inlineStr">
        <is>
          <t>AKÜ,L3,DK,80AH,IGYA,NONAME,5096-080GYEUR</t>
        </is>
      </c>
      <c r="D1957" s="19" t="inlineStr">
        <is>
          <t>1</t>
        </is>
      </c>
      <c r="E1957" t="n">
        <v>0</v>
      </c>
      <c r="I1957" s="19" t="inlineStr">
        <is>
          <t>2</t>
        </is>
      </c>
      <c r="J1957" t="inlineStr">
        <is>
          <t>2026-08-08</t>
        </is>
      </c>
      <c r="L1957" s="19" t="inlineStr">
        <is>
          <t>1015218</t>
        </is>
      </c>
      <c r="M1957" t="inlineStr">
        <is>
          <t>STATUS=IN OEM / EU PACKAGE; SOURCE_CFG=IA-ST-CFG-0113; MARKET=GY EUR</t>
        </is>
      </c>
      <c r="N1957" t="inlineStr">
        <is>
          <t>2026-08-10T19:29:54Z</t>
        </is>
      </c>
      <c r="O1957" t="inlineStr">
        <is>
          <t>2026-08-10T19:29:54Z</t>
        </is>
      </c>
    </row>
    <row r="1958">
      <c r="A1958" s="19" t="inlineStr">
        <is>
          <t>1957</t>
        </is>
      </c>
      <c r="B1958" s="19" t="inlineStr">
        <is>
          <t>1015219</t>
        </is>
      </c>
      <c r="C1958" t="inlineStr">
        <is>
          <t>AKÜ,L3,DK,80AH,IGYASMF,ADN5096-080,GYNRD</t>
        </is>
      </c>
      <c r="D1958" s="19" t="inlineStr">
        <is>
          <t>1</t>
        </is>
      </c>
      <c r="E1958" t="n">
        <v>0</v>
      </c>
      <c r="I1958" s="19" t="inlineStr">
        <is>
          <t>2</t>
        </is>
      </c>
      <c r="J1958" t="inlineStr">
        <is>
          <t>2026-08-08</t>
        </is>
      </c>
      <c r="L1958" s="19" t="inlineStr">
        <is>
          <t>1015219</t>
        </is>
      </c>
      <c r="M1958" t="inlineStr">
        <is>
          <t>STATUS=IN OEM / EU PACKAGE; SOURCE_CFG=IA-ST-CFG-0113; MARKET=GY NRD (ADN BALTIC NORDIC)</t>
        </is>
      </c>
      <c r="N1958" t="inlineStr">
        <is>
          <t>2026-08-10T19:29:54Z</t>
        </is>
      </c>
      <c r="O1958" t="inlineStr">
        <is>
          <t>2026-08-10T19:29:54Z</t>
        </is>
      </c>
    </row>
    <row r="1959">
      <c r="A1959" s="19" t="inlineStr">
        <is>
          <t>1958</t>
        </is>
      </c>
      <c r="B1959" s="19" t="inlineStr">
        <is>
          <t>1015220</t>
        </is>
      </c>
      <c r="C1959" t="inlineStr">
        <is>
          <t>AKÜ,LB3,DK75AH,IGYASMF,YBX5100-075,GYEUR</t>
        </is>
      </c>
      <c r="D1959" s="19" t="inlineStr">
        <is>
          <t>1</t>
        </is>
      </c>
      <c r="E1959" t="n">
        <v>0</v>
      </c>
      <c r="I1959" s="19" t="inlineStr">
        <is>
          <t>2</t>
        </is>
      </c>
      <c r="J1959" t="inlineStr">
        <is>
          <t>2026-08-08</t>
        </is>
      </c>
      <c r="L1959" s="19" t="inlineStr">
        <is>
          <t>1015220</t>
        </is>
      </c>
      <c r="M1959" t="inlineStr">
        <is>
          <t>STATUS=IN OEM / EU PACKAGE; SOURCE_CFG=IA-ST-CFG-0132; MARKET=GY EUR</t>
        </is>
      </c>
      <c r="N1959" t="inlineStr">
        <is>
          <t>2026-08-10T19:29:54Z</t>
        </is>
      </c>
      <c r="O1959" t="inlineStr">
        <is>
          <t>2026-08-10T19:29:54Z</t>
        </is>
      </c>
    </row>
    <row r="1960">
      <c r="A1960" s="19" t="inlineStr">
        <is>
          <t>1959</t>
        </is>
      </c>
      <c r="B1960" s="19" t="inlineStr">
        <is>
          <t>1015221</t>
        </is>
      </c>
      <c r="C1960" t="inlineStr">
        <is>
          <t>AKÜ,LB3,DK75AH,IGYA,NONAME,5100-075GYEUR</t>
        </is>
      </c>
      <c r="D1960" s="19" t="inlineStr">
        <is>
          <t>1</t>
        </is>
      </c>
      <c r="E1960" t="n">
        <v>0</v>
      </c>
      <c r="I1960" s="19" t="inlineStr">
        <is>
          <t>2</t>
        </is>
      </c>
      <c r="J1960" t="inlineStr">
        <is>
          <t>2026-08-08</t>
        </is>
      </c>
      <c r="L1960" s="19" t="inlineStr">
        <is>
          <t>1015221</t>
        </is>
      </c>
      <c r="M1960" t="inlineStr">
        <is>
          <t>STATUS=IN OEM / EU PACKAGE; SOURCE_CFG=IA-ST-CFG-0132; MARKET=GY EUR</t>
        </is>
      </c>
      <c r="N1960" t="inlineStr">
        <is>
          <t>2026-08-10T19:29:54Z</t>
        </is>
      </c>
      <c r="O1960" t="inlineStr">
        <is>
          <t>2026-08-10T19:29:54Z</t>
        </is>
      </c>
    </row>
    <row r="1961">
      <c r="A1961" s="19" t="inlineStr">
        <is>
          <t>1960</t>
        </is>
      </c>
      <c r="B1961" s="19" t="inlineStr">
        <is>
          <t>1015222</t>
        </is>
      </c>
      <c r="C1961" t="inlineStr">
        <is>
          <t>AKÜ,LB3,DK,75AH,IGYA,HAL5100-075,GYEUR</t>
        </is>
      </c>
      <c r="D1961" s="19" t="inlineStr">
        <is>
          <t>1</t>
        </is>
      </c>
      <c r="E1961" t="n">
        <v>0</v>
      </c>
      <c r="I1961" s="19" t="inlineStr">
        <is>
          <t>2</t>
        </is>
      </c>
      <c r="J1961" t="inlineStr">
        <is>
          <t>2026-08-08</t>
        </is>
      </c>
      <c r="L1961" s="19" t="inlineStr">
        <is>
          <t>1015222</t>
        </is>
      </c>
      <c r="M1961" t="inlineStr">
        <is>
          <t>STATUS=IN OEM / EU PACKAGE; SOURCE_CFG=IA-ST-CFG-0132; MARKET=GY EUR</t>
        </is>
      </c>
      <c r="N1961" t="inlineStr">
        <is>
          <t>2026-08-10T19:29:54Z</t>
        </is>
      </c>
      <c r="O1961" t="inlineStr">
        <is>
          <t>2026-08-10T19:29:54Z</t>
        </is>
      </c>
    </row>
    <row r="1962">
      <c r="A1962" s="19" t="inlineStr">
        <is>
          <t>1961</t>
        </is>
      </c>
      <c r="B1962" s="19" t="inlineStr">
        <is>
          <t>1015223</t>
        </is>
      </c>
      <c r="C1962" t="inlineStr">
        <is>
          <t>AKÜ,L4,DK,90AH,IGYASMF,YBX5115-090,GYEUR</t>
        </is>
      </c>
      <c r="D1962" s="19" t="inlineStr">
        <is>
          <t>1</t>
        </is>
      </c>
      <c r="E1962" t="n">
        <v>0</v>
      </c>
      <c r="I1962" s="19" t="inlineStr">
        <is>
          <t>2</t>
        </is>
      </c>
      <c r="J1962" t="inlineStr">
        <is>
          <t>2026-08-08</t>
        </is>
      </c>
      <c r="L1962" s="19" t="inlineStr">
        <is>
          <t>1015223</t>
        </is>
      </c>
      <c r="M1962" t="inlineStr">
        <is>
          <t>STATUS=IN OEM / EU PACKAGE; SOURCE_CFG=IA-ST-CFG-0085; MARKET=GY EUR</t>
        </is>
      </c>
      <c r="N1962" t="inlineStr">
        <is>
          <t>2026-08-10T19:29:54Z</t>
        </is>
      </c>
      <c r="O1962" t="inlineStr">
        <is>
          <t>2026-08-10T19:29:54Z</t>
        </is>
      </c>
    </row>
    <row r="1963">
      <c r="A1963" s="19" t="inlineStr">
        <is>
          <t>1962</t>
        </is>
      </c>
      <c r="B1963" s="19" t="inlineStr">
        <is>
          <t>1015224</t>
        </is>
      </c>
      <c r="C1963" t="inlineStr">
        <is>
          <t>AKÜ,L4,TK,90AH,IGYASMF,YBX5116-090,GYEUR</t>
        </is>
      </c>
      <c r="D1963" s="19" t="inlineStr">
        <is>
          <t>1</t>
        </is>
      </c>
      <c r="E1963" t="n">
        <v>0</v>
      </c>
      <c r="I1963" s="19" t="inlineStr">
        <is>
          <t>2</t>
        </is>
      </c>
      <c r="J1963" t="inlineStr">
        <is>
          <t>2026-08-08</t>
        </is>
      </c>
      <c r="L1963" s="19" t="inlineStr">
        <is>
          <t>1015224</t>
        </is>
      </c>
      <c r="M1963" t="inlineStr">
        <is>
          <t>STATUS=IN OEM / EU PACKAGE; SOURCE_CFG=IA-ST-CFG-0085; MARKET=GY EUR</t>
        </is>
      </c>
      <c r="N1963" t="inlineStr">
        <is>
          <t>2026-08-10T19:29:54Z</t>
        </is>
      </c>
      <c r="O1963" t="inlineStr">
        <is>
          <t>2026-08-10T19:29:54Z</t>
        </is>
      </c>
    </row>
    <row r="1964">
      <c r="A1964" s="19" t="inlineStr">
        <is>
          <t>1963</t>
        </is>
      </c>
      <c r="B1964" s="19" t="inlineStr">
        <is>
          <t>1015225</t>
        </is>
      </c>
      <c r="C1964" t="inlineStr">
        <is>
          <t>AKÜ,L4,DK,90AH,IGYA,NONAME,5115-090GYEUR</t>
        </is>
      </c>
      <c r="D1964" s="19" t="inlineStr">
        <is>
          <t>1</t>
        </is>
      </c>
      <c r="E1964" t="n">
        <v>0</v>
      </c>
      <c r="I1964" s="19" t="inlineStr">
        <is>
          <t>2</t>
        </is>
      </c>
      <c r="J1964" t="inlineStr">
        <is>
          <t>2026-08-08</t>
        </is>
      </c>
      <c r="L1964" s="19" t="inlineStr">
        <is>
          <t>1015225</t>
        </is>
      </c>
      <c r="M1964" t="inlineStr">
        <is>
          <t>STATUS=IN OEM / EU PACKAGE; SOURCE_CFG=IA-ST-CFG-0085; MARKET=GY EUR</t>
        </is>
      </c>
      <c r="N1964" t="inlineStr">
        <is>
          <t>2026-08-10T19:29:54Z</t>
        </is>
      </c>
      <c r="O1964" t="inlineStr">
        <is>
          <t>2026-08-10T19:29:54Z</t>
        </is>
      </c>
    </row>
    <row r="1965">
      <c r="A1965" s="19" t="inlineStr">
        <is>
          <t>1964</t>
        </is>
      </c>
      <c r="B1965" s="19" t="inlineStr">
        <is>
          <t>1015226</t>
        </is>
      </c>
      <c r="C1965" t="inlineStr">
        <is>
          <t>AKÜ,LB4,DK,85AH,IGYA,YBX5110-085,GYEUR</t>
        </is>
      </c>
      <c r="D1965" s="19" t="inlineStr">
        <is>
          <t>1</t>
        </is>
      </c>
      <c r="E1965" t="n">
        <v>0</v>
      </c>
      <c r="I1965" s="19" t="inlineStr">
        <is>
          <t>2</t>
        </is>
      </c>
      <c r="J1965" t="inlineStr">
        <is>
          <t>2026-08-08</t>
        </is>
      </c>
      <c r="L1965" s="19" t="inlineStr">
        <is>
          <t>1015226</t>
        </is>
      </c>
      <c r="M1965" t="inlineStr">
        <is>
          <t>STATUS=IN OEM / EU PACKAGE; SOURCE_CFG=IA-ST-CFG-0085; MARKET=GY EUR</t>
        </is>
      </c>
      <c r="N1965" t="inlineStr">
        <is>
          <t>2026-08-10T19:29:54Z</t>
        </is>
      </c>
      <c r="O1965" t="inlineStr">
        <is>
          <t>2026-08-10T19:29:54Z</t>
        </is>
      </c>
    </row>
    <row r="1966">
      <c r="A1966" s="19" t="inlineStr">
        <is>
          <t>1965</t>
        </is>
      </c>
      <c r="B1966" s="19" t="inlineStr">
        <is>
          <t>1015227</t>
        </is>
      </c>
      <c r="C1966" t="inlineStr">
        <is>
          <t>AKÜ,LB4,DK,85AH,IGYA,HAL5110-085,GYEUR</t>
        </is>
      </c>
      <c r="D1966" s="19" t="inlineStr">
        <is>
          <t>1</t>
        </is>
      </c>
      <c r="E1966" t="n">
        <v>0</v>
      </c>
      <c r="I1966" s="19" t="inlineStr">
        <is>
          <t>2</t>
        </is>
      </c>
      <c r="J1966" t="inlineStr">
        <is>
          <t>2026-08-08</t>
        </is>
      </c>
      <c r="L1966" s="19" t="inlineStr">
        <is>
          <t>1015227</t>
        </is>
      </c>
      <c r="M1966" t="inlineStr">
        <is>
          <t>STATUS=IN OEM / EU PACKAGE; SOURCE_CFG=IA-ST-CFG-0085; MARKET=GY EUR</t>
        </is>
      </c>
      <c r="N1966" t="inlineStr">
        <is>
          <t>2026-08-10T19:29:54Z</t>
        </is>
      </c>
      <c r="O1966" t="inlineStr">
        <is>
          <t>2026-08-10T19:29:54Z</t>
        </is>
      </c>
    </row>
    <row r="1967">
      <c r="A1967" s="19" t="inlineStr">
        <is>
          <t>1966</t>
        </is>
      </c>
      <c r="B1967" s="19" t="inlineStr">
        <is>
          <t>1015228</t>
        </is>
      </c>
      <c r="C1967" t="inlineStr">
        <is>
          <t>AKÜ,LB4,DK85AH,IGYA,NONAME,5110-085GYEUR</t>
        </is>
      </c>
      <c r="D1967" s="19" t="inlineStr">
        <is>
          <t>1</t>
        </is>
      </c>
      <c r="E1967" t="n">
        <v>0</v>
      </c>
      <c r="I1967" s="19" t="inlineStr">
        <is>
          <t>2</t>
        </is>
      </c>
      <c r="J1967" t="inlineStr">
        <is>
          <t>2026-08-08</t>
        </is>
      </c>
      <c r="L1967" s="19" t="inlineStr">
        <is>
          <t>1015228</t>
        </is>
      </c>
      <c r="M1967" t="inlineStr">
        <is>
          <t>STATUS=IN OEM / EU PACKAGE; SOURCE_CFG=IA-ST-CFG-0085; MARKET=GY EUR</t>
        </is>
      </c>
      <c r="N1967" t="inlineStr">
        <is>
          <t>2026-08-10T19:29:54Z</t>
        </is>
      </c>
      <c r="O1967" t="inlineStr">
        <is>
          <t>2026-08-10T19:29:54Z</t>
        </is>
      </c>
    </row>
    <row r="1968">
      <c r="A1968" s="19" t="inlineStr">
        <is>
          <t>1967</t>
        </is>
      </c>
      <c r="B1968" s="19" t="inlineStr">
        <is>
          <t>1015229</t>
        </is>
      </c>
      <c r="C1968" t="inlineStr">
        <is>
          <t>AKÜ,L5,DK,100AH,IGYA,YBX5019-100,GYEUR</t>
        </is>
      </c>
      <c r="D1968" s="19" t="inlineStr">
        <is>
          <t>1</t>
        </is>
      </c>
      <c r="E1968" t="n">
        <v>0</v>
      </c>
      <c r="I1968" s="19" t="inlineStr">
        <is>
          <t>2</t>
        </is>
      </c>
      <c r="J1968" t="inlineStr">
        <is>
          <t>2026-08-08</t>
        </is>
      </c>
      <c r="L1968" s="19" t="inlineStr">
        <is>
          <t>1015229</t>
        </is>
      </c>
      <c r="M1968" t="inlineStr">
        <is>
          <t>STATUS=IN OEM / EU PACKAGE; SOURCE_CFG=IA-ST-CFG-0068; MARKET=GY EUR</t>
        </is>
      </c>
      <c r="N1968" t="inlineStr">
        <is>
          <t>2026-08-10T19:29:54Z</t>
        </is>
      </c>
      <c r="O1968" t="inlineStr">
        <is>
          <t>2026-08-10T19:29:54Z</t>
        </is>
      </c>
    </row>
    <row r="1969">
      <c r="A1969" s="19" t="inlineStr">
        <is>
          <t>1968</t>
        </is>
      </c>
      <c r="B1969" s="19" t="inlineStr">
        <is>
          <t>1015230</t>
        </is>
      </c>
      <c r="C1969" t="inlineStr">
        <is>
          <t>AKÜ,L5,DK,100AH,IGYA,HAL5019-100,GYEUR</t>
        </is>
      </c>
      <c r="D1969" s="19" t="inlineStr">
        <is>
          <t>1</t>
        </is>
      </c>
      <c r="E1969" t="n">
        <v>0</v>
      </c>
      <c r="I1969" s="19" t="inlineStr">
        <is>
          <t>2</t>
        </is>
      </c>
      <c r="J1969" t="inlineStr">
        <is>
          <t>2026-08-08</t>
        </is>
      </c>
      <c r="L1969" s="19" t="inlineStr">
        <is>
          <t>1015230</t>
        </is>
      </c>
      <c r="M1969" t="inlineStr">
        <is>
          <t>STATUS=IN OEM / EU PACKAGE; SOURCE_CFG=IA-ST-CFG-0068; MARKET=GY EUR</t>
        </is>
      </c>
      <c r="N1969" t="inlineStr">
        <is>
          <t>2026-08-10T19:29:54Z</t>
        </is>
      </c>
      <c r="O1969" t="inlineStr">
        <is>
          <t>2026-08-10T19:29:54Z</t>
        </is>
      </c>
    </row>
    <row r="1970">
      <c r="A1970" s="19" t="inlineStr">
        <is>
          <t>1969</t>
        </is>
      </c>
      <c r="B1970" s="19" t="inlineStr">
        <is>
          <t>1015231</t>
        </is>
      </c>
      <c r="C1970" t="inlineStr">
        <is>
          <t>AKÜ,L5,DK100AH,IGYA,NONAME,5019-100GYEUR</t>
        </is>
      </c>
      <c r="D1970" s="19" t="inlineStr">
        <is>
          <t>1</t>
        </is>
      </c>
      <c r="E1970" t="n">
        <v>0</v>
      </c>
      <c r="I1970" s="19" t="inlineStr">
        <is>
          <t>2</t>
        </is>
      </c>
      <c r="J1970" t="inlineStr">
        <is>
          <t>2026-08-08</t>
        </is>
      </c>
      <c r="L1970" s="19" t="inlineStr">
        <is>
          <t>1015231</t>
        </is>
      </c>
      <c r="M1970" t="inlineStr">
        <is>
          <t>STATUS=IN OEM / EU PACKAGE; SOURCE_CFG=IA-ST-CFG-0068; MARKET=GY EUR</t>
        </is>
      </c>
      <c r="N1970" t="inlineStr">
        <is>
          <t>2026-08-10T19:29:54Z</t>
        </is>
      </c>
      <c r="O1970" t="inlineStr">
        <is>
          <t>2026-08-10T19:29:54Z</t>
        </is>
      </c>
    </row>
    <row r="1971">
      <c r="A1971" s="19" t="inlineStr">
        <is>
          <t>1970</t>
        </is>
      </c>
      <c r="B1971" s="19" t="inlineStr">
        <is>
          <t>1015232</t>
        </is>
      </c>
      <c r="C1971" t="inlineStr">
        <is>
          <t>AKÜ,L2,DK,65AH,IGYASMF,YBX7027-065,GYEUR</t>
        </is>
      </c>
      <c r="D1971" s="19" t="inlineStr">
        <is>
          <t>1</t>
        </is>
      </c>
      <c r="E1971" t="n">
        <v>0</v>
      </c>
      <c r="I1971" s="19" t="inlineStr">
        <is>
          <t>2</t>
        </is>
      </c>
      <c r="J1971" t="inlineStr">
        <is>
          <t>2026-08-08</t>
        </is>
      </c>
      <c r="L1971" s="19" t="inlineStr">
        <is>
          <t>1015232</t>
        </is>
      </c>
      <c r="M1971" t="inlineStr">
        <is>
          <t>STATUS=IN OEM / EU PACKAGE; SOURCE_CFG=IA-ST-CFG-0162; MARKET=GY EUR</t>
        </is>
      </c>
      <c r="N1971" t="inlineStr">
        <is>
          <t>2026-08-10T19:29:54Z</t>
        </is>
      </c>
      <c r="O1971" t="inlineStr">
        <is>
          <t>2026-08-10T19:29:54Z</t>
        </is>
      </c>
    </row>
    <row r="1972">
      <c r="A1972" s="19" t="inlineStr">
        <is>
          <t>1971</t>
        </is>
      </c>
      <c r="B1972" s="19" t="inlineStr">
        <is>
          <t>1015233</t>
        </is>
      </c>
      <c r="C1972" t="inlineStr">
        <is>
          <t>AKÜ,L2,DK,65AH,IGYA,NONAME,7027-065GYEUR</t>
        </is>
      </c>
      <c r="D1972" s="19" t="inlineStr">
        <is>
          <t>1</t>
        </is>
      </c>
      <c r="E1972" t="n">
        <v>0</v>
      </c>
      <c r="I1972" s="19" t="inlineStr">
        <is>
          <t>2</t>
        </is>
      </c>
      <c r="J1972" t="inlineStr">
        <is>
          <t>2026-08-08</t>
        </is>
      </c>
      <c r="L1972" s="19" t="inlineStr">
        <is>
          <t>1015233</t>
        </is>
      </c>
      <c r="M1972" t="inlineStr">
        <is>
          <t>STATUS=IN OEM / EU PACKAGE; SOURCE_CFG=IA-ST-CFG-0162; MARKET=GY EUR</t>
        </is>
      </c>
      <c r="N1972" t="inlineStr">
        <is>
          <t>2026-08-10T19:29:54Z</t>
        </is>
      </c>
      <c r="O1972" t="inlineStr">
        <is>
          <t>2026-08-10T19:29:54Z</t>
        </is>
      </c>
    </row>
    <row r="1973">
      <c r="A1973" s="19" t="inlineStr">
        <is>
          <t>1972</t>
        </is>
      </c>
      <c r="B1973" s="19" t="inlineStr">
        <is>
          <t>1015234</t>
        </is>
      </c>
      <c r="C1973" t="inlineStr">
        <is>
          <t>AKÜ,L2,DK,65AH,IGYASMF,HEB7027-065,GYEUR</t>
        </is>
      </c>
      <c r="D1973" s="19" t="inlineStr">
        <is>
          <t>1</t>
        </is>
      </c>
      <c r="E1973" t="n">
        <v>0</v>
      </c>
      <c r="I1973" s="19" t="inlineStr">
        <is>
          <t>2</t>
        </is>
      </c>
      <c r="J1973" t="inlineStr">
        <is>
          <t>2026-08-08</t>
        </is>
      </c>
      <c r="L1973" s="19" t="inlineStr">
        <is>
          <t>1015234</t>
        </is>
      </c>
      <c r="M1973" t="inlineStr">
        <is>
          <t>STATUS=IN OEM / EU PACKAGE; SOURCE_CFG=IA-ST-CFG-0162; MARKET=GY EUR</t>
        </is>
      </c>
      <c r="N1973" t="inlineStr">
        <is>
          <t>2026-08-10T19:29:54Z</t>
        </is>
      </c>
      <c r="O1973" t="inlineStr">
        <is>
          <t>2026-08-10T19:29:54Z</t>
        </is>
      </c>
    </row>
    <row r="1974">
      <c r="A1974" s="19" t="inlineStr">
        <is>
          <t>1973</t>
        </is>
      </c>
      <c r="B1974" s="19" t="inlineStr">
        <is>
          <t>1015235</t>
        </is>
      </c>
      <c r="C1974" t="inlineStr">
        <is>
          <t>AKÜ,L3,DK,75AH,IGYASMF,YBX7096-075,GYEUR</t>
        </is>
      </c>
      <c r="D1974" s="19" t="inlineStr">
        <is>
          <t>1</t>
        </is>
      </c>
      <c r="E1974" t="n">
        <v>0</v>
      </c>
      <c r="I1974" s="19" t="inlineStr">
        <is>
          <t>2</t>
        </is>
      </c>
      <c r="J1974" t="inlineStr">
        <is>
          <t>2026-08-08</t>
        </is>
      </c>
      <c r="L1974" s="19" t="inlineStr">
        <is>
          <t>1015235</t>
        </is>
      </c>
      <c r="M1974" t="inlineStr">
        <is>
          <t>STATUS=IN OEM / EU PACKAGE; SOURCE_CFG=IA-ST-CFG-0103; MARKET=GY EUR</t>
        </is>
      </c>
      <c r="N1974" t="inlineStr">
        <is>
          <t>2026-08-10T19:29:54Z</t>
        </is>
      </c>
      <c r="O1974" t="inlineStr">
        <is>
          <t>2026-08-10T19:29:54Z</t>
        </is>
      </c>
    </row>
    <row r="1975">
      <c r="A1975" s="19" t="inlineStr">
        <is>
          <t>1974</t>
        </is>
      </c>
      <c r="B1975" s="19" t="inlineStr">
        <is>
          <t>1015236</t>
        </is>
      </c>
      <c r="C1975" t="inlineStr">
        <is>
          <t>AKÜ,L3,DK,75AH,IGYA,NONAME,7096-075GYEUR</t>
        </is>
      </c>
      <c r="D1975" s="19" t="inlineStr">
        <is>
          <t>1</t>
        </is>
      </c>
      <c r="E1975" t="n">
        <v>0</v>
      </c>
      <c r="I1975" s="19" t="inlineStr">
        <is>
          <t>2</t>
        </is>
      </c>
      <c r="J1975" t="inlineStr">
        <is>
          <t>2026-08-08</t>
        </is>
      </c>
      <c r="L1975" s="19" t="inlineStr">
        <is>
          <t>1015236</t>
        </is>
      </c>
      <c r="M1975" t="inlineStr">
        <is>
          <t>STATUS=IN OEM / EU PACKAGE; SOURCE_CFG=IA-ST-CFG-0103; MARKET=GY EUR</t>
        </is>
      </c>
      <c r="N1975" t="inlineStr">
        <is>
          <t>2026-08-10T19:29:54Z</t>
        </is>
      </c>
      <c r="O1975" t="inlineStr">
        <is>
          <t>2026-08-10T19:29:54Z</t>
        </is>
      </c>
    </row>
    <row r="1976">
      <c r="A1976" s="19" t="inlineStr">
        <is>
          <t>1975</t>
        </is>
      </c>
      <c r="B1976" s="19" t="inlineStr">
        <is>
          <t>1015237</t>
        </is>
      </c>
      <c r="C1976" t="inlineStr">
        <is>
          <t>AKÜ,L3,DK,75AH,IGYASMF,HEB7096-075,GYEUR</t>
        </is>
      </c>
      <c r="D1976" s="19" t="inlineStr">
        <is>
          <t>1</t>
        </is>
      </c>
      <c r="E1976" t="n">
        <v>0</v>
      </c>
      <c r="I1976" s="19" t="inlineStr">
        <is>
          <t>2</t>
        </is>
      </c>
      <c r="J1976" t="inlineStr">
        <is>
          <t>2026-08-08</t>
        </is>
      </c>
      <c r="L1976" s="19" t="inlineStr">
        <is>
          <t>1015237</t>
        </is>
      </c>
      <c r="M1976" t="inlineStr">
        <is>
          <t>STATUS=IN OEM / EU PACKAGE; SOURCE_CFG=IA-ST-CFG-0103; MARKET=GY EUR</t>
        </is>
      </c>
      <c r="N1976" t="inlineStr">
        <is>
          <t>2026-08-10T19:29:54Z</t>
        </is>
      </c>
      <c r="O1976" t="inlineStr">
        <is>
          <t>2026-08-10T19:29:54Z</t>
        </is>
      </c>
    </row>
    <row r="1977">
      <c r="A1977" s="19" t="inlineStr">
        <is>
          <t>1976</t>
        </is>
      </c>
      <c r="B1977" s="19" t="inlineStr">
        <is>
          <t>1015238</t>
        </is>
      </c>
      <c r="C1977" t="inlineStr">
        <is>
          <t>AKÜ,LB3,DK65AH,IGYA,NONAME,7100-065GYEUR</t>
        </is>
      </c>
      <c r="D1977" s="19" t="inlineStr">
        <is>
          <t>1</t>
        </is>
      </c>
      <c r="E1977" t="n">
        <v>0</v>
      </c>
      <c r="I1977" s="19" t="inlineStr">
        <is>
          <t>2</t>
        </is>
      </c>
      <c r="J1977" t="inlineStr">
        <is>
          <t>2026-08-08</t>
        </is>
      </c>
      <c r="L1977" s="19" t="inlineStr">
        <is>
          <t>1015238</t>
        </is>
      </c>
      <c r="M1977" t="inlineStr">
        <is>
          <t>STATUS=IN OEM / EU PACKAGE; SOURCE_CFG=IA-ST-CFG-0132; MARKET=GY EUR</t>
        </is>
      </c>
      <c r="N1977" t="inlineStr">
        <is>
          <t>2026-08-10T19:29:54Z</t>
        </is>
      </c>
      <c r="O1977" t="inlineStr">
        <is>
          <t>2026-08-10T19:29:54Z</t>
        </is>
      </c>
    </row>
    <row r="1978">
      <c r="A1978" s="19" t="inlineStr">
        <is>
          <t>1977</t>
        </is>
      </c>
      <c r="B1978" s="19" t="inlineStr">
        <is>
          <t>1015239</t>
        </is>
      </c>
      <c r="C1978" t="inlineStr">
        <is>
          <t>AKÜ,LB3,DK,65AH,IGYA,YBX7100-065,GYEUR</t>
        </is>
      </c>
      <c r="D1978" s="19" t="inlineStr">
        <is>
          <t>1</t>
        </is>
      </c>
      <c r="E1978" t="n">
        <v>0</v>
      </c>
      <c r="I1978" s="19" t="inlineStr">
        <is>
          <t>2</t>
        </is>
      </c>
      <c r="J1978" t="inlineStr">
        <is>
          <t>2026-08-08</t>
        </is>
      </c>
      <c r="L1978" s="19" t="inlineStr">
        <is>
          <t>1015239</t>
        </is>
      </c>
      <c r="M1978" t="inlineStr">
        <is>
          <t>STATUS=IN OEM / EU PACKAGE; SOURCE_CFG=IA-ST-CFG-0132; MARKET=GY EUR</t>
        </is>
      </c>
      <c r="N1978" t="inlineStr">
        <is>
          <t>2026-08-10T19:29:54Z</t>
        </is>
      </c>
      <c r="O1978" t="inlineStr">
        <is>
          <t>2026-08-10T19:29:54Z</t>
        </is>
      </c>
    </row>
    <row r="1979">
      <c r="A1979" s="19" t="inlineStr">
        <is>
          <t>1978</t>
        </is>
      </c>
      <c r="B1979" s="19" t="inlineStr">
        <is>
          <t>1015240</t>
        </is>
      </c>
      <c r="C1979" t="inlineStr">
        <is>
          <t>AKÜ,LB3,DK,65AH,IGYA,HEB7100-065,GYEUR</t>
        </is>
      </c>
      <c r="D1979" s="19" t="inlineStr">
        <is>
          <t>1</t>
        </is>
      </c>
      <c r="E1979" t="n">
        <v>0</v>
      </c>
      <c r="I1979" s="19" t="inlineStr">
        <is>
          <t>2</t>
        </is>
      </c>
      <c r="J1979" t="inlineStr">
        <is>
          <t>2026-08-08</t>
        </is>
      </c>
      <c r="L1979" s="19" t="inlineStr">
        <is>
          <t>1015240</t>
        </is>
      </c>
      <c r="M1979" t="inlineStr">
        <is>
          <t>STATUS=IN OEM / EU PACKAGE; SOURCE_CFG=IA-ST-CFG-0132; MARKET=GY EUR</t>
        </is>
      </c>
      <c r="N1979" t="inlineStr">
        <is>
          <t>2026-08-10T19:29:54Z</t>
        </is>
      </c>
      <c r="O1979" t="inlineStr">
        <is>
          <t>2026-08-10T19:29:54Z</t>
        </is>
      </c>
    </row>
    <row r="1980">
      <c r="A1980" s="19" t="inlineStr">
        <is>
          <t>1979</t>
        </is>
      </c>
      <c r="B1980" s="19" t="inlineStr">
        <is>
          <t>1015241</t>
        </is>
      </c>
      <c r="C1980" t="inlineStr">
        <is>
          <t>AKÜ,LB4,DK75AH,IGYA,NONAME,7110-075GYEUR</t>
        </is>
      </c>
      <c r="D1980" s="19" t="inlineStr">
        <is>
          <t>1</t>
        </is>
      </c>
      <c r="E1980" t="n">
        <v>0</v>
      </c>
      <c r="I1980" s="19" t="inlineStr">
        <is>
          <t>2</t>
        </is>
      </c>
      <c r="J1980" t="inlineStr">
        <is>
          <t>2026-08-08</t>
        </is>
      </c>
      <c r="L1980" s="19" t="inlineStr">
        <is>
          <t>1015241</t>
        </is>
      </c>
      <c r="M1980" t="inlineStr">
        <is>
          <t>STATUS=IN OEM / EU PACKAGE; SOURCE_CFG=IA-ST-CFG-0085; MARKET=GY EUR</t>
        </is>
      </c>
      <c r="N1980" t="inlineStr">
        <is>
          <t>2026-08-10T19:29:54Z</t>
        </is>
      </c>
      <c r="O1980" t="inlineStr">
        <is>
          <t>2026-08-10T19:29:54Z</t>
        </is>
      </c>
    </row>
    <row r="1981">
      <c r="A1981" s="19" t="inlineStr">
        <is>
          <t>1980</t>
        </is>
      </c>
      <c r="B1981" s="19" t="inlineStr">
        <is>
          <t>1015242</t>
        </is>
      </c>
      <c r="C1981" t="inlineStr">
        <is>
          <t>AKÜ,LB4,DK,75AH,IGYA,YBX7110-075,GYEUR</t>
        </is>
      </c>
      <c r="D1981" s="19" t="inlineStr">
        <is>
          <t>1</t>
        </is>
      </c>
      <c r="E1981" t="n">
        <v>0</v>
      </c>
      <c r="I1981" s="19" t="inlineStr">
        <is>
          <t>2</t>
        </is>
      </c>
      <c r="J1981" t="inlineStr">
        <is>
          <t>2026-08-08</t>
        </is>
      </c>
      <c r="L1981" s="19" t="inlineStr">
        <is>
          <t>1015242</t>
        </is>
      </c>
      <c r="M1981" t="inlineStr">
        <is>
          <t>STATUS=IN OEM / EU PACKAGE; SOURCE_CFG=IA-ST-CFG-0085; MARKET=GY EUR</t>
        </is>
      </c>
      <c r="N1981" t="inlineStr">
        <is>
          <t>2026-08-10T19:29:54Z</t>
        </is>
      </c>
      <c r="O1981" t="inlineStr">
        <is>
          <t>2026-08-10T19:29:54Z</t>
        </is>
      </c>
    </row>
    <row r="1982">
      <c r="A1982" s="19" t="inlineStr">
        <is>
          <t>1981</t>
        </is>
      </c>
      <c r="B1982" s="19" t="inlineStr">
        <is>
          <t>1015243</t>
        </is>
      </c>
      <c r="C1982" t="inlineStr">
        <is>
          <t>AKÜ,LB4,DK,75AH,IGYA,HEB7110-075,GYEUR</t>
        </is>
      </c>
      <c r="D1982" s="19" t="inlineStr">
        <is>
          <t>1</t>
        </is>
      </c>
      <c r="E1982" t="n">
        <v>0</v>
      </c>
      <c r="I1982" s="19" t="inlineStr">
        <is>
          <t>2</t>
        </is>
      </c>
      <c r="J1982" t="inlineStr">
        <is>
          <t>2026-08-08</t>
        </is>
      </c>
      <c r="L1982" s="19" t="inlineStr">
        <is>
          <t>1015243</t>
        </is>
      </c>
      <c r="M1982" t="inlineStr">
        <is>
          <t>STATUS=IN OEM / EU PACKAGE; SOURCE_CFG=IA-ST-CFG-0085; MARKET=GY EUR</t>
        </is>
      </c>
      <c r="N1982" t="inlineStr">
        <is>
          <t>2026-08-10T19:29:54Z</t>
        </is>
      </c>
      <c r="O1982" t="inlineStr">
        <is>
          <t>2026-08-10T19:29:54Z</t>
        </is>
      </c>
    </row>
    <row r="1983">
      <c r="A1983" s="19" t="inlineStr">
        <is>
          <t>1982</t>
        </is>
      </c>
      <c r="B1983" s="19" t="inlineStr">
        <is>
          <t>1015244</t>
        </is>
      </c>
      <c r="C1983" t="inlineStr">
        <is>
          <t>AKÜ,L5,DK,100AH,IGYSMF,YBX7019-100,GYEUR</t>
        </is>
      </c>
      <c r="D1983" s="19" t="inlineStr">
        <is>
          <t>1</t>
        </is>
      </c>
      <c r="E1983" t="n">
        <v>0</v>
      </c>
      <c r="I1983" s="19" t="inlineStr">
        <is>
          <t>2</t>
        </is>
      </c>
      <c r="J1983" t="inlineStr">
        <is>
          <t>2026-08-08</t>
        </is>
      </c>
      <c r="L1983" s="19" t="inlineStr">
        <is>
          <t>1015244</t>
        </is>
      </c>
      <c r="M1983" t="inlineStr">
        <is>
          <t>STATUS=IN OEM / EU PACKAGE; SOURCE_CFG=IA-ST-CFG-0068; MARKET=GY EUR</t>
        </is>
      </c>
      <c r="N1983" t="inlineStr">
        <is>
          <t>2026-08-10T19:29:54Z</t>
        </is>
      </c>
      <c r="O1983" t="inlineStr">
        <is>
          <t>2026-08-10T19:29:54Z</t>
        </is>
      </c>
    </row>
    <row r="1984">
      <c r="A1984" s="19" t="inlineStr">
        <is>
          <t>1983</t>
        </is>
      </c>
      <c r="B1984" s="19" t="inlineStr">
        <is>
          <t>1015245</t>
        </is>
      </c>
      <c r="C1984" t="inlineStr">
        <is>
          <t>AKÜ,L5,DK100AH,IGYA,NONAME,7019-100GYEUR</t>
        </is>
      </c>
      <c r="D1984" s="19" t="inlineStr">
        <is>
          <t>1</t>
        </is>
      </c>
      <c r="E1984" t="n">
        <v>0</v>
      </c>
      <c r="I1984" s="19" t="inlineStr">
        <is>
          <t>2</t>
        </is>
      </c>
      <c r="J1984" t="inlineStr">
        <is>
          <t>2026-08-08</t>
        </is>
      </c>
      <c r="L1984" s="19" t="inlineStr">
        <is>
          <t>1015245</t>
        </is>
      </c>
      <c r="M1984" t="inlineStr">
        <is>
          <t>STATUS=IN OEM / EU PACKAGE; SOURCE_CFG=IA-ST-CFG-0068; MARKET=GY EUR</t>
        </is>
      </c>
      <c r="N1984" t="inlineStr">
        <is>
          <t>2026-08-10T19:29:54Z</t>
        </is>
      </c>
      <c r="O1984" t="inlineStr">
        <is>
          <t>2026-08-10T19:29:54Z</t>
        </is>
      </c>
    </row>
    <row r="1985">
      <c r="A1985" s="19" t="inlineStr">
        <is>
          <t>1984</t>
        </is>
      </c>
      <c r="B1985" s="19" t="inlineStr">
        <is>
          <t>1015246</t>
        </is>
      </c>
      <c r="C1985" t="inlineStr">
        <is>
          <t>AKÜ,L5,DK,100AH,IGYA,HALFORD,HALL36L-EFB</t>
        </is>
      </c>
      <c r="D1985" s="19" t="inlineStr">
        <is>
          <t>1</t>
        </is>
      </c>
      <c r="E1985" t="n">
        <v>0</v>
      </c>
      <c r="I1985" s="19" t="inlineStr">
        <is>
          <t>2</t>
        </is>
      </c>
      <c r="J1985" t="inlineStr">
        <is>
          <t>2026-08-08</t>
        </is>
      </c>
      <c r="L1985" s="19" t="inlineStr">
        <is>
          <t>1015246</t>
        </is>
      </c>
      <c r="M1985" t="inlineStr">
        <is>
          <t>STATUS=IN OEM / EU PACKAGE; SOURCE_CFG=IA-ST-CFG-0068; MARKET=GY EUR</t>
        </is>
      </c>
      <c r="N1985" t="inlineStr">
        <is>
          <t>2026-08-10T19:29:54Z</t>
        </is>
      </c>
      <c r="O1985" t="inlineStr">
        <is>
          <t>2026-08-10T19:29:54Z</t>
        </is>
      </c>
    </row>
    <row r="1986">
      <c r="A1986" s="19" t="inlineStr">
        <is>
          <t>1985</t>
        </is>
      </c>
      <c r="B1986" s="19" t="inlineStr">
        <is>
          <t>1015247</t>
        </is>
      </c>
      <c r="C1986" t="inlineStr">
        <is>
          <t>AKÜ,L2,60AH,DK,IGYA,FIAT,OES YP,55109243</t>
        </is>
      </c>
      <c r="D1986" s="19" t="inlineStr">
        <is>
          <t>1</t>
        </is>
      </c>
      <c r="E1986" t="n">
        <v>0</v>
      </c>
      <c r="I1986" s="19" t="inlineStr">
        <is>
          <t>2</t>
        </is>
      </c>
      <c r="J1986" t="inlineStr">
        <is>
          <t>2026-08-08</t>
        </is>
      </c>
      <c r="L1986" s="19" t="inlineStr">
        <is>
          <t>1015247</t>
        </is>
      </c>
      <c r="M1986" t="inlineStr">
        <is>
          <t>STATUS=DOMESTIC-ONLY / NOT IN OEM PACKAGE; SOURCE_CFG=IA-ST-CFG-0242; MARKET=TOFAŞ (Yurt İçi)</t>
        </is>
      </c>
      <c r="N1986" t="inlineStr">
        <is>
          <t>2026-08-10T19:29:54Z</t>
        </is>
      </c>
      <c r="O1986" t="inlineStr">
        <is>
          <t>2026-08-10T19:29:54Z</t>
        </is>
      </c>
    </row>
    <row r="1987">
      <c r="A1987" s="19" t="inlineStr">
        <is>
          <t>1986</t>
        </is>
      </c>
      <c r="B1987" s="19" t="inlineStr">
        <is>
          <t>1015250</t>
        </is>
      </c>
      <c r="C1987" t="inlineStr">
        <is>
          <t>AKÜ,L1,DK,50AH,IGYA,BLIZZ.SILVERLN,MISIR</t>
        </is>
      </c>
      <c r="D1987" s="19" t="inlineStr">
        <is>
          <t>1</t>
        </is>
      </c>
      <c r="E1987" t="n">
        <v>0</v>
      </c>
      <c r="I1987" s="19" t="inlineStr">
        <is>
          <t>2</t>
        </is>
      </c>
      <c r="J1987" t="inlineStr">
        <is>
          <t>2026-08-08</t>
        </is>
      </c>
      <c r="L1987" s="19" t="inlineStr">
        <is>
          <t>1015250</t>
        </is>
      </c>
      <c r="M1987" t="inlineStr">
        <is>
          <t>STATUS=IN OEM / EU PACKAGE; SOURCE_CFG=IA-ST-CFG-0248; MARKET=MISIR AL AMAN</t>
        </is>
      </c>
      <c r="N1987" t="inlineStr">
        <is>
          <t>2026-08-10T19:29:54Z</t>
        </is>
      </c>
      <c r="O1987" t="inlineStr">
        <is>
          <t>2026-08-10T19:29:54Z</t>
        </is>
      </c>
    </row>
    <row r="1988">
      <c r="A1988" s="19" t="inlineStr">
        <is>
          <t>1987</t>
        </is>
      </c>
      <c r="B1988" s="19" t="inlineStr">
        <is>
          <t>1015251</t>
        </is>
      </c>
      <c r="C1988" t="inlineStr">
        <is>
          <t>AKÜ,LB2,DK,60AH,IGYA,BLIZZ.EFB S&amp;S,MISIR</t>
        </is>
      </c>
      <c r="D1988" s="19" t="inlineStr">
        <is>
          <t>1</t>
        </is>
      </c>
      <c r="E1988" t="n">
        <v>0</v>
      </c>
      <c r="I1988" s="19" t="inlineStr">
        <is>
          <t>2</t>
        </is>
      </c>
      <c r="J1988" t="inlineStr">
        <is>
          <t>2026-08-08</t>
        </is>
      </c>
      <c r="L1988" s="19" t="inlineStr">
        <is>
          <t>1015251</t>
        </is>
      </c>
      <c r="M1988" t="inlineStr">
        <is>
          <t>STATUS=IN OEM / EU PACKAGE; SOURCE_CFG=IA-ST-CFG-0222; MARKET=MISIR AL AMAN</t>
        </is>
      </c>
      <c r="N1988" t="inlineStr">
        <is>
          <t>2026-08-10T19:29:54Z</t>
        </is>
      </c>
      <c r="O1988" t="inlineStr">
        <is>
          <t>2026-08-10T19:29:54Z</t>
        </is>
      </c>
    </row>
    <row r="1989">
      <c r="A1989" s="19" t="inlineStr">
        <is>
          <t>1988</t>
        </is>
      </c>
      <c r="B1989" s="19" t="inlineStr">
        <is>
          <t>1015252</t>
        </is>
      </c>
      <c r="C1989" t="inlineStr">
        <is>
          <t>AKÜ,B-IGYASMF,DK,180AH,BLIZ.SILVRL,MISIR</t>
        </is>
      </c>
      <c r="D1989" s="19" t="inlineStr">
        <is>
          <t>1</t>
        </is>
      </c>
      <c r="E1989" t="n">
        <v>0</v>
      </c>
      <c r="I1989" s="19" t="inlineStr">
        <is>
          <t>2</t>
        </is>
      </c>
      <c r="J1989" t="inlineStr">
        <is>
          <t>2026-08-08</t>
        </is>
      </c>
      <c r="L1989" s="19" t="inlineStr">
        <is>
          <t>1015252</t>
        </is>
      </c>
      <c r="M1989" t="inlineStr">
        <is>
          <t>STATUS=IN OEM / EU PACKAGE; SOURCE_CFG=IA-ST-CFG-0052; MARKET=MISIR AL AMAN</t>
        </is>
      </c>
      <c r="N1989" t="inlineStr">
        <is>
          <t>2026-08-10T19:29:54Z</t>
        </is>
      </c>
      <c r="O1989" t="inlineStr">
        <is>
          <t>2026-08-10T19:29:54Z</t>
        </is>
      </c>
    </row>
    <row r="1990">
      <c r="A1990" s="19" t="inlineStr">
        <is>
          <t>1989</t>
        </is>
      </c>
      <c r="B1990" s="19" t="inlineStr">
        <is>
          <t>1015253</t>
        </is>
      </c>
      <c r="C1990" t="inlineStr">
        <is>
          <t>AKÜ,C-IGYASMF,DK,240AH,BLIZ.SILVRL,MISIR</t>
        </is>
      </c>
      <c r="D1990" s="19" t="inlineStr">
        <is>
          <t>1</t>
        </is>
      </c>
      <c r="E1990" t="n">
        <v>0</v>
      </c>
      <c r="I1990" s="19" t="inlineStr">
        <is>
          <t>2</t>
        </is>
      </c>
      <c r="J1990" t="inlineStr">
        <is>
          <t>2026-08-08</t>
        </is>
      </c>
      <c r="L1990" s="19" t="inlineStr">
        <is>
          <t>1015253</t>
        </is>
      </c>
      <c r="M1990" t="inlineStr">
        <is>
          <t>STATUS=IN OEM / EU PACKAGE; SOURCE_CFG=IA-ST-CFG-0023; MARKET=MISIR AL AMAN</t>
        </is>
      </c>
      <c r="N1990" t="inlineStr">
        <is>
          <t>2026-08-10T19:29:54Z</t>
        </is>
      </c>
      <c r="O1990" t="inlineStr">
        <is>
          <t>2026-08-10T19:29:54Z</t>
        </is>
      </c>
    </row>
    <row r="1991">
      <c r="A1991" s="19" t="inlineStr">
        <is>
          <t>1990</t>
        </is>
      </c>
      <c r="B1991" s="19" t="inlineStr">
        <is>
          <t>1015254</t>
        </is>
      </c>
      <c r="C1991" t="inlineStr">
        <is>
          <t>AKÜ,L1DK,50AH,VRLA,AGM YBX9012-050,GYEUR</t>
        </is>
      </c>
      <c r="D1991" s="19" t="inlineStr">
        <is>
          <t>1</t>
        </is>
      </c>
      <c r="E1991" t="n">
        <v>0</v>
      </c>
      <c r="I1991" s="19" t="inlineStr">
        <is>
          <t>2</t>
        </is>
      </c>
      <c r="J1991" t="inlineStr">
        <is>
          <t>2026-08-08</t>
        </is>
      </c>
      <c r="L1991" s="19" t="inlineStr">
        <is>
          <t>1015254</t>
        </is>
      </c>
      <c r="M1991" t="inlineStr">
        <is>
          <t>STATUS=IN OEM / EU PACKAGE; SOURCE_CFG=IA-ST-CFG-0209; MARKET=GY EUR</t>
        </is>
      </c>
      <c r="N1991" t="inlineStr">
        <is>
          <t>2026-08-10T19:29:54Z</t>
        </is>
      </c>
      <c r="O1991" t="inlineStr">
        <is>
          <t>2026-08-10T19:29:54Z</t>
        </is>
      </c>
    </row>
    <row r="1992">
      <c r="A1992" s="19" t="inlineStr">
        <is>
          <t>1991</t>
        </is>
      </c>
      <c r="B1992" s="19" t="inlineStr">
        <is>
          <t>1015255</t>
        </is>
      </c>
      <c r="C1992" t="inlineStr">
        <is>
          <t>AKÜ AGM,L6,DK,105AH,MM AGM S&amp;S,MM OES</t>
        </is>
      </c>
      <c r="D1992" s="19" t="inlineStr">
        <is>
          <t>1</t>
        </is>
      </c>
      <c r="E1992" t="n">
        <v>0</v>
      </c>
      <c r="I1992" s="19" t="inlineStr">
        <is>
          <t>2</t>
        </is>
      </c>
      <c r="J1992" t="inlineStr">
        <is>
          <t>2026-08-08</t>
        </is>
      </c>
      <c r="L1992" s="19" t="inlineStr">
        <is>
          <t>1015255</t>
        </is>
      </c>
      <c r="M1992" t="inlineStr">
        <is>
          <t>STATUS=DOMESTIC-ONLY / NOT IN OEM PACKAGE; SOURCE_CFG=IA-ST-CFG-0074; MARKET=MAKO OES (Yurt İçi)</t>
        </is>
      </c>
      <c r="N1992" t="inlineStr">
        <is>
          <t>2026-08-10T19:29:54Z</t>
        </is>
      </c>
      <c r="O1992" t="inlineStr">
        <is>
          <t>2026-08-10T19:29:54Z</t>
        </is>
      </c>
    </row>
    <row r="1993">
      <c r="A1993" s="19" t="inlineStr">
        <is>
          <t>1992</t>
        </is>
      </c>
      <c r="B1993" s="19" t="inlineStr">
        <is>
          <t>1015256</t>
        </is>
      </c>
      <c r="C1993" t="inlineStr">
        <is>
          <t>AKÜ,NS60,DK,55AH,IGYA SMF,MAKO YP,OES</t>
        </is>
      </c>
      <c r="D1993" s="19" t="inlineStr">
        <is>
          <t>1</t>
        </is>
      </c>
      <c r="E1993" t="n">
        <v>0</v>
      </c>
      <c r="I1993" s="19" t="inlineStr">
        <is>
          <t>2</t>
        </is>
      </c>
      <c r="J1993" t="inlineStr">
        <is>
          <t>2026-08-08</t>
        </is>
      </c>
      <c r="L1993" s="19" t="inlineStr">
        <is>
          <t>1015256</t>
        </is>
      </c>
      <c r="M1993" t="inlineStr">
        <is>
          <t>STATUS=DOMESTIC-ONLY / NOT IN OEM PACKAGE; SOURCE_CFG=IA-ST-CFG-0237; MARKET=MAKO OES (Yurt İçi)</t>
        </is>
      </c>
      <c r="N1993" t="inlineStr">
        <is>
          <t>2026-08-10T19:29:54Z</t>
        </is>
      </c>
      <c r="O1993" t="inlineStr">
        <is>
          <t>2026-08-10T19:29:54Z</t>
        </is>
      </c>
    </row>
    <row r="1994">
      <c r="A1994" s="19" t="inlineStr">
        <is>
          <t>1993</t>
        </is>
      </c>
      <c r="B1994" s="19" t="inlineStr">
        <is>
          <t>1015260</t>
        </is>
      </c>
      <c r="C1994" t="inlineStr">
        <is>
          <t>AKÜ,B-IGYASMF,DK,170AH,PILOT PERFORMANCE</t>
        </is>
      </c>
      <c r="D1994" s="19" t="inlineStr">
        <is>
          <t>1</t>
        </is>
      </c>
      <c r="E1994" t="n">
        <v>0</v>
      </c>
      <c r="I1994" s="19" t="inlineStr">
        <is>
          <t>2</t>
        </is>
      </c>
      <c r="J1994" t="inlineStr">
        <is>
          <t>2026-08-08</t>
        </is>
      </c>
      <c r="L1994" s="19" t="inlineStr">
        <is>
          <t>1015260</t>
        </is>
      </c>
      <c r="M1994" t="inlineStr">
        <is>
          <t>STATUS=IN OEM / EU PACKAGE; SOURCE_CFG=IA-ST-CFG-0029; MARKET=LAMPA ITALY İTALYA</t>
        </is>
      </c>
      <c r="N1994" t="inlineStr">
        <is>
          <t>2026-08-10T19:29:54Z</t>
        </is>
      </c>
      <c r="O1994" t="inlineStr">
        <is>
          <t>2026-08-10T19:29:54Z</t>
        </is>
      </c>
    </row>
    <row r="1995">
      <c r="A1995" s="19" t="inlineStr">
        <is>
          <t>1994</t>
        </is>
      </c>
      <c r="B1995" s="19" t="inlineStr">
        <is>
          <t>1015261</t>
        </is>
      </c>
      <c r="C1995" t="inlineStr">
        <is>
          <t>AKÜ,C-IGYASMF,DK,230AH,HUGEL EFB S&amp;S</t>
        </is>
      </c>
      <c r="D1995" s="19" t="inlineStr">
        <is>
          <t>1</t>
        </is>
      </c>
      <c r="E1995" t="n">
        <v>0</v>
      </c>
      <c r="I1995" s="19" t="inlineStr">
        <is>
          <t>2</t>
        </is>
      </c>
      <c r="J1995" t="inlineStr">
        <is>
          <t>2026-08-08</t>
        </is>
      </c>
      <c r="L1995" s="19" t="inlineStr">
        <is>
          <t>1015261</t>
        </is>
      </c>
      <c r="M1995" t="inlineStr">
        <is>
          <t>STATUS=IN OEM / EU PACKAGE; SOURCE_CFG=IA-ST-CFG-0023; MARKET=None</t>
        </is>
      </c>
      <c r="N1995" t="inlineStr">
        <is>
          <t>2026-08-10T19:29:54Z</t>
        </is>
      </c>
      <c r="O1995" t="inlineStr">
        <is>
          <t>2026-08-10T19:29:54Z</t>
        </is>
      </c>
    </row>
    <row r="1996">
      <c r="A1996" s="19" t="inlineStr">
        <is>
          <t>1995</t>
        </is>
      </c>
      <c r="B1996" s="19" t="inlineStr">
        <is>
          <t>1015262</t>
        </is>
      </c>
      <c r="C1996" t="inlineStr">
        <is>
          <t>AKÜ,L1,DK,55AH,IGYA,BPOWER ELITE,POLONYA</t>
        </is>
      </c>
      <c r="D1996" s="19" t="inlineStr">
        <is>
          <t>1</t>
        </is>
      </c>
      <c r="E1996" t="n">
        <v>0</v>
      </c>
      <c r="I1996" s="19" t="inlineStr">
        <is>
          <t>2</t>
        </is>
      </c>
      <c r="J1996" t="inlineStr">
        <is>
          <t>2026-08-08</t>
        </is>
      </c>
      <c r="L1996" s="19" t="inlineStr">
        <is>
          <t>1015262</t>
        </is>
      </c>
      <c r="M1996" t="inlineStr">
        <is>
          <t>STATUS=IN OEM / EU PACKAGE; SOURCE_CFG=IA-ST-CFG-0206; MARKET=BATERIE PRZEMYSLOWE POLONYA</t>
        </is>
      </c>
      <c r="N1996" t="inlineStr">
        <is>
          <t>2026-08-10T19:29:54Z</t>
        </is>
      </c>
      <c r="O1996" t="inlineStr">
        <is>
          <t>2026-08-10T19:29:54Z</t>
        </is>
      </c>
    </row>
    <row r="1997">
      <c r="A1997" s="19" t="inlineStr">
        <is>
          <t>1996</t>
        </is>
      </c>
      <c r="B1997" s="19" t="inlineStr">
        <is>
          <t>1015263</t>
        </is>
      </c>
      <c r="C1997" t="inlineStr">
        <is>
          <t>AKÜ,L2,DK,65AH,IGYA,BPOWER ELITE,POLONYA</t>
        </is>
      </c>
      <c r="D1997" s="19" t="inlineStr">
        <is>
          <t>1</t>
        </is>
      </c>
      <c r="E1997" t="n">
        <v>0</v>
      </c>
      <c r="I1997" s="19" t="inlineStr">
        <is>
          <t>2</t>
        </is>
      </c>
      <c r="J1997" t="inlineStr">
        <is>
          <t>2026-08-08</t>
        </is>
      </c>
      <c r="L1997" s="19" t="inlineStr">
        <is>
          <t>1015263</t>
        </is>
      </c>
      <c r="M1997" t="inlineStr">
        <is>
          <t>STATUS=IN OEM / EU PACKAGE; SOURCE_CFG=IA-ST-CFG-0164; MARKET=BATERIE PRZEMYSLOWE POLONYA</t>
        </is>
      </c>
      <c r="N1997" t="inlineStr">
        <is>
          <t>2026-08-10T19:29:54Z</t>
        </is>
      </c>
      <c r="O1997" t="inlineStr">
        <is>
          <t>2026-08-10T19:29:54Z</t>
        </is>
      </c>
    </row>
    <row r="1998">
      <c r="A1998" s="19" t="inlineStr">
        <is>
          <t>1997</t>
        </is>
      </c>
      <c r="B1998" s="19" t="inlineStr">
        <is>
          <t>1015264</t>
        </is>
      </c>
      <c r="C1998" t="inlineStr">
        <is>
          <t>AKÜ,LB3,DK,74AH,IGYA,BPOWERELITE,POLONYA</t>
        </is>
      </c>
      <c r="D1998" s="19" t="inlineStr">
        <is>
          <t>1</t>
        </is>
      </c>
      <c r="E1998" t="n">
        <v>0</v>
      </c>
      <c r="I1998" s="19" t="inlineStr">
        <is>
          <t>2</t>
        </is>
      </c>
      <c r="J1998" t="inlineStr">
        <is>
          <t>2026-08-08</t>
        </is>
      </c>
      <c r="L1998" s="19" t="inlineStr">
        <is>
          <t>1015264</t>
        </is>
      </c>
      <c r="M1998" t="inlineStr">
        <is>
          <t>STATUS=IN OEM / EU PACKAGE; SOURCE_CFG=IA-ST-CFG-0135; MARKET=BATERIE PRZEMYSLOWE POLONYA</t>
        </is>
      </c>
      <c r="N1998" t="inlineStr">
        <is>
          <t>2026-08-10T19:29:54Z</t>
        </is>
      </c>
      <c r="O1998" t="inlineStr">
        <is>
          <t>2026-08-10T19:29:54Z</t>
        </is>
      </c>
    </row>
    <row r="1999">
      <c r="A1999" s="19" t="inlineStr">
        <is>
          <t>1998</t>
        </is>
      </c>
      <c r="B1999" s="19" t="inlineStr">
        <is>
          <t>1015265</t>
        </is>
      </c>
      <c r="C1999" t="inlineStr">
        <is>
          <t>AKÜ,L3,DK,80AH,IGYA,BPOWER ELITE,POLONYA</t>
        </is>
      </c>
      <c r="D1999" s="19" t="inlineStr">
        <is>
          <t>1</t>
        </is>
      </c>
      <c r="E1999" t="n">
        <v>0</v>
      </c>
      <c r="I1999" s="19" t="inlineStr">
        <is>
          <t>2</t>
        </is>
      </c>
      <c r="J1999" t="inlineStr">
        <is>
          <t>2026-08-08</t>
        </is>
      </c>
      <c r="L1999" s="19" t="inlineStr">
        <is>
          <t>1015265</t>
        </is>
      </c>
      <c r="M1999" t="inlineStr">
        <is>
          <t>STATUS=IN OEM / EU PACKAGE; SOURCE_CFG=IA-ST-CFG-0135; MARKET=BATERIE PRZEMYSLOWE POLONYA</t>
        </is>
      </c>
      <c r="N1999" t="inlineStr">
        <is>
          <t>2026-08-10T19:29:54Z</t>
        </is>
      </c>
      <c r="O1999" t="inlineStr">
        <is>
          <t>2026-08-10T19:29:54Z</t>
        </is>
      </c>
    </row>
    <row r="2000">
      <c r="A2000" s="19" t="inlineStr">
        <is>
          <t>1999</t>
        </is>
      </c>
      <c r="B2000" s="19" t="inlineStr">
        <is>
          <t>1015266</t>
        </is>
      </c>
      <c r="C2000" t="inlineStr">
        <is>
          <t>AKÜ,L3,DK,72AH,IGYA,EFB,NONAME,CONTINENT</t>
        </is>
      </c>
      <c r="D2000" s="19" t="inlineStr">
        <is>
          <t>1</t>
        </is>
      </c>
      <c r="E2000" t="n">
        <v>0</v>
      </c>
      <c r="I2000" s="19" t="inlineStr">
        <is>
          <t>2</t>
        </is>
      </c>
      <c r="J2000" t="inlineStr">
        <is>
          <t>2026-08-08</t>
        </is>
      </c>
      <c r="L2000" s="19" t="inlineStr">
        <is>
          <t>1015266</t>
        </is>
      </c>
      <c r="M2000" t="inlineStr">
        <is>
          <t>STATUS=IN OEM / EU PACKAGE; SOURCE_CFG=IA-ST-CFG-0177; MARKET=CONTINENTAL USA</t>
        </is>
      </c>
      <c r="N2000" t="inlineStr">
        <is>
          <t>2026-08-10T19:29:54Z</t>
        </is>
      </c>
      <c r="O2000" t="inlineStr">
        <is>
          <t>2026-08-10T19:29:54Z</t>
        </is>
      </c>
    </row>
    <row r="2001">
      <c r="A2001" s="19" t="inlineStr">
        <is>
          <t>2000</t>
        </is>
      </c>
      <c r="B2001" s="19" t="inlineStr">
        <is>
          <t>1015267</t>
        </is>
      </c>
      <c r="C2001" t="inlineStr">
        <is>
          <t>AKÜ,D23,DK65AH,IGYA,EFB,NONAME,CONTINENT</t>
        </is>
      </c>
      <c r="D2001" s="19" t="inlineStr">
        <is>
          <t>1</t>
        </is>
      </c>
      <c r="E2001" t="n">
        <v>0</v>
      </c>
      <c r="I2001" s="19" t="inlineStr">
        <is>
          <t>2</t>
        </is>
      </c>
      <c r="J2001" t="inlineStr">
        <is>
          <t>2026-08-08</t>
        </is>
      </c>
      <c r="L2001" s="19" t="inlineStr">
        <is>
          <t>1015267</t>
        </is>
      </c>
      <c r="M2001" t="inlineStr">
        <is>
          <t>STATUS=IN OEM / EU PACKAGE; SOURCE_CFG=IA-ST-CFG-0217; MARKET=CONTINENTAL USA</t>
        </is>
      </c>
      <c r="N2001" t="inlineStr">
        <is>
          <t>2026-08-10T19:29:54Z</t>
        </is>
      </c>
      <c r="O2001" t="inlineStr">
        <is>
          <t>2026-08-10T19:29:54Z</t>
        </is>
      </c>
    </row>
    <row r="2002">
      <c r="A2002" s="19" t="inlineStr">
        <is>
          <t>2001</t>
        </is>
      </c>
      <c r="B2002" s="19" t="inlineStr">
        <is>
          <t>1015268</t>
        </is>
      </c>
      <c r="C2002" t="inlineStr">
        <is>
          <t>AKÜ,D26,DK72AH,IGYA,EFB,NONAME,CONTINENT</t>
        </is>
      </c>
      <c r="D2002" s="19" t="inlineStr">
        <is>
          <t>1</t>
        </is>
      </c>
      <c r="E2002" t="n">
        <v>0</v>
      </c>
      <c r="I2002" s="19" t="inlineStr">
        <is>
          <t>2</t>
        </is>
      </c>
      <c r="J2002" t="inlineStr">
        <is>
          <t>2026-08-08</t>
        </is>
      </c>
      <c r="L2002" s="19" t="inlineStr">
        <is>
          <t>1015268</t>
        </is>
      </c>
      <c r="M2002" t="inlineStr">
        <is>
          <t>STATUS=IN OEM / EU PACKAGE; SOURCE_CFG=IA-ST-CFG-0173; MARKET=CONTINENTAL USA</t>
        </is>
      </c>
      <c r="N2002" t="inlineStr">
        <is>
          <t>2026-08-10T19:29:54Z</t>
        </is>
      </c>
      <c r="O2002" t="inlineStr">
        <is>
          <t>2026-08-10T19:29:54Z</t>
        </is>
      </c>
    </row>
    <row r="2003">
      <c r="A2003" s="19" t="inlineStr">
        <is>
          <t>2002</t>
        </is>
      </c>
      <c r="B2003" s="19" t="inlineStr">
        <is>
          <t>1015269</t>
        </is>
      </c>
      <c r="C2003" t="inlineStr">
        <is>
          <t>AKÜ AGM,L6,DK,105AH,İNCİ AGM LEO,EURO</t>
        </is>
      </c>
      <c r="D2003" s="19" t="inlineStr">
        <is>
          <t>1</t>
        </is>
      </c>
      <c r="E2003" t="n">
        <v>0</v>
      </c>
      <c r="I2003" s="19" t="inlineStr">
        <is>
          <t>2</t>
        </is>
      </c>
      <c r="J2003" t="inlineStr">
        <is>
          <t>2026-08-08</t>
        </is>
      </c>
      <c r="L2003" s="19" t="inlineStr">
        <is>
          <t>1015269</t>
        </is>
      </c>
      <c r="M2003" t="inlineStr">
        <is>
          <t>STATUS=IN OEM / EU PACKAGE; SOURCE_CFG=IA-ST-CFG-0071; MARKET=None</t>
        </is>
      </c>
      <c r="N2003" t="inlineStr">
        <is>
          <t>2026-08-10T19:29:54Z</t>
        </is>
      </c>
      <c r="O2003" t="inlineStr">
        <is>
          <t>2026-08-10T19:29:54Z</t>
        </is>
      </c>
    </row>
    <row r="2004">
      <c r="A2004" s="19" t="inlineStr">
        <is>
          <t>2003</t>
        </is>
      </c>
      <c r="B2004" s="19" t="inlineStr">
        <is>
          <t>1015270</t>
        </is>
      </c>
      <c r="C2004" t="inlineStr">
        <is>
          <t>AKÜ,D23,DK,68AH,IGYA SMF,HUGEL MEGA</t>
        </is>
      </c>
      <c r="D2004" s="19" t="inlineStr">
        <is>
          <t>1</t>
        </is>
      </c>
      <c r="E2004" t="n">
        <v>0</v>
      </c>
      <c r="I2004" s="19" t="inlineStr">
        <is>
          <t>2</t>
        </is>
      </c>
      <c r="J2004" t="inlineStr">
        <is>
          <t>2026-08-08</t>
        </is>
      </c>
      <c r="L2004" s="19" t="inlineStr">
        <is>
          <t>1015270</t>
        </is>
      </c>
      <c r="M2004" t="inlineStr">
        <is>
          <t>STATUS=IN OEM / EU PACKAGE; SOURCE_CFG=IA-ST-CFG-0219; MARKET=None</t>
        </is>
      </c>
      <c r="N2004" t="inlineStr">
        <is>
          <t>2026-08-10T19:29:54Z</t>
        </is>
      </c>
      <c r="O2004" t="inlineStr">
        <is>
          <t>2026-08-10T19:29:54Z</t>
        </is>
      </c>
    </row>
    <row r="2005">
      <c r="A2005" s="19" t="inlineStr">
        <is>
          <t>2004</t>
        </is>
      </c>
      <c r="B2005" s="19" t="inlineStr">
        <is>
          <t>1015271</t>
        </is>
      </c>
      <c r="C2005" t="inlineStr">
        <is>
          <t>AKÜ,L2,DK,60AH,İNCİ AGM LEO,REDMAY</t>
        </is>
      </c>
      <c r="D2005" s="19" t="inlineStr">
        <is>
          <t>1</t>
        </is>
      </c>
      <c r="E2005" t="n">
        <v>0</v>
      </c>
      <c r="I2005" s="19" t="inlineStr">
        <is>
          <t>2</t>
        </is>
      </c>
      <c r="J2005" t="inlineStr">
        <is>
          <t>2026-08-08</t>
        </is>
      </c>
      <c r="L2005" s="19" t="inlineStr">
        <is>
          <t>1015271</t>
        </is>
      </c>
      <c r="M2005" t="inlineStr">
        <is>
          <t>STATUS=IN OEM / EU PACKAGE; SOURCE_CFG=IA-ST-CFG-0222; MARKET=REDMAY URUGUAY</t>
        </is>
      </c>
      <c r="N2005" t="inlineStr">
        <is>
          <t>2026-08-10T19:29:54Z</t>
        </is>
      </c>
      <c r="O2005" t="inlineStr">
        <is>
          <t>2026-08-10T19:29:54Z</t>
        </is>
      </c>
    </row>
    <row r="2006">
      <c r="A2006" s="19" t="inlineStr">
        <is>
          <t>2005</t>
        </is>
      </c>
      <c r="B2006" s="19" t="inlineStr">
        <is>
          <t>1015272</t>
        </is>
      </c>
      <c r="C2006" t="inlineStr">
        <is>
          <t>AKÜ,D31,DK,90AH,IGYA SMF,NO NAME,REDMAY</t>
        </is>
      </c>
      <c r="D2006" s="19" t="inlineStr">
        <is>
          <t>1</t>
        </is>
      </c>
      <c r="E2006" t="n">
        <v>0</v>
      </c>
      <c r="I2006" s="19" t="inlineStr">
        <is>
          <t>2</t>
        </is>
      </c>
      <c r="J2006" t="inlineStr">
        <is>
          <t>2026-08-08</t>
        </is>
      </c>
      <c r="L2006" s="19" t="inlineStr">
        <is>
          <t>1015272</t>
        </is>
      </c>
      <c r="M2006" t="inlineStr">
        <is>
          <t>STATUS=IN OEM / EU PACKAGE; SOURCE_CFG=IA-ST-CFG-0143; MARKET=REDMAY URUGUAY</t>
        </is>
      </c>
      <c r="N2006" t="inlineStr">
        <is>
          <t>2026-08-10T19:29:54Z</t>
        </is>
      </c>
      <c r="O2006" t="inlineStr">
        <is>
          <t>2026-08-10T19:29:54Z</t>
        </is>
      </c>
    </row>
    <row r="2007">
      <c r="A2007" s="19" t="inlineStr">
        <is>
          <t>2006</t>
        </is>
      </c>
      <c r="B2007" s="19" t="inlineStr">
        <is>
          <t>1015273</t>
        </is>
      </c>
      <c r="C2007" t="inlineStr">
        <is>
          <t>AKÜ,L2,DK,65AH,IGYA,NONAME,EFB NR65X,SKG</t>
        </is>
      </c>
      <c r="D2007" s="19" t="inlineStr">
        <is>
          <t>1</t>
        </is>
      </c>
      <c r="E2007" t="n">
        <v>0</v>
      </c>
      <c r="I2007" s="19" t="inlineStr">
        <is>
          <t>2</t>
        </is>
      </c>
      <c r="J2007" t="inlineStr">
        <is>
          <t>2026-08-08</t>
        </is>
      </c>
      <c r="L2007" s="19" t="inlineStr">
        <is>
          <t>1015273</t>
        </is>
      </c>
      <c r="M2007" t="inlineStr">
        <is>
          <t>STATUS=IN OEM / EU PACKAGE; SOURCE_CFG=IA-ST-CFG-0239; MARKET=SKG İTALYA</t>
        </is>
      </c>
      <c r="N2007" t="inlineStr">
        <is>
          <t>2026-08-10T19:29:54Z</t>
        </is>
      </c>
      <c r="O2007" t="inlineStr">
        <is>
          <t>2026-08-10T19:29:54Z</t>
        </is>
      </c>
    </row>
    <row r="2008">
      <c r="A2008" s="19" t="inlineStr">
        <is>
          <t>2007</t>
        </is>
      </c>
      <c r="B2008" s="19" t="inlineStr">
        <is>
          <t>1015274</t>
        </is>
      </c>
      <c r="C2008" t="inlineStr">
        <is>
          <t>AKÜ,L3,DK,80AH,IGYA,NONAME,EFB NR80X,SKG</t>
        </is>
      </c>
      <c r="D2008" s="19" t="inlineStr">
        <is>
          <t>1</t>
        </is>
      </c>
      <c r="E2008" t="n">
        <v>0</v>
      </c>
      <c r="I2008" s="19" t="inlineStr">
        <is>
          <t>2</t>
        </is>
      </c>
      <c r="J2008" t="inlineStr">
        <is>
          <t>2026-08-08</t>
        </is>
      </c>
      <c r="L2008" s="19" t="inlineStr">
        <is>
          <t>1015274</t>
        </is>
      </c>
      <c r="M2008" t="inlineStr">
        <is>
          <t>STATUS=IN OEM / EU PACKAGE; SOURCE_CFG=IA-ST-CFG-0198; MARKET=SKG İTALYA</t>
        </is>
      </c>
      <c r="N2008" t="inlineStr">
        <is>
          <t>2026-08-10T19:29:54Z</t>
        </is>
      </c>
      <c r="O2008" t="inlineStr">
        <is>
          <t>2026-08-10T19:29:54Z</t>
        </is>
      </c>
    </row>
    <row r="2009">
      <c r="A2009" s="19" t="inlineStr">
        <is>
          <t>2008</t>
        </is>
      </c>
      <c r="B2009" s="19" t="inlineStr">
        <is>
          <t>1015275</t>
        </is>
      </c>
      <c r="C2009" t="inlineStr">
        <is>
          <t>AKÜ,L4,DK,92AH,IGYA,NONAME,EFB NR92X,SKG</t>
        </is>
      </c>
      <c r="D2009" s="19" t="inlineStr">
        <is>
          <t>1</t>
        </is>
      </c>
      <c r="E2009" t="n">
        <v>0</v>
      </c>
      <c r="I2009" s="19" t="inlineStr">
        <is>
          <t>2</t>
        </is>
      </c>
      <c r="J2009" t="inlineStr">
        <is>
          <t>2026-08-08</t>
        </is>
      </c>
      <c r="L2009" s="19" t="inlineStr">
        <is>
          <t>1015275</t>
        </is>
      </c>
      <c r="M2009" t="inlineStr">
        <is>
          <t>STATUS=IN OEM / EU PACKAGE; SOURCE_CFG=IA-ST-CFG-0151; MARKET=SKG İTALYA</t>
        </is>
      </c>
      <c r="N2009" t="inlineStr">
        <is>
          <t>2026-08-10T19:29:54Z</t>
        </is>
      </c>
      <c r="O2009" t="inlineStr">
        <is>
          <t>2026-08-10T19:29:54Z</t>
        </is>
      </c>
    </row>
    <row r="2010">
      <c r="A2010" s="19" t="inlineStr">
        <is>
          <t>2009</t>
        </is>
      </c>
      <c r="B2010" s="19" t="inlineStr">
        <is>
          <t>1015276</t>
        </is>
      </c>
      <c r="C2010" t="inlineStr">
        <is>
          <t>AKÜ,L5,DK,100AH,IGYA,NONAME,EFBNR100XSKG</t>
        </is>
      </c>
      <c r="D2010" s="19" t="inlineStr">
        <is>
          <t>1</t>
        </is>
      </c>
      <c r="E2010" t="n">
        <v>0</v>
      </c>
      <c r="I2010" s="19" t="inlineStr">
        <is>
          <t>2</t>
        </is>
      </c>
      <c r="J2010" t="inlineStr">
        <is>
          <t>2026-08-08</t>
        </is>
      </c>
      <c r="L2010" s="19" t="inlineStr">
        <is>
          <t>1015276</t>
        </is>
      </c>
      <c r="M2010" t="inlineStr">
        <is>
          <t>STATUS=IN OEM / EU PACKAGE; SOURCE_CFG=IA-ST-CFG-0114; MARKET=SKG İTALYA</t>
        </is>
      </c>
      <c r="N2010" t="inlineStr">
        <is>
          <t>2026-08-10T19:29:54Z</t>
        </is>
      </c>
      <c r="O2010" t="inlineStr">
        <is>
          <t>2026-08-10T19:29:54Z</t>
        </is>
      </c>
    </row>
    <row r="2011">
      <c r="A2011" s="19" t="inlineStr">
        <is>
          <t>2010</t>
        </is>
      </c>
      <c r="B2011" s="19" t="inlineStr">
        <is>
          <t>1015277</t>
        </is>
      </c>
      <c r="C2011" t="inlineStr">
        <is>
          <t>AKÜ,L3,DK,80AH,IGYA,AVANT,5096-080,GYNRD</t>
        </is>
      </c>
      <c r="D2011" s="19" t="inlineStr">
        <is>
          <t>1</t>
        </is>
      </c>
      <c r="E2011" t="n">
        <v>0</v>
      </c>
      <c r="I2011" s="19" t="inlineStr">
        <is>
          <t>2</t>
        </is>
      </c>
      <c r="J2011" t="inlineStr">
        <is>
          <t>2026-08-08</t>
        </is>
      </c>
      <c r="L2011" s="19" t="inlineStr">
        <is>
          <t>1015277</t>
        </is>
      </c>
      <c r="M2011" t="inlineStr">
        <is>
          <t>STATUS=IN OEM / EU PACKAGE; SOURCE_CFG=IA-ST-CFG-0113; MARKET=GY NRD (ADN BALTIC NORDIC)</t>
        </is>
      </c>
      <c r="N2011" t="inlineStr">
        <is>
          <t>2026-08-10T19:29:54Z</t>
        </is>
      </c>
      <c r="O2011" t="inlineStr">
        <is>
          <t>2026-08-10T19:29:54Z</t>
        </is>
      </c>
    </row>
    <row r="2012">
      <c r="A2012" s="19" t="inlineStr">
        <is>
          <t>2011</t>
        </is>
      </c>
      <c r="B2012" s="19" t="inlineStr">
        <is>
          <t>1015278</t>
        </is>
      </c>
      <c r="C2012" t="inlineStr">
        <is>
          <t>AKÜ,LB3,DK,75AH,IGYA,AVANT,5100-075GYNRD</t>
        </is>
      </c>
      <c r="D2012" s="19" t="inlineStr">
        <is>
          <t>1</t>
        </is>
      </c>
      <c r="E2012" t="n">
        <v>0</v>
      </c>
      <c r="I2012" s="19" t="inlineStr">
        <is>
          <t>2</t>
        </is>
      </c>
      <c r="J2012" t="inlineStr">
        <is>
          <t>2026-08-08</t>
        </is>
      </c>
      <c r="L2012" s="19" t="inlineStr">
        <is>
          <t>1015278</t>
        </is>
      </c>
      <c r="M2012" t="inlineStr">
        <is>
          <t>STATUS=IN OEM / EU PACKAGE; SOURCE_CFG=IA-ST-CFG-0132; MARKET=GY NRD (ADN BALTIC NORDIC)</t>
        </is>
      </c>
      <c r="N2012" t="inlineStr">
        <is>
          <t>2026-08-10T19:29:54Z</t>
        </is>
      </c>
      <c r="O2012" t="inlineStr">
        <is>
          <t>2026-08-10T19:29:54Z</t>
        </is>
      </c>
    </row>
    <row r="2013">
      <c r="A2013" s="19" t="inlineStr">
        <is>
          <t>2012</t>
        </is>
      </c>
      <c r="B2013" s="19" t="inlineStr">
        <is>
          <t>1015279</t>
        </is>
      </c>
      <c r="C2013" t="inlineStr">
        <is>
          <t>AKÜ,L3,DK,70AH,GS AGM,9096-070,AGM096,GS</t>
        </is>
      </c>
      <c r="D2013" s="19" t="inlineStr">
        <is>
          <t>1</t>
        </is>
      </c>
      <c r="E2013" t="n">
        <v>0</v>
      </c>
      <c r="I2013" s="19" t="inlineStr">
        <is>
          <t>2</t>
        </is>
      </c>
      <c r="J2013" t="inlineStr">
        <is>
          <t>2026-08-08</t>
        </is>
      </c>
      <c r="L2013" s="19" t="inlineStr">
        <is>
          <t>1015279</t>
        </is>
      </c>
      <c r="M2013" t="inlineStr">
        <is>
          <t>STATUS=IN OEM / EU PACKAGE; SOURCE_CFG=IA-ST-CFG-0113; MARKET=GS</t>
        </is>
      </c>
      <c r="N2013" t="inlineStr">
        <is>
          <t>2026-08-10T19:29:54Z</t>
        </is>
      </c>
      <c r="O2013" t="inlineStr">
        <is>
          <t>2026-08-10T19:29:54Z</t>
        </is>
      </c>
    </row>
    <row r="2014">
      <c r="A2014" s="19" t="inlineStr">
        <is>
          <t>2013</t>
        </is>
      </c>
      <c r="B2014" s="19" t="inlineStr">
        <is>
          <t>1015280</t>
        </is>
      </c>
      <c r="C2014" t="inlineStr">
        <is>
          <t>AKÜ,L4,DK,80AH,GS AGM,9115-080,AGM115,GS</t>
        </is>
      </c>
      <c r="D2014" s="19" t="inlineStr">
        <is>
          <t>1</t>
        </is>
      </c>
      <c r="E2014" t="n">
        <v>0</v>
      </c>
      <c r="I2014" s="19" t="inlineStr">
        <is>
          <t>2</t>
        </is>
      </c>
      <c r="J2014" t="inlineStr">
        <is>
          <t>2026-08-08</t>
        </is>
      </c>
      <c r="L2014" s="19" t="inlineStr">
        <is>
          <t>1015280</t>
        </is>
      </c>
      <c r="M2014" t="inlineStr">
        <is>
          <t>STATUS=IN OEM / EU PACKAGE; SOURCE_CFG=IA-ST-CFG-0085; MARKET=GS</t>
        </is>
      </c>
      <c r="N2014" t="inlineStr">
        <is>
          <t>2026-08-10T19:29:54Z</t>
        </is>
      </c>
      <c r="O2014" t="inlineStr">
        <is>
          <t>2026-08-10T19:29:54Z</t>
        </is>
      </c>
    </row>
    <row r="2015">
      <c r="A2015" s="19" t="inlineStr">
        <is>
          <t>2014</t>
        </is>
      </c>
      <c r="B2015" s="19" t="inlineStr">
        <is>
          <t>1015281</t>
        </is>
      </c>
      <c r="C2015" t="inlineStr">
        <is>
          <t>AKÜ,D26,DK75AH,IGYA,ZITEXBATR,TÜRKMENSTN</t>
        </is>
      </c>
      <c r="D2015" s="19" t="inlineStr">
        <is>
          <t>1</t>
        </is>
      </c>
      <c r="E2015" t="n">
        <v>0</v>
      </c>
      <c r="I2015" s="19" t="inlineStr">
        <is>
          <t>2</t>
        </is>
      </c>
      <c r="J2015" t="inlineStr">
        <is>
          <t>2026-08-08</t>
        </is>
      </c>
      <c r="L2015" s="19" t="inlineStr">
        <is>
          <t>1015281</t>
        </is>
      </c>
      <c r="M2015" t="inlineStr">
        <is>
          <t>STATUS=IN OEM / EU PACKAGE; SOURCE_CFG=IA-ST-CFG-0175; MARKET=TÜRKMENİSTAN</t>
        </is>
      </c>
      <c r="N2015" t="inlineStr">
        <is>
          <t>2026-08-10T19:29:54Z</t>
        </is>
      </c>
      <c r="O2015" t="inlineStr">
        <is>
          <t>2026-08-10T19:29:54Z</t>
        </is>
      </c>
    </row>
    <row r="2016">
      <c r="A2016" s="19" t="inlineStr">
        <is>
          <t>2015</t>
        </is>
      </c>
      <c r="B2016" s="19" t="inlineStr">
        <is>
          <t>1015282</t>
        </is>
      </c>
      <c r="C2016" t="inlineStr">
        <is>
          <t>AKÜ,D31,DK90AH,IGYA,ZITEXBATR,TÜRKMENSTN</t>
        </is>
      </c>
      <c r="D2016" s="19" t="inlineStr">
        <is>
          <t>1</t>
        </is>
      </c>
      <c r="E2016" t="n">
        <v>0</v>
      </c>
      <c r="I2016" s="19" t="inlineStr">
        <is>
          <t>2</t>
        </is>
      </c>
      <c r="J2016" t="inlineStr">
        <is>
          <t>2026-08-08</t>
        </is>
      </c>
      <c r="L2016" s="19" t="inlineStr">
        <is>
          <t>1015282</t>
        </is>
      </c>
      <c r="M2016" t="inlineStr">
        <is>
          <t>STATUS=IN OEM / EU PACKAGE; SOURCE_CFG=IA-ST-CFG-0143; MARKET=TÜRKMENİSTAN</t>
        </is>
      </c>
      <c r="N2016" t="inlineStr">
        <is>
          <t>2026-08-10T19:29:54Z</t>
        </is>
      </c>
      <c r="O2016" t="inlineStr">
        <is>
          <t>2026-08-10T19:29:54Z</t>
        </is>
      </c>
    </row>
    <row r="2017">
      <c r="A2017" s="19" t="inlineStr">
        <is>
          <t>2016</t>
        </is>
      </c>
      <c r="B2017" s="19" t="inlineStr">
        <is>
          <t>1015283</t>
        </is>
      </c>
      <c r="C2017" t="inlineStr">
        <is>
          <t>AKÜ,D31,DK90AH,IGYA,PILOTPERF,TÜRKMENSTN</t>
        </is>
      </c>
      <c r="D2017" s="19" t="inlineStr">
        <is>
          <t>1</t>
        </is>
      </c>
      <c r="E2017" t="n">
        <v>0</v>
      </c>
      <c r="I2017" s="19" t="inlineStr">
        <is>
          <t>2</t>
        </is>
      </c>
      <c r="J2017" t="inlineStr">
        <is>
          <t>2026-08-08</t>
        </is>
      </c>
      <c r="L2017" s="19" t="inlineStr">
        <is>
          <t>1015283</t>
        </is>
      </c>
      <c r="M2017" t="inlineStr">
        <is>
          <t>STATUS=IN OEM / EU PACKAGE; SOURCE_CFG=IA-ST-CFG-0143; MARKET=TÜRKMENİSTAN</t>
        </is>
      </c>
      <c r="N2017" t="inlineStr">
        <is>
          <t>2026-08-10T19:29:54Z</t>
        </is>
      </c>
      <c r="O2017" t="inlineStr">
        <is>
          <t>2026-08-10T19:29:54Z</t>
        </is>
      </c>
    </row>
    <row r="2018">
      <c r="A2018" s="19" t="inlineStr">
        <is>
          <t>2017</t>
        </is>
      </c>
      <c r="B2018" s="19" t="inlineStr">
        <is>
          <t>1015284</t>
        </is>
      </c>
      <c r="C2018" t="inlineStr">
        <is>
          <t>AKÜ,AGM,L4,DK,80AH,EAS AGM S&amp;S,ATWAN</t>
        </is>
      </c>
      <c r="D2018" s="19" t="inlineStr">
        <is>
          <t>1</t>
        </is>
      </c>
      <c r="E2018" t="n">
        <v>0</v>
      </c>
      <c r="I2018" s="19" t="inlineStr">
        <is>
          <t>2</t>
        </is>
      </c>
      <c r="J2018" t="inlineStr">
        <is>
          <t>2026-08-08</t>
        </is>
      </c>
      <c r="L2018" s="19" t="inlineStr">
        <is>
          <t>1015284</t>
        </is>
      </c>
      <c r="M2018" t="inlineStr">
        <is>
          <t>STATUS=IN OEM / EU PACKAGE; SOURCE_CFG=IA-ST-CFG-0142; MARKET=MISIR ATWAN</t>
        </is>
      </c>
      <c r="N2018" t="inlineStr">
        <is>
          <t>2026-08-10T19:29:54Z</t>
        </is>
      </c>
      <c r="O2018" t="inlineStr">
        <is>
          <t>2026-08-10T19:29:54Z</t>
        </is>
      </c>
    </row>
    <row r="2019">
      <c r="A2019" s="19" t="inlineStr">
        <is>
          <t>2018</t>
        </is>
      </c>
      <c r="B2019" s="19" t="inlineStr">
        <is>
          <t>1015285</t>
        </is>
      </c>
      <c r="C2019" t="inlineStr">
        <is>
          <t>AKÜ,D23,TK,62AH,IGYA,B1,İNCİTAUR,SHAWKAT</t>
        </is>
      </c>
      <c r="D2019" s="19" t="inlineStr">
        <is>
          <t>1</t>
        </is>
      </c>
      <c r="E2019" t="n">
        <v>0</v>
      </c>
      <c r="I2019" s="19" t="inlineStr">
        <is>
          <t>2</t>
        </is>
      </c>
      <c r="J2019" t="inlineStr">
        <is>
          <t>2026-08-08</t>
        </is>
      </c>
      <c r="L2019" s="19" t="inlineStr">
        <is>
          <t>1015285</t>
        </is>
      </c>
      <c r="M2019" t="inlineStr">
        <is>
          <t>STATUS=IN OEM / EU PACKAGE; SOURCE_CFG=IA-ST-CFG-0219; MARKET=SHAWKAT</t>
        </is>
      </c>
      <c r="N2019" t="inlineStr">
        <is>
          <t>2026-08-10T19:29:54Z</t>
        </is>
      </c>
      <c r="O2019" t="inlineStr">
        <is>
          <t>2026-08-10T19:29:54Z</t>
        </is>
      </c>
    </row>
    <row r="2020">
      <c r="A2020" s="19" t="inlineStr">
        <is>
          <t>2019</t>
        </is>
      </c>
      <c r="B2020" s="19" t="inlineStr">
        <is>
          <t>1015286</t>
        </is>
      </c>
      <c r="C2020" t="inlineStr">
        <is>
          <t>AKÜ,A-IGYASMF,DK,120AH,İNCİFORML,SHAWKAT</t>
        </is>
      </c>
      <c r="D2020" s="19" t="inlineStr">
        <is>
          <t>1</t>
        </is>
      </c>
      <c r="E2020" t="n">
        <v>0</v>
      </c>
      <c r="I2020" s="19" t="inlineStr">
        <is>
          <t>2</t>
        </is>
      </c>
      <c r="J2020" t="inlineStr">
        <is>
          <t>2026-08-08</t>
        </is>
      </c>
      <c r="L2020" s="19" t="inlineStr">
        <is>
          <t>1015286</t>
        </is>
      </c>
      <c r="M2020" t="inlineStr">
        <is>
          <t>STATUS=IN OEM / EU PACKAGE; SOURCE_CFG=IA-ST-CFG-0051; MARKET=SHAWKAT</t>
        </is>
      </c>
      <c r="N2020" t="inlineStr">
        <is>
          <t>2026-08-10T19:29:54Z</t>
        </is>
      </c>
      <c r="O2020" t="inlineStr">
        <is>
          <t>2026-08-10T19:29:54Z</t>
        </is>
      </c>
    </row>
    <row r="2021">
      <c r="A2021" s="19" t="inlineStr">
        <is>
          <t>2020</t>
        </is>
      </c>
      <c r="B2021" s="19" t="inlineStr">
        <is>
          <t>1015287</t>
        </is>
      </c>
      <c r="C2021" t="inlineStr">
        <is>
          <t>AKÜ,B-IGYASMF,DK,190AH,B03,EAS ACTIVA</t>
        </is>
      </c>
      <c r="D2021" s="19" t="inlineStr">
        <is>
          <t>1</t>
        </is>
      </c>
      <c r="E2021" t="n">
        <v>0</v>
      </c>
      <c r="I2021" s="19" t="inlineStr">
        <is>
          <t>2</t>
        </is>
      </c>
      <c r="J2021" t="inlineStr">
        <is>
          <t>2026-08-08</t>
        </is>
      </c>
      <c r="L2021" s="19" t="inlineStr">
        <is>
          <t>1015287</t>
        </is>
      </c>
      <c r="M2021" t="inlineStr">
        <is>
          <t>STATUS=IN OEM / EU PACKAGE; SOURCE_CFG=IA-ST-CFG-0052; MARKET=None</t>
        </is>
      </c>
      <c r="N2021" t="inlineStr">
        <is>
          <t>2026-08-10T19:29:54Z</t>
        </is>
      </c>
      <c r="O2021" t="inlineStr">
        <is>
          <t>2026-08-10T19:29:54Z</t>
        </is>
      </c>
    </row>
    <row r="2022">
      <c r="A2022" s="19" t="inlineStr">
        <is>
          <t>2021</t>
        </is>
      </c>
      <c r="B2022" s="19" t="inlineStr">
        <is>
          <t>1015288</t>
        </is>
      </c>
      <c r="C2022" t="inlineStr">
        <is>
          <t>AKÜ,L5,DK,105AH,IGYA SMF,EAS ACTIVA</t>
        </is>
      </c>
      <c r="D2022" s="19" t="inlineStr">
        <is>
          <t>1</t>
        </is>
      </c>
      <c r="E2022" t="n">
        <v>0</v>
      </c>
      <c r="I2022" s="19" t="inlineStr">
        <is>
          <t>2</t>
        </is>
      </c>
      <c r="J2022" t="inlineStr">
        <is>
          <t>2026-08-08</t>
        </is>
      </c>
      <c r="L2022" s="19" t="inlineStr">
        <is>
          <t>1015288</t>
        </is>
      </c>
      <c r="M2022" t="inlineStr">
        <is>
          <t>STATUS=IN OEM / EU PACKAGE; SOURCE_CFG=IA-ST-CFG-0096; MARKET=None</t>
        </is>
      </c>
      <c r="N2022" t="inlineStr">
        <is>
          <t>2026-08-10T19:29:54Z</t>
        </is>
      </c>
      <c r="O2022" t="inlineStr">
        <is>
          <t>2026-08-10T19:29:54Z</t>
        </is>
      </c>
    </row>
    <row r="2023">
      <c r="A2023" s="19" t="inlineStr">
        <is>
          <t>2022</t>
        </is>
      </c>
      <c r="B2023" s="19" t="inlineStr">
        <is>
          <t>1015289</t>
        </is>
      </c>
      <c r="C2023" t="inlineStr">
        <is>
          <t>AKÜ,L6,DK,110AH,KAMINA,EAS PRIDE</t>
        </is>
      </c>
      <c r="D2023" s="19" t="inlineStr">
        <is>
          <t>1</t>
        </is>
      </c>
      <c r="E2023" t="n">
        <v>0</v>
      </c>
      <c r="I2023" s="19" t="inlineStr">
        <is>
          <t>2</t>
        </is>
      </c>
      <c r="J2023" t="inlineStr">
        <is>
          <t>2026-08-08</t>
        </is>
      </c>
      <c r="L2023" s="19" t="inlineStr">
        <is>
          <t>1015289</t>
        </is>
      </c>
      <c r="M2023" t="inlineStr">
        <is>
          <t>STATUS=IN OEM / EU PACKAGE; SOURCE_CFG=IA-ST-CFG-0080; MARKET=None</t>
        </is>
      </c>
      <c r="N2023" t="inlineStr">
        <is>
          <t>2026-08-10T19:29:54Z</t>
        </is>
      </c>
      <c r="O2023" t="inlineStr">
        <is>
          <t>2026-08-10T19:29:54Z</t>
        </is>
      </c>
    </row>
    <row r="2024">
      <c r="A2024" s="19" t="inlineStr">
        <is>
          <t>2023</t>
        </is>
      </c>
      <c r="B2024" s="19" t="inlineStr">
        <is>
          <t>1015290</t>
        </is>
      </c>
      <c r="C2024" t="inlineStr">
        <is>
          <t>AKÜ,TRACTOR,DK,125AH,EAS PRIDE</t>
        </is>
      </c>
      <c r="D2024" s="19" t="inlineStr">
        <is>
          <t>1</t>
        </is>
      </c>
      <c r="E2024" t="n">
        <v>0</v>
      </c>
      <c r="I2024" s="19" t="inlineStr">
        <is>
          <t>2</t>
        </is>
      </c>
      <c r="J2024" t="inlineStr">
        <is>
          <t>2026-08-08</t>
        </is>
      </c>
      <c r="L2024" s="19" t="inlineStr">
        <is>
          <t>1015290</t>
        </is>
      </c>
      <c r="M2024" t="inlineStr">
        <is>
          <t>STATUS=IN OEM / EU PACKAGE; SOURCE_CFG=IA-ST-CFG-0093; MARKET=None</t>
        </is>
      </c>
      <c r="N2024" t="inlineStr">
        <is>
          <t>2026-08-10T19:29:54Z</t>
        </is>
      </c>
      <c r="O2024" t="inlineStr">
        <is>
          <t>2026-08-10T19:29:54Z</t>
        </is>
      </c>
    </row>
    <row r="2025">
      <c r="A2025" s="19" t="inlineStr">
        <is>
          <t>2024</t>
        </is>
      </c>
      <c r="B2025" s="19" t="inlineStr">
        <is>
          <t>1015291</t>
        </is>
      </c>
      <c r="C2025" t="inlineStr">
        <is>
          <t>AKÜ,C-FLAT,DK,240AH,EAS PRIDE</t>
        </is>
      </c>
      <c r="D2025" s="19" t="inlineStr">
        <is>
          <t>1</t>
        </is>
      </c>
      <c r="E2025" t="n">
        <v>0</v>
      </c>
      <c r="I2025" s="19" t="inlineStr">
        <is>
          <t>2</t>
        </is>
      </c>
      <c r="J2025" t="inlineStr">
        <is>
          <t>2026-08-08</t>
        </is>
      </c>
      <c r="L2025" s="19" t="inlineStr">
        <is>
          <t>1015291</t>
        </is>
      </c>
      <c r="M2025" t="inlineStr">
        <is>
          <t>STATUS=IN OEM / EU PACKAGE; SOURCE_CFG=IA-ST-CFG-0023; MARKET=None</t>
        </is>
      </c>
      <c r="N2025" t="inlineStr">
        <is>
          <t>2026-08-10T19:29:54Z</t>
        </is>
      </c>
      <c r="O2025" t="inlineStr">
        <is>
          <t>2026-08-10T19:29:54Z</t>
        </is>
      </c>
    </row>
    <row r="2026">
      <c r="A2026" s="19" t="inlineStr">
        <is>
          <t>2025</t>
        </is>
      </c>
      <c r="B2026" s="19" t="inlineStr">
        <is>
          <t>1015292</t>
        </is>
      </c>
      <c r="C2026" t="inlineStr">
        <is>
          <t>AKÜ,L2,DK,60AH,IGYA,İNCİEFBPANTR,SHAWKAT</t>
        </is>
      </c>
      <c r="D2026" s="19" t="inlineStr">
        <is>
          <t>1</t>
        </is>
      </c>
      <c r="E2026" t="n">
        <v>0</v>
      </c>
      <c r="I2026" s="19" t="inlineStr">
        <is>
          <t>2</t>
        </is>
      </c>
      <c r="J2026" t="inlineStr">
        <is>
          <t>2026-08-08</t>
        </is>
      </c>
      <c r="L2026" s="19" t="inlineStr">
        <is>
          <t>1015292</t>
        </is>
      </c>
      <c r="M2026" t="inlineStr">
        <is>
          <t>STATUS=IN OEM / EU PACKAGE; SOURCE_CFG=IA-ST-CFG-0222; MARKET=SHAWKAT</t>
        </is>
      </c>
      <c r="N2026" t="inlineStr">
        <is>
          <t>2026-08-10T19:29:54Z</t>
        </is>
      </c>
      <c r="O2026" t="inlineStr">
        <is>
          <t>2026-08-10T19:29:54Z</t>
        </is>
      </c>
    </row>
    <row r="2027">
      <c r="A2027" s="19" t="inlineStr">
        <is>
          <t>2026</t>
        </is>
      </c>
      <c r="B2027" s="19" t="inlineStr">
        <is>
          <t>1015302</t>
        </is>
      </c>
      <c r="C2027" t="inlineStr">
        <is>
          <t>AKÜ,LB3,DK,65AH,IGYA,İNCİEFBMAX,M1İÇPYS</t>
        </is>
      </c>
      <c r="D2027" s="19" t="inlineStr">
        <is>
          <t>1</t>
        </is>
      </c>
      <c r="E2027" t="n">
        <v>0</v>
      </c>
      <c r="I2027" s="19" t="inlineStr">
        <is>
          <t>2</t>
        </is>
      </c>
      <c r="J2027" t="inlineStr">
        <is>
          <t>2026-08-08</t>
        </is>
      </c>
      <c r="L2027" s="19" t="inlineStr">
        <is>
          <t>1015302</t>
        </is>
      </c>
      <c r="M2027" t="inlineStr">
        <is>
          <t>STATUS=IN OEM / EU PACKAGE; SOURCE_CFG=IA-ST-CFG-0182; MARKET=YURT İÇİ AFM</t>
        </is>
      </c>
      <c r="N2027" t="inlineStr">
        <is>
          <t>2026-08-10T19:29:54Z</t>
        </is>
      </c>
      <c r="O2027" t="inlineStr">
        <is>
          <t>2026-08-10T19:29:54Z</t>
        </is>
      </c>
    </row>
    <row r="2028">
      <c r="A2028" s="19" t="inlineStr">
        <is>
          <t>2027</t>
        </is>
      </c>
      <c r="B2028" s="19" t="inlineStr">
        <is>
          <t>1015303</t>
        </is>
      </c>
      <c r="C2028" t="inlineStr">
        <is>
          <t>AKÜ,LB4,DK,75AH,IGYA,İNCİEFBMAX,M1İÇPYS</t>
        </is>
      </c>
      <c r="D2028" s="19" t="inlineStr">
        <is>
          <t>1</t>
        </is>
      </c>
      <c r="E2028" t="n">
        <v>0</v>
      </c>
      <c r="I2028" s="19" t="inlineStr">
        <is>
          <t>2</t>
        </is>
      </c>
      <c r="J2028" t="inlineStr">
        <is>
          <t>2026-08-08</t>
        </is>
      </c>
      <c r="L2028" s="19" t="inlineStr">
        <is>
          <t>1015303</t>
        </is>
      </c>
      <c r="M2028" t="inlineStr">
        <is>
          <t>STATUS=IN OEM / EU PACKAGE; SOURCE_CFG=IA-ST-CFG-0233; MARKET=YURT İÇİ AFM</t>
        </is>
      </c>
      <c r="N2028" t="inlineStr">
        <is>
          <t>2026-08-10T19:29:54Z</t>
        </is>
      </c>
      <c r="O2028" t="inlineStr">
        <is>
          <t>2026-08-10T19:29:54Z</t>
        </is>
      </c>
    </row>
    <row r="2029">
      <c r="A2029" s="19" t="inlineStr">
        <is>
          <t>2028</t>
        </is>
      </c>
      <c r="B2029" s="19" t="inlineStr">
        <is>
          <t>1015304</t>
        </is>
      </c>
      <c r="C2029" t="inlineStr">
        <is>
          <t>AKÜ,C-IGYASMF,DK,225AH,BLIZSILVRLN,MISIR</t>
        </is>
      </c>
      <c r="D2029" s="19" t="inlineStr">
        <is>
          <t>1</t>
        </is>
      </c>
      <c r="E2029" t="n">
        <v>0</v>
      </c>
      <c r="I2029" s="19" t="inlineStr">
        <is>
          <t>2</t>
        </is>
      </c>
      <c r="J2029" t="inlineStr">
        <is>
          <t>2026-08-08</t>
        </is>
      </c>
      <c r="L2029" s="19" t="inlineStr">
        <is>
          <t>1015304</t>
        </is>
      </c>
      <c r="M2029" t="inlineStr">
        <is>
          <t>STATUS=IN OEM / EU PACKAGE; SOURCE_CFG=IA-ST-CFG-0023; MARKET=MISIR AL AMAN</t>
        </is>
      </c>
      <c r="N2029" t="inlineStr">
        <is>
          <t>2026-08-10T19:29:54Z</t>
        </is>
      </c>
      <c r="O2029" t="inlineStr">
        <is>
          <t>2026-08-10T19:29:54Z</t>
        </is>
      </c>
    </row>
    <row r="2030">
      <c r="A2030" s="19" t="inlineStr">
        <is>
          <t>2029</t>
        </is>
      </c>
      <c r="B2030" s="19" t="inlineStr">
        <is>
          <t>1015305</t>
        </is>
      </c>
      <c r="C2030" t="inlineStr">
        <is>
          <t>AKÜ,L2,DK,65AH,IGYASMF,BLIZ.GOLDLN,MISIR</t>
        </is>
      </c>
      <c r="D2030" s="19" t="inlineStr">
        <is>
          <t>1</t>
        </is>
      </c>
      <c r="E2030" t="n">
        <v>0</v>
      </c>
      <c r="I2030" s="19" t="inlineStr">
        <is>
          <t>2</t>
        </is>
      </c>
      <c r="J2030" t="inlineStr">
        <is>
          <t>2026-08-08</t>
        </is>
      </c>
      <c r="L2030" s="19" t="inlineStr">
        <is>
          <t>1015305</t>
        </is>
      </c>
      <c r="M2030" t="inlineStr">
        <is>
          <t>STATUS=IN OEM / EU PACKAGE; SOURCE_CFG=IA-ST-CFG-0222; MARKET=MISIR AL AMAN</t>
        </is>
      </c>
      <c r="N2030" t="inlineStr">
        <is>
          <t>2026-08-10T19:29:54Z</t>
        </is>
      </c>
      <c r="O2030" t="inlineStr">
        <is>
          <t>2026-08-10T19:29:54Z</t>
        </is>
      </c>
    </row>
    <row r="2031">
      <c r="A2031" s="19" t="inlineStr">
        <is>
          <t>2030</t>
        </is>
      </c>
      <c r="B2031" s="19" t="inlineStr">
        <is>
          <t>1015306</t>
        </is>
      </c>
      <c r="C2031" t="inlineStr">
        <is>
          <t>AKÜ,L3,DK,80AH,IGYASMF,BLIZ.GOLDLN,MISIR</t>
        </is>
      </c>
      <c r="D2031" s="19" t="inlineStr">
        <is>
          <t>1</t>
        </is>
      </c>
      <c r="E2031" t="n">
        <v>0</v>
      </c>
      <c r="I2031" s="19" t="inlineStr">
        <is>
          <t>2</t>
        </is>
      </c>
      <c r="J2031" t="inlineStr">
        <is>
          <t>2026-08-08</t>
        </is>
      </c>
      <c r="L2031" s="19" t="inlineStr">
        <is>
          <t>1015306</t>
        </is>
      </c>
      <c r="M2031" t="inlineStr">
        <is>
          <t>STATUS=IN OEM / EU PACKAGE; SOURCE_CFG=IA-ST-CFG-0179; MARKET=MISIR AL AMAN</t>
        </is>
      </c>
      <c r="N2031" t="inlineStr">
        <is>
          <t>2026-08-10T19:29:54Z</t>
        </is>
      </c>
      <c r="O2031" t="inlineStr">
        <is>
          <t>2026-08-10T19:29:54Z</t>
        </is>
      </c>
    </row>
    <row r="2032">
      <c r="A2032" s="19" t="inlineStr">
        <is>
          <t>2031</t>
        </is>
      </c>
      <c r="B2032" s="19" t="inlineStr">
        <is>
          <t>1015310</t>
        </is>
      </c>
      <c r="C2032" t="inlineStr">
        <is>
          <t>AKÜ,A-IGYASMF,DK,140AH,NONAME,INTERSTATE</t>
        </is>
      </c>
      <c r="D2032" s="19" t="inlineStr">
        <is>
          <t>1</t>
        </is>
      </c>
      <c r="E2032" t="n">
        <v>0</v>
      </c>
      <c r="I2032" s="19" t="inlineStr">
        <is>
          <t>2</t>
        </is>
      </c>
      <c r="J2032" t="inlineStr">
        <is>
          <t>2026-08-08</t>
        </is>
      </c>
      <c r="L2032" s="19" t="inlineStr">
        <is>
          <t>1015310</t>
        </is>
      </c>
      <c r="M2032" t="inlineStr">
        <is>
          <t>STATUS=IN OEM / EU PACKAGE; SOURCE_CFG=IA-ST-CFG-0049; MARKET=None</t>
        </is>
      </c>
      <c r="N2032" t="inlineStr">
        <is>
          <t>2026-08-10T19:29:54Z</t>
        </is>
      </c>
      <c r="O2032" t="inlineStr">
        <is>
          <t>2026-08-10T19:29:54Z</t>
        </is>
      </c>
    </row>
    <row r="2033">
      <c r="A2033" s="19" t="inlineStr">
        <is>
          <t>2032</t>
        </is>
      </c>
      <c r="B2033" s="19" t="inlineStr">
        <is>
          <t>1015311</t>
        </is>
      </c>
      <c r="C2033" t="inlineStr">
        <is>
          <t>AKÜ,B-IGYASMF,DK,180AH,NONAME,INTERSTATE</t>
        </is>
      </c>
      <c r="D2033" s="19" t="inlineStr">
        <is>
          <t>1</t>
        </is>
      </c>
      <c r="E2033" t="n">
        <v>0</v>
      </c>
      <c r="I2033" s="19" t="inlineStr">
        <is>
          <t>2</t>
        </is>
      </c>
      <c r="J2033" t="inlineStr">
        <is>
          <t>2026-08-08</t>
        </is>
      </c>
      <c r="L2033" s="19" t="inlineStr">
        <is>
          <t>1015311</t>
        </is>
      </c>
      <c r="M2033" t="inlineStr">
        <is>
          <t>STATUS=IN OEM / EU PACKAGE; SOURCE_CFG=IA-ST-CFG-0053; MARKET=None</t>
        </is>
      </c>
      <c r="N2033" t="inlineStr">
        <is>
          <t>2026-08-10T19:29:54Z</t>
        </is>
      </c>
      <c r="O2033" t="inlineStr">
        <is>
          <t>2026-08-10T19:29:54Z</t>
        </is>
      </c>
    </row>
    <row r="2034">
      <c r="A2034" s="19" t="inlineStr">
        <is>
          <t>2033</t>
        </is>
      </c>
      <c r="B2034" s="19" t="inlineStr">
        <is>
          <t>1015312</t>
        </is>
      </c>
      <c r="C2034" t="inlineStr">
        <is>
          <t>AKÜ,L0,DK,40AH,DINNEWPROFIL,DIN40L,LUCAS</t>
        </is>
      </c>
      <c r="D2034" s="19" t="inlineStr">
        <is>
          <t>1</t>
        </is>
      </c>
      <c r="E2034" t="n">
        <v>0</v>
      </c>
      <c r="I2034" s="19" t="inlineStr">
        <is>
          <t>2</t>
        </is>
      </c>
      <c r="J2034" t="inlineStr">
        <is>
          <t>2026-08-08</t>
        </is>
      </c>
      <c r="L2034" s="19" t="inlineStr">
        <is>
          <t>1015312</t>
        </is>
      </c>
      <c r="M2034" t="inlineStr">
        <is>
          <t>STATUS=IN OEM / EU PACKAGE; SOURCE_CFG=IA-ST-CFG-0262; MARKET=REY &amp; LENFERNA LUCAS</t>
        </is>
      </c>
      <c r="N2034" t="inlineStr">
        <is>
          <t>2026-08-10T19:29:54Z</t>
        </is>
      </c>
      <c r="O2034" t="inlineStr">
        <is>
          <t>2026-08-10T19:29:54Z</t>
        </is>
      </c>
    </row>
    <row r="2035">
      <c r="A2035" s="19" t="inlineStr">
        <is>
          <t>2034</t>
        </is>
      </c>
      <c r="B2035" s="19" t="inlineStr">
        <is>
          <t>1015313</t>
        </is>
      </c>
      <c r="C2035" t="inlineStr">
        <is>
          <t>AKÜ,L3,DK,75AH,IGYSMF,BLIZZ.EFB S&amp;S,EURO</t>
        </is>
      </c>
      <c r="D2035" s="19" t="inlineStr">
        <is>
          <t>1</t>
        </is>
      </c>
      <c r="E2035" t="n">
        <v>0</v>
      </c>
      <c r="I2035" s="19" t="inlineStr">
        <is>
          <t>2</t>
        </is>
      </c>
      <c r="J2035" t="inlineStr">
        <is>
          <t>2026-08-08</t>
        </is>
      </c>
      <c r="L2035" s="19" t="inlineStr">
        <is>
          <t>1015313</t>
        </is>
      </c>
      <c r="M2035" t="inlineStr">
        <is>
          <t>STATUS=IN OEM / EU PACKAGE; SOURCE_CFG=IA-ST-CFG-0134; MARKET=None</t>
        </is>
      </c>
      <c r="N2035" t="inlineStr">
        <is>
          <t>2026-08-10T19:29:54Z</t>
        </is>
      </c>
      <c r="O2035" t="inlineStr">
        <is>
          <t>2026-08-10T19:29:54Z</t>
        </is>
      </c>
    </row>
    <row r="2036">
      <c r="A2036" s="19" t="inlineStr">
        <is>
          <t>2035</t>
        </is>
      </c>
      <c r="B2036" s="19" t="inlineStr">
        <is>
          <t>1015314</t>
        </is>
      </c>
      <c r="C2036" t="inlineStr">
        <is>
          <t>AKÜ,NS60,DK,45AH,IGYA,PILOT PERFORMANCE</t>
        </is>
      </c>
      <c r="D2036" s="19" t="inlineStr">
        <is>
          <t>1</t>
        </is>
      </c>
      <c r="E2036" t="n">
        <v>0</v>
      </c>
      <c r="I2036" s="19" t="inlineStr">
        <is>
          <t>2</t>
        </is>
      </c>
      <c r="J2036" t="inlineStr">
        <is>
          <t>2026-08-08</t>
        </is>
      </c>
      <c r="L2036" s="19" t="inlineStr">
        <is>
          <t>1015314</t>
        </is>
      </c>
      <c r="M2036" t="inlineStr">
        <is>
          <t>STATUS=IN OEM / EU PACKAGE; SOURCE_CFG=IA-ST-CFG-0235; MARKET=LAMPA ITALY İTALYA</t>
        </is>
      </c>
      <c r="N2036" t="inlineStr">
        <is>
          <t>2026-08-10T19:29:54Z</t>
        </is>
      </c>
      <c r="O2036" t="inlineStr">
        <is>
          <t>2026-08-10T19:29:54Z</t>
        </is>
      </c>
    </row>
    <row r="2037">
      <c r="A2037" s="19" t="inlineStr">
        <is>
          <t>2036</t>
        </is>
      </c>
      <c r="B2037" s="19" t="inlineStr">
        <is>
          <t>1015315</t>
        </is>
      </c>
      <c r="C2037" t="inlineStr">
        <is>
          <t>AKÜ,D23,DK,60AH,IGYA,PILOT PERFORMANCE</t>
        </is>
      </c>
      <c r="D2037" s="19" t="inlineStr">
        <is>
          <t>1</t>
        </is>
      </c>
      <c r="E2037" t="n">
        <v>0</v>
      </c>
      <c r="I2037" s="19" t="inlineStr">
        <is>
          <t>2</t>
        </is>
      </c>
      <c r="J2037" t="inlineStr">
        <is>
          <t>2026-08-08</t>
        </is>
      </c>
      <c r="L2037" s="19" t="inlineStr">
        <is>
          <t>1015315</t>
        </is>
      </c>
      <c r="M2037" t="inlineStr">
        <is>
          <t>STATUS=IN OEM / EU PACKAGE; SOURCE_CFG=IA-ST-CFG-0171; MARKET=LAMPA ITALY İTALYA</t>
        </is>
      </c>
      <c r="N2037" t="inlineStr">
        <is>
          <t>2026-08-10T19:29:54Z</t>
        </is>
      </c>
      <c r="O2037" t="inlineStr">
        <is>
          <t>2026-08-10T19:29:54Z</t>
        </is>
      </c>
    </row>
    <row r="2038">
      <c r="A2038" s="19" t="inlineStr">
        <is>
          <t>2037</t>
        </is>
      </c>
      <c r="B2038" s="19" t="inlineStr">
        <is>
          <t>1015316</t>
        </is>
      </c>
      <c r="C2038" t="inlineStr">
        <is>
          <t>AKÜ,D26,DK,72AH,IGYA,PILOT PERFORMANCE</t>
        </is>
      </c>
      <c r="D2038" s="19" t="inlineStr">
        <is>
          <t>1</t>
        </is>
      </c>
      <c r="E2038" t="n">
        <v>0</v>
      </c>
      <c r="I2038" s="19" t="inlineStr">
        <is>
          <t>2</t>
        </is>
      </c>
      <c r="J2038" t="inlineStr">
        <is>
          <t>2026-08-08</t>
        </is>
      </c>
      <c r="L2038" s="19" t="inlineStr">
        <is>
          <t>1015316</t>
        </is>
      </c>
      <c r="M2038" t="inlineStr">
        <is>
          <t>STATUS=IN OEM / EU PACKAGE; SOURCE_CFG=IA-ST-CFG-0107; MARKET=LAMPA ITALY İTALYA</t>
        </is>
      </c>
      <c r="N2038" t="inlineStr">
        <is>
          <t>2026-08-10T19:29:54Z</t>
        </is>
      </c>
      <c r="O2038" t="inlineStr">
        <is>
          <t>2026-08-10T19:29:54Z</t>
        </is>
      </c>
    </row>
    <row r="2039">
      <c r="A2039" s="19" t="inlineStr">
        <is>
          <t>2038</t>
        </is>
      </c>
      <c r="B2039" s="19" t="inlineStr">
        <is>
          <t>1015317</t>
        </is>
      </c>
      <c r="C2039" t="inlineStr">
        <is>
          <t>AKÜ,D31,DK,100AH,IGYA,PILOT PERFORMANCE</t>
        </is>
      </c>
      <c r="D2039" s="19" t="inlineStr">
        <is>
          <t>1</t>
        </is>
      </c>
      <c r="E2039" t="n">
        <v>0</v>
      </c>
      <c r="I2039" s="19" t="inlineStr">
        <is>
          <t>2</t>
        </is>
      </c>
      <c r="J2039" t="inlineStr">
        <is>
          <t>2026-08-08</t>
        </is>
      </c>
      <c r="L2039" s="19" t="inlineStr">
        <is>
          <t>1015317</t>
        </is>
      </c>
      <c r="M2039" t="inlineStr">
        <is>
          <t>STATUS=IN OEM / EU PACKAGE; SOURCE_CFG=IA-ST-CFG-0115; MARKET=LAMPA ITALY İTALYA</t>
        </is>
      </c>
      <c r="N2039" t="inlineStr">
        <is>
          <t>2026-08-10T19:29:54Z</t>
        </is>
      </c>
      <c r="O2039" t="inlineStr">
        <is>
          <t>2026-08-10T19:29:54Z</t>
        </is>
      </c>
    </row>
    <row r="2040">
      <c r="A2040" s="19" t="inlineStr">
        <is>
          <t>2039</t>
        </is>
      </c>
      <c r="B2040" s="19" t="inlineStr">
        <is>
          <t>1015318</t>
        </is>
      </c>
      <c r="C2040" t="inlineStr">
        <is>
          <t>AKÜ,D31,TK,100AH,IGYA,PILOT PERFORMANCE</t>
        </is>
      </c>
      <c r="D2040" s="19" t="inlineStr">
        <is>
          <t>1</t>
        </is>
      </c>
      <c r="E2040" t="n">
        <v>0</v>
      </c>
      <c r="I2040" s="19" t="inlineStr">
        <is>
          <t>2</t>
        </is>
      </c>
      <c r="J2040" t="inlineStr">
        <is>
          <t>2026-08-08</t>
        </is>
      </c>
      <c r="L2040" s="19" t="inlineStr">
        <is>
          <t>1015318</t>
        </is>
      </c>
      <c r="M2040" t="inlineStr">
        <is>
          <t>STATUS=IN OEM / EU PACKAGE; SOURCE_CFG=IA-ST-CFG-0115; MARKET=LAMPA ITALY İTALYA</t>
        </is>
      </c>
      <c r="N2040" t="inlineStr">
        <is>
          <t>2026-08-10T19:29:54Z</t>
        </is>
      </c>
      <c r="O2040" t="inlineStr">
        <is>
          <t>2026-08-10T19:29:54Z</t>
        </is>
      </c>
    </row>
    <row r="2041">
      <c r="A2041" s="19" t="inlineStr">
        <is>
          <t>2040</t>
        </is>
      </c>
      <c r="B2041" s="19" t="inlineStr">
        <is>
          <t>1015319</t>
        </is>
      </c>
      <c r="C2041" t="inlineStr">
        <is>
          <t>AKÜ,NS60,DK,57AH,IGYA,İNCİTAURUS,SHAWKAT</t>
        </is>
      </c>
      <c r="D2041" s="19" t="inlineStr">
        <is>
          <t>1</t>
        </is>
      </c>
      <c r="E2041" t="n">
        <v>0</v>
      </c>
      <c r="I2041" s="19" t="inlineStr">
        <is>
          <t>2</t>
        </is>
      </c>
      <c r="J2041" t="inlineStr">
        <is>
          <t>2026-08-08</t>
        </is>
      </c>
      <c r="L2041" s="19" t="inlineStr">
        <is>
          <t>1015319</t>
        </is>
      </c>
      <c r="M2041" t="inlineStr">
        <is>
          <t>STATUS=IN OEM / EU PACKAGE; SOURCE_CFG=IA-ST-CFG-0272; MARKET=SHAWKAT</t>
        </is>
      </c>
      <c r="N2041" t="inlineStr">
        <is>
          <t>2026-08-10T19:29:54Z</t>
        </is>
      </c>
      <c r="O2041" t="inlineStr">
        <is>
          <t>2026-08-10T19:29:54Z</t>
        </is>
      </c>
    </row>
    <row r="2042">
      <c r="A2042" s="19" t="inlineStr">
        <is>
          <t>2041</t>
        </is>
      </c>
      <c r="B2042" s="19" t="inlineStr">
        <is>
          <t>1015320</t>
        </is>
      </c>
      <c r="C2042" t="inlineStr">
        <is>
          <t>AKÜ,C-IGYA,DK,230AH,İNCİEFBMAX,TEMSA OEM</t>
        </is>
      </c>
      <c r="D2042" s="19" t="inlineStr">
        <is>
          <t>1</t>
        </is>
      </c>
      <c r="E2042" t="n">
        <v>0</v>
      </c>
      <c r="I2042" s="19" t="inlineStr">
        <is>
          <t>2</t>
        </is>
      </c>
      <c r="J2042" t="inlineStr">
        <is>
          <t>2026-08-08</t>
        </is>
      </c>
      <c r="L2042" s="19" t="inlineStr">
        <is>
          <t>1015320</t>
        </is>
      </c>
      <c r="M2042" t="inlineStr">
        <is>
          <t>STATUS=DOMESTIC-ONLY / NOT IN OEM PACKAGE; SOURCE_CFG=IA-ST-CFG-0001; MARKET=TEMSA (Yurt İçi)</t>
        </is>
      </c>
      <c r="N2042" t="inlineStr">
        <is>
          <t>2026-08-10T19:29:54Z</t>
        </is>
      </c>
      <c r="O2042" t="inlineStr">
        <is>
          <t>2026-08-10T19:29:54Z</t>
        </is>
      </c>
    </row>
    <row r="2043">
      <c r="A2043" s="19" t="inlineStr">
        <is>
          <t>2042</t>
        </is>
      </c>
      <c r="B2043" s="19" t="inlineStr">
        <is>
          <t>1015321</t>
        </is>
      </c>
      <c r="C2043" t="inlineStr">
        <is>
          <t>AKÜ,D31,DK,90AH,IGYA,SILVER,TÜRKMENİSTAN</t>
        </is>
      </c>
      <c r="D2043" s="19" t="inlineStr">
        <is>
          <t>1</t>
        </is>
      </c>
      <c r="E2043" t="n">
        <v>0</v>
      </c>
      <c r="I2043" s="19" t="inlineStr">
        <is>
          <t>2</t>
        </is>
      </c>
      <c r="J2043" t="inlineStr">
        <is>
          <t>2026-08-08</t>
        </is>
      </c>
      <c r="L2043" s="19" t="inlineStr">
        <is>
          <t>1015321</t>
        </is>
      </c>
      <c r="M2043" t="inlineStr">
        <is>
          <t>STATUS=IN OEM / EU PACKAGE; SOURCE_CFG=IA-ST-CFG-0143; MARKET=TÜRKMENİSTAN</t>
        </is>
      </c>
      <c r="N2043" t="inlineStr">
        <is>
          <t>2026-08-10T19:29:54Z</t>
        </is>
      </c>
      <c r="O2043" t="inlineStr">
        <is>
          <t>2026-08-10T19:29:54Z</t>
        </is>
      </c>
    </row>
    <row r="2044">
      <c r="A2044" s="19" t="inlineStr">
        <is>
          <t>2043</t>
        </is>
      </c>
      <c r="B2044" s="19" t="inlineStr">
        <is>
          <t>1015322</t>
        </is>
      </c>
      <c r="C2044" t="inlineStr">
        <is>
          <t>AKÜ,D26,DK,75AH,IGYA SMF,EAS ACTIVA,EURO</t>
        </is>
      </c>
      <c r="D2044" s="19" t="inlineStr">
        <is>
          <t>1</t>
        </is>
      </c>
      <c r="E2044" t="n">
        <v>0</v>
      </c>
      <c r="I2044" s="19" t="inlineStr">
        <is>
          <t>2</t>
        </is>
      </c>
      <c r="J2044" t="inlineStr">
        <is>
          <t>2026-08-08</t>
        </is>
      </c>
      <c r="L2044" s="19" t="inlineStr">
        <is>
          <t>1015322</t>
        </is>
      </c>
      <c r="M2044" t="inlineStr">
        <is>
          <t>STATUS=IN OEM / EU PACKAGE; SOURCE_CFG=IA-ST-CFG-0107; MARKET=None</t>
        </is>
      </c>
      <c r="N2044" t="inlineStr">
        <is>
          <t>2026-08-10T19:29:54Z</t>
        </is>
      </c>
      <c r="O2044" t="inlineStr">
        <is>
          <t>2026-08-10T19:29:54Z</t>
        </is>
      </c>
    </row>
    <row r="2045">
      <c r="A2045" s="19" t="inlineStr">
        <is>
          <t>2044</t>
        </is>
      </c>
      <c r="B2045" s="19" t="inlineStr">
        <is>
          <t>1015323</t>
        </is>
      </c>
      <c r="C2045" t="inlineStr">
        <is>
          <t>AKÜ,D26,TK,75AH,IGYA SMF,EAS ACTIVA,EURO</t>
        </is>
      </c>
      <c r="D2045" s="19" t="inlineStr">
        <is>
          <t>1</t>
        </is>
      </c>
      <c r="E2045" t="n">
        <v>0</v>
      </c>
      <c r="I2045" s="19" t="inlineStr">
        <is>
          <t>2</t>
        </is>
      </c>
      <c r="J2045" t="inlineStr">
        <is>
          <t>2026-08-08</t>
        </is>
      </c>
      <c r="L2045" s="19" t="inlineStr">
        <is>
          <t>1015323</t>
        </is>
      </c>
      <c r="M2045" t="inlineStr">
        <is>
          <t>STATUS=IN OEM / EU PACKAGE; SOURCE_CFG=IA-ST-CFG-0107; MARKET=None</t>
        </is>
      </c>
      <c r="N2045" t="inlineStr">
        <is>
          <t>2026-08-10T19:29:54Z</t>
        </is>
      </c>
      <c r="O2045" t="inlineStr">
        <is>
          <t>2026-08-10T19:29:54Z</t>
        </is>
      </c>
    </row>
    <row r="2046">
      <c r="A2046" s="19" t="inlineStr">
        <is>
          <t>2045</t>
        </is>
      </c>
      <c r="B2046" s="19" t="inlineStr">
        <is>
          <t>1015326</t>
        </is>
      </c>
      <c r="C2046" t="inlineStr">
        <is>
          <t>AKÜ,L5,DK,102AH,IGYA,BLIZZGOLDLINE,MISIR</t>
        </is>
      </c>
      <c r="D2046" s="19" t="inlineStr">
        <is>
          <t>1</t>
        </is>
      </c>
      <c r="E2046" t="n">
        <v>0</v>
      </c>
      <c r="I2046" s="19" t="inlineStr">
        <is>
          <t>2</t>
        </is>
      </c>
      <c r="J2046" t="inlineStr">
        <is>
          <t>2026-08-08</t>
        </is>
      </c>
      <c r="L2046" s="19" t="inlineStr">
        <is>
          <t>1015326</t>
        </is>
      </c>
      <c r="M2046" t="inlineStr">
        <is>
          <t>STATUS=IN OEM / EU PACKAGE; SOURCE_CFG=IA-ST-CFG-0096; MARKET=MISIR AL AMAN</t>
        </is>
      </c>
      <c r="N2046" t="inlineStr">
        <is>
          <t>2026-08-10T19:29:54Z</t>
        </is>
      </c>
      <c r="O2046" t="inlineStr">
        <is>
          <t>2026-08-10T19:29:54Z</t>
        </is>
      </c>
    </row>
    <row r="2047">
      <c r="A2047" s="19" t="inlineStr">
        <is>
          <t>2046</t>
        </is>
      </c>
      <c r="B2047" s="19" t="inlineStr">
        <is>
          <t>1015327</t>
        </is>
      </c>
      <c r="C2047" t="inlineStr">
        <is>
          <t>AKÜ,C-IGYA,DK,250AH,BLIZZ.GOLDLINE,MISIR</t>
        </is>
      </c>
      <c r="D2047" s="19" t="inlineStr">
        <is>
          <t>1</t>
        </is>
      </c>
      <c r="E2047" t="n">
        <v>0</v>
      </c>
      <c r="I2047" s="19" t="inlineStr">
        <is>
          <t>2</t>
        </is>
      </c>
      <c r="J2047" t="inlineStr">
        <is>
          <t>2026-08-08</t>
        </is>
      </c>
      <c r="L2047" s="19" t="inlineStr">
        <is>
          <t>1015327</t>
        </is>
      </c>
      <c r="M2047" t="inlineStr">
        <is>
          <t>STATUS=IN OEM / EU PACKAGE; SOURCE_CFG=IA-ST-CFG-0023; MARKET=MISIR AL AMAN</t>
        </is>
      </c>
      <c r="N2047" t="inlineStr">
        <is>
          <t>2026-08-10T19:29:54Z</t>
        </is>
      </c>
      <c r="O2047" t="inlineStr">
        <is>
          <t>2026-08-10T19:29:54Z</t>
        </is>
      </c>
    </row>
  </sheetData>
  <dataValidations count="3">
    <dataValidation sqref="D2:D5000" showDropDown="0" showInputMessage="0" showErrorMessage="1" allowBlank="1" errorTitle="Lookup FK" error="Value must exist in LKP_PRODUCT_CATEGORY" type="list">
      <formula1>NR_PRODUCT_CATEGORY_ID</formula1>
    </dataValidation>
    <dataValidation sqref="I2:I5000" showDropDown="0" showInputMessage="0" showErrorMessage="1" allowBlank="1" errorTitle="Lookup FK" error="Value must exist in LKP_STATUS" type="list">
      <formula1>NR_STATUS_ID</formula1>
    </dataValidation>
    <dataValidation sqref="J2:K5000" showDropDown="0" showInputMessage="0" showErrorMessage="1" allowBlank="1" errorTitle="Date" error="Enter a valid date (DD.MM.YYYY)" type="date" operator="greaterThan">
      <formula1>DATE(2000,1,1)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W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3"/>
    <col width="19" customWidth="1" min="4" max="4"/>
    <col width="20" customWidth="1" min="5" max="5"/>
    <col width="22" customWidth="1" min="6" max="6"/>
    <col width="19" customWidth="1" min="7" max="7"/>
    <col width="14" customWidth="1" min="8" max="8"/>
    <col width="12" customWidth="1" min="9" max="12"/>
    <col width="22" customWidth="1" min="13" max="14"/>
    <col width="20" customWidth="1" min="15" max="15"/>
    <col width="12" customWidth="1" min="16" max="16"/>
    <col width="14" customWidth="1" min="17" max="17"/>
    <col width="16" customWidth="1" min="18" max="18"/>
    <col width="14" customWidth="1" min="19" max="20"/>
    <col width="36" customWidth="1" min="21" max="21"/>
    <col width="12" customWidth="1" min="22" max="23"/>
  </cols>
  <sheetData>
    <row r="1" ht="27.95" customHeight="1">
      <c r="A1" s="6" t="inlineStr">
        <is>
          <t>COMPONENT_ID</t>
        </is>
      </c>
      <c r="B1" s="6" t="inlineStr">
        <is>
          <t>COMPONENT_CODE</t>
        </is>
      </c>
      <c r="C1" s="6" t="inlineStr">
        <is>
          <t>COMPONENT_NAME</t>
        </is>
      </c>
      <c r="D1" s="6" t="inlineStr">
        <is>
          <t>COMPONENT_TYPE_ID</t>
        </is>
      </c>
      <c r="E1" s="6" t="inlineStr">
        <is>
          <t>PACKAGING_LEVEL_ID</t>
        </is>
      </c>
      <c r="F1" s="6" t="inlineStr">
        <is>
          <t>PACKAGING_FUNCTION_ID</t>
        </is>
      </c>
      <c r="G1" s="6" t="inlineStr">
        <is>
          <t>OWNERSHIP_TYPE_ID</t>
        </is>
      </c>
      <c r="H1" s="6" t="inlineStr">
        <is>
          <t>SUPPLIER_ID</t>
        </is>
      </c>
      <c r="I1" s="6" t="inlineStr">
        <is>
          <t>WEIGHT_G</t>
        </is>
      </c>
      <c r="J1" s="6" t="inlineStr">
        <is>
          <t>LENGTH_MM</t>
        </is>
      </c>
      <c r="K1" s="6" t="inlineStr">
        <is>
          <t>WIDTH_MM</t>
        </is>
      </c>
      <c r="L1" s="6" t="inlineStr">
        <is>
          <t>HEIGHT_MM</t>
        </is>
      </c>
      <c r="M1" s="6" t="inlineStr">
        <is>
          <t>RECYCLED_CONTENT_PCT</t>
        </is>
      </c>
      <c r="N1" s="6" t="inlineStr">
        <is>
          <t>RECYCLABILITY_CLASS_ID</t>
        </is>
      </c>
      <c r="O1" s="6" t="inlineStr">
        <is>
          <t>REUSE_CYCLE_TARGET</t>
        </is>
      </c>
      <c r="P1" s="6" t="inlineStr">
        <is>
          <t>SPEC_REF</t>
        </is>
      </c>
      <c r="Q1" s="6" t="inlineStr">
        <is>
          <t>STATUS_ID</t>
        </is>
      </c>
      <c r="R1" s="6" t="inlineStr">
        <is>
          <t>EFFECTIVE_FROM</t>
        </is>
      </c>
      <c r="S1" s="6" t="inlineStr">
        <is>
          <t>EFFECTIVE_TO</t>
        </is>
      </c>
      <c r="T1" s="6" t="inlineStr">
        <is>
          <t>EXTERNAL_REF</t>
        </is>
      </c>
      <c r="U1" s="6" t="inlineStr">
        <is>
          <t>NOTES</t>
        </is>
      </c>
      <c r="V1" s="6" t="inlineStr">
        <is>
          <t>CREATED_AT</t>
        </is>
      </c>
      <c r="W1" s="6" t="inlineStr">
        <is>
          <t>UPDATED_AT</t>
        </is>
      </c>
    </row>
    <row r="2">
      <c r="A2" s="19" t="inlineStr">
        <is>
          <t>1</t>
        </is>
      </c>
      <c r="B2" s="19" t="inlineStr">
        <is>
          <t>3503036</t>
        </is>
      </c>
      <c r="C2" t="inlineStr">
        <is>
          <t>END OTO DOLUM SAF SU BIDONU 25L</t>
        </is>
      </c>
      <c r="D2" s="19" t="inlineStr">
        <is>
          <t>14</t>
        </is>
      </c>
      <c r="E2" s="19" t="inlineStr">
        <is>
          <t>3</t>
        </is>
      </c>
      <c r="F2" s="19" t="inlineStr">
        <is>
          <t>3</t>
        </is>
      </c>
      <c r="G2" s="19" t="inlineStr">
        <is>
          <t>1</t>
        </is>
      </c>
      <c r="H2" s="19" t="n"/>
      <c r="I2" t="n">
        <v>1140</v>
      </c>
      <c r="N2" s="19" t="n"/>
      <c r="Q2" s="19" t="inlineStr">
        <is>
          <t>2</t>
        </is>
      </c>
      <c r="R2" t="inlineStr">
        <is>
          <t>2026-08-08</t>
        </is>
      </c>
      <c r="T2" s="19" t="inlineStr">
        <is>
          <t>3503036</t>
        </is>
      </c>
      <c r="U2" t="inlineStr">
        <is>
          <t>SOURCE_ERP=3503036 | SRC=Endüstriyel Ambalaj Miktarı Çalışması(5).xlsx</t>
        </is>
      </c>
      <c r="V2" t="inlineStr">
        <is>
          <t>2026-08-10T19:29:54Z</t>
        </is>
      </c>
      <c r="W2" t="inlineStr">
        <is>
          <t>2026-08-10T19:29:54Z</t>
        </is>
      </c>
    </row>
    <row r="3">
      <c r="A3" s="19" t="inlineStr">
        <is>
          <t>2</t>
        </is>
      </c>
      <c r="B3" s="19" t="inlineStr">
        <is>
          <t>3506099</t>
        </is>
      </c>
      <c r="C3" t="inlineStr">
        <is>
          <t>END OTO DOLUM SAF SU BIDONU 20L</t>
        </is>
      </c>
      <c r="D3" s="19" t="inlineStr">
        <is>
          <t>14</t>
        </is>
      </c>
      <c r="E3" s="19" t="inlineStr">
        <is>
          <t>3</t>
        </is>
      </c>
      <c r="F3" s="19" t="inlineStr">
        <is>
          <t>3</t>
        </is>
      </c>
      <c r="G3" s="19" t="inlineStr">
        <is>
          <t>1</t>
        </is>
      </c>
      <c r="H3" s="19" t="n"/>
      <c r="I3" t="n">
        <v>1140</v>
      </c>
      <c r="N3" s="19" t="n"/>
      <c r="Q3" s="19" t="inlineStr">
        <is>
          <t>2</t>
        </is>
      </c>
      <c r="R3" t="inlineStr">
        <is>
          <t>2026-08-08</t>
        </is>
      </c>
      <c r="T3" s="19" t="inlineStr">
        <is>
          <t>3506099</t>
        </is>
      </c>
      <c r="U3" t="inlineStr">
        <is>
          <t>SOURCE_ERP=3506099 | SRC=Endüstriyel Ambalaj Miktarı Çalışması(5).xlsx</t>
        </is>
      </c>
      <c r="V3" t="inlineStr">
        <is>
          <t>2026-08-10T19:29:54Z</t>
        </is>
      </c>
      <c r="W3" t="inlineStr">
        <is>
          <t>2026-08-10T19:29:54Z</t>
        </is>
      </c>
    </row>
    <row r="4">
      <c r="A4" s="19" t="inlineStr">
        <is>
          <t>3</t>
        </is>
      </c>
      <c r="B4" s="19" t="inlineStr">
        <is>
          <t>4000033</t>
        </is>
      </c>
      <c r="C4" t="inlineStr">
        <is>
          <t>KARTON KÖŞEBENT,4cm*4cm*4*100cm,SEVPLT</t>
        </is>
      </c>
      <c r="D4" s="19" t="inlineStr">
        <is>
          <t>14</t>
        </is>
      </c>
      <c r="E4" s="19" t="inlineStr">
        <is>
          <t>3</t>
        </is>
      </c>
      <c r="F4" s="19" t="inlineStr">
        <is>
          <t>3</t>
        </is>
      </c>
      <c r="G4" s="19" t="inlineStr">
        <is>
          <t>1</t>
        </is>
      </c>
      <c r="H4" s="19" t="n"/>
      <c r="I4" t="n">
        <v>210</v>
      </c>
      <c r="N4" s="19" t="n"/>
      <c r="Q4" s="19" t="inlineStr">
        <is>
          <t>2</t>
        </is>
      </c>
      <c r="R4" t="inlineStr">
        <is>
          <t>2026-08-08</t>
        </is>
      </c>
      <c r="T4" s="19" t="inlineStr">
        <is>
          <t>4000033</t>
        </is>
      </c>
      <c r="U4" t="inlineStr">
        <is>
          <t>SOURCE_ERP=4000033 | SRC=Mamul Ambalaj Bileşen Listesi-30.07.2026(3).xlsx</t>
        </is>
      </c>
      <c r="V4" t="inlineStr">
        <is>
          <t>2026-08-10T19:29:54Z</t>
        </is>
      </c>
      <c r="W4" t="inlineStr">
        <is>
          <t>2026-08-10T19:29:54Z</t>
        </is>
      </c>
    </row>
    <row r="5">
      <c r="A5" s="19" t="inlineStr">
        <is>
          <t>4</t>
        </is>
      </c>
      <c r="B5" s="19" t="inlineStr">
        <is>
          <t>4000035</t>
        </is>
      </c>
      <c r="C5" t="inlineStr">
        <is>
          <t>STRECH,23MC,50CM*300M</t>
        </is>
      </c>
      <c r="D5" s="19" t="inlineStr">
        <is>
          <t>14</t>
        </is>
      </c>
      <c r="E5" s="19" t="inlineStr">
        <is>
          <t>3</t>
        </is>
      </c>
      <c r="F5" s="19" t="inlineStr">
        <is>
          <t>3</t>
        </is>
      </c>
      <c r="G5" s="19" t="inlineStr">
        <is>
          <t>1</t>
        </is>
      </c>
      <c r="H5" s="19" t="n"/>
      <c r="I5" t="n">
        <v>14.85</v>
      </c>
      <c r="N5" s="19" t="n"/>
      <c r="Q5" s="19" t="inlineStr">
        <is>
          <t>2</t>
        </is>
      </c>
      <c r="R5" t="inlineStr">
        <is>
          <t>2026-08-08</t>
        </is>
      </c>
      <c r="T5" s="19" t="inlineStr">
        <is>
          <t>4000035</t>
        </is>
      </c>
      <c r="U5" t="inlineStr">
        <is>
          <t>SOURCE_ERP=4000035 | SRC=Endüstriyel Ambalaj Miktarı Çalışması(5).xlsx</t>
        </is>
      </c>
      <c r="V5" t="inlineStr">
        <is>
          <t>2026-08-10T19:29:54Z</t>
        </is>
      </c>
      <c r="W5" t="inlineStr">
        <is>
          <t>2026-08-10T19:29:54Z</t>
        </is>
      </c>
    </row>
    <row r="6">
      <c r="A6" s="19" t="inlineStr">
        <is>
          <t>5</t>
        </is>
      </c>
      <c r="B6" s="19" t="inlineStr">
        <is>
          <t>4000037</t>
        </is>
      </c>
      <c r="C6" t="inlineStr">
        <is>
          <t>PALET STANDART,1030*1110*152</t>
        </is>
      </c>
      <c r="D6" s="19" t="inlineStr">
        <is>
          <t>14</t>
        </is>
      </c>
      <c r="E6" s="19" t="inlineStr">
        <is>
          <t>3</t>
        </is>
      </c>
      <c r="F6" s="19" t="inlineStr">
        <is>
          <t>3</t>
        </is>
      </c>
      <c r="G6" s="19" t="inlineStr">
        <is>
          <t>1</t>
        </is>
      </c>
      <c r="H6" s="19" t="n"/>
      <c r="I6" t="n">
        <v>26000</v>
      </c>
      <c r="N6" s="19" t="n"/>
      <c r="Q6" s="19" t="inlineStr">
        <is>
          <t>2</t>
        </is>
      </c>
      <c r="R6" t="inlineStr">
        <is>
          <t>2026-08-08</t>
        </is>
      </c>
      <c r="T6" s="19" t="inlineStr">
        <is>
          <t>4000037</t>
        </is>
      </c>
      <c r="U6" t="inlineStr">
        <is>
          <t>SOURCE_ERP=4000037 | SRC=Mamul Ambalaj Bileşen Listesi-30.07.2026(3).xlsx</t>
        </is>
      </c>
      <c r="V6" t="inlineStr">
        <is>
          <t>2026-08-10T19:29:54Z</t>
        </is>
      </c>
      <c r="W6" t="inlineStr">
        <is>
          <t>2026-08-10T19:29:54Z</t>
        </is>
      </c>
    </row>
    <row r="7">
      <c r="A7" s="19" t="inlineStr">
        <is>
          <t>6</t>
        </is>
      </c>
      <c r="B7" s="19" t="inlineStr">
        <is>
          <t>4000038</t>
        </is>
      </c>
      <c r="C7" t="inlineStr">
        <is>
          <t>PALET EURO,800*1200*152</t>
        </is>
      </c>
      <c r="D7" s="19" t="inlineStr">
        <is>
          <t>14</t>
        </is>
      </c>
      <c r="E7" s="19" t="inlineStr">
        <is>
          <t>3</t>
        </is>
      </c>
      <c r="F7" s="19" t="inlineStr">
        <is>
          <t>3</t>
        </is>
      </c>
      <c r="G7" s="19" t="inlineStr">
        <is>
          <t>1</t>
        </is>
      </c>
      <c r="H7" s="19" t="n"/>
      <c r="I7" t="n">
        <v>26000</v>
      </c>
      <c r="N7" s="19" t="n"/>
      <c r="Q7" s="19" t="inlineStr">
        <is>
          <t>2</t>
        </is>
      </c>
      <c r="R7" t="inlineStr">
        <is>
          <t>2026-08-08</t>
        </is>
      </c>
      <c r="T7" s="19" t="inlineStr">
        <is>
          <t>4000038</t>
        </is>
      </c>
      <c r="U7" t="inlineStr">
        <is>
          <t>SOURCE_ERP=4000038 | SRC=Mamul Ambalaj Bileşen Listesi-30.07.2026(3).xlsx</t>
        </is>
      </c>
      <c r="V7" t="inlineStr">
        <is>
          <t>2026-08-10T19:29:54Z</t>
        </is>
      </c>
      <c r="W7" t="inlineStr">
        <is>
          <t>2026-08-10T19:29:54Z</t>
        </is>
      </c>
    </row>
    <row r="8">
      <c r="A8" s="19" t="inlineStr">
        <is>
          <t>7</t>
        </is>
      </c>
      <c r="B8" s="19" t="inlineStr">
        <is>
          <t>4000130</t>
        </is>
      </c>
      <c r="C8" t="inlineStr">
        <is>
          <t>KARTON SEPERATÖR,102*105,B DALGA</t>
        </is>
      </c>
      <c r="D8" s="19" t="inlineStr">
        <is>
          <t>14</t>
        </is>
      </c>
      <c r="E8" s="19" t="inlineStr">
        <is>
          <t>3</t>
        </is>
      </c>
      <c r="F8" s="19" t="inlineStr">
        <is>
          <t>3</t>
        </is>
      </c>
      <c r="G8" s="19" t="inlineStr">
        <is>
          <t>1</t>
        </is>
      </c>
      <c r="H8" s="19" t="n"/>
      <c r="I8" t="n">
        <v>270</v>
      </c>
      <c r="N8" s="19" t="n"/>
      <c r="Q8" s="19" t="inlineStr">
        <is>
          <t>2</t>
        </is>
      </c>
      <c r="R8" t="inlineStr">
        <is>
          <t>2026-08-08</t>
        </is>
      </c>
      <c r="T8" s="19" t="inlineStr">
        <is>
          <t>4000130</t>
        </is>
      </c>
      <c r="U8" t="inlineStr">
        <is>
          <t>SOURCE_ERP=4000130 | ALIASES=Karton Seperatör | SRC=Mamul Ambalaj Bileşen Listesi-30.07.2026(3).xlsx</t>
        </is>
      </c>
      <c r="V8" t="inlineStr">
        <is>
          <t>2026-08-10T19:29:54Z</t>
        </is>
      </c>
      <c r="W8" t="inlineStr">
        <is>
          <t>2026-08-10T19:29:54Z</t>
        </is>
      </c>
    </row>
    <row r="9">
      <c r="A9" s="19" t="inlineStr">
        <is>
          <t>8</t>
        </is>
      </c>
      <c r="B9" s="19" t="inlineStr">
        <is>
          <t>4000300</t>
        </is>
      </c>
      <c r="C9" t="inlineStr">
        <is>
          <t>STRECH,23MC,50CM*1500M,MAKİNA STRECH</t>
        </is>
      </c>
      <c r="D9" s="19" t="inlineStr">
        <is>
          <t>14</t>
        </is>
      </c>
      <c r="E9" s="19" t="inlineStr">
        <is>
          <t>3</t>
        </is>
      </c>
      <c r="F9" s="19" t="inlineStr">
        <is>
          <t>3</t>
        </is>
      </c>
      <c r="G9" s="19" t="inlineStr">
        <is>
          <t>1</t>
        </is>
      </c>
      <c r="H9" s="19" t="n"/>
      <c r="I9" t="n">
        <v>18.32</v>
      </c>
      <c r="N9" s="19" t="n"/>
      <c r="Q9" s="19" t="inlineStr">
        <is>
          <t>2</t>
        </is>
      </c>
      <c r="R9" t="inlineStr">
        <is>
          <t>2026-08-08</t>
        </is>
      </c>
      <c r="T9" s="19" t="inlineStr">
        <is>
          <t>4000300</t>
        </is>
      </c>
      <c r="U9" t="inlineStr">
        <is>
          <t>SOURCE_ERP=4000300 | SRC=Mamul Ambalaj Bileşen Listesi-30.07.2026(3).xlsx</t>
        </is>
      </c>
      <c r="V9" t="inlineStr">
        <is>
          <t>2026-08-10T19:29:54Z</t>
        </is>
      </c>
      <c r="W9" t="inlineStr">
        <is>
          <t>2026-08-10T19:29:54Z</t>
        </is>
      </c>
    </row>
    <row r="10">
      <c r="A10" s="19" t="inlineStr">
        <is>
          <t>9</t>
        </is>
      </c>
      <c r="B10" s="19" t="inlineStr">
        <is>
          <t>4000301</t>
        </is>
      </c>
      <c r="C10" t="inlineStr">
        <is>
          <t>STRECH PED,80MC,140CM*170CM</t>
        </is>
      </c>
      <c r="D10" s="19" t="inlineStr">
        <is>
          <t>14</t>
        </is>
      </c>
      <c r="E10" s="19" t="inlineStr">
        <is>
          <t>3</t>
        </is>
      </c>
      <c r="F10" s="19" t="inlineStr">
        <is>
          <t>3</t>
        </is>
      </c>
      <c r="G10" s="19" t="inlineStr">
        <is>
          <t>1</t>
        </is>
      </c>
      <c r="H10" s="19" t="n"/>
      <c r="I10" t="n">
        <v>1000</v>
      </c>
      <c r="N10" s="19" t="n"/>
      <c r="Q10" s="19" t="inlineStr">
        <is>
          <t>2</t>
        </is>
      </c>
      <c r="R10" t="inlineStr">
        <is>
          <t>2026-08-08</t>
        </is>
      </c>
      <c r="T10" s="19" t="inlineStr">
        <is>
          <t>4000301</t>
        </is>
      </c>
      <c r="U10" t="inlineStr">
        <is>
          <t>SOURCE_ERP=4000301 | SRC=Mamul Ambalaj Bileşen Listesi-30.07.2026(3).xlsx</t>
        </is>
      </c>
      <c r="V10" t="inlineStr">
        <is>
          <t>2026-08-10T19:29:54Z</t>
        </is>
      </c>
      <c r="W10" t="inlineStr">
        <is>
          <t>2026-08-10T19:29:54Z</t>
        </is>
      </c>
    </row>
    <row r="11">
      <c r="A11" s="19" t="inlineStr">
        <is>
          <t>10</t>
        </is>
      </c>
      <c r="B11" s="19" t="inlineStr">
        <is>
          <t>4000350</t>
        </is>
      </c>
      <c r="C11" t="inlineStr">
        <is>
          <t>PALET STANDART 100*90 CM</t>
        </is>
      </c>
      <c r="D11" s="19" t="inlineStr">
        <is>
          <t>14</t>
        </is>
      </c>
      <c r="E11" s="19" t="inlineStr">
        <is>
          <t>3</t>
        </is>
      </c>
      <c r="F11" s="19" t="inlineStr">
        <is>
          <t>3</t>
        </is>
      </c>
      <c r="G11" s="19" t="inlineStr">
        <is>
          <t>1</t>
        </is>
      </c>
      <c r="H11" s="19" t="n"/>
      <c r="I11" t="n">
        <v>20000</v>
      </c>
      <c r="N11" s="19" t="n"/>
      <c r="Q11" s="19" t="inlineStr">
        <is>
          <t>2</t>
        </is>
      </c>
      <c r="R11" t="inlineStr">
        <is>
          <t>2026-08-08</t>
        </is>
      </c>
      <c r="T11" s="19" t="inlineStr">
        <is>
          <t>4000350</t>
        </is>
      </c>
      <c r="U11" t="inlineStr">
        <is>
          <t>SOURCE_ERP=4000350 | SRC=Mamul Ambalaj Bileşen Listesi-30.07.2026(3).xlsx</t>
        </is>
      </c>
      <c r="V11" t="inlineStr">
        <is>
          <t>2026-08-10T19:29:54Z</t>
        </is>
      </c>
      <c r="W11" t="inlineStr">
        <is>
          <t>2026-08-10T19:29:54Z</t>
        </is>
      </c>
    </row>
    <row r="12">
      <c r="A12" s="19" t="inlineStr">
        <is>
          <t>11</t>
        </is>
      </c>
      <c r="B12" s="19" t="inlineStr">
        <is>
          <t>4000370</t>
        </is>
      </c>
      <c r="C12" t="inlineStr">
        <is>
          <t>STRAFOR,1050*1000*40,TABAKA,STANDART</t>
        </is>
      </c>
      <c r="D12" s="19" t="inlineStr">
        <is>
          <t>14</t>
        </is>
      </c>
      <c r="E12" s="19" t="inlineStr">
        <is>
          <t>3</t>
        </is>
      </c>
      <c r="F12" s="19" t="inlineStr">
        <is>
          <t>3</t>
        </is>
      </c>
      <c r="G12" s="19" t="inlineStr">
        <is>
          <t>1</t>
        </is>
      </c>
      <c r="H12" s="19" t="n"/>
      <c r="I12" t="n">
        <v>104</v>
      </c>
      <c r="N12" s="19" t="n"/>
      <c r="Q12" s="19" t="inlineStr">
        <is>
          <t>2</t>
        </is>
      </c>
      <c r="R12" t="inlineStr">
        <is>
          <t>2026-08-08</t>
        </is>
      </c>
      <c r="T12" s="19" t="inlineStr">
        <is>
          <t>4000370</t>
        </is>
      </c>
      <c r="U12" t="inlineStr">
        <is>
          <t>SOURCE_ERP=4000370 | SRC=Mamul Ambalaj Bileşen Listesi-30.07.2026(3).xlsx</t>
        </is>
      </c>
      <c r="V12" t="inlineStr">
        <is>
          <t>2026-08-10T19:29:54Z</t>
        </is>
      </c>
      <c r="W12" t="inlineStr">
        <is>
          <t>2026-08-10T19:29:54Z</t>
        </is>
      </c>
    </row>
    <row r="13">
      <c r="A13" s="19" t="inlineStr">
        <is>
          <t>12</t>
        </is>
      </c>
      <c r="B13" s="19" t="inlineStr">
        <is>
          <t>4000440</t>
        </is>
      </c>
      <c r="C13" t="inlineStr">
        <is>
          <t>D26,VAKUM PVC,ÜST KAPAK</t>
        </is>
      </c>
      <c r="D13" s="19" t="inlineStr">
        <is>
          <t>14</t>
        </is>
      </c>
      <c r="E13" s="19" t="inlineStr">
        <is>
          <t>3</t>
        </is>
      </c>
      <c r="F13" s="19" t="inlineStr">
        <is>
          <t>3</t>
        </is>
      </c>
      <c r="G13" s="19" t="inlineStr">
        <is>
          <t>1</t>
        </is>
      </c>
      <c r="H13" s="19" t="n"/>
      <c r="I13" t="n">
        <v>64</v>
      </c>
      <c r="N13" s="19" t="n"/>
      <c r="Q13" s="19" t="inlineStr">
        <is>
          <t>2</t>
        </is>
      </c>
      <c r="R13" t="inlineStr">
        <is>
          <t>2026-08-08</t>
        </is>
      </c>
      <c r="T13" s="19" t="inlineStr">
        <is>
          <t>4000440</t>
        </is>
      </c>
      <c r="U13" t="inlineStr">
        <is>
          <t>SOURCE_ERP=4000440 | SRC=Mamul Ambalaj Bileşen Listesi-30.07.2026(3).xlsx</t>
        </is>
      </c>
      <c r="V13" t="inlineStr">
        <is>
          <t>2026-08-10T19:29:54Z</t>
        </is>
      </c>
      <c r="W13" t="inlineStr">
        <is>
          <t>2026-08-10T19:29:54Z</t>
        </is>
      </c>
    </row>
    <row r="14">
      <c r="A14" s="19" t="inlineStr">
        <is>
          <t>13</t>
        </is>
      </c>
      <c r="B14" s="19" t="inlineStr">
        <is>
          <t>4000450</t>
        </is>
      </c>
      <c r="C14" t="inlineStr">
        <is>
          <t>SIGNODE ÇEMBER 1260 2000M 3000N 12.0X0.6</t>
        </is>
      </c>
      <c r="D14" s="19" t="inlineStr">
        <is>
          <t>14</t>
        </is>
      </c>
      <c r="E14" s="19" t="inlineStr">
        <is>
          <t>3</t>
        </is>
      </c>
      <c r="F14" s="19" t="inlineStr">
        <is>
          <t>3</t>
        </is>
      </c>
      <c r="G14" s="19" t="inlineStr">
        <is>
          <t>1</t>
        </is>
      </c>
      <c r="H14" s="19" t="n"/>
      <c r="I14" t="n">
        <v>12.4</v>
      </c>
      <c r="N14" s="19" t="n"/>
      <c r="Q14" s="19" t="inlineStr">
        <is>
          <t>2</t>
        </is>
      </c>
      <c r="R14" t="inlineStr">
        <is>
          <t>2026-08-08</t>
        </is>
      </c>
      <c r="T14" s="19" t="inlineStr">
        <is>
          <t>4000450</t>
        </is>
      </c>
      <c r="U14" t="inlineStr">
        <is>
          <t>SOURCE_ERP=4000450 | SRC=Mamul Ambalaj Bileşen Listesi-30.07.2026(3).xlsx</t>
        </is>
      </c>
      <c r="V14" t="inlineStr">
        <is>
          <t>2026-08-10T19:29:54Z</t>
        </is>
      </c>
      <c r="W14" t="inlineStr">
        <is>
          <t>2026-08-10T19:29:54Z</t>
        </is>
      </c>
    </row>
    <row r="15">
      <c r="A15" s="19" t="inlineStr">
        <is>
          <t>14</t>
        </is>
      </c>
      <c r="B15" s="19" t="inlineStr">
        <is>
          <t>4000461</t>
        </is>
      </c>
      <c r="C15" t="inlineStr">
        <is>
          <t>D23,VAKUM PVC ,ÜST KAPAK</t>
        </is>
      </c>
      <c r="D15" s="19" t="inlineStr">
        <is>
          <t>14</t>
        </is>
      </c>
      <c r="E15" s="19" t="inlineStr">
        <is>
          <t>3</t>
        </is>
      </c>
      <c r="F15" s="19" t="inlineStr">
        <is>
          <t>3</t>
        </is>
      </c>
      <c r="G15" s="19" t="inlineStr">
        <is>
          <t>1</t>
        </is>
      </c>
      <c r="H15" s="19" t="n"/>
      <c r="I15" t="n">
        <v>51.07</v>
      </c>
      <c r="N15" s="19" t="n"/>
      <c r="Q15" s="19" t="inlineStr">
        <is>
          <t>2</t>
        </is>
      </c>
      <c r="R15" t="inlineStr">
        <is>
          <t>2026-08-08</t>
        </is>
      </c>
      <c r="T15" s="19" t="inlineStr">
        <is>
          <t>4000461</t>
        </is>
      </c>
      <c r="U15" t="inlineStr">
        <is>
          <t>SOURCE_ERP=4000461 | SRC=Mamul Ambalaj Bileşen Listesi-30.07.2026(3).xlsx</t>
        </is>
      </c>
      <c r="V15" t="inlineStr">
        <is>
          <t>2026-08-10T19:29:54Z</t>
        </is>
      </c>
      <c r="W15" t="inlineStr">
        <is>
          <t>2026-08-10T19:29:54Z</t>
        </is>
      </c>
    </row>
    <row r="16">
      <c r="A16" s="19" t="inlineStr">
        <is>
          <t>15</t>
        </is>
      </c>
      <c r="B16" s="19" t="inlineStr">
        <is>
          <t>4000490</t>
        </is>
      </c>
      <c r="C16" t="inlineStr">
        <is>
          <t>D20,VAKUM PVC ,ÜST KAPAK</t>
        </is>
      </c>
      <c r="D16" s="19" t="inlineStr">
        <is>
          <t>14</t>
        </is>
      </c>
      <c r="E16" s="19" t="inlineStr">
        <is>
          <t>3</t>
        </is>
      </c>
      <c r="F16" s="19" t="inlineStr">
        <is>
          <t>3</t>
        </is>
      </c>
      <c r="G16" s="19" t="inlineStr">
        <is>
          <t>1</t>
        </is>
      </c>
      <c r="H16" s="19" t="n"/>
      <c r="I16" t="n">
        <v>0.61</v>
      </c>
      <c r="N16" s="19" t="n"/>
      <c r="Q16" s="19" t="inlineStr">
        <is>
          <t>2</t>
        </is>
      </c>
      <c r="R16" t="inlineStr">
        <is>
          <t>2026-08-08</t>
        </is>
      </c>
      <c r="T16" s="19" t="inlineStr">
        <is>
          <t>4000490</t>
        </is>
      </c>
      <c r="U16" t="inlineStr">
        <is>
          <t>SOURCE_ERP=4000490 | SRC=Mamul Ambalaj Bileşen Listesi-30.07.2026(3).xlsx</t>
        </is>
      </c>
      <c r="V16" t="inlineStr">
        <is>
          <t>2026-08-10T19:29:54Z</t>
        </is>
      </c>
      <c r="W16" t="inlineStr">
        <is>
          <t>2026-08-10T19:29:54Z</t>
        </is>
      </c>
    </row>
    <row r="17">
      <c r="A17" s="19" t="inlineStr">
        <is>
          <t>16</t>
        </is>
      </c>
      <c r="B17" s="19" t="inlineStr">
        <is>
          <t>4000491</t>
        </is>
      </c>
      <c r="C17" t="inlineStr">
        <is>
          <t>AMBALAJ,OSB,81*122</t>
        </is>
      </c>
      <c r="D17" s="19" t="inlineStr">
        <is>
          <t>14</t>
        </is>
      </c>
      <c r="E17" s="19" t="inlineStr">
        <is>
          <t>3</t>
        </is>
      </c>
      <c r="F17" s="19" t="inlineStr">
        <is>
          <t>3</t>
        </is>
      </c>
      <c r="G17" s="19" t="inlineStr">
        <is>
          <t>1</t>
        </is>
      </c>
      <c r="H17" s="19" t="n"/>
      <c r="I17" t="n">
        <v>7000</v>
      </c>
      <c r="N17" s="19" t="n"/>
      <c r="Q17" s="19" t="inlineStr">
        <is>
          <t>2</t>
        </is>
      </c>
      <c r="R17" t="inlineStr">
        <is>
          <t>2026-08-08</t>
        </is>
      </c>
      <c r="T17" s="19" t="inlineStr">
        <is>
          <t>4000491</t>
        </is>
      </c>
      <c r="U17" t="inlineStr">
        <is>
          <t>SOURCE_ERP=4000491 | SRC=Mamul Ambalaj Bileşen Listesi-30.07.2026(3).xlsx</t>
        </is>
      </c>
      <c r="V17" t="inlineStr">
        <is>
          <t>2026-08-10T19:29:54Z</t>
        </is>
      </c>
      <c r="W17" t="inlineStr">
        <is>
          <t>2026-08-10T19:29:54Z</t>
        </is>
      </c>
    </row>
    <row r="18">
      <c r="A18" s="19" t="inlineStr">
        <is>
          <t>17</t>
        </is>
      </c>
      <c r="B18" s="19" t="inlineStr">
        <is>
          <t>4000493</t>
        </is>
      </c>
      <c r="C18" t="inlineStr">
        <is>
          <t>TANK,VAKUM PVC ,ÜST KAPAK</t>
        </is>
      </c>
      <c r="D18" s="19" t="inlineStr">
        <is>
          <t>14</t>
        </is>
      </c>
      <c r="E18" s="19" t="inlineStr">
        <is>
          <t>3</t>
        </is>
      </c>
      <c r="F18" s="19" t="inlineStr">
        <is>
          <t>3</t>
        </is>
      </c>
      <c r="G18" s="19" t="inlineStr">
        <is>
          <t>1</t>
        </is>
      </c>
      <c r="H18" s="19" t="n"/>
      <c r="I18" t="n">
        <v>91.88</v>
      </c>
      <c r="N18" s="19" t="n"/>
      <c r="Q18" s="19" t="inlineStr">
        <is>
          <t>2</t>
        </is>
      </c>
      <c r="R18" t="inlineStr">
        <is>
          <t>2026-08-08</t>
        </is>
      </c>
      <c r="T18" s="19" t="inlineStr">
        <is>
          <t>4000493</t>
        </is>
      </c>
      <c r="U18" t="inlineStr">
        <is>
          <t>SOURCE_ERP=4000493 | SRC=Mamul Ambalaj Bileşen Listesi-30.07.2026(3).xlsx</t>
        </is>
      </c>
      <c r="V18" t="inlineStr">
        <is>
          <t>2026-08-10T19:29:54Z</t>
        </is>
      </c>
      <c r="W18" t="inlineStr">
        <is>
          <t>2026-08-10T19:29:54Z</t>
        </is>
      </c>
    </row>
    <row r="19">
      <c r="A19" s="19" t="inlineStr">
        <is>
          <t>18</t>
        </is>
      </c>
      <c r="B19" s="19" t="inlineStr">
        <is>
          <t>4000494</t>
        </is>
      </c>
      <c r="C19" t="inlineStr">
        <is>
          <t>TRAKTÖR,VAKUM PVC ,ÜST KAPAK</t>
        </is>
      </c>
      <c r="D19" s="19" t="inlineStr">
        <is>
          <t>14</t>
        </is>
      </c>
      <c r="E19" s="19" t="inlineStr">
        <is>
          <t>3</t>
        </is>
      </c>
      <c r="F19" s="19" t="inlineStr">
        <is>
          <t>3</t>
        </is>
      </c>
      <c r="G19" s="19" t="inlineStr">
        <is>
          <t>1</t>
        </is>
      </c>
      <c r="H19" s="19" t="n"/>
      <c r="I19" t="n">
        <v>80.68000000000001</v>
      </c>
      <c r="N19" s="19" t="n"/>
      <c r="Q19" s="19" t="inlineStr">
        <is>
          <t>2</t>
        </is>
      </c>
      <c r="R19" t="inlineStr">
        <is>
          <t>2026-08-08</t>
        </is>
      </c>
      <c r="T19" s="19" t="inlineStr">
        <is>
          <t>4000494</t>
        </is>
      </c>
      <c r="U19" t="inlineStr">
        <is>
          <t>SOURCE_ERP=4000494 | SRC=Mamul Ambalaj Bileşen Listesi-30.07.2026(3).xlsx</t>
        </is>
      </c>
      <c r="V19" t="inlineStr">
        <is>
          <t>2026-08-10T19:29:54Z</t>
        </is>
      </c>
      <c r="W19" t="inlineStr">
        <is>
          <t>2026-08-10T19:29:54Z</t>
        </is>
      </c>
    </row>
    <row r="20">
      <c r="A20" s="19" t="inlineStr">
        <is>
          <t>19</t>
        </is>
      </c>
      <c r="B20" s="19" t="inlineStr">
        <is>
          <t>4000554</t>
        </is>
      </c>
      <c r="C20" t="inlineStr">
        <is>
          <t>SHRINK,45CM,100MC</t>
        </is>
      </c>
      <c r="D20" s="19" t="inlineStr">
        <is>
          <t>14</t>
        </is>
      </c>
      <c r="E20" s="19" t="inlineStr">
        <is>
          <t>3</t>
        </is>
      </c>
      <c r="F20" s="19" t="inlineStr">
        <is>
          <t>3</t>
        </is>
      </c>
      <c r="G20" s="19" t="inlineStr">
        <is>
          <t>1</t>
        </is>
      </c>
      <c r="H20" s="19" t="n"/>
      <c r="I20" t="n">
        <v>1000</v>
      </c>
      <c r="N20" s="19" t="n"/>
      <c r="Q20" s="19" t="inlineStr">
        <is>
          <t>2</t>
        </is>
      </c>
      <c r="R20" t="inlineStr">
        <is>
          <t>2026-08-08</t>
        </is>
      </c>
      <c r="T20" s="19" t="inlineStr">
        <is>
          <t>4000554</t>
        </is>
      </c>
      <c r="U20" t="inlineStr">
        <is>
          <t>SOURCE_ERP=4000554 | SRC=Mamul Ambalaj Bileşen Listesi-30.07.2026(3).xlsx</t>
        </is>
      </c>
      <c r="V20" t="inlineStr">
        <is>
          <t>2026-08-10T19:29:54Z</t>
        </is>
      </c>
      <c r="W20" t="inlineStr">
        <is>
          <t>2026-08-10T19:29:54Z</t>
        </is>
      </c>
    </row>
    <row r="21">
      <c r="A21" s="19" t="inlineStr">
        <is>
          <t>20</t>
        </is>
      </c>
      <c r="B21" s="19" t="inlineStr">
        <is>
          <t>4000555</t>
        </is>
      </c>
      <c r="C21" t="inlineStr">
        <is>
          <t>SHRINK,30CM,100MC</t>
        </is>
      </c>
      <c r="D21" s="19" t="inlineStr">
        <is>
          <t>14</t>
        </is>
      </c>
      <c r="E21" s="19" t="inlineStr">
        <is>
          <t>3</t>
        </is>
      </c>
      <c r="F21" s="19" t="inlineStr">
        <is>
          <t>3</t>
        </is>
      </c>
      <c r="G21" s="19" t="inlineStr">
        <is>
          <t>1</t>
        </is>
      </c>
      <c r="H21" s="19" t="n"/>
      <c r="I21" t="n">
        <v>1000</v>
      </c>
      <c r="N21" s="19" t="n"/>
      <c r="Q21" s="19" t="inlineStr">
        <is>
          <t>2</t>
        </is>
      </c>
      <c r="R21" t="inlineStr">
        <is>
          <t>2026-08-08</t>
        </is>
      </c>
      <c r="T21" s="19" t="inlineStr">
        <is>
          <t>4000555</t>
        </is>
      </c>
      <c r="U21" t="inlineStr">
        <is>
          <t>SOURCE_ERP=4000555 | SRC=Mamul Ambalaj Bileşen Listesi-30.07.2026(3).xlsx</t>
        </is>
      </c>
      <c r="V21" t="inlineStr">
        <is>
          <t>2026-08-10T19:29:54Z</t>
        </is>
      </c>
      <c r="W21" t="inlineStr">
        <is>
          <t>2026-08-10T19:29:54Z</t>
        </is>
      </c>
    </row>
    <row r="22">
      <c r="A22" s="19" t="inlineStr">
        <is>
          <t>21</t>
        </is>
      </c>
      <c r="B22" s="19" t="inlineStr">
        <is>
          <t>4000556</t>
        </is>
      </c>
      <c r="C22" t="inlineStr">
        <is>
          <t>SHRINK,35CM,100MC</t>
        </is>
      </c>
      <c r="D22" s="19" t="inlineStr">
        <is>
          <t>14</t>
        </is>
      </c>
      <c r="E22" s="19" t="inlineStr">
        <is>
          <t>3</t>
        </is>
      </c>
      <c r="F22" s="19" t="inlineStr">
        <is>
          <t>3</t>
        </is>
      </c>
      <c r="G22" s="19" t="inlineStr">
        <is>
          <t>1</t>
        </is>
      </c>
      <c r="H22" s="19" t="n"/>
      <c r="I22" t="n">
        <v>1000</v>
      </c>
      <c r="N22" s="19" t="n"/>
      <c r="Q22" s="19" t="inlineStr">
        <is>
          <t>2</t>
        </is>
      </c>
      <c r="R22" t="inlineStr">
        <is>
          <t>2026-08-08</t>
        </is>
      </c>
      <c r="T22" s="19" t="inlineStr">
        <is>
          <t>4000556</t>
        </is>
      </c>
      <c r="U22" t="inlineStr">
        <is>
          <t>SOURCE_ERP=4000556 | SRC=Mamul Ambalaj Bileşen Listesi-30.07.2026(3).xlsx</t>
        </is>
      </c>
      <c r="V22" t="inlineStr">
        <is>
          <t>2026-08-10T19:29:54Z</t>
        </is>
      </c>
      <c r="W22" t="inlineStr">
        <is>
          <t>2026-08-10T19:29:54Z</t>
        </is>
      </c>
    </row>
    <row r="23">
      <c r="A23" s="19" t="inlineStr">
        <is>
          <t>22</t>
        </is>
      </c>
      <c r="B23" s="19" t="inlineStr">
        <is>
          <t>4000557</t>
        </is>
      </c>
      <c r="C23" t="inlineStr">
        <is>
          <t>SHRINK,65CM,100MC</t>
        </is>
      </c>
      <c r="D23" s="19" t="inlineStr">
        <is>
          <t>14</t>
        </is>
      </c>
      <c r="E23" s="19" t="inlineStr">
        <is>
          <t>3</t>
        </is>
      </c>
      <c r="F23" s="19" t="inlineStr">
        <is>
          <t>3</t>
        </is>
      </c>
      <c r="G23" s="19" t="inlineStr">
        <is>
          <t>1</t>
        </is>
      </c>
      <c r="H23" s="19" t="n"/>
      <c r="I23" t="n">
        <v>1000</v>
      </c>
      <c r="N23" s="19" t="n"/>
      <c r="Q23" s="19" t="inlineStr">
        <is>
          <t>2</t>
        </is>
      </c>
      <c r="R23" t="inlineStr">
        <is>
          <t>2026-08-08</t>
        </is>
      </c>
      <c r="T23" s="19" t="inlineStr">
        <is>
          <t>4000557</t>
        </is>
      </c>
      <c r="U23" t="inlineStr">
        <is>
          <t>SOURCE_ERP=4000557 | SRC=Mamul Ambalaj Bileşen Listesi-30.07.2026(3).xlsx</t>
        </is>
      </c>
      <c r="V23" t="inlineStr">
        <is>
          <t>2026-08-10T19:29:54Z</t>
        </is>
      </c>
      <c r="W23" t="inlineStr">
        <is>
          <t>2026-08-10T19:29:54Z</t>
        </is>
      </c>
    </row>
    <row r="24">
      <c r="A24" s="19" t="inlineStr">
        <is>
          <t>23</t>
        </is>
      </c>
      <c r="B24" s="19" t="inlineStr">
        <is>
          <t>4000558</t>
        </is>
      </c>
      <c r="C24" t="inlineStr">
        <is>
          <t>SHRINK,40CM,100MC</t>
        </is>
      </c>
      <c r="D24" s="19" t="inlineStr">
        <is>
          <t>14</t>
        </is>
      </c>
      <c r="E24" s="19" t="inlineStr">
        <is>
          <t>3</t>
        </is>
      </c>
      <c r="F24" s="19" t="inlineStr">
        <is>
          <t>3</t>
        </is>
      </c>
      <c r="G24" s="19" t="inlineStr">
        <is>
          <t>1</t>
        </is>
      </c>
      <c r="H24" s="19" t="n"/>
      <c r="I24" t="n">
        <v>1000</v>
      </c>
      <c r="N24" s="19" t="n"/>
      <c r="Q24" s="19" t="inlineStr">
        <is>
          <t>2</t>
        </is>
      </c>
      <c r="R24" t="inlineStr">
        <is>
          <t>2026-08-08</t>
        </is>
      </c>
      <c r="T24" s="19" t="inlineStr">
        <is>
          <t>4000558</t>
        </is>
      </c>
      <c r="U24" t="inlineStr">
        <is>
          <t>SOURCE_ERP=4000558 | SRC=Mamul Ambalaj Bileşen Listesi-30.07.2026(3).xlsx</t>
        </is>
      </c>
      <c r="V24" t="inlineStr">
        <is>
          <t>2026-08-10T19:29:54Z</t>
        </is>
      </c>
      <c r="W24" t="inlineStr">
        <is>
          <t>2026-08-10T19:29:54Z</t>
        </is>
      </c>
    </row>
    <row r="25">
      <c r="A25" s="19" t="inlineStr">
        <is>
          <t>24</t>
        </is>
      </c>
      <c r="B25" s="19" t="inlineStr">
        <is>
          <t>4000573</t>
        </is>
      </c>
      <c r="C25" t="inlineStr">
        <is>
          <t>STRAFOR,ÇUBUK,4*5*110 cm</t>
        </is>
      </c>
      <c r="D25" s="19" t="inlineStr">
        <is>
          <t>14</t>
        </is>
      </c>
      <c r="E25" s="19" t="inlineStr">
        <is>
          <t>3</t>
        </is>
      </c>
      <c r="F25" s="19" t="inlineStr">
        <is>
          <t>3</t>
        </is>
      </c>
      <c r="G25" s="19" t="inlineStr">
        <is>
          <t>1</t>
        </is>
      </c>
      <c r="H25" s="19" t="n"/>
      <c r="I25" t="n">
        <v>52</v>
      </c>
      <c r="N25" s="19" t="n"/>
      <c r="Q25" s="19" t="inlineStr">
        <is>
          <t>2</t>
        </is>
      </c>
      <c r="R25" t="inlineStr">
        <is>
          <t>2026-08-08</t>
        </is>
      </c>
      <c r="T25" s="19" t="inlineStr">
        <is>
          <t>4000573</t>
        </is>
      </c>
      <c r="U25" t="inlineStr">
        <is>
          <t>SOURCE_ERP=4000573 | SRC=Mamul Ambalaj Bileşen Listesi-30.07.2026(3).xlsx</t>
        </is>
      </c>
      <c r="V25" t="inlineStr">
        <is>
          <t>2026-08-10T19:29:54Z</t>
        </is>
      </c>
      <c r="W25" t="inlineStr">
        <is>
          <t>2026-08-10T19:29:54Z</t>
        </is>
      </c>
    </row>
    <row r="26">
      <c r="A26" s="19" t="inlineStr">
        <is>
          <t>25</t>
        </is>
      </c>
      <c r="B26" s="19" t="inlineStr">
        <is>
          <t>4000590</t>
        </is>
      </c>
      <c r="C26" t="inlineStr">
        <is>
          <t>KARTON KÖŞEBENT,4cm*4cm*4*75cm,SEV.PLT</t>
        </is>
      </c>
      <c r="D26" s="19" t="inlineStr">
        <is>
          <t>14</t>
        </is>
      </c>
      <c r="E26" s="19" t="inlineStr">
        <is>
          <t>3</t>
        </is>
      </c>
      <c r="F26" s="19" t="inlineStr">
        <is>
          <t>3</t>
        </is>
      </c>
      <c r="G26" s="19" t="inlineStr">
        <is>
          <t>1</t>
        </is>
      </c>
      <c r="H26" s="19" t="n"/>
      <c r="I26" t="n">
        <v>100</v>
      </c>
      <c r="N26" s="19" t="n"/>
      <c r="Q26" s="19" t="inlineStr">
        <is>
          <t>2</t>
        </is>
      </c>
      <c r="R26" t="inlineStr">
        <is>
          <t>2026-08-08</t>
        </is>
      </c>
      <c r="T26" s="19" t="inlineStr">
        <is>
          <t>4000590</t>
        </is>
      </c>
      <c r="U26" t="inlineStr">
        <is>
          <t>SOURCE_ERP=4000590 | SRC=Mamul Ambalaj Bileşen Listesi-30.07.2026(3).xlsx</t>
        </is>
      </c>
      <c r="V26" t="inlineStr">
        <is>
          <t>2026-08-10T19:29:54Z</t>
        </is>
      </c>
      <c r="W26" t="inlineStr">
        <is>
          <t>2026-08-10T19:29:54Z</t>
        </is>
      </c>
    </row>
    <row r="27">
      <c r="A27" s="19" t="inlineStr">
        <is>
          <t>26</t>
        </is>
      </c>
      <c r="B27" s="19" t="inlineStr">
        <is>
          <t>4000591</t>
        </is>
      </c>
      <c r="C27" t="inlineStr">
        <is>
          <t>B TİPİ,VAKUM PVC ,ÜST KAPAK</t>
        </is>
      </c>
      <c r="D27" s="19" t="inlineStr">
        <is>
          <t>14</t>
        </is>
      </c>
      <c r="E27" s="19" t="inlineStr">
        <is>
          <t>3</t>
        </is>
      </c>
      <c r="F27" s="19" t="inlineStr">
        <is>
          <t>3</t>
        </is>
      </c>
      <c r="G27" s="19" t="inlineStr">
        <is>
          <t>1</t>
        </is>
      </c>
      <c r="H27" s="19" t="n"/>
      <c r="I27" t="n">
        <v>101.61</v>
      </c>
      <c r="N27" s="19" t="n"/>
      <c r="Q27" s="19" t="inlineStr">
        <is>
          <t>2</t>
        </is>
      </c>
      <c r="R27" t="inlineStr">
        <is>
          <t>2026-08-08</t>
        </is>
      </c>
      <c r="T27" s="19" t="inlineStr">
        <is>
          <t>4000591</t>
        </is>
      </c>
      <c r="U27" t="inlineStr">
        <is>
          <t>SOURCE_ERP=4000591 | SRC=Mamul Ambalaj Bileşen Listesi-30.07.2026(3).xlsx</t>
        </is>
      </c>
      <c r="V27" t="inlineStr">
        <is>
          <t>2026-08-10T19:29:54Z</t>
        </is>
      </c>
      <c r="W27" t="inlineStr">
        <is>
          <t>2026-08-10T19:29:54Z</t>
        </is>
      </c>
    </row>
    <row r="28">
      <c r="A28" s="19" t="inlineStr">
        <is>
          <t>27</t>
        </is>
      </c>
      <c r="B28" s="19" t="inlineStr">
        <is>
          <t>4000601</t>
        </is>
      </c>
      <c r="C28" t="inlineStr">
        <is>
          <t>NS40,VAKUM PVC,ÜST KAPAK</t>
        </is>
      </c>
      <c r="D28" s="19" t="inlineStr">
        <is>
          <t>14</t>
        </is>
      </c>
      <c r="E28" s="19" t="inlineStr">
        <is>
          <t>3</t>
        </is>
      </c>
      <c r="F28" s="19" t="inlineStr">
        <is>
          <t>3</t>
        </is>
      </c>
      <c r="G28" s="19" t="inlineStr">
        <is>
          <t>1</t>
        </is>
      </c>
      <c r="H28" s="19" t="n"/>
      <c r="I28" t="n">
        <v>36.73</v>
      </c>
      <c r="N28" s="19" t="n"/>
      <c r="Q28" s="19" t="inlineStr">
        <is>
          <t>2</t>
        </is>
      </c>
      <c r="R28" t="inlineStr">
        <is>
          <t>2026-08-08</t>
        </is>
      </c>
      <c r="T28" s="19" t="inlineStr">
        <is>
          <t>4000601</t>
        </is>
      </c>
      <c r="U28" t="inlineStr">
        <is>
          <t>SOURCE_ERP=4000601 | SRC=Mamul Ambalaj Bileşen Listesi-30.07.2026(3).xlsx</t>
        </is>
      </c>
      <c r="V28" t="inlineStr">
        <is>
          <t>2026-08-10T19:29:54Z</t>
        </is>
      </c>
      <c r="W28" t="inlineStr">
        <is>
          <t>2026-08-10T19:29:54Z</t>
        </is>
      </c>
    </row>
    <row r="29">
      <c r="A29" s="19" t="inlineStr">
        <is>
          <t>28</t>
        </is>
      </c>
      <c r="B29" s="19" t="inlineStr">
        <is>
          <t>4000602</t>
        </is>
      </c>
      <c r="C29" t="inlineStr">
        <is>
          <t>NS60,VAKUM PVC,ÜST KAPAK</t>
        </is>
      </c>
      <c r="D29" s="19" t="inlineStr">
        <is>
          <t>14</t>
        </is>
      </c>
      <c r="E29" s="19" t="inlineStr">
        <is>
          <t>3</t>
        </is>
      </c>
      <c r="F29" s="19" t="inlineStr">
        <is>
          <t>3</t>
        </is>
      </c>
      <c r="G29" s="19" t="inlineStr">
        <is>
          <t>1</t>
        </is>
      </c>
      <c r="H29" s="19" t="n"/>
      <c r="I29" t="n">
        <v>46.7</v>
      </c>
      <c r="N29" s="19" t="n"/>
      <c r="Q29" s="19" t="inlineStr">
        <is>
          <t>2</t>
        </is>
      </c>
      <c r="R29" t="inlineStr">
        <is>
          <t>2026-08-08</t>
        </is>
      </c>
      <c r="T29" s="19" t="inlineStr">
        <is>
          <t>4000602</t>
        </is>
      </c>
      <c r="U29" t="inlineStr">
        <is>
          <t>SOURCE_ERP=4000602 | SRC=Mamul Ambalaj Bileşen Listesi-30.07.2026(3).xlsx</t>
        </is>
      </c>
      <c r="V29" t="inlineStr">
        <is>
          <t>2026-08-10T19:29:54Z</t>
        </is>
      </c>
      <c r="W29" t="inlineStr">
        <is>
          <t>2026-08-10T19:29:54Z</t>
        </is>
      </c>
    </row>
    <row r="30">
      <c r="A30" s="19" t="inlineStr">
        <is>
          <t>29</t>
        </is>
      </c>
      <c r="B30" s="19" t="inlineStr">
        <is>
          <t>4000608</t>
        </is>
      </c>
      <c r="C30" t="inlineStr">
        <is>
          <t>SHRINK,50CM,100MC</t>
        </is>
      </c>
      <c r="D30" s="19" t="inlineStr">
        <is>
          <t>14</t>
        </is>
      </c>
      <c r="E30" s="19" t="inlineStr">
        <is>
          <t>3</t>
        </is>
      </c>
      <c r="F30" s="19" t="inlineStr">
        <is>
          <t>3</t>
        </is>
      </c>
      <c r="G30" s="19" t="inlineStr">
        <is>
          <t>1</t>
        </is>
      </c>
      <c r="H30" s="19" t="n"/>
      <c r="I30" t="n">
        <v>1000</v>
      </c>
      <c r="N30" s="19" t="n"/>
      <c r="Q30" s="19" t="inlineStr">
        <is>
          <t>2</t>
        </is>
      </c>
      <c r="R30" t="inlineStr">
        <is>
          <t>2026-08-08</t>
        </is>
      </c>
      <c r="T30" s="19" t="inlineStr">
        <is>
          <t>4000608</t>
        </is>
      </c>
      <c r="U30" t="inlineStr">
        <is>
          <t>SOURCE_ERP=4000608 | SRC=Mamul Ambalaj Bileşen Listesi-30.07.2026(3).xlsx</t>
        </is>
      </c>
      <c r="V30" t="inlineStr">
        <is>
          <t>2026-08-10T19:29:54Z</t>
        </is>
      </c>
      <c r="W30" t="inlineStr">
        <is>
          <t>2026-08-10T19:29:54Z</t>
        </is>
      </c>
    </row>
    <row r="31">
      <c r="A31" s="19" t="inlineStr">
        <is>
          <t>30</t>
        </is>
      </c>
      <c r="B31" s="19" t="inlineStr">
        <is>
          <t>4000609</t>
        </is>
      </c>
      <c r="C31" t="inlineStr">
        <is>
          <t>KARTON SEPERATÖR,80*117.5,EURO</t>
        </is>
      </c>
      <c r="D31" s="19" t="inlineStr">
        <is>
          <t>14</t>
        </is>
      </c>
      <c r="E31" s="19" t="inlineStr">
        <is>
          <t>3</t>
        </is>
      </c>
      <c r="F31" s="19" t="inlineStr">
        <is>
          <t>3</t>
        </is>
      </c>
      <c r="G31" s="19" t="inlineStr">
        <is>
          <t>1</t>
        </is>
      </c>
      <c r="H31" s="19" t="n"/>
      <c r="I31" t="n">
        <v>200</v>
      </c>
      <c r="N31" s="19" t="n"/>
      <c r="Q31" s="19" t="inlineStr">
        <is>
          <t>2</t>
        </is>
      </c>
      <c r="R31" t="inlineStr">
        <is>
          <t>2026-08-08</t>
        </is>
      </c>
      <c r="T31" s="19" t="inlineStr">
        <is>
          <t>4000609</t>
        </is>
      </c>
      <c r="U31" t="inlineStr">
        <is>
          <t>SOURCE_ERP=4000609 | SRC=Mamul Ambalaj Bileşen Listesi-30.07.2026(3).xlsx</t>
        </is>
      </c>
      <c r="V31" t="inlineStr">
        <is>
          <t>2026-08-10T19:29:54Z</t>
        </is>
      </c>
      <c r="W31" t="inlineStr">
        <is>
          <t>2026-08-10T19:29:54Z</t>
        </is>
      </c>
    </row>
    <row r="32">
      <c r="A32" s="19" t="inlineStr">
        <is>
          <t>31</t>
        </is>
      </c>
      <c r="B32" s="19" t="inlineStr">
        <is>
          <t>4000620</t>
        </is>
      </c>
      <c r="C32" t="inlineStr">
        <is>
          <t>NS40,VAKUM PVC,ÜST KAPAK KOLİ İÇİN</t>
        </is>
      </c>
      <c r="D32" s="19" t="inlineStr">
        <is>
          <t>14</t>
        </is>
      </c>
      <c r="E32" s="19" t="inlineStr">
        <is>
          <t>3</t>
        </is>
      </c>
      <c r="F32" s="19" t="inlineStr">
        <is>
          <t>3</t>
        </is>
      </c>
      <c r="G32" s="19" t="inlineStr">
        <is>
          <t>1</t>
        </is>
      </c>
      <c r="H32" s="19" t="n"/>
      <c r="I32" t="n">
        <v>36.73</v>
      </c>
      <c r="N32" s="19" t="n"/>
      <c r="Q32" s="19" t="inlineStr">
        <is>
          <t>2</t>
        </is>
      </c>
      <c r="R32" t="inlineStr">
        <is>
          <t>2026-08-08</t>
        </is>
      </c>
      <c r="T32" s="19" t="inlineStr">
        <is>
          <t>4000620</t>
        </is>
      </c>
      <c r="U32" t="inlineStr">
        <is>
          <t>SOURCE_ERP=4000620 | SRC=Mamul Ambalaj Bileşen Listesi-30.07.2026(3).xlsx</t>
        </is>
      </c>
      <c r="V32" t="inlineStr">
        <is>
          <t>2026-08-10T19:29:54Z</t>
        </is>
      </c>
      <c r="W32" t="inlineStr">
        <is>
          <t>2026-08-10T19:29:54Z</t>
        </is>
      </c>
    </row>
    <row r="33">
      <c r="A33" s="19" t="inlineStr">
        <is>
          <t>32</t>
        </is>
      </c>
      <c r="B33" s="19" t="inlineStr">
        <is>
          <t>4000621</t>
        </is>
      </c>
      <c r="C33" t="inlineStr">
        <is>
          <t>NS60,VAKUM PVC,ÜST KAPAK KOLİ İÇİN</t>
        </is>
      </c>
      <c r="D33" s="19" t="inlineStr">
        <is>
          <t>14</t>
        </is>
      </c>
      <c r="E33" s="19" t="inlineStr">
        <is>
          <t>3</t>
        </is>
      </c>
      <c r="F33" s="19" t="inlineStr">
        <is>
          <t>3</t>
        </is>
      </c>
      <c r="G33" s="19" t="inlineStr">
        <is>
          <t>1</t>
        </is>
      </c>
      <c r="H33" s="19" t="n"/>
      <c r="I33" t="n">
        <v>46.7</v>
      </c>
      <c r="N33" s="19" t="n"/>
      <c r="Q33" s="19" t="inlineStr">
        <is>
          <t>2</t>
        </is>
      </c>
      <c r="R33" t="inlineStr">
        <is>
          <t>2026-08-08</t>
        </is>
      </c>
      <c r="T33" s="19" t="inlineStr">
        <is>
          <t>4000621</t>
        </is>
      </c>
      <c r="U33" t="inlineStr">
        <is>
          <t>SOURCE_ERP=4000621 | SRC=Mamul Ambalaj Bileşen Listesi-30.07.2026(3).xlsx</t>
        </is>
      </c>
      <c r="V33" t="inlineStr">
        <is>
          <t>2026-08-10T19:29:54Z</t>
        </is>
      </c>
      <c r="W33" t="inlineStr">
        <is>
          <t>2026-08-10T19:29:54Z</t>
        </is>
      </c>
    </row>
    <row r="34">
      <c r="A34" s="19" t="inlineStr">
        <is>
          <t>33</t>
        </is>
      </c>
      <c r="B34" s="19" t="inlineStr">
        <is>
          <t>4000630</t>
        </is>
      </c>
      <c r="C34" t="inlineStr">
        <is>
          <t>KOLİ,NS40 EAS ACTIVA  PENCERESİZ,B00</t>
        </is>
      </c>
      <c r="D34" s="19" t="inlineStr">
        <is>
          <t>14</t>
        </is>
      </c>
      <c r="E34" s="19" t="inlineStr">
        <is>
          <t>3</t>
        </is>
      </c>
      <c r="F34" s="19" t="inlineStr">
        <is>
          <t>3</t>
        </is>
      </c>
      <c r="G34" s="19" t="inlineStr">
        <is>
          <t>1</t>
        </is>
      </c>
      <c r="H34" s="19" t="n"/>
      <c r="I34" t="n">
        <v>210</v>
      </c>
      <c r="N34" s="19" t="n"/>
      <c r="Q34" s="19" t="inlineStr">
        <is>
          <t>2</t>
        </is>
      </c>
      <c r="R34" t="inlineStr">
        <is>
          <t>2026-08-08</t>
        </is>
      </c>
      <c r="T34" s="19" t="inlineStr">
        <is>
          <t>4000630</t>
        </is>
      </c>
      <c r="U34" t="inlineStr">
        <is>
          <t>SOURCE_ERP=4000630 | SRC=Mamul Ambalaj Bileşen Listesi-30.07.2026(3).xlsx</t>
        </is>
      </c>
      <c r="V34" t="inlineStr">
        <is>
          <t>2026-08-10T19:29:54Z</t>
        </is>
      </c>
      <c r="W34" t="inlineStr">
        <is>
          <t>2026-08-10T19:29:54Z</t>
        </is>
      </c>
    </row>
    <row r="35">
      <c r="A35" s="19" t="inlineStr">
        <is>
          <t>34</t>
        </is>
      </c>
      <c r="B35" s="19" t="inlineStr">
        <is>
          <t>4000631</t>
        </is>
      </c>
      <c r="C35" t="inlineStr">
        <is>
          <t>KOLİ,NS60 EAS ACTIVA  PENCERESİZ</t>
        </is>
      </c>
      <c r="D35" s="19" t="inlineStr">
        <is>
          <t>14</t>
        </is>
      </c>
      <c r="E35" s="19" t="inlineStr">
        <is>
          <t>3</t>
        </is>
      </c>
      <c r="F35" s="19" t="inlineStr">
        <is>
          <t>3</t>
        </is>
      </c>
      <c r="G35" s="19" t="inlineStr">
        <is>
          <t>1</t>
        </is>
      </c>
      <c r="H35" s="19" t="n"/>
      <c r="I35" t="n">
        <v>190</v>
      </c>
      <c r="N35" s="19" t="n"/>
      <c r="Q35" s="19" t="inlineStr">
        <is>
          <t>2</t>
        </is>
      </c>
      <c r="R35" t="inlineStr">
        <is>
          <t>2026-08-08</t>
        </is>
      </c>
      <c r="T35" s="19" t="inlineStr">
        <is>
          <t>4000631</t>
        </is>
      </c>
      <c r="U35" t="inlineStr">
        <is>
          <t>SOURCE_ERP=4000631 | SRC=Mamul Ambalaj Bileşen Listesi-30.07.2026(3).xlsx</t>
        </is>
      </c>
      <c r="V35" t="inlineStr">
        <is>
          <t>2026-08-10T19:29:54Z</t>
        </is>
      </c>
      <c r="W35" t="inlineStr">
        <is>
          <t>2026-08-10T19:29:54Z</t>
        </is>
      </c>
    </row>
    <row r="36">
      <c r="A36" s="19" t="inlineStr">
        <is>
          <t>35</t>
        </is>
      </c>
      <c r="B36" s="19" t="inlineStr">
        <is>
          <t>4000644</t>
        </is>
      </c>
      <c r="C36" t="inlineStr">
        <is>
          <t>KOLİ,L2,EAS ACTIVA PENCERESİZ</t>
        </is>
      </c>
      <c r="D36" s="19" t="inlineStr">
        <is>
          <t>14</t>
        </is>
      </c>
      <c r="E36" s="19" t="inlineStr">
        <is>
          <t>3</t>
        </is>
      </c>
      <c r="F36" s="19" t="inlineStr">
        <is>
          <t>3</t>
        </is>
      </c>
      <c r="G36" s="19" t="inlineStr">
        <is>
          <t>1</t>
        </is>
      </c>
      <c r="H36" s="19" t="n"/>
      <c r="I36" t="n">
        <v>240</v>
      </c>
      <c r="N36" s="19" t="n"/>
      <c r="Q36" s="19" t="inlineStr">
        <is>
          <t>2</t>
        </is>
      </c>
      <c r="R36" t="inlineStr">
        <is>
          <t>2026-08-08</t>
        </is>
      </c>
      <c r="T36" s="19" t="inlineStr">
        <is>
          <t>4000644</t>
        </is>
      </c>
      <c r="U36" t="inlineStr">
        <is>
          <t>SOURCE_ERP=4000644 | SRC=Mamul Ambalaj Bileşen Listesi-30.07.2026(3).xlsx</t>
        </is>
      </c>
      <c r="V36" t="inlineStr">
        <is>
          <t>2026-08-10T19:29:54Z</t>
        </is>
      </c>
      <c r="W36" t="inlineStr">
        <is>
          <t>2026-08-10T19:29:54Z</t>
        </is>
      </c>
    </row>
    <row r="37">
      <c r="A37" s="19" t="inlineStr">
        <is>
          <t>36</t>
        </is>
      </c>
      <c r="B37" s="19" t="inlineStr">
        <is>
          <t>4000645</t>
        </is>
      </c>
      <c r="C37" t="inlineStr">
        <is>
          <t>KOLİ,L1 EAS ACTIVA PENCERESİZ</t>
        </is>
      </c>
      <c r="D37" s="19" t="inlineStr">
        <is>
          <t>14</t>
        </is>
      </c>
      <c r="E37" s="19" t="inlineStr">
        <is>
          <t>3</t>
        </is>
      </c>
      <c r="F37" s="19" t="inlineStr">
        <is>
          <t>3</t>
        </is>
      </c>
      <c r="G37" s="19" t="inlineStr">
        <is>
          <t>1</t>
        </is>
      </c>
      <c r="H37" s="19" t="n"/>
      <c r="I37" t="n">
        <v>250</v>
      </c>
      <c r="N37" s="19" t="n"/>
      <c r="Q37" s="19" t="inlineStr">
        <is>
          <t>2</t>
        </is>
      </c>
      <c r="R37" t="inlineStr">
        <is>
          <t>2026-08-08</t>
        </is>
      </c>
      <c r="T37" s="19" t="inlineStr">
        <is>
          <t>4000645</t>
        </is>
      </c>
      <c r="U37" t="inlineStr">
        <is>
          <t>SOURCE_ERP=4000645 | SRC=Mamul Ambalaj Bileşen Listesi-30.07.2026(3).xlsx</t>
        </is>
      </c>
      <c r="V37" t="inlineStr">
        <is>
          <t>2026-08-10T19:29:54Z</t>
        </is>
      </c>
      <c r="W37" t="inlineStr">
        <is>
          <t>2026-08-10T19:29:54Z</t>
        </is>
      </c>
    </row>
    <row r="38">
      <c r="A38" s="19" t="inlineStr">
        <is>
          <t>37</t>
        </is>
      </c>
      <c r="B38" s="19" t="inlineStr">
        <is>
          <t>4000646</t>
        </is>
      </c>
      <c r="C38" t="inlineStr">
        <is>
          <t>KOLİ,L3 EAS ACTIVA PENCERESİZ</t>
        </is>
      </c>
      <c r="D38" s="19" t="inlineStr">
        <is>
          <t>14</t>
        </is>
      </c>
      <c r="E38" s="19" t="inlineStr">
        <is>
          <t>3</t>
        </is>
      </c>
      <c r="F38" s="19" t="inlineStr">
        <is>
          <t>3</t>
        </is>
      </c>
      <c r="G38" s="19" t="inlineStr">
        <is>
          <t>1</t>
        </is>
      </c>
      <c r="H38" s="19" t="n"/>
      <c r="I38" t="n">
        <v>250</v>
      </c>
      <c r="N38" s="19" t="n"/>
      <c r="Q38" s="19" t="inlineStr">
        <is>
          <t>2</t>
        </is>
      </c>
      <c r="R38" t="inlineStr">
        <is>
          <t>2026-08-08</t>
        </is>
      </c>
      <c r="T38" s="19" t="inlineStr">
        <is>
          <t>4000646</t>
        </is>
      </c>
      <c r="U38" t="inlineStr">
        <is>
          <t>SOURCE_ERP=4000646 | SRC=Mamul Ambalaj Bileşen Listesi-30.07.2026(3).xlsx</t>
        </is>
      </c>
      <c r="V38" t="inlineStr">
        <is>
          <t>2026-08-10T19:29:54Z</t>
        </is>
      </c>
      <c r="W38" t="inlineStr">
        <is>
          <t>2026-08-10T19:29:54Z</t>
        </is>
      </c>
    </row>
    <row r="39">
      <c r="A39" s="19" t="inlineStr">
        <is>
          <t>38</t>
        </is>
      </c>
      <c r="B39" s="19" t="inlineStr">
        <is>
          <t>4000720</t>
        </is>
      </c>
      <c r="C39" t="inlineStr">
        <is>
          <t>A TİPİ VAKUM PVC ,ÜST KAPAK YENİ</t>
        </is>
      </c>
      <c r="D39" s="19" t="inlineStr">
        <is>
          <t>14</t>
        </is>
      </c>
      <c r="E39" s="19" t="inlineStr">
        <is>
          <t>3</t>
        </is>
      </c>
      <c r="F39" s="19" t="inlineStr">
        <is>
          <t>3</t>
        </is>
      </c>
      <c r="G39" s="19" t="inlineStr">
        <is>
          <t>1</t>
        </is>
      </c>
      <c r="H39" s="19" t="n"/>
      <c r="I39" t="n">
        <v>101.61</v>
      </c>
      <c r="N39" s="19" t="n"/>
      <c r="Q39" s="19" t="inlineStr">
        <is>
          <t>2</t>
        </is>
      </c>
      <c r="R39" t="inlineStr">
        <is>
          <t>2026-08-08</t>
        </is>
      </c>
      <c r="T39" s="19" t="inlineStr">
        <is>
          <t>4000720</t>
        </is>
      </c>
      <c r="U39" t="inlineStr">
        <is>
          <t>SOURCE_ERP=4000720 | SRC=Mamul Ambalaj Bileşen Listesi-30.07.2026(3).xlsx</t>
        </is>
      </c>
      <c r="V39" t="inlineStr">
        <is>
          <t>2026-08-10T19:29:54Z</t>
        </is>
      </c>
      <c r="W39" t="inlineStr">
        <is>
          <t>2026-08-10T19:29:54Z</t>
        </is>
      </c>
    </row>
    <row r="40">
      <c r="A40" s="19" t="inlineStr">
        <is>
          <t>39</t>
        </is>
      </c>
      <c r="B40" s="19" t="inlineStr">
        <is>
          <t>4000782</t>
        </is>
      </c>
      <c r="C40" t="inlineStr">
        <is>
          <t>KOLİ,D31 EAS ACTIV A PENCERESİZ</t>
        </is>
      </c>
      <c r="D40" s="19" t="inlineStr">
        <is>
          <t>14</t>
        </is>
      </c>
      <c r="E40" s="19" t="inlineStr">
        <is>
          <t>3</t>
        </is>
      </c>
      <c r="F40" s="19" t="inlineStr">
        <is>
          <t>3</t>
        </is>
      </c>
      <c r="G40" s="19" t="inlineStr">
        <is>
          <t>1</t>
        </is>
      </c>
      <c r="H40" s="19" t="n"/>
      <c r="I40" t="n">
        <v>290</v>
      </c>
      <c r="N40" s="19" t="n"/>
      <c r="Q40" s="19" t="inlineStr">
        <is>
          <t>2</t>
        </is>
      </c>
      <c r="R40" t="inlineStr">
        <is>
          <t>2026-08-08</t>
        </is>
      </c>
      <c r="T40" s="19" t="inlineStr">
        <is>
          <t>4000782</t>
        </is>
      </c>
      <c r="U40" t="inlineStr">
        <is>
          <t>SOURCE_ERP=4000782 | SRC=Mamul Ambalaj Bileşen Listesi-30.07.2026(3).xlsx</t>
        </is>
      </c>
      <c r="V40" t="inlineStr">
        <is>
          <t>2026-08-10T19:29:54Z</t>
        </is>
      </c>
      <c r="W40" t="inlineStr">
        <is>
          <t>2026-08-10T19:29:54Z</t>
        </is>
      </c>
    </row>
    <row r="41">
      <c r="A41" s="19" t="inlineStr">
        <is>
          <t>40</t>
        </is>
      </c>
      <c r="B41" s="19" t="inlineStr">
        <is>
          <t>4000865</t>
        </is>
      </c>
      <c r="C41" t="inlineStr">
        <is>
          <t>KOLİ,L3 HUGEL ULTRA PENCERESİZ 2013 TAS.</t>
        </is>
      </c>
      <c r="D41" s="19" t="inlineStr">
        <is>
          <t>14</t>
        </is>
      </c>
      <c r="E41" s="19" t="inlineStr">
        <is>
          <t>3</t>
        </is>
      </c>
      <c r="F41" s="19" t="inlineStr">
        <is>
          <t>3</t>
        </is>
      </c>
      <c r="G41" s="19" t="inlineStr">
        <is>
          <t>1</t>
        </is>
      </c>
      <c r="H41" s="19" t="n"/>
      <c r="I41" t="n">
        <v>250</v>
      </c>
      <c r="N41" s="19" t="n"/>
      <c r="Q41" s="19" t="inlineStr">
        <is>
          <t>2</t>
        </is>
      </c>
      <c r="R41" t="inlineStr">
        <is>
          <t>2026-08-08</t>
        </is>
      </c>
      <c r="T41" s="19" t="inlineStr">
        <is>
          <t>4000865</t>
        </is>
      </c>
      <c r="U41" t="inlineStr">
        <is>
          <t>SOURCE_ERP=4000865 | SRC=Mamul Ambalaj Bileşen Listesi-30.07.2026(3).xlsx</t>
        </is>
      </c>
      <c r="V41" t="inlineStr">
        <is>
          <t>2026-08-10T19:29:54Z</t>
        </is>
      </c>
      <c r="W41" t="inlineStr">
        <is>
          <t>2026-08-10T19:29:54Z</t>
        </is>
      </c>
    </row>
    <row r="42">
      <c r="A42" s="19" t="inlineStr">
        <is>
          <t>41</t>
        </is>
      </c>
      <c r="B42" s="19" t="inlineStr">
        <is>
          <t>4000973</t>
        </is>
      </c>
      <c r="C42" t="inlineStr">
        <is>
          <t>END PALET 1150*1300 MM</t>
        </is>
      </c>
      <c r="D42" s="19" t="inlineStr">
        <is>
          <t>14</t>
        </is>
      </c>
      <c r="E42" s="19" t="inlineStr">
        <is>
          <t>3</t>
        </is>
      </c>
      <c r="F42" s="19" t="inlineStr">
        <is>
          <t>3</t>
        </is>
      </c>
      <c r="G42" s="19" t="inlineStr">
        <is>
          <t>1</t>
        </is>
      </c>
      <c r="H42" s="19" t="n"/>
      <c r="I42" t="n">
        <v>31000</v>
      </c>
      <c r="N42" s="19" t="n"/>
      <c r="Q42" s="19" t="inlineStr">
        <is>
          <t>2</t>
        </is>
      </c>
      <c r="R42" t="inlineStr">
        <is>
          <t>2026-08-08</t>
        </is>
      </c>
      <c r="T42" s="19" t="inlineStr">
        <is>
          <t>4000973</t>
        </is>
      </c>
      <c r="U42" t="inlineStr">
        <is>
          <t>SOURCE_ERP=4000973 | SRC=Endüstriyel Ambalaj Miktarı Çalışması(5).xlsx</t>
        </is>
      </c>
      <c r="V42" t="inlineStr">
        <is>
          <t>2026-08-10T19:29:54Z</t>
        </is>
      </c>
      <c r="W42" t="inlineStr">
        <is>
          <t>2026-08-10T19:29:54Z</t>
        </is>
      </c>
    </row>
    <row r="43">
      <c r="A43" s="19" t="inlineStr">
        <is>
          <t>42</t>
        </is>
      </c>
      <c r="B43" s="19" t="inlineStr">
        <is>
          <t>4001005</t>
        </is>
      </c>
      <c r="C43" t="inlineStr">
        <is>
          <t>END PALET 800*1250</t>
        </is>
      </c>
      <c r="D43" s="19" t="inlineStr">
        <is>
          <t>14</t>
        </is>
      </c>
      <c r="E43" s="19" t="inlineStr">
        <is>
          <t>3</t>
        </is>
      </c>
      <c r="F43" s="19" t="inlineStr">
        <is>
          <t>3</t>
        </is>
      </c>
      <c r="G43" s="19" t="inlineStr">
        <is>
          <t>1</t>
        </is>
      </c>
      <c r="H43" s="19" t="n"/>
      <c r="I43" t="n">
        <v>26000</v>
      </c>
      <c r="N43" s="19" t="n"/>
      <c r="Q43" s="19" t="inlineStr">
        <is>
          <t>2</t>
        </is>
      </c>
      <c r="R43" t="inlineStr">
        <is>
          <t>2026-08-08</t>
        </is>
      </c>
      <c r="T43" s="19" t="inlineStr">
        <is>
          <t>4001005</t>
        </is>
      </c>
      <c r="U43" t="inlineStr">
        <is>
          <t>SOURCE_ERP=4001005 | SRC=Endüstriyel Ambalaj Miktarı Çalışması(5).xlsx</t>
        </is>
      </c>
      <c r="V43" t="inlineStr">
        <is>
          <t>2026-08-10T19:29:54Z</t>
        </is>
      </c>
      <c r="W43" t="inlineStr">
        <is>
          <t>2026-08-10T19:29:54Z</t>
        </is>
      </c>
    </row>
    <row r="44">
      <c r="A44" s="19" t="inlineStr">
        <is>
          <t>43</t>
        </is>
      </c>
      <c r="B44" s="19" t="inlineStr">
        <is>
          <t>4001006</t>
        </is>
      </c>
      <c r="C44" t="inlineStr">
        <is>
          <t>KOLİ,L5 EAS ACTIV A  PENCERESİZ</t>
        </is>
      </c>
      <c r="D44" s="19" t="inlineStr">
        <is>
          <t>14</t>
        </is>
      </c>
      <c r="E44" s="19" t="inlineStr">
        <is>
          <t>3</t>
        </is>
      </c>
      <c r="F44" s="19" t="inlineStr">
        <is>
          <t>3</t>
        </is>
      </c>
      <c r="G44" s="19" t="inlineStr">
        <is>
          <t>1</t>
        </is>
      </c>
      <c r="H44" s="19" t="n"/>
      <c r="I44" t="n">
        <v>330</v>
      </c>
      <c r="N44" s="19" t="n"/>
      <c r="Q44" s="19" t="inlineStr">
        <is>
          <t>2</t>
        </is>
      </c>
      <c r="R44" t="inlineStr">
        <is>
          <t>2026-08-08</t>
        </is>
      </c>
      <c r="T44" s="19" t="inlineStr">
        <is>
          <t>4001006</t>
        </is>
      </c>
      <c r="U44" t="inlineStr">
        <is>
          <t>SOURCE_ERP=4001006 | SRC=Mamul Ambalaj Bileşen Listesi-30.07.2026(3).xlsx</t>
        </is>
      </c>
      <c r="V44" t="inlineStr">
        <is>
          <t>2026-08-10T19:29:54Z</t>
        </is>
      </c>
      <c r="W44" t="inlineStr">
        <is>
          <t>2026-08-10T19:29:54Z</t>
        </is>
      </c>
    </row>
    <row r="45">
      <c r="A45" s="19" t="inlineStr">
        <is>
          <t>44</t>
        </is>
      </c>
      <c r="B45" s="19" t="inlineStr">
        <is>
          <t>4001010</t>
        </is>
      </c>
      <c r="C45" t="inlineStr">
        <is>
          <t>D26,VAKUM PVC ,ÜST KAPAK,KOLİ İÇİN</t>
        </is>
      </c>
      <c r="D45" s="19" t="inlineStr">
        <is>
          <t>14</t>
        </is>
      </c>
      <c r="E45" s="19" t="inlineStr">
        <is>
          <t>3</t>
        </is>
      </c>
      <c r="F45" s="19" t="inlineStr">
        <is>
          <t>3</t>
        </is>
      </c>
      <c r="G45" s="19" t="inlineStr">
        <is>
          <t>1</t>
        </is>
      </c>
      <c r="H45" s="19" t="n"/>
      <c r="I45" t="n">
        <v>64</v>
      </c>
      <c r="N45" s="19" t="n"/>
      <c r="Q45" s="19" t="inlineStr">
        <is>
          <t>2</t>
        </is>
      </c>
      <c r="R45" t="inlineStr">
        <is>
          <t>2026-08-08</t>
        </is>
      </c>
      <c r="T45" s="19" t="inlineStr">
        <is>
          <t>4001010</t>
        </is>
      </c>
      <c r="U45" t="inlineStr">
        <is>
          <t>SOURCE_ERP=4001010 | SRC=Mamul Ambalaj Bileşen Listesi-30.07.2026(3).xlsx</t>
        </is>
      </c>
      <c r="V45" t="inlineStr">
        <is>
          <t>2026-08-10T19:29:54Z</t>
        </is>
      </c>
      <c r="W45" t="inlineStr">
        <is>
          <t>2026-08-10T19:29:54Z</t>
        </is>
      </c>
    </row>
    <row r="46">
      <c r="A46" s="19" t="inlineStr">
        <is>
          <t>45</t>
        </is>
      </c>
      <c r="B46" s="19" t="inlineStr">
        <is>
          <t>4001102</t>
        </is>
      </c>
      <c r="C46" t="inlineStr">
        <is>
          <t>KOLİ,L2,YUASA,PENCERESİZ,ORTA DOĞU</t>
        </is>
      </c>
      <c r="D46" s="19" t="inlineStr">
        <is>
          <t>14</t>
        </is>
      </c>
      <c r="E46" s="19" t="inlineStr">
        <is>
          <t>3</t>
        </is>
      </c>
      <c r="F46" s="19" t="inlineStr">
        <is>
          <t>3</t>
        </is>
      </c>
      <c r="G46" s="19" t="inlineStr">
        <is>
          <t>1</t>
        </is>
      </c>
      <c r="H46" s="19" t="n"/>
      <c r="I46" t="n">
        <v>240</v>
      </c>
      <c r="N46" s="19" t="n"/>
      <c r="Q46" s="19" t="inlineStr">
        <is>
          <t>2</t>
        </is>
      </c>
      <c r="R46" t="inlineStr">
        <is>
          <t>2026-08-08</t>
        </is>
      </c>
      <c r="T46" s="19" t="inlineStr">
        <is>
          <t>4001102</t>
        </is>
      </c>
      <c r="U46" t="inlineStr">
        <is>
          <t>SOURCE_ERP=4001102 | SRC=Mamul Ambalaj Bileşen Listesi-30.07.2026(3).xlsx</t>
        </is>
      </c>
      <c r="V46" t="inlineStr">
        <is>
          <t>2026-08-10T19:29:54Z</t>
        </is>
      </c>
      <c r="W46" t="inlineStr">
        <is>
          <t>2026-08-10T19:29:54Z</t>
        </is>
      </c>
    </row>
    <row r="47">
      <c r="A47" s="19" t="inlineStr">
        <is>
          <t>46</t>
        </is>
      </c>
      <c r="B47" s="19" t="inlineStr">
        <is>
          <t>4001103</t>
        </is>
      </c>
      <c r="C47" t="inlineStr">
        <is>
          <t>KOLİ,L3,YUASA,PENCERESİZ,ORTA DOĞU</t>
        </is>
      </c>
      <c r="D47" s="19" t="inlineStr">
        <is>
          <t>14</t>
        </is>
      </c>
      <c r="E47" s="19" t="inlineStr">
        <is>
          <t>3</t>
        </is>
      </c>
      <c r="F47" s="19" t="inlineStr">
        <is>
          <t>3</t>
        </is>
      </c>
      <c r="G47" s="19" t="inlineStr">
        <is>
          <t>1</t>
        </is>
      </c>
      <c r="H47" s="19" t="n"/>
      <c r="I47" t="n">
        <v>250</v>
      </c>
      <c r="N47" s="19" t="n"/>
      <c r="Q47" s="19" t="inlineStr">
        <is>
          <t>2</t>
        </is>
      </c>
      <c r="R47" t="inlineStr">
        <is>
          <t>2026-08-08</t>
        </is>
      </c>
      <c r="T47" s="19" t="inlineStr">
        <is>
          <t>4001103</t>
        </is>
      </c>
      <c r="U47" t="inlineStr">
        <is>
          <t>SOURCE_ERP=4001103 | SRC=Mamul Ambalaj Bileşen Listesi-30.07.2026(3).xlsx</t>
        </is>
      </c>
      <c r="V47" t="inlineStr">
        <is>
          <t>2026-08-10T19:29:54Z</t>
        </is>
      </c>
      <c r="W47" t="inlineStr">
        <is>
          <t>2026-08-10T19:29:54Z</t>
        </is>
      </c>
    </row>
    <row r="48">
      <c r="A48" s="19" t="inlineStr">
        <is>
          <t>47</t>
        </is>
      </c>
      <c r="B48" s="19" t="inlineStr">
        <is>
          <t>4001104</t>
        </is>
      </c>
      <c r="C48" t="inlineStr">
        <is>
          <t>KOLİ,LB4,YUASA,PENCERESİZ,ORTA DOĞU</t>
        </is>
      </c>
      <c r="D48" s="19" t="inlineStr">
        <is>
          <t>14</t>
        </is>
      </c>
      <c r="E48" s="19" t="inlineStr">
        <is>
          <t>3</t>
        </is>
      </c>
      <c r="F48" s="19" t="inlineStr">
        <is>
          <t>3</t>
        </is>
      </c>
      <c r="G48" s="19" t="inlineStr">
        <is>
          <t>1</t>
        </is>
      </c>
      <c r="H48" s="19" t="n"/>
      <c r="I48" t="n">
        <v>270</v>
      </c>
      <c r="N48" s="19" t="n"/>
      <c r="Q48" s="19" t="inlineStr">
        <is>
          <t>2</t>
        </is>
      </c>
      <c r="R48" t="inlineStr">
        <is>
          <t>2026-08-08</t>
        </is>
      </c>
      <c r="T48" s="19" t="inlineStr">
        <is>
          <t>4001104</t>
        </is>
      </c>
      <c r="U48" t="inlineStr">
        <is>
          <t>SOURCE_ERP=4001104 | SRC=Mamul Ambalaj Bileşen Listesi-30.07.2026(3).xlsx</t>
        </is>
      </c>
      <c r="V48" t="inlineStr">
        <is>
          <t>2026-08-10T19:29:54Z</t>
        </is>
      </c>
      <c r="W48" t="inlineStr">
        <is>
          <t>2026-08-10T19:29:54Z</t>
        </is>
      </c>
    </row>
    <row r="49">
      <c r="A49" s="19" t="inlineStr">
        <is>
          <t>48</t>
        </is>
      </c>
      <c r="B49" s="19" t="inlineStr">
        <is>
          <t>4001105</t>
        </is>
      </c>
      <c r="C49" t="inlineStr">
        <is>
          <t>KOLİ,L5,YUASA,PENCERESİZ,ORTA DOĞU</t>
        </is>
      </c>
      <c r="D49" s="19" t="inlineStr">
        <is>
          <t>14</t>
        </is>
      </c>
      <c r="E49" s="19" t="inlineStr">
        <is>
          <t>3</t>
        </is>
      </c>
      <c r="F49" s="19" t="inlineStr">
        <is>
          <t>3</t>
        </is>
      </c>
      <c r="G49" s="19" t="inlineStr">
        <is>
          <t>1</t>
        </is>
      </c>
      <c r="H49" s="19" t="n"/>
      <c r="I49" t="n">
        <v>330</v>
      </c>
      <c r="N49" s="19" t="n"/>
      <c r="Q49" s="19" t="inlineStr">
        <is>
          <t>2</t>
        </is>
      </c>
      <c r="R49" t="inlineStr">
        <is>
          <t>2026-08-08</t>
        </is>
      </c>
      <c r="T49" s="19" t="inlineStr">
        <is>
          <t>4001105</t>
        </is>
      </c>
      <c r="U49" t="inlineStr">
        <is>
          <t>SOURCE_ERP=4001105 | SRC=Mamul Ambalaj Bileşen Listesi-30.07.2026(3).xlsx</t>
        </is>
      </c>
      <c r="V49" t="inlineStr">
        <is>
          <t>2026-08-10T19:29:54Z</t>
        </is>
      </c>
      <c r="W49" t="inlineStr">
        <is>
          <t>2026-08-10T19:29:54Z</t>
        </is>
      </c>
    </row>
    <row r="50">
      <c r="A50" s="19" t="inlineStr">
        <is>
          <t>49</t>
        </is>
      </c>
      <c r="B50" s="19" t="inlineStr">
        <is>
          <t>4001106</t>
        </is>
      </c>
      <c r="C50" t="inlineStr">
        <is>
          <t>KOLİ,D23,YUASA,PENCERESİZ,ORTA DOĞU</t>
        </is>
      </c>
      <c r="D50" s="19" t="inlineStr">
        <is>
          <t>14</t>
        </is>
      </c>
      <c r="E50" s="19" t="inlineStr">
        <is>
          <t>3</t>
        </is>
      </c>
      <c r="F50" s="19" t="inlineStr">
        <is>
          <t>3</t>
        </is>
      </c>
      <c r="G50" s="19" t="inlineStr">
        <is>
          <t>1</t>
        </is>
      </c>
      <c r="H50" s="19" t="n"/>
      <c r="I50" t="n">
        <v>240</v>
      </c>
      <c r="N50" s="19" t="n"/>
      <c r="Q50" s="19" t="inlineStr">
        <is>
          <t>2</t>
        </is>
      </c>
      <c r="R50" t="inlineStr">
        <is>
          <t>2026-08-08</t>
        </is>
      </c>
      <c r="T50" s="19" t="inlineStr">
        <is>
          <t>4001106</t>
        </is>
      </c>
      <c r="U50" t="inlineStr">
        <is>
          <t>SOURCE_ERP=4001106 | SRC=Mamul Ambalaj Bileşen Listesi-30.07.2026(3).xlsx</t>
        </is>
      </c>
      <c r="V50" t="inlineStr">
        <is>
          <t>2026-08-10T19:29:54Z</t>
        </is>
      </c>
      <c r="W50" t="inlineStr">
        <is>
          <t>2026-08-10T19:29:54Z</t>
        </is>
      </c>
    </row>
    <row r="51">
      <c r="A51" s="19" t="inlineStr">
        <is>
          <t>50</t>
        </is>
      </c>
      <c r="B51" s="19" t="inlineStr">
        <is>
          <t>4001108</t>
        </is>
      </c>
      <c r="C51" t="inlineStr">
        <is>
          <t>KOLİ,D31,YUASA,PENCERESİZ,ORTA DOĞU</t>
        </is>
      </c>
      <c r="D51" s="19" t="inlineStr">
        <is>
          <t>14</t>
        </is>
      </c>
      <c r="E51" s="19" t="inlineStr">
        <is>
          <t>3</t>
        </is>
      </c>
      <c r="F51" s="19" t="inlineStr">
        <is>
          <t>3</t>
        </is>
      </c>
      <c r="G51" s="19" t="inlineStr">
        <is>
          <t>1</t>
        </is>
      </c>
      <c r="H51" s="19" t="n"/>
      <c r="I51" t="n">
        <v>290</v>
      </c>
      <c r="N51" s="19" t="n"/>
      <c r="Q51" s="19" t="inlineStr">
        <is>
          <t>2</t>
        </is>
      </c>
      <c r="R51" t="inlineStr">
        <is>
          <t>2026-08-08</t>
        </is>
      </c>
      <c r="T51" s="19" t="inlineStr">
        <is>
          <t>4001108</t>
        </is>
      </c>
      <c r="U51" t="inlineStr">
        <is>
          <t>SOURCE_ERP=4001108 | SRC=Mamul Ambalaj Bileşen Listesi-30.07.2026(3).xlsx</t>
        </is>
      </c>
      <c r="V51" t="inlineStr">
        <is>
          <t>2026-08-10T19:29:54Z</t>
        </is>
      </c>
      <c r="W51" t="inlineStr">
        <is>
          <t>2026-08-10T19:29:54Z</t>
        </is>
      </c>
    </row>
    <row r="52">
      <c r="A52" s="19" t="inlineStr">
        <is>
          <t>51</t>
        </is>
      </c>
      <c r="B52" s="19" t="inlineStr">
        <is>
          <t>4001160</t>
        </is>
      </c>
      <c r="C52" t="inlineStr">
        <is>
          <t>KARTON KÖŞEBENT,6cm*6cm*6*70cm,SEV.PLT</t>
        </is>
      </c>
      <c r="D52" s="19" t="inlineStr">
        <is>
          <t>14</t>
        </is>
      </c>
      <c r="E52" s="19" t="inlineStr">
        <is>
          <t>3</t>
        </is>
      </c>
      <c r="F52" s="19" t="inlineStr">
        <is>
          <t>3</t>
        </is>
      </c>
      <c r="G52" s="19" t="inlineStr">
        <is>
          <t>1</t>
        </is>
      </c>
      <c r="H52" s="19" t="n"/>
      <c r="I52" t="n">
        <v>30</v>
      </c>
      <c r="N52" s="19" t="n"/>
      <c r="Q52" s="19" t="inlineStr">
        <is>
          <t>2</t>
        </is>
      </c>
      <c r="R52" t="inlineStr">
        <is>
          <t>2026-08-08</t>
        </is>
      </c>
      <c r="T52" s="19" t="inlineStr">
        <is>
          <t>4001160</t>
        </is>
      </c>
      <c r="U52" t="inlineStr">
        <is>
          <t>SOURCE_ERP=4001160 | SRC=Mamul Ambalaj Bileşen Listesi-30.07.2026(3).xlsx</t>
        </is>
      </c>
      <c r="V52" t="inlineStr">
        <is>
          <t>2026-08-10T19:29:54Z</t>
        </is>
      </c>
      <c r="W52" t="inlineStr">
        <is>
          <t>2026-08-10T19:29:54Z</t>
        </is>
      </c>
    </row>
    <row r="53">
      <c r="A53" s="19" t="inlineStr">
        <is>
          <t>52</t>
        </is>
      </c>
      <c r="B53" s="19" t="inlineStr">
        <is>
          <t>4001161</t>
        </is>
      </c>
      <c r="C53" t="inlineStr">
        <is>
          <t>KARTON KÖŞEBENT,6cm*6cm*6*100cm,SEVPLT</t>
        </is>
      </c>
      <c r="D53" s="19" t="inlineStr">
        <is>
          <t>14</t>
        </is>
      </c>
      <c r="E53" s="19" t="inlineStr">
        <is>
          <t>3</t>
        </is>
      </c>
      <c r="F53" s="19" t="inlineStr">
        <is>
          <t>3</t>
        </is>
      </c>
      <c r="G53" s="19" t="inlineStr">
        <is>
          <t>1</t>
        </is>
      </c>
      <c r="H53" s="19" t="n"/>
      <c r="I53" t="n">
        <v>360</v>
      </c>
      <c r="N53" s="19" t="n"/>
      <c r="Q53" s="19" t="inlineStr">
        <is>
          <t>2</t>
        </is>
      </c>
      <c r="R53" t="inlineStr">
        <is>
          <t>2026-08-08</t>
        </is>
      </c>
      <c r="T53" s="19" t="inlineStr">
        <is>
          <t>4001161</t>
        </is>
      </c>
      <c r="U53" t="inlineStr">
        <is>
          <t>SOURCE_ERP=4001161 | SRC=Mamul Ambalaj Bileşen Listesi-30.07.2026(3).xlsx</t>
        </is>
      </c>
      <c r="V53" t="inlineStr">
        <is>
          <t>2026-08-10T19:29:54Z</t>
        </is>
      </c>
      <c r="W53" t="inlineStr">
        <is>
          <t>2026-08-10T19:29:54Z</t>
        </is>
      </c>
    </row>
    <row r="54">
      <c r="A54" s="19" t="inlineStr">
        <is>
          <t>53</t>
        </is>
      </c>
      <c r="B54" s="19" t="inlineStr">
        <is>
          <t>4001162</t>
        </is>
      </c>
      <c r="C54" t="inlineStr">
        <is>
          <t>D23,VAKUM PVC ,ÜST KAPAK,KOLİ İÇİN</t>
        </is>
      </c>
      <c r="D54" s="19" t="inlineStr">
        <is>
          <t>14</t>
        </is>
      </c>
      <c r="E54" s="19" t="inlineStr">
        <is>
          <t>3</t>
        </is>
      </c>
      <c r="F54" s="19" t="inlineStr">
        <is>
          <t>3</t>
        </is>
      </c>
      <c r="G54" s="19" t="inlineStr">
        <is>
          <t>1</t>
        </is>
      </c>
      <c r="H54" s="19" t="n"/>
      <c r="I54" t="n">
        <v>51.07</v>
      </c>
      <c r="N54" s="19" t="n"/>
      <c r="Q54" s="19" t="inlineStr">
        <is>
          <t>2</t>
        </is>
      </c>
      <c r="R54" t="inlineStr">
        <is>
          <t>2026-08-08</t>
        </is>
      </c>
      <c r="T54" s="19" t="inlineStr">
        <is>
          <t>4001162</t>
        </is>
      </c>
      <c r="U54" t="inlineStr">
        <is>
          <t>SOURCE_ERP=4001162 | SRC=Mamul Ambalaj Bileşen Listesi-30.07.2026(3).xlsx</t>
        </is>
      </c>
      <c r="V54" t="inlineStr">
        <is>
          <t>2026-08-10T19:29:54Z</t>
        </is>
      </c>
      <c r="W54" t="inlineStr">
        <is>
          <t>2026-08-10T19:29:54Z</t>
        </is>
      </c>
    </row>
    <row r="55">
      <c r="A55" s="19" t="inlineStr">
        <is>
          <t>54</t>
        </is>
      </c>
      <c r="B55" s="19" t="inlineStr">
        <is>
          <t>4001163</t>
        </is>
      </c>
      <c r="C55" t="inlineStr">
        <is>
          <t>KARTON KÖŞEBENT,6cm*6cm*6*79cm,SEV.PLT</t>
        </is>
      </c>
      <c r="D55" s="19" t="inlineStr">
        <is>
          <t>14</t>
        </is>
      </c>
      <c r="E55" s="19" t="inlineStr">
        <is>
          <t>3</t>
        </is>
      </c>
      <c r="F55" s="19" t="inlineStr">
        <is>
          <t>3</t>
        </is>
      </c>
      <c r="G55" s="19" t="inlineStr">
        <is>
          <t>1</t>
        </is>
      </c>
      <c r="H55" s="19" t="n"/>
      <c r="I55" t="n">
        <v>30</v>
      </c>
      <c r="N55" s="19" t="n"/>
      <c r="Q55" s="19" t="inlineStr">
        <is>
          <t>2</t>
        </is>
      </c>
      <c r="R55" t="inlineStr">
        <is>
          <t>2026-08-08</t>
        </is>
      </c>
      <c r="T55" s="19" t="inlineStr">
        <is>
          <t>4001163</t>
        </is>
      </c>
      <c r="U55" t="inlineStr">
        <is>
          <t>SOURCE_ERP=4001163 | SRC=Mamul Ambalaj Bileşen Listesi-30.07.2026(3).xlsx</t>
        </is>
      </c>
      <c r="V55" t="inlineStr">
        <is>
          <t>2026-08-10T19:29:54Z</t>
        </is>
      </c>
      <c r="W55" t="inlineStr">
        <is>
          <t>2026-08-10T19:29:54Z</t>
        </is>
      </c>
    </row>
    <row r="56">
      <c r="A56" s="19" t="inlineStr">
        <is>
          <t>55</t>
        </is>
      </c>
      <c r="B56" s="19" t="inlineStr">
        <is>
          <t>4001177</t>
        </is>
      </c>
      <c r="C56" t="inlineStr">
        <is>
          <t>SHIRINK,ŞAPKA NAYLON UV MAVİ,120*125*135</t>
        </is>
      </c>
      <c r="D56" s="19" t="inlineStr">
        <is>
          <t>14</t>
        </is>
      </c>
      <c r="E56" s="19" t="inlineStr">
        <is>
          <t>3</t>
        </is>
      </c>
      <c r="F56" s="19" t="inlineStr">
        <is>
          <t>3</t>
        </is>
      </c>
      <c r="G56" s="19" t="inlineStr">
        <is>
          <t>1</t>
        </is>
      </c>
      <c r="H56" s="19" t="n"/>
      <c r="I56" t="n">
        <v>1000</v>
      </c>
      <c r="N56" s="19" t="n"/>
      <c r="Q56" s="19" t="inlineStr">
        <is>
          <t>2</t>
        </is>
      </c>
      <c r="R56" t="inlineStr">
        <is>
          <t>2026-08-08</t>
        </is>
      </c>
      <c r="T56" s="19" t="inlineStr">
        <is>
          <t>4001177</t>
        </is>
      </c>
      <c r="U56" t="inlineStr">
        <is>
          <t>SOURCE_ERP=4001177 | SRC=Mamul Ambalaj Bileşen Listesi-30.07.2026(3).xlsx</t>
        </is>
      </c>
      <c r="V56" t="inlineStr">
        <is>
          <t>2026-08-10T19:29:54Z</t>
        </is>
      </c>
      <c r="W56" t="inlineStr">
        <is>
          <t>2026-08-10T19:29:54Z</t>
        </is>
      </c>
    </row>
    <row r="57">
      <c r="A57" s="19" t="inlineStr">
        <is>
          <t>56</t>
        </is>
      </c>
      <c r="B57" s="19" t="inlineStr">
        <is>
          <t>4001186</t>
        </is>
      </c>
      <c r="C57" t="inlineStr">
        <is>
          <t>HONEYCOMP,1200*800*40 TABAKA,EURO</t>
        </is>
      </c>
      <c r="D57" s="19" t="inlineStr">
        <is>
          <t>14</t>
        </is>
      </c>
      <c r="E57" s="19" t="inlineStr">
        <is>
          <t>3</t>
        </is>
      </c>
      <c r="F57" s="19" t="inlineStr">
        <is>
          <t>3</t>
        </is>
      </c>
      <c r="G57" s="19" t="inlineStr">
        <is>
          <t>1</t>
        </is>
      </c>
      <c r="H57" s="19" t="n"/>
      <c r="I57" t="n">
        <v>1000</v>
      </c>
      <c r="N57" s="19" t="n"/>
      <c r="Q57" s="19" t="inlineStr">
        <is>
          <t>2</t>
        </is>
      </c>
      <c r="R57" t="inlineStr">
        <is>
          <t>2026-08-08</t>
        </is>
      </c>
      <c r="T57" s="19" t="inlineStr">
        <is>
          <t>4001186</t>
        </is>
      </c>
      <c r="U57" t="inlineStr">
        <is>
          <t>SOURCE_ERP=4001186 | SRC=Mamul Ambalaj Bileşen Listesi-30.07.2026(3).xlsx</t>
        </is>
      </c>
      <c r="V57" t="inlineStr">
        <is>
          <t>2026-08-10T19:29:54Z</t>
        </is>
      </c>
      <c r="W57" t="inlineStr">
        <is>
          <t>2026-08-10T19:29:54Z</t>
        </is>
      </c>
    </row>
    <row r="58">
      <c r="A58" s="19" t="inlineStr">
        <is>
          <t>57</t>
        </is>
      </c>
      <c r="B58" s="19" t="inlineStr">
        <is>
          <t>4001194</t>
        </is>
      </c>
      <c r="C58" t="inlineStr">
        <is>
          <t>KOLİ,L5,İNCİ AGM LEO,95AH 870A,PENCERELİ</t>
        </is>
      </c>
      <c r="D58" s="19" t="inlineStr">
        <is>
          <t>14</t>
        </is>
      </c>
      <c r="E58" s="19" t="inlineStr">
        <is>
          <t>3</t>
        </is>
      </c>
      <c r="F58" s="19" t="inlineStr">
        <is>
          <t>3</t>
        </is>
      </c>
      <c r="G58" s="19" t="inlineStr">
        <is>
          <t>1</t>
        </is>
      </c>
      <c r="H58" s="19" t="n"/>
      <c r="I58" t="n">
        <v>330</v>
      </c>
      <c r="N58" s="19" t="n"/>
      <c r="Q58" s="19" t="inlineStr">
        <is>
          <t>2</t>
        </is>
      </c>
      <c r="R58" t="inlineStr">
        <is>
          <t>2026-08-08</t>
        </is>
      </c>
      <c r="T58" s="19" t="inlineStr">
        <is>
          <t>4001194</t>
        </is>
      </c>
      <c r="U58" t="inlineStr">
        <is>
          <t>SOURCE_ERP=4001194 | SRC=Mamul Ambalaj Bileşen Listesi-30.07.2026(3).xlsx</t>
        </is>
      </c>
      <c r="V58" t="inlineStr">
        <is>
          <t>2026-08-10T19:29:54Z</t>
        </is>
      </c>
      <c r="W58" t="inlineStr">
        <is>
          <t>2026-08-10T19:29:54Z</t>
        </is>
      </c>
    </row>
    <row r="59">
      <c r="A59" s="19" t="inlineStr">
        <is>
          <t>58</t>
        </is>
      </c>
      <c r="B59" s="19" t="inlineStr">
        <is>
          <t>4001201</t>
        </is>
      </c>
      <c r="C59" t="inlineStr">
        <is>
          <t>KOLİ,LB1,İNCİ FORMULA-MAXIMA,2019</t>
        </is>
      </c>
      <c r="D59" s="19" t="inlineStr">
        <is>
          <t>14</t>
        </is>
      </c>
      <c r="E59" s="19" t="inlineStr">
        <is>
          <t>3</t>
        </is>
      </c>
      <c r="F59" s="19" t="inlineStr">
        <is>
          <t>3</t>
        </is>
      </c>
      <c r="G59" s="19" t="inlineStr">
        <is>
          <t>1</t>
        </is>
      </c>
      <c r="H59" s="19" t="n"/>
      <c r="I59" t="n">
        <v>190</v>
      </c>
      <c r="N59" s="19" t="n"/>
      <c r="Q59" s="19" t="inlineStr">
        <is>
          <t>2</t>
        </is>
      </c>
      <c r="R59" t="inlineStr">
        <is>
          <t>2026-08-08</t>
        </is>
      </c>
      <c r="T59" s="19" t="inlineStr">
        <is>
          <t>4001201</t>
        </is>
      </c>
      <c r="U59" t="inlineStr">
        <is>
          <t>SOURCE_ERP=4001201 | SRC=Mamul Ambalaj Bileşen Listesi-30.07.2026(3).xlsx</t>
        </is>
      </c>
      <c r="V59" t="inlineStr">
        <is>
          <t>2026-08-10T19:29:54Z</t>
        </is>
      </c>
      <c r="W59" t="inlineStr">
        <is>
          <t>2026-08-10T19:29:54Z</t>
        </is>
      </c>
    </row>
    <row r="60">
      <c r="A60" s="19" t="inlineStr">
        <is>
          <t>59</t>
        </is>
      </c>
      <c r="B60" s="19" t="inlineStr">
        <is>
          <t>4001203</t>
        </is>
      </c>
      <c r="C60" t="inlineStr">
        <is>
          <t>KOLİ,LB2,İNCİ FORMULA-MAXIMA,2019</t>
        </is>
      </c>
      <c r="D60" s="19" t="inlineStr">
        <is>
          <t>14</t>
        </is>
      </c>
      <c r="E60" s="19" t="inlineStr">
        <is>
          <t>3</t>
        </is>
      </c>
      <c r="F60" s="19" t="inlineStr">
        <is>
          <t>3</t>
        </is>
      </c>
      <c r="G60" s="19" t="inlineStr">
        <is>
          <t>1</t>
        </is>
      </c>
      <c r="H60" s="19" t="n"/>
      <c r="I60" t="n">
        <v>220</v>
      </c>
      <c r="N60" s="19" t="n"/>
      <c r="Q60" s="19" t="inlineStr">
        <is>
          <t>2</t>
        </is>
      </c>
      <c r="R60" t="inlineStr">
        <is>
          <t>2026-08-08</t>
        </is>
      </c>
      <c r="T60" s="19" t="inlineStr">
        <is>
          <t>4001203</t>
        </is>
      </c>
      <c r="U60" t="inlineStr">
        <is>
          <t>SOURCE_ERP=4001203 | SRC=Mamul Ambalaj Bileşen Listesi-30.07.2026(3).xlsx</t>
        </is>
      </c>
      <c r="V60" t="inlineStr">
        <is>
          <t>2026-08-10T19:29:54Z</t>
        </is>
      </c>
      <c r="W60" t="inlineStr">
        <is>
          <t>2026-08-10T19:29:54Z</t>
        </is>
      </c>
    </row>
    <row r="61">
      <c r="A61" s="19" t="inlineStr">
        <is>
          <t>60</t>
        </is>
      </c>
      <c r="B61" s="19" t="inlineStr">
        <is>
          <t>4001205</t>
        </is>
      </c>
      <c r="C61" t="inlineStr">
        <is>
          <t>KOLİ,LB3,İNCİ FORMULA-MAXIMA,2019</t>
        </is>
      </c>
      <c r="D61" s="19" t="inlineStr">
        <is>
          <t>14</t>
        </is>
      </c>
      <c r="E61" s="19" t="inlineStr">
        <is>
          <t>3</t>
        </is>
      </c>
      <c r="F61" s="19" t="inlineStr">
        <is>
          <t>3</t>
        </is>
      </c>
      <c r="G61" s="19" t="inlineStr">
        <is>
          <t>1</t>
        </is>
      </c>
      <c r="H61" s="19" t="n"/>
      <c r="I61" t="n">
        <v>290</v>
      </c>
      <c r="N61" s="19" t="n"/>
      <c r="Q61" s="19" t="inlineStr">
        <is>
          <t>2</t>
        </is>
      </c>
      <c r="R61" t="inlineStr">
        <is>
          <t>2026-08-08</t>
        </is>
      </c>
      <c r="T61" s="19" t="inlineStr">
        <is>
          <t>4001205</t>
        </is>
      </c>
      <c r="U61" t="inlineStr">
        <is>
          <t>SOURCE_ERP=4001205 | SRC=Mamul Ambalaj Bileşen Listesi-30.07.2026(3).xlsx</t>
        </is>
      </c>
      <c r="V61" t="inlineStr">
        <is>
          <t>2026-08-10T19:29:54Z</t>
        </is>
      </c>
      <c r="W61" t="inlineStr">
        <is>
          <t>2026-08-10T19:29:54Z</t>
        </is>
      </c>
    </row>
    <row r="62">
      <c r="A62" s="19" t="inlineStr">
        <is>
          <t>61</t>
        </is>
      </c>
      <c r="B62" s="19" t="inlineStr">
        <is>
          <t>4001208</t>
        </is>
      </c>
      <c r="C62" t="inlineStr">
        <is>
          <t>KOLİ,L5,İNCİ FORMULA-MAXIMA,2019</t>
        </is>
      </c>
      <c r="D62" s="19" t="inlineStr">
        <is>
          <t>14</t>
        </is>
      </c>
      <c r="E62" s="19" t="inlineStr">
        <is>
          <t>3</t>
        </is>
      </c>
      <c r="F62" s="19" t="inlineStr">
        <is>
          <t>3</t>
        </is>
      </c>
      <c r="G62" s="19" t="inlineStr">
        <is>
          <t>1</t>
        </is>
      </c>
      <c r="H62" s="19" t="n"/>
      <c r="I62" t="n">
        <v>330</v>
      </c>
      <c r="N62" s="19" t="n"/>
      <c r="Q62" s="19" t="inlineStr">
        <is>
          <t>2</t>
        </is>
      </c>
      <c r="R62" t="inlineStr">
        <is>
          <t>2026-08-08</t>
        </is>
      </c>
      <c r="T62" s="19" t="inlineStr">
        <is>
          <t>4001208</t>
        </is>
      </c>
      <c r="U62" t="inlineStr">
        <is>
          <t>SOURCE_ERP=4001208 | SRC=Mamul Ambalaj Bileşen Listesi-30.07.2026(3).xlsx</t>
        </is>
      </c>
      <c r="V62" t="inlineStr">
        <is>
          <t>2026-08-10T19:29:54Z</t>
        </is>
      </c>
      <c r="W62" t="inlineStr">
        <is>
          <t>2026-08-10T19:29:54Z</t>
        </is>
      </c>
    </row>
    <row r="63">
      <c r="A63" s="19" t="inlineStr">
        <is>
          <t>62</t>
        </is>
      </c>
      <c r="B63" s="19" t="inlineStr">
        <is>
          <t>4001211</t>
        </is>
      </c>
      <c r="C63" t="inlineStr">
        <is>
          <t>KOLİ,D31,İNCİ FORMULA-MAXIMA,PENCERESİZ</t>
        </is>
      </c>
      <c r="D63" s="19" t="inlineStr">
        <is>
          <t>14</t>
        </is>
      </c>
      <c r="E63" s="19" t="inlineStr">
        <is>
          <t>3</t>
        </is>
      </c>
      <c r="F63" s="19" t="inlineStr">
        <is>
          <t>3</t>
        </is>
      </c>
      <c r="G63" s="19" t="inlineStr">
        <is>
          <t>1</t>
        </is>
      </c>
      <c r="H63" s="19" t="n"/>
      <c r="I63" t="n">
        <v>290</v>
      </c>
      <c r="N63" s="19" t="n"/>
      <c r="Q63" s="19" t="inlineStr">
        <is>
          <t>2</t>
        </is>
      </c>
      <c r="R63" t="inlineStr">
        <is>
          <t>2026-08-08</t>
        </is>
      </c>
      <c r="T63" s="19" t="inlineStr">
        <is>
          <t>4001211</t>
        </is>
      </c>
      <c r="U63" t="inlineStr">
        <is>
          <t>SOURCE_ERP=4001211 | SRC=Mamul Ambalaj Bileşen Listesi-30.07.2026(3).xlsx</t>
        </is>
      </c>
      <c r="V63" t="inlineStr">
        <is>
          <t>2026-08-10T19:29:54Z</t>
        </is>
      </c>
      <c r="W63" t="inlineStr">
        <is>
          <t>2026-08-10T19:29:54Z</t>
        </is>
      </c>
    </row>
    <row r="64">
      <c r="A64" s="19" t="inlineStr">
        <is>
          <t>63</t>
        </is>
      </c>
      <c r="B64" s="19" t="inlineStr">
        <is>
          <t>4001212</t>
        </is>
      </c>
      <c r="C64" t="inlineStr">
        <is>
          <t>KOLİ,NS40,İNCİ FORMULA-MAXIMA,B00,2019</t>
        </is>
      </c>
      <c r="D64" s="19" t="inlineStr">
        <is>
          <t>14</t>
        </is>
      </c>
      <c r="E64" s="19" t="inlineStr">
        <is>
          <t>3</t>
        </is>
      </c>
      <c r="F64" s="19" t="inlineStr">
        <is>
          <t>3</t>
        </is>
      </c>
      <c r="G64" s="19" t="inlineStr">
        <is>
          <t>1</t>
        </is>
      </c>
      <c r="H64" s="19" t="n"/>
      <c r="I64" t="n">
        <v>210</v>
      </c>
      <c r="N64" s="19" t="n"/>
      <c r="Q64" s="19" t="inlineStr">
        <is>
          <t>2</t>
        </is>
      </c>
      <c r="R64" t="inlineStr">
        <is>
          <t>2026-08-08</t>
        </is>
      </c>
      <c r="T64" s="19" t="inlineStr">
        <is>
          <t>4001212</t>
        </is>
      </c>
      <c r="U64" t="inlineStr">
        <is>
          <t>SOURCE_ERP=4001212 | SRC=Mamul Ambalaj Bileşen Listesi-30.07.2026(3).xlsx</t>
        </is>
      </c>
      <c r="V64" t="inlineStr">
        <is>
          <t>2026-08-10T19:29:54Z</t>
        </is>
      </c>
      <c r="W64" t="inlineStr">
        <is>
          <t>2026-08-10T19:29:54Z</t>
        </is>
      </c>
    </row>
    <row r="65">
      <c r="A65" s="19" t="inlineStr">
        <is>
          <t>64</t>
        </is>
      </c>
      <c r="B65" s="19" t="inlineStr">
        <is>
          <t>4001237</t>
        </is>
      </c>
      <c r="C65" t="inlineStr">
        <is>
          <t>KOLİ,L3,İNCİ AGM LEO,70AH 760A,PENCERELİ</t>
        </is>
      </c>
      <c r="D65" s="19" t="inlineStr">
        <is>
          <t>14</t>
        </is>
      </c>
      <c r="E65" s="19" t="inlineStr">
        <is>
          <t>3</t>
        </is>
      </c>
      <c r="F65" s="19" t="inlineStr">
        <is>
          <t>3</t>
        </is>
      </c>
      <c r="G65" s="19" t="inlineStr">
        <is>
          <t>1</t>
        </is>
      </c>
      <c r="H65" s="19" t="n"/>
      <c r="I65" t="n">
        <v>250</v>
      </c>
      <c r="N65" s="19" t="n"/>
      <c r="Q65" s="19" t="inlineStr">
        <is>
          <t>2</t>
        </is>
      </c>
      <c r="R65" t="inlineStr">
        <is>
          <t>2026-08-08</t>
        </is>
      </c>
      <c r="T65" s="19" t="inlineStr">
        <is>
          <t>4001237</t>
        </is>
      </c>
      <c r="U65" t="inlineStr">
        <is>
          <t>SOURCE_ERP=4001237 | SRC=Mamul Ambalaj Bileşen Listesi-30.07.2026(3).xlsx</t>
        </is>
      </c>
      <c r="V65" t="inlineStr">
        <is>
          <t>2026-08-10T19:29:54Z</t>
        </is>
      </c>
      <c r="W65" t="inlineStr">
        <is>
          <t>2026-08-10T19:29:54Z</t>
        </is>
      </c>
    </row>
    <row r="66">
      <c r="A66" s="19" t="inlineStr">
        <is>
          <t>65</t>
        </is>
      </c>
      <c r="B66" s="19" t="inlineStr">
        <is>
          <t>4001247</t>
        </is>
      </c>
      <c r="C66" t="inlineStr">
        <is>
          <t>STRAFOR,1200*800*40,TABAKA,EURO</t>
        </is>
      </c>
      <c r="D66" s="19" t="inlineStr">
        <is>
          <t>14</t>
        </is>
      </c>
      <c r="E66" s="19" t="inlineStr">
        <is>
          <t>3</t>
        </is>
      </c>
      <c r="F66" s="19" t="inlineStr">
        <is>
          <t>3</t>
        </is>
      </c>
      <c r="G66" s="19" t="inlineStr">
        <is>
          <t>1</t>
        </is>
      </c>
      <c r="H66" s="19" t="n"/>
      <c r="I66" t="n">
        <v>60</v>
      </c>
      <c r="N66" s="19" t="n"/>
      <c r="Q66" s="19" t="inlineStr">
        <is>
          <t>2</t>
        </is>
      </c>
      <c r="R66" t="inlineStr">
        <is>
          <t>2026-08-08</t>
        </is>
      </c>
      <c r="T66" s="19" t="inlineStr">
        <is>
          <t>4001247</t>
        </is>
      </c>
      <c r="U66" t="inlineStr">
        <is>
          <t>SOURCE_ERP=4001247 | SRC=Mamul Ambalaj Bileşen Listesi-30.07.2026(3).xlsx</t>
        </is>
      </c>
      <c r="V66" t="inlineStr">
        <is>
          <t>2026-08-10T19:29:54Z</t>
        </is>
      </c>
      <c r="W66" t="inlineStr">
        <is>
          <t>2026-08-10T19:29:54Z</t>
        </is>
      </c>
    </row>
    <row r="67">
      <c r="A67" s="19" t="inlineStr">
        <is>
          <t>66</t>
        </is>
      </c>
      <c r="B67" s="19" t="inlineStr">
        <is>
          <t>4001270</t>
        </is>
      </c>
      <c r="C67" t="inlineStr">
        <is>
          <t>KOLİ,D23,İNCİ EFBPANTERA,YÜKSEK PENLİ,DL</t>
        </is>
      </c>
      <c r="D67" s="19" t="inlineStr">
        <is>
          <t>14</t>
        </is>
      </c>
      <c r="E67" s="19" t="inlineStr">
        <is>
          <t>3</t>
        </is>
      </c>
      <c r="F67" s="19" t="inlineStr">
        <is>
          <t>3</t>
        </is>
      </c>
      <c r="G67" s="19" t="inlineStr">
        <is>
          <t>1</t>
        </is>
      </c>
      <c r="H67" s="19" t="n"/>
      <c r="I67" t="n">
        <v>240</v>
      </c>
      <c r="N67" s="19" t="n"/>
      <c r="Q67" s="19" t="inlineStr">
        <is>
          <t>2</t>
        </is>
      </c>
      <c r="R67" t="inlineStr">
        <is>
          <t>2026-08-08</t>
        </is>
      </c>
      <c r="T67" s="19" t="inlineStr">
        <is>
          <t>4001270</t>
        </is>
      </c>
      <c r="U67" t="inlineStr">
        <is>
          <t>SOURCE_ERP=4001270 | SRC=Mamul Ambalaj Bileşen Listesi-30.07.2026(3).xlsx</t>
        </is>
      </c>
      <c r="V67" t="inlineStr">
        <is>
          <t>2026-08-10T19:29:54Z</t>
        </is>
      </c>
      <c r="W67" t="inlineStr">
        <is>
          <t>2026-08-10T19:29:54Z</t>
        </is>
      </c>
    </row>
    <row r="68">
      <c r="A68" s="19" t="inlineStr">
        <is>
          <t>67</t>
        </is>
      </c>
      <c r="B68" s="19" t="inlineStr">
        <is>
          <t>4001271</t>
        </is>
      </c>
      <c r="C68" t="inlineStr">
        <is>
          <t>KOLİ,D26,İNCİEFBPANTERA,PEN'Lİ,YÜKSEK,DL</t>
        </is>
      </c>
      <c r="D68" s="19" t="inlineStr">
        <is>
          <t>14</t>
        </is>
      </c>
      <c r="E68" s="19" t="inlineStr">
        <is>
          <t>3</t>
        </is>
      </c>
      <c r="F68" s="19" t="inlineStr">
        <is>
          <t>3</t>
        </is>
      </c>
      <c r="G68" s="19" t="inlineStr">
        <is>
          <t>1</t>
        </is>
      </c>
      <c r="H68" s="19" t="n"/>
      <c r="I68" t="n">
        <v>320</v>
      </c>
      <c r="N68" s="19" t="n"/>
      <c r="Q68" s="19" t="inlineStr">
        <is>
          <t>2</t>
        </is>
      </c>
      <c r="R68" t="inlineStr">
        <is>
          <t>2026-08-08</t>
        </is>
      </c>
      <c r="T68" s="19" t="inlineStr">
        <is>
          <t>4001271</t>
        </is>
      </c>
      <c r="U68" t="inlineStr">
        <is>
          <t>SOURCE_ERP=4001271 | SRC=Mamul Ambalaj Bileşen Listesi-30.07.2026(3).xlsx</t>
        </is>
      </c>
      <c r="V68" t="inlineStr">
        <is>
          <t>2026-08-10T19:29:54Z</t>
        </is>
      </c>
      <c r="W68" t="inlineStr">
        <is>
          <t>2026-08-10T19:29:54Z</t>
        </is>
      </c>
    </row>
    <row r="69">
      <c r="A69" s="19" t="inlineStr">
        <is>
          <t>68</t>
        </is>
      </c>
      <c r="B69" s="19" t="inlineStr">
        <is>
          <t>4001272</t>
        </is>
      </c>
      <c r="C69" t="inlineStr">
        <is>
          <t>KOLİ,L2,İNCİ EFB MAX TIGRIS,PENC'Lİ,2020</t>
        </is>
      </c>
      <c r="D69" s="19" t="inlineStr">
        <is>
          <t>14</t>
        </is>
      </c>
      <c r="E69" s="19" t="inlineStr">
        <is>
          <t>3</t>
        </is>
      </c>
      <c r="F69" s="19" t="inlineStr">
        <is>
          <t>3</t>
        </is>
      </c>
      <c r="G69" s="19" t="inlineStr">
        <is>
          <t>1</t>
        </is>
      </c>
      <c r="H69" s="19" t="n"/>
      <c r="I69" t="n">
        <v>240</v>
      </c>
      <c r="N69" s="19" t="n"/>
      <c r="Q69" s="19" t="inlineStr">
        <is>
          <t>2</t>
        </is>
      </c>
      <c r="R69" t="inlineStr">
        <is>
          <t>2026-08-08</t>
        </is>
      </c>
      <c r="T69" s="19" t="inlineStr">
        <is>
          <t>4001272</t>
        </is>
      </c>
      <c r="U69" t="inlineStr">
        <is>
          <t>SOURCE_ERP=4001272 | SRC=Mamul Ambalaj Bileşen Listesi-30.07.2026(3).xlsx</t>
        </is>
      </c>
      <c r="V69" t="inlineStr">
        <is>
          <t>2026-08-10T19:29:54Z</t>
        </is>
      </c>
      <c r="W69" t="inlineStr">
        <is>
          <t>2026-08-10T19:29:54Z</t>
        </is>
      </c>
    </row>
    <row r="70">
      <c r="A70" s="19" t="inlineStr">
        <is>
          <t>69</t>
        </is>
      </c>
      <c r="B70" s="19" t="inlineStr">
        <is>
          <t>4001274</t>
        </is>
      </c>
      <c r="C70" t="inlineStr">
        <is>
          <t>KOLİ,L5,İNCİ EFB MAX TIGRIS,PENC'Lİ,2020</t>
        </is>
      </c>
      <c r="D70" s="19" t="inlineStr">
        <is>
          <t>14</t>
        </is>
      </c>
      <c r="E70" s="19" t="inlineStr">
        <is>
          <t>3</t>
        </is>
      </c>
      <c r="F70" s="19" t="inlineStr">
        <is>
          <t>3</t>
        </is>
      </c>
      <c r="G70" s="19" t="inlineStr">
        <is>
          <t>1</t>
        </is>
      </c>
      <c r="H70" s="19" t="n"/>
      <c r="I70" t="n">
        <v>330</v>
      </c>
      <c r="N70" s="19" t="n"/>
      <c r="Q70" s="19" t="inlineStr">
        <is>
          <t>2</t>
        </is>
      </c>
      <c r="R70" t="inlineStr">
        <is>
          <t>2026-08-08</t>
        </is>
      </c>
      <c r="T70" s="19" t="inlineStr">
        <is>
          <t>4001274</t>
        </is>
      </c>
      <c r="U70" t="inlineStr">
        <is>
          <t>SOURCE_ERP=4001274 | SRC=Mamul Ambalaj Bileşen Listesi-30.07.2026(3).xlsx</t>
        </is>
      </c>
      <c r="V70" t="inlineStr">
        <is>
          <t>2026-08-10T19:29:54Z</t>
        </is>
      </c>
      <c r="W70" t="inlineStr">
        <is>
          <t>2026-08-10T19:29:54Z</t>
        </is>
      </c>
    </row>
    <row r="71">
      <c r="A71" s="19" t="inlineStr">
        <is>
          <t>70</t>
        </is>
      </c>
      <c r="B71" s="19" t="inlineStr">
        <is>
          <t>4001275</t>
        </is>
      </c>
      <c r="C71" t="inlineStr">
        <is>
          <t>KOLİ,L4,İNCİ EFB MAX TIGRIS,PENC'Lİ,2020</t>
        </is>
      </c>
      <c r="D71" s="19" t="inlineStr">
        <is>
          <t>14</t>
        </is>
      </c>
      <c r="E71" s="19" t="inlineStr">
        <is>
          <t>3</t>
        </is>
      </c>
      <c r="F71" s="19" t="inlineStr">
        <is>
          <t>3</t>
        </is>
      </c>
      <c r="G71" s="19" t="inlineStr">
        <is>
          <t>1</t>
        </is>
      </c>
      <c r="H71" s="19" t="n"/>
      <c r="I71" t="n">
        <v>270</v>
      </c>
      <c r="N71" s="19" t="n"/>
      <c r="Q71" s="19" t="inlineStr">
        <is>
          <t>2</t>
        </is>
      </c>
      <c r="R71" t="inlineStr">
        <is>
          <t>2026-08-08</t>
        </is>
      </c>
      <c r="T71" s="19" t="inlineStr">
        <is>
          <t>4001275</t>
        </is>
      </c>
      <c r="U71" t="inlineStr">
        <is>
          <t>SOURCE_ERP=4001275 | SRC=Mamul Ambalaj Bileşen Listesi-30.07.2026(3).xlsx</t>
        </is>
      </c>
      <c r="V71" t="inlineStr">
        <is>
          <t>2026-08-10T19:29:54Z</t>
        </is>
      </c>
      <c r="W71" t="inlineStr">
        <is>
          <t>2026-08-10T19:29:54Z</t>
        </is>
      </c>
    </row>
    <row r="72">
      <c r="A72" s="19" t="inlineStr">
        <is>
          <t>71</t>
        </is>
      </c>
      <c r="B72" s="19" t="inlineStr">
        <is>
          <t>4001279</t>
        </is>
      </c>
      <c r="C72" t="inlineStr">
        <is>
          <t>STRAFOR,A TİPİ AKÜLER İÇİN ÜST STRAFOR</t>
        </is>
      </c>
      <c r="D72" s="19" t="inlineStr">
        <is>
          <t>14</t>
        </is>
      </c>
      <c r="E72" s="19" t="inlineStr">
        <is>
          <t>3</t>
        </is>
      </c>
      <c r="F72" s="19" t="inlineStr">
        <is>
          <t>3</t>
        </is>
      </c>
      <c r="G72" s="19" t="inlineStr">
        <is>
          <t>1</t>
        </is>
      </c>
      <c r="H72" s="19" t="n"/>
      <c r="I72" t="n">
        <v>71</v>
      </c>
      <c r="N72" s="19" t="n"/>
      <c r="Q72" s="19" t="inlineStr">
        <is>
          <t>2</t>
        </is>
      </c>
      <c r="R72" t="inlineStr">
        <is>
          <t>2026-08-08</t>
        </is>
      </c>
      <c r="T72" s="19" t="inlineStr">
        <is>
          <t>4001279</t>
        </is>
      </c>
      <c r="U72" t="inlineStr">
        <is>
          <t>SOURCE_ERP=4001279 | SRC=Mamul Ambalaj Bileşen Listesi-30.07.2026(3).xlsx</t>
        </is>
      </c>
      <c r="V72" t="inlineStr">
        <is>
          <t>2026-08-10T19:29:54Z</t>
        </is>
      </c>
      <c r="W72" t="inlineStr">
        <is>
          <t>2026-08-10T19:29:54Z</t>
        </is>
      </c>
    </row>
    <row r="73">
      <c r="A73" s="19" t="inlineStr">
        <is>
          <t>72</t>
        </is>
      </c>
      <c r="B73" s="19" t="inlineStr">
        <is>
          <t>4001281</t>
        </is>
      </c>
      <c r="C73" t="inlineStr">
        <is>
          <t>STRAFOR,C TİPİ AKÜLER İÇİN ÜST STRAFOR</t>
        </is>
      </c>
      <c r="D73" s="19" t="inlineStr">
        <is>
          <t>14</t>
        </is>
      </c>
      <c r="E73" s="19" t="inlineStr">
        <is>
          <t>3</t>
        </is>
      </c>
      <c r="F73" s="19" t="inlineStr">
        <is>
          <t>3</t>
        </is>
      </c>
      <c r="G73" s="19" t="inlineStr">
        <is>
          <t>1</t>
        </is>
      </c>
      <c r="H73" s="19" t="n"/>
      <c r="I73" t="n">
        <v>126</v>
      </c>
      <c r="N73" s="19" t="n"/>
      <c r="Q73" s="19" t="inlineStr">
        <is>
          <t>2</t>
        </is>
      </c>
      <c r="R73" t="inlineStr">
        <is>
          <t>2026-08-08</t>
        </is>
      </c>
      <c r="T73" s="19" t="inlineStr">
        <is>
          <t>4001281</t>
        </is>
      </c>
      <c r="U73" t="inlineStr">
        <is>
          <t>SOURCE_ERP=4001281 | SRC=Mamul Ambalaj Bileşen Listesi-30.07.2026(3).xlsx</t>
        </is>
      </c>
      <c r="V73" t="inlineStr">
        <is>
          <t>2026-08-10T19:29:54Z</t>
        </is>
      </c>
      <c r="W73" t="inlineStr">
        <is>
          <t>2026-08-10T19:29:54Z</t>
        </is>
      </c>
    </row>
    <row r="74">
      <c r="A74" s="19" t="inlineStr">
        <is>
          <t>73</t>
        </is>
      </c>
      <c r="B74" s="19" t="inlineStr">
        <is>
          <t>4001287</t>
        </is>
      </c>
      <c r="C74" t="inlineStr">
        <is>
          <t>KOLİ,D26 EAS ACTIVA PENCERESİZ (YÜKSEK)</t>
        </is>
      </c>
      <c r="D74" s="19" t="inlineStr">
        <is>
          <t>14</t>
        </is>
      </c>
      <c r="E74" s="19" t="inlineStr">
        <is>
          <t>3</t>
        </is>
      </c>
      <c r="F74" s="19" t="inlineStr">
        <is>
          <t>3</t>
        </is>
      </c>
      <c r="G74" s="19" t="inlineStr">
        <is>
          <t>1</t>
        </is>
      </c>
      <c r="H74" s="19" t="n"/>
      <c r="I74" t="n">
        <v>320</v>
      </c>
      <c r="N74" s="19" t="n"/>
      <c r="Q74" s="19" t="inlineStr">
        <is>
          <t>2</t>
        </is>
      </c>
      <c r="R74" t="inlineStr">
        <is>
          <t>2026-08-08</t>
        </is>
      </c>
      <c r="T74" s="19" t="inlineStr">
        <is>
          <t>4001287</t>
        </is>
      </c>
      <c r="U74" t="inlineStr">
        <is>
          <t>SOURCE_ERP=4001287 | SRC=Mamul Ambalaj Bileşen Listesi-30.07.2026(3).xlsx</t>
        </is>
      </c>
      <c r="V74" t="inlineStr">
        <is>
          <t>2026-08-10T19:29:54Z</t>
        </is>
      </c>
      <c r="W74" t="inlineStr">
        <is>
          <t>2026-08-10T19:29:54Z</t>
        </is>
      </c>
    </row>
    <row r="75">
      <c r="A75" s="19" t="inlineStr">
        <is>
          <t>74</t>
        </is>
      </c>
      <c r="B75" s="19" t="inlineStr">
        <is>
          <t>4001289</t>
        </is>
      </c>
      <c r="C75" t="inlineStr">
        <is>
          <t>KOLİ,D26,YUASA ORTADOĞU,PENCERESİZ</t>
        </is>
      </c>
      <c r="D75" s="19" t="inlineStr">
        <is>
          <t>14</t>
        </is>
      </c>
      <c r="E75" s="19" t="inlineStr">
        <is>
          <t>3</t>
        </is>
      </c>
      <c r="F75" s="19" t="inlineStr">
        <is>
          <t>3</t>
        </is>
      </c>
      <c r="G75" s="19" t="inlineStr">
        <is>
          <t>1</t>
        </is>
      </c>
      <c r="H75" s="19" t="n"/>
      <c r="I75" t="n">
        <v>320</v>
      </c>
      <c r="N75" s="19" t="n"/>
      <c r="Q75" s="19" t="inlineStr">
        <is>
          <t>2</t>
        </is>
      </c>
      <c r="R75" t="inlineStr">
        <is>
          <t>2026-08-08</t>
        </is>
      </c>
      <c r="T75" s="19" t="inlineStr">
        <is>
          <t>4001289</t>
        </is>
      </c>
      <c r="U75" t="inlineStr">
        <is>
          <t>SOURCE_ERP=4001289 | SRC=Mamul Ambalaj Bileşen Listesi-30.07.2026(3).xlsx</t>
        </is>
      </c>
      <c r="V75" t="inlineStr">
        <is>
          <t>2026-08-10T19:29:54Z</t>
        </is>
      </c>
      <c r="W75" t="inlineStr">
        <is>
          <t>2026-08-10T19:29:54Z</t>
        </is>
      </c>
    </row>
    <row r="76">
      <c r="A76" s="19" t="inlineStr">
        <is>
          <t>75</t>
        </is>
      </c>
      <c r="B76" s="19" t="inlineStr">
        <is>
          <t>4001290</t>
        </is>
      </c>
      <c r="C76" t="inlineStr">
        <is>
          <t>STRAFOR,B TİPİ AKÜLER İÇİN ÜST STRAF,3</t>
        </is>
      </c>
      <c r="D76" s="19" t="inlineStr">
        <is>
          <t>14</t>
        </is>
      </c>
      <c r="E76" s="19" t="inlineStr">
        <is>
          <t>3</t>
        </is>
      </c>
      <c r="F76" s="19" t="inlineStr">
        <is>
          <t>3</t>
        </is>
      </c>
      <c r="G76" s="19" t="inlineStr">
        <is>
          <t>1</t>
        </is>
      </c>
      <c r="H76" s="19" t="n"/>
      <c r="I76" t="n">
        <v>94</v>
      </c>
      <c r="N76" s="19" t="n"/>
      <c r="Q76" s="19" t="inlineStr">
        <is>
          <t>2</t>
        </is>
      </c>
      <c r="R76" t="inlineStr">
        <is>
          <t>2026-08-08</t>
        </is>
      </c>
      <c r="T76" s="19" t="inlineStr">
        <is>
          <t>4001290</t>
        </is>
      </c>
      <c r="U76" t="inlineStr">
        <is>
          <t>SOURCE_ERP=4001290 | SRC=Mamul Ambalaj Bileşen Listesi-30.07.2026(3).xlsx</t>
        </is>
      </c>
      <c r="V76" t="inlineStr">
        <is>
          <t>2026-08-10T19:29:54Z</t>
        </is>
      </c>
      <c r="W76" t="inlineStr">
        <is>
          <t>2026-08-10T19:29:54Z</t>
        </is>
      </c>
    </row>
    <row r="77">
      <c r="A77" s="19" t="inlineStr">
        <is>
          <t>76</t>
        </is>
      </c>
      <c r="B77" s="19" t="inlineStr">
        <is>
          <t>4001310</t>
        </is>
      </c>
      <c r="C77" t="inlineStr">
        <is>
          <t>D31,VAKUM PVC ,ÜST KAPAK,DOUBLE LID</t>
        </is>
      </c>
      <c r="D77" s="19" t="inlineStr">
        <is>
          <t>14</t>
        </is>
      </c>
      <c r="E77" s="19" t="inlineStr">
        <is>
          <t>3</t>
        </is>
      </c>
      <c r="F77" s="19" t="inlineStr">
        <is>
          <t>3</t>
        </is>
      </c>
      <c r="G77" s="19" t="inlineStr">
        <is>
          <t>1</t>
        </is>
      </c>
      <c r="H77" s="19" t="n"/>
      <c r="I77" t="n">
        <v>62.4</v>
      </c>
      <c r="N77" s="19" t="n"/>
      <c r="Q77" s="19" t="inlineStr">
        <is>
          <t>2</t>
        </is>
      </c>
      <c r="R77" t="inlineStr">
        <is>
          <t>2026-08-08</t>
        </is>
      </c>
      <c r="T77" s="19" t="inlineStr">
        <is>
          <t>4001310</t>
        </is>
      </c>
      <c r="U77" t="inlineStr">
        <is>
          <t>SOURCE_ERP=4001310 | SRC=Mamul Ambalaj Bileşen Listesi-30.07.2026(3).xlsx</t>
        </is>
      </c>
      <c r="V77" t="inlineStr">
        <is>
          <t>2026-08-10T19:29:54Z</t>
        </is>
      </c>
      <c r="W77" t="inlineStr">
        <is>
          <t>2026-08-10T19:29:54Z</t>
        </is>
      </c>
    </row>
    <row r="78">
      <c r="A78" s="19" t="inlineStr">
        <is>
          <t>77</t>
        </is>
      </c>
      <c r="B78" s="19" t="inlineStr">
        <is>
          <t>4001311</t>
        </is>
      </c>
      <c r="C78" t="inlineStr">
        <is>
          <t>D31,VAKUM PVC ,ÜST KAPAK,DOUBLE LID,KOLİ</t>
        </is>
      </c>
      <c r="D78" s="19" t="inlineStr">
        <is>
          <t>14</t>
        </is>
      </c>
      <c r="E78" s="19" t="inlineStr">
        <is>
          <t>3</t>
        </is>
      </c>
      <c r="F78" s="19" t="inlineStr">
        <is>
          <t>3</t>
        </is>
      </c>
      <c r="G78" s="19" t="inlineStr">
        <is>
          <t>1</t>
        </is>
      </c>
      <c r="H78" s="19" t="n"/>
      <c r="I78" t="n">
        <v>62.4</v>
      </c>
      <c r="N78" s="19" t="n"/>
      <c r="Q78" s="19" t="inlineStr">
        <is>
          <t>2</t>
        </is>
      </c>
      <c r="R78" t="inlineStr">
        <is>
          <t>2026-08-08</t>
        </is>
      </c>
      <c r="T78" s="19" t="inlineStr">
        <is>
          <t>4001311</t>
        </is>
      </c>
      <c r="U78" t="inlineStr">
        <is>
          <t>SOURCE_ERP=4001311 | SRC=Mamul Ambalaj Bileşen Listesi-30.07.2026(3).xlsx</t>
        </is>
      </c>
      <c r="V78" t="inlineStr">
        <is>
          <t>2026-08-10T19:29:54Z</t>
        </is>
      </c>
      <c r="W78" t="inlineStr">
        <is>
          <t>2026-08-10T19:29:54Z</t>
        </is>
      </c>
    </row>
    <row r="79">
      <c r="A79" s="19" t="inlineStr">
        <is>
          <t>78</t>
        </is>
      </c>
      <c r="B79" s="19" t="inlineStr">
        <is>
          <t>4001312</t>
        </is>
      </c>
      <c r="C79" t="inlineStr">
        <is>
          <t>KOLİ,L1,YUASA,PENCERESİZ,ORTA DOĞU</t>
        </is>
      </c>
      <c r="D79" s="19" t="inlineStr">
        <is>
          <t>14</t>
        </is>
      </c>
      <c r="E79" s="19" t="inlineStr">
        <is>
          <t>3</t>
        </is>
      </c>
      <c r="F79" s="19" t="inlineStr">
        <is>
          <t>3</t>
        </is>
      </c>
      <c r="G79" s="19" t="inlineStr">
        <is>
          <t>1</t>
        </is>
      </c>
      <c r="H79" s="19" t="n"/>
      <c r="I79" t="n">
        <v>240</v>
      </c>
      <c r="N79" s="19" t="n"/>
      <c r="Q79" s="19" t="inlineStr">
        <is>
          <t>2</t>
        </is>
      </c>
      <c r="R79" t="inlineStr">
        <is>
          <t>2026-08-08</t>
        </is>
      </c>
      <c r="T79" s="19" t="inlineStr">
        <is>
          <t>4001312</t>
        </is>
      </c>
      <c r="U79" t="inlineStr">
        <is>
          <t>SOURCE_ERP=4001312 | SRC=Mamul Ambalaj Bileşen Listesi-30.07.2026(3).xlsx</t>
        </is>
      </c>
      <c r="V79" t="inlineStr">
        <is>
          <t>2026-08-10T19:29:54Z</t>
        </is>
      </c>
      <c r="W79" t="inlineStr">
        <is>
          <t>2026-08-10T19:29:54Z</t>
        </is>
      </c>
    </row>
    <row r="80">
      <c r="A80" s="19" t="inlineStr">
        <is>
          <t>79</t>
        </is>
      </c>
      <c r="B80" s="19" t="inlineStr">
        <is>
          <t>4001313</t>
        </is>
      </c>
      <c r="C80" t="inlineStr">
        <is>
          <t>KOLİ,L4,YUASA,PENCERESİZ,ORTA DOĞU</t>
        </is>
      </c>
      <c r="D80" s="19" t="inlineStr">
        <is>
          <t>14</t>
        </is>
      </c>
      <c r="E80" s="19" t="inlineStr">
        <is>
          <t>3</t>
        </is>
      </c>
      <c r="F80" s="19" t="inlineStr">
        <is>
          <t>3</t>
        </is>
      </c>
      <c r="G80" s="19" t="inlineStr">
        <is>
          <t>1</t>
        </is>
      </c>
      <c r="H80" s="19" t="n"/>
      <c r="I80" t="n">
        <v>250</v>
      </c>
      <c r="N80" s="19" t="n"/>
      <c r="Q80" s="19" t="inlineStr">
        <is>
          <t>2</t>
        </is>
      </c>
      <c r="R80" t="inlineStr">
        <is>
          <t>2026-08-08</t>
        </is>
      </c>
      <c r="T80" s="19" t="inlineStr">
        <is>
          <t>4001313</t>
        </is>
      </c>
      <c r="U80" t="inlineStr">
        <is>
          <t>SOURCE_ERP=4001313 | SRC=Mamul Ambalaj Bileşen Listesi-30.07.2026(3).xlsx</t>
        </is>
      </c>
      <c r="V80" t="inlineStr">
        <is>
          <t>2026-08-10T19:29:54Z</t>
        </is>
      </c>
      <c r="W80" t="inlineStr">
        <is>
          <t>2026-08-10T19:29:54Z</t>
        </is>
      </c>
    </row>
    <row r="81">
      <c r="A81" s="19" t="inlineStr">
        <is>
          <t>80</t>
        </is>
      </c>
      <c r="B81" s="19" t="inlineStr">
        <is>
          <t>4001314</t>
        </is>
      </c>
      <c r="C81" t="inlineStr">
        <is>
          <t>KOLİ,LB3,İNCİ EFB PANTERA,PENCERELİ,DL</t>
        </is>
      </c>
      <c r="D81" s="19" t="inlineStr">
        <is>
          <t>14</t>
        </is>
      </c>
      <c r="E81" s="19" t="inlineStr">
        <is>
          <t>3</t>
        </is>
      </c>
      <c r="F81" s="19" t="inlineStr">
        <is>
          <t>3</t>
        </is>
      </c>
      <c r="G81" s="19" t="inlineStr">
        <is>
          <t>1</t>
        </is>
      </c>
      <c r="H81" s="19" t="n"/>
      <c r="I81" t="n">
        <v>300</v>
      </c>
      <c r="N81" s="19" t="n"/>
      <c r="Q81" s="19" t="inlineStr">
        <is>
          <t>2</t>
        </is>
      </c>
      <c r="R81" t="inlineStr">
        <is>
          <t>2026-08-08</t>
        </is>
      </c>
      <c r="T81" s="19" t="inlineStr">
        <is>
          <t>4001314</t>
        </is>
      </c>
      <c r="U81" t="inlineStr">
        <is>
          <t>SOURCE_ERP=4001314 | SRC=Mamul Ambalaj Bileşen Listesi-30.07.2026(3).xlsx</t>
        </is>
      </c>
      <c r="V81" t="inlineStr">
        <is>
          <t>2026-08-10T19:29:54Z</t>
        </is>
      </c>
      <c r="W81" t="inlineStr">
        <is>
          <t>2026-08-10T19:29:54Z</t>
        </is>
      </c>
    </row>
    <row r="82">
      <c r="A82" s="19" t="inlineStr">
        <is>
          <t>81</t>
        </is>
      </c>
      <c r="B82" s="19" t="inlineStr">
        <is>
          <t>4001315</t>
        </is>
      </c>
      <c r="C82" t="inlineStr">
        <is>
          <t>KOLİ,L3,İNCİ EFB PANTERA,PENCERELİ,DL</t>
        </is>
      </c>
      <c r="D82" s="19" t="inlineStr">
        <is>
          <t>14</t>
        </is>
      </c>
      <c r="E82" s="19" t="inlineStr">
        <is>
          <t>3</t>
        </is>
      </c>
      <c r="F82" s="19" t="inlineStr">
        <is>
          <t>3</t>
        </is>
      </c>
      <c r="G82" s="19" t="inlineStr">
        <is>
          <t>1</t>
        </is>
      </c>
      <c r="H82" s="19" t="n"/>
      <c r="I82" t="n">
        <v>250</v>
      </c>
      <c r="N82" s="19" t="n"/>
      <c r="Q82" s="19" t="inlineStr">
        <is>
          <t>2</t>
        </is>
      </c>
      <c r="R82" t="inlineStr">
        <is>
          <t>2026-08-08</t>
        </is>
      </c>
      <c r="T82" s="19" t="inlineStr">
        <is>
          <t>4001315</t>
        </is>
      </c>
      <c r="U82" t="inlineStr">
        <is>
          <t>SOURCE_ERP=4001315 | SRC=Mamul Ambalaj Bileşen Listesi-30.07.2026(3).xlsx</t>
        </is>
      </c>
      <c r="V82" t="inlineStr">
        <is>
          <t>2026-08-10T19:29:54Z</t>
        </is>
      </c>
      <c r="W82" t="inlineStr">
        <is>
          <t>2026-08-10T19:29:54Z</t>
        </is>
      </c>
    </row>
    <row r="83">
      <c r="A83" s="19" t="inlineStr">
        <is>
          <t>82</t>
        </is>
      </c>
      <c r="B83" s="19" t="inlineStr">
        <is>
          <t>4001316</t>
        </is>
      </c>
      <c r="C83" t="inlineStr">
        <is>
          <t>KOLİ,LB4,İNCİ EFB PANTERA,PENCERELİ,DL</t>
        </is>
      </c>
      <c r="D83" s="19" t="inlineStr">
        <is>
          <t>14</t>
        </is>
      </c>
      <c r="E83" s="19" t="inlineStr">
        <is>
          <t>3</t>
        </is>
      </c>
      <c r="F83" s="19" t="inlineStr">
        <is>
          <t>3</t>
        </is>
      </c>
      <c r="G83" s="19" t="inlineStr">
        <is>
          <t>1</t>
        </is>
      </c>
      <c r="H83" s="19" t="n"/>
      <c r="I83" t="n">
        <v>270</v>
      </c>
      <c r="N83" s="19" t="n"/>
      <c r="Q83" s="19" t="inlineStr">
        <is>
          <t>2</t>
        </is>
      </c>
      <c r="R83" t="inlineStr">
        <is>
          <t>2026-08-08</t>
        </is>
      </c>
      <c r="T83" s="19" t="inlineStr">
        <is>
          <t>4001316</t>
        </is>
      </c>
      <c r="U83" t="inlineStr">
        <is>
          <t>SOURCE_ERP=4001316 | SRC=Mamul Ambalaj Bileşen Listesi-30.07.2026(3).xlsx</t>
        </is>
      </c>
      <c r="V83" t="inlineStr">
        <is>
          <t>2026-08-10T19:29:54Z</t>
        </is>
      </c>
      <c r="W83" t="inlineStr">
        <is>
          <t>2026-08-10T19:29:54Z</t>
        </is>
      </c>
    </row>
    <row r="84">
      <c r="A84" s="19" t="inlineStr">
        <is>
          <t>83</t>
        </is>
      </c>
      <c r="B84" s="19" t="inlineStr">
        <is>
          <t>4001317</t>
        </is>
      </c>
      <c r="C84" t="inlineStr">
        <is>
          <t>KOLİ,L2,İNCİ EFB PANTERA,PENCERELİ,DL</t>
        </is>
      </c>
      <c r="D84" s="19" t="inlineStr">
        <is>
          <t>14</t>
        </is>
      </c>
      <c r="E84" s="19" t="inlineStr">
        <is>
          <t>3</t>
        </is>
      </c>
      <c r="F84" s="19" t="inlineStr">
        <is>
          <t>3</t>
        </is>
      </c>
      <c r="G84" s="19" t="inlineStr">
        <is>
          <t>1</t>
        </is>
      </c>
      <c r="H84" s="19" t="n"/>
      <c r="I84" t="n">
        <v>240</v>
      </c>
      <c r="N84" s="19" t="n"/>
      <c r="Q84" s="19" t="inlineStr">
        <is>
          <t>2</t>
        </is>
      </c>
      <c r="R84" t="inlineStr">
        <is>
          <t>2026-08-08</t>
        </is>
      </c>
      <c r="T84" s="19" t="inlineStr">
        <is>
          <t>4001317</t>
        </is>
      </c>
      <c r="U84" t="inlineStr">
        <is>
          <t>SOURCE_ERP=4001317 | SRC=Mamul Ambalaj Bileşen Listesi-30.07.2026(3).xlsx</t>
        </is>
      </c>
      <c r="V84" t="inlineStr">
        <is>
          <t>2026-08-10T19:29:54Z</t>
        </is>
      </c>
      <c r="W84" t="inlineStr">
        <is>
          <t>2026-08-10T19:29:54Z</t>
        </is>
      </c>
    </row>
    <row r="85">
      <c r="A85" s="19" t="inlineStr">
        <is>
          <t>84</t>
        </is>
      </c>
      <c r="B85" s="19" t="inlineStr">
        <is>
          <t>4001318</t>
        </is>
      </c>
      <c r="C85" t="inlineStr">
        <is>
          <t>KOLİ,L4,İNCİ EFB PANTERA,PENCERELİ,DL</t>
        </is>
      </c>
      <c r="D85" s="19" t="inlineStr">
        <is>
          <t>14</t>
        </is>
      </c>
      <c r="E85" s="19" t="inlineStr">
        <is>
          <t>3</t>
        </is>
      </c>
      <c r="F85" s="19" t="inlineStr">
        <is>
          <t>3</t>
        </is>
      </c>
      <c r="G85" s="19" t="inlineStr">
        <is>
          <t>1</t>
        </is>
      </c>
      <c r="H85" s="19" t="n"/>
      <c r="I85" t="n">
        <v>270</v>
      </c>
      <c r="N85" s="19" t="n"/>
      <c r="Q85" s="19" t="inlineStr">
        <is>
          <t>2</t>
        </is>
      </c>
      <c r="R85" t="inlineStr">
        <is>
          <t>2026-08-08</t>
        </is>
      </c>
      <c r="T85" s="19" t="inlineStr">
        <is>
          <t>4001318</t>
        </is>
      </c>
      <c r="U85" t="inlineStr">
        <is>
          <t>SOURCE_ERP=4001318 | SRC=Mamul Ambalaj Bileşen Listesi-30.07.2026(3).xlsx</t>
        </is>
      </c>
      <c r="V85" t="inlineStr">
        <is>
          <t>2026-08-10T19:29:54Z</t>
        </is>
      </c>
      <c r="W85" t="inlineStr">
        <is>
          <t>2026-08-10T19:29:54Z</t>
        </is>
      </c>
    </row>
    <row r="86">
      <c r="A86" s="19" t="inlineStr">
        <is>
          <t>85</t>
        </is>
      </c>
      <c r="B86" s="19" t="inlineStr">
        <is>
          <t>4001320</t>
        </is>
      </c>
      <c r="C86" t="inlineStr">
        <is>
          <t>KOLİ,L5,İNCİEFBPANTRA,PEN'Lİ,90AH830A,DL</t>
        </is>
      </c>
      <c r="D86" s="19" t="inlineStr">
        <is>
          <t>14</t>
        </is>
      </c>
      <c r="E86" s="19" t="inlineStr">
        <is>
          <t>3</t>
        </is>
      </c>
      <c r="F86" s="19" t="inlineStr">
        <is>
          <t>3</t>
        </is>
      </c>
      <c r="G86" s="19" t="inlineStr">
        <is>
          <t>1</t>
        </is>
      </c>
      <c r="H86" s="19" t="n"/>
      <c r="I86" t="n">
        <v>330</v>
      </c>
      <c r="N86" s="19" t="n"/>
      <c r="Q86" s="19" t="inlineStr">
        <is>
          <t>2</t>
        </is>
      </c>
      <c r="R86" t="inlineStr">
        <is>
          <t>2026-08-08</t>
        </is>
      </c>
      <c r="T86" s="19" t="inlineStr">
        <is>
          <t>4001320</t>
        </is>
      </c>
      <c r="U86" t="inlineStr">
        <is>
          <t>SOURCE_ERP=4001320 | SRC=Mamul Ambalaj Bileşen Listesi-30.07.2026(3).xlsx</t>
        </is>
      </c>
      <c r="V86" t="inlineStr">
        <is>
          <t>2026-08-10T19:29:54Z</t>
        </is>
      </c>
      <c r="W86" t="inlineStr">
        <is>
          <t>2026-08-10T19:29:54Z</t>
        </is>
      </c>
    </row>
    <row r="87">
      <c r="A87" s="19" t="inlineStr">
        <is>
          <t>86</t>
        </is>
      </c>
      <c r="B87" s="19" t="inlineStr">
        <is>
          <t>4001331</t>
        </is>
      </c>
      <c r="C87" t="inlineStr">
        <is>
          <t>SIGNODE ÇEMBER 15x0,70 1500mt 4000N</t>
        </is>
      </c>
      <c r="D87" s="19" t="inlineStr">
        <is>
          <t>14</t>
        </is>
      </c>
      <c r="E87" s="19" t="inlineStr">
        <is>
          <t>3</t>
        </is>
      </c>
      <c r="F87" s="19" t="inlineStr">
        <is>
          <t>3</t>
        </is>
      </c>
      <c r="G87" s="19" t="inlineStr">
        <is>
          <t>1</t>
        </is>
      </c>
      <c r="H87" s="19" t="n"/>
      <c r="I87" t="n">
        <v>11.4125</v>
      </c>
      <c r="N87" s="19" t="n"/>
      <c r="Q87" s="19" t="inlineStr">
        <is>
          <t>2</t>
        </is>
      </c>
      <c r="R87" t="inlineStr">
        <is>
          <t>2026-08-08</t>
        </is>
      </c>
      <c r="T87" s="19" t="inlineStr">
        <is>
          <t>4001331</t>
        </is>
      </c>
      <c r="U87" t="inlineStr">
        <is>
          <t>SOURCE_ERP=4001331 | SRC=Endüstriyel Ambalaj Miktarı Çalışması(5).xlsx</t>
        </is>
      </c>
      <c r="V87" t="inlineStr">
        <is>
          <t>2026-08-10T19:29:54Z</t>
        </is>
      </c>
      <c r="W87" t="inlineStr">
        <is>
          <t>2026-08-10T19:29:54Z</t>
        </is>
      </c>
    </row>
    <row r="88">
      <c r="A88" s="19" t="inlineStr">
        <is>
          <t>87</t>
        </is>
      </c>
      <c r="B88" s="19" t="inlineStr">
        <is>
          <t>4001340</t>
        </is>
      </c>
      <c r="C88" t="inlineStr">
        <is>
          <t>KOLİ,L2,İNCİ AGM LEO,60AH 680A,PENCERELİ</t>
        </is>
      </c>
      <c r="D88" s="19" t="inlineStr">
        <is>
          <t>14</t>
        </is>
      </c>
      <c r="E88" s="19" t="inlineStr">
        <is>
          <t>3</t>
        </is>
      </c>
      <c r="F88" s="19" t="inlineStr">
        <is>
          <t>3</t>
        </is>
      </c>
      <c r="G88" s="19" t="inlineStr">
        <is>
          <t>1</t>
        </is>
      </c>
      <c r="H88" s="19" t="n"/>
      <c r="I88" t="n">
        <v>240</v>
      </c>
      <c r="N88" s="19" t="n"/>
      <c r="Q88" s="19" t="inlineStr">
        <is>
          <t>2</t>
        </is>
      </c>
      <c r="R88" t="inlineStr">
        <is>
          <t>2026-08-08</t>
        </is>
      </c>
      <c r="T88" s="19" t="inlineStr">
        <is>
          <t>4001340</t>
        </is>
      </c>
      <c r="U88" t="inlineStr">
        <is>
          <t>SOURCE_ERP=4001340 | SRC=Mamul Ambalaj Bileşen Listesi-30.07.2026(3).xlsx</t>
        </is>
      </c>
      <c r="V88" t="inlineStr">
        <is>
          <t>2026-08-10T19:29:54Z</t>
        </is>
      </c>
      <c r="W88" t="inlineStr">
        <is>
          <t>2026-08-10T19:29:54Z</t>
        </is>
      </c>
    </row>
    <row r="89">
      <c r="A89" s="19" t="inlineStr">
        <is>
          <t>88</t>
        </is>
      </c>
      <c r="B89" s="19" t="inlineStr">
        <is>
          <t>4001341</t>
        </is>
      </c>
      <c r="C89" t="inlineStr">
        <is>
          <t>KOLİ,L4,İNCİ AGM LEO,80AH 800A,PENCERELİ</t>
        </is>
      </c>
      <c r="D89" s="19" t="inlineStr">
        <is>
          <t>14</t>
        </is>
      </c>
      <c r="E89" s="19" t="inlineStr">
        <is>
          <t>3</t>
        </is>
      </c>
      <c r="F89" s="19" t="inlineStr">
        <is>
          <t>3</t>
        </is>
      </c>
      <c r="G89" s="19" t="inlineStr">
        <is>
          <t>1</t>
        </is>
      </c>
      <c r="H89" s="19" t="n"/>
      <c r="I89" t="n">
        <v>270</v>
      </c>
      <c r="N89" s="19" t="n"/>
      <c r="Q89" s="19" t="inlineStr">
        <is>
          <t>2</t>
        </is>
      </c>
      <c r="R89" t="inlineStr">
        <is>
          <t>2026-08-08</t>
        </is>
      </c>
      <c r="T89" s="19" t="inlineStr">
        <is>
          <t>4001341</t>
        </is>
      </c>
      <c r="U89" t="inlineStr">
        <is>
          <t>SOURCE_ERP=4001341 | SRC=Mamul Ambalaj Bileşen Listesi-30.07.2026(3).xlsx</t>
        </is>
      </c>
      <c r="V89" t="inlineStr">
        <is>
          <t>2026-08-10T19:29:54Z</t>
        </is>
      </c>
      <c r="W89" t="inlineStr">
        <is>
          <t>2026-08-10T19:29:54Z</t>
        </is>
      </c>
    </row>
    <row r="90">
      <c r="A90" s="19" t="inlineStr">
        <is>
          <t>89</t>
        </is>
      </c>
      <c r="B90" s="19" t="inlineStr">
        <is>
          <t>4001360</t>
        </is>
      </c>
      <c r="C90" t="inlineStr">
        <is>
          <t>KOLİ,L6,İNCİ AGM LEO,105AH940A,PENCERELİ</t>
        </is>
      </c>
      <c r="D90" s="19" t="inlineStr">
        <is>
          <t>14</t>
        </is>
      </c>
      <c r="E90" s="19" t="inlineStr">
        <is>
          <t>3</t>
        </is>
      </c>
      <c r="F90" s="19" t="inlineStr">
        <is>
          <t>3</t>
        </is>
      </c>
      <c r="G90" s="19" t="inlineStr">
        <is>
          <t>1</t>
        </is>
      </c>
      <c r="H90" s="19" t="n"/>
      <c r="I90" t="n">
        <v>400</v>
      </c>
      <c r="N90" s="19" t="n"/>
      <c r="Q90" s="19" t="inlineStr">
        <is>
          <t>2</t>
        </is>
      </c>
      <c r="R90" t="inlineStr">
        <is>
          <t>2026-08-08</t>
        </is>
      </c>
      <c r="T90" s="19" t="inlineStr">
        <is>
          <t>4001360</t>
        </is>
      </c>
      <c r="U90" t="inlineStr">
        <is>
          <t>SOURCE_ERP=4001360 | SRC=Mamul Ambalaj Bileşen Listesi-30.07.2026(3).xlsx</t>
        </is>
      </c>
      <c r="V90" t="inlineStr">
        <is>
          <t>2026-08-10T19:29:54Z</t>
        </is>
      </c>
      <c r="W90" t="inlineStr">
        <is>
          <t>2026-08-10T19:29:54Z</t>
        </is>
      </c>
    </row>
    <row r="91">
      <c r="A91" s="19" t="inlineStr">
        <is>
          <t>90</t>
        </is>
      </c>
      <c r="B91" s="19" t="inlineStr">
        <is>
          <t>4001393</t>
        </is>
      </c>
      <c r="C91" t="inlineStr">
        <is>
          <t>KOLİ,L1,İNCİ AGM LEO,50AH 560A,PENCERELİ</t>
        </is>
      </c>
      <c r="D91" s="19" t="inlineStr">
        <is>
          <t>14</t>
        </is>
      </c>
      <c r="E91" s="19" t="inlineStr">
        <is>
          <t>3</t>
        </is>
      </c>
      <c r="F91" s="19" t="inlineStr">
        <is>
          <t>3</t>
        </is>
      </c>
      <c r="G91" s="19" t="inlineStr">
        <is>
          <t>1</t>
        </is>
      </c>
      <c r="H91" s="19" t="n"/>
      <c r="I91" t="n">
        <v>240</v>
      </c>
      <c r="N91" s="19" t="n"/>
      <c r="Q91" s="19" t="inlineStr">
        <is>
          <t>2</t>
        </is>
      </c>
      <c r="R91" t="inlineStr">
        <is>
          <t>2026-08-08</t>
        </is>
      </c>
      <c r="T91" s="19" t="inlineStr">
        <is>
          <t>4001393</t>
        </is>
      </c>
      <c r="U91" t="inlineStr">
        <is>
          <t>SOURCE_ERP=4001393 | SRC=Mamul Ambalaj Bileşen Listesi-30.07.2026(3).xlsx</t>
        </is>
      </c>
      <c r="V91" t="inlineStr">
        <is>
          <t>2026-08-10T19:29:54Z</t>
        </is>
      </c>
      <c r="W91" t="inlineStr">
        <is>
          <t>2026-08-10T19:29:54Z</t>
        </is>
      </c>
    </row>
    <row r="92">
      <c r="A92" s="19" t="inlineStr">
        <is>
          <t>91</t>
        </is>
      </c>
      <c r="B92" s="19" t="inlineStr">
        <is>
          <t>4001394</t>
        </is>
      </c>
      <c r="C92" t="inlineStr">
        <is>
          <t>KOLİ,L1,EAS AGM S&amp;S,50AH 560A,PENCERELİ</t>
        </is>
      </c>
      <c r="D92" s="19" t="inlineStr">
        <is>
          <t>14</t>
        </is>
      </c>
      <c r="E92" s="19" t="inlineStr">
        <is>
          <t>3</t>
        </is>
      </c>
      <c r="F92" s="19" t="inlineStr">
        <is>
          <t>3</t>
        </is>
      </c>
      <c r="G92" s="19" t="inlineStr">
        <is>
          <t>1</t>
        </is>
      </c>
      <c r="H92" s="19" t="n"/>
      <c r="I92" t="n">
        <v>240</v>
      </c>
      <c r="N92" s="19" t="n"/>
      <c r="Q92" s="19" t="inlineStr">
        <is>
          <t>2</t>
        </is>
      </c>
      <c r="R92" t="inlineStr">
        <is>
          <t>2026-08-08</t>
        </is>
      </c>
      <c r="T92" s="19" t="inlineStr">
        <is>
          <t>4001394</t>
        </is>
      </c>
      <c r="U92" t="inlineStr">
        <is>
          <t>SOURCE_ERP=4001394 | SRC=Mamul Ambalaj Bileşen Listesi-30.07.2026(3).xlsx</t>
        </is>
      </c>
      <c r="V92" t="inlineStr">
        <is>
          <t>2026-08-10T19:29:54Z</t>
        </is>
      </c>
      <c r="W92" t="inlineStr">
        <is>
          <t>2026-08-10T19:29:54Z</t>
        </is>
      </c>
    </row>
    <row r="93">
      <c r="A93" s="19" t="inlineStr">
        <is>
          <t>92</t>
        </is>
      </c>
      <c r="B93" s="19" t="inlineStr">
        <is>
          <t>4001395</t>
        </is>
      </c>
      <c r="C93" t="inlineStr">
        <is>
          <t>KOLİ,L2,EAS AGM S&amp;S,60AH 680A,PENCERELİ</t>
        </is>
      </c>
      <c r="D93" s="19" t="inlineStr">
        <is>
          <t>14</t>
        </is>
      </c>
      <c r="E93" s="19" t="inlineStr">
        <is>
          <t>3</t>
        </is>
      </c>
      <c r="F93" s="19" t="inlineStr">
        <is>
          <t>3</t>
        </is>
      </c>
      <c r="G93" s="19" t="inlineStr">
        <is>
          <t>1</t>
        </is>
      </c>
      <c r="H93" s="19" t="n"/>
      <c r="I93" t="n">
        <v>240</v>
      </c>
      <c r="N93" s="19" t="n"/>
      <c r="Q93" s="19" t="inlineStr">
        <is>
          <t>2</t>
        </is>
      </c>
      <c r="R93" t="inlineStr">
        <is>
          <t>2026-08-08</t>
        </is>
      </c>
      <c r="T93" s="19" t="inlineStr">
        <is>
          <t>4001395</t>
        </is>
      </c>
      <c r="U93" t="inlineStr">
        <is>
          <t>SOURCE_ERP=4001395 | SRC=Mamul Ambalaj Bileşen Listesi-30.07.2026(3).xlsx</t>
        </is>
      </c>
      <c r="V93" t="inlineStr">
        <is>
          <t>2026-08-10T19:29:54Z</t>
        </is>
      </c>
      <c r="W93" t="inlineStr">
        <is>
          <t>2026-08-10T19:29:54Z</t>
        </is>
      </c>
    </row>
    <row r="94">
      <c r="A94" s="19" t="inlineStr">
        <is>
          <t>93</t>
        </is>
      </c>
      <c r="B94" s="19" t="inlineStr">
        <is>
          <t>4001396</t>
        </is>
      </c>
      <c r="C94" t="inlineStr">
        <is>
          <t>KOLİ,L3,EAS AGM S&amp;S,70AH 760A,PENCERELİ</t>
        </is>
      </c>
      <c r="D94" s="19" t="inlineStr">
        <is>
          <t>14</t>
        </is>
      </c>
      <c r="E94" s="19" t="inlineStr">
        <is>
          <t>3</t>
        </is>
      </c>
      <c r="F94" s="19" t="inlineStr">
        <is>
          <t>3</t>
        </is>
      </c>
      <c r="G94" s="19" t="inlineStr">
        <is>
          <t>1</t>
        </is>
      </c>
      <c r="H94" s="19" t="n"/>
      <c r="I94" t="n">
        <v>250</v>
      </c>
      <c r="N94" s="19" t="n"/>
      <c r="Q94" s="19" t="inlineStr">
        <is>
          <t>2</t>
        </is>
      </c>
      <c r="R94" t="inlineStr">
        <is>
          <t>2026-08-08</t>
        </is>
      </c>
      <c r="T94" s="19" t="inlineStr">
        <is>
          <t>4001396</t>
        </is>
      </c>
      <c r="U94" t="inlineStr">
        <is>
          <t>SOURCE_ERP=4001396 | SRC=Mamul Ambalaj Bileşen Listesi-30.07.2026(3).xlsx</t>
        </is>
      </c>
      <c r="V94" t="inlineStr">
        <is>
          <t>2026-08-10T19:29:54Z</t>
        </is>
      </c>
      <c r="W94" t="inlineStr">
        <is>
          <t>2026-08-10T19:29:54Z</t>
        </is>
      </c>
    </row>
    <row r="95">
      <c r="A95" s="19" t="inlineStr">
        <is>
          <t>94</t>
        </is>
      </c>
      <c r="B95" s="19" t="inlineStr">
        <is>
          <t>4001397</t>
        </is>
      </c>
      <c r="C95" t="inlineStr">
        <is>
          <t>KOLİ,L4,EAS AGM S&amp;S,80AH 800A,PENCERELİ</t>
        </is>
      </c>
      <c r="D95" s="19" t="inlineStr">
        <is>
          <t>14</t>
        </is>
      </c>
      <c r="E95" s="19" t="inlineStr">
        <is>
          <t>3</t>
        </is>
      </c>
      <c r="F95" s="19" t="inlineStr">
        <is>
          <t>3</t>
        </is>
      </c>
      <c r="G95" s="19" t="inlineStr">
        <is>
          <t>1</t>
        </is>
      </c>
      <c r="H95" s="19" t="n"/>
      <c r="I95" t="n">
        <v>270</v>
      </c>
      <c r="N95" s="19" t="n"/>
      <c r="Q95" s="19" t="inlineStr">
        <is>
          <t>2</t>
        </is>
      </c>
      <c r="R95" t="inlineStr">
        <is>
          <t>2026-08-08</t>
        </is>
      </c>
      <c r="T95" s="19" t="inlineStr">
        <is>
          <t>4001397</t>
        </is>
      </c>
      <c r="U95" t="inlineStr">
        <is>
          <t>SOURCE_ERP=4001397 | SRC=Mamul Ambalaj Bileşen Listesi-30.07.2026(3).xlsx</t>
        </is>
      </c>
      <c r="V95" t="inlineStr">
        <is>
          <t>2026-08-10T19:29:54Z</t>
        </is>
      </c>
      <c r="W95" t="inlineStr">
        <is>
          <t>2026-08-10T19:29:54Z</t>
        </is>
      </c>
    </row>
    <row r="96">
      <c r="A96" s="19" t="inlineStr">
        <is>
          <t>95</t>
        </is>
      </c>
      <c r="B96" s="19" t="inlineStr">
        <is>
          <t>4001398</t>
        </is>
      </c>
      <c r="C96" t="inlineStr">
        <is>
          <t>KOLİ,L5,EAS AGM S&amp;S,95AH 870A,PENCERELİ</t>
        </is>
      </c>
      <c r="D96" s="19" t="inlineStr">
        <is>
          <t>14</t>
        </is>
      </c>
      <c r="E96" s="19" t="inlineStr">
        <is>
          <t>3</t>
        </is>
      </c>
      <c r="F96" s="19" t="inlineStr">
        <is>
          <t>3</t>
        </is>
      </c>
      <c r="G96" s="19" t="inlineStr">
        <is>
          <t>1</t>
        </is>
      </c>
      <c r="H96" s="19" t="n"/>
      <c r="I96" t="n">
        <v>330</v>
      </c>
      <c r="N96" s="19" t="n"/>
      <c r="Q96" s="19" t="inlineStr">
        <is>
          <t>2</t>
        </is>
      </c>
      <c r="R96" t="inlineStr">
        <is>
          <t>2026-08-08</t>
        </is>
      </c>
      <c r="T96" s="19" t="inlineStr">
        <is>
          <t>4001398</t>
        </is>
      </c>
      <c r="U96" t="inlineStr">
        <is>
          <t>SOURCE_ERP=4001398 | SRC=Mamul Ambalaj Bileşen Listesi-30.07.2026(3).xlsx</t>
        </is>
      </c>
      <c r="V96" t="inlineStr">
        <is>
          <t>2026-08-10T19:29:54Z</t>
        </is>
      </c>
      <c r="W96" t="inlineStr">
        <is>
          <t>2026-08-10T19:29:54Z</t>
        </is>
      </c>
    </row>
    <row r="97">
      <c r="A97" s="19" t="inlineStr">
        <is>
          <t>96</t>
        </is>
      </c>
      <c r="B97" s="19" t="inlineStr">
        <is>
          <t>4001399</t>
        </is>
      </c>
      <c r="C97" t="inlineStr">
        <is>
          <t>KOLİ,L6,EAS AGM S&amp;S,105AH 940A,PENCERELİ</t>
        </is>
      </c>
      <c r="D97" s="19" t="inlineStr">
        <is>
          <t>14</t>
        </is>
      </c>
      <c r="E97" s="19" t="inlineStr">
        <is>
          <t>3</t>
        </is>
      </c>
      <c r="F97" s="19" t="inlineStr">
        <is>
          <t>3</t>
        </is>
      </c>
      <c r="G97" s="19" t="inlineStr">
        <is>
          <t>1</t>
        </is>
      </c>
      <c r="H97" s="19" t="n"/>
      <c r="I97" t="n">
        <v>400</v>
      </c>
      <c r="N97" s="19" t="n"/>
      <c r="Q97" s="19" t="inlineStr">
        <is>
          <t>2</t>
        </is>
      </c>
      <c r="R97" t="inlineStr">
        <is>
          <t>2026-08-08</t>
        </is>
      </c>
      <c r="T97" s="19" t="inlineStr">
        <is>
          <t>4001399</t>
        </is>
      </c>
      <c r="U97" t="inlineStr">
        <is>
          <t>SOURCE_ERP=4001399 | SRC=Mamul Ambalaj Bileşen Listesi-30.07.2026(3).xlsx</t>
        </is>
      </c>
      <c r="V97" t="inlineStr">
        <is>
          <t>2026-08-10T19:29:54Z</t>
        </is>
      </c>
      <c r="W97" t="inlineStr">
        <is>
          <t>2026-08-10T19:29:54Z</t>
        </is>
      </c>
    </row>
    <row r="98">
      <c r="A98" s="19" t="inlineStr">
        <is>
          <t>97</t>
        </is>
      </c>
      <c r="B98" s="19" t="inlineStr">
        <is>
          <t>4001410</t>
        </is>
      </c>
      <c r="C98" t="inlineStr">
        <is>
          <t>KOLİ,L2,EAS EFB MAX,PENCERELİ,2024</t>
        </is>
      </c>
      <c r="D98" s="19" t="inlineStr">
        <is>
          <t>14</t>
        </is>
      </c>
      <c r="E98" s="19" t="inlineStr">
        <is>
          <t>3</t>
        </is>
      </c>
      <c r="F98" s="19" t="inlineStr">
        <is>
          <t>3</t>
        </is>
      </c>
      <c r="G98" s="19" t="inlineStr">
        <is>
          <t>1</t>
        </is>
      </c>
      <c r="H98" s="19" t="n"/>
      <c r="I98" t="n">
        <v>240</v>
      </c>
      <c r="N98" s="19" t="n"/>
      <c r="Q98" s="19" t="inlineStr">
        <is>
          <t>2</t>
        </is>
      </c>
      <c r="R98" t="inlineStr">
        <is>
          <t>2026-08-08</t>
        </is>
      </c>
      <c r="T98" s="19" t="inlineStr">
        <is>
          <t>4001410</t>
        </is>
      </c>
      <c r="U98" t="inlineStr">
        <is>
          <t>SOURCE_ERP=4001410 | SRC=Mamul Ambalaj Bileşen Listesi-30.07.2026(3).xlsx</t>
        </is>
      </c>
      <c r="V98" t="inlineStr">
        <is>
          <t>2026-08-10T19:29:54Z</t>
        </is>
      </c>
      <c r="W98" t="inlineStr">
        <is>
          <t>2026-08-10T19:29:54Z</t>
        </is>
      </c>
    </row>
    <row r="99">
      <c r="A99" s="19" t="inlineStr">
        <is>
          <t>98</t>
        </is>
      </c>
      <c r="B99" s="19" t="inlineStr">
        <is>
          <t>4001411</t>
        </is>
      </c>
      <c r="C99" t="inlineStr">
        <is>
          <t>KOLİ,L3,EAS EFB MAX,PENCERELİ,2024</t>
        </is>
      </c>
      <c r="D99" s="19" t="inlineStr">
        <is>
          <t>14</t>
        </is>
      </c>
      <c r="E99" s="19" t="inlineStr">
        <is>
          <t>3</t>
        </is>
      </c>
      <c r="F99" s="19" t="inlineStr">
        <is>
          <t>3</t>
        </is>
      </c>
      <c r="G99" s="19" t="inlineStr">
        <is>
          <t>1</t>
        </is>
      </c>
      <c r="H99" s="19" t="n"/>
      <c r="I99" t="n">
        <v>250</v>
      </c>
      <c r="N99" s="19" t="n"/>
      <c r="Q99" s="19" t="inlineStr">
        <is>
          <t>2</t>
        </is>
      </c>
      <c r="R99" t="inlineStr">
        <is>
          <t>2026-08-08</t>
        </is>
      </c>
      <c r="T99" s="19" t="inlineStr">
        <is>
          <t>4001411</t>
        </is>
      </c>
      <c r="U99" t="inlineStr">
        <is>
          <t>SOURCE_ERP=4001411 | SRC=Mamul Ambalaj Bileşen Listesi-30.07.2026(3).xlsx</t>
        </is>
      </c>
      <c r="V99" t="inlineStr">
        <is>
          <t>2026-08-10T19:29:54Z</t>
        </is>
      </c>
      <c r="W99" t="inlineStr">
        <is>
          <t>2026-08-10T19:29:54Z</t>
        </is>
      </c>
    </row>
    <row r="100">
      <c r="A100" s="19" t="inlineStr">
        <is>
          <t>99</t>
        </is>
      </c>
      <c r="B100" s="19" t="inlineStr">
        <is>
          <t>4001419</t>
        </is>
      </c>
      <c r="C100" t="inlineStr">
        <is>
          <t>KOLİ,L2,İNCİ FORMULA-MAXIMA,PENCERESİZ</t>
        </is>
      </c>
      <c r="D100" s="19" t="inlineStr">
        <is>
          <t>14</t>
        </is>
      </c>
      <c r="E100" s="19" t="inlineStr">
        <is>
          <t>3</t>
        </is>
      </c>
      <c r="F100" s="19" t="inlineStr">
        <is>
          <t>3</t>
        </is>
      </c>
      <c r="G100" s="19" t="inlineStr">
        <is>
          <t>1</t>
        </is>
      </c>
      <c r="H100" s="19" t="n"/>
      <c r="I100" t="n">
        <v>240</v>
      </c>
      <c r="N100" s="19" t="n"/>
      <c r="Q100" s="19" t="inlineStr">
        <is>
          <t>2</t>
        </is>
      </c>
      <c r="R100" t="inlineStr">
        <is>
          <t>2026-08-08</t>
        </is>
      </c>
      <c r="T100" s="19" t="inlineStr">
        <is>
          <t>4001419</t>
        </is>
      </c>
      <c r="U100" t="inlineStr">
        <is>
          <t>SOURCE_ERP=4001419 | SRC=Mamul Ambalaj Bileşen Listesi-30.07.2026(3).xlsx</t>
        </is>
      </c>
      <c r="V100" t="inlineStr">
        <is>
          <t>2026-08-10T19:29:54Z</t>
        </is>
      </c>
      <c r="W100" t="inlineStr">
        <is>
          <t>2026-08-10T19:29:54Z</t>
        </is>
      </c>
    </row>
    <row r="101">
      <c r="A101" s="19" t="inlineStr">
        <is>
          <t>100</t>
        </is>
      </c>
      <c r="B101" s="19" t="inlineStr">
        <is>
          <t>4001433</t>
        </is>
      </c>
      <c r="C101" t="inlineStr">
        <is>
          <t>KOLİ,D31 BLIZZARO SILVERLINE PENCERESİZ</t>
        </is>
      </c>
      <c r="D101" s="19" t="inlineStr">
        <is>
          <t>14</t>
        </is>
      </c>
      <c r="E101" s="19" t="inlineStr">
        <is>
          <t>3</t>
        </is>
      </c>
      <c r="F101" s="19" t="inlineStr">
        <is>
          <t>3</t>
        </is>
      </c>
      <c r="G101" s="19" t="inlineStr">
        <is>
          <t>1</t>
        </is>
      </c>
      <c r="H101" s="19" t="n"/>
      <c r="I101" t="n">
        <v>290</v>
      </c>
      <c r="N101" s="19" t="n"/>
      <c r="Q101" s="19" t="inlineStr">
        <is>
          <t>2</t>
        </is>
      </c>
      <c r="R101" t="inlineStr">
        <is>
          <t>2026-08-08</t>
        </is>
      </c>
      <c r="T101" s="19" t="inlineStr">
        <is>
          <t>4001433</t>
        </is>
      </c>
      <c r="U101" t="inlineStr">
        <is>
          <t>SOURCE_ERP=4001433 | SRC=Mamul Ambalaj Bileşen Listesi-30.07.2026(3).xlsx</t>
        </is>
      </c>
      <c r="V101" t="inlineStr">
        <is>
          <t>2026-08-10T19:29:54Z</t>
        </is>
      </c>
      <c r="W101" t="inlineStr">
        <is>
          <t>2026-08-10T19:29:54Z</t>
        </is>
      </c>
    </row>
    <row r="102">
      <c r="A102" s="19" t="inlineStr">
        <is>
          <t>101</t>
        </is>
      </c>
      <c r="B102" s="19" t="inlineStr">
        <is>
          <t>4001434</t>
        </is>
      </c>
      <c r="C102" t="inlineStr">
        <is>
          <t>KOLİ,L2 BLIZZARO SILVERLINE PENCERESİZ</t>
        </is>
      </c>
      <c r="D102" s="19" t="inlineStr">
        <is>
          <t>14</t>
        </is>
      </c>
      <c r="E102" s="19" t="inlineStr">
        <is>
          <t>3</t>
        </is>
      </c>
      <c r="F102" s="19" t="inlineStr">
        <is>
          <t>3</t>
        </is>
      </c>
      <c r="G102" s="19" t="inlineStr">
        <is>
          <t>1</t>
        </is>
      </c>
      <c r="H102" s="19" t="n"/>
      <c r="I102" t="n">
        <v>240</v>
      </c>
      <c r="N102" s="19" t="n"/>
      <c r="Q102" s="19" t="inlineStr">
        <is>
          <t>2</t>
        </is>
      </c>
      <c r="R102" t="inlineStr">
        <is>
          <t>2026-08-08</t>
        </is>
      </c>
      <c r="T102" s="19" t="inlineStr">
        <is>
          <t>4001434</t>
        </is>
      </c>
      <c r="U102" t="inlineStr">
        <is>
          <t>SOURCE_ERP=4001434 | SRC=Mamul Ambalaj Bileşen Listesi-30.07.2026(3).xlsx</t>
        </is>
      </c>
      <c r="V102" t="inlineStr">
        <is>
          <t>2026-08-10T19:29:54Z</t>
        </is>
      </c>
      <c r="W102" t="inlineStr">
        <is>
          <t>2026-08-10T19:29:54Z</t>
        </is>
      </c>
    </row>
    <row r="103">
      <c r="A103" s="19" t="inlineStr">
        <is>
          <t>102</t>
        </is>
      </c>
      <c r="B103" s="19" t="inlineStr">
        <is>
          <t>5500759</t>
        </is>
      </c>
      <c r="C103" t="inlineStr">
        <is>
          <t>Hava Yastığı ( Level 2  )</t>
        </is>
      </c>
      <c r="D103" s="19" t="inlineStr">
        <is>
          <t>14</t>
        </is>
      </c>
      <c r="E103" s="19" t="inlineStr">
        <is>
          <t>3</t>
        </is>
      </c>
      <c r="F103" s="19" t="inlineStr">
        <is>
          <t>3</t>
        </is>
      </c>
      <c r="G103" s="19" t="inlineStr">
        <is>
          <t>1</t>
        </is>
      </c>
      <c r="H103" s="19" t="n"/>
      <c r="I103" t="n">
        <v>400</v>
      </c>
      <c r="N103" s="19" t="n"/>
      <c r="Q103" s="19" t="inlineStr">
        <is>
          <t>2</t>
        </is>
      </c>
      <c r="R103" t="inlineStr">
        <is>
          <t>2026-08-08</t>
        </is>
      </c>
      <c r="T103" s="19" t="inlineStr">
        <is>
          <t>5500759</t>
        </is>
      </c>
      <c r="U103" t="inlineStr">
        <is>
          <t>SOURCE_ERP=5500759 | ALIASES=Hava Yastığı ( Level 2 ) | SRC=Yüklemede Kullanılan Malzeme Ağırlıkları-2(4).xlsx</t>
        </is>
      </c>
      <c r="V103" t="inlineStr">
        <is>
          <t>2026-08-10T19:29:54Z</t>
        </is>
      </c>
      <c r="W103" t="inlineStr">
        <is>
          <t>2026-08-10T19:29:54Z</t>
        </is>
      </c>
    </row>
    <row r="104">
      <c r="A104" s="19" t="inlineStr">
        <is>
          <t>103</t>
        </is>
      </c>
      <c r="B104" s="19" t="inlineStr">
        <is>
          <t>5500762</t>
        </is>
      </c>
      <c r="C104" t="inlineStr">
        <is>
          <t>Bağlama Halatı</t>
        </is>
      </c>
      <c r="D104" s="19" t="inlineStr">
        <is>
          <t>14</t>
        </is>
      </c>
      <c r="E104" s="19" t="inlineStr">
        <is>
          <t>3</t>
        </is>
      </c>
      <c r="F104" s="19" t="inlineStr">
        <is>
          <t>3</t>
        </is>
      </c>
      <c r="G104" s="19" t="inlineStr">
        <is>
          <t>1</t>
        </is>
      </c>
      <c r="H104" s="19" t="n"/>
      <c r="I104" t="n">
        <v>25</v>
      </c>
      <c r="N104" s="19" t="n"/>
      <c r="Q104" s="19" t="inlineStr">
        <is>
          <t>2</t>
        </is>
      </c>
      <c r="R104" t="inlineStr">
        <is>
          <t>2026-08-08</t>
        </is>
      </c>
      <c r="T104" s="19" t="inlineStr">
        <is>
          <t>5500762</t>
        </is>
      </c>
      <c r="U104" t="inlineStr">
        <is>
          <t>SOURCE_ERP=5500762 | SRC=Yüklemede Kullanılan Malzeme Ağırlıkları-2(4).xlsx</t>
        </is>
      </c>
      <c r="V104" t="inlineStr">
        <is>
          <t>2026-08-10T19:29:54Z</t>
        </is>
      </c>
      <c r="W104" t="inlineStr">
        <is>
          <t>2026-08-10T19:29:54Z</t>
        </is>
      </c>
    </row>
    <row r="105">
      <c r="A105" s="19" t="inlineStr">
        <is>
          <t>104</t>
        </is>
      </c>
      <c r="B105" s="19" t="inlineStr">
        <is>
          <t>5500764</t>
        </is>
      </c>
      <c r="C105" t="inlineStr">
        <is>
          <t>Halat Tokası</t>
        </is>
      </c>
      <c r="D105" s="19" t="inlineStr">
        <is>
          <t>14</t>
        </is>
      </c>
      <c r="E105" s="19" t="inlineStr">
        <is>
          <t>3</t>
        </is>
      </c>
      <c r="F105" s="19" t="inlineStr">
        <is>
          <t>3</t>
        </is>
      </c>
      <c r="G105" s="19" t="inlineStr">
        <is>
          <t>1</t>
        </is>
      </c>
      <c r="H105" s="19" t="n"/>
      <c r="I105" t="n">
        <v>40</v>
      </c>
      <c r="N105" s="19" t="n"/>
      <c r="Q105" s="19" t="inlineStr">
        <is>
          <t>2</t>
        </is>
      </c>
      <c r="R105" t="inlineStr">
        <is>
          <t>2026-08-08</t>
        </is>
      </c>
      <c r="T105" s="19" t="inlineStr">
        <is>
          <t>5500764</t>
        </is>
      </c>
      <c r="U105" t="inlineStr">
        <is>
          <t>SOURCE_ERP=5500764 | SRC=Yüklemede Kullanılan Malzeme Ağırlıkları-2(4).xlsx</t>
        </is>
      </c>
      <c r="V105" t="inlineStr">
        <is>
          <t>2026-08-10T19:29:54Z</t>
        </is>
      </c>
      <c r="W105" t="inlineStr">
        <is>
          <t>2026-08-10T19:29:54Z</t>
        </is>
      </c>
    </row>
    <row r="106">
      <c r="A106" s="19" t="inlineStr">
        <is>
          <t>105</t>
        </is>
      </c>
      <c r="B106" s="19" t="inlineStr">
        <is>
          <t>5501805</t>
        </is>
      </c>
      <c r="C106" t="inlineStr">
        <is>
          <t>Osb ( 11 mm )</t>
        </is>
      </c>
      <c r="D106" s="19" t="inlineStr">
        <is>
          <t>14</t>
        </is>
      </c>
      <c r="E106" s="19" t="inlineStr">
        <is>
          <t>3</t>
        </is>
      </c>
      <c r="F106" s="19" t="inlineStr">
        <is>
          <t>3</t>
        </is>
      </c>
      <c r="G106" s="19" t="inlineStr">
        <is>
          <t>1</t>
        </is>
      </c>
      <c r="H106" s="19" t="n"/>
      <c r="I106" t="n">
        <v>7000</v>
      </c>
      <c r="N106" s="19" t="n"/>
      <c r="Q106" s="19" t="inlineStr">
        <is>
          <t>2</t>
        </is>
      </c>
      <c r="R106" t="inlineStr">
        <is>
          <t>2026-08-08</t>
        </is>
      </c>
      <c r="T106" s="19" t="inlineStr">
        <is>
          <t>5501805</t>
        </is>
      </c>
      <c r="U106" t="inlineStr">
        <is>
          <t>SOURCE_ERP=5501805 | SRC=Yüklemede Kullanılan Malzeme Ağırlıkları-2(4).xlsx</t>
        </is>
      </c>
      <c r="V106" t="inlineStr">
        <is>
          <t>2026-08-10T19:29:54Z</t>
        </is>
      </c>
      <c r="W106" t="inlineStr">
        <is>
          <t>2026-08-10T19:29:54Z</t>
        </is>
      </c>
    </row>
    <row r="107">
      <c r="A107" s="19" t="inlineStr">
        <is>
          <t>106</t>
        </is>
      </c>
      <c r="B107" s="19" t="inlineStr">
        <is>
          <t>5501806</t>
        </is>
      </c>
      <c r="C107" t="inlineStr">
        <is>
          <t>Osb ( 11 mm )</t>
        </is>
      </c>
      <c r="D107" s="19" t="inlineStr">
        <is>
          <t>14</t>
        </is>
      </c>
      <c r="E107" s="19" t="inlineStr">
        <is>
          <t>3</t>
        </is>
      </c>
      <c r="F107" s="19" t="inlineStr">
        <is>
          <t>3</t>
        </is>
      </c>
      <c r="G107" s="19" t="inlineStr">
        <is>
          <t>1</t>
        </is>
      </c>
      <c r="H107" s="19" t="n"/>
      <c r="I107" t="n">
        <v>6500</v>
      </c>
      <c r="N107" s="19" t="n"/>
      <c r="Q107" s="19" t="inlineStr">
        <is>
          <t>2</t>
        </is>
      </c>
      <c r="R107" t="inlineStr">
        <is>
          <t>2026-08-08</t>
        </is>
      </c>
      <c r="T107" s="19" t="inlineStr">
        <is>
          <t>5501806</t>
        </is>
      </c>
      <c r="U107" t="inlineStr">
        <is>
          <t>SOURCE_ERP=5501806 | SRC=Yüklemede Kullanılan Malzeme Ağırlıkları-2(4).xlsx</t>
        </is>
      </c>
      <c r="V107" t="inlineStr">
        <is>
          <t>2026-08-10T19:29:54Z</t>
        </is>
      </c>
      <c r="W107" t="inlineStr">
        <is>
          <t>2026-08-10T19:29:54Z</t>
        </is>
      </c>
    </row>
    <row r="108">
      <c r="A108" s="19" t="inlineStr">
        <is>
          <t>107</t>
        </is>
      </c>
      <c r="B108" s="19" t="inlineStr">
        <is>
          <t>5501956</t>
        </is>
      </c>
      <c r="C108" t="inlineStr">
        <is>
          <t>İNCİ 80*120 KAPAK ISIL İŞLEMLİ</t>
        </is>
      </c>
      <c r="D108" s="19" t="inlineStr">
        <is>
          <t>14</t>
        </is>
      </c>
      <c r="E108" s="19" t="inlineStr">
        <is>
          <t>3</t>
        </is>
      </c>
      <c r="F108" s="19" t="inlineStr">
        <is>
          <t>3</t>
        </is>
      </c>
      <c r="G108" s="19" t="inlineStr">
        <is>
          <t>1</t>
        </is>
      </c>
      <c r="H108" s="19" t="n"/>
      <c r="I108" t="n">
        <v>13000</v>
      </c>
      <c r="N108" s="19" t="n"/>
      <c r="Q108" s="19" t="inlineStr">
        <is>
          <t>2</t>
        </is>
      </c>
      <c r="R108" t="inlineStr">
        <is>
          <t>2026-08-08</t>
        </is>
      </c>
      <c r="T108" s="19" t="inlineStr">
        <is>
          <t>5501956</t>
        </is>
      </c>
      <c r="U108" t="inlineStr">
        <is>
          <t>SOURCE_ERP=5501956 | SRC=Yüklemede Kullanılan Malzeme Ağırlıkları-2(4).xlsx</t>
        </is>
      </c>
      <c r="V108" t="inlineStr">
        <is>
          <t>2026-08-10T19:29:54Z</t>
        </is>
      </c>
      <c r="W108" t="inlineStr">
        <is>
          <t>2026-08-10T19:29:54Z</t>
        </is>
      </c>
    </row>
    <row r="109">
      <c r="A109" s="19" t="inlineStr">
        <is>
          <t>108</t>
        </is>
      </c>
      <c r="B109" s="19" t="inlineStr">
        <is>
          <t>5501957 / 5501958</t>
        </is>
      </c>
      <c r="C109" t="inlineStr">
        <is>
          <t>Yanıcı Etiket</t>
        </is>
      </c>
      <c r="D109" s="19" t="inlineStr">
        <is>
          <t>14</t>
        </is>
      </c>
      <c r="E109" s="19" t="inlineStr">
        <is>
          <t>3</t>
        </is>
      </c>
      <c r="F109" s="19" t="inlineStr">
        <is>
          <t>3</t>
        </is>
      </c>
      <c r="G109" s="19" t="inlineStr">
        <is>
          <t>1</t>
        </is>
      </c>
      <c r="H109" s="19" t="n"/>
      <c r="I109" t="n">
        <v>5</v>
      </c>
      <c r="N109" s="19" t="n"/>
      <c r="Q109" s="19" t="inlineStr">
        <is>
          <t>2</t>
        </is>
      </c>
      <c r="R109" t="inlineStr">
        <is>
          <t>2026-08-08</t>
        </is>
      </c>
      <c r="T109" s="19" t="inlineStr">
        <is>
          <t>5501957 / 5501958</t>
        </is>
      </c>
      <c r="U109" t="inlineStr">
        <is>
          <t>SOURCE_ERP=5501957 / 5501958 | SRC=Yüklemede Kullanılan Malzeme Ağırlıkları-2(4).xlsx</t>
        </is>
      </c>
      <c r="V109" t="inlineStr">
        <is>
          <t>2026-08-10T19:29:54Z</t>
        </is>
      </c>
      <c r="W109" t="inlineStr">
        <is>
          <t>2026-08-10T19:29:54Z</t>
        </is>
      </c>
    </row>
    <row r="110">
      <c r="A110" s="19" t="inlineStr">
        <is>
          <t>109</t>
        </is>
      </c>
      <c r="B110" s="19" t="inlineStr">
        <is>
          <t>5502403</t>
        </is>
      </c>
      <c r="C110" t="inlineStr">
        <is>
          <t>Üçgen Takoz</t>
        </is>
      </c>
      <c r="D110" s="19" t="inlineStr">
        <is>
          <t>14</t>
        </is>
      </c>
      <c r="E110" s="19" t="inlineStr">
        <is>
          <t>3</t>
        </is>
      </c>
      <c r="F110" s="19" t="inlineStr">
        <is>
          <t>3</t>
        </is>
      </c>
      <c r="G110" s="19" t="inlineStr">
        <is>
          <t>1</t>
        </is>
      </c>
      <c r="H110" s="19" t="n"/>
      <c r="I110" t="n">
        <v>500</v>
      </c>
      <c r="N110" s="19" t="n"/>
      <c r="Q110" s="19" t="inlineStr">
        <is>
          <t>2</t>
        </is>
      </c>
      <c r="R110" t="inlineStr">
        <is>
          <t>2026-08-08</t>
        </is>
      </c>
      <c r="T110" s="19" t="inlineStr">
        <is>
          <t>5502403</t>
        </is>
      </c>
      <c r="U110" t="inlineStr">
        <is>
          <t>SOURCE_ERP=5502403 | ALIASES=Üçgen Tokaz | SRC=Yüklemede Kullanılan Malzeme Ağırlıkları-2(4).xlsx</t>
        </is>
      </c>
      <c r="V110" t="inlineStr">
        <is>
          <t>2026-08-10T19:29:54Z</t>
        </is>
      </c>
      <c r="W110" t="inlineStr">
        <is>
          <t>2026-08-10T19:29:54Z</t>
        </is>
      </c>
    </row>
    <row r="111">
      <c r="A111" s="19" t="inlineStr">
        <is>
          <t>110</t>
        </is>
      </c>
      <c r="B111" s="19" t="inlineStr">
        <is>
          <t>5502919</t>
        </is>
      </c>
      <c r="C111" t="inlineStr">
        <is>
          <t>Palet Sabitleme Takozu</t>
        </is>
      </c>
      <c r="D111" s="19" t="inlineStr">
        <is>
          <t>14</t>
        </is>
      </c>
      <c r="E111" s="19" t="inlineStr">
        <is>
          <t>3</t>
        </is>
      </c>
      <c r="F111" s="19" t="inlineStr">
        <is>
          <t>3</t>
        </is>
      </c>
      <c r="G111" s="19" t="inlineStr">
        <is>
          <t>1</t>
        </is>
      </c>
      <c r="H111" s="19" t="n"/>
      <c r="I111" t="n">
        <v>500</v>
      </c>
      <c r="N111" s="19" t="n"/>
      <c r="Q111" s="19" t="inlineStr">
        <is>
          <t>2</t>
        </is>
      </c>
      <c r="R111" t="inlineStr">
        <is>
          <t>2026-08-08</t>
        </is>
      </c>
      <c r="T111" s="19" t="inlineStr">
        <is>
          <t>5502919</t>
        </is>
      </c>
      <c r="U111" t="inlineStr">
        <is>
          <t>SOURCE_ERP=5502919 | SRC=Yüklemede Kullanılan Malzeme Ağırlıkları-2(4).xlsx</t>
        </is>
      </c>
      <c r="V111" t="inlineStr">
        <is>
          <t>2026-08-10T19:29:54Z</t>
        </is>
      </c>
      <c r="W111" t="inlineStr">
        <is>
          <t>2026-08-10T19:29:54Z</t>
        </is>
      </c>
    </row>
    <row r="112">
      <c r="A112" s="19" t="inlineStr">
        <is>
          <t>111</t>
        </is>
      </c>
      <c r="B112" s="19" t="inlineStr">
        <is>
          <t>Hamburg</t>
        </is>
      </c>
      <c r="C112" t="inlineStr">
        <is>
          <t>Sabitleme Tahtası ( 241x18x9 )</t>
        </is>
      </c>
      <c r="D112" s="19" t="inlineStr">
        <is>
          <t>14</t>
        </is>
      </c>
      <c r="E112" s="19" t="inlineStr">
        <is>
          <t>3</t>
        </is>
      </c>
      <c r="F112" s="19" t="inlineStr">
        <is>
          <t>3</t>
        </is>
      </c>
      <c r="G112" s="19" t="inlineStr">
        <is>
          <t>1</t>
        </is>
      </c>
      <c r="H112" s="19" t="n"/>
      <c r="I112" t="n">
        <v>18000</v>
      </c>
      <c r="N112" s="19" t="n"/>
      <c r="Q112" s="19" t="inlineStr">
        <is>
          <t>2</t>
        </is>
      </c>
      <c r="R112" t="inlineStr">
        <is>
          <t>2026-08-08</t>
        </is>
      </c>
      <c r="T112" s="19" t="inlineStr">
        <is>
          <t>Hamburg</t>
        </is>
      </c>
      <c r="U112" t="inlineStr">
        <is>
          <t>SOURCE_ERP=Hamburg | ALIASES=Sabitleme Tahtası ( 206x9x9 ) | SRC=Yüklemede Kullanılan Malzeme Ağırlıkları-2(4).xlsx</t>
        </is>
      </c>
      <c r="V112" t="inlineStr">
        <is>
          <t>2026-08-10T19:29:54Z</t>
        </is>
      </c>
      <c r="W112" t="inlineStr">
        <is>
          <t>2026-08-10T19:29:54Z</t>
        </is>
      </c>
    </row>
    <row r="113">
      <c r="A113" s="19" t="inlineStr">
        <is>
          <t>112</t>
        </is>
      </c>
      <c r="B113" s="19" t="inlineStr">
        <is>
          <t>IND-LABELS</t>
        </is>
      </c>
      <c r="C113" t="inlineStr">
        <is>
          <t>Tüm Etiketler</t>
        </is>
      </c>
      <c r="D113" s="19" t="inlineStr">
        <is>
          <t>14</t>
        </is>
      </c>
      <c r="E113" s="19" t="inlineStr">
        <is>
          <t>3</t>
        </is>
      </c>
      <c r="F113" s="19" t="inlineStr">
        <is>
          <t>3</t>
        </is>
      </c>
      <c r="G113" s="19" t="inlineStr">
        <is>
          <t>1</t>
        </is>
      </c>
      <c r="H113" s="19" t="n"/>
      <c r="I113" t="n">
        <v>5</v>
      </c>
      <c r="N113" s="19" t="n"/>
      <c r="Q113" s="19" t="inlineStr">
        <is>
          <t>2</t>
        </is>
      </c>
      <c r="R113" t="inlineStr">
        <is>
          <t>2026-08-08</t>
        </is>
      </c>
      <c r="T113" s="19" t="inlineStr">
        <is>
          <t>IND-LABELS</t>
        </is>
      </c>
      <c r="U113" t="inlineStr">
        <is>
          <t>SOURCE_ERP=IND-LABELS | SRC=Endüstriyel Ambalaj Miktarı Çalışması(5).xlsx</t>
        </is>
      </c>
      <c r="V113" t="inlineStr">
        <is>
          <t>2026-08-10T19:29:54Z</t>
        </is>
      </c>
      <c r="W113" t="inlineStr">
        <is>
          <t>2026-08-10T19:29:54Z</t>
        </is>
      </c>
    </row>
  </sheetData>
  <dataValidations count="7">
    <dataValidation sqref="D2:D5000" showDropDown="0" showInputMessage="0" showErrorMessage="1" allowBlank="1" errorTitle="Lookup FK" error="Value must exist in LKP_COMPONENT_TYPE" type="list">
      <formula1>NR_COMPONENT_TYPE_ID</formula1>
    </dataValidation>
    <dataValidation sqref="E2:E5000" showDropDown="0" showInputMessage="0" showErrorMessage="1" allowBlank="1" errorTitle="Lookup FK" error="Value must exist in LKP_PACKAGING_LEVEL" type="list">
      <formula1>NR_PACKAGING_LEVEL_ID</formula1>
    </dataValidation>
    <dataValidation sqref="F2:F5000" showDropDown="0" showInputMessage="0" showErrorMessage="1" allowBlank="1" errorTitle="Lookup FK" error="Value must exist in LKP_PACKAGING_FUNCTION" type="list">
      <formula1>NR_PACKAGING_FUNCTION_ID</formula1>
    </dataValidation>
    <dataValidation sqref="G2:G5000" showDropDown="0" showInputMessage="0" showErrorMessage="1" allowBlank="1" errorTitle="Lookup FK" error="Value must exist in LKP_OWNERSHIP_TYPE" type="list">
      <formula1>NR_OWNERSHIP_TYPE_ID</formula1>
    </dataValidation>
    <dataValidation sqref="N2:N5000" showDropDown="0" showInputMessage="0" showErrorMessage="1" allowBlank="1" errorTitle="Lookup FK" error="Value must exist in LKP_RECYCLABILITY_CLASS" type="list">
      <formula1>NR_RECYCLABILITY_CLASS_ID</formula1>
    </dataValidation>
    <dataValidation sqref="Q2:Q5000" showDropDown="0" showInputMessage="0" showErrorMessage="1" allowBlank="1" errorTitle="Lookup FK" error="Value must exist in LKP_STATUS" type="list">
      <formula1>NR_STATUS_ID</formula1>
    </dataValidation>
    <dataValidation sqref="R2:S5000" showDropDown="0" showInputMessage="0" showErrorMessage="1" allowBlank="1" errorTitle="Date" error="Enter a valid date (DD.MM.YYYY)" type="date" operator="greaterThan">
      <formula1>DATE(2000,1,1)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3"/>
    <col width="12" customWidth="1" min="4" max="5"/>
    <col width="36" customWidth="1" min="6" max="6"/>
  </cols>
  <sheetData>
    <row r="1" ht="27.95" customHeight="1">
      <c r="A1" s="6" t="inlineStr">
        <is>
          <t>COMPONENT_MATERIAL_ID</t>
        </is>
      </c>
      <c r="B1" s="6" t="inlineStr">
        <is>
          <t>COMPONENT_ID</t>
        </is>
      </c>
      <c r="C1" s="6" t="inlineStr">
        <is>
          <t>MATERIAL_ID</t>
        </is>
      </c>
      <c r="D1" s="6" t="inlineStr">
        <is>
          <t>SHARE_PCT</t>
        </is>
      </c>
      <c r="E1" s="6" t="inlineStr">
        <is>
          <t>SORT_ORDER</t>
        </is>
      </c>
      <c r="F1" s="6" t="inlineStr">
        <is>
          <t>NOTES</t>
        </is>
      </c>
    </row>
    <row r="2">
      <c r="A2" s="19" t="inlineStr">
        <is>
          <t>1</t>
        </is>
      </c>
      <c r="B2" s="19" t="inlineStr">
        <is>
          <t>3</t>
        </is>
      </c>
      <c r="C2" s="19" t="inlineStr">
        <is>
          <t>5</t>
        </is>
      </c>
      <c r="D2" t="n">
        <v>100</v>
      </c>
      <c r="E2" t="n">
        <v>1</v>
      </c>
      <c r="F2" t="inlineStr">
        <is>
          <t>Family-level only from Level-2 (Paper/Cardboard); not invented grade</t>
        </is>
      </c>
    </row>
    <row r="3">
      <c r="A3" s="19" t="inlineStr">
        <is>
          <t>2</t>
        </is>
      </c>
      <c r="B3" s="19" t="inlineStr">
        <is>
          <t>4</t>
        </is>
      </c>
      <c r="C3" s="19" t="inlineStr">
        <is>
          <t>1</t>
        </is>
      </c>
      <c r="D3" t="n">
        <v>100</v>
      </c>
      <c r="E3" t="n">
        <v>1</v>
      </c>
      <c r="F3" t="inlineStr">
        <is>
          <t>Family-level only from Level-2 (Plastic - polymer family); not invented grade</t>
        </is>
      </c>
    </row>
    <row r="4">
      <c r="A4" s="19" t="inlineStr">
        <is>
          <t>3</t>
        </is>
      </c>
      <c r="B4" s="19" t="inlineStr">
        <is>
          <t>5</t>
        </is>
      </c>
      <c r="C4" s="19" t="inlineStr">
        <is>
          <t>7</t>
        </is>
      </c>
      <c r="D4" t="n">
        <v>100</v>
      </c>
      <c r="E4" t="n">
        <v>1</v>
      </c>
      <c r="F4" t="inlineStr">
        <is>
          <t>Family-level only from Level-2 (Wood); not invented grade</t>
        </is>
      </c>
    </row>
    <row r="5">
      <c r="A5" s="19" t="inlineStr">
        <is>
          <t>4</t>
        </is>
      </c>
      <c r="B5" s="19" t="inlineStr">
        <is>
          <t>6</t>
        </is>
      </c>
      <c r="C5" s="19" t="inlineStr">
        <is>
          <t>7</t>
        </is>
      </c>
      <c r="D5" t="n">
        <v>100</v>
      </c>
      <c r="E5" t="n">
        <v>1</v>
      </c>
      <c r="F5" t="inlineStr">
        <is>
          <t>Family-level only from Level-2 (Wood); not invented grade</t>
        </is>
      </c>
    </row>
    <row r="6">
      <c r="A6" s="19" t="inlineStr">
        <is>
          <t>5</t>
        </is>
      </c>
      <c r="B6" s="19" t="inlineStr">
        <is>
          <t>7</t>
        </is>
      </c>
      <c r="C6" s="19" t="inlineStr">
        <is>
          <t>5</t>
        </is>
      </c>
      <c r="D6" t="n">
        <v>100</v>
      </c>
      <c r="E6" t="n">
        <v>1</v>
      </c>
      <c r="F6" t="inlineStr">
        <is>
          <t>Family-level only from Level-2 (Paper/Cardboard); not invented grade</t>
        </is>
      </c>
    </row>
    <row r="7">
      <c r="A7" s="19" t="inlineStr">
        <is>
          <t>6</t>
        </is>
      </c>
      <c r="B7" s="19" t="inlineStr">
        <is>
          <t>8</t>
        </is>
      </c>
      <c r="C7" s="19" t="inlineStr">
        <is>
          <t>1</t>
        </is>
      </c>
      <c r="D7" t="n">
        <v>100</v>
      </c>
      <c r="E7" t="n">
        <v>1</v>
      </c>
      <c r="F7" t="inlineStr">
        <is>
          <t>Family-level only from Level-2 (Plastic - polymer family); not invented grade</t>
        </is>
      </c>
    </row>
    <row r="8">
      <c r="A8" s="19" t="inlineStr">
        <is>
          <t>7</t>
        </is>
      </c>
      <c r="B8" s="19" t="inlineStr">
        <is>
          <t>9</t>
        </is>
      </c>
      <c r="C8" s="19" t="inlineStr">
        <is>
          <t>1</t>
        </is>
      </c>
      <c r="D8" t="n">
        <v>100</v>
      </c>
      <c r="E8" t="n">
        <v>1</v>
      </c>
      <c r="F8" t="inlineStr">
        <is>
          <t>Family-level only from Level-2 (Plastic - polymer family); not invented grade</t>
        </is>
      </c>
    </row>
    <row r="9">
      <c r="A9" s="19" t="inlineStr">
        <is>
          <t>8</t>
        </is>
      </c>
      <c r="B9" s="19" t="inlineStr">
        <is>
          <t>10</t>
        </is>
      </c>
      <c r="C9" s="19" t="inlineStr">
        <is>
          <t>7</t>
        </is>
      </c>
      <c r="D9" t="n">
        <v>100</v>
      </c>
      <c r="E9" t="n">
        <v>1</v>
      </c>
      <c r="F9" t="inlineStr">
        <is>
          <t>Family-level only from Level-2 (Wood); not invented grade</t>
        </is>
      </c>
    </row>
    <row r="10">
      <c r="A10" s="19" t="inlineStr">
        <is>
          <t>9</t>
        </is>
      </c>
      <c r="B10" s="19" t="inlineStr">
        <is>
          <t>11</t>
        </is>
      </c>
      <c r="C10" s="19" t="inlineStr">
        <is>
          <t>1</t>
        </is>
      </c>
      <c r="D10" t="n">
        <v>100</v>
      </c>
      <c r="E10" t="n">
        <v>1</v>
      </c>
      <c r="F10" t="inlineStr">
        <is>
          <t>Family-level only from Level-2 (Plastic - EPS); not invented grade</t>
        </is>
      </c>
    </row>
    <row r="11">
      <c r="A11" s="19" t="inlineStr">
        <is>
          <t>10</t>
        </is>
      </c>
      <c r="B11" s="19" t="inlineStr">
        <is>
          <t>12</t>
        </is>
      </c>
      <c r="C11" s="19" t="inlineStr">
        <is>
          <t>1</t>
        </is>
      </c>
      <c r="D11" t="n">
        <v>100</v>
      </c>
      <c r="E11" t="n">
        <v>1</v>
      </c>
      <c r="F11" t="inlineStr">
        <is>
          <t>Family-level only from Level-2 (Plastic - polymer family); not invented grade</t>
        </is>
      </c>
    </row>
    <row r="12">
      <c r="A12" s="19" t="inlineStr">
        <is>
          <t>11</t>
        </is>
      </c>
      <c r="B12" s="19" t="inlineStr">
        <is>
          <t>13</t>
        </is>
      </c>
      <c r="C12" s="19" t="inlineStr">
        <is>
          <t>1</t>
        </is>
      </c>
      <c r="D12" t="n">
        <v>100</v>
      </c>
      <c r="E12" t="n">
        <v>1</v>
      </c>
      <c r="F12" t="inlineStr">
        <is>
          <t>Family-level only from Level-2 (Plastic/metal strap - material controlled source classification); not invented grade</t>
        </is>
      </c>
    </row>
    <row r="13">
      <c r="A13" s="19" t="inlineStr">
        <is>
          <t>12</t>
        </is>
      </c>
      <c r="B13" s="19" t="inlineStr">
        <is>
          <t>14</t>
        </is>
      </c>
      <c r="C13" s="19" t="inlineStr">
        <is>
          <t>1</t>
        </is>
      </c>
      <c r="D13" t="n">
        <v>100</v>
      </c>
      <c r="E13" t="n">
        <v>1</v>
      </c>
      <c r="F13" t="inlineStr">
        <is>
          <t>Family-level only from Level-2 (Plastic - polymer family); not invented grade</t>
        </is>
      </c>
    </row>
    <row r="14">
      <c r="A14" s="19" t="inlineStr">
        <is>
          <t>13</t>
        </is>
      </c>
      <c r="B14" s="19" t="inlineStr">
        <is>
          <t>15</t>
        </is>
      </c>
      <c r="C14" s="19" t="inlineStr">
        <is>
          <t>1</t>
        </is>
      </c>
      <c r="D14" t="n">
        <v>100</v>
      </c>
      <c r="E14" t="n">
        <v>1</v>
      </c>
      <c r="F14" t="inlineStr">
        <is>
          <t>Family-level only from Level-2 (Plastic - polymer family); not invented grade</t>
        </is>
      </c>
    </row>
    <row r="15">
      <c r="A15" s="19" t="inlineStr">
        <is>
          <t>14</t>
        </is>
      </c>
      <c r="B15" s="19" t="inlineStr">
        <is>
          <t>16</t>
        </is>
      </c>
      <c r="C15" s="19" t="inlineStr">
        <is>
          <t>7</t>
        </is>
      </c>
      <c r="D15" t="n">
        <v>100</v>
      </c>
      <c r="E15" t="n">
        <v>1</v>
      </c>
      <c r="F15" t="inlineStr">
        <is>
          <t>Family-level only from Level-2 (Wood-based panel); not invented grade</t>
        </is>
      </c>
    </row>
    <row r="16">
      <c r="A16" s="19" t="inlineStr">
        <is>
          <t>15</t>
        </is>
      </c>
      <c r="B16" s="19" t="inlineStr">
        <is>
          <t>17</t>
        </is>
      </c>
      <c r="C16" s="19" t="inlineStr">
        <is>
          <t>1</t>
        </is>
      </c>
      <c r="D16" t="n">
        <v>100</v>
      </c>
      <c r="E16" t="n">
        <v>1</v>
      </c>
      <c r="F16" t="inlineStr">
        <is>
          <t>Family-level only from Level-2 (Plastic - polymer family); not invented grade</t>
        </is>
      </c>
    </row>
    <row r="17">
      <c r="A17" s="19" t="inlineStr">
        <is>
          <t>16</t>
        </is>
      </c>
      <c r="B17" s="19" t="inlineStr">
        <is>
          <t>18</t>
        </is>
      </c>
      <c r="C17" s="19" t="inlineStr">
        <is>
          <t>1</t>
        </is>
      </c>
      <c r="D17" t="n">
        <v>100</v>
      </c>
      <c r="E17" t="n">
        <v>1</v>
      </c>
      <c r="F17" t="inlineStr">
        <is>
          <t>Family-level only from Level-2 (Plastic - polymer family); not invented grade</t>
        </is>
      </c>
    </row>
    <row r="18">
      <c r="A18" s="19" t="inlineStr">
        <is>
          <t>17</t>
        </is>
      </c>
      <c r="B18" s="19" t="inlineStr">
        <is>
          <t>19</t>
        </is>
      </c>
      <c r="C18" s="19" t="inlineStr">
        <is>
          <t>1</t>
        </is>
      </c>
      <c r="D18" t="n">
        <v>100</v>
      </c>
      <c r="E18" t="n">
        <v>1</v>
      </c>
      <c r="F18" t="inlineStr">
        <is>
          <t>Family-level only from Level-2 (Plastic - polymer family); not invented grade</t>
        </is>
      </c>
    </row>
    <row r="19">
      <c r="A19" s="19" t="inlineStr">
        <is>
          <t>18</t>
        </is>
      </c>
      <c r="B19" s="19" t="inlineStr">
        <is>
          <t>20</t>
        </is>
      </c>
      <c r="C19" s="19" t="inlineStr">
        <is>
          <t>1</t>
        </is>
      </c>
      <c r="D19" t="n">
        <v>100</v>
      </c>
      <c r="E19" t="n">
        <v>1</v>
      </c>
      <c r="F19" t="inlineStr">
        <is>
          <t>Family-level only from Level-2 (Plastic - polymer family); not invented grade</t>
        </is>
      </c>
    </row>
    <row r="20">
      <c r="A20" s="19" t="inlineStr">
        <is>
          <t>19</t>
        </is>
      </c>
      <c r="B20" s="19" t="inlineStr">
        <is>
          <t>21</t>
        </is>
      </c>
      <c r="C20" s="19" t="inlineStr">
        <is>
          <t>1</t>
        </is>
      </c>
      <c r="D20" t="n">
        <v>100</v>
      </c>
      <c r="E20" t="n">
        <v>1</v>
      </c>
      <c r="F20" t="inlineStr">
        <is>
          <t>Family-level only from Level-2 (Plastic - polymer family); not invented grade</t>
        </is>
      </c>
    </row>
    <row r="21">
      <c r="A21" s="19" t="inlineStr">
        <is>
          <t>20</t>
        </is>
      </c>
      <c r="B21" s="19" t="inlineStr">
        <is>
          <t>22</t>
        </is>
      </c>
      <c r="C21" s="19" t="inlineStr">
        <is>
          <t>1</t>
        </is>
      </c>
      <c r="D21" t="n">
        <v>100</v>
      </c>
      <c r="E21" t="n">
        <v>1</v>
      </c>
      <c r="F21" t="inlineStr">
        <is>
          <t>Family-level only from Level-2 (Plastic - polymer family); not invented grade</t>
        </is>
      </c>
    </row>
    <row r="22">
      <c r="A22" s="19" t="inlineStr">
        <is>
          <t>21</t>
        </is>
      </c>
      <c r="B22" s="19" t="inlineStr">
        <is>
          <t>23</t>
        </is>
      </c>
      <c r="C22" s="19" t="inlineStr">
        <is>
          <t>1</t>
        </is>
      </c>
      <c r="D22" t="n">
        <v>100</v>
      </c>
      <c r="E22" t="n">
        <v>1</v>
      </c>
      <c r="F22" t="inlineStr">
        <is>
          <t>Family-level only from Level-2 (Plastic - polymer family); not invented grade</t>
        </is>
      </c>
    </row>
    <row r="23">
      <c r="A23" s="19" t="inlineStr">
        <is>
          <t>22</t>
        </is>
      </c>
      <c r="B23" s="19" t="inlineStr">
        <is>
          <t>24</t>
        </is>
      </c>
      <c r="C23" s="19" t="inlineStr">
        <is>
          <t>1</t>
        </is>
      </c>
      <c r="D23" t="n">
        <v>100</v>
      </c>
      <c r="E23" t="n">
        <v>1</v>
      </c>
      <c r="F23" t="inlineStr">
        <is>
          <t>Family-level only from Level-2 (Plastic - EPS); not invented grade</t>
        </is>
      </c>
    </row>
    <row r="24">
      <c r="A24" s="19" t="inlineStr">
        <is>
          <t>23</t>
        </is>
      </c>
      <c r="B24" s="19" t="inlineStr">
        <is>
          <t>25</t>
        </is>
      </c>
      <c r="C24" s="19" t="inlineStr">
        <is>
          <t>5</t>
        </is>
      </c>
      <c r="D24" t="n">
        <v>100</v>
      </c>
      <c r="E24" t="n">
        <v>1</v>
      </c>
      <c r="F24" t="inlineStr">
        <is>
          <t>Family-level only from Level-2 (Paper/Cardboard); not invented grade</t>
        </is>
      </c>
    </row>
    <row r="25">
      <c r="A25" s="19" t="inlineStr">
        <is>
          <t>24</t>
        </is>
      </c>
      <c r="B25" s="19" t="inlineStr">
        <is>
          <t>26</t>
        </is>
      </c>
      <c r="C25" s="19" t="inlineStr">
        <is>
          <t>1</t>
        </is>
      </c>
      <c r="D25" t="n">
        <v>100</v>
      </c>
      <c r="E25" t="n">
        <v>1</v>
      </c>
      <c r="F25" t="inlineStr">
        <is>
          <t>Family-level only from Level-2 (Plastic - polymer family); not invented grade</t>
        </is>
      </c>
    </row>
    <row r="26">
      <c r="A26" s="19" t="inlineStr">
        <is>
          <t>25</t>
        </is>
      </c>
      <c r="B26" s="19" t="inlineStr">
        <is>
          <t>27</t>
        </is>
      </c>
      <c r="C26" s="19" t="inlineStr">
        <is>
          <t>1</t>
        </is>
      </c>
      <c r="D26" t="n">
        <v>100</v>
      </c>
      <c r="E26" t="n">
        <v>1</v>
      </c>
      <c r="F26" t="inlineStr">
        <is>
          <t>Family-level only from Level-2 (Plastic - polymer family); not invented grade</t>
        </is>
      </c>
    </row>
    <row r="27">
      <c r="A27" s="19" t="inlineStr">
        <is>
          <t>26</t>
        </is>
      </c>
      <c r="B27" s="19" t="inlineStr">
        <is>
          <t>28</t>
        </is>
      </c>
      <c r="C27" s="19" t="inlineStr">
        <is>
          <t>1</t>
        </is>
      </c>
      <c r="D27" t="n">
        <v>100</v>
      </c>
      <c r="E27" t="n">
        <v>1</v>
      </c>
      <c r="F27" t="inlineStr">
        <is>
          <t>Family-level only from Level-2 (Plastic - polymer family); not invented grade</t>
        </is>
      </c>
    </row>
    <row r="28">
      <c r="A28" s="19" t="inlineStr">
        <is>
          <t>27</t>
        </is>
      </c>
      <c r="B28" s="19" t="inlineStr">
        <is>
          <t>29</t>
        </is>
      </c>
      <c r="C28" s="19" t="inlineStr">
        <is>
          <t>1</t>
        </is>
      </c>
      <c r="D28" t="n">
        <v>100</v>
      </c>
      <c r="E28" t="n">
        <v>1</v>
      </c>
      <c r="F28" t="inlineStr">
        <is>
          <t>Family-level only from Level-2 (Plastic - polymer family); not invented grade</t>
        </is>
      </c>
    </row>
    <row r="29">
      <c r="A29" s="19" t="inlineStr">
        <is>
          <t>28</t>
        </is>
      </c>
      <c r="B29" s="19" t="inlineStr">
        <is>
          <t>30</t>
        </is>
      </c>
      <c r="C29" s="19" t="inlineStr">
        <is>
          <t>5</t>
        </is>
      </c>
      <c r="D29" t="n">
        <v>100</v>
      </c>
      <c r="E29" t="n">
        <v>1</v>
      </c>
      <c r="F29" t="inlineStr">
        <is>
          <t>Family-level only from Level-2 (Paper/Cardboard); not invented grade</t>
        </is>
      </c>
    </row>
    <row r="30">
      <c r="A30" s="19" t="inlineStr">
        <is>
          <t>29</t>
        </is>
      </c>
      <c r="B30" s="19" t="inlineStr">
        <is>
          <t>31</t>
        </is>
      </c>
      <c r="C30" s="19" t="inlineStr">
        <is>
          <t>1</t>
        </is>
      </c>
      <c r="D30" t="n">
        <v>100</v>
      </c>
      <c r="E30" t="n">
        <v>1</v>
      </c>
      <c r="F30" t="inlineStr">
        <is>
          <t>Family-level only from Level-2 (Plastic - polymer family); not invented grade</t>
        </is>
      </c>
    </row>
    <row r="31">
      <c r="A31" s="19" t="inlineStr">
        <is>
          <t>30</t>
        </is>
      </c>
      <c r="B31" s="19" t="inlineStr">
        <is>
          <t>32</t>
        </is>
      </c>
      <c r="C31" s="19" t="inlineStr">
        <is>
          <t>1</t>
        </is>
      </c>
      <c r="D31" t="n">
        <v>100</v>
      </c>
      <c r="E31" t="n">
        <v>1</v>
      </c>
      <c r="F31" t="inlineStr">
        <is>
          <t>Family-level only from Level-2 (Plastic - polymer family); not invented grade</t>
        </is>
      </c>
    </row>
    <row r="32">
      <c r="A32" s="19" t="inlineStr">
        <is>
          <t>31</t>
        </is>
      </c>
      <c r="B32" s="19" t="inlineStr">
        <is>
          <t>38</t>
        </is>
      </c>
      <c r="C32" s="19" t="inlineStr">
        <is>
          <t>1</t>
        </is>
      </c>
      <c r="D32" t="n">
        <v>100</v>
      </c>
      <c r="E32" t="n">
        <v>1</v>
      </c>
      <c r="F32" t="inlineStr">
        <is>
          <t>Family-level only from Level-2 (Plastic - polymer family); not invented grade</t>
        </is>
      </c>
    </row>
    <row r="33">
      <c r="A33" s="19" t="inlineStr">
        <is>
          <t>32</t>
        </is>
      </c>
      <c r="B33" s="19" t="inlineStr">
        <is>
          <t>41</t>
        </is>
      </c>
      <c r="C33" s="19" t="inlineStr">
        <is>
          <t>7</t>
        </is>
      </c>
      <c r="D33" t="n">
        <v>100</v>
      </c>
      <c r="E33" t="n">
        <v>1</v>
      </c>
      <c r="F33" t="inlineStr">
        <is>
          <t>Family-level only from Level-2 (Wood); not invented grade</t>
        </is>
      </c>
    </row>
    <row r="34">
      <c r="A34" s="19" t="inlineStr">
        <is>
          <t>33</t>
        </is>
      </c>
      <c r="B34" s="19" t="inlineStr">
        <is>
          <t>42</t>
        </is>
      </c>
      <c r="C34" s="19" t="inlineStr">
        <is>
          <t>7</t>
        </is>
      </c>
      <c r="D34" t="n">
        <v>100</v>
      </c>
      <c r="E34" t="n">
        <v>1</v>
      </c>
      <c r="F34" t="inlineStr">
        <is>
          <t>Family-level only from Level-2 (Wood); not invented grade</t>
        </is>
      </c>
    </row>
    <row r="35">
      <c r="A35" s="19" t="inlineStr">
        <is>
          <t>34</t>
        </is>
      </c>
      <c r="B35" s="19" t="inlineStr">
        <is>
          <t>44</t>
        </is>
      </c>
      <c r="C35" s="19" t="inlineStr">
        <is>
          <t>1</t>
        </is>
      </c>
      <c r="D35" t="n">
        <v>100</v>
      </c>
      <c r="E35" t="n">
        <v>1</v>
      </c>
      <c r="F35" t="inlineStr">
        <is>
          <t>Family-level only from Level-2 (Plastic - polymer family); not invented grade</t>
        </is>
      </c>
    </row>
    <row r="36">
      <c r="A36" s="19" t="inlineStr">
        <is>
          <t>35</t>
        </is>
      </c>
      <c r="B36" s="19" t="inlineStr">
        <is>
          <t>51</t>
        </is>
      </c>
      <c r="C36" s="19" t="inlineStr">
        <is>
          <t>5</t>
        </is>
      </c>
      <c r="D36" t="n">
        <v>100</v>
      </c>
      <c r="E36" t="n">
        <v>1</v>
      </c>
      <c r="F36" t="inlineStr">
        <is>
          <t>Family-level only from Level-2 (Paper/Cardboard); not invented grade</t>
        </is>
      </c>
    </row>
    <row r="37">
      <c r="A37" s="19" t="inlineStr">
        <is>
          <t>36</t>
        </is>
      </c>
      <c r="B37" s="19" t="inlineStr">
        <is>
          <t>52</t>
        </is>
      </c>
      <c r="C37" s="19" t="inlineStr">
        <is>
          <t>5</t>
        </is>
      </c>
      <c r="D37" t="n">
        <v>100</v>
      </c>
      <c r="E37" t="n">
        <v>1</v>
      </c>
      <c r="F37" t="inlineStr">
        <is>
          <t>Family-level only from Level-2 (Paper/Cardboard); not invented grade</t>
        </is>
      </c>
    </row>
    <row r="38">
      <c r="A38" s="19" t="inlineStr">
        <is>
          <t>37</t>
        </is>
      </c>
      <c r="B38" s="19" t="inlineStr">
        <is>
          <t>53</t>
        </is>
      </c>
      <c r="C38" s="19" t="inlineStr">
        <is>
          <t>1</t>
        </is>
      </c>
      <c r="D38" t="n">
        <v>100</v>
      </c>
      <c r="E38" t="n">
        <v>1</v>
      </c>
      <c r="F38" t="inlineStr">
        <is>
          <t>Family-level only from Level-2 (Plastic - polymer family); not invented grade</t>
        </is>
      </c>
    </row>
    <row r="39">
      <c r="A39" s="19" t="inlineStr">
        <is>
          <t>38</t>
        </is>
      </c>
      <c r="B39" s="19" t="inlineStr">
        <is>
          <t>54</t>
        </is>
      </c>
      <c r="C39" s="19" t="inlineStr">
        <is>
          <t>5</t>
        </is>
      </c>
      <c r="D39" t="n">
        <v>100</v>
      </c>
      <c r="E39" t="n">
        <v>1</v>
      </c>
      <c r="F39" t="inlineStr">
        <is>
          <t>Family-level only from Level-2 (Paper/Cardboard); not invented grade</t>
        </is>
      </c>
    </row>
    <row r="40">
      <c r="A40" s="19" t="inlineStr">
        <is>
          <t>39</t>
        </is>
      </c>
      <c r="B40" s="19" t="inlineStr">
        <is>
          <t>65</t>
        </is>
      </c>
      <c r="C40" s="19" t="inlineStr">
        <is>
          <t>1</t>
        </is>
      </c>
      <c r="D40" t="n">
        <v>100</v>
      </c>
      <c r="E40" t="n">
        <v>1</v>
      </c>
      <c r="F40" t="inlineStr">
        <is>
          <t>Family-level only from Level-2 (Plastic - EPS); not invented grade</t>
        </is>
      </c>
    </row>
    <row r="41">
      <c r="A41" s="19" t="inlineStr">
        <is>
          <t>40</t>
        </is>
      </c>
      <c r="B41" s="19" t="inlineStr">
        <is>
          <t>71</t>
        </is>
      </c>
      <c r="C41" s="19" t="inlineStr">
        <is>
          <t>1</t>
        </is>
      </c>
      <c r="D41" t="n">
        <v>100</v>
      </c>
      <c r="E41" t="n">
        <v>1</v>
      </c>
      <c r="F41" t="inlineStr">
        <is>
          <t>Family-level only from Level-2 (Plastic - EPS); not invented grade</t>
        </is>
      </c>
    </row>
    <row r="42">
      <c r="A42" s="19" t="inlineStr">
        <is>
          <t>41</t>
        </is>
      </c>
      <c r="B42" s="19" t="inlineStr">
        <is>
          <t>72</t>
        </is>
      </c>
      <c r="C42" s="19" t="inlineStr">
        <is>
          <t>1</t>
        </is>
      </c>
      <c r="D42" t="n">
        <v>100</v>
      </c>
      <c r="E42" t="n">
        <v>1</v>
      </c>
      <c r="F42" t="inlineStr">
        <is>
          <t>Family-level only from Level-2 (Plastic - EPS); not invented grade</t>
        </is>
      </c>
    </row>
    <row r="43">
      <c r="A43" s="19" t="inlineStr">
        <is>
          <t>42</t>
        </is>
      </c>
      <c r="B43" s="19" t="inlineStr">
        <is>
          <t>75</t>
        </is>
      </c>
      <c r="C43" s="19" t="inlineStr">
        <is>
          <t>1</t>
        </is>
      </c>
      <c r="D43" t="n">
        <v>100</v>
      </c>
      <c r="E43" t="n">
        <v>1</v>
      </c>
      <c r="F43" t="inlineStr">
        <is>
          <t>Family-level only from Level-2 (Plastic - EPS); not invented grade</t>
        </is>
      </c>
    </row>
    <row r="44">
      <c r="A44" s="19" t="inlineStr">
        <is>
          <t>43</t>
        </is>
      </c>
      <c r="B44" s="19" t="inlineStr">
        <is>
          <t>76</t>
        </is>
      </c>
      <c r="C44" s="19" t="inlineStr">
        <is>
          <t>1</t>
        </is>
      </c>
      <c r="D44" t="n">
        <v>100</v>
      </c>
      <c r="E44" t="n">
        <v>1</v>
      </c>
      <c r="F44" t="inlineStr">
        <is>
          <t>Family-level only from Level-2 (Plastic - polymer family); not invented grade</t>
        </is>
      </c>
    </row>
    <row r="45">
      <c r="A45" s="19" t="inlineStr">
        <is>
          <t>44</t>
        </is>
      </c>
      <c r="B45" s="19" t="inlineStr">
        <is>
          <t>77</t>
        </is>
      </c>
      <c r="C45" s="19" t="inlineStr">
        <is>
          <t>1</t>
        </is>
      </c>
      <c r="D45" t="n">
        <v>100</v>
      </c>
      <c r="E45" t="n">
        <v>1</v>
      </c>
      <c r="F45" t="inlineStr">
        <is>
          <t>Family-level only from Level-2 (Plastic - polymer family); not invented grade</t>
        </is>
      </c>
    </row>
    <row r="46">
      <c r="A46" s="19" t="inlineStr">
        <is>
          <t>45</t>
        </is>
      </c>
      <c r="B46" s="19" t="inlineStr">
        <is>
          <t>86</t>
        </is>
      </c>
      <c r="C46" s="19" t="inlineStr">
        <is>
          <t>1</t>
        </is>
      </c>
      <c r="D46" t="n">
        <v>100</v>
      </c>
      <c r="E46" t="n">
        <v>1</v>
      </c>
      <c r="F46" t="inlineStr">
        <is>
          <t>Family-level only from Level-2 (Plastic/metal strap - material controlled source classification); not invented grade</t>
        </is>
      </c>
    </row>
    <row r="47">
      <c r="A47" s="19" t="inlineStr">
        <is>
          <t>46</t>
        </is>
      </c>
      <c r="B47" s="19" t="inlineStr">
        <is>
          <t>102</t>
        </is>
      </c>
      <c r="C47" s="19" t="inlineStr">
        <is>
          <t>1</t>
        </is>
      </c>
      <c r="D47" t="n">
        <v>100</v>
      </c>
      <c r="E47" t="n">
        <v>1</v>
      </c>
      <c r="F47" t="inlineStr">
        <is>
          <t>Family-level only from Level-2 (Plastic - polymer family); not invented grade</t>
        </is>
      </c>
    </row>
    <row r="48">
      <c r="A48" s="19" t="inlineStr">
        <is>
          <t>47</t>
        </is>
      </c>
      <c r="B48" s="19" t="inlineStr">
        <is>
          <t>105</t>
        </is>
      </c>
      <c r="C48" s="19" t="inlineStr">
        <is>
          <t>7</t>
        </is>
      </c>
      <c r="D48" t="n">
        <v>100</v>
      </c>
      <c r="E48" t="n">
        <v>1</v>
      </c>
      <c r="F48" t="inlineStr">
        <is>
          <t>Family-level only from Level-2 (Wood-based panel); not invented grade</t>
        </is>
      </c>
    </row>
    <row r="49">
      <c r="A49" s="19" t="inlineStr">
        <is>
          <t>48</t>
        </is>
      </c>
      <c r="B49" s="19" t="inlineStr">
        <is>
          <t>106</t>
        </is>
      </c>
      <c r="C49" s="19" t="inlineStr">
        <is>
          <t>7</t>
        </is>
      </c>
      <c r="D49" t="n">
        <v>100</v>
      </c>
      <c r="E49" t="n">
        <v>1</v>
      </c>
      <c r="F49" t="inlineStr">
        <is>
          <t>Family-level only from Level-2 (Wood-based panel); not invented grade</t>
        </is>
      </c>
    </row>
    <row r="50">
      <c r="A50" s="19" t="inlineStr">
        <is>
          <t>49</t>
        </is>
      </c>
      <c r="B50" s="19" t="inlineStr">
        <is>
          <t>107</t>
        </is>
      </c>
      <c r="C50" s="19" t="inlineStr">
        <is>
          <t>7</t>
        </is>
      </c>
      <c r="D50" t="n">
        <v>100</v>
      </c>
      <c r="E50" t="n">
        <v>1</v>
      </c>
      <c r="F50" t="inlineStr">
        <is>
          <t>Family-level only from Level-2 (Wood); not invented grade</t>
        </is>
      </c>
    </row>
    <row r="51">
      <c r="A51" s="19" t="inlineStr">
        <is>
          <t>50</t>
        </is>
      </c>
      <c r="B51" s="19" t="inlineStr">
        <is>
          <t>109</t>
        </is>
      </c>
      <c r="C51" s="19" t="inlineStr">
        <is>
          <t>7</t>
        </is>
      </c>
      <c r="D51" t="n">
        <v>100</v>
      </c>
      <c r="E51" t="n">
        <v>1</v>
      </c>
      <c r="F51" t="inlineStr">
        <is>
          <t>Family-level only from Level-2 (Wood); not invented grade</t>
        </is>
      </c>
    </row>
    <row r="52">
      <c r="A52" s="19" t="inlineStr">
        <is>
          <t>51</t>
        </is>
      </c>
      <c r="B52" s="19" t="inlineStr">
        <is>
          <t>110</t>
        </is>
      </c>
      <c r="C52" s="19" t="inlineStr">
        <is>
          <t>7</t>
        </is>
      </c>
      <c r="D52" t="n">
        <v>100</v>
      </c>
      <c r="E52" t="n">
        <v>1</v>
      </c>
      <c r="F52" t="inlineStr">
        <is>
          <t>Family-level only from Level-2 (Wood); not invented grade</t>
        </is>
      </c>
    </row>
  </sheetData>
  <dataValidations count="1">
    <dataValidation sqref="C2:C5000" showDropDown="0" showInputMessage="0" showErrorMessage="1" allowBlank="1" errorTitle="Lookup FK" error="Value must exist in LKP_MATERIAL" type="list">
      <formula1>NR_MATERIAL_ID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L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3" customWidth="1" min="3" max="3"/>
    <col width="28" customWidth="1" min="4" max="4"/>
    <col width="36" customWidth="1" min="5" max="5"/>
    <col width="15" customWidth="1" min="6" max="6"/>
    <col width="14" customWidth="1" min="7" max="7"/>
    <col width="16" customWidth="1" min="8" max="8"/>
    <col width="14" customWidth="1" min="9" max="9"/>
    <col width="36" customWidth="1" min="10" max="10"/>
    <col width="12" customWidth="1" min="11" max="12"/>
  </cols>
  <sheetData>
    <row r="1" ht="27.95" customHeight="1">
      <c r="A1" s="6" t="inlineStr">
        <is>
          <t>PACKAGING_CONFIGURATION_ID</t>
        </is>
      </c>
      <c r="B1" s="6" t="inlineStr">
        <is>
          <t>CONFIG_GROUP_CODE</t>
        </is>
      </c>
      <c r="C1" s="6" t="inlineStr">
        <is>
          <t>REVISION_NO</t>
        </is>
      </c>
      <c r="D1" s="6" t="inlineStr">
        <is>
          <t>PACKAGING_CONFIGURATION_NAME</t>
        </is>
      </c>
      <c r="E1" s="6" t="inlineStr">
        <is>
          <t>DESCRIPTION</t>
        </is>
      </c>
      <c r="F1" s="6" t="inlineStr">
        <is>
          <t>SUPERSEDES_ID</t>
        </is>
      </c>
      <c r="G1" s="6" t="inlineStr">
        <is>
          <t>STATUS_ID</t>
        </is>
      </c>
      <c r="H1" s="6" t="inlineStr">
        <is>
          <t>EFFECTIVE_FROM</t>
        </is>
      </c>
      <c r="I1" s="6" t="inlineStr">
        <is>
          <t>EFFECTIVE_TO</t>
        </is>
      </c>
      <c r="J1" s="6" t="inlineStr">
        <is>
          <t>NOTES</t>
        </is>
      </c>
      <c r="K1" s="6" t="inlineStr">
        <is>
          <t>CREATED_AT</t>
        </is>
      </c>
      <c r="L1" s="6" t="inlineStr">
        <is>
          <t>UPDATED_AT</t>
        </is>
      </c>
    </row>
    <row r="2">
      <c r="A2" s="19" t="inlineStr">
        <is>
          <t>1</t>
        </is>
      </c>
      <c r="B2" s="19" t="inlineStr">
        <is>
          <t>ST-012-EUR-01</t>
        </is>
      </c>
      <c r="C2" t="n">
        <v>0</v>
      </c>
      <c r="D2" t="inlineStr">
        <is>
          <t>Starter 12-unit | Euro Pallet 800×1200×152 mm | Variant 01</t>
        </is>
      </c>
      <c r="E2" t="inlineStr">
        <is>
          <t>TR: C | Palet (4000038): 1 adet | Köşebent (4000590): 4 adet | EN: C | Pallet (4000038): 1 pc | Edge protector (4000590): 4 pcs</t>
        </is>
      </c>
      <c r="F2" s="19" t="n"/>
      <c r="G2" s="19" t="inlineStr">
        <is>
          <t>2</t>
        </is>
      </c>
      <c r="H2" t="inlineStr">
        <is>
          <t>2026-08-08</t>
        </is>
      </c>
      <c r="J2" t="inlineStr">
        <is>
          <t>FINAL_CONFIGURATION_ID=IA-ST-012-EUR-01;SOURCE_CONFIGURATION_ID=IA-ST-CFG-0004;FAMILY=STARTER;PACKAGING_MASS_KG=29.326;EVIDENCE_BASIS=REV00 CURRENT EVIDENCE BASIS — ARTICLE 5 ASSESSMENT BASIS;SOURCE_REF=INCI_AKU_PPWR_Final_Configuration_Register_Rev00_GOLDEN_VARIANTS_FINAL.xlsx!01_FINAL_CONFIG_MASTER!R2</t>
        </is>
      </c>
      <c r="K2" t="inlineStr">
        <is>
          <t>2026-08-10T19:29:54Z</t>
        </is>
      </c>
      <c r="L2" t="inlineStr">
        <is>
          <t>2026-08-10T19:29:54Z</t>
        </is>
      </c>
    </row>
    <row r="3">
      <c r="A3" s="19" t="inlineStr">
        <is>
          <t>2</t>
        </is>
      </c>
      <c r="B3" s="19" t="inlineStr">
        <is>
          <t>ST-012-EUR-02</t>
        </is>
      </c>
      <c r="C3" t="n">
        <v>0</v>
      </c>
      <c r="D3" t="inlineStr">
        <is>
          <t>Starter 12-unit | Euro Pallet 800×1200×152 mm | Variant 02</t>
        </is>
      </c>
      <c r="E3" t="inlineStr">
        <is>
          <t>TR: L6 | Palet (4000038): 1 adet | Köşebent (4000590): 4 adet | EN: L6 | Pallet (4000038): 1 pc | Edge protector (4000590): 4 pcs</t>
        </is>
      </c>
      <c r="F3" s="19" t="n"/>
      <c r="G3" s="19" t="inlineStr">
        <is>
          <t>2</t>
        </is>
      </c>
      <c r="H3" t="inlineStr">
        <is>
          <t>2026-08-08</t>
        </is>
      </c>
      <c r="J3" t="inlineStr">
        <is>
          <t>FINAL_CONFIGURATION_ID=IA-ST-012-EUR-02;SOURCE_CONFIGURATION_ID=IA-ST-CFG-0005;FAMILY=STARTER;PACKAGING_MASS_KG=27.526;EVIDENCE_BASIS=REV00 CURRENT EVIDENCE BASIS — ARTICLE 5 ASSESSMENT BASIS;SOURCE_REF=INCI_AKU_PPWR_Final_Configuration_Register_Rev00_GOLDEN_VARIANTS_FINAL.xlsx!01_FINAL_CONFIG_MASTER!R3</t>
        </is>
      </c>
      <c r="K3" t="inlineStr">
        <is>
          <t>2026-08-10T19:29:54Z</t>
        </is>
      </c>
      <c r="L3" t="inlineStr">
        <is>
          <t>2026-08-10T19:29:54Z</t>
        </is>
      </c>
    </row>
    <row r="4">
      <c r="A4" s="19" t="inlineStr">
        <is>
          <t>3</t>
        </is>
      </c>
      <c r="B4" s="19" t="inlineStr">
        <is>
          <t>ST-012-EUR-03</t>
        </is>
      </c>
      <c r="C4" t="n">
        <v>0</v>
      </c>
      <c r="D4" t="inlineStr">
        <is>
          <t>Starter 12-unit | Euro Pallet 800×1200×152 mm | Variant 03</t>
        </is>
      </c>
      <c r="E4" t="inlineStr">
        <is>
          <t>TR: C | Palet (4000038): 1 adet | Köşebent (4000590): 2 adet | EN: C | Pallet (4000038): 1 pc | Edge protector (4000590): 2 pcs</t>
        </is>
      </c>
      <c r="F4" s="19" t="n"/>
      <c r="G4" s="19" t="inlineStr">
        <is>
          <t>2</t>
        </is>
      </c>
      <c r="H4" t="inlineStr">
        <is>
          <t>2026-08-08</t>
        </is>
      </c>
      <c r="J4" t="inlineStr">
        <is>
          <t>FINAL_CONFIGURATION_ID=IA-ST-012-EUR-03;SOURCE_CONFIGURATION_ID=IA-ST-CFG-0006;FAMILY=STARTER;PACKAGING_MASS_KG=29.0392;EVIDENCE_BASIS=REV00 CURRENT EVIDENCE BASIS — ARTICLE 5 ASSESSMENT BASIS;SOURCE_REF=INCI_AKU_PPWR_Final_Configuration_Register_Rev00_GOLDEN_VARIANTS_FINAL.xlsx!01_FINAL_CONFIG_MASTER!R4</t>
        </is>
      </c>
      <c r="K4" t="inlineStr">
        <is>
          <t>2026-08-10T19:29:54Z</t>
        </is>
      </c>
      <c r="L4" t="inlineStr">
        <is>
          <t>2026-08-10T19:29:54Z</t>
        </is>
      </c>
    </row>
    <row r="5">
      <c r="A5" s="19" t="inlineStr">
        <is>
          <t>4</t>
        </is>
      </c>
      <c r="B5" s="19" t="inlineStr">
        <is>
          <t>ST-018-EUR-01</t>
        </is>
      </c>
      <c r="C5" t="n">
        <v>0</v>
      </c>
      <c r="D5" t="inlineStr">
        <is>
          <t>Starter 18-unit | Euro Pallet 800×1200×152 mm | Variant 01</t>
        </is>
      </c>
      <c r="E5" t="inlineStr">
        <is>
          <t>TR: C | Palet (4000038): 1 adet | Köşebent (4001160): 4 adet | EN: C | Pallet (4000038): 1 pc | Edge protector (4001160): 4 pcs</t>
        </is>
      </c>
      <c r="F5" s="19" t="n"/>
      <c r="G5" s="19" t="inlineStr">
        <is>
          <t>2</t>
        </is>
      </c>
      <c r="H5" t="inlineStr">
        <is>
          <t>2026-08-08</t>
        </is>
      </c>
      <c r="J5" t="inlineStr">
        <is>
          <t>FINAL_CONFIGURATION_ID=IA-ST-018-EUR-01;SOURCE_CONFIGURATION_ID=IA-ST-CFG-0012;FAMILY=STARTER;PACKAGING_MASS_KG=32.434;EVIDENCE_BASIS=REV00 CURRENT EVIDENCE BASIS — ARTICLE 5 ASSESSMENT BASIS;SOURCE_REF=INCI_AKU_PPWR_Final_Configuration_Register_Rev00_GOLDEN_VARIANTS_FINAL.xlsx!01_FINAL_CONFIG_MASTER!R5</t>
        </is>
      </c>
      <c r="K5" t="inlineStr">
        <is>
          <t>2026-08-10T19:29:54Z</t>
        </is>
      </c>
      <c r="L5" t="inlineStr">
        <is>
          <t>2026-08-10T19:29:54Z</t>
        </is>
      </c>
    </row>
    <row r="6">
      <c r="A6" s="19" t="inlineStr">
        <is>
          <t>5</t>
        </is>
      </c>
      <c r="B6" s="19" t="inlineStr">
        <is>
          <t>ST-018-EUR-02</t>
        </is>
      </c>
      <c r="C6" t="n">
        <v>0</v>
      </c>
      <c r="D6" t="inlineStr">
        <is>
          <t>Starter 18-unit | Euro Pallet 800×1200×152 mm | Variant 02</t>
        </is>
      </c>
      <c r="E6" t="inlineStr">
        <is>
          <t>TR: C | Palet (4000038): 1 adet | Köşebent (4000590): 4 adet | EN: C | Pallet (4000038): 1 pc | Edge protector (4000590): 4 pcs</t>
        </is>
      </c>
      <c r="F6" s="19" t="n"/>
      <c r="G6" s="19" t="inlineStr">
        <is>
          <t>2</t>
        </is>
      </c>
      <c r="H6" t="inlineStr">
        <is>
          <t>2026-08-08</t>
        </is>
      </c>
      <c r="J6" t="inlineStr">
        <is>
          <t>FINAL_CONFIGURATION_ID=IA-ST-018-EUR-02;SOURCE_CONFIGURATION_ID=IA-ST-CFG-0013;FAMILY=STARTER;PACKAGING_MASS_KG=30.194;EVIDENCE_BASIS=REV00 CURRENT EVIDENCE BASIS — ARTICLE 5 ASSESSMENT BASIS;SOURCE_REF=INCI_AKU_PPWR_Final_Configuration_Register_Rev00_GOLDEN_VARIANTS_FINAL.xlsx!01_FINAL_CONFIG_MASTER!R6</t>
        </is>
      </c>
      <c r="K6" t="inlineStr">
        <is>
          <t>2026-08-10T19:29:54Z</t>
        </is>
      </c>
      <c r="L6" t="inlineStr">
        <is>
          <t>2026-08-10T19:29:54Z</t>
        </is>
      </c>
    </row>
    <row r="7">
      <c r="A7" s="19" t="inlineStr">
        <is>
          <t>6</t>
        </is>
      </c>
      <c r="B7" s="19" t="inlineStr">
        <is>
          <t>ST-018-EUR-03</t>
        </is>
      </c>
      <c r="C7" t="n">
        <v>0</v>
      </c>
      <c r="D7" t="inlineStr">
        <is>
          <t>Starter 18-unit | Euro Pallet 800×1200×152 mm | Variant 03</t>
        </is>
      </c>
      <c r="E7" t="inlineStr">
        <is>
          <t>TR: C | Palet (4000038): 1 adet | Shrink film (4000557): 1.08 kg | Köşebent (4000590): 2 adet | EN: C | Pallet (4000038): 1 pc | Shrink film (4000557): 1.08 kg | Edge protector (4000590): 2 pcs</t>
        </is>
      </c>
      <c r="F7" s="19" t="n"/>
      <c r="G7" s="19" t="inlineStr">
        <is>
          <t>2</t>
        </is>
      </c>
      <c r="H7" t="inlineStr">
        <is>
          <t>2026-08-08</t>
        </is>
      </c>
      <c r="J7" t="inlineStr">
        <is>
          <t>FINAL_CONFIGURATION_ID=IA-ST-018-EUR-03;SOURCE_CONFIGURATION_ID=IA-ST-CFG-0014;FAMILY=STARTER;PACKAGING_MASS_KG=30.9872;EVIDENCE_BASIS=REV00 CURRENT EVIDENCE BASIS — ARTICLE 5 ASSESSMENT BASIS;SOURCE_REF=INCI_AKU_PPWR_Final_Configuration_Register_Rev00_GOLDEN_VARIANTS_FINAL.xlsx!01_FINAL_CONFIG_MASTER!R7</t>
        </is>
      </c>
      <c r="K7" t="inlineStr">
        <is>
          <t>2026-08-10T19:29:54Z</t>
        </is>
      </c>
      <c r="L7" t="inlineStr">
        <is>
          <t>2026-08-10T19:29:54Z</t>
        </is>
      </c>
    </row>
    <row r="8">
      <c r="A8" s="19" t="inlineStr">
        <is>
          <t>7</t>
        </is>
      </c>
      <c r="B8" s="19" t="inlineStr">
        <is>
          <t>ST-018-EUR-04</t>
        </is>
      </c>
      <c r="C8" t="n">
        <v>0</v>
      </c>
      <c r="D8" t="inlineStr">
        <is>
          <t>Starter 18-unit | Euro Pallet 800×1200×152 mm | Variant 04</t>
        </is>
      </c>
      <c r="E8" t="inlineStr">
        <is>
          <t>TR: C | Palet (4000038): 1 adet | Honeycomb (4001186): 3 adet | EN: C | Pallet (4000038): 1 pc | Honeycomb (4001186): 3 pcs</t>
        </is>
      </c>
      <c r="F8" s="19" t="n"/>
      <c r="G8" s="19" t="inlineStr">
        <is>
          <t>2</t>
        </is>
      </c>
      <c r="H8" t="inlineStr">
        <is>
          <t>2026-08-08</t>
        </is>
      </c>
      <c r="J8" t="inlineStr">
        <is>
          <t>FINAL_CONFIGURATION_ID=IA-ST-018-EUR-04;SOURCE_CONFIGURATION_ID=IA-ST-CFG-0015;FAMILY=STARTER;PACKAGING_MASS_KG=30.0392;EVIDENCE_BASIS=REV00 CURRENT EVIDENCE BASIS — ARTICLE 5 ASSESSMENT BASIS;SOURCE_REF=INCI_AKU_PPWR_Final_Configuration_Register_Rev00_GOLDEN_VARIANTS_FINAL.xlsx!01_FINAL_CONFIG_MASTER!R8</t>
        </is>
      </c>
      <c r="K8" t="inlineStr">
        <is>
          <t>2026-08-10T19:29:54Z</t>
        </is>
      </c>
      <c r="L8" t="inlineStr">
        <is>
          <t>2026-08-10T19:29:54Z</t>
        </is>
      </c>
    </row>
    <row r="9">
      <c r="A9" s="19" t="inlineStr">
        <is>
          <t>8</t>
        </is>
      </c>
      <c r="B9" s="19" t="inlineStr">
        <is>
          <t>ST-018-EUR-05</t>
        </is>
      </c>
      <c r="C9" t="n">
        <v>0</v>
      </c>
      <c r="D9" t="inlineStr">
        <is>
          <t>Starter 18-unit | Euro Pallet 800×1200×152 mm | Variant 05</t>
        </is>
      </c>
      <c r="E9" t="inlineStr">
        <is>
          <t>TR: C | Palet (4000038): 1 adet | Çember (4000450): kullanılmaz | EN: C | Pallet (4000038): 1 pc | Strap (4000450): not used</t>
        </is>
      </c>
      <c r="F9" s="19" t="n"/>
      <c r="G9" s="19" t="inlineStr">
        <is>
          <t>2</t>
        </is>
      </c>
      <c r="H9" t="inlineStr">
        <is>
          <t>2026-08-08</t>
        </is>
      </c>
      <c r="J9" t="inlineStr">
        <is>
          <t>FINAL_CONFIGURATION_ID=IA-ST-018-EUR-05;SOURCE_CONFIGURATION_ID=IA-ST-CFG-0016;FAMILY=STARTER;PACKAGING_MASS_KG=30.7004;EVIDENCE_BASIS=REV00 CURRENT EVIDENCE BASIS — ARTICLE 5 ASSESSMENT BASIS;SOURCE_REF=INCI_AKU_PPWR_Final_Configuration_Register_Rev00_GOLDEN_VARIANTS_FINAL.xlsx!01_FINAL_CONFIG_MASTER!R9</t>
        </is>
      </c>
      <c r="K9" t="inlineStr">
        <is>
          <t>2026-08-10T19:29:54Z</t>
        </is>
      </c>
      <c r="L9" t="inlineStr">
        <is>
          <t>2026-08-10T19:29:54Z</t>
        </is>
      </c>
    </row>
    <row r="10">
      <c r="A10" s="19" t="inlineStr">
        <is>
          <t>9</t>
        </is>
      </c>
      <c r="B10" s="19" t="inlineStr">
        <is>
          <t>ST-021-EUR-01</t>
        </is>
      </c>
      <c r="C10" t="n">
        <v>0</v>
      </c>
      <c r="D10" t="inlineStr">
        <is>
          <t>Starter 21-unit | Euro Pallet 800×1200×152 mm | Variant 01</t>
        </is>
      </c>
      <c r="E10" t="inlineStr">
        <is>
          <t>TR: B | B TİPİ PVC üst kapak (4000591): 21 adet | EN: B | B TİPİ PVC upper cover (4000591): 21 pcs</t>
        </is>
      </c>
      <c r="F10" s="19" t="n"/>
      <c r="G10" s="19" t="inlineStr">
        <is>
          <t>2</t>
        </is>
      </c>
      <c r="H10" t="inlineStr">
        <is>
          <t>2026-08-08</t>
        </is>
      </c>
      <c r="J10" t="inlineStr">
        <is>
          <t>FINAL_CONFIGURATION_ID=IA-ST-021-EUR-01;SOURCE_CONFIGURATION_ID=IA-ST-CFG-0027;FAMILY=STARTER;PACKAGING_MASS_KG=32.37481;EVIDENCE_BASIS=REV00 CURRENT EVIDENCE BASIS — ARTICLE 5 ASSESSMENT BASIS;SOURCE_REF=INCI_AKU_PPWR_Final_Configuration_Register_Rev00_GOLDEN_VARIANTS_FINAL.xlsx!01_FINAL_CONFIG_MASTER!R10</t>
        </is>
      </c>
      <c r="K10" t="inlineStr">
        <is>
          <t>2026-08-10T19:29:54Z</t>
        </is>
      </c>
      <c r="L10" t="inlineStr">
        <is>
          <t>2026-08-10T19:29:54Z</t>
        </is>
      </c>
    </row>
    <row r="11">
      <c r="A11" s="19" t="inlineStr">
        <is>
          <t>10</t>
        </is>
      </c>
      <c r="B11" s="19" t="inlineStr">
        <is>
          <t>ST-021-EUR-02</t>
        </is>
      </c>
      <c r="C11" t="n">
        <v>0</v>
      </c>
      <c r="D11" t="inlineStr">
        <is>
          <t>Starter 21-unit | Euro Pallet 800×1200×152 mm | Variant 02</t>
        </is>
      </c>
      <c r="E11" t="inlineStr">
        <is>
          <t>TR: B | Palet (4000038): 1 adet | Köşebent (4000590): 4 adet | EN: B | Pallet (4000038): 1 pc | Edge protector (4000590): 4 pcs</t>
        </is>
      </c>
      <c r="F11" s="19" t="n"/>
      <c r="G11" s="19" t="inlineStr">
        <is>
          <t>2</t>
        </is>
      </c>
      <c r="H11" t="inlineStr">
        <is>
          <t>2026-08-08</t>
        </is>
      </c>
      <c r="J11" t="inlineStr">
        <is>
          <t>FINAL_CONFIGURATION_ID=IA-ST-021-EUR-02;SOURCE_CONFIGURATION_ID=IA-ST-CFG-0028;FAMILY=STARTER;PACKAGING_MASS_KG=29.9;EVIDENCE_BASIS=REV00 CURRENT EVIDENCE BASIS — ARTICLE 5 ASSESSMENT BASIS;SOURCE_REF=INCI_AKU_PPWR_Final_Configuration_Register_Rev00_GOLDEN_VARIANTS_FINAL.xlsx!01_FINAL_CONFIG_MASTER!R11</t>
        </is>
      </c>
      <c r="K11" t="inlineStr">
        <is>
          <t>2026-08-10T19:29:54Z</t>
        </is>
      </c>
      <c r="L11" t="inlineStr">
        <is>
          <t>2026-08-10T19:29:54Z</t>
        </is>
      </c>
    </row>
    <row r="12">
      <c r="A12" s="19" t="inlineStr">
        <is>
          <t>11</t>
        </is>
      </c>
      <c r="B12" s="19" t="inlineStr">
        <is>
          <t>ST-021-EUR-03</t>
        </is>
      </c>
      <c r="C12" t="n">
        <v>0</v>
      </c>
      <c r="D12" t="inlineStr">
        <is>
          <t>Starter 21-unit | Euro Pallet 800×1200×152 mm | Variant 03</t>
        </is>
      </c>
      <c r="E12" t="inlineStr">
        <is>
          <t>TR: B | Palet (4000038): 1 adet | Shrink film (4000557): 1.155 kg | EPS (4001290): 21 adet | EN: B | Pallet (4000038): 1 pc | Shrink film (4000557): 1.155 kg | EPS (4001290): 21 pcs</t>
        </is>
      </c>
      <c r="F12" s="19" t="n"/>
      <c r="G12" s="19" t="inlineStr">
        <is>
          <t>2</t>
        </is>
      </c>
      <c r="H12" t="inlineStr">
        <is>
          <t>2026-08-08</t>
        </is>
      </c>
      <c r="J12" t="inlineStr">
        <is>
          <t>FINAL_CONFIGURATION_ID=IA-ST-021-EUR-03;SOURCE_CONFIGURATION_ID=IA-ST-CFG-0029;FAMILY=STARTER;PACKAGING_MASS_KG=30.7682;EVIDENCE_BASIS=REV00 CURRENT EVIDENCE BASIS — ARTICLE 5 ASSESSMENT BASIS;SOURCE_REF=INCI_AKU_PPWR_Final_Configuration_Register_Rev00_GOLDEN_VARIANTS_FINAL.xlsx!01_FINAL_CONFIG_MASTER!R12</t>
        </is>
      </c>
      <c r="K12" t="inlineStr">
        <is>
          <t>2026-08-10T19:29:54Z</t>
        </is>
      </c>
      <c r="L12" t="inlineStr">
        <is>
          <t>2026-08-10T19:29:54Z</t>
        </is>
      </c>
    </row>
    <row r="13">
      <c r="A13" s="19" t="inlineStr">
        <is>
          <t>12</t>
        </is>
      </c>
      <c r="B13" s="19" t="inlineStr">
        <is>
          <t>ST-021-EUR-04</t>
        </is>
      </c>
      <c r="C13" t="n">
        <v>0</v>
      </c>
      <c r="D13" t="inlineStr">
        <is>
          <t>Starter 21-unit | Euro Pallet 800×1200×152 mm | Variant 04</t>
        </is>
      </c>
      <c r="E13" t="inlineStr">
        <is>
          <t>TR: B | Palet (4000038): 1 adet | Honeycomb (4001186): 3 adet | EN: B | Pallet (4000038): 1 pc | Honeycomb (4001186): 3 pcs</t>
        </is>
      </c>
      <c r="F13" s="19" t="n"/>
      <c r="G13" s="19" t="inlineStr">
        <is>
          <t>2</t>
        </is>
      </c>
      <c r="H13" t="inlineStr">
        <is>
          <t>2026-08-08</t>
        </is>
      </c>
      <c r="J13" t="inlineStr">
        <is>
          <t>FINAL_CONFIGURATION_ID=IA-ST-021-EUR-04;SOURCE_CONFIGURATION_ID=IA-ST-CFG-0030;FAMILY=STARTER;PACKAGING_MASS_KG=30.0392;EVIDENCE_BASIS=REV00 CURRENT EVIDENCE BASIS — ARTICLE 5 ASSESSMENT BASIS;SOURCE_REF=INCI_AKU_PPWR_Final_Configuration_Register_Rev00_GOLDEN_VARIANTS_FINAL.xlsx!01_FINAL_CONFIG_MASTER!R13</t>
        </is>
      </c>
      <c r="K13" t="inlineStr">
        <is>
          <t>2026-08-10T19:29:54Z</t>
        </is>
      </c>
      <c r="L13" t="inlineStr">
        <is>
          <t>2026-08-10T19:29:54Z</t>
        </is>
      </c>
    </row>
    <row r="14">
      <c r="A14" s="19" t="inlineStr">
        <is>
          <t>13</t>
        </is>
      </c>
      <c r="B14" s="19" t="inlineStr">
        <is>
          <t>ST-021-EUR-05</t>
        </is>
      </c>
      <c r="C14" t="n">
        <v>0</v>
      </c>
      <c r="D14" t="inlineStr">
        <is>
          <t>Starter 21-unit | Euro Pallet 800×1200×152 mm | Variant 05</t>
        </is>
      </c>
      <c r="E14" t="inlineStr">
        <is>
          <t>TR: B | Palet (4000038): 1 adet | Shrink film (4000557): kullanılmaz | Köşebent (4000590): 2 adet | EPS (4001290): 21 adet | EN: B | Pallet (4000038): 1 pc | Shrink film (4000557): not used | Edge protector (4000590): 2 pcs | EPS (4001290): 21 pcs</t>
        </is>
      </c>
      <c r="F14" s="19" t="n"/>
      <c r="G14" s="19" t="inlineStr">
        <is>
          <t>2</t>
        </is>
      </c>
      <c r="H14" t="inlineStr">
        <is>
          <t>2026-08-08</t>
        </is>
      </c>
      <c r="J14" t="inlineStr">
        <is>
          <t>FINAL_CONFIGURATION_ID=IA-ST-021-EUR-05;SOURCE_CONFIGURATION_ID=IA-ST-CFG-0031;FAMILY=STARTER;PACKAGING_MASS_KG=29.6132;EVIDENCE_BASIS=REV00 CURRENT EVIDENCE BASIS — ARTICLE 5 ASSESSMENT BASIS;SOURCE_REF=INCI_AKU_PPWR_Final_Configuration_Register_Rev00_GOLDEN_VARIANTS_FINAL.xlsx!01_FINAL_CONFIG_MASTER!R14</t>
        </is>
      </c>
      <c r="K14" t="inlineStr">
        <is>
          <t>2026-08-10T19:29:54Z</t>
        </is>
      </c>
      <c r="L14" t="inlineStr">
        <is>
          <t>2026-08-10T19:29:54Z</t>
        </is>
      </c>
    </row>
    <row r="15">
      <c r="A15" s="19" t="inlineStr">
        <is>
          <t>14</t>
        </is>
      </c>
      <c r="B15" s="19" t="inlineStr">
        <is>
          <t>ST-021-STD-01</t>
        </is>
      </c>
      <c r="C15" t="n">
        <v>0</v>
      </c>
      <c r="D15" t="inlineStr">
        <is>
          <t>Starter 21-unit | Standard Pallet 1030×1110×152 mm | Variant 01</t>
        </is>
      </c>
      <c r="E15" t="inlineStr">
        <is>
          <t>TR: C | Palet (4000037): 1 adet | Streç ped (4000301): 0.175 kg | EN: C | Pallet (4000037): 1 pc | Stretch pad (4000301): 0.175 kg</t>
        </is>
      </c>
      <c r="F15" s="19" t="n"/>
      <c r="G15" s="19" t="inlineStr">
        <is>
          <t>2</t>
        </is>
      </c>
      <c r="H15" t="inlineStr">
        <is>
          <t>2026-08-08</t>
        </is>
      </c>
      <c r="J15" t="inlineStr">
        <is>
          <t>FINAL_CONFIGURATION_ID=IA-ST-021-STD-01;SOURCE_CONFIGURATION_ID=IA-ST-CFG-0020;FAMILY=STARTER;PACKAGING_MASS_KG=31.8142;EVIDENCE_BASIS=REV00 CURRENT EVIDENCE BASIS — ARTICLE 5 ASSESSMENT BASIS;SOURCE_REF=INCI_AKU_PPWR_Final_Configuration_Register_Rev00_GOLDEN_VARIANTS_FINAL.xlsx!01_FINAL_CONFIG_MASTER!R15</t>
        </is>
      </c>
      <c r="K15" t="inlineStr">
        <is>
          <t>2026-08-10T19:29:54Z</t>
        </is>
      </c>
      <c r="L15" t="inlineStr">
        <is>
          <t>2026-08-10T19:29:54Z</t>
        </is>
      </c>
    </row>
    <row r="16">
      <c r="A16" s="19" t="inlineStr">
        <is>
          <t>15</t>
        </is>
      </c>
      <c r="B16" s="19" t="inlineStr">
        <is>
          <t>ST-021-STD-02</t>
        </is>
      </c>
      <c r="C16" t="n">
        <v>0</v>
      </c>
      <c r="D16" t="inlineStr">
        <is>
          <t>Starter 21-unit | Standard Pallet 1030×1110×152 mm | Variant 02</t>
        </is>
      </c>
      <c r="E16" t="inlineStr">
        <is>
          <t>TR: C | Palet (4000037): 1 adet | Köşebent (4000590): 4 adet | EN: C | Pallet (4000037): 1 pc | Edge protector (4000590): 4 pcs</t>
        </is>
      </c>
      <c r="F16" s="19" t="n"/>
      <c r="G16" s="19" t="inlineStr">
        <is>
          <t>2</t>
        </is>
      </c>
      <c r="H16" t="inlineStr">
        <is>
          <t>2026-08-08</t>
        </is>
      </c>
      <c r="J16" t="inlineStr">
        <is>
          <t>FINAL_CONFIGURATION_ID=IA-ST-021-STD-02;SOURCE_CONFIGURATION_ID=IA-ST-CFG-0021;FAMILY=STARTER;PACKAGING_MASS_KG=32.112;EVIDENCE_BASIS=REV00 CURRENT EVIDENCE BASIS — ARTICLE 5 ASSESSMENT BASIS;SOURCE_REF=INCI_AKU_PPWR_Final_Configuration_Register_Rev00_GOLDEN_VARIANTS_FINAL.xlsx!01_FINAL_CONFIG_MASTER!R16</t>
        </is>
      </c>
      <c r="K16" t="inlineStr">
        <is>
          <t>2026-08-10T19:29:54Z</t>
        </is>
      </c>
      <c r="L16" t="inlineStr">
        <is>
          <t>2026-08-10T19:29:54Z</t>
        </is>
      </c>
    </row>
    <row r="17">
      <c r="A17" s="19" t="inlineStr">
        <is>
          <t>16</t>
        </is>
      </c>
      <c r="B17" s="19" t="inlineStr">
        <is>
          <t>ST-021-STD-03</t>
        </is>
      </c>
      <c r="C17" t="n">
        <v>0</v>
      </c>
      <c r="D17" t="inlineStr">
        <is>
          <t>Starter 21-unit | Standard Pallet 1030×1110×152 mm | Variant 03</t>
        </is>
      </c>
      <c r="E17" t="inlineStr">
        <is>
          <t>TR: C | Palet (4000037): 1 adet | Streç ped (4000301): 0.186 kg | Köşebent (4000590): 2 adet | EN: C | Pallet (4000037): 1 pc | Stretch pad (4000301): 0.186 kg | Edge protector (4000590): 2 pcs</t>
        </is>
      </c>
      <c r="F17" s="19" t="n"/>
      <c r="G17" s="19" t="inlineStr">
        <is>
          <t>2</t>
        </is>
      </c>
      <c r="H17" t="inlineStr">
        <is>
          <t>2026-08-08</t>
        </is>
      </c>
      <c r="J17" t="inlineStr">
        <is>
          <t>FINAL_CONFIGURATION_ID=IA-ST-021-STD-03;SOURCE_CONFIGURATION_ID=IA-ST-CFG-0023;FAMILY=STARTER;PACKAGING_MASS_KG=31.8252;EVIDENCE_BASIS=REV00 CURRENT EVIDENCE BASIS — ARTICLE 5 ASSESSMENT BASIS;SOURCE_REF=INCI_AKU_PPWR_Final_Configuration_Register_Rev00_GOLDEN_VARIANTS_FINAL.xlsx!01_FINAL_CONFIG_MASTER!R17</t>
        </is>
      </c>
      <c r="K17" t="inlineStr">
        <is>
          <t>2026-08-10T19:29:54Z</t>
        </is>
      </c>
      <c r="L17" t="inlineStr">
        <is>
          <t>2026-08-10T19:29:54Z</t>
        </is>
      </c>
    </row>
    <row r="18">
      <c r="A18" s="19" t="inlineStr">
        <is>
          <t>17</t>
        </is>
      </c>
      <c r="B18" s="19" t="inlineStr">
        <is>
          <t>ST-021-STD-04</t>
        </is>
      </c>
      <c r="C18" t="n">
        <v>0</v>
      </c>
      <c r="D18" t="inlineStr">
        <is>
          <t>Starter 21-unit | Standard Pallet 1030×1110×152 mm | Variant 04</t>
        </is>
      </c>
      <c r="E18" t="inlineStr">
        <is>
          <t>TR: C | Palet (4000037): 1 adet | Çember (4000450): kullanılmaz | EN: C | Pallet (4000037): 1 pc | Strap (4000450): not used</t>
        </is>
      </c>
      <c r="F18" s="19" t="n"/>
      <c r="G18" s="19" t="inlineStr">
        <is>
          <t>2</t>
        </is>
      </c>
      <c r="H18" t="inlineStr">
        <is>
          <t>2026-08-08</t>
        </is>
      </c>
      <c r="J18" t="inlineStr">
        <is>
          <t>FINAL_CONFIGURATION_ID=IA-ST-021-STD-04;SOURCE_CONFIGURATION_ID=IA-ST-CFG-0024;FAMILY=STARTER;PACKAGING_MASS_KG=31.5384;EVIDENCE_BASIS=REV00 CURRENT EVIDENCE BASIS — ARTICLE 5 ASSESSMENT BASIS;SOURCE_REF=INCI_AKU_PPWR_Final_Configuration_Register_Rev00_GOLDEN_VARIANTS_FINAL.xlsx!01_FINAL_CONFIG_MASTER!R18</t>
        </is>
      </c>
      <c r="K18" t="inlineStr">
        <is>
          <t>2026-08-10T19:29:54Z</t>
        </is>
      </c>
      <c r="L18" t="inlineStr">
        <is>
          <t>2026-08-10T19:29:54Z</t>
        </is>
      </c>
    </row>
    <row r="19">
      <c r="A19" s="19" t="inlineStr">
        <is>
          <t>18</t>
        </is>
      </c>
      <c r="B19" s="19" t="inlineStr">
        <is>
          <t>ST-021-STD-05</t>
        </is>
      </c>
      <c r="C19" t="n">
        <v>0</v>
      </c>
      <c r="D19" t="inlineStr">
        <is>
          <t>Starter 21-unit | Standard Pallet 1030×1110×152 mm | Variant 05</t>
        </is>
      </c>
      <c r="E19" t="inlineStr">
        <is>
          <t>TR: C | Palet (4000037): 1 adet | Shrink film (4001177): 0.597 kg | EN: C | Pallet (4000037): 1 pc | Shrink film (4001177): 0.597 kg</t>
        </is>
      </c>
      <c r="F19" s="19" t="n"/>
      <c r="G19" s="19" t="inlineStr">
        <is>
          <t>2</t>
        </is>
      </c>
      <c r="H19" t="inlineStr">
        <is>
          <t>2026-08-08</t>
        </is>
      </c>
      <c r="J19" t="inlineStr">
        <is>
          <t>FINAL_CONFIGURATION_ID=IA-ST-021-STD-05;SOURCE_CONFIGURATION_ID=IA-ST-CFG-0025;FAMILY=STARTER;PACKAGING_MASS_KG=30.983;EVIDENCE_BASIS=REV00 CURRENT EVIDENCE BASIS — ARTICLE 5 ASSESSMENT BASIS;SOURCE_REF=INCI_AKU_PPWR_Final_Configuration_Register_Rev00_GOLDEN_VARIANTS_FINAL.xlsx!01_FINAL_CONFIG_MASTER!R19</t>
        </is>
      </c>
      <c r="K19" t="inlineStr">
        <is>
          <t>2026-08-10T19:29:54Z</t>
        </is>
      </c>
      <c r="L19" t="inlineStr">
        <is>
          <t>2026-08-10T19:29:54Z</t>
        </is>
      </c>
    </row>
    <row r="20">
      <c r="A20" s="19" t="inlineStr">
        <is>
          <t>19</t>
        </is>
      </c>
      <c r="B20" s="19" t="inlineStr">
        <is>
          <t>ST-024-EUR-01</t>
        </is>
      </c>
      <c r="C20" t="n">
        <v>0</v>
      </c>
      <c r="D20" t="inlineStr">
        <is>
          <t>Starter 24-unit | Euro Pallet 800×1200×152 mm | Variant 01</t>
        </is>
      </c>
      <c r="E20" t="inlineStr">
        <is>
          <t>TR: TRACTOR | Palet (4000038): 1 adet | Honeycomb (4001186): 2 adet | EN: TRACTOR | Pallet (4000038): 1 pc | Honeycomb (4001186): 2 pcs</t>
        </is>
      </c>
      <c r="F20" s="19" t="n"/>
      <c r="G20" s="19" t="inlineStr">
        <is>
          <t>2</t>
        </is>
      </c>
      <c r="H20" t="inlineStr">
        <is>
          <t>2026-08-08</t>
        </is>
      </c>
      <c r="J20" t="inlineStr">
        <is>
          <t>FINAL_CONFIGURATION_ID=IA-ST-024-EUR-01;SOURCE_CONFIGURATION_ID=IA-ST-CFG-0035;FAMILY=STARTER;PACKAGING_MASS_KG=36.726;EVIDENCE_BASIS=REV00 CURRENT EVIDENCE BASIS — ARTICLE 5 ASSESSMENT BASIS;SOURCE_REF=INCI_AKU_PPWR_Final_Configuration_Register_Rev00_GOLDEN_VARIANTS_FINAL.xlsx!01_FINAL_CONFIG_MASTER!R20</t>
        </is>
      </c>
      <c r="K20" t="inlineStr">
        <is>
          <t>2026-08-10T19:29:54Z</t>
        </is>
      </c>
      <c r="L20" t="inlineStr">
        <is>
          <t>2026-08-10T19:29:54Z</t>
        </is>
      </c>
    </row>
    <row r="21">
      <c r="A21" s="19" t="inlineStr">
        <is>
          <t>20</t>
        </is>
      </c>
      <c r="B21" s="19" t="inlineStr">
        <is>
          <t>ST-024-EUR-02</t>
        </is>
      </c>
      <c r="C21" t="n">
        <v>0</v>
      </c>
      <c r="D21" t="inlineStr">
        <is>
          <t>Starter 24-unit | Euro Pallet 800×1200×152 mm | Variant 02</t>
        </is>
      </c>
      <c r="E21" t="inlineStr">
        <is>
          <t>TR: A | A TİPİ VAKUM PVC PVC üst kapak (4000720): 24 adet | EN: A | A TİPİ VAKUM PVC PVC upper cover (4000720): 24 pcs</t>
        </is>
      </c>
      <c r="F21" s="19" t="n"/>
      <c r="G21" s="19" t="inlineStr">
        <is>
          <t>2</t>
        </is>
      </c>
      <c r="H21" t="inlineStr">
        <is>
          <t>2026-08-08</t>
        </is>
      </c>
      <c r="J21" t="inlineStr">
        <is>
          <t>FINAL_CONFIGURATION_ID=IA-ST-024-EUR-02;SOURCE_CONFIGURATION_ID=IA-ST-CFG-0037;FAMILY=STARTER;PACKAGING_MASS_KG=32.84464;EVIDENCE_BASIS=REV00 CURRENT EVIDENCE BASIS — ARTICLE 5 ASSESSMENT BASIS;SOURCE_REF=INCI_AKU_PPWR_Final_Configuration_Register_Rev00_GOLDEN_VARIANTS_FINAL.xlsx!01_FINAL_CONFIG_MASTER!R21</t>
        </is>
      </c>
      <c r="K21" t="inlineStr">
        <is>
          <t>2026-08-10T19:29:54Z</t>
        </is>
      </c>
      <c r="L21" t="inlineStr">
        <is>
          <t>2026-08-10T19:29:54Z</t>
        </is>
      </c>
    </row>
    <row r="22">
      <c r="A22" s="19" t="inlineStr">
        <is>
          <t>21</t>
        </is>
      </c>
      <c r="B22" s="19" t="inlineStr">
        <is>
          <t>ST-024-EUR-03</t>
        </is>
      </c>
      <c r="C22" t="n">
        <v>0</v>
      </c>
      <c r="D22" t="inlineStr">
        <is>
          <t>Starter 24-unit | Euro Pallet 800×1200×152 mm | Variant 03</t>
        </is>
      </c>
      <c r="E22" t="inlineStr">
        <is>
          <t>TR: A | Palet (4000038): 1 adet | Köşebent (4000590): 4 adet | EN: A | Pallet (4000038): 1 pc | Edge protector (4000590): 4 pcs</t>
        </is>
      </c>
      <c r="F22" s="19" t="n"/>
      <c r="G22" s="19" t="inlineStr">
        <is>
          <t>2</t>
        </is>
      </c>
      <c r="H22" t="inlineStr">
        <is>
          <t>2026-08-08</t>
        </is>
      </c>
      <c r="J22" t="inlineStr">
        <is>
          <t>FINAL_CONFIGURATION_ID=IA-ST-024-EUR-03;SOURCE_CONFIGURATION_ID=IA-ST-CFG-0038;FAMILY=STARTER;PACKAGING_MASS_KG=29.63;EVIDENCE_BASIS=REV00 CURRENT EVIDENCE BASIS — ARTICLE 5 ASSESSMENT BASIS;SOURCE_REF=INCI_AKU_PPWR_Final_Configuration_Register_Rev00_GOLDEN_VARIANTS_FINAL.xlsx!01_FINAL_CONFIG_MASTER!R22</t>
        </is>
      </c>
      <c r="K22" t="inlineStr">
        <is>
          <t>2026-08-10T19:29:54Z</t>
        </is>
      </c>
      <c r="L22" t="inlineStr">
        <is>
          <t>2026-08-10T19:29:54Z</t>
        </is>
      </c>
    </row>
    <row r="23">
      <c r="A23" s="19" t="inlineStr">
        <is>
          <t>22</t>
        </is>
      </c>
      <c r="B23" s="19" t="inlineStr">
        <is>
          <t>ST-024-EUR-04</t>
        </is>
      </c>
      <c r="C23" t="n">
        <v>0</v>
      </c>
      <c r="D23" t="inlineStr">
        <is>
          <t>Starter 24-unit | Euro Pallet 800×1200×152 mm | Variant 04</t>
        </is>
      </c>
      <c r="E23" t="inlineStr">
        <is>
          <t>TR: A | Palet (4000038): 1 adet | Köşebent (4000590): 2 adet | EN: A | Pallet (4000038): 1 pc | Edge protector (4000590): 2 pcs</t>
        </is>
      </c>
      <c r="F23" s="19" t="n"/>
      <c r="G23" s="19" t="inlineStr">
        <is>
          <t>2</t>
        </is>
      </c>
      <c r="H23" t="inlineStr">
        <is>
          <t>2026-08-08</t>
        </is>
      </c>
      <c r="J23" t="inlineStr">
        <is>
          <t>FINAL_CONFIGURATION_ID=IA-ST-024-EUR-04;SOURCE_CONFIGURATION_ID=IA-ST-CFG-0039;FAMILY=STARTER;PACKAGING_MASS_KG=30.6632;EVIDENCE_BASIS=REV00 CURRENT EVIDENCE BASIS — ARTICLE 5 ASSESSMENT BASIS;SOURCE_REF=INCI_AKU_PPWR_Final_Configuration_Register_Rev00_GOLDEN_VARIANTS_FINAL.xlsx!01_FINAL_CONFIG_MASTER!R23</t>
        </is>
      </c>
      <c r="K23" t="inlineStr">
        <is>
          <t>2026-08-10T19:29:54Z</t>
        </is>
      </c>
      <c r="L23" t="inlineStr">
        <is>
          <t>2026-08-10T19:29:54Z</t>
        </is>
      </c>
    </row>
    <row r="24">
      <c r="A24" s="19" t="inlineStr">
        <is>
          <t>23</t>
        </is>
      </c>
      <c r="B24" s="19" t="inlineStr">
        <is>
          <t>ST-024-STD-01</t>
        </is>
      </c>
      <c r="C24" t="n">
        <v>0</v>
      </c>
      <c r="D24" t="inlineStr">
        <is>
          <t>Starter 24-unit | Standard Pallet 1030×1110×152 mm | Variant 01</t>
        </is>
      </c>
      <c r="E24" t="inlineStr">
        <is>
          <t>TR: C | Palet (4000037): 1 adet | EPS (4001281): 24 adet | EN: C | Pallet (4000037): 1 pc | EPS (4001281): 24 pcs</t>
        </is>
      </c>
      <c r="F24" s="19" t="n"/>
      <c r="G24" s="19" t="inlineStr">
        <is>
          <t>2</t>
        </is>
      </c>
      <c r="H24" t="inlineStr">
        <is>
          <t>2026-08-08</t>
        </is>
      </c>
      <c r="J24" t="inlineStr">
        <is>
          <t>FINAL_CONFIGURATION_ID=IA-ST-024-STD-01;SOURCE_CONFIGURATION_ID=IA-ST-CFG-0034;FAMILY=STARTER;PACKAGING_MASS_KG=31.23;EVIDENCE_BASIS=REV00 CURRENT EVIDENCE BASIS — ARTICLE 5 ASSESSMENT BASIS;SOURCE_REF=INCI_AKU_PPWR_Final_Configuration_Register_Rev00_GOLDEN_VARIANTS_FINAL.xlsx!01_FINAL_CONFIG_MASTER!R24</t>
        </is>
      </c>
      <c r="K24" t="inlineStr">
        <is>
          <t>2026-08-10T19:29:54Z</t>
        </is>
      </c>
      <c r="L24" t="inlineStr">
        <is>
          <t>2026-08-10T19:29:54Z</t>
        </is>
      </c>
    </row>
    <row r="25">
      <c r="A25" s="19" t="inlineStr">
        <is>
          <t>24</t>
        </is>
      </c>
      <c r="B25" s="19" t="inlineStr">
        <is>
          <t>ST-027-STD90-01</t>
        </is>
      </c>
      <c r="C25" t="n">
        <v>0</v>
      </c>
      <c r="D25" t="inlineStr">
        <is>
          <t>Starter 27-unit | Standard Pallet 1000×900 mm | Variant 01</t>
        </is>
      </c>
      <c r="E25" t="inlineStr">
        <is>
          <t>TR: TANK | TANK PVC üst kapak (4000493): 27 adet | Çember (4000450): 7 m | EN: TANK | TANK PVC upper cover (4000493): 27 pcs | Strap (4000450): 7 m</t>
        </is>
      </c>
      <c r="F25" s="19" t="n"/>
      <c r="G25" s="19" t="inlineStr">
        <is>
          <t>2</t>
        </is>
      </c>
      <c r="H25" t="inlineStr">
        <is>
          <t>2026-08-08</t>
        </is>
      </c>
      <c r="J25" t="inlineStr">
        <is>
          <t>FINAL_CONFIGURATION_ID=IA-ST-027-STD90-01;SOURCE_CONFIGURATION_ID=IA-ST-CFG-0043;FAMILY=STARTER;PACKAGING_MASS_KG=25.58996;EVIDENCE_BASIS=REV00 CURRENT EVIDENCE BASIS — ARTICLE 5 ASSESSMENT BASIS;SOURCE_REF=INCI_AKU_PPWR_Final_Configuration_Register_Rev00_GOLDEN_VARIANTS_FINAL.xlsx!01_FINAL_CONFIG_MASTER!R25</t>
        </is>
      </c>
      <c r="K25" t="inlineStr">
        <is>
          <t>2026-08-10T19:29:54Z</t>
        </is>
      </c>
      <c r="L25" t="inlineStr">
        <is>
          <t>2026-08-10T19:29:54Z</t>
        </is>
      </c>
    </row>
    <row r="26">
      <c r="A26" s="19" t="inlineStr">
        <is>
          <t>25</t>
        </is>
      </c>
      <c r="B26" s="19" t="inlineStr">
        <is>
          <t>ST-027-STD90-02</t>
        </is>
      </c>
      <c r="C26" t="n">
        <v>0</v>
      </c>
      <c r="D26" t="inlineStr">
        <is>
          <t>Starter 27-unit | Standard Pallet 1000×900 mm | Variant 02</t>
        </is>
      </c>
      <c r="E26" t="inlineStr">
        <is>
          <t>TR: TANK | TANK PVC üst kapak (4000493): 27 adet | Çember (4000450): kullanılmaz | EN: TANK | TANK PVC upper cover (4000493): 27 pcs | Strap (4000450): not used</t>
        </is>
      </c>
      <c r="F26" s="19" t="n"/>
      <c r="G26" s="19" t="inlineStr">
        <is>
          <t>2</t>
        </is>
      </c>
      <c r="H26" t="inlineStr">
        <is>
          <t>2026-08-08</t>
        </is>
      </c>
      <c r="J26" t="inlineStr">
        <is>
          <t>FINAL_CONFIGURATION_ID=IA-ST-027-STD90-02;SOURCE_CONFIGURATION_ID=IA-ST-CFG-0044;FAMILY=STARTER;PACKAGING_MASS_KG=25.50316;EVIDENCE_BASIS=REV00 CURRENT EVIDENCE BASIS — ARTICLE 5 ASSESSMENT BASIS;SOURCE_REF=INCI_AKU_PPWR_Final_Configuration_Register_Rev00_GOLDEN_VARIANTS_FINAL.xlsx!01_FINAL_CONFIG_MASTER!R26</t>
        </is>
      </c>
      <c r="K26" t="inlineStr">
        <is>
          <t>2026-08-10T19:29:54Z</t>
        </is>
      </c>
      <c r="L26" t="inlineStr">
        <is>
          <t>2026-08-10T19:29:54Z</t>
        </is>
      </c>
    </row>
    <row r="27">
      <c r="A27" s="19" t="inlineStr">
        <is>
          <t>26</t>
        </is>
      </c>
      <c r="B27" s="19" t="inlineStr">
        <is>
          <t>ST-028-STD-01</t>
        </is>
      </c>
      <c r="C27" t="n">
        <v>0</v>
      </c>
      <c r="D27" t="inlineStr">
        <is>
          <t>Starter 28-unit | Standard Pallet 1030×1110×152 mm | Variant 01</t>
        </is>
      </c>
      <c r="E27" t="inlineStr">
        <is>
          <t>TR: L6 | Palet (4000037): 1 adet | Shrink film (4000608): 1.12 kg | EN: L6 | Pallet (4000037): 1 pc | Shrink film (4000608): 1.12 kg</t>
        </is>
      </c>
      <c r="F27" s="19" t="n"/>
      <c r="G27" s="19" t="inlineStr">
        <is>
          <t>2</t>
        </is>
      </c>
      <c r="H27" t="inlineStr">
        <is>
          <t>2026-08-08</t>
        </is>
      </c>
      <c r="J27" t="inlineStr">
        <is>
          <t>FINAL_CONFIGURATION_ID=IA-ST-028-STD-01;SOURCE_CONFIGURATION_ID=IA-ST-CFG-0045;FAMILY=STARTER;PACKAGING_MASS_KG=29.056;EVIDENCE_BASIS=REV00 CURRENT EVIDENCE BASIS — ARTICLE 5 ASSESSMENT BASIS;SOURCE_REF=INCI_AKU_PPWR_Final_Configuration_Register_Rev00_GOLDEN_VARIANTS_FINAL.xlsx!01_FINAL_CONFIG_MASTER!R27</t>
        </is>
      </c>
      <c r="K27" t="inlineStr">
        <is>
          <t>2026-08-10T19:29:54Z</t>
        </is>
      </c>
      <c r="L27" t="inlineStr">
        <is>
          <t>2026-08-10T19:29:54Z</t>
        </is>
      </c>
    </row>
    <row r="28">
      <c r="A28" s="19" t="inlineStr">
        <is>
          <t>27</t>
        </is>
      </c>
      <c r="B28" s="19" t="inlineStr">
        <is>
          <t>ST-030-STD-01</t>
        </is>
      </c>
      <c r="C28" t="n">
        <v>0</v>
      </c>
      <c r="D28" t="inlineStr">
        <is>
          <t>Starter 30-unit | Standard Pallet 1030×1110×152 mm | Variant 01</t>
        </is>
      </c>
      <c r="E28" t="inlineStr">
        <is>
          <t>TR: L5 | Palet (4000037): 1 adet | Shrink film (4000608): 1.2 kg | EN: L5 | Pallet (4000037): 1 pc | Shrink film (4000608): 1.2 kg</t>
        </is>
      </c>
      <c r="F28" s="19" t="n"/>
      <c r="G28" s="19" t="inlineStr">
        <is>
          <t>2</t>
        </is>
      </c>
      <c r="H28" t="inlineStr">
        <is>
          <t>2026-08-08</t>
        </is>
      </c>
      <c r="J28" t="inlineStr">
        <is>
          <t>FINAL_CONFIGURATION_ID=IA-ST-030-STD-01;SOURCE_CONFIGURATION_ID=IA-ST-CFG-0046;FAMILY=STARTER;PACKAGING_MASS_KG=29.136;EVIDENCE_BASIS=REV00 CURRENT EVIDENCE BASIS — ARTICLE 5 ASSESSMENT BASIS;SOURCE_REF=INCI_AKU_PPWR_Final_Configuration_Register_Rev00_GOLDEN_VARIANTS_FINAL.xlsx!01_FINAL_CONFIG_MASTER!R28</t>
        </is>
      </c>
      <c r="K28" t="inlineStr">
        <is>
          <t>2026-08-10T19:29:54Z</t>
        </is>
      </c>
      <c r="L28" t="inlineStr">
        <is>
          <t>2026-08-10T19:29:54Z</t>
        </is>
      </c>
    </row>
    <row r="29">
      <c r="A29" s="19" t="inlineStr">
        <is>
          <t>28</t>
        </is>
      </c>
      <c r="B29" s="19" t="inlineStr">
        <is>
          <t>ST-030-STD-02</t>
        </is>
      </c>
      <c r="C29" t="n">
        <v>0</v>
      </c>
      <c r="D29" t="inlineStr">
        <is>
          <t>Starter 30-unit | Standard Pallet 1030×1110×152 mm | Variant 02</t>
        </is>
      </c>
      <c r="E29" t="inlineStr">
        <is>
          <t>TR: A | Palet (4000037): 1 adet | Shrink film (4000557): 1.65 kg | Köşebent (4000590): 4 adet | EN: A | Pallet (4000037): 1 pc | Shrink film (4000557): 1.65 kg | Edge protector (4000590): 4 pcs</t>
        </is>
      </c>
      <c r="F29" s="19" t="n"/>
      <c r="G29" s="19" t="inlineStr">
        <is>
          <t>2</t>
        </is>
      </c>
      <c r="H29" t="inlineStr">
        <is>
          <t>2026-08-08</t>
        </is>
      </c>
      <c r="J29" t="inlineStr">
        <is>
          <t>FINAL_CONFIGURATION_ID=IA-ST-030-STD-02;SOURCE_CONFIGURATION_ID=IA-ST-CFG-0047;FAMILY=STARTER;PACKAGING_MASS_KG=31.986;EVIDENCE_BASIS=REV00 CURRENT EVIDENCE BASIS — ARTICLE 5 ASSESSMENT BASIS;SOURCE_REF=INCI_AKU_PPWR_Final_Configuration_Register_Rev00_GOLDEN_VARIANTS_FINAL.xlsx!01_FINAL_CONFIG_MASTER!R29</t>
        </is>
      </c>
      <c r="K29" t="inlineStr">
        <is>
          <t>2026-08-10T19:29:54Z</t>
        </is>
      </c>
      <c r="L29" t="inlineStr">
        <is>
          <t>2026-08-10T19:29:54Z</t>
        </is>
      </c>
    </row>
    <row r="30">
      <c r="A30" s="19" t="inlineStr">
        <is>
          <t>29</t>
        </is>
      </c>
      <c r="B30" s="19" t="inlineStr">
        <is>
          <t>ST-030-STD-03</t>
        </is>
      </c>
      <c r="C30" t="n">
        <v>0</v>
      </c>
      <c r="D30" t="inlineStr">
        <is>
          <t>Starter 30-unit | Standard Pallet 1030×1110×152 mm | Variant 03</t>
        </is>
      </c>
      <c r="E30" t="inlineStr">
        <is>
          <t>TR: B | Palet (4000037): 1 adet | Shrink film (4000557): 1.65 kg | Köşebent (4000590): 4 adet | EN: B | Pallet (4000037): 1 pc | Shrink film (4000557): 1.65 kg | Edge protector (4000590): 4 pcs</t>
        </is>
      </c>
      <c r="F30" s="19" t="n"/>
      <c r="G30" s="19" t="inlineStr">
        <is>
          <t>2</t>
        </is>
      </c>
      <c r="H30" t="inlineStr">
        <is>
          <t>2026-08-08</t>
        </is>
      </c>
      <c r="J30" t="inlineStr">
        <is>
          <t>FINAL_CONFIGURATION_ID=IA-ST-030-STD-03;SOURCE_CONFIGURATION_ID=IA-ST-CFG-0048;FAMILY=STARTER;PACKAGING_MASS_KG=32.676;EVIDENCE_BASIS=REV00 CURRENT EVIDENCE BASIS — ARTICLE 5 ASSESSMENT BASIS;SOURCE_REF=INCI_AKU_PPWR_Final_Configuration_Register_Rev00_GOLDEN_VARIANTS_FINAL.xlsx!01_FINAL_CONFIG_MASTER!R30</t>
        </is>
      </c>
      <c r="K30" t="inlineStr">
        <is>
          <t>2026-08-10T19:29:54Z</t>
        </is>
      </c>
      <c r="L30" t="inlineStr">
        <is>
          <t>2026-08-10T19:29:54Z</t>
        </is>
      </c>
    </row>
    <row r="31">
      <c r="A31" s="19" t="inlineStr">
        <is>
          <t>30</t>
        </is>
      </c>
      <c r="B31" s="19" t="inlineStr">
        <is>
          <t>ST-030-STD-04</t>
        </is>
      </c>
      <c r="C31" t="n">
        <v>0</v>
      </c>
      <c r="D31" t="inlineStr">
        <is>
          <t>Starter 30-unit | Standard Pallet 1030×1110×152 mm | Variant 04</t>
        </is>
      </c>
      <c r="E31" t="inlineStr">
        <is>
          <t>TR: A | Palet (4000037): 1 adet | Shrink film (4000557): kullanılmaz | Köşebent (4000590): 4 adet | EN: A | Pallet (4000037): 1 pc | Shrink film (4000557): not used | Edge protector (4000590): 4 pcs</t>
        </is>
      </c>
      <c r="F31" s="19" t="n"/>
      <c r="G31" s="19" t="inlineStr">
        <is>
          <t>2</t>
        </is>
      </c>
      <c r="H31" t="inlineStr">
        <is>
          <t>2026-08-08</t>
        </is>
      </c>
      <c r="J31" t="inlineStr">
        <is>
          <t>FINAL_CONFIGURATION_ID=IA-ST-030-STD-04;SOURCE_CONFIGURATION_ID=IA-ST-CFG-0049;FAMILY=STARTER;PACKAGING_MASS_KG=30.336;EVIDENCE_BASIS=REV00 CURRENT EVIDENCE BASIS — ARTICLE 5 ASSESSMENT BASIS;SOURCE_REF=INCI_AKU_PPWR_Final_Configuration_Register_Rev00_GOLDEN_VARIANTS_FINAL.xlsx!01_FINAL_CONFIG_MASTER!R31</t>
        </is>
      </c>
      <c r="K31" t="inlineStr">
        <is>
          <t>2026-08-10T19:29:54Z</t>
        </is>
      </c>
      <c r="L31" t="inlineStr">
        <is>
          <t>2026-08-10T19:29:54Z</t>
        </is>
      </c>
    </row>
    <row r="32">
      <c r="A32" s="19" t="inlineStr">
        <is>
          <t>31</t>
        </is>
      </c>
      <c r="B32" s="19" t="inlineStr">
        <is>
          <t>ST-030-STD-05</t>
        </is>
      </c>
      <c r="C32" t="n">
        <v>0</v>
      </c>
      <c r="D32" t="inlineStr">
        <is>
          <t>Starter 30-unit | Standard Pallet 1030×1110×152 mm | Variant 05</t>
        </is>
      </c>
      <c r="E32" t="inlineStr">
        <is>
          <t>TR: A | Palet (4000037): 1 adet | Köşebent (4000590): 2 adet | EN: A | Pallet (4000037): 1 pc | Edge protector (4000590): 2 pcs</t>
        </is>
      </c>
      <c r="F32" s="19" t="n"/>
      <c r="G32" s="19" t="inlineStr">
        <is>
          <t>2</t>
        </is>
      </c>
      <c r="H32" t="inlineStr">
        <is>
          <t>2026-08-08</t>
        </is>
      </c>
      <c r="J32" t="inlineStr">
        <is>
          <t>FINAL_CONFIGURATION_ID=IA-ST-030-STD-05;SOURCE_CONFIGURATION_ID=IA-ST-CFG-0051;FAMILY=STARTER;PACKAGING_MASS_KG=31.6992;EVIDENCE_BASIS=REV00 CURRENT EVIDENCE BASIS — ARTICLE 5 ASSESSMENT BASIS;SOURCE_REF=INCI_AKU_PPWR_Final_Configuration_Register_Rev00_GOLDEN_VARIANTS_FINAL.xlsx!01_FINAL_CONFIG_MASTER!R32</t>
        </is>
      </c>
      <c r="K32" t="inlineStr">
        <is>
          <t>2026-08-10T19:29:54Z</t>
        </is>
      </c>
      <c r="L32" t="inlineStr">
        <is>
          <t>2026-08-10T19:29:54Z</t>
        </is>
      </c>
    </row>
    <row r="33">
      <c r="A33" s="19" t="inlineStr">
        <is>
          <t>32</t>
        </is>
      </c>
      <c r="B33" s="19" t="inlineStr">
        <is>
          <t>ST-030-STD-06</t>
        </is>
      </c>
      <c r="C33" t="n">
        <v>0</v>
      </c>
      <c r="D33" t="inlineStr">
        <is>
          <t>Starter 30-unit | Standard Pallet 1030×1110×152 mm | Variant 06</t>
        </is>
      </c>
      <c r="E33" t="inlineStr">
        <is>
          <t>TR: B | Palet (4000037): 1 adet | Köşebent (4000590): 2 adet | EN: B | Pallet (4000037): 1 pc | Edge protector (4000590): 2 pcs</t>
        </is>
      </c>
      <c r="F33" s="19" t="n"/>
      <c r="G33" s="19" t="inlineStr">
        <is>
          <t>2</t>
        </is>
      </c>
      <c r="H33" t="inlineStr">
        <is>
          <t>2026-08-08</t>
        </is>
      </c>
      <c r="J33" t="inlineStr">
        <is>
          <t>FINAL_CONFIGURATION_ID=IA-ST-030-STD-06;SOURCE_CONFIGURATION_ID=IA-ST-CFG-0052;FAMILY=STARTER;PACKAGING_MASS_KG=32.3892;EVIDENCE_BASIS=REV00 CURRENT EVIDENCE BASIS — ARTICLE 5 ASSESSMENT BASIS;SOURCE_REF=INCI_AKU_PPWR_Final_Configuration_Register_Rev00_GOLDEN_VARIANTS_FINAL.xlsx!01_FINAL_CONFIG_MASTER!R33</t>
        </is>
      </c>
      <c r="K33" t="inlineStr">
        <is>
          <t>2026-08-10T19:29:54Z</t>
        </is>
      </c>
      <c r="L33" t="inlineStr">
        <is>
          <t>2026-08-10T19:29:54Z</t>
        </is>
      </c>
    </row>
    <row r="34">
      <c r="A34" s="19" t="inlineStr">
        <is>
          <t>33</t>
        </is>
      </c>
      <c r="B34" s="19" t="inlineStr">
        <is>
          <t>ST-030-STD-07</t>
        </is>
      </c>
      <c r="C34" t="n">
        <v>0</v>
      </c>
      <c r="D34" t="inlineStr">
        <is>
          <t>Starter 30-unit | Standard Pallet 1030×1110×152 mm | Variant 07</t>
        </is>
      </c>
      <c r="E34" t="inlineStr">
        <is>
          <t>TR: B | Palet (4000037): 1 adet | Çember (4000450): 7 m | Köşebent (4000590): 4 adet | EN: B | Pallet (4000037): 1 pc | Strap (4000450): 7 m | Edge protector (4000590): 4 pcs</t>
        </is>
      </c>
      <c r="F34" s="19" t="n"/>
      <c r="G34" s="19" t="inlineStr">
        <is>
          <t>2</t>
        </is>
      </c>
      <c r="H34" t="inlineStr">
        <is>
          <t>2026-08-08</t>
        </is>
      </c>
      <c r="J34" t="inlineStr">
        <is>
          <t>FINAL_CONFIGURATION_ID=IA-ST-030-STD-07;SOURCE_CONFIGURATION_ID=IA-ST-CFG-0053;FAMILY=STARTER;PACKAGING_MASS_KG=30.9392;EVIDENCE_BASIS=REV00 CURRENT EVIDENCE BASIS — ARTICLE 5 ASSESSMENT BASIS;SOURCE_REF=INCI_AKU_PPWR_Final_Configuration_Register_Rev00_GOLDEN_VARIANTS_FINAL.xlsx!01_FINAL_CONFIG_MASTER!R34</t>
        </is>
      </c>
      <c r="K34" t="inlineStr">
        <is>
          <t>2026-08-10T19:29:54Z</t>
        </is>
      </c>
      <c r="L34" t="inlineStr">
        <is>
          <t>2026-08-10T19:29:54Z</t>
        </is>
      </c>
    </row>
    <row r="35">
      <c r="A35" s="19" t="inlineStr">
        <is>
          <t>34</t>
        </is>
      </c>
      <c r="B35" s="19" t="inlineStr">
        <is>
          <t>ST-030-STD-08</t>
        </is>
      </c>
      <c r="C35" t="n">
        <v>0</v>
      </c>
      <c r="D35" t="inlineStr">
        <is>
          <t>Starter 30-unit | Standard Pallet 1030×1110×152 mm | Variant 08</t>
        </is>
      </c>
      <c r="E35" t="inlineStr">
        <is>
          <t>TR: A | Palet (4000037): 1 adet | Çember (4000450): kullanılmaz | EN: A | Pallet (4000037): 1 pc | Strap (4000450): not used</t>
        </is>
      </c>
      <c r="F35" s="19" t="n"/>
      <c r="G35" s="19" t="inlineStr">
        <is>
          <t>2</t>
        </is>
      </c>
      <c r="H35" t="inlineStr">
        <is>
          <t>2026-08-08</t>
        </is>
      </c>
      <c r="J35" t="inlineStr">
        <is>
          <t>FINAL_CONFIGURATION_ID=IA-ST-030-STD-08;SOURCE_CONFIGURATION_ID=IA-ST-CFG-0054;FAMILY=STARTER;PACKAGING_MASS_KG=31.4124;EVIDENCE_BASIS=REV00 CURRENT EVIDENCE BASIS — ARTICLE 5 ASSESSMENT BASIS;SOURCE_REF=INCI_AKU_PPWR_Final_Configuration_Register_Rev00_GOLDEN_VARIANTS_FINAL.xlsx!01_FINAL_CONFIG_MASTER!R35</t>
        </is>
      </c>
      <c r="K35" t="inlineStr">
        <is>
          <t>2026-08-10T19:29:54Z</t>
        </is>
      </c>
      <c r="L35" t="inlineStr">
        <is>
          <t>2026-08-10T19:29:54Z</t>
        </is>
      </c>
    </row>
    <row r="36">
      <c r="A36" s="19" t="inlineStr">
        <is>
          <t>35</t>
        </is>
      </c>
      <c r="B36" s="19" t="inlineStr">
        <is>
          <t>ST-030-STD-09</t>
        </is>
      </c>
      <c r="C36" t="n">
        <v>0</v>
      </c>
      <c r="D36" t="inlineStr">
        <is>
          <t>Starter 30-unit | Standard Pallet 1030×1110×152 mm | Variant 09</t>
        </is>
      </c>
      <c r="E36" t="inlineStr">
        <is>
          <t>TR: B | Palet (4000037): 1 adet | Çember (4000450): kullanılmaz | EN: B | Pallet (4000037): 1 pc | Strap (4000450): not used</t>
        </is>
      </c>
      <c r="F36" s="19" t="n"/>
      <c r="G36" s="19" t="inlineStr">
        <is>
          <t>2</t>
        </is>
      </c>
      <c r="H36" t="inlineStr">
        <is>
          <t>2026-08-08</t>
        </is>
      </c>
      <c r="J36" t="inlineStr">
        <is>
          <t>FINAL_CONFIGURATION_ID=IA-ST-030-STD-09;SOURCE_CONFIGURATION_ID=IA-ST-CFG-0055;FAMILY=STARTER;PACKAGING_MASS_KG=32.1024;EVIDENCE_BASIS=REV00 CURRENT EVIDENCE BASIS — ARTICLE 5 ASSESSMENT BASIS;SOURCE_REF=INCI_AKU_PPWR_Final_Configuration_Register_Rev00_GOLDEN_VARIANTS_FINAL.xlsx!01_FINAL_CONFIG_MASTER!R36</t>
        </is>
      </c>
      <c r="K36" t="inlineStr">
        <is>
          <t>2026-08-10T19:29:54Z</t>
        </is>
      </c>
      <c r="L36" t="inlineStr">
        <is>
          <t>2026-08-10T19:29:54Z</t>
        </is>
      </c>
    </row>
    <row r="37">
      <c r="A37" s="19" t="inlineStr">
        <is>
          <t>36</t>
        </is>
      </c>
      <c r="B37" s="19" t="inlineStr">
        <is>
          <t>ST-030-STD-10</t>
        </is>
      </c>
      <c r="C37" t="n">
        <v>0</v>
      </c>
      <c r="D37" t="inlineStr">
        <is>
          <t>Starter 30-unit | Standard Pallet 1030×1110×152 mm | Variant 10</t>
        </is>
      </c>
      <c r="E37" t="inlineStr">
        <is>
          <t>TR: A | Palet (4000037): 1 adet | Shrink film (4001177): 0.597 kg | EN: A | Pallet (4000037): 1 pc | Shrink film (4001177): 0.597 kg</t>
        </is>
      </c>
      <c r="F37" s="19" t="n"/>
      <c r="G37" s="19" t="inlineStr">
        <is>
          <t>2</t>
        </is>
      </c>
      <c r="H37" t="inlineStr">
        <is>
          <t>2026-08-08</t>
        </is>
      </c>
      <c r="J37" t="inlineStr">
        <is>
          <t>FINAL_CONFIGURATION_ID=IA-ST-030-STD-10;SOURCE_CONFIGURATION_ID=IA-ST-CFG-0056;FAMILY=STARTER;PACKAGING_MASS_KG=30.467;EVIDENCE_BASIS=REV00 CURRENT EVIDENCE BASIS — ARTICLE 5 ASSESSMENT BASIS;SOURCE_REF=INCI_AKU_PPWR_Final_Configuration_Register_Rev00_GOLDEN_VARIANTS_FINAL.xlsx!01_FINAL_CONFIG_MASTER!R37</t>
        </is>
      </c>
      <c r="K37" t="inlineStr">
        <is>
          <t>2026-08-10T19:29:54Z</t>
        </is>
      </c>
      <c r="L37" t="inlineStr">
        <is>
          <t>2026-08-10T19:29:54Z</t>
        </is>
      </c>
    </row>
    <row r="38">
      <c r="A38" s="19" t="inlineStr">
        <is>
          <t>37</t>
        </is>
      </c>
      <c r="B38" s="19" t="inlineStr">
        <is>
          <t>ST-030-STD-11</t>
        </is>
      </c>
      <c r="C38" t="n">
        <v>0</v>
      </c>
      <c r="D38" t="inlineStr">
        <is>
          <t>Starter 30-unit | Standard Pallet 1030×1110×152 mm | Variant 11</t>
        </is>
      </c>
      <c r="E38" t="inlineStr">
        <is>
          <t>TR: B | Palet (4000037): 1 adet | Shrink film (4001177): 0.597 kg | EN: B | Pallet (4000037): 1 pc | Shrink film (4001177): 0.597 kg</t>
        </is>
      </c>
      <c r="F38" s="19" t="n"/>
      <c r="G38" s="19" t="inlineStr">
        <is>
          <t>2</t>
        </is>
      </c>
      <c r="H38" t="inlineStr">
        <is>
          <t>2026-08-08</t>
        </is>
      </c>
      <c r="J38" t="inlineStr">
        <is>
          <t>FINAL_CONFIGURATION_ID=IA-ST-030-STD-11;SOURCE_CONFIGURATION_ID=IA-ST-CFG-0057;FAMILY=STARTER;PACKAGING_MASS_KG=31.157;EVIDENCE_BASIS=REV00 CURRENT EVIDENCE BASIS — ARTICLE 5 ASSESSMENT BASIS;SOURCE_REF=INCI_AKU_PPWR_Final_Configuration_Register_Rev00_GOLDEN_VARIANTS_FINAL.xlsx!01_FINAL_CONFIG_MASTER!R38</t>
        </is>
      </c>
      <c r="K38" t="inlineStr">
        <is>
          <t>2026-08-10T19:29:54Z</t>
        </is>
      </c>
      <c r="L38" t="inlineStr">
        <is>
          <t>2026-08-10T19:29:54Z</t>
        </is>
      </c>
    </row>
    <row r="39">
      <c r="A39" s="19" t="inlineStr">
        <is>
          <t>38</t>
        </is>
      </c>
      <c r="B39" s="19" t="inlineStr">
        <is>
          <t>ST-033-EUR-01</t>
        </is>
      </c>
      <c r="C39" t="n">
        <v>0</v>
      </c>
      <c r="D39" t="inlineStr">
        <is>
          <t>Starter 33-unit | Euro Pallet 800×1200×152 mm | Variant 01</t>
        </is>
      </c>
      <c r="E39" t="inlineStr">
        <is>
          <t>TR: L6 | Palet (4000038): 1 adet | Köşebent (4000590): 4 adet | EN: L6 | Pallet (4000038): 1 pc | Edge protector (4000590): 4 pcs</t>
        </is>
      </c>
      <c r="F39" s="19" t="n"/>
      <c r="G39" s="19" t="inlineStr">
        <is>
          <t>2</t>
        </is>
      </c>
      <c r="H39" t="inlineStr">
        <is>
          <t>2026-08-08</t>
        </is>
      </c>
      <c r="J39" t="inlineStr">
        <is>
          <t>FINAL_CONFIGURATION_ID=IA-ST-033-EUR-01;SOURCE_CONFIGURATION_ID=IA-ST-CFG-0058;FAMILY=STARTER;PACKAGING_MASS_KG=27.926;EVIDENCE_BASIS=REV00 CURRENT EVIDENCE BASIS — ARTICLE 5 ASSESSMENT BASIS;SOURCE_REF=INCI_AKU_PPWR_Final_Configuration_Register_Rev00_GOLDEN_VARIANTS_FINAL.xlsx!01_FINAL_CONFIG_MASTER!R39</t>
        </is>
      </c>
      <c r="K39" t="inlineStr">
        <is>
          <t>2026-08-10T19:29:54Z</t>
        </is>
      </c>
      <c r="L39" t="inlineStr">
        <is>
          <t>2026-08-10T19:29:54Z</t>
        </is>
      </c>
    </row>
    <row r="40">
      <c r="A40" s="19" t="inlineStr">
        <is>
          <t>39</t>
        </is>
      </c>
      <c r="B40" s="19" t="inlineStr">
        <is>
          <t>ST-034-STD-01</t>
        </is>
      </c>
      <c r="C40" t="n">
        <v>0</v>
      </c>
      <c r="D40" t="inlineStr">
        <is>
          <t>Starter 34-unit | Standard Pallet 1030×1110×152 mm | Variant 01</t>
        </is>
      </c>
      <c r="E40" t="inlineStr">
        <is>
          <t>TR: D31 | D31 YUASA penceresiz Orta Doğu dış koli (4001108): 34 adet | EN: D31 | D31 YUASA windowless Middle East outer carton (4001108): 34 pcs</t>
        </is>
      </c>
      <c r="F40" s="19" t="n"/>
      <c r="G40" s="19" t="inlineStr">
        <is>
          <t>2</t>
        </is>
      </c>
      <c r="H40" t="inlineStr">
        <is>
          <t>2026-08-08</t>
        </is>
      </c>
      <c r="J40" t="inlineStr">
        <is>
          <t>FINAL_CONFIGURATION_ID=IA-ST-034-STD-01;SOURCE_CONFIGURATION_ID=IA-ST-CFG-0059;FAMILY=STARTER;PACKAGING_MASS_KG=40.7776;EVIDENCE_BASIS=REV00 CURRENT EVIDENCE BASIS — ARTICLE 5 ASSESSMENT BASIS;SOURCE_REF=INCI_AKU_PPWR_Final_Configuration_Register_Rev00_GOLDEN_VARIANTS_FINAL.xlsx!01_FINAL_CONFIG_MASTER!R40</t>
        </is>
      </c>
      <c r="K40" t="inlineStr">
        <is>
          <t>2026-08-10T19:29:54Z</t>
        </is>
      </c>
      <c r="L40" t="inlineStr">
        <is>
          <t>2026-08-10T19:29:54Z</t>
        </is>
      </c>
    </row>
    <row r="41">
      <c r="A41" s="19" t="inlineStr">
        <is>
          <t>40</t>
        </is>
      </c>
      <c r="B41" s="19" t="inlineStr">
        <is>
          <t>ST-034-STD-02</t>
        </is>
      </c>
      <c r="C41" t="n">
        <v>0</v>
      </c>
      <c r="D41" t="inlineStr">
        <is>
          <t>Starter 34-unit | Standard Pallet 1030×1110×152 mm | Variant 02</t>
        </is>
      </c>
      <c r="E41" t="inlineStr">
        <is>
          <t>TR: L4 | L4 YUASA penceresiz Orta Doğu dış koli (4001313): 34 adet | EN: L4 | L4 YUASA windowless Middle East outer carton (4001313): 34 pcs</t>
        </is>
      </c>
      <c r="F41" s="19" t="n"/>
      <c r="G41" s="19" t="inlineStr">
        <is>
          <t>2</t>
        </is>
      </c>
      <c r="H41" t="inlineStr">
        <is>
          <t>2026-08-08</t>
        </is>
      </c>
      <c r="J41" t="inlineStr">
        <is>
          <t>FINAL_CONFIGURATION_ID=IA-ST-034-STD-02;SOURCE_CONFIGURATION_ID=IA-ST-CFG-0060;FAMILY=STARTER;PACKAGING_MASS_KG=37.296;EVIDENCE_BASIS=REV00 CURRENT EVIDENCE BASIS — ARTICLE 5 ASSESSMENT BASIS;SOURCE_REF=INCI_AKU_PPWR_Final_Configuration_Register_Rev00_GOLDEN_VARIANTS_FINAL.xlsx!01_FINAL_CONFIG_MASTER!R41</t>
        </is>
      </c>
      <c r="K41" t="inlineStr">
        <is>
          <t>2026-08-10T19:29:54Z</t>
        </is>
      </c>
      <c r="L41" t="inlineStr">
        <is>
          <t>2026-08-10T19:29:54Z</t>
        </is>
      </c>
    </row>
    <row r="42">
      <c r="A42" s="19" t="inlineStr">
        <is>
          <t>41</t>
        </is>
      </c>
      <c r="B42" s="19" t="inlineStr">
        <is>
          <t>ST-036-EUR-01</t>
        </is>
      </c>
      <c r="C42" t="n">
        <v>0</v>
      </c>
      <c r="D42" t="inlineStr">
        <is>
          <t>Starter 36-unit | Euro Pallet 800×1200×152 mm | Variant 01</t>
        </is>
      </c>
      <c r="E42" t="inlineStr">
        <is>
          <t>TR: L6 | L6 İnci AGM LEO 105AH940A pencereli dış koli (4001360): 36 adet | EN: L6 | L6 İnci AGM LEO 105AH940A windowed outer carton (4001360): 36 pcs</t>
        </is>
      </c>
      <c r="F42" s="19" t="n"/>
      <c r="G42" s="19" t="inlineStr">
        <is>
          <t>2</t>
        </is>
      </c>
      <c r="H42" t="inlineStr">
        <is>
          <t>2026-08-08</t>
        </is>
      </c>
      <c r="J42" t="inlineStr">
        <is>
          <t>FINAL_CONFIGURATION_ID=IA-ST-036-EUR-01;SOURCE_CONFIGURATION_ID=IA-ST-CFG-0062;FAMILY=STARTER;PACKAGING_MASS_KG=43.186;EVIDENCE_BASIS=REV00 CURRENT EVIDENCE BASIS — ARTICLE 5 ASSESSMENT BASIS;SOURCE_REF=INCI_AKU_PPWR_Final_Configuration_Register_Rev00_GOLDEN_VARIANTS_FINAL.xlsx!01_FINAL_CONFIG_MASTER!R42</t>
        </is>
      </c>
      <c r="K42" t="inlineStr">
        <is>
          <t>2026-08-10T19:29:54Z</t>
        </is>
      </c>
      <c r="L42" t="inlineStr">
        <is>
          <t>2026-08-10T19:29:54Z</t>
        </is>
      </c>
    </row>
    <row r="43">
      <c r="A43" s="19" t="inlineStr">
        <is>
          <t>42</t>
        </is>
      </c>
      <c r="B43" s="19" t="inlineStr">
        <is>
          <t>ST-036-EUR-02</t>
        </is>
      </c>
      <c r="C43" t="n">
        <v>0</v>
      </c>
      <c r="D43" t="inlineStr">
        <is>
          <t>Starter 36-unit | Euro Pallet 800×1200×152 mm | Variant 02</t>
        </is>
      </c>
      <c r="E43" t="inlineStr">
        <is>
          <t>TR: NS40 | Palet (4000038): 1 adet | EPS (4000573): 8 adet | EN: NS40 | Pallet (4000038): 1 pc | EPS (4000573): 8 pcs</t>
        </is>
      </c>
      <c r="F43" s="19" t="n"/>
      <c r="G43" s="19" t="inlineStr">
        <is>
          <t>2</t>
        </is>
      </c>
      <c r="H43" t="inlineStr">
        <is>
          <t>2026-08-08</t>
        </is>
      </c>
      <c r="J43" t="inlineStr">
        <is>
          <t>FINAL_CONFIGURATION_ID=IA-ST-036-EUR-02;SOURCE_CONFIGURATION_ID=IA-ST-CFG-0065;FAMILY=STARTER;PACKAGING_MASS_KG=27.942;EVIDENCE_BASIS=REV00 CURRENT EVIDENCE BASIS — ARTICLE 5 ASSESSMENT BASIS;SOURCE_REF=INCI_AKU_PPWR_Final_Configuration_Register_Rev00_GOLDEN_VARIANTS_FINAL.xlsx!01_FINAL_CONFIG_MASTER!R43</t>
        </is>
      </c>
      <c r="K43" t="inlineStr">
        <is>
          <t>2026-08-10T19:29:54Z</t>
        </is>
      </c>
      <c r="L43" t="inlineStr">
        <is>
          <t>2026-08-10T19:29:54Z</t>
        </is>
      </c>
    </row>
    <row r="44">
      <c r="A44" s="19" t="inlineStr">
        <is>
          <t>43</t>
        </is>
      </c>
      <c r="B44" s="19" t="inlineStr">
        <is>
          <t>ST-036-EUR-03</t>
        </is>
      </c>
      <c r="C44" t="n">
        <v>0</v>
      </c>
      <c r="D44" t="inlineStr">
        <is>
          <t>Starter 36-unit | Euro Pallet 800×1200×152 mm | Variant 03</t>
        </is>
      </c>
      <c r="E44" t="inlineStr">
        <is>
          <t>TR: L6, L5 | Palet (4000038): 1 adet | Köşebent (4000590): 4 adet | EN: L6, L5 | Pallet (4000038): 1 pc | Edge protector (4000590): 4 pcs</t>
        </is>
      </c>
      <c r="F44" s="19" t="n"/>
      <c r="G44" s="19" t="inlineStr">
        <is>
          <t>2</t>
        </is>
      </c>
      <c r="H44" t="inlineStr">
        <is>
          <t>2026-08-08</t>
        </is>
      </c>
      <c r="J44" t="inlineStr">
        <is>
          <t>FINAL_CONFIGURATION_ID=IA-ST-036-EUR-03;SOURCE_CONFIGURATION_ID=IA-ST-CFG-0066;FAMILY=STARTER;PACKAGING_MASS_KG=29.366;EVIDENCE_BASIS=REV00 CURRENT EVIDENCE BASIS — ARTICLE 5 ASSESSMENT BASIS;SOURCE_REF=INCI_AKU_PPWR_Final_Configuration_Register_Rev00_GOLDEN_VARIANTS_FINAL.xlsx!01_FINAL_CONFIG_MASTER!R44</t>
        </is>
      </c>
      <c r="K44" t="inlineStr">
        <is>
          <t>2026-08-10T19:29:54Z</t>
        </is>
      </c>
      <c r="L44" t="inlineStr">
        <is>
          <t>2026-08-10T19:29:54Z</t>
        </is>
      </c>
    </row>
    <row r="45">
      <c r="A45" s="19" t="inlineStr">
        <is>
          <t>44</t>
        </is>
      </c>
      <c r="B45" s="19" t="inlineStr">
        <is>
          <t>ST-036-EUR-04</t>
        </is>
      </c>
      <c r="C45" t="n">
        <v>0</v>
      </c>
      <c r="D45" t="inlineStr">
        <is>
          <t>Starter 36-unit | Euro Pallet 800×1200×152 mm | Variant 04</t>
        </is>
      </c>
      <c r="E45" t="inlineStr">
        <is>
          <t>TR: L5, L6, LB5 | Palet (4000038): 1 adet | Köşebent (4000590): 4 adet | EN: L5, L6, LB5 | Pallet (4000038): 1 pc | Edge protector (4000590): 4 pcs</t>
        </is>
      </c>
      <c r="F45" s="19" t="n"/>
      <c r="G45" s="19" t="inlineStr">
        <is>
          <t>2</t>
        </is>
      </c>
      <c r="H45" t="inlineStr">
        <is>
          <t>2026-08-08</t>
        </is>
      </c>
      <c r="J45" t="inlineStr">
        <is>
          <t>FINAL_CONFIGURATION_ID=IA-ST-036-EUR-04;SOURCE_CONFIGURATION_ID=IA-ST-CFG-0068;FAMILY=STARTER;PACKAGING_MASS_KG=27.926;EVIDENCE_BASIS=REV00 CURRENT EVIDENCE BASIS — ARTICLE 5 ASSESSMENT BASIS;SOURCE_REF=INCI_AKU_PPWR_Final_Configuration_Register_Rev00_GOLDEN_VARIANTS_FINAL.xlsx!01_FINAL_CONFIG_MASTER!R45</t>
        </is>
      </c>
      <c r="K45" t="inlineStr">
        <is>
          <t>2026-08-10T19:29:54Z</t>
        </is>
      </c>
      <c r="L45" t="inlineStr">
        <is>
          <t>2026-08-10T19:29:54Z</t>
        </is>
      </c>
    </row>
    <row r="46">
      <c r="A46" s="19" t="inlineStr">
        <is>
          <t>45</t>
        </is>
      </c>
      <c r="B46" s="19" t="inlineStr">
        <is>
          <t>ST-036-EUR-05</t>
        </is>
      </c>
      <c r="C46" t="n">
        <v>0</v>
      </c>
      <c r="D46" t="inlineStr">
        <is>
          <t>Starter 36-unit | Euro Pallet 800×1200×152 mm | Variant 05</t>
        </is>
      </c>
      <c r="E46" t="inlineStr">
        <is>
          <t>TR: TRACTORL | TRAKTÖR PVC üst kapak (4000494): 36 adet | EN: TRACTORL | TRAKTÖR PVC upper cover (4000494): 36 pcs</t>
        </is>
      </c>
      <c r="F46" s="19" t="n"/>
      <c r="G46" s="19" t="inlineStr">
        <is>
          <t>2</t>
        </is>
      </c>
      <c r="H46" t="inlineStr">
        <is>
          <t>2026-08-08</t>
        </is>
      </c>
      <c r="J46" t="inlineStr">
        <is>
          <t>FINAL_CONFIGURATION_ID=IA-ST-036-EUR-05;SOURCE_CONFIGURATION_ID=IA-ST-CFG-0070;FAMILY=STARTER;PACKAGING_MASS_KG=31.98368;EVIDENCE_BASIS=REV00 CURRENT EVIDENCE BASIS — ARTICLE 5 ASSESSMENT BASIS;SOURCE_REF=INCI_AKU_PPWR_Final_Configuration_Register_Rev00_GOLDEN_VARIANTS_FINAL.xlsx!01_FINAL_CONFIG_MASTER!R46</t>
        </is>
      </c>
      <c r="K46" t="inlineStr">
        <is>
          <t>2026-08-10T19:29:54Z</t>
        </is>
      </c>
      <c r="L46" t="inlineStr">
        <is>
          <t>2026-08-10T19:29:54Z</t>
        </is>
      </c>
    </row>
    <row r="47">
      <c r="A47" s="19" t="inlineStr">
        <is>
          <t>46</t>
        </is>
      </c>
      <c r="B47" s="19" t="inlineStr">
        <is>
          <t>ST-036-EUR-06</t>
        </is>
      </c>
      <c r="C47" t="n">
        <v>0</v>
      </c>
      <c r="D47" t="inlineStr">
        <is>
          <t>Starter 36-unit | Euro Pallet 800×1200×152 mm | Variant 06</t>
        </is>
      </c>
      <c r="E47" t="inlineStr">
        <is>
          <t>TR: L6, L5 | Palet (4000038): 1 adet | Köşebent (4000590): 2 adet | Shrink film (4000608): 1.44 kg | EN: L6, L5 | Pallet (4000038): 1 pc | Edge protector (4000590): 2 pcs | Shrink film (4000608): 1.44 kg</t>
        </is>
      </c>
      <c r="F47" s="19" t="n"/>
      <c r="G47" s="19" t="inlineStr">
        <is>
          <t>2</t>
        </is>
      </c>
      <c r="H47" t="inlineStr">
        <is>
          <t>2026-08-08</t>
        </is>
      </c>
      <c r="J47" t="inlineStr">
        <is>
          <t>FINAL_CONFIGURATION_ID=IA-ST-036-EUR-06;SOURCE_CONFIGURATION_ID=IA-ST-CFG-0071;FAMILY=STARTER;PACKAGING_MASS_KG=29.0792;EVIDENCE_BASIS=REV00 CURRENT EVIDENCE BASIS — ARTICLE 5 ASSESSMENT BASIS;SOURCE_REF=INCI_AKU_PPWR_Final_Configuration_Register_Rev00_GOLDEN_VARIANTS_FINAL.xlsx!01_FINAL_CONFIG_MASTER!R47</t>
        </is>
      </c>
      <c r="K47" t="inlineStr">
        <is>
          <t>2026-08-10T19:29:54Z</t>
        </is>
      </c>
      <c r="L47" t="inlineStr">
        <is>
          <t>2026-08-10T19:29:54Z</t>
        </is>
      </c>
    </row>
    <row r="48">
      <c r="A48" s="19" t="inlineStr">
        <is>
          <t>47</t>
        </is>
      </c>
      <c r="B48" s="19" t="inlineStr">
        <is>
          <t>ST-036-EUR-07</t>
        </is>
      </c>
      <c r="C48" t="n">
        <v>0</v>
      </c>
      <c r="D48" t="inlineStr">
        <is>
          <t>Starter 36-unit | Euro Pallet 800×1200×152 mm | Variant 07</t>
        </is>
      </c>
      <c r="E48" t="inlineStr">
        <is>
          <t>TR: L6, L5 | Palet (4000038): 1 adet | Shrink film (4000608): kullanılmaz | EN: L6, L5 | Pallet (4000038): 1 pc | Shrink film (4000608): not used</t>
        </is>
      </c>
      <c r="F48" s="19" t="n"/>
      <c r="G48" s="19" t="inlineStr">
        <is>
          <t>2</t>
        </is>
      </c>
      <c r="H48" t="inlineStr">
        <is>
          <t>2026-08-08</t>
        </is>
      </c>
      <c r="J48" t="inlineStr">
        <is>
          <t>FINAL_CONFIGURATION_ID=IA-ST-036-EUR-07;SOURCE_CONFIGURATION_ID=IA-ST-CFG-0072;FAMILY=STARTER;PACKAGING_MASS_KG=27.6392;EVIDENCE_BASIS=REV00 CURRENT EVIDENCE BASIS — ARTICLE 5 ASSESSMENT BASIS;SOURCE_REF=INCI_AKU_PPWR_Final_Configuration_Register_Rev00_GOLDEN_VARIANTS_FINAL.xlsx!01_FINAL_CONFIG_MASTER!R48</t>
        </is>
      </c>
      <c r="K48" t="inlineStr">
        <is>
          <t>2026-08-10T19:29:54Z</t>
        </is>
      </c>
      <c r="L48" t="inlineStr">
        <is>
          <t>2026-08-10T19:29:54Z</t>
        </is>
      </c>
    </row>
    <row r="49">
      <c r="A49" s="19" t="inlineStr">
        <is>
          <t>48</t>
        </is>
      </c>
      <c r="B49" s="19" t="inlineStr">
        <is>
          <t>ST-036-STD-01</t>
        </is>
      </c>
      <c r="C49" t="n">
        <v>0</v>
      </c>
      <c r="D49" t="inlineStr">
        <is>
          <t>Starter 36-unit | Standard Pallet 1030×1110×152 mm | Variant 01</t>
        </is>
      </c>
      <c r="E49" t="inlineStr">
        <is>
          <t>TR: L3 | L3 YUASA penceresiz Orta Doğu dış koli (4001103): 36 adet | EN: L3 | L3 YUASA windowless Middle East outer carton (4001103): 36 pcs</t>
        </is>
      </c>
      <c r="F49" s="19" t="n"/>
      <c r="G49" s="19" t="inlineStr">
        <is>
          <t>2</t>
        </is>
      </c>
      <c r="H49" t="inlineStr">
        <is>
          <t>2026-08-08</t>
        </is>
      </c>
      <c r="J49" t="inlineStr">
        <is>
          <t>FINAL_CONFIGURATION_ID=IA-ST-036-STD-01;SOURCE_CONFIGURATION_ID=IA-ST-CFG-0061;FAMILY=STARTER;PACKAGING_MASS_KG=37.796;EVIDENCE_BASIS=REV00 CURRENT EVIDENCE BASIS — ARTICLE 5 ASSESSMENT BASIS;SOURCE_REF=INCI_AKU_PPWR_Final_Configuration_Register_Rev00_GOLDEN_VARIANTS_FINAL.xlsx!01_FINAL_CONFIG_MASTER!R49</t>
        </is>
      </c>
      <c r="K49" t="inlineStr">
        <is>
          <t>2026-08-10T19:29:54Z</t>
        </is>
      </c>
      <c r="L49" t="inlineStr">
        <is>
          <t>2026-08-10T19:29:54Z</t>
        </is>
      </c>
    </row>
    <row r="50">
      <c r="A50" s="19" t="inlineStr">
        <is>
          <t>49</t>
        </is>
      </c>
      <c r="B50" s="19" t="inlineStr">
        <is>
          <t>ST-036-STD-02</t>
        </is>
      </c>
      <c r="C50" t="n">
        <v>0</v>
      </c>
      <c r="D50" t="inlineStr">
        <is>
          <t>Starter 36-unit | Standard Pallet 1030×1110×152 mm | Variant 02</t>
        </is>
      </c>
      <c r="E50" t="inlineStr">
        <is>
          <t>TR: L4 | Palet (4000037): 1 adet | Separatör (4000130): 3 adet | EN: L4 | Pallet (4000037): 1 pc | Separator (4000130): 3 pcs</t>
        </is>
      </c>
      <c r="F50" s="19" t="n"/>
      <c r="G50" s="19" t="inlineStr">
        <is>
          <t>2</t>
        </is>
      </c>
      <c r="H50" t="inlineStr">
        <is>
          <t>2026-08-08</t>
        </is>
      </c>
      <c r="J50" t="inlineStr">
        <is>
          <t>FINAL_CONFIGURATION_ID=IA-ST-036-STD-02;SOURCE_CONFIGURATION_ID=IA-ST-CFG-0063;FAMILY=STARTER;PACKAGING_MASS_KG=29.16;EVIDENCE_BASIS=REV00 CURRENT EVIDENCE BASIS — ARTICLE 5 ASSESSMENT BASIS;SOURCE_REF=INCI_AKU_PPWR_Final_Configuration_Register_Rev00_GOLDEN_VARIANTS_FINAL.xlsx!01_FINAL_CONFIG_MASTER!R50</t>
        </is>
      </c>
      <c r="K50" t="inlineStr">
        <is>
          <t>2026-08-10T19:29:54Z</t>
        </is>
      </c>
      <c r="L50" t="inlineStr">
        <is>
          <t>2026-08-10T19:29:54Z</t>
        </is>
      </c>
    </row>
    <row r="51">
      <c r="A51" s="19" t="inlineStr">
        <is>
          <t>50</t>
        </is>
      </c>
      <c r="B51" s="19" t="inlineStr">
        <is>
          <t>ST-036-STD-03</t>
        </is>
      </c>
      <c r="C51" t="n">
        <v>0</v>
      </c>
      <c r="D51" t="inlineStr">
        <is>
          <t>Starter 36-unit | Standard Pallet 1030×1110×152 mm | Variant 03</t>
        </is>
      </c>
      <c r="E51" t="inlineStr">
        <is>
          <t>TR: L4 | Palet (4000037): 1 adet | Separatör (4000130): 4 adet | EN: L4 | Pallet (4000037): 1 pc | Separator (4000130): 4 pcs</t>
        </is>
      </c>
      <c r="F51" s="19" t="n"/>
      <c r="G51" s="19" t="inlineStr">
        <is>
          <t>2</t>
        </is>
      </c>
      <c r="H51" t="inlineStr">
        <is>
          <t>2026-08-08</t>
        </is>
      </c>
      <c r="J51" t="inlineStr">
        <is>
          <t>FINAL_CONFIGURATION_ID=IA-ST-036-STD-03;SOURCE_CONFIGURATION_ID=IA-ST-CFG-0064;FAMILY=STARTER;PACKAGING_MASS_KG=29.1432;EVIDENCE_BASIS=REV00 CURRENT EVIDENCE BASIS — ARTICLE 5 ASSESSMENT BASIS;SOURCE_REF=INCI_AKU_PPWR_Final_Configuration_Register_Rev00_GOLDEN_VARIANTS_FINAL.xlsx!01_FINAL_CONFIG_MASTER!R51</t>
        </is>
      </c>
      <c r="K51" t="inlineStr">
        <is>
          <t>2026-08-10T19:29:54Z</t>
        </is>
      </c>
      <c r="L51" t="inlineStr">
        <is>
          <t>2026-08-10T19:29:54Z</t>
        </is>
      </c>
    </row>
    <row r="52">
      <c r="A52" s="19" t="inlineStr">
        <is>
          <t>51</t>
        </is>
      </c>
      <c r="B52" s="19" t="inlineStr">
        <is>
          <t>ST-042-EUR-01</t>
        </is>
      </c>
      <c r="C52" t="n">
        <v>0</v>
      </c>
      <c r="D52" t="inlineStr">
        <is>
          <t>Starter 42-unit | Euro Pallet 800×1200×152 mm | Variant 01</t>
        </is>
      </c>
      <c r="E52" t="inlineStr">
        <is>
          <t>TR: D31 | D31 YUASA penceresiz Orta Doğu dış koli (4001108): 42 adet | EN: D31 | D31 YUASA windowless Middle East outer carton (4001108): 42 pcs</t>
        </is>
      </c>
      <c r="F52" s="19" t="n"/>
      <c r="G52" s="19" t="inlineStr">
        <is>
          <t>2</t>
        </is>
      </c>
      <c r="H52" t="inlineStr">
        <is>
          <t>2026-08-08</t>
        </is>
      </c>
      <c r="J52" t="inlineStr">
        <is>
          <t>FINAL_CONFIGURATION_ID=IA-ST-042-EUR-01;SOURCE_CONFIGURATION_ID=IA-ST-CFG-0077;FAMILY=STARTER;PACKAGING_MASS_KG=44.0068;EVIDENCE_BASIS=REV00 CURRENT EVIDENCE BASIS — ARTICLE 5 ASSESSMENT BASIS;SOURCE_REF=INCI_AKU_PPWR_Final_Configuration_Register_Rev00_GOLDEN_VARIANTS_FINAL.xlsx!01_FINAL_CONFIG_MASTER!R52</t>
        </is>
      </c>
      <c r="K52" t="inlineStr">
        <is>
          <t>2026-08-10T19:29:54Z</t>
        </is>
      </c>
      <c r="L52" t="inlineStr">
        <is>
          <t>2026-08-10T19:29:54Z</t>
        </is>
      </c>
    </row>
    <row r="53">
      <c r="A53" s="19" t="inlineStr">
        <is>
          <t>52</t>
        </is>
      </c>
      <c r="B53" s="19" t="inlineStr">
        <is>
          <t>ST-042-EUR-02</t>
        </is>
      </c>
      <c r="C53" t="n">
        <v>0</v>
      </c>
      <c r="D53" t="inlineStr">
        <is>
          <t>Starter 42-unit | Euro Pallet 800×1200×152 mm | Variant 02</t>
        </is>
      </c>
      <c r="E53" t="inlineStr">
        <is>
          <t>TR: L4, LB4 | Palet (4000038): 1 adet | Köşebent (4000590): 4 adet | EN: L4, LB4 | Pallet (4000038): 1 pc | Edge protector (4000590): 4 pcs</t>
        </is>
      </c>
      <c r="F53" s="19" t="n"/>
      <c r="G53" s="19" t="inlineStr">
        <is>
          <t>2</t>
        </is>
      </c>
      <c r="H53" t="inlineStr">
        <is>
          <t>2026-08-08</t>
        </is>
      </c>
      <c r="J53" t="inlineStr">
        <is>
          <t>FINAL_CONFIGURATION_ID=IA-ST-042-EUR-02;SOURCE_CONFIGURATION_ID=IA-ST-CFG-0085;FAMILY=STARTER;PACKAGING_MASS_KG=27.926;EVIDENCE_BASIS=REV00 CURRENT EVIDENCE BASIS — ARTICLE 5 ASSESSMENT BASIS;SOURCE_REF=INCI_AKU_PPWR_Final_Configuration_Register_Rev00_GOLDEN_VARIANTS_FINAL.xlsx!01_FINAL_CONFIG_MASTER!R53</t>
        </is>
      </c>
      <c r="K53" t="inlineStr">
        <is>
          <t>2026-08-10T19:29:54Z</t>
        </is>
      </c>
      <c r="L53" t="inlineStr">
        <is>
          <t>2026-08-10T19:29:54Z</t>
        </is>
      </c>
    </row>
    <row r="54">
      <c r="A54" s="19" t="inlineStr">
        <is>
          <t>53</t>
        </is>
      </c>
      <c r="B54" s="19" t="inlineStr">
        <is>
          <t>ST-042-EUR-03</t>
        </is>
      </c>
      <c r="C54" t="n">
        <v>0</v>
      </c>
      <c r="D54" t="inlineStr">
        <is>
          <t>Starter 42-unit | Euro Pallet 800×1200×152 mm | Variant 03</t>
        </is>
      </c>
      <c r="E54" t="inlineStr">
        <is>
          <t>TR: L4, LB4 | Palet (4000038): 1 adet | Shrink film (4000554): 1.428 kg | EN: L4, LB4 | Pallet (4000038): 1 pc | Shrink film (4000554): 1.428 kg</t>
        </is>
      </c>
      <c r="F54" s="19" t="n"/>
      <c r="G54" s="19" t="inlineStr">
        <is>
          <t>2</t>
        </is>
      </c>
      <c r="H54" t="inlineStr">
        <is>
          <t>2026-08-08</t>
        </is>
      </c>
      <c r="J54" t="inlineStr">
        <is>
          <t>FINAL_CONFIGURATION_ID=IA-ST-042-EUR-03;SOURCE_CONFIGURATION_ID=IA-ST-CFG-0086;FAMILY=STARTER;PACKAGING_MASS_KG=29.0672;EVIDENCE_BASIS=REV00 CURRENT EVIDENCE BASIS — ARTICLE 5 ASSESSMENT BASIS;SOURCE_REF=INCI_AKU_PPWR_Final_Configuration_Register_Rev00_GOLDEN_VARIANTS_FINAL.xlsx!01_FINAL_CONFIG_MASTER!R54</t>
        </is>
      </c>
      <c r="K54" t="inlineStr">
        <is>
          <t>2026-08-10T19:29:54Z</t>
        </is>
      </c>
      <c r="L54" t="inlineStr">
        <is>
          <t>2026-08-10T19:29:54Z</t>
        </is>
      </c>
    </row>
    <row r="55">
      <c r="A55" s="19" t="inlineStr">
        <is>
          <t>54</t>
        </is>
      </c>
      <c r="B55" s="19" t="inlineStr">
        <is>
          <t>ST-042-EUR-04</t>
        </is>
      </c>
      <c r="C55" t="n">
        <v>0</v>
      </c>
      <c r="D55" t="inlineStr">
        <is>
          <t>Starter 42-unit | Euro Pallet 800×1200×152 mm | Variant 04</t>
        </is>
      </c>
      <c r="E55" t="inlineStr">
        <is>
          <t>TR: L4, LB4 | Palet (4000038): 1 adet | Shrink film (4000554): kullanılmaz | Köşebent (4000590): 2 adet | EN: L4, LB4 | Pallet (4000038): 1 pc | Shrink film (4000554): not used | Edge protector (4000590): 2 pcs</t>
        </is>
      </c>
      <c r="F55" s="19" t="n"/>
      <c r="G55" s="19" t="inlineStr">
        <is>
          <t>2</t>
        </is>
      </c>
      <c r="H55" t="inlineStr">
        <is>
          <t>2026-08-08</t>
        </is>
      </c>
      <c r="J55" t="inlineStr">
        <is>
          <t>FINAL_CONFIGURATION_ID=IA-ST-042-EUR-04;SOURCE_CONFIGURATION_ID=IA-ST-CFG-0087;FAMILY=STARTER;PACKAGING_MASS_KG=27.6392;EVIDENCE_BASIS=REV00 CURRENT EVIDENCE BASIS — ARTICLE 5 ASSESSMENT BASIS;SOURCE_REF=INCI_AKU_PPWR_Final_Configuration_Register_Rev00_GOLDEN_VARIANTS_FINAL.xlsx!01_FINAL_CONFIG_MASTER!R55</t>
        </is>
      </c>
      <c r="K55" t="inlineStr">
        <is>
          <t>2026-08-10T19:29:54Z</t>
        </is>
      </c>
      <c r="L55" t="inlineStr">
        <is>
          <t>2026-08-10T19:29:54Z</t>
        </is>
      </c>
    </row>
    <row r="56">
      <c r="A56" s="19" t="inlineStr">
        <is>
          <t>55</t>
        </is>
      </c>
      <c r="B56" s="19" t="inlineStr">
        <is>
          <t>ST-042-STD-01</t>
        </is>
      </c>
      <c r="C56" t="n">
        <v>0</v>
      </c>
      <c r="D56" t="inlineStr">
        <is>
          <t>Starter 42-unit | Standard Pallet 1030×1110×152 mm | Variant 01</t>
        </is>
      </c>
      <c r="E56" t="inlineStr">
        <is>
          <t>TR: D23 | D23 YUASA penceresiz Orta Doğu dış koli (4001106): 42 adet | EN: D23 | D23 YUASA windowless Middle East outer carton (4001106): 42 pcs</t>
        </is>
      </c>
      <c r="F56" s="19" t="n"/>
      <c r="G56" s="19" t="inlineStr">
        <is>
          <t>2</t>
        </is>
      </c>
      <c r="H56" t="inlineStr">
        <is>
          <t>2026-08-08</t>
        </is>
      </c>
      <c r="J56" t="inlineStr">
        <is>
          <t>FINAL_CONFIGURATION_ID=IA-ST-042-STD-01;SOURCE_CONFIGURATION_ID=IA-ST-CFG-0075;FAMILY=STARTER;PACKAGING_MASS_KG=41.02094;EVIDENCE_BASIS=REV00 CURRENT EVIDENCE BASIS — ARTICLE 5 ASSESSMENT BASIS;SOURCE_REF=INCI_AKU_PPWR_Final_Configuration_Register_Rev00_GOLDEN_VARIANTS_FINAL.xlsx!01_FINAL_CONFIG_MASTER!R56</t>
        </is>
      </c>
      <c r="K56" t="inlineStr">
        <is>
          <t>2026-08-10T19:29:54Z</t>
        </is>
      </c>
      <c r="L56" t="inlineStr">
        <is>
          <t>2026-08-10T19:29:54Z</t>
        </is>
      </c>
    </row>
    <row r="57">
      <c r="A57" s="19" t="inlineStr">
        <is>
          <t>56</t>
        </is>
      </c>
      <c r="B57" s="19" t="inlineStr">
        <is>
          <t>ST-042-STD-02</t>
        </is>
      </c>
      <c r="C57" t="n">
        <v>0</v>
      </c>
      <c r="D57" t="inlineStr">
        <is>
          <t>Starter 42-unit | Standard Pallet 1030×1110×152 mm | Variant 02</t>
        </is>
      </c>
      <c r="E57" t="inlineStr">
        <is>
          <t>TR: L6 | L6 EAS AGM S&amp;S 105AH 940A pencereli dış koli (4001399): 42 adet | EN: L6 | L6 EAS AGM S&amp;S 105AH 940A windowed outer carton (4001399): 42 pcs</t>
        </is>
      </c>
      <c r="F57" s="19" t="n"/>
      <c r="G57" s="19" t="inlineStr">
        <is>
          <t>2</t>
        </is>
      </c>
      <c r="H57" t="inlineStr">
        <is>
          <t>2026-08-08</t>
        </is>
      </c>
      <c r="J57" t="inlineStr">
        <is>
          <t>FINAL_CONFIGURATION_ID=IA-ST-042-STD-02;SOURCE_CONFIGURATION_ID=IA-ST-CFG-0076;FAMILY=STARTER;PACKAGING_MASS_KG=46.286;EVIDENCE_BASIS=REV00 CURRENT EVIDENCE BASIS — ARTICLE 5 ASSESSMENT BASIS;SOURCE_REF=INCI_AKU_PPWR_Final_Configuration_Register_Rev00_GOLDEN_VARIANTS_FINAL.xlsx!01_FINAL_CONFIG_MASTER!R57</t>
        </is>
      </c>
      <c r="K57" t="inlineStr">
        <is>
          <t>2026-08-10T19:29:54Z</t>
        </is>
      </c>
      <c r="L57" t="inlineStr">
        <is>
          <t>2026-08-10T19:29:54Z</t>
        </is>
      </c>
    </row>
    <row r="58">
      <c r="A58" s="19" t="inlineStr">
        <is>
          <t>57</t>
        </is>
      </c>
      <c r="B58" s="19" t="inlineStr">
        <is>
          <t>ST-042-STD-03</t>
        </is>
      </c>
      <c r="C58" t="n">
        <v>0</v>
      </c>
      <c r="D58" t="inlineStr">
        <is>
          <t>Starter 42-unit | Standard Pallet 1030×1110×152 mm | Variant 03</t>
        </is>
      </c>
      <c r="E58" t="inlineStr">
        <is>
          <t>TR: L3 | Palet (4000037): 1 adet | Separatör (4000130): 3 adet | EN: L3 | Pallet (4000037): 1 pc | Separator (4000130): 3 pcs</t>
        </is>
      </c>
      <c r="F58" s="19" t="n"/>
      <c r="G58" s="19" t="inlineStr">
        <is>
          <t>2</t>
        </is>
      </c>
      <c r="H58" t="inlineStr">
        <is>
          <t>2026-08-08</t>
        </is>
      </c>
      <c r="J58" t="inlineStr">
        <is>
          <t>FINAL_CONFIGURATION_ID=IA-ST-042-STD-03;SOURCE_CONFIGURATION_ID=IA-ST-CFG-0078;FAMILY=STARTER;PACKAGING_MASS_KG=29.323;EVIDENCE_BASIS=REV00 CURRENT EVIDENCE BASIS — ARTICLE 5 ASSESSMENT BASIS;SOURCE_REF=INCI_AKU_PPWR_Final_Configuration_Register_Rev00_GOLDEN_VARIANTS_FINAL.xlsx!01_FINAL_CONFIG_MASTER!R58</t>
        </is>
      </c>
      <c r="K58" t="inlineStr">
        <is>
          <t>2026-08-10T19:29:54Z</t>
        </is>
      </c>
      <c r="L58" t="inlineStr">
        <is>
          <t>2026-08-10T19:29:54Z</t>
        </is>
      </c>
    </row>
    <row r="59">
      <c r="A59" s="19" t="inlineStr">
        <is>
          <t>58</t>
        </is>
      </c>
      <c r="B59" s="19" t="inlineStr">
        <is>
          <t>ST-042-STD-04</t>
        </is>
      </c>
      <c r="C59" t="n">
        <v>0</v>
      </c>
      <c r="D59" t="inlineStr">
        <is>
          <t>Starter 42-unit | Standard Pallet 1030×1110×152 mm | Variant 04</t>
        </is>
      </c>
      <c r="E59" t="inlineStr">
        <is>
          <t>TR: L3 | Palet (4000037): 1 adet | Separatör (4000130): 4 adet | EN: L3 | Pallet (4000037): 1 pc | Separator (4000130): 4 pcs</t>
        </is>
      </c>
      <c r="F59" s="19" t="n"/>
      <c r="G59" s="19" t="inlineStr">
        <is>
          <t>2</t>
        </is>
      </c>
      <c r="H59" t="inlineStr">
        <is>
          <t>2026-08-08</t>
        </is>
      </c>
      <c r="J59" t="inlineStr">
        <is>
          <t>FINAL_CONFIGURATION_ID=IA-ST-042-STD-04;SOURCE_CONFIGURATION_ID=IA-ST-CFG-0079;FAMILY=STARTER;PACKAGING_MASS_KG=29.3062;EVIDENCE_BASIS=REV00 CURRENT EVIDENCE BASIS — ARTICLE 5 ASSESSMENT BASIS;SOURCE_REF=INCI_AKU_PPWR_Final_Configuration_Register_Rev00_GOLDEN_VARIANTS_FINAL.xlsx!01_FINAL_CONFIG_MASTER!R59</t>
        </is>
      </c>
      <c r="K59" t="inlineStr">
        <is>
          <t>2026-08-10T19:29:54Z</t>
        </is>
      </c>
      <c r="L59" t="inlineStr">
        <is>
          <t>2026-08-10T19:29:54Z</t>
        </is>
      </c>
    </row>
    <row r="60">
      <c r="A60" s="19" t="inlineStr">
        <is>
          <t>59</t>
        </is>
      </c>
      <c r="B60" s="19" t="inlineStr">
        <is>
          <t>ST-042-STD-05</t>
        </is>
      </c>
      <c r="C60" t="n">
        <v>0</v>
      </c>
      <c r="D60" t="inlineStr">
        <is>
          <t>Starter 42-unit | Standard Pallet 1030×1110×152 mm | Variant 05</t>
        </is>
      </c>
      <c r="E60" t="inlineStr">
        <is>
          <t>TR: L6 | Palet (4000037): 1 adet | Çember (4000450): 7 m | EN: L6 | Pallet (4000037): 1 pc | Strap (4000450): 7 m</t>
        </is>
      </c>
      <c r="F60" s="19" t="n"/>
      <c r="G60" s="19" t="inlineStr">
        <is>
          <t>2</t>
        </is>
      </c>
      <c r="H60" t="inlineStr">
        <is>
          <t>2026-08-08</t>
        </is>
      </c>
      <c r="J60" t="inlineStr">
        <is>
          <t>FINAL_CONFIGURATION_ID=IA-ST-042-STD-05;SOURCE_CONFIGURATION_ID=IA-ST-CFG-0080;FAMILY=STARTER;PACKAGING_MASS_KG=29.5992;EVIDENCE_BASIS=REV00 CURRENT EVIDENCE BASIS — ARTICLE 5 ASSESSMENT BASIS;SOURCE_REF=INCI_AKU_PPWR_Final_Configuration_Register_Rev00_GOLDEN_VARIANTS_FINAL.xlsx!01_FINAL_CONFIG_MASTER!R60</t>
        </is>
      </c>
      <c r="K60" t="inlineStr">
        <is>
          <t>2026-08-10T19:29:54Z</t>
        </is>
      </c>
      <c r="L60" t="inlineStr">
        <is>
          <t>2026-08-10T19:29:54Z</t>
        </is>
      </c>
    </row>
    <row r="61">
      <c r="A61" s="19" t="inlineStr">
        <is>
          <t>60</t>
        </is>
      </c>
      <c r="B61" s="19" t="inlineStr">
        <is>
          <t>ST-042-STD-06</t>
        </is>
      </c>
      <c r="C61" t="n">
        <v>0</v>
      </c>
      <c r="D61" t="inlineStr">
        <is>
          <t>Starter 42-unit | Standard Pallet 1030×1110×152 mm | Variant 06</t>
        </is>
      </c>
      <c r="E61" t="inlineStr">
        <is>
          <t>TR: L6 | Palet (4000037): 1 adet | Çember (4000450): kullanılmaz | EN: L6 | Pallet (4000037): 1 pc | Strap (4000450): not used</t>
        </is>
      </c>
      <c r="F61" s="19" t="n"/>
      <c r="G61" s="19" t="inlineStr">
        <is>
          <t>2</t>
        </is>
      </c>
      <c r="H61" t="inlineStr">
        <is>
          <t>2026-08-08</t>
        </is>
      </c>
      <c r="J61" t="inlineStr">
        <is>
          <t>FINAL_CONFIGURATION_ID=IA-ST-042-STD-06;SOURCE_CONFIGURATION_ID=IA-ST-CFG-0081;FAMILY=STARTER;PACKAGING_MASS_KG=29.3124;EVIDENCE_BASIS=REV00 CURRENT EVIDENCE BASIS — ARTICLE 5 ASSESSMENT BASIS;SOURCE_REF=INCI_AKU_PPWR_Final_Configuration_Register_Rev00_GOLDEN_VARIANTS_FINAL.xlsx!01_FINAL_CONFIG_MASTER!R61</t>
        </is>
      </c>
      <c r="K61" t="inlineStr">
        <is>
          <t>2026-08-10T19:29:54Z</t>
        </is>
      </c>
      <c r="L61" t="inlineStr">
        <is>
          <t>2026-08-10T19:29:54Z</t>
        </is>
      </c>
    </row>
    <row r="62">
      <c r="A62" s="19" t="inlineStr">
        <is>
          <t>61</t>
        </is>
      </c>
      <c r="B62" s="19" t="inlineStr">
        <is>
          <t>ST-042-STD-07</t>
        </is>
      </c>
      <c r="C62" t="n">
        <v>0</v>
      </c>
      <c r="D62" t="inlineStr">
        <is>
          <t>Starter 42-unit | Standard Pallet 1030×1110×152 mm | Variant 07</t>
        </is>
      </c>
      <c r="E62" t="inlineStr">
        <is>
          <t>TR: L6 | Palet (4000037): 1 adet | Köşebent (4000590): 2 adet | Shrink film (4001177): 0.597 kg | EN: L6 | Pallet (4000037): 1 pc | Edge protector (4000590): 2 pcs | Shrink film (4001177): 0.597 kg</t>
        </is>
      </c>
      <c r="F62" s="19" t="n"/>
      <c r="G62" s="19" t="inlineStr">
        <is>
          <t>2</t>
        </is>
      </c>
      <c r="H62" t="inlineStr">
        <is>
          <t>2026-08-08</t>
        </is>
      </c>
      <c r="J62" t="inlineStr">
        <is>
          <t>FINAL_CONFIGURATION_ID=IA-ST-042-STD-07;SOURCE_CONFIGURATION_ID=IA-ST-CFG-0082;FAMILY=STARTER;PACKAGING_MASS_KG=28.417;EVIDENCE_BASIS=REV00 CURRENT EVIDENCE BASIS — ARTICLE 5 ASSESSMENT BASIS;SOURCE_REF=INCI_AKU_PPWR_Final_Configuration_Register_Rev00_GOLDEN_VARIANTS_FINAL.xlsx!01_FINAL_CONFIG_MASTER!R62</t>
        </is>
      </c>
      <c r="K62" t="inlineStr">
        <is>
          <t>2026-08-10T19:29:54Z</t>
        </is>
      </c>
      <c r="L62" t="inlineStr">
        <is>
          <t>2026-08-10T19:29:54Z</t>
        </is>
      </c>
    </row>
    <row r="63">
      <c r="A63" s="19" t="inlineStr">
        <is>
          <t>62</t>
        </is>
      </c>
      <c r="B63" s="19" t="inlineStr">
        <is>
          <t>ST-042-STD-08</t>
        </is>
      </c>
      <c r="C63" t="n">
        <v>0</v>
      </c>
      <c r="D63" t="inlineStr">
        <is>
          <t>Starter 42-unit | Standard Pallet 1030×1110×152 mm | Variant 08</t>
        </is>
      </c>
      <c r="E63" t="inlineStr">
        <is>
          <t>TR: L6 | Palet (4000037): 1 adet | Köşebent (4000590): 4 adet | EN: L6 | Pallet (4000037): 1 pc | Edge protector (4000590): 4 pcs</t>
        </is>
      </c>
      <c r="F63" s="19" t="n"/>
      <c r="G63" s="19" t="inlineStr">
        <is>
          <t>2</t>
        </is>
      </c>
      <c r="H63" t="inlineStr">
        <is>
          <t>2026-08-08</t>
        </is>
      </c>
      <c r="J63" t="inlineStr">
        <is>
          <t>FINAL_CONFIGURATION_ID=IA-ST-042-STD-08;SOURCE_CONFIGURATION_ID=IA-ST-CFG-0083;FAMILY=STARTER;PACKAGING_MASS_KG=28.617;EVIDENCE_BASIS=REV00 CURRENT EVIDENCE BASIS — ARTICLE 5 ASSESSMENT BASIS;SOURCE_REF=INCI_AKU_PPWR_Final_Configuration_Register_Rev00_GOLDEN_VARIANTS_FINAL.xlsx!01_FINAL_CONFIG_MASTER!R63</t>
        </is>
      </c>
      <c r="K63" t="inlineStr">
        <is>
          <t>2026-08-10T19:29:54Z</t>
        </is>
      </c>
      <c r="L63" t="inlineStr">
        <is>
          <t>2026-08-10T19:29:54Z</t>
        </is>
      </c>
    </row>
    <row r="64">
      <c r="A64" s="19" t="inlineStr">
        <is>
          <t>63</t>
        </is>
      </c>
      <c r="B64" s="19" t="inlineStr">
        <is>
          <t>ST-044-STD-01</t>
        </is>
      </c>
      <c r="C64" t="n">
        <v>0</v>
      </c>
      <c r="D64" t="inlineStr">
        <is>
          <t>Starter 44-unit | Standard Pallet 1030×1110×152 mm | Variant 01</t>
        </is>
      </c>
      <c r="E64" t="inlineStr">
        <is>
          <t>TR: L2 | L2 YUASA penceresiz Orta Doğu dış koli (4001102): 44 adet | EN: L2 | L2 YUASA windowless Middle East outer carton (4001102): 44 pcs</t>
        </is>
      </c>
      <c r="F64" s="19" t="n"/>
      <c r="G64" s="19" t="inlineStr">
        <is>
          <t>2</t>
        </is>
      </c>
      <c r="H64" t="inlineStr">
        <is>
          <t>2026-08-08</t>
        </is>
      </c>
      <c r="J64" t="inlineStr">
        <is>
          <t>FINAL_CONFIGURATION_ID=IA-ST-044-STD-01;SOURCE_CONFIGURATION_ID=IA-ST-CFG-0088;FAMILY=STARTER;PACKAGING_MASS_KG=39.356;EVIDENCE_BASIS=REV00 CURRENT EVIDENCE BASIS — ARTICLE 5 ASSESSMENT BASIS;SOURCE_REF=INCI_AKU_PPWR_Final_Configuration_Register_Rev00_GOLDEN_VARIANTS_FINAL.xlsx!01_FINAL_CONFIG_MASTER!R64</t>
        </is>
      </c>
      <c r="K64" t="inlineStr">
        <is>
          <t>2026-08-10T19:29:54Z</t>
        </is>
      </c>
      <c r="L64" t="inlineStr">
        <is>
          <t>2026-08-10T19:29:54Z</t>
        </is>
      </c>
    </row>
    <row r="65">
      <c r="A65" s="19" t="inlineStr">
        <is>
          <t>64</t>
        </is>
      </c>
      <c r="B65" s="19" t="inlineStr">
        <is>
          <t>ST-045-EUR-01</t>
        </is>
      </c>
      <c r="C65" t="n">
        <v>0</v>
      </c>
      <c r="D65" t="inlineStr">
        <is>
          <t>Starter 45-unit | Euro Pallet 800×1200×152 mm | Variant 01</t>
        </is>
      </c>
      <c r="E65" t="inlineStr">
        <is>
          <t>TR: L3 | Palet (4000038): 1 adet | Köşebent (4000590): 4 adet | EN: L3 | Pallet (4000038): 1 pc | Edge protector (4000590): 4 pcs</t>
        </is>
      </c>
      <c r="F65" s="19" t="n"/>
      <c r="G65" s="19" t="inlineStr">
        <is>
          <t>2</t>
        </is>
      </c>
      <c r="H65" t="inlineStr">
        <is>
          <t>2026-08-08</t>
        </is>
      </c>
      <c r="J65" t="inlineStr">
        <is>
          <t>FINAL_CONFIGURATION_ID=IA-ST-045-EUR-01;SOURCE_CONFIGURATION_ID=IA-ST-CFG-0103;FAMILY=STARTER;PACKAGING_MASS_KG=27.926;EVIDENCE_BASIS=REV00 CURRENT EVIDENCE BASIS — ARTICLE 5 ASSESSMENT BASIS;SOURCE_REF=INCI_AKU_PPWR_Final_Configuration_Register_Rev00_GOLDEN_VARIANTS_FINAL.xlsx!01_FINAL_CONFIG_MASTER!R65</t>
        </is>
      </c>
      <c r="K65" t="inlineStr">
        <is>
          <t>2026-08-10T19:29:54Z</t>
        </is>
      </c>
      <c r="L65" t="inlineStr">
        <is>
          <t>2026-08-10T19:29:54Z</t>
        </is>
      </c>
    </row>
    <row r="66">
      <c r="A66" s="19" t="inlineStr">
        <is>
          <t>65</t>
        </is>
      </c>
      <c r="B66" s="19" t="inlineStr">
        <is>
          <t>ST-045-STD-01</t>
        </is>
      </c>
      <c r="C66" t="n">
        <v>0</v>
      </c>
      <c r="D66" t="inlineStr">
        <is>
          <t>Starter 45-unit | Standard Pallet 1030×1110×152 mm | Variant 01</t>
        </is>
      </c>
      <c r="E66" t="inlineStr">
        <is>
          <t>TR: L5 | L5 YUASA penceresiz Orta Doğu dış koli (4001105): 45 adet | EN: L5 | L5 YUASA windowless Middle East outer carton (4001105): 45 pcs</t>
        </is>
      </c>
      <c r="F66" s="19" t="n"/>
      <c r="G66" s="19" t="inlineStr">
        <is>
          <t>2</t>
        </is>
      </c>
      <c r="H66" t="inlineStr">
        <is>
          <t>2026-08-08</t>
        </is>
      </c>
      <c r="J66" t="inlineStr">
        <is>
          <t>FINAL_CONFIGURATION_ID=IA-ST-045-STD-01;SOURCE_CONFIGURATION_ID=IA-ST-CFG-0089;FAMILY=STARTER;PACKAGING_MASS_KG=43.916;EVIDENCE_BASIS=REV00 CURRENT EVIDENCE BASIS — ARTICLE 5 ASSESSMENT BASIS;SOURCE_REF=INCI_AKU_PPWR_Final_Configuration_Register_Rev00_GOLDEN_VARIANTS_FINAL.xlsx!01_FINAL_CONFIG_MASTER!R66</t>
        </is>
      </c>
      <c r="K66" t="inlineStr">
        <is>
          <t>2026-08-10T19:29:54Z</t>
        </is>
      </c>
      <c r="L66" t="inlineStr">
        <is>
          <t>2026-08-10T19:29:54Z</t>
        </is>
      </c>
    </row>
    <row r="67">
      <c r="A67" s="19" t="inlineStr">
        <is>
          <t>66</t>
        </is>
      </c>
      <c r="B67" s="19" t="inlineStr">
        <is>
          <t>ST-045-STD-02</t>
        </is>
      </c>
      <c r="C67" t="n">
        <v>0</v>
      </c>
      <c r="D67" t="inlineStr">
        <is>
          <t>Starter 45-unit | Standard Pallet 1030×1110×152 mm | Variant 02</t>
        </is>
      </c>
      <c r="E67" t="inlineStr">
        <is>
          <t>TR: L5 | L5 İnci AGM LEO 95AH 870A pencereli dış koli (4001194): 45 adet | EN: L5 | L5 İnci AGM LEO 95AH 870A windowed outer carton (4001194): 45 pcs</t>
        </is>
      </c>
      <c r="F67" s="19" t="n"/>
      <c r="G67" s="19" t="inlineStr">
        <is>
          <t>2</t>
        </is>
      </c>
      <c r="H67" t="inlineStr">
        <is>
          <t>2026-08-08</t>
        </is>
      </c>
      <c r="J67" t="inlineStr">
        <is>
          <t>FINAL_CONFIGURATION_ID=IA-ST-045-STD-02;SOURCE_CONFIGURATION_ID=IA-ST-CFG-0090;FAMILY=STARTER;PACKAGING_MASS_KG=44.336;EVIDENCE_BASIS=REV00 CURRENT EVIDENCE BASIS — ARTICLE 5 ASSESSMENT BASIS;SOURCE_REF=INCI_AKU_PPWR_Final_Configuration_Register_Rev00_GOLDEN_VARIANTS_FINAL.xlsx!01_FINAL_CONFIG_MASTER!R67</t>
        </is>
      </c>
      <c r="K67" t="inlineStr">
        <is>
          <t>2026-08-10T19:29:54Z</t>
        </is>
      </c>
      <c r="L67" t="inlineStr">
        <is>
          <t>2026-08-10T19:29:54Z</t>
        </is>
      </c>
    </row>
    <row r="68">
      <c r="A68" s="19" t="inlineStr">
        <is>
          <t>67</t>
        </is>
      </c>
      <c r="B68" s="19" t="inlineStr">
        <is>
          <t>ST-045-STD-03</t>
        </is>
      </c>
      <c r="C68" t="n">
        <v>0</v>
      </c>
      <c r="D68" t="inlineStr">
        <is>
          <t>Starter 45-unit | Standard Pallet 1030×1110×152 mm | Variant 03</t>
        </is>
      </c>
      <c r="E68" t="inlineStr">
        <is>
          <t>TR: L5 | L5 EAS AGM S&amp;S 95AH 870A pencereli dış koli (4001398): 45 adet | EN: L5 | L5 EAS AGM S&amp;S 95AH 870A windowed outer carton (4001398): 45 pcs</t>
        </is>
      </c>
      <c r="F68" s="19" t="n"/>
      <c r="G68" s="19" t="inlineStr">
        <is>
          <t>2</t>
        </is>
      </c>
      <c r="H68" t="inlineStr">
        <is>
          <t>2026-08-08</t>
        </is>
      </c>
      <c r="J68" t="inlineStr">
        <is>
          <t>FINAL_CONFIGURATION_ID=IA-ST-045-STD-03;SOURCE_CONFIGURATION_ID=IA-ST-CFG-0091;FAMILY=STARTER;PACKAGING_MASS_KG=44.336;EVIDENCE_BASIS=REV00 CURRENT EVIDENCE BASIS — ARTICLE 5 ASSESSMENT BASIS;SOURCE_REF=INCI_AKU_PPWR_Final_Configuration_Register_Rev00_GOLDEN_VARIANTS_FINAL.xlsx!01_FINAL_CONFIG_MASTER!R68</t>
        </is>
      </c>
      <c r="K68" t="inlineStr">
        <is>
          <t>2026-08-10T19:29:54Z</t>
        </is>
      </c>
      <c r="L68" t="inlineStr">
        <is>
          <t>2026-08-10T19:29:54Z</t>
        </is>
      </c>
    </row>
    <row r="69">
      <c r="A69" s="19" t="inlineStr">
        <is>
          <t>68</t>
        </is>
      </c>
      <c r="B69" s="19" t="inlineStr">
        <is>
          <t>ST-045-STD-04</t>
        </is>
      </c>
      <c r="C69" t="n">
        <v>0</v>
      </c>
      <c r="D69" t="inlineStr">
        <is>
          <t>Starter 45-unit | Standard Pallet 1030×1110×152 mm | Variant 04</t>
        </is>
      </c>
      <c r="E69" t="inlineStr">
        <is>
          <t>TR: L5 | Palet (4000037): 1 adet | Separatör (4000130): 4 adet | Streç ped (4000301): 0.186 kg | Köşebent (4000590): 4 adet | EN: L5 | Pallet (4000037): 1 pc | Separator (4000130): 4 pcs | Stretch pad (4000301): 0.186 kg | Edge protector (4000590): 4 pcs</t>
        </is>
      </c>
      <c r="F69" s="19" t="n"/>
      <c r="G69" s="19" t="inlineStr">
        <is>
          <t>2</t>
        </is>
      </c>
      <c r="H69" t="inlineStr">
        <is>
          <t>2026-08-08</t>
        </is>
      </c>
      <c r="J69" t="inlineStr">
        <is>
          <t>FINAL_CONFIGURATION_ID=IA-ST-045-STD-04;SOURCE_CONFIGURATION_ID=IA-ST-CFG-0092;FAMILY=STARTER;PACKAGING_MASS_KG=28.206;EVIDENCE_BASIS=REV00 CURRENT EVIDENCE BASIS — ARTICLE 5 ASSESSMENT BASIS;SOURCE_REF=INCI_AKU_PPWR_Final_Configuration_Register_Rev00_GOLDEN_VARIANTS_FINAL.xlsx!01_FINAL_CONFIG_MASTER!R69</t>
        </is>
      </c>
      <c r="K69" t="inlineStr">
        <is>
          <t>2026-08-10T19:29:54Z</t>
        </is>
      </c>
      <c r="L69" t="inlineStr">
        <is>
          <t>2026-08-10T19:29:54Z</t>
        </is>
      </c>
    </row>
    <row r="70">
      <c r="A70" s="19" t="inlineStr">
        <is>
          <t>69</t>
        </is>
      </c>
      <c r="B70" s="19" t="inlineStr">
        <is>
          <t>ST-045-STD-05</t>
        </is>
      </c>
      <c r="C70" t="n">
        <v>0</v>
      </c>
      <c r="D70" t="inlineStr">
        <is>
          <t>Starter 45-unit | Standard Pallet 1030×1110×152 mm | Variant 05</t>
        </is>
      </c>
      <c r="E70" t="inlineStr">
        <is>
          <t>TR: TRACTORL, TRACTOR | TRAKTÖR PVC üst kapak (4000494): 45 adet | Köşebent (4000590): 2 adet | EN: TRACTORL, TRACTOR | TRAKTÖR PVC upper cover (4000494): 45 pcs | Edge protector (4000590): 2 pcs</t>
        </is>
      </c>
      <c r="F70" s="19" t="n"/>
      <c r="G70" s="19" t="inlineStr">
        <is>
          <t>2</t>
        </is>
      </c>
      <c r="H70" t="inlineStr">
        <is>
          <t>2026-08-08</t>
        </is>
      </c>
      <c r="J70" t="inlineStr">
        <is>
          <t>FINAL_CONFIGURATION_ID=IA-ST-045-STD-05;SOURCE_CONFIGURATION_ID=IA-ST-CFG-0093;FAMILY=STARTER;PACKAGING_MASS_KG=33.3498;EVIDENCE_BASIS=REV00 CURRENT EVIDENCE BASIS — ARTICLE 5 ASSESSMENT BASIS;SOURCE_REF=INCI_AKU_PPWR_Final_Configuration_Register_Rev00_GOLDEN_VARIANTS_FINAL.xlsx!01_FINAL_CONFIG_MASTER!R70</t>
        </is>
      </c>
      <c r="K70" t="inlineStr">
        <is>
          <t>2026-08-10T19:29:54Z</t>
        </is>
      </c>
      <c r="L70" t="inlineStr">
        <is>
          <t>2026-08-10T19:29:54Z</t>
        </is>
      </c>
    </row>
    <row r="71">
      <c r="A71" s="19" t="inlineStr">
        <is>
          <t>70</t>
        </is>
      </c>
      <c r="B71" s="19" t="inlineStr">
        <is>
          <t>ST-045-STD-06</t>
        </is>
      </c>
      <c r="C71" t="n">
        <v>0</v>
      </c>
      <c r="D71" t="inlineStr">
        <is>
          <t>Starter 45-unit | Standard Pallet 1030×1110×152 mm | Variant 06</t>
        </is>
      </c>
      <c r="E71" t="inlineStr">
        <is>
          <t>TR: L5 | Palet (4000037): 1 adet | Çember (4000450): 7 m | Shrink film (4000608): kullanılmaz | EN: L5 | Pallet (4000037): 1 pc | Strap (4000450): 7 m | Shrink film (4000608): not used</t>
        </is>
      </c>
      <c r="F71" s="19" t="n"/>
      <c r="G71" s="19" t="inlineStr">
        <is>
          <t>2</t>
        </is>
      </c>
      <c r="H71" t="inlineStr">
        <is>
          <t>2026-08-08</t>
        </is>
      </c>
      <c r="J71" t="inlineStr">
        <is>
          <t>FINAL_CONFIGURATION_ID=IA-ST-045-STD-06;SOURCE_CONFIGURATION_ID=IA-ST-CFG-0094;FAMILY=STARTER;PACKAGING_MASS_KG=27.9192;EVIDENCE_BASIS=REV00 CURRENT EVIDENCE BASIS — ARTICLE 5 ASSESSMENT BASIS;SOURCE_REF=INCI_AKU_PPWR_Final_Configuration_Register_Rev00_GOLDEN_VARIANTS_FINAL.xlsx!01_FINAL_CONFIG_MASTER!R71</t>
        </is>
      </c>
      <c r="K71" t="inlineStr">
        <is>
          <t>2026-08-10T19:29:54Z</t>
        </is>
      </c>
      <c r="L71" t="inlineStr">
        <is>
          <t>2026-08-10T19:29:54Z</t>
        </is>
      </c>
    </row>
    <row r="72">
      <c r="A72" s="19" t="inlineStr">
        <is>
          <t>71</t>
        </is>
      </c>
      <c r="B72" s="19" t="inlineStr">
        <is>
          <t>ST-045-STD-07</t>
        </is>
      </c>
      <c r="C72" t="n">
        <v>0</v>
      </c>
      <c r="D72" t="inlineStr">
        <is>
          <t>Starter 45-unit | Standard Pallet 1030×1110×152 mm | Variant 07</t>
        </is>
      </c>
      <c r="E72" t="inlineStr">
        <is>
          <t>TR: LB5 | Palet (4000037): 1 adet | Shrink film (4000608): 1.53 kg | EN: LB5 | Pallet (4000037): 1 pc | Shrink film (4000608): 1.53 kg</t>
        </is>
      </c>
      <c r="F72" s="19" t="n"/>
      <c r="G72" s="19" t="inlineStr">
        <is>
          <t>2</t>
        </is>
      </c>
      <c r="H72" t="inlineStr">
        <is>
          <t>2026-08-08</t>
        </is>
      </c>
      <c r="J72" t="inlineStr">
        <is>
          <t>FINAL_CONFIGURATION_ID=IA-ST-045-STD-07;SOURCE_CONFIGURATION_ID=IA-ST-CFG-0095;FAMILY=STARTER;PACKAGING_MASS_KG=29.4492;EVIDENCE_BASIS=REV00 CURRENT EVIDENCE BASIS — ARTICLE 5 ASSESSMENT BASIS;SOURCE_REF=INCI_AKU_PPWR_Final_Configuration_Register_Rev00_GOLDEN_VARIANTS_FINAL.xlsx!01_FINAL_CONFIG_MASTER!R72</t>
        </is>
      </c>
      <c r="K72" t="inlineStr">
        <is>
          <t>2026-08-10T19:29:54Z</t>
        </is>
      </c>
      <c r="L72" t="inlineStr">
        <is>
          <t>2026-08-10T19:29:54Z</t>
        </is>
      </c>
    </row>
    <row r="73">
      <c r="A73" s="19" t="inlineStr">
        <is>
          <t>72</t>
        </is>
      </c>
      <c r="B73" s="19" t="inlineStr">
        <is>
          <t>ST-045-STD-08</t>
        </is>
      </c>
      <c r="C73" t="n">
        <v>0</v>
      </c>
      <c r="D73" t="inlineStr">
        <is>
          <t>Starter 45-unit | Standard Pallet 1030×1110×152 mm | Variant 08</t>
        </is>
      </c>
      <c r="E73" t="inlineStr">
        <is>
          <t>TR: L5 | Palet (4000037): 1 adet | Köşebent (4000590): 2 adet | Shrink film (4000608): 1.8 kg | EN: L5 | Pallet (4000037): 1 pc | Edge protector (4000590): 2 pcs | Shrink film (4000608): 1.8 kg</t>
        </is>
      </c>
      <c r="F73" s="19" t="n"/>
      <c r="G73" s="19" t="inlineStr">
        <is>
          <t>2</t>
        </is>
      </c>
      <c r="H73" t="inlineStr">
        <is>
          <t>2026-08-08</t>
        </is>
      </c>
      <c r="J73" t="inlineStr">
        <is>
          <t>FINAL_CONFIGURATION_ID=IA-ST-045-STD-08;SOURCE_CONFIGURATION_ID=IA-ST-CFG-0096;FAMILY=STARTER;PACKAGING_MASS_KG=29.7192;EVIDENCE_BASIS=REV00 CURRENT EVIDENCE BASIS — ARTICLE 5 ASSESSMENT BASIS;SOURCE_REF=INCI_AKU_PPWR_Final_Configuration_Register_Rev00_GOLDEN_VARIANTS_FINAL.xlsx!01_FINAL_CONFIG_MASTER!R73</t>
        </is>
      </c>
      <c r="K73" t="inlineStr">
        <is>
          <t>2026-08-10T19:29:54Z</t>
        </is>
      </c>
      <c r="L73" t="inlineStr">
        <is>
          <t>2026-08-10T19:29:54Z</t>
        </is>
      </c>
    </row>
    <row r="74">
      <c r="A74" s="19" t="inlineStr">
        <is>
          <t>73</t>
        </is>
      </c>
      <c r="B74" s="19" t="inlineStr">
        <is>
          <t>ST-045-STD-09</t>
        </is>
      </c>
      <c r="C74" t="n">
        <v>0</v>
      </c>
      <c r="D74" t="inlineStr">
        <is>
          <t>Starter 45-unit | Standard Pallet 1030×1110×152 mm | Variant 09</t>
        </is>
      </c>
      <c r="E74" t="inlineStr">
        <is>
          <t>TR: TRACTORL, TRACTOR | TRAKTÖR PVC üst kapak (4000494): 45 adet | Köşebent (4000590): kullanılmaz | EN: TRACTORL, TRACTOR | TRAKTÖR PVC upper cover (4000494): 45 pcs | Edge protector (4000590): not used</t>
        </is>
      </c>
      <c r="F74" s="19" t="n"/>
      <c r="G74" s="19" t="inlineStr">
        <is>
          <t>2</t>
        </is>
      </c>
      <c r="H74" t="inlineStr">
        <is>
          <t>2026-08-08</t>
        </is>
      </c>
      <c r="J74" t="inlineStr">
        <is>
          <t>FINAL_CONFIGURATION_ID=IA-ST-045-STD-09;SOURCE_CONFIGURATION_ID=IA-ST-CFG-0097;FAMILY=STARTER;PACKAGING_MASS_KG=33.063;EVIDENCE_BASIS=REV00 CURRENT EVIDENCE BASIS — ARTICLE 5 ASSESSMENT BASIS;SOURCE_REF=INCI_AKU_PPWR_Final_Configuration_Register_Rev00_GOLDEN_VARIANTS_FINAL.xlsx!01_FINAL_CONFIG_MASTER!R74</t>
        </is>
      </c>
      <c r="K74" t="inlineStr">
        <is>
          <t>2026-08-10T19:29:54Z</t>
        </is>
      </c>
      <c r="L74" t="inlineStr">
        <is>
          <t>2026-08-10T19:29:54Z</t>
        </is>
      </c>
    </row>
    <row r="75">
      <c r="A75" s="19" t="inlineStr">
        <is>
          <t>74</t>
        </is>
      </c>
      <c r="B75" s="19" t="inlineStr">
        <is>
          <t>ST-045-STD-10</t>
        </is>
      </c>
      <c r="C75" t="n">
        <v>0</v>
      </c>
      <c r="D75" t="inlineStr">
        <is>
          <t>Starter 45-unit | Standard Pallet 1030×1110×152 mm | Variant 10</t>
        </is>
      </c>
      <c r="E75" t="inlineStr">
        <is>
          <t>TR: L5 | Palet (4000037): 1 adet | Çember (4000450): kullanılmaz | EN: L5 | Pallet (4000037): 1 pc | Strap (4000450): not used</t>
        </is>
      </c>
      <c r="F75" s="19" t="n"/>
      <c r="G75" s="19" t="inlineStr">
        <is>
          <t>2</t>
        </is>
      </c>
      <c r="H75" t="inlineStr">
        <is>
          <t>2026-08-08</t>
        </is>
      </c>
      <c r="J75" t="inlineStr">
        <is>
          <t>FINAL_CONFIGURATION_ID=IA-ST-045-STD-10;SOURCE_CONFIGURATION_ID=IA-ST-CFG-0098;FAMILY=STARTER;PACKAGING_MASS_KG=29.4324;EVIDENCE_BASIS=REV00 CURRENT EVIDENCE BASIS — ARTICLE 5 ASSESSMENT BASIS;SOURCE_REF=INCI_AKU_PPWR_Final_Configuration_Register_Rev00_GOLDEN_VARIANTS_FINAL.xlsx!01_FINAL_CONFIG_MASTER!R75</t>
        </is>
      </c>
      <c r="K75" t="inlineStr">
        <is>
          <t>2026-08-10T19:29:54Z</t>
        </is>
      </c>
      <c r="L75" t="inlineStr">
        <is>
          <t>2026-08-10T19:29:54Z</t>
        </is>
      </c>
    </row>
    <row r="76">
      <c r="A76" s="19" t="inlineStr">
        <is>
          <t>75</t>
        </is>
      </c>
      <c r="B76" s="19" t="inlineStr">
        <is>
          <t>ST-045-STD-11</t>
        </is>
      </c>
      <c r="C76" t="n">
        <v>0</v>
      </c>
      <c r="D76" t="inlineStr">
        <is>
          <t>Starter 45-unit | Standard Pallet 1030×1110×152 mm | Variant 11</t>
        </is>
      </c>
      <c r="E76" t="inlineStr">
        <is>
          <t>TR: TRACTOR | Palet (4000037): 1 adet | Shrink film (4001177): 0.597 kg | EN: TRACTOR | Pallet (4000037): 1 pc | Shrink film (4001177): 0.597 kg</t>
        </is>
      </c>
      <c r="F76" s="19" t="n"/>
      <c r="G76" s="19" t="inlineStr">
        <is>
          <t>2</t>
        </is>
      </c>
      <c r="H76" t="inlineStr">
        <is>
          <t>2026-08-08</t>
        </is>
      </c>
      <c r="J76" t="inlineStr">
        <is>
          <t>FINAL_CONFIGURATION_ID=IA-ST-045-STD-11;SOURCE_CONFIGURATION_ID=IA-ST-CFG-0099;FAMILY=STARTER;PACKAGING_MASS_KG=28.649;EVIDENCE_BASIS=REV00 CURRENT EVIDENCE BASIS — ARTICLE 5 ASSESSMENT BASIS;SOURCE_REF=INCI_AKU_PPWR_Final_Configuration_Register_Rev00_GOLDEN_VARIANTS_FINAL.xlsx!01_FINAL_CONFIG_MASTER!R76</t>
        </is>
      </c>
      <c r="K76" t="inlineStr">
        <is>
          <t>2026-08-10T19:29:54Z</t>
        </is>
      </c>
      <c r="L76" t="inlineStr">
        <is>
          <t>2026-08-10T19:29:54Z</t>
        </is>
      </c>
    </row>
    <row r="77">
      <c r="A77" s="19" t="inlineStr">
        <is>
          <t>76</t>
        </is>
      </c>
      <c r="B77" s="19" t="inlineStr">
        <is>
          <t>ST-045-STD-12</t>
        </is>
      </c>
      <c r="C77" t="n">
        <v>0</v>
      </c>
      <c r="D77" t="inlineStr">
        <is>
          <t>Starter 45-unit | Standard Pallet 1030×1110×152 mm | Variant 12</t>
        </is>
      </c>
      <c r="E77" t="inlineStr">
        <is>
          <t>TR: L5 | Palet (4000037): 1 adet | Köşebent (4000590): 2 adet | Shrink film (4001177): 0.597 kg | EN: L5 | Pallet (4000037): 1 pc | Edge protector (4000590): 2 pcs | Shrink film (4001177): 0.597 kg</t>
        </is>
      </c>
      <c r="F77" s="19" t="n"/>
      <c r="G77" s="19" t="inlineStr">
        <is>
          <t>2</t>
        </is>
      </c>
      <c r="H77" t="inlineStr">
        <is>
          <t>2026-08-08</t>
        </is>
      </c>
      <c r="J77" t="inlineStr">
        <is>
          <t>FINAL_CONFIGURATION_ID=IA-ST-045-STD-12;SOURCE_CONFIGURATION_ID=IA-ST-CFG-0100;FAMILY=STARTER;PACKAGING_MASS_KG=28.417;EVIDENCE_BASIS=REV00 CURRENT EVIDENCE BASIS — ARTICLE 5 ASSESSMENT BASIS;SOURCE_REF=INCI_AKU_PPWR_Final_Configuration_Register_Rev00_GOLDEN_VARIANTS_FINAL.xlsx!01_FINAL_CONFIG_MASTER!R77</t>
        </is>
      </c>
      <c r="K77" t="inlineStr">
        <is>
          <t>2026-08-10T19:29:54Z</t>
        </is>
      </c>
      <c r="L77" t="inlineStr">
        <is>
          <t>2026-08-10T19:29:54Z</t>
        </is>
      </c>
    </row>
    <row r="78">
      <c r="A78" s="19" t="inlineStr">
        <is>
          <t>77</t>
        </is>
      </c>
      <c r="B78" s="19" t="inlineStr">
        <is>
          <t>ST-045-STD-13</t>
        </is>
      </c>
      <c r="C78" t="n">
        <v>0</v>
      </c>
      <c r="D78" t="inlineStr">
        <is>
          <t>Starter 45-unit | Standard Pallet 1030×1110×152 mm | Variant 13</t>
        </is>
      </c>
      <c r="E78" t="inlineStr">
        <is>
          <t>TR: L5 | Palet (4000037): 1 adet | Köşebent (4000590): 4 adet | Shrink film (4001177): 0.597 kg | EN: L5 | Pallet (4000037): 1 pc | Edge protector (4000590): 4 pcs | Shrink film (4001177): 0.597 kg</t>
        </is>
      </c>
      <c r="F78" s="19" t="n"/>
      <c r="G78" s="19" t="inlineStr">
        <is>
          <t>2</t>
        </is>
      </c>
      <c r="H78" t="inlineStr">
        <is>
          <t>2026-08-08</t>
        </is>
      </c>
      <c r="J78" t="inlineStr">
        <is>
          <t>FINAL_CONFIGURATION_ID=IA-ST-045-STD-13;SOURCE_CONFIGURATION_ID=IA-ST-CFG-0101;FAMILY=STARTER;PACKAGING_MASS_KG=28.617;EVIDENCE_BASIS=REV00 CURRENT EVIDENCE BASIS — ARTICLE 5 ASSESSMENT BASIS;SOURCE_REF=INCI_AKU_PPWR_Final_Configuration_Register_Rev00_GOLDEN_VARIANTS_FINAL.xlsx!01_FINAL_CONFIG_MASTER!R78</t>
        </is>
      </c>
      <c r="K78" t="inlineStr">
        <is>
          <t>2026-08-10T19:29:54Z</t>
        </is>
      </c>
      <c r="L78" t="inlineStr">
        <is>
          <t>2026-08-10T19:29:54Z</t>
        </is>
      </c>
    </row>
    <row r="79">
      <c r="A79" s="19" t="inlineStr">
        <is>
          <t>78</t>
        </is>
      </c>
      <c r="B79" s="19" t="inlineStr">
        <is>
          <t>ST-045-STD-14</t>
        </is>
      </c>
      <c r="C79" t="n">
        <v>0</v>
      </c>
      <c r="D79" t="inlineStr">
        <is>
          <t>Starter 45-unit | Standard Pallet 1030×1110×152 mm | Variant 14</t>
        </is>
      </c>
      <c r="E79" t="inlineStr">
        <is>
          <t>TR: L5 | Palet (4000037): 1 adet | Separatör (4000130): 5 adet | EN: L5 | Pallet (4000037): 1 pc | Separator (4000130): 5 pcs</t>
        </is>
      </c>
      <c r="F79" s="19" t="n"/>
      <c r="G79" s="19" t="inlineStr">
        <is>
          <t>2</t>
        </is>
      </c>
      <c r="H79" t="inlineStr">
        <is>
          <t>2026-08-08</t>
        </is>
      </c>
      <c r="J79" t="inlineStr">
        <is>
          <t>FINAL_CONFIGURATION_ID=IA-ST-045-STD-14;SOURCE_CONFIGURATION_ID=IA-ST-CFG-0102;FAMILY=STARTER;PACKAGING_MASS_KG=28.476;EVIDENCE_BASIS=REV00 CURRENT EVIDENCE BASIS — ARTICLE 5 ASSESSMENT BASIS;SOURCE_REF=INCI_AKU_PPWR_Final_Configuration_Register_Rev00_GOLDEN_VARIANTS_FINAL.xlsx!01_FINAL_CONFIG_MASTER!R79</t>
        </is>
      </c>
      <c r="K79" t="inlineStr">
        <is>
          <t>2026-08-10T19:29:54Z</t>
        </is>
      </c>
      <c r="L79" t="inlineStr">
        <is>
          <t>2026-08-10T19:29:54Z</t>
        </is>
      </c>
    </row>
    <row r="80">
      <c r="A80" s="19" t="inlineStr">
        <is>
          <t>79</t>
        </is>
      </c>
      <c r="B80" s="19" t="inlineStr">
        <is>
          <t>ST-048-EUR-01</t>
        </is>
      </c>
      <c r="C80" t="n">
        <v>0</v>
      </c>
      <c r="D80" t="inlineStr">
        <is>
          <t>Starter 48-unit | Euro Pallet 800×1200×152 mm | Variant 01</t>
        </is>
      </c>
      <c r="E80" t="inlineStr">
        <is>
          <t>TR: L5 | L5 İnci AGM LEO 95AH 870A pencereli dış koli (4001194): 48 adet | EN: L5 | L5 İnci AGM LEO 95AH 870A windowed outer carton (4001194): 48 pcs</t>
        </is>
      </c>
      <c r="F80" s="19" t="n"/>
      <c r="G80" s="19" t="inlineStr">
        <is>
          <t>2</t>
        </is>
      </c>
      <c r="H80" t="inlineStr">
        <is>
          <t>2026-08-08</t>
        </is>
      </c>
      <c r="J80" t="inlineStr">
        <is>
          <t>FINAL_CONFIGURATION_ID=IA-ST-048-EUR-01;SOURCE_CONFIGURATION_ID=IA-ST-CFG-0105;FAMILY=STARTER;PACKAGING_MASS_KG=44.6524;EVIDENCE_BASIS=REV00 CURRENT EVIDENCE BASIS — ARTICLE 5 ASSESSMENT BASIS;SOURCE_REF=INCI_AKU_PPWR_Final_Configuration_Register_Rev00_GOLDEN_VARIANTS_FINAL.xlsx!01_FINAL_CONFIG_MASTER!R80</t>
        </is>
      </c>
      <c r="K80" t="inlineStr">
        <is>
          <t>2026-08-10T19:29:54Z</t>
        </is>
      </c>
      <c r="L80" t="inlineStr">
        <is>
          <t>2026-08-10T19:29:54Z</t>
        </is>
      </c>
    </row>
    <row r="81">
      <c r="A81" s="19" t="inlineStr">
        <is>
          <t>80</t>
        </is>
      </c>
      <c r="B81" s="19" t="inlineStr">
        <is>
          <t>ST-048-EUR-02</t>
        </is>
      </c>
      <c r="C81" t="n">
        <v>0</v>
      </c>
      <c r="D81" t="inlineStr">
        <is>
          <t>Starter 48-unit | Euro Pallet 800×1200×152 mm | Variant 02</t>
        </is>
      </c>
      <c r="E81" t="inlineStr">
        <is>
          <t>TR: D26 | D26 PVC üst kapak (4000440): 48 adet | EN: D26 | D26 PVC upper cover (4000440): 48 pcs</t>
        </is>
      </c>
      <c r="F81" s="19" t="n"/>
      <c r="G81" s="19" t="inlineStr">
        <is>
          <t>2</t>
        </is>
      </c>
      <c r="H81" t="inlineStr">
        <is>
          <t>2026-08-08</t>
        </is>
      </c>
      <c r="J81" t="inlineStr">
        <is>
          <t>FINAL_CONFIGURATION_ID=IA-ST-048-EUR-02;SOURCE_CONFIGURATION_ID=IA-ST-CFG-0107;FAMILY=STARTER;PACKAGING_MASS_KG=32.3872;EVIDENCE_BASIS=REV00 CURRENT EVIDENCE BASIS — ARTICLE 5 ASSESSMENT BASIS;SOURCE_REF=INCI_AKU_PPWR_Final_Configuration_Register_Rev00_GOLDEN_VARIANTS_FINAL.xlsx!01_FINAL_CONFIG_MASTER!R81</t>
        </is>
      </c>
      <c r="K81" t="inlineStr">
        <is>
          <t>2026-08-10T19:29:54Z</t>
        </is>
      </c>
      <c r="L81" t="inlineStr">
        <is>
          <t>2026-08-10T19:29:54Z</t>
        </is>
      </c>
    </row>
    <row r="82">
      <c r="A82" s="19" t="inlineStr">
        <is>
          <t>81</t>
        </is>
      </c>
      <c r="B82" s="19" t="inlineStr">
        <is>
          <t>ST-048-EUR-03</t>
        </is>
      </c>
      <c r="C82" t="n">
        <v>0</v>
      </c>
      <c r="D82" t="inlineStr">
        <is>
          <t>Starter 48-unit | Euro Pallet 800×1200×152 mm | Variant 03</t>
        </is>
      </c>
      <c r="E82" t="inlineStr">
        <is>
          <t>TR: D31 | Palet (4000038): 1 adet | EPS (4000573): 24 adet | EN: D31 | Pallet (4000038): 1 pc | EPS (4000573): 24 pcs</t>
        </is>
      </c>
      <c r="F82" s="19" t="n"/>
      <c r="G82" s="19" t="inlineStr">
        <is>
          <t>2</t>
        </is>
      </c>
      <c r="H82" t="inlineStr">
        <is>
          <t>2026-08-08</t>
        </is>
      </c>
      <c r="J82" t="inlineStr">
        <is>
          <t>FINAL_CONFIGURATION_ID=IA-ST-048-EUR-03;SOURCE_CONFIGURATION_ID=IA-ST-CFG-0109;FAMILY=STARTER;PACKAGING_MASS_KG=29.174;EVIDENCE_BASIS=REV00 CURRENT EVIDENCE BASIS — ARTICLE 5 ASSESSMENT BASIS;SOURCE_REF=INCI_AKU_PPWR_Final_Configuration_Register_Rev00_GOLDEN_VARIANTS_FINAL.xlsx!01_FINAL_CONFIG_MASTER!R82</t>
        </is>
      </c>
      <c r="K82" t="inlineStr">
        <is>
          <t>2026-08-10T19:29:54Z</t>
        </is>
      </c>
      <c r="L82" t="inlineStr">
        <is>
          <t>2026-08-10T19:29:54Z</t>
        </is>
      </c>
    </row>
    <row r="83">
      <c r="A83" s="19" t="inlineStr">
        <is>
          <t>82</t>
        </is>
      </c>
      <c r="B83" s="19" t="inlineStr">
        <is>
          <t>ST-048-EUR-04</t>
        </is>
      </c>
      <c r="C83" t="n">
        <v>0</v>
      </c>
      <c r="D83" t="inlineStr">
        <is>
          <t>Starter 48-unit | Euro Pallet 800×1200×152 mm | Variant 04</t>
        </is>
      </c>
      <c r="E83" t="inlineStr">
        <is>
          <t>TR: L5 | Palet (4000038): 1 adet | Shrink film (4000608): 1.92 kg | EN: L5 | Pallet (4000038): 1 pc | Shrink film (4000608): 1.92 kg</t>
        </is>
      </c>
      <c r="F83" s="19" t="n"/>
      <c r="G83" s="19" t="inlineStr">
        <is>
          <t>2</t>
        </is>
      </c>
      <c r="H83" t="inlineStr">
        <is>
          <t>2026-08-08</t>
        </is>
      </c>
      <c r="J83" t="inlineStr">
        <is>
          <t>FINAL_CONFIGURATION_ID=IA-ST-048-EUR-04;SOURCE_CONFIGURATION_ID=IA-ST-CFG-0110;FAMILY=STARTER;PACKAGING_MASS_KG=30.046;EVIDENCE_BASIS=REV00 CURRENT EVIDENCE BASIS — ARTICLE 5 ASSESSMENT BASIS;SOURCE_REF=INCI_AKU_PPWR_Final_Configuration_Register_Rev00_GOLDEN_VARIANTS_FINAL.xlsx!01_FINAL_CONFIG_MASTER!R83</t>
        </is>
      </c>
      <c r="K83" t="inlineStr">
        <is>
          <t>2026-08-10T19:29:54Z</t>
        </is>
      </c>
      <c r="L83" t="inlineStr">
        <is>
          <t>2026-08-10T19:29:54Z</t>
        </is>
      </c>
    </row>
    <row r="84">
      <c r="A84" s="19" t="inlineStr">
        <is>
          <t>83</t>
        </is>
      </c>
      <c r="B84" s="19" t="inlineStr">
        <is>
          <t>ST-048-EUR-05</t>
        </is>
      </c>
      <c r="C84" t="n">
        <v>0</v>
      </c>
      <c r="D84" t="inlineStr">
        <is>
          <t>Starter 48-unit | Euro Pallet 800×1200×152 mm | Variant 05</t>
        </is>
      </c>
      <c r="E84" t="inlineStr">
        <is>
          <t>TR: D31 | Palet (4000038): 1 adet | Honeycomb (4001186): 3 adet | EN: D31 | Pallet (4000038): 1 pc | Honeycomb (4001186): 3 pcs</t>
        </is>
      </c>
      <c r="F84" s="19" t="n"/>
      <c r="G84" s="19" t="inlineStr">
        <is>
          <t>2</t>
        </is>
      </c>
      <c r="H84" t="inlineStr">
        <is>
          <t>2026-08-08</t>
        </is>
      </c>
      <c r="J84" t="inlineStr">
        <is>
          <t>FINAL_CONFIGURATION_ID=IA-ST-048-EUR-05;SOURCE_CONFIGURATION_ID=IA-ST-CFG-0111;FAMILY=STARTER;PACKAGING_MASS_KG=30.326;EVIDENCE_BASIS=REV00 CURRENT EVIDENCE BASIS — ARTICLE 5 ASSESSMENT BASIS;SOURCE_REF=INCI_AKU_PPWR_Final_Configuration_Register_Rev00_GOLDEN_VARIANTS_FINAL.xlsx!01_FINAL_CONFIG_MASTER!R84</t>
        </is>
      </c>
      <c r="K84" t="inlineStr">
        <is>
          <t>2026-08-10T19:29:54Z</t>
        </is>
      </c>
      <c r="L84" t="inlineStr">
        <is>
          <t>2026-08-10T19:29:54Z</t>
        </is>
      </c>
    </row>
    <row r="85">
      <c r="A85" s="19" t="inlineStr">
        <is>
          <t>84</t>
        </is>
      </c>
      <c r="B85" s="19" t="inlineStr">
        <is>
          <t>ST-048-EUR-06</t>
        </is>
      </c>
      <c r="C85" t="n">
        <v>0</v>
      </c>
      <c r="D85" t="inlineStr">
        <is>
          <t>Starter 48-unit | Euro Pallet 800×1200×152 mm | Variant 06</t>
        </is>
      </c>
      <c r="E85" t="inlineStr">
        <is>
          <t>TR: D31 | Palet (4000038): 1 adet | Köşebent (4000590): 4 adet | EPS (4001247): 3 adet | EN: D31 | Pallet (4000038): 1 pc | Edge protector (4000590): 4 pcs | EPS (4001247): 3 pcs</t>
        </is>
      </c>
      <c r="F85" s="19" t="n"/>
      <c r="G85" s="19" t="inlineStr">
        <is>
          <t>2</t>
        </is>
      </c>
      <c r="H85" t="inlineStr">
        <is>
          <t>2026-08-08</t>
        </is>
      </c>
      <c r="J85" t="inlineStr">
        <is>
          <t>FINAL_CONFIGURATION_ID=IA-ST-048-EUR-06;SOURCE_CONFIGURATION_ID=IA-ST-CFG-0112;FAMILY=STARTER;PACKAGING_MASS_KG=27.506;EVIDENCE_BASIS=REV00 CURRENT EVIDENCE BASIS — ARTICLE 5 ASSESSMENT BASIS;SOURCE_REF=INCI_AKU_PPWR_Final_Configuration_Register_Rev00_GOLDEN_VARIANTS_FINAL.xlsx!01_FINAL_CONFIG_MASTER!R85</t>
        </is>
      </c>
      <c r="K85" t="inlineStr">
        <is>
          <t>2026-08-10T19:29:54Z</t>
        </is>
      </c>
      <c r="L85" t="inlineStr">
        <is>
          <t>2026-08-10T19:29:54Z</t>
        </is>
      </c>
    </row>
    <row r="86">
      <c r="A86" s="19" t="inlineStr">
        <is>
          <t>85</t>
        </is>
      </c>
      <c r="B86" s="19" t="inlineStr">
        <is>
          <t>ST-048-EUR-07</t>
        </is>
      </c>
      <c r="C86" t="n">
        <v>0</v>
      </c>
      <c r="D86" t="inlineStr">
        <is>
          <t>Starter 48-unit | Euro Pallet 800×1200×152 mm | Variant 07</t>
        </is>
      </c>
      <c r="E86" t="inlineStr">
        <is>
          <t>TR: L3 | Palet (4000038): 1 adet | Köşebent (4000590): 4 adet | EN: L3 | Pallet (4000038): 1 pc | Edge protector (4000590): 4 pcs</t>
        </is>
      </c>
      <c r="F86" s="19" t="n"/>
      <c r="G86" s="19" t="inlineStr">
        <is>
          <t>2</t>
        </is>
      </c>
      <c r="H86" t="inlineStr">
        <is>
          <t>2026-08-08</t>
        </is>
      </c>
      <c r="J86" t="inlineStr">
        <is>
          <t>FINAL_CONFIGURATION_ID=IA-ST-048-EUR-07;SOURCE_CONFIGURATION_ID=IA-ST-CFG-0113;FAMILY=STARTER;PACKAGING_MASS_KG=27.926;EVIDENCE_BASIS=REV00 CURRENT EVIDENCE BASIS — ARTICLE 5 ASSESSMENT BASIS;SOURCE_REF=INCI_AKU_PPWR_Final_Configuration_Register_Rev00_GOLDEN_VARIANTS_FINAL.xlsx!01_FINAL_CONFIG_MASTER!R86</t>
        </is>
      </c>
      <c r="K86" t="inlineStr">
        <is>
          <t>2026-08-10T19:29:54Z</t>
        </is>
      </c>
      <c r="L86" t="inlineStr">
        <is>
          <t>2026-08-10T19:29:54Z</t>
        </is>
      </c>
    </row>
    <row r="87">
      <c r="A87" s="19" t="inlineStr">
        <is>
          <t>86</t>
        </is>
      </c>
      <c r="B87" s="19" t="inlineStr">
        <is>
          <t>ST-048-EUR-08</t>
        </is>
      </c>
      <c r="C87" t="n">
        <v>0</v>
      </c>
      <c r="D87" t="inlineStr">
        <is>
          <t>Starter 48-unit | Euro Pallet 800×1200×152 mm | Variant 08</t>
        </is>
      </c>
      <c r="E87" t="inlineStr">
        <is>
          <t>TR: L5 | Palet (4000038): 1 adet | Köşebent (4000590): 4 adet | Shrink film (4000608): kullanılmaz | EN: L5 | Pallet (4000038): 1 pc | Edge protector (4000590): 4 pcs | Shrink film (4000608): not used</t>
        </is>
      </c>
      <c r="F87" s="19" t="n"/>
      <c r="G87" s="19" t="inlineStr">
        <is>
          <t>2</t>
        </is>
      </c>
      <c r="H87" t="inlineStr">
        <is>
          <t>2026-08-08</t>
        </is>
      </c>
      <c r="J87" t="inlineStr">
        <is>
          <t>FINAL_CONFIGURATION_ID=IA-ST-048-EUR-08;SOURCE_CONFIGURATION_ID=IA-ST-CFG-0114;FAMILY=STARTER;PACKAGING_MASS_KG=28.126;EVIDENCE_BASIS=REV00 CURRENT EVIDENCE BASIS — ARTICLE 5 ASSESSMENT BASIS;SOURCE_REF=INCI_AKU_PPWR_Final_Configuration_Register_Rev00_GOLDEN_VARIANTS_FINAL.xlsx!01_FINAL_CONFIG_MASTER!R87</t>
        </is>
      </c>
      <c r="K87" t="inlineStr">
        <is>
          <t>2026-08-10T19:29:54Z</t>
        </is>
      </c>
      <c r="L87" t="inlineStr">
        <is>
          <t>2026-08-10T19:29:54Z</t>
        </is>
      </c>
    </row>
    <row r="88">
      <c r="A88" s="19" t="inlineStr">
        <is>
          <t>87</t>
        </is>
      </c>
      <c r="B88" s="19" t="inlineStr">
        <is>
          <t>ST-048-EUR-09</t>
        </is>
      </c>
      <c r="C88" t="n">
        <v>0</v>
      </c>
      <c r="D88" t="inlineStr">
        <is>
          <t>Starter 48-unit | Euro Pallet 800×1200×152 mm | Variant 09</t>
        </is>
      </c>
      <c r="E88" t="inlineStr">
        <is>
          <t>TR: D31 | D31 PVC üst kapak (4001310): 48 adet | EN: D31 | D31 PVC upper cover (4001310): 48 pcs</t>
        </is>
      </c>
      <c r="F88" s="19" t="n"/>
      <c r="G88" s="19" t="inlineStr">
        <is>
          <t>2</t>
        </is>
      </c>
      <c r="H88" t="inlineStr">
        <is>
          <t>2026-08-08</t>
        </is>
      </c>
      <c r="J88" t="inlineStr">
        <is>
          <t>FINAL_CONFIGURATION_ID=IA-ST-048-EUR-09;SOURCE_CONFIGURATION_ID=IA-ST-CFG-0115;FAMILY=STARTER;PACKAGING_MASS_KG=32.8524;EVIDENCE_BASIS=REV00 CURRENT EVIDENCE BASIS — ARTICLE 5 ASSESSMENT BASIS;SOURCE_REF=INCI_AKU_PPWR_Final_Configuration_Register_Rev00_GOLDEN_VARIANTS_FINAL.xlsx!01_FINAL_CONFIG_MASTER!R88</t>
        </is>
      </c>
      <c r="K88" t="inlineStr">
        <is>
          <t>2026-08-10T19:29:54Z</t>
        </is>
      </c>
      <c r="L88" t="inlineStr">
        <is>
          <t>2026-08-10T19:29:54Z</t>
        </is>
      </c>
    </row>
    <row r="89">
      <c r="A89" s="19" t="inlineStr">
        <is>
          <t>88</t>
        </is>
      </c>
      <c r="B89" s="19" t="inlineStr">
        <is>
          <t>ST-048-EUR-10</t>
        </is>
      </c>
      <c r="C89" t="n">
        <v>0</v>
      </c>
      <c r="D89" t="inlineStr">
        <is>
          <t>Starter 48-unit | Euro Pallet 800×1200×152 mm | Variant 10</t>
        </is>
      </c>
      <c r="E89" t="inlineStr">
        <is>
          <t>TR: L5, LB5 | Palet (4000038): 1 adet | Shrink film (4000608): 1.92 kg | EN: L5, LB5 | Pallet (4000038): 1 pc | Shrink film (4000608): 1.92 kg</t>
        </is>
      </c>
      <c r="F89" s="19" t="n"/>
      <c r="G89" s="19" t="inlineStr">
        <is>
          <t>2</t>
        </is>
      </c>
      <c r="H89" t="inlineStr">
        <is>
          <t>2026-08-08</t>
        </is>
      </c>
      <c r="J89" t="inlineStr">
        <is>
          <t>FINAL_CONFIGURATION_ID=IA-ST-048-EUR-10;SOURCE_CONFIGURATION_ID=IA-ST-CFG-0116;FAMILY=STARTER;PACKAGING_MASS_KG=29.7592;EVIDENCE_BASIS=REV00 CURRENT EVIDENCE BASIS — ARTICLE 5 ASSESSMENT BASIS;SOURCE_REF=INCI_AKU_PPWR_Final_Configuration_Register_Rev00_GOLDEN_VARIANTS_FINAL.xlsx!01_FINAL_CONFIG_MASTER!R89</t>
        </is>
      </c>
      <c r="K89" t="inlineStr">
        <is>
          <t>2026-08-10T19:29:54Z</t>
        </is>
      </c>
      <c r="L89" t="inlineStr">
        <is>
          <t>2026-08-10T19:29:54Z</t>
        </is>
      </c>
    </row>
    <row r="90">
      <c r="A90" s="19" t="inlineStr">
        <is>
          <t>89</t>
        </is>
      </c>
      <c r="B90" s="19" t="inlineStr">
        <is>
          <t>ST-048-EUR-11</t>
        </is>
      </c>
      <c r="C90" t="n">
        <v>0</v>
      </c>
      <c r="D90" t="inlineStr">
        <is>
          <t>Starter 48-unit | Euro Pallet 800×1200×152 mm | Variant 11</t>
        </is>
      </c>
      <c r="E90" t="inlineStr">
        <is>
          <t>TR: D31 | Palet (4000038): 1 adet | Köşebent (4000590): 2 adet | EPS (4001247): 3 adet | EN: D31 | Pallet (4000038): 1 pc | Edge protector (4000590): 2 pcs | EPS (4001247): 3 pcs</t>
        </is>
      </c>
      <c r="F90" s="19" t="n"/>
      <c r="G90" s="19" t="inlineStr">
        <is>
          <t>2</t>
        </is>
      </c>
      <c r="H90" t="inlineStr">
        <is>
          <t>2026-08-08</t>
        </is>
      </c>
      <c r="J90" t="inlineStr">
        <is>
          <t>FINAL_CONFIGURATION_ID=IA-ST-048-EUR-11;SOURCE_CONFIGURATION_ID=IA-ST-CFG-0117;FAMILY=STARTER;PACKAGING_MASS_KG=27.8192;EVIDENCE_BASIS=REV00 CURRENT EVIDENCE BASIS — ARTICLE 5 ASSESSMENT BASIS;SOURCE_REF=INCI_AKU_PPWR_Final_Configuration_Register_Rev00_GOLDEN_VARIANTS_FINAL.xlsx!01_FINAL_CONFIG_MASTER!R90</t>
        </is>
      </c>
      <c r="K90" t="inlineStr">
        <is>
          <t>2026-08-10T19:29:54Z</t>
        </is>
      </c>
      <c r="L90" t="inlineStr">
        <is>
          <t>2026-08-10T19:29:54Z</t>
        </is>
      </c>
    </row>
    <row r="91">
      <c r="A91" s="19" t="inlineStr">
        <is>
          <t>90</t>
        </is>
      </c>
      <c r="B91" s="19" t="inlineStr">
        <is>
          <t>ST-048-EUR-12</t>
        </is>
      </c>
      <c r="C91" t="n">
        <v>0</v>
      </c>
      <c r="D91" t="inlineStr">
        <is>
          <t>Starter 48-unit | Euro Pallet 800×1200×152 mm | Variant 12</t>
        </is>
      </c>
      <c r="E91" t="inlineStr">
        <is>
          <t>TR: LB5, L5 | Palet (4000038): 1 adet | Köşebent (4000590): 2 adet | EN: LB5, L5 | Pallet (4000038): 1 pc | Edge protector (4000590): 2 pcs</t>
        </is>
      </c>
      <c r="F91" s="19" t="n"/>
      <c r="G91" s="19" t="inlineStr">
        <is>
          <t>2</t>
        </is>
      </c>
      <c r="H91" t="inlineStr">
        <is>
          <t>2026-08-08</t>
        </is>
      </c>
      <c r="J91" t="inlineStr">
        <is>
          <t>FINAL_CONFIGURATION_ID=IA-ST-048-EUR-12;SOURCE_CONFIGURATION_ID=IA-ST-CFG-0118;FAMILY=STARTER;PACKAGING_MASS_KG=27.8392;EVIDENCE_BASIS=REV00 CURRENT EVIDENCE BASIS — ARTICLE 5 ASSESSMENT BASIS;SOURCE_REF=INCI_AKU_PPWR_Final_Configuration_Register_Rev00_GOLDEN_VARIANTS_FINAL.xlsx!01_FINAL_CONFIG_MASTER!R91</t>
        </is>
      </c>
      <c r="K91" t="inlineStr">
        <is>
          <t>2026-08-10T19:29:54Z</t>
        </is>
      </c>
      <c r="L91" t="inlineStr">
        <is>
          <t>2026-08-10T19:29:54Z</t>
        </is>
      </c>
    </row>
    <row r="92">
      <c r="A92" s="19" t="inlineStr">
        <is>
          <t>91</t>
        </is>
      </c>
      <c r="B92" s="19" t="inlineStr">
        <is>
          <t>ST-048-STD-01</t>
        </is>
      </c>
      <c r="C92" t="n">
        <v>0</v>
      </c>
      <c r="D92" t="inlineStr">
        <is>
          <t>Starter 48-unit | Standard Pallet 1030×1110×152 mm | Variant 01</t>
        </is>
      </c>
      <c r="E92" t="inlineStr">
        <is>
          <t>TR: L1 | L1 YUASA penceresiz Orta Doğu dış koli (4001312): 48 adet | EN: L1 | L1 YUASA windowless Middle East outer carton (4001312): 48 pcs</t>
        </is>
      </c>
      <c r="F92" s="19" t="n"/>
      <c r="G92" s="19" t="inlineStr">
        <is>
          <t>2</t>
        </is>
      </c>
      <c r="H92" t="inlineStr">
        <is>
          <t>2026-08-08</t>
        </is>
      </c>
      <c r="J92" t="inlineStr">
        <is>
          <t>FINAL_CONFIGURATION_ID=IA-ST-048-STD-01;SOURCE_CONFIGURATION_ID=IA-ST-CFG-0104;FAMILY=STARTER;PACKAGING_MASS_KG=40.316;EVIDENCE_BASIS=REV00 CURRENT EVIDENCE BASIS — ARTICLE 5 ASSESSMENT BASIS;SOURCE_REF=INCI_AKU_PPWR_Final_Configuration_Register_Rev00_GOLDEN_VARIANTS_FINAL.xlsx!01_FINAL_CONFIG_MASTER!R92</t>
        </is>
      </c>
      <c r="K92" t="inlineStr">
        <is>
          <t>2026-08-10T19:29:54Z</t>
        </is>
      </c>
      <c r="L92" t="inlineStr">
        <is>
          <t>2026-08-10T19:29:54Z</t>
        </is>
      </c>
    </row>
    <row r="93">
      <c r="A93" s="19" t="inlineStr">
        <is>
          <t>92</t>
        </is>
      </c>
      <c r="B93" s="19" t="inlineStr">
        <is>
          <t>ST-048-STD-02</t>
        </is>
      </c>
      <c r="C93" t="n">
        <v>0</v>
      </c>
      <c r="D93" t="inlineStr">
        <is>
          <t>Starter 48-unit | Standard Pallet 1030×1110×152 mm | Variant 02</t>
        </is>
      </c>
      <c r="E93" t="inlineStr">
        <is>
          <t>TR: L2 | Palet (4000037): 1 adet | Shrink film (4000558): 1.824 kg | EN: L2 | Pallet (4000037): 1 pc | Shrink film (4000558): 1.824 kg</t>
        </is>
      </c>
      <c r="F93" s="19" t="n"/>
      <c r="G93" s="19" t="inlineStr">
        <is>
          <t>2</t>
        </is>
      </c>
      <c r="H93" t="inlineStr">
        <is>
          <t>2026-08-08</t>
        </is>
      </c>
      <c r="J93" t="inlineStr">
        <is>
          <t>FINAL_CONFIGURATION_ID=IA-ST-048-STD-02;SOURCE_CONFIGURATION_ID=IA-ST-CFG-0106;FAMILY=STARTER;PACKAGING_MASS_KG=29.76;EVIDENCE_BASIS=REV00 CURRENT EVIDENCE BASIS — ARTICLE 5 ASSESSMENT BASIS;SOURCE_REF=INCI_AKU_PPWR_Final_Configuration_Register_Rev00_GOLDEN_VARIANTS_FINAL.xlsx!01_FINAL_CONFIG_MASTER!R93</t>
        </is>
      </c>
      <c r="K93" t="inlineStr">
        <is>
          <t>2026-08-10T19:29:54Z</t>
        </is>
      </c>
      <c r="L93" t="inlineStr">
        <is>
          <t>2026-08-10T19:29:54Z</t>
        </is>
      </c>
    </row>
    <row r="94">
      <c r="A94" s="19" t="inlineStr">
        <is>
          <t>93</t>
        </is>
      </c>
      <c r="B94" s="19" t="inlineStr">
        <is>
          <t>ST-051-EUR-01</t>
        </is>
      </c>
      <c r="C94" t="n">
        <v>0</v>
      </c>
      <c r="D94" t="inlineStr">
        <is>
          <t>Starter 51-unit | Euro Pallet 800×1200×152 mm | Variant 01</t>
        </is>
      </c>
      <c r="E94" t="inlineStr">
        <is>
          <t>TR: LB3, L3 | Palet (4000038): 1 adet | Köşebent (4000590): 4 adet | EN: LB3, L3 | Pallet (4000038): 1 pc | Edge protector (4000590): 4 pcs</t>
        </is>
      </c>
      <c r="F94" s="19" t="n"/>
      <c r="G94" s="19" t="inlineStr">
        <is>
          <t>2</t>
        </is>
      </c>
      <c r="H94" t="inlineStr">
        <is>
          <t>2026-08-08</t>
        </is>
      </c>
      <c r="J94" t="inlineStr">
        <is>
          <t>FINAL_CONFIGURATION_ID=IA-ST-051-EUR-01;SOURCE_CONFIGURATION_ID=IA-ST-CFG-0132;FAMILY=STARTER;PACKAGING_MASS_KG=27.926;EVIDENCE_BASIS=REV00 CURRENT EVIDENCE BASIS — ARTICLE 5 ASSESSMENT BASIS;SOURCE_REF=INCI_AKU_PPWR_Final_Configuration_Register_Rev00_GOLDEN_VARIANTS_FINAL.xlsx!01_FINAL_CONFIG_MASTER!R94</t>
        </is>
      </c>
      <c r="K94" t="inlineStr">
        <is>
          <t>2026-08-10T19:29:54Z</t>
        </is>
      </c>
      <c r="L94" t="inlineStr">
        <is>
          <t>2026-08-10T19:29:54Z</t>
        </is>
      </c>
    </row>
    <row r="95">
      <c r="A95" s="19" t="inlineStr">
        <is>
          <t>94</t>
        </is>
      </c>
      <c r="B95" s="19" t="inlineStr">
        <is>
          <t>ST-051-EUR-02</t>
        </is>
      </c>
      <c r="C95" t="n">
        <v>0</v>
      </c>
      <c r="D95" t="inlineStr">
        <is>
          <t>Starter 51-unit | Euro Pallet 800×1200×152 mm | Variant 02</t>
        </is>
      </c>
      <c r="E95" t="inlineStr">
        <is>
          <t>TR: LB3 | Palet (4000038): 1 adet | Shrink film (4000558): 1.579 kg | EN: LB3 | Pallet (4000038): 1 pc | Shrink film (4000558): 1.579 kg</t>
        </is>
      </c>
      <c r="F95" s="19" t="n"/>
      <c r="G95" s="19" t="inlineStr">
        <is>
          <t>2</t>
        </is>
      </c>
      <c r="H95" t="inlineStr">
        <is>
          <t>2026-08-08</t>
        </is>
      </c>
      <c r="J95" t="inlineStr">
        <is>
          <t>FINAL_CONFIGURATION_ID=IA-ST-051-EUR-02;SOURCE_CONFIGURATION_ID=IA-ST-CFG-0133;FAMILY=STARTER;PACKAGING_MASS_KG=29.2182;EVIDENCE_BASIS=REV00 CURRENT EVIDENCE BASIS — ARTICLE 5 ASSESSMENT BASIS;SOURCE_REF=INCI_AKU_PPWR_Final_Configuration_Register_Rev00_GOLDEN_VARIANTS_FINAL.xlsx!01_FINAL_CONFIG_MASTER!R95</t>
        </is>
      </c>
      <c r="K95" t="inlineStr">
        <is>
          <t>2026-08-10T19:29:54Z</t>
        </is>
      </c>
      <c r="L95" t="inlineStr">
        <is>
          <t>2026-08-10T19:29:54Z</t>
        </is>
      </c>
    </row>
    <row r="96">
      <c r="A96" s="19" t="inlineStr">
        <is>
          <t>95</t>
        </is>
      </c>
      <c r="B96" s="19" t="inlineStr">
        <is>
          <t>ST-051-EUR-03</t>
        </is>
      </c>
      <c r="C96" t="n">
        <v>0</v>
      </c>
      <c r="D96" t="inlineStr">
        <is>
          <t>Starter 51-unit | Euro Pallet 800×1200×152 mm | Variant 03</t>
        </is>
      </c>
      <c r="E96" t="inlineStr">
        <is>
          <t>TR: L3 | Palet (4000038): 1 adet | Shrink film (4000558): 1.684 kg | EN: L3 | Pallet (4000038): 1 pc | Shrink film (4000558): 1.684 kg</t>
        </is>
      </c>
      <c r="F96" s="19" t="n"/>
      <c r="G96" s="19" t="inlineStr">
        <is>
          <t>2</t>
        </is>
      </c>
      <c r="H96" t="inlineStr">
        <is>
          <t>2026-08-08</t>
        </is>
      </c>
      <c r="J96" t="inlineStr">
        <is>
          <t>FINAL_CONFIGURATION_ID=IA-ST-051-EUR-03;SOURCE_CONFIGURATION_ID=IA-ST-CFG-0134;FAMILY=STARTER;PACKAGING_MASS_KG=29.3232;EVIDENCE_BASIS=REV00 CURRENT EVIDENCE BASIS — ARTICLE 5 ASSESSMENT BASIS;SOURCE_REF=INCI_AKU_PPWR_Final_Configuration_Register_Rev00_GOLDEN_VARIANTS_FINAL.xlsx!01_FINAL_CONFIG_MASTER!R96</t>
        </is>
      </c>
      <c r="K96" t="inlineStr">
        <is>
          <t>2026-08-10T19:29:54Z</t>
        </is>
      </c>
      <c r="L96" t="inlineStr">
        <is>
          <t>2026-08-10T19:29:54Z</t>
        </is>
      </c>
    </row>
    <row r="97">
      <c r="A97" s="19" t="inlineStr">
        <is>
          <t>96</t>
        </is>
      </c>
      <c r="B97" s="19" t="inlineStr">
        <is>
          <t>ST-051-EUR-04</t>
        </is>
      </c>
      <c r="C97" t="n">
        <v>0</v>
      </c>
      <c r="D97" t="inlineStr">
        <is>
          <t>Starter 51-unit | Euro Pallet 800×1200×152 mm | Variant 04</t>
        </is>
      </c>
      <c r="E97" t="inlineStr">
        <is>
          <t>TR: L3, LB3 | Palet (4000038): 1 adet | Köşebent (4000590): 2 adet | EN: L3, LB3 | Pallet (4000038): 1 pc | Edge protector (4000590): 2 pcs</t>
        </is>
      </c>
      <c r="F97" s="19" t="n"/>
      <c r="G97" s="19" t="inlineStr">
        <is>
          <t>2</t>
        </is>
      </c>
      <c r="H97" t="inlineStr">
        <is>
          <t>2026-08-08</t>
        </is>
      </c>
      <c r="J97" t="inlineStr">
        <is>
          <t>FINAL_CONFIGURATION_ID=IA-ST-051-EUR-04;SOURCE_CONFIGURATION_ID=IA-ST-CFG-0135;FAMILY=STARTER;PACKAGING_MASS_KG=27.6392;EVIDENCE_BASIS=REV00 CURRENT EVIDENCE BASIS — ARTICLE 5 ASSESSMENT BASIS;SOURCE_REF=INCI_AKU_PPWR_Final_Configuration_Register_Rev00_GOLDEN_VARIANTS_FINAL.xlsx!01_FINAL_CONFIG_MASTER!R97</t>
        </is>
      </c>
      <c r="K97" t="inlineStr">
        <is>
          <t>2026-08-10T19:29:54Z</t>
        </is>
      </c>
      <c r="L97" t="inlineStr">
        <is>
          <t>2026-08-10T19:29:54Z</t>
        </is>
      </c>
    </row>
    <row r="98">
      <c r="A98" s="19" t="inlineStr">
        <is>
          <t>97</t>
        </is>
      </c>
      <c r="B98" s="19" t="inlineStr">
        <is>
          <t>ST-051-STD-01</t>
        </is>
      </c>
      <c r="C98" t="n">
        <v>0</v>
      </c>
      <c r="D98" t="inlineStr">
        <is>
          <t>Starter 51-unit | Standard Pallet 1030×1110×152 mm | Variant 01</t>
        </is>
      </c>
      <c r="E98" t="inlineStr">
        <is>
          <t>TR: D31 | Köşebent (4000033): 6 adet | D31 EAS Activa penceresiz dış koli (4000782): 51 adet | EN: D31 | Edge protector (4000033): 6 pcs | D31 EAS Activa windowless outer carton (4000782): 51 pcs</t>
        </is>
      </c>
      <c r="F98" s="19" t="n"/>
      <c r="G98" s="19" t="inlineStr">
        <is>
          <t>2</t>
        </is>
      </c>
      <c r="H98" t="inlineStr">
        <is>
          <t>2026-08-08</t>
        </is>
      </c>
      <c r="J98" t="inlineStr">
        <is>
          <t>FINAL_CONFIGURATION_ID=IA-ST-051-STD-01;SOURCE_CONFIGURATION_ID=IA-ST-CFG-0122;FAMILY=STARTER;PACKAGING_MASS_KG=47.0384;EVIDENCE_BASIS=REV00 CURRENT EVIDENCE BASIS — ARTICLE 5 ASSESSMENT BASIS;SOURCE_REF=INCI_AKU_PPWR_Final_Configuration_Register_Rev00_GOLDEN_VARIANTS_FINAL.xlsx!01_FINAL_CONFIG_MASTER!R98</t>
        </is>
      </c>
      <c r="K98" t="inlineStr">
        <is>
          <t>2026-08-10T19:29:54Z</t>
        </is>
      </c>
      <c r="L98" t="inlineStr">
        <is>
          <t>2026-08-10T19:29:54Z</t>
        </is>
      </c>
    </row>
    <row r="99">
      <c r="A99" s="19" t="inlineStr">
        <is>
          <t>98</t>
        </is>
      </c>
      <c r="B99" s="19" t="inlineStr">
        <is>
          <t>ST-051-STD-02</t>
        </is>
      </c>
      <c r="C99" t="n">
        <v>0</v>
      </c>
      <c r="D99" t="inlineStr">
        <is>
          <t>Starter 51-unit | Standard Pallet 1030×1110×152 mm | Variant 02</t>
        </is>
      </c>
      <c r="E99" t="inlineStr">
        <is>
          <t>TR: D31 | D31 YUASA penceresiz Orta Doğu dış koli (4001108): 51 adet | EN: D31 | D31 YUASA windowless Middle East outer carton (4001108): 51 pcs</t>
        </is>
      </c>
      <c r="F99" s="19" t="n"/>
      <c r="G99" s="19" t="inlineStr">
        <is>
          <t>2</t>
        </is>
      </c>
      <c r="H99" t="inlineStr">
        <is>
          <t>2026-08-08</t>
        </is>
      </c>
      <c r="J99" t="inlineStr">
        <is>
          <t>FINAL_CONFIGURATION_ID=IA-ST-051-STD-02;SOURCE_CONFIGURATION_ID=IA-ST-CFG-0123;FAMILY=STARTER;PACKAGING_MASS_KG=47.0384;EVIDENCE_BASIS=REV00 CURRENT EVIDENCE BASIS — ARTICLE 5 ASSESSMENT BASIS;SOURCE_REF=INCI_AKU_PPWR_Final_Configuration_Register_Rev00_GOLDEN_VARIANTS_FINAL.xlsx!01_FINAL_CONFIG_MASTER!R99</t>
        </is>
      </c>
      <c r="K99" t="inlineStr">
        <is>
          <t>2026-08-10T19:29:54Z</t>
        </is>
      </c>
      <c r="L99" t="inlineStr">
        <is>
          <t>2026-08-10T19:29:54Z</t>
        </is>
      </c>
    </row>
    <row r="100">
      <c r="A100" s="19" t="inlineStr">
        <is>
          <t>99</t>
        </is>
      </c>
      <c r="B100" s="19" t="inlineStr">
        <is>
          <t>ST-051-STD-03</t>
        </is>
      </c>
      <c r="C100" t="n">
        <v>0</v>
      </c>
      <c r="D100" t="inlineStr">
        <is>
          <t>Starter 51-unit | Standard Pallet 1030×1110×152 mm | Variant 03</t>
        </is>
      </c>
      <c r="E100" t="inlineStr">
        <is>
          <t>TR: L4 | L4 YUASA penceresiz Orta Doğu dış koli (4001313): 51 adet | EN: L4 | L4 YUASA windowless Middle East outer carton (4001313): 51 pcs</t>
        </is>
      </c>
      <c r="F100" s="19" t="n"/>
      <c r="G100" s="19" t="inlineStr">
        <is>
          <t>2</t>
        </is>
      </c>
      <c r="H100" t="inlineStr">
        <is>
          <t>2026-08-08</t>
        </is>
      </c>
      <c r="J100" t="inlineStr">
        <is>
          <t>FINAL_CONFIGURATION_ID=IA-ST-051-STD-03;SOURCE_CONFIGURATION_ID=IA-ST-CFG-0124;FAMILY=STARTER;PACKAGING_MASS_KG=41.816;EVIDENCE_BASIS=REV00 CURRENT EVIDENCE BASIS — ARTICLE 5 ASSESSMENT BASIS;SOURCE_REF=INCI_AKU_PPWR_Final_Configuration_Register_Rev00_GOLDEN_VARIANTS_FINAL.xlsx!01_FINAL_CONFIG_MASTER!R100</t>
        </is>
      </c>
      <c r="K100" t="inlineStr">
        <is>
          <t>2026-08-10T19:29:54Z</t>
        </is>
      </c>
      <c r="L100" t="inlineStr">
        <is>
          <t>2026-08-10T19:29:54Z</t>
        </is>
      </c>
    </row>
    <row r="101">
      <c r="A101" s="19" t="inlineStr">
        <is>
          <t>100</t>
        </is>
      </c>
      <c r="B101" s="19" t="inlineStr">
        <is>
          <t>ST-051-STD-04</t>
        </is>
      </c>
      <c r="C101" t="n">
        <v>0</v>
      </c>
      <c r="D101" t="inlineStr">
        <is>
          <t>Starter 51-unit | Standard Pallet 1030×1110×152 mm | Variant 04</t>
        </is>
      </c>
      <c r="E101" t="inlineStr">
        <is>
          <t>TR: D31 | Köşebent (4000033): 8 adet | D31 EAS Activa penceresiz dış koli (4000782): 51 adet | EN: D31 | Edge protector (4000033): 8 pcs | D31 EAS Activa windowless outer carton (4000782): 51 pcs</t>
        </is>
      </c>
      <c r="F101" s="19" t="n"/>
      <c r="G101" s="19" t="inlineStr">
        <is>
          <t>2</t>
        </is>
      </c>
      <c r="H101" t="inlineStr">
        <is>
          <t>2026-08-08</t>
        </is>
      </c>
      <c r="J101" t="inlineStr">
        <is>
          <t>FINAL_CONFIGURATION_ID=IA-ST-051-STD-04;SOURCE_CONFIGURATION_ID=IA-ST-CFG-0125;FAMILY=STARTER;PACKAGING_MASS_KG=47.4584;EVIDENCE_BASIS=REV00 CURRENT EVIDENCE BASIS — ARTICLE 5 ASSESSMENT BASIS;SOURCE_REF=INCI_AKU_PPWR_Final_Configuration_Register_Rev00_GOLDEN_VARIANTS_FINAL.xlsx!01_FINAL_CONFIG_MASTER!R101</t>
        </is>
      </c>
      <c r="K101" t="inlineStr">
        <is>
          <t>2026-08-10T19:29:54Z</t>
        </is>
      </c>
      <c r="L101" t="inlineStr">
        <is>
          <t>2026-08-10T19:29:54Z</t>
        </is>
      </c>
    </row>
    <row r="102">
      <c r="A102" s="19" t="inlineStr">
        <is>
          <t>101</t>
        </is>
      </c>
      <c r="B102" s="19" t="inlineStr">
        <is>
          <t>ST-051-STD-05</t>
        </is>
      </c>
      <c r="C102" t="n">
        <v>0</v>
      </c>
      <c r="D102" t="inlineStr">
        <is>
          <t>Starter 51-unit | Standard Pallet 1030×1110×152 mm | Variant 05</t>
        </is>
      </c>
      <c r="E102" t="inlineStr">
        <is>
          <t>TR: D31 | D31 BLIZZARO SILVERLINE penceresiz dış koli (4001433): 51 adet | EN: D31 | D31 BLIZZARO SILVERLINE windowless outer carton (4001433): 51 pcs</t>
        </is>
      </c>
      <c r="F102" s="19" t="n"/>
      <c r="G102" s="19" t="inlineStr">
        <is>
          <t>2</t>
        </is>
      </c>
      <c r="H102" t="inlineStr">
        <is>
          <t>2026-08-08</t>
        </is>
      </c>
      <c r="J102" t="inlineStr">
        <is>
          <t>FINAL_CONFIGURATION_ID=IA-ST-051-STD-05;SOURCE_CONFIGURATION_ID=IA-ST-CFG-0126;FAMILY=STARTER;PACKAGING_MASS_KG=47.4584;EVIDENCE_BASIS=REV00 CURRENT EVIDENCE BASIS — ARTICLE 5 ASSESSMENT BASIS;SOURCE_REF=INCI_AKU_PPWR_Final_Configuration_Register_Rev00_GOLDEN_VARIANTS_FINAL.xlsx!01_FINAL_CONFIG_MASTER!R102</t>
        </is>
      </c>
      <c r="K102" t="inlineStr">
        <is>
          <t>2026-08-10T19:29:54Z</t>
        </is>
      </c>
      <c r="L102" t="inlineStr">
        <is>
          <t>2026-08-10T19:29:54Z</t>
        </is>
      </c>
    </row>
    <row r="103">
      <c r="A103" s="19" t="inlineStr">
        <is>
          <t>102</t>
        </is>
      </c>
      <c r="B103" s="19" t="inlineStr">
        <is>
          <t>ST-051-STD-06</t>
        </is>
      </c>
      <c r="C103" t="n">
        <v>0</v>
      </c>
      <c r="D103" t="inlineStr">
        <is>
          <t>Starter 51-unit | Standard Pallet 1030×1110×152 mm | Variant 06</t>
        </is>
      </c>
      <c r="E103" t="inlineStr">
        <is>
          <t>TR: L4 | L4 EAS AGM S&amp;S 80AH 800A pencereli dış koli (4001397): 51 adet | EN: L4 | L4 EAS AGM S&amp;S 80AH 800A windowed outer carton (4001397): 51 pcs</t>
        </is>
      </c>
      <c r="F103" s="19" t="n"/>
      <c r="G103" s="19" t="inlineStr">
        <is>
          <t>2</t>
        </is>
      </c>
      <c r="H103" t="inlineStr">
        <is>
          <t>2026-08-08</t>
        </is>
      </c>
      <c r="J103" t="inlineStr">
        <is>
          <t>FINAL_CONFIGURATION_ID=IA-ST-051-STD-06;SOURCE_CONFIGURATION_ID=IA-ST-CFG-0127;FAMILY=STARTER;PACKAGING_MASS_KG=43.256;EVIDENCE_BASIS=REV00 CURRENT EVIDENCE BASIS — ARTICLE 5 ASSESSMENT BASIS;SOURCE_REF=INCI_AKU_PPWR_Final_Configuration_Register_Rev00_GOLDEN_VARIANTS_FINAL.xlsx!01_FINAL_CONFIG_MASTER!R103</t>
        </is>
      </c>
      <c r="K103" t="inlineStr">
        <is>
          <t>2026-08-10T19:29:54Z</t>
        </is>
      </c>
      <c r="L103" t="inlineStr">
        <is>
          <t>2026-08-10T19:29:54Z</t>
        </is>
      </c>
    </row>
    <row r="104">
      <c r="A104" s="19" t="inlineStr">
        <is>
          <t>103</t>
        </is>
      </c>
      <c r="B104" s="19" t="inlineStr">
        <is>
          <t>ST-051-STD-07</t>
        </is>
      </c>
      <c r="C104" t="n">
        <v>0</v>
      </c>
      <c r="D104" t="inlineStr">
        <is>
          <t>Starter 51-unit | Standard Pallet 1030×1110×152 mm | Variant 07</t>
        </is>
      </c>
      <c r="E104" t="inlineStr">
        <is>
          <t>TR: D31 | D31 İnci FORMULA-MAXIMA penceresiz dış koli (4001211): 51 adet | Separatör (4000130): 5 adet | EN: D31 | D31 İnci FORMULA-MAXIMA windowless outer carton (4001211): 51 pcs | Separator (4000130): 5 pcs</t>
        </is>
      </c>
      <c r="F104" s="19" t="n"/>
      <c r="G104" s="19" t="inlineStr">
        <is>
          <t>2</t>
        </is>
      </c>
      <c r="H104" t="inlineStr">
        <is>
          <t>2026-08-08</t>
        </is>
      </c>
      <c r="J104" t="inlineStr">
        <is>
          <t>FINAL_CONFIGURATION_ID=IA-ST-051-STD-07;SOURCE_CONFIGURATION_ID=IA-ST-CFG-0128;FAMILY=STARTER;PACKAGING_MASS_KG=47.7284;EVIDENCE_BASIS=REV00 CURRENT EVIDENCE BASIS — ARTICLE 5 ASSESSMENT BASIS;SOURCE_REF=INCI_AKU_PPWR_Final_Configuration_Register_Rev00_GOLDEN_VARIANTS_FINAL.xlsx!01_FINAL_CONFIG_MASTER!R104</t>
        </is>
      </c>
      <c r="K104" t="inlineStr">
        <is>
          <t>2026-08-10T19:29:54Z</t>
        </is>
      </c>
      <c r="L104" t="inlineStr">
        <is>
          <t>2026-08-10T19:29:54Z</t>
        </is>
      </c>
    </row>
    <row r="105">
      <c r="A105" s="19" t="inlineStr">
        <is>
          <t>104</t>
        </is>
      </c>
      <c r="B105" s="19" t="inlineStr">
        <is>
          <t>ST-051-STD-08</t>
        </is>
      </c>
      <c r="C105" t="n">
        <v>0</v>
      </c>
      <c r="D105" t="inlineStr">
        <is>
          <t>Starter 51-unit | Standard Pallet 1030×1110×152 mm | Variant 08</t>
        </is>
      </c>
      <c r="E105" t="inlineStr">
        <is>
          <t>TR: D31 | D31 İnci FORMULA-MAXIMA penceresiz dış koli (4001211): 51 adet | Köşebent (4000590): 8 adet | EN: D31 | D31 İnci FORMULA-MAXIMA windowless outer carton (4001211): 51 pcs | Edge protector (4000590): 8 pcs</t>
        </is>
      </c>
      <c r="F105" s="19" t="n"/>
      <c r="G105" s="19" t="inlineStr">
        <is>
          <t>2</t>
        </is>
      </c>
      <c r="H105" t="inlineStr">
        <is>
          <t>2026-08-08</t>
        </is>
      </c>
      <c r="J105" t="inlineStr">
        <is>
          <t>FINAL_CONFIGURATION_ID=IA-ST-051-STD-08;SOURCE_CONFIGURATION_ID=IA-ST-CFG-0129;FAMILY=STARTER;PACKAGING_MASS_KG=46.5784;EVIDENCE_BASIS=REV00 CURRENT EVIDENCE BASIS — ARTICLE 5 ASSESSMENT BASIS;SOURCE_REF=INCI_AKU_PPWR_Final_Configuration_Register_Rev00_GOLDEN_VARIANTS_FINAL.xlsx!01_FINAL_CONFIG_MASTER!R105</t>
        </is>
      </c>
      <c r="K105" t="inlineStr">
        <is>
          <t>2026-08-10T19:29:54Z</t>
        </is>
      </c>
      <c r="L105" t="inlineStr">
        <is>
          <t>2026-08-10T19:29:54Z</t>
        </is>
      </c>
    </row>
    <row r="106">
      <c r="A106" s="19" t="inlineStr">
        <is>
          <t>105</t>
        </is>
      </c>
      <c r="B106" s="19" t="inlineStr">
        <is>
          <t>ST-054-EUR-01</t>
        </is>
      </c>
      <c r="C106" t="n">
        <v>0</v>
      </c>
      <c r="D106" t="inlineStr">
        <is>
          <t>Starter 54-unit | Euro Pallet 800×1200×152 mm | Variant 01</t>
        </is>
      </c>
      <c r="E106" t="inlineStr">
        <is>
          <t>TR: L2 | Palet (4000038): 1 adet | Köşebent (4000590): 4 adet | EN: L2 | Pallet (4000038): 1 pc | Edge protector (4000590): 4 pcs</t>
        </is>
      </c>
      <c r="F106" s="19" t="n"/>
      <c r="G106" s="19" t="inlineStr">
        <is>
          <t>2</t>
        </is>
      </c>
      <c r="H106" t="inlineStr">
        <is>
          <t>2026-08-08</t>
        </is>
      </c>
      <c r="J106" t="inlineStr">
        <is>
          <t>FINAL_CONFIGURATION_ID=IA-ST-054-EUR-01;SOURCE_CONFIGURATION_ID=IA-ST-CFG-0149;FAMILY=STARTER;PACKAGING_MASS_KG=27.926;EVIDENCE_BASIS=REV00 CURRENT EVIDENCE BASIS — ARTICLE 5 ASSESSMENT BASIS;SOURCE_REF=INCI_AKU_PPWR_Final_Configuration_Register_Rev00_GOLDEN_VARIANTS_FINAL.xlsx!01_FINAL_CONFIG_MASTER!R106</t>
        </is>
      </c>
      <c r="K106" t="inlineStr">
        <is>
          <t>2026-08-10T19:29:54Z</t>
        </is>
      </c>
      <c r="L106" t="inlineStr">
        <is>
          <t>2026-08-10T19:29:54Z</t>
        </is>
      </c>
    </row>
    <row r="107">
      <c r="A107" s="19" t="inlineStr">
        <is>
          <t>106</t>
        </is>
      </c>
      <c r="B107" s="19" t="inlineStr">
        <is>
          <t>ST-054-STD-01</t>
        </is>
      </c>
      <c r="C107" t="n">
        <v>0</v>
      </c>
      <c r="D107" t="inlineStr">
        <is>
          <t>Starter 54-unit | Standard Pallet 1030×1110×152 mm | Variant 01</t>
        </is>
      </c>
      <c r="E107" t="inlineStr">
        <is>
          <t>TR: L3 | L3 YUASA penceresiz Orta Doğu dış koli (4001103): 54 adet | EN: L3 | L3 YUASA windowless Middle East outer carton (4001103): 54 pcs</t>
        </is>
      </c>
      <c r="F107" s="19" t="n"/>
      <c r="G107" s="19" t="inlineStr">
        <is>
          <t>2</t>
        </is>
      </c>
      <c r="H107" t="inlineStr">
        <is>
          <t>2026-08-08</t>
        </is>
      </c>
      <c r="J107" t="inlineStr">
        <is>
          <t>FINAL_CONFIGURATION_ID=IA-ST-054-STD-01;SOURCE_CONFIGURATION_ID=IA-ST-CFG-0137;FAMILY=STARTER;PACKAGING_MASS_KG=42.566;EVIDENCE_BASIS=REV00 CURRENT EVIDENCE BASIS — ARTICLE 5 ASSESSMENT BASIS;SOURCE_REF=INCI_AKU_PPWR_Final_Configuration_Register_Rev00_GOLDEN_VARIANTS_FINAL.xlsx!01_FINAL_CONFIG_MASTER!R107</t>
        </is>
      </c>
      <c r="K107" t="inlineStr">
        <is>
          <t>2026-08-10T19:29:54Z</t>
        </is>
      </c>
      <c r="L107" t="inlineStr">
        <is>
          <t>2026-08-10T19:29:54Z</t>
        </is>
      </c>
    </row>
    <row r="108">
      <c r="A108" s="19" t="inlineStr">
        <is>
          <t>107</t>
        </is>
      </c>
      <c r="B108" s="19" t="inlineStr">
        <is>
          <t>ST-054-STD-02</t>
        </is>
      </c>
      <c r="C108" t="n">
        <v>0</v>
      </c>
      <c r="D108" t="inlineStr">
        <is>
          <t>Starter 54-unit | Standard Pallet 1030×1110×152 mm | Variant 02</t>
        </is>
      </c>
      <c r="E108" t="inlineStr">
        <is>
          <t>TR: L3 | L3 İnci AGM LEO 70AH 760A pencereli dış koli (4001237): 54 adet | EN: L3 | L3 İnci AGM LEO 70AH 760A windowed outer carton (4001237): 54 pcs</t>
        </is>
      </c>
      <c r="F108" s="19" t="n"/>
      <c r="G108" s="19" t="inlineStr">
        <is>
          <t>2</t>
        </is>
      </c>
      <c r="H108" t="inlineStr">
        <is>
          <t>2026-08-08</t>
        </is>
      </c>
      <c r="J108" t="inlineStr">
        <is>
          <t>FINAL_CONFIGURATION_ID=IA-ST-054-STD-02;SOURCE_CONFIGURATION_ID=IA-ST-CFG-0138;FAMILY=STARTER;PACKAGING_MASS_KG=42.986;EVIDENCE_BASIS=REV00 CURRENT EVIDENCE BASIS — ARTICLE 5 ASSESSMENT BASIS;SOURCE_REF=INCI_AKU_PPWR_Final_Configuration_Register_Rev00_GOLDEN_VARIANTS_FINAL.xlsx!01_FINAL_CONFIG_MASTER!R108</t>
        </is>
      </c>
      <c r="K108" t="inlineStr">
        <is>
          <t>2026-08-10T19:29:54Z</t>
        </is>
      </c>
      <c r="L108" t="inlineStr">
        <is>
          <t>2026-08-10T19:29:54Z</t>
        </is>
      </c>
    </row>
    <row r="109">
      <c r="A109" s="19" t="inlineStr">
        <is>
          <t>108</t>
        </is>
      </c>
      <c r="B109" s="19" t="inlineStr">
        <is>
          <t>ST-054-STD-03</t>
        </is>
      </c>
      <c r="C109" t="n">
        <v>0</v>
      </c>
      <c r="D109" t="inlineStr">
        <is>
          <t>Starter 54-unit | Standard Pallet 1030×1110×152 mm | Variant 03</t>
        </is>
      </c>
      <c r="E109" t="inlineStr">
        <is>
          <t>TR: L3 | L3 EAS AGM S&amp;S 70AH 760A pencereli dış koli (4001396): 54 adet | EN: L3 | L3 EAS AGM S&amp;S 70AH 760A windowed outer carton (4001396): 54 pcs</t>
        </is>
      </c>
      <c r="F109" s="19" t="n"/>
      <c r="G109" s="19" t="inlineStr">
        <is>
          <t>2</t>
        </is>
      </c>
      <c r="H109" t="inlineStr">
        <is>
          <t>2026-08-08</t>
        </is>
      </c>
      <c r="J109" t="inlineStr">
        <is>
          <t>FINAL_CONFIGURATION_ID=IA-ST-054-STD-03;SOURCE_CONFIGURATION_ID=IA-ST-CFG-0139;FAMILY=STARTER;PACKAGING_MASS_KG=42.986;EVIDENCE_BASIS=REV00 CURRENT EVIDENCE BASIS — ARTICLE 5 ASSESSMENT BASIS;SOURCE_REF=INCI_AKU_PPWR_Final_Configuration_Register_Rev00_GOLDEN_VARIANTS_FINAL.xlsx!01_FINAL_CONFIG_MASTER!R109</t>
        </is>
      </c>
      <c r="K109" t="inlineStr">
        <is>
          <t>2026-08-10T19:29:54Z</t>
        </is>
      </c>
      <c r="L109" t="inlineStr">
        <is>
          <t>2026-08-10T19:29:54Z</t>
        </is>
      </c>
    </row>
    <row r="110">
      <c r="A110" s="19" t="inlineStr">
        <is>
          <t>109</t>
        </is>
      </c>
      <c r="B110" s="19" t="inlineStr">
        <is>
          <t>ST-054-STD-04</t>
        </is>
      </c>
      <c r="C110" t="n">
        <v>0</v>
      </c>
      <c r="D110" t="inlineStr">
        <is>
          <t>Starter 54-unit | Standard Pallet 1030×1110×152 mm | Variant 04</t>
        </is>
      </c>
      <c r="E110" t="inlineStr">
        <is>
          <t>TR: D31 | Palet (4000037): 1 adet | EPS (4000370): 3 adet | Köşebent (4000590): 4 adet | EN: D31 | Pallet (4000037): 1 pc | EPS (4000370): 3 pcs | Edge protector (4000590): 4 pcs</t>
        </is>
      </c>
      <c r="F110" s="19" t="n"/>
      <c r="G110" s="19" t="inlineStr">
        <is>
          <t>2</t>
        </is>
      </c>
      <c r="H110" t="inlineStr">
        <is>
          <t>2026-08-08</t>
        </is>
      </c>
      <c r="J110" t="inlineStr">
        <is>
          <t>FINAL_CONFIGURATION_ID=IA-ST-054-STD-04;SOURCE_CONFIGURATION_ID=IA-ST-CFG-0140;FAMILY=STARTER;PACKAGING_MASS_KG=28.518;EVIDENCE_BASIS=REV00 CURRENT EVIDENCE BASIS — ARTICLE 5 ASSESSMENT BASIS;SOURCE_REF=INCI_AKU_PPWR_Final_Configuration_Register_Rev00_GOLDEN_VARIANTS_FINAL.xlsx!01_FINAL_CONFIG_MASTER!R110</t>
        </is>
      </c>
      <c r="K110" t="inlineStr">
        <is>
          <t>2026-08-10T19:29:54Z</t>
        </is>
      </c>
      <c r="L110" t="inlineStr">
        <is>
          <t>2026-08-10T19:29:54Z</t>
        </is>
      </c>
    </row>
    <row r="111">
      <c r="A111" s="19" t="inlineStr">
        <is>
          <t>110</t>
        </is>
      </c>
      <c r="B111" s="19" t="inlineStr">
        <is>
          <t>ST-054-STD-05</t>
        </is>
      </c>
      <c r="C111" t="n">
        <v>0</v>
      </c>
      <c r="D111" t="inlineStr">
        <is>
          <t>Starter 54-unit | Standard Pallet 1030×1110×152 mm | Variant 05</t>
        </is>
      </c>
      <c r="E111" t="inlineStr">
        <is>
          <t>TR: D31 | Köşebent (4000590): 4 adet | D31 PVC üst kapak (4001310): 54 adet | EN: D31 | Edge protector (4000590): 4 pcs | D31 PVC upper cover (4001310): 54 pcs</t>
        </is>
      </c>
      <c r="F111" s="19" t="n"/>
      <c r="G111" s="19" t="inlineStr">
        <is>
          <t>2</t>
        </is>
      </c>
      <c r="H111" t="inlineStr">
        <is>
          <t>2026-08-08</t>
        </is>
      </c>
      <c r="J111" t="inlineStr">
        <is>
          <t>FINAL_CONFIGURATION_ID=IA-ST-054-STD-05;SOURCE_CONFIGURATION_ID=IA-ST-CFG-0141;FAMILY=STARTER;PACKAGING_MASS_KG=34.0706;EVIDENCE_BASIS=REV00 CURRENT EVIDENCE BASIS — ARTICLE 5 ASSESSMENT BASIS;SOURCE_REF=INCI_AKU_PPWR_Final_Configuration_Register_Rev00_GOLDEN_VARIANTS_FINAL.xlsx!01_FINAL_CONFIG_MASTER!R111</t>
        </is>
      </c>
      <c r="K111" t="inlineStr">
        <is>
          <t>2026-08-10T19:29:54Z</t>
        </is>
      </c>
      <c r="L111" t="inlineStr">
        <is>
          <t>2026-08-10T19:29:54Z</t>
        </is>
      </c>
    </row>
    <row r="112">
      <c r="A112" s="19" t="inlineStr">
        <is>
          <t>111</t>
        </is>
      </c>
      <c r="B112" s="19" t="inlineStr">
        <is>
          <t>ST-054-STD-06</t>
        </is>
      </c>
      <c r="C112" t="n">
        <v>0</v>
      </c>
      <c r="D112" t="inlineStr">
        <is>
          <t>Starter 54-unit | Standard Pallet 1030×1110×152 mm | Variant 06</t>
        </is>
      </c>
      <c r="E112" t="inlineStr">
        <is>
          <t>TR: L4, LB4 | Palet (4000037): 1 adet | Köşebent (4000590): 2 adet | EN: L4, LB4 | Pallet (4000037): 1 pc | Edge protector (4000590): 2 pcs</t>
        </is>
      </c>
      <c r="F112" s="19" t="n"/>
      <c r="G112" s="19" t="inlineStr">
        <is>
          <t>2</t>
        </is>
      </c>
      <c r="H112" t="inlineStr">
        <is>
          <t>2026-08-08</t>
        </is>
      </c>
      <c r="J112" t="inlineStr">
        <is>
          <t>FINAL_CONFIGURATION_ID=IA-ST-054-STD-06;SOURCE_CONFIGURATION_ID=IA-ST-CFG-0142;FAMILY=STARTER;PACKAGING_MASS_KG=29.7552;EVIDENCE_BASIS=REV00 CURRENT EVIDENCE BASIS — ARTICLE 5 ASSESSMENT BASIS;SOURCE_REF=INCI_AKU_PPWR_Final_Configuration_Register_Rev00_GOLDEN_VARIANTS_FINAL.xlsx!01_FINAL_CONFIG_MASTER!R112</t>
        </is>
      </c>
      <c r="K112" t="inlineStr">
        <is>
          <t>2026-08-10T19:29:54Z</t>
        </is>
      </c>
      <c r="L112" t="inlineStr">
        <is>
          <t>2026-08-10T19:29:54Z</t>
        </is>
      </c>
    </row>
    <row r="113">
      <c r="A113" s="19" t="inlineStr">
        <is>
          <t>112</t>
        </is>
      </c>
      <c r="B113" s="19" t="inlineStr">
        <is>
          <t>ST-054-STD-07</t>
        </is>
      </c>
      <c r="C113" t="n">
        <v>0</v>
      </c>
      <c r="D113" t="inlineStr">
        <is>
          <t>Starter 54-unit | Standard Pallet 1030×1110×152 mm | Variant 07</t>
        </is>
      </c>
      <c r="E113" t="inlineStr">
        <is>
          <t>TR: D31 | D31 PVC üst kapak (4001310): 54 adet | Köşebent (4000590): 2 adet | EN: D31 | D31 PVC upper cover (4001310): 54 pcs | Edge protector (4000590): 2 pcs</t>
        </is>
      </c>
      <c r="F113" s="19" t="n"/>
      <c r="G113" s="19" t="inlineStr">
        <is>
          <t>2</t>
        </is>
      </c>
      <c r="H113" t="inlineStr">
        <is>
          <t>2026-08-08</t>
        </is>
      </c>
      <c r="J113" t="inlineStr">
        <is>
          <t>FINAL_CONFIGURATION_ID=IA-ST-054-STD-07;SOURCE_CONFIGURATION_ID=IA-ST-CFG-0143;FAMILY=STARTER;PACKAGING_MASS_KG=33.7838;EVIDENCE_BASIS=REV00 CURRENT EVIDENCE BASIS — ARTICLE 5 ASSESSMENT BASIS;SOURCE_REF=INCI_AKU_PPWR_Final_Configuration_Register_Rev00_GOLDEN_VARIANTS_FINAL.xlsx!01_FINAL_CONFIG_MASTER!R113</t>
        </is>
      </c>
      <c r="K113" t="inlineStr">
        <is>
          <t>2026-08-10T19:29:54Z</t>
        </is>
      </c>
      <c r="L113" t="inlineStr">
        <is>
          <t>2026-08-10T19:29:54Z</t>
        </is>
      </c>
    </row>
    <row r="114">
      <c r="A114" s="19" t="inlineStr">
        <is>
          <t>113</t>
        </is>
      </c>
      <c r="B114" s="19" t="inlineStr">
        <is>
          <t>ST-054-STD-08</t>
        </is>
      </c>
      <c r="C114" t="n">
        <v>0</v>
      </c>
      <c r="D114" t="inlineStr">
        <is>
          <t>Starter 54-unit | Standard Pallet 1030×1110×152 mm | Variant 08</t>
        </is>
      </c>
      <c r="E114" t="inlineStr">
        <is>
          <t>TR: L4, LB4 | Palet (4000037): 1 adet | Köşebent (4000590): kullanılmaz | EN: L4, LB4 | Pallet (4000037): 1 pc | Edge protector (4000590): not used</t>
        </is>
      </c>
      <c r="F114" s="19" t="n"/>
      <c r="G114" s="19" t="inlineStr">
        <is>
          <t>2</t>
        </is>
      </c>
      <c r="H114" t="inlineStr">
        <is>
          <t>2026-08-08</t>
        </is>
      </c>
      <c r="J114" t="inlineStr">
        <is>
          <t>FINAL_CONFIGURATION_ID=IA-ST-054-STD-08;SOURCE_CONFIGURATION_ID=IA-ST-CFG-0144;FAMILY=STARTER;PACKAGING_MASS_KG=29.4684;EVIDENCE_BASIS=REV00 CURRENT EVIDENCE BASIS — ARTICLE 5 ASSESSMENT BASIS;SOURCE_REF=INCI_AKU_PPWR_Final_Configuration_Register_Rev00_GOLDEN_VARIANTS_FINAL.xlsx!01_FINAL_CONFIG_MASTER!R114</t>
        </is>
      </c>
      <c r="K114" t="inlineStr">
        <is>
          <t>2026-08-10T19:29:54Z</t>
        </is>
      </c>
      <c r="L114" t="inlineStr">
        <is>
          <t>2026-08-10T19:29:54Z</t>
        </is>
      </c>
    </row>
    <row r="115">
      <c r="A115" s="19" t="inlineStr">
        <is>
          <t>114</t>
        </is>
      </c>
      <c r="B115" s="19" t="inlineStr">
        <is>
          <t>ST-054-STD-09</t>
        </is>
      </c>
      <c r="C115" t="n">
        <v>0</v>
      </c>
      <c r="D115" t="inlineStr">
        <is>
          <t>Starter 54-unit | Standard Pallet 1030×1110×152 mm | Variant 09</t>
        </is>
      </c>
      <c r="E115" t="inlineStr">
        <is>
          <t>TR: D31 | D31 PVC üst kapak (4001310): 54 adet | Çember (4000450): kullanılmaz | EN: D31 | D31 PVC upper cover (4001310): 54 pcs | Strap (4000450): not used</t>
        </is>
      </c>
      <c r="F115" s="19" t="n"/>
      <c r="G115" s="19" t="inlineStr">
        <is>
          <t>2</t>
        </is>
      </c>
      <c r="H115" t="inlineStr">
        <is>
          <t>2026-08-08</t>
        </is>
      </c>
      <c r="J115" t="inlineStr">
        <is>
          <t>FINAL_CONFIGURATION_ID=IA-ST-054-STD-09;SOURCE_CONFIGURATION_ID=IA-ST-CFG-0145;FAMILY=STARTER;PACKAGING_MASS_KG=33.497;EVIDENCE_BASIS=REV00 CURRENT EVIDENCE BASIS — ARTICLE 5 ASSESSMENT BASIS;SOURCE_REF=INCI_AKU_PPWR_Final_Configuration_Register_Rev00_GOLDEN_VARIANTS_FINAL.xlsx!01_FINAL_CONFIG_MASTER!R115</t>
        </is>
      </c>
      <c r="K115" t="inlineStr">
        <is>
          <t>2026-08-10T19:29:54Z</t>
        </is>
      </c>
      <c r="L115" t="inlineStr">
        <is>
          <t>2026-08-10T19:29:54Z</t>
        </is>
      </c>
    </row>
    <row r="116">
      <c r="A116" s="19" t="inlineStr">
        <is>
          <t>115</t>
        </is>
      </c>
      <c r="B116" s="19" t="inlineStr">
        <is>
          <t>ST-054-STD-10</t>
        </is>
      </c>
      <c r="C116" t="n">
        <v>0</v>
      </c>
      <c r="D116" t="inlineStr">
        <is>
          <t>Starter 54-unit | Standard Pallet 1030×1110×152 mm | Variant 10</t>
        </is>
      </c>
      <c r="E116" t="inlineStr">
        <is>
          <t>TR: D31 | Palet (4000037): 1 adet | Shrink film (4001177): 0.597 kg | EN: D31 | Pallet (4000037): 1 pc | Shrink film (4001177): 0.597 kg</t>
        </is>
      </c>
      <c r="F116" s="19" t="n"/>
      <c r="G116" s="19" t="inlineStr">
        <is>
          <t>2</t>
        </is>
      </c>
      <c r="H116" t="inlineStr">
        <is>
          <t>2026-08-08</t>
        </is>
      </c>
      <c r="J116" t="inlineStr">
        <is>
          <t>FINAL_CONFIGURATION_ID=IA-ST-054-STD-10;SOURCE_CONFIGURATION_ID=IA-ST-CFG-0146;FAMILY=STARTER;PACKAGING_MASS_KG=28.649;EVIDENCE_BASIS=REV00 CURRENT EVIDENCE BASIS — ARTICLE 5 ASSESSMENT BASIS;SOURCE_REF=INCI_AKU_PPWR_Final_Configuration_Register_Rev00_GOLDEN_VARIANTS_FINAL.xlsx!01_FINAL_CONFIG_MASTER!R116</t>
        </is>
      </c>
      <c r="K116" t="inlineStr">
        <is>
          <t>2026-08-10T19:29:54Z</t>
        </is>
      </c>
      <c r="L116" t="inlineStr">
        <is>
          <t>2026-08-10T19:29:54Z</t>
        </is>
      </c>
    </row>
    <row r="117">
      <c r="A117" s="19" t="inlineStr">
        <is>
          <t>116</t>
        </is>
      </c>
      <c r="B117" s="19" t="inlineStr">
        <is>
          <t>ST-054-STD-11</t>
        </is>
      </c>
      <c r="C117" t="n">
        <v>0</v>
      </c>
      <c r="D117" t="inlineStr">
        <is>
          <t>Starter 54-unit | Standard Pallet 1030×1110×152 mm | Variant 11</t>
        </is>
      </c>
      <c r="E117" t="inlineStr">
        <is>
          <t>TR: L4 | Palet (4000037): 1 adet | Shrink film (4001177): 0.597 kg | EN: L4 | Pallet (4000037): 1 pc | Shrink film (4001177): 0.597 kg</t>
        </is>
      </c>
      <c r="F117" s="19" t="n"/>
      <c r="G117" s="19" t="inlineStr">
        <is>
          <t>2</t>
        </is>
      </c>
      <c r="H117" t="inlineStr">
        <is>
          <t>2026-08-08</t>
        </is>
      </c>
      <c r="J117" t="inlineStr">
        <is>
          <t>FINAL_CONFIGURATION_ID=IA-ST-054-STD-11;SOURCE_CONFIGURATION_ID=IA-ST-CFG-0147;FAMILY=STARTER;PACKAGING_MASS_KG=28.417;EVIDENCE_BASIS=REV00 CURRENT EVIDENCE BASIS — ARTICLE 5 ASSESSMENT BASIS;SOURCE_REF=INCI_AKU_PPWR_Final_Configuration_Register_Rev00_GOLDEN_VARIANTS_FINAL.xlsx!01_FINAL_CONFIG_MASTER!R117</t>
        </is>
      </c>
      <c r="K117" t="inlineStr">
        <is>
          <t>2026-08-10T19:29:54Z</t>
        </is>
      </c>
      <c r="L117" t="inlineStr">
        <is>
          <t>2026-08-10T19:29:54Z</t>
        </is>
      </c>
    </row>
    <row r="118">
      <c r="A118" s="19" t="inlineStr">
        <is>
          <t>117</t>
        </is>
      </c>
      <c r="B118" s="19" t="inlineStr">
        <is>
          <t>ST-054-STD-12</t>
        </is>
      </c>
      <c r="C118" t="n">
        <v>0</v>
      </c>
      <c r="D118" t="inlineStr">
        <is>
          <t>Starter 54-unit | Standard Pallet 1030×1110×152 mm | Variant 12</t>
        </is>
      </c>
      <c r="E118" t="inlineStr">
        <is>
          <t>TR: LB4 | Palet (4000037): 1 adet | Shrink film (4001177): 0.597 kg | EN: LB4 | Pallet (4000037): 1 pc | Shrink film (4001177): 0.597 kg</t>
        </is>
      </c>
      <c r="F118" s="19" t="n"/>
      <c r="G118" s="19" t="inlineStr">
        <is>
          <t>2</t>
        </is>
      </c>
      <c r="H118" t="inlineStr">
        <is>
          <t>2026-08-08</t>
        </is>
      </c>
      <c r="J118" t="inlineStr">
        <is>
          <t>FINAL_CONFIGURATION_ID=IA-ST-054-STD-12;SOURCE_CONFIGURATION_ID=IA-ST-CFG-0148;FAMILY=STARTER;PACKAGING_MASS_KG=28.617;EVIDENCE_BASIS=REV00 CURRENT EVIDENCE BASIS — ARTICLE 5 ASSESSMENT BASIS;SOURCE_REF=INCI_AKU_PPWR_Final_Configuration_Register_Rev00_GOLDEN_VARIANTS_FINAL.xlsx!01_FINAL_CONFIG_MASTER!R118</t>
        </is>
      </c>
      <c r="K118" t="inlineStr">
        <is>
          <t>2026-08-10T19:29:54Z</t>
        </is>
      </c>
      <c r="L118" t="inlineStr">
        <is>
          <t>2026-08-10T19:29:54Z</t>
        </is>
      </c>
    </row>
    <row r="119">
      <c r="A119" s="19" t="inlineStr">
        <is>
          <t>118</t>
        </is>
      </c>
      <c r="B119" s="19" t="inlineStr">
        <is>
          <t>ST-056-EUR-01</t>
        </is>
      </c>
      <c r="C119" t="n">
        <v>0</v>
      </c>
      <c r="D119" t="inlineStr">
        <is>
          <t>Starter 56-unit | Euro Pallet 800×1200×152 mm | Variant 01</t>
        </is>
      </c>
      <c r="E119" t="inlineStr">
        <is>
          <t>TR: L4 | L4 İnci AGM LEO 80AH 800A pencereli dış koli (4001341): 56 adet | EN: L4 | L4 İnci AGM LEO 80AH 800A windowed outer carton (4001341): 56 pcs</t>
        </is>
      </c>
      <c r="F119" s="19" t="n"/>
      <c r="G119" s="19" t="inlineStr">
        <is>
          <t>2</t>
        </is>
      </c>
      <c r="H119" t="inlineStr">
        <is>
          <t>2026-08-08</t>
        </is>
      </c>
      <c r="J119" t="inlineStr">
        <is>
          <t>FINAL_CONFIGURATION_ID=IA-ST-056-EUR-01;SOURCE_CONFIGURATION_ID=IA-ST-CFG-0150;FAMILY=STARTER;PACKAGING_MASS_KG=44.106;EVIDENCE_BASIS=REV00 CURRENT EVIDENCE BASIS — ARTICLE 5 ASSESSMENT BASIS;SOURCE_REF=INCI_AKU_PPWR_Final_Configuration_Register_Rev00_GOLDEN_VARIANTS_FINAL.xlsx!01_FINAL_CONFIG_MASTER!R119</t>
        </is>
      </c>
      <c r="K119" t="inlineStr">
        <is>
          <t>2026-08-10T19:29:54Z</t>
        </is>
      </c>
      <c r="L119" t="inlineStr">
        <is>
          <t>2026-08-10T19:29:54Z</t>
        </is>
      </c>
    </row>
    <row r="120">
      <c r="A120" s="19" t="inlineStr">
        <is>
          <t>119</t>
        </is>
      </c>
      <c r="B120" s="19" t="inlineStr">
        <is>
          <t>ST-056-EUR-02</t>
        </is>
      </c>
      <c r="C120" t="n">
        <v>0</v>
      </c>
      <c r="D120" t="inlineStr">
        <is>
          <t>Starter 56-unit | Euro Pallet 800×1200×152 mm | Variant 02</t>
        </is>
      </c>
      <c r="E120" t="inlineStr">
        <is>
          <t>TR: L4, LB4 | Palet (4000038): 1 adet | Köşebent (4000590): 4 adet | EN: L4, LB4 | Pallet (4000038): 1 pc | Edge protector (4000590): 4 pcs</t>
        </is>
      </c>
      <c r="F120" s="19" t="n"/>
      <c r="G120" s="19" t="inlineStr">
        <is>
          <t>2</t>
        </is>
      </c>
      <c r="H120" t="inlineStr">
        <is>
          <t>2026-08-08</t>
        </is>
      </c>
      <c r="J120" t="inlineStr">
        <is>
          <t>FINAL_CONFIGURATION_ID=IA-ST-056-EUR-02;SOURCE_CONFIGURATION_ID=IA-ST-CFG-0151;FAMILY=STARTER;PACKAGING_MASS_KG=28.126;EVIDENCE_BASIS=REV00 CURRENT EVIDENCE BASIS — ARTICLE 5 ASSESSMENT BASIS;SOURCE_REF=INCI_AKU_PPWR_Final_Configuration_Register_Rev00_GOLDEN_VARIANTS_FINAL.xlsx!01_FINAL_CONFIG_MASTER!R120</t>
        </is>
      </c>
      <c r="K120" t="inlineStr">
        <is>
          <t>2026-08-10T19:29:54Z</t>
        </is>
      </c>
      <c r="L120" t="inlineStr">
        <is>
          <t>2026-08-10T19:29:54Z</t>
        </is>
      </c>
    </row>
    <row r="121">
      <c r="A121" s="19" t="inlineStr">
        <is>
          <t>120</t>
        </is>
      </c>
      <c r="B121" s="19" t="inlineStr">
        <is>
          <t>ST-056-EUR-03</t>
        </is>
      </c>
      <c r="C121" t="n">
        <v>0</v>
      </c>
      <c r="D121" t="inlineStr">
        <is>
          <t>Starter 56-unit | Euro Pallet 800×1200×152 mm | Variant 03</t>
        </is>
      </c>
      <c r="E121" t="inlineStr">
        <is>
          <t>TR: L4, LB4 | Palet (4000038): 1 adet | Shrink film (4000554): 1.904 kg | EN: L4, LB4 | Pallet (4000038): 1 pc | Shrink film (4000554): 1.904 kg</t>
        </is>
      </c>
      <c r="F121" s="19" t="n"/>
      <c r="G121" s="19" t="inlineStr">
        <is>
          <t>2</t>
        </is>
      </c>
      <c r="H121" t="inlineStr">
        <is>
          <t>2026-08-08</t>
        </is>
      </c>
      <c r="J121" t="inlineStr">
        <is>
          <t>FINAL_CONFIGURATION_ID=IA-ST-056-EUR-03;SOURCE_CONFIGURATION_ID=IA-ST-CFG-0152;FAMILY=STARTER;PACKAGING_MASS_KG=29.7432;EVIDENCE_BASIS=REV00 CURRENT EVIDENCE BASIS — ARTICLE 5 ASSESSMENT BASIS;SOURCE_REF=INCI_AKU_PPWR_Final_Configuration_Register_Rev00_GOLDEN_VARIANTS_FINAL.xlsx!01_FINAL_CONFIG_MASTER!R121</t>
        </is>
      </c>
      <c r="K121" t="inlineStr">
        <is>
          <t>2026-08-10T19:29:54Z</t>
        </is>
      </c>
      <c r="L121" t="inlineStr">
        <is>
          <t>2026-08-10T19:29:54Z</t>
        </is>
      </c>
    </row>
    <row r="122">
      <c r="A122" s="19" t="inlineStr">
        <is>
          <t>121</t>
        </is>
      </c>
      <c r="B122" s="19" t="inlineStr">
        <is>
          <t>ST-056-EUR-04</t>
        </is>
      </c>
      <c r="C122" t="n">
        <v>0</v>
      </c>
      <c r="D122" t="inlineStr">
        <is>
          <t>Starter 56-unit | Euro Pallet 800×1200×152 mm | Variant 04</t>
        </is>
      </c>
      <c r="E122" t="inlineStr">
        <is>
          <t>TR: LB4, L4 | Palet (4000038): 1 adet | Köşebent (4000590): 2 adet | EN: LB4, L4 | Pallet (4000038): 1 pc | Edge protector (4000590): 2 pcs</t>
        </is>
      </c>
      <c r="F122" s="19" t="n"/>
      <c r="G122" s="19" t="inlineStr">
        <is>
          <t>2</t>
        </is>
      </c>
      <c r="H122" t="inlineStr">
        <is>
          <t>2026-08-08</t>
        </is>
      </c>
      <c r="J122" t="inlineStr">
        <is>
          <t>FINAL_CONFIGURATION_ID=IA-ST-056-EUR-04;SOURCE_CONFIGURATION_ID=IA-ST-CFG-0153;FAMILY=STARTER;PACKAGING_MASS_KG=27.8392;EVIDENCE_BASIS=REV00 CURRENT EVIDENCE BASIS — ARTICLE 5 ASSESSMENT BASIS;SOURCE_REF=INCI_AKU_PPWR_Final_Configuration_Register_Rev00_GOLDEN_VARIANTS_FINAL.xlsx!01_FINAL_CONFIG_MASTER!R122</t>
        </is>
      </c>
      <c r="K122" t="inlineStr">
        <is>
          <t>2026-08-10T19:29:54Z</t>
        </is>
      </c>
      <c r="L122" t="inlineStr">
        <is>
          <t>2026-08-10T19:29:54Z</t>
        </is>
      </c>
    </row>
    <row r="123">
      <c r="A123" s="19" t="inlineStr">
        <is>
          <t>122</t>
        </is>
      </c>
      <c r="B123" s="19" t="inlineStr">
        <is>
          <t>ST-057-EUR-01</t>
        </is>
      </c>
      <c r="C123" t="n">
        <v>0</v>
      </c>
      <c r="D123" t="inlineStr">
        <is>
          <t>Starter 57-unit | Euro Pallet 800×1200×152 mm | Variant 01</t>
        </is>
      </c>
      <c r="E123" t="inlineStr">
        <is>
          <t>TR: D26 | Palet (4000038): 1 adet | Honeycomb (4001186): 3 adet | EN: D26 | Pallet (4000038): 1 pc | Honeycomb (4001186): 3 pcs</t>
        </is>
      </c>
      <c r="F123" s="19" t="n"/>
      <c r="G123" s="19" t="inlineStr">
        <is>
          <t>2</t>
        </is>
      </c>
      <c r="H123" t="inlineStr">
        <is>
          <t>2026-08-08</t>
        </is>
      </c>
      <c r="J123" t="inlineStr">
        <is>
          <t>FINAL_CONFIGURATION_ID=IA-ST-057-EUR-01;SOURCE_CONFIGURATION_ID=IA-ST-CFG-0160;FAMILY=STARTER;PACKAGING_MASS_KG=30.326;EVIDENCE_BASIS=REV00 CURRENT EVIDENCE BASIS — ARTICLE 5 ASSESSMENT BASIS;SOURCE_REF=INCI_AKU_PPWR_Final_Configuration_Register_Rev00_GOLDEN_VARIANTS_FINAL.xlsx!01_FINAL_CONFIG_MASTER!R123</t>
        </is>
      </c>
      <c r="K123" t="inlineStr">
        <is>
          <t>2026-08-10T19:29:54Z</t>
        </is>
      </c>
      <c r="L123" t="inlineStr">
        <is>
          <t>2026-08-10T19:29:54Z</t>
        </is>
      </c>
    </row>
    <row r="124">
      <c r="A124" s="19" t="inlineStr">
        <is>
          <t>123</t>
        </is>
      </c>
      <c r="B124" s="19" t="inlineStr">
        <is>
          <t>ST-057-EUR-02</t>
        </is>
      </c>
      <c r="C124" t="n">
        <v>0</v>
      </c>
      <c r="D124" t="inlineStr">
        <is>
          <t>Starter 57-unit | Euro Pallet 800×1200×152 mm | Variant 02</t>
        </is>
      </c>
      <c r="E124" t="inlineStr">
        <is>
          <t>TR: D26 | Palet (4000038): 1 adet | EPS (4001247): 3 adet | EN: D26 | Pallet (4000038): 1 pc | EPS (4001247): 3 pcs</t>
        </is>
      </c>
      <c r="F124" s="19" t="n"/>
      <c r="G124" s="19" t="inlineStr">
        <is>
          <t>2</t>
        </is>
      </c>
      <c r="H124" t="inlineStr">
        <is>
          <t>2026-08-08</t>
        </is>
      </c>
      <c r="J124" t="inlineStr">
        <is>
          <t>FINAL_CONFIGURATION_ID=IA-ST-057-EUR-02;SOURCE_CONFIGURATION_ID=IA-ST-CFG-0161;FAMILY=STARTER;PACKAGING_MASS_KG=27.506;EVIDENCE_BASIS=REV00 CURRENT EVIDENCE BASIS — ARTICLE 5 ASSESSMENT BASIS;SOURCE_REF=INCI_AKU_PPWR_Final_Configuration_Register_Rev00_GOLDEN_VARIANTS_FINAL.xlsx!01_FINAL_CONFIG_MASTER!R124</t>
        </is>
      </c>
      <c r="K124" t="inlineStr">
        <is>
          <t>2026-08-10T19:29:54Z</t>
        </is>
      </c>
      <c r="L124" t="inlineStr">
        <is>
          <t>2026-08-10T19:29:54Z</t>
        </is>
      </c>
    </row>
    <row r="125">
      <c r="A125" s="19" t="inlineStr">
        <is>
          <t>124</t>
        </is>
      </c>
      <c r="B125" s="19" t="inlineStr">
        <is>
          <t>ST-057-EUR-03</t>
        </is>
      </c>
      <c r="C125" t="n">
        <v>0</v>
      </c>
      <c r="D125" t="inlineStr">
        <is>
          <t>Starter 57-unit | Euro Pallet 800×1200×152 mm | Variant 03</t>
        </is>
      </c>
      <c r="E125" t="inlineStr">
        <is>
          <t>TR: L2, LB2 | Palet (4000038): 1 adet | Köşebent (4000590): 4 adet | EN: L2, LB2 | Pallet (4000038): 1 pc | Edge protector (4000590): 4 pcs</t>
        </is>
      </c>
      <c r="F125" s="19" t="n"/>
      <c r="G125" s="19" t="inlineStr">
        <is>
          <t>2</t>
        </is>
      </c>
      <c r="H125" t="inlineStr">
        <is>
          <t>2026-08-08</t>
        </is>
      </c>
      <c r="J125" t="inlineStr">
        <is>
          <t>FINAL_CONFIGURATION_ID=IA-ST-057-EUR-03;SOURCE_CONFIGURATION_ID=IA-ST-CFG-0162;FAMILY=STARTER;PACKAGING_MASS_KG=27.926;EVIDENCE_BASIS=REV00 CURRENT EVIDENCE BASIS — ARTICLE 5 ASSESSMENT BASIS;SOURCE_REF=INCI_AKU_PPWR_Final_Configuration_Register_Rev00_GOLDEN_VARIANTS_FINAL.xlsx!01_FINAL_CONFIG_MASTER!R125</t>
        </is>
      </c>
      <c r="K125" t="inlineStr">
        <is>
          <t>2026-08-10T19:29:54Z</t>
        </is>
      </c>
      <c r="L125" t="inlineStr">
        <is>
          <t>2026-08-10T19:29:54Z</t>
        </is>
      </c>
    </row>
    <row r="126">
      <c r="A126" s="19" t="inlineStr">
        <is>
          <t>125</t>
        </is>
      </c>
      <c r="B126" s="19" t="inlineStr">
        <is>
          <t>ST-057-EUR-04</t>
        </is>
      </c>
      <c r="C126" t="n">
        <v>0</v>
      </c>
      <c r="D126" t="inlineStr">
        <is>
          <t>Starter 57-unit | Euro Pallet 800×1200×152 mm | Variant 04</t>
        </is>
      </c>
      <c r="E126" t="inlineStr">
        <is>
          <t>TR: L2, LB2 | Palet (4000038): 1 adet | Shrink film (4000558): 2.166 kg | EN: L2, LB2 | Pallet (4000038): 1 pc | Shrink film (4000558): 2.166 kg</t>
        </is>
      </c>
      <c r="F126" s="19" t="n"/>
      <c r="G126" s="19" t="inlineStr">
        <is>
          <t>2</t>
        </is>
      </c>
      <c r="H126" t="inlineStr">
        <is>
          <t>2026-08-08</t>
        </is>
      </c>
      <c r="J126" t="inlineStr">
        <is>
          <t>FINAL_CONFIGURATION_ID=IA-ST-057-EUR-04;SOURCE_CONFIGURATION_ID=IA-ST-CFG-0163;FAMILY=STARTER;PACKAGING_MASS_KG=29.8052;EVIDENCE_BASIS=REV00 CURRENT EVIDENCE BASIS — ARTICLE 5 ASSESSMENT BASIS;SOURCE_REF=INCI_AKU_PPWR_Final_Configuration_Register_Rev00_GOLDEN_VARIANTS_FINAL.xlsx!01_FINAL_CONFIG_MASTER!R126</t>
        </is>
      </c>
      <c r="K126" t="inlineStr">
        <is>
          <t>2026-08-10T19:29:54Z</t>
        </is>
      </c>
      <c r="L126" t="inlineStr">
        <is>
          <t>2026-08-10T19:29:54Z</t>
        </is>
      </c>
    </row>
    <row r="127">
      <c r="A127" s="19" t="inlineStr">
        <is>
          <t>126</t>
        </is>
      </c>
      <c r="B127" s="19" t="inlineStr">
        <is>
          <t>ST-057-EUR-05</t>
        </is>
      </c>
      <c r="C127" t="n">
        <v>0</v>
      </c>
      <c r="D127" t="inlineStr">
        <is>
          <t>Starter 57-unit | Euro Pallet 800×1200×152 mm | Variant 05</t>
        </is>
      </c>
      <c r="E127" t="inlineStr">
        <is>
          <t>TR: L2, LB2 | Palet (4000038): 1 adet | Shrink film (4000558): kullanılmaz | Köşebent (4000590): 2 adet | EN: L2, LB2 | Pallet (4000038): 1 pc | Shrink film (4000558): not used | Edge protector (4000590): 2 pcs</t>
        </is>
      </c>
      <c r="F127" s="19" t="n"/>
      <c r="G127" s="19" t="inlineStr">
        <is>
          <t>2</t>
        </is>
      </c>
      <c r="H127" t="inlineStr">
        <is>
          <t>2026-08-08</t>
        </is>
      </c>
      <c r="J127" t="inlineStr">
        <is>
          <t>FINAL_CONFIGURATION_ID=IA-ST-057-EUR-05;SOURCE_CONFIGURATION_ID=IA-ST-CFG-0164;FAMILY=STARTER;PACKAGING_MASS_KG=27.6392;EVIDENCE_BASIS=REV00 CURRENT EVIDENCE BASIS — ARTICLE 5 ASSESSMENT BASIS;SOURCE_REF=INCI_AKU_PPWR_Final_Configuration_Register_Rev00_GOLDEN_VARIANTS_FINAL.xlsx!01_FINAL_CONFIG_MASTER!R127</t>
        </is>
      </c>
      <c r="K127" t="inlineStr">
        <is>
          <t>2026-08-10T19:29:54Z</t>
        </is>
      </c>
      <c r="L127" t="inlineStr">
        <is>
          <t>2026-08-10T19:29:54Z</t>
        </is>
      </c>
    </row>
    <row r="128">
      <c r="A128" s="19" t="inlineStr">
        <is>
          <t>127</t>
        </is>
      </c>
      <c r="B128" s="19" t="inlineStr">
        <is>
          <t>ST-057-STD-01</t>
        </is>
      </c>
      <c r="C128" t="n">
        <v>0</v>
      </c>
      <c r="D128" t="inlineStr">
        <is>
          <t>Starter 57-unit | Standard Pallet 1030×1110×152 mm | Variant 01</t>
        </is>
      </c>
      <c r="E128" t="inlineStr">
        <is>
          <t>TR: D26 | D26 İnciEFBPANTERA pencereli YÜKSEK DL dış koli (4001271): 57 adet | EN: D26 | D26 İnciEFBPANTERA windowed YÜKSEK DL outer carton (4001271): 57 pcs</t>
        </is>
      </c>
      <c r="F128" s="19" t="n"/>
      <c r="G128" s="19" t="inlineStr">
        <is>
          <t>2</t>
        </is>
      </c>
      <c r="H128" t="inlineStr">
        <is>
          <t>2026-08-08</t>
        </is>
      </c>
      <c r="J128" t="inlineStr">
        <is>
          <t>FINAL_CONFIGURATION_ID=IA-ST-057-STD-01;SOURCE_CONFIGURATION_ID=IA-ST-CFG-0155;FAMILY=STARTER;PACKAGING_MASS_KG=50.954;EVIDENCE_BASIS=REV00 CURRENT EVIDENCE BASIS — ARTICLE 5 ASSESSMENT BASIS;SOURCE_REF=INCI_AKU_PPWR_Final_Configuration_Register_Rev00_GOLDEN_VARIANTS_FINAL.xlsx!01_FINAL_CONFIG_MASTER!R128</t>
        </is>
      </c>
      <c r="K128" t="inlineStr">
        <is>
          <t>2026-08-10T19:29:54Z</t>
        </is>
      </c>
      <c r="L128" t="inlineStr">
        <is>
          <t>2026-08-10T19:29:54Z</t>
        </is>
      </c>
    </row>
    <row r="129">
      <c r="A129" s="19" t="inlineStr">
        <is>
          <t>128</t>
        </is>
      </c>
      <c r="B129" s="19" t="inlineStr">
        <is>
          <t>ST-057-STD-02</t>
        </is>
      </c>
      <c r="C129" t="n">
        <v>0</v>
      </c>
      <c r="D129" t="inlineStr">
        <is>
          <t>Starter 57-unit | Standard Pallet 1030×1110×152 mm | Variant 02</t>
        </is>
      </c>
      <c r="E129" t="inlineStr">
        <is>
          <t>TR: D26 | D26 EAS Activa penceresiz (YÜKSEK) dış koli (4001287): 57 adet | EN: D26 | D26 EAS Activa windowless (YÜKSEK) outer carton (4001287): 57 pcs</t>
        </is>
      </c>
      <c r="F129" s="19" t="n"/>
      <c r="G129" s="19" t="inlineStr">
        <is>
          <t>2</t>
        </is>
      </c>
      <c r="H129" t="inlineStr">
        <is>
          <t>2026-08-08</t>
        </is>
      </c>
      <c r="J129" t="inlineStr">
        <is>
          <t>FINAL_CONFIGURATION_ID=IA-ST-057-STD-02;SOURCE_CONFIGURATION_ID=IA-ST-CFG-0156;FAMILY=STARTER;PACKAGING_MASS_KG=50.954;EVIDENCE_BASIS=REV00 CURRENT EVIDENCE BASIS — ARTICLE 5 ASSESSMENT BASIS;SOURCE_REF=INCI_AKU_PPWR_Final_Configuration_Register_Rev00_GOLDEN_VARIANTS_FINAL.xlsx!01_FINAL_CONFIG_MASTER!R129</t>
        </is>
      </c>
      <c r="K129" t="inlineStr">
        <is>
          <t>2026-08-10T19:29:54Z</t>
        </is>
      </c>
      <c r="L129" t="inlineStr">
        <is>
          <t>2026-08-10T19:29:54Z</t>
        </is>
      </c>
    </row>
    <row r="130">
      <c r="A130" s="19" t="inlineStr">
        <is>
          <t>129</t>
        </is>
      </c>
      <c r="B130" s="19" t="inlineStr">
        <is>
          <t>ST-057-STD-03</t>
        </is>
      </c>
      <c r="C130" t="n">
        <v>0</v>
      </c>
      <c r="D130" t="inlineStr">
        <is>
          <t>Starter 57-unit | Standard Pallet 1030×1110×152 mm | Variant 03</t>
        </is>
      </c>
      <c r="E130" t="inlineStr">
        <is>
          <t>TR: D26 | D26 YUASA ORTADOĞU penceresiz dış koli (4001289): 57 adet | EN: D26 | D26 YUASA ORTADOĞU windowless outer carton (4001289): 57 pcs</t>
        </is>
      </c>
      <c r="F130" s="19" t="n"/>
      <c r="G130" s="19" t="inlineStr">
        <is>
          <t>2</t>
        </is>
      </c>
      <c r="H130" t="inlineStr">
        <is>
          <t>2026-08-08</t>
        </is>
      </c>
      <c r="J130" t="inlineStr">
        <is>
          <t>FINAL_CONFIGURATION_ID=IA-ST-057-STD-03;SOURCE_CONFIGURATION_ID=IA-ST-CFG-0157;FAMILY=STARTER;PACKAGING_MASS_KG=50.954;EVIDENCE_BASIS=REV00 CURRENT EVIDENCE BASIS — ARTICLE 5 ASSESSMENT BASIS;SOURCE_REF=INCI_AKU_PPWR_Final_Configuration_Register_Rev00_GOLDEN_VARIANTS_FINAL.xlsx!01_FINAL_CONFIG_MASTER!R130</t>
        </is>
      </c>
      <c r="K130" t="inlineStr">
        <is>
          <t>2026-08-10T19:29:54Z</t>
        </is>
      </c>
      <c r="L130" t="inlineStr">
        <is>
          <t>2026-08-10T19:29:54Z</t>
        </is>
      </c>
    </row>
    <row r="131">
      <c r="A131" s="19" t="inlineStr">
        <is>
          <t>130</t>
        </is>
      </c>
      <c r="B131" s="19" t="inlineStr">
        <is>
          <t>ST-060-EUR-01</t>
        </is>
      </c>
      <c r="C131" t="n">
        <v>0</v>
      </c>
      <c r="D131" t="inlineStr">
        <is>
          <t>Starter 60-unit | Euro Pallet 800×1200×152 mm | Variant 01</t>
        </is>
      </c>
      <c r="E131" t="inlineStr">
        <is>
          <t>TR: D23 | D23 YUASA penceresiz Orta Doğu dış koli (4001106): 60 adet | EN: D23 | D23 YUASA windowless Middle East outer carton (4001106): 60 pcs</t>
        </is>
      </c>
      <c r="F131" s="19" t="n"/>
      <c r="G131" s="19" t="inlineStr">
        <is>
          <t>2</t>
        </is>
      </c>
      <c r="H131" t="inlineStr">
        <is>
          <t>2026-08-08</t>
        </is>
      </c>
      <c r="J131" t="inlineStr">
        <is>
          <t>FINAL_CONFIGURATION_ID=IA-ST-060-EUR-01;SOURCE_CONFIGURATION_ID=IA-ST-CFG-0170;FAMILY=STARTER;PACKAGING_MASS_KG=46.6702;EVIDENCE_BASIS=REV00 CURRENT EVIDENCE BASIS — ARTICLE 5 ASSESSMENT BASIS;SOURCE_REF=INCI_AKU_PPWR_Final_Configuration_Register_Rev00_GOLDEN_VARIANTS_FINAL.xlsx!01_FINAL_CONFIG_MASTER!R131</t>
        </is>
      </c>
      <c r="K131" t="inlineStr">
        <is>
          <t>2026-08-10T19:29:54Z</t>
        </is>
      </c>
      <c r="L131" t="inlineStr">
        <is>
          <t>2026-08-10T19:29:54Z</t>
        </is>
      </c>
    </row>
    <row r="132">
      <c r="A132" s="19" t="inlineStr">
        <is>
          <t>131</t>
        </is>
      </c>
      <c r="B132" s="19" t="inlineStr">
        <is>
          <t>ST-060-EUR-02</t>
        </is>
      </c>
      <c r="C132" t="n">
        <v>0</v>
      </c>
      <c r="D132" t="inlineStr">
        <is>
          <t>Starter 60-unit | Euro Pallet 800×1200×152 mm | Variant 02</t>
        </is>
      </c>
      <c r="E132" t="inlineStr">
        <is>
          <t>TR: D23 | D23 PVC üst kapak (4000461): 60 adet | EN: D23 | D23 PVC upper cover (4000461): 60 pcs</t>
        </is>
      </c>
      <c r="F132" s="19" t="n"/>
      <c r="G132" s="19" t="inlineStr">
        <is>
          <t>2</t>
        </is>
      </c>
      <c r="H132" t="inlineStr">
        <is>
          <t>2026-08-08</t>
        </is>
      </c>
      <c r="J132" t="inlineStr">
        <is>
          <t>FINAL_CONFIGURATION_ID=IA-ST-060-EUR-02;SOURCE_CONFIGURATION_ID=IA-ST-CFG-0171;FAMILY=STARTER;PACKAGING_MASS_KG=32.9834;EVIDENCE_BASIS=REV00 CURRENT EVIDENCE BASIS — ARTICLE 5 ASSESSMENT BASIS;SOURCE_REF=INCI_AKU_PPWR_Final_Configuration_Register_Rev00_GOLDEN_VARIANTS_FINAL.xlsx!01_FINAL_CONFIG_MASTER!R132</t>
        </is>
      </c>
      <c r="K132" t="inlineStr">
        <is>
          <t>2026-08-10T19:29:54Z</t>
        </is>
      </c>
      <c r="L132" t="inlineStr">
        <is>
          <t>2026-08-10T19:29:54Z</t>
        </is>
      </c>
    </row>
    <row r="133">
      <c r="A133" s="19" t="inlineStr">
        <is>
          <t>132</t>
        </is>
      </c>
      <c r="B133" s="19" t="inlineStr">
        <is>
          <t>ST-060-STD-01</t>
        </is>
      </c>
      <c r="C133" t="n">
        <v>0</v>
      </c>
      <c r="D133" t="inlineStr">
        <is>
          <t>Starter 60-unit | Standard Pallet 1030×1110×152 mm | Variant 01</t>
        </is>
      </c>
      <c r="E133" t="inlineStr">
        <is>
          <t>TR: L5 | L5 EAS Activa penceresiz dış koli (4001006): 60 adet | EN: L5 | L5 EAS Activa windowless outer carton (4001006): 60 pcs</t>
        </is>
      </c>
      <c r="F133" s="19" t="n"/>
      <c r="G133" s="19" t="inlineStr">
        <is>
          <t>2</t>
        </is>
      </c>
      <c r="H133" t="inlineStr">
        <is>
          <t>2026-08-08</t>
        </is>
      </c>
      <c r="J133" t="inlineStr">
        <is>
          <t>FINAL_CONFIGURATION_ID=IA-ST-060-STD-01;SOURCE_CONFIGURATION_ID=IA-ST-CFG-0165;FAMILY=STARTER;PACKAGING_MASS_KG=49.136;EVIDENCE_BASIS=REV00 CURRENT EVIDENCE BASIS — ARTICLE 5 ASSESSMENT BASIS;SOURCE_REF=INCI_AKU_PPWR_Final_Configuration_Register_Rev00_GOLDEN_VARIANTS_FINAL.xlsx!01_FINAL_CONFIG_MASTER!R133</t>
        </is>
      </c>
      <c r="K133" t="inlineStr">
        <is>
          <t>2026-08-10T19:29:54Z</t>
        </is>
      </c>
      <c r="L133" t="inlineStr">
        <is>
          <t>2026-08-10T19:29:54Z</t>
        </is>
      </c>
    </row>
    <row r="134">
      <c r="A134" s="19" t="inlineStr">
        <is>
          <t>133</t>
        </is>
      </c>
      <c r="B134" s="19" t="inlineStr">
        <is>
          <t>ST-060-STD-02</t>
        </is>
      </c>
      <c r="C134" t="n">
        <v>0</v>
      </c>
      <c r="D134" t="inlineStr">
        <is>
          <t>Starter 60-unit | Standard Pallet 1030×1110×152 mm | Variant 02</t>
        </is>
      </c>
      <c r="E134" t="inlineStr">
        <is>
          <t>TR: L5 | L5 YUASA penceresiz Orta Doğu dış koli (4001105): 60 adet | EN: L5 | L5 YUASA windowless Middle East outer carton (4001105): 60 pcs</t>
        </is>
      </c>
      <c r="F134" s="19" t="n"/>
      <c r="G134" s="19" t="inlineStr">
        <is>
          <t>2</t>
        </is>
      </c>
      <c r="H134" t="inlineStr">
        <is>
          <t>2026-08-08</t>
        </is>
      </c>
      <c r="J134" t="inlineStr">
        <is>
          <t>FINAL_CONFIGURATION_ID=IA-ST-060-STD-02;SOURCE_CONFIGURATION_ID=IA-ST-CFG-0166;FAMILY=STARTER;PACKAGING_MASS_KG=49.136;EVIDENCE_BASIS=REV00 CURRENT EVIDENCE BASIS — ARTICLE 5 ASSESSMENT BASIS;SOURCE_REF=INCI_AKU_PPWR_Final_Configuration_Register_Rev00_GOLDEN_VARIANTS_FINAL.xlsx!01_FINAL_CONFIG_MASTER!R134</t>
        </is>
      </c>
      <c r="K134" t="inlineStr">
        <is>
          <t>2026-08-10T19:29:54Z</t>
        </is>
      </c>
      <c r="L134" t="inlineStr">
        <is>
          <t>2026-08-10T19:29:54Z</t>
        </is>
      </c>
    </row>
    <row r="135">
      <c r="A135" s="19" t="inlineStr">
        <is>
          <t>134</t>
        </is>
      </c>
      <c r="B135" s="19" t="inlineStr">
        <is>
          <t>ST-060-STD-03</t>
        </is>
      </c>
      <c r="C135" t="n">
        <v>0</v>
      </c>
      <c r="D135" t="inlineStr">
        <is>
          <t>Starter 60-unit | Standard Pallet 1030×1110×152 mm | Variant 03</t>
        </is>
      </c>
      <c r="E135" t="inlineStr">
        <is>
          <t>TR: L5 | L5 İnci EFB MAX TIGRIS pencereli 2020 dış koli (4001274): 60 adet | EN: L5 | L5 İnci EFB MAX TIGRIS windowed 2020 outer carton (4001274): 60 pcs</t>
        </is>
      </c>
      <c r="F135" s="19" t="n"/>
      <c r="G135" s="19" t="inlineStr">
        <is>
          <t>2</t>
        </is>
      </c>
      <c r="H135" t="inlineStr">
        <is>
          <t>2026-08-08</t>
        </is>
      </c>
      <c r="J135" t="inlineStr">
        <is>
          <t>FINAL_CONFIGURATION_ID=IA-ST-060-STD-03;SOURCE_CONFIGURATION_ID=IA-ST-CFG-0167;FAMILY=STARTER;PACKAGING_MASS_KG=49.136;EVIDENCE_BASIS=REV00 CURRENT EVIDENCE BASIS — ARTICLE 5 ASSESSMENT BASIS;SOURCE_REF=INCI_AKU_PPWR_Final_Configuration_Register_Rev00_GOLDEN_VARIANTS_FINAL.xlsx!01_FINAL_CONFIG_MASTER!R135</t>
        </is>
      </c>
      <c r="K135" t="inlineStr">
        <is>
          <t>2026-08-10T19:29:54Z</t>
        </is>
      </c>
      <c r="L135" t="inlineStr">
        <is>
          <t>2026-08-10T19:29:54Z</t>
        </is>
      </c>
    </row>
    <row r="136">
      <c r="A136" s="19" t="inlineStr">
        <is>
          <t>135</t>
        </is>
      </c>
      <c r="B136" s="19" t="inlineStr">
        <is>
          <t>ST-060-STD-04</t>
        </is>
      </c>
      <c r="C136" t="n">
        <v>0</v>
      </c>
      <c r="D136" t="inlineStr">
        <is>
          <t>Starter 60-unit | Standard Pallet 1030×1110×152 mm | Variant 04</t>
        </is>
      </c>
      <c r="E136" t="inlineStr">
        <is>
          <t>TR: L5 | L5 İnciEFBPANTRA pencereli 90AH830A DL dış koli (4001320): 60 adet | EN: L5 | L5 İnciEFBPANTRA windowed 90AH830A DL outer carton (4001320): 60 pcs</t>
        </is>
      </c>
      <c r="F136" s="19" t="n"/>
      <c r="G136" s="19" t="inlineStr">
        <is>
          <t>2</t>
        </is>
      </c>
      <c r="H136" t="inlineStr">
        <is>
          <t>2026-08-08</t>
        </is>
      </c>
      <c r="J136" t="inlineStr">
        <is>
          <t>FINAL_CONFIGURATION_ID=IA-ST-060-STD-04;SOURCE_CONFIGURATION_ID=IA-ST-CFG-0168;FAMILY=STARTER;PACKAGING_MASS_KG=49.136;EVIDENCE_BASIS=REV00 CURRENT EVIDENCE BASIS — ARTICLE 5 ASSESSMENT BASIS;SOURCE_REF=INCI_AKU_PPWR_Final_Configuration_Register_Rev00_GOLDEN_VARIANTS_FINAL.xlsx!01_FINAL_CONFIG_MASTER!R136</t>
        </is>
      </c>
      <c r="K136" t="inlineStr">
        <is>
          <t>2026-08-10T19:29:54Z</t>
        </is>
      </c>
      <c r="L136" t="inlineStr">
        <is>
          <t>2026-08-10T19:29:54Z</t>
        </is>
      </c>
    </row>
    <row r="137">
      <c r="A137" s="19" t="inlineStr">
        <is>
          <t>136</t>
        </is>
      </c>
      <c r="B137" s="19" t="inlineStr">
        <is>
          <t>ST-060-STD-05</t>
        </is>
      </c>
      <c r="C137" t="n">
        <v>0</v>
      </c>
      <c r="D137" t="inlineStr">
        <is>
          <t>Starter 60-unit | Standard Pallet 1030×1110×152 mm | Variant 05</t>
        </is>
      </c>
      <c r="E137" t="inlineStr">
        <is>
          <t>TR: L5 | L5 İnci FORMULA-MAXIMA 2019 dış koli (4001208): 60 adet | EN: L5 | L5 İnci FORMULA-MAXIMA 2019 outer carton (4001208): 60 pcs</t>
        </is>
      </c>
      <c r="F137" s="19" t="n"/>
      <c r="G137" s="19" t="inlineStr">
        <is>
          <t>2</t>
        </is>
      </c>
      <c r="H137" t="inlineStr">
        <is>
          <t>2026-08-08</t>
        </is>
      </c>
      <c r="J137" t="inlineStr">
        <is>
          <t>FINAL_CONFIGURATION_ID=IA-ST-060-STD-05;SOURCE_CONFIGURATION_ID=IA-ST-CFG-0169;FAMILY=STARTER;PACKAGING_MASS_KG=49.556;EVIDENCE_BASIS=REV00 CURRENT EVIDENCE BASIS — ARTICLE 5 ASSESSMENT BASIS;SOURCE_REF=INCI_AKU_PPWR_Final_Configuration_Register_Rev00_GOLDEN_VARIANTS_FINAL.xlsx!01_FINAL_CONFIG_MASTER!R137</t>
        </is>
      </c>
      <c r="K137" t="inlineStr">
        <is>
          <t>2026-08-10T19:29:54Z</t>
        </is>
      </c>
      <c r="L137" t="inlineStr">
        <is>
          <t>2026-08-10T19:29:54Z</t>
        </is>
      </c>
    </row>
    <row r="138">
      <c r="A138" s="19" t="inlineStr">
        <is>
          <t>137</t>
        </is>
      </c>
      <c r="B138" s="19" t="inlineStr">
        <is>
          <t>ST-063-EUR-01</t>
        </is>
      </c>
      <c r="C138" t="n">
        <v>0</v>
      </c>
      <c r="D138" t="inlineStr">
        <is>
          <t>Starter 63-unit | Euro Pallet 800×1200×152 mm | Variant 01</t>
        </is>
      </c>
      <c r="E138" t="inlineStr">
        <is>
          <t>TR: D23 | Palet (4000038): 1 adet | Honeycomb (4001186): 3 adet | EN: D23 | Pallet (4000038): 1 pc | Honeycomb (4001186): 3 pcs</t>
        </is>
      </c>
      <c r="F138" s="19" t="n"/>
      <c r="G138" s="19" t="inlineStr">
        <is>
          <t>2</t>
        </is>
      </c>
      <c r="H138" t="inlineStr">
        <is>
          <t>2026-08-08</t>
        </is>
      </c>
      <c r="J138" t="inlineStr">
        <is>
          <t>FINAL_CONFIGURATION_ID=IA-ST-063-EUR-01;SOURCE_CONFIGURATION_ID=IA-ST-CFG-0188;FAMILY=STARTER;PACKAGING_MASS_KG=30.326;EVIDENCE_BASIS=REV00 CURRENT EVIDENCE BASIS — ARTICLE 5 ASSESSMENT BASIS;SOURCE_REF=INCI_AKU_PPWR_Final_Configuration_Register_Rev00_GOLDEN_VARIANTS_FINAL.xlsx!01_FINAL_CONFIG_MASTER!R138</t>
        </is>
      </c>
      <c r="K138" t="inlineStr">
        <is>
          <t>2026-08-10T19:29:54Z</t>
        </is>
      </c>
      <c r="L138" t="inlineStr">
        <is>
          <t>2026-08-10T19:29:54Z</t>
        </is>
      </c>
    </row>
    <row r="139">
      <c r="A139" s="19" t="inlineStr">
        <is>
          <t>138</t>
        </is>
      </c>
      <c r="B139" s="19" t="inlineStr">
        <is>
          <t>ST-063-EUR-02</t>
        </is>
      </c>
      <c r="C139" t="n">
        <v>0</v>
      </c>
      <c r="D139" t="inlineStr">
        <is>
          <t>Starter 63-unit | Euro Pallet 800×1200×152 mm | Variant 02</t>
        </is>
      </c>
      <c r="E139" t="inlineStr">
        <is>
          <t>TR: D23 | Palet (4000038): 1 adet | EPS (4001247): 3 adet | EN: D23 | Pallet (4000038): 1 pc | EPS (4001247): 3 pcs</t>
        </is>
      </c>
      <c r="F139" s="19" t="n"/>
      <c r="G139" s="19" t="inlineStr">
        <is>
          <t>2</t>
        </is>
      </c>
      <c r="H139" t="inlineStr">
        <is>
          <t>2026-08-08</t>
        </is>
      </c>
      <c r="J139" t="inlineStr">
        <is>
          <t>FINAL_CONFIGURATION_ID=IA-ST-063-EUR-02;SOURCE_CONFIGURATION_ID=IA-ST-CFG-0189;FAMILY=STARTER;PACKAGING_MASS_KG=27.506;EVIDENCE_BASIS=REV00 CURRENT EVIDENCE BASIS — ARTICLE 5 ASSESSMENT BASIS;SOURCE_REF=INCI_AKU_PPWR_Final_Configuration_Register_Rev00_GOLDEN_VARIANTS_FINAL.xlsx!01_FINAL_CONFIG_MASTER!R139</t>
        </is>
      </c>
      <c r="K139" t="inlineStr">
        <is>
          <t>2026-08-10T19:29:54Z</t>
        </is>
      </c>
      <c r="L139" t="inlineStr">
        <is>
          <t>2026-08-10T19:29:54Z</t>
        </is>
      </c>
    </row>
    <row r="140">
      <c r="A140" s="19" t="inlineStr">
        <is>
          <t>139</t>
        </is>
      </c>
      <c r="B140" s="19" t="inlineStr">
        <is>
          <t>ST-063-STD-01</t>
        </is>
      </c>
      <c r="C140" t="n">
        <v>0</v>
      </c>
      <c r="D140" t="inlineStr">
        <is>
          <t>Starter 63-unit | Standard Pallet 1030×1110×152 mm | Variant 01</t>
        </is>
      </c>
      <c r="E140" t="inlineStr">
        <is>
          <t>TR: D23 | D23 İnci EFBPANTERA YÜKSEK PENLİ DL dış koli (4001270): 63 adet | EN: D23 | D23 İnci EFBPANTERA YÜKSEK PENLİ DL outer carton (4001270): 63 pcs</t>
        </is>
      </c>
      <c r="F140" s="19" t="n"/>
      <c r="G140" s="19" t="inlineStr">
        <is>
          <t>2</t>
        </is>
      </c>
      <c r="H140" t="inlineStr">
        <is>
          <t>2026-08-08</t>
        </is>
      </c>
      <c r="J140" t="inlineStr">
        <is>
          <t>FINAL_CONFIGURATION_ID=IA-ST-063-STD-01;SOURCE_CONFIGURATION_ID=IA-ST-CFG-0172;FAMILY=STARTER;PACKAGING_MASS_KG=47.40341;EVIDENCE_BASIS=REV00 CURRENT EVIDENCE BASIS — ARTICLE 5 ASSESSMENT BASIS;SOURCE_REF=INCI_AKU_PPWR_Final_Configuration_Register_Rev00_GOLDEN_VARIANTS_FINAL.xlsx!01_FINAL_CONFIG_MASTER!R140</t>
        </is>
      </c>
      <c r="K140" t="inlineStr">
        <is>
          <t>2026-08-10T19:29:54Z</t>
        </is>
      </c>
      <c r="L140" t="inlineStr">
        <is>
          <t>2026-08-10T19:29:54Z</t>
        </is>
      </c>
    </row>
    <row r="141">
      <c r="A141" s="19" t="inlineStr">
        <is>
          <t>140</t>
        </is>
      </c>
      <c r="B141" s="19" t="inlineStr">
        <is>
          <t>ST-063-STD-02</t>
        </is>
      </c>
      <c r="C141" t="n">
        <v>0</v>
      </c>
      <c r="D141" t="inlineStr">
        <is>
          <t>Starter 63-unit | Standard Pallet 1030×1110×152 mm | Variant 02</t>
        </is>
      </c>
      <c r="E141" t="inlineStr">
        <is>
          <t>TR: D26 | Palet (4000037): 1 adet | Separatör (4000130): 1 adet | EPS (4000370): 3 adet | EN: D26 | Pallet (4000037): 1 pc | Separator (4000130): 1 pc | EPS (4000370): 3 pcs</t>
        </is>
      </c>
      <c r="F141" s="19" t="n"/>
      <c r="G141" s="19" t="inlineStr">
        <is>
          <t>2</t>
        </is>
      </c>
      <c r="H141" t="inlineStr">
        <is>
          <t>2026-08-08</t>
        </is>
      </c>
      <c r="J141" t="inlineStr">
        <is>
          <t>FINAL_CONFIGURATION_ID=IA-ST-063-STD-02;SOURCE_CONFIGURATION_ID=IA-ST-CFG-0173;FAMILY=STARTER;PACKAGING_MASS_KG=27.708;EVIDENCE_BASIS=REV00 CURRENT EVIDENCE BASIS — ARTICLE 5 ASSESSMENT BASIS;SOURCE_REF=INCI_AKU_PPWR_Final_Configuration_Register_Rev00_GOLDEN_VARIANTS_FINAL.xlsx!01_FINAL_CONFIG_MASTER!R141</t>
        </is>
      </c>
      <c r="K141" t="inlineStr">
        <is>
          <t>2026-08-10T19:29:54Z</t>
        </is>
      </c>
      <c r="L141" t="inlineStr">
        <is>
          <t>2026-08-10T19:29:54Z</t>
        </is>
      </c>
    </row>
    <row r="142">
      <c r="A142" s="19" t="inlineStr">
        <is>
          <t>141</t>
        </is>
      </c>
      <c r="B142" s="19" t="inlineStr">
        <is>
          <t>ST-063-STD-03</t>
        </is>
      </c>
      <c r="C142" t="n">
        <v>0</v>
      </c>
      <c r="D142" t="inlineStr">
        <is>
          <t>Starter 63-unit | Standard Pallet 1030×1110×152 mm | Variant 03</t>
        </is>
      </c>
      <c r="E142" t="inlineStr">
        <is>
          <t>TR: D26 | Separatör (4000130): 1 adet | D26 PVC üst kapak (4000440): 63 adet | EN: D26 | Separator (4000130): 1 pc | D26 PVC upper cover (4000440): 63 pcs</t>
        </is>
      </c>
      <c r="F142" s="19" t="n"/>
      <c r="G142" s="19" t="inlineStr">
        <is>
          <t>2</t>
        </is>
      </c>
      <c r="H142" t="inlineStr">
        <is>
          <t>2026-08-08</t>
        </is>
      </c>
      <c r="J142" t="inlineStr">
        <is>
          <t>FINAL_CONFIGURATION_ID=IA-ST-063-STD-03;SOURCE_CONFIGURATION_ID=IA-ST-CFG-0174;FAMILY=STARTER;PACKAGING_MASS_KG=33.628;EVIDENCE_BASIS=REV00 CURRENT EVIDENCE BASIS — ARTICLE 5 ASSESSMENT BASIS;SOURCE_REF=INCI_AKU_PPWR_Final_Configuration_Register_Rev00_GOLDEN_VARIANTS_FINAL.xlsx!01_FINAL_CONFIG_MASTER!R142</t>
        </is>
      </c>
      <c r="K142" t="inlineStr">
        <is>
          <t>2026-08-10T19:29:54Z</t>
        </is>
      </c>
      <c r="L142" t="inlineStr">
        <is>
          <t>2026-08-10T19:29:54Z</t>
        </is>
      </c>
    </row>
    <row r="143">
      <c r="A143" s="19" t="inlineStr">
        <is>
          <t>142</t>
        </is>
      </c>
      <c r="B143" s="19" t="inlineStr">
        <is>
          <t>ST-063-STD-04</t>
        </is>
      </c>
      <c r="C143" t="n">
        <v>0</v>
      </c>
      <c r="D143" t="inlineStr">
        <is>
          <t>Starter 63-unit | Standard Pallet 1030×1110×152 mm | Variant 04</t>
        </is>
      </c>
      <c r="E143" t="inlineStr">
        <is>
          <t>TR: D26 | D26 PVC üst kapak (4000440): 63 adet | Köşebent (4000590): 2 adet | EN: D26 | D26 PVC upper cover (4000440): 63 pcs | Edge protector (4000590): 2 pcs</t>
        </is>
      </c>
      <c r="F143" s="19" t="n"/>
      <c r="G143" s="19" t="inlineStr">
        <is>
          <t>2</t>
        </is>
      </c>
      <c r="H143" t="inlineStr">
        <is>
          <t>2026-08-08</t>
        </is>
      </c>
      <c r="J143" t="inlineStr">
        <is>
          <t>FINAL_CONFIGURATION_ID=IA-ST-063-STD-04;SOURCE_CONFIGURATION_ID=IA-ST-CFG-0175;FAMILY=STARTER;PACKAGING_MASS_KG=34.1512;EVIDENCE_BASIS=REV00 CURRENT EVIDENCE BASIS — ARTICLE 5 ASSESSMENT BASIS;SOURCE_REF=INCI_AKU_PPWR_Final_Configuration_Register_Rev00_GOLDEN_VARIANTS_FINAL.xlsx!01_FINAL_CONFIG_MASTER!R143</t>
        </is>
      </c>
      <c r="K143" t="inlineStr">
        <is>
          <t>2026-08-10T19:29:54Z</t>
        </is>
      </c>
      <c r="L143" t="inlineStr">
        <is>
          <t>2026-08-10T19:29:54Z</t>
        </is>
      </c>
    </row>
    <row r="144">
      <c r="A144" s="19" t="inlineStr">
        <is>
          <t>143</t>
        </is>
      </c>
      <c r="B144" s="19" t="inlineStr">
        <is>
          <t>ST-063-STD-05</t>
        </is>
      </c>
      <c r="C144" t="n">
        <v>0</v>
      </c>
      <c r="D144" t="inlineStr">
        <is>
          <t>Starter 63-unit | Standard Pallet 1030×1110×152 mm | Variant 05</t>
        </is>
      </c>
      <c r="E144" t="inlineStr">
        <is>
          <t>TR: D26 | D26 PVC üst kapak (4000440): 63 adet | Çember (4000450): kullanılmaz | EN: D26 | D26 PVC upper cover (4000440): 63 pcs | Strap (4000450): not used</t>
        </is>
      </c>
      <c r="F144" s="19" t="n"/>
      <c r="G144" s="19" t="inlineStr">
        <is>
          <t>2</t>
        </is>
      </c>
      <c r="H144" t="inlineStr">
        <is>
          <t>2026-08-08</t>
        </is>
      </c>
      <c r="J144" t="inlineStr">
        <is>
          <t>FINAL_CONFIGURATION_ID=IA-ST-063-STD-05;SOURCE_CONFIGURATION_ID=IA-ST-CFG-0176;FAMILY=STARTER;PACKAGING_MASS_KG=33.8644;EVIDENCE_BASIS=REV00 CURRENT EVIDENCE BASIS — ARTICLE 5 ASSESSMENT BASIS;SOURCE_REF=INCI_AKU_PPWR_Final_Configuration_Register_Rev00_GOLDEN_VARIANTS_FINAL.xlsx!01_FINAL_CONFIG_MASTER!R144</t>
        </is>
      </c>
      <c r="K144" t="inlineStr">
        <is>
          <t>2026-08-10T19:29:54Z</t>
        </is>
      </c>
      <c r="L144" t="inlineStr">
        <is>
          <t>2026-08-10T19:29:54Z</t>
        </is>
      </c>
    </row>
    <row r="145">
      <c r="A145" s="19" t="inlineStr">
        <is>
          <t>144</t>
        </is>
      </c>
      <c r="B145" s="19" t="inlineStr">
        <is>
          <t>ST-063-STD-06</t>
        </is>
      </c>
      <c r="C145" t="n">
        <v>0</v>
      </c>
      <c r="D145" t="inlineStr">
        <is>
          <t>Starter 63-unit | Standard Pallet 1030×1110×152 mm | Variant 06</t>
        </is>
      </c>
      <c r="E145" t="inlineStr">
        <is>
          <t>TR: L3 | Palet (4000037): 1 adet | Köşebent (4000590): 4 adet | EN: L3 | Pallet (4000037): 1 pc | Edge protector (4000590): 4 pcs</t>
        </is>
      </c>
      <c r="F145" s="19" t="n"/>
      <c r="G145" s="19" t="inlineStr">
        <is>
          <t>2</t>
        </is>
      </c>
      <c r="H145" t="inlineStr">
        <is>
          <t>2026-08-08</t>
        </is>
      </c>
      <c r="J145" t="inlineStr">
        <is>
          <t>FINAL_CONFIGURATION_ID=IA-ST-063-STD-06;SOURCE_CONFIGURATION_ID=IA-ST-CFG-0177;FAMILY=STARTER;PACKAGING_MASS_KG=28.206;EVIDENCE_BASIS=REV00 CURRENT EVIDENCE BASIS — ARTICLE 5 ASSESSMENT BASIS;SOURCE_REF=INCI_AKU_PPWR_Final_Configuration_Register_Rev00_GOLDEN_VARIANTS_FINAL.xlsx!01_FINAL_CONFIG_MASTER!R145</t>
        </is>
      </c>
      <c r="K145" t="inlineStr">
        <is>
          <t>2026-08-10T19:29:54Z</t>
        </is>
      </c>
      <c r="L145" t="inlineStr">
        <is>
          <t>2026-08-10T19:29:54Z</t>
        </is>
      </c>
    </row>
    <row r="146">
      <c r="A146" s="19" t="inlineStr">
        <is>
          <t>145</t>
        </is>
      </c>
      <c r="B146" s="19" t="inlineStr">
        <is>
          <t>ST-063-STD-07</t>
        </is>
      </c>
      <c r="C146" t="n">
        <v>0</v>
      </c>
      <c r="D146" t="inlineStr">
        <is>
          <t>Starter 63-unit | Standard Pallet 1030×1110×152 mm | Variant 07</t>
        </is>
      </c>
      <c r="E146" t="inlineStr">
        <is>
          <t>TR: LB3 | Palet (4000037): 1 adet | Shrink film (4000558): 1.95 kg | Köşebent (4000590): 2 adet | EN: LB3 | Pallet (4000037): 1 pc | Shrink film (4000558): 1.95 kg | Edge protector (4000590): 2 pcs</t>
        </is>
      </c>
      <c r="F146" s="19" t="n"/>
      <c r="G146" s="19" t="inlineStr">
        <is>
          <t>2</t>
        </is>
      </c>
      <c r="H146" t="inlineStr">
        <is>
          <t>2026-08-08</t>
        </is>
      </c>
      <c r="J146" t="inlineStr">
        <is>
          <t>FINAL_CONFIGURATION_ID=IA-ST-063-STD-07;SOURCE_CONFIGURATION_ID=IA-ST-CFG-0178;FAMILY=STARTER;PACKAGING_MASS_KG=29.8692;EVIDENCE_BASIS=REV00 CURRENT EVIDENCE BASIS — ARTICLE 5 ASSESSMENT BASIS;SOURCE_REF=INCI_AKU_PPWR_Final_Configuration_Register_Rev00_GOLDEN_VARIANTS_FINAL.xlsx!01_FINAL_CONFIG_MASTER!R146</t>
        </is>
      </c>
      <c r="K146" t="inlineStr">
        <is>
          <t>2026-08-10T19:29:54Z</t>
        </is>
      </c>
      <c r="L146" t="inlineStr">
        <is>
          <t>2026-08-10T19:29:54Z</t>
        </is>
      </c>
    </row>
    <row r="147">
      <c r="A147" s="19" t="inlineStr">
        <is>
          <t>146</t>
        </is>
      </c>
      <c r="B147" s="19" t="inlineStr">
        <is>
          <t>ST-063-STD-08</t>
        </is>
      </c>
      <c r="C147" t="n">
        <v>0</v>
      </c>
      <c r="D147" t="inlineStr">
        <is>
          <t>Starter 63-unit | Standard Pallet 1030×1110×152 mm | Variant 08</t>
        </is>
      </c>
      <c r="E147" t="inlineStr">
        <is>
          <t>TR: L3 | Palet (4000037): 1 adet | Separatör (4000130): 4 adet | Shrink film (4000558): 2.08 kg | EN: L3 | Pallet (4000037): 1 pc | Separator (4000130): 4 pcs | Shrink film (4000558): 2.08 kg</t>
        </is>
      </c>
      <c r="F147" s="19" t="n"/>
      <c r="G147" s="19" t="inlineStr">
        <is>
          <t>2</t>
        </is>
      </c>
      <c r="H147" t="inlineStr">
        <is>
          <t>2026-08-08</t>
        </is>
      </c>
      <c r="J147" t="inlineStr">
        <is>
          <t>FINAL_CONFIGURATION_ID=IA-ST-063-STD-08;SOURCE_CONFIGURATION_ID=IA-ST-CFG-0179;FAMILY=STARTER;PACKAGING_MASS_KG=29.9992;EVIDENCE_BASIS=REV00 CURRENT EVIDENCE BASIS — ARTICLE 5 ASSESSMENT BASIS;SOURCE_REF=INCI_AKU_PPWR_Final_Configuration_Register_Rev00_GOLDEN_VARIANTS_FINAL.xlsx!01_FINAL_CONFIG_MASTER!R147</t>
        </is>
      </c>
      <c r="K147" t="inlineStr">
        <is>
          <t>2026-08-10T19:29:54Z</t>
        </is>
      </c>
      <c r="L147" t="inlineStr">
        <is>
          <t>2026-08-10T19:29:54Z</t>
        </is>
      </c>
    </row>
    <row r="148">
      <c r="A148" s="19" t="inlineStr">
        <is>
          <t>147</t>
        </is>
      </c>
      <c r="B148" s="19" t="inlineStr">
        <is>
          <t>ST-063-STD-09</t>
        </is>
      </c>
      <c r="C148" t="n">
        <v>0</v>
      </c>
      <c r="D148" t="inlineStr">
        <is>
          <t>Starter 63-unit | Standard Pallet 1030×1110×152 mm | Variant 09</t>
        </is>
      </c>
      <c r="E148" t="inlineStr">
        <is>
          <t>TR: LB3 | Palet (4000037): 1 adet | Shrink film (4000558): kullanılmaz | EN: LB3 | Pallet (4000037): 1 pc | Shrink film (4000558): not used</t>
        </is>
      </c>
      <c r="F148" s="19" t="n"/>
      <c r="G148" s="19" t="inlineStr">
        <is>
          <t>2</t>
        </is>
      </c>
      <c r="H148" t="inlineStr">
        <is>
          <t>2026-08-08</t>
        </is>
      </c>
      <c r="J148" t="inlineStr">
        <is>
          <t>FINAL_CONFIGURATION_ID=IA-ST-063-STD-09;SOURCE_CONFIGURATION_ID=IA-ST-CFG-0180;FAMILY=STARTER;PACKAGING_MASS_KG=27.9192;EVIDENCE_BASIS=REV00 CURRENT EVIDENCE BASIS — ARTICLE 5 ASSESSMENT BASIS;SOURCE_REF=INCI_AKU_PPWR_Final_Configuration_Register_Rev00_GOLDEN_VARIANTS_FINAL.xlsx!01_FINAL_CONFIG_MASTER!R148</t>
        </is>
      </c>
      <c r="K148" t="inlineStr">
        <is>
          <t>2026-08-10T19:29:54Z</t>
        </is>
      </c>
      <c r="L148" t="inlineStr">
        <is>
          <t>2026-08-10T19:29:54Z</t>
        </is>
      </c>
    </row>
    <row r="149">
      <c r="A149" s="19" t="inlineStr">
        <is>
          <t>148</t>
        </is>
      </c>
      <c r="B149" s="19" t="inlineStr">
        <is>
          <t>ST-063-STD-10</t>
        </is>
      </c>
      <c r="C149" t="n">
        <v>0</v>
      </c>
      <c r="D149" t="inlineStr">
        <is>
          <t>Starter 63-unit | Standard Pallet 1030×1110×152 mm | Variant 10</t>
        </is>
      </c>
      <c r="E149" t="inlineStr">
        <is>
          <t>TR: LB3 | Palet (4000037): 1 adet | Köşebent (4000590): kullanılmaz | EN: LB3 | Pallet (4000037): 1 pc | Edge protector (4000590): not used</t>
        </is>
      </c>
      <c r="F149" s="19" t="n"/>
      <c r="G149" s="19" t="inlineStr">
        <is>
          <t>2</t>
        </is>
      </c>
      <c r="H149" t="inlineStr">
        <is>
          <t>2026-08-08</t>
        </is>
      </c>
      <c r="J149" t="inlineStr">
        <is>
          <t>FINAL_CONFIGURATION_ID=IA-ST-063-STD-10;SOURCE_CONFIGURATION_ID=IA-ST-CFG-0181;FAMILY=STARTER;PACKAGING_MASS_KG=29.5824;EVIDENCE_BASIS=REV00 CURRENT EVIDENCE BASIS — ARTICLE 5 ASSESSMENT BASIS;SOURCE_REF=INCI_AKU_PPWR_Final_Configuration_Register_Rev00_GOLDEN_VARIANTS_FINAL.xlsx!01_FINAL_CONFIG_MASTER!R149</t>
        </is>
      </c>
      <c r="K149" t="inlineStr">
        <is>
          <t>2026-08-10T19:29:54Z</t>
        </is>
      </c>
      <c r="L149" t="inlineStr">
        <is>
          <t>2026-08-10T19:29:54Z</t>
        </is>
      </c>
    </row>
    <row r="150">
      <c r="A150" s="19" t="inlineStr">
        <is>
          <t>149</t>
        </is>
      </c>
      <c r="B150" s="19" t="inlineStr">
        <is>
          <t>ST-063-STD-11</t>
        </is>
      </c>
      <c r="C150" t="n">
        <v>0</v>
      </c>
      <c r="D150" t="inlineStr">
        <is>
          <t>Starter 63-unit | Standard Pallet 1030×1110×152 mm | Variant 11</t>
        </is>
      </c>
      <c r="E150" t="inlineStr">
        <is>
          <t>TR: L3, LB3 | Palet (4000037): 1 adet | Shrink film (4000558): 2.08 kg | EN: L3, LB3 | Pallet (4000037): 1 pc | Shrink film (4000558): 2.08 kg</t>
        </is>
      </c>
      <c r="F150" s="19" t="n"/>
      <c r="G150" s="19" t="inlineStr">
        <is>
          <t>2</t>
        </is>
      </c>
      <c r="H150" t="inlineStr">
        <is>
          <t>2026-08-08</t>
        </is>
      </c>
      <c r="J150" t="inlineStr">
        <is>
          <t>FINAL_CONFIGURATION_ID=IA-ST-063-STD-11;SOURCE_CONFIGURATION_ID=IA-ST-CFG-0182;FAMILY=STARTER;PACKAGING_MASS_KG=29.7124;EVIDENCE_BASIS=REV00 CURRENT EVIDENCE BASIS — ARTICLE 5 ASSESSMENT BASIS;SOURCE_REF=INCI_AKU_PPWR_Final_Configuration_Register_Rev00_GOLDEN_VARIANTS_FINAL.xlsx!01_FINAL_CONFIG_MASTER!R150</t>
        </is>
      </c>
      <c r="K150" t="inlineStr">
        <is>
          <t>2026-08-10T19:29:54Z</t>
        </is>
      </c>
      <c r="L150" t="inlineStr">
        <is>
          <t>2026-08-10T19:29:54Z</t>
        </is>
      </c>
    </row>
    <row r="151">
      <c r="A151" s="19" t="inlineStr">
        <is>
          <t>150</t>
        </is>
      </c>
      <c r="B151" s="19" t="inlineStr">
        <is>
          <t>ST-063-STD-12</t>
        </is>
      </c>
      <c r="C151" t="n">
        <v>0</v>
      </c>
      <c r="D151" t="inlineStr">
        <is>
          <t>Starter 63-unit | Standard Pallet 1030×1110×152 mm | Variant 12</t>
        </is>
      </c>
      <c r="E151" t="inlineStr">
        <is>
          <t>TR: D26 | Palet (4000037): 1 adet | Shrink film (4001177): 0.597 kg | EN: D26 | Pallet (4000037): 1 pc | Shrink film (4001177): 0.597 kg</t>
        </is>
      </c>
      <c r="F151" s="19" t="n"/>
      <c r="G151" s="19" t="inlineStr">
        <is>
          <t>2</t>
        </is>
      </c>
      <c r="H151" t="inlineStr">
        <is>
          <t>2026-08-08</t>
        </is>
      </c>
      <c r="J151" t="inlineStr">
        <is>
          <t>FINAL_CONFIGURATION_ID=IA-ST-063-STD-12;SOURCE_CONFIGURATION_ID=IA-ST-CFG-0183;FAMILY=STARTER;PACKAGING_MASS_KG=28.649;EVIDENCE_BASIS=REV00 CURRENT EVIDENCE BASIS — ARTICLE 5 ASSESSMENT BASIS;SOURCE_REF=INCI_AKU_PPWR_Final_Configuration_Register_Rev00_GOLDEN_VARIANTS_FINAL.xlsx!01_FINAL_CONFIG_MASTER!R151</t>
        </is>
      </c>
      <c r="K151" t="inlineStr">
        <is>
          <t>2026-08-10T19:29:54Z</t>
        </is>
      </c>
      <c r="L151" t="inlineStr">
        <is>
          <t>2026-08-10T19:29:54Z</t>
        </is>
      </c>
    </row>
    <row r="152">
      <c r="A152" s="19" t="inlineStr">
        <is>
          <t>151</t>
        </is>
      </c>
      <c r="B152" s="19" t="inlineStr">
        <is>
          <t>ST-063-STD-13</t>
        </is>
      </c>
      <c r="C152" t="n">
        <v>0</v>
      </c>
      <c r="D152" t="inlineStr">
        <is>
          <t>Starter 63-unit | Standard Pallet 1030×1110×152 mm | Variant 13</t>
        </is>
      </c>
      <c r="E152" t="inlineStr">
        <is>
          <t>TR: L3 | Palet (4000037): 1 adet | Shrink film (4001177): 0.597 kg | EN: L3 | Pallet (4000037): 1 pc | Shrink film (4001177): 0.597 kg</t>
        </is>
      </c>
      <c r="F152" s="19" t="n"/>
      <c r="G152" s="19" t="inlineStr">
        <is>
          <t>2</t>
        </is>
      </c>
      <c r="H152" t="inlineStr">
        <is>
          <t>2026-08-08</t>
        </is>
      </c>
      <c r="J152" t="inlineStr">
        <is>
          <t>FINAL_CONFIGURATION_ID=IA-ST-063-STD-13;SOURCE_CONFIGURATION_ID=IA-ST-CFG-0184;FAMILY=STARTER;PACKAGING_MASS_KG=28.417;EVIDENCE_BASIS=REV00 CURRENT EVIDENCE BASIS — ARTICLE 5 ASSESSMENT BASIS;SOURCE_REF=INCI_AKU_PPWR_Final_Configuration_Register_Rev00_GOLDEN_VARIANTS_FINAL.xlsx!01_FINAL_CONFIG_MASTER!R152</t>
        </is>
      </c>
      <c r="K152" t="inlineStr">
        <is>
          <t>2026-08-10T19:29:54Z</t>
        </is>
      </c>
      <c r="L152" t="inlineStr">
        <is>
          <t>2026-08-10T19:29:54Z</t>
        </is>
      </c>
    </row>
    <row r="153">
      <c r="A153" s="19" t="inlineStr">
        <is>
          <t>152</t>
        </is>
      </c>
      <c r="B153" s="19" t="inlineStr">
        <is>
          <t>ST-063-STD-14</t>
        </is>
      </c>
      <c r="C153" t="n">
        <v>0</v>
      </c>
      <c r="D153" t="inlineStr">
        <is>
          <t>Starter 63-unit | Standard Pallet 1030×1110×152 mm | Variant 14</t>
        </is>
      </c>
      <c r="E153" t="inlineStr">
        <is>
          <t>TR: LB3, L3 | Palet (4000037): 1 adet | Shrink film (4001177): 0.597 kg | EN: LB3, L3 | Pallet (4000037): 1 pc | Shrink film (4001177): 0.597 kg</t>
        </is>
      </c>
      <c r="F153" s="19" t="n"/>
      <c r="G153" s="19" t="inlineStr">
        <is>
          <t>2</t>
        </is>
      </c>
      <c r="H153" t="inlineStr">
        <is>
          <t>2026-08-08</t>
        </is>
      </c>
      <c r="J153" t="inlineStr">
        <is>
          <t>FINAL_CONFIGURATION_ID=IA-ST-063-STD-14;SOURCE_CONFIGURATION_ID=IA-ST-CFG-0185;FAMILY=STARTER;PACKAGING_MASS_KG=28.617;EVIDENCE_BASIS=REV00 CURRENT EVIDENCE BASIS — ARTICLE 5 ASSESSMENT BASIS;SOURCE_REF=INCI_AKU_PPWR_Final_Configuration_Register_Rev00_GOLDEN_VARIANTS_FINAL.xlsx!01_FINAL_CONFIG_MASTER!R153</t>
        </is>
      </c>
      <c r="K153" t="inlineStr">
        <is>
          <t>2026-08-10T19:29:54Z</t>
        </is>
      </c>
      <c r="L153" t="inlineStr">
        <is>
          <t>2026-08-10T19:29:54Z</t>
        </is>
      </c>
    </row>
    <row r="154">
      <c r="A154" s="19" t="inlineStr">
        <is>
          <t>153</t>
        </is>
      </c>
      <c r="B154" s="19" t="inlineStr">
        <is>
          <t>ST-063-STD-15</t>
        </is>
      </c>
      <c r="C154" t="n">
        <v>0</v>
      </c>
      <c r="D154" t="inlineStr">
        <is>
          <t>Starter 63-unit | Standard Pallet 1030×1110×152 mm | Variant 15</t>
        </is>
      </c>
      <c r="E154" t="inlineStr">
        <is>
          <t>TR: L3 | Palet (4000037): 1 adet | Separatör (4000130): 5 adet | EN: L3 | Pallet (4000037): 1 pc | Separator (4000130): 5 pcs</t>
        </is>
      </c>
      <c r="F154" s="19" t="n"/>
      <c r="G154" s="19" t="inlineStr">
        <is>
          <t>2</t>
        </is>
      </c>
      <c r="H154" t="inlineStr">
        <is>
          <t>2026-08-08</t>
        </is>
      </c>
      <c r="J154" t="inlineStr">
        <is>
          <t>FINAL_CONFIGURATION_ID=IA-ST-063-STD-15;SOURCE_CONFIGURATION_ID=IA-ST-CFG-0186;FAMILY=STARTER;PACKAGING_MASS_KG=30.2692;EVIDENCE_BASIS=REV00 CURRENT EVIDENCE BASIS — ARTICLE 5 ASSESSMENT BASIS;SOURCE_REF=INCI_AKU_PPWR_Final_Configuration_Register_Rev00_GOLDEN_VARIANTS_FINAL.xlsx!01_FINAL_CONFIG_MASTER!R154</t>
        </is>
      </c>
      <c r="K154" t="inlineStr">
        <is>
          <t>2026-08-10T19:29:54Z</t>
        </is>
      </c>
      <c r="L154" t="inlineStr">
        <is>
          <t>2026-08-10T19:29:54Z</t>
        </is>
      </c>
    </row>
    <row r="155">
      <c r="A155" s="19" t="inlineStr">
        <is>
          <t>154</t>
        </is>
      </c>
      <c r="B155" s="19" t="inlineStr">
        <is>
          <t>ST-064-EUR-01</t>
        </is>
      </c>
      <c r="C155" t="n">
        <v>0</v>
      </c>
      <c r="D155" t="inlineStr">
        <is>
          <t>Starter 64-unit | Euro Pallet 800×1200×152 mm | Variant 01</t>
        </is>
      </c>
      <c r="E155" t="inlineStr">
        <is>
          <t>TR: L3 | L3 İnci AGM LEO 70AH 760A pencereli dış koli (4001237): 64 adet | EN: L3 | L3 İnci AGM LEO 70AH 760A windowed outer carton (4001237): 64 pcs</t>
        </is>
      </c>
      <c r="F155" s="19" t="n"/>
      <c r="G155" s="19" t="inlineStr">
        <is>
          <t>2</t>
        </is>
      </c>
      <c r="H155" t="inlineStr">
        <is>
          <t>2026-08-08</t>
        </is>
      </c>
      <c r="J155" t="inlineStr">
        <is>
          <t>FINAL_CONFIGURATION_ID=IA-ST-064-EUR-01;SOURCE_CONFIGURATION_ID=IA-ST-CFG-0190;FAMILY=STARTER;PACKAGING_MASS_KG=44.8124;EVIDENCE_BASIS=REV00 CURRENT EVIDENCE BASIS — ARTICLE 5 ASSESSMENT BASIS;SOURCE_REF=INCI_AKU_PPWR_Final_Configuration_Register_Rev00_GOLDEN_VARIANTS_FINAL.xlsx!01_FINAL_CONFIG_MASTER!R155</t>
        </is>
      </c>
      <c r="K155" t="inlineStr">
        <is>
          <t>2026-08-10T19:29:54Z</t>
        </is>
      </c>
      <c r="L155" t="inlineStr">
        <is>
          <t>2026-08-10T19:29:54Z</t>
        </is>
      </c>
    </row>
    <row r="156">
      <c r="A156" s="19" t="inlineStr">
        <is>
          <t>155</t>
        </is>
      </c>
      <c r="B156" s="19" t="inlineStr">
        <is>
          <t>ST-066-STD-01</t>
        </is>
      </c>
      <c r="C156" t="n">
        <v>0</v>
      </c>
      <c r="D156" t="inlineStr">
        <is>
          <t>Starter 66-unit | Standard Pallet 1030×1110×152 mm | Variant 01</t>
        </is>
      </c>
      <c r="E156" t="inlineStr">
        <is>
          <t>TR: L2 | L2 YUASA penceresiz Orta Doğu dış koli (4001102): 66 adet | EN: L2 | L2 YUASA windowless Middle East outer carton (4001102): 66 pcs</t>
        </is>
      </c>
      <c r="F156" s="19" t="n"/>
      <c r="G156" s="19" t="inlineStr">
        <is>
          <t>2</t>
        </is>
      </c>
      <c r="H156" t="inlineStr">
        <is>
          <t>2026-08-08</t>
        </is>
      </c>
      <c r="J156" t="inlineStr">
        <is>
          <t>FINAL_CONFIGURATION_ID=IA-ST-066-STD-01;SOURCE_CONFIGURATION_ID=IA-ST-CFG-0191;FAMILY=STARTER;PACKAGING_MASS_KG=44.906;EVIDENCE_BASIS=REV00 CURRENT EVIDENCE BASIS — ARTICLE 5 ASSESSMENT BASIS;SOURCE_REF=INCI_AKU_PPWR_Final_Configuration_Register_Rev00_GOLDEN_VARIANTS_FINAL.xlsx!01_FINAL_CONFIG_MASTER!R156</t>
        </is>
      </c>
      <c r="K156" t="inlineStr">
        <is>
          <t>2026-08-10T19:29:54Z</t>
        </is>
      </c>
      <c r="L156" t="inlineStr">
        <is>
          <t>2026-08-10T19:29:54Z</t>
        </is>
      </c>
    </row>
    <row r="157">
      <c r="A157" s="19" t="inlineStr">
        <is>
          <t>156</t>
        </is>
      </c>
      <c r="B157" s="19" t="inlineStr">
        <is>
          <t>ST-066-STD-02</t>
        </is>
      </c>
      <c r="C157" t="n">
        <v>0</v>
      </c>
      <c r="D157" t="inlineStr">
        <is>
          <t>Starter 66-unit | Standard Pallet 1030×1110×152 mm | Variant 02</t>
        </is>
      </c>
      <c r="E157" t="inlineStr">
        <is>
          <t>TR: L2 | L2 İnci AGM LEO 60AH 680A pencereli dış koli (4001340): 66 adet | EN: L2 | L2 İnci AGM LEO 60AH 680A windowed outer carton (4001340): 66 pcs</t>
        </is>
      </c>
      <c r="F157" s="19" t="n"/>
      <c r="G157" s="19" t="inlineStr">
        <is>
          <t>2</t>
        </is>
      </c>
      <c r="H157" t="inlineStr">
        <is>
          <t>2026-08-08</t>
        </is>
      </c>
      <c r="J157" t="inlineStr">
        <is>
          <t>FINAL_CONFIGURATION_ID=IA-ST-066-STD-02;SOURCE_CONFIGURATION_ID=IA-ST-CFG-0192;FAMILY=STARTER;PACKAGING_MASS_KG=45.326;EVIDENCE_BASIS=REV00 CURRENT EVIDENCE BASIS — ARTICLE 5 ASSESSMENT BASIS;SOURCE_REF=INCI_AKU_PPWR_Final_Configuration_Register_Rev00_GOLDEN_VARIANTS_FINAL.xlsx!01_FINAL_CONFIG_MASTER!R157</t>
        </is>
      </c>
      <c r="K157" t="inlineStr">
        <is>
          <t>2026-08-10T19:29:54Z</t>
        </is>
      </c>
      <c r="L157" t="inlineStr">
        <is>
          <t>2026-08-10T19:29:54Z</t>
        </is>
      </c>
    </row>
    <row r="158">
      <c r="A158" s="19" t="inlineStr">
        <is>
          <t>157</t>
        </is>
      </c>
      <c r="B158" s="19" t="inlineStr">
        <is>
          <t>ST-066-STD-03</t>
        </is>
      </c>
      <c r="C158" t="n">
        <v>0</v>
      </c>
      <c r="D158" t="inlineStr">
        <is>
          <t>Starter 66-unit | Standard Pallet 1030×1110×152 mm | Variant 03</t>
        </is>
      </c>
      <c r="E158" t="inlineStr">
        <is>
          <t>TR: L2 | L2 EAS AGM S&amp;S 60AH 680A pencereli dış koli (4001395): 66 adet | EN: L2 | L2 EAS AGM S&amp;S 60AH 680A windowed outer carton (4001395): 66 pcs</t>
        </is>
      </c>
      <c r="F158" s="19" t="n"/>
      <c r="G158" s="19" t="inlineStr">
        <is>
          <t>2</t>
        </is>
      </c>
      <c r="H158" t="inlineStr">
        <is>
          <t>2026-08-08</t>
        </is>
      </c>
      <c r="J158" t="inlineStr">
        <is>
          <t>FINAL_CONFIGURATION_ID=IA-ST-066-STD-03;SOURCE_CONFIGURATION_ID=IA-ST-CFG-0193;FAMILY=STARTER;PACKAGING_MASS_KG=45.326;EVIDENCE_BASIS=REV00 CURRENT EVIDENCE BASIS — ARTICLE 5 ASSESSMENT BASIS;SOURCE_REF=INCI_AKU_PPWR_Final_Configuration_Register_Rev00_GOLDEN_VARIANTS_FINAL.xlsx!01_FINAL_CONFIG_MASTER!R158</t>
        </is>
      </c>
      <c r="K158" t="inlineStr">
        <is>
          <t>2026-08-10T19:29:54Z</t>
        </is>
      </c>
      <c r="L158" t="inlineStr">
        <is>
          <t>2026-08-10T19:29:54Z</t>
        </is>
      </c>
    </row>
    <row r="159">
      <c r="A159" s="19" t="inlineStr">
        <is>
          <t>158</t>
        </is>
      </c>
      <c r="B159" s="19" t="inlineStr">
        <is>
          <t>ST-068-EUR-01</t>
        </is>
      </c>
      <c r="C159" t="n">
        <v>0</v>
      </c>
      <c r="D159" t="inlineStr">
        <is>
          <t>Starter 68-unit | Euro Pallet 800×1200×152 mm | Variant 01</t>
        </is>
      </c>
      <c r="E159" t="inlineStr">
        <is>
          <t>TR: L3, LB3 | Palet (4000038): 1 adet | Köşebent (4000590): 4 adet | EN: L3, LB3 | Pallet (4000038): 1 pc | Edge protector (4000590): 4 pcs</t>
        </is>
      </c>
      <c r="F159" s="19" t="n"/>
      <c r="G159" s="19" t="inlineStr">
        <is>
          <t>2</t>
        </is>
      </c>
      <c r="H159" t="inlineStr">
        <is>
          <t>2026-08-08</t>
        </is>
      </c>
      <c r="J159" t="inlineStr">
        <is>
          <t>FINAL_CONFIGURATION_ID=IA-ST-068-EUR-01;SOURCE_CONFIGURATION_ID=IA-ST-CFG-0198;FAMILY=STARTER;PACKAGING_MASS_KG=28.126;EVIDENCE_BASIS=REV00 CURRENT EVIDENCE BASIS — ARTICLE 5 ASSESSMENT BASIS;SOURCE_REF=INCI_AKU_PPWR_Final_Configuration_Register_Rev00_GOLDEN_VARIANTS_FINAL.xlsx!01_FINAL_CONFIG_MASTER!R159</t>
        </is>
      </c>
      <c r="K159" t="inlineStr">
        <is>
          <t>2026-08-10T19:29:54Z</t>
        </is>
      </c>
      <c r="L159" t="inlineStr">
        <is>
          <t>2026-08-10T19:29:54Z</t>
        </is>
      </c>
    </row>
    <row r="160">
      <c r="A160" s="19" t="inlineStr">
        <is>
          <t>159</t>
        </is>
      </c>
      <c r="B160" s="19" t="inlineStr">
        <is>
          <t>ST-068-EUR-02</t>
        </is>
      </c>
      <c r="C160" t="n">
        <v>0</v>
      </c>
      <c r="D160" t="inlineStr">
        <is>
          <t>Starter 68-unit | Euro Pallet 800×1200×152 mm | Variant 02</t>
        </is>
      </c>
      <c r="E160" t="inlineStr">
        <is>
          <t>TR: LB3 | Palet (4000038): 1 adet | Shrink film (4000558): 2.105 kg | EN: LB3 | Pallet (4000038): 1 pc | Shrink film (4000558): 2.105 kg</t>
        </is>
      </c>
      <c r="F160" s="19" t="n"/>
      <c r="G160" s="19" t="inlineStr">
        <is>
          <t>2</t>
        </is>
      </c>
      <c r="H160" t="inlineStr">
        <is>
          <t>2026-08-08</t>
        </is>
      </c>
      <c r="J160" t="inlineStr">
        <is>
          <t>FINAL_CONFIGURATION_ID=IA-ST-068-EUR-02;SOURCE_CONFIGURATION_ID=IA-ST-CFG-0199;FAMILY=STARTER;PACKAGING_MASS_KG=29.9442;EVIDENCE_BASIS=REV00 CURRENT EVIDENCE BASIS — ARTICLE 5 ASSESSMENT BASIS;SOURCE_REF=INCI_AKU_PPWR_Final_Configuration_Register_Rev00_GOLDEN_VARIANTS_FINAL.xlsx!01_FINAL_CONFIG_MASTER!R160</t>
        </is>
      </c>
      <c r="K160" t="inlineStr">
        <is>
          <t>2026-08-10T19:29:54Z</t>
        </is>
      </c>
      <c r="L160" t="inlineStr">
        <is>
          <t>2026-08-10T19:29:54Z</t>
        </is>
      </c>
    </row>
    <row r="161">
      <c r="A161" s="19" t="inlineStr">
        <is>
          <t>160</t>
        </is>
      </c>
      <c r="B161" s="19" t="inlineStr">
        <is>
          <t>ST-068-EUR-03</t>
        </is>
      </c>
      <c r="C161" t="n">
        <v>0</v>
      </c>
      <c r="D161" t="inlineStr">
        <is>
          <t>Starter 68-unit | Euro Pallet 800×1200×152 mm | Variant 03</t>
        </is>
      </c>
      <c r="E161" t="inlineStr">
        <is>
          <t>TR: L3 | Palet (4000038): 1 adet | Shrink film (4000558): 2.245 kg | EN: L3 | Pallet (4000038): 1 pc | Shrink film (4000558): 2.245 kg</t>
        </is>
      </c>
      <c r="F161" s="19" t="n"/>
      <c r="G161" s="19" t="inlineStr">
        <is>
          <t>2</t>
        </is>
      </c>
      <c r="H161" t="inlineStr">
        <is>
          <t>2026-08-08</t>
        </is>
      </c>
      <c r="J161" t="inlineStr">
        <is>
          <t>FINAL_CONFIGURATION_ID=IA-ST-068-EUR-03;SOURCE_CONFIGURATION_ID=IA-ST-CFG-0200;FAMILY=STARTER;PACKAGING_MASS_KG=30.0842;EVIDENCE_BASIS=REV00 CURRENT EVIDENCE BASIS — ARTICLE 5 ASSESSMENT BASIS;SOURCE_REF=INCI_AKU_PPWR_Final_Configuration_Register_Rev00_GOLDEN_VARIANTS_FINAL.xlsx!01_FINAL_CONFIG_MASTER!R161</t>
        </is>
      </c>
      <c r="K161" t="inlineStr">
        <is>
          <t>2026-08-10T19:29:54Z</t>
        </is>
      </c>
      <c r="L161" t="inlineStr">
        <is>
          <t>2026-08-10T19:29:54Z</t>
        </is>
      </c>
    </row>
    <row r="162">
      <c r="A162" s="19" t="inlineStr">
        <is>
          <t>161</t>
        </is>
      </c>
      <c r="B162" s="19" t="inlineStr">
        <is>
          <t>ST-068-EUR-04</t>
        </is>
      </c>
      <c r="C162" t="n">
        <v>0</v>
      </c>
      <c r="D162" t="inlineStr">
        <is>
          <t>Starter 68-unit | Euro Pallet 800×1200×152 mm | Variant 04</t>
        </is>
      </c>
      <c r="E162" t="inlineStr">
        <is>
          <t>TR: LB3, L3 | Palet (4000038): 1 adet | Köşebent (4000590): 2 adet | EN: LB3, L3 | Pallet (4000038): 1 pc | Edge protector (4000590): 2 pcs</t>
        </is>
      </c>
      <c r="F162" s="19" t="n"/>
      <c r="G162" s="19" t="inlineStr">
        <is>
          <t>2</t>
        </is>
      </c>
      <c r="H162" t="inlineStr">
        <is>
          <t>2026-08-08</t>
        </is>
      </c>
      <c r="J162" t="inlineStr">
        <is>
          <t>FINAL_CONFIGURATION_ID=IA-ST-068-EUR-04;SOURCE_CONFIGURATION_ID=IA-ST-CFG-0201;FAMILY=STARTER;PACKAGING_MASS_KG=27.8392;EVIDENCE_BASIS=REV00 CURRENT EVIDENCE BASIS — ARTICLE 5 ASSESSMENT BASIS;SOURCE_REF=INCI_AKU_PPWR_Final_Configuration_Register_Rev00_GOLDEN_VARIANTS_FINAL.xlsx!01_FINAL_CONFIG_MASTER!R162</t>
        </is>
      </c>
      <c r="K162" t="inlineStr">
        <is>
          <t>2026-08-10T19:29:54Z</t>
        </is>
      </c>
      <c r="L162" t="inlineStr">
        <is>
          <t>2026-08-10T19:29:54Z</t>
        </is>
      </c>
    </row>
    <row r="163">
      <c r="A163" s="19" t="inlineStr">
        <is>
          <t>162</t>
        </is>
      </c>
      <c r="B163" s="19" t="inlineStr">
        <is>
          <t>ST-068-STD-01</t>
        </is>
      </c>
      <c r="C163" t="n">
        <v>0</v>
      </c>
      <c r="D163" t="inlineStr">
        <is>
          <t>Starter 68-unit | Standard Pallet 1030×1110×152 mm | Variant 01</t>
        </is>
      </c>
      <c r="E163" t="inlineStr">
        <is>
          <t>TR: LB4 | LB4 YUASA penceresiz Orta Doğu dış koli (4001104): 68 adet | EN: LB4 | LB4 YUASA windowless Middle East outer carton (4001104): 68 pcs</t>
        </is>
      </c>
      <c r="F163" s="19" t="n"/>
      <c r="G163" s="19" t="inlineStr">
        <is>
          <t>2</t>
        </is>
      </c>
      <c r="H163" t="inlineStr">
        <is>
          <t>2026-08-08</t>
        </is>
      </c>
      <c r="J163" t="inlineStr">
        <is>
          <t>FINAL_CONFIGURATION_ID=IA-ST-068-STD-01;SOURCE_CONFIGURATION_ID=IA-ST-CFG-0194;FAMILY=STARTER;PACKAGING_MASS_KG=47.696;EVIDENCE_BASIS=REV00 CURRENT EVIDENCE BASIS — ARTICLE 5 ASSESSMENT BASIS;SOURCE_REF=INCI_AKU_PPWR_Final_Configuration_Register_Rev00_GOLDEN_VARIANTS_FINAL.xlsx!01_FINAL_CONFIG_MASTER!R163</t>
        </is>
      </c>
      <c r="K163" t="inlineStr">
        <is>
          <t>2026-08-10T19:29:54Z</t>
        </is>
      </c>
      <c r="L163" t="inlineStr">
        <is>
          <t>2026-08-10T19:29:54Z</t>
        </is>
      </c>
    </row>
    <row r="164">
      <c r="A164" s="19" t="inlineStr">
        <is>
          <t>163</t>
        </is>
      </c>
      <c r="B164" s="19" t="inlineStr">
        <is>
          <t>ST-068-STD-02</t>
        </is>
      </c>
      <c r="C164" t="n">
        <v>0</v>
      </c>
      <c r="D164" t="inlineStr">
        <is>
          <t>Starter 68-unit | Standard Pallet 1030×1110×152 mm | Variant 02</t>
        </is>
      </c>
      <c r="E164" t="inlineStr">
        <is>
          <t>TR: L4 | L4 İnci EFB MAX TIGRIS pencereli 2020 dış koli (4001275): 68 adet | EN: L4 | L4 İnci EFB MAX TIGRIS windowed 2020 outer carton (4001275): 68 pcs</t>
        </is>
      </c>
      <c r="F164" s="19" t="n"/>
      <c r="G164" s="19" t="inlineStr">
        <is>
          <t>2</t>
        </is>
      </c>
      <c r="H164" t="inlineStr">
        <is>
          <t>2026-08-08</t>
        </is>
      </c>
      <c r="J164" t="inlineStr">
        <is>
          <t>FINAL_CONFIGURATION_ID=IA-ST-068-STD-02;SOURCE_CONFIGURATION_ID=IA-ST-CFG-0195;FAMILY=STARTER;PACKAGING_MASS_KG=47.696;EVIDENCE_BASIS=REV00 CURRENT EVIDENCE BASIS — ARTICLE 5 ASSESSMENT BASIS;SOURCE_REF=INCI_AKU_PPWR_Final_Configuration_Register_Rev00_GOLDEN_VARIANTS_FINAL.xlsx!01_FINAL_CONFIG_MASTER!R164</t>
        </is>
      </c>
      <c r="K164" t="inlineStr">
        <is>
          <t>2026-08-10T19:29:54Z</t>
        </is>
      </c>
      <c r="L164" t="inlineStr">
        <is>
          <t>2026-08-10T19:29:54Z</t>
        </is>
      </c>
    </row>
    <row r="165">
      <c r="A165" s="19" t="inlineStr">
        <is>
          <t>164</t>
        </is>
      </c>
      <c r="B165" s="19" t="inlineStr">
        <is>
          <t>ST-068-STD-03</t>
        </is>
      </c>
      <c r="C165" t="n">
        <v>0</v>
      </c>
      <c r="D165" t="inlineStr">
        <is>
          <t>Starter 68-unit | Standard Pallet 1030×1110×152 mm | Variant 03</t>
        </is>
      </c>
      <c r="E165" t="inlineStr">
        <is>
          <t>TR: LB4 | LB4 İnci EFB PANTERA pencereli DL dış koli (4001316): 68 adet | EN: LB4 | LB4 İnci EFB PANTERA windowed DL outer carton (4001316): 68 pcs</t>
        </is>
      </c>
      <c r="F165" s="19" t="n"/>
      <c r="G165" s="19" t="inlineStr">
        <is>
          <t>2</t>
        </is>
      </c>
      <c r="H165" t="inlineStr">
        <is>
          <t>2026-08-08</t>
        </is>
      </c>
      <c r="J165" t="inlineStr">
        <is>
          <t>FINAL_CONFIGURATION_ID=IA-ST-068-STD-03;SOURCE_CONFIGURATION_ID=IA-ST-CFG-0196;FAMILY=STARTER;PACKAGING_MASS_KG=47.696;EVIDENCE_BASIS=REV00 CURRENT EVIDENCE BASIS — ARTICLE 5 ASSESSMENT BASIS;SOURCE_REF=INCI_AKU_PPWR_Final_Configuration_Register_Rev00_GOLDEN_VARIANTS_FINAL.xlsx!01_FINAL_CONFIG_MASTER!R165</t>
        </is>
      </c>
      <c r="K165" t="inlineStr">
        <is>
          <t>2026-08-10T19:29:54Z</t>
        </is>
      </c>
      <c r="L165" t="inlineStr">
        <is>
          <t>2026-08-10T19:29:54Z</t>
        </is>
      </c>
    </row>
    <row r="166">
      <c r="A166" s="19" t="inlineStr">
        <is>
          <t>165</t>
        </is>
      </c>
      <c r="B166" s="19" t="inlineStr">
        <is>
          <t>ST-068-STD-04</t>
        </is>
      </c>
      <c r="C166" t="n">
        <v>0</v>
      </c>
      <c r="D166" t="inlineStr">
        <is>
          <t>Starter 68-unit | Standard Pallet 1030×1110×152 mm | Variant 04</t>
        </is>
      </c>
      <c r="E166" t="inlineStr">
        <is>
          <t>TR: L4 | L4 İnci EFB PANTERA pencereli DL dış koli (4001318): 68 adet | EN: L4 | L4 İnci EFB PANTERA windowed DL outer carton (4001318): 68 pcs</t>
        </is>
      </c>
      <c r="F166" s="19" t="n"/>
      <c r="G166" s="19" t="inlineStr">
        <is>
          <t>2</t>
        </is>
      </c>
      <c r="H166" t="inlineStr">
        <is>
          <t>2026-08-08</t>
        </is>
      </c>
      <c r="J166" t="inlineStr">
        <is>
          <t>FINAL_CONFIGURATION_ID=IA-ST-068-STD-04;SOURCE_CONFIGURATION_ID=IA-ST-CFG-0197;FAMILY=STARTER;PACKAGING_MASS_KG=47.696;EVIDENCE_BASIS=REV00 CURRENT EVIDENCE BASIS — ARTICLE 5 ASSESSMENT BASIS;SOURCE_REF=INCI_AKU_PPWR_Final_Configuration_Register_Rev00_GOLDEN_VARIANTS_FINAL.xlsx!01_FINAL_CONFIG_MASTER!R166</t>
        </is>
      </c>
      <c r="K166" t="inlineStr">
        <is>
          <t>2026-08-10T19:29:54Z</t>
        </is>
      </c>
      <c r="L166" t="inlineStr">
        <is>
          <t>2026-08-10T19:29:54Z</t>
        </is>
      </c>
    </row>
    <row r="167">
      <c r="A167" s="19" t="inlineStr">
        <is>
          <t>166</t>
        </is>
      </c>
      <c r="B167" s="19" t="inlineStr">
        <is>
          <t>ST-072-EUR-01</t>
        </is>
      </c>
      <c r="C167" t="n">
        <v>0</v>
      </c>
      <c r="D167" t="inlineStr">
        <is>
          <t>Starter 72-unit | Euro Pallet 800×1200×152 mm | Variant 01</t>
        </is>
      </c>
      <c r="E167" t="inlineStr">
        <is>
          <t>TR: LB1 | Palet (4000038): 1 adet | Shrink film (4000556): 1.945 kg | EN: LB1 | Pallet (4000038): 1 pc | Shrink film (4000556): 1.945 kg</t>
        </is>
      </c>
      <c r="F167" s="19" t="n"/>
      <c r="G167" s="19" t="inlineStr">
        <is>
          <t>2</t>
        </is>
      </c>
      <c r="H167" t="inlineStr">
        <is>
          <t>2026-08-08</t>
        </is>
      </c>
      <c r="J167" t="inlineStr">
        <is>
          <t>FINAL_CONFIGURATION_ID=IA-ST-072-EUR-01;SOURCE_CONFIGURATION_ID=IA-ST-CFG-0204;FAMILY=STARTER;PACKAGING_MASS_KG=29.8042;EVIDENCE_BASIS=REV00 CURRENT EVIDENCE BASIS — ARTICLE 5 ASSESSMENT BASIS;SOURCE_REF=INCI_AKU_PPWR_Final_Configuration_Register_Rev00_GOLDEN_VARIANTS_FINAL.xlsx!01_FINAL_CONFIG_MASTER!R167</t>
        </is>
      </c>
      <c r="K167" t="inlineStr">
        <is>
          <t>2026-08-10T19:29:54Z</t>
        </is>
      </c>
      <c r="L167" t="inlineStr">
        <is>
          <t>2026-08-10T19:29:54Z</t>
        </is>
      </c>
    </row>
    <row r="168">
      <c r="A168" s="19" t="inlineStr">
        <is>
          <t>167</t>
        </is>
      </c>
      <c r="B168" s="19" t="inlineStr">
        <is>
          <t>ST-072-EUR-02</t>
        </is>
      </c>
      <c r="C168" t="n">
        <v>0</v>
      </c>
      <c r="D168" t="inlineStr">
        <is>
          <t>Starter 72-unit | Euro Pallet 800×1200×152 mm | Variant 02</t>
        </is>
      </c>
      <c r="E168" t="inlineStr">
        <is>
          <t>TR: L1 | Palet (4000038): 1 adet | Shrink film (4000556): 2.375 kg | EN: L1 | Pallet (4000038): 1 pc | Shrink film (4000556): 2.375 kg</t>
        </is>
      </c>
      <c r="F168" s="19" t="n"/>
      <c r="G168" s="19" t="inlineStr">
        <is>
          <t>2</t>
        </is>
      </c>
      <c r="H168" t="inlineStr">
        <is>
          <t>2026-08-08</t>
        </is>
      </c>
      <c r="J168" t="inlineStr">
        <is>
          <t>FINAL_CONFIGURATION_ID=IA-ST-072-EUR-02;SOURCE_CONFIGURATION_ID=IA-ST-CFG-0205;FAMILY=STARTER;PACKAGING_MASS_KG=30.2342;EVIDENCE_BASIS=REV00 CURRENT EVIDENCE BASIS — ARTICLE 5 ASSESSMENT BASIS;SOURCE_REF=INCI_AKU_PPWR_Final_Configuration_Register_Rev00_GOLDEN_VARIANTS_FINAL.xlsx!01_FINAL_CONFIG_MASTER!R168</t>
        </is>
      </c>
      <c r="K168" t="inlineStr">
        <is>
          <t>2026-08-10T19:29:54Z</t>
        </is>
      </c>
      <c r="L168" t="inlineStr">
        <is>
          <t>2026-08-10T19:29:54Z</t>
        </is>
      </c>
    </row>
    <row r="169">
      <c r="A169" s="19" t="inlineStr">
        <is>
          <t>168</t>
        </is>
      </c>
      <c r="B169" s="19" t="inlineStr">
        <is>
          <t>ST-072-EUR-03</t>
        </is>
      </c>
      <c r="C169" t="n">
        <v>0</v>
      </c>
      <c r="D169" t="inlineStr">
        <is>
          <t>Starter 72-unit | Euro Pallet 800×1200×152 mm | Variant 03</t>
        </is>
      </c>
      <c r="E169" t="inlineStr">
        <is>
          <t>TR: LB1, L1 | Palet (4000038): 1 adet | Köşebent (4000033): 2 adet | EN: LB1, L1 | Pallet (4000038): 1 pc | Edge protector (4000033): 2 pcs</t>
        </is>
      </c>
      <c r="F169" s="19" t="n"/>
      <c r="G169" s="19" t="inlineStr">
        <is>
          <t>2</t>
        </is>
      </c>
      <c r="H169" t="inlineStr">
        <is>
          <t>2026-08-08</t>
        </is>
      </c>
      <c r="J169" t="inlineStr">
        <is>
          <t>FINAL_CONFIGURATION_ID=IA-ST-072-EUR-03;SOURCE_CONFIGURATION_ID=IA-ST-CFG-0206;FAMILY=STARTER;PACKAGING_MASS_KG=27.8592;EVIDENCE_BASIS=REV00 CURRENT EVIDENCE BASIS — ARTICLE 5 ASSESSMENT BASIS;SOURCE_REF=INCI_AKU_PPWR_Final_Configuration_Register_Rev00_GOLDEN_VARIANTS_FINAL.xlsx!01_FINAL_CONFIG_MASTER!R169</t>
        </is>
      </c>
      <c r="K169" t="inlineStr">
        <is>
          <t>2026-08-10T19:29:54Z</t>
        </is>
      </c>
      <c r="L169" t="inlineStr">
        <is>
          <t>2026-08-10T19:29:54Z</t>
        </is>
      </c>
    </row>
    <row r="170">
      <c r="A170" s="19" t="inlineStr">
        <is>
          <t>169</t>
        </is>
      </c>
      <c r="B170" s="19" t="inlineStr">
        <is>
          <t>ST-072-EUR-04</t>
        </is>
      </c>
      <c r="C170" t="n">
        <v>0</v>
      </c>
      <c r="D170" t="inlineStr">
        <is>
          <t>Starter 72-unit | Euro Pallet 800×1200×152 mm | Variant 04</t>
        </is>
      </c>
      <c r="E170" t="inlineStr">
        <is>
          <t>TR: L1, LB1 | Palet (4000038): 1 adet | Köşebent (4000033): 4 adet | EN: L1, LB1 | Pallet (4000038): 1 pc | Edge protector (4000033): 4 pcs</t>
        </is>
      </c>
      <c r="F170" s="19" t="n"/>
      <c r="G170" s="19" t="inlineStr">
        <is>
          <t>2</t>
        </is>
      </c>
      <c r="H170" t="inlineStr">
        <is>
          <t>2026-08-08</t>
        </is>
      </c>
      <c r="J170" t="inlineStr">
        <is>
          <t>FINAL_CONFIGURATION_ID=IA-ST-072-EUR-04;SOURCE_CONFIGURATION_ID=IA-ST-CFG-0209;FAMILY=STARTER;PACKAGING_MASS_KG=28.366;EVIDENCE_BASIS=REV00 CURRENT EVIDENCE BASIS — ARTICLE 5 ASSESSMENT BASIS;SOURCE_REF=INCI_AKU_PPWR_Final_Configuration_Register_Rev00_GOLDEN_VARIANTS_FINAL.xlsx!01_FINAL_CONFIG_MASTER!R170</t>
        </is>
      </c>
      <c r="K170" t="inlineStr">
        <is>
          <t>2026-08-10T19:29:54Z</t>
        </is>
      </c>
      <c r="L170" t="inlineStr">
        <is>
          <t>2026-08-10T19:29:54Z</t>
        </is>
      </c>
    </row>
    <row r="171">
      <c r="A171" s="19" t="inlineStr">
        <is>
          <t>170</t>
        </is>
      </c>
      <c r="B171" s="19" t="inlineStr">
        <is>
          <t>ST-072-EUR-05</t>
        </is>
      </c>
      <c r="C171" t="n">
        <v>0</v>
      </c>
      <c r="D171" t="inlineStr">
        <is>
          <t>Starter 72-unit | Euro Pallet 800×1200×152 mm | Variant 05</t>
        </is>
      </c>
      <c r="E171" t="inlineStr">
        <is>
          <t>TR: NS60 | NS60 PVC üst kapak (4000602): 72 adet | EN: NS60 | NS60 PVC upper cover (4000602): 72 pcs</t>
        </is>
      </c>
      <c r="F171" s="19" t="n"/>
      <c r="G171" s="19" t="inlineStr">
        <is>
          <t>2</t>
        </is>
      </c>
      <c r="H171" t="inlineStr">
        <is>
          <t>2026-08-08</t>
        </is>
      </c>
      <c r="J171" t="inlineStr">
        <is>
          <t>FINAL_CONFIGURATION_ID=IA-ST-072-EUR-05;SOURCE_CONFIGURATION_ID=IA-ST-CFG-0235;FAMILY=STARTER;PACKAGING_MASS_KG=33.2594;EVIDENCE_BASIS=REV00 CURRENT EVIDENCE BASIS — ARTICLE 5 ASSESSMENT BASIS;SOURCE_REF=INCI_AKU_PPWR_Final_Configuration_Register_Rev00_GOLDEN_VARIANTS_FINAL.xlsx!01_FINAL_CONFIG_MASTER!R171</t>
        </is>
      </c>
      <c r="K171" t="inlineStr">
        <is>
          <t>2026-08-10T19:29:54Z</t>
        </is>
      </c>
      <c r="L171" t="inlineStr">
        <is>
          <t>2026-08-10T19:29:54Z</t>
        </is>
      </c>
    </row>
    <row r="172">
      <c r="A172" s="19" t="inlineStr">
        <is>
          <t>171</t>
        </is>
      </c>
      <c r="B172" s="19" t="inlineStr">
        <is>
          <t>ST-072-EUR-06</t>
        </is>
      </c>
      <c r="C172" t="n">
        <v>0</v>
      </c>
      <c r="D172" t="inlineStr">
        <is>
          <t>Starter 72-unit | Euro Pallet 800×1200×152 mm | Variant 06</t>
        </is>
      </c>
      <c r="E172" t="inlineStr">
        <is>
          <t>TR: L0 | Palet (4000038): 1 adet | Köşebent (4000590): 4 adet | EN: L0 | Pallet (4000038): 1 pc | Edge protector (4000590): 4 pcs</t>
        </is>
      </c>
      <c r="F172" s="19" t="n"/>
      <c r="G172" s="19" t="inlineStr">
        <is>
          <t>2</t>
        </is>
      </c>
      <c r="H172" t="inlineStr">
        <is>
          <t>2026-08-08</t>
        </is>
      </c>
      <c r="J172" t="inlineStr">
        <is>
          <t>FINAL_CONFIGURATION_ID=IA-ST-072-EUR-06;SOURCE_CONFIGURATION_ID=IA-ST-CFG-0236;FAMILY=STARTER;PACKAGING_MASS_KG=27.926;EVIDENCE_BASIS=REV00 CURRENT EVIDENCE BASIS — ARTICLE 5 ASSESSMENT BASIS;SOURCE_REF=INCI_AKU_PPWR_Final_Configuration_Register_Rev00_GOLDEN_VARIANTS_FINAL.xlsx!01_FINAL_CONFIG_MASTER!R172</t>
        </is>
      </c>
      <c r="K172" t="inlineStr">
        <is>
          <t>2026-08-10T19:29:54Z</t>
        </is>
      </c>
      <c r="L172" t="inlineStr">
        <is>
          <t>2026-08-10T19:29:54Z</t>
        </is>
      </c>
    </row>
    <row r="173">
      <c r="A173" s="19" t="inlineStr">
        <is>
          <t>172</t>
        </is>
      </c>
      <c r="B173" s="19" t="inlineStr">
        <is>
          <t>ST-072-STD-01</t>
        </is>
      </c>
      <c r="C173" t="n">
        <v>0</v>
      </c>
      <c r="D173" t="inlineStr">
        <is>
          <t>Starter 72-unit | Standard Pallet 1030×1110×152 mm | Variant 01</t>
        </is>
      </c>
      <c r="E173" t="inlineStr">
        <is>
          <t>TR: L3 | L3 EAS Activa penceresiz dış koli (4000646): 72 adet | EN: L3 | L3 EAS Activa windowless outer carton (4000646): 72 pcs</t>
        </is>
      </c>
      <c r="F173" s="19" t="n"/>
      <c r="G173" s="19" t="inlineStr">
        <is>
          <t>2</t>
        </is>
      </c>
      <c r="H173" t="inlineStr">
        <is>
          <t>2026-08-08</t>
        </is>
      </c>
      <c r="J173" t="inlineStr">
        <is>
          <t>FINAL_CONFIGURATION_ID=IA-ST-072-STD-01;SOURCE_CONFIGURATION_ID=IA-ST-CFG-0210;FAMILY=STARTER;PACKAGING_MASS_KG=47.336;EVIDENCE_BASIS=REV00 CURRENT EVIDENCE BASIS — ARTICLE 5 ASSESSMENT BASIS;SOURCE_REF=INCI_AKU_PPWR_Final_Configuration_Register_Rev00_GOLDEN_VARIANTS_FINAL.xlsx!01_FINAL_CONFIG_MASTER!R173</t>
        </is>
      </c>
      <c r="K173" t="inlineStr">
        <is>
          <t>2026-08-10T19:29:54Z</t>
        </is>
      </c>
      <c r="L173" t="inlineStr">
        <is>
          <t>2026-08-10T19:29:54Z</t>
        </is>
      </c>
    </row>
    <row r="174">
      <c r="A174" s="19" t="inlineStr">
        <is>
          <t>173</t>
        </is>
      </c>
      <c r="B174" s="19" t="inlineStr">
        <is>
          <t>ST-072-STD-02</t>
        </is>
      </c>
      <c r="C174" t="n">
        <v>0</v>
      </c>
      <c r="D174" t="inlineStr">
        <is>
          <t>Starter 72-unit | Standard Pallet 1030×1110×152 mm | Variant 02</t>
        </is>
      </c>
      <c r="E174" t="inlineStr">
        <is>
          <t>TR: LB3 | LB3 İnci EFB PANTERA pencereli DL dış koli (4001314): 72 adet | EN: LB3 | LB3 İnci EFB PANTERA windowed DL outer carton (4001314): 72 pcs</t>
        </is>
      </c>
      <c r="F174" s="19" t="n"/>
      <c r="G174" s="19" t="inlineStr">
        <is>
          <t>2</t>
        </is>
      </c>
      <c r="H174" t="inlineStr">
        <is>
          <t>2026-08-08</t>
        </is>
      </c>
      <c r="J174" t="inlineStr">
        <is>
          <t>FINAL_CONFIGURATION_ID=IA-ST-072-STD-02;SOURCE_CONFIGURATION_ID=IA-ST-CFG-0211;FAMILY=STARTER;PACKAGING_MASS_KG=50.936;EVIDENCE_BASIS=REV00 CURRENT EVIDENCE BASIS — ARTICLE 5 ASSESSMENT BASIS;SOURCE_REF=INCI_AKU_PPWR_Final_Configuration_Register_Rev00_GOLDEN_VARIANTS_FINAL.xlsx!01_FINAL_CONFIG_MASTER!R174</t>
        </is>
      </c>
      <c r="K174" t="inlineStr">
        <is>
          <t>2026-08-10T19:29:54Z</t>
        </is>
      </c>
      <c r="L174" t="inlineStr">
        <is>
          <t>2026-08-10T19:29:54Z</t>
        </is>
      </c>
    </row>
    <row r="175">
      <c r="A175" s="19" t="inlineStr">
        <is>
          <t>174</t>
        </is>
      </c>
      <c r="B175" s="19" t="inlineStr">
        <is>
          <t>ST-072-STD-03</t>
        </is>
      </c>
      <c r="C175" t="n">
        <v>0</v>
      </c>
      <c r="D175" t="inlineStr">
        <is>
          <t>Starter 72-unit | Standard Pallet 1030×1110×152 mm | Variant 03</t>
        </is>
      </c>
      <c r="E175" t="inlineStr">
        <is>
          <t>TR: L3 | L3 İnci EFB PANTERA pencereli DL dış koli (4001315): 72 adet | EN: L3 | L3 İnci EFB PANTERA windowed DL outer carton (4001315): 72 pcs</t>
        </is>
      </c>
      <c r="F175" s="19" t="n"/>
      <c r="G175" s="19" t="inlineStr">
        <is>
          <t>2</t>
        </is>
      </c>
      <c r="H175" t="inlineStr">
        <is>
          <t>2026-08-08</t>
        </is>
      </c>
      <c r="J175" t="inlineStr">
        <is>
          <t>FINAL_CONFIGURATION_ID=IA-ST-072-STD-03;SOURCE_CONFIGURATION_ID=IA-ST-CFG-0212;FAMILY=STARTER;PACKAGING_MASS_KG=47.336;EVIDENCE_BASIS=REV00 CURRENT EVIDENCE BASIS — ARTICLE 5 ASSESSMENT BASIS;SOURCE_REF=INCI_AKU_PPWR_Final_Configuration_Register_Rev00_GOLDEN_VARIANTS_FINAL.xlsx!01_FINAL_CONFIG_MASTER!R175</t>
        </is>
      </c>
      <c r="K175" t="inlineStr">
        <is>
          <t>2026-08-10T19:29:54Z</t>
        </is>
      </c>
      <c r="L175" t="inlineStr">
        <is>
          <t>2026-08-10T19:29:54Z</t>
        </is>
      </c>
    </row>
    <row r="176">
      <c r="A176" s="19" t="inlineStr">
        <is>
          <t>175</t>
        </is>
      </c>
      <c r="B176" s="19" t="inlineStr">
        <is>
          <t>ST-072-STD-04</t>
        </is>
      </c>
      <c r="C176" t="n">
        <v>0</v>
      </c>
      <c r="D176" t="inlineStr">
        <is>
          <t>Starter 72-unit | Standard Pallet 1030×1110×152 mm | Variant 04</t>
        </is>
      </c>
      <c r="E176" t="inlineStr">
        <is>
          <t>TR: L3 | L3 EAS EFB MAX pencereli 2024 dış koli (4001411): 72 adet | EN: L3 | L3 EAS EFB MAX windowed 2024 outer carton (4001411): 72 pcs</t>
        </is>
      </c>
      <c r="F176" s="19" t="n"/>
      <c r="G176" s="19" t="inlineStr">
        <is>
          <t>2</t>
        </is>
      </c>
      <c r="H176" t="inlineStr">
        <is>
          <t>2026-08-08</t>
        </is>
      </c>
      <c r="J176" t="inlineStr">
        <is>
          <t>FINAL_CONFIGURATION_ID=IA-ST-072-STD-04;SOURCE_CONFIGURATION_ID=IA-ST-CFG-0213;FAMILY=STARTER;PACKAGING_MASS_KG=47.336;EVIDENCE_BASIS=REV00 CURRENT EVIDENCE BASIS — ARTICLE 5 ASSESSMENT BASIS;SOURCE_REF=INCI_AKU_PPWR_Final_Configuration_Register_Rev00_GOLDEN_VARIANTS_FINAL.xlsx!01_FINAL_CONFIG_MASTER!R176</t>
        </is>
      </c>
      <c r="K176" t="inlineStr">
        <is>
          <t>2026-08-10T19:29:54Z</t>
        </is>
      </c>
      <c r="L176" t="inlineStr">
        <is>
          <t>2026-08-10T19:29:54Z</t>
        </is>
      </c>
    </row>
    <row r="177">
      <c r="A177" s="19" t="inlineStr">
        <is>
          <t>176</t>
        </is>
      </c>
      <c r="B177" s="19" t="inlineStr">
        <is>
          <t>ST-072-STD-05</t>
        </is>
      </c>
      <c r="C177" t="n">
        <v>0</v>
      </c>
      <c r="D177" t="inlineStr">
        <is>
          <t>Starter 72-unit | Standard Pallet 1030×1110×152 mm | Variant 05</t>
        </is>
      </c>
      <c r="E177" t="inlineStr">
        <is>
          <t>TR: L1 | L1 EAS AGM S&amp;S 50AH 560A pencereli dış koli (4001394): 72 adet | EN: L1 | L1 EAS AGM S&amp;S 50AH 560A windowed outer carton (4001394): 72 pcs</t>
        </is>
      </c>
      <c r="F177" s="19" t="n"/>
      <c r="G177" s="19" t="inlineStr">
        <is>
          <t>2</t>
        </is>
      </c>
      <c r="H177" t="inlineStr">
        <is>
          <t>2026-08-08</t>
        </is>
      </c>
      <c r="J177" t="inlineStr">
        <is>
          <t>FINAL_CONFIGURATION_ID=IA-ST-072-STD-05;SOURCE_CONFIGURATION_ID=IA-ST-CFG-0214;FAMILY=STARTER;PACKAGING_MASS_KG=46.766;EVIDENCE_BASIS=REV00 CURRENT EVIDENCE BASIS — ARTICLE 5 ASSESSMENT BASIS;SOURCE_REF=INCI_AKU_PPWR_Final_Configuration_Register_Rev00_GOLDEN_VARIANTS_FINAL.xlsx!01_FINAL_CONFIG_MASTER!R177</t>
        </is>
      </c>
      <c r="K177" t="inlineStr">
        <is>
          <t>2026-08-10T19:29:54Z</t>
        </is>
      </c>
      <c r="L177" t="inlineStr">
        <is>
          <t>2026-08-10T19:29:54Z</t>
        </is>
      </c>
    </row>
    <row r="178">
      <c r="A178" s="19" t="inlineStr">
        <is>
          <t>177</t>
        </is>
      </c>
      <c r="B178" s="19" t="inlineStr">
        <is>
          <t>ST-072-STD-06</t>
        </is>
      </c>
      <c r="C178" t="n">
        <v>0</v>
      </c>
      <c r="D178" t="inlineStr">
        <is>
          <t>Starter 72-unit | Standard Pallet 1030×1110×152 mm | Variant 06</t>
        </is>
      </c>
      <c r="E178" t="inlineStr">
        <is>
          <t>TR: L3 | L3 HUGEL ULTRA penceresiz 2013 TAS. dış koli (4000865): 72 adet | EN: L3 | L3 HUGEL ULTRA windowless 2013 TAS. outer carton (4000865): 72 pcs</t>
        </is>
      </c>
      <c r="F178" s="19" t="n"/>
      <c r="G178" s="19" t="inlineStr">
        <is>
          <t>2</t>
        </is>
      </c>
      <c r="H178" t="inlineStr">
        <is>
          <t>2026-08-08</t>
        </is>
      </c>
      <c r="J178" t="inlineStr">
        <is>
          <t>FINAL_CONFIGURATION_ID=IA-ST-072-STD-06;SOURCE_CONFIGURATION_ID=IA-ST-CFG-0215;FAMILY=STARTER;PACKAGING_MASS_KG=47.756;EVIDENCE_BASIS=REV00 CURRENT EVIDENCE BASIS — ARTICLE 5 ASSESSMENT BASIS;SOURCE_REF=INCI_AKU_PPWR_Final_Configuration_Register_Rev00_GOLDEN_VARIANTS_FINAL.xlsx!01_FINAL_CONFIG_MASTER!R178</t>
        </is>
      </c>
      <c r="K178" t="inlineStr">
        <is>
          <t>2026-08-10T19:29:54Z</t>
        </is>
      </c>
      <c r="L178" t="inlineStr">
        <is>
          <t>2026-08-10T19:29:54Z</t>
        </is>
      </c>
    </row>
    <row r="179">
      <c r="A179" s="19" t="inlineStr">
        <is>
          <t>178</t>
        </is>
      </c>
      <c r="B179" s="19" t="inlineStr">
        <is>
          <t>ST-072-STD-07</t>
        </is>
      </c>
      <c r="C179" t="n">
        <v>0</v>
      </c>
      <c r="D179" t="inlineStr">
        <is>
          <t>Starter 72-unit | Standard Pallet 1030×1110×152 mm | Variant 07</t>
        </is>
      </c>
      <c r="E179" t="inlineStr">
        <is>
          <t>TR: LB3 | LB3 İnci FORMULA-MAXIMA 2019 dış koli (4001205): 72 adet | EN: LB3 | LB3 İnci FORMULA-MAXIMA 2019 outer carton (4001205): 72 pcs</t>
        </is>
      </c>
      <c r="F179" s="19" t="n"/>
      <c r="G179" s="19" t="inlineStr">
        <is>
          <t>2</t>
        </is>
      </c>
      <c r="H179" t="inlineStr">
        <is>
          <t>2026-08-08</t>
        </is>
      </c>
      <c r="J179" t="inlineStr">
        <is>
          <t>FINAL_CONFIGURATION_ID=IA-ST-072-STD-07;SOURCE_CONFIGURATION_ID=IA-ST-CFG-0216;FAMILY=STARTER;PACKAGING_MASS_KG=50.636;EVIDENCE_BASIS=REV00 CURRENT EVIDENCE BASIS — ARTICLE 5 ASSESSMENT BASIS;SOURCE_REF=INCI_AKU_PPWR_Final_Configuration_Register_Rev00_GOLDEN_VARIANTS_FINAL.xlsx!01_FINAL_CONFIG_MASTER!R179</t>
        </is>
      </c>
      <c r="K179" t="inlineStr">
        <is>
          <t>2026-08-10T19:29:54Z</t>
        </is>
      </c>
      <c r="L179" t="inlineStr">
        <is>
          <t>2026-08-10T19:29:54Z</t>
        </is>
      </c>
    </row>
    <row r="180">
      <c r="A180" s="19" t="inlineStr">
        <is>
          <t>179</t>
        </is>
      </c>
      <c r="B180" s="19" t="inlineStr">
        <is>
          <t>ST-072-STD-08</t>
        </is>
      </c>
      <c r="C180" t="n">
        <v>0</v>
      </c>
      <c r="D180" t="inlineStr">
        <is>
          <t>Starter 72-unit | Standard Pallet 1030×1110×152 mm | Variant 08</t>
        </is>
      </c>
      <c r="E180" t="inlineStr">
        <is>
          <t>TR: D23 | Palet (4000037): 1 adet | Separatör (4000130): 1 adet | EN: D23 | Pallet (4000037): 1 pc | Separator (4000130): 1 pc</t>
        </is>
      </c>
      <c r="F180" s="19" t="n"/>
      <c r="G180" s="19" t="inlineStr">
        <is>
          <t>2</t>
        </is>
      </c>
      <c r="H180" t="inlineStr">
        <is>
          <t>2026-08-08</t>
        </is>
      </c>
      <c r="J180" t="inlineStr">
        <is>
          <t>FINAL_CONFIGURATION_ID=IA-ST-072-STD-08;SOURCE_CONFIGURATION_ID=IA-ST-CFG-0217;FAMILY=STARTER;PACKAGING_MASS_KG=27.708;EVIDENCE_BASIS=REV00 CURRENT EVIDENCE BASIS — ARTICLE 5 ASSESSMENT BASIS;SOURCE_REF=INCI_AKU_PPWR_Final_Configuration_Register_Rev00_GOLDEN_VARIANTS_FINAL.xlsx!01_FINAL_CONFIG_MASTER!R180</t>
        </is>
      </c>
      <c r="K180" t="inlineStr">
        <is>
          <t>2026-08-10T19:29:54Z</t>
        </is>
      </c>
      <c r="L180" t="inlineStr">
        <is>
          <t>2026-08-10T19:29:54Z</t>
        </is>
      </c>
    </row>
    <row r="181">
      <c r="A181" s="19" t="inlineStr">
        <is>
          <t>180</t>
        </is>
      </c>
      <c r="B181" s="19" t="inlineStr">
        <is>
          <t>ST-072-STD-09</t>
        </is>
      </c>
      <c r="C181" t="n">
        <v>0</v>
      </c>
      <c r="D181" t="inlineStr">
        <is>
          <t>Starter 72-unit | Standard Pallet 1030×1110×152 mm | Variant 09</t>
        </is>
      </c>
      <c r="E181" t="inlineStr">
        <is>
          <t>TR: L2 | Palet (4000037): 1 adet | Shrink film (4000558): 2.736 kg | EN: L2 | Pallet (4000037): 1 pc | Shrink film (4000558): 2.736 kg</t>
        </is>
      </c>
      <c r="F181" s="19" t="n"/>
      <c r="G181" s="19" t="inlineStr">
        <is>
          <t>2</t>
        </is>
      </c>
      <c r="H181" t="inlineStr">
        <is>
          <t>2026-08-08</t>
        </is>
      </c>
      <c r="J181" t="inlineStr">
        <is>
          <t>FINAL_CONFIGURATION_ID=IA-ST-072-STD-09;SOURCE_CONFIGURATION_ID=IA-ST-CFG-0218;FAMILY=STARTER;PACKAGING_MASS_KG=30.942;EVIDENCE_BASIS=REV00 CURRENT EVIDENCE BASIS — ARTICLE 5 ASSESSMENT BASIS;SOURCE_REF=INCI_AKU_PPWR_Final_Configuration_Register_Rev00_GOLDEN_VARIANTS_FINAL.xlsx!01_FINAL_CONFIG_MASTER!R181</t>
        </is>
      </c>
      <c r="K181" t="inlineStr">
        <is>
          <t>2026-08-10T19:29:54Z</t>
        </is>
      </c>
      <c r="L181" t="inlineStr">
        <is>
          <t>2026-08-10T19:29:54Z</t>
        </is>
      </c>
    </row>
    <row r="182">
      <c r="A182" s="19" t="inlineStr">
        <is>
          <t>181</t>
        </is>
      </c>
      <c r="B182" s="19" t="inlineStr">
        <is>
          <t>ST-072-STD-10</t>
        </is>
      </c>
      <c r="C182" t="n">
        <v>0</v>
      </c>
      <c r="D182" t="inlineStr">
        <is>
          <t>Starter 72-unit | Standard Pallet 1030×1110×152 mm | Variant 10</t>
        </is>
      </c>
      <c r="E182" t="inlineStr">
        <is>
          <t>TR: D23 | D23 PVC üst kapak (4000461): 72 adet | Köşebent (4000590): 2 adet | EN: D23 | D23 PVC upper cover (4000461): 72 pcs | Edge protector (4000590): 2 pcs</t>
        </is>
      </c>
      <c r="F182" s="19" t="n"/>
      <c r="G182" s="19" t="inlineStr">
        <is>
          <t>2</t>
        </is>
      </c>
      <c r="H182" t="inlineStr">
        <is>
          <t>2026-08-08</t>
        </is>
      </c>
      <c r="J182" t="inlineStr">
        <is>
          <t>FINAL_CONFIGURATION_ID=IA-ST-072-STD-10;SOURCE_CONFIGURATION_ID=IA-ST-CFG-0219;FAMILY=STARTER;PACKAGING_MASS_KG=34.33224;EVIDENCE_BASIS=REV00 CURRENT EVIDENCE BASIS — ARTICLE 5 ASSESSMENT BASIS;SOURCE_REF=INCI_AKU_PPWR_Final_Configuration_Register_Rev00_GOLDEN_VARIANTS_FINAL.xlsx!01_FINAL_CONFIG_MASTER!R182</t>
        </is>
      </c>
      <c r="K182" t="inlineStr">
        <is>
          <t>2026-08-10T19:29:54Z</t>
        </is>
      </c>
      <c r="L182" t="inlineStr">
        <is>
          <t>2026-08-10T19:29:54Z</t>
        </is>
      </c>
    </row>
    <row r="183">
      <c r="A183" s="19" t="inlineStr">
        <is>
          <t>182</t>
        </is>
      </c>
      <c r="B183" s="19" t="inlineStr">
        <is>
          <t>ST-072-STD-11</t>
        </is>
      </c>
      <c r="C183" t="n">
        <v>0</v>
      </c>
      <c r="D183" t="inlineStr">
        <is>
          <t>Starter 72-unit | Standard Pallet 1030×1110×152 mm | Variant 11</t>
        </is>
      </c>
      <c r="E183" t="inlineStr">
        <is>
          <t>TR: D20 | D20 PVC üst kapak (4000490): 72 adet | Köşebent (4000590): 2 adet | EN: D20 | D20 PVC upper cover (4000490): 72 pcs | Edge protector (4000590): 2 pcs</t>
        </is>
      </c>
      <c r="F183" s="19" t="n"/>
      <c r="G183" s="19" t="inlineStr">
        <is>
          <t>2</t>
        </is>
      </c>
      <c r="H183" t="inlineStr">
        <is>
          <t>2026-08-08</t>
        </is>
      </c>
      <c r="J183" t="inlineStr">
        <is>
          <t>FINAL_CONFIGURATION_ID=IA-ST-072-STD-11;SOURCE_CONFIGURATION_ID=IA-ST-CFG-0220;FAMILY=STARTER;PACKAGING_MASS_KG=30.33912;EVIDENCE_BASIS=REV00 CURRENT EVIDENCE BASIS — ARTICLE 5 ASSESSMENT BASIS;SOURCE_REF=INCI_AKU_PPWR_Final_Configuration_Register_Rev00_GOLDEN_VARIANTS_FINAL.xlsx!01_FINAL_CONFIG_MASTER!R183</t>
        </is>
      </c>
      <c r="K183" t="inlineStr">
        <is>
          <t>2026-08-10T19:29:54Z</t>
        </is>
      </c>
      <c r="L183" t="inlineStr">
        <is>
          <t>2026-08-10T19:29:54Z</t>
        </is>
      </c>
    </row>
    <row r="184">
      <c r="A184" s="19" t="inlineStr">
        <is>
          <t>183</t>
        </is>
      </c>
      <c r="B184" s="19" t="inlineStr">
        <is>
          <t>ST-072-STD-12</t>
        </is>
      </c>
      <c r="C184" t="n">
        <v>0</v>
      </c>
      <c r="D184" t="inlineStr">
        <is>
          <t>Starter 72-unit | Standard Pallet 1030×1110×152 mm | Variant 12</t>
        </is>
      </c>
      <c r="E184" t="inlineStr">
        <is>
          <t>TR: L4 | Palet (4000037): 1 adet | Shrink film (4000554): 2.448 kg | EN: L4 | Pallet (4000037): 1 pc | Shrink film (4000554): 2.448 kg</t>
        </is>
      </c>
      <c r="F184" s="19" t="n"/>
      <c r="G184" s="19" t="inlineStr">
        <is>
          <t>2</t>
        </is>
      </c>
      <c r="H184" t="inlineStr">
        <is>
          <t>2026-08-08</t>
        </is>
      </c>
      <c r="J184" t="inlineStr">
        <is>
          <t>FINAL_CONFIGURATION_ID=IA-ST-072-STD-12;SOURCE_CONFIGURATION_ID=IA-ST-CFG-0221;FAMILY=STARTER;PACKAGING_MASS_KG=30.3672;EVIDENCE_BASIS=REV00 CURRENT EVIDENCE BASIS — ARTICLE 5 ASSESSMENT BASIS;SOURCE_REF=INCI_AKU_PPWR_Final_Configuration_Register_Rev00_GOLDEN_VARIANTS_FINAL.xlsx!01_FINAL_CONFIG_MASTER!R184</t>
        </is>
      </c>
      <c r="K184" t="inlineStr">
        <is>
          <t>2026-08-10T19:29:54Z</t>
        </is>
      </c>
      <c r="L184" t="inlineStr">
        <is>
          <t>2026-08-10T19:29:54Z</t>
        </is>
      </c>
    </row>
    <row r="185">
      <c r="A185" s="19" t="inlineStr">
        <is>
          <t>184</t>
        </is>
      </c>
      <c r="B185" s="19" t="inlineStr">
        <is>
          <t>ST-072-STD-13</t>
        </is>
      </c>
      <c r="C185" t="n">
        <v>0</v>
      </c>
      <c r="D185" t="inlineStr">
        <is>
          <t>Starter 72-unit | Standard Pallet 1030×1110×152 mm | Variant 13</t>
        </is>
      </c>
      <c r="E185" t="inlineStr">
        <is>
          <t>TR: L2, LB2 | Palet (4000037): 1 adet | Köşebent (4000590): 2 adet | EN: L2, LB2 | Pallet (4000037): 1 pc | Edge protector (4000590): 2 pcs</t>
        </is>
      </c>
      <c r="F185" s="19" t="n"/>
      <c r="G185" s="19" t="inlineStr">
        <is>
          <t>2</t>
        </is>
      </c>
      <c r="H185" t="inlineStr">
        <is>
          <t>2026-08-08</t>
        </is>
      </c>
      <c r="J185" t="inlineStr">
        <is>
          <t>FINAL_CONFIGURATION_ID=IA-ST-072-STD-13;SOURCE_CONFIGURATION_ID=IA-ST-CFG-0222;FAMILY=STARTER;PACKAGING_MASS_KG=30.6552;EVIDENCE_BASIS=REV00 CURRENT EVIDENCE BASIS — ARTICLE 5 ASSESSMENT BASIS;SOURCE_REF=INCI_AKU_PPWR_Final_Configuration_Register_Rev00_GOLDEN_VARIANTS_FINAL.xlsx!01_FINAL_CONFIG_MASTER!R185</t>
        </is>
      </c>
      <c r="K185" t="inlineStr">
        <is>
          <t>2026-08-10T19:29:54Z</t>
        </is>
      </c>
      <c r="L185" t="inlineStr">
        <is>
          <t>2026-08-10T19:29:54Z</t>
        </is>
      </c>
    </row>
    <row r="186">
      <c r="A186" s="19" t="inlineStr">
        <is>
          <t>185</t>
        </is>
      </c>
      <c r="B186" s="19" t="inlineStr">
        <is>
          <t>ST-072-STD-14</t>
        </is>
      </c>
      <c r="C186" t="n">
        <v>0</v>
      </c>
      <c r="D186" t="inlineStr">
        <is>
          <t>Starter 72-unit | Standard Pallet 1030×1110×152 mm | Variant 14</t>
        </is>
      </c>
      <c r="E186" t="inlineStr">
        <is>
          <t>TR: LB2, L2 | Palet (4000037): 1 adet | Separatör (4000130): 4 adet | EN: LB2, L2 | Pallet (4000037): 1 pc | Separator (4000130): 4 pcs</t>
        </is>
      </c>
      <c r="F186" s="19" t="n"/>
      <c r="G186" s="19" t="inlineStr">
        <is>
          <t>2</t>
        </is>
      </c>
      <c r="H186" t="inlineStr">
        <is>
          <t>2026-08-08</t>
        </is>
      </c>
      <c r="J186" t="inlineStr">
        <is>
          <t>FINAL_CONFIGURATION_ID=IA-ST-072-STD-14;SOURCE_CONFIGURATION_ID=IA-ST-CFG-0223;FAMILY=STARTER;PACKAGING_MASS_KG=27.9192;EVIDENCE_BASIS=REV00 CURRENT EVIDENCE BASIS — ARTICLE 5 ASSESSMENT BASIS;SOURCE_REF=INCI_AKU_PPWR_Final_Configuration_Register_Rev00_GOLDEN_VARIANTS_FINAL.xlsx!01_FINAL_CONFIG_MASTER!R186</t>
        </is>
      </c>
      <c r="K186" t="inlineStr">
        <is>
          <t>2026-08-10T19:29:54Z</t>
        </is>
      </c>
      <c r="L186" t="inlineStr">
        <is>
          <t>2026-08-10T19:29:54Z</t>
        </is>
      </c>
    </row>
    <row r="187">
      <c r="A187" s="19" t="inlineStr">
        <is>
          <t>186</t>
        </is>
      </c>
      <c r="B187" s="19" t="inlineStr">
        <is>
          <t>ST-072-STD-15</t>
        </is>
      </c>
      <c r="C187" t="n">
        <v>0</v>
      </c>
      <c r="D187" t="inlineStr">
        <is>
          <t>Starter 72-unit | Standard Pallet 1030×1110×152 mm | Variant 15</t>
        </is>
      </c>
      <c r="E187" t="inlineStr">
        <is>
          <t>TR: D23 | D23 PVC üst kapak (4000461): 72 adet | Çember (4000450): kullanılmaz | EN: D23 | D23 PVC upper cover (4000461): 72 pcs | Strap (4000450): not used</t>
        </is>
      </c>
      <c r="F187" s="19" t="n"/>
      <c r="G187" s="19" t="inlineStr">
        <is>
          <t>2</t>
        </is>
      </c>
      <c r="H187" t="inlineStr">
        <is>
          <t>2026-08-08</t>
        </is>
      </c>
      <c r="J187" t="inlineStr">
        <is>
          <t>FINAL_CONFIGURATION_ID=IA-ST-072-STD-15;SOURCE_CONFIGURATION_ID=IA-ST-CFG-0224;FAMILY=STARTER;PACKAGING_MASS_KG=34.04544;EVIDENCE_BASIS=REV00 CURRENT EVIDENCE BASIS — ARTICLE 5 ASSESSMENT BASIS;SOURCE_REF=INCI_AKU_PPWR_Final_Configuration_Register_Rev00_GOLDEN_VARIANTS_FINAL.xlsx!01_FINAL_CONFIG_MASTER!R187</t>
        </is>
      </c>
      <c r="K187" t="inlineStr">
        <is>
          <t>2026-08-10T19:29:54Z</t>
        </is>
      </c>
      <c r="L187" t="inlineStr">
        <is>
          <t>2026-08-10T19:29:54Z</t>
        </is>
      </c>
    </row>
    <row r="188">
      <c r="A188" s="19" t="inlineStr">
        <is>
          <t>187</t>
        </is>
      </c>
      <c r="B188" s="19" t="inlineStr">
        <is>
          <t>ST-072-STD-16</t>
        </is>
      </c>
      <c r="C188" t="n">
        <v>0</v>
      </c>
      <c r="D188" t="inlineStr">
        <is>
          <t>Starter 72-unit | Standard Pallet 1030×1110×152 mm | Variant 16</t>
        </is>
      </c>
      <c r="E188" t="inlineStr">
        <is>
          <t>TR: D20 | D20 PVC üst kapak (4000490): 72 adet | Köşebent (4000590): kullanılmaz | EN: D20 | D20 PVC upper cover (4000490): 72 pcs | Edge protector (4000590): not used</t>
        </is>
      </c>
      <c r="F188" s="19" t="n"/>
      <c r="G188" s="19" t="inlineStr">
        <is>
          <t>2</t>
        </is>
      </c>
      <c r="H188" t="inlineStr">
        <is>
          <t>2026-08-08</t>
        </is>
      </c>
      <c r="J188" t="inlineStr">
        <is>
          <t>FINAL_CONFIGURATION_ID=IA-ST-072-STD-16;SOURCE_CONFIGURATION_ID=IA-ST-CFG-0225;FAMILY=STARTER;PACKAGING_MASS_KG=30.05232;EVIDENCE_BASIS=REV00 CURRENT EVIDENCE BASIS — ARTICLE 5 ASSESSMENT BASIS;SOURCE_REF=INCI_AKU_PPWR_Final_Configuration_Register_Rev00_GOLDEN_VARIANTS_FINAL.xlsx!01_FINAL_CONFIG_MASTER!R188</t>
        </is>
      </c>
      <c r="K188" t="inlineStr">
        <is>
          <t>2026-08-10T19:29:54Z</t>
        </is>
      </c>
      <c r="L188" t="inlineStr">
        <is>
          <t>2026-08-10T19:29:54Z</t>
        </is>
      </c>
    </row>
    <row r="189">
      <c r="A189" s="19" t="inlineStr">
        <is>
          <t>188</t>
        </is>
      </c>
      <c r="B189" s="19" t="inlineStr">
        <is>
          <t>ST-072-STD-17</t>
        </is>
      </c>
      <c r="C189" t="n">
        <v>0</v>
      </c>
      <c r="D189" t="inlineStr">
        <is>
          <t>Starter 72-unit | Standard Pallet 1030×1110×152 mm | Variant 17</t>
        </is>
      </c>
      <c r="E189" t="inlineStr">
        <is>
          <t>TR: L2 | Palet (4000037): 1 adet | Shrink film (4000558): 2.376 kg | EN: L2 | Pallet (4000037): 1 pc | Shrink film (4000558): 2.376 kg</t>
        </is>
      </c>
      <c r="F189" s="19" t="n"/>
      <c r="G189" s="19" t="inlineStr">
        <is>
          <t>2</t>
        </is>
      </c>
      <c r="H189" t="inlineStr">
        <is>
          <t>2026-08-08</t>
        </is>
      </c>
      <c r="J189" t="inlineStr">
        <is>
          <t>FINAL_CONFIGURATION_ID=IA-ST-072-STD-17;SOURCE_CONFIGURATION_ID=IA-ST-CFG-0226;FAMILY=STARTER;PACKAGING_MASS_KG=30.0084;EVIDENCE_BASIS=REV00 CURRENT EVIDENCE BASIS — ARTICLE 5 ASSESSMENT BASIS;SOURCE_REF=INCI_AKU_PPWR_Final_Configuration_Register_Rev00_GOLDEN_VARIANTS_FINAL.xlsx!01_FINAL_CONFIG_MASTER!R189</t>
        </is>
      </c>
      <c r="K189" t="inlineStr">
        <is>
          <t>2026-08-10T19:29:54Z</t>
        </is>
      </c>
      <c r="L189" t="inlineStr">
        <is>
          <t>2026-08-10T19:29:54Z</t>
        </is>
      </c>
    </row>
    <row r="190">
      <c r="A190" s="19" t="inlineStr">
        <is>
          <t>189</t>
        </is>
      </c>
      <c r="B190" s="19" t="inlineStr">
        <is>
          <t>ST-072-STD-18</t>
        </is>
      </c>
      <c r="C190" t="n">
        <v>0</v>
      </c>
      <c r="D190" t="inlineStr">
        <is>
          <t>Starter 72-unit | Standard Pallet 1030×1110×152 mm | Variant 18</t>
        </is>
      </c>
      <c r="E190" t="inlineStr">
        <is>
          <t>TR: L2, LB2 | Palet (4000037): 1 adet | Köşebent (4000590): kullanılmaz | EN: L2, LB2 | Pallet (4000037): 1 pc | Edge protector (4000590): not used</t>
        </is>
      </c>
      <c r="F190" s="19" t="n"/>
      <c r="G190" s="19" t="inlineStr">
        <is>
          <t>2</t>
        </is>
      </c>
      <c r="H190" t="inlineStr">
        <is>
          <t>2026-08-08</t>
        </is>
      </c>
      <c r="J190" t="inlineStr">
        <is>
          <t>FINAL_CONFIGURATION_ID=IA-ST-072-STD-18;SOURCE_CONFIGURATION_ID=IA-ST-CFG-0227;FAMILY=STARTER;PACKAGING_MASS_KG=30.3684;EVIDENCE_BASIS=REV00 CURRENT EVIDENCE BASIS — ARTICLE 5 ASSESSMENT BASIS;SOURCE_REF=INCI_AKU_PPWR_Final_Configuration_Register_Rev00_GOLDEN_VARIANTS_FINAL.xlsx!01_FINAL_CONFIG_MASTER!R190</t>
        </is>
      </c>
      <c r="K190" t="inlineStr">
        <is>
          <t>2026-08-10T19:29:54Z</t>
        </is>
      </c>
      <c r="L190" t="inlineStr">
        <is>
          <t>2026-08-10T19:29:54Z</t>
        </is>
      </c>
    </row>
    <row r="191">
      <c r="A191" s="19" t="inlineStr">
        <is>
          <t>190</t>
        </is>
      </c>
      <c r="B191" s="19" t="inlineStr">
        <is>
          <t>ST-072-STD-19</t>
        </is>
      </c>
      <c r="C191" t="n">
        <v>0</v>
      </c>
      <c r="D191" t="inlineStr">
        <is>
          <t>Starter 72-unit | Standard Pallet 1030×1110×152 mm | Variant 19</t>
        </is>
      </c>
      <c r="E191" t="inlineStr">
        <is>
          <t>TR: D23 | Palet (4000037): 1 adet | Shrink film (4001177): 0.597 kg | EN: D23 | Pallet (4000037): 1 pc | Shrink film (4001177): 0.597 kg</t>
        </is>
      </c>
      <c r="F191" s="19" t="n"/>
      <c r="G191" s="19" t="inlineStr">
        <is>
          <t>2</t>
        </is>
      </c>
      <c r="H191" t="inlineStr">
        <is>
          <t>2026-08-08</t>
        </is>
      </c>
      <c r="J191" t="inlineStr">
        <is>
          <t>FINAL_CONFIGURATION_ID=IA-ST-072-STD-19;SOURCE_CONFIGURATION_ID=IA-ST-CFG-0228;FAMILY=STARTER;PACKAGING_MASS_KG=28.649;EVIDENCE_BASIS=REV00 CURRENT EVIDENCE BASIS — ARTICLE 5 ASSESSMENT BASIS;SOURCE_REF=INCI_AKU_PPWR_Final_Configuration_Register_Rev00_GOLDEN_VARIANTS_FINAL.xlsx!01_FINAL_CONFIG_MASTER!R191</t>
        </is>
      </c>
      <c r="K191" t="inlineStr">
        <is>
          <t>2026-08-10T19:29:54Z</t>
        </is>
      </c>
      <c r="L191" t="inlineStr">
        <is>
          <t>2026-08-10T19:29:54Z</t>
        </is>
      </c>
    </row>
    <row r="192">
      <c r="A192" s="19" t="inlineStr">
        <is>
          <t>191</t>
        </is>
      </c>
      <c r="B192" s="19" t="inlineStr">
        <is>
          <t>ST-072-STD-20</t>
        </is>
      </c>
      <c r="C192" t="n">
        <v>0</v>
      </c>
      <c r="D192" t="inlineStr">
        <is>
          <t>Starter 72-unit | Standard Pallet 1030×1110×152 mm | Variant 20</t>
        </is>
      </c>
      <c r="E192" t="inlineStr">
        <is>
          <t>TR: L2 | Palet (4000037): 1 adet | Köşebent (4000590): 2 adet | EN: L2 | Pallet (4000037): 1 pc | Edge protector (4000590): 2 pcs</t>
        </is>
      </c>
      <c r="F192" s="19" t="n"/>
      <c r="G192" s="19" t="inlineStr">
        <is>
          <t>2</t>
        </is>
      </c>
      <c r="H192" t="inlineStr">
        <is>
          <t>2026-08-08</t>
        </is>
      </c>
      <c r="J192" t="inlineStr">
        <is>
          <t>FINAL_CONFIGURATION_ID=IA-ST-072-STD-20;SOURCE_CONFIGURATION_ID=IA-ST-CFG-0229;FAMILY=STARTER;PACKAGING_MASS_KG=28.417;EVIDENCE_BASIS=REV00 CURRENT EVIDENCE BASIS — ARTICLE 5 ASSESSMENT BASIS;SOURCE_REF=INCI_AKU_PPWR_Final_Configuration_Register_Rev00_GOLDEN_VARIANTS_FINAL.xlsx!01_FINAL_CONFIG_MASTER!R192</t>
        </is>
      </c>
      <c r="K192" t="inlineStr">
        <is>
          <t>2026-08-10T19:29:54Z</t>
        </is>
      </c>
      <c r="L192" t="inlineStr">
        <is>
          <t>2026-08-10T19:29:54Z</t>
        </is>
      </c>
    </row>
    <row r="193">
      <c r="A193" s="19" t="inlineStr">
        <is>
          <t>192</t>
        </is>
      </c>
      <c r="B193" s="19" t="inlineStr">
        <is>
          <t>ST-072-STD-21</t>
        </is>
      </c>
      <c r="C193" t="n">
        <v>0</v>
      </c>
      <c r="D193" t="inlineStr">
        <is>
          <t>Starter 72-unit | Standard Pallet 1030×1110×152 mm | Variant 21</t>
        </is>
      </c>
      <c r="E193" t="inlineStr">
        <is>
          <t>TR: L2 | Palet (4000037): 1 adet | Köşebent (4000590): 4 adet | Shrink film (4001177): 0.597 kg | EN: L2 | Pallet (4000037): 1 pc | Edge protector (4000590): 4 pcs | Shrink film (4001177): 0.597 kg</t>
        </is>
      </c>
      <c r="F193" s="19" t="n"/>
      <c r="G193" s="19" t="inlineStr">
        <is>
          <t>2</t>
        </is>
      </c>
      <c r="H193" t="inlineStr">
        <is>
          <t>2026-08-08</t>
        </is>
      </c>
      <c r="J193" t="inlineStr">
        <is>
          <t>FINAL_CONFIGURATION_ID=IA-ST-072-STD-21;SOURCE_CONFIGURATION_ID=IA-ST-CFG-0230;FAMILY=STARTER;PACKAGING_MASS_KG=28.617;EVIDENCE_BASIS=REV00 CURRENT EVIDENCE BASIS — ARTICLE 5 ASSESSMENT BASIS;SOURCE_REF=INCI_AKU_PPWR_Final_Configuration_Register_Rev00_GOLDEN_VARIANTS_FINAL.xlsx!01_FINAL_CONFIG_MASTER!R193</t>
        </is>
      </c>
      <c r="K193" t="inlineStr">
        <is>
          <t>2026-08-10T19:29:54Z</t>
        </is>
      </c>
      <c r="L193" t="inlineStr">
        <is>
          <t>2026-08-10T19:29:54Z</t>
        </is>
      </c>
    </row>
    <row r="194">
      <c r="A194" s="19" t="inlineStr">
        <is>
          <t>193</t>
        </is>
      </c>
      <c r="B194" s="19" t="inlineStr">
        <is>
          <t>ST-072-STD-22</t>
        </is>
      </c>
      <c r="C194" t="n">
        <v>0</v>
      </c>
      <c r="D194" t="inlineStr">
        <is>
          <t>Starter 72-unit | Standard Pallet 1030×1110×152 mm | Variant 22</t>
        </is>
      </c>
      <c r="E194" t="inlineStr">
        <is>
          <t>TR: L4, LB4 | Palet (4000037): 1 adet | Köşebent (4000590): 2 adet | EN: L4, LB4 | Pallet (4000037): 1 pc | Edge protector (4000590): 2 pcs</t>
        </is>
      </c>
      <c r="F194" s="19" t="n"/>
      <c r="G194" s="19" t="inlineStr">
        <is>
          <t>2</t>
        </is>
      </c>
      <c r="H194" t="inlineStr">
        <is>
          <t>2026-08-08</t>
        </is>
      </c>
      <c r="J194" t="inlineStr">
        <is>
          <t>FINAL_CONFIGURATION_ID=IA-ST-072-STD-22;SOURCE_CONFIGURATION_ID=IA-ST-CFG-0231;FAMILY=STARTER;PACKAGING_MASS_KG=30.6372;EVIDENCE_BASIS=REV00 CURRENT EVIDENCE BASIS — ARTICLE 5 ASSESSMENT BASIS;SOURCE_REF=INCI_AKU_PPWR_Final_Configuration_Register_Rev00_GOLDEN_VARIANTS_FINAL.xlsx!01_FINAL_CONFIG_MASTER!R194</t>
        </is>
      </c>
      <c r="K194" t="inlineStr">
        <is>
          <t>2026-08-10T19:29:54Z</t>
        </is>
      </c>
      <c r="L194" t="inlineStr">
        <is>
          <t>2026-08-10T19:29:54Z</t>
        </is>
      </c>
    </row>
    <row r="195">
      <c r="A195" s="19" t="inlineStr">
        <is>
          <t>194</t>
        </is>
      </c>
      <c r="B195" s="19" t="inlineStr">
        <is>
          <t>ST-072-STD-23</t>
        </is>
      </c>
      <c r="C195" t="n">
        <v>0</v>
      </c>
      <c r="D195" t="inlineStr">
        <is>
          <t>Starter 72-unit | Standard Pallet 1030×1110×152 mm | Variant 23</t>
        </is>
      </c>
      <c r="E195" t="inlineStr">
        <is>
          <t>TR: L4 | Palet (4000037): 1 adet | Separatör (4000130): 5 adet | EN: L4 | Pallet (4000037): 1 pc | Separator (4000130): 5 pcs</t>
        </is>
      </c>
      <c r="F195" s="19" t="n"/>
      <c r="G195" s="19" t="inlineStr">
        <is>
          <t>2</t>
        </is>
      </c>
      <c r="H195" t="inlineStr">
        <is>
          <t>2026-08-08</t>
        </is>
      </c>
      <c r="J195" t="inlineStr">
        <is>
          <t>FINAL_CONFIGURATION_ID=IA-ST-072-STD-23;SOURCE_CONFIGURATION_ID=IA-ST-CFG-0232;FAMILY=STARTER;PACKAGING_MASS_KG=28.1892;EVIDENCE_BASIS=REV00 CURRENT EVIDENCE BASIS — ARTICLE 5 ASSESSMENT BASIS;SOURCE_REF=INCI_AKU_PPWR_Final_Configuration_Register_Rev00_GOLDEN_VARIANTS_FINAL.xlsx!01_FINAL_CONFIG_MASTER!R195</t>
        </is>
      </c>
      <c r="K195" t="inlineStr">
        <is>
          <t>2026-08-10T19:29:54Z</t>
        </is>
      </c>
      <c r="L195" t="inlineStr">
        <is>
          <t>2026-08-10T19:29:54Z</t>
        </is>
      </c>
    </row>
    <row r="196">
      <c r="A196" s="19" t="inlineStr">
        <is>
          <t>195</t>
        </is>
      </c>
      <c r="B196" s="19" t="inlineStr">
        <is>
          <t>ST-072-STD-24</t>
        </is>
      </c>
      <c r="C196" t="n">
        <v>0</v>
      </c>
      <c r="D196" t="inlineStr">
        <is>
          <t>Starter 72-unit | Standard Pallet 1030×1110×152 mm | Variant 24</t>
        </is>
      </c>
      <c r="E196" t="inlineStr">
        <is>
          <t>TR: L4, LB4 | Palet (4000037): 1 adet | Köşebent (4000590): kullanılmaz | EN: L4, LB4 | Pallet (4000037): 1 pc | Edge protector (4000590): not used</t>
        </is>
      </c>
      <c r="F196" s="19" t="n"/>
      <c r="G196" s="19" t="inlineStr">
        <is>
          <t>2</t>
        </is>
      </c>
      <c r="H196" t="inlineStr">
        <is>
          <t>2026-08-08</t>
        </is>
      </c>
      <c r="J196" t="inlineStr">
        <is>
          <t>FINAL_CONFIGURATION_ID=IA-ST-072-STD-24;SOURCE_CONFIGURATION_ID=IA-ST-CFG-0233;FAMILY=STARTER;PACKAGING_MASS_KG=30.3504;EVIDENCE_BASIS=REV00 CURRENT EVIDENCE BASIS — ARTICLE 5 ASSESSMENT BASIS;SOURCE_REF=INCI_AKU_PPWR_Final_Configuration_Register_Rev00_GOLDEN_VARIANTS_FINAL.xlsx!01_FINAL_CONFIG_MASTER!R196</t>
        </is>
      </c>
      <c r="K196" t="inlineStr">
        <is>
          <t>2026-08-10T19:29:54Z</t>
        </is>
      </c>
      <c r="L196" t="inlineStr">
        <is>
          <t>2026-08-10T19:29:54Z</t>
        </is>
      </c>
    </row>
    <row r="197">
      <c r="A197" s="19" t="inlineStr">
        <is>
          <t>196</t>
        </is>
      </c>
      <c r="B197" s="19" t="inlineStr">
        <is>
          <t>ST-072-STD-25</t>
        </is>
      </c>
      <c r="C197" t="n">
        <v>0</v>
      </c>
      <c r="D197" t="inlineStr">
        <is>
          <t>Starter 72-unit | Standard Pallet 1030×1110×152 mm | Variant 25</t>
        </is>
      </c>
      <c r="E197" t="inlineStr">
        <is>
          <t>TR: LB4 | Palet (4000037): 1 adet | Shrink film (4001177): 0.597 kg | EN: LB4 | Pallet (4000037): 1 pc | Shrink film (4001177): 0.597 kg</t>
        </is>
      </c>
      <c r="F197" s="19" t="n"/>
      <c r="G197" s="19" t="inlineStr">
        <is>
          <t>2</t>
        </is>
      </c>
      <c r="H197" t="inlineStr">
        <is>
          <t>2026-08-08</t>
        </is>
      </c>
      <c r="J197" t="inlineStr">
        <is>
          <t>FINAL_CONFIGURATION_ID=IA-ST-072-STD-25;SOURCE_CONFIGURATION_ID=IA-ST-CFG-0234;FAMILY=STARTER;PACKAGING_MASS_KG=28.887;EVIDENCE_BASIS=REV00 CURRENT EVIDENCE BASIS — ARTICLE 5 ASSESSMENT BASIS;SOURCE_REF=INCI_AKU_PPWR_Final_Configuration_Register_Rev00_GOLDEN_VARIANTS_FINAL.xlsx!01_FINAL_CONFIG_MASTER!R197</t>
        </is>
      </c>
      <c r="K197" t="inlineStr">
        <is>
          <t>2026-08-10T19:29:54Z</t>
        </is>
      </c>
      <c r="L197" t="inlineStr">
        <is>
          <t>2026-08-10T19:29:54Z</t>
        </is>
      </c>
    </row>
    <row r="198">
      <c r="A198" s="19" t="inlineStr">
        <is>
          <t>197</t>
        </is>
      </c>
      <c r="B198" s="19" t="inlineStr">
        <is>
          <t>ST-076-EUR-01</t>
        </is>
      </c>
      <c r="C198" t="n">
        <v>0</v>
      </c>
      <c r="D198" t="inlineStr">
        <is>
          <t>Starter 76-unit | Euro Pallet 800×1200×152 mm | Variant 01</t>
        </is>
      </c>
      <c r="E198" t="inlineStr">
        <is>
          <t>TR: L2 | L2 İnci AGM LEO 60AH 680A pencereli dış koli (4001340): 76 adet | EN: L2 | L2 İnci AGM LEO 60AH 680A windowed outer carton (4001340): 76 pcs</t>
        </is>
      </c>
      <c r="F198" s="19" t="n"/>
      <c r="G198" s="19" t="inlineStr">
        <is>
          <t>2</t>
        </is>
      </c>
      <c r="H198" t="inlineStr">
        <is>
          <t>2026-08-08</t>
        </is>
      </c>
      <c r="J198" t="inlineStr">
        <is>
          <t>FINAL_CONFIGURATION_ID=IA-ST-076-EUR-01;SOURCE_CONFIGURATION_ID=IA-ST-CFG-0238;FAMILY=STARTER;PACKAGING_MASS_KG=47.226;EVIDENCE_BASIS=REV00 CURRENT EVIDENCE BASIS — ARTICLE 5 ASSESSMENT BASIS;SOURCE_REF=INCI_AKU_PPWR_Final_Configuration_Register_Rev00_GOLDEN_VARIANTS_FINAL.xlsx!01_FINAL_CONFIG_MASTER!R198</t>
        </is>
      </c>
      <c r="K198" t="inlineStr">
        <is>
          <t>2026-08-10T19:29:54Z</t>
        </is>
      </c>
      <c r="L198" t="inlineStr">
        <is>
          <t>2026-08-10T19:29:54Z</t>
        </is>
      </c>
    </row>
    <row r="199">
      <c r="A199" s="19" t="inlineStr">
        <is>
          <t>198</t>
        </is>
      </c>
      <c r="B199" s="19" t="inlineStr">
        <is>
          <t>ST-076-EUR-02</t>
        </is>
      </c>
      <c r="C199" t="n">
        <v>0</v>
      </c>
      <c r="D199" t="inlineStr">
        <is>
          <t>Starter 76-unit | Euro Pallet 800×1200×152 mm | Variant 02</t>
        </is>
      </c>
      <c r="E199" t="inlineStr">
        <is>
          <t>TR: L2, LB2 | Palet (4000038): 1 adet | Köşebent (4000590): 4 adet | EN: L2, LB2 | Pallet (4000038): 1 pc | Edge protector (4000590): 4 pcs</t>
        </is>
      </c>
      <c r="F199" s="19" t="n"/>
      <c r="G199" s="19" t="inlineStr">
        <is>
          <t>2</t>
        </is>
      </c>
      <c r="H199" t="inlineStr">
        <is>
          <t>2026-08-08</t>
        </is>
      </c>
      <c r="J199" t="inlineStr">
        <is>
          <t>FINAL_CONFIGURATION_ID=IA-ST-076-EUR-02;SOURCE_CONFIGURATION_ID=IA-ST-CFG-0239;FAMILY=STARTER;PACKAGING_MASS_KG=28.126;EVIDENCE_BASIS=REV00 CURRENT EVIDENCE BASIS — ARTICLE 5 ASSESSMENT BASIS;SOURCE_REF=INCI_AKU_PPWR_Final_Configuration_Register_Rev00_GOLDEN_VARIANTS_FINAL.xlsx!01_FINAL_CONFIG_MASTER!R199</t>
        </is>
      </c>
      <c r="K199" t="inlineStr">
        <is>
          <t>2026-08-10T19:29:54Z</t>
        </is>
      </c>
      <c r="L199" t="inlineStr">
        <is>
          <t>2026-08-10T19:29:54Z</t>
        </is>
      </c>
    </row>
    <row r="200">
      <c r="A200" s="19" t="inlineStr">
        <is>
          <t>199</t>
        </is>
      </c>
      <c r="B200" s="19" t="inlineStr">
        <is>
          <t>ST-076-EUR-03</t>
        </is>
      </c>
      <c r="C200" t="n">
        <v>0</v>
      </c>
      <c r="D200" t="inlineStr">
        <is>
          <t>Starter 76-unit | Euro Pallet 800×1200×152 mm | Variant 03</t>
        </is>
      </c>
      <c r="E200" t="inlineStr">
        <is>
          <t>TR: L2, LB2 | Palet (4000038): 1 adet | Shrink film (4000558): 2.888 kg | EN: L2, LB2 | Pallet (4000038): 1 pc | Shrink film (4000558): 2.888 kg</t>
        </is>
      </c>
      <c r="F200" s="19" t="n"/>
      <c r="G200" s="19" t="inlineStr">
        <is>
          <t>2</t>
        </is>
      </c>
      <c r="H200" t="inlineStr">
        <is>
          <t>2026-08-08</t>
        </is>
      </c>
      <c r="J200" t="inlineStr">
        <is>
          <t>FINAL_CONFIGURATION_ID=IA-ST-076-EUR-03;SOURCE_CONFIGURATION_ID=IA-ST-CFG-0240;FAMILY=STARTER;PACKAGING_MASS_KG=30.7272;EVIDENCE_BASIS=REV00 CURRENT EVIDENCE BASIS — ARTICLE 5 ASSESSMENT BASIS;SOURCE_REF=INCI_AKU_PPWR_Final_Configuration_Register_Rev00_GOLDEN_VARIANTS_FINAL.xlsx!01_FINAL_CONFIG_MASTER!R200</t>
        </is>
      </c>
      <c r="K200" t="inlineStr">
        <is>
          <t>2026-08-10T19:29:54Z</t>
        </is>
      </c>
      <c r="L200" t="inlineStr">
        <is>
          <t>2026-08-10T19:29:54Z</t>
        </is>
      </c>
    </row>
    <row r="201">
      <c r="A201" s="19" t="inlineStr">
        <is>
          <t>200</t>
        </is>
      </c>
      <c r="B201" s="19" t="inlineStr">
        <is>
          <t>ST-076-EUR-04</t>
        </is>
      </c>
      <c r="C201" t="n">
        <v>0</v>
      </c>
      <c r="D201" t="inlineStr">
        <is>
          <t>Starter 76-unit | Euro Pallet 800×1200×152 mm | Variant 04</t>
        </is>
      </c>
      <c r="E201" t="inlineStr">
        <is>
          <t>TR: LB2, L2 | Palet (4000038): 1 adet | Köşebent (4000590): 2 adet | EN: LB2, L2 | Pallet (4000038): 1 pc | Edge protector (4000590): 2 pcs</t>
        </is>
      </c>
      <c r="F201" s="19" t="n"/>
      <c r="G201" s="19" t="inlineStr">
        <is>
          <t>2</t>
        </is>
      </c>
      <c r="H201" t="inlineStr">
        <is>
          <t>2026-08-08</t>
        </is>
      </c>
      <c r="J201" t="inlineStr">
        <is>
          <t>FINAL_CONFIGURATION_ID=IA-ST-076-EUR-04;SOURCE_CONFIGURATION_ID=IA-ST-CFG-0241;FAMILY=STARTER;PACKAGING_MASS_KG=27.8392;EVIDENCE_BASIS=REV00 CURRENT EVIDENCE BASIS — ARTICLE 5 ASSESSMENT BASIS;SOURCE_REF=INCI_AKU_PPWR_Final_Configuration_Register_Rev00_GOLDEN_VARIANTS_FINAL.xlsx!01_FINAL_CONFIG_MASTER!R201</t>
        </is>
      </c>
      <c r="K201" t="inlineStr">
        <is>
          <t>2026-08-10T19:29:54Z</t>
        </is>
      </c>
      <c r="L201" t="inlineStr">
        <is>
          <t>2026-08-10T19:29:54Z</t>
        </is>
      </c>
    </row>
    <row r="202">
      <c r="A202" s="19" t="inlineStr">
        <is>
          <t>201</t>
        </is>
      </c>
      <c r="B202" s="19" t="inlineStr">
        <is>
          <t>ST-080-EUR-01</t>
        </is>
      </c>
      <c r="C202" t="n">
        <v>0</v>
      </c>
      <c r="D202" t="inlineStr">
        <is>
          <t>Starter 80-unit | Euro Pallet 800×1200×152 mm | Variant 01</t>
        </is>
      </c>
      <c r="E202" t="inlineStr">
        <is>
          <t>TR: L1 | L1 İnci AGM LEO 50AH 560A pencereli dış koli (4001393): 80 adet | EN: L1 | L1 İnci AGM LEO 50AH 560A windowed outer carton (4001393): 80 pcs</t>
        </is>
      </c>
      <c r="F202" s="19" t="n"/>
      <c r="G202" s="19" t="inlineStr">
        <is>
          <t>2</t>
        </is>
      </c>
      <c r="H202" t="inlineStr">
        <is>
          <t>2026-08-08</t>
        </is>
      </c>
      <c r="J202" t="inlineStr">
        <is>
          <t>FINAL_CONFIGURATION_ID=IA-ST-080-EUR-01;SOURCE_CONFIGURATION_ID=IA-ST-CFG-0243;FAMILY=STARTER;PACKAGING_MASS_KG=48.606;EVIDENCE_BASIS=REV00 CURRENT EVIDENCE BASIS — ARTICLE 5 ASSESSMENT BASIS;SOURCE_REF=INCI_AKU_PPWR_Final_Configuration_Register_Rev00_GOLDEN_VARIANTS_FINAL.xlsx!01_FINAL_CONFIG_MASTER!R202</t>
        </is>
      </c>
      <c r="K202" t="inlineStr">
        <is>
          <t>2026-08-10T19:29:54Z</t>
        </is>
      </c>
      <c r="L202" t="inlineStr">
        <is>
          <t>2026-08-10T19:29:54Z</t>
        </is>
      </c>
    </row>
    <row r="203">
      <c r="A203" s="19" t="inlineStr">
        <is>
          <t>202</t>
        </is>
      </c>
      <c r="B203" s="19" t="inlineStr">
        <is>
          <t>ST-081-EUR-01</t>
        </is>
      </c>
      <c r="C203" t="n">
        <v>0</v>
      </c>
      <c r="D203" t="inlineStr">
        <is>
          <t>Starter 81-unit | Euro Pallet 800×1200×152 mm | Variant 01</t>
        </is>
      </c>
      <c r="E203" t="inlineStr">
        <is>
          <t>TR: NS60 | Palet (4000038): 1 adet | Honeycomb (4001186): 3 adet | EN: NS60 | Pallet (4000038): 1 pc | Honeycomb (4001186): 3 pcs</t>
        </is>
      </c>
      <c r="F203" s="19" t="n"/>
      <c r="G203" s="19" t="inlineStr">
        <is>
          <t>2</t>
        </is>
      </c>
      <c r="H203" t="inlineStr">
        <is>
          <t>2026-08-08</t>
        </is>
      </c>
      <c r="J203" t="inlineStr">
        <is>
          <t>FINAL_CONFIGURATION_ID=IA-ST-081-EUR-01;SOURCE_CONFIGURATION_ID=IA-ST-CFG-0245;FAMILY=STARTER;PACKAGING_MASS_KG=30.326;EVIDENCE_BASIS=REV00 CURRENT EVIDENCE BASIS — ARTICLE 5 ASSESSMENT BASIS;SOURCE_REF=INCI_AKU_PPWR_Final_Configuration_Register_Rev00_GOLDEN_VARIANTS_FINAL.xlsx!01_FINAL_CONFIG_MASTER!R203</t>
        </is>
      </c>
      <c r="K203" t="inlineStr">
        <is>
          <t>2026-08-10T19:29:54Z</t>
        </is>
      </c>
      <c r="L203" t="inlineStr">
        <is>
          <t>2026-08-10T19:29:54Z</t>
        </is>
      </c>
    </row>
    <row r="204">
      <c r="A204" s="19" t="inlineStr">
        <is>
          <t>203</t>
        </is>
      </c>
      <c r="B204" s="19" t="inlineStr">
        <is>
          <t>ST-087-EUR-01</t>
        </is>
      </c>
      <c r="C204" t="n">
        <v>0</v>
      </c>
      <c r="D204" t="inlineStr">
        <is>
          <t>Starter 87-unit | Euro Pallet 800×1200×152 mm | Variant 01</t>
        </is>
      </c>
      <c r="E204" t="inlineStr">
        <is>
          <t>TR: NS40 | NS40 PVC üst kapak (4000601): 87 adet | EN: NS40 | NS40 PVC upper cover (4000601): 87 pcs</t>
        </is>
      </c>
      <c r="F204" s="19" t="n"/>
      <c r="G204" s="19" t="inlineStr">
        <is>
          <t>2</t>
        </is>
      </c>
      <c r="H204" t="inlineStr">
        <is>
          <t>2026-08-08</t>
        </is>
      </c>
      <c r="J204" t="inlineStr">
        <is>
          <t>FINAL_CONFIGURATION_ID=IA-ST-087-EUR-01;SOURCE_CONFIGURATION_ID=IA-ST-CFG-0253;FAMILY=STARTER;PACKAGING_MASS_KG=33.11851;EVIDENCE_BASIS=REV00 CURRENT EVIDENCE BASIS — ARTICLE 5 ASSESSMENT BASIS;SOURCE_REF=INCI_AKU_PPWR_Final_Configuration_Register_Rev00_GOLDEN_VARIANTS_FINAL.xlsx!01_FINAL_CONFIG_MASTER!R204</t>
        </is>
      </c>
      <c r="K204" t="inlineStr">
        <is>
          <t>2026-08-10T19:29:54Z</t>
        </is>
      </c>
      <c r="L204" t="inlineStr">
        <is>
          <t>2026-08-10T19:29:54Z</t>
        </is>
      </c>
    </row>
    <row r="205">
      <c r="A205" s="19" t="inlineStr">
        <is>
          <t>204</t>
        </is>
      </c>
      <c r="B205" s="19" t="inlineStr">
        <is>
          <t>ST-087-STD-01</t>
        </is>
      </c>
      <c r="C205" t="n">
        <v>0</v>
      </c>
      <c r="D205" t="inlineStr">
        <is>
          <t>Starter 87-unit | Standard Pallet 1030×1110×152 mm | Variant 01</t>
        </is>
      </c>
      <c r="E205" t="inlineStr">
        <is>
          <t>TR: L1 | Palet (4000037): 1 adet | Köşebent (4000033): 2 adet | EN: L1 | Pallet (4000037): 1 pc | Edge protector (4000033): 2 pcs</t>
        </is>
      </c>
      <c r="F205" s="19" t="n"/>
      <c r="G205" s="19" t="inlineStr">
        <is>
          <t>2</t>
        </is>
      </c>
      <c r="H205" t="inlineStr">
        <is>
          <t>2026-08-08</t>
        </is>
      </c>
      <c r="J205" t="inlineStr">
        <is>
          <t>FINAL_CONFIGURATION_ID=IA-ST-087-STD-01;SOURCE_CONFIGURATION_ID=IA-ST-CFG-0246;FAMILY=STARTER;PACKAGING_MASS_KG=28.1392;EVIDENCE_BASIS=REV00 CURRENT EVIDENCE BASIS — ARTICLE 5 ASSESSMENT BASIS;SOURCE_REF=INCI_AKU_PPWR_Final_Configuration_Register_Rev00_GOLDEN_VARIANTS_FINAL.xlsx!01_FINAL_CONFIG_MASTER!R205</t>
        </is>
      </c>
      <c r="K205" t="inlineStr">
        <is>
          <t>2026-08-10T19:29:54Z</t>
        </is>
      </c>
      <c r="L205" t="inlineStr">
        <is>
          <t>2026-08-10T19:29:54Z</t>
        </is>
      </c>
    </row>
    <row r="206">
      <c r="A206" s="19" t="inlineStr">
        <is>
          <t>205</t>
        </is>
      </c>
      <c r="B206" s="19" t="inlineStr">
        <is>
          <t>ST-087-STD-02</t>
        </is>
      </c>
      <c r="C206" t="n">
        <v>0</v>
      </c>
      <c r="D206" t="inlineStr">
        <is>
          <t>Starter 87-unit | Standard Pallet 1030×1110×152 mm | Variant 02</t>
        </is>
      </c>
      <c r="E206" t="inlineStr">
        <is>
          <t>TR: LB1 | Palet (4000037): 1 adet | Köşebent (4000033): 2 adet | EN: LB1 | Pallet (4000037): 1 pc | Edge protector (4000033): 2 pcs</t>
        </is>
      </c>
      <c r="F206" s="19" t="n"/>
      <c r="G206" s="19" t="inlineStr">
        <is>
          <t>2</t>
        </is>
      </c>
      <c r="H206" t="inlineStr">
        <is>
          <t>2026-08-08</t>
        </is>
      </c>
      <c r="J206" t="inlineStr">
        <is>
          <t>FINAL_CONFIGURATION_ID=IA-ST-087-STD-02;SOURCE_CONFIGURATION_ID=IA-ST-CFG-0247;FAMILY=STARTER;PACKAGING_MASS_KG=30.4892;EVIDENCE_BASIS=REV00 CURRENT EVIDENCE BASIS — ARTICLE 5 ASSESSMENT BASIS;SOURCE_REF=INCI_AKU_PPWR_Final_Configuration_Register_Rev00_GOLDEN_VARIANTS_FINAL.xlsx!01_FINAL_CONFIG_MASTER!R206</t>
        </is>
      </c>
      <c r="K206" t="inlineStr">
        <is>
          <t>2026-08-10T19:29:54Z</t>
        </is>
      </c>
      <c r="L206" t="inlineStr">
        <is>
          <t>2026-08-10T19:29:54Z</t>
        </is>
      </c>
    </row>
    <row r="207">
      <c r="A207" s="19" t="inlineStr">
        <is>
          <t>206</t>
        </is>
      </c>
      <c r="B207" s="19" t="inlineStr">
        <is>
          <t>ST-087-STD-03</t>
        </is>
      </c>
      <c r="C207" t="n">
        <v>0</v>
      </c>
      <c r="D207" t="inlineStr">
        <is>
          <t>Starter 87-unit | Standard Pallet 1030×1110×152 mm | Variant 03</t>
        </is>
      </c>
      <c r="E207" t="inlineStr">
        <is>
          <t>TR: L1, LB1 | Palet (4000037): 1 adet | Köşebent (4000033): 2 adet | EN: L1, LB1 | Pallet (4000037): 1 pc | Edge protector (4000033): 2 pcs</t>
        </is>
      </c>
      <c r="F207" s="19" t="n"/>
      <c r="G207" s="19" t="inlineStr">
        <is>
          <t>2</t>
        </is>
      </c>
      <c r="H207" t="inlineStr">
        <is>
          <t>2026-08-08</t>
        </is>
      </c>
      <c r="J207" t="inlineStr">
        <is>
          <t>FINAL_CONFIGURATION_ID=IA-ST-087-STD-03;SOURCE_CONFIGURATION_ID=IA-ST-CFG-0248;FAMILY=STARTER;PACKAGING_MASS_KG=31.0092;EVIDENCE_BASIS=REV00 CURRENT EVIDENCE BASIS — ARTICLE 5 ASSESSMENT BASIS;SOURCE_REF=INCI_AKU_PPWR_Final_Configuration_Register_Rev00_GOLDEN_VARIANTS_FINAL.xlsx!01_FINAL_CONFIG_MASTER!R207</t>
        </is>
      </c>
      <c r="K207" t="inlineStr">
        <is>
          <t>2026-08-10T19:29:54Z</t>
        </is>
      </c>
      <c r="L207" t="inlineStr">
        <is>
          <t>2026-08-10T19:29:54Z</t>
        </is>
      </c>
    </row>
    <row r="208">
      <c r="A208" s="19" t="inlineStr">
        <is>
          <t>207</t>
        </is>
      </c>
      <c r="B208" s="19" t="inlineStr">
        <is>
          <t>ST-087-STD-04</t>
        </is>
      </c>
      <c r="C208" t="n">
        <v>0</v>
      </c>
      <c r="D208" t="inlineStr">
        <is>
          <t>Starter 87-unit | Standard Pallet 1030×1110×152 mm | Variant 04</t>
        </is>
      </c>
      <c r="E208" t="inlineStr">
        <is>
          <t>TR: LB1, L1 | Palet (4000037): 1 adet | Shrink film (4001177): 0.597 kg | EN: LB1, L1 | Pallet (4000037): 1 pc | Shrink film (4001177): 0.597 kg</t>
        </is>
      </c>
      <c r="F208" s="19" t="n"/>
      <c r="G208" s="19" t="inlineStr">
        <is>
          <t>2</t>
        </is>
      </c>
      <c r="H208" t="inlineStr">
        <is>
          <t>2026-08-08</t>
        </is>
      </c>
      <c r="J208" t="inlineStr">
        <is>
          <t>FINAL_CONFIGURATION_ID=IA-ST-087-STD-04;SOURCE_CONFIGURATION_ID=IA-ST-CFG-0249;FAMILY=STARTER;PACKAGING_MASS_KG=29.057;EVIDENCE_BASIS=REV00 CURRENT EVIDENCE BASIS — ARTICLE 5 ASSESSMENT BASIS;SOURCE_REF=INCI_AKU_PPWR_Final_Configuration_Register_Rev00_GOLDEN_VARIANTS_FINAL.xlsx!01_FINAL_CONFIG_MASTER!R208</t>
        </is>
      </c>
      <c r="K208" t="inlineStr">
        <is>
          <t>2026-08-10T19:29:54Z</t>
        </is>
      </c>
      <c r="L208" t="inlineStr">
        <is>
          <t>2026-08-10T19:29:54Z</t>
        </is>
      </c>
    </row>
    <row r="209">
      <c r="A209" s="19" t="inlineStr">
        <is>
          <t>208</t>
        </is>
      </c>
      <c r="B209" s="19" t="inlineStr">
        <is>
          <t>ST-087-STD-05</t>
        </is>
      </c>
      <c r="C209" t="n">
        <v>0</v>
      </c>
      <c r="D209" t="inlineStr">
        <is>
          <t>Starter 87-unit | Standard Pallet 1030×1110×152 mm | Variant 05</t>
        </is>
      </c>
      <c r="E209" t="inlineStr">
        <is>
          <t>TR: NS60 | NS60 EAS Activa penceresiz dış koli (4000631): 87 adet | EN: NS60 | NS60 EAS Activa windowless outer carton (4000631): 87 pcs</t>
        </is>
      </c>
      <c r="F209" s="19" t="n"/>
      <c r="G209" s="19" t="inlineStr">
        <is>
          <t>2</t>
        </is>
      </c>
      <c r="H209" t="inlineStr">
        <is>
          <t>2026-08-08</t>
        </is>
      </c>
      <c r="J209" t="inlineStr">
        <is>
          <t>FINAL_CONFIGURATION_ID=IA-ST-087-STD-05;SOURCE_CONFIGURATION_ID=IA-ST-CFG-0250;FAMILY=STARTER;PACKAGING_MASS_KG=49.6589;EVIDENCE_BASIS=REV00 CURRENT EVIDENCE BASIS — ARTICLE 5 ASSESSMENT BASIS;SOURCE_REF=INCI_AKU_PPWR_Final_Configuration_Register_Rev00_GOLDEN_VARIANTS_FINAL.xlsx!01_FINAL_CONFIG_MASTER!R209</t>
        </is>
      </c>
      <c r="K209" t="inlineStr">
        <is>
          <t>2026-08-10T19:29:54Z</t>
        </is>
      </c>
      <c r="L209" t="inlineStr">
        <is>
          <t>2026-08-10T19:29:54Z</t>
        </is>
      </c>
    </row>
    <row r="210">
      <c r="A210" s="19" t="inlineStr">
        <is>
          <t>209</t>
        </is>
      </c>
      <c r="B210" s="19" t="inlineStr">
        <is>
          <t>ST-087-STD-06</t>
        </is>
      </c>
      <c r="C210" t="n">
        <v>0</v>
      </c>
      <c r="D210" t="inlineStr">
        <is>
          <t>Starter 87-unit | Standard Pallet 1030×1110×152 mm | Variant 06</t>
        </is>
      </c>
      <c r="E210" t="inlineStr">
        <is>
          <t>TR: LB1 | Palet (4000037): 1 adet | Köşebent (4000033): kullanılmaz | EN: LB1 | Pallet (4000037): 1 pc | Edge protector (4000033): not used</t>
        </is>
      </c>
      <c r="F210" s="19" t="n"/>
      <c r="G210" s="19" t="inlineStr">
        <is>
          <t>2</t>
        </is>
      </c>
      <c r="H210" t="inlineStr">
        <is>
          <t>2026-08-08</t>
        </is>
      </c>
      <c r="J210" t="inlineStr">
        <is>
          <t>FINAL_CONFIGURATION_ID=IA-ST-087-STD-06;SOURCE_CONFIGURATION_ID=IA-ST-CFG-0251;FAMILY=STARTER;PACKAGING_MASS_KG=29.9824;EVIDENCE_BASIS=REV00 CURRENT EVIDENCE BASIS — ARTICLE 5 ASSESSMENT BASIS;SOURCE_REF=INCI_AKU_PPWR_Final_Configuration_Register_Rev00_GOLDEN_VARIANTS_FINAL.xlsx!01_FINAL_CONFIG_MASTER!R210</t>
        </is>
      </c>
      <c r="K210" t="inlineStr">
        <is>
          <t>2026-08-10T19:29:54Z</t>
        </is>
      </c>
      <c r="L210" t="inlineStr">
        <is>
          <t>2026-08-10T19:29:54Z</t>
        </is>
      </c>
    </row>
    <row r="211">
      <c r="A211" s="19" t="inlineStr">
        <is>
          <t>210</t>
        </is>
      </c>
      <c r="B211" s="19" t="inlineStr">
        <is>
          <t>ST-087-STD-07</t>
        </is>
      </c>
      <c r="C211" t="n">
        <v>0</v>
      </c>
      <c r="D211" t="inlineStr">
        <is>
          <t>Starter 87-unit | Standard Pallet 1030×1110×152 mm | Variant 07</t>
        </is>
      </c>
      <c r="E211" t="inlineStr">
        <is>
          <t>TR: L1, LB1 | Palet (4000037): 1 adet | Köşebent (4000033): kullanılmaz | EN: L1, LB1 | Pallet (4000037): 1 pc | Edge protector (4000033): not used</t>
        </is>
      </c>
      <c r="F211" s="19" t="n"/>
      <c r="G211" s="19" t="inlineStr">
        <is>
          <t>2</t>
        </is>
      </c>
      <c r="H211" t="inlineStr">
        <is>
          <t>2026-08-08</t>
        </is>
      </c>
      <c r="J211" t="inlineStr">
        <is>
          <t>FINAL_CONFIGURATION_ID=IA-ST-087-STD-07;SOURCE_CONFIGURATION_ID=IA-ST-CFG-0252;FAMILY=STARTER;PACKAGING_MASS_KG=30.5024;EVIDENCE_BASIS=REV00 CURRENT EVIDENCE BASIS — ARTICLE 5 ASSESSMENT BASIS;SOURCE_REF=INCI_AKU_PPWR_Final_Configuration_Register_Rev00_GOLDEN_VARIANTS_FINAL.xlsx!01_FINAL_CONFIG_MASTER!R211</t>
        </is>
      </c>
      <c r="K211" t="inlineStr">
        <is>
          <t>2026-08-10T19:29:54Z</t>
        </is>
      </c>
      <c r="L211" t="inlineStr">
        <is>
          <t>2026-08-10T19:29:54Z</t>
        </is>
      </c>
    </row>
    <row r="212">
      <c r="A212" s="19" t="inlineStr">
        <is>
          <t>211</t>
        </is>
      </c>
      <c r="B212" s="19" t="inlineStr">
        <is>
          <t>ST-088-STD-01</t>
        </is>
      </c>
      <c r="C212" t="n">
        <v>0</v>
      </c>
      <c r="D212" t="inlineStr">
        <is>
          <t>Starter 88-unit | Standard Pallet 1030×1110×152 mm | Variant 01</t>
        </is>
      </c>
      <c r="E212" t="inlineStr">
        <is>
          <t>TR: L2 | L2 EAS Activa penceresiz dış koli (4000644): 88 adet | EN: L2 | L2 EAS Activa windowless outer carton (4000644): 88 pcs</t>
        </is>
      </c>
      <c r="F212" s="19" t="n"/>
      <c r="G212" s="19" t="inlineStr">
        <is>
          <t>2</t>
        </is>
      </c>
      <c r="H212" t="inlineStr">
        <is>
          <t>2026-08-08</t>
        </is>
      </c>
      <c r="J212" t="inlineStr">
        <is>
          <t>FINAL_CONFIGURATION_ID=IA-ST-088-STD-01;SOURCE_CONFIGURATION_ID=IA-ST-CFG-0254;FAMILY=STARTER;PACKAGING_MASS_KG=50.456;EVIDENCE_BASIS=REV00 CURRENT EVIDENCE BASIS — ARTICLE 5 ASSESSMENT BASIS;SOURCE_REF=INCI_AKU_PPWR_Final_Configuration_Register_Rev00_GOLDEN_VARIANTS_FINAL.xlsx!01_FINAL_CONFIG_MASTER!R212</t>
        </is>
      </c>
      <c r="K212" t="inlineStr">
        <is>
          <t>2026-08-10T19:29:54Z</t>
        </is>
      </c>
      <c r="L212" t="inlineStr">
        <is>
          <t>2026-08-10T19:29:54Z</t>
        </is>
      </c>
    </row>
    <row r="213">
      <c r="A213" s="19" t="inlineStr">
        <is>
          <t>212</t>
        </is>
      </c>
      <c r="B213" s="19" t="inlineStr">
        <is>
          <t>ST-088-STD-02</t>
        </is>
      </c>
      <c r="C213" t="n">
        <v>0</v>
      </c>
      <c r="D213" t="inlineStr">
        <is>
          <t>Starter 88-unit | Standard Pallet 1030×1110×152 mm | Variant 02</t>
        </is>
      </c>
      <c r="E213" t="inlineStr">
        <is>
          <t>TR: L2 | L2 YUASA penceresiz Orta Doğu dış koli (4001102): 88 adet | EN: L2 | L2 YUASA windowless Middle East outer carton (4001102): 88 pcs</t>
        </is>
      </c>
      <c r="F213" s="19" t="n"/>
      <c r="G213" s="19" t="inlineStr">
        <is>
          <t>2</t>
        </is>
      </c>
      <c r="H213" t="inlineStr">
        <is>
          <t>2026-08-08</t>
        </is>
      </c>
      <c r="J213" t="inlineStr">
        <is>
          <t>FINAL_CONFIGURATION_ID=IA-ST-088-STD-02;SOURCE_CONFIGURATION_ID=IA-ST-CFG-0255;FAMILY=STARTER;PACKAGING_MASS_KG=50.456;EVIDENCE_BASIS=REV00 CURRENT EVIDENCE BASIS — ARTICLE 5 ASSESSMENT BASIS;SOURCE_REF=INCI_AKU_PPWR_Final_Configuration_Register_Rev00_GOLDEN_VARIANTS_FINAL.xlsx!01_FINAL_CONFIG_MASTER!R213</t>
        </is>
      </c>
      <c r="K213" t="inlineStr">
        <is>
          <t>2026-08-10T19:29:54Z</t>
        </is>
      </c>
      <c r="L213" t="inlineStr">
        <is>
          <t>2026-08-10T19:29:54Z</t>
        </is>
      </c>
    </row>
    <row r="214">
      <c r="A214" s="19" t="inlineStr">
        <is>
          <t>213</t>
        </is>
      </c>
      <c r="B214" s="19" t="inlineStr">
        <is>
          <t>ST-088-STD-03</t>
        </is>
      </c>
      <c r="C214" t="n">
        <v>0</v>
      </c>
      <c r="D214" t="inlineStr">
        <is>
          <t>Starter 88-unit | Standard Pallet 1030×1110×152 mm | Variant 03</t>
        </is>
      </c>
      <c r="E214" t="inlineStr">
        <is>
          <t>TR: L2 | L2 İnci EFB MAX TIGRIS pencereli 2020 dış koli (4001272): 88 adet | EN: L2 | L2 İnci EFB MAX TIGRIS windowed 2020 outer carton (4001272): 88 pcs</t>
        </is>
      </c>
      <c r="F214" s="19" t="n"/>
      <c r="G214" s="19" t="inlineStr">
        <is>
          <t>2</t>
        </is>
      </c>
      <c r="H214" t="inlineStr">
        <is>
          <t>2026-08-08</t>
        </is>
      </c>
      <c r="J214" t="inlineStr">
        <is>
          <t>FINAL_CONFIGURATION_ID=IA-ST-088-STD-03;SOURCE_CONFIGURATION_ID=IA-ST-CFG-0256;FAMILY=STARTER;PACKAGING_MASS_KG=50.456;EVIDENCE_BASIS=REV00 CURRENT EVIDENCE BASIS — ARTICLE 5 ASSESSMENT BASIS;SOURCE_REF=INCI_AKU_PPWR_Final_Configuration_Register_Rev00_GOLDEN_VARIANTS_FINAL.xlsx!01_FINAL_CONFIG_MASTER!R214</t>
        </is>
      </c>
      <c r="K214" t="inlineStr">
        <is>
          <t>2026-08-10T19:29:54Z</t>
        </is>
      </c>
      <c r="L214" t="inlineStr">
        <is>
          <t>2026-08-10T19:29:54Z</t>
        </is>
      </c>
    </row>
    <row r="215">
      <c r="A215" s="19" t="inlineStr">
        <is>
          <t>214</t>
        </is>
      </c>
      <c r="B215" s="19" t="inlineStr">
        <is>
          <t>ST-088-STD-04</t>
        </is>
      </c>
      <c r="C215" t="n">
        <v>0</v>
      </c>
      <c r="D215" t="inlineStr">
        <is>
          <t>Starter 88-unit | Standard Pallet 1030×1110×152 mm | Variant 04</t>
        </is>
      </c>
      <c r="E215" t="inlineStr">
        <is>
          <t>TR: L2 | L2 İnci EFB PANTERA pencereli DL dış koli (4001317): 88 adet | EN: L2 | L2 İnci EFB PANTERA windowed DL outer carton (4001317): 88 pcs</t>
        </is>
      </c>
      <c r="F215" s="19" t="n"/>
      <c r="G215" s="19" t="inlineStr">
        <is>
          <t>2</t>
        </is>
      </c>
      <c r="H215" t="inlineStr">
        <is>
          <t>2026-08-08</t>
        </is>
      </c>
      <c r="J215" t="inlineStr">
        <is>
          <t>FINAL_CONFIGURATION_ID=IA-ST-088-STD-04;SOURCE_CONFIGURATION_ID=IA-ST-CFG-0257;FAMILY=STARTER;PACKAGING_MASS_KG=50.456;EVIDENCE_BASIS=REV00 CURRENT EVIDENCE BASIS — ARTICLE 5 ASSESSMENT BASIS;SOURCE_REF=INCI_AKU_PPWR_Final_Configuration_Register_Rev00_GOLDEN_VARIANTS_FINAL.xlsx!01_FINAL_CONFIG_MASTER!R215</t>
        </is>
      </c>
      <c r="K215" t="inlineStr">
        <is>
          <t>2026-08-10T19:29:54Z</t>
        </is>
      </c>
      <c r="L215" t="inlineStr">
        <is>
          <t>2026-08-10T19:29:54Z</t>
        </is>
      </c>
    </row>
    <row r="216">
      <c r="A216" s="19" t="inlineStr">
        <is>
          <t>215</t>
        </is>
      </c>
      <c r="B216" s="19" t="inlineStr">
        <is>
          <t>ST-088-STD-05</t>
        </is>
      </c>
      <c r="C216" t="n">
        <v>0</v>
      </c>
      <c r="D216" t="inlineStr">
        <is>
          <t>Starter 88-unit | Standard Pallet 1030×1110×152 mm | Variant 05</t>
        </is>
      </c>
      <c r="E216" t="inlineStr">
        <is>
          <t>TR: L2 | L2 EAS EFB MAX pencereli 2024 dış koli (4001410): 88 adet | EN: L2 | L2 EAS EFB MAX windowed 2024 outer carton (4001410): 88 pcs</t>
        </is>
      </c>
      <c r="F216" s="19" t="n"/>
      <c r="G216" s="19" t="inlineStr">
        <is>
          <t>2</t>
        </is>
      </c>
      <c r="H216" t="inlineStr">
        <is>
          <t>2026-08-08</t>
        </is>
      </c>
      <c r="J216" t="inlineStr">
        <is>
          <t>FINAL_CONFIGURATION_ID=IA-ST-088-STD-05;SOURCE_CONFIGURATION_ID=IA-ST-CFG-0258;FAMILY=STARTER;PACKAGING_MASS_KG=50.456;EVIDENCE_BASIS=REV00 CURRENT EVIDENCE BASIS — ARTICLE 5 ASSESSMENT BASIS;SOURCE_REF=INCI_AKU_PPWR_Final_Configuration_Register_Rev00_GOLDEN_VARIANTS_FINAL.xlsx!01_FINAL_CONFIG_MASTER!R216</t>
        </is>
      </c>
      <c r="K216" t="inlineStr">
        <is>
          <t>2026-08-10T19:29:54Z</t>
        </is>
      </c>
      <c r="L216" t="inlineStr">
        <is>
          <t>2026-08-10T19:29:54Z</t>
        </is>
      </c>
    </row>
    <row r="217">
      <c r="A217" s="19" t="inlineStr">
        <is>
          <t>216</t>
        </is>
      </c>
      <c r="B217" s="19" t="inlineStr">
        <is>
          <t>ST-088-STD-06</t>
        </is>
      </c>
      <c r="C217" t="n">
        <v>0</v>
      </c>
      <c r="D217" t="inlineStr">
        <is>
          <t>Starter 88-unit | Standard Pallet 1030×1110×152 mm | Variant 06</t>
        </is>
      </c>
      <c r="E217" t="inlineStr">
        <is>
          <t>TR: L2 | L2 BLIZZARO SILVERLINE penceresiz dış koli (4001434): 88 adet | EN: L2 | L2 BLIZZARO SILVERLINE windowless outer carton (4001434): 88 pcs</t>
        </is>
      </c>
      <c r="F217" s="19" t="n"/>
      <c r="G217" s="19" t="inlineStr">
        <is>
          <t>2</t>
        </is>
      </c>
      <c r="H217" t="inlineStr">
        <is>
          <t>2026-08-08</t>
        </is>
      </c>
      <c r="J217" t="inlineStr">
        <is>
          <t>FINAL_CONFIGURATION_ID=IA-ST-088-STD-06;SOURCE_CONFIGURATION_ID=IA-ST-CFG-0259;FAMILY=STARTER;PACKAGING_MASS_KG=50.606;EVIDENCE_BASIS=REV00 CURRENT EVIDENCE BASIS — ARTICLE 5 ASSESSMENT BASIS;SOURCE_REF=INCI_AKU_PPWR_Final_Configuration_Register_Rev00_GOLDEN_VARIANTS_FINAL.xlsx!01_FINAL_CONFIG_MASTER!R217</t>
        </is>
      </c>
      <c r="K217" t="inlineStr">
        <is>
          <t>2026-08-10T19:29:54Z</t>
        </is>
      </c>
      <c r="L217" t="inlineStr">
        <is>
          <t>2026-08-10T19:29:54Z</t>
        </is>
      </c>
    </row>
    <row r="218">
      <c r="A218" s="19" t="inlineStr">
        <is>
          <t>217</t>
        </is>
      </c>
      <c r="B218" s="19" t="inlineStr">
        <is>
          <t>ST-088-STD-07</t>
        </is>
      </c>
      <c r="C218" t="n">
        <v>0</v>
      </c>
      <c r="D218" t="inlineStr">
        <is>
          <t>Starter 88-unit | Standard Pallet 1030×1110×152 mm | Variant 07</t>
        </is>
      </c>
      <c r="E218" t="inlineStr">
        <is>
          <t>TR: LB2 | LB2 İnci FORMULA-MAXIMA 2019 dış koli (4001203): 88 adet | EN: LB2 | LB2 İnci FORMULA-MAXIMA 2019 outer carton (4001203): 88 pcs</t>
        </is>
      </c>
      <c r="F218" s="19" t="n"/>
      <c r="G218" s="19" t="inlineStr">
        <is>
          <t>2</t>
        </is>
      </c>
      <c r="H218" t="inlineStr">
        <is>
          <t>2026-08-08</t>
        </is>
      </c>
      <c r="J218" t="inlineStr">
        <is>
          <t>FINAL_CONFIGURATION_ID=IA-ST-088-STD-07;SOURCE_CONFIGURATION_ID=IA-ST-CFG-0260;FAMILY=STARTER;PACKAGING_MASS_KG=49.116;EVIDENCE_BASIS=REV00 CURRENT EVIDENCE BASIS — ARTICLE 5 ASSESSMENT BASIS;SOURCE_REF=INCI_AKU_PPWR_Final_Configuration_Register_Rev00_GOLDEN_VARIANTS_FINAL.xlsx!01_FINAL_CONFIG_MASTER!R218</t>
        </is>
      </c>
      <c r="K218" t="inlineStr">
        <is>
          <t>2026-08-10T19:29:54Z</t>
        </is>
      </c>
      <c r="L218" t="inlineStr">
        <is>
          <t>2026-08-10T19:29:54Z</t>
        </is>
      </c>
    </row>
    <row r="219">
      <c r="A219" s="19" t="inlineStr">
        <is>
          <t>218</t>
        </is>
      </c>
      <c r="B219" s="19" t="inlineStr">
        <is>
          <t>ST-088-STD-08</t>
        </is>
      </c>
      <c r="C219" t="n">
        <v>0</v>
      </c>
      <c r="D219" t="inlineStr">
        <is>
          <t>Starter 88-unit | Standard Pallet 1030×1110×152 mm | Variant 08</t>
        </is>
      </c>
      <c r="E219" t="inlineStr">
        <is>
          <t>TR: L2 | L2 İnci FORMULA-MAXIMA penceresiz dış koli (4001419): 88 adet | EN: L2 | L2 İnci FORMULA-MAXIMA windowless outer carton (4001419): 88 pcs</t>
        </is>
      </c>
      <c r="F219" s="19" t="n"/>
      <c r="G219" s="19" t="inlineStr">
        <is>
          <t>2</t>
        </is>
      </c>
      <c r="H219" t="inlineStr">
        <is>
          <t>2026-08-08</t>
        </is>
      </c>
      <c r="J219" t="inlineStr">
        <is>
          <t>FINAL_CONFIGURATION_ID=IA-ST-088-STD-08;SOURCE_CONFIGURATION_ID=IA-ST-CFG-0261;FAMILY=STARTER;PACKAGING_MASS_KG=50.876;EVIDENCE_BASIS=REV00 CURRENT EVIDENCE BASIS — ARTICLE 5 ASSESSMENT BASIS;SOURCE_REF=INCI_AKU_PPWR_Final_Configuration_Register_Rev00_GOLDEN_VARIANTS_FINAL.xlsx!01_FINAL_CONFIG_MASTER!R219</t>
        </is>
      </c>
      <c r="K219" t="inlineStr">
        <is>
          <t>2026-08-10T19:29:54Z</t>
        </is>
      </c>
      <c r="L219" t="inlineStr">
        <is>
          <t>2026-08-10T19:29:54Z</t>
        </is>
      </c>
    </row>
    <row r="220">
      <c r="A220" s="19" t="inlineStr">
        <is>
          <t>219</t>
        </is>
      </c>
      <c r="B220" s="19" t="inlineStr">
        <is>
          <t>ST-090-STD-01</t>
        </is>
      </c>
      <c r="C220" t="n">
        <v>0</v>
      </c>
      <c r="D220" t="inlineStr">
        <is>
          <t>Starter 90-unit | Standard Pallet 1030×1110×152 mm | Variant 01</t>
        </is>
      </c>
      <c r="E220" t="inlineStr">
        <is>
          <t>TR: L0 | Palet (4000037): 1 adet | Shrink film (4000555): 2.166 kg | EN: L0 | Pallet (4000037): 1 pc | Shrink film (4000555): 2.166 kg</t>
        </is>
      </c>
      <c r="F220" s="19" t="n"/>
      <c r="G220" s="19" t="inlineStr">
        <is>
          <t>2</t>
        </is>
      </c>
      <c r="H220" t="inlineStr">
        <is>
          <t>2026-08-08</t>
        </is>
      </c>
      <c r="J220" t="inlineStr">
        <is>
          <t>FINAL_CONFIGURATION_ID=IA-ST-090-STD-01;SOURCE_CONFIGURATION_ID=IA-ST-CFG-0262;FAMILY=STARTER;PACKAGING_MASS_KG=30.0852;EVIDENCE_BASIS=REV00 CURRENT EVIDENCE BASIS — ARTICLE 5 ASSESSMENT BASIS;SOURCE_REF=INCI_AKU_PPWR_Final_Configuration_Register_Rev00_GOLDEN_VARIANTS_FINAL.xlsx!01_FINAL_CONFIG_MASTER!R220</t>
        </is>
      </c>
      <c r="K220" t="inlineStr">
        <is>
          <t>2026-08-10T19:29:54Z</t>
        </is>
      </c>
      <c r="L220" t="inlineStr">
        <is>
          <t>2026-08-10T19:29:54Z</t>
        </is>
      </c>
    </row>
    <row r="221">
      <c r="A221" s="19" t="inlineStr">
        <is>
          <t>220</t>
        </is>
      </c>
      <c r="B221" s="19" t="inlineStr">
        <is>
          <t>ST-090-STD-02</t>
        </is>
      </c>
      <c r="C221" t="n">
        <v>0</v>
      </c>
      <c r="D221" t="inlineStr">
        <is>
          <t>Starter 90-unit | Standard Pallet 1030×1110×152 mm | Variant 02</t>
        </is>
      </c>
      <c r="E221" t="inlineStr">
        <is>
          <t>TR: L0 | Palet (4000037): 1 adet | Shrink film (4001177): 0.597 kg | EN: L0 | Pallet (4000037): 1 pc | Shrink film (4001177): 0.597 kg</t>
        </is>
      </c>
      <c r="F221" s="19" t="n"/>
      <c r="G221" s="19" t="inlineStr">
        <is>
          <t>2</t>
        </is>
      </c>
      <c r="H221" t="inlineStr">
        <is>
          <t>2026-08-08</t>
        </is>
      </c>
      <c r="J221" t="inlineStr">
        <is>
          <t>FINAL_CONFIGURATION_ID=IA-ST-090-STD-02;SOURCE_CONFIGURATION_ID=IA-ST-CFG-0263;FAMILY=STARTER;PACKAGING_MASS_KG=28.649;EVIDENCE_BASIS=REV00 CURRENT EVIDENCE BASIS — ARTICLE 5 ASSESSMENT BASIS;SOURCE_REF=INCI_AKU_PPWR_Final_Configuration_Register_Rev00_GOLDEN_VARIANTS_FINAL.xlsx!01_FINAL_CONFIG_MASTER!R221</t>
        </is>
      </c>
      <c r="K221" t="inlineStr">
        <is>
          <t>2026-08-10T19:29:54Z</t>
        </is>
      </c>
      <c r="L221" t="inlineStr">
        <is>
          <t>2026-08-10T19:29:54Z</t>
        </is>
      </c>
    </row>
    <row r="222">
      <c r="A222" s="19" t="inlineStr">
        <is>
          <t>221</t>
        </is>
      </c>
      <c r="B222" s="19" t="inlineStr">
        <is>
          <t>ST-096-EUR-01</t>
        </is>
      </c>
      <c r="C222" t="n">
        <v>0</v>
      </c>
      <c r="D222" t="inlineStr">
        <is>
          <t>Starter 96-unit | Euro Pallet 800×1200×152 mm | Variant 01</t>
        </is>
      </c>
      <c r="E222" t="inlineStr">
        <is>
          <t>TR: LB1 | Palet (4000038): 1 adet | Shrink film (4000556): 2.594 kg | EN: LB1 | Pallet (4000038): 1 pc | Shrink film (4000556): 2.594 kg</t>
        </is>
      </c>
      <c r="F222" s="19" t="n"/>
      <c r="G222" s="19" t="inlineStr">
        <is>
          <t>2</t>
        </is>
      </c>
      <c r="H222" t="inlineStr">
        <is>
          <t>2026-08-08</t>
        </is>
      </c>
      <c r="J222" t="inlineStr">
        <is>
          <t>FINAL_CONFIGURATION_ID=IA-ST-096-EUR-01;SOURCE_CONFIGURATION_ID=IA-ST-CFG-0264;FAMILY=STARTER;PACKAGING_MASS_KG=30.6532;EVIDENCE_BASIS=REV00 CURRENT EVIDENCE BASIS — ARTICLE 5 ASSESSMENT BASIS;SOURCE_REF=INCI_AKU_PPWR_Final_Configuration_Register_Rev00_GOLDEN_VARIANTS_FINAL.xlsx!01_FINAL_CONFIG_MASTER!R222</t>
        </is>
      </c>
      <c r="K222" t="inlineStr">
        <is>
          <t>2026-08-10T19:29:54Z</t>
        </is>
      </c>
      <c r="L222" t="inlineStr">
        <is>
          <t>2026-08-10T19:29:54Z</t>
        </is>
      </c>
    </row>
    <row r="223">
      <c r="A223" s="19" t="inlineStr">
        <is>
          <t>222</t>
        </is>
      </c>
      <c r="B223" s="19" t="inlineStr">
        <is>
          <t>ST-096-EUR-02</t>
        </is>
      </c>
      <c r="C223" t="n">
        <v>0</v>
      </c>
      <c r="D223" t="inlineStr">
        <is>
          <t>Starter 96-unit | Euro Pallet 800×1200×152 mm | Variant 02</t>
        </is>
      </c>
      <c r="E223" t="inlineStr">
        <is>
          <t>TR: L1 | Palet (4000038): 1 adet | Shrink film (4000556): 3.167 kg | EN: L1 | Pallet (4000038): 1 pc | Shrink film (4000556): 3.167 kg</t>
        </is>
      </c>
      <c r="F223" s="19" t="n"/>
      <c r="G223" s="19" t="inlineStr">
        <is>
          <t>2</t>
        </is>
      </c>
      <c r="H223" t="inlineStr">
        <is>
          <t>2026-08-08</t>
        </is>
      </c>
      <c r="J223" t="inlineStr">
        <is>
          <t>FINAL_CONFIGURATION_ID=IA-ST-096-EUR-02;SOURCE_CONFIGURATION_ID=IA-ST-CFG-0265;FAMILY=STARTER;PACKAGING_MASS_KG=31.0262;EVIDENCE_BASIS=REV00 CURRENT EVIDENCE BASIS — ARTICLE 5 ASSESSMENT BASIS;SOURCE_REF=INCI_AKU_PPWR_Final_Configuration_Register_Rev00_GOLDEN_VARIANTS_FINAL.xlsx!01_FINAL_CONFIG_MASTER!R223</t>
        </is>
      </c>
      <c r="K223" t="inlineStr">
        <is>
          <t>2026-08-10T19:29:54Z</t>
        </is>
      </c>
      <c r="L223" t="inlineStr">
        <is>
          <t>2026-08-10T19:29:54Z</t>
        </is>
      </c>
    </row>
    <row r="224">
      <c r="A224" s="19" t="inlineStr">
        <is>
          <t>223</t>
        </is>
      </c>
      <c r="B224" s="19" t="inlineStr">
        <is>
          <t>ST-096-EUR-03</t>
        </is>
      </c>
      <c r="C224" t="n">
        <v>0</v>
      </c>
      <c r="D224" t="inlineStr">
        <is>
          <t>Starter 96-unit | Euro Pallet 800×1200×152 mm | Variant 03</t>
        </is>
      </c>
      <c r="E224" t="inlineStr">
        <is>
          <t>TR: L1, LB1 | Palet (4000038): 1 adet | Shrink film (4000556): 3.167 kg | EN: L1, LB1 | Pallet (4000038): 1 pc | Shrink film (4000556): 3.167 kg</t>
        </is>
      </c>
      <c r="F224" s="19" t="n"/>
      <c r="G224" s="19" t="inlineStr">
        <is>
          <t>2</t>
        </is>
      </c>
      <c r="H224" t="inlineStr">
        <is>
          <t>2026-08-08</t>
        </is>
      </c>
      <c r="J224" t="inlineStr">
        <is>
          <t>FINAL_CONFIGURATION_ID=IA-ST-096-EUR-03;SOURCE_CONFIGURATION_ID=IA-ST-CFG-0266;FAMILY=STARTER;PACKAGING_MASS_KG=31.2262;EVIDENCE_BASIS=REV00 CURRENT EVIDENCE BASIS — ARTICLE 5 ASSESSMENT BASIS;SOURCE_REF=INCI_AKU_PPWR_Final_Configuration_Register_Rev00_GOLDEN_VARIANTS_FINAL.xlsx!01_FINAL_CONFIG_MASTER!R224</t>
        </is>
      </c>
      <c r="K224" t="inlineStr">
        <is>
          <t>2026-08-10T19:29:54Z</t>
        </is>
      </c>
      <c r="L224" t="inlineStr">
        <is>
          <t>2026-08-10T19:29:54Z</t>
        </is>
      </c>
    </row>
    <row r="225">
      <c r="A225" s="19" t="inlineStr">
        <is>
          <t>224</t>
        </is>
      </c>
      <c r="B225" s="19" t="inlineStr">
        <is>
          <t>ST-096-EUR-04</t>
        </is>
      </c>
      <c r="C225" t="n">
        <v>0</v>
      </c>
      <c r="D225" t="inlineStr">
        <is>
          <t>Starter 96-unit | Euro Pallet 800×1200×152 mm | Variant 04</t>
        </is>
      </c>
      <c r="E225" t="inlineStr">
        <is>
          <t>TR: L1 | Palet (4000038): 1 adet | Shrink film (4000556): kullanılmaz | EN: L1 | Pallet (4000038): 1 pc | Shrink film (4000556): not used</t>
        </is>
      </c>
      <c r="F225" s="19" t="n"/>
      <c r="G225" s="19" t="inlineStr">
        <is>
          <t>2</t>
        </is>
      </c>
      <c r="H225" t="inlineStr">
        <is>
          <t>2026-08-08</t>
        </is>
      </c>
      <c r="J225" t="inlineStr">
        <is>
          <t>FINAL_CONFIGURATION_ID=IA-ST-096-EUR-04;SOURCE_CONFIGURATION_ID=IA-ST-CFG-0267;FAMILY=STARTER;PACKAGING_MASS_KG=27.8592;EVIDENCE_BASIS=REV00 CURRENT EVIDENCE BASIS — ARTICLE 5 ASSESSMENT BASIS;SOURCE_REF=INCI_AKU_PPWR_Final_Configuration_Register_Rev00_GOLDEN_VARIANTS_FINAL.xlsx!01_FINAL_CONFIG_MASTER!R225</t>
        </is>
      </c>
      <c r="K225" t="inlineStr">
        <is>
          <t>2026-08-10T19:29:54Z</t>
        </is>
      </c>
      <c r="L225" t="inlineStr">
        <is>
          <t>2026-08-10T19:29:54Z</t>
        </is>
      </c>
    </row>
    <row r="226">
      <c r="A226" s="19" t="inlineStr">
        <is>
          <t>225</t>
        </is>
      </c>
      <c r="B226" s="19" t="inlineStr">
        <is>
          <t>ST-096-EUR-05</t>
        </is>
      </c>
      <c r="C226" t="n">
        <v>0</v>
      </c>
      <c r="D226" t="inlineStr">
        <is>
          <t>Starter 96-unit | Euro Pallet 800×1200×152 mm | Variant 05</t>
        </is>
      </c>
      <c r="E226" t="inlineStr">
        <is>
          <t>TR: LB1 | Palet (4000038): 1 adet | Shrink film (4000556): kullanılmaz | EN: LB1 | Pallet (4000038): 1 pc | Shrink film (4000556): not used</t>
        </is>
      </c>
      <c r="F226" s="19" t="n"/>
      <c r="G226" s="19" t="inlineStr">
        <is>
          <t>2</t>
        </is>
      </c>
      <c r="H226" t="inlineStr">
        <is>
          <t>2026-08-08</t>
        </is>
      </c>
      <c r="J226" t="inlineStr">
        <is>
          <t>FINAL_CONFIGURATION_ID=IA-ST-096-EUR-05;SOURCE_CONFIGURATION_ID=IA-ST-CFG-0268;FAMILY=STARTER;PACKAGING_MASS_KG=28.0592;EVIDENCE_BASIS=REV00 CURRENT EVIDENCE BASIS — ARTICLE 5 ASSESSMENT BASIS;SOURCE_REF=INCI_AKU_PPWR_Final_Configuration_Register_Rev00_GOLDEN_VARIANTS_FINAL.xlsx!01_FINAL_CONFIG_MASTER!R226</t>
        </is>
      </c>
      <c r="K226" t="inlineStr">
        <is>
          <t>2026-08-10T19:29:54Z</t>
        </is>
      </c>
      <c r="L226" t="inlineStr">
        <is>
          <t>2026-08-10T19:29:54Z</t>
        </is>
      </c>
    </row>
    <row r="227">
      <c r="A227" s="19" t="inlineStr">
        <is>
          <t>226</t>
        </is>
      </c>
      <c r="B227" s="19" t="inlineStr">
        <is>
          <t>ST-096-EUR-06</t>
        </is>
      </c>
      <c r="C227" t="n">
        <v>0</v>
      </c>
      <c r="D227" t="inlineStr">
        <is>
          <t>Starter 96-unit | Euro Pallet 800×1200×152 mm | Variant 06</t>
        </is>
      </c>
      <c r="E227" t="inlineStr">
        <is>
          <t>TR: L1, LB1 | Palet (4000038): 1 adet | Köşebent (4000033): 4 adet | EN: L1, LB1 | Pallet (4000038): 1 pc | Edge protector (4000033): 4 pcs</t>
        </is>
      </c>
      <c r="F227" s="19" t="n"/>
      <c r="G227" s="19" t="inlineStr">
        <is>
          <t>2</t>
        </is>
      </c>
      <c r="H227" t="inlineStr">
        <is>
          <t>2026-08-08</t>
        </is>
      </c>
      <c r="J227" t="inlineStr">
        <is>
          <t>FINAL_CONFIGURATION_ID=IA-ST-096-EUR-06;SOURCE_CONFIGURATION_ID=IA-ST-CFG-0269;FAMILY=STARTER;PACKAGING_MASS_KG=28.566;EVIDENCE_BASIS=REV00 CURRENT EVIDENCE BASIS — ARTICLE 5 ASSESSMENT BASIS;SOURCE_REF=INCI_AKU_PPWR_Final_Configuration_Register_Rev00_GOLDEN_VARIANTS_FINAL.xlsx!01_FINAL_CONFIG_MASTER!R227</t>
        </is>
      </c>
      <c r="K227" t="inlineStr">
        <is>
          <t>2026-08-10T19:29:54Z</t>
        </is>
      </c>
      <c r="L227" t="inlineStr">
        <is>
          <t>2026-08-10T19:29:54Z</t>
        </is>
      </c>
    </row>
    <row r="228">
      <c r="A228" s="19" t="inlineStr">
        <is>
          <t>227</t>
        </is>
      </c>
      <c r="B228" s="19" t="inlineStr">
        <is>
          <t>ST-096-EUR-07</t>
        </is>
      </c>
      <c r="C228" t="n">
        <v>0</v>
      </c>
      <c r="D228" t="inlineStr">
        <is>
          <t>Starter 96-unit | Euro Pallet 800×1200×152 mm | Variant 07</t>
        </is>
      </c>
      <c r="E228" t="inlineStr">
        <is>
          <t>TR: L0 | Palet (4000038): 1 adet | Köşebent (4000590): 4 adet | EN: L0 | Pallet (4000038): 1 pc | Edge protector (4000590): 4 pcs</t>
        </is>
      </c>
      <c r="F228" s="19" t="n"/>
      <c r="G228" s="19" t="inlineStr">
        <is>
          <t>2</t>
        </is>
      </c>
      <c r="H228" t="inlineStr">
        <is>
          <t>2026-08-08</t>
        </is>
      </c>
      <c r="J228" t="inlineStr">
        <is>
          <t>FINAL_CONFIGURATION_ID=IA-ST-096-EUR-07;SOURCE_CONFIGURATION_ID=IA-ST-CFG-0275;FAMILY=STARTER;PACKAGING_MASS_KG=28.126;EVIDENCE_BASIS=REV00 CURRENT EVIDENCE BASIS — ARTICLE 5 ASSESSMENT BASIS;SOURCE_REF=INCI_AKU_PPWR_Final_Configuration_Register_Rev00_GOLDEN_VARIANTS_FINAL.xlsx!01_FINAL_CONFIG_MASTER!R228</t>
        </is>
      </c>
      <c r="K228" t="inlineStr">
        <is>
          <t>2026-08-10T19:29:54Z</t>
        </is>
      </c>
      <c r="L228" t="inlineStr">
        <is>
          <t>2026-08-10T19:29:54Z</t>
        </is>
      </c>
    </row>
    <row r="229">
      <c r="A229" s="19" t="inlineStr">
        <is>
          <t>228</t>
        </is>
      </c>
      <c r="B229" s="19" t="inlineStr">
        <is>
          <t>ST-096-EUR-08</t>
        </is>
      </c>
      <c r="C229" t="n">
        <v>0</v>
      </c>
      <c r="D229" t="inlineStr">
        <is>
          <t>Starter 96-unit | Euro Pallet 800×1200×152 mm | Variant 08</t>
        </is>
      </c>
      <c r="E229" t="inlineStr">
        <is>
          <t>TR: L0 | Palet (4000038): 1 adet | Separatör (4000609): 4 adet | EN: L0 | Pallet (4000038): 1 pc | Separator (4000609): 4 pcs</t>
        </is>
      </c>
      <c r="F229" s="19" t="n"/>
      <c r="G229" s="19" t="inlineStr">
        <is>
          <t>2</t>
        </is>
      </c>
      <c r="H229" t="inlineStr">
        <is>
          <t>2026-08-08</t>
        </is>
      </c>
      <c r="J229" t="inlineStr">
        <is>
          <t>FINAL_CONFIGURATION_ID=IA-ST-096-EUR-08;SOURCE_CONFIGURATION_ID=IA-ST-CFG-0276;FAMILY=STARTER;PACKAGING_MASS_KG=29.9492;EVIDENCE_BASIS=REV00 CURRENT EVIDENCE BASIS — ARTICLE 5 ASSESSMENT BASIS;SOURCE_REF=INCI_AKU_PPWR_Final_Configuration_Register_Rev00_GOLDEN_VARIANTS_FINAL.xlsx!01_FINAL_CONFIG_MASTER!R229</t>
        </is>
      </c>
      <c r="K229" t="inlineStr">
        <is>
          <t>2026-08-10T19:29:54Z</t>
        </is>
      </c>
      <c r="L229" t="inlineStr">
        <is>
          <t>2026-08-10T19:29:54Z</t>
        </is>
      </c>
    </row>
    <row r="230">
      <c r="A230" s="19" t="inlineStr">
        <is>
          <t>229</t>
        </is>
      </c>
      <c r="B230" s="19" t="inlineStr">
        <is>
          <t>ST-096-EUR-09</t>
        </is>
      </c>
      <c r="C230" t="n">
        <v>0</v>
      </c>
      <c r="D230" t="inlineStr">
        <is>
          <t>Starter 96-unit | Euro Pallet 800×1200×152 mm | Variant 09</t>
        </is>
      </c>
      <c r="E230" t="inlineStr">
        <is>
          <t>TR: L0 | Palet (4000038): 1 adet | Shrink film (4000555): 2.31 kg | Separatör (4000609): 5 adet | EN: L0 | Pallet (4000038): 1 pc | Shrink film (4000555): 2.31 kg | Separator (4000609): 5 pcs</t>
        </is>
      </c>
      <c r="F230" s="19" t="n"/>
      <c r="G230" s="19" t="inlineStr">
        <is>
          <t>2</t>
        </is>
      </c>
      <c r="H230" t="inlineStr">
        <is>
          <t>2026-08-08</t>
        </is>
      </c>
      <c r="J230" t="inlineStr">
        <is>
          <t>FINAL_CONFIGURATION_ID=IA-ST-096-EUR-09;SOURCE_CONFIGURATION_ID=IA-ST-CFG-0277;FAMILY=STARTER;PACKAGING_MASS_KG=30.1492;EVIDENCE_BASIS=REV00 CURRENT EVIDENCE BASIS — ARTICLE 5 ASSESSMENT BASIS;SOURCE_REF=INCI_AKU_PPWR_Final_Configuration_Register_Rev00_GOLDEN_VARIANTS_FINAL.xlsx!01_FINAL_CONFIG_MASTER!R230</t>
        </is>
      </c>
      <c r="K230" t="inlineStr">
        <is>
          <t>2026-08-10T19:29:54Z</t>
        </is>
      </c>
      <c r="L230" t="inlineStr">
        <is>
          <t>2026-08-10T19:29:54Z</t>
        </is>
      </c>
    </row>
    <row r="231">
      <c r="A231" s="19" t="inlineStr">
        <is>
          <t>230</t>
        </is>
      </c>
      <c r="B231" s="19" t="inlineStr">
        <is>
          <t>ST-096-EUR-10</t>
        </is>
      </c>
      <c r="C231" t="n">
        <v>0</v>
      </c>
      <c r="D231" t="inlineStr">
        <is>
          <t>Starter 96-unit | Euro Pallet 800×1200×152 mm | Variant 10</t>
        </is>
      </c>
      <c r="E231" t="inlineStr">
        <is>
          <t>TR: L0 | Palet (4000038): 1 adet | Shrink film (4000555): kullanılmaz | Köşebent (4000590): 2 adet | EN: L0 | Pallet (4000038): 1 pc | Shrink film (4000555): not used | Edge protector (4000590): 2 pcs</t>
        </is>
      </c>
      <c r="F231" s="19" t="n"/>
      <c r="G231" s="19" t="inlineStr">
        <is>
          <t>2</t>
        </is>
      </c>
      <c r="H231" t="inlineStr">
        <is>
          <t>2026-08-08</t>
        </is>
      </c>
      <c r="J231" t="inlineStr">
        <is>
          <t>FINAL_CONFIGURATION_ID=IA-ST-096-EUR-10;SOURCE_CONFIGURATION_ID=IA-ST-CFG-0278;FAMILY=STARTER;PACKAGING_MASS_KG=27.8392;EVIDENCE_BASIS=REV00 CURRENT EVIDENCE BASIS — ARTICLE 5 ASSESSMENT BASIS;SOURCE_REF=INCI_AKU_PPWR_Final_Configuration_Register_Rev00_GOLDEN_VARIANTS_FINAL.xlsx!01_FINAL_CONFIG_MASTER!R231</t>
        </is>
      </c>
      <c r="K231" t="inlineStr">
        <is>
          <t>2026-08-10T19:29:54Z</t>
        </is>
      </c>
      <c r="L231" t="inlineStr">
        <is>
          <t>2026-08-10T19:29:54Z</t>
        </is>
      </c>
    </row>
    <row r="232">
      <c r="A232" s="19" t="inlineStr">
        <is>
          <t>231</t>
        </is>
      </c>
      <c r="B232" s="19" t="inlineStr">
        <is>
          <t>ST-096-STD-01</t>
        </is>
      </c>
      <c r="C232" t="n">
        <v>0</v>
      </c>
      <c r="D232" t="inlineStr">
        <is>
          <t>Starter 96-unit | Standard Pallet 1030×1110×152 mm | Variant 01</t>
        </is>
      </c>
      <c r="E232" t="inlineStr">
        <is>
          <t>TR: L1 | L1 EAS Activa penceresiz dış koli (4000645): 96 adet | EN: L1 | L1 EAS Activa windowless outer carton (4000645): 96 pcs</t>
        </is>
      </c>
      <c r="F232" s="19" t="n"/>
      <c r="G232" s="19" t="inlineStr">
        <is>
          <t>2</t>
        </is>
      </c>
      <c r="H232" t="inlineStr">
        <is>
          <t>2026-08-08</t>
        </is>
      </c>
      <c r="J232" t="inlineStr">
        <is>
          <t>FINAL_CONFIGURATION_ID=IA-ST-096-STD-01;SOURCE_CONFIGURATION_ID=IA-ST-CFG-0270;FAMILY=STARTER;PACKAGING_MASS_KG=53.336;EVIDENCE_BASIS=REV00 CURRENT EVIDENCE BASIS — ARTICLE 5 ASSESSMENT BASIS;SOURCE_REF=INCI_AKU_PPWR_Final_Configuration_Register_Rev00_GOLDEN_VARIANTS_FINAL.xlsx!01_FINAL_CONFIG_MASTER!R232</t>
        </is>
      </c>
      <c r="K232" t="inlineStr">
        <is>
          <t>2026-08-10T19:29:54Z</t>
        </is>
      </c>
      <c r="L232" t="inlineStr">
        <is>
          <t>2026-08-10T19:29:54Z</t>
        </is>
      </c>
    </row>
    <row r="233">
      <c r="A233" s="19" t="inlineStr">
        <is>
          <t>232</t>
        </is>
      </c>
      <c r="B233" s="19" t="inlineStr">
        <is>
          <t>ST-096-STD-02</t>
        </is>
      </c>
      <c r="C233" t="n">
        <v>0</v>
      </c>
      <c r="D233" t="inlineStr">
        <is>
          <t>Starter 96-unit | Standard Pallet 1030×1110×152 mm | Variant 02</t>
        </is>
      </c>
      <c r="E233" t="inlineStr">
        <is>
          <t>TR: LB1 | LB1 İnci FORMULA-MAXIMA 2019 dış koli (4001201): 96 adet | EN: LB1 | LB1 İnci FORMULA-MAXIMA 2019 outer carton (4001201): 96 pcs</t>
        </is>
      </c>
      <c r="F233" s="19" t="n"/>
      <c r="G233" s="19" t="inlineStr">
        <is>
          <t>2</t>
        </is>
      </c>
      <c r="H233" t="inlineStr">
        <is>
          <t>2026-08-08</t>
        </is>
      </c>
      <c r="J233" t="inlineStr">
        <is>
          <t>FINAL_CONFIGURATION_ID=IA-ST-096-STD-02;SOURCE_CONFIGURATION_ID=IA-ST-CFG-0271;FAMILY=STARTER;PACKAGING_MASS_KG=47.996;EVIDENCE_BASIS=REV00 CURRENT EVIDENCE BASIS — ARTICLE 5 ASSESSMENT BASIS;SOURCE_REF=INCI_AKU_PPWR_Final_Configuration_Register_Rev00_GOLDEN_VARIANTS_FINAL.xlsx!01_FINAL_CONFIG_MASTER!R233</t>
        </is>
      </c>
      <c r="K233" t="inlineStr">
        <is>
          <t>2026-08-10T19:29:54Z</t>
        </is>
      </c>
      <c r="L233" t="inlineStr">
        <is>
          <t>2026-08-10T19:29:54Z</t>
        </is>
      </c>
    </row>
    <row r="234">
      <c r="A234" s="19" t="inlineStr">
        <is>
          <t>233</t>
        </is>
      </c>
      <c r="B234" s="19" t="inlineStr">
        <is>
          <t>ST-096-STD-03</t>
        </is>
      </c>
      <c r="C234" t="n">
        <v>0</v>
      </c>
      <c r="D234" t="inlineStr">
        <is>
          <t>Starter 96-unit | Standard Pallet 1030×1110×152 mm | Variant 03</t>
        </is>
      </c>
      <c r="E234" t="inlineStr">
        <is>
          <t>TR: NS60 | NS60 PVC üst kapak (4000602): 96 adet | Köşebent (4000590): 4 adet | EN: NS60 | NS60 PVC upper cover (4000602): 96 pcs | Edge protector (4000590): 4 pcs</t>
        </is>
      </c>
      <c r="F234" s="19" t="n"/>
      <c r="G234" s="19" t="inlineStr">
        <is>
          <t>2</t>
        </is>
      </c>
      <c r="H234" t="inlineStr">
        <is>
          <t>2026-08-08</t>
        </is>
      </c>
      <c r="J234" t="inlineStr">
        <is>
          <t>FINAL_CONFIGURATION_ID=IA-ST-096-STD-03;SOURCE_CONFIGURATION_ID=IA-ST-CFG-0272;FAMILY=STARTER;PACKAGING_MASS_KG=35.3172;EVIDENCE_BASIS=REV00 CURRENT EVIDENCE BASIS — ARTICLE 5 ASSESSMENT BASIS;SOURCE_REF=INCI_AKU_PPWR_Final_Configuration_Register_Rev00_GOLDEN_VARIANTS_FINAL.xlsx!01_FINAL_CONFIG_MASTER!R234</t>
        </is>
      </c>
      <c r="K234" t="inlineStr">
        <is>
          <t>2026-08-10T19:29:54Z</t>
        </is>
      </c>
      <c r="L234" t="inlineStr">
        <is>
          <t>2026-08-10T19:29:54Z</t>
        </is>
      </c>
    </row>
    <row r="235">
      <c r="A235" s="19" t="inlineStr">
        <is>
          <t>234</t>
        </is>
      </c>
      <c r="B235" s="19" t="inlineStr">
        <is>
          <t>ST-096-STD-04</t>
        </is>
      </c>
      <c r="C235" t="n">
        <v>0</v>
      </c>
      <c r="D235" t="inlineStr">
        <is>
          <t>Starter 96-unit | Standard Pallet 1030×1110×152 mm | Variant 04</t>
        </is>
      </c>
      <c r="E235" t="inlineStr">
        <is>
          <t>TR: NS60 | NS60 PVC üst kapak (4000602): 96 adet | Çember (4000450): kullanılmaz | EN: NS60 | NS60 PVC upper cover (4000602): 96 pcs | Strap (4000450): not used</t>
        </is>
      </c>
      <c r="F235" s="19" t="n"/>
      <c r="G235" s="19" t="inlineStr">
        <is>
          <t>2</t>
        </is>
      </c>
      <c r="H235" t="inlineStr">
        <is>
          <t>2026-08-08</t>
        </is>
      </c>
      <c r="J235" t="inlineStr">
        <is>
          <t>FINAL_CONFIGURATION_ID=IA-ST-096-STD-04;SOURCE_CONFIGURATION_ID=IA-ST-CFG-0273;FAMILY=STARTER;PACKAGING_MASS_KG=34.7436;EVIDENCE_BASIS=REV00 CURRENT EVIDENCE BASIS — ARTICLE 5 ASSESSMENT BASIS;SOURCE_REF=INCI_AKU_PPWR_Final_Configuration_Register_Rev00_GOLDEN_VARIANTS_FINAL.xlsx!01_FINAL_CONFIG_MASTER!R235</t>
        </is>
      </c>
      <c r="K235" t="inlineStr">
        <is>
          <t>2026-08-10T19:29:54Z</t>
        </is>
      </c>
      <c r="L235" t="inlineStr">
        <is>
          <t>2026-08-10T19:29:54Z</t>
        </is>
      </c>
    </row>
    <row r="236">
      <c r="A236" s="19" t="inlineStr">
        <is>
          <t>235</t>
        </is>
      </c>
      <c r="B236" s="19" t="inlineStr">
        <is>
          <t>ST-096-STD-05</t>
        </is>
      </c>
      <c r="C236" t="n">
        <v>0</v>
      </c>
      <c r="D236" t="inlineStr">
        <is>
          <t>Starter 96-unit | Standard Pallet 1030×1110×152 mm | Variant 05</t>
        </is>
      </c>
      <c r="E236" t="inlineStr">
        <is>
          <t>TR: NS60 | Palet (4000037): 1 adet | Shrink film (4001177): 0.597 kg | EN: NS60 | Pallet (4000037): 1 pc | Shrink film (4001177): 0.597 kg</t>
        </is>
      </c>
      <c r="F236" s="19" t="n"/>
      <c r="G236" s="19" t="inlineStr">
        <is>
          <t>2</t>
        </is>
      </c>
      <c r="H236" t="inlineStr">
        <is>
          <t>2026-08-08</t>
        </is>
      </c>
      <c r="J236" t="inlineStr">
        <is>
          <t>FINAL_CONFIGURATION_ID=IA-ST-096-STD-05;SOURCE_CONFIGURATION_ID=IA-ST-CFG-0274;FAMILY=STARTER;PACKAGING_MASS_KG=28.649;EVIDENCE_BASIS=REV00 CURRENT EVIDENCE BASIS — ARTICLE 5 ASSESSMENT BASIS;SOURCE_REF=INCI_AKU_PPWR_Final_Configuration_Register_Rev00_GOLDEN_VARIANTS_FINAL.xlsx!01_FINAL_CONFIG_MASTER!R236</t>
        </is>
      </c>
      <c r="K236" t="inlineStr">
        <is>
          <t>2026-08-10T19:29:54Z</t>
        </is>
      </c>
      <c r="L236" t="inlineStr">
        <is>
          <t>2026-08-10T19:29:54Z</t>
        </is>
      </c>
    </row>
    <row r="237">
      <c r="A237" s="19" t="inlineStr">
        <is>
          <t>236</t>
        </is>
      </c>
      <c r="B237" s="19" t="inlineStr">
        <is>
          <t>ST-105-STD-01</t>
        </is>
      </c>
      <c r="C237" t="n">
        <v>0</v>
      </c>
      <c r="D237" t="inlineStr">
        <is>
          <t>Starter 105-unit | Standard Pallet 1030×1110×152 mm | Variant 01</t>
        </is>
      </c>
      <c r="E237" t="inlineStr">
        <is>
          <t>TR: NS40 | NS40 EAS Activa penceresiz B00 dış koli (4000630): 105 adet | EN: NS40 | NS40 EAS Activa windowless B00 outer carton (4000630): 105 pcs</t>
        </is>
      </c>
      <c r="F237" s="19" t="n"/>
      <c r="G237" s="19" t="inlineStr">
        <is>
          <t>2</t>
        </is>
      </c>
      <c r="H237" t="inlineStr">
        <is>
          <t>2026-08-08</t>
        </is>
      </c>
      <c r="J237" t="inlineStr">
        <is>
          <t>FINAL_CONFIGURATION_ID=IA-ST-105-STD-01;SOURCE_CONFIGURATION_ID=IA-ST-CFG-0282;FAMILY=STARTER;PACKAGING_MASS_KG=54.97265;EVIDENCE_BASIS=REV00 CURRENT EVIDENCE BASIS — ARTICLE 5 ASSESSMENT BASIS;SOURCE_REF=INCI_AKU_PPWR_Final_Configuration_Register_Rev00_GOLDEN_VARIANTS_FINAL.xlsx!01_FINAL_CONFIG_MASTER!R237</t>
        </is>
      </c>
      <c r="K237" t="inlineStr">
        <is>
          <t>2026-08-10T19:29:54Z</t>
        </is>
      </c>
      <c r="L237" t="inlineStr">
        <is>
          <t>2026-08-10T19:29:54Z</t>
        </is>
      </c>
    </row>
    <row r="238">
      <c r="A238" s="19" t="inlineStr">
        <is>
          <t>237</t>
        </is>
      </c>
      <c r="B238" s="19" t="inlineStr">
        <is>
          <t>ST-105-STD-02</t>
        </is>
      </c>
      <c r="C238" t="n">
        <v>0</v>
      </c>
      <c r="D238" t="inlineStr">
        <is>
          <t>Starter 105-unit | Standard Pallet 1030×1110×152 mm | Variant 02</t>
        </is>
      </c>
      <c r="E238" t="inlineStr">
        <is>
          <t>TR: NS40 | NS40 İnci FORMULA-MAXIMA B00 2019 dış koli (4001212): 105 adet | EN: NS40 | NS40 İnci FORMULA-MAXIMA B00 2019 outer carton (4001212): 105 pcs</t>
        </is>
      </c>
      <c r="F238" s="19" t="n"/>
      <c r="G238" s="19" t="inlineStr">
        <is>
          <t>2</t>
        </is>
      </c>
      <c r="H238" t="inlineStr">
        <is>
          <t>2026-08-08</t>
        </is>
      </c>
      <c r="J238" t="inlineStr">
        <is>
          <t>FINAL_CONFIGURATION_ID=IA-ST-105-STD-02;SOURCE_CONFIGURATION_ID=IA-ST-CFG-0283;FAMILY=STARTER;PACKAGING_MASS_KG=55.66265;EVIDENCE_BASIS=REV00 CURRENT EVIDENCE BASIS — ARTICLE 5 ASSESSMENT BASIS;SOURCE_REF=INCI_AKU_PPWR_Final_Configuration_Register_Rev00_GOLDEN_VARIANTS_FINAL.xlsx!01_FINAL_CONFIG_MASTER!R238</t>
        </is>
      </c>
      <c r="K238" t="inlineStr">
        <is>
          <t>2026-08-10T19:29:54Z</t>
        </is>
      </c>
      <c r="L238" t="inlineStr">
        <is>
          <t>2026-08-10T19:29:54Z</t>
        </is>
      </c>
    </row>
    <row r="239">
      <c r="A239" s="19" t="inlineStr">
        <is>
          <t>238</t>
        </is>
      </c>
      <c r="B239" s="19" t="inlineStr">
        <is>
          <t>ST-120-STD-01</t>
        </is>
      </c>
      <c r="C239" t="n">
        <v>0</v>
      </c>
      <c r="D239" t="inlineStr">
        <is>
          <t>Starter 120-unit | Standard Pallet 1030×1110×152 mm | Variant 01</t>
        </is>
      </c>
      <c r="E239" t="inlineStr">
        <is>
          <t>TR: NS40 | NS40 PVC üst kapak (4000601): 120 adet | Köşebent (4000590): 4 adet | EN: NS40 | NS40 PVC upper cover (4000601): 120 pcs | Edge protector (4000590): 4 pcs</t>
        </is>
      </c>
      <c r="F239" s="19" t="n"/>
      <c r="G239" s="19" t="inlineStr">
        <is>
          <t>2</t>
        </is>
      </c>
      <c r="H239" t="inlineStr">
        <is>
          <t>2026-08-08</t>
        </is>
      </c>
      <c r="J239" t="inlineStr">
        <is>
          <t>FINAL_CONFIGURATION_ID=IA-ST-120-STD-01;SOURCE_CONFIGURATION_ID=IA-ST-CFG-0284;FAMILY=STARTER;PACKAGING_MASS_KG=35.3676;EVIDENCE_BASIS=REV00 CURRENT EVIDENCE BASIS — ARTICLE 5 ASSESSMENT BASIS;SOURCE_REF=INCI_AKU_PPWR_Final_Configuration_Register_Rev00_GOLDEN_VARIANTS_FINAL.xlsx!01_FINAL_CONFIG_MASTER!R239</t>
        </is>
      </c>
      <c r="K239" t="inlineStr">
        <is>
          <t>2026-08-10T19:29:54Z</t>
        </is>
      </c>
      <c r="L239" t="inlineStr">
        <is>
          <t>2026-08-10T19:29:54Z</t>
        </is>
      </c>
    </row>
    <row r="240">
      <c r="A240" s="19" t="inlineStr">
        <is>
          <t>239</t>
        </is>
      </c>
      <c r="B240" s="19" t="inlineStr">
        <is>
          <t>ST-120-STD-02</t>
        </is>
      </c>
      <c r="C240" t="n">
        <v>0</v>
      </c>
      <c r="D240" t="inlineStr">
        <is>
          <t>Starter 120-unit | Standard Pallet 1030×1110×152 mm | Variant 02</t>
        </is>
      </c>
      <c r="E240" t="inlineStr">
        <is>
          <t>TR: NS40 | NS40 PVC üst kapak (4000601): 120 adet | Çember (4000450): kullanılmaz | EN: NS40 | NS40 PVC upper cover (4000601): 120 pcs | Strap (4000450): not used</t>
        </is>
      </c>
      <c r="F240" s="19" t="n"/>
      <c r="G240" s="19" t="inlineStr">
        <is>
          <t>2</t>
        </is>
      </c>
      <c r="H240" t="inlineStr">
        <is>
          <t>2026-08-08</t>
        </is>
      </c>
      <c r="J240" t="inlineStr">
        <is>
          <t>FINAL_CONFIGURATION_ID=IA-ST-120-STD-02;SOURCE_CONFIGURATION_ID=IA-ST-CFG-0285;FAMILY=STARTER;PACKAGING_MASS_KG=34.794;EVIDENCE_BASIS=REV00 CURRENT EVIDENCE BASIS — ARTICLE 5 ASSESSMENT BASIS;SOURCE_REF=INCI_AKU_PPWR_Final_Configuration_Register_Rev00_GOLDEN_VARIANTS_FINAL.xlsx!01_FINAL_CONFIG_MASTER!R240</t>
        </is>
      </c>
      <c r="K240" t="inlineStr">
        <is>
          <t>2026-08-10T19:29:54Z</t>
        </is>
      </c>
      <c r="L240" t="inlineStr">
        <is>
          <t>2026-08-10T19:29:54Z</t>
        </is>
      </c>
    </row>
    <row r="241">
      <c r="A241" s="19" t="inlineStr">
        <is>
          <t>240</t>
        </is>
      </c>
      <c r="B241" s="19" t="inlineStr">
        <is>
          <t>ST-120-STD-03</t>
        </is>
      </c>
      <c r="C241" t="n">
        <v>0</v>
      </c>
      <c r="D241" t="inlineStr">
        <is>
          <t>Starter 120-unit | Standard Pallet 1030×1110×152 mm | Variant 03</t>
        </is>
      </c>
      <c r="E241" t="inlineStr">
        <is>
          <t>TR: NS40 | Palet (4000037): 1 adet | Shrink film (4001177): 0.597 kg | EN: NS40 | Pallet (4000037): 1 pc | Shrink film (4001177): 0.597 kg</t>
        </is>
      </c>
      <c r="F241" s="19" t="n"/>
      <c r="G241" s="19" t="inlineStr">
        <is>
          <t>2</t>
        </is>
      </c>
      <c r="H241" t="inlineStr">
        <is>
          <t>2026-08-08</t>
        </is>
      </c>
      <c r="J241" t="inlineStr">
        <is>
          <t>FINAL_CONFIGURATION_ID=IA-ST-120-STD-03;SOURCE_CONFIGURATION_ID=IA-ST-CFG-0286;FAMILY=STARTER;PACKAGING_MASS_KG=28.649;EVIDENCE_BASIS=REV00 CURRENT EVIDENCE BASIS — ARTICLE 5 ASSESSMENT BASIS;SOURCE_REF=INCI_AKU_PPWR_Final_Configuration_Register_Rev00_GOLDEN_VARIANTS_FINAL.xlsx!01_FINAL_CONFIG_MASTER!R241</t>
        </is>
      </c>
      <c r="K241" t="inlineStr">
        <is>
          <t>2026-08-10T19:29:54Z</t>
        </is>
      </c>
      <c r="L241" t="inlineStr">
        <is>
          <t>2026-08-10T19:29:54Z</t>
        </is>
      </c>
    </row>
    <row r="242">
      <c r="A242" s="19" t="inlineStr">
        <is>
          <t>241</t>
        </is>
      </c>
      <c r="B242" s="19" t="inlineStr">
        <is>
          <t>IND-24V-01</t>
        </is>
      </c>
      <c r="C242" t="n">
        <v>0</v>
      </c>
      <c r="D242" t="inlineStr">
        <is>
          <t>Industrial Battery 24V | 1 pallet = 1 battery</t>
        </is>
      </c>
      <c r="E242" t="inlineStr">
        <is>
          <t>TR: 24V | Palet (4001005): 1 adet | EN: 24V | Pallet (4001005): 1 pc</t>
        </is>
      </c>
      <c r="F242" s="19" t="n"/>
      <c r="G242" s="19" t="inlineStr">
        <is>
          <t>2</t>
        </is>
      </c>
      <c r="H242" t="inlineStr">
        <is>
          <t>2026-08-08</t>
        </is>
      </c>
      <c r="J242" t="inlineStr">
        <is>
          <t>FINAL_CONFIGURATION_ID=IA-IND-24V-01;SOURCE_CONFIGURATION_ID=IA-IND-24V;FAMILY=INDUSTRIAL;PACKAGING_MASS_KG=27.388;EVIDENCE_BASIS=REV00 CURRENT EVIDENCE BASIS — ARTICLE 5 ASSESSMENT BASIS;SOURCE_REF=INCI_AKU_PPWR_Final_Configuration_Register_Rev00_GOLDEN_VARIANTS_FINAL.xlsx!01_FINAL_CONFIG_MASTER!R242</t>
        </is>
      </c>
      <c r="K242" t="inlineStr">
        <is>
          <t>2026-08-10T19:29:54Z</t>
        </is>
      </c>
      <c r="L242" t="inlineStr">
        <is>
          <t>2026-08-10T19:29:54Z</t>
        </is>
      </c>
    </row>
    <row r="243">
      <c r="A243" s="19" t="inlineStr">
        <is>
          <t>242</t>
        </is>
      </c>
      <c r="B243" s="19" t="inlineStr">
        <is>
          <t>IND-48V-01</t>
        </is>
      </c>
      <c r="C243" t="n">
        <v>0</v>
      </c>
      <c r="D243" t="inlineStr">
        <is>
          <t>Industrial Battery 48V | 1 pallet = 1 battery</t>
        </is>
      </c>
      <c r="E243" t="inlineStr">
        <is>
          <t>TR: 48V | Palet (4001005): 1 adet | EN: 48V | Pallet (4001005): 1 pc</t>
        </is>
      </c>
      <c r="F243" s="19" t="n"/>
      <c r="G243" s="19" t="inlineStr">
        <is>
          <t>2</t>
        </is>
      </c>
      <c r="H243" t="inlineStr">
        <is>
          <t>2026-08-08</t>
        </is>
      </c>
      <c r="J243" t="inlineStr">
        <is>
          <t>FINAL_CONFIGURATION_ID=IA-IND-48V-01;SOURCE_CONFIGURATION_ID=IA-IND-48V;FAMILY=INDUSTRIAL;PACKAGING_MASS_KG=27.5767;EVIDENCE_BASIS=REV00 CURRENT EVIDENCE BASIS — ARTICLE 5 ASSESSMENT BASIS;SOURCE_REF=INCI_AKU_PPWR_Final_Configuration_Register_Rev00_GOLDEN_VARIANTS_FINAL.xlsx!01_FINAL_CONFIG_MASTER!R243</t>
        </is>
      </c>
      <c r="K243" t="inlineStr">
        <is>
          <t>2026-08-10T19:29:54Z</t>
        </is>
      </c>
      <c r="L243" t="inlineStr">
        <is>
          <t>2026-08-10T19:29:54Z</t>
        </is>
      </c>
    </row>
    <row r="244">
      <c r="A244" s="19" t="inlineStr">
        <is>
          <t>243</t>
        </is>
      </c>
      <c r="B244" s="19" t="inlineStr">
        <is>
          <t>IND-80V-01</t>
        </is>
      </c>
      <c r="C244" t="n">
        <v>0</v>
      </c>
      <c r="D244" t="inlineStr">
        <is>
          <t>Industrial Battery 80V | 1 pallet = 1 battery</t>
        </is>
      </c>
      <c r="E244" t="inlineStr">
        <is>
          <t>TR: 80V | Palet (4000973): 1 adet | EN: 80V | Pallet (4000973): 1 pc</t>
        </is>
      </c>
      <c r="F244" s="19" t="n"/>
      <c r="G244" s="19" t="inlineStr">
        <is>
          <t>2</t>
        </is>
      </c>
      <c r="H244" t="inlineStr">
        <is>
          <t>2026-08-08</t>
        </is>
      </c>
      <c r="J244" t="inlineStr">
        <is>
          <t>FINAL_CONFIGURATION_ID=IA-IND-80V-01;SOURCE_CONFIGURATION_ID=IA-IND-80V;FAMILY=INDUSTRIAL;PACKAGING_MASS_KG=32.63147;EVIDENCE_BASIS=REV00 CURRENT EVIDENCE BASIS — ARTICLE 5 ASSESSMENT BASIS;SOURCE_REF=INCI_AKU_PPWR_Final_Configuration_Register_Rev00_GOLDEN_VARIANTS_FINAL.xlsx!01_FINAL_CONFIG_MASTER!R244</t>
        </is>
      </c>
      <c r="K244" t="inlineStr">
        <is>
          <t>2026-08-10T19:29:54Z</t>
        </is>
      </c>
      <c r="L244" t="inlineStr">
        <is>
          <t>2026-08-10T19:29:54Z</t>
        </is>
      </c>
    </row>
    <row r="245">
      <c r="A245" s="19" t="inlineStr">
        <is>
          <t>244</t>
        </is>
      </c>
      <c r="B245" s="19" t="inlineStr">
        <is>
          <t>CNT-20-STD-01</t>
        </is>
      </c>
      <c r="C245" t="n">
        <v>0</v>
      </c>
      <c r="D245" t="inlineStr">
        <is>
          <t>20 ft Container | Standard pallet loading</t>
        </is>
      </c>
      <c r="E245" t="inlineStr">
        <is>
          <t>TR: Container loading | OSB (5501805): 10 adet | Separatör (4000130): 10 adet | EN: Container loading | OSB (5501805): 10 pcs | Separator (4000130): 10 pcs</t>
        </is>
      </c>
      <c r="F245" s="19" t="n"/>
      <c r="G245" s="19" t="inlineStr">
        <is>
          <t>2</t>
        </is>
      </c>
      <c r="H245" t="inlineStr">
        <is>
          <t>2026-08-08</t>
        </is>
      </c>
      <c r="J245" t="inlineStr">
        <is>
          <t>FINAL_CONFIGURATION_ID=IA-CNT-20-STD-01;SOURCE_CONFIGURATION_ID=IA-CNT-20-STD;FAMILY=CONTAINER;PACKAGING_MASS_KG=78.06;EVIDENCE_BASIS=REV00 CURRENT EVIDENCE BASIS — ARTICLE 5 ASSESSMENT BASIS;SOURCE_REF=INCI_AKU_PPWR_Final_Configuration_Register_Rev00_GOLDEN_VARIANTS_FINAL.xlsx!01_FINAL_CONFIG_MASTER!R245</t>
        </is>
      </c>
      <c r="K245" t="inlineStr">
        <is>
          <t>2026-08-10T19:29:54Z</t>
        </is>
      </c>
      <c r="L245" t="inlineStr">
        <is>
          <t>2026-08-10T19:29:54Z</t>
        </is>
      </c>
    </row>
    <row r="246">
      <c r="A246" s="19" t="inlineStr">
        <is>
          <t>245</t>
        </is>
      </c>
      <c r="B246" s="19" t="inlineStr">
        <is>
          <t>CNT-20-EUR-01</t>
        </is>
      </c>
      <c r="C246" t="n">
        <v>0</v>
      </c>
      <c r="D246" t="inlineStr">
        <is>
          <t>20 ft Container | Euro pallet loading</t>
        </is>
      </c>
      <c r="E246" t="inlineStr">
        <is>
          <t>TR: Container loading | OSB (5501806): 11 adet | Separatör (4000130): 10 adet | EN: Container loading | OSB (5501806): 11 pcs | Separator (4000130): 10 pcs</t>
        </is>
      </c>
      <c r="F246" s="19" t="n"/>
      <c r="G246" s="19" t="inlineStr">
        <is>
          <t>2</t>
        </is>
      </c>
      <c r="H246" t="inlineStr">
        <is>
          <t>2026-08-08</t>
        </is>
      </c>
      <c r="J246" t="inlineStr">
        <is>
          <t>FINAL_CONFIGURATION_ID=IA-CNT-20-EUR-01;SOURCE_CONFIGURATION_ID=IA-CNT-20-EUR;FAMILY=CONTAINER;PACKAGING_MASS_KG=83.06;EVIDENCE_BASIS=REV00 CURRENT EVIDENCE BASIS — ARTICLE 5 ASSESSMENT BASIS;SOURCE_REF=INCI_AKU_PPWR_Final_Configuration_Register_Rev00_GOLDEN_VARIANTS_FINAL.xlsx!01_FINAL_CONFIG_MASTER!R246</t>
        </is>
      </c>
      <c r="K246" t="inlineStr">
        <is>
          <t>2026-08-10T19:29:54Z</t>
        </is>
      </c>
      <c r="L246" t="inlineStr">
        <is>
          <t>2026-08-10T19:29:54Z</t>
        </is>
      </c>
    </row>
    <row r="247">
      <c r="A247" s="19" t="inlineStr">
        <is>
          <t>246</t>
        </is>
      </c>
      <c r="B247" s="19" t="inlineStr">
        <is>
          <t>CNT-40-IND-01</t>
        </is>
      </c>
      <c r="C247" t="n">
        <v>0</v>
      </c>
      <c r="D247" t="inlineStr">
        <is>
          <t>40 ft Container | Industrial loading</t>
        </is>
      </c>
      <c r="E247" t="inlineStr">
        <is>
          <t>TR: Container loading | Hava yastığı (5500759): 26 adet | Bağlama halatı (5500762): 12 m | EN: Container loading | Air dunnage (5500759): 26 pcs | Lashing rope (5500762): 12 m</t>
        </is>
      </c>
      <c r="F247" s="19" t="n"/>
      <c r="G247" s="19" t="inlineStr">
        <is>
          <t>2</t>
        </is>
      </c>
      <c r="H247" t="inlineStr">
        <is>
          <t>2026-08-08</t>
        </is>
      </c>
      <c r="J247" t="inlineStr">
        <is>
          <t>FINAL_CONFIGURATION_ID=IA-CNT-40-IND-01;SOURCE_CONFIGURATION_ID=IA-CNT-40-IND;FAMILY=CONTAINER;PACKAGING_MASS_KG=12.76;EVIDENCE_BASIS=REV00 CURRENT EVIDENCE BASIS — ARTICLE 5 ASSESSMENT BASIS;SOURCE_REF=INCI_AKU_PPWR_Final_Configuration_Register_Rev00_GOLDEN_VARIANTS_FINAL.xlsx!01_FINAL_CONFIG_MASTER!R247</t>
        </is>
      </c>
      <c r="K247" t="inlineStr">
        <is>
          <t>2026-08-10T19:29:54Z</t>
        </is>
      </c>
      <c r="L247" t="inlineStr">
        <is>
          <t>2026-08-10T19:29:54Z</t>
        </is>
      </c>
    </row>
    <row r="248">
      <c r="A248" s="19" t="inlineStr">
        <is>
          <t>247</t>
        </is>
      </c>
      <c r="B248" s="19" t="inlineStr">
        <is>
          <t>CNT-DE-HAM-01</t>
        </is>
      </c>
      <c r="C248" t="n">
        <v>0</v>
      </c>
      <c r="D248" t="inlineStr">
        <is>
          <t>Germany / Hamburg loading add-on</t>
        </is>
      </c>
      <c r="E248" t="inlineStr">
        <is>
          <t>TR: Container loading | Sabitleme Tahtası ( 206×9×9 ) (Hamburg): 2 adet | EN: Container loading | Sabitleme Tahtası ( 206×9×9 ) (Hamburg): 2 pcs</t>
        </is>
      </c>
      <c r="F248" s="19" t="n"/>
      <c r="G248" s="19" t="inlineStr">
        <is>
          <t>2</t>
        </is>
      </c>
      <c r="H248" t="inlineStr">
        <is>
          <t>2026-08-08</t>
        </is>
      </c>
      <c r="J248" t="inlineStr">
        <is>
          <t>FINAL_CONFIGURATION_ID=IA-CNT-DE-HAM-01;SOURCE_CONFIGURATION_ID=IA-CNT-DE-HAMBURG;FAMILY=CONTAINER;PACKAGING_MASS_KG=194.0;EVIDENCE_BASIS=REV00 CURRENT EVIDENCE BASIS — ARTICLE 5 ASSESSMENT BASIS;SOURCE_REF=INCI_AKU_PPWR_Final_Configuration_Register_Rev00_GOLDEN_VARIANTS_FINAL.xlsx!01_FINAL_CONFIG_MASTER!R248</t>
        </is>
      </c>
      <c r="K248" t="inlineStr">
        <is>
          <t>2026-08-10T19:29:54Z</t>
        </is>
      </c>
      <c r="L248" t="inlineStr">
        <is>
          <t>2026-08-10T19:29:54Z</t>
        </is>
      </c>
    </row>
  </sheetData>
  <dataValidations count="2">
    <dataValidation sqref="G2:G5000" showDropDown="0" showInputMessage="0" showErrorMessage="1" allowBlank="1" errorTitle="Lookup FK" error="Value must exist in LKP_STATUS" type="list">
      <formula1>NR_STATUS_ID</formula1>
    </dataValidation>
    <dataValidation sqref="H2:I5000" showDropDown="0" showInputMessage="0" showErrorMessage="1" allowBlank="1" errorTitle="Date" error="Enter a valid date (DD.MM.YYYY)" type="date" operator="greaterThan">
      <formula1>DATE(2000,1,1)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16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2"/>
    <col width="14" customWidth="1" min="3" max="3"/>
    <col width="12" customWidth="1" min="4" max="4"/>
    <col width="14" customWidth="1" min="5" max="5"/>
    <col width="12" customWidth="1" min="6" max="6"/>
    <col width="13" customWidth="1" min="7" max="7"/>
    <col width="36" customWidth="1" min="8" max="8"/>
  </cols>
  <sheetData>
    <row r="1" ht="27.95" customHeight="1">
      <c r="A1" s="6" t="inlineStr">
        <is>
          <t>PACKAGING_CONFIGURATION_LINE_ID</t>
        </is>
      </c>
      <c r="B1" s="6" t="inlineStr">
        <is>
          <t>PACKAGING_CONFIGURATION_ID</t>
        </is>
      </c>
      <c r="C1" s="6" t="inlineStr">
        <is>
          <t>COMPONENT_ID</t>
        </is>
      </c>
      <c r="D1" s="6" t="inlineStr">
        <is>
          <t>QUANTITY</t>
        </is>
      </c>
      <c r="E1" s="6" t="inlineStr">
        <is>
          <t>LINE_ROLE_ID</t>
        </is>
      </c>
      <c r="F1" s="6" t="inlineStr">
        <is>
          <t>SORT_ORDER</t>
        </is>
      </c>
      <c r="G1" s="6" t="inlineStr">
        <is>
          <t>IS_OPTIONAL</t>
        </is>
      </c>
      <c r="H1" s="6" t="inlineStr">
        <is>
          <t>NOTES</t>
        </is>
      </c>
    </row>
    <row r="2">
      <c r="A2" s="19" t="inlineStr">
        <is>
          <t>1</t>
        </is>
      </c>
      <c r="B2" s="19" t="inlineStr">
        <is>
          <t>1</t>
        </is>
      </c>
      <c r="C2" s="19" t="inlineStr">
        <is>
          <t>13</t>
        </is>
      </c>
      <c r="D2" t="n">
        <v>14</v>
      </c>
      <c r="E2" s="19" t="inlineStr">
        <is>
          <t>18</t>
        </is>
      </c>
      <c r="F2" t="n">
        <v>1</v>
      </c>
      <c r="G2" t="b">
        <v>0</v>
      </c>
      <c r="H2" t="inlineStr">
        <is>
          <t>UOM=M;WEIGHT_BASIS=PROCESSED_SOURCE_UNIT_WEIGHT;LINE_WEIGHT_KG=0.1736;SOURCE_CFG=IA-ST-CFG-0004;SRC_REF=Row 1916, Slot 1;SRC_FILE=Mamul Ambalaj Bileşen Listesi-30.07.2026(3).xlsx</t>
        </is>
      </c>
    </row>
    <row r="3">
      <c r="A3" s="19" t="inlineStr">
        <is>
          <t>2</t>
        </is>
      </c>
      <c r="B3" s="19" t="inlineStr">
        <is>
          <t>1</t>
        </is>
      </c>
      <c r="C3" s="19" t="inlineStr">
        <is>
          <t>6</t>
        </is>
      </c>
      <c r="D3" t="n">
        <v>1</v>
      </c>
      <c r="E3" s="19" t="inlineStr">
        <is>
          <t>18</t>
        </is>
      </c>
      <c r="F3" t="n">
        <v>2</v>
      </c>
      <c r="G3" t="b">
        <v>0</v>
      </c>
      <c r="H3" t="inlineStr">
        <is>
          <t>UOM=ADT;WEIGHT_BASIS=PROCESSED_SOURCE_UNIT_WEIGHT;LINE_WEIGHT_KG=26.0;SOURCE_CFG=IA-ST-CFG-0004;SRC_REF=Row 1916, Slot 3;SRC_FILE=Mamul Ambalaj Bileşen Listesi-30.07.2026(3).xlsx</t>
        </is>
      </c>
    </row>
    <row r="4">
      <c r="A4" s="19" t="inlineStr">
        <is>
          <t>3</t>
        </is>
      </c>
      <c r="B4" s="19" t="inlineStr">
        <is>
          <t>1</t>
        </is>
      </c>
      <c r="C4" s="19" t="inlineStr">
        <is>
          <t>8</t>
        </is>
      </c>
      <c r="D4" t="n">
        <v>20</v>
      </c>
      <c r="E4" s="19" t="inlineStr">
        <is>
          <t>18</t>
        </is>
      </c>
      <c r="F4" t="n">
        <v>3</v>
      </c>
      <c r="G4" t="b">
        <v>0</v>
      </c>
      <c r="H4" t="inlineStr">
        <is>
          <t>UOM=M;WEIGHT_BASIS=PROCESSED_SOURCE_UNIT_WEIGHT;LINE_WEIGHT_KG=0.3664;SOURCE_CFG=IA-ST-CFG-0004;SRC_REF=Row 1916, Slot 5;SRC_FILE=Mamul Ambalaj Bileşen Listesi-30.07.2026(3).xlsx</t>
        </is>
      </c>
    </row>
    <row r="5">
      <c r="A5" s="19" t="inlineStr">
        <is>
          <t>4</t>
        </is>
      </c>
      <c r="B5" s="19" t="inlineStr">
        <is>
          <t>1</t>
        </is>
      </c>
      <c r="C5" s="19" t="inlineStr">
        <is>
          <t>9</t>
        </is>
      </c>
      <c r="D5" t="n">
        <v>0.186</v>
      </c>
      <c r="E5" s="19" t="inlineStr">
        <is>
          <t>18</t>
        </is>
      </c>
      <c r="F5" t="n">
        <v>4</v>
      </c>
      <c r="G5" t="b">
        <v>0</v>
      </c>
      <c r="H5" t="inlineStr">
        <is>
          <t>UOM=KG;WEIGHT_BASIS=RECIPE_QUANTITY_IS_KG;LINE_WEIGHT_KG=0.186;SOURCE_CFG=IA-ST-CFG-0004;SRC_REF=Row 1916, Slot 6;SRC_FILE=Mamul Ambalaj Bileşen Listesi-30.07.2026(3).xlsx</t>
        </is>
      </c>
    </row>
    <row r="6">
      <c r="A6" s="19" t="inlineStr">
        <is>
          <t>5</t>
        </is>
      </c>
      <c r="B6" s="19" t="inlineStr">
        <is>
          <t>1</t>
        </is>
      </c>
      <c r="C6" s="19" t="inlineStr">
        <is>
          <t>25</t>
        </is>
      </c>
      <c r="D6" t="n">
        <v>4</v>
      </c>
      <c r="E6" s="19" t="inlineStr">
        <is>
          <t>18</t>
        </is>
      </c>
      <c r="F6" t="n">
        <v>5</v>
      </c>
      <c r="G6" t="b">
        <v>0</v>
      </c>
      <c r="H6" t="inlineStr">
        <is>
          <t>UOM=ADT;WEIGHT_BASIS=PROCESSED_SOURCE_UNIT_WEIGHT;LINE_WEIGHT_KG=0.4;SOURCE_CFG=IA-ST-CFG-0004;SRC_REF=Row 1916, Slot 8;SRC_FILE=Mamul Ambalaj Bileşen Listesi-30.07.2026(3).xlsx</t>
        </is>
      </c>
    </row>
    <row r="7">
      <c r="A7" s="19" t="inlineStr">
        <is>
          <t>6</t>
        </is>
      </c>
      <c r="B7" s="19" t="inlineStr">
        <is>
          <t>1</t>
        </is>
      </c>
      <c r="C7" s="19" t="inlineStr">
        <is>
          <t>30</t>
        </is>
      </c>
      <c r="D7" t="n">
        <v>1</v>
      </c>
      <c r="E7" s="19" t="inlineStr">
        <is>
          <t>18</t>
        </is>
      </c>
      <c r="F7" t="n">
        <v>6</v>
      </c>
      <c r="G7" t="b">
        <v>0</v>
      </c>
      <c r="H7" t="inlineStr">
        <is>
          <t>UOM=ADT;WEIGHT_BASIS=PROCESSED_SOURCE_UNIT_WEIGHT;LINE_WEIGHT_KG=0.2;SOURCE_CFG=IA-ST-CFG-0004;SRC_REF=Row 1916, Slot 9;SRC_FILE=Mamul Ambalaj Bileşen Listesi-30.07.2026(3).xlsx</t>
        </is>
      </c>
    </row>
    <row r="8">
      <c r="A8" s="19" t="inlineStr">
        <is>
          <t>7</t>
        </is>
      </c>
      <c r="B8" s="19" t="inlineStr">
        <is>
          <t>1</t>
        </is>
      </c>
      <c r="C8" s="19" t="inlineStr">
        <is>
          <t>56</t>
        </is>
      </c>
      <c r="D8" t="n">
        <v>2</v>
      </c>
      <c r="E8" s="19" t="inlineStr">
        <is>
          <t>18</t>
        </is>
      </c>
      <c r="F8" t="n">
        <v>7</v>
      </c>
      <c r="G8" t="b">
        <v>0</v>
      </c>
      <c r="H8" t="inlineStr">
        <is>
          <t>UOM=ADT;WEIGHT_BASIS=PROCESSED_SOURCE_UNIT_WEIGHT;LINE_WEIGHT_KG=2.0;SOURCE_CFG=IA-ST-CFG-0004;SRC_REF=Row 1916, Slot 10;SRC_FILE=Mamul Ambalaj Bileşen Listesi-30.07.2026(3).xlsx</t>
        </is>
      </c>
    </row>
    <row r="9">
      <c r="A9" s="19" t="inlineStr">
        <is>
          <t>8</t>
        </is>
      </c>
      <c r="B9" s="19" t="inlineStr">
        <is>
          <t>2</t>
        </is>
      </c>
      <c r="C9" s="19" t="inlineStr">
        <is>
          <t>13</t>
        </is>
      </c>
      <c r="D9" t="n">
        <v>14</v>
      </c>
      <c r="E9" s="19" t="inlineStr">
        <is>
          <t>18</t>
        </is>
      </c>
      <c r="F9" t="n">
        <v>1</v>
      </c>
      <c r="G9" t="b">
        <v>0</v>
      </c>
      <c r="H9" t="inlineStr">
        <is>
          <t>UOM=M;WEIGHT_BASIS=PROCESSED_SOURCE_UNIT_WEIGHT;LINE_WEIGHT_KG=0.1736;SOURCE_CFG=IA-ST-CFG-0005;SRC_REF=Row 96, Slot 1;SRC_FILE=Mamul Ambalaj Bileşen Listesi-30.07.2026(3).xlsx</t>
        </is>
      </c>
    </row>
    <row r="10">
      <c r="A10" s="19" t="inlineStr">
        <is>
          <t>9</t>
        </is>
      </c>
      <c r="B10" s="19" t="inlineStr">
        <is>
          <t>2</t>
        </is>
      </c>
      <c r="C10" s="19" t="inlineStr">
        <is>
          <t>6</t>
        </is>
      </c>
      <c r="D10" t="n">
        <v>1</v>
      </c>
      <c r="E10" s="19" t="inlineStr">
        <is>
          <t>18</t>
        </is>
      </c>
      <c r="F10" t="n">
        <v>2</v>
      </c>
      <c r="G10" t="b">
        <v>0</v>
      </c>
      <c r="H10" t="inlineStr">
        <is>
          <t>UOM=ADT;WEIGHT_BASIS=PROCESSED_SOURCE_UNIT_WEIGHT;LINE_WEIGHT_KG=26.0;SOURCE_CFG=IA-ST-CFG-0005;SRC_REF=Row 96, Slot 3;SRC_FILE=Mamul Ambalaj Bileşen Listesi-30.07.2026(3).xlsx</t>
        </is>
      </c>
    </row>
    <row r="11">
      <c r="A11" s="19" t="inlineStr">
        <is>
          <t>10</t>
        </is>
      </c>
      <c r="B11" s="19" t="inlineStr">
        <is>
          <t>2</t>
        </is>
      </c>
      <c r="C11" s="19" t="inlineStr">
        <is>
          <t>8</t>
        </is>
      </c>
      <c r="D11" t="n">
        <v>20</v>
      </c>
      <c r="E11" s="19" t="inlineStr">
        <is>
          <t>18</t>
        </is>
      </c>
      <c r="F11" t="n">
        <v>3</v>
      </c>
      <c r="G11" t="b">
        <v>0</v>
      </c>
      <c r="H11" t="inlineStr">
        <is>
          <t>UOM=M;WEIGHT_BASIS=PROCESSED_SOURCE_UNIT_WEIGHT;LINE_WEIGHT_KG=0.3664;SOURCE_CFG=IA-ST-CFG-0005;SRC_REF=Row 96, Slot 5;SRC_FILE=Mamul Ambalaj Bileşen Listesi-30.07.2026(3).xlsx</t>
        </is>
      </c>
    </row>
    <row r="12">
      <c r="A12" s="19" t="inlineStr">
        <is>
          <t>11</t>
        </is>
      </c>
      <c r="B12" s="19" t="inlineStr">
        <is>
          <t>2</t>
        </is>
      </c>
      <c r="C12" s="19" t="inlineStr">
        <is>
          <t>9</t>
        </is>
      </c>
      <c r="D12" t="n">
        <v>0.186</v>
      </c>
      <c r="E12" s="19" t="inlineStr">
        <is>
          <t>18</t>
        </is>
      </c>
      <c r="F12" t="n">
        <v>4</v>
      </c>
      <c r="G12" t="b">
        <v>0</v>
      </c>
      <c r="H12" t="inlineStr">
        <is>
          <t>UOM=KG;WEIGHT_BASIS=RECIPE_QUANTITY_IS_KG;LINE_WEIGHT_KG=0.186;SOURCE_CFG=IA-ST-CFG-0005;SRC_REF=Row 96, Slot 6;SRC_FILE=Mamul Ambalaj Bileşen Listesi-30.07.2026(3).xlsx</t>
        </is>
      </c>
    </row>
    <row r="13">
      <c r="A13" s="19" t="inlineStr">
        <is>
          <t>12</t>
        </is>
      </c>
      <c r="B13" s="19" t="inlineStr">
        <is>
          <t>2</t>
        </is>
      </c>
      <c r="C13" s="19" t="inlineStr">
        <is>
          <t>25</t>
        </is>
      </c>
      <c r="D13" t="n">
        <v>4</v>
      </c>
      <c r="E13" s="19" t="inlineStr">
        <is>
          <t>18</t>
        </is>
      </c>
      <c r="F13" t="n">
        <v>5</v>
      </c>
      <c r="G13" t="b">
        <v>0</v>
      </c>
      <c r="H13" t="inlineStr">
        <is>
          <t>UOM=ADT;WEIGHT_BASIS=PROCESSED_SOURCE_UNIT_WEIGHT;LINE_WEIGHT_KG=0.4;SOURCE_CFG=IA-ST-CFG-0005;SRC_REF=Row 96, Slot 8;SRC_FILE=Mamul Ambalaj Bileşen Listesi-30.07.2026(3).xlsx</t>
        </is>
      </c>
    </row>
    <row r="14">
      <c r="A14" s="19" t="inlineStr">
        <is>
          <t>13</t>
        </is>
      </c>
      <c r="B14" s="19" t="inlineStr">
        <is>
          <t>2</t>
        </is>
      </c>
      <c r="C14" s="19" t="inlineStr">
        <is>
          <t>30</t>
        </is>
      </c>
      <c r="D14" t="n">
        <v>2</v>
      </c>
      <c r="E14" s="19" t="inlineStr">
        <is>
          <t>18</t>
        </is>
      </c>
      <c r="F14" t="n">
        <v>6</v>
      </c>
      <c r="G14" t="b">
        <v>0</v>
      </c>
      <c r="H14" t="inlineStr">
        <is>
          <t>UOM=ADT;WEIGHT_BASIS=PROCESSED_SOURCE_UNIT_WEIGHT;LINE_WEIGHT_KG=0.4;SOURCE_CFG=IA-ST-CFG-0005;SRC_REF=Row 96, Slot 9;SRC_FILE=Mamul Ambalaj Bileşen Listesi-30.07.2026(3).xlsx</t>
        </is>
      </c>
    </row>
    <row r="15">
      <c r="A15" s="19" t="inlineStr">
        <is>
          <t>14</t>
        </is>
      </c>
      <c r="B15" s="19" t="inlineStr">
        <is>
          <t>3</t>
        </is>
      </c>
      <c r="C15" s="19" t="inlineStr">
        <is>
          <t>13</t>
        </is>
      </c>
      <c r="D15" t="n">
        <v>7</v>
      </c>
      <c r="E15" s="19" t="inlineStr">
        <is>
          <t>18</t>
        </is>
      </c>
      <c r="F15" t="n">
        <v>1</v>
      </c>
      <c r="G15" t="b">
        <v>0</v>
      </c>
      <c r="H15" t="inlineStr">
        <is>
          <t>UOM=M;WEIGHT_BASIS=PROCESSED_SOURCE_UNIT_WEIGHT;LINE_WEIGHT_KG=0.0868;SOURCE_CFG=IA-ST-CFG-0006;SRC_REF=Row 1674, Slot 1;SRC_FILE=Mamul Ambalaj Bileşen Listesi-30.07.2026(3).xlsx</t>
        </is>
      </c>
    </row>
    <row r="16">
      <c r="A16" s="19" t="inlineStr">
        <is>
          <t>15</t>
        </is>
      </c>
      <c r="B16" s="19" t="inlineStr">
        <is>
          <t>3</t>
        </is>
      </c>
      <c r="C16" s="19" t="inlineStr">
        <is>
          <t>6</t>
        </is>
      </c>
      <c r="D16" t="n">
        <v>1</v>
      </c>
      <c r="E16" s="19" t="inlineStr">
        <is>
          <t>18</t>
        </is>
      </c>
      <c r="F16" t="n">
        <v>2</v>
      </c>
      <c r="G16" t="b">
        <v>0</v>
      </c>
      <c r="H16" t="inlineStr">
        <is>
          <t>UOM=ADT;WEIGHT_BASIS=PROCESSED_SOURCE_UNIT_WEIGHT;LINE_WEIGHT_KG=26.0;SOURCE_CFG=IA-ST-CFG-0006;SRC_REF=Row 1674, Slot 3;SRC_FILE=Mamul Ambalaj Bileşen Listesi-30.07.2026(3).xlsx</t>
        </is>
      </c>
    </row>
    <row r="17">
      <c r="A17" s="19" t="inlineStr">
        <is>
          <t>16</t>
        </is>
      </c>
      <c r="B17" s="19" t="inlineStr">
        <is>
          <t>3</t>
        </is>
      </c>
      <c r="C17" s="19" t="inlineStr">
        <is>
          <t>8</t>
        </is>
      </c>
      <c r="D17" t="n">
        <v>20</v>
      </c>
      <c r="E17" s="19" t="inlineStr">
        <is>
          <t>18</t>
        </is>
      </c>
      <c r="F17" t="n">
        <v>3</v>
      </c>
      <c r="G17" t="b">
        <v>0</v>
      </c>
      <c r="H17" t="inlineStr">
        <is>
          <t>UOM=M;WEIGHT_BASIS=PROCESSED_SOURCE_UNIT_WEIGHT;LINE_WEIGHT_KG=0.3664;SOURCE_CFG=IA-ST-CFG-0006;SRC_REF=Row 1674, Slot 5;SRC_FILE=Mamul Ambalaj Bileşen Listesi-30.07.2026(3).xlsx</t>
        </is>
      </c>
    </row>
    <row r="18">
      <c r="A18" s="19" t="inlineStr">
        <is>
          <t>17</t>
        </is>
      </c>
      <c r="B18" s="19" t="inlineStr">
        <is>
          <t>3</t>
        </is>
      </c>
      <c r="C18" s="19" t="inlineStr">
        <is>
          <t>9</t>
        </is>
      </c>
      <c r="D18" t="n">
        <v>0.186</v>
      </c>
      <c r="E18" s="19" t="inlineStr">
        <is>
          <t>18</t>
        </is>
      </c>
      <c r="F18" t="n">
        <v>4</v>
      </c>
      <c r="G18" t="b">
        <v>0</v>
      </c>
      <c r="H18" t="inlineStr">
        <is>
          <t>UOM=KG;WEIGHT_BASIS=RECIPE_QUANTITY_IS_KG;LINE_WEIGHT_KG=0.186;SOURCE_CFG=IA-ST-CFG-0006;SRC_REF=Row 1674, Slot 6;SRC_FILE=Mamul Ambalaj Bileşen Listesi-30.07.2026(3).xlsx</t>
        </is>
      </c>
    </row>
    <row r="19">
      <c r="A19" s="19" t="inlineStr">
        <is>
          <t>18</t>
        </is>
      </c>
      <c r="B19" s="19" t="inlineStr">
        <is>
          <t>3</t>
        </is>
      </c>
      <c r="C19" s="19" t="inlineStr">
        <is>
          <t>25</t>
        </is>
      </c>
      <c r="D19" t="n">
        <v>2</v>
      </c>
      <c r="E19" s="19" t="inlineStr">
        <is>
          <t>18</t>
        </is>
      </c>
      <c r="F19" t="n">
        <v>5</v>
      </c>
      <c r="G19" t="b">
        <v>0</v>
      </c>
      <c r="H19" t="inlineStr">
        <is>
          <t>UOM=ADT;WEIGHT_BASIS=PROCESSED_SOURCE_UNIT_WEIGHT;LINE_WEIGHT_KG=0.2;SOURCE_CFG=IA-ST-CFG-0006;SRC_REF=Row 1674, Slot 8;SRC_FILE=Mamul Ambalaj Bileşen Listesi-30.07.2026(3).xlsx</t>
        </is>
      </c>
    </row>
    <row r="20">
      <c r="A20" s="19" t="inlineStr">
        <is>
          <t>19</t>
        </is>
      </c>
      <c r="B20" s="19" t="inlineStr">
        <is>
          <t>3</t>
        </is>
      </c>
      <c r="C20" s="19" t="inlineStr">
        <is>
          <t>30</t>
        </is>
      </c>
      <c r="D20" t="n">
        <v>1</v>
      </c>
      <c r="E20" s="19" t="inlineStr">
        <is>
          <t>18</t>
        </is>
      </c>
      <c r="F20" t="n">
        <v>6</v>
      </c>
      <c r="G20" t="b">
        <v>0</v>
      </c>
      <c r="H20" t="inlineStr">
        <is>
          <t>UOM=ADT;WEIGHT_BASIS=PROCESSED_SOURCE_UNIT_WEIGHT;LINE_WEIGHT_KG=0.2;SOURCE_CFG=IA-ST-CFG-0006;SRC_REF=Row 1674, Slot 9;SRC_FILE=Mamul Ambalaj Bileşen Listesi-30.07.2026(3).xlsx</t>
        </is>
      </c>
    </row>
    <row r="21">
      <c r="A21" s="19" t="inlineStr">
        <is>
          <t>20</t>
        </is>
      </c>
      <c r="B21" s="19" t="inlineStr">
        <is>
          <t>3</t>
        </is>
      </c>
      <c r="C21" s="19" t="inlineStr">
        <is>
          <t>56</t>
        </is>
      </c>
      <c r="D21" t="n">
        <v>2</v>
      </c>
      <c r="E21" s="19" t="inlineStr">
        <is>
          <t>18</t>
        </is>
      </c>
      <c r="F21" t="n">
        <v>7</v>
      </c>
      <c r="G21" t="b">
        <v>0</v>
      </c>
      <c r="H21" t="inlineStr">
        <is>
          <t>UOM=ADT;WEIGHT_BASIS=PROCESSED_SOURCE_UNIT_WEIGHT;LINE_WEIGHT_KG=2.0;SOURCE_CFG=IA-ST-CFG-0006;SRC_REF=Row 1674, Slot 10;SRC_FILE=Mamul Ambalaj Bileşen Listesi-30.07.2026(3).xlsx</t>
        </is>
      </c>
    </row>
    <row r="22">
      <c r="A22" s="19" t="inlineStr">
        <is>
          <t>21</t>
        </is>
      </c>
      <c r="B22" s="19" t="inlineStr">
        <is>
          <t>4</t>
        </is>
      </c>
      <c r="C22" s="19" t="inlineStr">
        <is>
          <t>13</t>
        </is>
      </c>
      <c r="D22" t="n">
        <v>14</v>
      </c>
      <c r="E22" s="19" t="inlineStr">
        <is>
          <t>18</t>
        </is>
      </c>
      <c r="F22" t="n">
        <v>1</v>
      </c>
      <c r="G22" t="b">
        <v>0</v>
      </c>
      <c r="H22" t="inlineStr">
        <is>
          <t>UOM=M;WEIGHT_BASIS=PROCESSED_SOURCE_UNIT_WEIGHT;LINE_WEIGHT_KG=0.1736;SOURCE_CFG=IA-ST-CFG-0012;SRC_REF=Row 1859, Slot 1;SRC_FILE=Mamul Ambalaj Bileşen Listesi-30.07.2026(3).xlsx</t>
        </is>
      </c>
    </row>
    <row r="23">
      <c r="A23" s="19" t="inlineStr">
        <is>
          <t>22</t>
        </is>
      </c>
      <c r="B23" s="19" t="inlineStr">
        <is>
          <t>4</t>
        </is>
      </c>
      <c r="C23" s="19" t="inlineStr">
        <is>
          <t>72</t>
        </is>
      </c>
      <c r="D23" t="n">
        <v>18</v>
      </c>
      <c r="E23" s="19" t="inlineStr">
        <is>
          <t>18</t>
        </is>
      </c>
      <c r="F23" t="n">
        <v>2</v>
      </c>
      <c r="G23" t="b">
        <v>0</v>
      </c>
      <c r="H23" t="inlineStr">
        <is>
          <t>UOM=ADT;WEIGHT_BASIS=PROCESSED_SOURCE_UNIT_WEIGHT;LINE_WEIGHT_KG=2.268;SOURCE_CFG=IA-ST-CFG-0012;SRC_REF=Row 1859, Slot 2;SRC_FILE=Mamul Ambalaj Bileşen Listesi-30.07.2026(3).xlsx</t>
        </is>
      </c>
    </row>
    <row r="24">
      <c r="A24" s="19" t="inlineStr">
        <is>
          <t>23</t>
        </is>
      </c>
      <c r="B24" s="19" t="inlineStr">
        <is>
          <t>4</t>
        </is>
      </c>
      <c r="C24" s="19" t="inlineStr">
        <is>
          <t>6</t>
        </is>
      </c>
      <c r="D24" t="n">
        <v>1</v>
      </c>
      <c r="E24" s="19" t="inlineStr">
        <is>
          <t>18</t>
        </is>
      </c>
      <c r="F24" t="n">
        <v>3</v>
      </c>
      <c r="G24" t="b">
        <v>0</v>
      </c>
      <c r="H24" t="inlineStr">
        <is>
          <t>UOM=ADT;WEIGHT_BASIS=PROCESSED_SOURCE_UNIT_WEIGHT;LINE_WEIGHT_KG=26.0;SOURCE_CFG=IA-ST-CFG-0012;SRC_REF=Row 1859, Slot 3;SRC_FILE=Mamul Ambalaj Bileşen Listesi-30.07.2026(3).xlsx</t>
        </is>
      </c>
    </row>
    <row r="25">
      <c r="A25" s="19" t="inlineStr">
        <is>
          <t>24</t>
        </is>
      </c>
      <c r="B25" s="19" t="inlineStr">
        <is>
          <t>4</t>
        </is>
      </c>
      <c r="C25" s="19" t="inlineStr">
        <is>
          <t>8</t>
        </is>
      </c>
      <c r="D25" t="n">
        <v>20</v>
      </c>
      <c r="E25" s="19" t="inlineStr">
        <is>
          <t>18</t>
        </is>
      </c>
      <c r="F25" t="n">
        <v>4</v>
      </c>
      <c r="G25" t="b">
        <v>0</v>
      </c>
      <c r="H25" t="inlineStr">
        <is>
          <t>UOM=M;WEIGHT_BASIS=PROCESSED_SOURCE_UNIT_WEIGHT;LINE_WEIGHT_KG=0.3664;SOURCE_CFG=IA-ST-CFG-0012;SRC_REF=Row 1859, Slot 5;SRC_FILE=Mamul Ambalaj Bileşen Listesi-30.07.2026(3).xlsx</t>
        </is>
      </c>
    </row>
    <row r="26">
      <c r="A26" s="19" t="inlineStr">
        <is>
          <t>25</t>
        </is>
      </c>
      <c r="B26" s="19" t="inlineStr">
        <is>
          <t>4</t>
        </is>
      </c>
      <c r="C26" s="19" t="inlineStr">
        <is>
          <t>9</t>
        </is>
      </c>
      <c r="D26" t="n">
        <v>0.186</v>
      </c>
      <c r="E26" s="19" t="inlineStr">
        <is>
          <t>18</t>
        </is>
      </c>
      <c r="F26" t="n">
        <v>5</v>
      </c>
      <c r="G26" t="b">
        <v>0</v>
      </c>
      <c r="H26" t="inlineStr">
        <is>
          <t>UOM=KG;WEIGHT_BASIS=RECIPE_QUANTITY_IS_KG;LINE_WEIGHT_KG=0.186;SOURCE_CFG=IA-ST-CFG-0012;SRC_REF=Row 1859, Slot 6;SRC_FILE=Mamul Ambalaj Bileşen Listesi-30.07.2026(3).xlsx</t>
        </is>
      </c>
    </row>
    <row r="27">
      <c r="A27" s="19" t="inlineStr">
        <is>
          <t>26</t>
        </is>
      </c>
      <c r="B27" s="19" t="inlineStr">
        <is>
          <t>4</t>
        </is>
      </c>
      <c r="C27" s="19" t="inlineStr">
        <is>
          <t>22</t>
        </is>
      </c>
      <c r="D27" t="n">
        <v>1.08</v>
      </c>
      <c r="E27" s="19" t="inlineStr">
        <is>
          <t>18</t>
        </is>
      </c>
      <c r="F27" t="n">
        <v>6</v>
      </c>
      <c r="G27" t="b">
        <v>0</v>
      </c>
      <c r="H27" t="inlineStr">
        <is>
          <t>UOM=KG;WEIGHT_BASIS=RECIPE_QUANTITY_IS_KG;LINE_WEIGHT_KG=1.08;SOURCE_CFG=IA-ST-CFG-0012;SRC_REF=Row 1859, Slot 7;SRC_FILE=Mamul Ambalaj Bileşen Listesi-30.07.2026(3).xlsx</t>
        </is>
      </c>
    </row>
    <row r="28">
      <c r="A28" s="19" t="inlineStr">
        <is>
          <t>27</t>
        </is>
      </c>
      <c r="B28" s="19" t="inlineStr">
        <is>
          <t>4</t>
        </is>
      </c>
      <c r="C28" s="19" t="inlineStr">
        <is>
          <t>30</t>
        </is>
      </c>
      <c r="D28" t="n">
        <v>4</v>
      </c>
      <c r="E28" s="19" t="inlineStr">
        <is>
          <t>18</t>
        </is>
      </c>
      <c r="F28" t="n">
        <v>7</v>
      </c>
      <c r="G28" t="b">
        <v>0</v>
      </c>
      <c r="H28" t="inlineStr">
        <is>
          <t>UOM=ADT;WEIGHT_BASIS=PROCESSED_SOURCE_UNIT_WEIGHT;LINE_WEIGHT_KG=0.8;SOURCE_CFG=IA-ST-CFG-0012;SRC_REF=Row 1859, Slot 8;SRC_FILE=Mamul Ambalaj Bileşen Listesi-30.07.2026(3).xlsx</t>
        </is>
      </c>
    </row>
    <row r="29">
      <c r="A29" s="19" t="inlineStr">
        <is>
          <t>28</t>
        </is>
      </c>
      <c r="B29" s="19" t="inlineStr">
        <is>
          <t>4</t>
        </is>
      </c>
      <c r="C29" s="19" t="inlineStr">
        <is>
          <t>51</t>
        </is>
      </c>
      <c r="D29" t="n">
        <v>4</v>
      </c>
      <c r="E29" s="19" t="inlineStr">
        <is>
          <t>18</t>
        </is>
      </c>
      <c r="F29" t="n">
        <v>8</v>
      </c>
      <c r="G29" t="b">
        <v>0</v>
      </c>
      <c r="H29" t="inlineStr">
        <is>
          <t>UOM=ADT;WEIGHT_BASIS=PROCESSED_SOURCE_UNIT_WEIGHT;LINE_WEIGHT_KG=0.12;SOURCE_CFG=IA-ST-CFG-0012;SRC_REF=Row 1859, Slot 9;SRC_FILE=Mamul Ambalaj Bileşen Listesi-30.07.2026(3).xlsx</t>
        </is>
      </c>
    </row>
    <row r="30">
      <c r="A30" s="19" t="inlineStr">
        <is>
          <t>29</t>
        </is>
      </c>
      <c r="B30" s="19" t="inlineStr">
        <is>
          <t>4</t>
        </is>
      </c>
      <c r="C30" s="19" t="inlineStr">
        <is>
          <t>52</t>
        </is>
      </c>
      <c r="D30" t="n">
        <v>4</v>
      </c>
      <c r="E30" s="19" t="inlineStr">
        <is>
          <t>18</t>
        </is>
      </c>
      <c r="F30" t="n">
        <v>9</v>
      </c>
      <c r="G30" t="b">
        <v>0</v>
      </c>
      <c r="H30" t="inlineStr">
        <is>
          <t>UOM=ADT;WEIGHT_BASIS=PROCESSED_SOURCE_UNIT_WEIGHT;LINE_WEIGHT_KG=1.44;SOURCE_CFG=IA-ST-CFG-0012;SRC_REF=Row 1859, Slot 10;SRC_FILE=Mamul Ambalaj Bileşen Listesi-30.07.2026(3).xlsx</t>
        </is>
      </c>
    </row>
    <row r="31">
      <c r="A31" s="19" t="inlineStr">
        <is>
          <t>30</t>
        </is>
      </c>
      <c r="B31" s="19" t="inlineStr">
        <is>
          <t>5</t>
        </is>
      </c>
      <c r="C31" s="19" t="inlineStr">
        <is>
          <t>13</t>
        </is>
      </c>
      <c r="D31" t="n">
        <v>14</v>
      </c>
      <c r="E31" s="19" t="inlineStr">
        <is>
          <t>18</t>
        </is>
      </c>
      <c r="F31" t="n">
        <v>1</v>
      </c>
      <c r="G31" t="b">
        <v>0</v>
      </c>
      <c r="H31" t="inlineStr">
        <is>
          <t>UOM=M;WEIGHT_BASIS=PROCESSED_SOURCE_UNIT_WEIGHT;LINE_WEIGHT_KG=0.1736;SOURCE_CFG=IA-ST-CFG-0013;SRC_REF=Row 1060, Slot 1;SRC_FILE=Mamul Ambalaj Bileşen Listesi-30.07.2026(3).xlsx</t>
        </is>
      </c>
    </row>
    <row r="32">
      <c r="A32" s="19" t="inlineStr">
        <is>
          <t>31</t>
        </is>
      </c>
      <c r="B32" s="19" t="inlineStr">
        <is>
          <t>5</t>
        </is>
      </c>
      <c r="C32" s="19" t="inlineStr">
        <is>
          <t>72</t>
        </is>
      </c>
      <c r="D32" t="n">
        <v>18</v>
      </c>
      <c r="E32" s="19" t="inlineStr">
        <is>
          <t>18</t>
        </is>
      </c>
      <c r="F32" t="n">
        <v>2</v>
      </c>
      <c r="G32" t="b">
        <v>0</v>
      </c>
      <c r="H32" t="inlineStr">
        <is>
          <t>UOM=ADT;WEIGHT_BASIS=PROCESSED_SOURCE_UNIT_WEIGHT;LINE_WEIGHT_KG=2.268;SOURCE_CFG=IA-ST-CFG-0013;SRC_REF=Row 1060, Slot 2;SRC_FILE=Mamul Ambalaj Bileşen Listesi-30.07.2026(3).xlsx</t>
        </is>
      </c>
    </row>
    <row r="33">
      <c r="A33" s="19" t="inlineStr">
        <is>
          <t>32</t>
        </is>
      </c>
      <c r="B33" s="19" t="inlineStr">
        <is>
          <t>5</t>
        </is>
      </c>
      <c r="C33" s="19" t="inlineStr">
        <is>
          <t>6</t>
        </is>
      </c>
      <c r="D33" t="n">
        <v>1</v>
      </c>
      <c r="E33" s="19" t="inlineStr">
        <is>
          <t>18</t>
        </is>
      </c>
      <c r="F33" t="n">
        <v>3</v>
      </c>
      <c r="G33" t="b">
        <v>0</v>
      </c>
      <c r="H33" t="inlineStr">
        <is>
          <t>UOM=ADT;WEIGHT_BASIS=PROCESSED_SOURCE_UNIT_WEIGHT;LINE_WEIGHT_KG=26.0;SOURCE_CFG=IA-ST-CFG-0013;SRC_REF=Row 1060, Slot 3;SRC_FILE=Mamul Ambalaj Bileşen Listesi-30.07.2026(3).xlsx</t>
        </is>
      </c>
    </row>
    <row r="34">
      <c r="A34" s="19" t="inlineStr">
        <is>
          <t>33</t>
        </is>
      </c>
      <c r="B34" s="19" t="inlineStr">
        <is>
          <t>5</t>
        </is>
      </c>
      <c r="C34" s="19" t="inlineStr">
        <is>
          <t>8</t>
        </is>
      </c>
      <c r="D34" t="n">
        <v>20</v>
      </c>
      <c r="E34" s="19" t="inlineStr">
        <is>
          <t>18</t>
        </is>
      </c>
      <c r="F34" t="n">
        <v>4</v>
      </c>
      <c r="G34" t="b">
        <v>0</v>
      </c>
      <c r="H34" t="inlineStr">
        <is>
          <t>UOM=M;WEIGHT_BASIS=PROCESSED_SOURCE_UNIT_WEIGHT;LINE_WEIGHT_KG=0.3664;SOURCE_CFG=IA-ST-CFG-0013;SRC_REF=Row 1060, Slot 5;SRC_FILE=Mamul Ambalaj Bileşen Listesi-30.07.2026(3).xlsx</t>
        </is>
      </c>
    </row>
    <row r="35">
      <c r="A35" s="19" t="inlineStr">
        <is>
          <t>34</t>
        </is>
      </c>
      <c r="B35" s="19" t="inlineStr">
        <is>
          <t>5</t>
        </is>
      </c>
      <c r="C35" s="19" t="inlineStr">
        <is>
          <t>9</t>
        </is>
      </c>
      <c r="D35" t="n">
        <v>0.186</v>
      </c>
      <c r="E35" s="19" t="inlineStr">
        <is>
          <t>18</t>
        </is>
      </c>
      <c r="F35" t="n">
        <v>5</v>
      </c>
      <c r="G35" t="b">
        <v>0</v>
      </c>
      <c r="H35" t="inlineStr">
        <is>
          <t>UOM=KG;WEIGHT_BASIS=RECIPE_QUANTITY_IS_KG;LINE_WEIGHT_KG=0.186;SOURCE_CFG=IA-ST-CFG-0013;SRC_REF=Row 1060, Slot 6;SRC_FILE=Mamul Ambalaj Bileşen Listesi-30.07.2026(3).xlsx</t>
        </is>
      </c>
    </row>
    <row r="36">
      <c r="A36" s="19" t="inlineStr">
        <is>
          <t>35</t>
        </is>
      </c>
      <c r="B36" s="19" t="inlineStr">
        <is>
          <t>5</t>
        </is>
      </c>
      <c r="C36" s="19" t="inlineStr">
        <is>
          <t>25</t>
        </is>
      </c>
      <c r="D36" t="n">
        <v>4</v>
      </c>
      <c r="E36" s="19" t="inlineStr">
        <is>
          <t>18</t>
        </is>
      </c>
      <c r="F36" t="n">
        <v>6</v>
      </c>
      <c r="G36" t="b">
        <v>0</v>
      </c>
      <c r="H36" t="inlineStr">
        <is>
          <t>UOM=ADT;WEIGHT_BASIS=PROCESSED_SOURCE_UNIT_WEIGHT;LINE_WEIGHT_KG=0.4;SOURCE_CFG=IA-ST-CFG-0013;SRC_REF=Row 1060, Slot 8;SRC_FILE=Mamul Ambalaj Bileşen Listesi-30.07.2026(3).xlsx</t>
        </is>
      </c>
    </row>
    <row r="37">
      <c r="A37" s="19" t="inlineStr">
        <is>
          <t>36</t>
        </is>
      </c>
      <c r="B37" s="19" t="inlineStr">
        <is>
          <t>5</t>
        </is>
      </c>
      <c r="C37" s="19" t="inlineStr">
        <is>
          <t>30</t>
        </is>
      </c>
      <c r="D37" t="n">
        <v>4</v>
      </c>
      <c r="E37" s="19" t="inlineStr">
        <is>
          <t>18</t>
        </is>
      </c>
      <c r="F37" t="n">
        <v>7</v>
      </c>
      <c r="G37" t="b">
        <v>0</v>
      </c>
      <c r="H37" t="inlineStr">
        <is>
          <t>UOM=ADT;WEIGHT_BASIS=PROCESSED_SOURCE_UNIT_WEIGHT;LINE_WEIGHT_KG=0.8;SOURCE_CFG=IA-ST-CFG-0013;SRC_REF=Row 1060, Slot 9;SRC_FILE=Mamul Ambalaj Bileşen Listesi-30.07.2026(3).xlsx</t>
        </is>
      </c>
    </row>
    <row r="38">
      <c r="A38" s="19" t="inlineStr">
        <is>
          <t>37</t>
        </is>
      </c>
      <c r="B38" s="19" t="inlineStr">
        <is>
          <t>6</t>
        </is>
      </c>
      <c r="C38" s="19" t="inlineStr">
        <is>
          <t>13</t>
        </is>
      </c>
      <c r="D38" t="n">
        <v>7</v>
      </c>
      <c r="E38" s="19" t="inlineStr">
        <is>
          <t>18</t>
        </is>
      </c>
      <c r="F38" t="n">
        <v>1</v>
      </c>
      <c r="G38" t="b">
        <v>0</v>
      </c>
      <c r="H38" t="inlineStr">
        <is>
          <t>UOM=M;WEIGHT_BASIS=PROCESSED_SOURCE_UNIT_WEIGHT;LINE_WEIGHT_KG=0.0868;SOURCE_CFG=IA-ST-CFG-0014;SRC_REF=Row 40, Slot 1;SRC_FILE=Mamul Ambalaj Bileşen Listesi-30.07.2026(3).xlsx</t>
        </is>
      </c>
    </row>
    <row r="39">
      <c r="A39" s="19" t="inlineStr">
        <is>
          <t>38</t>
        </is>
      </c>
      <c r="B39" s="19" t="inlineStr">
        <is>
          <t>6</t>
        </is>
      </c>
      <c r="C39" s="19" t="inlineStr">
        <is>
          <t>72</t>
        </is>
      </c>
      <c r="D39" t="n">
        <v>18</v>
      </c>
      <c r="E39" s="19" t="inlineStr">
        <is>
          <t>18</t>
        </is>
      </c>
      <c r="F39" t="n">
        <v>2</v>
      </c>
      <c r="G39" t="b">
        <v>0</v>
      </c>
      <c r="H39" t="inlineStr">
        <is>
          <t>UOM=ADT;WEIGHT_BASIS=PROCESSED_SOURCE_UNIT_WEIGHT;LINE_WEIGHT_KG=2.268;SOURCE_CFG=IA-ST-CFG-0014;SRC_REF=Row 40, Slot 2;SRC_FILE=Mamul Ambalaj Bileşen Listesi-30.07.2026(3).xlsx</t>
        </is>
      </c>
    </row>
    <row r="40">
      <c r="A40" s="19" t="inlineStr">
        <is>
          <t>39</t>
        </is>
      </c>
      <c r="B40" s="19" t="inlineStr">
        <is>
          <t>6</t>
        </is>
      </c>
      <c r="C40" s="19" t="inlineStr">
        <is>
          <t>6</t>
        </is>
      </c>
      <c r="D40" t="n">
        <v>1</v>
      </c>
      <c r="E40" s="19" t="inlineStr">
        <is>
          <t>18</t>
        </is>
      </c>
      <c r="F40" t="n">
        <v>3</v>
      </c>
      <c r="G40" t="b">
        <v>0</v>
      </c>
      <c r="H40" t="inlineStr">
        <is>
          <t>UOM=ADT;WEIGHT_BASIS=PROCESSED_SOURCE_UNIT_WEIGHT;LINE_WEIGHT_KG=26.0;SOURCE_CFG=IA-ST-CFG-0014;SRC_REF=Row 40, Slot 3;SRC_FILE=Mamul Ambalaj Bileşen Listesi-30.07.2026(3).xlsx</t>
        </is>
      </c>
    </row>
    <row r="41">
      <c r="A41" s="19" t="inlineStr">
        <is>
          <t>40</t>
        </is>
      </c>
      <c r="B41" s="19" t="inlineStr">
        <is>
          <t>6</t>
        </is>
      </c>
      <c r="C41" s="19" t="inlineStr">
        <is>
          <t>8</t>
        </is>
      </c>
      <c r="D41" t="n">
        <v>20</v>
      </c>
      <c r="E41" s="19" t="inlineStr">
        <is>
          <t>18</t>
        </is>
      </c>
      <c r="F41" t="n">
        <v>4</v>
      </c>
      <c r="G41" t="b">
        <v>0</v>
      </c>
      <c r="H41" t="inlineStr">
        <is>
          <t>UOM=M;WEIGHT_BASIS=PROCESSED_SOURCE_UNIT_WEIGHT;LINE_WEIGHT_KG=0.3664;SOURCE_CFG=IA-ST-CFG-0014;SRC_REF=Row 40, Slot 5;SRC_FILE=Mamul Ambalaj Bileşen Listesi-30.07.2026(3).xlsx</t>
        </is>
      </c>
    </row>
    <row r="42">
      <c r="A42" s="19" t="inlineStr">
        <is>
          <t>41</t>
        </is>
      </c>
      <c r="B42" s="19" t="inlineStr">
        <is>
          <t>6</t>
        </is>
      </c>
      <c r="C42" s="19" t="inlineStr">
        <is>
          <t>9</t>
        </is>
      </c>
      <c r="D42" t="n">
        <v>0.186</v>
      </c>
      <c r="E42" s="19" t="inlineStr">
        <is>
          <t>18</t>
        </is>
      </c>
      <c r="F42" t="n">
        <v>5</v>
      </c>
      <c r="G42" t="b">
        <v>0</v>
      </c>
      <c r="H42" t="inlineStr">
        <is>
          <t>UOM=KG;WEIGHT_BASIS=RECIPE_QUANTITY_IS_KG;LINE_WEIGHT_KG=0.186;SOURCE_CFG=IA-ST-CFG-0014;SRC_REF=Row 40, Slot 6;SRC_FILE=Mamul Ambalaj Bileşen Listesi-30.07.2026(3).xlsx</t>
        </is>
      </c>
    </row>
    <row r="43">
      <c r="A43" s="19" t="inlineStr">
        <is>
          <t>42</t>
        </is>
      </c>
      <c r="B43" s="19" t="inlineStr">
        <is>
          <t>6</t>
        </is>
      </c>
      <c r="C43" s="19" t="inlineStr">
        <is>
          <t>22</t>
        </is>
      </c>
      <c r="D43" t="n">
        <v>1.08</v>
      </c>
      <c r="E43" s="19" t="inlineStr">
        <is>
          <t>18</t>
        </is>
      </c>
      <c r="F43" t="n">
        <v>6</v>
      </c>
      <c r="G43" t="b">
        <v>0</v>
      </c>
      <c r="H43" t="inlineStr">
        <is>
          <t>UOM=KG;WEIGHT_BASIS=RECIPE_QUANTITY_IS_KG;LINE_WEIGHT_KG=1.08;SOURCE_CFG=IA-ST-CFG-0014;SRC_REF=Row 40, Slot 7;SRC_FILE=Mamul Ambalaj Bileşen Listesi-30.07.2026(3).xlsx</t>
        </is>
      </c>
    </row>
    <row r="44">
      <c r="A44" s="19" t="inlineStr">
        <is>
          <t>43</t>
        </is>
      </c>
      <c r="B44" s="19" t="inlineStr">
        <is>
          <t>6</t>
        </is>
      </c>
      <c r="C44" s="19" t="inlineStr">
        <is>
          <t>25</t>
        </is>
      </c>
      <c r="D44" t="n">
        <v>2</v>
      </c>
      <c r="E44" s="19" t="inlineStr">
        <is>
          <t>18</t>
        </is>
      </c>
      <c r="F44" t="n">
        <v>7</v>
      </c>
      <c r="G44" t="b">
        <v>0</v>
      </c>
      <c r="H44" t="inlineStr">
        <is>
          <t>UOM=ADT;WEIGHT_BASIS=PROCESSED_SOURCE_UNIT_WEIGHT;LINE_WEIGHT_KG=0.2;SOURCE_CFG=IA-ST-CFG-0014;SRC_REF=Row 40, Slot 8;SRC_FILE=Mamul Ambalaj Bileşen Listesi-30.07.2026(3).xlsx</t>
        </is>
      </c>
    </row>
    <row r="45">
      <c r="A45" s="19" t="inlineStr">
        <is>
          <t>44</t>
        </is>
      </c>
      <c r="B45" s="19" t="inlineStr">
        <is>
          <t>6</t>
        </is>
      </c>
      <c r="C45" s="19" t="inlineStr">
        <is>
          <t>30</t>
        </is>
      </c>
      <c r="D45" t="n">
        <v>4</v>
      </c>
      <c r="E45" s="19" t="inlineStr">
        <is>
          <t>18</t>
        </is>
      </c>
      <c r="F45" t="n">
        <v>8</v>
      </c>
      <c r="G45" t="b">
        <v>0</v>
      </c>
      <c r="H45" t="inlineStr">
        <is>
          <t>UOM=ADT;WEIGHT_BASIS=PROCESSED_SOURCE_UNIT_WEIGHT;LINE_WEIGHT_KG=0.8;SOURCE_CFG=IA-ST-CFG-0014;SRC_REF=Row 40, Slot 9;SRC_FILE=Mamul Ambalaj Bileşen Listesi-30.07.2026(3).xlsx</t>
        </is>
      </c>
    </row>
    <row r="46">
      <c r="A46" s="19" t="inlineStr">
        <is>
          <t>45</t>
        </is>
      </c>
      <c r="B46" s="19" t="inlineStr">
        <is>
          <t>7</t>
        </is>
      </c>
      <c r="C46" s="19" t="inlineStr">
        <is>
          <t>13</t>
        </is>
      </c>
      <c r="D46" t="n">
        <v>7</v>
      </c>
      <c r="E46" s="19" t="inlineStr">
        <is>
          <t>18</t>
        </is>
      </c>
      <c r="F46" t="n">
        <v>1</v>
      </c>
      <c r="G46" t="b">
        <v>0</v>
      </c>
      <c r="H46" t="inlineStr">
        <is>
          <t>UOM=M;WEIGHT_BASIS=PROCESSED_SOURCE_UNIT_WEIGHT;LINE_WEIGHT_KG=0.0868;SOURCE_CFG=IA-ST-CFG-0015;SRC_REF=Row 1669, Slot 1;SRC_FILE=Mamul Ambalaj Bileşen Listesi-30.07.2026(3).xlsx</t>
        </is>
      </c>
    </row>
    <row r="47">
      <c r="A47" s="19" t="inlineStr">
        <is>
          <t>46</t>
        </is>
      </c>
      <c r="B47" s="19" t="inlineStr">
        <is>
          <t>7</t>
        </is>
      </c>
      <c r="C47" s="19" t="inlineStr">
        <is>
          <t>6</t>
        </is>
      </c>
      <c r="D47" t="n">
        <v>1</v>
      </c>
      <c r="E47" s="19" t="inlineStr">
        <is>
          <t>18</t>
        </is>
      </c>
      <c r="F47" t="n">
        <v>2</v>
      </c>
      <c r="G47" t="b">
        <v>0</v>
      </c>
      <c r="H47" t="inlineStr">
        <is>
          <t>UOM=ADT;WEIGHT_BASIS=PROCESSED_SOURCE_UNIT_WEIGHT;LINE_WEIGHT_KG=26.0;SOURCE_CFG=IA-ST-CFG-0015;SRC_REF=Row 1669, Slot 3;SRC_FILE=Mamul Ambalaj Bileşen Listesi-30.07.2026(3).xlsx</t>
        </is>
      </c>
    </row>
    <row r="48">
      <c r="A48" s="19" t="inlineStr">
        <is>
          <t>47</t>
        </is>
      </c>
      <c r="B48" s="19" t="inlineStr">
        <is>
          <t>7</t>
        </is>
      </c>
      <c r="C48" s="19" t="inlineStr">
        <is>
          <t>8</t>
        </is>
      </c>
      <c r="D48" t="n">
        <v>20</v>
      </c>
      <c r="E48" s="19" t="inlineStr">
        <is>
          <t>18</t>
        </is>
      </c>
      <c r="F48" t="n">
        <v>3</v>
      </c>
      <c r="G48" t="b">
        <v>0</v>
      </c>
      <c r="H48" t="inlineStr">
        <is>
          <t>UOM=M;WEIGHT_BASIS=PROCESSED_SOURCE_UNIT_WEIGHT;LINE_WEIGHT_KG=0.3664;SOURCE_CFG=IA-ST-CFG-0015;SRC_REF=Row 1669, Slot 5;SRC_FILE=Mamul Ambalaj Bileşen Listesi-30.07.2026(3).xlsx</t>
        </is>
      </c>
    </row>
    <row r="49">
      <c r="A49" s="19" t="inlineStr">
        <is>
          <t>48</t>
        </is>
      </c>
      <c r="B49" s="19" t="inlineStr">
        <is>
          <t>7</t>
        </is>
      </c>
      <c r="C49" s="19" t="inlineStr">
        <is>
          <t>9</t>
        </is>
      </c>
      <c r="D49" t="n">
        <v>0.186</v>
      </c>
      <c r="E49" s="19" t="inlineStr">
        <is>
          <t>18</t>
        </is>
      </c>
      <c r="F49" t="n">
        <v>4</v>
      </c>
      <c r="G49" t="b">
        <v>0</v>
      </c>
      <c r="H49" t="inlineStr">
        <is>
          <t>UOM=KG;WEIGHT_BASIS=RECIPE_QUANTITY_IS_KG;LINE_WEIGHT_KG=0.186;SOURCE_CFG=IA-ST-CFG-0015;SRC_REF=Row 1669, Slot 6;SRC_FILE=Mamul Ambalaj Bileşen Listesi-30.07.2026(3).xlsx</t>
        </is>
      </c>
    </row>
    <row r="50">
      <c r="A50" s="19" t="inlineStr">
        <is>
          <t>49</t>
        </is>
      </c>
      <c r="B50" s="19" t="inlineStr">
        <is>
          <t>7</t>
        </is>
      </c>
      <c r="C50" s="19" t="inlineStr">
        <is>
          <t>25</t>
        </is>
      </c>
      <c r="D50" t="n">
        <v>2</v>
      </c>
      <c r="E50" s="19" t="inlineStr">
        <is>
          <t>18</t>
        </is>
      </c>
      <c r="F50" t="n">
        <v>5</v>
      </c>
      <c r="G50" t="b">
        <v>0</v>
      </c>
      <c r="H50" t="inlineStr">
        <is>
          <t>UOM=ADT;WEIGHT_BASIS=PROCESSED_SOURCE_UNIT_WEIGHT;LINE_WEIGHT_KG=0.2;SOURCE_CFG=IA-ST-CFG-0015;SRC_REF=Row 1669, Slot 8;SRC_FILE=Mamul Ambalaj Bileşen Listesi-30.07.2026(3).xlsx</t>
        </is>
      </c>
    </row>
    <row r="51">
      <c r="A51" s="19" t="inlineStr">
        <is>
          <t>50</t>
        </is>
      </c>
      <c r="B51" s="19" t="inlineStr">
        <is>
          <t>7</t>
        </is>
      </c>
      <c r="C51" s="19" t="inlineStr">
        <is>
          <t>30</t>
        </is>
      </c>
      <c r="D51" t="n">
        <v>1</v>
      </c>
      <c r="E51" s="19" t="inlineStr">
        <is>
          <t>18</t>
        </is>
      </c>
      <c r="F51" t="n">
        <v>6</v>
      </c>
      <c r="G51" t="b">
        <v>0</v>
      </c>
      <c r="H51" t="inlineStr">
        <is>
          <t>UOM=ADT;WEIGHT_BASIS=PROCESSED_SOURCE_UNIT_WEIGHT;LINE_WEIGHT_KG=0.2;SOURCE_CFG=IA-ST-CFG-0015;SRC_REF=Row 1669, Slot 9;SRC_FILE=Mamul Ambalaj Bileşen Listesi-30.07.2026(3).xlsx</t>
        </is>
      </c>
    </row>
    <row r="52">
      <c r="A52" s="19" t="inlineStr">
        <is>
          <t>51</t>
        </is>
      </c>
      <c r="B52" s="19" t="inlineStr">
        <is>
          <t>7</t>
        </is>
      </c>
      <c r="C52" s="19" t="inlineStr">
        <is>
          <t>56</t>
        </is>
      </c>
      <c r="D52" t="n">
        <v>3</v>
      </c>
      <c r="E52" s="19" t="inlineStr">
        <is>
          <t>18</t>
        </is>
      </c>
      <c r="F52" t="n">
        <v>7</v>
      </c>
      <c r="G52" t="b">
        <v>0</v>
      </c>
      <c r="H52" t="inlineStr">
        <is>
          <t>UOM=ADT;WEIGHT_BASIS=PROCESSED_SOURCE_UNIT_WEIGHT;LINE_WEIGHT_KG=3.0;SOURCE_CFG=IA-ST-CFG-0015;SRC_REF=Row 1669, Slot 10;SRC_FILE=Mamul Ambalaj Bileşen Listesi-30.07.2026(3).xlsx</t>
        </is>
      </c>
    </row>
    <row r="53">
      <c r="A53" s="19" t="inlineStr">
        <is>
          <t>52</t>
        </is>
      </c>
      <c r="B53" s="19" t="inlineStr">
        <is>
          <t>8</t>
        </is>
      </c>
      <c r="C53" s="19" t="inlineStr">
        <is>
          <t>72</t>
        </is>
      </c>
      <c r="D53" t="n">
        <v>18</v>
      </c>
      <c r="E53" s="19" t="inlineStr">
        <is>
          <t>18</t>
        </is>
      </c>
      <c r="F53" t="n">
        <v>1</v>
      </c>
      <c r="G53" t="b">
        <v>0</v>
      </c>
      <c r="H53" t="inlineStr">
        <is>
          <t>UOM=ADT;WEIGHT_BASIS=PROCESSED_SOURCE_UNIT_WEIGHT;LINE_WEIGHT_KG=2.268;SOURCE_CFG=IA-ST-CFG-0016;SRC_REF=Row 52, Slot 1;SRC_FILE=Mamul Ambalaj Bileşen Listesi-30.07.2026(3).xlsx</t>
        </is>
      </c>
    </row>
    <row r="54">
      <c r="A54" s="19" t="inlineStr">
        <is>
          <t>53</t>
        </is>
      </c>
      <c r="B54" s="19" t="inlineStr">
        <is>
          <t>8</t>
        </is>
      </c>
      <c r="C54" s="19" t="inlineStr">
        <is>
          <t>6</t>
        </is>
      </c>
      <c r="D54" t="n">
        <v>1</v>
      </c>
      <c r="E54" s="19" t="inlineStr">
        <is>
          <t>18</t>
        </is>
      </c>
      <c r="F54" t="n">
        <v>2</v>
      </c>
      <c r="G54" t="b">
        <v>0</v>
      </c>
      <c r="H54" t="inlineStr">
        <is>
          <t>UOM=ADT;WEIGHT_BASIS=PROCESSED_SOURCE_UNIT_WEIGHT;LINE_WEIGHT_KG=26.0;SOURCE_CFG=IA-ST-CFG-0016;SRC_REF=Row 52, Slot 3;SRC_FILE=Mamul Ambalaj Bileşen Listesi-30.07.2026(3).xlsx</t>
        </is>
      </c>
    </row>
    <row r="55">
      <c r="A55" s="19" t="inlineStr">
        <is>
          <t>54</t>
        </is>
      </c>
      <c r="B55" s="19" t="inlineStr">
        <is>
          <t>8</t>
        </is>
      </c>
      <c r="C55" s="19" t="inlineStr">
        <is>
          <t>8</t>
        </is>
      </c>
      <c r="D55" t="n">
        <v>20</v>
      </c>
      <c r="E55" s="19" t="inlineStr">
        <is>
          <t>18</t>
        </is>
      </c>
      <c r="F55" t="n">
        <v>3</v>
      </c>
      <c r="G55" t="b">
        <v>0</v>
      </c>
      <c r="H55" t="inlineStr">
        <is>
          <t>UOM=M;WEIGHT_BASIS=PROCESSED_SOURCE_UNIT_WEIGHT;LINE_WEIGHT_KG=0.3664;SOURCE_CFG=IA-ST-CFG-0016;SRC_REF=Row 52, Slot 5;SRC_FILE=Mamul Ambalaj Bileşen Listesi-30.07.2026(3).xlsx</t>
        </is>
      </c>
    </row>
    <row r="56">
      <c r="A56" s="19" t="inlineStr">
        <is>
          <t>55</t>
        </is>
      </c>
      <c r="B56" s="19" t="inlineStr">
        <is>
          <t>8</t>
        </is>
      </c>
      <c r="C56" s="19" t="inlineStr">
        <is>
          <t>9</t>
        </is>
      </c>
      <c r="D56" t="n">
        <v>0.186</v>
      </c>
      <c r="E56" s="19" t="inlineStr">
        <is>
          <t>18</t>
        </is>
      </c>
      <c r="F56" t="n">
        <v>4</v>
      </c>
      <c r="G56" t="b">
        <v>0</v>
      </c>
      <c r="H56" t="inlineStr">
        <is>
          <t>UOM=KG;WEIGHT_BASIS=RECIPE_QUANTITY_IS_KG;LINE_WEIGHT_KG=0.186;SOURCE_CFG=IA-ST-CFG-0016;SRC_REF=Row 52, Slot 6;SRC_FILE=Mamul Ambalaj Bileşen Listesi-30.07.2026(3).xlsx</t>
        </is>
      </c>
    </row>
    <row r="57">
      <c r="A57" s="19" t="inlineStr">
        <is>
          <t>56</t>
        </is>
      </c>
      <c r="B57" s="19" t="inlineStr">
        <is>
          <t>8</t>
        </is>
      </c>
      <c r="C57" s="19" t="inlineStr">
        <is>
          <t>22</t>
        </is>
      </c>
      <c r="D57" t="n">
        <v>1.08</v>
      </c>
      <c r="E57" s="19" t="inlineStr">
        <is>
          <t>18</t>
        </is>
      </c>
      <c r="F57" t="n">
        <v>5</v>
      </c>
      <c r="G57" t="b">
        <v>0</v>
      </c>
      <c r="H57" t="inlineStr">
        <is>
          <t>UOM=KG;WEIGHT_BASIS=RECIPE_QUANTITY_IS_KG;LINE_WEIGHT_KG=1.08;SOURCE_CFG=IA-ST-CFG-0016;SRC_REF=Row 52, Slot 7;SRC_FILE=Mamul Ambalaj Bileşen Listesi-30.07.2026(3).xlsx</t>
        </is>
      </c>
    </row>
    <row r="58">
      <c r="A58" s="19" t="inlineStr">
        <is>
          <t>57</t>
        </is>
      </c>
      <c r="B58" s="19" t="inlineStr">
        <is>
          <t>8</t>
        </is>
      </c>
      <c r="C58" s="19" t="inlineStr">
        <is>
          <t>30</t>
        </is>
      </c>
      <c r="D58" t="n">
        <v>4</v>
      </c>
      <c r="E58" s="19" t="inlineStr">
        <is>
          <t>18</t>
        </is>
      </c>
      <c r="F58" t="n">
        <v>6</v>
      </c>
      <c r="G58" t="b">
        <v>0</v>
      </c>
      <c r="H58" t="inlineStr">
        <is>
          <t>UOM=ADT;WEIGHT_BASIS=PROCESSED_SOURCE_UNIT_WEIGHT;LINE_WEIGHT_KG=0.8;SOURCE_CFG=IA-ST-CFG-0016;SRC_REF=Row 52, Slot 8;SRC_FILE=Mamul Ambalaj Bileşen Listesi-30.07.2026(3).xlsx</t>
        </is>
      </c>
    </row>
    <row r="59">
      <c r="A59" s="19" t="inlineStr">
        <is>
          <t>58</t>
        </is>
      </c>
      <c r="B59" s="19" t="inlineStr">
        <is>
          <t>9</t>
        </is>
      </c>
      <c r="C59" s="19" t="inlineStr">
        <is>
          <t>13</t>
        </is>
      </c>
      <c r="D59" t="n">
        <v>14</v>
      </c>
      <c r="E59" s="19" t="inlineStr">
        <is>
          <t>18</t>
        </is>
      </c>
      <c r="F59" t="n">
        <v>1</v>
      </c>
      <c r="G59" t="b">
        <v>0</v>
      </c>
      <c r="H59" t="inlineStr">
        <is>
          <t>UOM=M;WEIGHT_BASIS=PROCESSED_SOURCE_UNIT_WEIGHT;LINE_WEIGHT_KG=0.1736;SOURCE_CFG=IA-ST-CFG-0027;SRC_REF=Row 209, Slot 1;SRC_FILE=Mamul Ambalaj Bileşen Listesi-30.07.2026(3).xlsx</t>
        </is>
      </c>
    </row>
    <row r="60">
      <c r="A60" s="19" t="inlineStr">
        <is>
          <t>59</t>
        </is>
      </c>
      <c r="B60" s="19" t="inlineStr">
        <is>
          <t>9</t>
        </is>
      </c>
      <c r="C60" s="19" t="inlineStr">
        <is>
          <t>26</t>
        </is>
      </c>
      <c r="D60" t="n">
        <v>21</v>
      </c>
      <c r="E60" s="19" t="inlineStr">
        <is>
          <t>18</t>
        </is>
      </c>
      <c r="F60" t="n">
        <v>2</v>
      </c>
      <c r="G60" t="b">
        <v>0</v>
      </c>
      <c r="H60" t="inlineStr">
        <is>
          <t>UOM=ADT;WEIGHT_BASIS=SOURCE_UNIT_WEIGHT;LINE_WEIGHT_KG=2.13381;SOURCE_CFG=IA-ST-CFG-0027;SRC_REF=Row 209, Slot 2;SRC_FILE=Mamul Ambalaj Bileşen Listesi-30.07.2026(3).xlsx</t>
        </is>
      </c>
    </row>
    <row r="61">
      <c r="A61" s="19" t="inlineStr">
        <is>
          <t>60</t>
        </is>
      </c>
      <c r="B61" s="19" t="inlineStr">
        <is>
          <t>9</t>
        </is>
      </c>
      <c r="C61" s="19" t="inlineStr">
        <is>
          <t>6</t>
        </is>
      </c>
      <c r="D61" t="n">
        <v>1</v>
      </c>
      <c r="E61" s="19" t="inlineStr">
        <is>
          <t>18</t>
        </is>
      </c>
      <c r="F61" t="n">
        <v>3</v>
      </c>
      <c r="G61" t="b">
        <v>0</v>
      </c>
      <c r="H61" t="inlineStr">
        <is>
          <t>UOM=ADT;WEIGHT_BASIS=PROCESSED_SOURCE_UNIT_WEIGHT;LINE_WEIGHT_KG=26.0;SOURCE_CFG=IA-ST-CFG-0027;SRC_REF=Row 209, Slot 3;SRC_FILE=Mamul Ambalaj Bileşen Listesi-30.07.2026(3).xlsx</t>
        </is>
      </c>
    </row>
    <row r="62">
      <c r="A62" s="19" t="inlineStr">
        <is>
          <t>61</t>
        </is>
      </c>
      <c r="B62" s="19" t="inlineStr">
        <is>
          <t>9</t>
        </is>
      </c>
      <c r="C62" s="19" t="inlineStr">
        <is>
          <t>8</t>
        </is>
      </c>
      <c r="D62" t="n">
        <v>20</v>
      </c>
      <c r="E62" s="19" t="inlineStr">
        <is>
          <t>18</t>
        </is>
      </c>
      <c r="F62" t="n">
        <v>4</v>
      </c>
      <c r="G62" t="b">
        <v>0</v>
      </c>
      <c r="H62" t="inlineStr">
        <is>
          <t>UOM=M;WEIGHT_BASIS=PROCESSED_SOURCE_UNIT_WEIGHT;LINE_WEIGHT_KG=0.3664;SOURCE_CFG=IA-ST-CFG-0027;SRC_REF=Row 209, Slot 5;SRC_FILE=Mamul Ambalaj Bileşen Listesi-30.07.2026(3).xlsx</t>
        </is>
      </c>
    </row>
    <row r="63">
      <c r="A63" s="19" t="inlineStr">
        <is>
          <t>62</t>
        </is>
      </c>
      <c r="B63" s="19" t="inlineStr">
        <is>
          <t>9</t>
        </is>
      </c>
      <c r="C63" s="19" t="inlineStr">
        <is>
          <t>9</t>
        </is>
      </c>
      <c r="D63" t="n">
        <v>0.186</v>
      </c>
      <c r="E63" s="19" t="inlineStr">
        <is>
          <t>18</t>
        </is>
      </c>
      <c r="F63" t="n">
        <v>5</v>
      </c>
      <c r="G63" t="b">
        <v>0</v>
      </c>
      <c r="H63" t="inlineStr">
        <is>
          <t>UOM=KG;WEIGHT_BASIS=RECIPE_QUANTITY_IS_KG;LINE_WEIGHT_KG=0.186;SOURCE_CFG=IA-ST-CFG-0027;SRC_REF=Row 209, Slot 6;SRC_FILE=Mamul Ambalaj Bileşen Listesi-30.07.2026(3).xlsx</t>
        </is>
      </c>
    </row>
    <row r="64">
      <c r="A64" s="19" t="inlineStr">
        <is>
          <t>63</t>
        </is>
      </c>
      <c r="B64" s="19" t="inlineStr">
        <is>
          <t>9</t>
        </is>
      </c>
      <c r="C64" s="19" t="inlineStr">
        <is>
          <t>22</t>
        </is>
      </c>
      <c r="D64" t="n">
        <v>1.155</v>
      </c>
      <c r="E64" s="19" t="inlineStr">
        <is>
          <t>18</t>
        </is>
      </c>
      <c r="F64" t="n">
        <v>6</v>
      </c>
      <c r="G64" t="b">
        <v>0</v>
      </c>
      <c r="H64" t="inlineStr">
        <is>
          <t>UOM=KG;WEIGHT_BASIS=RECIPE_QUANTITY_IS_KG;LINE_WEIGHT_KG=1.155;SOURCE_CFG=IA-ST-CFG-0027;SRC_REF=Row 209, Slot 7;SRC_FILE=Mamul Ambalaj Bileşen Listesi-30.07.2026(3).xlsx</t>
        </is>
      </c>
    </row>
    <row r="65">
      <c r="A65" s="19" t="inlineStr">
        <is>
          <t>64</t>
        </is>
      </c>
      <c r="B65" s="19" t="inlineStr">
        <is>
          <t>9</t>
        </is>
      </c>
      <c r="C65" s="19" t="inlineStr">
        <is>
          <t>30</t>
        </is>
      </c>
      <c r="D65" t="n">
        <v>4</v>
      </c>
      <c r="E65" s="19" t="inlineStr">
        <is>
          <t>18</t>
        </is>
      </c>
      <c r="F65" t="n">
        <v>7</v>
      </c>
      <c r="G65" t="b">
        <v>0</v>
      </c>
      <c r="H65" t="inlineStr">
        <is>
          <t>UOM=ADT;WEIGHT_BASIS=PROCESSED_SOURCE_UNIT_WEIGHT;LINE_WEIGHT_KG=0.8;SOURCE_CFG=IA-ST-CFG-0027;SRC_REF=Row 209, Slot 8;SRC_FILE=Mamul Ambalaj Bileşen Listesi-30.07.2026(3).xlsx</t>
        </is>
      </c>
    </row>
    <row r="66">
      <c r="A66" s="19" t="inlineStr">
        <is>
          <t>65</t>
        </is>
      </c>
      <c r="B66" s="19" t="inlineStr">
        <is>
          <t>9</t>
        </is>
      </c>
      <c r="C66" s="19" t="inlineStr">
        <is>
          <t>51</t>
        </is>
      </c>
      <c r="D66" t="n">
        <v>4</v>
      </c>
      <c r="E66" s="19" t="inlineStr">
        <is>
          <t>18</t>
        </is>
      </c>
      <c r="F66" t="n">
        <v>8</v>
      </c>
      <c r="G66" t="b">
        <v>0</v>
      </c>
      <c r="H66" t="inlineStr">
        <is>
          <t>UOM=ADT;WEIGHT_BASIS=PROCESSED_SOURCE_UNIT_WEIGHT;LINE_WEIGHT_KG=0.12;SOURCE_CFG=IA-ST-CFG-0027;SRC_REF=Row 209, Slot 9;SRC_FILE=Mamul Ambalaj Bileşen Listesi-30.07.2026(3).xlsx</t>
        </is>
      </c>
    </row>
    <row r="67">
      <c r="A67" s="19" t="inlineStr">
        <is>
          <t>66</t>
        </is>
      </c>
      <c r="B67" s="19" t="inlineStr">
        <is>
          <t>9</t>
        </is>
      </c>
      <c r="C67" s="19" t="inlineStr">
        <is>
          <t>52</t>
        </is>
      </c>
      <c r="D67" t="n">
        <v>4</v>
      </c>
      <c r="E67" s="19" t="inlineStr">
        <is>
          <t>18</t>
        </is>
      </c>
      <c r="F67" t="n">
        <v>9</v>
      </c>
      <c r="G67" t="b">
        <v>0</v>
      </c>
      <c r="H67" t="inlineStr">
        <is>
          <t>UOM=ADT;WEIGHT_BASIS=PROCESSED_SOURCE_UNIT_WEIGHT;LINE_WEIGHT_KG=1.44;SOURCE_CFG=IA-ST-CFG-0027;SRC_REF=Row 209, Slot 10;SRC_FILE=Mamul Ambalaj Bileşen Listesi-30.07.2026(3).xlsx</t>
        </is>
      </c>
    </row>
    <row r="68">
      <c r="A68" s="19" t="inlineStr">
        <is>
          <t>67</t>
        </is>
      </c>
      <c r="B68" s="19" t="inlineStr">
        <is>
          <t>10</t>
        </is>
      </c>
      <c r="C68" s="19" t="inlineStr">
        <is>
          <t>13</t>
        </is>
      </c>
      <c r="D68" t="n">
        <v>14</v>
      </c>
      <c r="E68" s="19" t="inlineStr">
        <is>
          <t>18</t>
        </is>
      </c>
      <c r="F68" t="n">
        <v>1</v>
      </c>
      <c r="G68" t="b">
        <v>0</v>
      </c>
      <c r="H68" t="inlineStr">
        <is>
          <t>UOM=M;WEIGHT_BASIS=PROCESSED_SOURCE_UNIT_WEIGHT;LINE_WEIGHT_KG=0.1736;SOURCE_CFG=IA-ST-CFG-0028;SRC_REF=Row 1059, Slot 1;SRC_FILE=Mamul Ambalaj Bileşen Listesi-30.07.2026(3).xlsx</t>
        </is>
      </c>
    </row>
    <row r="69">
      <c r="A69" s="19" t="inlineStr">
        <is>
          <t>68</t>
        </is>
      </c>
      <c r="B69" s="19" t="inlineStr">
        <is>
          <t>10</t>
        </is>
      </c>
      <c r="C69" s="19" t="inlineStr">
        <is>
          <t>75</t>
        </is>
      </c>
      <c r="D69" t="n">
        <v>21</v>
      </c>
      <c r="E69" s="19" t="inlineStr">
        <is>
          <t>18</t>
        </is>
      </c>
      <c r="F69" t="n">
        <v>2</v>
      </c>
      <c r="G69" t="b">
        <v>0</v>
      </c>
      <c r="H69" t="inlineStr">
        <is>
          <t>UOM=ADT;WEIGHT_BASIS=PROCESSED_SOURCE_UNIT_WEIGHT;LINE_WEIGHT_KG=1.974;SOURCE_CFG=IA-ST-CFG-0028;SRC_REF=Row 1059, Slot 2;SRC_FILE=Mamul Ambalaj Bileşen Listesi-30.07.2026(3).xlsx</t>
        </is>
      </c>
    </row>
    <row r="70">
      <c r="A70" s="19" t="inlineStr">
        <is>
          <t>69</t>
        </is>
      </c>
      <c r="B70" s="19" t="inlineStr">
        <is>
          <t>10</t>
        </is>
      </c>
      <c r="C70" s="19" t="inlineStr">
        <is>
          <t>6</t>
        </is>
      </c>
      <c r="D70" t="n">
        <v>1</v>
      </c>
      <c r="E70" s="19" t="inlineStr">
        <is>
          <t>18</t>
        </is>
      </c>
      <c r="F70" t="n">
        <v>3</v>
      </c>
      <c r="G70" t="b">
        <v>0</v>
      </c>
      <c r="H70" t="inlineStr">
        <is>
          <t>UOM=ADT;WEIGHT_BASIS=PROCESSED_SOURCE_UNIT_WEIGHT;LINE_WEIGHT_KG=26.0;SOURCE_CFG=IA-ST-CFG-0028;SRC_REF=Row 1059, Slot 3;SRC_FILE=Mamul Ambalaj Bileşen Listesi-30.07.2026(3).xlsx</t>
        </is>
      </c>
    </row>
    <row r="71">
      <c r="A71" s="19" t="inlineStr">
        <is>
          <t>70</t>
        </is>
      </c>
      <c r="B71" s="19" t="inlineStr">
        <is>
          <t>10</t>
        </is>
      </c>
      <c r="C71" s="19" t="inlineStr">
        <is>
          <t>8</t>
        </is>
      </c>
      <c r="D71" t="n">
        <v>20</v>
      </c>
      <c r="E71" s="19" t="inlineStr">
        <is>
          <t>18</t>
        </is>
      </c>
      <c r="F71" t="n">
        <v>4</v>
      </c>
      <c r="G71" t="b">
        <v>0</v>
      </c>
      <c r="H71" t="inlineStr">
        <is>
          <t>UOM=M;WEIGHT_BASIS=PROCESSED_SOURCE_UNIT_WEIGHT;LINE_WEIGHT_KG=0.3664;SOURCE_CFG=IA-ST-CFG-0028;SRC_REF=Row 1059, Slot 5;SRC_FILE=Mamul Ambalaj Bileşen Listesi-30.07.2026(3).xlsx</t>
        </is>
      </c>
    </row>
    <row r="72">
      <c r="A72" s="19" t="inlineStr">
        <is>
          <t>71</t>
        </is>
      </c>
      <c r="B72" s="19" t="inlineStr">
        <is>
          <t>10</t>
        </is>
      </c>
      <c r="C72" s="19" t="inlineStr">
        <is>
          <t>9</t>
        </is>
      </c>
      <c r="D72" t="n">
        <v>0.186</v>
      </c>
      <c r="E72" s="19" t="inlineStr">
        <is>
          <t>18</t>
        </is>
      </c>
      <c r="F72" t="n">
        <v>5</v>
      </c>
      <c r="G72" t="b">
        <v>0</v>
      </c>
      <c r="H72" t="inlineStr">
        <is>
          <t>UOM=KG;WEIGHT_BASIS=RECIPE_QUANTITY_IS_KG;LINE_WEIGHT_KG=0.186;SOURCE_CFG=IA-ST-CFG-0028;SRC_REF=Row 1059, Slot 6;SRC_FILE=Mamul Ambalaj Bileşen Listesi-30.07.2026(3).xlsx</t>
        </is>
      </c>
    </row>
    <row r="73">
      <c r="A73" s="19" t="inlineStr">
        <is>
          <t>72</t>
        </is>
      </c>
      <c r="B73" s="19" t="inlineStr">
        <is>
          <t>10</t>
        </is>
      </c>
      <c r="C73" s="19" t="inlineStr">
        <is>
          <t>25</t>
        </is>
      </c>
      <c r="D73" t="n">
        <v>4</v>
      </c>
      <c r="E73" s="19" t="inlineStr">
        <is>
          <t>18</t>
        </is>
      </c>
      <c r="F73" t="n">
        <v>6</v>
      </c>
      <c r="G73" t="b">
        <v>0</v>
      </c>
      <c r="H73" t="inlineStr">
        <is>
          <t>UOM=ADT;WEIGHT_BASIS=PROCESSED_SOURCE_UNIT_WEIGHT;LINE_WEIGHT_KG=0.4;SOURCE_CFG=IA-ST-CFG-0028;SRC_REF=Row 1059, Slot 8;SRC_FILE=Mamul Ambalaj Bileşen Listesi-30.07.2026(3).xlsx</t>
        </is>
      </c>
    </row>
    <row r="74">
      <c r="A74" s="19" t="inlineStr">
        <is>
          <t>73</t>
        </is>
      </c>
      <c r="B74" s="19" t="inlineStr">
        <is>
          <t>10</t>
        </is>
      </c>
      <c r="C74" s="19" t="inlineStr">
        <is>
          <t>30</t>
        </is>
      </c>
      <c r="D74" t="n">
        <v>4</v>
      </c>
      <c r="E74" s="19" t="inlineStr">
        <is>
          <t>18</t>
        </is>
      </c>
      <c r="F74" t="n">
        <v>7</v>
      </c>
      <c r="G74" t="b">
        <v>0</v>
      </c>
      <c r="H74" t="inlineStr">
        <is>
          <t>UOM=ADT;WEIGHT_BASIS=PROCESSED_SOURCE_UNIT_WEIGHT;LINE_WEIGHT_KG=0.8;SOURCE_CFG=IA-ST-CFG-0028;SRC_REF=Row 1059, Slot 9;SRC_FILE=Mamul Ambalaj Bileşen Listesi-30.07.2026(3).xlsx</t>
        </is>
      </c>
    </row>
    <row r="75">
      <c r="A75" s="19" t="inlineStr">
        <is>
          <t>74</t>
        </is>
      </c>
      <c r="B75" s="19" t="inlineStr">
        <is>
          <t>11</t>
        </is>
      </c>
      <c r="C75" s="19" t="inlineStr">
        <is>
          <t>13</t>
        </is>
      </c>
      <c r="D75" t="n">
        <v>7</v>
      </c>
      <c r="E75" s="19" t="inlineStr">
        <is>
          <t>18</t>
        </is>
      </c>
      <c r="F75" t="n">
        <v>1</v>
      </c>
      <c r="G75" t="b">
        <v>0</v>
      </c>
      <c r="H75" t="inlineStr">
        <is>
          <t>UOM=M;WEIGHT_BASIS=PROCESSED_SOURCE_UNIT_WEIGHT;LINE_WEIGHT_KG=0.0868;SOURCE_CFG=IA-ST-CFG-0029;SRC_REF=Row 22, Slot 1;SRC_FILE=Mamul Ambalaj Bileşen Listesi-30.07.2026(3).xlsx</t>
        </is>
      </c>
    </row>
    <row r="76">
      <c r="A76" s="19" t="inlineStr">
        <is>
          <t>75</t>
        </is>
      </c>
      <c r="B76" s="19" t="inlineStr">
        <is>
          <t>11</t>
        </is>
      </c>
      <c r="C76" s="19" t="inlineStr">
        <is>
          <t>75</t>
        </is>
      </c>
      <c r="D76" t="n">
        <v>21</v>
      </c>
      <c r="E76" s="19" t="inlineStr">
        <is>
          <t>18</t>
        </is>
      </c>
      <c r="F76" t="n">
        <v>2</v>
      </c>
      <c r="G76" t="b">
        <v>0</v>
      </c>
      <c r="H76" t="inlineStr">
        <is>
          <t>UOM=ADT;WEIGHT_BASIS=PROCESSED_SOURCE_UNIT_WEIGHT;LINE_WEIGHT_KG=1.974;SOURCE_CFG=IA-ST-CFG-0029;SRC_REF=Row 22, Slot 2;SRC_FILE=Mamul Ambalaj Bileşen Listesi-30.07.2026(3).xlsx</t>
        </is>
      </c>
    </row>
    <row r="77">
      <c r="A77" s="19" t="inlineStr">
        <is>
          <t>76</t>
        </is>
      </c>
      <c r="B77" s="19" t="inlineStr">
        <is>
          <t>11</t>
        </is>
      </c>
      <c r="C77" s="19" t="inlineStr">
        <is>
          <t>6</t>
        </is>
      </c>
      <c r="D77" t="n">
        <v>1</v>
      </c>
      <c r="E77" s="19" t="inlineStr">
        <is>
          <t>18</t>
        </is>
      </c>
      <c r="F77" t="n">
        <v>3</v>
      </c>
      <c r="G77" t="b">
        <v>0</v>
      </c>
      <c r="H77" t="inlineStr">
        <is>
          <t>UOM=ADT;WEIGHT_BASIS=PROCESSED_SOURCE_UNIT_WEIGHT;LINE_WEIGHT_KG=26.0;SOURCE_CFG=IA-ST-CFG-0029;SRC_REF=Row 22, Slot 3;SRC_FILE=Mamul Ambalaj Bileşen Listesi-30.07.2026(3).xlsx</t>
        </is>
      </c>
    </row>
    <row r="78">
      <c r="A78" s="19" t="inlineStr">
        <is>
          <t>77</t>
        </is>
      </c>
      <c r="B78" s="19" t="inlineStr">
        <is>
          <t>11</t>
        </is>
      </c>
      <c r="C78" s="19" t="inlineStr">
        <is>
          <t>8</t>
        </is>
      </c>
      <c r="D78" t="n">
        <v>20</v>
      </c>
      <c r="E78" s="19" t="inlineStr">
        <is>
          <t>18</t>
        </is>
      </c>
      <c r="F78" t="n">
        <v>4</v>
      </c>
      <c r="G78" t="b">
        <v>0</v>
      </c>
      <c r="H78" t="inlineStr">
        <is>
          <t>UOM=M;WEIGHT_BASIS=PROCESSED_SOURCE_UNIT_WEIGHT;LINE_WEIGHT_KG=0.3664;SOURCE_CFG=IA-ST-CFG-0029;SRC_REF=Row 22, Slot 5;SRC_FILE=Mamul Ambalaj Bileşen Listesi-30.07.2026(3).xlsx</t>
        </is>
      </c>
    </row>
    <row r="79">
      <c r="A79" s="19" t="inlineStr">
        <is>
          <t>78</t>
        </is>
      </c>
      <c r="B79" s="19" t="inlineStr">
        <is>
          <t>11</t>
        </is>
      </c>
      <c r="C79" s="19" t="inlineStr">
        <is>
          <t>9</t>
        </is>
      </c>
      <c r="D79" t="n">
        <v>0.186</v>
      </c>
      <c r="E79" s="19" t="inlineStr">
        <is>
          <t>18</t>
        </is>
      </c>
      <c r="F79" t="n">
        <v>5</v>
      </c>
      <c r="G79" t="b">
        <v>0</v>
      </c>
      <c r="H79" t="inlineStr">
        <is>
          <t>UOM=KG;WEIGHT_BASIS=RECIPE_QUANTITY_IS_KG;LINE_WEIGHT_KG=0.186;SOURCE_CFG=IA-ST-CFG-0029;SRC_REF=Row 22, Slot 6;SRC_FILE=Mamul Ambalaj Bileşen Listesi-30.07.2026(3).xlsx</t>
        </is>
      </c>
    </row>
    <row r="80">
      <c r="A80" s="19" t="inlineStr">
        <is>
          <t>79</t>
        </is>
      </c>
      <c r="B80" s="19" t="inlineStr">
        <is>
          <t>11</t>
        </is>
      </c>
      <c r="C80" s="19" t="inlineStr">
        <is>
          <t>22</t>
        </is>
      </c>
      <c r="D80" t="n">
        <v>1.155</v>
      </c>
      <c r="E80" s="19" t="inlineStr">
        <is>
          <t>18</t>
        </is>
      </c>
      <c r="F80" t="n">
        <v>6</v>
      </c>
      <c r="G80" t="b">
        <v>0</v>
      </c>
      <c r="H80" t="inlineStr">
        <is>
          <t>UOM=KG;WEIGHT_BASIS=RECIPE_QUANTITY_IS_KG;LINE_WEIGHT_KG=1.155;SOURCE_CFG=IA-ST-CFG-0029;SRC_REF=Row 22, Slot 7;SRC_FILE=Mamul Ambalaj Bileşen Listesi-30.07.2026(3).xlsx</t>
        </is>
      </c>
    </row>
    <row r="81">
      <c r="A81" s="19" t="inlineStr">
        <is>
          <t>80</t>
        </is>
      </c>
      <c r="B81" s="19" t="inlineStr">
        <is>
          <t>11</t>
        </is>
      </c>
      <c r="C81" s="19" t="inlineStr">
        <is>
          <t>25</t>
        </is>
      </c>
      <c r="D81" t="n">
        <v>2</v>
      </c>
      <c r="E81" s="19" t="inlineStr">
        <is>
          <t>18</t>
        </is>
      </c>
      <c r="F81" t="n">
        <v>7</v>
      </c>
      <c r="G81" t="b">
        <v>0</v>
      </c>
      <c r="H81" t="inlineStr">
        <is>
          <t>UOM=ADT;WEIGHT_BASIS=PROCESSED_SOURCE_UNIT_WEIGHT;LINE_WEIGHT_KG=0.2;SOURCE_CFG=IA-ST-CFG-0029;SRC_REF=Row 22, Slot 8;SRC_FILE=Mamul Ambalaj Bileşen Listesi-30.07.2026(3).xlsx</t>
        </is>
      </c>
    </row>
    <row r="82">
      <c r="A82" s="19" t="inlineStr">
        <is>
          <t>81</t>
        </is>
      </c>
      <c r="B82" s="19" t="inlineStr">
        <is>
          <t>11</t>
        </is>
      </c>
      <c r="C82" s="19" t="inlineStr">
        <is>
          <t>30</t>
        </is>
      </c>
      <c r="D82" t="n">
        <v>4</v>
      </c>
      <c r="E82" s="19" t="inlineStr">
        <is>
          <t>18</t>
        </is>
      </c>
      <c r="F82" t="n">
        <v>8</v>
      </c>
      <c r="G82" t="b">
        <v>0</v>
      </c>
      <c r="H82" t="inlineStr">
        <is>
          <t>UOM=ADT;WEIGHT_BASIS=PROCESSED_SOURCE_UNIT_WEIGHT;LINE_WEIGHT_KG=0.8;SOURCE_CFG=IA-ST-CFG-0029;SRC_REF=Row 22, Slot 9;SRC_FILE=Mamul Ambalaj Bileşen Listesi-30.07.2026(3).xlsx</t>
        </is>
      </c>
    </row>
    <row r="83">
      <c r="A83" s="19" t="inlineStr">
        <is>
          <t>82</t>
        </is>
      </c>
      <c r="B83" s="19" t="inlineStr">
        <is>
          <t>12</t>
        </is>
      </c>
      <c r="C83" s="19" t="inlineStr">
        <is>
          <t>13</t>
        </is>
      </c>
      <c r="D83" t="n">
        <v>7</v>
      </c>
      <c r="E83" s="19" t="inlineStr">
        <is>
          <t>18</t>
        </is>
      </c>
      <c r="F83" t="n">
        <v>1</v>
      </c>
      <c r="G83" t="b">
        <v>0</v>
      </c>
      <c r="H83" t="inlineStr">
        <is>
          <t>UOM=M;WEIGHT_BASIS=PROCESSED_SOURCE_UNIT_WEIGHT;LINE_WEIGHT_KG=0.0868;SOURCE_CFG=IA-ST-CFG-0030;SRC_REF=Row 1667, Slot 1;SRC_FILE=Mamul Ambalaj Bileşen Listesi-30.07.2026(3).xlsx</t>
        </is>
      </c>
    </row>
    <row r="84">
      <c r="A84" s="19" t="inlineStr">
        <is>
          <t>83</t>
        </is>
      </c>
      <c r="B84" s="19" t="inlineStr">
        <is>
          <t>12</t>
        </is>
      </c>
      <c r="C84" s="19" t="inlineStr">
        <is>
          <t>6</t>
        </is>
      </c>
      <c r="D84" t="n">
        <v>1</v>
      </c>
      <c r="E84" s="19" t="inlineStr">
        <is>
          <t>18</t>
        </is>
      </c>
      <c r="F84" t="n">
        <v>2</v>
      </c>
      <c r="G84" t="b">
        <v>0</v>
      </c>
      <c r="H84" t="inlineStr">
        <is>
          <t>UOM=ADT;WEIGHT_BASIS=PROCESSED_SOURCE_UNIT_WEIGHT;LINE_WEIGHT_KG=26.0;SOURCE_CFG=IA-ST-CFG-0030;SRC_REF=Row 1667, Slot 3;SRC_FILE=Mamul Ambalaj Bileşen Listesi-30.07.2026(3).xlsx</t>
        </is>
      </c>
    </row>
    <row r="85">
      <c r="A85" s="19" t="inlineStr">
        <is>
          <t>84</t>
        </is>
      </c>
      <c r="B85" s="19" t="inlineStr">
        <is>
          <t>12</t>
        </is>
      </c>
      <c r="C85" s="19" t="inlineStr">
        <is>
          <t>8</t>
        </is>
      </c>
      <c r="D85" t="n">
        <v>20</v>
      </c>
      <c r="E85" s="19" t="inlineStr">
        <is>
          <t>18</t>
        </is>
      </c>
      <c r="F85" t="n">
        <v>3</v>
      </c>
      <c r="G85" t="b">
        <v>0</v>
      </c>
      <c r="H85" t="inlineStr">
        <is>
          <t>UOM=M;WEIGHT_BASIS=PROCESSED_SOURCE_UNIT_WEIGHT;LINE_WEIGHT_KG=0.3664;SOURCE_CFG=IA-ST-CFG-0030;SRC_REF=Row 1667, Slot 5;SRC_FILE=Mamul Ambalaj Bileşen Listesi-30.07.2026(3).xlsx</t>
        </is>
      </c>
    </row>
    <row r="86">
      <c r="A86" s="19" t="inlineStr">
        <is>
          <t>85</t>
        </is>
      </c>
      <c r="B86" s="19" t="inlineStr">
        <is>
          <t>12</t>
        </is>
      </c>
      <c r="C86" s="19" t="inlineStr">
        <is>
          <t>9</t>
        </is>
      </c>
      <c r="D86" t="n">
        <v>0.186</v>
      </c>
      <c r="E86" s="19" t="inlineStr">
        <is>
          <t>18</t>
        </is>
      </c>
      <c r="F86" t="n">
        <v>4</v>
      </c>
      <c r="G86" t="b">
        <v>0</v>
      </c>
      <c r="H86" t="inlineStr">
        <is>
          <t>UOM=KG;WEIGHT_BASIS=RECIPE_QUANTITY_IS_KG;LINE_WEIGHT_KG=0.186;SOURCE_CFG=IA-ST-CFG-0030;SRC_REF=Row 1667, Slot 6;SRC_FILE=Mamul Ambalaj Bileşen Listesi-30.07.2026(3).xlsx</t>
        </is>
      </c>
    </row>
    <row r="87">
      <c r="A87" s="19" t="inlineStr">
        <is>
          <t>86</t>
        </is>
      </c>
      <c r="B87" s="19" t="inlineStr">
        <is>
          <t>12</t>
        </is>
      </c>
      <c r="C87" s="19" t="inlineStr">
        <is>
          <t>25</t>
        </is>
      </c>
      <c r="D87" t="n">
        <v>2</v>
      </c>
      <c r="E87" s="19" t="inlineStr">
        <is>
          <t>18</t>
        </is>
      </c>
      <c r="F87" t="n">
        <v>5</v>
      </c>
      <c r="G87" t="b">
        <v>0</v>
      </c>
      <c r="H87" t="inlineStr">
        <is>
          <t>UOM=ADT;WEIGHT_BASIS=PROCESSED_SOURCE_UNIT_WEIGHT;LINE_WEIGHT_KG=0.2;SOURCE_CFG=IA-ST-CFG-0030;SRC_REF=Row 1667, Slot 8;SRC_FILE=Mamul Ambalaj Bileşen Listesi-30.07.2026(3).xlsx</t>
        </is>
      </c>
    </row>
    <row r="88">
      <c r="A88" s="19" t="inlineStr">
        <is>
          <t>87</t>
        </is>
      </c>
      <c r="B88" s="19" t="inlineStr">
        <is>
          <t>12</t>
        </is>
      </c>
      <c r="C88" s="19" t="inlineStr">
        <is>
          <t>30</t>
        </is>
      </c>
      <c r="D88" t="n">
        <v>1</v>
      </c>
      <c r="E88" s="19" t="inlineStr">
        <is>
          <t>18</t>
        </is>
      </c>
      <c r="F88" t="n">
        <v>6</v>
      </c>
      <c r="G88" t="b">
        <v>0</v>
      </c>
      <c r="H88" t="inlineStr">
        <is>
          <t>UOM=ADT;WEIGHT_BASIS=PROCESSED_SOURCE_UNIT_WEIGHT;LINE_WEIGHT_KG=0.2;SOURCE_CFG=IA-ST-CFG-0030;SRC_REF=Row 1667, Slot 9;SRC_FILE=Mamul Ambalaj Bileşen Listesi-30.07.2026(3).xlsx</t>
        </is>
      </c>
    </row>
    <row r="89">
      <c r="A89" s="19" t="inlineStr">
        <is>
          <t>88</t>
        </is>
      </c>
      <c r="B89" s="19" t="inlineStr">
        <is>
          <t>12</t>
        </is>
      </c>
      <c r="C89" s="19" t="inlineStr">
        <is>
          <t>56</t>
        </is>
      </c>
      <c r="D89" t="n">
        <v>3</v>
      </c>
      <c r="E89" s="19" t="inlineStr">
        <is>
          <t>18</t>
        </is>
      </c>
      <c r="F89" t="n">
        <v>7</v>
      </c>
      <c r="G89" t="b">
        <v>0</v>
      </c>
      <c r="H89" t="inlineStr">
        <is>
          <t>UOM=ADT;WEIGHT_BASIS=PROCESSED_SOURCE_UNIT_WEIGHT;LINE_WEIGHT_KG=3.0;SOURCE_CFG=IA-ST-CFG-0030;SRC_REF=Row 1667, Slot 10;SRC_FILE=Mamul Ambalaj Bileşen Listesi-30.07.2026(3).xlsx</t>
        </is>
      </c>
    </row>
    <row r="90">
      <c r="A90" s="19" t="inlineStr">
        <is>
          <t>89</t>
        </is>
      </c>
      <c r="B90" s="19" t="inlineStr">
        <is>
          <t>13</t>
        </is>
      </c>
      <c r="C90" s="19" t="inlineStr">
        <is>
          <t>13</t>
        </is>
      </c>
      <c r="D90" t="n">
        <v>7</v>
      </c>
      <c r="E90" s="19" t="inlineStr">
        <is>
          <t>18</t>
        </is>
      </c>
      <c r="F90" t="n">
        <v>1</v>
      </c>
      <c r="G90" t="b">
        <v>0</v>
      </c>
      <c r="H90" t="inlineStr">
        <is>
          <t>UOM=M;WEIGHT_BASIS=PROCESSED_SOURCE_UNIT_WEIGHT;LINE_WEIGHT_KG=0.0868;SOURCE_CFG=IA-ST-CFG-0031;SRC_REF=Row 1602, Slot 1;SRC_FILE=Mamul Ambalaj Bileşen Listesi-30.07.2026(3).xlsx</t>
        </is>
      </c>
    </row>
    <row r="91">
      <c r="A91" s="19" t="inlineStr">
        <is>
          <t>90</t>
        </is>
      </c>
      <c r="B91" s="19" t="inlineStr">
        <is>
          <t>13</t>
        </is>
      </c>
      <c r="C91" s="19" t="inlineStr">
        <is>
          <t>75</t>
        </is>
      </c>
      <c r="D91" t="n">
        <v>21</v>
      </c>
      <c r="E91" s="19" t="inlineStr">
        <is>
          <t>18</t>
        </is>
      </c>
      <c r="F91" t="n">
        <v>2</v>
      </c>
      <c r="G91" t="b">
        <v>0</v>
      </c>
      <c r="H91" t="inlineStr">
        <is>
          <t>UOM=ADT;WEIGHT_BASIS=PROCESSED_SOURCE_UNIT_WEIGHT;LINE_WEIGHT_KG=1.974;SOURCE_CFG=IA-ST-CFG-0031;SRC_REF=Row 1602, Slot 2;SRC_FILE=Mamul Ambalaj Bileşen Listesi-30.07.2026(3).xlsx</t>
        </is>
      </c>
    </row>
    <row r="92">
      <c r="A92" s="19" t="inlineStr">
        <is>
          <t>91</t>
        </is>
      </c>
      <c r="B92" s="19" t="inlineStr">
        <is>
          <t>13</t>
        </is>
      </c>
      <c r="C92" s="19" t="inlineStr">
        <is>
          <t>6</t>
        </is>
      </c>
      <c r="D92" t="n">
        <v>1</v>
      </c>
      <c r="E92" s="19" t="inlineStr">
        <is>
          <t>18</t>
        </is>
      </c>
      <c r="F92" t="n">
        <v>3</v>
      </c>
      <c r="G92" t="b">
        <v>0</v>
      </c>
      <c r="H92" t="inlineStr">
        <is>
          <t>UOM=ADT;WEIGHT_BASIS=PROCESSED_SOURCE_UNIT_WEIGHT;LINE_WEIGHT_KG=26.0;SOURCE_CFG=IA-ST-CFG-0031;SRC_REF=Row 1602, Slot 3;SRC_FILE=Mamul Ambalaj Bileşen Listesi-30.07.2026(3).xlsx</t>
        </is>
      </c>
    </row>
    <row r="93">
      <c r="A93" s="19" t="inlineStr">
        <is>
          <t>92</t>
        </is>
      </c>
      <c r="B93" s="19" t="inlineStr">
        <is>
          <t>13</t>
        </is>
      </c>
      <c r="C93" s="19" t="inlineStr">
        <is>
          <t>8</t>
        </is>
      </c>
      <c r="D93" t="n">
        <v>20</v>
      </c>
      <c r="E93" s="19" t="inlineStr">
        <is>
          <t>18</t>
        </is>
      </c>
      <c r="F93" t="n">
        <v>4</v>
      </c>
      <c r="G93" t="b">
        <v>0</v>
      </c>
      <c r="H93" t="inlineStr">
        <is>
          <t>UOM=M;WEIGHT_BASIS=PROCESSED_SOURCE_UNIT_WEIGHT;LINE_WEIGHT_KG=0.3664;SOURCE_CFG=IA-ST-CFG-0031;SRC_REF=Row 1602, Slot 5;SRC_FILE=Mamul Ambalaj Bileşen Listesi-30.07.2026(3).xlsx</t>
        </is>
      </c>
    </row>
    <row r="94">
      <c r="A94" s="19" t="inlineStr">
        <is>
          <t>93</t>
        </is>
      </c>
      <c r="B94" s="19" t="inlineStr">
        <is>
          <t>13</t>
        </is>
      </c>
      <c r="C94" s="19" t="inlineStr">
        <is>
          <t>9</t>
        </is>
      </c>
      <c r="D94" t="n">
        <v>0.186</v>
      </c>
      <c r="E94" s="19" t="inlineStr">
        <is>
          <t>18</t>
        </is>
      </c>
      <c r="F94" t="n">
        <v>5</v>
      </c>
      <c r="G94" t="b">
        <v>0</v>
      </c>
      <c r="H94" t="inlineStr">
        <is>
          <t>UOM=KG;WEIGHT_BASIS=RECIPE_QUANTITY_IS_KG;LINE_WEIGHT_KG=0.186;SOURCE_CFG=IA-ST-CFG-0031;SRC_REF=Row 1602, Slot 6;SRC_FILE=Mamul Ambalaj Bileşen Listesi-30.07.2026(3).xlsx</t>
        </is>
      </c>
    </row>
    <row r="95">
      <c r="A95" s="19" t="inlineStr">
        <is>
          <t>94</t>
        </is>
      </c>
      <c r="B95" s="19" t="inlineStr">
        <is>
          <t>13</t>
        </is>
      </c>
      <c r="C95" s="19" t="inlineStr">
        <is>
          <t>25</t>
        </is>
      </c>
      <c r="D95" t="n">
        <v>2</v>
      </c>
      <c r="E95" s="19" t="inlineStr">
        <is>
          <t>18</t>
        </is>
      </c>
      <c r="F95" t="n">
        <v>6</v>
      </c>
      <c r="G95" t="b">
        <v>0</v>
      </c>
      <c r="H95" t="inlineStr">
        <is>
          <t>UOM=ADT;WEIGHT_BASIS=PROCESSED_SOURCE_UNIT_WEIGHT;LINE_WEIGHT_KG=0.2;SOURCE_CFG=IA-ST-CFG-0031;SRC_REF=Row 1602, Slot 8;SRC_FILE=Mamul Ambalaj Bileşen Listesi-30.07.2026(3).xlsx</t>
        </is>
      </c>
    </row>
    <row r="96">
      <c r="A96" s="19" t="inlineStr">
        <is>
          <t>95</t>
        </is>
      </c>
      <c r="B96" s="19" t="inlineStr">
        <is>
          <t>13</t>
        </is>
      </c>
      <c r="C96" s="19" t="inlineStr">
        <is>
          <t>30</t>
        </is>
      </c>
      <c r="D96" t="n">
        <v>4</v>
      </c>
      <c r="E96" s="19" t="inlineStr">
        <is>
          <t>18</t>
        </is>
      </c>
      <c r="F96" t="n">
        <v>7</v>
      </c>
      <c r="G96" t="b">
        <v>0</v>
      </c>
      <c r="H96" t="inlineStr">
        <is>
          <t>UOM=ADT;WEIGHT_BASIS=PROCESSED_SOURCE_UNIT_WEIGHT;LINE_WEIGHT_KG=0.8;SOURCE_CFG=IA-ST-CFG-0031;SRC_REF=Row 1602, Slot 9;SRC_FILE=Mamul Ambalaj Bileşen Listesi-30.07.2026(3).xlsx</t>
        </is>
      </c>
    </row>
    <row r="97">
      <c r="A97" s="19" t="inlineStr">
        <is>
          <t>96</t>
        </is>
      </c>
      <c r="B97" s="19" t="inlineStr">
        <is>
          <t>14</t>
        </is>
      </c>
      <c r="C97" s="19" t="inlineStr">
        <is>
          <t>13</t>
        </is>
      </c>
      <c r="D97" t="n">
        <v>7</v>
      </c>
      <c r="E97" s="19" t="inlineStr">
        <is>
          <t>18</t>
        </is>
      </c>
      <c r="F97" t="n">
        <v>1</v>
      </c>
      <c r="G97" t="b">
        <v>0</v>
      </c>
      <c r="H97" t="inlineStr">
        <is>
          <t>UOM=M;WEIGHT_BASIS=PROCESSED_SOURCE_UNIT_WEIGHT;LINE_WEIGHT_KG=0.0868;SOURCE_CFG=IA-ST-CFG-0020;SRC_REF=Row 218, Slot 1;SRC_FILE=Mamul Ambalaj Bileşen Listesi-30.07.2026(3).xlsx</t>
        </is>
      </c>
    </row>
    <row r="98">
      <c r="A98" s="19" t="inlineStr">
        <is>
          <t>97</t>
        </is>
      </c>
      <c r="B98" s="19" t="inlineStr">
        <is>
          <t>14</t>
        </is>
      </c>
      <c r="C98" s="19" t="inlineStr">
        <is>
          <t>72</t>
        </is>
      </c>
      <c r="D98" t="n">
        <v>21</v>
      </c>
      <c r="E98" s="19" t="inlineStr">
        <is>
          <t>18</t>
        </is>
      </c>
      <c r="F98" t="n">
        <v>2</v>
      </c>
      <c r="G98" t="b">
        <v>0</v>
      </c>
      <c r="H98" t="inlineStr">
        <is>
          <t>UOM=ADT;WEIGHT_BASIS=PROCESSED_SOURCE_UNIT_WEIGHT;LINE_WEIGHT_KG=2.646;SOURCE_CFG=IA-ST-CFG-0020;SRC_REF=Row 218, Slot 2;SRC_FILE=Mamul Ambalaj Bileşen Listesi-30.07.2026(3).xlsx</t>
        </is>
      </c>
    </row>
    <row r="99">
      <c r="A99" s="19" t="inlineStr">
        <is>
          <t>98</t>
        </is>
      </c>
      <c r="B99" s="19" t="inlineStr">
        <is>
          <t>14</t>
        </is>
      </c>
      <c r="C99" s="19" t="inlineStr">
        <is>
          <t>5</t>
        </is>
      </c>
      <c r="D99" t="n">
        <v>1</v>
      </c>
      <c r="E99" s="19" t="inlineStr">
        <is>
          <t>18</t>
        </is>
      </c>
      <c r="F99" t="n">
        <v>3</v>
      </c>
      <c r="G99" t="b">
        <v>0</v>
      </c>
      <c r="H99" t="inlineStr">
        <is>
          <t>UOM=ADT;WEIGHT_BASIS=PROCESSED_SOURCE_UNIT_WEIGHT;LINE_WEIGHT_KG=26.0;SOURCE_CFG=IA-ST-CFG-0020;SRC_REF=Row 218, Slot 3;SRC_FILE=Mamul Ambalaj Bileşen Listesi-30.07.2026(3).xlsx</t>
        </is>
      </c>
    </row>
    <row r="100">
      <c r="A100" s="19" t="inlineStr">
        <is>
          <t>99</t>
        </is>
      </c>
      <c r="B100" s="19" t="inlineStr">
        <is>
          <t>14</t>
        </is>
      </c>
      <c r="C100" s="19" t="inlineStr">
        <is>
          <t>8</t>
        </is>
      </c>
      <c r="D100" t="n">
        <v>20</v>
      </c>
      <c r="E100" s="19" t="inlineStr">
        <is>
          <t>18</t>
        </is>
      </c>
      <c r="F100" t="n">
        <v>4</v>
      </c>
      <c r="G100" t="b">
        <v>0</v>
      </c>
      <c r="H100" t="inlineStr">
        <is>
          <t>UOM=M;WEIGHT_BASIS=PROCESSED_SOURCE_UNIT_WEIGHT;LINE_WEIGHT_KG=0.3664;SOURCE_CFG=IA-ST-CFG-0020;SRC_REF=Row 218, Slot 5;SRC_FILE=Mamul Ambalaj Bileşen Listesi-30.07.2026(3).xlsx</t>
        </is>
      </c>
    </row>
    <row r="101">
      <c r="A101" s="19" t="inlineStr">
        <is>
          <t>100</t>
        </is>
      </c>
      <c r="B101" s="19" t="inlineStr">
        <is>
          <t>14</t>
        </is>
      </c>
      <c r="C101" s="19" t="inlineStr">
        <is>
          <t>9</t>
        </is>
      </c>
      <c r="D101" t="n">
        <v>0.175</v>
      </c>
      <c r="E101" s="19" t="inlineStr">
        <is>
          <t>18</t>
        </is>
      </c>
      <c r="F101" t="n">
        <v>5</v>
      </c>
      <c r="G101" t="b">
        <v>0</v>
      </c>
      <c r="H101" t="inlineStr">
        <is>
          <t>UOM=KG;WEIGHT_BASIS=RECIPE_QUANTITY_IS_KG;LINE_WEIGHT_KG=0.175;SOURCE_CFG=IA-ST-CFG-0020;SRC_REF=Row 218, Slot 6;SRC_FILE=Mamul Ambalaj Bileşen Listesi-30.07.2026(3).xlsx</t>
        </is>
      </c>
    </row>
    <row r="102">
      <c r="A102" s="19" t="inlineStr">
        <is>
          <t>101</t>
        </is>
      </c>
      <c r="B102" s="19" t="inlineStr">
        <is>
          <t>14</t>
        </is>
      </c>
      <c r="C102" s="19" t="inlineStr">
        <is>
          <t>22</t>
        </is>
      </c>
      <c r="D102" t="n">
        <v>1.26</v>
      </c>
      <c r="E102" s="19" t="inlineStr">
        <is>
          <t>18</t>
        </is>
      </c>
      <c r="F102" t="n">
        <v>6</v>
      </c>
      <c r="G102" t="b">
        <v>0</v>
      </c>
      <c r="H102" t="inlineStr">
        <is>
          <t>UOM=KG;WEIGHT_BASIS=RECIPE_QUANTITY_IS_KG;LINE_WEIGHT_KG=1.26;SOURCE_CFG=IA-ST-CFG-0020;SRC_REF=Row 218, Slot 7;SRC_FILE=Mamul Ambalaj Bileşen Listesi-30.07.2026(3).xlsx</t>
        </is>
      </c>
    </row>
    <row r="103">
      <c r="A103" s="19" t="inlineStr">
        <is>
          <t>102</t>
        </is>
      </c>
      <c r="B103" s="19" t="inlineStr">
        <is>
          <t>14</t>
        </is>
      </c>
      <c r="C103" s="19" t="inlineStr">
        <is>
          <t>7</t>
        </is>
      </c>
      <c r="D103" t="n">
        <v>4</v>
      </c>
      <c r="E103" s="19" t="inlineStr">
        <is>
          <t>18</t>
        </is>
      </c>
      <c r="F103" t="n">
        <v>7</v>
      </c>
      <c r="G103" t="b">
        <v>0</v>
      </c>
      <c r="H103" t="inlineStr">
        <is>
          <t>UOM=ADT;WEIGHT_BASIS=PROCESSED_SOURCE_UNIT_WEIGHT;LINE_WEIGHT_KG=1.08;SOURCE_CFG=IA-ST-CFG-0020;SRC_REF=Row 218, Slot 8;SRC_FILE=Mamul Ambalaj Bileşen Listesi-30.07.2026(3).xlsx</t>
        </is>
      </c>
    </row>
    <row r="104">
      <c r="A104" s="19" t="inlineStr">
        <is>
          <t>103</t>
        </is>
      </c>
      <c r="B104" s="19" t="inlineStr">
        <is>
          <t>14</t>
        </is>
      </c>
      <c r="C104" s="19" t="inlineStr">
        <is>
          <t>25</t>
        </is>
      </c>
      <c r="D104" t="n">
        <v>2</v>
      </c>
      <c r="E104" s="19" t="inlineStr">
        <is>
          <t>18</t>
        </is>
      </c>
      <c r="F104" t="n">
        <v>8</v>
      </c>
      <c r="G104" t="b">
        <v>0</v>
      </c>
      <c r="H104" t="inlineStr">
        <is>
          <t>UOM=ADT;WEIGHT_BASIS=PROCESSED_SOURCE_UNIT_WEIGHT;LINE_WEIGHT_KG=0.2;SOURCE_CFG=IA-ST-CFG-0020;SRC_REF=Row 218, Slot 9;SRC_FILE=Mamul Ambalaj Bileşen Listesi-30.07.2026(3).xlsx</t>
        </is>
      </c>
    </row>
    <row r="105">
      <c r="A105" s="19" t="inlineStr">
        <is>
          <t>104</t>
        </is>
      </c>
      <c r="B105" s="19" t="inlineStr">
        <is>
          <t>15</t>
        </is>
      </c>
      <c r="C105" s="19" t="inlineStr">
        <is>
          <t>13</t>
        </is>
      </c>
      <c r="D105" t="n">
        <v>14</v>
      </c>
      <c r="E105" s="19" t="inlineStr">
        <is>
          <t>18</t>
        </is>
      </c>
      <c r="F105" t="n">
        <v>1</v>
      </c>
      <c r="G105" t="b">
        <v>0</v>
      </c>
      <c r="H105" t="inlineStr">
        <is>
          <t>UOM=M;WEIGHT_BASIS=PROCESSED_SOURCE_UNIT_WEIGHT;LINE_WEIGHT_KG=0.1736;SOURCE_CFG=IA-ST-CFG-0021;SRC_REF=Row 1607, Slot 1;SRC_FILE=Mamul Ambalaj Bileşen Listesi-30.07.2026(3).xlsx</t>
        </is>
      </c>
    </row>
    <row r="106">
      <c r="A106" s="19" t="inlineStr">
        <is>
          <t>105</t>
        </is>
      </c>
      <c r="B106" s="19" t="inlineStr">
        <is>
          <t>15</t>
        </is>
      </c>
      <c r="C106" s="19" t="inlineStr">
        <is>
          <t>72</t>
        </is>
      </c>
      <c r="D106" t="n">
        <v>21</v>
      </c>
      <c r="E106" s="19" t="inlineStr">
        <is>
          <t>18</t>
        </is>
      </c>
      <c r="F106" t="n">
        <v>2</v>
      </c>
      <c r="G106" t="b">
        <v>0</v>
      </c>
      <c r="H106" t="inlineStr">
        <is>
          <t>UOM=ADT;WEIGHT_BASIS=PROCESSED_SOURCE_UNIT_WEIGHT;LINE_WEIGHT_KG=2.646;SOURCE_CFG=IA-ST-CFG-0021;SRC_REF=Row 1607, Slot 2;SRC_FILE=Mamul Ambalaj Bileşen Listesi-30.07.2026(3).xlsx</t>
        </is>
      </c>
    </row>
    <row r="107">
      <c r="A107" s="19" t="inlineStr">
        <is>
          <t>106</t>
        </is>
      </c>
      <c r="B107" s="19" t="inlineStr">
        <is>
          <t>15</t>
        </is>
      </c>
      <c r="C107" s="19" t="inlineStr">
        <is>
          <t>5</t>
        </is>
      </c>
      <c r="D107" t="n">
        <v>1</v>
      </c>
      <c r="E107" s="19" t="inlineStr">
        <is>
          <t>18</t>
        </is>
      </c>
      <c r="F107" t="n">
        <v>3</v>
      </c>
      <c r="G107" t="b">
        <v>0</v>
      </c>
      <c r="H107" t="inlineStr">
        <is>
          <t>UOM=ADT;WEIGHT_BASIS=PROCESSED_SOURCE_UNIT_WEIGHT;LINE_WEIGHT_KG=26.0;SOURCE_CFG=IA-ST-CFG-0021;SRC_REF=Row 1607, Slot 3;SRC_FILE=Mamul Ambalaj Bileşen Listesi-30.07.2026(3).xlsx</t>
        </is>
      </c>
    </row>
    <row r="108">
      <c r="A108" s="19" t="inlineStr">
        <is>
          <t>107</t>
        </is>
      </c>
      <c r="B108" s="19" t="inlineStr">
        <is>
          <t>15</t>
        </is>
      </c>
      <c r="C108" s="19" t="inlineStr">
        <is>
          <t>8</t>
        </is>
      </c>
      <c r="D108" t="n">
        <v>20</v>
      </c>
      <c r="E108" s="19" t="inlineStr">
        <is>
          <t>18</t>
        </is>
      </c>
      <c r="F108" t="n">
        <v>4</v>
      </c>
      <c r="G108" t="b">
        <v>0</v>
      </c>
      <c r="H108" t="inlineStr">
        <is>
          <t>UOM=M;WEIGHT_BASIS=PROCESSED_SOURCE_UNIT_WEIGHT;LINE_WEIGHT_KG=0.3664;SOURCE_CFG=IA-ST-CFG-0021;SRC_REF=Row 1607, Slot 5;SRC_FILE=Mamul Ambalaj Bileşen Listesi-30.07.2026(3).xlsx</t>
        </is>
      </c>
    </row>
    <row r="109">
      <c r="A109" s="19" t="inlineStr">
        <is>
          <t>108</t>
        </is>
      </c>
      <c r="B109" s="19" t="inlineStr">
        <is>
          <t>15</t>
        </is>
      </c>
      <c r="C109" s="19" t="inlineStr">
        <is>
          <t>9</t>
        </is>
      </c>
      <c r="D109" t="n">
        <v>0.186</v>
      </c>
      <c r="E109" s="19" t="inlineStr">
        <is>
          <t>18</t>
        </is>
      </c>
      <c r="F109" t="n">
        <v>5</v>
      </c>
      <c r="G109" t="b">
        <v>0</v>
      </c>
      <c r="H109" t="inlineStr">
        <is>
          <t>UOM=KG;WEIGHT_BASIS=RECIPE_QUANTITY_IS_KG;LINE_WEIGHT_KG=0.186;SOURCE_CFG=IA-ST-CFG-0021;SRC_REF=Row 1607, Slot 6;SRC_FILE=Mamul Ambalaj Bileşen Listesi-30.07.2026(3).xlsx</t>
        </is>
      </c>
    </row>
    <row r="110">
      <c r="A110" s="19" t="inlineStr">
        <is>
          <t>109</t>
        </is>
      </c>
      <c r="B110" s="19" t="inlineStr">
        <is>
          <t>15</t>
        </is>
      </c>
      <c r="C110" s="19" t="inlineStr">
        <is>
          <t>22</t>
        </is>
      </c>
      <c r="D110" t="n">
        <v>1.26</v>
      </c>
      <c r="E110" s="19" t="inlineStr">
        <is>
          <t>18</t>
        </is>
      </c>
      <c r="F110" t="n">
        <v>6</v>
      </c>
      <c r="G110" t="b">
        <v>0</v>
      </c>
      <c r="H110" t="inlineStr">
        <is>
          <t>UOM=KG;WEIGHT_BASIS=RECIPE_QUANTITY_IS_KG;LINE_WEIGHT_KG=1.26;SOURCE_CFG=IA-ST-CFG-0021;SRC_REF=Row 1607, Slot 7;SRC_FILE=Mamul Ambalaj Bileşen Listesi-30.07.2026(3).xlsx</t>
        </is>
      </c>
    </row>
    <row r="111">
      <c r="A111" s="19" t="inlineStr">
        <is>
          <t>110</t>
        </is>
      </c>
      <c r="B111" s="19" t="inlineStr">
        <is>
          <t>15</t>
        </is>
      </c>
      <c r="C111" s="19" t="inlineStr">
        <is>
          <t>7</t>
        </is>
      </c>
      <c r="D111" t="n">
        <v>4</v>
      </c>
      <c r="E111" s="19" t="inlineStr">
        <is>
          <t>18</t>
        </is>
      </c>
      <c r="F111" t="n">
        <v>7</v>
      </c>
      <c r="G111" t="b">
        <v>0</v>
      </c>
      <c r="H111" t="inlineStr">
        <is>
          <t>UOM=ADT;WEIGHT_BASIS=PROCESSED_SOURCE_UNIT_WEIGHT;LINE_WEIGHT_KG=1.08;SOURCE_CFG=IA-ST-CFG-0021;SRC_REF=Row 1607, Slot 8;SRC_FILE=Mamul Ambalaj Bileşen Listesi-30.07.2026(3).xlsx</t>
        </is>
      </c>
    </row>
    <row r="112">
      <c r="A112" s="19" t="inlineStr">
        <is>
          <t>111</t>
        </is>
      </c>
      <c r="B112" s="19" t="inlineStr">
        <is>
          <t>15</t>
        </is>
      </c>
      <c r="C112" s="19" t="inlineStr">
        <is>
          <t>25</t>
        </is>
      </c>
      <c r="D112" t="n">
        <v>4</v>
      </c>
      <c r="E112" s="19" t="inlineStr">
        <is>
          <t>18</t>
        </is>
      </c>
      <c r="F112" t="n">
        <v>8</v>
      </c>
      <c r="G112" t="b">
        <v>0</v>
      </c>
      <c r="H112" t="inlineStr">
        <is>
          <t>UOM=ADT;WEIGHT_BASIS=PROCESSED_SOURCE_UNIT_WEIGHT;LINE_WEIGHT_KG=0.4;SOURCE_CFG=IA-ST-CFG-0021;SRC_REF=Row 1607, Slot 9;SRC_FILE=Mamul Ambalaj Bileşen Listesi-30.07.2026(3).xlsx</t>
        </is>
      </c>
    </row>
    <row r="113">
      <c r="A113" s="19" t="inlineStr">
        <is>
          <t>112</t>
        </is>
      </c>
      <c r="B113" s="19" t="inlineStr">
        <is>
          <t>16</t>
        </is>
      </c>
      <c r="C113" s="19" t="inlineStr">
        <is>
          <t>13</t>
        </is>
      </c>
      <c r="D113" t="n">
        <v>7</v>
      </c>
      <c r="E113" s="19" t="inlineStr">
        <is>
          <t>18</t>
        </is>
      </c>
      <c r="F113" t="n">
        <v>1</v>
      </c>
      <c r="G113" t="b">
        <v>0</v>
      </c>
      <c r="H113" t="inlineStr">
        <is>
          <t>UOM=M;WEIGHT_BASIS=PROCESSED_SOURCE_UNIT_WEIGHT;LINE_WEIGHT_KG=0.0868;SOURCE_CFG=IA-ST-CFG-0023;SRC_REF=Row 2, Slot 1;SRC_FILE=Mamul Ambalaj Bileşen Listesi-30.07.2026(3).xlsx</t>
        </is>
      </c>
    </row>
    <row r="114">
      <c r="A114" s="19" t="inlineStr">
        <is>
          <t>113</t>
        </is>
      </c>
      <c r="B114" s="19" t="inlineStr">
        <is>
          <t>16</t>
        </is>
      </c>
      <c r="C114" s="19" t="inlineStr">
        <is>
          <t>72</t>
        </is>
      </c>
      <c r="D114" t="n">
        <v>21</v>
      </c>
      <c r="E114" s="19" t="inlineStr">
        <is>
          <t>18</t>
        </is>
      </c>
      <c r="F114" t="n">
        <v>2</v>
      </c>
      <c r="G114" t="b">
        <v>0</v>
      </c>
      <c r="H114" t="inlineStr">
        <is>
          <t>UOM=ADT;WEIGHT_BASIS=PROCESSED_SOURCE_UNIT_WEIGHT;LINE_WEIGHT_KG=2.646;SOURCE_CFG=IA-ST-CFG-0023;SRC_REF=Row 2, Slot 2;SRC_FILE=Mamul Ambalaj Bileşen Listesi-30.07.2026(3).xlsx</t>
        </is>
      </c>
    </row>
    <row r="115">
      <c r="A115" s="19" t="inlineStr">
        <is>
          <t>114</t>
        </is>
      </c>
      <c r="B115" s="19" t="inlineStr">
        <is>
          <t>16</t>
        </is>
      </c>
      <c r="C115" s="19" t="inlineStr">
        <is>
          <t>5</t>
        </is>
      </c>
      <c r="D115" t="n">
        <v>1</v>
      </c>
      <c r="E115" s="19" t="inlineStr">
        <is>
          <t>18</t>
        </is>
      </c>
      <c r="F115" t="n">
        <v>3</v>
      </c>
      <c r="G115" t="b">
        <v>0</v>
      </c>
      <c r="H115" t="inlineStr">
        <is>
          <t>UOM=ADT;WEIGHT_BASIS=PROCESSED_SOURCE_UNIT_WEIGHT;LINE_WEIGHT_KG=26.0;SOURCE_CFG=IA-ST-CFG-0023;SRC_REF=Row 2, Slot 3;SRC_FILE=Mamul Ambalaj Bileşen Listesi-30.07.2026(3).xlsx</t>
        </is>
      </c>
    </row>
    <row r="116">
      <c r="A116" s="19" t="inlineStr">
        <is>
          <t>115</t>
        </is>
      </c>
      <c r="B116" s="19" t="inlineStr">
        <is>
          <t>16</t>
        </is>
      </c>
      <c r="C116" s="19" t="inlineStr">
        <is>
          <t>8</t>
        </is>
      </c>
      <c r="D116" t="n">
        <v>20</v>
      </c>
      <c r="E116" s="19" t="inlineStr">
        <is>
          <t>18</t>
        </is>
      </c>
      <c r="F116" t="n">
        <v>4</v>
      </c>
      <c r="G116" t="b">
        <v>0</v>
      </c>
      <c r="H116" t="inlineStr">
        <is>
          <t>UOM=M;WEIGHT_BASIS=PROCESSED_SOURCE_UNIT_WEIGHT;LINE_WEIGHT_KG=0.3664;SOURCE_CFG=IA-ST-CFG-0023;SRC_REF=Row 2, Slot 5;SRC_FILE=Mamul Ambalaj Bileşen Listesi-30.07.2026(3).xlsx</t>
        </is>
      </c>
    </row>
    <row r="117">
      <c r="A117" s="19" t="inlineStr">
        <is>
          <t>116</t>
        </is>
      </c>
      <c r="B117" s="19" t="inlineStr">
        <is>
          <t>16</t>
        </is>
      </c>
      <c r="C117" s="19" t="inlineStr">
        <is>
          <t>9</t>
        </is>
      </c>
      <c r="D117" t="n">
        <v>0.186</v>
      </c>
      <c r="E117" s="19" t="inlineStr">
        <is>
          <t>18</t>
        </is>
      </c>
      <c r="F117" t="n">
        <v>5</v>
      </c>
      <c r="G117" t="b">
        <v>0</v>
      </c>
      <c r="H117" t="inlineStr">
        <is>
          <t>UOM=KG;WEIGHT_BASIS=RECIPE_QUANTITY_IS_KG;LINE_WEIGHT_KG=0.186;SOURCE_CFG=IA-ST-CFG-0023;SRC_REF=Row 2, Slot 6;SRC_FILE=Mamul Ambalaj Bileşen Listesi-30.07.2026(3).xlsx</t>
        </is>
      </c>
    </row>
    <row r="118">
      <c r="A118" s="19" t="inlineStr">
        <is>
          <t>117</t>
        </is>
      </c>
      <c r="B118" s="19" t="inlineStr">
        <is>
          <t>16</t>
        </is>
      </c>
      <c r="C118" s="19" t="inlineStr">
        <is>
          <t>22</t>
        </is>
      </c>
      <c r="D118" t="n">
        <v>1.26</v>
      </c>
      <c r="E118" s="19" t="inlineStr">
        <is>
          <t>18</t>
        </is>
      </c>
      <c r="F118" t="n">
        <v>6</v>
      </c>
      <c r="G118" t="b">
        <v>0</v>
      </c>
      <c r="H118" t="inlineStr">
        <is>
          <t>UOM=KG;WEIGHT_BASIS=RECIPE_QUANTITY_IS_KG;LINE_WEIGHT_KG=1.26;SOURCE_CFG=IA-ST-CFG-0023;SRC_REF=Row 2, Slot 7;SRC_FILE=Mamul Ambalaj Bileşen Listesi-30.07.2026(3).xlsx</t>
        </is>
      </c>
    </row>
    <row r="119">
      <c r="A119" s="19" t="inlineStr">
        <is>
          <t>118</t>
        </is>
      </c>
      <c r="B119" s="19" t="inlineStr">
        <is>
          <t>16</t>
        </is>
      </c>
      <c r="C119" s="19" t="inlineStr">
        <is>
          <t>7</t>
        </is>
      </c>
      <c r="D119" t="n">
        <v>4</v>
      </c>
      <c r="E119" s="19" t="inlineStr">
        <is>
          <t>18</t>
        </is>
      </c>
      <c r="F119" t="n">
        <v>7</v>
      </c>
      <c r="G119" t="b">
        <v>0</v>
      </c>
      <c r="H119" t="inlineStr">
        <is>
          <t>UOM=ADT;WEIGHT_BASIS=PROCESSED_SOURCE_UNIT_WEIGHT;LINE_WEIGHT_KG=1.08;SOURCE_CFG=IA-ST-CFG-0023;SRC_REF=Row 2, Slot 8;SRC_FILE=Mamul Ambalaj Bileşen Listesi-30.07.2026(3).xlsx</t>
        </is>
      </c>
    </row>
    <row r="120">
      <c r="A120" s="19" t="inlineStr">
        <is>
          <t>119</t>
        </is>
      </c>
      <c r="B120" s="19" t="inlineStr">
        <is>
          <t>16</t>
        </is>
      </c>
      <c r="C120" s="19" t="inlineStr">
        <is>
          <t>25</t>
        </is>
      </c>
      <c r="D120" t="n">
        <v>2</v>
      </c>
      <c r="E120" s="19" t="inlineStr">
        <is>
          <t>18</t>
        </is>
      </c>
      <c r="F120" t="n">
        <v>8</v>
      </c>
      <c r="G120" t="b">
        <v>0</v>
      </c>
      <c r="H120" t="inlineStr">
        <is>
          <t>UOM=ADT;WEIGHT_BASIS=PROCESSED_SOURCE_UNIT_WEIGHT;LINE_WEIGHT_KG=0.2;SOURCE_CFG=IA-ST-CFG-0023;SRC_REF=Row 2, Slot 9;SRC_FILE=Mamul Ambalaj Bileşen Listesi-30.07.2026(3).xlsx</t>
        </is>
      </c>
    </row>
    <row r="121">
      <c r="A121" s="19" t="inlineStr">
        <is>
          <t>120</t>
        </is>
      </c>
      <c r="B121" s="19" t="inlineStr">
        <is>
          <t>17</t>
        </is>
      </c>
      <c r="C121" s="19" t="inlineStr">
        <is>
          <t>72</t>
        </is>
      </c>
      <c r="D121" t="n">
        <v>21</v>
      </c>
      <c r="E121" s="19" t="inlineStr">
        <is>
          <t>18</t>
        </is>
      </c>
      <c r="F121" t="n">
        <v>1</v>
      </c>
      <c r="G121" t="b">
        <v>0</v>
      </c>
      <c r="H121" t="inlineStr">
        <is>
          <t>UOM=ADT;WEIGHT_BASIS=PROCESSED_SOURCE_UNIT_WEIGHT;LINE_WEIGHT_KG=2.646;SOURCE_CFG=IA-ST-CFG-0024;SRC_REF=Row 6, Slot 1;SRC_FILE=Mamul Ambalaj Bileşen Listesi-30.07.2026(3).xlsx</t>
        </is>
      </c>
    </row>
    <row r="122">
      <c r="A122" s="19" t="inlineStr">
        <is>
          <t>121</t>
        </is>
      </c>
      <c r="B122" s="19" t="inlineStr">
        <is>
          <t>17</t>
        </is>
      </c>
      <c r="C122" s="19" t="inlineStr">
        <is>
          <t>5</t>
        </is>
      </c>
      <c r="D122" t="n">
        <v>1</v>
      </c>
      <c r="E122" s="19" t="inlineStr">
        <is>
          <t>18</t>
        </is>
      </c>
      <c r="F122" t="n">
        <v>2</v>
      </c>
      <c r="G122" t="b">
        <v>0</v>
      </c>
      <c r="H122" t="inlineStr">
        <is>
          <t>UOM=ADT;WEIGHT_BASIS=PROCESSED_SOURCE_UNIT_WEIGHT;LINE_WEIGHT_KG=26.0;SOURCE_CFG=IA-ST-CFG-0024;SRC_REF=Row 6, Slot 3;SRC_FILE=Mamul Ambalaj Bileşen Listesi-30.07.2026(3).xlsx</t>
        </is>
      </c>
    </row>
    <row r="123">
      <c r="A123" s="19" t="inlineStr">
        <is>
          <t>122</t>
        </is>
      </c>
      <c r="B123" s="19" t="inlineStr">
        <is>
          <t>17</t>
        </is>
      </c>
      <c r="C123" s="19" t="inlineStr">
        <is>
          <t>8</t>
        </is>
      </c>
      <c r="D123" t="n">
        <v>20</v>
      </c>
      <c r="E123" s="19" t="inlineStr">
        <is>
          <t>18</t>
        </is>
      </c>
      <c r="F123" t="n">
        <v>3</v>
      </c>
      <c r="G123" t="b">
        <v>0</v>
      </c>
      <c r="H123" t="inlineStr">
        <is>
          <t>UOM=M;WEIGHT_BASIS=PROCESSED_SOURCE_UNIT_WEIGHT;LINE_WEIGHT_KG=0.3664;SOURCE_CFG=IA-ST-CFG-0024;SRC_REF=Row 6, Slot 5;SRC_FILE=Mamul Ambalaj Bileşen Listesi-30.07.2026(3).xlsx</t>
        </is>
      </c>
    </row>
    <row r="124">
      <c r="A124" s="19" t="inlineStr">
        <is>
          <t>123</t>
        </is>
      </c>
      <c r="B124" s="19" t="inlineStr">
        <is>
          <t>17</t>
        </is>
      </c>
      <c r="C124" s="19" t="inlineStr">
        <is>
          <t>9</t>
        </is>
      </c>
      <c r="D124" t="n">
        <v>0.186</v>
      </c>
      <c r="E124" s="19" t="inlineStr">
        <is>
          <t>18</t>
        </is>
      </c>
      <c r="F124" t="n">
        <v>4</v>
      </c>
      <c r="G124" t="b">
        <v>0</v>
      </c>
      <c r="H124" t="inlineStr">
        <is>
          <t>UOM=KG;WEIGHT_BASIS=RECIPE_QUANTITY_IS_KG;LINE_WEIGHT_KG=0.186;SOURCE_CFG=IA-ST-CFG-0024;SRC_REF=Row 6, Slot 6;SRC_FILE=Mamul Ambalaj Bileşen Listesi-30.07.2026(3).xlsx</t>
        </is>
      </c>
    </row>
    <row r="125">
      <c r="A125" s="19" t="inlineStr">
        <is>
          <t>124</t>
        </is>
      </c>
      <c r="B125" s="19" t="inlineStr">
        <is>
          <t>17</t>
        </is>
      </c>
      <c r="C125" s="19" t="inlineStr">
        <is>
          <t>22</t>
        </is>
      </c>
      <c r="D125" t="n">
        <v>1.26</v>
      </c>
      <c r="E125" s="19" t="inlineStr">
        <is>
          <t>18</t>
        </is>
      </c>
      <c r="F125" t="n">
        <v>5</v>
      </c>
      <c r="G125" t="b">
        <v>0</v>
      </c>
      <c r="H125" t="inlineStr">
        <is>
          <t>UOM=KG;WEIGHT_BASIS=RECIPE_QUANTITY_IS_KG;LINE_WEIGHT_KG=1.26;SOURCE_CFG=IA-ST-CFG-0024;SRC_REF=Row 6, Slot 7;SRC_FILE=Mamul Ambalaj Bileşen Listesi-30.07.2026(3).xlsx</t>
        </is>
      </c>
    </row>
    <row r="126">
      <c r="A126" s="19" t="inlineStr">
        <is>
          <t>125</t>
        </is>
      </c>
      <c r="B126" s="19" t="inlineStr">
        <is>
          <t>17</t>
        </is>
      </c>
      <c r="C126" s="19" t="inlineStr">
        <is>
          <t>7</t>
        </is>
      </c>
      <c r="D126" t="n">
        <v>4</v>
      </c>
      <c r="E126" s="19" t="inlineStr">
        <is>
          <t>18</t>
        </is>
      </c>
      <c r="F126" t="n">
        <v>6</v>
      </c>
      <c r="G126" t="b">
        <v>0</v>
      </c>
      <c r="H126" t="inlineStr">
        <is>
          <t>UOM=ADT;WEIGHT_BASIS=PROCESSED_SOURCE_UNIT_WEIGHT;LINE_WEIGHT_KG=1.08;SOURCE_CFG=IA-ST-CFG-0024;SRC_REF=Row 6, Slot 8;SRC_FILE=Mamul Ambalaj Bileşen Listesi-30.07.2026(3).xlsx</t>
        </is>
      </c>
    </row>
    <row r="127">
      <c r="A127" s="19" t="inlineStr">
        <is>
          <t>126</t>
        </is>
      </c>
      <c r="B127" s="19" t="inlineStr">
        <is>
          <t>18</t>
        </is>
      </c>
      <c r="C127" s="19" t="inlineStr">
        <is>
          <t>13</t>
        </is>
      </c>
      <c r="D127" t="n">
        <v>14</v>
      </c>
      <c r="E127" s="19" t="inlineStr">
        <is>
          <t>18</t>
        </is>
      </c>
      <c r="F127" t="n">
        <v>1</v>
      </c>
      <c r="G127" t="b">
        <v>0</v>
      </c>
      <c r="H127" t="inlineStr">
        <is>
          <t>UOM=M;WEIGHT_BASIS=PROCESSED_SOURCE_UNIT_WEIGHT;LINE_WEIGHT_KG=0.1736;SOURCE_CFG=IA-ST-CFG-0025;SRC_REF=Row 146, Slot 1;SRC_FILE=Mamul Ambalaj Bileşen Listesi-30.07.2026(3).xlsx</t>
        </is>
      </c>
    </row>
    <row r="128">
      <c r="A128" s="19" t="inlineStr">
        <is>
          <t>127</t>
        </is>
      </c>
      <c r="B128" s="19" t="inlineStr">
        <is>
          <t>18</t>
        </is>
      </c>
      <c r="C128" s="19" t="inlineStr">
        <is>
          <t>72</t>
        </is>
      </c>
      <c r="D128" t="n">
        <v>21</v>
      </c>
      <c r="E128" s="19" t="inlineStr">
        <is>
          <t>18</t>
        </is>
      </c>
      <c r="F128" t="n">
        <v>2</v>
      </c>
      <c r="G128" t="b">
        <v>0</v>
      </c>
      <c r="H128" t="inlineStr">
        <is>
          <t>UOM=ADT;WEIGHT_BASIS=PROCESSED_SOURCE_UNIT_WEIGHT;LINE_WEIGHT_KG=2.646;SOURCE_CFG=IA-ST-CFG-0025;SRC_REF=Row 146, Slot 2;SRC_FILE=Mamul Ambalaj Bileşen Listesi-30.07.2026(3).xlsx</t>
        </is>
      </c>
    </row>
    <row r="129">
      <c r="A129" s="19" t="inlineStr">
        <is>
          <t>128</t>
        </is>
      </c>
      <c r="B129" s="19" t="inlineStr">
        <is>
          <t>18</t>
        </is>
      </c>
      <c r="C129" s="19" t="inlineStr">
        <is>
          <t>5</t>
        </is>
      </c>
      <c r="D129" t="n">
        <v>1</v>
      </c>
      <c r="E129" s="19" t="inlineStr">
        <is>
          <t>18</t>
        </is>
      </c>
      <c r="F129" t="n">
        <v>3</v>
      </c>
      <c r="G129" t="b">
        <v>0</v>
      </c>
      <c r="H129" t="inlineStr">
        <is>
          <t>UOM=ADT;WEIGHT_BASIS=PROCESSED_SOURCE_UNIT_WEIGHT;LINE_WEIGHT_KG=26.0;SOURCE_CFG=IA-ST-CFG-0025;SRC_REF=Row 146, Slot 3;SRC_FILE=Mamul Ambalaj Bileşen Listesi-30.07.2026(3).xlsx</t>
        </is>
      </c>
    </row>
    <row r="130">
      <c r="A130" s="19" t="inlineStr">
        <is>
          <t>129</t>
        </is>
      </c>
      <c r="B130" s="19" t="inlineStr">
        <is>
          <t>18</t>
        </is>
      </c>
      <c r="C130" s="19" t="inlineStr">
        <is>
          <t>8</t>
        </is>
      </c>
      <c r="D130" t="n">
        <v>20</v>
      </c>
      <c r="E130" s="19" t="inlineStr">
        <is>
          <t>18</t>
        </is>
      </c>
      <c r="F130" t="n">
        <v>4</v>
      </c>
      <c r="G130" t="b">
        <v>0</v>
      </c>
      <c r="H130" t="inlineStr">
        <is>
          <t>UOM=M;WEIGHT_BASIS=PROCESSED_SOURCE_UNIT_WEIGHT;LINE_WEIGHT_KG=0.3664;SOURCE_CFG=IA-ST-CFG-0025;SRC_REF=Row 146, Slot 5;SRC_FILE=Mamul Ambalaj Bileşen Listesi-30.07.2026(3).xlsx</t>
        </is>
      </c>
    </row>
    <row r="131">
      <c r="A131" s="19" t="inlineStr">
        <is>
          <t>130</t>
        </is>
      </c>
      <c r="B131" s="19" t="inlineStr">
        <is>
          <t>18</t>
        </is>
      </c>
      <c r="C131" s="19" t="inlineStr">
        <is>
          <t>55</t>
        </is>
      </c>
      <c r="D131" t="n">
        <v>0.597</v>
      </c>
      <c r="E131" s="19" t="inlineStr">
        <is>
          <t>18</t>
        </is>
      </c>
      <c r="F131" t="n">
        <v>5</v>
      </c>
      <c r="G131" t="b">
        <v>0</v>
      </c>
      <c r="H131" t="inlineStr">
        <is>
          <t>UOM=KG;WEIGHT_BASIS=RECIPE_QUANTITY_IS_KG;LINE_WEIGHT_KG=0.597;SOURCE_CFG=IA-ST-CFG-0025;SRC_REF=Row 146, Slot 6;SRC_FILE=Mamul Ambalaj Bileşen Listesi-30.07.2026(3).xlsx</t>
        </is>
      </c>
    </row>
    <row r="132">
      <c r="A132" s="19" t="inlineStr">
        <is>
          <t>131</t>
        </is>
      </c>
      <c r="B132" s="19" t="inlineStr">
        <is>
          <t>18</t>
        </is>
      </c>
      <c r="C132" s="19" t="inlineStr">
        <is>
          <t>7</t>
        </is>
      </c>
      <c r="D132" t="n">
        <v>4</v>
      </c>
      <c r="E132" s="19" t="inlineStr">
        <is>
          <t>18</t>
        </is>
      </c>
      <c r="F132" t="n">
        <v>6</v>
      </c>
      <c r="G132" t="b">
        <v>0</v>
      </c>
      <c r="H132" t="inlineStr">
        <is>
          <t>UOM=ADT;WEIGHT_BASIS=PROCESSED_SOURCE_UNIT_WEIGHT;LINE_WEIGHT_KG=1.08;SOURCE_CFG=IA-ST-CFG-0025;SRC_REF=Row 146, Slot 8;SRC_FILE=Mamul Ambalaj Bileşen Listesi-30.07.2026(3).xlsx</t>
        </is>
      </c>
    </row>
    <row r="133">
      <c r="A133" s="19" t="inlineStr">
        <is>
          <t>132</t>
        </is>
      </c>
      <c r="B133" s="19" t="inlineStr">
        <is>
          <t>18</t>
        </is>
      </c>
      <c r="C133" s="19" t="inlineStr">
        <is>
          <t>54</t>
        </is>
      </c>
      <c r="D133" t="n">
        <v>4</v>
      </c>
      <c r="E133" s="19" t="inlineStr">
        <is>
          <t>18</t>
        </is>
      </c>
      <c r="F133" t="n">
        <v>7</v>
      </c>
      <c r="G133" t="b">
        <v>0</v>
      </c>
      <c r="H133" t="inlineStr">
        <is>
          <t>UOM=ADT;WEIGHT_BASIS=PROCESSED_SOURCE_UNIT_WEIGHT;LINE_WEIGHT_KG=0.12;SOURCE_CFG=IA-ST-CFG-0025;SRC_REF=Row 146, Slot 9;SRC_FILE=Mamul Ambalaj Bileşen Listesi-30.07.2026(3).xlsx</t>
        </is>
      </c>
    </row>
    <row r="134">
      <c r="A134" s="19" t="inlineStr">
        <is>
          <t>133</t>
        </is>
      </c>
      <c r="B134" s="19" t="inlineStr">
        <is>
          <t>19</t>
        </is>
      </c>
      <c r="C134" s="19" t="inlineStr">
        <is>
          <t>13</t>
        </is>
      </c>
      <c r="D134" t="n">
        <v>14</v>
      </c>
      <c r="E134" s="19" t="inlineStr">
        <is>
          <t>18</t>
        </is>
      </c>
      <c r="F134" t="n">
        <v>1</v>
      </c>
      <c r="G134" t="b">
        <v>0</v>
      </c>
      <c r="H134" t="inlineStr">
        <is>
          <t>UOM=M;WEIGHT_BASIS=PROCESSED_SOURCE_UNIT_WEIGHT;LINE_WEIGHT_KG=0.1736;SOURCE_CFG=IA-ST-CFG-0035;SRC_REF=Row 155, Slot 1;SRC_FILE=Mamul Ambalaj Bileşen Listesi-30.07.2026(3).xlsx</t>
        </is>
      </c>
    </row>
    <row r="135">
      <c r="A135" s="19" t="inlineStr">
        <is>
          <t>134</t>
        </is>
      </c>
      <c r="B135" s="19" t="inlineStr">
        <is>
          <t>19</t>
        </is>
      </c>
      <c r="C135" s="19" t="inlineStr">
        <is>
          <t>6</t>
        </is>
      </c>
      <c r="D135" t="n">
        <v>1</v>
      </c>
      <c r="E135" s="19" t="inlineStr">
        <is>
          <t>18</t>
        </is>
      </c>
      <c r="F135" t="n">
        <v>2</v>
      </c>
      <c r="G135" t="b">
        <v>0</v>
      </c>
      <c r="H135" t="inlineStr">
        <is>
          <t>UOM=ADT;WEIGHT_BASIS=PROCESSED_SOURCE_UNIT_WEIGHT;LINE_WEIGHT_KG=26.0;SOURCE_CFG=IA-ST-CFG-0035;SRC_REF=Row 155, Slot 3;SRC_FILE=Mamul Ambalaj Bileşen Listesi-30.07.2026(3).xlsx</t>
        </is>
      </c>
    </row>
    <row r="136">
      <c r="A136" s="19" t="inlineStr">
        <is>
          <t>135</t>
        </is>
      </c>
      <c r="B136" s="19" t="inlineStr">
        <is>
          <t>19</t>
        </is>
      </c>
      <c r="C136" s="19" t="inlineStr">
        <is>
          <t>16</t>
        </is>
      </c>
      <c r="D136" t="n">
        <v>1</v>
      </c>
      <c r="E136" s="19" t="inlineStr">
        <is>
          <t>18</t>
        </is>
      </c>
      <c r="F136" t="n">
        <v>3</v>
      </c>
      <c r="G136" t="b">
        <v>0</v>
      </c>
      <c r="H136" t="inlineStr">
        <is>
          <t>UOM=ADT;WEIGHT_BASIS=PROCESSED_SOURCE_UNIT_WEIGHT;LINE_WEIGHT_KG=7.0;SOURCE_CFG=IA-ST-CFG-0035;SRC_REF=Row 155, Slot 4;SRC_FILE=Mamul Ambalaj Bileşen Listesi-30.07.2026(3).xlsx</t>
        </is>
      </c>
    </row>
    <row r="137">
      <c r="A137" s="19" t="inlineStr">
        <is>
          <t>136</t>
        </is>
      </c>
      <c r="B137" s="19" t="inlineStr">
        <is>
          <t>19</t>
        </is>
      </c>
      <c r="C137" s="19" t="inlineStr">
        <is>
          <t>8</t>
        </is>
      </c>
      <c r="D137" t="n">
        <v>20</v>
      </c>
      <c r="E137" s="19" t="inlineStr">
        <is>
          <t>18</t>
        </is>
      </c>
      <c r="F137" t="n">
        <v>4</v>
      </c>
      <c r="G137" t="b">
        <v>0</v>
      </c>
      <c r="H137" t="inlineStr">
        <is>
          <t>UOM=M;WEIGHT_BASIS=PROCESSED_SOURCE_UNIT_WEIGHT;LINE_WEIGHT_KG=0.3664;SOURCE_CFG=IA-ST-CFG-0035;SRC_REF=Row 155, Slot 5;SRC_FILE=Mamul Ambalaj Bileşen Listesi-30.07.2026(3).xlsx</t>
        </is>
      </c>
    </row>
    <row r="138">
      <c r="A138" s="19" t="inlineStr">
        <is>
          <t>137</t>
        </is>
      </c>
      <c r="B138" s="19" t="inlineStr">
        <is>
          <t>19</t>
        </is>
      </c>
      <c r="C138" s="19" t="inlineStr">
        <is>
          <t>9</t>
        </is>
      </c>
      <c r="D138" t="n">
        <v>0.186</v>
      </c>
      <c r="E138" s="19" t="inlineStr">
        <is>
          <t>18</t>
        </is>
      </c>
      <c r="F138" t="n">
        <v>5</v>
      </c>
      <c r="G138" t="b">
        <v>0</v>
      </c>
      <c r="H138" t="inlineStr">
        <is>
          <t>UOM=KG;WEIGHT_BASIS=RECIPE_QUANTITY_IS_KG;LINE_WEIGHT_KG=0.186;SOURCE_CFG=IA-ST-CFG-0035;SRC_REF=Row 155, Slot 6;SRC_FILE=Mamul Ambalaj Bileşen Listesi-30.07.2026(3).xlsx</t>
        </is>
      </c>
    </row>
    <row r="139">
      <c r="A139" s="19" t="inlineStr">
        <is>
          <t>138</t>
        </is>
      </c>
      <c r="B139" s="19" t="inlineStr">
        <is>
          <t>19</t>
        </is>
      </c>
      <c r="C139" s="19" t="inlineStr">
        <is>
          <t>25</t>
        </is>
      </c>
      <c r="D139" t="n">
        <v>4</v>
      </c>
      <c r="E139" s="19" t="inlineStr">
        <is>
          <t>18</t>
        </is>
      </c>
      <c r="F139" t="n">
        <v>6</v>
      </c>
      <c r="G139" t="b">
        <v>0</v>
      </c>
      <c r="H139" t="inlineStr">
        <is>
          <t>UOM=ADT;WEIGHT_BASIS=PROCESSED_SOURCE_UNIT_WEIGHT;LINE_WEIGHT_KG=0.4;SOURCE_CFG=IA-ST-CFG-0035;SRC_REF=Row 155, Slot 8;SRC_FILE=Mamul Ambalaj Bileşen Listesi-30.07.2026(3).xlsx</t>
        </is>
      </c>
    </row>
    <row r="140">
      <c r="A140" s="19" t="inlineStr">
        <is>
          <t>139</t>
        </is>
      </c>
      <c r="B140" s="19" t="inlineStr">
        <is>
          <t>19</t>
        </is>
      </c>
      <c r="C140" s="19" t="inlineStr">
        <is>
          <t>30</t>
        </is>
      </c>
      <c r="D140" t="n">
        <v>3</v>
      </c>
      <c r="E140" s="19" t="inlineStr">
        <is>
          <t>18</t>
        </is>
      </c>
      <c r="F140" t="n">
        <v>7</v>
      </c>
      <c r="G140" t="b">
        <v>0</v>
      </c>
      <c r="H140" t="inlineStr">
        <is>
          <t>UOM=ADT;WEIGHT_BASIS=PROCESSED_SOURCE_UNIT_WEIGHT;LINE_WEIGHT_KG=0.6000000000000001;SOURCE_CFG=IA-ST-CFG-0035;SRC_REF=Row 155, Slot 9;SRC_FILE=Mamul Ambalaj Bileşen Listesi-30.07.2026(3).xlsx</t>
        </is>
      </c>
    </row>
    <row r="141">
      <c r="A141" s="19" t="inlineStr">
        <is>
          <t>140</t>
        </is>
      </c>
      <c r="B141" s="19" t="inlineStr">
        <is>
          <t>19</t>
        </is>
      </c>
      <c r="C141" s="19" t="inlineStr">
        <is>
          <t>56</t>
        </is>
      </c>
      <c r="D141" t="n">
        <v>2</v>
      </c>
      <c r="E141" s="19" t="inlineStr">
        <is>
          <t>18</t>
        </is>
      </c>
      <c r="F141" t="n">
        <v>8</v>
      </c>
      <c r="G141" t="b">
        <v>0</v>
      </c>
      <c r="H141" t="inlineStr">
        <is>
          <t>UOM=ADT;WEIGHT_BASIS=PROCESSED_SOURCE_UNIT_WEIGHT;LINE_WEIGHT_KG=2.0;SOURCE_CFG=IA-ST-CFG-0035;SRC_REF=Row 155, Slot 10;SRC_FILE=Mamul Ambalaj Bileşen Listesi-30.07.2026(3).xlsx</t>
        </is>
      </c>
    </row>
    <row r="142">
      <c r="A142" s="19" t="inlineStr">
        <is>
          <t>141</t>
        </is>
      </c>
      <c r="B142" s="19" t="inlineStr">
        <is>
          <t>20</t>
        </is>
      </c>
      <c r="C142" s="19" t="inlineStr">
        <is>
          <t>13</t>
        </is>
      </c>
      <c r="D142" t="n">
        <v>14</v>
      </c>
      <c r="E142" s="19" t="inlineStr">
        <is>
          <t>18</t>
        </is>
      </c>
      <c r="F142" t="n">
        <v>1</v>
      </c>
      <c r="G142" t="b">
        <v>0</v>
      </c>
      <c r="H142" t="inlineStr">
        <is>
          <t>UOM=M;WEIGHT_BASIS=PROCESSED_SOURCE_UNIT_WEIGHT;LINE_WEIGHT_KG=0.1736;SOURCE_CFG=IA-ST-CFG-0037;SRC_REF=Row 210, Slot 1;SRC_FILE=Mamul Ambalaj Bileşen Listesi-30.07.2026(3).xlsx</t>
        </is>
      </c>
    </row>
    <row r="143">
      <c r="A143" s="19" t="inlineStr">
        <is>
          <t>142</t>
        </is>
      </c>
      <c r="B143" s="19" t="inlineStr">
        <is>
          <t>20</t>
        </is>
      </c>
      <c r="C143" s="19" t="inlineStr">
        <is>
          <t>38</t>
        </is>
      </c>
      <c r="D143" t="n">
        <v>24</v>
      </c>
      <c r="E143" s="19" t="inlineStr">
        <is>
          <t>18</t>
        </is>
      </c>
      <c r="F143" t="n">
        <v>2</v>
      </c>
      <c r="G143" t="b">
        <v>0</v>
      </c>
      <c r="H143" t="inlineStr">
        <is>
          <t>UOM=ADT;WEIGHT_BASIS=SOURCE_UNIT_WEIGHT;LINE_WEIGHT_KG=2.4386400000000004;SOURCE_CFG=IA-ST-CFG-0037;SRC_REF=Row 210, Slot 2;SRC_FILE=Mamul Ambalaj Bileşen Listesi-30.07.2026(3).xlsx</t>
        </is>
      </c>
    </row>
    <row r="144">
      <c r="A144" s="19" t="inlineStr">
        <is>
          <t>143</t>
        </is>
      </c>
      <c r="B144" s="19" t="inlineStr">
        <is>
          <t>20</t>
        </is>
      </c>
      <c r="C144" s="19" t="inlineStr">
        <is>
          <t>6</t>
        </is>
      </c>
      <c r="D144" t="n">
        <v>1</v>
      </c>
      <c r="E144" s="19" t="inlineStr">
        <is>
          <t>18</t>
        </is>
      </c>
      <c r="F144" t="n">
        <v>3</v>
      </c>
      <c r="G144" t="b">
        <v>0</v>
      </c>
      <c r="H144" t="inlineStr">
        <is>
          <t>UOM=ADT;WEIGHT_BASIS=PROCESSED_SOURCE_UNIT_WEIGHT;LINE_WEIGHT_KG=26.0;SOURCE_CFG=IA-ST-CFG-0037;SRC_REF=Row 210, Slot 3;SRC_FILE=Mamul Ambalaj Bileşen Listesi-30.07.2026(3).xlsx</t>
        </is>
      </c>
    </row>
    <row r="145">
      <c r="A145" s="19" t="inlineStr">
        <is>
          <t>144</t>
        </is>
      </c>
      <c r="B145" s="19" t="inlineStr">
        <is>
          <t>20</t>
        </is>
      </c>
      <c r="C145" s="19" t="inlineStr">
        <is>
          <t>8</t>
        </is>
      </c>
      <c r="D145" t="n">
        <v>20</v>
      </c>
      <c r="E145" s="19" t="inlineStr">
        <is>
          <t>18</t>
        </is>
      </c>
      <c r="F145" t="n">
        <v>4</v>
      </c>
      <c r="G145" t="b">
        <v>0</v>
      </c>
      <c r="H145" t="inlineStr">
        <is>
          <t>UOM=M;WEIGHT_BASIS=PROCESSED_SOURCE_UNIT_WEIGHT;LINE_WEIGHT_KG=0.3664;SOURCE_CFG=IA-ST-CFG-0037;SRC_REF=Row 210, Slot 5;SRC_FILE=Mamul Ambalaj Bileşen Listesi-30.07.2026(3).xlsx</t>
        </is>
      </c>
    </row>
    <row r="146">
      <c r="A146" s="19" t="inlineStr">
        <is>
          <t>145</t>
        </is>
      </c>
      <c r="B146" s="19" t="inlineStr">
        <is>
          <t>20</t>
        </is>
      </c>
      <c r="C146" s="19" t="inlineStr">
        <is>
          <t>9</t>
        </is>
      </c>
      <c r="D146" t="n">
        <v>0.186</v>
      </c>
      <c r="E146" s="19" t="inlineStr">
        <is>
          <t>18</t>
        </is>
      </c>
      <c r="F146" t="n">
        <v>5</v>
      </c>
      <c r="G146" t="b">
        <v>0</v>
      </c>
      <c r="H146" t="inlineStr">
        <is>
          <t>UOM=KG;WEIGHT_BASIS=RECIPE_QUANTITY_IS_KG;LINE_WEIGHT_KG=0.186;SOURCE_CFG=IA-ST-CFG-0037;SRC_REF=Row 210, Slot 6;SRC_FILE=Mamul Ambalaj Bileşen Listesi-30.07.2026(3).xlsx</t>
        </is>
      </c>
    </row>
    <row r="147">
      <c r="A147" s="19" t="inlineStr">
        <is>
          <t>146</t>
        </is>
      </c>
      <c r="B147" s="19" t="inlineStr">
        <is>
          <t>20</t>
        </is>
      </c>
      <c r="C147" s="19" t="inlineStr">
        <is>
          <t>22</t>
        </is>
      </c>
      <c r="D147" t="n">
        <v>1.32</v>
      </c>
      <c r="E147" s="19" t="inlineStr">
        <is>
          <t>18</t>
        </is>
      </c>
      <c r="F147" t="n">
        <v>6</v>
      </c>
      <c r="G147" t="b">
        <v>0</v>
      </c>
      <c r="H147" t="inlineStr">
        <is>
          <t>UOM=KG;WEIGHT_BASIS=RECIPE_QUANTITY_IS_KG;LINE_WEIGHT_KG=1.32;SOURCE_CFG=IA-ST-CFG-0037;SRC_REF=Row 210, Slot 7;SRC_FILE=Mamul Ambalaj Bileşen Listesi-30.07.2026(3).xlsx</t>
        </is>
      </c>
    </row>
    <row r="148">
      <c r="A148" s="19" t="inlineStr">
        <is>
          <t>147</t>
        </is>
      </c>
      <c r="B148" s="19" t="inlineStr">
        <is>
          <t>20</t>
        </is>
      </c>
      <c r="C148" s="19" t="inlineStr">
        <is>
          <t>30</t>
        </is>
      </c>
      <c r="D148" t="n">
        <v>4</v>
      </c>
      <c r="E148" s="19" t="inlineStr">
        <is>
          <t>18</t>
        </is>
      </c>
      <c r="F148" t="n">
        <v>7</v>
      </c>
      <c r="G148" t="b">
        <v>0</v>
      </c>
      <c r="H148" t="inlineStr">
        <is>
          <t>UOM=ADT;WEIGHT_BASIS=PROCESSED_SOURCE_UNIT_WEIGHT;LINE_WEIGHT_KG=0.8;SOURCE_CFG=IA-ST-CFG-0037;SRC_REF=Row 210, Slot 8;SRC_FILE=Mamul Ambalaj Bileşen Listesi-30.07.2026(3).xlsx</t>
        </is>
      </c>
    </row>
    <row r="149">
      <c r="A149" s="19" t="inlineStr">
        <is>
          <t>148</t>
        </is>
      </c>
      <c r="B149" s="19" t="inlineStr">
        <is>
          <t>20</t>
        </is>
      </c>
      <c r="C149" s="19" t="inlineStr">
        <is>
          <t>51</t>
        </is>
      </c>
      <c r="D149" t="n">
        <v>4</v>
      </c>
      <c r="E149" s="19" t="inlineStr">
        <is>
          <t>18</t>
        </is>
      </c>
      <c r="F149" t="n">
        <v>8</v>
      </c>
      <c r="G149" t="b">
        <v>0</v>
      </c>
      <c r="H149" t="inlineStr">
        <is>
          <t>UOM=ADT;WEIGHT_BASIS=PROCESSED_SOURCE_UNIT_WEIGHT;LINE_WEIGHT_KG=0.12;SOURCE_CFG=IA-ST-CFG-0037;SRC_REF=Row 210, Slot 9;SRC_FILE=Mamul Ambalaj Bileşen Listesi-30.07.2026(3).xlsx</t>
        </is>
      </c>
    </row>
    <row r="150">
      <c r="A150" s="19" t="inlineStr">
        <is>
          <t>149</t>
        </is>
      </c>
      <c r="B150" s="19" t="inlineStr">
        <is>
          <t>20</t>
        </is>
      </c>
      <c r="C150" s="19" t="inlineStr">
        <is>
          <t>52</t>
        </is>
      </c>
      <c r="D150" t="n">
        <v>4</v>
      </c>
      <c r="E150" s="19" t="inlineStr">
        <is>
          <t>18</t>
        </is>
      </c>
      <c r="F150" t="n">
        <v>9</v>
      </c>
      <c r="G150" t="b">
        <v>0</v>
      </c>
      <c r="H150" t="inlineStr">
        <is>
          <t>UOM=ADT;WEIGHT_BASIS=PROCESSED_SOURCE_UNIT_WEIGHT;LINE_WEIGHT_KG=1.44;SOURCE_CFG=IA-ST-CFG-0037;SRC_REF=Row 210, Slot 10;SRC_FILE=Mamul Ambalaj Bileşen Listesi-30.07.2026(3).xlsx</t>
        </is>
      </c>
    </row>
    <row r="151">
      <c r="A151" s="19" t="inlineStr">
        <is>
          <t>150</t>
        </is>
      </c>
      <c r="B151" s="19" t="inlineStr">
        <is>
          <t>21</t>
        </is>
      </c>
      <c r="C151" s="19" t="inlineStr">
        <is>
          <t>13</t>
        </is>
      </c>
      <c r="D151" t="n">
        <v>14</v>
      </c>
      <c r="E151" s="19" t="inlineStr">
        <is>
          <t>18</t>
        </is>
      </c>
      <c r="F151" t="n">
        <v>1</v>
      </c>
      <c r="G151" t="b">
        <v>0</v>
      </c>
      <c r="H151" t="inlineStr">
        <is>
          <t>UOM=M;WEIGHT_BASIS=PROCESSED_SOURCE_UNIT_WEIGHT;LINE_WEIGHT_KG=0.1736;SOURCE_CFG=IA-ST-CFG-0038;SRC_REF=Row 1112, Slot 1;SRC_FILE=Mamul Ambalaj Bileşen Listesi-30.07.2026(3).xlsx</t>
        </is>
      </c>
    </row>
    <row r="152">
      <c r="A152" s="19" t="inlineStr">
        <is>
          <t>151</t>
        </is>
      </c>
      <c r="B152" s="19" t="inlineStr">
        <is>
          <t>21</t>
        </is>
      </c>
      <c r="C152" s="19" t="inlineStr">
        <is>
          <t>71</t>
        </is>
      </c>
      <c r="D152" t="n">
        <v>24</v>
      </c>
      <c r="E152" s="19" t="inlineStr">
        <is>
          <t>18</t>
        </is>
      </c>
      <c r="F152" t="n">
        <v>2</v>
      </c>
      <c r="G152" t="b">
        <v>0</v>
      </c>
      <c r="H152" t="inlineStr">
        <is>
          <t>UOM=ADT;WEIGHT_BASIS=PROCESSED_SOURCE_UNIT_WEIGHT;LINE_WEIGHT_KG=1.7039999999999997;SOURCE_CFG=IA-ST-CFG-0038;SRC_REF=Row 1112, Slot 2;SRC_FILE=Mamul Ambalaj Bileşen Listesi-30.07.2026(3).xlsx</t>
        </is>
      </c>
    </row>
    <row r="153">
      <c r="A153" s="19" t="inlineStr">
        <is>
          <t>152</t>
        </is>
      </c>
      <c r="B153" s="19" t="inlineStr">
        <is>
          <t>21</t>
        </is>
      </c>
      <c r="C153" s="19" t="inlineStr">
        <is>
          <t>6</t>
        </is>
      </c>
      <c r="D153" t="n">
        <v>1</v>
      </c>
      <c r="E153" s="19" t="inlineStr">
        <is>
          <t>18</t>
        </is>
      </c>
      <c r="F153" t="n">
        <v>3</v>
      </c>
      <c r="G153" t="b">
        <v>0</v>
      </c>
      <c r="H153" t="inlineStr">
        <is>
          <t>UOM=ADT;WEIGHT_BASIS=PROCESSED_SOURCE_UNIT_WEIGHT;LINE_WEIGHT_KG=26.0;SOURCE_CFG=IA-ST-CFG-0038;SRC_REF=Row 1112, Slot 3;SRC_FILE=Mamul Ambalaj Bileşen Listesi-30.07.2026(3).xlsx</t>
        </is>
      </c>
    </row>
    <row r="154">
      <c r="A154" s="19" t="inlineStr">
        <is>
          <t>153</t>
        </is>
      </c>
      <c r="B154" s="19" t="inlineStr">
        <is>
          <t>21</t>
        </is>
      </c>
      <c r="C154" s="19" t="inlineStr">
        <is>
          <t>8</t>
        </is>
      </c>
      <c r="D154" t="n">
        <v>20</v>
      </c>
      <c r="E154" s="19" t="inlineStr">
        <is>
          <t>18</t>
        </is>
      </c>
      <c r="F154" t="n">
        <v>4</v>
      </c>
      <c r="G154" t="b">
        <v>0</v>
      </c>
      <c r="H154" t="inlineStr">
        <is>
          <t>UOM=M;WEIGHT_BASIS=PROCESSED_SOURCE_UNIT_WEIGHT;LINE_WEIGHT_KG=0.3664;SOURCE_CFG=IA-ST-CFG-0038;SRC_REF=Row 1112, Slot 5;SRC_FILE=Mamul Ambalaj Bileşen Listesi-30.07.2026(3).xlsx</t>
        </is>
      </c>
    </row>
    <row r="155">
      <c r="A155" s="19" t="inlineStr">
        <is>
          <t>154</t>
        </is>
      </c>
      <c r="B155" s="19" t="inlineStr">
        <is>
          <t>21</t>
        </is>
      </c>
      <c r="C155" s="19" t="inlineStr">
        <is>
          <t>9</t>
        </is>
      </c>
      <c r="D155" t="n">
        <v>0.186</v>
      </c>
      <c r="E155" s="19" t="inlineStr">
        <is>
          <t>18</t>
        </is>
      </c>
      <c r="F155" t="n">
        <v>5</v>
      </c>
      <c r="G155" t="b">
        <v>0</v>
      </c>
      <c r="H155" t="inlineStr">
        <is>
          <t>UOM=KG;WEIGHT_BASIS=RECIPE_QUANTITY_IS_KG;LINE_WEIGHT_KG=0.186;SOURCE_CFG=IA-ST-CFG-0038;SRC_REF=Row 1112, Slot 6;SRC_FILE=Mamul Ambalaj Bileşen Listesi-30.07.2026(3).xlsx</t>
        </is>
      </c>
    </row>
    <row r="156">
      <c r="A156" s="19" t="inlineStr">
        <is>
          <t>155</t>
        </is>
      </c>
      <c r="B156" s="19" t="inlineStr">
        <is>
          <t>21</t>
        </is>
      </c>
      <c r="C156" s="19" t="inlineStr">
        <is>
          <t>25</t>
        </is>
      </c>
      <c r="D156" t="n">
        <v>4</v>
      </c>
      <c r="E156" s="19" t="inlineStr">
        <is>
          <t>18</t>
        </is>
      </c>
      <c r="F156" t="n">
        <v>6</v>
      </c>
      <c r="G156" t="b">
        <v>0</v>
      </c>
      <c r="H156" t="inlineStr">
        <is>
          <t>UOM=ADT;WEIGHT_BASIS=PROCESSED_SOURCE_UNIT_WEIGHT;LINE_WEIGHT_KG=0.4;SOURCE_CFG=IA-ST-CFG-0038;SRC_REF=Row 1112, Slot 8;SRC_FILE=Mamul Ambalaj Bileşen Listesi-30.07.2026(3).xlsx</t>
        </is>
      </c>
    </row>
    <row r="157">
      <c r="A157" s="19" t="inlineStr">
        <is>
          <t>156</t>
        </is>
      </c>
      <c r="B157" s="19" t="inlineStr">
        <is>
          <t>21</t>
        </is>
      </c>
      <c r="C157" s="19" t="inlineStr">
        <is>
          <t>30</t>
        </is>
      </c>
      <c r="D157" t="n">
        <v>4</v>
      </c>
      <c r="E157" s="19" t="inlineStr">
        <is>
          <t>18</t>
        </is>
      </c>
      <c r="F157" t="n">
        <v>7</v>
      </c>
      <c r="G157" t="b">
        <v>0</v>
      </c>
      <c r="H157" t="inlineStr">
        <is>
          <t>UOM=ADT;WEIGHT_BASIS=PROCESSED_SOURCE_UNIT_WEIGHT;LINE_WEIGHT_KG=0.8;SOURCE_CFG=IA-ST-CFG-0038;SRC_REF=Row 1112, Slot 9;SRC_FILE=Mamul Ambalaj Bileşen Listesi-30.07.2026(3).xlsx</t>
        </is>
      </c>
    </row>
    <row r="158">
      <c r="A158" s="19" t="inlineStr">
        <is>
          <t>157</t>
        </is>
      </c>
      <c r="B158" s="19" t="inlineStr">
        <is>
          <t>22</t>
        </is>
      </c>
      <c r="C158" s="19" t="inlineStr">
        <is>
          <t>13</t>
        </is>
      </c>
      <c r="D158" t="n">
        <v>7</v>
      </c>
      <c r="E158" s="19" t="inlineStr">
        <is>
          <t>18</t>
        </is>
      </c>
      <c r="F158" t="n">
        <v>1</v>
      </c>
      <c r="G158" t="b">
        <v>0</v>
      </c>
      <c r="H158" t="inlineStr">
        <is>
          <t>UOM=M;WEIGHT_BASIS=PROCESSED_SOURCE_UNIT_WEIGHT;LINE_WEIGHT_KG=0.0868;SOURCE_CFG=IA-ST-CFG-0039;SRC_REF=Row 67, Slot 1;SRC_FILE=Mamul Ambalaj Bileşen Listesi-30.07.2026(3).xlsx</t>
        </is>
      </c>
    </row>
    <row r="159">
      <c r="A159" s="19" t="inlineStr">
        <is>
          <t>158</t>
        </is>
      </c>
      <c r="B159" s="19" t="inlineStr">
        <is>
          <t>22</t>
        </is>
      </c>
      <c r="C159" s="19" t="inlineStr">
        <is>
          <t>71</t>
        </is>
      </c>
      <c r="D159" t="n">
        <v>24</v>
      </c>
      <c r="E159" s="19" t="inlineStr">
        <is>
          <t>18</t>
        </is>
      </c>
      <c r="F159" t="n">
        <v>2</v>
      </c>
      <c r="G159" t="b">
        <v>0</v>
      </c>
      <c r="H159" t="inlineStr">
        <is>
          <t>UOM=ADT;WEIGHT_BASIS=PROCESSED_SOURCE_UNIT_WEIGHT;LINE_WEIGHT_KG=1.7039999999999997;SOURCE_CFG=IA-ST-CFG-0039;SRC_REF=Row 67, Slot 2;SRC_FILE=Mamul Ambalaj Bileşen Listesi-30.07.2026(3).xlsx</t>
        </is>
      </c>
    </row>
    <row r="160">
      <c r="A160" s="19" t="inlineStr">
        <is>
          <t>159</t>
        </is>
      </c>
      <c r="B160" s="19" t="inlineStr">
        <is>
          <t>22</t>
        </is>
      </c>
      <c r="C160" s="19" t="inlineStr">
        <is>
          <t>6</t>
        </is>
      </c>
      <c r="D160" t="n">
        <v>1</v>
      </c>
      <c r="E160" s="19" t="inlineStr">
        <is>
          <t>18</t>
        </is>
      </c>
      <c r="F160" t="n">
        <v>3</v>
      </c>
      <c r="G160" t="b">
        <v>0</v>
      </c>
      <c r="H160" t="inlineStr">
        <is>
          <t>UOM=ADT;WEIGHT_BASIS=PROCESSED_SOURCE_UNIT_WEIGHT;LINE_WEIGHT_KG=26.0;SOURCE_CFG=IA-ST-CFG-0039;SRC_REF=Row 67, Slot 3;SRC_FILE=Mamul Ambalaj Bileşen Listesi-30.07.2026(3).xlsx</t>
        </is>
      </c>
    </row>
    <row r="161">
      <c r="A161" s="19" t="inlineStr">
        <is>
          <t>160</t>
        </is>
      </c>
      <c r="B161" s="19" t="inlineStr">
        <is>
          <t>22</t>
        </is>
      </c>
      <c r="C161" s="19" t="inlineStr">
        <is>
          <t>8</t>
        </is>
      </c>
      <c r="D161" t="n">
        <v>20</v>
      </c>
      <c r="E161" s="19" t="inlineStr">
        <is>
          <t>18</t>
        </is>
      </c>
      <c r="F161" t="n">
        <v>4</v>
      </c>
      <c r="G161" t="b">
        <v>0</v>
      </c>
      <c r="H161" t="inlineStr">
        <is>
          <t>UOM=M;WEIGHT_BASIS=PROCESSED_SOURCE_UNIT_WEIGHT;LINE_WEIGHT_KG=0.3664;SOURCE_CFG=IA-ST-CFG-0039;SRC_REF=Row 67, Slot 5;SRC_FILE=Mamul Ambalaj Bileşen Listesi-30.07.2026(3).xlsx</t>
        </is>
      </c>
    </row>
    <row r="162">
      <c r="A162" s="19" t="inlineStr">
        <is>
          <t>161</t>
        </is>
      </c>
      <c r="B162" s="19" t="inlineStr">
        <is>
          <t>22</t>
        </is>
      </c>
      <c r="C162" s="19" t="inlineStr">
        <is>
          <t>9</t>
        </is>
      </c>
      <c r="D162" t="n">
        <v>0.186</v>
      </c>
      <c r="E162" s="19" t="inlineStr">
        <is>
          <t>18</t>
        </is>
      </c>
      <c r="F162" t="n">
        <v>5</v>
      </c>
      <c r="G162" t="b">
        <v>0</v>
      </c>
      <c r="H162" t="inlineStr">
        <is>
          <t>UOM=KG;WEIGHT_BASIS=RECIPE_QUANTITY_IS_KG;LINE_WEIGHT_KG=0.186;SOURCE_CFG=IA-ST-CFG-0039;SRC_REF=Row 67, Slot 6;SRC_FILE=Mamul Ambalaj Bileşen Listesi-30.07.2026(3).xlsx</t>
        </is>
      </c>
    </row>
    <row r="163">
      <c r="A163" s="19" t="inlineStr">
        <is>
          <t>162</t>
        </is>
      </c>
      <c r="B163" s="19" t="inlineStr">
        <is>
          <t>22</t>
        </is>
      </c>
      <c r="C163" s="19" t="inlineStr">
        <is>
          <t>22</t>
        </is>
      </c>
      <c r="D163" t="n">
        <v>1.32</v>
      </c>
      <c r="E163" s="19" t="inlineStr">
        <is>
          <t>18</t>
        </is>
      </c>
      <c r="F163" t="n">
        <v>6</v>
      </c>
      <c r="G163" t="b">
        <v>0</v>
      </c>
      <c r="H163" t="inlineStr">
        <is>
          <t>UOM=KG;WEIGHT_BASIS=RECIPE_QUANTITY_IS_KG;LINE_WEIGHT_KG=1.32;SOURCE_CFG=IA-ST-CFG-0039;SRC_REF=Row 67, Slot 7;SRC_FILE=Mamul Ambalaj Bileşen Listesi-30.07.2026(3).xlsx</t>
        </is>
      </c>
    </row>
    <row r="164">
      <c r="A164" s="19" t="inlineStr">
        <is>
          <t>163</t>
        </is>
      </c>
      <c r="B164" s="19" t="inlineStr">
        <is>
          <t>22</t>
        </is>
      </c>
      <c r="C164" s="19" t="inlineStr">
        <is>
          <t>25</t>
        </is>
      </c>
      <c r="D164" t="n">
        <v>2</v>
      </c>
      <c r="E164" s="19" t="inlineStr">
        <is>
          <t>18</t>
        </is>
      </c>
      <c r="F164" t="n">
        <v>7</v>
      </c>
      <c r="G164" t="b">
        <v>0</v>
      </c>
      <c r="H164" t="inlineStr">
        <is>
          <t>UOM=ADT;WEIGHT_BASIS=PROCESSED_SOURCE_UNIT_WEIGHT;LINE_WEIGHT_KG=0.2;SOURCE_CFG=IA-ST-CFG-0039;SRC_REF=Row 67, Slot 8;SRC_FILE=Mamul Ambalaj Bileşen Listesi-30.07.2026(3).xlsx</t>
        </is>
      </c>
    </row>
    <row r="165">
      <c r="A165" s="19" t="inlineStr">
        <is>
          <t>164</t>
        </is>
      </c>
      <c r="B165" s="19" t="inlineStr">
        <is>
          <t>22</t>
        </is>
      </c>
      <c r="C165" s="19" t="inlineStr">
        <is>
          <t>30</t>
        </is>
      </c>
      <c r="D165" t="n">
        <v>4</v>
      </c>
      <c r="E165" s="19" t="inlineStr">
        <is>
          <t>18</t>
        </is>
      </c>
      <c r="F165" t="n">
        <v>8</v>
      </c>
      <c r="G165" t="b">
        <v>0</v>
      </c>
      <c r="H165" t="inlineStr">
        <is>
          <t>UOM=ADT;WEIGHT_BASIS=PROCESSED_SOURCE_UNIT_WEIGHT;LINE_WEIGHT_KG=0.8;SOURCE_CFG=IA-ST-CFG-0039;SRC_REF=Row 67, Slot 9;SRC_FILE=Mamul Ambalaj Bileşen Listesi-30.07.2026(3).xlsx</t>
        </is>
      </c>
    </row>
    <row r="166">
      <c r="A166" s="19" t="inlineStr">
        <is>
          <t>165</t>
        </is>
      </c>
      <c r="B166" s="19" t="inlineStr">
        <is>
          <t>23</t>
        </is>
      </c>
      <c r="C166" s="19" t="inlineStr">
        <is>
          <t>13</t>
        </is>
      </c>
      <c r="D166" t="n">
        <v>14</v>
      </c>
      <c r="E166" s="19" t="inlineStr">
        <is>
          <t>18</t>
        </is>
      </c>
      <c r="F166" t="n">
        <v>1</v>
      </c>
      <c r="G166" t="b">
        <v>0</v>
      </c>
      <c r="H166" t="inlineStr">
        <is>
          <t>UOM=M;WEIGHT_BASIS=PROCESSED_SOURCE_UNIT_WEIGHT;LINE_WEIGHT_KG=0.1736;SOURCE_CFG=IA-ST-CFG-0034;SRC_REF=Row 1567, Slot 1;SRC_FILE=Mamul Ambalaj Bileşen Listesi-30.07.2026(3).xlsx</t>
        </is>
      </c>
    </row>
    <row r="167">
      <c r="A167" s="19" t="inlineStr">
        <is>
          <t>166</t>
        </is>
      </c>
      <c r="B167" s="19" t="inlineStr">
        <is>
          <t>23</t>
        </is>
      </c>
      <c r="C167" s="19" t="inlineStr">
        <is>
          <t>72</t>
        </is>
      </c>
      <c r="D167" t="n">
        <v>24</v>
      </c>
      <c r="E167" s="19" t="inlineStr">
        <is>
          <t>18</t>
        </is>
      </c>
      <c r="F167" t="n">
        <v>2</v>
      </c>
      <c r="G167" t="b">
        <v>0</v>
      </c>
      <c r="H167" t="inlineStr">
        <is>
          <t>UOM=ADT;WEIGHT_BASIS=PROCESSED_SOURCE_UNIT_WEIGHT;LINE_WEIGHT_KG=3.024;SOURCE_CFG=IA-ST-CFG-0034;SRC_REF=Row 1567, Slot 2;SRC_FILE=Mamul Ambalaj Bileşen Listesi-30.07.2026(3).xlsx</t>
        </is>
      </c>
    </row>
    <row r="168">
      <c r="A168" s="19" t="inlineStr">
        <is>
          <t>167</t>
        </is>
      </c>
      <c r="B168" s="19" t="inlineStr">
        <is>
          <t>23</t>
        </is>
      </c>
      <c r="C168" s="19" t="inlineStr">
        <is>
          <t>5</t>
        </is>
      </c>
      <c r="D168" t="n">
        <v>1</v>
      </c>
      <c r="E168" s="19" t="inlineStr">
        <is>
          <t>18</t>
        </is>
      </c>
      <c r="F168" t="n">
        <v>3</v>
      </c>
      <c r="G168" t="b">
        <v>0</v>
      </c>
      <c r="H168" t="inlineStr">
        <is>
          <t>UOM=ADT;WEIGHT_BASIS=PROCESSED_SOURCE_UNIT_WEIGHT;LINE_WEIGHT_KG=26.0;SOURCE_CFG=IA-ST-CFG-0034;SRC_REF=Row 1567, Slot 3;SRC_FILE=Mamul Ambalaj Bileşen Listesi-30.07.2026(3).xlsx</t>
        </is>
      </c>
    </row>
    <row r="169">
      <c r="A169" s="19" t="inlineStr">
        <is>
          <t>168</t>
        </is>
      </c>
      <c r="B169" s="19" t="inlineStr">
        <is>
          <t>23</t>
        </is>
      </c>
      <c r="C169" s="19" t="inlineStr">
        <is>
          <t>8</t>
        </is>
      </c>
      <c r="D169" t="n">
        <v>20</v>
      </c>
      <c r="E169" s="19" t="inlineStr">
        <is>
          <t>18</t>
        </is>
      </c>
      <c r="F169" t="n">
        <v>4</v>
      </c>
      <c r="G169" t="b">
        <v>0</v>
      </c>
      <c r="H169" t="inlineStr">
        <is>
          <t>UOM=M;WEIGHT_BASIS=PROCESSED_SOURCE_UNIT_WEIGHT;LINE_WEIGHT_KG=0.3664;SOURCE_CFG=IA-ST-CFG-0034;SRC_REF=Row 1567, Slot 5;SRC_FILE=Mamul Ambalaj Bileşen Listesi-30.07.2026(3).xlsx</t>
        </is>
      </c>
    </row>
    <row r="170">
      <c r="A170" s="19" t="inlineStr">
        <is>
          <t>169</t>
        </is>
      </c>
      <c r="B170" s="19" t="inlineStr">
        <is>
          <t>23</t>
        </is>
      </c>
      <c r="C170" s="19" t="inlineStr">
        <is>
          <t>9</t>
        </is>
      </c>
      <c r="D170" t="n">
        <v>0.186</v>
      </c>
      <c r="E170" s="19" t="inlineStr">
        <is>
          <t>18</t>
        </is>
      </c>
      <c r="F170" t="n">
        <v>5</v>
      </c>
      <c r="G170" t="b">
        <v>0</v>
      </c>
      <c r="H170" t="inlineStr">
        <is>
          <t>UOM=KG;WEIGHT_BASIS=RECIPE_QUANTITY_IS_KG;LINE_WEIGHT_KG=0.186;SOURCE_CFG=IA-ST-CFG-0034;SRC_REF=Row 1567, Slot 6;SRC_FILE=Mamul Ambalaj Bileşen Listesi-30.07.2026(3).xlsx</t>
        </is>
      </c>
    </row>
    <row r="171">
      <c r="A171" s="19" t="inlineStr">
        <is>
          <t>170</t>
        </is>
      </c>
      <c r="B171" s="19" t="inlineStr">
        <is>
          <t>23</t>
        </is>
      </c>
      <c r="C171" s="19" t="inlineStr">
        <is>
          <t>7</t>
        </is>
      </c>
      <c r="D171" t="n">
        <v>4</v>
      </c>
      <c r="E171" s="19" t="inlineStr">
        <is>
          <t>18</t>
        </is>
      </c>
      <c r="F171" t="n">
        <v>6</v>
      </c>
      <c r="G171" t="b">
        <v>0</v>
      </c>
      <c r="H171" t="inlineStr">
        <is>
          <t>UOM=ADT;WEIGHT_BASIS=PROCESSED_SOURCE_UNIT_WEIGHT;LINE_WEIGHT_KG=1.08;SOURCE_CFG=IA-ST-CFG-0034;SRC_REF=Row 1567, Slot 8;SRC_FILE=Mamul Ambalaj Bileşen Listesi-30.07.2026(3).xlsx</t>
        </is>
      </c>
    </row>
    <row r="172">
      <c r="A172" s="19" t="inlineStr">
        <is>
          <t>171</t>
        </is>
      </c>
      <c r="B172" s="19" t="inlineStr">
        <is>
          <t>23</t>
        </is>
      </c>
      <c r="C172" s="19" t="inlineStr">
        <is>
          <t>25</t>
        </is>
      </c>
      <c r="D172" t="n">
        <v>4</v>
      </c>
      <c r="E172" s="19" t="inlineStr">
        <is>
          <t>18</t>
        </is>
      </c>
      <c r="F172" t="n">
        <v>7</v>
      </c>
      <c r="G172" t="b">
        <v>0</v>
      </c>
      <c r="H172" t="inlineStr">
        <is>
          <t>UOM=ADT;WEIGHT_BASIS=PROCESSED_SOURCE_UNIT_WEIGHT;LINE_WEIGHT_KG=0.4;SOURCE_CFG=IA-ST-CFG-0034;SRC_REF=Row 1567, Slot 9;SRC_FILE=Mamul Ambalaj Bileşen Listesi-30.07.2026(3).xlsx</t>
        </is>
      </c>
    </row>
    <row r="173">
      <c r="A173" s="19" t="inlineStr">
        <is>
          <t>172</t>
        </is>
      </c>
      <c r="B173" s="19" t="inlineStr">
        <is>
          <t>24</t>
        </is>
      </c>
      <c r="C173" s="19" t="inlineStr">
        <is>
          <t>13</t>
        </is>
      </c>
      <c r="D173" t="n">
        <v>7</v>
      </c>
      <c r="E173" s="19" t="inlineStr">
        <is>
          <t>18</t>
        </is>
      </c>
      <c r="F173" t="n">
        <v>1</v>
      </c>
      <c r="G173" t="b">
        <v>0</v>
      </c>
      <c r="H173" t="inlineStr">
        <is>
          <t>UOM=M;WEIGHT_BASIS=PROCESSED_SOURCE_UNIT_WEIGHT;LINE_WEIGHT_KG=0.0868;SOURCE_CFG=IA-ST-CFG-0043;SRC_REF=Row 1622, Slot 1;SRC_FILE=Mamul Ambalaj Bileşen Listesi-30.07.2026(3).xlsx</t>
        </is>
      </c>
    </row>
    <row r="174">
      <c r="A174" s="19" t="inlineStr">
        <is>
          <t>173</t>
        </is>
      </c>
      <c r="B174" s="19" t="inlineStr">
        <is>
          <t>24</t>
        </is>
      </c>
      <c r="C174" s="19" t="inlineStr">
        <is>
          <t>17</t>
        </is>
      </c>
      <c r="D174" t="n">
        <v>27</v>
      </c>
      <c r="E174" s="19" t="inlineStr">
        <is>
          <t>18</t>
        </is>
      </c>
      <c r="F174" t="n">
        <v>2</v>
      </c>
      <c r="G174" t="b">
        <v>0</v>
      </c>
      <c r="H174" t="inlineStr">
        <is>
          <t>UOM=ADT;WEIGHT_BASIS=SOURCE_UNIT_WEIGHT;LINE_WEIGHT_KG=2.4807599999999996;SOURCE_CFG=IA-ST-CFG-0043;SRC_REF=Row 1622, Slot 2;SRC_FILE=Mamul Ambalaj Bileşen Listesi-30.07.2026(3).xlsx</t>
        </is>
      </c>
    </row>
    <row r="175">
      <c r="A175" s="19" t="inlineStr">
        <is>
          <t>174</t>
        </is>
      </c>
      <c r="B175" s="19" t="inlineStr">
        <is>
          <t>24</t>
        </is>
      </c>
      <c r="C175" s="19" t="inlineStr">
        <is>
          <t>10</t>
        </is>
      </c>
      <c r="D175" t="n">
        <v>1</v>
      </c>
      <c r="E175" s="19" t="inlineStr">
        <is>
          <t>18</t>
        </is>
      </c>
      <c r="F175" t="n">
        <v>3</v>
      </c>
      <c r="G175" t="b">
        <v>0</v>
      </c>
      <c r="H175" t="inlineStr">
        <is>
          <t>UOM=ADT;WEIGHT_BASIS=PROCESSED_SOURCE_UNIT_WEIGHT;LINE_WEIGHT_KG=20.0;SOURCE_CFG=IA-ST-CFG-0043;SRC_REF=Row 1622, Slot 3;SRC_FILE=Mamul Ambalaj Bileşen Listesi-30.07.2026(3).xlsx</t>
        </is>
      </c>
    </row>
    <row r="176">
      <c r="A176" s="19" t="inlineStr">
        <is>
          <t>175</t>
        </is>
      </c>
      <c r="B176" s="19" t="inlineStr">
        <is>
          <t>24</t>
        </is>
      </c>
      <c r="C176" s="19" t="inlineStr">
        <is>
          <t>8</t>
        </is>
      </c>
      <c r="D176" t="n">
        <v>20</v>
      </c>
      <c r="E176" s="19" t="inlineStr">
        <is>
          <t>18</t>
        </is>
      </c>
      <c r="F176" t="n">
        <v>4</v>
      </c>
      <c r="G176" t="b">
        <v>0</v>
      </c>
      <c r="H176" t="inlineStr">
        <is>
          <t>UOM=M;WEIGHT_BASIS=PROCESSED_SOURCE_UNIT_WEIGHT;LINE_WEIGHT_KG=0.3664;SOURCE_CFG=IA-ST-CFG-0043;SRC_REF=Row 1622, Slot 5;SRC_FILE=Mamul Ambalaj Bileşen Listesi-30.07.2026(3).xlsx</t>
        </is>
      </c>
    </row>
    <row r="177">
      <c r="A177" s="19" t="inlineStr">
        <is>
          <t>176</t>
        </is>
      </c>
      <c r="B177" s="19" t="inlineStr">
        <is>
          <t>24</t>
        </is>
      </c>
      <c r="C177" s="19" t="inlineStr">
        <is>
          <t>9</t>
        </is>
      </c>
      <c r="D177" t="n">
        <v>0.186</v>
      </c>
      <c r="E177" s="19" t="inlineStr">
        <is>
          <t>18</t>
        </is>
      </c>
      <c r="F177" t="n">
        <v>5</v>
      </c>
      <c r="G177" t="b">
        <v>0</v>
      </c>
      <c r="H177" t="inlineStr">
        <is>
          <t>UOM=KG;WEIGHT_BASIS=RECIPE_QUANTITY_IS_KG;LINE_WEIGHT_KG=0.186;SOURCE_CFG=IA-ST-CFG-0043;SRC_REF=Row 1622, Slot 6;SRC_FILE=Mamul Ambalaj Bileşen Listesi-30.07.2026(3).xlsx</t>
        </is>
      </c>
    </row>
    <row r="178">
      <c r="A178" s="19" t="inlineStr">
        <is>
          <t>177</t>
        </is>
      </c>
      <c r="B178" s="19" t="inlineStr">
        <is>
          <t>24</t>
        </is>
      </c>
      <c r="C178" s="19" t="inlineStr">
        <is>
          <t>23</t>
        </is>
      </c>
      <c r="D178" t="n">
        <v>1.19</v>
      </c>
      <c r="E178" s="19" t="inlineStr">
        <is>
          <t>18</t>
        </is>
      </c>
      <c r="F178" t="n">
        <v>6</v>
      </c>
      <c r="G178" t="b">
        <v>0</v>
      </c>
      <c r="H178" t="inlineStr">
        <is>
          <t>UOM=KG;WEIGHT_BASIS=RECIPE_QUANTITY_IS_KG;LINE_WEIGHT_KG=1.19;SOURCE_CFG=IA-ST-CFG-0043;SRC_REF=Row 1622, Slot 7;SRC_FILE=Mamul Ambalaj Bileşen Listesi-30.07.2026(3).xlsx</t>
        </is>
      </c>
    </row>
    <row r="179">
      <c r="A179" s="19" t="inlineStr">
        <is>
          <t>178</t>
        </is>
      </c>
      <c r="B179" s="19" t="inlineStr">
        <is>
          <t>24</t>
        </is>
      </c>
      <c r="C179" s="19" t="inlineStr">
        <is>
          <t>7</t>
        </is>
      </c>
      <c r="D179" t="n">
        <v>4</v>
      </c>
      <c r="E179" s="19" t="inlineStr">
        <is>
          <t>18</t>
        </is>
      </c>
      <c r="F179" t="n">
        <v>7</v>
      </c>
      <c r="G179" t="b">
        <v>0</v>
      </c>
      <c r="H179" t="inlineStr">
        <is>
          <t>UOM=ADT;WEIGHT_BASIS=PROCESSED_SOURCE_UNIT_WEIGHT;LINE_WEIGHT_KG=1.08;SOURCE_CFG=IA-ST-CFG-0043;SRC_REF=Row 1622, Slot 8;SRC_FILE=Mamul Ambalaj Bileşen Listesi-30.07.2026(3).xlsx</t>
        </is>
      </c>
    </row>
    <row r="180">
      <c r="A180" s="19" t="inlineStr">
        <is>
          <t>179</t>
        </is>
      </c>
      <c r="B180" s="19" t="inlineStr">
        <is>
          <t>24</t>
        </is>
      </c>
      <c r="C180" s="19" t="inlineStr">
        <is>
          <t>25</t>
        </is>
      </c>
      <c r="D180" t="n">
        <v>2</v>
      </c>
      <c r="E180" s="19" t="inlineStr">
        <is>
          <t>18</t>
        </is>
      </c>
      <c r="F180" t="n">
        <v>8</v>
      </c>
      <c r="G180" t="b">
        <v>0</v>
      </c>
      <c r="H180" t="inlineStr">
        <is>
          <t>UOM=ADT;WEIGHT_BASIS=PROCESSED_SOURCE_UNIT_WEIGHT;LINE_WEIGHT_KG=0.2;SOURCE_CFG=IA-ST-CFG-0043;SRC_REF=Row 1622, Slot 9;SRC_FILE=Mamul Ambalaj Bileşen Listesi-30.07.2026(3).xlsx</t>
        </is>
      </c>
    </row>
    <row r="181">
      <c r="A181" s="19" t="inlineStr">
        <is>
          <t>180</t>
        </is>
      </c>
      <c r="B181" s="19" t="inlineStr">
        <is>
          <t>25</t>
        </is>
      </c>
      <c r="C181" s="19" t="inlineStr">
        <is>
          <t>17</t>
        </is>
      </c>
      <c r="D181" t="n">
        <v>27</v>
      </c>
      <c r="E181" s="19" t="inlineStr">
        <is>
          <t>18</t>
        </is>
      </c>
      <c r="F181" t="n">
        <v>1</v>
      </c>
      <c r="G181" t="b">
        <v>0</v>
      </c>
      <c r="H181" t="inlineStr">
        <is>
          <t>UOM=ADT;WEIGHT_BASIS=SOURCE_UNIT_WEIGHT;LINE_WEIGHT_KG=2.4807599999999996;SOURCE_CFG=IA-ST-CFG-0044;SRC_REF=Row 166, Slot 1;SRC_FILE=Mamul Ambalaj Bileşen Listesi-30.07.2026(3).xlsx</t>
        </is>
      </c>
    </row>
    <row r="182">
      <c r="A182" s="19" t="inlineStr">
        <is>
          <t>181</t>
        </is>
      </c>
      <c r="B182" s="19" t="inlineStr">
        <is>
          <t>25</t>
        </is>
      </c>
      <c r="C182" s="19" t="inlineStr">
        <is>
          <t>10</t>
        </is>
      </c>
      <c r="D182" t="n">
        <v>1</v>
      </c>
      <c r="E182" s="19" t="inlineStr">
        <is>
          <t>18</t>
        </is>
      </c>
      <c r="F182" t="n">
        <v>2</v>
      </c>
      <c r="G182" t="b">
        <v>0</v>
      </c>
      <c r="H182" t="inlineStr">
        <is>
          <t>UOM=ADT;WEIGHT_BASIS=PROCESSED_SOURCE_UNIT_WEIGHT;LINE_WEIGHT_KG=20.0;SOURCE_CFG=IA-ST-CFG-0044;SRC_REF=Row 166, Slot 3;SRC_FILE=Mamul Ambalaj Bileşen Listesi-30.07.2026(3).xlsx</t>
        </is>
      </c>
    </row>
    <row r="183">
      <c r="A183" s="19" t="inlineStr">
        <is>
          <t>182</t>
        </is>
      </c>
      <c r="B183" s="19" t="inlineStr">
        <is>
          <t>25</t>
        </is>
      </c>
      <c r="C183" s="19" t="inlineStr">
        <is>
          <t>8</t>
        </is>
      </c>
      <c r="D183" t="n">
        <v>20</v>
      </c>
      <c r="E183" s="19" t="inlineStr">
        <is>
          <t>18</t>
        </is>
      </c>
      <c r="F183" t="n">
        <v>3</v>
      </c>
      <c r="G183" t="b">
        <v>0</v>
      </c>
      <c r="H183" t="inlineStr">
        <is>
          <t>UOM=M;WEIGHT_BASIS=PROCESSED_SOURCE_UNIT_WEIGHT;LINE_WEIGHT_KG=0.3664;SOURCE_CFG=IA-ST-CFG-0044;SRC_REF=Row 166, Slot 5;SRC_FILE=Mamul Ambalaj Bileşen Listesi-30.07.2026(3).xlsx</t>
        </is>
      </c>
    </row>
    <row r="184">
      <c r="A184" s="19" t="inlineStr">
        <is>
          <t>183</t>
        </is>
      </c>
      <c r="B184" s="19" t="inlineStr">
        <is>
          <t>25</t>
        </is>
      </c>
      <c r="C184" s="19" t="inlineStr">
        <is>
          <t>9</t>
        </is>
      </c>
      <c r="D184" t="n">
        <v>0.186</v>
      </c>
      <c r="E184" s="19" t="inlineStr">
        <is>
          <t>18</t>
        </is>
      </c>
      <c r="F184" t="n">
        <v>4</v>
      </c>
      <c r="G184" t="b">
        <v>0</v>
      </c>
      <c r="H184" t="inlineStr">
        <is>
          <t>UOM=KG;WEIGHT_BASIS=RECIPE_QUANTITY_IS_KG;LINE_WEIGHT_KG=0.186;SOURCE_CFG=IA-ST-CFG-0044;SRC_REF=Row 166, Slot 6;SRC_FILE=Mamul Ambalaj Bileşen Listesi-30.07.2026(3).xlsx</t>
        </is>
      </c>
    </row>
    <row r="185">
      <c r="A185" s="19" t="inlineStr">
        <is>
          <t>184</t>
        </is>
      </c>
      <c r="B185" s="19" t="inlineStr">
        <is>
          <t>25</t>
        </is>
      </c>
      <c r="C185" s="19" t="inlineStr">
        <is>
          <t>23</t>
        </is>
      </c>
      <c r="D185" t="n">
        <v>1.19</v>
      </c>
      <c r="E185" s="19" t="inlineStr">
        <is>
          <t>18</t>
        </is>
      </c>
      <c r="F185" t="n">
        <v>5</v>
      </c>
      <c r="G185" t="b">
        <v>0</v>
      </c>
      <c r="H185" t="inlineStr">
        <is>
          <t>UOM=KG;WEIGHT_BASIS=RECIPE_QUANTITY_IS_KG;LINE_WEIGHT_KG=1.19;SOURCE_CFG=IA-ST-CFG-0044;SRC_REF=Row 166, Slot 7;SRC_FILE=Mamul Ambalaj Bileşen Listesi-30.07.2026(3).xlsx</t>
        </is>
      </c>
    </row>
    <row r="186">
      <c r="A186" s="19" t="inlineStr">
        <is>
          <t>185</t>
        </is>
      </c>
      <c r="B186" s="19" t="inlineStr">
        <is>
          <t>25</t>
        </is>
      </c>
      <c r="C186" s="19" t="inlineStr">
        <is>
          <t>7</t>
        </is>
      </c>
      <c r="D186" t="n">
        <v>4</v>
      </c>
      <c r="E186" s="19" t="inlineStr">
        <is>
          <t>18</t>
        </is>
      </c>
      <c r="F186" t="n">
        <v>6</v>
      </c>
      <c r="G186" t="b">
        <v>0</v>
      </c>
      <c r="H186" t="inlineStr">
        <is>
          <t>UOM=ADT;WEIGHT_BASIS=PROCESSED_SOURCE_UNIT_WEIGHT;LINE_WEIGHT_KG=1.08;SOURCE_CFG=IA-ST-CFG-0044;SRC_REF=Row 166, Slot 8;SRC_FILE=Mamul Ambalaj Bileşen Listesi-30.07.2026(3).xlsx</t>
        </is>
      </c>
    </row>
    <row r="187">
      <c r="A187" s="19" t="inlineStr">
        <is>
          <t>186</t>
        </is>
      </c>
      <c r="B187" s="19" t="inlineStr">
        <is>
          <t>25</t>
        </is>
      </c>
      <c r="C187" s="19" t="inlineStr">
        <is>
          <t>25</t>
        </is>
      </c>
      <c r="D187" t="n">
        <v>2</v>
      </c>
      <c r="E187" s="19" t="inlineStr">
        <is>
          <t>18</t>
        </is>
      </c>
      <c r="F187" t="n">
        <v>7</v>
      </c>
      <c r="G187" t="b">
        <v>0</v>
      </c>
      <c r="H187" t="inlineStr">
        <is>
          <t>UOM=ADT;WEIGHT_BASIS=PROCESSED_SOURCE_UNIT_WEIGHT;LINE_WEIGHT_KG=0.2;SOURCE_CFG=IA-ST-CFG-0044;SRC_REF=Row 166, Slot 9;SRC_FILE=Mamul Ambalaj Bileşen Listesi-30.07.2026(3).xlsx</t>
        </is>
      </c>
    </row>
    <row r="188">
      <c r="A188" s="19" t="inlineStr">
        <is>
          <t>187</t>
        </is>
      </c>
      <c r="B188" s="19" t="inlineStr">
        <is>
          <t>26</t>
        </is>
      </c>
      <c r="C188" s="19" t="inlineStr">
        <is>
          <t>13</t>
        </is>
      </c>
      <c r="D188" t="n">
        <v>14</v>
      </c>
      <c r="E188" s="19" t="inlineStr">
        <is>
          <t>18</t>
        </is>
      </c>
      <c r="F188" t="n">
        <v>1</v>
      </c>
      <c r="G188" t="b">
        <v>0</v>
      </c>
      <c r="H188" t="inlineStr">
        <is>
          <t>UOM=M;WEIGHT_BASIS=PROCESSED_SOURCE_UNIT_WEIGHT;LINE_WEIGHT_KG=0.1736;SOURCE_CFG=IA-ST-CFG-0045;SRC_REF=Row 1303, Slot 1;SRC_FILE=Mamul Ambalaj Bileşen Listesi-30.07.2026(3).xlsx</t>
        </is>
      </c>
    </row>
    <row r="189">
      <c r="A189" s="19" t="inlineStr">
        <is>
          <t>188</t>
        </is>
      </c>
      <c r="B189" s="19" t="inlineStr">
        <is>
          <t>26</t>
        </is>
      </c>
      <c r="C189" s="19" t="inlineStr">
        <is>
          <t>5</t>
        </is>
      </c>
      <c r="D189" t="n">
        <v>1</v>
      </c>
      <c r="E189" s="19" t="inlineStr">
        <is>
          <t>18</t>
        </is>
      </c>
      <c r="F189" t="n">
        <v>2</v>
      </c>
      <c r="G189" t="b">
        <v>0</v>
      </c>
      <c r="H189" t="inlineStr">
        <is>
          <t>UOM=ADT;WEIGHT_BASIS=PROCESSED_SOURCE_UNIT_WEIGHT;LINE_WEIGHT_KG=26.0;SOURCE_CFG=IA-ST-CFG-0045;SRC_REF=Row 1303, Slot 3;SRC_FILE=Mamul Ambalaj Bileşen Listesi-30.07.2026(3).xlsx</t>
        </is>
      </c>
    </row>
    <row r="190">
      <c r="A190" s="19" t="inlineStr">
        <is>
          <t>189</t>
        </is>
      </c>
      <c r="B190" s="19" t="inlineStr">
        <is>
          <t>26</t>
        </is>
      </c>
      <c r="C190" s="19" t="inlineStr">
        <is>
          <t>8</t>
        </is>
      </c>
      <c r="D190" t="n">
        <v>20</v>
      </c>
      <c r="E190" s="19" t="inlineStr">
        <is>
          <t>18</t>
        </is>
      </c>
      <c r="F190" t="n">
        <v>3</v>
      </c>
      <c r="G190" t="b">
        <v>0</v>
      </c>
      <c r="H190" t="inlineStr">
        <is>
          <t>UOM=M;WEIGHT_BASIS=PROCESSED_SOURCE_UNIT_WEIGHT;LINE_WEIGHT_KG=0.3664;SOURCE_CFG=IA-ST-CFG-0045;SRC_REF=Row 1303, Slot 5;SRC_FILE=Mamul Ambalaj Bileşen Listesi-30.07.2026(3).xlsx</t>
        </is>
      </c>
    </row>
    <row r="191">
      <c r="A191" s="19" t="inlineStr">
        <is>
          <t>190</t>
        </is>
      </c>
      <c r="B191" s="19" t="inlineStr">
        <is>
          <t>26</t>
        </is>
      </c>
      <c r="C191" s="19" t="inlineStr">
        <is>
          <t>9</t>
        </is>
      </c>
      <c r="D191" t="n">
        <v>0.186</v>
      </c>
      <c r="E191" s="19" t="inlineStr">
        <is>
          <t>18</t>
        </is>
      </c>
      <c r="F191" t="n">
        <v>4</v>
      </c>
      <c r="G191" t="b">
        <v>0</v>
      </c>
      <c r="H191" t="inlineStr">
        <is>
          <t>UOM=KG;WEIGHT_BASIS=RECIPE_QUANTITY_IS_KG;LINE_WEIGHT_KG=0.186;SOURCE_CFG=IA-ST-CFG-0045;SRC_REF=Row 1303, Slot 6;SRC_FILE=Mamul Ambalaj Bileşen Listesi-30.07.2026(3).xlsx</t>
        </is>
      </c>
    </row>
    <row r="192">
      <c r="A192" s="19" t="inlineStr">
        <is>
          <t>191</t>
        </is>
      </c>
      <c r="B192" s="19" t="inlineStr">
        <is>
          <t>26</t>
        </is>
      </c>
      <c r="C192" s="19" t="inlineStr">
        <is>
          <t>29</t>
        </is>
      </c>
      <c r="D192" t="n">
        <v>1.12</v>
      </c>
      <c r="E192" s="19" t="inlineStr">
        <is>
          <t>18</t>
        </is>
      </c>
      <c r="F192" t="n">
        <v>5</v>
      </c>
      <c r="G192" t="b">
        <v>0</v>
      </c>
      <c r="H192" t="inlineStr">
        <is>
          <t>UOM=KG;WEIGHT_BASIS=RECIPE_QUANTITY_IS_KG;LINE_WEIGHT_KG=1.12;SOURCE_CFG=IA-ST-CFG-0045;SRC_REF=Row 1303, Slot 7;SRC_FILE=Mamul Ambalaj Bileşen Listesi-30.07.2026(3).xlsx</t>
        </is>
      </c>
    </row>
    <row r="193">
      <c r="A193" s="19" t="inlineStr">
        <is>
          <t>192</t>
        </is>
      </c>
      <c r="B193" s="19" t="inlineStr">
        <is>
          <t>26</t>
        </is>
      </c>
      <c r="C193" s="19" t="inlineStr">
        <is>
          <t>7</t>
        </is>
      </c>
      <c r="D193" t="n">
        <v>3</v>
      </c>
      <c r="E193" s="19" t="inlineStr">
        <is>
          <t>18</t>
        </is>
      </c>
      <c r="F193" t="n">
        <v>6</v>
      </c>
      <c r="G193" t="b">
        <v>0</v>
      </c>
      <c r="H193" t="inlineStr">
        <is>
          <t>UOM=ADT;WEIGHT_BASIS=PROCESSED_SOURCE_UNIT_WEIGHT;LINE_WEIGHT_KG=0.81;SOURCE_CFG=IA-ST-CFG-0045;SRC_REF=Row 1303, Slot 8;SRC_FILE=Mamul Ambalaj Bileşen Listesi-30.07.2026(3).xlsx</t>
        </is>
      </c>
    </row>
    <row r="194">
      <c r="A194" s="19" t="inlineStr">
        <is>
          <t>193</t>
        </is>
      </c>
      <c r="B194" s="19" t="inlineStr">
        <is>
          <t>26</t>
        </is>
      </c>
      <c r="C194" s="19" t="inlineStr">
        <is>
          <t>25</t>
        </is>
      </c>
      <c r="D194" t="n">
        <v>4</v>
      </c>
      <c r="E194" s="19" t="inlineStr">
        <is>
          <t>18</t>
        </is>
      </c>
      <c r="F194" t="n">
        <v>7</v>
      </c>
      <c r="G194" t="b">
        <v>0</v>
      </c>
      <c r="H194" t="inlineStr">
        <is>
          <t>UOM=ADT;WEIGHT_BASIS=PROCESSED_SOURCE_UNIT_WEIGHT;LINE_WEIGHT_KG=0.4;SOURCE_CFG=IA-ST-CFG-0045;SRC_REF=Row 1303, Slot 9;SRC_FILE=Mamul Ambalaj Bileşen Listesi-30.07.2026(3).xlsx</t>
        </is>
      </c>
    </row>
    <row r="195">
      <c r="A195" s="19" t="inlineStr">
        <is>
          <t>194</t>
        </is>
      </c>
      <c r="B195" s="19" t="inlineStr">
        <is>
          <t>27</t>
        </is>
      </c>
      <c r="C195" s="19" t="inlineStr">
        <is>
          <t>13</t>
        </is>
      </c>
      <c r="D195" t="n">
        <v>14</v>
      </c>
      <c r="E195" s="19" t="inlineStr">
        <is>
          <t>18</t>
        </is>
      </c>
      <c r="F195" t="n">
        <v>1</v>
      </c>
      <c r="G195" t="b">
        <v>0</v>
      </c>
      <c r="H195" t="inlineStr">
        <is>
          <t>UOM=M;WEIGHT_BASIS=PROCESSED_SOURCE_UNIT_WEIGHT;LINE_WEIGHT_KG=0.1736;SOURCE_CFG=IA-ST-CFG-0046;SRC_REF=Row 1302, Slot 1;SRC_FILE=Mamul Ambalaj Bileşen Listesi-30.07.2026(3).xlsx</t>
        </is>
      </c>
    </row>
    <row r="196">
      <c r="A196" s="19" t="inlineStr">
        <is>
          <t>195</t>
        </is>
      </c>
      <c r="B196" s="19" t="inlineStr">
        <is>
          <t>27</t>
        </is>
      </c>
      <c r="C196" s="19" t="inlineStr">
        <is>
          <t>5</t>
        </is>
      </c>
      <c r="D196" t="n">
        <v>1</v>
      </c>
      <c r="E196" s="19" t="inlineStr">
        <is>
          <t>18</t>
        </is>
      </c>
      <c r="F196" t="n">
        <v>2</v>
      </c>
      <c r="G196" t="b">
        <v>0</v>
      </c>
      <c r="H196" t="inlineStr">
        <is>
          <t>UOM=ADT;WEIGHT_BASIS=PROCESSED_SOURCE_UNIT_WEIGHT;LINE_WEIGHT_KG=26.0;SOURCE_CFG=IA-ST-CFG-0046;SRC_REF=Row 1302, Slot 3;SRC_FILE=Mamul Ambalaj Bileşen Listesi-30.07.2026(3).xlsx</t>
        </is>
      </c>
    </row>
    <row r="197">
      <c r="A197" s="19" t="inlineStr">
        <is>
          <t>196</t>
        </is>
      </c>
      <c r="B197" s="19" t="inlineStr">
        <is>
          <t>27</t>
        </is>
      </c>
      <c r="C197" s="19" t="inlineStr">
        <is>
          <t>8</t>
        </is>
      </c>
      <c r="D197" t="n">
        <v>20</v>
      </c>
      <c r="E197" s="19" t="inlineStr">
        <is>
          <t>18</t>
        </is>
      </c>
      <c r="F197" t="n">
        <v>3</v>
      </c>
      <c r="G197" t="b">
        <v>0</v>
      </c>
      <c r="H197" t="inlineStr">
        <is>
          <t>UOM=M;WEIGHT_BASIS=PROCESSED_SOURCE_UNIT_WEIGHT;LINE_WEIGHT_KG=0.3664;SOURCE_CFG=IA-ST-CFG-0046;SRC_REF=Row 1302, Slot 5;SRC_FILE=Mamul Ambalaj Bileşen Listesi-30.07.2026(3).xlsx</t>
        </is>
      </c>
    </row>
    <row r="198">
      <c r="A198" s="19" t="inlineStr">
        <is>
          <t>197</t>
        </is>
      </c>
      <c r="B198" s="19" t="inlineStr">
        <is>
          <t>27</t>
        </is>
      </c>
      <c r="C198" s="19" t="inlineStr">
        <is>
          <t>9</t>
        </is>
      </c>
      <c r="D198" t="n">
        <v>0.186</v>
      </c>
      <c r="E198" s="19" t="inlineStr">
        <is>
          <t>18</t>
        </is>
      </c>
      <c r="F198" t="n">
        <v>4</v>
      </c>
      <c r="G198" t="b">
        <v>0</v>
      </c>
      <c r="H198" t="inlineStr">
        <is>
          <t>UOM=KG;WEIGHT_BASIS=RECIPE_QUANTITY_IS_KG;LINE_WEIGHT_KG=0.186;SOURCE_CFG=IA-ST-CFG-0046;SRC_REF=Row 1302, Slot 6;SRC_FILE=Mamul Ambalaj Bileşen Listesi-30.07.2026(3).xlsx</t>
        </is>
      </c>
    </row>
    <row r="199">
      <c r="A199" s="19" t="inlineStr">
        <is>
          <t>198</t>
        </is>
      </c>
      <c r="B199" s="19" t="inlineStr">
        <is>
          <t>27</t>
        </is>
      </c>
      <c r="C199" s="19" t="inlineStr">
        <is>
          <t>29</t>
        </is>
      </c>
      <c r="D199" t="n">
        <v>1.2</v>
      </c>
      <c r="E199" s="19" t="inlineStr">
        <is>
          <t>18</t>
        </is>
      </c>
      <c r="F199" t="n">
        <v>5</v>
      </c>
      <c r="G199" t="b">
        <v>0</v>
      </c>
      <c r="H199" t="inlineStr">
        <is>
          <t>UOM=KG;WEIGHT_BASIS=RECIPE_QUANTITY_IS_KG;LINE_WEIGHT_KG=1.2;SOURCE_CFG=IA-ST-CFG-0046;SRC_REF=Row 1302, Slot 7;SRC_FILE=Mamul Ambalaj Bileşen Listesi-30.07.2026(3).xlsx</t>
        </is>
      </c>
    </row>
    <row r="200">
      <c r="A200" s="19" t="inlineStr">
        <is>
          <t>199</t>
        </is>
      </c>
      <c r="B200" s="19" t="inlineStr">
        <is>
          <t>27</t>
        </is>
      </c>
      <c r="C200" s="19" t="inlineStr">
        <is>
          <t>7</t>
        </is>
      </c>
      <c r="D200" t="n">
        <v>3</v>
      </c>
      <c r="E200" s="19" t="inlineStr">
        <is>
          <t>18</t>
        </is>
      </c>
      <c r="F200" t="n">
        <v>6</v>
      </c>
      <c r="G200" t="b">
        <v>0</v>
      </c>
      <c r="H200" t="inlineStr">
        <is>
          <t>UOM=ADT;WEIGHT_BASIS=PROCESSED_SOURCE_UNIT_WEIGHT;LINE_WEIGHT_KG=0.81;SOURCE_CFG=IA-ST-CFG-0046;SRC_REF=Row 1302, Slot 8;SRC_FILE=Mamul Ambalaj Bileşen Listesi-30.07.2026(3).xlsx</t>
        </is>
      </c>
    </row>
    <row r="201">
      <c r="A201" s="19" t="inlineStr">
        <is>
          <t>200</t>
        </is>
      </c>
      <c r="B201" s="19" t="inlineStr">
        <is>
          <t>27</t>
        </is>
      </c>
      <c r="C201" s="19" t="inlineStr">
        <is>
          <t>25</t>
        </is>
      </c>
      <c r="D201" t="n">
        <v>4</v>
      </c>
      <c r="E201" s="19" t="inlineStr">
        <is>
          <t>18</t>
        </is>
      </c>
      <c r="F201" t="n">
        <v>7</v>
      </c>
      <c r="G201" t="b">
        <v>0</v>
      </c>
      <c r="H201" t="inlineStr">
        <is>
          <t>UOM=ADT;WEIGHT_BASIS=PROCESSED_SOURCE_UNIT_WEIGHT;LINE_WEIGHT_KG=0.4;SOURCE_CFG=IA-ST-CFG-0046;SRC_REF=Row 1302, Slot 9;SRC_FILE=Mamul Ambalaj Bileşen Listesi-30.07.2026(3).xlsx</t>
        </is>
      </c>
    </row>
    <row r="202">
      <c r="A202" s="19" t="inlineStr">
        <is>
          <t>201</t>
        </is>
      </c>
      <c r="B202" s="19" t="inlineStr">
        <is>
          <t>28</t>
        </is>
      </c>
      <c r="C202" s="19" t="inlineStr">
        <is>
          <t>13</t>
        </is>
      </c>
      <c r="D202" t="n">
        <v>14</v>
      </c>
      <c r="E202" s="19" t="inlineStr">
        <is>
          <t>18</t>
        </is>
      </c>
      <c r="F202" t="n">
        <v>1</v>
      </c>
      <c r="G202" t="b">
        <v>0</v>
      </c>
      <c r="H202" t="inlineStr">
        <is>
          <t>UOM=M;WEIGHT_BASIS=PROCESSED_SOURCE_UNIT_WEIGHT;LINE_WEIGHT_KG=0.1736;SOURCE_CFG=IA-ST-CFG-0047;SRC_REF=Row 1331, Slot 1;SRC_FILE=Mamul Ambalaj Bileşen Listesi-30.07.2026(3).xlsx</t>
        </is>
      </c>
    </row>
    <row r="203">
      <c r="A203" s="19" t="inlineStr">
        <is>
          <t>202</t>
        </is>
      </c>
      <c r="B203" s="19" t="inlineStr">
        <is>
          <t>28</t>
        </is>
      </c>
      <c r="C203" s="19" t="inlineStr">
        <is>
          <t>71</t>
        </is>
      </c>
      <c r="D203" t="n">
        <v>30</v>
      </c>
      <c r="E203" s="19" t="inlineStr">
        <is>
          <t>18</t>
        </is>
      </c>
      <c r="F203" t="n">
        <v>2</v>
      </c>
      <c r="G203" t="b">
        <v>0</v>
      </c>
      <c r="H203" t="inlineStr">
        <is>
          <t>UOM=ADT;WEIGHT_BASIS=PROCESSED_SOURCE_UNIT_WEIGHT;LINE_WEIGHT_KG=2.13;SOURCE_CFG=IA-ST-CFG-0047;SRC_REF=Row 1331, Slot 2;SRC_FILE=Mamul Ambalaj Bileşen Listesi-30.07.2026(3).xlsx</t>
        </is>
      </c>
    </row>
    <row r="204">
      <c r="A204" s="19" t="inlineStr">
        <is>
          <t>203</t>
        </is>
      </c>
      <c r="B204" s="19" t="inlineStr">
        <is>
          <t>28</t>
        </is>
      </c>
      <c r="C204" s="19" t="inlineStr">
        <is>
          <t>5</t>
        </is>
      </c>
      <c r="D204" t="n">
        <v>1</v>
      </c>
      <c r="E204" s="19" t="inlineStr">
        <is>
          <t>18</t>
        </is>
      </c>
      <c r="F204" t="n">
        <v>3</v>
      </c>
      <c r="G204" t="b">
        <v>0</v>
      </c>
      <c r="H204" t="inlineStr">
        <is>
          <t>UOM=ADT;WEIGHT_BASIS=PROCESSED_SOURCE_UNIT_WEIGHT;LINE_WEIGHT_KG=26.0;SOURCE_CFG=IA-ST-CFG-0047;SRC_REF=Row 1331, Slot 3;SRC_FILE=Mamul Ambalaj Bileşen Listesi-30.07.2026(3).xlsx</t>
        </is>
      </c>
    </row>
    <row r="205">
      <c r="A205" s="19" t="inlineStr">
        <is>
          <t>204</t>
        </is>
      </c>
      <c r="B205" s="19" t="inlineStr">
        <is>
          <t>28</t>
        </is>
      </c>
      <c r="C205" s="19" t="inlineStr">
        <is>
          <t>8</t>
        </is>
      </c>
      <c r="D205" t="n">
        <v>20</v>
      </c>
      <c r="E205" s="19" t="inlineStr">
        <is>
          <t>18</t>
        </is>
      </c>
      <c r="F205" t="n">
        <v>4</v>
      </c>
      <c r="G205" t="b">
        <v>0</v>
      </c>
      <c r="H205" t="inlineStr">
        <is>
          <t>UOM=M;WEIGHT_BASIS=PROCESSED_SOURCE_UNIT_WEIGHT;LINE_WEIGHT_KG=0.3664;SOURCE_CFG=IA-ST-CFG-0047;SRC_REF=Row 1331, Slot 5;SRC_FILE=Mamul Ambalaj Bileşen Listesi-30.07.2026(3).xlsx</t>
        </is>
      </c>
    </row>
    <row r="206">
      <c r="A206" s="19" t="inlineStr">
        <is>
          <t>205</t>
        </is>
      </c>
      <c r="B206" s="19" t="inlineStr">
        <is>
          <t>28</t>
        </is>
      </c>
      <c r="C206" s="19" t="inlineStr">
        <is>
          <t>9</t>
        </is>
      </c>
      <c r="D206" t="n">
        <v>0.186</v>
      </c>
      <c r="E206" s="19" t="inlineStr">
        <is>
          <t>18</t>
        </is>
      </c>
      <c r="F206" t="n">
        <v>5</v>
      </c>
      <c r="G206" t="b">
        <v>0</v>
      </c>
      <c r="H206" t="inlineStr">
        <is>
          <t>UOM=KG;WEIGHT_BASIS=RECIPE_QUANTITY_IS_KG;LINE_WEIGHT_KG=0.186;SOURCE_CFG=IA-ST-CFG-0047;SRC_REF=Row 1331, Slot 6;SRC_FILE=Mamul Ambalaj Bileşen Listesi-30.07.2026(3).xlsx</t>
        </is>
      </c>
    </row>
    <row r="207">
      <c r="A207" s="19" t="inlineStr">
        <is>
          <t>206</t>
        </is>
      </c>
      <c r="B207" s="19" t="inlineStr">
        <is>
          <t>28</t>
        </is>
      </c>
      <c r="C207" s="19" t="inlineStr">
        <is>
          <t>22</t>
        </is>
      </c>
      <c r="D207" t="n">
        <v>1.65</v>
      </c>
      <c r="E207" s="19" t="inlineStr">
        <is>
          <t>18</t>
        </is>
      </c>
      <c r="F207" t="n">
        <v>6</v>
      </c>
      <c r="G207" t="b">
        <v>0</v>
      </c>
      <c r="H207" t="inlineStr">
        <is>
          <t>UOM=KG;WEIGHT_BASIS=RECIPE_QUANTITY_IS_KG;LINE_WEIGHT_KG=1.65;SOURCE_CFG=IA-ST-CFG-0047;SRC_REF=Row 1331, Slot 7;SRC_FILE=Mamul Ambalaj Bileşen Listesi-30.07.2026(3).xlsx</t>
        </is>
      </c>
    </row>
    <row r="208">
      <c r="A208" s="19" t="inlineStr">
        <is>
          <t>207</t>
        </is>
      </c>
      <c r="B208" s="19" t="inlineStr">
        <is>
          <t>28</t>
        </is>
      </c>
      <c r="C208" s="19" t="inlineStr">
        <is>
          <t>7</t>
        </is>
      </c>
      <c r="D208" t="n">
        <v>4</v>
      </c>
      <c r="E208" s="19" t="inlineStr">
        <is>
          <t>18</t>
        </is>
      </c>
      <c r="F208" t="n">
        <v>7</v>
      </c>
      <c r="G208" t="b">
        <v>0</v>
      </c>
      <c r="H208" t="inlineStr">
        <is>
          <t>UOM=ADT;WEIGHT_BASIS=PROCESSED_SOURCE_UNIT_WEIGHT;LINE_WEIGHT_KG=1.08;SOURCE_CFG=IA-ST-CFG-0047;SRC_REF=Row 1331, Slot 8;SRC_FILE=Mamul Ambalaj Bileşen Listesi-30.07.2026(3).xlsx</t>
        </is>
      </c>
    </row>
    <row r="209">
      <c r="A209" s="19" t="inlineStr">
        <is>
          <t>208</t>
        </is>
      </c>
      <c r="B209" s="19" t="inlineStr">
        <is>
          <t>28</t>
        </is>
      </c>
      <c r="C209" s="19" t="inlineStr">
        <is>
          <t>25</t>
        </is>
      </c>
      <c r="D209" t="n">
        <v>4</v>
      </c>
      <c r="E209" s="19" t="inlineStr">
        <is>
          <t>18</t>
        </is>
      </c>
      <c r="F209" t="n">
        <v>8</v>
      </c>
      <c r="G209" t="b">
        <v>0</v>
      </c>
      <c r="H209" t="inlineStr">
        <is>
          <t>UOM=ADT;WEIGHT_BASIS=PROCESSED_SOURCE_UNIT_WEIGHT;LINE_WEIGHT_KG=0.4;SOURCE_CFG=IA-ST-CFG-0047;SRC_REF=Row 1331, Slot 9;SRC_FILE=Mamul Ambalaj Bileşen Listesi-30.07.2026(3).xlsx</t>
        </is>
      </c>
    </row>
    <row r="210">
      <c r="A210" s="19" t="inlineStr">
        <is>
          <t>209</t>
        </is>
      </c>
      <c r="B210" s="19" t="inlineStr">
        <is>
          <t>29</t>
        </is>
      </c>
      <c r="C210" s="19" t="inlineStr">
        <is>
          <t>13</t>
        </is>
      </c>
      <c r="D210" t="n">
        <v>14</v>
      </c>
      <c r="E210" s="19" t="inlineStr">
        <is>
          <t>18</t>
        </is>
      </c>
      <c r="F210" t="n">
        <v>1</v>
      </c>
      <c r="G210" t="b">
        <v>0</v>
      </c>
      <c r="H210" t="inlineStr">
        <is>
          <t>UOM=M;WEIGHT_BASIS=PROCESSED_SOURCE_UNIT_WEIGHT;LINE_WEIGHT_KG=0.1736;SOURCE_CFG=IA-ST-CFG-0048;SRC_REF=Row 1332, Slot 1;SRC_FILE=Mamul Ambalaj Bileşen Listesi-30.07.2026(3).xlsx</t>
        </is>
      </c>
    </row>
    <row r="211">
      <c r="A211" s="19" t="inlineStr">
        <is>
          <t>210</t>
        </is>
      </c>
      <c r="B211" s="19" t="inlineStr">
        <is>
          <t>29</t>
        </is>
      </c>
      <c r="C211" s="19" t="inlineStr">
        <is>
          <t>75</t>
        </is>
      </c>
      <c r="D211" t="n">
        <v>30</v>
      </c>
      <c r="E211" s="19" t="inlineStr">
        <is>
          <t>18</t>
        </is>
      </c>
      <c r="F211" t="n">
        <v>2</v>
      </c>
      <c r="G211" t="b">
        <v>0</v>
      </c>
      <c r="H211" t="inlineStr">
        <is>
          <t>UOM=ADT;WEIGHT_BASIS=PROCESSED_SOURCE_UNIT_WEIGHT;LINE_WEIGHT_KG=2.82;SOURCE_CFG=IA-ST-CFG-0048;SRC_REF=Row 1332, Slot 2;SRC_FILE=Mamul Ambalaj Bileşen Listesi-30.07.2026(3).xlsx</t>
        </is>
      </c>
    </row>
    <row r="212">
      <c r="A212" s="19" t="inlineStr">
        <is>
          <t>211</t>
        </is>
      </c>
      <c r="B212" s="19" t="inlineStr">
        <is>
          <t>29</t>
        </is>
      </c>
      <c r="C212" s="19" t="inlineStr">
        <is>
          <t>5</t>
        </is>
      </c>
      <c r="D212" t="n">
        <v>1</v>
      </c>
      <c r="E212" s="19" t="inlineStr">
        <is>
          <t>18</t>
        </is>
      </c>
      <c r="F212" t="n">
        <v>3</v>
      </c>
      <c r="G212" t="b">
        <v>0</v>
      </c>
      <c r="H212" t="inlineStr">
        <is>
          <t>UOM=ADT;WEIGHT_BASIS=PROCESSED_SOURCE_UNIT_WEIGHT;LINE_WEIGHT_KG=26.0;SOURCE_CFG=IA-ST-CFG-0048;SRC_REF=Row 1332, Slot 3;SRC_FILE=Mamul Ambalaj Bileşen Listesi-30.07.2026(3).xlsx</t>
        </is>
      </c>
    </row>
    <row r="213">
      <c r="A213" s="19" t="inlineStr">
        <is>
          <t>212</t>
        </is>
      </c>
      <c r="B213" s="19" t="inlineStr">
        <is>
          <t>29</t>
        </is>
      </c>
      <c r="C213" s="19" t="inlineStr">
        <is>
          <t>8</t>
        </is>
      </c>
      <c r="D213" t="n">
        <v>20</v>
      </c>
      <c r="E213" s="19" t="inlineStr">
        <is>
          <t>18</t>
        </is>
      </c>
      <c r="F213" t="n">
        <v>4</v>
      </c>
      <c r="G213" t="b">
        <v>0</v>
      </c>
      <c r="H213" t="inlineStr">
        <is>
          <t>UOM=M;WEIGHT_BASIS=PROCESSED_SOURCE_UNIT_WEIGHT;LINE_WEIGHT_KG=0.3664;SOURCE_CFG=IA-ST-CFG-0048;SRC_REF=Row 1332, Slot 5;SRC_FILE=Mamul Ambalaj Bileşen Listesi-30.07.2026(3).xlsx</t>
        </is>
      </c>
    </row>
    <row r="214">
      <c r="A214" s="19" t="inlineStr">
        <is>
          <t>213</t>
        </is>
      </c>
      <c r="B214" s="19" t="inlineStr">
        <is>
          <t>29</t>
        </is>
      </c>
      <c r="C214" s="19" t="inlineStr">
        <is>
          <t>9</t>
        </is>
      </c>
      <c r="D214" t="n">
        <v>0.186</v>
      </c>
      <c r="E214" s="19" t="inlineStr">
        <is>
          <t>18</t>
        </is>
      </c>
      <c r="F214" t="n">
        <v>5</v>
      </c>
      <c r="G214" t="b">
        <v>0</v>
      </c>
      <c r="H214" t="inlineStr">
        <is>
          <t>UOM=KG;WEIGHT_BASIS=RECIPE_QUANTITY_IS_KG;LINE_WEIGHT_KG=0.186;SOURCE_CFG=IA-ST-CFG-0048;SRC_REF=Row 1332, Slot 6;SRC_FILE=Mamul Ambalaj Bileşen Listesi-30.07.2026(3).xlsx</t>
        </is>
      </c>
    </row>
    <row r="215">
      <c r="A215" s="19" t="inlineStr">
        <is>
          <t>214</t>
        </is>
      </c>
      <c r="B215" s="19" t="inlineStr">
        <is>
          <t>29</t>
        </is>
      </c>
      <c r="C215" s="19" t="inlineStr">
        <is>
          <t>22</t>
        </is>
      </c>
      <c r="D215" t="n">
        <v>1.65</v>
      </c>
      <c r="E215" s="19" t="inlineStr">
        <is>
          <t>18</t>
        </is>
      </c>
      <c r="F215" t="n">
        <v>6</v>
      </c>
      <c r="G215" t="b">
        <v>0</v>
      </c>
      <c r="H215" t="inlineStr">
        <is>
          <t>UOM=KG;WEIGHT_BASIS=RECIPE_QUANTITY_IS_KG;LINE_WEIGHT_KG=1.65;SOURCE_CFG=IA-ST-CFG-0048;SRC_REF=Row 1332, Slot 7;SRC_FILE=Mamul Ambalaj Bileşen Listesi-30.07.2026(3).xlsx</t>
        </is>
      </c>
    </row>
    <row r="216">
      <c r="A216" s="19" t="inlineStr">
        <is>
          <t>215</t>
        </is>
      </c>
      <c r="B216" s="19" t="inlineStr">
        <is>
          <t>29</t>
        </is>
      </c>
      <c r="C216" s="19" t="inlineStr">
        <is>
          <t>7</t>
        </is>
      </c>
      <c r="D216" t="n">
        <v>4</v>
      </c>
      <c r="E216" s="19" t="inlineStr">
        <is>
          <t>18</t>
        </is>
      </c>
      <c r="F216" t="n">
        <v>7</v>
      </c>
      <c r="G216" t="b">
        <v>0</v>
      </c>
      <c r="H216" t="inlineStr">
        <is>
          <t>UOM=ADT;WEIGHT_BASIS=PROCESSED_SOURCE_UNIT_WEIGHT;LINE_WEIGHT_KG=1.08;SOURCE_CFG=IA-ST-CFG-0048;SRC_REF=Row 1332, Slot 8;SRC_FILE=Mamul Ambalaj Bileşen Listesi-30.07.2026(3).xlsx</t>
        </is>
      </c>
    </row>
    <row r="217">
      <c r="A217" s="19" t="inlineStr">
        <is>
          <t>216</t>
        </is>
      </c>
      <c r="B217" s="19" t="inlineStr">
        <is>
          <t>29</t>
        </is>
      </c>
      <c r="C217" s="19" t="inlineStr">
        <is>
          <t>25</t>
        </is>
      </c>
      <c r="D217" t="n">
        <v>4</v>
      </c>
      <c r="E217" s="19" t="inlineStr">
        <is>
          <t>18</t>
        </is>
      </c>
      <c r="F217" t="n">
        <v>8</v>
      </c>
      <c r="G217" t="b">
        <v>0</v>
      </c>
      <c r="H217" t="inlineStr">
        <is>
          <t>UOM=ADT;WEIGHT_BASIS=PROCESSED_SOURCE_UNIT_WEIGHT;LINE_WEIGHT_KG=0.4;SOURCE_CFG=IA-ST-CFG-0048;SRC_REF=Row 1332, Slot 9;SRC_FILE=Mamul Ambalaj Bileşen Listesi-30.07.2026(3).xlsx</t>
        </is>
      </c>
    </row>
    <row r="218">
      <c r="A218" s="19" t="inlineStr">
        <is>
          <t>217</t>
        </is>
      </c>
      <c r="B218" s="19" t="inlineStr">
        <is>
          <t>30</t>
        </is>
      </c>
      <c r="C218" s="19" t="inlineStr">
        <is>
          <t>13</t>
        </is>
      </c>
      <c r="D218" t="n">
        <v>14</v>
      </c>
      <c r="E218" s="19" t="inlineStr">
        <is>
          <t>18</t>
        </is>
      </c>
      <c r="F218" t="n">
        <v>1</v>
      </c>
      <c r="G218" t="b">
        <v>0</v>
      </c>
      <c r="H218" t="inlineStr">
        <is>
          <t>UOM=M;WEIGHT_BASIS=PROCESSED_SOURCE_UNIT_WEIGHT;LINE_WEIGHT_KG=0.1736;SOURCE_CFG=IA-ST-CFG-0049;SRC_REF=Row 1568, Slot 1;SRC_FILE=Mamul Ambalaj Bileşen Listesi-30.07.2026(3).xlsx</t>
        </is>
      </c>
    </row>
    <row r="219">
      <c r="A219" s="19" t="inlineStr">
        <is>
          <t>218</t>
        </is>
      </c>
      <c r="B219" s="19" t="inlineStr">
        <is>
          <t>30</t>
        </is>
      </c>
      <c r="C219" s="19" t="inlineStr">
        <is>
          <t>71</t>
        </is>
      </c>
      <c r="D219" t="n">
        <v>30</v>
      </c>
      <c r="E219" s="19" t="inlineStr">
        <is>
          <t>18</t>
        </is>
      </c>
      <c r="F219" t="n">
        <v>2</v>
      </c>
      <c r="G219" t="b">
        <v>0</v>
      </c>
      <c r="H219" t="inlineStr">
        <is>
          <t>UOM=ADT;WEIGHT_BASIS=PROCESSED_SOURCE_UNIT_WEIGHT;LINE_WEIGHT_KG=2.13;SOURCE_CFG=IA-ST-CFG-0049;SRC_REF=Row 1568, Slot 2;SRC_FILE=Mamul Ambalaj Bileşen Listesi-30.07.2026(3).xlsx</t>
        </is>
      </c>
    </row>
    <row r="220">
      <c r="A220" s="19" t="inlineStr">
        <is>
          <t>219</t>
        </is>
      </c>
      <c r="B220" s="19" t="inlineStr">
        <is>
          <t>30</t>
        </is>
      </c>
      <c r="C220" s="19" t="inlineStr">
        <is>
          <t>5</t>
        </is>
      </c>
      <c r="D220" t="n">
        <v>1</v>
      </c>
      <c r="E220" s="19" t="inlineStr">
        <is>
          <t>18</t>
        </is>
      </c>
      <c r="F220" t="n">
        <v>3</v>
      </c>
      <c r="G220" t="b">
        <v>0</v>
      </c>
      <c r="H220" t="inlineStr">
        <is>
          <t>UOM=ADT;WEIGHT_BASIS=PROCESSED_SOURCE_UNIT_WEIGHT;LINE_WEIGHT_KG=26.0;SOURCE_CFG=IA-ST-CFG-0049;SRC_REF=Row 1568, Slot 3;SRC_FILE=Mamul Ambalaj Bileşen Listesi-30.07.2026(3).xlsx</t>
        </is>
      </c>
    </row>
    <row r="221">
      <c r="A221" s="19" t="inlineStr">
        <is>
          <t>220</t>
        </is>
      </c>
      <c r="B221" s="19" t="inlineStr">
        <is>
          <t>30</t>
        </is>
      </c>
      <c r="C221" s="19" t="inlineStr">
        <is>
          <t>8</t>
        </is>
      </c>
      <c r="D221" t="n">
        <v>20</v>
      </c>
      <c r="E221" s="19" t="inlineStr">
        <is>
          <t>18</t>
        </is>
      </c>
      <c r="F221" t="n">
        <v>4</v>
      </c>
      <c r="G221" t="b">
        <v>0</v>
      </c>
      <c r="H221" t="inlineStr">
        <is>
          <t>UOM=M;WEIGHT_BASIS=PROCESSED_SOURCE_UNIT_WEIGHT;LINE_WEIGHT_KG=0.3664;SOURCE_CFG=IA-ST-CFG-0049;SRC_REF=Row 1568, Slot 5;SRC_FILE=Mamul Ambalaj Bileşen Listesi-30.07.2026(3).xlsx</t>
        </is>
      </c>
    </row>
    <row r="222">
      <c r="A222" s="19" t="inlineStr">
        <is>
          <t>221</t>
        </is>
      </c>
      <c r="B222" s="19" t="inlineStr">
        <is>
          <t>30</t>
        </is>
      </c>
      <c r="C222" s="19" t="inlineStr">
        <is>
          <t>9</t>
        </is>
      </c>
      <c r="D222" t="n">
        <v>0.186</v>
      </c>
      <c r="E222" s="19" t="inlineStr">
        <is>
          <t>18</t>
        </is>
      </c>
      <c r="F222" t="n">
        <v>5</v>
      </c>
      <c r="G222" t="b">
        <v>0</v>
      </c>
      <c r="H222" t="inlineStr">
        <is>
          <t>UOM=KG;WEIGHT_BASIS=RECIPE_QUANTITY_IS_KG;LINE_WEIGHT_KG=0.186;SOURCE_CFG=IA-ST-CFG-0049;SRC_REF=Row 1568, Slot 6;SRC_FILE=Mamul Ambalaj Bileşen Listesi-30.07.2026(3).xlsx</t>
        </is>
      </c>
    </row>
    <row r="223">
      <c r="A223" s="19" t="inlineStr">
        <is>
          <t>222</t>
        </is>
      </c>
      <c r="B223" s="19" t="inlineStr">
        <is>
          <t>30</t>
        </is>
      </c>
      <c r="C223" s="19" t="inlineStr">
        <is>
          <t>7</t>
        </is>
      </c>
      <c r="D223" t="n">
        <v>4</v>
      </c>
      <c r="E223" s="19" t="inlineStr">
        <is>
          <t>18</t>
        </is>
      </c>
      <c r="F223" t="n">
        <v>6</v>
      </c>
      <c r="G223" t="b">
        <v>0</v>
      </c>
      <c r="H223" t="inlineStr">
        <is>
          <t>UOM=ADT;WEIGHT_BASIS=PROCESSED_SOURCE_UNIT_WEIGHT;LINE_WEIGHT_KG=1.08;SOURCE_CFG=IA-ST-CFG-0049;SRC_REF=Row 1568, Slot 8;SRC_FILE=Mamul Ambalaj Bileşen Listesi-30.07.2026(3).xlsx</t>
        </is>
      </c>
    </row>
    <row r="224">
      <c r="A224" s="19" t="inlineStr">
        <is>
          <t>223</t>
        </is>
      </c>
      <c r="B224" s="19" t="inlineStr">
        <is>
          <t>30</t>
        </is>
      </c>
      <c r="C224" s="19" t="inlineStr">
        <is>
          <t>25</t>
        </is>
      </c>
      <c r="D224" t="n">
        <v>4</v>
      </c>
      <c r="E224" s="19" t="inlineStr">
        <is>
          <t>18</t>
        </is>
      </c>
      <c r="F224" t="n">
        <v>7</v>
      </c>
      <c r="G224" t="b">
        <v>0</v>
      </c>
      <c r="H224" t="inlineStr">
        <is>
          <t>UOM=ADT;WEIGHT_BASIS=PROCESSED_SOURCE_UNIT_WEIGHT;LINE_WEIGHT_KG=0.4;SOURCE_CFG=IA-ST-CFG-0049;SRC_REF=Row 1568, Slot 9;SRC_FILE=Mamul Ambalaj Bileşen Listesi-30.07.2026(3).xlsx</t>
        </is>
      </c>
    </row>
    <row r="225">
      <c r="A225" s="19" t="inlineStr">
        <is>
          <t>224</t>
        </is>
      </c>
      <c r="B225" s="19" t="inlineStr">
        <is>
          <t>31</t>
        </is>
      </c>
      <c r="C225" s="19" t="inlineStr">
        <is>
          <t>13</t>
        </is>
      </c>
      <c r="D225" t="n">
        <v>7</v>
      </c>
      <c r="E225" s="19" t="inlineStr">
        <is>
          <t>18</t>
        </is>
      </c>
      <c r="F225" t="n">
        <v>1</v>
      </c>
      <c r="G225" t="b">
        <v>0</v>
      </c>
      <c r="H225" t="inlineStr">
        <is>
          <t>UOM=M;WEIGHT_BASIS=PROCESSED_SOURCE_UNIT_WEIGHT;LINE_WEIGHT_KG=0.0868;SOURCE_CFG=IA-ST-CFG-0051;SRC_REF=Row 7, Slot 1;SRC_FILE=Mamul Ambalaj Bileşen Listesi-30.07.2026(3).xlsx</t>
        </is>
      </c>
    </row>
    <row r="226">
      <c r="A226" s="19" t="inlineStr">
        <is>
          <t>225</t>
        </is>
      </c>
      <c r="B226" s="19" t="inlineStr">
        <is>
          <t>31</t>
        </is>
      </c>
      <c r="C226" s="19" t="inlineStr">
        <is>
          <t>71</t>
        </is>
      </c>
      <c r="D226" t="n">
        <v>30</v>
      </c>
      <c r="E226" s="19" t="inlineStr">
        <is>
          <t>18</t>
        </is>
      </c>
      <c r="F226" t="n">
        <v>2</v>
      </c>
      <c r="G226" t="b">
        <v>0</v>
      </c>
      <c r="H226" t="inlineStr">
        <is>
          <t>UOM=ADT;WEIGHT_BASIS=PROCESSED_SOURCE_UNIT_WEIGHT;LINE_WEIGHT_KG=2.13;SOURCE_CFG=IA-ST-CFG-0051;SRC_REF=Row 7, Slot 2;SRC_FILE=Mamul Ambalaj Bileşen Listesi-30.07.2026(3).xlsx</t>
        </is>
      </c>
    </row>
    <row r="227">
      <c r="A227" s="19" t="inlineStr">
        <is>
          <t>226</t>
        </is>
      </c>
      <c r="B227" s="19" t="inlineStr">
        <is>
          <t>31</t>
        </is>
      </c>
      <c r="C227" s="19" t="inlineStr">
        <is>
          <t>5</t>
        </is>
      </c>
      <c r="D227" t="n">
        <v>1</v>
      </c>
      <c r="E227" s="19" t="inlineStr">
        <is>
          <t>18</t>
        </is>
      </c>
      <c r="F227" t="n">
        <v>3</v>
      </c>
      <c r="G227" t="b">
        <v>0</v>
      </c>
      <c r="H227" t="inlineStr">
        <is>
          <t>UOM=ADT;WEIGHT_BASIS=PROCESSED_SOURCE_UNIT_WEIGHT;LINE_WEIGHT_KG=26.0;SOURCE_CFG=IA-ST-CFG-0051;SRC_REF=Row 7, Slot 3;SRC_FILE=Mamul Ambalaj Bileşen Listesi-30.07.2026(3).xlsx</t>
        </is>
      </c>
    </row>
    <row r="228">
      <c r="A228" s="19" t="inlineStr">
        <is>
          <t>227</t>
        </is>
      </c>
      <c r="B228" s="19" t="inlineStr">
        <is>
          <t>31</t>
        </is>
      </c>
      <c r="C228" s="19" t="inlineStr">
        <is>
          <t>8</t>
        </is>
      </c>
      <c r="D228" t="n">
        <v>20</v>
      </c>
      <c r="E228" s="19" t="inlineStr">
        <is>
          <t>18</t>
        </is>
      </c>
      <c r="F228" t="n">
        <v>4</v>
      </c>
      <c r="G228" t="b">
        <v>0</v>
      </c>
      <c r="H228" t="inlineStr">
        <is>
          <t>UOM=M;WEIGHT_BASIS=PROCESSED_SOURCE_UNIT_WEIGHT;LINE_WEIGHT_KG=0.3664;SOURCE_CFG=IA-ST-CFG-0051;SRC_REF=Row 7, Slot 5;SRC_FILE=Mamul Ambalaj Bileşen Listesi-30.07.2026(3).xlsx</t>
        </is>
      </c>
    </row>
    <row r="229">
      <c r="A229" s="19" t="inlineStr">
        <is>
          <t>228</t>
        </is>
      </c>
      <c r="B229" s="19" t="inlineStr">
        <is>
          <t>31</t>
        </is>
      </c>
      <c r="C229" s="19" t="inlineStr">
        <is>
          <t>9</t>
        </is>
      </c>
      <c r="D229" t="n">
        <v>0.186</v>
      </c>
      <c r="E229" s="19" t="inlineStr">
        <is>
          <t>18</t>
        </is>
      </c>
      <c r="F229" t="n">
        <v>5</v>
      </c>
      <c r="G229" t="b">
        <v>0</v>
      </c>
      <c r="H229" t="inlineStr">
        <is>
          <t>UOM=KG;WEIGHT_BASIS=RECIPE_QUANTITY_IS_KG;LINE_WEIGHT_KG=0.186;SOURCE_CFG=IA-ST-CFG-0051;SRC_REF=Row 7, Slot 6;SRC_FILE=Mamul Ambalaj Bileşen Listesi-30.07.2026(3).xlsx</t>
        </is>
      </c>
    </row>
    <row r="230">
      <c r="A230" s="19" t="inlineStr">
        <is>
          <t>229</t>
        </is>
      </c>
      <c r="B230" s="19" t="inlineStr">
        <is>
          <t>31</t>
        </is>
      </c>
      <c r="C230" s="19" t="inlineStr">
        <is>
          <t>22</t>
        </is>
      </c>
      <c r="D230" t="n">
        <v>1.65</v>
      </c>
      <c r="E230" s="19" t="inlineStr">
        <is>
          <t>18</t>
        </is>
      </c>
      <c r="F230" t="n">
        <v>6</v>
      </c>
      <c r="G230" t="b">
        <v>0</v>
      </c>
      <c r="H230" t="inlineStr">
        <is>
          <t>UOM=KG;WEIGHT_BASIS=RECIPE_QUANTITY_IS_KG;LINE_WEIGHT_KG=1.65;SOURCE_CFG=IA-ST-CFG-0051;SRC_REF=Row 7, Slot 7;SRC_FILE=Mamul Ambalaj Bileşen Listesi-30.07.2026(3).xlsx</t>
        </is>
      </c>
    </row>
    <row r="231">
      <c r="A231" s="19" t="inlineStr">
        <is>
          <t>230</t>
        </is>
      </c>
      <c r="B231" s="19" t="inlineStr">
        <is>
          <t>31</t>
        </is>
      </c>
      <c r="C231" s="19" t="inlineStr">
        <is>
          <t>7</t>
        </is>
      </c>
      <c r="D231" t="n">
        <v>4</v>
      </c>
      <c r="E231" s="19" t="inlineStr">
        <is>
          <t>18</t>
        </is>
      </c>
      <c r="F231" t="n">
        <v>7</v>
      </c>
      <c r="G231" t="b">
        <v>0</v>
      </c>
      <c r="H231" t="inlineStr">
        <is>
          <t>UOM=ADT;WEIGHT_BASIS=PROCESSED_SOURCE_UNIT_WEIGHT;LINE_WEIGHT_KG=1.08;SOURCE_CFG=IA-ST-CFG-0051;SRC_REF=Row 7, Slot 8;SRC_FILE=Mamul Ambalaj Bileşen Listesi-30.07.2026(3).xlsx</t>
        </is>
      </c>
    </row>
    <row r="232">
      <c r="A232" s="19" t="inlineStr">
        <is>
          <t>231</t>
        </is>
      </c>
      <c r="B232" s="19" t="inlineStr">
        <is>
          <t>31</t>
        </is>
      </c>
      <c r="C232" s="19" t="inlineStr">
        <is>
          <t>25</t>
        </is>
      </c>
      <c r="D232" t="n">
        <v>2</v>
      </c>
      <c r="E232" s="19" t="inlineStr">
        <is>
          <t>18</t>
        </is>
      </c>
      <c r="F232" t="n">
        <v>8</v>
      </c>
      <c r="G232" t="b">
        <v>0</v>
      </c>
      <c r="H232" t="inlineStr">
        <is>
          <t>UOM=ADT;WEIGHT_BASIS=PROCESSED_SOURCE_UNIT_WEIGHT;LINE_WEIGHT_KG=0.2;SOURCE_CFG=IA-ST-CFG-0051;SRC_REF=Row 7, Slot 9;SRC_FILE=Mamul Ambalaj Bileşen Listesi-30.07.2026(3).xlsx</t>
        </is>
      </c>
    </row>
    <row r="233">
      <c r="A233" s="19" t="inlineStr">
        <is>
          <t>232</t>
        </is>
      </c>
      <c r="B233" s="19" t="inlineStr">
        <is>
          <t>32</t>
        </is>
      </c>
      <c r="C233" s="19" t="inlineStr">
        <is>
          <t>13</t>
        </is>
      </c>
      <c r="D233" t="n">
        <v>7</v>
      </c>
      <c r="E233" s="19" t="inlineStr">
        <is>
          <t>18</t>
        </is>
      </c>
      <c r="F233" t="n">
        <v>1</v>
      </c>
      <c r="G233" t="b">
        <v>0</v>
      </c>
      <c r="H233" t="inlineStr">
        <is>
          <t>UOM=M;WEIGHT_BASIS=PROCESSED_SOURCE_UNIT_WEIGHT;LINE_WEIGHT_KG=0.0868;SOURCE_CFG=IA-ST-CFG-0052;SRC_REF=Row 11, Slot 1;SRC_FILE=Mamul Ambalaj Bileşen Listesi-30.07.2026(3).xlsx</t>
        </is>
      </c>
    </row>
    <row r="234">
      <c r="A234" s="19" t="inlineStr">
        <is>
          <t>233</t>
        </is>
      </c>
      <c r="B234" s="19" t="inlineStr">
        <is>
          <t>32</t>
        </is>
      </c>
      <c r="C234" s="19" t="inlineStr">
        <is>
          <t>75</t>
        </is>
      </c>
      <c r="D234" t="n">
        <v>30</v>
      </c>
      <c r="E234" s="19" t="inlineStr">
        <is>
          <t>18</t>
        </is>
      </c>
      <c r="F234" t="n">
        <v>2</v>
      </c>
      <c r="G234" t="b">
        <v>0</v>
      </c>
      <c r="H234" t="inlineStr">
        <is>
          <t>UOM=ADT;WEIGHT_BASIS=PROCESSED_SOURCE_UNIT_WEIGHT;LINE_WEIGHT_KG=2.82;SOURCE_CFG=IA-ST-CFG-0052;SRC_REF=Row 11, Slot 2;SRC_FILE=Mamul Ambalaj Bileşen Listesi-30.07.2026(3).xlsx</t>
        </is>
      </c>
    </row>
    <row r="235">
      <c r="A235" s="19" t="inlineStr">
        <is>
          <t>234</t>
        </is>
      </c>
      <c r="B235" s="19" t="inlineStr">
        <is>
          <t>32</t>
        </is>
      </c>
      <c r="C235" s="19" t="inlineStr">
        <is>
          <t>5</t>
        </is>
      </c>
      <c r="D235" t="n">
        <v>1</v>
      </c>
      <c r="E235" s="19" t="inlineStr">
        <is>
          <t>18</t>
        </is>
      </c>
      <c r="F235" t="n">
        <v>3</v>
      </c>
      <c r="G235" t="b">
        <v>0</v>
      </c>
      <c r="H235" t="inlineStr">
        <is>
          <t>UOM=ADT;WEIGHT_BASIS=PROCESSED_SOURCE_UNIT_WEIGHT;LINE_WEIGHT_KG=26.0;SOURCE_CFG=IA-ST-CFG-0052;SRC_REF=Row 11, Slot 3;SRC_FILE=Mamul Ambalaj Bileşen Listesi-30.07.2026(3).xlsx</t>
        </is>
      </c>
    </row>
    <row r="236">
      <c r="A236" s="19" t="inlineStr">
        <is>
          <t>235</t>
        </is>
      </c>
      <c r="B236" s="19" t="inlineStr">
        <is>
          <t>32</t>
        </is>
      </c>
      <c r="C236" s="19" t="inlineStr">
        <is>
          <t>8</t>
        </is>
      </c>
      <c r="D236" t="n">
        <v>20</v>
      </c>
      <c r="E236" s="19" t="inlineStr">
        <is>
          <t>18</t>
        </is>
      </c>
      <c r="F236" t="n">
        <v>4</v>
      </c>
      <c r="G236" t="b">
        <v>0</v>
      </c>
      <c r="H236" t="inlineStr">
        <is>
          <t>UOM=M;WEIGHT_BASIS=PROCESSED_SOURCE_UNIT_WEIGHT;LINE_WEIGHT_KG=0.3664;SOURCE_CFG=IA-ST-CFG-0052;SRC_REF=Row 11, Slot 5;SRC_FILE=Mamul Ambalaj Bileşen Listesi-30.07.2026(3).xlsx</t>
        </is>
      </c>
    </row>
    <row r="237">
      <c r="A237" s="19" t="inlineStr">
        <is>
          <t>236</t>
        </is>
      </c>
      <c r="B237" s="19" t="inlineStr">
        <is>
          <t>32</t>
        </is>
      </c>
      <c r="C237" s="19" t="inlineStr">
        <is>
          <t>9</t>
        </is>
      </c>
      <c r="D237" t="n">
        <v>0.186</v>
      </c>
      <c r="E237" s="19" t="inlineStr">
        <is>
          <t>18</t>
        </is>
      </c>
      <c r="F237" t="n">
        <v>5</v>
      </c>
      <c r="G237" t="b">
        <v>0</v>
      </c>
      <c r="H237" t="inlineStr">
        <is>
          <t>UOM=KG;WEIGHT_BASIS=RECIPE_QUANTITY_IS_KG;LINE_WEIGHT_KG=0.186;SOURCE_CFG=IA-ST-CFG-0052;SRC_REF=Row 11, Slot 6;SRC_FILE=Mamul Ambalaj Bileşen Listesi-30.07.2026(3).xlsx</t>
        </is>
      </c>
    </row>
    <row r="238">
      <c r="A238" s="19" t="inlineStr">
        <is>
          <t>237</t>
        </is>
      </c>
      <c r="B238" s="19" t="inlineStr">
        <is>
          <t>32</t>
        </is>
      </c>
      <c r="C238" s="19" t="inlineStr">
        <is>
          <t>22</t>
        </is>
      </c>
      <c r="D238" t="n">
        <v>1.65</v>
      </c>
      <c r="E238" s="19" t="inlineStr">
        <is>
          <t>18</t>
        </is>
      </c>
      <c r="F238" t="n">
        <v>6</v>
      </c>
      <c r="G238" t="b">
        <v>0</v>
      </c>
      <c r="H238" t="inlineStr">
        <is>
          <t>UOM=KG;WEIGHT_BASIS=RECIPE_QUANTITY_IS_KG;LINE_WEIGHT_KG=1.65;SOURCE_CFG=IA-ST-CFG-0052;SRC_REF=Row 11, Slot 7;SRC_FILE=Mamul Ambalaj Bileşen Listesi-30.07.2026(3).xlsx</t>
        </is>
      </c>
    </row>
    <row r="239">
      <c r="A239" s="19" t="inlineStr">
        <is>
          <t>238</t>
        </is>
      </c>
      <c r="B239" s="19" t="inlineStr">
        <is>
          <t>32</t>
        </is>
      </c>
      <c r="C239" s="19" t="inlineStr">
        <is>
          <t>7</t>
        </is>
      </c>
      <c r="D239" t="n">
        <v>4</v>
      </c>
      <c r="E239" s="19" t="inlineStr">
        <is>
          <t>18</t>
        </is>
      </c>
      <c r="F239" t="n">
        <v>7</v>
      </c>
      <c r="G239" t="b">
        <v>0</v>
      </c>
      <c r="H239" t="inlineStr">
        <is>
          <t>UOM=ADT;WEIGHT_BASIS=PROCESSED_SOURCE_UNIT_WEIGHT;LINE_WEIGHT_KG=1.08;SOURCE_CFG=IA-ST-CFG-0052;SRC_REF=Row 11, Slot 8;SRC_FILE=Mamul Ambalaj Bileşen Listesi-30.07.2026(3).xlsx</t>
        </is>
      </c>
    </row>
    <row r="240">
      <c r="A240" s="19" t="inlineStr">
        <is>
          <t>239</t>
        </is>
      </c>
      <c r="B240" s="19" t="inlineStr">
        <is>
          <t>32</t>
        </is>
      </c>
      <c r="C240" s="19" t="inlineStr">
        <is>
          <t>25</t>
        </is>
      </c>
      <c r="D240" t="n">
        <v>2</v>
      </c>
      <c r="E240" s="19" t="inlineStr">
        <is>
          <t>18</t>
        </is>
      </c>
      <c r="F240" t="n">
        <v>8</v>
      </c>
      <c r="G240" t="b">
        <v>0</v>
      </c>
      <c r="H240" t="inlineStr">
        <is>
          <t>UOM=ADT;WEIGHT_BASIS=PROCESSED_SOURCE_UNIT_WEIGHT;LINE_WEIGHT_KG=0.2;SOURCE_CFG=IA-ST-CFG-0052;SRC_REF=Row 11, Slot 9;SRC_FILE=Mamul Ambalaj Bileşen Listesi-30.07.2026(3).xlsx</t>
        </is>
      </c>
    </row>
    <row r="241">
      <c r="A241" s="19" t="inlineStr">
        <is>
          <t>240</t>
        </is>
      </c>
      <c r="B241" s="19" t="inlineStr">
        <is>
          <t>33</t>
        </is>
      </c>
      <c r="C241" s="19" t="inlineStr">
        <is>
          <t>13</t>
        </is>
      </c>
      <c r="D241" t="n">
        <v>7</v>
      </c>
      <c r="E241" s="19" t="inlineStr">
        <is>
          <t>18</t>
        </is>
      </c>
      <c r="F241" t="n">
        <v>1</v>
      </c>
      <c r="G241" t="b">
        <v>0</v>
      </c>
      <c r="H241" t="inlineStr">
        <is>
          <t>UOM=M;WEIGHT_BASIS=PROCESSED_SOURCE_UNIT_WEIGHT;LINE_WEIGHT_KG=0.0868;SOURCE_CFG=IA-ST-CFG-0053;SRC_REF=Row 2033, Slot 1;SRC_FILE=Mamul Ambalaj Bileşen Listesi-30.07.2026(3).xlsx</t>
        </is>
      </c>
    </row>
    <row r="242">
      <c r="A242" s="19" t="inlineStr">
        <is>
          <t>241</t>
        </is>
      </c>
      <c r="B242" s="19" t="inlineStr">
        <is>
          <t>33</t>
        </is>
      </c>
      <c r="C242" s="19" t="inlineStr">
        <is>
          <t>75</t>
        </is>
      </c>
      <c r="D242" t="n">
        <v>30</v>
      </c>
      <c r="E242" s="19" t="inlineStr">
        <is>
          <t>18</t>
        </is>
      </c>
      <c r="F242" t="n">
        <v>2</v>
      </c>
      <c r="G242" t="b">
        <v>0</v>
      </c>
      <c r="H242" t="inlineStr">
        <is>
          <t>UOM=ADT;WEIGHT_BASIS=PROCESSED_SOURCE_UNIT_WEIGHT;LINE_WEIGHT_KG=2.82;SOURCE_CFG=IA-ST-CFG-0053;SRC_REF=Row 2033, Slot 2;SRC_FILE=Mamul Ambalaj Bileşen Listesi-30.07.2026(3).xlsx</t>
        </is>
      </c>
    </row>
    <row r="243">
      <c r="A243" s="19" t="inlineStr">
        <is>
          <t>242</t>
        </is>
      </c>
      <c r="B243" s="19" t="inlineStr">
        <is>
          <t>33</t>
        </is>
      </c>
      <c r="C243" s="19" t="inlineStr">
        <is>
          <t>5</t>
        </is>
      </c>
      <c r="D243" t="n">
        <v>1</v>
      </c>
      <c r="E243" s="19" t="inlineStr">
        <is>
          <t>18</t>
        </is>
      </c>
      <c r="F243" t="n">
        <v>3</v>
      </c>
      <c r="G243" t="b">
        <v>0</v>
      </c>
      <c r="H243" t="inlineStr">
        <is>
          <t>UOM=ADT;WEIGHT_BASIS=PROCESSED_SOURCE_UNIT_WEIGHT;LINE_WEIGHT_KG=26.0;SOURCE_CFG=IA-ST-CFG-0053;SRC_REF=Row 2033, Slot 3;SRC_FILE=Mamul Ambalaj Bileşen Listesi-30.07.2026(3).xlsx</t>
        </is>
      </c>
    </row>
    <row r="244">
      <c r="A244" s="19" t="inlineStr">
        <is>
          <t>243</t>
        </is>
      </c>
      <c r="B244" s="19" t="inlineStr">
        <is>
          <t>33</t>
        </is>
      </c>
      <c r="C244" s="19" t="inlineStr">
        <is>
          <t>8</t>
        </is>
      </c>
      <c r="D244" t="n">
        <v>20</v>
      </c>
      <c r="E244" s="19" t="inlineStr">
        <is>
          <t>18</t>
        </is>
      </c>
      <c r="F244" t="n">
        <v>4</v>
      </c>
      <c r="G244" t="b">
        <v>0</v>
      </c>
      <c r="H244" t="inlineStr">
        <is>
          <t>UOM=M;WEIGHT_BASIS=PROCESSED_SOURCE_UNIT_WEIGHT;LINE_WEIGHT_KG=0.3664;SOURCE_CFG=IA-ST-CFG-0053;SRC_REF=Row 2033, Slot 5;SRC_FILE=Mamul Ambalaj Bileşen Listesi-30.07.2026(3).xlsx</t>
        </is>
      </c>
    </row>
    <row r="245">
      <c r="A245" s="19" t="inlineStr">
        <is>
          <t>244</t>
        </is>
      </c>
      <c r="B245" s="19" t="inlineStr">
        <is>
          <t>33</t>
        </is>
      </c>
      <c r="C245" s="19" t="inlineStr">
        <is>
          <t>9</t>
        </is>
      </c>
      <c r="D245" t="n">
        <v>0.186</v>
      </c>
      <c r="E245" s="19" t="inlineStr">
        <is>
          <t>18</t>
        </is>
      </c>
      <c r="F245" t="n">
        <v>5</v>
      </c>
      <c r="G245" t="b">
        <v>0</v>
      </c>
      <c r="H245" t="inlineStr">
        <is>
          <t>UOM=KG;WEIGHT_BASIS=RECIPE_QUANTITY_IS_KG;LINE_WEIGHT_KG=0.186;SOURCE_CFG=IA-ST-CFG-0053;SRC_REF=Row 2033, Slot 6;SRC_FILE=Mamul Ambalaj Bileşen Listesi-30.07.2026(3).xlsx</t>
        </is>
      </c>
    </row>
    <row r="246">
      <c r="A246" s="19" t="inlineStr">
        <is>
          <t>245</t>
        </is>
      </c>
      <c r="B246" s="19" t="inlineStr">
        <is>
          <t>33</t>
        </is>
      </c>
      <c r="C246" s="19" t="inlineStr">
        <is>
          <t>7</t>
        </is>
      </c>
      <c r="D246" t="n">
        <v>4</v>
      </c>
      <c r="E246" s="19" t="inlineStr">
        <is>
          <t>18</t>
        </is>
      </c>
      <c r="F246" t="n">
        <v>6</v>
      </c>
      <c r="G246" t="b">
        <v>0</v>
      </c>
      <c r="H246" t="inlineStr">
        <is>
          <t>UOM=ADT;WEIGHT_BASIS=PROCESSED_SOURCE_UNIT_WEIGHT;LINE_WEIGHT_KG=1.08;SOURCE_CFG=IA-ST-CFG-0053;SRC_REF=Row 2033, Slot 8;SRC_FILE=Mamul Ambalaj Bileşen Listesi-30.07.2026(3).xlsx</t>
        </is>
      </c>
    </row>
    <row r="247">
      <c r="A247" s="19" t="inlineStr">
        <is>
          <t>246</t>
        </is>
      </c>
      <c r="B247" s="19" t="inlineStr">
        <is>
          <t>33</t>
        </is>
      </c>
      <c r="C247" s="19" t="inlineStr">
        <is>
          <t>25</t>
        </is>
      </c>
      <c r="D247" t="n">
        <v>4</v>
      </c>
      <c r="E247" s="19" t="inlineStr">
        <is>
          <t>18</t>
        </is>
      </c>
      <c r="F247" t="n">
        <v>7</v>
      </c>
      <c r="G247" t="b">
        <v>0</v>
      </c>
      <c r="H247" t="inlineStr">
        <is>
          <t>UOM=ADT;WEIGHT_BASIS=PROCESSED_SOURCE_UNIT_WEIGHT;LINE_WEIGHT_KG=0.4;SOURCE_CFG=IA-ST-CFG-0053;SRC_REF=Row 2033, Slot 9;SRC_FILE=Mamul Ambalaj Bileşen Listesi-30.07.2026(3).xlsx</t>
        </is>
      </c>
    </row>
    <row r="248">
      <c r="A248" s="19" t="inlineStr">
        <is>
          <t>247</t>
        </is>
      </c>
      <c r="B248" s="19" t="inlineStr">
        <is>
          <t>34</t>
        </is>
      </c>
      <c r="C248" s="19" t="inlineStr">
        <is>
          <t>71</t>
        </is>
      </c>
      <c r="D248" t="n">
        <v>30</v>
      </c>
      <c r="E248" s="19" t="inlineStr">
        <is>
          <t>18</t>
        </is>
      </c>
      <c r="F248" t="n">
        <v>1</v>
      </c>
      <c r="G248" t="b">
        <v>0</v>
      </c>
      <c r="H248" t="inlineStr">
        <is>
          <t>UOM=ADT;WEIGHT_BASIS=PROCESSED_SOURCE_UNIT_WEIGHT;LINE_WEIGHT_KG=2.13;SOURCE_CFG=IA-ST-CFG-0054;SRC_REF=Row 3, Slot 1;SRC_FILE=Mamul Ambalaj Bileşen Listesi-30.07.2026(3).xlsx</t>
        </is>
      </c>
    </row>
    <row r="249">
      <c r="A249" s="19" t="inlineStr">
        <is>
          <t>248</t>
        </is>
      </c>
      <c r="B249" s="19" t="inlineStr">
        <is>
          <t>34</t>
        </is>
      </c>
      <c r="C249" s="19" t="inlineStr">
        <is>
          <t>5</t>
        </is>
      </c>
      <c r="D249" t="n">
        <v>1</v>
      </c>
      <c r="E249" s="19" t="inlineStr">
        <is>
          <t>18</t>
        </is>
      </c>
      <c r="F249" t="n">
        <v>2</v>
      </c>
      <c r="G249" t="b">
        <v>0</v>
      </c>
      <c r="H249" t="inlineStr">
        <is>
          <t>UOM=ADT;WEIGHT_BASIS=PROCESSED_SOURCE_UNIT_WEIGHT;LINE_WEIGHT_KG=26.0;SOURCE_CFG=IA-ST-CFG-0054;SRC_REF=Row 3, Slot 3;SRC_FILE=Mamul Ambalaj Bileşen Listesi-30.07.2026(3).xlsx</t>
        </is>
      </c>
    </row>
    <row r="250">
      <c r="A250" s="19" t="inlineStr">
        <is>
          <t>249</t>
        </is>
      </c>
      <c r="B250" s="19" t="inlineStr">
        <is>
          <t>34</t>
        </is>
      </c>
      <c r="C250" s="19" t="inlineStr">
        <is>
          <t>8</t>
        </is>
      </c>
      <c r="D250" t="n">
        <v>20</v>
      </c>
      <c r="E250" s="19" t="inlineStr">
        <is>
          <t>18</t>
        </is>
      </c>
      <c r="F250" t="n">
        <v>3</v>
      </c>
      <c r="G250" t="b">
        <v>0</v>
      </c>
      <c r="H250" t="inlineStr">
        <is>
          <t>UOM=M;WEIGHT_BASIS=PROCESSED_SOURCE_UNIT_WEIGHT;LINE_WEIGHT_KG=0.3664;SOURCE_CFG=IA-ST-CFG-0054;SRC_REF=Row 3, Slot 5;SRC_FILE=Mamul Ambalaj Bileşen Listesi-30.07.2026(3).xlsx</t>
        </is>
      </c>
    </row>
    <row r="251">
      <c r="A251" s="19" t="inlineStr">
        <is>
          <t>250</t>
        </is>
      </c>
      <c r="B251" s="19" t="inlineStr">
        <is>
          <t>34</t>
        </is>
      </c>
      <c r="C251" s="19" t="inlineStr">
        <is>
          <t>9</t>
        </is>
      </c>
      <c r="D251" t="n">
        <v>0.186</v>
      </c>
      <c r="E251" s="19" t="inlineStr">
        <is>
          <t>18</t>
        </is>
      </c>
      <c r="F251" t="n">
        <v>4</v>
      </c>
      <c r="G251" t="b">
        <v>0</v>
      </c>
      <c r="H251" t="inlineStr">
        <is>
          <t>UOM=KG;WEIGHT_BASIS=RECIPE_QUANTITY_IS_KG;LINE_WEIGHT_KG=0.186;SOURCE_CFG=IA-ST-CFG-0054;SRC_REF=Row 3, Slot 6;SRC_FILE=Mamul Ambalaj Bileşen Listesi-30.07.2026(3).xlsx</t>
        </is>
      </c>
    </row>
    <row r="252">
      <c r="A252" s="19" t="inlineStr">
        <is>
          <t>251</t>
        </is>
      </c>
      <c r="B252" s="19" t="inlineStr">
        <is>
          <t>34</t>
        </is>
      </c>
      <c r="C252" s="19" t="inlineStr">
        <is>
          <t>22</t>
        </is>
      </c>
      <c r="D252" t="n">
        <v>1.65</v>
      </c>
      <c r="E252" s="19" t="inlineStr">
        <is>
          <t>18</t>
        </is>
      </c>
      <c r="F252" t="n">
        <v>5</v>
      </c>
      <c r="G252" t="b">
        <v>0</v>
      </c>
      <c r="H252" t="inlineStr">
        <is>
          <t>UOM=KG;WEIGHT_BASIS=RECIPE_QUANTITY_IS_KG;LINE_WEIGHT_KG=1.65;SOURCE_CFG=IA-ST-CFG-0054;SRC_REF=Row 3, Slot 7;SRC_FILE=Mamul Ambalaj Bileşen Listesi-30.07.2026(3).xlsx</t>
        </is>
      </c>
    </row>
    <row r="253">
      <c r="A253" s="19" t="inlineStr">
        <is>
          <t>252</t>
        </is>
      </c>
      <c r="B253" s="19" t="inlineStr">
        <is>
          <t>34</t>
        </is>
      </c>
      <c r="C253" s="19" t="inlineStr">
        <is>
          <t>7</t>
        </is>
      </c>
      <c r="D253" t="n">
        <v>4</v>
      </c>
      <c r="E253" s="19" t="inlineStr">
        <is>
          <t>18</t>
        </is>
      </c>
      <c r="F253" t="n">
        <v>6</v>
      </c>
      <c r="G253" t="b">
        <v>0</v>
      </c>
      <c r="H253" t="inlineStr">
        <is>
          <t>UOM=ADT;WEIGHT_BASIS=PROCESSED_SOURCE_UNIT_WEIGHT;LINE_WEIGHT_KG=1.08;SOURCE_CFG=IA-ST-CFG-0054;SRC_REF=Row 3, Slot 8;SRC_FILE=Mamul Ambalaj Bileşen Listesi-30.07.2026(3).xlsx</t>
        </is>
      </c>
    </row>
    <row r="254">
      <c r="A254" s="19" t="inlineStr">
        <is>
          <t>253</t>
        </is>
      </c>
      <c r="B254" s="19" t="inlineStr">
        <is>
          <t>35</t>
        </is>
      </c>
      <c r="C254" s="19" t="inlineStr">
        <is>
          <t>75</t>
        </is>
      </c>
      <c r="D254" t="n">
        <v>30</v>
      </c>
      <c r="E254" s="19" t="inlineStr">
        <is>
          <t>18</t>
        </is>
      </c>
      <c r="F254" t="n">
        <v>1</v>
      </c>
      <c r="G254" t="b">
        <v>0</v>
      </c>
      <c r="H254" t="inlineStr">
        <is>
          <t>UOM=ADT;WEIGHT_BASIS=PROCESSED_SOURCE_UNIT_WEIGHT;LINE_WEIGHT_KG=2.82;SOURCE_CFG=IA-ST-CFG-0055;SRC_REF=Row 5, Slot 1;SRC_FILE=Mamul Ambalaj Bileşen Listesi-30.07.2026(3).xlsx</t>
        </is>
      </c>
    </row>
    <row r="255">
      <c r="A255" s="19" t="inlineStr">
        <is>
          <t>254</t>
        </is>
      </c>
      <c r="B255" s="19" t="inlineStr">
        <is>
          <t>35</t>
        </is>
      </c>
      <c r="C255" s="19" t="inlineStr">
        <is>
          <t>5</t>
        </is>
      </c>
      <c r="D255" t="n">
        <v>1</v>
      </c>
      <c r="E255" s="19" t="inlineStr">
        <is>
          <t>18</t>
        </is>
      </c>
      <c r="F255" t="n">
        <v>2</v>
      </c>
      <c r="G255" t="b">
        <v>0</v>
      </c>
      <c r="H255" t="inlineStr">
        <is>
          <t>UOM=ADT;WEIGHT_BASIS=PROCESSED_SOURCE_UNIT_WEIGHT;LINE_WEIGHT_KG=26.0;SOURCE_CFG=IA-ST-CFG-0055;SRC_REF=Row 5, Slot 3;SRC_FILE=Mamul Ambalaj Bileşen Listesi-30.07.2026(3).xlsx</t>
        </is>
      </c>
    </row>
    <row r="256">
      <c r="A256" s="19" t="inlineStr">
        <is>
          <t>255</t>
        </is>
      </c>
      <c r="B256" s="19" t="inlineStr">
        <is>
          <t>35</t>
        </is>
      </c>
      <c r="C256" s="19" t="inlineStr">
        <is>
          <t>8</t>
        </is>
      </c>
      <c r="D256" t="n">
        <v>20</v>
      </c>
      <c r="E256" s="19" t="inlineStr">
        <is>
          <t>18</t>
        </is>
      </c>
      <c r="F256" t="n">
        <v>3</v>
      </c>
      <c r="G256" t="b">
        <v>0</v>
      </c>
      <c r="H256" t="inlineStr">
        <is>
          <t>UOM=M;WEIGHT_BASIS=PROCESSED_SOURCE_UNIT_WEIGHT;LINE_WEIGHT_KG=0.3664;SOURCE_CFG=IA-ST-CFG-0055;SRC_REF=Row 5, Slot 5;SRC_FILE=Mamul Ambalaj Bileşen Listesi-30.07.2026(3).xlsx</t>
        </is>
      </c>
    </row>
    <row r="257">
      <c r="A257" s="19" t="inlineStr">
        <is>
          <t>256</t>
        </is>
      </c>
      <c r="B257" s="19" t="inlineStr">
        <is>
          <t>35</t>
        </is>
      </c>
      <c r="C257" s="19" t="inlineStr">
        <is>
          <t>9</t>
        </is>
      </c>
      <c r="D257" t="n">
        <v>0.186</v>
      </c>
      <c r="E257" s="19" t="inlineStr">
        <is>
          <t>18</t>
        </is>
      </c>
      <c r="F257" t="n">
        <v>4</v>
      </c>
      <c r="G257" t="b">
        <v>0</v>
      </c>
      <c r="H257" t="inlineStr">
        <is>
          <t>UOM=KG;WEIGHT_BASIS=RECIPE_QUANTITY_IS_KG;LINE_WEIGHT_KG=0.186;SOURCE_CFG=IA-ST-CFG-0055;SRC_REF=Row 5, Slot 6;SRC_FILE=Mamul Ambalaj Bileşen Listesi-30.07.2026(3).xlsx</t>
        </is>
      </c>
    </row>
    <row r="258">
      <c r="A258" s="19" t="inlineStr">
        <is>
          <t>257</t>
        </is>
      </c>
      <c r="B258" s="19" t="inlineStr">
        <is>
          <t>35</t>
        </is>
      </c>
      <c r="C258" s="19" t="inlineStr">
        <is>
          <t>22</t>
        </is>
      </c>
      <c r="D258" t="n">
        <v>1.65</v>
      </c>
      <c r="E258" s="19" t="inlineStr">
        <is>
          <t>18</t>
        </is>
      </c>
      <c r="F258" t="n">
        <v>5</v>
      </c>
      <c r="G258" t="b">
        <v>0</v>
      </c>
      <c r="H258" t="inlineStr">
        <is>
          <t>UOM=KG;WEIGHT_BASIS=RECIPE_QUANTITY_IS_KG;LINE_WEIGHT_KG=1.65;SOURCE_CFG=IA-ST-CFG-0055;SRC_REF=Row 5, Slot 7;SRC_FILE=Mamul Ambalaj Bileşen Listesi-30.07.2026(3).xlsx</t>
        </is>
      </c>
    </row>
    <row r="259">
      <c r="A259" s="19" t="inlineStr">
        <is>
          <t>258</t>
        </is>
      </c>
      <c r="B259" s="19" t="inlineStr">
        <is>
          <t>35</t>
        </is>
      </c>
      <c r="C259" s="19" t="inlineStr">
        <is>
          <t>7</t>
        </is>
      </c>
      <c r="D259" t="n">
        <v>4</v>
      </c>
      <c r="E259" s="19" t="inlineStr">
        <is>
          <t>18</t>
        </is>
      </c>
      <c r="F259" t="n">
        <v>6</v>
      </c>
      <c r="G259" t="b">
        <v>0</v>
      </c>
      <c r="H259" t="inlineStr">
        <is>
          <t>UOM=ADT;WEIGHT_BASIS=PROCESSED_SOURCE_UNIT_WEIGHT;LINE_WEIGHT_KG=1.08;SOURCE_CFG=IA-ST-CFG-0055;SRC_REF=Row 5, Slot 8;SRC_FILE=Mamul Ambalaj Bileşen Listesi-30.07.2026(3).xlsx</t>
        </is>
      </c>
    </row>
    <row r="260">
      <c r="A260" s="19" t="inlineStr">
        <is>
          <t>259</t>
        </is>
      </c>
      <c r="B260" s="19" t="inlineStr">
        <is>
          <t>36</t>
        </is>
      </c>
      <c r="C260" s="19" t="inlineStr">
        <is>
          <t>13</t>
        </is>
      </c>
      <c r="D260" t="n">
        <v>14</v>
      </c>
      <c r="E260" s="19" t="inlineStr">
        <is>
          <t>18</t>
        </is>
      </c>
      <c r="F260" t="n">
        <v>1</v>
      </c>
      <c r="G260" t="b">
        <v>0</v>
      </c>
      <c r="H260" t="inlineStr">
        <is>
          <t>UOM=M;WEIGHT_BASIS=PROCESSED_SOURCE_UNIT_WEIGHT;LINE_WEIGHT_KG=0.1736;SOURCE_CFG=IA-ST-CFG-0056;SRC_REF=Row 148, Slot 1;SRC_FILE=Mamul Ambalaj Bileşen Listesi-30.07.2026(3).xlsx</t>
        </is>
      </c>
    </row>
    <row r="261">
      <c r="A261" s="19" t="inlineStr">
        <is>
          <t>260</t>
        </is>
      </c>
      <c r="B261" s="19" t="inlineStr">
        <is>
          <t>36</t>
        </is>
      </c>
      <c r="C261" s="19" t="inlineStr">
        <is>
          <t>71</t>
        </is>
      </c>
      <c r="D261" t="n">
        <v>30</v>
      </c>
      <c r="E261" s="19" t="inlineStr">
        <is>
          <t>18</t>
        </is>
      </c>
      <c r="F261" t="n">
        <v>2</v>
      </c>
      <c r="G261" t="b">
        <v>0</v>
      </c>
      <c r="H261" t="inlineStr">
        <is>
          <t>UOM=ADT;WEIGHT_BASIS=PROCESSED_SOURCE_UNIT_WEIGHT;LINE_WEIGHT_KG=2.13;SOURCE_CFG=IA-ST-CFG-0056;SRC_REF=Row 148, Slot 2;SRC_FILE=Mamul Ambalaj Bileşen Listesi-30.07.2026(3).xlsx</t>
        </is>
      </c>
    </row>
    <row r="262">
      <c r="A262" s="19" t="inlineStr">
        <is>
          <t>261</t>
        </is>
      </c>
      <c r="B262" s="19" t="inlineStr">
        <is>
          <t>36</t>
        </is>
      </c>
      <c r="C262" s="19" t="inlineStr">
        <is>
          <t>5</t>
        </is>
      </c>
      <c r="D262" t="n">
        <v>1</v>
      </c>
      <c r="E262" s="19" t="inlineStr">
        <is>
          <t>18</t>
        </is>
      </c>
      <c r="F262" t="n">
        <v>3</v>
      </c>
      <c r="G262" t="b">
        <v>0</v>
      </c>
      <c r="H262" t="inlineStr">
        <is>
          <t>UOM=ADT;WEIGHT_BASIS=PROCESSED_SOURCE_UNIT_WEIGHT;LINE_WEIGHT_KG=26.0;SOURCE_CFG=IA-ST-CFG-0056;SRC_REF=Row 148, Slot 3;SRC_FILE=Mamul Ambalaj Bileşen Listesi-30.07.2026(3).xlsx</t>
        </is>
      </c>
    </row>
    <row r="263">
      <c r="A263" s="19" t="inlineStr">
        <is>
          <t>262</t>
        </is>
      </c>
      <c r="B263" s="19" t="inlineStr">
        <is>
          <t>36</t>
        </is>
      </c>
      <c r="C263" s="19" t="inlineStr">
        <is>
          <t>8</t>
        </is>
      </c>
      <c r="D263" t="n">
        <v>20</v>
      </c>
      <c r="E263" s="19" t="inlineStr">
        <is>
          <t>18</t>
        </is>
      </c>
      <c r="F263" t="n">
        <v>4</v>
      </c>
      <c r="G263" t="b">
        <v>0</v>
      </c>
      <c r="H263" t="inlineStr">
        <is>
          <t>UOM=M;WEIGHT_BASIS=PROCESSED_SOURCE_UNIT_WEIGHT;LINE_WEIGHT_KG=0.3664;SOURCE_CFG=IA-ST-CFG-0056;SRC_REF=Row 148, Slot 5;SRC_FILE=Mamul Ambalaj Bileşen Listesi-30.07.2026(3).xlsx</t>
        </is>
      </c>
    </row>
    <row r="264">
      <c r="A264" s="19" t="inlineStr">
        <is>
          <t>263</t>
        </is>
      </c>
      <c r="B264" s="19" t="inlineStr">
        <is>
          <t>36</t>
        </is>
      </c>
      <c r="C264" s="19" t="inlineStr">
        <is>
          <t>55</t>
        </is>
      </c>
      <c r="D264" t="n">
        <v>0.597</v>
      </c>
      <c r="E264" s="19" t="inlineStr">
        <is>
          <t>18</t>
        </is>
      </c>
      <c r="F264" t="n">
        <v>5</v>
      </c>
      <c r="G264" t="b">
        <v>0</v>
      </c>
      <c r="H264" t="inlineStr">
        <is>
          <t>UOM=KG;WEIGHT_BASIS=RECIPE_QUANTITY_IS_KG;LINE_WEIGHT_KG=0.597;SOURCE_CFG=IA-ST-CFG-0056;SRC_REF=Row 148, Slot 6;SRC_FILE=Mamul Ambalaj Bileşen Listesi-30.07.2026(3).xlsx</t>
        </is>
      </c>
    </row>
    <row r="265">
      <c r="A265" s="19" t="inlineStr">
        <is>
          <t>264</t>
        </is>
      </c>
      <c r="B265" s="19" t="inlineStr">
        <is>
          <t>36</t>
        </is>
      </c>
      <c r="C265" s="19" t="inlineStr">
        <is>
          <t>7</t>
        </is>
      </c>
      <c r="D265" t="n">
        <v>4</v>
      </c>
      <c r="E265" s="19" t="inlineStr">
        <is>
          <t>18</t>
        </is>
      </c>
      <c r="F265" t="n">
        <v>6</v>
      </c>
      <c r="G265" t="b">
        <v>0</v>
      </c>
      <c r="H265" t="inlineStr">
        <is>
          <t>UOM=ADT;WEIGHT_BASIS=PROCESSED_SOURCE_UNIT_WEIGHT;LINE_WEIGHT_KG=1.08;SOURCE_CFG=IA-ST-CFG-0056;SRC_REF=Row 148, Slot 8;SRC_FILE=Mamul Ambalaj Bileşen Listesi-30.07.2026(3).xlsx</t>
        </is>
      </c>
    </row>
    <row r="266">
      <c r="A266" s="19" t="inlineStr">
        <is>
          <t>265</t>
        </is>
      </c>
      <c r="B266" s="19" t="inlineStr">
        <is>
          <t>36</t>
        </is>
      </c>
      <c r="C266" s="19" t="inlineStr">
        <is>
          <t>54</t>
        </is>
      </c>
      <c r="D266" t="n">
        <v>4</v>
      </c>
      <c r="E266" s="19" t="inlineStr">
        <is>
          <t>18</t>
        </is>
      </c>
      <c r="F266" t="n">
        <v>7</v>
      </c>
      <c r="G266" t="b">
        <v>0</v>
      </c>
      <c r="H266" t="inlineStr">
        <is>
          <t>UOM=ADT;WEIGHT_BASIS=PROCESSED_SOURCE_UNIT_WEIGHT;LINE_WEIGHT_KG=0.12;SOURCE_CFG=IA-ST-CFG-0056;SRC_REF=Row 148, Slot 9;SRC_FILE=Mamul Ambalaj Bileşen Listesi-30.07.2026(3).xlsx</t>
        </is>
      </c>
    </row>
    <row r="267">
      <c r="A267" s="19" t="inlineStr">
        <is>
          <t>266</t>
        </is>
      </c>
      <c r="B267" s="19" t="inlineStr">
        <is>
          <t>37</t>
        </is>
      </c>
      <c r="C267" s="19" t="inlineStr">
        <is>
          <t>13</t>
        </is>
      </c>
      <c r="D267" t="n">
        <v>14</v>
      </c>
      <c r="E267" s="19" t="inlineStr">
        <is>
          <t>18</t>
        </is>
      </c>
      <c r="F267" t="n">
        <v>1</v>
      </c>
      <c r="G267" t="b">
        <v>0</v>
      </c>
      <c r="H267" t="inlineStr">
        <is>
          <t>UOM=M;WEIGHT_BASIS=PROCESSED_SOURCE_UNIT_WEIGHT;LINE_WEIGHT_KG=0.1736;SOURCE_CFG=IA-ST-CFG-0057;SRC_REF=Row 145, Slot 1;SRC_FILE=Mamul Ambalaj Bileşen Listesi-30.07.2026(3).xlsx</t>
        </is>
      </c>
    </row>
    <row r="268">
      <c r="A268" s="19" t="inlineStr">
        <is>
          <t>267</t>
        </is>
      </c>
      <c r="B268" s="19" t="inlineStr">
        <is>
          <t>37</t>
        </is>
      </c>
      <c r="C268" s="19" t="inlineStr">
        <is>
          <t>75</t>
        </is>
      </c>
      <c r="D268" t="n">
        <v>30</v>
      </c>
      <c r="E268" s="19" t="inlineStr">
        <is>
          <t>18</t>
        </is>
      </c>
      <c r="F268" t="n">
        <v>2</v>
      </c>
      <c r="G268" t="b">
        <v>0</v>
      </c>
      <c r="H268" t="inlineStr">
        <is>
          <t>UOM=ADT;WEIGHT_BASIS=PROCESSED_SOURCE_UNIT_WEIGHT;LINE_WEIGHT_KG=2.82;SOURCE_CFG=IA-ST-CFG-0057;SRC_REF=Row 145, Slot 2;SRC_FILE=Mamul Ambalaj Bileşen Listesi-30.07.2026(3).xlsx</t>
        </is>
      </c>
    </row>
    <row r="269">
      <c r="A269" s="19" t="inlineStr">
        <is>
          <t>268</t>
        </is>
      </c>
      <c r="B269" s="19" t="inlineStr">
        <is>
          <t>37</t>
        </is>
      </c>
      <c r="C269" s="19" t="inlineStr">
        <is>
          <t>5</t>
        </is>
      </c>
      <c r="D269" t="n">
        <v>1</v>
      </c>
      <c r="E269" s="19" t="inlineStr">
        <is>
          <t>18</t>
        </is>
      </c>
      <c r="F269" t="n">
        <v>3</v>
      </c>
      <c r="G269" t="b">
        <v>0</v>
      </c>
      <c r="H269" t="inlineStr">
        <is>
          <t>UOM=ADT;WEIGHT_BASIS=PROCESSED_SOURCE_UNIT_WEIGHT;LINE_WEIGHT_KG=26.0;SOURCE_CFG=IA-ST-CFG-0057;SRC_REF=Row 145, Slot 3;SRC_FILE=Mamul Ambalaj Bileşen Listesi-30.07.2026(3).xlsx</t>
        </is>
      </c>
    </row>
    <row r="270">
      <c r="A270" s="19" t="inlineStr">
        <is>
          <t>269</t>
        </is>
      </c>
      <c r="B270" s="19" t="inlineStr">
        <is>
          <t>37</t>
        </is>
      </c>
      <c r="C270" s="19" t="inlineStr">
        <is>
          <t>8</t>
        </is>
      </c>
      <c r="D270" t="n">
        <v>20</v>
      </c>
      <c r="E270" s="19" t="inlineStr">
        <is>
          <t>18</t>
        </is>
      </c>
      <c r="F270" t="n">
        <v>4</v>
      </c>
      <c r="G270" t="b">
        <v>0</v>
      </c>
      <c r="H270" t="inlineStr">
        <is>
          <t>UOM=M;WEIGHT_BASIS=PROCESSED_SOURCE_UNIT_WEIGHT;LINE_WEIGHT_KG=0.3664;SOURCE_CFG=IA-ST-CFG-0057;SRC_REF=Row 145, Slot 5;SRC_FILE=Mamul Ambalaj Bileşen Listesi-30.07.2026(3).xlsx</t>
        </is>
      </c>
    </row>
    <row r="271">
      <c r="A271" s="19" t="inlineStr">
        <is>
          <t>270</t>
        </is>
      </c>
      <c r="B271" s="19" t="inlineStr">
        <is>
          <t>37</t>
        </is>
      </c>
      <c r="C271" s="19" t="inlineStr">
        <is>
          <t>55</t>
        </is>
      </c>
      <c r="D271" t="n">
        <v>0.597</v>
      </c>
      <c r="E271" s="19" t="inlineStr">
        <is>
          <t>18</t>
        </is>
      </c>
      <c r="F271" t="n">
        <v>5</v>
      </c>
      <c r="G271" t="b">
        <v>0</v>
      </c>
      <c r="H271" t="inlineStr">
        <is>
          <t>UOM=KG;WEIGHT_BASIS=RECIPE_QUANTITY_IS_KG;LINE_WEIGHT_KG=0.597;SOURCE_CFG=IA-ST-CFG-0057;SRC_REF=Row 145, Slot 6;SRC_FILE=Mamul Ambalaj Bileşen Listesi-30.07.2026(3).xlsx</t>
        </is>
      </c>
    </row>
    <row r="272">
      <c r="A272" s="19" t="inlineStr">
        <is>
          <t>271</t>
        </is>
      </c>
      <c r="B272" s="19" t="inlineStr">
        <is>
          <t>37</t>
        </is>
      </c>
      <c r="C272" s="19" t="inlineStr">
        <is>
          <t>7</t>
        </is>
      </c>
      <c r="D272" t="n">
        <v>4</v>
      </c>
      <c r="E272" s="19" t="inlineStr">
        <is>
          <t>18</t>
        </is>
      </c>
      <c r="F272" t="n">
        <v>6</v>
      </c>
      <c r="G272" t="b">
        <v>0</v>
      </c>
      <c r="H272" t="inlineStr">
        <is>
          <t>UOM=ADT;WEIGHT_BASIS=PROCESSED_SOURCE_UNIT_WEIGHT;LINE_WEIGHT_KG=1.08;SOURCE_CFG=IA-ST-CFG-0057;SRC_REF=Row 145, Slot 8;SRC_FILE=Mamul Ambalaj Bileşen Listesi-30.07.2026(3).xlsx</t>
        </is>
      </c>
    </row>
    <row r="273">
      <c r="A273" s="19" t="inlineStr">
        <is>
          <t>272</t>
        </is>
      </c>
      <c r="B273" s="19" t="inlineStr">
        <is>
          <t>37</t>
        </is>
      </c>
      <c r="C273" s="19" t="inlineStr">
        <is>
          <t>54</t>
        </is>
      </c>
      <c r="D273" t="n">
        <v>4</v>
      </c>
      <c r="E273" s="19" t="inlineStr">
        <is>
          <t>18</t>
        </is>
      </c>
      <c r="F273" t="n">
        <v>7</v>
      </c>
      <c r="G273" t="b">
        <v>0</v>
      </c>
      <c r="H273" t="inlineStr">
        <is>
          <t>UOM=ADT;WEIGHT_BASIS=PROCESSED_SOURCE_UNIT_WEIGHT;LINE_WEIGHT_KG=0.12;SOURCE_CFG=IA-ST-CFG-0057;SRC_REF=Row 145, Slot 9;SRC_FILE=Mamul Ambalaj Bileşen Listesi-30.07.2026(3).xlsx</t>
        </is>
      </c>
    </row>
    <row r="274">
      <c r="A274" s="19" t="inlineStr">
        <is>
          <t>273</t>
        </is>
      </c>
      <c r="B274" s="19" t="inlineStr">
        <is>
          <t>38</t>
        </is>
      </c>
      <c r="C274" s="19" t="inlineStr">
        <is>
          <t>13</t>
        </is>
      </c>
      <c r="D274" t="n">
        <v>14</v>
      </c>
      <c r="E274" s="19" t="inlineStr">
        <is>
          <t>18</t>
        </is>
      </c>
      <c r="F274" t="n">
        <v>1</v>
      </c>
      <c r="G274" t="b">
        <v>0</v>
      </c>
      <c r="H274" t="inlineStr">
        <is>
          <t>UOM=M;WEIGHT_BASIS=PROCESSED_SOURCE_UNIT_WEIGHT;LINE_WEIGHT_KG=0.1736;SOURCE_CFG=IA-ST-CFG-0058;SRC_REF=Row 1080, Slot 1;SRC_FILE=Mamul Ambalaj Bileşen Listesi-30.07.2026(3).xlsx</t>
        </is>
      </c>
    </row>
    <row r="275">
      <c r="A275" s="19" t="inlineStr">
        <is>
          <t>274</t>
        </is>
      </c>
      <c r="B275" s="19" t="inlineStr">
        <is>
          <t>38</t>
        </is>
      </c>
      <c r="C275" s="19" t="inlineStr">
        <is>
          <t>6</t>
        </is>
      </c>
      <c r="D275" t="n">
        <v>1</v>
      </c>
      <c r="E275" s="19" t="inlineStr">
        <is>
          <t>18</t>
        </is>
      </c>
      <c r="F275" t="n">
        <v>2</v>
      </c>
      <c r="G275" t="b">
        <v>0</v>
      </c>
      <c r="H275" t="inlineStr">
        <is>
          <t>UOM=ADT;WEIGHT_BASIS=PROCESSED_SOURCE_UNIT_WEIGHT;LINE_WEIGHT_KG=26.0;SOURCE_CFG=IA-ST-CFG-0058;SRC_REF=Row 1080, Slot 3;SRC_FILE=Mamul Ambalaj Bileşen Listesi-30.07.2026(3).xlsx</t>
        </is>
      </c>
    </row>
    <row r="276">
      <c r="A276" s="19" t="inlineStr">
        <is>
          <t>275</t>
        </is>
      </c>
      <c r="B276" s="19" t="inlineStr">
        <is>
          <t>38</t>
        </is>
      </c>
      <c r="C276" s="19" t="inlineStr">
        <is>
          <t>8</t>
        </is>
      </c>
      <c r="D276" t="n">
        <v>20</v>
      </c>
      <c r="E276" s="19" t="inlineStr">
        <is>
          <t>18</t>
        </is>
      </c>
      <c r="F276" t="n">
        <v>3</v>
      </c>
      <c r="G276" t="b">
        <v>0</v>
      </c>
      <c r="H276" t="inlineStr">
        <is>
          <t>UOM=M;WEIGHT_BASIS=PROCESSED_SOURCE_UNIT_WEIGHT;LINE_WEIGHT_KG=0.3664;SOURCE_CFG=IA-ST-CFG-0058;SRC_REF=Row 1080, Slot 5;SRC_FILE=Mamul Ambalaj Bileşen Listesi-30.07.2026(3).xlsx</t>
        </is>
      </c>
    </row>
    <row r="277">
      <c r="A277" s="19" t="inlineStr">
        <is>
          <t>276</t>
        </is>
      </c>
      <c r="B277" s="19" t="inlineStr">
        <is>
          <t>38</t>
        </is>
      </c>
      <c r="C277" s="19" t="inlineStr">
        <is>
          <t>9</t>
        </is>
      </c>
      <c r="D277" t="n">
        <v>0.186</v>
      </c>
      <c r="E277" s="19" t="inlineStr">
        <is>
          <t>18</t>
        </is>
      </c>
      <c r="F277" t="n">
        <v>4</v>
      </c>
      <c r="G277" t="b">
        <v>0</v>
      </c>
      <c r="H277" t="inlineStr">
        <is>
          <t>UOM=KG;WEIGHT_BASIS=RECIPE_QUANTITY_IS_KG;LINE_WEIGHT_KG=0.186;SOURCE_CFG=IA-ST-CFG-0058;SRC_REF=Row 1080, Slot 6;SRC_FILE=Mamul Ambalaj Bileşen Listesi-30.07.2026(3).xlsx</t>
        </is>
      </c>
    </row>
    <row r="278">
      <c r="A278" s="19" t="inlineStr">
        <is>
          <t>277</t>
        </is>
      </c>
      <c r="B278" s="19" t="inlineStr">
        <is>
          <t>38</t>
        </is>
      </c>
      <c r="C278" s="19" t="inlineStr">
        <is>
          <t>25</t>
        </is>
      </c>
      <c r="D278" t="n">
        <v>4</v>
      </c>
      <c r="E278" s="19" t="inlineStr">
        <is>
          <t>18</t>
        </is>
      </c>
      <c r="F278" t="n">
        <v>5</v>
      </c>
      <c r="G278" t="b">
        <v>0</v>
      </c>
      <c r="H278" t="inlineStr">
        <is>
          <t>UOM=ADT;WEIGHT_BASIS=PROCESSED_SOURCE_UNIT_WEIGHT;LINE_WEIGHT_KG=0.4;SOURCE_CFG=IA-ST-CFG-0058;SRC_REF=Row 1080, Slot 8;SRC_FILE=Mamul Ambalaj Bileşen Listesi-30.07.2026(3).xlsx</t>
        </is>
      </c>
    </row>
    <row r="279">
      <c r="A279" s="19" t="inlineStr">
        <is>
          <t>278</t>
        </is>
      </c>
      <c r="B279" s="19" t="inlineStr">
        <is>
          <t>38</t>
        </is>
      </c>
      <c r="C279" s="19" t="inlineStr">
        <is>
          <t>30</t>
        </is>
      </c>
      <c r="D279" t="n">
        <v>4</v>
      </c>
      <c r="E279" s="19" t="inlineStr">
        <is>
          <t>18</t>
        </is>
      </c>
      <c r="F279" t="n">
        <v>6</v>
      </c>
      <c r="G279" t="b">
        <v>0</v>
      </c>
      <c r="H279" t="inlineStr">
        <is>
          <t>UOM=ADT;WEIGHT_BASIS=PROCESSED_SOURCE_UNIT_WEIGHT;LINE_WEIGHT_KG=0.8;SOURCE_CFG=IA-ST-CFG-0058;SRC_REF=Row 1080, Slot 9;SRC_FILE=Mamul Ambalaj Bileşen Listesi-30.07.2026(3).xlsx</t>
        </is>
      </c>
    </row>
    <row r="280">
      <c r="A280" s="19" t="inlineStr">
        <is>
          <t>279</t>
        </is>
      </c>
      <c r="B280" s="19" t="inlineStr">
        <is>
          <t>39</t>
        </is>
      </c>
      <c r="C280" s="19" t="inlineStr">
        <is>
          <t>13</t>
        </is>
      </c>
      <c r="D280" t="n">
        <v>14</v>
      </c>
      <c r="E280" s="19" t="inlineStr">
        <is>
          <t>18</t>
        </is>
      </c>
      <c r="F280" t="n">
        <v>1</v>
      </c>
      <c r="G280" t="b">
        <v>0</v>
      </c>
      <c r="H280" t="inlineStr">
        <is>
          <t>UOM=M;WEIGHT_BASIS=PROCESSED_SOURCE_UNIT_WEIGHT;LINE_WEIGHT_KG=0.1736;SOURCE_CFG=IA-ST-CFG-0059;SRC_REF=Row 731, Slot 1;SRC_FILE=Mamul Ambalaj Bileşen Listesi-30.07.2026(3).xlsx</t>
        </is>
      </c>
    </row>
    <row r="281">
      <c r="A281" s="19" t="inlineStr">
        <is>
          <t>280</t>
        </is>
      </c>
      <c r="B281" s="19" t="inlineStr">
        <is>
          <t>39</t>
        </is>
      </c>
      <c r="C281" s="19" t="inlineStr">
        <is>
          <t>77</t>
        </is>
      </c>
      <c r="D281" t="n">
        <v>34</v>
      </c>
      <c r="E281" s="19" t="inlineStr">
        <is>
          <t>18</t>
        </is>
      </c>
      <c r="F281" t="n">
        <v>2</v>
      </c>
      <c r="G281" t="b">
        <v>0</v>
      </c>
      <c r="H281" t="inlineStr">
        <is>
          <t>UOM=ADT;WEIGHT_BASIS=SOURCE_UNIT_WEIGHT;LINE_WEIGHT_KG=2.1216;SOURCE_CFG=IA-ST-CFG-0059;SRC_REF=Row 731, Slot 2;SRC_FILE=Mamul Ambalaj Bileşen Listesi-30.07.2026(3).xlsx</t>
        </is>
      </c>
    </row>
    <row r="282">
      <c r="A282" s="19" t="inlineStr">
        <is>
          <t>281</t>
        </is>
      </c>
      <c r="B282" s="19" t="inlineStr">
        <is>
          <t>39</t>
        </is>
      </c>
      <c r="C282" s="19" t="inlineStr">
        <is>
          <t>5</t>
        </is>
      </c>
      <c r="D282" t="n">
        <v>1</v>
      </c>
      <c r="E282" s="19" t="inlineStr">
        <is>
          <t>18</t>
        </is>
      </c>
      <c r="F282" t="n">
        <v>3</v>
      </c>
      <c r="G282" t="b">
        <v>0</v>
      </c>
      <c r="H282" t="inlineStr">
        <is>
          <t>UOM=ADT;WEIGHT_BASIS=PROCESSED_SOURCE_UNIT_WEIGHT;LINE_WEIGHT_KG=26.0;SOURCE_CFG=IA-ST-CFG-0059;SRC_REF=Row 731, Slot 3;SRC_FILE=Mamul Ambalaj Bileşen Listesi-30.07.2026(3).xlsx</t>
        </is>
      </c>
    </row>
    <row r="283">
      <c r="A283" s="19" t="inlineStr">
        <is>
          <t>282</t>
        </is>
      </c>
      <c r="B283" s="19" t="inlineStr">
        <is>
          <t>39</t>
        </is>
      </c>
      <c r="C283" s="19" t="inlineStr">
        <is>
          <t>8</t>
        </is>
      </c>
      <c r="D283" t="n">
        <v>20</v>
      </c>
      <c r="E283" s="19" t="inlineStr">
        <is>
          <t>18</t>
        </is>
      </c>
      <c r="F283" t="n">
        <v>4</v>
      </c>
      <c r="G283" t="b">
        <v>0</v>
      </c>
      <c r="H283" t="inlineStr">
        <is>
          <t>UOM=M;WEIGHT_BASIS=PROCESSED_SOURCE_UNIT_WEIGHT;LINE_WEIGHT_KG=0.3664;SOURCE_CFG=IA-ST-CFG-0059;SRC_REF=Row 731, Slot 5;SRC_FILE=Mamul Ambalaj Bileşen Listesi-30.07.2026(3).xlsx</t>
        </is>
      </c>
    </row>
    <row r="284">
      <c r="A284" s="19" t="inlineStr">
        <is>
          <t>283</t>
        </is>
      </c>
      <c r="B284" s="19" t="inlineStr">
        <is>
          <t>39</t>
        </is>
      </c>
      <c r="C284" s="19" t="inlineStr">
        <is>
          <t>9</t>
        </is>
      </c>
      <c r="D284" t="n">
        <v>0.186</v>
      </c>
      <c r="E284" s="19" t="inlineStr">
        <is>
          <t>18</t>
        </is>
      </c>
      <c r="F284" t="n">
        <v>5</v>
      </c>
      <c r="G284" t="b">
        <v>0</v>
      </c>
      <c r="H284" t="inlineStr">
        <is>
          <t>UOM=KG;WEIGHT_BASIS=RECIPE_QUANTITY_IS_KG;LINE_WEIGHT_KG=0.186;SOURCE_CFG=IA-ST-CFG-0059;SRC_REF=Row 731, Slot 6;SRC_FILE=Mamul Ambalaj Bileşen Listesi-30.07.2026(3).xlsx</t>
        </is>
      </c>
    </row>
    <row r="285">
      <c r="A285" s="19" t="inlineStr">
        <is>
          <t>284</t>
        </is>
      </c>
      <c r="B285" s="19" t="inlineStr">
        <is>
          <t>39</t>
        </is>
      </c>
      <c r="C285" s="19" t="inlineStr">
        <is>
          <t>3</t>
        </is>
      </c>
      <c r="D285" t="n">
        <v>6</v>
      </c>
      <c r="E285" s="19" t="inlineStr">
        <is>
          <t>18</t>
        </is>
      </c>
      <c r="F285" t="n">
        <v>6</v>
      </c>
      <c r="G285" t="b">
        <v>0</v>
      </c>
      <c r="H285" t="inlineStr">
        <is>
          <t>UOM=ADT;WEIGHT_BASIS=PROCESSED_SOURCE_UNIT_WEIGHT;LINE_WEIGHT_KG=1.26;SOURCE_CFG=IA-ST-CFG-0059;SRC_REF=Row 731, Slot 8;SRC_FILE=Mamul Ambalaj Bileşen Listesi-30.07.2026(3).xlsx</t>
        </is>
      </c>
    </row>
    <row r="286">
      <c r="A286" s="19" t="inlineStr">
        <is>
          <t>285</t>
        </is>
      </c>
      <c r="B286" s="19" t="inlineStr">
        <is>
          <t>39</t>
        </is>
      </c>
      <c r="C286" s="19" t="inlineStr">
        <is>
          <t>7</t>
        </is>
      </c>
      <c r="D286" t="n">
        <v>3</v>
      </c>
      <c r="E286" s="19" t="inlineStr">
        <is>
          <t>18</t>
        </is>
      </c>
      <c r="F286" t="n">
        <v>7</v>
      </c>
      <c r="G286" t="b">
        <v>0</v>
      </c>
      <c r="H286" t="inlineStr">
        <is>
          <t>UOM=ADT;WEIGHT_BASIS=PROCESSED_SOURCE_UNIT_WEIGHT;LINE_WEIGHT_KG=0.81;SOURCE_CFG=IA-ST-CFG-0059;SRC_REF=Row 731, Slot 9;SRC_FILE=Mamul Ambalaj Bileşen Listesi-30.07.2026(3).xlsx</t>
        </is>
      </c>
    </row>
    <row r="287">
      <c r="A287" s="19" t="inlineStr">
        <is>
          <t>286</t>
        </is>
      </c>
      <c r="B287" s="19" t="inlineStr">
        <is>
          <t>39</t>
        </is>
      </c>
      <c r="C287" s="19" t="inlineStr">
        <is>
          <t>50</t>
        </is>
      </c>
      <c r="D287" t="n">
        <v>34</v>
      </c>
      <c r="E287" s="19" t="inlineStr">
        <is>
          <t>18</t>
        </is>
      </c>
      <c r="F287" t="n">
        <v>8</v>
      </c>
      <c r="G287" t="b">
        <v>0</v>
      </c>
      <c r="H287" t="inlineStr">
        <is>
          <t>UOM=ADT;WEIGHT_BASIS=PROCESSED_SOURCE_UNIT_WEIGHT;LINE_WEIGHT_KG=9.86;SOURCE_CFG=IA-ST-CFG-0059;SRC_REF=Row 731, Slot 10;SRC_FILE=Mamul Ambalaj Bileşen Listesi-30.07.2026(3).xlsx</t>
        </is>
      </c>
    </row>
    <row r="288">
      <c r="A288" s="19" t="inlineStr">
        <is>
          <t>287</t>
        </is>
      </c>
      <c r="B288" s="19" t="inlineStr">
        <is>
          <t>40</t>
        </is>
      </c>
      <c r="C288" s="19" t="inlineStr">
        <is>
          <t>13</t>
        </is>
      </c>
      <c r="D288" t="n">
        <v>14</v>
      </c>
      <c r="E288" s="19" t="inlineStr">
        <is>
          <t>18</t>
        </is>
      </c>
      <c r="F288" t="n">
        <v>1</v>
      </c>
      <c r="G288" t="b">
        <v>0</v>
      </c>
      <c r="H288" t="inlineStr">
        <is>
          <t>UOM=M;WEIGHT_BASIS=PROCESSED_SOURCE_UNIT_WEIGHT;LINE_WEIGHT_KG=0.1736;SOURCE_CFG=IA-ST-CFG-0060;SRC_REF=Row 729, Slot 1;SRC_FILE=Mamul Ambalaj Bileşen Listesi-30.07.2026(3).xlsx</t>
        </is>
      </c>
    </row>
    <row r="289">
      <c r="A289" s="19" t="inlineStr">
        <is>
          <t>288</t>
        </is>
      </c>
      <c r="B289" s="19" t="inlineStr">
        <is>
          <t>40</t>
        </is>
      </c>
      <c r="C289" s="19" t="inlineStr">
        <is>
          <t>5</t>
        </is>
      </c>
      <c r="D289" t="n">
        <v>1</v>
      </c>
      <c r="E289" s="19" t="inlineStr">
        <is>
          <t>18</t>
        </is>
      </c>
      <c r="F289" t="n">
        <v>2</v>
      </c>
      <c r="G289" t="b">
        <v>0</v>
      </c>
      <c r="H289" t="inlineStr">
        <is>
          <t>UOM=ADT;WEIGHT_BASIS=PROCESSED_SOURCE_UNIT_WEIGHT;LINE_WEIGHT_KG=26.0;SOURCE_CFG=IA-ST-CFG-0060;SRC_REF=Row 729, Slot 3;SRC_FILE=Mamul Ambalaj Bileşen Listesi-30.07.2026(3).xlsx</t>
        </is>
      </c>
    </row>
    <row r="290">
      <c r="A290" s="19" t="inlineStr">
        <is>
          <t>289</t>
        </is>
      </c>
      <c r="B290" s="19" t="inlineStr">
        <is>
          <t>40</t>
        </is>
      </c>
      <c r="C290" s="19" t="inlineStr">
        <is>
          <t>8</t>
        </is>
      </c>
      <c r="D290" t="n">
        <v>20</v>
      </c>
      <c r="E290" s="19" t="inlineStr">
        <is>
          <t>18</t>
        </is>
      </c>
      <c r="F290" t="n">
        <v>3</v>
      </c>
      <c r="G290" t="b">
        <v>0</v>
      </c>
      <c r="H290" t="inlineStr">
        <is>
          <t>UOM=M;WEIGHT_BASIS=PROCESSED_SOURCE_UNIT_WEIGHT;LINE_WEIGHT_KG=0.3664;SOURCE_CFG=IA-ST-CFG-0060;SRC_REF=Row 729, Slot 5;SRC_FILE=Mamul Ambalaj Bileşen Listesi-30.07.2026(3).xlsx</t>
        </is>
      </c>
    </row>
    <row r="291">
      <c r="A291" s="19" t="inlineStr">
        <is>
          <t>290</t>
        </is>
      </c>
      <c r="B291" s="19" t="inlineStr">
        <is>
          <t>40</t>
        </is>
      </c>
      <c r="C291" s="19" t="inlineStr">
        <is>
          <t>9</t>
        </is>
      </c>
      <c r="D291" t="n">
        <v>0.186</v>
      </c>
      <c r="E291" s="19" t="inlineStr">
        <is>
          <t>18</t>
        </is>
      </c>
      <c r="F291" t="n">
        <v>4</v>
      </c>
      <c r="G291" t="b">
        <v>0</v>
      </c>
      <c r="H291" t="inlineStr">
        <is>
          <t>UOM=KG;WEIGHT_BASIS=RECIPE_QUANTITY_IS_KG;LINE_WEIGHT_KG=0.186;SOURCE_CFG=IA-ST-CFG-0060;SRC_REF=Row 729, Slot 6;SRC_FILE=Mamul Ambalaj Bileşen Listesi-30.07.2026(3).xlsx</t>
        </is>
      </c>
    </row>
    <row r="292">
      <c r="A292" s="19" t="inlineStr">
        <is>
          <t>291</t>
        </is>
      </c>
      <c r="B292" s="19" t="inlineStr">
        <is>
          <t>40</t>
        </is>
      </c>
      <c r="C292" s="19" t="inlineStr">
        <is>
          <t>3</t>
        </is>
      </c>
      <c r="D292" t="n">
        <v>6</v>
      </c>
      <c r="E292" s="19" t="inlineStr">
        <is>
          <t>18</t>
        </is>
      </c>
      <c r="F292" t="n">
        <v>5</v>
      </c>
      <c r="G292" t="b">
        <v>0</v>
      </c>
      <c r="H292" t="inlineStr">
        <is>
          <t>UOM=ADT;WEIGHT_BASIS=PROCESSED_SOURCE_UNIT_WEIGHT;LINE_WEIGHT_KG=1.26;SOURCE_CFG=IA-ST-CFG-0060;SRC_REF=Row 729, Slot 8;SRC_FILE=Mamul Ambalaj Bileşen Listesi-30.07.2026(3).xlsx</t>
        </is>
      </c>
    </row>
    <row r="293">
      <c r="A293" s="19" t="inlineStr">
        <is>
          <t>292</t>
        </is>
      </c>
      <c r="B293" s="19" t="inlineStr">
        <is>
          <t>40</t>
        </is>
      </c>
      <c r="C293" s="19" t="inlineStr">
        <is>
          <t>7</t>
        </is>
      </c>
      <c r="D293" t="n">
        <v>3</v>
      </c>
      <c r="E293" s="19" t="inlineStr">
        <is>
          <t>18</t>
        </is>
      </c>
      <c r="F293" t="n">
        <v>6</v>
      </c>
      <c r="G293" t="b">
        <v>0</v>
      </c>
      <c r="H293" t="inlineStr">
        <is>
          <t>UOM=ADT;WEIGHT_BASIS=PROCESSED_SOURCE_UNIT_WEIGHT;LINE_WEIGHT_KG=0.81;SOURCE_CFG=IA-ST-CFG-0060;SRC_REF=Row 729, Slot 9;SRC_FILE=Mamul Ambalaj Bileşen Listesi-30.07.2026(3).xlsx</t>
        </is>
      </c>
    </row>
    <row r="294">
      <c r="A294" s="19" t="inlineStr">
        <is>
          <t>293</t>
        </is>
      </c>
      <c r="B294" s="19" t="inlineStr">
        <is>
          <t>40</t>
        </is>
      </c>
      <c r="C294" s="19" t="inlineStr">
        <is>
          <t>79</t>
        </is>
      </c>
      <c r="D294" t="n">
        <v>34</v>
      </c>
      <c r="E294" s="19" t="inlineStr">
        <is>
          <t>18</t>
        </is>
      </c>
      <c r="F294" t="n">
        <v>7</v>
      </c>
      <c r="G294" t="b">
        <v>0</v>
      </c>
      <c r="H294" t="inlineStr">
        <is>
          <t>UOM=ADT;WEIGHT_BASIS=PROCESSED_SOURCE_UNIT_WEIGHT;LINE_WEIGHT_KG=8.5;SOURCE_CFG=IA-ST-CFG-0060;SRC_REF=Row 729, Slot 10;SRC_FILE=Mamul Ambalaj Bileşen Listesi-30.07.2026(3).xlsx</t>
        </is>
      </c>
    </row>
    <row r="295">
      <c r="A295" s="19" t="inlineStr">
        <is>
          <t>294</t>
        </is>
      </c>
      <c r="B295" s="19" t="inlineStr">
        <is>
          <t>41</t>
        </is>
      </c>
      <c r="C295" s="19" t="inlineStr">
        <is>
          <t>13</t>
        </is>
      </c>
      <c r="D295" t="n">
        <v>14</v>
      </c>
      <c r="E295" s="19" t="inlineStr">
        <is>
          <t>18</t>
        </is>
      </c>
      <c r="F295" t="n">
        <v>1</v>
      </c>
      <c r="G295" t="b">
        <v>0</v>
      </c>
      <c r="H295" t="inlineStr">
        <is>
          <t>UOM=M;WEIGHT_BASIS=PROCESSED_SOURCE_UNIT_WEIGHT;LINE_WEIGHT_KG=0.1736;SOURCE_CFG=IA-ST-CFG-0062;SRC_REF=Row 660, Slot 1;SRC_FILE=Mamul Ambalaj Bileşen Listesi-30.07.2026(3).xlsx</t>
        </is>
      </c>
    </row>
    <row r="296">
      <c r="A296" s="19" t="inlineStr">
        <is>
          <t>295</t>
        </is>
      </c>
      <c r="B296" s="19" t="inlineStr">
        <is>
          <t>41</t>
        </is>
      </c>
      <c r="C296" s="19" t="inlineStr">
        <is>
          <t>6</t>
        </is>
      </c>
      <c r="D296" t="n">
        <v>1</v>
      </c>
      <c r="E296" s="19" t="inlineStr">
        <is>
          <t>18</t>
        </is>
      </c>
      <c r="F296" t="n">
        <v>2</v>
      </c>
      <c r="G296" t="b">
        <v>0</v>
      </c>
      <c r="H296" t="inlineStr">
        <is>
          <t>UOM=ADT;WEIGHT_BASIS=PROCESSED_SOURCE_UNIT_WEIGHT;LINE_WEIGHT_KG=26.0;SOURCE_CFG=IA-ST-CFG-0062;SRC_REF=Row 660, Slot 3;SRC_FILE=Mamul Ambalaj Bileşen Listesi-30.07.2026(3).xlsx</t>
        </is>
      </c>
    </row>
    <row r="297">
      <c r="A297" s="19" t="inlineStr">
        <is>
          <t>296</t>
        </is>
      </c>
      <c r="B297" s="19" t="inlineStr">
        <is>
          <t>41</t>
        </is>
      </c>
      <c r="C297" s="19" t="inlineStr">
        <is>
          <t>8</t>
        </is>
      </c>
      <c r="D297" t="n">
        <v>20</v>
      </c>
      <c r="E297" s="19" t="inlineStr">
        <is>
          <t>18</t>
        </is>
      </c>
      <c r="F297" t="n">
        <v>3</v>
      </c>
      <c r="G297" t="b">
        <v>0</v>
      </c>
      <c r="H297" t="inlineStr">
        <is>
          <t>UOM=M;WEIGHT_BASIS=PROCESSED_SOURCE_UNIT_WEIGHT;LINE_WEIGHT_KG=0.3664;SOURCE_CFG=IA-ST-CFG-0062;SRC_REF=Row 660, Slot 5;SRC_FILE=Mamul Ambalaj Bileşen Listesi-30.07.2026(3).xlsx</t>
        </is>
      </c>
    </row>
    <row r="298">
      <c r="A298" s="19" t="inlineStr">
        <is>
          <t>297</t>
        </is>
      </c>
      <c r="B298" s="19" t="inlineStr">
        <is>
          <t>41</t>
        </is>
      </c>
      <c r="C298" s="19" t="inlineStr">
        <is>
          <t>9</t>
        </is>
      </c>
      <c r="D298" t="n">
        <v>0.186</v>
      </c>
      <c r="E298" s="19" t="inlineStr">
        <is>
          <t>18</t>
        </is>
      </c>
      <c r="F298" t="n">
        <v>4</v>
      </c>
      <c r="G298" t="b">
        <v>0</v>
      </c>
      <c r="H298" t="inlineStr">
        <is>
          <t>UOM=KG;WEIGHT_BASIS=RECIPE_QUANTITY_IS_KG;LINE_WEIGHT_KG=0.186;SOURCE_CFG=IA-ST-CFG-0062;SRC_REF=Row 660, Slot 6;SRC_FILE=Mamul Ambalaj Bileşen Listesi-30.07.2026(3).xlsx</t>
        </is>
      </c>
    </row>
    <row r="299">
      <c r="A299" s="19" t="inlineStr">
        <is>
          <t>298</t>
        </is>
      </c>
      <c r="B299" s="19" t="inlineStr">
        <is>
          <t>41</t>
        </is>
      </c>
      <c r="C299" s="19" t="inlineStr">
        <is>
          <t>3</t>
        </is>
      </c>
      <c r="D299" t="n">
        <v>6</v>
      </c>
      <c r="E299" s="19" t="inlineStr">
        <is>
          <t>18</t>
        </is>
      </c>
      <c r="F299" t="n">
        <v>5</v>
      </c>
      <c r="G299" t="b">
        <v>0</v>
      </c>
      <c r="H299" t="inlineStr">
        <is>
          <t>UOM=ADT;WEIGHT_BASIS=PROCESSED_SOURCE_UNIT_WEIGHT;LINE_WEIGHT_KG=1.26;SOURCE_CFG=IA-ST-CFG-0062;SRC_REF=Row 660, Slot 8;SRC_FILE=Mamul Ambalaj Bileşen Listesi-30.07.2026(3).xlsx</t>
        </is>
      </c>
    </row>
    <row r="300">
      <c r="A300" s="19" t="inlineStr">
        <is>
          <t>299</t>
        </is>
      </c>
      <c r="B300" s="19" t="inlineStr">
        <is>
          <t>41</t>
        </is>
      </c>
      <c r="C300" s="19" t="inlineStr">
        <is>
          <t>30</t>
        </is>
      </c>
      <c r="D300" t="n">
        <v>4</v>
      </c>
      <c r="E300" s="19" t="inlineStr">
        <is>
          <t>18</t>
        </is>
      </c>
      <c r="F300" t="n">
        <v>6</v>
      </c>
      <c r="G300" t="b">
        <v>0</v>
      </c>
      <c r="H300" t="inlineStr">
        <is>
          <t>UOM=ADT;WEIGHT_BASIS=PROCESSED_SOURCE_UNIT_WEIGHT;LINE_WEIGHT_KG=0.8;SOURCE_CFG=IA-ST-CFG-0062;SRC_REF=Row 660, Slot 9;SRC_FILE=Mamul Ambalaj Bileşen Listesi-30.07.2026(3).xlsx</t>
        </is>
      </c>
    </row>
    <row r="301">
      <c r="A301" s="19" t="inlineStr">
        <is>
          <t>300</t>
        </is>
      </c>
      <c r="B301" s="19" t="inlineStr">
        <is>
          <t>41</t>
        </is>
      </c>
      <c r="C301" s="19" t="inlineStr">
        <is>
          <t>89</t>
        </is>
      </c>
      <c r="D301" t="n">
        <v>36</v>
      </c>
      <c r="E301" s="19" t="inlineStr">
        <is>
          <t>18</t>
        </is>
      </c>
      <c r="F301" t="n">
        <v>7</v>
      </c>
      <c r="G301" t="b">
        <v>0</v>
      </c>
      <c r="H301" t="inlineStr">
        <is>
          <t>UOM=ADT;WEIGHT_BASIS=PROCESSED_SOURCE_UNIT_WEIGHT;LINE_WEIGHT_KG=14.4;SOURCE_CFG=IA-ST-CFG-0062;SRC_REF=Row 660, Slot 10;SRC_FILE=Mamul Ambalaj Bileşen Listesi-30.07.2026(3).xlsx</t>
        </is>
      </c>
    </row>
    <row r="302">
      <c r="A302" s="19" t="inlineStr">
        <is>
          <t>301</t>
        </is>
      </c>
      <c r="B302" s="19" t="inlineStr">
        <is>
          <t>42</t>
        </is>
      </c>
      <c r="C302" s="19" t="inlineStr">
        <is>
          <t>13</t>
        </is>
      </c>
      <c r="D302" t="n">
        <v>14</v>
      </c>
      <c r="E302" s="19" t="inlineStr">
        <is>
          <t>18</t>
        </is>
      </c>
      <c r="F302" t="n">
        <v>1</v>
      </c>
      <c r="G302" t="b">
        <v>0</v>
      </c>
      <c r="H302" t="inlineStr">
        <is>
          <t>UOM=M;WEIGHT_BASIS=PROCESSED_SOURCE_UNIT_WEIGHT;LINE_WEIGHT_KG=0.1736;SOURCE_CFG=IA-ST-CFG-0065;SRC_REF=Row 734, Slot 1;SRC_FILE=Mamul Ambalaj Bileşen Listesi-30.07.2026(3).xlsx</t>
        </is>
      </c>
    </row>
    <row r="303">
      <c r="A303" s="19" t="inlineStr">
        <is>
          <t>302</t>
        </is>
      </c>
      <c r="B303" s="19" t="inlineStr">
        <is>
          <t>42</t>
        </is>
      </c>
      <c r="C303" s="19" t="inlineStr">
        <is>
          <t>24</t>
        </is>
      </c>
      <c r="D303" t="n">
        <v>8</v>
      </c>
      <c r="E303" s="19" t="inlineStr">
        <is>
          <t>18</t>
        </is>
      </c>
      <c r="F303" t="n">
        <v>2</v>
      </c>
      <c r="G303" t="b">
        <v>0</v>
      </c>
      <c r="H303" t="inlineStr">
        <is>
          <t>UOM=ADT;WEIGHT_BASIS=PROCESSED_SOURCE_UNIT_WEIGHT;LINE_WEIGHT_KG=0.416;SOURCE_CFG=IA-ST-CFG-0065;SRC_REF=Row 734, Slot 2;SRC_FILE=Mamul Ambalaj Bileşen Listesi-30.07.2026(3).xlsx</t>
        </is>
      </c>
    </row>
    <row r="304">
      <c r="A304" s="19" t="inlineStr">
        <is>
          <t>303</t>
        </is>
      </c>
      <c r="B304" s="19" t="inlineStr">
        <is>
          <t>42</t>
        </is>
      </c>
      <c r="C304" s="19" t="inlineStr">
        <is>
          <t>6</t>
        </is>
      </c>
      <c r="D304" t="n">
        <v>1</v>
      </c>
      <c r="E304" s="19" t="inlineStr">
        <is>
          <t>18</t>
        </is>
      </c>
      <c r="F304" t="n">
        <v>3</v>
      </c>
      <c r="G304" t="b">
        <v>0</v>
      </c>
      <c r="H304" t="inlineStr">
        <is>
          <t>UOM=ADT;WEIGHT_BASIS=PROCESSED_SOURCE_UNIT_WEIGHT;LINE_WEIGHT_KG=26.0;SOURCE_CFG=IA-ST-CFG-0065;SRC_REF=Row 734, Slot 3;SRC_FILE=Mamul Ambalaj Bileşen Listesi-30.07.2026(3).xlsx</t>
        </is>
      </c>
    </row>
    <row r="305">
      <c r="A305" s="19" t="inlineStr">
        <is>
          <t>304</t>
        </is>
      </c>
      <c r="B305" s="19" t="inlineStr">
        <is>
          <t>42</t>
        </is>
      </c>
      <c r="C305" s="19" t="inlineStr">
        <is>
          <t>8</t>
        </is>
      </c>
      <c r="D305" t="n">
        <v>20</v>
      </c>
      <c r="E305" s="19" t="inlineStr">
        <is>
          <t>18</t>
        </is>
      </c>
      <c r="F305" t="n">
        <v>4</v>
      </c>
      <c r="G305" t="b">
        <v>0</v>
      </c>
      <c r="H305" t="inlineStr">
        <is>
          <t>UOM=M;WEIGHT_BASIS=PROCESSED_SOURCE_UNIT_WEIGHT;LINE_WEIGHT_KG=0.3664;SOURCE_CFG=IA-ST-CFG-0065;SRC_REF=Row 734, Slot 5;SRC_FILE=Mamul Ambalaj Bileşen Listesi-30.07.2026(3).xlsx</t>
        </is>
      </c>
    </row>
    <row r="306">
      <c r="A306" s="19" t="inlineStr">
        <is>
          <t>305</t>
        </is>
      </c>
      <c r="B306" s="19" t="inlineStr">
        <is>
          <t>42</t>
        </is>
      </c>
      <c r="C306" s="19" t="inlineStr">
        <is>
          <t>9</t>
        </is>
      </c>
      <c r="D306" t="n">
        <v>0.186</v>
      </c>
      <c r="E306" s="19" t="inlineStr">
        <is>
          <t>18</t>
        </is>
      </c>
      <c r="F306" t="n">
        <v>5</v>
      </c>
      <c r="G306" t="b">
        <v>0</v>
      </c>
      <c r="H306" t="inlineStr">
        <is>
          <t>UOM=KG;WEIGHT_BASIS=RECIPE_QUANTITY_IS_KG;LINE_WEIGHT_KG=0.186;SOURCE_CFG=IA-ST-CFG-0065;SRC_REF=Row 734, Slot 6;SRC_FILE=Mamul Ambalaj Bileşen Listesi-30.07.2026(3).xlsx</t>
        </is>
      </c>
    </row>
    <row r="307">
      <c r="A307" s="19" t="inlineStr">
        <is>
          <t>306</t>
        </is>
      </c>
      <c r="B307" s="19" t="inlineStr">
        <is>
          <t>42</t>
        </is>
      </c>
      <c r="C307" s="19" t="inlineStr">
        <is>
          <t>25</t>
        </is>
      </c>
      <c r="D307" t="n">
        <v>4</v>
      </c>
      <c r="E307" s="19" t="inlineStr">
        <is>
          <t>18</t>
        </is>
      </c>
      <c r="F307" t="n">
        <v>6</v>
      </c>
      <c r="G307" t="b">
        <v>0</v>
      </c>
      <c r="H307" t="inlineStr">
        <is>
          <t>UOM=ADT;WEIGHT_BASIS=PROCESSED_SOURCE_UNIT_WEIGHT;LINE_WEIGHT_KG=0.4;SOURCE_CFG=IA-ST-CFG-0065;SRC_REF=Row 734, Slot 8;SRC_FILE=Mamul Ambalaj Bileşen Listesi-30.07.2026(3).xlsx</t>
        </is>
      </c>
    </row>
    <row r="308">
      <c r="A308" s="19" t="inlineStr">
        <is>
          <t>307</t>
        </is>
      </c>
      <c r="B308" s="19" t="inlineStr">
        <is>
          <t>42</t>
        </is>
      </c>
      <c r="C308" s="19" t="inlineStr">
        <is>
          <t>30</t>
        </is>
      </c>
      <c r="D308" t="n">
        <v>2</v>
      </c>
      <c r="E308" s="19" t="inlineStr">
        <is>
          <t>18</t>
        </is>
      </c>
      <c r="F308" t="n">
        <v>7</v>
      </c>
      <c r="G308" t="b">
        <v>0</v>
      </c>
      <c r="H308" t="inlineStr">
        <is>
          <t>UOM=ADT;WEIGHT_BASIS=PROCESSED_SOURCE_UNIT_WEIGHT;LINE_WEIGHT_KG=0.4;SOURCE_CFG=IA-ST-CFG-0065;SRC_REF=Row 734, Slot 9;SRC_FILE=Mamul Ambalaj Bileşen Listesi-30.07.2026(3).xlsx</t>
        </is>
      </c>
    </row>
    <row r="309">
      <c r="A309" s="19" t="inlineStr">
        <is>
          <t>308</t>
        </is>
      </c>
      <c r="B309" s="19" t="inlineStr">
        <is>
          <t>43</t>
        </is>
      </c>
      <c r="C309" s="19" t="inlineStr">
        <is>
          <t>13</t>
        </is>
      </c>
      <c r="D309" t="n">
        <v>14</v>
      </c>
      <c r="E309" s="19" t="inlineStr">
        <is>
          <t>18</t>
        </is>
      </c>
      <c r="F309" t="n">
        <v>1</v>
      </c>
      <c r="G309" t="b">
        <v>0</v>
      </c>
      <c r="H309" t="inlineStr">
        <is>
          <t>UOM=M;WEIGHT_BASIS=PROCESSED_SOURCE_UNIT_WEIGHT;LINE_WEIGHT_KG=0.1736;SOURCE_CFG=IA-ST-CFG-0066;SRC_REF=Row 748, Slot 1;SRC_FILE=Mamul Ambalaj Bileşen Listesi-30.07.2026(3).xlsx</t>
        </is>
      </c>
    </row>
    <row r="310">
      <c r="A310" s="19" t="inlineStr">
        <is>
          <t>309</t>
        </is>
      </c>
      <c r="B310" s="19" t="inlineStr">
        <is>
          <t>43</t>
        </is>
      </c>
      <c r="C310" s="19" t="inlineStr">
        <is>
          <t>6</t>
        </is>
      </c>
      <c r="D310" t="n">
        <v>1</v>
      </c>
      <c r="E310" s="19" t="inlineStr">
        <is>
          <t>18</t>
        </is>
      </c>
      <c r="F310" t="n">
        <v>2</v>
      </c>
      <c r="G310" t="b">
        <v>0</v>
      </c>
      <c r="H310" t="inlineStr">
        <is>
          <t>UOM=ADT;WEIGHT_BASIS=PROCESSED_SOURCE_UNIT_WEIGHT;LINE_WEIGHT_KG=26.0;SOURCE_CFG=IA-ST-CFG-0066;SRC_REF=Row 748, Slot 3;SRC_FILE=Mamul Ambalaj Bileşen Listesi-30.07.2026(3).xlsx</t>
        </is>
      </c>
    </row>
    <row r="311">
      <c r="A311" s="19" t="inlineStr">
        <is>
          <t>310</t>
        </is>
      </c>
      <c r="B311" s="19" t="inlineStr">
        <is>
          <t>43</t>
        </is>
      </c>
      <c r="C311" s="19" t="inlineStr">
        <is>
          <t>8</t>
        </is>
      </c>
      <c r="D311" t="n">
        <v>20</v>
      </c>
      <c r="E311" s="19" t="inlineStr">
        <is>
          <t>18</t>
        </is>
      </c>
      <c r="F311" t="n">
        <v>3</v>
      </c>
      <c r="G311" t="b">
        <v>0</v>
      </c>
      <c r="H311" t="inlineStr">
        <is>
          <t>UOM=M;WEIGHT_BASIS=PROCESSED_SOURCE_UNIT_WEIGHT;LINE_WEIGHT_KG=0.3664;SOURCE_CFG=IA-ST-CFG-0066;SRC_REF=Row 748, Slot 5;SRC_FILE=Mamul Ambalaj Bileşen Listesi-30.07.2026(3).xlsx</t>
        </is>
      </c>
    </row>
    <row r="312">
      <c r="A312" s="19" t="inlineStr">
        <is>
          <t>311</t>
        </is>
      </c>
      <c r="B312" s="19" t="inlineStr">
        <is>
          <t>43</t>
        </is>
      </c>
      <c r="C312" s="19" t="inlineStr">
        <is>
          <t>9</t>
        </is>
      </c>
      <c r="D312" t="n">
        <v>0.186</v>
      </c>
      <c r="E312" s="19" t="inlineStr">
        <is>
          <t>18</t>
        </is>
      </c>
      <c r="F312" t="n">
        <v>4</v>
      </c>
      <c r="G312" t="b">
        <v>0</v>
      </c>
      <c r="H312" t="inlineStr">
        <is>
          <t>UOM=KG;WEIGHT_BASIS=RECIPE_QUANTITY_IS_KG;LINE_WEIGHT_KG=0.186;SOURCE_CFG=IA-ST-CFG-0066;SRC_REF=Row 748, Slot 6;SRC_FILE=Mamul Ambalaj Bileşen Listesi-30.07.2026(3).xlsx</t>
        </is>
      </c>
    </row>
    <row r="313">
      <c r="A313" s="19" t="inlineStr">
        <is>
          <t>312</t>
        </is>
      </c>
      <c r="B313" s="19" t="inlineStr">
        <is>
          <t>43</t>
        </is>
      </c>
      <c r="C313" s="19" t="inlineStr">
        <is>
          <t>29</t>
        </is>
      </c>
      <c r="D313" t="n">
        <v>1.44</v>
      </c>
      <c r="E313" s="19" t="inlineStr">
        <is>
          <t>18</t>
        </is>
      </c>
      <c r="F313" t="n">
        <v>5</v>
      </c>
      <c r="G313" t="b">
        <v>0</v>
      </c>
      <c r="H313" t="inlineStr">
        <is>
          <t>UOM=KG;WEIGHT_BASIS=RECIPE_QUANTITY_IS_KG;LINE_WEIGHT_KG=1.44;SOURCE_CFG=IA-ST-CFG-0066;SRC_REF=Row 748, Slot 7;SRC_FILE=Mamul Ambalaj Bileşen Listesi-30.07.2026(3).xlsx</t>
        </is>
      </c>
    </row>
    <row r="314">
      <c r="A314" s="19" t="inlineStr">
        <is>
          <t>313</t>
        </is>
      </c>
      <c r="B314" s="19" t="inlineStr">
        <is>
          <t>43</t>
        </is>
      </c>
      <c r="C314" s="19" t="inlineStr">
        <is>
          <t>25</t>
        </is>
      </c>
      <c r="D314" t="n">
        <v>4</v>
      </c>
      <c r="E314" s="19" t="inlineStr">
        <is>
          <t>18</t>
        </is>
      </c>
      <c r="F314" t="n">
        <v>6</v>
      </c>
      <c r="G314" t="b">
        <v>0</v>
      </c>
      <c r="H314" t="inlineStr">
        <is>
          <t>UOM=ADT;WEIGHT_BASIS=PROCESSED_SOURCE_UNIT_WEIGHT;LINE_WEIGHT_KG=0.4;SOURCE_CFG=IA-ST-CFG-0066;SRC_REF=Row 748, Slot 8;SRC_FILE=Mamul Ambalaj Bileşen Listesi-30.07.2026(3).xlsx</t>
        </is>
      </c>
    </row>
    <row r="315">
      <c r="A315" s="19" t="inlineStr">
        <is>
          <t>314</t>
        </is>
      </c>
      <c r="B315" s="19" t="inlineStr">
        <is>
          <t>43</t>
        </is>
      </c>
      <c r="C315" s="19" t="inlineStr">
        <is>
          <t>30</t>
        </is>
      </c>
      <c r="D315" t="n">
        <v>4</v>
      </c>
      <c r="E315" s="19" t="inlineStr">
        <is>
          <t>18</t>
        </is>
      </c>
      <c r="F315" t="n">
        <v>7</v>
      </c>
      <c r="G315" t="b">
        <v>0</v>
      </c>
      <c r="H315" t="inlineStr">
        <is>
          <t>UOM=ADT;WEIGHT_BASIS=PROCESSED_SOURCE_UNIT_WEIGHT;LINE_WEIGHT_KG=0.8;SOURCE_CFG=IA-ST-CFG-0066;SRC_REF=Row 748, Slot 9;SRC_FILE=Mamul Ambalaj Bileşen Listesi-30.07.2026(3).xlsx</t>
        </is>
      </c>
    </row>
    <row r="316">
      <c r="A316" s="19" t="inlineStr">
        <is>
          <t>315</t>
        </is>
      </c>
      <c r="B316" s="19" t="inlineStr">
        <is>
          <t>44</t>
        </is>
      </c>
      <c r="C316" s="19" t="inlineStr">
        <is>
          <t>13</t>
        </is>
      </c>
      <c r="D316" t="n">
        <v>14</v>
      </c>
      <c r="E316" s="19" t="inlineStr">
        <is>
          <t>18</t>
        </is>
      </c>
      <c r="F316" t="n">
        <v>1</v>
      </c>
      <c r="G316" t="b">
        <v>0</v>
      </c>
      <c r="H316" t="inlineStr">
        <is>
          <t>UOM=M;WEIGHT_BASIS=PROCESSED_SOURCE_UNIT_WEIGHT;LINE_WEIGHT_KG=0.1736;SOURCE_CFG=IA-ST-CFG-0068;SRC_REF=Row 887, Slot 1;SRC_FILE=Mamul Ambalaj Bileşen Listesi-30.07.2026(3).xlsx</t>
        </is>
      </c>
    </row>
    <row r="317">
      <c r="A317" s="19" t="inlineStr">
        <is>
          <t>316</t>
        </is>
      </c>
      <c r="B317" s="19" t="inlineStr">
        <is>
          <t>44</t>
        </is>
      </c>
      <c r="C317" s="19" t="inlineStr">
        <is>
          <t>6</t>
        </is>
      </c>
      <c r="D317" t="n">
        <v>1</v>
      </c>
      <c r="E317" s="19" t="inlineStr">
        <is>
          <t>18</t>
        </is>
      </c>
      <c r="F317" t="n">
        <v>2</v>
      </c>
      <c r="G317" t="b">
        <v>0</v>
      </c>
      <c r="H317" t="inlineStr">
        <is>
          <t>UOM=ADT;WEIGHT_BASIS=PROCESSED_SOURCE_UNIT_WEIGHT;LINE_WEIGHT_KG=26.0;SOURCE_CFG=IA-ST-CFG-0068;SRC_REF=Row 887, Slot 3;SRC_FILE=Mamul Ambalaj Bileşen Listesi-30.07.2026(3).xlsx</t>
        </is>
      </c>
    </row>
    <row r="318">
      <c r="A318" s="19" t="inlineStr">
        <is>
          <t>317</t>
        </is>
      </c>
      <c r="B318" s="19" t="inlineStr">
        <is>
          <t>44</t>
        </is>
      </c>
      <c r="C318" s="19" t="inlineStr">
        <is>
          <t>8</t>
        </is>
      </c>
      <c r="D318" t="n">
        <v>20</v>
      </c>
      <c r="E318" s="19" t="inlineStr">
        <is>
          <t>18</t>
        </is>
      </c>
      <c r="F318" t="n">
        <v>3</v>
      </c>
      <c r="G318" t="b">
        <v>0</v>
      </c>
      <c r="H318" t="inlineStr">
        <is>
          <t>UOM=M;WEIGHT_BASIS=PROCESSED_SOURCE_UNIT_WEIGHT;LINE_WEIGHT_KG=0.3664;SOURCE_CFG=IA-ST-CFG-0068;SRC_REF=Row 887, Slot 5;SRC_FILE=Mamul Ambalaj Bileşen Listesi-30.07.2026(3).xlsx</t>
        </is>
      </c>
    </row>
    <row r="319">
      <c r="A319" s="19" t="inlineStr">
        <is>
          <t>318</t>
        </is>
      </c>
      <c r="B319" s="19" t="inlineStr">
        <is>
          <t>44</t>
        </is>
      </c>
      <c r="C319" s="19" t="inlineStr">
        <is>
          <t>9</t>
        </is>
      </c>
      <c r="D319" t="n">
        <v>0.186</v>
      </c>
      <c r="E319" s="19" t="inlineStr">
        <is>
          <t>18</t>
        </is>
      </c>
      <c r="F319" t="n">
        <v>4</v>
      </c>
      <c r="G319" t="b">
        <v>0</v>
      </c>
      <c r="H319" t="inlineStr">
        <is>
          <t>UOM=KG;WEIGHT_BASIS=RECIPE_QUANTITY_IS_KG;LINE_WEIGHT_KG=0.186;SOURCE_CFG=IA-ST-CFG-0068;SRC_REF=Row 887, Slot 6;SRC_FILE=Mamul Ambalaj Bileşen Listesi-30.07.2026(3).xlsx</t>
        </is>
      </c>
    </row>
    <row r="320">
      <c r="A320" s="19" t="inlineStr">
        <is>
          <t>319</t>
        </is>
      </c>
      <c r="B320" s="19" t="inlineStr">
        <is>
          <t>44</t>
        </is>
      </c>
      <c r="C320" s="19" t="inlineStr">
        <is>
          <t>25</t>
        </is>
      </c>
      <c r="D320" t="n">
        <v>4</v>
      </c>
      <c r="E320" s="19" t="inlineStr">
        <is>
          <t>18</t>
        </is>
      </c>
      <c r="F320" t="n">
        <v>5</v>
      </c>
      <c r="G320" t="b">
        <v>0</v>
      </c>
      <c r="H320" t="inlineStr">
        <is>
          <t>UOM=ADT;WEIGHT_BASIS=PROCESSED_SOURCE_UNIT_WEIGHT;LINE_WEIGHT_KG=0.4;SOURCE_CFG=IA-ST-CFG-0068;SRC_REF=Row 887, Slot 8;SRC_FILE=Mamul Ambalaj Bileşen Listesi-30.07.2026(3).xlsx</t>
        </is>
      </c>
    </row>
    <row r="321">
      <c r="A321" s="19" t="inlineStr">
        <is>
          <t>320</t>
        </is>
      </c>
      <c r="B321" s="19" t="inlineStr">
        <is>
          <t>44</t>
        </is>
      </c>
      <c r="C321" s="19" t="inlineStr">
        <is>
          <t>30</t>
        </is>
      </c>
      <c r="D321" t="n">
        <v>4</v>
      </c>
      <c r="E321" s="19" t="inlineStr">
        <is>
          <t>18</t>
        </is>
      </c>
      <c r="F321" t="n">
        <v>6</v>
      </c>
      <c r="G321" t="b">
        <v>0</v>
      </c>
      <c r="H321" t="inlineStr">
        <is>
          <t>UOM=ADT;WEIGHT_BASIS=PROCESSED_SOURCE_UNIT_WEIGHT;LINE_WEIGHT_KG=0.8;SOURCE_CFG=IA-ST-CFG-0068;SRC_REF=Row 887, Slot 9;SRC_FILE=Mamul Ambalaj Bileşen Listesi-30.07.2026(3).xlsx</t>
        </is>
      </c>
    </row>
    <row r="322">
      <c r="A322" s="19" t="inlineStr">
        <is>
          <t>321</t>
        </is>
      </c>
      <c r="B322" s="19" t="inlineStr">
        <is>
          <t>45</t>
        </is>
      </c>
      <c r="C322" s="19" t="inlineStr">
        <is>
          <t>13</t>
        </is>
      </c>
      <c r="D322" t="n">
        <v>7</v>
      </c>
      <c r="E322" s="19" t="inlineStr">
        <is>
          <t>18</t>
        </is>
      </c>
      <c r="F322" t="n">
        <v>1</v>
      </c>
      <c r="G322" t="b">
        <v>0</v>
      </c>
      <c r="H322" t="inlineStr">
        <is>
          <t>UOM=M;WEIGHT_BASIS=PROCESSED_SOURCE_UNIT_WEIGHT;LINE_WEIGHT_KG=0.0868;SOURCE_CFG=IA-ST-CFG-0070;SRC_REF=Row 990, Slot 1;SRC_FILE=Mamul Ambalaj Bileşen Listesi-30.07.2026(3).xlsx</t>
        </is>
      </c>
    </row>
    <row r="323">
      <c r="A323" s="19" t="inlineStr">
        <is>
          <t>322</t>
        </is>
      </c>
      <c r="B323" s="19" t="inlineStr">
        <is>
          <t>45</t>
        </is>
      </c>
      <c r="C323" s="19" t="inlineStr">
        <is>
          <t>18</t>
        </is>
      </c>
      <c r="D323" t="n">
        <v>36</v>
      </c>
      <c r="E323" s="19" t="inlineStr">
        <is>
          <t>18</t>
        </is>
      </c>
      <c r="F323" t="n">
        <v>2</v>
      </c>
      <c r="G323" t="b">
        <v>0</v>
      </c>
      <c r="H323" t="inlineStr">
        <is>
          <t>UOM=ADT;WEIGHT_BASIS=SOURCE_UNIT_WEIGHT;LINE_WEIGHT_KG=2.90448;SOURCE_CFG=IA-ST-CFG-0070;SRC_REF=Row 990, Slot 2;SRC_FILE=Mamul Ambalaj Bileşen Listesi-30.07.2026(3).xlsx</t>
        </is>
      </c>
    </row>
    <row r="324">
      <c r="A324" s="19" t="inlineStr">
        <is>
          <t>323</t>
        </is>
      </c>
      <c r="B324" s="19" t="inlineStr">
        <is>
          <t>45</t>
        </is>
      </c>
      <c r="C324" s="19" t="inlineStr">
        <is>
          <t>6</t>
        </is>
      </c>
      <c r="D324" t="n">
        <v>1</v>
      </c>
      <c r="E324" s="19" t="inlineStr">
        <is>
          <t>18</t>
        </is>
      </c>
      <c r="F324" t="n">
        <v>3</v>
      </c>
      <c r="G324" t="b">
        <v>0</v>
      </c>
      <c r="H324" t="inlineStr">
        <is>
          <t>UOM=ADT;WEIGHT_BASIS=PROCESSED_SOURCE_UNIT_WEIGHT;LINE_WEIGHT_KG=26.0;SOURCE_CFG=IA-ST-CFG-0070;SRC_REF=Row 990, Slot 3;SRC_FILE=Mamul Ambalaj Bileşen Listesi-30.07.2026(3).xlsx</t>
        </is>
      </c>
    </row>
    <row r="325">
      <c r="A325" s="19" t="inlineStr">
        <is>
          <t>324</t>
        </is>
      </c>
      <c r="B325" s="19" t="inlineStr">
        <is>
          <t>45</t>
        </is>
      </c>
      <c r="C325" s="19" t="inlineStr">
        <is>
          <t>8</t>
        </is>
      </c>
      <c r="D325" t="n">
        <v>20</v>
      </c>
      <c r="E325" s="19" t="inlineStr">
        <is>
          <t>18</t>
        </is>
      </c>
      <c r="F325" t="n">
        <v>4</v>
      </c>
      <c r="G325" t="b">
        <v>0</v>
      </c>
      <c r="H325" t="inlineStr">
        <is>
          <t>UOM=M;WEIGHT_BASIS=PROCESSED_SOURCE_UNIT_WEIGHT;LINE_WEIGHT_KG=0.3664;SOURCE_CFG=IA-ST-CFG-0070;SRC_REF=Row 990, Slot 5;SRC_FILE=Mamul Ambalaj Bileşen Listesi-30.07.2026(3).xlsx</t>
        </is>
      </c>
    </row>
    <row r="326">
      <c r="A326" s="19" t="inlineStr">
        <is>
          <t>325</t>
        </is>
      </c>
      <c r="B326" s="19" t="inlineStr">
        <is>
          <t>45</t>
        </is>
      </c>
      <c r="C326" s="19" t="inlineStr">
        <is>
          <t>9</t>
        </is>
      </c>
      <c r="D326" t="n">
        <v>0.186</v>
      </c>
      <c r="E326" s="19" t="inlineStr">
        <is>
          <t>18</t>
        </is>
      </c>
      <c r="F326" t="n">
        <v>5</v>
      </c>
      <c r="G326" t="b">
        <v>0</v>
      </c>
      <c r="H326" t="inlineStr">
        <is>
          <t>UOM=KG;WEIGHT_BASIS=RECIPE_QUANTITY_IS_KG;LINE_WEIGHT_KG=0.186;SOURCE_CFG=IA-ST-CFG-0070;SRC_REF=Row 990, Slot 6;SRC_FILE=Mamul Ambalaj Bileşen Listesi-30.07.2026(3).xlsx</t>
        </is>
      </c>
    </row>
    <row r="327">
      <c r="A327" s="19" t="inlineStr">
        <is>
          <t>326</t>
        </is>
      </c>
      <c r="B327" s="19" t="inlineStr">
        <is>
          <t>45</t>
        </is>
      </c>
      <c r="C327" s="19" t="inlineStr">
        <is>
          <t>29</t>
        </is>
      </c>
      <c r="D327" t="n">
        <v>1.44</v>
      </c>
      <c r="E327" s="19" t="inlineStr">
        <is>
          <t>18</t>
        </is>
      </c>
      <c r="F327" t="n">
        <v>6</v>
      </c>
      <c r="G327" t="b">
        <v>0</v>
      </c>
      <c r="H327" t="inlineStr">
        <is>
          <t>UOM=KG;WEIGHT_BASIS=RECIPE_QUANTITY_IS_KG;LINE_WEIGHT_KG=1.44;SOURCE_CFG=IA-ST-CFG-0070;SRC_REF=Row 990, Slot 7;SRC_FILE=Mamul Ambalaj Bileşen Listesi-30.07.2026(3).xlsx</t>
        </is>
      </c>
    </row>
    <row r="328">
      <c r="A328" s="19" t="inlineStr">
        <is>
          <t>327</t>
        </is>
      </c>
      <c r="B328" s="19" t="inlineStr">
        <is>
          <t>45</t>
        </is>
      </c>
      <c r="C328" s="19" t="inlineStr">
        <is>
          <t>25</t>
        </is>
      </c>
      <c r="D328" t="n">
        <v>2</v>
      </c>
      <c r="E328" s="19" t="inlineStr">
        <is>
          <t>18</t>
        </is>
      </c>
      <c r="F328" t="n">
        <v>7</v>
      </c>
      <c r="G328" t="b">
        <v>0</v>
      </c>
      <c r="H328" t="inlineStr">
        <is>
          <t>UOM=ADT;WEIGHT_BASIS=PROCESSED_SOURCE_UNIT_WEIGHT;LINE_WEIGHT_KG=0.2;SOURCE_CFG=IA-ST-CFG-0070;SRC_REF=Row 990, Slot 8;SRC_FILE=Mamul Ambalaj Bileşen Listesi-30.07.2026(3).xlsx</t>
        </is>
      </c>
    </row>
    <row r="329">
      <c r="A329" s="19" t="inlineStr">
        <is>
          <t>328</t>
        </is>
      </c>
      <c r="B329" s="19" t="inlineStr">
        <is>
          <t>45</t>
        </is>
      </c>
      <c r="C329" s="19" t="inlineStr">
        <is>
          <t>30</t>
        </is>
      </c>
      <c r="D329" t="n">
        <v>4</v>
      </c>
      <c r="E329" s="19" t="inlineStr">
        <is>
          <t>18</t>
        </is>
      </c>
      <c r="F329" t="n">
        <v>8</v>
      </c>
      <c r="G329" t="b">
        <v>0</v>
      </c>
      <c r="H329" t="inlineStr">
        <is>
          <t>UOM=ADT;WEIGHT_BASIS=PROCESSED_SOURCE_UNIT_WEIGHT;LINE_WEIGHT_KG=0.8;SOURCE_CFG=IA-ST-CFG-0070;SRC_REF=Row 990, Slot 9;SRC_FILE=Mamul Ambalaj Bileşen Listesi-30.07.2026(3).xlsx</t>
        </is>
      </c>
    </row>
    <row r="330">
      <c r="A330" s="19" t="inlineStr">
        <is>
          <t>329</t>
        </is>
      </c>
      <c r="B330" s="19" t="inlineStr">
        <is>
          <t>46</t>
        </is>
      </c>
      <c r="C330" s="19" t="inlineStr">
        <is>
          <t>13</t>
        </is>
      </c>
      <c r="D330" t="n">
        <v>7</v>
      </c>
      <c r="E330" s="19" t="inlineStr">
        <is>
          <t>18</t>
        </is>
      </c>
      <c r="F330" t="n">
        <v>1</v>
      </c>
      <c r="G330" t="b">
        <v>0</v>
      </c>
      <c r="H330" t="inlineStr">
        <is>
          <t>UOM=M;WEIGHT_BASIS=PROCESSED_SOURCE_UNIT_WEIGHT;LINE_WEIGHT_KG=0.0868;SOURCE_CFG=IA-ST-CFG-0071;SRC_REF=Row 717, Slot 1;SRC_FILE=Mamul Ambalaj Bileşen Listesi-30.07.2026(3).xlsx</t>
        </is>
      </c>
    </row>
    <row r="331">
      <c r="A331" s="19" t="inlineStr">
        <is>
          <t>330</t>
        </is>
      </c>
      <c r="B331" s="19" t="inlineStr">
        <is>
          <t>46</t>
        </is>
      </c>
      <c r="C331" s="19" t="inlineStr">
        <is>
          <t>6</t>
        </is>
      </c>
      <c r="D331" t="n">
        <v>1</v>
      </c>
      <c r="E331" s="19" t="inlineStr">
        <is>
          <t>18</t>
        </is>
      </c>
      <c r="F331" t="n">
        <v>2</v>
      </c>
      <c r="G331" t="b">
        <v>0</v>
      </c>
      <c r="H331" t="inlineStr">
        <is>
          <t>UOM=ADT;WEIGHT_BASIS=PROCESSED_SOURCE_UNIT_WEIGHT;LINE_WEIGHT_KG=26.0;SOURCE_CFG=IA-ST-CFG-0071;SRC_REF=Row 717, Slot 3;SRC_FILE=Mamul Ambalaj Bileşen Listesi-30.07.2026(3).xlsx</t>
        </is>
      </c>
    </row>
    <row r="332">
      <c r="A332" s="19" t="inlineStr">
        <is>
          <t>331</t>
        </is>
      </c>
      <c r="B332" s="19" t="inlineStr">
        <is>
          <t>46</t>
        </is>
      </c>
      <c r="C332" s="19" t="inlineStr">
        <is>
          <t>8</t>
        </is>
      </c>
      <c r="D332" t="n">
        <v>20</v>
      </c>
      <c r="E332" s="19" t="inlineStr">
        <is>
          <t>18</t>
        </is>
      </c>
      <c r="F332" t="n">
        <v>3</v>
      </c>
      <c r="G332" t="b">
        <v>0</v>
      </c>
      <c r="H332" t="inlineStr">
        <is>
          <t>UOM=M;WEIGHT_BASIS=PROCESSED_SOURCE_UNIT_WEIGHT;LINE_WEIGHT_KG=0.3664;SOURCE_CFG=IA-ST-CFG-0071;SRC_REF=Row 717, Slot 5;SRC_FILE=Mamul Ambalaj Bileşen Listesi-30.07.2026(3).xlsx</t>
        </is>
      </c>
    </row>
    <row r="333">
      <c r="A333" s="19" t="inlineStr">
        <is>
          <t>332</t>
        </is>
      </c>
      <c r="B333" s="19" t="inlineStr">
        <is>
          <t>46</t>
        </is>
      </c>
      <c r="C333" s="19" t="inlineStr">
        <is>
          <t>9</t>
        </is>
      </c>
      <c r="D333" t="n">
        <v>0.186</v>
      </c>
      <c r="E333" s="19" t="inlineStr">
        <is>
          <t>18</t>
        </is>
      </c>
      <c r="F333" t="n">
        <v>4</v>
      </c>
      <c r="G333" t="b">
        <v>0</v>
      </c>
      <c r="H333" t="inlineStr">
        <is>
          <t>UOM=KG;WEIGHT_BASIS=RECIPE_QUANTITY_IS_KG;LINE_WEIGHT_KG=0.186;SOURCE_CFG=IA-ST-CFG-0071;SRC_REF=Row 717, Slot 6;SRC_FILE=Mamul Ambalaj Bileşen Listesi-30.07.2026(3).xlsx</t>
        </is>
      </c>
    </row>
    <row r="334">
      <c r="A334" s="19" t="inlineStr">
        <is>
          <t>333</t>
        </is>
      </c>
      <c r="B334" s="19" t="inlineStr">
        <is>
          <t>46</t>
        </is>
      </c>
      <c r="C334" s="19" t="inlineStr">
        <is>
          <t>29</t>
        </is>
      </c>
      <c r="D334" t="n">
        <v>1.44</v>
      </c>
      <c r="E334" s="19" t="inlineStr">
        <is>
          <t>18</t>
        </is>
      </c>
      <c r="F334" t="n">
        <v>5</v>
      </c>
      <c r="G334" t="b">
        <v>0</v>
      </c>
      <c r="H334" t="inlineStr">
        <is>
          <t>UOM=KG;WEIGHT_BASIS=RECIPE_QUANTITY_IS_KG;LINE_WEIGHT_KG=1.44;SOURCE_CFG=IA-ST-CFG-0071;SRC_REF=Row 717, Slot 7;SRC_FILE=Mamul Ambalaj Bileşen Listesi-30.07.2026(3).xlsx</t>
        </is>
      </c>
    </row>
    <row r="335">
      <c r="A335" s="19" t="inlineStr">
        <is>
          <t>334</t>
        </is>
      </c>
      <c r="B335" s="19" t="inlineStr">
        <is>
          <t>46</t>
        </is>
      </c>
      <c r="C335" s="19" t="inlineStr">
        <is>
          <t>25</t>
        </is>
      </c>
      <c r="D335" t="n">
        <v>2</v>
      </c>
      <c r="E335" s="19" t="inlineStr">
        <is>
          <t>18</t>
        </is>
      </c>
      <c r="F335" t="n">
        <v>6</v>
      </c>
      <c r="G335" t="b">
        <v>0</v>
      </c>
      <c r="H335" t="inlineStr">
        <is>
          <t>UOM=ADT;WEIGHT_BASIS=PROCESSED_SOURCE_UNIT_WEIGHT;LINE_WEIGHT_KG=0.2;SOURCE_CFG=IA-ST-CFG-0071;SRC_REF=Row 717, Slot 8;SRC_FILE=Mamul Ambalaj Bileşen Listesi-30.07.2026(3).xlsx</t>
        </is>
      </c>
    </row>
    <row r="336">
      <c r="A336" s="19" t="inlineStr">
        <is>
          <t>335</t>
        </is>
      </c>
      <c r="B336" s="19" t="inlineStr">
        <is>
          <t>46</t>
        </is>
      </c>
      <c r="C336" s="19" t="inlineStr">
        <is>
          <t>30</t>
        </is>
      </c>
      <c r="D336" t="n">
        <v>4</v>
      </c>
      <c r="E336" s="19" t="inlineStr">
        <is>
          <t>18</t>
        </is>
      </c>
      <c r="F336" t="n">
        <v>7</v>
      </c>
      <c r="G336" t="b">
        <v>0</v>
      </c>
      <c r="H336" t="inlineStr">
        <is>
          <t>UOM=ADT;WEIGHT_BASIS=PROCESSED_SOURCE_UNIT_WEIGHT;LINE_WEIGHT_KG=0.8;SOURCE_CFG=IA-ST-CFG-0071;SRC_REF=Row 717, Slot 9;SRC_FILE=Mamul Ambalaj Bileşen Listesi-30.07.2026(3).xlsx</t>
        </is>
      </c>
    </row>
    <row r="337">
      <c r="A337" s="19" t="inlineStr">
        <is>
          <t>336</t>
        </is>
      </c>
      <c r="B337" s="19" t="inlineStr">
        <is>
          <t>47</t>
        </is>
      </c>
      <c r="C337" s="19" t="inlineStr">
        <is>
          <t>13</t>
        </is>
      </c>
      <c r="D337" t="n">
        <v>7</v>
      </c>
      <c r="E337" s="19" t="inlineStr">
        <is>
          <t>18</t>
        </is>
      </c>
      <c r="F337" t="n">
        <v>1</v>
      </c>
      <c r="G337" t="b">
        <v>0</v>
      </c>
      <c r="H337" t="inlineStr">
        <is>
          <t>UOM=M;WEIGHT_BASIS=PROCESSED_SOURCE_UNIT_WEIGHT;LINE_WEIGHT_KG=0.0868;SOURCE_CFG=IA-ST-CFG-0072;SRC_REF=Row 1132, Slot 1;SRC_FILE=Mamul Ambalaj Bileşen Listesi-30.07.2026(3).xlsx</t>
        </is>
      </c>
    </row>
    <row r="338">
      <c r="A338" s="19" t="inlineStr">
        <is>
          <t>337</t>
        </is>
      </c>
      <c r="B338" s="19" t="inlineStr">
        <is>
          <t>47</t>
        </is>
      </c>
      <c r="C338" s="19" t="inlineStr">
        <is>
          <t>6</t>
        </is>
      </c>
      <c r="D338" t="n">
        <v>1</v>
      </c>
      <c r="E338" s="19" t="inlineStr">
        <is>
          <t>18</t>
        </is>
      </c>
      <c r="F338" t="n">
        <v>2</v>
      </c>
      <c r="G338" t="b">
        <v>0</v>
      </c>
      <c r="H338" t="inlineStr">
        <is>
          <t>UOM=ADT;WEIGHT_BASIS=PROCESSED_SOURCE_UNIT_WEIGHT;LINE_WEIGHT_KG=26.0;SOURCE_CFG=IA-ST-CFG-0072;SRC_REF=Row 1132, Slot 3;SRC_FILE=Mamul Ambalaj Bileşen Listesi-30.07.2026(3).xlsx</t>
        </is>
      </c>
    </row>
    <row r="339">
      <c r="A339" s="19" t="inlineStr">
        <is>
          <t>338</t>
        </is>
      </c>
      <c r="B339" s="19" t="inlineStr">
        <is>
          <t>47</t>
        </is>
      </c>
      <c r="C339" s="19" t="inlineStr">
        <is>
          <t>8</t>
        </is>
      </c>
      <c r="D339" t="n">
        <v>20</v>
      </c>
      <c r="E339" s="19" t="inlineStr">
        <is>
          <t>18</t>
        </is>
      </c>
      <c r="F339" t="n">
        <v>3</v>
      </c>
      <c r="G339" t="b">
        <v>0</v>
      </c>
      <c r="H339" t="inlineStr">
        <is>
          <t>UOM=M;WEIGHT_BASIS=PROCESSED_SOURCE_UNIT_WEIGHT;LINE_WEIGHT_KG=0.3664;SOURCE_CFG=IA-ST-CFG-0072;SRC_REF=Row 1132, Slot 5;SRC_FILE=Mamul Ambalaj Bileşen Listesi-30.07.2026(3).xlsx</t>
        </is>
      </c>
    </row>
    <row r="340">
      <c r="A340" s="19" t="inlineStr">
        <is>
          <t>339</t>
        </is>
      </c>
      <c r="B340" s="19" t="inlineStr">
        <is>
          <t>47</t>
        </is>
      </c>
      <c r="C340" s="19" t="inlineStr">
        <is>
          <t>9</t>
        </is>
      </c>
      <c r="D340" t="n">
        <v>0.186</v>
      </c>
      <c r="E340" s="19" t="inlineStr">
        <is>
          <t>18</t>
        </is>
      </c>
      <c r="F340" t="n">
        <v>4</v>
      </c>
      <c r="G340" t="b">
        <v>0</v>
      </c>
      <c r="H340" t="inlineStr">
        <is>
          <t>UOM=KG;WEIGHT_BASIS=RECIPE_QUANTITY_IS_KG;LINE_WEIGHT_KG=0.186;SOURCE_CFG=IA-ST-CFG-0072;SRC_REF=Row 1132, Slot 6;SRC_FILE=Mamul Ambalaj Bileşen Listesi-30.07.2026(3).xlsx</t>
        </is>
      </c>
    </row>
    <row r="341">
      <c r="A341" s="19" t="inlineStr">
        <is>
          <t>340</t>
        </is>
      </c>
      <c r="B341" s="19" t="inlineStr">
        <is>
          <t>47</t>
        </is>
      </c>
      <c r="C341" s="19" t="inlineStr">
        <is>
          <t>25</t>
        </is>
      </c>
      <c r="D341" t="n">
        <v>2</v>
      </c>
      <c r="E341" s="19" t="inlineStr">
        <is>
          <t>18</t>
        </is>
      </c>
      <c r="F341" t="n">
        <v>5</v>
      </c>
      <c r="G341" t="b">
        <v>0</v>
      </c>
      <c r="H341" t="inlineStr">
        <is>
          <t>UOM=ADT;WEIGHT_BASIS=PROCESSED_SOURCE_UNIT_WEIGHT;LINE_WEIGHT_KG=0.2;SOURCE_CFG=IA-ST-CFG-0072;SRC_REF=Row 1132, Slot 8;SRC_FILE=Mamul Ambalaj Bileşen Listesi-30.07.2026(3).xlsx</t>
        </is>
      </c>
    </row>
    <row r="342">
      <c r="A342" s="19" t="inlineStr">
        <is>
          <t>341</t>
        </is>
      </c>
      <c r="B342" s="19" t="inlineStr">
        <is>
          <t>47</t>
        </is>
      </c>
      <c r="C342" s="19" t="inlineStr">
        <is>
          <t>30</t>
        </is>
      </c>
      <c r="D342" t="n">
        <v>4</v>
      </c>
      <c r="E342" s="19" t="inlineStr">
        <is>
          <t>18</t>
        </is>
      </c>
      <c r="F342" t="n">
        <v>6</v>
      </c>
      <c r="G342" t="b">
        <v>0</v>
      </c>
      <c r="H342" t="inlineStr">
        <is>
          <t>UOM=ADT;WEIGHT_BASIS=PROCESSED_SOURCE_UNIT_WEIGHT;LINE_WEIGHT_KG=0.8;SOURCE_CFG=IA-ST-CFG-0072;SRC_REF=Row 1132, Slot 9;SRC_FILE=Mamul Ambalaj Bileşen Listesi-30.07.2026(3).xlsx</t>
        </is>
      </c>
    </row>
    <row r="343">
      <c r="A343" s="19" t="inlineStr">
        <is>
          <t>342</t>
        </is>
      </c>
      <c r="B343" s="19" t="inlineStr">
        <is>
          <t>48</t>
        </is>
      </c>
      <c r="C343" s="19" t="inlineStr">
        <is>
          <t>13</t>
        </is>
      </c>
      <c r="D343" t="n">
        <v>14</v>
      </c>
      <c r="E343" s="19" t="inlineStr">
        <is>
          <t>18</t>
        </is>
      </c>
      <c r="F343" t="n">
        <v>1</v>
      </c>
      <c r="G343" t="b">
        <v>0</v>
      </c>
      <c r="H343" t="inlineStr">
        <is>
          <t>UOM=M;WEIGHT_BASIS=PROCESSED_SOURCE_UNIT_WEIGHT;LINE_WEIGHT_KG=0.1736;SOURCE_CFG=IA-ST-CFG-0061;SRC_REF=Row 1391, Slot 1;SRC_FILE=Mamul Ambalaj Bileşen Listesi-30.07.2026(3).xlsx</t>
        </is>
      </c>
    </row>
    <row r="344">
      <c r="A344" s="19" t="inlineStr">
        <is>
          <t>343</t>
        </is>
      </c>
      <c r="B344" s="19" t="inlineStr">
        <is>
          <t>48</t>
        </is>
      </c>
      <c r="C344" s="19" t="inlineStr">
        <is>
          <t>5</t>
        </is>
      </c>
      <c r="D344" t="n">
        <v>1</v>
      </c>
      <c r="E344" s="19" t="inlineStr">
        <is>
          <t>18</t>
        </is>
      </c>
      <c r="F344" t="n">
        <v>2</v>
      </c>
      <c r="G344" t="b">
        <v>0</v>
      </c>
      <c r="H344" t="inlineStr">
        <is>
          <t>UOM=ADT;WEIGHT_BASIS=PROCESSED_SOURCE_UNIT_WEIGHT;LINE_WEIGHT_KG=26.0;SOURCE_CFG=IA-ST-CFG-0061;SRC_REF=Row 1391, Slot 3;SRC_FILE=Mamul Ambalaj Bileşen Listesi-30.07.2026(3).xlsx</t>
        </is>
      </c>
    </row>
    <row r="345">
      <c r="A345" s="19" t="inlineStr">
        <is>
          <t>344</t>
        </is>
      </c>
      <c r="B345" s="19" t="inlineStr">
        <is>
          <t>48</t>
        </is>
      </c>
      <c r="C345" s="19" t="inlineStr">
        <is>
          <t>8</t>
        </is>
      </c>
      <c r="D345" t="n">
        <v>20</v>
      </c>
      <c r="E345" s="19" t="inlineStr">
        <is>
          <t>18</t>
        </is>
      </c>
      <c r="F345" t="n">
        <v>3</v>
      </c>
      <c r="G345" t="b">
        <v>0</v>
      </c>
      <c r="H345" t="inlineStr">
        <is>
          <t>UOM=M;WEIGHT_BASIS=PROCESSED_SOURCE_UNIT_WEIGHT;LINE_WEIGHT_KG=0.3664;SOURCE_CFG=IA-ST-CFG-0061;SRC_REF=Row 1391, Slot 5;SRC_FILE=Mamul Ambalaj Bileşen Listesi-30.07.2026(3).xlsx</t>
        </is>
      </c>
    </row>
    <row r="346">
      <c r="A346" s="19" t="inlineStr">
        <is>
          <t>345</t>
        </is>
      </c>
      <c r="B346" s="19" t="inlineStr">
        <is>
          <t>48</t>
        </is>
      </c>
      <c r="C346" s="19" t="inlineStr">
        <is>
          <t>9</t>
        </is>
      </c>
      <c r="D346" t="n">
        <v>0.186</v>
      </c>
      <c r="E346" s="19" t="inlineStr">
        <is>
          <t>18</t>
        </is>
      </c>
      <c r="F346" t="n">
        <v>4</v>
      </c>
      <c r="G346" t="b">
        <v>0</v>
      </c>
      <c r="H346" t="inlineStr">
        <is>
          <t>UOM=KG;WEIGHT_BASIS=RECIPE_QUANTITY_IS_KG;LINE_WEIGHT_KG=0.186;SOURCE_CFG=IA-ST-CFG-0061;SRC_REF=Row 1391, Slot 6;SRC_FILE=Mamul Ambalaj Bileşen Listesi-30.07.2026(3).xlsx</t>
        </is>
      </c>
    </row>
    <row r="347">
      <c r="A347" s="19" t="inlineStr">
        <is>
          <t>346</t>
        </is>
      </c>
      <c r="B347" s="19" t="inlineStr">
        <is>
          <t>48</t>
        </is>
      </c>
      <c r="C347" s="19" t="inlineStr">
        <is>
          <t>3</t>
        </is>
      </c>
      <c r="D347" t="n">
        <v>6</v>
      </c>
      <c r="E347" s="19" t="inlineStr">
        <is>
          <t>18</t>
        </is>
      </c>
      <c r="F347" t="n">
        <v>5</v>
      </c>
      <c r="G347" t="b">
        <v>0</v>
      </c>
      <c r="H347" t="inlineStr">
        <is>
          <t>UOM=ADT;WEIGHT_BASIS=PROCESSED_SOURCE_UNIT_WEIGHT;LINE_WEIGHT_KG=1.26;SOURCE_CFG=IA-ST-CFG-0061;SRC_REF=Row 1391, Slot 8;SRC_FILE=Mamul Ambalaj Bileşen Listesi-30.07.2026(3).xlsx</t>
        </is>
      </c>
    </row>
    <row r="348">
      <c r="A348" s="19" t="inlineStr">
        <is>
          <t>347</t>
        </is>
      </c>
      <c r="B348" s="19" t="inlineStr">
        <is>
          <t>48</t>
        </is>
      </c>
      <c r="C348" s="19" t="inlineStr">
        <is>
          <t>7</t>
        </is>
      </c>
      <c r="D348" t="n">
        <v>3</v>
      </c>
      <c r="E348" s="19" t="inlineStr">
        <is>
          <t>18</t>
        </is>
      </c>
      <c r="F348" t="n">
        <v>6</v>
      </c>
      <c r="G348" t="b">
        <v>0</v>
      </c>
      <c r="H348" t="inlineStr">
        <is>
          <t>UOM=ADT;WEIGHT_BASIS=PROCESSED_SOURCE_UNIT_WEIGHT;LINE_WEIGHT_KG=0.81;SOURCE_CFG=IA-ST-CFG-0061;SRC_REF=Row 1391, Slot 9;SRC_FILE=Mamul Ambalaj Bileşen Listesi-30.07.2026(3).xlsx</t>
        </is>
      </c>
    </row>
    <row r="349">
      <c r="A349" s="19" t="inlineStr">
        <is>
          <t>348</t>
        </is>
      </c>
      <c r="B349" s="19" t="inlineStr">
        <is>
          <t>48</t>
        </is>
      </c>
      <c r="C349" s="19" t="inlineStr">
        <is>
          <t>46</t>
        </is>
      </c>
      <c r="D349" t="n">
        <v>36</v>
      </c>
      <c r="E349" s="19" t="inlineStr">
        <is>
          <t>18</t>
        </is>
      </c>
      <c r="F349" t="n">
        <v>7</v>
      </c>
      <c r="G349" t="b">
        <v>0</v>
      </c>
      <c r="H349" t="inlineStr">
        <is>
          <t>UOM=ADT;WEIGHT_BASIS=PROCESSED_SOURCE_UNIT_WEIGHT;LINE_WEIGHT_KG=9.0;SOURCE_CFG=IA-ST-CFG-0061;SRC_REF=Row 1391, Slot 10;SRC_FILE=Mamul Ambalaj Bileşen Listesi-30.07.2026(3).xlsx</t>
        </is>
      </c>
    </row>
    <row r="350">
      <c r="A350" s="19" t="inlineStr">
        <is>
          <t>349</t>
        </is>
      </c>
      <c r="B350" s="19" t="inlineStr">
        <is>
          <t>49</t>
        </is>
      </c>
      <c r="C350" s="19" t="inlineStr">
        <is>
          <t>13</t>
        </is>
      </c>
      <c r="D350" t="n">
        <v>14</v>
      </c>
      <c r="E350" s="19" t="inlineStr">
        <is>
          <t>18</t>
        </is>
      </c>
      <c r="F350" t="n">
        <v>1</v>
      </c>
      <c r="G350" t="b">
        <v>0</v>
      </c>
      <c r="H350" t="inlineStr">
        <is>
          <t>UOM=M;WEIGHT_BASIS=PROCESSED_SOURCE_UNIT_WEIGHT;LINE_WEIGHT_KG=0.1736;SOURCE_CFG=IA-ST-CFG-0063;SRC_REF=Row 1301, Slot 1;SRC_FILE=Mamul Ambalaj Bileşen Listesi-30.07.2026(3).xlsx</t>
        </is>
      </c>
    </row>
    <row r="351">
      <c r="A351" s="19" t="inlineStr">
        <is>
          <t>350</t>
        </is>
      </c>
      <c r="B351" s="19" t="inlineStr">
        <is>
          <t>49</t>
        </is>
      </c>
      <c r="C351" s="19" t="inlineStr">
        <is>
          <t>5</t>
        </is>
      </c>
      <c r="D351" t="n">
        <v>1</v>
      </c>
      <c r="E351" s="19" t="inlineStr">
        <is>
          <t>18</t>
        </is>
      </c>
      <c r="F351" t="n">
        <v>2</v>
      </c>
      <c r="G351" t="b">
        <v>0</v>
      </c>
      <c r="H351" t="inlineStr">
        <is>
          <t>UOM=ADT;WEIGHT_BASIS=PROCESSED_SOURCE_UNIT_WEIGHT;LINE_WEIGHT_KG=26.0;SOURCE_CFG=IA-ST-CFG-0063;SRC_REF=Row 1301, Slot 3;SRC_FILE=Mamul Ambalaj Bileşen Listesi-30.07.2026(3).xlsx</t>
        </is>
      </c>
    </row>
    <row r="352">
      <c r="A352" s="19" t="inlineStr">
        <is>
          <t>351</t>
        </is>
      </c>
      <c r="B352" s="19" t="inlineStr">
        <is>
          <t>49</t>
        </is>
      </c>
      <c r="C352" s="19" t="inlineStr">
        <is>
          <t>8</t>
        </is>
      </c>
      <c r="D352" t="n">
        <v>20</v>
      </c>
      <c r="E352" s="19" t="inlineStr">
        <is>
          <t>18</t>
        </is>
      </c>
      <c r="F352" t="n">
        <v>3</v>
      </c>
      <c r="G352" t="b">
        <v>0</v>
      </c>
      <c r="H352" t="inlineStr">
        <is>
          <t>UOM=M;WEIGHT_BASIS=PROCESSED_SOURCE_UNIT_WEIGHT;LINE_WEIGHT_KG=0.3664;SOURCE_CFG=IA-ST-CFG-0063;SRC_REF=Row 1301, Slot 5;SRC_FILE=Mamul Ambalaj Bileşen Listesi-30.07.2026(3).xlsx</t>
        </is>
      </c>
    </row>
    <row r="353">
      <c r="A353" s="19" t="inlineStr">
        <is>
          <t>352</t>
        </is>
      </c>
      <c r="B353" s="19" t="inlineStr">
        <is>
          <t>49</t>
        </is>
      </c>
      <c r="C353" s="19" t="inlineStr">
        <is>
          <t>9</t>
        </is>
      </c>
      <c r="D353" t="n">
        <v>0.186</v>
      </c>
      <c r="E353" s="19" t="inlineStr">
        <is>
          <t>18</t>
        </is>
      </c>
      <c r="F353" t="n">
        <v>4</v>
      </c>
      <c r="G353" t="b">
        <v>0</v>
      </c>
      <c r="H353" t="inlineStr">
        <is>
          <t>UOM=KG;WEIGHT_BASIS=RECIPE_QUANTITY_IS_KG;LINE_WEIGHT_KG=0.186;SOURCE_CFG=IA-ST-CFG-0063;SRC_REF=Row 1301, Slot 6;SRC_FILE=Mamul Ambalaj Bileşen Listesi-30.07.2026(3).xlsx</t>
        </is>
      </c>
    </row>
    <row r="354">
      <c r="A354" s="19" t="inlineStr">
        <is>
          <t>353</t>
        </is>
      </c>
      <c r="B354" s="19" t="inlineStr">
        <is>
          <t>49</t>
        </is>
      </c>
      <c r="C354" s="19" t="inlineStr">
        <is>
          <t>19</t>
        </is>
      </c>
      <c r="D354" t="n">
        <v>1.224</v>
      </c>
      <c r="E354" s="19" t="inlineStr">
        <is>
          <t>18</t>
        </is>
      </c>
      <c r="F354" t="n">
        <v>5</v>
      </c>
      <c r="G354" t="b">
        <v>0</v>
      </c>
      <c r="H354" t="inlineStr">
        <is>
          <t>UOM=KG;WEIGHT_BASIS=RECIPE_QUANTITY_IS_KG;LINE_WEIGHT_KG=1.224;SOURCE_CFG=IA-ST-CFG-0063;SRC_REF=Row 1301, Slot 7;SRC_FILE=Mamul Ambalaj Bileşen Listesi-30.07.2026(3).xlsx</t>
        </is>
      </c>
    </row>
    <row r="355">
      <c r="A355" s="19" t="inlineStr">
        <is>
          <t>354</t>
        </is>
      </c>
      <c r="B355" s="19" t="inlineStr">
        <is>
          <t>49</t>
        </is>
      </c>
      <c r="C355" s="19" t="inlineStr">
        <is>
          <t>7</t>
        </is>
      </c>
      <c r="D355" t="n">
        <v>3</v>
      </c>
      <c r="E355" s="19" t="inlineStr">
        <is>
          <t>18</t>
        </is>
      </c>
      <c r="F355" t="n">
        <v>6</v>
      </c>
      <c r="G355" t="b">
        <v>0</v>
      </c>
      <c r="H355" t="inlineStr">
        <is>
          <t>UOM=ADT;WEIGHT_BASIS=PROCESSED_SOURCE_UNIT_WEIGHT;LINE_WEIGHT_KG=0.81;SOURCE_CFG=IA-ST-CFG-0063;SRC_REF=Row 1301, Slot 8;SRC_FILE=Mamul Ambalaj Bileşen Listesi-30.07.2026(3).xlsx</t>
        </is>
      </c>
    </row>
    <row r="356">
      <c r="A356" s="19" t="inlineStr">
        <is>
          <t>355</t>
        </is>
      </c>
      <c r="B356" s="19" t="inlineStr">
        <is>
          <t>49</t>
        </is>
      </c>
      <c r="C356" s="19" t="inlineStr">
        <is>
          <t>25</t>
        </is>
      </c>
      <c r="D356" t="n">
        <v>4</v>
      </c>
      <c r="E356" s="19" t="inlineStr">
        <is>
          <t>18</t>
        </is>
      </c>
      <c r="F356" t="n">
        <v>7</v>
      </c>
      <c r="G356" t="b">
        <v>0</v>
      </c>
      <c r="H356" t="inlineStr">
        <is>
          <t>UOM=ADT;WEIGHT_BASIS=PROCESSED_SOURCE_UNIT_WEIGHT;LINE_WEIGHT_KG=0.4;SOURCE_CFG=IA-ST-CFG-0063;SRC_REF=Row 1301, Slot 9;SRC_FILE=Mamul Ambalaj Bileşen Listesi-30.07.2026(3).xlsx</t>
        </is>
      </c>
    </row>
    <row r="357">
      <c r="A357" s="19" t="inlineStr">
        <is>
          <t>356</t>
        </is>
      </c>
      <c r="B357" s="19" t="inlineStr">
        <is>
          <t>50</t>
        </is>
      </c>
      <c r="C357" s="19" t="inlineStr">
        <is>
          <t>13</t>
        </is>
      </c>
      <c r="D357" t="n">
        <v>7</v>
      </c>
      <c r="E357" s="19" t="inlineStr">
        <is>
          <t>18</t>
        </is>
      </c>
      <c r="F357" t="n">
        <v>1</v>
      </c>
      <c r="G357" t="b">
        <v>0</v>
      </c>
      <c r="H357" t="inlineStr">
        <is>
          <t>UOM=M;WEIGHT_BASIS=PROCESSED_SOURCE_UNIT_WEIGHT;LINE_WEIGHT_KG=0.0868;SOURCE_CFG=IA-ST-CFG-0064;SRC_REF=Row 1703, Slot 1;SRC_FILE=Mamul Ambalaj Bileşen Listesi-30.07.2026(3).xlsx</t>
        </is>
      </c>
    </row>
    <row r="358">
      <c r="A358" s="19" t="inlineStr">
        <is>
          <t>357</t>
        </is>
      </c>
      <c r="B358" s="19" t="inlineStr">
        <is>
          <t>50</t>
        </is>
      </c>
      <c r="C358" s="19" t="inlineStr">
        <is>
          <t>5</t>
        </is>
      </c>
      <c r="D358" t="n">
        <v>1</v>
      </c>
      <c r="E358" s="19" t="inlineStr">
        <is>
          <t>18</t>
        </is>
      </c>
      <c r="F358" t="n">
        <v>2</v>
      </c>
      <c r="G358" t="b">
        <v>0</v>
      </c>
      <c r="H358" t="inlineStr">
        <is>
          <t>UOM=ADT;WEIGHT_BASIS=PROCESSED_SOURCE_UNIT_WEIGHT;LINE_WEIGHT_KG=26.0;SOURCE_CFG=IA-ST-CFG-0064;SRC_REF=Row 1703, Slot 3;SRC_FILE=Mamul Ambalaj Bileşen Listesi-30.07.2026(3).xlsx</t>
        </is>
      </c>
    </row>
    <row r="359">
      <c r="A359" s="19" t="inlineStr">
        <is>
          <t>358</t>
        </is>
      </c>
      <c r="B359" s="19" t="inlineStr">
        <is>
          <t>50</t>
        </is>
      </c>
      <c r="C359" s="19" t="inlineStr">
        <is>
          <t>8</t>
        </is>
      </c>
      <c r="D359" t="n">
        <v>20</v>
      </c>
      <c r="E359" s="19" t="inlineStr">
        <is>
          <t>18</t>
        </is>
      </c>
      <c r="F359" t="n">
        <v>3</v>
      </c>
      <c r="G359" t="b">
        <v>0</v>
      </c>
      <c r="H359" t="inlineStr">
        <is>
          <t>UOM=M;WEIGHT_BASIS=PROCESSED_SOURCE_UNIT_WEIGHT;LINE_WEIGHT_KG=0.3664;SOURCE_CFG=IA-ST-CFG-0064;SRC_REF=Row 1703, Slot 5;SRC_FILE=Mamul Ambalaj Bileşen Listesi-30.07.2026(3).xlsx</t>
        </is>
      </c>
    </row>
    <row r="360">
      <c r="A360" s="19" t="inlineStr">
        <is>
          <t>359</t>
        </is>
      </c>
      <c r="B360" s="19" t="inlineStr">
        <is>
          <t>50</t>
        </is>
      </c>
      <c r="C360" s="19" t="inlineStr">
        <is>
          <t>9</t>
        </is>
      </c>
      <c r="D360" t="n">
        <v>0.186</v>
      </c>
      <c r="E360" s="19" t="inlineStr">
        <is>
          <t>18</t>
        </is>
      </c>
      <c r="F360" t="n">
        <v>4</v>
      </c>
      <c r="G360" t="b">
        <v>0</v>
      </c>
      <c r="H360" t="inlineStr">
        <is>
          <t>UOM=KG;WEIGHT_BASIS=RECIPE_QUANTITY_IS_KG;LINE_WEIGHT_KG=0.186;SOURCE_CFG=IA-ST-CFG-0064;SRC_REF=Row 1703, Slot 6;SRC_FILE=Mamul Ambalaj Bileşen Listesi-30.07.2026(3).xlsx</t>
        </is>
      </c>
    </row>
    <row r="361">
      <c r="A361" s="19" t="inlineStr">
        <is>
          <t>360</t>
        </is>
      </c>
      <c r="B361" s="19" t="inlineStr">
        <is>
          <t>50</t>
        </is>
      </c>
      <c r="C361" s="19" t="inlineStr">
        <is>
          <t>19</t>
        </is>
      </c>
      <c r="D361" t="n">
        <v>1.224</v>
      </c>
      <c r="E361" s="19" t="inlineStr">
        <is>
          <t>18</t>
        </is>
      </c>
      <c r="F361" t="n">
        <v>5</v>
      </c>
      <c r="G361" t="b">
        <v>0</v>
      </c>
      <c r="H361" t="inlineStr">
        <is>
          <t>UOM=KG;WEIGHT_BASIS=RECIPE_QUANTITY_IS_KG;LINE_WEIGHT_KG=1.224;SOURCE_CFG=IA-ST-CFG-0064;SRC_REF=Row 1703, Slot 7;SRC_FILE=Mamul Ambalaj Bileşen Listesi-30.07.2026(3).xlsx</t>
        </is>
      </c>
    </row>
    <row r="362">
      <c r="A362" s="19" t="inlineStr">
        <is>
          <t>361</t>
        </is>
      </c>
      <c r="B362" s="19" t="inlineStr">
        <is>
          <t>50</t>
        </is>
      </c>
      <c r="C362" s="19" t="inlineStr">
        <is>
          <t>7</t>
        </is>
      </c>
      <c r="D362" t="n">
        <v>4</v>
      </c>
      <c r="E362" s="19" t="inlineStr">
        <is>
          <t>18</t>
        </is>
      </c>
      <c r="F362" t="n">
        <v>6</v>
      </c>
      <c r="G362" t="b">
        <v>0</v>
      </c>
      <c r="H362" t="inlineStr">
        <is>
          <t>UOM=ADT;WEIGHT_BASIS=PROCESSED_SOURCE_UNIT_WEIGHT;LINE_WEIGHT_KG=1.08;SOURCE_CFG=IA-ST-CFG-0064;SRC_REF=Row 1703, Slot 8;SRC_FILE=Mamul Ambalaj Bileşen Listesi-30.07.2026(3).xlsx</t>
        </is>
      </c>
    </row>
    <row r="363">
      <c r="A363" s="19" t="inlineStr">
        <is>
          <t>362</t>
        </is>
      </c>
      <c r="B363" s="19" t="inlineStr">
        <is>
          <t>50</t>
        </is>
      </c>
      <c r="C363" s="19" t="inlineStr">
        <is>
          <t>25</t>
        </is>
      </c>
      <c r="D363" t="n">
        <v>2</v>
      </c>
      <c r="E363" s="19" t="inlineStr">
        <is>
          <t>18</t>
        </is>
      </c>
      <c r="F363" t="n">
        <v>7</v>
      </c>
      <c r="G363" t="b">
        <v>0</v>
      </c>
      <c r="H363" t="inlineStr">
        <is>
          <t>UOM=ADT;WEIGHT_BASIS=PROCESSED_SOURCE_UNIT_WEIGHT;LINE_WEIGHT_KG=0.2;SOURCE_CFG=IA-ST-CFG-0064;SRC_REF=Row 1703, Slot 9;SRC_FILE=Mamul Ambalaj Bileşen Listesi-30.07.2026(3).xlsx</t>
        </is>
      </c>
    </row>
    <row r="364">
      <c r="A364" s="19" t="inlineStr">
        <is>
          <t>363</t>
        </is>
      </c>
      <c r="B364" s="19" t="inlineStr">
        <is>
          <t>51</t>
        </is>
      </c>
      <c r="C364" s="19" t="inlineStr">
        <is>
          <t>13</t>
        </is>
      </c>
      <c r="D364" t="n">
        <v>14</v>
      </c>
      <c r="E364" s="19" t="inlineStr">
        <is>
          <t>18</t>
        </is>
      </c>
      <c r="F364" t="n">
        <v>1</v>
      </c>
      <c r="G364" t="b">
        <v>0</v>
      </c>
      <c r="H364" t="inlineStr">
        <is>
          <t>UOM=M;WEIGHT_BASIS=PROCESSED_SOURCE_UNIT_WEIGHT;LINE_WEIGHT_KG=0.1736;SOURCE_CFG=IA-ST-CFG-0077;SRC_REF=Row 1696, Slot 1;SRC_FILE=Mamul Ambalaj Bileşen Listesi-30.07.2026(3).xlsx</t>
        </is>
      </c>
    </row>
    <row r="365">
      <c r="A365" s="19" t="inlineStr">
        <is>
          <t>364</t>
        </is>
      </c>
      <c r="B365" s="19" t="inlineStr">
        <is>
          <t>51</t>
        </is>
      </c>
      <c r="C365" s="19" t="inlineStr">
        <is>
          <t>77</t>
        </is>
      </c>
      <c r="D365" t="n">
        <v>42</v>
      </c>
      <c r="E365" s="19" t="inlineStr">
        <is>
          <t>18</t>
        </is>
      </c>
      <c r="F365" t="n">
        <v>2</v>
      </c>
      <c r="G365" t="b">
        <v>0</v>
      </c>
      <c r="H365" t="inlineStr">
        <is>
          <t>UOM=ADT;WEIGHT_BASIS=SOURCE_UNIT_WEIGHT;LINE_WEIGHT_KG=2.6208;SOURCE_CFG=IA-ST-CFG-0077;SRC_REF=Row 1696, Slot 2;SRC_FILE=Mamul Ambalaj Bileşen Listesi-30.07.2026(3).xlsx</t>
        </is>
      </c>
    </row>
    <row r="366">
      <c r="A366" s="19" t="inlineStr">
        <is>
          <t>365</t>
        </is>
      </c>
      <c r="B366" s="19" t="inlineStr">
        <is>
          <t>51</t>
        </is>
      </c>
      <c r="C366" s="19" t="inlineStr">
        <is>
          <t>6</t>
        </is>
      </c>
      <c r="D366" t="n">
        <v>1</v>
      </c>
      <c r="E366" s="19" t="inlineStr">
        <is>
          <t>18</t>
        </is>
      </c>
      <c r="F366" t="n">
        <v>3</v>
      </c>
      <c r="G366" t="b">
        <v>0</v>
      </c>
      <c r="H366" t="inlineStr">
        <is>
          <t>UOM=ADT;WEIGHT_BASIS=PROCESSED_SOURCE_UNIT_WEIGHT;LINE_WEIGHT_KG=26.0;SOURCE_CFG=IA-ST-CFG-0077;SRC_REF=Row 1696, Slot 3;SRC_FILE=Mamul Ambalaj Bileşen Listesi-30.07.2026(3).xlsx</t>
        </is>
      </c>
    </row>
    <row r="367">
      <c r="A367" s="19" t="inlineStr">
        <is>
          <t>366</t>
        </is>
      </c>
      <c r="B367" s="19" t="inlineStr">
        <is>
          <t>51</t>
        </is>
      </c>
      <c r="C367" s="19" t="inlineStr">
        <is>
          <t>8</t>
        </is>
      </c>
      <c r="D367" t="n">
        <v>20</v>
      </c>
      <c r="E367" s="19" t="inlineStr">
        <is>
          <t>18</t>
        </is>
      </c>
      <c r="F367" t="n">
        <v>4</v>
      </c>
      <c r="G367" t="b">
        <v>0</v>
      </c>
      <c r="H367" t="inlineStr">
        <is>
          <t>UOM=M;WEIGHT_BASIS=PROCESSED_SOURCE_UNIT_WEIGHT;LINE_WEIGHT_KG=0.3664;SOURCE_CFG=IA-ST-CFG-0077;SRC_REF=Row 1696, Slot 5;SRC_FILE=Mamul Ambalaj Bileşen Listesi-30.07.2026(3).xlsx</t>
        </is>
      </c>
    </row>
    <row r="368">
      <c r="A368" s="19" t="inlineStr">
        <is>
          <t>367</t>
        </is>
      </c>
      <c r="B368" s="19" t="inlineStr">
        <is>
          <t>51</t>
        </is>
      </c>
      <c r="C368" s="19" t="inlineStr">
        <is>
          <t>9</t>
        </is>
      </c>
      <c r="D368" t="n">
        <v>0.186</v>
      </c>
      <c r="E368" s="19" t="inlineStr">
        <is>
          <t>18</t>
        </is>
      </c>
      <c r="F368" t="n">
        <v>5</v>
      </c>
      <c r="G368" t="b">
        <v>0</v>
      </c>
      <c r="H368" t="inlineStr">
        <is>
          <t>UOM=KG;WEIGHT_BASIS=RECIPE_QUANTITY_IS_KG;LINE_WEIGHT_KG=0.186;SOURCE_CFG=IA-ST-CFG-0077;SRC_REF=Row 1696, Slot 6;SRC_FILE=Mamul Ambalaj Bileşen Listesi-30.07.2026(3).xlsx</t>
        </is>
      </c>
    </row>
    <row r="369">
      <c r="A369" s="19" t="inlineStr">
        <is>
          <t>368</t>
        </is>
      </c>
      <c r="B369" s="19" t="inlineStr">
        <is>
          <t>51</t>
        </is>
      </c>
      <c r="C369" s="19" t="inlineStr">
        <is>
          <t>3</t>
        </is>
      </c>
      <c r="D369" t="n">
        <v>8</v>
      </c>
      <c r="E369" s="19" t="inlineStr">
        <is>
          <t>18</t>
        </is>
      </c>
      <c r="F369" t="n">
        <v>6</v>
      </c>
      <c r="G369" t="b">
        <v>0</v>
      </c>
      <c r="H369" t="inlineStr">
        <is>
          <t>UOM=ADT;WEIGHT_BASIS=PROCESSED_SOURCE_UNIT_WEIGHT;LINE_WEIGHT_KG=1.68;SOURCE_CFG=IA-ST-CFG-0077;SRC_REF=Row 1696, Slot 8;SRC_FILE=Mamul Ambalaj Bileşen Listesi-30.07.2026(3).xlsx</t>
        </is>
      </c>
    </row>
    <row r="370">
      <c r="A370" s="19" t="inlineStr">
        <is>
          <t>369</t>
        </is>
      </c>
      <c r="B370" s="19" t="inlineStr">
        <is>
          <t>51</t>
        </is>
      </c>
      <c r="C370" s="19" t="inlineStr">
        <is>
          <t>30</t>
        </is>
      </c>
      <c r="D370" t="n">
        <v>4</v>
      </c>
      <c r="E370" s="19" t="inlineStr">
        <is>
          <t>18</t>
        </is>
      </c>
      <c r="F370" t="n">
        <v>7</v>
      </c>
      <c r="G370" t="b">
        <v>0</v>
      </c>
      <c r="H370" t="inlineStr">
        <is>
          <t>UOM=ADT;WEIGHT_BASIS=PROCESSED_SOURCE_UNIT_WEIGHT;LINE_WEIGHT_KG=0.8;SOURCE_CFG=IA-ST-CFG-0077;SRC_REF=Row 1696, Slot 9;SRC_FILE=Mamul Ambalaj Bileşen Listesi-30.07.2026(3).xlsx</t>
        </is>
      </c>
    </row>
    <row r="371">
      <c r="A371" s="19" t="inlineStr">
        <is>
          <t>370</t>
        </is>
      </c>
      <c r="B371" s="19" t="inlineStr">
        <is>
          <t>51</t>
        </is>
      </c>
      <c r="C371" s="19" t="inlineStr">
        <is>
          <t>50</t>
        </is>
      </c>
      <c r="D371" t="n">
        <v>42</v>
      </c>
      <c r="E371" s="19" t="inlineStr">
        <is>
          <t>18</t>
        </is>
      </c>
      <c r="F371" t="n">
        <v>8</v>
      </c>
      <c r="G371" t="b">
        <v>0</v>
      </c>
      <c r="H371" t="inlineStr">
        <is>
          <t>UOM=ADT;WEIGHT_BASIS=PROCESSED_SOURCE_UNIT_WEIGHT;LINE_WEIGHT_KG=12.18;SOURCE_CFG=IA-ST-CFG-0077;SRC_REF=Row 1696, Slot 10;SRC_FILE=Mamul Ambalaj Bileşen Listesi-30.07.2026(3).xlsx</t>
        </is>
      </c>
    </row>
    <row r="372">
      <c r="A372" s="19" t="inlineStr">
        <is>
          <t>371</t>
        </is>
      </c>
      <c r="B372" s="19" t="inlineStr">
        <is>
          <t>52</t>
        </is>
      </c>
      <c r="C372" s="19" t="inlineStr">
        <is>
          <t>13</t>
        </is>
      </c>
      <c r="D372" t="n">
        <v>14</v>
      </c>
      <c r="E372" s="19" t="inlineStr">
        <is>
          <t>18</t>
        </is>
      </c>
      <c r="F372" t="n">
        <v>1</v>
      </c>
      <c r="G372" t="b">
        <v>0</v>
      </c>
      <c r="H372" t="inlineStr">
        <is>
          <t>UOM=M;WEIGHT_BASIS=PROCESSED_SOURCE_UNIT_WEIGHT;LINE_WEIGHT_KG=0.1736;SOURCE_CFG=IA-ST-CFG-0085;SRC_REF=Row 304, Slot 1;SRC_FILE=Mamul Ambalaj Bileşen Listesi-30.07.2026(3).xlsx</t>
        </is>
      </c>
    </row>
    <row r="373">
      <c r="A373" s="19" t="inlineStr">
        <is>
          <t>372</t>
        </is>
      </c>
      <c r="B373" s="19" t="inlineStr">
        <is>
          <t>52</t>
        </is>
      </c>
      <c r="C373" s="19" t="inlineStr">
        <is>
          <t>6</t>
        </is>
      </c>
      <c r="D373" t="n">
        <v>1</v>
      </c>
      <c r="E373" s="19" t="inlineStr">
        <is>
          <t>18</t>
        </is>
      </c>
      <c r="F373" t="n">
        <v>2</v>
      </c>
      <c r="G373" t="b">
        <v>0</v>
      </c>
      <c r="H373" t="inlineStr">
        <is>
          <t>UOM=ADT;WEIGHT_BASIS=PROCESSED_SOURCE_UNIT_WEIGHT;LINE_WEIGHT_KG=26.0;SOURCE_CFG=IA-ST-CFG-0085;SRC_REF=Row 304, Slot 3;SRC_FILE=Mamul Ambalaj Bileşen Listesi-30.07.2026(3).xlsx</t>
        </is>
      </c>
    </row>
    <row r="374">
      <c r="A374" s="19" t="inlineStr">
        <is>
          <t>373</t>
        </is>
      </c>
      <c r="B374" s="19" t="inlineStr">
        <is>
          <t>52</t>
        </is>
      </c>
      <c r="C374" s="19" t="inlineStr">
        <is>
          <t>8</t>
        </is>
      </c>
      <c r="D374" t="n">
        <v>20</v>
      </c>
      <c r="E374" s="19" t="inlineStr">
        <is>
          <t>18</t>
        </is>
      </c>
      <c r="F374" t="n">
        <v>3</v>
      </c>
      <c r="G374" t="b">
        <v>0</v>
      </c>
      <c r="H374" t="inlineStr">
        <is>
          <t>UOM=M;WEIGHT_BASIS=PROCESSED_SOURCE_UNIT_WEIGHT;LINE_WEIGHT_KG=0.3664;SOURCE_CFG=IA-ST-CFG-0085;SRC_REF=Row 304, Slot 5;SRC_FILE=Mamul Ambalaj Bileşen Listesi-30.07.2026(3).xlsx</t>
        </is>
      </c>
    </row>
    <row r="375">
      <c r="A375" s="19" t="inlineStr">
        <is>
          <t>374</t>
        </is>
      </c>
      <c r="B375" s="19" t="inlineStr">
        <is>
          <t>52</t>
        </is>
      </c>
      <c r="C375" s="19" t="inlineStr">
        <is>
          <t>9</t>
        </is>
      </c>
      <c r="D375" t="n">
        <v>0.186</v>
      </c>
      <c r="E375" s="19" t="inlineStr">
        <is>
          <t>18</t>
        </is>
      </c>
      <c r="F375" t="n">
        <v>4</v>
      </c>
      <c r="G375" t="b">
        <v>0</v>
      </c>
      <c r="H375" t="inlineStr">
        <is>
          <t>UOM=KG;WEIGHT_BASIS=RECIPE_QUANTITY_IS_KG;LINE_WEIGHT_KG=0.186;SOURCE_CFG=IA-ST-CFG-0085;SRC_REF=Row 304, Slot 6;SRC_FILE=Mamul Ambalaj Bileşen Listesi-30.07.2026(3).xlsx</t>
        </is>
      </c>
    </row>
    <row r="376">
      <c r="A376" s="19" t="inlineStr">
        <is>
          <t>375</t>
        </is>
      </c>
      <c r="B376" s="19" t="inlineStr">
        <is>
          <t>52</t>
        </is>
      </c>
      <c r="C376" s="19" t="inlineStr">
        <is>
          <t>25</t>
        </is>
      </c>
      <c r="D376" t="n">
        <v>4</v>
      </c>
      <c r="E376" s="19" t="inlineStr">
        <is>
          <t>18</t>
        </is>
      </c>
      <c r="F376" t="n">
        <v>5</v>
      </c>
      <c r="G376" t="b">
        <v>0</v>
      </c>
      <c r="H376" t="inlineStr">
        <is>
          <t>UOM=ADT;WEIGHT_BASIS=PROCESSED_SOURCE_UNIT_WEIGHT;LINE_WEIGHT_KG=0.4;SOURCE_CFG=IA-ST-CFG-0085;SRC_REF=Row 304, Slot 8;SRC_FILE=Mamul Ambalaj Bileşen Listesi-30.07.2026(3).xlsx</t>
        </is>
      </c>
    </row>
    <row r="377">
      <c r="A377" s="19" t="inlineStr">
        <is>
          <t>376</t>
        </is>
      </c>
      <c r="B377" s="19" t="inlineStr">
        <is>
          <t>52</t>
        </is>
      </c>
      <c r="C377" s="19" t="inlineStr">
        <is>
          <t>30</t>
        </is>
      </c>
      <c r="D377" t="n">
        <v>4</v>
      </c>
      <c r="E377" s="19" t="inlineStr">
        <is>
          <t>18</t>
        </is>
      </c>
      <c r="F377" t="n">
        <v>6</v>
      </c>
      <c r="G377" t="b">
        <v>0</v>
      </c>
      <c r="H377" t="inlineStr">
        <is>
          <t>UOM=ADT;WEIGHT_BASIS=PROCESSED_SOURCE_UNIT_WEIGHT;LINE_WEIGHT_KG=0.8;SOURCE_CFG=IA-ST-CFG-0085;SRC_REF=Row 304, Slot 9;SRC_FILE=Mamul Ambalaj Bileşen Listesi-30.07.2026(3).xlsx</t>
        </is>
      </c>
    </row>
    <row r="378">
      <c r="A378" s="19" t="inlineStr">
        <is>
          <t>377</t>
        </is>
      </c>
      <c r="B378" s="19" t="inlineStr">
        <is>
          <t>53</t>
        </is>
      </c>
      <c r="C378" s="19" t="inlineStr">
        <is>
          <t>13</t>
        </is>
      </c>
      <c r="D378" t="n">
        <v>7</v>
      </c>
      <c r="E378" s="19" t="inlineStr">
        <is>
          <t>18</t>
        </is>
      </c>
      <c r="F378" t="n">
        <v>1</v>
      </c>
      <c r="G378" t="b">
        <v>0</v>
      </c>
      <c r="H378" t="inlineStr">
        <is>
          <t>UOM=M;WEIGHT_BASIS=PROCESSED_SOURCE_UNIT_WEIGHT;LINE_WEIGHT_KG=0.0868;SOURCE_CFG=IA-ST-CFG-0086;SRC_REF=Row 716, Slot 1;SRC_FILE=Mamul Ambalaj Bileşen Listesi-30.07.2026(3).xlsx</t>
        </is>
      </c>
    </row>
    <row r="379">
      <c r="A379" s="19" t="inlineStr">
        <is>
          <t>378</t>
        </is>
      </c>
      <c r="B379" s="19" t="inlineStr">
        <is>
          <t>53</t>
        </is>
      </c>
      <c r="C379" s="19" t="inlineStr">
        <is>
          <t>6</t>
        </is>
      </c>
      <c r="D379" t="n">
        <v>1</v>
      </c>
      <c r="E379" s="19" t="inlineStr">
        <is>
          <t>18</t>
        </is>
      </c>
      <c r="F379" t="n">
        <v>2</v>
      </c>
      <c r="G379" t="b">
        <v>0</v>
      </c>
      <c r="H379" t="inlineStr">
        <is>
          <t>UOM=ADT;WEIGHT_BASIS=PROCESSED_SOURCE_UNIT_WEIGHT;LINE_WEIGHT_KG=26.0;SOURCE_CFG=IA-ST-CFG-0086;SRC_REF=Row 716, Slot 3;SRC_FILE=Mamul Ambalaj Bileşen Listesi-30.07.2026(3).xlsx</t>
        </is>
      </c>
    </row>
    <row r="380">
      <c r="A380" s="19" t="inlineStr">
        <is>
          <t>379</t>
        </is>
      </c>
      <c r="B380" s="19" t="inlineStr">
        <is>
          <t>53</t>
        </is>
      </c>
      <c r="C380" s="19" t="inlineStr">
        <is>
          <t>8</t>
        </is>
      </c>
      <c r="D380" t="n">
        <v>20</v>
      </c>
      <c r="E380" s="19" t="inlineStr">
        <is>
          <t>18</t>
        </is>
      </c>
      <c r="F380" t="n">
        <v>3</v>
      </c>
      <c r="G380" t="b">
        <v>0</v>
      </c>
      <c r="H380" t="inlineStr">
        <is>
          <t>UOM=M;WEIGHT_BASIS=PROCESSED_SOURCE_UNIT_WEIGHT;LINE_WEIGHT_KG=0.3664;SOURCE_CFG=IA-ST-CFG-0086;SRC_REF=Row 716, Slot 5;SRC_FILE=Mamul Ambalaj Bileşen Listesi-30.07.2026(3).xlsx</t>
        </is>
      </c>
    </row>
    <row r="381">
      <c r="A381" s="19" t="inlineStr">
        <is>
          <t>380</t>
        </is>
      </c>
      <c r="B381" s="19" t="inlineStr">
        <is>
          <t>53</t>
        </is>
      </c>
      <c r="C381" s="19" t="inlineStr">
        <is>
          <t>9</t>
        </is>
      </c>
      <c r="D381" t="n">
        <v>0.186</v>
      </c>
      <c r="E381" s="19" t="inlineStr">
        <is>
          <t>18</t>
        </is>
      </c>
      <c r="F381" t="n">
        <v>4</v>
      </c>
      <c r="G381" t="b">
        <v>0</v>
      </c>
      <c r="H381" t="inlineStr">
        <is>
          <t>UOM=KG;WEIGHT_BASIS=RECIPE_QUANTITY_IS_KG;LINE_WEIGHT_KG=0.186;SOURCE_CFG=IA-ST-CFG-0086;SRC_REF=Row 716, Slot 6;SRC_FILE=Mamul Ambalaj Bileşen Listesi-30.07.2026(3).xlsx</t>
        </is>
      </c>
    </row>
    <row r="382">
      <c r="A382" s="19" t="inlineStr">
        <is>
          <t>381</t>
        </is>
      </c>
      <c r="B382" s="19" t="inlineStr">
        <is>
          <t>53</t>
        </is>
      </c>
      <c r="C382" s="19" t="inlineStr">
        <is>
          <t>19</t>
        </is>
      </c>
      <c r="D382" t="n">
        <v>1.428</v>
      </c>
      <c r="E382" s="19" t="inlineStr">
        <is>
          <t>18</t>
        </is>
      </c>
      <c r="F382" t="n">
        <v>5</v>
      </c>
      <c r="G382" t="b">
        <v>0</v>
      </c>
      <c r="H382" t="inlineStr">
        <is>
          <t>UOM=KG;WEIGHT_BASIS=RECIPE_QUANTITY_IS_KG;LINE_WEIGHT_KG=1.428;SOURCE_CFG=IA-ST-CFG-0086;SRC_REF=Row 716, Slot 7;SRC_FILE=Mamul Ambalaj Bileşen Listesi-30.07.2026(3).xlsx</t>
        </is>
      </c>
    </row>
    <row r="383">
      <c r="A383" s="19" t="inlineStr">
        <is>
          <t>382</t>
        </is>
      </c>
      <c r="B383" s="19" t="inlineStr">
        <is>
          <t>53</t>
        </is>
      </c>
      <c r="C383" s="19" t="inlineStr">
        <is>
          <t>25</t>
        </is>
      </c>
      <c r="D383" t="n">
        <v>2</v>
      </c>
      <c r="E383" s="19" t="inlineStr">
        <is>
          <t>18</t>
        </is>
      </c>
      <c r="F383" t="n">
        <v>6</v>
      </c>
      <c r="G383" t="b">
        <v>0</v>
      </c>
      <c r="H383" t="inlineStr">
        <is>
          <t>UOM=ADT;WEIGHT_BASIS=PROCESSED_SOURCE_UNIT_WEIGHT;LINE_WEIGHT_KG=0.2;SOURCE_CFG=IA-ST-CFG-0086;SRC_REF=Row 716, Slot 8;SRC_FILE=Mamul Ambalaj Bileşen Listesi-30.07.2026(3).xlsx</t>
        </is>
      </c>
    </row>
    <row r="384">
      <c r="A384" s="19" t="inlineStr">
        <is>
          <t>383</t>
        </is>
      </c>
      <c r="B384" s="19" t="inlineStr">
        <is>
          <t>53</t>
        </is>
      </c>
      <c r="C384" s="19" t="inlineStr">
        <is>
          <t>30</t>
        </is>
      </c>
      <c r="D384" t="n">
        <v>4</v>
      </c>
      <c r="E384" s="19" t="inlineStr">
        <is>
          <t>18</t>
        </is>
      </c>
      <c r="F384" t="n">
        <v>7</v>
      </c>
      <c r="G384" t="b">
        <v>0</v>
      </c>
      <c r="H384" t="inlineStr">
        <is>
          <t>UOM=ADT;WEIGHT_BASIS=PROCESSED_SOURCE_UNIT_WEIGHT;LINE_WEIGHT_KG=0.8;SOURCE_CFG=IA-ST-CFG-0086;SRC_REF=Row 716, Slot 9;SRC_FILE=Mamul Ambalaj Bileşen Listesi-30.07.2026(3).xlsx</t>
        </is>
      </c>
    </row>
    <row r="385">
      <c r="A385" s="19" t="inlineStr">
        <is>
          <t>384</t>
        </is>
      </c>
      <c r="B385" s="19" t="inlineStr">
        <is>
          <t>54</t>
        </is>
      </c>
      <c r="C385" s="19" t="inlineStr">
        <is>
          <t>13</t>
        </is>
      </c>
      <c r="D385" t="n">
        <v>7</v>
      </c>
      <c r="E385" s="19" t="inlineStr">
        <is>
          <t>18</t>
        </is>
      </c>
      <c r="F385" t="n">
        <v>1</v>
      </c>
      <c r="G385" t="b">
        <v>0</v>
      </c>
      <c r="H385" t="inlineStr">
        <is>
          <t>UOM=M;WEIGHT_BASIS=PROCESSED_SOURCE_UNIT_WEIGHT;LINE_WEIGHT_KG=0.0868;SOURCE_CFG=IA-ST-CFG-0087;SRC_REF=Row 776, Slot 1;SRC_FILE=Mamul Ambalaj Bileşen Listesi-30.07.2026(3).xlsx</t>
        </is>
      </c>
    </row>
    <row r="386">
      <c r="A386" s="19" t="inlineStr">
        <is>
          <t>385</t>
        </is>
      </c>
      <c r="B386" s="19" t="inlineStr">
        <is>
          <t>54</t>
        </is>
      </c>
      <c r="C386" s="19" t="inlineStr">
        <is>
          <t>6</t>
        </is>
      </c>
      <c r="D386" t="n">
        <v>1</v>
      </c>
      <c r="E386" s="19" t="inlineStr">
        <is>
          <t>18</t>
        </is>
      </c>
      <c r="F386" t="n">
        <v>2</v>
      </c>
      <c r="G386" t="b">
        <v>0</v>
      </c>
      <c r="H386" t="inlineStr">
        <is>
          <t>UOM=ADT;WEIGHT_BASIS=PROCESSED_SOURCE_UNIT_WEIGHT;LINE_WEIGHT_KG=26.0;SOURCE_CFG=IA-ST-CFG-0087;SRC_REF=Row 776, Slot 3;SRC_FILE=Mamul Ambalaj Bileşen Listesi-30.07.2026(3).xlsx</t>
        </is>
      </c>
    </row>
    <row r="387">
      <c r="A387" s="19" t="inlineStr">
        <is>
          <t>386</t>
        </is>
      </c>
      <c r="B387" s="19" t="inlineStr">
        <is>
          <t>54</t>
        </is>
      </c>
      <c r="C387" s="19" t="inlineStr">
        <is>
          <t>8</t>
        </is>
      </c>
      <c r="D387" t="n">
        <v>20</v>
      </c>
      <c r="E387" s="19" t="inlineStr">
        <is>
          <t>18</t>
        </is>
      </c>
      <c r="F387" t="n">
        <v>3</v>
      </c>
      <c r="G387" t="b">
        <v>0</v>
      </c>
      <c r="H387" t="inlineStr">
        <is>
          <t>UOM=M;WEIGHT_BASIS=PROCESSED_SOURCE_UNIT_WEIGHT;LINE_WEIGHT_KG=0.3664;SOURCE_CFG=IA-ST-CFG-0087;SRC_REF=Row 776, Slot 5;SRC_FILE=Mamul Ambalaj Bileşen Listesi-30.07.2026(3).xlsx</t>
        </is>
      </c>
    </row>
    <row r="388">
      <c r="A388" s="19" t="inlineStr">
        <is>
          <t>387</t>
        </is>
      </c>
      <c r="B388" s="19" t="inlineStr">
        <is>
          <t>54</t>
        </is>
      </c>
      <c r="C388" s="19" t="inlineStr">
        <is>
          <t>9</t>
        </is>
      </c>
      <c r="D388" t="n">
        <v>0.186</v>
      </c>
      <c r="E388" s="19" t="inlineStr">
        <is>
          <t>18</t>
        </is>
      </c>
      <c r="F388" t="n">
        <v>4</v>
      </c>
      <c r="G388" t="b">
        <v>0</v>
      </c>
      <c r="H388" t="inlineStr">
        <is>
          <t>UOM=KG;WEIGHT_BASIS=RECIPE_QUANTITY_IS_KG;LINE_WEIGHT_KG=0.186;SOURCE_CFG=IA-ST-CFG-0087;SRC_REF=Row 776, Slot 6;SRC_FILE=Mamul Ambalaj Bileşen Listesi-30.07.2026(3).xlsx</t>
        </is>
      </c>
    </row>
    <row r="389">
      <c r="A389" s="19" t="inlineStr">
        <is>
          <t>388</t>
        </is>
      </c>
      <c r="B389" s="19" t="inlineStr">
        <is>
          <t>54</t>
        </is>
      </c>
      <c r="C389" s="19" t="inlineStr">
        <is>
          <t>25</t>
        </is>
      </c>
      <c r="D389" t="n">
        <v>2</v>
      </c>
      <c r="E389" s="19" t="inlineStr">
        <is>
          <t>18</t>
        </is>
      </c>
      <c r="F389" t="n">
        <v>5</v>
      </c>
      <c r="G389" t="b">
        <v>0</v>
      </c>
      <c r="H389" t="inlineStr">
        <is>
          <t>UOM=ADT;WEIGHT_BASIS=PROCESSED_SOURCE_UNIT_WEIGHT;LINE_WEIGHT_KG=0.2;SOURCE_CFG=IA-ST-CFG-0087;SRC_REF=Row 776, Slot 8;SRC_FILE=Mamul Ambalaj Bileşen Listesi-30.07.2026(3).xlsx</t>
        </is>
      </c>
    </row>
    <row r="390">
      <c r="A390" s="19" t="inlineStr">
        <is>
          <t>389</t>
        </is>
      </c>
      <c r="B390" s="19" t="inlineStr">
        <is>
          <t>54</t>
        </is>
      </c>
      <c r="C390" s="19" t="inlineStr">
        <is>
          <t>30</t>
        </is>
      </c>
      <c r="D390" t="n">
        <v>4</v>
      </c>
      <c r="E390" s="19" t="inlineStr">
        <is>
          <t>18</t>
        </is>
      </c>
      <c r="F390" t="n">
        <v>6</v>
      </c>
      <c r="G390" t="b">
        <v>0</v>
      </c>
      <c r="H390" t="inlineStr">
        <is>
          <t>UOM=ADT;WEIGHT_BASIS=PROCESSED_SOURCE_UNIT_WEIGHT;LINE_WEIGHT_KG=0.8;SOURCE_CFG=IA-ST-CFG-0087;SRC_REF=Row 776, Slot 9;SRC_FILE=Mamul Ambalaj Bileşen Listesi-30.07.2026(3).xlsx</t>
        </is>
      </c>
    </row>
    <row r="391">
      <c r="A391" s="19" t="inlineStr">
        <is>
          <t>390</t>
        </is>
      </c>
      <c r="B391" s="19" t="inlineStr">
        <is>
          <t>55</t>
        </is>
      </c>
      <c r="C391" s="19" t="inlineStr">
        <is>
          <t>13</t>
        </is>
      </c>
      <c r="D391" t="n">
        <v>14</v>
      </c>
      <c r="E391" s="19" t="inlineStr">
        <is>
          <t>18</t>
        </is>
      </c>
      <c r="F391" t="n">
        <v>1</v>
      </c>
      <c r="G391" t="b">
        <v>0</v>
      </c>
      <c r="H391" t="inlineStr">
        <is>
          <t>UOM=M;WEIGHT_BASIS=PROCESSED_SOURCE_UNIT_WEIGHT;LINE_WEIGHT_KG=0.1736;SOURCE_CFG=IA-ST-CFG-0075;SRC_REF=Row 730, Slot 1;SRC_FILE=Mamul Ambalaj Bileşen Listesi-30.07.2026(3).xlsx</t>
        </is>
      </c>
    </row>
    <row r="392">
      <c r="A392" s="19" t="inlineStr">
        <is>
          <t>391</t>
        </is>
      </c>
      <c r="B392" s="19" t="inlineStr">
        <is>
          <t>55</t>
        </is>
      </c>
      <c r="C392" s="19" t="inlineStr">
        <is>
          <t>53</t>
        </is>
      </c>
      <c r="D392" t="n">
        <v>42</v>
      </c>
      <c r="E392" s="19" t="inlineStr">
        <is>
          <t>18</t>
        </is>
      </c>
      <c r="F392" t="n">
        <v>2</v>
      </c>
      <c r="G392" t="b">
        <v>0</v>
      </c>
      <c r="H392" t="inlineStr">
        <is>
          <t>UOM=ADT;WEIGHT_BASIS=SOURCE_UNIT_WEIGHT;LINE_WEIGHT_KG=2.14494;SOURCE_CFG=IA-ST-CFG-0075;SRC_REF=Row 730, Slot 2;SRC_FILE=Mamul Ambalaj Bileşen Listesi-30.07.2026(3).xlsx</t>
        </is>
      </c>
    </row>
    <row r="393">
      <c r="A393" s="19" t="inlineStr">
        <is>
          <t>392</t>
        </is>
      </c>
      <c r="B393" s="19" t="inlineStr">
        <is>
          <t>55</t>
        </is>
      </c>
      <c r="C393" s="19" t="inlineStr">
        <is>
          <t>5</t>
        </is>
      </c>
      <c r="D393" t="n">
        <v>1</v>
      </c>
      <c r="E393" s="19" t="inlineStr">
        <is>
          <t>18</t>
        </is>
      </c>
      <c r="F393" t="n">
        <v>3</v>
      </c>
      <c r="G393" t="b">
        <v>0</v>
      </c>
      <c r="H393" t="inlineStr">
        <is>
          <t>UOM=ADT;WEIGHT_BASIS=PROCESSED_SOURCE_UNIT_WEIGHT;LINE_WEIGHT_KG=26.0;SOURCE_CFG=IA-ST-CFG-0075;SRC_REF=Row 730, Slot 3;SRC_FILE=Mamul Ambalaj Bileşen Listesi-30.07.2026(3).xlsx</t>
        </is>
      </c>
    </row>
    <row r="394">
      <c r="A394" s="19" t="inlineStr">
        <is>
          <t>393</t>
        </is>
      </c>
      <c r="B394" s="19" t="inlineStr">
        <is>
          <t>55</t>
        </is>
      </c>
      <c r="C394" s="19" t="inlineStr">
        <is>
          <t>8</t>
        </is>
      </c>
      <c r="D394" t="n">
        <v>20</v>
      </c>
      <c r="E394" s="19" t="inlineStr">
        <is>
          <t>18</t>
        </is>
      </c>
      <c r="F394" t="n">
        <v>4</v>
      </c>
      <c r="G394" t="b">
        <v>0</v>
      </c>
      <c r="H394" t="inlineStr">
        <is>
          <t>UOM=M;WEIGHT_BASIS=PROCESSED_SOURCE_UNIT_WEIGHT;LINE_WEIGHT_KG=0.3664;SOURCE_CFG=IA-ST-CFG-0075;SRC_REF=Row 730, Slot 5;SRC_FILE=Mamul Ambalaj Bileşen Listesi-30.07.2026(3).xlsx</t>
        </is>
      </c>
    </row>
    <row r="395">
      <c r="A395" s="19" t="inlineStr">
        <is>
          <t>394</t>
        </is>
      </c>
      <c r="B395" s="19" t="inlineStr">
        <is>
          <t>55</t>
        </is>
      </c>
      <c r="C395" s="19" t="inlineStr">
        <is>
          <t>9</t>
        </is>
      </c>
      <c r="D395" t="n">
        <v>0.186</v>
      </c>
      <c r="E395" s="19" t="inlineStr">
        <is>
          <t>18</t>
        </is>
      </c>
      <c r="F395" t="n">
        <v>5</v>
      </c>
      <c r="G395" t="b">
        <v>0</v>
      </c>
      <c r="H395" t="inlineStr">
        <is>
          <t>UOM=KG;WEIGHT_BASIS=RECIPE_QUANTITY_IS_KG;LINE_WEIGHT_KG=0.186;SOURCE_CFG=IA-ST-CFG-0075;SRC_REF=Row 730, Slot 6;SRC_FILE=Mamul Ambalaj Bileşen Listesi-30.07.2026(3).xlsx</t>
        </is>
      </c>
    </row>
    <row r="396">
      <c r="A396" s="19" t="inlineStr">
        <is>
          <t>395</t>
        </is>
      </c>
      <c r="B396" s="19" t="inlineStr">
        <is>
          <t>55</t>
        </is>
      </c>
      <c r="C396" s="19" t="inlineStr">
        <is>
          <t>3</t>
        </is>
      </c>
      <c r="D396" t="n">
        <v>6</v>
      </c>
      <c r="E396" s="19" t="inlineStr">
        <is>
          <t>18</t>
        </is>
      </c>
      <c r="F396" t="n">
        <v>6</v>
      </c>
      <c r="G396" t="b">
        <v>0</v>
      </c>
      <c r="H396" t="inlineStr">
        <is>
          <t>UOM=ADT;WEIGHT_BASIS=PROCESSED_SOURCE_UNIT_WEIGHT;LINE_WEIGHT_KG=1.26;SOURCE_CFG=IA-ST-CFG-0075;SRC_REF=Row 730, Slot 8;SRC_FILE=Mamul Ambalaj Bileşen Listesi-30.07.2026(3).xlsx</t>
        </is>
      </c>
    </row>
    <row r="397">
      <c r="A397" s="19" t="inlineStr">
        <is>
          <t>396</t>
        </is>
      </c>
      <c r="B397" s="19" t="inlineStr">
        <is>
          <t>55</t>
        </is>
      </c>
      <c r="C397" s="19" t="inlineStr">
        <is>
          <t>7</t>
        </is>
      </c>
      <c r="D397" t="n">
        <v>3</v>
      </c>
      <c r="E397" s="19" t="inlineStr">
        <is>
          <t>18</t>
        </is>
      </c>
      <c r="F397" t="n">
        <v>7</v>
      </c>
      <c r="G397" t="b">
        <v>0</v>
      </c>
      <c r="H397" t="inlineStr">
        <is>
          <t>UOM=ADT;WEIGHT_BASIS=PROCESSED_SOURCE_UNIT_WEIGHT;LINE_WEIGHT_KG=0.81;SOURCE_CFG=IA-ST-CFG-0075;SRC_REF=Row 730, Slot 9;SRC_FILE=Mamul Ambalaj Bileşen Listesi-30.07.2026(3).xlsx</t>
        </is>
      </c>
    </row>
    <row r="398">
      <c r="A398" s="19" t="inlineStr">
        <is>
          <t>397</t>
        </is>
      </c>
      <c r="B398" s="19" t="inlineStr">
        <is>
          <t>55</t>
        </is>
      </c>
      <c r="C398" s="19" t="inlineStr">
        <is>
          <t>49</t>
        </is>
      </c>
      <c r="D398" t="n">
        <v>42</v>
      </c>
      <c r="E398" s="19" t="inlineStr">
        <is>
          <t>18</t>
        </is>
      </c>
      <c r="F398" t="n">
        <v>8</v>
      </c>
      <c r="G398" t="b">
        <v>0</v>
      </c>
      <c r="H398" t="inlineStr">
        <is>
          <t>UOM=ADT;WEIGHT_BASIS=PROCESSED_SOURCE_UNIT_WEIGHT;LINE_WEIGHT_KG=10.08;SOURCE_CFG=IA-ST-CFG-0075;SRC_REF=Row 730, Slot 10;SRC_FILE=Mamul Ambalaj Bileşen Listesi-30.07.2026(3).xlsx</t>
        </is>
      </c>
    </row>
    <row r="399">
      <c r="A399" s="19" t="inlineStr">
        <is>
          <t>398</t>
        </is>
      </c>
      <c r="B399" s="19" t="inlineStr">
        <is>
          <t>56</t>
        </is>
      </c>
      <c r="C399" s="19" t="inlineStr">
        <is>
          <t>13</t>
        </is>
      </c>
      <c r="D399" t="n">
        <v>14</v>
      </c>
      <c r="E399" s="19" t="inlineStr">
        <is>
          <t>18</t>
        </is>
      </c>
      <c r="F399" t="n">
        <v>1</v>
      </c>
      <c r="G399" t="b">
        <v>0</v>
      </c>
      <c r="H399" t="inlineStr">
        <is>
          <t>UOM=M;WEIGHT_BASIS=PROCESSED_SOURCE_UNIT_WEIGHT;LINE_WEIGHT_KG=0.1736;SOURCE_CFG=IA-ST-CFG-0076;SRC_REF=Row 1165, Slot 1;SRC_FILE=Mamul Ambalaj Bileşen Listesi-30.07.2026(3).xlsx</t>
        </is>
      </c>
    </row>
    <row r="400">
      <c r="A400" s="19" t="inlineStr">
        <is>
          <t>399</t>
        </is>
      </c>
      <c r="B400" s="19" t="inlineStr">
        <is>
          <t>56</t>
        </is>
      </c>
      <c r="C400" s="19" t="inlineStr">
        <is>
          <t>5</t>
        </is>
      </c>
      <c r="D400" t="n">
        <v>1</v>
      </c>
      <c r="E400" s="19" t="inlineStr">
        <is>
          <t>18</t>
        </is>
      </c>
      <c r="F400" t="n">
        <v>2</v>
      </c>
      <c r="G400" t="b">
        <v>0</v>
      </c>
      <c r="H400" t="inlineStr">
        <is>
          <t>UOM=ADT;WEIGHT_BASIS=PROCESSED_SOURCE_UNIT_WEIGHT;LINE_WEIGHT_KG=26.0;SOURCE_CFG=IA-ST-CFG-0076;SRC_REF=Row 1165, Slot 3;SRC_FILE=Mamul Ambalaj Bileşen Listesi-30.07.2026(3).xlsx</t>
        </is>
      </c>
    </row>
    <row r="401">
      <c r="A401" s="19" t="inlineStr">
        <is>
          <t>400</t>
        </is>
      </c>
      <c r="B401" s="19" t="inlineStr">
        <is>
          <t>56</t>
        </is>
      </c>
      <c r="C401" s="19" t="inlineStr">
        <is>
          <t>8</t>
        </is>
      </c>
      <c r="D401" t="n">
        <v>20</v>
      </c>
      <c r="E401" s="19" t="inlineStr">
        <is>
          <t>18</t>
        </is>
      </c>
      <c r="F401" t="n">
        <v>3</v>
      </c>
      <c r="G401" t="b">
        <v>0</v>
      </c>
      <c r="H401" t="inlineStr">
        <is>
          <t>UOM=M;WEIGHT_BASIS=PROCESSED_SOURCE_UNIT_WEIGHT;LINE_WEIGHT_KG=0.3664;SOURCE_CFG=IA-ST-CFG-0076;SRC_REF=Row 1165, Slot 5;SRC_FILE=Mamul Ambalaj Bileşen Listesi-30.07.2026(3).xlsx</t>
        </is>
      </c>
    </row>
    <row r="402">
      <c r="A402" s="19" t="inlineStr">
        <is>
          <t>401</t>
        </is>
      </c>
      <c r="B402" s="19" t="inlineStr">
        <is>
          <t>56</t>
        </is>
      </c>
      <c r="C402" s="19" t="inlineStr">
        <is>
          <t>9</t>
        </is>
      </c>
      <c r="D402" t="n">
        <v>0.186</v>
      </c>
      <c r="E402" s="19" t="inlineStr">
        <is>
          <t>18</t>
        </is>
      </c>
      <c r="F402" t="n">
        <v>4</v>
      </c>
      <c r="G402" t="b">
        <v>0</v>
      </c>
      <c r="H402" t="inlineStr">
        <is>
          <t>UOM=KG;WEIGHT_BASIS=RECIPE_QUANTITY_IS_KG;LINE_WEIGHT_KG=0.186;SOURCE_CFG=IA-ST-CFG-0076;SRC_REF=Row 1165, Slot 6;SRC_FILE=Mamul Ambalaj Bileşen Listesi-30.07.2026(3).xlsx</t>
        </is>
      </c>
    </row>
    <row r="403">
      <c r="A403" s="19" t="inlineStr">
        <is>
          <t>402</t>
        </is>
      </c>
      <c r="B403" s="19" t="inlineStr">
        <is>
          <t>56</t>
        </is>
      </c>
      <c r="C403" s="19" t="inlineStr">
        <is>
          <t>3</t>
        </is>
      </c>
      <c r="D403" t="n">
        <v>8</v>
      </c>
      <c r="E403" s="19" t="inlineStr">
        <is>
          <t>18</t>
        </is>
      </c>
      <c r="F403" t="n">
        <v>5</v>
      </c>
      <c r="G403" t="b">
        <v>0</v>
      </c>
      <c r="H403" t="inlineStr">
        <is>
          <t>UOM=ADT;WEIGHT_BASIS=PROCESSED_SOURCE_UNIT_WEIGHT;LINE_WEIGHT_KG=1.68;SOURCE_CFG=IA-ST-CFG-0076;SRC_REF=Row 1165, Slot 8;SRC_FILE=Mamul Ambalaj Bileşen Listesi-30.07.2026(3).xlsx</t>
        </is>
      </c>
    </row>
    <row r="404">
      <c r="A404" s="19" t="inlineStr">
        <is>
          <t>403</t>
        </is>
      </c>
      <c r="B404" s="19" t="inlineStr">
        <is>
          <t>56</t>
        </is>
      </c>
      <c r="C404" s="19" t="inlineStr">
        <is>
          <t>7</t>
        </is>
      </c>
      <c r="D404" t="n">
        <v>4</v>
      </c>
      <c r="E404" s="19" t="inlineStr">
        <is>
          <t>18</t>
        </is>
      </c>
      <c r="F404" t="n">
        <v>6</v>
      </c>
      <c r="G404" t="b">
        <v>0</v>
      </c>
      <c r="H404" t="inlineStr">
        <is>
          <t>UOM=ADT;WEIGHT_BASIS=PROCESSED_SOURCE_UNIT_WEIGHT;LINE_WEIGHT_KG=1.08;SOURCE_CFG=IA-ST-CFG-0076;SRC_REF=Row 1165, Slot 9;SRC_FILE=Mamul Ambalaj Bileşen Listesi-30.07.2026(3).xlsx</t>
        </is>
      </c>
    </row>
    <row r="405">
      <c r="A405" s="19" t="inlineStr">
        <is>
          <t>404</t>
        </is>
      </c>
      <c r="B405" s="19" t="inlineStr">
        <is>
          <t>56</t>
        </is>
      </c>
      <c r="C405" s="19" t="inlineStr">
        <is>
          <t>96</t>
        </is>
      </c>
      <c r="D405" t="n">
        <v>42</v>
      </c>
      <c r="E405" s="19" t="inlineStr">
        <is>
          <t>18</t>
        </is>
      </c>
      <c r="F405" t="n">
        <v>7</v>
      </c>
      <c r="G405" t="b">
        <v>0</v>
      </c>
      <c r="H405" t="inlineStr">
        <is>
          <t>UOM=ADT;WEIGHT_BASIS=PROCESSED_SOURCE_UNIT_WEIGHT;LINE_WEIGHT_KG=16.8;SOURCE_CFG=IA-ST-CFG-0076;SRC_REF=Row 1165, Slot 10;SRC_FILE=Mamul Ambalaj Bileşen Listesi-30.07.2026(3).xlsx</t>
        </is>
      </c>
    </row>
    <row r="406">
      <c r="A406" s="19" t="inlineStr">
        <is>
          <t>405</t>
        </is>
      </c>
      <c r="B406" s="19" t="inlineStr">
        <is>
          <t>57</t>
        </is>
      </c>
      <c r="C406" s="19" t="inlineStr">
        <is>
          <t>13</t>
        </is>
      </c>
      <c r="D406" t="n">
        <v>14</v>
      </c>
      <c r="E406" s="19" t="inlineStr">
        <is>
          <t>18</t>
        </is>
      </c>
      <c r="F406" t="n">
        <v>1</v>
      </c>
      <c r="G406" t="b">
        <v>0</v>
      </c>
      <c r="H406" t="inlineStr">
        <is>
          <t>UOM=M;WEIGHT_BASIS=PROCESSED_SOURCE_UNIT_WEIGHT;LINE_WEIGHT_KG=0.1736;SOURCE_CFG=IA-ST-CFG-0078;SRC_REF=Row 1300, Slot 1;SRC_FILE=Mamul Ambalaj Bileşen Listesi-30.07.2026(3).xlsx</t>
        </is>
      </c>
    </row>
    <row r="407">
      <c r="A407" s="19" t="inlineStr">
        <is>
          <t>406</t>
        </is>
      </c>
      <c r="B407" s="19" t="inlineStr">
        <is>
          <t>57</t>
        </is>
      </c>
      <c r="C407" s="19" t="inlineStr">
        <is>
          <t>5</t>
        </is>
      </c>
      <c r="D407" t="n">
        <v>1</v>
      </c>
      <c r="E407" s="19" t="inlineStr">
        <is>
          <t>18</t>
        </is>
      </c>
      <c r="F407" t="n">
        <v>2</v>
      </c>
      <c r="G407" t="b">
        <v>0</v>
      </c>
      <c r="H407" t="inlineStr">
        <is>
          <t>UOM=ADT;WEIGHT_BASIS=PROCESSED_SOURCE_UNIT_WEIGHT;LINE_WEIGHT_KG=26.0;SOURCE_CFG=IA-ST-CFG-0078;SRC_REF=Row 1300, Slot 3;SRC_FILE=Mamul Ambalaj Bileşen Listesi-30.07.2026(3).xlsx</t>
        </is>
      </c>
    </row>
    <row r="408">
      <c r="A408" s="19" t="inlineStr">
        <is>
          <t>407</t>
        </is>
      </c>
      <c r="B408" s="19" t="inlineStr">
        <is>
          <t>57</t>
        </is>
      </c>
      <c r="C408" s="19" t="inlineStr">
        <is>
          <t>8</t>
        </is>
      </c>
      <c r="D408" t="n">
        <v>20</v>
      </c>
      <c r="E408" s="19" t="inlineStr">
        <is>
          <t>18</t>
        </is>
      </c>
      <c r="F408" t="n">
        <v>3</v>
      </c>
      <c r="G408" t="b">
        <v>0</v>
      </c>
      <c r="H408" t="inlineStr">
        <is>
          <t>UOM=M;WEIGHT_BASIS=PROCESSED_SOURCE_UNIT_WEIGHT;LINE_WEIGHT_KG=0.3664;SOURCE_CFG=IA-ST-CFG-0078;SRC_REF=Row 1300, Slot 5;SRC_FILE=Mamul Ambalaj Bileşen Listesi-30.07.2026(3).xlsx</t>
        </is>
      </c>
    </row>
    <row r="409">
      <c r="A409" s="19" t="inlineStr">
        <is>
          <t>408</t>
        </is>
      </c>
      <c r="B409" s="19" t="inlineStr">
        <is>
          <t>57</t>
        </is>
      </c>
      <c r="C409" s="19" t="inlineStr">
        <is>
          <t>9</t>
        </is>
      </c>
      <c r="D409" t="n">
        <v>0.186</v>
      </c>
      <c r="E409" s="19" t="inlineStr">
        <is>
          <t>18</t>
        </is>
      </c>
      <c r="F409" t="n">
        <v>4</v>
      </c>
      <c r="G409" t="b">
        <v>0</v>
      </c>
      <c r="H409" t="inlineStr">
        <is>
          <t>UOM=KG;WEIGHT_BASIS=RECIPE_QUANTITY_IS_KG;LINE_WEIGHT_KG=0.186;SOURCE_CFG=IA-ST-CFG-0078;SRC_REF=Row 1300, Slot 6;SRC_FILE=Mamul Ambalaj Bileşen Listesi-30.07.2026(3).xlsx</t>
        </is>
      </c>
    </row>
    <row r="410">
      <c r="A410" s="19" t="inlineStr">
        <is>
          <t>409</t>
        </is>
      </c>
      <c r="B410" s="19" t="inlineStr">
        <is>
          <t>57</t>
        </is>
      </c>
      <c r="C410" s="19" t="inlineStr">
        <is>
          <t>23</t>
        </is>
      </c>
      <c r="D410" t="n">
        <v>1.387</v>
      </c>
      <c r="E410" s="19" t="inlineStr">
        <is>
          <t>18</t>
        </is>
      </c>
      <c r="F410" t="n">
        <v>5</v>
      </c>
      <c r="G410" t="b">
        <v>0</v>
      </c>
      <c r="H410" t="inlineStr">
        <is>
          <t>UOM=KG;WEIGHT_BASIS=RECIPE_QUANTITY_IS_KG;LINE_WEIGHT_KG=1.387;SOURCE_CFG=IA-ST-CFG-0078;SRC_REF=Row 1300, Slot 7;SRC_FILE=Mamul Ambalaj Bileşen Listesi-30.07.2026(3).xlsx</t>
        </is>
      </c>
    </row>
    <row r="411">
      <c r="A411" s="19" t="inlineStr">
        <is>
          <t>410</t>
        </is>
      </c>
      <c r="B411" s="19" t="inlineStr">
        <is>
          <t>57</t>
        </is>
      </c>
      <c r="C411" s="19" t="inlineStr">
        <is>
          <t>7</t>
        </is>
      </c>
      <c r="D411" t="n">
        <v>3</v>
      </c>
      <c r="E411" s="19" t="inlineStr">
        <is>
          <t>18</t>
        </is>
      </c>
      <c r="F411" t="n">
        <v>6</v>
      </c>
      <c r="G411" t="b">
        <v>0</v>
      </c>
      <c r="H411" t="inlineStr">
        <is>
          <t>UOM=ADT;WEIGHT_BASIS=PROCESSED_SOURCE_UNIT_WEIGHT;LINE_WEIGHT_KG=0.81;SOURCE_CFG=IA-ST-CFG-0078;SRC_REF=Row 1300, Slot 8;SRC_FILE=Mamul Ambalaj Bileşen Listesi-30.07.2026(3).xlsx</t>
        </is>
      </c>
    </row>
    <row r="412">
      <c r="A412" s="19" t="inlineStr">
        <is>
          <t>411</t>
        </is>
      </c>
      <c r="B412" s="19" t="inlineStr">
        <is>
          <t>57</t>
        </is>
      </c>
      <c r="C412" s="19" t="inlineStr">
        <is>
          <t>25</t>
        </is>
      </c>
      <c r="D412" t="n">
        <v>4</v>
      </c>
      <c r="E412" s="19" t="inlineStr">
        <is>
          <t>18</t>
        </is>
      </c>
      <c r="F412" t="n">
        <v>7</v>
      </c>
      <c r="G412" t="b">
        <v>0</v>
      </c>
      <c r="H412" t="inlineStr">
        <is>
          <t>UOM=ADT;WEIGHT_BASIS=PROCESSED_SOURCE_UNIT_WEIGHT;LINE_WEIGHT_KG=0.4;SOURCE_CFG=IA-ST-CFG-0078;SRC_REF=Row 1300, Slot 9;SRC_FILE=Mamul Ambalaj Bileşen Listesi-30.07.2026(3).xlsx</t>
        </is>
      </c>
    </row>
    <row r="413">
      <c r="A413" s="19" t="inlineStr">
        <is>
          <t>412</t>
        </is>
      </c>
      <c r="B413" s="19" t="inlineStr">
        <is>
          <t>58</t>
        </is>
      </c>
      <c r="C413" s="19" t="inlineStr">
        <is>
          <t>13</t>
        </is>
      </c>
      <c r="D413" t="n">
        <v>7</v>
      </c>
      <c r="E413" s="19" t="inlineStr">
        <is>
          <t>18</t>
        </is>
      </c>
      <c r="F413" t="n">
        <v>1</v>
      </c>
      <c r="G413" t="b">
        <v>0</v>
      </c>
      <c r="H413" t="inlineStr">
        <is>
          <t>UOM=M;WEIGHT_BASIS=PROCESSED_SOURCE_UNIT_WEIGHT;LINE_WEIGHT_KG=0.0868;SOURCE_CFG=IA-ST-CFG-0079;SRC_REF=Row 1702, Slot 1;SRC_FILE=Mamul Ambalaj Bileşen Listesi-30.07.2026(3).xlsx</t>
        </is>
      </c>
    </row>
    <row r="414">
      <c r="A414" s="19" t="inlineStr">
        <is>
          <t>413</t>
        </is>
      </c>
      <c r="B414" s="19" t="inlineStr">
        <is>
          <t>58</t>
        </is>
      </c>
      <c r="C414" s="19" t="inlineStr">
        <is>
          <t>5</t>
        </is>
      </c>
      <c r="D414" t="n">
        <v>1</v>
      </c>
      <c r="E414" s="19" t="inlineStr">
        <is>
          <t>18</t>
        </is>
      </c>
      <c r="F414" t="n">
        <v>2</v>
      </c>
      <c r="G414" t="b">
        <v>0</v>
      </c>
      <c r="H414" t="inlineStr">
        <is>
          <t>UOM=ADT;WEIGHT_BASIS=PROCESSED_SOURCE_UNIT_WEIGHT;LINE_WEIGHT_KG=26.0;SOURCE_CFG=IA-ST-CFG-0079;SRC_REF=Row 1702, Slot 3;SRC_FILE=Mamul Ambalaj Bileşen Listesi-30.07.2026(3).xlsx</t>
        </is>
      </c>
    </row>
    <row r="415">
      <c r="A415" s="19" t="inlineStr">
        <is>
          <t>414</t>
        </is>
      </c>
      <c r="B415" s="19" t="inlineStr">
        <is>
          <t>58</t>
        </is>
      </c>
      <c r="C415" s="19" t="inlineStr">
        <is>
          <t>8</t>
        </is>
      </c>
      <c r="D415" t="n">
        <v>20</v>
      </c>
      <c r="E415" s="19" t="inlineStr">
        <is>
          <t>18</t>
        </is>
      </c>
      <c r="F415" t="n">
        <v>3</v>
      </c>
      <c r="G415" t="b">
        <v>0</v>
      </c>
      <c r="H415" t="inlineStr">
        <is>
          <t>UOM=M;WEIGHT_BASIS=PROCESSED_SOURCE_UNIT_WEIGHT;LINE_WEIGHT_KG=0.3664;SOURCE_CFG=IA-ST-CFG-0079;SRC_REF=Row 1702, Slot 5;SRC_FILE=Mamul Ambalaj Bileşen Listesi-30.07.2026(3).xlsx</t>
        </is>
      </c>
    </row>
    <row r="416">
      <c r="A416" s="19" t="inlineStr">
        <is>
          <t>415</t>
        </is>
      </c>
      <c r="B416" s="19" t="inlineStr">
        <is>
          <t>58</t>
        </is>
      </c>
      <c r="C416" s="19" t="inlineStr">
        <is>
          <t>9</t>
        </is>
      </c>
      <c r="D416" t="n">
        <v>0.186</v>
      </c>
      <c r="E416" s="19" t="inlineStr">
        <is>
          <t>18</t>
        </is>
      </c>
      <c r="F416" t="n">
        <v>4</v>
      </c>
      <c r="G416" t="b">
        <v>0</v>
      </c>
      <c r="H416" t="inlineStr">
        <is>
          <t>UOM=KG;WEIGHT_BASIS=RECIPE_QUANTITY_IS_KG;LINE_WEIGHT_KG=0.186;SOURCE_CFG=IA-ST-CFG-0079;SRC_REF=Row 1702, Slot 6;SRC_FILE=Mamul Ambalaj Bileşen Listesi-30.07.2026(3).xlsx</t>
        </is>
      </c>
    </row>
    <row r="417">
      <c r="A417" s="19" t="inlineStr">
        <is>
          <t>416</t>
        </is>
      </c>
      <c r="B417" s="19" t="inlineStr">
        <is>
          <t>58</t>
        </is>
      </c>
      <c r="C417" s="19" t="inlineStr">
        <is>
          <t>23</t>
        </is>
      </c>
      <c r="D417" t="n">
        <v>1.387</v>
      </c>
      <c r="E417" s="19" t="inlineStr">
        <is>
          <t>18</t>
        </is>
      </c>
      <c r="F417" t="n">
        <v>5</v>
      </c>
      <c r="G417" t="b">
        <v>0</v>
      </c>
      <c r="H417" t="inlineStr">
        <is>
          <t>UOM=KG;WEIGHT_BASIS=RECIPE_QUANTITY_IS_KG;LINE_WEIGHT_KG=1.387;SOURCE_CFG=IA-ST-CFG-0079;SRC_REF=Row 1702, Slot 7;SRC_FILE=Mamul Ambalaj Bileşen Listesi-30.07.2026(3).xlsx</t>
        </is>
      </c>
    </row>
    <row r="418">
      <c r="A418" s="19" t="inlineStr">
        <is>
          <t>417</t>
        </is>
      </c>
      <c r="B418" s="19" t="inlineStr">
        <is>
          <t>58</t>
        </is>
      </c>
      <c r="C418" s="19" t="inlineStr">
        <is>
          <t>7</t>
        </is>
      </c>
      <c r="D418" t="n">
        <v>4</v>
      </c>
      <c r="E418" s="19" t="inlineStr">
        <is>
          <t>18</t>
        </is>
      </c>
      <c r="F418" t="n">
        <v>6</v>
      </c>
      <c r="G418" t="b">
        <v>0</v>
      </c>
      <c r="H418" t="inlineStr">
        <is>
          <t>UOM=ADT;WEIGHT_BASIS=PROCESSED_SOURCE_UNIT_WEIGHT;LINE_WEIGHT_KG=1.08;SOURCE_CFG=IA-ST-CFG-0079;SRC_REF=Row 1702, Slot 8;SRC_FILE=Mamul Ambalaj Bileşen Listesi-30.07.2026(3).xlsx</t>
        </is>
      </c>
    </row>
    <row r="419">
      <c r="A419" s="19" t="inlineStr">
        <is>
          <t>418</t>
        </is>
      </c>
      <c r="B419" s="19" t="inlineStr">
        <is>
          <t>58</t>
        </is>
      </c>
      <c r="C419" s="19" t="inlineStr">
        <is>
          <t>25</t>
        </is>
      </c>
      <c r="D419" t="n">
        <v>2</v>
      </c>
      <c r="E419" s="19" t="inlineStr">
        <is>
          <t>18</t>
        </is>
      </c>
      <c r="F419" t="n">
        <v>7</v>
      </c>
      <c r="G419" t="b">
        <v>0</v>
      </c>
      <c r="H419" t="inlineStr">
        <is>
          <t>UOM=ADT;WEIGHT_BASIS=PROCESSED_SOURCE_UNIT_WEIGHT;LINE_WEIGHT_KG=0.2;SOURCE_CFG=IA-ST-CFG-0079;SRC_REF=Row 1702, Slot 9;SRC_FILE=Mamul Ambalaj Bileşen Listesi-30.07.2026(3).xlsx</t>
        </is>
      </c>
    </row>
    <row r="420">
      <c r="A420" s="19" t="inlineStr">
        <is>
          <t>419</t>
        </is>
      </c>
      <c r="B420" s="19" t="inlineStr">
        <is>
          <t>59</t>
        </is>
      </c>
      <c r="C420" s="19" t="inlineStr">
        <is>
          <t>13</t>
        </is>
      </c>
      <c r="D420" t="n">
        <v>7</v>
      </c>
      <c r="E420" s="19" t="inlineStr">
        <is>
          <t>18</t>
        </is>
      </c>
      <c r="F420" t="n">
        <v>1</v>
      </c>
      <c r="G420" t="b">
        <v>0</v>
      </c>
      <c r="H420" t="inlineStr">
        <is>
          <t>UOM=M;WEIGHT_BASIS=PROCESSED_SOURCE_UNIT_WEIGHT;LINE_WEIGHT_KG=0.0868;SOURCE_CFG=IA-ST-CFG-0080;SRC_REF=Row 122, Slot 1;SRC_FILE=Mamul Ambalaj Bileşen Listesi-30.07.2026(3).xlsx</t>
        </is>
      </c>
    </row>
    <row r="421">
      <c r="A421" s="19" t="inlineStr">
        <is>
          <t>420</t>
        </is>
      </c>
      <c r="B421" s="19" t="inlineStr">
        <is>
          <t>59</t>
        </is>
      </c>
      <c r="C421" s="19" t="inlineStr">
        <is>
          <t>5</t>
        </is>
      </c>
      <c r="D421" t="n">
        <v>1</v>
      </c>
      <c r="E421" s="19" t="inlineStr">
        <is>
          <t>18</t>
        </is>
      </c>
      <c r="F421" t="n">
        <v>2</v>
      </c>
      <c r="G421" t="b">
        <v>0</v>
      </c>
      <c r="H421" t="inlineStr">
        <is>
          <t>UOM=ADT;WEIGHT_BASIS=PROCESSED_SOURCE_UNIT_WEIGHT;LINE_WEIGHT_KG=26.0;SOURCE_CFG=IA-ST-CFG-0080;SRC_REF=Row 122, Slot 3;SRC_FILE=Mamul Ambalaj Bileşen Listesi-30.07.2026(3).xlsx</t>
        </is>
      </c>
    </row>
    <row r="422">
      <c r="A422" s="19" t="inlineStr">
        <is>
          <t>421</t>
        </is>
      </c>
      <c r="B422" s="19" t="inlineStr">
        <is>
          <t>59</t>
        </is>
      </c>
      <c r="C422" s="19" t="inlineStr">
        <is>
          <t>8</t>
        </is>
      </c>
      <c r="D422" t="n">
        <v>20</v>
      </c>
      <c r="E422" s="19" t="inlineStr">
        <is>
          <t>18</t>
        </is>
      </c>
      <c r="F422" t="n">
        <v>3</v>
      </c>
      <c r="G422" t="b">
        <v>0</v>
      </c>
      <c r="H422" t="inlineStr">
        <is>
          <t>UOM=M;WEIGHT_BASIS=PROCESSED_SOURCE_UNIT_WEIGHT;LINE_WEIGHT_KG=0.3664;SOURCE_CFG=IA-ST-CFG-0080;SRC_REF=Row 122, Slot 5;SRC_FILE=Mamul Ambalaj Bileşen Listesi-30.07.2026(3).xlsx</t>
        </is>
      </c>
    </row>
    <row r="423">
      <c r="A423" s="19" t="inlineStr">
        <is>
          <t>422</t>
        </is>
      </c>
      <c r="B423" s="19" t="inlineStr">
        <is>
          <t>59</t>
        </is>
      </c>
      <c r="C423" s="19" t="inlineStr">
        <is>
          <t>9</t>
        </is>
      </c>
      <c r="D423" t="n">
        <v>0.186</v>
      </c>
      <c r="E423" s="19" t="inlineStr">
        <is>
          <t>18</t>
        </is>
      </c>
      <c r="F423" t="n">
        <v>4</v>
      </c>
      <c r="G423" t="b">
        <v>0</v>
      </c>
      <c r="H423" t="inlineStr">
        <is>
          <t>UOM=KG;WEIGHT_BASIS=RECIPE_QUANTITY_IS_KG;LINE_WEIGHT_KG=0.186;SOURCE_CFG=IA-ST-CFG-0080;SRC_REF=Row 122, Slot 6;SRC_FILE=Mamul Ambalaj Bileşen Listesi-30.07.2026(3).xlsx</t>
        </is>
      </c>
    </row>
    <row r="424">
      <c r="A424" s="19" t="inlineStr">
        <is>
          <t>423</t>
        </is>
      </c>
      <c r="B424" s="19" t="inlineStr">
        <is>
          <t>59</t>
        </is>
      </c>
      <c r="C424" s="19" t="inlineStr">
        <is>
          <t>29</t>
        </is>
      </c>
      <c r="D424" t="n">
        <v>1.68</v>
      </c>
      <c r="E424" s="19" t="inlineStr">
        <is>
          <t>18</t>
        </is>
      </c>
      <c r="F424" t="n">
        <v>5</v>
      </c>
      <c r="G424" t="b">
        <v>0</v>
      </c>
      <c r="H424" t="inlineStr">
        <is>
          <t>UOM=KG;WEIGHT_BASIS=RECIPE_QUANTITY_IS_KG;LINE_WEIGHT_KG=1.68;SOURCE_CFG=IA-ST-CFG-0080;SRC_REF=Row 122, Slot 7;SRC_FILE=Mamul Ambalaj Bileşen Listesi-30.07.2026(3).xlsx</t>
        </is>
      </c>
    </row>
    <row r="425">
      <c r="A425" s="19" t="inlineStr">
        <is>
          <t>424</t>
        </is>
      </c>
      <c r="B425" s="19" t="inlineStr">
        <is>
          <t>59</t>
        </is>
      </c>
      <c r="C425" s="19" t="inlineStr">
        <is>
          <t>7</t>
        </is>
      </c>
      <c r="D425" t="n">
        <v>4</v>
      </c>
      <c r="E425" s="19" t="inlineStr">
        <is>
          <t>18</t>
        </is>
      </c>
      <c r="F425" t="n">
        <v>6</v>
      </c>
      <c r="G425" t="b">
        <v>0</v>
      </c>
      <c r="H425" t="inlineStr">
        <is>
          <t>UOM=ADT;WEIGHT_BASIS=PROCESSED_SOURCE_UNIT_WEIGHT;LINE_WEIGHT_KG=1.08;SOURCE_CFG=IA-ST-CFG-0080;SRC_REF=Row 122, Slot 8;SRC_FILE=Mamul Ambalaj Bileşen Listesi-30.07.2026(3).xlsx</t>
        </is>
      </c>
    </row>
    <row r="426">
      <c r="A426" s="19" t="inlineStr">
        <is>
          <t>425</t>
        </is>
      </c>
      <c r="B426" s="19" t="inlineStr">
        <is>
          <t>59</t>
        </is>
      </c>
      <c r="C426" s="19" t="inlineStr">
        <is>
          <t>25</t>
        </is>
      </c>
      <c r="D426" t="n">
        <v>2</v>
      </c>
      <c r="E426" s="19" t="inlineStr">
        <is>
          <t>18</t>
        </is>
      </c>
      <c r="F426" t="n">
        <v>7</v>
      </c>
      <c r="G426" t="b">
        <v>0</v>
      </c>
      <c r="H426" t="inlineStr">
        <is>
          <t>UOM=ADT;WEIGHT_BASIS=PROCESSED_SOURCE_UNIT_WEIGHT;LINE_WEIGHT_KG=0.2;SOURCE_CFG=IA-ST-CFG-0080;SRC_REF=Row 122, Slot 9;SRC_FILE=Mamul Ambalaj Bileşen Listesi-30.07.2026(3).xlsx</t>
        </is>
      </c>
    </row>
    <row r="427">
      <c r="A427" s="19" t="inlineStr">
        <is>
          <t>426</t>
        </is>
      </c>
      <c r="B427" s="19" t="inlineStr">
        <is>
          <t>60</t>
        </is>
      </c>
      <c r="C427" s="19" t="inlineStr">
        <is>
          <t>5</t>
        </is>
      </c>
      <c r="D427" t="n">
        <v>1</v>
      </c>
      <c r="E427" s="19" t="inlineStr">
        <is>
          <t>18</t>
        </is>
      </c>
      <c r="F427" t="n">
        <v>1</v>
      </c>
      <c r="G427" t="b">
        <v>0</v>
      </c>
      <c r="H427" t="inlineStr">
        <is>
          <t>UOM=ADT;WEIGHT_BASIS=PROCESSED_SOURCE_UNIT_WEIGHT;LINE_WEIGHT_KG=26.0;SOURCE_CFG=IA-ST-CFG-0081;SRC_REF=Row 182, Slot 3;SRC_FILE=Mamul Ambalaj Bileşen Listesi-30.07.2026(3).xlsx</t>
        </is>
      </c>
    </row>
    <row r="428">
      <c r="A428" s="19" t="inlineStr">
        <is>
          <t>427</t>
        </is>
      </c>
      <c r="B428" s="19" t="inlineStr">
        <is>
          <t>60</t>
        </is>
      </c>
      <c r="C428" s="19" t="inlineStr">
        <is>
          <t>8</t>
        </is>
      </c>
      <c r="D428" t="n">
        <v>20</v>
      </c>
      <c r="E428" s="19" t="inlineStr">
        <is>
          <t>18</t>
        </is>
      </c>
      <c r="F428" t="n">
        <v>2</v>
      </c>
      <c r="G428" t="b">
        <v>0</v>
      </c>
      <c r="H428" t="inlineStr">
        <is>
          <t>UOM=M;WEIGHT_BASIS=PROCESSED_SOURCE_UNIT_WEIGHT;LINE_WEIGHT_KG=0.3664;SOURCE_CFG=IA-ST-CFG-0081;SRC_REF=Row 182, Slot 5;SRC_FILE=Mamul Ambalaj Bileşen Listesi-30.07.2026(3).xlsx</t>
        </is>
      </c>
    </row>
    <row r="429">
      <c r="A429" s="19" t="inlineStr">
        <is>
          <t>428</t>
        </is>
      </c>
      <c r="B429" s="19" t="inlineStr">
        <is>
          <t>60</t>
        </is>
      </c>
      <c r="C429" s="19" t="inlineStr">
        <is>
          <t>9</t>
        </is>
      </c>
      <c r="D429" t="n">
        <v>0.186</v>
      </c>
      <c r="E429" s="19" t="inlineStr">
        <is>
          <t>18</t>
        </is>
      </c>
      <c r="F429" t="n">
        <v>3</v>
      </c>
      <c r="G429" t="b">
        <v>0</v>
      </c>
      <c r="H429" t="inlineStr">
        <is>
          <t>UOM=KG;WEIGHT_BASIS=RECIPE_QUANTITY_IS_KG;LINE_WEIGHT_KG=0.186;SOURCE_CFG=IA-ST-CFG-0081;SRC_REF=Row 182, Slot 6;SRC_FILE=Mamul Ambalaj Bileşen Listesi-30.07.2026(3).xlsx</t>
        </is>
      </c>
    </row>
    <row r="430">
      <c r="A430" s="19" t="inlineStr">
        <is>
          <t>429</t>
        </is>
      </c>
      <c r="B430" s="19" t="inlineStr">
        <is>
          <t>60</t>
        </is>
      </c>
      <c r="C430" s="19" t="inlineStr">
        <is>
          <t>29</t>
        </is>
      </c>
      <c r="D430" t="n">
        <v>1.68</v>
      </c>
      <c r="E430" s="19" t="inlineStr">
        <is>
          <t>18</t>
        </is>
      </c>
      <c r="F430" t="n">
        <v>4</v>
      </c>
      <c r="G430" t="b">
        <v>0</v>
      </c>
      <c r="H430" t="inlineStr">
        <is>
          <t>UOM=KG;WEIGHT_BASIS=RECIPE_QUANTITY_IS_KG;LINE_WEIGHT_KG=1.68;SOURCE_CFG=IA-ST-CFG-0081;SRC_REF=Row 182, Slot 7;SRC_FILE=Mamul Ambalaj Bileşen Listesi-30.07.2026(3).xlsx</t>
        </is>
      </c>
    </row>
    <row r="431">
      <c r="A431" s="19" t="inlineStr">
        <is>
          <t>430</t>
        </is>
      </c>
      <c r="B431" s="19" t="inlineStr">
        <is>
          <t>60</t>
        </is>
      </c>
      <c r="C431" s="19" t="inlineStr">
        <is>
          <t>7</t>
        </is>
      </c>
      <c r="D431" t="n">
        <v>4</v>
      </c>
      <c r="E431" s="19" t="inlineStr">
        <is>
          <t>18</t>
        </is>
      </c>
      <c r="F431" t="n">
        <v>5</v>
      </c>
      <c r="G431" t="b">
        <v>0</v>
      </c>
      <c r="H431" t="inlineStr">
        <is>
          <t>UOM=ADT;WEIGHT_BASIS=PROCESSED_SOURCE_UNIT_WEIGHT;LINE_WEIGHT_KG=1.08;SOURCE_CFG=IA-ST-CFG-0081;SRC_REF=Row 182, Slot 8;SRC_FILE=Mamul Ambalaj Bileşen Listesi-30.07.2026(3).xlsx</t>
        </is>
      </c>
    </row>
    <row r="432">
      <c r="A432" s="19" t="inlineStr">
        <is>
          <t>431</t>
        </is>
      </c>
      <c r="B432" s="19" t="inlineStr">
        <is>
          <t>61</t>
        </is>
      </c>
      <c r="C432" s="19" t="inlineStr">
        <is>
          <t>13</t>
        </is>
      </c>
      <c r="D432" t="n">
        <v>14</v>
      </c>
      <c r="E432" s="19" t="inlineStr">
        <is>
          <t>18</t>
        </is>
      </c>
      <c r="F432" t="n">
        <v>1</v>
      </c>
      <c r="G432" t="b">
        <v>0</v>
      </c>
      <c r="H432" t="inlineStr">
        <is>
          <t>UOM=M;WEIGHT_BASIS=PROCESSED_SOURCE_UNIT_WEIGHT;LINE_WEIGHT_KG=0.1736;SOURCE_CFG=IA-ST-CFG-0082;SRC_REF=Row 538, Slot 1;SRC_FILE=Mamul Ambalaj Bileşen Listesi-30.07.2026(3).xlsx</t>
        </is>
      </c>
    </row>
    <row r="433">
      <c r="A433" s="19" t="inlineStr">
        <is>
          <t>432</t>
        </is>
      </c>
      <c r="B433" s="19" t="inlineStr">
        <is>
          <t>61</t>
        </is>
      </c>
      <c r="C433" s="19" t="inlineStr">
        <is>
          <t>5</t>
        </is>
      </c>
      <c r="D433" t="n">
        <v>1</v>
      </c>
      <c r="E433" s="19" t="inlineStr">
        <is>
          <t>18</t>
        </is>
      </c>
      <c r="F433" t="n">
        <v>2</v>
      </c>
      <c r="G433" t="b">
        <v>0</v>
      </c>
      <c r="H433" t="inlineStr">
        <is>
          <t>UOM=ADT;WEIGHT_BASIS=PROCESSED_SOURCE_UNIT_WEIGHT;LINE_WEIGHT_KG=26.0;SOURCE_CFG=IA-ST-CFG-0082;SRC_REF=Row 538, Slot 3;SRC_FILE=Mamul Ambalaj Bileşen Listesi-30.07.2026(3).xlsx</t>
        </is>
      </c>
    </row>
    <row r="434">
      <c r="A434" s="19" t="inlineStr">
        <is>
          <t>433</t>
        </is>
      </c>
      <c r="B434" s="19" t="inlineStr">
        <is>
          <t>61</t>
        </is>
      </c>
      <c r="C434" s="19" t="inlineStr">
        <is>
          <t>8</t>
        </is>
      </c>
      <c r="D434" t="n">
        <v>20</v>
      </c>
      <c r="E434" s="19" t="inlineStr">
        <is>
          <t>18</t>
        </is>
      </c>
      <c r="F434" t="n">
        <v>3</v>
      </c>
      <c r="G434" t="b">
        <v>0</v>
      </c>
      <c r="H434" t="inlineStr">
        <is>
          <t>UOM=M;WEIGHT_BASIS=PROCESSED_SOURCE_UNIT_WEIGHT;LINE_WEIGHT_KG=0.3664;SOURCE_CFG=IA-ST-CFG-0082;SRC_REF=Row 538, Slot 5;SRC_FILE=Mamul Ambalaj Bileşen Listesi-30.07.2026(3).xlsx</t>
        </is>
      </c>
    </row>
    <row r="435">
      <c r="A435" s="19" t="inlineStr">
        <is>
          <t>434</t>
        </is>
      </c>
      <c r="B435" s="19" t="inlineStr">
        <is>
          <t>61</t>
        </is>
      </c>
      <c r="C435" s="19" t="inlineStr">
        <is>
          <t>55</t>
        </is>
      </c>
      <c r="D435" t="n">
        <v>0.597</v>
      </c>
      <c r="E435" s="19" t="inlineStr">
        <is>
          <t>18</t>
        </is>
      </c>
      <c r="F435" t="n">
        <v>4</v>
      </c>
      <c r="G435" t="b">
        <v>0</v>
      </c>
      <c r="H435" t="inlineStr">
        <is>
          <t>UOM=KG;WEIGHT_BASIS=RECIPE_QUANTITY_IS_KG;LINE_WEIGHT_KG=0.597;SOURCE_CFG=IA-ST-CFG-0082;SRC_REF=Row 538, Slot 6;SRC_FILE=Mamul Ambalaj Bileşen Listesi-30.07.2026(3).xlsx</t>
        </is>
      </c>
    </row>
    <row r="436">
      <c r="A436" s="19" t="inlineStr">
        <is>
          <t>435</t>
        </is>
      </c>
      <c r="B436" s="19" t="inlineStr">
        <is>
          <t>61</t>
        </is>
      </c>
      <c r="C436" s="19" t="inlineStr">
        <is>
          <t>7</t>
        </is>
      </c>
      <c r="D436" t="n">
        <v>4</v>
      </c>
      <c r="E436" s="19" t="inlineStr">
        <is>
          <t>18</t>
        </is>
      </c>
      <c r="F436" t="n">
        <v>5</v>
      </c>
      <c r="G436" t="b">
        <v>0</v>
      </c>
      <c r="H436" t="inlineStr">
        <is>
          <t>UOM=ADT;WEIGHT_BASIS=PROCESSED_SOURCE_UNIT_WEIGHT;LINE_WEIGHT_KG=1.08;SOURCE_CFG=IA-ST-CFG-0082;SRC_REF=Row 538, Slot 8;SRC_FILE=Mamul Ambalaj Bileşen Listesi-30.07.2026(3).xlsx</t>
        </is>
      </c>
    </row>
    <row r="437">
      <c r="A437" s="19" t="inlineStr">
        <is>
          <t>436</t>
        </is>
      </c>
      <c r="B437" s="19" t="inlineStr">
        <is>
          <t>61</t>
        </is>
      </c>
      <c r="C437" s="19" t="inlineStr">
        <is>
          <t>25</t>
        </is>
      </c>
      <c r="D437" t="n">
        <v>2</v>
      </c>
      <c r="E437" s="19" t="inlineStr">
        <is>
          <t>18</t>
        </is>
      </c>
      <c r="F437" t="n">
        <v>6</v>
      </c>
      <c r="G437" t="b">
        <v>0</v>
      </c>
      <c r="H437" t="inlineStr">
        <is>
          <t>UOM=ADT;WEIGHT_BASIS=PROCESSED_SOURCE_UNIT_WEIGHT;LINE_WEIGHT_KG=0.2;SOURCE_CFG=IA-ST-CFG-0082;SRC_REF=Row 538, Slot 9;SRC_FILE=Mamul Ambalaj Bileşen Listesi-30.07.2026(3).xlsx</t>
        </is>
      </c>
    </row>
    <row r="438">
      <c r="A438" s="19" t="inlineStr">
        <is>
          <t>437</t>
        </is>
      </c>
      <c r="B438" s="19" t="inlineStr">
        <is>
          <t>62</t>
        </is>
      </c>
      <c r="C438" s="19" t="inlineStr">
        <is>
          <t>13</t>
        </is>
      </c>
      <c r="D438" t="n">
        <v>14</v>
      </c>
      <c r="E438" s="19" t="inlineStr">
        <is>
          <t>18</t>
        </is>
      </c>
      <c r="F438" t="n">
        <v>1</v>
      </c>
      <c r="G438" t="b">
        <v>0</v>
      </c>
      <c r="H438" t="inlineStr">
        <is>
          <t>UOM=M;WEIGHT_BASIS=PROCESSED_SOURCE_UNIT_WEIGHT;LINE_WEIGHT_KG=0.1736;SOURCE_CFG=IA-ST-CFG-0083;SRC_REF=Row 1222, Slot 1;SRC_FILE=Mamul Ambalaj Bileşen Listesi-30.07.2026(3).xlsx</t>
        </is>
      </c>
    </row>
    <row r="439">
      <c r="A439" s="19" t="inlineStr">
        <is>
          <t>438</t>
        </is>
      </c>
      <c r="B439" s="19" t="inlineStr">
        <is>
          <t>62</t>
        </is>
      </c>
      <c r="C439" s="19" t="inlineStr">
        <is>
          <t>5</t>
        </is>
      </c>
      <c r="D439" t="n">
        <v>1</v>
      </c>
      <c r="E439" s="19" t="inlineStr">
        <is>
          <t>18</t>
        </is>
      </c>
      <c r="F439" t="n">
        <v>2</v>
      </c>
      <c r="G439" t="b">
        <v>0</v>
      </c>
      <c r="H439" t="inlineStr">
        <is>
          <t>UOM=ADT;WEIGHT_BASIS=PROCESSED_SOURCE_UNIT_WEIGHT;LINE_WEIGHT_KG=26.0;SOURCE_CFG=IA-ST-CFG-0083;SRC_REF=Row 1222, Slot 3;SRC_FILE=Mamul Ambalaj Bileşen Listesi-30.07.2026(3).xlsx</t>
        </is>
      </c>
    </row>
    <row r="440">
      <c r="A440" s="19" t="inlineStr">
        <is>
          <t>439</t>
        </is>
      </c>
      <c r="B440" s="19" t="inlineStr">
        <is>
          <t>62</t>
        </is>
      </c>
      <c r="C440" s="19" t="inlineStr">
        <is>
          <t>8</t>
        </is>
      </c>
      <c r="D440" t="n">
        <v>20</v>
      </c>
      <c r="E440" s="19" t="inlineStr">
        <is>
          <t>18</t>
        </is>
      </c>
      <c r="F440" t="n">
        <v>3</v>
      </c>
      <c r="G440" t="b">
        <v>0</v>
      </c>
      <c r="H440" t="inlineStr">
        <is>
          <t>UOM=M;WEIGHT_BASIS=PROCESSED_SOURCE_UNIT_WEIGHT;LINE_WEIGHT_KG=0.3664;SOURCE_CFG=IA-ST-CFG-0083;SRC_REF=Row 1222, Slot 5;SRC_FILE=Mamul Ambalaj Bileşen Listesi-30.07.2026(3).xlsx</t>
        </is>
      </c>
    </row>
    <row r="441">
      <c r="A441" s="19" t="inlineStr">
        <is>
          <t>440</t>
        </is>
      </c>
      <c r="B441" s="19" t="inlineStr">
        <is>
          <t>62</t>
        </is>
      </c>
      <c r="C441" s="19" t="inlineStr">
        <is>
          <t>55</t>
        </is>
      </c>
      <c r="D441" t="n">
        <v>0.597</v>
      </c>
      <c r="E441" s="19" t="inlineStr">
        <is>
          <t>18</t>
        </is>
      </c>
      <c r="F441" t="n">
        <v>4</v>
      </c>
      <c r="G441" t="b">
        <v>0</v>
      </c>
      <c r="H441" t="inlineStr">
        <is>
          <t>UOM=KG;WEIGHT_BASIS=RECIPE_QUANTITY_IS_KG;LINE_WEIGHT_KG=0.597;SOURCE_CFG=IA-ST-CFG-0083;SRC_REF=Row 1222, Slot 6;SRC_FILE=Mamul Ambalaj Bileşen Listesi-30.07.2026(3).xlsx</t>
        </is>
      </c>
    </row>
    <row r="442">
      <c r="A442" s="19" t="inlineStr">
        <is>
          <t>441</t>
        </is>
      </c>
      <c r="B442" s="19" t="inlineStr">
        <is>
          <t>62</t>
        </is>
      </c>
      <c r="C442" s="19" t="inlineStr">
        <is>
          <t>7</t>
        </is>
      </c>
      <c r="D442" t="n">
        <v>4</v>
      </c>
      <c r="E442" s="19" t="inlineStr">
        <is>
          <t>18</t>
        </is>
      </c>
      <c r="F442" t="n">
        <v>5</v>
      </c>
      <c r="G442" t="b">
        <v>0</v>
      </c>
      <c r="H442" t="inlineStr">
        <is>
          <t>UOM=ADT;WEIGHT_BASIS=PROCESSED_SOURCE_UNIT_WEIGHT;LINE_WEIGHT_KG=1.08;SOURCE_CFG=IA-ST-CFG-0083;SRC_REF=Row 1222, Slot 8;SRC_FILE=Mamul Ambalaj Bileşen Listesi-30.07.2026(3).xlsx</t>
        </is>
      </c>
    </row>
    <row r="443">
      <c r="A443" s="19" t="inlineStr">
        <is>
          <t>442</t>
        </is>
      </c>
      <c r="B443" s="19" t="inlineStr">
        <is>
          <t>62</t>
        </is>
      </c>
      <c r="C443" s="19" t="inlineStr">
        <is>
          <t>25</t>
        </is>
      </c>
      <c r="D443" t="n">
        <v>4</v>
      </c>
      <c r="E443" s="19" t="inlineStr">
        <is>
          <t>18</t>
        </is>
      </c>
      <c r="F443" t="n">
        <v>6</v>
      </c>
      <c r="G443" t="b">
        <v>0</v>
      </c>
      <c r="H443" t="inlineStr">
        <is>
          <t>UOM=ADT;WEIGHT_BASIS=PROCESSED_SOURCE_UNIT_WEIGHT;LINE_WEIGHT_KG=0.4;SOURCE_CFG=IA-ST-CFG-0083;SRC_REF=Row 1222, Slot 9;SRC_FILE=Mamul Ambalaj Bileşen Listesi-30.07.2026(3).xlsx</t>
        </is>
      </c>
    </row>
    <row r="444">
      <c r="A444" s="19" t="inlineStr">
        <is>
          <t>443</t>
        </is>
      </c>
      <c r="B444" s="19" t="inlineStr">
        <is>
          <t>63</t>
        </is>
      </c>
      <c r="C444" s="19" t="inlineStr">
        <is>
          <t>13</t>
        </is>
      </c>
      <c r="D444" t="n">
        <v>14</v>
      </c>
      <c r="E444" s="19" t="inlineStr">
        <is>
          <t>18</t>
        </is>
      </c>
      <c r="F444" t="n">
        <v>1</v>
      </c>
      <c r="G444" t="b">
        <v>0</v>
      </c>
      <c r="H444" t="inlineStr">
        <is>
          <t>UOM=M;WEIGHT_BASIS=PROCESSED_SOURCE_UNIT_WEIGHT;LINE_WEIGHT_KG=0.1736;SOURCE_CFG=IA-ST-CFG-0088;SRC_REF=Row 1378, Slot 1;SRC_FILE=Mamul Ambalaj Bileşen Listesi-30.07.2026(3).xlsx</t>
        </is>
      </c>
    </row>
    <row r="445">
      <c r="A445" s="19" t="inlineStr">
        <is>
          <t>444</t>
        </is>
      </c>
      <c r="B445" s="19" t="inlineStr">
        <is>
          <t>63</t>
        </is>
      </c>
      <c r="C445" s="19" t="inlineStr">
        <is>
          <t>5</t>
        </is>
      </c>
      <c r="D445" t="n">
        <v>1</v>
      </c>
      <c r="E445" s="19" t="inlineStr">
        <is>
          <t>18</t>
        </is>
      </c>
      <c r="F445" t="n">
        <v>2</v>
      </c>
      <c r="G445" t="b">
        <v>0</v>
      </c>
      <c r="H445" t="inlineStr">
        <is>
          <t>UOM=ADT;WEIGHT_BASIS=PROCESSED_SOURCE_UNIT_WEIGHT;LINE_WEIGHT_KG=26.0;SOURCE_CFG=IA-ST-CFG-0088;SRC_REF=Row 1378, Slot 3;SRC_FILE=Mamul Ambalaj Bileşen Listesi-30.07.2026(3).xlsx</t>
        </is>
      </c>
    </row>
    <row r="446">
      <c r="A446" s="19" t="inlineStr">
        <is>
          <t>445</t>
        </is>
      </c>
      <c r="B446" s="19" t="inlineStr">
        <is>
          <t>63</t>
        </is>
      </c>
      <c r="C446" s="19" t="inlineStr">
        <is>
          <t>8</t>
        </is>
      </c>
      <c r="D446" t="n">
        <v>20</v>
      </c>
      <c r="E446" s="19" t="inlineStr">
        <is>
          <t>18</t>
        </is>
      </c>
      <c r="F446" t="n">
        <v>3</v>
      </c>
      <c r="G446" t="b">
        <v>0</v>
      </c>
      <c r="H446" t="inlineStr">
        <is>
          <t>UOM=M;WEIGHT_BASIS=PROCESSED_SOURCE_UNIT_WEIGHT;LINE_WEIGHT_KG=0.3664;SOURCE_CFG=IA-ST-CFG-0088;SRC_REF=Row 1378, Slot 5;SRC_FILE=Mamul Ambalaj Bileşen Listesi-30.07.2026(3).xlsx</t>
        </is>
      </c>
    </row>
    <row r="447">
      <c r="A447" s="19" t="inlineStr">
        <is>
          <t>446</t>
        </is>
      </c>
      <c r="B447" s="19" t="inlineStr">
        <is>
          <t>63</t>
        </is>
      </c>
      <c r="C447" s="19" t="inlineStr">
        <is>
          <t>9</t>
        </is>
      </c>
      <c r="D447" t="n">
        <v>0.186</v>
      </c>
      <c r="E447" s="19" t="inlineStr">
        <is>
          <t>18</t>
        </is>
      </c>
      <c r="F447" t="n">
        <v>4</v>
      </c>
      <c r="G447" t="b">
        <v>0</v>
      </c>
      <c r="H447" t="inlineStr">
        <is>
          <t>UOM=KG;WEIGHT_BASIS=RECIPE_QUANTITY_IS_KG;LINE_WEIGHT_KG=0.186;SOURCE_CFG=IA-ST-CFG-0088;SRC_REF=Row 1378, Slot 6;SRC_FILE=Mamul Ambalaj Bileşen Listesi-30.07.2026(3).xlsx</t>
        </is>
      </c>
    </row>
    <row r="448">
      <c r="A448" s="19" t="inlineStr">
        <is>
          <t>447</t>
        </is>
      </c>
      <c r="B448" s="19" t="inlineStr">
        <is>
          <t>63</t>
        </is>
      </c>
      <c r="C448" s="19" t="inlineStr">
        <is>
          <t>3</t>
        </is>
      </c>
      <c r="D448" t="n">
        <v>6</v>
      </c>
      <c r="E448" s="19" t="inlineStr">
        <is>
          <t>18</t>
        </is>
      </c>
      <c r="F448" t="n">
        <v>5</v>
      </c>
      <c r="G448" t="b">
        <v>0</v>
      </c>
      <c r="H448" t="inlineStr">
        <is>
          <t>UOM=ADT;WEIGHT_BASIS=PROCESSED_SOURCE_UNIT_WEIGHT;LINE_WEIGHT_KG=1.26;SOURCE_CFG=IA-ST-CFG-0088;SRC_REF=Row 1378, Slot 8;SRC_FILE=Mamul Ambalaj Bileşen Listesi-30.07.2026(3).xlsx</t>
        </is>
      </c>
    </row>
    <row r="449">
      <c r="A449" s="19" t="inlineStr">
        <is>
          <t>448</t>
        </is>
      </c>
      <c r="B449" s="19" t="inlineStr">
        <is>
          <t>63</t>
        </is>
      </c>
      <c r="C449" s="19" t="inlineStr">
        <is>
          <t>7</t>
        </is>
      </c>
      <c r="D449" t="n">
        <v>3</v>
      </c>
      <c r="E449" s="19" t="inlineStr">
        <is>
          <t>18</t>
        </is>
      </c>
      <c r="F449" t="n">
        <v>6</v>
      </c>
      <c r="G449" t="b">
        <v>0</v>
      </c>
      <c r="H449" t="inlineStr">
        <is>
          <t>UOM=ADT;WEIGHT_BASIS=PROCESSED_SOURCE_UNIT_WEIGHT;LINE_WEIGHT_KG=0.81;SOURCE_CFG=IA-ST-CFG-0088;SRC_REF=Row 1378, Slot 9;SRC_FILE=Mamul Ambalaj Bileşen Listesi-30.07.2026(3).xlsx</t>
        </is>
      </c>
    </row>
    <row r="450">
      <c r="A450" s="19" t="inlineStr">
        <is>
          <t>449</t>
        </is>
      </c>
      <c r="B450" s="19" t="inlineStr">
        <is>
          <t>63</t>
        </is>
      </c>
      <c r="C450" s="19" t="inlineStr">
        <is>
          <t>45</t>
        </is>
      </c>
      <c r="D450" t="n">
        <v>44</v>
      </c>
      <c r="E450" s="19" t="inlineStr">
        <is>
          <t>18</t>
        </is>
      </c>
      <c r="F450" t="n">
        <v>7</v>
      </c>
      <c r="G450" t="b">
        <v>0</v>
      </c>
      <c r="H450" t="inlineStr">
        <is>
          <t>UOM=ADT;WEIGHT_BASIS=PROCESSED_SOURCE_UNIT_WEIGHT;LINE_WEIGHT_KG=10.559999999999999;SOURCE_CFG=IA-ST-CFG-0088;SRC_REF=Row 1378, Slot 10;SRC_FILE=Mamul Ambalaj Bileşen Listesi-30.07.2026(3).xlsx</t>
        </is>
      </c>
    </row>
    <row r="451">
      <c r="A451" s="19" t="inlineStr">
        <is>
          <t>450</t>
        </is>
      </c>
      <c r="B451" s="19" t="inlineStr">
        <is>
          <t>64</t>
        </is>
      </c>
      <c r="C451" s="19" t="inlineStr">
        <is>
          <t>13</t>
        </is>
      </c>
      <c r="D451" t="n">
        <v>14</v>
      </c>
      <c r="E451" s="19" t="inlineStr">
        <is>
          <t>18</t>
        </is>
      </c>
      <c r="F451" t="n">
        <v>1</v>
      </c>
      <c r="G451" t="b">
        <v>0</v>
      </c>
      <c r="H451" t="inlineStr">
        <is>
          <t>UOM=M;WEIGHT_BASIS=PROCESSED_SOURCE_UNIT_WEIGHT;LINE_WEIGHT_KG=0.1736;SOURCE_CFG=IA-ST-CFG-0103;SRC_REF=Row 1282, Slot 1;SRC_FILE=Mamul Ambalaj Bileşen Listesi-30.07.2026(3).xlsx</t>
        </is>
      </c>
    </row>
    <row r="452">
      <c r="A452" s="19" t="inlineStr">
        <is>
          <t>451</t>
        </is>
      </c>
      <c r="B452" s="19" t="inlineStr">
        <is>
          <t>64</t>
        </is>
      </c>
      <c r="C452" s="19" t="inlineStr">
        <is>
          <t>6</t>
        </is>
      </c>
      <c r="D452" t="n">
        <v>1</v>
      </c>
      <c r="E452" s="19" t="inlineStr">
        <is>
          <t>18</t>
        </is>
      </c>
      <c r="F452" t="n">
        <v>2</v>
      </c>
      <c r="G452" t="b">
        <v>0</v>
      </c>
      <c r="H452" t="inlineStr">
        <is>
          <t>UOM=ADT;WEIGHT_BASIS=PROCESSED_SOURCE_UNIT_WEIGHT;LINE_WEIGHT_KG=26.0;SOURCE_CFG=IA-ST-CFG-0103;SRC_REF=Row 1282, Slot 3;SRC_FILE=Mamul Ambalaj Bileşen Listesi-30.07.2026(3).xlsx</t>
        </is>
      </c>
    </row>
    <row r="453">
      <c r="A453" s="19" t="inlineStr">
        <is>
          <t>452</t>
        </is>
      </c>
      <c r="B453" s="19" t="inlineStr">
        <is>
          <t>64</t>
        </is>
      </c>
      <c r="C453" s="19" t="inlineStr">
        <is>
          <t>8</t>
        </is>
      </c>
      <c r="D453" t="n">
        <v>20</v>
      </c>
      <c r="E453" s="19" t="inlineStr">
        <is>
          <t>18</t>
        </is>
      </c>
      <c r="F453" t="n">
        <v>3</v>
      </c>
      <c r="G453" t="b">
        <v>0</v>
      </c>
      <c r="H453" t="inlineStr">
        <is>
          <t>UOM=M;WEIGHT_BASIS=PROCESSED_SOURCE_UNIT_WEIGHT;LINE_WEIGHT_KG=0.3664;SOURCE_CFG=IA-ST-CFG-0103;SRC_REF=Row 1282, Slot 5;SRC_FILE=Mamul Ambalaj Bileşen Listesi-30.07.2026(3).xlsx</t>
        </is>
      </c>
    </row>
    <row r="454">
      <c r="A454" s="19" t="inlineStr">
        <is>
          <t>453</t>
        </is>
      </c>
      <c r="B454" s="19" t="inlineStr">
        <is>
          <t>64</t>
        </is>
      </c>
      <c r="C454" s="19" t="inlineStr">
        <is>
          <t>9</t>
        </is>
      </c>
      <c r="D454" t="n">
        <v>0.186</v>
      </c>
      <c r="E454" s="19" t="inlineStr">
        <is>
          <t>18</t>
        </is>
      </c>
      <c r="F454" t="n">
        <v>4</v>
      </c>
      <c r="G454" t="b">
        <v>0</v>
      </c>
      <c r="H454" t="inlineStr">
        <is>
          <t>UOM=KG;WEIGHT_BASIS=RECIPE_QUANTITY_IS_KG;LINE_WEIGHT_KG=0.186;SOURCE_CFG=IA-ST-CFG-0103;SRC_REF=Row 1282, Slot 6;SRC_FILE=Mamul Ambalaj Bileşen Listesi-30.07.2026(3).xlsx</t>
        </is>
      </c>
    </row>
    <row r="455">
      <c r="A455" s="19" t="inlineStr">
        <is>
          <t>454</t>
        </is>
      </c>
      <c r="B455" s="19" t="inlineStr">
        <is>
          <t>64</t>
        </is>
      </c>
      <c r="C455" s="19" t="inlineStr">
        <is>
          <t>25</t>
        </is>
      </c>
      <c r="D455" t="n">
        <v>4</v>
      </c>
      <c r="E455" s="19" t="inlineStr">
        <is>
          <t>18</t>
        </is>
      </c>
      <c r="F455" t="n">
        <v>5</v>
      </c>
      <c r="G455" t="b">
        <v>0</v>
      </c>
      <c r="H455" t="inlineStr">
        <is>
          <t>UOM=ADT;WEIGHT_BASIS=PROCESSED_SOURCE_UNIT_WEIGHT;LINE_WEIGHT_KG=0.4;SOURCE_CFG=IA-ST-CFG-0103;SRC_REF=Row 1282, Slot 8;SRC_FILE=Mamul Ambalaj Bileşen Listesi-30.07.2026(3).xlsx</t>
        </is>
      </c>
    </row>
    <row r="456">
      <c r="A456" s="19" t="inlineStr">
        <is>
          <t>455</t>
        </is>
      </c>
      <c r="B456" s="19" t="inlineStr">
        <is>
          <t>64</t>
        </is>
      </c>
      <c r="C456" s="19" t="inlineStr">
        <is>
          <t>30</t>
        </is>
      </c>
      <c r="D456" t="n">
        <v>4</v>
      </c>
      <c r="E456" s="19" t="inlineStr">
        <is>
          <t>18</t>
        </is>
      </c>
      <c r="F456" t="n">
        <v>6</v>
      </c>
      <c r="G456" t="b">
        <v>0</v>
      </c>
      <c r="H456" t="inlineStr">
        <is>
          <t>UOM=ADT;WEIGHT_BASIS=PROCESSED_SOURCE_UNIT_WEIGHT;LINE_WEIGHT_KG=0.8;SOURCE_CFG=IA-ST-CFG-0103;SRC_REF=Row 1282, Slot 9;SRC_FILE=Mamul Ambalaj Bileşen Listesi-30.07.2026(3).xlsx</t>
        </is>
      </c>
    </row>
    <row r="457">
      <c r="A457" s="19" t="inlineStr">
        <is>
          <t>456</t>
        </is>
      </c>
      <c r="B457" s="19" t="inlineStr">
        <is>
          <t>65</t>
        </is>
      </c>
      <c r="C457" s="19" t="inlineStr">
        <is>
          <t>13</t>
        </is>
      </c>
      <c r="D457" t="n">
        <v>14</v>
      </c>
      <c r="E457" s="19" t="inlineStr">
        <is>
          <t>18</t>
        </is>
      </c>
      <c r="F457" t="n">
        <v>1</v>
      </c>
      <c r="G457" t="b">
        <v>0</v>
      </c>
      <c r="H457" t="inlineStr">
        <is>
          <t>UOM=M;WEIGHT_BASIS=PROCESSED_SOURCE_UNIT_WEIGHT;LINE_WEIGHT_KG=0.1736;SOURCE_CFG=IA-ST-CFG-0089;SRC_REF=Row 1401, Slot 1;SRC_FILE=Mamul Ambalaj Bileşen Listesi-30.07.2026(3).xlsx</t>
        </is>
      </c>
    </row>
    <row r="458">
      <c r="A458" s="19" t="inlineStr">
        <is>
          <t>457</t>
        </is>
      </c>
      <c r="B458" s="19" t="inlineStr">
        <is>
          <t>65</t>
        </is>
      </c>
      <c r="C458" s="19" t="inlineStr">
        <is>
          <t>5</t>
        </is>
      </c>
      <c r="D458" t="n">
        <v>1</v>
      </c>
      <c r="E458" s="19" t="inlineStr">
        <is>
          <t>18</t>
        </is>
      </c>
      <c r="F458" t="n">
        <v>2</v>
      </c>
      <c r="G458" t="b">
        <v>0</v>
      </c>
      <c r="H458" t="inlineStr">
        <is>
          <t>UOM=ADT;WEIGHT_BASIS=PROCESSED_SOURCE_UNIT_WEIGHT;LINE_WEIGHT_KG=26.0;SOURCE_CFG=IA-ST-CFG-0089;SRC_REF=Row 1401, Slot 3;SRC_FILE=Mamul Ambalaj Bileşen Listesi-30.07.2026(3).xlsx</t>
        </is>
      </c>
    </row>
    <row r="459">
      <c r="A459" s="19" t="inlineStr">
        <is>
          <t>458</t>
        </is>
      </c>
      <c r="B459" s="19" t="inlineStr">
        <is>
          <t>65</t>
        </is>
      </c>
      <c r="C459" s="19" t="inlineStr">
        <is>
          <t>8</t>
        </is>
      </c>
      <c r="D459" t="n">
        <v>20</v>
      </c>
      <c r="E459" s="19" t="inlineStr">
        <is>
          <t>18</t>
        </is>
      </c>
      <c r="F459" t="n">
        <v>3</v>
      </c>
      <c r="G459" t="b">
        <v>0</v>
      </c>
      <c r="H459" t="inlineStr">
        <is>
          <t>UOM=M;WEIGHT_BASIS=PROCESSED_SOURCE_UNIT_WEIGHT;LINE_WEIGHT_KG=0.3664;SOURCE_CFG=IA-ST-CFG-0089;SRC_REF=Row 1401, Slot 5;SRC_FILE=Mamul Ambalaj Bileşen Listesi-30.07.2026(3).xlsx</t>
        </is>
      </c>
    </row>
    <row r="460">
      <c r="A460" s="19" t="inlineStr">
        <is>
          <t>459</t>
        </is>
      </c>
      <c r="B460" s="19" t="inlineStr">
        <is>
          <t>65</t>
        </is>
      </c>
      <c r="C460" s="19" t="inlineStr">
        <is>
          <t>9</t>
        </is>
      </c>
      <c r="D460" t="n">
        <v>0.186</v>
      </c>
      <c r="E460" s="19" t="inlineStr">
        <is>
          <t>18</t>
        </is>
      </c>
      <c r="F460" t="n">
        <v>4</v>
      </c>
      <c r="G460" t="b">
        <v>0</v>
      </c>
      <c r="H460" t="inlineStr">
        <is>
          <t>UOM=KG;WEIGHT_BASIS=RECIPE_QUANTITY_IS_KG;LINE_WEIGHT_KG=0.186;SOURCE_CFG=IA-ST-CFG-0089;SRC_REF=Row 1401, Slot 6;SRC_FILE=Mamul Ambalaj Bileşen Listesi-30.07.2026(3).xlsx</t>
        </is>
      </c>
    </row>
    <row r="461">
      <c r="A461" s="19" t="inlineStr">
        <is>
          <t>460</t>
        </is>
      </c>
      <c r="B461" s="19" t="inlineStr">
        <is>
          <t>65</t>
        </is>
      </c>
      <c r="C461" s="19" t="inlineStr">
        <is>
          <t>3</t>
        </is>
      </c>
      <c r="D461" t="n">
        <v>6</v>
      </c>
      <c r="E461" s="19" t="inlineStr">
        <is>
          <t>18</t>
        </is>
      </c>
      <c r="F461" t="n">
        <v>5</v>
      </c>
      <c r="G461" t="b">
        <v>0</v>
      </c>
      <c r="H461" t="inlineStr">
        <is>
          <t>UOM=ADT;WEIGHT_BASIS=PROCESSED_SOURCE_UNIT_WEIGHT;LINE_WEIGHT_KG=1.26;SOURCE_CFG=IA-ST-CFG-0089;SRC_REF=Row 1401, Slot 8;SRC_FILE=Mamul Ambalaj Bileşen Listesi-30.07.2026(3).xlsx</t>
        </is>
      </c>
    </row>
    <row r="462">
      <c r="A462" s="19" t="inlineStr">
        <is>
          <t>461</t>
        </is>
      </c>
      <c r="B462" s="19" t="inlineStr">
        <is>
          <t>65</t>
        </is>
      </c>
      <c r="C462" s="19" t="inlineStr">
        <is>
          <t>7</t>
        </is>
      </c>
      <c r="D462" t="n">
        <v>4</v>
      </c>
      <c r="E462" s="19" t="inlineStr">
        <is>
          <t>18</t>
        </is>
      </c>
      <c r="F462" t="n">
        <v>6</v>
      </c>
      <c r="G462" t="b">
        <v>0</v>
      </c>
      <c r="H462" t="inlineStr">
        <is>
          <t>UOM=ADT;WEIGHT_BASIS=PROCESSED_SOURCE_UNIT_WEIGHT;LINE_WEIGHT_KG=1.08;SOURCE_CFG=IA-ST-CFG-0089;SRC_REF=Row 1401, Slot 9;SRC_FILE=Mamul Ambalaj Bileşen Listesi-30.07.2026(3).xlsx</t>
        </is>
      </c>
    </row>
    <row r="463">
      <c r="A463" s="19" t="inlineStr">
        <is>
          <t>462</t>
        </is>
      </c>
      <c r="B463" s="19" t="inlineStr">
        <is>
          <t>65</t>
        </is>
      </c>
      <c r="C463" s="19" t="inlineStr">
        <is>
          <t>48</t>
        </is>
      </c>
      <c r="D463" t="n">
        <v>45</v>
      </c>
      <c r="E463" s="19" t="inlineStr">
        <is>
          <t>18</t>
        </is>
      </c>
      <c r="F463" t="n">
        <v>7</v>
      </c>
      <c r="G463" t="b">
        <v>0</v>
      </c>
      <c r="H463" t="inlineStr">
        <is>
          <t>UOM=ADT;WEIGHT_BASIS=PROCESSED_SOURCE_UNIT_WEIGHT;LINE_WEIGHT_KG=14.850000000000001;SOURCE_CFG=IA-ST-CFG-0089;SRC_REF=Row 1401, Slot 10;SRC_FILE=Mamul Ambalaj Bileşen Listesi-30.07.2026(3).xlsx</t>
        </is>
      </c>
    </row>
    <row r="464">
      <c r="A464" s="19" t="inlineStr">
        <is>
          <t>463</t>
        </is>
      </c>
      <c r="B464" s="19" t="inlineStr">
        <is>
          <t>66</t>
        </is>
      </c>
      <c r="C464" s="19" t="inlineStr">
        <is>
          <t>13</t>
        </is>
      </c>
      <c r="D464" t="n">
        <v>14</v>
      </c>
      <c r="E464" s="19" t="inlineStr">
        <is>
          <t>18</t>
        </is>
      </c>
      <c r="F464" t="n">
        <v>1</v>
      </c>
      <c r="G464" t="b">
        <v>0</v>
      </c>
      <c r="H464" t="inlineStr">
        <is>
          <t>UOM=M;WEIGHT_BASIS=PROCESSED_SOURCE_UNIT_WEIGHT;LINE_WEIGHT_KG=0.1736;SOURCE_CFG=IA-ST-CFG-0090;SRC_REF=Row 982, Slot 1;SRC_FILE=Mamul Ambalaj Bileşen Listesi-30.07.2026(3).xlsx</t>
        </is>
      </c>
    </row>
    <row r="465">
      <c r="A465" s="19" t="inlineStr">
        <is>
          <t>464</t>
        </is>
      </c>
      <c r="B465" s="19" t="inlineStr">
        <is>
          <t>66</t>
        </is>
      </c>
      <c r="C465" s="19" t="inlineStr">
        <is>
          <t>5</t>
        </is>
      </c>
      <c r="D465" t="n">
        <v>1</v>
      </c>
      <c r="E465" s="19" t="inlineStr">
        <is>
          <t>18</t>
        </is>
      </c>
      <c r="F465" t="n">
        <v>2</v>
      </c>
      <c r="G465" t="b">
        <v>0</v>
      </c>
      <c r="H465" t="inlineStr">
        <is>
          <t>UOM=ADT;WEIGHT_BASIS=PROCESSED_SOURCE_UNIT_WEIGHT;LINE_WEIGHT_KG=26.0;SOURCE_CFG=IA-ST-CFG-0090;SRC_REF=Row 982, Slot 3;SRC_FILE=Mamul Ambalaj Bileşen Listesi-30.07.2026(3).xlsx</t>
        </is>
      </c>
    </row>
    <row r="466">
      <c r="A466" s="19" t="inlineStr">
        <is>
          <t>465</t>
        </is>
      </c>
      <c r="B466" s="19" t="inlineStr">
        <is>
          <t>66</t>
        </is>
      </c>
      <c r="C466" s="19" t="inlineStr">
        <is>
          <t>8</t>
        </is>
      </c>
      <c r="D466" t="n">
        <v>20</v>
      </c>
      <c r="E466" s="19" t="inlineStr">
        <is>
          <t>18</t>
        </is>
      </c>
      <c r="F466" t="n">
        <v>3</v>
      </c>
      <c r="G466" t="b">
        <v>0</v>
      </c>
      <c r="H466" t="inlineStr">
        <is>
          <t>UOM=M;WEIGHT_BASIS=PROCESSED_SOURCE_UNIT_WEIGHT;LINE_WEIGHT_KG=0.3664;SOURCE_CFG=IA-ST-CFG-0090;SRC_REF=Row 982, Slot 5;SRC_FILE=Mamul Ambalaj Bileşen Listesi-30.07.2026(3).xlsx</t>
        </is>
      </c>
    </row>
    <row r="467">
      <c r="A467" s="19" t="inlineStr">
        <is>
          <t>466</t>
        </is>
      </c>
      <c r="B467" s="19" t="inlineStr">
        <is>
          <t>66</t>
        </is>
      </c>
      <c r="C467" s="19" t="inlineStr">
        <is>
          <t>9</t>
        </is>
      </c>
      <c r="D467" t="n">
        <v>0.186</v>
      </c>
      <c r="E467" s="19" t="inlineStr">
        <is>
          <t>18</t>
        </is>
      </c>
      <c r="F467" t="n">
        <v>4</v>
      </c>
      <c r="G467" t="b">
        <v>0</v>
      </c>
      <c r="H467" t="inlineStr">
        <is>
          <t>UOM=KG;WEIGHT_BASIS=RECIPE_QUANTITY_IS_KG;LINE_WEIGHT_KG=0.186;SOURCE_CFG=IA-ST-CFG-0090;SRC_REF=Row 982, Slot 6;SRC_FILE=Mamul Ambalaj Bileşen Listesi-30.07.2026(3).xlsx</t>
        </is>
      </c>
    </row>
    <row r="468">
      <c r="A468" s="19" t="inlineStr">
        <is>
          <t>467</t>
        </is>
      </c>
      <c r="B468" s="19" t="inlineStr">
        <is>
          <t>66</t>
        </is>
      </c>
      <c r="C468" s="19" t="inlineStr">
        <is>
          <t>3</t>
        </is>
      </c>
      <c r="D468" t="n">
        <v>8</v>
      </c>
      <c r="E468" s="19" t="inlineStr">
        <is>
          <t>18</t>
        </is>
      </c>
      <c r="F468" t="n">
        <v>5</v>
      </c>
      <c r="G468" t="b">
        <v>0</v>
      </c>
      <c r="H468" t="inlineStr">
        <is>
          <t>UOM=ADT;WEIGHT_BASIS=PROCESSED_SOURCE_UNIT_WEIGHT;LINE_WEIGHT_KG=1.68;SOURCE_CFG=IA-ST-CFG-0090;SRC_REF=Row 982, Slot 8;SRC_FILE=Mamul Ambalaj Bileşen Listesi-30.07.2026(3).xlsx</t>
        </is>
      </c>
    </row>
    <row r="469">
      <c r="A469" s="19" t="inlineStr">
        <is>
          <t>468</t>
        </is>
      </c>
      <c r="B469" s="19" t="inlineStr">
        <is>
          <t>66</t>
        </is>
      </c>
      <c r="C469" s="19" t="inlineStr">
        <is>
          <t>7</t>
        </is>
      </c>
      <c r="D469" t="n">
        <v>4</v>
      </c>
      <c r="E469" s="19" t="inlineStr">
        <is>
          <t>18</t>
        </is>
      </c>
      <c r="F469" t="n">
        <v>6</v>
      </c>
      <c r="G469" t="b">
        <v>0</v>
      </c>
      <c r="H469" t="inlineStr">
        <is>
          <t>UOM=ADT;WEIGHT_BASIS=PROCESSED_SOURCE_UNIT_WEIGHT;LINE_WEIGHT_KG=1.08;SOURCE_CFG=IA-ST-CFG-0090;SRC_REF=Row 982, Slot 9;SRC_FILE=Mamul Ambalaj Bileşen Listesi-30.07.2026(3).xlsx</t>
        </is>
      </c>
    </row>
    <row r="470">
      <c r="A470" s="19" t="inlineStr">
        <is>
          <t>469</t>
        </is>
      </c>
      <c r="B470" s="19" t="inlineStr">
        <is>
          <t>66</t>
        </is>
      </c>
      <c r="C470" s="19" t="inlineStr">
        <is>
          <t>57</t>
        </is>
      </c>
      <c r="D470" t="n">
        <v>45</v>
      </c>
      <c r="E470" s="19" t="inlineStr">
        <is>
          <t>18</t>
        </is>
      </c>
      <c r="F470" t="n">
        <v>7</v>
      </c>
      <c r="G470" t="b">
        <v>0</v>
      </c>
      <c r="H470" t="inlineStr">
        <is>
          <t>UOM=ADT;WEIGHT_BASIS=PROCESSED_SOURCE_UNIT_WEIGHT;LINE_WEIGHT_KG=14.850000000000001;SOURCE_CFG=IA-ST-CFG-0090;SRC_REF=Row 982, Slot 10;SRC_FILE=Mamul Ambalaj Bileşen Listesi-30.07.2026(3).xlsx</t>
        </is>
      </c>
    </row>
    <row r="471">
      <c r="A471" s="19" t="inlineStr">
        <is>
          <t>470</t>
        </is>
      </c>
      <c r="B471" s="19" t="inlineStr">
        <is>
          <t>67</t>
        </is>
      </c>
      <c r="C471" s="19" t="inlineStr">
        <is>
          <t>13</t>
        </is>
      </c>
      <c r="D471" t="n">
        <v>14</v>
      </c>
      <c r="E471" s="19" t="inlineStr">
        <is>
          <t>18</t>
        </is>
      </c>
      <c r="F471" t="n">
        <v>1</v>
      </c>
      <c r="G471" t="b">
        <v>0</v>
      </c>
      <c r="H471" t="inlineStr">
        <is>
          <t>UOM=M;WEIGHT_BASIS=PROCESSED_SOURCE_UNIT_WEIGHT;LINE_WEIGHT_KG=0.1736;SOURCE_CFG=IA-ST-CFG-0091;SRC_REF=Row 1164, Slot 1;SRC_FILE=Mamul Ambalaj Bileşen Listesi-30.07.2026(3).xlsx</t>
        </is>
      </c>
    </row>
    <row r="472">
      <c r="A472" s="19" t="inlineStr">
        <is>
          <t>471</t>
        </is>
      </c>
      <c r="B472" s="19" t="inlineStr">
        <is>
          <t>67</t>
        </is>
      </c>
      <c r="C472" s="19" t="inlineStr">
        <is>
          <t>5</t>
        </is>
      </c>
      <c r="D472" t="n">
        <v>1</v>
      </c>
      <c r="E472" s="19" t="inlineStr">
        <is>
          <t>18</t>
        </is>
      </c>
      <c r="F472" t="n">
        <v>2</v>
      </c>
      <c r="G472" t="b">
        <v>0</v>
      </c>
      <c r="H472" t="inlineStr">
        <is>
          <t>UOM=ADT;WEIGHT_BASIS=PROCESSED_SOURCE_UNIT_WEIGHT;LINE_WEIGHT_KG=26.0;SOURCE_CFG=IA-ST-CFG-0091;SRC_REF=Row 1164, Slot 3;SRC_FILE=Mamul Ambalaj Bileşen Listesi-30.07.2026(3).xlsx</t>
        </is>
      </c>
    </row>
    <row r="473">
      <c r="A473" s="19" t="inlineStr">
        <is>
          <t>472</t>
        </is>
      </c>
      <c r="B473" s="19" t="inlineStr">
        <is>
          <t>67</t>
        </is>
      </c>
      <c r="C473" s="19" t="inlineStr">
        <is>
          <t>8</t>
        </is>
      </c>
      <c r="D473" t="n">
        <v>20</v>
      </c>
      <c r="E473" s="19" t="inlineStr">
        <is>
          <t>18</t>
        </is>
      </c>
      <c r="F473" t="n">
        <v>3</v>
      </c>
      <c r="G473" t="b">
        <v>0</v>
      </c>
      <c r="H473" t="inlineStr">
        <is>
          <t>UOM=M;WEIGHT_BASIS=PROCESSED_SOURCE_UNIT_WEIGHT;LINE_WEIGHT_KG=0.3664;SOURCE_CFG=IA-ST-CFG-0091;SRC_REF=Row 1164, Slot 5;SRC_FILE=Mamul Ambalaj Bileşen Listesi-30.07.2026(3).xlsx</t>
        </is>
      </c>
    </row>
    <row r="474">
      <c r="A474" s="19" t="inlineStr">
        <is>
          <t>473</t>
        </is>
      </c>
      <c r="B474" s="19" t="inlineStr">
        <is>
          <t>67</t>
        </is>
      </c>
      <c r="C474" s="19" t="inlineStr">
        <is>
          <t>9</t>
        </is>
      </c>
      <c r="D474" t="n">
        <v>0.186</v>
      </c>
      <c r="E474" s="19" t="inlineStr">
        <is>
          <t>18</t>
        </is>
      </c>
      <c r="F474" t="n">
        <v>4</v>
      </c>
      <c r="G474" t="b">
        <v>0</v>
      </c>
      <c r="H474" t="inlineStr">
        <is>
          <t>UOM=KG;WEIGHT_BASIS=RECIPE_QUANTITY_IS_KG;LINE_WEIGHT_KG=0.186;SOURCE_CFG=IA-ST-CFG-0091;SRC_REF=Row 1164, Slot 6;SRC_FILE=Mamul Ambalaj Bileşen Listesi-30.07.2026(3).xlsx</t>
        </is>
      </c>
    </row>
    <row r="475">
      <c r="A475" s="19" t="inlineStr">
        <is>
          <t>474</t>
        </is>
      </c>
      <c r="B475" s="19" t="inlineStr">
        <is>
          <t>67</t>
        </is>
      </c>
      <c r="C475" s="19" t="inlineStr">
        <is>
          <t>3</t>
        </is>
      </c>
      <c r="D475" t="n">
        <v>8</v>
      </c>
      <c r="E475" s="19" t="inlineStr">
        <is>
          <t>18</t>
        </is>
      </c>
      <c r="F475" t="n">
        <v>5</v>
      </c>
      <c r="G475" t="b">
        <v>0</v>
      </c>
      <c r="H475" t="inlineStr">
        <is>
          <t>UOM=ADT;WEIGHT_BASIS=PROCESSED_SOURCE_UNIT_WEIGHT;LINE_WEIGHT_KG=1.68;SOURCE_CFG=IA-ST-CFG-0091;SRC_REF=Row 1164, Slot 8;SRC_FILE=Mamul Ambalaj Bileşen Listesi-30.07.2026(3).xlsx</t>
        </is>
      </c>
    </row>
    <row r="476">
      <c r="A476" s="19" t="inlineStr">
        <is>
          <t>475</t>
        </is>
      </c>
      <c r="B476" s="19" t="inlineStr">
        <is>
          <t>67</t>
        </is>
      </c>
      <c r="C476" s="19" t="inlineStr">
        <is>
          <t>7</t>
        </is>
      </c>
      <c r="D476" t="n">
        <v>4</v>
      </c>
      <c r="E476" s="19" t="inlineStr">
        <is>
          <t>18</t>
        </is>
      </c>
      <c r="F476" t="n">
        <v>6</v>
      </c>
      <c r="G476" t="b">
        <v>0</v>
      </c>
      <c r="H476" t="inlineStr">
        <is>
          <t>UOM=ADT;WEIGHT_BASIS=PROCESSED_SOURCE_UNIT_WEIGHT;LINE_WEIGHT_KG=1.08;SOURCE_CFG=IA-ST-CFG-0091;SRC_REF=Row 1164, Slot 9;SRC_FILE=Mamul Ambalaj Bileşen Listesi-30.07.2026(3).xlsx</t>
        </is>
      </c>
    </row>
    <row r="477">
      <c r="A477" s="19" t="inlineStr">
        <is>
          <t>476</t>
        </is>
      </c>
      <c r="B477" s="19" t="inlineStr">
        <is>
          <t>67</t>
        </is>
      </c>
      <c r="C477" s="19" t="inlineStr">
        <is>
          <t>95</t>
        </is>
      </c>
      <c r="D477" t="n">
        <v>45</v>
      </c>
      <c r="E477" s="19" t="inlineStr">
        <is>
          <t>18</t>
        </is>
      </c>
      <c r="F477" t="n">
        <v>7</v>
      </c>
      <c r="G477" t="b">
        <v>0</v>
      </c>
      <c r="H477" t="inlineStr">
        <is>
          <t>UOM=ADT;WEIGHT_BASIS=PROCESSED_SOURCE_UNIT_WEIGHT;LINE_WEIGHT_KG=14.850000000000001;SOURCE_CFG=IA-ST-CFG-0091;SRC_REF=Row 1164, Slot 10;SRC_FILE=Mamul Ambalaj Bileşen Listesi-30.07.2026(3).xlsx</t>
        </is>
      </c>
    </row>
    <row r="478">
      <c r="A478" s="19" t="inlineStr">
        <is>
          <t>477</t>
        </is>
      </c>
      <c r="B478" s="19" t="inlineStr">
        <is>
          <t>68</t>
        </is>
      </c>
      <c r="C478" s="19" t="inlineStr">
        <is>
          <t>13</t>
        </is>
      </c>
      <c r="D478" t="n">
        <v>14</v>
      </c>
      <c r="E478" s="19" t="inlineStr">
        <is>
          <t>18</t>
        </is>
      </c>
      <c r="F478" t="n">
        <v>1</v>
      </c>
      <c r="G478" t="b">
        <v>0</v>
      </c>
      <c r="H478" t="inlineStr">
        <is>
          <t>UOM=M;WEIGHT_BASIS=PROCESSED_SOURCE_UNIT_WEIGHT;LINE_WEIGHT_KG=0.1736;SOURCE_CFG=IA-ST-CFG-0092;SRC_REF=Row 1608, Slot 1;SRC_FILE=Mamul Ambalaj Bileşen Listesi-30.07.2026(3).xlsx</t>
        </is>
      </c>
    </row>
    <row r="479">
      <c r="A479" s="19" t="inlineStr">
        <is>
          <t>478</t>
        </is>
      </c>
      <c r="B479" s="19" t="inlineStr">
        <is>
          <t>68</t>
        </is>
      </c>
      <c r="C479" s="19" t="inlineStr">
        <is>
          <t>5</t>
        </is>
      </c>
      <c r="D479" t="n">
        <v>1</v>
      </c>
      <c r="E479" s="19" t="inlineStr">
        <is>
          <t>18</t>
        </is>
      </c>
      <c r="F479" t="n">
        <v>2</v>
      </c>
      <c r="G479" t="b">
        <v>0</v>
      </c>
      <c r="H479" t="inlineStr">
        <is>
          <t>UOM=ADT;WEIGHT_BASIS=PROCESSED_SOURCE_UNIT_WEIGHT;LINE_WEIGHT_KG=26.0;SOURCE_CFG=IA-ST-CFG-0092;SRC_REF=Row 1608, Slot 3;SRC_FILE=Mamul Ambalaj Bileşen Listesi-30.07.2026(3).xlsx</t>
        </is>
      </c>
    </row>
    <row r="480">
      <c r="A480" s="19" t="inlineStr">
        <is>
          <t>479</t>
        </is>
      </c>
      <c r="B480" s="19" t="inlineStr">
        <is>
          <t>68</t>
        </is>
      </c>
      <c r="C480" s="19" t="inlineStr">
        <is>
          <t>8</t>
        </is>
      </c>
      <c r="D480" t="n">
        <v>20</v>
      </c>
      <c r="E480" s="19" t="inlineStr">
        <is>
          <t>18</t>
        </is>
      </c>
      <c r="F480" t="n">
        <v>3</v>
      </c>
      <c r="G480" t="b">
        <v>0</v>
      </c>
      <c r="H480" t="inlineStr">
        <is>
          <t>UOM=M;WEIGHT_BASIS=PROCESSED_SOURCE_UNIT_WEIGHT;LINE_WEIGHT_KG=0.3664;SOURCE_CFG=IA-ST-CFG-0092;SRC_REF=Row 1608, Slot 5;SRC_FILE=Mamul Ambalaj Bileşen Listesi-30.07.2026(3).xlsx</t>
        </is>
      </c>
    </row>
    <row r="481">
      <c r="A481" s="19" t="inlineStr">
        <is>
          <t>480</t>
        </is>
      </c>
      <c r="B481" s="19" t="inlineStr">
        <is>
          <t>68</t>
        </is>
      </c>
      <c r="C481" s="19" t="inlineStr">
        <is>
          <t>9</t>
        </is>
      </c>
      <c r="D481" t="n">
        <v>0.186</v>
      </c>
      <c r="E481" s="19" t="inlineStr">
        <is>
          <t>18</t>
        </is>
      </c>
      <c r="F481" t="n">
        <v>4</v>
      </c>
      <c r="G481" t="b">
        <v>0</v>
      </c>
      <c r="H481" t="inlineStr">
        <is>
          <t>UOM=KG;WEIGHT_BASIS=RECIPE_QUANTITY_IS_KG;LINE_WEIGHT_KG=0.186;SOURCE_CFG=IA-ST-CFG-0092;SRC_REF=Row 1608, Slot 6;SRC_FILE=Mamul Ambalaj Bileşen Listesi-30.07.2026(3).xlsx</t>
        </is>
      </c>
    </row>
    <row r="482">
      <c r="A482" s="19" t="inlineStr">
        <is>
          <t>481</t>
        </is>
      </c>
      <c r="B482" s="19" t="inlineStr">
        <is>
          <t>68</t>
        </is>
      </c>
      <c r="C482" s="19" t="inlineStr">
        <is>
          <t>7</t>
        </is>
      </c>
      <c r="D482" t="n">
        <v>4</v>
      </c>
      <c r="E482" s="19" t="inlineStr">
        <is>
          <t>18</t>
        </is>
      </c>
      <c r="F482" t="n">
        <v>5</v>
      </c>
      <c r="G482" t="b">
        <v>0</v>
      </c>
      <c r="H482" t="inlineStr">
        <is>
          <t>UOM=ADT;WEIGHT_BASIS=PROCESSED_SOURCE_UNIT_WEIGHT;LINE_WEIGHT_KG=1.08;SOURCE_CFG=IA-ST-CFG-0092;SRC_REF=Row 1608, Slot 8;SRC_FILE=Mamul Ambalaj Bileşen Listesi-30.07.2026(3).xlsx</t>
        </is>
      </c>
    </row>
    <row r="483">
      <c r="A483" s="19" t="inlineStr">
        <is>
          <t>482</t>
        </is>
      </c>
      <c r="B483" s="19" t="inlineStr">
        <is>
          <t>68</t>
        </is>
      </c>
      <c r="C483" s="19" t="inlineStr">
        <is>
          <t>25</t>
        </is>
      </c>
      <c r="D483" t="n">
        <v>4</v>
      </c>
      <c r="E483" s="19" t="inlineStr">
        <is>
          <t>18</t>
        </is>
      </c>
      <c r="F483" t="n">
        <v>6</v>
      </c>
      <c r="G483" t="b">
        <v>0</v>
      </c>
      <c r="H483" t="inlineStr">
        <is>
          <t>UOM=ADT;WEIGHT_BASIS=PROCESSED_SOURCE_UNIT_WEIGHT;LINE_WEIGHT_KG=0.4;SOURCE_CFG=IA-ST-CFG-0092;SRC_REF=Row 1608, Slot 9;SRC_FILE=Mamul Ambalaj Bileşen Listesi-30.07.2026(3).xlsx</t>
        </is>
      </c>
    </row>
    <row r="484">
      <c r="A484" s="19" t="inlineStr">
        <is>
          <t>483</t>
        </is>
      </c>
      <c r="B484" s="19" t="inlineStr">
        <is>
          <t>69</t>
        </is>
      </c>
      <c r="C484" s="19" t="inlineStr">
        <is>
          <t>13</t>
        </is>
      </c>
      <c r="D484" t="n">
        <v>7</v>
      </c>
      <c r="E484" s="19" t="inlineStr">
        <is>
          <t>18</t>
        </is>
      </c>
      <c r="F484" t="n">
        <v>1</v>
      </c>
      <c r="G484" t="b">
        <v>0</v>
      </c>
      <c r="H484" t="inlineStr">
        <is>
          <t>UOM=M;WEIGHT_BASIS=PROCESSED_SOURCE_UNIT_WEIGHT;LINE_WEIGHT_KG=0.0868;SOURCE_CFG=IA-ST-CFG-0093;SRC_REF=Row 25, Slot 1;SRC_FILE=Mamul Ambalaj Bileşen Listesi-30.07.2026(3).xlsx</t>
        </is>
      </c>
    </row>
    <row r="485">
      <c r="A485" s="19" t="inlineStr">
        <is>
          <t>484</t>
        </is>
      </c>
      <c r="B485" s="19" t="inlineStr">
        <is>
          <t>69</t>
        </is>
      </c>
      <c r="C485" s="19" t="inlineStr">
        <is>
          <t>18</t>
        </is>
      </c>
      <c r="D485" t="n">
        <v>45</v>
      </c>
      <c r="E485" s="19" t="inlineStr">
        <is>
          <t>18</t>
        </is>
      </c>
      <c r="F485" t="n">
        <v>2</v>
      </c>
      <c r="G485" t="b">
        <v>0</v>
      </c>
      <c r="H485" t="inlineStr">
        <is>
          <t>UOM=ADT;WEIGHT_BASIS=SOURCE_UNIT_WEIGHT;LINE_WEIGHT_KG=3.6306000000000003;SOURCE_CFG=IA-ST-CFG-0093;SRC_REF=Row 25, Slot 2;SRC_FILE=Mamul Ambalaj Bileşen Listesi-30.07.2026(3).xlsx</t>
        </is>
      </c>
    </row>
    <row r="486">
      <c r="A486" s="19" t="inlineStr">
        <is>
          <t>485</t>
        </is>
      </c>
      <c r="B486" s="19" t="inlineStr">
        <is>
          <t>69</t>
        </is>
      </c>
      <c r="C486" s="19" t="inlineStr">
        <is>
          <t>5</t>
        </is>
      </c>
      <c r="D486" t="n">
        <v>1</v>
      </c>
      <c r="E486" s="19" t="inlineStr">
        <is>
          <t>18</t>
        </is>
      </c>
      <c r="F486" t="n">
        <v>3</v>
      </c>
      <c r="G486" t="b">
        <v>0</v>
      </c>
      <c r="H486" t="inlineStr">
        <is>
          <t>UOM=ADT;WEIGHT_BASIS=PROCESSED_SOURCE_UNIT_WEIGHT;LINE_WEIGHT_KG=26.0;SOURCE_CFG=IA-ST-CFG-0093;SRC_REF=Row 25, Slot 3;SRC_FILE=Mamul Ambalaj Bileşen Listesi-30.07.2026(3).xlsx</t>
        </is>
      </c>
    </row>
    <row r="487">
      <c r="A487" s="19" t="inlineStr">
        <is>
          <t>486</t>
        </is>
      </c>
      <c r="B487" s="19" t="inlineStr">
        <is>
          <t>69</t>
        </is>
      </c>
      <c r="C487" s="19" t="inlineStr">
        <is>
          <t>8</t>
        </is>
      </c>
      <c r="D487" t="n">
        <v>20</v>
      </c>
      <c r="E487" s="19" t="inlineStr">
        <is>
          <t>18</t>
        </is>
      </c>
      <c r="F487" t="n">
        <v>4</v>
      </c>
      <c r="G487" t="b">
        <v>0</v>
      </c>
      <c r="H487" t="inlineStr">
        <is>
          <t>UOM=M;WEIGHT_BASIS=PROCESSED_SOURCE_UNIT_WEIGHT;LINE_WEIGHT_KG=0.3664;SOURCE_CFG=IA-ST-CFG-0093;SRC_REF=Row 25, Slot 5;SRC_FILE=Mamul Ambalaj Bileşen Listesi-30.07.2026(3).xlsx</t>
        </is>
      </c>
    </row>
    <row r="488">
      <c r="A488" s="19" t="inlineStr">
        <is>
          <t>487</t>
        </is>
      </c>
      <c r="B488" s="19" t="inlineStr">
        <is>
          <t>69</t>
        </is>
      </c>
      <c r="C488" s="19" t="inlineStr">
        <is>
          <t>9</t>
        </is>
      </c>
      <c r="D488" t="n">
        <v>0.186</v>
      </c>
      <c r="E488" s="19" t="inlineStr">
        <is>
          <t>18</t>
        </is>
      </c>
      <c r="F488" t="n">
        <v>5</v>
      </c>
      <c r="G488" t="b">
        <v>0</v>
      </c>
      <c r="H488" t="inlineStr">
        <is>
          <t>UOM=KG;WEIGHT_BASIS=RECIPE_QUANTITY_IS_KG;LINE_WEIGHT_KG=0.186;SOURCE_CFG=IA-ST-CFG-0093;SRC_REF=Row 25, Slot 6;SRC_FILE=Mamul Ambalaj Bileşen Listesi-30.07.2026(3).xlsx</t>
        </is>
      </c>
    </row>
    <row r="489">
      <c r="A489" s="19" t="inlineStr">
        <is>
          <t>488</t>
        </is>
      </c>
      <c r="B489" s="19" t="inlineStr">
        <is>
          <t>69</t>
        </is>
      </c>
      <c r="C489" s="19" t="inlineStr">
        <is>
          <t>29</t>
        </is>
      </c>
      <c r="D489" t="n">
        <v>1.8</v>
      </c>
      <c r="E489" s="19" t="inlineStr">
        <is>
          <t>18</t>
        </is>
      </c>
      <c r="F489" t="n">
        <v>6</v>
      </c>
      <c r="G489" t="b">
        <v>0</v>
      </c>
      <c r="H489" t="inlineStr">
        <is>
          <t>UOM=KG;WEIGHT_BASIS=RECIPE_QUANTITY_IS_KG;LINE_WEIGHT_KG=1.8;SOURCE_CFG=IA-ST-CFG-0093;SRC_REF=Row 25, Slot 7;SRC_FILE=Mamul Ambalaj Bileşen Listesi-30.07.2026(3).xlsx</t>
        </is>
      </c>
    </row>
    <row r="490">
      <c r="A490" s="19" t="inlineStr">
        <is>
          <t>489</t>
        </is>
      </c>
      <c r="B490" s="19" t="inlineStr">
        <is>
          <t>69</t>
        </is>
      </c>
      <c r="C490" s="19" t="inlineStr">
        <is>
          <t>7</t>
        </is>
      </c>
      <c r="D490" t="n">
        <v>4</v>
      </c>
      <c r="E490" s="19" t="inlineStr">
        <is>
          <t>18</t>
        </is>
      </c>
      <c r="F490" t="n">
        <v>7</v>
      </c>
      <c r="G490" t="b">
        <v>0</v>
      </c>
      <c r="H490" t="inlineStr">
        <is>
          <t>UOM=ADT;WEIGHT_BASIS=PROCESSED_SOURCE_UNIT_WEIGHT;LINE_WEIGHT_KG=1.08;SOURCE_CFG=IA-ST-CFG-0093;SRC_REF=Row 25, Slot 8;SRC_FILE=Mamul Ambalaj Bileşen Listesi-30.07.2026(3).xlsx</t>
        </is>
      </c>
    </row>
    <row r="491">
      <c r="A491" s="19" t="inlineStr">
        <is>
          <t>490</t>
        </is>
      </c>
      <c r="B491" s="19" t="inlineStr">
        <is>
          <t>69</t>
        </is>
      </c>
      <c r="C491" s="19" t="inlineStr">
        <is>
          <t>25</t>
        </is>
      </c>
      <c r="D491" t="n">
        <v>2</v>
      </c>
      <c r="E491" s="19" t="inlineStr">
        <is>
          <t>18</t>
        </is>
      </c>
      <c r="F491" t="n">
        <v>8</v>
      </c>
      <c r="G491" t="b">
        <v>0</v>
      </c>
      <c r="H491" t="inlineStr">
        <is>
          <t>UOM=ADT;WEIGHT_BASIS=PROCESSED_SOURCE_UNIT_WEIGHT;LINE_WEIGHT_KG=0.2;SOURCE_CFG=IA-ST-CFG-0093;SRC_REF=Row 25, Slot 9;SRC_FILE=Mamul Ambalaj Bileşen Listesi-30.07.2026(3).xlsx</t>
        </is>
      </c>
    </row>
    <row r="492">
      <c r="A492" s="19" t="inlineStr">
        <is>
          <t>491</t>
        </is>
      </c>
      <c r="B492" s="19" t="inlineStr">
        <is>
          <t>70</t>
        </is>
      </c>
      <c r="C492" s="19" t="inlineStr">
        <is>
          <t>13</t>
        </is>
      </c>
      <c r="D492" t="n">
        <v>7</v>
      </c>
      <c r="E492" s="19" t="inlineStr">
        <is>
          <t>18</t>
        </is>
      </c>
      <c r="F492" t="n">
        <v>1</v>
      </c>
      <c r="G492" t="b">
        <v>0</v>
      </c>
      <c r="H492" t="inlineStr">
        <is>
          <t>UOM=M;WEIGHT_BASIS=PROCESSED_SOURCE_UNIT_WEIGHT;LINE_WEIGHT_KG=0.0868;SOURCE_CFG=IA-ST-CFG-0094;SRC_REF=Row 1566, Slot 1;SRC_FILE=Mamul Ambalaj Bileşen Listesi-30.07.2026(3).xlsx</t>
        </is>
      </c>
    </row>
    <row r="493">
      <c r="A493" s="19" t="inlineStr">
        <is>
          <t>492</t>
        </is>
      </c>
      <c r="B493" s="19" t="inlineStr">
        <is>
          <t>70</t>
        </is>
      </c>
      <c r="C493" s="19" t="inlineStr">
        <is>
          <t>5</t>
        </is>
      </c>
      <c r="D493" t="n">
        <v>1</v>
      </c>
      <c r="E493" s="19" t="inlineStr">
        <is>
          <t>18</t>
        </is>
      </c>
      <c r="F493" t="n">
        <v>2</v>
      </c>
      <c r="G493" t="b">
        <v>0</v>
      </c>
      <c r="H493" t="inlineStr">
        <is>
          <t>UOM=ADT;WEIGHT_BASIS=PROCESSED_SOURCE_UNIT_WEIGHT;LINE_WEIGHT_KG=26.0;SOURCE_CFG=IA-ST-CFG-0094;SRC_REF=Row 1566, Slot 3;SRC_FILE=Mamul Ambalaj Bileşen Listesi-30.07.2026(3).xlsx</t>
        </is>
      </c>
    </row>
    <row r="494">
      <c r="A494" s="19" t="inlineStr">
        <is>
          <t>493</t>
        </is>
      </c>
      <c r="B494" s="19" t="inlineStr">
        <is>
          <t>70</t>
        </is>
      </c>
      <c r="C494" s="19" t="inlineStr">
        <is>
          <t>8</t>
        </is>
      </c>
      <c r="D494" t="n">
        <v>20</v>
      </c>
      <c r="E494" s="19" t="inlineStr">
        <is>
          <t>18</t>
        </is>
      </c>
      <c r="F494" t="n">
        <v>3</v>
      </c>
      <c r="G494" t="b">
        <v>0</v>
      </c>
      <c r="H494" t="inlineStr">
        <is>
          <t>UOM=M;WEIGHT_BASIS=PROCESSED_SOURCE_UNIT_WEIGHT;LINE_WEIGHT_KG=0.3664;SOURCE_CFG=IA-ST-CFG-0094;SRC_REF=Row 1566, Slot 5;SRC_FILE=Mamul Ambalaj Bileşen Listesi-30.07.2026(3).xlsx</t>
        </is>
      </c>
    </row>
    <row r="495">
      <c r="A495" s="19" t="inlineStr">
        <is>
          <t>494</t>
        </is>
      </c>
      <c r="B495" s="19" t="inlineStr">
        <is>
          <t>70</t>
        </is>
      </c>
      <c r="C495" s="19" t="inlineStr">
        <is>
          <t>9</t>
        </is>
      </c>
      <c r="D495" t="n">
        <v>0.186</v>
      </c>
      <c r="E495" s="19" t="inlineStr">
        <is>
          <t>18</t>
        </is>
      </c>
      <c r="F495" t="n">
        <v>4</v>
      </c>
      <c r="G495" t="b">
        <v>0</v>
      </c>
      <c r="H495" t="inlineStr">
        <is>
          <t>UOM=KG;WEIGHT_BASIS=RECIPE_QUANTITY_IS_KG;LINE_WEIGHT_KG=0.186;SOURCE_CFG=IA-ST-CFG-0094;SRC_REF=Row 1566, Slot 6;SRC_FILE=Mamul Ambalaj Bileşen Listesi-30.07.2026(3).xlsx</t>
        </is>
      </c>
    </row>
    <row r="496">
      <c r="A496" s="19" t="inlineStr">
        <is>
          <t>495</t>
        </is>
      </c>
      <c r="B496" s="19" t="inlineStr">
        <is>
          <t>70</t>
        </is>
      </c>
      <c r="C496" s="19" t="inlineStr">
        <is>
          <t>7</t>
        </is>
      </c>
      <c r="D496" t="n">
        <v>4</v>
      </c>
      <c r="E496" s="19" t="inlineStr">
        <is>
          <t>18</t>
        </is>
      </c>
      <c r="F496" t="n">
        <v>5</v>
      </c>
      <c r="G496" t="b">
        <v>0</v>
      </c>
      <c r="H496" t="inlineStr">
        <is>
          <t>UOM=ADT;WEIGHT_BASIS=PROCESSED_SOURCE_UNIT_WEIGHT;LINE_WEIGHT_KG=1.08;SOURCE_CFG=IA-ST-CFG-0094;SRC_REF=Row 1566, Slot 8;SRC_FILE=Mamul Ambalaj Bileşen Listesi-30.07.2026(3).xlsx</t>
        </is>
      </c>
    </row>
    <row r="497">
      <c r="A497" s="19" t="inlineStr">
        <is>
          <t>496</t>
        </is>
      </c>
      <c r="B497" s="19" t="inlineStr">
        <is>
          <t>70</t>
        </is>
      </c>
      <c r="C497" s="19" t="inlineStr">
        <is>
          <t>25</t>
        </is>
      </c>
      <c r="D497" t="n">
        <v>2</v>
      </c>
      <c r="E497" s="19" t="inlineStr">
        <is>
          <t>18</t>
        </is>
      </c>
      <c r="F497" t="n">
        <v>6</v>
      </c>
      <c r="G497" t="b">
        <v>0</v>
      </c>
      <c r="H497" t="inlineStr">
        <is>
          <t>UOM=ADT;WEIGHT_BASIS=PROCESSED_SOURCE_UNIT_WEIGHT;LINE_WEIGHT_KG=0.2;SOURCE_CFG=IA-ST-CFG-0094;SRC_REF=Row 1566, Slot 9;SRC_FILE=Mamul Ambalaj Bileşen Listesi-30.07.2026(3).xlsx</t>
        </is>
      </c>
    </row>
    <row r="498">
      <c r="A498" s="19" t="inlineStr">
        <is>
          <t>497</t>
        </is>
      </c>
      <c r="B498" s="19" t="inlineStr">
        <is>
          <t>71</t>
        </is>
      </c>
      <c r="C498" s="19" t="inlineStr">
        <is>
          <t>13</t>
        </is>
      </c>
      <c r="D498" t="n">
        <v>7</v>
      </c>
      <c r="E498" s="19" t="inlineStr">
        <is>
          <t>18</t>
        </is>
      </c>
      <c r="F498" t="n">
        <v>1</v>
      </c>
      <c r="G498" t="b">
        <v>0</v>
      </c>
      <c r="H498" t="inlineStr">
        <is>
          <t>UOM=M;WEIGHT_BASIS=PROCESSED_SOURCE_UNIT_WEIGHT;LINE_WEIGHT_KG=0.0868;SOURCE_CFG=IA-ST-CFG-0095;SRC_REF=Row 1633, Slot 1;SRC_FILE=Mamul Ambalaj Bileşen Listesi-30.07.2026(3).xlsx</t>
        </is>
      </c>
    </row>
    <row r="499">
      <c r="A499" s="19" t="inlineStr">
        <is>
          <t>498</t>
        </is>
      </c>
      <c r="B499" s="19" t="inlineStr">
        <is>
          <t>71</t>
        </is>
      </c>
      <c r="C499" s="19" t="inlineStr">
        <is>
          <t>5</t>
        </is>
      </c>
      <c r="D499" t="n">
        <v>1</v>
      </c>
      <c r="E499" s="19" t="inlineStr">
        <is>
          <t>18</t>
        </is>
      </c>
      <c r="F499" t="n">
        <v>2</v>
      </c>
      <c r="G499" t="b">
        <v>0</v>
      </c>
      <c r="H499" t="inlineStr">
        <is>
          <t>UOM=ADT;WEIGHT_BASIS=PROCESSED_SOURCE_UNIT_WEIGHT;LINE_WEIGHT_KG=26.0;SOURCE_CFG=IA-ST-CFG-0095;SRC_REF=Row 1633, Slot 3;SRC_FILE=Mamul Ambalaj Bileşen Listesi-30.07.2026(3).xlsx</t>
        </is>
      </c>
    </row>
    <row r="500">
      <c r="A500" s="19" t="inlineStr">
        <is>
          <t>499</t>
        </is>
      </c>
      <c r="B500" s="19" t="inlineStr">
        <is>
          <t>71</t>
        </is>
      </c>
      <c r="C500" s="19" t="inlineStr">
        <is>
          <t>8</t>
        </is>
      </c>
      <c r="D500" t="n">
        <v>20</v>
      </c>
      <c r="E500" s="19" t="inlineStr">
        <is>
          <t>18</t>
        </is>
      </c>
      <c r="F500" t="n">
        <v>3</v>
      </c>
      <c r="G500" t="b">
        <v>0</v>
      </c>
      <c r="H500" t="inlineStr">
        <is>
          <t>UOM=M;WEIGHT_BASIS=PROCESSED_SOURCE_UNIT_WEIGHT;LINE_WEIGHT_KG=0.3664;SOURCE_CFG=IA-ST-CFG-0095;SRC_REF=Row 1633, Slot 5;SRC_FILE=Mamul Ambalaj Bileşen Listesi-30.07.2026(3).xlsx</t>
        </is>
      </c>
    </row>
    <row r="501">
      <c r="A501" s="19" t="inlineStr">
        <is>
          <t>500</t>
        </is>
      </c>
      <c r="B501" s="19" t="inlineStr">
        <is>
          <t>71</t>
        </is>
      </c>
      <c r="C501" s="19" t="inlineStr">
        <is>
          <t>9</t>
        </is>
      </c>
      <c r="D501" t="n">
        <v>0.186</v>
      </c>
      <c r="E501" s="19" t="inlineStr">
        <is>
          <t>18</t>
        </is>
      </c>
      <c r="F501" t="n">
        <v>4</v>
      </c>
      <c r="G501" t="b">
        <v>0</v>
      </c>
      <c r="H501" t="inlineStr">
        <is>
          <t>UOM=KG;WEIGHT_BASIS=RECIPE_QUANTITY_IS_KG;LINE_WEIGHT_KG=0.186;SOURCE_CFG=IA-ST-CFG-0095;SRC_REF=Row 1633, Slot 6;SRC_FILE=Mamul Ambalaj Bileşen Listesi-30.07.2026(3).xlsx</t>
        </is>
      </c>
    </row>
    <row r="502">
      <c r="A502" s="19" t="inlineStr">
        <is>
          <t>501</t>
        </is>
      </c>
      <c r="B502" s="19" t="inlineStr">
        <is>
          <t>71</t>
        </is>
      </c>
      <c r="C502" s="19" t="inlineStr">
        <is>
          <t>29</t>
        </is>
      </c>
      <c r="D502" t="n">
        <v>1.53</v>
      </c>
      <c r="E502" s="19" t="inlineStr">
        <is>
          <t>18</t>
        </is>
      </c>
      <c r="F502" t="n">
        <v>5</v>
      </c>
      <c r="G502" t="b">
        <v>0</v>
      </c>
      <c r="H502" t="inlineStr">
        <is>
          <t>UOM=KG;WEIGHT_BASIS=RECIPE_QUANTITY_IS_KG;LINE_WEIGHT_KG=1.53;SOURCE_CFG=IA-ST-CFG-0095;SRC_REF=Row 1633, Slot 7;SRC_FILE=Mamul Ambalaj Bileşen Listesi-30.07.2026(3).xlsx</t>
        </is>
      </c>
    </row>
    <row r="503">
      <c r="A503" s="19" t="inlineStr">
        <is>
          <t>502</t>
        </is>
      </c>
      <c r="B503" s="19" t="inlineStr">
        <is>
          <t>71</t>
        </is>
      </c>
      <c r="C503" s="19" t="inlineStr">
        <is>
          <t>7</t>
        </is>
      </c>
      <c r="D503" t="n">
        <v>4</v>
      </c>
      <c r="E503" s="19" t="inlineStr">
        <is>
          <t>18</t>
        </is>
      </c>
      <c r="F503" t="n">
        <v>6</v>
      </c>
      <c r="G503" t="b">
        <v>0</v>
      </c>
      <c r="H503" t="inlineStr">
        <is>
          <t>UOM=ADT;WEIGHT_BASIS=PROCESSED_SOURCE_UNIT_WEIGHT;LINE_WEIGHT_KG=1.08;SOURCE_CFG=IA-ST-CFG-0095;SRC_REF=Row 1633, Slot 8;SRC_FILE=Mamul Ambalaj Bileşen Listesi-30.07.2026(3).xlsx</t>
        </is>
      </c>
    </row>
    <row r="504">
      <c r="A504" s="19" t="inlineStr">
        <is>
          <t>503</t>
        </is>
      </c>
      <c r="B504" s="19" t="inlineStr">
        <is>
          <t>71</t>
        </is>
      </c>
      <c r="C504" s="19" t="inlineStr">
        <is>
          <t>25</t>
        </is>
      </c>
      <c r="D504" t="n">
        <v>2</v>
      </c>
      <c r="E504" s="19" t="inlineStr">
        <is>
          <t>18</t>
        </is>
      </c>
      <c r="F504" t="n">
        <v>7</v>
      </c>
      <c r="G504" t="b">
        <v>0</v>
      </c>
      <c r="H504" t="inlineStr">
        <is>
          <t>UOM=ADT;WEIGHT_BASIS=PROCESSED_SOURCE_UNIT_WEIGHT;LINE_WEIGHT_KG=0.2;SOURCE_CFG=IA-ST-CFG-0095;SRC_REF=Row 1633, Slot 9;SRC_FILE=Mamul Ambalaj Bileşen Listesi-30.07.2026(3).xlsx</t>
        </is>
      </c>
    </row>
    <row r="505">
      <c r="A505" s="19" t="inlineStr">
        <is>
          <t>504</t>
        </is>
      </c>
      <c r="B505" s="19" t="inlineStr">
        <is>
          <t>72</t>
        </is>
      </c>
      <c r="C505" s="19" t="inlineStr">
        <is>
          <t>13</t>
        </is>
      </c>
      <c r="D505" t="n">
        <v>7</v>
      </c>
      <c r="E505" s="19" t="inlineStr">
        <is>
          <t>18</t>
        </is>
      </c>
      <c r="F505" t="n">
        <v>1</v>
      </c>
      <c r="G505" t="b">
        <v>0</v>
      </c>
      <c r="H505" t="inlineStr">
        <is>
          <t>UOM=M;WEIGHT_BASIS=PROCESSED_SOURCE_UNIT_WEIGHT;LINE_WEIGHT_KG=0.0868;SOURCE_CFG=IA-ST-CFG-0096;SRC_REF=Row 111, Slot 1;SRC_FILE=Mamul Ambalaj Bileşen Listesi-30.07.2026(3).xlsx</t>
        </is>
      </c>
    </row>
    <row r="506">
      <c r="A506" s="19" t="inlineStr">
        <is>
          <t>505</t>
        </is>
      </c>
      <c r="B506" s="19" t="inlineStr">
        <is>
          <t>72</t>
        </is>
      </c>
      <c r="C506" s="19" t="inlineStr">
        <is>
          <t>5</t>
        </is>
      </c>
      <c r="D506" t="n">
        <v>1</v>
      </c>
      <c r="E506" s="19" t="inlineStr">
        <is>
          <t>18</t>
        </is>
      </c>
      <c r="F506" t="n">
        <v>2</v>
      </c>
      <c r="G506" t="b">
        <v>0</v>
      </c>
      <c r="H506" t="inlineStr">
        <is>
          <t>UOM=ADT;WEIGHT_BASIS=PROCESSED_SOURCE_UNIT_WEIGHT;LINE_WEIGHT_KG=26.0;SOURCE_CFG=IA-ST-CFG-0096;SRC_REF=Row 111, Slot 3;SRC_FILE=Mamul Ambalaj Bileşen Listesi-30.07.2026(3).xlsx</t>
        </is>
      </c>
    </row>
    <row r="507">
      <c r="A507" s="19" t="inlineStr">
        <is>
          <t>506</t>
        </is>
      </c>
      <c r="B507" s="19" t="inlineStr">
        <is>
          <t>72</t>
        </is>
      </c>
      <c r="C507" s="19" t="inlineStr">
        <is>
          <t>8</t>
        </is>
      </c>
      <c r="D507" t="n">
        <v>20</v>
      </c>
      <c r="E507" s="19" t="inlineStr">
        <is>
          <t>18</t>
        </is>
      </c>
      <c r="F507" t="n">
        <v>3</v>
      </c>
      <c r="G507" t="b">
        <v>0</v>
      </c>
      <c r="H507" t="inlineStr">
        <is>
          <t>UOM=M;WEIGHT_BASIS=PROCESSED_SOURCE_UNIT_WEIGHT;LINE_WEIGHT_KG=0.3664;SOURCE_CFG=IA-ST-CFG-0096;SRC_REF=Row 111, Slot 5;SRC_FILE=Mamul Ambalaj Bileşen Listesi-30.07.2026(3).xlsx</t>
        </is>
      </c>
    </row>
    <row r="508">
      <c r="A508" s="19" t="inlineStr">
        <is>
          <t>507</t>
        </is>
      </c>
      <c r="B508" s="19" t="inlineStr">
        <is>
          <t>72</t>
        </is>
      </c>
      <c r="C508" s="19" t="inlineStr">
        <is>
          <t>9</t>
        </is>
      </c>
      <c r="D508" t="n">
        <v>0.186</v>
      </c>
      <c r="E508" s="19" t="inlineStr">
        <is>
          <t>18</t>
        </is>
      </c>
      <c r="F508" t="n">
        <v>4</v>
      </c>
      <c r="G508" t="b">
        <v>0</v>
      </c>
      <c r="H508" t="inlineStr">
        <is>
          <t>UOM=KG;WEIGHT_BASIS=RECIPE_QUANTITY_IS_KG;LINE_WEIGHT_KG=0.186;SOURCE_CFG=IA-ST-CFG-0096;SRC_REF=Row 111, Slot 6;SRC_FILE=Mamul Ambalaj Bileşen Listesi-30.07.2026(3).xlsx</t>
        </is>
      </c>
    </row>
    <row r="509">
      <c r="A509" s="19" t="inlineStr">
        <is>
          <t>508</t>
        </is>
      </c>
      <c r="B509" s="19" t="inlineStr">
        <is>
          <t>72</t>
        </is>
      </c>
      <c r="C509" s="19" t="inlineStr">
        <is>
          <t>29</t>
        </is>
      </c>
      <c r="D509" t="n">
        <v>1.8</v>
      </c>
      <c r="E509" s="19" t="inlineStr">
        <is>
          <t>18</t>
        </is>
      </c>
      <c r="F509" t="n">
        <v>5</v>
      </c>
      <c r="G509" t="b">
        <v>0</v>
      </c>
      <c r="H509" t="inlineStr">
        <is>
          <t>UOM=KG;WEIGHT_BASIS=RECIPE_QUANTITY_IS_KG;LINE_WEIGHT_KG=1.8;SOURCE_CFG=IA-ST-CFG-0096;SRC_REF=Row 111, Slot 7;SRC_FILE=Mamul Ambalaj Bileşen Listesi-30.07.2026(3).xlsx</t>
        </is>
      </c>
    </row>
    <row r="510">
      <c r="A510" s="19" t="inlineStr">
        <is>
          <t>509</t>
        </is>
      </c>
      <c r="B510" s="19" t="inlineStr">
        <is>
          <t>72</t>
        </is>
      </c>
      <c r="C510" s="19" t="inlineStr">
        <is>
          <t>7</t>
        </is>
      </c>
      <c r="D510" t="n">
        <v>4</v>
      </c>
      <c r="E510" s="19" t="inlineStr">
        <is>
          <t>18</t>
        </is>
      </c>
      <c r="F510" t="n">
        <v>6</v>
      </c>
      <c r="G510" t="b">
        <v>0</v>
      </c>
      <c r="H510" t="inlineStr">
        <is>
          <t>UOM=ADT;WEIGHT_BASIS=PROCESSED_SOURCE_UNIT_WEIGHT;LINE_WEIGHT_KG=1.08;SOURCE_CFG=IA-ST-CFG-0096;SRC_REF=Row 111, Slot 8;SRC_FILE=Mamul Ambalaj Bileşen Listesi-30.07.2026(3).xlsx</t>
        </is>
      </c>
    </row>
    <row r="511">
      <c r="A511" s="19" t="inlineStr">
        <is>
          <t>510</t>
        </is>
      </c>
      <c r="B511" s="19" t="inlineStr">
        <is>
          <t>72</t>
        </is>
      </c>
      <c r="C511" s="19" t="inlineStr">
        <is>
          <t>25</t>
        </is>
      </c>
      <c r="D511" t="n">
        <v>2</v>
      </c>
      <c r="E511" s="19" t="inlineStr">
        <is>
          <t>18</t>
        </is>
      </c>
      <c r="F511" t="n">
        <v>7</v>
      </c>
      <c r="G511" t="b">
        <v>0</v>
      </c>
      <c r="H511" t="inlineStr">
        <is>
          <t>UOM=ADT;WEIGHT_BASIS=PROCESSED_SOURCE_UNIT_WEIGHT;LINE_WEIGHT_KG=0.2;SOURCE_CFG=IA-ST-CFG-0096;SRC_REF=Row 111, Slot 9;SRC_FILE=Mamul Ambalaj Bileşen Listesi-30.07.2026(3).xlsx</t>
        </is>
      </c>
    </row>
    <row r="512">
      <c r="A512" s="19" t="inlineStr">
        <is>
          <t>511</t>
        </is>
      </c>
      <c r="B512" s="19" t="inlineStr">
        <is>
          <t>73</t>
        </is>
      </c>
      <c r="C512" s="19" t="inlineStr">
        <is>
          <t>18</t>
        </is>
      </c>
      <c r="D512" t="n">
        <v>45</v>
      </c>
      <c r="E512" s="19" t="inlineStr">
        <is>
          <t>18</t>
        </is>
      </c>
      <c r="F512" t="n">
        <v>1</v>
      </c>
      <c r="G512" t="b">
        <v>0</v>
      </c>
      <c r="H512" t="inlineStr">
        <is>
          <t>UOM=ADT;WEIGHT_BASIS=SOURCE_UNIT_WEIGHT;LINE_WEIGHT_KG=3.6306000000000003;SOURCE_CFG=IA-ST-CFG-0097;SRC_REF=Row 9, Slot 1;SRC_FILE=Mamul Ambalaj Bileşen Listesi-30.07.2026(3).xlsx</t>
        </is>
      </c>
    </row>
    <row r="513">
      <c r="A513" s="19" t="inlineStr">
        <is>
          <t>512</t>
        </is>
      </c>
      <c r="B513" s="19" t="inlineStr">
        <is>
          <t>73</t>
        </is>
      </c>
      <c r="C513" s="19" t="inlineStr">
        <is>
          <t>5</t>
        </is>
      </c>
      <c r="D513" t="n">
        <v>1</v>
      </c>
      <c r="E513" s="19" t="inlineStr">
        <is>
          <t>18</t>
        </is>
      </c>
      <c r="F513" t="n">
        <v>2</v>
      </c>
      <c r="G513" t="b">
        <v>0</v>
      </c>
      <c r="H513" t="inlineStr">
        <is>
          <t>UOM=ADT;WEIGHT_BASIS=PROCESSED_SOURCE_UNIT_WEIGHT;LINE_WEIGHT_KG=26.0;SOURCE_CFG=IA-ST-CFG-0097;SRC_REF=Row 9, Slot 3;SRC_FILE=Mamul Ambalaj Bileşen Listesi-30.07.2026(3).xlsx</t>
        </is>
      </c>
    </row>
    <row r="514">
      <c r="A514" s="19" t="inlineStr">
        <is>
          <t>513</t>
        </is>
      </c>
      <c r="B514" s="19" t="inlineStr">
        <is>
          <t>73</t>
        </is>
      </c>
      <c r="C514" s="19" t="inlineStr">
        <is>
          <t>8</t>
        </is>
      </c>
      <c r="D514" t="n">
        <v>20</v>
      </c>
      <c r="E514" s="19" t="inlineStr">
        <is>
          <t>18</t>
        </is>
      </c>
      <c r="F514" t="n">
        <v>3</v>
      </c>
      <c r="G514" t="b">
        <v>0</v>
      </c>
      <c r="H514" t="inlineStr">
        <is>
          <t>UOM=M;WEIGHT_BASIS=PROCESSED_SOURCE_UNIT_WEIGHT;LINE_WEIGHT_KG=0.3664;SOURCE_CFG=IA-ST-CFG-0097;SRC_REF=Row 9, Slot 5;SRC_FILE=Mamul Ambalaj Bileşen Listesi-30.07.2026(3).xlsx</t>
        </is>
      </c>
    </row>
    <row r="515">
      <c r="A515" s="19" t="inlineStr">
        <is>
          <t>514</t>
        </is>
      </c>
      <c r="B515" s="19" t="inlineStr">
        <is>
          <t>73</t>
        </is>
      </c>
      <c r="C515" s="19" t="inlineStr">
        <is>
          <t>9</t>
        </is>
      </c>
      <c r="D515" t="n">
        <v>0.186</v>
      </c>
      <c r="E515" s="19" t="inlineStr">
        <is>
          <t>18</t>
        </is>
      </c>
      <c r="F515" t="n">
        <v>4</v>
      </c>
      <c r="G515" t="b">
        <v>0</v>
      </c>
      <c r="H515" t="inlineStr">
        <is>
          <t>UOM=KG;WEIGHT_BASIS=RECIPE_QUANTITY_IS_KG;LINE_WEIGHT_KG=0.186;SOURCE_CFG=IA-ST-CFG-0097;SRC_REF=Row 9, Slot 6;SRC_FILE=Mamul Ambalaj Bileşen Listesi-30.07.2026(3).xlsx</t>
        </is>
      </c>
    </row>
    <row r="516">
      <c r="A516" s="19" t="inlineStr">
        <is>
          <t>515</t>
        </is>
      </c>
      <c r="B516" s="19" t="inlineStr">
        <is>
          <t>73</t>
        </is>
      </c>
      <c r="C516" s="19" t="inlineStr">
        <is>
          <t>29</t>
        </is>
      </c>
      <c r="D516" t="n">
        <v>1.8</v>
      </c>
      <c r="E516" s="19" t="inlineStr">
        <is>
          <t>18</t>
        </is>
      </c>
      <c r="F516" t="n">
        <v>5</v>
      </c>
      <c r="G516" t="b">
        <v>0</v>
      </c>
      <c r="H516" t="inlineStr">
        <is>
          <t>UOM=KG;WEIGHT_BASIS=RECIPE_QUANTITY_IS_KG;LINE_WEIGHT_KG=1.8;SOURCE_CFG=IA-ST-CFG-0097;SRC_REF=Row 9, Slot 7;SRC_FILE=Mamul Ambalaj Bileşen Listesi-30.07.2026(3).xlsx</t>
        </is>
      </c>
    </row>
    <row r="517">
      <c r="A517" s="19" t="inlineStr">
        <is>
          <t>516</t>
        </is>
      </c>
      <c r="B517" s="19" t="inlineStr">
        <is>
          <t>73</t>
        </is>
      </c>
      <c r="C517" s="19" t="inlineStr">
        <is>
          <t>7</t>
        </is>
      </c>
      <c r="D517" t="n">
        <v>4</v>
      </c>
      <c r="E517" s="19" t="inlineStr">
        <is>
          <t>18</t>
        </is>
      </c>
      <c r="F517" t="n">
        <v>6</v>
      </c>
      <c r="G517" t="b">
        <v>0</v>
      </c>
      <c r="H517" t="inlineStr">
        <is>
          <t>UOM=ADT;WEIGHT_BASIS=PROCESSED_SOURCE_UNIT_WEIGHT;LINE_WEIGHT_KG=1.08;SOURCE_CFG=IA-ST-CFG-0097;SRC_REF=Row 9, Slot 8;SRC_FILE=Mamul Ambalaj Bileşen Listesi-30.07.2026(3).xlsx</t>
        </is>
      </c>
    </row>
    <row r="518">
      <c r="A518" s="19" t="inlineStr">
        <is>
          <t>517</t>
        </is>
      </c>
      <c r="B518" s="19" t="inlineStr">
        <is>
          <t>74</t>
        </is>
      </c>
      <c r="C518" s="19" t="inlineStr">
        <is>
          <t>5</t>
        </is>
      </c>
      <c r="D518" t="n">
        <v>1</v>
      </c>
      <c r="E518" s="19" t="inlineStr">
        <is>
          <t>18</t>
        </is>
      </c>
      <c r="F518" t="n">
        <v>1</v>
      </c>
      <c r="G518" t="b">
        <v>0</v>
      </c>
      <c r="H518" t="inlineStr">
        <is>
          <t>UOM=ADT;WEIGHT_BASIS=PROCESSED_SOURCE_UNIT_WEIGHT;LINE_WEIGHT_KG=26.0;SOURCE_CFG=IA-ST-CFG-0098;SRC_REF=Row 238, Slot 3;SRC_FILE=Mamul Ambalaj Bileşen Listesi-30.07.2026(3).xlsx</t>
        </is>
      </c>
    </row>
    <row r="519">
      <c r="A519" s="19" t="inlineStr">
        <is>
          <t>518</t>
        </is>
      </c>
      <c r="B519" s="19" t="inlineStr">
        <is>
          <t>74</t>
        </is>
      </c>
      <c r="C519" s="19" t="inlineStr">
        <is>
          <t>8</t>
        </is>
      </c>
      <c r="D519" t="n">
        <v>20</v>
      </c>
      <c r="E519" s="19" t="inlineStr">
        <is>
          <t>18</t>
        </is>
      </c>
      <c r="F519" t="n">
        <v>2</v>
      </c>
      <c r="G519" t="b">
        <v>0</v>
      </c>
      <c r="H519" t="inlineStr">
        <is>
          <t>UOM=M;WEIGHT_BASIS=PROCESSED_SOURCE_UNIT_WEIGHT;LINE_WEIGHT_KG=0.3664;SOURCE_CFG=IA-ST-CFG-0098;SRC_REF=Row 238, Slot 5;SRC_FILE=Mamul Ambalaj Bileşen Listesi-30.07.2026(3).xlsx</t>
        </is>
      </c>
    </row>
    <row r="520">
      <c r="A520" s="19" t="inlineStr">
        <is>
          <t>519</t>
        </is>
      </c>
      <c r="B520" s="19" t="inlineStr">
        <is>
          <t>74</t>
        </is>
      </c>
      <c r="C520" s="19" t="inlineStr">
        <is>
          <t>9</t>
        </is>
      </c>
      <c r="D520" t="n">
        <v>0.186</v>
      </c>
      <c r="E520" s="19" t="inlineStr">
        <is>
          <t>18</t>
        </is>
      </c>
      <c r="F520" t="n">
        <v>3</v>
      </c>
      <c r="G520" t="b">
        <v>0</v>
      </c>
      <c r="H520" t="inlineStr">
        <is>
          <t>UOM=KG;WEIGHT_BASIS=RECIPE_QUANTITY_IS_KG;LINE_WEIGHT_KG=0.186;SOURCE_CFG=IA-ST-CFG-0098;SRC_REF=Row 238, Slot 6;SRC_FILE=Mamul Ambalaj Bileşen Listesi-30.07.2026(3).xlsx</t>
        </is>
      </c>
    </row>
    <row r="521">
      <c r="A521" s="19" t="inlineStr">
        <is>
          <t>520</t>
        </is>
      </c>
      <c r="B521" s="19" t="inlineStr">
        <is>
          <t>74</t>
        </is>
      </c>
      <c r="C521" s="19" t="inlineStr">
        <is>
          <t>29</t>
        </is>
      </c>
      <c r="D521" t="n">
        <v>1.8</v>
      </c>
      <c r="E521" s="19" t="inlineStr">
        <is>
          <t>18</t>
        </is>
      </c>
      <c r="F521" t="n">
        <v>4</v>
      </c>
      <c r="G521" t="b">
        <v>0</v>
      </c>
      <c r="H521" t="inlineStr">
        <is>
          <t>UOM=KG;WEIGHT_BASIS=RECIPE_QUANTITY_IS_KG;LINE_WEIGHT_KG=1.8;SOURCE_CFG=IA-ST-CFG-0098;SRC_REF=Row 238, Slot 7;SRC_FILE=Mamul Ambalaj Bileşen Listesi-30.07.2026(3).xlsx</t>
        </is>
      </c>
    </row>
    <row r="522">
      <c r="A522" s="19" t="inlineStr">
        <is>
          <t>521</t>
        </is>
      </c>
      <c r="B522" s="19" t="inlineStr">
        <is>
          <t>74</t>
        </is>
      </c>
      <c r="C522" s="19" t="inlineStr">
        <is>
          <t>7</t>
        </is>
      </c>
      <c r="D522" t="n">
        <v>4</v>
      </c>
      <c r="E522" s="19" t="inlineStr">
        <is>
          <t>18</t>
        </is>
      </c>
      <c r="F522" t="n">
        <v>5</v>
      </c>
      <c r="G522" t="b">
        <v>0</v>
      </c>
      <c r="H522" t="inlineStr">
        <is>
          <t>UOM=ADT;WEIGHT_BASIS=PROCESSED_SOURCE_UNIT_WEIGHT;LINE_WEIGHT_KG=1.08;SOURCE_CFG=IA-ST-CFG-0098;SRC_REF=Row 238, Slot 8;SRC_FILE=Mamul Ambalaj Bileşen Listesi-30.07.2026(3).xlsx</t>
        </is>
      </c>
    </row>
    <row r="523">
      <c r="A523" s="19" t="inlineStr">
        <is>
          <t>522</t>
        </is>
      </c>
      <c r="B523" s="19" t="inlineStr">
        <is>
          <t>75</t>
        </is>
      </c>
      <c r="C523" s="19" t="inlineStr">
        <is>
          <t>11</t>
        </is>
      </c>
      <c r="D523" t="n">
        <v>3</v>
      </c>
      <c r="E523" s="19" t="inlineStr">
        <is>
          <t>18</t>
        </is>
      </c>
      <c r="F523" t="n">
        <v>1</v>
      </c>
      <c r="G523" t="b">
        <v>0</v>
      </c>
      <c r="H523" t="inlineStr">
        <is>
          <t>UOM=ADT;WEIGHT_BASIS=PROCESSED_SOURCE_UNIT_WEIGHT;LINE_WEIGHT_KG=0.312;SOURCE_CFG=IA-ST-CFG-0099;SRC_REF=Row 205, Slot 1;SRC_FILE=Mamul Ambalaj Bileşen Listesi-30.07.2026(3).xlsx</t>
        </is>
      </c>
    </row>
    <row r="524">
      <c r="A524" s="19" t="inlineStr">
        <is>
          <t>523</t>
        </is>
      </c>
      <c r="B524" s="19" t="inlineStr">
        <is>
          <t>75</t>
        </is>
      </c>
      <c r="C524" s="19" t="inlineStr">
        <is>
          <t>13</t>
        </is>
      </c>
      <c r="D524" t="n">
        <v>14</v>
      </c>
      <c r="E524" s="19" t="inlineStr">
        <is>
          <t>18</t>
        </is>
      </c>
      <c r="F524" t="n">
        <v>2</v>
      </c>
      <c r="G524" t="b">
        <v>0</v>
      </c>
      <c r="H524" t="inlineStr">
        <is>
          <t>UOM=M;WEIGHT_BASIS=PROCESSED_SOURCE_UNIT_WEIGHT;LINE_WEIGHT_KG=0.1736;SOURCE_CFG=IA-ST-CFG-0099;SRC_REF=Row 205, Slot 2;SRC_FILE=Mamul Ambalaj Bileşen Listesi-30.07.2026(3).xlsx</t>
        </is>
      </c>
    </row>
    <row r="525">
      <c r="A525" s="19" t="inlineStr">
        <is>
          <t>524</t>
        </is>
      </c>
      <c r="B525" s="19" t="inlineStr">
        <is>
          <t>75</t>
        </is>
      </c>
      <c r="C525" s="19" t="inlineStr">
        <is>
          <t>5</t>
        </is>
      </c>
      <c r="D525" t="n">
        <v>1</v>
      </c>
      <c r="E525" s="19" t="inlineStr">
        <is>
          <t>18</t>
        </is>
      </c>
      <c r="F525" t="n">
        <v>3</v>
      </c>
      <c r="G525" t="b">
        <v>0</v>
      </c>
      <c r="H525" t="inlineStr">
        <is>
          <t>UOM=ADT;WEIGHT_BASIS=PROCESSED_SOURCE_UNIT_WEIGHT;LINE_WEIGHT_KG=26.0;SOURCE_CFG=IA-ST-CFG-0099;SRC_REF=Row 205, Slot 3;SRC_FILE=Mamul Ambalaj Bileşen Listesi-30.07.2026(3).xlsx</t>
        </is>
      </c>
    </row>
    <row r="526">
      <c r="A526" s="19" t="inlineStr">
        <is>
          <t>525</t>
        </is>
      </c>
      <c r="B526" s="19" t="inlineStr">
        <is>
          <t>75</t>
        </is>
      </c>
      <c r="C526" s="19" t="inlineStr">
        <is>
          <t>8</t>
        </is>
      </c>
      <c r="D526" t="n">
        <v>20</v>
      </c>
      <c r="E526" s="19" t="inlineStr">
        <is>
          <t>18</t>
        </is>
      </c>
      <c r="F526" t="n">
        <v>4</v>
      </c>
      <c r="G526" t="b">
        <v>0</v>
      </c>
      <c r="H526" t="inlineStr">
        <is>
          <t>UOM=M;WEIGHT_BASIS=PROCESSED_SOURCE_UNIT_WEIGHT;LINE_WEIGHT_KG=0.3664;SOURCE_CFG=IA-ST-CFG-0099;SRC_REF=Row 205, Slot 5;SRC_FILE=Mamul Ambalaj Bileşen Listesi-30.07.2026(3).xlsx</t>
        </is>
      </c>
    </row>
    <row r="527">
      <c r="A527" s="19" t="inlineStr">
        <is>
          <t>526</t>
        </is>
      </c>
      <c r="B527" s="19" t="inlineStr">
        <is>
          <t>75</t>
        </is>
      </c>
      <c r="C527" s="19" t="inlineStr">
        <is>
          <t>55</t>
        </is>
      </c>
      <c r="D527" t="n">
        <v>0.597</v>
      </c>
      <c r="E527" s="19" t="inlineStr">
        <is>
          <t>18</t>
        </is>
      </c>
      <c r="F527" t="n">
        <v>5</v>
      </c>
      <c r="G527" t="b">
        <v>0</v>
      </c>
      <c r="H527" t="inlineStr">
        <is>
          <t>UOM=KG;WEIGHT_BASIS=RECIPE_QUANTITY_IS_KG;LINE_WEIGHT_KG=0.597;SOURCE_CFG=IA-ST-CFG-0099;SRC_REF=Row 205, Slot 6;SRC_FILE=Mamul Ambalaj Bileşen Listesi-30.07.2026(3).xlsx</t>
        </is>
      </c>
    </row>
    <row r="528">
      <c r="A528" s="19" t="inlineStr">
        <is>
          <t>527</t>
        </is>
      </c>
      <c r="B528" s="19" t="inlineStr">
        <is>
          <t>75</t>
        </is>
      </c>
      <c r="C528" s="19" t="inlineStr">
        <is>
          <t>7</t>
        </is>
      </c>
      <c r="D528" t="n">
        <v>4</v>
      </c>
      <c r="E528" s="19" t="inlineStr">
        <is>
          <t>18</t>
        </is>
      </c>
      <c r="F528" t="n">
        <v>6</v>
      </c>
      <c r="G528" t="b">
        <v>0</v>
      </c>
      <c r="H528" t="inlineStr">
        <is>
          <t>UOM=ADT;WEIGHT_BASIS=PROCESSED_SOURCE_UNIT_WEIGHT;LINE_WEIGHT_KG=1.08;SOURCE_CFG=IA-ST-CFG-0099;SRC_REF=Row 205, Slot 8;SRC_FILE=Mamul Ambalaj Bileşen Listesi-30.07.2026(3).xlsx</t>
        </is>
      </c>
    </row>
    <row r="529">
      <c r="A529" s="19" t="inlineStr">
        <is>
          <t>528</t>
        </is>
      </c>
      <c r="B529" s="19" t="inlineStr">
        <is>
          <t>75</t>
        </is>
      </c>
      <c r="C529" s="19" t="inlineStr">
        <is>
          <t>54</t>
        </is>
      </c>
      <c r="D529" t="n">
        <v>4</v>
      </c>
      <c r="E529" s="19" t="inlineStr">
        <is>
          <t>18</t>
        </is>
      </c>
      <c r="F529" t="n">
        <v>7</v>
      </c>
      <c r="G529" t="b">
        <v>0</v>
      </c>
      <c r="H529" t="inlineStr">
        <is>
          <t>UOM=ADT;WEIGHT_BASIS=PROCESSED_SOURCE_UNIT_WEIGHT;LINE_WEIGHT_KG=0.12;SOURCE_CFG=IA-ST-CFG-0099;SRC_REF=Row 205, Slot 9;SRC_FILE=Mamul Ambalaj Bileşen Listesi-30.07.2026(3).xlsx</t>
        </is>
      </c>
    </row>
    <row r="530">
      <c r="A530" s="19" t="inlineStr">
        <is>
          <t>529</t>
        </is>
      </c>
      <c r="B530" s="19" t="inlineStr">
        <is>
          <t>76</t>
        </is>
      </c>
      <c r="C530" s="19" t="inlineStr">
        <is>
          <t>13</t>
        </is>
      </c>
      <c r="D530" t="n">
        <v>14</v>
      </c>
      <c r="E530" s="19" t="inlineStr">
        <is>
          <t>18</t>
        </is>
      </c>
      <c r="F530" t="n">
        <v>1</v>
      </c>
      <c r="G530" t="b">
        <v>0</v>
      </c>
      <c r="H530" t="inlineStr">
        <is>
          <t>UOM=M;WEIGHT_BASIS=PROCESSED_SOURCE_UNIT_WEIGHT;LINE_WEIGHT_KG=0.1736;SOURCE_CFG=IA-ST-CFG-0100;SRC_REF=Row 1153, Slot 1;SRC_FILE=Mamul Ambalaj Bileşen Listesi-30.07.2026(3).xlsx</t>
        </is>
      </c>
    </row>
    <row r="531">
      <c r="A531" s="19" t="inlineStr">
        <is>
          <t>530</t>
        </is>
      </c>
      <c r="B531" s="19" t="inlineStr">
        <is>
          <t>76</t>
        </is>
      </c>
      <c r="C531" s="19" t="inlineStr">
        <is>
          <t>5</t>
        </is>
      </c>
      <c r="D531" t="n">
        <v>1</v>
      </c>
      <c r="E531" s="19" t="inlineStr">
        <is>
          <t>18</t>
        </is>
      </c>
      <c r="F531" t="n">
        <v>2</v>
      </c>
      <c r="G531" t="b">
        <v>0</v>
      </c>
      <c r="H531" t="inlineStr">
        <is>
          <t>UOM=ADT;WEIGHT_BASIS=PROCESSED_SOURCE_UNIT_WEIGHT;LINE_WEIGHT_KG=26.0;SOURCE_CFG=IA-ST-CFG-0100;SRC_REF=Row 1153, Slot 3;SRC_FILE=Mamul Ambalaj Bileşen Listesi-30.07.2026(3).xlsx</t>
        </is>
      </c>
    </row>
    <row r="532">
      <c r="A532" s="19" t="inlineStr">
        <is>
          <t>531</t>
        </is>
      </c>
      <c r="B532" s="19" t="inlineStr">
        <is>
          <t>76</t>
        </is>
      </c>
      <c r="C532" s="19" t="inlineStr">
        <is>
          <t>8</t>
        </is>
      </c>
      <c r="D532" t="n">
        <v>20</v>
      </c>
      <c r="E532" s="19" t="inlineStr">
        <is>
          <t>18</t>
        </is>
      </c>
      <c r="F532" t="n">
        <v>3</v>
      </c>
      <c r="G532" t="b">
        <v>0</v>
      </c>
      <c r="H532" t="inlineStr">
        <is>
          <t>UOM=M;WEIGHT_BASIS=PROCESSED_SOURCE_UNIT_WEIGHT;LINE_WEIGHT_KG=0.3664;SOURCE_CFG=IA-ST-CFG-0100;SRC_REF=Row 1153, Slot 5;SRC_FILE=Mamul Ambalaj Bileşen Listesi-30.07.2026(3).xlsx</t>
        </is>
      </c>
    </row>
    <row r="533">
      <c r="A533" s="19" t="inlineStr">
        <is>
          <t>532</t>
        </is>
      </c>
      <c r="B533" s="19" t="inlineStr">
        <is>
          <t>76</t>
        </is>
      </c>
      <c r="C533" s="19" t="inlineStr">
        <is>
          <t>55</t>
        </is>
      </c>
      <c r="D533" t="n">
        <v>0.597</v>
      </c>
      <c r="E533" s="19" t="inlineStr">
        <is>
          <t>18</t>
        </is>
      </c>
      <c r="F533" t="n">
        <v>4</v>
      </c>
      <c r="G533" t="b">
        <v>0</v>
      </c>
      <c r="H533" t="inlineStr">
        <is>
          <t>UOM=KG;WEIGHT_BASIS=RECIPE_QUANTITY_IS_KG;LINE_WEIGHT_KG=0.597;SOURCE_CFG=IA-ST-CFG-0100;SRC_REF=Row 1153, Slot 6;SRC_FILE=Mamul Ambalaj Bileşen Listesi-30.07.2026(3).xlsx</t>
        </is>
      </c>
    </row>
    <row r="534">
      <c r="A534" s="19" t="inlineStr">
        <is>
          <t>533</t>
        </is>
      </c>
      <c r="B534" s="19" t="inlineStr">
        <is>
          <t>76</t>
        </is>
      </c>
      <c r="C534" s="19" t="inlineStr">
        <is>
          <t>7</t>
        </is>
      </c>
      <c r="D534" t="n">
        <v>4</v>
      </c>
      <c r="E534" s="19" t="inlineStr">
        <is>
          <t>18</t>
        </is>
      </c>
      <c r="F534" t="n">
        <v>5</v>
      </c>
      <c r="G534" t="b">
        <v>0</v>
      </c>
      <c r="H534" t="inlineStr">
        <is>
          <t>UOM=ADT;WEIGHT_BASIS=PROCESSED_SOURCE_UNIT_WEIGHT;LINE_WEIGHT_KG=1.08;SOURCE_CFG=IA-ST-CFG-0100;SRC_REF=Row 1153, Slot 8;SRC_FILE=Mamul Ambalaj Bileşen Listesi-30.07.2026(3).xlsx</t>
        </is>
      </c>
    </row>
    <row r="535">
      <c r="A535" s="19" t="inlineStr">
        <is>
          <t>534</t>
        </is>
      </c>
      <c r="B535" s="19" t="inlineStr">
        <is>
          <t>76</t>
        </is>
      </c>
      <c r="C535" s="19" t="inlineStr">
        <is>
          <t>25</t>
        </is>
      </c>
      <c r="D535" t="n">
        <v>2</v>
      </c>
      <c r="E535" s="19" t="inlineStr">
        <is>
          <t>18</t>
        </is>
      </c>
      <c r="F535" t="n">
        <v>6</v>
      </c>
      <c r="G535" t="b">
        <v>0</v>
      </c>
      <c r="H535" t="inlineStr">
        <is>
          <t>UOM=ADT;WEIGHT_BASIS=PROCESSED_SOURCE_UNIT_WEIGHT;LINE_WEIGHT_KG=0.2;SOURCE_CFG=IA-ST-CFG-0100;SRC_REF=Row 1153, Slot 9;SRC_FILE=Mamul Ambalaj Bileşen Listesi-30.07.2026(3).xlsx</t>
        </is>
      </c>
    </row>
    <row r="536">
      <c r="A536" s="19" t="inlineStr">
        <is>
          <t>535</t>
        </is>
      </c>
      <c r="B536" s="19" t="inlineStr">
        <is>
          <t>77</t>
        </is>
      </c>
      <c r="C536" s="19" t="inlineStr">
        <is>
          <t>13</t>
        </is>
      </c>
      <c r="D536" t="n">
        <v>14</v>
      </c>
      <c r="E536" s="19" t="inlineStr">
        <is>
          <t>18</t>
        </is>
      </c>
      <c r="F536" t="n">
        <v>1</v>
      </c>
      <c r="G536" t="b">
        <v>0</v>
      </c>
      <c r="H536" t="inlineStr">
        <is>
          <t>UOM=M;WEIGHT_BASIS=PROCESSED_SOURCE_UNIT_WEIGHT;LINE_WEIGHT_KG=0.1736;SOURCE_CFG=IA-ST-CFG-0101;SRC_REF=Row 579, Slot 1;SRC_FILE=Mamul Ambalaj Bileşen Listesi-30.07.2026(3).xlsx</t>
        </is>
      </c>
    </row>
    <row r="537">
      <c r="A537" s="19" t="inlineStr">
        <is>
          <t>536</t>
        </is>
      </c>
      <c r="B537" s="19" t="inlineStr">
        <is>
          <t>77</t>
        </is>
      </c>
      <c r="C537" s="19" t="inlineStr">
        <is>
          <t>5</t>
        </is>
      </c>
      <c r="D537" t="n">
        <v>1</v>
      </c>
      <c r="E537" s="19" t="inlineStr">
        <is>
          <t>18</t>
        </is>
      </c>
      <c r="F537" t="n">
        <v>2</v>
      </c>
      <c r="G537" t="b">
        <v>0</v>
      </c>
      <c r="H537" t="inlineStr">
        <is>
          <t>UOM=ADT;WEIGHT_BASIS=PROCESSED_SOURCE_UNIT_WEIGHT;LINE_WEIGHT_KG=26.0;SOURCE_CFG=IA-ST-CFG-0101;SRC_REF=Row 579, Slot 3;SRC_FILE=Mamul Ambalaj Bileşen Listesi-30.07.2026(3).xlsx</t>
        </is>
      </c>
    </row>
    <row r="538">
      <c r="A538" s="19" t="inlineStr">
        <is>
          <t>537</t>
        </is>
      </c>
      <c r="B538" s="19" t="inlineStr">
        <is>
          <t>77</t>
        </is>
      </c>
      <c r="C538" s="19" t="inlineStr">
        <is>
          <t>8</t>
        </is>
      </c>
      <c r="D538" t="n">
        <v>20</v>
      </c>
      <c r="E538" s="19" t="inlineStr">
        <is>
          <t>18</t>
        </is>
      </c>
      <c r="F538" t="n">
        <v>3</v>
      </c>
      <c r="G538" t="b">
        <v>0</v>
      </c>
      <c r="H538" t="inlineStr">
        <is>
          <t>UOM=M;WEIGHT_BASIS=PROCESSED_SOURCE_UNIT_WEIGHT;LINE_WEIGHT_KG=0.3664;SOURCE_CFG=IA-ST-CFG-0101;SRC_REF=Row 579, Slot 5;SRC_FILE=Mamul Ambalaj Bileşen Listesi-30.07.2026(3).xlsx</t>
        </is>
      </c>
    </row>
    <row r="539">
      <c r="A539" s="19" t="inlineStr">
        <is>
          <t>538</t>
        </is>
      </c>
      <c r="B539" s="19" t="inlineStr">
        <is>
          <t>77</t>
        </is>
      </c>
      <c r="C539" s="19" t="inlineStr">
        <is>
          <t>55</t>
        </is>
      </c>
      <c r="D539" t="n">
        <v>0.597</v>
      </c>
      <c r="E539" s="19" t="inlineStr">
        <is>
          <t>18</t>
        </is>
      </c>
      <c r="F539" t="n">
        <v>4</v>
      </c>
      <c r="G539" t="b">
        <v>0</v>
      </c>
      <c r="H539" t="inlineStr">
        <is>
          <t>UOM=KG;WEIGHT_BASIS=RECIPE_QUANTITY_IS_KG;LINE_WEIGHT_KG=0.597;SOURCE_CFG=IA-ST-CFG-0101;SRC_REF=Row 579, Slot 6;SRC_FILE=Mamul Ambalaj Bileşen Listesi-30.07.2026(3).xlsx</t>
        </is>
      </c>
    </row>
    <row r="540">
      <c r="A540" s="19" t="inlineStr">
        <is>
          <t>539</t>
        </is>
      </c>
      <c r="B540" s="19" t="inlineStr">
        <is>
          <t>77</t>
        </is>
      </c>
      <c r="C540" s="19" t="inlineStr">
        <is>
          <t>7</t>
        </is>
      </c>
      <c r="D540" t="n">
        <v>4</v>
      </c>
      <c r="E540" s="19" t="inlineStr">
        <is>
          <t>18</t>
        </is>
      </c>
      <c r="F540" t="n">
        <v>5</v>
      </c>
      <c r="G540" t="b">
        <v>0</v>
      </c>
      <c r="H540" t="inlineStr">
        <is>
          <t>UOM=ADT;WEIGHT_BASIS=PROCESSED_SOURCE_UNIT_WEIGHT;LINE_WEIGHT_KG=1.08;SOURCE_CFG=IA-ST-CFG-0101;SRC_REF=Row 579, Slot 8;SRC_FILE=Mamul Ambalaj Bileşen Listesi-30.07.2026(3).xlsx</t>
        </is>
      </c>
    </row>
    <row r="541">
      <c r="A541" s="19" t="inlineStr">
        <is>
          <t>540</t>
        </is>
      </c>
      <c r="B541" s="19" t="inlineStr">
        <is>
          <t>77</t>
        </is>
      </c>
      <c r="C541" s="19" t="inlineStr">
        <is>
          <t>25</t>
        </is>
      </c>
      <c r="D541" t="n">
        <v>4</v>
      </c>
      <c r="E541" s="19" t="inlineStr">
        <is>
          <t>18</t>
        </is>
      </c>
      <c r="F541" t="n">
        <v>6</v>
      </c>
      <c r="G541" t="b">
        <v>0</v>
      </c>
      <c r="H541" t="inlineStr">
        <is>
          <t>UOM=ADT;WEIGHT_BASIS=PROCESSED_SOURCE_UNIT_WEIGHT;LINE_WEIGHT_KG=0.4;SOURCE_CFG=IA-ST-CFG-0101;SRC_REF=Row 579, Slot 9;SRC_FILE=Mamul Ambalaj Bileşen Listesi-30.07.2026(3).xlsx</t>
        </is>
      </c>
    </row>
    <row r="542">
      <c r="A542" s="19" t="inlineStr">
        <is>
          <t>541</t>
        </is>
      </c>
      <c r="B542" s="19" t="inlineStr">
        <is>
          <t>78</t>
        </is>
      </c>
      <c r="C542" s="19" t="inlineStr">
        <is>
          <t>13</t>
        </is>
      </c>
      <c r="D542" t="n">
        <v>14</v>
      </c>
      <c r="E542" s="19" t="inlineStr">
        <is>
          <t>18</t>
        </is>
      </c>
      <c r="F542" t="n">
        <v>1</v>
      </c>
      <c r="G542" t="b">
        <v>0</v>
      </c>
      <c r="H542" t="inlineStr">
        <is>
          <t>UOM=M;WEIGHT_BASIS=PROCESSED_SOURCE_UNIT_WEIGHT;LINE_WEIGHT_KG=0.1736;SOURCE_CFG=IA-ST-CFG-0102;SRC_REF=Row 1399, Slot 1;SRC_FILE=Mamul Ambalaj Bileşen Listesi-30.07.2026(3).xlsx</t>
        </is>
      </c>
    </row>
    <row r="543">
      <c r="A543" s="19" t="inlineStr">
        <is>
          <t>542</t>
        </is>
      </c>
      <c r="B543" s="19" t="inlineStr">
        <is>
          <t>78</t>
        </is>
      </c>
      <c r="C543" s="19" t="inlineStr">
        <is>
          <t>5</t>
        </is>
      </c>
      <c r="D543" t="n">
        <v>1</v>
      </c>
      <c r="E543" s="19" t="inlineStr">
        <is>
          <t>18</t>
        </is>
      </c>
      <c r="F543" t="n">
        <v>2</v>
      </c>
      <c r="G543" t="b">
        <v>0</v>
      </c>
      <c r="H543" t="inlineStr">
        <is>
          <t>UOM=ADT;WEIGHT_BASIS=PROCESSED_SOURCE_UNIT_WEIGHT;LINE_WEIGHT_KG=26.0;SOURCE_CFG=IA-ST-CFG-0102;SRC_REF=Row 1399, Slot 3;SRC_FILE=Mamul Ambalaj Bileşen Listesi-30.07.2026(3).xlsx</t>
        </is>
      </c>
    </row>
    <row r="544">
      <c r="A544" s="19" t="inlineStr">
        <is>
          <t>543</t>
        </is>
      </c>
      <c r="B544" s="19" t="inlineStr">
        <is>
          <t>78</t>
        </is>
      </c>
      <c r="C544" s="19" t="inlineStr">
        <is>
          <t>8</t>
        </is>
      </c>
      <c r="D544" t="n">
        <v>20</v>
      </c>
      <c r="E544" s="19" t="inlineStr">
        <is>
          <t>18</t>
        </is>
      </c>
      <c r="F544" t="n">
        <v>3</v>
      </c>
      <c r="G544" t="b">
        <v>0</v>
      </c>
      <c r="H544" t="inlineStr">
        <is>
          <t>UOM=M;WEIGHT_BASIS=PROCESSED_SOURCE_UNIT_WEIGHT;LINE_WEIGHT_KG=0.3664;SOURCE_CFG=IA-ST-CFG-0102;SRC_REF=Row 1399, Slot 5;SRC_FILE=Mamul Ambalaj Bileşen Listesi-30.07.2026(3).xlsx</t>
        </is>
      </c>
    </row>
    <row r="545">
      <c r="A545" s="19" t="inlineStr">
        <is>
          <t>544</t>
        </is>
      </c>
      <c r="B545" s="19" t="inlineStr">
        <is>
          <t>78</t>
        </is>
      </c>
      <c r="C545" s="19" t="inlineStr">
        <is>
          <t>9</t>
        </is>
      </c>
      <c r="D545" t="n">
        <v>0.186</v>
      </c>
      <c r="E545" s="19" t="inlineStr">
        <is>
          <t>18</t>
        </is>
      </c>
      <c r="F545" t="n">
        <v>4</v>
      </c>
      <c r="G545" t="b">
        <v>0</v>
      </c>
      <c r="H545" t="inlineStr">
        <is>
          <t>UOM=KG;WEIGHT_BASIS=RECIPE_QUANTITY_IS_KG;LINE_WEIGHT_KG=0.186;SOURCE_CFG=IA-ST-CFG-0102;SRC_REF=Row 1399, Slot 6;SRC_FILE=Mamul Ambalaj Bileşen Listesi-30.07.2026(3).xlsx</t>
        </is>
      </c>
    </row>
    <row r="546">
      <c r="A546" s="19" t="inlineStr">
        <is>
          <t>545</t>
        </is>
      </c>
      <c r="B546" s="19" t="inlineStr">
        <is>
          <t>78</t>
        </is>
      </c>
      <c r="C546" s="19" t="inlineStr">
        <is>
          <t>7</t>
        </is>
      </c>
      <c r="D546" t="n">
        <v>5</v>
      </c>
      <c r="E546" s="19" t="inlineStr">
        <is>
          <t>18</t>
        </is>
      </c>
      <c r="F546" t="n">
        <v>5</v>
      </c>
      <c r="G546" t="b">
        <v>0</v>
      </c>
      <c r="H546" t="inlineStr">
        <is>
          <t>UOM=ADT;WEIGHT_BASIS=PROCESSED_SOURCE_UNIT_WEIGHT;LINE_WEIGHT_KG=1.35;SOURCE_CFG=IA-ST-CFG-0102;SRC_REF=Row 1399, Slot 8;SRC_FILE=Mamul Ambalaj Bileşen Listesi-30.07.2026(3).xlsx</t>
        </is>
      </c>
    </row>
    <row r="547">
      <c r="A547" s="19" t="inlineStr">
        <is>
          <t>546</t>
        </is>
      </c>
      <c r="B547" s="19" t="inlineStr">
        <is>
          <t>78</t>
        </is>
      </c>
      <c r="C547" s="19" t="inlineStr">
        <is>
          <t>25</t>
        </is>
      </c>
      <c r="D547" t="n">
        <v>4</v>
      </c>
      <c r="E547" s="19" t="inlineStr">
        <is>
          <t>18</t>
        </is>
      </c>
      <c r="F547" t="n">
        <v>6</v>
      </c>
      <c r="G547" t="b">
        <v>0</v>
      </c>
      <c r="H547" t="inlineStr">
        <is>
          <t>UOM=ADT;WEIGHT_BASIS=PROCESSED_SOURCE_UNIT_WEIGHT;LINE_WEIGHT_KG=0.4;SOURCE_CFG=IA-ST-CFG-0102;SRC_REF=Row 1399, Slot 9;SRC_FILE=Mamul Ambalaj Bileşen Listesi-30.07.2026(3).xlsx</t>
        </is>
      </c>
    </row>
    <row r="548">
      <c r="A548" s="19" t="inlineStr">
        <is>
          <t>547</t>
        </is>
      </c>
      <c r="B548" s="19" t="inlineStr">
        <is>
          <t>79</t>
        </is>
      </c>
      <c r="C548" s="19" t="inlineStr">
        <is>
          <t>6</t>
        </is>
      </c>
      <c r="D548" t="n">
        <v>1</v>
      </c>
      <c r="E548" s="19" t="inlineStr">
        <is>
          <t>18</t>
        </is>
      </c>
      <c r="F548" t="n">
        <v>1</v>
      </c>
      <c r="G548" t="b">
        <v>0</v>
      </c>
      <c r="H548" t="inlineStr">
        <is>
          <t>UOM=ADT;WEIGHT_BASIS=PROCESSED_SOURCE_UNIT_WEIGHT;LINE_WEIGHT_KG=26.0;SOURCE_CFG=IA-ST-CFG-0105;SRC_REF=Row 170, Slot 3;SRC_FILE=Mamul Ambalaj Bileşen Listesi-30.07.2026(3).xlsx</t>
        </is>
      </c>
    </row>
    <row r="549">
      <c r="A549" s="19" t="inlineStr">
        <is>
          <t>548</t>
        </is>
      </c>
      <c r="B549" s="19" t="inlineStr">
        <is>
          <t>79</t>
        </is>
      </c>
      <c r="C549" s="19" t="inlineStr">
        <is>
          <t>8</t>
        </is>
      </c>
      <c r="D549" t="n">
        <v>20</v>
      </c>
      <c r="E549" s="19" t="inlineStr">
        <is>
          <t>18</t>
        </is>
      </c>
      <c r="F549" t="n">
        <v>2</v>
      </c>
      <c r="G549" t="b">
        <v>0</v>
      </c>
      <c r="H549" t="inlineStr">
        <is>
          <t>UOM=M;WEIGHT_BASIS=PROCESSED_SOURCE_UNIT_WEIGHT;LINE_WEIGHT_KG=0.3664;SOURCE_CFG=IA-ST-CFG-0105;SRC_REF=Row 170, Slot 5;SRC_FILE=Mamul Ambalaj Bileşen Listesi-30.07.2026(3).xlsx</t>
        </is>
      </c>
    </row>
    <row r="550">
      <c r="A550" s="19" t="inlineStr">
        <is>
          <t>549</t>
        </is>
      </c>
      <c r="B550" s="19" t="inlineStr">
        <is>
          <t>79</t>
        </is>
      </c>
      <c r="C550" s="19" t="inlineStr">
        <is>
          <t>9</t>
        </is>
      </c>
      <c r="D550" t="n">
        <v>0.186</v>
      </c>
      <c r="E550" s="19" t="inlineStr">
        <is>
          <t>18</t>
        </is>
      </c>
      <c r="F550" t="n">
        <v>3</v>
      </c>
      <c r="G550" t="b">
        <v>0</v>
      </c>
      <c r="H550" t="inlineStr">
        <is>
          <t>UOM=KG;WEIGHT_BASIS=RECIPE_QUANTITY_IS_KG;LINE_WEIGHT_KG=0.186;SOURCE_CFG=IA-ST-CFG-0105;SRC_REF=Row 170, Slot 6;SRC_FILE=Mamul Ambalaj Bileşen Listesi-30.07.2026(3).xlsx</t>
        </is>
      </c>
    </row>
    <row r="551">
      <c r="A551" s="19" t="inlineStr">
        <is>
          <t>550</t>
        </is>
      </c>
      <c r="B551" s="19" t="inlineStr">
        <is>
          <t>79</t>
        </is>
      </c>
      <c r="C551" s="19" t="inlineStr">
        <is>
          <t>3</t>
        </is>
      </c>
      <c r="D551" t="n">
        <v>6</v>
      </c>
      <c r="E551" s="19" t="inlineStr">
        <is>
          <t>18</t>
        </is>
      </c>
      <c r="F551" t="n">
        <v>4</v>
      </c>
      <c r="G551" t="b">
        <v>0</v>
      </c>
      <c r="H551" t="inlineStr">
        <is>
          <t>UOM=ADT;WEIGHT_BASIS=PROCESSED_SOURCE_UNIT_WEIGHT;LINE_WEIGHT_KG=1.26;SOURCE_CFG=IA-ST-CFG-0105;SRC_REF=Row 170, Slot 8;SRC_FILE=Mamul Ambalaj Bileşen Listesi-30.07.2026(3).xlsx</t>
        </is>
      </c>
    </row>
    <row r="552">
      <c r="A552" s="19" t="inlineStr">
        <is>
          <t>551</t>
        </is>
      </c>
      <c r="B552" s="19" t="inlineStr">
        <is>
          <t>79</t>
        </is>
      </c>
      <c r="C552" s="19" t="inlineStr">
        <is>
          <t>30</t>
        </is>
      </c>
      <c r="D552" t="n">
        <v>5</v>
      </c>
      <c r="E552" s="19" t="inlineStr">
        <is>
          <t>18</t>
        </is>
      </c>
      <c r="F552" t="n">
        <v>5</v>
      </c>
      <c r="G552" t="b">
        <v>0</v>
      </c>
      <c r="H552" t="inlineStr">
        <is>
          <t>UOM=ADT;WEIGHT_BASIS=PROCESSED_SOURCE_UNIT_WEIGHT;LINE_WEIGHT_KG=1.0;SOURCE_CFG=IA-ST-CFG-0105;SRC_REF=Row 170, Slot 9;SRC_FILE=Mamul Ambalaj Bileşen Listesi-30.07.2026(3).xlsx</t>
        </is>
      </c>
    </row>
    <row r="553">
      <c r="A553" s="19" t="inlineStr">
        <is>
          <t>552</t>
        </is>
      </c>
      <c r="B553" s="19" t="inlineStr">
        <is>
          <t>79</t>
        </is>
      </c>
      <c r="C553" s="19" t="inlineStr">
        <is>
          <t>57</t>
        </is>
      </c>
      <c r="D553" t="n">
        <v>48</v>
      </c>
      <c r="E553" s="19" t="inlineStr">
        <is>
          <t>18</t>
        </is>
      </c>
      <c r="F553" t="n">
        <v>6</v>
      </c>
      <c r="G553" t="b">
        <v>0</v>
      </c>
      <c r="H553" t="inlineStr">
        <is>
          <t>UOM=ADT;WEIGHT_BASIS=PROCESSED_SOURCE_UNIT_WEIGHT;LINE_WEIGHT_KG=15.84;SOURCE_CFG=IA-ST-CFG-0105;SRC_REF=Row 170, Slot 10;SRC_FILE=Mamul Ambalaj Bileşen Listesi-30.07.2026(3).xlsx</t>
        </is>
      </c>
    </row>
    <row r="554">
      <c r="A554" s="19" t="inlineStr">
        <is>
          <t>553</t>
        </is>
      </c>
      <c r="B554" s="19" t="inlineStr">
        <is>
          <t>80</t>
        </is>
      </c>
      <c r="C554" s="19" t="inlineStr">
        <is>
          <t>12</t>
        </is>
      </c>
      <c r="D554" t="n">
        <v>48</v>
      </c>
      <c r="E554" s="19" t="inlineStr">
        <is>
          <t>18</t>
        </is>
      </c>
      <c r="F554" t="n">
        <v>1</v>
      </c>
      <c r="G554" t="b">
        <v>0</v>
      </c>
      <c r="H554" t="inlineStr">
        <is>
          <t>UOM=ADT;WEIGHT_BASIS=SOURCE_UNIT_WEIGHT;LINE_WEIGHT_KG=3.072;SOURCE_CFG=IA-ST-CFG-0107;SRC_REF=Row 995, Slot 1;SRC_FILE=Mamul Ambalaj Bileşen Listesi-30.07.2026(3).xlsx</t>
        </is>
      </c>
    </row>
    <row r="555">
      <c r="A555" s="19" t="inlineStr">
        <is>
          <t>554</t>
        </is>
      </c>
      <c r="B555" s="19" t="inlineStr">
        <is>
          <t>80</t>
        </is>
      </c>
      <c r="C555" s="19" t="inlineStr">
        <is>
          <t>13</t>
        </is>
      </c>
      <c r="D555" t="n">
        <v>7</v>
      </c>
      <c r="E555" s="19" t="inlineStr">
        <is>
          <t>18</t>
        </is>
      </c>
      <c r="F555" t="n">
        <v>2</v>
      </c>
      <c r="G555" t="b">
        <v>0</v>
      </c>
      <c r="H555" t="inlineStr">
        <is>
          <t>UOM=M;WEIGHT_BASIS=PROCESSED_SOURCE_UNIT_WEIGHT;LINE_WEIGHT_KG=0.0868;SOURCE_CFG=IA-ST-CFG-0107;SRC_REF=Row 995, Slot 2;SRC_FILE=Mamul Ambalaj Bileşen Listesi-30.07.2026(3).xlsx</t>
        </is>
      </c>
    </row>
    <row r="556">
      <c r="A556" s="19" t="inlineStr">
        <is>
          <t>555</t>
        </is>
      </c>
      <c r="B556" s="19" t="inlineStr">
        <is>
          <t>80</t>
        </is>
      </c>
      <c r="C556" s="19" t="inlineStr">
        <is>
          <t>6</t>
        </is>
      </c>
      <c r="D556" t="n">
        <v>1</v>
      </c>
      <c r="E556" s="19" t="inlineStr">
        <is>
          <t>18</t>
        </is>
      </c>
      <c r="F556" t="n">
        <v>3</v>
      </c>
      <c r="G556" t="b">
        <v>0</v>
      </c>
      <c r="H556" t="inlineStr">
        <is>
          <t>UOM=ADT;WEIGHT_BASIS=PROCESSED_SOURCE_UNIT_WEIGHT;LINE_WEIGHT_KG=26.0;SOURCE_CFG=IA-ST-CFG-0107;SRC_REF=Row 995, Slot 3;SRC_FILE=Mamul Ambalaj Bileşen Listesi-30.07.2026(3).xlsx</t>
        </is>
      </c>
    </row>
    <row r="557">
      <c r="A557" s="19" t="inlineStr">
        <is>
          <t>556</t>
        </is>
      </c>
      <c r="B557" s="19" t="inlineStr">
        <is>
          <t>80</t>
        </is>
      </c>
      <c r="C557" s="19" t="inlineStr">
        <is>
          <t>8</t>
        </is>
      </c>
      <c r="D557" t="n">
        <v>20</v>
      </c>
      <c r="E557" s="19" t="inlineStr">
        <is>
          <t>18</t>
        </is>
      </c>
      <c r="F557" t="n">
        <v>4</v>
      </c>
      <c r="G557" t="b">
        <v>0</v>
      </c>
      <c r="H557" t="inlineStr">
        <is>
          <t>UOM=M;WEIGHT_BASIS=PROCESSED_SOURCE_UNIT_WEIGHT;LINE_WEIGHT_KG=0.3664;SOURCE_CFG=IA-ST-CFG-0107;SRC_REF=Row 995, Slot 5;SRC_FILE=Mamul Ambalaj Bileşen Listesi-30.07.2026(3).xlsx</t>
        </is>
      </c>
    </row>
    <row r="558">
      <c r="A558" s="19" t="inlineStr">
        <is>
          <t>557</t>
        </is>
      </c>
      <c r="B558" s="19" t="inlineStr">
        <is>
          <t>80</t>
        </is>
      </c>
      <c r="C558" s="19" t="inlineStr">
        <is>
          <t>9</t>
        </is>
      </c>
      <c r="D558" t="n">
        <v>0.186</v>
      </c>
      <c r="E558" s="19" t="inlineStr">
        <is>
          <t>18</t>
        </is>
      </c>
      <c r="F558" t="n">
        <v>5</v>
      </c>
      <c r="G558" t="b">
        <v>0</v>
      </c>
      <c r="H558" t="inlineStr">
        <is>
          <t>UOM=KG;WEIGHT_BASIS=RECIPE_QUANTITY_IS_KG;LINE_WEIGHT_KG=0.186;SOURCE_CFG=IA-ST-CFG-0107;SRC_REF=Row 995, Slot 6;SRC_FILE=Mamul Ambalaj Bileşen Listesi-30.07.2026(3).xlsx</t>
        </is>
      </c>
    </row>
    <row r="559">
      <c r="A559" s="19" t="inlineStr">
        <is>
          <t>558</t>
        </is>
      </c>
      <c r="B559" s="19" t="inlineStr">
        <is>
          <t>80</t>
        </is>
      </c>
      <c r="C559" s="19" t="inlineStr">
        <is>
          <t>23</t>
        </is>
      </c>
      <c r="D559" t="n">
        <v>1.676</v>
      </c>
      <c r="E559" s="19" t="inlineStr">
        <is>
          <t>18</t>
        </is>
      </c>
      <c r="F559" t="n">
        <v>6</v>
      </c>
      <c r="G559" t="b">
        <v>0</v>
      </c>
      <c r="H559" t="inlineStr">
        <is>
          <t>UOM=KG;WEIGHT_BASIS=RECIPE_QUANTITY_IS_KG;LINE_WEIGHT_KG=1.676;SOURCE_CFG=IA-ST-CFG-0107;SRC_REF=Row 995, Slot 7;SRC_FILE=Mamul Ambalaj Bileşen Listesi-30.07.2026(3).xlsx</t>
        </is>
      </c>
    </row>
    <row r="560">
      <c r="A560" s="19" t="inlineStr">
        <is>
          <t>559</t>
        </is>
      </c>
      <c r="B560" s="19" t="inlineStr">
        <is>
          <t>80</t>
        </is>
      </c>
      <c r="C560" s="19" t="inlineStr">
        <is>
          <t>25</t>
        </is>
      </c>
      <c r="D560" t="n">
        <v>2</v>
      </c>
      <c r="E560" s="19" t="inlineStr">
        <is>
          <t>18</t>
        </is>
      </c>
      <c r="F560" t="n">
        <v>7</v>
      </c>
      <c r="G560" t="b">
        <v>0</v>
      </c>
      <c r="H560" t="inlineStr">
        <is>
          <t>UOM=ADT;WEIGHT_BASIS=PROCESSED_SOURCE_UNIT_WEIGHT;LINE_WEIGHT_KG=0.2;SOURCE_CFG=IA-ST-CFG-0107;SRC_REF=Row 995, Slot 8;SRC_FILE=Mamul Ambalaj Bileşen Listesi-30.07.2026(3).xlsx</t>
        </is>
      </c>
    </row>
    <row r="561">
      <c r="A561" s="19" t="inlineStr">
        <is>
          <t>560</t>
        </is>
      </c>
      <c r="B561" s="19" t="inlineStr">
        <is>
          <t>80</t>
        </is>
      </c>
      <c r="C561" s="19" t="inlineStr">
        <is>
          <t>30</t>
        </is>
      </c>
      <c r="D561" t="n">
        <v>4</v>
      </c>
      <c r="E561" s="19" t="inlineStr">
        <is>
          <t>18</t>
        </is>
      </c>
      <c r="F561" t="n">
        <v>8</v>
      </c>
      <c r="G561" t="b">
        <v>0</v>
      </c>
      <c r="H561" t="inlineStr">
        <is>
          <t>UOM=ADT;WEIGHT_BASIS=PROCESSED_SOURCE_UNIT_WEIGHT;LINE_WEIGHT_KG=0.8;SOURCE_CFG=IA-ST-CFG-0107;SRC_REF=Row 995, Slot 9;SRC_FILE=Mamul Ambalaj Bileşen Listesi-30.07.2026(3).xlsx</t>
        </is>
      </c>
    </row>
    <row r="562">
      <c r="A562" s="19" t="inlineStr">
        <is>
          <t>561</t>
        </is>
      </c>
      <c r="B562" s="19" t="inlineStr">
        <is>
          <t>81</t>
        </is>
      </c>
      <c r="C562" s="19" t="inlineStr">
        <is>
          <t>13</t>
        </is>
      </c>
      <c r="D562" t="n">
        <v>14</v>
      </c>
      <c r="E562" s="19" t="inlineStr">
        <is>
          <t>18</t>
        </is>
      </c>
      <c r="F562" t="n">
        <v>1</v>
      </c>
      <c r="G562" t="b">
        <v>0</v>
      </c>
      <c r="H562" t="inlineStr">
        <is>
          <t>UOM=M;WEIGHT_BASIS=PROCESSED_SOURCE_UNIT_WEIGHT;LINE_WEIGHT_KG=0.1736;SOURCE_CFG=IA-ST-CFG-0109;SRC_REF=Row 733, Slot 1;SRC_FILE=Mamul Ambalaj Bileşen Listesi-30.07.2026(3).xlsx</t>
        </is>
      </c>
    </row>
    <row r="563">
      <c r="A563" s="19" t="inlineStr">
        <is>
          <t>562</t>
        </is>
      </c>
      <c r="B563" s="19" t="inlineStr">
        <is>
          <t>81</t>
        </is>
      </c>
      <c r="C563" s="19" t="inlineStr">
        <is>
          <t>24</t>
        </is>
      </c>
      <c r="D563" t="n">
        <v>24</v>
      </c>
      <c r="E563" s="19" t="inlineStr">
        <is>
          <t>18</t>
        </is>
      </c>
      <c r="F563" t="n">
        <v>2</v>
      </c>
      <c r="G563" t="b">
        <v>0</v>
      </c>
      <c r="H563" t="inlineStr">
        <is>
          <t>UOM=ADT;WEIGHT_BASIS=PROCESSED_SOURCE_UNIT_WEIGHT;LINE_WEIGHT_KG=1.248;SOURCE_CFG=IA-ST-CFG-0109;SRC_REF=Row 733, Slot 2;SRC_FILE=Mamul Ambalaj Bileşen Listesi-30.07.2026(3).xlsx</t>
        </is>
      </c>
    </row>
    <row r="564">
      <c r="A564" s="19" t="inlineStr">
        <is>
          <t>563</t>
        </is>
      </c>
      <c r="B564" s="19" t="inlineStr">
        <is>
          <t>81</t>
        </is>
      </c>
      <c r="C564" s="19" t="inlineStr">
        <is>
          <t>6</t>
        </is>
      </c>
      <c r="D564" t="n">
        <v>1</v>
      </c>
      <c r="E564" s="19" t="inlineStr">
        <is>
          <t>18</t>
        </is>
      </c>
      <c r="F564" t="n">
        <v>3</v>
      </c>
      <c r="G564" t="b">
        <v>0</v>
      </c>
      <c r="H564" t="inlineStr">
        <is>
          <t>UOM=ADT;WEIGHT_BASIS=PROCESSED_SOURCE_UNIT_WEIGHT;LINE_WEIGHT_KG=26.0;SOURCE_CFG=IA-ST-CFG-0109;SRC_REF=Row 733, Slot 3;SRC_FILE=Mamul Ambalaj Bileşen Listesi-30.07.2026(3).xlsx</t>
        </is>
      </c>
    </row>
    <row r="565">
      <c r="A565" s="19" t="inlineStr">
        <is>
          <t>564</t>
        </is>
      </c>
      <c r="B565" s="19" t="inlineStr">
        <is>
          <t>81</t>
        </is>
      </c>
      <c r="C565" s="19" t="inlineStr">
        <is>
          <t>8</t>
        </is>
      </c>
      <c r="D565" t="n">
        <v>20</v>
      </c>
      <c r="E565" s="19" t="inlineStr">
        <is>
          <t>18</t>
        </is>
      </c>
      <c r="F565" t="n">
        <v>4</v>
      </c>
      <c r="G565" t="b">
        <v>0</v>
      </c>
      <c r="H565" t="inlineStr">
        <is>
          <t>UOM=M;WEIGHT_BASIS=PROCESSED_SOURCE_UNIT_WEIGHT;LINE_WEIGHT_KG=0.3664;SOURCE_CFG=IA-ST-CFG-0109;SRC_REF=Row 733, Slot 5;SRC_FILE=Mamul Ambalaj Bileşen Listesi-30.07.2026(3).xlsx</t>
        </is>
      </c>
    </row>
    <row r="566">
      <c r="A566" s="19" t="inlineStr">
        <is>
          <t>565</t>
        </is>
      </c>
      <c r="B566" s="19" t="inlineStr">
        <is>
          <t>81</t>
        </is>
      </c>
      <c r="C566" s="19" t="inlineStr">
        <is>
          <t>9</t>
        </is>
      </c>
      <c r="D566" t="n">
        <v>0.186</v>
      </c>
      <c r="E566" s="19" t="inlineStr">
        <is>
          <t>18</t>
        </is>
      </c>
      <c r="F566" t="n">
        <v>5</v>
      </c>
      <c r="G566" t="b">
        <v>0</v>
      </c>
      <c r="H566" t="inlineStr">
        <is>
          <t>UOM=KG;WEIGHT_BASIS=RECIPE_QUANTITY_IS_KG;LINE_WEIGHT_KG=0.186;SOURCE_CFG=IA-ST-CFG-0109;SRC_REF=Row 733, Slot 6;SRC_FILE=Mamul Ambalaj Bileşen Listesi-30.07.2026(3).xlsx</t>
        </is>
      </c>
    </row>
    <row r="567">
      <c r="A567" s="19" t="inlineStr">
        <is>
          <t>566</t>
        </is>
      </c>
      <c r="B567" s="19" t="inlineStr">
        <is>
          <t>81</t>
        </is>
      </c>
      <c r="C567" s="19" t="inlineStr">
        <is>
          <t>25</t>
        </is>
      </c>
      <c r="D567" t="n">
        <v>4</v>
      </c>
      <c r="E567" s="19" t="inlineStr">
        <is>
          <t>18</t>
        </is>
      </c>
      <c r="F567" t="n">
        <v>6</v>
      </c>
      <c r="G567" t="b">
        <v>0</v>
      </c>
      <c r="H567" t="inlineStr">
        <is>
          <t>UOM=ADT;WEIGHT_BASIS=PROCESSED_SOURCE_UNIT_WEIGHT;LINE_WEIGHT_KG=0.4;SOURCE_CFG=IA-ST-CFG-0109;SRC_REF=Row 733, Slot 8;SRC_FILE=Mamul Ambalaj Bileşen Listesi-30.07.2026(3).xlsx</t>
        </is>
      </c>
    </row>
    <row r="568">
      <c r="A568" s="19" t="inlineStr">
        <is>
          <t>567</t>
        </is>
      </c>
      <c r="B568" s="19" t="inlineStr">
        <is>
          <t>81</t>
        </is>
      </c>
      <c r="C568" s="19" t="inlineStr">
        <is>
          <t>30</t>
        </is>
      </c>
      <c r="D568" t="n">
        <v>4</v>
      </c>
      <c r="E568" s="19" t="inlineStr">
        <is>
          <t>18</t>
        </is>
      </c>
      <c r="F568" t="n">
        <v>7</v>
      </c>
      <c r="G568" t="b">
        <v>0</v>
      </c>
      <c r="H568" t="inlineStr">
        <is>
          <t>UOM=ADT;WEIGHT_BASIS=PROCESSED_SOURCE_UNIT_WEIGHT;LINE_WEIGHT_KG=0.8;SOURCE_CFG=IA-ST-CFG-0109;SRC_REF=Row 733, Slot 9;SRC_FILE=Mamul Ambalaj Bileşen Listesi-30.07.2026(3).xlsx</t>
        </is>
      </c>
    </row>
    <row r="569">
      <c r="A569" s="19" t="inlineStr">
        <is>
          <t>568</t>
        </is>
      </c>
      <c r="B569" s="19" t="inlineStr">
        <is>
          <t>82</t>
        </is>
      </c>
      <c r="C569" s="19" t="inlineStr">
        <is>
          <t>13</t>
        </is>
      </c>
      <c r="D569" t="n">
        <v>14</v>
      </c>
      <c r="E569" s="19" t="inlineStr">
        <is>
          <t>18</t>
        </is>
      </c>
      <c r="F569" t="n">
        <v>1</v>
      </c>
      <c r="G569" t="b">
        <v>0</v>
      </c>
      <c r="H569" t="inlineStr">
        <is>
          <t>UOM=M;WEIGHT_BASIS=PROCESSED_SOURCE_UNIT_WEIGHT;LINE_WEIGHT_KG=0.1736;SOURCE_CFG=IA-ST-CFG-0110;SRC_REF=Row 1697, Slot 1;SRC_FILE=Mamul Ambalaj Bileşen Listesi-30.07.2026(3).xlsx</t>
        </is>
      </c>
    </row>
    <row r="570">
      <c r="A570" s="19" t="inlineStr">
        <is>
          <t>569</t>
        </is>
      </c>
      <c r="B570" s="19" t="inlineStr">
        <is>
          <t>82</t>
        </is>
      </c>
      <c r="C570" s="19" t="inlineStr">
        <is>
          <t>6</t>
        </is>
      </c>
      <c r="D570" t="n">
        <v>1</v>
      </c>
      <c r="E570" s="19" t="inlineStr">
        <is>
          <t>18</t>
        </is>
      </c>
      <c r="F570" t="n">
        <v>2</v>
      </c>
      <c r="G570" t="b">
        <v>0</v>
      </c>
      <c r="H570" t="inlineStr">
        <is>
          <t>UOM=ADT;WEIGHT_BASIS=PROCESSED_SOURCE_UNIT_WEIGHT;LINE_WEIGHT_KG=26.0;SOURCE_CFG=IA-ST-CFG-0110;SRC_REF=Row 1697, Slot 3;SRC_FILE=Mamul Ambalaj Bileşen Listesi-30.07.2026(3).xlsx</t>
        </is>
      </c>
    </row>
    <row r="571">
      <c r="A571" s="19" t="inlineStr">
        <is>
          <t>570</t>
        </is>
      </c>
      <c r="B571" s="19" t="inlineStr">
        <is>
          <t>82</t>
        </is>
      </c>
      <c r="C571" s="19" t="inlineStr">
        <is>
          <t>8</t>
        </is>
      </c>
      <c r="D571" t="n">
        <v>20</v>
      </c>
      <c r="E571" s="19" t="inlineStr">
        <is>
          <t>18</t>
        </is>
      </c>
      <c r="F571" t="n">
        <v>3</v>
      </c>
      <c r="G571" t="b">
        <v>0</v>
      </c>
      <c r="H571" t="inlineStr">
        <is>
          <t>UOM=M;WEIGHT_BASIS=PROCESSED_SOURCE_UNIT_WEIGHT;LINE_WEIGHT_KG=0.3664;SOURCE_CFG=IA-ST-CFG-0110;SRC_REF=Row 1697, Slot 5;SRC_FILE=Mamul Ambalaj Bileşen Listesi-30.07.2026(3).xlsx</t>
        </is>
      </c>
    </row>
    <row r="572">
      <c r="A572" s="19" t="inlineStr">
        <is>
          <t>571</t>
        </is>
      </c>
      <c r="B572" s="19" t="inlineStr">
        <is>
          <t>82</t>
        </is>
      </c>
      <c r="C572" s="19" t="inlineStr">
        <is>
          <t>9</t>
        </is>
      </c>
      <c r="D572" t="n">
        <v>0.186</v>
      </c>
      <c r="E572" s="19" t="inlineStr">
        <is>
          <t>18</t>
        </is>
      </c>
      <c r="F572" t="n">
        <v>4</v>
      </c>
      <c r="G572" t="b">
        <v>0</v>
      </c>
      <c r="H572" t="inlineStr">
        <is>
          <t>UOM=KG;WEIGHT_BASIS=RECIPE_QUANTITY_IS_KG;LINE_WEIGHT_KG=0.186;SOURCE_CFG=IA-ST-CFG-0110;SRC_REF=Row 1697, Slot 6;SRC_FILE=Mamul Ambalaj Bileşen Listesi-30.07.2026(3).xlsx</t>
        </is>
      </c>
    </row>
    <row r="573">
      <c r="A573" s="19" t="inlineStr">
        <is>
          <t>572</t>
        </is>
      </c>
      <c r="B573" s="19" t="inlineStr">
        <is>
          <t>82</t>
        </is>
      </c>
      <c r="C573" s="19" t="inlineStr">
        <is>
          <t>29</t>
        </is>
      </c>
      <c r="D573" t="n">
        <v>1.92</v>
      </c>
      <c r="E573" s="19" t="inlineStr">
        <is>
          <t>18</t>
        </is>
      </c>
      <c r="F573" t="n">
        <v>5</v>
      </c>
      <c r="G573" t="b">
        <v>0</v>
      </c>
      <c r="H573" t="inlineStr">
        <is>
          <t>UOM=KG;WEIGHT_BASIS=RECIPE_QUANTITY_IS_KG;LINE_WEIGHT_KG=1.92;SOURCE_CFG=IA-ST-CFG-0110;SRC_REF=Row 1697, Slot 7;SRC_FILE=Mamul Ambalaj Bileşen Listesi-30.07.2026(3).xlsx</t>
        </is>
      </c>
    </row>
    <row r="574">
      <c r="A574" s="19" t="inlineStr">
        <is>
          <t>573</t>
        </is>
      </c>
      <c r="B574" s="19" t="inlineStr">
        <is>
          <t>82</t>
        </is>
      </c>
      <c r="C574" s="19" t="inlineStr">
        <is>
          <t>25</t>
        </is>
      </c>
      <c r="D574" t="n">
        <v>4</v>
      </c>
      <c r="E574" s="19" t="inlineStr">
        <is>
          <t>18</t>
        </is>
      </c>
      <c r="F574" t="n">
        <v>6</v>
      </c>
      <c r="G574" t="b">
        <v>0</v>
      </c>
      <c r="H574" t="inlineStr">
        <is>
          <t>UOM=ADT;WEIGHT_BASIS=PROCESSED_SOURCE_UNIT_WEIGHT;LINE_WEIGHT_KG=0.4;SOURCE_CFG=IA-ST-CFG-0110;SRC_REF=Row 1697, Slot 8;SRC_FILE=Mamul Ambalaj Bileşen Listesi-30.07.2026(3).xlsx</t>
        </is>
      </c>
    </row>
    <row r="575">
      <c r="A575" s="19" t="inlineStr">
        <is>
          <t>574</t>
        </is>
      </c>
      <c r="B575" s="19" t="inlineStr">
        <is>
          <t>82</t>
        </is>
      </c>
      <c r="C575" s="19" t="inlineStr">
        <is>
          <t>30</t>
        </is>
      </c>
      <c r="D575" t="n">
        <v>5</v>
      </c>
      <c r="E575" s="19" t="inlineStr">
        <is>
          <t>18</t>
        </is>
      </c>
      <c r="F575" t="n">
        <v>7</v>
      </c>
      <c r="G575" t="b">
        <v>0</v>
      </c>
      <c r="H575" t="inlineStr">
        <is>
          <t>UOM=ADT;WEIGHT_BASIS=PROCESSED_SOURCE_UNIT_WEIGHT;LINE_WEIGHT_KG=1.0;SOURCE_CFG=IA-ST-CFG-0110;SRC_REF=Row 1697, Slot 9;SRC_FILE=Mamul Ambalaj Bileşen Listesi-30.07.2026(3).xlsx</t>
        </is>
      </c>
    </row>
    <row r="576">
      <c r="A576" s="19" t="inlineStr">
        <is>
          <t>575</t>
        </is>
      </c>
      <c r="B576" s="19" t="inlineStr">
        <is>
          <t>83</t>
        </is>
      </c>
      <c r="C576" s="19" t="inlineStr">
        <is>
          <t>13</t>
        </is>
      </c>
      <c r="D576" t="n">
        <v>14</v>
      </c>
      <c r="E576" s="19" t="inlineStr">
        <is>
          <t>18</t>
        </is>
      </c>
      <c r="F576" t="n">
        <v>1</v>
      </c>
      <c r="G576" t="b">
        <v>0</v>
      </c>
      <c r="H576" t="inlineStr">
        <is>
          <t>UOM=M;WEIGHT_BASIS=PROCESSED_SOURCE_UNIT_WEIGHT;LINE_WEIGHT_KG=0.1736;SOURCE_CFG=IA-ST-CFG-0111;SRC_REF=Row 892, Slot 1;SRC_FILE=Mamul Ambalaj Bileşen Listesi-30.07.2026(3).xlsx</t>
        </is>
      </c>
    </row>
    <row r="577">
      <c r="A577" s="19" t="inlineStr">
        <is>
          <t>576</t>
        </is>
      </c>
      <c r="B577" s="19" t="inlineStr">
        <is>
          <t>83</t>
        </is>
      </c>
      <c r="C577" s="19" t="inlineStr">
        <is>
          <t>6</t>
        </is>
      </c>
      <c r="D577" t="n">
        <v>1</v>
      </c>
      <c r="E577" s="19" t="inlineStr">
        <is>
          <t>18</t>
        </is>
      </c>
      <c r="F577" t="n">
        <v>2</v>
      </c>
      <c r="G577" t="b">
        <v>0</v>
      </c>
      <c r="H577" t="inlineStr">
        <is>
          <t>UOM=ADT;WEIGHT_BASIS=PROCESSED_SOURCE_UNIT_WEIGHT;LINE_WEIGHT_KG=26.0;SOURCE_CFG=IA-ST-CFG-0111;SRC_REF=Row 892, Slot 3;SRC_FILE=Mamul Ambalaj Bileşen Listesi-30.07.2026(3).xlsx</t>
        </is>
      </c>
    </row>
    <row r="578">
      <c r="A578" s="19" t="inlineStr">
        <is>
          <t>577</t>
        </is>
      </c>
      <c r="B578" s="19" t="inlineStr">
        <is>
          <t>83</t>
        </is>
      </c>
      <c r="C578" s="19" t="inlineStr">
        <is>
          <t>8</t>
        </is>
      </c>
      <c r="D578" t="n">
        <v>20</v>
      </c>
      <c r="E578" s="19" t="inlineStr">
        <is>
          <t>18</t>
        </is>
      </c>
      <c r="F578" t="n">
        <v>3</v>
      </c>
      <c r="G578" t="b">
        <v>0</v>
      </c>
      <c r="H578" t="inlineStr">
        <is>
          <t>UOM=M;WEIGHT_BASIS=PROCESSED_SOURCE_UNIT_WEIGHT;LINE_WEIGHT_KG=0.3664;SOURCE_CFG=IA-ST-CFG-0111;SRC_REF=Row 892, Slot 5;SRC_FILE=Mamul Ambalaj Bileşen Listesi-30.07.2026(3).xlsx</t>
        </is>
      </c>
    </row>
    <row r="579">
      <c r="A579" s="19" t="inlineStr">
        <is>
          <t>578</t>
        </is>
      </c>
      <c r="B579" s="19" t="inlineStr">
        <is>
          <t>83</t>
        </is>
      </c>
      <c r="C579" s="19" t="inlineStr">
        <is>
          <t>9</t>
        </is>
      </c>
      <c r="D579" t="n">
        <v>0.186</v>
      </c>
      <c r="E579" s="19" t="inlineStr">
        <is>
          <t>18</t>
        </is>
      </c>
      <c r="F579" t="n">
        <v>4</v>
      </c>
      <c r="G579" t="b">
        <v>0</v>
      </c>
      <c r="H579" t="inlineStr">
        <is>
          <t>UOM=KG;WEIGHT_BASIS=RECIPE_QUANTITY_IS_KG;LINE_WEIGHT_KG=0.186;SOURCE_CFG=IA-ST-CFG-0111;SRC_REF=Row 892, Slot 6;SRC_FILE=Mamul Ambalaj Bileşen Listesi-30.07.2026(3).xlsx</t>
        </is>
      </c>
    </row>
    <row r="580">
      <c r="A580" s="19" t="inlineStr">
        <is>
          <t>579</t>
        </is>
      </c>
      <c r="B580" s="19" t="inlineStr">
        <is>
          <t>83</t>
        </is>
      </c>
      <c r="C580" s="19" t="inlineStr">
        <is>
          <t>25</t>
        </is>
      </c>
      <c r="D580" t="n">
        <v>4</v>
      </c>
      <c r="E580" s="19" t="inlineStr">
        <is>
          <t>18</t>
        </is>
      </c>
      <c r="F580" t="n">
        <v>5</v>
      </c>
      <c r="G580" t="b">
        <v>0</v>
      </c>
      <c r="H580" t="inlineStr">
        <is>
          <t>UOM=ADT;WEIGHT_BASIS=PROCESSED_SOURCE_UNIT_WEIGHT;LINE_WEIGHT_KG=0.4;SOURCE_CFG=IA-ST-CFG-0111;SRC_REF=Row 892, Slot 8;SRC_FILE=Mamul Ambalaj Bileşen Listesi-30.07.2026(3).xlsx</t>
        </is>
      </c>
    </row>
    <row r="581">
      <c r="A581" s="19" t="inlineStr">
        <is>
          <t>580</t>
        </is>
      </c>
      <c r="B581" s="19" t="inlineStr">
        <is>
          <t>83</t>
        </is>
      </c>
      <c r="C581" s="19" t="inlineStr">
        <is>
          <t>30</t>
        </is>
      </c>
      <c r="D581" t="n">
        <v>1</v>
      </c>
      <c r="E581" s="19" t="inlineStr">
        <is>
          <t>18</t>
        </is>
      </c>
      <c r="F581" t="n">
        <v>6</v>
      </c>
      <c r="G581" t="b">
        <v>0</v>
      </c>
      <c r="H581" t="inlineStr">
        <is>
          <t>UOM=ADT;WEIGHT_BASIS=PROCESSED_SOURCE_UNIT_WEIGHT;LINE_WEIGHT_KG=0.2;SOURCE_CFG=IA-ST-CFG-0111;SRC_REF=Row 892, Slot 9;SRC_FILE=Mamul Ambalaj Bileşen Listesi-30.07.2026(3).xlsx</t>
        </is>
      </c>
    </row>
    <row r="582">
      <c r="A582" s="19" t="inlineStr">
        <is>
          <t>581</t>
        </is>
      </c>
      <c r="B582" s="19" t="inlineStr">
        <is>
          <t>83</t>
        </is>
      </c>
      <c r="C582" s="19" t="inlineStr">
        <is>
          <t>56</t>
        </is>
      </c>
      <c r="D582" t="n">
        <v>3</v>
      </c>
      <c r="E582" s="19" t="inlineStr">
        <is>
          <t>18</t>
        </is>
      </c>
      <c r="F582" t="n">
        <v>7</v>
      </c>
      <c r="G582" t="b">
        <v>0</v>
      </c>
      <c r="H582" t="inlineStr">
        <is>
          <t>UOM=ADT;WEIGHT_BASIS=PROCESSED_SOURCE_UNIT_WEIGHT;LINE_WEIGHT_KG=3.0;SOURCE_CFG=IA-ST-CFG-0111;SRC_REF=Row 892, Slot 10;SRC_FILE=Mamul Ambalaj Bileşen Listesi-30.07.2026(3).xlsx</t>
        </is>
      </c>
    </row>
    <row r="583">
      <c r="A583" s="19" t="inlineStr">
        <is>
          <t>582</t>
        </is>
      </c>
      <c r="B583" s="19" t="inlineStr">
        <is>
          <t>84</t>
        </is>
      </c>
      <c r="C583" s="19" t="inlineStr">
        <is>
          <t>13</t>
        </is>
      </c>
      <c r="D583" t="n">
        <v>14</v>
      </c>
      <c r="E583" s="19" t="inlineStr">
        <is>
          <t>18</t>
        </is>
      </c>
      <c r="F583" t="n">
        <v>1</v>
      </c>
      <c r="G583" t="b">
        <v>0</v>
      </c>
      <c r="H583" t="inlineStr">
        <is>
          <t>UOM=M;WEIGHT_BASIS=PROCESSED_SOURCE_UNIT_WEIGHT;LINE_WEIGHT_KG=0.1736;SOURCE_CFG=IA-ST-CFG-0112;SRC_REF=Row 1057, Slot 1;SRC_FILE=Mamul Ambalaj Bileşen Listesi-30.07.2026(3).xlsx</t>
        </is>
      </c>
    </row>
    <row r="584">
      <c r="A584" s="19" t="inlineStr">
        <is>
          <t>583</t>
        </is>
      </c>
      <c r="B584" s="19" t="inlineStr">
        <is>
          <t>84</t>
        </is>
      </c>
      <c r="C584" s="19" t="inlineStr">
        <is>
          <t>65</t>
        </is>
      </c>
      <c r="D584" t="n">
        <v>3</v>
      </c>
      <c r="E584" s="19" t="inlineStr">
        <is>
          <t>18</t>
        </is>
      </c>
      <c r="F584" t="n">
        <v>2</v>
      </c>
      <c r="G584" t="b">
        <v>0</v>
      </c>
      <c r="H584" t="inlineStr">
        <is>
          <t>UOM=ADT;WEIGHT_BASIS=PROCESSED_SOURCE_UNIT_WEIGHT;LINE_WEIGHT_KG=0.18;SOURCE_CFG=IA-ST-CFG-0112;SRC_REF=Row 1057, Slot 2;SRC_FILE=Mamul Ambalaj Bileşen Listesi-30.07.2026(3).xlsx</t>
        </is>
      </c>
    </row>
    <row r="585">
      <c r="A585" s="19" t="inlineStr">
        <is>
          <t>584</t>
        </is>
      </c>
      <c r="B585" s="19" t="inlineStr">
        <is>
          <t>84</t>
        </is>
      </c>
      <c r="C585" s="19" t="inlineStr">
        <is>
          <t>6</t>
        </is>
      </c>
      <c r="D585" t="n">
        <v>1</v>
      </c>
      <c r="E585" s="19" t="inlineStr">
        <is>
          <t>18</t>
        </is>
      </c>
      <c r="F585" t="n">
        <v>3</v>
      </c>
      <c r="G585" t="b">
        <v>0</v>
      </c>
      <c r="H585" t="inlineStr">
        <is>
          <t>UOM=ADT;WEIGHT_BASIS=PROCESSED_SOURCE_UNIT_WEIGHT;LINE_WEIGHT_KG=26.0;SOURCE_CFG=IA-ST-CFG-0112;SRC_REF=Row 1057, Slot 3;SRC_FILE=Mamul Ambalaj Bileşen Listesi-30.07.2026(3).xlsx</t>
        </is>
      </c>
    </row>
    <row r="586">
      <c r="A586" s="19" t="inlineStr">
        <is>
          <t>585</t>
        </is>
      </c>
      <c r="B586" s="19" t="inlineStr">
        <is>
          <t>84</t>
        </is>
      </c>
      <c r="C586" s="19" t="inlineStr">
        <is>
          <t>8</t>
        </is>
      </c>
      <c r="D586" t="n">
        <v>20</v>
      </c>
      <c r="E586" s="19" t="inlineStr">
        <is>
          <t>18</t>
        </is>
      </c>
      <c r="F586" t="n">
        <v>4</v>
      </c>
      <c r="G586" t="b">
        <v>0</v>
      </c>
      <c r="H586" t="inlineStr">
        <is>
          <t>UOM=M;WEIGHT_BASIS=PROCESSED_SOURCE_UNIT_WEIGHT;LINE_WEIGHT_KG=0.3664;SOURCE_CFG=IA-ST-CFG-0112;SRC_REF=Row 1057, Slot 5;SRC_FILE=Mamul Ambalaj Bileşen Listesi-30.07.2026(3).xlsx</t>
        </is>
      </c>
    </row>
    <row r="587">
      <c r="A587" s="19" t="inlineStr">
        <is>
          <t>586</t>
        </is>
      </c>
      <c r="B587" s="19" t="inlineStr">
        <is>
          <t>84</t>
        </is>
      </c>
      <c r="C587" s="19" t="inlineStr">
        <is>
          <t>9</t>
        </is>
      </c>
      <c r="D587" t="n">
        <v>0.186</v>
      </c>
      <c r="E587" s="19" t="inlineStr">
        <is>
          <t>18</t>
        </is>
      </c>
      <c r="F587" t="n">
        <v>5</v>
      </c>
      <c r="G587" t="b">
        <v>0</v>
      </c>
      <c r="H587" t="inlineStr">
        <is>
          <t>UOM=KG;WEIGHT_BASIS=RECIPE_QUANTITY_IS_KG;LINE_WEIGHT_KG=0.186;SOURCE_CFG=IA-ST-CFG-0112;SRC_REF=Row 1057, Slot 6;SRC_FILE=Mamul Ambalaj Bileşen Listesi-30.07.2026(3).xlsx</t>
        </is>
      </c>
    </row>
    <row r="588">
      <c r="A588" s="19" t="inlineStr">
        <is>
          <t>587</t>
        </is>
      </c>
      <c r="B588" s="19" t="inlineStr">
        <is>
          <t>84</t>
        </is>
      </c>
      <c r="C588" s="19" t="inlineStr">
        <is>
          <t>25</t>
        </is>
      </c>
      <c r="D588" t="n">
        <v>4</v>
      </c>
      <c r="E588" s="19" t="inlineStr">
        <is>
          <t>18</t>
        </is>
      </c>
      <c r="F588" t="n">
        <v>6</v>
      </c>
      <c r="G588" t="b">
        <v>0</v>
      </c>
      <c r="H588" t="inlineStr">
        <is>
          <t>UOM=ADT;WEIGHT_BASIS=PROCESSED_SOURCE_UNIT_WEIGHT;LINE_WEIGHT_KG=0.4;SOURCE_CFG=IA-ST-CFG-0112;SRC_REF=Row 1057, Slot 8;SRC_FILE=Mamul Ambalaj Bileşen Listesi-30.07.2026(3).xlsx</t>
        </is>
      </c>
    </row>
    <row r="589">
      <c r="A589" s="19" t="inlineStr">
        <is>
          <t>588</t>
        </is>
      </c>
      <c r="B589" s="19" t="inlineStr">
        <is>
          <t>84</t>
        </is>
      </c>
      <c r="C589" s="19" t="inlineStr">
        <is>
          <t>30</t>
        </is>
      </c>
      <c r="D589" t="n">
        <v>1</v>
      </c>
      <c r="E589" s="19" t="inlineStr">
        <is>
          <t>18</t>
        </is>
      </c>
      <c r="F589" t="n">
        <v>7</v>
      </c>
      <c r="G589" t="b">
        <v>0</v>
      </c>
      <c r="H589" t="inlineStr">
        <is>
          <t>UOM=ADT;WEIGHT_BASIS=PROCESSED_SOURCE_UNIT_WEIGHT;LINE_WEIGHT_KG=0.2;SOURCE_CFG=IA-ST-CFG-0112;SRC_REF=Row 1057, Slot 9;SRC_FILE=Mamul Ambalaj Bileşen Listesi-30.07.2026(3).xlsx</t>
        </is>
      </c>
    </row>
    <row r="590">
      <c r="A590" s="19" t="inlineStr">
        <is>
          <t>589</t>
        </is>
      </c>
      <c r="B590" s="19" t="inlineStr">
        <is>
          <t>85</t>
        </is>
      </c>
      <c r="C590" s="19" t="inlineStr">
        <is>
          <t>13</t>
        </is>
      </c>
      <c r="D590" t="n">
        <v>14</v>
      </c>
      <c r="E590" s="19" t="inlineStr">
        <is>
          <t>18</t>
        </is>
      </c>
      <c r="F590" t="n">
        <v>1</v>
      </c>
      <c r="G590" t="b">
        <v>0</v>
      </c>
      <c r="H590" t="inlineStr">
        <is>
          <t>UOM=M;WEIGHT_BASIS=PROCESSED_SOURCE_UNIT_WEIGHT;LINE_WEIGHT_KG=0.1736;SOURCE_CFG=IA-ST-CFG-0113;SRC_REF=Row 735, Slot 1;SRC_FILE=Mamul Ambalaj Bileşen Listesi-30.07.2026(3).xlsx</t>
        </is>
      </c>
    </row>
    <row r="591">
      <c r="A591" s="19" t="inlineStr">
        <is>
          <t>590</t>
        </is>
      </c>
      <c r="B591" s="19" t="inlineStr">
        <is>
          <t>85</t>
        </is>
      </c>
      <c r="C591" s="19" t="inlineStr">
        <is>
          <t>6</t>
        </is>
      </c>
      <c r="D591" t="n">
        <v>1</v>
      </c>
      <c r="E591" s="19" t="inlineStr">
        <is>
          <t>18</t>
        </is>
      </c>
      <c r="F591" t="n">
        <v>2</v>
      </c>
      <c r="G591" t="b">
        <v>0</v>
      </c>
      <c r="H591" t="inlineStr">
        <is>
          <t>UOM=ADT;WEIGHT_BASIS=PROCESSED_SOURCE_UNIT_WEIGHT;LINE_WEIGHT_KG=26.0;SOURCE_CFG=IA-ST-CFG-0113;SRC_REF=Row 735, Slot 3;SRC_FILE=Mamul Ambalaj Bileşen Listesi-30.07.2026(3).xlsx</t>
        </is>
      </c>
    </row>
    <row r="592">
      <c r="A592" s="19" t="inlineStr">
        <is>
          <t>591</t>
        </is>
      </c>
      <c r="B592" s="19" t="inlineStr">
        <is>
          <t>85</t>
        </is>
      </c>
      <c r="C592" s="19" t="inlineStr">
        <is>
          <t>8</t>
        </is>
      </c>
      <c r="D592" t="n">
        <v>20</v>
      </c>
      <c r="E592" s="19" t="inlineStr">
        <is>
          <t>18</t>
        </is>
      </c>
      <c r="F592" t="n">
        <v>3</v>
      </c>
      <c r="G592" t="b">
        <v>0</v>
      </c>
      <c r="H592" t="inlineStr">
        <is>
          <t>UOM=M;WEIGHT_BASIS=PROCESSED_SOURCE_UNIT_WEIGHT;LINE_WEIGHT_KG=0.3664;SOURCE_CFG=IA-ST-CFG-0113;SRC_REF=Row 735, Slot 5;SRC_FILE=Mamul Ambalaj Bileşen Listesi-30.07.2026(3).xlsx</t>
        </is>
      </c>
    </row>
    <row r="593">
      <c r="A593" s="19" t="inlineStr">
        <is>
          <t>592</t>
        </is>
      </c>
      <c r="B593" s="19" t="inlineStr">
        <is>
          <t>85</t>
        </is>
      </c>
      <c r="C593" s="19" t="inlineStr">
        <is>
          <t>9</t>
        </is>
      </c>
      <c r="D593" t="n">
        <v>0.186</v>
      </c>
      <c r="E593" s="19" t="inlineStr">
        <is>
          <t>18</t>
        </is>
      </c>
      <c r="F593" t="n">
        <v>4</v>
      </c>
      <c r="G593" t="b">
        <v>0</v>
      </c>
      <c r="H593" t="inlineStr">
        <is>
          <t>UOM=KG;WEIGHT_BASIS=RECIPE_QUANTITY_IS_KG;LINE_WEIGHT_KG=0.186;SOURCE_CFG=IA-ST-CFG-0113;SRC_REF=Row 735, Slot 6;SRC_FILE=Mamul Ambalaj Bileşen Listesi-30.07.2026(3).xlsx</t>
        </is>
      </c>
    </row>
    <row r="594">
      <c r="A594" s="19" t="inlineStr">
        <is>
          <t>593</t>
        </is>
      </c>
      <c r="B594" s="19" t="inlineStr">
        <is>
          <t>85</t>
        </is>
      </c>
      <c r="C594" s="19" t="inlineStr">
        <is>
          <t>25</t>
        </is>
      </c>
      <c r="D594" t="n">
        <v>4</v>
      </c>
      <c r="E594" s="19" t="inlineStr">
        <is>
          <t>18</t>
        </is>
      </c>
      <c r="F594" t="n">
        <v>5</v>
      </c>
      <c r="G594" t="b">
        <v>0</v>
      </c>
      <c r="H594" t="inlineStr">
        <is>
          <t>UOM=ADT;WEIGHT_BASIS=PROCESSED_SOURCE_UNIT_WEIGHT;LINE_WEIGHT_KG=0.4;SOURCE_CFG=IA-ST-CFG-0113;SRC_REF=Row 735, Slot 8;SRC_FILE=Mamul Ambalaj Bileşen Listesi-30.07.2026(3).xlsx</t>
        </is>
      </c>
    </row>
    <row r="595">
      <c r="A595" s="19" t="inlineStr">
        <is>
          <t>594</t>
        </is>
      </c>
      <c r="B595" s="19" t="inlineStr">
        <is>
          <t>85</t>
        </is>
      </c>
      <c r="C595" s="19" t="inlineStr">
        <is>
          <t>30</t>
        </is>
      </c>
      <c r="D595" t="n">
        <v>4</v>
      </c>
      <c r="E595" s="19" t="inlineStr">
        <is>
          <t>18</t>
        </is>
      </c>
      <c r="F595" t="n">
        <v>6</v>
      </c>
      <c r="G595" t="b">
        <v>0</v>
      </c>
      <c r="H595" t="inlineStr">
        <is>
          <t>UOM=ADT;WEIGHT_BASIS=PROCESSED_SOURCE_UNIT_WEIGHT;LINE_WEIGHT_KG=0.8;SOURCE_CFG=IA-ST-CFG-0113;SRC_REF=Row 735, Slot 9;SRC_FILE=Mamul Ambalaj Bileşen Listesi-30.07.2026(3).xlsx</t>
        </is>
      </c>
    </row>
    <row r="596">
      <c r="A596" s="19" t="inlineStr">
        <is>
          <t>595</t>
        </is>
      </c>
      <c r="B596" s="19" t="inlineStr">
        <is>
          <t>86</t>
        </is>
      </c>
      <c r="C596" s="19" t="inlineStr">
        <is>
          <t>13</t>
        </is>
      </c>
      <c r="D596" t="n">
        <v>14</v>
      </c>
      <c r="E596" s="19" t="inlineStr">
        <is>
          <t>18</t>
        </is>
      </c>
      <c r="F596" t="n">
        <v>1</v>
      </c>
      <c r="G596" t="b">
        <v>0</v>
      </c>
      <c r="H596" t="inlineStr">
        <is>
          <t>UOM=M;WEIGHT_BASIS=PROCESSED_SOURCE_UNIT_WEIGHT;LINE_WEIGHT_KG=0.1736;SOURCE_CFG=IA-ST-CFG-0114;SRC_REF=Row 1521, Slot 1;SRC_FILE=Mamul Ambalaj Bileşen Listesi-30.07.2026(3).xlsx</t>
        </is>
      </c>
    </row>
    <row r="597">
      <c r="A597" s="19" t="inlineStr">
        <is>
          <t>596</t>
        </is>
      </c>
      <c r="B597" s="19" t="inlineStr">
        <is>
          <t>86</t>
        </is>
      </c>
      <c r="C597" s="19" t="inlineStr">
        <is>
          <t>6</t>
        </is>
      </c>
      <c r="D597" t="n">
        <v>1</v>
      </c>
      <c r="E597" s="19" t="inlineStr">
        <is>
          <t>18</t>
        </is>
      </c>
      <c r="F597" t="n">
        <v>2</v>
      </c>
      <c r="G597" t="b">
        <v>0</v>
      </c>
      <c r="H597" t="inlineStr">
        <is>
          <t>UOM=ADT;WEIGHT_BASIS=PROCESSED_SOURCE_UNIT_WEIGHT;LINE_WEIGHT_KG=26.0;SOURCE_CFG=IA-ST-CFG-0114;SRC_REF=Row 1521, Slot 3;SRC_FILE=Mamul Ambalaj Bileşen Listesi-30.07.2026(3).xlsx</t>
        </is>
      </c>
    </row>
    <row r="598">
      <c r="A598" s="19" t="inlineStr">
        <is>
          <t>597</t>
        </is>
      </c>
      <c r="B598" s="19" t="inlineStr">
        <is>
          <t>86</t>
        </is>
      </c>
      <c r="C598" s="19" t="inlineStr">
        <is>
          <t>8</t>
        </is>
      </c>
      <c r="D598" t="n">
        <v>20</v>
      </c>
      <c r="E598" s="19" t="inlineStr">
        <is>
          <t>18</t>
        </is>
      </c>
      <c r="F598" t="n">
        <v>3</v>
      </c>
      <c r="G598" t="b">
        <v>0</v>
      </c>
      <c r="H598" t="inlineStr">
        <is>
          <t>UOM=M;WEIGHT_BASIS=PROCESSED_SOURCE_UNIT_WEIGHT;LINE_WEIGHT_KG=0.3664;SOURCE_CFG=IA-ST-CFG-0114;SRC_REF=Row 1521, Slot 5;SRC_FILE=Mamul Ambalaj Bileşen Listesi-30.07.2026(3).xlsx</t>
        </is>
      </c>
    </row>
    <row r="599">
      <c r="A599" s="19" t="inlineStr">
        <is>
          <t>598</t>
        </is>
      </c>
      <c r="B599" s="19" t="inlineStr">
        <is>
          <t>86</t>
        </is>
      </c>
      <c r="C599" s="19" t="inlineStr">
        <is>
          <t>9</t>
        </is>
      </c>
      <c r="D599" t="n">
        <v>0.186</v>
      </c>
      <c r="E599" s="19" t="inlineStr">
        <is>
          <t>18</t>
        </is>
      </c>
      <c r="F599" t="n">
        <v>4</v>
      </c>
      <c r="G599" t="b">
        <v>0</v>
      </c>
      <c r="H599" t="inlineStr">
        <is>
          <t>UOM=KG;WEIGHT_BASIS=RECIPE_QUANTITY_IS_KG;LINE_WEIGHT_KG=0.186;SOURCE_CFG=IA-ST-CFG-0114;SRC_REF=Row 1521, Slot 6;SRC_FILE=Mamul Ambalaj Bileşen Listesi-30.07.2026(3).xlsx</t>
        </is>
      </c>
    </row>
    <row r="600">
      <c r="A600" s="19" t="inlineStr">
        <is>
          <t>599</t>
        </is>
      </c>
      <c r="B600" s="19" t="inlineStr">
        <is>
          <t>86</t>
        </is>
      </c>
      <c r="C600" s="19" t="inlineStr">
        <is>
          <t>25</t>
        </is>
      </c>
      <c r="D600" t="n">
        <v>4</v>
      </c>
      <c r="E600" s="19" t="inlineStr">
        <is>
          <t>18</t>
        </is>
      </c>
      <c r="F600" t="n">
        <v>5</v>
      </c>
      <c r="G600" t="b">
        <v>0</v>
      </c>
      <c r="H600" t="inlineStr">
        <is>
          <t>UOM=ADT;WEIGHT_BASIS=PROCESSED_SOURCE_UNIT_WEIGHT;LINE_WEIGHT_KG=0.4;SOURCE_CFG=IA-ST-CFG-0114;SRC_REF=Row 1521, Slot 8;SRC_FILE=Mamul Ambalaj Bileşen Listesi-30.07.2026(3).xlsx</t>
        </is>
      </c>
    </row>
    <row r="601">
      <c r="A601" s="19" t="inlineStr">
        <is>
          <t>600</t>
        </is>
      </c>
      <c r="B601" s="19" t="inlineStr">
        <is>
          <t>86</t>
        </is>
      </c>
      <c r="C601" s="19" t="inlineStr">
        <is>
          <t>30</t>
        </is>
      </c>
      <c r="D601" t="n">
        <v>5</v>
      </c>
      <c r="E601" s="19" t="inlineStr">
        <is>
          <t>18</t>
        </is>
      </c>
      <c r="F601" t="n">
        <v>6</v>
      </c>
      <c r="G601" t="b">
        <v>0</v>
      </c>
      <c r="H601" t="inlineStr">
        <is>
          <t>UOM=ADT;WEIGHT_BASIS=PROCESSED_SOURCE_UNIT_WEIGHT;LINE_WEIGHT_KG=1.0;SOURCE_CFG=IA-ST-CFG-0114;SRC_REF=Row 1521, Slot 9;SRC_FILE=Mamul Ambalaj Bileşen Listesi-30.07.2026(3).xlsx</t>
        </is>
      </c>
    </row>
    <row r="602">
      <c r="A602" s="19" t="inlineStr">
        <is>
          <t>601</t>
        </is>
      </c>
      <c r="B602" s="19" t="inlineStr">
        <is>
          <t>87</t>
        </is>
      </c>
      <c r="C602" s="19" t="inlineStr">
        <is>
          <t>13</t>
        </is>
      </c>
      <c r="D602" t="n">
        <v>7</v>
      </c>
      <c r="E602" s="19" t="inlineStr">
        <is>
          <t>18</t>
        </is>
      </c>
      <c r="F602" t="n">
        <v>1</v>
      </c>
      <c r="G602" t="b">
        <v>0</v>
      </c>
      <c r="H602" t="inlineStr">
        <is>
          <t>UOM=M;WEIGHT_BASIS=PROCESSED_SOURCE_UNIT_WEIGHT;LINE_WEIGHT_KG=0.0868;SOURCE_CFG=IA-ST-CFG-0115;SRC_REF=Row 128, Slot 1;SRC_FILE=Mamul Ambalaj Bileşen Listesi-30.07.2026(3).xlsx</t>
        </is>
      </c>
    </row>
    <row r="603">
      <c r="A603" s="19" t="inlineStr">
        <is>
          <t>602</t>
        </is>
      </c>
      <c r="B603" s="19" t="inlineStr">
        <is>
          <t>87</t>
        </is>
      </c>
      <c r="C603" s="19" t="inlineStr">
        <is>
          <t>76</t>
        </is>
      </c>
      <c r="D603" t="n">
        <v>48</v>
      </c>
      <c r="E603" s="19" t="inlineStr">
        <is>
          <t>18</t>
        </is>
      </c>
      <c r="F603" t="n">
        <v>2</v>
      </c>
      <c r="G603" t="b">
        <v>0</v>
      </c>
      <c r="H603" t="inlineStr">
        <is>
          <t>UOM=ADT;WEIGHT_BASIS=SOURCE_UNIT_WEIGHT;LINE_WEIGHT_KG=2.9951999999999996;SOURCE_CFG=IA-ST-CFG-0115;SRC_REF=Row 128, Slot 2;SRC_FILE=Mamul Ambalaj Bileşen Listesi-30.07.2026(3).xlsx</t>
        </is>
      </c>
    </row>
    <row r="604">
      <c r="A604" s="19" t="inlineStr">
        <is>
          <t>603</t>
        </is>
      </c>
      <c r="B604" s="19" t="inlineStr">
        <is>
          <t>87</t>
        </is>
      </c>
      <c r="C604" s="19" t="inlineStr">
        <is>
          <t>6</t>
        </is>
      </c>
      <c r="D604" t="n">
        <v>1</v>
      </c>
      <c r="E604" s="19" t="inlineStr">
        <is>
          <t>18</t>
        </is>
      </c>
      <c r="F604" t="n">
        <v>3</v>
      </c>
      <c r="G604" t="b">
        <v>0</v>
      </c>
      <c r="H604" t="inlineStr">
        <is>
          <t>UOM=ADT;WEIGHT_BASIS=PROCESSED_SOURCE_UNIT_WEIGHT;LINE_WEIGHT_KG=26.0;SOURCE_CFG=IA-ST-CFG-0115;SRC_REF=Row 128, Slot 3;SRC_FILE=Mamul Ambalaj Bileşen Listesi-30.07.2026(3).xlsx</t>
        </is>
      </c>
    </row>
    <row r="605">
      <c r="A605" s="19" t="inlineStr">
        <is>
          <t>604</t>
        </is>
      </c>
      <c r="B605" s="19" t="inlineStr">
        <is>
          <t>87</t>
        </is>
      </c>
      <c r="C605" s="19" t="inlineStr">
        <is>
          <t>8</t>
        </is>
      </c>
      <c r="D605" t="n">
        <v>20</v>
      </c>
      <c r="E605" s="19" t="inlineStr">
        <is>
          <t>18</t>
        </is>
      </c>
      <c r="F605" t="n">
        <v>4</v>
      </c>
      <c r="G605" t="b">
        <v>0</v>
      </c>
      <c r="H605" t="inlineStr">
        <is>
          <t>UOM=M;WEIGHT_BASIS=PROCESSED_SOURCE_UNIT_WEIGHT;LINE_WEIGHT_KG=0.3664;SOURCE_CFG=IA-ST-CFG-0115;SRC_REF=Row 128, Slot 5;SRC_FILE=Mamul Ambalaj Bileşen Listesi-30.07.2026(3).xlsx</t>
        </is>
      </c>
    </row>
    <row r="606">
      <c r="A606" s="19" t="inlineStr">
        <is>
          <t>605</t>
        </is>
      </c>
      <c r="B606" s="19" t="inlineStr">
        <is>
          <t>87</t>
        </is>
      </c>
      <c r="C606" s="19" t="inlineStr">
        <is>
          <t>9</t>
        </is>
      </c>
      <c r="D606" t="n">
        <v>0.186</v>
      </c>
      <c r="E606" s="19" t="inlineStr">
        <is>
          <t>18</t>
        </is>
      </c>
      <c r="F606" t="n">
        <v>5</v>
      </c>
      <c r="G606" t="b">
        <v>0</v>
      </c>
      <c r="H606" t="inlineStr">
        <is>
          <t>UOM=KG;WEIGHT_BASIS=RECIPE_QUANTITY_IS_KG;LINE_WEIGHT_KG=0.186;SOURCE_CFG=IA-ST-CFG-0115;SRC_REF=Row 128, Slot 6;SRC_FILE=Mamul Ambalaj Bileşen Listesi-30.07.2026(3).xlsx</t>
        </is>
      </c>
    </row>
    <row r="607">
      <c r="A607" s="19" t="inlineStr">
        <is>
          <t>606</t>
        </is>
      </c>
      <c r="B607" s="19" t="inlineStr">
        <is>
          <t>87</t>
        </is>
      </c>
      <c r="C607" s="19" t="inlineStr">
        <is>
          <t>19</t>
        </is>
      </c>
      <c r="D607" t="n">
        <v>2.218</v>
      </c>
      <c r="E607" s="19" t="inlineStr">
        <is>
          <t>18</t>
        </is>
      </c>
      <c r="F607" t="n">
        <v>6</v>
      </c>
      <c r="G607" t="b">
        <v>0</v>
      </c>
      <c r="H607" t="inlineStr">
        <is>
          <t>UOM=KG;WEIGHT_BASIS=RECIPE_QUANTITY_IS_KG;LINE_WEIGHT_KG=2.218;SOURCE_CFG=IA-ST-CFG-0115;SRC_REF=Row 128, Slot 7;SRC_FILE=Mamul Ambalaj Bileşen Listesi-30.07.2026(3).xlsx</t>
        </is>
      </c>
    </row>
    <row r="608">
      <c r="A608" s="19" t="inlineStr">
        <is>
          <t>607</t>
        </is>
      </c>
      <c r="B608" s="19" t="inlineStr">
        <is>
          <t>87</t>
        </is>
      </c>
      <c r="C608" s="19" t="inlineStr">
        <is>
          <t>25</t>
        </is>
      </c>
      <c r="D608" t="n">
        <v>2</v>
      </c>
      <c r="E608" s="19" t="inlineStr">
        <is>
          <t>18</t>
        </is>
      </c>
      <c r="F608" t="n">
        <v>7</v>
      </c>
      <c r="G608" t="b">
        <v>0</v>
      </c>
      <c r="H608" t="inlineStr">
        <is>
          <t>UOM=ADT;WEIGHT_BASIS=PROCESSED_SOURCE_UNIT_WEIGHT;LINE_WEIGHT_KG=0.2;SOURCE_CFG=IA-ST-CFG-0115;SRC_REF=Row 128, Slot 8;SRC_FILE=Mamul Ambalaj Bileşen Listesi-30.07.2026(3).xlsx</t>
        </is>
      </c>
    </row>
    <row r="609">
      <c r="A609" s="19" t="inlineStr">
        <is>
          <t>608</t>
        </is>
      </c>
      <c r="B609" s="19" t="inlineStr">
        <is>
          <t>87</t>
        </is>
      </c>
      <c r="C609" s="19" t="inlineStr">
        <is>
          <t>30</t>
        </is>
      </c>
      <c r="D609" t="n">
        <v>4</v>
      </c>
      <c r="E609" s="19" t="inlineStr">
        <is>
          <t>18</t>
        </is>
      </c>
      <c r="F609" t="n">
        <v>8</v>
      </c>
      <c r="G609" t="b">
        <v>0</v>
      </c>
      <c r="H609" t="inlineStr">
        <is>
          <t>UOM=ADT;WEIGHT_BASIS=PROCESSED_SOURCE_UNIT_WEIGHT;LINE_WEIGHT_KG=0.8;SOURCE_CFG=IA-ST-CFG-0115;SRC_REF=Row 128, Slot 9;SRC_FILE=Mamul Ambalaj Bileşen Listesi-30.07.2026(3).xlsx</t>
        </is>
      </c>
    </row>
    <row r="610">
      <c r="A610" s="19" t="inlineStr">
        <is>
          <t>609</t>
        </is>
      </c>
      <c r="B610" s="19" t="inlineStr">
        <is>
          <t>88</t>
        </is>
      </c>
      <c r="C610" s="19" t="inlineStr">
        <is>
          <t>13</t>
        </is>
      </c>
      <c r="D610" t="n">
        <v>7</v>
      </c>
      <c r="E610" s="19" t="inlineStr">
        <is>
          <t>18</t>
        </is>
      </c>
      <c r="F610" t="n">
        <v>1</v>
      </c>
      <c r="G610" t="b">
        <v>0</v>
      </c>
      <c r="H610" t="inlineStr">
        <is>
          <t>UOM=M;WEIGHT_BASIS=PROCESSED_SOURCE_UNIT_WEIGHT;LINE_WEIGHT_KG=0.0868;SOURCE_CFG=IA-ST-CFG-0116;SRC_REF=Row 89, Slot 1;SRC_FILE=Mamul Ambalaj Bileşen Listesi-30.07.2026(3).xlsx</t>
        </is>
      </c>
    </row>
    <row r="611">
      <c r="A611" s="19" t="inlineStr">
        <is>
          <t>610</t>
        </is>
      </c>
      <c r="B611" s="19" t="inlineStr">
        <is>
          <t>88</t>
        </is>
      </c>
      <c r="C611" s="19" t="inlineStr">
        <is>
          <t>6</t>
        </is>
      </c>
      <c r="D611" t="n">
        <v>1</v>
      </c>
      <c r="E611" s="19" t="inlineStr">
        <is>
          <t>18</t>
        </is>
      </c>
      <c r="F611" t="n">
        <v>2</v>
      </c>
      <c r="G611" t="b">
        <v>0</v>
      </c>
      <c r="H611" t="inlineStr">
        <is>
          <t>UOM=ADT;WEIGHT_BASIS=PROCESSED_SOURCE_UNIT_WEIGHT;LINE_WEIGHT_KG=26.0;SOURCE_CFG=IA-ST-CFG-0116;SRC_REF=Row 89, Slot 3;SRC_FILE=Mamul Ambalaj Bileşen Listesi-30.07.2026(3).xlsx</t>
        </is>
      </c>
    </row>
    <row r="612">
      <c r="A612" s="19" t="inlineStr">
        <is>
          <t>611</t>
        </is>
      </c>
      <c r="B612" s="19" t="inlineStr">
        <is>
          <t>88</t>
        </is>
      </c>
      <c r="C612" s="19" t="inlineStr">
        <is>
          <t>8</t>
        </is>
      </c>
      <c r="D612" t="n">
        <v>20</v>
      </c>
      <c r="E612" s="19" t="inlineStr">
        <is>
          <t>18</t>
        </is>
      </c>
      <c r="F612" t="n">
        <v>3</v>
      </c>
      <c r="G612" t="b">
        <v>0</v>
      </c>
      <c r="H612" t="inlineStr">
        <is>
          <t>UOM=M;WEIGHT_BASIS=PROCESSED_SOURCE_UNIT_WEIGHT;LINE_WEIGHT_KG=0.3664;SOURCE_CFG=IA-ST-CFG-0116;SRC_REF=Row 89, Slot 5;SRC_FILE=Mamul Ambalaj Bileşen Listesi-30.07.2026(3).xlsx</t>
        </is>
      </c>
    </row>
    <row r="613">
      <c r="A613" s="19" t="inlineStr">
        <is>
          <t>612</t>
        </is>
      </c>
      <c r="B613" s="19" t="inlineStr">
        <is>
          <t>88</t>
        </is>
      </c>
      <c r="C613" s="19" t="inlineStr">
        <is>
          <t>9</t>
        </is>
      </c>
      <c r="D613" t="n">
        <v>0.186</v>
      </c>
      <c r="E613" s="19" t="inlineStr">
        <is>
          <t>18</t>
        </is>
      </c>
      <c r="F613" t="n">
        <v>4</v>
      </c>
      <c r="G613" t="b">
        <v>0</v>
      </c>
      <c r="H613" t="inlineStr">
        <is>
          <t>UOM=KG;WEIGHT_BASIS=RECIPE_QUANTITY_IS_KG;LINE_WEIGHT_KG=0.186;SOURCE_CFG=IA-ST-CFG-0116;SRC_REF=Row 89, Slot 6;SRC_FILE=Mamul Ambalaj Bileşen Listesi-30.07.2026(3).xlsx</t>
        </is>
      </c>
    </row>
    <row r="614">
      <c r="A614" s="19" t="inlineStr">
        <is>
          <t>613</t>
        </is>
      </c>
      <c r="B614" s="19" t="inlineStr">
        <is>
          <t>88</t>
        </is>
      </c>
      <c r="C614" s="19" t="inlineStr">
        <is>
          <t>29</t>
        </is>
      </c>
      <c r="D614" t="n">
        <v>1.92</v>
      </c>
      <c r="E614" s="19" t="inlineStr">
        <is>
          <t>18</t>
        </is>
      </c>
      <c r="F614" t="n">
        <v>5</v>
      </c>
      <c r="G614" t="b">
        <v>0</v>
      </c>
      <c r="H614" t="inlineStr">
        <is>
          <t>UOM=KG;WEIGHT_BASIS=RECIPE_QUANTITY_IS_KG;LINE_WEIGHT_KG=1.92;SOURCE_CFG=IA-ST-CFG-0116;SRC_REF=Row 89, Slot 7;SRC_FILE=Mamul Ambalaj Bileşen Listesi-30.07.2026(3).xlsx</t>
        </is>
      </c>
    </row>
    <row r="615">
      <c r="A615" s="19" t="inlineStr">
        <is>
          <t>614</t>
        </is>
      </c>
      <c r="B615" s="19" t="inlineStr">
        <is>
          <t>88</t>
        </is>
      </c>
      <c r="C615" s="19" t="inlineStr">
        <is>
          <t>25</t>
        </is>
      </c>
      <c r="D615" t="n">
        <v>2</v>
      </c>
      <c r="E615" s="19" t="inlineStr">
        <is>
          <t>18</t>
        </is>
      </c>
      <c r="F615" t="n">
        <v>6</v>
      </c>
      <c r="G615" t="b">
        <v>0</v>
      </c>
      <c r="H615" t="inlineStr">
        <is>
          <t>UOM=ADT;WEIGHT_BASIS=PROCESSED_SOURCE_UNIT_WEIGHT;LINE_WEIGHT_KG=0.2;SOURCE_CFG=IA-ST-CFG-0116;SRC_REF=Row 89, Slot 8;SRC_FILE=Mamul Ambalaj Bileşen Listesi-30.07.2026(3).xlsx</t>
        </is>
      </c>
    </row>
    <row r="616">
      <c r="A616" s="19" t="inlineStr">
        <is>
          <t>615</t>
        </is>
      </c>
      <c r="B616" s="19" t="inlineStr">
        <is>
          <t>88</t>
        </is>
      </c>
      <c r="C616" s="19" t="inlineStr">
        <is>
          <t>30</t>
        </is>
      </c>
      <c r="D616" t="n">
        <v>5</v>
      </c>
      <c r="E616" s="19" t="inlineStr">
        <is>
          <t>18</t>
        </is>
      </c>
      <c r="F616" t="n">
        <v>7</v>
      </c>
      <c r="G616" t="b">
        <v>0</v>
      </c>
      <c r="H616" t="inlineStr">
        <is>
          <t>UOM=ADT;WEIGHT_BASIS=PROCESSED_SOURCE_UNIT_WEIGHT;LINE_WEIGHT_KG=1.0;SOURCE_CFG=IA-ST-CFG-0116;SRC_REF=Row 89, Slot 9;SRC_FILE=Mamul Ambalaj Bileşen Listesi-30.07.2026(3).xlsx</t>
        </is>
      </c>
    </row>
    <row r="617">
      <c r="A617" s="19" t="inlineStr">
        <is>
          <t>616</t>
        </is>
      </c>
      <c r="B617" s="19" t="inlineStr">
        <is>
          <t>89</t>
        </is>
      </c>
      <c r="C617" s="19" t="inlineStr">
        <is>
          <t>13</t>
        </is>
      </c>
      <c r="D617" t="n">
        <v>7</v>
      </c>
      <c r="E617" s="19" t="inlineStr">
        <is>
          <t>18</t>
        </is>
      </c>
      <c r="F617" t="n">
        <v>1</v>
      </c>
      <c r="G617" t="b">
        <v>0</v>
      </c>
      <c r="H617" t="inlineStr">
        <is>
          <t>UOM=M;WEIGHT_BASIS=PROCESSED_SOURCE_UNIT_WEIGHT;LINE_WEIGHT_KG=0.0868;SOURCE_CFG=IA-ST-CFG-0117;SRC_REF=Row 1428, Slot 1;SRC_FILE=Mamul Ambalaj Bileşen Listesi-30.07.2026(3).xlsx</t>
        </is>
      </c>
    </row>
    <row r="618">
      <c r="A618" s="19" t="inlineStr">
        <is>
          <t>617</t>
        </is>
      </c>
      <c r="B618" s="19" t="inlineStr">
        <is>
          <t>89</t>
        </is>
      </c>
      <c r="C618" s="19" t="inlineStr">
        <is>
          <t>65</t>
        </is>
      </c>
      <c r="D618" t="n">
        <v>3</v>
      </c>
      <c r="E618" s="19" t="inlineStr">
        <is>
          <t>18</t>
        </is>
      </c>
      <c r="F618" t="n">
        <v>2</v>
      </c>
      <c r="G618" t="b">
        <v>0</v>
      </c>
      <c r="H618" t="inlineStr">
        <is>
          <t>UOM=ADT;WEIGHT_BASIS=PROCESSED_SOURCE_UNIT_WEIGHT;LINE_WEIGHT_KG=0.18;SOURCE_CFG=IA-ST-CFG-0117;SRC_REF=Row 1428, Slot 2;SRC_FILE=Mamul Ambalaj Bileşen Listesi-30.07.2026(3).xlsx</t>
        </is>
      </c>
    </row>
    <row r="619">
      <c r="A619" s="19" t="inlineStr">
        <is>
          <t>618</t>
        </is>
      </c>
      <c r="B619" s="19" t="inlineStr">
        <is>
          <t>89</t>
        </is>
      </c>
      <c r="C619" s="19" t="inlineStr">
        <is>
          <t>6</t>
        </is>
      </c>
      <c r="D619" t="n">
        <v>1</v>
      </c>
      <c r="E619" s="19" t="inlineStr">
        <is>
          <t>18</t>
        </is>
      </c>
      <c r="F619" t="n">
        <v>3</v>
      </c>
      <c r="G619" t="b">
        <v>0</v>
      </c>
      <c r="H619" t="inlineStr">
        <is>
          <t>UOM=ADT;WEIGHT_BASIS=PROCESSED_SOURCE_UNIT_WEIGHT;LINE_WEIGHT_KG=26.0;SOURCE_CFG=IA-ST-CFG-0117;SRC_REF=Row 1428, Slot 3;SRC_FILE=Mamul Ambalaj Bileşen Listesi-30.07.2026(3).xlsx</t>
        </is>
      </c>
    </row>
    <row r="620">
      <c r="A620" s="19" t="inlineStr">
        <is>
          <t>619</t>
        </is>
      </c>
      <c r="B620" s="19" t="inlineStr">
        <is>
          <t>89</t>
        </is>
      </c>
      <c r="C620" s="19" t="inlineStr">
        <is>
          <t>8</t>
        </is>
      </c>
      <c r="D620" t="n">
        <v>20</v>
      </c>
      <c r="E620" s="19" t="inlineStr">
        <is>
          <t>18</t>
        </is>
      </c>
      <c r="F620" t="n">
        <v>4</v>
      </c>
      <c r="G620" t="b">
        <v>0</v>
      </c>
      <c r="H620" t="inlineStr">
        <is>
          <t>UOM=M;WEIGHT_BASIS=PROCESSED_SOURCE_UNIT_WEIGHT;LINE_WEIGHT_KG=0.3664;SOURCE_CFG=IA-ST-CFG-0117;SRC_REF=Row 1428, Slot 5;SRC_FILE=Mamul Ambalaj Bileşen Listesi-30.07.2026(3).xlsx</t>
        </is>
      </c>
    </row>
    <row r="621">
      <c r="A621" s="19" t="inlineStr">
        <is>
          <t>620</t>
        </is>
      </c>
      <c r="B621" s="19" t="inlineStr">
        <is>
          <t>89</t>
        </is>
      </c>
      <c r="C621" s="19" t="inlineStr">
        <is>
          <t>9</t>
        </is>
      </c>
      <c r="D621" t="n">
        <v>0.186</v>
      </c>
      <c r="E621" s="19" t="inlineStr">
        <is>
          <t>18</t>
        </is>
      </c>
      <c r="F621" t="n">
        <v>5</v>
      </c>
      <c r="G621" t="b">
        <v>0</v>
      </c>
      <c r="H621" t="inlineStr">
        <is>
          <t>UOM=KG;WEIGHT_BASIS=RECIPE_QUANTITY_IS_KG;LINE_WEIGHT_KG=0.186;SOURCE_CFG=IA-ST-CFG-0117;SRC_REF=Row 1428, Slot 6;SRC_FILE=Mamul Ambalaj Bileşen Listesi-30.07.2026(3).xlsx</t>
        </is>
      </c>
    </row>
    <row r="622">
      <c r="A622" s="19" t="inlineStr">
        <is>
          <t>621</t>
        </is>
      </c>
      <c r="B622" s="19" t="inlineStr">
        <is>
          <t>89</t>
        </is>
      </c>
      <c r="C622" s="19" t="inlineStr">
        <is>
          <t>25</t>
        </is>
      </c>
      <c r="D622" t="n">
        <v>2</v>
      </c>
      <c r="E622" s="19" t="inlineStr">
        <is>
          <t>18</t>
        </is>
      </c>
      <c r="F622" t="n">
        <v>6</v>
      </c>
      <c r="G622" t="b">
        <v>0</v>
      </c>
      <c r="H622" t="inlineStr">
        <is>
          <t>UOM=ADT;WEIGHT_BASIS=PROCESSED_SOURCE_UNIT_WEIGHT;LINE_WEIGHT_KG=0.2;SOURCE_CFG=IA-ST-CFG-0117;SRC_REF=Row 1428, Slot 8;SRC_FILE=Mamul Ambalaj Bileşen Listesi-30.07.2026(3).xlsx</t>
        </is>
      </c>
    </row>
    <row r="623">
      <c r="A623" s="19" t="inlineStr">
        <is>
          <t>622</t>
        </is>
      </c>
      <c r="B623" s="19" t="inlineStr">
        <is>
          <t>89</t>
        </is>
      </c>
      <c r="C623" s="19" t="inlineStr">
        <is>
          <t>30</t>
        </is>
      </c>
      <c r="D623" t="n">
        <v>4</v>
      </c>
      <c r="E623" s="19" t="inlineStr">
        <is>
          <t>18</t>
        </is>
      </c>
      <c r="F623" t="n">
        <v>7</v>
      </c>
      <c r="G623" t="b">
        <v>0</v>
      </c>
      <c r="H623" t="inlineStr">
        <is>
          <t>UOM=ADT;WEIGHT_BASIS=PROCESSED_SOURCE_UNIT_WEIGHT;LINE_WEIGHT_KG=0.8;SOURCE_CFG=IA-ST-CFG-0117;SRC_REF=Row 1428, Slot 9;SRC_FILE=Mamul Ambalaj Bileşen Listesi-30.07.2026(3).xlsx</t>
        </is>
      </c>
    </row>
    <row r="624">
      <c r="A624" s="19" t="inlineStr">
        <is>
          <t>623</t>
        </is>
      </c>
      <c r="B624" s="19" t="inlineStr">
        <is>
          <t>90</t>
        </is>
      </c>
      <c r="C624" s="19" t="inlineStr">
        <is>
          <t>13</t>
        </is>
      </c>
      <c r="D624" t="n">
        <v>7</v>
      </c>
      <c r="E624" s="19" t="inlineStr">
        <is>
          <t>18</t>
        </is>
      </c>
      <c r="F624" t="n">
        <v>1</v>
      </c>
      <c r="G624" t="b">
        <v>0</v>
      </c>
      <c r="H624" t="inlineStr">
        <is>
          <t>UOM=M;WEIGHT_BASIS=PROCESSED_SOURCE_UNIT_WEIGHT;LINE_WEIGHT_KG=0.0868;SOURCE_CFG=IA-ST-CFG-0118;SRC_REF=Row 66, Slot 1;SRC_FILE=Mamul Ambalaj Bileşen Listesi-30.07.2026(3).xlsx</t>
        </is>
      </c>
    </row>
    <row r="625">
      <c r="A625" s="19" t="inlineStr">
        <is>
          <t>624</t>
        </is>
      </c>
      <c r="B625" s="19" t="inlineStr">
        <is>
          <t>90</t>
        </is>
      </c>
      <c r="C625" s="19" t="inlineStr">
        <is>
          <t>6</t>
        </is>
      </c>
      <c r="D625" t="n">
        <v>1</v>
      </c>
      <c r="E625" s="19" t="inlineStr">
        <is>
          <t>18</t>
        </is>
      </c>
      <c r="F625" t="n">
        <v>2</v>
      </c>
      <c r="G625" t="b">
        <v>0</v>
      </c>
      <c r="H625" t="inlineStr">
        <is>
          <t>UOM=ADT;WEIGHT_BASIS=PROCESSED_SOURCE_UNIT_WEIGHT;LINE_WEIGHT_KG=26.0;SOURCE_CFG=IA-ST-CFG-0118;SRC_REF=Row 66, Slot 3;SRC_FILE=Mamul Ambalaj Bileşen Listesi-30.07.2026(3).xlsx</t>
        </is>
      </c>
    </row>
    <row r="626">
      <c r="A626" s="19" t="inlineStr">
        <is>
          <t>625</t>
        </is>
      </c>
      <c r="B626" s="19" t="inlineStr">
        <is>
          <t>90</t>
        </is>
      </c>
      <c r="C626" s="19" t="inlineStr">
        <is>
          <t>8</t>
        </is>
      </c>
      <c r="D626" t="n">
        <v>20</v>
      </c>
      <c r="E626" s="19" t="inlineStr">
        <is>
          <t>18</t>
        </is>
      </c>
      <c r="F626" t="n">
        <v>3</v>
      </c>
      <c r="G626" t="b">
        <v>0</v>
      </c>
      <c r="H626" t="inlineStr">
        <is>
          <t>UOM=M;WEIGHT_BASIS=PROCESSED_SOURCE_UNIT_WEIGHT;LINE_WEIGHT_KG=0.3664;SOURCE_CFG=IA-ST-CFG-0118;SRC_REF=Row 66, Slot 5;SRC_FILE=Mamul Ambalaj Bileşen Listesi-30.07.2026(3).xlsx</t>
        </is>
      </c>
    </row>
    <row r="627">
      <c r="A627" s="19" t="inlineStr">
        <is>
          <t>626</t>
        </is>
      </c>
      <c r="B627" s="19" t="inlineStr">
        <is>
          <t>90</t>
        </is>
      </c>
      <c r="C627" s="19" t="inlineStr">
        <is>
          <t>9</t>
        </is>
      </c>
      <c r="D627" t="n">
        <v>0.186</v>
      </c>
      <c r="E627" s="19" t="inlineStr">
        <is>
          <t>18</t>
        </is>
      </c>
      <c r="F627" t="n">
        <v>4</v>
      </c>
      <c r="G627" t="b">
        <v>0</v>
      </c>
      <c r="H627" t="inlineStr">
        <is>
          <t>UOM=KG;WEIGHT_BASIS=RECIPE_QUANTITY_IS_KG;LINE_WEIGHT_KG=0.186;SOURCE_CFG=IA-ST-CFG-0118;SRC_REF=Row 66, Slot 6;SRC_FILE=Mamul Ambalaj Bileşen Listesi-30.07.2026(3).xlsx</t>
        </is>
      </c>
    </row>
    <row r="628">
      <c r="A628" s="19" t="inlineStr">
        <is>
          <t>627</t>
        </is>
      </c>
      <c r="B628" s="19" t="inlineStr">
        <is>
          <t>90</t>
        </is>
      </c>
      <c r="C628" s="19" t="inlineStr">
        <is>
          <t>25</t>
        </is>
      </c>
      <c r="D628" t="n">
        <v>2</v>
      </c>
      <c r="E628" s="19" t="inlineStr">
        <is>
          <t>18</t>
        </is>
      </c>
      <c r="F628" t="n">
        <v>5</v>
      </c>
      <c r="G628" t="b">
        <v>0</v>
      </c>
      <c r="H628" t="inlineStr">
        <is>
          <t>UOM=ADT;WEIGHT_BASIS=PROCESSED_SOURCE_UNIT_WEIGHT;LINE_WEIGHT_KG=0.2;SOURCE_CFG=IA-ST-CFG-0118;SRC_REF=Row 66, Slot 8;SRC_FILE=Mamul Ambalaj Bileşen Listesi-30.07.2026(3).xlsx</t>
        </is>
      </c>
    </row>
    <row r="629">
      <c r="A629" s="19" t="inlineStr">
        <is>
          <t>628</t>
        </is>
      </c>
      <c r="B629" s="19" t="inlineStr">
        <is>
          <t>90</t>
        </is>
      </c>
      <c r="C629" s="19" t="inlineStr">
        <is>
          <t>30</t>
        </is>
      </c>
      <c r="D629" t="n">
        <v>5</v>
      </c>
      <c r="E629" s="19" t="inlineStr">
        <is>
          <t>18</t>
        </is>
      </c>
      <c r="F629" t="n">
        <v>6</v>
      </c>
      <c r="G629" t="b">
        <v>0</v>
      </c>
      <c r="H629" t="inlineStr">
        <is>
          <t>UOM=ADT;WEIGHT_BASIS=PROCESSED_SOURCE_UNIT_WEIGHT;LINE_WEIGHT_KG=1.0;SOURCE_CFG=IA-ST-CFG-0118;SRC_REF=Row 66, Slot 9;SRC_FILE=Mamul Ambalaj Bileşen Listesi-30.07.2026(3).xlsx</t>
        </is>
      </c>
    </row>
    <row r="630">
      <c r="A630" s="19" t="inlineStr">
        <is>
          <t>629</t>
        </is>
      </c>
      <c r="B630" s="19" t="inlineStr">
        <is>
          <t>91</t>
        </is>
      </c>
      <c r="C630" s="19" t="inlineStr">
        <is>
          <t>13</t>
        </is>
      </c>
      <c r="D630" t="n">
        <v>14</v>
      </c>
      <c r="E630" s="19" t="inlineStr">
        <is>
          <t>18</t>
        </is>
      </c>
      <c r="F630" t="n">
        <v>1</v>
      </c>
      <c r="G630" t="b">
        <v>0</v>
      </c>
      <c r="H630" t="inlineStr">
        <is>
          <t>UOM=M;WEIGHT_BASIS=PROCESSED_SOURCE_UNIT_WEIGHT;LINE_WEIGHT_KG=0.1736;SOURCE_CFG=IA-ST-CFG-0104;SRC_REF=Row 728, Slot 1;SRC_FILE=Mamul Ambalaj Bileşen Listesi-30.07.2026(3).xlsx</t>
        </is>
      </c>
    </row>
    <row r="631">
      <c r="A631" s="19" t="inlineStr">
        <is>
          <t>630</t>
        </is>
      </c>
      <c r="B631" s="19" t="inlineStr">
        <is>
          <t>91</t>
        </is>
      </c>
      <c r="C631" s="19" t="inlineStr">
        <is>
          <t>5</t>
        </is>
      </c>
      <c r="D631" t="n">
        <v>1</v>
      </c>
      <c r="E631" s="19" t="inlineStr">
        <is>
          <t>18</t>
        </is>
      </c>
      <c r="F631" t="n">
        <v>2</v>
      </c>
      <c r="G631" t="b">
        <v>0</v>
      </c>
      <c r="H631" t="inlineStr">
        <is>
          <t>UOM=ADT;WEIGHT_BASIS=PROCESSED_SOURCE_UNIT_WEIGHT;LINE_WEIGHT_KG=26.0;SOURCE_CFG=IA-ST-CFG-0104;SRC_REF=Row 728, Slot 3;SRC_FILE=Mamul Ambalaj Bileşen Listesi-30.07.2026(3).xlsx</t>
        </is>
      </c>
    </row>
    <row r="632">
      <c r="A632" s="19" t="inlineStr">
        <is>
          <t>631</t>
        </is>
      </c>
      <c r="B632" s="19" t="inlineStr">
        <is>
          <t>91</t>
        </is>
      </c>
      <c r="C632" s="19" t="inlineStr">
        <is>
          <t>8</t>
        </is>
      </c>
      <c r="D632" t="n">
        <v>20</v>
      </c>
      <c r="E632" s="19" t="inlineStr">
        <is>
          <t>18</t>
        </is>
      </c>
      <c r="F632" t="n">
        <v>3</v>
      </c>
      <c r="G632" t="b">
        <v>0</v>
      </c>
      <c r="H632" t="inlineStr">
        <is>
          <t>UOM=M;WEIGHT_BASIS=PROCESSED_SOURCE_UNIT_WEIGHT;LINE_WEIGHT_KG=0.3664;SOURCE_CFG=IA-ST-CFG-0104;SRC_REF=Row 728, Slot 5;SRC_FILE=Mamul Ambalaj Bileşen Listesi-30.07.2026(3).xlsx</t>
        </is>
      </c>
    </row>
    <row r="633">
      <c r="A633" s="19" t="inlineStr">
        <is>
          <t>632</t>
        </is>
      </c>
      <c r="B633" s="19" t="inlineStr">
        <is>
          <t>91</t>
        </is>
      </c>
      <c r="C633" s="19" t="inlineStr">
        <is>
          <t>9</t>
        </is>
      </c>
      <c r="D633" t="n">
        <v>0.186</v>
      </c>
      <c r="E633" s="19" t="inlineStr">
        <is>
          <t>18</t>
        </is>
      </c>
      <c r="F633" t="n">
        <v>4</v>
      </c>
      <c r="G633" t="b">
        <v>0</v>
      </c>
      <c r="H633" t="inlineStr">
        <is>
          <t>UOM=KG;WEIGHT_BASIS=RECIPE_QUANTITY_IS_KG;LINE_WEIGHT_KG=0.186;SOURCE_CFG=IA-ST-CFG-0104;SRC_REF=Row 728, Slot 6;SRC_FILE=Mamul Ambalaj Bileşen Listesi-30.07.2026(3).xlsx</t>
        </is>
      </c>
    </row>
    <row r="634">
      <c r="A634" s="19" t="inlineStr">
        <is>
          <t>633</t>
        </is>
      </c>
      <c r="B634" s="19" t="inlineStr">
        <is>
          <t>91</t>
        </is>
      </c>
      <c r="C634" s="19" t="inlineStr">
        <is>
          <t>3</t>
        </is>
      </c>
      <c r="D634" t="n">
        <v>6</v>
      </c>
      <c r="E634" s="19" t="inlineStr">
        <is>
          <t>18</t>
        </is>
      </c>
      <c r="F634" t="n">
        <v>5</v>
      </c>
      <c r="G634" t="b">
        <v>0</v>
      </c>
      <c r="H634" t="inlineStr">
        <is>
          <t>UOM=ADT;WEIGHT_BASIS=PROCESSED_SOURCE_UNIT_WEIGHT;LINE_WEIGHT_KG=1.26;SOURCE_CFG=IA-ST-CFG-0104;SRC_REF=Row 728, Slot 8;SRC_FILE=Mamul Ambalaj Bileşen Listesi-30.07.2026(3).xlsx</t>
        </is>
      </c>
    </row>
    <row r="635">
      <c r="A635" s="19" t="inlineStr">
        <is>
          <t>634</t>
        </is>
      </c>
      <c r="B635" s="19" t="inlineStr">
        <is>
          <t>91</t>
        </is>
      </c>
      <c r="C635" s="19" t="inlineStr">
        <is>
          <t>7</t>
        </is>
      </c>
      <c r="D635" t="n">
        <v>3</v>
      </c>
      <c r="E635" s="19" t="inlineStr">
        <is>
          <t>18</t>
        </is>
      </c>
      <c r="F635" t="n">
        <v>6</v>
      </c>
      <c r="G635" t="b">
        <v>0</v>
      </c>
      <c r="H635" t="inlineStr">
        <is>
          <t>UOM=ADT;WEIGHT_BASIS=PROCESSED_SOURCE_UNIT_WEIGHT;LINE_WEIGHT_KG=0.81;SOURCE_CFG=IA-ST-CFG-0104;SRC_REF=Row 728, Slot 9;SRC_FILE=Mamul Ambalaj Bileşen Listesi-30.07.2026(3).xlsx</t>
        </is>
      </c>
    </row>
    <row r="636">
      <c r="A636" s="19" t="inlineStr">
        <is>
          <t>635</t>
        </is>
      </c>
      <c r="B636" s="19" t="inlineStr">
        <is>
          <t>91</t>
        </is>
      </c>
      <c r="C636" s="19" t="inlineStr">
        <is>
          <t>78</t>
        </is>
      </c>
      <c r="D636" t="n">
        <v>48</v>
      </c>
      <c r="E636" s="19" t="inlineStr">
        <is>
          <t>18</t>
        </is>
      </c>
      <c r="F636" t="n">
        <v>7</v>
      </c>
      <c r="G636" t="b">
        <v>0</v>
      </c>
      <c r="H636" t="inlineStr">
        <is>
          <t>UOM=ADT;WEIGHT_BASIS=PROCESSED_SOURCE_UNIT_WEIGHT;LINE_WEIGHT_KG=11.52;SOURCE_CFG=IA-ST-CFG-0104;SRC_REF=Row 728, Slot 10;SRC_FILE=Mamul Ambalaj Bileşen Listesi-30.07.2026(3).xlsx</t>
        </is>
      </c>
    </row>
    <row r="637">
      <c r="A637" s="19" t="inlineStr">
        <is>
          <t>636</t>
        </is>
      </c>
      <c r="B637" s="19" t="inlineStr">
        <is>
          <t>92</t>
        </is>
      </c>
      <c r="C637" s="19" t="inlineStr">
        <is>
          <t>13</t>
        </is>
      </c>
      <c r="D637" t="n">
        <v>14</v>
      </c>
      <c r="E637" s="19" t="inlineStr">
        <is>
          <t>18</t>
        </is>
      </c>
      <c r="F637" t="n">
        <v>1</v>
      </c>
      <c r="G637" t="b">
        <v>0</v>
      </c>
      <c r="H637" t="inlineStr">
        <is>
          <t>UOM=M;WEIGHT_BASIS=PROCESSED_SOURCE_UNIT_WEIGHT;LINE_WEIGHT_KG=0.1736;SOURCE_CFG=IA-ST-CFG-0106;SRC_REF=Row 1299, Slot 1;SRC_FILE=Mamul Ambalaj Bileşen Listesi-30.07.2026(3).xlsx</t>
        </is>
      </c>
    </row>
    <row r="638">
      <c r="A638" s="19" t="inlineStr">
        <is>
          <t>637</t>
        </is>
      </c>
      <c r="B638" s="19" t="inlineStr">
        <is>
          <t>92</t>
        </is>
      </c>
      <c r="C638" s="19" t="inlineStr">
        <is>
          <t>5</t>
        </is>
      </c>
      <c r="D638" t="n">
        <v>1</v>
      </c>
      <c r="E638" s="19" t="inlineStr">
        <is>
          <t>18</t>
        </is>
      </c>
      <c r="F638" t="n">
        <v>2</v>
      </c>
      <c r="G638" t="b">
        <v>0</v>
      </c>
      <c r="H638" t="inlineStr">
        <is>
          <t>UOM=ADT;WEIGHT_BASIS=PROCESSED_SOURCE_UNIT_WEIGHT;LINE_WEIGHT_KG=26.0;SOURCE_CFG=IA-ST-CFG-0106;SRC_REF=Row 1299, Slot 3;SRC_FILE=Mamul Ambalaj Bileşen Listesi-30.07.2026(3).xlsx</t>
        </is>
      </c>
    </row>
    <row r="639">
      <c r="A639" s="19" t="inlineStr">
        <is>
          <t>638</t>
        </is>
      </c>
      <c r="B639" s="19" t="inlineStr">
        <is>
          <t>92</t>
        </is>
      </c>
      <c r="C639" s="19" t="inlineStr">
        <is>
          <t>8</t>
        </is>
      </c>
      <c r="D639" t="n">
        <v>20</v>
      </c>
      <c r="E639" s="19" t="inlineStr">
        <is>
          <t>18</t>
        </is>
      </c>
      <c r="F639" t="n">
        <v>3</v>
      </c>
      <c r="G639" t="b">
        <v>0</v>
      </c>
      <c r="H639" t="inlineStr">
        <is>
          <t>UOM=M;WEIGHT_BASIS=PROCESSED_SOURCE_UNIT_WEIGHT;LINE_WEIGHT_KG=0.3664;SOURCE_CFG=IA-ST-CFG-0106;SRC_REF=Row 1299, Slot 5;SRC_FILE=Mamul Ambalaj Bileşen Listesi-30.07.2026(3).xlsx</t>
        </is>
      </c>
    </row>
    <row r="640">
      <c r="A640" s="19" t="inlineStr">
        <is>
          <t>639</t>
        </is>
      </c>
      <c r="B640" s="19" t="inlineStr">
        <is>
          <t>92</t>
        </is>
      </c>
      <c r="C640" s="19" t="inlineStr">
        <is>
          <t>9</t>
        </is>
      </c>
      <c r="D640" t="n">
        <v>0.186</v>
      </c>
      <c r="E640" s="19" t="inlineStr">
        <is>
          <t>18</t>
        </is>
      </c>
      <c r="F640" t="n">
        <v>4</v>
      </c>
      <c r="G640" t="b">
        <v>0</v>
      </c>
      <c r="H640" t="inlineStr">
        <is>
          <t>UOM=KG;WEIGHT_BASIS=RECIPE_QUANTITY_IS_KG;LINE_WEIGHT_KG=0.186;SOURCE_CFG=IA-ST-CFG-0106;SRC_REF=Row 1299, Slot 6;SRC_FILE=Mamul Ambalaj Bileşen Listesi-30.07.2026(3).xlsx</t>
        </is>
      </c>
    </row>
    <row r="641">
      <c r="A641" s="19" t="inlineStr">
        <is>
          <t>640</t>
        </is>
      </c>
      <c r="B641" s="19" t="inlineStr">
        <is>
          <t>92</t>
        </is>
      </c>
      <c r="C641" s="19" t="inlineStr">
        <is>
          <t>23</t>
        </is>
      </c>
      <c r="D641" t="n">
        <v>1.824</v>
      </c>
      <c r="E641" s="19" t="inlineStr">
        <is>
          <t>18</t>
        </is>
      </c>
      <c r="F641" t="n">
        <v>5</v>
      </c>
      <c r="G641" t="b">
        <v>0</v>
      </c>
      <c r="H641" t="inlineStr">
        <is>
          <t>UOM=KG;WEIGHT_BASIS=RECIPE_QUANTITY_IS_KG;LINE_WEIGHT_KG=1.824;SOURCE_CFG=IA-ST-CFG-0106;SRC_REF=Row 1299, Slot 7;SRC_FILE=Mamul Ambalaj Bileşen Listesi-30.07.2026(3).xlsx</t>
        </is>
      </c>
    </row>
    <row r="642">
      <c r="A642" s="19" t="inlineStr">
        <is>
          <t>641</t>
        </is>
      </c>
      <c r="B642" s="19" t="inlineStr">
        <is>
          <t>92</t>
        </is>
      </c>
      <c r="C642" s="19" t="inlineStr">
        <is>
          <t>7</t>
        </is>
      </c>
      <c r="D642" t="n">
        <v>3</v>
      </c>
      <c r="E642" s="19" t="inlineStr">
        <is>
          <t>18</t>
        </is>
      </c>
      <c r="F642" t="n">
        <v>6</v>
      </c>
      <c r="G642" t="b">
        <v>0</v>
      </c>
      <c r="H642" t="inlineStr">
        <is>
          <t>UOM=ADT;WEIGHT_BASIS=PROCESSED_SOURCE_UNIT_WEIGHT;LINE_WEIGHT_KG=0.81;SOURCE_CFG=IA-ST-CFG-0106;SRC_REF=Row 1299, Slot 8;SRC_FILE=Mamul Ambalaj Bileşen Listesi-30.07.2026(3).xlsx</t>
        </is>
      </c>
    </row>
    <row r="643">
      <c r="A643" s="19" t="inlineStr">
        <is>
          <t>642</t>
        </is>
      </c>
      <c r="B643" s="19" t="inlineStr">
        <is>
          <t>92</t>
        </is>
      </c>
      <c r="C643" s="19" t="inlineStr">
        <is>
          <t>25</t>
        </is>
      </c>
      <c r="D643" t="n">
        <v>4</v>
      </c>
      <c r="E643" s="19" t="inlineStr">
        <is>
          <t>18</t>
        </is>
      </c>
      <c r="F643" t="n">
        <v>7</v>
      </c>
      <c r="G643" t="b">
        <v>0</v>
      </c>
      <c r="H643" t="inlineStr">
        <is>
          <t>UOM=ADT;WEIGHT_BASIS=PROCESSED_SOURCE_UNIT_WEIGHT;LINE_WEIGHT_KG=0.4;SOURCE_CFG=IA-ST-CFG-0106;SRC_REF=Row 1299, Slot 9;SRC_FILE=Mamul Ambalaj Bileşen Listesi-30.07.2026(3).xlsx</t>
        </is>
      </c>
    </row>
    <row r="644">
      <c r="A644" s="19" t="inlineStr">
        <is>
          <t>643</t>
        </is>
      </c>
      <c r="B644" s="19" t="inlineStr">
        <is>
          <t>93</t>
        </is>
      </c>
      <c r="C644" s="19" t="inlineStr">
        <is>
          <t>13</t>
        </is>
      </c>
      <c r="D644" t="n">
        <v>14</v>
      </c>
      <c r="E644" s="19" t="inlineStr">
        <is>
          <t>18</t>
        </is>
      </c>
      <c r="F644" t="n">
        <v>1</v>
      </c>
      <c r="G644" t="b">
        <v>0</v>
      </c>
      <c r="H644" t="inlineStr">
        <is>
          <t>UOM=M;WEIGHT_BASIS=PROCESSED_SOURCE_UNIT_WEIGHT;LINE_WEIGHT_KG=0.1736;SOURCE_CFG=IA-ST-CFG-0132;SRC_REF=Row 325, Slot 1;SRC_FILE=Mamul Ambalaj Bileşen Listesi-30.07.2026(3).xlsx</t>
        </is>
      </c>
    </row>
    <row r="645">
      <c r="A645" s="19" t="inlineStr">
        <is>
          <t>644</t>
        </is>
      </c>
      <c r="B645" s="19" t="inlineStr">
        <is>
          <t>93</t>
        </is>
      </c>
      <c r="C645" s="19" t="inlineStr">
        <is>
          <t>6</t>
        </is>
      </c>
      <c r="D645" t="n">
        <v>1</v>
      </c>
      <c r="E645" s="19" t="inlineStr">
        <is>
          <t>18</t>
        </is>
      </c>
      <c r="F645" t="n">
        <v>2</v>
      </c>
      <c r="G645" t="b">
        <v>0</v>
      </c>
      <c r="H645" t="inlineStr">
        <is>
          <t>UOM=ADT;WEIGHT_BASIS=PROCESSED_SOURCE_UNIT_WEIGHT;LINE_WEIGHT_KG=26.0;SOURCE_CFG=IA-ST-CFG-0132;SRC_REF=Row 325, Slot 3;SRC_FILE=Mamul Ambalaj Bileşen Listesi-30.07.2026(3).xlsx</t>
        </is>
      </c>
    </row>
    <row r="646">
      <c r="A646" s="19" t="inlineStr">
        <is>
          <t>645</t>
        </is>
      </c>
      <c r="B646" s="19" t="inlineStr">
        <is>
          <t>93</t>
        </is>
      </c>
      <c r="C646" s="19" t="inlineStr">
        <is>
          <t>8</t>
        </is>
      </c>
      <c r="D646" t="n">
        <v>20</v>
      </c>
      <c r="E646" s="19" t="inlineStr">
        <is>
          <t>18</t>
        </is>
      </c>
      <c r="F646" t="n">
        <v>3</v>
      </c>
      <c r="G646" t="b">
        <v>0</v>
      </c>
      <c r="H646" t="inlineStr">
        <is>
          <t>UOM=M;WEIGHT_BASIS=PROCESSED_SOURCE_UNIT_WEIGHT;LINE_WEIGHT_KG=0.3664;SOURCE_CFG=IA-ST-CFG-0132;SRC_REF=Row 325, Slot 5;SRC_FILE=Mamul Ambalaj Bileşen Listesi-30.07.2026(3).xlsx</t>
        </is>
      </c>
    </row>
    <row r="647">
      <c r="A647" s="19" t="inlineStr">
        <is>
          <t>646</t>
        </is>
      </c>
      <c r="B647" s="19" t="inlineStr">
        <is>
          <t>93</t>
        </is>
      </c>
      <c r="C647" s="19" t="inlineStr">
        <is>
          <t>9</t>
        </is>
      </c>
      <c r="D647" t="n">
        <v>0.186</v>
      </c>
      <c r="E647" s="19" t="inlineStr">
        <is>
          <t>18</t>
        </is>
      </c>
      <c r="F647" t="n">
        <v>4</v>
      </c>
      <c r="G647" t="b">
        <v>0</v>
      </c>
      <c r="H647" t="inlineStr">
        <is>
          <t>UOM=KG;WEIGHT_BASIS=RECIPE_QUANTITY_IS_KG;LINE_WEIGHT_KG=0.186;SOURCE_CFG=IA-ST-CFG-0132;SRC_REF=Row 325, Slot 6;SRC_FILE=Mamul Ambalaj Bileşen Listesi-30.07.2026(3).xlsx</t>
        </is>
      </c>
    </row>
    <row r="648">
      <c r="A648" s="19" t="inlineStr">
        <is>
          <t>647</t>
        </is>
      </c>
      <c r="B648" s="19" t="inlineStr">
        <is>
          <t>93</t>
        </is>
      </c>
      <c r="C648" s="19" t="inlineStr">
        <is>
          <t>25</t>
        </is>
      </c>
      <c r="D648" t="n">
        <v>4</v>
      </c>
      <c r="E648" s="19" t="inlineStr">
        <is>
          <t>18</t>
        </is>
      </c>
      <c r="F648" t="n">
        <v>5</v>
      </c>
      <c r="G648" t="b">
        <v>0</v>
      </c>
      <c r="H648" t="inlineStr">
        <is>
          <t>UOM=ADT;WEIGHT_BASIS=PROCESSED_SOURCE_UNIT_WEIGHT;LINE_WEIGHT_KG=0.4;SOURCE_CFG=IA-ST-CFG-0132;SRC_REF=Row 325, Slot 8;SRC_FILE=Mamul Ambalaj Bileşen Listesi-30.07.2026(3).xlsx</t>
        </is>
      </c>
    </row>
    <row r="649">
      <c r="A649" s="19" t="inlineStr">
        <is>
          <t>648</t>
        </is>
      </c>
      <c r="B649" s="19" t="inlineStr">
        <is>
          <t>93</t>
        </is>
      </c>
      <c r="C649" s="19" t="inlineStr">
        <is>
          <t>30</t>
        </is>
      </c>
      <c r="D649" t="n">
        <v>4</v>
      </c>
      <c r="E649" s="19" t="inlineStr">
        <is>
          <t>18</t>
        </is>
      </c>
      <c r="F649" t="n">
        <v>6</v>
      </c>
      <c r="G649" t="b">
        <v>0</v>
      </c>
      <c r="H649" t="inlineStr">
        <is>
          <t>UOM=ADT;WEIGHT_BASIS=PROCESSED_SOURCE_UNIT_WEIGHT;LINE_WEIGHT_KG=0.8;SOURCE_CFG=IA-ST-CFG-0132;SRC_REF=Row 325, Slot 9;SRC_FILE=Mamul Ambalaj Bileşen Listesi-30.07.2026(3).xlsx</t>
        </is>
      </c>
    </row>
    <row r="650">
      <c r="A650" s="19" t="inlineStr">
        <is>
          <t>649</t>
        </is>
      </c>
      <c r="B650" s="19" t="inlineStr">
        <is>
          <t>94</t>
        </is>
      </c>
      <c r="C650" s="19" t="inlineStr">
        <is>
          <t>13</t>
        </is>
      </c>
      <c r="D650" t="n">
        <v>7</v>
      </c>
      <c r="E650" s="19" t="inlineStr">
        <is>
          <t>18</t>
        </is>
      </c>
      <c r="F650" t="n">
        <v>1</v>
      </c>
      <c r="G650" t="b">
        <v>0</v>
      </c>
      <c r="H650" t="inlineStr">
        <is>
          <t>UOM=M;WEIGHT_BASIS=PROCESSED_SOURCE_UNIT_WEIGHT;LINE_WEIGHT_KG=0.0868;SOURCE_CFG=IA-ST-CFG-0133;SRC_REF=Row 1756, Slot 1;SRC_FILE=Mamul Ambalaj Bileşen Listesi-30.07.2026(3).xlsx</t>
        </is>
      </c>
    </row>
    <row r="651">
      <c r="A651" s="19" t="inlineStr">
        <is>
          <t>650</t>
        </is>
      </c>
      <c r="B651" s="19" t="inlineStr">
        <is>
          <t>94</t>
        </is>
      </c>
      <c r="C651" s="19" t="inlineStr">
        <is>
          <t>6</t>
        </is>
      </c>
      <c r="D651" t="n">
        <v>1</v>
      </c>
      <c r="E651" s="19" t="inlineStr">
        <is>
          <t>18</t>
        </is>
      </c>
      <c r="F651" t="n">
        <v>2</v>
      </c>
      <c r="G651" t="b">
        <v>0</v>
      </c>
      <c r="H651" t="inlineStr">
        <is>
          <t>UOM=ADT;WEIGHT_BASIS=PROCESSED_SOURCE_UNIT_WEIGHT;LINE_WEIGHT_KG=26.0;SOURCE_CFG=IA-ST-CFG-0133;SRC_REF=Row 1756, Slot 3;SRC_FILE=Mamul Ambalaj Bileşen Listesi-30.07.2026(3).xlsx</t>
        </is>
      </c>
    </row>
    <row r="652">
      <c r="A652" s="19" t="inlineStr">
        <is>
          <t>651</t>
        </is>
      </c>
      <c r="B652" s="19" t="inlineStr">
        <is>
          <t>94</t>
        </is>
      </c>
      <c r="C652" s="19" t="inlineStr">
        <is>
          <t>8</t>
        </is>
      </c>
      <c r="D652" t="n">
        <v>20</v>
      </c>
      <c r="E652" s="19" t="inlineStr">
        <is>
          <t>18</t>
        </is>
      </c>
      <c r="F652" t="n">
        <v>3</v>
      </c>
      <c r="G652" t="b">
        <v>0</v>
      </c>
      <c r="H652" t="inlineStr">
        <is>
          <t>UOM=M;WEIGHT_BASIS=PROCESSED_SOURCE_UNIT_WEIGHT;LINE_WEIGHT_KG=0.3664;SOURCE_CFG=IA-ST-CFG-0133;SRC_REF=Row 1756, Slot 5;SRC_FILE=Mamul Ambalaj Bileşen Listesi-30.07.2026(3).xlsx</t>
        </is>
      </c>
    </row>
    <row r="653">
      <c r="A653" s="19" t="inlineStr">
        <is>
          <t>652</t>
        </is>
      </c>
      <c r="B653" s="19" t="inlineStr">
        <is>
          <t>94</t>
        </is>
      </c>
      <c r="C653" s="19" t="inlineStr">
        <is>
          <t>9</t>
        </is>
      </c>
      <c r="D653" t="n">
        <v>0.186</v>
      </c>
      <c r="E653" s="19" t="inlineStr">
        <is>
          <t>18</t>
        </is>
      </c>
      <c r="F653" t="n">
        <v>4</v>
      </c>
      <c r="G653" t="b">
        <v>0</v>
      </c>
      <c r="H653" t="inlineStr">
        <is>
          <t>UOM=KG;WEIGHT_BASIS=RECIPE_QUANTITY_IS_KG;LINE_WEIGHT_KG=0.186;SOURCE_CFG=IA-ST-CFG-0133;SRC_REF=Row 1756, Slot 6;SRC_FILE=Mamul Ambalaj Bileşen Listesi-30.07.2026(3).xlsx</t>
        </is>
      </c>
    </row>
    <row r="654">
      <c r="A654" s="19" t="inlineStr">
        <is>
          <t>653</t>
        </is>
      </c>
      <c r="B654" s="19" t="inlineStr">
        <is>
          <t>94</t>
        </is>
      </c>
      <c r="C654" s="19" t="inlineStr">
        <is>
          <t>23</t>
        </is>
      </c>
      <c r="D654" t="n">
        <v>1.579</v>
      </c>
      <c r="E654" s="19" t="inlineStr">
        <is>
          <t>18</t>
        </is>
      </c>
      <c r="F654" t="n">
        <v>5</v>
      </c>
      <c r="G654" t="b">
        <v>0</v>
      </c>
      <c r="H654" t="inlineStr">
        <is>
          <t>UOM=KG;WEIGHT_BASIS=RECIPE_QUANTITY_IS_KG;LINE_WEIGHT_KG=1.579;SOURCE_CFG=IA-ST-CFG-0133;SRC_REF=Row 1756, Slot 7;SRC_FILE=Mamul Ambalaj Bileşen Listesi-30.07.2026(3).xlsx</t>
        </is>
      </c>
    </row>
    <row r="655">
      <c r="A655" s="19" t="inlineStr">
        <is>
          <t>654</t>
        </is>
      </c>
      <c r="B655" s="19" t="inlineStr">
        <is>
          <t>94</t>
        </is>
      </c>
      <c r="C655" s="19" t="inlineStr">
        <is>
          <t>25</t>
        </is>
      </c>
      <c r="D655" t="n">
        <v>2</v>
      </c>
      <c r="E655" s="19" t="inlineStr">
        <is>
          <t>18</t>
        </is>
      </c>
      <c r="F655" t="n">
        <v>6</v>
      </c>
      <c r="G655" t="b">
        <v>0</v>
      </c>
      <c r="H655" t="inlineStr">
        <is>
          <t>UOM=ADT;WEIGHT_BASIS=PROCESSED_SOURCE_UNIT_WEIGHT;LINE_WEIGHT_KG=0.2;SOURCE_CFG=IA-ST-CFG-0133;SRC_REF=Row 1756, Slot 8;SRC_FILE=Mamul Ambalaj Bileşen Listesi-30.07.2026(3).xlsx</t>
        </is>
      </c>
    </row>
    <row r="656">
      <c r="A656" s="19" t="inlineStr">
        <is>
          <t>655</t>
        </is>
      </c>
      <c r="B656" s="19" t="inlineStr">
        <is>
          <t>94</t>
        </is>
      </c>
      <c r="C656" s="19" t="inlineStr">
        <is>
          <t>30</t>
        </is>
      </c>
      <c r="D656" t="n">
        <v>4</v>
      </c>
      <c r="E656" s="19" t="inlineStr">
        <is>
          <t>18</t>
        </is>
      </c>
      <c r="F656" t="n">
        <v>7</v>
      </c>
      <c r="G656" t="b">
        <v>0</v>
      </c>
      <c r="H656" t="inlineStr">
        <is>
          <t>UOM=ADT;WEIGHT_BASIS=PROCESSED_SOURCE_UNIT_WEIGHT;LINE_WEIGHT_KG=0.8;SOURCE_CFG=IA-ST-CFG-0133;SRC_REF=Row 1756, Slot 9;SRC_FILE=Mamul Ambalaj Bileşen Listesi-30.07.2026(3).xlsx</t>
        </is>
      </c>
    </row>
    <row r="657">
      <c r="A657" s="19" t="inlineStr">
        <is>
          <t>656</t>
        </is>
      </c>
      <c r="B657" s="19" t="inlineStr">
        <is>
          <t>95</t>
        </is>
      </c>
      <c r="C657" s="19" t="inlineStr">
        <is>
          <t>13</t>
        </is>
      </c>
      <c r="D657" t="n">
        <v>7</v>
      </c>
      <c r="E657" s="19" t="inlineStr">
        <is>
          <t>18</t>
        </is>
      </c>
      <c r="F657" t="n">
        <v>1</v>
      </c>
      <c r="G657" t="b">
        <v>0</v>
      </c>
      <c r="H657" t="inlineStr">
        <is>
          <t>UOM=M;WEIGHT_BASIS=PROCESSED_SOURCE_UNIT_WEIGHT;LINE_WEIGHT_KG=0.0868;SOURCE_CFG=IA-ST-CFG-0134;SRC_REF=Row 715, Slot 1;SRC_FILE=Mamul Ambalaj Bileşen Listesi-30.07.2026(3).xlsx</t>
        </is>
      </c>
    </row>
    <row r="658">
      <c r="A658" s="19" t="inlineStr">
        <is>
          <t>657</t>
        </is>
      </c>
      <c r="B658" s="19" t="inlineStr">
        <is>
          <t>95</t>
        </is>
      </c>
      <c r="C658" s="19" t="inlineStr">
        <is>
          <t>6</t>
        </is>
      </c>
      <c r="D658" t="n">
        <v>1</v>
      </c>
      <c r="E658" s="19" t="inlineStr">
        <is>
          <t>18</t>
        </is>
      </c>
      <c r="F658" t="n">
        <v>2</v>
      </c>
      <c r="G658" t="b">
        <v>0</v>
      </c>
      <c r="H658" t="inlineStr">
        <is>
          <t>UOM=ADT;WEIGHT_BASIS=PROCESSED_SOURCE_UNIT_WEIGHT;LINE_WEIGHT_KG=26.0;SOURCE_CFG=IA-ST-CFG-0134;SRC_REF=Row 715, Slot 3;SRC_FILE=Mamul Ambalaj Bileşen Listesi-30.07.2026(3).xlsx</t>
        </is>
      </c>
    </row>
    <row r="659">
      <c r="A659" s="19" t="inlineStr">
        <is>
          <t>658</t>
        </is>
      </c>
      <c r="B659" s="19" t="inlineStr">
        <is>
          <t>95</t>
        </is>
      </c>
      <c r="C659" s="19" t="inlineStr">
        <is>
          <t>8</t>
        </is>
      </c>
      <c r="D659" t="n">
        <v>20</v>
      </c>
      <c r="E659" s="19" t="inlineStr">
        <is>
          <t>18</t>
        </is>
      </c>
      <c r="F659" t="n">
        <v>3</v>
      </c>
      <c r="G659" t="b">
        <v>0</v>
      </c>
      <c r="H659" t="inlineStr">
        <is>
          <t>UOM=M;WEIGHT_BASIS=PROCESSED_SOURCE_UNIT_WEIGHT;LINE_WEIGHT_KG=0.3664;SOURCE_CFG=IA-ST-CFG-0134;SRC_REF=Row 715, Slot 5;SRC_FILE=Mamul Ambalaj Bileşen Listesi-30.07.2026(3).xlsx</t>
        </is>
      </c>
    </row>
    <row r="660">
      <c r="A660" s="19" t="inlineStr">
        <is>
          <t>659</t>
        </is>
      </c>
      <c r="B660" s="19" t="inlineStr">
        <is>
          <t>95</t>
        </is>
      </c>
      <c r="C660" s="19" t="inlineStr">
        <is>
          <t>9</t>
        </is>
      </c>
      <c r="D660" t="n">
        <v>0.186</v>
      </c>
      <c r="E660" s="19" t="inlineStr">
        <is>
          <t>18</t>
        </is>
      </c>
      <c r="F660" t="n">
        <v>4</v>
      </c>
      <c r="G660" t="b">
        <v>0</v>
      </c>
      <c r="H660" t="inlineStr">
        <is>
          <t>UOM=KG;WEIGHT_BASIS=RECIPE_QUANTITY_IS_KG;LINE_WEIGHT_KG=0.186;SOURCE_CFG=IA-ST-CFG-0134;SRC_REF=Row 715, Slot 6;SRC_FILE=Mamul Ambalaj Bileşen Listesi-30.07.2026(3).xlsx</t>
        </is>
      </c>
    </row>
    <row r="661">
      <c r="A661" s="19" t="inlineStr">
        <is>
          <t>660</t>
        </is>
      </c>
      <c r="B661" s="19" t="inlineStr">
        <is>
          <t>95</t>
        </is>
      </c>
      <c r="C661" s="19" t="inlineStr">
        <is>
          <t>23</t>
        </is>
      </c>
      <c r="D661" t="n">
        <v>1.684</v>
      </c>
      <c r="E661" s="19" t="inlineStr">
        <is>
          <t>18</t>
        </is>
      </c>
      <c r="F661" t="n">
        <v>5</v>
      </c>
      <c r="G661" t="b">
        <v>0</v>
      </c>
      <c r="H661" t="inlineStr">
        <is>
          <t>UOM=KG;WEIGHT_BASIS=RECIPE_QUANTITY_IS_KG;LINE_WEIGHT_KG=1.684;SOURCE_CFG=IA-ST-CFG-0134;SRC_REF=Row 715, Slot 7;SRC_FILE=Mamul Ambalaj Bileşen Listesi-30.07.2026(3).xlsx</t>
        </is>
      </c>
    </row>
    <row r="662">
      <c r="A662" s="19" t="inlineStr">
        <is>
          <t>661</t>
        </is>
      </c>
      <c r="B662" s="19" t="inlineStr">
        <is>
          <t>95</t>
        </is>
      </c>
      <c r="C662" s="19" t="inlineStr">
        <is>
          <t>25</t>
        </is>
      </c>
      <c r="D662" t="n">
        <v>2</v>
      </c>
      <c r="E662" s="19" t="inlineStr">
        <is>
          <t>18</t>
        </is>
      </c>
      <c r="F662" t="n">
        <v>6</v>
      </c>
      <c r="G662" t="b">
        <v>0</v>
      </c>
      <c r="H662" t="inlineStr">
        <is>
          <t>UOM=ADT;WEIGHT_BASIS=PROCESSED_SOURCE_UNIT_WEIGHT;LINE_WEIGHT_KG=0.2;SOURCE_CFG=IA-ST-CFG-0134;SRC_REF=Row 715, Slot 8;SRC_FILE=Mamul Ambalaj Bileşen Listesi-30.07.2026(3).xlsx</t>
        </is>
      </c>
    </row>
    <row r="663">
      <c r="A663" s="19" t="inlineStr">
        <is>
          <t>662</t>
        </is>
      </c>
      <c r="B663" s="19" t="inlineStr">
        <is>
          <t>95</t>
        </is>
      </c>
      <c r="C663" s="19" t="inlineStr">
        <is>
          <t>30</t>
        </is>
      </c>
      <c r="D663" t="n">
        <v>4</v>
      </c>
      <c r="E663" s="19" t="inlineStr">
        <is>
          <t>18</t>
        </is>
      </c>
      <c r="F663" t="n">
        <v>7</v>
      </c>
      <c r="G663" t="b">
        <v>0</v>
      </c>
      <c r="H663" t="inlineStr">
        <is>
          <t>UOM=ADT;WEIGHT_BASIS=PROCESSED_SOURCE_UNIT_WEIGHT;LINE_WEIGHT_KG=0.8;SOURCE_CFG=IA-ST-CFG-0134;SRC_REF=Row 715, Slot 9;SRC_FILE=Mamul Ambalaj Bileşen Listesi-30.07.2026(3).xlsx</t>
        </is>
      </c>
    </row>
    <row r="664">
      <c r="A664" s="19" t="inlineStr">
        <is>
          <t>663</t>
        </is>
      </c>
      <c r="B664" s="19" t="inlineStr">
        <is>
          <t>96</t>
        </is>
      </c>
      <c r="C664" s="19" t="inlineStr">
        <is>
          <t>13</t>
        </is>
      </c>
      <c r="D664" t="n">
        <v>7</v>
      </c>
      <c r="E664" s="19" t="inlineStr">
        <is>
          <t>18</t>
        </is>
      </c>
      <c r="F664" t="n">
        <v>1</v>
      </c>
      <c r="G664" t="b">
        <v>0</v>
      </c>
      <c r="H664" t="inlineStr">
        <is>
          <t>UOM=M;WEIGHT_BASIS=PROCESSED_SOURCE_UNIT_WEIGHT;LINE_WEIGHT_KG=0.0868;SOURCE_CFG=IA-ST-CFG-0135;SRC_REF=Row 774, Slot 1;SRC_FILE=Mamul Ambalaj Bileşen Listesi-30.07.2026(3).xlsx</t>
        </is>
      </c>
    </row>
    <row r="665">
      <c r="A665" s="19" t="inlineStr">
        <is>
          <t>664</t>
        </is>
      </c>
      <c r="B665" s="19" t="inlineStr">
        <is>
          <t>96</t>
        </is>
      </c>
      <c r="C665" s="19" t="inlineStr">
        <is>
          <t>6</t>
        </is>
      </c>
      <c r="D665" t="n">
        <v>1</v>
      </c>
      <c r="E665" s="19" t="inlineStr">
        <is>
          <t>18</t>
        </is>
      </c>
      <c r="F665" t="n">
        <v>2</v>
      </c>
      <c r="G665" t="b">
        <v>0</v>
      </c>
      <c r="H665" t="inlineStr">
        <is>
          <t>UOM=ADT;WEIGHT_BASIS=PROCESSED_SOURCE_UNIT_WEIGHT;LINE_WEIGHT_KG=26.0;SOURCE_CFG=IA-ST-CFG-0135;SRC_REF=Row 774, Slot 3;SRC_FILE=Mamul Ambalaj Bileşen Listesi-30.07.2026(3).xlsx</t>
        </is>
      </c>
    </row>
    <row r="666">
      <c r="A666" s="19" t="inlineStr">
        <is>
          <t>665</t>
        </is>
      </c>
      <c r="B666" s="19" t="inlineStr">
        <is>
          <t>96</t>
        </is>
      </c>
      <c r="C666" s="19" t="inlineStr">
        <is>
          <t>8</t>
        </is>
      </c>
      <c r="D666" t="n">
        <v>20</v>
      </c>
      <c r="E666" s="19" t="inlineStr">
        <is>
          <t>18</t>
        </is>
      </c>
      <c r="F666" t="n">
        <v>3</v>
      </c>
      <c r="G666" t="b">
        <v>0</v>
      </c>
      <c r="H666" t="inlineStr">
        <is>
          <t>UOM=M;WEIGHT_BASIS=PROCESSED_SOURCE_UNIT_WEIGHT;LINE_WEIGHT_KG=0.3664;SOURCE_CFG=IA-ST-CFG-0135;SRC_REF=Row 774, Slot 5;SRC_FILE=Mamul Ambalaj Bileşen Listesi-30.07.2026(3).xlsx</t>
        </is>
      </c>
    </row>
    <row r="667">
      <c r="A667" s="19" t="inlineStr">
        <is>
          <t>666</t>
        </is>
      </c>
      <c r="B667" s="19" t="inlineStr">
        <is>
          <t>96</t>
        </is>
      </c>
      <c r="C667" s="19" t="inlineStr">
        <is>
          <t>9</t>
        </is>
      </c>
      <c r="D667" t="n">
        <v>0.186</v>
      </c>
      <c r="E667" s="19" t="inlineStr">
        <is>
          <t>18</t>
        </is>
      </c>
      <c r="F667" t="n">
        <v>4</v>
      </c>
      <c r="G667" t="b">
        <v>0</v>
      </c>
      <c r="H667" t="inlineStr">
        <is>
          <t>UOM=KG;WEIGHT_BASIS=RECIPE_QUANTITY_IS_KG;LINE_WEIGHT_KG=0.186;SOURCE_CFG=IA-ST-CFG-0135;SRC_REF=Row 774, Slot 6;SRC_FILE=Mamul Ambalaj Bileşen Listesi-30.07.2026(3).xlsx</t>
        </is>
      </c>
    </row>
    <row r="668">
      <c r="A668" s="19" t="inlineStr">
        <is>
          <t>667</t>
        </is>
      </c>
      <c r="B668" s="19" t="inlineStr">
        <is>
          <t>96</t>
        </is>
      </c>
      <c r="C668" s="19" t="inlineStr">
        <is>
          <t>25</t>
        </is>
      </c>
      <c r="D668" t="n">
        <v>2</v>
      </c>
      <c r="E668" s="19" t="inlineStr">
        <is>
          <t>18</t>
        </is>
      </c>
      <c r="F668" t="n">
        <v>5</v>
      </c>
      <c r="G668" t="b">
        <v>0</v>
      </c>
      <c r="H668" t="inlineStr">
        <is>
          <t>UOM=ADT;WEIGHT_BASIS=PROCESSED_SOURCE_UNIT_WEIGHT;LINE_WEIGHT_KG=0.2;SOURCE_CFG=IA-ST-CFG-0135;SRC_REF=Row 774, Slot 8;SRC_FILE=Mamul Ambalaj Bileşen Listesi-30.07.2026(3).xlsx</t>
        </is>
      </c>
    </row>
    <row r="669">
      <c r="A669" s="19" t="inlineStr">
        <is>
          <t>668</t>
        </is>
      </c>
      <c r="B669" s="19" t="inlineStr">
        <is>
          <t>96</t>
        </is>
      </c>
      <c r="C669" s="19" t="inlineStr">
        <is>
          <t>30</t>
        </is>
      </c>
      <c r="D669" t="n">
        <v>4</v>
      </c>
      <c r="E669" s="19" t="inlineStr">
        <is>
          <t>18</t>
        </is>
      </c>
      <c r="F669" t="n">
        <v>6</v>
      </c>
      <c r="G669" t="b">
        <v>0</v>
      </c>
      <c r="H669" t="inlineStr">
        <is>
          <t>UOM=ADT;WEIGHT_BASIS=PROCESSED_SOURCE_UNIT_WEIGHT;LINE_WEIGHT_KG=0.8;SOURCE_CFG=IA-ST-CFG-0135;SRC_REF=Row 774, Slot 9;SRC_FILE=Mamul Ambalaj Bileşen Listesi-30.07.2026(3).xlsx</t>
        </is>
      </c>
    </row>
    <row r="670">
      <c r="A670" s="19" t="inlineStr">
        <is>
          <t>669</t>
        </is>
      </c>
      <c r="B670" s="19" t="inlineStr">
        <is>
          <t>97</t>
        </is>
      </c>
      <c r="C670" s="19" t="inlineStr">
        <is>
          <t>13</t>
        </is>
      </c>
      <c r="D670" t="n">
        <v>14</v>
      </c>
      <c r="E670" s="19" t="inlineStr">
        <is>
          <t>18</t>
        </is>
      </c>
      <c r="F670" t="n">
        <v>1</v>
      </c>
      <c r="G670" t="b">
        <v>0</v>
      </c>
      <c r="H670" t="inlineStr">
        <is>
          <t>UOM=M;WEIGHT_BASIS=PROCESSED_SOURCE_UNIT_WEIGHT;LINE_WEIGHT_KG=0.1736;SOURCE_CFG=IA-ST-CFG-0122;SRC_REF=Row 426, Slot 1;SRC_FILE=Mamul Ambalaj Bileşen Listesi-30.07.2026(3).xlsx</t>
        </is>
      </c>
    </row>
    <row r="671">
      <c r="A671" s="19" t="inlineStr">
        <is>
          <t>670</t>
        </is>
      </c>
      <c r="B671" s="19" t="inlineStr">
        <is>
          <t>97</t>
        </is>
      </c>
      <c r="C671" s="19" t="inlineStr">
        <is>
          <t>77</t>
        </is>
      </c>
      <c r="D671" t="n">
        <v>51</v>
      </c>
      <c r="E671" s="19" t="inlineStr">
        <is>
          <t>18</t>
        </is>
      </c>
      <c r="F671" t="n">
        <v>2</v>
      </c>
      <c r="G671" t="b">
        <v>0</v>
      </c>
      <c r="H671" t="inlineStr">
        <is>
          <t>UOM=ADT;WEIGHT_BASIS=SOURCE_UNIT_WEIGHT;LINE_WEIGHT_KG=3.1824;SOURCE_CFG=IA-ST-CFG-0122;SRC_REF=Row 426, Slot 2;SRC_FILE=Mamul Ambalaj Bileşen Listesi-30.07.2026(3).xlsx</t>
        </is>
      </c>
    </row>
    <row r="672">
      <c r="A672" s="19" t="inlineStr">
        <is>
          <t>671</t>
        </is>
      </c>
      <c r="B672" s="19" t="inlineStr">
        <is>
          <t>97</t>
        </is>
      </c>
      <c r="C672" s="19" t="inlineStr">
        <is>
          <t>5</t>
        </is>
      </c>
      <c r="D672" t="n">
        <v>1</v>
      </c>
      <c r="E672" s="19" t="inlineStr">
        <is>
          <t>18</t>
        </is>
      </c>
      <c r="F672" t="n">
        <v>3</v>
      </c>
      <c r="G672" t="b">
        <v>0</v>
      </c>
      <c r="H672" t="inlineStr">
        <is>
          <t>UOM=ADT;WEIGHT_BASIS=PROCESSED_SOURCE_UNIT_WEIGHT;LINE_WEIGHT_KG=26.0;SOURCE_CFG=IA-ST-CFG-0122;SRC_REF=Row 426, Slot 3;SRC_FILE=Mamul Ambalaj Bileşen Listesi-30.07.2026(3).xlsx</t>
        </is>
      </c>
    </row>
    <row r="673">
      <c r="A673" s="19" t="inlineStr">
        <is>
          <t>672</t>
        </is>
      </c>
      <c r="B673" s="19" t="inlineStr">
        <is>
          <t>97</t>
        </is>
      </c>
      <c r="C673" s="19" t="inlineStr">
        <is>
          <t>8</t>
        </is>
      </c>
      <c r="D673" t="n">
        <v>20</v>
      </c>
      <c r="E673" s="19" t="inlineStr">
        <is>
          <t>18</t>
        </is>
      </c>
      <c r="F673" t="n">
        <v>4</v>
      </c>
      <c r="G673" t="b">
        <v>0</v>
      </c>
      <c r="H673" t="inlineStr">
        <is>
          <t>UOM=M;WEIGHT_BASIS=PROCESSED_SOURCE_UNIT_WEIGHT;LINE_WEIGHT_KG=0.3664;SOURCE_CFG=IA-ST-CFG-0122;SRC_REF=Row 426, Slot 5;SRC_FILE=Mamul Ambalaj Bileşen Listesi-30.07.2026(3).xlsx</t>
        </is>
      </c>
    </row>
    <row r="674">
      <c r="A674" s="19" t="inlineStr">
        <is>
          <t>673</t>
        </is>
      </c>
      <c r="B674" s="19" t="inlineStr">
        <is>
          <t>97</t>
        </is>
      </c>
      <c r="C674" s="19" t="inlineStr">
        <is>
          <t>9</t>
        </is>
      </c>
      <c r="D674" t="n">
        <v>0.186</v>
      </c>
      <c r="E674" s="19" t="inlineStr">
        <is>
          <t>18</t>
        </is>
      </c>
      <c r="F674" t="n">
        <v>5</v>
      </c>
      <c r="G674" t="b">
        <v>0</v>
      </c>
      <c r="H674" t="inlineStr">
        <is>
          <t>UOM=KG;WEIGHT_BASIS=RECIPE_QUANTITY_IS_KG;LINE_WEIGHT_KG=0.186;SOURCE_CFG=IA-ST-CFG-0122;SRC_REF=Row 426, Slot 6;SRC_FILE=Mamul Ambalaj Bileşen Listesi-30.07.2026(3).xlsx</t>
        </is>
      </c>
    </row>
    <row r="675">
      <c r="A675" s="19" t="inlineStr">
        <is>
          <t>674</t>
        </is>
      </c>
      <c r="B675" s="19" t="inlineStr">
        <is>
          <t>97</t>
        </is>
      </c>
      <c r="C675" s="19" t="inlineStr">
        <is>
          <t>3</t>
        </is>
      </c>
      <c r="D675" t="n">
        <v>6</v>
      </c>
      <c r="E675" s="19" t="inlineStr">
        <is>
          <t>18</t>
        </is>
      </c>
      <c r="F675" t="n">
        <v>6</v>
      </c>
      <c r="G675" t="b">
        <v>0</v>
      </c>
      <c r="H675" t="inlineStr">
        <is>
          <t>UOM=ADT;WEIGHT_BASIS=PROCESSED_SOURCE_UNIT_WEIGHT;LINE_WEIGHT_KG=1.26;SOURCE_CFG=IA-ST-CFG-0122;SRC_REF=Row 426, Slot 8;SRC_FILE=Mamul Ambalaj Bileşen Listesi-30.07.2026(3).xlsx</t>
        </is>
      </c>
    </row>
    <row r="676">
      <c r="A676" s="19" t="inlineStr">
        <is>
          <t>675</t>
        </is>
      </c>
      <c r="B676" s="19" t="inlineStr">
        <is>
          <t>97</t>
        </is>
      </c>
      <c r="C676" s="19" t="inlineStr">
        <is>
          <t>7</t>
        </is>
      </c>
      <c r="D676" t="n">
        <v>4</v>
      </c>
      <c r="E676" s="19" t="inlineStr">
        <is>
          <t>18</t>
        </is>
      </c>
      <c r="F676" t="n">
        <v>7</v>
      </c>
      <c r="G676" t="b">
        <v>0</v>
      </c>
      <c r="H676" t="inlineStr">
        <is>
          <t>UOM=ADT;WEIGHT_BASIS=PROCESSED_SOURCE_UNIT_WEIGHT;LINE_WEIGHT_KG=1.08;SOURCE_CFG=IA-ST-CFG-0122;SRC_REF=Row 426, Slot 9;SRC_FILE=Mamul Ambalaj Bileşen Listesi-30.07.2026(3).xlsx</t>
        </is>
      </c>
    </row>
    <row r="677">
      <c r="A677" s="19" t="inlineStr">
        <is>
          <t>676</t>
        </is>
      </c>
      <c r="B677" s="19" t="inlineStr">
        <is>
          <t>97</t>
        </is>
      </c>
      <c r="C677" s="19" t="inlineStr">
        <is>
          <t>39</t>
        </is>
      </c>
      <c r="D677" t="n">
        <v>51</v>
      </c>
      <c r="E677" s="19" t="inlineStr">
        <is>
          <t>18</t>
        </is>
      </c>
      <c r="F677" t="n">
        <v>8</v>
      </c>
      <c r="G677" t="b">
        <v>0</v>
      </c>
      <c r="H677" t="inlineStr">
        <is>
          <t>UOM=ADT;WEIGHT_BASIS=PROCESSED_SOURCE_UNIT_WEIGHT;LINE_WEIGHT_KG=14.79;SOURCE_CFG=IA-ST-CFG-0122;SRC_REF=Row 426, Slot 10;SRC_FILE=Mamul Ambalaj Bileşen Listesi-30.07.2026(3).xlsx</t>
        </is>
      </c>
    </row>
    <row r="678">
      <c r="A678" s="19" t="inlineStr">
        <is>
          <t>677</t>
        </is>
      </c>
      <c r="B678" s="19" t="inlineStr">
        <is>
          <t>98</t>
        </is>
      </c>
      <c r="C678" s="19" t="inlineStr">
        <is>
          <t>13</t>
        </is>
      </c>
      <c r="D678" t="n">
        <v>14</v>
      </c>
      <c r="E678" s="19" t="inlineStr">
        <is>
          <t>18</t>
        </is>
      </c>
      <c r="F678" t="n">
        <v>1</v>
      </c>
      <c r="G678" t="b">
        <v>0</v>
      </c>
      <c r="H678" t="inlineStr">
        <is>
          <t>UOM=M;WEIGHT_BASIS=PROCESSED_SOURCE_UNIT_WEIGHT;LINE_WEIGHT_KG=0.1736;SOURCE_CFG=IA-ST-CFG-0123;SRC_REF=Row 1101, Slot 1;SRC_FILE=Mamul Ambalaj Bileşen Listesi-30.07.2026(3).xlsx</t>
        </is>
      </c>
    </row>
    <row r="679">
      <c r="A679" s="19" t="inlineStr">
        <is>
          <t>678</t>
        </is>
      </c>
      <c r="B679" s="19" t="inlineStr">
        <is>
          <t>98</t>
        </is>
      </c>
      <c r="C679" s="19" t="inlineStr">
        <is>
          <t>77</t>
        </is>
      </c>
      <c r="D679" t="n">
        <v>51</v>
      </c>
      <c r="E679" s="19" t="inlineStr">
        <is>
          <t>18</t>
        </is>
      </c>
      <c r="F679" t="n">
        <v>2</v>
      </c>
      <c r="G679" t="b">
        <v>0</v>
      </c>
      <c r="H679" t="inlineStr">
        <is>
          <t>UOM=ADT;WEIGHT_BASIS=SOURCE_UNIT_WEIGHT;LINE_WEIGHT_KG=3.1824;SOURCE_CFG=IA-ST-CFG-0123;SRC_REF=Row 1101, Slot 2;SRC_FILE=Mamul Ambalaj Bileşen Listesi-30.07.2026(3).xlsx</t>
        </is>
      </c>
    </row>
    <row r="680">
      <c r="A680" s="19" t="inlineStr">
        <is>
          <t>679</t>
        </is>
      </c>
      <c r="B680" s="19" t="inlineStr">
        <is>
          <t>98</t>
        </is>
      </c>
      <c r="C680" s="19" t="inlineStr">
        <is>
          <t>5</t>
        </is>
      </c>
      <c r="D680" t="n">
        <v>1</v>
      </c>
      <c r="E680" s="19" t="inlineStr">
        <is>
          <t>18</t>
        </is>
      </c>
      <c r="F680" t="n">
        <v>3</v>
      </c>
      <c r="G680" t="b">
        <v>0</v>
      </c>
      <c r="H680" t="inlineStr">
        <is>
          <t>UOM=ADT;WEIGHT_BASIS=PROCESSED_SOURCE_UNIT_WEIGHT;LINE_WEIGHT_KG=26.0;SOURCE_CFG=IA-ST-CFG-0123;SRC_REF=Row 1101, Slot 3;SRC_FILE=Mamul Ambalaj Bileşen Listesi-30.07.2026(3).xlsx</t>
        </is>
      </c>
    </row>
    <row r="681">
      <c r="A681" s="19" t="inlineStr">
        <is>
          <t>680</t>
        </is>
      </c>
      <c r="B681" s="19" t="inlineStr">
        <is>
          <t>98</t>
        </is>
      </c>
      <c r="C681" s="19" t="inlineStr">
        <is>
          <t>8</t>
        </is>
      </c>
      <c r="D681" t="n">
        <v>20</v>
      </c>
      <c r="E681" s="19" t="inlineStr">
        <is>
          <t>18</t>
        </is>
      </c>
      <c r="F681" t="n">
        <v>4</v>
      </c>
      <c r="G681" t="b">
        <v>0</v>
      </c>
      <c r="H681" t="inlineStr">
        <is>
          <t>UOM=M;WEIGHT_BASIS=PROCESSED_SOURCE_UNIT_WEIGHT;LINE_WEIGHT_KG=0.3664;SOURCE_CFG=IA-ST-CFG-0123;SRC_REF=Row 1101, Slot 5;SRC_FILE=Mamul Ambalaj Bileşen Listesi-30.07.2026(3).xlsx</t>
        </is>
      </c>
    </row>
    <row r="682">
      <c r="A682" s="19" t="inlineStr">
        <is>
          <t>681</t>
        </is>
      </c>
      <c r="B682" s="19" t="inlineStr">
        <is>
          <t>98</t>
        </is>
      </c>
      <c r="C682" s="19" t="inlineStr">
        <is>
          <t>9</t>
        </is>
      </c>
      <c r="D682" t="n">
        <v>0.186</v>
      </c>
      <c r="E682" s="19" t="inlineStr">
        <is>
          <t>18</t>
        </is>
      </c>
      <c r="F682" t="n">
        <v>5</v>
      </c>
      <c r="G682" t="b">
        <v>0</v>
      </c>
      <c r="H682" t="inlineStr">
        <is>
          <t>UOM=KG;WEIGHT_BASIS=RECIPE_QUANTITY_IS_KG;LINE_WEIGHT_KG=0.186;SOURCE_CFG=IA-ST-CFG-0123;SRC_REF=Row 1101, Slot 6;SRC_FILE=Mamul Ambalaj Bileşen Listesi-30.07.2026(3).xlsx</t>
        </is>
      </c>
    </row>
    <row r="683">
      <c r="A683" s="19" t="inlineStr">
        <is>
          <t>682</t>
        </is>
      </c>
      <c r="B683" s="19" t="inlineStr">
        <is>
          <t>98</t>
        </is>
      </c>
      <c r="C683" s="19" t="inlineStr">
        <is>
          <t>3</t>
        </is>
      </c>
      <c r="D683" t="n">
        <v>6</v>
      </c>
      <c r="E683" s="19" t="inlineStr">
        <is>
          <t>18</t>
        </is>
      </c>
      <c r="F683" t="n">
        <v>6</v>
      </c>
      <c r="G683" t="b">
        <v>0</v>
      </c>
      <c r="H683" t="inlineStr">
        <is>
          <t>UOM=ADT;WEIGHT_BASIS=PROCESSED_SOURCE_UNIT_WEIGHT;LINE_WEIGHT_KG=1.26;SOURCE_CFG=IA-ST-CFG-0123;SRC_REF=Row 1101, Slot 8;SRC_FILE=Mamul Ambalaj Bileşen Listesi-30.07.2026(3).xlsx</t>
        </is>
      </c>
    </row>
    <row r="684">
      <c r="A684" s="19" t="inlineStr">
        <is>
          <t>683</t>
        </is>
      </c>
      <c r="B684" s="19" t="inlineStr">
        <is>
          <t>98</t>
        </is>
      </c>
      <c r="C684" s="19" t="inlineStr">
        <is>
          <t>7</t>
        </is>
      </c>
      <c r="D684" t="n">
        <v>4</v>
      </c>
      <c r="E684" s="19" t="inlineStr">
        <is>
          <t>18</t>
        </is>
      </c>
      <c r="F684" t="n">
        <v>7</v>
      </c>
      <c r="G684" t="b">
        <v>0</v>
      </c>
      <c r="H684" t="inlineStr">
        <is>
          <t>UOM=ADT;WEIGHT_BASIS=PROCESSED_SOURCE_UNIT_WEIGHT;LINE_WEIGHT_KG=1.08;SOURCE_CFG=IA-ST-CFG-0123;SRC_REF=Row 1101, Slot 9;SRC_FILE=Mamul Ambalaj Bileşen Listesi-30.07.2026(3).xlsx</t>
        </is>
      </c>
    </row>
    <row r="685">
      <c r="A685" s="19" t="inlineStr">
        <is>
          <t>684</t>
        </is>
      </c>
      <c r="B685" s="19" t="inlineStr">
        <is>
          <t>98</t>
        </is>
      </c>
      <c r="C685" s="19" t="inlineStr">
        <is>
          <t>50</t>
        </is>
      </c>
      <c r="D685" t="n">
        <v>51</v>
      </c>
      <c r="E685" s="19" t="inlineStr">
        <is>
          <t>18</t>
        </is>
      </c>
      <c r="F685" t="n">
        <v>8</v>
      </c>
      <c r="G685" t="b">
        <v>0</v>
      </c>
      <c r="H685" t="inlineStr">
        <is>
          <t>UOM=ADT;WEIGHT_BASIS=PROCESSED_SOURCE_UNIT_WEIGHT;LINE_WEIGHT_KG=14.79;SOURCE_CFG=IA-ST-CFG-0123;SRC_REF=Row 1101, Slot 10;SRC_FILE=Mamul Ambalaj Bileşen Listesi-30.07.2026(3).xlsx</t>
        </is>
      </c>
    </row>
    <row r="686">
      <c r="A686" s="19" t="inlineStr">
        <is>
          <t>685</t>
        </is>
      </c>
      <c r="B686" s="19" t="inlineStr">
        <is>
          <t>99</t>
        </is>
      </c>
      <c r="C686" s="19" t="inlineStr">
        <is>
          <t>13</t>
        </is>
      </c>
      <c r="D686" t="n">
        <v>14</v>
      </c>
      <c r="E686" s="19" t="inlineStr">
        <is>
          <t>18</t>
        </is>
      </c>
      <c r="F686" t="n">
        <v>1</v>
      </c>
      <c r="G686" t="b">
        <v>0</v>
      </c>
      <c r="H686" t="inlineStr">
        <is>
          <t>UOM=M;WEIGHT_BASIS=PROCESSED_SOURCE_UNIT_WEIGHT;LINE_WEIGHT_KG=0.1736;SOURCE_CFG=IA-ST-CFG-0124;SRC_REF=Row 979, Slot 1;SRC_FILE=Mamul Ambalaj Bileşen Listesi-30.07.2026(3).xlsx</t>
        </is>
      </c>
    </row>
    <row r="687">
      <c r="A687" s="19" t="inlineStr">
        <is>
          <t>686</t>
        </is>
      </c>
      <c r="B687" s="19" t="inlineStr">
        <is>
          <t>99</t>
        </is>
      </c>
      <c r="C687" s="19" t="inlineStr">
        <is>
          <t>5</t>
        </is>
      </c>
      <c r="D687" t="n">
        <v>1</v>
      </c>
      <c r="E687" s="19" t="inlineStr">
        <is>
          <t>18</t>
        </is>
      </c>
      <c r="F687" t="n">
        <v>2</v>
      </c>
      <c r="G687" t="b">
        <v>0</v>
      </c>
      <c r="H687" t="inlineStr">
        <is>
          <t>UOM=ADT;WEIGHT_BASIS=PROCESSED_SOURCE_UNIT_WEIGHT;LINE_WEIGHT_KG=26.0;SOURCE_CFG=IA-ST-CFG-0124;SRC_REF=Row 979, Slot 3;SRC_FILE=Mamul Ambalaj Bileşen Listesi-30.07.2026(3).xlsx</t>
        </is>
      </c>
    </row>
    <row r="688">
      <c r="A688" s="19" t="inlineStr">
        <is>
          <t>687</t>
        </is>
      </c>
      <c r="B688" s="19" t="inlineStr">
        <is>
          <t>99</t>
        </is>
      </c>
      <c r="C688" s="19" t="inlineStr">
        <is>
          <t>8</t>
        </is>
      </c>
      <c r="D688" t="n">
        <v>20</v>
      </c>
      <c r="E688" s="19" t="inlineStr">
        <is>
          <t>18</t>
        </is>
      </c>
      <c r="F688" t="n">
        <v>3</v>
      </c>
      <c r="G688" t="b">
        <v>0</v>
      </c>
      <c r="H688" t="inlineStr">
        <is>
          <t>UOM=M;WEIGHT_BASIS=PROCESSED_SOURCE_UNIT_WEIGHT;LINE_WEIGHT_KG=0.3664;SOURCE_CFG=IA-ST-CFG-0124;SRC_REF=Row 979, Slot 5;SRC_FILE=Mamul Ambalaj Bileşen Listesi-30.07.2026(3).xlsx</t>
        </is>
      </c>
    </row>
    <row r="689">
      <c r="A689" s="19" t="inlineStr">
        <is>
          <t>688</t>
        </is>
      </c>
      <c r="B689" s="19" t="inlineStr">
        <is>
          <t>99</t>
        </is>
      </c>
      <c r="C689" s="19" t="inlineStr">
        <is>
          <t>9</t>
        </is>
      </c>
      <c r="D689" t="n">
        <v>0.186</v>
      </c>
      <c r="E689" s="19" t="inlineStr">
        <is>
          <t>18</t>
        </is>
      </c>
      <c r="F689" t="n">
        <v>4</v>
      </c>
      <c r="G689" t="b">
        <v>0</v>
      </c>
      <c r="H689" t="inlineStr">
        <is>
          <t>UOM=KG;WEIGHT_BASIS=RECIPE_QUANTITY_IS_KG;LINE_WEIGHT_KG=0.186;SOURCE_CFG=IA-ST-CFG-0124;SRC_REF=Row 979, Slot 6;SRC_FILE=Mamul Ambalaj Bileşen Listesi-30.07.2026(3).xlsx</t>
        </is>
      </c>
    </row>
    <row r="690">
      <c r="A690" s="19" t="inlineStr">
        <is>
          <t>689</t>
        </is>
      </c>
      <c r="B690" s="19" t="inlineStr">
        <is>
          <t>99</t>
        </is>
      </c>
      <c r="C690" s="19" t="inlineStr">
        <is>
          <t>3</t>
        </is>
      </c>
      <c r="D690" t="n">
        <v>6</v>
      </c>
      <c r="E690" s="19" t="inlineStr">
        <is>
          <t>18</t>
        </is>
      </c>
      <c r="F690" t="n">
        <v>5</v>
      </c>
      <c r="G690" t="b">
        <v>0</v>
      </c>
      <c r="H690" t="inlineStr">
        <is>
          <t>UOM=ADT;WEIGHT_BASIS=PROCESSED_SOURCE_UNIT_WEIGHT;LINE_WEIGHT_KG=1.26;SOURCE_CFG=IA-ST-CFG-0124;SRC_REF=Row 979, Slot 8;SRC_FILE=Mamul Ambalaj Bileşen Listesi-30.07.2026(3).xlsx</t>
        </is>
      </c>
    </row>
    <row r="691">
      <c r="A691" s="19" t="inlineStr">
        <is>
          <t>690</t>
        </is>
      </c>
      <c r="B691" s="19" t="inlineStr">
        <is>
          <t>99</t>
        </is>
      </c>
      <c r="C691" s="19" t="inlineStr">
        <is>
          <t>7</t>
        </is>
      </c>
      <c r="D691" t="n">
        <v>4</v>
      </c>
      <c r="E691" s="19" t="inlineStr">
        <is>
          <t>18</t>
        </is>
      </c>
      <c r="F691" t="n">
        <v>6</v>
      </c>
      <c r="G691" t="b">
        <v>0</v>
      </c>
      <c r="H691" t="inlineStr">
        <is>
          <t>UOM=ADT;WEIGHT_BASIS=PROCESSED_SOURCE_UNIT_WEIGHT;LINE_WEIGHT_KG=1.08;SOURCE_CFG=IA-ST-CFG-0124;SRC_REF=Row 979, Slot 9;SRC_FILE=Mamul Ambalaj Bileşen Listesi-30.07.2026(3).xlsx</t>
        </is>
      </c>
    </row>
    <row r="692">
      <c r="A692" s="19" t="inlineStr">
        <is>
          <t>691</t>
        </is>
      </c>
      <c r="B692" s="19" t="inlineStr">
        <is>
          <t>99</t>
        </is>
      </c>
      <c r="C692" s="19" t="inlineStr">
        <is>
          <t>79</t>
        </is>
      </c>
      <c r="D692" t="n">
        <v>51</v>
      </c>
      <c r="E692" s="19" t="inlineStr">
        <is>
          <t>18</t>
        </is>
      </c>
      <c r="F692" t="n">
        <v>7</v>
      </c>
      <c r="G692" t="b">
        <v>0</v>
      </c>
      <c r="H692" t="inlineStr">
        <is>
          <t>UOM=ADT;WEIGHT_BASIS=PROCESSED_SOURCE_UNIT_WEIGHT;LINE_WEIGHT_KG=12.75;SOURCE_CFG=IA-ST-CFG-0124;SRC_REF=Row 979, Slot 10;SRC_FILE=Mamul Ambalaj Bileşen Listesi-30.07.2026(3).xlsx</t>
        </is>
      </c>
    </row>
    <row r="693">
      <c r="A693" s="19" t="inlineStr">
        <is>
          <t>692</t>
        </is>
      </c>
      <c r="B693" s="19" t="inlineStr">
        <is>
          <t>100</t>
        </is>
      </c>
      <c r="C693" s="19" t="inlineStr">
        <is>
          <t>13</t>
        </is>
      </c>
      <c r="D693" t="n">
        <v>14</v>
      </c>
      <c r="E693" s="19" t="inlineStr">
        <is>
          <t>18</t>
        </is>
      </c>
      <c r="F693" t="n">
        <v>1</v>
      </c>
      <c r="G693" t="b">
        <v>0</v>
      </c>
      <c r="H693" t="inlineStr">
        <is>
          <t>UOM=M;WEIGHT_BASIS=PROCESSED_SOURCE_UNIT_WEIGHT;LINE_WEIGHT_KG=0.1736;SOURCE_CFG=IA-ST-CFG-0125;SRC_REF=Row 1253, Slot 1;SRC_FILE=Mamul Ambalaj Bileşen Listesi-30.07.2026(3).xlsx</t>
        </is>
      </c>
    </row>
    <row r="694">
      <c r="A694" s="19" t="inlineStr">
        <is>
          <t>693</t>
        </is>
      </c>
      <c r="B694" s="19" t="inlineStr">
        <is>
          <t>100</t>
        </is>
      </c>
      <c r="C694" s="19" t="inlineStr">
        <is>
          <t>77</t>
        </is>
      </c>
      <c r="D694" t="n">
        <v>51</v>
      </c>
      <c r="E694" s="19" t="inlineStr">
        <is>
          <t>18</t>
        </is>
      </c>
      <c r="F694" t="n">
        <v>2</v>
      </c>
      <c r="G694" t="b">
        <v>0</v>
      </c>
      <c r="H694" t="inlineStr">
        <is>
          <t>UOM=ADT;WEIGHT_BASIS=SOURCE_UNIT_WEIGHT;LINE_WEIGHT_KG=3.1824;SOURCE_CFG=IA-ST-CFG-0125;SRC_REF=Row 1253, Slot 2;SRC_FILE=Mamul Ambalaj Bileşen Listesi-30.07.2026(3).xlsx</t>
        </is>
      </c>
    </row>
    <row r="695">
      <c r="A695" s="19" t="inlineStr">
        <is>
          <t>694</t>
        </is>
      </c>
      <c r="B695" s="19" t="inlineStr">
        <is>
          <t>100</t>
        </is>
      </c>
      <c r="C695" s="19" t="inlineStr">
        <is>
          <t>5</t>
        </is>
      </c>
      <c r="D695" t="n">
        <v>1</v>
      </c>
      <c r="E695" s="19" t="inlineStr">
        <is>
          <t>18</t>
        </is>
      </c>
      <c r="F695" t="n">
        <v>3</v>
      </c>
      <c r="G695" t="b">
        <v>0</v>
      </c>
      <c r="H695" t="inlineStr">
        <is>
          <t>UOM=ADT;WEIGHT_BASIS=PROCESSED_SOURCE_UNIT_WEIGHT;LINE_WEIGHT_KG=26.0;SOURCE_CFG=IA-ST-CFG-0125;SRC_REF=Row 1253, Slot 3;SRC_FILE=Mamul Ambalaj Bileşen Listesi-30.07.2026(3).xlsx</t>
        </is>
      </c>
    </row>
    <row r="696">
      <c r="A696" s="19" t="inlineStr">
        <is>
          <t>695</t>
        </is>
      </c>
      <c r="B696" s="19" t="inlineStr">
        <is>
          <t>100</t>
        </is>
      </c>
      <c r="C696" s="19" t="inlineStr">
        <is>
          <t>8</t>
        </is>
      </c>
      <c r="D696" t="n">
        <v>20</v>
      </c>
      <c r="E696" s="19" t="inlineStr">
        <is>
          <t>18</t>
        </is>
      </c>
      <c r="F696" t="n">
        <v>4</v>
      </c>
      <c r="G696" t="b">
        <v>0</v>
      </c>
      <c r="H696" t="inlineStr">
        <is>
          <t>UOM=M;WEIGHT_BASIS=PROCESSED_SOURCE_UNIT_WEIGHT;LINE_WEIGHT_KG=0.3664;SOURCE_CFG=IA-ST-CFG-0125;SRC_REF=Row 1253, Slot 5;SRC_FILE=Mamul Ambalaj Bileşen Listesi-30.07.2026(3).xlsx</t>
        </is>
      </c>
    </row>
    <row r="697">
      <c r="A697" s="19" t="inlineStr">
        <is>
          <t>696</t>
        </is>
      </c>
      <c r="B697" s="19" t="inlineStr">
        <is>
          <t>100</t>
        </is>
      </c>
      <c r="C697" s="19" t="inlineStr">
        <is>
          <t>9</t>
        </is>
      </c>
      <c r="D697" t="n">
        <v>0.186</v>
      </c>
      <c r="E697" s="19" t="inlineStr">
        <is>
          <t>18</t>
        </is>
      </c>
      <c r="F697" t="n">
        <v>5</v>
      </c>
      <c r="G697" t="b">
        <v>0</v>
      </c>
      <c r="H697" t="inlineStr">
        <is>
          <t>UOM=KG;WEIGHT_BASIS=RECIPE_QUANTITY_IS_KG;LINE_WEIGHT_KG=0.186;SOURCE_CFG=IA-ST-CFG-0125;SRC_REF=Row 1253, Slot 6;SRC_FILE=Mamul Ambalaj Bileşen Listesi-30.07.2026(3).xlsx</t>
        </is>
      </c>
    </row>
    <row r="698">
      <c r="A698" s="19" t="inlineStr">
        <is>
          <t>697</t>
        </is>
      </c>
      <c r="B698" s="19" t="inlineStr">
        <is>
          <t>100</t>
        </is>
      </c>
      <c r="C698" s="19" t="inlineStr">
        <is>
          <t>3</t>
        </is>
      </c>
      <c r="D698" t="n">
        <v>8</v>
      </c>
      <c r="E698" s="19" t="inlineStr">
        <is>
          <t>18</t>
        </is>
      </c>
      <c r="F698" t="n">
        <v>6</v>
      </c>
      <c r="G698" t="b">
        <v>0</v>
      </c>
      <c r="H698" t="inlineStr">
        <is>
          <t>UOM=ADT;WEIGHT_BASIS=PROCESSED_SOURCE_UNIT_WEIGHT;LINE_WEIGHT_KG=1.68;SOURCE_CFG=IA-ST-CFG-0125;SRC_REF=Row 1253, Slot 8;SRC_FILE=Mamul Ambalaj Bileşen Listesi-30.07.2026(3).xlsx</t>
        </is>
      </c>
    </row>
    <row r="699">
      <c r="A699" s="19" t="inlineStr">
        <is>
          <t>698</t>
        </is>
      </c>
      <c r="B699" s="19" t="inlineStr">
        <is>
          <t>100</t>
        </is>
      </c>
      <c r="C699" s="19" t="inlineStr">
        <is>
          <t>7</t>
        </is>
      </c>
      <c r="D699" t="n">
        <v>4</v>
      </c>
      <c r="E699" s="19" t="inlineStr">
        <is>
          <t>18</t>
        </is>
      </c>
      <c r="F699" t="n">
        <v>7</v>
      </c>
      <c r="G699" t="b">
        <v>0</v>
      </c>
      <c r="H699" t="inlineStr">
        <is>
          <t>UOM=ADT;WEIGHT_BASIS=PROCESSED_SOURCE_UNIT_WEIGHT;LINE_WEIGHT_KG=1.08;SOURCE_CFG=IA-ST-CFG-0125;SRC_REF=Row 1253, Slot 9;SRC_FILE=Mamul Ambalaj Bileşen Listesi-30.07.2026(3).xlsx</t>
        </is>
      </c>
    </row>
    <row r="700">
      <c r="A700" s="19" t="inlineStr">
        <is>
          <t>699</t>
        </is>
      </c>
      <c r="B700" s="19" t="inlineStr">
        <is>
          <t>100</t>
        </is>
      </c>
      <c r="C700" s="19" t="inlineStr">
        <is>
          <t>39</t>
        </is>
      </c>
      <c r="D700" t="n">
        <v>51</v>
      </c>
      <c r="E700" s="19" t="inlineStr">
        <is>
          <t>18</t>
        </is>
      </c>
      <c r="F700" t="n">
        <v>8</v>
      </c>
      <c r="G700" t="b">
        <v>0</v>
      </c>
      <c r="H700" t="inlineStr">
        <is>
          <t>UOM=ADT;WEIGHT_BASIS=PROCESSED_SOURCE_UNIT_WEIGHT;LINE_WEIGHT_KG=14.79;SOURCE_CFG=IA-ST-CFG-0125;SRC_REF=Row 1253, Slot 10;SRC_FILE=Mamul Ambalaj Bileşen Listesi-30.07.2026(3).xlsx</t>
        </is>
      </c>
    </row>
    <row r="701">
      <c r="A701" s="19" t="inlineStr">
        <is>
          <t>700</t>
        </is>
      </c>
      <c r="B701" s="19" t="inlineStr">
        <is>
          <t>101</t>
        </is>
      </c>
      <c r="C701" s="19" t="inlineStr">
        <is>
          <t>13</t>
        </is>
      </c>
      <c r="D701" t="n">
        <v>14</v>
      </c>
      <c r="E701" s="19" t="inlineStr">
        <is>
          <t>18</t>
        </is>
      </c>
      <c r="F701" t="n">
        <v>1</v>
      </c>
      <c r="G701" t="b">
        <v>0</v>
      </c>
      <c r="H701" t="inlineStr">
        <is>
          <t>UOM=M;WEIGHT_BASIS=PROCESSED_SOURCE_UNIT_WEIGHT;LINE_WEIGHT_KG=0.1736;SOURCE_CFG=IA-ST-CFG-0126;SRC_REF=Row 421, Slot 1;SRC_FILE=Mamul Ambalaj Bileşen Listesi-30.07.2026(3).xlsx</t>
        </is>
      </c>
    </row>
    <row r="702">
      <c r="A702" s="19" t="inlineStr">
        <is>
          <t>701</t>
        </is>
      </c>
      <c r="B702" s="19" t="inlineStr">
        <is>
          <t>101</t>
        </is>
      </c>
      <c r="C702" s="19" t="inlineStr">
        <is>
          <t>77</t>
        </is>
      </c>
      <c r="D702" t="n">
        <v>51</v>
      </c>
      <c r="E702" s="19" t="inlineStr">
        <is>
          <t>18</t>
        </is>
      </c>
      <c r="F702" t="n">
        <v>2</v>
      </c>
      <c r="G702" t="b">
        <v>0</v>
      </c>
      <c r="H702" t="inlineStr">
        <is>
          <t>UOM=ADT;WEIGHT_BASIS=SOURCE_UNIT_WEIGHT;LINE_WEIGHT_KG=3.1824;SOURCE_CFG=IA-ST-CFG-0126;SRC_REF=Row 421, Slot 2;SRC_FILE=Mamul Ambalaj Bileşen Listesi-30.07.2026(3).xlsx</t>
        </is>
      </c>
    </row>
    <row r="703">
      <c r="A703" s="19" t="inlineStr">
        <is>
          <t>702</t>
        </is>
      </c>
      <c r="B703" s="19" t="inlineStr">
        <is>
          <t>101</t>
        </is>
      </c>
      <c r="C703" s="19" t="inlineStr">
        <is>
          <t>5</t>
        </is>
      </c>
      <c r="D703" t="n">
        <v>1</v>
      </c>
      <c r="E703" s="19" t="inlineStr">
        <is>
          <t>18</t>
        </is>
      </c>
      <c r="F703" t="n">
        <v>3</v>
      </c>
      <c r="G703" t="b">
        <v>0</v>
      </c>
      <c r="H703" t="inlineStr">
        <is>
          <t>UOM=ADT;WEIGHT_BASIS=PROCESSED_SOURCE_UNIT_WEIGHT;LINE_WEIGHT_KG=26.0;SOURCE_CFG=IA-ST-CFG-0126;SRC_REF=Row 421, Slot 3;SRC_FILE=Mamul Ambalaj Bileşen Listesi-30.07.2026(3).xlsx</t>
        </is>
      </c>
    </row>
    <row r="704">
      <c r="A704" s="19" t="inlineStr">
        <is>
          <t>703</t>
        </is>
      </c>
      <c r="B704" s="19" t="inlineStr">
        <is>
          <t>101</t>
        </is>
      </c>
      <c r="C704" s="19" t="inlineStr">
        <is>
          <t>8</t>
        </is>
      </c>
      <c r="D704" t="n">
        <v>20</v>
      </c>
      <c r="E704" s="19" t="inlineStr">
        <is>
          <t>18</t>
        </is>
      </c>
      <c r="F704" t="n">
        <v>4</v>
      </c>
      <c r="G704" t="b">
        <v>0</v>
      </c>
      <c r="H704" t="inlineStr">
        <is>
          <t>UOM=M;WEIGHT_BASIS=PROCESSED_SOURCE_UNIT_WEIGHT;LINE_WEIGHT_KG=0.3664;SOURCE_CFG=IA-ST-CFG-0126;SRC_REF=Row 421, Slot 5;SRC_FILE=Mamul Ambalaj Bileşen Listesi-30.07.2026(3).xlsx</t>
        </is>
      </c>
    </row>
    <row r="705">
      <c r="A705" s="19" t="inlineStr">
        <is>
          <t>704</t>
        </is>
      </c>
      <c r="B705" s="19" t="inlineStr">
        <is>
          <t>101</t>
        </is>
      </c>
      <c r="C705" s="19" t="inlineStr">
        <is>
          <t>9</t>
        </is>
      </c>
      <c r="D705" t="n">
        <v>0.186</v>
      </c>
      <c r="E705" s="19" t="inlineStr">
        <is>
          <t>18</t>
        </is>
      </c>
      <c r="F705" t="n">
        <v>5</v>
      </c>
      <c r="G705" t="b">
        <v>0</v>
      </c>
      <c r="H705" t="inlineStr">
        <is>
          <t>UOM=KG;WEIGHT_BASIS=RECIPE_QUANTITY_IS_KG;LINE_WEIGHT_KG=0.186;SOURCE_CFG=IA-ST-CFG-0126;SRC_REF=Row 421, Slot 6;SRC_FILE=Mamul Ambalaj Bileşen Listesi-30.07.2026(3).xlsx</t>
        </is>
      </c>
    </row>
    <row r="706">
      <c r="A706" s="19" t="inlineStr">
        <is>
          <t>705</t>
        </is>
      </c>
      <c r="B706" s="19" t="inlineStr">
        <is>
          <t>101</t>
        </is>
      </c>
      <c r="C706" s="19" t="inlineStr">
        <is>
          <t>3</t>
        </is>
      </c>
      <c r="D706" t="n">
        <v>8</v>
      </c>
      <c r="E706" s="19" t="inlineStr">
        <is>
          <t>18</t>
        </is>
      </c>
      <c r="F706" t="n">
        <v>6</v>
      </c>
      <c r="G706" t="b">
        <v>0</v>
      </c>
      <c r="H706" t="inlineStr">
        <is>
          <t>UOM=ADT;WEIGHT_BASIS=PROCESSED_SOURCE_UNIT_WEIGHT;LINE_WEIGHT_KG=1.68;SOURCE_CFG=IA-ST-CFG-0126;SRC_REF=Row 421, Slot 8;SRC_FILE=Mamul Ambalaj Bileşen Listesi-30.07.2026(3).xlsx</t>
        </is>
      </c>
    </row>
    <row r="707">
      <c r="A707" s="19" t="inlineStr">
        <is>
          <t>706</t>
        </is>
      </c>
      <c r="B707" s="19" t="inlineStr">
        <is>
          <t>101</t>
        </is>
      </c>
      <c r="C707" s="19" t="inlineStr">
        <is>
          <t>7</t>
        </is>
      </c>
      <c r="D707" t="n">
        <v>4</v>
      </c>
      <c r="E707" s="19" t="inlineStr">
        <is>
          <t>18</t>
        </is>
      </c>
      <c r="F707" t="n">
        <v>7</v>
      </c>
      <c r="G707" t="b">
        <v>0</v>
      </c>
      <c r="H707" t="inlineStr">
        <is>
          <t>UOM=ADT;WEIGHT_BASIS=PROCESSED_SOURCE_UNIT_WEIGHT;LINE_WEIGHT_KG=1.08;SOURCE_CFG=IA-ST-CFG-0126;SRC_REF=Row 421, Slot 9;SRC_FILE=Mamul Ambalaj Bileşen Listesi-30.07.2026(3).xlsx</t>
        </is>
      </c>
    </row>
    <row r="708">
      <c r="A708" s="19" t="inlineStr">
        <is>
          <t>707</t>
        </is>
      </c>
      <c r="B708" s="19" t="inlineStr">
        <is>
          <t>101</t>
        </is>
      </c>
      <c r="C708" s="19" t="inlineStr">
        <is>
          <t>100</t>
        </is>
      </c>
      <c r="D708" t="n">
        <v>51</v>
      </c>
      <c r="E708" s="19" t="inlineStr">
        <is>
          <t>18</t>
        </is>
      </c>
      <c r="F708" t="n">
        <v>8</v>
      </c>
      <c r="G708" t="b">
        <v>0</v>
      </c>
      <c r="H708" t="inlineStr">
        <is>
          <t>UOM=ADT;WEIGHT_BASIS=PROCESSED_SOURCE_UNIT_WEIGHT;LINE_WEIGHT_KG=14.79;SOURCE_CFG=IA-ST-CFG-0126;SRC_REF=Row 421, Slot 10;SRC_FILE=Mamul Ambalaj Bileşen Listesi-30.07.2026(3).xlsx</t>
        </is>
      </c>
    </row>
    <row r="709">
      <c r="A709" s="19" t="inlineStr">
        <is>
          <t>708</t>
        </is>
      </c>
      <c r="B709" s="19" t="inlineStr">
        <is>
          <t>102</t>
        </is>
      </c>
      <c r="C709" s="19" t="inlineStr">
        <is>
          <t>13</t>
        </is>
      </c>
      <c r="D709" t="n">
        <v>14</v>
      </c>
      <c r="E709" s="19" t="inlineStr">
        <is>
          <t>18</t>
        </is>
      </c>
      <c r="F709" t="n">
        <v>1</v>
      </c>
      <c r="G709" t="b">
        <v>0</v>
      </c>
      <c r="H709" t="inlineStr">
        <is>
          <t>UOM=M;WEIGHT_BASIS=PROCESSED_SOURCE_UNIT_WEIGHT;LINE_WEIGHT_KG=0.1736;SOURCE_CFG=IA-ST-CFG-0127;SRC_REF=Row 1163, Slot 1;SRC_FILE=Mamul Ambalaj Bileşen Listesi-30.07.2026(3).xlsx</t>
        </is>
      </c>
    </row>
    <row r="710">
      <c r="A710" s="19" t="inlineStr">
        <is>
          <t>709</t>
        </is>
      </c>
      <c r="B710" s="19" t="inlineStr">
        <is>
          <t>102</t>
        </is>
      </c>
      <c r="C710" s="19" t="inlineStr">
        <is>
          <t>5</t>
        </is>
      </c>
      <c r="D710" t="n">
        <v>1</v>
      </c>
      <c r="E710" s="19" t="inlineStr">
        <is>
          <t>18</t>
        </is>
      </c>
      <c r="F710" t="n">
        <v>2</v>
      </c>
      <c r="G710" t="b">
        <v>0</v>
      </c>
      <c r="H710" t="inlineStr">
        <is>
          <t>UOM=ADT;WEIGHT_BASIS=PROCESSED_SOURCE_UNIT_WEIGHT;LINE_WEIGHT_KG=26.0;SOURCE_CFG=IA-ST-CFG-0127;SRC_REF=Row 1163, Slot 3;SRC_FILE=Mamul Ambalaj Bileşen Listesi-30.07.2026(3).xlsx</t>
        </is>
      </c>
    </row>
    <row r="711">
      <c r="A711" s="19" t="inlineStr">
        <is>
          <t>710</t>
        </is>
      </c>
      <c r="B711" s="19" t="inlineStr">
        <is>
          <t>102</t>
        </is>
      </c>
      <c r="C711" s="19" t="inlineStr">
        <is>
          <t>8</t>
        </is>
      </c>
      <c r="D711" t="n">
        <v>20</v>
      </c>
      <c r="E711" s="19" t="inlineStr">
        <is>
          <t>18</t>
        </is>
      </c>
      <c r="F711" t="n">
        <v>3</v>
      </c>
      <c r="G711" t="b">
        <v>0</v>
      </c>
      <c r="H711" t="inlineStr">
        <is>
          <t>UOM=M;WEIGHT_BASIS=PROCESSED_SOURCE_UNIT_WEIGHT;LINE_WEIGHT_KG=0.3664;SOURCE_CFG=IA-ST-CFG-0127;SRC_REF=Row 1163, Slot 5;SRC_FILE=Mamul Ambalaj Bileşen Listesi-30.07.2026(3).xlsx</t>
        </is>
      </c>
    </row>
    <row r="712">
      <c r="A712" s="19" t="inlineStr">
        <is>
          <t>711</t>
        </is>
      </c>
      <c r="B712" s="19" t="inlineStr">
        <is>
          <t>102</t>
        </is>
      </c>
      <c r="C712" s="19" t="inlineStr">
        <is>
          <t>9</t>
        </is>
      </c>
      <c r="D712" t="n">
        <v>0.186</v>
      </c>
      <c r="E712" s="19" t="inlineStr">
        <is>
          <t>18</t>
        </is>
      </c>
      <c r="F712" t="n">
        <v>4</v>
      </c>
      <c r="G712" t="b">
        <v>0</v>
      </c>
      <c r="H712" t="inlineStr">
        <is>
          <t>UOM=KG;WEIGHT_BASIS=RECIPE_QUANTITY_IS_KG;LINE_WEIGHT_KG=0.186;SOURCE_CFG=IA-ST-CFG-0127;SRC_REF=Row 1163, Slot 6;SRC_FILE=Mamul Ambalaj Bileşen Listesi-30.07.2026(3).xlsx</t>
        </is>
      </c>
    </row>
    <row r="713">
      <c r="A713" s="19" t="inlineStr">
        <is>
          <t>712</t>
        </is>
      </c>
      <c r="B713" s="19" t="inlineStr">
        <is>
          <t>102</t>
        </is>
      </c>
      <c r="C713" s="19" t="inlineStr">
        <is>
          <t>3</t>
        </is>
      </c>
      <c r="D713" t="n">
        <v>8</v>
      </c>
      <c r="E713" s="19" t="inlineStr">
        <is>
          <t>18</t>
        </is>
      </c>
      <c r="F713" t="n">
        <v>5</v>
      </c>
      <c r="G713" t="b">
        <v>0</v>
      </c>
      <c r="H713" t="inlineStr">
        <is>
          <t>UOM=ADT;WEIGHT_BASIS=PROCESSED_SOURCE_UNIT_WEIGHT;LINE_WEIGHT_KG=1.68;SOURCE_CFG=IA-ST-CFG-0127;SRC_REF=Row 1163, Slot 8;SRC_FILE=Mamul Ambalaj Bileşen Listesi-30.07.2026(3).xlsx</t>
        </is>
      </c>
    </row>
    <row r="714">
      <c r="A714" s="19" t="inlineStr">
        <is>
          <t>713</t>
        </is>
      </c>
      <c r="B714" s="19" t="inlineStr">
        <is>
          <t>102</t>
        </is>
      </c>
      <c r="C714" s="19" t="inlineStr">
        <is>
          <t>7</t>
        </is>
      </c>
      <c r="D714" t="n">
        <v>4</v>
      </c>
      <c r="E714" s="19" t="inlineStr">
        <is>
          <t>18</t>
        </is>
      </c>
      <c r="F714" t="n">
        <v>6</v>
      </c>
      <c r="G714" t="b">
        <v>0</v>
      </c>
      <c r="H714" t="inlineStr">
        <is>
          <t>UOM=ADT;WEIGHT_BASIS=PROCESSED_SOURCE_UNIT_WEIGHT;LINE_WEIGHT_KG=1.08;SOURCE_CFG=IA-ST-CFG-0127;SRC_REF=Row 1163, Slot 9;SRC_FILE=Mamul Ambalaj Bileşen Listesi-30.07.2026(3).xlsx</t>
        </is>
      </c>
    </row>
    <row r="715">
      <c r="A715" s="19" t="inlineStr">
        <is>
          <t>714</t>
        </is>
      </c>
      <c r="B715" s="19" t="inlineStr">
        <is>
          <t>102</t>
        </is>
      </c>
      <c r="C715" s="19" t="inlineStr">
        <is>
          <t>94</t>
        </is>
      </c>
      <c r="D715" t="n">
        <v>51</v>
      </c>
      <c r="E715" s="19" t="inlineStr">
        <is>
          <t>18</t>
        </is>
      </c>
      <c r="F715" t="n">
        <v>7</v>
      </c>
      <c r="G715" t="b">
        <v>0</v>
      </c>
      <c r="H715" t="inlineStr">
        <is>
          <t>UOM=ADT;WEIGHT_BASIS=PROCESSED_SOURCE_UNIT_WEIGHT;LINE_WEIGHT_KG=13.770000000000001;SOURCE_CFG=IA-ST-CFG-0127;SRC_REF=Row 1163, Slot 10;SRC_FILE=Mamul Ambalaj Bileşen Listesi-30.07.2026(3).xlsx</t>
        </is>
      </c>
    </row>
    <row r="716">
      <c r="A716" s="19" t="inlineStr">
        <is>
          <t>715</t>
        </is>
      </c>
      <c r="B716" s="19" t="inlineStr">
        <is>
          <t>103</t>
        </is>
      </c>
      <c r="C716" s="19" t="inlineStr">
        <is>
          <t>13</t>
        </is>
      </c>
      <c r="D716" t="n">
        <v>14</v>
      </c>
      <c r="E716" s="19" t="inlineStr">
        <is>
          <t>18</t>
        </is>
      </c>
      <c r="F716" t="n">
        <v>1</v>
      </c>
      <c r="G716" t="b">
        <v>0</v>
      </c>
      <c r="H716" t="inlineStr">
        <is>
          <t>UOM=M;WEIGHT_BASIS=PROCESSED_SOURCE_UNIT_WEIGHT;LINE_WEIGHT_KG=0.1736;SOURCE_CFG=IA-ST-CFG-0128;SRC_REF=Row 411, Slot 1;SRC_FILE=Mamul Ambalaj Bileşen Listesi-30.07.2026(3).xlsx</t>
        </is>
      </c>
    </row>
    <row r="717">
      <c r="A717" s="19" t="inlineStr">
        <is>
          <t>716</t>
        </is>
      </c>
      <c r="B717" s="19" t="inlineStr">
        <is>
          <t>103</t>
        </is>
      </c>
      <c r="C717" s="19" t="inlineStr">
        <is>
          <t>77</t>
        </is>
      </c>
      <c r="D717" t="n">
        <v>51</v>
      </c>
      <c r="E717" s="19" t="inlineStr">
        <is>
          <t>18</t>
        </is>
      </c>
      <c r="F717" t="n">
        <v>2</v>
      </c>
      <c r="G717" t="b">
        <v>0</v>
      </c>
      <c r="H717" t="inlineStr">
        <is>
          <t>UOM=ADT;WEIGHT_BASIS=SOURCE_UNIT_WEIGHT;LINE_WEIGHT_KG=3.1824;SOURCE_CFG=IA-ST-CFG-0128;SRC_REF=Row 411, Slot 2;SRC_FILE=Mamul Ambalaj Bileşen Listesi-30.07.2026(3).xlsx</t>
        </is>
      </c>
    </row>
    <row r="718">
      <c r="A718" s="19" t="inlineStr">
        <is>
          <t>717</t>
        </is>
      </c>
      <c r="B718" s="19" t="inlineStr">
        <is>
          <t>103</t>
        </is>
      </c>
      <c r="C718" s="19" t="inlineStr">
        <is>
          <t>5</t>
        </is>
      </c>
      <c r="D718" t="n">
        <v>1</v>
      </c>
      <c r="E718" s="19" t="inlineStr">
        <is>
          <t>18</t>
        </is>
      </c>
      <c r="F718" t="n">
        <v>3</v>
      </c>
      <c r="G718" t="b">
        <v>0</v>
      </c>
      <c r="H718" t="inlineStr">
        <is>
          <t>UOM=ADT;WEIGHT_BASIS=PROCESSED_SOURCE_UNIT_WEIGHT;LINE_WEIGHT_KG=26.0;SOURCE_CFG=IA-ST-CFG-0128;SRC_REF=Row 411, Slot 3;SRC_FILE=Mamul Ambalaj Bileşen Listesi-30.07.2026(3).xlsx</t>
        </is>
      </c>
    </row>
    <row r="719">
      <c r="A719" s="19" t="inlineStr">
        <is>
          <t>718</t>
        </is>
      </c>
      <c r="B719" s="19" t="inlineStr">
        <is>
          <t>103</t>
        </is>
      </c>
      <c r="C719" s="19" t="inlineStr">
        <is>
          <t>8</t>
        </is>
      </c>
      <c r="D719" t="n">
        <v>20</v>
      </c>
      <c r="E719" s="19" t="inlineStr">
        <is>
          <t>18</t>
        </is>
      </c>
      <c r="F719" t="n">
        <v>4</v>
      </c>
      <c r="G719" t="b">
        <v>0</v>
      </c>
      <c r="H719" t="inlineStr">
        <is>
          <t>UOM=M;WEIGHT_BASIS=PROCESSED_SOURCE_UNIT_WEIGHT;LINE_WEIGHT_KG=0.3664;SOURCE_CFG=IA-ST-CFG-0128;SRC_REF=Row 411, Slot 5;SRC_FILE=Mamul Ambalaj Bileşen Listesi-30.07.2026(3).xlsx</t>
        </is>
      </c>
    </row>
    <row r="720">
      <c r="A720" s="19" t="inlineStr">
        <is>
          <t>719</t>
        </is>
      </c>
      <c r="B720" s="19" t="inlineStr">
        <is>
          <t>103</t>
        </is>
      </c>
      <c r="C720" s="19" t="inlineStr">
        <is>
          <t>9</t>
        </is>
      </c>
      <c r="D720" t="n">
        <v>0.186</v>
      </c>
      <c r="E720" s="19" t="inlineStr">
        <is>
          <t>18</t>
        </is>
      </c>
      <c r="F720" t="n">
        <v>5</v>
      </c>
      <c r="G720" t="b">
        <v>0</v>
      </c>
      <c r="H720" t="inlineStr">
        <is>
          <t>UOM=KG;WEIGHT_BASIS=RECIPE_QUANTITY_IS_KG;LINE_WEIGHT_KG=0.186;SOURCE_CFG=IA-ST-CFG-0128;SRC_REF=Row 411, Slot 6;SRC_FILE=Mamul Ambalaj Bileşen Listesi-30.07.2026(3).xlsx</t>
        </is>
      </c>
    </row>
    <row r="721">
      <c r="A721" s="19" t="inlineStr">
        <is>
          <t>720</t>
        </is>
      </c>
      <c r="B721" s="19" t="inlineStr">
        <is>
          <t>103</t>
        </is>
      </c>
      <c r="C721" s="19" t="inlineStr">
        <is>
          <t>3</t>
        </is>
      </c>
      <c r="D721" t="n">
        <v>8</v>
      </c>
      <c r="E721" s="19" t="inlineStr">
        <is>
          <t>18</t>
        </is>
      </c>
      <c r="F721" t="n">
        <v>6</v>
      </c>
      <c r="G721" t="b">
        <v>0</v>
      </c>
      <c r="H721" t="inlineStr">
        <is>
          <t>UOM=ADT;WEIGHT_BASIS=PROCESSED_SOURCE_UNIT_WEIGHT;LINE_WEIGHT_KG=1.68;SOURCE_CFG=IA-ST-CFG-0128;SRC_REF=Row 411, Slot 8;SRC_FILE=Mamul Ambalaj Bileşen Listesi-30.07.2026(3).xlsx</t>
        </is>
      </c>
    </row>
    <row r="722">
      <c r="A722" s="19" t="inlineStr">
        <is>
          <t>721</t>
        </is>
      </c>
      <c r="B722" s="19" t="inlineStr">
        <is>
          <t>103</t>
        </is>
      </c>
      <c r="C722" s="19" t="inlineStr">
        <is>
          <t>7</t>
        </is>
      </c>
      <c r="D722" t="n">
        <v>5</v>
      </c>
      <c r="E722" s="19" t="inlineStr">
        <is>
          <t>18</t>
        </is>
      </c>
      <c r="F722" t="n">
        <v>7</v>
      </c>
      <c r="G722" t="b">
        <v>0</v>
      </c>
      <c r="H722" t="inlineStr">
        <is>
          <t>UOM=ADT;WEIGHT_BASIS=PROCESSED_SOURCE_UNIT_WEIGHT;LINE_WEIGHT_KG=1.35;SOURCE_CFG=IA-ST-CFG-0128;SRC_REF=Row 411, Slot 9;SRC_FILE=Mamul Ambalaj Bileşen Listesi-30.07.2026(3).xlsx</t>
        </is>
      </c>
    </row>
    <row r="723">
      <c r="A723" s="19" t="inlineStr">
        <is>
          <t>722</t>
        </is>
      </c>
      <c r="B723" s="19" t="inlineStr">
        <is>
          <t>103</t>
        </is>
      </c>
      <c r="C723" s="19" t="inlineStr">
        <is>
          <t>62</t>
        </is>
      </c>
      <c r="D723" t="n">
        <v>51</v>
      </c>
      <c r="E723" s="19" t="inlineStr">
        <is>
          <t>18</t>
        </is>
      </c>
      <c r="F723" t="n">
        <v>8</v>
      </c>
      <c r="G723" t="b">
        <v>0</v>
      </c>
      <c r="H723" t="inlineStr">
        <is>
          <t>UOM=ADT;WEIGHT_BASIS=PROCESSED_SOURCE_UNIT_WEIGHT;LINE_WEIGHT_KG=14.79;SOURCE_CFG=IA-ST-CFG-0128;SRC_REF=Row 411, Slot 10;SRC_FILE=Mamul Ambalaj Bileşen Listesi-30.07.2026(3).xlsx</t>
        </is>
      </c>
    </row>
    <row r="724">
      <c r="A724" s="19" t="inlineStr">
        <is>
          <t>723</t>
        </is>
      </c>
      <c r="B724" s="19" t="inlineStr">
        <is>
          <t>104</t>
        </is>
      </c>
      <c r="C724" s="19" t="inlineStr">
        <is>
          <t>13</t>
        </is>
      </c>
      <c r="D724" t="n">
        <v>14</v>
      </c>
      <c r="E724" s="19" t="inlineStr">
        <is>
          <t>18</t>
        </is>
      </c>
      <c r="F724" t="n">
        <v>1</v>
      </c>
      <c r="G724" t="b">
        <v>0</v>
      </c>
      <c r="H724" t="inlineStr">
        <is>
          <t>UOM=M;WEIGHT_BASIS=PROCESSED_SOURCE_UNIT_WEIGHT;LINE_WEIGHT_KG=0.1736;SOURCE_CFG=IA-ST-CFG-0129;SRC_REF=Row 1415, Slot 1;SRC_FILE=Mamul Ambalaj Bileşen Listesi-30.07.2026(3).xlsx</t>
        </is>
      </c>
    </row>
    <row r="725">
      <c r="A725" s="19" t="inlineStr">
        <is>
          <t>724</t>
        </is>
      </c>
      <c r="B725" s="19" t="inlineStr">
        <is>
          <t>104</t>
        </is>
      </c>
      <c r="C725" s="19" t="inlineStr">
        <is>
          <t>77</t>
        </is>
      </c>
      <c r="D725" t="n">
        <v>51</v>
      </c>
      <c r="E725" s="19" t="inlineStr">
        <is>
          <t>18</t>
        </is>
      </c>
      <c r="F725" t="n">
        <v>2</v>
      </c>
      <c r="G725" t="b">
        <v>0</v>
      </c>
      <c r="H725" t="inlineStr">
        <is>
          <t>UOM=ADT;WEIGHT_BASIS=SOURCE_UNIT_WEIGHT;LINE_WEIGHT_KG=3.1824;SOURCE_CFG=IA-ST-CFG-0129;SRC_REF=Row 1415, Slot 2;SRC_FILE=Mamul Ambalaj Bileşen Listesi-30.07.2026(3).xlsx</t>
        </is>
      </c>
    </row>
    <row r="726">
      <c r="A726" s="19" t="inlineStr">
        <is>
          <t>725</t>
        </is>
      </c>
      <c r="B726" s="19" t="inlineStr">
        <is>
          <t>104</t>
        </is>
      </c>
      <c r="C726" s="19" t="inlineStr">
        <is>
          <t>5</t>
        </is>
      </c>
      <c r="D726" t="n">
        <v>1</v>
      </c>
      <c r="E726" s="19" t="inlineStr">
        <is>
          <t>18</t>
        </is>
      </c>
      <c r="F726" t="n">
        <v>3</v>
      </c>
      <c r="G726" t="b">
        <v>0</v>
      </c>
      <c r="H726" t="inlineStr">
        <is>
          <t>UOM=ADT;WEIGHT_BASIS=PROCESSED_SOURCE_UNIT_WEIGHT;LINE_WEIGHT_KG=26.0;SOURCE_CFG=IA-ST-CFG-0129;SRC_REF=Row 1415, Slot 3;SRC_FILE=Mamul Ambalaj Bileşen Listesi-30.07.2026(3).xlsx</t>
        </is>
      </c>
    </row>
    <row r="727">
      <c r="A727" s="19" t="inlineStr">
        <is>
          <t>726</t>
        </is>
      </c>
      <c r="B727" s="19" t="inlineStr">
        <is>
          <t>104</t>
        </is>
      </c>
      <c r="C727" s="19" t="inlineStr">
        <is>
          <t>8</t>
        </is>
      </c>
      <c r="D727" t="n">
        <v>20</v>
      </c>
      <c r="E727" s="19" t="inlineStr">
        <is>
          <t>18</t>
        </is>
      </c>
      <c r="F727" t="n">
        <v>4</v>
      </c>
      <c r="G727" t="b">
        <v>0</v>
      </c>
      <c r="H727" t="inlineStr">
        <is>
          <t>UOM=M;WEIGHT_BASIS=PROCESSED_SOURCE_UNIT_WEIGHT;LINE_WEIGHT_KG=0.3664;SOURCE_CFG=IA-ST-CFG-0129;SRC_REF=Row 1415, Slot 5;SRC_FILE=Mamul Ambalaj Bileşen Listesi-30.07.2026(3).xlsx</t>
        </is>
      </c>
    </row>
    <row r="728">
      <c r="A728" s="19" t="inlineStr">
        <is>
          <t>727</t>
        </is>
      </c>
      <c r="B728" s="19" t="inlineStr">
        <is>
          <t>104</t>
        </is>
      </c>
      <c r="C728" s="19" t="inlineStr">
        <is>
          <t>9</t>
        </is>
      </c>
      <c r="D728" t="n">
        <v>0.186</v>
      </c>
      <c r="E728" s="19" t="inlineStr">
        <is>
          <t>18</t>
        </is>
      </c>
      <c r="F728" t="n">
        <v>5</v>
      </c>
      <c r="G728" t="b">
        <v>0</v>
      </c>
      <c r="H728" t="inlineStr">
        <is>
          <t>UOM=KG;WEIGHT_BASIS=RECIPE_QUANTITY_IS_KG;LINE_WEIGHT_KG=0.186;SOURCE_CFG=IA-ST-CFG-0129;SRC_REF=Row 1415, Slot 6;SRC_FILE=Mamul Ambalaj Bileşen Listesi-30.07.2026(3).xlsx</t>
        </is>
      </c>
    </row>
    <row r="729">
      <c r="A729" s="19" t="inlineStr">
        <is>
          <t>728</t>
        </is>
      </c>
      <c r="B729" s="19" t="inlineStr">
        <is>
          <t>104</t>
        </is>
      </c>
      <c r="C729" s="19" t="inlineStr">
        <is>
          <t>7</t>
        </is>
      </c>
      <c r="D729" t="n">
        <v>4</v>
      </c>
      <c r="E729" s="19" t="inlineStr">
        <is>
          <t>18</t>
        </is>
      </c>
      <c r="F729" t="n">
        <v>6</v>
      </c>
      <c r="G729" t="b">
        <v>0</v>
      </c>
      <c r="H729" t="inlineStr">
        <is>
          <t>UOM=ADT;WEIGHT_BASIS=PROCESSED_SOURCE_UNIT_WEIGHT;LINE_WEIGHT_KG=1.08;SOURCE_CFG=IA-ST-CFG-0129;SRC_REF=Row 1415, Slot 8;SRC_FILE=Mamul Ambalaj Bileşen Listesi-30.07.2026(3).xlsx</t>
        </is>
      </c>
    </row>
    <row r="730">
      <c r="A730" s="19" t="inlineStr">
        <is>
          <t>729</t>
        </is>
      </c>
      <c r="B730" s="19" t="inlineStr">
        <is>
          <t>104</t>
        </is>
      </c>
      <c r="C730" s="19" t="inlineStr">
        <is>
          <t>25</t>
        </is>
      </c>
      <c r="D730" t="n">
        <v>8</v>
      </c>
      <c r="E730" s="19" t="inlineStr">
        <is>
          <t>18</t>
        </is>
      </c>
      <c r="F730" t="n">
        <v>7</v>
      </c>
      <c r="G730" t="b">
        <v>0</v>
      </c>
      <c r="H730" t="inlineStr">
        <is>
          <t>UOM=ADT;WEIGHT_BASIS=PROCESSED_SOURCE_UNIT_WEIGHT;LINE_WEIGHT_KG=0.8;SOURCE_CFG=IA-ST-CFG-0129;SRC_REF=Row 1415, Slot 9;SRC_FILE=Mamul Ambalaj Bileşen Listesi-30.07.2026(3).xlsx</t>
        </is>
      </c>
    </row>
    <row r="731">
      <c r="A731" s="19" t="inlineStr">
        <is>
          <t>730</t>
        </is>
      </c>
      <c r="B731" s="19" t="inlineStr">
        <is>
          <t>104</t>
        </is>
      </c>
      <c r="C731" s="19" t="inlineStr">
        <is>
          <t>62</t>
        </is>
      </c>
      <c r="D731" t="n">
        <v>51</v>
      </c>
      <c r="E731" s="19" t="inlineStr">
        <is>
          <t>18</t>
        </is>
      </c>
      <c r="F731" t="n">
        <v>8</v>
      </c>
      <c r="G731" t="b">
        <v>0</v>
      </c>
      <c r="H731" t="inlineStr">
        <is>
          <t>UOM=ADT;WEIGHT_BASIS=PROCESSED_SOURCE_UNIT_WEIGHT;LINE_WEIGHT_KG=14.79;SOURCE_CFG=IA-ST-CFG-0129;SRC_REF=Row 1415, Slot 10;SRC_FILE=Mamul Ambalaj Bileşen Listesi-30.07.2026(3).xlsx</t>
        </is>
      </c>
    </row>
    <row r="732">
      <c r="A732" s="19" t="inlineStr">
        <is>
          <t>731</t>
        </is>
      </c>
      <c r="B732" s="19" t="inlineStr">
        <is>
          <t>105</t>
        </is>
      </c>
      <c r="C732" s="19" t="inlineStr">
        <is>
          <t>13</t>
        </is>
      </c>
      <c r="D732" t="n">
        <v>14</v>
      </c>
      <c r="E732" s="19" t="inlineStr">
        <is>
          <t>18</t>
        </is>
      </c>
      <c r="F732" t="n">
        <v>1</v>
      </c>
      <c r="G732" t="b">
        <v>0</v>
      </c>
      <c r="H732" t="inlineStr">
        <is>
          <t>UOM=M;WEIGHT_BASIS=PROCESSED_SOURCE_UNIT_WEIGHT;LINE_WEIGHT_KG=0.1736;SOURCE_CFG=IA-ST-CFG-0149;SRC_REF=Row 1076, Slot 1;SRC_FILE=Mamul Ambalaj Bileşen Listesi-30.07.2026(3).xlsx</t>
        </is>
      </c>
    </row>
    <row r="733">
      <c r="A733" s="19" t="inlineStr">
        <is>
          <t>732</t>
        </is>
      </c>
      <c r="B733" s="19" t="inlineStr">
        <is>
          <t>105</t>
        </is>
      </c>
      <c r="C733" s="19" t="inlineStr">
        <is>
          <t>6</t>
        </is>
      </c>
      <c r="D733" t="n">
        <v>1</v>
      </c>
      <c r="E733" s="19" t="inlineStr">
        <is>
          <t>18</t>
        </is>
      </c>
      <c r="F733" t="n">
        <v>2</v>
      </c>
      <c r="G733" t="b">
        <v>0</v>
      </c>
      <c r="H733" t="inlineStr">
        <is>
          <t>UOM=ADT;WEIGHT_BASIS=PROCESSED_SOURCE_UNIT_WEIGHT;LINE_WEIGHT_KG=26.0;SOURCE_CFG=IA-ST-CFG-0149;SRC_REF=Row 1076, Slot 3;SRC_FILE=Mamul Ambalaj Bileşen Listesi-30.07.2026(3).xlsx</t>
        </is>
      </c>
    </row>
    <row r="734">
      <c r="A734" s="19" t="inlineStr">
        <is>
          <t>733</t>
        </is>
      </c>
      <c r="B734" s="19" t="inlineStr">
        <is>
          <t>105</t>
        </is>
      </c>
      <c r="C734" s="19" t="inlineStr">
        <is>
          <t>8</t>
        </is>
      </c>
      <c r="D734" t="n">
        <v>20</v>
      </c>
      <c r="E734" s="19" t="inlineStr">
        <is>
          <t>18</t>
        </is>
      </c>
      <c r="F734" t="n">
        <v>3</v>
      </c>
      <c r="G734" t="b">
        <v>0</v>
      </c>
      <c r="H734" t="inlineStr">
        <is>
          <t>UOM=M;WEIGHT_BASIS=PROCESSED_SOURCE_UNIT_WEIGHT;LINE_WEIGHT_KG=0.3664;SOURCE_CFG=IA-ST-CFG-0149;SRC_REF=Row 1076, Slot 5;SRC_FILE=Mamul Ambalaj Bileşen Listesi-30.07.2026(3).xlsx</t>
        </is>
      </c>
    </row>
    <row r="735">
      <c r="A735" s="19" t="inlineStr">
        <is>
          <t>734</t>
        </is>
      </c>
      <c r="B735" s="19" t="inlineStr">
        <is>
          <t>105</t>
        </is>
      </c>
      <c r="C735" s="19" t="inlineStr">
        <is>
          <t>9</t>
        </is>
      </c>
      <c r="D735" t="n">
        <v>0.186</v>
      </c>
      <c r="E735" s="19" t="inlineStr">
        <is>
          <t>18</t>
        </is>
      </c>
      <c r="F735" t="n">
        <v>4</v>
      </c>
      <c r="G735" t="b">
        <v>0</v>
      </c>
      <c r="H735" t="inlineStr">
        <is>
          <t>UOM=KG;WEIGHT_BASIS=RECIPE_QUANTITY_IS_KG;LINE_WEIGHT_KG=0.186;SOURCE_CFG=IA-ST-CFG-0149;SRC_REF=Row 1076, Slot 6;SRC_FILE=Mamul Ambalaj Bileşen Listesi-30.07.2026(3).xlsx</t>
        </is>
      </c>
    </row>
    <row r="736">
      <c r="A736" s="19" t="inlineStr">
        <is>
          <t>735</t>
        </is>
      </c>
      <c r="B736" s="19" t="inlineStr">
        <is>
          <t>105</t>
        </is>
      </c>
      <c r="C736" s="19" t="inlineStr">
        <is>
          <t>25</t>
        </is>
      </c>
      <c r="D736" t="n">
        <v>4</v>
      </c>
      <c r="E736" s="19" t="inlineStr">
        <is>
          <t>18</t>
        </is>
      </c>
      <c r="F736" t="n">
        <v>5</v>
      </c>
      <c r="G736" t="b">
        <v>0</v>
      </c>
      <c r="H736" t="inlineStr">
        <is>
          <t>UOM=ADT;WEIGHT_BASIS=PROCESSED_SOURCE_UNIT_WEIGHT;LINE_WEIGHT_KG=0.4;SOURCE_CFG=IA-ST-CFG-0149;SRC_REF=Row 1076, Slot 8;SRC_FILE=Mamul Ambalaj Bileşen Listesi-30.07.2026(3).xlsx</t>
        </is>
      </c>
    </row>
    <row r="737">
      <c r="A737" s="19" t="inlineStr">
        <is>
          <t>736</t>
        </is>
      </c>
      <c r="B737" s="19" t="inlineStr">
        <is>
          <t>105</t>
        </is>
      </c>
      <c r="C737" s="19" t="inlineStr">
        <is>
          <t>30</t>
        </is>
      </c>
      <c r="D737" t="n">
        <v>4</v>
      </c>
      <c r="E737" s="19" t="inlineStr">
        <is>
          <t>18</t>
        </is>
      </c>
      <c r="F737" t="n">
        <v>6</v>
      </c>
      <c r="G737" t="b">
        <v>0</v>
      </c>
      <c r="H737" t="inlineStr">
        <is>
          <t>UOM=ADT;WEIGHT_BASIS=PROCESSED_SOURCE_UNIT_WEIGHT;LINE_WEIGHT_KG=0.8;SOURCE_CFG=IA-ST-CFG-0149;SRC_REF=Row 1076, Slot 9;SRC_FILE=Mamul Ambalaj Bileşen Listesi-30.07.2026(3).xlsx</t>
        </is>
      </c>
    </row>
    <row r="738">
      <c r="A738" s="19" t="inlineStr">
        <is>
          <t>737</t>
        </is>
      </c>
      <c r="B738" s="19" t="inlineStr">
        <is>
          <t>106</t>
        </is>
      </c>
      <c r="C738" s="19" t="inlineStr">
        <is>
          <t>13</t>
        </is>
      </c>
      <c r="D738" t="n">
        <v>14</v>
      </c>
      <c r="E738" s="19" t="inlineStr">
        <is>
          <t>18</t>
        </is>
      </c>
      <c r="F738" t="n">
        <v>1</v>
      </c>
      <c r="G738" t="b">
        <v>0</v>
      </c>
      <c r="H738" t="inlineStr">
        <is>
          <t>UOM=M;WEIGHT_BASIS=PROCESSED_SOURCE_UNIT_WEIGHT;LINE_WEIGHT_KG=0.1736;SOURCE_CFG=IA-ST-CFG-0137;SRC_REF=Row 1393, Slot 1;SRC_FILE=Mamul Ambalaj Bileşen Listesi-30.07.2026(3).xlsx</t>
        </is>
      </c>
    </row>
    <row r="739">
      <c r="A739" s="19" t="inlineStr">
        <is>
          <t>738</t>
        </is>
      </c>
      <c r="B739" s="19" t="inlineStr">
        <is>
          <t>106</t>
        </is>
      </c>
      <c r="C739" s="19" t="inlineStr">
        <is>
          <t>5</t>
        </is>
      </c>
      <c r="D739" t="n">
        <v>1</v>
      </c>
      <c r="E739" s="19" t="inlineStr">
        <is>
          <t>18</t>
        </is>
      </c>
      <c r="F739" t="n">
        <v>2</v>
      </c>
      <c r="G739" t="b">
        <v>0</v>
      </c>
      <c r="H739" t="inlineStr">
        <is>
          <t>UOM=ADT;WEIGHT_BASIS=PROCESSED_SOURCE_UNIT_WEIGHT;LINE_WEIGHT_KG=26.0;SOURCE_CFG=IA-ST-CFG-0137;SRC_REF=Row 1393, Slot 3;SRC_FILE=Mamul Ambalaj Bileşen Listesi-30.07.2026(3).xlsx</t>
        </is>
      </c>
    </row>
    <row r="740">
      <c r="A740" s="19" t="inlineStr">
        <is>
          <t>739</t>
        </is>
      </c>
      <c r="B740" s="19" t="inlineStr">
        <is>
          <t>106</t>
        </is>
      </c>
      <c r="C740" s="19" t="inlineStr">
        <is>
          <t>8</t>
        </is>
      </c>
      <c r="D740" t="n">
        <v>20</v>
      </c>
      <c r="E740" s="19" t="inlineStr">
        <is>
          <t>18</t>
        </is>
      </c>
      <c r="F740" t="n">
        <v>3</v>
      </c>
      <c r="G740" t="b">
        <v>0</v>
      </c>
      <c r="H740" t="inlineStr">
        <is>
          <t>UOM=M;WEIGHT_BASIS=PROCESSED_SOURCE_UNIT_WEIGHT;LINE_WEIGHT_KG=0.3664;SOURCE_CFG=IA-ST-CFG-0137;SRC_REF=Row 1393, Slot 5;SRC_FILE=Mamul Ambalaj Bileşen Listesi-30.07.2026(3).xlsx</t>
        </is>
      </c>
    </row>
    <row r="741">
      <c r="A741" s="19" t="inlineStr">
        <is>
          <t>740</t>
        </is>
      </c>
      <c r="B741" s="19" t="inlineStr">
        <is>
          <t>106</t>
        </is>
      </c>
      <c r="C741" s="19" t="inlineStr">
        <is>
          <t>9</t>
        </is>
      </c>
      <c r="D741" t="n">
        <v>0.186</v>
      </c>
      <c r="E741" s="19" t="inlineStr">
        <is>
          <t>18</t>
        </is>
      </c>
      <c r="F741" t="n">
        <v>4</v>
      </c>
      <c r="G741" t="b">
        <v>0</v>
      </c>
      <c r="H741" t="inlineStr">
        <is>
          <t>UOM=KG;WEIGHT_BASIS=RECIPE_QUANTITY_IS_KG;LINE_WEIGHT_KG=0.186;SOURCE_CFG=IA-ST-CFG-0137;SRC_REF=Row 1393, Slot 6;SRC_FILE=Mamul Ambalaj Bileşen Listesi-30.07.2026(3).xlsx</t>
        </is>
      </c>
    </row>
    <row r="742">
      <c r="A742" s="19" t="inlineStr">
        <is>
          <t>741</t>
        </is>
      </c>
      <c r="B742" s="19" t="inlineStr">
        <is>
          <t>106</t>
        </is>
      </c>
      <c r="C742" s="19" t="inlineStr">
        <is>
          <t>3</t>
        </is>
      </c>
      <c r="D742" t="n">
        <v>6</v>
      </c>
      <c r="E742" s="19" t="inlineStr">
        <is>
          <t>18</t>
        </is>
      </c>
      <c r="F742" t="n">
        <v>5</v>
      </c>
      <c r="G742" t="b">
        <v>0</v>
      </c>
      <c r="H742" t="inlineStr">
        <is>
          <t>UOM=ADT;WEIGHT_BASIS=PROCESSED_SOURCE_UNIT_WEIGHT;LINE_WEIGHT_KG=1.26;SOURCE_CFG=IA-ST-CFG-0137;SRC_REF=Row 1393, Slot 8;SRC_FILE=Mamul Ambalaj Bileşen Listesi-30.07.2026(3).xlsx</t>
        </is>
      </c>
    </row>
    <row r="743">
      <c r="A743" s="19" t="inlineStr">
        <is>
          <t>742</t>
        </is>
      </c>
      <c r="B743" s="19" t="inlineStr">
        <is>
          <t>106</t>
        </is>
      </c>
      <c r="C743" s="19" t="inlineStr">
        <is>
          <t>7</t>
        </is>
      </c>
      <c r="D743" t="n">
        <v>4</v>
      </c>
      <c r="E743" s="19" t="inlineStr">
        <is>
          <t>18</t>
        </is>
      </c>
      <c r="F743" t="n">
        <v>6</v>
      </c>
      <c r="G743" t="b">
        <v>0</v>
      </c>
      <c r="H743" t="inlineStr">
        <is>
          <t>UOM=ADT;WEIGHT_BASIS=PROCESSED_SOURCE_UNIT_WEIGHT;LINE_WEIGHT_KG=1.08;SOURCE_CFG=IA-ST-CFG-0137;SRC_REF=Row 1393, Slot 9;SRC_FILE=Mamul Ambalaj Bileşen Listesi-30.07.2026(3).xlsx</t>
        </is>
      </c>
    </row>
    <row r="744">
      <c r="A744" s="19" t="inlineStr">
        <is>
          <t>743</t>
        </is>
      </c>
      <c r="B744" s="19" t="inlineStr">
        <is>
          <t>106</t>
        </is>
      </c>
      <c r="C744" s="19" t="inlineStr">
        <is>
          <t>46</t>
        </is>
      </c>
      <c r="D744" t="n">
        <v>54</v>
      </c>
      <c r="E744" s="19" t="inlineStr">
        <is>
          <t>18</t>
        </is>
      </c>
      <c r="F744" t="n">
        <v>7</v>
      </c>
      <c r="G744" t="b">
        <v>0</v>
      </c>
      <c r="H744" t="inlineStr">
        <is>
          <t>UOM=ADT;WEIGHT_BASIS=PROCESSED_SOURCE_UNIT_WEIGHT;LINE_WEIGHT_KG=13.5;SOURCE_CFG=IA-ST-CFG-0137;SRC_REF=Row 1393, Slot 10;SRC_FILE=Mamul Ambalaj Bileşen Listesi-30.07.2026(3).xlsx</t>
        </is>
      </c>
    </row>
    <row r="745">
      <c r="A745" s="19" t="inlineStr">
        <is>
          <t>744</t>
        </is>
      </c>
      <c r="B745" s="19" t="inlineStr">
        <is>
          <t>107</t>
        </is>
      </c>
      <c r="C745" s="19" t="inlineStr">
        <is>
          <t>13</t>
        </is>
      </c>
      <c r="D745" t="n">
        <v>14</v>
      </c>
      <c r="E745" s="19" t="inlineStr">
        <is>
          <t>18</t>
        </is>
      </c>
      <c r="F745" t="n">
        <v>1</v>
      </c>
      <c r="G745" t="b">
        <v>0</v>
      </c>
      <c r="H745" t="inlineStr">
        <is>
          <t>UOM=M;WEIGHT_BASIS=PROCESSED_SOURCE_UNIT_WEIGHT;LINE_WEIGHT_KG=0.1736;SOURCE_CFG=IA-ST-CFG-0138;SRC_REF=Row 981, Slot 1;SRC_FILE=Mamul Ambalaj Bileşen Listesi-30.07.2026(3).xlsx</t>
        </is>
      </c>
    </row>
    <row r="746">
      <c r="A746" s="19" t="inlineStr">
        <is>
          <t>745</t>
        </is>
      </c>
      <c r="B746" s="19" t="inlineStr">
        <is>
          <t>107</t>
        </is>
      </c>
      <c r="C746" s="19" t="inlineStr">
        <is>
          <t>5</t>
        </is>
      </c>
      <c r="D746" t="n">
        <v>1</v>
      </c>
      <c r="E746" s="19" t="inlineStr">
        <is>
          <t>18</t>
        </is>
      </c>
      <c r="F746" t="n">
        <v>2</v>
      </c>
      <c r="G746" t="b">
        <v>0</v>
      </c>
      <c r="H746" t="inlineStr">
        <is>
          <t>UOM=ADT;WEIGHT_BASIS=PROCESSED_SOURCE_UNIT_WEIGHT;LINE_WEIGHT_KG=26.0;SOURCE_CFG=IA-ST-CFG-0138;SRC_REF=Row 981, Slot 3;SRC_FILE=Mamul Ambalaj Bileşen Listesi-30.07.2026(3).xlsx</t>
        </is>
      </c>
    </row>
    <row r="747">
      <c r="A747" s="19" t="inlineStr">
        <is>
          <t>746</t>
        </is>
      </c>
      <c r="B747" s="19" t="inlineStr">
        <is>
          <t>107</t>
        </is>
      </c>
      <c r="C747" s="19" t="inlineStr">
        <is>
          <t>8</t>
        </is>
      </c>
      <c r="D747" t="n">
        <v>20</v>
      </c>
      <c r="E747" s="19" t="inlineStr">
        <is>
          <t>18</t>
        </is>
      </c>
      <c r="F747" t="n">
        <v>3</v>
      </c>
      <c r="G747" t="b">
        <v>0</v>
      </c>
      <c r="H747" t="inlineStr">
        <is>
          <t>UOM=M;WEIGHT_BASIS=PROCESSED_SOURCE_UNIT_WEIGHT;LINE_WEIGHT_KG=0.3664;SOURCE_CFG=IA-ST-CFG-0138;SRC_REF=Row 981, Slot 5;SRC_FILE=Mamul Ambalaj Bileşen Listesi-30.07.2026(3).xlsx</t>
        </is>
      </c>
    </row>
    <row r="748">
      <c r="A748" s="19" t="inlineStr">
        <is>
          <t>747</t>
        </is>
      </c>
      <c r="B748" s="19" t="inlineStr">
        <is>
          <t>107</t>
        </is>
      </c>
      <c r="C748" s="19" t="inlineStr">
        <is>
          <t>9</t>
        </is>
      </c>
      <c r="D748" t="n">
        <v>0.186</v>
      </c>
      <c r="E748" s="19" t="inlineStr">
        <is>
          <t>18</t>
        </is>
      </c>
      <c r="F748" t="n">
        <v>4</v>
      </c>
      <c r="G748" t="b">
        <v>0</v>
      </c>
      <c r="H748" t="inlineStr">
        <is>
          <t>UOM=KG;WEIGHT_BASIS=RECIPE_QUANTITY_IS_KG;LINE_WEIGHT_KG=0.186;SOURCE_CFG=IA-ST-CFG-0138;SRC_REF=Row 981, Slot 6;SRC_FILE=Mamul Ambalaj Bileşen Listesi-30.07.2026(3).xlsx</t>
        </is>
      </c>
    </row>
    <row r="749">
      <c r="A749" s="19" t="inlineStr">
        <is>
          <t>748</t>
        </is>
      </c>
      <c r="B749" s="19" t="inlineStr">
        <is>
          <t>107</t>
        </is>
      </c>
      <c r="C749" s="19" t="inlineStr">
        <is>
          <t>3</t>
        </is>
      </c>
      <c r="D749" t="n">
        <v>8</v>
      </c>
      <c r="E749" s="19" t="inlineStr">
        <is>
          <t>18</t>
        </is>
      </c>
      <c r="F749" t="n">
        <v>5</v>
      </c>
      <c r="G749" t="b">
        <v>0</v>
      </c>
      <c r="H749" t="inlineStr">
        <is>
          <t>UOM=ADT;WEIGHT_BASIS=PROCESSED_SOURCE_UNIT_WEIGHT;LINE_WEIGHT_KG=1.68;SOURCE_CFG=IA-ST-CFG-0138;SRC_REF=Row 981, Slot 8;SRC_FILE=Mamul Ambalaj Bileşen Listesi-30.07.2026(3).xlsx</t>
        </is>
      </c>
    </row>
    <row r="750">
      <c r="A750" s="19" t="inlineStr">
        <is>
          <t>749</t>
        </is>
      </c>
      <c r="B750" s="19" t="inlineStr">
        <is>
          <t>107</t>
        </is>
      </c>
      <c r="C750" s="19" t="inlineStr">
        <is>
          <t>7</t>
        </is>
      </c>
      <c r="D750" t="n">
        <v>4</v>
      </c>
      <c r="E750" s="19" t="inlineStr">
        <is>
          <t>18</t>
        </is>
      </c>
      <c r="F750" t="n">
        <v>6</v>
      </c>
      <c r="G750" t="b">
        <v>0</v>
      </c>
      <c r="H750" t="inlineStr">
        <is>
          <t>UOM=ADT;WEIGHT_BASIS=PROCESSED_SOURCE_UNIT_WEIGHT;LINE_WEIGHT_KG=1.08;SOURCE_CFG=IA-ST-CFG-0138;SRC_REF=Row 981, Slot 9;SRC_FILE=Mamul Ambalaj Bileşen Listesi-30.07.2026(3).xlsx</t>
        </is>
      </c>
    </row>
    <row r="751">
      <c r="A751" s="19" t="inlineStr">
        <is>
          <t>750</t>
        </is>
      </c>
      <c r="B751" s="19" t="inlineStr">
        <is>
          <t>107</t>
        </is>
      </c>
      <c r="C751" s="19" t="inlineStr">
        <is>
          <t>64</t>
        </is>
      </c>
      <c r="D751" t="n">
        <v>54</v>
      </c>
      <c r="E751" s="19" t="inlineStr">
        <is>
          <t>18</t>
        </is>
      </c>
      <c r="F751" t="n">
        <v>7</v>
      </c>
      <c r="G751" t="b">
        <v>0</v>
      </c>
      <c r="H751" t="inlineStr">
        <is>
          <t>UOM=ADT;WEIGHT_BASIS=PROCESSED_SOURCE_UNIT_WEIGHT;LINE_WEIGHT_KG=13.5;SOURCE_CFG=IA-ST-CFG-0138;SRC_REF=Row 981, Slot 10;SRC_FILE=Mamul Ambalaj Bileşen Listesi-30.07.2026(3).xlsx</t>
        </is>
      </c>
    </row>
    <row r="752">
      <c r="A752" s="19" t="inlineStr">
        <is>
          <t>751</t>
        </is>
      </c>
      <c r="B752" s="19" t="inlineStr">
        <is>
          <t>108</t>
        </is>
      </c>
      <c r="C752" s="19" t="inlineStr">
        <is>
          <t>13</t>
        </is>
      </c>
      <c r="D752" t="n">
        <v>14</v>
      </c>
      <c r="E752" s="19" t="inlineStr">
        <is>
          <t>18</t>
        </is>
      </c>
      <c r="F752" t="n">
        <v>1</v>
      </c>
      <c r="G752" t="b">
        <v>0</v>
      </c>
      <c r="H752" t="inlineStr">
        <is>
          <t>UOM=M;WEIGHT_BASIS=PROCESSED_SOURCE_UNIT_WEIGHT;LINE_WEIGHT_KG=0.1736;SOURCE_CFG=IA-ST-CFG-0139;SRC_REF=Row 1162, Slot 1;SRC_FILE=Mamul Ambalaj Bileşen Listesi-30.07.2026(3).xlsx</t>
        </is>
      </c>
    </row>
    <row r="753">
      <c r="A753" s="19" t="inlineStr">
        <is>
          <t>752</t>
        </is>
      </c>
      <c r="B753" s="19" t="inlineStr">
        <is>
          <t>108</t>
        </is>
      </c>
      <c r="C753" s="19" t="inlineStr">
        <is>
          <t>5</t>
        </is>
      </c>
      <c r="D753" t="n">
        <v>1</v>
      </c>
      <c r="E753" s="19" t="inlineStr">
        <is>
          <t>18</t>
        </is>
      </c>
      <c r="F753" t="n">
        <v>2</v>
      </c>
      <c r="G753" t="b">
        <v>0</v>
      </c>
      <c r="H753" t="inlineStr">
        <is>
          <t>UOM=ADT;WEIGHT_BASIS=PROCESSED_SOURCE_UNIT_WEIGHT;LINE_WEIGHT_KG=26.0;SOURCE_CFG=IA-ST-CFG-0139;SRC_REF=Row 1162, Slot 3;SRC_FILE=Mamul Ambalaj Bileşen Listesi-30.07.2026(3).xlsx</t>
        </is>
      </c>
    </row>
    <row r="754">
      <c r="A754" s="19" t="inlineStr">
        <is>
          <t>753</t>
        </is>
      </c>
      <c r="B754" s="19" t="inlineStr">
        <is>
          <t>108</t>
        </is>
      </c>
      <c r="C754" s="19" t="inlineStr">
        <is>
          <t>8</t>
        </is>
      </c>
      <c r="D754" t="n">
        <v>20</v>
      </c>
      <c r="E754" s="19" t="inlineStr">
        <is>
          <t>18</t>
        </is>
      </c>
      <c r="F754" t="n">
        <v>3</v>
      </c>
      <c r="G754" t="b">
        <v>0</v>
      </c>
      <c r="H754" t="inlineStr">
        <is>
          <t>UOM=M;WEIGHT_BASIS=PROCESSED_SOURCE_UNIT_WEIGHT;LINE_WEIGHT_KG=0.3664;SOURCE_CFG=IA-ST-CFG-0139;SRC_REF=Row 1162, Slot 5;SRC_FILE=Mamul Ambalaj Bileşen Listesi-30.07.2026(3).xlsx</t>
        </is>
      </c>
    </row>
    <row r="755">
      <c r="A755" s="19" t="inlineStr">
        <is>
          <t>754</t>
        </is>
      </c>
      <c r="B755" s="19" t="inlineStr">
        <is>
          <t>108</t>
        </is>
      </c>
      <c r="C755" s="19" t="inlineStr">
        <is>
          <t>9</t>
        </is>
      </c>
      <c r="D755" t="n">
        <v>0.186</v>
      </c>
      <c r="E755" s="19" t="inlineStr">
        <is>
          <t>18</t>
        </is>
      </c>
      <c r="F755" t="n">
        <v>4</v>
      </c>
      <c r="G755" t="b">
        <v>0</v>
      </c>
      <c r="H755" t="inlineStr">
        <is>
          <t>UOM=KG;WEIGHT_BASIS=RECIPE_QUANTITY_IS_KG;LINE_WEIGHT_KG=0.186;SOURCE_CFG=IA-ST-CFG-0139;SRC_REF=Row 1162, Slot 6;SRC_FILE=Mamul Ambalaj Bileşen Listesi-30.07.2026(3).xlsx</t>
        </is>
      </c>
    </row>
    <row r="756">
      <c r="A756" s="19" t="inlineStr">
        <is>
          <t>755</t>
        </is>
      </c>
      <c r="B756" s="19" t="inlineStr">
        <is>
          <t>108</t>
        </is>
      </c>
      <c r="C756" s="19" t="inlineStr">
        <is>
          <t>3</t>
        </is>
      </c>
      <c r="D756" t="n">
        <v>8</v>
      </c>
      <c r="E756" s="19" t="inlineStr">
        <is>
          <t>18</t>
        </is>
      </c>
      <c r="F756" t="n">
        <v>5</v>
      </c>
      <c r="G756" t="b">
        <v>0</v>
      </c>
      <c r="H756" t="inlineStr">
        <is>
          <t>UOM=ADT;WEIGHT_BASIS=PROCESSED_SOURCE_UNIT_WEIGHT;LINE_WEIGHT_KG=1.68;SOURCE_CFG=IA-ST-CFG-0139;SRC_REF=Row 1162, Slot 8;SRC_FILE=Mamul Ambalaj Bileşen Listesi-30.07.2026(3).xlsx</t>
        </is>
      </c>
    </row>
    <row r="757">
      <c r="A757" s="19" t="inlineStr">
        <is>
          <t>756</t>
        </is>
      </c>
      <c r="B757" s="19" t="inlineStr">
        <is>
          <t>108</t>
        </is>
      </c>
      <c r="C757" s="19" t="inlineStr">
        <is>
          <t>7</t>
        </is>
      </c>
      <c r="D757" t="n">
        <v>4</v>
      </c>
      <c r="E757" s="19" t="inlineStr">
        <is>
          <t>18</t>
        </is>
      </c>
      <c r="F757" t="n">
        <v>6</v>
      </c>
      <c r="G757" t="b">
        <v>0</v>
      </c>
      <c r="H757" t="inlineStr">
        <is>
          <t>UOM=ADT;WEIGHT_BASIS=PROCESSED_SOURCE_UNIT_WEIGHT;LINE_WEIGHT_KG=1.08;SOURCE_CFG=IA-ST-CFG-0139;SRC_REF=Row 1162, Slot 9;SRC_FILE=Mamul Ambalaj Bileşen Listesi-30.07.2026(3).xlsx</t>
        </is>
      </c>
    </row>
    <row r="758">
      <c r="A758" s="19" t="inlineStr">
        <is>
          <t>757</t>
        </is>
      </c>
      <c r="B758" s="19" t="inlineStr">
        <is>
          <t>108</t>
        </is>
      </c>
      <c r="C758" s="19" t="inlineStr">
        <is>
          <t>93</t>
        </is>
      </c>
      <c r="D758" t="n">
        <v>54</v>
      </c>
      <c r="E758" s="19" t="inlineStr">
        <is>
          <t>18</t>
        </is>
      </c>
      <c r="F758" t="n">
        <v>7</v>
      </c>
      <c r="G758" t="b">
        <v>0</v>
      </c>
      <c r="H758" t="inlineStr">
        <is>
          <t>UOM=ADT;WEIGHT_BASIS=PROCESSED_SOURCE_UNIT_WEIGHT;LINE_WEIGHT_KG=13.5;SOURCE_CFG=IA-ST-CFG-0139;SRC_REF=Row 1162, Slot 10;SRC_FILE=Mamul Ambalaj Bileşen Listesi-30.07.2026(3).xlsx</t>
        </is>
      </c>
    </row>
    <row r="759">
      <c r="A759" s="19" t="inlineStr">
        <is>
          <t>758</t>
        </is>
      </c>
      <c r="B759" s="19" t="inlineStr">
        <is>
          <t>109</t>
        </is>
      </c>
      <c r="C759" s="19" t="inlineStr">
        <is>
          <t>11</t>
        </is>
      </c>
      <c r="D759" t="n">
        <v>3</v>
      </c>
      <c r="E759" s="19" t="inlineStr">
        <is>
          <t>18</t>
        </is>
      </c>
      <c r="F759" t="n">
        <v>1</v>
      </c>
      <c r="G759" t="b">
        <v>0</v>
      </c>
      <c r="H759" t="inlineStr">
        <is>
          <t>UOM=ADT;WEIGHT_BASIS=PROCESSED_SOURCE_UNIT_WEIGHT;LINE_WEIGHT_KG=0.312;SOURCE_CFG=IA-ST-CFG-0140;SRC_REF=Row 935, Slot 1;SRC_FILE=Mamul Ambalaj Bileşen Listesi-30.07.2026(3).xlsx</t>
        </is>
      </c>
    </row>
    <row r="760">
      <c r="A760" s="19" t="inlineStr">
        <is>
          <t>759</t>
        </is>
      </c>
      <c r="B760" s="19" t="inlineStr">
        <is>
          <t>109</t>
        </is>
      </c>
      <c r="C760" s="19" t="inlineStr">
        <is>
          <t>13</t>
        </is>
      </c>
      <c r="D760" t="n">
        <v>14</v>
      </c>
      <c r="E760" s="19" t="inlineStr">
        <is>
          <t>18</t>
        </is>
      </c>
      <c r="F760" t="n">
        <v>2</v>
      </c>
      <c r="G760" t="b">
        <v>0</v>
      </c>
      <c r="H760" t="inlineStr">
        <is>
          <t>UOM=M;WEIGHT_BASIS=PROCESSED_SOURCE_UNIT_WEIGHT;LINE_WEIGHT_KG=0.1736;SOURCE_CFG=IA-ST-CFG-0140;SRC_REF=Row 935, Slot 2;SRC_FILE=Mamul Ambalaj Bileşen Listesi-30.07.2026(3).xlsx</t>
        </is>
      </c>
    </row>
    <row r="761">
      <c r="A761" s="19" t="inlineStr">
        <is>
          <t>760</t>
        </is>
      </c>
      <c r="B761" s="19" t="inlineStr">
        <is>
          <t>109</t>
        </is>
      </c>
      <c r="C761" s="19" t="inlineStr">
        <is>
          <t>5</t>
        </is>
      </c>
      <c r="D761" t="n">
        <v>1</v>
      </c>
      <c r="E761" s="19" t="inlineStr">
        <is>
          <t>18</t>
        </is>
      </c>
      <c r="F761" t="n">
        <v>3</v>
      </c>
      <c r="G761" t="b">
        <v>0</v>
      </c>
      <c r="H761" t="inlineStr">
        <is>
          <t>UOM=ADT;WEIGHT_BASIS=PROCESSED_SOURCE_UNIT_WEIGHT;LINE_WEIGHT_KG=26.0;SOURCE_CFG=IA-ST-CFG-0140;SRC_REF=Row 935, Slot 3;SRC_FILE=Mamul Ambalaj Bileşen Listesi-30.07.2026(3).xlsx</t>
        </is>
      </c>
    </row>
    <row r="762">
      <c r="A762" s="19" t="inlineStr">
        <is>
          <t>761</t>
        </is>
      </c>
      <c r="B762" s="19" t="inlineStr">
        <is>
          <t>109</t>
        </is>
      </c>
      <c r="C762" s="19" t="inlineStr">
        <is>
          <t>8</t>
        </is>
      </c>
      <c r="D762" t="n">
        <v>20</v>
      </c>
      <c r="E762" s="19" t="inlineStr">
        <is>
          <t>18</t>
        </is>
      </c>
      <c r="F762" t="n">
        <v>4</v>
      </c>
      <c r="G762" t="b">
        <v>0</v>
      </c>
      <c r="H762" t="inlineStr">
        <is>
          <t>UOM=M;WEIGHT_BASIS=PROCESSED_SOURCE_UNIT_WEIGHT;LINE_WEIGHT_KG=0.3664;SOURCE_CFG=IA-ST-CFG-0140;SRC_REF=Row 935, Slot 5;SRC_FILE=Mamul Ambalaj Bileşen Listesi-30.07.2026(3).xlsx</t>
        </is>
      </c>
    </row>
    <row r="763">
      <c r="A763" s="19" t="inlineStr">
        <is>
          <t>762</t>
        </is>
      </c>
      <c r="B763" s="19" t="inlineStr">
        <is>
          <t>109</t>
        </is>
      </c>
      <c r="C763" s="19" t="inlineStr">
        <is>
          <t>9</t>
        </is>
      </c>
      <c r="D763" t="n">
        <v>0.186</v>
      </c>
      <c r="E763" s="19" t="inlineStr">
        <is>
          <t>18</t>
        </is>
      </c>
      <c r="F763" t="n">
        <v>5</v>
      </c>
      <c r="G763" t="b">
        <v>0</v>
      </c>
      <c r="H763" t="inlineStr">
        <is>
          <t>UOM=KG;WEIGHT_BASIS=RECIPE_QUANTITY_IS_KG;LINE_WEIGHT_KG=0.186;SOURCE_CFG=IA-ST-CFG-0140;SRC_REF=Row 935, Slot 6;SRC_FILE=Mamul Ambalaj Bileşen Listesi-30.07.2026(3).xlsx</t>
        </is>
      </c>
    </row>
    <row r="764">
      <c r="A764" s="19" t="inlineStr">
        <is>
          <t>763</t>
        </is>
      </c>
      <c r="B764" s="19" t="inlineStr">
        <is>
          <t>109</t>
        </is>
      </c>
      <c r="C764" s="19" t="inlineStr">
        <is>
          <t>7</t>
        </is>
      </c>
      <c r="D764" t="n">
        <v>4</v>
      </c>
      <c r="E764" s="19" t="inlineStr">
        <is>
          <t>18</t>
        </is>
      </c>
      <c r="F764" t="n">
        <v>6</v>
      </c>
      <c r="G764" t="b">
        <v>0</v>
      </c>
      <c r="H764" t="inlineStr">
        <is>
          <t>UOM=ADT;WEIGHT_BASIS=PROCESSED_SOURCE_UNIT_WEIGHT;LINE_WEIGHT_KG=1.08;SOURCE_CFG=IA-ST-CFG-0140;SRC_REF=Row 935, Slot 8;SRC_FILE=Mamul Ambalaj Bileşen Listesi-30.07.2026(3).xlsx</t>
        </is>
      </c>
    </row>
    <row r="765">
      <c r="A765" s="19" t="inlineStr">
        <is>
          <t>764</t>
        </is>
      </c>
      <c r="B765" s="19" t="inlineStr">
        <is>
          <t>109</t>
        </is>
      </c>
      <c r="C765" s="19" t="inlineStr">
        <is>
          <t>25</t>
        </is>
      </c>
      <c r="D765" t="n">
        <v>4</v>
      </c>
      <c r="E765" s="19" t="inlineStr">
        <is>
          <t>18</t>
        </is>
      </c>
      <c r="F765" t="n">
        <v>7</v>
      </c>
      <c r="G765" t="b">
        <v>0</v>
      </c>
      <c r="H765" t="inlineStr">
        <is>
          <t>UOM=ADT;WEIGHT_BASIS=PROCESSED_SOURCE_UNIT_WEIGHT;LINE_WEIGHT_KG=0.4;SOURCE_CFG=IA-ST-CFG-0140;SRC_REF=Row 935, Slot 9;SRC_FILE=Mamul Ambalaj Bileşen Listesi-30.07.2026(3).xlsx</t>
        </is>
      </c>
    </row>
    <row r="766">
      <c r="A766" s="19" t="inlineStr">
        <is>
          <t>765</t>
        </is>
      </c>
      <c r="B766" s="19" t="inlineStr">
        <is>
          <t>110</t>
        </is>
      </c>
      <c r="C766" s="19" t="inlineStr">
        <is>
          <t>13</t>
        </is>
      </c>
      <c r="D766" t="n">
        <v>14</v>
      </c>
      <c r="E766" s="19" t="inlineStr">
        <is>
          <t>18</t>
        </is>
      </c>
      <c r="F766" t="n">
        <v>1</v>
      </c>
      <c r="G766" t="b">
        <v>0</v>
      </c>
      <c r="H766" t="inlineStr">
        <is>
          <t>UOM=M;WEIGHT_BASIS=PROCESSED_SOURCE_UNIT_WEIGHT;LINE_WEIGHT_KG=0.1736;SOURCE_CFG=IA-ST-CFG-0141;SRC_REF=Row 1330, Slot 1;SRC_FILE=Mamul Ambalaj Bileşen Listesi-30.07.2026(3).xlsx</t>
        </is>
      </c>
    </row>
    <row r="767">
      <c r="A767" s="19" t="inlineStr">
        <is>
          <t>766</t>
        </is>
      </c>
      <c r="B767" s="19" t="inlineStr">
        <is>
          <t>110</t>
        </is>
      </c>
      <c r="C767" s="19" t="inlineStr">
        <is>
          <t>76</t>
        </is>
      </c>
      <c r="D767" t="n">
        <v>54</v>
      </c>
      <c r="E767" s="19" t="inlineStr">
        <is>
          <t>18</t>
        </is>
      </c>
      <c r="F767" t="n">
        <v>2</v>
      </c>
      <c r="G767" t="b">
        <v>0</v>
      </c>
      <c r="H767" t="inlineStr">
        <is>
          <t>UOM=ADT;WEIGHT_BASIS=SOURCE_UNIT_WEIGHT;LINE_WEIGHT_KG=3.3695999999999997;SOURCE_CFG=IA-ST-CFG-0141;SRC_REF=Row 1330, Slot 2;SRC_FILE=Mamul Ambalaj Bileşen Listesi-30.07.2026(3).xlsx</t>
        </is>
      </c>
    </row>
    <row r="768">
      <c r="A768" s="19" t="inlineStr">
        <is>
          <t>767</t>
        </is>
      </c>
      <c r="B768" s="19" t="inlineStr">
        <is>
          <t>110</t>
        </is>
      </c>
      <c r="C768" s="19" t="inlineStr">
        <is>
          <t>5</t>
        </is>
      </c>
      <c r="D768" t="n">
        <v>1</v>
      </c>
      <c r="E768" s="19" t="inlineStr">
        <is>
          <t>18</t>
        </is>
      </c>
      <c r="F768" t="n">
        <v>3</v>
      </c>
      <c r="G768" t="b">
        <v>0</v>
      </c>
      <c r="H768" t="inlineStr">
        <is>
          <t>UOM=ADT;WEIGHT_BASIS=PROCESSED_SOURCE_UNIT_WEIGHT;LINE_WEIGHT_KG=26.0;SOURCE_CFG=IA-ST-CFG-0141;SRC_REF=Row 1330, Slot 3;SRC_FILE=Mamul Ambalaj Bileşen Listesi-30.07.2026(3).xlsx</t>
        </is>
      </c>
    </row>
    <row r="769">
      <c r="A769" s="19" t="inlineStr">
        <is>
          <t>768</t>
        </is>
      </c>
      <c r="B769" s="19" t="inlineStr">
        <is>
          <t>110</t>
        </is>
      </c>
      <c r="C769" s="19" t="inlineStr">
        <is>
          <t>8</t>
        </is>
      </c>
      <c r="D769" t="n">
        <v>20</v>
      </c>
      <c r="E769" s="19" t="inlineStr">
        <is>
          <t>18</t>
        </is>
      </c>
      <c r="F769" t="n">
        <v>4</v>
      </c>
      <c r="G769" t="b">
        <v>0</v>
      </c>
      <c r="H769" t="inlineStr">
        <is>
          <t>UOM=M;WEIGHT_BASIS=PROCESSED_SOURCE_UNIT_WEIGHT;LINE_WEIGHT_KG=0.3664;SOURCE_CFG=IA-ST-CFG-0141;SRC_REF=Row 1330, Slot 5;SRC_FILE=Mamul Ambalaj Bileşen Listesi-30.07.2026(3).xlsx</t>
        </is>
      </c>
    </row>
    <row r="770">
      <c r="A770" s="19" t="inlineStr">
        <is>
          <t>769</t>
        </is>
      </c>
      <c r="B770" s="19" t="inlineStr">
        <is>
          <t>110</t>
        </is>
      </c>
      <c r="C770" s="19" t="inlineStr">
        <is>
          <t>9</t>
        </is>
      </c>
      <c r="D770" t="n">
        <v>0.186</v>
      </c>
      <c r="E770" s="19" t="inlineStr">
        <is>
          <t>18</t>
        </is>
      </c>
      <c r="F770" t="n">
        <v>5</v>
      </c>
      <c r="G770" t="b">
        <v>0</v>
      </c>
      <c r="H770" t="inlineStr">
        <is>
          <t>UOM=KG;WEIGHT_BASIS=RECIPE_QUANTITY_IS_KG;LINE_WEIGHT_KG=0.186;SOURCE_CFG=IA-ST-CFG-0141;SRC_REF=Row 1330, Slot 6;SRC_FILE=Mamul Ambalaj Bileşen Listesi-30.07.2026(3).xlsx</t>
        </is>
      </c>
    </row>
    <row r="771">
      <c r="A771" s="19" t="inlineStr">
        <is>
          <t>770</t>
        </is>
      </c>
      <c r="B771" s="19" t="inlineStr">
        <is>
          <t>110</t>
        </is>
      </c>
      <c r="C771" s="19" t="inlineStr">
        <is>
          <t>19</t>
        </is>
      </c>
      <c r="D771" t="n">
        <v>2.495</v>
      </c>
      <c r="E771" s="19" t="inlineStr">
        <is>
          <t>18</t>
        </is>
      </c>
      <c r="F771" t="n">
        <v>6</v>
      </c>
      <c r="G771" t="b">
        <v>0</v>
      </c>
      <c r="H771" t="inlineStr">
        <is>
          <t>UOM=KG;WEIGHT_BASIS=RECIPE_QUANTITY_IS_KG;LINE_WEIGHT_KG=2.495;SOURCE_CFG=IA-ST-CFG-0141;SRC_REF=Row 1330, Slot 7;SRC_FILE=Mamul Ambalaj Bileşen Listesi-30.07.2026(3).xlsx</t>
        </is>
      </c>
    </row>
    <row r="772">
      <c r="A772" s="19" t="inlineStr">
        <is>
          <t>771</t>
        </is>
      </c>
      <c r="B772" s="19" t="inlineStr">
        <is>
          <t>110</t>
        </is>
      </c>
      <c r="C772" s="19" t="inlineStr">
        <is>
          <t>7</t>
        </is>
      </c>
      <c r="D772" t="n">
        <v>4</v>
      </c>
      <c r="E772" s="19" t="inlineStr">
        <is>
          <t>18</t>
        </is>
      </c>
      <c r="F772" t="n">
        <v>7</v>
      </c>
      <c r="G772" t="b">
        <v>0</v>
      </c>
      <c r="H772" t="inlineStr">
        <is>
          <t>UOM=ADT;WEIGHT_BASIS=PROCESSED_SOURCE_UNIT_WEIGHT;LINE_WEIGHT_KG=1.08;SOURCE_CFG=IA-ST-CFG-0141;SRC_REF=Row 1330, Slot 8;SRC_FILE=Mamul Ambalaj Bileşen Listesi-30.07.2026(3).xlsx</t>
        </is>
      </c>
    </row>
    <row r="773">
      <c r="A773" s="19" t="inlineStr">
        <is>
          <t>772</t>
        </is>
      </c>
      <c r="B773" s="19" t="inlineStr">
        <is>
          <t>110</t>
        </is>
      </c>
      <c r="C773" s="19" t="inlineStr">
        <is>
          <t>25</t>
        </is>
      </c>
      <c r="D773" t="n">
        <v>4</v>
      </c>
      <c r="E773" s="19" t="inlineStr">
        <is>
          <t>18</t>
        </is>
      </c>
      <c r="F773" t="n">
        <v>8</v>
      </c>
      <c r="G773" t="b">
        <v>0</v>
      </c>
      <c r="H773" t="inlineStr">
        <is>
          <t>UOM=ADT;WEIGHT_BASIS=PROCESSED_SOURCE_UNIT_WEIGHT;LINE_WEIGHT_KG=0.4;SOURCE_CFG=IA-ST-CFG-0141;SRC_REF=Row 1330, Slot 9;SRC_FILE=Mamul Ambalaj Bileşen Listesi-30.07.2026(3).xlsx</t>
        </is>
      </c>
    </row>
    <row r="774">
      <c r="A774" s="19" t="inlineStr">
        <is>
          <t>773</t>
        </is>
      </c>
      <c r="B774" s="19" t="inlineStr">
        <is>
          <t>111</t>
        </is>
      </c>
      <c r="C774" s="19" t="inlineStr">
        <is>
          <t>13</t>
        </is>
      </c>
      <c r="D774" t="n">
        <v>7</v>
      </c>
      <c r="E774" s="19" t="inlineStr">
        <is>
          <t>18</t>
        </is>
      </c>
      <c r="F774" t="n">
        <v>1</v>
      </c>
      <c r="G774" t="b">
        <v>0</v>
      </c>
      <c r="H774" t="inlineStr">
        <is>
          <t>UOM=M;WEIGHT_BASIS=PROCESSED_SOURCE_UNIT_WEIGHT;LINE_WEIGHT_KG=0.0868;SOURCE_CFG=IA-ST-CFG-0142;SRC_REF=Row 377, Slot 1;SRC_FILE=Mamul Ambalaj Bileşen Listesi-30.07.2026(3).xlsx</t>
        </is>
      </c>
    </row>
    <row r="775">
      <c r="A775" s="19" t="inlineStr">
        <is>
          <t>774</t>
        </is>
      </c>
      <c r="B775" s="19" t="inlineStr">
        <is>
          <t>111</t>
        </is>
      </c>
      <c r="C775" s="19" t="inlineStr">
        <is>
          <t>5</t>
        </is>
      </c>
      <c r="D775" t="n">
        <v>1</v>
      </c>
      <c r="E775" s="19" t="inlineStr">
        <is>
          <t>18</t>
        </is>
      </c>
      <c r="F775" t="n">
        <v>2</v>
      </c>
      <c r="G775" t="b">
        <v>0</v>
      </c>
      <c r="H775" t="inlineStr">
        <is>
          <t>UOM=ADT;WEIGHT_BASIS=PROCESSED_SOURCE_UNIT_WEIGHT;LINE_WEIGHT_KG=26.0;SOURCE_CFG=IA-ST-CFG-0142;SRC_REF=Row 377, Slot 3;SRC_FILE=Mamul Ambalaj Bileşen Listesi-30.07.2026(3).xlsx</t>
        </is>
      </c>
    </row>
    <row r="776">
      <c r="A776" s="19" t="inlineStr">
        <is>
          <t>775</t>
        </is>
      </c>
      <c r="B776" s="19" t="inlineStr">
        <is>
          <t>111</t>
        </is>
      </c>
      <c r="C776" s="19" t="inlineStr">
        <is>
          <t>8</t>
        </is>
      </c>
      <c r="D776" t="n">
        <v>20</v>
      </c>
      <c r="E776" s="19" t="inlineStr">
        <is>
          <t>18</t>
        </is>
      </c>
      <c r="F776" t="n">
        <v>3</v>
      </c>
      <c r="G776" t="b">
        <v>0</v>
      </c>
      <c r="H776" t="inlineStr">
        <is>
          <t>UOM=M;WEIGHT_BASIS=PROCESSED_SOURCE_UNIT_WEIGHT;LINE_WEIGHT_KG=0.3664;SOURCE_CFG=IA-ST-CFG-0142;SRC_REF=Row 377, Slot 5;SRC_FILE=Mamul Ambalaj Bileşen Listesi-30.07.2026(3).xlsx</t>
        </is>
      </c>
    </row>
    <row r="777">
      <c r="A777" s="19" t="inlineStr">
        <is>
          <t>776</t>
        </is>
      </c>
      <c r="B777" s="19" t="inlineStr">
        <is>
          <t>111</t>
        </is>
      </c>
      <c r="C777" s="19" t="inlineStr">
        <is>
          <t>9</t>
        </is>
      </c>
      <c r="D777" t="n">
        <v>0.186</v>
      </c>
      <c r="E777" s="19" t="inlineStr">
        <is>
          <t>18</t>
        </is>
      </c>
      <c r="F777" t="n">
        <v>4</v>
      </c>
      <c r="G777" t="b">
        <v>0</v>
      </c>
      <c r="H777" t="inlineStr">
        <is>
          <t>UOM=KG;WEIGHT_BASIS=RECIPE_QUANTITY_IS_KG;LINE_WEIGHT_KG=0.186;SOURCE_CFG=IA-ST-CFG-0142;SRC_REF=Row 377, Slot 6;SRC_FILE=Mamul Ambalaj Bileşen Listesi-30.07.2026(3).xlsx</t>
        </is>
      </c>
    </row>
    <row r="778">
      <c r="A778" s="19" t="inlineStr">
        <is>
          <t>777</t>
        </is>
      </c>
      <c r="B778" s="19" t="inlineStr">
        <is>
          <t>111</t>
        </is>
      </c>
      <c r="C778" s="19" t="inlineStr">
        <is>
          <t>19</t>
        </is>
      </c>
      <c r="D778" t="n">
        <v>1.836</v>
      </c>
      <c r="E778" s="19" t="inlineStr">
        <is>
          <t>18</t>
        </is>
      </c>
      <c r="F778" t="n">
        <v>5</v>
      </c>
      <c r="G778" t="b">
        <v>0</v>
      </c>
      <c r="H778" t="inlineStr">
        <is>
          <t>UOM=KG;WEIGHT_BASIS=RECIPE_QUANTITY_IS_KG;LINE_WEIGHT_KG=1.836;SOURCE_CFG=IA-ST-CFG-0142;SRC_REF=Row 377, Slot 7;SRC_FILE=Mamul Ambalaj Bileşen Listesi-30.07.2026(3).xlsx</t>
        </is>
      </c>
    </row>
    <row r="779">
      <c r="A779" s="19" t="inlineStr">
        <is>
          <t>778</t>
        </is>
      </c>
      <c r="B779" s="19" t="inlineStr">
        <is>
          <t>111</t>
        </is>
      </c>
      <c r="C779" s="19" t="inlineStr">
        <is>
          <t>7</t>
        </is>
      </c>
      <c r="D779" t="n">
        <v>4</v>
      </c>
      <c r="E779" s="19" t="inlineStr">
        <is>
          <t>18</t>
        </is>
      </c>
      <c r="F779" t="n">
        <v>6</v>
      </c>
      <c r="G779" t="b">
        <v>0</v>
      </c>
      <c r="H779" t="inlineStr">
        <is>
          <t>UOM=ADT;WEIGHT_BASIS=PROCESSED_SOURCE_UNIT_WEIGHT;LINE_WEIGHT_KG=1.08;SOURCE_CFG=IA-ST-CFG-0142;SRC_REF=Row 377, Slot 8;SRC_FILE=Mamul Ambalaj Bileşen Listesi-30.07.2026(3).xlsx</t>
        </is>
      </c>
    </row>
    <row r="780">
      <c r="A780" s="19" t="inlineStr">
        <is>
          <t>779</t>
        </is>
      </c>
      <c r="B780" s="19" t="inlineStr">
        <is>
          <t>111</t>
        </is>
      </c>
      <c r="C780" s="19" t="inlineStr">
        <is>
          <t>25</t>
        </is>
      </c>
      <c r="D780" t="n">
        <v>2</v>
      </c>
      <c r="E780" s="19" t="inlineStr">
        <is>
          <t>18</t>
        </is>
      </c>
      <c r="F780" t="n">
        <v>7</v>
      </c>
      <c r="G780" t="b">
        <v>0</v>
      </c>
      <c r="H780" t="inlineStr">
        <is>
          <t>UOM=ADT;WEIGHT_BASIS=PROCESSED_SOURCE_UNIT_WEIGHT;LINE_WEIGHT_KG=0.2;SOURCE_CFG=IA-ST-CFG-0142;SRC_REF=Row 377, Slot 9;SRC_FILE=Mamul Ambalaj Bileşen Listesi-30.07.2026(3).xlsx</t>
        </is>
      </c>
    </row>
    <row r="781">
      <c r="A781" s="19" t="inlineStr">
        <is>
          <t>780</t>
        </is>
      </c>
      <c r="B781" s="19" t="inlineStr">
        <is>
          <t>112</t>
        </is>
      </c>
      <c r="C781" s="19" t="inlineStr">
        <is>
          <t>13</t>
        </is>
      </c>
      <c r="D781" t="n">
        <v>7</v>
      </c>
      <c r="E781" s="19" t="inlineStr">
        <is>
          <t>18</t>
        </is>
      </c>
      <c r="F781" t="n">
        <v>1</v>
      </c>
      <c r="G781" t="b">
        <v>0</v>
      </c>
      <c r="H781" t="inlineStr">
        <is>
          <t>UOM=M;WEIGHT_BASIS=PROCESSED_SOURCE_UNIT_WEIGHT;LINE_WEIGHT_KG=0.0868;SOURCE_CFG=IA-ST-CFG-0143;SRC_REF=Row 132, Slot 1;SRC_FILE=Mamul Ambalaj Bileşen Listesi-30.07.2026(3).xlsx</t>
        </is>
      </c>
    </row>
    <row r="782">
      <c r="A782" s="19" t="inlineStr">
        <is>
          <t>781</t>
        </is>
      </c>
      <c r="B782" s="19" t="inlineStr">
        <is>
          <t>112</t>
        </is>
      </c>
      <c r="C782" s="19" t="inlineStr">
        <is>
          <t>76</t>
        </is>
      </c>
      <c r="D782" t="n">
        <v>54</v>
      </c>
      <c r="E782" s="19" t="inlineStr">
        <is>
          <t>18</t>
        </is>
      </c>
      <c r="F782" t="n">
        <v>2</v>
      </c>
      <c r="G782" t="b">
        <v>0</v>
      </c>
      <c r="H782" t="inlineStr">
        <is>
          <t>UOM=ADT;WEIGHT_BASIS=SOURCE_UNIT_WEIGHT;LINE_WEIGHT_KG=3.3695999999999997;SOURCE_CFG=IA-ST-CFG-0143;SRC_REF=Row 132, Slot 2;SRC_FILE=Mamul Ambalaj Bileşen Listesi-30.07.2026(3).xlsx</t>
        </is>
      </c>
    </row>
    <row r="783">
      <c r="A783" s="19" t="inlineStr">
        <is>
          <t>782</t>
        </is>
      </c>
      <c r="B783" s="19" t="inlineStr">
        <is>
          <t>112</t>
        </is>
      </c>
      <c r="C783" s="19" t="inlineStr">
        <is>
          <t>5</t>
        </is>
      </c>
      <c r="D783" t="n">
        <v>1</v>
      </c>
      <c r="E783" s="19" t="inlineStr">
        <is>
          <t>18</t>
        </is>
      </c>
      <c r="F783" t="n">
        <v>3</v>
      </c>
      <c r="G783" t="b">
        <v>0</v>
      </c>
      <c r="H783" t="inlineStr">
        <is>
          <t>UOM=ADT;WEIGHT_BASIS=PROCESSED_SOURCE_UNIT_WEIGHT;LINE_WEIGHT_KG=26.0;SOURCE_CFG=IA-ST-CFG-0143;SRC_REF=Row 132, Slot 3;SRC_FILE=Mamul Ambalaj Bileşen Listesi-30.07.2026(3).xlsx</t>
        </is>
      </c>
    </row>
    <row r="784">
      <c r="A784" s="19" t="inlineStr">
        <is>
          <t>783</t>
        </is>
      </c>
      <c r="B784" s="19" t="inlineStr">
        <is>
          <t>112</t>
        </is>
      </c>
      <c r="C784" s="19" t="inlineStr">
        <is>
          <t>8</t>
        </is>
      </c>
      <c r="D784" t="n">
        <v>20</v>
      </c>
      <c r="E784" s="19" t="inlineStr">
        <is>
          <t>18</t>
        </is>
      </c>
      <c r="F784" t="n">
        <v>4</v>
      </c>
      <c r="G784" t="b">
        <v>0</v>
      </c>
      <c r="H784" t="inlineStr">
        <is>
          <t>UOM=M;WEIGHT_BASIS=PROCESSED_SOURCE_UNIT_WEIGHT;LINE_WEIGHT_KG=0.3664;SOURCE_CFG=IA-ST-CFG-0143;SRC_REF=Row 132, Slot 5;SRC_FILE=Mamul Ambalaj Bileşen Listesi-30.07.2026(3).xlsx</t>
        </is>
      </c>
    </row>
    <row r="785">
      <c r="A785" s="19" t="inlineStr">
        <is>
          <t>784</t>
        </is>
      </c>
      <c r="B785" s="19" t="inlineStr">
        <is>
          <t>112</t>
        </is>
      </c>
      <c r="C785" s="19" t="inlineStr">
        <is>
          <t>9</t>
        </is>
      </c>
      <c r="D785" t="n">
        <v>0.186</v>
      </c>
      <c r="E785" s="19" t="inlineStr">
        <is>
          <t>18</t>
        </is>
      </c>
      <c r="F785" t="n">
        <v>5</v>
      </c>
      <c r="G785" t="b">
        <v>0</v>
      </c>
      <c r="H785" t="inlineStr">
        <is>
          <t>UOM=KG;WEIGHT_BASIS=RECIPE_QUANTITY_IS_KG;LINE_WEIGHT_KG=0.186;SOURCE_CFG=IA-ST-CFG-0143;SRC_REF=Row 132, Slot 6;SRC_FILE=Mamul Ambalaj Bileşen Listesi-30.07.2026(3).xlsx</t>
        </is>
      </c>
    </row>
    <row r="786">
      <c r="A786" s="19" t="inlineStr">
        <is>
          <t>785</t>
        </is>
      </c>
      <c r="B786" s="19" t="inlineStr">
        <is>
          <t>112</t>
        </is>
      </c>
      <c r="C786" s="19" t="inlineStr">
        <is>
          <t>19</t>
        </is>
      </c>
      <c r="D786" t="n">
        <v>2.495</v>
      </c>
      <c r="E786" s="19" t="inlineStr">
        <is>
          <t>18</t>
        </is>
      </c>
      <c r="F786" t="n">
        <v>6</v>
      </c>
      <c r="G786" t="b">
        <v>0</v>
      </c>
      <c r="H786" t="inlineStr">
        <is>
          <t>UOM=KG;WEIGHT_BASIS=RECIPE_QUANTITY_IS_KG;LINE_WEIGHT_KG=2.495;SOURCE_CFG=IA-ST-CFG-0143;SRC_REF=Row 132, Slot 7;SRC_FILE=Mamul Ambalaj Bileşen Listesi-30.07.2026(3).xlsx</t>
        </is>
      </c>
    </row>
    <row r="787">
      <c r="A787" s="19" t="inlineStr">
        <is>
          <t>786</t>
        </is>
      </c>
      <c r="B787" s="19" t="inlineStr">
        <is>
          <t>112</t>
        </is>
      </c>
      <c r="C787" s="19" t="inlineStr">
        <is>
          <t>7</t>
        </is>
      </c>
      <c r="D787" t="n">
        <v>4</v>
      </c>
      <c r="E787" s="19" t="inlineStr">
        <is>
          <t>18</t>
        </is>
      </c>
      <c r="F787" t="n">
        <v>7</v>
      </c>
      <c r="G787" t="b">
        <v>0</v>
      </c>
      <c r="H787" t="inlineStr">
        <is>
          <t>UOM=ADT;WEIGHT_BASIS=PROCESSED_SOURCE_UNIT_WEIGHT;LINE_WEIGHT_KG=1.08;SOURCE_CFG=IA-ST-CFG-0143;SRC_REF=Row 132, Slot 8;SRC_FILE=Mamul Ambalaj Bileşen Listesi-30.07.2026(3).xlsx</t>
        </is>
      </c>
    </row>
    <row r="788">
      <c r="A788" s="19" t="inlineStr">
        <is>
          <t>787</t>
        </is>
      </c>
      <c r="B788" s="19" t="inlineStr">
        <is>
          <t>112</t>
        </is>
      </c>
      <c r="C788" s="19" t="inlineStr">
        <is>
          <t>25</t>
        </is>
      </c>
      <c r="D788" t="n">
        <v>2</v>
      </c>
      <c r="E788" s="19" t="inlineStr">
        <is>
          <t>18</t>
        </is>
      </c>
      <c r="F788" t="n">
        <v>8</v>
      </c>
      <c r="G788" t="b">
        <v>0</v>
      </c>
      <c r="H788" t="inlineStr">
        <is>
          <t>UOM=ADT;WEIGHT_BASIS=PROCESSED_SOURCE_UNIT_WEIGHT;LINE_WEIGHT_KG=0.2;SOURCE_CFG=IA-ST-CFG-0143;SRC_REF=Row 132, Slot 9;SRC_FILE=Mamul Ambalaj Bileşen Listesi-30.07.2026(3).xlsx</t>
        </is>
      </c>
    </row>
    <row r="789">
      <c r="A789" s="19" t="inlineStr">
        <is>
          <t>788</t>
        </is>
      </c>
      <c r="B789" s="19" t="inlineStr">
        <is>
          <t>113</t>
        </is>
      </c>
      <c r="C789" s="19" t="inlineStr">
        <is>
          <t>5</t>
        </is>
      </c>
      <c r="D789" t="n">
        <v>1</v>
      </c>
      <c r="E789" s="19" t="inlineStr">
        <is>
          <t>18</t>
        </is>
      </c>
      <c r="F789" t="n">
        <v>1</v>
      </c>
      <c r="G789" t="b">
        <v>0</v>
      </c>
      <c r="H789" t="inlineStr">
        <is>
          <t>UOM=ADT;WEIGHT_BASIS=PROCESSED_SOURCE_UNIT_WEIGHT;LINE_WEIGHT_KG=26.0;SOURCE_CFG=IA-ST-CFG-0144;SRC_REF=Row 338, Slot 3;SRC_FILE=Mamul Ambalaj Bileşen Listesi-30.07.2026(3).xlsx</t>
        </is>
      </c>
    </row>
    <row r="790">
      <c r="A790" s="19" t="inlineStr">
        <is>
          <t>789</t>
        </is>
      </c>
      <c r="B790" s="19" t="inlineStr">
        <is>
          <t>113</t>
        </is>
      </c>
      <c r="C790" s="19" t="inlineStr">
        <is>
          <t>8</t>
        </is>
      </c>
      <c r="D790" t="n">
        <v>20</v>
      </c>
      <c r="E790" s="19" t="inlineStr">
        <is>
          <t>18</t>
        </is>
      </c>
      <c r="F790" t="n">
        <v>2</v>
      </c>
      <c r="G790" t="b">
        <v>0</v>
      </c>
      <c r="H790" t="inlineStr">
        <is>
          <t>UOM=M;WEIGHT_BASIS=PROCESSED_SOURCE_UNIT_WEIGHT;LINE_WEIGHT_KG=0.3664;SOURCE_CFG=IA-ST-CFG-0144;SRC_REF=Row 338, Slot 5;SRC_FILE=Mamul Ambalaj Bileşen Listesi-30.07.2026(3).xlsx</t>
        </is>
      </c>
    </row>
    <row r="791">
      <c r="A791" s="19" t="inlineStr">
        <is>
          <t>790</t>
        </is>
      </c>
      <c r="B791" s="19" t="inlineStr">
        <is>
          <t>113</t>
        </is>
      </c>
      <c r="C791" s="19" t="inlineStr">
        <is>
          <t>9</t>
        </is>
      </c>
      <c r="D791" t="n">
        <v>0.186</v>
      </c>
      <c r="E791" s="19" t="inlineStr">
        <is>
          <t>18</t>
        </is>
      </c>
      <c r="F791" t="n">
        <v>3</v>
      </c>
      <c r="G791" t="b">
        <v>0</v>
      </c>
      <c r="H791" t="inlineStr">
        <is>
          <t>UOM=KG;WEIGHT_BASIS=RECIPE_QUANTITY_IS_KG;LINE_WEIGHT_KG=0.186;SOURCE_CFG=IA-ST-CFG-0144;SRC_REF=Row 338, Slot 6;SRC_FILE=Mamul Ambalaj Bileşen Listesi-30.07.2026(3).xlsx</t>
        </is>
      </c>
    </row>
    <row r="792">
      <c r="A792" s="19" t="inlineStr">
        <is>
          <t>791</t>
        </is>
      </c>
      <c r="B792" s="19" t="inlineStr">
        <is>
          <t>113</t>
        </is>
      </c>
      <c r="C792" s="19" t="inlineStr">
        <is>
          <t>19</t>
        </is>
      </c>
      <c r="D792" t="n">
        <v>1.836</v>
      </c>
      <c r="E792" s="19" t="inlineStr">
        <is>
          <t>18</t>
        </is>
      </c>
      <c r="F792" t="n">
        <v>4</v>
      </c>
      <c r="G792" t="b">
        <v>0</v>
      </c>
      <c r="H792" t="inlineStr">
        <is>
          <t>UOM=KG;WEIGHT_BASIS=RECIPE_QUANTITY_IS_KG;LINE_WEIGHT_KG=1.836;SOURCE_CFG=IA-ST-CFG-0144;SRC_REF=Row 338, Slot 7;SRC_FILE=Mamul Ambalaj Bileşen Listesi-30.07.2026(3).xlsx</t>
        </is>
      </c>
    </row>
    <row r="793">
      <c r="A793" s="19" t="inlineStr">
        <is>
          <t>792</t>
        </is>
      </c>
      <c r="B793" s="19" t="inlineStr">
        <is>
          <t>113</t>
        </is>
      </c>
      <c r="C793" s="19" t="inlineStr">
        <is>
          <t>7</t>
        </is>
      </c>
      <c r="D793" t="n">
        <v>4</v>
      </c>
      <c r="E793" s="19" t="inlineStr">
        <is>
          <t>18</t>
        </is>
      </c>
      <c r="F793" t="n">
        <v>5</v>
      </c>
      <c r="G793" t="b">
        <v>0</v>
      </c>
      <c r="H793" t="inlineStr">
        <is>
          <t>UOM=ADT;WEIGHT_BASIS=PROCESSED_SOURCE_UNIT_WEIGHT;LINE_WEIGHT_KG=1.08;SOURCE_CFG=IA-ST-CFG-0144;SRC_REF=Row 338, Slot 8;SRC_FILE=Mamul Ambalaj Bileşen Listesi-30.07.2026(3).xlsx</t>
        </is>
      </c>
    </row>
    <row r="794">
      <c r="A794" s="19" t="inlineStr">
        <is>
          <t>793</t>
        </is>
      </c>
      <c r="B794" s="19" t="inlineStr">
        <is>
          <t>114</t>
        </is>
      </c>
      <c r="C794" s="19" t="inlineStr">
        <is>
          <t>76</t>
        </is>
      </c>
      <c r="D794" t="n">
        <v>54</v>
      </c>
      <c r="E794" s="19" t="inlineStr">
        <is>
          <t>18</t>
        </is>
      </c>
      <c r="F794" t="n">
        <v>1</v>
      </c>
      <c r="G794" t="b">
        <v>0</v>
      </c>
      <c r="H794" t="inlineStr">
        <is>
          <t>UOM=ADT;WEIGHT_BASIS=SOURCE_UNIT_WEIGHT;LINE_WEIGHT_KG=3.3695999999999997;SOURCE_CFG=IA-ST-CFG-0145;SRC_REF=Row 232, Slot 1;SRC_FILE=Mamul Ambalaj Bileşen Listesi-30.07.2026(3).xlsx</t>
        </is>
      </c>
    </row>
    <row r="795">
      <c r="A795" s="19" t="inlineStr">
        <is>
          <t>794</t>
        </is>
      </c>
      <c r="B795" s="19" t="inlineStr">
        <is>
          <t>114</t>
        </is>
      </c>
      <c r="C795" s="19" t="inlineStr">
        <is>
          <t>5</t>
        </is>
      </c>
      <c r="D795" t="n">
        <v>1</v>
      </c>
      <c r="E795" s="19" t="inlineStr">
        <is>
          <t>18</t>
        </is>
      </c>
      <c r="F795" t="n">
        <v>2</v>
      </c>
      <c r="G795" t="b">
        <v>0</v>
      </c>
      <c r="H795" t="inlineStr">
        <is>
          <t>UOM=ADT;WEIGHT_BASIS=PROCESSED_SOURCE_UNIT_WEIGHT;LINE_WEIGHT_KG=26.0;SOURCE_CFG=IA-ST-CFG-0145;SRC_REF=Row 232, Slot 3;SRC_FILE=Mamul Ambalaj Bileşen Listesi-30.07.2026(3).xlsx</t>
        </is>
      </c>
    </row>
    <row r="796">
      <c r="A796" s="19" t="inlineStr">
        <is>
          <t>795</t>
        </is>
      </c>
      <c r="B796" s="19" t="inlineStr">
        <is>
          <t>114</t>
        </is>
      </c>
      <c r="C796" s="19" t="inlineStr">
        <is>
          <t>8</t>
        </is>
      </c>
      <c r="D796" t="n">
        <v>20</v>
      </c>
      <c r="E796" s="19" t="inlineStr">
        <is>
          <t>18</t>
        </is>
      </c>
      <c r="F796" t="n">
        <v>3</v>
      </c>
      <c r="G796" t="b">
        <v>0</v>
      </c>
      <c r="H796" t="inlineStr">
        <is>
          <t>UOM=M;WEIGHT_BASIS=PROCESSED_SOURCE_UNIT_WEIGHT;LINE_WEIGHT_KG=0.3664;SOURCE_CFG=IA-ST-CFG-0145;SRC_REF=Row 232, Slot 5;SRC_FILE=Mamul Ambalaj Bileşen Listesi-30.07.2026(3).xlsx</t>
        </is>
      </c>
    </row>
    <row r="797">
      <c r="A797" s="19" t="inlineStr">
        <is>
          <t>796</t>
        </is>
      </c>
      <c r="B797" s="19" t="inlineStr">
        <is>
          <t>114</t>
        </is>
      </c>
      <c r="C797" s="19" t="inlineStr">
        <is>
          <t>9</t>
        </is>
      </c>
      <c r="D797" t="n">
        <v>0.186</v>
      </c>
      <c r="E797" s="19" t="inlineStr">
        <is>
          <t>18</t>
        </is>
      </c>
      <c r="F797" t="n">
        <v>4</v>
      </c>
      <c r="G797" t="b">
        <v>0</v>
      </c>
      <c r="H797" t="inlineStr">
        <is>
          <t>UOM=KG;WEIGHT_BASIS=RECIPE_QUANTITY_IS_KG;LINE_WEIGHT_KG=0.186;SOURCE_CFG=IA-ST-CFG-0145;SRC_REF=Row 232, Slot 6;SRC_FILE=Mamul Ambalaj Bileşen Listesi-30.07.2026(3).xlsx</t>
        </is>
      </c>
    </row>
    <row r="798">
      <c r="A798" s="19" t="inlineStr">
        <is>
          <t>797</t>
        </is>
      </c>
      <c r="B798" s="19" t="inlineStr">
        <is>
          <t>114</t>
        </is>
      </c>
      <c r="C798" s="19" t="inlineStr">
        <is>
          <t>19</t>
        </is>
      </c>
      <c r="D798" t="n">
        <v>2.495</v>
      </c>
      <c r="E798" s="19" t="inlineStr">
        <is>
          <t>18</t>
        </is>
      </c>
      <c r="F798" t="n">
        <v>5</v>
      </c>
      <c r="G798" t="b">
        <v>0</v>
      </c>
      <c r="H798" t="inlineStr">
        <is>
          <t>UOM=KG;WEIGHT_BASIS=RECIPE_QUANTITY_IS_KG;LINE_WEIGHT_KG=2.495;SOURCE_CFG=IA-ST-CFG-0145;SRC_REF=Row 232, Slot 7;SRC_FILE=Mamul Ambalaj Bileşen Listesi-30.07.2026(3).xlsx</t>
        </is>
      </c>
    </row>
    <row r="799">
      <c r="A799" s="19" t="inlineStr">
        <is>
          <t>798</t>
        </is>
      </c>
      <c r="B799" s="19" t="inlineStr">
        <is>
          <t>114</t>
        </is>
      </c>
      <c r="C799" s="19" t="inlineStr">
        <is>
          <t>7</t>
        </is>
      </c>
      <c r="D799" t="n">
        <v>4</v>
      </c>
      <c r="E799" s="19" t="inlineStr">
        <is>
          <t>18</t>
        </is>
      </c>
      <c r="F799" t="n">
        <v>6</v>
      </c>
      <c r="G799" t="b">
        <v>0</v>
      </c>
      <c r="H799" t="inlineStr">
        <is>
          <t>UOM=ADT;WEIGHT_BASIS=PROCESSED_SOURCE_UNIT_WEIGHT;LINE_WEIGHT_KG=1.08;SOURCE_CFG=IA-ST-CFG-0145;SRC_REF=Row 232, Slot 8;SRC_FILE=Mamul Ambalaj Bileşen Listesi-30.07.2026(3).xlsx</t>
        </is>
      </c>
    </row>
    <row r="800">
      <c r="A800" s="19" t="inlineStr">
        <is>
          <t>799</t>
        </is>
      </c>
      <c r="B800" s="19" t="inlineStr">
        <is>
          <t>115</t>
        </is>
      </c>
      <c r="C800" s="19" t="inlineStr">
        <is>
          <t>11</t>
        </is>
      </c>
      <c r="D800" t="n">
        <v>3</v>
      </c>
      <c r="E800" s="19" t="inlineStr">
        <is>
          <t>18</t>
        </is>
      </c>
      <c r="F800" t="n">
        <v>1</v>
      </c>
      <c r="G800" t="b">
        <v>0</v>
      </c>
      <c r="H800" t="inlineStr">
        <is>
          <t>UOM=ADT;WEIGHT_BASIS=PROCESSED_SOURCE_UNIT_WEIGHT;LINE_WEIGHT_KG=0.312;SOURCE_CFG=IA-ST-CFG-0146;SRC_REF=Row 572, Slot 1;SRC_FILE=Mamul Ambalaj Bileşen Listesi-30.07.2026(3).xlsx</t>
        </is>
      </c>
    </row>
    <row r="801">
      <c r="A801" s="19" t="inlineStr">
        <is>
          <t>800</t>
        </is>
      </c>
      <c r="B801" s="19" t="inlineStr">
        <is>
          <t>115</t>
        </is>
      </c>
      <c r="C801" s="19" t="inlineStr">
        <is>
          <t>13</t>
        </is>
      </c>
      <c r="D801" t="n">
        <v>14</v>
      </c>
      <c r="E801" s="19" t="inlineStr">
        <is>
          <t>18</t>
        </is>
      </c>
      <c r="F801" t="n">
        <v>2</v>
      </c>
      <c r="G801" t="b">
        <v>0</v>
      </c>
      <c r="H801" t="inlineStr">
        <is>
          <t>UOM=M;WEIGHT_BASIS=PROCESSED_SOURCE_UNIT_WEIGHT;LINE_WEIGHT_KG=0.1736;SOURCE_CFG=IA-ST-CFG-0146;SRC_REF=Row 572, Slot 2;SRC_FILE=Mamul Ambalaj Bileşen Listesi-30.07.2026(3).xlsx</t>
        </is>
      </c>
    </row>
    <row r="802">
      <c r="A802" s="19" t="inlineStr">
        <is>
          <t>801</t>
        </is>
      </c>
      <c r="B802" s="19" t="inlineStr">
        <is>
          <t>115</t>
        </is>
      </c>
      <c r="C802" s="19" t="inlineStr">
        <is>
          <t>5</t>
        </is>
      </c>
      <c r="D802" t="n">
        <v>1</v>
      </c>
      <c r="E802" s="19" t="inlineStr">
        <is>
          <t>18</t>
        </is>
      </c>
      <c r="F802" t="n">
        <v>3</v>
      </c>
      <c r="G802" t="b">
        <v>0</v>
      </c>
      <c r="H802" t="inlineStr">
        <is>
          <t>UOM=ADT;WEIGHT_BASIS=PROCESSED_SOURCE_UNIT_WEIGHT;LINE_WEIGHT_KG=26.0;SOURCE_CFG=IA-ST-CFG-0146;SRC_REF=Row 572, Slot 3;SRC_FILE=Mamul Ambalaj Bileşen Listesi-30.07.2026(3).xlsx</t>
        </is>
      </c>
    </row>
    <row r="803">
      <c r="A803" s="19" t="inlineStr">
        <is>
          <t>802</t>
        </is>
      </c>
      <c r="B803" s="19" t="inlineStr">
        <is>
          <t>115</t>
        </is>
      </c>
      <c r="C803" s="19" t="inlineStr">
        <is>
          <t>8</t>
        </is>
      </c>
      <c r="D803" t="n">
        <v>20</v>
      </c>
      <c r="E803" s="19" t="inlineStr">
        <is>
          <t>18</t>
        </is>
      </c>
      <c r="F803" t="n">
        <v>4</v>
      </c>
      <c r="G803" t="b">
        <v>0</v>
      </c>
      <c r="H803" t="inlineStr">
        <is>
          <t>UOM=M;WEIGHT_BASIS=PROCESSED_SOURCE_UNIT_WEIGHT;LINE_WEIGHT_KG=0.3664;SOURCE_CFG=IA-ST-CFG-0146;SRC_REF=Row 572, Slot 5;SRC_FILE=Mamul Ambalaj Bileşen Listesi-30.07.2026(3).xlsx</t>
        </is>
      </c>
    </row>
    <row r="804">
      <c r="A804" s="19" t="inlineStr">
        <is>
          <t>803</t>
        </is>
      </c>
      <c r="B804" s="19" t="inlineStr">
        <is>
          <t>115</t>
        </is>
      </c>
      <c r="C804" s="19" t="inlineStr">
        <is>
          <t>55</t>
        </is>
      </c>
      <c r="D804" t="n">
        <v>0.597</v>
      </c>
      <c r="E804" s="19" t="inlineStr">
        <is>
          <t>18</t>
        </is>
      </c>
      <c r="F804" t="n">
        <v>5</v>
      </c>
      <c r="G804" t="b">
        <v>0</v>
      </c>
      <c r="H804" t="inlineStr">
        <is>
          <t>UOM=KG;WEIGHT_BASIS=RECIPE_QUANTITY_IS_KG;LINE_WEIGHT_KG=0.597;SOURCE_CFG=IA-ST-CFG-0146;SRC_REF=Row 572, Slot 6;SRC_FILE=Mamul Ambalaj Bileşen Listesi-30.07.2026(3).xlsx</t>
        </is>
      </c>
    </row>
    <row r="805">
      <c r="A805" s="19" t="inlineStr">
        <is>
          <t>804</t>
        </is>
      </c>
      <c r="B805" s="19" t="inlineStr">
        <is>
          <t>115</t>
        </is>
      </c>
      <c r="C805" s="19" t="inlineStr">
        <is>
          <t>7</t>
        </is>
      </c>
      <c r="D805" t="n">
        <v>4</v>
      </c>
      <c r="E805" s="19" t="inlineStr">
        <is>
          <t>18</t>
        </is>
      </c>
      <c r="F805" t="n">
        <v>6</v>
      </c>
      <c r="G805" t="b">
        <v>0</v>
      </c>
      <c r="H805" t="inlineStr">
        <is>
          <t>UOM=ADT;WEIGHT_BASIS=PROCESSED_SOURCE_UNIT_WEIGHT;LINE_WEIGHT_KG=1.08;SOURCE_CFG=IA-ST-CFG-0146;SRC_REF=Row 572, Slot 8;SRC_FILE=Mamul Ambalaj Bileşen Listesi-30.07.2026(3).xlsx</t>
        </is>
      </c>
    </row>
    <row r="806">
      <c r="A806" s="19" t="inlineStr">
        <is>
          <t>805</t>
        </is>
      </c>
      <c r="B806" s="19" t="inlineStr">
        <is>
          <t>115</t>
        </is>
      </c>
      <c r="C806" s="19" t="inlineStr">
        <is>
          <t>54</t>
        </is>
      </c>
      <c r="D806" t="n">
        <v>4</v>
      </c>
      <c r="E806" s="19" t="inlineStr">
        <is>
          <t>18</t>
        </is>
      </c>
      <c r="F806" t="n">
        <v>7</v>
      </c>
      <c r="G806" t="b">
        <v>0</v>
      </c>
      <c r="H806" t="inlineStr">
        <is>
          <t>UOM=ADT;WEIGHT_BASIS=PROCESSED_SOURCE_UNIT_WEIGHT;LINE_WEIGHT_KG=0.12;SOURCE_CFG=IA-ST-CFG-0146;SRC_REF=Row 572, Slot 9;SRC_FILE=Mamul Ambalaj Bileşen Listesi-30.07.2026(3).xlsx</t>
        </is>
      </c>
    </row>
    <row r="807">
      <c r="A807" s="19" t="inlineStr">
        <is>
          <t>806</t>
        </is>
      </c>
      <c r="B807" s="19" t="inlineStr">
        <is>
          <t>116</t>
        </is>
      </c>
      <c r="C807" s="19" t="inlineStr">
        <is>
          <t>13</t>
        </is>
      </c>
      <c r="D807" t="n">
        <v>14</v>
      </c>
      <c r="E807" s="19" t="inlineStr">
        <is>
          <t>18</t>
        </is>
      </c>
      <c r="F807" t="n">
        <v>1</v>
      </c>
      <c r="G807" t="b">
        <v>0</v>
      </c>
      <c r="H807" t="inlineStr">
        <is>
          <t>UOM=M;WEIGHT_BASIS=PROCESSED_SOURCE_UNIT_WEIGHT;LINE_WEIGHT_KG=0.1736;SOURCE_CFG=IA-ST-CFG-0147;SRC_REF=Row 1156, Slot 1;SRC_FILE=Mamul Ambalaj Bileşen Listesi-30.07.2026(3).xlsx</t>
        </is>
      </c>
    </row>
    <row r="808">
      <c r="A808" s="19" t="inlineStr">
        <is>
          <t>807</t>
        </is>
      </c>
      <c r="B808" s="19" t="inlineStr">
        <is>
          <t>116</t>
        </is>
      </c>
      <c r="C808" s="19" t="inlineStr">
        <is>
          <t>5</t>
        </is>
      </c>
      <c r="D808" t="n">
        <v>1</v>
      </c>
      <c r="E808" s="19" t="inlineStr">
        <is>
          <t>18</t>
        </is>
      </c>
      <c r="F808" t="n">
        <v>2</v>
      </c>
      <c r="G808" t="b">
        <v>0</v>
      </c>
      <c r="H808" t="inlineStr">
        <is>
          <t>UOM=ADT;WEIGHT_BASIS=PROCESSED_SOURCE_UNIT_WEIGHT;LINE_WEIGHT_KG=26.0;SOURCE_CFG=IA-ST-CFG-0147;SRC_REF=Row 1156, Slot 3;SRC_FILE=Mamul Ambalaj Bileşen Listesi-30.07.2026(3).xlsx</t>
        </is>
      </c>
    </row>
    <row r="809">
      <c r="A809" s="19" t="inlineStr">
        <is>
          <t>808</t>
        </is>
      </c>
      <c r="B809" s="19" t="inlineStr">
        <is>
          <t>116</t>
        </is>
      </c>
      <c r="C809" s="19" t="inlineStr">
        <is>
          <t>8</t>
        </is>
      </c>
      <c r="D809" t="n">
        <v>20</v>
      </c>
      <c r="E809" s="19" t="inlineStr">
        <is>
          <t>18</t>
        </is>
      </c>
      <c r="F809" t="n">
        <v>3</v>
      </c>
      <c r="G809" t="b">
        <v>0</v>
      </c>
      <c r="H809" t="inlineStr">
        <is>
          <t>UOM=M;WEIGHT_BASIS=PROCESSED_SOURCE_UNIT_WEIGHT;LINE_WEIGHT_KG=0.3664;SOURCE_CFG=IA-ST-CFG-0147;SRC_REF=Row 1156, Slot 5;SRC_FILE=Mamul Ambalaj Bileşen Listesi-30.07.2026(3).xlsx</t>
        </is>
      </c>
    </row>
    <row r="810">
      <c r="A810" s="19" t="inlineStr">
        <is>
          <t>809</t>
        </is>
      </c>
      <c r="B810" s="19" t="inlineStr">
        <is>
          <t>116</t>
        </is>
      </c>
      <c r="C810" s="19" t="inlineStr">
        <is>
          <t>55</t>
        </is>
      </c>
      <c r="D810" t="n">
        <v>0.597</v>
      </c>
      <c r="E810" s="19" t="inlineStr">
        <is>
          <t>18</t>
        </is>
      </c>
      <c r="F810" t="n">
        <v>4</v>
      </c>
      <c r="G810" t="b">
        <v>0</v>
      </c>
      <c r="H810" t="inlineStr">
        <is>
          <t>UOM=KG;WEIGHT_BASIS=RECIPE_QUANTITY_IS_KG;LINE_WEIGHT_KG=0.597;SOURCE_CFG=IA-ST-CFG-0147;SRC_REF=Row 1156, Slot 6;SRC_FILE=Mamul Ambalaj Bileşen Listesi-30.07.2026(3).xlsx</t>
        </is>
      </c>
    </row>
    <row r="811">
      <c r="A811" s="19" t="inlineStr">
        <is>
          <t>810</t>
        </is>
      </c>
      <c r="B811" s="19" t="inlineStr">
        <is>
          <t>116</t>
        </is>
      </c>
      <c r="C811" s="19" t="inlineStr">
        <is>
          <t>7</t>
        </is>
      </c>
      <c r="D811" t="n">
        <v>4</v>
      </c>
      <c r="E811" s="19" t="inlineStr">
        <is>
          <t>18</t>
        </is>
      </c>
      <c r="F811" t="n">
        <v>5</v>
      </c>
      <c r="G811" t="b">
        <v>0</v>
      </c>
      <c r="H811" t="inlineStr">
        <is>
          <t>UOM=ADT;WEIGHT_BASIS=PROCESSED_SOURCE_UNIT_WEIGHT;LINE_WEIGHT_KG=1.08;SOURCE_CFG=IA-ST-CFG-0147;SRC_REF=Row 1156, Slot 8;SRC_FILE=Mamul Ambalaj Bileşen Listesi-30.07.2026(3).xlsx</t>
        </is>
      </c>
    </row>
    <row r="812">
      <c r="A812" s="19" t="inlineStr">
        <is>
          <t>811</t>
        </is>
      </c>
      <c r="B812" s="19" t="inlineStr">
        <is>
          <t>116</t>
        </is>
      </c>
      <c r="C812" s="19" t="inlineStr">
        <is>
          <t>25</t>
        </is>
      </c>
      <c r="D812" t="n">
        <v>2</v>
      </c>
      <c r="E812" s="19" t="inlineStr">
        <is>
          <t>18</t>
        </is>
      </c>
      <c r="F812" t="n">
        <v>6</v>
      </c>
      <c r="G812" t="b">
        <v>0</v>
      </c>
      <c r="H812" t="inlineStr">
        <is>
          <t>UOM=ADT;WEIGHT_BASIS=PROCESSED_SOURCE_UNIT_WEIGHT;LINE_WEIGHT_KG=0.2;SOURCE_CFG=IA-ST-CFG-0147;SRC_REF=Row 1156, Slot 9;SRC_FILE=Mamul Ambalaj Bileşen Listesi-30.07.2026(3).xlsx</t>
        </is>
      </c>
    </row>
    <row r="813">
      <c r="A813" s="19" t="inlineStr">
        <is>
          <t>812</t>
        </is>
      </c>
      <c r="B813" s="19" t="inlineStr">
        <is>
          <t>117</t>
        </is>
      </c>
      <c r="C813" s="19" t="inlineStr">
        <is>
          <t>13</t>
        </is>
      </c>
      <c r="D813" t="n">
        <v>14</v>
      </c>
      <c r="E813" s="19" t="inlineStr">
        <is>
          <t>18</t>
        </is>
      </c>
      <c r="F813" t="n">
        <v>1</v>
      </c>
      <c r="G813" t="b">
        <v>0</v>
      </c>
      <c r="H813" t="inlineStr">
        <is>
          <t>UOM=M;WEIGHT_BASIS=PROCESSED_SOURCE_UNIT_WEIGHT;LINE_WEIGHT_KG=0.1736;SOURCE_CFG=IA-ST-CFG-0148;SRC_REF=Row 614, Slot 1;SRC_FILE=Mamul Ambalaj Bileşen Listesi-30.07.2026(3).xlsx</t>
        </is>
      </c>
    </row>
    <row r="814">
      <c r="A814" s="19" t="inlineStr">
        <is>
          <t>813</t>
        </is>
      </c>
      <c r="B814" s="19" t="inlineStr">
        <is>
          <t>117</t>
        </is>
      </c>
      <c r="C814" s="19" t="inlineStr">
        <is>
          <t>5</t>
        </is>
      </c>
      <c r="D814" t="n">
        <v>1</v>
      </c>
      <c r="E814" s="19" t="inlineStr">
        <is>
          <t>18</t>
        </is>
      </c>
      <c r="F814" t="n">
        <v>2</v>
      </c>
      <c r="G814" t="b">
        <v>0</v>
      </c>
      <c r="H814" t="inlineStr">
        <is>
          <t>UOM=ADT;WEIGHT_BASIS=PROCESSED_SOURCE_UNIT_WEIGHT;LINE_WEIGHT_KG=26.0;SOURCE_CFG=IA-ST-CFG-0148;SRC_REF=Row 614, Slot 3;SRC_FILE=Mamul Ambalaj Bileşen Listesi-30.07.2026(3).xlsx</t>
        </is>
      </c>
    </row>
    <row r="815">
      <c r="A815" s="19" t="inlineStr">
        <is>
          <t>814</t>
        </is>
      </c>
      <c r="B815" s="19" t="inlineStr">
        <is>
          <t>117</t>
        </is>
      </c>
      <c r="C815" s="19" t="inlineStr">
        <is>
          <t>8</t>
        </is>
      </c>
      <c r="D815" t="n">
        <v>20</v>
      </c>
      <c r="E815" s="19" t="inlineStr">
        <is>
          <t>18</t>
        </is>
      </c>
      <c r="F815" t="n">
        <v>3</v>
      </c>
      <c r="G815" t="b">
        <v>0</v>
      </c>
      <c r="H815" t="inlineStr">
        <is>
          <t>UOM=M;WEIGHT_BASIS=PROCESSED_SOURCE_UNIT_WEIGHT;LINE_WEIGHT_KG=0.3664;SOURCE_CFG=IA-ST-CFG-0148;SRC_REF=Row 614, Slot 5;SRC_FILE=Mamul Ambalaj Bileşen Listesi-30.07.2026(3).xlsx</t>
        </is>
      </c>
    </row>
    <row r="816">
      <c r="A816" s="19" t="inlineStr">
        <is>
          <t>815</t>
        </is>
      </c>
      <c r="B816" s="19" t="inlineStr">
        <is>
          <t>117</t>
        </is>
      </c>
      <c r="C816" s="19" t="inlineStr">
        <is>
          <t>55</t>
        </is>
      </c>
      <c r="D816" t="n">
        <v>0.597</v>
      </c>
      <c r="E816" s="19" t="inlineStr">
        <is>
          <t>18</t>
        </is>
      </c>
      <c r="F816" t="n">
        <v>4</v>
      </c>
      <c r="G816" t="b">
        <v>0</v>
      </c>
      <c r="H816" t="inlineStr">
        <is>
          <t>UOM=KG;WEIGHT_BASIS=RECIPE_QUANTITY_IS_KG;LINE_WEIGHT_KG=0.597;SOURCE_CFG=IA-ST-CFG-0148;SRC_REF=Row 614, Slot 6;SRC_FILE=Mamul Ambalaj Bileşen Listesi-30.07.2026(3).xlsx</t>
        </is>
      </c>
    </row>
    <row r="817">
      <c r="A817" s="19" t="inlineStr">
        <is>
          <t>816</t>
        </is>
      </c>
      <c r="B817" s="19" t="inlineStr">
        <is>
          <t>117</t>
        </is>
      </c>
      <c r="C817" s="19" t="inlineStr">
        <is>
          <t>7</t>
        </is>
      </c>
      <c r="D817" t="n">
        <v>4</v>
      </c>
      <c r="E817" s="19" t="inlineStr">
        <is>
          <t>18</t>
        </is>
      </c>
      <c r="F817" t="n">
        <v>5</v>
      </c>
      <c r="G817" t="b">
        <v>0</v>
      </c>
      <c r="H817" t="inlineStr">
        <is>
          <t>UOM=ADT;WEIGHT_BASIS=PROCESSED_SOURCE_UNIT_WEIGHT;LINE_WEIGHT_KG=1.08;SOURCE_CFG=IA-ST-CFG-0148;SRC_REF=Row 614, Slot 8;SRC_FILE=Mamul Ambalaj Bileşen Listesi-30.07.2026(3).xlsx</t>
        </is>
      </c>
    </row>
    <row r="818">
      <c r="A818" s="19" t="inlineStr">
        <is>
          <t>817</t>
        </is>
      </c>
      <c r="B818" s="19" t="inlineStr">
        <is>
          <t>117</t>
        </is>
      </c>
      <c r="C818" s="19" t="inlineStr">
        <is>
          <t>25</t>
        </is>
      </c>
      <c r="D818" t="n">
        <v>4</v>
      </c>
      <c r="E818" s="19" t="inlineStr">
        <is>
          <t>18</t>
        </is>
      </c>
      <c r="F818" t="n">
        <v>6</v>
      </c>
      <c r="G818" t="b">
        <v>0</v>
      </c>
      <c r="H818" t="inlineStr">
        <is>
          <t>UOM=ADT;WEIGHT_BASIS=PROCESSED_SOURCE_UNIT_WEIGHT;LINE_WEIGHT_KG=0.4;SOURCE_CFG=IA-ST-CFG-0148;SRC_REF=Row 614, Slot 9;SRC_FILE=Mamul Ambalaj Bileşen Listesi-30.07.2026(3).xlsx</t>
        </is>
      </c>
    </row>
    <row r="819">
      <c r="A819" s="19" t="inlineStr">
        <is>
          <t>818</t>
        </is>
      </c>
      <c r="B819" s="19" t="inlineStr">
        <is>
          <t>118</t>
        </is>
      </c>
      <c r="C819" s="19" t="inlineStr">
        <is>
          <t>13</t>
        </is>
      </c>
      <c r="D819" t="n">
        <v>14</v>
      </c>
      <c r="E819" s="19" t="inlineStr">
        <is>
          <t>18</t>
        </is>
      </c>
      <c r="F819" t="n">
        <v>1</v>
      </c>
      <c r="G819" t="b">
        <v>0</v>
      </c>
      <c r="H819" t="inlineStr">
        <is>
          <t>UOM=M;WEIGHT_BASIS=PROCESSED_SOURCE_UNIT_WEIGHT;LINE_WEIGHT_KG=0.1736;SOURCE_CFG=IA-ST-CFG-0150;SRC_REF=Row 643, Slot 1;SRC_FILE=Mamul Ambalaj Bileşen Listesi-30.07.2026(3).xlsx</t>
        </is>
      </c>
    </row>
    <row r="820">
      <c r="A820" s="19" t="inlineStr">
        <is>
          <t>819</t>
        </is>
      </c>
      <c r="B820" s="19" t="inlineStr">
        <is>
          <t>118</t>
        </is>
      </c>
      <c r="C820" s="19" t="inlineStr">
        <is>
          <t>6</t>
        </is>
      </c>
      <c r="D820" t="n">
        <v>1</v>
      </c>
      <c r="E820" s="19" t="inlineStr">
        <is>
          <t>18</t>
        </is>
      </c>
      <c r="F820" t="n">
        <v>2</v>
      </c>
      <c r="G820" t="b">
        <v>0</v>
      </c>
      <c r="H820" t="inlineStr">
        <is>
          <t>UOM=ADT;WEIGHT_BASIS=PROCESSED_SOURCE_UNIT_WEIGHT;LINE_WEIGHT_KG=26.0;SOURCE_CFG=IA-ST-CFG-0150;SRC_REF=Row 643, Slot 3;SRC_FILE=Mamul Ambalaj Bileşen Listesi-30.07.2026(3).xlsx</t>
        </is>
      </c>
    </row>
    <row r="821">
      <c r="A821" s="19" t="inlineStr">
        <is>
          <t>820</t>
        </is>
      </c>
      <c r="B821" s="19" t="inlineStr">
        <is>
          <t>118</t>
        </is>
      </c>
      <c r="C821" s="19" t="inlineStr">
        <is>
          <t>8</t>
        </is>
      </c>
      <c r="D821" t="n">
        <v>20</v>
      </c>
      <c r="E821" s="19" t="inlineStr">
        <is>
          <t>18</t>
        </is>
      </c>
      <c r="F821" t="n">
        <v>3</v>
      </c>
      <c r="G821" t="b">
        <v>0</v>
      </c>
      <c r="H821" t="inlineStr">
        <is>
          <t>UOM=M;WEIGHT_BASIS=PROCESSED_SOURCE_UNIT_WEIGHT;LINE_WEIGHT_KG=0.3664;SOURCE_CFG=IA-ST-CFG-0150;SRC_REF=Row 643, Slot 5;SRC_FILE=Mamul Ambalaj Bileşen Listesi-30.07.2026(3).xlsx</t>
        </is>
      </c>
    </row>
    <row r="822">
      <c r="A822" s="19" t="inlineStr">
        <is>
          <t>821</t>
        </is>
      </c>
      <c r="B822" s="19" t="inlineStr">
        <is>
          <t>118</t>
        </is>
      </c>
      <c r="C822" s="19" t="inlineStr">
        <is>
          <t>9</t>
        </is>
      </c>
      <c r="D822" t="n">
        <v>0.186</v>
      </c>
      <c r="E822" s="19" t="inlineStr">
        <is>
          <t>18</t>
        </is>
      </c>
      <c r="F822" t="n">
        <v>4</v>
      </c>
      <c r="G822" t="b">
        <v>0</v>
      </c>
      <c r="H822" t="inlineStr">
        <is>
          <t>UOM=KG;WEIGHT_BASIS=RECIPE_QUANTITY_IS_KG;LINE_WEIGHT_KG=0.186;SOURCE_CFG=IA-ST-CFG-0150;SRC_REF=Row 643, Slot 6;SRC_FILE=Mamul Ambalaj Bileşen Listesi-30.07.2026(3).xlsx</t>
        </is>
      </c>
    </row>
    <row r="823">
      <c r="A823" s="19" t="inlineStr">
        <is>
          <t>822</t>
        </is>
      </c>
      <c r="B823" s="19" t="inlineStr">
        <is>
          <t>118</t>
        </is>
      </c>
      <c r="C823" s="19" t="inlineStr">
        <is>
          <t>3</t>
        </is>
      </c>
      <c r="D823" t="n">
        <v>6</v>
      </c>
      <c r="E823" s="19" t="inlineStr">
        <is>
          <t>18</t>
        </is>
      </c>
      <c r="F823" t="n">
        <v>5</v>
      </c>
      <c r="G823" t="b">
        <v>0</v>
      </c>
      <c r="H823" t="inlineStr">
        <is>
          <t>UOM=ADT;WEIGHT_BASIS=PROCESSED_SOURCE_UNIT_WEIGHT;LINE_WEIGHT_KG=1.26;SOURCE_CFG=IA-ST-CFG-0150;SRC_REF=Row 643, Slot 8;SRC_FILE=Mamul Ambalaj Bileşen Listesi-30.07.2026(3).xlsx</t>
        </is>
      </c>
    </row>
    <row r="824">
      <c r="A824" s="19" t="inlineStr">
        <is>
          <t>823</t>
        </is>
      </c>
      <c r="B824" s="19" t="inlineStr">
        <is>
          <t>118</t>
        </is>
      </c>
      <c r="C824" s="19" t="inlineStr">
        <is>
          <t>30</t>
        </is>
      </c>
      <c r="D824" t="n">
        <v>5</v>
      </c>
      <c r="E824" s="19" t="inlineStr">
        <is>
          <t>18</t>
        </is>
      </c>
      <c r="F824" t="n">
        <v>6</v>
      </c>
      <c r="G824" t="b">
        <v>0</v>
      </c>
      <c r="H824" t="inlineStr">
        <is>
          <t>UOM=ADT;WEIGHT_BASIS=PROCESSED_SOURCE_UNIT_WEIGHT;LINE_WEIGHT_KG=1.0;SOURCE_CFG=IA-ST-CFG-0150;SRC_REF=Row 643, Slot 9;SRC_FILE=Mamul Ambalaj Bileşen Listesi-30.07.2026(3).xlsx</t>
        </is>
      </c>
    </row>
    <row r="825">
      <c r="A825" s="19" t="inlineStr">
        <is>
          <t>824</t>
        </is>
      </c>
      <c r="B825" s="19" t="inlineStr">
        <is>
          <t>118</t>
        </is>
      </c>
      <c r="C825" s="19" t="inlineStr">
        <is>
          <t>88</t>
        </is>
      </c>
      <c r="D825" t="n">
        <v>56</v>
      </c>
      <c r="E825" s="19" t="inlineStr">
        <is>
          <t>18</t>
        </is>
      </c>
      <c r="F825" t="n">
        <v>7</v>
      </c>
      <c r="G825" t="b">
        <v>0</v>
      </c>
      <c r="H825" t="inlineStr">
        <is>
          <t>UOM=ADT;WEIGHT_BASIS=PROCESSED_SOURCE_UNIT_WEIGHT;LINE_WEIGHT_KG=15.120000000000001;SOURCE_CFG=IA-ST-CFG-0150;SRC_REF=Row 643, Slot 10;SRC_FILE=Mamul Ambalaj Bileşen Listesi-30.07.2026(3).xlsx</t>
        </is>
      </c>
    </row>
    <row r="826">
      <c r="A826" s="19" t="inlineStr">
        <is>
          <t>825</t>
        </is>
      </c>
      <c r="B826" s="19" t="inlineStr">
        <is>
          <t>119</t>
        </is>
      </c>
      <c r="C826" s="19" t="inlineStr">
        <is>
          <t>13</t>
        </is>
      </c>
      <c r="D826" t="n">
        <v>14</v>
      </c>
      <c r="E826" s="19" t="inlineStr">
        <is>
          <t>18</t>
        </is>
      </c>
      <c r="F826" t="n">
        <v>1</v>
      </c>
      <c r="G826" t="b">
        <v>0</v>
      </c>
      <c r="H826" t="inlineStr">
        <is>
          <t>UOM=M;WEIGHT_BASIS=PROCESSED_SOURCE_UNIT_WEIGHT;LINE_WEIGHT_KG=0.1736;SOURCE_CFG=IA-ST-CFG-0151;SRC_REF=Row 1133, Slot 1;SRC_FILE=Mamul Ambalaj Bileşen Listesi-30.07.2026(3).xlsx</t>
        </is>
      </c>
    </row>
    <row r="827">
      <c r="A827" s="19" t="inlineStr">
        <is>
          <t>826</t>
        </is>
      </c>
      <c r="B827" s="19" t="inlineStr">
        <is>
          <t>119</t>
        </is>
      </c>
      <c r="C827" s="19" t="inlineStr">
        <is>
          <t>6</t>
        </is>
      </c>
      <c r="D827" t="n">
        <v>1</v>
      </c>
      <c r="E827" s="19" t="inlineStr">
        <is>
          <t>18</t>
        </is>
      </c>
      <c r="F827" t="n">
        <v>2</v>
      </c>
      <c r="G827" t="b">
        <v>0</v>
      </c>
      <c r="H827" t="inlineStr">
        <is>
          <t>UOM=ADT;WEIGHT_BASIS=PROCESSED_SOURCE_UNIT_WEIGHT;LINE_WEIGHT_KG=26.0;SOURCE_CFG=IA-ST-CFG-0151;SRC_REF=Row 1133, Slot 3;SRC_FILE=Mamul Ambalaj Bileşen Listesi-30.07.2026(3).xlsx</t>
        </is>
      </c>
    </row>
    <row r="828">
      <c r="A828" s="19" t="inlineStr">
        <is>
          <t>827</t>
        </is>
      </c>
      <c r="B828" s="19" t="inlineStr">
        <is>
          <t>119</t>
        </is>
      </c>
      <c r="C828" s="19" t="inlineStr">
        <is>
          <t>8</t>
        </is>
      </c>
      <c r="D828" t="n">
        <v>20</v>
      </c>
      <c r="E828" s="19" t="inlineStr">
        <is>
          <t>18</t>
        </is>
      </c>
      <c r="F828" t="n">
        <v>3</v>
      </c>
      <c r="G828" t="b">
        <v>0</v>
      </c>
      <c r="H828" t="inlineStr">
        <is>
          <t>UOM=M;WEIGHT_BASIS=PROCESSED_SOURCE_UNIT_WEIGHT;LINE_WEIGHT_KG=0.3664;SOURCE_CFG=IA-ST-CFG-0151;SRC_REF=Row 1133, Slot 5;SRC_FILE=Mamul Ambalaj Bileşen Listesi-30.07.2026(3).xlsx</t>
        </is>
      </c>
    </row>
    <row r="829">
      <c r="A829" s="19" t="inlineStr">
        <is>
          <t>828</t>
        </is>
      </c>
      <c r="B829" s="19" t="inlineStr">
        <is>
          <t>119</t>
        </is>
      </c>
      <c r="C829" s="19" t="inlineStr">
        <is>
          <t>9</t>
        </is>
      </c>
      <c r="D829" t="n">
        <v>0.186</v>
      </c>
      <c r="E829" s="19" t="inlineStr">
        <is>
          <t>18</t>
        </is>
      </c>
      <c r="F829" t="n">
        <v>4</v>
      </c>
      <c r="G829" t="b">
        <v>0</v>
      </c>
      <c r="H829" t="inlineStr">
        <is>
          <t>UOM=KG;WEIGHT_BASIS=RECIPE_QUANTITY_IS_KG;LINE_WEIGHT_KG=0.186;SOURCE_CFG=IA-ST-CFG-0151;SRC_REF=Row 1133, Slot 6;SRC_FILE=Mamul Ambalaj Bileşen Listesi-30.07.2026(3).xlsx</t>
        </is>
      </c>
    </row>
    <row r="830">
      <c r="A830" s="19" t="inlineStr">
        <is>
          <t>829</t>
        </is>
      </c>
      <c r="B830" s="19" t="inlineStr">
        <is>
          <t>119</t>
        </is>
      </c>
      <c r="C830" s="19" t="inlineStr">
        <is>
          <t>25</t>
        </is>
      </c>
      <c r="D830" t="n">
        <v>4</v>
      </c>
      <c r="E830" s="19" t="inlineStr">
        <is>
          <t>18</t>
        </is>
      </c>
      <c r="F830" t="n">
        <v>5</v>
      </c>
      <c r="G830" t="b">
        <v>0</v>
      </c>
      <c r="H830" t="inlineStr">
        <is>
          <t>UOM=ADT;WEIGHT_BASIS=PROCESSED_SOURCE_UNIT_WEIGHT;LINE_WEIGHT_KG=0.4;SOURCE_CFG=IA-ST-CFG-0151;SRC_REF=Row 1133, Slot 8;SRC_FILE=Mamul Ambalaj Bileşen Listesi-30.07.2026(3).xlsx</t>
        </is>
      </c>
    </row>
    <row r="831">
      <c r="A831" s="19" t="inlineStr">
        <is>
          <t>830</t>
        </is>
      </c>
      <c r="B831" s="19" t="inlineStr">
        <is>
          <t>119</t>
        </is>
      </c>
      <c r="C831" s="19" t="inlineStr">
        <is>
          <t>30</t>
        </is>
      </c>
      <c r="D831" t="n">
        <v>5</v>
      </c>
      <c r="E831" s="19" t="inlineStr">
        <is>
          <t>18</t>
        </is>
      </c>
      <c r="F831" t="n">
        <v>6</v>
      </c>
      <c r="G831" t="b">
        <v>0</v>
      </c>
      <c r="H831" t="inlineStr">
        <is>
          <t>UOM=ADT;WEIGHT_BASIS=PROCESSED_SOURCE_UNIT_WEIGHT;LINE_WEIGHT_KG=1.0;SOURCE_CFG=IA-ST-CFG-0151;SRC_REF=Row 1133, Slot 9;SRC_FILE=Mamul Ambalaj Bileşen Listesi-30.07.2026(3).xlsx</t>
        </is>
      </c>
    </row>
    <row r="832">
      <c r="A832" s="19" t="inlineStr">
        <is>
          <t>831</t>
        </is>
      </c>
      <c r="B832" s="19" t="inlineStr">
        <is>
          <t>120</t>
        </is>
      </c>
      <c r="C832" s="19" t="inlineStr">
        <is>
          <t>13</t>
        </is>
      </c>
      <c r="D832" t="n">
        <v>7</v>
      </c>
      <c r="E832" s="19" t="inlineStr">
        <is>
          <t>18</t>
        </is>
      </c>
      <c r="F832" t="n">
        <v>1</v>
      </c>
      <c r="G832" t="b">
        <v>0</v>
      </c>
      <c r="H832" t="inlineStr">
        <is>
          <t>UOM=M;WEIGHT_BASIS=PROCESSED_SOURCE_UNIT_WEIGHT;LINE_WEIGHT_KG=0.0868;SOURCE_CFG=IA-ST-CFG-0152;SRC_REF=Row 130, Slot 1;SRC_FILE=Mamul Ambalaj Bileşen Listesi-30.07.2026(3).xlsx</t>
        </is>
      </c>
    </row>
    <row r="833">
      <c r="A833" s="19" t="inlineStr">
        <is>
          <t>832</t>
        </is>
      </c>
      <c r="B833" s="19" t="inlineStr">
        <is>
          <t>120</t>
        </is>
      </c>
      <c r="C833" s="19" t="inlineStr">
        <is>
          <t>6</t>
        </is>
      </c>
      <c r="D833" t="n">
        <v>1</v>
      </c>
      <c r="E833" s="19" t="inlineStr">
        <is>
          <t>18</t>
        </is>
      </c>
      <c r="F833" t="n">
        <v>2</v>
      </c>
      <c r="G833" t="b">
        <v>0</v>
      </c>
      <c r="H833" t="inlineStr">
        <is>
          <t>UOM=ADT;WEIGHT_BASIS=PROCESSED_SOURCE_UNIT_WEIGHT;LINE_WEIGHT_KG=26.0;SOURCE_CFG=IA-ST-CFG-0152;SRC_REF=Row 130, Slot 3;SRC_FILE=Mamul Ambalaj Bileşen Listesi-30.07.2026(3).xlsx</t>
        </is>
      </c>
    </row>
    <row r="834">
      <c r="A834" s="19" t="inlineStr">
        <is>
          <t>833</t>
        </is>
      </c>
      <c r="B834" s="19" t="inlineStr">
        <is>
          <t>120</t>
        </is>
      </c>
      <c r="C834" s="19" t="inlineStr">
        <is>
          <t>8</t>
        </is>
      </c>
      <c r="D834" t="n">
        <v>20</v>
      </c>
      <c r="E834" s="19" t="inlineStr">
        <is>
          <t>18</t>
        </is>
      </c>
      <c r="F834" t="n">
        <v>3</v>
      </c>
      <c r="G834" t="b">
        <v>0</v>
      </c>
      <c r="H834" t="inlineStr">
        <is>
          <t>UOM=M;WEIGHT_BASIS=PROCESSED_SOURCE_UNIT_WEIGHT;LINE_WEIGHT_KG=0.3664;SOURCE_CFG=IA-ST-CFG-0152;SRC_REF=Row 130, Slot 5;SRC_FILE=Mamul Ambalaj Bileşen Listesi-30.07.2026(3).xlsx</t>
        </is>
      </c>
    </row>
    <row r="835">
      <c r="A835" s="19" t="inlineStr">
        <is>
          <t>834</t>
        </is>
      </c>
      <c r="B835" s="19" t="inlineStr">
        <is>
          <t>120</t>
        </is>
      </c>
      <c r="C835" s="19" t="inlineStr">
        <is>
          <t>9</t>
        </is>
      </c>
      <c r="D835" t="n">
        <v>0.186</v>
      </c>
      <c r="E835" s="19" t="inlineStr">
        <is>
          <t>18</t>
        </is>
      </c>
      <c r="F835" t="n">
        <v>4</v>
      </c>
      <c r="G835" t="b">
        <v>0</v>
      </c>
      <c r="H835" t="inlineStr">
        <is>
          <t>UOM=KG;WEIGHT_BASIS=RECIPE_QUANTITY_IS_KG;LINE_WEIGHT_KG=0.186;SOURCE_CFG=IA-ST-CFG-0152;SRC_REF=Row 130, Slot 6;SRC_FILE=Mamul Ambalaj Bileşen Listesi-30.07.2026(3).xlsx</t>
        </is>
      </c>
    </row>
    <row r="836">
      <c r="A836" s="19" t="inlineStr">
        <is>
          <t>835</t>
        </is>
      </c>
      <c r="B836" s="19" t="inlineStr">
        <is>
          <t>120</t>
        </is>
      </c>
      <c r="C836" s="19" t="inlineStr">
        <is>
          <t>19</t>
        </is>
      </c>
      <c r="D836" t="n">
        <v>1.904</v>
      </c>
      <c r="E836" s="19" t="inlineStr">
        <is>
          <t>18</t>
        </is>
      </c>
      <c r="F836" t="n">
        <v>5</v>
      </c>
      <c r="G836" t="b">
        <v>0</v>
      </c>
      <c r="H836" t="inlineStr">
        <is>
          <t>UOM=KG;WEIGHT_BASIS=RECIPE_QUANTITY_IS_KG;LINE_WEIGHT_KG=1.904;SOURCE_CFG=IA-ST-CFG-0152;SRC_REF=Row 130, Slot 7;SRC_FILE=Mamul Ambalaj Bileşen Listesi-30.07.2026(3).xlsx</t>
        </is>
      </c>
    </row>
    <row r="837">
      <c r="A837" s="19" t="inlineStr">
        <is>
          <t>836</t>
        </is>
      </c>
      <c r="B837" s="19" t="inlineStr">
        <is>
          <t>120</t>
        </is>
      </c>
      <c r="C837" s="19" t="inlineStr">
        <is>
          <t>25</t>
        </is>
      </c>
      <c r="D837" t="n">
        <v>2</v>
      </c>
      <c r="E837" s="19" t="inlineStr">
        <is>
          <t>18</t>
        </is>
      </c>
      <c r="F837" t="n">
        <v>6</v>
      </c>
      <c r="G837" t="b">
        <v>0</v>
      </c>
      <c r="H837" t="inlineStr">
        <is>
          <t>UOM=ADT;WEIGHT_BASIS=PROCESSED_SOURCE_UNIT_WEIGHT;LINE_WEIGHT_KG=0.2;SOURCE_CFG=IA-ST-CFG-0152;SRC_REF=Row 130, Slot 8;SRC_FILE=Mamul Ambalaj Bileşen Listesi-30.07.2026(3).xlsx</t>
        </is>
      </c>
    </row>
    <row r="838">
      <c r="A838" s="19" t="inlineStr">
        <is>
          <t>837</t>
        </is>
      </c>
      <c r="B838" s="19" t="inlineStr">
        <is>
          <t>120</t>
        </is>
      </c>
      <c r="C838" s="19" t="inlineStr">
        <is>
          <t>30</t>
        </is>
      </c>
      <c r="D838" t="n">
        <v>5</v>
      </c>
      <c r="E838" s="19" t="inlineStr">
        <is>
          <t>18</t>
        </is>
      </c>
      <c r="F838" t="n">
        <v>7</v>
      </c>
      <c r="G838" t="b">
        <v>0</v>
      </c>
      <c r="H838" t="inlineStr">
        <is>
          <t>UOM=ADT;WEIGHT_BASIS=PROCESSED_SOURCE_UNIT_WEIGHT;LINE_WEIGHT_KG=1.0;SOURCE_CFG=IA-ST-CFG-0152;SRC_REF=Row 130, Slot 9;SRC_FILE=Mamul Ambalaj Bileşen Listesi-30.07.2026(3).xlsx</t>
        </is>
      </c>
    </row>
    <row r="839">
      <c r="A839" s="19" t="inlineStr">
        <is>
          <t>838</t>
        </is>
      </c>
      <c r="B839" s="19" t="inlineStr">
        <is>
          <t>121</t>
        </is>
      </c>
      <c r="C839" s="19" t="inlineStr">
        <is>
          <t>13</t>
        </is>
      </c>
      <c r="D839" t="n">
        <v>7</v>
      </c>
      <c r="E839" s="19" t="inlineStr">
        <is>
          <t>18</t>
        </is>
      </c>
      <c r="F839" t="n">
        <v>1</v>
      </c>
      <c r="G839" t="b">
        <v>0</v>
      </c>
      <c r="H839" t="inlineStr">
        <is>
          <t>UOM=M;WEIGHT_BASIS=PROCESSED_SOURCE_UNIT_WEIGHT;LINE_WEIGHT_KG=0.0868;SOURCE_CFG=IA-ST-CFG-0153;SRC_REF=Row 85, Slot 1;SRC_FILE=Mamul Ambalaj Bileşen Listesi-30.07.2026(3).xlsx</t>
        </is>
      </c>
    </row>
    <row r="840">
      <c r="A840" s="19" t="inlineStr">
        <is>
          <t>839</t>
        </is>
      </c>
      <c r="B840" s="19" t="inlineStr">
        <is>
          <t>121</t>
        </is>
      </c>
      <c r="C840" s="19" t="inlineStr">
        <is>
          <t>6</t>
        </is>
      </c>
      <c r="D840" t="n">
        <v>1</v>
      </c>
      <c r="E840" s="19" t="inlineStr">
        <is>
          <t>18</t>
        </is>
      </c>
      <c r="F840" t="n">
        <v>2</v>
      </c>
      <c r="G840" t="b">
        <v>0</v>
      </c>
      <c r="H840" t="inlineStr">
        <is>
          <t>UOM=ADT;WEIGHT_BASIS=PROCESSED_SOURCE_UNIT_WEIGHT;LINE_WEIGHT_KG=26.0;SOURCE_CFG=IA-ST-CFG-0153;SRC_REF=Row 85, Slot 3;SRC_FILE=Mamul Ambalaj Bileşen Listesi-30.07.2026(3).xlsx</t>
        </is>
      </c>
    </row>
    <row r="841">
      <c r="A841" s="19" t="inlineStr">
        <is>
          <t>840</t>
        </is>
      </c>
      <c r="B841" s="19" t="inlineStr">
        <is>
          <t>121</t>
        </is>
      </c>
      <c r="C841" s="19" t="inlineStr">
        <is>
          <t>8</t>
        </is>
      </c>
      <c r="D841" t="n">
        <v>20</v>
      </c>
      <c r="E841" s="19" t="inlineStr">
        <is>
          <t>18</t>
        </is>
      </c>
      <c r="F841" t="n">
        <v>3</v>
      </c>
      <c r="G841" t="b">
        <v>0</v>
      </c>
      <c r="H841" t="inlineStr">
        <is>
          <t>UOM=M;WEIGHT_BASIS=PROCESSED_SOURCE_UNIT_WEIGHT;LINE_WEIGHT_KG=0.3664;SOURCE_CFG=IA-ST-CFG-0153;SRC_REF=Row 85, Slot 5;SRC_FILE=Mamul Ambalaj Bileşen Listesi-30.07.2026(3).xlsx</t>
        </is>
      </c>
    </row>
    <row r="842">
      <c r="A842" s="19" t="inlineStr">
        <is>
          <t>841</t>
        </is>
      </c>
      <c r="B842" s="19" t="inlineStr">
        <is>
          <t>121</t>
        </is>
      </c>
      <c r="C842" s="19" t="inlineStr">
        <is>
          <t>9</t>
        </is>
      </c>
      <c r="D842" t="n">
        <v>0.186</v>
      </c>
      <c r="E842" s="19" t="inlineStr">
        <is>
          <t>18</t>
        </is>
      </c>
      <c r="F842" t="n">
        <v>4</v>
      </c>
      <c r="G842" t="b">
        <v>0</v>
      </c>
      <c r="H842" t="inlineStr">
        <is>
          <t>UOM=KG;WEIGHT_BASIS=RECIPE_QUANTITY_IS_KG;LINE_WEIGHT_KG=0.186;SOURCE_CFG=IA-ST-CFG-0153;SRC_REF=Row 85, Slot 6;SRC_FILE=Mamul Ambalaj Bileşen Listesi-30.07.2026(3).xlsx</t>
        </is>
      </c>
    </row>
    <row r="843">
      <c r="A843" s="19" t="inlineStr">
        <is>
          <t>842</t>
        </is>
      </c>
      <c r="B843" s="19" t="inlineStr">
        <is>
          <t>121</t>
        </is>
      </c>
      <c r="C843" s="19" t="inlineStr">
        <is>
          <t>25</t>
        </is>
      </c>
      <c r="D843" t="n">
        <v>2</v>
      </c>
      <c r="E843" s="19" t="inlineStr">
        <is>
          <t>18</t>
        </is>
      </c>
      <c r="F843" t="n">
        <v>5</v>
      </c>
      <c r="G843" t="b">
        <v>0</v>
      </c>
      <c r="H843" t="inlineStr">
        <is>
          <t>UOM=ADT;WEIGHT_BASIS=PROCESSED_SOURCE_UNIT_WEIGHT;LINE_WEIGHT_KG=0.2;SOURCE_CFG=IA-ST-CFG-0153;SRC_REF=Row 85, Slot 8;SRC_FILE=Mamul Ambalaj Bileşen Listesi-30.07.2026(3).xlsx</t>
        </is>
      </c>
    </row>
    <row r="844">
      <c r="A844" s="19" t="inlineStr">
        <is>
          <t>843</t>
        </is>
      </c>
      <c r="B844" s="19" t="inlineStr">
        <is>
          <t>121</t>
        </is>
      </c>
      <c r="C844" s="19" t="inlineStr">
        <is>
          <t>30</t>
        </is>
      </c>
      <c r="D844" t="n">
        <v>5</v>
      </c>
      <c r="E844" s="19" t="inlineStr">
        <is>
          <t>18</t>
        </is>
      </c>
      <c r="F844" t="n">
        <v>6</v>
      </c>
      <c r="G844" t="b">
        <v>0</v>
      </c>
      <c r="H844" t="inlineStr">
        <is>
          <t>UOM=ADT;WEIGHT_BASIS=PROCESSED_SOURCE_UNIT_WEIGHT;LINE_WEIGHT_KG=1.0;SOURCE_CFG=IA-ST-CFG-0153;SRC_REF=Row 85, Slot 9;SRC_FILE=Mamul Ambalaj Bileşen Listesi-30.07.2026(3).xlsx</t>
        </is>
      </c>
    </row>
    <row r="845">
      <c r="A845" s="19" t="inlineStr">
        <is>
          <t>844</t>
        </is>
      </c>
      <c r="B845" s="19" t="inlineStr">
        <is>
          <t>122</t>
        </is>
      </c>
      <c r="C845" s="19" t="inlineStr">
        <is>
          <t>13</t>
        </is>
      </c>
      <c r="D845" t="n">
        <v>14</v>
      </c>
      <c r="E845" s="19" t="inlineStr">
        <is>
          <t>18</t>
        </is>
      </c>
      <c r="F845" t="n">
        <v>1</v>
      </c>
      <c r="G845" t="b">
        <v>0</v>
      </c>
      <c r="H845" t="inlineStr">
        <is>
          <t>UOM=M;WEIGHT_BASIS=PROCESSED_SOURCE_UNIT_WEIGHT;LINE_WEIGHT_KG=0.1736;SOURCE_CFG=IA-ST-CFG-0160;SRC_REF=Row 890, Slot 1;SRC_FILE=Mamul Ambalaj Bileşen Listesi-30.07.2026(3).xlsx</t>
        </is>
      </c>
    </row>
    <row r="846">
      <c r="A846" s="19" t="inlineStr">
        <is>
          <t>845</t>
        </is>
      </c>
      <c r="B846" s="19" t="inlineStr">
        <is>
          <t>122</t>
        </is>
      </c>
      <c r="C846" s="19" t="inlineStr">
        <is>
          <t>6</t>
        </is>
      </c>
      <c r="D846" t="n">
        <v>1</v>
      </c>
      <c r="E846" s="19" t="inlineStr">
        <is>
          <t>18</t>
        </is>
      </c>
      <c r="F846" t="n">
        <v>2</v>
      </c>
      <c r="G846" t="b">
        <v>0</v>
      </c>
      <c r="H846" t="inlineStr">
        <is>
          <t>UOM=ADT;WEIGHT_BASIS=PROCESSED_SOURCE_UNIT_WEIGHT;LINE_WEIGHT_KG=26.0;SOURCE_CFG=IA-ST-CFG-0160;SRC_REF=Row 890, Slot 3;SRC_FILE=Mamul Ambalaj Bileşen Listesi-30.07.2026(3).xlsx</t>
        </is>
      </c>
    </row>
    <row r="847">
      <c r="A847" s="19" t="inlineStr">
        <is>
          <t>846</t>
        </is>
      </c>
      <c r="B847" s="19" t="inlineStr">
        <is>
          <t>122</t>
        </is>
      </c>
      <c r="C847" s="19" t="inlineStr">
        <is>
          <t>8</t>
        </is>
      </c>
      <c r="D847" t="n">
        <v>20</v>
      </c>
      <c r="E847" s="19" t="inlineStr">
        <is>
          <t>18</t>
        </is>
      </c>
      <c r="F847" t="n">
        <v>3</v>
      </c>
      <c r="G847" t="b">
        <v>0</v>
      </c>
      <c r="H847" t="inlineStr">
        <is>
          <t>UOM=M;WEIGHT_BASIS=PROCESSED_SOURCE_UNIT_WEIGHT;LINE_WEIGHT_KG=0.3664;SOURCE_CFG=IA-ST-CFG-0160;SRC_REF=Row 890, Slot 5;SRC_FILE=Mamul Ambalaj Bileşen Listesi-30.07.2026(3).xlsx</t>
        </is>
      </c>
    </row>
    <row r="848">
      <c r="A848" s="19" t="inlineStr">
        <is>
          <t>847</t>
        </is>
      </c>
      <c r="B848" s="19" t="inlineStr">
        <is>
          <t>122</t>
        </is>
      </c>
      <c r="C848" s="19" t="inlineStr">
        <is>
          <t>9</t>
        </is>
      </c>
      <c r="D848" t="n">
        <v>0.186</v>
      </c>
      <c r="E848" s="19" t="inlineStr">
        <is>
          <t>18</t>
        </is>
      </c>
      <c r="F848" t="n">
        <v>4</v>
      </c>
      <c r="G848" t="b">
        <v>0</v>
      </c>
      <c r="H848" t="inlineStr">
        <is>
          <t>UOM=KG;WEIGHT_BASIS=RECIPE_QUANTITY_IS_KG;LINE_WEIGHT_KG=0.186;SOURCE_CFG=IA-ST-CFG-0160;SRC_REF=Row 890, Slot 6;SRC_FILE=Mamul Ambalaj Bileşen Listesi-30.07.2026(3).xlsx</t>
        </is>
      </c>
    </row>
    <row r="849">
      <c r="A849" s="19" t="inlineStr">
        <is>
          <t>848</t>
        </is>
      </c>
      <c r="B849" s="19" t="inlineStr">
        <is>
          <t>122</t>
        </is>
      </c>
      <c r="C849" s="19" t="inlineStr">
        <is>
          <t>25</t>
        </is>
      </c>
      <c r="D849" t="n">
        <v>4</v>
      </c>
      <c r="E849" s="19" t="inlineStr">
        <is>
          <t>18</t>
        </is>
      </c>
      <c r="F849" t="n">
        <v>5</v>
      </c>
      <c r="G849" t="b">
        <v>0</v>
      </c>
      <c r="H849" t="inlineStr">
        <is>
          <t>UOM=ADT;WEIGHT_BASIS=PROCESSED_SOURCE_UNIT_WEIGHT;LINE_WEIGHT_KG=0.4;SOURCE_CFG=IA-ST-CFG-0160;SRC_REF=Row 890, Slot 8;SRC_FILE=Mamul Ambalaj Bileşen Listesi-30.07.2026(3).xlsx</t>
        </is>
      </c>
    </row>
    <row r="850">
      <c r="A850" s="19" t="inlineStr">
        <is>
          <t>849</t>
        </is>
      </c>
      <c r="B850" s="19" t="inlineStr">
        <is>
          <t>122</t>
        </is>
      </c>
      <c r="C850" s="19" t="inlineStr">
        <is>
          <t>30</t>
        </is>
      </c>
      <c r="D850" t="n">
        <v>1</v>
      </c>
      <c r="E850" s="19" t="inlineStr">
        <is>
          <t>18</t>
        </is>
      </c>
      <c r="F850" t="n">
        <v>6</v>
      </c>
      <c r="G850" t="b">
        <v>0</v>
      </c>
      <c r="H850" t="inlineStr">
        <is>
          <t>UOM=ADT;WEIGHT_BASIS=PROCESSED_SOURCE_UNIT_WEIGHT;LINE_WEIGHT_KG=0.2;SOURCE_CFG=IA-ST-CFG-0160;SRC_REF=Row 890, Slot 9;SRC_FILE=Mamul Ambalaj Bileşen Listesi-30.07.2026(3).xlsx</t>
        </is>
      </c>
    </row>
    <row r="851">
      <c r="A851" s="19" t="inlineStr">
        <is>
          <t>850</t>
        </is>
      </c>
      <c r="B851" s="19" t="inlineStr">
        <is>
          <t>122</t>
        </is>
      </c>
      <c r="C851" s="19" t="inlineStr">
        <is>
          <t>56</t>
        </is>
      </c>
      <c r="D851" t="n">
        <v>3</v>
      </c>
      <c r="E851" s="19" t="inlineStr">
        <is>
          <t>18</t>
        </is>
      </c>
      <c r="F851" t="n">
        <v>7</v>
      </c>
      <c r="G851" t="b">
        <v>0</v>
      </c>
      <c r="H851" t="inlineStr">
        <is>
          <t>UOM=ADT;WEIGHT_BASIS=PROCESSED_SOURCE_UNIT_WEIGHT;LINE_WEIGHT_KG=3.0;SOURCE_CFG=IA-ST-CFG-0160;SRC_REF=Row 890, Slot 10;SRC_FILE=Mamul Ambalaj Bileşen Listesi-30.07.2026(3).xlsx</t>
        </is>
      </c>
    </row>
    <row r="852">
      <c r="A852" s="19" t="inlineStr">
        <is>
          <t>851</t>
        </is>
      </c>
      <c r="B852" s="19" t="inlineStr">
        <is>
          <t>123</t>
        </is>
      </c>
      <c r="C852" s="19" t="inlineStr">
        <is>
          <t>13</t>
        </is>
      </c>
      <c r="D852" t="n">
        <v>14</v>
      </c>
      <c r="E852" s="19" t="inlineStr">
        <is>
          <t>18</t>
        </is>
      </c>
      <c r="F852" t="n">
        <v>1</v>
      </c>
      <c r="G852" t="b">
        <v>0</v>
      </c>
      <c r="H852" t="inlineStr">
        <is>
          <t>UOM=M;WEIGHT_BASIS=PROCESSED_SOURCE_UNIT_WEIGHT;LINE_WEIGHT_KG=0.1736;SOURCE_CFG=IA-ST-CFG-0161;SRC_REF=Row 1561, Slot 1;SRC_FILE=Mamul Ambalaj Bileşen Listesi-30.07.2026(3).xlsx</t>
        </is>
      </c>
    </row>
    <row r="853">
      <c r="A853" s="19" t="inlineStr">
        <is>
          <t>852</t>
        </is>
      </c>
      <c r="B853" s="19" t="inlineStr">
        <is>
          <t>123</t>
        </is>
      </c>
      <c r="C853" s="19" t="inlineStr">
        <is>
          <t>65</t>
        </is>
      </c>
      <c r="D853" t="n">
        <v>3</v>
      </c>
      <c r="E853" s="19" t="inlineStr">
        <is>
          <t>18</t>
        </is>
      </c>
      <c r="F853" t="n">
        <v>2</v>
      </c>
      <c r="G853" t="b">
        <v>0</v>
      </c>
      <c r="H853" t="inlineStr">
        <is>
          <t>UOM=ADT;WEIGHT_BASIS=PROCESSED_SOURCE_UNIT_WEIGHT;LINE_WEIGHT_KG=0.18;SOURCE_CFG=IA-ST-CFG-0161;SRC_REF=Row 1561, Slot 2;SRC_FILE=Mamul Ambalaj Bileşen Listesi-30.07.2026(3).xlsx</t>
        </is>
      </c>
    </row>
    <row r="854">
      <c r="A854" s="19" t="inlineStr">
        <is>
          <t>853</t>
        </is>
      </c>
      <c r="B854" s="19" t="inlineStr">
        <is>
          <t>123</t>
        </is>
      </c>
      <c r="C854" s="19" t="inlineStr">
        <is>
          <t>6</t>
        </is>
      </c>
      <c r="D854" t="n">
        <v>1</v>
      </c>
      <c r="E854" s="19" t="inlineStr">
        <is>
          <t>18</t>
        </is>
      </c>
      <c r="F854" t="n">
        <v>3</v>
      </c>
      <c r="G854" t="b">
        <v>0</v>
      </c>
      <c r="H854" t="inlineStr">
        <is>
          <t>UOM=ADT;WEIGHT_BASIS=PROCESSED_SOURCE_UNIT_WEIGHT;LINE_WEIGHT_KG=26.0;SOURCE_CFG=IA-ST-CFG-0161;SRC_REF=Row 1561, Slot 3;SRC_FILE=Mamul Ambalaj Bileşen Listesi-30.07.2026(3).xlsx</t>
        </is>
      </c>
    </row>
    <row r="855">
      <c r="A855" s="19" t="inlineStr">
        <is>
          <t>854</t>
        </is>
      </c>
      <c r="B855" s="19" t="inlineStr">
        <is>
          <t>123</t>
        </is>
      </c>
      <c r="C855" s="19" t="inlineStr">
        <is>
          <t>8</t>
        </is>
      </c>
      <c r="D855" t="n">
        <v>20</v>
      </c>
      <c r="E855" s="19" t="inlineStr">
        <is>
          <t>18</t>
        </is>
      </c>
      <c r="F855" t="n">
        <v>4</v>
      </c>
      <c r="G855" t="b">
        <v>0</v>
      </c>
      <c r="H855" t="inlineStr">
        <is>
          <t>UOM=M;WEIGHT_BASIS=PROCESSED_SOURCE_UNIT_WEIGHT;LINE_WEIGHT_KG=0.3664;SOURCE_CFG=IA-ST-CFG-0161;SRC_REF=Row 1561, Slot 5;SRC_FILE=Mamul Ambalaj Bileşen Listesi-30.07.2026(3).xlsx</t>
        </is>
      </c>
    </row>
    <row r="856">
      <c r="A856" s="19" t="inlineStr">
        <is>
          <t>855</t>
        </is>
      </c>
      <c r="B856" s="19" t="inlineStr">
        <is>
          <t>123</t>
        </is>
      </c>
      <c r="C856" s="19" t="inlineStr">
        <is>
          <t>9</t>
        </is>
      </c>
      <c r="D856" t="n">
        <v>0.186</v>
      </c>
      <c r="E856" s="19" t="inlineStr">
        <is>
          <t>18</t>
        </is>
      </c>
      <c r="F856" t="n">
        <v>5</v>
      </c>
      <c r="G856" t="b">
        <v>0</v>
      </c>
      <c r="H856" t="inlineStr">
        <is>
          <t>UOM=KG;WEIGHT_BASIS=RECIPE_QUANTITY_IS_KG;LINE_WEIGHT_KG=0.186;SOURCE_CFG=IA-ST-CFG-0161;SRC_REF=Row 1561, Slot 6;SRC_FILE=Mamul Ambalaj Bileşen Listesi-30.07.2026(3).xlsx</t>
        </is>
      </c>
    </row>
    <row r="857">
      <c r="A857" s="19" t="inlineStr">
        <is>
          <t>856</t>
        </is>
      </c>
      <c r="B857" s="19" t="inlineStr">
        <is>
          <t>123</t>
        </is>
      </c>
      <c r="C857" s="19" t="inlineStr">
        <is>
          <t>25</t>
        </is>
      </c>
      <c r="D857" t="n">
        <v>4</v>
      </c>
      <c r="E857" s="19" t="inlineStr">
        <is>
          <t>18</t>
        </is>
      </c>
      <c r="F857" t="n">
        <v>6</v>
      </c>
      <c r="G857" t="b">
        <v>0</v>
      </c>
      <c r="H857" t="inlineStr">
        <is>
          <t>UOM=ADT;WEIGHT_BASIS=PROCESSED_SOURCE_UNIT_WEIGHT;LINE_WEIGHT_KG=0.4;SOURCE_CFG=IA-ST-CFG-0161;SRC_REF=Row 1561, Slot 8;SRC_FILE=Mamul Ambalaj Bileşen Listesi-30.07.2026(3).xlsx</t>
        </is>
      </c>
    </row>
    <row r="858">
      <c r="A858" s="19" t="inlineStr">
        <is>
          <t>857</t>
        </is>
      </c>
      <c r="B858" s="19" t="inlineStr">
        <is>
          <t>123</t>
        </is>
      </c>
      <c r="C858" s="19" t="inlineStr">
        <is>
          <t>30</t>
        </is>
      </c>
      <c r="D858" t="n">
        <v>1</v>
      </c>
      <c r="E858" s="19" t="inlineStr">
        <is>
          <t>18</t>
        </is>
      </c>
      <c r="F858" t="n">
        <v>7</v>
      </c>
      <c r="G858" t="b">
        <v>0</v>
      </c>
      <c r="H858" t="inlineStr">
        <is>
          <t>UOM=ADT;WEIGHT_BASIS=PROCESSED_SOURCE_UNIT_WEIGHT;LINE_WEIGHT_KG=0.2;SOURCE_CFG=IA-ST-CFG-0161;SRC_REF=Row 1561, Slot 9;SRC_FILE=Mamul Ambalaj Bileşen Listesi-30.07.2026(3).xlsx</t>
        </is>
      </c>
    </row>
    <row r="859">
      <c r="A859" s="19" t="inlineStr">
        <is>
          <t>858</t>
        </is>
      </c>
      <c r="B859" s="19" t="inlineStr">
        <is>
          <t>124</t>
        </is>
      </c>
      <c r="C859" s="19" t="inlineStr">
        <is>
          <t>13</t>
        </is>
      </c>
      <c r="D859" t="n">
        <v>14</v>
      </c>
      <c r="E859" s="19" t="inlineStr">
        <is>
          <t>18</t>
        </is>
      </c>
      <c r="F859" t="n">
        <v>1</v>
      </c>
      <c r="G859" t="b">
        <v>0</v>
      </c>
      <c r="H859" t="inlineStr">
        <is>
          <t>UOM=M;WEIGHT_BASIS=PROCESSED_SOURCE_UNIT_WEIGHT;LINE_WEIGHT_KG=0.1736;SOURCE_CFG=IA-ST-CFG-0162;SRC_REF=Row 519, Slot 1;SRC_FILE=Mamul Ambalaj Bileşen Listesi-30.07.2026(3).xlsx</t>
        </is>
      </c>
    </row>
    <row r="860">
      <c r="A860" s="19" t="inlineStr">
        <is>
          <t>859</t>
        </is>
      </c>
      <c r="B860" s="19" t="inlineStr">
        <is>
          <t>124</t>
        </is>
      </c>
      <c r="C860" s="19" t="inlineStr">
        <is>
          <t>6</t>
        </is>
      </c>
      <c r="D860" t="n">
        <v>1</v>
      </c>
      <c r="E860" s="19" t="inlineStr">
        <is>
          <t>18</t>
        </is>
      </c>
      <c r="F860" t="n">
        <v>2</v>
      </c>
      <c r="G860" t="b">
        <v>0</v>
      </c>
      <c r="H860" t="inlineStr">
        <is>
          <t>UOM=ADT;WEIGHT_BASIS=PROCESSED_SOURCE_UNIT_WEIGHT;LINE_WEIGHT_KG=26.0;SOURCE_CFG=IA-ST-CFG-0162;SRC_REF=Row 519, Slot 3;SRC_FILE=Mamul Ambalaj Bileşen Listesi-30.07.2026(3).xlsx</t>
        </is>
      </c>
    </row>
    <row r="861">
      <c r="A861" s="19" t="inlineStr">
        <is>
          <t>860</t>
        </is>
      </c>
      <c r="B861" s="19" t="inlineStr">
        <is>
          <t>124</t>
        </is>
      </c>
      <c r="C861" s="19" t="inlineStr">
        <is>
          <t>8</t>
        </is>
      </c>
      <c r="D861" t="n">
        <v>20</v>
      </c>
      <c r="E861" s="19" t="inlineStr">
        <is>
          <t>18</t>
        </is>
      </c>
      <c r="F861" t="n">
        <v>3</v>
      </c>
      <c r="G861" t="b">
        <v>0</v>
      </c>
      <c r="H861" t="inlineStr">
        <is>
          <t>UOM=M;WEIGHT_BASIS=PROCESSED_SOURCE_UNIT_WEIGHT;LINE_WEIGHT_KG=0.3664;SOURCE_CFG=IA-ST-CFG-0162;SRC_REF=Row 519, Slot 5;SRC_FILE=Mamul Ambalaj Bileşen Listesi-30.07.2026(3).xlsx</t>
        </is>
      </c>
    </row>
    <row r="862">
      <c r="A862" s="19" t="inlineStr">
        <is>
          <t>861</t>
        </is>
      </c>
      <c r="B862" s="19" t="inlineStr">
        <is>
          <t>124</t>
        </is>
      </c>
      <c r="C862" s="19" t="inlineStr">
        <is>
          <t>9</t>
        </is>
      </c>
      <c r="D862" t="n">
        <v>0.186</v>
      </c>
      <c r="E862" s="19" t="inlineStr">
        <is>
          <t>18</t>
        </is>
      </c>
      <c r="F862" t="n">
        <v>4</v>
      </c>
      <c r="G862" t="b">
        <v>0</v>
      </c>
      <c r="H862" t="inlineStr">
        <is>
          <t>UOM=KG;WEIGHT_BASIS=RECIPE_QUANTITY_IS_KG;LINE_WEIGHT_KG=0.186;SOURCE_CFG=IA-ST-CFG-0162;SRC_REF=Row 519, Slot 6;SRC_FILE=Mamul Ambalaj Bileşen Listesi-30.07.2026(3).xlsx</t>
        </is>
      </c>
    </row>
    <row r="863">
      <c r="A863" s="19" t="inlineStr">
        <is>
          <t>862</t>
        </is>
      </c>
      <c r="B863" s="19" t="inlineStr">
        <is>
          <t>124</t>
        </is>
      </c>
      <c r="C863" s="19" t="inlineStr">
        <is>
          <t>25</t>
        </is>
      </c>
      <c r="D863" t="n">
        <v>4</v>
      </c>
      <c r="E863" s="19" t="inlineStr">
        <is>
          <t>18</t>
        </is>
      </c>
      <c r="F863" t="n">
        <v>5</v>
      </c>
      <c r="G863" t="b">
        <v>0</v>
      </c>
      <c r="H863" t="inlineStr">
        <is>
          <t>UOM=ADT;WEIGHT_BASIS=PROCESSED_SOURCE_UNIT_WEIGHT;LINE_WEIGHT_KG=0.4;SOURCE_CFG=IA-ST-CFG-0162;SRC_REF=Row 519, Slot 8;SRC_FILE=Mamul Ambalaj Bileşen Listesi-30.07.2026(3).xlsx</t>
        </is>
      </c>
    </row>
    <row r="864">
      <c r="A864" s="19" t="inlineStr">
        <is>
          <t>863</t>
        </is>
      </c>
      <c r="B864" s="19" t="inlineStr">
        <is>
          <t>124</t>
        </is>
      </c>
      <c r="C864" s="19" t="inlineStr">
        <is>
          <t>30</t>
        </is>
      </c>
      <c r="D864" t="n">
        <v>4</v>
      </c>
      <c r="E864" s="19" t="inlineStr">
        <is>
          <t>18</t>
        </is>
      </c>
      <c r="F864" t="n">
        <v>6</v>
      </c>
      <c r="G864" t="b">
        <v>0</v>
      </c>
      <c r="H864" t="inlineStr">
        <is>
          <t>UOM=ADT;WEIGHT_BASIS=PROCESSED_SOURCE_UNIT_WEIGHT;LINE_WEIGHT_KG=0.8;SOURCE_CFG=IA-ST-CFG-0162;SRC_REF=Row 519, Slot 9;SRC_FILE=Mamul Ambalaj Bileşen Listesi-30.07.2026(3).xlsx</t>
        </is>
      </c>
    </row>
    <row r="865">
      <c r="A865" s="19" t="inlineStr">
        <is>
          <t>864</t>
        </is>
      </c>
      <c r="B865" s="19" t="inlineStr">
        <is>
          <t>125</t>
        </is>
      </c>
      <c r="C865" s="19" t="inlineStr">
        <is>
          <t>13</t>
        </is>
      </c>
      <c r="D865" t="n">
        <v>7</v>
      </c>
      <c r="E865" s="19" t="inlineStr">
        <is>
          <t>18</t>
        </is>
      </c>
      <c r="F865" t="n">
        <v>1</v>
      </c>
      <c r="G865" t="b">
        <v>0</v>
      </c>
      <c r="H865" t="inlineStr">
        <is>
          <t>UOM=M;WEIGHT_BASIS=PROCESSED_SOURCE_UNIT_WEIGHT;LINE_WEIGHT_KG=0.0868;SOURCE_CFG=IA-ST-CFG-0163;SRC_REF=Row 714, Slot 1;SRC_FILE=Mamul Ambalaj Bileşen Listesi-30.07.2026(3).xlsx</t>
        </is>
      </c>
    </row>
    <row r="866">
      <c r="A866" s="19" t="inlineStr">
        <is>
          <t>865</t>
        </is>
      </c>
      <c r="B866" s="19" t="inlineStr">
        <is>
          <t>125</t>
        </is>
      </c>
      <c r="C866" s="19" t="inlineStr">
        <is>
          <t>6</t>
        </is>
      </c>
      <c r="D866" t="n">
        <v>1</v>
      </c>
      <c r="E866" s="19" t="inlineStr">
        <is>
          <t>18</t>
        </is>
      </c>
      <c r="F866" t="n">
        <v>2</v>
      </c>
      <c r="G866" t="b">
        <v>0</v>
      </c>
      <c r="H866" t="inlineStr">
        <is>
          <t>UOM=ADT;WEIGHT_BASIS=PROCESSED_SOURCE_UNIT_WEIGHT;LINE_WEIGHT_KG=26.0;SOURCE_CFG=IA-ST-CFG-0163;SRC_REF=Row 714, Slot 3;SRC_FILE=Mamul Ambalaj Bileşen Listesi-30.07.2026(3).xlsx</t>
        </is>
      </c>
    </row>
    <row r="867">
      <c r="A867" s="19" t="inlineStr">
        <is>
          <t>866</t>
        </is>
      </c>
      <c r="B867" s="19" t="inlineStr">
        <is>
          <t>125</t>
        </is>
      </c>
      <c r="C867" s="19" t="inlineStr">
        <is>
          <t>8</t>
        </is>
      </c>
      <c r="D867" t="n">
        <v>20</v>
      </c>
      <c r="E867" s="19" t="inlineStr">
        <is>
          <t>18</t>
        </is>
      </c>
      <c r="F867" t="n">
        <v>3</v>
      </c>
      <c r="G867" t="b">
        <v>0</v>
      </c>
      <c r="H867" t="inlineStr">
        <is>
          <t>UOM=M;WEIGHT_BASIS=PROCESSED_SOURCE_UNIT_WEIGHT;LINE_WEIGHT_KG=0.3664;SOURCE_CFG=IA-ST-CFG-0163;SRC_REF=Row 714, Slot 5;SRC_FILE=Mamul Ambalaj Bileşen Listesi-30.07.2026(3).xlsx</t>
        </is>
      </c>
    </row>
    <row r="868">
      <c r="A868" s="19" t="inlineStr">
        <is>
          <t>867</t>
        </is>
      </c>
      <c r="B868" s="19" t="inlineStr">
        <is>
          <t>125</t>
        </is>
      </c>
      <c r="C868" s="19" t="inlineStr">
        <is>
          <t>9</t>
        </is>
      </c>
      <c r="D868" t="n">
        <v>0.186</v>
      </c>
      <c r="E868" s="19" t="inlineStr">
        <is>
          <t>18</t>
        </is>
      </c>
      <c r="F868" t="n">
        <v>4</v>
      </c>
      <c r="G868" t="b">
        <v>0</v>
      </c>
      <c r="H868" t="inlineStr">
        <is>
          <t>UOM=KG;WEIGHT_BASIS=RECIPE_QUANTITY_IS_KG;LINE_WEIGHT_KG=0.186;SOURCE_CFG=IA-ST-CFG-0163;SRC_REF=Row 714, Slot 6;SRC_FILE=Mamul Ambalaj Bileşen Listesi-30.07.2026(3).xlsx</t>
        </is>
      </c>
    </row>
    <row r="869">
      <c r="A869" s="19" t="inlineStr">
        <is>
          <t>868</t>
        </is>
      </c>
      <c r="B869" s="19" t="inlineStr">
        <is>
          <t>125</t>
        </is>
      </c>
      <c r="C869" s="19" t="inlineStr">
        <is>
          <t>23</t>
        </is>
      </c>
      <c r="D869" t="n">
        <v>2.166</v>
      </c>
      <c r="E869" s="19" t="inlineStr">
        <is>
          <t>18</t>
        </is>
      </c>
      <c r="F869" t="n">
        <v>5</v>
      </c>
      <c r="G869" t="b">
        <v>0</v>
      </c>
      <c r="H869" t="inlineStr">
        <is>
          <t>UOM=KG;WEIGHT_BASIS=RECIPE_QUANTITY_IS_KG;LINE_WEIGHT_KG=2.166;SOURCE_CFG=IA-ST-CFG-0163;SRC_REF=Row 714, Slot 7;SRC_FILE=Mamul Ambalaj Bileşen Listesi-30.07.2026(3).xlsx</t>
        </is>
      </c>
    </row>
    <row r="870">
      <c r="A870" s="19" t="inlineStr">
        <is>
          <t>869</t>
        </is>
      </c>
      <c r="B870" s="19" t="inlineStr">
        <is>
          <t>125</t>
        </is>
      </c>
      <c r="C870" s="19" t="inlineStr">
        <is>
          <t>25</t>
        </is>
      </c>
      <c r="D870" t="n">
        <v>2</v>
      </c>
      <c r="E870" s="19" t="inlineStr">
        <is>
          <t>18</t>
        </is>
      </c>
      <c r="F870" t="n">
        <v>6</v>
      </c>
      <c r="G870" t="b">
        <v>0</v>
      </c>
      <c r="H870" t="inlineStr">
        <is>
          <t>UOM=ADT;WEIGHT_BASIS=PROCESSED_SOURCE_UNIT_WEIGHT;LINE_WEIGHT_KG=0.2;SOURCE_CFG=IA-ST-CFG-0163;SRC_REF=Row 714, Slot 8;SRC_FILE=Mamul Ambalaj Bileşen Listesi-30.07.2026(3).xlsx</t>
        </is>
      </c>
    </row>
    <row r="871">
      <c r="A871" s="19" t="inlineStr">
        <is>
          <t>870</t>
        </is>
      </c>
      <c r="B871" s="19" t="inlineStr">
        <is>
          <t>125</t>
        </is>
      </c>
      <c r="C871" s="19" t="inlineStr">
        <is>
          <t>30</t>
        </is>
      </c>
      <c r="D871" t="n">
        <v>4</v>
      </c>
      <c r="E871" s="19" t="inlineStr">
        <is>
          <t>18</t>
        </is>
      </c>
      <c r="F871" t="n">
        <v>7</v>
      </c>
      <c r="G871" t="b">
        <v>0</v>
      </c>
      <c r="H871" t="inlineStr">
        <is>
          <t>UOM=ADT;WEIGHT_BASIS=PROCESSED_SOURCE_UNIT_WEIGHT;LINE_WEIGHT_KG=0.8;SOURCE_CFG=IA-ST-CFG-0163;SRC_REF=Row 714, Slot 9;SRC_FILE=Mamul Ambalaj Bileşen Listesi-30.07.2026(3).xlsx</t>
        </is>
      </c>
    </row>
    <row r="872">
      <c r="A872" s="19" t="inlineStr">
        <is>
          <t>871</t>
        </is>
      </c>
      <c r="B872" s="19" t="inlineStr">
        <is>
          <t>126</t>
        </is>
      </c>
      <c r="C872" s="19" t="inlineStr">
        <is>
          <t>13</t>
        </is>
      </c>
      <c r="D872" t="n">
        <v>7</v>
      </c>
      <c r="E872" s="19" t="inlineStr">
        <is>
          <t>18</t>
        </is>
      </c>
      <c r="F872" t="n">
        <v>1</v>
      </c>
      <c r="G872" t="b">
        <v>0</v>
      </c>
      <c r="H872" t="inlineStr">
        <is>
          <t>UOM=M;WEIGHT_BASIS=PROCESSED_SOURCE_UNIT_WEIGHT;LINE_WEIGHT_KG=0.0868;SOURCE_CFG=IA-ST-CFG-0164;SRC_REF=Row 301, Slot 1;SRC_FILE=Mamul Ambalaj Bileşen Listesi-30.07.2026(3).xlsx</t>
        </is>
      </c>
    </row>
    <row r="873">
      <c r="A873" s="19" t="inlineStr">
        <is>
          <t>872</t>
        </is>
      </c>
      <c r="B873" s="19" t="inlineStr">
        <is>
          <t>126</t>
        </is>
      </c>
      <c r="C873" s="19" t="inlineStr">
        <is>
          <t>6</t>
        </is>
      </c>
      <c r="D873" t="n">
        <v>1</v>
      </c>
      <c r="E873" s="19" t="inlineStr">
        <is>
          <t>18</t>
        </is>
      </c>
      <c r="F873" t="n">
        <v>2</v>
      </c>
      <c r="G873" t="b">
        <v>0</v>
      </c>
      <c r="H873" t="inlineStr">
        <is>
          <t>UOM=ADT;WEIGHT_BASIS=PROCESSED_SOURCE_UNIT_WEIGHT;LINE_WEIGHT_KG=26.0;SOURCE_CFG=IA-ST-CFG-0164;SRC_REF=Row 301, Slot 3;SRC_FILE=Mamul Ambalaj Bileşen Listesi-30.07.2026(3).xlsx</t>
        </is>
      </c>
    </row>
    <row r="874">
      <c r="A874" s="19" t="inlineStr">
        <is>
          <t>873</t>
        </is>
      </c>
      <c r="B874" s="19" t="inlineStr">
        <is>
          <t>126</t>
        </is>
      </c>
      <c r="C874" s="19" t="inlineStr">
        <is>
          <t>8</t>
        </is>
      </c>
      <c r="D874" t="n">
        <v>20</v>
      </c>
      <c r="E874" s="19" t="inlineStr">
        <is>
          <t>18</t>
        </is>
      </c>
      <c r="F874" t="n">
        <v>3</v>
      </c>
      <c r="G874" t="b">
        <v>0</v>
      </c>
      <c r="H874" t="inlineStr">
        <is>
          <t>UOM=M;WEIGHT_BASIS=PROCESSED_SOURCE_UNIT_WEIGHT;LINE_WEIGHT_KG=0.3664;SOURCE_CFG=IA-ST-CFG-0164;SRC_REF=Row 301, Slot 5;SRC_FILE=Mamul Ambalaj Bileşen Listesi-30.07.2026(3).xlsx</t>
        </is>
      </c>
    </row>
    <row r="875">
      <c r="A875" s="19" t="inlineStr">
        <is>
          <t>874</t>
        </is>
      </c>
      <c r="B875" s="19" t="inlineStr">
        <is>
          <t>126</t>
        </is>
      </c>
      <c r="C875" s="19" t="inlineStr">
        <is>
          <t>9</t>
        </is>
      </c>
      <c r="D875" t="n">
        <v>0.186</v>
      </c>
      <c r="E875" s="19" t="inlineStr">
        <is>
          <t>18</t>
        </is>
      </c>
      <c r="F875" t="n">
        <v>4</v>
      </c>
      <c r="G875" t="b">
        <v>0</v>
      </c>
      <c r="H875" t="inlineStr">
        <is>
          <t>UOM=KG;WEIGHT_BASIS=RECIPE_QUANTITY_IS_KG;LINE_WEIGHT_KG=0.186;SOURCE_CFG=IA-ST-CFG-0164;SRC_REF=Row 301, Slot 6;SRC_FILE=Mamul Ambalaj Bileşen Listesi-30.07.2026(3).xlsx</t>
        </is>
      </c>
    </row>
    <row r="876">
      <c r="A876" s="19" t="inlineStr">
        <is>
          <t>875</t>
        </is>
      </c>
      <c r="B876" s="19" t="inlineStr">
        <is>
          <t>126</t>
        </is>
      </c>
      <c r="C876" s="19" t="inlineStr">
        <is>
          <t>25</t>
        </is>
      </c>
      <c r="D876" t="n">
        <v>2</v>
      </c>
      <c r="E876" s="19" t="inlineStr">
        <is>
          <t>18</t>
        </is>
      </c>
      <c r="F876" t="n">
        <v>5</v>
      </c>
      <c r="G876" t="b">
        <v>0</v>
      </c>
      <c r="H876" t="inlineStr">
        <is>
          <t>UOM=ADT;WEIGHT_BASIS=PROCESSED_SOURCE_UNIT_WEIGHT;LINE_WEIGHT_KG=0.2;SOURCE_CFG=IA-ST-CFG-0164;SRC_REF=Row 301, Slot 8;SRC_FILE=Mamul Ambalaj Bileşen Listesi-30.07.2026(3).xlsx</t>
        </is>
      </c>
    </row>
    <row r="877">
      <c r="A877" s="19" t="inlineStr">
        <is>
          <t>876</t>
        </is>
      </c>
      <c r="B877" s="19" t="inlineStr">
        <is>
          <t>126</t>
        </is>
      </c>
      <c r="C877" s="19" t="inlineStr">
        <is>
          <t>30</t>
        </is>
      </c>
      <c r="D877" t="n">
        <v>4</v>
      </c>
      <c r="E877" s="19" t="inlineStr">
        <is>
          <t>18</t>
        </is>
      </c>
      <c r="F877" t="n">
        <v>6</v>
      </c>
      <c r="G877" t="b">
        <v>0</v>
      </c>
      <c r="H877" t="inlineStr">
        <is>
          <t>UOM=ADT;WEIGHT_BASIS=PROCESSED_SOURCE_UNIT_WEIGHT;LINE_WEIGHT_KG=0.8;SOURCE_CFG=IA-ST-CFG-0164;SRC_REF=Row 301, Slot 9;SRC_FILE=Mamul Ambalaj Bileşen Listesi-30.07.2026(3).xlsx</t>
        </is>
      </c>
    </row>
    <row r="878">
      <c r="A878" s="19" t="inlineStr">
        <is>
          <t>877</t>
        </is>
      </c>
      <c r="B878" s="19" t="inlineStr">
        <is>
          <t>127</t>
        </is>
      </c>
      <c r="C878" s="19" t="inlineStr">
        <is>
          <t>13</t>
        </is>
      </c>
      <c r="D878" t="n">
        <v>14</v>
      </c>
      <c r="E878" s="19" t="inlineStr">
        <is>
          <t>18</t>
        </is>
      </c>
      <c r="F878" t="n">
        <v>1</v>
      </c>
      <c r="G878" t="b">
        <v>0</v>
      </c>
      <c r="H878" t="inlineStr">
        <is>
          <t>UOM=M;WEIGHT_BASIS=PROCESSED_SOURCE_UNIT_WEIGHT;LINE_WEIGHT_KG=0.1736;SOURCE_CFG=IA-ST-CFG-0155;SRC_REF=Row 224, Slot 1;SRC_FILE=Mamul Ambalaj Bileşen Listesi-30.07.2026(3).xlsx</t>
        </is>
      </c>
    </row>
    <row r="879">
      <c r="A879" s="19" t="inlineStr">
        <is>
          <t>878</t>
        </is>
      </c>
      <c r="B879" s="19" t="inlineStr">
        <is>
          <t>127</t>
        </is>
      </c>
      <c r="C879" s="19" t="inlineStr">
        <is>
          <t>44</t>
        </is>
      </c>
      <c r="D879" t="n">
        <v>57</v>
      </c>
      <c r="E879" s="19" t="inlineStr">
        <is>
          <t>18</t>
        </is>
      </c>
      <c r="F879" t="n">
        <v>2</v>
      </c>
      <c r="G879" t="b">
        <v>0</v>
      </c>
      <c r="H879" t="inlineStr">
        <is>
          <t>UOM=ADT;WEIGHT_BASIS=SOURCE_UNIT_WEIGHT;LINE_WEIGHT_KG=3.648;SOURCE_CFG=IA-ST-CFG-0155;SRC_REF=Row 224, Slot 2;SRC_FILE=Mamul Ambalaj Bileşen Listesi-30.07.2026(3).xlsx</t>
        </is>
      </c>
    </row>
    <row r="880">
      <c r="A880" s="19" t="inlineStr">
        <is>
          <t>879</t>
        </is>
      </c>
      <c r="B880" s="19" t="inlineStr">
        <is>
          <t>127</t>
        </is>
      </c>
      <c r="C880" s="19" t="inlineStr">
        <is>
          <t>5</t>
        </is>
      </c>
      <c r="D880" t="n">
        <v>1</v>
      </c>
      <c r="E880" s="19" t="inlineStr">
        <is>
          <t>18</t>
        </is>
      </c>
      <c r="F880" t="n">
        <v>3</v>
      </c>
      <c r="G880" t="b">
        <v>0</v>
      </c>
      <c r="H880" t="inlineStr">
        <is>
          <t>UOM=ADT;WEIGHT_BASIS=PROCESSED_SOURCE_UNIT_WEIGHT;LINE_WEIGHT_KG=26.0;SOURCE_CFG=IA-ST-CFG-0155;SRC_REF=Row 224, Slot 3;SRC_FILE=Mamul Ambalaj Bileşen Listesi-30.07.2026(3).xlsx</t>
        </is>
      </c>
    </row>
    <row r="881">
      <c r="A881" s="19" t="inlineStr">
        <is>
          <t>880</t>
        </is>
      </c>
      <c r="B881" s="19" t="inlineStr">
        <is>
          <t>127</t>
        </is>
      </c>
      <c r="C881" s="19" t="inlineStr">
        <is>
          <t>8</t>
        </is>
      </c>
      <c r="D881" t="n">
        <v>20</v>
      </c>
      <c r="E881" s="19" t="inlineStr">
        <is>
          <t>18</t>
        </is>
      </c>
      <c r="F881" t="n">
        <v>4</v>
      </c>
      <c r="G881" t="b">
        <v>0</v>
      </c>
      <c r="H881" t="inlineStr">
        <is>
          <t>UOM=M;WEIGHT_BASIS=PROCESSED_SOURCE_UNIT_WEIGHT;LINE_WEIGHT_KG=0.3664;SOURCE_CFG=IA-ST-CFG-0155;SRC_REF=Row 224, Slot 5;SRC_FILE=Mamul Ambalaj Bileşen Listesi-30.07.2026(3).xlsx</t>
        </is>
      </c>
    </row>
    <row r="882">
      <c r="A882" s="19" t="inlineStr">
        <is>
          <t>881</t>
        </is>
      </c>
      <c r="B882" s="19" t="inlineStr">
        <is>
          <t>127</t>
        </is>
      </c>
      <c r="C882" s="19" t="inlineStr">
        <is>
          <t>9</t>
        </is>
      </c>
      <c r="D882" t="n">
        <v>0.186</v>
      </c>
      <c r="E882" s="19" t="inlineStr">
        <is>
          <t>18</t>
        </is>
      </c>
      <c r="F882" t="n">
        <v>5</v>
      </c>
      <c r="G882" t="b">
        <v>0</v>
      </c>
      <c r="H882" t="inlineStr">
        <is>
          <t>UOM=KG;WEIGHT_BASIS=RECIPE_QUANTITY_IS_KG;LINE_WEIGHT_KG=0.186;SOURCE_CFG=IA-ST-CFG-0155;SRC_REF=Row 224, Slot 6;SRC_FILE=Mamul Ambalaj Bileşen Listesi-30.07.2026(3).xlsx</t>
        </is>
      </c>
    </row>
    <row r="883">
      <c r="A883" s="19" t="inlineStr">
        <is>
          <t>882</t>
        </is>
      </c>
      <c r="B883" s="19" t="inlineStr">
        <is>
          <t>127</t>
        </is>
      </c>
      <c r="C883" s="19" t="inlineStr">
        <is>
          <t>3</t>
        </is>
      </c>
      <c r="D883" t="n">
        <v>6</v>
      </c>
      <c r="E883" s="19" t="inlineStr">
        <is>
          <t>18</t>
        </is>
      </c>
      <c r="F883" t="n">
        <v>6</v>
      </c>
      <c r="G883" t="b">
        <v>0</v>
      </c>
      <c r="H883" t="inlineStr">
        <is>
          <t>UOM=ADT;WEIGHT_BASIS=PROCESSED_SOURCE_UNIT_WEIGHT;LINE_WEIGHT_KG=1.26;SOURCE_CFG=IA-ST-CFG-0155;SRC_REF=Row 224, Slot 8;SRC_FILE=Mamul Ambalaj Bileşen Listesi-30.07.2026(3).xlsx</t>
        </is>
      </c>
    </row>
    <row r="884">
      <c r="A884" s="19" t="inlineStr">
        <is>
          <t>883</t>
        </is>
      </c>
      <c r="B884" s="19" t="inlineStr">
        <is>
          <t>127</t>
        </is>
      </c>
      <c r="C884" s="19" t="inlineStr">
        <is>
          <t>7</t>
        </is>
      </c>
      <c r="D884" t="n">
        <v>4</v>
      </c>
      <c r="E884" s="19" t="inlineStr">
        <is>
          <t>18</t>
        </is>
      </c>
      <c r="F884" t="n">
        <v>7</v>
      </c>
      <c r="G884" t="b">
        <v>0</v>
      </c>
      <c r="H884" t="inlineStr">
        <is>
          <t>UOM=ADT;WEIGHT_BASIS=PROCESSED_SOURCE_UNIT_WEIGHT;LINE_WEIGHT_KG=1.08;SOURCE_CFG=IA-ST-CFG-0155;SRC_REF=Row 224, Slot 9;SRC_FILE=Mamul Ambalaj Bileşen Listesi-30.07.2026(3).xlsx</t>
        </is>
      </c>
    </row>
    <row r="885">
      <c r="A885" s="19" t="inlineStr">
        <is>
          <t>884</t>
        </is>
      </c>
      <c r="B885" s="19" t="inlineStr">
        <is>
          <t>127</t>
        </is>
      </c>
      <c r="C885" s="19" t="inlineStr">
        <is>
          <t>67</t>
        </is>
      </c>
      <c r="D885" t="n">
        <v>57</v>
      </c>
      <c r="E885" s="19" t="inlineStr">
        <is>
          <t>18</t>
        </is>
      </c>
      <c r="F885" t="n">
        <v>8</v>
      </c>
      <c r="G885" t="b">
        <v>0</v>
      </c>
      <c r="H885" t="inlineStr">
        <is>
          <t>UOM=ADT;WEIGHT_BASIS=PROCESSED_SOURCE_UNIT_WEIGHT;LINE_WEIGHT_KG=18.240000000000002;SOURCE_CFG=IA-ST-CFG-0155;SRC_REF=Row 224, Slot 10;SRC_FILE=Mamul Ambalaj Bileşen Listesi-30.07.2026(3).xlsx</t>
        </is>
      </c>
    </row>
    <row r="886">
      <c r="A886" s="19" t="inlineStr">
        <is>
          <t>885</t>
        </is>
      </c>
      <c r="B886" s="19" t="inlineStr">
        <is>
          <t>128</t>
        </is>
      </c>
      <c r="C886" s="19" t="inlineStr">
        <is>
          <t>13</t>
        </is>
      </c>
      <c r="D886" t="n">
        <v>14</v>
      </c>
      <c r="E886" s="19" t="inlineStr">
        <is>
          <t>18</t>
        </is>
      </c>
      <c r="F886" t="n">
        <v>1</v>
      </c>
      <c r="G886" t="b">
        <v>0</v>
      </c>
      <c r="H886" t="inlineStr">
        <is>
          <t>UOM=M;WEIGHT_BASIS=PROCESSED_SOURCE_UNIT_WEIGHT;LINE_WEIGHT_KG=0.1736;SOURCE_CFG=IA-ST-CFG-0156;SRC_REF=Row 550, Slot 1;SRC_FILE=Mamul Ambalaj Bileşen Listesi-30.07.2026(3).xlsx</t>
        </is>
      </c>
    </row>
    <row r="887">
      <c r="A887" s="19" t="inlineStr">
        <is>
          <t>886</t>
        </is>
      </c>
      <c r="B887" s="19" t="inlineStr">
        <is>
          <t>128</t>
        </is>
      </c>
      <c r="C887" s="19" t="inlineStr">
        <is>
          <t>44</t>
        </is>
      </c>
      <c r="D887" t="n">
        <v>57</v>
      </c>
      <c r="E887" s="19" t="inlineStr">
        <is>
          <t>18</t>
        </is>
      </c>
      <c r="F887" t="n">
        <v>2</v>
      </c>
      <c r="G887" t="b">
        <v>0</v>
      </c>
      <c r="H887" t="inlineStr">
        <is>
          <t>UOM=ADT;WEIGHT_BASIS=SOURCE_UNIT_WEIGHT;LINE_WEIGHT_KG=3.648;SOURCE_CFG=IA-ST-CFG-0156;SRC_REF=Row 550, Slot 2;SRC_FILE=Mamul Ambalaj Bileşen Listesi-30.07.2026(3).xlsx</t>
        </is>
      </c>
    </row>
    <row r="888">
      <c r="A888" s="19" t="inlineStr">
        <is>
          <t>887</t>
        </is>
      </c>
      <c r="B888" s="19" t="inlineStr">
        <is>
          <t>128</t>
        </is>
      </c>
      <c r="C888" s="19" t="inlineStr">
        <is>
          <t>5</t>
        </is>
      </c>
      <c r="D888" t="n">
        <v>1</v>
      </c>
      <c r="E888" s="19" t="inlineStr">
        <is>
          <t>18</t>
        </is>
      </c>
      <c r="F888" t="n">
        <v>3</v>
      </c>
      <c r="G888" t="b">
        <v>0</v>
      </c>
      <c r="H888" t="inlineStr">
        <is>
          <t>UOM=ADT;WEIGHT_BASIS=PROCESSED_SOURCE_UNIT_WEIGHT;LINE_WEIGHT_KG=26.0;SOURCE_CFG=IA-ST-CFG-0156;SRC_REF=Row 550, Slot 3;SRC_FILE=Mamul Ambalaj Bileşen Listesi-30.07.2026(3).xlsx</t>
        </is>
      </c>
    </row>
    <row r="889">
      <c r="A889" s="19" t="inlineStr">
        <is>
          <t>888</t>
        </is>
      </c>
      <c r="B889" s="19" t="inlineStr">
        <is>
          <t>128</t>
        </is>
      </c>
      <c r="C889" s="19" t="inlineStr">
        <is>
          <t>8</t>
        </is>
      </c>
      <c r="D889" t="n">
        <v>20</v>
      </c>
      <c r="E889" s="19" t="inlineStr">
        <is>
          <t>18</t>
        </is>
      </c>
      <c r="F889" t="n">
        <v>4</v>
      </c>
      <c r="G889" t="b">
        <v>0</v>
      </c>
      <c r="H889" t="inlineStr">
        <is>
          <t>UOM=M;WEIGHT_BASIS=PROCESSED_SOURCE_UNIT_WEIGHT;LINE_WEIGHT_KG=0.3664;SOURCE_CFG=IA-ST-CFG-0156;SRC_REF=Row 550, Slot 5;SRC_FILE=Mamul Ambalaj Bileşen Listesi-30.07.2026(3).xlsx</t>
        </is>
      </c>
    </row>
    <row r="890">
      <c r="A890" s="19" t="inlineStr">
        <is>
          <t>889</t>
        </is>
      </c>
      <c r="B890" s="19" t="inlineStr">
        <is>
          <t>128</t>
        </is>
      </c>
      <c r="C890" s="19" t="inlineStr">
        <is>
          <t>9</t>
        </is>
      </c>
      <c r="D890" t="n">
        <v>0.186</v>
      </c>
      <c r="E890" s="19" t="inlineStr">
        <is>
          <t>18</t>
        </is>
      </c>
      <c r="F890" t="n">
        <v>5</v>
      </c>
      <c r="G890" t="b">
        <v>0</v>
      </c>
      <c r="H890" t="inlineStr">
        <is>
          <t>UOM=KG;WEIGHT_BASIS=RECIPE_QUANTITY_IS_KG;LINE_WEIGHT_KG=0.186;SOURCE_CFG=IA-ST-CFG-0156;SRC_REF=Row 550, Slot 6;SRC_FILE=Mamul Ambalaj Bileşen Listesi-30.07.2026(3).xlsx</t>
        </is>
      </c>
    </row>
    <row r="891">
      <c r="A891" s="19" t="inlineStr">
        <is>
          <t>890</t>
        </is>
      </c>
      <c r="B891" s="19" t="inlineStr">
        <is>
          <t>128</t>
        </is>
      </c>
      <c r="C891" s="19" t="inlineStr">
        <is>
          <t>3</t>
        </is>
      </c>
      <c r="D891" t="n">
        <v>6</v>
      </c>
      <c r="E891" s="19" t="inlineStr">
        <is>
          <t>18</t>
        </is>
      </c>
      <c r="F891" t="n">
        <v>6</v>
      </c>
      <c r="G891" t="b">
        <v>0</v>
      </c>
      <c r="H891" t="inlineStr">
        <is>
          <t>UOM=ADT;WEIGHT_BASIS=PROCESSED_SOURCE_UNIT_WEIGHT;LINE_WEIGHT_KG=1.26;SOURCE_CFG=IA-ST-CFG-0156;SRC_REF=Row 550, Slot 8;SRC_FILE=Mamul Ambalaj Bileşen Listesi-30.07.2026(3).xlsx</t>
        </is>
      </c>
    </row>
    <row r="892">
      <c r="A892" s="19" t="inlineStr">
        <is>
          <t>891</t>
        </is>
      </c>
      <c r="B892" s="19" t="inlineStr">
        <is>
          <t>128</t>
        </is>
      </c>
      <c r="C892" s="19" t="inlineStr">
        <is>
          <t>7</t>
        </is>
      </c>
      <c r="D892" t="n">
        <v>4</v>
      </c>
      <c r="E892" s="19" t="inlineStr">
        <is>
          <t>18</t>
        </is>
      </c>
      <c r="F892" t="n">
        <v>7</v>
      </c>
      <c r="G892" t="b">
        <v>0</v>
      </c>
      <c r="H892" t="inlineStr">
        <is>
          <t>UOM=ADT;WEIGHT_BASIS=PROCESSED_SOURCE_UNIT_WEIGHT;LINE_WEIGHT_KG=1.08;SOURCE_CFG=IA-ST-CFG-0156;SRC_REF=Row 550, Slot 9;SRC_FILE=Mamul Ambalaj Bileşen Listesi-30.07.2026(3).xlsx</t>
        </is>
      </c>
    </row>
    <row r="893">
      <c r="A893" s="19" t="inlineStr">
        <is>
          <t>892</t>
        </is>
      </c>
      <c r="B893" s="19" t="inlineStr">
        <is>
          <t>128</t>
        </is>
      </c>
      <c r="C893" s="19" t="inlineStr">
        <is>
          <t>73</t>
        </is>
      </c>
      <c r="D893" t="n">
        <v>57</v>
      </c>
      <c r="E893" s="19" t="inlineStr">
        <is>
          <t>18</t>
        </is>
      </c>
      <c r="F893" t="n">
        <v>8</v>
      </c>
      <c r="G893" t="b">
        <v>0</v>
      </c>
      <c r="H893" t="inlineStr">
        <is>
          <t>UOM=ADT;WEIGHT_BASIS=PROCESSED_SOURCE_UNIT_WEIGHT;LINE_WEIGHT_KG=18.240000000000002;SOURCE_CFG=IA-ST-CFG-0156;SRC_REF=Row 550, Slot 10;SRC_FILE=Mamul Ambalaj Bileşen Listesi-30.07.2026(3).xlsx</t>
        </is>
      </c>
    </row>
    <row r="894">
      <c r="A894" s="19" t="inlineStr">
        <is>
          <t>893</t>
        </is>
      </c>
      <c r="B894" s="19" t="inlineStr">
        <is>
          <t>129</t>
        </is>
      </c>
      <c r="C894" s="19" t="inlineStr">
        <is>
          <t>13</t>
        </is>
      </c>
      <c r="D894" t="n">
        <v>14</v>
      </c>
      <c r="E894" s="19" t="inlineStr">
        <is>
          <t>18</t>
        </is>
      </c>
      <c r="F894" t="n">
        <v>1</v>
      </c>
      <c r="G894" t="b">
        <v>0</v>
      </c>
      <c r="H894" t="inlineStr">
        <is>
          <t>UOM=M;WEIGHT_BASIS=PROCESSED_SOURCE_UNIT_WEIGHT;LINE_WEIGHT_KG=0.1736;SOURCE_CFG=IA-ST-CFG-0157;SRC_REF=Row 977, Slot 1;SRC_FILE=Mamul Ambalaj Bileşen Listesi-30.07.2026(3).xlsx</t>
        </is>
      </c>
    </row>
    <row r="895">
      <c r="A895" s="19" t="inlineStr">
        <is>
          <t>894</t>
        </is>
      </c>
      <c r="B895" s="19" t="inlineStr">
        <is>
          <t>129</t>
        </is>
      </c>
      <c r="C895" s="19" t="inlineStr">
        <is>
          <t>44</t>
        </is>
      </c>
      <c r="D895" t="n">
        <v>57</v>
      </c>
      <c r="E895" s="19" t="inlineStr">
        <is>
          <t>18</t>
        </is>
      </c>
      <c r="F895" t="n">
        <v>2</v>
      </c>
      <c r="G895" t="b">
        <v>0</v>
      </c>
      <c r="H895" t="inlineStr">
        <is>
          <t>UOM=ADT;WEIGHT_BASIS=SOURCE_UNIT_WEIGHT;LINE_WEIGHT_KG=3.648;SOURCE_CFG=IA-ST-CFG-0157;SRC_REF=Row 977, Slot 2;SRC_FILE=Mamul Ambalaj Bileşen Listesi-30.07.2026(3).xlsx</t>
        </is>
      </c>
    </row>
    <row r="896">
      <c r="A896" s="19" t="inlineStr">
        <is>
          <t>895</t>
        </is>
      </c>
      <c r="B896" s="19" t="inlineStr">
        <is>
          <t>129</t>
        </is>
      </c>
      <c r="C896" s="19" t="inlineStr">
        <is>
          <t>5</t>
        </is>
      </c>
      <c r="D896" t="n">
        <v>1</v>
      </c>
      <c r="E896" s="19" t="inlineStr">
        <is>
          <t>18</t>
        </is>
      </c>
      <c r="F896" t="n">
        <v>3</v>
      </c>
      <c r="G896" t="b">
        <v>0</v>
      </c>
      <c r="H896" t="inlineStr">
        <is>
          <t>UOM=ADT;WEIGHT_BASIS=PROCESSED_SOURCE_UNIT_WEIGHT;LINE_WEIGHT_KG=26.0;SOURCE_CFG=IA-ST-CFG-0157;SRC_REF=Row 977, Slot 3;SRC_FILE=Mamul Ambalaj Bileşen Listesi-30.07.2026(3).xlsx</t>
        </is>
      </c>
    </row>
    <row r="897">
      <c r="A897" s="19" t="inlineStr">
        <is>
          <t>896</t>
        </is>
      </c>
      <c r="B897" s="19" t="inlineStr">
        <is>
          <t>129</t>
        </is>
      </c>
      <c r="C897" s="19" t="inlineStr">
        <is>
          <t>8</t>
        </is>
      </c>
      <c r="D897" t="n">
        <v>20</v>
      </c>
      <c r="E897" s="19" t="inlineStr">
        <is>
          <t>18</t>
        </is>
      </c>
      <c r="F897" t="n">
        <v>4</v>
      </c>
      <c r="G897" t="b">
        <v>0</v>
      </c>
      <c r="H897" t="inlineStr">
        <is>
          <t>UOM=M;WEIGHT_BASIS=PROCESSED_SOURCE_UNIT_WEIGHT;LINE_WEIGHT_KG=0.3664;SOURCE_CFG=IA-ST-CFG-0157;SRC_REF=Row 977, Slot 5;SRC_FILE=Mamul Ambalaj Bileşen Listesi-30.07.2026(3).xlsx</t>
        </is>
      </c>
    </row>
    <row r="898">
      <c r="A898" s="19" t="inlineStr">
        <is>
          <t>897</t>
        </is>
      </c>
      <c r="B898" s="19" t="inlineStr">
        <is>
          <t>129</t>
        </is>
      </c>
      <c r="C898" s="19" t="inlineStr">
        <is>
          <t>9</t>
        </is>
      </c>
      <c r="D898" t="n">
        <v>0.186</v>
      </c>
      <c r="E898" s="19" t="inlineStr">
        <is>
          <t>18</t>
        </is>
      </c>
      <c r="F898" t="n">
        <v>5</v>
      </c>
      <c r="G898" t="b">
        <v>0</v>
      </c>
      <c r="H898" t="inlineStr">
        <is>
          <t>UOM=KG;WEIGHT_BASIS=RECIPE_QUANTITY_IS_KG;LINE_WEIGHT_KG=0.186;SOURCE_CFG=IA-ST-CFG-0157;SRC_REF=Row 977, Slot 6;SRC_FILE=Mamul Ambalaj Bileşen Listesi-30.07.2026(3).xlsx</t>
        </is>
      </c>
    </row>
    <row r="899">
      <c r="A899" s="19" t="inlineStr">
        <is>
          <t>898</t>
        </is>
      </c>
      <c r="B899" s="19" t="inlineStr">
        <is>
          <t>129</t>
        </is>
      </c>
      <c r="C899" s="19" t="inlineStr">
        <is>
          <t>3</t>
        </is>
      </c>
      <c r="D899" t="n">
        <v>6</v>
      </c>
      <c r="E899" s="19" t="inlineStr">
        <is>
          <t>18</t>
        </is>
      </c>
      <c r="F899" t="n">
        <v>6</v>
      </c>
      <c r="G899" t="b">
        <v>0</v>
      </c>
      <c r="H899" t="inlineStr">
        <is>
          <t>UOM=ADT;WEIGHT_BASIS=PROCESSED_SOURCE_UNIT_WEIGHT;LINE_WEIGHT_KG=1.26;SOURCE_CFG=IA-ST-CFG-0157;SRC_REF=Row 977, Slot 8;SRC_FILE=Mamul Ambalaj Bileşen Listesi-30.07.2026(3).xlsx</t>
        </is>
      </c>
    </row>
    <row r="900">
      <c r="A900" s="19" t="inlineStr">
        <is>
          <t>899</t>
        </is>
      </c>
      <c r="B900" s="19" t="inlineStr">
        <is>
          <t>129</t>
        </is>
      </c>
      <c r="C900" s="19" t="inlineStr">
        <is>
          <t>7</t>
        </is>
      </c>
      <c r="D900" t="n">
        <v>4</v>
      </c>
      <c r="E900" s="19" t="inlineStr">
        <is>
          <t>18</t>
        </is>
      </c>
      <c r="F900" t="n">
        <v>7</v>
      </c>
      <c r="G900" t="b">
        <v>0</v>
      </c>
      <c r="H900" t="inlineStr">
        <is>
          <t>UOM=ADT;WEIGHT_BASIS=PROCESSED_SOURCE_UNIT_WEIGHT;LINE_WEIGHT_KG=1.08;SOURCE_CFG=IA-ST-CFG-0157;SRC_REF=Row 977, Slot 9;SRC_FILE=Mamul Ambalaj Bileşen Listesi-30.07.2026(3).xlsx</t>
        </is>
      </c>
    </row>
    <row r="901">
      <c r="A901" s="19" t="inlineStr">
        <is>
          <t>900</t>
        </is>
      </c>
      <c r="B901" s="19" t="inlineStr">
        <is>
          <t>129</t>
        </is>
      </c>
      <c r="C901" s="19" t="inlineStr">
        <is>
          <t>74</t>
        </is>
      </c>
      <c r="D901" t="n">
        <v>57</v>
      </c>
      <c r="E901" s="19" t="inlineStr">
        <is>
          <t>18</t>
        </is>
      </c>
      <c r="F901" t="n">
        <v>8</v>
      </c>
      <c r="G901" t="b">
        <v>0</v>
      </c>
      <c r="H901" t="inlineStr">
        <is>
          <t>UOM=ADT;WEIGHT_BASIS=PROCESSED_SOURCE_UNIT_WEIGHT;LINE_WEIGHT_KG=18.240000000000002;SOURCE_CFG=IA-ST-CFG-0157;SRC_REF=Row 977, Slot 10;SRC_FILE=Mamul Ambalaj Bileşen Listesi-30.07.2026(3).xlsx</t>
        </is>
      </c>
    </row>
    <row r="902">
      <c r="A902" s="19" t="inlineStr">
        <is>
          <t>901</t>
        </is>
      </c>
      <c r="B902" s="19" t="inlineStr">
        <is>
          <t>130</t>
        </is>
      </c>
      <c r="C902" s="19" t="inlineStr">
        <is>
          <t>13</t>
        </is>
      </c>
      <c r="D902" t="n">
        <v>14</v>
      </c>
      <c r="E902" s="19" t="inlineStr">
        <is>
          <t>18</t>
        </is>
      </c>
      <c r="F902" t="n">
        <v>1</v>
      </c>
      <c r="G902" t="b">
        <v>0</v>
      </c>
      <c r="H902" t="inlineStr">
        <is>
          <t>UOM=M;WEIGHT_BASIS=PROCESSED_SOURCE_UNIT_WEIGHT;LINE_WEIGHT_KG=0.1736;SOURCE_CFG=IA-ST-CFG-0170;SRC_REF=Row 1695, Slot 1;SRC_FILE=Mamul Ambalaj Bileşen Listesi-30.07.2026(3).xlsx</t>
        </is>
      </c>
    </row>
    <row r="903">
      <c r="A903" s="19" t="inlineStr">
        <is>
          <t>902</t>
        </is>
      </c>
      <c r="B903" s="19" t="inlineStr">
        <is>
          <t>130</t>
        </is>
      </c>
      <c r="C903" s="19" t="inlineStr">
        <is>
          <t>53</t>
        </is>
      </c>
      <c r="D903" t="n">
        <v>60</v>
      </c>
      <c r="E903" s="19" t="inlineStr">
        <is>
          <t>18</t>
        </is>
      </c>
      <c r="F903" t="n">
        <v>2</v>
      </c>
      <c r="G903" t="b">
        <v>0</v>
      </c>
      <c r="H903" t="inlineStr">
        <is>
          <t>UOM=ADT;WEIGHT_BASIS=SOURCE_UNIT_WEIGHT;LINE_WEIGHT_KG=3.0642;SOURCE_CFG=IA-ST-CFG-0170;SRC_REF=Row 1695, Slot 2;SRC_FILE=Mamul Ambalaj Bileşen Listesi-30.07.2026(3).xlsx</t>
        </is>
      </c>
    </row>
    <row r="904">
      <c r="A904" s="19" t="inlineStr">
        <is>
          <t>903</t>
        </is>
      </c>
      <c r="B904" s="19" t="inlineStr">
        <is>
          <t>130</t>
        </is>
      </c>
      <c r="C904" s="19" t="inlineStr">
        <is>
          <t>6</t>
        </is>
      </c>
      <c r="D904" t="n">
        <v>1</v>
      </c>
      <c r="E904" s="19" t="inlineStr">
        <is>
          <t>18</t>
        </is>
      </c>
      <c r="F904" t="n">
        <v>3</v>
      </c>
      <c r="G904" t="b">
        <v>0</v>
      </c>
      <c r="H904" t="inlineStr">
        <is>
          <t>UOM=ADT;WEIGHT_BASIS=PROCESSED_SOURCE_UNIT_WEIGHT;LINE_WEIGHT_KG=26.0;SOURCE_CFG=IA-ST-CFG-0170;SRC_REF=Row 1695, Slot 3;SRC_FILE=Mamul Ambalaj Bileşen Listesi-30.07.2026(3).xlsx</t>
        </is>
      </c>
    </row>
    <row r="905">
      <c r="A905" s="19" t="inlineStr">
        <is>
          <t>904</t>
        </is>
      </c>
      <c r="B905" s="19" t="inlineStr">
        <is>
          <t>130</t>
        </is>
      </c>
      <c r="C905" s="19" t="inlineStr">
        <is>
          <t>8</t>
        </is>
      </c>
      <c r="D905" t="n">
        <v>20</v>
      </c>
      <c r="E905" s="19" t="inlineStr">
        <is>
          <t>18</t>
        </is>
      </c>
      <c r="F905" t="n">
        <v>4</v>
      </c>
      <c r="G905" t="b">
        <v>0</v>
      </c>
      <c r="H905" t="inlineStr">
        <is>
          <t>UOM=M;WEIGHT_BASIS=PROCESSED_SOURCE_UNIT_WEIGHT;LINE_WEIGHT_KG=0.3664;SOURCE_CFG=IA-ST-CFG-0170;SRC_REF=Row 1695, Slot 5;SRC_FILE=Mamul Ambalaj Bileşen Listesi-30.07.2026(3).xlsx</t>
        </is>
      </c>
    </row>
    <row r="906">
      <c r="A906" s="19" t="inlineStr">
        <is>
          <t>905</t>
        </is>
      </c>
      <c r="B906" s="19" t="inlineStr">
        <is>
          <t>130</t>
        </is>
      </c>
      <c r="C906" s="19" t="inlineStr">
        <is>
          <t>9</t>
        </is>
      </c>
      <c r="D906" t="n">
        <v>0.186</v>
      </c>
      <c r="E906" s="19" t="inlineStr">
        <is>
          <t>18</t>
        </is>
      </c>
      <c r="F906" t="n">
        <v>5</v>
      </c>
      <c r="G906" t="b">
        <v>0</v>
      </c>
      <c r="H906" t="inlineStr">
        <is>
          <t>UOM=KG;WEIGHT_BASIS=RECIPE_QUANTITY_IS_KG;LINE_WEIGHT_KG=0.186;SOURCE_CFG=IA-ST-CFG-0170;SRC_REF=Row 1695, Slot 6;SRC_FILE=Mamul Ambalaj Bileşen Listesi-30.07.2026(3).xlsx</t>
        </is>
      </c>
    </row>
    <row r="907">
      <c r="A907" s="19" t="inlineStr">
        <is>
          <t>906</t>
        </is>
      </c>
      <c r="B907" s="19" t="inlineStr">
        <is>
          <t>130</t>
        </is>
      </c>
      <c r="C907" s="19" t="inlineStr">
        <is>
          <t>3</t>
        </is>
      </c>
      <c r="D907" t="n">
        <v>8</v>
      </c>
      <c r="E907" s="19" t="inlineStr">
        <is>
          <t>18</t>
        </is>
      </c>
      <c r="F907" t="n">
        <v>6</v>
      </c>
      <c r="G907" t="b">
        <v>0</v>
      </c>
      <c r="H907" t="inlineStr">
        <is>
          <t>UOM=ADT;WEIGHT_BASIS=PROCESSED_SOURCE_UNIT_WEIGHT;LINE_WEIGHT_KG=1.68;SOURCE_CFG=IA-ST-CFG-0170;SRC_REF=Row 1695, Slot 8;SRC_FILE=Mamul Ambalaj Bileşen Listesi-30.07.2026(3).xlsx</t>
        </is>
      </c>
    </row>
    <row r="908">
      <c r="A908" s="19" t="inlineStr">
        <is>
          <t>907</t>
        </is>
      </c>
      <c r="B908" s="19" t="inlineStr">
        <is>
          <t>130</t>
        </is>
      </c>
      <c r="C908" s="19" t="inlineStr">
        <is>
          <t>30</t>
        </is>
      </c>
      <c r="D908" t="n">
        <v>4</v>
      </c>
      <c r="E908" s="19" t="inlineStr">
        <is>
          <t>18</t>
        </is>
      </c>
      <c r="F908" t="n">
        <v>7</v>
      </c>
      <c r="G908" t="b">
        <v>0</v>
      </c>
      <c r="H908" t="inlineStr">
        <is>
          <t>UOM=ADT;WEIGHT_BASIS=PROCESSED_SOURCE_UNIT_WEIGHT;LINE_WEIGHT_KG=0.8;SOURCE_CFG=IA-ST-CFG-0170;SRC_REF=Row 1695, Slot 9;SRC_FILE=Mamul Ambalaj Bileşen Listesi-30.07.2026(3).xlsx</t>
        </is>
      </c>
    </row>
    <row r="909">
      <c r="A909" s="19" t="inlineStr">
        <is>
          <t>908</t>
        </is>
      </c>
      <c r="B909" s="19" t="inlineStr">
        <is>
          <t>130</t>
        </is>
      </c>
      <c r="C909" s="19" t="inlineStr">
        <is>
          <t>49</t>
        </is>
      </c>
      <c r="D909" t="n">
        <v>60</v>
      </c>
      <c r="E909" s="19" t="inlineStr">
        <is>
          <t>18</t>
        </is>
      </c>
      <c r="F909" t="n">
        <v>8</v>
      </c>
      <c r="G909" t="b">
        <v>0</v>
      </c>
      <c r="H909" t="inlineStr">
        <is>
          <t>UOM=ADT;WEIGHT_BASIS=PROCESSED_SOURCE_UNIT_WEIGHT;LINE_WEIGHT_KG=14.399999999999999;SOURCE_CFG=IA-ST-CFG-0170;SRC_REF=Row 1695, Slot 10;SRC_FILE=Mamul Ambalaj Bileşen Listesi-30.07.2026(3).xlsx</t>
        </is>
      </c>
    </row>
    <row r="910">
      <c r="A910" s="19" t="inlineStr">
        <is>
          <t>909</t>
        </is>
      </c>
      <c r="B910" s="19" t="inlineStr">
        <is>
          <t>131</t>
        </is>
      </c>
      <c r="C910" s="19" t="inlineStr">
        <is>
          <t>13</t>
        </is>
      </c>
      <c r="D910" t="n">
        <v>7</v>
      </c>
      <c r="E910" s="19" t="inlineStr">
        <is>
          <t>18</t>
        </is>
      </c>
      <c r="F910" t="n">
        <v>1</v>
      </c>
      <c r="G910" t="b">
        <v>0</v>
      </c>
      <c r="H910" t="inlineStr">
        <is>
          <t>UOM=M;WEIGHT_BASIS=PROCESSED_SOURCE_UNIT_WEIGHT;LINE_WEIGHT_KG=0.0868;SOURCE_CFG=IA-ST-CFG-0171;SRC_REF=Row 126, Slot 1;SRC_FILE=Mamul Ambalaj Bileşen Listesi-30.07.2026(3).xlsx</t>
        </is>
      </c>
    </row>
    <row r="911">
      <c r="A911" s="19" t="inlineStr">
        <is>
          <t>910</t>
        </is>
      </c>
      <c r="B911" s="19" t="inlineStr">
        <is>
          <t>131</t>
        </is>
      </c>
      <c r="C911" s="19" t="inlineStr">
        <is>
          <t>14</t>
        </is>
      </c>
      <c r="D911" t="n">
        <v>60</v>
      </c>
      <c r="E911" s="19" t="inlineStr">
        <is>
          <t>18</t>
        </is>
      </c>
      <c r="F911" t="n">
        <v>2</v>
      </c>
      <c r="G911" t="b">
        <v>0</v>
      </c>
      <c r="H911" t="inlineStr">
        <is>
          <t>UOM=ADT;WEIGHT_BASIS=SOURCE_UNIT_WEIGHT;LINE_WEIGHT_KG=3.0642;SOURCE_CFG=IA-ST-CFG-0171;SRC_REF=Row 126, Slot 2;SRC_FILE=Mamul Ambalaj Bileşen Listesi-30.07.2026(3).xlsx</t>
        </is>
      </c>
    </row>
    <row r="912">
      <c r="A912" s="19" t="inlineStr">
        <is>
          <t>911</t>
        </is>
      </c>
      <c r="B912" s="19" t="inlineStr">
        <is>
          <t>131</t>
        </is>
      </c>
      <c r="C912" s="19" t="inlineStr">
        <is>
          <t>6</t>
        </is>
      </c>
      <c r="D912" t="n">
        <v>1</v>
      </c>
      <c r="E912" s="19" t="inlineStr">
        <is>
          <t>18</t>
        </is>
      </c>
      <c r="F912" t="n">
        <v>3</v>
      </c>
      <c r="G912" t="b">
        <v>0</v>
      </c>
      <c r="H912" t="inlineStr">
        <is>
          <t>UOM=ADT;WEIGHT_BASIS=PROCESSED_SOURCE_UNIT_WEIGHT;LINE_WEIGHT_KG=26.0;SOURCE_CFG=IA-ST-CFG-0171;SRC_REF=Row 126, Slot 3;SRC_FILE=Mamul Ambalaj Bileşen Listesi-30.07.2026(3).xlsx</t>
        </is>
      </c>
    </row>
    <row r="913">
      <c r="A913" s="19" t="inlineStr">
        <is>
          <t>912</t>
        </is>
      </c>
      <c r="B913" s="19" t="inlineStr">
        <is>
          <t>131</t>
        </is>
      </c>
      <c r="C913" s="19" t="inlineStr">
        <is>
          <t>8</t>
        </is>
      </c>
      <c r="D913" t="n">
        <v>20</v>
      </c>
      <c r="E913" s="19" t="inlineStr">
        <is>
          <t>18</t>
        </is>
      </c>
      <c r="F913" t="n">
        <v>4</v>
      </c>
      <c r="G913" t="b">
        <v>0</v>
      </c>
      <c r="H913" t="inlineStr">
        <is>
          <t>UOM=M;WEIGHT_BASIS=PROCESSED_SOURCE_UNIT_WEIGHT;LINE_WEIGHT_KG=0.3664;SOURCE_CFG=IA-ST-CFG-0171;SRC_REF=Row 126, Slot 5;SRC_FILE=Mamul Ambalaj Bileşen Listesi-30.07.2026(3).xlsx</t>
        </is>
      </c>
    </row>
    <row r="914">
      <c r="A914" s="19" t="inlineStr">
        <is>
          <t>913</t>
        </is>
      </c>
      <c r="B914" s="19" t="inlineStr">
        <is>
          <t>131</t>
        </is>
      </c>
      <c r="C914" s="19" t="inlineStr">
        <is>
          <t>9</t>
        </is>
      </c>
      <c r="D914" t="n">
        <v>0.186</v>
      </c>
      <c r="E914" s="19" t="inlineStr">
        <is>
          <t>18</t>
        </is>
      </c>
      <c r="F914" t="n">
        <v>5</v>
      </c>
      <c r="G914" t="b">
        <v>0</v>
      </c>
      <c r="H914" t="inlineStr">
        <is>
          <t>UOM=KG;WEIGHT_BASIS=RECIPE_QUANTITY_IS_KG;LINE_WEIGHT_KG=0.186;SOURCE_CFG=IA-ST-CFG-0171;SRC_REF=Row 126, Slot 6;SRC_FILE=Mamul Ambalaj Bileşen Listesi-30.07.2026(3).xlsx</t>
        </is>
      </c>
    </row>
    <row r="915">
      <c r="A915" s="19" t="inlineStr">
        <is>
          <t>914</t>
        </is>
      </c>
      <c r="B915" s="19" t="inlineStr">
        <is>
          <t>131</t>
        </is>
      </c>
      <c r="C915" s="19" t="inlineStr">
        <is>
          <t>23</t>
        </is>
      </c>
      <c r="D915" t="n">
        <v>2.28</v>
      </c>
      <c r="E915" s="19" t="inlineStr">
        <is>
          <t>18</t>
        </is>
      </c>
      <c r="F915" t="n">
        <v>6</v>
      </c>
      <c r="G915" t="b">
        <v>0</v>
      </c>
      <c r="H915" t="inlineStr">
        <is>
          <t>UOM=KG;WEIGHT_BASIS=RECIPE_QUANTITY_IS_KG;LINE_WEIGHT_KG=2.28;SOURCE_CFG=IA-ST-CFG-0171;SRC_REF=Row 126, Slot 7;SRC_FILE=Mamul Ambalaj Bileşen Listesi-30.07.2026(3).xlsx</t>
        </is>
      </c>
    </row>
    <row r="916">
      <c r="A916" s="19" t="inlineStr">
        <is>
          <t>915</t>
        </is>
      </c>
      <c r="B916" s="19" t="inlineStr">
        <is>
          <t>131</t>
        </is>
      </c>
      <c r="C916" s="19" t="inlineStr">
        <is>
          <t>25</t>
        </is>
      </c>
      <c r="D916" t="n">
        <v>2</v>
      </c>
      <c r="E916" s="19" t="inlineStr">
        <is>
          <t>18</t>
        </is>
      </c>
      <c r="F916" t="n">
        <v>7</v>
      </c>
      <c r="G916" t="b">
        <v>0</v>
      </c>
      <c r="H916" t="inlineStr">
        <is>
          <t>UOM=ADT;WEIGHT_BASIS=PROCESSED_SOURCE_UNIT_WEIGHT;LINE_WEIGHT_KG=0.2;SOURCE_CFG=IA-ST-CFG-0171;SRC_REF=Row 126, Slot 8;SRC_FILE=Mamul Ambalaj Bileşen Listesi-30.07.2026(3).xlsx</t>
        </is>
      </c>
    </row>
    <row r="917">
      <c r="A917" s="19" t="inlineStr">
        <is>
          <t>916</t>
        </is>
      </c>
      <c r="B917" s="19" t="inlineStr">
        <is>
          <t>131</t>
        </is>
      </c>
      <c r="C917" s="19" t="inlineStr">
        <is>
          <t>30</t>
        </is>
      </c>
      <c r="D917" t="n">
        <v>4</v>
      </c>
      <c r="E917" s="19" t="inlineStr">
        <is>
          <t>18</t>
        </is>
      </c>
      <c r="F917" t="n">
        <v>8</v>
      </c>
      <c r="G917" t="b">
        <v>0</v>
      </c>
      <c r="H917" t="inlineStr">
        <is>
          <t>UOM=ADT;WEIGHT_BASIS=PROCESSED_SOURCE_UNIT_WEIGHT;LINE_WEIGHT_KG=0.8;SOURCE_CFG=IA-ST-CFG-0171;SRC_REF=Row 126, Slot 9;SRC_FILE=Mamul Ambalaj Bileşen Listesi-30.07.2026(3).xlsx</t>
        </is>
      </c>
    </row>
    <row r="918">
      <c r="A918" s="19" t="inlineStr">
        <is>
          <t>917</t>
        </is>
      </c>
      <c r="B918" s="19" t="inlineStr">
        <is>
          <t>132</t>
        </is>
      </c>
      <c r="C918" s="19" t="inlineStr">
        <is>
          <t>13</t>
        </is>
      </c>
      <c r="D918" t="n">
        <v>14</v>
      </c>
      <c r="E918" s="19" t="inlineStr">
        <is>
          <t>18</t>
        </is>
      </c>
      <c r="F918" t="n">
        <v>1</v>
      </c>
      <c r="G918" t="b">
        <v>0</v>
      </c>
      <c r="H918" t="inlineStr">
        <is>
          <t>UOM=M;WEIGHT_BASIS=PROCESSED_SOURCE_UNIT_WEIGHT;LINE_WEIGHT_KG=0.1736;SOURCE_CFG=IA-ST-CFG-0165;SRC_REF=Row 447, Slot 1;SRC_FILE=Mamul Ambalaj Bileşen Listesi-30.07.2026(3).xlsx</t>
        </is>
      </c>
    </row>
    <row r="919">
      <c r="A919" s="19" t="inlineStr">
        <is>
          <t>918</t>
        </is>
      </c>
      <c r="B919" s="19" t="inlineStr">
        <is>
          <t>132</t>
        </is>
      </c>
      <c r="C919" s="19" t="inlineStr">
        <is>
          <t>5</t>
        </is>
      </c>
      <c r="D919" t="n">
        <v>1</v>
      </c>
      <c r="E919" s="19" t="inlineStr">
        <is>
          <t>18</t>
        </is>
      </c>
      <c r="F919" t="n">
        <v>2</v>
      </c>
      <c r="G919" t="b">
        <v>0</v>
      </c>
      <c r="H919" t="inlineStr">
        <is>
          <t>UOM=ADT;WEIGHT_BASIS=PROCESSED_SOURCE_UNIT_WEIGHT;LINE_WEIGHT_KG=26.0;SOURCE_CFG=IA-ST-CFG-0165;SRC_REF=Row 447, Slot 3;SRC_FILE=Mamul Ambalaj Bileşen Listesi-30.07.2026(3).xlsx</t>
        </is>
      </c>
    </row>
    <row r="920">
      <c r="A920" s="19" t="inlineStr">
        <is>
          <t>919</t>
        </is>
      </c>
      <c r="B920" s="19" t="inlineStr">
        <is>
          <t>132</t>
        </is>
      </c>
      <c r="C920" s="19" t="inlineStr">
        <is>
          <t>8</t>
        </is>
      </c>
      <c r="D920" t="n">
        <v>20</v>
      </c>
      <c r="E920" s="19" t="inlineStr">
        <is>
          <t>18</t>
        </is>
      </c>
      <c r="F920" t="n">
        <v>3</v>
      </c>
      <c r="G920" t="b">
        <v>0</v>
      </c>
      <c r="H920" t="inlineStr">
        <is>
          <t>UOM=M;WEIGHT_BASIS=PROCESSED_SOURCE_UNIT_WEIGHT;LINE_WEIGHT_KG=0.3664;SOURCE_CFG=IA-ST-CFG-0165;SRC_REF=Row 447, Slot 5;SRC_FILE=Mamul Ambalaj Bileşen Listesi-30.07.2026(3).xlsx</t>
        </is>
      </c>
    </row>
    <row r="921">
      <c r="A921" s="19" t="inlineStr">
        <is>
          <t>920</t>
        </is>
      </c>
      <c r="B921" s="19" t="inlineStr">
        <is>
          <t>132</t>
        </is>
      </c>
      <c r="C921" s="19" t="inlineStr">
        <is>
          <t>9</t>
        </is>
      </c>
      <c r="D921" t="n">
        <v>0.186</v>
      </c>
      <c r="E921" s="19" t="inlineStr">
        <is>
          <t>18</t>
        </is>
      </c>
      <c r="F921" t="n">
        <v>4</v>
      </c>
      <c r="G921" t="b">
        <v>0</v>
      </c>
      <c r="H921" t="inlineStr">
        <is>
          <t>UOM=KG;WEIGHT_BASIS=RECIPE_QUANTITY_IS_KG;LINE_WEIGHT_KG=0.186;SOURCE_CFG=IA-ST-CFG-0165;SRC_REF=Row 447, Slot 6;SRC_FILE=Mamul Ambalaj Bileşen Listesi-30.07.2026(3).xlsx</t>
        </is>
      </c>
    </row>
    <row r="922">
      <c r="A922" s="19" t="inlineStr">
        <is>
          <t>921</t>
        </is>
      </c>
      <c r="B922" s="19" t="inlineStr">
        <is>
          <t>132</t>
        </is>
      </c>
      <c r="C922" s="19" t="inlineStr">
        <is>
          <t>3</t>
        </is>
      </c>
      <c r="D922" t="n">
        <v>6</v>
      </c>
      <c r="E922" s="19" t="inlineStr">
        <is>
          <t>18</t>
        </is>
      </c>
      <c r="F922" t="n">
        <v>5</v>
      </c>
      <c r="G922" t="b">
        <v>0</v>
      </c>
      <c r="H922" t="inlineStr">
        <is>
          <t>UOM=ADT;WEIGHT_BASIS=PROCESSED_SOURCE_UNIT_WEIGHT;LINE_WEIGHT_KG=1.26;SOURCE_CFG=IA-ST-CFG-0165;SRC_REF=Row 447, Slot 8;SRC_FILE=Mamul Ambalaj Bileşen Listesi-30.07.2026(3).xlsx</t>
        </is>
      </c>
    </row>
    <row r="923">
      <c r="A923" s="19" t="inlineStr">
        <is>
          <t>922</t>
        </is>
      </c>
      <c r="B923" s="19" t="inlineStr">
        <is>
          <t>132</t>
        </is>
      </c>
      <c r="C923" s="19" t="inlineStr">
        <is>
          <t>7</t>
        </is>
      </c>
      <c r="D923" t="n">
        <v>5</v>
      </c>
      <c r="E923" s="19" t="inlineStr">
        <is>
          <t>18</t>
        </is>
      </c>
      <c r="F923" t="n">
        <v>6</v>
      </c>
      <c r="G923" t="b">
        <v>0</v>
      </c>
      <c r="H923" t="inlineStr">
        <is>
          <t>UOM=ADT;WEIGHT_BASIS=PROCESSED_SOURCE_UNIT_WEIGHT;LINE_WEIGHT_KG=1.35;SOURCE_CFG=IA-ST-CFG-0165;SRC_REF=Row 447, Slot 9;SRC_FILE=Mamul Ambalaj Bileşen Listesi-30.07.2026(3).xlsx</t>
        </is>
      </c>
    </row>
    <row r="924">
      <c r="A924" s="19" t="inlineStr">
        <is>
          <t>923</t>
        </is>
      </c>
      <c r="B924" s="19" t="inlineStr">
        <is>
          <t>132</t>
        </is>
      </c>
      <c r="C924" s="19" t="inlineStr">
        <is>
          <t>43</t>
        </is>
      </c>
      <c r="D924" t="n">
        <v>60</v>
      </c>
      <c r="E924" s="19" t="inlineStr">
        <is>
          <t>18</t>
        </is>
      </c>
      <c r="F924" t="n">
        <v>7</v>
      </c>
      <c r="G924" t="b">
        <v>0</v>
      </c>
      <c r="H924" t="inlineStr">
        <is>
          <t>UOM=ADT;WEIGHT_BASIS=PROCESSED_SOURCE_UNIT_WEIGHT;LINE_WEIGHT_KG=19.8;SOURCE_CFG=IA-ST-CFG-0165;SRC_REF=Row 447, Slot 10;SRC_FILE=Mamul Ambalaj Bileşen Listesi-30.07.2026(3).xlsx</t>
        </is>
      </c>
    </row>
    <row r="925">
      <c r="A925" s="19" t="inlineStr">
        <is>
          <t>924</t>
        </is>
      </c>
      <c r="B925" s="19" t="inlineStr">
        <is>
          <t>133</t>
        </is>
      </c>
      <c r="C925" s="19" t="inlineStr">
        <is>
          <t>13</t>
        </is>
      </c>
      <c r="D925" t="n">
        <v>14</v>
      </c>
      <c r="E925" s="19" t="inlineStr">
        <is>
          <t>18</t>
        </is>
      </c>
      <c r="F925" t="n">
        <v>1</v>
      </c>
      <c r="G925" t="b">
        <v>0</v>
      </c>
      <c r="H925" t="inlineStr">
        <is>
          <t>UOM=M;WEIGHT_BASIS=PROCESSED_SOURCE_UNIT_WEIGHT;LINE_WEIGHT_KG=0.1736;SOURCE_CFG=IA-ST-CFG-0166;SRC_REF=Row 1400, Slot 1;SRC_FILE=Mamul Ambalaj Bileşen Listesi-30.07.2026(3).xlsx</t>
        </is>
      </c>
    </row>
    <row r="926">
      <c r="A926" s="19" t="inlineStr">
        <is>
          <t>925</t>
        </is>
      </c>
      <c r="B926" s="19" t="inlineStr">
        <is>
          <t>133</t>
        </is>
      </c>
      <c r="C926" s="19" t="inlineStr">
        <is>
          <t>5</t>
        </is>
      </c>
      <c r="D926" t="n">
        <v>1</v>
      </c>
      <c r="E926" s="19" t="inlineStr">
        <is>
          <t>18</t>
        </is>
      </c>
      <c r="F926" t="n">
        <v>2</v>
      </c>
      <c r="G926" t="b">
        <v>0</v>
      </c>
      <c r="H926" t="inlineStr">
        <is>
          <t>UOM=ADT;WEIGHT_BASIS=PROCESSED_SOURCE_UNIT_WEIGHT;LINE_WEIGHT_KG=26.0;SOURCE_CFG=IA-ST-CFG-0166;SRC_REF=Row 1400, Slot 3;SRC_FILE=Mamul Ambalaj Bileşen Listesi-30.07.2026(3).xlsx</t>
        </is>
      </c>
    </row>
    <row r="927">
      <c r="A927" s="19" t="inlineStr">
        <is>
          <t>926</t>
        </is>
      </c>
      <c r="B927" s="19" t="inlineStr">
        <is>
          <t>133</t>
        </is>
      </c>
      <c r="C927" s="19" t="inlineStr">
        <is>
          <t>8</t>
        </is>
      </c>
      <c r="D927" t="n">
        <v>20</v>
      </c>
      <c r="E927" s="19" t="inlineStr">
        <is>
          <t>18</t>
        </is>
      </c>
      <c r="F927" t="n">
        <v>3</v>
      </c>
      <c r="G927" t="b">
        <v>0</v>
      </c>
      <c r="H927" t="inlineStr">
        <is>
          <t>UOM=M;WEIGHT_BASIS=PROCESSED_SOURCE_UNIT_WEIGHT;LINE_WEIGHT_KG=0.3664;SOURCE_CFG=IA-ST-CFG-0166;SRC_REF=Row 1400, Slot 5;SRC_FILE=Mamul Ambalaj Bileşen Listesi-30.07.2026(3).xlsx</t>
        </is>
      </c>
    </row>
    <row r="928">
      <c r="A928" s="19" t="inlineStr">
        <is>
          <t>927</t>
        </is>
      </c>
      <c r="B928" s="19" t="inlineStr">
        <is>
          <t>133</t>
        </is>
      </c>
      <c r="C928" s="19" t="inlineStr">
        <is>
          <t>9</t>
        </is>
      </c>
      <c r="D928" t="n">
        <v>0.186</v>
      </c>
      <c r="E928" s="19" t="inlineStr">
        <is>
          <t>18</t>
        </is>
      </c>
      <c r="F928" t="n">
        <v>4</v>
      </c>
      <c r="G928" t="b">
        <v>0</v>
      </c>
      <c r="H928" t="inlineStr">
        <is>
          <t>UOM=KG;WEIGHT_BASIS=RECIPE_QUANTITY_IS_KG;LINE_WEIGHT_KG=0.186;SOURCE_CFG=IA-ST-CFG-0166;SRC_REF=Row 1400, Slot 6;SRC_FILE=Mamul Ambalaj Bileşen Listesi-30.07.2026(3).xlsx</t>
        </is>
      </c>
    </row>
    <row r="929">
      <c r="A929" s="19" t="inlineStr">
        <is>
          <t>928</t>
        </is>
      </c>
      <c r="B929" s="19" t="inlineStr">
        <is>
          <t>133</t>
        </is>
      </c>
      <c r="C929" s="19" t="inlineStr">
        <is>
          <t>3</t>
        </is>
      </c>
      <c r="D929" t="n">
        <v>6</v>
      </c>
      <c r="E929" s="19" t="inlineStr">
        <is>
          <t>18</t>
        </is>
      </c>
      <c r="F929" t="n">
        <v>5</v>
      </c>
      <c r="G929" t="b">
        <v>0</v>
      </c>
      <c r="H929" t="inlineStr">
        <is>
          <t>UOM=ADT;WEIGHT_BASIS=PROCESSED_SOURCE_UNIT_WEIGHT;LINE_WEIGHT_KG=1.26;SOURCE_CFG=IA-ST-CFG-0166;SRC_REF=Row 1400, Slot 8;SRC_FILE=Mamul Ambalaj Bileşen Listesi-30.07.2026(3).xlsx</t>
        </is>
      </c>
    </row>
    <row r="930">
      <c r="A930" s="19" t="inlineStr">
        <is>
          <t>929</t>
        </is>
      </c>
      <c r="B930" s="19" t="inlineStr">
        <is>
          <t>133</t>
        </is>
      </c>
      <c r="C930" s="19" t="inlineStr">
        <is>
          <t>7</t>
        </is>
      </c>
      <c r="D930" t="n">
        <v>5</v>
      </c>
      <c r="E930" s="19" t="inlineStr">
        <is>
          <t>18</t>
        </is>
      </c>
      <c r="F930" t="n">
        <v>6</v>
      </c>
      <c r="G930" t="b">
        <v>0</v>
      </c>
      <c r="H930" t="inlineStr">
        <is>
          <t>UOM=ADT;WEIGHT_BASIS=PROCESSED_SOURCE_UNIT_WEIGHT;LINE_WEIGHT_KG=1.35;SOURCE_CFG=IA-ST-CFG-0166;SRC_REF=Row 1400, Slot 9;SRC_FILE=Mamul Ambalaj Bileşen Listesi-30.07.2026(3).xlsx</t>
        </is>
      </c>
    </row>
    <row r="931">
      <c r="A931" s="19" t="inlineStr">
        <is>
          <t>930</t>
        </is>
      </c>
      <c r="B931" s="19" t="inlineStr">
        <is>
          <t>133</t>
        </is>
      </c>
      <c r="C931" s="19" t="inlineStr">
        <is>
          <t>48</t>
        </is>
      </c>
      <c r="D931" t="n">
        <v>60</v>
      </c>
      <c r="E931" s="19" t="inlineStr">
        <is>
          <t>18</t>
        </is>
      </c>
      <c r="F931" t="n">
        <v>7</v>
      </c>
      <c r="G931" t="b">
        <v>0</v>
      </c>
      <c r="H931" t="inlineStr">
        <is>
          <t>UOM=ADT;WEIGHT_BASIS=PROCESSED_SOURCE_UNIT_WEIGHT;LINE_WEIGHT_KG=19.8;SOURCE_CFG=IA-ST-CFG-0166;SRC_REF=Row 1400, Slot 10;SRC_FILE=Mamul Ambalaj Bileşen Listesi-30.07.2026(3).xlsx</t>
        </is>
      </c>
    </row>
    <row r="932">
      <c r="A932" s="19" t="inlineStr">
        <is>
          <t>931</t>
        </is>
      </c>
      <c r="B932" s="19" t="inlineStr">
        <is>
          <t>134</t>
        </is>
      </c>
      <c r="C932" s="19" t="inlineStr">
        <is>
          <t>13</t>
        </is>
      </c>
      <c r="D932" t="n">
        <v>14</v>
      </c>
      <c r="E932" s="19" t="inlineStr">
        <is>
          <t>18</t>
        </is>
      </c>
      <c r="F932" t="n">
        <v>1</v>
      </c>
      <c r="G932" t="b">
        <v>0</v>
      </c>
      <c r="H932" t="inlineStr">
        <is>
          <t>UOM=M;WEIGHT_BASIS=PROCESSED_SOURCE_UNIT_WEIGHT;LINE_WEIGHT_KG=0.1736;SOURCE_CFG=IA-ST-CFG-0167;SRC_REF=Row 221, Slot 1;SRC_FILE=Mamul Ambalaj Bileşen Listesi-30.07.2026(3).xlsx</t>
        </is>
      </c>
    </row>
    <row r="933">
      <c r="A933" s="19" t="inlineStr">
        <is>
          <t>932</t>
        </is>
      </c>
      <c r="B933" s="19" t="inlineStr">
        <is>
          <t>134</t>
        </is>
      </c>
      <c r="C933" s="19" t="inlineStr">
        <is>
          <t>5</t>
        </is>
      </c>
      <c r="D933" t="n">
        <v>1</v>
      </c>
      <c r="E933" s="19" t="inlineStr">
        <is>
          <t>18</t>
        </is>
      </c>
      <c r="F933" t="n">
        <v>2</v>
      </c>
      <c r="G933" t="b">
        <v>0</v>
      </c>
      <c r="H933" t="inlineStr">
        <is>
          <t>UOM=ADT;WEIGHT_BASIS=PROCESSED_SOURCE_UNIT_WEIGHT;LINE_WEIGHT_KG=26.0;SOURCE_CFG=IA-ST-CFG-0167;SRC_REF=Row 221, Slot 3;SRC_FILE=Mamul Ambalaj Bileşen Listesi-30.07.2026(3).xlsx</t>
        </is>
      </c>
    </row>
    <row r="934">
      <c r="A934" s="19" t="inlineStr">
        <is>
          <t>933</t>
        </is>
      </c>
      <c r="B934" s="19" t="inlineStr">
        <is>
          <t>134</t>
        </is>
      </c>
      <c r="C934" s="19" t="inlineStr">
        <is>
          <t>8</t>
        </is>
      </c>
      <c r="D934" t="n">
        <v>20</v>
      </c>
      <c r="E934" s="19" t="inlineStr">
        <is>
          <t>18</t>
        </is>
      </c>
      <c r="F934" t="n">
        <v>3</v>
      </c>
      <c r="G934" t="b">
        <v>0</v>
      </c>
      <c r="H934" t="inlineStr">
        <is>
          <t>UOM=M;WEIGHT_BASIS=PROCESSED_SOURCE_UNIT_WEIGHT;LINE_WEIGHT_KG=0.3664;SOURCE_CFG=IA-ST-CFG-0167;SRC_REF=Row 221, Slot 5;SRC_FILE=Mamul Ambalaj Bileşen Listesi-30.07.2026(3).xlsx</t>
        </is>
      </c>
    </row>
    <row r="935">
      <c r="A935" s="19" t="inlineStr">
        <is>
          <t>934</t>
        </is>
      </c>
      <c r="B935" s="19" t="inlineStr">
        <is>
          <t>134</t>
        </is>
      </c>
      <c r="C935" s="19" t="inlineStr">
        <is>
          <t>9</t>
        </is>
      </c>
      <c r="D935" t="n">
        <v>0.186</v>
      </c>
      <c r="E935" s="19" t="inlineStr">
        <is>
          <t>18</t>
        </is>
      </c>
      <c r="F935" t="n">
        <v>4</v>
      </c>
      <c r="G935" t="b">
        <v>0</v>
      </c>
      <c r="H935" t="inlineStr">
        <is>
          <t>UOM=KG;WEIGHT_BASIS=RECIPE_QUANTITY_IS_KG;LINE_WEIGHT_KG=0.186;SOURCE_CFG=IA-ST-CFG-0167;SRC_REF=Row 221, Slot 6;SRC_FILE=Mamul Ambalaj Bileşen Listesi-30.07.2026(3).xlsx</t>
        </is>
      </c>
    </row>
    <row r="936">
      <c r="A936" s="19" t="inlineStr">
        <is>
          <t>935</t>
        </is>
      </c>
      <c r="B936" s="19" t="inlineStr">
        <is>
          <t>134</t>
        </is>
      </c>
      <c r="C936" s="19" t="inlineStr">
        <is>
          <t>3</t>
        </is>
      </c>
      <c r="D936" t="n">
        <v>6</v>
      </c>
      <c r="E936" s="19" t="inlineStr">
        <is>
          <t>18</t>
        </is>
      </c>
      <c r="F936" t="n">
        <v>5</v>
      </c>
      <c r="G936" t="b">
        <v>0</v>
      </c>
      <c r="H936" t="inlineStr">
        <is>
          <t>UOM=ADT;WEIGHT_BASIS=PROCESSED_SOURCE_UNIT_WEIGHT;LINE_WEIGHT_KG=1.26;SOURCE_CFG=IA-ST-CFG-0167;SRC_REF=Row 221, Slot 8;SRC_FILE=Mamul Ambalaj Bileşen Listesi-30.07.2026(3).xlsx</t>
        </is>
      </c>
    </row>
    <row r="937">
      <c r="A937" s="19" t="inlineStr">
        <is>
          <t>936</t>
        </is>
      </c>
      <c r="B937" s="19" t="inlineStr">
        <is>
          <t>134</t>
        </is>
      </c>
      <c r="C937" s="19" t="inlineStr">
        <is>
          <t>7</t>
        </is>
      </c>
      <c r="D937" t="n">
        <v>5</v>
      </c>
      <c r="E937" s="19" t="inlineStr">
        <is>
          <t>18</t>
        </is>
      </c>
      <c r="F937" t="n">
        <v>6</v>
      </c>
      <c r="G937" t="b">
        <v>0</v>
      </c>
      <c r="H937" t="inlineStr">
        <is>
          <t>UOM=ADT;WEIGHT_BASIS=PROCESSED_SOURCE_UNIT_WEIGHT;LINE_WEIGHT_KG=1.35;SOURCE_CFG=IA-ST-CFG-0167;SRC_REF=Row 221, Slot 9;SRC_FILE=Mamul Ambalaj Bileşen Listesi-30.07.2026(3).xlsx</t>
        </is>
      </c>
    </row>
    <row r="938">
      <c r="A938" s="19" t="inlineStr">
        <is>
          <t>937</t>
        </is>
      </c>
      <c r="B938" s="19" t="inlineStr">
        <is>
          <t>134</t>
        </is>
      </c>
      <c r="C938" s="19" t="inlineStr">
        <is>
          <t>69</t>
        </is>
      </c>
      <c r="D938" t="n">
        <v>60</v>
      </c>
      <c r="E938" s="19" t="inlineStr">
        <is>
          <t>18</t>
        </is>
      </c>
      <c r="F938" t="n">
        <v>7</v>
      </c>
      <c r="G938" t="b">
        <v>0</v>
      </c>
      <c r="H938" t="inlineStr">
        <is>
          <t>UOM=ADT;WEIGHT_BASIS=PROCESSED_SOURCE_UNIT_WEIGHT;LINE_WEIGHT_KG=19.8;SOURCE_CFG=IA-ST-CFG-0167;SRC_REF=Row 221, Slot 10;SRC_FILE=Mamul Ambalaj Bileşen Listesi-30.07.2026(3).xlsx</t>
        </is>
      </c>
    </row>
    <row r="939">
      <c r="A939" s="19" t="inlineStr">
        <is>
          <t>938</t>
        </is>
      </c>
      <c r="B939" s="19" t="inlineStr">
        <is>
          <t>135</t>
        </is>
      </c>
      <c r="C939" s="19" t="inlineStr">
        <is>
          <t>13</t>
        </is>
      </c>
      <c r="D939" t="n">
        <v>14</v>
      </c>
      <c r="E939" s="19" t="inlineStr">
        <is>
          <t>18</t>
        </is>
      </c>
      <c r="F939" t="n">
        <v>1</v>
      </c>
      <c r="G939" t="b">
        <v>0</v>
      </c>
      <c r="H939" t="inlineStr">
        <is>
          <t>UOM=M;WEIGHT_BASIS=PROCESSED_SOURCE_UNIT_WEIGHT;LINE_WEIGHT_KG=0.1736;SOURCE_CFG=IA-ST-CFG-0168;SRC_REF=Row 263, Slot 1;SRC_FILE=Mamul Ambalaj Bileşen Listesi-30.07.2026(3).xlsx</t>
        </is>
      </c>
    </row>
    <row r="940">
      <c r="A940" s="19" t="inlineStr">
        <is>
          <t>939</t>
        </is>
      </c>
      <c r="B940" s="19" t="inlineStr">
        <is>
          <t>135</t>
        </is>
      </c>
      <c r="C940" s="19" t="inlineStr">
        <is>
          <t>5</t>
        </is>
      </c>
      <c r="D940" t="n">
        <v>1</v>
      </c>
      <c r="E940" s="19" t="inlineStr">
        <is>
          <t>18</t>
        </is>
      </c>
      <c r="F940" t="n">
        <v>2</v>
      </c>
      <c r="G940" t="b">
        <v>0</v>
      </c>
      <c r="H940" t="inlineStr">
        <is>
          <t>UOM=ADT;WEIGHT_BASIS=PROCESSED_SOURCE_UNIT_WEIGHT;LINE_WEIGHT_KG=26.0;SOURCE_CFG=IA-ST-CFG-0168;SRC_REF=Row 263, Slot 3;SRC_FILE=Mamul Ambalaj Bileşen Listesi-30.07.2026(3).xlsx</t>
        </is>
      </c>
    </row>
    <row r="941">
      <c r="A941" s="19" t="inlineStr">
        <is>
          <t>940</t>
        </is>
      </c>
      <c r="B941" s="19" t="inlineStr">
        <is>
          <t>135</t>
        </is>
      </c>
      <c r="C941" s="19" t="inlineStr">
        <is>
          <t>8</t>
        </is>
      </c>
      <c r="D941" t="n">
        <v>20</v>
      </c>
      <c r="E941" s="19" t="inlineStr">
        <is>
          <t>18</t>
        </is>
      </c>
      <c r="F941" t="n">
        <v>3</v>
      </c>
      <c r="G941" t="b">
        <v>0</v>
      </c>
      <c r="H941" t="inlineStr">
        <is>
          <t>UOM=M;WEIGHT_BASIS=PROCESSED_SOURCE_UNIT_WEIGHT;LINE_WEIGHT_KG=0.3664;SOURCE_CFG=IA-ST-CFG-0168;SRC_REF=Row 263, Slot 5;SRC_FILE=Mamul Ambalaj Bileşen Listesi-30.07.2026(3).xlsx</t>
        </is>
      </c>
    </row>
    <row r="942">
      <c r="A942" s="19" t="inlineStr">
        <is>
          <t>941</t>
        </is>
      </c>
      <c r="B942" s="19" t="inlineStr">
        <is>
          <t>135</t>
        </is>
      </c>
      <c r="C942" s="19" t="inlineStr">
        <is>
          <t>9</t>
        </is>
      </c>
      <c r="D942" t="n">
        <v>0.186</v>
      </c>
      <c r="E942" s="19" t="inlineStr">
        <is>
          <t>18</t>
        </is>
      </c>
      <c r="F942" t="n">
        <v>4</v>
      </c>
      <c r="G942" t="b">
        <v>0</v>
      </c>
      <c r="H942" t="inlineStr">
        <is>
          <t>UOM=KG;WEIGHT_BASIS=RECIPE_QUANTITY_IS_KG;LINE_WEIGHT_KG=0.186;SOURCE_CFG=IA-ST-CFG-0168;SRC_REF=Row 263, Slot 6;SRC_FILE=Mamul Ambalaj Bileşen Listesi-30.07.2026(3).xlsx</t>
        </is>
      </c>
    </row>
    <row r="943">
      <c r="A943" s="19" t="inlineStr">
        <is>
          <t>942</t>
        </is>
      </c>
      <c r="B943" s="19" t="inlineStr">
        <is>
          <t>135</t>
        </is>
      </c>
      <c r="C943" s="19" t="inlineStr">
        <is>
          <t>3</t>
        </is>
      </c>
      <c r="D943" t="n">
        <v>6</v>
      </c>
      <c r="E943" s="19" t="inlineStr">
        <is>
          <t>18</t>
        </is>
      </c>
      <c r="F943" t="n">
        <v>5</v>
      </c>
      <c r="G943" t="b">
        <v>0</v>
      </c>
      <c r="H943" t="inlineStr">
        <is>
          <t>UOM=ADT;WEIGHT_BASIS=PROCESSED_SOURCE_UNIT_WEIGHT;LINE_WEIGHT_KG=1.26;SOURCE_CFG=IA-ST-CFG-0168;SRC_REF=Row 263, Slot 8;SRC_FILE=Mamul Ambalaj Bileşen Listesi-30.07.2026(3).xlsx</t>
        </is>
      </c>
    </row>
    <row r="944">
      <c r="A944" s="19" t="inlineStr">
        <is>
          <t>943</t>
        </is>
      </c>
      <c r="B944" s="19" t="inlineStr">
        <is>
          <t>135</t>
        </is>
      </c>
      <c r="C944" s="19" t="inlineStr">
        <is>
          <t>7</t>
        </is>
      </c>
      <c r="D944" t="n">
        <v>5</v>
      </c>
      <c r="E944" s="19" t="inlineStr">
        <is>
          <t>18</t>
        </is>
      </c>
      <c r="F944" t="n">
        <v>6</v>
      </c>
      <c r="G944" t="b">
        <v>0</v>
      </c>
      <c r="H944" t="inlineStr">
        <is>
          <t>UOM=ADT;WEIGHT_BASIS=PROCESSED_SOURCE_UNIT_WEIGHT;LINE_WEIGHT_KG=1.35;SOURCE_CFG=IA-ST-CFG-0168;SRC_REF=Row 263, Slot 9;SRC_FILE=Mamul Ambalaj Bileşen Listesi-30.07.2026(3).xlsx</t>
        </is>
      </c>
    </row>
    <row r="945">
      <c r="A945" s="19" t="inlineStr">
        <is>
          <t>944</t>
        </is>
      </c>
      <c r="B945" s="19" t="inlineStr">
        <is>
          <t>135</t>
        </is>
      </c>
      <c r="C945" s="19" t="inlineStr">
        <is>
          <t>85</t>
        </is>
      </c>
      <c r="D945" t="n">
        <v>60</v>
      </c>
      <c r="E945" s="19" t="inlineStr">
        <is>
          <t>18</t>
        </is>
      </c>
      <c r="F945" t="n">
        <v>7</v>
      </c>
      <c r="G945" t="b">
        <v>0</v>
      </c>
      <c r="H945" t="inlineStr">
        <is>
          <t>UOM=ADT;WEIGHT_BASIS=PROCESSED_SOURCE_UNIT_WEIGHT;LINE_WEIGHT_KG=19.8;SOURCE_CFG=IA-ST-CFG-0168;SRC_REF=Row 263, Slot 10;SRC_FILE=Mamul Ambalaj Bileşen Listesi-30.07.2026(3).xlsx</t>
        </is>
      </c>
    </row>
    <row r="946">
      <c r="A946" s="19" t="inlineStr">
        <is>
          <t>945</t>
        </is>
      </c>
      <c r="B946" s="19" t="inlineStr">
        <is>
          <t>136</t>
        </is>
      </c>
      <c r="C946" s="19" t="inlineStr">
        <is>
          <t>13</t>
        </is>
      </c>
      <c r="D946" t="n">
        <v>14</v>
      </c>
      <c r="E946" s="19" t="inlineStr">
        <is>
          <t>18</t>
        </is>
      </c>
      <c r="F946" t="n">
        <v>1</v>
      </c>
      <c r="G946" t="b">
        <v>0</v>
      </c>
      <c r="H946" t="inlineStr">
        <is>
          <t>UOM=M;WEIGHT_BASIS=PROCESSED_SOURCE_UNIT_WEIGHT;LINE_WEIGHT_KG=0.1736;SOURCE_CFG=IA-ST-CFG-0169;SRC_REF=Row 923, Slot 1;SRC_FILE=Mamul Ambalaj Bileşen Listesi-30.07.2026(3).xlsx</t>
        </is>
      </c>
    </row>
    <row r="947">
      <c r="A947" s="19" t="inlineStr">
        <is>
          <t>946</t>
        </is>
      </c>
      <c r="B947" s="19" t="inlineStr">
        <is>
          <t>136</t>
        </is>
      </c>
      <c r="C947" s="19" t="inlineStr">
        <is>
          <t>5</t>
        </is>
      </c>
      <c r="D947" t="n">
        <v>1</v>
      </c>
      <c r="E947" s="19" t="inlineStr">
        <is>
          <t>18</t>
        </is>
      </c>
      <c r="F947" t="n">
        <v>2</v>
      </c>
      <c r="G947" t="b">
        <v>0</v>
      </c>
      <c r="H947" t="inlineStr">
        <is>
          <t>UOM=ADT;WEIGHT_BASIS=PROCESSED_SOURCE_UNIT_WEIGHT;LINE_WEIGHT_KG=26.0;SOURCE_CFG=IA-ST-CFG-0169;SRC_REF=Row 923, Slot 3;SRC_FILE=Mamul Ambalaj Bileşen Listesi-30.07.2026(3).xlsx</t>
        </is>
      </c>
    </row>
    <row r="948">
      <c r="A948" s="19" t="inlineStr">
        <is>
          <t>947</t>
        </is>
      </c>
      <c r="B948" s="19" t="inlineStr">
        <is>
          <t>136</t>
        </is>
      </c>
      <c r="C948" s="19" t="inlineStr">
        <is>
          <t>8</t>
        </is>
      </c>
      <c r="D948" t="n">
        <v>20</v>
      </c>
      <c r="E948" s="19" t="inlineStr">
        <is>
          <t>18</t>
        </is>
      </c>
      <c r="F948" t="n">
        <v>3</v>
      </c>
      <c r="G948" t="b">
        <v>0</v>
      </c>
      <c r="H948" t="inlineStr">
        <is>
          <t>UOM=M;WEIGHT_BASIS=PROCESSED_SOURCE_UNIT_WEIGHT;LINE_WEIGHT_KG=0.3664;SOURCE_CFG=IA-ST-CFG-0169;SRC_REF=Row 923, Slot 5;SRC_FILE=Mamul Ambalaj Bileşen Listesi-30.07.2026(3).xlsx</t>
        </is>
      </c>
    </row>
    <row r="949">
      <c r="A949" s="19" t="inlineStr">
        <is>
          <t>948</t>
        </is>
      </c>
      <c r="B949" s="19" t="inlineStr">
        <is>
          <t>136</t>
        </is>
      </c>
      <c r="C949" s="19" t="inlineStr">
        <is>
          <t>9</t>
        </is>
      </c>
      <c r="D949" t="n">
        <v>0.186</v>
      </c>
      <c r="E949" s="19" t="inlineStr">
        <is>
          <t>18</t>
        </is>
      </c>
      <c r="F949" t="n">
        <v>4</v>
      </c>
      <c r="G949" t="b">
        <v>0</v>
      </c>
      <c r="H949" t="inlineStr">
        <is>
          <t>UOM=KG;WEIGHT_BASIS=RECIPE_QUANTITY_IS_KG;LINE_WEIGHT_KG=0.186;SOURCE_CFG=IA-ST-CFG-0169;SRC_REF=Row 923, Slot 6;SRC_FILE=Mamul Ambalaj Bileşen Listesi-30.07.2026(3).xlsx</t>
        </is>
      </c>
    </row>
    <row r="950">
      <c r="A950" s="19" t="inlineStr">
        <is>
          <t>949</t>
        </is>
      </c>
      <c r="B950" s="19" t="inlineStr">
        <is>
          <t>136</t>
        </is>
      </c>
      <c r="C950" s="19" t="inlineStr">
        <is>
          <t>3</t>
        </is>
      </c>
      <c r="D950" t="n">
        <v>8</v>
      </c>
      <c r="E950" s="19" t="inlineStr">
        <is>
          <t>18</t>
        </is>
      </c>
      <c r="F950" t="n">
        <v>5</v>
      </c>
      <c r="G950" t="b">
        <v>0</v>
      </c>
      <c r="H950" t="inlineStr">
        <is>
          <t>UOM=ADT;WEIGHT_BASIS=PROCESSED_SOURCE_UNIT_WEIGHT;LINE_WEIGHT_KG=1.68;SOURCE_CFG=IA-ST-CFG-0169;SRC_REF=Row 923, Slot 8;SRC_FILE=Mamul Ambalaj Bileşen Listesi-30.07.2026(3).xlsx</t>
        </is>
      </c>
    </row>
    <row r="951">
      <c r="A951" s="19" t="inlineStr">
        <is>
          <t>950</t>
        </is>
      </c>
      <c r="B951" s="19" t="inlineStr">
        <is>
          <t>136</t>
        </is>
      </c>
      <c r="C951" s="19" t="inlineStr">
        <is>
          <t>7</t>
        </is>
      </c>
      <c r="D951" t="n">
        <v>5</v>
      </c>
      <c r="E951" s="19" t="inlineStr">
        <is>
          <t>18</t>
        </is>
      </c>
      <c r="F951" t="n">
        <v>6</v>
      </c>
      <c r="G951" t="b">
        <v>0</v>
      </c>
      <c r="H951" t="inlineStr">
        <is>
          <t>UOM=ADT;WEIGHT_BASIS=PROCESSED_SOURCE_UNIT_WEIGHT;LINE_WEIGHT_KG=1.35;SOURCE_CFG=IA-ST-CFG-0169;SRC_REF=Row 923, Slot 9;SRC_FILE=Mamul Ambalaj Bileşen Listesi-30.07.2026(3).xlsx</t>
        </is>
      </c>
    </row>
    <row r="952">
      <c r="A952" s="19" t="inlineStr">
        <is>
          <t>951</t>
        </is>
      </c>
      <c r="B952" s="19" t="inlineStr">
        <is>
          <t>136</t>
        </is>
      </c>
      <c r="C952" s="19" t="inlineStr">
        <is>
          <t>61</t>
        </is>
      </c>
      <c r="D952" t="n">
        <v>60</v>
      </c>
      <c r="E952" s="19" t="inlineStr">
        <is>
          <t>18</t>
        </is>
      </c>
      <c r="F952" t="n">
        <v>7</v>
      </c>
      <c r="G952" t="b">
        <v>0</v>
      </c>
      <c r="H952" t="inlineStr">
        <is>
          <t>UOM=ADT;WEIGHT_BASIS=PROCESSED_SOURCE_UNIT_WEIGHT;LINE_WEIGHT_KG=19.8;SOURCE_CFG=IA-ST-CFG-0169;SRC_REF=Row 923, Slot 10;SRC_FILE=Mamul Ambalaj Bileşen Listesi-30.07.2026(3).xlsx</t>
        </is>
      </c>
    </row>
    <row r="953">
      <c r="A953" s="19" t="inlineStr">
        <is>
          <t>952</t>
        </is>
      </c>
      <c r="B953" s="19" t="inlineStr">
        <is>
          <t>137</t>
        </is>
      </c>
      <c r="C953" s="19" t="inlineStr">
        <is>
          <t>13</t>
        </is>
      </c>
      <c r="D953" t="n">
        <v>14</v>
      </c>
      <c r="E953" s="19" t="inlineStr">
        <is>
          <t>18</t>
        </is>
      </c>
      <c r="F953" t="n">
        <v>1</v>
      </c>
      <c r="G953" t="b">
        <v>0</v>
      </c>
      <c r="H953" t="inlineStr">
        <is>
          <t>UOM=M;WEIGHT_BASIS=PROCESSED_SOURCE_UNIT_WEIGHT;LINE_WEIGHT_KG=0.1736;SOURCE_CFG=IA-ST-CFG-0188;SRC_REF=Row 888, Slot 1;SRC_FILE=Mamul Ambalaj Bileşen Listesi-30.07.2026(3).xlsx</t>
        </is>
      </c>
    </row>
    <row r="954">
      <c r="A954" s="19" t="inlineStr">
        <is>
          <t>953</t>
        </is>
      </c>
      <c r="B954" s="19" t="inlineStr">
        <is>
          <t>137</t>
        </is>
      </c>
      <c r="C954" s="19" t="inlineStr">
        <is>
          <t>6</t>
        </is>
      </c>
      <c r="D954" t="n">
        <v>1</v>
      </c>
      <c r="E954" s="19" t="inlineStr">
        <is>
          <t>18</t>
        </is>
      </c>
      <c r="F954" t="n">
        <v>2</v>
      </c>
      <c r="G954" t="b">
        <v>0</v>
      </c>
      <c r="H954" t="inlineStr">
        <is>
          <t>UOM=ADT;WEIGHT_BASIS=PROCESSED_SOURCE_UNIT_WEIGHT;LINE_WEIGHT_KG=26.0;SOURCE_CFG=IA-ST-CFG-0188;SRC_REF=Row 888, Slot 3;SRC_FILE=Mamul Ambalaj Bileşen Listesi-30.07.2026(3).xlsx</t>
        </is>
      </c>
    </row>
    <row r="955">
      <c r="A955" s="19" t="inlineStr">
        <is>
          <t>954</t>
        </is>
      </c>
      <c r="B955" s="19" t="inlineStr">
        <is>
          <t>137</t>
        </is>
      </c>
      <c r="C955" s="19" t="inlineStr">
        <is>
          <t>8</t>
        </is>
      </c>
      <c r="D955" t="n">
        <v>20</v>
      </c>
      <c r="E955" s="19" t="inlineStr">
        <is>
          <t>18</t>
        </is>
      </c>
      <c r="F955" t="n">
        <v>3</v>
      </c>
      <c r="G955" t="b">
        <v>0</v>
      </c>
      <c r="H955" t="inlineStr">
        <is>
          <t>UOM=M;WEIGHT_BASIS=PROCESSED_SOURCE_UNIT_WEIGHT;LINE_WEIGHT_KG=0.3664;SOURCE_CFG=IA-ST-CFG-0188;SRC_REF=Row 888, Slot 5;SRC_FILE=Mamul Ambalaj Bileşen Listesi-30.07.2026(3).xlsx</t>
        </is>
      </c>
    </row>
    <row r="956">
      <c r="A956" s="19" t="inlineStr">
        <is>
          <t>955</t>
        </is>
      </c>
      <c r="B956" s="19" t="inlineStr">
        <is>
          <t>137</t>
        </is>
      </c>
      <c r="C956" s="19" t="inlineStr">
        <is>
          <t>9</t>
        </is>
      </c>
      <c r="D956" t="n">
        <v>0.186</v>
      </c>
      <c r="E956" s="19" t="inlineStr">
        <is>
          <t>18</t>
        </is>
      </c>
      <c r="F956" t="n">
        <v>4</v>
      </c>
      <c r="G956" t="b">
        <v>0</v>
      </c>
      <c r="H956" t="inlineStr">
        <is>
          <t>UOM=KG;WEIGHT_BASIS=RECIPE_QUANTITY_IS_KG;LINE_WEIGHT_KG=0.186;SOURCE_CFG=IA-ST-CFG-0188;SRC_REF=Row 888, Slot 6;SRC_FILE=Mamul Ambalaj Bileşen Listesi-30.07.2026(3).xlsx</t>
        </is>
      </c>
    </row>
    <row r="957">
      <c r="A957" s="19" t="inlineStr">
        <is>
          <t>956</t>
        </is>
      </c>
      <c r="B957" s="19" t="inlineStr">
        <is>
          <t>137</t>
        </is>
      </c>
      <c r="C957" s="19" t="inlineStr">
        <is>
          <t>25</t>
        </is>
      </c>
      <c r="D957" t="n">
        <v>4</v>
      </c>
      <c r="E957" s="19" t="inlineStr">
        <is>
          <t>18</t>
        </is>
      </c>
      <c r="F957" t="n">
        <v>5</v>
      </c>
      <c r="G957" t="b">
        <v>0</v>
      </c>
      <c r="H957" t="inlineStr">
        <is>
          <t>UOM=ADT;WEIGHT_BASIS=PROCESSED_SOURCE_UNIT_WEIGHT;LINE_WEIGHT_KG=0.4;SOURCE_CFG=IA-ST-CFG-0188;SRC_REF=Row 888, Slot 8;SRC_FILE=Mamul Ambalaj Bileşen Listesi-30.07.2026(3).xlsx</t>
        </is>
      </c>
    </row>
    <row r="958">
      <c r="A958" s="19" t="inlineStr">
        <is>
          <t>957</t>
        </is>
      </c>
      <c r="B958" s="19" t="inlineStr">
        <is>
          <t>137</t>
        </is>
      </c>
      <c r="C958" s="19" t="inlineStr">
        <is>
          <t>30</t>
        </is>
      </c>
      <c r="D958" t="n">
        <v>1</v>
      </c>
      <c r="E958" s="19" t="inlineStr">
        <is>
          <t>18</t>
        </is>
      </c>
      <c r="F958" t="n">
        <v>6</v>
      </c>
      <c r="G958" t="b">
        <v>0</v>
      </c>
      <c r="H958" t="inlineStr">
        <is>
          <t>UOM=ADT;WEIGHT_BASIS=PROCESSED_SOURCE_UNIT_WEIGHT;LINE_WEIGHT_KG=0.2;SOURCE_CFG=IA-ST-CFG-0188;SRC_REF=Row 888, Slot 9;SRC_FILE=Mamul Ambalaj Bileşen Listesi-30.07.2026(3).xlsx</t>
        </is>
      </c>
    </row>
    <row r="959">
      <c r="A959" s="19" t="inlineStr">
        <is>
          <t>958</t>
        </is>
      </c>
      <c r="B959" s="19" t="inlineStr">
        <is>
          <t>137</t>
        </is>
      </c>
      <c r="C959" s="19" t="inlineStr">
        <is>
          <t>56</t>
        </is>
      </c>
      <c r="D959" t="n">
        <v>3</v>
      </c>
      <c r="E959" s="19" t="inlineStr">
        <is>
          <t>18</t>
        </is>
      </c>
      <c r="F959" t="n">
        <v>7</v>
      </c>
      <c r="G959" t="b">
        <v>0</v>
      </c>
      <c r="H959" t="inlineStr">
        <is>
          <t>UOM=ADT;WEIGHT_BASIS=PROCESSED_SOURCE_UNIT_WEIGHT;LINE_WEIGHT_KG=3.0;SOURCE_CFG=IA-ST-CFG-0188;SRC_REF=Row 888, Slot 10;SRC_FILE=Mamul Ambalaj Bileşen Listesi-30.07.2026(3).xlsx</t>
        </is>
      </c>
    </row>
    <row r="960">
      <c r="A960" s="19" t="inlineStr">
        <is>
          <t>959</t>
        </is>
      </c>
      <c r="B960" s="19" t="inlineStr">
        <is>
          <t>138</t>
        </is>
      </c>
      <c r="C960" s="19" t="inlineStr">
        <is>
          <t>13</t>
        </is>
      </c>
      <c r="D960" t="n">
        <v>14</v>
      </c>
      <c r="E960" s="19" t="inlineStr">
        <is>
          <t>18</t>
        </is>
      </c>
      <c r="F960" t="n">
        <v>1</v>
      </c>
      <c r="G960" t="b">
        <v>0</v>
      </c>
      <c r="H960" t="inlineStr">
        <is>
          <t>UOM=M;WEIGHT_BASIS=PROCESSED_SOURCE_UNIT_WEIGHT;LINE_WEIGHT_KG=0.1736;SOURCE_CFG=IA-ST-CFG-0189;SRC_REF=Row 1562, Slot 1;SRC_FILE=Mamul Ambalaj Bileşen Listesi-30.07.2026(3).xlsx</t>
        </is>
      </c>
    </row>
    <row r="961">
      <c r="A961" s="19" t="inlineStr">
        <is>
          <t>960</t>
        </is>
      </c>
      <c r="B961" s="19" t="inlineStr">
        <is>
          <t>138</t>
        </is>
      </c>
      <c r="C961" s="19" t="inlineStr">
        <is>
          <t>65</t>
        </is>
      </c>
      <c r="D961" t="n">
        <v>3</v>
      </c>
      <c r="E961" s="19" t="inlineStr">
        <is>
          <t>18</t>
        </is>
      </c>
      <c r="F961" t="n">
        <v>2</v>
      </c>
      <c r="G961" t="b">
        <v>0</v>
      </c>
      <c r="H961" t="inlineStr">
        <is>
          <t>UOM=ADT;WEIGHT_BASIS=PROCESSED_SOURCE_UNIT_WEIGHT;LINE_WEIGHT_KG=0.18;SOURCE_CFG=IA-ST-CFG-0189;SRC_REF=Row 1562, Slot 2;SRC_FILE=Mamul Ambalaj Bileşen Listesi-30.07.2026(3).xlsx</t>
        </is>
      </c>
    </row>
    <row r="962">
      <c r="A962" s="19" t="inlineStr">
        <is>
          <t>961</t>
        </is>
      </c>
      <c r="B962" s="19" t="inlineStr">
        <is>
          <t>138</t>
        </is>
      </c>
      <c r="C962" s="19" t="inlineStr">
        <is>
          <t>6</t>
        </is>
      </c>
      <c r="D962" t="n">
        <v>1</v>
      </c>
      <c r="E962" s="19" t="inlineStr">
        <is>
          <t>18</t>
        </is>
      </c>
      <c r="F962" t="n">
        <v>3</v>
      </c>
      <c r="G962" t="b">
        <v>0</v>
      </c>
      <c r="H962" t="inlineStr">
        <is>
          <t>UOM=ADT;WEIGHT_BASIS=PROCESSED_SOURCE_UNIT_WEIGHT;LINE_WEIGHT_KG=26.0;SOURCE_CFG=IA-ST-CFG-0189;SRC_REF=Row 1562, Slot 3;SRC_FILE=Mamul Ambalaj Bileşen Listesi-30.07.2026(3).xlsx</t>
        </is>
      </c>
    </row>
    <row r="963">
      <c r="A963" s="19" t="inlineStr">
        <is>
          <t>962</t>
        </is>
      </c>
      <c r="B963" s="19" t="inlineStr">
        <is>
          <t>138</t>
        </is>
      </c>
      <c r="C963" s="19" t="inlineStr">
        <is>
          <t>8</t>
        </is>
      </c>
      <c r="D963" t="n">
        <v>20</v>
      </c>
      <c r="E963" s="19" t="inlineStr">
        <is>
          <t>18</t>
        </is>
      </c>
      <c r="F963" t="n">
        <v>4</v>
      </c>
      <c r="G963" t="b">
        <v>0</v>
      </c>
      <c r="H963" t="inlineStr">
        <is>
          <t>UOM=M;WEIGHT_BASIS=PROCESSED_SOURCE_UNIT_WEIGHT;LINE_WEIGHT_KG=0.3664;SOURCE_CFG=IA-ST-CFG-0189;SRC_REF=Row 1562, Slot 5;SRC_FILE=Mamul Ambalaj Bileşen Listesi-30.07.2026(3).xlsx</t>
        </is>
      </c>
    </row>
    <row r="964">
      <c r="A964" s="19" t="inlineStr">
        <is>
          <t>963</t>
        </is>
      </c>
      <c r="B964" s="19" t="inlineStr">
        <is>
          <t>138</t>
        </is>
      </c>
      <c r="C964" s="19" t="inlineStr">
        <is>
          <t>9</t>
        </is>
      </c>
      <c r="D964" t="n">
        <v>0.186</v>
      </c>
      <c r="E964" s="19" t="inlineStr">
        <is>
          <t>18</t>
        </is>
      </c>
      <c r="F964" t="n">
        <v>5</v>
      </c>
      <c r="G964" t="b">
        <v>0</v>
      </c>
      <c r="H964" t="inlineStr">
        <is>
          <t>UOM=KG;WEIGHT_BASIS=RECIPE_QUANTITY_IS_KG;LINE_WEIGHT_KG=0.186;SOURCE_CFG=IA-ST-CFG-0189;SRC_REF=Row 1562, Slot 6;SRC_FILE=Mamul Ambalaj Bileşen Listesi-30.07.2026(3).xlsx</t>
        </is>
      </c>
    </row>
    <row r="965">
      <c r="A965" s="19" t="inlineStr">
        <is>
          <t>964</t>
        </is>
      </c>
      <c r="B965" s="19" t="inlineStr">
        <is>
          <t>138</t>
        </is>
      </c>
      <c r="C965" s="19" t="inlineStr">
        <is>
          <t>25</t>
        </is>
      </c>
      <c r="D965" t="n">
        <v>4</v>
      </c>
      <c r="E965" s="19" t="inlineStr">
        <is>
          <t>18</t>
        </is>
      </c>
      <c r="F965" t="n">
        <v>6</v>
      </c>
      <c r="G965" t="b">
        <v>0</v>
      </c>
      <c r="H965" t="inlineStr">
        <is>
          <t>UOM=ADT;WEIGHT_BASIS=PROCESSED_SOURCE_UNIT_WEIGHT;LINE_WEIGHT_KG=0.4;SOURCE_CFG=IA-ST-CFG-0189;SRC_REF=Row 1562, Slot 8;SRC_FILE=Mamul Ambalaj Bileşen Listesi-30.07.2026(3).xlsx</t>
        </is>
      </c>
    </row>
    <row r="966">
      <c r="A966" s="19" t="inlineStr">
        <is>
          <t>965</t>
        </is>
      </c>
      <c r="B966" s="19" t="inlineStr">
        <is>
          <t>138</t>
        </is>
      </c>
      <c r="C966" s="19" t="inlineStr">
        <is>
          <t>30</t>
        </is>
      </c>
      <c r="D966" t="n">
        <v>1</v>
      </c>
      <c r="E966" s="19" t="inlineStr">
        <is>
          <t>18</t>
        </is>
      </c>
      <c r="F966" t="n">
        <v>7</v>
      </c>
      <c r="G966" t="b">
        <v>0</v>
      </c>
      <c r="H966" t="inlineStr">
        <is>
          <t>UOM=ADT;WEIGHT_BASIS=PROCESSED_SOURCE_UNIT_WEIGHT;LINE_WEIGHT_KG=0.2;SOURCE_CFG=IA-ST-CFG-0189;SRC_REF=Row 1562, Slot 9;SRC_FILE=Mamul Ambalaj Bileşen Listesi-30.07.2026(3).xlsx</t>
        </is>
      </c>
    </row>
    <row r="967">
      <c r="A967" s="19" t="inlineStr">
        <is>
          <t>966</t>
        </is>
      </c>
      <c r="B967" s="19" t="inlineStr">
        <is>
          <t>139</t>
        </is>
      </c>
      <c r="C967" s="19" t="inlineStr">
        <is>
          <t>13</t>
        </is>
      </c>
      <c r="D967" t="n">
        <v>14</v>
      </c>
      <c r="E967" s="19" t="inlineStr">
        <is>
          <t>18</t>
        </is>
      </c>
      <c r="F967" t="n">
        <v>1</v>
      </c>
      <c r="G967" t="b">
        <v>0</v>
      </c>
      <c r="H967" t="inlineStr">
        <is>
          <t>UOM=M;WEIGHT_BASIS=PROCESSED_SOURCE_UNIT_WEIGHT;LINE_WEIGHT_KG=0.1736;SOURCE_CFG=IA-ST-CFG-0172;SRC_REF=Row 223, Slot 1;SRC_FILE=Mamul Ambalaj Bileşen Listesi-30.07.2026(3).xlsx</t>
        </is>
      </c>
    </row>
    <row r="968">
      <c r="A968" s="19" t="inlineStr">
        <is>
          <t>967</t>
        </is>
      </c>
      <c r="B968" s="19" t="inlineStr">
        <is>
          <t>139</t>
        </is>
      </c>
      <c r="C968" s="19" t="inlineStr">
        <is>
          <t>53</t>
        </is>
      </c>
      <c r="D968" t="n">
        <v>63</v>
      </c>
      <c r="E968" s="19" t="inlineStr">
        <is>
          <t>18</t>
        </is>
      </c>
      <c r="F968" t="n">
        <v>2</v>
      </c>
      <c r="G968" t="b">
        <v>0</v>
      </c>
      <c r="H968" t="inlineStr">
        <is>
          <t>UOM=ADT;WEIGHT_BASIS=SOURCE_UNIT_WEIGHT;LINE_WEIGHT_KG=3.2174099999999997;SOURCE_CFG=IA-ST-CFG-0172;SRC_REF=Row 223, Slot 2;SRC_FILE=Mamul Ambalaj Bileşen Listesi-30.07.2026(3).xlsx</t>
        </is>
      </c>
    </row>
    <row r="969">
      <c r="A969" s="19" t="inlineStr">
        <is>
          <t>968</t>
        </is>
      </c>
      <c r="B969" s="19" t="inlineStr">
        <is>
          <t>139</t>
        </is>
      </c>
      <c r="C969" s="19" t="inlineStr">
        <is>
          <t>5</t>
        </is>
      </c>
      <c r="D969" t="n">
        <v>1</v>
      </c>
      <c r="E969" s="19" t="inlineStr">
        <is>
          <t>18</t>
        </is>
      </c>
      <c r="F969" t="n">
        <v>3</v>
      </c>
      <c r="G969" t="b">
        <v>0</v>
      </c>
      <c r="H969" t="inlineStr">
        <is>
          <t>UOM=ADT;WEIGHT_BASIS=PROCESSED_SOURCE_UNIT_WEIGHT;LINE_WEIGHT_KG=26.0;SOURCE_CFG=IA-ST-CFG-0172;SRC_REF=Row 223, Slot 3;SRC_FILE=Mamul Ambalaj Bileşen Listesi-30.07.2026(3).xlsx</t>
        </is>
      </c>
    </row>
    <row r="970">
      <c r="A970" s="19" t="inlineStr">
        <is>
          <t>969</t>
        </is>
      </c>
      <c r="B970" s="19" t="inlineStr">
        <is>
          <t>139</t>
        </is>
      </c>
      <c r="C970" s="19" t="inlineStr">
        <is>
          <t>8</t>
        </is>
      </c>
      <c r="D970" t="n">
        <v>20</v>
      </c>
      <c r="E970" s="19" t="inlineStr">
        <is>
          <t>18</t>
        </is>
      </c>
      <c r="F970" t="n">
        <v>4</v>
      </c>
      <c r="G970" t="b">
        <v>0</v>
      </c>
      <c r="H970" t="inlineStr">
        <is>
          <t>UOM=M;WEIGHT_BASIS=PROCESSED_SOURCE_UNIT_WEIGHT;LINE_WEIGHT_KG=0.3664;SOURCE_CFG=IA-ST-CFG-0172;SRC_REF=Row 223, Slot 5;SRC_FILE=Mamul Ambalaj Bileşen Listesi-30.07.2026(3).xlsx</t>
        </is>
      </c>
    </row>
    <row r="971">
      <c r="A971" s="19" t="inlineStr">
        <is>
          <t>970</t>
        </is>
      </c>
      <c r="B971" s="19" t="inlineStr">
        <is>
          <t>139</t>
        </is>
      </c>
      <c r="C971" s="19" t="inlineStr">
        <is>
          <t>9</t>
        </is>
      </c>
      <c r="D971" t="n">
        <v>0.186</v>
      </c>
      <c r="E971" s="19" t="inlineStr">
        <is>
          <t>18</t>
        </is>
      </c>
      <c r="F971" t="n">
        <v>5</v>
      </c>
      <c r="G971" t="b">
        <v>0</v>
      </c>
      <c r="H971" t="inlineStr">
        <is>
          <t>UOM=KG;WEIGHT_BASIS=RECIPE_QUANTITY_IS_KG;LINE_WEIGHT_KG=0.186;SOURCE_CFG=IA-ST-CFG-0172;SRC_REF=Row 223, Slot 6;SRC_FILE=Mamul Ambalaj Bileşen Listesi-30.07.2026(3).xlsx</t>
        </is>
      </c>
    </row>
    <row r="972">
      <c r="A972" s="19" t="inlineStr">
        <is>
          <t>971</t>
        </is>
      </c>
      <c r="B972" s="19" t="inlineStr">
        <is>
          <t>139</t>
        </is>
      </c>
      <c r="C972" s="19" t="inlineStr">
        <is>
          <t>3</t>
        </is>
      </c>
      <c r="D972" t="n">
        <v>6</v>
      </c>
      <c r="E972" s="19" t="inlineStr">
        <is>
          <t>18</t>
        </is>
      </c>
      <c r="F972" t="n">
        <v>6</v>
      </c>
      <c r="G972" t="b">
        <v>0</v>
      </c>
      <c r="H972" t="inlineStr">
        <is>
          <t>UOM=ADT;WEIGHT_BASIS=PROCESSED_SOURCE_UNIT_WEIGHT;LINE_WEIGHT_KG=1.26;SOURCE_CFG=IA-ST-CFG-0172;SRC_REF=Row 223, Slot 8;SRC_FILE=Mamul Ambalaj Bileşen Listesi-30.07.2026(3).xlsx</t>
        </is>
      </c>
    </row>
    <row r="973">
      <c r="A973" s="19" t="inlineStr">
        <is>
          <t>972</t>
        </is>
      </c>
      <c r="B973" s="19" t="inlineStr">
        <is>
          <t>139</t>
        </is>
      </c>
      <c r="C973" s="19" t="inlineStr">
        <is>
          <t>7</t>
        </is>
      </c>
      <c r="D973" t="n">
        <v>4</v>
      </c>
      <c r="E973" s="19" t="inlineStr">
        <is>
          <t>18</t>
        </is>
      </c>
      <c r="F973" t="n">
        <v>7</v>
      </c>
      <c r="G973" t="b">
        <v>0</v>
      </c>
      <c r="H973" t="inlineStr">
        <is>
          <t>UOM=ADT;WEIGHT_BASIS=PROCESSED_SOURCE_UNIT_WEIGHT;LINE_WEIGHT_KG=1.08;SOURCE_CFG=IA-ST-CFG-0172;SRC_REF=Row 223, Slot 9;SRC_FILE=Mamul Ambalaj Bileşen Listesi-30.07.2026(3).xlsx</t>
        </is>
      </c>
    </row>
    <row r="974">
      <c r="A974" s="19" t="inlineStr">
        <is>
          <t>973</t>
        </is>
      </c>
      <c r="B974" s="19" t="inlineStr">
        <is>
          <t>139</t>
        </is>
      </c>
      <c r="C974" s="19" t="inlineStr">
        <is>
          <t>66</t>
        </is>
      </c>
      <c r="D974" t="n">
        <v>63</v>
      </c>
      <c r="E974" s="19" t="inlineStr">
        <is>
          <t>18</t>
        </is>
      </c>
      <c r="F974" t="n">
        <v>8</v>
      </c>
      <c r="G974" t="b">
        <v>0</v>
      </c>
      <c r="H974" t="inlineStr">
        <is>
          <t>UOM=ADT;WEIGHT_BASIS=PROCESSED_SOURCE_UNIT_WEIGHT;LINE_WEIGHT_KG=15.12;SOURCE_CFG=IA-ST-CFG-0172;SRC_REF=Row 223, Slot 10;SRC_FILE=Mamul Ambalaj Bileşen Listesi-30.07.2026(3).xlsx</t>
        </is>
      </c>
    </row>
    <row r="975">
      <c r="A975" s="19" t="inlineStr">
        <is>
          <t>974</t>
        </is>
      </c>
      <c r="B975" s="19" t="inlineStr">
        <is>
          <t>140</t>
        </is>
      </c>
      <c r="C975" s="19" t="inlineStr">
        <is>
          <t>11</t>
        </is>
      </c>
      <c r="D975" t="n">
        <v>3</v>
      </c>
      <c r="E975" s="19" t="inlineStr">
        <is>
          <t>18</t>
        </is>
      </c>
      <c r="F975" t="n">
        <v>1</v>
      </c>
      <c r="G975" t="b">
        <v>0</v>
      </c>
      <c r="H975" t="inlineStr">
        <is>
          <t>UOM=ADT;WEIGHT_BASIS=PROCESSED_SOURCE_UNIT_WEIGHT;LINE_WEIGHT_KG=0.312;SOURCE_CFG=IA-ST-CFG-0173;SRC_REF=Row 986, Slot 1;SRC_FILE=Mamul Ambalaj Bileşen Listesi-30.07.2026(3).xlsx</t>
        </is>
      </c>
    </row>
    <row r="976">
      <c r="A976" s="19" t="inlineStr">
        <is>
          <t>975</t>
        </is>
      </c>
      <c r="B976" s="19" t="inlineStr">
        <is>
          <t>140</t>
        </is>
      </c>
      <c r="C976" s="19" t="inlineStr">
        <is>
          <t>13</t>
        </is>
      </c>
      <c r="D976" t="n">
        <v>14</v>
      </c>
      <c r="E976" s="19" t="inlineStr">
        <is>
          <t>18</t>
        </is>
      </c>
      <c r="F976" t="n">
        <v>2</v>
      </c>
      <c r="G976" t="b">
        <v>0</v>
      </c>
      <c r="H976" t="inlineStr">
        <is>
          <t>UOM=M;WEIGHT_BASIS=PROCESSED_SOURCE_UNIT_WEIGHT;LINE_WEIGHT_KG=0.1736;SOURCE_CFG=IA-ST-CFG-0173;SRC_REF=Row 986, Slot 2;SRC_FILE=Mamul Ambalaj Bileşen Listesi-30.07.2026(3).xlsx</t>
        </is>
      </c>
    </row>
    <row r="977">
      <c r="A977" s="19" t="inlineStr">
        <is>
          <t>976</t>
        </is>
      </c>
      <c r="B977" s="19" t="inlineStr">
        <is>
          <t>140</t>
        </is>
      </c>
      <c r="C977" s="19" t="inlineStr">
        <is>
          <t>5</t>
        </is>
      </c>
      <c r="D977" t="n">
        <v>1</v>
      </c>
      <c r="E977" s="19" t="inlineStr">
        <is>
          <t>18</t>
        </is>
      </c>
      <c r="F977" t="n">
        <v>3</v>
      </c>
      <c r="G977" t="b">
        <v>0</v>
      </c>
      <c r="H977" t="inlineStr">
        <is>
          <t>UOM=ADT;WEIGHT_BASIS=PROCESSED_SOURCE_UNIT_WEIGHT;LINE_WEIGHT_KG=26.0;SOURCE_CFG=IA-ST-CFG-0173;SRC_REF=Row 986, Slot 3;SRC_FILE=Mamul Ambalaj Bileşen Listesi-30.07.2026(3).xlsx</t>
        </is>
      </c>
    </row>
    <row r="978">
      <c r="A978" s="19" t="inlineStr">
        <is>
          <t>977</t>
        </is>
      </c>
      <c r="B978" s="19" t="inlineStr">
        <is>
          <t>140</t>
        </is>
      </c>
      <c r="C978" s="19" t="inlineStr">
        <is>
          <t>8</t>
        </is>
      </c>
      <c r="D978" t="n">
        <v>20</v>
      </c>
      <c r="E978" s="19" t="inlineStr">
        <is>
          <t>18</t>
        </is>
      </c>
      <c r="F978" t="n">
        <v>4</v>
      </c>
      <c r="G978" t="b">
        <v>0</v>
      </c>
      <c r="H978" t="inlineStr">
        <is>
          <t>UOM=M;WEIGHT_BASIS=PROCESSED_SOURCE_UNIT_WEIGHT;LINE_WEIGHT_KG=0.3664;SOURCE_CFG=IA-ST-CFG-0173;SRC_REF=Row 986, Slot 5;SRC_FILE=Mamul Ambalaj Bileşen Listesi-30.07.2026(3).xlsx</t>
        </is>
      </c>
    </row>
    <row r="979">
      <c r="A979" s="19" t="inlineStr">
        <is>
          <t>978</t>
        </is>
      </c>
      <c r="B979" s="19" t="inlineStr">
        <is>
          <t>140</t>
        </is>
      </c>
      <c r="C979" s="19" t="inlineStr">
        <is>
          <t>9</t>
        </is>
      </c>
      <c r="D979" t="n">
        <v>0.186</v>
      </c>
      <c r="E979" s="19" t="inlineStr">
        <is>
          <t>18</t>
        </is>
      </c>
      <c r="F979" t="n">
        <v>5</v>
      </c>
      <c r="G979" t="b">
        <v>0</v>
      </c>
      <c r="H979" t="inlineStr">
        <is>
          <t>UOM=KG;WEIGHT_BASIS=RECIPE_QUANTITY_IS_KG;LINE_WEIGHT_KG=0.186;SOURCE_CFG=IA-ST-CFG-0173;SRC_REF=Row 986, Slot 6;SRC_FILE=Mamul Ambalaj Bileşen Listesi-30.07.2026(3).xlsx</t>
        </is>
      </c>
    </row>
    <row r="980">
      <c r="A980" s="19" t="inlineStr">
        <is>
          <t>979</t>
        </is>
      </c>
      <c r="B980" s="19" t="inlineStr">
        <is>
          <t>140</t>
        </is>
      </c>
      <c r="C980" s="19" t="inlineStr">
        <is>
          <t>7</t>
        </is>
      </c>
      <c r="D980" t="n">
        <v>1</v>
      </c>
      <c r="E980" s="19" t="inlineStr">
        <is>
          <t>18</t>
        </is>
      </c>
      <c r="F980" t="n">
        <v>6</v>
      </c>
      <c r="G980" t="b">
        <v>0</v>
      </c>
      <c r="H980" t="inlineStr">
        <is>
          <t>UOM=ADT;WEIGHT_BASIS=PROCESSED_SOURCE_UNIT_WEIGHT;LINE_WEIGHT_KG=0.27;SOURCE_CFG=IA-ST-CFG-0173;SRC_REF=Row 986, Slot 8;SRC_FILE=Mamul Ambalaj Bileşen Listesi-30.07.2026(3).xlsx</t>
        </is>
      </c>
    </row>
    <row r="981">
      <c r="A981" s="19" t="inlineStr">
        <is>
          <t>980</t>
        </is>
      </c>
      <c r="B981" s="19" t="inlineStr">
        <is>
          <t>140</t>
        </is>
      </c>
      <c r="C981" s="19" t="inlineStr">
        <is>
          <t>25</t>
        </is>
      </c>
      <c r="D981" t="n">
        <v>4</v>
      </c>
      <c r="E981" s="19" t="inlineStr">
        <is>
          <t>18</t>
        </is>
      </c>
      <c r="F981" t="n">
        <v>7</v>
      </c>
      <c r="G981" t="b">
        <v>0</v>
      </c>
      <c r="H981" t="inlineStr">
        <is>
          <t>UOM=ADT;WEIGHT_BASIS=PROCESSED_SOURCE_UNIT_WEIGHT;LINE_WEIGHT_KG=0.4;SOURCE_CFG=IA-ST-CFG-0173;SRC_REF=Row 986, Slot 9;SRC_FILE=Mamul Ambalaj Bileşen Listesi-30.07.2026(3).xlsx</t>
        </is>
      </c>
    </row>
    <row r="982">
      <c r="A982" s="19" t="inlineStr">
        <is>
          <t>981</t>
        </is>
      </c>
      <c r="B982" s="19" t="inlineStr">
        <is>
          <t>141</t>
        </is>
      </c>
      <c r="C982" s="19" t="inlineStr">
        <is>
          <t>12</t>
        </is>
      </c>
      <c r="D982" t="n">
        <v>63</v>
      </c>
      <c r="E982" s="19" t="inlineStr">
        <is>
          <t>18</t>
        </is>
      </c>
      <c r="F982" t="n">
        <v>1</v>
      </c>
      <c r="G982" t="b">
        <v>0</v>
      </c>
      <c r="H982" t="inlineStr">
        <is>
          <t>UOM=ADT;WEIGHT_BASIS=SOURCE_UNIT_WEIGHT;LINE_WEIGHT_KG=4.032;SOURCE_CFG=IA-ST-CFG-0174;SRC_REF=Row 1032, Slot 1;SRC_FILE=Mamul Ambalaj Bileşen Listesi-30.07.2026(3).xlsx</t>
        </is>
      </c>
    </row>
    <row r="983">
      <c r="A983" s="19" t="inlineStr">
        <is>
          <t>982</t>
        </is>
      </c>
      <c r="B983" s="19" t="inlineStr">
        <is>
          <t>141</t>
        </is>
      </c>
      <c r="C983" s="19" t="inlineStr">
        <is>
          <t>13</t>
        </is>
      </c>
      <c r="D983" t="n">
        <v>14</v>
      </c>
      <c r="E983" s="19" t="inlineStr">
        <is>
          <t>18</t>
        </is>
      </c>
      <c r="F983" t="n">
        <v>2</v>
      </c>
      <c r="G983" t="b">
        <v>0</v>
      </c>
      <c r="H983" t="inlineStr">
        <is>
          <t>UOM=M;WEIGHT_BASIS=PROCESSED_SOURCE_UNIT_WEIGHT;LINE_WEIGHT_KG=0.1736;SOURCE_CFG=IA-ST-CFG-0174;SRC_REF=Row 1032, Slot 2;SRC_FILE=Mamul Ambalaj Bileşen Listesi-30.07.2026(3).xlsx</t>
        </is>
      </c>
    </row>
    <row r="984">
      <c r="A984" s="19" t="inlineStr">
        <is>
          <t>983</t>
        </is>
      </c>
      <c r="B984" s="19" t="inlineStr">
        <is>
          <t>141</t>
        </is>
      </c>
      <c r="C984" s="19" t="inlineStr">
        <is>
          <t>5</t>
        </is>
      </c>
      <c r="D984" t="n">
        <v>1</v>
      </c>
      <c r="E984" s="19" t="inlineStr">
        <is>
          <t>18</t>
        </is>
      </c>
      <c r="F984" t="n">
        <v>3</v>
      </c>
      <c r="G984" t="b">
        <v>0</v>
      </c>
      <c r="H984" t="inlineStr">
        <is>
          <t>UOM=ADT;WEIGHT_BASIS=PROCESSED_SOURCE_UNIT_WEIGHT;LINE_WEIGHT_KG=26.0;SOURCE_CFG=IA-ST-CFG-0174;SRC_REF=Row 1032, Slot 3;SRC_FILE=Mamul Ambalaj Bileşen Listesi-30.07.2026(3).xlsx</t>
        </is>
      </c>
    </row>
    <row r="985">
      <c r="A985" s="19" t="inlineStr">
        <is>
          <t>984</t>
        </is>
      </c>
      <c r="B985" s="19" t="inlineStr">
        <is>
          <t>141</t>
        </is>
      </c>
      <c r="C985" s="19" t="inlineStr">
        <is>
          <t>8</t>
        </is>
      </c>
      <c r="D985" t="n">
        <v>20</v>
      </c>
      <c r="E985" s="19" t="inlineStr">
        <is>
          <t>18</t>
        </is>
      </c>
      <c r="F985" t="n">
        <v>4</v>
      </c>
      <c r="G985" t="b">
        <v>0</v>
      </c>
      <c r="H985" t="inlineStr">
        <is>
          <t>UOM=M;WEIGHT_BASIS=PROCESSED_SOURCE_UNIT_WEIGHT;LINE_WEIGHT_KG=0.3664;SOURCE_CFG=IA-ST-CFG-0174;SRC_REF=Row 1032, Slot 5;SRC_FILE=Mamul Ambalaj Bileşen Listesi-30.07.2026(3).xlsx</t>
        </is>
      </c>
    </row>
    <row r="986">
      <c r="A986" s="19" t="inlineStr">
        <is>
          <t>985</t>
        </is>
      </c>
      <c r="B986" s="19" t="inlineStr">
        <is>
          <t>141</t>
        </is>
      </c>
      <c r="C986" s="19" t="inlineStr">
        <is>
          <t>9</t>
        </is>
      </c>
      <c r="D986" t="n">
        <v>0.186</v>
      </c>
      <c r="E986" s="19" t="inlineStr">
        <is>
          <t>18</t>
        </is>
      </c>
      <c r="F986" t="n">
        <v>5</v>
      </c>
      <c r="G986" t="b">
        <v>0</v>
      </c>
      <c r="H986" t="inlineStr">
        <is>
          <t>UOM=KG;WEIGHT_BASIS=RECIPE_QUANTITY_IS_KG;LINE_WEIGHT_KG=0.186;SOURCE_CFG=IA-ST-CFG-0174;SRC_REF=Row 1032, Slot 6;SRC_FILE=Mamul Ambalaj Bileşen Listesi-30.07.2026(3).xlsx</t>
        </is>
      </c>
    </row>
    <row r="987">
      <c r="A987" s="19" t="inlineStr">
        <is>
          <t>986</t>
        </is>
      </c>
      <c r="B987" s="19" t="inlineStr">
        <is>
          <t>141</t>
        </is>
      </c>
      <c r="C987" s="19" t="inlineStr">
        <is>
          <t>23</t>
        </is>
      </c>
      <c r="D987" t="n">
        <v>2.2</v>
      </c>
      <c r="E987" s="19" t="inlineStr">
        <is>
          <t>18</t>
        </is>
      </c>
      <c r="F987" t="n">
        <v>6</v>
      </c>
      <c r="G987" t="b">
        <v>0</v>
      </c>
      <c r="H987" t="inlineStr">
        <is>
          <t>UOM=KG;WEIGHT_BASIS=RECIPE_QUANTITY_IS_KG;LINE_WEIGHT_KG=2.2;SOURCE_CFG=IA-ST-CFG-0174;SRC_REF=Row 1032, Slot 7;SRC_FILE=Mamul Ambalaj Bileşen Listesi-30.07.2026(3).xlsx</t>
        </is>
      </c>
    </row>
    <row r="988">
      <c r="A988" s="19" t="inlineStr">
        <is>
          <t>987</t>
        </is>
      </c>
      <c r="B988" s="19" t="inlineStr">
        <is>
          <t>141</t>
        </is>
      </c>
      <c r="C988" s="19" t="inlineStr">
        <is>
          <t>7</t>
        </is>
      </c>
      <c r="D988" t="n">
        <v>1</v>
      </c>
      <c r="E988" s="19" t="inlineStr">
        <is>
          <t>18</t>
        </is>
      </c>
      <c r="F988" t="n">
        <v>7</v>
      </c>
      <c r="G988" t="b">
        <v>0</v>
      </c>
      <c r="H988" t="inlineStr">
        <is>
          <t>UOM=ADT;WEIGHT_BASIS=PROCESSED_SOURCE_UNIT_WEIGHT;LINE_WEIGHT_KG=0.27;SOURCE_CFG=IA-ST-CFG-0174;SRC_REF=Row 1032, Slot 8;SRC_FILE=Mamul Ambalaj Bileşen Listesi-30.07.2026(3).xlsx</t>
        </is>
      </c>
    </row>
    <row r="989">
      <c r="A989" s="19" t="inlineStr">
        <is>
          <t>988</t>
        </is>
      </c>
      <c r="B989" s="19" t="inlineStr">
        <is>
          <t>141</t>
        </is>
      </c>
      <c r="C989" s="19" t="inlineStr">
        <is>
          <t>25</t>
        </is>
      </c>
      <c r="D989" t="n">
        <v>4</v>
      </c>
      <c r="E989" s="19" t="inlineStr">
        <is>
          <t>18</t>
        </is>
      </c>
      <c r="F989" t="n">
        <v>8</v>
      </c>
      <c r="G989" t="b">
        <v>0</v>
      </c>
      <c r="H989" t="inlineStr">
        <is>
          <t>UOM=ADT;WEIGHT_BASIS=PROCESSED_SOURCE_UNIT_WEIGHT;LINE_WEIGHT_KG=0.4;SOURCE_CFG=IA-ST-CFG-0174;SRC_REF=Row 1032, Slot 9;SRC_FILE=Mamul Ambalaj Bileşen Listesi-30.07.2026(3).xlsx</t>
        </is>
      </c>
    </row>
    <row r="990">
      <c r="A990" s="19" t="inlineStr">
        <is>
          <t>989</t>
        </is>
      </c>
      <c r="B990" s="19" t="inlineStr">
        <is>
          <t>142</t>
        </is>
      </c>
      <c r="C990" s="19" t="inlineStr">
        <is>
          <t>12</t>
        </is>
      </c>
      <c r="D990" t="n">
        <v>63</v>
      </c>
      <c r="E990" s="19" t="inlineStr">
        <is>
          <t>18</t>
        </is>
      </c>
      <c r="F990" t="n">
        <v>1</v>
      </c>
      <c r="G990" t="b">
        <v>0</v>
      </c>
      <c r="H990" t="inlineStr">
        <is>
          <t>UOM=ADT;WEIGHT_BASIS=SOURCE_UNIT_WEIGHT;LINE_WEIGHT_KG=4.032;SOURCE_CFG=IA-ST-CFG-0175;SRC_REF=Row 289, Slot 1;SRC_FILE=Mamul Ambalaj Bileşen Listesi-30.07.2026(3).xlsx</t>
        </is>
      </c>
    </row>
    <row r="991">
      <c r="A991" s="19" t="inlineStr">
        <is>
          <t>990</t>
        </is>
      </c>
      <c r="B991" s="19" t="inlineStr">
        <is>
          <t>142</t>
        </is>
      </c>
      <c r="C991" s="19" t="inlineStr">
        <is>
          <t>13</t>
        </is>
      </c>
      <c r="D991" t="n">
        <v>7</v>
      </c>
      <c r="E991" s="19" t="inlineStr">
        <is>
          <t>18</t>
        </is>
      </c>
      <c r="F991" t="n">
        <v>2</v>
      </c>
      <c r="G991" t="b">
        <v>0</v>
      </c>
      <c r="H991" t="inlineStr">
        <is>
          <t>UOM=M;WEIGHT_BASIS=PROCESSED_SOURCE_UNIT_WEIGHT;LINE_WEIGHT_KG=0.0868;SOURCE_CFG=IA-ST-CFG-0175;SRC_REF=Row 289, Slot 2;SRC_FILE=Mamul Ambalaj Bileşen Listesi-30.07.2026(3).xlsx</t>
        </is>
      </c>
    </row>
    <row r="992">
      <c r="A992" s="19" t="inlineStr">
        <is>
          <t>991</t>
        </is>
      </c>
      <c r="B992" s="19" t="inlineStr">
        <is>
          <t>142</t>
        </is>
      </c>
      <c r="C992" s="19" t="inlineStr">
        <is>
          <t>5</t>
        </is>
      </c>
      <c r="D992" t="n">
        <v>1</v>
      </c>
      <c r="E992" s="19" t="inlineStr">
        <is>
          <t>18</t>
        </is>
      </c>
      <c r="F992" t="n">
        <v>3</v>
      </c>
      <c r="G992" t="b">
        <v>0</v>
      </c>
      <c r="H992" t="inlineStr">
        <is>
          <t>UOM=ADT;WEIGHT_BASIS=PROCESSED_SOURCE_UNIT_WEIGHT;LINE_WEIGHT_KG=26.0;SOURCE_CFG=IA-ST-CFG-0175;SRC_REF=Row 289, Slot 3;SRC_FILE=Mamul Ambalaj Bileşen Listesi-30.07.2026(3).xlsx</t>
        </is>
      </c>
    </row>
    <row r="993">
      <c r="A993" s="19" t="inlineStr">
        <is>
          <t>992</t>
        </is>
      </c>
      <c r="B993" s="19" t="inlineStr">
        <is>
          <t>142</t>
        </is>
      </c>
      <c r="C993" s="19" t="inlineStr">
        <is>
          <t>8</t>
        </is>
      </c>
      <c r="D993" t="n">
        <v>20</v>
      </c>
      <c r="E993" s="19" t="inlineStr">
        <is>
          <t>18</t>
        </is>
      </c>
      <c r="F993" t="n">
        <v>4</v>
      </c>
      <c r="G993" t="b">
        <v>0</v>
      </c>
      <c r="H993" t="inlineStr">
        <is>
          <t>UOM=M;WEIGHT_BASIS=PROCESSED_SOURCE_UNIT_WEIGHT;LINE_WEIGHT_KG=0.3664;SOURCE_CFG=IA-ST-CFG-0175;SRC_REF=Row 289, Slot 5;SRC_FILE=Mamul Ambalaj Bileşen Listesi-30.07.2026(3).xlsx</t>
        </is>
      </c>
    </row>
    <row r="994">
      <c r="A994" s="19" t="inlineStr">
        <is>
          <t>993</t>
        </is>
      </c>
      <c r="B994" s="19" t="inlineStr">
        <is>
          <t>142</t>
        </is>
      </c>
      <c r="C994" s="19" t="inlineStr">
        <is>
          <t>9</t>
        </is>
      </c>
      <c r="D994" t="n">
        <v>0.186</v>
      </c>
      <c r="E994" s="19" t="inlineStr">
        <is>
          <t>18</t>
        </is>
      </c>
      <c r="F994" t="n">
        <v>5</v>
      </c>
      <c r="G994" t="b">
        <v>0</v>
      </c>
      <c r="H994" t="inlineStr">
        <is>
          <t>UOM=KG;WEIGHT_BASIS=RECIPE_QUANTITY_IS_KG;LINE_WEIGHT_KG=0.186;SOURCE_CFG=IA-ST-CFG-0175;SRC_REF=Row 289, Slot 6;SRC_FILE=Mamul Ambalaj Bileşen Listesi-30.07.2026(3).xlsx</t>
        </is>
      </c>
    </row>
    <row r="995">
      <c r="A995" s="19" t="inlineStr">
        <is>
          <t>994</t>
        </is>
      </c>
      <c r="B995" s="19" t="inlineStr">
        <is>
          <t>142</t>
        </is>
      </c>
      <c r="C995" s="19" t="inlineStr">
        <is>
          <t>23</t>
        </is>
      </c>
      <c r="D995" t="n">
        <v>2.2</v>
      </c>
      <c r="E995" s="19" t="inlineStr">
        <is>
          <t>18</t>
        </is>
      </c>
      <c r="F995" t="n">
        <v>6</v>
      </c>
      <c r="G995" t="b">
        <v>0</v>
      </c>
      <c r="H995" t="inlineStr">
        <is>
          <t>UOM=KG;WEIGHT_BASIS=RECIPE_QUANTITY_IS_KG;LINE_WEIGHT_KG=2.2;SOURCE_CFG=IA-ST-CFG-0175;SRC_REF=Row 289, Slot 7;SRC_FILE=Mamul Ambalaj Bileşen Listesi-30.07.2026(3).xlsx</t>
        </is>
      </c>
    </row>
    <row r="996">
      <c r="A996" s="19" t="inlineStr">
        <is>
          <t>995</t>
        </is>
      </c>
      <c r="B996" s="19" t="inlineStr">
        <is>
          <t>142</t>
        </is>
      </c>
      <c r="C996" s="19" t="inlineStr">
        <is>
          <t>7</t>
        </is>
      </c>
      <c r="D996" t="n">
        <v>4</v>
      </c>
      <c r="E996" s="19" t="inlineStr">
        <is>
          <t>18</t>
        </is>
      </c>
      <c r="F996" t="n">
        <v>7</v>
      </c>
      <c r="G996" t="b">
        <v>0</v>
      </c>
      <c r="H996" t="inlineStr">
        <is>
          <t>UOM=ADT;WEIGHT_BASIS=PROCESSED_SOURCE_UNIT_WEIGHT;LINE_WEIGHT_KG=1.08;SOURCE_CFG=IA-ST-CFG-0175;SRC_REF=Row 289, Slot 8;SRC_FILE=Mamul Ambalaj Bileşen Listesi-30.07.2026(3).xlsx</t>
        </is>
      </c>
    </row>
    <row r="997">
      <c r="A997" s="19" t="inlineStr">
        <is>
          <t>996</t>
        </is>
      </c>
      <c r="B997" s="19" t="inlineStr">
        <is>
          <t>142</t>
        </is>
      </c>
      <c r="C997" s="19" t="inlineStr">
        <is>
          <t>25</t>
        </is>
      </c>
      <c r="D997" t="n">
        <v>2</v>
      </c>
      <c r="E997" s="19" t="inlineStr">
        <is>
          <t>18</t>
        </is>
      </c>
      <c r="F997" t="n">
        <v>8</v>
      </c>
      <c r="G997" t="b">
        <v>0</v>
      </c>
      <c r="H997" t="inlineStr">
        <is>
          <t>UOM=ADT;WEIGHT_BASIS=PROCESSED_SOURCE_UNIT_WEIGHT;LINE_WEIGHT_KG=0.2;SOURCE_CFG=IA-ST-CFG-0175;SRC_REF=Row 289, Slot 9;SRC_FILE=Mamul Ambalaj Bileşen Listesi-30.07.2026(3).xlsx</t>
        </is>
      </c>
    </row>
    <row r="998">
      <c r="A998" s="19" t="inlineStr">
        <is>
          <t>997</t>
        </is>
      </c>
      <c r="B998" s="19" t="inlineStr">
        <is>
          <t>143</t>
        </is>
      </c>
      <c r="C998" s="19" t="inlineStr">
        <is>
          <t>12</t>
        </is>
      </c>
      <c r="D998" t="n">
        <v>63</v>
      </c>
      <c r="E998" s="19" t="inlineStr">
        <is>
          <t>18</t>
        </is>
      </c>
      <c r="F998" t="n">
        <v>1</v>
      </c>
      <c r="G998" t="b">
        <v>0</v>
      </c>
      <c r="H998" t="inlineStr">
        <is>
          <t>UOM=ADT;WEIGHT_BASIS=SOURCE_UNIT_WEIGHT;LINE_WEIGHT_KG=4.032;SOURCE_CFG=IA-ST-CFG-0176;SRC_REF=Row 230, Slot 1;SRC_FILE=Mamul Ambalaj Bileşen Listesi-30.07.2026(3).xlsx</t>
        </is>
      </c>
    </row>
    <row r="999">
      <c r="A999" s="19" t="inlineStr">
        <is>
          <t>998</t>
        </is>
      </c>
      <c r="B999" s="19" t="inlineStr">
        <is>
          <t>143</t>
        </is>
      </c>
      <c r="C999" s="19" t="inlineStr">
        <is>
          <t>5</t>
        </is>
      </c>
      <c r="D999" t="n">
        <v>1</v>
      </c>
      <c r="E999" s="19" t="inlineStr">
        <is>
          <t>18</t>
        </is>
      </c>
      <c r="F999" t="n">
        <v>2</v>
      </c>
      <c r="G999" t="b">
        <v>0</v>
      </c>
      <c r="H999" t="inlineStr">
        <is>
          <t>UOM=ADT;WEIGHT_BASIS=PROCESSED_SOURCE_UNIT_WEIGHT;LINE_WEIGHT_KG=26.0;SOURCE_CFG=IA-ST-CFG-0176;SRC_REF=Row 230, Slot 3;SRC_FILE=Mamul Ambalaj Bileşen Listesi-30.07.2026(3).xlsx</t>
        </is>
      </c>
    </row>
    <row r="1000">
      <c r="A1000" s="19" t="inlineStr">
        <is>
          <t>999</t>
        </is>
      </c>
      <c r="B1000" s="19" t="inlineStr">
        <is>
          <t>143</t>
        </is>
      </c>
      <c r="C1000" s="19" t="inlineStr">
        <is>
          <t>8</t>
        </is>
      </c>
      <c r="D1000" t="n">
        <v>20</v>
      </c>
      <c r="E1000" s="19" t="inlineStr">
        <is>
          <t>18</t>
        </is>
      </c>
      <c r="F1000" t="n">
        <v>3</v>
      </c>
      <c r="G1000" t="b">
        <v>0</v>
      </c>
      <c r="H1000" t="inlineStr">
        <is>
          <t>UOM=M;WEIGHT_BASIS=PROCESSED_SOURCE_UNIT_WEIGHT;LINE_WEIGHT_KG=0.3664;SOURCE_CFG=IA-ST-CFG-0176;SRC_REF=Row 230, Slot 5;SRC_FILE=Mamul Ambalaj Bileşen Listesi-30.07.2026(3).xlsx</t>
        </is>
      </c>
    </row>
    <row r="1001">
      <c r="A1001" s="19" t="inlineStr">
        <is>
          <t>1000</t>
        </is>
      </c>
      <c r="B1001" s="19" t="inlineStr">
        <is>
          <t>143</t>
        </is>
      </c>
      <c r="C1001" s="19" t="inlineStr">
        <is>
          <t>9</t>
        </is>
      </c>
      <c r="D1001" t="n">
        <v>0.186</v>
      </c>
      <c r="E1001" s="19" t="inlineStr">
        <is>
          <t>18</t>
        </is>
      </c>
      <c r="F1001" t="n">
        <v>4</v>
      </c>
      <c r="G1001" t="b">
        <v>0</v>
      </c>
      <c r="H1001" t="inlineStr">
        <is>
          <t>UOM=KG;WEIGHT_BASIS=RECIPE_QUANTITY_IS_KG;LINE_WEIGHT_KG=0.186;SOURCE_CFG=IA-ST-CFG-0176;SRC_REF=Row 230, Slot 6;SRC_FILE=Mamul Ambalaj Bileşen Listesi-30.07.2026(3).xlsx</t>
        </is>
      </c>
    </row>
    <row r="1002">
      <c r="A1002" s="19" t="inlineStr">
        <is>
          <t>1001</t>
        </is>
      </c>
      <c r="B1002" s="19" t="inlineStr">
        <is>
          <t>143</t>
        </is>
      </c>
      <c r="C1002" s="19" t="inlineStr">
        <is>
          <t>23</t>
        </is>
      </c>
      <c r="D1002" t="n">
        <v>2.2</v>
      </c>
      <c r="E1002" s="19" t="inlineStr">
        <is>
          <t>18</t>
        </is>
      </c>
      <c r="F1002" t="n">
        <v>5</v>
      </c>
      <c r="G1002" t="b">
        <v>0</v>
      </c>
      <c r="H1002" t="inlineStr">
        <is>
          <t>UOM=KG;WEIGHT_BASIS=RECIPE_QUANTITY_IS_KG;LINE_WEIGHT_KG=2.2;SOURCE_CFG=IA-ST-CFG-0176;SRC_REF=Row 230, Slot 7;SRC_FILE=Mamul Ambalaj Bileşen Listesi-30.07.2026(3).xlsx</t>
        </is>
      </c>
    </row>
    <row r="1003">
      <c r="A1003" s="19" t="inlineStr">
        <is>
          <t>1002</t>
        </is>
      </c>
      <c r="B1003" s="19" t="inlineStr">
        <is>
          <t>143</t>
        </is>
      </c>
      <c r="C1003" s="19" t="inlineStr">
        <is>
          <t>7</t>
        </is>
      </c>
      <c r="D1003" t="n">
        <v>4</v>
      </c>
      <c r="E1003" s="19" t="inlineStr">
        <is>
          <t>18</t>
        </is>
      </c>
      <c r="F1003" t="n">
        <v>6</v>
      </c>
      <c r="G1003" t="b">
        <v>0</v>
      </c>
      <c r="H1003" t="inlineStr">
        <is>
          <t>UOM=ADT;WEIGHT_BASIS=PROCESSED_SOURCE_UNIT_WEIGHT;LINE_WEIGHT_KG=1.08;SOURCE_CFG=IA-ST-CFG-0176;SRC_REF=Row 230, Slot 8;SRC_FILE=Mamul Ambalaj Bileşen Listesi-30.07.2026(3).xlsx</t>
        </is>
      </c>
    </row>
    <row r="1004">
      <c r="A1004" s="19" t="inlineStr">
        <is>
          <t>1003</t>
        </is>
      </c>
      <c r="B1004" s="19" t="inlineStr">
        <is>
          <t>144</t>
        </is>
      </c>
      <c r="C1004" s="19" t="inlineStr">
        <is>
          <t>13</t>
        </is>
      </c>
      <c r="D1004" t="n">
        <v>14</v>
      </c>
      <c r="E1004" s="19" t="inlineStr">
        <is>
          <t>18</t>
        </is>
      </c>
      <c r="F1004" t="n">
        <v>1</v>
      </c>
      <c r="G1004" t="b">
        <v>0</v>
      </c>
      <c r="H1004" t="inlineStr">
        <is>
          <t>UOM=M;WEIGHT_BASIS=PROCESSED_SOURCE_UNIT_WEIGHT;LINE_WEIGHT_KG=0.1736;SOURCE_CFG=IA-ST-CFG-0177;SRC_REF=Row 2000, Slot 1;SRC_FILE=Mamul Ambalaj Bileşen Listesi-30.07.2026(3).xlsx</t>
        </is>
      </c>
    </row>
    <row r="1005">
      <c r="A1005" s="19" t="inlineStr">
        <is>
          <t>1004</t>
        </is>
      </c>
      <c r="B1005" s="19" t="inlineStr">
        <is>
          <t>144</t>
        </is>
      </c>
      <c r="C1005" s="19" t="inlineStr">
        <is>
          <t>5</t>
        </is>
      </c>
      <c r="D1005" t="n">
        <v>1</v>
      </c>
      <c r="E1005" s="19" t="inlineStr">
        <is>
          <t>18</t>
        </is>
      </c>
      <c r="F1005" t="n">
        <v>2</v>
      </c>
      <c r="G1005" t="b">
        <v>0</v>
      </c>
      <c r="H1005" t="inlineStr">
        <is>
          <t>UOM=ADT;WEIGHT_BASIS=PROCESSED_SOURCE_UNIT_WEIGHT;LINE_WEIGHT_KG=26.0;SOURCE_CFG=IA-ST-CFG-0177;SRC_REF=Row 2000, Slot 3;SRC_FILE=Mamul Ambalaj Bileşen Listesi-30.07.2026(3).xlsx</t>
        </is>
      </c>
    </row>
    <row r="1006">
      <c r="A1006" s="19" t="inlineStr">
        <is>
          <t>1005</t>
        </is>
      </c>
      <c r="B1006" s="19" t="inlineStr">
        <is>
          <t>144</t>
        </is>
      </c>
      <c r="C1006" s="19" t="inlineStr">
        <is>
          <t>8</t>
        </is>
      </c>
      <c r="D1006" t="n">
        <v>20</v>
      </c>
      <c r="E1006" s="19" t="inlineStr">
        <is>
          <t>18</t>
        </is>
      </c>
      <c r="F1006" t="n">
        <v>3</v>
      </c>
      <c r="G1006" t="b">
        <v>0</v>
      </c>
      <c r="H1006" t="inlineStr">
        <is>
          <t>UOM=M;WEIGHT_BASIS=PROCESSED_SOURCE_UNIT_WEIGHT;LINE_WEIGHT_KG=0.3664;SOURCE_CFG=IA-ST-CFG-0177;SRC_REF=Row 2000, Slot 5;SRC_FILE=Mamul Ambalaj Bileşen Listesi-30.07.2026(3).xlsx</t>
        </is>
      </c>
    </row>
    <row r="1007">
      <c r="A1007" s="19" t="inlineStr">
        <is>
          <t>1006</t>
        </is>
      </c>
      <c r="B1007" s="19" t="inlineStr">
        <is>
          <t>144</t>
        </is>
      </c>
      <c r="C1007" s="19" t="inlineStr">
        <is>
          <t>9</t>
        </is>
      </c>
      <c r="D1007" t="n">
        <v>0.186</v>
      </c>
      <c r="E1007" s="19" t="inlineStr">
        <is>
          <t>18</t>
        </is>
      </c>
      <c r="F1007" t="n">
        <v>4</v>
      </c>
      <c r="G1007" t="b">
        <v>0</v>
      </c>
      <c r="H1007" t="inlineStr">
        <is>
          <t>UOM=KG;WEIGHT_BASIS=RECIPE_QUANTITY_IS_KG;LINE_WEIGHT_KG=0.186;SOURCE_CFG=IA-ST-CFG-0177;SRC_REF=Row 2000, Slot 6;SRC_FILE=Mamul Ambalaj Bileşen Listesi-30.07.2026(3).xlsx</t>
        </is>
      </c>
    </row>
    <row r="1008">
      <c r="A1008" s="19" t="inlineStr">
        <is>
          <t>1007</t>
        </is>
      </c>
      <c r="B1008" s="19" t="inlineStr">
        <is>
          <t>144</t>
        </is>
      </c>
      <c r="C1008" s="19" t="inlineStr">
        <is>
          <t>7</t>
        </is>
      </c>
      <c r="D1008" t="n">
        <v>4</v>
      </c>
      <c r="E1008" s="19" t="inlineStr">
        <is>
          <t>18</t>
        </is>
      </c>
      <c r="F1008" t="n">
        <v>5</v>
      </c>
      <c r="G1008" t="b">
        <v>0</v>
      </c>
      <c r="H1008" t="inlineStr">
        <is>
          <t>UOM=ADT;WEIGHT_BASIS=PROCESSED_SOURCE_UNIT_WEIGHT;LINE_WEIGHT_KG=1.08;SOURCE_CFG=IA-ST-CFG-0177;SRC_REF=Row 2000, Slot 8;SRC_FILE=Mamul Ambalaj Bileşen Listesi-30.07.2026(3).xlsx</t>
        </is>
      </c>
    </row>
    <row r="1009">
      <c r="A1009" s="19" t="inlineStr">
        <is>
          <t>1008</t>
        </is>
      </c>
      <c r="B1009" s="19" t="inlineStr">
        <is>
          <t>144</t>
        </is>
      </c>
      <c r="C1009" s="19" t="inlineStr">
        <is>
          <t>25</t>
        </is>
      </c>
      <c r="D1009" t="n">
        <v>4</v>
      </c>
      <c r="E1009" s="19" t="inlineStr">
        <is>
          <t>18</t>
        </is>
      </c>
      <c r="F1009" t="n">
        <v>6</v>
      </c>
      <c r="G1009" t="b">
        <v>0</v>
      </c>
      <c r="H1009" t="inlineStr">
        <is>
          <t>UOM=ADT;WEIGHT_BASIS=PROCESSED_SOURCE_UNIT_WEIGHT;LINE_WEIGHT_KG=0.4;SOURCE_CFG=IA-ST-CFG-0177;SRC_REF=Row 2000, Slot 9;SRC_FILE=Mamul Ambalaj Bileşen Listesi-30.07.2026(3).xlsx</t>
        </is>
      </c>
    </row>
    <row r="1010">
      <c r="A1010" s="19" t="inlineStr">
        <is>
          <t>1009</t>
        </is>
      </c>
      <c r="B1010" s="19" t="inlineStr">
        <is>
          <t>145</t>
        </is>
      </c>
      <c r="C1010" s="19" t="inlineStr">
        <is>
          <t>13</t>
        </is>
      </c>
      <c r="D1010" t="n">
        <v>7</v>
      </c>
      <c r="E1010" s="19" t="inlineStr">
        <is>
          <t>18</t>
        </is>
      </c>
      <c r="F1010" t="n">
        <v>1</v>
      </c>
      <c r="G1010" t="b">
        <v>0</v>
      </c>
      <c r="H1010" t="inlineStr">
        <is>
          <t>UOM=M;WEIGHT_BASIS=PROCESSED_SOURCE_UNIT_WEIGHT;LINE_WEIGHT_KG=0.0868;SOURCE_CFG=IA-ST-CFG-0178;SRC_REF=Row 212, Slot 1;SRC_FILE=Mamul Ambalaj Bileşen Listesi-30.07.2026(3).xlsx</t>
        </is>
      </c>
    </row>
    <row r="1011">
      <c r="A1011" s="19" t="inlineStr">
        <is>
          <t>1010</t>
        </is>
      </c>
      <c r="B1011" s="19" t="inlineStr">
        <is>
          <t>145</t>
        </is>
      </c>
      <c r="C1011" s="19" t="inlineStr">
        <is>
          <t>5</t>
        </is>
      </c>
      <c r="D1011" t="n">
        <v>1</v>
      </c>
      <c r="E1011" s="19" t="inlineStr">
        <is>
          <t>18</t>
        </is>
      </c>
      <c r="F1011" t="n">
        <v>2</v>
      </c>
      <c r="G1011" t="b">
        <v>0</v>
      </c>
      <c r="H1011" t="inlineStr">
        <is>
          <t>UOM=ADT;WEIGHT_BASIS=PROCESSED_SOURCE_UNIT_WEIGHT;LINE_WEIGHT_KG=26.0;SOURCE_CFG=IA-ST-CFG-0178;SRC_REF=Row 212, Slot 3;SRC_FILE=Mamul Ambalaj Bileşen Listesi-30.07.2026(3).xlsx</t>
        </is>
      </c>
    </row>
    <row r="1012">
      <c r="A1012" s="19" t="inlineStr">
        <is>
          <t>1011</t>
        </is>
      </c>
      <c r="B1012" s="19" t="inlineStr">
        <is>
          <t>145</t>
        </is>
      </c>
      <c r="C1012" s="19" t="inlineStr">
        <is>
          <t>8</t>
        </is>
      </c>
      <c r="D1012" t="n">
        <v>20</v>
      </c>
      <c r="E1012" s="19" t="inlineStr">
        <is>
          <t>18</t>
        </is>
      </c>
      <c r="F1012" t="n">
        <v>3</v>
      </c>
      <c r="G1012" t="b">
        <v>0</v>
      </c>
      <c r="H1012" t="inlineStr">
        <is>
          <t>UOM=M;WEIGHT_BASIS=PROCESSED_SOURCE_UNIT_WEIGHT;LINE_WEIGHT_KG=0.3664;SOURCE_CFG=IA-ST-CFG-0178;SRC_REF=Row 212, Slot 5;SRC_FILE=Mamul Ambalaj Bileşen Listesi-30.07.2026(3).xlsx</t>
        </is>
      </c>
    </row>
    <row r="1013">
      <c r="A1013" s="19" t="inlineStr">
        <is>
          <t>1012</t>
        </is>
      </c>
      <c r="B1013" s="19" t="inlineStr">
        <is>
          <t>145</t>
        </is>
      </c>
      <c r="C1013" s="19" t="inlineStr">
        <is>
          <t>9</t>
        </is>
      </c>
      <c r="D1013" t="n">
        <v>0.186</v>
      </c>
      <c r="E1013" s="19" t="inlineStr">
        <is>
          <t>18</t>
        </is>
      </c>
      <c r="F1013" t="n">
        <v>4</v>
      </c>
      <c r="G1013" t="b">
        <v>0</v>
      </c>
      <c r="H1013" t="inlineStr">
        <is>
          <t>UOM=KG;WEIGHT_BASIS=RECIPE_QUANTITY_IS_KG;LINE_WEIGHT_KG=0.186;SOURCE_CFG=IA-ST-CFG-0178;SRC_REF=Row 212, Slot 6;SRC_FILE=Mamul Ambalaj Bileşen Listesi-30.07.2026(3).xlsx</t>
        </is>
      </c>
    </row>
    <row r="1014">
      <c r="A1014" s="19" t="inlineStr">
        <is>
          <t>1013</t>
        </is>
      </c>
      <c r="B1014" s="19" t="inlineStr">
        <is>
          <t>145</t>
        </is>
      </c>
      <c r="C1014" s="19" t="inlineStr">
        <is>
          <t>23</t>
        </is>
      </c>
      <c r="D1014" t="n">
        <v>1.95</v>
      </c>
      <c r="E1014" s="19" t="inlineStr">
        <is>
          <t>18</t>
        </is>
      </c>
      <c r="F1014" t="n">
        <v>5</v>
      </c>
      <c r="G1014" t="b">
        <v>0</v>
      </c>
      <c r="H1014" t="inlineStr">
        <is>
          <t>UOM=KG;WEIGHT_BASIS=RECIPE_QUANTITY_IS_KG;LINE_WEIGHT_KG=1.95;SOURCE_CFG=IA-ST-CFG-0178;SRC_REF=Row 212, Slot 7;SRC_FILE=Mamul Ambalaj Bileşen Listesi-30.07.2026(3).xlsx</t>
        </is>
      </c>
    </row>
    <row r="1015">
      <c r="A1015" s="19" t="inlineStr">
        <is>
          <t>1014</t>
        </is>
      </c>
      <c r="B1015" s="19" t="inlineStr">
        <is>
          <t>145</t>
        </is>
      </c>
      <c r="C1015" s="19" t="inlineStr">
        <is>
          <t>7</t>
        </is>
      </c>
      <c r="D1015" t="n">
        <v>4</v>
      </c>
      <c r="E1015" s="19" t="inlineStr">
        <is>
          <t>18</t>
        </is>
      </c>
      <c r="F1015" t="n">
        <v>6</v>
      </c>
      <c r="G1015" t="b">
        <v>0</v>
      </c>
      <c r="H1015" t="inlineStr">
        <is>
          <t>UOM=ADT;WEIGHT_BASIS=PROCESSED_SOURCE_UNIT_WEIGHT;LINE_WEIGHT_KG=1.08;SOURCE_CFG=IA-ST-CFG-0178;SRC_REF=Row 212, Slot 8;SRC_FILE=Mamul Ambalaj Bileşen Listesi-30.07.2026(3).xlsx</t>
        </is>
      </c>
    </row>
    <row r="1016">
      <c r="A1016" s="19" t="inlineStr">
        <is>
          <t>1015</t>
        </is>
      </c>
      <c r="B1016" s="19" t="inlineStr">
        <is>
          <t>145</t>
        </is>
      </c>
      <c r="C1016" s="19" t="inlineStr">
        <is>
          <t>25</t>
        </is>
      </c>
      <c r="D1016" t="n">
        <v>2</v>
      </c>
      <c r="E1016" s="19" t="inlineStr">
        <is>
          <t>18</t>
        </is>
      </c>
      <c r="F1016" t="n">
        <v>7</v>
      </c>
      <c r="G1016" t="b">
        <v>0</v>
      </c>
      <c r="H1016" t="inlineStr">
        <is>
          <t>UOM=ADT;WEIGHT_BASIS=PROCESSED_SOURCE_UNIT_WEIGHT;LINE_WEIGHT_KG=0.2;SOURCE_CFG=IA-ST-CFG-0178;SRC_REF=Row 212, Slot 9;SRC_FILE=Mamul Ambalaj Bileşen Listesi-30.07.2026(3).xlsx</t>
        </is>
      </c>
    </row>
    <row r="1017">
      <c r="A1017" s="19" t="inlineStr">
        <is>
          <t>1016</t>
        </is>
      </c>
      <c r="B1017" s="19" t="inlineStr">
        <is>
          <t>146</t>
        </is>
      </c>
      <c r="C1017" s="19" t="inlineStr">
        <is>
          <t>13</t>
        </is>
      </c>
      <c r="D1017" t="n">
        <v>7</v>
      </c>
      <c r="E1017" s="19" t="inlineStr">
        <is>
          <t>18</t>
        </is>
      </c>
      <c r="F1017" t="n">
        <v>1</v>
      </c>
      <c r="G1017" t="b">
        <v>0</v>
      </c>
      <c r="H1017" t="inlineStr">
        <is>
          <t>UOM=M;WEIGHT_BASIS=PROCESSED_SOURCE_UNIT_WEIGHT;LINE_WEIGHT_KG=0.0868;SOURCE_CFG=IA-ST-CFG-0179;SRC_REF=Row 138, Slot 1;SRC_FILE=Mamul Ambalaj Bileşen Listesi-30.07.2026(3).xlsx</t>
        </is>
      </c>
    </row>
    <row r="1018">
      <c r="A1018" s="19" t="inlineStr">
        <is>
          <t>1017</t>
        </is>
      </c>
      <c r="B1018" s="19" t="inlineStr">
        <is>
          <t>146</t>
        </is>
      </c>
      <c r="C1018" s="19" t="inlineStr">
        <is>
          <t>5</t>
        </is>
      </c>
      <c r="D1018" t="n">
        <v>1</v>
      </c>
      <c r="E1018" s="19" t="inlineStr">
        <is>
          <t>18</t>
        </is>
      </c>
      <c r="F1018" t="n">
        <v>2</v>
      </c>
      <c r="G1018" t="b">
        <v>0</v>
      </c>
      <c r="H1018" t="inlineStr">
        <is>
          <t>UOM=ADT;WEIGHT_BASIS=PROCESSED_SOURCE_UNIT_WEIGHT;LINE_WEIGHT_KG=26.0;SOURCE_CFG=IA-ST-CFG-0179;SRC_REF=Row 138, Slot 3;SRC_FILE=Mamul Ambalaj Bileşen Listesi-30.07.2026(3).xlsx</t>
        </is>
      </c>
    </row>
    <row r="1019">
      <c r="A1019" s="19" t="inlineStr">
        <is>
          <t>1018</t>
        </is>
      </c>
      <c r="B1019" s="19" t="inlineStr">
        <is>
          <t>146</t>
        </is>
      </c>
      <c r="C1019" s="19" t="inlineStr">
        <is>
          <t>8</t>
        </is>
      </c>
      <c r="D1019" t="n">
        <v>20</v>
      </c>
      <c r="E1019" s="19" t="inlineStr">
        <is>
          <t>18</t>
        </is>
      </c>
      <c r="F1019" t="n">
        <v>3</v>
      </c>
      <c r="G1019" t="b">
        <v>0</v>
      </c>
      <c r="H1019" t="inlineStr">
        <is>
          <t>UOM=M;WEIGHT_BASIS=PROCESSED_SOURCE_UNIT_WEIGHT;LINE_WEIGHT_KG=0.3664;SOURCE_CFG=IA-ST-CFG-0179;SRC_REF=Row 138, Slot 5;SRC_FILE=Mamul Ambalaj Bileşen Listesi-30.07.2026(3).xlsx</t>
        </is>
      </c>
    </row>
    <row r="1020">
      <c r="A1020" s="19" t="inlineStr">
        <is>
          <t>1019</t>
        </is>
      </c>
      <c r="B1020" s="19" t="inlineStr">
        <is>
          <t>146</t>
        </is>
      </c>
      <c r="C1020" s="19" t="inlineStr">
        <is>
          <t>9</t>
        </is>
      </c>
      <c r="D1020" t="n">
        <v>0.186</v>
      </c>
      <c r="E1020" s="19" t="inlineStr">
        <is>
          <t>18</t>
        </is>
      </c>
      <c r="F1020" t="n">
        <v>4</v>
      </c>
      <c r="G1020" t="b">
        <v>0</v>
      </c>
      <c r="H1020" t="inlineStr">
        <is>
          <t>UOM=KG;WEIGHT_BASIS=RECIPE_QUANTITY_IS_KG;LINE_WEIGHT_KG=0.186;SOURCE_CFG=IA-ST-CFG-0179;SRC_REF=Row 138, Slot 6;SRC_FILE=Mamul Ambalaj Bileşen Listesi-30.07.2026(3).xlsx</t>
        </is>
      </c>
    </row>
    <row r="1021">
      <c r="A1021" s="19" t="inlineStr">
        <is>
          <t>1020</t>
        </is>
      </c>
      <c r="B1021" s="19" t="inlineStr">
        <is>
          <t>146</t>
        </is>
      </c>
      <c r="C1021" s="19" t="inlineStr">
        <is>
          <t>23</t>
        </is>
      </c>
      <c r="D1021" t="n">
        <v>2.08</v>
      </c>
      <c r="E1021" s="19" t="inlineStr">
        <is>
          <t>18</t>
        </is>
      </c>
      <c r="F1021" t="n">
        <v>5</v>
      </c>
      <c r="G1021" t="b">
        <v>0</v>
      </c>
      <c r="H1021" t="inlineStr">
        <is>
          <t>UOM=KG;WEIGHT_BASIS=RECIPE_QUANTITY_IS_KG;LINE_WEIGHT_KG=2.08;SOURCE_CFG=IA-ST-CFG-0179;SRC_REF=Row 138, Slot 7;SRC_FILE=Mamul Ambalaj Bileşen Listesi-30.07.2026(3).xlsx</t>
        </is>
      </c>
    </row>
    <row r="1022">
      <c r="A1022" s="19" t="inlineStr">
        <is>
          <t>1021</t>
        </is>
      </c>
      <c r="B1022" s="19" t="inlineStr">
        <is>
          <t>146</t>
        </is>
      </c>
      <c r="C1022" s="19" t="inlineStr">
        <is>
          <t>7</t>
        </is>
      </c>
      <c r="D1022" t="n">
        <v>4</v>
      </c>
      <c r="E1022" s="19" t="inlineStr">
        <is>
          <t>18</t>
        </is>
      </c>
      <c r="F1022" t="n">
        <v>6</v>
      </c>
      <c r="G1022" t="b">
        <v>0</v>
      </c>
      <c r="H1022" t="inlineStr">
        <is>
          <t>UOM=ADT;WEIGHT_BASIS=PROCESSED_SOURCE_UNIT_WEIGHT;LINE_WEIGHT_KG=1.08;SOURCE_CFG=IA-ST-CFG-0179;SRC_REF=Row 138, Slot 8;SRC_FILE=Mamul Ambalaj Bileşen Listesi-30.07.2026(3).xlsx</t>
        </is>
      </c>
    </row>
    <row r="1023">
      <c r="A1023" s="19" t="inlineStr">
        <is>
          <t>1022</t>
        </is>
      </c>
      <c r="B1023" s="19" t="inlineStr">
        <is>
          <t>146</t>
        </is>
      </c>
      <c r="C1023" s="19" t="inlineStr">
        <is>
          <t>25</t>
        </is>
      </c>
      <c r="D1023" t="n">
        <v>2</v>
      </c>
      <c r="E1023" s="19" t="inlineStr">
        <is>
          <t>18</t>
        </is>
      </c>
      <c r="F1023" t="n">
        <v>7</v>
      </c>
      <c r="G1023" t="b">
        <v>0</v>
      </c>
      <c r="H1023" t="inlineStr">
        <is>
          <t>UOM=ADT;WEIGHT_BASIS=PROCESSED_SOURCE_UNIT_WEIGHT;LINE_WEIGHT_KG=0.2;SOURCE_CFG=IA-ST-CFG-0179;SRC_REF=Row 138, Slot 9;SRC_FILE=Mamul Ambalaj Bileşen Listesi-30.07.2026(3).xlsx</t>
        </is>
      </c>
    </row>
    <row r="1024">
      <c r="A1024" s="19" t="inlineStr">
        <is>
          <t>1023</t>
        </is>
      </c>
      <c r="B1024" s="19" t="inlineStr">
        <is>
          <t>147</t>
        </is>
      </c>
      <c r="C1024" s="19" t="inlineStr">
        <is>
          <t>13</t>
        </is>
      </c>
      <c r="D1024" t="n">
        <v>7</v>
      </c>
      <c r="E1024" s="19" t="inlineStr">
        <is>
          <t>18</t>
        </is>
      </c>
      <c r="F1024" t="n">
        <v>1</v>
      </c>
      <c r="G1024" t="b">
        <v>0</v>
      </c>
      <c r="H1024" t="inlineStr">
        <is>
          <t>UOM=M;WEIGHT_BASIS=PROCESSED_SOURCE_UNIT_WEIGHT;LINE_WEIGHT_KG=0.0868;SOURCE_CFG=IA-ST-CFG-0180;SRC_REF=Row 1409, Slot 1;SRC_FILE=Mamul Ambalaj Bileşen Listesi-30.07.2026(3).xlsx</t>
        </is>
      </c>
    </row>
    <row r="1025">
      <c r="A1025" s="19" t="inlineStr">
        <is>
          <t>1024</t>
        </is>
      </c>
      <c r="B1025" s="19" t="inlineStr">
        <is>
          <t>147</t>
        </is>
      </c>
      <c r="C1025" s="19" t="inlineStr">
        <is>
          <t>5</t>
        </is>
      </c>
      <c r="D1025" t="n">
        <v>1</v>
      </c>
      <c r="E1025" s="19" t="inlineStr">
        <is>
          <t>18</t>
        </is>
      </c>
      <c r="F1025" t="n">
        <v>2</v>
      </c>
      <c r="G1025" t="b">
        <v>0</v>
      </c>
      <c r="H1025" t="inlineStr">
        <is>
          <t>UOM=ADT;WEIGHT_BASIS=PROCESSED_SOURCE_UNIT_WEIGHT;LINE_WEIGHT_KG=26.0;SOURCE_CFG=IA-ST-CFG-0180;SRC_REF=Row 1409, Slot 3;SRC_FILE=Mamul Ambalaj Bileşen Listesi-30.07.2026(3).xlsx</t>
        </is>
      </c>
    </row>
    <row r="1026">
      <c r="A1026" s="19" t="inlineStr">
        <is>
          <t>1025</t>
        </is>
      </c>
      <c r="B1026" s="19" t="inlineStr">
        <is>
          <t>147</t>
        </is>
      </c>
      <c r="C1026" s="19" t="inlineStr">
        <is>
          <t>8</t>
        </is>
      </c>
      <c r="D1026" t="n">
        <v>20</v>
      </c>
      <c r="E1026" s="19" t="inlineStr">
        <is>
          <t>18</t>
        </is>
      </c>
      <c r="F1026" t="n">
        <v>3</v>
      </c>
      <c r="G1026" t="b">
        <v>0</v>
      </c>
      <c r="H1026" t="inlineStr">
        <is>
          <t>UOM=M;WEIGHT_BASIS=PROCESSED_SOURCE_UNIT_WEIGHT;LINE_WEIGHT_KG=0.3664;SOURCE_CFG=IA-ST-CFG-0180;SRC_REF=Row 1409, Slot 5;SRC_FILE=Mamul Ambalaj Bileşen Listesi-30.07.2026(3).xlsx</t>
        </is>
      </c>
    </row>
    <row r="1027">
      <c r="A1027" s="19" t="inlineStr">
        <is>
          <t>1026</t>
        </is>
      </c>
      <c r="B1027" s="19" t="inlineStr">
        <is>
          <t>147</t>
        </is>
      </c>
      <c r="C1027" s="19" t="inlineStr">
        <is>
          <t>9</t>
        </is>
      </c>
      <c r="D1027" t="n">
        <v>0.186</v>
      </c>
      <c r="E1027" s="19" t="inlineStr">
        <is>
          <t>18</t>
        </is>
      </c>
      <c r="F1027" t="n">
        <v>4</v>
      </c>
      <c r="G1027" t="b">
        <v>0</v>
      </c>
      <c r="H1027" t="inlineStr">
        <is>
          <t>UOM=KG;WEIGHT_BASIS=RECIPE_QUANTITY_IS_KG;LINE_WEIGHT_KG=0.186;SOURCE_CFG=IA-ST-CFG-0180;SRC_REF=Row 1409, Slot 6;SRC_FILE=Mamul Ambalaj Bileşen Listesi-30.07.2026(3).xlsx</t>
        </is>
      </c>
    </row>
    <row r="1028">
      <c r="A1028" s="19" t="inlineStr">
        <is>
          <t>1027</t>
        </is>
      </c>
      <c r="B1028" s="19" t="inlineStr">
        <is>
          <t>147</t>
        </is>
      </c>
      <c r="C1028" s="19" t="inlineStr">
        <is>
          <t>7</t>
        </is>
      </c>
      <c r="D1028" t="n">
        <v>4</v>
      </c>
      <c r="E1028" s="19" t="inlineStr">
        <is>
          <t>18</t>
        </is>
      </c>
      <c r="F1028" t="n">
        <v>5</v>
      </c>
      <c r="G1028" t="b">
        <v>0</v>
      </c>
      <c r="H1028" t="inlineStr">
        <is>
          <t>UOM=ADT;WEIGHT_BASIS=PROCESSED_SOURCE_UNIT_WEIGHT;LINE_WEIGHT_KG=1.08;SOURCE_CFG=IA-ST-CFG-0180;SRC_REF=Row 1409, Slot 8;SRC_FILE=Mamul Ambalaj Bileşen Listesi-30.07.2026(3).xlsx</t>
        </is>
      </c>
    </row>
    <row r="1029">
      <c r="A1029" s="19" t="inlineStr">
        <is>
          <t>1028</t>
        </is>
      </c>
      <c r="B1029" s="19" t="inlineStr">
        <is>
          <t>147</t>
        </is>
      </c>
      <c r="C1029" s="19" t="inlineStr">
        <is>
          <t>25</t>
        </is>
      </c>
      <c r="D1029" t="n">
        <v>2</v>
      </c>
      <c r="E1029" s="19" t="inlineStr">
        <is>
          <t>18</t>
        </is>
      </c>
      <c r="F1029" t="n">
        <v>6</v>
      </c>
      <c r="G1029" t="b">
        <v>0</v>
      </c>
      <c r="H1029" t="inlineStr">
        <is>
          <t>UOM=ADT;WEIGHT_BASIS=PROCESSED_SOURCE_UNIT_WEIGHT;LINE_WEIGHT_KG=0.2;SOURCE_CFG=IA-ST-CFG-0180;SRC_REF=Row 1409, Slot 9;SRC_FILE=Mamul Ambalaj Bileşen Listesi-30.07.2026(3).xlsx</t>
        </is>
      </c>
    </row>
    <row r="1030">
      <c r="A1030" s="19" t="inlineStr">
        <is>
          <t>1029</t>
        </is>
      </c>
      <c r="B1030" s="19" t="inlineStr">
        <is>
          <t>148</t>
        </is>
      </c>
      <c r="C1030" s="19" t="inlineStr">
        <is>
          <t>5</t>
        </is>
      </c>
      <c r="D1030" t="n">
        <v>1</v>
      </c>
      <c r="E1030" s="19" t="inlineStr">
        <is>
          <t>18</t>
        </is>
      </c>
      <c r="F1030" t="n">
        <v>1</v>
      </c>
      <c r="G1030" t="b">
        <v>0</v>
      </c>
      <c r="H1030" t="inlineStr">
        <is>
          <t>UOM=ADT;WEIGHT_BASIS=PROCESSED_SOURCE_UNIT_WEIGHT;LINE_WEIGHT_KG=26.0;SOURCE_CFG=IA-ST-CFG-0181;SRC_REF=Row 240, Slot 3;SRC_FILE=Mamul Ambalaj Bileşen Listesi-30.07.2026(3).xlsx</t>
        </is>
      </c>
    </row>
    <row r="1031">
      <c r="A1031" s="19" t="inlineStr">
        <is>
          <t>1030</t>
        </is>
      </c>
      <c r="B1031" s="19" t="inlineStr">
        <is>
          <t>148</t>
        </is>
      </c>
      <c r="C1031" s="19" t="inlineStr">
        <is>
          <t>8</t>
        </is>
      </c>
      <c r="D1031" t="n">
        <v>20</v>
      </c>
      <c r="E1031" s="19" t="inlineStr">
        <is>
          <t>18</t>
        </is>
      </c>
      <c r="F1031" t="n">
        <v>2</v>
      </c>
      <c r="G1031" t="b">
        <v>0</v>
      </c>
      <c r="H1031" t="inlineStr">
        <is>
          <t>UOM=M;WEIGHT_BASIS=PROCESSED_SOURCE_UNIT_WEIGHT;LINE_WEIGHT_KG=0.3664;SOURCE_CFG=IA-ST-CFG-0181;SRC_REF=Row 240, Slot 5;SRC_FILE=Mamul Ambalaj Bileşen Listesi-30.07.2026(3).xlsx</t>
        </is>
      </c>
    </row>
    <row r="1032">
      <c r="A1032" s="19" t="inlineStr">
        <is>
          <t>1031</t>
        </is>
      </c>
      <c r="B1032" s="19" t="inlineStr">
        <is>
          <t>148</t>
        </is>
      </c>
      <c r="C1032" s="19" t="inlineStr">
        <is>
          <t>9</t>
        </is>
      </c>
      <c r="D1032" t="n">
        <v>0.186</v>
      </c>
      <c r="E1032" s="19" t="inlineStr">
        <is>
          <t>18</t>
        </is>
      </c>
      <c r="F1032" t="n">
        <v>3</v>
      </c>
      <c r="G1032" t="b">
        <v>0</v>
      </c>
      <c r="H1032" t="inlineStr">
        <is>
          <t>UOM=KG;WEIGHT_BASIS=RECIPE_QUANTITY_IS_KG;LINE_WEIGHT_KG=0.186;SOURCE_CFG=IA-ST-CFG-0181;SRC_REF=Row 240, Slot 6;SRC_FILE=Mamul Ambalaj Bileşen Listesi-30.07.2026(3).xlsx</t>
        </is>
      </c>
    </row>
    <row r="1033">
      <c r="A1033" s="19" t="inlineStr">
        <is>
          <t>1032</t>
        </is>
      </c>
      <c r="B1033" s="19" t="inlineStr">
        <is>
          <t>148</t>
        </is>
      </c>
      <c r="C1033" s="19" t="inlineStr">
        <is>
          <t>23</t>
        </is>
      </c>
      <c r="D1033" t="n">
        <v>1.95</v>
      </c>
      <c r="E1033" s="19" t="inlineStr">
        <is>
          <t>18</t>
        </is>
      </c>
      <c r="F1033" t="n">
        <v>4</v>
      </c>
      <c r="G1033" t="b">
        <v>0</v>
      </c>
      <c r="H1033" t="inlineStr">
        <is>
          <t>UOM=KG;WEIGHT_BASIS=RECIPE_QUANTITY_IS_KG;LINE_WEIGHT_KG=1.95;SOURCE_CFG=IA-ST-CFG-0181;SRC_REF=Row 240, Slot 7;SRC_FILE=Mamul Ambalaj Bileşen Listesi-30.07.2026(3).xlsx</t>
        </is>
      </c>
    </row>
    <row r="1034">
      <c r="A1034" s="19" t="inlineStr">
        <is>
          <t>1033</t>
        </is>
      </c>
      <c r="B1034" s="19" t="inlineStr">
        <is>
          <t>148</t>
        </is>
      </c>
      <c r="C1034" s="19" t="inlineStr">
        <is>
          <t>7</t>
        </is>
      </c>
      <c r="D1034" t="n">
        <v>4</v>
      </c>
      <c r="E1034" s="19" t="inlineStr">
        <is>
          <t>18</t>
        </is>
      </c>
      <c r="F1034" t="n">
        <v>5</v>
      </c>
      <c r="G1034" t="b">
        <v>0</v>
      </c>
      <c r="H1034" t="inlineStr">
        <is>
          <t>UOM=ADT;WEIGHT_BASIS=PROCESSED_SOURCE_UNIT_WEIGHT;LINE_WEIGHT_KG=1.08;SOURCE_CFG=IA-ST-CFG-0181;SRC_REF=Row 240, Slot 8;SRC_FILE=Mamul Ambalaj Bileşen Listesi-30.07.2026(3).xlsx</t>
        </is>
      </c>
    </row>
    <row r="1035">
      <c r="A1035" s="19" t="inlineStr">
        <is>
          <t>1034</t>
        </is>
      </c>
      <c r="B1035" s="19" t="inlineStr">
        <is>
          <t>149</t>
        </is>
      </c>
      <c r="C1035" s="19" t="inlineStr">
        <is>
          <t>5</t>
        </is>
      </c>
      <c r="D1035" t="n">
        <v>1</v>
      </c>
      <c r="E1035" s="19" t="inlineStr">
        <is>
          <t>18</t>
        </is>
      </c>
      <c r="F1035" t="n">
        <v>1</v>
      </c>
      <c r="G1035" t="b">
        <v>0</v>
      </c>
      <c r="H1035" t="inlineStr">
        <is>
          <t>UOM=ADT;WEIGHT_BASIS=PROCESSED_SOURCE_UNIT_WEIGHT;LINE_WEIGHT_KG=26.0;SOURCE_CFG=IA-ST-CFG-0182;SRC_REF=Row 220, Slot 3;SRC_FILE=Mamul Ambalaj Bileşen Listesi-30.07.2026(3).xlsx</t>
        </is>
      </c>
    </row>
    <row r="1036">
      <c r="A1036" s="19" t="inlineStr">
        <is>
          <t>1035</t>
        </is>
      </c>
      <c r="B1036" s="19" t="inlineStr">
        <is>
          <t>149</t>
        </is>
      </c>
      <c r="C1036" s="19" t="inlineStr">
        <is>
          <t>8</t>
        </is>
      </c>
      <c r="D1036" t="n">
        <v>20</v>
      </c>
      <c r="E1036" s="19" t="inlineStr">
        <is>
          <t>18</t>
        </is>
      </c>
      <c r="F1036" t="n">
        <v>2</v>
      </c>
      <c r="G1036" t="b">
        <v>0</v>
      </c>
      <c r="H1036" t="inlineStr">
        <is>
          <t>UOM=M;WEIGHT_BASIS=PROCESSED_SOURCE_UNIT_WEIGHT;LINE_WEIGHT_KG=0.3664;SOURCE_CFG=IA-ST-CFG-0182;SRC_REF=Row 220, Slot 5;SRC_FILE=Mamul Ambalaj Bileşen Listesi-30.07.2026(3).xlsx</t>
        </is>
      </c>
    </row>
    <row r="1037">
      <c r="A1037" s="19" t="inlineStr">
        <is>
          <t>1036</t>
        </is>
      </c>
      <c r="B1037" s="19" t="inlineStr">
        <is>
          <t>149</t>
        </is>
      </c>
      <c r="C1037" s="19" t="inlineStr">
        <is>
          <t>9</t>
        </is>
      </c>
      <c r="D1037" t="n">
        <v>0.186</v>
      </c>
      <c r="E1037" s="19" t="inlineStr">
        <is>
          <t>18</t>
        </is>
      </c>
      <c r="F1037" t="n">
        <v>3</v>
      </c>
      <c r="G1037" t="b">
        <v>0</v>
      </c>
      <c r="H1037" t="inlineStr">
        <is>
          <t>UOM=KG;WEIGHT_BASIS=RECIPE_QUANTITY_IS_KG;LINE_WEIGHT_KG=0.186;SOURCE_CFG=IA-ST-CFG-0182;SRC_REF=Row 220, Slot 6;SRC_FILE=Mamul Ambalaj Bileşen Listesi-30.07.2026(3).xlsx</t>
        </is>
      </c>
    </row>
    <row r="1038">
      <c r="A1038" s="19" t="inlineStr">
        <is>
          <t>1037</t>
        </is>
      </c>
      <c r="B1038" s="19" t="inlineStr">
        <is>
          <t>149</t>
        </is>
      </c>
      <c r="C1038" s="19" t="inlineStr">
        <is>
          <t>23</t>
        </is>
      </c>
      <c r="D1038" t="n">
        <v>2.08</v>
      </c>
      <c r="E1038" s="19" t="inlineStr">
        <is>
          <t>18</t>
        </is>
      </c>
      <c r="F1038" t="n">
        <v>4</v>
      </c>
      <c r="G1038" t="b">
        <v>0</v>
      </c>
      <c r="H1038" t="inlineStr">
        <is>
          <t>UOM=KG;WEIGHT_BASIS=RECIPE_QUANTITY_IS_KG;LINE_WEIGHT_KG=2.08;SOURCE_CFG=IA-ST-CFG-0182;SRC_REF=Row 220, Slot 7;SRC_FILE=Mamul Ambalaj Bileşen Listesi-30.07.2026(3).xlsx</t>
        </is>
      </c>
    </row>
    <row r="1039">
      <c r="A1039" s="19" t="inlineStr">
        <is>
          <t>1038</t>
        </is>
      </c>
      <c r="B1039" s="19" t="inlineStr">
        <is>
          <t>149</t>
        </is>
      </c>
      <c r="C1039" s="19" t="inlineStr">
        <is>
          <t>7</t>
        </is>
      </c>
      <c r="D1039" t="n">
        <v>4</v>
      </c>
      <c r="E1039" s="19" t="inlineStr">
        <is>
          <t>18</t>
        </is>
      </c>
      <c r="F1039" t="n">
        <v>5</v>
      </c>
      <c r="G1039" t="b">
        <v>0</v>
      </c>
      <c r="H1039" t="inlineStr">
        <is>
          <t>UOM=ADT;WEIGHT_BASIS=PROCESSED_SOURCE_UNIT_WEIGHT;LINE_WEIGHT_KG=1.08;SOURCE_CFG=IA-ST-CFG-0182;SRC_REF=Row 220, Slot 8;SRC_FILE=Mamul Ambalaj Bileşen Listesi-30.07.2026(3).xlsx</t>
        </is>
      </c>
    </row>
    <row r="1040">
      <c r="A1040" s="19" t="inlineStr">
        <is>
          <t>1039</t>
        </is>
      </c>
      <c r="B1040" s="19" t="inlineStr">
        <is>
          <t>150</t>
        </is>
      </c>
      <c r="C1040" s="19" t="inlineStr">
        <is>
          <t>11</t>
        </is>
      </c>
      <c r="D1040" t="n">
        <v>3</v>
      </c>
      <c r="E1040" s="19" t="inlineStr">
        <is>
          <t>18</t>
        </is>
      </c>
      <c r="F1040" t="n">
        <v>1</v>
      </c>
      <c r="G1040" t="b">
        <v>0</v>
      </c>
      <c r="H1040" t="inlineStr">
        <is>
          <t>UOM=ADT;WEIGHT_BASIS=PROCESSED_SOURCE_UNIT_WEIGHT;LINE_WEIGHT_KG=0.312;SOURCE_CFG=IA-ST-CFG-0183;SRC_REF=Row 583, Slot 1;SRC_FILE=Mamul Ambalaj Bileşen Listesi-30.07.2026(3).xlsx</t>
        </is>
      </c>
    </row>
    <row r="1041">
      <c r="A1041" s="19" t="inlineStr">
        <is>
          <t>1040</t>
        </is>
      </c>
      <c r="B1041" s="19" t="inlineStr">
        <is>
          <t>150</t>
        </is>
      </c>
      <c r="C1041" s="19" t="inlineStr">
        <is>
          <t>13</t>
        </is>
      </c>
      <c r="D1041" t="n">
        <v>14</v>
      </c>
      <c r="E1041" s="19" t="inlineStr">
        <is>
          <t>18</t>
        </is>
      </c>
      <c r="F1041" t="n">
        <v>2</v>
      </c>
      <c r="G1041" t="b">
        <v>0</v>
      </c>
      <c r="H1041" t="inlineStr">
        <is>
          <t>UOM=M;WEIGHT_BASIS=PROCESSED_SOURCE_UNIT_WEIGHT;LINE_WEIGHT_KG=0.1736;SOURCE_CFG=IA-ST-CFG-0183;SRC_REF=Row 583, Slot 2;SRC_FILE=Mamul Ambalaj Bileşen Listesi-30.07.2026(3).xlsx</t>
        </is>
      </c>
    </row>
    <row r="1042">
      <c r="A1042" s="19" t="inlineStr">
        <is>
          <t>1041</t>
        </is>
      </c>
      <c r="B1042" s="19" t="inlineStr">
        <is>
          <t>150</t>
        </is>
      </c>
      <c r="C1042" s="19" t="inlineStr">
        <is>
          <t>5</t>
        </is>
      </c>
      <c r="D1042" t="n">
        <v>1</v>
      </c>
      <c r="E1042" s="19" t="inlineStr">
        <is>
          <t>18</t>
        </is>
      </c>
      <c r="F1042" t="n">
        <v>3</v>
      </c>
      <c r="G1042" t="b">
        <v>0</v>
      </c>
      <c r="H1042" t="inlineStr">
        <is>
          <t>UOM=ADT;WEIGHT_BASIS=PROCESSED_SOURCE_UNIT_WEIGHT;LINE_WEIGHT_KG=26.0;SOURCE_CFG=IA-ST-CFG-0183;SRC_REF=Row 583, Slot 3;SRC_FILE=Mamul Ambalaj Bileşen Listesi-30.07.2026(3).xlsx</t>
        </is>
      </c>
    </row>
    <row r="1043">
      <c r="A1043" s="19" t="inlineStr">
        <is>
          <t>1042</t>
        </is>
      </c>
      <c r="B1043" s="19" t="inlineStr">
        <is>
          <t>150</t>
        </is>
      </c>
      <c r="C1043" s="19" t="inlineStr">
        <is>
          <t>8</t>
        </is>
      </c>
      <c r="D1043" t="n">
        <v>20</v>
      </c>
      <c r="E1043" s="19" t="inlineStr">
        <is>
          <t>18</t>
        </is>
      </c>
      <c r="F1043" t="n">
        <v>4</v>
      </c>
      <c r="G1043" t="b">
        <v>0</v>
      </c>
      <c r="H1043" t="inlineStr">
        <is>
          <t>UOM=M;WEIGHT_BASIS=PROCESSED_SOURCE_UNIT_WEIGHT;LINE_WEIGHT_KG=0.3664;SOURCE_CFG=IA-ST-CFG-0183;SRC_REF=Row 583, Slot 5;SRC_FILE=Mamul Ambalaj Bileşen Listesi-30.07.2026(3).xlsx</t>
        </is>
      </c>
    </row>
    <row r="1044">
      <c r="A1044" s="19" t="inlineStr">
        <is>
          <t>1043</t>
        </is>
      </c>
      <c r="B1044" s="19" t="inlineStr">
        <is>
          <t>150</t>
        </is>
      </c>
      <c r="C1044" s="19" t="inlineStr">
        <is>
          <t>55</t>
        </is>
      </c>
      <c r="D1044" t="n">
        <v>0.597</v>
      </c>
      <c r="E1044" s="19" t="inlineStr">
        <is>
          <t>18</t>
        </is>
      </c>
      <c r="F1044" t="n">
        <v>5</v>
      </c>
      <c r="G1044" t="b">
        <v>0</v>
      </c>
      <c r="H1044" t="inlineStr">
        <is>
          <t>UOM=KG;WEIGHT_BASIS=RECIPE_QUANTITY_IS_KG;LINE_WEIGHT_KG=0.597;SOURCE_CFG=IA-ST-CFG-0183;SRC_REF=Row 583, Slot 6;SRC_FILE=Mamul Ambalaj Bileşen Listesi-30.07.2026(3).xlsx</t>
        </is>
      </c>
    </row>
    <row r="1045">
      <c r="A1045" s="19" t="inlineStr">
        <is>
          <t>1044</t>
        </is>
      </c>
      <c r="B1045" s="19" t="inlineStr">
        <is>
          <t>150</t>
        </is>
      </c>
      <c r="C1045" s="19" t="inlineStr">
        <is>
          <t>7</t>
        </is>
      </c>
      <c r="D1045" t="n">
        <v>4</v>
      </c>
      <c r="E1045" s="19" t="inlineStr">
        <is>
          <t>18</t>
        </is>
      </c>
      <c r="F1045" t="n">
        <v>6</v>
      </c>
      <c r="G1045" t="b">
        <v>0</v>
      </c>
      <c r="H1045" t="inlineStr">
        <is>
          <t>UOM=ADT;WEIGHT_BASIS=PROCESSED_SOURCE_UNIT_WEIGHT;LINE_WEIGHT_KG=1.08;SOURCE_CFG=IA-ST-CFG-0183;SRC_REF=Row 583, Slot 8;SRC_FILE=Mamul Ambalaj Bileşen Listesi-30.07.2026(3).xlsx</t>
        </is>
      </c>
    </row>
    <row r="1046">
      <c r="A1046" s="19" t="inlineStr">
        <is>
          <t>1045</t>
        </is>
      </c>
      <c r="B1046" s="19" t="inlineStr">
        <is>
          <t>150</t>
        </is>
      </c>
      <c r="C1046" s="19" t="inlineStr">
        <is>
          <t>54</t>
        </is>
      </c>
      <c r="D1046" t="n">
        <v>4</v>
      </c>
      <c r="E1046" s="19" t="inlineStr">
        <is>
          <t>18</t>
        </is>
      </c>
      <c r="F1046" t="n">
        <v>7</v>
      </c>
      <c r="G1046" t="b">
        <v>0</v>
      </c>
      <c r="H1046" t="inlineStr">
        <is>
          <t>UOM=ADT;WEIGHT_BASIS=PROCESSED_SOURCE_UNIT_WEIGHT;LINE_WEIGHT_KG=0.12;SOURCE_CFG=IA-ST-CFG-0183;SRC_REF=Row 583, Slot 9;SRC_FILE=Mamul Ambalaj Bileşen Listesi-30.07.2026(3).xlsx</t>
        </is>
      </c>
    </row>
    <row r="1047">
      <c r="A1047" s="19" t="inlineStr">
        <is>
          <t>1046</t>
        </is>
      </c>
      <c r="B1047" s="19" t="inlineStr">
        <is>
          <t>151</t>
        </is>
      </c>
      <c r="C1047" s="19" t="inlineStr">
        <is>
          <t>13</t>
        </is>
      </c>
      <c r="D1047" t="n">
        <v>14</v>
      </c>
      <c r="E1047" s="19" t="inlineStr">
        <is>
          <t>18</t>
        </is>
      </c>
      <c r="F1047" t="n">
        <v>1</v>
      </c>
      <c r="G1047" t="b">
        <v>0</v>
      </c>
      <c r="H1047" t="inlineStr">
        <is>
          <t>UOM=M;WEIGHT_BASIS=PROCESSED_SOURCE_UNIT_WEIGHT;LINE_WEIGHT_KG=0.1736;SOURCE_CFG=IA-ST-CFG-0184;SRC_REF=Row 1154, Slot 1;SRC_FILE=Mamul Ambalaj Bileşen Listesi-30.07.2026(3).xlsx</t>
        </is>
      </c>
    </row>
    <row r="1048">
      <c r="A1048" s="19" t="inlineStr">
        <is>
          <t>1047</t>
        </is>
      </c>
      <c r="B1048" s="19" t="inlineStr">
        <is>
          <t>151</t>
        </is>
      </c>
      <c r="C1048" s="19" t="inlineStr">
        <is>
          <t>5</t>
        </is>
      </c>
      <c r="D1048" t="n">
        <v>1</v>
      </c>
      <c r="E1048" s="19" t="inlineStr">
        <is>
          <t>18</t>
        </is>
      </c>
      <c r="F1048" t="n">
        <v>2</v>
      </c>
      <c r="G1048" t="b">
        <v>0</v>
      </c>
      <c r="H1048" t="inlineStr">
        <is>
          <t>UOM=ADT;WEIGHT_BASIS=PROCESSED_SOURCE_UNIT_WEIGHT;LINE_WEIGHT_KG=26.0;SOURCE_CFG=IA-ST-CFG-0184;SRC_REF=Row 1154, Slot 3;SRC_FILE=Mamul Ambalaj Bileşen Listesi-30.07.2026(3).xlsx</t>
        </is>
      </c>
    </row>
    <row r="1049">
      <c r="A1049" s="19" t="inlineStr">
        <is>
          <t>1048</t>
        </is>
      </c>
      <c r="B1049" s="19" t="inlineStr">
        <is>
          <t>151</t>
        </is>
      </c>
      <c r="C1049" s="19" t="inlineStr">
        <is>
          <t>8</t>
        </is>
      </c>
      <c r="D1049" t="n">
        <v>20</v>
      </c>
      <c r="E1049" s="19" t="inlineStr">
        <is>
          <t>18</t>
        </is>
      </c>
      <c r="F1049" t="n">
        <v>3</v>
      </c>
      <c r="G1049" t="b">
        <v>0</v>
      </c>
      <c r="H1049" t="inlineStr">
        <is>
          <t>UOM=M;WEIGHT_BASIS=PROCESSED_SOURCE_UNIT_WEIGHT;LINE_WEIGHT_KG=0.3664;SOURCE_CFG=IA-ST-CFG-0184;SRC_REF=Row 1154, Slot 5;SRC_FILE=Mamul Ambalaj Bileşen Listesi-30.07.2026(3).xlsx</t>
        </is>
      </c>
    </row>
    <row r="1050">
      <c r="A1050" s="19" t="inlineStr">
        <is>
          <t>1049</t>
        </is>
      </c>
      <c r="B1050" s="19" t="inlineStr">
        <is>
          <t>151</t>
        </is>
      </c>
      <c r="C1050" s="19" t="inlineStr">
        <is>
          <t>55</t>
        </is>
      </c>
      <c r="D1050" t="n">
        <v>0.597</v>
      </c>
      <c r="E1050" s="19" t="inlineStr">
        <is>
          <t>18</t>
        </is>
      </c>
      <c r="F1050" t="n">
        <v>4</v>
      </c>
      <c r="G1050" t="b">
        <v>0</v>
      </c>
      <c r="H1050" t="inlineStr">
        <is>
          <t>UOM=KG;WEIGHT_BASIS=RECIPE_QUANTITY_IS_KG;LINE_WEIGHT_KG=0.597;SOURCE_CFG=IA-ST-CFG-0184;SRC_REF=Row 1154, Slot 6;SRC_FILE=Mamul Ambalaj Bileşen Listesi-30.07.2026(3).xlsx</t>
        </is>
      </c>
    </row>
    <row r="1051">
      <c r="A1051" s="19" t="inlineStr">
        <is>
          <t>1050</t>
        </is>
      </c>
      <c r="B1051" s="19" t="inlineStr">
        <is>
          <t>151</t>
        </is>
      </c>
      <c r="C1051" s="19" t="inlineStr">
        <is>
          <t>7</t>
        </is>
      </c>
      <c r="D1051" t="n">
        <v>4</v>
      </c>
      <c r="E1051" s="19" t="inlineStr">
        <is>
          <t>18</t>
        </is>
      </c>
      <c r="F1051" t="n">
        <v>5</v>
      </c>
      <c r="G1051" t="b">
        <v>0</v>
      </c>
      <c r="H1051" t="inlineStr">
        <is>
          <t>UOM=ADT;WEIGHT_BASIS=PROCESSED_SOURCE_UNIT_WEIGHT;LINE_WEIGHT_KG=1.08;SOURCE_CFG=IA-ST-CFG-0184;SRC_REF=Row 1154, Slot 8;SRC_FILE=Mamul Ambalaj Bileşen Listesi-30.07.2026(3).xlsx</t>
        </is>
      </c>
    </row>
    <row r="1052">
      <c r="A1052" s="19" t="inlineStr">
        <is>
          <t>1051</t>
        </is>
      </c>
      <c r="B1052" s="19" t="inlineStr">
        <is>
          <t>151</t>
        </is>
      </c>
      <c r="C1052" s="19" t="inlineStr">
        <is>
          <t>25</t>
        </is>
      </c>
      <c r="D1052" t="n">
        <v>2</v>
      </c>
      <c r="E1052" s="19" t="inlineStr">
        <is>
          <t>18</t>
        </is>
      </c>
      <c r="F1052" t="n">
        <v>6</v>
      </c>
      <c r="G1052" t="b">
        <v>0</v>
      </c>
      <c r="H1052" t="inlineStr">
        <is>
          <t>UOM=ADT;WEIGHT_BASIS=PROCESSED_SOURCE_UNIT_WEIGHT;LINE_WEIGHT_KG=0.2;SOURCE_CFG=IA-ST-CFG-0184;SRC_REF=Row 1154, Slot 9;SRC_FILE=Mamul Ambalaj Bileşen Listesi-30.07.2026(3).xlsx</t>
        </is>
      </c>
    </row>
    <row r="1053">
      <c r="A1053" s="19" t="inlineStr">
        <is>
          <t>1052</t>
        </is>
      </c>
      <c r="B1053" s="19" t="inlineStr">
        <is>
          <t>152</t>
        </is>
      </c>
      <c r="C1053" s="19" t="inlineStr">
        <is>
          <t>13</t>
        </is>
      </c>
      <c r="D1053" t="n">
        <v>14</v>
      </c>
      <c r="E1053" s="19" t="inlineStr">
        <is>
          <t>18</t>
        </is>
      </c>
      <c r="F1053" t="n">
        <v>1</v>
      </c>
      <c r="G1053" t="b">
        <v>0</v>
      </c>
      <c r="H1053" t="inlineStr">
        <is>
          <t>UOM=M;WEIGHT_BASIS=PROCESSED_SOURCE_UNIT_WEIGHT;LINE_WEIGHT_KG=0.1736;SOURCE_CFG=IA-ST-CFG-0185;SRC_REF=Row 606, Slot 1;SRC_FILE=Mamul Ambalaj Bileşen Listesi-30.07.2026(3).xlsx</t>
        </is>
      </c>
    </row>
    <row r="1054">
      <c r="A1054" s="19" t="inlineStr">
        <is>
          <t>1053</t>
        </is>
      </c>
      <c r="B1054" s="19" t="inlineStr">
        <is>
          <t>152</t>
        </is>
      </c>
      <c r="C1054" s="19" t="inlineStr">
        <is>
          <t>5</t>
        </is>
      </c>
      <c r="D1054" t="n">
        <v>1</v>
      </c>
      <c r="E1054" s="19" t="inlineStr">
        <is>
          <t>18</t>
        </is>
      </c>
      <c r="F1054" t="n">
        <v>2</v>
      </c>
      <c r="G1054" t="b">
        <v>0</v>
      </c>
      <c r="H1054" t="inlineStr">
        <is>
          <t>UOM=ADT;WEIGHT_BASIS=PROCESSED_SOURCE_UNIT_WEIGHT;LINE_WEIGHT_KG=26.0;SOURCE_CFG=IA-ST-CFG-0185;SRC_REF=Row 606, Slot 3;SRC_FILE=Mamul Ambalaj Bileşen Listesi-30.07.2026(3).xlsx</t>
        </is>
      </c>
    </row>
    <row r="1055">
      <c r="A1055" s="19" t="inlineStr">
        <is>
          <t>1054</t>
        </is>
      </c>
      <c r="B1055" s="19" t="inlineStr">
        <is>
          <t>152</t>
        </is>
      </c>
      <c r="C1055" s="19" t="inlineStr">
        <is>
          <t>8</t>
        </is>
      </c>
      <c r="D1055" t="n">
        <v>20</v>
      </c>
      <c r="E1055" s="19" t="inlineStr">
        <is>
          <t>18</t>
        </is>
      </c>
      <c r="F1055" t="n">
        <v>3</v>
      </c>
      <c r="G1055" t="b">
        <v>0</v>
      </c>
      <c r="H1055" t="inlineStr">
        <is>
          <t>UOM=M;WEIGHT_BASIS=PROCESSED_SOURCE_UNIT_WEIGHT;LINE_WEIGHT_KG=0.3664;SOURCE_CFG=IA-ST-CFG-0185;SRC_REF=Row 606, Slot 5;SRC_FILE=Mamul Ambalaj Bileşen Listesi-30.07.2026(3).xlsx</t>
        </is>
      </c>
    </row>
    <row r="1056">
      <c r="A1056" s="19" t="inlineStr">
        <is>
          <t>1055</t>
        </is>
      </c>
      <c r="B1056" s="19" t="inlineStr">
        <is>
          <t>152</t>
        </is>
      </c>
      <c r="C1056" s="19" t="inlineStr">
        <is>
          <t>55</t>
        </is>
      </c>
      <c r="D1056" t="n">
        <v>0.597</v>
      </c>
      <c r="E1056" s="19" t="inlineStr">
        <is>
          <t>18</t>
        </is>
      </c>
      <c r="F1056" t="n">
        <v>4</v>
      </c>
      <c r="G1056" t="b">
        <v>0</v>
      </c>
      <c r="H1056" t="inlineStr">
        <is>
          <t>UOM=KG;WEIGHT_BASIS=RECIPE_QUANTITY_IS_KG;LINE_WEIGHT_KG=0.597;SOURCE_CFG=IA-ST-CFG-0185;SRC_REF=Row 606, Slot 6;SRC_FILE=Mamul Ambalaj Bileşen Listesi-30.07.2026(3).xlsx</t>
        </is>
      </c>
    </row>
    <row r="1057">
      <c r="A1057" s="19" t="inlineStr">
        <is>
          <t>1056</t>
        </is>
      </c>
      <c r="B1057" s="19" t="inlineStr">
        <is>
          <t>152</t>
        </is>
      </c>
      <c r="C1057" s="19" t="inlineStr">
        <is>
          <t>7</t>
        </is>
      </c>
      <c r="D1057" t="n">
        <v>4</v>
      </c>
      <c r="E1057" s="19" t="inlineStr">
        <is>
          <t>18</t>
        </is>
      </c>
      <c r="F1057" t="n">
        <v>5</v>
      </c>
      <c r="G1057" t="b">
        <v>0</v>
      </c>
      <c r="H1057" t="inlineStr">
        <is>
          <t>UOM=ADT;WEIGHT_BASIS=PROCESSED_SOURCE_UNIT_WEIGHT;LINE_WEIGHT_KG=1.08;SOURCE_CFG=IA-ST-CFG-0185;SRC_REF=Row 606, Slot 8;SRC_FILE=Mamul Ambalaj Bileşen Listesi-30.07.2026(3).xlsx</t>
        </is>
      </c>
    </row>
    <row r="1058">
      <c r="A1058" s="19" t="inlineStr">
        <is>
          <t>1057</t>
        </is>
      </c>
      <c r="B1058" s="19" t="inlineStr">
        <is>
          <t>152</t>
        </is>
      </c>
      <c r="C1058" s="19" t="inlineStr">
        <is>
          <t>25</t>
        </is>
      </c>
      <c r="D1058" t="n">
        <v>4</v>
      </c>
      <c r="E1058" s="19" t="inlineStr">
        <is>
          <t>18</t>
        </is>
      </c>
      <c r="F1058" t="n">
        <v>6</v>
      </c>
      <c r="G1058" t="b">
        <v>0</v>
      </c>
      <c r="H1058" t="inlineStr">
        <is>
          <t>UOM=ADT;WEIGHT_BASIS=PROCESSED_SOURCE_UNIT_WEIGHT;LINE_WEIGHT_KG=0.4;SOURCE_CFG=IA-ST-CFG-0185;SRC_REF=Row 606, Slot 9;SRC_FILE=Mamul Ambalaj Bileşen Listesi-30.07.2026(3).xlsx</t>
        </is>
      </c>
    </row>
    <row r="1059">
      <c r="A1059" s="19" t="inlineStr">
        <is>
          <t>1058</t>
        </is>
      </c>
      <c r="B1059" s="19" t="inlineStr">
        <is>
          <t>153</t>
        </is>
      </c>
      <c r="C1059" s="19" t="inlineStr">
        <is>
          <t>13</t>
        </is>
      </c>
      <c r="D1059" t="n">
        <v>7</v>
      </c>
      <c r="E1059" s="19" t="inlineStr">
        <is>
          <t>18</t>
        </is>
      </c>
      <c r="F1059" t="n">
        <v>1</v>
      </c>
      <c r="G1059" t="b">
        <v>0</v>
      </c>
      <c r="H1059" t="inlineStr">
        <is>
          <t>UOM=M;WEIGHT_BASIS=PROCESSED_SOURCE_UNIT_WEIGHT;LINE_WEIGHT_KG=0.0868;SOURCE_CFG=IA-ST-CFG-0186;SRC_REF=Row 217, Slot 1;SRC_FILE=Mamul Ambalaj Bileşen Listesi-30.07.2026(3).xlsx</t>
        </is>
      </c>
    </row>
    <row r="1060">
      <c r="A1060" s="19" t="inlineStr">
        <is>
          <t>1059</t>
        </is>
      </c>
      <c r="B1060" s="19" t="inlineStr">
        <is>
          <t>153</t>
        </is>
      </c>
      <c r="C1060" s="19" t="inlineStr">
        <is>
          <t>5</t>
        </is>
      </c>
      <c r="D1060" t="n">
        <v>1</v>
      </c>
      <c r="E1060" s="19" t="inlineStr">
        <is>
          <t>18</t>
        </is>
      </c>
      <c r="F1060" t="n">
        <v>2</v>
      </c>
      <c r="G1060" t="b">
        <v>0</v>
      </c>
      <c r="H1060" t="inlineStr">
        <is>
          <t>UOM=ADT;WEIGHT_BASIS=PROCESSED_SOURCE_UNIT_WEIGHT;LINE_WEIGHT_KG=26.0;SOURCE_CFG=IA-ST-CFG-0186;SRC_REF=Row 217, Slot 3;SRC_FILE=Mamul Ambalaj Bileşen Listesi-30.07.2026(3).xlsx</t>
        </is>
      </c>
    </row>
    <row r="1061">
      <c r="A1061" s="19" t="inlineStr">
        <is>
          <t>1060</t>
        </is>
      </c>
      <c r="B1061" s="19" t="inlineStr">
        <is>
          <t>153</t>
        </is>
      </c>
      <c r="C1061" s="19" t="inlineStr">
        <is>
          <t>8</t>
        </is>
      </c>
      <c r="D1061" t="n">
        <v>20</v>
      </c>
      <c r="E1061" s="19" t="inlineStr">
        <is>
          <t>18</t>
        </is>
      </c>
      <c r="F1061" t="n">
        <v>3</v>
      </c>
      <c r="G1061" t="b">
        <v>0</v>
      </c>
      <c r="H1061" t="inlineStr">
        <is>
          <t>UOM=M;WEIGHT_BASIS=PROCESSED_SOURCE_UNIT_WEIGHT;LINE_WEIGHT_KG=0.3664;SOURCE_CFG=IA-ST-CFG-0186;SRC_REF=Row 217, Slot 5;SRC_FILE=Mamul Ambalaj Bileşen Listesi-30.07.2026(3).xlsx</t>
        </is>
      </c>
    </row>
    <row r="1062">
      <c r="A1062" s="19" t="inlineStr">
        <is>
          <t>1061</t>
        </is>
      </c>
      <c r="B1062" s="19" t="inlineStr">
        <is>
          <t>153</t>
        </is>
      </c>
      <c r="C1062" s="19" t="inlineStr">
        <is>
          <t>9</t>
        </is>
      </c>
      <c r="D1062" t="n">
        <v>0.186</v>
      </c>
      <c r="E1062" s="19" t="inlineStr">
        <is>
          <t>18</t>
        </is>
      </c>
      <c r="F1062" t="n">
        <v>4</v>
      </c>
      <c r="G1062" t="b">
        <v>0</v>
      </c>
      <c r="H1062" t="inlineStr">
        <is>
          <t>UOM=KG;WEIGHT_BASIS=RECIPE_QUANTITY_IS_KG;LINE_WEIGHT_KG=0.186;SOURCE_CFG=IA-ST-CFG-0186;SRC_REF=Row 217, Slot 6;SRC_FILE=Mamul Ambalaj Bileşen Listesi-30.07.2026(3).xlsx</t>
        </is>
      </c>
    </row>
    <row r="1063">
      <c r="A1063" s="19" t="inlineStr">
        <is>
          <t>1062</t>
        </is>
      </c>
      <c r="B1063" s="19" t="inlineStr">
        <is>
          <t>153</t>
        </is>
      </c>
      <c r="C1063" s="19" t="inlineStr">
        <is>
          <t>23</t>
        </is>
      </c>
      <c r="D1063" t="n">
        <v>2.08</v>
      </c>
      <c r="E1063" s="19" t="inlineStr">
        <is>
          <t>18</t>
        </is>
      </c>
      <c r="F1063" t="n">
        <v>5</v>
      </c>
      <c r="G1063" t="b">
        <v>0</v>
      </c>
      <c r="H1063" t="inlineStr">
        <is>
          <t>UOM=KG;WEIGHT_BASIS=RECIPE_QUANTITY_IS_KG;LINE_WEIGHT_KG=2.08;SOURCE_CFG=IA-ST-CFG-0186;SRC_REF=Row 217, Slot 7;SRC_FILE=Mamul Ambalaj Bileşen Listesi-30.07.2026(3).xlsx</t>
        </is>
      </c>
    </row>
    <row r="1064">
      <c r="A1064" s="19" t="inlineStr">
        <is>
          <t>1063</t>
        </is>
      </c>
      <c r="B1064" s="19" t="inlineStr">
        <is>
          <t>153</t>
        </is>
      </c>
      <c r="C1064" s="19" t="inlineStr">
        <is>
          <t>7</t>
        </is>
      </c>
      <c r="D1064" t="n">
        <v>5</v>
      </c>
      <c r="E1064" s="19" t="inlineStr">
        <is>
          <t>18</t>
        </is>
      </c>
      <c r="F1064" t="n">
        <v>6</v>
      </c>
      <c r="G1064" t="b">
        <v>0</v>
      </c>
      <c r="H1064" t="inlineStr">
        <is>
          <t>UOM=ADT;WEIGHT_BASIS=PROCESSED_SOURCE_UNIT_WEIGHT;LINE_WEIGHT_KG=1.35;SOURCE_CFG=IA-ST-CFG-0186;SRC_REF=Row 217, Slot 8;SRC_FILE=Mamul Ambalaj Bileşen Listesi-30.07.2026(3).xlsx</t>
        </is>
      </c>
    </row>
    <row r="1065">
      <c r="A1065" s="19" t="inlineStr">
        <is>
          <t>1064</t>
        </is>
      </c>
      <c r="B1065" s="19" t="inlineStr">
        <is>
          <t>153</t>
        </is>
      </c>
      <c r="C1065" s="19" t="inlineStr">
        <is>
          <t>25</t>
        </is>
      </c>
      <c r="D1065" t="n">
        <v>2</v>
      </c>
      <c r="E1065" s="19" t="inlineStr">
        <is>
          <t>18</t>
        </is>
      </c>
      <c r="F1065" t="n">
        <v>7</v>
      </c>
      <c r="G1065" t="b">
        <v>0</v>
      </c>
      <c r="H1065" t="inlineStr">
        <is>
          <t>UOM=ADT;WEIGHT_BASIS=PROCESSED_SOURCE_UNIT_WEIGHT;LINE_WEIGHT_KG=0.2;SOURCE_CFG=IA-ST-CFG-0186;SRC_REF=Row 217, Slot 9;SRC_FILE=Mamul Ambalaj Bileşen Listesi-30.07.2026(3).xlsx</t>
        </is>
      </c>
    </row>
    <row r="1066">
      <c r="A1066" s="19" t="inlineStr">
        <is>
          <t>1065</t>
        </is>
      </c>
      <c r="B1066" s="19" t="inlineStr">
        <is>
          <t>154</t>
        </is>
      </c>
      <c r="C1066" s="19" t="inlineStr">
        <is>
          <t>6</t>
        </is>
      </c>
      <c r="D1066" t="n">
        <v>1</v>
      </c>
      <c r="E1066" s="19" t="inlineStr">
        <is>
          <t>18</t>
        </is>
      </c>
      <c r="F1066" t="n">
        <v>1</v>
      </c>
      <c r="G1066" t="b">
        <v>0</v>
      </c>
      <c r="H1066" t="inlineStr">
        <is>
          <t>UOM=ADT;WEIGHT_BASIS=PROCESSED_SOURCE_UNIT_WEIGHT;LINE_WEIGHT_KG=26.0;SOURCE_CFG=IA-ST-CFG-0190;SRC_REF=Row 169, Slot 3;SRC_FILE=Mamul Ambalaj Bileşen Listesi-30.07.2026(3).xlsx</t>
        </is>
      </c>
    </row>
    <row r="1067">
      <c r="A1067" s="19" t="inlineStr">
        <is>
          <t>1066</t>
        </is>
      </c>
      <c r="B1067" s="19" t="inlineStr">
        <is>
          <t>154</t>
        </is>
      </c>
      <c r="C1067" s="19" t="inlineStr">
        <is>
          <t>8</t>
        </is>
      </c>
      <c r="D1067" t="n">
        <v>20</v>
      </c>
      <c r="E1067" s="19" t="inlineStr">
        <is>
          <t>18</t>
        </is>
      </c>
      <c r="F1067" t="n">
        <v>2</v>
      </c>
      <c r="G1067" t="b">
        <v>0</v>
      </c>
      <c r="H1067" t="inlineStr">
        <is>
          <t>UOM=M;WEIGHT_BASIS=PROCESSED_SOURCE_UNIT_WEIGHT;LINE_WEIGHT_KG=0.3664;SOURCE_CFG=IA-ST-CFG-0190;SRC_REF=Row 169, Slot 5;SRC_FILE=Mamul Ambalaj Bileşen Listesi-30.07.2026(3).xlsx</t>
        </is>
      </c>
    </row>
    <row r="1068">
      <c r="A1068" s="19" t="inlineStr">
        <is>
          <t>1067</t>
        </is>
      </c>
      <c r="B1068" s="19" t="inlineStr">
        <is>
          <t>154</t>
        </is>
      </c>
      <c r="C1068" s="19" t="inlineStr">
        <is>
          <t>9</t>
        </is>
      </c>
      <c r="D1068" t="n">
        <v>0.186</v>
      </c>
      <c r="E1068" s="19" t="inlineStr">
        <is>
          <t>18</t>
        </is>
      </c>
      <c r="F1068" t="n">
        <v>3</v>
      </c>
      <c r="G1068" t="b">
        <v>0</v>
      </c>
      <c r="H1068" t="inlineStr">
        <is>
          <t>UOM=KG;WEIGHT_BASIS=RECIPE_QUANTITY_IS_KG;LINE_WEIGHT_KG=0.186;SOURCE_CFG=IA-ST-CFG-0190;SRC_REF=Row 169, Slot 6;SRC_FILE=Mamul Ambalaj Bileşen Listesi-30.07.2026(3).xlsx</t>
        </is>
      </c>
    </row>
    <row r="1069">
      <c r="A1069" s="19" t="inlineStr">
        <is>
          <t>1068</t>
        </is>
      </c>
      <c r="B1069" s="19" t="inlineStr">
        <is>
          <t>154</t>
        </is>
      </c>
      <c r="C1069" s="19" t="inlineStr">
        <is>
          <t>3</t>
        </is>
      </c>
      <c r="D1069" t="n">
        <v>6</v>
      </c>
      <c r="E1069" s="19" t="inlineStr">
        <is>
          <t>18</t>
        </is>
      </c>
      <c r="F1069" t="n">
        <v>4</v>
      </c>
      <c r="G1069" t="b">
        <v>0</v>
      </c>
      <c r="H1069" t="inlineStr">
        <is>
          <t>UOM=ADT;WEIGHT_BASIS=PROCESSED_SOURCE_UNIT_WEIGHT;LINE_WEIGHT_KG=1.26;SOURCE_CFG=IA-ST-CFG-0190;SRC_REF=Row 169, Slot 8;SRC_FILE=Mamul Ambalaj Bileşen Listesi-30.07.2026(3).xlsx</t>
        </is>
      </c>
    </row>
    <row r="1070">
      <c r="A1070" s="19" t="inlineStr">
        <is>
          <t>1069</t>
        </is>
      </c>
      <c r="B1070" s="19" t="inlineStr">
        <is>
          <t>154</t>
        </is>
      </c>
      <c r="C1070" s="19" t="inlineStr">
        <is>
          <t>30</t>
        </is>
      </c>
      <c r="D1070" t="n">
        <v>5</v>
      </c>
      <c r="E1070" s="19" t="inlineStr">
        <is>
          <t>18</t>
        </is>
      </c>
      <c r="F1070" t="n">
        <v>5</v>
      </c>
      <c r="G1070" t="b">
        <v>0</v>
      </c>
      <c r="H1070" t="inlineStr">
        <is>
          <t>UOM=ADT;WEIGHT_BASIS=PROCESSED_SOURCE_UNIT_WEIGHT;LINE_WEIGHT_KG=1.0;SOURCE_CFG=IA-ST-CFG-0190;SRC_REF=Row 169, Slot 9;SRC_FILE=Mamul Ambalaj Bileşen Listesi-30.07.2026(3).xlsx</t>
        </is>
      </c>
    </row>
    <row r="1071">
      <c r="A1071" s="19" t="inlineStr">
        <is>
          <t>1070</t>
        </is>
      </c>
      <c r="B1071" s="19" t="inlineStr">
        <is>
          <t>154</t>
        </is>
      </c>
      <c r="C1071" s="19" t="inlineStr">
        <is>
          <t>64</t>
        </is>
      </c>
      <c r="D1071" t="n">
        <v>64</v>
      </c>
      <c r="E1071" s="19" t="inlineStr">
        <is>
          <t>18</t>
        </is>
      </c>
      <c r="F1071" t="n">
        <v>6</v>
      </c>
      <c r="G1071" t="b">
        <v>0</v>
      </c>
      <c r="H1071" t="inlineStr">
        <is>
          <t>UOM=ADT;WEIGHT_BASIS=PROCESSED_SOURCE_UNIT_WEIGHT;LINE_WEIGHT_KG=16.0;SOURCE_CFG=IA-ST-CFG-0190;SRC_REF=Row 169, Slot 10;SRC_FILE=Mamul Ambalaj Bileşen Listesi-30.07.2026(3).xlsx</t>
        </is>
      </c>
    </row>
    <row r="1072">
      <c r="A1072" s="19" t="inlineStr">
        <is>
          <t>1071</t>
        </is>
      </c>
      <c r="B1072" s="19" t="inlineStr">
        <is>
          <t>155</t>
        </is>
      </c>
      <c r="C1072" s="19" t="inlineStr">
        <is>
          <t>13</t>
        </is>
      </c>
      <c r="D1072" t="n">
        <v>14</v>
      </c>
      <c r="E1072" s="19" t="inlineStr">
        <is>
          <t>18</t>
        </is>
      </c>
      <c r="F1072" t="n">
        <v>1</v>
      </c>
      <c r="G1072" t="b">
        <v>0</v>
      </c>
      <c r="H1072" t="inlineStr">
        <is>
          <t>UOM=M;WEIGHT_BASIS=PROCESSED_SOURCE_UNIT_WEIGHT;LINE_WEIGHT_KG=0.1736;SOURCE_CFG=IA-ST-CFG-0191;SRC_REF=Row 1384, Slot 1;SRC_FILE=Mamul Ambalaj Bileşen Listesi-30.07.2026(3).xlsx</t>
        </is>
      </c>
    </row>
    <row r="1073">
      <c r="A1073" s="19" t="inlineStr">
        <is>
          <t>1072</t>
        </is>
      </c>
      <c r="B1073" s="19" t="inlineStr">
        <is>
          <t>155</t>
        </is>
      </c>
      <c r="C1073" s="19" t="inlineStr">
        <is>
          <t>5</t>
        </is>
      </c>
      <c r="D1073" t="n">
        <v>1</v>
      </c>
      <c r="E1073" s="19" t="inlineStr">
        <is>
          <t>18</t>
        </is>
      </c>
      <c r="F1073" t="n">
        <v>2</v>
      </c>
      <c r="G1073" t="b">
        <v>0</v>
      </c>
      <c r="H1073" t="inlineStr">
        <is>
          <t>UOM=ADT;WEIGHT_BASIS=PROCESSED_SOURCE_UNIT_WEIGHT;LINE_WEIGHT_KG=26.0;SOURCE_CFG=IA-ST-CFG-0191;SRC_REF=Row 1384, Slot 3;SRC_FILE=Mamul Ambalaj Bileşen Listesi-30.07.2026(3).xlsx</t>
        </is>
      </c>
    </row>
    <row r="1074">
      <c r="A1074" s="19" t="inlineStr">
        <is>
          <t>1073</t>
        </is>
      </c>
      <c r="B1074" s="19" t="inlineStr">
        <is>
          <t>155</t>
        </is>
      </c>
      <c r="C1074" s="19" t="inlineStr">
        <is>
          <t>8</t>
        </is>
      </c>
      <c r="D1074" t="n">
        <v>20</v>
      </c>
      <c r="E1074" s="19" t="inlineStr">
        <is>
          <t>18</t>
        </is>
      </c>
      <c r="F1074" t="n">
        <v>3</v>
      </c>
      <c r="G1074" t="b">
        <v>0</v>
      </c>
      <c r="H1074" t="inlineStr">
        <is>
          <t>UOM=M;WEIGHT_BASIS=PROCESSED_SOURCE_UNIT_WEIGHT;LINE_WEIGHT_KG=0.3664;SOURCE_CFG=IA-ST-CFG-0191;SRC_REF=Row 1384, Slot 5;SRC_FILE=Mamul Ambalaj Bileşen Listesi-30.07.2026(3).xlsx</t>
        </is>
      </c>
    </row>
    <row r="1075">
      <c r="A1075" s="19" t="inlineStr">
        <is>
          <t>1074</t>
        </is>
      </c>
      <c r="B1075" s="19" t="inlineStr">
        <is>
          <t>155</t>
        </is>
      </c>
      <c r="C1075" s="19" t="inlineStr">
        <is>
          <t>9</t>
        </is>
      </c>
      <c r="D1075" t="n">
        <v>0.186</v>
      </c>
      <c r="E1075" s="19" t="inlineStr">
        <is>
          <t>18</t>
        </is>
      </c>
      <c r="F1075" t="n">
        <v>4</v>
      </c>
      <c r="G1075" t="b">
        <v>0</v>
      </c>
      <c r="H1075" t="inlineStr">
        <is>
          <t>UOM=KG;WEIGHT_BASIS=RECIPE_QUANTITY_IS_KG;LINE_WEIGHT_KG=0.186;SOURCE_CFG=IA-ST-CFG-0191;SRC_REF=Row 1384, Slot 6;SRC_FILE=Mamul Ambalaj Bileşen Listesi-30.07.2026(3).xlsx</t>
        </is>
      </c>
    </row>
    <row r="1076">
      <c r="A1076" s="19" t="inlineStr">
        <is>
          <t>1075</t>
        </is>
      </c>
      <c r="B1076" s="19" t="inlineStr">
        <is>
          <t>155</t>
        </is>
      </c>
      <c r="C1076" s="19" t="inlineStr">
        <is>
          <t>3</t>
        </is>
      </c>
      <c r="D1076" t="n">
        <v>6</v>
      </c>
      <c r="E1076" s="19" t="inlineStr">
        <is>
          <t>18</t>
        </is>
      </c>
      <c r="F1076" t="n">
        <v>5</v>
      </c>
      <c r="G1076" t="b">
        <v>0</v>
      </c>
      <c r="H1076" t="inlineStr">
        <is>
          <t>UOM=ADT;WEIGHT_BASIS=PROCESSED_SOURCE_UNIT_WEIGHT;LINE_WEIGHT_KG=1.26;SOURCE_CFG=IA-ST-CFG-0191;SRC_REF=Row 1384, Slot 8;SRC_FILE=Mamul Ambalaj Bileşen Listesi-30.07.2026(3).xlsx</t>
        </is>
      </c>
    </row>
    <row r="1077">
      <c r="A1077" s="19" t="inlineStr">
        <is>
          <t>1076</t>
        </is>
      </c>
      <c r="B1077" s="19" t="inlineStr">
        <is>
          <t>155</t>
        </is>
      </c>
      <c r="C1077" s="19" t="inlineStr">
        <is>
          <t>7</t>
        </is>
      </c>
      <c r="D1077" t="n">
        <v>4</v>
      </c>
      <c r="E1077" s="19" t="inlineStr">
        <is>
          <t>18</t>
        </is>
      </c>
      <c r="F1077" t="n">
        <v>6</v>
      </c>
      <c r="G1077" t="b">
        <v>0</v>
      </c>
      <c r="H1077" t="inlineStr">
        <is>
          <t>UOM=ADT;WEIGHT_BASIS=PROCESSED_SOURCE_UNIT_WEIGHT;LINE_WEIGHT_KG=1.08;SOURCE_CFG=IA-ST-CFG-0191;SRC_REF=Row 1384, Slot 9;SRC_FILE=Mamul Ambalaj Bileşen Listesi-30.07.2026(3).xlsx</t>
        </is>
      </c>
    </row>
    <row r="1078">
      <c r="A1078" s="19" t="inlineStr">
        <is>
          <t>1077</t>
        </is>
      </c>
      <c r="B1078" s="19" t="inlineStr">
        <is>
          <t>155</t>
        </is>
      </c>
      <c r="C1078" s="19" t="inlineStr">
        <is>
          <t>45</t>
        </is>
      </c>
      <c r="D1078" t="n">
        <v>66</v>
      </c>
      <c r="E1078" s="19" t="inlineStr">
        <is>
          <t>18</t>
        </is>
      </c>
      <c r="F1078" t="n">
        <v>7</v>
      </c>
      <c r="G1078" t="b">
        <v>0</v>
      </c>
      <c r="H1078" t="inlineStr">
        <is>
          <t>UOM=ADT;WEIGHT_BASIS=PROCESSED_SOURCE_UNIT_WEIGHT;LINE_WEIGHT_KG=15.84;SOURCE_CFG=IA-ST-CFG-0191;SRC_REF=Row 1384, Slot 10;SRC_FILE=Mamul Ambalaj Bileşen Listesi-30.07.2026(3).xlsx</t>
        </is>
      </c>
    </row>
    <row r="1079">
      <c r="A1079" s="19" t="inlineStr">
        <is>
          <t>1078</t>
        </is>
      </c>
      <c r="B1079" s="19" t="inlineStr">
        <is>
          <t>156</t>
        </is>
      </c>
      <c r="C1079" s="19" t="inlineStr">
        <is>
          <t>13</t>
        </is>
      </c>
      <c r="D1079" t="n">
        <v>14</v>
      </c>
      <c r="E1079" s="19" t="inlineStr">
        <is>
          <t>18</t>
        </is>
      </c>
      <c r="F1079" t="n">
        <v>1</v>
      </c>
      <c r="G1079" t="b">
        <v>0</v>
      </c>
      <c r="H1079" t="inlineStr">
        <is>
          <t>UOM=M;WEIGHT_BASIS=PROCESSED_SOURCE_UNIT_WEIGHT;LINE_WEIGHT_KG=0.1736;SOURCE_CFG=IA-ST-CFG-0192;SRC_REF=Row 980, Slot 1;SRC_FILE=Mamul Ambalaj Bileşen Listesi-30.07.2026(3).xlsx</t>
        </is>
      </c>
    </row>
    <row r="1080">
      <c r="A1080" s="19" t="inlineStr">
        <is>
          <t>1079</t>
        </is>
      </c>
      <c r="B1080" s="19" t="inlineStr">
        <is>
          <t>156</t>
        </is>
      </c>
      <c r="C1080" s="19" t="inlineStr">
        <is>
          <t>5</t>
        </is>
      </c>
      <c r="D1080" t="n">
        <v>1</v>
      </c>
      <c r="E1080" s="19" t="inlineStr">
        <is>
          <t>18</t>
        </is>
      </c>
      <c r="F1080" t="n">
        <v>2</v>
      </c>
      <c r="G1080" t="b">
        <v>0</v>
      </c>
      <c r="H1080" t="inlineStr">
        <is>
          <t>UOM=ADT;WEIGHT_BASIS=PROCESSED_SOURCE_UNIT_WEIGHT;LINE_WEIGHT_KG=26.0;SOURCE_CFG=IA-ST-CFG-0192;SRC_REF=Row 980, Slot 3;SRC_FILE=Mamul Ambalaj Bileşen Listesi-30.07.2026(3).xlsx</t>
        </is>
      </c>
    </row>
    <row r="1081">
      <c r="A1081" s="19" t="inlineStr">
        <is>
          <t>1080</t>
        </is>
      </c>
      <c r="B1081" s="19" t="inlineStr">
        <is>
          <t>156</t>
        </is>
      </c>
      <c r="C1081" s="19" t="inlineStr">
        <is>
          <t>8</t>
        </is>
      </c>
      <c r="D1081" t="n">
        <v>20</v>
      </c>
      <c r="E1081" s="19" t="inlineStr">
        <is>
          <t>18</t>
        </is>
      </c>
      <c r="F1081" t="n">
        <v>3</v>
      </c>
      <c r="G1081" t="b">
        <v>0</v>
      </c>
      <c r="H1081" t="inlineStr">
        <is>
          <t>UOM=M;WEIGHT_BASIS=PROCESSED_SOURCE_UNIT_WEIGHT;LINE_WEIGHT_KG=0.3664;SOURCE_CFG=IA-ST-CFG-0192;SRC_REF=Row 980, Slot 5;SRC_FILE=Mamul Ambalaj Bileşen Listesi-30.07.2026(3).xlsx</t>
        </is>
      </c>
    </row>
    <row r="1082">
      <c r="A1082" s="19" t="inlineStr">
        <is>
          <t>1081</t>
        </is>
      </c>
      <c r="B1082" s="19" t="inlineStr">
        <is>
          <t>156</t>
        </is>
      </c>
      <c r="C1082" s="19" t="inlineStr">
        <is>
          <t>9</t>
        </is>
      </c>
      <c r="D1082" t="n">
        <v>0.186</v>
      </c>
      <c r="E1082" s="19" t="inlineStr">
        <is>
          <t>18</t>
        </is>
      </c>
      <c r="F1082" t="n">
        <v>4</v>
      </c>
      <c r="G1082" t="b">
        <v>0</v>
      </c>
      <c r="H1082" t="inlineStr">
        <is>
          <t>UOM=KG;WEIGHT_BASIS=RECIPE_QUANTITY_IS_KG;LINE_WEIGHT_KG=0.186;SOURCE_CFG=IA-ST-CFG-0192;SRC_REF=Row 980, Slot 6;SRC_FILE=Mamul Ambalaj Bileşen Listesi-30.07.2026(3).xlsx</t>
        </is>
      </c>
    </row>
    <row r="1083">
      <c r="A1083" s="19" t="inlineStr">
        <is>
          <t>1082</t>
        </is>
      </c>
      <c r="B1083" s="19" t="inlineStr">
        <is>
          <t>156</t>
        </is>
      </c>
      <c r="C1083" s="19" t="inlineStr">
        <is>
          <t>3</t>
        </is>
      </c>
      <c r="D1083" t="n">
        <v>8</v>
      </c>
      <c r="E1083" s="19" t="inlineStr">
        <is>
          <t>18</t>
        </is>
      </c>
      <c r="F1083" t="n">
        <v>5</v>
      </c>
      <c r="G1083" t="b">
        <v>0</v>
      </c>
      <c r="H1083" t="inlineStr">
        <is>
          <t>UOM=ADT;WEIGHT_BASIS=PROCESSED_SOURCE_UNIT_WEIGHT;LINE_WEIGHT_KG=1.68;SOURCE_CFG=IA-ST-CFG-0192;SRC_REF=Row 980, Slot 8;SRC_FILE=Mamul Ambalaj Bileşen Listesi-30.07.2026(3).xlsx</t>
        </is>
      </c>
    </row>
    <row r="1084">
      <c r="A1084" s="19" t="inlineStr">
        <is>
          <t>1083</t>
        </is>
      </c>
      <c r="B1084" s="19" t="inlineStr">
        <is>
          <t>156</t>
        </is>
      </c>
      <c r="C1084" s="19" t="inlineStr">
        <is>
          <t>7</t>
        </is>
      </c>
      <c r="D1084" t="n">
        <v>4</v>
      </c>
      <c r="E1084" s="19" t="inlineStr">
        <is>
          <t>18</t>
        </is>
      </c>
      <c r="F1084" t="n">
        <v>6</v>
      </c>
      <c r="G1084" t="b">
        <v>0</v>
      </c>
      <c r="H1084" t="inlineStr">
        <is>
          <t>UOM=ADT;WEIGHT_BASIS=PROCESSED_SOURCE_UNIT_WEIGHT;LINE_WEIGHT_KG=1.08;SOURCE_CFG=IA-ST-CFG-0192;SRC_REF=Row 980, Slot 9;SRC_FILE=Mamul Ambalaj Bileşen Listesi-30.07.2026(3).xlsx</t>
        </is>
      </c>
    </row>
    <row r="1085">
      <c r="A1085" s="19" t="inlineStr">
        <is>
          <t>1084</t>
        </is>
      </c>
      <c r="B1085" s="19" t="inlineStr">
        <is>
          <t>156</t>
        </is>
      </c>
      <c r="C1085" s="19" t="inlineStr">
        <is>
          <t>87</t>
        </is>
      </c>
      <c r="D1085" t="n">
        <v>66</v>
      </c>
      <c r="E1085" s="19" t="inlineStr">
        <is>
          <t>18</t>
        </is>
      </c>
      <c r="F1085" t="n">
        <v>7</v>
      </c>
      <c r="G1085" t="b">
        <v>0</v>
      </c>
      <c r="H1085" t="inlineStr">
        <is>
          <t>UOM=ADT;WEIGHT_BASIS=PROCESSED_SOURCE_UNIT_WEIGHT;LINE_WEIGHT_KG=15.84;SOURCE_CFG=IA-ST-CFG-0192;SRC_REF=Row 980, Slot 10;SRC_FILE=Mamul Ambalaj Bileşen Listesi-30.07.2026(3).xlsx</t>
        </is>
      </c>
    </row>
    <row r="1086">
      <c r="A1086" s="19" t="inlineStr">
        <is>
          <t>1085</t>
        </is>
      </c>
      <c r="B1086" s="19" t="inlineStr">
        <is>
          <t>157</t>
        </is>
      </c>
      <c r="C1086" s="19" t="inlineStr">
        <is>
          <t>13</t>
        </is>
      </c>
      <c r="D1086" t="n">
        <v>14</v>
      </c>
      <c r="E1086" s="19" t="inlineStr">
        <is>
          <t>18</t>
        </is>
      </c>
      <c r="F1086" t="n">
        <v>1</v>
      </c>
      <c r="G1086" t="b">
        <v>0</v>
      </c>
      <c r="H1086" t="inlineStr">
        <is>
          <t>UOM=M;WEIGHT_BASIS=PROCESSED_SOURCE_UNIT_WEIGHT;LINE_WEIGHT_KG=0.1736;SOURCE_CFG=IA-ST-CFG-0193;SRC_REF=Row 1161, Slot 1;SRC_FILE=Mamul Ambalaj Bileşen Listesi-30.07.2026(3).xlsx</t>
        </is>
      </c>
    </row>
    <row r="1087">
      <c r="A1087" s="19" t="inlineStr">
        <is>
          <t>1086</t>
        </is>
      </c>
      <c r="B1087" s="19" t="inlineStr">
        <is>
          <t>157</t>
        </is>
      </c>
      <c r="C1087" s="19" t="inlineStr">
        <is>
          <t>5</t>
        </is>
      </c>
      <c r="D1087" t="n">
        <v>1</v>
      </c>
      <c r="E1087" s="19" t="inlineStr">
        <is>
          <t>18</t>
        </is>
      </c>
      <c r="F1087" t="n">
        <v>2</v>
      </c>
      <c r="G1087" t="b">
        <v>0</v>
      </c>
      <c r="H1087" t="inlineStr">
        <is>
          <t>UOM=ADT;WEIGHT_BASIS=PROCESSED_SOURCE_UNIT_WEIGHT;LINE_WEIGHT_KG=26.0;SOURCE_CFG=IA-ST-CFG-0193;SRC_REF=Row 1161, Slot 3;SRC_FILE=Mamul Ambalaj Bileşen Listesi-30.07.2026(3).xlsx</t>
        </is>
      </c>
    </row>
    <row r="1088">
      <c r="A1088" s="19" t="inlineStr">
        <is>
          <t>1087</t>
        </is>
      </c>
      <c r="B1088" s="19" t="inlineStr">
        <is>
          <t>157</t>
        </is>
      </c>
      <c r="C1088" s="19" t="inlineStr">
        <is>
          <t>8</t>
        </is>
      </c>
      <c r="D1088" t="n">
        <v>20</v>
      </c>
      <c r="E1088" s="19" t="inlineStr">
        <is>
          <t>18</t>
        </is>
      </c>
      <c r="F1088" t="n">
        <v>3</v>
      </c>
      <c r="G1088" t="b">
        <v>0</v>
      </c>
      <c r="H1088" t="inlineStr">
        <is>
          <t>UOM=M;WEIGHT_BASIS=PROCESSED_SOURCE_UNIT_WEIGHT;LINE_WEIGHT_KG=0.3664;SOURCE_CFG=IA-ST-CFG-0193;SRC_REF=Row 1161, Slot 5;SRC_FILE=Mamul Ambalaj Bileşen Listesi-30.07.2026(3).xlsx</t>
        </is>
      </c>
    </row>
    <row r="1089">
      <c r="A1089" s="19" t="inlineStr">
        <is>
          <t>1088</t>
        </is>
      </c>
      <c r="B1089" s="19" t="inlineStr">
        <is>
          <t>157</t>
        </is>
      </c>
      <c r="C1089" s="19" t="inlineStr">
        <is>
          <t>9</t>
        </is>
      </c>
      <c r="D1089" t="n">
        <v>0.186</v>
      </c>
      <c r="E1089" s="19" t="inlineStr">
        <is>
          <t>18</t>
        </is>
      </c>
      <c r="F1089" t="n">
        <v>4</v>
      </c>
      <c r="G1089" t="b">
        <v>0</v>
      </c>
      <c r="H1089" t="inlineStr">
        <is>
          <t>UOM=KG;WEIGHT_BASIS=RECIPE_QUANTITY_IS_KG;LINE_WEIGHT_KG=0.186;SOURCE_CFG=IA-ST-CFG-0193;SRC_REF=Row 1161, Slot 6;SRC_FILE=Mamul Ambalaj Bileşen Listesi-30.07.2026(3).xlsx</t>
        </is>
      </c>
    </row>
    <row r="1090">
      <c r="A1090" s="19" t="inlineStr">
        <is>
          <t>1089</t>
        </is>
      </c>
      <c r="B1090" s="19" t="inlineStr">
        <is>
          <t>157</t>
        </is>
      </c>
      <c r="C1090" s="19" t="inlineStr">
        <is>
          <t>3</t>
        </is>
      </c>
      <c r="D1090" t="n">
        <v>8</v>
      </c>
      <c r="E1090" s="19" t="inlineStr">
        <is>
          <t>18</t>
        </is>
      </c>
      <c r="F1090" t="n">
        <v>5</v>
      </c>
      <c r="G1090" t="b">
        <v>0</v>
      </c>
      <c r="H1090" t="inlineStr">
        <is>
          <t>UOM=ADT;WEIGHT_BASIS=PROCESSED_SOURCE_UNIT_WEIGHT;LINE_WEIGHT_KG=1.68;SOURCE_CFG=IA-ST-CFG-0193;SRC_REF=Row 1161, Slot 8;SRC_FILE=Mamul Ambalaj Bileşen Listesi-30.07.2026(3).xlsx</t>
        </is>
      </c>
    </row>
    <row r="1091">
      <c r="A1091" s="19" t="inlineStr">
        <is>
          <t>1090</t>
        </is>
      </c>
      <c r="B1091" s="19" t="inlineStr">
        <is>
          <t>157</t>
        </is>
      </c>
      <c r="C1091" s="19" t="inlineStr">
        <is>
          <t>7</t>
        </is>
      </c>
      <c r="D1091" t="n">
        <v>4</v>
      </c>
      <c r="E1091" s="19" t="inlineStr">
        <is>
          <t>18</t>
        </is>
      </c>
      <c r="F1091" t="n">
        <v>6</v>
      </c>
      <c r="G1091" t="b">
        <v>0</v>
      </c>
      <c r="H1091" t="inlineStr">
        <is>
          <t>UOM=ADT;WEIGHT_BASIS=PROCESSED_SOURCE_UNIT_WEIGHT;LINE_WEIGHT_KG=1.08;SOURCE_CFG=IA-ST-CFG-0193;SRC_REF=Row 1161, Slot 9;SRC_FILE=Mamul Ambalaj Bileşen Listesi-30.07.2026(3).xlsx</t>
        </is>
      </c>
    </row>
    <row r="1092">
      <c r="A1092" s="19" t="inlineStr">
        <is>
          <t>1091</t>
        </is>
      </c>
      <c r="B1092" s="19" t="inlineStr">
        <is>
          <t>157</t>
        </is>
      </c>
      <c r="C1092" s="19" t="inlineStr">
        <is>
          <t>92</t>
        </is>
      </c>
      <c r="D1092" t="n">
        <v>66</v>
      </c>
      <c r="E1092" s="19" t="inlineStr">
        <is>
          <t>18</t>
        </is>
      </c>
      <c r="F1092" t="n">
        <v>7</v>
      </c>
      <c r="G1092" t="b">
        <v>0</v>
      </c>
      <c r="H1092" t="inlineStr">
        <is>
          <t>UOM=ADT;WEIGHT_BASIS=PROCESSED_SOURCE_UNIT_WEIGHT;LINE_WEIGHT_KG=15.84;SOURCE_CFG=IA-ST-CFG-0193;SRC_REF=Row 1161, Slot 10;SRC_FILE=Mamul Ambalaj Bileşen Listesi-30.07.2026(3).xlsx</t>
        </is>
      </c>
    </row>
    <row r="1093">
      <c r="A1093" s="19" t="inlineStr">
        <is>
          <t>1092</t>
        </is>
      </c>
      <c r="B1093" s="19" t="inlineStr">
        <is>
          <t>158</t>
        </is>
      </c>
      <c r="C1093" s="19" t="inlineStr">
        <is>
          <t>13</t>
        </is>
      </c>
      <c r="D1093" t="n">
        <v>14</v>
      </c>
      <c r="E1093" s="19" t="inlineStr">
        <is>
          <t>18</t>
        </is>
      </c>
      <c r="F1093" t="n">
        <v>1</v>
      </c>
      <c r="G1093" t="b">
        <v>0</v>
      </c>
      <c r="H1093" t="inlineStr">
        <is>
          <t>UOM=M;WEIGHT_BASIS=PROCESSED_SOURCE_UNIT_WEIGHT;LINE_WEIGHT_KG=0.1736;SOURCE_CFG=IA-ST-CFG-0198;SRC_REF=Row 1026, Slot 1;SRC_FILE=Mamul Ambalaj Bileşen Listesi-30.07.2026(3).xlsx</t>
        </is>
      </c>
    </row>
    <row r="1094">
      <c r="A1094" s="19" t="inlineStr">
        <is>
          <t>1093</t>
        </is>
      </c>
      <c r="B1094" s="19" t="inlineStr">
        <is>
          <t>158</t>
        </is>
      </c>
      <c r="C1094" s="19" t="inlineStr">
        <is>
          <t>6</t>
        </is>
      </c>
      <c r="D1094" t="n">
        <v>1</v>
      </c>
      <c r="E1094" s="19" t="inlineStr">
        <is>
          <t>18</t>
        </is>
      </c>
      <c r="F1094" t="n">
        <v>2</v>
      </c>
      <c r="G1094" t="b">
        <v>0</v>
      </c>
      <c r="H1094" t="inlineStr">
        <is>
          <t>UOM=ADT;WEIGHT_BASIS=PROCESSED_SOURCE_UNIT_WEIGHT;LINE_WEIGHT_KG=26.0;SOURCE_CFG=IA-ST-CFG-0198;SRC_REF=Row 1026, Slot 3;SRC_FILE=Mamul Ambalaj Bileşen Listesi-30.07.2026(3).xlsx</t>
        </is>
      </c>
    </row>
    <row r="1095">
      <c r="A1095" s="19" t="inlineStr">
        <is>
          <t>1094</t>
        </is>
      </c>
      <c r="B1095" s="19" t="inlineStr">
        <is>
          <t>158</t>
        </is>
      </c>
      <c r="C1095" s="19" t="inlineStr">
        <is>
          <t>8</t>
        </is>
      </c>
      <c r="D1095" t="n">
        <v>20</v>
      </c>
      <c r="E1095" s="19" t="inlineStr">
        <is>
          <t>18</t>
        </is>
      </c>
      <c r="F1095" t="n">
        <v>3</v>
      </c>
      <c r="G1095" t="b">
        <v>0</v>
      </c>
      <c r="H1095" t="inlineStr">
        <is>
          <t>UOM=M;WEIGHT_BASIS=PROCESSED_SOURCE_UNIT_WEIGHT;LINE_WEIGHT_KG=0.3664;SOURCE_CFG=IA-ST-CFG-0198;SRC_REF=Row 1026, Slot 5;SRC_FILE=Mamul Ambalaj Bileşen Listesi-30.07.2026(3).xlsx</t>
        </is>
      </c>
    </row>
    <row r="1096">
      <c r="A1096" s="19" t="inlineStr">
        <is>
          <t>1095</t>
        </is>
      </c>
      <c r="B1096" s="19" t="inlineStr">
        <is>
          <t>158</t>
        </is>
      </c>
      <c r="C1096" s="19" t="inlineStr">
        <is>
          <t>9</t>
        </is>
      </c>
      <c r="D1096" t="n">
        <v>0.186</v>
      </c>
      <c r="E1096" s="19" t="inlineStr">
        <is>
          <t>18</t>
        </is>
      </c>
      <c r="F1096" t="n">
        <v>4</v>
      </c>
      <c r="G1096" t="b">
        <v>0</v>
      </c>
      <c r="H1096" t="inlineStr">
        <is>
          <t>UOM=KG;WEIGHT_BASIS=RECIPE_QUANTITY_IS_KG;LINE_WEIGHT_KG=0.186;SOURCE_CFG=IA-ST-CFG-0198;SRC_REF=Row 1026, Slot 6;SRC_FILE=Mamul Ambalaj Bileşen Listesi-30.07.2026(3).xlsx</t>
        </is>
      </c>
    </row>
    <row r="1097">
      <c r="A1097" s="19" t="inlineStr">
        <is>
          <t>1096</t>
        </is>
      </c>
      <c r="B1097" s="19" t="inlineStr">
        <is>
          <t>158</t>
        </is>
      </c>
      <c r="C1097" s="19" t="inlineStr">
        <is>
          <t>25</t>
        </is>
      </c>
      <c r="D1097" t="n">
        <v>4</v>
      </c>
      <c r="E1097" s="19" t="inlineStr">
        <is>
          <t>18</t>
        </is>
      </c>
      <c r="F1097" t="n">
        <v>5</v>
      </c>
      <c r="G1097" t="b">
        <v>0</v>
      </c>
      <c r="H1097" t="inlineStr">
        <is>
          <t>UOM=ADT;WEIGHT_BASIS=PROCESSED_SOURCE_UNIT_WEIGHT;LINE_WEIGHT_KG=0.4;SOURCE_CFG=IA-ST-CFG-0198;SRC_REF=Row 1026, Slot 8;SRC_FILE=Mamul Ambalaj Bileşen Listesi-30.07.2026(3).xlsx</t>
        </is>
      </c>
    </row>
    <row r="1098">
      <c r="A1098" s="19" t="inlineStr">
        <is>
          <t>1097</t>
        </is>
      </c>
      <c r="B1098" s="19" t="inlineStr">
        <is>
          <t>158</t>
        </is>
      </c>
      <c r="C1098" s="19" t="inlineStr">
        <is>
          <t>30</t>
        </is>
      </c>
      <c r="D1098" t="n">
        <v>5</v>
      </c>
      <c r="E1098" s="19" t="inlineStr">
        <is>
          <t>18</t>
        </is>
      </c>
      <c r="F1098" t="n">
        <v>6</v>
      </c>
      <c r="G1098" t="b">
        <v>0</v>
      </c>
      <c r="H1098" t="inlineStr">
        <is>
          <t>UOM=ADT;WEIGHT_BASIS=PROCESSED_SOURCE_UNIT_WEIGHT;LINE_WEIGHT_KG=1.0;SOURCE_CFG=IA-ST-CFG-0198;SRC_REF=Row 1026, Slot 9;SRC_FILE=Mamul Ambalaj Bileşen Listesi-30.07.2026(3).xlsx</t>
        </is>
      </c>
    </row>
    <row r="1099">
      <c r="A1099" s="19" t="inlineStr">
        <is>
          <t>1098</t>
        </is>
      </c>
      <c r="B1099" s="19" t="inlineStr">
        <is>
          <t>159</t>
        </is>
      </c>
      <c r="C1099" s="19" t="inlineStr">
        <is>
          <t>13</t>
        </is>
      </c>
      <c r="D1099" t="n">
        <v>7</v>
      </c>
      <c r="E1099" s="19" t="inlineStr">
        <is>
          <t>18</t>
        </is>
      </c>
      <c r="F1099" t="n">
        <v>1</v>
      </c>
      <c r="G1099" t="b">
        <v>0</v>
      </c>
      <c r="H1099" t="inlineStr">
        <is>
          <t>UOM=M;WEIGHT_BASIS=PROCESSED_SOURCE_UNIT_WEIGHT;LINE_WEIGHT_KG=0.0868;SOURCE_CFG=IA-ST-CFG-0199;SRC_REF=Row 311, Slot 1;SRC_FILE=Mamul Ambalaj Bileşen Listesi-30.07.2026(3).xlsx</t>
        </is>
      </c>
    </row>
    <row r="1100">
      <c r="A1100" s="19" t="inlineStr">
        <is>
          <t>1099</t>
        </is>
      </c>
      <c r="B1100" s="19" t="inlineStr">
        <is>
          <t>159</t>
        </is>
      </c>
      <c r="C1100" s="19" t="inlineStr">
        <is>
          <t>6</t>
        </is>
      </c>
      <c r="D1100" t="n">
        <v>1</v>
      </c>
      <c r="E1100" s="19" t="inlineStr">
        <is>
          <t>18</t>
        </is>
      </c>
      <c r="F1100" t="n">
        <v>2</v>
      </c>
      <c r="G1100" t="b">
        <v>0</v>
      </c>
      <c r="H1100" t="inlineStr">
        <is>
          <t>UOM=ADT;WEIGHT_BASIS=PROCESSED_SOURCE_UNIT_WEIGHT;LINE_WEIGHT_KG=26.0;SOURCE_CFG=IA-ST-CFG-0199;SRC_REF=Row 311, Slot 3;SRC_FILE=Mamul Ambalaj Bileşen Listesi-30.07.2026(3).xlsx</t>
        </is>
      </c>
    </row>
    <row r="1101">
      <c r="A1101" s="19" t="inlineStr">
        <is>
          <t>1100</t>
        </is>
      </c>
      <c r="B1101" s="19" t="inlineStr">
        <is>
          <t>159</t>
        </is>
      </c>
      <c r="C1101" s="19" t="inlineStr">
        <is>
          <t>8</t>
        </is>
      </c>
      <c r="D1101" t="n">
        <v>20</v>
      </c>
      <c r="E1101" s="19" t="inlineStr">
        <is>
          <t>18</t>
        </is>
      </c>
      <c r="F1101" t="n">
        <v>3</v>
      </c>
      <c r="G1101" t="b">
        <v>0</v>
      </c>
      <c r="H1101" t="inlineStr">
        <is>
          <t>UOM=M;WEIGHT_BASIS=PROCESSED_SOURCE_UNIT_WEIGHT;LINE_WEIGHT_KG=0.3664;SOURCE_CFG=IA-ST-CFG-0199;SRC_REF=Row 311, Slot 5;SRC_FILE=Mamul Ambalaj Bileşen Listesi-30.07.2026(3).xlsx</t>
        </is>
      </c>
    </row>
    <row r="1102">
      <c r="A1102" s="19" t="inlineStr">
        <is>
          <t>1101</t>
        </is>
      </c>
      <c r="B1102" s="19" t="inlineStr">
        <is>
          <t>159</t>
        </is>
      </c>
      <c r="C1102" s="19" t="inlineStr">
        <is>
          <t>9</t>
        </is>
      </c>
      <c r="D1102" t="n">
        <v>0.186</v>
      </c>
      <c r="E1102" s="19" t="inlineStr">
        <is>
          <t>18</t>
        </is>
      </c>
      <c r="F1102" t="n">
        <v>4</v>
      </c>
      <c r="G1102" t="b">
        <v>0</v>
      </c>
      <c r="H1102" t="inlineStr">
        <is>
          <t>UOM=KG;WEIGHT_BASIS=RECIPE_QUANTITY_IS_KG;LINE_WEIGHT_KG=0.186;SOURCE_CFG=IA-ST-CFG-0199;SRC_REF=Row 311, Slot 6;SRC_FILE=Mamul Ambalaj Bileşen Listesi-30.07.2026(3).xlsx</t>
        </is>
      </c>
    </row>
    <row r="1103">
      <c r="A1103" s="19" t="inlineStr">
        <is>
          <t>1102</t>
        </is>
      </c>
      <c r="B1103" s="19" t="inlineStr">
        <is>
          <t>159</t>
        </is>
      </c>
      <c r="C1103" s="19" t="inlineStr">
        <is>
          <t>23</t>
        </is>
      </c>
      <c r="D1103" t="n">
        <v>2.105</v>
      </c>
      <c r="E1103" s="19" t="inlineStr">
        <is>
          <t>18</t>
        </is>
      </c>
      <c r="F1103" t="n">
        <v>5</v>
      </c>
      <c r="G1103" t="b">
        <v>0</v>
      </c>
      <c r="H1103" t="inlineStr">
        <is>
          <t>UOM=KG;WEIGHT_BASIS=RECIPE_QUANTITY_IS_KG;LINE_WEIGHT_KG=2.105;SOURCE_CFG=IA-ST-CFG-0199;SRC_REF=Row 311, Slot 7;SRC_FILE=Mamul Ambalaj Bileşen Listesi-30.07.2026(3).xlsx</t>
        </is>
      </c>
    </row>
    <row r="1104">
      <c r="A1104" s="19" t="inlineStr">
        <is>
          <t>1103</t>
        </is>
      </c>
      <c r="B1104" s="19" t="inlineStr">
        <is>
          <t>159</t>
        </is>
      </c>
      <c r="C1104" s="19" t="inlineStr">
        <is>
          <t>25</t>
        </is>
      </c>
      <c r="D1104" t="n">
        <v>2</v>
      </c>
      <c r="E1104" s="19" t="inlineStr">
        <is>
          <t>18</t>
        </is>
      </c>
      <c r="F1104" t="n">
        <v>6</v>
      </c>
      <c r="G1104" t="b">
        <v>0</v>
      </c>
      <c r="H1104" t="inlineStr">
        <is>
          <t>UOM=ADT;WEIGHT_BASIS=PROCESSED_SOURCE_UNIT_WEIGHT;LINE_WEIGHT_KG=0.2;SOURCE_CFG=IA-ST-CFG-0199;SRC_REF=Row 311, Slot 8;SRC_FILE=Mamul Ambalaj Bileşen Listesi-30.07.2026(3).xlsx</t>
        </is>
      </c>
    </row>
    <row r="1105">
      <c r="A1105" s="19" t="inlineStr">
        <is>
          <t>1104</t>
        </is>
      </c>
      <c r="B1105" s="19" t="inlineStr">
        <is>
          <t>159</t>
        </is>
      </c>
      <c r="C1105" s="19" t="inlineStr">
        <is>
          <t>30</t>
        </is>
      </c>
      <c r="D1105" t="n">
        <v>5</v>
      </c>
      <c r="E1105" s="19" t="inlineStr">
        <is>
          <t>18</t>
        </is>
      </c>
      <c r="F1105" t="n">
        <v>7</v>
      </c>
      <c r="G1105" t="b">
        <v>0</v>
      </c>
      <c r="H1105" t="inlineStr">
        <is>
          <t>UOM=ADT;WEIGHT_BASIS=PROCESSED_SOURCE_UNIT_WEIGHT;LINE_WEIGHT_KG=1.0;SOURCE_CFG=IA-ST-CFG-0199;SRC_REF=Row 311, Slot 9;SRC_FILE=Mamul Ambalaj Bileşen Listesi-30.07.2026(3).xlsx</t>
        </is>
      </c>
    </row>
    <row r="1106">
      <c r="A1106" s="19" t="inlineStr">
        <is>
          <t>1105</t>
        </is>
      </c>
      <c r="B1106" s="19" t="inlineStr">
        <is>
          <t>160</t>
        </is>
      </c>
      <c r="C1106" s="19" t="inlineStr">
        <is>
          <t>13</t>
        </is>
      </c>
      <c r="D1106" t="n">
        <v>7</v>
      </c>
      <c r="E1106" s="19" t="inlineStr">
        <is>
          <t>18</t>
        </is>
      </c>
      <c r="F1106" t="n">
        <v>1</v>
      </c>
      <c r="G1106" t="b">
        <v>0</v>
      </c>
      <c r="H1106" t="inlineStr">
        <is>
          <t>UOM=M;WEIGHT_BASIS=PROCESSED_SOURCE_UNIT_WEIGHT;LINE_WEIGHT_KG=0.0868;SOURCE_CFG=IA-ST-CFG-0200;SRC_REF=Row 88, Slot 1;SRC_FILE=Mamul Ambalaj Bileşen Listesi-30.07.2026(3).xlsx</t>
        </is>
      </c>
    </row>
    <row r="1107">
      <c r="A1107" s="19" t="inlineStr">
        <is>
          <t>1106</t>
        </is>
      </c>
      <c r="B1107" s="19" t="inlineStr">
        <is>
          <t>160</t>
        </is>
      </c>
      <c r="C1107" s="19" t="inlineStr">
        <is>
          <t>6</t>
        </is>
      </c>
      <c r="D1107" t="n">
        <v>1</v>
      </c>
      <c r="E1107" s="19" t="inlineStr">
        <is>
          <t>18</t>
        </is>
      </c>
      <c r="F1107" t="n">
        <v>2</v>
      </c>
      <c r="G1107" t="b">
        <v>0</v>
      </c>
      <c r="H1107" t="inlineStr">
        <is>
          <t>UOM=ADT;WEIGHT_BASIS=PROCESSED_SOURCE_UNIT_WEIGHT;LINE_WEIGHT_KG=26.0;SOURCE_CFG=IA-ST-CFG-0200;SRC_REF=Row 88, Slot 3;SRC_FILE=Mamul Ambalaj Bileşen Listesi-30.07.2026(3).xlsx</t>
        </is>
      </c>
    </row>
    <row r="1108">
      <c r="A1108" s="19" t="inlineStr">
        <is>
          <t>1107</t>
        </is>
      </c>
      <c r="B1108" s="19" t="inlineStr">
        <is>
          <t>160</t>
        </is>
      </c>
      <c r="C1108" s="19" t="inlineStr">
        <is>
          <t>8</t>
        </is>
      </c>
      <c r="D1108" t="n">
        <v>20</v>
      </c>
      <c r="E1108" s="19" t="inlineStr">
        <is>
          <t>18</t>
        </is>
      </c>
      <c r="F1108" t="n">
        <v>3</v>
      </c>
      <c r="G1108" t="b">
        <v>0</v>
      </c>
      <c r="H1108" t="inlineStr">
        <is>
          <t>UOM=M;WEIGHT_BASIS=PROCESSED_SOURCE_UNIT_WEIGHT;LINE_WEIGHT_KG=0.3664;SOURCE_CFG=IA-ST-CFG-0200;SRC_REF=Row 88, Slot 5;SRC_FILE=Mamul Ambalaj Bileşen Listesi-30.07.2026(3).xlsx</t>
        </is>
      </c>
    </row>
    <row r="1109">
      <c r="A1109" s="19" t="inlineStr">
        <is>
          <t>1108</t>
        </is>
      </c>
      <c r="B1109" s="19" t="inlineStr">
        <is>
          <t>160</t>
        </is>
      </c>
      <c r="C1109" s="19" t="inlineStr">
        <is>
          <t>9</t>
        </is>
      </c>
      <c r="D1109" t="n">
        <v>0.186</v>
      </c>
      <c r="E1109" s="19" t="inlineStr">
        <is>
          <t>18</t>
        </is>
      </c>
      <c r="F1109" t="n">
        <v>4</v>
      </c>
      <c r="G1109" t="b">
        <v>0</v>
      </c>
      <c r="H1109" t="inlineStr">
        <is>
          <t>UOM=KG;WEIGHT_BASIS=RECIPE_QUANTITY_IS_KG;LINE_WEIGHT_KG=0.186;SOURCE_CFG=IA-ST-CFG-0200;SRC_REF=Row 88, Slot 6;SRC_FILE=Mamul Ambalaj Bileşen Listesi-30.07.2026(3).xlsx</t>
        </is>
      </c>
    </row>
    <row r="1110">
      <c r="A1110" s="19" t="inlineStr">
        <is>
          <t>1109</t>
        </is>
      </c>
      <c r="B1110" s="19" t="inlineStr">
        <is>
          <t>160</t>
        </is>
      </c>
      <c r="C1110" s="19" t="inlineStr">
        <is>
          <t>23</t>
        </is>
      </c>
      <c r="D1110" t="n">
        <v>2.245</v>
      </c>
      <c r="E1110" s="19" t="inlineStr">
        <is>
          <t>18</t>
        </is>
      </c>
      <c r="F1110" t="n">
        <v>5</v>
      </c>
      <c r="G1110" t="b">
        <v>0</v>
      </c>
      <c r="H1110" t="inlineStr">
        <is>
          <t>UOM=KG;WEIGHT_BASIS=RECIPE_QUANTITY_IS_KG;LINE_WEIGHT_KG=2.245;SOURCE_CFG=IA-ST-CFG-0200;SRC_REF=Row 88, Slot 7;SRC_FILE=Mamul Ambalaj Bileşen Listesi-30.07.2026(3).xlsx</t>
        </is>
      </c>
    </row>
    <row r="1111">
      <c r="A1111" s="19" t="inlineStr">
        <is>
          <t>1110</t>
        </is>
      </c>
      <c r="B1111" s="19" t="inlineStr">
        <is>
          <t>160</t>
        </is>
      </c>
      <c r="C1111" s="19" t="inlineStr">
        <is>
          <t>25</t>
        </is>
      </c>
      <c r="D1111" t="n">
        <v>2</v>
      </c>
      <c r="E1111" s="19" t="inlineStr">
        <is>
          <t>18</t>
        </is>
      </c>
      <c r="F1111" t="n">
        <v>6</v>
      </c>
      <c r="G1111" t="b">
        <v>0</v>
      </c>
      <c r="H1111" t="inlineStr">
        <is>
          <t>UOM=ADT;WEIGHT_BASIS=PROCESSED_SOURCE_UNIT_WEIGHT;LINE_WEIGHT_KG=0.2;SOURCE_CFG=IA-ST-CFG-0200;SRC_REF=Row 88, Slot 8;SRC_FILE=Mamul Ambalaj Bileşen Listesi-30.07.2026(3).xlsx</t>
        </is>
      </c>
    </row>
    <row r="1112">
      <c r="A1112" s="19" t="inlineStr">
        <is>
          <t>1111</t>
        </is>
      </c>
      <c r="B1112" s="19" t="inlineStr">
        <is>
          <t>160</t>
        </is>
      </c>
      <c r="C1112" s="19" t="inlineStr">
        <is>
          <t>30</t>
        </is>
      </c>
      <c r="D1112" t="n">
        <v>5</v>
      </c>
      <c r="E1112" s="19" t="inlineStr">
        <is>
          <t>18</t>
        </is>
      </c>
      <c r="F1112" t="n">
        <v>7</v>
      </c>
      <c r="G1112" t="b">
        <v>0</v>
      </c>
      <c r="H1112" t="inlineStr">
        <is>
          <t>UOM=ADT;WEIGHT_BASIS=PROCESSED_SOURCE_UNIT_WEIGHT;LINE_WEIGHT_KG=1.0;SOURCE_CFG=IA-ST-CFG-0200;SRC_REF=Row 88, Slot 9;SRC_FILE=Mamul Ambalaj Bileşen Listesi-30.07.2026(3).xlsx</t>
        </is>
      </c>
    </row>
    <row r="1113">
      <c r="A1113" s="19" t="inlineStr">
        <is>
          <t>1112</t>
        </is>
      </c>
      <c r="B1113" s="19" t="inlineStr">
        <is>
          <t>161</t>
        </is>
      </c>
      <c r="C1113" s="19" t="inlineStr">
        <is>
          <t>13</t>
        </is>
      </c>
      <c r="D1113" t="n">
        <v>7</v>
      </c>
      <c r="E1113" s="19" t="inlineStr">
        <is>
          <t>18</t>
        </is>
      </c>
      <c r="F1113" t="n">
        <v>1</v>
      </c>
      <c r="G1113" t="b">
        <v>0</v>
      </c>
      <c r="H1113" t="inlineStr">
        <is>
          <t>UOM=M;WEIGHT_BASIS=PROCESSED_SOURCE_UNIT_WEIGHT;LINE_WEIGHT_KG=0.0868;SOURCE_CFG=IA-ST-CFG-0201;SRC_REF=Row 65, Slot 1;SRC_FILE=Mamul Ambalaj Bileşen Listesi-30.07.2026(3).xlsx</t>
        </is>
      </c>
    </row>
    <row r="1114">
      <c r="A1114" s="19" t="inlineStr">
        <is>
          <t>1113</t>
        </is>
      </c>
      <c r="B1114" s="19" t="inlineStr">
        <is>
          <t>161</t>
        </is>
      </c>
      <c r="C1114" s="19" t="inlineStr">
        <is>
          <t>6</t>
        </is>
      </c>
      <c r="D1114" t="n">
        <v>1</v>
      </c>
      <c r="E1114" s="19" t="inlineStr">
        <is>
          <t>18</t>
        </is>
      </c>
      <c r="F1114" t="n">
        <v>2</v>
      </c>
      <c r="G1114" t="b">
        <v>0</v>
      </c>
      <c r="H1114" t="inlineStr">
        <is>
          <t>UOM=ADT;WEIGHT_BASIS=PROCESSED_SOURCE_UNIT_WEIGHT;LINE_WEIGHT_KG=26.0;SOURCE_CFG=IA-ST-CFG-0201;SRC_REF=Row 65, Slot 3;SRC_FILE=Mamul Ambalaj Bileşen Listesi-30.07.2026(3).xlsx</t>
        </is>
      </c>
    </row>
    <row r="1115">
      <c r="A1115" s="19" t="inlineStr">
        <is>
          <t>1114</t>
        </is>
      </c>
      <c r="B1115" s="19" t="inlineStr">
        <is>
          <t>161</t>
        </is>
      </c>
      <c r="C1115" s="19" t="inlineStr">
        <is>
          <t>8</t>
        </is>
      </c>
      <c r="D1115" t="n">
        <v>20</v>
      </c>
      <c r="E1115" s="19" t="inlineStr">
        <is>
          <t>18</t>
        </is>
      </c>
      <c r="F1115" t="n">
        <v>3</v>
      </c>
      <c r="G1115" t="b">
        <v>0</v>
      </c>
      <c r="H1115" t="inlineStr">
        <is>
          <t>UOM=M;WEIGHT_BASIS=PROCESSED_SOURCE_UNIT_WEIGHT;LINE_WEIGHT_KG=0.3664;SOURCE_CFG=IA-ST-CFG-0201;SRC_REF=Row 65, Slot 5;SRC_FILE=Mamul Ambalaj Bileşen Listesi-30.07.2026(3).xlsx</t>
        </is>
      </c>
    </row>
    <row r="1116">
      <c r="A1116" s="19" t="inlineStr">
        <is>
          <t>1115</t>
        </is>
      </c>
      <c r="B1116" s="19" t="inlineStr">
        <is>
          <t>161</t>
        </is>
      </c>
      <c r="C1116" s="19" t="inlineStr">
        <is>
          <t>9</t>
        </is>
      </c>
      <c r="D1116" t="n">
        <v>0.186</v>
      </c>
      <c r="E1116" s="19" t="inlineStr">
        <is>
          <t>18</t>
        </is>
      </c>
      <c r="F1116" t="n">
        <v>4</v>
      </c>
      <c r="G1116" t="b">
        <v>0</v>
      </c>
      <c r="H1116" t="inlineStr">
        <is>
          <t>UOM=KG;WEIGHT_BASIS=RECIPE_QUANTITY_IS_KG;LINE_WEIGHT_KG=0.186;SOURCE_CFG=IA-ST-CFG-0201;SRC_REF=Row 65, Slot 6;SRC_FILE=Mamul Ambalaj Bileşen Listesi-30.07.2026(3).xlsx</t>
        </is>
      </c>
    </row>
    <row r="1117">
      <c r="A1117" s="19" t="inlineStr">
        <is>
          <t>1116</t>
        </is>
      </c>
      <c r="B1117" s="19" t="inlineStr">
        <is>
          <t>161</t>
        </is>
      </c>
      <c r="C1117" s="19" t="inlineStr">
        <is>
          <t>25</t>
        </is>
      </c>
      <c r="D1117" t="n">
        <v>2</v>
      </c>
      <c r="E1117" s="19" t="inlineStr">
        <is>
          <t>18</t>
        </is>
      </c>
      <c r="F1117" t="n">
        <v>5</v>
      </c>
      <c r="G1117" t="b">
        <v>0</v>
      </c>
      <c r="H1117" t="inlineStr">
        <is>
          <t>UOM=ADT;WEIGHT_BASIS=PROCESSED_SOURCE_UNIT_WEIGHT;LINE_WEIGHT_KG=0.2;SOURCE_CFG=IA-ST-CFG-0201;SRC_REF=Row 65, Slot 8;SRC_FILE=Mamul Ambalaj Bileşen Listesi-30.07.2026(3).xlsx</t>
        </is>
      </c>
    </row>
    <row r="1118">
      <c r="A1118" s="19" t="inlineStr">
        <is>
          <t>1117</t>
        </is>
      </c>
      <c r="B1118" s="19" t="inlineStr">
        <is>
          <t>161</t>
        </is>
      </c>
      <c r="C1118" s="19" t="inlineStr">
        <is>
          <t>30</t>
        </is>
      </c>
      <c r="D1118" t="n">
        <v>5</v>
      </c>
      <c r="E1118" s="19" t="inlineStr">
        <is>
          <t>18</t>
        </is>
      </c>
      <c r="F1118" t="n">
        <v>6</v>
      </c>
      <c r="G1118" t="b">
        <v>0</v>
      </c>
      <c r="H1118" t="inlineStr">
        <is>
          <t>UOM=ADT;WEIGHT_BASIS=PROCESSED_SOURCE_UNIT_WEIGHT;LINE_WEIGHT_KG=1.0;SOURCE_CFG=IA-ST-CFG-0201;SRC_REF=Row 65, Slot 9;SRC_FILE=Mamul Ambalaj Bileşen Listesi-30.07.2026(3).xlsx</t>
        </is>
      </c>
    </row>
    <row r="1119">
      <c r="A1119" s="19" t="inlineStr">
        <is>
          <t>1118</t>
        </is>
      </c>
      <c r="B1119" s="19" t="inlineStr">
        <is>
          <t>162</t>
        </is>
      </c>
      <c r="C1119" s="19" t="inlineStr">
        <is>
          <t>13</t>
        </is>
      </c>
      <c r="D1119" t="n">
        <v>14</v>
      </c>
      <c r="E1119" s="19" t="inlineStr">
        <is>
          <t>18</t>
        </is>
      </c>
      <c r="F1119" t="n">
        <v>1</v>
      </c>
      <c r="G1119" t="b">
        <v>0</v>
      </c>
      <c r="H1119" t="inlineStr">
        <is>
          <t>UOM=M;WEIGHT_BASIS=PROCESSED_SOURCE_UNIT_WEIGHT;LINE_WEIGHT_KG=0.1736;SOURCE_CFG=IA-ST-CFG-0194;SRC_REF=Row 1100, Slot 1;SRC_FILE=Mamul Ambalaj Bileşen Listesi-30.07.2026(3).xlsx</t>
        </is>
      </c>
    </row>
    <row r="1120">
      <c r="A1120" s="19" t="inlineStr">
        <is>
          <t>1119</t>
        </is>
      </c>
      <c r="B1120" s="19" t="inlineStr">
        <is>
          <t>162</t>
        </is>
      </c>
      <c r="C1120" s="19" t="inlineStr">
        <is>
          <t>5</t>
        </is>
      </c>
      <c r="D1120" t="n">
        <v>1</v>
      </c>
      <c r="E1120" s="19" t="inlineStr">
        <is>
          <t>18</t>
        </is>
      </c>
      <c r="F1120" t="n">
        <v>2</v>
      </c>
      <c r="G1120" t="b">
        <v>0</v>
      </c>
      <c r="H1120" t="inlineStr">
        <is>
          <t>UOM=ADT;WEIGHT_BASIS=PROCESSED_SOURCE_UNIT_WEIGHT;LINE_WEIGHT_KG=26.0;SOURCE_CFG=IA-ST-CFG-0194;SRC_REF=Row 1100, Slot 3;SRC_FILE=Mamul Ambalaj Bileşen Listesi-30.07.2026(3).xlsx</t>
        </is>
      </c>
    </row>
    <row r="1121">
      <c r="A1121" s="19" t="inlineStr">
        <is>
          <t>1120</t>
        </is>
      </c>
      <c r="B1121" s="19" t="inlineStr">
        <is>
          <t>162</t>
        </is>
      </c>
      <c r="C1121" s="19" t="inlineStr">
        <is>
          <t>8</t>
        </is>
      </c>
      <c r="D1121" t="n">
        <v>20</v>
      </c>
      <c r="E1121" s="19" t="inlineStr">
        <is>
          <t>18</t>
        </is>
      </c>
      <c r="F1121" t="n">
        <v>3</v>
      </c>
      <c r="G1121" t="b">
        <v>0</v>
      </c>
      <c r="H1121" t="inlineStr">
        <is>
          <t>UOM=M;WEIGHT_BASIS=PROCESSED_SOURCE_UNIT_WEIGHT;LINE_WEIGHT_KG=0.3664;SOURCE_CFG=IA-ST-CFG-0194;SRC_REF=Row 1100, Slot 5;SRC_FILE=Mamul Ambalaj Bileşen Listesi-30.07.2026(3).xlsx</t>
        </is>
      </c>
    </row>
    <row r="1122">
      <c r="A1122" s="19" t="inlineStr">
        <is>
          <t>1121</t>
        </is>
      </c>
      <c r="B1122" s="19" t="inlineStr">
        <is>
          <t>162</t>
        </is>
      </c>
      <c r="C1122" s="19" t="inlineStr">
        <is>
          <t>9</t>
        </is>
      </c>
      <c r="D1122" t="n">
        <v>0.186</v>
      </c>
      <c r="E1122" s="19" t="inlineStr">
        <is>
          <t>18</t>
        </is>
      </c>
      <c r="F1122" t="n">
        <v>4</v>
      </c>
      <c r="G1122" t="b">
        <v>0</v>
      </c>
      <c r="H1122" t="inlineStr">
        <is>
          <t>UOM=KG;WEIGHT_BASIS=RECIPE_QUANTITY_IS_KG;LINE_WEIGHT_KG=0.186;SOURCE_CFG=IA-ST-CFG-0194;SRC_REF=Row 1100, Slot 6;SRC_FILE=Mamul Ambalaj Bileşen Listesi-30.07.2026(3).xlsx</t>
        </is>
      </c>
    </row>
    <row r="1123">
      <c r="A1123" s="19" t="inlineStr">
        <is>
          <t>1122</t>
        </is>
      </c>
      <c r="B1123" s="19" t="inlineStr">
        <is>
          <t>162</t>
        </is>
      </c>
      <c r="C1123" s="19" t="inlineStr">
        <is>
          <t>3</t>
        </is>
      </c>
      <c r="D1123" t="n">
        <v>6</v>
      </c>
      <c r="E1123" s="19" t="inlineStr">
        <is>
          <t>18</t>
        </is>
      </c>
      <c r="F1123" t="n">
        <v>5</v>
      </c>
      <c r="G1123" t="b">
        <v>0</v>
      </c>
      <c r="H1123" t="inlineStr">
        <is>
          <t>UOM=ADT;WEIGHT_BASIS=PROCESSED_SOURCE_UNIT_WEIGHT;LINE_WEIGHT_KG=1.26;SOURCE_CFG=IA-ST-CFG-0194;SRC_REF=Row 1100, Slot 8;SRC_FILE=Mamul Ambalaj Bileşen Listesi-30.07.2026(3).xlsx</t>
        </is>
      </c>
    </row>
    <row r="1124">
      <c r="A1124" s="19" t="inlineStr">
        <is>
          <t>1123</t>
        </is>
      </c>
      <c r="B1124" s="19" t="inlineStr">
        <is>
          <t>162</t>
        </is>
      </c>
      <c r="C1124" s="19" t="inlineStr">
        <is>
          <t>7</t>
        </is>
      </c>
      <c r="D1124" t="n">
        <v>5</v>
      </c>
      <c r="E1124" s="19" t="inlineStr">
        <is>
          <t>18</t>
        </is>
      </c>
      <c r="F1124" t="n">
        <v>6</v>
      </c>
      <c r="G1124" t="b">
        <v>0</v>
      </c>
      <c r="H1124" t="inlineStr">
        <is>
          <t>UOM=ADT;WEIGHT_BASIS=PROCESSED_SOURCE_UNIT_WEIGHT;LINE_WEIGHT_KG=1.35;SOURCE_CFG=IA-ST-CFG-0194;SRC_REF=Row 1100, Slot 9;SRC_FILE=Mamul Ambalaj Bileşen Listesi-30.07.2026(3).xlsx</t>
        </is>
      </c>
    </row>
    <row r="1125">
      <c r="A1125" s="19" t="inlineStr">
        <is>
          <t>1124</t>
        </is>
      </c>
      <c r="B1125" s="19" t="inlineStr">
        <is>
          <t>162</t>
        </is>
      </c>
      <c r="C1125" s="19" t="inlineStr">
        <is>
          <t>47</t>
        </is>
      </c>
      <c r="D1125" t="n">
        <v>68</v>
      </c>
      <c r="E1125" s="19" t="inlineStr">
        <is>
          <t>18</t>
        </is>
      </c>
      <c r="F1125" t="n">
        <v>7</v>
      </c>
      <c r="G1125" t="b">
        <v>0</v>
      </c>
      <c r="H1125" t="inlineStr">
        <is>
          <t>UOM=ADT;WEIGHT_BASIS=PROCESSED_SOURCE_UNIT_WEIGHT;LINE_WEIGHT_KG=18.36;SOURCE_CFG=IA-ST-CFG-0194;SRC_REF=Row 1100, Slot 10;SRC_FILE=Mamul Ambalaj Bileşen Listesi-30.07.2026(3).xlsx</t>
        </is>
      </c>
    </row>
    <row r="1126">
      <c r="A1126" s="19" t="inlineStr">
        <is>
          <t>1125</t>
        </is>
      </c>
      <c r="B1126" s="19" t="inlineStr">
        <is>
          <t>163</t>
        </is>
      </c>
      <c r="C1126" s="19" t="inlineStr">
        <is>
          <t>13</t>
        </is>
      </c>
      <c r="D1126" t="n">
        <v>14</v>
      </c>
      <c r="E1126" s="19" t="inlineStr">
        <is>
          <t>18</t>
        </is>
      </c>
      <c r="F1126" t="n">
        <v>1</v>
      </c>
      <c r="G1126" t="b">
        <v>0</v>
      </c>
      <c r="H1126" t="inlineStr">
        <is>
          <t>UOM=M;WEIGHT_BASIS=PROCESSED_SOURCE_UNIT_WEIGHT;LINE_WEIGHT_KG=0.1736;SOURCE_CFG=IA-ST-CFG-0195;SRC_REF=Row 222, Slot 1;SRC_FILE=Mamul Ambalaj Bileşen Listesi-30.07.2026(3).xlsx</t>
        </is>
      </c>
    </row>
    <row r="1127">
      <c r="A1127" s="19" t="inlineStr">
        <is>
          <t>1126</t>
        </is>
      </c>
      <c r="B1127" s="19" t="inlineStr">
        <is>
          <t>163</t>
        </is>
      </c>
      <c r="C1127" s="19" t="inlineStr">
        <is>
          <t>5</t>
        </is>
      </c>
      <c r="D1127" t="n">
        <v>1</v>
      </c>
      <c r="E1127" s="19" t="inlineStr">
        <is>
          <t>18</t>
        </is>
      </c>
      <c r="F1127" t="n">
        <v>2</v>
      </c>
      <c r="G1127" t="b">
        <v>0</v>
      </c>
      <c r="H1127" t="inlineStr">
        <is>
          <t>UOM=ADT;WEIGHT_BASIS=PROCESSED_SOURCE_UNIT_WEIGHT;LINE_WEIGHT_KG=26.0;SOURCE_CFG=IA-ST-CFG-0195;SRC_REF=Row 222, Slot 3;SRC_FILE=Mamul Ambalaj Bileşen Listesi-30.07.2026(3).xlsx</t>
        </is>
      </c>
    </row>
    <row r="1128">
      <c r="A1128" s="19" t="inlineStr">
        <is>
          <t>1127</t>
        </is>
      </c>
      <c r="B1128" s="19" t="inlineStr">
        <is>
          <t>163</t>
        </is>
      </c>
      <c r="C1128" s="19" t="inlineStr">
        <is>
          <t>8</t>
        </is>
      </c>
      <c r="D1128" t="n">
        <v>20</v>
      </c>
      <c r="E1128" s="19" t="inlineStr">
        <is>
          <t>18</t>
        </is>
      </c>
      <c r="F1128" t="n">
        <v>3</v>
      </c>
      <c r="G1128" t="b">
        <v>0</v>
      </c>
      <c r="H1128" t="inlineStr">
        <is>
          <t>UOM=M;WEIGHT_BASIS=PROCESSED_SOURCE_UNIT_WEIGHT;LINE_WEIGHT_KG=0.3664;SOURCE_CFG=IA-ST-CFG-0195;SRC_REF=Row 222, Slot 5;SRC_FILE=Mamul Ambalaj Bileşen Listesi-30.07.2026(3).xlsx</t>
        </is>
      </c>
    </row>
    <row r="1129">
      <c r="A1129" s="19" t="inlineStr">
        <is>
          <t>1128</t>
        </is>
      </c>
      <c r="B1129" s="19" t="inlineStr">
        <is>
          <t>163</t>
        </is>
      </c>
      <c r="C1129" s="19" t="inlineStr">
        <is>
          <t>9</t>
        </is>
      </c>
      <c r="D1129" t="n">
        <v>0.186</v>
      </c>
      <c r="E1129" s="19" t="inlineStr">
        <is>
          <t>18</t>
        </is>
      </c>
      <c r="F1129" t="n">
        <v>4</v>
      </c>
      <c r="G1129" t="b">
        <v>0</v>
      </c>
      <c r="H1129" t="inlineStr">
        <is>
          <t>UOM=KG;WEIGHT_BASIS=RECIPE_QUANTITY_IS_KG;LINE_WEIGHT_KG=0.186;SOURCE_CFG=IA-ST-CFG-0195;SRC_REF=Row 222, Slot 6;SRC_FILE=Mamul Ambalaj Bileşen Listesi-30.07.2026(3).xlsx</t>
        </is>
      </c>
    </row>
    <row r="1130">
      <c r="A1130" s="19" t="inlineStr">
        <is>
          <t>1129</t>
        </is>
      </c>
      <c r="B1130" s="19" t="inlineStr">
        <is>
          <t>163</t>
        </is>
      </c>
      <c r="C1130" s="19" t="inlineStr">
        <is>
          <t>3</t>
        </is>
      </c>
      <c r="D1130" t="n">
        <v>6</v>
      </c>
      <c r="E1130" s="19" t="inlineStr">
        <is>
          <t>18</t>
        </is>
      </c>
      <c r="F1130" t="n">
        <v>5</v>
      </c>
      <c r="G1130" t="b">
        <v>0</v>
      </c>
      <c r="H1130" t="inlineStr">
        <is>
          <t>UOM=ADT;WEIGHT_BASIS=PROCESSED_SOURCE_UNIT_WEIGHT;LINE_WEIGHT_KG=1.26;SOURCE_CFG=IA-ST-CFG-0195;SRC_REF=Row 222, Slot 8;SRC_FILE=Mamul Ambalaj Bileşen Listesi-30.07.2026(3).xlsx</t>
        </is>
      </c>
    </row>
    <row r="1131">
      <c r="A1131" s="19" t="inlineStr">
        <is>
          <t>1130</t>
        </is>
      </c>
      <c r="B1131" s="19" t="inlineStr">
        <is>
          <t>163</t>
        </is>
      </c>
      <c r="C1131" s="19" t="inlineStr">
        <is>
          <t>7</t>
        </is>
      </c>
      <c r="D1131" t="n">
        <v>5</v>
      </c>
      <c r="E1131" s="19" t="inlineStr">
        <is>
          <t>18</t>
        </is>
      </c>
      <c r="F1131" t="n">
        <v>6</v>
      </c>
      <c r="G1131" t="b">
        <v>0</v>
      </c>
      <c r="H1131" t="inlineStr">
        <is>
          <t>UOM=ADT;WEIGHT_BASIS=PROCESSED_SOURCE_UNIT_WEIGHT;LINE_WEIGHT_KG=1.35;SOURCE_CFG=IA-ST-CFG-0195;SRC_REF=Row 222, Slot 9;SRC_FILE=Mamul Ambalaj Bileşen Listesi-30.07.2026(3).xlsx</t>
        </is>
      </c>
    </row>
    <row r="1132">
      <c r="A1132" s="19" t="inlineStr">
        <is>
          <t>1131</t>
        </is>
      </c>
      <c r="B1132" s="19" t="inlineStr">
        <is>
          <t>163</t>
        </is>
      </c>
      <c r="C1132" s="19" t="inlineStr">
        <is>
          <t>70</t>
        </is>
      </c>
      <c r="D1132" t="n">
        <v>68</v>
      </c>
      <c r="E1132" s="19" t="inlineStr">
        <is>
          <t>18</t>
        </is>
      </c>
      <c r="F1132" t="n">
        <v>7</v>
      </c>
      <c r="G1132" t="b">
        <v>0</v>
      </c>
      <c r="H1132" t="inlineStr">
        <is>
          <t>UOM=ADT;WEIGHT_BASIS=PROCESSED_SOURCE_UNIT_WEIGHT;LINE_WEIGHT_KG=18.36;SOURCE_CFG=IA-ST-CFG-0195;SRC_REF=Row 222, Slot 10;SRC_FILE=Mamul Ambalaj Bileşen Listesi-30.07.2026(3).xlsx</t>
        </is>
      </c>
    </row>
    <row r="1133">
      <c r="A1133" s="19" t="inlineStr">
        <is>
          <t>1132</t>
        </is>
      </c>
      <c r="B1133" s="19" t="inlineStr">
        <is>
          <t>164</t>
        </is>
      </c>
      <c r="C1133" s="19" t="inlineStr">
        <is>
          <t>13</t>
        </is>
      </c>
      <c r="D1133" t="n">
        <v>14</v>
      </c>
      <c r="E1133" s="19" t="inlineStr">
        <is>
          <t>18</t>
        </is>
      </c>
      <c r="F1133" t="n">
        <v>1</v>
      </c>
      <c r="G1133" t="b">
        <v>0</v>
      </c>
      <c r="H1133" t="inlineStr">
        <is>
          <t>UOM=M;WEIGHT_BASIS=PROCESSED_SOURCE_UNIT_WEIGHT;LINE_WEIGHT_KG=0.1736;SOURCE_CFG=IA-ST-CFG-0196;SRC_REF=Row 261, Slot 1;SRC_FILE=Mamul Ambalaj Bileşen Listesi-30.07.2026(3).xlsx</t>
        </is>
      </c>
    </row>
    <row r="1134">
      <c r="A1134" s="19" t="inlineStr">
        <is>
          <t>1133</t>
        </is>
      </c>
      <c r="B1134" s="19" t="inlineStr">
        <is>
          <t>164</t>
        </is>
      </c>
      <c r="C1134" s="19" t="inlineStr">
        <is>
          <t>5</t>
        </is>
      </c>
      <c r="D1134" t="n">
        <v>1</v>
      </c>
      <c r="E1134" s="19" t="inlineStr">
        <is>
          <t>18</t>
        </is>
      </c>
      <c r="F1134" t="n">
        <v>2</v>
      </c>
      <c r="G1134" t="b">
        <v>0</v>
      </c>
      <c r="H1134" t="inlineStr">
        <is>
          <t>UOM=ADT;WEIGHT_BASIS=PROCESSED_SOURCE_UNIT_WEIGHT;LINE_WEIGHT_KG=26.0;SOURCE_CFG=IA-ST-CFG-0196;SRC_REF=Row 261, Slot 3;SRC_FILE=Mamul Ambalaj Bileşen Listesi-30.07.2026(3).xlsx</t>
        </is>
      </c>
    </row>
    <row r="1135">
      <c r="A1135" s="19" t="inlineStr">
        <is>
          <t>1134</t>
        </is>
      </c>
      <c r="B1135" s="19" t="inlineStr">
        <is>
          <t>164</t>
        </is>
      </c>
      <c r="C1135" s="19" t="inlineStr">
        <is>
          <t>8</t>
        </is>
      </c>
      <c r="D1135" t="n">
        <v>20</v>
      </c>
      <c r="E1135" s="19" t="inlineStr">
        <is>
          <t>18</t>
        </is>
      </c>
      <c r="F1135" t="n">
        <v>3</v>
      </c>
      <c r="G1135" t="b">
        <v>0</v>
      </c>
      <c r="H1135" t="inlineStr">
        <is>
          <t>UOM=M;WEIGHT_BASIS=PROCESSED_SOURCE_UNIT_WEIGHT;LINE_WEIGHT_KG=0.3664;SOURCE_CFG=IA-ST-CFG-0196;SRC_REF=Row 261, Slot 5;SRC_FILE=Mamul Ambalaj Bileşen Listesi-30.07.2026(3).xlsx</t>
        </is>
      </c>
    </row>
    <row r="1136">
      <c r="A1136" s="19" t="inlineStr">
        <is>
          <t>1135</t>
        </is>
      </c>
      <c r="B1136" s="19" t="inlineStr">
        <is>
          <t>164</t>
        </is>
      </c>
      <c r="C1136" s="19" t="inlineStr">
        <is>
          <t>9</t>
        </is>
      </c>
      <c r="D1136" t="n">
        <v>0.186</v>
      </c>
      <c r="E1136" s="19" t="inlineStr">
        <is>
          <t>18</t>
        </is>
      </c>
      <c r="F1136" t="n">
        <v>4</v>
      </c>
      <c r="G1136" t="b">
        <v>0</v>
      </c>
      <c r="H1136" t="inlineStr">
        <is>
          <t>UOM=KG;WEIGHT_BASIS=RECIPE_QUANTITY_IS_KG;LINE_WEIGHT_KG=0.186;SOURCE_CFG=IA-ST-CFG-0196;SRC_REF=Row 261, Slot 6;SRC_FILE=Mamul Ambalaj Bileşen Listesi-30.07.2026(3).xlsx</t>
        </is>
      </c>
    </row>
    <row r="1137">
      <c r="A1137" s="19" t="inlineStr">
        <is>
          <t>1136</t>
        </is>
      </c>
      <c r="B1137" s="19" t="inlineStr">
        <is>
          <t>164</t>
        </is>
      </c>
      <c r="C1137" s="19" t="inlineStr">
        <is>
          <t>3</t>
        </is>
      </c>
      <c r="D1137" t="n">
        <v>6</v>
      </c>
      <c r="E1137" s="19" t="inlineStr">
        <is>
          <t>18</t>
        </is>
      </c>
      <c r="F1137" t="n">
        <v>5</v>
      </c>
      <c r="G1137" t="b">
        <v>0</v>
      </c>
      <c r="H1137" t="inlineStr">
        <is>
          <t>UOM=ADT;WEIGHT_BASIS=PROCESSED_SOURCE_UNIT_WEIGHT;LINE_WEIGHT_KG=1.26;SOURCE_CFG=IA-ST-CFG-0196;SRC_REF=Row 261, Slot 8;SRC_FILE=Mamul Ambalaj Bileşen Listesi-30.07.2026(3).xlsx</t>
        </is>
      </c>
    </row>
    <row r="1138">
      <c r="A1138" s="19" t="inlineStr">
        <is>
          <t>1137</t>
        </is>
      </c>
      <c r="B1138" s="19" t="inlineStr">
        <is>
          <t>164</t>
        </is>
      </c>
      <c r="C1138" s="19" t="inlineStr">
        <is>
          <t>7</t>
        </is>
      </c>
      <c r="D1138" t="n">
        <v>5</v>
      </c>
      <c r="E1138" s="19" t="inlineStr">
        <is>
          <t>18</t>
        </is>
      </c>
      <c r="F1138" t="n">
        <v>6</v>
      </c>
      <c r="G1138" t="b">
        <v>0</v>
      </c>
      <c r="H1138" t="inlineStr">
        <is>
          <t>UOM=ADT;WEIGHT_BASIS=PROCESSED_SOURCE_UNIT_WEIGHT;LINE_WEIGHT_KG=1.35;SOURCE_CFG=IA-ST-CFG-0196;SRC_REF=Row 261, Slot 9;SRC_FILE=Mamul Ambalaj Bileşen Listesi-30.07.2026(3).xlsx</t>
        </is>
      </c>
    </row>
    <row r="1139">
      <c r="A1139" s="19" t="inlineStr">
        <is>
          <t>1138</t>
        </is>
      </c>
      <c r="B1139" s="19" t="inlineStr">
        <is>
          <t>164</t>
        </is>
      </c>
      <c r="C1139" s="19" t="inlineStr">
        <is>
          <t>82</t>
        </is>
      </c>
      <c r="D1139" t="n">
        <v>68</v>
      </c>
      <c r="E1139" s="19" t="inlineStr">
        <is>
          <t>18</t>
        </is>
      </c>
      <c r="F1139" t="n">
        <v>7</v>
      </c>
      <c r="G1139" t="b">
        <v>0</v>
      </c>
      <c r="H1139" t="inlineStr">
        <is>
          <t>UOM=ADT;WEIGHT_BASIS=PROCESSED_SOURCE_UNIT_WEIGHT;LINE_WEIGHT_KG=18.36;SOURCE_CFG=IA-ST-CFG-0196;SRC_REF=Row 261, Slot 10;SRC_FILE=Mamul Ambalaj Bileşen Listesi-30.07.2026(3).xlsx</t>
        </is>
      </c>
    </row>
    <row r="1140">
      <c r="A1140" s="19" t="inlineStr">
        <is>
          <t>1139</t>
        </is>
      </c>
      <c r="B1140" s="19" t="inlineStr">
        <is>
          <t>165</t>
        </is>
      </c>
      <c r="C1140" s="19" t="inlineStr">
        <is>
          <t>13</t>
        </is>
      </c>
      <c r="D1140" t="n">
        <v>14</v>
      </c>
      <c r="E1140" s="19" t="inlineStr">
        <is>
          <t>18</t>
        </is>
      </c>
      <c r="F1140" t="n">
        <v>1</v>
      </c>
      <c r="G1140" t="b">
        <v>0</v>
      </c>
      <c r="H1140" t="inlineStr">
        <is>
          <t>UOM=M;WEIGHT_BASIS=PROCESSED_SOURCE_UNIT_WEIGHT;LINE_WEIGHT_KG=0.1736;SOURCE_CFG=IA-ST-CFG-0197;SRC_REF=Row 262, Slot 1;SRC_FILE=Mamul Ambalaj Bileşen Listesi-30.07.2026(3).xlsx</t>
        </is>
      </c>
    </row>
    <row r="1141">
      <c r="A1141" s="19" t="inlineStr">
        <is>
          <t>1140</t>
        </is>
      </c>
      <c r="B1141" s="19" t="inlineStr">
        <is>
          <t>165</t>
        </is>
      </c>
      <c r="C1141" s="19" t="inlineStr">
        <is>
          <t>5</t>
        </is>
      </c>
      <c r="D1141" t="n">
        <v>1</v>
      </c>
      <c r="E1141" s="19" t="inlineStr">
        <is>
          <t>18</t>
        </is>
      </c>
      <c r="F1141" t="n">
        <v>2</v>
      </c>
      <c r="G1141" t="b">
        <v>0</v>
      </c>
      <c r="H1141" t="inlineStr">
        <is>
          <t>UOM=ADT;WEIGHT_BASIS=PROCESSED_SOURCE_UNIT_WEIGHT;LINE_WEIGHT_KG=26.0;SOURCE_CFG=IA-ST-CFG-0197;SRC_REF=Row 262, Slot 3;SRC_FILE=Mamul Ambalaj Bileşen Listesi-30.07.2026(3).xlsx</t>
        </is>
      </c>
    </row>
    <row r="1142">
      <c r="A1142" s="19" t="inlineStr">
        <is>
          <t>1141</t>
        </is>
      </c>
      <c r="B1142" s="19" t="inlineStr">
        <is>
          <t>165</t>
        </is>
      </c>
      <c r="C1142" s="19" t="inlineStr">
        <is>
          <t>8</t>
        </is>
      </c>
      <c r="D1142" t="n">
        <v>20</v>
      </c>
      <c r="E1142" s="19" t="inlineStr">
        <is>
          <t>18</t>
        </is>
      </c>
      <c r="F1142" t="n">
        <v>3</v>
      </c>
      <c r="G1142" t="b">
        <v>0</v>
      </c>
      <c r="H1142" t="inlineStr">
        <is>
          <t>UOM=M;WEIGHT_BASIS=PROCESSED_SOURCE_UNIT_WEIGHT;LINE_WEIGHT_KG=0.3664;SOURCE_CFG=IA-ST-CFG-0197;SRC_REF=Row 262, Slot 5;SRC_FILE=Mamul Ambalaj Bileşen Listesi-30.07.2026(3).xlsx</t>
        </is>
      </c>
    </row>
    <row r="1143">
      <c r="A1143" s="19" t="inlineStr">
        <is>
          <t>1142</t>
        </is>
      </c>
      <c r="B1143" s="19" t="inlineStr">
        <is>
          <t>165</t>
        </is>
      </c>
      <c r="C1143" s="19" t="inlineStr">
        <is>
          <t>9</t>
        </is>
      </c>
      <c r="D1143" t="n">
        <v>0.186</v>
      </c>
      <c r="E1143" s="19" t="inlineStr">
        <is>
          <t>18</t>
        </is>
      </c>
      <c r="F1143" t="n">
        <v>4</v>
      </c>
      <c r="G1143" t="b">
        <v>0</v>
      </c>
      <c r="H1143" t="inlineStr">
        <is>
          <t>UOM=KG;WEIGHT_BASIS=RECIPE_QUANTITY_IS_KG;LINE_WEIGHT_KG=0.186;SOURCE_CFG=IA-ST-CFG-0197;SRC_REF=Row 262, Slot 6;SRC_FILE=Mamul Ambalaj Bileşen Listesi-30.07.2026(3).xlsx</t>
        </is>
      </c>
    </row>
    <row r="1144">
      <c r="A1144" s="19" t="inlineStr">
        <is>
          <t>1143</t>
        </is>
      </c>
      <c r="B1144" s="19" t="inlineStr">
        <is>
          <t>165</t>
        </is>
      </c>
      <c r="C1144" s="19" t="inlineStr">
        <is>
          <t>3</t>
        </is>
      </c>
      <c r="D1144" t="n">
        <v>6</v>
      </c>
      <c r="E1144" s="19" t="inlineStr">
        <is>
          <t>18</t>
        </is>
      </c>
      <c r="F1144" t="n">
        <v>5</v>
      </c>
      <c r="G1144" t="b">
        <v>0</v>
      </c>
      <c r="H1144" t="inlineStr">
        <is>
          <t>UOM=ADT;WEIGHT_BASIS=PROCESSED_SOURCE_UNIT_WEIGHT;LINE_WEIGHT_KG=1.26;SOURCE_CFG=IA-ST-CFG-0197;SRC_REF=Row 262, Slot 8;SRC_FILE=Mamul Ambalaj Bileşen Listesi-30.07.2026(3).xlsx</t>
        </is>
      </c>
    </row>
    <row r="1145">
      <c r="A1145" s="19" t="inlineStr">
        <is>
          <t>1144</t>
        </is>
      </c>
      <c r="B1145" s="19" t="inlineStr">
        <is>
          <t>165</t>
        </is>
      </c>
      <c r="C1145" s="19" t="inlineStr">
        <is>
          <t>7</t>
        </is>
      </c>
      <c r="D1145" t="n">
        <v>5</v>
      </c>
      <c r="E1145" s="19" t="inlineStr">
        <is>
          <t>18</t>
        </is>
      </c>
      <c r="F1145" t="n">
        <v>6</v>
      </c>
      <c r="G1145" t="b">
        <v>0</v>
      </c>
      <c r="H1145" t="inlineStr">
        <is>
          <t>UOM=ADT;WEIGHT_BASIS=PROCESSED_SOURCE_UNIT_WEIGHT;LINE_WEIGHT_KG=1.35;SOURCE_CFG=IA-ST-CFG-0197;SRC_REF=Row 262, Slot 9;SRC_FILE=Mamul Ambalaj Bileşen Listesi-30.07.2026(3).xlsx</t>
        </is>
      </c>
    </row>
    <row r="1146">
      <c r="A1146" s="19" t="inlineStr">
        <is>
          <t>1145</t>
        </is>
      </c>
      <c r="B1146" s="19" t="inlineStr">
        <is>
          <t>165</t>
        </is>
      </c>
      <c r="C1146" s="19" t="inlineStr">
        <is>
          <t>84</t>
        </is>
      </c>
      <c r="D1146" t="n">
        <v>68</v>
      </c>
      <c r="E1146" s="19" t="inlineStr">
        <is>
          <t>18</t>
        </is>
      </c>
      <c r="F1146" t="n">
        <v>7</v>
      </c>
      <c r="G1146" t="b">
        <v>0</v>
      </c>
      <c r="H1146" t="inlineStr">
        <is>
          <t>UOM=ADT;WEIGHT_BASIS=PROCESSED_SOURCE_UNIT_WEIGHT;LINE_WEIGHT_KG=18.36;SOURCE_CFG=IA-ST-CFG-0197;SRC_REF=Row 262, Slot 10;SRC_FILE=Mamul Ambalaj Bileşen Listesi-30.07.2026(3).xlsx</t>
        </is>
      </c>
    </row>
    <row r="1147">
      <c r="A1147" s="19" t="inlineStr">
        <is>
          <t>1146</t>
        </is>
      </c>
      <c r="B1147" s="19" t="inlineStr">
        <is>
          <t>166</t>
        </is>
      </c>
      <c r="C1147" s="19" t="inlineStr">
        <is>
          <t>13</t>
        </is>
      </c>
      <c r="D1147" t="n">
        <v>7</v>
      </c>
      <c r="E1147" s="19" t="inlineStr">
        <is>
          <t>18</t>
        </is>
      </c>
      <c r="F1147" t="n">
        <v>1</v>
      </c>
      <c r="G1147" t="b">
        <v>0</v>
      </c>
      <c r="H1147" t="inlineStr">
        <is>
          <t>UOM=M;WEIGHT_BASIS=PROCESSED_SOURCE_UNIT_WEIGHT;LINE_WEIGHT_KG=0.0868;SOURCE_CFG=IA-ST-CFG-0204;SRC_REF=Row 721, Slot 1;SRC_FILE=Mamul Ambalaj Bileşen Listesi-30.07.2026(3).xlsx</t>
        </is>
      </c>
    </row>
    <row r="1148">
      <c r="A1148" s="19" t="inlineStr">
        <is>
          <t>1147</t>
        </is>
      </c>
      <c r="B1148" s="19" t="inlineStr">
        <is>
          <t>166</t>
        </is>
      </c>
      <c r="C1148" s="19" t="inlineStr">
        <is>
          <t>6</t>
        </is>
      </c>
      <c r="D1148" t="n">
        <v>1</v>
      </c>
      <c r="E1148" s="19" t="inlineStr">
        <is>
          <t>18</t>
        </is>
      </c>
      <c r="F1148" t="n">
        <v>2</v>
      </c>
      <c r="G1148" t="b">
        <v>0</v>
      </c>
      <c r="H1148" t="inlineStr">
        <is>
          <t>UOM=ADT;WEIGHT_BASIS=PROCESSED_SOURCE_UNIT_WEIGHT;LINE_WEIGHT_KG=26.0;SOURCE_CFG=IA-ST-CFG-0204;SRC_REF=Row 721, Slot 3;SRC_FILE=Mamul Ambalaj Bileşen Listesi-30.07.2026(3).xlsx</t>
        </is>
      </c>
    </row>
    <row r="1149">
      <c r="A1149" s="19" t="inlineStr">
        <is>
          <t>1148</t>
        </is>
      </c>
      <c r="B1149" s="19" t="inlineStr">
        <is>
          <t>166</t>
        </is>
      </c>
      <c r="C1149" s="19" t="inlineStr">
        <is>
          <t>8</t>
        </is>
      </c>
      <c r="D1149" t="n">
        <v>20</v>
      </c>
      <c r="E1149" s="19" t="inlineStr">
        <is>
          <t>18</t>
        </is>
      </c>
      <c r="F1149" t="n">
        <v>3</v>
      </c>
      <c r="G1149" t="b">
        <v>0</v>
      </c>
      <c r="H1149" t="inlineStr">
        <is>
          <t>UOM=M;WEIGHT_BASIS=PROCESSED_SOURCE_UNIT_WEIGHT;LINE_WEIGHT_KG=0.3664;SOURCE_CFG=IA-ST-CFG-0204;SRC_REF=Row 721, Slot 5;SRC_FILE=Mamul Ambalaj Bileşen Listesi-30.07.2026(3).xlsx</t>
        </is>
      </c>
    </row>
    <row r="1150">
      <c r="A1150" s="19" t="inlineStr">
        <is>
          <t>1149</t>
        </is>
      </c>
      <c r="B1150" s="19" t="inlineStr">
        <is>
          <t>166</t>
        </is>
      </c>
      <c r="C1150" s="19" t="inlineStr">
        <is>
          <t>9</t>
        </is>
      </c>
      <c r="D1150" t="n">
        <v>0.186</v>
      </c>
      <c r="E1150" s="19" t="inlineStr">
        <is>
          <t>18</t>
        </is>
      </c>
      <c r="F1150" t="n">
        <v>4</v>
      </c>
      <c r="G1150" t="b">
        <v>0</v>
      </c>
      <c r="H1150" t="inlineStr">
        <is>
          <t>UOM=KG;WEIGHT_BASIS=RECIPE_QUANTITY_IS_KG;LINE_WEIGHT_KG=0.186;SOURCE_CFG=IA-ST-CFG-0204;SRC_REF=Row 721, Slot 6;SRC_FILE=Mamul Ambalaj Bileşen Listesi-30.07.2026(3).xlsx</t>
        </is>
      </c>
    </row>
    <row r="1151">
      <c r="A1151" s="19" t="inlineStr">
        <is>
          <t>1150</t>
        </is>
      </c>
      <c r="B1151" s="19" t="inlineStr">
        <is>
          <t>166</t>
        </is>
      </c>
      <c r="C1151" s="19" t="inlineStr">
        <is>
          <t>21</t>
        </is>
      </c>
      <c r="D1151" t="n">
        <v>1.945</v>
      </c>
      <c r="E1151" s="19" t="inlineStr">
        <is>
          <t>18</t>
        </is>
      </c>
      <c r="F1151" t="n">
        <v>5</v>
      </c>
      <c r="G1151" t="b">
        <v>0</v>
      </c>
      <c r="H1151" t="inlineStr">
        <is>
          <t>UOM=KG;WEIGHT_BASIS=RECIPE_QUANTITY_IS_KG;LINE_WEIGHT_KG=1.945;SOURCE_CFG=IA-ST-CFG-0204;SRC_REF=Row 721, Slot 7;SRC_FILE=Mamul Ambalaj Bileşen Listesi-30.07.2026(3).xlsx</t>
        </is>
      </c>
    </row>
    <row r="1152">
      <c r="A1152" s="19" t="inlineStr">
        <is>
          <t>1151</t>
        </is>
      </c>
      <c r="B1152" s="19" t="inlineStr">
        <is>
          <t>166</t>
        </is>
      </c>
      <c r="C1152" s="19" t="inlineStr">
        <is>
          <t>3</t>
        </is>
      </c>
      <c r="D1152" t="n">
        <v>2</v>
      </c>
      <c r="E1152" s="19" t="inlineStr">
        <is>
          <t>18</t>
        </is>
      </c>
      <c r="F1152" t="n">
        <v>6</v>
      </c>
      <c r="G1152" t="b">
        <v>0</v>
      </c>
      <c r="H1152" t="inlineStr">
        <is>
          <t>UOM=ADT;WEIGHT_BASIS=PROCESSED_SOURCE_UNIT_WEIGHT;LINE_WEIGHT_KG=0.42;SOURCE_CFG=IA-ST-CFG-0204;SRC_REF=Row 721, Slot 8;SRC_FILE=Mamul Ambalaj Bileşen Listesi-30.07.2026(3).xlsx</t>
        </is>
      </c>
    </row>
    <row r="1153">
      <c r="A1153" s="19" t="inlineStr">
        <is>
          <t>1152</t>
        </is>
      </c>
      <c r="B1153" s="19" t="inlineStr">
        <is>
          <t>166</t>
        </is>
      </c>
      <c r="C1153" s="19" t="inlineStr">
        <is>
          <t>30</t>
        </is>
      </c>
      <c r="D1153" t="n">
        <v>4</v>
      </c>
      <c r="E1153" s="19" t="inlineStr">
        <is>
          <t>18</t>
        </is>
      </c>
      <c r="F1153" t="n">
        <v>7</v>
      </c>
      <c r="G1153" t="b">
        <v>0</v>
      </c>
      <c r="H1153" t="inlineStr">
        <is>
          <t>UOM=ADT;WEIGHT_BASIS=PROCESSED_SOURCE_UNIT_WEIGHT;LINE_WEIGHT_KG=0.8;SOURCE_CFG=IA-ST-CFG-0204;SRC_REF=Row 721, Slot 9;SRC_FILE=Mamul Ambalaj Bileşen Listesi-30.07.2026(3).xlsx</t>
        </is>
      </c>
    </row>
    <row r="1154">
      <c r="A1154" s="19" t="inlineStr">
        <is>
          <t>1153</t>
        </is>
      </c>
      <c r="B1154" s="19" t="inlineStr">
        <is>
          <t>167</t>
        </is>
      </c>
      <c r="C1154" s="19" t="inlineStr">
        <is>
          <t>13</t>
        </is>
      </c>
      <c r="D1154" t="n">
        <v>7</v>
      </c>
      <c r="E1154" s="19" t="inlineStr">
        <is>
          <t>18</t>
        </is>
      </c>
      <c r="F1154" t="n">
        <v>1</v>
      </c>
      <c r="G1154" t="b">
        <v>0</v>
      </c>
      <c r="H1154" t="inlineStr">
        <is>
          <t>UOM=M;WEIGHT_BASIS=PROCESSED_SOURCE_UNIT_WEIGHT;LINE_WEIGHT_KG=0.0868;SOURCE_CFG=IA-ST-CFG-0205;SRC_REF=Row 759, Slot 1;SRC_FILE=Mamul Ambalaj Bileşen Listesi-30.07.2026(3).xlsx</t>
        </is>
      </c>
    </row>
    <row r="1155">
      <c r="A1155" s="19" t="inlineStr">
        <is>
          <t>1154</t>
        </is>
      </c>
      <c r="B1155" s="19" t="inlineStr">
        <is>
          <t>167</t>
        </is>
      </c>
      <c r="C1155" s="19" t="inlineStr">
        <is>
          <t>6</t>
        </is>
      </c>
      <c r="D1155" t="n">
        <v>1</v>
      </c>
      <c r="E1155" s="19" t="inlineStr">
        <is>
          <t>18</t>
        </is>
      </c>
      <c r="F1155" t="n">
        <v>2</v>
      </c>
      <c r="G1155" t="b">
        <v>0</v>
      </c>
      <c r="H1155" t="inlineStr">
        <is>
          <t>UOM=ADT;WEIGHT_BASIS=PROCESSED_SOURCE_UNIT_WEIGHT;LINE_WEIGHT_KG=26.0;SOURCE_CFG=IA-ST-CFG-0205;SRC_REF=Row 759, Slot 3;SRC_FILE=Mamul Ambalaj Bileşen Listesi-30.07.2026(3).xlsx</t>
        </is>
      </c>
    </row>
    <row r="1156">
      <c r="A1156" s="19" t="inlineStr">
        <is>
          <t>1155</t>
        </is>
      </c>
      <c r="B1156" s="19" t="inlineStr">
        <is>
          <t>167</t>
        </is>
      </c>
      <c r="C1156" s="19" t="inlineStr">
        <is>
          <t>8</t>
        </is>
      </c>
      <c r="D1156" t="n">
        <v>20</v>
      </c>
      <c r="E1156" s="19" t="inlineStr">
        <is>
          <t>18</t>
        </is>
      </c>
      <c r="F1156" t="n">
        <v>3</v>
      </c>
      <c r="G1156" t="b">
        <v>0</v>
      </c>
      <c r="H1156" t="inlineStr">
        <is>
          <t>UOM=M;WEIGHT_BASIS=PROCESSED_SOURCE_UNIT_WEIGHT;LINE_WEIGHT_KG=0.3664;SOURCE_CFG=IA-ST-CFG-0205;SRC_REF=Row 759, Slot 5;SRC_FILE=Mamul Ambalaj Bileşen Listesi-30.07.2026(3).xlsx</t>
        </is>
      </c>
    </row>
    <row r="1157">
      <c r="A1157" s="19" t="inlineStr">
        <is>
          <t>1156</t>
        </is>
      </c>
      <c r="B1157" s="19" t="inlineStr">
        <is>
          <t>167</t>
        </is>
      </c>
      <c r="C1157" s="19" t="inlineStr">
        <is>
          <t>9</t>
        </is>
      </c>
      <c r="D1157" t="n">
        <v>0.186</v>
      </c>
      <c r="E1157" s="19" t="inlineStr">
        <is>
          <t>18</t>
        </is>
      </c>
      <c r="F1157" t="n">
        <v>4</v>
      </c>
      <c r="G1157" t="b">
        <v>0</v>
      </c>
      <c r="H1157" t="inlineStr">
        <is>
          <t>UOM=KG;WEIGHT_BASIS=RECIPE_QUANTITY_IS_KG;LINE_WEIGHT_KG=0.186;SOURCE_CFG=IA-ST-CFG-0205;SRC_REF=Row 759, Slot 6;SRC_FILE=Mamul Ambalaj Bileşen Listesi-30.07.2026(3).xlsx</t>
        </is>
      </c>
    </row>
    <row r="1158">
      <c r="A1158" s="19" t="inlineStr">
        <is>
          <t>1157</t>
        </is>
      </c>
      <c r="B1158" s="19" t="inlineStr">
        <is>
          <t>167</t>
        </is>
      </c>
      <c r="C1158" s="19" t="inlineStr">
        <is>
          <t>21</t>
        </is>
      </c>
      <c r="D1158" t="n">
        <v>2.375</v>
      </c>
      <c r="E1158" s="19" t="inlineStr">
        <is>
          <t>18</t>
        </is>
      </c>
      <c r="F1158" t="n">
        <v>5</v>
      </c>
      <c r="G1158" t="b">
        <v>0</v>
      </c>
      <c r="H1158" t="inlineStr">
        <is>
          <t>UOM=KG;WEIGHT_BASIS=RECIPE_QUANTITY_IS_KG;LINE_WEIGHT_KG=2.375;SOURCE_CFG=IA-ST-CFG-0205;SRC_REF=Row 759, Slot 7;SRC_FILE=Mamul Ambalaj Bileşen Listesi-30.07.2026(3).xlsx</t>
        </is>
      </c>
    </row>
    <row r="1159">
      <c r="A1159" s="19" t="inlineStr">
        <is>
          <t>1158</t>
        </is>
      </c>
      <c r="B1159" s="19" t="inlineStr">
        <is>
          <t>167</t>
        </is>
      </c>
      <c r="C1159" s="19" t="inlineStr">
        <is>
          <t>3</t>
        </is>
      </c>
      <c r="D1159" t="n">
        <v>2</v>
      </c>
      <c r="E1159" s="19" t="inlineStr">
        <is>
          <t>18</t>
        </is>
      </c>
      <c r="F1159" t="n">
        <v>6</v>
      </c>
      <c r="G1159" t="b">
        <v>0</v>
      </c>
      <c r="H1159" t="inlineStr">
        <is>
          <t>UOM=ADT;WEIGHT_BASIS=PROCESSED_SOURCE_UNIT_WEIGHT;LINE_WEIGHT_KG=0.42;SOURCE_CFG=IA-ST-CFG-0205;SRC_REF=Row 759, Slot 8;SRC_FILE=Mamul Ambalaj Bileşen Listesi-30.07.2026(3).xlsx</t>
        </is>
      </c>
    </row>
    <row r="1160">
      <c r="A1160" s="19" t="inlineStr">
        <is>
          <t>1159</t>
        </is>
      </c>
      <c r="B1160" s="19" t="inlineStr">
        <is>
          <t>167</t>
        </is>
      </c>
      <c r="C1160" s="19" t="inlineStr">
        <is>
          <t>30</t>
        </is>
      </c>
      <c r="D1160" t="n">
        <v>4</v>
      </c>
      <c r="E1160" s="19" t="inlineStr">
        <is>
          <t>18</t>
        </is>
      </c>
      <c r="F1160" t="n">
        <v>7</v>
      </c>
      <c r="G1160" t="b">
        <v>0</v>
      </c>
      <c r="H1160" t="inlineStr">
        <is>
          <t>UOM=ADT;WEIGHT_BASIS=PROCESSED_SOURCE_UNIT_WEIGHT;LINE_WEIGHT_KG=0.8;SOURCE_CFG=IA-ST-CFG-0205;SRC_REF=Row 759, Slot 9;SRC_FILE=Mamul Ambalaj Bileşen Listesi-30.07.2026(3).xlsx</t>
        </is>
      </c>
    </row>
    <row r="1161">
      <c r="A1161" s="19" t="inlineStr">
        <is>
          <t>1160</t>
        </is>
      </c>
      <c r="B1161" s="19" t="inlineStr">
        <is>
          <t>168</t>
        </is>
      </c>
      <c r="C1161" s="19" t="inlineStr">
        <is>
          <t>13</t>
        </is>
      </c>
      <c r="D1161" t="n">
        <v>7</v>
      </c>
      <c r="E1161" s="19" t="inlineStr">
        <is>
          <t>18</t>
        </is>
      </c>
      <c r="F1161" t="n">
        <v>1</v>
      </c>
      <c r="G1161" t="b">
        <v>0</v>
      </c>
      <c r="H1161" t="inlineStr">
        <is>
          <t>UOM=M;WEIGHT_BASIS=PROCESSED_SOURCE_UNIT_WEIGHT;LINE_WEIGHT_KG=0.0868;SOURCE_CFG=IA-ST-CFG-0206;SRC_REF=Row 777, Slot 1;SRC_FILE=Mamul Ambalaj Bileşen Listesi-30.07.2026(3).xlsx</t>
        </is>
      </c>
    </row>
    <row r="1162">
      <c r="A1162" s="19" t="inlineStr">
        <is>
          <t>1161</t>
        </is>
      </c>
      <c r="B1162" s="19" t="inlineStr">
        <is>
          <t>168</t>
        </is>
      </c>
      <c r="C1162" s="19" t="inlineStr">
        <is>
          <t>6</t>
        </is>
      </c>
      <c r="D1162" t="n">
        <v>1</v>
      </c>
      <c r="E1162" s="19" t="inlineStr">
        <is>
          <t>18</t>
        </is>
      </c>
      <c r="F1162" t="n">
        <v>2</v>
      </c>
      <c r="G1162" t="b">
        <v>0</v>
      </c>
      <c r="H1162" t="inlineStr">
        <is>
          <t>UOM=ADT;WEIGHT_BASIS=PROCESSED_SOURCE_UNIT_WEIGHT;LINE_WEIGHT_KG=26.0;SOURCE_CFG=IA-ST-CFG-0206;SRC_REF=Row 777, Slot 3;SRC_FILE=Mamul Ambalaj Bileşen Listesi-30.07.2026(3).xlsx</t>
        </is>
      </c>
    </row>
    <row r="1163">
      <c r="A1163" s="19" t="inlineStr">
        <is>
          <t>1162</t>
        </is>
      </c>
      <c r="B1163" s="19" t="inlineStr">
        <is>
          <t>168</t>
        </is>
      </c>
      <c r="C1163" s="19" t="inlineStr">
        <is>
          <t>8</t>
        </is>
      </c>
      <c r="D1163" t="n">
        <v>20</v>
      </c>
      <c r="E1163" s="19" t="inlineStr">
        <is>
          <t>18</t>
        </is>
      </c>
      <c r="F1163" t="n">
        <v>3</v>
      </c>
      <c r="G1163" t="b">
        <v>0</v>
      </c>
      <c r="H1163" t="inlineStr">
        <is>
          <t>UOM=M;WEIGHT_BASIS=PROCESSED_SOURCE_UNIT_WEIGHT;LINE_WEIGHT_KG=0.3664;SOURCE_CFG=IA-ST-CFG-0206;SRC_REF=Row 777, Slot 5;SRC_FILE=Mamul Ambalaj Bileşen Listesi-30.07.2026(3).xlsx</t>
        </is>
      </c>
    </row>
    <row r="1164">
      <c r="A1164" s="19" t="inlineStr">
        <is>
          <t>1163</t>
        </is>
      </c>
      <c r="B1164" s="19" t="inlineStr">
        <is>
          <t>168</t>
        </is>
      </c>
      <c r="C1164" s="19" t="inlineStr">
        <is>
          <t>9</t>
        </is>
      </c>
      <c r="D1164" t="n">
        <v>0.186</v>
      </c>
      <c r="E1164" s="19" t="inlineStr">
        <is>
          <t>18</t>
        </is>
      </c>
      <c r="F1164" t="n">
        <v>4</v>
      </c>
      <c r="G1164" t="b">
        <v>0</v>
      </c>
      <c r="H1164" t="inlineStr">
        <is>
          <t>UOM=KG;WEIGHT_BASIS=RECIPE_QUANTITY_IS_KG;LINE_WEIGHT_KG=0.186;SOURCE_CFG=IA-ST-CFG-0206;SRC_REF=Row 777, Slot 6;SRC_FILE=Mamul Ambalaj Bileşen Listesi-30.07.2026(3).xlsx</t>
        </is>
      </c>
    </row>
    <row r="1165">
      <c r="A1165" s="19" t="inlineStr">
        <is>
          <t>1164</t>
        </is>
      </c>
      <c r="B1165" s="19" t="inlineStr">
        <is>
          <t>168</t>
        </is>
      </c>
      <c r="C1165" s="19" t="inlineStr">
        <is>
          <t>3</t>
        </is>
      </c>
      <c r="D1165" t="n">
        <v>2</v>
      </c>
      <c r="E1165" s="19" t="inlineStr">
        <is>
          <t>18</t>
        </is>
      </c>
      <c r="F1165" t="n">
        <v>5</v>
      </c>
      <c r="G1165" t="b">
        <v>0</v>
      </c>
      <c r="H1165" t="inlineStr">
        <is>
          <t>UOM=ADT;WEIGHT_BASIS=PROCESSED_SOURCE_UNIT_WEIGHT;LINE_WEIGHT_KG=0.42;SOURCE_CFG=IA-ST-CFG-0206;SRC_REF=Row 777, Slot 8;SRC_FILE=Mamul Ambalaj Bileşen Listesi-30.07.2026(3).xlsx</t>
        </is>
      </c>
    </row>
    <row r="1166">
      <c r="A1166" s="19" t="inlineStr">
        <is>
          <t>1165</t>
        </is>
      </c>
      <c r="B1166" s="19" t="inlineStr">
        <is>
          <t>168</t>
        </is>
      </c>
      <c r="C1166" s="19" t="inlineStr">
        <is>
          <t>30</t>
        </is>
      </c>
      <c r="D1166" t="n">
        <v>4</v>
      </c>
      <c r="E1166" s="19" t="inlineStr">
        <is>
          <t>18</t>
        </is>
      </c>
      <c r="F1166" t="n">
        <v>6</v>
      </c>
      <c r="G1166" t="b">
        <v>0</v>
      </c>
      <c r="H1166" t="inlineStr">
        <is>
          <t>UOM=ADT;WEIGHT_BASIS=PROCESSED_SOURCE_UNIT_WEIGHT;LINE_WEIGHT_KG=0.8;SOURCE_CFG=IA-ST-CFG-0206;SRC_REF=Row 777, Slot 9;SRC_FILE=Mamul Ambalaj Bileşen Listesi-30.07.2026(3).xlsx</t>
        </is>
      </c>
    </row>
    <row r="1167">
      <c r="A1167" s="19" t="inlineStr">
        <is>
          <t>1166</t>
        </is>
      </c>
      <c r="B1167" s="19" t="inlineStr">
        <is>
          <t>169</t>
        </is>
      </c>
      <c r="C1167" s="19" t="inlineStr">
        <is>
          <t>13</t>
        </is>
      </c>
      <c r="D1167" t="n">
        <v>14</v>
      </c>
      <c r="E1167" s="19" t="inlineStr">
        <is>
          <t>18</t>
        </is>
      </c>
      <c r="F1167" t="n">
        <v>1</v>
      </c>
      <c r="G1167" t="b">
        <v>0</v>
      </c>
      <c r="H1167" t="inlineStr">
        <is>
          <t>UOM=M;WEIGHT_BASIS=PROCESSED_SOURCE_UNIT_WEIGHT;LINE_WEIGHT_KG=0.1736;SOURCE_CFG=IA-ST-CFG-0209;SRC_REF=Row 303, Slot 1;SRC_FILE=Mamul Ambalaj Bileşen Listesi-30.07.2026(3).xlsx</t>
        </is>
      </c>
    </row>
    <row r="1168">
      <c r="A1168" s="19" t="inlineStr">
        <is>
          <t>1167</t>
        </is>
      </c>
      <c r="B1168" s="19" t="inlineStr">
        <is>
          <t>169</t>
        </is>
      </c>
      <c r="C1168" s="19" t="inlineStr">
        <is>
          <t>6</t>
        </is>
      </c>
      <c r="D1168" t="n">
        <v>1</v>
      </c>
      <c r="E1168" s="19" t="inlineStr">
        <is>
          <t>18</t>
        </is>
      </c>
      <c r="F1168" t="n">
        <v>2</v>
      </c>
      <c r="G1168" t="b">
        <v>0</v>
      </c>
      <c r="H1168" t="inlineStr">
        <is>
          <t>UOM=ADT;WEIGHT_BASIS=PROCESSED_SOURCE_UNIT_WEIGHT;LINE_WEIGHT_KG=26.0;SOURCE_CFG=IA-ST-CFG-0209;SRC_REF=Row 303, Slot 3;SRC_FILE=Mamul Ambalaj Bileşen Listesi-30.07.2026(3).xlsx</t>
        </is>
      </c>
    </row>
    <row r="1169">
      <c r="A1169" s="19" t="inlineStr">
        <is>
          <t>1168</t>
        </is>
      </c>
      <c r="B1169" s="19" t="inlineStr">
        <is>
          <t>169</t>
        </is>
      </c>
      <c r="C1169" s="19" t="inlineStr">
        <is>
          <t>8</t>
        </is>
      </c>
      <c r="D1169" t="n">
        <v>20</v>
      </c>
      <c r="E1169" s="19" t="inlineStr">
        <is>
          <t>18</t>
        </is>
      </c>
      <c r="F1169" t="n">
        <v>3</v>
      </c>
      <c r="G1169" t="b">
        <v>0</v>
      </c>
      <c r="H1169" t="inlineStr">
        <is>
          <t>UOM=M;WEIGHT_BASIS=PROCESSED_SOURCE_UNIT_WEIGHT;LINE_WEIGHT_KG=0.3664;SOURCE_CFG=IA-ST-CFG-0209;SRC_REF=Row 303, Slot 5;SRC_FILE=Mamul Ambalaj Bileşen Listesi-30.07.2026(3).xlsx</t>
        </is>
      </c>
    </row>
    <row r="1170">
      <c r="A1170" s="19" t="inlineStr">
        <is>
          <t>1169</t>
        </is>
      </c>
      <c r="B1170" s="19" t="inlineStr">
        <is>
          <t>169</t>
        </is>
      </c>
      <c r="C1170" s="19" t="inlineStr">
        <is>
          <t>9</t>
        </is>
      </c>
      <c r="D1170" t="n">
        <v>0.186</v>
      </c>
      <c r="E1170" s="19" t="inlineStr">
        <is>
          <t>18</t>
        </is>
      </c>
      <c r="F1170" t="n">
        <v>4</v>
      </c>
      <c r="G1170" t="b">
        <v>0</v>
      </c>
      <c r="H1170" t="inlineStr">
        <is>
          <t>UOM=KG;WEIGHT_BASIS=RECIPE_QUANTITY_IS_KG;LINE_WEIGHT_KG=0.186;SOURCE_CFG=IA-ST-CFG-0209;SRC_REF=Row 303, Slot 6;SRC_FILE=Mamul Ambalaj Bileşen Listesi-30.07.2026(3).xlsx</t>
        </is>
      </c>
    </row>
    <row r="1171">
      <c r="A1171" s="19" t="inlineStr">
        <is>
          <t>1170</t>
        </is>
      </c>
      <c r="B1171" s="19" t="inlineStr">
        <is>
          <t>169</t>
        </is>
      </c>
      <c r="C1171" s="19" t="inlineStr">
        <is>
          <t>3</t>
        </is>
      </c>
      <c r="D1171" t="n">
        <v>4</v>
      </c>
      <c r="E1171" s="19" t="inlineStr">
        <is>
          <t>18</t>
        </is>
      </c>
      <c r="F1171" t="n">
        <v>5</v>
      </c>
      <c r="G1171" t="b">
        <v>0</v>
      </c>
      <c r="H1171" t="inlineStr">
        <is>
          <t>UOM=ADT;WEIGHT_BASIS=PROCESSED_SOURCE_UNIT_WEIGHT;LINE_WEIGHT_KG=0.84;SOURCE_CFG=IA-ST-CFG-0209;SRC_REF=Row 303, Slot 8;SRC_FILE=Mamul Ambalaj Bileşen Listesi-30.07.2026(3).xlsx</t>
        </is>
      </c>
    </row>
    <row r="1172">
      <c r="A1172" s="19" t="inlineStr">
        <is>
          <t>1171</t>
        </is>
      </c>
      <c r="B1172" s="19" t="inlineStr">
        <is>
          <t>169</t>
        </is>
      </c>
      <c r="C1172" s="19" t="inlineStr">
        <is>
          <t>30</t>
        </is>
      </c>
      <c r="D1172" t="n">
        <v>4</v>
      </c>
      <c r="E1172" s="19" t="inlineStr">
        <is>
          <t>18</t>
        </is>
      </c>
      <c r="F1172" t="n">
        <v>6</v>
      </c>
      <c r="G1172" t="b">
        <v>0</v>
      </c>
      <c r="H1172" t="inlineStr">
        <is>
          <t>UOM=ADT;WEIGHT_BASIS=PROCESSED_SOURCE_UNIT_WEIGHT;LINE_WEIGHT_KG=0.8;SOURCE_CFG=IA-ST-CFG-0209;SRC_REF=Row 303, Slot 9;SRC_FILE=Mamul Ambalaj Bileşen Listesi-30.07.2026(3).xlsx</t>
        </is>
      </c>
    </row>
    <row r="1173">
      <c r="A1173" s="19" t="inlineStr">
        <is>
          <t>1172</t>
        </is>
      </c>
      <c r="B1173" s="19" t="inlineStr">
        <is>
          <t>170</t>
        </is>
      </c>
      <c r="C1173" s="19" t="inlineStr">
        <is>
          <t>13</t>
        </is>
      </c>
      <c r="D1173" t="n">
        <v>14</v>
      </c>
      <c r="E1173" s="19" t="inlineStr">
        <is>
          <t>18</t>
        </is>
      </c>
      <c r="F1173" t="n">
        <v>1</v>
      </c>
      <c r="G1173" t="b">
        <v>0</v>
      </c>
      <c r="H1173" t="inlineStr">
        <is>
          <t>UOM=M;WEIGHT_BASIS=PROCESSED_SOURCE_UNIT_WEIGHT;LINE_WEIGHT_KG=0.1736;SOURCE_CFG=IA-ST-CFG-0235;SRC_REF=Row 677, Slot 1;SRC_FILE=Mamul Ambalaj Bileşen Listesi-30.07.2026(3).xlsx</t>
        </is>
      </c>
    </row>
    <row r="1174">
      <c r="A1174" s="19" t="inlineStr">
        <is>
          <t>1173</t>
        </is>
      </c>
      <c r="B1174" s="19" t="inlineStr">
        <is>
          <t>170</t>
        </is>
      </c>
      <c r="C1174" s="19" t="inlineStr">
        <is>
          <t>28</t>
        </is>
      </c>
      <c r="D1174" t="n">
        <v>72</v>
      </c>
      <c r="E1174" s="19" t="inlineStr">
        <is>
          <t>18</t>
        </is>
      </c>
      <c r="F1174" t="n">
        <v>2</v>
      </c>
      <c r="G1174" t="b">
        <v>0</v>
      </c>
      <c r="H1174" t="inlineStr">
        <is>
          <t>UOM=ADT;WEIGHT_BASIS=SOURCE_UNIT_WEIGHT;LINE_WEIGHT_KG=3.3624000000000005;SOURCE_CFG=IA-ST-CFG-0235;SRC_REF=Row 677, Slot 2;SRC_FILE=Mamul Ambalaj Bileşen Listesi-30.07.2026(3).xlsx</t>
        </is>
      </c>
    </row>
    <row r="1175">
      <c r="A1175" s="19" t="inlineStr">
        <is>
          <t>1174</t>
        </is>
      </c>
      <c r="B1175" s="19" t="inlineStr">
        <is>
          <t>170</t>
        </is>
      </c>
      <c r="C1175" s="19" t="inlineStr">
        <is>
          <t>6</t>
        </is>
      </c>
      <c r="D1175" t="n">
        <v>1</v>
      </c>
      <c r="E1175" s="19" t="inlineStr">
        <is>
          <t>18</t>
        </is>
      </c>
      <c r="F1175" t="n">
        <v>3</v>
      </c>
      <c r="G1175" t="b">
        <v>0</v>
      </c>
      <c r="H1175" t="inlineStr">
        <is>
          <t>UOM=ADT;WEIGHT_BASIS=PROCESSED_SOURCE_UNIT_WEIGHT;LINE_WEIGHT_KG=26.0;SOURCE_CFG=IA-ST-CFG-0235;SRC_REF=Row 677, Slot 3;SRC_FILE=Mamul Ambalaj Bileşen Listesi-30.07.2026(3).xlsx</t>
        </is>
      </c>
    </row>
    <row r="1176">
      <c r="A1176" s="19" t="inlineStr">
        <is>
          <t>1175</t>
        </is>
      </c>
      <c r="B1176" s="19" t="inlineStr">
        <is>
          <t>170</t>
        </is>
      </c>
      <c r="C1176" s="19" t="inlineStr">
        <is>
          <t>8</t>
        </is>
      </c>
      <c r="D1176" t="n">
        <v>20</v>
      </c>
      <c r="E1176" s="19" t="inlineStr">
        <is>
          <t>18</t>
        </is>
      </c>
      <c r="F1176" t="n">
        <v>4</v>
      </c>
      <c r="G1176" t="b">
        <v>0</v>
      </c>
      <c r="H1176" t="inlineStr">
        <is>
          <t>UOM=M;WEIGHT_BASIS=PROCESSED_SOURCE_UNIT_WEIGHT;LINE_WEIGHT_KG=0.3664;SOURCE_CFG=IA-ST-CFG-0235;SRC_REF=Row 677, Slot 5;SRC_FILE=Mamul Ambalaj Bileşen Listesi-30.07.2026(3).xlsx</t>
        </is>
      </c>
    </row>
    <row r="1177">
      <c r="A1177" s="19" t="inlineStr">
        <is>
          <t>1176</t>
        </is>
      </c>
      <c r="B1177" s="19" t="inlineStr">
        <is>
          <t>170</t>
        </is>
      </c>
      <c r="C1177" s="19" t="inlineStr">
        <is>
          <t>9</t>
        </is>
      </c>
      <c r="D1177" t="n">
        <v>0.186</v>
      </c>
      <c r="E1177" s="19" t="inlineStr">
        <is>
          <t>18</t>
        </is>
      </c>
      <c r="F1177" t="n">
        <v>5</v>
      </c>
      <c r="G1177" t="b">
        <v>0</v>
      </c>
      <c r="H1177" t="inlineStr">
        <is>
          <t>UOM=KG;WEIGHT_BASIS=RECIPE_QUANTITY_IS_KG;LINE_WEIGHT_KG=0.186;SOURCE_CFG=IA-ST-CFG-0235;SRC_REF=Row 677, Slot 6;SRC_FILE=Mamul Ambalaj Bileşen Listesi-30.07.2026(3).xlsx</t>
        </is>
      </c>
    </row>
    <row r="1178">
      <c r="A1178" s="19" t="inlineStr">
        <is>
          <t>1177</t>
        </is>
      </c>
      <c r="B1178" s="19" t="inlineStr">
        <is>
          <t>170</t>
        </is>
      </c>
      <c r="C1178" s="19" t="inlineStr">
        <is>
          <t>21</t>
        </is>
      </c>
      <c r="D1178" t="n">
        <v>1.971</v>
      </c>
      <c r="E1178" s="19" t="inlineStr">
        <is>
          <t>18</t>
        </is>
      </c>
      <c r="F1178" t="n">
        <v>6</v>
      </c>
      <c r="G1178" t="b">
        <v>0</v>
      </c>
      <c r="H1178" t="inlineStr">
        <is>
          <t>UOM=KG;WEIGHT_BASIS=RECIPE_QUANTITY_IS_KG;LINE_WEIGHT_KG=1.971;SOURCE_CFG=IA-ST-CFG-0235;SRC_REF=Row 677, Slot 7;SRC_FILE=Mamul Ambalaj Bileşen Listesi-30.07.2026(3).xlsx</t>
        </is>
      </c>
    </row>
    <row r="1179">
      <c r="A1179" s="19" t="inlineStr">
        <is>
          <t>1178</t>
        </is>
      </c>
      <c r="B1179" s="19" t="inlineStr">
        <is>
          <t>170</t>
        </is>
      </c>
      <c r="C1179" s="19" t="inlineStr">
        <is>
          <t>25</t>
        </is>
      </c>
      <c r="D1179" t="n">
        <v>4</v>
      </c>
      <c r="E1179" s="19" t="inlineStr">
        <is>
          <t>18</t>
        </is>
      </c>
      <c r="F1179" t="n">
        <v>7</v>
      </c>
      <c r="G1179" t="b">
        <v>0</v>
      </c>
      <c r="H1179" t="inlineStr">
        <is>
          <t>UOM=ADT;WEIGHT_BASIS=PROCESSED_SOURCE_UNIT_WEIGHT;LINE_WEIGHT_KG=0.4;SOURCE_CFG=IA-ST-CFG-0235;SRC_REF=Row 677, Slot 8;SRC_FILE=Mamul Ambalaj Bileşen Listesi-30.07.2026(3).xlsx</t>
        </is>
      </c>
    </row>
    <row r="1180">
      <c r="A1180" s="19" t="inlineStr">
        <is>
          <t>1179</t>
        </is>
      </c>
      <c r="B1180" s="19" t="inlineStr">
        <is>
          <t>170</t>
        </is>
      </c>
      <c r="C1180" s="19" t="inlineStr">
        <is>
          <t>30</t>
        </is>
      </c>
      <c r="D1180" t="n">
        <v>4</v>
      </c>
      <c r="E1180" s="19" t="inlineStr">
        <is>
          <t>18</t>
        </is>
      </c>
      <c r="F1180" t="n">
        <v>8</v>
      </c>
      <c r="G1180" t="b">
        <v>0</v>
      </c>
      <c r="H1180" t="inlineStr">
        <is>
          <t>UOM=ADT;WEIGHT_BASIS=PROCESSED_SOURCE_UNIT_WEIGHT;LINE_WEIGHT_KG=0.8;SOURCE_CFG=IA-ST-CFG-0235;SRC_REF=Row 677, Slot 9;SRC_FILE=Mamul Ambalaj Bileşen Listesi-30.07.2026(3).xlsx</t>
        </is>
      </c>
    </row>
    <row r="1181">
      <c r="A1181" s="19" t="inlineStr">
        <is>
          <t>1180</t>
        </is>
      </c>
      <c r="B1181" s="19" t="inlineStr">
        <is>
          <t>171</t>
        </is>
      </c>
      <c r="C1181" s="19" t="inlineStr">
        <is>
          <t>13</t>
        </is>
      </c>
      <c r="D1181" t="n">
        <v>14</v>
      </c>
      <c r="E1181" s="19" t="inlineStr">
        <is>
          <t>18</t>
        </is>
      </c>
      <c r="F1181" t="n">
        <v>1</v>
      </c>
      <c r="G1181" t="b">
        <v>0</v>
      </c>
      <c r="H1181" t="inlineStr">
        <is>
          <t>UOM=M;WEIGHT_BASIS=PROCESSED_SOURCE_UNIT_WEIGHT;LINE_WEIGHT_KG=0.1736;SOURCE_CFG=IA-ST-CFG-0236;SRC_REF=Row 115, Slot 1;SRC_FILE=Mamul Ambalaj Bileşen Listesi-30.07.2026(3).xlsx</t>
        </is>
      </c>
    </row>
    <row r="1182">
      <c r="A1182" s="19" t="inlineStr">
        <is>
          <t>1181</t>
        </is>
      </c>
      <c r="B1182" s="19" t="inlineStr">
        <is>
          <t>171</t>
        </is>
      </c>
      <c r="C1182" s="19" t="inlineStr">
        <is>
          <t>6</t>
        </is>
      </c>
      <c r="D1182" t="n">
        <v>1</v>
      </c>
      <c r="E1182" s="19" t="inlineStr">
        <is>
          <t>18</t>
        </is>
      </c>
      <c r="F1182" t="n">
        <v>2</v>
      </c>
      <c r="G1182" t="b">
        <v>0</v>
      </c>
      <c r="H1182" t="inlineStr">
        <is>
          <t>UOM=ADT;WEIGHT_BASIS=PROCESSED_SOURCE_UNIT_WEIGHT;LINE_WEIGHT_KG=26.0;SOURCE_CFG=IA-ST-CFG-0236;SRC_REF=Row 115, Slot 3;SRC_FILE=Mamul Ambalaj Bileşen Listesi-30.07.2026(3).xlsx</t>
        </is>
      </c>
    </row>
    <row r="1183">
      <c r="A1183" s="19" t="inlineStr">
        <is>
          <t>1182</t>
        </is>
      </c>
      <c r="B1183" s="19" t="inlineStr">
        <is>
          <t>171</t>
        </is>
      </c>
      <c r="C1183" s="19" t="inlineStr">
        <is>
          <t>8</t>
        </is>
      </c>
      <c r="D1183" t="n">
        <v>20</v>
      </c>
      <c r="E1183" s="19" t="inlineStr">
        <is>
          <t>18</t>
        </is>
      </c>
      <c r="F1183" t="n">
        <v>3</v>
      </c>
      <c r="G1183" t="b">
        <v>0</v>
      </c>
      <c r="H1183" t="inlineStr">
        <is>
          <t>UOM=M;WEIGHT_BASIS=PROCESSED_SOURCE_UNIT_WEIGHT;LINE_WEIGHT_KG=0.3664;SOURCE_CFG=IA-ST-CFG-0236;SRC_REF=Row 115, Slot 5;SRC_FILE=Mamul Ambalaj Bileşen Listesi-30.07.2026(3).xlsx</t>
        </is>
      </c>
    </row>
    <row r="1184">
      <c r="A1184" s="19" t="inlineStr">
        <is>
          <t>1183</t>
        </is>
      </c>
      <c r="B1184" s="19" t="inlineStr">
        <is>
          <t>171</t>
        </is>
      </c>
      <c r="C1184" s="19" t="inlineStr">
        <is>
          <t>9</t>
        </is>
      </c>
      <c r="D1184" t="n">
        <v>0.186</v>
      </c>
      <c r="E1184" s="19" t="inlineStr">
        <is>
          <t>18</t>
        </is>
      </c>
      <c r="F1184" t="n">
        <v>4</v>
      </c>
      <c r="G1184" t="b">
        <v>0</v>
      </c>
      <c r="H1184" t="inlineStr">
        <is>
          <t>UOM=KG;WEIGHT_BASIS=RECIPE_QUANTITY_IS_KG;LINE_WEIGHT_KG=0.186;SOURCE_CFG=IA-ST-CFG-0236;SRC_REF=Row 115, Slot 6;SRC_FILE=Mamul Ambalaj Bileşen Listesi-30.07.2026(3).xlsx</t>
        </is>
      </c>
    </row>
    <row r="1185">
      <c r="A1185" s="19" t="inlineStr">
        <is>
          <t>1184</t>
        </is>
      </c>
      <c r="B1185" s="19" t="inlineStr">
        <is>
          <t>171</t>
        </is>
      </c>
      <c r="C1185" s="19" t="inlineStr">
        <is>
          <t>25</t>
        </is>
      </c>
      <c r="D1185" t="n">
        <v>4</v>
      </c>
      <c r="E1185" s="19" t="inlineStr">
        <is>
          <t>18</t>
        </is>
      </c>
      <c r="F1185" t="n">
        <v>5</v>
      </c>
      <c r="G1185" t="b">
        <v>0</v>
      </c>
      <c r="H1185" t="inlineStr">
        <is>
          <t>UOM=ADT;WEIGHT_BASIS=PROCESSED_SOURCE_UNIT_WEIGHT;LINE_WEIGHT_KG=0.4;SOURCE_CFG=IA-ST-CFG-0236;SRC_REF=Row 115, Slot 8;SRC_FILE=Mamul Ambalaj Bileşen Listesi-30.07.2026(3).xlsx</t>
        </is>
      </c>
    </row>
    <row r="1186">
      <c r="A1186" s="19" t="inlineStr">
        <is>
          <t>1185</t>
        </is>
      </c>
      <c r="B1186" s="19" t="inlineStr">
        <is>
          <t>171</t>
        </is>
      </c>
      <c r="C1186" s="19" t="inlineStr">
        <is>
          <t>30</t>
        </is>
      </c>
      <c r="D1186" t="n">
        <v>4</v>
      </c>
      <c r="E1186" s="19" t="inlineStr">
        <is>
          <t>18</t>
        </is>
      </c>
      <c r="F1186" t="n">
        <v>6</v>
      </c>
      <c r="G1186" t="b">
        <v>0</v>
      </c>
      <c r="H1186" t="inlineStr">
        <is>
          <t>UOM=ADT;WEIGHT_BASIS=PROCESSED_SOURCE_UNIT_WEIGHT;LINE_WEIGHT_KG=0.8;SOURCE_CFG=IA-ST-CFG-0236;SRC_REF=Row 115, Slot 9;SRC_FILE=Mamul Ambalaj Bileşen Listesi-30.07.2026(3).xlsx</t>
        </is>
      </c>
    </row>
    <row r="1187">
      <c r="A1187" s="19" t="inlineStr">
        <is>
          <t>1186</t>
        </is>
      </c>
      <c r="B1187" s="19" t="inlineStr">
        <is>
          <t>172</t>
        </is>
      </c>
      <c r="C1187" s="19" t="inlineStr">
        <is>
          <t>13</t>
        </is>
      </c>
      <c r="D1187" t="n">
        <v>14</v>
      </c>
      <c r="E1187" s="19" t="inlineStr">
        <is>
          <t>18</t>
        </is>
      </c>
      <c r="F1187" t="n">
        <v>1</v>
      </c>
      <c r="G1187" t="b">
        <v>0</v>
      </c>
      <c r="H1187" t="inlineStr">
        <is>
          <t>UOM=M;WEIGHT_BASIS=PROCESSED_SOURCE_UNIT_WEIGHT;LINE_WEIGHT_KG=0.1736;SOURCE_CFG=IA-ST-CFG-0210;SRC_REF=Row 502, Slot 1;SRC_FILE=Mamul Ambalaj Bileşen Listesi-30.07.2026(3).xlsx</t>
        </is>
      </c>
    </row>
    <row r="1188">
      <c r="A1188" s="19" t="inlineStr">
        <is>
          <t>1187</t>
        </is>
      </c>
      <c r="B1188" s="19" t="inlineStr">
        <is>
          <t>172</t>
        </is>
      </c>
      <c r="C1188" s="19" t="inlineStr">
        <is>
          <t>5</t>
        </is>
      </c>
      <c r="D1188" t="n">
        <v>1</v>
      </c>
      <c r="E1188" s="19" t="inlineStr">
        <is>
          <t>18</t>
        </is>
      </c>
      <c r="F1188" t="n">
        <v>2</v>
      </c>
      <c r="G1188" t="b">
        <v>0</v>
      </c>
      <c r="H1188" t="inlineStr">
        <is>
          <t>UOM=ADT;WEIGHT_BASIS=PROCESSED_SOURCE_UNIT_WEIGHT;LINE_WEIGHT_KG=26.0;SOURCE_CFG=IA-ST-CFG-0210;SRC_REF=Row 502, Slot 3;SRC_FILE=Mamul Ambalaj Bileşen Listesi-30.07.2026(3).xlsx</t>
        </is>
      </c>
    </row>
    <row r="1189">
      <c r="A1189" s="19" t="inlineStr">
        <is>
          <t>1188</t>
        </is>
      </c>
      <c r="B1189" s="19" t="inlineStr">
        <is>
          <t>172</t>
        </is>
      </c>
      <c r="C1189" s="19" t="inlineStr">
        <is>
          <t>8</t>
        </is>
      </c>
      <c r="D1189" t="n">
        <v>20</v>
      </c>
      <c r="E1189" s="19" t="inlineStr">
        <is>
          <t>18</t>
        </is>
      </c>
      <c r="F1189" t="n">
        <v>3</v>
      </c>
      <c r="G1189" t="b">
        <v>0</v>
      </c>
      <c r="H1189" t="inlineStr">
        <is>
          <t>UOM=M;WEIGHT_BASIS=PROCESSED_SOURCE_UNIT_WEIGHT;LINE_WEIGHT_KG=0.3664;SOURCE_CFG=IA-ST-CFG-0210;SRC_REF=Row 502, Slot 5;SRC_FILE=Mamul Ambalaj Bileşen Listesi-30.07.2026(3).xlsx</t>
        </is>
      </c>
    </row>
    <row r="1190">
      <c r="A1190" s="19" t="inlineStr">
        <is>
          <t>1189</t>
        </is>
      </c>
      <c r="B1190" s="19" t="inlineStr">
        <is>
          <t>172</t>
        </is>
      </c>
      <c r="C1190" s="19" t="inlineStr">
        <is>
          <t>9</t>
        </is>
      </c>
      <c r="D1190" t="n">
        <v>0.186</v>
      </c>
      <c r="E1190" s="19" t="inlineStr">
        <is>
          <t>18</t>
        </is>
      </c>
      <c r="F1190" t="n">
        <v>4</v>
      </c>
      <c r="G1190" t="b">
        <v>0</v>
      </c>
      <c r="H1190" t="inlineStr">
        <is>
          <t>UOM=KG;WEIGHT_BASIS=RECIPE_QUANTITY_IS_KG;LINE_WEIGHT_KG=0.186;SOURCE_CFG=IA-ST-CFG-0210;SRC_REF=Row 502, Slot 6;SRC_FILE=Mamul Ambalaj Bileşen Listesi-30.07.2026(3).xlsx</t>
        </is>
      </c>
    </row>
    <row r="1191">
      <c r="A1191" s="19" t="inlineStr">
        <is>
          <t>1190</t>
        </is>
      </c>
      <c r="B1191" s="19" t="inlineStr">
        <is>
          <t>172</t>
        </is>
      </c>
      <c r="C1191" s="19" t="inlineStr">
        <is>
          <t>3</t>
        </is>
      </c>
      <c r="D1191" t="n">
        <v>6</v>
      </c>
      <c r="E1191" s="19" t="inlineStr">
        <is>
          <t>18</t>
        </is>
      </c>
      <c r="F1191" t="n">
        <v>5</v>
      </c>
      <c r="G1191" t="b">
        <v>0</v>
      </c>
      <c r="H1191" t="inlineStr">
        <is>
          <t>UOM=ADT;WEIGHT_BASIS=PROCESSED_SOURCE_UNIT_WEIGHT;LINE_WEIGHT_KG=1.26;SOURCE_CFG=IA-ST-CFG-0210;SRC_REF=Row 502, Slot 8;SRC_FILE=Mamul Ambalaj Bileşen Listesi-30.07.2026(3).xlsx</t>
        </is>
      </c>
    </row>
    <row r="1192">
      <c r="A1192" s="19" t="inlineStr">
        <is>
          <t>1191</t>
        </is>
      </c>
      <c r="B1192" s="19" t="inlineStr">
        <is>
          <t>172</t>
        </is>
      </c>
      <c r="C1192" s="19" t="inlineStr">
        <is>
          <t>7</t>
        </is>
      </c>
      <c r="D1192" t="n">
        <v>5</v>
      </c>
      <c r="E1192" s="19" t="inlineStr">
        <is>
          <t>18</t>
        </is>
      </c>
      <c r="F1192" t="n">
        <v>6</v>
      </c>
      <c r="G1192" t="b">
        <v>0</v>
      </c>
      <c r="H1192" t="inlineStr">
        <is>
          <t>UOM=ADT;WEIGHT_BASIS=PROCESSED_SOURCE_UNIT_WEIGHT;LINE_WEIGHT_KG=1.35;SOURCE_CFG=IA-ST-CFG-0210;SRC_REF=Row 502, Slot 9;SRC_FILE=Mamul Ambalaj Bileşen Listesi-30.07.2026(3).xlsx</t>
        </is>
      </c>
    </row>
    <row r="1193">
      <c r="A1193" s="19" t="inlineStr">
        <is>
          <t>1192</t>
        </is>
      </c>
      <c r="B1193" s="19" t="inlineStr">
        <is>
          <t>172</t>
        </is>
      </c>
      <c r="C1193" s="19" t="inlineStr">
        <is>
          <t>37</t>
        </is>
      </c>
      <c r="D1193" t="n">
        <v>72</v>
      </c>
      <c r="E1193" s="19" t="inlineStr">
        <is>
          <t>18</t>
        </is>
      </c>
      <c r="F1193" t="n">
        <v>7</v>
      </c>
      <c r="G1193" t="b">
        <v>0</v>
      </c>
      <c r="H1193" t="inlineStr">
        <is>
          <t>UOM=ADT;WEIGHT_BASIS=PROCESSED_SOURCE_UNIT_WEIGHT;LINE_WEIGHT_KG=18.0;SOURCE_CFG=IA-ST-CFG-0210;SRC_REF=Row 502, Slot 10;SRC_FILE=Mamul Ambalaj Bileşen Listesi-30.07.2026(3).xlsx</t>
        </is>
      </c>
    </row>
    <row r="1194">
      <c r="A1194" s="19" t="inlineStr">
        <is>
          <t>1193</t>
        </is>
      </c>
      <c r="B1194" s="19" t="inlineStr">
        <is>
          <t>173</t>
        </is>
      </c>
      <c r="C1194" s="19" t="inlineStr">
        <is>
          <t>13</t>
        </is>
      </c>
      <c r="D1194" t="n">
        <v>14</v>
      </c>
      <c r="E1194" s="19" t="inlineStr">
        <is>
          <t>18</t>
        </is>
      </c>
      <c r="F1194" t="n">
        <v>1</v>
      </c>
      <c r="G1194" t="b">
        <v>0</v>
      </c>
      <c r="H1194" t="inlineStr">
        <is>
          <t>UOM=M;WEIGHT_BASIS=PROCESSED_SOURCE_UNIT_WEIGHT;LINE_WEIGHT_KG=0.1736;SOURCE_CFG=IA-ST-CFG-0211;SRC_REF=Row 259, Slot 1;SRC_FILE=Mamul Ambalaj Bileşen Listesi-30.07.2026(3).xlsx</t>
        </is>
      </c>
    </row>
    <row r="1195">
      <c r="A1195" s="19" t="inlineStr">
        <is>
          <t>1194</t>
        </is>
      </c>
      <c r="B1195" s="19" t="inlineStr">
        <is>
          <t>173</t>
        </is>
      </c>
      <c r="C1195" s="19" t="inlineStr">
        <is>
          <t>5</t>
        </is>
      </c>
      <c r="D1195" t="n">
        <v>1</v>
      </c>
      <c r="E1195" s="19" t="inlineStr">
        <is>
          <t>18</t>
        </is>
      </c>
      <c r="F1195" t="n">
        <v>2</v>
      </c>
      <c r="G1195" t="b">
        <v>0</v>
      </c>
      <c r="H1195" t="inlineStr">
        <is>
          <t>UOM=ADT;WEIGHT_BASIS=PROCESSED_SOURCE_UNIT_WEIGHT;LINE_WEIGHT_KG=26.0;SOURCE_CFG=IA-ST-CFG-0211;SRC_REF=Row 259, Slot 3;SRC_FILE=Mamul Ambalaj Bileşen Listesi-30.07.2026(3).xlsx</t>
        </is>
      </c>
    </row>
    <row r="1196">
      <c r="A1196" s="19" t="inlineStr">
        <is>
          <t>1195</t>
        </is>
      </c>
      <c r="B1196" s="19" t="inlineStr">
        <is>
          <t>173</t>
        </is>
      </c>
      <c r="C1196" s="19" t="inlineStr">
        <is>
          <t>8</t>
        </is>
      </c>
      <c r="D1196" t="n">
        <v>20</v>
      </c>
      <c r="E1196" s="19" t="inlineStr">
        <is>
          <t>18</t>
        </is>
      </c>
      <c r="F1196" t="n">
        <v>3</v>
      </c>
      <c r="G1196" t="b">
        <v>0</v>
      </c>
      <c r="H1196" t="inlineStr">
        <is>
          <t>UOM=M;WEIGHT_BASIS=PROCESSED_SOURCE_UNIT_WEIGHT;LINE_WEIGHT_KG=0.3664;SOURCE_CFG=IA-ST-CFG-0211;SRC_REF=Row 259, Slot 5;SRC_FILE=Mamul Ambalaj Bileşen Listesi-30.07.2026(3).xlsx</t>
        </is>
      </c>
    </row>
    <row r="1197">
      <c r="A1197" s="19" t="inlineStr">
        <is>
          <t>1196</t>
        </is>
      </c>
      <c r="B1197" s="19" t="inlineStr">
        <is>
          <t>173</t>
        </is>
      </c>
      <c r="C1197" s="19" t="inlineStr">
        <is>
          <t>9</t>
        </is>
      </c>
      <c r="D1197" t="n">
        <v>0.186</v>
      </c>
      <c r="E1197" s="19" t="inlineStr">
        <is>
          <t>18</t>
        </is>
      </c>
      <c r="F1197" t="n">
        <v>4</v>
      </c>
      <c r="G1197" t="b">
        <v>0</v>
      </c>
      <c r="H1197" t="inlineStr">
        <is>
          <t>UOM=KG;WEIGHT_BASIS=RECIPE_QUANTITY_IS_KG;LINE_WEIGHT_KG=0.186;SOURCE_CFG=IA-ST-CFG-0211;SRC_REF=Row 259, Slot 6;SRC_FILE=Mamul Ambalaj Bileşen Listesi-30.07.2026(3).xlsx</t>
        </is>
      </c>
    </row>
    <row r="1198">
      <c r="A1198" s="19" t="inlineStr">
        <is>
          <t>1197</t>
        </is>
      </c>
      <c r="B1198" s="19" t="inlineStr">
        <is>
          <t>173</t>
        </is>
      </c>
      <c r="C1198" s="19" t="inlineStr">
        <is>
          <t>3</t>
        </is>
      </c>
      <c r="D1198" t="n">
        <v>6</v>
      </c>
      <c r="E1198" s="19" t="inlineStr">
        <is>
          <t>18</t>
        </is>
      </c>
      <c r="F1198" t="n">
        <v>5</v>
      </c>
      <c r="G1198" t="b">
        <v>0</v>
      </c>
      <c r="H1198" t="inlineStr">
        <is>
          <t>UOM=ADT;WEIGHT_BASIS=PROCESSED_SOURCE_UNIT_WEIGHT;LINE_WEIGHT_KG=1.26;SOURCE_CFG=IA-ST-CFG-0211;SRC_REF=Row 259, Slot 8;SRC_FILE=Mamul Ambalaj Bileşen Listesi-30.07.2026(3).xlsx</t>
        </is>
      </c>
    </row>
    <row r="1199">
      <c r="A1199" s="19" t="inlineStr">
        <is>
          <t>1198</t>
        </is>
      </c>
      <c r="B1199" s="19" t="inlineStr">
        <is>
          <t>173</t>
        </is>
      </c>
      <c r="C1199" s="19" t="inlineStr">
        <is>
          <t>7</t>
        </is>
      </c>
      <c r="D1199" t="n">
        <v>5</v>
      </c>
      <c r="E1199" s="19" t="inlineStr">
        <is>
          <t>18</t>
        </is>
      </c>
      <c r="F1199" t="n">
        <v>6</v>
      </c>
      <c r="G1199" t="b">
        <v>0</v>
      </c>
      <c r="H1199" t="inlineStr">
        <is>
          <t>UOM=ADT;WEIGHT_BASIS=PROCESSED_SOURCE_UNIT_WEIGHT;LINE_WEIGHT_KG=1.35;SOURCE_CFG=IA-ST-CFG-0211;SRC_REF=Row 259, Slot 9;SRC_FILE=Mamul Ambalaj Bileşen Listesi-30.07.2026(3).xlsx</t>
        </is>
      </c>
    </row>
    <row r="1200">
      <c r="A1200" s="19" t="inlineStr">
        <is>
          <t>1199</t>
        </is>
      </c>
      <c r="B1200" s="19" t="inlineStr">
        <is>
          <t>173</t>
        </is>
      </c>
      <c r="C1200" s="19" t="inlineStr">
        <is>
          <t>80</t>
        </is>
      </c>
      <c r="D1200" t="n">
        <v>72</v>
      </c>
      <c r="E1200" s="19" t="inlineStr">
        <is>
          <t>18</t>
        </is>
      </c>
      <c r="F1200" t="n">
        <v>7</v>
      </c>
      <c r="G1200" t="b">
        <v>0</v>
      </c>
      <c r="H1200" t="inlineStr">
        <is>
          <t>UOM=ADT;WEIGHT_BASIS=PROCESSED_SOURCE_UNIT_WEIGHT;LINE_WEIGHT_KG=21.599999999999998;SOURCE_CFG=IA-ST-CFG-0211;SRC_REF=Row 259, Slot 10;SRC_FILE=Mamul Ambalaj Bileşen Listesi-30.07.2026(3).xlsx</t>
        </is>
      </c>
    </row>
    <row r="1201">
      <c r="A1201" s="19" t="inlineStr">
        <is>
          <t>1200</t>
        </is>
      </c>
      <c r="B1201" s="19" t="inlineStr">
        <is>
          <t>174</t>
        </is>
      </c>
      <c r="C1201" s="19" t="inlineStr">
        <is>
          <t>13</t>
        </is>
      </c>
      <c r="D1201" t="n">
        <v>14</v>
      </c>
      <c r="E1201" s="19" t="inlineStr">
        <is>
          <t>18</t>
        </is>
      </c>
      <c r="F1201" t="n">
        <v>1</v>
      </c>
      <c r="G1201" t="b">
        <v>0</v>
      </c>
      <c r="H1201" t="inlineStr">
        <is>
          <t>UOM=M;WEIGHT_BASIS=PROCESSED_SOURCE_UNIT_WEIGHT;LINE_WEIGHT_KG=0.1736;SOURCE_CFG=IA-ST-CFG-0212;SRC_REF=Row 260, Slot 1;SRC_FILE=Mamul Ambalaj Bileşen Listesi-30.07.2026(3).xlsx</t>
        </is>
      </c>
    </row>
    <row r="1202">
      <c r="A1202" s="19" t="inlineStr">
        <is>
          <t>1201</t>
        </is>
      </c>
      <c r="B1202" s="19" t="inlineStr">
        <is>
          <t>174</t>
        </is>
      </c>
      <c r="C1202" s="19" t="inlineStr">
        <is>
          <t>5</t>
        </is>
      </c>
      <c r="D1202" t="n">
        <v>1</v>
      </c>
      <c r="E1202" s="19" t="inlineStr">
        <is>
          <t>18</t>
        </is>
      </c>
      <c r="F1202" t="n">
        <v>2</v>
      </c>
      <c r="G1202" t="b">
        <v>0</v>
      </c>
      <c r="H1202" t="inlineStr">
        <is>
          <t>UOM=ADT;WEIGHT_BASIS=PROCESSED_SOURCE_UNIT_WEIGHT;LINE_WEIGHT_KG=26.0;SOURCE_CFG=IA-ST-CFG-0212;SRC_REF=Row 260, Slot 3;SRC_FILE=Mamul Ambalaj Bileşen Listesi-30.07.2026(3).xlsx</t>
        </is>
      </c>
    </row>
    <row r="1203">
      <c r="A1203" s="19" t="inlineStr">
        <is>
          <t>1202</t>
        </is>
      </c>
      <c r="B1203" s="19" t="inlineStr">
        <is>
          <t>174</t>
        </is>
      </c>
      <c r="C1203" s="19" t="inlineStr">
        <is>
          <t>8</t>
        </is>
      </c>
      <c r="D1203" t="n">
        <v>20</v>
      </c>
      <c r="E1203" s="19" t="inlineStr">
        <is>
          <t>18</t>
        </is>
      </c>
      <c r="F1203" t="n">
        <v>3</v>
      </c>
      <c r="G1203" t="b">
        <v>0</v>
      </c>
      <c r="H1203" t="inlineStr">
        <is>
          <t>UOM=M;WEIGHT_BASIS=PROCESSED_SOURCE_UNIT_WEIGHT;LINE_WEIGHT_KG=0.3664;SOURCE_CFG=IA-ST-CFG-0212;SRC_REF=Row 260, Slot 5;SRC_FILE=Mamul Ambalaj Bileşen Listesi-30.07.2026(3).xlsx</t>
        </is>
      </c>
    </row>
    <row r="1204">
      <c r="A1204" s="19" t="inlineStr">
        <is>
          <t>1203</t>
        </is>
      </c>
      <c r="B1204" s="19" t="inlineStr">
        <is>
          <t>174</t>
        </is>
      </c>
      <c r="C1204" s="19" t="inlineStr">
        <is>
          <t>9</t>
        </is>
      </c>
      <c r="D1204" t="n">
        <v>0.186</v>
      </c>
      <c r="E1204" s="19" t="inlineStr">
        <is>
          <t>18</t>
        </is>
      </c>
      <c r="F1204" t="n">
        <v>4</v>
      </c>
      <c r="G1204" t="b">
        <v>0</v>
      </c>
      <c r="H1204" t="inlineStr">
        <is>
          <t>UOM=KG;WEIGHT_BASIS=RECIPE_QUANTITY_IS_KG;LINE_WEIGHT_KG=0.186;SOURCE_CFG=IA-ST-CFG-0212;SRC_REF=Row 260, Slot 6;SRC_FILE=Mamul Ambalaj Bileşen Listesi-30.07.2026(3).xlsx</t>
        </is>
      </c>
    </row>
    <row r="1205">
      <c r="A1205" s="19" t="inlineStr">
        <is>
          <t>1204</t>
        </is>
      </c>
      <c r="B1205" s="19" t="inlineStr">
        <is>
          <t>174</t>
        </is>
      </c>
      <c r="C1205" s="19" t="inlineStr">
        <is>
          <t>3</t>
        </is>
      </c>
      <c r="D1205" t="n">
        <v>6</v>
      </c>
      <c r="E1205" s="19" t="inlineStr">
        <is>
          <t>18</t>
        </is>
      </c>
      <c r="F1205" t="n">
        <v>5</v>
      </c>
      <c r="G1205" t="b">
        <v>0</v>
      </c>
      <c r="H1205" t="inlineStr">
        <is>
          <t>UOM=ADT;WEIGHT_BASIS=PROCESSED_SOURCE_UNIT_WEIGHT;LINE_WEIGHT_KG=1.26;SOURCE_CFG=IA-ST-CFG-0212;SRC_REF=Row 260, Slot 8;SRC_FILE=Mamul Ambalaj Bileşen Listesi-30.07.2026(3).xlsx</t>
        </is>
      </c>
    </row>
    <row r="1206">
      <c r="A1206" s="19" t="inlineStr">
        <is>
          <t>1205</t>
        </is>
      </c>
      <c r="B1206" s="19" t="inlineStr">
        <is>
          <t>174</t>
        </is>
      </c>
      <c r="C1206" s="19" t="inlineStr">
        <is>
          <t>7</t>
        </is>
      </c>
      <c r="D1206" t="n">
        <v>5</v>
      </c>
      <c r="E1206" s="19" t="inlineStr">
        <is>
          <t>18</t>
        </is>
      </c>
      <c r="F1206" t="n">
        <v>6</v>
      </c>
      <c r="G1206" t="b">
        <v>0</v>
      </c>
      <c r="H1206" t="inlineStr">
        <is>
          <t>UOM=ADT;WEIGHT_BASIS=PROCESSED_SOURCE_UNIT_WEIGHT;LINE_WEIGHT_KG=1.35;SOURCE_CFG=IA-ST-CFG-0212;SRC_REF=Row 260, Slot 9;SRC_FILE=Mamul Ambalaj Bileşen Listesi-30.07.2026(3).xlsx</t>
        </is>
      </c>
    </row>
    <row r="1207">
      <c r="A1207" s="19" t="inlineStr">
        <is>
          <t>1206</t>
        </is>
      </c>
      <c r="B1207" s="19" t="inlineStr">
        <is>
          <t>174</t>
        </is>
      </c>
      <c r="C1207" s="19" t="inlineStr">
        <is>
          <t>81</t>
        </is>
      </c>
      <c r="D1207" t="n">
        <v>72</v>
      </c>
      <c r="E1207" s="19" t="inlineStr">
        <is>
          <t>18</t>
        </is>
      </c>
      <c r="F1207" t="n">
        <v>7</v>
      </c>
      <c r="G1207" t="b">
        <v>0</v>
      </c>
      <c r="H1207" t="inlineStr">
        <is>
          <t>UOM=ADT;WEIGHT_BASIS=PROCESSED_SOURCE_UNIT_WEIGHT;LINE_WEIGHT_KG=18.0;SOURCE_CFG=IA-ST-CFG-0212;SRC_REF=Row 260, Slot 10;SRC_FILE=Mamul Ambalaj Bileşen Listesi-30.07.2026(3).xlsx</t>
        </is>
      </c>
    </row>
    <row r="1208">
      <c r="A1208" s="19" t="inlineStr">
        <is>
          <t>1207</t>
        </is>
      </c>
      <c r="B1208" s="19" t="inlineStr">
        <is>
          <t>175</t>
        </is>
      </c>
      <c r="C1208" s="19" t="inlineStr">
        <is>
          <t>13</t>
        </is>
      </c>
      <c r="D1208" t="n">
        <v>14</v>
      </c>
      <c r="E1208" s="19" t="inlineStr">
        <is>
          <t>18</t>
        </is>
      </c>
      <c r="F1208" t="n">
        <v>1</v>
      </c>
      <c r="G1208" t="b">
        <v>0</v>
      </c>
      <c r="H1208" t="inlineStr">
        <is>
          <t>UOM=M;WEIGHT_BASIS=PROCESSED_SOURCE_UNIT_WEIGHT;LINE_WEIGHT_KG=0.1736;SOURCE_CFG=IA-ST-CFG-0213;SRC_REF=Row 1616, Slot 1;SRC_FILE=Mamul Ambalaj Bileşen Listesi-30.07.2026(3).xlsx</t>
        </is>
      </c>
    </row>
    <row r="1209">
      <c r="A1209" s="19" t="inlineStr">
        <is>
          <t>1208</t>
        </is>
      </c>
      <c r="B1209" s="19" t="inlineStr">
        <is>
          <t>175</t>
        </is>
      </c>
      <c r="C1209" s="19" t="inlineStr">
        <is>
          <t>5</t>
        </is>
      </c>
      <c r="D1209" t="n">
        <v>1</v>
      </c>
      <c r="E1209" s="19" t="inlineStr">
        <is>
          <t>18</t>
        </is>
      </c>
      <c r="F1209" t="n">
        <v>2</v>
      </c>
      <c r="G1209" t="b">
        <v>0</v>
      </c>
      <c r="H1209" t="inlineStr">
        <is>
          <t>UOM=ADT;WEIGHT_BASIS=PROCESSED_SOURCE_UNIT_WEIGHT;LINE_WEIGHT_KG=26.0;SOURCE_CFG=IA-ST-CFG-0213;SRC_REF=Row 1616, Slot 3;SRC_FILE=Mamul Ambalaj Bileşen Listesi-30.07.2026(3).xlsx</t>
        </is>
      </c>
    </row>
    <row r="1210">
      <c r="A1210" s="19" t="inlineStr">
        <is>
          <t>1209</t>
        </is>
      </c>
      <c r="B1210" s="19" t="inlineStr">
        <is>
          <t>175</t>
        </is>
      </c>
      <c r="C1210" s="19" t="inlineStr">
        <is>
          <t>8</t>
        </is>
      </c>
      <c r="D1210" t="n">
        <v>20</v>
      </c>
      <c r="E1210" s="19" t="inlineStr">
        <is>
          <t>18</t>
        </is>
      </c>
      <c r="F1210" t="n">
        <v>3</v>
      </c>
      <c r="G1210" t="b">
        <v>0</v>
      </c>
      <c r="H1210" t="inlineStr">
        <is>
          <t>UOM=M;WEIGHT_BASIS=PROCESSED_SOURCE_UNIT_WEIGHT;LINE_WEIGHT_KG=0.3664;SOURCE_CFG=IA-ST-CFG-0213;SRC_REF=Row 1616, Slot 5;SRC_FILE=Mamul Ambalaj Bileşen Listesi-30.07.2026(3).xlsx</t>
        </is>
      </c>
    </row>
    <row r="1211">
      <c r="A1211" s="19" t="inlineStr">
        <is>
          <t>1210</t>
        </is>
      </c>
      <c r="B1211" s="19" t="inlineStr">
        <is>
          <t>175</t>
        </is>
      </c>
      <c r="C1211" s="19" t="inlineStr">
        <is>
          <t>9</t>
        </is>
      </c>
      <c r="D1211" t="n">
        <v>0.186</v>
      </c>
      <c r="E1211" s="19" t="inlineStr">
        <is>
          <t>18</t>
        </is>
      </c>
      <c r="F1211" t="n">
        <v>4</v>
      </c>
      <c r="G1211" t="b">
        <v>0</v>
      </c>
      <c r="H1211" t="inlineStr">
        <is>
          <t>UOM=KG;WEIGHT_BASIS=RECIPE_QUANTITY_IS_KG;LINE_WEIGHT_KG=0.186;SOURCE_CFG=IA-ST-CFG-0213;SRC_REF=Row 1616, Slot 6;SRC_FILE=Mamul Ambalaj Bileşen Listesi-30.07.2026(3).xlsx</t>
        </is>
      </c>
    </row>
    <row r="1212">
      <c r="A1212" s="19" t="inlineStr">
        <is>
          <t>1211</t>
        </is>
      </c>
      <c r="B1212" s="19" t="inlineStr">
        <is>
          <t>175</t>
        </is>
      </c>
      <c r="C1212" s="19" t="inlineStr">
        <is>
          <t>3</t>
        </is>
      </c>
      <c r="D1212" t="n">
        <v>6</v>
      </c>
      <c r="E1212" s="19" t="inlineStr">
        <is>
          <t>18</t>
        </is>
      </c>
      <c r="F1212" t="n">
        <v>5</v>
      </c>
      <c r="G1212" t="b">
        <v>0</v>
      </c>
      <c r="H1212" t="inlineStr">
        <is>
          <t>UOM=ADT;WEIGHT_BASIS=PROCESSED_SOURCE_UNIT_WEIGHT;LINE_WEIGHT_KG=1.26;SOURCE_CFG=IA-ST-CFG-0213;SRC_REF=Row 1616, Slot 8;SRC_FILE=Mamul Ambalaj Bileşen Listesi-30.07.2026(3).xlsx</t>
        </is>
      </c>
    </row>
    <row r="1213">
      <c r="A1213" s="19" t="inlineStr">
        <is>
          <t>1212</t>
        </is>
      </c>
      <c r="B1213" s="19" t="inlineStr">
        <is>
          <t>175</t>
        </is>
      </c>
      <c r="C1213" s="19" t="inlineStr">
        <is>
          <t>7</t>
        </is>
      </c>
      <c r="D1213" t="n">
        <v>5</v>
      </c>
      <c r="E1213" s="19" t="inlineStr">
        <is>
          <t>18</t>
        </is>
      </c>
      <c r="F1213" t="n">
        <v>6</v>
      </c>
      <c r="G1213" t="b">
        <v>0</v>
      </c>
      <c r="H1213" t="inlineStr">
        <is>
          <t>UOM=ADT;WEIGHT_BASIS=PROCESSED_SOURCE_UNIT_WEIGHT;LINE_WEIGHT_KG=1.35;SOURCE_CFG=IA-ST-CFG-0213;SRC_REF=Row 1616, Slot 9;SRC_FILE=Mamul Ambalaj Bileşen Listesi-30.07.2026(3).xlsx</t>
        </is>
      </c>
    </row>
    <row r="1214">
      <c r="A1214" s="19" t="inlineStr">
        <is>
          <t>1213</t>
        </is>
      </c>
      <c r="B1214" s="19" t="inlineStr">
        <is>
          <t>175</t>
        </is>
      </c>
      <c r="C1214" s="19" t="inlineStr">
        <is>
          <t>98</t>
        </is>
      </c>
      <c r="D1214" t="n">
        <v>72</v>
      </c>
      <c r="E1214" s="19" t="inlineStr">
        <is>
          <t>18</t>
        </is>
      </c>
      <c r="F1214" t="n">
        <v>7</v>
      </c>
      <c r="G1214" t="b">
        <v>0</v>
      </c>
      <c r="H1214" t="inlineStr">
        <is>
          <t>UOM=ADT;WEIGHT_BASIS=PROCESSED_SOURCE_UNIT_WEIGHT;LINE_WEIGHT_KG=18.0;SOURCE_CFG=IA-ST-CFG-0213;SRC_REF=Row 1616, Slot 10;SRC_FILE=Mamul Ambalaj Bileşen Listesi-30.07.2026(3).xlsx</t>
        </is>
      </c>
    </row>
    <row r="1215">
      <c r="A1215" s="19" t="inlineStr">
        <is>
          <t>1214</t>
        </is>
      </c>
      <c r="B1215" s="19" t="inlineStr">
        <is>
          <t>176</t>
        </is>
      </c>
      <c r="C1215" s="19" t="inlineStr">
        <is>
          <t>13</t>
        </is>
      </c>
      <c r="D1215" t="n">
        <v>14</v>
      </c>
      <c r="E1215" s="19" t="inlineStr">
        <is>
          <t>18</t>
        </is>
      </c>
      <c r="F1215" t="n">
        <v>1</v>
      </c>
      <c r="G1215" t="b">
        <v>0</v>
      </c>
      <c r="H1215" t="inlineStr">
        <is>
          <t>UOM=M;WEIGHT_BASIS=PROCESSED_SOURCE_UNIT_WEIGHT;LINE_WEIGHT_KG=0.1736;SOURCE_CFG=IA-ST-CFG-0214;SRC_REF=Row 1350, Slot 1;SRC_FILE=Mamul Ambalaj Bileşen Listesi-30.07.2026(3).xlsx</t>
        </is>
      </c>
    </row>
    <row r="1216">
      <c r="A1216" s="19" t="inlineStr">
        <is>
          <t>1215</t>
        </is>
      </c>
      <c r="B1216" s="19" t="inlineStr">
        <is>
          <t>176</t>
        </is>
      </c>
      <c r="C1216" s="19" t="inlineStr">
        <is>
          <t>5</t>
        </is>
      </c>
      <c r="D1216" t="n">
        <v>1</v>
      </c>
      <c r="E1216" s="19" t="inlineStr">
        <is>
          <t>18</t>
        </is>
      </c>
      <c r="F1216" t="n">
        <v>2</v>
      </c>
      <c r="G1216" t="b">
        <v>0</v>
      </c>
      <c r="H1216" t="inlineStr">
        <is>
          <t>UOM=ADT;WEIGHT_BASIS=PROCESSED_SOURCE_UNIT_WEIGHT;LINE_WEIGHT_KG=26.0;SOURCE_CFG=IA-ST-CFG-0214;SRC_REF=Row 1350, Slot 3;SRC_FILE=Mamul Ambalaj Bileşen Listesi-30.07.2026(3).xlsx</t>
        </is>
      </c>
    </row>
    <row r="1217">
      <c r="A1217" s="19" t="inlineStr">
        <is>
          <t>1216</t>
        </is>
      </c>
      <c r="B1217" s="19" t="inlineStr">
        <is>
          <t>176</t>
        </is>
      </c>
      <c r="C1217" s="19" t="inlineStr">
        <is>
          <t>8</t>
        </is>
      </c>
      <c r="D1217" t="n">
        <v>20</v>
      </c>
      <c r="E1217" s="19" t="inlineStr">
        <is>
          <t>18</t>
        </is>
      </c>
      <c r="F1217" t="n">
        <v>3</v>
      </c>
      <c r="G1217" t="b">
        <v>0</v>
      </c>
      <c r="H1217" t="inlineStr">
        <is>
          <t>UOM=M;WEIGHT_BASIS=PROCESSED_SOURCE_UNIT_WEIGHT;LINE_WEIGHT_KG=0.3664;SOURCE_CFG=IA-ST-CFG-0214;SRC_REF=Row 1350, Slot 5;SRC_FILE=Mamul Ambalaj Bileşen Listesi-30.07.2026(3).xlsx</t>
        </is>
      </c>
    </row>
    <row r="1218">
      <c r="A1218" s="19" t="inlineStr">
        <is>
          <t>1217</t>
        </is>
      </c>
      <c r="B1218" s="19" t="inlineStr">
        <is>
          <t>176</t>
        </is>
      </c>
      <c r="C1218" s="19" t="inlineStr">
        <is>
          <t>9</t>
        </is>
      </c>
      <c r="D1218" t="n">
        <v>0.186</v>
      </c>
      <c r="E1218" s="19" t="inlineStr">
        <is>
          <t>18</t>
        </is>
      </c>
      <c r="F1218" t="n">
        <v>4</v>
      </c>
      <c r="G1218" t="b">
        <v>0</v>
      </c>
      <c r="H1218" t="inlineStr">
        <is>
          <t>UOM=KG;WEIGHT_BASIS=RECIPE_QUANTITY_IS_KG;LINE_WEIGHT_KG=0.186;SOURCE_CFG=IA-ST-CFG-0214;SRC_REF=Row 1350, Slot 6;SRC_FILE=Mamul Ambalaj Bileşen Listesi-30.07.2026(3).xlsx</t>
        </is>
      </c>
    </row>
    <row r="1219">
      <c r="A1219" s="19" t="inlineStr">
        <is>
          <t>1218</t>
        </is>
      </c>
      <c r="B1219" s="19" t="inlineStr">
        <is>
          <t>176</t>
        </is>
      </c>
      <c r="C1219" s="19" t="inlineStr">
        <is>
          <t>3</t>
        </is>
      </c>
      <c r="D1219" t="n">
        <v>8</v>
      </c>
      <c r="E1219" s="19" t="inlineStr">
        <is>
          <t>18</t>
        </is>
      </c>
      <c r="F1219" t="n">
        <v>5</v>
      </c>
      <c r="G1219" t="b">
        <v>0</v>
      </c>
      <c r="H1219" t="inlineStr">
        <is>
          <t>UOM=ADT;WEIGHT_BASIS=PROCESSED_SOURCE_UNIT_WEIGHT;LINE_WEIGHT_KG=1.68;SOURCE_CFG=IA-ST-CFG-0214;SRC_REF=Row 1350, Slot 8;SRC_FILE=Mamul Ambalaj Bileşen Listesi-30.07.2026(3).xlsx</t>
        </is>
      </c>
    </row>
    <row r="1220">
      <c r="A1220" s="19" t="inlineStr">
        <is>
          <t>1219</t>
        </is>
      </c>
      <c r="B1220" s="19" t="inlineStr">
        <is>
          <t>176</t>
        </is>
      </c>
      <c r="C1220" s="19" t="inlineStr">
        <is>
          <t>7</t>
        </is>
      </c>
      <c r="D1220" t="n">
        <v>4</v>
      </c>
      <c r="E1220" s="19" t="inlineStr">
        <is>
          <t>18</t>
        </is>
      </c>
      <c r="F1220" t="n">
        <v>6</v>
      </c>
      <c r="G1220" t="b">
        <v>0</v>
      </c>
      <c r="H1220" t="inlineStr">
        <is>
          <t>UOM=ADT;WEIGHT_BASIS=PROCESSED_SOURCE_UNIT_WEIGHT;LINE_WEIGHT_KG=1.08;SOURCE_CFG=IA-ST-CFG-0214;SRC_REF=Row 1350, Slot 9;SRC_FILE=Mamul Ambalaj Bileşen Listesi-30.07.2026(3).xlsx</t>
        </is>
      </c>
    </row>
    <row r="1221">
      <c r="A1221" s="19" t="inlineStr">
        <is>
          <t>1220</t>
        </is>
      </c>
      <c r="B1221" s="19" t="inlineStr">
        <is>
          <t>176</t>
        </is>
      </c>
      <c r="C1221" s="19" t="inlineStr">
        <is>
          <t>91</t>
        </is>
      </c>
      <c r="D1221" t="n">
        <v>72</v>
      </c>
      <c r="E1221" s="19" t="inlineStr">
        <is>
          <t>18</t>
        </is>
      </c>
      <c r="F1221" t="n">
        <v>7</v>
      </c>
      <c r="G1221" t="b">
        <v>0</v>
      </c>
      <c r="H1221" t="inlineStr">
        <is>
          <t>UOM=ADT;WEIGHT_BASIS=PROCESSED_SOURCE_UNIT_WEIGHT;LINE_WEIGHT_KG=17.28;SOURCE_CFG=IA-ST-CFG-0214;SRC_REF=Row 1350, Slot 10;SRC_FILE=Mamul Ambalaj Bileşen Listesi-30.07.2026(3).xlsx</t>
        </is>
      </c>
    </row>
    <row r="1222">
      <c r="A1222" s="19" t="inlineStr">
        <is>
          <t>1221</t>
        </is>
      </c>
      <c r="B1222" s="19" t="inlineStr">
        <is>
          <t>177</t>
        </is>
      </c>
      <c r="C1222" s="19" t="inlineStr">
        <is>
          <t>13</t>
        </is>
      </c>
      <c r="D1222" t="n">
        <v>14</v>
      </c>
      <c r="E1222" s="19" t="inlineStr">
        <is>
          <t>18</t>
        </is>
      </c>
      <c r="F1222" t="n">
        <v>1</v>
      </c>
      <c r="G1222" t="b">
        <v>0</v>
      </c>
      <c r="H1222" t="inlineStr">
        <is>
          <t>UOM=M;WEIGHT_BASIS=PROCESSED_SOURCE_UNIT_WEIGHT;LINE_WEIGHT_KG=0.1736;SOURCE_CFG=IA-ST-CFG-0215;SRC_REF=Row 1510, Slot 1;SRC_FILE=Mamul Ambalaj Bileşen Listesi-30.07.2026(3).xlsx</t>
        </is>
      </c>
    </row>
    <row r="1223">
      <c r="A1223" s="19" t="inlineStr">
        <is>
          <t>1222</t>
        </is>
      </c>
      <c r="B1223" s="19" t="inlineStr">
        <is>
          <t>177</t>
        </is>
      </c>
      <c r="C1223" s="19" t="inlineStr">
        <is>
          <t>5</t>
        </is>
      </c>
      <c r="D1223" t="n">
        <v>1</v>
      </c>
      <c r="E1223" s="19" t="inlineStr">
        <is>
          <t>18</t>
        </is>
      </c>
      <c r="F1223" t="n">
        <v>2</v>
      </c>
      <c r="G1223" t="b">
        <v>0</v>
      </c>
      <c r="H1223" t="inlineStr">
        <is>
          <t>UOM=ADT;WEIGHT_BASIS=PROCESSED_SOURCE_UNIT_WEIGHT;LINE_WEIGHT_KG=26.0;SOURCE_CFG=IA-ST-CFG-0215;SRC_REF=Row 1510, Slot 3;SRC_FILE=Mamul Ambalaj Bileşen Listesi-30.07.2026(3).xlsx</t>
        </is>
      </c>
    </row>
    <row r="1224">
      <c r="A1224" s="19" t="inlineStr">
        <is>
          <t>1223</t>
        </is>
      </c>
      <c r="B1224" s="19" t="inlineStr">
        <is>
          <t>177</t>
        </is>
      </c>
      <c r="C1224" s="19" t="inlineStr">
        <is>
          <t>8</t>
        </is>
      </c>
      <c r="D1224" t="n">
        <v>20</v>
      </c>
      <c r="E1224" s="19" t="inlineStr">
        <is>
          <t>18</t>
        </is>
      </c>
      <c r="F1224" t="n">
        <v>3</v>
      </c>
      <c r="G1224" t="b">
        <v>0</v>
      </c>
      <c r="H1224" t="inlineStr">
        <is>
          <t>UOM=M;WEIGHT_BASIS=PROCESSED_SOURCE_UNIT_WEIGHT;LINE_WEIGHT_KG=0.3664;SOURCE_CFG=IA-ST-CFG-0215;SRC_REF=Row 1510, Slot 5;SRC_FILE=Mamul Ambalaj Bileşen Listesi-30.07.2026(3).xlsx</t>
        </is>
      </c>
    </row>
    <row r="1225">
      <c r="A1225" s="19" t="inlineStr">
        <is>
          <t>1224</t>
        </is>
      </c>
      <c r="B1225" s="19" t="inlineStr">
        <is>
          <t>177</t>
        </is>
      </c>
      <c r="C1225" s="19" t="inlineStr">
        <is>
          <t>9</t>
        </is>
      </c>
      <c r="D1225" t="n">
        <v>0.186</v>
      </c>
      <c r="E1225" s="19" t="inlineStr">
        <is>
          <t>18</t>
        </is>
      </c>
      <c r="F1225" t="n">
        <v>4</v>
      </c>
      <c r="G1225" t="b">
        <v>0</v>
      </c>
      <c r="H1225" t="inlineStr">
        <is>
          <t>UOM=KG;WEIGHT_BASIS=RECIPE_QUANTITY_IS_KG;LINE_WEIGHT_KG=0.186;SOURCE_CFG=IA-ST-CFG-0215;SRC_REF=Row 1510, Slot 6;SRC_FILE=Mamul Ambalaj Bileşen Listesi-30.07.2026(3).xlsx</t>
        </is>
      </c>
    </row>
    <row r="1226">
      <c r="A1226" s="19" t="inlineStr">
        <is>
          <t>1225</t>
        </is>
      </c>
      <c r="B1226" s="19" t="inlineStr">
        <is>
          <t>177</t>
        </is>
      </c>
      <c r="C1226" s="19" t="inlineStr">
        <is>
          <t>3</t>
        </is>
      </c>
      <c r="D1226" t="n">
        <v>8</v>
      </c>
      <c r="E1226" s="19" t="inlineStr">
        <is>
          <t>18</t>
        </is>
      </c>
      <c r="F1226" t="n">
        <v>5</v>
      </c>
      <c r="G1226" t="b">
        <v>0</v>
      </c>
      <c r="H1226" t="inlineStr">
        <is>
          <t>UOM=ADT;WEIGHT_BASIS=PROCESSED_SOURCE_UNIT_WEIGHT;LINE_WEIGHT_KG=1.68;SOURCE_CFG=IA-ST-CFG-0215;SRC_REF=Row 1510, Slot 8;SRC_FILE=Mamul Ambalaj Bileşen Listesi-30.07.2026(3).xlsx</t>
        </is>
      </c>
    </row>
    <row r="1227">
      <c r="A1227" s="19" t="inlineStr">
        <is>
          <t>1226</t>
        </is>
      </c>
      <c r="B1227" s="19" t="inlineStr">
        <is>
          <t>177</t>
        </is>
      </c>
      <c r="C1227" s="19" t="inlineStr">
        <is>
          <t>7</t>
        </is>
      </c>
      <c r="D1227" t="n">
        <v>5</v>
      </c>
      <c r="E1227" s="19" t="inlineStr">
        <is>
          <t>18</t>
        </is>
      </c>
      <c r="F1227" t="n">
        <v>6</v>
      </c>
      <c r="G1227" t="b">
        <v>0</v>
      </c>
      <c r="H1227" t="inlineStr">
        <is>
          <t>UOM=ADT;WEIGHT_BASIS=PROCESSED_SOURCE_UNIT_WEIGHT;LINE_WEIGHT_KG=1.35;SOURCE_CFG=IA-ST-CFG-0215;SRC_REF=Row 1510, Slot 9;SRC_FILE=Mamul Ambalaj Bileşen Listesi-30.07.2026(3).xlsx</t>
        </is>
      </c>
    </row>
    <row r="1228">
      <c r="A1228" s="19" t="inlineStr">
        <is>
          <t>1227</t>
        </is>
      </c>
      <c r="B1228" s="19" t="inlineStr">
        <is>
          <t>177</t>
        </is>
      </c>
      <c r="C1228" s="19" t="inlineStr">
        <is>
          <t>40</t>
        </is>
      </c>
      <c r="D1228" t="n">
        <v>72</v>
      </c>
      <c r="E1228" s="19" t="inlineStr">
        <is>
          <t>18</t>
        </is>
      </c>
      <c r="F1228" t="n">
        <v>7</v>
      </c>
      <c r="G1228" t="b">
        <v>0</v>
      </c>
      <c r="H1228" t="inlineStr">
        <is>
          <t>UOM=ADT;WEIGHT_BASIS=PROCESSED_SOURCE_UNIT_WEIGHT;LINE_WEIGHT_KG=18.0;SOURCE_CFG=IA-ST-CFG-0215;SRC_REF=Row 1510, Slot 10;SRC_FILE=Mamul Ambalaj Bileşen Listesi-30.07.2026(3).xlsx</t>
        </is>
      </c>
    </row>
    <row r="1229">
      <c r="A1229" s="19" t="inlineStr">
        <is>
          <t>1228</t>
        </is>
      </c>
      <c r="B1229" s="19" t="inlineStr">
        <is>
          <t>178</t>
        </is>
      </c>
      <c r="C1229" s="19" t="inlineStr">
        <is>
          <t>13</t>
        </is>
      </c>
      <c r="D1229" t="n">
        <v>14</v>
      </c>
      <c r="E1229" s="19" t="inlineStr">
        <is>
          <t>18</t>
        </is>
      </c>
      <c r="F1229" t="n">
        <v>1</v>
      </c>
      <c r="G1229" t="b">
        <v>0</v>
      </c>
      <c r="H1229" t="inlineStr">
        <is>
          <t>UOM=M;WEIGHT_BASIS=PROCESSED_SOURCE_UNIT_WEIGHT;LINE_WEIGHT_KG=0.1736;SOURCE_CFG=IA-ST-CFG-0216;SRC_REF=Row 1146, Slot 1;SRC_FILE=Mamul Ambalaj Bileşen Listesi-30.07.2026(3).xlsx</t>
        </is>
      </c>
    </row>
    <row r="1230">
      <c r="A1230" s="19" t="inlineStr">
        <is>
          <t>1229</t>
        </is>
      </c>
      <c r="B1230" s="19" t="inlineStr">
        <is>
          <t>178</t>
        </is>
      </c>
      <c r="C1230" s="19" t="inlineStr">
        <is>
          <t>5</t>
        </is>
      </c>
      <c r="D1230" t="n">
        <v>1</v>
      </c>
      <c r="E1230" s="19" t="inlineStr">
        <is>
          <t>18</t>
        </is>
      </c>
      <c r="F1230" t="n">
        <v>2</v>
      </c>
      <c r="G1230" t="b">
        <v>0</v>
      </c>
      <c r="H1230" t="inlineStr">
        <is>
          <t>UOM=ADT;WEIGHT_BASIS=PROCESSED_SOURCE_UNIT_WEIGHT;LINE_WEIGHT_KG=26.0;SOURCE_CFG=IA-ST-CFG-0216;SRC_REF=Row 1146, Slot 3;SRC_FILE=Mamul Ambalaj Bileşen Listesi-30.07.2026(3).xlsx</t>
        </is>
      </c>
    </row>
    <row r="1231">
      <c r="A1231" s="19" t="inlineStr">
        <is>
          <t>1230</t>
        </is>
      </c>
      <c r="B1231" s="19" t="inlineStr">
        <is>
          <t>178</t>
        </is>
      </c>
      <c r="C1231" s="19" t="inlineStr">
        <is>
          <t>8</t>
        </is>
      </c>
      <c r="D1231" t="n">
        <v>20</v>
      </c>
      <c r="E1231" s="19" t="inlineStr">
        <is>
          <t>18</t>
        </is>
      </c>
      <c r="F1231" t="n">
        <v>3</v>
      </c>
      <c r="G1231" t="b">
        <v>0</v>
      </c>
      <c r="H1231" t="inlineStr">
        <is>
          <t>UOM=M;WEIGHT_BASIS=PROCESSED_SOURCE_UNIT_WEIGHT;LINE_WEIGHT_KG=0.3664;SOURCE_CFG=IA-ST-CFG-0216;SRC_REF=Row 1146, Slot 5;SRC_FILE=Mamul Ambalaj Bileşen Listesi-30.07.2026(3).xlsx</t>
        </is>
      </c>
    </row>
    <row r="1232">
      <c r="A1232" s="19" t="inlineStr">
        <is>
          <t>1231</t>
        </is>
      </c>
      <c r="B1232" s="19" t="inlineStr">
        <is>
          <t>178</t>
        </is>
      </c>
      <c r="C1232" s="19" t="inlineStr">
        <is>
          <t>9</t>
        </is>
      </c>
      <c r="D1232" t="n">
        <v>0.186</v>
      </c>
      <c r="E1232" s="19" t="inlineStr">
        <is>
          <t>18</t>
        </is>
      </c>
      <c r="F1232" t="n">
        <v>4</v>
      </c>
      <c r="G1232" t="b">
        <v>0</v>
      </c>
      <c r="H1232" t="inlineStr">
        <is>
          <t>UOM=KG;WEIGHT_BASIS=RECIPE_QUANTITY_IS_KG;LINE_WEIGHT_KG=0.186;SOURCE_CFG=IA-ST-CFG-0216;SRC_REF=Row 1146, Slot 6;SRC_FILE=Mamul Ambalaj Bileşen Listesi-30.07.2026(3).xlsx</t>
        </is>
      </c>
    </row>
    <row r="1233">
      <c r="A1233" s="19" t="inlineStr">
        <is>
          <t>1232</t>
        </is>
      </c>
      <c r="B1233" s="19" t="inlineStr">
        <is>
          <t>178</t>
        </is>
      </c>
      <c r="C1233" s="19" t="inlineStr">
        <is>
          <t>3</t>
        </is>
      </c>
      <c r="D1233" t="n">
        <v>8</v>
      </c>
      <c r="E1233" s="19" t="inlineStr">
        <is>
          <t>18</t>
        </is>
      </c>
      <c r="F1233" t="n">
        <v>5</v>
      </c>
      <c r="G1233" t="b">
        <v>0</v>
      </c>
      <c r="H1233" t="inlineStr">
        <is>
          <t>UOM=ADT;WEIGHT_BASIS=PROCESSED_SOURCE_UNIT_WEIGHT;LINE_WEIGHT_KG=1.68;SOURCE_CFG=IA-ST-CFG-0216;SRC_REF=Row 1146, Slot 8;SRC_FILE=Mamul Ambalaj Bileşen Listesi-30.07.2026(3).xlsx</t>
        </is>
      </c>
    </row>
    <row r="1234">
      <c r="A1234" s="19" t="inlineStr">
        <is>
          <t>1233</t>
        </is>
      </c>
      <c r="B1234" s="19" t="inlineStr">
        <is>
          <t>178</t>
        </is>
      </c>
      <c r="C1234" s="19" t="inlineStr">
        <is>
          <t>7</t>
        </is>
      </c>
      <c r="D1234" t="n">
        <v>5</v>
      </c>
      <c r="E1234" s="19" t="inlineStr">
        <is>
          <t>18</t>
        </is>
      </c>
      <c r="F1234" t="n">
        <v>6</v>
      </c>
      <c r="G1234" t="b">
        <v>0</v>
      </c>
      <c r="H1234" t="inlineStr">
        <is>
          <t>UOM=ADT;WEIGHT_BASIS=PROCESSED_SOURCE_UNIT_WEIGHT;LINE_WEIGHT_KG=1.35;SOURCE_CFG=IA-ST-CFG-0216;SRC_REF=Row 1146, Slot 9;SRC_FILE=Mamul Ambalaj Bileşen Listesi-30.07.2026(3).xlsx</t>
        </is>
      </c>
    </row>
    <row r="1235">
      <c r="A1235" s="19" t="inlineStr">
        <is>
          <t>1234</t>
        </is>
      </c>
      <c r="B1235" s="19" t="inlineStr">
        <is>
          <t>178</t>
        </is>
      </c>
      <c r="C1235" s="19" t="inlineStr">
        <is>
          <t>60</t>
        </is>
      </c>
      <c r="D1235" t="n">
        <v>72</v>
      </c>
      <c r="E1235" s="19" t="inlineStr">
        <is>
          <t>18</t>
        </is>
      </c>
      <c r="F1235" t="n">
        <v>7</v>
      </c>
      <c r="G1235" t="b">
        <v>0</v>
      </c>
      <c r="H1235" t="inlineStr">
        <is>
          <t>UOM=ADT;WEIGHT_BASIS=PROCESSED_SOURCE_UNIT_WEIGHT;LINE_WEIGHT_KG=20.88;SOURCE_CFG=IA-ST-CFG-0216;SRC_REF=Row 1146, Slot 10;SRC_FILE=Mamul Ambalaj Bileşen Listesi-30.07.2026(3).xlsx</t>
        </is>
      </c>
    </row>
    <row r="1236">
      <c r="A1236" s="19" t="inlineStr">
        <is>
          <t>1235</t>
        </is>
      </c>
      <c r="B1236" s="19" t="inlineStr">
        <is>
          <t>179</t>
        </is>
      </c>
      <c r="C1236" s="19" t="inlineStr">
        <is>
          <t>11</t>
        </is>
      </c>
      <c r="D1236" t="n">
        <v>3</v>
      </c>
      <c r="E1236" s="19" t="inlineStr">
        <is>
          <t>18</t>
        </is>
      </c>
      <c r="F1236" t="n">
        <v>1</v>
      </c>
      <c r="G1236" t="b">
        <v>0</v>
      </c>
      <c r="H1236" t="inlineStr">
        <is>
          <t>UOM=ADT;WEIGHT_BASIS=PROCESSED_SOURCE_UNIT_WEIGHT;LINE_WEIGHT_KG=0.312;SOURCE_CFG=IA-ST-CFG-0217;SRC_REF=Row 2001, Slot 1;SRC_FILE=Mamul Ambalaj Bileşen Listesi-30.07.2026(3).xlsx</t>
        </is>
      </c>
    </row>
    <row r="1237">
      <c r="A1237" s="19" t="inlineStr">
        <is>
          <t>1236</t>
        </is>
      </c>
      <c r="B1237" s="19" t="inlineStr">
        <is>
          <t>179</t>
        </is>
      </c>
      <c r="C1237" s="19" t="inlineStr">
        <is>
          <t>13</t>
        </is>
      </c>
      <c r="D1237" t="n">
        <v>14</v>
      </c>
      <c r="E1237" s="19" t="inlineStr">
        <is>
          <t>18</t>
        </is>
      </c>
      <c r="F1237" t="n">
        <v>2</v>
      </c>
      <c r="G1237" t="b">
        <v>0</v>
      </c>
      <c r="H1237" t="inlineStr">
        <is>
          <t>UOM=M;WEIGHT_BASIS=PROCESSED_SOURCE_UNIT_WEIGHT;LINE_WEIGHT_KG=0.1736;SOURCE_CFG=IA-ST-CFG-0217;SRC_REF=Row 2001, Slot 2;SRC_FILE=Mamul Ambalaj Bileşen Listesi-30.07.2026(3).xlsx</t>
        </is>
      </c>
    </row>
    <row r="1238">
      <c r="A1238" s="19" t="inlineStr">
        <is>
          <t>1237</t>
        </is>
      </c>
      <c r="B1238" s="19" t="inlineStr">
        <is>
          <t>179</t>
        </is>
      </c>
      <c r="C1238" s="19" t="inlineStr">
        <is>
          <t>5</t>
        </is>
      </c>
      <c r="D1238" t="n">
        <v>1</v>
      </c>
      <c r="E1238" s="19" t="inlineStr">
        <is>
          <t>18</t>
        </is>
      </c>
      <c r="F1238" t="n">
        <v>3</v>
      </c>
      <c r="G1238" t="b">
        <v>0</v>
      </c>
      <c r="H1238" t="inlineStr">
        <is>
          <t>UOM=ADT;WEIGHT_BASIS=PROCESSED_SOURCE_UNIT_WEIGHT;LINE_WEIGHT_KG=26.0;SOURCE_CFG=IA-ST-CFG-0217;SRC_REF=Row 2001, Slot 3;SRC_FILE=Mamul Ambalaj Bileşen Listesi-30.07.2026(3).xlsx</t>
        </is>
      </c>
    </row>
    <row r="1239">
      <c r="A1239" s="19" t="inlineStr">
        <is>
          <t>1238</t>
        </is>
      </c>
      <c r="B1239" s="19" t="inlineStr">
        <is>
          <t>179</t>
        </is>
      </c>
      <c r="C1239" s="19" t="inlineStr">
        <is>
          <t>8</t>
        </is>
      </c>
      <c r="D1239" t="n">
        <v>20</v>
      </c>
      <c r="E1239" s="19" t="inlineStr">
        <is>
          <t>18</t>
        </is>
      </c>
      <c r="F1239" t="n">
        <v>4</v>
      </c>
      <c r="G1239" t="b">
        <v>0</v>
      </c>
      <c r="H1239" t="inlineStr">
        <is>
          <t>UOM=M;WEIGHT_BASIS=PROCESSED_SOURCE_UNIT_WEIGHT;LINE_WEIGHT_KG=0.3664;SOURCE_CFG=IA-ST-CFG-0217;SRC_REF=Row 2001, Slot 5;SRC_FILE=Mamul Ambalaj Bileşen Listesi-30.07.2026(3).xlsx</t>
        </is>
      </c>
    </row>
    <row r="1240">
      <c r="A1240" s="19" t="inlineStr">
        <is>
          <t>1239</t>
        </is>
      </c>
      <c r="B1240" s="19" t="inlineStr">
        <is>
          <t>179</t>
        </is>
      </c>
      <c r="C1240" s="19" t="inlineStr">
        <is>
          <t>9</t>
        </is>
      </c>
      <c r="D1240" t="n">
        <v>0.186</v>
      </c>
      <c r="E1240" s="19" t="inlineStr">
        <is>
          <t>18</t>
        </is>
      </c>
      <c r="F1240" t="n">
        <v>5</v>
      </c>
      <c r="G1240" t="b">
        <v>0</v>
      </c>
      <c r="H1240" t="inlineStr">
        <is>
          <t>UOM=KG;WEIGHT_BASIS=RECIPE_QUANTITY_IS_KG;LINE_WEIGHT_KG=0.186;SOURCE_CFG=IA-ST-CFG-0217;SRC_REF=Row 2001, Slot 6;SRC_FILE=Mamul Ambalaj Bileşen Listesi-30.07.2026(3).xlsx</t>
        </is>
      </c>
    </row>
    <row r="1241">
      <c r="A1241" s="19" t="inlineStr">
        <is>
          <t>1240</t>
        </is>
      </c>
      <c r="B1241" s="19" t="inlineStr">
        <is>
          <t>179</t>
        </is>
      </c>
      <c r="C1241" s="19" t="inlineStr">
        <is>
          <t>7</t>
        </is>
      </c>
      <c r="D1241" t="n">
        <v>1</v>
      </c>
      <c r="E1241" s="19" t="inlineStr">
        <is>
          <t>18</t>
        </is>
      </c>
      <c r="F1241" t="n">
        <v>6</v>
      </c>
      <c r="G1241" t="b">
        <v>0</v>
      </c>
      <c r="H1241" t="inlineStr">
        <is>
          <t>UOM=ADT;WEIGHT_BASIS=PROCESSED_SOURCE_UNIT_WEIGHT;LINE_WEIGHT_KG=0.27;SOURCE_CFG=IA-ST-CFG-0217;SRC_REF=Row 2001, Slot 8;SRC_FILE=Mamul Ambalaj Bileşen Listesi-30.07.2026(3).xlsx</t>
        </is>
      </c>
    </row>
    <row r="1242">
      <c r="A1242" s="19" t="inlineStr">
        <is>
          <t>1241</t>
        </is>
      </c>
      <c r="B1242" s="19" t="inlineStr">
        <is>
          <t>179</t>
        </is>
      </c>
      <c r="C1242" s="19" t="inlineStr">
        <is>
          <t>25</t>
        </is>
      </c>
      <c r="D1242" t="n">
        <v>4</v>
      </c>
      <c r="E1242" s="19" t="inlineStr">
        <is>
          <t>18</t>
        </is>
      </c>
      <c r="F1242" t="n">
        <v>7</v>
      </c>
      <c r="G1242" t="b">
        <v>0</v>
      </c>
      <c r="H1242" t="inlineStr">
        <is>
          <t>UOM=ADT;WEIGHT_BASIS=PROCESSED_SOURCE_UNIT_WEIGHT;LINE_WEIGHT_KG=0.4;SOURCE_CFG=IA-ST-CFG-0217;SRC_REF=Row 2001, Slot 9;SRC_FILE=Mamul Ambalaj Bileşen Listesi-30.07.2026(3).xlsx</t>
        </is>
      </c>
    </row>
    <row r="1243">
      <c r="A1243" s="19" t="inlineStr">
        <is>
          <t>1242</t>
        </is>
      </c>
      <c r="B1243" s="19" t="inlineStr">
        <is>
          <t>180</t>
        </is>
      </c>
      <c r="C1243" s="19" t="inlineStr">
        <is>
          <t>13</t>
        </is>
      </c>
      <c r="D1243" t="n">
        <v>14</v>
      </c>
      <c r="E1243" s="19" t="inlineStr">
        <is>
          <t>18</t>
        </is>
      </c>
      <c r="F1243" t="n">
        <v>1</v>
      </c>
      <c r="G1243" t="b">
        <v>0</v>
      </c>
      <c r="H1243" t="inlineStr">
        <is>
          <t>UOM=M;WEIGHT_BASIS=PROCESSED_SOURCE_UNIT_WEIGHT;LINE_WEIGHT_KG=0.1736;SOURCE_CFG=IA-ST-CFG-0218;SRC_REF=Row 1386, Slot 1;SRC_FILE=Mamul Ambalaj Bileşen Listesi-30.07.2026(3).xlsx</t>
        </is>
      </c>
    </row>
    <row r="1244">
      <c r="A1244" s="19" t="inlineStr">
        <is>
          <t>1243</t>
        </is>
      </c>
      <c r="B1244" s="19" t="inlineStr">
        <is>
          <t>180</t>
        </is>
      </c>
      <c r="C1244" s="19" t="inlineStr">
        <is>
          <t>5</t>
        </is>
      </c>
      <c r="D1244" t="n">
        <v>1</v>
      </c>
      <c r="E1244" s="19" t="inlineStr">
        <is>
          <t>18</t>
        </is>
      </c>
      <c r="F1244" t="n">
        <v>2</v>
      </c>
      <c r="G1244" t="b">
        <v>0</v>
      </c>
      <c r="H1244" t="inlineStr">
        <is>
          <t>UOM=ADT;WEIGHT_BASIS=PROCESSED_SOURCE_UNIT_WEIGHT;LINE_WEIGHT_KG=26.0;SOURCE_CFG=IA-ST-CFG-0218;SRC_REF=Row 1386, Slot 3;SRC_FILE=Mamul Ambalaj Bileşen Listesi-30.07.2026(3).xlsx</t>
        </is>
      </c>
    </row>
    <row r="1245">
      <c r="A1245" s="19" t="inlineStr">
        <is>
          <t>1244</t>
        </is>
      </c>
      <c r="B1245" s="19" t="inlineStr">
        <is>
          <t>180</t>
        </is>
      </c>
      <c r="C1245" s="19" t="inlineStr">
        <is>
          <t>8</t>
        </is>
      </c>
      <c r="D1245" t="n">
        <v>20</v>
      </c>
      <c r="E1245" s="19" t="inlineStr">
        <is>
          <t>18</t>
        </is>
      </c>
      <c r="F1245" t="n">
        <v>3</v>
      </c>
      <c r="G1245" t="b">
        <v>0</v>
      </c>
      <c r="H1245" t="inlineStr">
        <is>
          <t>UOM=M;WEIGHT_BASIS=PROCESSED_SOURCE_UNIT_WEIGHT;LINE_WEIGHT_KG=0.3664;SOURCE_CFG=IA-ST-CFG-0218;SRC_REF=Row 1386, Slot 5;SRC_FILE=Mamul Ambalaj Bileşen Listesi-30.07.2026(3).xlsx</t>
        </is>
      </c>
    </row>
    <row r="1246">
      <c r="A1246" s="19" t="inlineStr">
        <is>
          <t>1245</t>
        </is>
      </c>
      <c r="B1246" s="19" t="inlineStr">
        <is>
          <t>180</t>
        </is>
      </c>
      <c r="C1246" s="19" t="inlineStr">
        <is>
          <t>9</t>
        </is>
      </c>
      <c r="D1246" t="n">
        <v>0.186</v>
      </c>
      <c r="E1246" s="19" t="inlineStr">
        <is>
          <t>18</t>
        </is>
      </c>
      <c r="F1246" t="n">
        <v>4</v>
      </c>
      <c r="G1246" t="b">
        <v>0</v>
      </c>
      <c r="H1246" t="inlineStr">
        <is>
          <t>UOM=KG;WEIGHT_BASIS=RECIPE_QUANTITY_IS_KG;LINE_WEIGHT_KG=0.186;SOURCE_CFG=IA-ST-CFG-0218;SRC_REF=Row 1386, Slot 6;SRC_FILE=Mamul Ambalaj Bileşen Listesi-30.07.2026(3).xlsx</t>
        </is>
      </c>
    </row>
    <row r="1247">
      <c r="A1247" s="19" t="inlineStr">
        <is>
          <t>1246</t>
        </is>
      </c>
      <c r="B1247" s="19" t="inlineStr">
        <is>
          <t>180</t>
        </is>
      </c>
      <c r="C1247" s="19" t="inlineStr">
        <is>
          <t>23</t>
        </is>
      </c>
      <c r="D1247" t="n">
        <v>2.736</v>
      </c>
      <c r="E1247" s="19" t="inlineStr">
        <is>
          <t>18</t>
        </is>
      </c>
      <c r="F1247" t="n">
        <v>5</v>
      </c>
      <c r="G1247" t="b">
        <v>0</v>
      </c>
      <c r="H1247" t="inlineStr">
        <is>
          <t>UOM=KG;WEIGHT_BASIS=RECIPE_QUANTITY_IS_KG;LINE_WEIGHT_KG=2.736;SOURCE_CFG=IA-ST-CFG-0218;SRC_REF=Row 1386, Slot 7;SRC_FILE=Mamul Ambalaj Bileşen Listesi-30.07.2026(3).xlsx</t>
        </is>
      </c>
    </row>
    <row r="1248">
      <c r="A1248" s="19" t="inlineStr">
        <is>
          <t>1247</t>
        </is>
      </c>
      <c r="B1248" s="19" t="inlineStr">
        <is>
          <t>180</t>
        </is>
      </c>
      <c r="C1248" s="19" t="inlineStr">
        <is>
          <t>7</t>
        </is>
      </c>
      <c r="D1248" t="n">
        <v>4</v>
      </c>
      <c r="E1248" s="19" t="inlineStr">
        <is>
          <t>18</t>
        </is>
      </c>
      <c r="F1248" t="n">
        <v>6</v>
      </c>
      <c r="G1248" t="b">
        <v>0</v>
      </c>
      <c r="H1248" t="inlineStr">
        <is>
          <t>UOM=ADT;WEIGHT_BASIS=PROCESSED_SOURCE_UNIT_WEIGHT;LINE_WEIGHT_KG=1.08;SOURCE_CFG=IA-ST-CFG-0218;SRC_REF=Row 1386, Slot 8;SRC_FILE=Mamul Ambalaj Bileşen Listesi-30.07.2026(3).xlsx</t>
        </is>
      </c>
    </row>
    <row r="1249">
      <c r="A1249" s="19" t="inlineStr">
        <is>
          <t>1248</t>
        </is>
      </c>
      <c r="B1249" s="19" t="inlineStr">
        <is>
          <t>180</t>
        </is>
      </c>
      <c r="C1249" s="19" t="inlineStr">
        <is>
          <t>25</t>
        </is>
      </c>
      <c r="D1249" t="n">
        <v>4</v>
      </c>
      <c r="E1249" s="19" t="inlineStr">
        <is>
          <t>18</t>
        </is>
      </c>
      <c r="F1249" t="n">
        <v>7</v>
      </c>
      <c r="G1249" t="b">
        <v>0</v>
      </c>
      <c r="H1249" t="inlineStr">
        <is>
          <t>UOM=ADT;WEIGHT_BASIS=PROCESSED_SOURCE_UNIT_WEIGHT;LINE_WEIGHT_KG=0.4;SOURCE_CFG=IA-ST-CFG-0218;SRC_REF=Row 1386, Slot 9;SRC_FILE=Mamul Ambalaj Bileşen Listesi-30.07.2026(3).xlsx</t>
        </is>
      </c>
    </row>
    <row r="1250">
      <c r="A1250" s="19" t="inlineStr">
        <is>
          <t>1249</t>
        </is>
      </c>
      <c r="B1250" s="19" t="inlineStr">
        <is>
          <t>181</t>
        </is>
      </c>
      <c r="C1250" s="19" t="inlineStr">
        <is>
          <t>13</t>
        </is>
      </c>
      <c r="D1250" t="n">
        <v>7</v>
      </c>
      <c r="E1250" s="19" t="inlineStr">
        <is>
          <t>18</t>
        </is>
      </c>
      <c r="F1250" t="n">
        <v>1</v>
      </c>
      <c r="G1250" t="b">
        <v>0</v>
      </c>
      <c r="H1250" t="inlineStr">
        <is>
          <t>UOM=M;WEIGHT_BASIS=PROCESSED_SOURCE_UNIT_WEIGHT;LINE_WEIGHT_KG=0.0868;SOURCE_CFG=IA-ST-CFG-0219;SRC_REF=Row 137, Slot 1;SRC_FILE=Mamul Ambalaj Bileşen Listesi-30.07.2026(3).xlsx</t>
        </is>
      </c>
    </row>
    <row r="1251">
      <c r="A1251" s="19" t="inlineStr">
        <is>
          <t>1250</t>
        </is>
      </c>
      <c r="B1251" s="19" t="inlineStr">
        <is>
          <t>181</t>
        </is>
      </c>
      <c r="C1251" s="19" t="inlineStr">
        <is>
          <t>14</t>
        </is>
      </c>
      <c r="D1251" t="n">
        <v>72</v>
      </c>
      <c r="E1251" s="19" t="inlineStr">
        <is>
          <t>18</t>
        </is>
      </c>
      <c r="F1251" t="n">
        <v>2</v>
      </c>
      <c r="G1251" t="b">
        <v>0</v>
      </c>
      <c r="H1251" t="inlineStr">
        <is>
          <t>UOM=ADT;WEIGHT_BASIS=SOURCE_UNIT_WEIGHT;LINE_WEIGHT_KG=3.67704;SOURCE_CFG=IA-ST-CFG-0219;SRC_REF=Row 137, Slot 2;SRC_FILE=Mamul Ambalaj Bileşen Listesi-30.07.2026(3).xlsx</t>
        </is>
      </c>
    </row>
    <row r="1252">
      <c r="A1252" s="19" t="inlineStr">
        <is>
          <t>1251</t>
        </is>
      </c>
      <c r="B1252" s="19" t="inlineStr">
        <is>
          <t>181</t>
        </is>
      </c>
      <c r="C1252" s="19" t="inlineStr">
        <is>
          <t>5</t>
        </is>
      </c>
      <c r="D1252" t="n">
        <v>1</v>
      </c>
      <c r="E1252" s="19" t="inlineStr">
        <is>
          <t>18</t>
        </is>
      </c>
      <c r="F1252" t="n">
        <v>3</v>
      </c>
      <c r="G1252" t="b">
        <v>0</v>
      </c>
      <c r="H1252" t="inlineStr">
        <is>
          <t>UOM=ADT;WEIGHT_BASIS=PROCESSED_SOURCE_UNIT_WEIGHT;LINE_WEIGHT_KG=26.0;SOURCE_CFG=IA-ST-CFG-0219;SRC_REF=Row 137, Slot 3;SRC_FILE=Mamul Ambalaj Bileşen Listesi-30.07.2026(3).xlsx</t>
        </is>
      </c>
    </row>
    <row r="1253">
      <c r="A1253" s="19" t="inlineStr">
        <is>
          <t>1252</t>
        </is>
      </c>
      <c r="B1253" s="19" t="inlineStr">
        <is>
          <t>181</t>
        </is>
      </c>
      <c r="C1253" s="19" t="inlineStr">
        <is>
          <t>8</t>
        </is>
      </c>
      <c r="D1253" t="n">
        <v>20</v>
      </c>
      <c r="E1253" s="19" t="inlineStr">
        <is>
          <t>18</t>
        </is>
      </c>
      <c r="F1253" t="n">
        <v>4</v>
      </c>
      <c r="G1253" t="b">
        <v>0</v>
      </c>
      <c r="H1253" t="inlineStr">
        <is>
          <t>UOM=M;WEIGHT_BASIS=PROCESSED_SOURCE_UNIT_WEIGHT;LINE_WEIGHT_KG=0.3664;SOURCE_CFG=IA-ST-CFG-0219;SRC_REF=Row 137, Slot 5;SRC_FILE=Mamul Ambalaj Bileşen Listesi-30.07.2026(3).xlsx</t>
        </is>
      </c>
    </row>
    <row r="1254">
      <c r="A1254" s="19" t="inlineStr">
        <is>
          <t>1253</t>
        </is>
      </c>
      <c r="B1254" s="19" t="inlineStr">
        <is>
          <t>181</t>
        </is>
      </c>
      <c r="C1254" s="19" t="inlineStr">
        <is>
          <t>9</t>
        </is>
      </c>
      <c r="D1254" t="n">
        <v>0.186</v>
      </c>
      <c r="E1254" s="19" t="inlineStr">
        <is>
          <t>18</t>
        </is>
      </c>
      <c r="F1254" t="n">
        <v>5</v>
      </c>
      <c r="G1254" t="b">
        <v>0</v>
      </c>
      <c r="H1254" t="inlineStr">
        <is>
          <t>UOM=KG;WEIGHT_BASIS=RECIPE_QUANTITY_IS_KG;LINE_WEIGHT_KG=0.186;SOURCE_CFG=IA-ST-CFG-0219;SRC_REF=Row 137, Slot 6;SRC_FILE=Mamul Ambalaj Bileşen Listesi-30.07.2026(3).xlsx</t>
        </is>
      </c>
    </row>
    <row r="1255">
      <c r="A1255" s="19" t="inlineStr">
        <is>
          <t>1254</t>
        </is>
      </c>
      <c r="B1255" s="19" t="inlineStr">
        <is>
          <t>181</t>
        </is>
      </c>
      <c r="C1255" s="19" t="inlineStr">
        <is>
          <t>23</t>
        </is>
      </c>
      <c r="D1255" t="n">
        <v>2.736</v>
      </c>
      <c r="E1255" s="19" t="inlineStr">
        <is>
          <t>18</t>
        </is>
      </c>
      <c r="F1255" t="n">
        <v>6</v>
      </c>
      <c r="G1255" t="b">
        <v>0</v>
      </c>
      <c r="H1255" t="inlineStr">
        <is>
          <t>UOM=KG;WEIGHT_BASIS=RECIPE_QUANTITY_IS_KG;LINE_WEIGHT_KG=2.736;SOURCE_CFG=IA-ST-CFG-0219;SRC_REF=Row 137, Slot 7;SRC_FILE=Mamul Ambalaj Bileşen Listesi-30.07.2026(3).xlsx</t>
        </is>
      </c>
    </row>
    <row r="1256">
      <c r="A1256" s="19" t="inlineStr">
        <is>
          <t>1255</t>
        </is>
      </c>
      <c r="B1256" s="19" t="inlineStr">
        <is>
          <t>181</t>
        </is>
      </c>
      <c r="C1256" s="19" t="inlineStr">
        <is>
          <t>7</t>
        </is>
      </c>
      <c r="D1256" t="n">
        <v>4</v>
      </c>
      <c r="E1256" s="19" t="inlineStr">
        <is>
          <t>18</t>
        </is>
      </c>
      <c r="F1256" t="n">
        <v>7</v>
      </c>
      <c r="G1256" t="b">
        <v>0</v>
      </c>
      <c r="H1256" t="inlineStr">
        <is>
          <t>UOM=ADT;WEIGHT_BASIS=PROCESSED_SOURCE_UNIT_WEIGHT;LINE_WEIGHT_KG=1.08;SOURCE_CFG=IA-ST-CFG-0219;SRC_REF=Row 137, Slot 8;SRC_FILE=Mamul Ambalaj Bileşen Listesi-30.07.2026(3).xlsx</t>
        </is>
      </c>
    </row>
    <row r="1257">
      <c r="A1257" s="19" t="inlineStr">
        <is>
          <t>1256</t>
        </is>
      </c>
      <c r="B1257" s="19" t="inlineStr">
        <is>
          <t>181</t>
        </is>
      </c>
      <c r="C1257" s="19" t="inlineStr">
        <is>
          <t>25</t>
        </is>
      </c>
      <c r="D1257" t="n">
        <v>2</v>
      </c>
      <c r="E1257" s="19" t="inlineStr">
        <is>
          <t>18</t>
        </is>
      </c>
      <c r="F1257" t="n">
        <v>8</v>
      </c>
      <c r="G1257" t="b">
        <v>0</v>
      </c>
      <c r="H1257" t="inlineStr">
        <is>
          <t>UOM=ADT;WEIGHT_BASIS=PROCESSED_SOURCE_UNIT_WEIGHT;LINE_WEIGHT_KG=0.2;SOURCE_CFG=IA-ST-CFG-0219;SRC_REF=Row 137, Slot 9;SRC_FILE=Mamul Ambalaj Bileşen Listesi-30.07.2026(3).xlsx</t>
        </is>
      </c>
    </row>
    <row r="1258">
      <c r="A1258" s="19" t="inlineStr">
        <is>
          <t>1257</t>
        </is>
      </c>
      <c r="B1258" s="19" t="inlineStr">
        <is>
          <t>182</t>
        </is>
      </c>
      <c r="C1258" s="19" t="inlineStr">
        <is>
          <t>13</t>
        </is>
      </c>
      <c r="D1258" t="n">
        <v>7</v>
      </c>
      <c r="E1258" s="19" t="inlineStr">
        <is>
          <t>18</t>
        </is>
      </c>
      <c r="F1258" t="n">
        <v>1</v>
      </c>
      <c r="G1258" t="b">
        <v>0</v>
      </c>
      <c r="H1258" t="inlineStr">
        <is>
          <t>UOM=M;WEIGHT_BASIS=PROCESSED_SOURCE_UNIT_WEIGHT;LINE_WEIGHT_KG=0.0868;SOURCE_CFG=IA-ST-CFG-0220;SRC_REF=Row 183, Slot 1;SRC_FILE=Mamul Ambalaj Bileşen Listesi-30.07.2026(3).xlsx</t>
        </is>
      </c>
    </row>
    <row r="1259">
      <c r="A1259" s="19" t="inlineStr">
        <is>
          <t>1258</t>
        </is>
      </c>
      <c r="B1259" s="19" t="inlineStr">
        <is>
          <t>182</t>
        </is>
      </c>
      <c r="C1259" s="19" t="inlineStr">
        <is>
          <t>15</t>
        </is>
      </c>
      <c r="D1259" t="n">
        <v>72</v>
      </c>
      <c r="E1259" s="19" t="inlineStr">
        <is>
          <t>18</t>
        </is>
      </c>
      <c r="F1259" t="n">
        <v>2</v>
      </c>
      <c r="G1259" t="b">
        <v>0</v>
      </c>
      <c r="H1259" t="inlineStr">
        <is>
          <t>UOM=ADT;WEIGHT_BASIS=SOURCE_UNIT_WEIGHT;LINE_WEIGHT_KG=0.04392;SOURCE_CFG=IA-ST-CFG-0220;SRC_REF=Row 183, Slot 2;SRC_FILE=Mamul Ambalaj Bileşen Listesi-30.07.2026(3).xlsx</t>
        </is>
      </c>
    </row>
    <row r="1260">
      <c r="A1260" s="19" t="inlineStr">
        <is>
          <t>1259</t>
        </is>
      </c>
      <c r="B1260" s="19" t="inlineStr">
        <is>
          <t>182</t>
        </is>
      </c>
      <c r="C1260" s="19" t="inlineStr">
        <is>
          <t>5</t>
        </is>
      </c>
      <c r="D1260" t="n">
        <v>1</v>
      </c>
      <c r="E1260" s="19" t="inlineStr">
        <is>
          <t>18</t>
        </is>
      </c>
      <c r="F1260" t="n">
        <v>3</v>
      </c>
      <c r="G1260" t="b">
        <v>0</v>
      </c>
      <c r="H1260" t="inlineStr">
        <is>
          <t>UOM=ADT;WEIGHT_BASIS=PROCESSED_SOURCE_UNIT_WEIGHT;LINE_WEIGHT_KG=26.0;SOURCE_CFG=IA-ST-CFG-0220;SRC_REF=Row 183, Slot 3;SRC_FILE=Mamul Ambalaj Bileşen Listesi-30.07.2026(3).xlsx</t>
        </is>
      </c>
    </row>
    <row r="1261">
      <c r="A1261" s="19" t="inlineStr">
        <is>
          <t>1260</t>
        </is>
      </c>
      <c r="B1261" s="19" t="inlineStr">
        <is>
          <t>182</t>
        </is>
      </c>
      <c r="C1261" s="19" t="inlineStr">
        <is>
          <t>8</t>
        </is>
      </c>
      <c r="D1261" t="n">
        <v>20</v>
      </c>
      <c r="E1261" s="19" t="inlineStr">
        <is>
          <t>18</t>
        </is>
      </c>
      <c r="F1261" t="n">
        <v>4</v>
      </c>
      <c r="G1261" t="b">
        <v>0</v>
      </c>
      <c r="H1261" t="inlineStr">
        <is>
          <t>UOM=M;WEIGHT_BASIS=PROCESSED_SOURCE_UNIT_WEIGHT;LINE_WEIGHT_KG=0.3664;SOURCE_CFG=IA-ST-CFG-0220;SRC_REF=Row 183, Slot 5;SRC_FILE=Mamul Ambalaj Bileşen Listesi-30.07.2026(3).xlsx</t>
        </is>
      </c>
    </row>
    <row r="1262">
      <c r="A1262" s="19" t="inlineStr">
        <is>
          <t>1261</t>
        </is>
      </c>
      <c r="B1262" s="19" t="inlineStr">
        <is>
          <t>182</t>
        </is>
      </c>
      <c r="C1262" s="19" t="inlineStr">
        <is>
          <t>9</t>
        </is>
      </c>
      <c r="D1262" t="n">
        <v>0.186</v>
      </c>
      <c r="E1262" s="19" t="inlineStr">
        <is>
          <t>18</t>
        </is>
      </c>
      <c r="F1262" t="n">
        <v>5</v>
      </c>
      <c r="G1262" t="b">
        <v>0</v>
      </c>
      <c r="H1262" t="inlineStr">
        <is>
          <t>UOM=KG;WEIGHT_BASIS=RECIPE_QUANTITY_IS_KG;LINE_WEIGHT_KG=0.186;SOURCE_CFG=IA-ST-CFG-0220;SRC_REF=Row 183, Slot 6;SRC_FILE=Mamul Ambalaj Bileşen Listesi-30.07.2026(3).xlsx</t>
        </is>
      </c>
    </row>
    <row r="1263">
      <c r="A1263" s="19" t="inlineStr">
        <is>
          <t>1262</t>
        </is>
      </c>
      <c r="B1263" s="19" t="inlineStr">
        <is>
          <t>182</t>
        </is>
      </c>
      <c r="C1263" s="19" t="inlineStr">
        <is>
          <t>21</t>
        </is>
      </c>
      <c r="D1263" t="n">
        <v>2.376</v>
      </c>
      <c r="E1263" s="19" t="inlineStr">
        <is>
          <t>18</t>
        </is>
      </c>
      <c r="F1263" t="n">
        <v>6</v>
      </c>
      <c r="G1263" t="b">
        <v>0</v>
      </c>
      <c r="H1263" t="inlineStr">
        <is>
          <t>UOM=KG;WEIGHT_BASIS=RECIPE_QUANTITY_IS_KG;LINE_WEIGHT_KG=2.376;SOURCE_CFG=IA-ST-CFG-0220;SRC_REF=Row 183, Slot 7;SRC_FILE=Mamul Ambalaj Bileşen Listesi-30.07.2026(3).xlsx</t>
        </is>
      </c>
    </row>
    <row r="1264">
      <c r="A1264" s="19" t="inlineStr">
        <is>
          <t>1263</t>
        </is>
      </c>
      <c r="B1264" s="19" t="inlineStr">
        <is>
          <t>182</t>
        </is>
      </c>
      <c r="C1264" s="19" t="inlineStr">
        <is>
          <t>7</t>
        </is>
      </c>
      <c r="D1264" t="n">
        <v>4</v>
      </c>
      <c r="E1264" s="19" t="inlineStr">
        <is>
          <t>18</t>
        </is>
      </c>
      <c r="F1264" t="n">
        <v>7</v>
      </c>
      <c r="G1264" t="b">
        <v>0</v>
      </c>
      <c r="H1264" t="inlineStr">
        <is>
          <t>UOM=ADT;WEIGHT_BASIS=PROCESSED_SOURCE_UNIT_WEIGHT;LINE_WEIGHT_KG=1.08;SOURCE_CFG=IA-ST-CFG-0220;SRC_REF=Row 183, Slot 8;SRC_FILE=Mamul Ambalaj Bileşen Listesi-30.07.2026(3).xlsx</t>
        </is>
      </c>
    </row>
    <row r="1265">
      <c r="A1265" s="19" t="inlineStr">
        <is>
          <t>1264</t>
        </is>
      </c>
      <c r="B1265" s="19" t="inlineStr">
        <is>
          <t>182</t>
        </is>
      </c>
      <c r="C1265" s="19" t="inlineStr">
        <is>
          <t>25</t>
        </is>
      </c>
      <c r="D1265" t="n">
        <v>2</v>
      </c>
      <c r="E1265" s="19" t="inlineStr">
        <is>
          <t>18</t>
        </is>
      </c>
      <c r="F1265" t="n">
        <v>8</v>
      </c>
      <c r="G1265" t="b">
        <v>0</v>
      </c>
      <c r="H1265" t="inlineStr">
        <is>
          <t>UOM=ADT;WEIGHT_BASIS=PROCESSED_SOURCE_UNIT_WEIGHT;LINE_WEIGHT_KG=0.2;SOURCE_CFG=IA-ST-CFG-0220;SRC_REF=Row 183, Slot 9;SRC_FILE=Mamul Ambalaj Bileşen Listesi-30.07.2026(3).xlsx</t>
        </is>
      </c>
    </row>
    <row r="1266">
      <c r="A1266" s="19" t="inlineStr">
        <is>
          <t>1265</t>
        </is>
      </c>
      <c r="B1266" s="19" t="inlineStr">
        <is>
          <t>183</t>
        </is>
      </c>
      <c r="C1266" s="19" t="inlineStr">
        <is>
          <t>13</t>
        </is>
      </c>
      <c r="D1266" t="n">
        <v>7</v>
      </c>
      <c r="E1266" s="19" t="inlineStr">
        <is>
          <t>18</t>
        </is>
      </c>
      <c r="F1266" t="n">
        <v>1</v>
      </c>
      <c r="G1266" t="b">
        <v>0</v>
      </c>
      <c r="H1266" t="inlineStr">
        <is>
          <t>UOM=M;WEIGHT_BASIS=PROCESSED_SOURCE_UNIT_WEIGHT;LINE_WEIGHT_KG=0.0868;SOURCE_CFG=IA-ST-CFG-0221;SRC_REF=Row 1069, Slot 1;SRC_FILE=Mamul Ambalaj Bileşen Listesi-30.07.2026(3).xlsx</t>
        </is>
      </c>
    </row>
    <row r="1267">
      <c r="A1267" s="19" t="inlineStr">
        <is>
          <t>1266</t>
        </is>
      </c>
      <c r="B1267" s="19" t="inlineStr">
        <is>
          <t>183</t>
        </is>
      </c>
      <c r="C1267" s="19" t="inlineStr">
        <is>
          <t>5</t>
        </is>
      </c>
      <c r="D1267" t="n">
        <v>1</v>
      </c>
      <c r="E1267" s="19" t="inlineStr">
        <is>
          <t>18</t>
        </is>
      </c>
      <c r="F1267" t="n">
        <v>2</v>
      </c>
      <c r="G1267" t="b">
        <v>0</v>
      </c>
      <c r="H1267" t="inlineStr">
        <is>
          <t>UOM=ADT;WEIGHT_BASIS=PROCESSED_SOURCE_UNIT_WEIGHT;LINE_WEIGHT_KG=26.0;SOURCE_CFG=IA-ST-CFG-0221;SRC_REF=Row 1069, Slot 3;SRC_FILE=Mamul Ambalaj Bileşen Listesi-30.07.2026(3).xlsx</t>
        </is>
      </c>
    </row>
    <row r="1268">
      <c r="A1268" s="19" t="inlineStr">
        <is>
          <t>1267</t>
        </is>
      </c>
      <c r="B1268" s="19" t="inlineStr">
        <is>
          <t>183</t>
        </is>
      </c>
      <c r="C1268" s="19" t="inlineStr">
        <is>
          <t>8</t>
        </is>
      </c>
      <c r="D1268" t="n">
        <v>20</v>
      </c>
      <c r="E1268" s="19" t="inlineStr">
        <is>
          <t>18</t>
        </is>
      </c>
      <c r="F1268" t="n">
        <v>3</v>
      </c>
      <c r="G1268" t="b">
        <v>0</v>
      </c>
      <c r="H1268" t="inlineStr">
        <is>
          <t>UOM=M;WEIGHT_BASIS=PROCESSED_SOURCE_UNIT_WEIGHT;LINE_WEIGHT_KG=0.3664;SOURCE_CFG=IA-ST-CFG-0221;SRC_REF=Row 1069, Slot 5;SRC_FILE=Mamul Ambalaj Bileşen Listesi-30.07.2026(3).xlsx</t>
        </is>
      </c>
    </row>
    <row r="1269">
      <c r="A1269" s="19" t="inlineStr">
        <is>
          <t>1268</t>
        </is>
      </c>
      <c r="B1269" s="19" t="inlineStr">
        <is>
          <t>183</t>
        </is>
      </c>
      <c r="C1269" s="19" t="inlineStr">
        <is>
          <t>9</t>
        </is>
      </c>
      <c r="D1269" t="n">
        <v>0.186</v>
      </c>
      <c r="E1269" s="19" t="inlineStr">
        <is>
          <t>18</t>
        </is>
      </c>
      <c r="F1269" t="n">
        <v>4</v>
      </c>
      <c r="G1269" t="b">
        <v>0</v>
      </c>
      <c r="H1269" t="inlineStr">
        <is>
          <t>UOM=KG;WEIGHT_BASIS=RECIPE_QUANTITY_IS_KG;LINE_WEIGHT_KG=0.186;SOURCE_CFG=IA-ST-CFG-0221;SRC_REF=Row 1069, Slot 6;SRC_FILE=Mamul Ambalaj Bileşen Listesi-30.07.2026(3).xlsx</t>
        </is>
      </c>
    </row>
    <row r="1270">
      <c r="A1270" s="19" t="inlineStr">
        <is>
          <t>1269</t>
        </is>
      </c>
      <c r="B1270" s="19" t="inlineStr">
        <is>
          <t>183</t>
        </is>
      </c>
      <c r="C1270" s="19" t="inlineStr">
        <is>
          <t>19</t>
        </is>
      </c>
      <c r="D1270" t="n">
        <v>2.448</v>
      </c>
      <c r="E1270" s="19" t="inlineStr">
        <is>
          <t>18</t>
        </is>
      </c>
      <c r="F1270" t="n">
        <v>5</v>
      </c>
      <c r="G1270" t="b">
        <v>0</v>
      </c>
      <c r="H1270" t="inlineStr">
        <is>
          <t>UOM=KG;WEIGHT_BASIS=RECIPE_QUANTITY_IS_KG;LINE_WEIGHT_KG=2.448;SOURCE_CFG=IA-ST-CFG-0221;SRC_REF=Row 1069, Slot 7;SRC_FILE=Mamul Ambalaj Bileşen Listesi-30.07.2026(3).xlsx</t>
        </is>
      </c>
    </row>
    <row r="1271">
      <c r="A1271" s="19" t="inlineStr">
        <is>
          <t>1270</t>
        </is>
      </c>
      <c r="B1271" s="19" t="inlineStr">
        <is>
          <t>183</t>
        </is>
      </c>
      <c r="C1271" s="19" t="inlineStr">
        <is>
          <t>7</t>
        </is>
      </c>
      <c r="D1271" t="n">
        <v>4</v>
      </c>
      <c r="E1271" s="19" t="inlineStr">
        <is>
          <t>18</t>
        </is>
      </c>
      <c r="F1271" t="n">
        <v>6</v>
      </c>
      <c r="G1271" t="b">
        <v>0</v>
      </c>
      <c r="H1271" t="inlineStr">
        <is>
          <t>UOM=ADT;WEIGHT_BASIS=PROCESSED_SOURCE_UNIT_WEIGHT;LINE_WEIGHT_KG=1.08;SOURCE_CFG=IA-ST-CFG-0221;SRC_REF=Row 1069, Slot 8;SRC_FILE=Mamul Ambalaj Bileşen Listesi-30.07.2026(3).xlsx</t>
        </is>
      </c>
    </row>
    <row r="1272">
      <c r="A1272" s="19" t="inlineStr">
        <is>
          <t>1271</t>
        </is>
      </c>
      <c r="B1272" s="19" t="inlineStr">
        <is>
          <t>183</t>
        </is>
      </c>
      <c r="C1272" s="19" t="inlineStr">
        <is>
          <t>25</t>
        </is>
      </c>
      <c r="D1272" t="n">
        <v>2</v>
      </c>
      <c r="E1272" s="19" t="inlineStr">
        <is>
          <t>18</t>
        </is>
      </c>
      <c r="F1272" t="n">
        <v>7</v>
      </c>
      <c r="G1272" t="b">
        <v>0</v>
      </c>
      <c r="H1272" t="inlineStr">
        <is>
          <t>UOM=ADT;WEIGHT_BASIS=PROCESSED_SOURCE_UNIT_WEIGHT;LINE_WEIGHT_KG=0.2;SOURCE_CFG=IA-ST-CFG-0221;SRC_REF=Row 1069, Slot 9;SRC_FILE=Mamul Ambalaj Bileşen Listesi-30.07.2026(3).xlsx</t>
        </is>
      </c>
    </row>
    <row r="1273">
      <c r="A1273" s="19" t="inlineStr">
        <is>
          <t>1272</t>
        </is>
      </c>
      <c r="B1273" s="19" t="inlineStr">
        <is>
          <t>184</t>
        </is>
      </c>
      <c r="C1273" s="19" t="inlineStr">
        <is>
          <t>13</t>
        </is>
      </c>
      <c r="D1273" t="n">
        <v>7</v>
      </c>
      <c r="E1273" s="19" t="inlineStr">
        <is>
          <t>18</t>
        </is>
      </c>
      <c r="F1273" t="n">
        <v>1</v>
      </c>
      <c r="G1273" t="b">
        <v>0</v>
      </c>
      <c r="H1273" t="inlineStr">
        <is>
          <t>UOM=M;WEIGHT_BASIS=PROCESSED_SOURCE_UNIT_WEIGHT;LINE_WEIGHT_KG=0.0868;SOURCE_CFG=IA-ST-CFG-0222;SRC_REF=Row 143, Slot 1;SRC_FILE=Mamul Ambalaj Bileşen Listesi-30.07.2026(3).xlsx</t>
        </is>
      </c>
    </row>
    <row r="1274">
      <c r="A1274" s="19" t="inlineStr">
        <is>
          <t>1273</t>
        </is>
      </c>
      <c r="B1274" s="19" t="inlineStr">
        <is>
          <t>184</t>
        </is>
      </c>
      <c r="C1274" s="19" t="inlineStr">
        <is>
          <t>5</t>
        </is>
      </c>
      <c r="D1274" t="n">
        <v>1</v>
      </c>
      <c r="E1274" s="19" t="inlineStr">
        <is>
          <t>18</t>
        </is>
      </c>
      <c r="F1274" t="n">
        <v>2</v>
      </c>
      <c r="G1274" t="b">
        <v>0</v>
      </c>
      <c r="H1274" t="inlineStr">
        <is>
          <t>UOM=ADT;WEIGHT_BASIS=PROCESSED_SOURCE_UNIT_WEIGHT;LINE_WEIGHT_KG=26.0;SOURCE_CFG=IA-ST-CFG-0222;SRC_REF=Row 143, Slot 3;SRC_FILE=Mamul Ambalaj Bileşen Listesi-30.07.2026(3).xlsx</t>
        </is>
      </c>
    </row>
    <row r="1275">
      <c r="A1275" s="19" t="inlineStr">
        <is>
          <t>1274</t>
        </is>
      </c>
      <c r="B1275" s="19" t="inlineStr">
        <is>
          <t>184</t>
        </is>
      </c>
      <c r="C1275" s="19" t="inlineStr">
        <is>
          <t>8</t>
        </is>
      </c>
      <c r="D1275" t="n">
        <v>20</v>
      </c>
      <c r="E1275" s="19" t="inlineStr">
        <is>
          <t>18</t>
        </is>
      </c>
      <c r="F1275" t="n">
        <v>3</v>
      </c>
      <c r="G1275" t="b">
        <v>0</v>
      </c>
      <c r="H1275" t="inlineStr">
        <is>
          <t>UOM=M;WEIGHT_BASIS=PROCESSED_SOURCE_UNIT_WEIGHT;LINE_WEIGHT_KG=0.3664;SOURCE_CFG=IA-ST-CFG-0222;SRC_REF=Row 143, Slot 5;SRC_FILE=Mamul Ambalaj Bileşen Listesi-30.07.2026(3).xlsx</t>
        </is>
      </c>
    </row>
    <row r="1276">
      <c r="A1276" s="19" t="inlineStr">
        <is>
          <t>1275</t>
        </is>
      </c>
      <c r="B1276" s="19" t="inlineStr">
        <is>
          <t>184</t>
        </is>
      </c>
      <c r="C1276" s="19" t="inlineStr">
        <is>
          <t>9</t>
        </is>
      </c>
      <c r="D1276" t="n">
        <v>0.186</v>
      </c>
      <c r="E1276" s="19" t="inlineStr">
        <is>
          <t>18</t>
        </is>
      </c>
      <c r="F1276" t="n">
        <v>4</v>
      </c>
      <c r="G1276" t="b">
        <v>0</v>
      </c>
      <c r="H1276" t="inlineStr">
        <is>
          <t>UOM=KG;WEIGHT_BASIS=RECIPE_QUANTITY_IS_KG;LINE_WEIGHT_KG=0.186;SOURCE_CFG=IA-ST-CFG-0222;SRC_REF=Row 143, Slot 6;SRC_FILE=Mamul Ambalaj Bileşen Listesi-30.07.2026(3).xlsx</t>
        </is>
      </c>
    </row>
    <row r="1277">
      <c r="A1277" s="19" t="inlineStr">
        <is>
          <t>1276</t>
        </is>
      </c>
      <c r="B1277" s="19" t="inlineStr">
        <is>
          <t>184</t>
        </is>
      </c>
      <c r="C1277" s="19" t="inlineStr">
        <is>
          <t>23</t>
        </is>
      </c>
      <c r="D1277" t="n">
        <v>2.736</v>
      </c>
      <c r="E1277" s="19" t="inlineStr">
        <is>
          <t>18</t>
        </is>
      </c>
      <c r="F1277" t="n">
        <v>5</v>
      </c>
      <c r="G1277" t="b">
        <v>0</v>
      </c>
      <c r="H1277" t="inlineStr">
        <is>
          <t>UOM=KG;WEIGHT_BASIS=RECIPE_QUANTITY_IS_KG;LINE_WEIGHT_KG=2.736;SOURCE_CFG=IA-ST-CFG-0222;SRC_REF=Row 143, Slot 7;SRC_FILE=Mamul Ambalaj Bileşen Listesi-30.07.2026(3).xlsx</t>
        </is>
      </c>
    </row>
    <row r="1278">
      <c r="A1278" s="19" t="inlineStr">
        <is>
          <t>1277</t>
        </is>
      </c>
      <c r="B1278" s="19" t="inlineStr">
        <is>
          <t>184</t>
        </is>
      </c>
      <c r="C1278" s="19" t="inlineStr">
        <is>
          <t>7</t>
        </is>
      </c>
      <c r="D1278" t="n">
        <v>4</v>
      </c>
      <c r="E1278" s="19" t="inlineStr">
        <is>
          <t>18</t>
        </is>
      </c>
      <c r="F1278" t="n">
        <v>6</v>
      </c>
      <c r="G1278" t="b">
        <v>0</v>
      </c>
      <c r="H1278" t="inlineStr">
        <is>
          <t>UOM=ADT;WEIGHT_BASIS=PROCESSED_SOURCE_UNIT_WEIGHT;LINE_WEIGHT_KG=1.08;SOURCE_CFG=IA-ST-CFG-0222;SRC_REF=Row 143, Slot 8;SRC_FILE=Mamul Ambalaj Bileşen Listesi-30.07.2026(3).xlsx</t>
        </is>
      </c>
    </row>
    <row r="1279">
      <c r="A1279" s="19" t="inlineStr">
        <is>
          <t>1278</t>
        </is>
      </c>
      <c r="B1279" s="19" t="inlineStr">
        <is>
          <t>184</t>
        </is>
      </c>
      <c r="C1279" s="19" t="inlineStr">
        <is>
          <t>25</t>
        </is>
      </c>
      <c r="D1279" t="n">
        <v>2</v>
      </c>
      <c r="E1279" s="19" t="inlineStr">
        <is>
          <t>18</t>
        </is>
      </c>
      <c r="F1279" t="n">
        <v>7</v>
      </c>
      <c r="G1279" t="b">
        <v>0</v>
      </c>
      <c r="H1279" t="inlineStr">
        <is>
          <t>UOM=ADT;WEIGHT_BASIS=PROCESSED_SOURCE_UNIT_WEIGHT;LINE_WEIGHT_KG=0.2;SOURCE_CFG=IA-ST-CFG-0222;SRC_REF=Row 143, Slot 9;SRC_FILE=Mamul Ambalaj Bileşen Listesi-30.07.2026(3).xlsx</t>
        </is>
      </c>
    </row>
    <row r="1280">
      <c r="A1280" s="19" t="inlineStr">
        <is>
          <t>1279</t>
        </is>
      </c>
      <c r="B1280" s="19" t="inlineStr">
        <is>
          <t>185</t>
        </is>
      </c>
      <c r="C1280" s="19" t="inlineStr">
        <is>
          <t>13</t>
        </is>
      </c>
      <c r="D1280" t="n">
        <v>7</v>
      </c>
      <c r="E1280" s="19" t="inlineStr">
        <is>
          <t>18</t>
        </is>
      </c>
      <c r="F1280" t="n">
        <v>1</v>
      </c>
      <c r="G1280" t="b">
        <v>0</v>
      </c>
      <c r="H1280" t="inlineStr">
        <is>
          <t>UOM=M;WEIGHT_BASIS=PROCESSED_SOURCE_UNIT_WEIGHT;LINE_WEIGHT_KG=0.0868;SOURCE_CFG=IA-ST-CFG-0223;SRC_REF=Row 1408, Slot 1;SRC_FILE=Mamul Ambalaj Bileşen Listesi-30.07.2026(3).xlsx</t>
        </is>
      </c>
    </row>
    <row r="1281">
      <c r="A1281" s="19" t="inlineStr">
        <is>
          <t>1280</t>
        </is>
      </c>
      <c r="B1281" s="19" t="inlineStr">
        <is>
          <t>185</t>
        </is>
      </c>
      <c r="C1281" s="19" t="inlineStr">
        <is>
          <t>5</t>
        </is>
      </c>
      <c r="D1281" t="n">
        <v>1</v>
      </c>
      <c r="E1281" s="19" t="inlineStr">
        <is>
          <t>18</t>
        </is>
      </c>
      <c r="F1281" t="n">
        <v>2</v>
      </c>
      <c r="G1281" t="b">
        <v>0</v>
      </c>
      <c r="H1281" t="inlineStr">
        <is>
          <t>UOM=ADT;WEIGHT_BASIS=PROCESSED_SOURCE_UNIT_WEIGHT;LINE_WEIGHT_KG=26.0;SOURCE_CFG=IA-ST-CFG-0223;SRC_REF=Row 1408, Slot 3;SRC_FILE=Mamul Ambalaj Bileşen Listesi-30.07.2026(3).xlsx</t>
        </is>
      </c>
    </row>
    <row r="1282">
      <c r="A1282" s="19" t="inlineStr">
        <is>
          <t>1281</t>
        </is>
      </c>
      <c r="B1282" s="19" t="inlineStr">
        <is>
          <t>185</t>
        </is>
      </c>
      <c r="C1282" s="19" t="inlineStr">
        <is>
          <t>8</t>
        </is>
      </c>
      <c r="D1282" t="n">
        <v>20</v>
      </c>
      <c r="E1282" s="19" t="inlineStr">
        <is>
          <t>18</t>
        </is>
      </c>
      <c r="F1282" t="n">
        <v>3</v>
      </c>
      <c r="G1282" t="b">
        <v>0</v>
      </c>
      <c r="H1282" t="inlineStr">
        <is>
          <t>UOM=M;WEIGHT_BASIS=PROCESSED_SOURCE_UNIT_WEIGHT;LINE_WEIGHT_KG=0.3664;SOURCE_CFG=IA-ST-CFG-0223;SRC_REF=Row 1408, Slot 5;SRC_FILE=Mamul Ambalaj Bileşen Listesi-30.07.2026(3).xlsx</t>
        </is>
      </c>
    </row>
    <row r="1283">
      <c r="A1283" s="19" t="inlineStr">
        <is>
          <t>1282</t>
        </is>
      </c>
      <c r="B1283" s="19" t="inlineStr">
        <is>
          <t>185</t>
        </is>
      </c>
      <c r="C1283" s="19" t="inlineStr">
        <is>
          <t>9</t>
        </is>
      </c>
      <c r="D1283" t="n">
        <v>0.186</v>
      </c>
      <c r="E1283" s="19" t="inlineStr">
        <is>
          <t>18</t>
        </is>
      </c>
      <c r="F1283" t="n">
        <v>4</v>
      </c>
      <c r="G1283" t="b">
        <v>0</v>
      </c>
      <c r="H1283" t="inlineStr">
        <is>
          <t>UOM=KG;WEIGHT_BASIS=RECIPE_QUANTITY_IS_KG;LINE_WEIGHT_KG=0.186;SOURCE_CFG=IA-ST-CFG-0223;SRC_REF=Row 1408, Slot 6;SRC_FILE=Mamul Ambalaj Bileşen Listesi-30.07.2026(3).xlsx</t>
        </is>
      </c>
    </row>
    <row r="1284">
      <c r="A1284" s="19" t="inlineStr">
        <is>
          <t>1283</t>
        </is>
      </c>
      <c r="B1284" s="19" t="inlineStr">
        <is>
          <t>185</t>
        </is>
      </c>
      <c r="C1284" s="19" t="inlineStr">
        <is>
          <t>7</t>
        </is>
      </c>
      <c r="D1284" t="n">
        <v>4</v>
      </c>
      <c r="E1284" s="19" t="inlineStr">
        <is>
          <t>18</t>
        </is>
      </c>
      <c r="F1284" t="n">
        <v>5</v>
      </c>
      <c r="G1284" t="b">
        <v>0</v>
      </c>
      <c r="H1284" t="inlineStr">
        <is>
          <t>UOM=ADT;WEIGHT_BASIS=PROCESSED_SOURCE_UNIT_WEIGHT;LINE_WEIGHT_KG=1.08;SOURCE_CFG=IA-ST-CFG-0223;SRC_REF=Row 1408, Slot 8;SRC_FILE=Mamul Ambalaj Bileşen Listesi-30.07.2026(3).xlsx</t>
        </is>
      </c>
    </row>
    <row r="1285">
      <c r="A1285" s="19" t="inlineStr">
        <is>
          <t>1284</t>
        </is>
      </c>
      <c r="B1285" s="19" t="inlineStr">
        <is>
          <t>185</t>
        </is>
      </c>
      <c r="C1285" s="19" t="inlineStr">
        <is>
          <t>25</t>
        </is>
      </c>
      <c r="D1285" t="n">
        <v>2</v>
      </c>
      <c r="E1285" s="19" t="inlineStr">
        <is>
          <t>18</t>
        </is>
      </c>
      <c r="F1285" t="n">
        <v>6</v>
      </c>
      <c r="G1285" t="b">
        <v>0</v>
      </c>
      <c r="H1285" t="inlineStr">
        <is>
          <t>UOM=ADT;WEIGHT_BASIS=PROCESSED_SOURCE_UNIT_WEIGHT;LINE_WEIGHT_KG=0.2;SOURCE_CFG=IA-ST-CFG-0223;SRC_REF=Row 1408, Slot 9;SRC_FILE=Mamul Ambalaj Bileşen Listesi-30.07.2026(3).xlsx</t>
        </is>
      </c>
    </row>
    <row r="1286">
      <c r="A1286" s="19" t="inlineStr">
        <is>
          <t>1285</t>
        </is>
      </c>
      <c r="B1286" s="19" t="inlineStr">
        <is>
          <t>186</t>
        </is>
      </c>
      <c r="C1286" s="19" t="inlineStr">
        <is>
          <t>14</t>
        </is>
      </c>
      <c r="D1286" t="n">
        <v>72</v>
      </c>
      <c r="E1286" s="19" t="inlineStr">
        <is>
          <t>18</t>
        </is>
      </c>
      <c r="F1286" t="n">
        <v>1</v>
      </c>
      <c r="G1286" t="b">
        <v>0</v>
      </c>
      <c r="H1286" t="inlineStr">
        <is>
          <t>UOM=ADT;WEIGHT_BASIS=SOURCE_UNIT_WEIGHT;LINE_WEIGHT_KG=3.67704;SOURCE_CFG=IA-ST-CFG-0224;SRC_REF=Row 244, Slot 1;SRC_FILE=Mamul Ambalaj Bileşen Listesi-30.07.2026(3).xlsx</t>
        </is>
      </c>
    </row>
    <row r="1287">
      <c r="A1287" s="19" t="inlineStr">
        <is>
          <t>1286</t>
        </is>
      </c>
      <c r="B1287" s="19" t="inlineStr">
        <is>
          <t>186</t>
        </is>
      </c>
      <c r="C1287" s="19" t="inlineStr">
        <is>
          <t>5</t>
        </is>
      </c>
      <c r="D1287" t="n">
        <v>1</v>
      </c>
      <c r="E1287" s="19" t="inlineStr">
        <is>
          <t>18</t>
        </is>
      </c>
      <c r="F1287" t="n">
        <v>2</v>
      </c>
      <c r="G1287" t="b">
        <v>0</v>
      </c>
      <c r="H1287" t="inlineStr">
        <is>
          <t>UOM=ADT;WEIGHT_BASIS=PROCESSED_SOURCE_UNIT_WEIGHT;LINE_WEIGHT_KG=26.0;SOURCE_CFG=IA-ST-CFG-0224;SRC_REF=Row 244, Slot 3;SRC_FILE=Mamul Ambalaj Bileşen Listesi-30.07.2026(3).xlsx</t>
        </is>
      </c>
    </row>
    <row r="1288">
      <c r="A1288" s="19" t="inlineStr">
        <is>
          <t>1287</t>
        </is>
      </c>
      <c r="B1288" s="19" t="inlineStr">
        <is>
          <t>186</t>
        </is>
      </c>
      <c r="C1288" s="19" t="inlineStr">
        <is>
          <t>8</t>
        </is>
      </c>
      <c r="D1288" t="n">
        <v>20</v>
      </c>
      <c r="E1288" s="19" t="inlineStr">
        <is>
          <t>18</t>
        </is>
      </c>
      <c r="F1288" t="n">
        <v>3</v>
      </c>
      <c r="G1288" t="b">
        <v>0</v>
      </c>
      <c r="H1288" t="inlineStr">
        <is>
          <t>UOM=M;WEIGHT_BASIS=PROCESSED_SOURCE_UNIT_WEIGHT;LINE_WEIGHT_KG=0.3664;SOURCE_CFG=IA-ST-CFG-0224;SRC_REF=Row 244, Slot 5;SRC_FILE=Mamul Ambalaj Bileşen Listesi-30.07.2026(3).xlsx</t>
        </is>
      </c>
    </row>
    <row r="1289">
      <c r="A1289" s="19" t="inlineStr">
        <is>
          <t>1288</t>
        </is>
      </c>
      <c r="B1289" s="19" t="inlineStr">
        <is>
          <t>186</t>
        </is>
      </c>
      <c r="C1289" s="19" t="inlineStr">
        <is>
          <t>9</t>
        </is>
      </c>
      <c r="D1289" t="n">
        <v>0.186</v>
      </c>
      <c r="E1289" s="19" t="inlineStr">
        <is>
          <t>18</t>
        </is>
      </c>
      <c r="F1289" t="n">
        <v>4</v>
      </c>
      <c r="G1289" t="b">
        <v>0</v>
      </c>
      <c r="H1289" t="inlineStr">
        <is>
          <t>UOM=KG;WEIGHT_BASIS=RECIPE_QUANTITY_IS_KG;LINE_WEIGHT_KG=0.186;SOURCE_CFG=IA-ST-CFG-0224;SRC_REF=Row 244, Slot 6;SRC_FILE=Mamul Ambalaj Bileşen Listesi-30.07.2026(3).xlsx</t>
        </is>
      </c>
    </row>
    <row r="1290">
      <c r="A1290" s="19" t="inlineStr">
        <is>
          <t>1289</t>
        </is>
      </c>
      <c r="B1290" s="19" t="inlineStr">
        <is>
          <t>186</t>
        </is>
      </c>
      <c r="C1290" s="19" t="inlineStr">
        <is>
          <t>23</t>
        </is>
      </c>
      <c r="D1290" t="n">
        <v>2.736</v>
      </c>
      <c r="E1290" s="19" t="inlineStr">
        <is>
          <t>18</t>
        </is>
      </c>
      <c r="F1290" t="n">
        <v>5</v>
      </c>
      <c r="G1290" t="b">
        <v>0</v>
      </c>
      <c r="H1290" t="inlineStr">
        <is>
          <t>UOM=KG;WEIGHT_BASIS=RECIPE_QUANTITY_IS_KG;LINE_WEIGHT_KG=2.736;SOURCE_CFG=IA-ST-CFG-0224;SRC_REF=Row 244, Slot 7;SRC_FILE=Mamul Ambalaj Bileşen Listesi-30.07.2026(3).xlsx</t>
        </is>
      </c>
    </row>
    <row r="1291">
      <c r="A1291" s="19" t="inlineStr">
        <is>
          <t>1290</t>
        </is>
      </c>
      <c r="B1291" s="19" t="inlineStr">
        <is>
          <t>186</t>
        </is>
      </c>
      <c r="C1291" s="19" t="inlineStr">
        <is>
          <t>7</t>
        </is>
      </c>
      <c r="D1291" t="n">
        <v>4</v>
      </c>
      <c r="E1291" s="19" t="inlineStr">
        <is>
          <t>18</t>
        </is>
      </c>
      <c r="F1291" t="n">
        <v>6</v>
      </c>
      <c r="G1291" t="b">
        <v>0</v>
      </c>
      <c r="H1291" t="inlineStr">
        <is>
          <t>UOM=ADT;WEIGHT_BASIS=PROCESSED_SOURCE_UNIT_WEIGHT;LINE_WEIGHT_KG=1.08;SOURCE_CFG=IA-ST-CFG-0224;SRC_REF=Row 244, Slot 8;SRC_FILE=Mamul Ambalaj Bileşen Listesi-30.07.2026(3).xlsx</t>
        </is>
      </c>
    </row>
    <row r="1292">
      <c r="A1292" s="19" t="inlineStr">
        <is>
          <t>1291</t>
        </is>
      </c>
      <c r="B1292" s="19" t="inlineStr">
        <is>
          <t>187</t>
        </is>
      </c>
      <c r="C1292" s="19" t="inlineStr">
        <is>
          <t>15</t>
        </is>
      </c>
      <c r="D1292" t="n">
        <v>72</v>
      </c>
      <c r="E1292" s="19" t="inlineStr">
        <is>
          <t>18</t>
        </is>
      </c>
      <c r="F1292" t="n">
        <v>1</v>
      </c>
      <c r="G1292" t="b">
        <v>0</v>
      </c>
      <c r="H1292" t="inlineStr">
        <is>
          <t>UOM=ADT;WEIGHT_BASIS=SOURCE_UNIT_WEIGHT;LINE_WEIGHT_KG=0.04392;SOURCE_CFG=IA-ST-CFG-0225;SRC_REF=Row 163, Slot 1;SRC_FILE=Mamul Ambalaj Bileşen Listesi-30.07.2026(3).xlsx</t>
        </is>
      </c>
    </row>
    <row r="1293">
      <c r="A1293" s="19" t="inlineStr">
        <is>
          <t>1292</t>
        </is>
      </c>
      <c r="B1293" s="19" t="inlineStr">
        <is>
          <t>187</t>
        </is>
      </c>
      <c r="C1293" s="19" t="inlineStr">
        <is>
          <t>5</t>
        </is>
      </c>
      <c r="D1293" t="n">
        <v>1</v>
      </c>
      <c r="E1293" s="19" t="inlineStr">
        <is>
          <t>18</t>
        </is>
      </c>
      <c r="F1293" t="n">
        <v>2</v>
      </c>
      <c r="G1293" t="b">
        <v>0</v>
      </c>
      <c r="H1293" t="inlineStr">
        <is>
          <t>UOM=ADT;WEIGHT_BASIS=PROCESSED_SOURCE_UNIT_WEIGHT;LINE_WEIGHT_KG=26.0;SOURCE_CFG=IA-ST-CFG-0225;SRC_REF=Row 163, Slot 3;SRC_FILE=Mamul Ambalaj Bileşen Listesi-30.07.2026(3).xlsx</t>
        </is>
      </c>
    </row>
    <row r="1294">
      <c r="A1294" s="19" t="inlineStr">
        <is>
          <t>1293</t>
        </is>
      </c>
      <c r="B1294" s="19" t="inlineStr">
        <is>
          <t>187</t>
        </is>
      </c>
      <c r="C1294" s="19" t="inlineStr">
        <is>
          <t>8</t>
        </is>
      </c>
      <c r="D1294" t="n">
        <v>20</v>
      </c>
      <c r="E1294" s="19" t="inlineStr">
        <is>
          <t>18</t>
        </is>
      </c>
      <c r="F1294" t="n">
        <v>3</v>
      </c>
      <c r="G1294" t="b">
        <v>0</v>
      </c>
      <c r="H1294" t="inlineStr">
        <is>
          <t>UOM=M;WEIGHT_BASIS=PROCESSED_SOURCE_UNIT_WEIGHT;LINE_WEIGHT_KG=0.3664;SOURCE_CFG=IA-ST-CFG-0225;SRC_REF=Row 163, Slot 5;SRC_FILE=Mamul Ambalaj Bileşen Listesi-30.07.2026(3).xlsx</t>
        </is>
      </c>
    </row>
    <row r="1295">
      <c r="A1295" s="19" t="inlineStr">
        <is>
          <t>1294</t>
        </is>
      </c>
      <c r="B1295" s="19" t="inlineStr">
        <is>
          <t>187</t>
        </is>
      </c>
      <c r="C1295" s="19" t="inlineStr">
        <is>
          <t>9</t>
        </is>
      </c>
      <c r="D1295" t="n">
        <v>0.186</v>
      </c>
      <c r="E1295" s="19" t="inlineStr">
        <is>
          <t>18</t>
        </is>
      </c>
      <c r="F1295" t="n">
        <v>4</v>
      </c>
      <c r="G1295" t="b">
        <v>0</v>
      </c>
      <c r="H1295" t="inlineStr">
        <is>
          <t>UOM=KG;WEIGHT_BASIS=RECIPE_QUANTITY_IS_KG;LINE_WEIGHT_KG=0.186;SOURCE_CFG=IA-ST-CFG-0225;SRC_REF=Row 163, Slot 6;SRC_FILE=Mamul Ambalaj Bileşen Listesi-30.07.2026(3).xlsx</t>
        </is>
      </c>
    </row>
    <row r="1296">
      <c r="A1296" s="19" t="inlineStr">
        <is>
          <t>1295</t>
        </is>
      </c>
      <c r="B1296" s="19" t="inlineStr">
        <is>
          <t>187</t>
        </is>
      </c>
      <c r="C1296" s="19" t="inlineStr">
        <is>
          <t>21</t>
        </is>
      </c>
      <c r="D1296" t="n">
        <v>2.376</v>
      </c>
      <c r="E1296" s="19" t="inlineStr">
        <is>
          <t>18</t>
        </is>
      </c>
      <c r="F1296" t="n">
        <v>5</v>
      </c>
      <c r="G1296" t="b">
        <v>0</v>
      </c>
      <c r="H1296" t="inlineStr">
        <is>
          <t>UOM=KG;WEIGHT_BASIS=RECIPE_QUANTITY_IS_KG;LINE_WEIGHT_KG=2.376;SOURCE_CFG=IA-ST-CFG-0225;SRC_REF=Row 163, Slot 7;SRC_FILE=Mamul Ambalaj Bileşen Listesi-30.07.2026(3).xlsx</t>
        </is>
      </c>
    </row>
    <row r="1297">
      <c r="A1297" s="19" t="inlineStr">
        <is>
          <t>1296</t>
        </is>
      </c>
      <c r="B1297" s="19" t="inlineStr">
        <is>
          <t>187</t>
        </is>
      </c>
      <c r="C1297" s="19" t="inlineStr">
        <is>
          <t>7</t>
        </is>
      </c>
      <c r="D1297" t="n">
        <v>4</v>
      </c>
      <c r="E1297" s="19" t="inlineStr">
        <is>
          <t>18</t>
        </is>
      </c>
      <c r="F1297" t="n">
        <v>6</v>
      </c>
      <c r="G1297" t="b">
        <v>0</v>
      </c>
      <c r="H1297" t="inlineStr">
        <is>
          <t>UOM=ADT;WEIGHT_BASIS=PROCESSED_SOURCE_UNIT_WEIGHT;LINE_WEIGHT_KG=1.08;SOURCE_CFG=IA-ST-CFG-0225;SRC_REF=Row 163, Slot 8;SRC_FILE=Mamul Ambalaj Bileşen Listesi-30.07.2026(3).xlsx</t>
        </is>
      </c>
    </row>
    <row r="1298">
      <c r="A1298" s="19" t="inlineStr">
        <is>
          <t>1297</t>
        </is>
      </c>
      <c r="B1298" s="19" t="inlineStr">
        <is>
          <t>188</t>
        </is>
      </c>
      <c r="C1298" s="19" t="inlineStr">
        <is>
          <t>5</t>
        </is>
      </c>
      <c r="D1298" t="n">
        <v>1</v>
      </c>
      <c r="E1298" s="19" t="inlineStr">
        <is>
          <t>18</t>
        </is>
      </c>
      <c r="F1298" t="n">
        <v>1</v>
      </c>
      <c r="G1298" t="b">
        <v>0</v>
      </c>
      <c r="H1298" t="inlineStr">
        <is>
          <t>UOM=ADT;WEIGHT_BASIS=PROCESSED_SOURCE_UNIT_WEIGHT;LINE_WEIGHT_KG=26.0;SOURCE_CFG=IA-ST-CFG-0226;SRC_REF=Row 556, Slot 3;SRC_FILE=Mamul Ambalaj Bileşen Listesi-30.07.2026(3).xlsx</t>
        </is>
      </c>
    </row>
    <row r="1299">
      <c r="A1299" s="19" t="inlineStr">
        <is>
          <t>1298</t>
        </is>
      </c>
      <c r="B1299" s="19" t="inlineStr">
        <is>
          <t>188</t>
        </is>
      </c>
      <c r="C1299" s="19" t="inlineStr">
        <is>
          <t>8</t>
        </is>
      </c>
      <c r="D1299" t="n">
        <v>20</v>
      </c>
      <c r="E1299" s="19" t="inlineStr">
        <is>
          <t>18</t>
        </is>
      </c>
      <c r="F1299" t="n">
        <v>2</v>
      </c>
      <c r="G1299" t="b">
        <v>0</v>
      </c>
      <c r="H1299" t="inlineStr">
        <is>
          <t>UOM=M;WEIGHT_BASIS=PROCESSED_SOURCE_UNIT_WEIGHT;LINE_WEIGHT_KG=0.3664;SOURCE_CFG=IA-ST-CFG-0226;SRC_REF=Row 556, Slot 5;SRC_FILE=Mamul Ambalaj Bileşen Listesi-30.07.2026(3).xlsx</t>
        </is>
      </c>
    </row>
    <row r="1300">
      <c r="A1300" s="19" t="inlineStr">
        <is>
          <t>1299</t>
        </is>
      </c>
      <c r="B1300" s="19" t="inlineStr">
        <is>
          <t>188</t>
        </is>
      </c>
      <c r="C1300" s="19" t="inlineStr">
        <is>
          <t>9</t>
        </is>
      </c>
      <c r="D1300" t="n">
        <v>0.186</v>
      </c>
      <c r="E1300" s="19" t="inlineStr">
        <is>
          <t>18</t>
        </is>
      </c>
      <c r="F1300" t="n">
        <v>3</v>
      </c>
      <c r="G1300" t="b">
        <v>0</v>
      </c>
      <c r="H1300" t="inlineStr">
        <is>
          <t>UOM=KG;WEIGHT_BASIS=RECIPE_QUANTITY_IS_KG;LINE_WEIGHT_KG=0.186;SOURCE_CFG=IA-ST-CFG-0226;SRC_REF=Row 556, Slot 6;SRC_FILE=Mamul Ambalaj Bileşen Listesi-30.07.2026(3).xlsx</t>
        </is>
      </c>
    </row>
    <row r="1301">
      <c r="A1301" s="19" t="inlineStr">
        <is>
          <t>1300</t>
        </is>
      </c>
      <c r="B1301" s="19" t="inlineStr">
        <is>
          <t>188</t>
        </is>
      </c>
      <c r="C1301" s="19" t="inlineStr">
        <is>
          <t>23</t>
        </is>
      </c>
      <c r="D1301" t="n">
        <v>2.376</v>
      </c>
      <c r="E1301" s="19" t="inlineStr">
        <is>
          <t>18</t>
        </is>
      </c>
      <c r="F1301" t="n">
        <v>4</v>
      </c>
      <c r="G1301" t="b">
        <v>0</v>
      </c>
      <c r="H1301" t="inlineStr">
        <is>
          <t>UOM=KG;WEIGHT_BASIS=RECIPE_QUANTITY_IS_KG;LINE_WEIGHT_KG=2.376;SOURCE_CFG=IA-ST-CFG-0226;SRC_REF=Row 556, Slot 7;SRC_FILE=Mamul Ambalaj Bileşen Listesi-30.07.2026(3).xlsx</t>
        </is>
      </c>
    </row>
    <row r="1302">
      <c r="A1302" s="19" t="inlineStr">
        <is>
          <t>1301</t>
        </is>
      </c>
      <c r="B1302" s="19" t="inlineStr">
        <is>
          <t>188</t>
        </is>
      </c>
      <c r="C1302" s="19" t="inlineStr">
        <is>
          <t>7</t>
        </is>
      </c>
      <c r="D1302" t="n">
        <v>4</v>
      </c>
      <c r="E1302" s="19" t="inlineStr">
        <is>
          <t>18</t>
        </is>
      </c>
      <c r="F1302" t="n">
        <v>5</v>
      </c>
      <c r="G1302" t="b">
        <v>0</v>
      </c>
      <c r="H1302" t="inlineStr">
        <is>
          <t>UOM=ADT;WEIGHT_BASIS=PROCESSED_SOURCE_UNIT_WEIGHT;LINE_WEIGHT_KG=1.08;SOURCE_CFG=IA-ST-CFG-0226;SRC_REF=Row 556, Slot 8;SRC_FILE=Mamul Ambalaj Bileşen Listesi-30.07.2026(3).xlsx</t>
        </is>
      </c>
    </row>
    <row r="1303">
      <c r="A1303" s="19" t="inlineStr">
        <is>
          <t>1302</t>
        </is>
      </c>
      <c r="B1303" s="19" t="inlineStr">
        <is>
          <t>189</t>
        </is>
      </c>
      <c r="C1303" s="19" t="inlineStr">
        <is>
          <t>5</t>
        </is>
      </c>
      <c r="D1303" t="n">
        <v>1</v>
      </c>
      <c r="E1303" s="19" t="inlineStr">
        <is>
          <t>18</t>
        </is>
      </c>
      <c r="F1303" t="n">
        <v>1</v>
      </c>
      <c r="G1303" t="b">
        <v>0</v>
      </c>
      <c r="H1303" t="inlineStr">
        <is>
          <t>UOM=ADT;WEIGHT_BASIS=PROCESSED_SOURCE_UNIT_WEIGHT;LINE_WEIGHT_KG=26.0;SOURCE_CFG=IA-ST-CFG-0227;SRC_REF=Row 234, Slot 3;SRC_FILE=Mamul Ambalaj Bileşen Listesi-30.07.2026(3).xlsx</t>
        </is>
      </c>
    </row>
    <row r="1304">
      <c r="A1304" s="19" t="inlineStr">
        <is>
          <t>1303</t>
        </is>
      </c>
      <c r="B1304" s="19" t="inlineStr">
        <is>
          <t>189</t>
        </is>
      </c>
      <c r="C1304" s="19" t="inlineStr">
        <is>
          <t>8</t>
        </is>
      </c>
      <c r="D1304" t="n">
        <v>20</v>
      </c>
      <c r="E1304" s="19" t="inlineStr">
        <is>
          <t>18</t>
        </is>
      </c>
      <c r="F1304" t="n">
        <v>2</v>
      </c>
      <c r="G1304" t="b">
        <v>0</v>
      </c>
      <c r="H1304" t="inlineStr">
        <is>
          <t>UOM=M;WEIGHT_BASIS=PROCESSED_SOURCE_UNIT_WEIGHT;LINE_WEIGHT_KG=0.3664;SOURCE_CFG=IA-ST-CFG-0227;SRC_REF=Row 234, Slot 5;SRC_FILE=Mamul Ambalaj Bileşen Listesi-30.07.2026(3).xlsx</t>
        </is>
      </c>
    </row>
    <row r="1305">
      <c r="A1305" s="19" t="inlineStr">
        <is>
          <t>1304</t>
        </is>
      </c>
      <c r="B1305" s="19" t="inlineStr">
        <is>
          <t>189</t>
        </is>
      </c>
      <c r="C1305" s="19" t="inlineStr">
        <is>
          <t>9</t>
        </is>
      </c>
      <c r="D1305" t="n">
        <v>0.186</v>
      </c>
      <c r="E1305" s="19" t="inlineStr">
        <is>
          <t>18</t>
        </is>
      </c>
      <c r="F1305" t="n">
        <v>3</v>
      </c>
      <c r="G1305" t="b">
        <v>0</v>
      </c>
      <c r="H1305" t="inlineStr">
        <is>
          <t>UOM=KG;WEIGHT_BASIS=RECIPE_QUANTITY_IS_KG;LINE_WEIGHT_KG=0.186;SOURCE_CFG=IA-ST-CFG-0227;SRC_REF=Row 234, Slot 6;SRC_FILE=Mamul Ambalaj Bileşen Listesi-30.07.2026(3).xlsx</t>
        </is>
      </c>
    </row>
    <row r="1306">
      <c r="A1306" s="19" t="inlineStr">
        <is>
          <t>1305</t>
        </is>
      </c>
      <c r="B1306" s="19" t="inlineStr">
        <is>
          <t>189</t>
        </is>
      </c>
      <c r="C1306" s="19" t="inlineStr">
        <is>
          <t>23</t>
        </is>
      </c>
      <c r="D1306" t="n">
        <v>2.736</v>
      </c>
      <c r="E1306" s="19" t="inlineStr">
        <is>
          <t>18</t>
        </is>
      </c>
      <c r="F1306" t="n">
        <v>4</v>
      </c>
      <c r="G1306" t="b">
        <v>0</v>
      </c>
      <c r="H1306" t="inlineStr">
        <is>
          <t>UOM=KG;WEIGHT_BASIS=RECIPE_QUANTITY_IS_KG;LINE_WEIGHT_KG=2.736;SOURCE_CFG=IA-ST-CFG-0227;SRC_REF=Row 234, Slot 7;SRC_FILE=Mamul Ambalaj Bileşen Listesi-30.07.2026(3).xlsx</t>
        </is>
      </c>
    </row>
    <row r="1307">
      <c r="A1307" s="19" t="inlineStr">
        <is>
          <t>1306</t>
        </is>
      </c>
      <c r="B1307" s="19" t="inlineStr">
        <is>
          <t>189</t>
        </is>
      </c>
      <c r="C1307" s="19" t="inlineStr">
        <is>
          <t>7</t>
        </is>
      </c>
      <c r="D1307" t="n">
        <v>4</v>
      </c>
      <c r="E1307" s="19" t="inlineStr">
        <is>
          <t>18</t>
        </is>
      </c>
      <c r="F1307" t="n">
        <v>5</v>
      </c>
      <c r="G1307" t="b">
        <v>0</v>
      </c>
      <c r="H1307" t="inlineStr">
        <is>
          <t>UOM=ADT;WEIGHT_BASIS=PROCESSED_SOURCE_UNIT_WEIGHT;LINE_WEIGHT_KG=1.08;SOURCE_CFG=IA-ST-CFG-0227;SRC_REF=Row 234, Slot 8;SRC_FILE=Mamul Ambalaj Bileşen Listesi-30.07.2026(3).xlsx</t>
        </is>
      </c>
    </row>
    <row r="1308">
      <c r="A1308" s="19" t="inlineStr">
        <is>
          <t>1307</t>
        </is>
      </c>
      <c r="B1308" s="19" t="inlineStr">
        <is>
          <t>190</t>
        </is>
      </c>
      <c r="C1308" s="19" t="inlineStr">
        <is>
          <t>11</t>
        </is>
      </c>
      <c r="D1308" t="n">
        <v>3</v>
      </c>
      <c r="E1308" s="19" t="inlineStr">
        <is>
          <t>18</t>
        </is>
      </c>
      <c r="F1308" t="n">
        <v>1</v>
      </c>
      <c r="G1308" t="b">
        <v>0</v>
      </c>
      <c r="H1308" t="inlineStr">
        <is>
          <t>UOM=ADT;WEIGHT_BASIS=PROCESSED_SOURCE_UNIT_WEIGHT;LINE_WEIGHT_KG=0.312;SOURCE_CFG=IA-ST-CFG-0228;SRC_REF=Row 587, Slot 1;SRC_FILE=Mamul Ambalaj Bileşen Listesi-30.07.2026(3).xlsx</t>
        </is>
      </c>
    </row>
    <row r="1309">
      <c r="A1309" s="19" t="inlineStr">
        <is>
          <t>1308</t>
        </is>
      </c>
      <c r="B1309" s="19" t="inlineStr">
        <is>
          <t>190</t>
        </is>
      </c>
      <c r="C1309" s="19" t="inlineStr">
        <is>
          <t>13</t>
        </is>
      </c>
      <c r="D1309" t="n">
        <v>14</v>
      </c>
      <c r="E1309" s="19" t="inlineStr">
        <is>
          <t>18</t>
        </is>
      </c>
      <c r="F1309" t="n">
        <v>2</v>
      </c>
      <c r="G1309" t="b">
        <v>0</v>
      </c>
      <c r="H1309" t="inlineStr">
        <is>
          <t>UOM=M;WEIGHT_BASIS=PROCESSED_SOURCE_UNIT_WEIGHT;LINE_WEIGHT_KG=0.1736;SOURCE_CFG=IA-ST-CFG-0228;SRC_REF=Row 587, Slot 2;SRC_FILE=Mamul Ambalaj Bileşen Listesi-30.07.2026(3).xlsx</t>
        </is>
      </c>
    </row>
    <row r="1310">
      <c r="A1310" s="19" t="inlineStr">
        <is>
          <t>1309</t>
        </is>
      </c>
      <c r="B1310" s="19" t="inlineStr">
        <is>
          <t>190</t>
        </is>
      </c>
      <c r="C1310" s="19" t="inlineStr">
        <is>
          <t>5</t>
        </is>
      </c>
      <c r="D1310" t="n">
        <v>1</v>
      </c>
      <c r="E1310" s="19" t="inlineStr">
        <is>
          <t>18</t>
        </is>
      </c>
      <c r="F1310" t="n">
        <v>3</v>
      </c>
      <c r="G1310" t="b">
        <v>0</v>
      </c>
      <c r="H1310" t="inlineStr">
        <is>
          <t>UOM=ADT;WEIGHT_BASIS=PROCESSED_SOURCE_UNIT_WEIGHT;LINE_WEIGHT_KG=26.0;SOURCE_CFG=IA-ST-CFG-0228;SRC_REF=Row 587, Slot 3;SRC_FILE=Mamul Ambalaj Bileşen Listesi-30.07.2026(3).xlsx</t>
        </is>
      </c>
    </row>
    <row r="1311">
      <c r="A1311" s="19" t="inlineStr">
        <is>
          <t>1310</t>
        </is>
      </c>
      <c r="B1311" s="19" t="inlineStr">
        <is>
          <t>190</t>
        </is>
      </c>
      <c r="C1311" s="19" t="inlineStr">
        <is>
          <t>8</t>
        </is>
      </c>
      <c r="D1311" t="n">
        <v>20</v>
      </c>
      <c r="E1311" s="19" t="inlineStr">
        <is>
          <t>18</t>
        </is>
      </c>
      <c r="F1311" t="n">
        <v>4</v>
      </c>
      <c r="G1311" t="b">
        <v>0</v>
      </c>
      <c r="H1311" t="inlineStr">
        <is>
          <t>UOM=M;WEIGHT_BASIS=PROCESSED_SOURCE_UNIT_WEIGHT;LINE_WEIGHT_KG=0.3664;SOURCE_CFG=IA-ST-CFG-0228;SRC_REF=Row 587, Slot 5;SRC_FILE=Mamul Ambalaj Bileşen Listesi-30.07.2026(3).xlsx</t>
        </is>
      </c>
    </row>
    <row r="1312">
      <c r="A1312" s="19" t="inlineStr">
        <is>
          <t>1311</t>
        </is>
      </c>
      <c r="B1312" s="19" t="inlineStr">
        <is>
          <t>190</t>
        </is>
      </c>
      <c r="C1312" s="19" t="inlineStr">
        <is>
          <t>55</t>
        </is>
      </c>
      <c r="D1312" t="n">
        <v>0.597</v>
      </c>
      <c r="E1312" s="19" t="inlineStr">
        <is>
          <t>18</t>
        </is>
      </c>
      <c r="F1312" t="n">
        <v>5</v>
      </c>
      <c r="G1312" t="b">
        <v>0</v>
      </c>
      <c r="H1312" t="inlineStr">
        <is>
          <t>UOM=KG;WEIGHT_BASIS=RECIPE_QUANTITY_IS_KG;LINE_WEIGHT_KG=0.597;SOURCE_CFG=IA-ST-CFG-0228;SRC_REF=Row 587, Slot 6;SRC_FILE=Mamul Ambalaj Bileşen Listesi-30.07.2026(3).xlsx</t>
        </is>
      </c>
    </row>
    <row r="1313">
      <c r="A1313" s="19" t="inlineStr">
        <is>
          <t>1312</t>
        </is>
      </c>
      <c r="B1313" s="19" t="inlineStr">
        <is>
          <t>190</t>
        </is>
      </c>
      <c r="C1313" s="19" t="inlineStr">
        <is>
          <t>7</t>
        </is>
      </c>
      <c r="D1313" t="n">
        <v>4</v>
      </c>
      <c r="E1313" s="19" t="inlineStr">
        <is>
          <t>18</t>
        </is>
      </c>
      <c r="F1313" t="n">
        <v>6</v>
      </c>
      <c r="G1313" t="b">
        <v>0</v>
      </c>
      <c r="H1313" t="inlineStr">
        <is>
          <t>UOM=ADT;WEIGHT_BASIS=PROCESSED_SOURCE_UNIT_WEIGHT;LINE_WEIGHT_KG=1.08;SOURCE_CFG=IA-ST-CFG-0228;SRC_REF=Row 587, Slot 8;SRC_FILE=Mamul Ambalaj Bileşen Listesi-30.07.2026(3).xlsx</t>
        </is>
      </c>
    </row>
    <row r="1314">
      <c r="A1314" s="19" t="inlineStr">
        <is>
          <t>1313</t>
        </is>
      </c>
      <c r="B1314" s="19" t="inlineStr">
        <is>
          <t>190</t>
        </is>
      </c>
      <c r="C1314" s="19" t="inlineStr">
        <is>
          <t>54</t>
        </is>
      </c>
      <c r="D1314" t="n">
        <v>4</v>
      </c>
      <c r="E1314" s="19" t="inlineStr">
        <is>
          <t>18</t>
        </is>
      </c>
      <c r="F1314" t="n">
        <v>7</v>
      </c>
      <c r="G1314" t="b">
        <v>0</v>
      </c>
      <c r="H1314" t="inlineStr">
        <is>
          <t>UOM=ADT;WEIGHT_BASIS=PROCESSED_SOURCE_UNIT_WEIGHT;LINE_WEIGHT_KG=0.12;SOURCE_CFG=IA-ST-CFG-0228;SRC_REF=Row 587, Slot 9;SRC_FILE=Mamul Ambalaj Bileşen Listesi-30.07.2026(3).xlsx</t>
        </is>
      </c>
    </row>
    <row r="1315">
      <c r="A1315" s="19" t="inlineStr">
        <is>
          <t>1314</t>
        </is>
      </c>
      <c r="B1315" s="19" t="inlineStr">
        <is>
          <t>191</t>
        </is>
      </c>
      <c r="C1315" s="19" t="inlineStr">
        <is>
          <t>13</t>
        </is>
      </c>
      <c r="D1315" t="n">
        <v>14</v>
      </c>
      <c r="E1315" s="19" t="inlineStr">
        <is>
          <t>18</t>
        </is>
      </c>
      <c r="F1315" t="n">
        <v>1</v>
      </c>
      <c r="G1315" t="b">
        <v>0</v>
      </c>
      <c r="H1315" t="inlineStr">
        <is>
          <t>UOM=M;WEIGHT_BASIS=PROCESSED_SOURCE_UNIT_WEIGHT;LINE_WEIGHT_KG=0.1736;SOURCE_CFG=IA-ST-CFG-0229;SRC_REF=Row 1155, Slot 1;SRC_FILE=Mamul Ambalaj Bileşen Listesi-30.07.2026(3).xlsx</t>
        </is>
      </c>
    </row>
    <row r="1316">
      <c r="A1316" s="19" t="inlineStr">
        <is>
          <t>1315</t>
        </is>
      </c>
      <c r="B1316" s="19" t="inlineStr">
        <is>
          <t>191</t>
        </is>
      </c>
      <c r="C1316" s="19" t="inlineStr">
        <is>
          <t>5</t>
        </is>
      </c>
      <c r="D1316" t="n">
        <v>1</v>
      </c>
      <c r="E1316" s="19" t="inlineStr">
        <is>
          <t>18</t>
        </is>
      </c>
      <c r="F1316" t="n">
        <v>2</v>
      </c>
      <c r="G1316" t="b">
        <v>0</v>
      </c>
      <c r="H1316" t="inlineStr">
        <is>
          <t>UOM=ADT;WEIGHT_BASIS=PROCESSED_SOURCE_UNIT_WEIGHT;LINE_WEIGHT_KG=26.0;SOURCE_CFG=IA-ST-CFG-0229;SRC_REF=Row 1155, Slot 3;SRC_FILE=Mamul Ambalaj Bileşen Listesi-30.07.2026(3).xlsx</t>
        </is>
      </c>
    </row>
    <row r="1317">
      <c r="A1317" s="19" t="inlineStr">
        <is>
          <t>1316</t>
        </is>
      </c>
      <c r="B1317" s="19" t="inlineStr">
        <is>
          <t>191</t>
        </is>
      </c>
      <c r="C1317" s="19" t="inlineStr">
        <is>
          <t>8</t>
        </is>
      </c>
      <c r="D1317" t="n">
        <v>20</v>
      </c>
      <c r="E1317" s="19" t="inlineStr">
        <is>
          <t>18</t>
        </is>
      </c>
      <c r="F1317" t="n">
        <v>3</v>
      </c>
      <c r="G1317" t="b">
        <v>0</v>
      </c>
      <c r="H1317" t="inlineStr">
        <is>
          <t>UOM=M;WEIGHT_BASIS=PROCESSED_SOURCE_UNIT_WEIGHT;LINE_WEIGHT_KG=0.3664;SOURCE_CFG=IA-ST-CFG-0229;SRC_REF=Row 1155, Slot 5;SRC_FILE=Mamul Ambalaj Bileşen Listesi-30.07.2026(3).xlsx</t>
        </is>
      </c>
    </row>
    <row r="1318">
      <c r="A1318" s="19" t="inlineStr">
        <is>
          <t>1317</t>
        </is>
      </c>
      <c r="B1318" s="19" t="inlineStr">
        <is>
          <t>191</t>
        </is>
      </c>
      <c r="C1318" s="19" t="inlineStr">
        <is>
          <t>55</t>
        </is>
      </c>
      <c r="D1318" t="n">
        <v>0.597</v>
      </c>
      <c r="E1318" s="19" t="inlineStr">
        <is>
          <t>18</t>
        </is>
      </c>
      <c r="F1318" t="n">
        <v>4</v>
      </c>
      <c r="G1318" t="b">
        <v>0</v>
      </c>
      <c r="H1318" t="inlineStr">
        <is>
          <t>UOM=KG;WEIGHT_BASIS=RECIPE_QUANTITY_IS_KG;LINE_WEIGHT_KG=0.597;SOURCE_CFG=IA-ST-CFG-0229;SRC_REF=Row 1155, Slot 6;SRC_FILE=Mamul Ambalaj Bileşen Listesi-30.07.2026(3).xlsx</t>
        </is>
      </c>
    </row>
    <row r="1319">
      <c r="A1319" s="19" t="inlineStr">
        <is>
          <t>1318</t>
        </is>
      </c>
      <c r="B1319" s="19" t="inlineStr">
        <is>
          <t>191</t>
        </is>
      </c>
      <c r="C1319" s="19" t="inlineStr">
        <is>
          <t>7</t>
        </is>
      </c>
      <c r="D1319" t="n">
        <v>4</v>
      </c>
      <c r="E1319" s="19" t="inlineStr">
        <is>
          <t>18</t>
        </is>
      </c>
      <c r="F1319" t="n">
        <v>5</v>
      </c>
      <c r="G1319" t="b">
        <v>0</v>
      </c>
      <c r="H1319" t="inlineStr">
        <is>
          <t>UOM=ADT;WEIGHT_BASIS=PROCESSED_SOURCE_UNIT_WEIGHT;LINE_WEIGHT_KG=1.08;SOURCE_CFG=IA-ST-CFG-0229;SRC_REF=Row 1155, Slot 8;SRC_FILE=Mamul Ambalaj Bileşen Listesi-30.07.2026(3).xlsx</t>
        </is>
      </c>
    </row>
    <row r="1320">
      <c r="A1320" s="19" t="inlineStr">
        <is>
          <t>1319</t>
        </is>
      </c>
      <c r="B1320" s="19" t="inlineStr">
        <is>
          <t>191</t>
        </is>
      </c>
      <c r="C1320" s="19" t="inlineStr">
        <is>
          <t>25</t>
        </is>
      </c>
      <c r="D1320" t="n">
        <v>2</v>
      </c>
      <c r="E1320" s="19" t="inlineStr">
        <is>
          <t>18</t>
        </is>
      </c>
      <c r="F1320" t="n">
        <v>6</v>
      </c>
      <c r="G1320" t="b">
        <v>0</v>
      </c>
      <c r="H1320" t="inlineStr">
        <is>
          <t>UOM=ADT;WEIGHT_BASIS=PROCESSED_SOURCE_UNIT_WEIGHT;LINE_WEIGHT_KG=0.2;SOURCE_CFG=IA-ST-CFG-0229;SRC_REF=Row 1155, Slot 9;SRC_FILE=Mamul Ambalaj Bileşen Listesi-30.07.2026(3).xlsx</t>
        </is>
      </c>
    </row>
    <row r="1321">
      <c r="A1321" s="19" t="inlineStr">
        <is>
          <t>1320</t>
        </is>
      </c>
      <c r="B1321" s="19" t="inlineStr">
        <is>
          <t>192</t>
        </is>
      </c>
      <c r="C1321" s="19" t="inlineStr">
        <is>
          <t>13</t>
        </is>
      </c>
      <c r="D1321" t="n">
        <v>14</v>
      </c>
      <c r="E1321" s="19" t="inlineStr">
        <is>
          <t>18</t>
        </is>
      </c>
      <c r="F1321" t="n">
        <v>1</v>
      </c>
      <c r="G1321" t="b">
        <v>0</v>
      </c>
      <c r="H1321" t="inlineStr">
        <is>
          <t>UOM=M;WEIGHT_BASIS=PROCESSED_SOURCE_UNIT_WEIGHT;LINE_WEIGHT_KG=0.1736;SOURCE_CFG=IA-ST-CFG-0230;SRC_REF=Row 619, Slot 1;SRC_FILE=Mamul Ambalaj Bileşen Listesi-30.07.2026(3).xlsx</t>
        </is>
      </c>
    </row>
    <row r="1322">
      <c r="A1322" s="19" t="inlineStr">
        <is>
          <t>1321</t>
        </is>
      </c>
      <c r="B1322" s="19" t="inlineStr">
        <is>
          <t>192</t>
        </is>
      </c>
      <c r="C1322" s="19" t="inlineStr">
        <is>
          <t>5</t>
        </is>
      </c>
      <c r="D1322" t="n">
        <v>1</v>
      </c>
      <c r="E1322" s="19" t="inlineStr">
        <is>
          <t>18</t>
        </is>
      </c>
      <c r="F1322" t="n">
        <v>2</v>
      </c>
      <c r="G1322" t="b">
        <v>0</v>
      </c>
      <c r="H1322" t="inlineStr">
        <is>
          <t>UOM=ADT;WEIGHT_BASIS=PROCESSED_SOURCE_UNIT_WEIGHT;LINE_WEIGHT_KG=26.0;SOURCE_CFG=IA-ST-CFG-0230;SRC_REF=Row 619, Slot 3;SRC_FILE=Mamul Ambalaj Bileşen Listesi-30.07.2026(3).xlsx</t>
        </is>
      </c>
    </row>
    <row r="1323">
      <c r="A1323" s="19" t="inlineStr">
        <is>
          <t>1322</t>
        </is>
      </c>
      <c r="B1323" s="19" t="inlineStr">
        <is>
          <t>192</t>
        </is>
      </c>
      <c r="C1323" s="19" t="inlineStr">
        <is>
          <t>8</t>
        </is>
      </c>
      <c r="D1323" t="n">
        <v>20</v>
      </c>
      <c r="E1323" s="19" t="inlineStr">
        <is>
          <t>18</t>
        </is>
      </c>
      <c r="F1323" t="n">
        <v>3</v>
      </c>
      <c r="G1323" t="b">
        <v>0</v>
      </c>
      <c r="H1323" t="inlineStr">
        <is>
          <t>UOM=M;WEIGHT_BASIS=PROCESSED_SOURCE_UNIT_WEIGHT;LINE_WEIGHT_KG=0.3664;SOURCE_CFG=IA-ST-CFG-0230;SRC_REF=Row 619, Slot 5;SRC_FILE=Mamul Ambalaj Bileşen Listesi-30.07.2026(3).xlsx</t>
        </is>
      </c>
    </row>
    <row r="1324">
      <c r="A1324" s="19" t="inlineStr">
        <is>
          <t>1323</t>
        </is>
      </c>
      <c r="B1324" s="19" t="inlineStr">
        <is>
          <t>192</t>
        </is>
      </c>
      <c r="C1324" s="19" t="inlineStr">
        <is>
          <t>55</t>
        </is>
      </c>
      <c r="D1324" t="n">
        <v>0.597</v>
      </c>
      <c r="E1324" s="19" t="inlineStr">
        <is>
          <t>18</t>
        </is>
      </c>
      <c r="F1324" t="n">
        <v>4</v>
      </c>
      <c r="G1324" t="b">
        <v>0</v>
      </c>
      <c r="H1324" t="inlineStr">
        <is>
          <t>UOM=KG;WEIGHT_BASIS=RECIPE_QUANTITY_IS_KG;LINE_WEIGHT_KG=0.597;SOURCE_CFG=IA-ST-CFG-0230;SRC_REF=Row 619, Slot 6;SRC_FILE=Mamul Ambalaj Bileşen Listesi-30.07.2026(3).xlsx</t>
        </is>
      </c>
    </row>
    <row r="1325">
      <c r="A1325" s="19" t="inlineStr">
        <is>
          <t>1324</t>
        </is>
      </c>
      <c r="B1325" s="19" t="inlineStr">
        <is>
          <t>192</t>
        </is>
      </c>
      <c r="C1325" s="19" t="inlineStr">
        <is>
          <t>7</t>
        </is>
      </c>
      <c r="D1325" t="n">
        <v>4</v>
      </c>
      <c r="E1325" s="19" t="inlineStr">
        <is>
          <t>18</t>
        </is>
      </c>
      <c r="F1325" t="n">
        <v>5</v>
      </c>
      <c r="G1325" t="b">
        <v>0</v>
      </c>
      <c r="H1325" t="inlineStr">
        <is>
          <t>UOM=ADT;WEIGHT_BASIS=PROCESSED_SOURCE_UNIT_WEIGHT;LINE_WEIGHT_KG=1.08;SOURCE_CFG=IA-ST-CFG-0230;SRC_REF=Row 619, Slot 8;SRC_FILE=Mamul Ambalaj Bileşen Listesi-30.07.2026(3).xlsx</t>
        </is>
      </c>
    </row>
    <row r="1326">
      <c r="A1326" s="19" t="inlineStr">
        <is>
          <t>1325</t>
        </is>
      </c>
      <c r="B1326" s="19" t="inlineStr">
        <is>
          <t>192</t>
        </is>
      </c>
      <c r="C1326" s="19" t="inlineStr">
        <is>
          <t>25</t>
        </is>
      </c>
      <c r="D1326" t="n">
        <v>4</v>
      </c>
      <c r="E1326" s="19" t="inlineStr">
        <is>
          <t>18</t>
        </is>
      </c>
      <c r="F1326" t="n">
        <v>6</v>
      </c>
      <c r="G1326" t="b">
        <v>0</v>
      </c>
      <c r="H1326" t="inlineStr">
        <is>
          <t>UOM=ADT;WEIGHT_BASIS=PROCESSED_SOURCE_UNIT_WEIGHT;LINE_WEIGHT_KG=0.4;SOURCE_CFG=IA-ST-CFG-0230;SRC_REF=Row 619, Slot 9;SRC_FILE=Mamul Ambalaj Bileşen Listesi-30.07.2026(3).xlsx</t>
        </is>
      </c>
    </row>
    <row r="1327">
      <c r="A1327" s="19" t="inlineStr">
        <is>
          <t>1326</t>
        </is>
      </c>
      <c r="B1327" s="19" t="inlineStr">
        <is>
          <t>193</t>
        </is>
      </c>
      <c r="C1327" s="19" t="inlineStr">
        <is>
          <t>13</t>
        </is>
      </c>
      <c r="D1327" t="n">
        <v>7</v>
      </c>
      <c r="E1327" s="19" t="inlineStr">
        <is>
          <t>18</t>
        </is>
      </c>
      <c r="F1327" t="n">
        <v>1</v>
      </c>
      <c r="G1327" t="b">
        <v>0</v>
      </c>
      <c r="H1327" t="inlineStr">
        <is>
          <t>UOM=M;WEIGHT_BASIS=PROCESSED_SOURCE_UNIT_WEIGHT;LINE_WEIGHT_KG=0.0868;SOURCE_CFG=IA-ST-CFG-0231;SRC_REF=Row 452, Slot 1;SRC_FILE=Mamul Ambalaj Bileşen Listesi-30.07.2026(3).xlsx</t>
        </is>
      </c>
    </row>
    <row r="1328">
      <c r="A1328" s="19" t="inlineStr">
        <is>
          <t>1327</t>
        </is>
      </c>
      <c r="B1328" s="19" t="inlineStr">
        <is>
          <t>193</t>
        </is>
      </c>
      <c r="C1328" s="19" t="inlineStr">
        <is>
          <t>5</t>
        </is>
      </c>
      <c r="D1328" t="n">
        <v>1</v>
      </c>
      <c r="E1328" s="19" t="inlineStr">
        <is>
          <t>18</t>
        </is>
      </c>
      <c r="F1328" t="n">
        <v>2</v>
      </c>
      <c r="G1328" t="b">
        <v>0</v>
      </c>
      <c r="H1328" t="inlineStr">
        <is>
          <t>UOM=ADT;WEIGHT_BASIS=PROCESSED_SOURCE_UNIT_WEIGHT;LINE_WEIGHT_KG=26.0;SOURCE_CFG=IA-ST-CFG-0231;SRC_REF=Row 452, Slot 3;SRC_FILE=Mamul Ambalaj Bileşen Listesi-30.07.2026(3).xlsx</t>
        </is>
      </c>
    </row>
    <row r="1329">
      <c r="A1329" s="19" t="inlineStr">
        <is>
          <t>1328</t>
        </is>
      </c>
      <c r="B1329" s="19" t="inlineStr">
        <is>
          <t>193</t>
        </is>
      </c>
      <c r="C1329" s="19" t="inlineStr">
        <is>
          <t>8</t>
        </is>
      </c>
      <c r="D1329" t="n">
        <v>20</v>
      </c>
      <c r="E1329" s="19" t="inlineStr">
        <is>
          <t>18</t>
        </is>
      </c>
      <c r="F1329" t="n">
        <v>3</v>
      </c>
      <c r="G1329" t="b">
        <v>0</v>
      </c>
      <c r="H1329" t="inlineStr">
        <is>
          <t>UOM=M;WEIGHT_BASIS=PROCESSED_SOURCE_UNIT_WEIGHT;LINE_WEIGHT_KG=0.3664;SOURCE_CFG=IA-ST-CFG-0231;SRC_REF=Row 452, Slot 5;SRC_FILE=Mamul Ambalaj Bileşen Listesi-30.07.2026(3).xlsx</t>
        </is>
      </c>
    </row>
    <row r="1330">
      <c r="A1330" s="19" t="inlineStr">
        <is>
          <t>1329</t>
        </is>
      </c>
      <c r="B1330" s="19" t="inlineStr">
        <is>
          <t>193</t>
        </is>
      </c>
      <c r="C1330" s="19" t="inlineStr">
        <is>
          <t>9</t>
        </is>
      </c>
      <c r="D1330" t="n">
        <v>0.186</v>
      </c>
      <c r="E1330" s="19" t="inlineStr">
        <is>
          <t>18</t>
        </is>
      </c>
      <c r="F1330" t="n">
        <v>4</v>
      </c>
      <c r="G1330" t="b">
        <v>0</v>
      </c>
      <c r="H1330" t="inlineStr">
        <is>
          <t>UOM=KG;WEIGHT_BASIS=RECIPE_QUANTITY_IS_KG;LINE_WEIGHT_KG=0.186;SOURCE_CFG=IA-ST-CFG-0231;SRC_REF=Row 452, Slot 6;SRC_FILE=Mamul Ambalaj Bileşen Listesi-30.07.2026(3).xlsx</t>
        </is>
      </c>
    </row>
    <row r="1331">
      <c r="A1331" s="19" t="inlineStr">
        <is>
          <t>1330</t>
        </is>
      </c>
      <c r="B1331" s="19" t="inlineStr">
        <is>
          <t>193</t>
        </is>
      </c>
      <c r="C1331" s="19" t="inlineStr">
        <is>
          <t>19</t>
        </is>
      </c>
      <c r="D1331" t="n">
        <v>2.448</v>
      </c>
      <c r="E1331" s="19" t="inlineStr">
        <is>
          <t>18</t>
        </is>
      </c>
      <c r="F1331" t="n">
        <v>5</v>
      </c>
      <c r="G1331" t="b">
        <v>0</v>
      </c>
      <c r="H1331" t="inlineStr">
        <is>
          <t>UOM=KG;WEIGHT_BASIS=RECIPE_QUANTITY_IS_KG;LINE_WEIGHT_KG=2.448;SOURCE_CFG=IA-ST-CFG-0231;SRC_REF=Row 452, Slot 7;SRC_FILE=Mamul Ambalaj Bileşen Listesi-30.07.2026(3).xlsx</t>
        </is>
      </c>
    </row>
    <row r="1332">
      <c r="A1332" s="19" t="inlineStr">
        <is>
          <t>1331</t>
        </is>
      </c>
      <c r="B1332" s="19" t="inlineStr">
        <is>
          <t>193</t>
        </is>
      </c>
      <c r="C1332" s="19" t="inlineStr">
        <is>
          <t>7</t>
        </is>
      </c>
      <c r="D1332" t="n">
        <v>5</v>
      </c>
      <c r="E1332" s="19" t="inlineStr">
        <is>
          <t>18</t>
        </is>
      </c>
      <c r="F1332" t="n">
        <v>6</v>
      </c>
      <c r="G1332" t="b">
        <v>0</v>
      </c>
      <c r="H1332" t="inlineStr">
        <is>
          <t>UOM=ADT;WEIGHT_BASIS=PROCESSED_SOURCE_UNIT_WEIGHT;LINE_WEIGHT_KG=1.35;SOURCE_CFG=IA-ST-CFG-0231;SRC_REF=Row 452, Slot 8;SRC_FILE=Mamul Ambalaj Bileşen Listesi-30.07.2026(3).xlsx</t>
        </is>
      </c>
    </row>
    <row r="1333">
      <c r="A1333" s="19" t="inlineStr">
        <is>
          <t>1332</t>
        </is>
      </c>
      <c r="B1333" s="19" t="inlineStr">
        <is>
          <t>193</t>
        </is>
      </c>
      <c r="C1333" s="19" t="inlineStr">
        <is>
          <t>25</t>
        </is>
      </c>
      <c r="D1333" t="n">
        <v>2</v>
      </c>
      <c r="E1333" s="19" t="inlineStr">
        <is>
          <t>18</t>
        </is>
      </c>
      <c r="F1333" t="n">
        <v>7</v>
      </c>
      <c r="G1333" t="b">
        <v>0</v>
      </c>
      <c r="H1333" t="inlineStr">
        <is>
          <t>UOM=ADT;WEIGHT_BASIS=PROCESSED_SOURCE_UNIT_WEIGHT;LINE_WEIGHT_KG=0.2;SOURCE_CFG=IA-ST-CFG-0231;SRC_REF=Row 452, Slot 9;SRC_FILE=Mamul Ambalaj Bileşen Listesi-30.07.2026(3).xlsx</t>
        </is>
      </c>
    </row>
    <row r="1334">
      <c r="A1334" s="19" t="inlineStr">
        <is>
          <t>1333</t>
        </is>
      </c>
      <c r="B1334" s="19" t="inlineStr">
        <is>
          <t>194</t>
        </is>
      </c>
      <c r="C1334" s="19" t="inlineStr">
        <is>
          <t>13</t>
        </is>
      </c>
      <c r="D1334" t="n">
        <v>7</v>
      </c>
      <c r="E1334" s="19" t="inlineStr">
        <is>
          <t>18</t>
        </is>
      </c>
      <c r="F1334" t="n">
        <v>1</v>
      </c>
      <c r="G1334" t="b">
        <v>0</v>
      </c>
      <c r="H1334" t="inlineStr">
        <is>
          <t>UOM=M;WEIGHT_BASIS=PROCESSED_SOURCE_UNIT_WEIGHT;LINE_WEIGHT_KG=0.0868;SOURCE_CFG=IA-ST-CFG-0232;SRC_REF=Row 627, Slot 1;SRC_FILE=Mamul Ambalaj Bileşen Listesi-30.07.2026(3).xlsx</t>
        </is>
      </c>
    </row>
    <row r="1335">
      <c r="A1335" s="19" t="inlineStr">
        <is>
          <t>1334</t>
        </is>
      </c>
      <c r="B1335" s="19" t="inlineStr">
        <is>
          <t>194</t>
        </is>
      </c>
      <c r="C1335" s="19" t="inlineStr">
        <is>
          <t>5</t>
        </is>
      </c>
      <c r="D1335" t="n">
        <v>1</v>
      </c>
      <c r="E1335" s="19" t="inlineStr">
        <is>
          <t>18</t>
        </is>
      </c>
      <c r="F1335" t="n">
        <v>2</v>
      </c>
      <c r="G1335" t="b">
        <v>0</v>
      </c>
      <c r="H1335" t="inlineStr">
        <is>
          <t>UOM=ADT;WEIGHT_BASIS=PROCESSED_SOURCE_UNIT_WEIGHT;LINE_WEIGHT_KG=26.0;SOURCE_CFG=IA-ST-CFG-0232;SRC_REF=Row 627, Slot 3;SRC_FILE=Mamul Ambalaj Bileşen Listesi-30.07.2026(3).xlsx</t>
        </is>
      </c>
    </row>
    <row r="1336">
      <c r="A1336" s="19" t="inlineStr">
        <is>
          <t>1335</t>
        </is>
      </c>
      <c r="B1336" s="19" t="inlineStr">
        <is>
          <t>194</t>
        </is>
      </c>
      <c r="C1336" s="19" t="inlineStr">
        <is>
          <t>8</t>
        </is>
      </c>
      <c r="D1336" t="n">
        <v>20</v>
      </c>
      <c r="E1336" s="19" t="inlineStr">
        <is>
          <t>18</t>
        </is>
      </c>
      <c r="F1336" t="n">
        <v>3</v>
      </c>
      <c r="G1336" t="b">
        <v>0</v>
      </c>
      <c r="H1336" t="inlineStr">
        <is>
          <t>UOM=M;WEIGHT_BASIS=PROCESSED_SOURCE_UNIT_WEIGHT;LINE_WEIGHT_KG=0.3664;SOURCE_CFG=IA-ST-CFG-0232;SRC_REF=Row 627, Slot 5;SRC_FILE=Mamul Ambalaj Bileşen Listesi-30.07.2026(3).xlsx</t>
        </is>
      </c>
    </row>
    <row r="1337">
      <c r="A1337" s="19" t="inlineStr">
        <is>
          <t>1336</t>
        </is>
      </c>
      <c r="B1337" s="19" t="inlineStr">
        <is>
          <t>194</t>
        </is>
      </c>
      <c r="C1337" s="19" t="inlineStr">
        <is>
          <t>9</t>
        </is>
      </c>
      <c r="D1337" t="n">
        <v>0.186</v>
      </c>
      <c r="E1337" s="19" t="inlineStr">
        <is>
          <t>18</t>
        </is>
      </c>
      <c r="F1337" t="n">
        <v>4</v>
      </c>
      <c r="G1337" t="b">
        <v>0</v>
      </c>
      <c r="H1337" t="inlineStr">
        <is>
          <t>UOM=KG;WEIGHT_BASIS=RECIPE_QUANTITY_IS_KG;LINE_WEIGHT_KG=0.186;SOURCE_CFG=IA-ST-CFG-0232;SRC_REF=Row 627, Slot 6;SRC_FILE=Mamul Ambalaj Bileşen Listesi-30.07.2026(3).xlsx</t>
        </is>
      </c>
    </row>
    <row r="1338">
      <c r="A1338" s="19" t="inlineStr">
        <is>
          <t>1337</t>
        </is>
      </c>
      <c r="B1338" s="19" t="inlineStr">
        <is>
          <t>194</t>
        </is>
      </c>
      <c r="C1338" s="19" t="inlineStr">
        <is>
          <t>7</t>
        </is>
      </c>
      <c r="D1338" t="n">
        <v>5</v>
      </c>
      <c r="E1338" s="19" t="inlineStr">
        <is>
          <t>18</t>
        </is>
      </c>
      <c r="F1338" t="n">
        <v>5</v>
      </c>
      <c r="G1338" t="b">
        <v>0</v>
      </c>
      <c r="H1338" t="inlineStr">
        <is>
          <t>UOM=ADT;WEIGHT_BASIS=PROCESSED_SOURCE_UNIT_WEIGHT;LINE_WEIGHT_KG=1.35;SOURCE_CFG=IA-ST-CFG-0232;SRC_REF=Row 627, Slot 8;SRC_FILE=Mamul Ambalaj Bileşen Listesi-30.07.2026(3).xlsx</t>
        </is>
      </c>
    </row>
    <row r="1339">
      <c r="A1339" s="19" t="inlineStr">
        <is>
          <t>1338</t>
        </is>
      </c>
      <c r="B1339" s="19" t="inlineStr">
        <is>
          <t>194</t>
        </is>
      </c>
      <c r="C1339" s="19" t="inlineStr">
        <is>
          <t>25</t>
        </is>
      </c>
      <c r="D1339" t="n">
        <v>2</v>
      </c>
      <c r="E1339" s="19" t="inlineStr">
        <is>
          <t>18</t>
        </is>
      </c>
      <c r="F1339" t="n">
        <v>6</v>
      </c>
      <c r="G1339" t="b">
        <v>0</v>
      </c>
      <c r="H1339" t="inlineStr">
        <is>
          <t>UOM=ADT;WEIGHT_BASIS=PROCESSED_SOURCE_UNIT_WEIGHT;LINE_WEIGHT_KG=0.2;SOURCE_CFG=IA-ST-CFG-0232;SRC_REF=Row 627, Slot 9;SRC_FILE=Mamul Ambalaj Bileşen Listesi-30.07.2026(3).xlsx</t>
        </is>
      </c>
    </row>
    <row r="1340">
      <c r="A1340" s="19" t="inlineStr">
        <is>
          <t>1339</t>
        </is>
      </c>
      <c r="B1340" s="19" t="inlineStr">
        <is>
          <t>195</t>
        </is>
      </c>
      <c r="C1340" s="19" t="inlineStr">
        <is>
          <t>5</t>
        </is>
      </c>
      <c r="D1340" t="n">
        <v>1</v>
      </c>
      <c r="E1340" s="19" t="inlineStr">
        <is>
          <t>18</t>
        </is>
      </c>
      <c r="F1340" t="n">
        <v>1</v>
      </c>
      <c r="G1340" t="b">
        <v>0</v>
      </c>
      <c r="H1340" t="inlineStr">
        <is>
          <t>UOM=ADT;WEIGHT_BASIS=PROCESSED_SOURCE_UNIT_WEIGHT;LINE_WEIGHT_KG=26.0;SOURCE_CFG=IA-ST-CFG-0233;SRC_REF=Row 241, Slot 3;SRC_FILE=Mamul Ambalaj Bileşen Listesi-30.07.2026(3).xlsx</t>
        </is>
      </c>
    </row>
    <row r="1341">
      <c r="A1341" s="19" t="inlineStr">
        <is>
          <t>1340</t>
        </is>
      </c>
      <c r="B1341" s="19" t="inlineStr">
        <is>
          <t>195</t>
        </is>
      </c>
      <c r="C1341" s="19" t="inlineStr">
        <is>
          <t>8</t>
        </is>
      </c>
      <c r="D1341" t="n">
        <v>20</v>
      </c>
      <c r="E1341" s="19" t="inlineStr">
        <is>
          <t>18</t>
        </is>
      </c>
      <c r="F1341" t="n">
        <v>2</v>
      </c>
      <c r="G1341" t="b">
        <v>0</v>
      </c>
      <c r="H1341" t="inlineStr">
        <is>
          <t>UOM=M;WEIGHT_BASIS=PROCESSED_SOURCE_UNIT_WEIGHT;LINE_WEIGHT_KG=0.3664;SOURCE_CFG=IA-ST-CFG-0233;SRC_REF=Row 241, Slot 5;SRC_FILE=Mamul Ambalaj Bileşen Listesi-30.07.2026(3).xlsx</t>
        </is>
      </c>
    </row>
    <row r="1342">
      <c r="A1342" s="19" t="inlineStr">
        <is>
          <t>1341</t>
        </is>
      </c>
      <c r="B1342" s="19" t="inlineStr">
        <is>
          <t>195</t>
        </is>
      </c>
      <c r="C1342" s="19" t="inlineStr">
        <is>
          <t>9</t>
        </is>
      </c>
      <c r="D1342" t="n">
        <v>0.186</v>
      </c>
      <c r="E1342" s="19" t="inlineStr">
        <is>
          <t>18</t>
        </is>
      </c>
      <c r="F1342" t="n">
        <v>3</v>
      </c>
      <c r="G1342" t="b">
        <v>0</v>
      </c>
      <c r="H1342" t="inlineStr">
        <is>
          <t>UOM=KG;WEIGHT_BASIS=RECIPE_QUANTITY_IS_KG;LINE_WEIGHT_KG=0.186;SOURCE_CFG=IA-ST-CFG-0233;SRC_REF=Row 241, Slot 6;SRC_FILE=Mamul Ambalaj Bileşen Listesi-30.07.2026(3).xlsx</t>
        </is>
      </c>
    </row>
    <row r="1343">
      <c r="A1343" s="19" t="inlineStr">
        <is>
          <t>1342</t>
        </is>
      </c>
      <c r="B1343" s="19" t="inlineStr">
        <is>
          <t>195</t>
        </is>
      </c>
      <c r="C1343" s="19" t="inlineStr">
        <is>
          <t>19</t>
        </is>
      </c>
      <c r="D1343" t="n">
        <v>2.448</v>
      </c>
      <c r="E1343" s="19" t="inlineStr">
        <is>
          <t>18</t>
        </is>
      </c>
      <c r="F1343" t="n">
        <v>4</v>
      </c>
      <c r="G1343" t="b">
        <v>0</v>
      </c>
      <c r="H1343" t="inlineStr">
        <is>
          <t>UOM=KG;WEIGHT_BASIS=RECIPE_QUANTITY_IS_KG;LINE_WEIGHT_KG=2.448;SOURCE_CFG=IA-ST-CFG-0233;SRC_REF=Row 241, Slot 7;SRC_FILE=Mamul Ambalaj Bileşen Listesi-30.07.2026(3).xlsx</t>
        </is>
      </c>
    </row>
    <row r="1344">
      <c r="A1344" s="19" t="inlineStr">
        <is>
          <t>1343</t>
        </is>
      </c>
      <c r="B1344" s="19" t="inlineStr">
        <is>
          <t>195</t>
        </is>
      </c>
      <c r="C1344" s="19" t="inlineStr">
        <is>
          <t>7</t>
        </is>
      </c>
      <c r="D1344" t="n">
        <v>5</v>
      </c>
      <c r="E1344" s="19" t="inlineStr">
        <is>
          <t>18</t>
        </is>
      </c>
      <c r="F1344" t="n">
        <v>5</v>
      </c>
      <c r="G1344" t="b">
        <v>0</v>
      </c>
      <c r="H1344" t="inlineStr">
        <is>
          <t>UOM=ADT;WEIGHT_BASIS=PROCESSED_SOURCE_UNIT_WEIGHT;LINE_WEIGHT_KG=1.35;SOURCE_CFG=IA-ST-CFG-0233;SRC_REF=Row 241, Slot 8;SRC_FILE=Mamul Ambalaj Bileşen Listesi-30.07.2026(3).xlsx</t>
        </is>
      </c>
    </row>
    <row r="1345">
      <c r="A1345" s="19" t="inlineStr">
        <is>
          <t>1344</t>
        </is>
      </c>
      <c r="B1345" s="19" t="inlineStr">
        <is>
          <t>196</t>
        </is>
      </c>
      <c r="C1345" s="19" t="inlineStr">
        <is>
          <t>13</t>
        </is>
      </c>
      <c r="D1345" t="n">
        <v>14</v>
      </c>
      <c r="E1345" s="19" t="inlineStr">
        <is>
          <t>18</t>
        </is>
      </c>
      <c r="F1345" t="n">
        <v>1</v>
      </c>
      <c r="G1345" t="b">
        <v>0</v>
      </c>
      <c r="H1345" t="inlineStr">
        <is>
          <t>UOM=M;WEIGHT_BASIS=PROCESSED_SOURCE_UNIT_WEIGHT;LINE_WEIGHT_KG=0.1736;SOURCE_CFG=IA-ST-CFG-0234;SRC_REF=Row 613, Slot 1;SRC_FILE=Mamul Ambalaj Bileşen Listesi-30.07.2026(3).xlsx</t>
        </is>
      </c>
    </row>
    <row r="1346">
      <c r="A1346" s="19" t="inlineStr">
        <is>
          <t>1345</t>
        </is>
      </c>
      <c r="B1346" s="19" t="inlineStr">
        <is>
          <t>196</t>
        </is>
      </c>
      <c r="C1346" s="19" t="inlineStr">
        <is>
          <t>5</t>
        </is>
      </c>
      <c r="D1346" t="n">
        <v>1</v>
      </c>
      <c r="E1346" s="19" t="inlineStr">
        <is>
          <t>18</t>
        </is>
      </c>
      <c r="F1346" t="n">
        <v>2</v>
      </c>
      <c r="G1346" t="b">
        <v>0</v>
      </c>
      <c r="H1346" t="inlineStr">
        <is>
          <t>UOM=ADT;WEIGHT_BASIS=PROCESSED_SOURCE_UNIT_WEIGHT;LINE_WEIGHT_KG=26.0;SOURCE_CFG=IA-ST-CFG-0234;SRC_REF=Row 613, Slot 3;SRC_FILE=Mamul Ambalaj Bileşen Listesi-30.07.2026(3).xlsx</t>
        </is>
      </c>
    </row>
    <row r="1347">
      <c r="A1347" s="19" t="inlineStr">
        <is>
          <t>1346</t>
        </is>
      </c>
      <c r="B1347" s="19" t="inlineStr">
        <is>
          <t>196</t>
        </is>
      </c>
      <c r="C1347" s="19" t="inlineStr">
        <is>
          <t>8</t>
        </is>
      </c>
      <c r="D1347" t="n">
        <v>20</v>
      </c>
      <c r="E1347" s="19" t="inlineStr">
        <is>
          <t>18</t>
        </is>
      </c>
      <c r="F1347" t="n">
        <v>3</v>
      </c>
      <c r="G1347" t="b">
        <v>0</v>
      </c>
      <c r="H1347" t="inlineStr">
        <is>
          <t>UOM=M;WEIGHT_BASIS=PROCESSED_SOURCE_UNIT_WEIGHT;LINE_WEIGHT_KG=0.3664;SOURCE_CFG=IA-ST-CFG-0234;SRC_REF=Row 613, Slot 5;SRC_FILE=Mamul Ambalaj Bileşen Listesi-30.07.2026(3).xlsx</t>
        </is>
      </c>
    </row>
    <row r="1348">
      <c r="A1348" s="19" t="inlineStr">
        <is>
          <t>1347</t>
        </is>
      </c>
      <c r="B1348" s="19" t="inlineStr">
        <is>
          <t>196</t>
        </is>
      </c>
      <c r="C1348" s="19" t="inlineStr">
        <is>
          <t>55</t>
        </is>
      </c>
      <c r="D1348" t="n">
        <v>0.597</v>
      </c>
      <c r="E1348" s="19" t="inlineStr">
        <is>
          <t>18</t>
        </is>
      </c>
      <c r="F1348" t="n">
        <v>4</v>
      </c>
      <c r="G1348" t="b">
        <v>0</v>
      </c>
      <c r="H1348" t="inlineStr">
        <is>
          <t>UOM=KG;WEIGHT_BASIS=RECIPE_QUANTITY_IS_KG;LINE_WEIGHT_KG=0.597;SOURCE_CFG=IA-ST-CFG-0234;SRC_REF=Row 613, Slot 6;SRC_FILE=Mamul Ambalaj Bileşen Listesi-30.07.2026(3).xlsx</t>
        </is>
      </c>
    </row>
    <row r="1349">
      <c r="A1349" s="19" t="inlineStr">
        <is>
          <t>1348</t>
        </is>
      </c>
      <c r="B1349" s="19" t="inlineStr">
        <is>
          <t>196</t>
        </is>
      </c>
      <c r="C1349" s="19" t="inlineStr">
        <is>
          <t>7</t>
        </is>
      </c>
      <c r="D1349" t="n">
        <v>5</v>
      </c>
      <c r="E1349" s="19" t="inlineStr">
        <is>
          <t>18</t>
        </is>
      </c>
      <c r="F1349" t="n">
        <v>5</v>
      </c>
      <c r="G1349" t="b">
        <v>0</v>
      </c>
      <c r="H1349" t="inlineStr">
        <is>
          <t>UOM=ADT;WEIGHT_BASIS=PROCESSED_SOURCE_UNIT_WEIGHT;LINE_WEIGHT_KG=1.35;SOURCE_CFG=IA-ST-CFG-0234;SRC_REF=Row 613, Slot 8;SRC_FILE=Mamul Ambalaj Bileşen Listesi-30.07.2026(3).xlsx</t>
        </is>
      </c>
    </row>
    <row r="1350">
      <c r="A1350" s="19" t="inlineStr">
        <is>
          <t>1349</t>
        </is>
      </c>
      <c r="B1350" s="19" t="inlineStr">
        <is>
          <t>196</t>
        </is>
      </c>
      <c r="C1350" s="19" t="inlineStr">
        <is>
          <t>25</t>
        </is>
      </c>
      <c r="D1350" t="n">
        <v>4</v>
      </c>
      <c r="E1350" s="19" t="inlineStr">
        <is>
          <t>18</t>
        </is>
      </c>
      <c r="F1350" t="n">
        <v>6</v>
      </c>
      <c r="G1350" t="b">
        <v>0</v>
      </c>
      <c r="H1350" t="inlineStr">
        <is>
          <t>UOM=ADT;WEIGHT_BASIS=PROCESSED_SOURCE_UNIT_WEIGHT;LINE_WEIGHT_KG=0.4;SOURCE_CFG=IA-ST-CFG-0234;SRC_REF=Row 613, Slot 9;SRC_FILE=Mamul Ambalaj Bileşen Listesi-30.07.2026(3).xlsx</t>
        </is>
      </c>
    </row>
    <row r="1351">
      <c r="A1351" s="19" t="inlineStr">
        <is>
          <t>1350</t>
        </is>
      </c>
      <c r="B1351" s="19" t="inlineStr">
        <is>
          <t>197</t>
        </is>
      </c>
      <c r="C1351" s="19" t="inlineStr">
        <is>
          <t>13</t>
        </is>
      </c>
      <c r="D1351" t="n">
        <v>14</v>
      </c>
      <c r="E1351" s="19" t="inlineStr">
        <is>
          <t>18</t>
        </is>
      </c>
      <c r="F1351" t="n">
        <v>1</v>
      </c>
      <c r="G1351" t="b">
        <v>0</v>
      </c>
      <c r="H1351" t="inlineStr">
        <is>
          <t>UOM=M;WEIGHT_BASIS=PROCESSED_SOURCE_UNIT_WEIGHT;LINE_WEIGHT_KG=0.1736;SOURCE_CFG=IA-ST-CFG-0238;SRC_REF=Row 642, Slot 1;SRC_FILE=Mamul Ambalaj Bileşen Listesi-30.07.2026(3).xlsx</t>
        </is>
      </c>
    </row>
    <row r="1352">
      <c r="A1352" s="19" t="inlineStr">
        <is>
          <t>1351</t>
        </is>
      </c>
      <c r="B1352" s="19" t="inlineStr">
        <is>
          <t>197</t>
        </is>
      </c>
      <c r="C1352" s="19" t="inlineStr">
        <is>
          <t>6</t>
        </is>
      </c>
      <c r="D1352" t="n">
        <v>1</v>
      </c>
      <c r="E1352" s="19" t="inlineStr">
        <is>
          <t>18</t>
        </is>
      </c>
      <c r="F1352" t="n">
        <v>2</v>
      </c>
      <c r="G1352" t="b">
        <v>0</v>
      </c>
      <c r="H1352" t="inlineStr">
        <is>
          <t>UOM=ADT;WEIGHT_BASIS=PROCESSED_SOURCE_UNIT_WEIGHT;LINE_WEIGHT_KG=26.0;SOURCE_CFG=IA-ST-CFG-0238;SRC_REF=Row 642, Slot 3;SRC_FILE=Mamul Ambalaj Bileşen Listesi-30.07.2026(3).xlsx</t>
        </is>
      </c>
    </row>
    <row r="1353">
      <c r="A1353" s="19" t="inlineStr">
        <is>
          <t>1352</t>
        </is>
      </c>
      <c r="B1353" s="19" t="inlineStr">
        <is>
          <t>197</t>
        </is>
      </c>
      <c r="C1353" s="19" t="inlineStr">
        <is>
          <t>8</t>
        </is>
      </c>
      <c r="D1353" t="n">
        <v>20</v>
      </c>
      <c r="E1353" s="19" t="inlineStr">
        <is>
          <t>18</t>
        </is>
      </c>
      <c r="F1353" t="n">
        <v>3</v>
      </c>
      <c r="G1353" t="b">
        <v>0</v>
      </c>
      <c r="H1353" t="inlineStr">
        <is>
          <t>UOM=M;WEIGHT_BASIS=PROCESSED_SOURCE_UNIT_WEIGHT;LINE_WEIGHT_KG=0.3664;SOURCE_CFG=IA-ST-CFG-0238;SRC_REF=Row 642, Slot 5;SRC_FILE=Mamul Ambalaj Bileşen Listesi-30.07.2026(3).xlsx</t>
        </is>
      </c>
    </row>
    <row r="1354">
      <c r="A1354" s="19" t="inlineStr">
        <is>
          <t>1353</t>
        </is>
      </c>
      <c r="B1354" s="19" t="inlineStr">
        <is>
          <t>197</t>
        </is>
      </c>
      <c r="C1354" s="19" t="inlineStr">
        <is>
          <t>9</t>
        </is>
      </c>
      <c r="D1354" t="n">
        <v>0.186</v>
      </c>
      <c r="E1354" s="19" t="inlineStr">
        <is>
          <t>18</t>
        </is>
      </c>
      <c r="F1354" t="n">
        <v>4</v>
      </c>
      <c r="G1354" t="b">
        <v>0</v>
      </c>
      <c r="H1354" t="inlineStr">
        <is>
          <t>UOM=KG;WEIGHT_BASIS=RECIPE_QUANTITY_IS_KG;LINE_WEIGHT_KG=0.186;SOURCE_CFG=IA-ST-CFG-0238;SRC_REF=Row 642, Slot 6;SRC_FILE=Mamul Ambalaj Bileşen Listesi-30.07.2026(3).xlsx</t>
        </is>
      </c>
    </row>
    <row r="1355">
      <c r="A1355" s="19" t="inlineStr">
        <is>
          <t>1354</t>
        </is>
      </c>
      <c r="B1355" s="19" t="inlineStr">
        <is>
          <t>197</t>
        </is>
      </c>
      <c r="C1355" s="19" t="inlineStr">
        <is>
          <t>3</t>
        </is>
      </c>
      <c r="D1355" t="n">
        <v>6</v>
      </c>
      <c r="E1355" s="19" t="inlineStr">
        <is>
          <t>18</t>
        </is>
      </c>
      <c r="F1355" t="n">
        <v>5</v>
      </c>
      <c r="G1355" t="b">
        <v>0</v>
      </c>
      <c r="H1355" t="inlineStr">
        <is>
          <t>UOM=ADT;WEIGHT_BASIS=PROCESSED_SOURCE_UNIT_WEIGHT;LINE_WEIGHT_KG=1.26;SOURCE_CFG=IA-ST-CFG-0238;SRC_REF=Row 642, Slot 8;SRC_FILE=Mamul Ambalaj Bileşen Listesi-30.07.2026(3).xlsx</t>
        </is>
      </c>
    </row>
    <row r="1356">
      <c r="A1356" s="19" t="inlineStr">
        <is>
          <t>1355</t>
        </is>
      </c>
      <c r="B1356" s="19" t="inlineStr">
        <is>
          <t>197</t>
        </is>
      </c>
      <c r="C1356" s="19" t="inlineStr">
        <is>
          <t>30</t>
        </is>
      </c>
      <c r="D1356" t="n">
        <v>5</v>
      </c>
      <c r="E1356" s="19" t="inlineStr">
        <is>
          <t>18</t>
        </is>
      </c>
      <c r="F1356" t="n">
        <v>6</v>
      </c>
      <c r="G1356" t="b">
        <v>0</v>
      </c>
      <c r="H1356" t="inlineStr">
        <is>
          <t>UOM=ADT;WEIGHT_BASIS=PROCESSED_SOURCE_UNIT_WEIGHT;LINE_WEIGHT_KG=1.0;SOURCE_CFG=IA-ST-CFG-0238;SRC_REF=Row 642, Slot 9;SRC_FILE=Mamul Ambalaj Bileşen Listesi-30.07.2026(3).xlsx</t>
        </is>
      </c>
    </row>
    <row r="1357">
      <c r="A1357" s="19" t="inlineStr">
        <is>
          <t>1356</t>
        </is>
      </c>
      <c r="B1357" s="19" t="inlineStr">
        <is>
          <t>197</t>
        </is>
      </c>
      <c r="C1357" s="19" t="inlineStr">
        <is>
          <t>87</t>
        </is>
      </c>
      <c r="D1357" t="n">
        <v>76</v>
      </c>
      <c r="E1357" s="19" t="inlineStr">
        <is>
          <t>18</t>
        </is>
      </c>
      <c r="F1357" t="n">
        <v>7</v>
      </c>
      <c r="G1357" t="b">
        <v>0</v>
      </c>
      <c r="H1357" t="inlineStr">
        <is>
          <t>UOM=ADT;WEIGHT_BASIS=PROCESSED_SOURCE_UNIT_WEIGHT;LINE_WEIGHT_KG=18.24;SOURCE_CFG=IA-ST-CFG-0238;SRC_REF=Row 642, Slot 10;SRC_FILE=Mamul Ambalaj Bileşen Listesi-30.07.2026(3).xlsx</t>
        </is>
      </c>
    </row>
    <row r="1358">
      <c r="A1358" s="19" t="inlineStr">
        <is>
          <t>1357</t>
        </is>
      </c>
      <c r="B1358" s="19" t="inlineStr">
        <is>
          <t>198</t>
        </is>
      </c>
      <c r="C1358" s="19" t="inlineStr">
        <is>
          <t>13</t>
        </is>
      </c>
      <c r="D1358" t="n">
        <v>14</v>
      </c>
      <c r="E1358" s="19" t="inlineStr">
        <is>
          <t>18</t>
        </is>
      </c>
      <c r="F1358" t="n">
        <v>1</v>
      </c>
      <c r="G1358" t="b">
        <v>0</v>
      </c>
      <c r="H1358" t="inlineStr">
        <is>
          <t>UOM=M;WEIGHT_BASIS=PROCESSED_SOURCE_UNIT_WEIGHT;LINE_WEIGHT_KG=0.1736;SOURCE_CFG=IA-ST-CFG-0239;SRC_REF=Row 1025, Slot 1;SRC_FILE=Mamul Ambalaj Bileşen Listesi-30.07.2026(3).xlsx</t>
        </is>
      </c>
    </row>
    <row r="1359">
      <c r="A1359" s="19" t="inlineStr">
        <is>
          <t>1358</t>
        </is>
      </c>
      <c r="B1359" s="19" t="inlineStr">
        <is>
          <t>198</t>
        </is>
      </c>
      <c r="C1359" s="19" t="inlineStr">
        <is>
          <t>6</t>
        </is>
      </c>
      <c r="D1359" t="n">
        <v>1</v>
      </c>
      <c r="E1359" s="19" t="inlineStr">
        <is>
          <t>18</t>
        </is>
      </c>
      <c r="F1359" t="n">
        <v>2</v>
      </c>
      <c r="G1359" t="b">
        <v>0</v>
      </c>
      <c r="H1359" t="inlineStr">
        <is>
          <t>UOM=ADT;WEIGHT_BASIS=PROCESSED_SOURCE_UNIT_WEIGHT;LINE_WEIGHT_KG=26.0;SOURCE_CFG=IA-ST-CFG-0239;SRC_REF=Row 1025, Slot 3;SRC_FILE=Mamul Ambalaj Bileşen Listesi-30.07.2026(3).xlsx</t>
        </is>
      </c>
    </row>
    <row r="1360">
      <c r="A1360" s="19" t="inlineStr">
        <is>
          <t>1359</t>
        </is>
      </c>
      <c r="B1360" s="19" t="inlineStr">
        <is>
          <t>198</t>
        </is>
      </c>
      <c r="C1360" s="19" t="inlineStr">
        <is>
          <t>8</t>
        </is>
      </c>
      <c r="D1360" t="n">
        <v>20</v>
      </c>
      <c r="E1360" s="19" t="inlineStr">
        <is>
          <t>18</t>
        </is>
      </c>
      <c r="F1360" t="n">
        <v>3</v>
      </c>
      <c r="G1360" t="b">
        <v>0</v>
      </c>
      <c r="H1360" t="inlineStr">
        <is>
          <t>UOM=M;WEIGHT_BASIS=PROCESSED_SOURCE_UNIT_WEIGHT;LINE_WEIGHT_KG=0.3664;SOURCE_CFG=IA-ST-CFG-0239;SRC_REF=Row 1025, Slot 5;SRC_FILE=Mamul Ambalaj Bileşen Listesi-30.07.2026(3).xlsx</t>
        </is>
      </c>
    </row>
    <row r="1361">
      <c r="A1361" s="19" t="inlineStr">
        <is>
          <t>1360</t>
        </is>
      </c>
      <c r="B1361" s="19" t="inlineStr">
        <is>
          <t>198</t>
        </is>
      </c>
      <c r="C1361" s="19" t="inlineStr">
        <is>
          <t>9</t>
        </is>
      </c>
      <c r="D1361" t="n">
        <v>0.186</v>
      </c>
      <c r="E1361" s="19" t="inlineStr">
        <is>
          <t>18</t>
        </is>
      </c>
      <c r="F1361" t="n">
        <v>4</v>
      </c>
      <c r="G1361" t="b">
        <v>0</v>
      </c>
      <c r="H1361" t="inlineStr">
        <is>
          <t>UOM=KG;WEIGHT_BASIS=RECIPE_QUANTITY_IS_KG;LINE_WEIGHT_KG=0.186;SOURCE_CFG=IA-ST-CFG-0239;SRC_REF=Row 1025, Slot 6;SRC_FILE=Mamul Ambalaj Bileşen Listesi-30.07.2026(3).xlsx</t>
        </is>
      </c>
    </row>
    <row r="1362">
      <c r="A1362" s="19" t="inlineStr">
        <is>
          <t>1361</t>
        </is>
      </c>
      <c r="B1362" s="19" t="inlineStr">
        <is>
          <t>198</t>
        </is>
      </c>
      <c r="C1362" s="19" t="inlineStr">
        <is>
          <t>25</t>
        </is>
      </c>
      <c r="D1362" t="n">
        <v>4</v>
      </c>
      <c r="E1362" s="19" t="inlineStr">
        <is>
          <t>18</t>
        </is>
      </c>
      <c r="F1362" t="n">
        <v>5</v>
      </c>
      <c r="G1362" t="b">
        <v>0</v>
      </c>
      <c r="H1362" t="inlineStr">
        <is>
          <t>UOM=ADT;WEIGHT_BASIS=PROCESSED_SOURCE_UNIT_WEIGHT;LINE_WEIGHT_KG=0.4;SOURCE_CFG=IA-ST-CFG-0239;SRC_REF=Row 1025, Slot 8;SRC_FILE=Mamul Ambalaj Bileşen Listesi-30.07.2026(3).xlsx</t>
        </is>
      </c>
    </row>
    <row r="1363">
      <c r="A1363" s="19" t="inlineStr">
        <is>
          <t>1362</t>
        </is>
      </c>
      <c r="B1363" s="19" t="inlineStr">
        <is>
          <t>198</t>
        </is>
      </c>
      <c r="C1363" s="19" t="inlineStr">
        <is>
          <t>30</t>
        </is>
      </c>
      <c r="D1363" t="n">
        <v>5</v>
      </c>
      <c r="E1363" s="19" t="inlineStr">
        <is>
          <t>18</t>
        </is>
      </c>
      <c r="F1363" t="n">
        <v>6</v>
      </c>
      <c r="G1363" t="b">
        <v>0</v>
      </c>
      <c r="H1363" t="inlineStr">
        <is>
          <t>UOM=ADT;WEIGHT_BASIS=PROCESSED_SOURCE_UNIT_WEIGHT;LINE_WEIGHT_KG=1.0;SOURCE_CFG=IA-ST-CFG-0239;SRC_REF=Row 1025, Slot 9;SRC_FILE=Mamul Ambalaj Bileşen Listesi-30.07.2026(3).xlsx</t>
        </is>
      </c>
    </row>
    <row r="1364">
      <c r="A1364" s="19" t="inlineStr">
        <is>
          <t>1363</t>
        </is>
      </c>
      <c r="B1364" s="19" t="inlineStr">
        <is>
          <t>199</t>
        </is>
      </c>
      <c r="C1364" s="19" t="inlineStr">
        <is>
          <t>13</t>
        </is>
      </c>
      <c r="D1364" t="n">
        <v>7</v>
      </c>
      <c r="E1364" s="19" t="inlineStr">
        <is>
          <t>18</t>
        </is>
      </c>
      <c r="F1364" t="n">
        <v>1</v>
      </c>
      <c r="G1364" t="b">
        <v>0</v>
      </c>
      <c r="H1364" t="inlineStr">
        <is>
          <t>UOM=M;WEIGHT_BASIS=PROCESSED_SOURCE_UNIT_WEIGHT;LINE_WEIGHT_KG=0.0868;SOURCE_CFG=IA-ST-CFG-0240;SRC_REF=Row 144, Slot 1;SRC_FILE=Mamul Ambalaj Bileşen Listesi-30.07.2026(3).xlsx</t>
        </is>
      </c>
    </row>
    <row r="1365">
      <c r="A1365" s="19" t="inlineStr">
        <is>
          <t>1364</t>
        </is>
      </c>
      <c r="B1365" s="19" t="inlineStr">
        <is>
          <t>199</t>
        </is>
      </c>
      <c r="C1365" s="19" t="inlineStr">
        <is>
          <t>6</t>
        </is>
      </c>
      <c r="D1365" t="n">
        <v>1</v>
      </c>
      <c r="E1365" s="19" t="inlineStr">
        <is>
          <t>18</t>
        </is>
      </c>
      <c r="F1365" t="n">
        <v>2</v>
      </c>
      <c r="G1365" t="b">
        <v>0</v>
      </c>
      <c r="H1365" t="inlineStr">
        <is>
          <t>UOM=ADT;WEIGHT_BASIS=PROCESSED_SOURCE_UNIT_WEIGHT;LINE_WEIGHT_KG=26.0;SOURCE_CFG=IA-ST-CFG-0240;SRC_REF=Row 144, Slot 3;SRC_FILE=Mamul Ambalaj Bileşen Listesi-30.07.2026(3).xlsx</t>
        </is>
      </c>
    </row>
    <row r="1366">
      <c r="A1366" s="19" t="inlineStr">
        <is>
          <t>1365</t>
        </is>
      </c>
      <c r="B1366" s="19" t="inlineStr">
        <is>
          <t>199</t>
        </is>
      </c>
      <c r="C1366" s="19" t="inlineStr">
        <is>
          <t>8</t>
        </is>
      </c>
      <c r="D1366" t="n">
        <v>20</v>
      </c>
      <c r="E1366" s="19" t="inlineStr">
        <is>
          <t>18</t>
        </is>
      </c>
      <c r="F1366" t="n">
        <v>3</v>
      </c>
      <c r="G1366" t="b">
        <v>0</v>
      </c>
      <c r="H1366" t="inlineStr">
        <is>
          <t>UOM=M;WEIGHT_BASIS=PROCESSED_SOURCE_UNIT_WEIGHT;LINE_WEIGHT_KG=0.3664;SOURCE_CFG=IA-ST-CFG-0240;SRC_REF=Row 144, Slot 5;SRC_FILE=Mamul Ambalaj Bileşen Listesi-30.07.2026(3).xlsx</t>
        </is>
      </c>
    </row>
    <row r="1367">
      <c r="A1367" s="19" t="inlineStr">
        <is>
          <t>1366</t>
        </is>
      </c>
      <c r="B1367" s="19" t="inlineStr">
        <is>
          <t>199</t>
        </is>
      </c>
      <c r="C1367" s="19" t="inlineStr">
        <is>
          <t>9</t>
        </is>
      </c>
      <c r="D1367" t="n">
        <v>0.186</v>
      </c>
      <c r="E1367" s="19" t="inlineStr">
        <is>
          <t>18</t>
        </is>
      </c>
      <c r="F1367" t="n">
        <v>4</v>
      </c>
      <c r="G1367" t="b">
        <v>0</v>
      </c>
      <c r="H1367" t="inlineStr">
        <is>
          <t>UOM=KG;WEIGHT_BASIS=RECIPE_QUANTITY_IS_KG;LINE_WEIGHT_KG=0.186;SOURCE_CFG=IA-ST-CFG-0240;SRC_REF=Row 144, Slot 6;SRC_FILE=Mamul Ambalaj Bileşen Listesi-30.07.2026(3).xlsx</t>
        </is>
      </c>
    </row>
    <row r="1368">
      <c r="A1368" s="19" t="inlineStr">
        <is>
          <t>1367</t>
        </is>
      </c>
      <c r="B1368" s="19" t="inlineStr">
        <is>
          <t>199</t>
        </is>
      </c>
      <c r="C1368" s="19" t="inlineStr">
        <is>
          <t>23</t>
        </is>
      </c>
      <c r="D1368" t="n">
        <v>2.888</v>
      </c>
      <c r="E1368" s="19" t="inlineStr">
        <is>
          <t>18</t>
        </is>
      </c>
      <c r="F1368" t="n">
        <v>5</v>
      </c>
      <c r="G1368" t="b">
        <v>0</v>
      </c>
      <c r="H1368" t="inlineStr">
        <is>
          <t>UOM=KG;WEIGHT_BASIS=RECIPE_QUANTITY_IS_KG;LINE_WEIGHT_KG=2.888;SOURCE_CFG=IA-ST-CFG-0240;SRC_REF=Row 144, Slot 7;SRC_FILE=Mamul Ambalaj Bileşen Listesi-30.07.2026(3).xlsx</t>
        </is>
      </c>
    </row>
    <row r="1369">
      <c r="A1369" s="19" t="inlineStr">
        <is>
          <t>1368</t>
        </is>
      </c>
      <c r="B1369" s="19" t="inlineStr">
        <is>
          <t>199</t>
        </is>
      </c>
      <c r="C1369" s="19" t="inlineStr">
        <is>
          <t>25</t>
        </is>
      </c>
      <c r="D1369" t="n">
        <v>2</v>
      </c>
      <c r="E1369" s="19" t="inlineStr">
        <is>
          <t>18</t>
        </is>
      </c>
      <c r="F1369" t="n">
        <v>6</v>
      </c>
      <c r="G1369" t="b">
        <v>0</v>
      </c>
      <c r="H1369" t="inlineStr">
        <is>
          <t>UOM=ADT;WEIGHT_BASIS=PROCESSED_SOURCE_UNIT_WEIGHT;LINE_WEIGHT_KG=0.2;SOURCE_CFG=IA-ST-CFG-0240;SRC_REF=Row 144, Slot 8;SRC_FILE=Mamul Ambalaj Bileşen Listesi-30.07.2026(3).xlsx</t>
        </is>
      </c>
    </row>
    <row r="1370">
      <c r="A1370" s="19" t="inlineStr">
        <is>
          <t>1369</t>
        </is>
      </c>
      <c r="B1370" s="19" t="inlineStr">
        <is>
          <t>199</t>
        </is>
      </c>
      <c r="C1370" s="19" t="inlineStr">
        <is>
          <t>30</t>
        </is>
      </c>
      <c r="D1370" t="n">
        <v>5</v>
      </c>
      <c r="E1370" s="19" t="inlineStr">
        <is>
          <t>18</t>
        </is>
      </c>
      <c r="F1370" t="n">
        <v>7</v>
      </c>
      <c r="G1370" t="b">
        <v>0</v>
      </c>
      <c r="H1370" t="inlineStr">
        <is>
          <t>UOM=ADT;WEIGHT_BASIS=PROCESSED_SOURCE_UNIT_WEIGHT;LINE_WEIGHT_KG=1.0;SOURCE_CFG=IA-ST-CFG-0240;SRC_REF=Row 144, Slot 9;SRC_FILE=Mamul Ambalaj Bileşen Listesi-30.07.2026(3).xlsx</t>
        </is>
      </c>
    </row>
    <row r="1371">
      <c r="A1371" s="19" t="inlineStr">
        <is>
          <t>1370</t>
        </is>
      </c>
      <c r="B1371" s="19" t="inlineStr">
        <is>
          <t>200</t>
        </is>
      </c>
      <c r="C1371" s="19" t="inlineStr">
        <is>
          <t>13</t>
        </is>
      </c>
      <c r="D1371" t="n">
        <v>7</v>
      </c>
      <c r="E1371" s="19" t="inlineStr">
        <is>
          <t>18</t>
        </is>
      </c>
      <c r="F1371" t="n">
        <v>1</v>
      </c>
      <c r="G1371" t="b">
        <v>0</v>
      </c>
      <c r="H1371" t="inlineStr">
        <is>
          <t>UOM=M;WEIGHT_BASIS=PROCESSED_SOURCE_UNIT_WEIGHT;LINE_WEIGHT_KG=0.0868;SOURCE_CFG=IA-ST-CFG-0241;SRC_REF=Row 64, Slot 1;SRC_FILE=Mamul Ambalaj Bileşen Listesi-30.07.2026(3).xlsx</t>
        </is>
      </c>
    </row>
    <row r="1372">
      <c r="A1372" s="19" t="inlineStr">
        <is>
          <t>1371</t>
        </is>
      </c>
      <c r="B1372" s="19" t="inlineStr">
        <is>
          <t>200</t>
        </is>
      </c>
      <c r="C1372" s="19" t="inlineStr">
        <is>
          <t>6</t>
        </is>
      </c>
      <c r="D1372" t="n">
        <v>1</v>
      </c>
      <c r="E1372" s="19" t="inlineStr">
        <is>
          <t>18</t>
        </is>
      </c>
      <c r="F1372" t="n">
        <v>2</v>
      </c>
      <c r="G1372" t="b">
        <v>0</v>
      </c>
      <c r="H1372" t="inlineStr">
        <is>
          <t>UOM=ADT;WEIGHT_BASIS=PROCESSED_SOURCE_UNIT_WEIGHT;LINE_WEIGHT_KG=26.0;SOURCE_CFG=IA-ST-CFG-0241;SRC_REF=Row 64, Slot 3;SRC_FILE=Mamul Ambalaj Bileşen Listesi-30.07.2026(3).xlsx</t>
        </is>
      </c>
    </row>
    <row r="1373">
      <c r="A1373" s="19" t="inlineStr">
        <is>
          <t>1372</t>
        </is>
      </c>
      <c r="B1373" s="19" t="inlineStr">
        <is>
          <t>200</t>
        </is>
      </c>
      <c r="C1373" s="19" t="inlineStr">
        <is>
          <t>8</t>
        </is>
      </c>
      <c r="D1373" t="n">
        <v>20</v>
      </c>
      <c r="E1373" s="19" t="inlineStr">
        <is>
          <t>18</t>
        </is>
      </c>
      <c r="F1373" t="n">
        <v>3</v>
      </c>
      <c r="G1373" t="b">
        <v>0</v>
      </c>
      <c r="H1373" t="inlineStr">
        <is>
          <t>UOM=M;WEIGHT_BASIS=PROCESSED_SOURCE_UNIT_WEIGHT;LINE_WEIGHT_KG=0.3664;SOURCE_CFG=IA-ST-CFG-0241;SRC_REF=Row 64, Slot 5;SRC_FILE=Mamul Ambalaj Bileşen Listesi-30.07.2026(3).xlsx</t>
        </is>
      </c>
    </row>
    <row r="1374">
      <c r="A1374" s="19" t="inlineStr">
        <is>
          <t>1373</t>
        </is>
      </c>
      <c r="B1374" s="19" t="inlineStr">
        <is>
          <t>200</t>
        </is>
      </c>
      <c r="C1374" s="19" t="inlineStr">
        <is>
          <t>9</t>
        </is>
      </c>
      <c r="D1374" t="n">
        <v>0.186</v>
      </c>
      <c r="E1374" s="19" t="inlineStr">
        <is>
          <t>18</t>
        </is>
      </c>
      <c r="F1374" t="n">
        <v>4</v>
      </c>
      <c r="G1374" t="b">
        <v>0</v>
      </c>
      <c r="H1374" t="inlineStr">
        <is>
          <t>UOM=KG;WEIGHT_BASIS=RECIPE_QUANTITY_IS_KG;LINE_WEIGHT_KG=0.186;SOURCE_CFG=IA-ST-CFG-0241;SRC_REF=Row 64, Slot 6;SRC_FILE=Mamul Ambalaj Bileşen Listesi-30.07.2026(3).xlsx</t>
        </is>
      </c>
    </row>
    <row r="1375">
      <c r="A1375" s="19" t="inlineStr">
        <is>
          <t>1374</t>
        </is>
      </c>
      <c r="B1375" s="19" t="inlineStr">
        <is>
          <t>200</t>
        </is>
      </c>
      <c r="C1375" s="19" t="inlineStr">
        <is>
          <t>25</t>
        </is>
      </c>
      <c r="D1375" t="n">
        <v>2</v>
      </c>
      <c r="E1375" s="19" t="inlineStr">
        <is>
          <t>18</t>
        </is>
      </c>
      <c r="F1375" t="n">
        <v>5</v>
      </c>
      <c r="G1375" t="b">
        <v>0</v>
      </c>
      <c r="H1375" t="inlineStr">
        <is>
          <t>UOM=ADT;WEIGHT_BASIS=PROCESSED_SOURCE_UNIT_WEIGHT;LINE_WEIGHT_KG=0.2;SOURCE_CFG=IA-ST-CFG-0241;SRC_REF=Row 64, Slot 8;SRC_FILE=Mamul Ambalaj Bileşen Listesi-30.07.2026(3).xlsx</t>
        </is>
      </c>
    </row>
    <row r="1376">
      <c r="A1376" s="19" t="inlineStr">
        <is>
          <t>1375</t>
        </is>
      </c>
      <c r="B1376" s="19" t="inlineStr">
        <is>
          <t>200</t>
        </is>
      </c>
      <c r="C1376" s="19" t="inlineStr">
        <is>
          <t>30</t>
        </is>
      </c>
      <c r="D1376" t="n">
        <v>5</v>
      </c>
      <c r="E1376" s="19" t="inlineStr">
        <is>
          <t>18</t>
        </is>
      </c>
      <c r="F1376" t="n">
        <v>6</v>
      </c>
      <c r="G1376" t="b">
        <v>0</v>
      </c>
      <c r="H1376" t="inlineStr">
        <is>
          <t>UOM=ADT;WEIGHT_BASIS=PROCESSED_SOURCE_UNIT_WEIGHT;LINE_WEIGHT_KG=1.0;SOURCE_CFG=IA-ST-CFG-0241;SRC_REF=Row 64, Slot 9;SRC_FILE=Mamul Ambalaj Bileşen Listesi-30.07.2026(3).xlsx</t>
        </is>
      </c>
    </row>
    <row r="1377">
      <c r="A1377" s="19" t="inlineStr">
        <is>
          <t>1376</t>
        </is>
      </c>
      <c r="B1377" s="19" t="inlineStr">
        <is>
          <t>201</t>
        </is>
      </c>
      <c r="C1377" s="19" t="inlineStr">
        <is>
          <t>13</t>
        </is>
      </c>
      <c r="D1377" t="n">
        <v>14</v>
      </c>
      <c r="E1377" s="19" t="inlineStr">
        <is>
          <t>18</t>
        </is>
      </c>
      <c r="F1377" t="n">
        <v>1</v>
      </c>
      <c r="G1377" t="b">
        <v>0</v>
      </c>
      <c r="H1377" t="inlineStr">
        <is>
          <t>UOM=M;WEIGHT_BASIS=PROCESSED_SOURCE_UNIT_WEIGHT;LINE_WEIGHT_KG=0.1736;SOURCE_CFG=IA-ST-CFG-0243;SRC_REF=Row 1349, Slot 1;SRC_FILE=Mamul Ambalaj Bileşen Listesi-30.07.2026(3).xlsx</t>
        </is>
      </c>
    </row>
    <row r="1378">
      <c r="A1378" s="19" t="inlineStr">
        <is>
          <t>1377</t>
        </is>
      </c>
      <c r="B1378" s="19" t="inlineStr">
        <is>
          <t>201</t>
        </is>
      </c>
      <c r="C1378" s="19" t="inlineStr">
        <is>
          <t>6</t>
        </is>
      </c>
      <c r="D1378" t="n">
        <v>1</v>
      </c>
      <c r="E1378" s="19" t="inlineStr">
        <is>
          <t>18</t>
        </is>
      </c>
      <c r="F1378" t="n">
        <v>2</v>
      </c>
      <c r="G1378" t="b">
        <v>0</v>
      </c>
      <c r="H1378" t="inlineStr">
        <is>
          <t>UOM=ADT;WEIGHT_BASIS=PROCESSED_SOURCE_UNIT_WEIGHT;LINE_WEIGHT_KG=26.0;SOURCE_CFG=IA-ST-CFG-0243;SRC_REF=Row 1349, Slot 3;SRC_FILE=Mamul Ambalaj Bileşen Listesi-30.07.2026(3).xlsx</t>
        </is>
      </c>
    </row>
    <row r="1379">
      <c r="A1379" s="19" t="inlineStr">
        <is>
          <t>1378</t>
        </is>
      </c>
      <c r="B1379" s="19" t="inlineStr">
        <is>
          <t>201</t>
        </is>
      </c>
      <c r="C1379" s="19" t="inlineStr">
        <is>
          <t>8</t>
        </is>
      </c>
      <c r="D1379" t="n">
        <v>20</v>
      </c>
      <c r="E1379" s="19" t="inlineStr">
        <is>
          <t>18</t>
        </is>
      </c>
      <c r="F1379" t="n">
        <v>3</v>
      </c>
      <c r="G1379" t="b">
        <v>0</v>
      </c>
      <c r="H1379" t="inlineStr">
        <is>
          <t>UOM=M;WEIGHT_BASIS=PROCESSED_SOURCE_UNIT_WEIGHT;LINE_WEIGHT_KG=0.3664;SOURCE_CFG=IA-ST-CFG-0243;SRC_REF=Row 1349, Slot 5;SRC_FILE=Mamul Ambalaj Bileşen Listesi-30.07.2026(3).xlsx</t>
        </is>
      </c>
    </row>
    <row r="1380">
      <c r="A1380" s="19" t="inlineStr">
        <is>
          <t>1379</t>
        </is>
      </c>
      <c r="B1380" s="19" t="inlineStr">
        <is>
          <t>201</t>
        </is>
      </c>
      <c r="C1380" s="19" t="inlineStr">
        <is>
          <t>9</t>
        </is>
      </c>
      <c r="D1380" t="n">
        <v>0.186</v>
      </c>
      <c r="E1380" s="19" t="inlineStr">
        <is>
          <t>18</t>
        </is>
      </c>
      <c r="F1380" t="n">
        <v>4</v>
      </c>
      <c r="G1380" t="b">
        <v>0</v>
      </c>
      <c r="H1380" t="inlineStr">
        <is>
          <t>UOM=KG;WEIGHT_BASIS=RECIPE_QUANTITY_IS_KG;LINE_WEIGHT_KG=0.186;SOURCE_CFG=IA-ST-CFG-0243;SRC_REF=Row 1349, Slot 6;SRC_FILE=Mamul Ambalaj Bileşen Listesi-30.07.2026(3).xlsx</t>
        </is>
      </c>
    </row>
    <row r="1381">
      <c r="A1381" s="19" t="inlineStr">
        <is>
          <t>1380</t>
        </is>
      </c>
      <c r="B1381" s="19" t="inlineStr">
        <is>
          <t>201</t>
        </is>
      </c>
      <c r="C1381" s="19" t="inlineStr">
        <is>
          <t>3</t>
        </is>
      </c>
      <c r="D1381" t="n">
        <v>8</v>
      </c>
      <c r="E1381" s="19" t="inlineStr">
        <is>
          <t>18</t>
        </is>
      </c>
      <c r="F1381" t="n">
        <v>5</v>
      </c>
      <c r="G1381" t="b">
        <v>0</v>
      </c>
      <c r="H1381" t="inlineStr">
        <is>
          <t>UOM=ADT;WEIGHT_BASIS=PROCESSED_SOURCE_UNIT_WEIGHT;LINE_WEIGHT_KG=1.68;SOURCE_CFG=IA-ST-CFG-0243;SRC_REF=Row 1349, Slot 8;SRC_FILE=Mamul Ambalaj Bileşen Listesi-30.07.2026(3).xlsx</t>
        </is>
      </c>
    </row>
    <row r="1382">
      <c r="A1382" s="19" t="inlineStr">
        <is>
          <t>1381</t>
        </is>
      </c>
      <c r="B1382" s="19" t="inlineStr">
        <is>
          <t>201</t>
        </is>
      </c>
      <c r="C1382" s="19" t="inlineStr">
        <is>
          <t>30</t>
        </is>
      </c>
      <c r="D1382" t="n">
        <v>5</v>
      </c>
      <c r="E1382" s="19" t="inlineStr">
        <is>
          <t>18</t>
        </is>
      </c>
      <c r="F1382" t="n">
        <v>6</v>
      </c>
      <c r="G1382" t="b">
        <v>0</v>
      </c>
      <c r="H1382" t="inlineStr">
        <is>
          <t>UOM=ADT;WEIGHT_BASIS=PROCESSED_SOURCE_UNIT_WEIGHT;LINE_WEIGHT_KG=1.0;SOURCE_CFG=IA-ST-CFG-0243;SRC_REF=Row 1349, Slot 9;SRC_FILE=Mamul Ambalaj Bileşen Listesi-30.07.2026(3).xlsx</t>
        </is>
      </c>
    </row>
    <row r="1383">
      <c r="A1383" s="19" t="inlineStr">
        <is>
          <t>1382</t>
        </is>
      </c>
      <c r="B1383" s="19" t="inlineStr">
        <is>
          <t>201</t>
        </is>
      </c>
      <c r="C1383" s="19" t="inlineStr">
        <is>
          <t>90</t>
        </is>
      </c>
      <c r="D1383" t="n">
        <v>80</v>
      </c>
      <c r="E1383" s="19" t="inlineStr">
        <is>
          <t>18</t>
        </is>
      </c>
      <c r="F1383" t="n">
        <v>7</v>
      </c>
      <c r="G1383" t="b">
        <v>0</v>
      </c>
      <c r="H1383" t="inlineStr">
        <is>
          <t>UOM=ADT;WEIGHT_BASIS=PROCESSED_SOURCE_UNIT_WEIGHT;LINE_WEIGHT_KG=19.2;SOURCE_CFG=IA-ST-CFG-0243;SRC_REF=Row 1349, Slot 10;SRC_FILE=Mamul Ambalaj Bileşen Listesi-30.07.2026(3).xlsx</t>
        </is>
      </c>
    </row>
    <row r="1384">
      <c r="A1384" s="19" t="inlineStr">
        <is>
          <t>1383</t>
        </is>
      </c>
      <c r="B1384" s="19" t="inlineStr">
        <is>
          <t>202</t>
        </is>
      </c>
      <c r="C1384" s="19" t="inlineStr">
        <is>
          <t>13</t>
        </is>
      </c>
      <c r="D1384" t="n">
        <v>14</v>
      </c>
      <c r="E1384" s="19" t="inlineStr">
        <is>
          <t>18</t>
        </is>
      </c>
      <c r="F1384" t="n">
        <v>1</v>
      </c>
      <c r="G1384" t="b">
        <v>0</v>
      </c>
      <c r="H1384" t="inlineStr">
        <is>
          <t>UOM=M;WEIGHT_BASIS=PROCESSED_SOURCE_UNIT_WEIGHT;LINE_WEIGHT_KG=0.1736;SOURCE_CFG=IA-ST-CFG-0245;SRC_REF=Row 953, Slot 1;SRC_FILE=Mamul Ambalaj Bileşen Listesi-30.07.2026(3).xlsx</t>
        </is>
      </c>
    </row>
    <row r="1385">
      <c r="A1385" s="19" t="inlineStr">
        <is>
          <t>1384</t>
        </is>
      </c>
      <c r="B1385" s="19" t="inlineStr">
        <is>
          <t>202</t>
        </is>
      </c>
      <c r="C1385" s="19" t="inlineStr">
        <is>
          <t>6</t>
        </is>
      </c>
      <c r="D1385" t="n">
        <v>1</v>
      </c>
      <c r="E1385" s="19" t="inlineStr">
        <is>
          <t>18</t>
        </is>
      </c>
      <c r="F1385" t="n">
        <v>2</v>
      </c>
      <c r="G1385" t="b">
        <v>0</v>
      </c>
      <c r="H1385" t="inlineStr">
        <is>
          <t>UOM=ADT;WEIGHT_BASIS=PROCESSED_SOURCE_UNIT_WEIGHT;LINE_WEIGHT_KG=26.0;SOURCE_CFG=IA-ST-CFG-0245;SRC_REF=Row 953, Slot 3;SRC_FILE=Mamul Ambalaj Bileşen Listesi-30.07.2026(3).xlsx</t>
        </is>
      </c>
    </row>
    <row r="1386">
      <c r="A1386" s="19" t="inlineStr">
        <is>
          <t>1385</t>
        </is>
      </c>
      <c r="B1386" s="19" t="inlineStr">
        <is>
          <t>202</t>
        </is>
      </c>
      <c r="C1386" s="19" t="inlineStr">
        <is>
          <t>8</t>
        </is>
      </c>
      <c r="D1386" t="n">
        <v>20</v>
      </c>
      <c r="E1386" s="19" t="inlineStr">
        <is>
          <t>18</t>
        </is>
      </c>
      <c r="F1386" t="n">
        <v>3</v>
      </c>
      <c r="G1386" t="b">
        <v>0</v>
      </c>
      <c r="H1386" t="inlineStr">
        <is>
          <t>UOM=M;WEIGHT_BASIS=PROCESSED_SOURCE_UNIT_WEIGHT;LINE_WEIGHT_KG=0.3664;SOURCE_CFG=IA-ST-CFG-0245;SRC_REF=Row 953, Slot 5;SRC_FILE=Mamul Ambalaj Bileşen Listesi-30.07.2026(3).xlsx</t>
        </is>
      </c>
    </row>
    <row r="1387">
      <c r="A1387" s="19" t="inlineStr">
        <is>
          <t>1386</t>
        </is>
      </c>
      <c r="B1387" s="19" t="inlineStr">
        <is>
          <t>202</t>
        </is>
      </c>
      <c r="C1387" s="19" t="inlineStr">
        <is>
          <t>9</t>
        </is>
      </c>
      <c r="D1387" t="n">
        <v>0.186</v>
      </c>
      <c r="E1387" s="19" t="inlineStr">
        <is>
          <t>18</t>
        </is>
      </c>
      <c r="F1387" t="n">
        <v>4</v>
      </c>
      <c r="G1387" t="b">
        <v>0</v>
      </c>
      <c r="H1387" t="inlineStr">
        <is>
          <t>UOM=KG;WEIGHT_BASIS=RECIPE_QUANTITY_IS_KG;LINE_WEIGHT_KG=0.186;SOURCE_CFG=IA-ST-CFG-0245;SRC_REF=Row 953, Slot 6;SRC_FILE=Mamul Ambalaj Bileşen Listesi-30.07.2026(3).xlsx</t>
        </is>
      </c>
    </row>
    <row r="1388">
      <c r="A1388" s="19" t="inlineStr">
        <is>
          <t>1387</t>
        </is>
      </c>
      <c r="B1388" s="19" t="inlineStr">
        <is>
          <t>202</t>
        </is>
      </c>
      <c r="C1388" s="19" t="inlineStr">
        <is>
          <t>25</t>
        </is>
      </c>
      <c r="D1388" t="n">
        <v>4</v>
      </c>
      <c r="E1388" s="19" t="inlineStr">
        <is>
          <t>18</t>
        </is>
      </c>
      <c r="F1388" t="n">
        <v>5</v>
      </c>
      <c r="G1388" t="b">
        <v>0</v>
      </c>
      <c r="H1388" t="inlineStr">
        <is>
          <t>UOM=ADT;WEIGHT_BASIS=PROCESSED_SOURCE_UNIT_WEIGHT;LINE_WEIGHT_KG=0.4;SOURCE_CFG=IA-ST-CFG-0245;SRC_REF=Row 953, Slot 8;SRC_FILE=Mamul Ambalaj Bileşen Listesi-30.07.2026(3).xlsx</t>
        </is>
      </c>
    </row>
    <row r="1389">
      <c r="A1389" s="19" t="inlineStr">
        <is>
          <t>1388</t>
        </is>
      </c>
      <c r="B1389" s="19" t="inlineStr">
        <is>
          <t>202</t>
        </is>
      </c>
      <c r="C1389" s="19" t="inlineStr">
        <is>
          <t>30</t>
        </is>
      </c>
      <c r="D1389" t="n">
        <v>1</v>
      </c>
      <c r="E1389" s="19" t="inlineStr">
        <is>
          <t>18</t>
        </is>
      </c>
      <c r="F1389" t="n">
        <v>6</v>
      </c>
      <c r="G1389" t="b">
        <v>0</v>
      </c>
      <c r="H1389" t="inlineStr">
        <is>
          <t>UOM=ADT;WEIGHT_BASIS=PROCESSED_SOURCE_UNIT_WEIGHT;LINE_WEIGHT_KG=0.2;SOURCE_CFG=IA-ST-CFG-0245;SRC_REF=Row 953, Slot 9;SRC_FILE=Mamul Ambalaj Bileşen Listesi-30.07.2026(3).xlsx</t>
        </is>
      </c>
    </row>
    <row r="1390">
      <c r="A1390" s="19" t="inlineStr">
        <is>
          <t>1389</t>
        </is>
      </c>
      <c r="B1390" s="19" t="inlineStr">
        <is>
          <t>202</t>
        </is>
      </c>
      <c r="C1390" s="19" t="inlineStr">
        <is>
          <t>56</t>
        </is>
      </c>
      <c r="D1390" t="n">
        <v>3</v>
      </c>
      <c r="E1390" s="19" t="inlineStr">
        <is>
          <t>18</t>
        </is>
      </c>
      <c r="F1390" t="n">
        <v>7</v>
      </c>
      <c r="G1390" t="b">
        <v>0</v>
      </c>
      <c r="H1390" t="inlineStr">
        <is>
          <t>UOM=ADT;WEIGHT_BASIS=PROCESSED_SOURCE_UNIT_WEIGHT;LINE_WEIGHT_KG=3.0;SOURCE_CFG=IA-ST-CFG-0245;SRC_REF=Row 953, Slot 10;SRC_FILE=Mamul Ambalaj Bileşen Listesi-30.07.2026(3).xlsx</t>
        </is>
      </c>
    </row>
    <row r="1391">
      <c r="A1391" s="19" t="inlineStr">
        <is>
          <t>1390</t>
        </is>
      </c>
      <c r="B1391" s="19" t="inlineStr">
        <is>
          <t>203</t>
        </is>
      </c>
      <c r="C1391" s="19" t="inlineStr">
        <is>
          <t>13</t>
        </is>
      </c>
      <c r="D1391" t="n">
        <v>14</v>
      </c>
      <c r="E1391" s="19" t="inlineStr">
        <is>
          <t>18</t>
        </is>
      </c>
      <c r="F1391" t="n">
        <v>1</v>
      </c>
      <c r="G1391" t="b">
        <v>0</v>
      </c>
      <c r="H1391" t="inlineStr">
        <is>
          <t>UOM=M;WEIGHT_BASIS=PROCESSED_SOURCE_UNIT_WEIGHT;LINE_WEIGHT_KG=0.1736;SOURCE_CFG=IA-ST-CFG-0253;SRC_REF=Row 679, Slot 1;SRC_FILE=Mamul Ambalaj Bileşen Listesi-30.07.2026(3).xlsx</t>
        </is>
      </c>
    </row>
    <row r="1392">
      <c r="A1392" s="19" t="inlineStr">
        <is>
          <t>1391</t>
        </is>
      </c>
      <c r="B1392" s="19" t="inlineStr">
        <is>
          <t>203</t>
        </is>
      </c>
      <c r="C1392" s="19" t="inlineStr">
        <is>
          <t>27</t>
        </is>
      </c>
      <c r="D1392" t="n">
        <v>87</v>
      </c>
      <c r="E1392" s="19" t="inlineStr">
        <is>
          <t>18</t>
        </is>
      </c>
      <c r="F1392" t="n">
        <v>2</v>
      </c>
      <c r="G1392" t="b">
        <v>0</v>
      </c>
      <c r="H1392" t="inlineStr">
        <is>
          <t>UOM=ADT;WEIGHT_BASIS=SOURCE_UNIT_WEIGHT;LINE_WEIGHT_KG=3.19551;SOURCE_CFG=IA-ST-CFG-0253;SRC_REF=Row 679, Slot 2;SRC_FILE=Mamul Ambalaj Bileşen Listesi-30.07.2026(3).xlsx</t>
        </is>
      </c>
    </row>
    <row r="1393">
      <c r="A1393" s="19" t="inlineStr">
        <is>
          <t>1392</t>
        </is>
      </c>
      <c r="B1393" s="19" t="inlineStr">
        <is>
          <t>203</t>
        </is>
      </c>
      <c r="C1393" s="19" t="inlineStr">
        <is>
          <t>6</t>
        </is>
      </c>
      <c r="D1393" t="n">
        <v>1</v>
      </c>
      <c r="E1393" s="19" t="inlineStr">
        <is>
          <t>18</t>
        </is>
      </c>
      <c r="F1393" t="n">
        <v>3</v>
      </c>
      <c r="G1393" t="b">
        <v>0</v>
      </c>
      <c r="H1393" t="inlineStr">
        <is>
          <t>UOM=ADT;WEIGHT_BASIS=PROCESSED_SOURCE_UNIT_WEIGHT;LINE_WEIGHT_KG=26.0;SOURCE_CFG=IA-ST-CFG-0253;SRC_REF=Row 679, Slot 3;SRC_FILE=Mamul Ambalaj Bileşen Listesi-30.07.2026(3).xlsx</t>
        </is>
      </c>
    </row>
    <row r="1394">
      <c r="A1394" s="19" t="inlineStr">
        <is>
          <t>1393</t>
        </is>
      </c>
      <c r="B1394" s="19" t="inlineStr">
        <is>
          <t>203</t>
        </is>
      </c>
      <c r="C1394" s="19" t="inlineStr">
        <is>
          <t>8</t>
        </is>
      </c>
      <c r="D1394" t="n">
        <v>20</v>
      </c>
      <c r="E1394" s="19" t="inlineStr">
        <is>
          <t>18</t>
        </is>
      </c>
      <c r="F1394" t="n">
        <v>4</v>
      </c>
      <c r="G1394" t="b">
        <v>0</v>
      </c>
      <c r="H1394" t="inlineStr">
        <is>
          <t>UOM=M;WEIGHT_BASIS=PROCESSED_SOURCE_UNIT_WEIGHT;LINE_WEIGHT_KG=0.3664;SOURCE_CFG=IA-ST-CFG-0253;SRC_REF=Row 679, Slot 5;SRC_FILE=Mamul Ambalaj Bileşen Listesi-30.07.2026(3).xlsx</t>
        </is>
      </c>
    </row>
    <row r="1395">
      <c r="A1395" s="19" t="inlineStr">
        <is>
          <t>1394</t>
        </is>
      </c>
      <c r="B1395" s="19" t="inlineStr">
        <is>
          <t>203</t>
        </is>
      </c>
      <c r="C1395" s="19" t="inlineStr">
        <is>
          <t>9</t>
        </is>
      </c>
      <c r="D1395" t="n">
        <v>0.186</v>
      </c>
      <c r="E1395" s="19" t="inlineStr">
        <is>
          <t>18</t>
        </is>
      </c>
      <c r="F1395" t="n">
        <v>5</v>
      </c>
      <c r="G1395" t="b">
        <v>0</v>
      </c>
      <c r="H1395" t="inlineStr">
        <is>
          <t>UOM=KG;WEIGHT_BASIS=RECIPE_QUANTITY_IS_KG;LINE_WEIGHT_KG=0.186;SOURCE_CFG=IA-ST-CFG-0253;SRC_REF=Row 679, Slot 6;SRC_FILE=Mamul Ambalaj Bileşen Listesi-30.07.2026(3).xlsx</t>
        </is>
      </c>
    </row>
    <row r="1396">
      <c r="A1396" s="19" t="inlineStr">
        <is>
          <t>1395</t>
        </is>
      </c>
      <c r="B1396" s="19" t="inlineStr">
        <is>
          <t>203</t>
        </is>
      </c>
      <c r="C1396" s="19" t="inlineStr">
        <is>
          <t>20</t>
        </is>
      </c>
      <c r="D1396" t="n">
        <v>1.997</v>
      </c>
      <c r="E1396" s="19" t="inlineStr">
        <is>
          <t>18</t>
        </is>
      </c>
      <c r="F1396" t="n">
        <v>6</v>
      </c>
      <c r="G1396" t="b">
        <v>0</v>
      </c>
      <c r="H1396" t="inlineStr">
        <is>
          <t>UOM=KG;WEIGHT_BASIS=RECIPE_QUANTITY_IS_KG;LINE_WEIGHT_KG=1.997;SOURCE_CFG=IA-ST-CFG-0253;SRC_REF=Row 679, Slot 7;SRC_FILE=Mamul Ambalaj Bileşen Listesi-30.07.2026(3).xlsx</t>
        </is>
      </c>
    </row>
    <row r="1397">
      <c r="A1397" s="19" t="inlineStr">
        <is>
          <t>1396</t>
        </is>
      </c>
      <c r="B1397" s="19" t="inlineStr">
        <is>
          <t>203</t>
        </is>
      </c>
      <c r="C1397" s="19" t="inlineStr">
        <is>
          <t>25</t>
        </is>
      </c>
      <c r="D1397" t="n">
        <v>4</v>
      </c>
      <c r="E1397" s="19" t="inlineStr">
        <is>
          <t>18</t>
        </is>
      </c>
      <c r="F1397" t="n">
        <v>7</v>
      </c>
      <c r="G1397" t="b">
        <v>0</v>
      </c>
      <c r="H1397" t="inlineStr">
        <is>
          <t>UOM=ADT;WEIGHT_BASIS=PROCESSED_SOURCE_UNIT_WEIGHT;LINE_WEIGHT_KG=0.4;SOURCE_CFG=IA-ST-CFG-0253;SRC_REF=Row 679, Slot 8;SRC_FILE=Mamul Ambalaj Bileşen Listesi-30.07.2026(3).xlsx</t>
        </is>
      </c>
    </row>
    <row r="1398">
      <c r="A1398" s="19" t="inlineStr">
        <is>
          <t>1397</t>
        </is>
      </c>
      <c r="B1398" s="19" t="inlineStr">
        <is>
          <t>203</t>
        </is>
      </c>
      <c r="C1398" s="19" t="inlineStr">
        <is>
          <t>30</t>
        </is>
      </c>
      <c r="D1398" t="n">
        <v>4</v>
      </c>
      <c r="E1398" s="19" t="inlineStr">
        <is>
          <t>18</t>
        </is>
      </c>
      <c r="F1398" t="n">
        <v>8</v>
      </c>
      <c r="G1398" t="b">
        <v>0</v>
      </c>
      <c r="H1398" t="inlineStr">
        <is>
          <t>UOM=ADT;WEIGHT_BASIS=PROCESSED_SOURCE_UNIT_WEIGHT;LINE_WEIGHT_KG=0.8;SOURCE_CFG=IA-ST-CFG-0253;SRC_REF=Row 679, Slot 9;SRC_FILE=Mamul Ambalaj Bileşen Listesi-30.07.2026(3).xlsx</t>
        </is>
      </c>
    </row>
    <row r="1399">
      <c r="A1399" s="19" t="inlineStr">
        <is>
          <t>1398</t>
        </is>
      </c>
      <c r="B1399" s="19" t="inlineStr">
        <is>
          <t>204</t>
        </is>
      </c>
      <c r="C1399" s="19" t="inlineStr">
        <is>
          <t>13</t>
        </is>
      </c>
      <c r="D1399" t="n">
        <v>7</v>
      </c>
      <c r="E1399" s="19" t="inlineStr">
        <is>
          <t>18</t>
        </is>
      </c>
      <c r="F1399" t="n">
        <v>1</v>
      </c>
      <c r="G1399" t="b">
        <v>0</v>
      </c>
      <c r="H1399" t="inlineStr">
        <is>
          <t>UOM=M;WEIGHT_BASIS=PROCESSED_SOURCE_UNIT_WEIGHT;LINE_WEIGHT_KG=0.0868;SOURCE_CFG=IA-ST-CFG-0246;SRC_REF=Row 1407, Slot 1;SRC_FILE=Mamul Ambalaj Bileşen Listesi-30.07.2026(3).xlsx</t>
        </is>
      </c>
    </row>
    <row r="1400">
      <c r="A1400" s="19" t="inlineStr">
        <is>
          <t>1399</t>
        </is>
      </c>
      <c r="B1400" s="19" t="inlineStr">
        <is>
          <t>204</t>
        </is>
      </c>
      <c r="C1400" s="19" t="inlineStr">
        <is>
          <t>5</t>
        </is>
      </c>
      <c r="D1400" t="n">
        <v>1</v>
      </c>
      <c r="E1400" s="19" t="inlineStr">
        <is>
          <t>18</t>
        </is>
      </c>
      <c r="F1400" t="n">
        <v>2</v>
      </c>
      <c r="G1400" t="b">
        <v>0</v>
      </c>
      <c r="H1400" t="inlineStr">
        <is>
          <t>UOM=ADT;WEIGHT_BASIS=PROCESSED_SOURCE_UNIT_WEIGHT;LINE_WEIGHT_KG=26.0;SOURCE_CFG=IA-ST-CFG-0246;SRC_REF=Row 1407, Slot 3;SRC_FILE=Mamul Ambalaj Bileşen Listesi-30.07.2026(3).xlsx</t>
        </is>
      </c>
    </row>
    <row r="1401">
      <c r="A1401" s="19" t="inlineStr">
        <is>
          <t>1400</t>
        </is>
      </c>
      <c r="B1401" s="19" t="inlineStr">
        <is>
          <t>204</t>
        </is>
      </c>
      <c r="C1401" s="19" t="inlineStr">
        <is>
          <t>8</t>
        </is>
      </c>
      <c r="D1401" t="n">
        <v>20</v>
      </c>
      <c r="E1401" s="19" t="inlineStr">
        <is>
          <t>18</t>
        </is>
      </c>
      <c r="F1401" t="n">
        <v>3</v>
      </c>
      <c r="G1401" t="b">
        <v>0</v>
      </c>
      <c r="H1401" t="inlineStr">
        <is>
          <t>UOM=M;WEIGHT_BASIS=PROCESSED_SOURCE_UNIT_WEIGHT;LINE_WEIGHT_KG=0.3664;SOURCE_CFG=IA-ST-CFG-0246;SRC_REF=Row 1407, Slot 5;SRC_FILE=Mamul Ambalaj Bileşen Listesi-30.07.2026(3).xlsx</t>
        </is>
      </c>
    </row>
    <row r="1402">
      <c r="A1402" s="19" t="inlineStr">
        <is>
          <t>1401</t>
        </is>
      </c>
      <c r="B1402" s="19" t="inlineStr">
        <is>
          <t>204</t>
        </is>
      </c>
      <c r="C1402" s="19" t="inlineStr">
        <is>
          <t>9</t>
        </is>
      </c>
      <c r="D1402" t="n">
        <v>0.186</v>
      </c>
      <c r="E1402" s="19" t="inlineStr">
        <is>
          <t>18</t>
        </is>
      </c>
      <c r="F1402" t="n">
        <v>4</v>
      </c>
      <c r="G1402" t="b">
        <v>0</v>
      </c>
      <c r="H1402" t="inlineStr">
        <is>
          <t>UOM=KG;WEIGHT_BASIS=RECIPE_QUANTITY_IS_KG;LINE_WEIGHT_KG=0.186;SOURCE_CFG=IA-ST-CFG-0246;SRC_REF=Row 1407, Slot 6;SRC_FILE=Mamul Ambalaj Bileşen Listesi-30.07.2026(3).xlsx</t>
        </is>
      </c>
    </row>
    <row r="1403">
      <c r="A1403" s="19" t="inlineStr">
        <is>
          <t>1402</t>
        </is>
      </c>
      <c r="B1403" s="19" t="inlineStr">
        <is>
          <t>204</t>
        </is>
      </c>
      <c r="C1403" s="19" t="inlineStr">
        <is>
          <t>3</t>
        </is>
      </c>
      <c r="D1403" t="n">
        <v>2</v>
      </c>
      <c r="E1403" s="19" t="inlineStr">
        <is>
          <t>18</t>
        </is>
      </c>
      <c r="F1403" t="n">
        <v>5</v>
      </c>
      <c r="G1403" t="b">
        <v>0</v>
      </c>
      <c r="H1403" t="inlineStr">
        <is>
          <t>UOM=ADT;WEIGHT_BASIS=PROCESSED_SOURCE_UNIT_WEIGHT;LINE_WEIGHT_KG=0.42;SOURCE_CFG=IA-ST-CFG-0246;SRC_REF=Row 1407, Slot 8;SRC_FILE=Mamul Ambalaj Bileşen Listesi-30.07.2026(3).xlsx</t>
        </is>
      </c>
    </row>
    <row r="1404">
      <c r="A1404" s="19" t="inlineStr">
        <is>
          <t>1403</t>
        </is>
      </c>
      <c r="B1404" s="19" t="inlineStr">
        <is>
          <t>204</t>
        </is>
      </c>
      <c r="C1404" s="19" t="inlineStr">
        <is>
          <t>7</t>
        </is>
      </c>
      <c r="D1404" t="n">
        <v>4</v>
      </c>
      <c r="E1404" s="19" t="inlineStr">
        <is>
          <t>18</t>
        </is>
      </c>
      <c r="F1404" t="n">
        <v>6</v>
      </c>
      <c r="G1404" t="b">
        <v>0</v>
      </c>
      <c r="H1404" t="inlineStr">
        <is>
          <t>UOM=ADT;WEIGHT_BASIS=PROCESSED_SOURCE_UNIT_WEIGHT;LINE_WEIGHT_KG=1.08;SOURCE_CFG=IA-ST-CFG-0246;SRC_REF=Row 1407, Slot 9;SRC_FILE=Mamul Ambalaj Bileşen Listesi-30.07.2026(3).xlsx</t>
        </is>
      </c>
    </row>
    <row r="1405">
      <c r="A1405" s="19" t="inlineStr">
        <is>
          <t>1404</t>
        </is>
      </c>
      <c r="B1405" s="19" t="inlineStr">
        <is>
          <t>205</t>
        </is>
      </c>
      <c r="C1405" s="19" t="inlineStr">
        <is>
          <t>13</t>
        </is>
      </c>
      <c r="D1405" t="n">
        <v>7</v>
      </c>
      <c r="E1405" s="19" t="inlineStr">
        <is>
          <t>18</t>
        </is>
      </c>
      <c r="F1405" t="n">
        <v>1</v>
      </c>
      <c r="G1405" t="b">
        <v>0</v>
      </c>
      <c r="H1405" t="inlineStr">
        <is>
          <t>UOM=M;WEIGHT_BASIS=PROCESSED_SOURCE_UNIT_WEIGHT;LINE_WEIGHT_KG=0.0868;SOURCE_CFG=IA-ST-CFG-0247;SRC_REF=Row 385, Slot 1;SRC_FILE=Mamul Ambalaj Bileşen Listesi-30.07.2026(3).xlsx</t>
        </is>
      </c>
    </row>
    <row r="1406">
      <c r="A1406" s="19" t="inlineStr">
        <is>
          <t>1405</t>
        </is>
      </c>
      <c r="B1406" s="19" t="inlineStr">
        <is>
          <t>205</t>
        </is>
      </c>
      <c r="C1406" s="19" t="inlineStr">
        <is>
          <t>5</t>
        </is>
      </c>
      <c r="D1406" t="n">
        <v>1</v>
      </c>
      <c r="E1406" s="19" t="inlineStr">
        <is>
          <t>18</t>
        </is>
      </c>
      <c r="F1406" t="n">
        <v>2</v>
      </c>
      <c r="G1406" t="b">
        <v>0</v>
      </c>
      <c r="H1406" t="inlineStr">
        <is>
          <t>UOM=ADT;WEIGHT_BASIS=PROCESSED_SOURCE_UNIT_WEIGHT;LINE_WEIGHT_KG=26.0;SOURCE_CFG=IA-ST-CFG-0247;SRC_REF=Row 385, Slot 3;SRC_FILE=Mamul Ambalaj Bileşen Listesi-30.07.2026(3).xlsx</t>
        </is>
      </c>
    </row>
    <row r="1407">
      <c r="A1407" s="19" t="inlineStr">
        <is>
          <t>1406</t>
        </is>
      </c>
      <c r="B1407" s="19" t="inlineStr">
        <is>
          <t>205</t>
        </is>
      </c>
      <c r="C1407" s="19" t="inlineStr">
        <is>
          <t>8</t>
        </is>
      </c>
      <c r="D1407" t="n">
        <v>20</v>
      </c>
      <c r="E1407" s="19" t="inlineStr">
        <is>
          <t>18</t>
        </is>
      </c>
      <c r="F1407" t="n">
        <v>3</v>
      </c>
      <c r="G1407" t="b">
        <v>0</v>
      </c>
      <c r="H1407" t="inlineStr">
        <is>
          <t>UOM=M;WEIGHT_BASIS=PROCESSED_SOURCE_UNIT_WEIGHT;LINE_WEIGHT_KG=0.3664;SOURCE_CFG=IA-ST-CFG-0247;SRC_REF=Row 385, Slot 5;SRC_FILE=Mamul Ambalaj Bileşen Listesi-30.07.2026(3).xlsx</t>
        </is>
      </c>
    </row>
    <row r="1408">
      <c r="A1408" s="19" t="inlineStr">
        <is>
          <t>1407</t>
        </is>
      </c>
      <c r="B1408" s="19" t="inlineStr">
        <is>
          <t>205</t>
        </is>
      </c>
      <c r="C1408" s="19" t="inlineStr">
        <is>
          <t>9</t>
        </is>
      </c>
      <c r="D1408" t="n">
        <v>0.186</v>
      </c>
      <c r="E1408" s="19" t="inlineStr">
        <is>
          <t>18</t>
        </is>
      </c>
      <c r="F1408" t="n">
        <v>4</v>
      </c>
      <c r="G1408" t="b">
        <v>0</v>
      </c>
      <c r="H1408" t="inlineStr">
        <is>
          <t>UOM=KG;WEIGHT_BASIS=RECIPE_QUANTITY_IS_KG;LINE_WEIGHT_KG=0.186;SOURCE_CFG=IA-ST-CFG-0247;SRC_REF=Row 385, Slot 6;SRC_FILE=Mamul Ambalaj Bileşen Listesi-30.07.2026(3).xlsx</t>
        </is>
      </c>
    </row>
    <row r="1409">
      <c r="A1409" s="19" t="inlineStr">
        <is>
          <t>1408</t>
        </is>
      </c>
      <c r="B1409" s="19" t="inlineStr">
        <is>
          <t>205</t>
        </is>
      </c>
      <c r="C1409" s="19" t="inlineStr">
        <is>
          <t>21</t>
        </is>
      </c>
      <c r="D1409" t="n">
        <v>2.35</v>
      </c>
      <c r="E1409" s="19" t="inlineStr">
        <is>
          <t>18</t>
        </is>
      </c>
      <c r="F1409" t="n">
        <v>5</v>
      </c>
      <c r="G1409" t="b">
        <v>0</v>
      </c>
      <c r="H1409" t="inlineStr">
        <is>
          <t>UOM=KG;WEIGHT_BASIS=RECIPE_QUANTITY_IS_KG;LINE_WEIGHT_KG=2.35;SOURCE_CFG=IA-ST-CFG-0247;SRC_REF=Row 385, Slot 7;SRC_FILE=Mamul Ambalaj Bileşen Listesi-30.07.2026(3).xlsx</t>
        </is>
      </c>
    </row>
    <row r="1410">
      <c r="A1410" s="19" t="inlineStr">
        <is>
          <t>1409</t>
        </is>
      </c>
      <c r="B1410" s="19" t="inlineStr">
        <is>
          <t>205</t>
        </is>
      </c>
      <c r="C1410" s="19" t="inlineStr">
        <is>
          <t>3</t>
        </is>
      </c>
      <c r="D1410" t="n">
        <v>2</v>
      </c>
      <c r="E1410" s="19" t="inlineStr">
        <is>
          <t>18</t>
        </is>
      </c>
      <c r="F1410" t="n">
        <v>6</v>
      </c>
      <c r="G1410" t="b">
        <v>0</v>
      </c>
      <c r="H1410" t="inlineStr">
        <is>
          <t>UOM=ADT;WEIGHT_BASIS=PROCESSED_SOURCE_UNIT_WEIGHT;LINE_WEIGHT_KG=0.42;SOURCE_CFG=IA-ST-CFG-0247;SRC_REF=Row 385, Slot 8;SRC_FILE=Mamul Ambalaj Bileşen Listesi-30.07.2026(3).xlsx</t>
        </is>
      </c>
    </row>
    <row r="1411">
      <c r="A1411" s="19" t="inlineStr">
        <is>
          <t>1410</t>
        </is>
      </c>
      <c r="B1411" s="19" t="inlineStr">
        <is>
          <t>205</t>
        </is>
      </c>
      <c r="C1411" s="19" t="inlineStr">
        <is>
          <t>7</t>
        </is>
      </c>
      <c r="D1411" t="n">
        <v>4</v>
      </c>
      <c r="E1411" s="19" t="inlineStr">
        <is>
          <t>18</t>
        </is>
      </c>
      <c r="F1411" t="n">
        <v>7</v>
      </c>
      <c r="G1411" t="b">
        <v>0</v>
      </c>
      <c r="H1411" t="inlineStr">
        <is>
          <t>UOM=ADT;WEIGHT_BASIS=PROCESSED_SOURCE_UNIT_WEIGHT;LINE_WEIGHT_KG=1.08;SOURCE_CFG=IA-ST-CFG-0247;SRC_REF=Row 385, Slot 9;SRC_FILE=Mamul Ambalaj Bileşen Listesi-30.07.2026(3).xlsx</t>
        </is>
      </c>
    </row>
    <row r="1412">
      <c r="A1412" s="19" t="inlineStr">
        <is>
          <t>1411</t>
        </is>
      </c>
      <c r="B1412" s="19" t="inlineStr">
        <is>
          <t>206</t>
        </is>
      </c>
      <c r="C1412" s="19" t="inlineStr">
        <is>
          <t>13</t>
        </is>
      </c>
      <c r="D1412" t="n">
        <v>7</v>
      </c>
      <c r="E1412" s="19" t="inlineStr">
        <is>
          <t>18</t>
        </is>
      </c>
      <c r="F1412" t="n">
        <v>1</v>
      </c>
      <c r="G1412" t="b">
        <v>0</v>
      </c>
      <c r="H1412" t="inlineStr">
        <is>
          <t>UOM=M;WEIGHT_BASIS=PROCESSED_SOURCE_UNIT_WEIGHT;LINE_WEIGHT_KG=0.0868;SOURCE_CFG=IA-ST-CFG-0248;SRC_REF=Row 142, Slot 1;SRC_FILE=Mamul Ambalaj Bileşen Listesi-30.07.2026(3).xlsx</t>
        </is>
      </c>
    </row>
    <row r="1413">
      <c r="A1413" s="19" t="inlineStr">
        <is>
          <t>1412</t>
        </is>
      </c>
      <c r="B1413" s="19" t="inlineStr">
        <is>
          <t>206</t>
        </is>
      </c>
      <c r="C1413" s="19" t="inlineStr">
        <is>
          <t>5</t>
        </is>
      </c>
      <c r="D1413" t="n">
        <v>1</v>
      </c>
      <c r="E1413" s="19" t="inlineStr">
        <is>
          <t>18</t>
        </is>
      </c>
      <c r="F1413" t="n">
        <v>2</v>
      </c>
      <c r="G1413" t="b">
        <v>0</v>
      </c>
      <c r="H1413" t="inlineStr">
        <is>
          <t>UOM=ADT;WEIGHT_BASIS=PROCESSED_SOURCE_UNIT_WEIGHT;LINE_WEIGHT_KG=26.0;SOURCE_CFG=IA-ST-CFG-0248;SRC_REF=Row 142, Slot 3;SRC_FILE=Mamul Ambalaj Bileşen Listesi-30.07.2026(3).xlsx</t>
        </is>
      </c>
    </row>
    <row r="1414">
      <c r="A1414" s="19" t="inlineStr">
        <is>
          <t>1413</t>
        </is>
      </c>
      <c r="B1414" s="19" t="inlineStr">
        <is>
          <t>206</t>
        </is>
      </c>
      <c r="C1414" s="19" t="inlineStr">
        <is>
          <t>8</t>
        </is>
      </c>
      <c r="D1414" t="n">
        <v>20</v>
      </c>
      <c r="E1414" s="19" t="inlineStr">
        <is>
          <t>18</t>
        </is>
      </c>
      <c r="F1414" t="n">
        <v>3</v>
      </c>
      <c r="G1414" t="b">
        <v>0</v>
      </c>
      <c r="H1414" t="inlineStr">
        <is>
          <t>UOM=M;WEIGHT_BASIS=PROCESSED_SOURCE_UNIT_WEIGHT;LINE_WEIGHT_KG=0.3664;SOURCE_CFG=IA-ST-CFG-0248;SRC_REF=Row 142, Slot 5;SRC_FILE=Mamul Ambalaj Bileşen Listesi-30.07.2026(3).xlsx</t>
        </is>
      </c>
    </row>
    <row r="1415">
      <c r="A1415" s="19" t="inlineStr">
        <is>
          <t>1414</t>
        </is>
      </c>
      <c r="B1415" s="19" t="inlineStr">
        <is>
          <t>206</t>
        </is>
      </c>
      <c r="C1415" s="19" t="inlineStr">
        <is>
          <t>9</t>
        </is>
      </c>
      <c r="D1415" t="n">
        <v>0.186</v>
      </c>
      <c r="E1415" s="19" t="inlineStr">
        <is>
          <t>18</t>
        </is>
      </c>
      <c r="F1415" t="n">
        <v>4</v>
      </c>
      <c r="G1415" t="b">
        <v>0</v>
      </c>
      <c r="H1415" t="inlineStr">
        <is>
          <t>UOM=KG;WEIGHT_BASIS=RECIPE_QUANTITY_IS_KG;LINE_WEIGHT_KG=0.186;SOURCE_CFG=IA-ST-CFG-0248;SRC_REF=Row 142, Slot 6;SRC_FILE=Mamul Ambalaj Bileşen Listesi-30.07.2026(3).xlsx</t>
        </is>
      </c>
    </row>
    <row r="1416">
      <c r="A1416" s="19" t="inlineStr">
        <is>
          <t>1415</t>
        </is>
      </c>
      <c r="B1416" s="19" t="inlineStr">
        <is>
          <t>206</t>
        </is>
      </c>
      <c r="C1416" s="19" t="inlineStr">
        <is>
          <t>21</t>
        </is>
      </c>
      <c r="D1416" t="n">
        <v>2.87</v>
      </c>
      <c r="E1416" s="19" t="inlineStr">
        <is>
          <t>18</t>
        </is>
      </c>
      <c r="F1416" t="n">
        <v>5</v>
      </c>
      <c r="G1416" t="b">
        <v>0</v>
      </c>
      <c r="H1416" t="inlineStr">
        <is>
          <t>UOM=KG;WEIGHT_BASIS=RECIPE_QUANTITY_IS_KG;LINE_WEIGHT_KG=2.87;SOURCE_CFG=IA-ST-CFG-0248;SRC_REF=Row 142, Slot 7;SRC_FILE=Mamul Ambalaj Bileşen Listesi-30.07.2026(3).xlsx</t>
        </is>
      </c>
    </row>
    <row r="1417">
      <c r="A1417" s="19" t="inlineStr">
        <is>
          <t>1416</t>
        </is>
      </c>
      <c r="B1417" s="19" t="inlineStr">
        <is>
          <t>206</t>
        </is>
      </c>
      <c r="C1417" s="19" t="inlineStr">
        <is>
          <t>3</t>
        </is>
      </c>
      <c r="D1417" t="n">
        <v>2</v>
      </c>
      <c r="E1417" s="19" t="inlineStr">
        <is>
          <t>18</t>
        </is>
      </c>
      <c r="F1417" t="n">
        <v>6</v>
      </c>
      <c r="G1417" t="b">
        <v>0</v>
      </c>
      <c r="H1417" t="inlineStr">
        <is>
          <t>UOM=ADT;WEIGHT_BASIS=PROCESSED_SOURCE_UNIT_WEIGHT;LINE_WEIGHT_KG=0.42;SOURCE_CFG=IA-ST-CFG-0248;SRC_REF=Row 142, Slot 8;SRC_FILE=Mamul Ambalaj Bileşen Listesi-30.07.2026(3).xlsx</t>
        </is>
      </c>
    </row>
    <row r="1418">
      <c r="A1418" s="19" t="inlineStr">
        <is>
          <t>1417</t>
        </is>
      </c>
      <c r="B1418" s="19" t="inlineStr">
        <is>
          <t>206</t>
        </is>
      </c>
      <c r="C1418" s="19" t="inlineStr">
        <is>
          <t>7</t>
        </is>
      </c>
      <c r="D1418" t="n">
        <v>4</v>
      </c>
      <c r="E1418" s="19" t="inlineStr">
        <is>
          <t>18</t>
        </is>
      </c>
      <c r="F1418" t="n">
        <v>7</v>
      </c>
      <c r="G1418" t="b">
        <v>0</v>
      </c>
      <c r="H1418" t="inlineStr">
        <is>
          <t>UOM=ADT;WEIGHT_BASIS=PROCESSED_SOURCE_UNIT_WEIGHT;LINE_WEIGHT_KG=1.08;SOURCE_CFG=IA-ST-CFG-0248;SRC_REF=Row 142, Slot 9;SRC_FILE=Mamul Ambalaj Bileşen Listesi-30.07.2026(3).xlsx</t>
        </is>
      </c>
    </row>
    <row r="1419">
      <c r="A1419" s="19" t="inlineStr">
        <is>
          <t>1418</t>
        </is>
      </c>
      <c r="B1419" s="19" t="inlineStr">
        <is>
          <t>207</t>
        </is>
      </c>
      <c r="C1419" s="19" t="inlineStr">
        <is>
          <t>13</t>
        </is>
      </c>
      <c r="D1419" t="n">
        <v>14</v>
      </c>
      <c r="E1419" s="19" t="inlineStr">
        <is>
          <t>18</t>
        </is>
      </c>
      <c r="F1419" t="n">
        <v>1</v>
      </c>
      <c r="G1419" t="b">
        <v>0</v>
      </c>
      <c r="H1419" t="inlineStr">
        <is>
          <t>UOM=M;WEIGHT_BASIS=PROCESSED_SOURCE_UNIT_WEIGHT;LINE_WEIGHT_KG=0.1736;SOURCE_CFG=IA-ST-CFG-0249;SRC_REF=Row 594, Slot 1;SRC_FILE=Mamul Ambalaj Bileşen Listesi-30.07.2026(3).xlsx</t>
        </is>
      </c>
    </row>
    <row r="1420">
      <c r="A1420" s="19" t="inlineStr">
        <is>
          <t>1419</t>
        </is>
      </c>
      <c r="B1420" s="19" t="inlineStr">
        <is>
          <t>207</t>
        </is>
      </c>
      <c r="C1420" s="19" t="inlineStr">
        <is>
          <t>5</t>
        </is>
      </c>
      <c r="D1420" t="n">
        <v>1</v>
      </c>
      <c r="E1420" s="19" t="inlineStr">
        <is>
          <t>18</t>
        </is>
      </c>
      <c r="F1420" t="n">
        <v>2</v>
      </c>
      <c r="G1420" t="b">
        <v>0</v>
      </c>
      <c r="H1420" t="inlineStr">
        <is>
          <t>UOM=ADT;WEIGHT_BASIS=PROCESSED_SOURCE_UNIT_WEIGHT;LINE_WEIGHT_KG=26.0;SOURCE_CFG=IA-ST-CFG-0249;SRC_REF=Row 594, Slot 3;SRC_FILE=Mamul Ambalaj Bileşen Listesi-30.07.2026(3).xlsx</t>
        </is>
      </c>
    </row>
    <row r="1421">
      <c r="A1421" s="19" t="inlineStr">
        <is>
          <t>1420</t>
        </is>
      </c>
      <c r="B1421" s="19" t="inlineStr">
        <is>
          <t>207</t>
        </is>
      </c>
      <c r="C1421" s="19" t="inlineStr">
        <is>
          <t>8</t>
        </is>
      </c>
      <c r="D1421" t="n">
        <v>20</v>
      </c>
      <c r="E1421" s="19" t="inlineStr">
        <is>
          <t>18</t>
        </is>
      </c>
      <c r="F1421" t="n">
        <v>3</v>
      </c>
      <c r="G1421" t="b">
        <v>0</v>
      </c>
      <c r="H1421" t="inlineStr">
        <is>
          <t>UOM=M;WEIGHT_BASIS=PROCESSED_SOURCE_UNIT_WEIGHT;LINE_WEIGHT_KG=0.3664;SOURCE_CFG=IA-ST-CFG-0249;SRC_REF=Row 594, Slot 5;SRC_FILE=Mamul Ambalaj Bileşen Listesi-30.07.2026(3).xlsx</t>
        </is>
      </c>
    </row>
    <row r="1422">
      <c r="A1422" s="19" t="inlineStr">
        <is>
          <t>1421</t>
        </is>
      </c>
      <c r="B1422" s="19" t="inlineStr">
        <is>
          <t>207</t>
        </is>
      </c>
      <c r="C1422" s="19" t="inlineStr">
        <is>
          <t>55</t>
        </is>
      </c>
      <c r="D1422" t="n">
        <v>0.597</v>
      </c>
      <c r="E1422" s="19" t="inlineStr">
        <is>
          <t>18</t>
        </is>
      </c>
      <c r="F1422" t="n">
        <v>4</v>
      </c>
      <c r="G1422" t="b">
        <v>0</v>
      </c>
      <c r="H1422" t="inlineStr">
        <is>
          <t>UOM=KG;WEIGHT_BASIS=RECIPE_QUANTITY_IS_KG;LINE_WEIGHT_KG=0.597;SOURCE_CFG=IA-ST-CFG-0249;SRC_REF=Row 594, Slot 6;SRC_FILE=Mamul Ambalaj Bileşen Listesi-30.07.2026(3).xlsx</t>
        </is>
      </c>
    </row>
    <row r="1423">
      <c r="A1423" s="19" t="inlineStr">
        <is>
          <t>1422</t>
        </is>
      </c>
      <c r="B1423" s="19" t="inlineStr">
        <is>
          <t>207</t>
        </is>
      </c>
      <c r="C1423" s="19" t="inlineStr">
        <is>
          <t>3</t>
        </is>
      </c>
      <c r="D1423" t="n">
        <v>4</v>
      </c>
      <c r="E1423" s="19" t="inlineStr">
        <is>
          <t>18</t>
        </is>
      </c>
      <c r="F1423" t="n">
        <v>5</v>
      </c>
      <c r="G1423" t="b">
        <v>0</v>
      </c>
      <c r="H1423" t="inlineStr">
        <is>
          <t>UOM=ADT;WEIGHT_BASIS=PROCESSED_SOURCE_UNIT_WEIGHT;LINE_WEIGHT_KG=0.84;SOURCE_CFG=IA-ST-CFG-0249;SRC_REF=Row 594, Slot 8;SRC_FILE=Mamul Ambalaj Bileşen Listesi-30.07.2026(3).xlsx</t>
        </is>
      </c>
    </row>
    <row r="1424">
      <c r="A1424" s="19" t="inlineStr">
        <is>
          <t>1423</t>
        </is>
      </c>
      <c r="B1424" s="19" t="inlineStr">
        <is>
          <t>207</t>
        </is>
      </c>
      <c r="C1424" s="19" t="inlineStr">
        <is>
          <t>7</t>
        </is>
      </c>
      <c r="D1424" t="n">
        <v>4</v>
      </c>
      <c r="E1424" s="19" t="inlineStr">
        <is>
          <t>18</t>
        </is>
      </c>
      <c r="F1424" t="n">
        <v>6</v>
      </c>
      <c r="G1424" t="b">
        <v>0</v>
      </c>
      <c r="H1424" t="inlineStr">
        <is>
          <t>UOM=ADT;WEIGHT_BASIS=PROCESSED_SOURCE_UNIT_WEIGHT;LINE_WEIGHT_KG=1.08;SOURCE_CFG=IA-ST-CFG-0249;SRC_REF=Row 594, Slot 9;SRC_FILE=Mamul Ambalaj Bileşen Listesi-30.07.2026(3).xlsx</t>
        </is>
      </c>
    </row>
    <row r="1425">
      <c r="A1425" s="19" t="inlineStr">
        <is>
          <t>1424</t>
        </is>
      </c>
      <c r="B1425" s="19" t="inlineStr">
        <is>
          <t>208</t>
        </is>
      </c>
      <c r="C1425" s="19" t="inlineStr">
        <is>
          <t>13</t>
        </is>
      </c>
      <c r="D1425" t="n">
        <v>14</v>
      </c>
      <c r="E1425" s="19" t="inlineStr">
        <is>
          <t>18</t>
        </is>
      </c>
      <c r="F1425" t="n">
        <v>1</v>
      </c>
      <c r="G1425" t="b">
        <v>0</v>
      </c>
      <c r="H1425" t="inlineStr">
        <is>
          <t>UOM=M;WEIGHT_BASIS=PROCESSED_SOURCE_UNIT_WEIGHT;LINE_WEIGHT_KG=0.1736;SOURCE_CFG=IA-ST-CFG-0250;SRC_REF=Row 358, Slot 1;SRC_FILE=Mamul Ambalaj Bileşen Listesi-30.07.2026(3).xlsx</t>
        </is>
      </c>
    </row>
    <row r="1426">
      <c r="A1426" s="19" t="inlineStr">
        <is>
          <t>1425</t>
        </is>
      </c>
      <c r="B1426" s="19" t="inlineStr">
        <is>
          <t>208</t>
        </is>
      </c>
      <c r="C1426" s="19" t="inlineStr">
        <is>
          <t>32</t>
        </is>
      </c>
      <c r="D1426" t="n">
        <v>87</v>
      </c>
      <c r="E1426" s="19" t="inlineStr">
        <is>
          <t>18</t>
        </is>
      </c>
      <c r="F1426" t="n">
        <v>2</v>
      </c>
      <c r="G1426" t="b">
        <v>0</v>
      </c>
      <c r="H1426" t="inlineStr">
        <is>
          <t>UOM=ADT;WEIGHT_BASIS=SOURCE_UNIT_WEIGHT;LINE_WEIGHT_KG=4.062900000000001;SOURCE_CFG=IA-ST-CFG-0250;SRC_REF=Row 358, Slot 2;SRC_FILE=Mamul Ambalaj Bileşen Listesi-30.07.2026(3).xlsx</t>
        </is>
      </c>
    </row>
    <row r="1427">
      <c r="A1427" s="19" t="inlineStr">
        <is>
          <t>1426</t>
        </is>
      </c>
      <c r="B1427" s="19" t="inlineStr">
        <is>
          <t>208</t>
        </is>
      </c>
      <c r="C1427" s="19" t="inlineStr">
        <is>
          <t>5</t>
        </is>
      </c>
      <c r="D1427" t="n">
        <v>1</v>
      </c>
      <c r="E1427" s="19" t="inlineStr">
        <is>
          <t>18</t>
        </is>
      </c>
      <c r="F1427" t="n">
        <v>3</v>
      </c>
      <c r="G1427" t="b">
        <v>0</v>
      </c>
      <c r="H1427" t="inlineStr">
        <is>
          <t>UOM=ADT;WEIGHT_BASIS=PROCESSED_SOURCE_UNIT_WEIGHT;LINE_WEIGHT_KG=26.0;SOURCE_CFG=IA-ST-CFG-0250;SRC_REF=Row 358, Slot 3;SRC_FILE=Mamul Ambalaj Bileşen Listesi-30.07.2026(3).xlsx</t>
        </is>
      </c>
    </row>
    <row r="1428">
      <c r="A1428" s="19" t="inlineStr">
        <is>
          <t>1427</t>
        </is>
      </c>
      <c r="B1428" s="19" t="inlineStr">
        <is>
          <t>208</t>
        </is>
      </c>
      <c r="C1428" s="19" t="inlineStr">
        <is>
          <t>8</t>
        </is>
      </c>
      <c r="D1428" t="n">
        <v>20</v>
      </c>
      <c r="E1428" s="19" t="inlineStr">
        <is>
          <t>18</t>
        </is>
      </c>
      <c r="F1428" t="n">
        <v>4</v>
      </c>
      <c r="G1428" t="b">
        <v>0</v>
      </c>
      <c r="H1428" t="inlineStr">
        <is>
          <t>UOM=M;WEIGHT_BASIS=PROCESSED_SOURCE_UNIT_WEIGHT;LINE_WEIGHT_KG=0.3664;SOURCE_CFG=IA-ST-CFG-0250;SRC_REF=Row 358, Slot 5;SRC_FILE=Mamul Ambalaj Bileşen Listesi-30.07.2026(3).xlsx</t>
        </is>
      </c>
    </row>
    <row r="1429">
      <c r="A1429" s="19" t="inlineStr">
        <is>
          <t>1428</t>
        </is>
      </c>
      <c r="B1429" s="19" t="inlineStr">
        <is>
          <t>208</t>
        </is>
      </c>
      <c r="C1429" s="19" t="inlineStr">
        <is>
          <t>9</t>
        </is>
      </c>
      <c r="D1429" t="n">
        <v>0.186</v>
      </c>
      <c r="E1429" s="19" t="inlineStr">
        <is>
          <t>18</t>
        </is>
      </c>
      <c r="F1429" t="n">
        <v>5</v>
      </c>
      <c r="G1429" t="b">
        <v>0</v>
      </c>
      <c r="H1429" t="inlineStr">
        <is>
          <t>UOM=KG;WEIGHT_BASIS=RECIPE_QUANTITY_IS_KG;LINE_WEIGHT_KG=0.186;SOURCE_CFG=IA-ST-CFG-0250;SRC_REF=Row 358, Slot 6;SRC_FILE=Mamul Ambalaj Bileşen Listesi-30.07.2026(3).xlsx</t>
        </is>
      </c>
    </row>
    <row r="1430">
      <c r="A1430" s="19" t="inlineStr">
        <is>
          <t>1429</t>
        </is>
      </c>
      <c r="B1430" s="19" t="inlineStr">
        <is>
          <t>208</t>
        </is>
      </c>
      <c r="C1430" s="19" t="inlineStr">
        <is>
          <t>3</t>
        </is>
      </c>
      <c r="D1430" t="n">
        <v>6</v>
      </c>
      <c r="E1430" s="19" t="inlineStr">
        <is>
          <t>18</t>
        </is>
      </c>
      <c r="F1430" t="n">
        <v>6</v>
      </c>
      <c r="G1430" t="b">
        <v>0</v>
      </c>
      <c r="H1430" t="inlineStr">
        <is>
          <t>UOM=ADT;WEIGHT_BASIS=PROCESSED_SOURCE_UNIT_WEIGHT;LINE_WEIGHT_KG=1.26;SOURCE_CFG=IA-ST-CFG-0250;SRC_REF=Row 358, Slot 8;SRC_FILE=Mamul Ambalaj Bileşen Listesi-30.07.2026(3).xlsx</t>
        </is>
      </c>
    </row>
    <row r="1431">
      <c r="A1431" s="19" t="inlineStr">
        <is>
          <t>1430</t>
        </is>
      </c>
      <c r="B1431" s="19" t="inlineStr">
        <is>
          <t>208</t>
        </is>
      </c>
      <c r="C1431" s="19" t="inlineStr">
        <is>
          <t>7</t>
        </is>
      </c>
      <c r="D1431" t="n">
        <v>4</v>
      </c>
      <c r="E1431" s="19" t="inlineStr">
        <is>
          <t>18</t>
        </is>
      </c>
      <c r="F1431" t="n">
        <v>7</v>
      </c>
      <c r="G1431" t="b">
        <v>0</v>
      </c>
      <c r="H1431" t="inlineStr">
        <is>
          <t>UOM=ADT;WEIGHT_BASIS=PROCESSED_SOURCE_UNIT_WEIGHT;LINE_WEIGHT_KG=1.08;SOURCE_CFG=IA-ST-CFG-0250;SRC_REF=Row 358, Slot 9;SRC_FILE=Mamul Ambalaj Bileşen Listesi-30.07.2026(3).xlsx</t>
        </is>
      </c>
    </row>
    <row r="1432">
      <c r="A1432" s="19" t="inlineStr">
        <is>
          <t>1431</t>
        </is>
      </c>
      <c r="B1432" s="19" t="inlineStr">
        <is>
          <t>208</t>
        </is>
      </c>
      <c r="C1432" s="19" t="inlineStr">
        <is>
          <t>34</t>
        </is>
      </c>
      <c r="D1432" t="n">
        <v>87</v>
      </c>
      <c r="E1432" s="19" t="inlineStr">
        <is>
          <t>18</t>
        </is>
      </c>
      <c r="F1432" t="n">
        <v>8</v>
      </c>
      <c r="G1432" t="b">
        <v>0</v>
      </c>
      <c r="H1432" t="inlineStr">
        <is>
          <t>UOM=ADT;WEIGHT_BASIS=PROCESSED_SOURCE_UNIT_WEIGHT;LINE_WEIGHT_KG=16.53;SOURCE_CFG=IA-ST-CFG-0250;SRC_REF=Row 358, Slot 10;SRC_FILE=Mamul Ambalaj Bileşen Listesi-30.07.2026(3).xlsx</t>
        </is>
      </c>
    </row>
    <row r="1433">
      <c r="A1433" s="19" t="inlineStr">
        <is>
          <t>1432</t>
        </is>
      </c>
      <c r="B1433" s="19" t="inlineStr">
        <is>
          <t>209</t>
        </is>
      </c>
      <c r="C1433" s="19" t="inlineStr">
        <is>
          <t>5</t>
        </is>
      </c>
      <c r="D1433" t="n">
        <v>1</v>
      </c>
      <c r="E1433" s="19" t="inlineStr">
        <is>
          <t>18</t>
        </is>
      </c>
      <c r="F1433" t="n">
        <v>1</v>
      </c>
      <c r="G1433" t="b">
        <v>0</v>
      </c>
      <c r="H1433" t="inlineStr">
        <is>
          <t>UOM=ADT;WEIGHT_BASIS=PROCESSED_SOURCE_UNIT_WEIGHT;LINE_WEIGHT_KG=26.0;SOURCE_CFG=IA-ST-CFG-0251;SRC_REF=Row 239, Slot 3;SRC_FILE=Mamul Ambalaj Bileşen Listesi-30.07.2026(3).xlsx</t>
        </is>
      </c>
    </row>
    <row r="1434">
      <c r="A1434" s="19" t="inlineStr">
        <is>
          <t>1433</t>
        </is>
      </c>
      <c r="B1434" s="19" t="inlineStr">
        <is>
          <t>209</t>
        </is>
      </c>
      <c r="C1434" s="19" t="inlineStr">
        <is>
          <t>8</t>
        </is>
      </c>
      <c r="D1434" t="n">
        <v>20</v>
      </c>
      <c r="E1434" s="19" t="inlineStr">
        <is>
          <t>18</t>
        </is>
      </c>
      <c r="F1434" t="n">
        <v>2</v>
      </c>
      <c r="G1434" t="b">
        <v>0</v>
      </c>
      <c r="H1434" t="inlineStr">
        <is>
          <t>UOM=M;WEIGHT_BASIS=PROCESSED_SOURCE_UNIT_WEIGHT;LINE_WEIGHT_KG=0.3664;SOURCE_CFG=IA-ST-CFG-0251;SRC_REF=Row 239, Slot 5;SRC_FILE=Mamul Ambalaj Bileşen Listesi-30.07.2026(3).xlsx</t>
        </is>
      </c>
    </row>
    <row r="1435">
      <c r="A1435" s="19" t="inlineStr">
        <is>
          <t>1434</t>
        </is>
      </c>
      <c r="B1435" s="19" t="inlineStr">
        <is>
          <t>209</t>
        </is>
      </c>
      <c r="C1435" s="19" t="inlineStr">
        <is>
          <t>9</t>
        </is>
      </c>
      <c r="D1435" t="n">
        <v>0.186</v>
      </c>
      <c r="E1435" s="19" t="inlineStr">
        <is>
          <t>18</t>
        </is>
      </c>
      <c r="F1435" t="n">
        <v>3</v>
      </c>
      <c r="G1435" t="b">
        <v>0</v>
      </c>
      <c r="H1435" t="inlineStr">
        <is>
          <t>UOM=KG;WEIGHT_BASIS=RECIPE_QUANTITY_IS_KG;LINE_WEIGHT_KG=0.186;SOURCE_CFG=IA-ST-CFG-0251;SRC_REF=Row 239, Slot 6;SRC_FILE=Mamul Ambalaj Bileşen Listesi-30.07.2026(3).xlsx</t>
        </is>
      </c>
    </row>
    <row r="1436">
      <c r="A1436" s="19" t="inlineStr">
        <is>
          <t>1435</t>
        </is>
      </c>
      <c r="B1436" s="19" t="inlineStr">
        <is>
          <t>209</t>
        </is>
      </c>
      <c r="C1436" s="19" t="inlineStr">
        <is>
          <t>21</t>
        </is>
      </c>
      <c r="D1436" t="n">
        <v>2.35</v>
      </c>
      <c r="E1436" s="19" t="inlineStr">
        <is>
          <t>18</t>
        </is>
      </c>
      <c r="F1436" t="n">
        <v>4</v>
      </c>
      <c r="G1436" t="b">
        <v>0</v>
      </c>
      <c r="H1436" t="inlineStr">
        <is>
          <t>UOM=KG;WEIGHT_BASIS=RECIPE_QUANTITY_IS_KG;LINE_WEIGHT_KG=2.35;SOURCE_CFG=IA-ST-CFG-0251;SRC_REF=Row 239, Slot 7;SRC_FILE=Mamul Ambalaj Bileşen Listesi-30.07.2026(3).xlsx</t>
        </is>
      </c>
    </row>
    <row r="1437">
      <c r="A1437" s="19" t="inlineStr">
        <is>
          <t>1436</t>
        </is>
      </c>
      <c r="B1437" s="19" t="inlineStr">
        <is>
          <t>209</t>
        </is>
      </c>
      <c r="C1437" s="19" t="inlineStr">
        <is>
          <t>7</t>
        </is>
      </c>
      <c r="D1437" t="n">
        <v>4</v>
      </c>
      <c r="E1437" s="19" t="inlineStr">
        <is>
          <t>18</t>
        </is>
      </c>
      <c r="F1437" t="n">
        <v>5</v>
      </c>
      <c r="G1437" t="b">
        <v>0</v>
      </c>
      <c r="H1437" t="inlineStr">
        <is>
          <t>UOM=ADT;WEIGHT_BASIS=PROCESSED_SOURCE_UNIT_WEIGHT;LINE_WEIGHT_KG=1.08;SOURCE_CFG=IA-ST-CFG-0251;SRC_REF=Row 239, Slot 8;SRC_FILE=Mamul Ambalaj Bileşen Listesi-30.07.2026(3).xlsx</t>
        </is>
      </c>
    </row>
    <row r="1438">
      <c r="A1438" s="19" t="inlineStr">
        <is>
          <t>1437</t>
        </is>
      </c>
      <c r="B1438" s="19" t="inlineStr">
        <is>
          <t>210</t>
        </is>
      </c>
      <c r="C1438" s="19" t="inlineStr">
        <is>
          <t>5</t>
        </is>
      </c>
      <c r="D1438" t="n">
        <v>1</v>
      </c>
      <c r="E1438" s="19" t="inlineStr">
        <is>
          <t>18</t>
        </is>
      </c>
      <c r="F1438" t="n">
        <v>1</v>
      </c>
      <c r="G1438" t="b">
        <v>0</v>
      </c>
      <c r="H1438" t="inlineStr">
        <is>
          <t>UOM=ADT;WEIGHT_BASIS=PROCESSED_SOURCE_UNIT_WEIGHT;LINE_WEIGHT_KG=26.0;SOURCE_CFG=IA-ST-CFG-0252;SRC_REF=Row 247, Slot 3;SRC_FILE=Mamul Ambalaj Bileşen Listesi-30.07.2026(3).xlsx</t>
        </is>
      </c>
    </row>
    <row r="1439">
      <c r="A1439" s="19" t="inlineStr">
        <is>
          <t>1438</t>
        </is>
      </c>
      <c r="B1439" s="19" t="inlineStr">
        <is>
          <t>210</t>
        </is>
      </c>
      <c r="C1439" s="19" t="inlineStr">
        <is>
          <t>8</t>
        </is>
      </c>
      <c r="D1439" t="n">
        <v>20</v>
      </c>
      <c r="E1439" s="19" t="inlineStr">
        <is>
          <t>18</t>
        </is>
      </c>
      <c r="F1439" t="n">
        <v>2</v>
      </c>
      <c r="G1439" t="b">
        <v>0</v>
      </c>
      <c r="H1439" t="inlineStr">
        <is>
          <t>UOM=M;WEIGHT_BASIS=PROCESSED_SOURCE_UNIT_WEIGHT;LINE_WEIGHT_KG=0.3664;SOURCE_CFG=IA-ST-CFG-0252;SRC_REF=Row 247, Slot 5;SRC_FILE=Mamul Ambalaj Bileşen Listesi-30.07.2026(3).xlsx</t>
        </is>
      </c>
    </row>
    <row r="1440">
      <c r="A1440" s="19" t="inlineStr">
        <is>
          <t>1439</t>
        </is>
      </c>
      <c r="B1440" s="19" t="inlineStr">
        <is>
          <t>210</t>
        </is>
      </c>
      <c r="C1440" s="19" t="inlineStr">
        <is>
          <t>9</t>
        </is>
      </c>
      <c r="D1440" t="n">
        <v>0.186</v>
      </c>
      <c r="E1440" s="19" t="inlineStr">
        <is>
          <t>18</t>
        </is>
      </c>
      <c r="F1440" t="n">
        <v>3</v>
      </c>
      <c r="G1440" t="b">
        <v>0</v>
      </c>
      <c r="H1440" t="inlineStr">
        <is>
          <t>UOM=KG;WEIGHT_BASIS=RECIPE_QUANTITY_IS_KG;LINE_WEIGHT_KG=0.186;SOURCE_CFG=IA-ST-CFG-0252;SRC_REF=Row 247, Slot 6;SRC_FILE=Mamul Ambalaj Bileşen Listesi-30.07.2026(3).xlsx</t>
        </is>
      </c>
    </row>
    <row r="1441">
      <c r="A1441" s="19" t="inlineStr">
        <is>
          <t>1440</t>
        </is>
      </c>
      <c r="B1441" s="19" t="inlineStr">
        <is>
          <t>210</t>
        </is>
      </c>
      <c r="C1441" s="19" t="inlineStr">
        <is>
          <t>21</t>
        </is>
      </c>
      <c r="D1441" t="n">
        <v>2.87</v>
      </c>
      <c r="E1441" s="19" t="inlineStr">
        <is>
          <t>18</t>
        </is>
      </c>
      <c r="F1441" t="n">
        <v>4</v>
      </c>
      <c r="G1441" t="b">
        <v>0</v>
      </c>
      <c r="H1441" t="inlineStr">
        <is>
          <t>UOM=KG;WEIGHT_BASIS=RECIPE_QUANTITY_IS_KG;LINE_WEIGHT_KG=2.87;SOURCE_CFG=IA-ST-CFG-0252;SRC_REF=Row 247, Slot 7;SRC_FILE=Mamul Ambalaj Bileşen Listesi-30.07.2026(3).xlsx</t>
        </is>
      </c>
    </row>
    <row r="1442">
      <c r="A1442" s="19" t="inlineStr">
        <is>
          <t>1441</t>
        </is>
      </c>
      <c r="B1442" s="19" t="inlineStr">
        <is>
          <t>210</t>
        </is>
      </c>
      <c r="C1442" s="19" t="inlineStr">
        <is>
          <t>7</t>
        </is>
      </c>
      <c r="D1442" t="n">
        <v>4</v>
      </c>
      <c r="E1442" s="19" t="inlineStr">
        <is>
          <t>18</t>
        </is>
      </c>
      <c r="F1442" t="n">
        <v>5</v>
      </c>
      <c r="G1442" t="b">
        <v>0</v>
      </c>
      <c r="H1442" t="inlineStr">
        <is>
          <t>UOM=ADT;WEIGHT_BASIS=PROCESSED_SOURCE_UNIT_WEIGHT;LINE_WEIGHT_KG=1.08;SOURCE_CFG=IA-ST-CFG-0252;SRC_REF=Row 247, Slot 8;SRC_FILE=Mamul Ambalaj Bileşen Listesi-30.07.2026(3).xlsx</t>
        </is>
      </c>
    </row>
    <row r="1443">
      <c r="A1443" s="19" t="inlineStr">
        <is>
          <t>1442</t>
        </is>
      </c>
      <c r="B1443" s="19" t="inlineStr">
        <is>
          <t>211</t>
        </is>
      </c>
      <c r="C1443" s="19" t="inlineStr">
        <is>
          <t>13</t>
        </is>
      </c>
      <c r="D1443" t="n">
        <v>14</v>
      </c>
      <c r="E1443" s="19" t="inlineStr">
        <is>
          <t>18</t>
        </is>
      </c>
      <c r="F1443" t="n">
        <v>1</v>
      </c>
      <c r="G1443" t="b">
        <v>0</v>
      </c>
      <c r="H1443" t="inlineStr">
        <is>
          <t>UOM=M;WEIGHT_BASIS=PROCESSED_SOURCE_UNIT_WEIGHT;LINE_WEIGHT_KG=0.1736;SOURCE_CFG=IA-ST-CFG-0254;SRC_REF=Row 492, Slot 1;SRC_FILE=Mamul Ambalaj Bileşen Listesi-30.07.2026(3).xlsx</t>
        </is>
      </c>
    </row>
    <row r="1444">
      <c r="A1444" s="19" t="inlineStr">
        <is>
          <t>1443</t>
        </is>
      </c>
      <c r="B1444" s="19" t="inlineStr">
        <is>
          <t>211</t>
        </is>
      </c>
      <c r="C1444" s="19" t="inlineStr">
        <is>
          <t>5</t>
        </is>
      </c>
      <c r="D1444" t="n">
        <v>1</v>
      </c>
      <c r="E1444" s="19" t="inlineStr">
        <is>
          <t>18</t>
        </is>
      </c>
      <c r="F1444" t="n">
        <v>2</v>
      </c>
      <c r="G1444" t="b">
        <v>0</v>
      </c>
      <c r="H1444" t="inlineStr">
        <is>
          <t>UOM=ADT;WEIGHT_BASIS=PROCESSED_SOURCE_UNIT_WEIGHT;LINE_WEIGHT_KG=26.0;SOURCE_CFG=IA-ST-CFG-0254;SRC_REF=Row 492, Slot 3;SRC_FILE=Mamul Ambalaj Bileşen Listesi-30.07.2026(3).xlsx</t>
        </is>
      </c>
    </row>
    <row r="1445">
      <c r="A1445" s="19" t="inlineStr">
        <is>
          <t>1444</t>
        </is>
      </c>
      <c r="B1445" s="19" t="inlineStr">
        <is>
          <t>211</t>
        </is>
      </c>
      <c r="C1445" s="19" t="inlineStr">
        <is>
          <t>8</t>
        </is>
      </c>
      <c r="D1445" t="n">
        <v>20</v>
      </c>
      <c r="E1445" s="19" t="inlineStr">
        <is>
          <t>18</t>
        </is>
      </c>
      <c r="F1445" t="n">
        <v>3</v>
      </c>
      <c r="G1445" t="b">
        <v>0</v>
      </c>
      <c r="H1445" t="inlineStr">
        <is>
          <t>UOM=M;WEIGHT_BASIS=PROCESSED_SOURCE_UNIT_WEIGHT;LINE_WEIGHT_KG=0.3664;SOURCE_CFG=IA-ST-CFG-0254;SRC_REF=Row 492, Slot 5;SRC_FILE=Mamul Ambalaj Bileşen Listesi-30.07.2026(3).xlsx</t>
        </is>
      </c>
    </row>
    <row r="1446">
      <c r="A1446" s="19" t="inlineStr">
        <is>
          <t>1445</t>
        </is>
      </c>
      <c r="B1446" s="19" t="inlineStr">
        <is>
          <t>211</t>
        </is>
      </c>
      <c r="C1446" s="19" t="inlineStr">
        <is>
          <t>9</t>
        </is>
      </c>
      <c r="D1446" t="n">
        <v>0.186</v>
      </c>
      <c r="E1446" s="19" t="inlineStr">
        <is>
          <t>18</t>
        </is>
      </c>
      <c r="F1446" t="n">
        <v>4</v>
      </c>
      <c r="G1446" t="b">
        <v>0</v>
      </c>
      <c r="H1446" t="inlineStr">
        <is>
          <t>UOM=KG;WEIGHT_BASIS=RECIPE_QUANTITY_IS_KG;LINE_WEIGHT_KG=0.186;SOURCE_CFG=IA-ST-CFG-0254;SRC_REF=Row 492, Slot 6;SRC_FILE=Mamul Ambalaj Bileşen Listesi-30.07.2026(3).xlsx</t>
        </is>
      </c>
    </row>
    <row r="1447">
      <c r="A1447" s="19" t="inlineStr">
        <is>
          <t>1446</t>
        </is>
      </c>
      <c r="B1447" s="19" t="inlineStr">
        <is>
          <t>211</t>
        </is>
      </c>
      <c r="C1447" s="19" t="inlineStr">
        <is>
          <t>3</t>
        </is>
      </c>
      <c r="D1447" t="n">
        <v>6</v>
      </c>
      <c r="E1447" s="19" t="inlineStr">
        <is>
          <t>18</t>
        </is>
      </c>
      <c r="F1447" t="n">
        <v>5</v>
      </c>
      <c r="G1447" t="b">
        <v>0</v>
      </c>
      <c r="H1447" t="inlineStr">
        <is>
          <t>UOM=ADT;WEIGHT_BASIS=PROCESSED_SOURCE_UNIT_WEIGHT;LINE_WEIGHT_KG=1.26;SOURCE_CFG=IA-ST-CFG-0254;SRC_REF=Row 492, Slot 8;SRC_FILE=Mamul Ambalaj Bileşen Listesi-30.07.2026(3).xlsx</t>
        </is>
      </c>
    </row>
    <row r="1448">
      <c r="A1448" s="19" t="inlineStr">
        <is>
          <t>1447</t>
        </is>
      </c>
      <c r="B1448" s="19" t="inlineStr">
        <is>
          <t>211</t>
        </is>
      </c>
      <c r="C1448" s="19" t="inlineStr">
        <is>
          <t>7</t>
        </is>
      </c>
      <c r="D1448" t="n">
        <v>5</v>
      </c>
      <c r="E1448" s="19" t="inlineStr">
        <is>
          <t>18</t>
        </is>
      </c>
      <c r="F1448" t="n">
        <v>6</v>
      </c>
      <c r="G1448" t="b">
        <v>0</v>
      </c>
      <c r="H1448" t="inlineStr">
        <is>
          <t>UOM=ADT;WEIGHT_BASIS=PROCESSED_SOURCE_UNIT_WEIGHT;LINE_WEIGHT_KG=1.35;SOURCE_CFG=IA-ST-CFG-0254;SRC_REF=Row 492, Slot 9;SRC_FILE=Mamul Ambalaj Bileşen Listesi-30.07.2026(3).xlsx</t>
        </is>
      </c>
    </row>
    <row r="1449">
      <c r="A1449" s="19" t="inlineStr">
        <is>
          <t>1448</t>
        </is>
      </c>
      <c r="B1449" s="19" t="inlineStr">
        <is>
          <t>211</t>
        </is>
      </c>
      <c r="C1449" s="19" t="inlineStr">
        <is>
          <t>35</t>
        </is>
      </c>
      <c r="D1449" t="n">
        <v>88</v>
      </c>
      <c r="E1449" s="19" t="inlineStr">
        <is>
          <t>18</t>
        </is>
      </c>
      <c r="F1449" t="n">
        <v>7</v>
      </c>
      <c r="G1449" t="b">
        <v>0</v>
      </c>
      <c r="H1449" t="inlineStr">
        <is>
          <t>UOM=ADT;WEIGHT_BASIS=PROCESSED_SOURCE_UNIT_WEIGHT;LINE_WEIGHT_KG=21.119999999999997;SOURCE_CFG=IA-ST-CFG-0254;SRC_REF=Row 492, Slot 10;SRC_FILE=Mamul Ambalaj Bileşen Listesi-30.07.2026(3).xlsx</t>
        </is>
      </c>
    </row>
    <row r="1450">
      <c r="A1450" s="19" t="inlineStr">
        <is>
          <t>1449</t>
        </is>
      </c>
      <c r="B1450" s="19" t="inlineStr">
        <is>
          <t>212</t>
        </is>
      </c>
      <c r="C1450" s="19" t="inlineStr">
        <is>
          <t>13</t>
        </is>
      </c>
      <c r="D1450" t="n">
        <v>14</v>
      </c>
      <c r="E1450" s="19" t="inlineStr">
        <is>
          <t>18</t>
        </is>
      </c>
      <c r="F1450" t="n">
        <v>1</v>
      </c>
      <c r="G1450" t="b">
        <v>0</v>
      </c>
      <c r="H1450" t="inlineStr">
        <is>
          <t>UOM=M;WEIGHT_BASIS=PROCESSED_SOURCE_UNIT_WEIGHT;LINE_WEIGHT_KG=0.1736;SOURCE_CFG=IA-ST-CFG-0255;SRC_REF=Row 1379, Slot 1;SRC_FILE=Mamul Ambalaj Bileşen Listesi-30.07.2026(3).xlsx</t>
        </is>
      </c>
    </row>
    <row r="1451">
      <c r="A1451" s="19" t="inlineStr">
        <is>
          <t>1450</t>
        </is>
      </c>
      <c r="B1451" s="19" t="inlineStr">
        <is>
          <t>212</t>
        </is>
      </c>
      <c r="C1451" s="19" t="inlineStr">
        <is>
          <t>5</t>
        </is>
      </c>
      <c r="D1451" t="n">
        <v>1</v>
      </c>
      <c r="E1451" s="19" t="inlineStr">
        <is>
          <t>18</t>
        </is>
      </c>
      <c r="F1451" t="n">
        <v>2</v>
      </c>
      <c r="G1451" t="b">
        <v>0</v>
      </c>
      <c r="H1451" t="inlineStr">
        <is>
          <t>UOM=ADT;WEIGHT_BASIS=PROCESSED_SOURCE_UNIT_WEIGHT;LINE_WEIGHT_KG=26.0;SOURCE_CFG=IA-ST-CFG-0255;SRC_REF=Row 1379, Slot 3;SRC_FILE=Mamul Ambalaj Bileşen Listesi-30.07.2026(3).xlsx</t>
        </is>
      </c>
    </row>
    <row r="1452">
      <c r="A1452" s="19" t="inlineStr">
        <is>
          <t>1451</t>
        </is>
      </c>
      <c r="B1452" s="19" t="inlineStr">
        <is>
          <t>212</t>
        </is>
      </c>
      <c r="C1452" s="19" t="inlineStr">
        <is>
          <t>8</t>
        </is>
      </c>
      <c r="D1452" t="n">
        <v>20</v>
      </c>
      <c r="E1452" s="19" t="inlineStr">
        <is>
          <t>18</t>
        </is>
      </c>
      <c r="F1452" t="n">
        <v>3</v>
      </c>
      <c r="G1452" t="b">
        <v>0</v>
      </c>
      <c r="H1452" t="inlineStr">
        <is>
          <t>UOM=M;WEIGHT_BASIS=PROCESSED_SOURCE_UNIT_WEIGHT;LINE_WEIGHT_KG=0.3664;SOURCE_CFG=IA-ST-CFG-0255;SRC_REF=Row 1379, Slot 5;SRC_FILE=Mamul Ambalaj Bileşen Listesi-30.07.2026(3).xlsx</t>
        </is>
      </c>
    </row>
    <row r="1453">
      <c r="A1453" s="19" t="inlineStr">
        <is>
          <t>1452</t>
        </is>
      </c>
      <c r="B1453" s="19" t="inlineStr">
        <is>
          <t>212</t>
        </is>
      </c>
      <c r="C1453" s="19" t="inlineStr">
        <is>
          <t>9</t>
        </is>
      </c>
      <c r="D1453" t="n">
        <v>0.186</v>
      </c>
      <c r="E1453" s="19" t="inlineStr">
        <is>
          <t>18</t>
        </is>
      </c>
      <c r="F1453" t="n">
        <v>4</v>
      </c>
      <c r="G1453" t="b">
        <v>0</v>
      </c>
      <c r="H1453" t="inlineStr">
        <is>
          <t>UOM=KG;WEIGHT_BASIS=RECIPE_QUANTITY_IS_KG;LINE_WEIGHT_KG=0.186;SOURCE_CFG=IA-ST-CFG-0255;SRC_REF=Row 1379, Slot 6;SRC_FILE=Mamul Ambalaj Bileşen Listesi-30.07.2026(3).xlsx</t>
        </is>
      </c>
    </row>
    <row r="1454">
      <c r="A1454" s="19" t="inlineStr">
        <is>
          <t>1453</t>
        </is>
      </c>
      <c r="B1454" s="19" t="inlineStr">
        <is>
          <t>212</t>
        </is>
      </c>
      <c r="C1454" s="19" t="inlineStr">
        <is>
          <t>3</t>
        </is>
      </c>
      <c r="D1454" t="n">
        <v>6</v>
      </c>
      <c r="E1454" s="19" t="inlineStr">
        <is>
          <t>18</t>
        </is>
      </c>
      <c r="F1454" t="n">
        <v>5</v>
      </c>
      <c r="G1454" t="b">
        <v>0</v>
      </c>
      <c r="H1454" t="inlineStr">
        <is>
          <t>UOM=ADT;WEIGHT_BASIS=PROCESSED_SOURCE_UNIT_WEIGHT;LINE_WEIGHT_KG=1.26;SOURCE_CFG=IA-ST-CFG-0255;SRC_REF=Row 1379, Slot 8;SRC_FILE=Mamul Ambalaj Bileşen Listesi-30.07.2026(3).xlsx</t>
        </is>
      </c>
    </row>
    <row r="1455">
      <c r="A1455" s="19" t="inlineStr">
        <is>
          <t>1454</t>
        </is>
      </c>
      <c r="B1455" s="19" t="inlineStr">
        <is>
          <t>212</t>
        </is>
      </c>
      <c r="C1455" s="19" t="inlineStr">
        <is>
          <t>7</t>
        </is>
      </c>
      <c r="D1455" t="n">
        <v>5</v>
      </c>
      <c r="E1455" s="19" t="inlineStr">
        <is>
          <t>18</t>
        </is>
      </c>
      <c r="F1455" t="n">
        <v>6</v>
      </c>
      <c r="G1455" t="b">
        <v>0</v>
      </c>
      <c r="H1455" t="inlineStr">
        <is>
          <t>UOM=ADT;WEIGHT_BASIS=PROCESSED_SOURCE_UNIT_WEIGHT;LINE_WEIGHT_KG=1.35;SOURCE_CFG=IA-ST-CFG-0255;SRC_REF=Row 1379, Slot 9;SRC_FILE=Mamul Ambalaj Bileşen Listesi-30.07.2026(3).xlsx</t>
        </is>
      </c>
    </row>
    <row r="1456">
      <c r="A1456" s="19" t="inlineStr">
        <is>
          <t>1455</t>
        </is>
      </c>
      <c r="B1456" s="19" t="inlineStr">
        <is>
          <t>212</t>
        </is>
      </c>
      <c r="C1456" s="19" t="inlineStr">
        <is>
          <t>45</t>
        </is>
      </c>
      <c r="D1456" t="n">
        <v>88</v>
      </c>
      <c r="E1456" s="19" t="inlineStr">
        <is>
          <t>18</t>
        </is>
      </c>
      <c r="F1456" t="n">
        <v>7</v>
      </c>
      <c r="G1456" t="b">
        <v>0</v>
      </c>
      <c r="H1456" t="inlineStr">
        <is>
          <t>UOM=ADT;WEIGHT_BASIS=PROCESSED_SOURCE_UNIT_WEIGHT;LINE_WEIGHT_KG=21.119999999999997;SOURCE_CFG=IA-ST-CFG-0255;SRC_REF=Row 1379, Slot 10;SRC_FILE=Mamul Ambalaj Bileşen Listesi-30.07.2026(3).xlsx</t>
        </is>
      </c>
    </row>
    <row r="1457">
      <c r="A1457" s="19" t="inlineStr">
        <is>
          <t>1456</t>
        </is>
      </c>
      <c r="B1457" s="19" t="inlineStr">
        <is>
          <t>213</t>
        </is>
      </c>
      <c r="C1457" s="19" t="inlineStr">
        <is>
          <t>13</t>
        </is>
      </c>
      <c r="D1457" t="n">
        <v>14</v>
      </c>
      <c r="E1457" s="19" t="inlineStr">
        <is>
          <t>18</t>
        </is>
      </c>
      <c r="F1457" t="n">
        <v>1</v>
      </c>
      <c r="G1457" t="b">
        <v>0</v>
      </c>
      <c r="H1457" t="inlineStr">
        <is>
          <t>UOM=M;WEIGHT_BASIS=PROCESSED_SOURCE_UNIT_WEIGHT;LINE_WEIGHT_KG=0.1736;SOURCE_CFG=IA-ST-CFG-0256;SRC_REF=Row 219, Slot 1;SRC_FILE=Mamul Ambalaj Bileşen Listesi-30.07.2026(3).xlsx</t>
        </is>
      </c>
    </row>
    <row r="1458">
      <c r="A1458" s="19" t="inlineStr">
        <is>
          <t>1457</t>
        </is>
      </c>
      <c r="B1458" s="19" t="inlineStr">
        <is>
          <t>213</t>
        </is>
      </c>
      <c r="C1458" s="19" t="inlineStr">
        <is>
          <t>5</t>
        </is>
      </c>
      <c r="D1458" t="n">
        <v>1</v>
      </c>
      <c r="E1458" s="19" t="inlineStr">
        <is>
          <t>18</t>
        </is>
      </c>
      <c r="F1458" t="n">
        <v>2</v>
      </c>
      <c r="G1458" t="b">
        <v>0</v>
      </c>
      <c r="H1458" t="inlineStr">
        <is>
          <t>UOM=ADT;WEIGHT_BASIS=PROCESSED_SOURCE_UNIT_WEIGHT;LINE_WEIGHT_KG=26.0;SOURCE_CFG=IA-ST-CFG-0256;SRC_REF=Row 219, Slot 3;SRC_FILE=Mamul Ambalaj Bileşen Listesi-30.07.2026(3).xlsx</t>
        </is>
      </c>
    </row>
    <row r="1459">
      <c r="A1459" s="19" t="inlineStr">
        <is>
          <t>1458</t>
        </is>
      </c>
      <c r="B1459" s="19" t="inlineStr">
        <is>
          <t>213</t>
        </is>
      </c>
      <c r="C1459" s="19" t="inlineStr">
        <is>
          <t>8</t>
        </is>
      </c>
      <c r="D1459" t="n">
        <v>20</v>
      </c>
      <c r="E1459" s="19" t="inlineStr">
        <is>
          <t>18</t>
        </is>
      </c>
      <c r="F1459" t="n">
        <v>3</v>
      </c>
      <c r="G1459" t="b">
        <v>0</v>
      </c>
      <c r="H1459" t="inlineStr">
        <is>
          <t>UOM=M;WEIGHT_BASIS=PROCESSED_SOURCE_UNIT_WEIGHT;LINE_WEIGHT_KG=0.3664;SOURCE_CFG=IA-ST-CFG-0256;SRC_REF=Row 219, Slot 5;SRC_FILE=Mamul Ambalaj Bileşen Listesi-30.07.2026(3).xlsx</t>
        </is>
      </c>
    </row>
    <row r="1460">
      <c r="A1460" s="19" t="inlineStr">
        <is>
          <t>1459</t>
        </is>
      </c>
      <c r="B1460" s="19" t="inlineStr">
        <is>
          <t>213</t>
        </is>
      </c>
      <c r="C1460" s="19" t="inlineStr">
        <is>
          <t>9</t>
        </is>
      </c>
      <c r="D1460" t="n">
        <v>0.186</v>
      </c>
      <c r="E1460" s="19" t="inlineStr">
        <is>
          <t>18</t>
        </is>
      </c>
      <c r="F1460" t="n">
        <v>4</v>
      </c>
      <c r="G1460" t="b">
        <v>0</v>
      </c>
      <c r="H1460" t="inlineStr">
        <is>
          <t>UOM=KG;WEIGHT_BASIS=RECIPE_QUANTITY_IS_KG;LINE_WEIGHT_KG=0.186;SOURCE_CFG=IA-ST-CFG-0256;SRC_REF=Row 219, Slot 6;SRC_FILE=Mamul Ambalaj Bileşen Listesi-30.07.2026(3).xlsx</t>
        </is>
      </c>
    </row>
    <row r="1461">
      <c r="A1461" s="19" t="inlineStr">
        <is>
          <t>1460</t>
        </is>
      </c>
      <c r="B1461" s="19" t="inlineStr">
        <is>
          <t>213</t>
        </is>
      </c>
      <c r="C1461" s="19" t="inlineStr">
        <is>
          <t>3</t>
        </is>
      </c>
      <c r="D1461" t="n">
        <v>6</v>
      </c>
      <c r="E1461" s="19" t="inlineStr">
        <is>
          <t>18</t>
        </is>
      </c>
      <c r="F1461" t="n">
        <v>5</v>
      </c>
      <c r="G1461" t="b">
        <v>0</v>
      </c>
      <c r="H1461" t="inlineStr">
        <is>
          <t>UOM=ADT;WEIGHT_BASIS=PROCESSED_SOURCE_UNIT_WEIGHT;LINE_WEIGHT_KG=1.26;SOURCE_CFG=IA-ST-CFG-0256;SRC_REF=Row 219, Slot 8;SRC_FILE=Mamul Ambalaj Bileşen Listesi-30.07.2026(3).xlsx</t>
        </is>
      </c>
    </row>
    <row r="1462">
      <c r="A1462" s="19" t="inlineStr">
        <is>
          <t>1461</t>
        </is>
      </c>
      <c r="B1462" s="19" t="inlineStr">
        <is>
          <t>213</t>
        </is>
      </c>
      <c r="C1462" s="19" t="inlineStr">
        <is>
          <t>7</t>
        </is>
      </c>
      <c r="D1462" t="n">
        <v>5</v>
      </c>
      <c r="E1462" s="19" t="inlineStr">
        <is>
          <t>18</t>
        </is>
      </c>
      <c r="F1462" t="n">
        <v>6</v>
      </c>
      <c r="G1462" t="b">
        <v>0</v>
      </c>
      <c r="H1462" t="inlineStr">
        <is>
          <t>UOM=ADT;WEIGHT_BASIS=PROCESSED_SOURCE_UNIT_WEIGHT;LINE_WEIGHT_KG=1.35;SOURCE_CFG=IA-ST-CFG-0256;SRC_REF=Row 219, Slot 9;SRC_FILE=Mamul Ambalaj Bileşen Listesi-30.07.2026(3).xlsx</t>
        </is>
      </c>
    </row>
    <row r="1463">
      <c r="A1463" s="19" t="inlineStr">
        <is>
          <t>1462</t>
        </is>
      </c>
      <c r="B1463" s="19" t="inlineStr">
        <is>
          <t>213</t>
        </is>
      </c>
      <c r="C1463" s="19" t="inlineStr">
        <is>
          <t>68</t>
        </is>
      </c>
      <c r="D1463" t="n">
        <v>88</v>
      </c>
      <c r="E1463" s="19" t="inlineStr">
        <is>
          <t>18</t>
        </is>
      </c>
      <c r="F1463" t="n">
        <v>7</v>
      </c>
      <c r="G1463" t="b">
        <v>0</v>
      </c>
      <c r="H1463" t="inlineStr">
        <is>
          <t>UOM=ADT;WEIGHT_BASIS=PROCESSED_SOURCE_UNIT_WEIGHT;LINE_WEIGHT_KG=21.119999999999997;SOURCE_CFG=IA-ST-CFG-0256;SRC_REF=Row 219, Slot 10;SRC_FILE=Mamul Ambalaj Bileşen Listesi-30.07.2026(3).xlsx</t>
        </is>
      </c>
    </row>
    <row r="1464">
      <c r="A1464" s="19" t="inlineStr">
        <is>
          <t>1463</t>
        </is>
      </c>
      <c r="B1464" s="19" t="inlineStr">
        <is>
          <t>214</t>
        </is>
      </c>
      <c r="C1464" s="19" t="inlineStr">
        <is>
          <t>13</t>
        </is>
      </c>
      <c r="D1464" t="n">
        <v>14</v>
      </c>
      <c r="E1464" s="19" t="inlineStr">
        <is>
          <t>18</t>
        </is>
      </c>
      <c r="F1464" t="n">
        <v>1</v>
      </c>
      <c r="G1464" t="b">
        <v>0</v>
      </c>
      <c r="H1464" t="inlineStr">
        <is>
          <t>UOM=M;WEIGHT_BASIS=PROCESSED_SOURCE_UNIT_WEIGHT;LINE_WEIGHT_KG=0.1736;SOURCE_CFG=IA-ST-CFG-0257;SRC_REF=Row 258, Slot 1;SRC_FILE=Mamul Ambalaj Bileşen Listesi-30.07.2026(3).xlsx</t>
        </is>
      </c>
    </row>
    <row r="1465">
      <c r="A1465" s="19" t="inlineStr">
        <is>
          <t>1464</t>
        </is>
      </c>
      <c r="B1465" s="19" t="inlineStr">
        <is>
          <t>214</t>
        </is>
      </c>
      <c r="C1465" s="19" t="inlineStr">
        <is>
          <t>5</t>
        </is>
      </c>
      <c r="D1465" t="n">
        <v>1</v>
      </c>
      <c r="E1465" s="19" t="inlineStr">
        <is>
          <t>18</t>
        </is>
      </c>
      <c r="F1465" t="n">
        <v>2</v>
      </c>
      <c r="G1465" t="b">
        <v>0</v>
      </c>
      <c r="H1465" t="inlineStr">
        <is>
          <t>UOM=ADT;WEIGHT_BASIS=PROCESSED_SOURCE_UNIT_WEIGHT;LINE_WEIGHT_KG=26.0;SOURCE_CFG=IA-ST-CFG-0257;SRC_REF=Row 258, Slot 3;SRC_FILE=Mamul Ambalaj Bileşen Listesi-30.07.2026(3).xlsx</t>
        </is>
      </c>
    </row>
    <row r="1466">
      <c r="A1466" s="19" t="inlineStr">
        <is>
          <t>1465</t>
        </is>
      </c>
      <c r="B1466" s="19" t="inlineStr">
        <is>
          <t>214</t>
        </is>
      </c>
      <c r="C1466" s="19" t="inlineStr">
        <is>
          <t>8</t>
        </is>
      </c>
      <c r="D1466" t="n">
        <v>20</v>
      </c>
      <c r="E1466" s="19" t="inlineStr">
        <is>
          <t>18</t>
        </is>
      </c>
      <c r="F1466" t="n">
        <v>3</v>
      </c>
      <c r="G1466" t="b">
        <v>0</v>
      </c>
      <c r="H1466" t="inlineStr">
        <is>
          <t>UOM=M;WEIGHT_BASIS=PROCESSED_SOURCE_UNIT_WEIGHT;LINE_WEIGHT_KG=0.3664;SOURCE_CFG=IA-ST-CFG-0257;SRC_REF=Row 258, Slot 5;SRC_FILE=Mamul Ambalaj Bileşen Listesi-30.07.2026(3).xlsx</t>
        </is>
      </c>
    </row>
    <row r="1467">
      <c r="A1467" s="19" t="inlineStr">
        <is>
          <t>1466</t>
        </is>
      </c>
      <c r="B1467" s="19" t="inlineStr">
        <is>
          <t>214</t>
        </is>
      </c>
      <c r="C1467" s="19" t="inlineStr">
        <is>
          <t>9</t>
        </is>
      </c>
      <c r="D1467" t="n">
        <v>0.186</v>
      </c>
      <c r="E1467" s="19" t="inlineStr">
        <is>
          <t>18</t>
        </is>
      </c>
      <c r="F1467" t="n">
        <v>4</v>
      </c>
      <c r="G1467" t="b">
        <v>0</v>
      </c>
      <c r="H1467" t="inlineStr">
        <is>
          <t>UOM=KG;WEIGHT_BASIS=RECIPE_QUANTITY_IS_KG;LINE_WEIGHT_KG=0.186;SOURCE_CFG=IA-ST-CFG-0257;SRC_REF=Row 258, Slot 6;SRC_FILE=Mamul Ambalaj Bileşen Listesi-30.07.2026(3).xlsx</t>
        </is>
      </c>
    </row>
    <row r="1468">
      <c r="A1468" s="19" t="inlineStr">
        <is>
          <t>1467</t>
        </is>
      </c>
      <c r="B1468" s="19" t="inlineStr">
        <is>
          <t>214</t>
        </is>
      </c>
      <c r="C1468" s="19" t="inlineStr">
        <is>
          <t>3</t>
        </is>
      </c>
      <c r="D1468" t="n">
        <v>6</v>
      </c>
      <c r="E1468" s="19" t="inlineStr">
        <is>
          <t>18</t>
        </is>
      </c>
      <c r="F1468" t="n">
        <v>5</v>
      </c>
      <c r="G1468" t="b">
        <v>0</v>
      </c>
      <c r="H1468" t="inlineStr">
        <is>
          <t>UOM=ADT;WEIGHT_BASIS=PROCESSED_SOURCE_UNIT_WEIGHT;LINE_WEIGHT_KG=1.26;SOURCE_CFG=IA-ST-CFG-0257;SRC_REF=Row 258, Slot 8;SRC_FILE=Mamul Ambalaj Bileşen Listesi-30.07.2026(3).xlsx</t>
        </is>
      </c>
    </row>
    <row r="1469">
      <c r="A1469" s="19" t="inlineStr">
        <is>
          <t>1468</t>
        </is>
      </c>
      <c r="B1469" s="19" t="inlineStr">
        <is>
          <t>214</t>
        </is>
      </c>
      <c r="C1469" s="19" t="inlineStr">
        <is>
          <t>7</t>
        </is>
      </c>
      <c r="D1469" t="n">
        <v>5</v>
      </c>
      <c r="E1469" s="19" t="inlineStr">
        <is>
          <t>18</t>
        </is>
      </c>
      <c r="F1469" t="n">
        <v>6</v>
      </c>
      <c r="G1469" t="b">
        <v>0</v>
      </c>
      <c r="H1469" t="inlineStr">
        <is>
          <t>UOM=ADT;WEIGHT_BASIS=PROCESSED_SOURCE_UNIT_WEIGHT;LINE_WEIGHT_KG=1.35;SOURCE_CFG=IA-ST-CFG-0257;SRC_REF=Row 258, Slot 9;SRC_FILE=Mamul Ambalaj Bileşen Listesi-30.07.2026(3).xlsx</t>
        </is>
      </c>
    </row>
    <row r="1470">
      <c r="A1470" s="19" t="inlineStr">
        <is>
          <t>1469</t>
        </is>
      </c>
      <c r="B1470" s="19" t="inlineStr">
        <is>
          <t>214</t>
        </is>
      </c>
      <c r="C1470" s="19" t="inlineStr">
        <is>
          <t>83</t>
        </is>
      </c>
      <c r="D1470" t="n">
        <v>88</v>
      </c>
      <c r="E1470" s="19" t="inlineStr">
        <is>
          <t>18</t>
        </is>
      </c>
      <c r="F1470" t="n">
        <v>7</v>
      </c>
      <c r="G1470" t="b">
        <v>0</v>
      </c>
      <c r="H1470" t="inlineStr">
        <is>
          <t>UOM=ADT;WEIGHT_BASIS=PROCESSED_SOURCE_UNIT_WEIGHT;LINE_WEIGHT_KG=21.119999999999997;SOURCE_CFG=IA-ST-CFG-0257;SRC_REF=Row 258, Slot 10;SRC_FILE=Mamul Ambalaj Bileşen Listesi-30.07.2026(3).xlsx</t>
        </is>
      </c>
    </row>
    <row r="1471">
      <c r="A1471" s="19" t="inlineStr">
        <is>
          <t>1470</t>
        </is>
      </c>
      <c r="B1471" s="19" t="inlineStr">
        <is>
          <t>215</t>
        </is>
      </c>
      <c r="C1471" s="19" t="inlineStr">
        <is>
          <t>13</t>
        </is>
      </c>
      <c r="D1471" t="n">
        <v>14</v>
      </c>
      <c r="E1471" s="19" t="inlineStr">
        <is>
          <t>18</t>
        </is>
      </c>
      <c r="F1471" t="n">
        <v>1</v>
      </c>
      <c r="G1471" t="b">
        <v>0</v>
      </c>
      <c r="H1471" t="inlineStr">
        <is>
          <t>UOM=M;WEIGHT_BASIS=PROCESSED_SOURCE_UNIT_WEIGHT;LINE_WEIGHT_KG=0.1736;SOURCE_CFG=IA-ST-CFG-0258;SRC_REF=Row 1615, Slot 1;SRC_FILE=Mamul Ambalaj Bileşen Listesi-30.07.2026(3).xlsx</t>
        </is>
      </c>
    </row>
    <row r="1472">
      <c r="A1472" s="19" t="inlineStr">
        <is>
          <t>1471</t>
        </is>
      </c>
      <c r="B1472" s="19" t="inlineStr">
        <is>
          <t>215</t>
        </is>
      </c>
      <c r="C1472" s="19" t="inlineStr">
        <is>
          <t>5</t>
        </is>
      </c>
      <c r="D1472" t="n">
        <v>1</v>
      </c>
      <c r="E1472" s="19" t="inlineStr">
        <is>
          <t>18</t>
        </is>
      </c>
      <c r="F1472" t="n">
        <v>2</v>
      </c>
      <c r="G1472" t="b">
        <v>0</v>
      </c>
      <c r="H1472" t="inlineStr">
        <is>
          <t>UOM=ADT;WEIGHT_BASIS=PROCESSED_SOURCE_UNIT_WEIGHT;LINE_WEIGHT_KG=26.0;SOURCE_CFG=IA-ST-CFG-0258;SRC_REF=Row 1615, Slot 3;SRC_FILE=Mamul Ambalaj Bileşen Listesi-30.07.2026(3).xlsx</t>
        </is>
      </c>
    </row>
    <row r="1473">
      <c r="A1473" s="19" t="inlineStr">
        <is>
          <t>1472</t>
        </is>
      </c>
      <c r="B1473" s="19" t="inlineStr">
        <is>
          <t>215</t>
        </is>
      </c>
      <c r="C1473" s="19" t="inlineStr">
        <is>
          <t>8</t>
        </is>
      </c>
      <c r="D1473" t="n">
        <v>20</v>
      </c>
      <c r="E1473" s="19" t="inlineStr">
        <is>
          <t>18</t>
        </is>
      </c>
      <c r="F1473" t="n">
        <v>3</v>
      </c>
      <c r="G1473" t="b">
        <v>0</v>
      </c>
      <c r="H1473" t="inlineStr">
        <is>
          <t>UOM=M;WEIGHT_BASIS=PROCESSED_SOURCE_UNIT_WEIGHT;LINE_WEIGHT_KG=0.3664;SOURCE_CFG=IA-ST-CFG-0258;SRC_REF=Row 1615, Slot 5;SRC_FILE=Mamul Ambalaj Bileşen Listesi-30.07.2026(3).xlsx</t>
        </is>
      </c>
    </row>
    <row r="1474">
      <c r="A1474" s="19" t="inlineStr">
        <is>
          <t>1473</t>
        </is>
      </c>
      <c r="B1474" s="19" t="inlineStr">
        <is>
          <t>215</t>
        </is>
      </c>
      <c r="C1474" s="19" t="inlineStr">
        <is>
          <t>9</t>
        </is>
      </c>
      <c r="D1474" t="n">
        <v>0.186</v>
      </c>
      <c r="E1474" s="19" t="inlineStr">
        <is>
          <t>18</t>
        </is>
      </c>
      <c r="F1474" t="n">
        <v>4</v>
      </c>
      <c r="G1474" t="b">
        <v>0</v>
      </c>
      <c r="H1474" t="inlineStr">
        <is>
          <t>UOM=KG;WEIGHT_BASIS=RECIPE_QUANTITY_IS_KG;LINE_WEIGHT_KG=0.186;SOURCE_CFG=IA-ST-CFG-0258;SRC_REF=Row 1615, Slot 6;SRC_FILE=Mamul Ambalaj Bileşen Listesi-30.07.2026(3).xlsx</t>
        </is>
      </c>
    </row>
    <row r="1475">
      <c r="A1475" s="19" t="inlineStr">
        <is>
          <t>1474</t>
        </is>
      </c>
      <c r="B1475" s="19" t="inlineStr">
        <is>
          <t>215</t>
        </is>
      </c>
      <c r="C1475" s="19" t="inlineStr">
        <is>
          <t>3</t>
        </is>
      </c>
      <c r="D1475" t="n">
        <v>6</v>
      </c>
      <c r="E1475" s="19" t="inlineStr">
        <is>
          <t>18</t>
        </is>
      </c>
      <c r="F1475" t="n">
        <v>5</v>
      </c>
      <c r="G1475" t="b">
        <v>0</v>
      </c>
      <c r="H1475" t="inlineStr">
        <is>
          <t>UOM=ADT;WEIGHT_BASIS=PROCESSED_SOURCE_UNIT_WEIGHT;LINE_WEIGHT_KG=1.26;SOURCE_CFG=IA-ST-CFG-0258;SRC_REF=Row 1615, Slot 8;SRC_FILE=Mamul Ambalaj Bileşen Listesi-30.07.2026(3).xlsx</t>
        </is>
      </c>
    </row>
    <row r="1476">
      <c r="A1476" s="19" t="inlineStr">
        <is>
          <t>1475</t>
        </is>
      </c>
      <c r="B1476" s="19" t="inlineStr">
        <is>
          <t>215</t>
        </is>
      </c>
      <c r="C1476" s="19" t="inlineStr">
        <is>
          <t>7</t>
        </is>
      </c>
      <c r="D1476" t="n">
        <v>5</v>
      </c>
      <c r="E1476" s="19" t="inlineStr">
        <is>
          <t>18</t>
        </is>
      </c>
      <c r="F1476" t="n">
        <v>6</v>
      </c>
      <c r="G1476" t="b">
        <v>0</v>
      </c>
      <c r="H1476" t="inlineStr">
        <is>
          <t>UOM=ADT;WEIGHT_BASIS=PROCESSED_SOURCE_UNIT_WEIGHT;LINE_WEIGHT_KG=1.35;SOURCE_CFG=IA-ST-CFG-0258;SRC_REF=Row 1615, Slot 9;SRC_FILE=Mamul Ambalaj Bileşen Listesi-30.07.2026(3).xlsx</t>
        </is>
      </c>
    </row>
    <row r="1477">
      <c r="A1477" s="19" t="inlineStr">
        <is>
          <t>1476</t>
        </is>
      </c>
      <c r="B1477" s="19" t="inlineStr">
        <is>
          <t>215</t>
        </is>
      </c>
      <c r="C1477" s="19" t="inlineStr">
        <is>
          <t>97</t>
        </is>
      </c>
      <c r="D1477" t="n">
        <v>88</v>
      </c>
      <c r="E1477" s="19" t="inlineStr">
        <is>
          <t>18</t>
        </is>
      </c>
      <c r="F1477" t="n">
        <v>7</v>
      </c>
      <c r="G1477" t="b">
        <v>0</v>
      </c>
      <c r="H1477" t="inlineStr">
        <is>
          <t>UOM=ADT;WEIGHT_BASIS=PROCESSED_SOURCE_UNIT_WEIGHT;LINE_WEIGHT_KG=21.119999999999997;SOURCE_CFG=IA-ST-CFG-0258;SRC_REF=Row 1615, Slot 10;SRC_FILE=Mamul Ambalaj Bileşen Listesi-30.07.2026(3).xlsx</t>
        </is>
      </c>
    </row>
    <row r="1478">
      <c r="A1478" s="19" t="inlineStr">
        <is>
          <t>1477</t>
        </is>
      </c>
      <c r="B1478" s="19" t="inlineStr">
        <is>
          <t>216</t>
        </is>
      </c>
      <c r="C1478" s="19" t="inlineStr">
        <is>
          <t>13</t>
        </is>
      </c>
      <c r="D1478" t="n">
        <v>14</v>
      </c>
      <c r="E1478" s="19" t="inlineStr">
        <is>
          <t>18</t>
        </is>
      </c>
      <c r="F1478" t="n">
        <v>1</v>
      </c>
      <c r="G1478" t="b">
        <v>0</v>
      </c>
      <c r="H1478" t="inlineStr">
        <is>
          <t>UOM=M;WEIGHT_BASIS=PROCESSED_SOURCE_UNIT_WEIGHT;LINE_WEIGHT_KG=0.1736;SOURCE_CFG=IA-ST-CFG-0259;SRC_REF=Row 486, Slot 1;SRC_FILE=Mamul Ambalaj Bileşen Listesi-30.07.2026(3).xlsx</t>
        </is>
      </c>
    </row>
    <row r="1479">
      <c r="A1479" s="19" t="inlineStr">
        <is>
          <t>1478</t>
        </is>
      </c>
      <c r="B1479" s="19" t="inlineStr">
        <is>
          <t>216</t>
        </is>
      </c>
      <c r="C1479" s="19" t="inlineStr">
        <is>
          <t>5</t>
        </is>
      </c>
      <c r="D1479" t="n">
        <v>1</v>
      </c>
      <c r="E1479" s="19" t="inlineStr">
        <is>
          <t>18</t>
        </is>
      </c>
      <c r="F1479" t="n">
        <v>2</v>
      </c>
      <c r="G1479" t="b">
        <v>0</v>
      </c>
      <c r="H1479" t="inlineStr">
        <is>
          <t>UOM=ADT;WEIGHT_BASIS=PROCESSED_SOURCE_UNIT_WEIGHT;LINE_WEIGHT_KG=26.0;SOURCE_CFG=IA-ST-CFG-0259;SRC_REF=Row 486, Slot 3;SRC_FILE=Mamul Ambalaj Bileşen Listesi-30.07.2026(3).xlsx</t>
        </is>
      </c>
    </row>
    <row r="1480">
      <c r="A1480" s="19" t="inlineStr">
        <is>
          <t>1479</t>
        </is>
      </c>
      <c r="B1480" s="19" t="inlineStr">
        <is>
          <t>216</t>
        </is>
      </c>
      <c r="C1480" s="19" t="inlineStr">
        <is>
          <t>8</t>
        </is>
      </c>
      <c r="D1480" t="n">
        <v>20</v>
      </c>
      <c r="E1480" s="19" t="inlineStr">
        <is>
          <t>18</t>
        </is>
      </c>
      <c r="F1480" t="n">
        <v>3</v>
      </c>
      <c r="G1480" t="b">
        <v>0</v>
      </c>
      <c r="H1480" t="inlineStr">
        <is>
          <t>UOM=M;WEIGHT_BASIS=PROCESSED_SOURCE_UNIT_WEIGHT;LINE_WEIGHT_KG=0.3664;SOURCE_CFG=IA-ST-CFG-0259;SRC_REF=Row 486, Slot 5;SRC_FILE=Mamul Ambalaj Bileşen Listesi-30.07.2026(3).xlsx</t>
        </is>
      </c>
    </row>
    <row r="1481">
      <c r="A1481" s="19" t="inlineStr">
        <is>
          <t>1480</t>
        </is>
      </c>
      <c r="B1481" s="19" t="inlineStr">
        <is>
          <t>216</t>
        </is>
      </c>
      <c r="C1481" s="19" t="inlineStr">
        <is>
          <t>9</t>
        </is>
      </c>
      <c r="D1481" t="n">
        <v>0.186</v>
      </c>
      <c r="E1481" s="19" t="inlineStr">
        <is>
          <t>18</t>
        </is>
      </c>
      <c r="F1481" t="n">
        <v>4</v>
      </c>
      <c r="G1481" t="b">
        <v>0</v>
      </c>
      <c r="H1481" t="inlineStr">
        <is>
          <t>UOM=KG;WEIGHT_BASIS=RECIPE_QUANTITY_IS_KG;LINE_WEIGHT_KG=0.186;SOURCE_CFG=IA-ST-CFG-0259;SRC_REF=Row 486, Slot 6;SRC_FILE=Mamul Ambalaj Bileşen Listesi-30.07.2026(3).xlsx</t>
        </is>
      </c>
    </row>
    <row r="1482">
      <c r="A1482" s="19" t="inlineStr">
        <is>
          <t>1481</t>
        </is>
      </c>
      <c r="B1482" s="19" t="inlineStr">
        <is>
          <t>216</t>
        </is>
      </c>
      <c r="C1482" s="19" t="inlineStr">
        <is>
          <t>3</t>
        </is>
      </c>
      <c r="D1482" t="n">
        <v>8</v>
      </c>
      <c r="E1482" s="19" t="inlineStr">
        <is>
          <t>18</t>
        </is>
      </c>
      <c r="F1482" t="n">
        <v>5</v>
      </c>
      <c r="G1482" t="b">
        <v>0</v>
      </c>
      <c r="H1482" t="inlineStr">
        <is>
          <t>UOM=ADT;WEIGHT_BASIS=PROCESSED_SOURCE_UNIT_WEIGHT;LINE_WEIGHT_KG=1.68;SOURCE_CFG=IA-ST-CFG-0259;SRC_REF=Row 486, Slot 8;SRC_FILE=Mamul Ambalaj Bileşen Listesi-30.07.2026(3).xlsx</t>
        </is>
      </c>
    </row>
    <row r="1483">
      <c r="A1483" s="19" t="inlineStr">
        <is>
          <t>1482</t>
        </is>
      </c>
      <c r="B1483" s="19" t="inlineStr">
        <is>
          <t>216</t>
        </is>
      </c>
      <c r="C1483" s="19" t="inlineStr">
        <is>
          <t>7</t>
        </is>
      </c>
      <c r="D1483" t="n">
        <v>4</v>
      </c>
      <c r="E1483" s="19" t="inlineStr">
        <is>
          <t>18</t>
        </is>
      </c>
      <c r="F1483" t="n">
        <v>6</v>
      </c>
      <c r="G1483" t="b">
        <v>0</v>
      </c>
      <c r="H1483" t="inlineStr">
        <is>
          <t>UOM=ADT;WEIGHT_BASIS=PROCESSED_SOURCE_UNIT_WEIGHT;LINE_WEIGHT_KG=1.08;SOURCE_CFG=IA-ST-CFG-0259;SRC_REF=Row 486, Slot 9;SRC_FILE=Mamul Ambalaj Bileşen Listesi-30.07.2026(3).xlsx</t>
        </is>
      </c>
    </row>
    <row r="1484">
      <c r="A1484" s="19" t="inlineStr">
        <is>
          <t>1483</t>
        </is>
      </c>
      <c r="B1484" s="19" t="inlineStr">
        <is>
          <t>216</t>
        </is>
      </c>
      <c r="C1484" s="19" t="inlineStr">
        <is>
          <t>101</t>
        </is>
      </c>
      <c r="D1484" t="n">
        <v>88</v>
      </c>
      <c r="E1484" s="19" t="inlineStr">
        <is>
          <t>18</t>
        </is>
      </c>
      <c r="F1484" t="n">
        <v>7</v>
      </c>
      <c r="G1484" t="b">
        <v>0</v>
      </c>
      <c r="H1484" t="inlineStr">
        <is>
          <t>UOM=ADT;WEIGHT_BASIS=PROCESSED_SOURCE_UNIT_WEIGHT;LINE_WEIGHT_KG=21.119999999999997;SOURCE_CFG=IA-ST-CFG-0259;SRC_REF=Row 486, Slot 10;SRC_FILE=Mamul Ambalaj Bileşen Listesi-30.07.2026(3).xlsx</t>
        </is>
      </c>
    </row>
    <row r="1485">
      <c r="A1485" s="19" t="inlineStr">
        <is>
          <t>1484</t>
        </is>
      </c>
      <c r="B1485" s="19" t="inlineStr">
        <is>
          <t>217</t>
        </is>
      </c>
      <c r="C1485" s="19" t="inlineStr">
        <is>
          <t>13</t>
        </is>
      </c>
      <c r="D1485" t="n">
        <v>14</v>
      </c>
      <c r="E1485" s="19" t="inlineStr">
        <is>
          <t>18</t>
        </is>
      </c>
      <c r="F1485" t="n">
        <v>1</v>
      </c>
      <c r="G1485" t="b">
        <v>0</v>
      </c>
      <c r="H1485" t="inlineStr">
        <is>
          <t>UOM=M;WEIGHT_BASIS=PROCESSED_SOURCE_UNIT_WEIGHT;LINE_WEIGHT_KG=0.1736;SOURCE_CFG=IA-ST-CFG-0260;SRC_REF=Row 922, Slot 1;SRC_FILE=Mamul Ambalaj Bileşen Listesi-30.07.2026(3).xlsx</t>
        </is>
      </c>
    </row>
    <row r="1486">
      <c r="A1486" s="19" t="inlineStr">
        <is>
          <t>1485</t>
        </is>
      </c>
      <c r="B1486" s="19" t="inlineStr">
        <is>
          <t>217</t>
        </is>
      </c>
      <c r="C1486" s="19" t="inlineStr">
        <is>
          <t>5</t>
        </is>
      </c>
      <c r="D1486" t="n">
        <v>1</v>
      </c>
      <c r="E1486" s="19" t="inlineStr">
        <is>
          <t>18</t>
        </is>
      </c>
      <c r="F1486" t="n">
        <v>2</v>
      </c>
      <c r="G1486" t="b">
        <v>0</v>
      </c>
      <c r="H1486" t="inlineStr">
        <is>
          <t>UOM=ADT;WEIGHT_BASIS=PROCESSED_SOURCE_UNIT_WEIGHT;LINE_WEIGHT_KG=26.0;SOURCE_CFG=IA-ST-CFG-0260;SRC_REF=Row 922, Slot 3;SRC_FILE=Mamul Ambalaj Bileşen Listesi-30.07.2026(3).xlsx</t>
        </is>
      </c>
    </row>
    <row r="1487">
      <c r="A1487" s="19" t="inlineStr">
        <is>
          <t>1486</t>
        </is>
      </c>
      <c r="B1487" s="19" t="inlineStr">
        <is>
          <t>217</t>
        </is>
      </c>
      <c r="C1487" s="19" t="inlineStr">
        <is>
          <t>8</t>
        </is>
      </c>
      <c r="D1487" t="n">
        <v>20</v>
      </c>
      <c r="E1487" s="19" t="inlineStr">
        <is>
          <t>18</t>
        </is>
      </c>
      <c r="F1487" t="n">
        <v>3</v>
      </c>
      <c r="G1487" t="b">
        <v>0</v>
      </c>
      <c r="H1487" t="inlineStr">
        <is>
          <t>UOM=M;WEIGHT_BASIS=PROCESSED_SOURCE_UNIT_WEIGHT;LINE_WEIGHT_KG=0.3664;SOURCE_CFG=IA-ST-CFG-0260;SRC_REF=Row 922, Slot 5;SRC_FILE=Mamul Ambalaj Bileşen Listesi-30.07.2026(3).xlsx</t>
        </is>
      </c>
    </row>
    <row r="1488">
      <c r="A1488" s="19" t="inlineStr">
        <is>
          <t>1487</t>
        </is>
      </c>
      <c r="B1488" s="19" t="inlineStr">
        <is>
          <t>217</t>
        </is>
      </c>
      <c r="C1488" s="19" t="inlineStr">
        <is>
          <t>9</t>
        </is>
      </c>
      <c r="D1488" t="n">
        <v>0.186</v>
      </c>
      <c r="E1488" s="19" t="inlineStr">
        <is>
          <t>18</t>
        </is>
      </c>
      <c r="F1488" t="n">
        <v>4</v>
      </c>
      <c r="G1488" t="b">
        <v>0</v>
      </c>
      <c r="H1488" t="inlineStr">
        <is>
          <t>UOM=KG;WEIGHT_BASIS=RECIPE_QUANTITY_IS_KG;LINE_WEIGHT_KG=0.186;SOURCE_CFG=IA-ST-CFG-0260;SRC_REF=Row 922, Slot 6;SRC_FILE=Mamul Ambalaj Bileşen Listesi-30.07.2026(3).xlsx</t>
        </is>
      </c>
    </row>
    <row r="1489">
      <c r="A1489" s="19" t="inlineStr">
        <is>
          <t>1488</t>
        </is>
      </c>
      <c r="B1489" s="19" t="inlineStr">
        <is>
          <t>217</t>
        </is>
      </c>
      <c r="C1489" s="19" t="inlineStr">
        <is>
          <t>3</t>
        </is>
      </c>
      <c r="D1489" t="n">
        <v>8</v>
      </c>
      <c r="E1489" s="19" t="inlineStr">
        <is>
          <t>18</t>
        </is>
      </c>
      <c r="F1489" t="n">
        <v>5</v>
      </c>
      <c r="G1489" t="b">
        <v>0</v>
      </c>
      <c r="H1489" t="inlineStr">
        <is>
          <t>UOM=ADT;WEIGHT_BASIS=PROCESSED_SOURCE_UNIT_WEIGHT;LINE_WEIGHT_KG=1.68;SOURCE_CFG=IA-ST-CFG-0260;SRC_REF=Row 922, Slot 8;SRC_FILE=Mamul Ambalaj Bileşen Listesi-30.07.2026(3).xlsx</t>
        </is>
      </c>
    </row>
    <row r="1490">
      <c r="A1490" s="19" t="inlineStr">
        <is>
          <t>1489</t>
        </is>
      </c>
      <c r="B1490" s="19" t="inlineStr">
        <is>
          <t>217</t>
        </is>
      </c>
      <c r="C1490" s="19" t="inlineStr">
        <is>
          <t>7</t>
        </is>
      </c>
      <c r="D1490" t="n">
        <v>5</v>
      </c>
      <c r="E1490" s="19" t="inlineStr">
        <is>
          <t>18</t>
        </is>
      </c>
      <c r="F1490" t="n">
        <v>6</v>
      </c>
      <c r="G1490" t="b">
        <v>0</v>
      </c>
      <c r="H1490" t="inlineStr">
        <is>
          <t>UOM=ADT;WEIGHT_BASIS=PROCESSED_SOURCE_UNIT_WEIGHT;LINE_WEIGHT_KG=1.35;SOURCE_CFG=IA-ST-CFG-0260;SRC_REF=Row 922, Slot 9;SRC_FILE=Mamul Ambalaj Bileşen Listesi-30.07.2026(3).xlsx</t>
        </is>
      </c>
    </row>
    <row r="1491">
      <c r="A1491" s="19" t="inlineStr">
        <is>
          <t>1490</t>
        </is>
      </c>
      <c r="B1491" s="19" t="inlineStr">
        <is>
          <t>217</t>
        </is>
      </c>
      <c r="C1491" s="19" t="inlineStr">
        <is>
          <t>59</t>
        </is>
      </c>
      <c r="D1491" t="n">
        <v>88</v>
      </c>
      <c r="E1491" s="19" t="inlineStr">
        <is>
          <t>18</t>
        </is>
      </c>
      <c r="F1491" t="n">
        <v>7</v>
      </c>
      <c r="G1491" t="b">
        <v>0</v>
      </c>
      <c r="H1491" t="inlineStr">
        <is>
          <t>UOM=ADT;WEIGHT_BASIS=PROCESSED_SOURCE_UNIT_WEIGHT;LINE_WEIGHT_KG=19.36;SOURCE_CFG=IA-ST-CFG-0260;SRC_REF=Row 922, Slot 10;SRC_FILE=Mamul Ambalaj Bileşen Listesi-30.07.2026(3).xlsx</t>
        </is>
      </c>
    </row>
    <row r="1492">
      <c r="A1492" s="19" t="inlineStr">
        <is>
          <t>1491</t>
        </is>
      </c>
      <c r="B1492" s="19" t="inlineStr">
        <is>
          <t>218</t>
        </is>
      </c>
      <c r="C1492" s="19" t="inlineStr">
        <is>
          <t>13</t>
        </is>
      </c>
      <c r="D1492" t="n">
        <v>14</v>
      </c>
      <c r="E1492" s="19" t="inlineStr">
        <is>
          <t>18</t>
        </is>
      </c>
      <c r="F1492" t="n">
        <v>1</v>
      </c>
      <c r="G1492" t="b">
        <v>0</v>
      </c>
      <c r="H1492" t="inlineStr">
        <is>
          <t>UOM=M;WEIGHT_BASIS=PROCESSED_SOURCE_UNIT_WEIGHT;LINE_WEIGHT_KG=0.1736;SOURCE_CFG=IA-ST-CFG-0261;SRC_REF=Row 470, Slot 1;SRC_FILE=Mamul Ambalaj Bileşen Listesi-30.07.2026(3).xlsx</t>
        </is>
      </c>
    </row>
    <row r="1493">
      <c r="A1493" s="19" t="inlineStr">
        <is>
          <t>1492</t>
        </is>
      </c>
      <c r="B1493" s="19" t="inlineStr">
        <is>
          <t>218</t>
        </is>
      </c>
      <c r="C1493" s="19" t="inlineStr">
        <is>
          <t>5</t>
        </is>
      </c>
      <c r="D1493" t="n">
        <v>1</v>
      </c>
      <c r="E1493" s="19" t="inlineStr">
        <is>
          <t>18</t>
        </is>
      </c>
      <c r="F1493" t="n">
        <v>2</v>
      </c>
      <c r="G1493" t="b">
        <v>0</v>
      </c>
      <c r="H1493" t="inlineStr">
        <is>
          <t>UOM=ADT;WEIGHT_BASIS=PROCESSED_SOURCE_UNIT_WEIGHT;LINE_WEIGHT_KG=26.0;SOURCE_CFG=IA-ST-CFG-0261;SRC_REF=Row 470, Slot 3;SRC_FILE=Mamul Ambalaj Bileşen Listesi-30.07.2026(3).xlsx</t>
        </is>
      </c>
    </row>
    <row r="1494">
      <c r="A1494" s="19" t="inlineStr">
        <is>
          <t>1493</t>
        </is>
      </c>
      <c r="B1494" s="19" t="inlineStr">
        <is>
          <t>218</t>
        </is>
      </c>
      <c r="C1494" s="19" t="inlineStr">
        <is>
          <t>8</t>
        </is>
      </c>
      <c r="D1494" t="n">
        <v>20</v>
      </c>
      <c r="E1494" s="19" t="inlineStr">
        <is>
          <t>18</t>
        </is>
      </c>
      <c r="F1494" t="n">
        <v>3</v>
      </c>
      <c r="G1494" t="b">
        <v>0</v>
      </c>
      <c r="H1494" t="inlineStr">
        <is>
          <t>UOM=M;WEIGHT_BASIS=PROCESSED_SOURCE_UNIT_WEIGHT;LINE_WEIGHT_KG=0.3664;SOURCE_CFG=IA-ST-CFG-0261;SRC_REF=Row 470, Slot 5;SRC_FILE=Mamul Ambalaj Bileşen Listesi-30.07.2026(3).xlsx</t>
        </is>
      </c>
    </row>
    <row r="1495">
      <c r="A1495" s="19" t="inlineStr">
        <is>
          <t>1494</t>
        </is>
      </c>
      <c r="B1495" s="19" t="inlineStr">
        <is>
          <t>218</t>
        </is>
      </c>
      <c r="C1495" s="19" t="inlineStr">
        <is>
          <t>9</t>
        </is>
      </c>
      <c r="D1495" t="n">
        <v>0.186</v>
      </c>
      <c r="E1495" s="19" t="inlineStr">
        <is>
          <t>18</t>
        </is>
      </c>
      <c r="F1495" t="n">
        <v>4</v>
      </c>
      <c r="G1495" t="b">
        <v>0</v>
      </c>
      <c r="H1495" t="inlineStr">
        <is>
          <t>UOM=KG;WEIGHT_BASIS=RECIPE_QUANTITY_IS_KG;LINE_WEIGHT_KG=0.186;SOURCE_CFG=IA-ST-CFG-0261;SRC_REF=Row 470, Slot 6;SRC_FILE=Mamul Ambalaj Bileşen Listesi-30.07.2026(3).xlsx</t>
        </is>
      </c>
    </row>
    <row r="1496">
      <c r="A1496" s="19" t="inlineStr">
        <is>
          <t>1495</t>
        </is>
      </c>
      <c r="B1496" s="19" t="inlineStr">
        <is>
          <t>218</t>
        </is>
      </c>
      <c r="C1496" s="19" t="inlineStr">
        <is>
          <t>3</t>
        </is>
      </c>
      <c r="D1496" t="n">
        <v>8</v>
      </c>
      <c r="E1496" s="19" t="inlineStr">
        <is>
          <t>18</t>
        </is>
      </c>
      <c r="F1496" t="n">
        <v>5</v>
      </c>
      <c r="G1496" t="b">
        <v>0</v>
      </c>
      <c r="H1496" t="inlineStr">
        <is>
          <t>UOM=ADT;WEIGHT_BASIS=PROCESSED_SOURCE_UNIT_WEIGHT;LINE_WEIGHT_KG=1.68;SOURCE_CFG=IA-ST-CFG-0261;SRC_REF=Row 470, Slot 8;SRC_FILE=Mamul Ambalaj Bileşen Listesi-30.07.2026(3).xlsx</t>
        </is>
      </c>
    </row>
    <row r="1497">
      <c r="A1497" s="19" t="inlineStr">
        <is>
          <t>1496</t>
        </is>
      </c>
      <c r="B1497" s="19" t="inlineStr">
        <is>
          <t>218</t>
        </is>
      </c>
      <c r="C1497" s="19" t="inlineStr">
        <is>
          <t>7</t>
        </is>
      </c>
      <c r="D1497" t="n">
        <v>5</v>
      </c>
      <c r="E1497" s="19" t="inlineStr">
        <is>
          <t>18</t>
        </is>
      </c>
      <c r="F1497" t="n">
        <v>6</v>
      </c>
      <c r="G1497" t="b">
        <v>0</v>
      </c>
      <c r="H1497" t="inlineStr">
        <is>
          <t>UOM=ADT;WEIGHT_BASIS=PROCESSED_SOURCE_UNIT_WEIGHT;LINE_WEIGHT_KG=1.35;SOURCE_CFG=IA-ST-CFG-0261;SRC_REF=Row 470, Slot 9;SRC_FILE=Mamul Ambalaj Bileşen Listesi-30.07.2026(3).xlsx</t>
        </is>
      </c>
    </row>
    <row r="1498">
      <c r="A1498" s="19" t="inlineStr">
        <is>
          <t>1497</t>
        </is>
      </c>
      <c r="B1498" s="19" t="inlineStr">
        <is>
          <t>218</t>
        </is>
      </c>
      <c r="C1498" s="19" t="inlineStr">
        <is>
          <t>99</t>
        </is>
      </c>
      <c r="D1498" t="n">
        <v>88</v>
      </c>
      <c r="E1498" s="19" t="inlineStr">
        <is>
          <t>18</t>
        </is>
      </c>
      <c r="F1498" t="n">
        <v>7</v>
      </c>
      <c r="G1498" t="b">
        <v>0</v>
      </c>
      <c r="H1498" t="inlineStr">
        <is>
          <t>UOM=ADT;WEIGHT_BASIS=PROCESSED_SOURCE_UNIT_WEIGHT;LINE_WEIGHT_KG=21.119999999999997;SOURCE_CFG=IA-ST-CFG-0261;SRC_REF=Row 470, Slot 10;SRC_FILE=Mamul Ambalaj Bileşen Listesi-30.07.2026(3).xlsx</t>
        </is>
      </c>
    </row>
    <row r="1499">
      <c r="A1499" s="19" t="inlineStr">
        <is>
          <t>1498</t>
        </is>
      </c>
      <c r="B1499" s="19" t="inlineStr">
        <is>
          <t>219</t>
        </is>
      </c>
      <c r="C1499" s="19" t="inlineStr">
        <is>
          <t>13</t>
        </is>
      </c>
      <c r="D1499" t="n">
        <v>7</v>
      </c>
      <c r="E1499" s="19" t="inlineStr">
        <is>
          <t>18</t>
        </is>
      </c>
      <c r="F1499" t="n">
        <v>1</v>
      </c>
      <c r="G1499" t="b">
        <v>0</v>
      </c>
      <c r="H1499" t="inlineStr">
        <is>
          <t>UOM=M;WEIGHT_BASIS=PROCESSED_SOURCE_UNIT_WEIGHT;LINE_WEIGHT_KG=0.0868;SOURCE_CFG=IA-ST-CFG-0262;SRC_REF=Row 1103, Slot 1;SRC_FILE=Mamul Ambalaj Bileşen Listesi-30.07.2026(3).xlsx</t>
        </is>
      </c>
    </row>
    <row r="1500">
      <c r="A1500" s="19" t="inlineStr">
        <is>
          <t>1499</t>
        </is>
      </c>
      <c r="B1500" s="19" t="inlineStr">
        <is>
          <t>219</t>
        </is>
      </c>
      <c r="C1500" s="19" t="inlineStr">
        <is>
          <t>5</t>
        </is>
      </c>
      <c r="D1500" t="n">
        <v>1</v>
      </c>
      <c r="E1500" s="19" t="inlineStr">
        <is>
          <t>18</t>
        </is>
      </c>
      <c r="F1500" t="n">
        <v>2</v>
      </c>
      <c r="G1500" t="b">
        <v>0</v>
      </c>
      <c r="H1500" t="inlineStr">
        <is>
          <t>UOM=ADT;WEIGHT_BASIS=PROCESSED_SOURCE_UNIT_WEIGHT;LINE_WEIGHT_KG=26.0;SOURCE_CFG=IA-ST-CFG-0262;SRC_REF=Row 1103, Slot 3;SRC_FILE=Mamul Ambalaj Bileşen Listesi-30.07.2026(3).xlsx</t>
        </is>
      </c>
    </row>
    <row r="1501">
      <c r="A1501" s="19" t="inlineStr">
        <is>
          <t>1500</t>
        </is>
      </c>
      <c r="B1501" s="19" t="inlineStr">
        <is>
          <t>219</t>
        </is>
      </c>
      <c r="C1501" s="19" t="inlineStr">
        <is>
          <t>8</t>
        </is>
      </c>
      <c r="D1501" t="n">
        <v>20</v>
      </c>
      <c r="E1501" s="19" t="inlineStr">
        <is>
          <t>18</t>
        </is>
      </c>
      <c r="F1501" t="n">
        <v>3</v>
      </c>
      <c r="G1501" t="b">
        <v>0</v>
      </c>
      <c r="H1501" t="inlineStr">
        <is>
          <t>UOM=M;WEIGHT_BASIS=PROCESSED_SOURCE_UNIT_WEIGHT;LINE_WEIGHT_KG=0.3664;SOURCE_CFG=IA-ST-CFG-0262;SRC_REF=Row 1103, Slot 5;SRC_FILE=Mamul Ambalaj Bileşen Listesi-30.07.2026(3).xlsx</t>
        </is>
      </c>
    </row>
    <row r="1502">
      <c r="A1502" s="19" t="inlineStr">
        <is>
          <t>1501</t>
        </is>
      </c>
      <c r="B1502" s="19" t="inlineStr">
        <is>
          <t>219</t>
        </is>
      </c>
      <c r="C1502" s="19" t="inlineStr">
        <is>
          <t>9</t>
        </is>
      </c>
      <c r="D1502" t="n">
        <v>0.186</v>
      </c>
      <c r="E1502" s="19" t="inlineStr">
        <is>
          <t>18</t>
        </is>
      </c>
      <c r="F1502" t="n">
        <v>4</v>
      </c>
      <c r="G1502" t="b">
        <v>0</v>
      </c>
      <c r="H1502" t="inlineStr">
        <is>
          <t>UOM=KG;WEIGHT_BASIS=RECIPE_QUANTITY_IS_KG;LINE_WEIGHT_KG=0.186;SOURCE_CFG=IA-ST-CFG-0262;SRC_REF=Row 1103, Slot 6;SRC_FILE=Mamul Ambalaj Bileşen Listesi-30.07.2026(3).xlsx</t>
        </is>
      </c>
    </row>
    <row r="1503">
      <c r="A1503" s="19" t="inlineStr">
        <is>
          <t>1502</t>
        </is>
      </c>
      <c r="B1503" s="19" t="inlineStr">
        <is>
          <t>219</t>
        </is>
      </c>
      <c r="C1503" s="19" t="inlineStr">
        <is>
          <t>20</t>
        </is>
      </c>
      <c r="D1503" t="n">
        <v>2.166</v>
      </c>
      <c r="E1503" s="19" t="inlineStr">
        <is>
          <t>18</t>
        </is>
      </c>
      <c r="F1503" t="n">
        <v>5</v>
      </c>
      <c r="G1503" t="b">
        <v>0</v>
      </c>
      <c r="H1503" t="inlineStr">
        <is>
          <t>UOM=KG;WEIGHT_BASIS=RECIPE_QUANTITY_IS_KG;LINE_WEIGHT_KG=2.166;SOURCE_CFG=IA-ST-CFG-0262;SRC_REF=Row 1103, Slot 7;SRC_FILE=Mamul Ambalaj Bileşen Listesi-30.07.2026(3).xlsx</t>
        </is>
      </c>
    </row>
    <row r="1504">
      <c r="A1504" s="19" t="inlineStr">
        <is>
          <t>1503</t>
        </is>
      </c>
      <c r="B1504" s="19" t="inlineStr">
        <is>
          <t>219</t>
        </is>
      </c>
      <c r="C1504" s="19" t="inlineStr">
        <is>
          <t>7</t>
        </is>
      </c>
      <c r="D1504" t="n">
        <v>4</v>
      </c>
      <c r="E1504" s="19" t="inlineStr">
        <is>
          <t>18</t>
        </is>
      </c>
      <c r="F1504" t="n">
        <v>6</v>
      </c>
      <c r="G1504" t="b">
        <v>0</v>
      </c>
      <c r="H1504" t="inlineStr">
        <is>
          <t>UOM=ADT;WEIGHT_BASIS=PROCESSED_SOURCE_UNIT_WEIGHT;LINE_WEIGHT_KG=1.08;SOURCE_CFG=IA-ST-CFG-0262;SRC_REF=Row 1103, Slot 8;SRC_FILE=Mamul Ambalaj Bileşen Listesi-30.07.2026(3).xlsx</t>
        </is>
      </c>
    </row>
    <row r="1505">
      <c r="A1505" s="19" t="inlineStr">
        <is>
          <t>1504</t>
        </is>
      </c>
      <c r="B1505" s="19" t="inlineStr">
        <is>
          <t>219</t>
        </is>
      </c>
      <c r="C1505" s="19" t="inlineStr">
        <is>
          <t>25</t>
        </is>
      </c>
      <c r="D1505" t="n">
        <v>2</v>
      </c>
      <c r="E1505" s="19" t="inlineStr">
        <is>
          <t>18</t>
        </is>
      </c>
      <c r="F1505" t="n">
        <v>7</v>
      </c>
      <c r="G1505" t="b">
        <v>0</v>
      </c>
      <c r="H1505" t="inlineStr">
        <is>
          <t>UOM=ADT;WEIGHT_BASIS=PROCESSED_SOURCE_UNIT_WEIGHT;LINE_WEIGHT_KG=0.2;SOURCE_CFG=IA-ST-CFG-0262;SRC_REF=Row 1103, Slot 9;SRC_FILE=Mamul Ambalaj Bileşen Listesi-30.07.2026(3).xlsx</t>
        </is>
      </c>
    </row>
    <row r="1506">
      <c r="A1506" s="19" t="inlineStr">
        <is>
          <t>1505</t>
        </is>
      </c>
      <c r="B1506" s="19" t="inlineStr">
        <is>
          <t>220</t>
        </is>
      </c>
      <c r="C1506" s="19" t="inlineStr">
        <is>
          <t>11</t>
        </is>
      </c>
      <c r="D1506" t="n">
        <v>3</v>
      </c>
      <c r="E1506" s="19" t="inlineStr">
        <is>
          <t>18</t>
        </is>
      </c>
      <c r="F1506" t="n">
        <v>1</v>
      </c>
      <c r="G1506" t="b">
        <v>0</v>
      </c>
      <c r="H1506" t="inlineStr">
        <is>
          <t>UOM=ADT;WEIGHT_BASIS=PROCESSED_SOURCE_UNIT_WEIGHT;LINE_WEIGHT_KG=0.312;SOURCE_CFG=IA-ST-CFG-0263;SRC_REF=Row 988, Slot 1;SRC_FILE=Mamul Ambalaj Bileşen Listesi-30.07.2026(3).xlsx</t>
        </is>
      </c>
    </row>
    <row r="1507">
      <c r="A1507" s="19" t="inlineStr">
        <is>
          <t>1506</t>
        </is>
      </c>
      <c r="B1507" s="19" t="inlineStr">
        <is>
          <t>220</t>
        </is>
      </c>
      <c r="C1507" s="19" t="inlineStr">
        <is>
          <t>13</t>
        </is>
      </c>
      <c r="D1507" t="n">
        <v>14</v>
      </c>
      <c r="E1507" s="19" t="inlineStr">
        <is>
          <t>18</t>
        </is>
      </c>
      <c r="F1507" t="n">
        <v>2</v>
      </c>
      <c r="G1507" t="b">
        <v>0</v>
      </c>
      <c r="H1507" t="inlineStr">
        <is>
          <t>UOM=M;WEIGHT_BASIS=PROCESSED_SOURCE_UNIT_WEIGHT;LINE_WEIGHT_KG=0.1736;SOURCE_CFG=IA-ST-CFG-0263;SRC_REF=Row 988, Slot 2;SRC_FILE=Mamul Ambalaj Bileşen Listesi-30.07.2026(3).xlsx</t>
        </is>
      </c>
    </row>
    <row r="1508">
      <c r="A1508" s="19" t="inlineStr">
        <is>
          <t>1507</t>
        </is>
      </c>
      <c r="B1508" s="19" t="inlineStr">
        <is>
          <t>220</t>
        </is>
      </c>
      <c r="C1508" s="19" t="inlineStr">
        <is>
          <t>5</t>
        </is>
      </c>
      <c r="D1508" t="n">
        <v>1</v>
      </c>
      <c r="E1508" s="19" t="inlineStr">
        <is>
          <t>18</t>
        </is>
      </c>
      <c r="F1508" t="n">
        <v>3</v>
      </c>
      <c r="G1508" t="b">
        <v>0</v>
      </c>
      <c r="H1508" t="inlineStr">
        <is>
          <t>UOM=ADT;WEIGHT_BASIS=PROCESSED_SOURCE_UNIT_WEIGHT;LINE_WEIGHT_KG=26.0;SOURCE_CFG=IA-ST-CFG-0263;SRC_REF=Row 988, Slot 3;SRC_FILE=Mamul Ambalaj Bileşen Listesi-30.07.2026(3).xlsx</t>
        </is>
      </c>
    </row>
    <row r="1509">
      <c r="A1509" s="19" t="inlineStr">
        <is>
          <t>1508</t>
        </is>
      </c>
      <c r="B1509" s="19" t="inlineStr">
        <is>
          <t>220</t>
        </is>
      </c>
      <c r="C1509" s="19" t="inlineStr">
        <is>
          <t>8</t>
        </is>
      </c>
      <c r="D1509" t="n">
        <v>20</v>
      </c>
      <c r="E1509" s="19" t="inlineStr">
        <is>
          <t>18</t>
        </is>
      </c>
      <c r="F1509" t="n">
        <v>4</v>
      </c>
      <c r="G1509" t="b">
        <v>0</v>
      </c>
      <c r="H1509" t="inlineStr">
        <is>
          <t>UOM=M;WEIGHT_BASIS=PROCESSED_SOURCE_UNIT_WEIGHT;LINE_WEIGHT_KG=0.3664;SOURCE_CFG=IA-ST-CFG-0263;SRC_REF=Row 988, Slot 5;SRC_FILE=Mamul Ambalaj Bileşen Listesi-30.07.2026(3).xlsx</t>
        </is>
      </c>
    </row>
    <row r="1510">
      <c r="A1510" s="19" t="inlineStr">
        <is>
          <t>1509</t>
        </is>
      </c>
      <c r="B1510" s="19" t="inlineStr">
        <is>
          <t>220</t>
        </is>
      </c>
      <c r="C1510" s="19" t="inlineStr">
        <is>
          <t>55</t>
        </is>
      </c>
      <c r="D1510" t="n">
        <v>0.597</v>
      </c>
      <c r="E1510" s="19" t="inlineStr">
        <is>
          <t>18</t>
        </is>
      </c>
      <c r="F1510" t="n">
        <v>5</v>
      </c>
      <c r="G1510" t="b">
        <v>0</v>
      </c>
      <c r="H1510" t="inlineStr">
        <is>
          <t>UOM=KG;WEIGHT_BASIS=RECIPE_QUANTITY_IS_KG;LINE_WEIGHT_KG=0.597;SOURCE_CFG=IA-ST-CFG-0263;SRC_REF=Row 988, Slot 6;SRC_FILE=Mamul Ambalaj Bileşen Listesi-30.07.2026(3).xlsx</t>
        </is>
      </c>
    </row>
    <row r="1511">
      <c r="A1511" s="19" t="inlineStr">
        <is>
          <t>1510</t>
        </is>
      </c>
      <c r="B1511" s="19" t="inlineStr">
        <is>
          <t>220</t>
        </is>
      </c>
      <c r="C1511" s="19" t="inlineStr">
        <is>
          <t>7</t>
        </is>
      </c>
      <c r="D1511" t="n">
        <v>4</v>
      </c>
      <c r="E1511" s="19" t="inlineStr">
        <is>
          <t>18</t>
        </is>
      </c>
      <c r="F1511" t="n">
        <v>6</v>
      </c>
      <c r="G1511" t="b">
        <v>0</v>
      </c>
      <c r="H1511" t="inlineStr">
        <is>
          <t>UOM=ADT;WEIGHT_BASIS=PROCESSED_SOURCE_UNIT_WEIGHT;LINE_WEIGHT_KG=1.08;SOURCE_CFG=IA-ST-CFG-0263;SRC_REF=Row 988, Slot 8;SRC_FILE=Mamul Ambalaj Bileşen Listesi-30.07.2026(3).xlsx</t>
        </is>
      </c>
    </row>
    <row r="1512">
      <c r="A1512" s="19" t="inlineStr">
        <is>
          <t>1511</t>
        </is>
      </c>
      <c r="B1512" s="19" t="inlineStr">
        <is>
          <t>220</t>
        </is>
      </c>
      <c r="C1512" s="19" t="inlineStr">
        <is>
          <t>54</t>
        </is>
      </c>
      <c r="D1512" t="n">
        <v>4</v>
      </c>
      <c r="E1512" s="19" t="inlineStr">
        <is>
          <t>18</t>
        </is>
      </c>
      <c r="F1512" t="n">
        <v>7</v>
      </c>
      <c r="G1512" t="b">
        <v>0</v>
      </c>
      <c r="H1512" t="inlineStr">
        <is>
          <t>UOM=ADT;WEIGHT_BASIS=PROCESSED_SOURCE_UNIT_WEIGHT;LINE_WEIGHT_KG=0.12;SOURCE_CFG=IA-ST-CFG-0263;SRC_REF=Row 988, Slot 9;SRC_FILE=Mamul Ambalaj Bileşen Listesi-30.07.2026(3).xlsx</t>
        </is>
      </c>
    </row>
    <row r="1513">
      <c r="A1513" s="19" t="inlineStr">
        <is>
          <t>1512</t>
        </is>
      </c>
      <c r="B1513" s="19" t="inlineStr">
        <is>
          <t>221</t>
        </is>
      </c>
      <c r="C1513" s="19" t="inlineStr">
        <is>
          <t>13</t>
        </is>
      </c>
      <c r="D1513" t="n">
        <v>7</v>
      </c>
      <c r="E1513" s="19" t="inlineStr">
        <is>
          <t>18</t>
        </is>
      </c>
      <c r="F1513" t="n">
        <v>1</v>
      </c>
      <c r="G1513" t="b">
        <v>0</v>
      </c>
      <c r="H1513" t="inlineStr">
        <is>
          <t>UOM=M;WEIGHT_BASIS=PROCESSED_SOURCE_UNIT_WEIGHT;LINE_WEIGHT_KG=0.0868;SOURCE_CFG=IA-ST-CFG-0264;SRC_REF=Row 319, Slot 1;SRC_FILE=Mamul Ambalaj Bileşen Listesi-30.07.2026(3).xlsx</t>
        </is>
      </c>
    </row>
    <row r="1514">
      <c r="A1514" s="19" t="inlineStr">
        <is>
          <t>1513</t>
        </is>
      </c>
      <c r="B1514" s="19" t="inlineStr">
        <is>
          <t>221</t>
        </is>
      </c>
      <c r="C1514" s="19" t="inlineStr">
        <is>
          <t>6</t>
        </is>
      </c>
      <c r="D1514" t="n">
        <v>1</v>
      </c>
      <c r="E1514" s="19" t="inlineStr">
        <is>
          <t>18</t>
        </is>
      </c>
      <c r="F1514" t="n">
        <v>2</v>
      </c>
      <c r="G1514" t="b">
        <v>0</v>
      </c>
      <c r="H1514" t="inlineStr">
        <is>
          <t>UOM=ADT;WEIGHT_BASIS=PROCESSED_SOURCE_UNIT_WEIGHT;LINE_WEIGHT_KG=26.0;SOURCE_CFG=IA-ST-CFG-0264;SRC_REF=Row 319, Slot 3;SRC_FILE=Mamul Ambalaj Bileşen Listesi-30.07.2026(3).xlsx</t>
        </is>
      </c>
    </row>
    <row r="1515">
      <c r="A1515" s="19" t="inlineStr">
        <is>
          <t>1514</t>
        </is>
      </c>
      <c r="B1515" s="19" t="inlineStr">
        <is>
          <t>221</t>
        </is>
      </c>
      <c r="C1515" s="19" t="inlineStr">
        <is>
          <t>8</t>
        </is>
      </c>
      <c r="D1515" t="n">
        <v>20</v>
      </c>
      <c r="E1515" s="19" t="inlineStr">
        <is>
          <t>18</t>
        </is>
      </c>
      <c r="F1515" t="n">
        <v>3</v>
      </c>
      <c r="G1515" t="b">
        <v>0</v>
      </c>
      <c r="H1515" t="inlineStr">
        <is>
          <t>UOM=M;WEIGHT_BASIS=PROCESSED_SOURCE_UNIT_WEIGHT;LINE_WEIGHT_KG=0.3664;SOURCE_CFG=IA-ST-CFG-0264;SRC_REF=Row 319, Slot 5;SRC_FILE=Mamul Ambalaj Bileşen Listesi-30.07.2026(3).xlsx</t>
        </is>
      </c>
    </row>
    <row r="1516">
      <c r="A1516" s="19" t="inlineStr">
        <is>
          <t>1515</t>
        </is>
      </c>
      <c r="B1516" s="19" t="inlineStr">
        <is>
          <t>221</t>
        </is>
      </c>
      <c r="C1516" s="19" t="inlineStr">
        <is>
          <t>9</t>
        </is>
      </c>
      <c r="D1516" t="n">
        <v>0.186</v>
      </c>
      <c r="E1516" s="19" t="inlineStr">
        <is>
          <t>18</t>
        </is>
      </c>
      <c r="F1516" t="n">
        <v>4</v>
      </c>
      <c r="G1516" t="b">
        <v>0</v>
      </c>
      <c r="H1516" t="inlineStr">
        <is>
          <t>UOM=KG;WEIGHT_BASIS=RECIPE_QUANTITY_IS_KG;LINE_WEIGHT_KG=0.186;SOURCE_CFG=IA-ST-CFG-0264;SRC_REF=Row 319, Slot 6;SRC_FILE=Mamul Ambalaj Bileşen Listesi-30.07.2026(3).xlsx</t>
        </is>
      </c>
    </row>
    <row r="1517">
      <c r="A1517" s="19" t="inlineStr">
        <is>
          <t>1516</t>
        </is>
      </c>
      <c r="B1517" s="19" t="inlineStr">
        <is>
          <t>221</t>
        </is>
      </c>
      <c r="C1517" s="19" t="inlineStr">
        <is>
          <t>21</t>
        </is>
      </c>
      <c r="D1517" t="n">
        <v>2.594</v>
      </c>
      <c r="E1517" s="19" t="inlineStr">
        <is>
          <t>18</t>
        </is>
      </c>
      <c r="F1517" t="n">
        <v>5</v>
      </c>
      <c r="G1517" t="b">
        <v>0</v>
      </c>
      <c r="H1517" t="inlineStr">
        <is>
          <t>UOM=KG;WEIGHT_BASIS=RECIPE_QUANTITY_IS_KG;LINE_WEIGHT_KG=2.594;SOURCE_CFG=IA-ST-CFG-0264;SRC_REF=Row 319, Slot 7;SRC_FILE=Mamul Ambalaj Bileşen Listesi-30.07.2026(3).xlsx</t>
        </is>
      </c>
    </row>
    <row r="1518">
      <c r="A1518" s="19" t="inlineStr">
        <is>
          <t>1517</t>
        </is>
      </c>
      <c r="B1518" s="19" t="inlineStr">
        <is>
          <t>221</t>
        </is>
      </c>
      <c r="C1518" s="19" t="inlineStr">
        <is>
          <t>3</t>
        </is>
      </c>
      <c r="D1518" t="n">
        <v>2</v>
      </c>
      <c r="E1518" s="19" t="inlineStr">
        <is>
          <t>18</t>
        </is>
      </c>
      <c r="F1518" t="n">
        <v>6</v>
      </c>
      <c r="G1518" t="b">
        <v>0</v>
      </c>
      <c r="H1518" t="inlineStr">
        <is>
          <t>UOM=ADT;WEIGHT_BASIS=PROCESSED_SOURCE_UNIT_WEIGHT;LINE_WEIGHT_KG=0.42;SOURCE_CFG=IA-ST-CFG-0264;SRC_REF=Row 319, Slot 8;SRC_FILE=Mamul Ambalaj Bileşen Listesi-30.07.2026(3).xlsx</t>
        </is>
      </c>
    </row>
    <row r="1519">
      <c r="A1519" s="19" t="inlineStr">
        <is>
          <t>1518</t>
        </is>
      </c>
      <c r="B1519" s="19" t="inlineStr">
        <is>
          <t>221</t>
        </is>
      </c>
      <c r="C1519" s="19" t="inlineStr">
        <is>
          <t>30</t>
        </is>
      </c>
      <c r="D1519" t="n">
        <v>5</v>
      </c>
      <c r="E1519" s="19" t="inlineStr">
        <is>
          <t>18</t>
        </is>
      </c>
      <c r="F1519" t="n">
        <v>7</v>
      </c>
      <c r="G1519" t="b">
        <v>0</v>
      </c>
      <c r="H1519" t="inlineStr">
        <is>
          <t>UOM=ADT;WEIGHT_BASIS=PROCESSED_SOURCE_UNIT_WEIGHT;LINE_WEIGHT_KG=1.0;SOURCE_CFG=IA-ST-CFG-0264;SRC_REF=Row 319, Slot 9;SRC_FILE=Mamul Ambalaj Bileşen Listesi-30.07.2026(3).xlsx</t>
        </is>
      </c>
    </row>
    <row r="1520">
      <c r="A1520" s="19" t="inlineStr">
        <is>
          <t>1519</t>
        </is>
      </c>
      <c r="B1520" s="19" t="inlineStr">
        <is>
          <t>222</t>
        </is>
      </c>
      <c r="C1520" s="19" t="inlineStr">
        <is>
          <t>13</t>
        </is>
      </c>
      <c r="D1520" t="n">
        <v>7</v>
      </c>
      <c r="E1520" s="19" t="inlineStr">
        <is>
          <t>18</t>
        </is>
      </c>
      <c r="F1520" t="n">
        <v>1</v>
      </c>
      <c r="G1520" t="b">
        <v>0</v>
      </c>
      <c r="H1520" t="inlineStr">
        <is>
          <t>UOM=M;WEIGHT_BASIS=PROCESSED_SOURCE_UNIT_WEIGHT;LINE_WEIGHT_KG=0.0868;SOURCE_CFG=IA-ST-CFG-0265;SRC_REF=Row 722, Slot 1;SRC_FILE=Mamul Ambalaj Bileşen Listesi-30.07.2026(3).xlsx</t>
        </is>
      </c>
    </row>
    <row r="1521">
      <c r="A1521" s="19" t="inlineStr">
        <is>
          <t>1520</t>
        </is>
      </c>
      <c r="B1521" s="19" t="inlineStr">
        <is>
          <t>222</t>
        </is>
      </c>
      <c r="C1521" s="19" t="inlineStr">
        <is>
          <t>6</t>
        </is>
      </c>
      <c r="D1521" t="n">
        <v>1</v>
      </c>
      <c r="E1521" s="19" t="inlineStr">
        <is>
          <t>18</t>
        </is>
      </c>
      <c r="F1521" t="n">
        <v>2</v>
      </c>
      <c r="G1521" t="b">
        <v>0</v>
      </c>
      <c r="H1521" t="inlineStr">
        <is>
          <t>UOM=ADT;WEIGHT_BASIS=PROCESSED_SOURCE_UNIT_WEIGHT;LINE_WEIGHT_KG=26.0;SOURCE_CFG=IA-ST-CFG-0265;SRC_REF=Row 722, Slot 3;SRC_FILE=Mamul Ambalaj Bileşen Listesi-30.07.2026(3).xlsx</t>
        </is>
      </c>
    </row>
    <row r="1522">
      <c r="A1522" s="19" t="inlineStr">
        <is>
          <t>1521</t>
        </is>
      </c>
      <c r="B1522" s="19" t="inlineStr">
        <is>
          <t>222</t>
        </is>
      </c>
      <c r="C1522" s="19" t="inlineStr">
        <is>
          <t>8</t>
        </is>
      </c>
      <c r="D1522" t="n">
        <v>20</v>
      </c>
      <c r="E1522" s="19" t="inlineStr">
        <is>
          <t>18</t>
        </is>
      </c>
      <c r="F1522" t="n">
        <v>3</v>
      </c>
      <c r="G1522" t="b">
        <v>0</v>
      </c>
      <c r="H1522" t="inlineStr">
        <is>
          <t>UOM=M;WEIGHT_BASIS=PROCESSED_SOURCE_UNIT_WEIGHT;LINE_WEIGHT_KG=0.3664;SOURCE_CFG=IA-ST-CFG-0265;SRC_REF=Row 722, Slot 5;SRC_FILE=Mamul Ambalaj Bileşen Listesi-30.07.2026(3).xlsx</t>
        </is>
      </c>
    </row>
    <row r="1523">
      <c r="A1523" s="19" t="inlineStr">
        <is>
          <t>1522</t>
        </is>
      </c>
      <c r="B1523" s="19" t="inlineStr">
        <is>
          <t>222</t>
        </is>
      </c>
      <c r="C1523" s="19" t="inlineStr">
        <is>
          <t>9</t>
        </is>
      </c>
      <c r="D1523" t="n">
        <v>0.186</v>
      </c>
      <c r="E1523" s="19" t="inlineStr">
        <is>
          <t>18</t>
        </is>
      </c>
      <c r="F1523" t="n">
        <v>4</v>
      </c>
      <c r="G1523" t="b">
        <v>0</v>
      </c>
      <c r="H1523" t="inlineStr">
        <is>
          <t>UOM=KG;WEIGHT_BASIS=RECIPE_QUANTITY_IS_KG;LINE_WEIGHT_KG=0.186;SOURCE_CFG=IA-ST-CFG-0265;SRC_REF=Row 722, Slot 6;SRC_FILE=Mamul Ambalaj Bileşen Listesi-30.07.2026(3).xlsx</t>
        </is>
      </c>
    </row>
    <row r="1524">
      <c r="A1524" s="19" t="inlineStr">
        <is>
          <t>1523</t>
        </is>
      </c>
      <c r="B1524" s="19" t="inlineStr">
        <is>
          <t>222</t>
        </is>
      </c>
      <c r="C1524" s="19" t="inlineStr">
        <is>
          <t>21</t>
        </is>
      </c>
      <c r="D1524" t="n">
        <v>3.167</v>
      </c>
      <c r="E1524" s="19" t="inlineStr">
        <is>
          <t>18</t>
        </is>
      </c>
      <c r="F1524" t="n">
        <v>5</v>
      </c>
      <c r="G1524" t="b">
        <v>0</v>
      </c>
      <c r="H1524" t="inlineStr">
        <is>
          <t>UOM=KG;WEIGHT_BASIS=RECIPE_QUANTITY_IS_KG;LINE_WEIGHT_KG=3.167;SOURCE_CFG=IA-ST-CFG-0265;SRC_REF=Row 722, Slot 7;SRC_FILE=Mamul Ambalaj Bileşen Listesi-30.07.2026(3).xlsx</t>
        </is>
      </c>
    </row>
    <row r="1525">
      <c r="A1525" s="19" t="inlineStr">
        <is>
          <t>1524</t>
        </is>
      </c>
      <c r="B1525" s="19" t="inlineStr">
        <is>
          <t>222</t>
        </is>
      </c>
      <c r="C1525" s="19" t="inlineStr">
        <is>
          <t>3</t>
        </is>
      </c>
      <c r="D1525" t="n">
        <v>2</v>
      </c>
      <c r="E1525" s="19" t="inlineStr">
        <is>
          <t>18</t>
        </is>
      </c>
      <c r="F1525" t="n">
        <v>6</v>
      </c>
      <c r="G1525" t="b">
        <v>0</v>
      </c>
      <c r="H1525" t="inlineStr">
        <is>
          <t>UOM=ADT;WEIGHT_BASIS=PROCESSED_SOURCE_UNIT_WEIGHT;LINE_WEIGHT_KG=0.42;SOURCE_CFG=IA-ST-CFG-0265;SRC_REF=Row 722, Slot 8;SRC_FILE=Mamul Ambalaj Bileşen Listesi-30.07.2026(3).xlsx</t>
        </is>
      </c>
    </row>
    <row r="1526">
      <c r="A1526" s="19" t="inlineStr">
        <is>
          <t>1525</t>
        </is>
      </c>
      <c r="B1526" s="19" t="inlineStr">
        <is>
          <t>222</t>
        </is>
      </c>
      <c r="C1526" s="19" t="inlineStr">
        <is>
          <t>30</t>
        </is>
      </c>
      <c r="D1526" t="n">
        <v>4</v>
      </c>
      <c r="E1526" s="19" t="inlineStr">
        <is>
          <t>18</t>
        </is>
      </c>
      <c r="F1526" t="n">
        <v>7</v>
      </c>
      <c r="G1526" t="b">
        <v>0</v>
      </c>
      <c r="H1526" t="inlineStr">
        <is>
          <t>UOM=ADT;WEIGHT_BASIS=PROCESSED_SOURCE_UNIT_WEIGHT;LINE_WEIGHT_KG=0.8;SOURCE_CFG=IA-ST-CFG-0265;SRC_REF=Row 722, Slot 9;SRC_FILE=Mamul Ambalaj Bileşen Listesi-30.07.2026(3).xlsx</t>
        </is>
      </c>
    </row>
    <row r="1527">
      <c r="A1527" s="19" t="inlineStr">
        <is>
          <t>1526</t>
        </is>
      </c>
      <c r="B1527" s="19" t="inlineStr">
        <is>
          <t>223</t>
        </is>
      </c>
      <c r="C1527" s="19" t="inlineStr">
        <is>
          <t>13</t>
        </is>
      </c>
      <c r="D1527" t="n">
        <v>7</v>
      </c>
      <c r="E1527" s="19" t="inlineStr">
        <is>
          <t>18</t>
        </is>
      </c>
      <c r="F1527" t="n">
        <v>1</v>
      </c>
      <c r="G1527" t="b">
        <v>0</v>
      </c>
      <c r="H1527" t="inlineStr">
        <is>
          <t>UOM=M;WEIGHT_BASIS=PROCESSED_SOURCE_UNIT_WEIGHT;LINE_WEIGHT_KG=0.0868;SOURCE_CFG=IA-ST-CFG-0266;SRC_REF=Row 838, Slot 1;SRC_FILE=Mamul Ambalaj Bileşen Listesi-30.07.2026(3).xlsx</t>
        </is>
      </c>
    </row>
    <row r="1528">
      <c r="A1528" s="19" t="inlineStr">
        <is>
          <t>1527</t>
        </is>
      </c>
      <c r="B1528" s="19" t="inlineStr">
        <is>
          <t>223</t>
        </is>
      </c>
      <c r="C1528" s="19" t="inlineStr">
        <is>
          <t>6</t>
        </is>
      </c>
      <c r="D1528" t="n">
        <v>1</v>
      </c>
      <c r="E1528" s="19" t="inlineStr">
        <is>
          <t>18</t>
        </is>
      </c>
      <c r="F1528" t="n">
        <v>2</v>
      </c>
      <c r="G1528" t="b">
        <v>0</v>
      </c>
      <c r="H1528" t="inlineStr">
        <is>
          <t>UOM=ADT;WEIGHT_BASIS=PROCESSED_SOURCE_UNIT_WEIGHT;LINE_WEIGHT_KG=26.0;SOURCE_CFG=IA-ST-CFG-0266;SRC_REF=Row 838, Slot 3;SRC_FILE=Mamul Ambalaj Bileşen Listesi-30.07.2026(3).xlsx</t>
        </is>
      </c>
    </row>
    <row r="1529">
      <c r="A1529" s="19" t="inlineStr">
        <is>
          <t>1528</t>
        </is>
      </c>
      <c r="B1529" s="19" t="inlineStr">
        <is>
          <t>223</t>
        </is>
      </c>
      <c r="C1529" s="19" t="inlineStr">
        <is>
          <t>8</t>
        </is>
      </c>
      <c r="D1529" t="n">
        <v>20</v>
      </c>
      <c r="E1529" s="19" t="inlineStr">
        <is>
          <t>18</t>
        </is>
      </c>
      <c r="F1529" t="n">
        <v>3</v>
      </c>
      <c r="G1529" t="b">
        <v>0</v>
      </c>
      <c r="H1529" t="inlineStr">
        <is>
          <t>UOM=M;WEIGHT_BASIS=PROCESSED_SOURCE_UNIT_WEIGHT;LINE_WEIGHT_KG=0.3664;SOURCE_CFG=IA-ST-CFG-0266;SRC_REF=Row 838, Slot 5;SRC_FILE=Mamul Ambalaj Bileşen Listesi-30.07.2026(3).xlsx</t>
        </is>
      </c>
    </row>
    <row r="1530">
      <c r="A1530" s="19" t="inlineStr">
        <is>
          <t>1529</t>
        </is>
      </c>
      <c r="B1530" s="19" t="inlineStr">
        <is>
          <t>223</t>
        </is>
      </c>
      <c r="C1530" s="19" t="inlineStr">
        <is>
          <t>9</t>
        </is>
      </c>
      <c r="D1530" t="n">
        <v>0.186</v>
      </c>
      <c r="E1530" s="19" t="inlineStr">
        <is>
          <t>18</t>
        </is>
      </c>
      <c r="F1530" t="n">
        <v>4</v>
      </c>
      <c r="G1530" t="b">
        <v>0</v>
      </c>
      <c r="H1530" t="inlineStr">
        <is>
          <t>UOM=KG;WEIGHT_BASIS=RECIPE_QUANTITY_IS_KG;LINE_WEIGHT_KG=0.186;SOURCE_CFG=IA-ST-CFG-0266;SRC_REF=Row 838, Slot 6;SRC_FILE=Mamul Ambalaj Bileşen Listesi-30.07.2026(3).xlsx</t>
        </is>
      </c>
    </row>
    <row r="1531">
      <c r="A1531" s="19" t="inlineStr">
        <is>
          <t>1530</t>
        </is>
      </c>
      <c r="B1531" s="19" t="inlineStr">
        <is>
          <t>223</t>
        </is>
      </c>
      <c r="C1531" s="19" t="inlineStr">
        <is>
          <t>21</t>
        </is>
      </c>
      <c r="D1531" t="n">
        <v>3.167</v>
      </c>
      <c r="E1531" s="19" t="inlineStr">
        <is>
          <t>18</t>
        </is>
      </c>
      <c r="F1531" t="n">
        <v>5</v>
      </c>
      <c r="G1531" t="b">
        <v>0</v>
      </c>
      <c r="H1531" t="inlineStr">
        <is>
          <t>UOM=KG;WEIGHT_BASIS=RECIPE_QUANTITY_IS_KG;LINE_WEIGHT_KG=3.167;SOURCE_CFG=IA-ST-CFG-0266;SRC_REF=Row 838, Slot 7;SRC_FILE=Mamul Ambalaj Bileşen Listesi-30.07.2026(3).xlsx</t>
        </is>
      </c>
    </row>
    <row r="1532">
      <c r="A1532" s="19" t="inlineStr">
        <is>
          <t>1531</t>
        </is>
      </c>
      <c r="B1532" s="19" t="inlineStr">
        <is>
          <t>223</t>
        </is>
      </c>
      <c r="C1532" s="19" t="inlineStr">
        <is>
          <t>3</t>
        </is>
      </c>
      <c r="D1532" t="n">
        <v>2</v>
      </c>
      <c r="E1532" s="19" t="inlineStr">
        <is>
          <t>18</t>
        </is>
      </c>
      <c r="F1532" t="n">
        <v>6</v>
      </c>
      <c r="G1532" t="b">
        <v>0</v>
      </c>
      <c r="H1532" t="inlineStr">
        <is>
          <t>UOM=ADT;WEIGHT_BASIS=PROCESSED_SOURCE_UNIT_WEIGHT;LINE_WEIGHT_KG=0.42;SOURCE_CFG=IA-ST-CFG-0266;SRC_REF=Row 838, Slot 8;SRC_FILE=Mamul Ambalaj Bileşen Listesi-30.07.2026(3).xlsx</t>
        </is>
      </c>
    </row>
    <row r="1533">
      <c r="A1533" s="19" t="inlineStr">
        <is>
          <t>1532</t>
        </is>
      </c>
      <c r="B1533" s="19" t="inlineStr">
        <is>
          <t>223</t>
        </is>
      </c>
      <c r="C1533" s="19" t="inlineStr">
        <is>
          <t>30</t>
        </is>
      </c>
      <c r="D1533" t="n">
        <v>5</v>
      </c>
      <c r="E1533" s="19" t="inlineStr">
        <is>
          <t>18</t>
        </is>
      </c>
      <c r="F1533" t="n">
        <v>7</v>
      </c>
      <c r="G1533" t="b">
        <v>0</v>
      </c>
      <c r="H1533" t="inlineStr">
        <is>
          <t>UOM=ADT;WEIGHT_BASIS=PROCESSED_SOURCE_UNIT_WEIGHT;LINE_WEIGHT_KG=1.0;SOURCE_CFG=IA-ST-CFG-0266;SRC_REF=Row 838, Slot 9;SRC_FILE=Mamul Ambalaj Bileşen Listesi-30.07.2026(3).xlsx</t>
        </is>
      </c>
    </row>
    <row r="1534">
      <c r="A1534" s="19" t="inlineStr">
        <is>
          <t>1533</t>
        </is>
      </c>
      <c r="B1534" s="19" t="inlineStr">
        <is>
          <t>224</t>
        </is>
      </c>
      <c r="C1534" s="19" t="inlineStr">
        <is>
          <t>13</t>
        </is>
      </c>
      <c r="D1534" t="n">
        <v>7</v>
      </c>
      <c r="E1534" s="19" t="inlineStr">
        <is>
          <t>18</t>
        </is>
      </c>
      <c r="F1534" t="n">
        <v>1</v>
      </c>
      <c r="G1534" t="b">
        <v>0</v>
      </c>
      <c r="H1534" t="inlineStr">
        <is>
          <t>UOM=M;WEIGHT_BASIS=PROCESSED_SOURCE_UNIT_WEIGHT;LINE_WEIGHT_KG=0.0868;SOURCE_CFG=IA-ST-CFG-0267;SRC_REF=Row 1425, Slot 1;SRC_FILE=Mamul Ambalaj Bileşen Listesi-30.07.2026(3).xlsx</t>
        </is>
      </c>
    </row>
    <row r="1535">
      <c r="A1535" s="19" t="inlineStr">
        <is>
          <t>1534</t>
        </is>
      </c>
      <c r="B1535" s="19" t="inlineStr">
        <is>
          <t>224</t>
        </is>
      </c>
      <c r="C1535" s="19" t="inlineStr">
        <is>
          <t>6</t>
        </is>
      </c>
      <c r="D1535" t="n">
        <v>1</v>
      </c>
      <c r="E1535" s="19" t="inlineStr">
        <is>
          <t>18</t>
        </is>
      </c>
      <c r="F1535" t="n">
        <v>2</v>
      </c>
      <c r="G1535" t="b">
        <v>0</v>
      </c>
      <c r="H1535" t="inlineStr">
        <is>
          <t>UOM=ADT;WEIGHT_BASIS=PROCESSED_SOURCE_UNIT_WEIGHT;LINE_WEIGHT_KG=26.0;SOURCE_CFG=IA-ST-CFG-0267;SRC_REF=Row 1425, Slot 3;SRC_FILE=Mamul Ambalaj Bileşen Listesi-30.07.2026(3).xlsx</t>
        </is>
      </c>
    </row>
    <row r="1536">
      <c r="A1536" s="19" t="inlineStr">
        <is>
          <t>1535</t>
        </is>
      </c>
      <c r="B1536" s="19" t="inlineStr">
        <is>
          <t>224</t>
        </is>
      </c>
      <c r="C1536" s="19" t="inlineStr">
        <is>
          <t>8</t>
        </is>
      </c>
      <c r="D1536" t="n">
        <v>20</v>
      </c>
      <c r="E1536" s="19" t="inlineStr">
        <is>
          <t>18</t>
        </is>
      </c>
      <c r="F1536" t="n">
        <v>3</v>
      </c>
      <c r="G1536" t="b">
        <v>0</v>
      </c>
      <c r="H1536" t="inlineStr">
        <is>
          <t>UOM=M;WEIGHT_BASIS=PROCESSED_SOURCE_UNIT_WEIGHT;LINE_WEIGHT_KG=0.3664;SOURCE_CFG=IA-ST-CFG-0267;SRC_REF=Row 1425, Slot 5;SRC_FILE=Mamul Ambalaj Bileşen Listesi-30.07.2026(3).xlsx</t>
        </is>
      </c>
    </row>
    <row r="1537">
      <c r="A1537" s="19" t="inlineStr">
        <is>
          <t>1536</t>
        </is>
      </c>
      <c r="B1537" s="19" t="inlineStr">
        <is>
          <t>224</t>
        </is>
      </c>
      <c r="C1537" s="19" t="inlineStr">
        <is>
          <t>9</t>
        </is>
      </c>
      <c r="D1537" t="n">
        <v>0.186</v>
      </c>
      <c r="E1537" s="19" t="inlineStr">
        <is>
          <t>18</t>
        </is>
      </c>
      <c r="F1537" t="n">
        <v>4</v>
      </c>
      <c r="G1537" t="b">
        <v>0</v>
      </c>
      <c r="H1537" t="inlineStr">
        <is>
          <t>UOM=KG;WEIGHT_BASIS=RECIPE_QUANTITY_IS_KG;LINE_WEIGHT_KG=0.186;SOURCE_CFG=IA-ST-CFG-0267;SRC_REF=Row 1425, Slot 6;SRC_FILE=Mamul Ambalaj Bileşen Listesi-30.07.2026(3).xlsx</t>
        </is>
      </c>
    </row>
    <row r="1538">
      <c r="A1538" s="19" t="inlineStr">
        <is>
          <t>1537</t>
        </is>
      </c>
      <c r="B1538" s="19" t="inlineStr">
        <is>
          <t>224</t>
        </is>
      </c>
      <c r="C1538" s="19" t="inlineStr">
        <is>
          <t>3</t>
        </is>
      </c>
      <c r="D1538" t="n">
        <v>2</v>
      </c>
      <c r="E1538" s="19" t="inlineStr">
        <is>
          <t>18</t>
        </is>
      </c>
      <c r="F1538" t="n">
        <v>5</v>
      </c>
      <c r="G1538" t="b">
        <v>0</v>
      </c>
      <c r="H1538" t="inlineStr">
        <is>
          <t>UOM=ADT;WEIGHT_BASIS=PROCESSED_SOURCE_UNIT_WEIGHT;LINE_WEIGHT_KG=0.42;SOURCE_CFG=IA-ST-CFG-0267;SRC_REF=Row 1425, Slot 8;SRC_FILE=Mamul Ambalaj Bileşen Listesi-30.07.2026(3).xlsx</t>
        </is>
      </c>
    </row>
    <row r="1539">
      <c r="A1539" s="19" t="inlineStr">
        <is>
          <t>1538</t>
        </is>
      </c>
      <c r="B1539" s="19" t="inlineStr">
        <is>
          <t>224</t>
        </is>
      </c>
      <c r="C1539" s="19" t="inlineStr">
        <is>
          <t>30</t>
        </is>
      </c>
      <c r="D1539" t="n">
        <v>4</v>
      </c>
      <c r="E1539" s="19" t="inlineStr">
        <is>
          <t>18</t>
        </is>
      </c>
      <c r="F1539" t="n">
        <v>6</v>
      </c>
      <c r="G1539" t="b">
        <v>0</v>
      </c>
      <c r="H1539" t="inlineStr">
        <is>
          <t>UOM=ADT;WEIGHT_BASIS=PROCESSED_SOURCE_UNIT_WEIGHT;LINE_WEIGHT_KG=0.8;SOURCE_CFG=IA-ST-CFG-0267;SRC_REF=Row 1425, Slot 9;SRC_FILE=Mamul Ambalaj Bileşen Listesi-30.07.2026(3).xlsx</t>
        </is>
      </c>
    </row>
    <row r="1540">
      <c r="A1540" s="19" t="inlineStr">
        <is>
          <t>1539</t>
        </is>
      </c>
      <c r="B1540" s="19" t="inlineStr">
        <is>
          <t>225</t>
        </is>
      </c>
      <c r="C1540" s="19" t="inlineStr">
        <is>
          <t>13</t>
        </is>
      </c>
      <c r="D1540" t="n">
        <v>7</v>
      </c>
      <c r="E1540" s="19" t="inlineStr">
        <is>
          <t>18</t>
        </is>
      </c>
      <c r="F1540" t="n">
        <v>1</v>
      </c>
      <c r="G1540" t="b">
        <v>0</v>
      </c>
      <c r="H1540" t="inlineStr">
        <is>
          <t>UOM=M;WEIGHT_BASIS=PROCESSED_SOURCE_UNIT_WEIGHT;LINE_WEIGHT_KG=0.0868;SOURCE_CFG=IA-ST-CFG-0268;SRC_REF=Row 117, Slot 1;SRC_FILE=Mamul Ambalaj Bileşen Listesi-30.07.2026(3).xlsx</t>
        </is>
      </c>
    </row>
    <row r="1541">
      <c r="A1541" s="19" t="inlineStr">
        <is>
          <t>1540</t>
        </is>
      </c>
      <c r="B1541" s="19" t="inlineStr">
        <is>
          <t>225</t>
        </is>
      </c>
      <c r="C1541" s="19" t="inlineStr">
        <is>
          <t>6</t>
        </is>
      </c>
      <c r="D1541" t="n">
        <v>1</v>
      </c>
      <c r="E1541" s="19" t="inlineStr">
        <is>
          <t>18</t>
        </is>
      </c>
      <c r="F1541" t="n">
        <v>2</v>
      </c>
      <c r="G1541" t="b">
        <v>0</v>
      </c>
      <c r="H1541" t="inlineStr">
        <is>
          <t>UOM=ADT;WEIGHT_BASIS=PROCESSED_SOURCE_UNIT_WEIGHT;LINE_WEIGHT_KG=26.0;SOURCE_CFG=IA-ST-CFG-0268;SRC_REF=Row 117, Slot 3;SRC_FILE=Mamul Ambalaj Bileşen Listesi-30.07.2026(3).xlsx</t>
        </is>
      </c>
    </row>
    <row r="1542">
      <c r="A1542" s="19" t="inlineStr">
        <is>
          <t>1541</t>
        </is>
      </c>
      <c r="B1542" s="19" t="inlineStr">
        <is>
          <t>225</t>
        </is>
      </c>
      <c r="C1542" s="19" t="inlineStr">
        <is>
          <t>8</t>
        </is>
      </c>
      <c r="D1542" t="n">
        <v>20</v>
      </c>
      <c r="E1542" s="19" t="inlineStr">
        <is>
          <t>18</t>
        </is>
      </c>
      <c r="F1542" t="n">
        <v>3</v>
      </c>
      <c r="G1542" t="b">
        <v>0</v>
      </c>
      <c r="H1542" t="inlineStr">
        <is>
          <t>UOM=M;WEIGHT_BASIS=PROCESSED_SOURCE_UNIT_WEIGHT;LINE_WEIGHT_KG=0.3664;SOURCE_CFG=IA-ST-CFG-0268;SRC_REF=Row 117, Slot 5;SRC_FILE=Mamul Ambalaj Bileşen Listesi-30.07.2026(3).xlsx</t>
        </is>
      </c>
    </row>
    <row r="1543">
      <c r="A1543" s="19" t="inlineStr">
        <is>
          <t>1542</t>
        </is>
      </c>
      <c r="B1543" s="19" t="inlineStr">
        <is>
          <t>225</t>
        </is>
      </c>
      <c r="C1543" s="19" t="inlineStr">
        <is>
          <t>9</t>
        </is>
      </c>
      <c r="D1543" t="n">
        <v>0.186</v>
      </c>
      <c r="E1543" s="19" t="inlineStr">
        <is>
          <t>18</t>
        </is>
      </c>
      <c r="F1543" t="n">
        <v>4</v>
      </c>
      <c r="G1543" t="b">
        <v>0</v>
      </c>
      <c r="H1543" t="inlineStr">
        <is>
          <t>UOM=KG;WEIGHT_BASIS=RECIPE_QUANTITY_IS_KG;LINE_WEIGHT_KG=0.186;SOURCE_CFG=IA-ST-CFG-0268;SRC_REF=Row 117, Slot 6;SRC_FILE=Mamul Ambalaj Bileşen Listesi-30.07.2026(3).xlsx</t>
        </is>
      </c>
    </row>
    <row r="1544">
      <c r="A1544" s="19" t="inlineStr">
        <is>
          <t>1543</t>
        </is>
      </c>
      <c r="B1544" s="19" t="inlineStr">
        <is>
          <t>225</t>
        </is>
      </c>
      <c r="C1544" s="19" t="inlineStr">
        <is>
          <t>3</t>
        </is>
      </c>
      <c r="D1544" t="n">
        <v>2</v>
      </c>
      <c r="E1544" s="19" t="inlineStr">
        <is>
          <t>18</t>
        </is>
      </c>
      <c r="F1544" t="n">
        <v>5</v>
      </c>
      <c r="G1544" t="b">
        <v>0</v>
      </c>
      <c r="H1544" t="inlineStr">
        <is>
          <t>UOM=ADT;WEIGHT_BASIS=PROCESSED_SOURCE_UNIT_WEIGHT;LINE_WEIGHT_KG=0.42;SOURCE_CFG=IA-ST-CFG-0268;SRC_REF=Row 117, Slot 8;SRC_FILE=Mamul Ambalaj Bileşen Listesi-30.07.2026(3).xlsx</t>
        </is>
      </c>
    </row>
    <row r="1545">
      <c r="A1545" s="19" t="inlineStr">
        <is>
          <t>1544</t>
        </is>
      </c>
      <c r="B1545" s="19" t="inlineStr">
        <is>
          <t>225</t>
        </is>
      </c>
      <c r="C1545" s="19" t="inlineStr">
        <is>
          <t>30</t>
        </is>
      </c>
      <c r="D1545" t="n">
        <v>5</v>
      </c>
      <c r="E1545" s="19" t="inlineStr">
        <is>
          <t>18</t>
        </is>
      </c>
      <c r="F1545" t="n">
        <v>6</v>
      </c>
      <c r="G1545" t="b">
        <v>0</v>
      </c>
      <c r="H1545" t="inlineStr">
        <is>
          <t>UOM=ADT;WEIGHT_BASIS=PROCESSED_SOURCE_UNIT_WEIGHT;LINE_WEIGHT_KG=1.0;SOURCE_CFG=IA-ST-CFG-0268;SRC_REF=Row 117, Slot 9;SRC_FILE=Mamul Ambalaj Bileşen Listesi-30.07.2026(3).xlsx</t>
        </is>
      </c>
    </row>
    <row r="1546">
      <c r="A1546" s="19" t="inlineStr">
        <is>
          <t>1545</t>
        </is>
      </c>
      <c r="B1546" s="19" t="inlineStr">
        <is>
          <t>226</t>
        </is>
      </c>
      <c r="C1546" s="19" t="inlineStr">
        <is>
          <t>13</t>
        </is>
      </c>
      <c r="D1546" t="n">
        <v>14</v>
      </c>
      <c r="E1546" s="19" t="inlineStr">
        <is>
          <t>18</t>
        </is>
      </c>
      <c r="F1546" t="n">
        <v>1</v>
      </c>
      <c r="G1546" t="b">
        <v>0</v>
      </c>
      <c r="H1546" t="inlineStr">
        <is>
          <t>UOM=M;WEIGHT_BASIS=PROCESSED_SOURCE_UNIT_WEIGHT;LINE_WEIGHT_KG=0.1736;SOURCE_CFG=IA-ST-CFG-0269;SRC_REF=Row 1024, Slot 1;SRC_FILE=Mamul Ambalaj Bileşen Listesi-30.07.2026(3).xlsx</t>
        </is>
      </c>
    </row>
    <row r="1547">
      <c r="A1547" s="19" t="inlineStr">
        <is>
          <t>1546</t>
        </is>
      </c>
      <c r="B1547" s="19" t="inlineStr">
        <is>
          <t>226</t>
        </is>
      </c>
      <c r="C1547" s="19" t="inlineStr">
        <is>
          <t>6</t>
        </is>
      </c>
      <c r="D1547" t="n">
        <v>1</v>
      </c>
      <c r="E1547" s="19" t="inlineStr">
        <is>
          <t>18</t>
        </is>
      </c>
      <c r="F1547" t="n">
        <v>2</v>
      </c>
      <c r="G1547" t="b">
        <v>0</v>
      </c>
      <c r="H1547" t="inlineStr">
        <is>
          <t>UOM=ADT;WEIGHT_BASIS=PROCESSED_SOURCE_UNIT_WEIGHT;LINE_WEIGHT_KG=26.0;SOURCE_CFG=IA-ST-CFG-0269;SRC_REF=Row 1024, Slot 3;SRC_FILE=Mamul Ambalaj Bileşen Listesi-30.07.2026(3).xlsx</t>
        </is>
      </c>
    </row>
    <row r="1548">
      <c r="A1548" s="19" t="inlineStr">
        <is>
          <t>1547</t>
        </is>
      </c>
      <c r="B1548" s="19" t="inlineStr">
        <is>
          <t>226</t>
        </is>
      </c>
      <c r="C1548" s="19" t="inlineStr">
        <is>
          <t>8</t>
        </is>
      </c>
      <c r="D1548" t="n">
        <v>20</v>
      </c>
      <c r="E1548" s="19" t="inlineStr">
        <is>
          <t>18</t>
        </is>
      </c>
      <c r="F1548" t="n">
        <v>3</v>
      </c>
      <c r="G1548" t="b">
        <v>0</v>
      </c>
      <c r="H1548" t="inlineStr">
        <is>
          <t>UOM=M;WEIGHT_BASIS=PROCESSED_SOURCE_UNIT_WEIGHT;LINE_WEIGHT_KG=0.3664;SOURCE_CFG=IA-ST-CFG-0269;SRC_REF=Row 1024, Slot 5;SRC_FILE=Mamul Ambalaj Bileşen Listesi-30.07.2026(3).xlsx</t>
        </is>
      </c>
    </row>
    <row r="1549">
      <c r="A1549" s="19" t="inlineStr">
        <is>
          <t>1548</t>
        </is>
      </c>
      <c r="B1549" s="19" t="inlineStr">
        <is>
          <t>226</t>
        </is>
      </c>
      <c r="C1549" s="19" t="inlineStr">
        <is>
          <t>9</t>
        </is>
      </c>
      <c r="D1549" t="n">
        <v>0.186</v>
      </c>
      <c r="E1549" s="19" t="inlineStr">
        <is>
          <t>18</t>
        </is>
      </c>
      <c r="F1549" t="n">
        <v>4</v>
      </c>
      <c r="G1549" t="b">
        <v>0</v>
      </c>
      <c r="H1549" t="inlineStr">
        <is>
          <t>UOM=KG;WEIGHT_BASIS=RECIPE_QUANTITY_IS_KG;LINE_WEIGHT_KG=0.186;SOURCE_CFG=IA-ST-CFG-0269;SRC_REF=Row 1024, Slot 6;SRC_FILE=Mamul Ambalaj Bileşen Listesi-30.07.2026(3).xlsx</t>
        </is>
      </c>
    </row>
    <row r="1550">
      <c r="A1550" s="19" t="inlineStr">
        <is>
          <t>1549</t>
        </is>
      </c>
      <c r="B1550" s="19" t="inlineStr">
        <is>
          <t>226</t>
        </is>
      </c>
      <c r="C1550" s="19" t="inlineStr">
        <is>
          <t>3</t>
        </is>
      </c>
      <c r="D1550" t="n">
        <v>4</v>
      </c>
      <c r="E1550" s="19" t="inlineStr">
        <is>
          <t>18</t>
        </is>
      </c>
      <c r="F1550" t="n">
        <v>5</v>
      </c>
      <c r="G1550" t="b">
        <v>0</v>
      </c>
      <c r="H1550" t="inlineStr">
        <is>
          <t>UOM=ADT;WEIGHT_BASIS=PROCESSED_SOURCE_UNIT_WEIGHT;LINE_WEIGHT_KG=0.84;SOURCE_CFG=IA-ST-CFG-0269;SRC_REF=Row 1024, Slot 8;SRC_FILE=Mamul Ambalaj Bileşen Listesi-30.07.2026(3).xlsx</t>
        </is>
      </c>
    </row>
    <row r="1551">
      <c r="A1551" s="19" t="inlineStr">
        <is>
          <t>1550</t>
        </is>
      </c>
      <c r="B1551" s="19" t="inlineStr">
        <is>
          <t>226</t>
        </is>
      </c>
      <c r="C1551" s="19" t="inlineStr">
        <is>
          <t>30</t>
        </is>
      </c>
      <c r="D1551" t="n">
        <v>5</v>
      </c>
      <c r="E1551" s="19" t="inlineStr">
        <is>
          <t>18</t>
        </is>
      </c>
      <c r="F1551" t="n">
        <v>6</v>
      </c>
      <c r="G1551" t="b">
        <v>0</v>
      </c>
      <c r="H1551" t="inlineStr">
        <is>
          <t>UOM=ADT;WEIGHT_BASIS=PROCESSED_SOURCE_UNIT_WEIGHT;LINE_WEIGHT_KG=1.0;SOURCE_CFG=IA-ST-CFG-0269;SRC_REF=Row 1024, Slot 9;SRC_FILE=Mamul Ambalaj Bileşen Listesi-30.07.2026(3).xlsx</t>
        </is>
      </c>
    </row>
    <row r="1552">
      <c r="A1552" s="19" t="inlineStr">
        <is>
          <t>1551</t>
        </is>
      </c>
      <c r="B1552" s="19" t="inlineStr">
        <is>
          <t>227</t>
        </is>
      </c>
      <c r="C1552" s="19" t="inlineStr">
        <is>
          <t>13</t>
        </is>
      </c>
      <c r="D1552" t="n">
        <v>14</v>
      </c>
      <c r="E1552" s="19" t="inlineStr">
        <is>
          <t>18</t>
        </is>
      </c>
      <c r="F1552" t="n">
        <v>1</v>
      </c>
      <c r="G1552" t="b">
        <v>0</v>
      </c>
      <c r="H1552" t="inlineStr">
        <is>
          <t>UOM=M;WEIGHT_BASIS=PROCESSED_SOURCE_UNIT_WEIGHT;LINE_WEIGHT_KG=0.1736;SOURCE_CFG=IA-ST-CFG-0275;SRC_REF=Row 1023, Slot 1;SRC_FILE=Mamul Ambalaj Bileşen Listesi-30.07.2026(3).xlsx</t>
        </is>
      </c>
    </row>
    <row r="1553">
      <c r="A1553" s="19" t="inlineStr">
        <is>
          <t>1552</t>
        </is>
      </c>
      <c r="B1553" s="19" t="inlineStr">
        <is>
          <t>227</t>
        </is>
      </c>
      <c r="C1553" s="19" t="inlineStr">
        <is>
          <t>6</t>
        </is>
      </c>
      <c r="D1553" t="n">
        <v>1</v>
      </c>
      <c r="E1553" s="19" t="inlineStr">
        <is>
          <t>18</t>
        </is>
      </c>
      <c r="F1553" t="n">
        <v>2</v>
      </c>
      <c r="G1553" t="b">
        <v>0</v>
      </c>
      <c r="H1553" t="inlineStr">
        <is>
          <t>UOM=ADT;WEIGHT_BASIS=PROCESSED_SOURCE_UNIT_WEIGHT;LINE_WEIGHT_KG=26.0;SOURCE_CFG=IA-ST-CFG-0275;SRC_REF=Row 1023, Slot 3;SRC_FILE=Mamul Ambalaj Bileşen Listesi-30.07.2026(3).xlsx</t>
        </is>
      </c>
    </row>
    <row r="1554">
      <c r="A1554" s="19" t="inlineStr">
        <is>
          <t>1553</t>
        </is>
      </c>
      <c r="B1554" s="19" t="inlineStr">
        <is>
          <t>227</t>
        </is>
      </c>
      <c r="C1554" s="19" t="inlineStr">
        <is>
          <t>8</t>
        </is>
      </c>
      <c r="D1554" t="n">
        <v>20</v>
      </c>
      <c r="E1554" s="19" t="inlineStr">
        <is>
          <t>18</t>
        </is>
      </c>
      <c r="F1554" t="n">
        <v>3</v>
      </c>
      <c r="G1554" t="b">
        <v>0</v>
      </c>
      <c r="H1554" t="inlineStr">
        <is>
          <t>UOM=M;WEIGHT_BASIS=PROCESSED_SOURCE_UNIT_WEIGHT;LINE_WEIGHT_KG=0.3664;SOURCE_CFG=IA-ST-CFG-0275;SRC_REF=Row 1023, Slot 5;SRC_FILE=Mamul Ambalaj Bileşen Listesi-30.07.2026(3).xlsx</t>
        </is>
      </c>
    </row>
    <row r="1555">
      <c r="A1555" s="19" t="inlineStr">
        <is>
          <t>1554</t>
        </is>
      </c>
      <c r="B1555" s="19" t="inlineStr">
        <is>
          <t>227</t>
        </is>
      </c>
      <c r="C1555" s="19" t="inlineStr">
        <is>
          <t>9</t>
        </is>
      </c>
      <c r="D1555" t="n">
        <v>0.186</v>
      </c>
      <c r="E1555" s="19" t="inlineStr">
        <is>
          <t>18</t>
        </is>
      </c>
      <c r="F1555" t="n">
        <v>4</v>
      </c>
      <c r="G1555" t="b">
        <v>0</v>
      </c>
      <c r="H1555" t="inlineStr">
        <is>
          <t>UOM=KG;WEIGHT_BASIS=RECIPE_QUANTITY_IS_KG;LINE_WEIGHT_KG=0.186;SOURCE_CFG=IA-ST-CFG-0275;SRC_REF=Row 1023, Slot 6;SRC_FILE=Mamul Ambalaj Bileşen Listesi-30.07.2026(3).xlsx</t>
        </is>
      </c>
    </row>
    <row r="1556">
      <c r="A1556" s="19" t="inlineStr">
        <is>
          <t>1555</t>
        </is>
      </c>
      <c r="B1556" s="19" t="inlineStr">
        <is>
          <t>227</t>
        </is>
      </c>
      <c r="C1556" s="19" t="inlineStr">
        <is>
          <t>25</t>
        </is>
      </c>
      <c r="D1556" t="n">
        <v>4</v>
      </c>
      <c r="E1556" s="19" t="inlineStr">
        <is>
          <t>18</t>
        </is>
      </c>
      <c r="F1556" t="n">
        <v>5</v>
      </c>
      <c r="G1556" t="b">
        <v>0</v>
      </c>
      <c r="H1556" t="inlineStr">
        <is>
          <t>UOM=ADT;WEIGHT_BASIS=PROCESSED_SOURCE_UNIT_WEIGHT;LINE_WEIGHT_KG=0.4;SOURCE_CFG=IA-ST-CFG-0275;SRC_REF=Row 1023, Slot 8;SRC_FILE=Mamul Ambalaj Bileşen Listesi-30.07.2026(3).xlsx</t>
        </is>
      </c>
    </row>
    <row r="1557">
      <c r="A1557" s="19" t="inlineStr">
        <is>
          <t>1556</t>
        </is>
      </c>
      <c r="B1557" s="19" t="inlineStr">
        <is>
          <t>227</t>
        </is>
      </c>
      <c r="C1557" s="19" t="inlineStr">
        <is>
          <t>30</t>
        </is>
      </c>
      <c r="D1557" t="n">
        <v>5</v>
      </c>
      <c r="E1557" s="19" t="inlineStr">
        <is>
          <t>18</t>
        </is>
      </c>
      <c r="F1557" t="n">
        <v>6</v>
      </c>
      <c r="G1557" t="b">
        <v>0</v>
      </c>
      <c r="H1557" t="inlineStr">
        <is>
          <t>UOM=ADT;WEIGHT_BASIS=PROCESSED_SOURCE_UNIT_WEIGHT;LINE_WEIGHT_KG=1.0;SOURCE_CFG=IA-ST-CFG-0275;SRC_REF=Row 1023, Slot 9;SRC_FILE=Mamul Ambalaj Bileşen Listesi-30.07.2026(3).xlsx</t>
        </is>
      </c>
    </row>
    <row r="1558">
      <c r="A1558" s="19" t="inlineStr">
        <is>
          <t>1557</t>
        </is>
      </c>
      <c r="B1558" s="19" t="inlineStr">
        <is>
          <t>228</t>
        </is>
      </c>
      <c r="C1558" s="19" t="inlineStr">
        <is>
          <t>13</t>
        </is>
      </c>
      <c r="D1558" t="n">
        <v>7</v>
      </c>
      <c r="E1558" s="19" t="inlineStr">
        <is>
          <t>18</t>
        </is>
      </c>
      <c r="F1558" t="n">
        <v>1</v>
      </c>
      <c r="G1558" t="b">
        <v>0</v>
      </c>
      <c r="H1558" t="inlineStr">
        <is>
          <t>UOM=M;WEIGHT_BASIS=PROCESSED_SOURCE_UNIT_WEIGHT;LINE_WEIGHT_KG=0.0868;SOURCE_CFG=IA-ST-CFG-0276;SRC_REF=Row 999, Slot 1;SRC_FILE=Mamul Ambalaj Bileşen Listesi-30.07.2026(3).xlsx</t>
        </is>
      </c>
    </row>
    <row r="1559">
      <c r="A1559" s="19" t="inlineStr">
        <is>
          <t>1558</t>
        </is>
      </c>
      <c r="B1559" s="19" t="inlineStr">
        <is>
          <t>228</t>
        </is>
      </c>
      <c r="C1559" s="19" t="inlineStr">
        <is>
          <t>6</t>
        </is>
      </c>
      <c r="D1559" t="n">
        <v>1</v>
      </c>
      <c r="E1559" s="19" t="inlineStr">
        <is>
          <t>18</t>
        </is>
      </c>
      <c r="F1559" t="n">
        <v>2</v>
      </c>
      <c r="G1559" t="b">
        <v>0</v>
      </c>
      <c r="H1559" t="inlineStr">
        <is>
          <t>UOM=ADT;WEIGHT_BASIS=PROCESSED_SOURCE_UNIT_WEIGHT;LINE_WEIGHT_KG=26.0;SOURCE_CFG=IA-ST-CFG-0276;SRC_REF=Row 999, Slot 3;SRC_FILE=Mamul Ambalaj Bileşen Listesi-30.07.2026(3).xlsx</t>
        </is>
      </c>
    </row>
    <row r="1560">
      <c r="A1560" s="19" t="inlineStr">
        <is>
          <t>1559</t>
        </is>
      </c>
      <c r="B1560" s="19" t="inlineStr">
        <is>
          <t>228</t>
        </is>
      </c>
      <c r="C1560" s="19" t="inlineStr">
        <is>
          <t>8</t>
        </is>
      </c>
      <c r="D1560" t="n">
        <v>20</v>
      </c>
      <c r="E1560" s="19" t="inlineStr">
        <is>
          <t>18</t>
        </is>
      </c>
      <c r="F1560" t="n">
        <v>3</v>
      </c>
      <c r="G1560" t="b">
        <v>0</v>
      </c>
      <c r="H1560" t="inlineStr">
        <is>
          <t>UOM=M;WEIGHT_BASIS=PROCESSED_SOURCE_UNIT_WEIGHT;LINE_WEIGHT_KG=0.3664;SOURCE_CFG=IA-ST-CFG-0276;SRC_REF=Row 999, Slot 5;SRC_FILE=Mamul Ambalaj Bileşen Listesi-30.07.2026(3).xlsx</t>
        </is>
      </c>
    </row>
    <row r="1561">
      <c r="A1561" s="19" t="inlineStr">
        <is>
          <t>1560</t>
        </is>
      </c>
      <c r="B1561" s="19" t="inlineStr">
        <is>
          <t>228</t>
        </is>
      </c>
      <c r="C1561" s="19" t="inlineStr">
        <is>
          <t>9</t>
        </is>
      </c>
      <c r="D1561" t="n">
        <v>0.186</v>
      </c>
      <c r="E1561" s="19" t="inlineStr">
        <is>
          <t>18</t>
        </is>
      </c>
      <c r="F1561" t="n">
        <v>4</v>
      </c>
      <c r="G1561" t="b">
        <v>0</v>
      </c>
      <c r="H1561" t="inlineStr">
        <is>
          <t>UOM=KG;WEIGHT_BASIS=RECIPE_QUANTITY_IS_KG;LINE_WEIGHT_KG=0.186;SOURCE_CFG=IA-ST-CFG-0276;SRC_REF=Row 999, Slot 6;SRC_FILE=Mamul Ambalaj Bileşen Listesi-30.07.2026(3).xlsx</t>
        </is>
      </c>
    </row>
    <row r="1562">
      <c r="A1562" s="19" t="inlineStr">
        <is>
          <t>1561</t>
        </is>
      </c>
      <c r="B1562" s="19" t="inlineStr">
        <is>
          <t>228</t>
        </is>
      </c>
      <c r="C1562" s="19" t="inlineStr">
        <is>
          <t>20</t>
        </is>
      </c>
      <c r="D1562" t="n">
        <v>2.31</v>
      </c>
      <c r="E1562" s="19" t="inlineStr">
        <is>
          <t>18</t>
        </is>
      </c>
      <c r="F1562" t="n">
        <v>5</v>
      </c>
      <c r="G1562" t="b">
        <v>0</v>
      </c>
      <c r="H1562" t="inlineStr">
        <is>
          <t>UOM=KG;WEIGHT_BASIS=RECIPE_QUANTITY_IS_KG;LINE_WEIGHT_KG=2.31;SOURCE_CFG=IA-ST-CFG-0276;SRC_REF=Row 999, Slot 7;SRC_FILE=Mamul Ambalaj Bileşen Listesi-30.07.2026(3).xlsx</t>
        </is>
      </c>
    </row>
    <row r="1563">
      <c r="A1563" s="19" t="inlineStr">
        <is>
          <t>1562</t>
        </is>
      </c>
      <c r="B1563" s="19" t="inlineStr">
        <is>
          <t>228</t>
        </is>
      </c>
      <c r="C1563" s="19" t="inlineStr">
        <is>
          <t>25</t>
        </is>
      </c>
      <c r="D1563" t="n">
        <v>2</v>
      </c>
      <c r="E1563" s="19" t="inlineStr">
        <is>
          <t>18</t>
        </is>
      </c>
      <c r="F1563" t="n">
        <v>6</v>
      </c>
      <c r="G1563" t="b">
        <v>0</v>
      </c>
      <c r="H1563" t="inlineStr">
        <is>
          <t>UOM=ADT;WEIGHT_BASIS=PROCESSED_SOURCE_UNIT_WEIGHT;LINE_WEIGHT_KG=0.2;SOURCE_CFG=IA-ST-CFG-0276;SRC_REF=Row 999, Slot 8;SRC_FILE=Mamul Ambalaj Bileşen Listesi-30.07.2026(3).xlsx</t>
        </is>
      </c>
    </row>
    <row r="1564">
      <c r="A1564" s="19" t="inlineStr">
        <is>
          <t>1563</t>
        </is>
      </c>
      <c r="B1564" s="19" t="inlineStr">
        <is>
          <t>228</t>
        </is>
      </c>
      <c r="C1564" s="19" t="inlineStr">
        <is>
          <t>30</t>
        </is>
      </c>
      <c r="D1564" t="n">
        <v>4</v>
      </c>
      <c r="E1564" s="19" t="inlineStr">
        <is>
          <t>18</t>
        </is>
      </c>
      <c r="F1564" t="n">
        <v>7</v>
      </c>
      <c r="G1564" t="b">
        <v>0</v>
      </c>
      <c r="H1564" t="inlineStr">
        <is>
          <t>UOM=ADT;WEIGHT_BASIS=PROCESSED_SOURCE_UNIT_WEIGHT;LINE_WEIGHT_KG=0.8;SOURCE_CFG=IA-ST-CFG-0276;SRC_REF=Row 999, Slot 9;SRC_FILE=Mamul Ambalaj Bileşen Listesi-30.07.2026(3).xlsx</t>
        </is>
      </c>
    </row>
    <row r="1565">
      <c r="A1565" s="19" t="inlineStr">
        <is>
          <t>1564</t>
        </is>
      </c>
      <c r="B1565" s="19" t="inlineStr">
        <is>
          <t>229</t>
        </is>
      </c>
      <c r="C1565" s="19" t="inlineStr">
        <is>
          <t>13</t>
        </is>
      </c>
      <c r="D1565" t="n">
        <v>7</v>
      </c>
      <c r="E1565" s="19" t="inlineStr">
        <is>
          <t>18</t>
        </is>
      </c>
      <c r="F1565" t="n">
        <v>1</v>
      </c>
      <c r="G1565" t="b">
        <v>0</v>
      </c>
      <c r="H1565" t="inlineStr">
        <is>
          <t>UOM=M;WEIGHT_BASIS=PROCESSED_SOURCE_UNIT_WEIGHT;LINE_WEIGHT_KG=0.0868;SOURCE_CFG=IA-ST-CFG-0277;SRC_REF=Row 837, Slot 1;SRC_FILE=Mamul Ambalaj Bileşen Listesi-30.07.2026(3).xlsx</t>
        </is>
      </c>
    </row>
    <row r="1566">
      <c r="A1566" s="19" t="inlineStr">
        <is>
          <t>1565</t>
        </is>
      </c>
      <c r="B1566" s="19" t="inlineStr">
        <is>
          <t>229</t>
        </is>
      </c>
      <c r="C1566" s="19" t="inlineStr">
        <is>
          <t>6</t>
        </is>
      </c>
      <c r="D1566" t="n">
        <v>1</v>
      </c>
      <c r="E1566" s="19" t="inlineStr">
        <is>
          <t>18</t>
        </is>
      </c>
      <c r="F1566" t="n">
        <v>2</v>
      </c>
      <c r="G1566" t="b">
        <v>0</v>
      </c>
      <c r="H1566" t="inlineStr">
        <is>
          <t>UOM=ADT;WEIGHT_BASIS=PROCESSED_SOURCE_UNIT_WEIGHT;LINE_WEIGHT_KG=26.0;SOURCE_CFG=IA-ST-CFG-0277;SRC_REF=Row 837, Slot 3;SRC_FILE=Mamul Ambalaj Bileşen Listesi-30.07.2026(3).xlsx</t>
        </is>
      </c>
    </row>
    <row r="1567">
      <c r="A1567" s="19" t="inlineStr">
        <is>
          <t>1566</t>
        </is>
      </c>
      <c r="B1567" s="19" t="inlineStr">
        <is>
          <t>229</t>
        </is>
      </c>
      <c r="C1567" s="19" t="inlineStr">
        <is>
          <t>8</t>
        </is>
      </c>
      <c r="D1567" t="n">
        <v>20</v>
      </c>
      <c r="E1567" s="19" t="inlineStr">
        <is>
          <t>18</t>
        </is>
      </c>
      <c r="F1567" t="n">
        <v>3</v>
      </c>
      <c r="G1567" t="b">
        <v>0</v>
      </c>
      <c r="H1567" t="inlineStr">
        <is>
          <t>UOM=M;WEIGHT_BASIS=PROCESSED_SOURCE_UNIT_WEIGHT;LINE_WEIGHT_KG=0.3664;SOURCE_CFG=IA-ST-CFG-0277;SRC_REF=Row 837, Slot 5;SRC_FILE=Mamul Ambalaj Bileşen Listesi-30.07.2026(3).xlsx</t>
        </is>
      </c>
    </row>
    <row r="1568">
      <c r="A1568" s="19" t="inlineStr">
        <is>
          <t>1567</t>
        </is>
      </c>
      <c r="B1568" s="19" t="inlineStr">
        <is>
          <t>229</t>
        </is>
      </c>
      <c r="C1568" s="19" t="inlineStr">
        <is>
          <t>9</t>
        </is>
      </c>
      <c r="D1568" t="n">
        <v>0.186</v>
      </c>
      <c r="E1568" s="19" t="inlineStr">
        <is>
          <t>18</t>
        </is>
      </c>
      <c r="F1568" t="n">
        <v>4</v>
      </c>
      <c r="G1568" t="b">
        <v>0</v>
      </c>
      <c r="H1568" t="inlineStr">
        <is>
          <t>UOM=KG;WEIGHT_BASIS=RECIPE_QUANTITY_IS_KG;LINE_WEIGHT_KG=0.186;SOURCE_CFG=IA-ST-CFG-0277;SRC_REF=Row 837, Slot 6;SRC_FILE=Mamul Ambalaj Bileşen Listesi-30.07.2026(3).xlsx</t>
        </is>
      </c>
    </row>
    <row r="1569">
      <c r="A1569" s="19" t="inlineStr">
        <is>
          <t>1568</t>
        </is>
      </c>
      <c r="B1569" s="19" t="inlineStr">
        <is>
          <t>229</t>
        </is>
      </c>
      <c r="C1569" s="19" t="inlineStr">
        <is>
          <t>20</t>
        </is>
      </c>
      <c r="D1569" t="n">
        <v>2.31</v>
      </c>
      <c r="E1569" s="19" t="inlineStr">
        <is>
          <t>18</t>
        </is>
      </c>
      <c r="F1569" t="n">
        <v>5</v>
      </c>
      <c r="G1569" t="b">
        <v>0</v>
      </c>
      <c r="H1569" t="inlineStr">
        <is>
          <t>UOM=KG;WEIGHT_BASIS=RECIPE_QUANTITY_IS_KG;LINE_WEIGHT_KG=2.31;SOURCE_CFG=IA-ST-CFG-0277;SRC_REF=Row 837, Slot 7;SRC_FILE=Mamul Ambalaj Bileşen Listesi-30.07.2026(3).xlsx</t>
        </is>
      </c>
    </row>
    <row r="1570">
      <c r="A1570" s="19" t="inlineStr">
        <is>
          <t>1569</t>
        </is>
      </c>
      <c r="B1570" s="19" t="inlineStr">
        <is>
          <t>229</t>
        </is>
      </c>
      <c r="C1570" s="19" t="inlineStr">
        <is>
          <t>25</t>
        </is>
      </c>
      <c r="D1570" t="n">
        <v>2</v>
      </c>
      <c r="E1570" s="19" t="inlineStr">
        <is>
          <t>18</t>
        </is>
      </c>
      <c r="F1570" t="n">
        <v>6</v>
      </c>
      <c r="G1570" t="b">
        <v>0</v>
      </c>
      <c r="H1570" t="inlineStr">
        <is>
          <t>UOM=ADT;WEIGHT_BASIS=PROCESSED_SOURCE_UNIT_WEIGHT;LINE_WEIGHT_KG=0.2;SOURCE_CFG=IA-ST-CFG-0277;SRC_REF=Row 837, Slot 8;SRC_FILE=Mamul Ambalaj Bileşen Listesi-30.07.2026(3).xlsx</t>
        </is>
      </c>
    </row>
    <row r="1571">
      <c r="A1571" s="19" t="inlineStr">
        <is>
          <t>1570</t>
        </is>
      </c>
      <c r="B1571" s="19" t="inlineStr">
        <is>
          <t>229</t>
        </is>
      </c>
      <c r="C1571" s="19" t="inlineStr">
        <is>
          <t>30</t>
        </is>
      </c>
      <c r="D1571" t="n">
        <v>5</v>
      </c>
      <c r="E1571" s="19" t="inlineStr">
        <is>
          <t>18</t>
        </is>
      </c>
      <c r="F1571" t="n">
        <v>7</v>
      </c>
      <c r="G1571" t="b">
        <v>0</v>
      </c>
      <c r="H1571" t="inlineStr">
        <is>
          <t>UOM=ADT;WEIGHT_BASIS=PROCESSED_SOURCE_UNIT_WEIGHT;LINE_WEIGHT_KG=1.0;SOURCE_CFG=IA-ST-CFG-0277;SRC_REF=Row 837, Slot 9;SRC_FILE=Mamul Ambalaj Bileşen Listesi-30.07.2026(3).xlsx</t>
        </is>
      </c>
    </row>
    <row r="1572">
      <c r="A1572" s="19" t="inlineStr">
        <is>
          <t>1571</t>
        </is>
      </c>
      <c r="B1572" s="19" t="inlineStr">
        <is>
          <t>230</t>
        </is>
      </c>
      <c r="C1572" s="19" t="inlineStr">
        <is>
          <t>13</t>
        </is>
      </c>
      <c r="D1572" t="n">
        <v>7</v>
      </c>
      <c r="E1572" s="19" t="inlineStr">
        <is>
          <t>18</t>
        </is>
      </c>
      <c r="F1572" t="n">
        <v>1</v>
      </c>
      <c r="G1572" t="b">
        <v>0</v>
      </c>
      <c r="H1572" t="inlineStr">
        <is>
          <t>UOM=M;WEIGHT_BASIS=PROCESSED_SOURCE_UNIT_WEIGHT;LINE_WEIGHT_KG=0.0868;SOURCE_CFG=IA-ST-CFG-0278;SRC_REF=Row 1621, Slot 1;SRC_FILE=Mamul Ambalaj Bileşen Listesi-30.07.2026(3).xlsx</t>
        </is>
      </c>
    </row>
    <row r="1573">
      <c r="A1573" s="19" t="inlineStr">
        <is>
          <t>1572</t>
        </is>
      </c>
      <c r="B1573" s="19" t="inlineStr">
        <is>
          <t>230</t>
        </is>
      </c>
      <c r="C1573" s="19" t="inlineStr">
        <is>
          <t>6</t>
        </is>
      </c>
      <c r="D1573" t="n">
        <v>1</v>
      </c>
      <c r="E1573" s="19" t="inlineStr">
        <is>
          <t>18</t>
        </is>
      </c>
      <c r="F1573" t="n">
        <v>2</v>
      </c>
      <c r="G1573" t="b">
        <v>0</v>
      </c>
      <c r="H1573" t="inlineStr">
        <is>
          <t>UOM=ADT;WEIGHT_BASIS=PROCESSED_SOURCE_UNIT_WEIGHT;LINE_WEIGHT_KG=26.0;SOURCE_CFG=IA-ST-CFG-0278;SRC_REF=Row 1621, Slot 3;SRC_FILE=Mamul Ambalaj Bileşen Listesi-30.07.2026(3).xlsx</t>
        </is>
      </c>
    </row>
    <row r="1574">
      <c r="A1574" s="19" t="inlineStr">
        <is>
          <t>1573</t>
        </is>
      </c>
      <c r="B1574" s="19" t="inlineStr">
        <is>
          <t>230</t>
        </is>
      </c>
      <c r="C1574" s="19" t="inlineStr">
        <is>
          <t>8</t>
        </is>
      </c>
      <c r="D1574" t="n">
        <v>20</v>
      </c>
      <c r="E1574" s="19" t="inlineStr">
        <is>
          <t>18</t>
        </is>
      </c>
      <c r="F1574" t="n">
        <v>3</v>
      </c>
      <c r="G1574" t="b">
        <v>0</v>
      </c>
      <c r="H1574" t="inlineStr">
        <is>
          <t>UOM=M;WEIGHT_BASIS=PROCESSED_SOURCE_UNIT_WEIGHT;LINE_WEIGHT_KG=0.3664;SOURCE_CFG=IA-ST-CFG-0278;SRC_REF=Row 1621, Slot 5;SRC_FILE=Mamul Ambalaj Bileşen Listesi-30.07.2026(3).xlsx</t>
        </is>
      </c>
    </row>
    <row r="1575">
      <c r="A1575" s="19" t="inlineStr">
        <is>
          <t>1574</t>
        </is>
      </c>
      <c r="B1575" s="19" t="inlineStr">
        <is>
          <t>230</t>
        </is>
      </c>
      <c r="C1575" s="19" t="inlineStr">
        <is>
          <t>9</t>
        </is>
      </c>
      <c r="D1575" t="n">
        <v>0.186</v>
      </c>
      <c r="E1575" s="19" t="inlineStr">
        <is>
          <t>18</t>
        </is>
      </c>
      <c r="F1575" t="n">
        <v>4</v>
      </c>
      <c r="G1575" t="b">
        <v>0</v>
      </c>
      <c r="H1575" t="inlineStr">
        <is>
          <t>UOM=KG;WEIGHT_BASIS=RECIPE_QUANTITY_IS_KG;LINE_WEIGHT_KG=0.186;SOURCE_CFG=IA-ST-CFG-0278;SRC_REF=Row 1621, Slot 6;SRC_FILE=Mamul Ambalaj Bileşen Listesi-30.07.2026(3).xlsx</t>
        </is>
      </c>
    </row>
    <row r="1576">
      <c r="A1576" s="19" t="inlineStr">
        <is>
          <t>1575</t>
        </is>
      </c>
      <c r="B1576" s="19" t="inlineStr">
        <is>
          <t>230</t>
        </is>
      </c>
      <c r="C1576" s="19" t="inlineStr">
        <is>
          <t>25</t>
        </is>
      </c>
      <c r="D1576" t="n">
        <v>2</v>
      </c>
      <c r="E1576" s="19" t="inlineStr">
        <is>
          <t>18</t>
        </is>
      </c>
      <c r="F1576" t="n">
        <v>5</v>
      </c>
      <c r="G1576" t="b">
        <v>0</v>
      </c>
      <c r="H1576" t="inlineStr">
        <is>
          <t>UOM=ADT;WEIGHT_BASIS=PROCESSED_SOURCE_UNIT_WEIGHT;LINE_WEIGHT_KG=0.2;SOURCE_CFG=IA-ST-CFG-0278;SRC_REF=Row 1621, Slot 8;SRC_FILE=Mamul Ambalaj Bileşen Listesi-30.07.2026(3).xlsx</t>
        </is>
      </c>
    </row>
    <row r="1577">
      <c r="A1577" s="19" t="inlineStr">
        <is>
          <t>1576</t>
        </is>
      </c>
      <c r="B1577" s="19" t="inlineStr">
        <is>
          <t>230</t>
        </is>
      </c>
      <c r="C1577" s="19" t="inlineStr">
        <is>
          <t>30</t>
        </is>
      </c>
      <c r="D1577" t="n">
        <v>5</v>
      </c>
      <c r="E1577" s="19" t="inlineStr">
        <is>
          <t>18</t>
        </is>
      </c>
      <c r="F1577" t="n">
        <v>6</v>
      </c>
      <c r="G1577" t="b">
        <v>0</v>
      </c>
      <c r="H1577" t="inlineStr">
        <is>
          <t>UOM=ADT;WEIGHT_BASIS=PROCESSED_SOURCE_UNIT_WEIGHT;LINE_WEIGHT_KG=1.0;SOURCE_CFG=IA-ST-CFG-0278;SRC_REF=Row 1621, Slot 9;SRC_FILE=Mamul Ambalaj Bileşen Listesi-30.07.2026(3).xlsx</t>
        </is>
      </c>
    </row>
    <row r="1578">
      <c r="A1578" s="19" t="inlineStr">
        <is>
          <t>1577</t>
        </is>
      </c>
      <c r="B1578" s="19" t="inlineStr">
        <is>
          <t>231</t>
        </is>
      </c>
      <c r="C1578" s="19" t="inlineStr">
        <is>
          <t>13</t>
        </is>
      </c>
      <c r="D1578" t="n">
        <v>14</v>
      </c>
      <c r="E1578" s="19" t="inlineStr">
        <is>
          <t>18</t>
        </is>
      </c>
      <c r="F1578" t="n">
        <v>1</v>
      </c>
      <c r="G1578" t="b">
        <v>0</v>
      </c>
      <c r="H1578" t="inlineStr">
        <is>
          <t>UOM=M;WEIGHT_BASIS=PROCESSED_SOURCE_UNIT_WEIGHT;LINE_WEIGHT_KG=0.1736;SOURCE_CFG=IA-ST-CFG-0270;SRC_REF=Row 552, Slot 1;SRC_FILE=Mamul Ambalaj Bileşen Listesi-30.07.2026(3).xlsx</t>
        </is>
      </c>
    </row>
    <row r="1579">
      <c r="A1579" s="19" t="inlineStr">
        <is>
          <t>1578</t>
        </is>
      </c>
      <c r="B1579" s="19" t="inlineStr">
        <is>
          <t>231</t>
        </is>
      </c>
      <c r="C1579" s="19" t="inlineStr">
        <is>
          <t>5</t>
        </is>
      </c>
      <c r="D1579" t="n">
        <v>1</v>
      </c>
      <c r="E1579" s="19" t="inlineStr">
        <is>
          <t>18</t>
        </is>
      </c>
      <c r="F1579" t="n">
        <v>2</v>
      </c>
      <c r="G1579" t="b">
        <v>0</v>
      </c>
      <c r="H1579" t="inlineStr">
        <is>
          <t>UOM=ADT;WEIGHT_BASIS=PROCESSED_SOURCE_UNIT_WEIGHT;LINE_WEIGHT_KG=26.0;SOURCE_CFG=IA-ST-CFG-0270;SRC_REF=Row 552, Slot 3;SRC_FILE=Mamul Ambalaj Bileşen Listesi-30.07.2026(3).xlsx</t>
        </is>
      </c>
    </row>
    <row r="1580">
      <c r="A1580" s="19" t="inlineStr">
        <is>
          <t>1579</t>
        </is>
      </c>
      <c r="B1580" s="19" t="inlineStr">
        <is>
          <t>231</t>
        </is>
      </c>
      <c r="C1580" s="19" t="inlineStr">
        <is>
          <t>8</t>
        </is>
      </c>
      <c r="D1580" t="n">
        <v>20</v>
      </c>
      <c r="E1580" s="19" t="inlineStr">
        <is>
          <t>18</t>
        </is>
      </c>
      <c r="F1580" t="n">
        <v>3</v>
      </c>
      <c r="G1580" t="b">
        <v>0</v>
      </c>
      <c r="H1580" t="inlineStr">
        <is>
          <t>UOM=M;WEIGHT_BASIS=PROCESSED_SOURCE_UNIT_WEIGHT;LINE_WEIGHT_KG=0.3664;SOURCE_CFG=IA-ST-CFG-0270;SRC_REF=Row 552, Slot 5;SRC_FILE=Mamul Ambalaj Bileşen Listesi-30.07.2026(3).xlsx</t>
        </is>
      </c>
    </row>
    <row r="1581">
      <c r="A1581" s="19" t="inlineStr">
        <is>
          <t>1580</t>
        </is>
      </c>
      <c r="B1581" s="19" t="inlineStr">
        <is>
          <t>231</t>
        </is>
      </c>
      <c r="C1581" s="19" t="inlineStr">
        <is>
          <t>9</t>
        </is>
      </c>
      <c r="D1581" t="n">
        <v>0.186</v>
      </c>
      <c r="E1581" s="19" t="inlineStr">
        <is>
          <t>18</t>
        </is>
      </c>
      <c r="F1581" t="n">
        <v>4</v>
      </c>
      <c r="G1581" t="b">
        <v>0</v>
      </c>
      <c r="H1581" t="inlineStr">
        <is>
          <t>UOM=KG;WEIGHT_BASIS=RECIPE_QUANTITY_IS_KG;LINE_WEIGHT_KG=0.186;SOURCE_CFG=IA-ST-CFG-0270;SRC_REF=Row 552, Slot 6;SRC_FILE=Mamul Ambalaj Bileşen Listesi-30.07.2026(3).xlsx</t>
        </is>
      </c>
    </row>
    <row r="1582">
      <c r="A1582" s="19" t="inlineStr">
        <is>
          <t>1581</t>
        </is>
      </c>
      <c r="B1582" s="19" t="inlineStr">
        <is>
          <t>231</t>
        </is>
      </c>
      <c r="C1582" s="19" t="inlineStr">
        <is>
          <t>3</t>
        </is>
      </c>
      <c r="D1582" t="n">
        <v>6</v>
      </c>
      <c r="E1582" s="19" t="inlineStr">
        <is>
          <t>18</t>
        </is>
      </c>
      <c r="F1582" t="n">
        <v>5</v>
      </c>
      <c r="G1582" t="b">
        <v>0</v>
      </c>
      <c r="H1582" t="inlineStr">
        <is>
          <t>UOM=ADT;WEIGHT_BASIS=PROCESSED_SOURCE_UNIT_WEIGHT;LINE_WEIGHT_KG=1.26;SOURCE_CFG=IA-ST-CFG-0270;SRC_REF=Row 552, Slot 8;SRC_FILE=Mamul Ambalaj Bileşen Listesi-30.07.2026(3).xlsx</t>
        </is>
      </c>
    </row>
    <row r="1583">
      <c r="A1583" s="19" t="inlineStr">
        <is>
          <t>1582</t>
        </is>
      </c>
      <c r="B1583" s="19" t="inlineStr">
        <is>
          <t>231</t>
        </is>
      </c>
      <c r="C1583" s="19" t="inlineStr">
        <is>
          <t>7</t>
        </is>
      </c>
      <c r="D1583" t="n">
        <v>5</v>
      </c>
      <c r="E1583" s="19" t="inlineStr">
        <is>
          <t>18</t>
        </is>
      </c>
      <c r="F1583" t="n">
        <v>6</v>
      </c>
      <c r="G1583" t="b">
        <v>0</v>
      </c>
      <c r="H1583" t="inlineStr">
        <is>
          <t>UOM=ADT;WEIGHT_BASIS=PROCESSED_SOURCE_UNIT_WEIGHT;LINE_WEIGHT_KG=1.35;SOURCE_CFG=IA-ST-CFG-0270;SRC_REF=Row 552, Slot 9;SRC_FILE=Mamul Ambalaj Bileşen Listesi-30.07.2026(3).xlsx</t>
        </is>
      </c>
    </row>
    <row r="1584">
      <c r="A1584" s="19" t="inlineStr">
        <is>
          <t>1583</t>
        </is>
      </c>
      <c r="B1584" s="19" t="inlineStr">
        <is>
          <t>231</t>
        </is>
      </c>
      <c r="C1584" s="19" t="inlineStr">
        <is>
          <t>36</t>
        </is>
      </c>
      <c r="D1584" t="n">
        <v>96</v>
      </c>
      <c r="E1584" s="19" t="inlineStr">
        <is>
          <t>18</t>
        </is>
      </c>
      <c r="F1584" t="n">
        <v>7</v>
      </c>
      <c r="G1584" t="b">
        <v>0</v>
      </c>
      <c r="H1584" t="inlineStr">
        <is>
          <t>UOM=ADT;WEIGHT_BASIS=PROCESSED_SOURCE_UNIT_WEIGHT;LINE_WEIGHT_KG=24.0;SOURCE_CFG=IA-ST-CFG-0270;SRC_REF=Row 552, Slot 10;SRC_FILE=Mamul Ambalaj Bileşen Listesi-30.07.2026(3).xlsx</t>
        </is>
      </c>
    </row>
    <row r="1585">
      <c r="A1585" s="19" t="inlineStr">
        <is>
          <t>1584</t>
        </is>
      </c>
      <c r="B1585" s="19" t="inlineStr">
        <is>
          <t>232</t>
        </is>
      </c>
      <c r="C1585" s="19" t="inlineStr">
        <is>
          <t>13</t>
        </is>
      </c>
      <c r="D1585" t="n">
        <v>14</v>
      </c>
      <c r="E1585" s="19" t="inlineStr">
        <is>
          <t>18</t>
        </is>
      </c>
      <c r="F1585" t="n">
        <v>1</v>
      </c>
      <c r="G1585" t="b">
        <v>0</v>
      </c>
      <c r="H1585" t="inlineStr">
        <is>
          <t>UOM=M;WEIGHT_BASIS=PROCESSED_SOURCE_UNIT_WEIGHT;LINE_WEIGHT_KG=0.1736;SOURCE_CFG=IA-ST-CFG-0271;SRC_REF=Row 921, Slot 1;SRC_FILE=Mamul Ambalaj Bileşen Listesi-30.07.2026(3).xlsx</t>
        </is>
      </c>
    </row>
    <row r="1586">
      <c r="A1586" s="19" t="inlineStr">
        <is>
          <t>1585</t>
        </is>
      </c>
      <c r="B1586" s="19" t="inlineStr">
        <is>
          <t>232</t>
        </is>
      </c>
      <c r="C1586" s="19" t="inlineStr">
        <is>
          <t>5</t>
        </is>
      </c>
      <c r="D1586" t="n">
        <v>1</v>
      </c>
      <c r="E1586" s="19" t="inlineStr">
        <is>
          <t>18</t>
        </is>
      </c>
      <c r="F1586" t="n">
        <v>2</v>
      </c>
      <c r="G1586" t="b">
        <v>0</v>
      </c>
      <c r="H1586" t="inlineStr">
        <is>
          <t>UOM=ADT;WEIGHT_BASIS=PROCESSED_SOURCE_UNIT_WEIGHT;LINE_WEIGHT_KG=26.0;SOURCE_CFG=IA-ST-CFG-0271;SRC_REF=Row 921, Slot 3;SRC_FILE=Mamul Ambalaj Bileşen Listesi-30.07.2026(3).xlsx</t>
        </is>
      </c>
    </row>
    <row r="1587">
      <c r="A1587" s="19" t="inlineStr">
        <is>
          <t>1586</t>
        </is>
      </c>
      <c r="B1587" s="19" t="inlineStr">
        <is>
          <t>232</t>
        </is>
      </c>
      <c r="C1587" s="19" t="inlineStr">
        <is>
          <t>8</t>
        </is>
      </c>
      <c r="D1587" t="n">
        <v>20</v>
      </c>
      <c r="E1587" s="19" t="inlineStr">
        <is>
          <t>18</t>
        </is>
      </c>
      <c r="F1587" t="n">
        <v>3</v>
      </c>
      <c r="G1587" t="b">
        <v>0</v>
      </c>
      <c r="H1587" t="inlineStr">
        <is>
          <t>UOM=M;WEIGHT_BASIS=PROCESSED_SOURCE_UNIT_WEIGHT;LINE_WEIGHT_KG=0.3664;SOURCE_CFG=IA-ST-CFG-0271;SRC_REF=Row 921, Slot 5;SRC_FILE=Mamul Ambalaj Bileşen Listesi-30.07.2026(3).xlsx</t>
        </is>
      </c>
    </row>
    <row r="1588">
      <c r="A1588" s="19" t="inlineStr">
        <is>
          <t>1587</t>
        </is>
      </c>
      <c r="B1588" s="19" t="inlineStr">
        <is>
          <t>232</t>
        </is>
      </c>
      <c r="C1588" s="19" t="inlineStr">
        <is>
          <t>9</t>
        </is>
      </c>
      <c r="D1588" t="n">
        <v>0.186</v>
      </c>
      <c r="E1588" s="19" t="inlineStr">
        <is>
          <t>18</t>
        </is>
      </c>
      <c r="F1588" t="n">
        <v>4</v>
      </c>
      <c r="G1588" t="b">
        <v>0</v>
      </c>
      <c r="H1588" t="inlineStr">
        <is>
          <t>UOM=KG;WEIGHT_BASIS=RECIPE_QUANTITY_IS_KG;LINE_WEIGHT_KG=0.186;SOURCE_CFG=IA-ST-CFG-0271;SRC_REF=Row 921, Slot 6;SRC_FILE=Mamul Ambalaj Bileşen Listesi-30.07.2026(3).xlsx</t>
        </is>
      </c>
    </row>
    <row r="1589">
      <c r="A1589" s="19" t="inlineStr">
        <is>
          <t>1588</t>
        </is>
      </c>
      <c r="B1589" s="19" t="inlineStr">
        <is>
          <t>232</t>
        </is>
      </c>
      <c r="C1589" s="19" t="inlineStr">
        <is>
          <t>3</t>
        </is>
      </c>
      <c r="D1589" t="n">
        <v>8</v>
      </c>
      <c r="E1589" s="19" t="inlineStr">
        <is>
          <t>18</t>
        </is>
      </c>
      <c r="F1589" t="n">
        <v>5</v>
      </c>
      <c r="G1589" t="b">
        <v>0</v>
      </c>
      <c r="H1589" t="inlineStr">
        <is>
          <t>UOM=ADT;WEIGHT_BASIS=PROCESSED_SOURCE_UNIT_WEIGHT;LINE_WEIGHT_KG=1.68;SOURCE_CFG=IA-ST-CFG-0271;SRC_REF=Row 921, Slot 8;SRC_FILE=Mamul Ambalaj Bileşen Listesi-30.07.2026(3).xlsx</t>
        </is>
      </c>
    </row>
    <row r="1590">
      <c r="A1590" s="19" t="inlineStr">
        <is>
          <t>1589</t>
        </is>
      </c>
      <c r="B1590" s="19" t="inlineStr">
        <is>
          <t>232</t>
        </is>
      </c>
      <c r="C1590" s="19" t="inlineStr">
        <is>
          <t>7</t>
        </is>
      </c>
      <c r="D1590" t="n">
        <v>5</v>
      </c>
      <c r="E1590" s="19" t="inlineStr">
        <is>
          <t>18</t>
        </is>
      </c>
      <c r="F1590" t="n">
        <v>6</v>
      </c>
      <c r="G1590" t="b">
        <v>0</v>
      </c>
      <c r="H1590" t="inlineStr">
        <is>
          <t>UOM=ADT;WEIGHT_BASIS=PROCESSED_SOURCE_UNIT_WEIGHT;LINE_WEIGHT_KG=1.35;SOURCE_CFG=IA-ST-CFG-0271;SRC_REF=Row 921, Slot 9;SRC_FILE=Mamul Ambalaj Bileşen Listesi-30.07.2026(3).xlsx</t>
        </is>
      </c>
    </row>
    <row r="1591">
      <c r="A1591" s="19" t="inlineStr">
        <is>
          <t>1590</t>
        </is>
      </c>
      <c r="B1591" s="19" t="inlineStr">
        <is>
          <t>232</t>
        </is>
      </c>
      <c r="C1591" s="19" t="inlineStr">
        <is>
          <t>58</t>
        </is>
      </c>
      <c r="D1591" t="n">
        <v>96</v>
      </c>
      <c r="E1591" s="19" t="inlineStr">
        <is>
          <t>18</t>
        </is>
      </c>
      <c r="F1591" t="n">
        <v>7</v>
      </c>
      <c r="G1591" t="b">
        <v>0</v>
      </c>
      <c r="H1591" t="inlineStr">
        <is>
          <t>UOM=ADT;WEIGHT_BASIS=PROCESSED_SOURCE_UNIT_WEIGHT;LINE_WEIGHT_KG=18.240000000000002;SOURCE_CFG=IA-ST-CFG-0271;SRC_REF=Row 921, Slot 10;SRC_FILE=Mamul Ambalaj Bileşen Listesi-30.07.2026(3).xlsx</t>
        </is>
      </c>
    </row>
    <row r="1592">
      <c r="A1592" s="19" t="inlineStr">
        <is>
          <t>1591</t>
        </is>
      </c>
      <c r="B1592" s="19" t="inlineStr">
        <is>
          <t>233</t>
        </is>
      </c>
      <c r="C1592" s="19" t="inlineStr">
        <is>
          <t>13</t>
        </is>
      </c>
      <c r="D1592" t="n">
        <v>14</v>
      </c>
      <c r="E1592" s="19" t="inlineStr">
        <is>
          <t>18</t>
        </is>
      </c>
      <c r="F1592" t="n">
        <v>1</v>
      </c>
      <c r="G1592" t="b">
        <v>0</v>
      </c>
      <c r="H1592" t="inlineStr">
        <is>
          <t>UOM=M;WEIGHT_BASIS=PROCESSED_SOURCE_UNIT_WEIGHT;LINE_WEIGHT_KG=0.1736;SOURCE_CFG=IA-ST-CFG-0272;SRC_REF=Row 131, Slot 1;SRC_FILE=Mamul Ambalaj Bileşen Listesi-30.07.2026(3).xlsx</t>
        </is>
      </c>
    </row>
    <row r="1593">
      <c r="A1593" s="19" t="inlineStr">
        <is>
          <t>1592</t>
        </is>
      </c>
      <c r="B1593" s="19" t="inlineStr">
        <is>
          <t>233</t>
        </is>
      </c>
      <c r="C1593" s="19" t="inlineStr">
        <is>
          <t>28</t>
        </is>
      </c>
      <c r="D1593" t="n">
        <v>96</v>
      </c>
      <c r="E1593" s="19" t="inlineStr">
        <is>
          <t>18</t>
        </is>
      </c>
      <c r="F1593" t="n">
        <v>2</v>
      </c>
      <c r="G1593" t="b">
        <v>0</v>
      </c>
      <c r="H1593" t="inlineStr">
        <is>
          <t>UOM=ADT;WEIGHT_BASIS=SOURCE_UNIT_WEIGHT;LINE_WEIGHT_KG=4.4832;SOURCE_CFG=IA-ST-CFG-0272;SRC_REF=Row 131, Slot 2;SRC_FILE=Mamul Ambalaj Bileşen Listesi-30.07.2026(3).xlsx</t>
        </is>
      </c>
    </row>
    <row r="1594">
      <c r="A1594" s="19" t="inlineStr">
        <is>
          <t>1593</t>
        </is>
      </c>
      <c r="B1594" s="19" t="inlineStr">
        <is>
          <t>233</t>
        </is>
      </c>
      <c r="C1594" s="19" t="inlineStr">
        <is>
          <t>5</t>
        </is>
      </c>
      <c r="D1594" t="n">
        <v>1</v>
      </c>
      <c r="E1594" s="19" t="inlineStr">
        <is>
          <t>18</t>
        </is>
      </c>
      <c r="F1594" t="n">
        <v>3</v>
      </c>
      <c r="G1594" t="b">
        <v>0</v>
      </c>
      <c r="H1594" t="inlineStr">
        <is>
          <t>UOM=ADT;WEIGHT_BASIS=PROCESSED_SOURCE_UNIT_WEIGHT;LINE_WEIGHT_KG=26.0;SOURCE_CFG=IA-ST-CFG-0272;SRC_REF=Row 131, Slot 3;SRC_FILE=Mamul Ambalaj Bileşen Listesi-30.07.2026(3).xlsx</t>
        </is>
      </c>
    </row>
    <row r="1595">
      <c r="A1595" s="19" t="inlineStr">
        <is>
          <t>1594</t>
        </is>
      </c>
      <c r="B1595" s="19" t="inlineStr">
        <is>
          <t>233</t>
        </is>
      </c>
      <c r="C1595" s="19" t="inlineStr">
        <is>
          <t>8</t>
        </is>
      </c>
      <c r="D1595" t="n">
        <v>20</v>
      </c>
      <c r="E1595" s="19" t="inlineStr">
        <is>
          <t>18</t>
        </is>
      </c>
      <c r="F1595" t="n">
        <v>4</v>
      </c>
      <c r="G1595" t="b">
        <v>0</v>
      </c>
      <c r="H1595" t="inlineStr">
        <is>
          <t>UOM=M;WEIGHT_BASIS=PROCESSED_SOURCE_UNIT_WEIGHT;LINE_WEIGHT_KG=0.3664;SOURCE_CFG=IA-ST-CFG-0272;SRC_REF=Row 131, Slot 5;SRC_FILE=Mamul Ambalaj Bileşen Listesi-30.07.2026(3).xlsx</t>
        </is>
      </c>
    </row>
    <row r="1596">
      <c r="A1596" s="19" t="inlineStr">
        <is>
          <t>1595</t>
        </is>
      </c>
      <c r="B1596" s="19" t="inlineStr">
        <is>
          <t>233</t>
        </is>
      </c>
      <c r="C1596" s="19" t="inlineStr">
        <is>
          <t>9</t>
        </is>
      </c>
      <c r="D1596" t="n">
        <v>0.186</v>
      </c>
      <c r="E1596" s="19" t="inlineStr">
        <is>
          <t>18</t>
        </is>
      </c>
      <c r="F1596" t="n">
        <v>5</v>
      </c>
      <c r="G1596" t="b">
        <v>0</v>
      </c>
      <c r="H1596" t="inlineStr">
        <is>
          <t>UOM=KG;WEIGHT_BASIS=RECIPE_QUANTITY_IS_KG;LINE_WEIGHT_KG=0.186;SOURCE_CFG=IA-ST-CFG-0272;SRC_REF=Row 131, Slot 6;SRC_FILE=Mamul Ambalaj Bileşen Listesi-30.07.2026(3).xlsx</t>
        </is>
      </c>
    </row>
    <row r="1597">
      <c r="A1597" s="19" t="inlineStr">
        <is>
          <t>1596</t>
        </is>
      </c>
      <c r="B1597" s="19" t="inlineStr">
        <is>
          <t>233</t>
        </is>
      </c>
      <c r="C1597" s="19" t="inlineStr">
        <is>
          <t>21</t>
        </is>
      </c>
      <c r="D1597" t="n">
        <v>2.628</v>
      </c>
      <c r="E1597" s="19" t="inlineStr">
        <is>
          <t>18</t>
        </is>
      </c>
      <c r="F1597" t="n">
        <v>6</v>
      </c>
      <c r="G1597" t="b">
        <v>0</v>
      </c>
      <c r="H1597" t="inlineStr">
        <is>
          <t>UOM=KG;WEIGHT_BASIS=RECIPE_QUANTITY_IS_KG;LINE_WEIGHT_KG=2.628;SOURCE_CFG=IA-ST-CFG-0272;SRC_REF=Row 131, Slot 7;SRC_FILE=Mamul Ambalaj Bileşen Listesi-30.07.2026(3).xlsx</t>
        </is>
      </c>
    </row>
    <row r="1598">
      <c r="A1598" s="19" t="inlineStr">
        <is>
          <t>1597</t>
        </is>
      </c>
      <c r="B1598" s="19" t="inlineStr">
        <is>
          <t>233</t>
        </is>
      </c>
      <c r="C1598" s="19" t="inlineStr">
        <is>
          <t>7</t>
        </is>
      </c>
      <c r="D1598" t="n">
        <v>4</v>
      </c>
      <c r="E1598" s="19" t="inlineStr">
        <is>
          <t>18</t>
        </is>
      </c>
      <c r="F1598" t="n">
        <v>7</v>
      </c>
      <c r="G1598" t="b">
        <v>0</v>
      </c>
      <c r="H1598" t="inlineStr">
        <is>
          <t>UOM=ADT;WEIGHT_BASIS=PROCESSED_SOURCE_UNIT_WEIGHT;LINE_WEIGHT_KG=1.08;SOURCE_CFG=IA-ST-CFG-0272;SRC_REF=Row 131, Slot 8;SRC_FILE=Mamul Ambalaj Bileşen Listesi-30.07.2026(3).xlsx</t>
        </is>
      </c>
    </row>
    <row r="1599">
      <c r="A1599" s="19" t="inlineStr">
        <is>
          <t>1598</t>
        </is>
      </c>
      <c r="B1599" s="19" t="inlineStr">
        <is>
          <t>233</t>
        </is>
      </c>
      <c r="C1599" s="19" t="inlineStr">
        <is>
          <t>25</t>
        </is>
      </c>
      <c r="D1599" t="n">
        <v>4</v>
      </c>
      <c r="E1599" s="19" t="inlineStr">
        <is>
          <t>18</t>
        </is>
      </c>
      <c r="F1599" t="n">
        <v>8</v>
      </c>
      <c r="G1599" t="b">
        <v>0</v>
      </c>
      <c r="H1599" t="inlineStr">
        <is>
          <t>UOM=ADT;WEIGHT_BASIS=PROCESSED_SOURCE_UNIT_WEIGHT;LINE_WEIGHT_KG=0.4;SOURCE_CFG=IA-ST-CFG-0272;SRC_REF=Row 131, Slot 9;SRC_FILE=Mamul Ambalaj Bileşen Listesi-30.07.2026(3).xlsx</t>
        </is>
      </c>
    </row>
    <row r="1600">
      <c r="A1600" s="19" t="inlineStr">
        <is>
          <t>1599</t>
        </is>
      </c>
      <c r="B1600" s="19" t="inlineStr">
        <is>
          <t>234</t>
        </is>
      </c>
      <c r="C1600" s="19" t="inlineStr">
        <is>
          <t>28</t>
        </is>
      </c>
      <c r="D1600" t="n">
        <v>96</v>
      </c>
      <c r="E1600" s="19" t="inlineStr">
        <is>
          <t>18</t>
        </is>
      </c>
      <c r="F1600" t="n">
        <v>1</v>
      </c>
      <c r="G1600" t="b">
        <v>0</v>
      </c>
      <c r="H1600" t="inlineStr">
        <is>
          <t>UOM=ADT;WEIGHT_BASIS=SOURCE_UNIT_WEIGHT;LINE_WEIGHT_KG=4.4832;SOURCE_CFG=IA-ST-CFG-0273;SRC_REF=Row 242, Slot 1;SRC_FILE=Mamul Ambalaj Bileşen Listesi-30.07.2026(3).xlsx</t>
        </is>
      </c>
    </row>
    <row r="1601">
      <c r="A1601" s="19" t="inlineStr">
        <is>
          <t>1600</t>
        </is>
      </c>
      <c r="B1601" s="19" t="inlineStr">
        <is>
          <t>234</t>
        </is>
      </c>
      <c r="C1601" s="19" t="inlineStr">
        <is>
          <t>5</t>
        </is>
      </c>
      <c r="D1601" t="n">
        <v>1</v>
      </c>
      <c r="E1601" s="19" t="inlineStr">
        <is>
          <t>18</t>
        </is>
      </c>
      <c r="F1601" t="n">
        <v>2</v>
      </c>
      <c r="G1601" t="b">
        <v>0</v>
      </c>
      <c r="H1601" t="inlineStr">
        <is>
          <t>UOM=ADT;WEIGHT_BASIS=PROCESSED_SOURCE_UNIT_WEIGHT;LINE_WEIGHT_KG=26.0;SOURCE_CFG=IA-ST-CFG-0273;SRC_REF=Row 242, Slot 3;SRC_FILE=Mamul Ambalaj Bileşen Listesi-30.07.2026(3).xlsx</t>
        </is>
      </c>
    </row>
    <row r="1602">
      <c r="A1602" s="19" t="inlineStr">
        <is>
          <t>1601</t>
        </is>
      </c>
      <c r="B1602" s="19" t="inlineStr">
        <is>
          <t>234</t>
        </is>
      </c>
      <c r="C1602" s="19" t="inlineStr">
        <is>
          <t>8</t>
        </is>
      </c>
      <c r="D1602" t="n">
        <v>20</v>
      </c>
      <c r="E1602" s="19" t="inlineStr">
        <is>
          <t>18</t>
        </is>
      </c>
      <c r="F1602" t="n">
        <v>3</v>
      </c>
      <c r="G1602" t="b">
        <v>0</v>
      </c>
      <c r="H1602" t="inlineStr">
        <is>
          <t>UOM=M;WEIGHT_BASIS=PROCESSED_SOURCE_UNIT_WEIGHT;LINE_WEIGHT_KG=0.3664;SOURCE_CFG=IA-ST-CFG-0273;SRC_REF=Row 242, Slot 5;SRC_FILE=Mamul Ambalaj Bileşen Listesi-30.07.2026(3).xlsx</t>
        </is>
      </c>
    </row>
    <row r="1603">
      <c r="A1603" s="19" t="inlineStr">
        <is>
          <t>1602</t>
        </is>
      </c>
      <c r="B1603" s="19" t="inlineStr">
        <is>
          <t>234</t>
        </is>
      </c>
      <c r="C1603" s="19" t="inlineStr">
        <is>
          <t>9</t>
        </is>
      </c>
      <c r="D1603" t="n">
        <v>0.186</v>
      </c>
      <c r="E1603" s="19" t="inlineStr">
        <is>
          <t>18</t>
        </is>
      </c>
      <c r="F1603" t="n">
        <v>4</v>
      </c>
      <c r="G1603" t="b">
        <v>0</v>
      </c>
      <c r="H1603" t="inlineStr">
        <is>
          <t>UOM=KG;WEIGHT_BASIS=RECIPE_QUANTITY_IS_KG;LINE_WEIGHT_KG=0.186;SOURCE_CFG=IA-ST-CFG-0273;SRC_REF=Row 242, Slot 6;SRC_FILE=Mamul Ambalaj Bileşen Listesi-30.07.2026(3).xlsx</t>
        </is>
      </c>
    </row>
    <row r="1604">
      <c r="A1604" s="19" t="inlineStr">
        <is>
          <t>1603</t>
        </is>
      </c>
      <c r="B1604" s="19" t="inlineStr">
        <is>
          <t>234</t>
        </is>
      </c>
      <c r="C1604" s="19" t="inlineStr">
        <is>
          <t>21</t>
        </is>
      </c>
      <c r="D1604" t="n">
        <v>2.628</v>
      </c>
      <c r="E1604" s="19" t="inlineStr">
        <is>
          <t>18</t>
        </is>
      </c>
      <c r="F1604" t="n">
        <v>5</v>
      </c>
      <c r="G1604" t="b">
        <v>0</v>
      </c>
      <c r="H1604" t="inlineStr">
        <is>
          <t>UOM=KG;WEIGHT_BASIS=RECIPE_QUANTITY_IS_KG;LINE_WEIGHT_KG=2.628;SOURCE_CFG=IA-ST-CFG-0273;SRC_REF=Row 242, Slot 7;SRC_FILE=Mamul Ambalaj Bileşen Listesi-30.07.2026(3).xlsx</t>
        </is>
      </c>
    </row>
    <row r="1605">
      <c r="A1605" s="19" t="inlineStr">
        <is>
          <t>1604</t>
        </is>
      </c>
      <c r="B1605" s="19" t="inlineStr">
        <is>
          <t>234</t>
        </is>
      </c>
      <c r="C1605" s="19" t="inlineStr">
        <is>
          <t>7</t>
        </is>
      </c>
      <c r="D1605" t="n">
        <v>4</v>
      </c>
      <c r="E1605" s="19" t="inlineStr">
        <is>
          <t>18</t>
        </is>
      </c>
      <c r="F1605" t="n">
        <v>6</v>
      </c>
      <c r="G1605" t="b">
        <v>0</v>
      </c>
      <c r="H1605" t="inlineStr">
        <is>
          <t>UOM=ADT;WEIGHT_BASIS=PROCESSED_SOURCE_UNIT_WEIGHT;LINE_WEIGHT_KG=1.08;SOURCE_CFG=IA-ST-CFG-0273;SRC_REF=Row 242, Slot 8;SRC_FILE=Mamul Ambalaj Bileşen Listesi-30.07.2026(3).xlsx</t>
        </is>
      </c>
    </row>
    <row r="1606">
      <c r="A1606" s="19" t="inlineStr">
        <is>
          <t>1605</t>
        </is>
      </c>
      <c r="B1606" s="19" t="inlineStr">
        <is>
          <t>235</t>
        </is>
      </c>
      <c r="C1606" s="19" t="inlineStr">
        <is>
          <t>11</t>
        </is>
      </c>
      <c r="D1606" t="n">
        <v>3</v>
      </c>
      <c r="E1606" s="19" t="inlineStr">
        <is>
          <t>18</t>
        </is>
      </c>
      <c r="F1606" t="n">
        <v>1</v>
      </c>
      <c r="G1606" t="b">
        <v>0</v>
      </c>
      <c r="H1606" t="inlineStr">
        <is>
          <t>UOM=ADT;WEIGHT_BASIS=PROCESSED_SOURCE_UNIT_WEIGHT;LINE_WEIGHT_KG=0.312;SOURCE_CFG=IA-ST-CFG-0274;SRC_REF=Row 646, Slot 1;SRC_FILE=Mamul Ambalaj Bileşen Listesi-30.07.2026(3).xlsx</t>
        </is>
      </c>
    </row>
    <row r="1607">
      <c r="A1607" s="19" t="inlineStr">
        <is>
          <t>1606</t>
        </is>
      </c>
      <c r="B1607" s="19" t="inlineStr">
        <is>
          <t>235</t>
        </is>
      </c>
      <c r="C1607" s="19" t="inlineStr">
        <is>
          <t>13</t>
        </is>
      </c>
      <c r="D1607" t="n">
        <v>14</v>
      </c>
      <c r="E1607" s="19" t="inlineStr">
        <is>
          <t>18</t>
        </is>
      </c>
      <c r="F1607" t="n">
        <v>2</v>
      </c>
      <c r="G1607" t="b">
        <v>0</v>
      </c>
      <c r="H1607" t="inlineStr">
        <is>
          <t>UOM=M;WEIGHT_BASIS=PROCESSED_SOURCE_UNIT_WEIGHT;LINE_WEIGHT_KG=0.1736;SOURCE_CFG=IA-ST-CFG-0274;SRC_REF=Row 646, Slot 2;SRC_FILE=Mamul Ambalaj Bileşen Listesi-30.07.2026(3).xlsx</t>
        </is>
      </c>
    </row>
    <row r="1608">
      <c r="A1608" s="19" t="inlineStr">
        <is>
          <t>1607</t>
        </is>
      </c>
      <c r="B1608" s="19" t="inlineStr">
        <is>
          <t>235</t>
        </is>
      </c>
      <c r="C1608" s="19" t="inlineStr">
        <is>
          <t>5</t>
        </is>
      </c>
      <c r="D1608" t="n">
        <v>1</v>
      </c>
      <c r="E1608" s="19" t="inlineStr">
        <is>
          <t>18</t>
        </is>
      </c>
      <c r="F1608" t="n">
        <v>3</v>
      </c>
      <c r="G1608" t="b">
        <v>0</v>
      </c>
      <c r="H1608" t="inlineStr">
        <is>
          <t>UOM=ADT;WEIGHT_BASIS=PROCESSED_SOURCE_UNIT_WEIGHT;LINE_WEIGHT_KG=26.0;SOURCE_CFG=IA-ST-CFG-0274;SRC_REF=Row 646, Slot 3;SRC_FILE=Mamul Ambalaj Bileşen Listesi-30.07.2026(3).xlsx</t>
        </is>
      </c>
    </row>
    <row r="1609">
      <c r="A1609" s="19" t="inlineStr">
        <is>
          <t>1608</t>
        </is>
      </c>
      <c r="B1609" s="19" t="inlineStr">
        <is>
          <t>235</t>
        </is>
      </c>
      <c r="C1609" s="19" t="inlineStr">
        <is>
          <t>8</t>
        </is>
      </c>
      <c r="D1609" t="n">
        <v>20</v>
      </c>
      <c r="E1609" s="19" t="inlineStr">
        <is>
          <t>18</t>
        </is>
      </c>
      <c r="F1609" t="n">
        <v>4</v>
      </c>
      <c r="G1609" t="b">
        <v>0</v>
      </c>
      <c r="H1609" t="inlineStr">
        <is>
          <t>UOM=M;WEIGHT_BASIS=PROCESSED_SOURCE_UNIT_WEIGHT;LINE_WEIGHT_KG=0.3664;SOURCE_CFG=IA-ST-CFG-0274;SRC_REF=Row 646, Slot 5;SRC_FILE=Mamul Ambalaj Bileşen Listesi-30.07.2026(3).xlsx</t>
        </is>
      </c>
    </row>
    <row r="1610">
      <c r="A1610" s="19" t="inlineStr">
        <is>
          <t>1609</t>
        </is>
      </c>
      <c r="B1610" s="19" t="inlineStr">
        <is>
          <t>235</t>
        </is>
      </c>
      <c r="C1610" s="19" t="inlineStr">
        <is>
          <t>55</t>
        </is>
      </c>
      <c r="D1610" t="n">
        <v>0.597</v>
      </c>
      <c r="E1610" s="19" t="inlineStr">
        <is>
          <t>18</t>
        </is>
      </c>
      <c r="F1610" t="n">
        <v>5</v>
      </c>
      <c r="G1610" t="b">
        <v>0</v>
      </c>
      <c r="H1610" t="inlineStr">
        <is>
          <t>UOM=KG;WEIGHT_BASIS=RECIPE_QUANTITY_IS_KG;LINE_WEIGHT_KG=0.597;SOURCE_CFG=IA-ST-CFG-0274;SRC_REF=Row 646, Slot 6;SRC_FILE=Mamul Ambalaj Bileşen Listesi-30.07.2026(3).xlsx</t>
        </is>
      </c>
    </row>
    <row r="1611">
      <c r="A1611" s="19" t="inlineStr">
        <is>
          <t>1610</t>
        </is>
      </c>
      <c r="B1611" s="19" t="inlineStr">
        <is>
          <t>235</t>
        </is>
      </c>
      <c r="C1611" s="19" t="inlineStr">
        <is>
          <t>7</t>
        </is>
      </c>
      <c r="D1611" t="n">
        <v>4</v>
      </c>
      <c r="E1611" s="19" t="inlineStr">
        <is>
          <t>18</t>
        </is>
      </c>
      <c r="F1611" t="n">
        <v>6</v>
      </c>
      <c r="G1611" t="b">
        <v>0</v>
      </c>
      <c r="H1611" t="inlineStr">
        <is>
          <t>UOM=ADT;WEIGHT_BASIS=PROCESSED_SOURCE_UNIT_WEIGHT;LINE_WEIGHT_KG=1.08;SOURCE_CFG=IA-ST-CFG-0274;SRC_REF=Row 646, Slot 8;SRC_FILE=Mamul Ambalaj Bileşen Listesi-30.07.2026(3).xlsx</t>
        </is>
      </c>
    </row>
    <row r="1612">
      <c r="A1612" s="19" t="inlineStr">
        <is>
          <t>1611</t>
        </is>
      </c>
      <c r="B1612" s="19" t="inlineStr">
        <is>
          <t>235</t>
        </is>
      </c>
      <c r="C1612" s="19" t="inlineStr">
        <is>
          <t>54</t>
        </is>
      </c>
      <c r="D1612" t="n">
        <v>4</v>
      </c>
      <c r="E1612" s="19" t="inlineStr">
        <is>
          <t>18</t>
        </is>
      </c>
      <c r="F1612" t="n">
        <v>7</v>
      </c>
      <c r="G1612" t="b">
        <v>0</v>
      </c>
      <c r="H1612" t="inlineStr">
        <is>
          <t>UOM=ADT;WEIGHT_BASIS=PROCESSED_SOURCE_UNIT_WEIGHT;LINE_WEIGHT_KG=0.12;SOURCE_CFG=IA-ST-CFG-0274;SRC_REF=Row 646, Slot 9;SRC_FILE=Mamul Ambalaj Bileşen Listesi-30.07.2026(3).xlsx</t>
        </is>
      </c>
    </row>
    <row r="1613">
      <c r="A1613" s="19" t="inlineStr">
        <is>
          <t>1612</t>
        </is>
      </c>
      <c r="B1613" s="19" t="inlineStr">
        <is>
          <t>236</t>
        </is>
      </c>
      <c r="C1613" s="19" t="inlineStr">
        <is>
          <t>13</t>
        </is>
      </c>
      <c r="D1613" t="n">
        <v>14</v>
      </c>
      <c r="E1613" s="19" t="inlineStr">
        <is>
          <t>18</t>
        </is>
      </c>
      <c r="F1613" t="n">
        <v>1</v>
      </c>
      <c r="G1613" t="b">
        <v>0</v>
      </c>
      <c r="H1613" t="inlineStr">
        <is>
          <t>UOM=M;WEIGHT_BASIS=PROCESSED_SOURCE_UNIT_WEIGHT;LINE_WEIGHT_KG=0.1736;SOURCE_CFG=IA-ST-CFG-0282;SRC_REF=Row 366, Slot 1;SRC_FILE=Mamul Ambalaj Bileşen Listesi-30.07.2026(3).xlsx</t>
        </is>
      </c>
    </row>
    <row r="1614">
      <c r="A1614" s="19" t="inlineStr">
        <is>
          <t>1613</t>
        </is>
      </c>
      <c r="B1614" s="19" t="inlineStr">
        <is>
          <t>236</t>
        </is>
      </c>
      <c r="C1614" s="19" t="inlineStr">
        <is>
          <t>31</t>
        </is>
      </c>
      <c r="D1614" t="n">
        <v>105</v>
      </c>
      <c r="E1614" s="19" t="inlineStr">
        <is>
          <t>18</t>
        </is>
      </c>
      <c r="F1614" t="n">
        <v>2</v>
      </c>
      <c r="G1614" t="b">
        <v>0</v>
      </c>
      <c r="H1614" t="inlineStr">
        <is>
          <t>UOM=ADT;WEIGHT_BASIS=SOURCE_UNIT_WEIGHT;LINE_WEIGHT_KG=3.8566499999999997;SOURCE_CFG=IA-ST-CFG-0282;SRC_REF=Row 366, Slot 2;SRC_FILE=Mamul Ambalaj Bileşen Listesi-30.07.2026(3).xlsx</t>
        </is>
      </c>
    </row>
    <row r="1615">
      <c r="A1615" s="19" t="inlineStr">
        <is>
          <t>1614</t>
        </is>
      </c>
      <c r="B1615" s="19" t="inlineStr">
        <is>
          <t>236</t>
        </is>
      </c>
      <c r="C1615" s="19" t="inlineStr">
        <is>
          <t>5</t>
        </is>
      </c>
      <c r="D1615" t="n">
        <v>1</v>
      </c>
      <c r="E1615" s="19" t="inlineStr">
        <is>
          <t>18</t>
        </is>
      </c>
      <c r="F1615" t="n">
        <v>3</v>
      </c>
      <c r="G1615" t="b">
        <v>0</v>
      </c>
      <c r="H1615" t="inlineStr">
        <is>
          <t>UOM=ADT;WEIGHT_BASIS=PROCESSED_SOURCE_UNIT_WEIGHT;LINE_WEIGHT_KG=26.0;SOURCE_CFG=IA-ST-CFG-0282;SRC_REF=Row 366, Slot 3;SRC_FILE=Mamul Ambalaj Bileşen Listesi-30.07.2026(3).xlsx</t>
        </is>
      </c>
    </row>
    <row r="1616">
      <c r="A1616" s="19" t="inlineStr">
        <is>
          <t>1615</t>
        </is>
      </c>
      <c r="B1616" s="19" t="inlineStr">
        <is>
          <t>236</t>
        </is>
      </c>
      <c r="C1616" s="19" t="inlineStr">
        <is>
          <t>8</t>
        </is>
      </c>
      <c r="D1616" t="n">
        <v>20</v>
      </c>
      <c r="E1616" s="19" t="inlineStr">
        <is>
          <t>18</t>
        </is>
      </c>
      <c r="F1616" t="n">
        <v>4</v>
      </c>
      <c r="G1616" t="b">
        <v>0</v>
      </c>
      <c r="H1616" t="inlineStr">
        <is>
          <t>UOM=M;WEIGHT_BASIS=PROCESSED_SOURCE_UNIT_WEIGHT;LINE_WEIGHT_KG=0.3664;SOURCE_CFG=IA-ST-CFG-0282;SRC_REF=Row 366, Slot 5;SRC_FILE=Mamul Ambalaj Bileşen Listesi-30.07.2026(3).xlsx</t>
        </is>
      </c>
    </row>
    <row r="1617">
      <c r="A1617" s="19" t="inlineStr">
        <is>
          <t>1616</t>
        </is>
      </c>
      <c r="B1617" s="19" t="inlineStr">
        <is>
          <t>236</t>
        </is>
      </c>
      <c r="C1617" s="19" t="inlineStr">
        <is>
          <t>9</t>
        </is>
      </c>
      <c r="D1617" t="n">
        <v>0.186</v>
      </c>
      <c r="E1617" s="19" t="inlineStr">
        <is>
          <t>18</t>
        </is>
      </c>
      <c r="F1617" t="n">
        <v>5</v>
      </c>
      <c r="G1617" t="b">
        <v>0</v>
      </c>
      <c r="H1617" t="inlineStr">
        <is>
          <t>UOM=KG;WEIGHT_BASIS=RECIPE_QUANTITY_IS_KG;LINE_WEIGHT_KG=0.186;SOURCE_CFG=IA-ST-CFG-0282;SRC_REF=Row 366, Slot 6;SRC_FILE=Mamul Ambalaj Bileşen Listesi-30.07.2026(3).xlsx</t>
        </is>
      </c>
    </row>
    <row r="1618">
      <c r="A1618" s="19" t="inlineStr">
        <is>
          <t>1617</t>
        </is>
      </c>
      <c r="B1618" s="19" t="inlineStr">
        <is>
          <t>236</t>
        </is>
      </c>
      <c r="C1618" s="19" t="inlineStr">
        <is>
          <t>3</t>
        </is>
      </c>
      <c r="D1618" t="n">
        <v>6</v>
      </c>
      <c r="E1618" s="19" t="inlineStr">
        <is>
          <t>18</t>
        </is>
      </c>
      <c r="F1618" t="n">
        <v>6</v>
      </c>
      <c r="G1618" t="b">
        <v>0</v>
      </c>
      <c r="H1618" t="inlineStr">
        <is>
          <t>UOM=ADT;WEIGHT_BASIS=PROCESSED_SOURCE_UNIT_WEIGHT;LINE_WEIGHT_KG=1.26;SOURCE_CFG=IA-ST-CFG-0282;SRC_REF=Row 366, Slot 8;SRC_FILE=Mamul Ambalaj Bileşen Listesi-30.07.2026(3).xlsx</t>
        </is>
      </c>
    </row>
    <row r="1619">
      <c r="A1619" s="19" t="inlineStr">
        <is>
          <t>1618</t>
        </is>
      </c>
      <c r="B1619" s="19" t="inlineStr">
        <is>
          <t>236</t>
        </is>
      </c>
      <c r="C1619" s="19" t="inlineStr">
        <is>
          <t>7</t>
        </is>
      </c>
      <c r="D1619" t="n">
        <v>4</v>
      </c>
      <c r="E1619" s="19" t="inlineStr">
        <is>
          <t>18</t>
        </is>
      </c>
      <c r="F1619" t="n">
        <v>7</v>
      </c>
      <c r="G1619" t="b">
        <v>0</v>
      </c>
      <c r="H1619" t="inlineStr">
        <is>
          <t>UOM=ADT;WEIGHT_BASIS=PROCESSED_SOURCE_UNIT_WEIGHT;LINE_WEIGHT_KG=1.08;SOURCE_CFG=IA-ST-CFG-0282;SRC_REF=Row 366, Slot 9;SRC_FILE=Mamul Ambalaj Bileşen Listesi-30.07.2026(3).xlsx</t>
        </is>
      </c>
    </row>
    <row r="1620">
      <c r="A1620" s="19" t="inlineStr">
        <is>
          <t>1619</t>
        </is>
      </c>
      <c r="B1620" s="19" t="inlineStr">
        <is>
          <t>236</t>
        </is>
      </c>
      <c r="C1620" s="19" t="inlineStr">
        <is>
          <t>33</t>
        </is>
      </c>
      <c r="D1620" t="n">
        <v>105</v>
      </c>
      <c r="E1620" s="19" t="inlineStr">
        <is>
          <t>18</t>
        </is>
      </c>
      <c r="F1620" t="n">
        <v>8</v>
      </c>
      <c r="G1620" t="b">
        <v>0</v>
      </c>
      <c r="H1620" t="inlineStr">
        <is>
          <t>UOM=ADT;WEIGHT_BASIS=PROCESSED_SOURCE_UNIT_WEIGHT;LINE_WEIGHT_KG=22.05;SOURCE_CFG=IA-ST-CFG-0282;SRC_REF=Row 366, Slot 10;SRC_FILE=Mamul Ambalaj Bileşen Listesi-30.07.2026(3).xlsx</t>
        </is>
      </c>
    </row>
    <row r="1621">
      <c r="A1621" s="19" t="inlineStr">
        <is>
          <t>1620</t>
        </is>
      </c>
      <c r="B1621" s="19" t="inlineStr">
        <is>
          <t>237</t>
        </is>
      </c>
      <c r="C1621" s="19" t="inlineStr">
        <is>
          <t>13</t>
        </is>
      </c>
      <c r="D1621" t="n">
        <v>14</v>
      </c>
      <c r="E1621" s="19" t="inlineStr">
        <is>
          <t>18</t>
        </is>
      </c>
      <c r="F1621" t="n">
        <v>1</v>
      </c>
      <c r="G1621" t="b">
        <v>0</v>
      </c>
      <c r="H1621" t="inlineStr">
        <is>
          <t>UOM=M;WEIGHT_BASIS=PROCESSED_SOURCE_UNIT_WEIGHT;LINE_WEIGHT_KG=0.1736;SOURCE_CFG=IA-ST-CFG-0283;SRC_REF=Row 924, Slot 1;SRC_FILE=Mamul Ambalaj Bileşen Listesi-30.07.2026(3).xlsx</t>
        </is>
      </c>
    </row>
    <row r="1622">
      <c r="A1622" s="19" t="inlineStr">
        <is>
          <t>1621</t>
        </is>
      </c>
      <c r="B1622" s="19" t="inlineStr">
        <is>
          <t>237</t>
        </is>
      </c>
      <c r="C1622" s="19" t="inlineStr">
        <is>
          <t>31</t>
        </is>
      </c>
      <c r="D1622" t="n">
        <v>105</v>
      </c>
      <c r="E1622" s="19" t="inlineStr">
        <is>
          <t>18</t>
        </is>
      </c>
      <c r="F1622" t="n">
        <v>2</v>
      </c>
      <c r="G1622" t="b">
        <v>0</v>
      </c>
      <c r="H1622" t="inlineStr">
        <is>
          <t>UOM=ADT;WEIGHT_BASIS=SOURCE_UNIT_WEIGHT;LINE_WEIGHT_KG=3.8566499999999997;SOURCE_CFG=IA-ST-CFG-0283;SRC_REF=Row 924, Slot 2;SRC_FILE=Mamul Ambalaj Bileşen Listesi-30.07.2026(3).xlsx</t>
        </is>
      </c>
    </row>
    <row r="1623">
      <c r="A1623" s="19" t="inlineStr">
        <is>
          <t>1622</t>
        </is>
      </c>
      <c r="B1623" s="19" t="inlineStr">
        <is>
          <t>237</t>
        </is>
      </c>
      <c r="C1623" s="19" t="inlineStr">
        <is>
          <t>5</t>
        </is>
      </c>
      <c r="D1623" t="n">
        <v>1</v>
      </c>
      <c r="E1623" s="19" t="inlineStr">
        <is>
          <t>18</t>
        </is>
      </c>
      <c r="F1623" t="n">
        <v>3</v>
      </c>
      <c r="G1623" t="b">
        <v>0</v>
      </c>
      <c r="H1623" t="inlineStr">
        <is>
          <t>UOM=ADT;WEIGHT_BASIS=PROCESSED_SOURCE_UNIT_WEIGHT;LINE_WEIGHT_KG=26.0;SOURCE_CFG=IA-ST-CFG-0283;SRC_REF=Row 924, Slot 3;SRC_FILE=Mamul Ambalaj Bileşen Listesi-30.07.2026(3).xlsx</t>
        </is>
      </c>
    </row>
    <row r="1624">
      <c r="A1624" s="19" t="inlineStr">
        <is>
          <t>1623</t>
        </is>
      </c>
      <c r="B1624" s="19" t="inlineStr">
        <is>
          <t>237</t>
        </is>
      </c>
      <c r="C1624" s="19" t="inlineStr">
        <is>
          <t>8</t>
        </is>
      </c>
      <c r="D1624" t="n">
        <v>20</v>
      </c>
      <c r="E1624" s="19" t="inlineStr">
        <is>
          <t>18</t>
        </is>
      </c>
      <c r="F1624" t="n">
        <v>4</v>
      </c>
      <c r="G1624" t="b">
        <v>0</v>
      </c>
      <c r="H1624" t="inlineStr">
        <is>
          <t>UOM=M;WEIGHT_BASIS=PROCESSED_SOURCE_UNIT_WEIGHT;LINE_WEIGHT_KG=0.3664;SOURCE_CFG=IA-ST-CFG-0283;SRC_REF=Row 924, Slot 5;SRC_FILE=Mamul Ambalaj Bileşen Listesi-30.07.2026(3).xlsx</t>
        </is>
      </c>
    </row>
    <row r="1625">
      <c r="A1625" s="19" t="inlineStr">
        <is>
          <t>1624</t>
        </is>
      </c>
      <c r="B1625" s="19" t="inlineStr">
        <is>
          <t>237</t>
        </is>
      </c>
      <c r="C1625" s="19" t="inlineStr">
        <is>
          <t>9</t>
        </is>
      </c>
      <c r="D1625" t="n">
        <v>0.186</v>
      </c>
      <c r="E1625" s="19" t="inlineStr">
        <is>
          <t>18</t>
        </is>
      </c>
      <c r="F1625" t="n">
        <v>5</v>
      </c>
      <c r="G1625" t="b">
        <v>0</v>
      </c>
      <c r="H1625" t="inlineStr">
        <is>
          <t>UOM=KG;WEIGHT_BASIS=RECIPE_QUANTITY_IS_KG;LINE_WEIGHT_KG=0.186;SOURCE_CFG=IA-ST-CFG-0283;SRC_REF=Row 924, Slot 6;SRC_FILE=Mamul Ambalaj Bileşen Listesi-30.07.2026(3).xlsx</t>
        </is>
      </c>
    </row>
    <row r="1626">
      <c r="A1626" s="19" t="inlineStr">
        <is>
          <t>1625</t>
        </is>
      </c>
      <c r="B1626" s="19" t="inlineStr">
        <is>
          <t>237</t>
        </is>
      </c>
      <c r="C1626" s="19" t="inlineStr">
        <is>
          <t>3</t>
        </is>
      </c>
      <c r="D1626" t="n">
        <v>8</v>
      </c>
      <c r="E1626" s="19" t="inlineStr">
        <is>
          <t>18</t>
        </is>
      </c>
      <c r="F1626" t="n">
        <v>6</v>
      </c>
      <c r="G1626" t="b">
        <v>0</v>
      </c>
      <c r="H1626" t="inlineStr">
        <is>
          <t>UOM=ADT;WEIGHT_BASIS=PROCESSED_SOURCE_UNIT_WEIGHT;LINE_WEIGHT_KG=1.68;SOURCE_CFG=IA-ST-CFG-0283;SRC_REF=Row 924, Slot 8;SRC_FILE=Mamul Ambalaj Bileşen Listesi-30.07.2026(3).xlsx</t>
        </is>
      </c>
    </row>
    <row r="1627">
      <c r="A1627" s="19" t="inlineStr">
        <is>
          <t>1626</t>
        </is>
      </c>
      <c r="B1627" s="19" t="inlineStr">
        <is>
          <t>237</t>
        </is>
      </c>
      <c r="C1627" s="19" t="inlineStr">
        <is>
          <t>7</t>
        </is>
      </c>
      <c r="D1627" t="n">
        <v>5</v>
      </c>
      <c r="E1627" s="19" t="inlineStr">
        <is>
          <t>18</t>
        </is>
      </c>
      <c r="F1627" t="n">
        <v>7</v>
      </c>
      <c r="G1627" t="b">
        <v>0</v>
      </c>
      <c r="H1627" t="inlineStr">
        <is>
          <t>UOM=ADT;WEIGHT_BASIS=PROCESSED_SOURCE_UNIT_WEIGHT;LINE_WEIGHT_KG=1.35;SOURCE_CFG=IA-ST-CFG-0283;SRC_REF=Row 924, Slot 9;SRC_FILE=Mamul Ambalaj Bileşen Listesi-30.07.2026(3).xlsx</t>
        </is>
      </c>
    </row>
    <row r="1628">
      <c r="A1628" s="19" t="inlineStr">
        <is>
          <t>1627</t>
        </is>
      </c>
      <c r="B1628" s="19" t="inlineStr">
        <is>
          <t>237</t>
        </is>
      </c>
      <c r="C1628" s="19" t="inlineStr">
        <is>
          <t>63</t>
        </is>
      </c>
      <c r="D1628" t="n">
        <v>105</v>
      </c>
      <c r="E1628" s="19" t="inlineStr">
        <is>
          <t>18</t>
        </is>
      </c>
      <c r="F1628" t="n">
        <v>8</v>
      </c>
      <c r="G1628" t="b">
        <v>0</v>
      </c>
      <c r="H1628" t="inlineStr">
        <is>
          <t>UOM=ADT;WEIGHT_BASIS=PROCESSED_SOURCE_UNIT_WEIGHT;LINE_WEIGHT_KG=22.05;SOURCE_CFG=IA-ST-CFG-0283;SRC_REF=Row 924, Slot 10;SRC_FILE=Mamul Ambalaj Bileşen Listesi-30.07.2026(3).xlsx</t>
        </is>
      </c>
    </row>
    <row r="1629">
      <c r="A1629" s="19" t="inlineStr">
        <is>
          <t>1628</t>
        </is>
      </c>
      <c r="B1629" s="19" t="inlineStr">
        <is>
          <t>238</t>
        </is>
      </c>
      <c r="C1629" s="19" t="inlineStr">
        <is>
          <t>13</t>
        </is>
      </c>
      <c r="D1629" t="n">
        <v>14</v>
      </c>
      <c r="E1629" s="19" t="inlineStr">
        <is>
          <t>18</t>
        </is>
      </c>
      <c r="F1629" t="n">
        <v>1</v>
      </c>
      <c r="G1629" t="b">
        <v>0</v>
      </c>
      <c r="H1629" t="inlineStr">
        <is>
          <t>UOM=M;WEIGHT_BASIS=PROCESSED_SOURCE_UNIT_WEIGHT;LINE_WEIGHT_KG=0.1736;SOURCE_CFG=IA-ST-CFG-0284;SRC_REF=Row 133, Slot 1;SRC_FILE=Mamul Ambalaj Bileşen Listesi-30.07.2026(3).xlsx</t>
        </is>
      </c>
    </row>
    <row r="1630">
      <c r="A1630" s="19" t="inlineStr">
        <is>
          <t>1629</t>
        </is>
      </c>
      <c r="B1630" s="19" t="inlineStr">
        <is>
          <t>238</t>
        </is>
      </c>
      <c r="C1630" s="19" t="inlineStr">
        <is>
          <t>27</t>
        </is>
      </c>
      <c r="D1630" t="n">
        <v>120</v>
      </c>
      <c r="E1630" s="19" t="inlineStr">
        <is>
          <t>18</t>
        </is>
      </c>
      <c r="F1630" t="n">
        <v>2</v>
      </c>
      <c r="G1630" t="b">
        <v>0</v>
      </c>
      <c r="H1630" t="inlineStr">
        <is>
          <t>UOM=ADT;WEIGHT_BASIS=SOURCE_UNIT_WEIGHT;LINE_WEIGHT_KG=4.4075999999999995;SOURCE_CFG=IA-ST-CFG-0284;SRC_REF=Row 133, Slot 2;SRC_FILE=Mamul Ambalaj Bileşen Listesi-30.07.2026(3).xlsx</t>
        </is>
      </c>
    </row>
    <row r="1631">
      <c r="A1631" s="19" t="inlineStr">
        <is>
          <t>1630</t>
        </is>
      </c>
      <c r="B1631" s="19" t="inlineStr">
        <is>
          <t>238</t>
        </is>
      </c>
      <c r="C1631" s="19" t="inlineStr">
        <is>
          <t>5</t>
        </is>
      </c>
      <c r="D1631" t="n">
        <v>1</v>
      </c>
      <c r="E1631" s="19" t="inlineStr">
        <is>
          <t>18</t>
        </is>
      </c>
      <c r="F1631" t="n">
        <v>3</v>
      </c>
      <c r="G1631" t="b">
        <v>0</v>
      </c>
      <c r="H1631" t="inlineStr">
        <is>
          <t>UOM=ADT;WEIGHT_BASIS=PROCESSED_SOURCE_UNIT_WEIGHT;LINE_WEIGHT_KG=26.0;SOURCE_CFG=IA-ST-CFG-0284;SRC_REF=Row 133, Slot 3;SRC_FILE=Mamul Ambalaj Bileşen Listesi-30.07.2026(3).xlsx</t>
        </is>
      </c>
    </row>
    <row r="1632">
      <c r="A1632" s="19" t="inlineStr">
        <is>
          <t>1631</t>
        </is>
      </c>
      <c r="B1632" s="19" t="inlineStr">
        <is>
          <t>238</t>
        </is>
      </c>
      <c r="C1632" s="19" t="inlineStr">
        <is>
          <t>8</t>
        </is>
      </c>
      <c r="D1632" t="n">
        <v>20</v>
      </c>
      <c r="E1632" s="19" t="inlineStr">
        <is>
          <t>18</t>
        </is>
      </c>
      <c r="F1632" t="n">
        <v>4</v>
      </c>
      <c r="G1632" t="b">
        <v>0</v>
      </c>
      <c r="H1632" t="inlineStr">
        <is>
          <t>UOM=M;WEIGHT_BASIS=PROCESSED_SOURCE_UNIT_WEIGHT;LINE_WEIGHT_KG=0.3664;SOURCE_CFG=IA-ST-CFG-0284;SRC_REF=Row 133, Slot 5;SRC_FILE=Mamul Ambalaj Bileşen Listesi-30.07.2026(3).xlsx</t>
        </is>
      </c>
    </row>
    <row r="1633">
      <c r="A1633" s="19" t="inlineStr">
        <is>
          <t>1632</t>
        </is>
      </c>
      <c r="B1633" s="19" t="inlineStr">
        <is>
          <t>238</t>
        </is>
      </c>
      <c r="C1633" s="19" t="inlineStr">
        <is>
          <t>9</t>
        </is>
      </c>
      <c r="D1633" t="n">
        <v>0.186</v>
      </c>
      <c r="E1633" s="19" t="inlineStr">
        <is>
          <t>18</t>
        </is>
      </c>
      <c r="F1633" t="n">
        <v>5</v>
      </c>
      <c r="G1633" t="b">
        <v>0</v>
      </c>
      <c r="H1633" t="inlineStr">
        <is>
          <t>UOM=KG;WEIGHT_BASIS=RECIPE_QUANTITY_IS_KG;LINE_WEIGHT_KG=0.186;SOURCE_CFG=IA-ST-CFG-0284;SRC_REF=Row 133, Slot 6;SRC_FILE=Mamul Ambalaj Bileşen Listesi-30.07.2026(3).xlsx</t>
        </is>
      </c>
    </row>
    <row r="1634">
      <c r="A1634" s="19" t="inlineStr">
        <is>
          <t>1633</t>
        </is>
      </c>
      <c r="B1634" s="19" t="inlineStr">
        <is>
          <t>238</t>
        </is>
      </c>
      <c r="C1634" s="19" t="inlineStr">
        <is>
          <t>20</t>
        </is>
      </c>
      <c r="D1634" t="n">
        <v>2.754</v>
      </c>
      <c r="E1634" s="19" t="inlineStr">
        <is>
          <t>18</t>
        </is>
      </c>
      <c r="F1634" t="n">
        <v>6</v>
      </c>
      <c r="G1634" t="b">
        <v>0</v>
      </c>
      <c r="H1634" t="inlineStr">
        <is>
          <t>UOM=KG;WEIGHT_BASIS=RECIPE_QUANTITY_IS_KG;LINE_WEIGHT_KG=2.754;SOURCE_CFG=IA-ST-CFG-0284;SRC_REF=Row 133, Slot 7;SRC_FILE=Mamul Ambalaj Bileşen Listesi-30.07.2026(3).xlsx</t>
        </is>
      </c>
    </row>
    <row r="1635">
      <c r="A1635" s="19" t="inlineStr">
        <is>
          <t>1634</t>
        </is>
      </c>
      <c r="B1635" s="19" t="inlineStr">
        <is>
          <t>238</t>
        </is>
      </c>
      <c r="C1635" s="19" t="inlineStr">
        <is>
          <t>7</t>
        </is>
      </c>
      <c r="D1635" t="n">
        <v>4</v>
      </c>
      <c r="E1635" s="19" t="inlineStr">
        <is>
          <t>18</t>
        </is>
      </c>
      <c r="F1635" t="n">
        <v>7</v>
      </c>
      <c r="G1635" t="b">
        <v>0</v>
      </c>
      <c r="H1635" t="inlineStr">
        <is>
          <t>UOM=ADT;WEIGHT_BASIS=PROCESSED_SOURCE_UNIT_WEIGHT;LINE_WEIGHT_KG=1.08;SOURCE_CFG=IA-ST-CFG-0284;SRC_REF=Row 133, Slot 8;SRC_FILE=Mamul Ambalaj Bileşen Listesi-30.07.2026(3).xlsx</t>
        </is>
      </c>
    </row>
    <row r="1636">
      <c r="A1636" s="19" t="inlineStr">
        <is>
          <t>1635</t>
        </is>
      </c>
      <c r="B1636" s="19" t="inlineStr">
        <is>
          <t>238</t>
        </is>
      </c>
      <c r="C1636" s="19" t="inlineStr">
        <is>
          <t>25</t>
        </is>
      </c>
      <c r="D1636" t="n">
        <v>4</v>
      </c>
      <c r="E1636" s="19" t="inlineStr">
        <is>
          <t>18</t>
        </is>
      </c>
      <c r="F1636" t="n">
        <v>8</v>
      </c>
      <c r="G1636" t="b">
        <v>0</v>
      </c>
      <c r="H1636" t="inlineStr">
        <is>
          <t>UOM=ADT;WEIGHT_BASIS=PROCESSED_SOURCE_UNIT_WEIGHT;LINE_WEIGHT_KG=0.4;SOURCE_CFG=IA-ST-CFG-0284;SRC_REF=Row 133, Slot 9;SRC_FILE=Mamul Ambalaj Bileşen Listesi-30.07.2026(3).xlsx</t>
        </is>
      </c>
    </row>
    <row r="1637">
      <c r="A1637" s="19" t="inlineStr">
        <is>
          <t>1636</t>
        </is>
      </c>
      <c r="B1637" s="19" t="inlineStr">
        <is>
          <t>239</t>
        </is>
      </c>
      <c r="C1637" s="19" t="inlineStr">
        <is>
          <t>27</t>
        </is>
      </c>
      <c r="D1637" t="n">
        <v>120</v>
      </c>
      <c r="E1637" s="19" t="inlineStr">
        <is>
          <t>18</t>
        </is>
      </c>
      <c r="F1637" t="n">
        <v>1</v>
      </c>
      <c r="G1637" t="b">
        <v>0</v>
      </c>
      <c r="H1637" t="inlineStr">
        <is>
          <t>UOM=ADT;WEIGHT_BASIS=SOURCE_UNIT_WEIGHT;LINE_WEIGHT_KG=4.4075999999999995;SOURCE_CFG=IA-ST-CFG-0285;SRC_REF=Row 256, Slot 1;SRC_FILE=Mamul Ambalaj Bileşen Listesi-30.07.2026(3).xlsx</t>
        </is>
      </c>
    </row>
    <row r="1638">
      <c r="A1638" s="19" t="inlineStr">
        <is>
          <t>1637</t>
        </is>
      </c>
      <c r="B1638" s="19" t="inlineStr">
        <is>
          <t>239</t>
        </is>
      </c>
      <c r="C1638" s="19" t="inlineStr">
        <is>
          <t>5</t>
        </is>
      </c>
      <c r="D1638" t="n">
        <v>1</v>
      </c>
      <c r="E1638" s="19" t="inlineStr">
        <is>
          <t>18</t>
        </is>
      </c>
      <c r="F1638" t="n">
        <v>2</v>
      </c>
      <c r="G1638" t="b">
        <v>0</v>
      </c>
      <c r="H1638" t="inlineStr">
        <is>
          <t>UOM=ADT;WEIGHT_BASIS=PROCESSED_SOURCE_UNIT_WEIGHT;LINE_WEIGHT_KG=26.0;SOURCE_CFG=IA-ST-CFG-0285;SRC_REF=Row 256, Slot 3;SRC_FILE=Mamul Ambalaj Bileşen Listesi-30.07.2026(3).xlsx</t>
        </is>
      </c>
    </row>
    <row r="1639">
      <c r="A1639" s="19" t="inlineStr">
        <is>
          <t>1638</t>
        </is>
      </c>
      <c r="B1639" s="19" t="inlineStr">
        <is>
          <t>239</t>
        </is>
      </c>
      <c r="C1639" s="19" t="inlineStr">
        <is>
          <t>8</t>
        </is>
      </c>
      <c r="D1639" t="n">
        <v>20</v>
      </c>
      <c r="E1639" s="19" t="inlineStr">
        <is>
          <t>18</t>
        </is>
      </c>
      <c r="F1639" t="n">
        <v>3</v>
      </c>
      <c r="G1639" t="b">
        <v>0</v>
      </c>
      <c r="H1639" t="inlineStr">
        <is>
          <t>UOM=M;WEIGHT_BASIS=PROCESSED_SOURCE_UNIT_WEIGHT;LINE_WEIGHT_KG=0.3664;SOURCE_CFG=IA-ST-CFG-0285;SRC_REF=Row 256, Slot 5;SRC_FILE=Mamul Ambalaj Bileşen Listesi-30.07.2026(3).xlsx</t>
        </is>
      </c>
    </row>
    <row r="1640">
      <c r="A1640" s="19" t="inlineStr">
        <is>
          <t>1639</t>
        </is>
      </c>
      <c r="B1640" s="19" t="inlineStr">
        <is>
          <t>239</t>
        </is>
      </c>
      <c r="C1640" s="19" t="inlineStr">
        <is>
          <t>9</t>
        </is>
      </c>
      <c r="D1640" t="n">
        <v>0.186</v>
      </c>
      <c r="E1640" s="19" t="inlineStr">
        <is>
          <t>18</t>
        </is>
      </c>
      <c r="F1640" t="n">
        <v>4</v>
      </c>
      <c r="G1640" t="b">
        <v>0</v>
      </c>
      <c r="H1640" t="inlineStr">
        <is>
          <t>UOM=KG;WEIGHT_BASIS=RECIPE_QUANTITY_IS_KG;LINE_WEIGHT_KG=0.186;SOURCE_CFG=IA-ST-CFG-0285;SRC_REF=Row 256, Slot 6;SRC_FILE=Mamul Ambalaj Bileşen Listesi-30.07.2026(3).xlsx</t>
        </is>
      </c>
    </row>
    <row r="1641">
      <c r="A1641" s="19" t="inlineStr">
        <is>
          <t>1640</t>
        </is>
      </c>
      <c r="B1641" s="19" t="inlineStr">
        <is>
          <t>239</t>
        </is>
      </c>
      <c r="C1641" s="19" t="inlineStr">
        <is>
          <t>20</t>
        </is>
      </c>
      <c r="D1641" t="n">
        <v>2.754</v>
      </c>
      <c r="E1641" s="19" t="inlineStr">
        <is>
          <t>18</t>
        </is>
      </c>
      <c r="F1641" t="n">
        <v>5</v>
      </c>
      <c r="G1641" t="b">
        <v>0</v>
      </c>
      <c r="H1641" t="inlineStr">
        <is>
          <t>UOM=KG;WEIGHT_BASIS=RECIPE_QUANTITY_IS_KG;LINE_WEIGHT_KG=2.754;SOURCE_CFG=IA-ST-CFG-0285;SRC_REF=Row 256, Slot 7;SRC_FILE=Mamul Ambalaj Bileşen Listesi-30.07.2026(3).xlsx</t>
        </is>
      </c>
    </row>
    <row r="1642">
      <c r="A1642" s="19" t="inlineStr">
        <is>
          <t>1641</t>
        </is>
      </c>
      <c r="B1642" s="19" t="inlineStr">
        <is>
          <t>239</t>
        </is>
      </c>
      <c r="C1642" s="19" t="inlineStr">
        <is>
          <t>7</t>
        </is>
      </c>
      <c r="D1642" t="n">
        <v>4</v>
      </c>
      <c r="E1642" s="19" t="inlineStr">
        <is>
          <t>18</t>
        </is>
      </c>
      <c r="F1642" t="n">
        <v>6</v>
      </c>
      <c r="G1642" t="b">
        <v>0</v>
      </c>
      <c r="H1642" t="inlineStr">
        <is>
          <t>UOM=ADT;WEIGHT_BASIS=PROCESSED_SOURCE_UNIT_WEIGHT;LINE_WEIGHT_KG=1.08;SOURCE_CFG=IA-ST-CFG-0285;SRC_REF=Row 256, Slot 8;SRC_FILE=Mamul Ambalaj Bileşen Listesi-30.07.2026(3).xlsx</t>
        </is>
      </c>
    </row>
    <row r="1643">
      <c r="A1643" s="19" t="inlineStr">
        <is>
          <t>1642</t>
        </is>
      </c>
      <c r="B1643" s="19" t="inlineStr">
        <is>
          <t>240</t>
        </is>
      </c>
      <c r="C1643" s="19" t="inlineStr">
        <is>
          <t>11</t>
        </is>
      </c>
      <c r="D1643" t="n">
        <v>3</v>
      </c>
      <c r="E1643" s="19" t="inlineStr">
        <is>
          <t>18</t>
        </is>
      </c>
      <c r="F1643" t="n">
        <v>1</v>
      </c>
      <c r="G1643" t="b">
        <v>0</v>
      </c>
      <c r="H1643" t="inlineStr">
        <is>
          <t>UOM=ADT;WEIGHT_BASIS=PROCESSED_SOURCE_UNIT_WEIGHT;LINE_WEIGHT_KG=0.312;SOURCE_CFG=IA-ST-CFG-0286;SRC_REF=Row 648, Slot 1;SRC_FILE=Mamul Ambalaj Bileşen Listesi-30.07.2026(3).xlsx</t>
        </is>
      </c>
    </row>
    <row r="1644">
      <c r="A1644" s="19" t="inlineStr">
        <is>
          <t>1643</t>
        </is>
      </c>
      <c r="B1644" s="19" t="inlineStr">
        <is>
          <t>240</t>
        </is>
      </c>
      <c r="C1644" s="19" t="inlineStr">
        <is>
          <t>13</t>
        </is>
      </c>
      <c r="D1644" t="n">
        <v>14</v>
      </c>
      <c r="E1644" s="19" t="inlineStr">
        <is>
          <t>18</t>
        </is>
      </c>
      <c r="F1644" t="n">
        <v>2</v>
      </c>
      <c r="G1644" t="b">
        <v>0</v>
      </c>
      <c r="H1644" t="inlineStr">
        <is>
          <t>UOM=M;WEIGHT_BASIS=PROCESSED_SOURCE_UNIT_WEIGHT;LINE_WEIGHT_KG=0.1736;SOURCE_CFG=IA-ST-CFG-0286;SRC_REF=Row 648, Slot 2;SRC_FILE=Mamul Ambalaj Bileşen Listesi-30.07.2026(3).xlsx</t>
        </is>
      </c>
    </row>
    <row r="1645">
      <c r="A1645" s="19" t="inlineStr">
        <is>
          <t>1644</t>
        </is>
      </c>
      <c r="B1645" s="19" t="inlineStr">
        <is>
          <t>240</t>
        </is>
      </c>
      <c r="C1645" s="19" t="inlineStr">
        <is>
          <t>5</t>
        </is>
      </c>
      <c r="D1645" t="n">
        <v>1</v>
      </c>
      <c r="E1645" s="19" t="inlineStr">
        <is>
          <t>18</t>
        </is>
      </c>
      <c r="F1645" t="n">
        <v>3</v>
      </c>
      <c r="G1645" t="b">
        <v>0</v>
      </c>
      <c r="H1645" t="inlineStr">
        <is>
          <t>UOM=ADT;WEIGHT_BASIS=PROCESSED_SOURCE_UNIT_WEIGHT;LINE_WEIGHT_KG=26.0;SOURCE_CFG=IA-ST-CFG-0286;SRC_REF=Row 648, Slot 3;SRC_FILE=Mamul Ambalaj Bileşen Listesi-30.07.2026(3).xlsx</t>
        </is>
      </c>
    </row>
    <row r="1646">
      <c r="A1646" s="19" t="inlineStr">
        <is>
          <t>1645</t>
        </is>
      </c>
      <c r="B1646" s="19" t="inlineStr">
        <is>
          <t>240</t>
        </is>
      </c>
      <c r="C1646" s="19" t="inlineStr">
        <is>
          <t>8</t>
        </is>
      </c>
      <c r="D1646" t="n">
        <v>20</v>
      </c>
      <c r="E1646" s="19" t="inlineStr">
        <is>
          <t>18</t>
        </is>
      </c>
      <c r="F1646" t="n">
        <v>4</v>
      </c>
      <c r="G1646" t="b">
        <v>0</v>
      </c>
      <c r="H1646" t="inlineStr">
        <is>
          <t>UOM=M;WEIGHT_BASIS=PROCESSED_SOURCE_UNIT_WEIGHT;LINE_WEIGHT_KG=0.3664;SOURCE_CFG=IA-ST-CFG-0286;SRC_REF=Row 648, Slot 5;SRC_FILE=Mamul Ambalaj Bileşen Listesi-30.07.2026(3).xlsx</t>
        </is>
      </c>
    </row>
    <row r="1647">
      <c r="A1647" s="19" t="inlineStr">
        <is>
          <t>1646</t>
        </is>
      </c>
      <c r="B1647" s="19" t="inlineStr">
        <is>
          <t>240</t>
        </is>
      </c>
      <c r="C1647" s="19" t="inlineStr">
        <is>
          <t>55</t>
        </is>
      </c>
      <c r="D1647" t="n">
        <v>0.597</v>
      </c>
      <c r="E1647" s="19" t="inlineStr">
        <is>
          <t>18</t>
        </is>
      </c>
      <c r="F1647" t="n">
        <v>5</v>
      </c>
      <c r="G1647" t="b">
        <v>0</v>
      </c>
      <c r="H1647" t="inlineStr">
        <is>
          <t>UOM=KG;WEIGHT_BASIS=RECIPE_QUANTITY_IS_KG;LINE_WEIGHT_KG=0.597;SOURCE_CFG=IA-ST-CFG-0286;SRC_REF=Row 648, Slot 6;SRC_FILE=Mamul Ambalaj Bileşen Listesi-30.07.2026(3).xlsx</t>
        </is>
      </c>
    </row>
    <row r="1648">
      <c r="A1648" s="19" t="inlineStr">
        <is>
          <t>1647</t>
        </is>
      </c>
      <c r="B1648" s="19" t="inlineStr">
        <is>
          <t>240</t>
        </is>
      </c>
      <c r="C1648" s="19" t="inlineStr">
        <is>
          <t>7</t>
        </is>
      </c>
      <c r="D1648" t="n">
        <v>4</v>
      </c>
      <c r="E1648" s="19" t="inlineStr">
        <is>
          <t>18</t>
        </is>
      </c>
      <c r="F1648" t="n">
        <v>6</v>
      </c>
      <c r="G1648" t="b">
        <v>0</v>
      </c>
      <c r="H1648" t="inlineStr">
        <is>
          <t>UOM=ADT;WEIGHT_BASIS=PROCESSED_SOURCE_UNIT_WEIGHT;LINE_WEIGHT_KG=1.08;SOURCE_CFG=IA-ST-CFG-0286;SRC_REF=Row 648, Slot 8;SRC_FILE=Mamul Ambalaj Bileşen Listesi-30.07.2026(3).xlsx</t>
        </is>
      </c>
    </row>
    <row r="1649">
      <c r="A1649" s="19" t="inlineStr">
        <is>
          <t>1648</t>
        </is>
      </c>
      <c r="B1649" s="19" t="inlineStr">
        <is>
          <t>240</t>
        </is>
      </c>
      <c r="C1649" s="19" t="inlineStr">
        <is>
          <t>54</t>
        </is>
      </c>
      <c r="D1649" t="n">
        <v>4</v>
      </c>
      <c r="E1649" s="19" t="inlineStr">
        <is>
          <t>18</t>
        </is>
      </c>
      <c r="F1649" t="n">
        <v>7</v>
      </c>
      <c r="G1649" t="b">
        <v>0</v>
      </c>
      <c r="H1649" t="inlineStr">
        <is>
          <t>UOM=ADT;WEIGHT_BASIS=PROCESSED_SOURCE_UNIT_WEIGHT;LINE_WEIGHT_KG=0.12;SOURCE_CFG=IA-ST-CFG-0286;SRC_REF=Row 648, Slot 9;SRC_FILE=Mamul Ambalaj Bileşen Listesi-30.07.2026(3).xlsx</t>
        </is>
      </c>
    </row>
    <row r="1650">
      <c r="A1650" s="19" t="inlineStr">
        <is>
          <t>1649</t>
        </is>
      </c>
      <c r="B1650" s="19" t="inlineStr">
        <is>
          <t>241</t>
        </is>
      </c>
      <c r="C1650" s="19" t="inlineStr">
        <is>
          <t>4</t>
        </is>
      </c>
      <c r="D1650" t="n">
        <v>10</v>
      </c>
      <c r="E1650" s="19" t="inlineStr">
        <is>
          <t>18</t>
        </is>
      </c>
      <c r="F1650" t="n">
        <v>1</v>
      </c>
      <c r="G1650" t="b">
        <v>0</v>
      </c>
      <c r="H1650" t="inlineStr">
        <is>
          <t>UOM=M;WEIGHT_BASIS=DIRECT_SOURCE_APPLIED_MASS;LINE_WEIGHT_KG=0.1165;SOURCE_CFG=IA-IND-24V;SRC_REF=Sayfa1:Row 4 (24V);SRC_FILE=Endüstriyel Ambalaj Miktarı Çalışması(5).xlsx</t>
        </is>
      </c>
    </row>
    <row r="1651">
      <c r="A1651" s="19" t="inlineStr">
        <is>
          <t>1650</t>
        </is>
      </c>
      <c r="B1651" s="19" t="inlineStr">
        <is>
          <t>241</t>
        </is>
      </c>
      <c r="C1651" s="19" t="inlineStr">
        <is>
          <t>9</t>
        </is>
      </c>
      <c r="D1651" t="n">
        <v>0.0509</v>
      </c>
      <c r="E1651" s="19" t="inlineStr">
        <is>
          <t>18</t>
        </is>
      </c>
      <c r="F1651" t="n">
        <v>2</v>
      </c>
      <c r="G1651" t="b">
        <v>0</v>
      </c>
      <c r="H1651" t="inlineStr">
        <is>
          <t>UOM=KG;WEIGHT_BASIS=DIRECT_SOURCE_MASS_UOM;LINE_WEIGHT_KG=0.0509;SOURCE_CFG=IA-IND-24V;SRC_REF=Sayfa1:Row 5 (24V);SRC_FILE=Endüstriyel Ambalaj Miktarı Çalışması(5).xlsx</t>
        </is>
      </c>
    </row>
    <row r="1652">
      <c r="A1652" s="19" t="inlineStr">
        <is>
          <t>1651</t>
        </is>
      </c>
      <c r="B1652" s="19" t="inlineStr">
        <is>
          <t>241</t>
        </is>
      </c>
      <c r="C1652" s="19" t="inlineStr">
        <is>
          <t>86</t>
        </is>
      </c>
      <c r="D1652" t="n">
        <v>8</v>
      </c>
      <c r="E1652" s="19" t="inlineStr">
        <is>
          <t>18</t>
        </is>
      </c>
      <c r="F1652" t="n">
        <v>3</v>
      </c>
      <c r="G1652" t="b">
        <v>0</v>
      </c>
      <c r="H1652" t="inlineStr">
        <is>
          <t>UOM=M;WEIGHT_BASIS=DIRECT_SOURCE_APPLIED_MASS;LINE_WEIGHT_KG=0.0756;SOURCE_CFG=IA-IND-24V;SRC_REF=Sayfa1:Row 6 (24V);SRC_FILE=Endüstriyel Ambalaj Miktarı Çalışması(5).xlsx</t>
        </is>
      </c>
    </row>
    <row r="1653">
      <c r="A1653" s="19" t="inlineStr">
        <is>
          <t>1652</t>
        </is>
      </c>
      <c r="B1653" s="19" t="inlineStr">
        <is>
          <t>241</t>
        </is>
      </c>
      <c r="C1653" s="19" t="inlineStr">
        <is>
          <t>2</t>
        </is>
      </c>
      <c r="D1653" t="n">
        <v>1</v>
      </c>
      <c r="E1653" s="19" t="inlineStr">
        <is>
          <t>18</t>
        </is>
      </c>
      <c r="F1653" t="n">
        <v>4</v>
      </c>
      <c r="G1653" t="b">
        <v>0</v>
      </c>
      <c r="H1653" t="inlineStr">
        <is>
          <t>UOM=ADT;WEIGHT_BASIS=DIRECT_SOURCE_APPLIED_MASS;LINE_WEIGHT_KG=1.14;SOURCE_CFG=IA-IND-24V;SRC_REF=Sayfa1:Row 7 (24V);SRC_FILE=Endüstriyel Ambalaj Miktarı Çalışması(5).xlsx</t>
        </is>
      </c>
    </row>
    <row r="1654">
      <c r="A1654" s="19" t="inlineStr">
        <is>
          <t>1653</t>
        </is>
      </c>
      <c r="B1654" s="19" t="inlineStr">
        <is>
          <t>241</t>
        </is>
      </c>
      <c r="C1654" s="19" t="inlineStr">
        <is>
          <t>42</t>
        </is>
      </c>
      <c r="D1654" t="n">
        <v>1</v>
      </c>
      <c r="E1654" s="19" t="inlineStr">
        <is>
          <t>18</t>
        </is>
      </c>
      <c r="F1654" t="n">
        <v>5</v>
      </c>
      <c r="G1654" t="b">
        <v>0</v>
      </c>
      <c r="H1654" t="inlineStr">
        <is>
          <t>UOM=ADT;WEIGHT_BASIS=DIRECT_SOURCE_OPERATIONAL_PALLET_MASS;LINE_WEIGHT_KG=26.0;SOURCE_CFG=IA-IND-24V;SRC_REF=Palet-1 = 26 kg; ERP mapping 4001005 / 800*1250;SRC_FILE=Endüstriyel Ambalaj Miktarı Çalışması(5).xlsx</t>
        </is>
      </c>
    </row>
    <row r="1655">
      <c r="A1655" s="19" t="inlineStr">
        <is>
          <t>1654</t>
        </is>
      </c>
      <c r="B1655" s="19" t="inlineStr">
        <is>
          <t>241</t>
        </is>
      </c>
      <c r="C1655" s="19" t="inlineStr">
        <is>
          <t>112</t>
        </is>
      </c>
      <c r="D1655" t="n">
        <v>1</v>
      </c>
      <c r="E1655" s="19" t="inlineStr">
        <is>
          <t>18</t>
        </is>
      </c>
      <c r="F1655" t="n">
        <v>6</v>
      </c>
      <c r="G1655" t="b">
        <v>0</v>
      </c>
      <c r="H1655" t="inlineStr">
        <is>
          <t>UOM=SET;WEIGHT_BASIS=DIRECT_SOURCE_LINE_MASS;LINE_WEIGHT_KG=0.005;SOURCE_CFG=IA-IND-24V;SRC_REF=Tüm Etiketler = 5 g;SRC_FILE=Endüstriyel Ambalaj Miktarı Çalışması(5).xlsx</t>
        </is>
      </c>
    </row>
    <row r="1656">
      <c r="A1656" s="19" t="inlineStr">
        <is>
          <t>1655</t>
        </is>
      </c>
      <c r="B1656" s="19" t="inlineStr">
        <is>
          <t>242</t>
        </is>
      </c>
      <c r="C1656" s="19" t="inlineStr">
        <is>
          <t>4</t>
        </is>
      </c>
      <c r="D1656" t="n">
        <v>10</v>
      </c>
      <c r="E1656" s="19" t="inlineStr">
        <is>
          <t>18</t>
        </is>
      </c>
      <c r="F1656" t="n">
        <v>1</v>
      </c>
      <c r="G1656" t="b">
        <v>0</v>
      </c>
      <c r="H1656" t="inlineStr">
        <is>
          <t>UOM=M;WEIGHT_BASIS=DIRECT_SOURCE_APPLIED_MASS;LINE_WEIGHT_KG=0.1485;SOURCE_CFG=IA-IND-48V;SRC_REF=Sayfa1:Row 4 (48V);SRC_FILE=Endüstriyel Ambalaj Miktarı Çalışması(5).xlsx</t>
        </is>
      </c>
    </row>
    <row r="1657">
      <c r="A1657" s="19" t="inlineStr">
        <is>
          <t>1656</t>
        </is>
      </c>
      <c r="B1657" s="19" t="inlineStr">
        <is>
          <t>242</t>
        </is>
      </c>
      <c r="C1657" s="19" t="inlineStr">
        <is>
          <t>9</t>
        </is>
      </c>
      <c r="D1657" t="n">
        <v>0.1919</v>
      </c>
      <c r="E1657" s="19" t="inlineStr">
        <is>
          <t>18</t>
        </is>
      </c>
      <c r="F1657" t="n">
        <v>2</v>
      </c>
      <c r="G1657" t="b">
        <v>0</v>
      </c>
      <c r="H1657" t="inlineStr">
        <is>
          <t>UOM=KG;WEIGHT_BASIS=DIRECT_SOURCE_MASS_UOM;LINE_WEIGHT_KG=0.1919;SOURCE_CFG=IA-IND-48V;SRC_REF=Sayfa1:Row 5 (48V);SRC_FILE=Endüstriyel Ambalaj Miktarı Çalışması(5).xlsx</t>
        </is>
      </c>
    </row>
    <row r="1658">
      <c r="A1658" s="19" t="inlineStr">
        <is>
          <t>1657</t>
        </is>
      </c>
      <c r="B1658" s="19" t="inlineStr">
        <is>
          <t>242</t>
        </is>
      </c>
      <c r="C1658" s="19" t="inlineStr">
        <is>
          <t>86</t>
        </is>
      </c>
      <c r="D1658" t="n">
        <v>8</v>
      </c>
      <c r="E1658" s="19" t="inlineStr">
        <is>
          <t>18</t>
        </is>
      </c>
      <c r="F1658" t="n">
        <v>3</v>
      </c>
      <c r="G1658" t="b">
        <v>0</v>
      </c>
      <c r="H1658" t="inlineStr">
        <is>
          <t>UOM=M;WEIGHT_BASIS=DIRECT_SOURCE_APPLIED_MASS;LINE_WEIGHT_KG=0.0913;SOURCE_CFG=IA-IND-48V;SRC_REF=Sayfa1:Row 6 (48V);SRC_FILE=Endüstriyel Ambalaj Miktarı Çalışması(5).xlsx</t>
        </is>
      </c>
    </row>
    <row r="1659">
      <c r="A1659" s="19" t="inlineStr">
        <is>
          <t>1658</t>
        </is>
      </c>
      <c r="B1659" s="19" t="inlineStr">
        <is>
          <t>242</t>
        </is>
      </c>
      <c r="C1659" s="19" t="inlineStr">
        <is>
          <t>2</t>
        </is>
      </c>
      <c r="D1659" t="n">
        <v>1</v>
      </c>
      <c r="E1659" s="19" t="inlineStr">
        <is>
          <t>18</t>
        </is>
      </c>
      <c r="F1659" t="n">
        <v>4</v>
      </c>
      <c r="G1659" t="b">
        <v>0</v>
      </c>
      <c r="H1659" t="inlineStr">
        <is>
          <t>UOM=ADT;WEIGHT_BASIS=DIRECT_SOURCE_APPLIED_MASS;LINE_WEIGHT_KG=1.14;SOURCE_CFG=IA-IND-48V;SRC_REF=Sayfa1:Row 7 (48V);SRC_FILE=Endüstriyel Ambalaj Miktarı Çalışması(5).xlsx</t>
        </is>
      </c>
    </row>
    <row r="1660">
      <c r="A1660" s="19" t="inlineStr">
        <is>
          <t>1659</t>
        </is>
      </c>
      <c r="B1660" s="19" t="inlineStr">
        <is>
          <t>242</t>
        </is>
      </c>
      <c r="C1660" s="19" t="inlineStr">
        <is>
          <t>42</t>
        </is>
      </c>
      <c r="D1660" t="n">
        <v>1</v>
      </c>
      <c r="E1660" s="19" t="inlineStr">
        <is>
          <t>18</t>
        </is>
      </c>
      <c r="F1660" t="n">
        <v>5</v>
      </c>
      <c r="G1660" t="b">
        <v>0</v>
      </c>
      <c r="H1660" t="inlineStr">
        <is>
          <t>UOM=ADT;WEIGHT_BASIS=DIRECT_SOURCE_OPERATIONAL_PALLET_MASS;LINE_WEIGHT_KG=26.0;SOURCE_CFG=IA-IND-48V;SRC_REF=Palet-1 = 26 kg; ERP mapping 4001005 / 800*1250;SRC_FILE=Endüstriyel Ambalaj Miktarı Çalışması(5).xlsx</t>
        </is>
      </c>
    </row>
    <row r="1661">
      <c r="A1661" s="19" t="inlineStr">
        <is>
          <t>1660</t>
        </is>
      </c>
      <c r="B1661" s="19" t="inlineStr">
        <is>
          <t>242</t>
        </is>
      </c>
      <c r="C1661" s="19" t="inlineStr">
        <is>
          <t>112</t>
        </is>
      </c>
      <c r="D1661" t="n">
        <v>1</v>
      </c>
      <c r="E1661" s="19" t="inlineStr">
        <is>
          <t>18</t>
        </is>
      </c>
      <c r="F1661" t="n">
        <v>6</v>
      </c>
      <c r="G1661" t="b">
        <v>0</v>
      </c>
      <c r="H1661" t="inlineStr">
        <is>
          <t>UOM=SET;WEIGHT_BASIS=DIRECT_SOURCE_LINE_MASS;LINE_WEIGHT_KG=0.005;SOURCE_CFG=IA-IND-48V;SRC_REF=Tüm Etiketler = 5 g;SRC_FILE=Endüstriyel Ambalaj Miktarı Çalışması(5).xlsx</t>
        </is>
      </c>
    </row>
    <row r="1662">
      <c r="A1662" s="19" t="inlineStr">
        <is>
          <t>1661</t>
        </is>
      </c>
      <c r="B1662" s="19" t="inlineStr">
        <is>
          <t>243</t>
        </is>
      </c>
      <c r="C1662" s="19" t="inlineStr">
        <is>
          <t>4</t>
        </is>
      </c>
      <c r="D1662" t="n">
        <v>10</v>
      </c>
      <c r="E1662" s="19" t="inlineStr">
        <is>
          <t>18</t>
        </is>
      </c>
      <c r="F1662" t="n">
        <v>1</v>
      </c>
      <c r="G1662" t="b">
        <v>0</v>
      </c>
      <c r="H1662" t="inlineStr">
        <is>
          <t>UOM=M;WEIGHT_BASIS=DIRECT_SOURCE_APPLIED_MASS;LINE_WEIGHT_KG=0.1886;SOURCE_CFG=IA-IND-80V;SRC_REF=Sayfa1:Row 4 (80V);SRC_FILE=Endüstriyel Ambalaj Miktarı Çalışması(5).xlsx</t>
        </is>
      </c>
    </row>
    <row r="1663">
      <c r="A1663" s="19" t="inlineStr">
        <is>
          <t>1662</t>
        </is>
      </c>
      <c r="B1663" s="19" t="inlineStr">
        <is>
          <t>243</t>
        </is>
      </c>
      <c r="C1663" s="19" t="inlineStr">
        <is>
          <t>9</t>
        </is>
      </c>
      <c r="D1663" t="n">
        <v>0.1915</v>
      </c>
      <c r="E1663" s="19" t="inlineStr">
        <is>
          <t>18</t>
        </is>
      </c>
      <c r="F1663" t="n">
        <v>2</v>
      </c>
      <c r="G1663" t="b">
        <v>0</v>
      </c>
      <c r="H1663" t="inlineStr">
        <is>
          <t>UOM=KG;WEIGHT_BASIS=DIRECT_SOURCE_MASS_UOM;LINE_WEIGHT_KG=0.1915;SOURCE_CFG=IA-IND-80V;SRC_REF=Sayfa1:Row 5 (80V);SRC_FILE=Endüstriyel Ambalaj Miktarı Çalışması(5).xlsx</t>
        </is>
      </c>
    </row>
    <row r="1664">
      <c r="A1664" s="19" t="inlineStr">
        <is>
          <t>1663</t>
        </is>
      </c>
      <c r="B1664" s="19" t="inlineStr">
        <is>
          <t>243</t>
        </is>
      </c>
      <c r="C1664" s="19" t="inlineStr">
        <is>
          <t>86</t>
        </is>
      </c>
      <c r="D1664" t="n">
        <v>8</v>
      </c>
      <c r="E1664" s="19" t="inlineStr">
        <is>
          <t>18</t>
        </is>
      </c>
      <c r="F1664" t="n">
        <v>3</v>
      </c>
      <c r="G1664" t="b">
        <v>0</v>
      </c>
      <c r="H1664" t="inlineStr">
        <is>
          <t>UOM=M;WEIGHT_BASIS=DIRECT_SOURCE_APPLIED_MASS;LINE_WEIGHT_KG=0.10637;SOURCE_CFG=IA-IND-80V;SRC_REF=Sayfa1:Row 6 (80V);SRC_FILE=Endüstriyel Ambalaj Miktarı Çalışması(5).xlsx</t>
        </is>
      </c>
    </row>
    <row r="1665">
      <c r="A1665" s="19" t="inlineStr">
        <is>
          <t>1664</t>
        </is>
      </c>
      <c r="B1665" s="19" t="inlineStr">
        <is>
          <t>243</t>
        </is>
      </c>
      <c r="C1665" s="19" t="inlineStr">
        <is>
          <t>1</t>
        </is>
      </c>
      <c r="D1665" t="n">
        <v>1</v>
      </c>
      <c r="E1665" s="19" t="inlineStr">
        <is>
          <t>18</t>
        </is>
      </c>
      <c r="F1665" t="n">
        <v>4</v>
      </c>
      <c r="G1665" t="b">
        <v>0</v>
      </c>
      <c r="H1665" t="inlineStr">
        <is>
          <t>UOM=ADT;WEIGHT_BASIS=DIRECT_SOURCE_APPLIED_MASS;LINE_WEIGHT_KG=1.14;SOURCE_CFG=IA-IND-80V;SRC_REF=Sayfa1:Row 7 (80V);SRC_FILE=Endüstriyel Ambalaj Miktarı Çalışması(5).xlsx</t>
        </is>
      </c>
    </row>
    <row r="1666">
      <c r="A1666" s="19" t="inlineStr">
        <is>
          <t>1665</t>
        </is>
      </c>
      <c r="B1666" s="19" t="inlineStr">
        <is>
          <t>243</t>
        </is>
      </c>
      <c r="C1666" s="19" t="inlineStr">
        <is>
          <t>41</t>
        </is>
      </c>
      <c r="D1666" t="n">
        <v>1</v>
      </c>
      <c r="E1666" s="19" t="inlineStr">
        <is>
          <t>18</t>
        </is>
      </c>
      <c r="F1666" t="n">
        <v>5</v>
      </c>
      <c r="G1666" t="b">
        <v>0</v>
      </c>
      <c r="H1666" t="inlineStr">
        <is>
          <t>UOM=ADT;WEIGHT_BASIS=DIRECT_SOURCE_OPERATIONAL_PALLET_MASS;LINE_WEIGHT_KG=31.0;SOURCE_CFG=IA-IND-80V;SRC_REF=Palet-2 = 31 kg; ERP mapping 4000973 / 1150*1300;SRC_FILE=Endüstriyel Ambalaj Miktarı Çalışması(5).xlsx</t>
        </is>
      </c>
    </row>
    <row r="1667">
      <c r="A1667" s="19" t="inlineStr">
        <is>
          <t>1666</t>
        </is>
      </c>
      <c r="B1667" s="19" t="inlineStr">
        <is>
          <t>243</t>
        </is>
      </c>
      <c r="C1667" s="19" t="inlineStr">
        <is>
          <t>112</t>
        </is>
      </c>
      <c r="D1667" t="n">
        <v>1</v>
      </c>
      <c r="E1667" s="19" t="inlineStr">
        <is>
          <t>18</t>
        </is>
      </c>
      <c r="F1667" t="n">
        <v>6</v>
      </c>
      <c r="G1667" t="b">
        <v>0</v>
      </c>
      <c r="H1667" t="inlineStr">
        <is>
          <t>UOM=SET;WEIGHT_BASIS=DIRECT_SOURCE_LINE_MASS;LINE_WEIGHT_KG=0.005;SOURCE_CFG=IA-IND-80V;SRC_REF=Tüm Etiketler = 5 g;SRC_FILE=Endüstriyel Ambalaj Miktarı Çalışması(5).xlsx</t>
        </is>
      </c>
    </row>
    <row r="1668">
      <c r="A1668" s="19" t="inlineStr">
        <is>
          <t>1667</t>
        </is>
      </c>
      <c r="B1668" s="19" t="inlineStr">
        <is>
          <t>244</t>
        </is>
      </c>
      <c r="C1668" s="19" t="inlineStr">
        <is>
          <t>105</t>
        </is>
      </c>
      <c r="D1668" t="n">
        <v>10</v>
      </c>
      <c r="E1668" s="19" t="inlineStr">
        <is>
          <t>18</t>
        </is>
      </c>
      <c r="F1668" t="n">
        <v>1</v>
      </c>
      <c r="G1668" t="b">
        <v>0</v>
      </c>
      <c r="H1668" t="inlineStr">
        <is>
          <t>UOM=ADT;WEIGHT_BASIS=SOURCE_UNIT_WEIGHT;LINE_WEIGHT_KG=70.0;SOURCE_CFG=IA-CNT-20-STD;SRC_REF=Row 6;SRC_FILE=Yüklemede Kullanılan Malzeme Ağırlıkları-2(4).xlsx</t>
        </is>
      </c>
    </row>
    <row r="1669">
      <c r="A1669" s="19" t="inlineStr">
        <is>
          <t>1668</t>
        </is>
      </c>
      <c r="B1669" s="19" t="inlineStr">
        <is>
          <t>244</t>
        </is>
      </c>
      <c r="C1669" s="19" t="inlineStr">
        <is>
          <t>7</t>
        </is>
      </c>
      <c r="D1669" t="n">
        <v>10</v>
      </c>
      <c r="E1669" s="19" t="inlineStr">
        <is>
          <t>18</t>
        </is>
      </c>
      <c r="F1669" t="n">
        <v>2</v>
      </c>
      <c r="G1669" t="b">
        <v>0</v>
      </c>
      <c r="H1669" t="inlineStr">
        <is>
          <t>UOM=ADT;WEIGHT_BASIS=PROCESSED_SOURCE_UNIT_WEIGHT;LINE_WEIGHT_KG=2.7;SOURCE_CFG=IA-CNT-20-STD;SRC_REF=Row 7;SRC_FILE=Yüklemede Kullanılan Malzeme Ağırlıkları-2(4).xlsx</t>
        </is>
      </c>
    </row>
    <row r="1670">
      <c r="A1670" s="19" t="inlineStr">
        <is>
          <t>1669</t>
        </is>
      </c>
      <c r="B1670" s="19" t="inlineStr">
        <is>
          <t>244</t>
        </is>
      </c>
      <c r="C1670" s="19" t="inlineStr">
        <is>
          <t>102</t>
        </is>
      </c>
      <c r="D1670" t="n">
        <v>5</v>
      </c>
      <c r="E1670" s="19" t="inlineStr">
        <is>
          <t>18</t>
        </is>
      </c>
      <c r="F1670" t="n">
        <v>3</v>
      </c>
      <c r="G1670" t="b">
        <v>0</v>
      </c>
      <c r="H1670" t="inlineStr">
        <is>
          <t>UOM=ADT;WEIGHT_BASIS=SOURCE_UNIT_WEIGHT;LINE_WEIGHT_KG=2.0;SOURCE_CFG=IA-CNT-20-STD;SRC_REF=Row 8;SRC_FILE=Yüklemede Kullanılan Malzeme Ağırlıkları-2(4).xlsx</t>
        </is>
      </c>
    </row>
    <row r="1671">
      <c r="A1671" s="19" t="inlineStr">
        <is>
          <t>1670</t>
        </is>
      </c>
      <c r="B1671" s="19" t="inlineStr">
        <is>
          <t>244</t>
        </is>
      </c>
      <c r="C1671" s="19" t="inlineStr">
        <is>
          <t>103</t>
        </is>
      </c>
      <c r="D1671" t="n">
        <v>12</v>
      </c>
      <c r="E1671" s="19" t="inlineStr">
        <is>
          <t>18</t>
        </is>
      </c>
      <c r="F1671" t="n">
        <v>4</v>
      </c>
      <c r="G1671" t="b">
        <v>0</v>
      </c>
      <c r="H1671" t="inlineStr">
        <is>
          <t>UOM=M;WEIGHT_BASIS=USER_CONFIRMED_300G_PER_12M;LINE_WEIGHT_KG=0.3;SOURCE_CFG=IA-CNT-20-STD;SRC_REF=Row 9;SRC_FILE=Yüklemede Kullanılan Malzeme Ağırlıkları-2(4).xlsx</t>
        </is>
      </c>
    </row>
    <row r="1672">
      <c r="A1672" s="19" t="inlineStr">
        <is>
          <t>1671</t>
        </is>
      </c>
      <c r="B1672" s="19" t="inlineStr">
        <is>
          <t>244</t>
        </is>
      </c>
      <c r="C1672" s="19" t="inlineStr">
        <is>
          <t>110</t>
        </is>
      </c>
      <c r="D1672" t="n">
        <v>4</v>
      </c>
      <c r="E1672" s="19" t="inlineStr">
        <is>
          <t>18</t>
        </is>
      </c>
      <c r="F1672" t="n">
        <v>5</v>
      </c>
      <c r="G1672" t="b">
        <v>0</v>
      </c>
      <c r="H1672" t="inlineStr">
        <is>
          <t>UOM=ADT;WEIGHT_BASIS=SOURCE_UNIT_WEIGHT;LINE_WEIGHT_KG=2.0;SOURCE_CFG=IA-CNT-20-STD;SRC_REF=Row 10;SRC_FILE=Yüklemede Kullanılan Malzeme Ağırlıkları-2(4).xlsx</t>
        </is>
      </c>
    </row>
    <row r="1673">
      <c r="A1673" s="19" t="inlineStr">
        <is>
          <t>1672</t>
        </is>
      </c>
      <c r="B1673" s="19" t="inlineStr">
        <is>
          <t>244</t>
        </is>
      </c>
      <c r="C1673" s="19" t="inlineStr">
        <is>
          <t>109</t>
        </is>
      </c>
      <c r="D1673" t="n">
        <v>2</v>
      </c>
      <c r="E1673" s="19" t="inlineStr">
        <is>
          <t>18</t>
        </is>
      </c>
      <c r="F1673" t="n">
        <v>6</v>
      </c>
      <c r="G1673" t="b">
        <v>0</v>
      </c>
      <c r="H1673" t="inlineStr">
        <is>
          <t>UOM=ADT;WEIGHT_BASIS=USER_CONFIRMED_SOURCE_TYPO_CORRECTED;LINE_WEIGHT_KG=1.0;SOURCE_CFG=IA-CNT-20-STD;SRC_REF=Row 11;SRC_FILE=Yüklemede Kullanılan Malzeme Ağırlıkları-2(4).xlsx</t>
        </is>
      </c>
    </row>
    <row r="1674">
      <c r="A1674" s="19" t="inlineStr">
        <is>
          <t>1673</t>
        </is>
      </c>
      <c r="B1674" s="19" t="inlineStr">
        <is>
          <t>244</t>
        </is>
      </c>
      <c r="C1674" s="19" t="inlineStr">
        <is>
          <t>104</t>
        </is>
      </c>
      <c r="D1674" t="n">
        <v>1</v>
      </c>
      <c r="E1674" s="19" t="inlineStr">
        <is>
          <t>18</t>
        </is>
      </c>
      <c r="F1674" t="n">
        <v>7</v>
      </c>
      <c r="G1674" t="b">
        <v>0</v>
      </c>
      <c r="H1674" t="inlineStr">
        <is>
          <t>UOM=ADT;WEIGHT_BASIS=SOURCE_UNIT_WEIGHT;LINE_WEIGHT_KG=0.04;SOURCE_CFG=IA-CNT-20-STD;SRC_REF=Row 12;SRC_FILE=Yüklemede Kullanılan Malzeme Ağırlıkları-2(4).xlsx</t>
        </is>
      </c>
    </row>
    <row r="1675">
      <c r="A1675" s="19" t="inlineStr">
        <is>
          <t>1674</t>
        </is>
      </c>
      <c r="B1675" s="19" t="inlineStr">
        <is>
          <t>244</t>
        </is>
      </c>
      <c r="C1675" s="19" t="inlineStr">
        <is>
          <t>108</t>
        </is>
      </c>
      <c r="D1675" t="n">
        <v>4</v>
      </c>
      <c r="E1675" s="19" t="inlineStr">
        <is>
          <t>18</t>
        </is>
      </c>
      <c r="F1675" t="n">
        <v>8</v>
      </c>
      <c r="G1675" t="b">
        <v>0</v>
      </c>
      <c r="H1675" t="inlineStr">
        <is>
          <t>UOM=ADT;WEIGHT_BASIS=SOURCE_UNIT_WEIGHT;LINE_WEIGHT_KG=0.02;SOURCE_CFG=IA-CNT-20-STD;SRC_REF=Row 13;SRC_FILE=Yüklemede Kullanılan Malzeme Ağırlıkları-2(4).xlsx</t>
        </is>
      </c>
    </row>
    <row r="1676">
      <c r="A1676" s="19" t="inlineStr">
        <is>
          <t>1675</t>
        </is>
      </c>
      <c r="B1676" s="19" t="inlineStr">
        <is>
          <t>245</t>
        </is>
      </c>
      <c r="C1676" s="19" t="inlineStr">
        <is>
          <t>106</t>
        </is>
      </c>
      <c r="D1676" t="n">
        <v>11</v>
      </c>
      <c r="E1676" s="19" t="inlineStr">
        <is>
          <t>18</t>
        </is>
      </c>
      <c r="F1676" t="n">
        <v>1</v>
      </c>
      <c r="G1676" t="b">
        <v>0</v>
      </c>
      <c r="H1676" t="inlineStr">
        <is>
          <t>UOM=ADT;WEIGHT_BASIS=SOURCE_UNIT_WEIGHT;LINE_WEIGHT_KG=71.5;SOURCE_CFG=IA-CNT-20-EUR;SRC_REF=Row 18;SRC_FILE=Yüklemede Kullanılan Malzeme Ağırlıkları-2(4).xlsx</t>
        </is>
      </c>
    </row>
    <row r="1677">
      <c r="A1677" s="19" t="inlineStr">
        <is>
          <t>1676</t>
        </is>
      </c>
      <c r="B1677" s="19" t="inlineStr">
        <is>
          <t>245</t>
        </is>
      </c>
      <c r="C1677" s="19" t="inlineStr">
        <is>
          <t>7</t>
        </is>
      </c>
      <c r="D1677" t="n">
        <v>10</v>
      </c>
      <c r="E1677" s="19" t="inlineStr">
        <is>
          <t>18</t>
        </is>
      </c>
      <c r="F1677" t="n">
        <v>2</v>
      </c>
      <c r="G1677" t="b">
        <v>0</v>
      </c>
      <c r="H1677" t="inlineStr">
        <is>
          <t>UOM=ADT;WEIGHT_BASIS=PROCESSED_SOURCE_UNIT_WEIGHT;LINE_WEIGHT_KG=2.7;SOURCE_CFG=IA-CNT-20-EUR;SRC_REF=Row 19;SRC_FILE=Yüklemede Kullanılan Malzeme Ağırlıkları-2(4).xlsx</t>
        </is>
      </c>
    </row>
    <row r="1678">
      <c r="A1678" s="19" t="inlineStr">
        <is>
          <t>1677</t>
        </is>
      </c>
      <c r="B1678" s="19" t="inlineStr">
        <is>
          <t>245</t>
        </is>
      </c>
      <c r="C1678" s="19" t="inlineStr">
        <is>
          <t>102</t>
        </is>
      </c>
      <c r="D1678" t="n">
        <v>10</v>
      </c>
      <c r="E1678" s="19" t="inlineStr">
        <is>
          <t>18</t>
        </is>
      </c>
      <c r="F1678" t="n">
        <v>3</v>
      </c>
      <c r="G1678" t="b">
        <v>0</v>
      </c>
      <c r="H1678" t="inlineStr">
        <is>
          <t>UOM=ADT;WEIGHT_BASIS=SOURCE_UNIT_WEIGHT;LINE_WEIGHT_KG=4.0;SOURCE_CFG=IA-CNT-20-EUR;SRC_REF=Row 20;SRC_FILE=Yüklemede Kullanılan Malzeme Ağırlıkları-2(4).xlsx</t>
        </is>
      </c>
    </row>
    <row r="1679">
      <c r="A1679" s="19" t="inlineStr">
        <is>
          <t>1678</t>
        </is>
      </c>
      <c r="B1679" s="19" t="inlineStr">
        <is>
          <t>245</t>
        </is>
      </c>
      <c r="C1679" s="19" t="inlineStr">
        <is>
          <t>103</t>
        </is>
      </c>
      <c r="D1679" t="n">
        <v>12</v>
      </c>
      <c r="E1679" s="19" t="inlineStr">
        <is>
          <t>18</t>
        </is>
      </c>
      <c r="F1679" t="n">
        <v>4</v>
      </c>
      <c r="G1679" t="b">
        <v>0</v>
      </c>
      <c r="H1679" t="inlineStr">
        <is>
          <t>UOM=M;WEIGHT_BASIS=USER_CONFIRMED_300G_PER_12M;LINE_WEIGHT_KG=0.3;SOURCE_CFG=IA-CNT-20-EUR;SRC_REF=Row 21;SRC_FILE=Yüklemede Kullanılan Malzeme Ağırlıkları-2(4).xlsx</t>
        </is>
      </c>
    </row>
    <row r="1680">
      <c r="A1680" s="19" t="inlineStr">
        <is>
          <t>1679</t>
        </is>
      </c>
      <c r="B1680" s="19" t="inlineStr">
        <is>
          <t>245</t>
        </is>
      </c>
      <c r="C1680" s="19" t="inlineStr">
        <is>
          <t>110</t>
        </is>
      </c>
      <c r="D1680" t="n">
        <v>7</v>
      </c>
      <c r="E1680" s="19" t="inlineStr">
        <is>
          <t>18</t>
        </is>
      </c>
      <c r="F1680" t="n">
        <v>5</v>
      </c>
      <c r="G1680" t="b">
        <v>0</v>
      </c>
      <c r="H1680" t="inlineStr">
        <is>
          <t>UOM=ADT;WEIGHT_BASIS=SOURCE_UNIT_WEIGHT;LINE_WEIGHT_KG=3.5;SOURCE_CFG=IA-CNT-20-EUR;SRC_REF=Row 22;SRC_FILE=Yüklemede Kullanılan Malzeme Ağırlıkları-2(4).xlsx</t>
        </is>
      </c>
    </row>
    <row r="1681">
      <c r="A1681" s="19" t="inlineStr">
        <is>
          <t>1680</t>
        </is>
      </c>
      <c r="B1681" s="19" t="inlineStr">
        <is>
          <t>245</t>
        </is>
      </c>
      <c r="C1681" s="19" t="inlineStr">
        <is>
          <t>109</t>
        </is>
      </c>
      <c r="D1681" t="n">
        <v>2</v>
      </c>
      <c r="E1681" s="19" t="inlineStr">
        <is>
          <t>18</t>
        </is>
      </c>
      <c r="F1681" t="n">
        <v>6</v>
      </c>
      <c r="G1681" t="b">
        <v>0</v>
      </c>
      <c r="H1681" t="inlineStr">
        <is>
          <t>UOM=ADT;WEIGHT_BASIS=USER_CONFIRMED_SOURCE_TYPO_CORRECTED;LINE_WEIGHT_KG=1.0;SOURCE_CFG=IA-CNT-20-EUR;SRC_REF=Row 23;SRC_FILE=Yüklemede Kullanılan Malzeme Ağırlıkları-2(4).xlsx</t>
        </is>
      </c>
    </row>
    <row r="1682">
      <c r="A1682" s="19" t="inlineStr">
        <is>
          <t>1681</t>
        </is>
      </c>
      <c r="B1682" s="19" t="inlineStr">
        <is>
          <t>245</t>
        </is>
      </c>
      <c r="C1682" s="19" t="inlineStr">
        <is>
          <t>104</t>
        </is>
      </c>
      <c r="D1682" t="n">
        <v>1</v>
      </c>
      <c r="E1682" s="19" t="inlineStr">
        <is>
          <t>18</t>
        </is>
      </c>
      <c r="F1682" t="n">
        <v>7</v>
      </c>
      <c r="G1682" t="b">
        <v>0</v>
      </c>
      <c r="H1682" t="inlineStr">
        <is>
          <t>UOM=ADT;WEIGHT_BASIS=SOURCE_UNIT_WEIGHT;LINE_WEIGHT_KG=0.04;SOURCE_CFG=IA-CNT-20-EUR;SRC_REF=Row 24;SRC_FILE=Yüklemede Kullanılan Malzeme Ağırlıkları-2(4).xlsx</t>
        </is>
      </c>
    </row>
    <row r="1683">
      <c r="A1683" s="19" t="inlineStr">
        <is>
          <t>1682</t>
        </is>
      </c>
      <c r="B1683" s="19" t="inlineStr">
        <is>
          <t>245</t>
        </is>
      </c>
      <c r="C1683" s="19" t="inlineStr">
        <is>
          <t>108</t>
        </is>
      </c>
      <c r="D1683" t="n">
        <v>4</v>
      </c>
      <c r="E1683" s="19" t="inlineStr">
        <is>
          <t>18</t>
        </is>
      </c>
      <c r="F1683" t="n">
        <v>8</v>
      </c>
      <c r="G1683" t="b">
        <v>0</v>
      </c>
      <c r="H1683" t="inlineStr">
        <is>
          <t>UOM=ADT;WEIGHT_BASIS=SOURCE_UNIT_WEIGHT;LINE_WEIGHT_KG=0.02;SOURCE_CFG=IA-CNT-20-EUR;SRC_REF=Row 25;SRC_FILE=Yüklemede Kullanılan Malzeme Ağırlıkları-2(4).xlsx</t>
        </is>
      </c>
    </row>
    <row r="1684">
      <c r="A1684" s="19" t="inlineStr">
        <is>
          <t>1683</t>
        </is>
      </c>
      <c r="B1684" s="19" t="inlineStr">
        <is>
          <t>246</t>
        </is>
      </c>
      <c r="C1684" s="19" t="inlineStr">
        <is>
          <t>102</t>
        </is>
      </c>
      <c r="D1684" t="n">
        <v>26</v>
      </c>
      <c r="E1684" s="19" t="inlineStr">
        <is>
          <t>18</t>
        </is>
      </c>
      <c r="F1684" t="n">
        <v>1</v>
      </c>
      <c r="G1684" t="b">
        <v>0</v>
      </c>
      <c r="H1684" t="inlineStr">
        <is>
          <t>UOM=ADT;WEIGHT_BASIS=SOURCE_UNIT_WEIGHT;LINE_WEIGHT_KG=10.4;SOURCE_CFG=IA-CNT-40-IND;SRC_REF=Row 34;SRC_FILE=Yüklemede Kullanılan Malzeme Ağırlıkları-2(4).xlsx</t>
        </is>
      </c>
    </row>
    <row r="1685">
      <c r="A1685" s="19" t="inlineStr">
        <is>
          <t>1684</t>
        </is>
      </c>
      <c r="B1685" s="19" t="inlineStr">
        <is>
          <t>246</t>
        </is>
      </c>
      <c r="C1685" s="19" t="inlineStr">
        <is>
          <t>103</t>
        </is>
      </c>
      <c r="D1685" t="n">
        <v>12</v>
      </c>
      <c r="E1685" s="19" t="inlineStr">
        <is>
          <t>18</t>
        </is>
      </c>
      <c r="F1685" t="n">
        <v>2</v>
      </c>
      <c r="G1685" t="b">
        <v>0</v>
      </c>
      <c r="H1685" t="inlineStr">
        <is>
          <t>UOM=M;WEIGHT_BASIS=USER_CONFIRMED_300G_PER_12M;LINE_WEIGHT_KG=0.3;SOURCE_CFG=IA-CNT-40-IND;SRC_REF=Row 35;SRC_FILE=Yüklemede Kullanılan Malzeme Ağırlıkları-2(4).xlsx</t>
        </is>
      </c>
    </row>
    <row r="1686">
      <c r="A1686" s="19" t="inlineStr">
        <is>
          <t>1685</t>
        </is>
      </c>
      <c r="B1686" s="19" t="inlineStr">
        <is>
          <t>246</t>
        </is>
      </c>
      <c r="C1686" s="19" t="inlineStr">
        <is>
          <t>104</t>
        </is>
      </c>
      <c r="D1686" t="n">
        <v>1</v>
      </c>
      <c r="E1686" s="19" t="inlineStr">
        <is>
          <t>18</t>
        </is>
      </c>
      <c r="F1686" t="n">
        <v>3</v>
      </c>
      <c r="G1686" t="b">
        <v>0</v>
      </c>
      <c r="H1686" t="inlineStr">
        <is>
          <t>UOM=ADT;WEIGHT_BASIS=SOURCE_UNIT_WEIGHT;LINE_WEIGHT_KG=0.04;SOURCE_CFG=IA-CNT-40-IND;SRC_REF=Row 36;SRC_FILE=Yüklemede Kullanılan Malzeme Ağırlıkları-2(4).xlsx</t>
        </is>
      </c>
    </row>
    <row r="1687">
      <c r="A1687" s="19" t="inlineStr">
        <is>
          <t>1686</t>
        </is>
      </c>
      <c r="B1687" s="19" t="inlineStr">
        <is>
          <t>246</t>
        </is>
      </c>
      <c r="C1687" s="19" t="inlineStr">
        <is>
          <t>108</t>
        </is>
      </c>
      <c r="D1687" t="n">
        <v>4</v>
      </c>
      <c r="E1687" s="19" t="inlineStr">
        <is>
          <t>18</t>
        </is>
      </c>
      <c r="F1687" t="n">
        <v>4</v>
      </c>
      <c r="G1687" t="b">
        <v>0</v>
      </c>
      <c r="H1687" t="inlineStr">
        <is>
          <t>UOM=ADT;WEIGHT_BASIS=SOURCE_UNIT_WEIGHT;LINE_WEIGHT_KG=0.02;SOURCE_CFG=IA-CNT-40-IND;SRC_REF=Row 37;SRC_FILE=Yüklemede Kullanılan Malzeme Ağırlıkları-2(4).xlsx</t>
        </is>
      </c>
    </row>
    <row r="1688">
      <c r="A1688" s="19" t="inlineStr">
        <is>
          <t>1687</t>
        </is>
      </c>
      <c r="B1688" s="19" t="inlineStr">
        <is>
          <t>246</t>
        </is>
      </c>
      <c r="C1688" s="19" t="inlineStr">
        <is>
          <t>109</t>
        </is>
      </c>
      <c r="D1688" t="n">
        <v>4</v>
      </c>
      <c r="E1688" s="19" t="inlineStr">
        <is>
          <t>18</t>
        </is>
      </c>
      <c r="F1688" t="n">
        <v>5</v>
      </c>
      <c r="G1688" t="b">
        <v>0</v>
      </c>
      <c r="H1688" t="inlineStr">
        <is>
          <t>UOM=ADT;WEIGHT_BASIS=USER_CONFIRMED_SOURCE_TYPO_CORRECTED;LINE_WEIGHT_KG=2.0;SOURCE_CFG=IA-CNT-40-IND;SRC_REF=Row 38;SRC_FILE=Yüklemede Kullanılan Malzeme Ağırlıkları-2(4).xlsx</t>
        </is>
      </c>
    </row>
    <row r="1689">
      <c r="A1689" s="19" t="inlineStr">
        <is>
          <t>1688</t>
        </is>
      </c>
      <c r="B1689" s="19" t="inlineStr">
        <is>
          <t>247</t>
        </is>
      </c>
      <c r="C1689" s="19" t="inlineStr">
        <is>
          <t>107</t>
        </is>
      </c>
      <c r="D1689" t="n">
        <v>11</v>
      </c>
      <c r="E1689" s="19" t="inlineStr">
        <is>
          <t>18</t>
        </is>
      </c>
      <c r="F1689" t="n">
        <v>1</v>
      </c>
      <c r="G1689" t="b">
        <v>0</v>
      </c>
      <c r="H1689" t="inlineStr">
        <is>
          <t>UOM=ADT;WEIGHT_BASIS=SOURCE_UNIT_WEIGHT;LINE_WEIGHT_KG=143.0;SOURCE_CFG=IA-CNT-DE-HAMBURG;SRC_REF=Row 26;SRC_FILE=Yüklemede Kullanılan Malzeme Ağırlıkları-2(4).xlsx</t>
        </is>
      </c>
    </row>
    <row r="1690">
      <c r="A1690" s="19" t="inlineStr">
        <is>
          <t>1689</t>
        </is>
      </c>
      <c r="B1690" s="19" t="inlineStr">
        <is>
          <t>247</t>
        </is>
      </c>
      <c r="C1690" s="19" t="inlineStr">
        <is>
          <t>111</t>
        </is>
      </c>
      <c r="D1690" t="n">
        <v>2</v>
      </c>
      <c r="E1690" s="19" t="inlineStr">
        <is>
          <t>18</t>
        </is>
      </c>
      <c r="F1690" t="n">
        <v>2</v>
      </c>
      <c r="G1690" t="b">
        <v>0</v>
      </c>
      <c r="H1690" t="inlineStr">
        <is>
          <t>UOM=ADT;WEIGHT_BASIS=SOURCE_UNIT_WEIGHT;LINE_WEIGHT_KG=36.0;SOURCE_CFG=IA-CNT-DE-HAMBURG;SRC_REF=Row 27;SRC_FILE=Yüklemede Kullanılan Malzeme Ağırlıkları-2(4).xlsx</t>
        </is>
      </c>
    </row>
    <row r="1691">
      <c r="A1691" s="19" t="inlineStr">
        <is>
          <t>1690</t>
        </is>
      </c>
      <c r="B1691" s="19" t="inlineStr">
        <is>
          <t>247</t>
        </is>
      </c>
      <c r="C1691" s="19" t="inlineStr">
        <is>
          <t>111</t>
        </is>
      </c>
      <c r="D1691" t="n">
        <v>2</v>
      </c>
      <c r="E1691" s="19" t="inlineStr">
        <is>
          <t>18</t>
        </is>
      </c>
      <c r="F1691" t="n">
        <v>3</v>
      </c>
      <c r="G1691" t="b">
        <v>0</v>
      </c>
      <c r="H1691" t="inlineStr">
        <is>
          <t>UOM=ADT;WEIGHT_BASIS=SOURCE_UNIT_WEIGHT;LINE_WEIGHT_KG=15.0;SOURCE_CFG=IA-CNT-DE-HAMBURG;SRC_REF=Row 28;SRC_FILE=Yüklemede Kullanılan Malzeme Ağırlıkları-2(4).xlsx</t>
        </is>
      </c>
    </row>
  </sheetData>
  <dataValidations count="2">
    <dataValidation sqref="E2:E5000" showDropDown="0" showInputMessage="0" showErrorMessage="1" allowBlank="1" errorTitle="Lookup FK" error="Value must exist in LKP_LINE_ROLE" type="list">
      <formula1>NR_LINE_ROLE_ID</formula1>
    </dataValidation>
    <dataValidation sqref="G2:G5000" showDropDown="0" showInputMessage="0" showErrorMessage="1" allowBlank="1" errorTitle="Boolean" error="Enter TRUE or FALSE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Q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3" customWidth="1" min="3" max="3"/>
    <col width="28" customWidth="1" min="4" max="4"/>
    <col width="22" customWidth="1" min="5" max="6"/>
    <col width="17" customWidth="1" min="7" max="8"/>
    <col width="24" customWidth="1" min="9" max="9"/>
    <col width="21" customWidth="1" min="10" max="10"/>
    <col width="15" customWidth="1" min="11" max="11"/>
    <col width="14" customWidth="1" min="12" max="12"/>
    <col width="16" customWidth="1" min="13" max="13"/>
    <col width="14" customWidth="1" min="14" max="14"/>
    <col width="36" customWidth="1" min="15" max="15"/>
    <col width="12" customWidth="1" min="16" max="17"/>
  </cols>
  <sheetData>
    <row r="1" ht="27.95" customHeight="1">
      <c r="A1" s="6" t="inlineStr">
        <is>
          <t>TRANSPORT_CONFIGURATION_ID</t>
        </is>
      </c>
      <c r="B1" s="6" t="inlineStr">
        <is>
          <t>CONFIG_GROUP_CODE</t>
        </is>
      </c>
      <c r="C1" s="6" t="inlineStr">
        <is>
          <t>REVISION_NO</t>
        </is>
      </c>
      <c r="D1" s="6" t="inlineStr">
        <is>
          <t>TRANSPORT_CONFIGURATION_NAME</t>
        </is>
      </c>
      <c r="E1" s="6" t="inlineStr">
        <is>
          <t>PACKAGING_CONFIGURATION_ID</t>
        </is>
      </c>
      <c r="F1" s="6" t="inlineStr">
        <is>
          <t>TRANSPORT_UNIT_TYPE_ID</t>
        </is>
      </c>
      <c r="G1" s="6" t="inlineStr">
        <is>
          <t>UNITS_PER_LAYER</t>
        </is>
      </c>
      <c r="H1" s="6" t="inlineStr">
        <is>
          <t>LAYERS_PER_UNIT</t>
        </is>
      </c>
      <c r="I1" s="6" t="inlineStr">
        <is>
          <t>CONTAINER_PAYLOAD_UNITS</t>
        </is>
      </c>
      <c r="J1" s="6" t="inlineStr">
        <is>
          <t>MAX_GROSS_WEIGHT_KG</t>
        </is>
      </c>
      <c r="K1" s="6" t="inlineStr">
        <is>
          <t>SUPERSEDES_ID</t>
        </is>
      </c>
      <c r="L1" s="6" t="inlineStr">
        <is>
          <t>STATUS_ID</t>
        </is>
      </c>
      <c r="M1" s="6" t="inlineStr">
        <is>
          <t>EFFECTIVE_FROM</t>
        </is>
      </c>
      <c r="N1" s="6" t="inlineStr">
        <is>
          <t>EFFECTIVE_TO</t>
        </is>
      </c>
      <c r="O1" s="6" t="inlineStr">
        <is>
          <t>NOTES</t>
        </is>
      </c>
      <c r="P1" s="6" t="inlineStr">
        <is>
          <t>CREATED_AT</t>
        </is>
      </c>
      <c r="Q1" s="6" t="inlineStr">
        <is>
          <t>UPDATED_AT</t>
        </is>
      </c>
    </row>
    <row r="2">
      <c r="A2" s="19" t="inlineStr">
        <is>
          <t>1</t>
        </is>
      </c>
      <c r="B2" s="19" t="inlineStr">
        <is>
          <t>IND-24V-01</t>
        </is>
      </c>
      <c r="C2" t="n">
        <v>0</v>
      </c>
      <c r="D2" t="inlineStr">
        <is>
          <t>Industrial Battery 24V | 1 pallet = 1 battery</t>
        </is>
      </c>
      <c r="E2" s="19" t="inlineStr">
        <is>
          <t>241</t>
        </is>
      </c>
      <c r="F2" s="19" t="inlineStr">
        <is>
          <t>2</t>
        </is>
      </c>
      <c r="K2" s="19" t="n"/>
      <c r="L2" s="19" t="inlineStr">
        <is>
          <t>2</t>
        </is>
      </c>
      <c r="M2" t="inlineStr">
        <is>
          <t>2026-08-08</t>
        </is>
      </c>
      <c r="O2" t="inlineStr">
        <is>
          <t>SOURCE_CONFIGURATION_ID=IA-IND-24V;FAMILY=INDUSTRIAL</t>
        </is>
      </c>
      <c r="P2" t="inlineStr">
        <is>
          <t>2026-08-10T19:29:54Z</t>
        </is>
      </c>
      <c r="Q2" t="inlineStr">
        <is>
          <t>2026-08-10T19:29:54Z</t>
        </is>
      </c>
    </row>
    <row r="3">
      <c r="A3" s="19" t="inlineStr">
        <is>
          <t>2</t>
        </is>
      </c>
      <c r="B3" s="19" t="inlineStr">
        <is>
          <t>IND-48V-01</t>
        </is>
      </c>
      <c r="C3" t="n">
        <v>0</v>
      </c>
      <c r="D3" t="inlineStr">
        <is>
          <t>Industrial Battery 48V | 1 pallet = 1 battery</t>
        </is>
      </c>
      <c r="E3" s="19" t="inlineStr">
        <is>
          <t>242</t>
        </is>
      </c>
      <c r="F3" s="19" t="inlineStr">
        <is>
          <t>2</t>
        </is>
      </c>
      <c r="K3" s="19" t="n"/>
      <c r="L3" s="19" t="inlineStr">
        <is>
          <t>2</t>
        </is>
      </c>
      <c r="M3" t="inlineStr">
        <is>
          <t>2026-08-08</t>
        </is>
      </c>
      <c r="O3" t="inlineStr">
        <is>
          <t>SOURCE_CONFIGURATION_ID=IA-IND-48V;FAMILY=INDUSTRIAL</t>
        </is>
      </c>
      <c r="P3" t="inlineStr">
        <is>
          <t>2026-08-10T19:29:54Z</t>
        </is>
      </c>
      <c r="Q3" t="inlineStr">
        <is>
          <t>2026-08-10T19:29:54Z</t>
        </is>
      </c>
    </row>
    <row r="4">
      <c r="A4" s="19" t="inlineStr">
        <is>
          <t>3</t>
        </is>
      </c>
      <c r="B4" s="19" t="inlineStr">
        <is>
          <t>IND-80V-01</t>
        </is>
      </c>
      <c r="C4" t="n">
        <v>0</v>
      </c>
      <c r="D4" t="inlineStr">
        <is>
          <t>Industrial Battery 80V | 1 pallet = 1 battery</t>
        </is>
      </c>
      <c r="E4" s="19" t="inlineStr">
        <is>
          <t>243</t>
        </is>
      </c>
      <c r="F4" s="19" t="inlineStr">
        <is>
          <t>2</t>
        </is>
      </c>
      <c r="K4" s="19" t="n"/>
      <c r="L4" s="19" t="inlineStr">
        <is>
          <t>2</t>
        </is>
      </c>
      <c r="M4" t="inlineStr">
        <is>
          <t>2026-08-08</t>
        </is>
      </c>
      <c r="O4" t="inlineStr">
        <is>
          <t>SOURCE_CONFIGURATION_ID=IA-IND-80V;FAMILY=INDUSTRIAL</t>
        </is>
      </c>
      <c r="P4" t="inlineStr">
        <is>
          <t>2026-08-10T19:29:54Z</t>
        </is>
      </c>
      <c r="Q4" t="inlineStr">
        <is>
          <t>2026-08-10T19:29:54Z</t>
        </is>
      </c>
    </row>
    <row r="5">
      <c r="A5" s="19" t="inlineStr">
        <is>
          <t>4</t>
        </is>
      </c>
      <c r="B5" s="19" t="inlineStr">
        <is>
          <t>CNT-20-STD-01</t>
        </is>
      </c>
      <c r="C5" t="n">
        <v>0</v>
      </c>
      <c r="D5" t="inlineStr">
        <is>
          <t>20 ft Container | Standard pallet loading</t>
        </is>
      </c>
      <c r="E5" s="19" t="inlineStr">
        <is>
          <t>244</t>
        </is>
      </c>
      <c r="F5" s="19" t="inlineStr">
        <is>
          <t>3</t>
        </is>
      </c>
      <c r="K5" s="19" t="n"/>
      <c r="L5" s="19" t="inlineStr">
        <is>
          <t>2</t>
        </is>
      </c>
      <c r="M5" t="inlineStr">
        <is>
          <t>2026-08-08</t>
        </is>
      </c>
      <c r="O5" t="inlineStr">
        <is>
          <t>SOURCE_CONFIGURATION_ID=IA-CNT-20-STD;FAMILY=CONTAINER</t>
        </is>
      </c>
      <c r="P5" t="inlineStr">
        <is>
          <t>2026-08-10T19:29:54Z</t>
        </is>
      </c>
      <c r="Q5" t="inlineStr">
        <is>
          <t>2026-08-10T19:29:54Z</t>
        </is>
      </c>
    </row>
    <row r="6">
      <c r="A6" s="19" t="inlineStr">
        <is>
          <t>5</t>
        </is>
      </c>
      <c r="B6" s="19" t="inlineStr">
        <is>
          <t>CNT-20-EUR-01</t>
        </is>
      </c>
      <c r="C6" t="n">
        <v>0</v>
      </c>
      <c r="D6" t="inlineStr">
        <is>
          <t>20 ft Container | Euro pallet loading</t>
        </is>
      </c>
      <c r="E6" s="19" t="inlineStr">
        <is>
          <t>245</t>
        </is>
      </c>
      <c r="F6" s="19" t="inlineStr">
        <is>
          <t>3</t>
        </is>
      </c>
      <c r="K6" s="19" t="n"/>
      <c r="L6" s="19" t="inlineStr">
        <is>
          <t>2</t>
        </is>
      </c>
      <c r="M6" t="inlineStr">
        <is>
          <t>2026-08-08</t>
        </is>
      </c>
      <c r="O6" t="inlineStr">
        <is>
          <t>SOURCE_CONFIGURATION_ID=IA-CNT-20-EUR;FAMILY=CONTAINER</t>
        </is>
      </c>
      <c r="P6" t="inlineStr">
        <is>
          <t>2026-08-10T19:29:54Z</t>
        </is>
      </c>
      <c r="Q6" t="inlineStr">
        <is>
          <t>2026-08-10T19:29:54Z</t>
        </is>
      </c>
    </row>
    <row r="7">
      <c r="A7" s="19" t="inlineStr">
        <is>
          <t>6</t>
        </is>
      </c>
      <c r="B7" s="19" t="inlineStr">
        <is>
          <t>CNT-40-IND-01</t>
        </is>
      </c>
      <c r="C7" t="n">
        <v>0</v>
      </c>
      <c r="D7" t="inlineStr">
        <is>
          <t>40 ft Container | Industrial loading</t>
        </is>
      </c>
      <c r="E7" s="19" t="inlineStr">
        <is>
          <t>246</t>
        </is>
      </c>
      <c r="F7" s="19" t="inlineStr">
        <is>
          <t>3</t>
        </is>
      </c>
      <c r="K7" s="19" t="n"/>
      <c r="L7" s="19" t="inlineStr">
        <is>
          <t>2</t>
        </is>
      </c>
      <c r="M7" t="inlineStr">
        <is>
          <t>2026-08-08</t>
        </is>
      </c>
      <c r="O7" t="inlineStr">
        <is>
          <t>SOURCE_CONFIGURATION_ID=IA-CNT-40-IND;FAMILY=CONTAINER</t>
        </is>
      </c>
      <c r="P7" t="inlineStr">
        <is>
          <t>2026-08-10T19:29:54Z</t>
        </is>
      </c>
      <c r="Q7" t="inlineStr">
        <is>
          <t>2026-08-10T19:29:54Z</t>
        </is>
      </c>
    </row>
    <row r="8">
      <c r="A8" s="19" t="inlineStr">
        <is>
          <t>7</t>
        </is>
      </c>
      <c r="B8" s="19" t="inlineStr">
        <is>
          <t>CNT-DE-HAM-01</t>
        </is>
      </c>
      <c r="C8" t="n">
        <v>0</v>
      </c>
      <c r="D8" t="inlineStr">
        <is>
          <t>Germany / Hamburg loading add-on</t>
        </is>
      </c>
      <c r="E8" s="19" t="inlineStr">
        <is>
          <t>247</t>
        </is>
      </c>
      <c r="F8" s="19" t="inlineStr">
        <is>
          <t>3</t>
        </is>
      </c>
      <c r="K8" s="19" t="n"/>
      <c r="L8" s="19" t="inlineStr">
        <is>
          <t>2</t>
        </is>
      </c>
      <c r="M8" t="inlineStr">
        <is>
          <t>2026-08-08</t>
        </is>
      </c>
      <c r="O8" t="inlineStr">
        <is>
          <t>SOURCE_CONFIGURATION_ID=IA-CNT-DE-HAMBURG;FAMILY=CONTAINER</t>
        </is>
      </c>
      <c r="P8" t="inlineStr">
        <is>
          <t>2026-08-10T19:29:54Z</t>
        </is>
      </c>
      <c r="Q8" t="inlineStr">
        <is>
          <t>2026-08-10T19:29:54Z</t>
        </is>
      </c>
    </row>
    <row r="9">
      <c r="A9" s="19" t="inlineStr">
        <is>
          <t>8</t>
        </is>
      </c>
      <c r="B9" s="19" t="inlineStr">
        <is>
          <t>ST-012-EUR-01</t>
        </is>
      </c>
      <c r="C9" t="n">
        <v>0</v>
      </c>
      <c r="D9" t="inlineStr">
        <is>
          <t>Default transport — ST-012-EUR-01</t>
        </is>
      </c>
      <c r="E9" s="19" t="inlineStr">
        <is>
          <t>1</t>
        </is>
      </c>
      <c r="F9" s="19" t="inlineStr">
        <is>
          <t>2</t>
        </is>
      </c>
      <c r="K9" s="19" t="n"/>
      <c r="L9" s="19" t="inlineStr">
        <is>
          <t>2</t>
        </is>
      </c>
      <c r="M9" t="inlineStr">
        <is>
          <t>2026-08-08</t>
        </is>
      </c>
      <c r="O9" t="inlineStr">
        <is>
          <t>Engineering default transport for commercial mapping FK</t>
        </is>
      </c>
      <c r="P9" t="inlineStr">
        <is>
          <t>2026-08-10T19:29:54Z</t>
        </is>
      </c>
      <c r="Q9" t="inlineStr">
        <is>
          <t>2026-08-10T19:29:54Z</t>
        </is>
      </c>
    </row>
    <row r="10">
      <c r="A10" s="19" t="inlineStr">
        <is>
          <t>9</t>
        </is>
      </c>
      <c r="B10" s="19" t="inlineStr">
        <is>
          <t>ST-012-EUR-02</t>
        </is>
      </c>
      <c r="C10" t="n">
        <v>0</v>
      </c>
      <c r="D10" t="inlineStr">
        <is>
          <t>Default transport — ST-012-EUR-02</t>
        </is>
      </c>
      <c r="E10" s="19" t="inlineStr">
        <is>
          <t>2</t>
        </is>
      </c>
      <c r="F10" s="19" t="inlineStr">
        <is>
          <t>2</t>
        </is>
      </c>
      <c r="K10" s="19" t="n"/>
      <c r="L10" s="19" t="inlineStr">
        <is>
          <t>2</t>
        </is>
      </c>
      <c r="M10" t="inlineStr">
        <is>
          <t>2026-08-08</t>
        </is>
      </c>
      <c r="O10" t="inlineStr">
        <is>
          <t>Engineering default transport for commercial mapping FK</t>
        </is>
      </c>
      <c r="P10" t="inlineStr">
        <is>
          <t>2026-08-10T19:29:54Z</t>
        </is>
      </c>
      <c r="Q10" t="inlineStr">
        <is>
          <t>2026-08-10T19:29:54Z</t>
        </is>
      </c>
    </row>
    <row r="11">
      <c r="A11" s="19" t="inlineStr">
        <is>
          <t>10</t>
        </is>
      </c>
      <c r="B11" s="19" t="inlineStr">
        <is>
          <t>ST-012-EUR-03</t>
        </is>
      </c>
      <c r="C11" t="n">
        <v>0</v>
      </c>
      <c r="D11" t="inlineStr">
        <is>
          <t>Default transport — ST-012-EUR-03</t>
        </is>
      </c>
      <c r="E11" s="19" t="inlineStr">
        <is>
          <t>3</t>
        </is>
      </c>
      <c r="F11" s="19" t="inlineStr">
        <is>
          <t>2</t>
        </is>
      </c>
      <c r="K11" s="19" t="n"/>
      <c r="L11" s="19" t="inlineStr">
        <is>
          <t>2</t>
        </is>
      </c>
      <c r="M11" t="inlineStr">
        <is>
          <t>2026-08-08</t>
        </is>
      </c>
      <c r="O11" t="inlineStr">
        <is>
          <t>Engineering default transport for commercial mapping FK</t>
        </is>
      </c>
      <c r="P11" t="inlineStr">
        <is>
          <t>2026-08-10T19:29:54Z</t>
        </is>
      </c>
      <c r="Q11" t="inlineStr">
        <is>
          <t>2026-08-10T19:29:54Z</t>
        </is>
      </c>
    </row>
    <row r="12">
      <c r="A12" s="19" t="inlineStr">
        <is>
          <t>11</t>
        </is>
      </c>
      <c r="B12" s="19" t="inlineStr">
        <is>
          <t>ST-018-EUR-01</t>
        </is>
      </c>
      <c r="C12" t="n">
        <v>0</v>
      </c>
      <c r="D12" t="inlineStr">
        <is>
          <t>Default transport — ST-018-EUR-01</t>
        </is>
      </c>
      <c r="E12" s="19" t="inlineStr">
        <is>
          <t>4</t>
        </is>
      </c>
      <c r="F12" s="19" t="inlineStr">
        <is>
          <t>2</t>
        </is>
      </c>
      <c r="K12" s="19" t="n"/>
      <c r="L12" s="19" t="inlineStr">
        <is>
          <t>2</t>
        </is>
      </c>
      <c r="M12" t="inlineStr">
        <is>
          <t>2026-08-08</t>
        </is>
      </c>
      <c r="O12" t="inlineStr">
        <is>
          <t>Engineering default transport for commercial mapping FK</t>
        </is>
      </c>
      <c r="P12" t="inlineStr">
        <is>
          <t>2026-08-10T19:29:54Z</t>
        </is>
      </c>
      <c r="Q12" t="inlineStr">
        <is>
          <t>2026-08-10T19:29:54Z</t>
        </is>
      </c>
    </row>
    <row r="13">
      <c r="A13" s="19" t="inlineStr">
        <is>
          <t>12</t>
        </is>
      </c>
      <c r="B13" s="19" t="inlineStr">
        <is>
          <t>ST-018-EUR-02</t>
        </is>
      </c>
      <c r="C13" t="n">
        <v>0</v>
      </c>
      <c r="D13" t="inlineStr">
        <is>
          <t>Default transport — ST-018-EUR-02</t>
        </is>
      </c>
      <c r="E13" s="19" t="inlineStr">
        <is>
          <t>5</t>
        </is>
      </c>
      <c r="F13" s="19" t="inlineStr">
        <is>
          <t>2</t>
        </is>
      </c>
      <c r="K13" s="19" t="n"/>
      <c r="L13" s="19" t="inlineStr">
        <is>
          <t>2</t>
        </is>
      </c>
      <c r="M13" t="inlineStr">
        <is>
          <t>2026-08-08</t>
        </is>
      </c>
      <c r="O13" t="inlineStr">
        <is>
          <t>Engineering default transport for commercial mapping FK</t>
        </is>
      </c>
      <c r="P13" t="inlineStr">
        <is>
          <t>2026-08-10T19:29:54Z</t>
        </is>
      </c>
      <c r="Q13" t="inlineStr">
        <is>
          <t>2026-08-10T19:29:54Z</t>
        </is>
      </c>
    </row>
    <row r="14">
      <c r="A14" s="19" t="inlineStr">
        <is>
          <t>13</t>
        </is>
      </c>
      <c r="B14" s="19" t="inlineStr">
        <is>
          <t>ST-018-EUR-03</t>
        </is>
      </c>
      <c r="C14" t="n">
        <v>0</v>
      </c>
      <c r="D14" t="inlineStr">
        <is>
          <t>Default transport — ST-018-EUR-03</t>
        </is>
      </c>
      <c r="E14" s="19" t="inlineStr">
        <is>
          <t>6</t>
        </is>
      </c>
      <c r="F14" s="19" t="inlineStr">
        <is>
          <t>2</t>
        </is>
      </c>
      <c r="K14" s="19" t="n"/>
      <c r="L14" s="19" t="inlineStr">
        <is>
          <t>2</t>
        </is>
      </c>
      <c r="M14" t="inlineStr">
        <is>
          <t>2026-08-08</t>
        </is>
      </c>
      <c r="O14" t="inlineStr">
        <is>
          <t>Engineering default transport for commercial mapping FK</t>
        </is>
      </c>
      <c r="P14" t="inlineStr">
        <is>
          <t>2026-08-10T19:29:54Z</t>
        </is>
      </c>
      <c r="Q14" t="inlineStr">
        <is>
          <t>2026-08-10T19:29:54Z</t>
        </is>
      </c>
    </row>
    <row r="15">
      <c r="A15" s="19" t="inlineStr">
        <is>
          <t>14</t>
        </is>
      </c>
      <c r="B15" s="19" t="inlineStr">
        <is>
          <t>ST-018-EUR-04</t>
        </is>
      </c>
      <c r="C15" t="n">
        <v>0</v>
      </c>
      <c r="D15" t="inlineStr">
        <is>
          <t>Default transport — ST-018-EUR-04</t>
        </is>
      </c>
      <c r="E15" s="19" t="inlineStr">
        <is>
          <t>7</t>
        </is>
      </c>
      <c r="F15" s="19" t="inlineStr">
        <is>
          <t>2</t>
        </is>
      </c>
      <c r="K15" s="19" t="n"/>
      <c r="L15" s="19" t="inlineStr">
        <is>
          <t>2</t>
        </is>
      </c>
      <c r="M15" t="inlineStr">
        <is>
          <t>2026-08-08</t>
        </is>
      </c>
      <c r="O15" t="inlineStr">
        <is>
          <t>Engineering default transport for commercial mapping FK</t>
        </is>
      </c>
      <c r="P15" t="inlineStr">
        <is>
          <t>2026-08-10T19:29:54Z</t>
        </is>
      </c>
      <c r="Q15" t="inlineStr">
        <is>
          <t>2026-08-10T19:29:54Z</t>
        </is>
      </c>
    </row>
    <row r="16">
      <c r="A16" s="19" t="inlineStr">
        <is>
          <t>15</t>
        </is>
      </c>
      <c r="B16" s="19" t="inlineStr">
        <is>
          <t>ST-018-EUR-05</t>
        </is>
      </c>
      <c r="C16" t="n">
        <v>0</v>
      </c>
      <c r="D16" t="inlineStr">
        <is>
          <t>Default transport — ST-018-EUR-05</t>
        </is>
      </c>
      <c r="E16" s="19" t="inlineStr">
        <is>
          <t>8</t>
        </is>
      </c>
      <c r="F16" s="19" t="inlineStr">
        <is>
          <t>2</t>
        </is>
      </c>
      <c r="K16" s="19" t="n"/>
      <c r="L16" s="19" t="inlineStr">
        <is>
          <t>2</t>
        </is>
      </c>
      <c r="M16" t="inlineStr">
        <is>
          <t>2026-08-08</t>
        </is>
      </c>
      <c r="O16" t="inlineStr">
        <is>
          <t>Engineering default transport for commercial mapping FK</t>
        </is>
      </c>
      <c r="P16" t="inlineStr">
        <is>
          <t>2026-08-10T19:29:54Z</t>
        </is>
      </c>
      <c r="Q16" t="inlineStr">
        <is>
          <t>2026-08-10T19:29:54Z</t>
        </is>
      </c>
    </row>
    <row r="17">
      <c r="A17" s="19" t="inlineStr">
        <is>
          <t>16</t>
        </is>
      </c>
      <c r="B17" s="19" t="inlineStr">
        <is>
          <t>ST-021-EUR-01</t>
        </is>
      </c>
      <c r="C17" t="n">
        <v>0</v>
      </c>
      <c r="D17" t="inlineStr">
        <is>
          <t>Default transport — ST-021-EUR-01</t>
        </is>
      </c>
      <c r="E17" s="19" t="inlineStr">
        <is>
          <t>9</t>
        </is>
      </c>
      <c r="F17" s="19" t="inlineStr">
        <is>
          <t>2</t>
        </is>
      </c>
      <c r="K17" s="19" t="n"/>
      <c r="L17" s="19" t="inlineStr">
        <is>
          <t>2</t>
        </is>
      </c>
      <c r="M17" t="inlineStr">
        <is>
          <t>2026-08-08</t>
        </is>
      </c>
      <c r="O17" t="inlineStr">
        <is>
          <t>Engineering default transport for commercial mapping FK</t>
        </is>
      </c>
      <c r="P17" t="inlineStr">
        <is>
          <t>2026-08-10T19:29:54Z</t>
        </is>
      </c>
      <c r="Q17" t="inlineStr">
        <is>
          <t>2026-08-10T19:29:54Z</t>
        </is>
      </c>
    </row>
    <row r="18">
      <c r="A18" s="19" t="inlineStr">
        <is>
          <t>17</t>
        </is>
      </c>
      <c r="B18" s="19" t="inlineStr">
        <is>
          <t>ST-021-EUR-02</t>
        </is>
      </c>
      <c r="C18" t="n">
        <v>0</v>
      </c>
      <c r="D18" t="inlineStr">
        <is>
          <t>Default transport — ST-021-EUR-02</t>
        </is>
      </c>
      <c r="E18" s="19" t="inlineStr">
        <is>
          <t>10</t>
        </is>
      </c>
      <c r="F18" s="19" t="inlineStr">
        <is>
          <t>2</t>
        </is>
      </c>
      <c r="K18" s="19" t="n"/>
      <c r="L18" s="19" t="inlineStr">
        <is>
          <t>2</t>
        </is>
      </c>
      <c r="M18" t="inlineStr">
        <is>
          <t>2026-08-08</t>
        </is>
      </c>
      <c r="O18" t="inlineStr">
        <is>
          <t>Engineering default transport for commercial mapping FK</t>
        </is>
      </c>
      <c r="P18" t="inlineStr">
        <is>
          <t>2026-08-10T19:29:54Z</t>
        </is>
      </c>
      <c r="Q18" t="inlineStr">
        <is>
          <t>2026-08-10T19:29:54Z</t>
        </is>
      </c>
    </row>
    <row r="19">
      <c r="A19" s="19" t="inlineStr">
        <is>
          <t>18</t>
        </is>
      </c>
      <c r="B19" s="19" t="inlineStr">
        <is>
          <t>ST-021-EUR-03</t>
        </is>
      </c>
      <c r="C19" t="n">
        <v>0</v>
      </c>
      <c r="D19" t="inlineStr">
        <is>
          <t>Default transport — ST-021-EUR-03</t>
        </is>
      </c>
      <c r="E19" s="19" t="inlineStr">
        <is>
          <t>11</t>
        </is>
      </c>
      <c r="F19" s="19" t="inlineStr">
        <is>
          <t>2</t>
        </is>
      </c>
      <c r="K19" s="19" t="n"/>
      <c r="L19" s="19" t="inlineStr">
        <is>
          <t>2</t>
        </is>
      </c>
      <c r="M19" t="inlineStr">
        <is>
          <t>2026-08-08</t>
        </is>
      </c>
      <c r="O19" t="inlineStr">
        <is>
          <t>Engineering default transport for commercial mapping FK</t>
        </is>
      </c>
      <c r="P19" t="inlineStr">
        <is>
          <t>2026-08-10T19:29:54Z</t>
        </is>
      </c>
      <c r="Q19" t="inlineStr">
        <is>
          <t>2026-08-10T19:29:54Z</t>
        </is>
      </c>
    </row>
    <row r="20">
      <c r="A20" s="19" t="inlineStr">
        <is>
          <t>19</t>
        </is>
      </c>
      <c r="B20" s="19" t="inlineStr">
        <is>
          <t>ST-021-EUR-04</t>
        </is>
      </c>
      <c r="C20" t="n">
        <v>0</v>
      </c>
      <c r="D20" t="inlineStr">
        <is>
          <t>Default transport — ST-021-EUR-04</t>
        </is>
      </c>
      <c r="E20" s="19" t="inlineStr">
        <is>
          <t>12</t>
        </is>
      </c>
      <c r="F20" s="19" t="inlineStr">
        <is>
          <t>2</t>
        </is>
      </c>
      <c r="K20" s="19" t="n"/>
      <c r="L20" s="19" t="inlineStr">
        <is>
          <t>2</t>
        </is>
      </c>
      <c r="M20" t="inlineStr">
        <is>
          <t>2026-08-08</t>
        </is>
      </c>
      <c r="O20" t="inlineStr">
        <is>
          <t>Engineering default transport for commercial mapping FK</t>
        </is>
      </c>
      <c r="P20" t="inlineStr">
        <is>
          <t>2026-08-10T19:29:54Z</t>
        </is>
      </c>
      <c r="Q20" t="inlineStr">
        <is>
          <t>2026-08-10T19:29:54Z</t>
        </is>
      </c>
    </row>
    <row r="21">
      <c r="A21" s="19" t="inlineStr">
        <is>
          <t>20</t>
        </is>
      </c>
      <c r="B21" s="19" t="inlineStr">
        <is>
          <t>ST-021-EUR-05</t>
        </is>
      </c>
      <c r="C21" t="n">
        <v>0</v>
      </c>
      <c r="D21" t="inlineStr">
        <is>
          <t>Default transport — ST-021-EUR-05</t>
        </is>
      </c>
      <c r="E21" s="19" t="inlineStr">
        <is>
          <t>13</t>
        </is>
      </c>
      <c r="F21" s="19" t="inlineStr">
        <is>
          <t>2</t>
        </is>
      </c>
      <c r="K21" s="19" t="n"/>
      <c r="L21" s="19" t="inlineStr">
        <is>
          <t>2</t>
        </is>
      </c>
      <c r="M21" t="inlineStr">
        <is>
          <t>2026-08-08</t>
        </is>
      </c>
      <c r="O21" t="inlineStr">
        <is>
          <t>Engineering default transport for commercial mapping FK</t>
        </is>
      </c>
      <c r="P21" t="inlineStr">
        <is>
          <t>2026-08-10T19:29:54Z</t>
        </is>
      </c>
      <c r="Q21" t="inlineStr">
        <is>
          <t>2026-08-10T19:29:54Z</t>
        </is>
      </c>
    </row>
    <row r="22">
      <c r="A22" s="19" t="inlineStr">
        <is>
          <t>21</t>
        </is>
      </c>
      <c r="B22" s="19" t="inlineStr">
        <is>
          <t>ST-021-STD-01</t>
        </is>
      </c>
      <c r="C22" t="n">
        <v>0</v>
      </c>
      <c r="D22" t="inlineStr">
        <is>
          <t>Default transport — ST-021-STD-01</t>
        </is>
      </c>
      <c r="E22" s="19" t="inlineStr">
        <is>
          <t>14</t>
        </is>
      </c>
      <c r="F22" s="19" t="inlineStr">
        <is>
          <t>2</t>
        </is>
      </c>
      <c r="K22" s="19" t="n"/>
      <c r="L22" s="19" t="inlineStr">
        <is>
          <t>2</t>
        </is>
      </c>
      <c r="M22" t="inlineStr">
        <is>
          <t>2026-08-08</t>
        </is>
      </c>
      <c r="O22" t="inlineStr">
        <is>
          <t>Engineering default transport for commercial mapping FK</t>
        </is>
      </c>
      <c r="P22" t="inlineStr">
        <is>
          <t>2026-08-10T19:29:54Z</t>
        </is>
      </c>
      <c r="Q22" t="inlineStr">
        <is>
          <t>2026-08-10T19:29:54Z</t>
        </is>
      </c>
    </row>
    <row r="23">
      <c r="A23" s="19" t="inlineStr">
        <is>
          <t>22</t>
        </is>
      </c>
      <c r="B23" s="19" t="inlineStr">
        <is>
          <t>ST-021-STD-02</t>
        </is>
      </c>
      <c r="C23" t="n">
        <v>0</v>
      </c>
      <c r="D23" t="inlineStr">
        <is>
          <t>Default transport — ST-021-STD-02</t>
        </is>
      </c>
      <c r="E23" s="19" t="inlineStr">
        <is>
          <t>15</t>
        </is>
      </c>
      <c r="F23" s="19" t="inlineStr">
        <is>
          <t>2</t>
        </is>
      </c>
      <c r="K23" s="19" t="n"/>
      <c r="L23" s="19" t="inlineStr">
        <is>
          <t>2</t>
        </is>
      </c>
      <c r="M23" t="inlineStr">
        <is>
          <t>2026-08-08</t>
        </is>
      </c>
      <c r="O23" t="inlineStr">
        <is>
          <t>Engineering default transport for commercial mapping FK</t>
        </is>
      </c>
      <c r="P23" t="inlineStr">
        <is>
          <t>2026-08-10T19:29:54Z</t>
        </is>
      </c>
      <c r="Q23" t="inlineStr">
        <is>
          <t>2026-08-10T19:29:54Z</t>
        </is>
      </c>
    </row>
    <row r="24">
      <c r="A24" s="19" t="inlineStr">
        <is>
          <t>23</t>
        </is>
      </c>
      <c r="B24" s="19" t="inlineStr">
        <is>
          <t>ST-021-STD-03</t>
        </is>
      </c>
      <c r="C24" t="n">
        <v>0</v>
      </c>
      <c r="D24" t="inlineStr">
        <is>
          <t>Default transport — ST-021-STD-03</t>
        </is>
      </c>
      <c r="E24" s="19" t="inlineStr">
        <is>
          <t>16</t>
        </is>
      </c>
      <c r="F24" s="19" t="inlineStr">
        <is>
          <t>2</t>
        </is>
      </c>
      <c r="K24" s="19" t="n"/>
      <c r="L24" s="19" t="inlineStr">
        <is>
          <t>2</t>
        </is>
      </c>
      <c r="M24" t="inlineStr">
        <is>
          <t>2026-08-08</t>
        </is>
      </c>
      <c r="O24" t="inlineStr">
        <is>
          <t>Engineering default transport for commercial mapping FK</t>
        </is>
      </c>
      <c r="P24" t="inlineStr">
        <is>
          <t>2026-08-10T19:29:54Z</t>
        </is>
      </c>
      <c r="Q24" t="inlineStr">
        <is>
          <t>2026-08-10T19:29:54Z</t>
        </is>
      </c>
    </row>
    <row r="25">
      <c r="A25" s="19" t="inlineStr">
        <is>
          <t>24</t>
        </is>
      </c>
      <c r="B25" s="19" t="inlineStr">
        <is>
          <t>ST-021-STD-04</t>
        </is>
      </c>
      <c r="C25" t="n">
        <v>0</v>
      </c>
      <c r="D25" t="inlineStr">
        <is>
          <t>Default transport — ST-021-STD-04</t>
        </is>
      </c>
      <c r="E25" s="19" t="inlineStr">
        <is>
          <t>17</t>
        </is>
      </c>
      <c r="F25" s="19" t="inlineStr">
        <is>
          <t>2</t>
        </is>
      </c>
      <c r="K25" s="19" t="n"/>
      <c r="L25" s="19" t="inlineStr">
        <is>
          <t>2</t>
        </is>
      </c>
      <c r="M25" t="inlineStr">
        <is>
          <t>2026-08-08</t>
        </is>
      </c>
      <c r="O25" t="inlineStr">
        <is>
          <t>Engineering default transport for commercial mapping FK</t>
        </is>
      </c>
      <c r="P25" t="inlineStr">
        <is>
          <t>2026-08-10T19:29:54Z</t>
        </is>
      </c>
      <c r="Q25" t="inlineStr">
        <is>
          <t>2026-08-10T19:29:54Z</t>
        </is>
      </c>
    </row>
    <row r="26">
      <c r="A26" s="19" t="inlineStr">
        <is>
          <t>25</t>
        </is>
      </c>
      <c r="B26" s="19" t="inlineStr">
        <is>
          <t>ST-021-STD-05</t>
        </is>
      </c>
      <c r="C26" t="n">
        <v>0</v>
      </c>
      <c r="D26" t="inlineStr">
        <is>
          <t>Default transport — ST-021-STD-05</t>
        </is>
      </c>
      <c r="E26" s="19" t="inlineStr">
        <is>
          <t>18</t>
        </is>
      </c>
      <c r="F26" s="19" t="inlineStr">
        <is>
          <t>2</t>
        </is>
      </c>
      <c r="K26" s="19" t="n"/>
      <c r="L26" s="19" t="inlineStr">
        <is>
          <t>2</t>
        </is>
      </c>
      <c r="M26" t="inlineStr">
        <is>
          <t>2026-08-08</t>
        </is>
      </c>
      <c r="O26" t="inlineStr">
        <is>
          <t>Engineering default transport for commercial mapping FK</t>
        </is>
      </c>
      <c r="P26" t="inlineStr">
        <is>
          <t>2026-08-10T19:29:54Z</t>
        </is>
      </c>
      <c r="Q26" t="inlineStr">
        <is>
          <t>2026-08-10T19:29:54Z</t>
        </is>
      </c>
    </row>
    <row r="27">
      <c r="A27" s="19" t="inlineStr">
        <is>
          <t>26</t>
        </is>
      </c>
      <c r="B27" s="19" t="inlineStr">
        <is>
          <t>ST-024-EUR-01</t>
        </is>
      </c>
      <c r="C27" t="n">
        <v>0</v>
      </c>
      <c r="D27" t="inlineStr">
        <is>
          <t>Default transport — ST-024-EUR-01</t>
        </is>
      </c>
      <c r="E27" s="19" t="inlineStr">
        <is>
          <t>19</t>
        </is>
      </c>
      <c r="F27" s="19" t="inlineStr">
        <is>
          <t>2</t>
        </is>
      </c>
      <c r="K27" s="19" t="n"/>
      <c r="L27" s="19" t="inlineStr">
        <is>
          <t>2</t>
        </is>
      </c>
      <c r="M27" t="inlineStr">
        <is>
          <t>2026-08-08</t>
        </is>
      </c>
      <c r="O27" t="inlineStr">
        <is>
          <t>Engineering default transport for commercial mapping FK</t>
        </is>
      </c>
      <c r="P27" t="inlineStr">
        <is>
          <t>2026-08-10T19:29:54Z</t>
        </is>
      </c>
      <c r="Q27" t="inlineStr">
        <is>
          <t>2026-08-10T19:29:54Z</t>
        </is>
      </c>
    </row>
    <row r="28">
      <c r="A28" s="19" t="inlineStr">
        <is>
          <t>27</t>
        </is>
      </c>
      <c r="B28" s="19" t="inlineStr">
        <is>
          <t>ST-024-EUR-02</t>
        </is>
      </c>
      <c r="C28" t="n">
        <v>0</v>
      </c>
      <c r="D28" t="inlineStr">
        <is>
          <t>Default transport — ST-024-EUR-02</t>
        </is>
      </c>
      <c r="E28" s="19" t="inlineStr">
        <is>
          <t>20</t>
        </is>
      </c>
      <c r="F28" s="19" t="inlineStr">
        <is>
          <t>2</t>
        </is>
      </c>
      <c r="K28" s="19" t="n"/>
      <c r="L28" s="19" t="inlineStr">
        <is>
          <t>2</t>
        </is>
      </c>
      <c r="M28" t="inlineStr">
        <is>
          <t>2026-08-08</t>
        </is>
      </c>
      <c r="O28" t="inlineStr">
        <is>
          <t>Engineering default transport for commercial mapping FK</t>
        </is>
      </c>
      <c r="P28" t="inlineStr">
        <is>
          <t>2026-08-10T19:29:54Z</t>
        </is>
      </c>
      <c r="Q28" t="inlineStr">
        <is>
          <t>2026-08-10T19:29:54Z</t>
        </is>
      </c>
    </row>
    <row r="29">
      <c r="A29" s="19" t="inlineStr">
        <is>
          <t>28</t>
        </is>
      </c>
      <c r="B29" s="19" t="inlineStr">
        <is>
          <t>ST-024-EUR-03</t>
        </is>
      </c>
      <c r="C29" t="n">
        <v>0</v>
      </c>
      <c r="D29" t="inlineStr">
        <is>
          <t>Default transport — ST-024-EUR-03</t>
        </is>
      </c>
      <c r="E29" s="19" t="inlineStr">
        <is>
          <t>21</t>
        </is>
      </c>
      <c r="F29" s="19" t="inlineStr">
        <is>
          <t>2</t>
        </is>
      </c>
      <c r="K29" s="19" t="n"/>
      <c r="L29" s="19" t="inlineStr">
        <is>
          <t>2</t>
        </is>
      </c>
      <c r="M29" t="inlineStr">
        <is>
          <t>2026-08-08</t>
        </is>
      </c>
      <c r="O29" t="inlineStr">
        <is>
          <t>Engineering default transport for commercial mapping FK</t>
        </is>
      </c>
      <c r="P29" t="inlineStr">
        <is>
          <t>2026-08-10T19:29:54Z</t>
        </is>
      </c>
      <c r="Q29" t="inlineStr">
        <is>
          <t>2026-08-10T19:29:54Z</t>
        </is>
      </c>
    </row>
    <row r="30">
      <c r="A30" s="19" t="inlineStr">
        <is>
          <t>29</t>
        </is>
      </c>
      <c r="B30" s="19" t="inlineStr">
        <is>
          <t>ST-024-EUR-04</t>
        </is>
      </c>
      <c r="C30" t="n">
        <v>0</v>
      </c>
      <c r="D30" t="inlineStr">
        <is>
          <t>Default transport — ST-024-EUR-04</t>
        </is>
      </c>
      <c r="E30" s="19" t="inlineStr">
        <is>
          <t>22</t>
        </is>
      </c>
      <c r="F30" s="19" t="inlineStr">
        <is>
          <t>2</t>
        </is>
      </c>
      <c r="K30" s="19" t="n"/>
      <c r="L30" s="19" t="inlineStr">
        <is>
          <t>2</t>
        </is>
      </c>
      <c r="M30" t="inlineStr">
        <is>
          <t>2026-08-08</t>
        </is>
      </c>
      <c r="O30" t="inlineStr">
        <is>
          <t>Engineering default transport for commercial mapping FK</t>
        </is>
      </c>
      <c r="P30" t="inlineStr">
        <is>
          <t>2026-08-10T19:29:54Z</t>
        </is>
      </c>
      <c r="Q30" t="inlineStr">
        <is>
          <t>2026-08-10T19:29:54Z</t>
        </is>
      </c>
    </row>
    <row r="31">
      <c r="A31" s="19" t="inlineStr">
        <is>
          <t>30</t>
        </is>
      </c>
      <c r="B31" s="19" t="inlineStr">
        <is>
          <t>ST-024-STD-01</t>
        </is>
      </c>
      <c r="C31" t="n">
        <v>0</v>
      </c>
      <c r="D31" t="inlineStr">
        <is>
          <t>Default transport — ST-024-STD-01</t>
        </is>
      </c>
      <c r="E31" s="19" t="inlineStr">
        <is>
          <t>23</t>
        </is>
      </c>
      <c r="F31" s="19" t="inlineStr">
        <is>
          <t>2</t>
        </is>
      </c>
      <c r="K31" s="19" t="n"/>
      <c r="L31" s="19" t="inlineStr">
        <is>
          <t>2</t>
        </is>
      </c>
      <c r="M31" t="inlineStr">
        <is>
          <t>2026-08-08</t>
        </is>
      </c>
      <c r="O31" t="inlineStr">
        <is>
          <t>Engineering default transport for commercial mapping FK</t>
        </is>
      </c>
      <c r="P31" t="inlineStr">
        <is>
          <t>2026-08-10T19:29:54Z</t>
        </is>
      </c>
      <c r="Q31" t="inlineStr">
        <is>
          <t>2026-08-10T19:29:54Z</t>
        </is>
      </c>
    </row>
    <row r="32">
      <c r="A32" s="19" t="inlineStr">
        <is>
          <t>31</t>
        </is>
      </c>
      <c r="B32" s="19" t="inlineStr">
        <is>
          <t>ST-027-STD90-01</t>
        </is>
      </c>
      <c r="C32" t="n">
        <v>0</v>
      </c>
      <c r="D32" t="inlineStr">
        <is>
          <t>Default transport — ST-027-STD90-01</t>
        </is>
      </c>
      <c r="E32" s="19" t="inlineStr">
        <is>
          <t>24</t>
        </is>
      </c>
      <c r="F32" s="19" t="inlineStr">
        <is>
          <t>2</t>
        </is>
      </c>
      <c r="K32" s="19" t="n"/>
      <c r="L32" s="19" t="inlineStr">
        <is>
          <t>2</t>
        </is>
      </c>
      <c r="M32" t="inlineStr">
        <is>
          <t>2026-08-08</t>
        </is>
      </c>
      <c r="O32" t="inlineStr">
        <is>
          <t>Engineering default transport for commercial mapping FK</t>
        </is>
      </c>
      <c r="P32" t="inlineStr">
        <is>
          <t>2026-08-10T19:29:54Z</t>
        </is>
      </c>
      <c r="Q32" t="inlineStr">
        <is>
          <t>2026-08-10T19:29:54Z</t>
        </is>
      </c>
    </row>
    <row r="33">
      <c r="A33" s="19" t="inlineStr">
        <is>
          <t>32</t>
        </is>
      </c>
      <c r="B33" s="19" t="inlineStr">
        <is>
          <t>ST-027-STD90-02</t>
        </is>
      </c>
      <c r="C33" t="n">
        <v>0</v>
      </c>
      <c r="D33" t="inlineStr">
        <is>
          <t>Default transport — ST-027-STD90-02</t>
        </is>
      </c>
      <c r="E33" s="19" t="inlineStr">
        <is>
          <t>25</t>
        </is>
      </c>
      <c r="F33" s="19" t="inlineStr">
        <is>
          <t>2</t>
        </is>
      </c>
      <c r="K33" s="19" t="n"/>
      <c r="L33" s="19" t="inlineStr">
        <is>
          <t>2</t>
        </is>
      </c>
      <c r="M33" t="inlineStr">
        <is>
          <t>2026-08-08</t>
        </is>
      </c>
      <c r="O33" t="inlineStr">
        <is>
          <t>Engineering default transport for commercial mapping FK</t>
        </is>
      </c>
      <c r="P33" t="inlineStr">
        <is>
          <t>2026-08-10T19:29:54Z</t>
        </is>
      </c>
      <c r="Q33" t="inlineStr">
        <is>
          <t>2026-08-10T19:29:54Z</t>
        </is>
      </c>
    </row>
    <row r="34">
      <c r="A34" s="19" t="inlineStr">
        <is>
          <t>33</t>
        </is>
      </c>
      <c r="B34" s="19" t="inlineStr">
        <is>
          <t>ST-028-STD-01</t>
        </is>
      </c>
      <c r="C34" t="n">
        <v>0</v>
      </c>
      <c r="D34" t="inlineStr">
        <is>
          <t>Default transport — ST-028-STD-01</t>
        </is>
      </c>
      <c r="E34" s="19" t="inlineStr">
        <is>
          <t>26</t>
        </is>
      </c>
      <c r="F34" s="19" t="inlineStr">
        <is>
          <t>2</t>
        </is>
      </c>
      <c r="K34" s="19" t="n"/>
      <c r="L34" s="19" t="inlineStr">
        <is>
          <t>2</t>
        </is>
      </c>
      <c r="M34" t="inlineStr">
        <is>
          <t>2026-08-08</t>
        </is>
      </c>
      <c r="O34" t="inlineStr">
        <is>
          <t>Engineering default transport for commercial mapping FK</t>
        </is>
      </c>
      <c r="P34" t="inlineStr">
        <is>
          <t>2026-08-10T19:29:54Z</t>
        </is>
      </c>
      <c r="Q34" t="inlineStr">
        <is>
          <t>2026-08-10T19:29:54Z</t>
        </is>
      </c>
    </row>
    <row r="35">
      <c r="A35" s="19" t="inlineStr">
        <is>
          <t>34</t>
        </is>
      </c>
      <c r="B35" s="19" t="inlineStr">
        <is>
          <t>ST-030-STD-01</t>
        </is>
      </c>
      <c r="C35" t="n">
        <v>0</v>
      </c>
      <c r="D35" t="inlineStr">
        <is>
          <t>Default transport — ST-030-STD-01</t>
        </is>
      </c>
      <c r="E35" s="19" t="inlineStr">
        <is>
          <t>27</t>
        </is>
      </c>
      <c r="F35" s="19" t="inlineStr">
        <is>
          <t>2</t>
        </is>
      </c>
      <c r="K35" s="19" t="n"/>
      <c r="L35" s="19" t="inlineStr">
        <is>
          <t>2</t>
        </is>
      </c>
      <c r="M35" t="inlineStr">
        <is>
          <t>2026-08-08</t>
        </is>
      </c>
      <c r="O35" t="inlineStr">
        <is>
          <t>Engineering default transport for commercial mapping FK</t>
        </is>
      </c>
      <c r="P35" t="inlineStr">
        <is>
          <t>2026-08-10T19:29:54Z</t>
        </is>
      </c>
      <c r="Q35" t="inlineStr">
        <is>
          <t>2026-08-10T19:29:54Z</t>
        </is>
      </c>
    </row>
    <row r="36">
      <c r="A36" s="19" t="inlineStr">
        <is>
          <t>35</t>
        </is>
      </c>
      <c r="B36" s="19" t="inlineStr">
        <is>
          <t>ST-030-STD-02</t>
        </is>
      </c>
      <c r="C36" t="n">
        <v>0</v>
      </c>
      <c r="D36" t="inlineStr">
        <is>
          <t>Default transport — ST-030-STD-02</t>
        </is>
      </c>
      <c r="E36" s="19" t="inlineStr">
        <is>
          <t>28</t>
        </is>
      </c>
      <c r="F36" s="19" t="inlineStr">
        <is>
          <t>2</t>
        </is>
      </c>
      <c r="K36" s="19" t="n"/>
      <c r="L36" s="19" t="inlineStr">
        <is>
          <t>2</t>
        </is>
      </c>
      <c r="M36" t="inlineStr">
        <is>
          <t>2026-08-08</t>
        </is>
      </c>
      <c r="O36" t="inlineStr">
        <is>
          <t>Engineering default transport for commercial mapping FK</t>
        </is>
      </c>
      <c r="P36" t="inlineStr">
        <is>
          <t>2026-08-10T19:29:54Z</t>
        </is>
      </c>
      <c r="Q36" t="inlineStr">
        <is>
          <t>2026-08-10T19:29:54Z</t>
        </is>
      </c>
    </row>
    <row r="37">
      <c r="A37" s="19" t="inlineStr">
        <is>
          <t>36</t>
        </is>
      </c>
      <c r="B37" s="19" t="inlineStr">
        <is>
          <t>ST-030-STD-03</t>
        </is>
      </c>
      <c r="C37" t="n">
        <v>0</v>
      </c>
      <c r="D37" t="inlineStr">
        <is>
          <t>Default transport — ST-030-STD-03</t>
        </is>
      </c>
      <c r="E37" s="19" t="inlineStr">
        <is>
          <t>29</t>
        </is>
      </c>
      <c r="F37" s="19" t="inlineStr">
        <is>
          <t>2</t>
        </is>
      </c>
      <c r="K37" s="19" t="n"/>
      <c r="L37" s="19" t="inlineStr">
        <is>
          <t>2</t>
        </is>
      </c>
      <c r="M37" t="inlineStr">
        <is>
          <t>2026-08-08</t>
        </is>
      </c>
      <c r="O37" t="inlineStr">
        <is>
          <t>Engineering default transport for commercial mapping FK</t>
        </is>
      </c>
      <c r="P37" t="inlineStr">
        <is>
          <t>2026-08-10T19:29:54Z</t>
        </is>
      </c>
      <c r="Q37" t="inlineStr">
        <is>
          <t>2026-08-10T19:29:54Z</t>
        </is>
      </c>
    </row>
    <row r="38">
      <c r="A38" s="19" t="inlineStr">
        <is>
          <t>37</t>
        </is>
      </c>
      <c r="B38" s="19" t="inlineStr">
        <is>
          <t>ST-030-STD-04</t>
        </is>
      </c>
      <c r="C38" t="n">
        <v>0</v>
      </c>
      <c r="D38" t="inlineStr">
        <is>
          <t>Default transport — ST-030-STD-04</t>
        </is>
      </c>
      <c r="E38" s="19" t="inlineStr">
        <is>
          <t>30</t>
        </is>
      </c>
      <c r="F38" s="19" t="inlineStr">
        <is>
          <t>2</t>
        </is>
      </c>
      <c r="K38" s="19" t="n"/>
      <c r="L38" s="19" t="inlineStr">
        <is>
          <t>2</t>
        </is>
      </c>
      <c r="M38" t="inlineStr">
        <is>
          <t>2026-08-08</t>
        </is>
      </c>
      <c r="O38" t="inlineStr">
        <is>
          <t>Engineering default transport for commercial mapping FK</t>
        </is>
      </c>
      <c r="P38" t="inlineStr">
        <is>
          <t>2026-08-10T19:29:54Z</t>
        </is>
      </c>
      <c r="Q38" t="inlineStr">
        <is>
          <t>2026-08-10T19:29:54Z</t>
        </is>
      </c>
    </row>
    <row r="39">
      <c r="A39" s="19" t="inlineStr">
        <is>
          <t>38</t>
        </is>
      </c>
      <c r="B39" s="19" t="inlineStr">
        <is>
          <t>ST-030-STD-05</t>
        </is>
      </c>
      <c r="C39" t="n">
        <v>0</v>
      </c>
      <c r="D39" t="inlineStr">
        <is>
          <t>Default transport — ST-030-STD-05</t>
        </is>
      </c>
      <c r="E39" s="19" t="inlineStr">
        <is>
          <t>31</t>
        </is>
      </c>
      <c r="F39" s="19" t="inlineStr">
        <is>
          <t>2</t>
        </is>
      </c>
      <c r="K39" s="19" t="n"/>
      <c r="L39" s="19" t="inlineStr">
        <is>
          <t>2</t>
        </is>
      </c>
      <c r="M39" t="inlineStr">
        <is>
          <t>2026-08-08</t>
        </is>
      </c>
      <c r="O39" t="inlineStr">
        <is>
          <t>Engineering default transport for commercial mapping FK</t>
        </is>
      </c>
      <c r="P39" t="inlineStr">
        <is>
          <t>2026-08-10T19:29:54Z</t>
        </is>
      </c>
      <c r="Q39" t="inlineStr">
        <is>
          <t>2026-08-10T19:29:54Z</t>
        </is>
      </c>
    </row>
    <row r="40">
      <c r="A40" s="19" t="inlineStr">
        <is>
          <t>39</t>
        </is>
      </c>
      <c r="B40" s="19" t="inlineStr">
        <is>
          <t>ST-030-STD-06</t>
        </is>
      </c>
      <c r="C40" t="n">
        <v>0</v>
      </c>
      <c r="D40" t="inlineStr">
        <is>
          <t>Default transport — ST-030-STD-06</t>
        </is>
      </c>
      <c r="E40" s="19" t="inlineStr">
        <is>
          <t>32</t>
        </is>
      </c>
      <c r="F40" s="19" t="inlineStr">
        <is>
          <t>2</t>
        </is>
      </c>
      <c r="K40" s="19" t="n"/>
      <c r="L40" s="19" t="inlineStr">
        <is>
          <t>2</t>
        </is>
      </c>
      <c r="M40" t="inlineStr">
        <is>
          <t>2026-08-08</t>
        </is>
      </c>
      <c r="O40" t="inlineStr">
        <is>
          <t>Engineering default transport for commercial mapping FK</t>
        </is>
      </c>
      <c r="P40" t="inlineStr">
        <is>
          <t>2026-08-10T19:29:54Z</t>
        </is>
      </c>
      <c r="Q40" t="inlineStr">
        <is>
          <t>2026-08-10T19:29:54Z</t>
        </is>
      </c>
    </row>
    <row r="41">
      <c r="A41" s="19" t="inlineStr">
        <is>
          <t>40</t>
        </is>
      </c>
      <c r="B41" s="19" t="inlineStr">
        <is>
          <t>ST-030-STD-07</t>
        </is>
      </c>
      <c r="C41" t="n">
        <v>0</v>
      </c>
      <c r="D41" t="inlineStr">
        <is>
          <t>Default transport — ST-030-STD-07</t>
        </is>
      </c>
      <c r="E41" s="19" t="inlineStr">
        <is>
          <t>33</t>
        </is>
      </c>
      <c r="F41" s="19" t="inlineStr">
        <is>
          <t>2</t>
        </is>
      </c>
      <c r="K41" s="19" t="n"/>
      <c r="L41" s="19" t="inlineStr">
        <is>
          <t>2</t>
        </is>
      </c>
      <c r="M41" t="inlineStr">
        <is>
          <t>2026-08-08</t>
        </is>
      </c>
      <c r="O41" t="inlineStr">
        <is>
          <t>Engineering default transport for commercial mapping FK</t>
        </is>
      </c>
      <c r="P41" t="inlineStr">
        <is>
          <t>2026-08-10T19:29:54Z</t>
        </is>
      </c>
      <c r="Q41" t="inlineStr">
        <is>
          <t>2026-08-10T19:29:54Z</t>
        </is>
      </c>
    </row>
    <row r="42">
      <c r="A42" s="19" t="inlineStr">
        <is>
          <t>41</t>
        </is>
      </c>
      <c r="B42" s="19" t="inlineStr">
        <is>
          <t>ST-030-STD-08</t>
        </is>
      </c>
      <c r="C42" t="n">
        <v>0</v>
      </c>
      <c r="D42" t="inlineStr">
        <is>
          <t>Default transport — ST-030-STD-08</t>
        </is>
      </c>
      <c r="E42" s="19" t="inlineStr">
        <is>
          <t>34</t>
        </is>
      </c>
      <c r="F42" s="19" t="inlineStr">
        <is>
          <t>2</t>
        </is>
      </c>
      <c r="K42" s="19" t="n"/>
      <c r="L42" s="19" t="inlineStr">
        <is>
          <t>2</t>
        </is>
      </c>
      <c r="M42" t="inlineStr">
        <is>
          <t>2026-08-08</t>
        </is>
      </c>
      <c r="O42" t="inlineStr">
        <is>
          <t>Engineering default transport for commercial mapping FK</t>
        </is>
      </c>
      <c r="P42" t="inlineStr">
        <is>
          <t>2026-08-10T19:29:54Z</t>
        </is>
      </c>
      <c r="Q42" t="inlineStr">
        <is>
          <t>2026-08-10T19:29:54Z</t>
        </is>
      </c>
    </row>
    <row r="43">
      <c r="A43" s="19" t="inlineStr">
        <is>
          <t>42</t>
        </is>
      </c>
      <c r="B43" s="19" t="inlineStr">
        <is>
          <t>ST-030-STD-09</t>
        </is>
      </c>
      <c r="C43" t="n">
        <v>0</v>
      </c>
      <c r="D43" t="inlineStr">
        <is>
          <t>Default transport — ST-030-STD-09</t>
        </is>
      </c>
      <c r="E43" s="19" t="inlineStr">
        <is>
          <t>35</t>
        </is>
      </c>
      <c r="F43" s="19" t="inlineStr">
        <is>
          <t>2</t>
        </is>
      </c>
      <c r="K43" s="19" t="n"/>
      <c r="L43" s="19" t="inlineStr">
        <is>
          <t>2</t>
        </is>
      </c>
      <c r="M43" t="inlineStr">
        <is>
          <t>2026-08-08</t>
        </is>
      </c>
      <c r="O43" t="inlineStr">
        <is>
          <t>Engineering default transport for commercial mapping FK</t>
        </is>
      </c>
      <c r="P43" t="inlineStr">
        <is>
          <t>2026-08-10T19:29:54Z</t>
        </is>
      </c>
      <c r="Q43" t="inlineStr">
        <is>
          <t>2026-08-10T19:29:54Z</t>
        </is>
      </c>
    </row>
    <row r="44">
      <c r="A44" s="19" t="inlineStr">
        <is>
          <t>43</t>
        </is>
      </c>
      <c r="B44" s="19" t="inlineStr">
        <is>
          <t>ST-030-STD-10</t>
        </is>
      </c>
      <c r="C44" t="n">
        <v>0</v>
      </c>
      <c r="D44" t="inlineStr">
        <is>
          <t>Default transport — ST-030-STD-10</t>
        </is>
      </c>
      <c r="E44" s="19" t="inlineStr">
        <is>
          <t>36</t>
        </is>
      </c>
      <c r="F44" s="19" t="inlineStr">
        <is>
          <t>2</t>
        </is>
      </c>
      <c r="K44" s="19" t="n"/>
      <c r="L44" s="19" t="inlineStr">
        <is>
          <t>2</t>
        </is>
      </c>
      <c r="M44" t="inlineStr">
        <is>
          <t>2026-08-08</t>
        </is>
      </c>
      <c r="O44" t="inlineStr">
        <is>
          <t>Engineering default transport for commercial mapping FK</t>
        </is>
      </c>
      <c r="P44" t="inlineStr">
        <is>
          <t>2026-08-10T19:29:54Z</t>
        </is>
      </c>
      <c r="Q44" t="inlineStr">
        <is>
          <t>2026-08-10T19:29:54Z</t>
        </is>
      </c>
    </row>
    <row r="45">
      <c r="A45" s="19" t="inlineStr">
        <is>
          <t>44</t>
        </is>
      </c>
      <c r="B45" s="19" t="inlineStr">
        <is>
          <t>ST-030-STD-11</t>
        </is>
      </c>
      <c r="C45" t="n">
        <v>0</v>
      </c>
      <c r="D45" t="inlineStr">
        <is>
          <t>Default transport — ST-030-STD-11</t>
        </is>
      </c>
      <c r="E45" s="19" t="inlineStr">
        <is>
          <t>37</t>
        </is>
      </c>
      <c r="F45" s="19" t="inlineStr">
        <is>
          <t>2</t>
        </is>
      </c>
      <c r="K45" s="19" t="n"/>
      <c r="L45" s="19" t="inlineStr">
        <is>
          <t>2</t>
        </is>
      </c>
      <c r="M45" t="inlineStr">
        <is>
          <t>2026-08-08</t>
        </is>
      </c>
      <c r="O45" t="inlineStr">
        <is>
          <t>Engineering default transport for commercial mapping FK</t>
        </is>
      </c>
      <c r="P45" t="inlineStr">
        <is>
          <t>2026-08-10T19:29:54Z</t>
        </is>
      </c>
      <c r="Q45" t="inlineStr">
        <is>
          <t>2026-08-10T19:29:54Z</t>
        </is>
      </c>
    </row>
    <row r="46">
      <c r="A46" s="19" t="inlineStr">
        <is>
          <t>45</t>
        </is>
      </c>
      <c r="B46" s="19" t="inlineStr">
        <is>
          <t>ST-033-EUR-01</t>
        </is>
      </c>
      <c r="C46" t="n">
        <v>0</v>
      </c>
      <c r="D46" t="inlineStr">
        <is>
          <t>Default transport — ST-033-EUR-01</t>
        </is>
      </c>
      <c r="E46" s="19" t="inlineStr">
        <is>
          <t>38</t>
        </is>
      </c>
      <c r="F46" s="19" t="inlineStr">
        <is>
          <t>2</t>
        </is>
      </c>
      <c r="K46" s="19" t="n"/>
      <c r="L46" s="19" t="inlineStr">
        <is>
          <t>2</t>
        </is>
      </c>
      <c r="M46" t="inlineStr">
        <is>
          <t>2026-08-08</t>
        </is>
      </c>
      <c r="O46" t="inlineStr">
        <is>
          <t>Engineering default transport for commercial mapping FK</t>
        </is>
      </c>
      <c r="P46" t="inlineStr">
        <is>
          <t>2026-08-10T19:29:54Z</t>
        </is>
      </c>
      <c r="Q46" t="inlineStr">
        <is>
          <t>2026-08-10T19:29:54Z</t>
        </is>
      </c>
    </row>
    <row r="47">
      <c r="A47" s="19" t="inlineStr">
        <is>
          <t>46</t>
        </is>
      </c>
      <c r="B47" s="19" t="inlineStr">
        <is>
          <t>ST-034-STD-01</t>
        </is>
      </c>
      <c r="C47" t="n">
        <v>0</v>
      </c>
      <c r="D47" t="inlineStr">
        <is>
          <t>Default transport — ST-034-STD-01</t>
        </is>
      </c>
      <c r="E47" s="19" t="inlineStr">
        <is>
          <t>39</t>
        </is>
      </c>
      <c r="F47" s="19" t="inlineStr">
        <is>
          <t>2</t>
        </is>
      </c>
      <c r="K47" s="19" t="n"/>
      <c r="L47" s="19" t="inlineStr">
        <is>
          <t>2</t>
        </is>
      </c>
      <c r="M47" t="inlineStr">
        <is>
          <t>2026-08-08</t>
        </is>
      </c>
      <c r="O47" t="inlineStr">
        <is>
          <t>Engineering default transport for commercial mapping FK</t>
        </is>
      </c>
      <c r="P47" t="inlineStr">
        <is>
          <t>2026-08-10T19:29:54Z</t>
        </is>
      </c>
      <c r="Q47" t="inlineStr">
        <is>
          <t>2026-08-10T19:29:54Z</t>
        </is>
      </c>
    </row>
    <row r="48">
      <c r="A48" s="19" t="inlineStr">
        <is>
          <t>47</t>
        </is>
      </c>
      <c r="B48" s="19" t="inlineStr">
        <is>
          <t>ST-034-STD-02</t>
        </is>
      </c>
      <c r="C48" t="n">
        <v>0</v>
      </c>
      <c r="D48" t="inlineStr">
        <is>
          <t>Default transport — ST-034-STD-02</t>
        </is>
      </c>
      <c r="E48" s="19" t="inlineStr">
        <is>
          <t>40</t>
        </is>
      </c>
      <c r="F48" s="19" t="inlineStr">
        <is>
          <t>2</t>
        </is>
      </c>
      <c r="K48" s="19" t="n"/>
      <c r="L48" s="19" t="inlineStr">
        <is>
          <t>2</t>
        </is>
      </c>
      <c r="M48" t="inlineStr">
        <is>
          <t>2026-08-08</t>
        </is>
      </c>
      <c r="O48" t="inlineStr">
        <is>
          <t>Engineering default transport for commercial mapping FK</t>
        </is>
      </c>
      <c r="P48" t="inlineStr">
        <is>
          <t>2026-08-10T19:29:54Z</t>
        </is>
      </c>
      <c r="Q48" t="inlineStr">
        <is>
          <t>2026-08-10T19:29:54Z</t>
        </is>
      </c>
    </row>
    <row r="49">
      <c r="A49" s="19" t="inlineStr">
        <is>
          <t>48</t>
        </is>
      </c>
      <c r="B49" s="19" t="inlineStr">
        <is>
          <t>ST-036-EUR-01</t>
        </is>
      </c>
      <c r="C49" t="n">
        <v>0</v>
      </c>
      <c r="D49" t="inlineStr">
        <is>
          <t>Default transport — ST-036-EUR-01</t>
        </is>
      </c>
      <c r="E49" s="19" t="inlineStr">
        <is>
          <t>41</t>
        </is>
      </c>
      <c r="F49" s="19" t="inlineStr">
        <is>
          <t>2</t>
        </is>
      </c>
      <c r="K49" s="19" t="n"/>
      <c r="L49" s="19" t="inlineStr">
        <is>
          <t>2</t>
        </is>
      </c>
      <c r="M49" t="inlineStr">
        <is>
          <t>2026-08-08</t>
        </is>
      </c>
      <c r="O49" t="inlineStr">
        <is>
          <t>Engineering default transport for commercial mapping FK</t>
        </is>
      </c>
      <c r="P49" t="inlineStr">
        <is>
          <t>2026-08-10T19:29:54Z</t>
        </is>
      </c>
      <c r="Q49" t="inlineStr">
        <is>
          <t>2026-08-10T19:29:54Z</t>
        </is>
      </c>
    </row>
    <row r="50">
      <c r="A50" s="19" t="inlineStr">
        <is>
          <t>49</t>
        </is>
      </c>
      <c r="B50" s="19" t="inlineStr">
        <is>
          <t>ST-036-EUR-02</t>
        </is>
      </c>
      <c r="C50" t="n">
        <v>0</v>
      </c>
      <c r="D50" t="inlineStr">
        <is>
          <t>Default transport — ST-036-EUR-02</t>
        </is>
      </c>
      <c r="E50" s="19" t="inlineStr">
        <is>
          <t>42</t>
        </is>
      </c>
      <c r="F50" s="19" t="inlineStr">
        <is>
          <t>2</t>
        </is>
      </c>
      <c r="K50" s="19" t="n"/>
      <c r="L50" s="19" t="inlineStr">
        <is>
          <t>2</t>
        </is>
      </c>
      <c r="M50" t="inlineStr">
        <is>
          <t>2026-08-08</t>
        </is>
      </c>
      <c r="O50" t="inlineStr">
        <is>
          <t>Engineering default transport for commercial mapping FK</t>
        </is>
      </c>
      <c r="P50" t="inlineStr">
        <is>
          <t>2026-08-10T19:29:54Z</t>
        </is>
      </c>
      <c r="Q50" t="inlineStr">
        <is>
          <t>2026-08-10T19:29:54Z</t>
        </is>
      </c>
    </row>
    <row r="51">
      <c r="A51" s="19" t="inlineStr">
        <is>
          <t>50</t>
        </is>
      </c>
      <c r="B51" s="19" t="inlineStr">
        <is>
          <t>ST-036-EUR-03</t>
        </is>
      </c>
      <c r="C51" t="n">
        <v>0</v>
      </c>
      <c r="D51" t="inlineStr">
        <is>
          <t>Default transport — ST-036-EUR-03</t>
        </is>
      </c>
      <c r="E51" s="19" t="inlineStr">
        <is>
          <t>43</t>
        </is>
      </c>
      <c r="F51" s="19" t="inlineStr">
        <is>
          <t>2</t>
        </is>
      </c>
      <c r="K51" s="19" t="n"/>
      <c r="L51" s="19" t="inlineStr">
        <is>
          <t>2</t>
        </is>
      </c>
      <c r="M51" t="inlineStr">
        <is>
          <t>2026-08-08</t>
        </is>
      </c>
      <c r="O51" t="inlineStr">
        <is>
          <t>Engineering default transport for commercial mapping FK</t>
        </is>
      </c>
      <c r="P51" t="inlineStr">
        <is>
          <t>2026-08-10T19:29:54Z</t>
        </is>
      </c>
      <c r="Q51" t="inlineStr">
        <is>
          <t>2026-08-10T19:29:54Z</t>
        </is>
      </c>
    </row>
    <row r="52">
      <c r="A52" s="19" t="inlineStr">
        <is>
          <t>51</t>
        </is>
      </c>
      <c r="B52" s="19" t="inlineStr">
        <is>
          <t>ST-036-EUR-04</t>
        </is>
      </c>
      <c r="C52" t="n">
        <v>0</v>
      </c>
      <c r="D52" t="inlineStr">
        <is>
          <t>Default transport — ST-036-EUR-04</t>
        </is>
      </c>
      <c r="E52" s="19" t="inlineStr">
        <is>
          <t>44</t>
        </is>
      </c>
      <c r="F52" s="19" t="inlineStr">
        <is>
          <t>2</t>
        </is>
      </c>
      <c r="K52" s="19" t="n"/>
      <c r="L52" s="19" t="inlineStr">
        <is>
          <t>2</t>
        </is>
      </c>
      <c r="M52" t="inlineStr">
        <is>
          <t>2026-08-08</t>
        </is>
      </c>
      <c r="O52" t="inlineStr">
        <is>
          <t>Engineering default transport for commercial mapping FK</t>
        </is>
      </c>
      <c r="P52" t="inlineStr">
        <is>
          <t>2026-08-10T19:29:54Z</t>
        </is>
      </c>
      <c r="Q52" t="inlineStr">
        <is>
          <t>2026-08-10T19:29:54Z</t>
        </is>
      </c>
    </row>
    <row r="53">
      <c r="A53" s="19" t="inlineStr">
        <is>
          <t>52</t>
        </is>
      </c>
      <c r="B53" s="19" t="inlineStr">
        <is>
          <t>ST-036-EUR-05</t>
        </is>
      </c>
      <c r="C53" t="n">
        <v>0</v>
      </c>
      <c r="D53" t="inlineStr">
        <is>
          <t>Default transport — ST-036-EUR-05</t>
        </is>
      </c>
      <c r="E53" s="19" t="inlineStr">
        <is>
          <t>45</t>
        </is>
      </c>
      <c r="F53" s="19" t="inlineStr">
        <is>
          <t>2</t>
        </is>
      </c>
      <c r="K53" s="19" t="n"/>
      <c r="L53" s="19" t="inlineStr">
        <is>
          <t>2</t>
        </is>
      </c>
      <c r="M53" t="inlineStr">
        <is>
          <t>2026-08-08</t>
        </is>
      </c>
      <c r="O53" t="inlineStr">
        <is>
          <t>Engineering default transport for commercial mapping FK</t>
        </is>
      </c>
      <c r="P53" t="inlineStr">
        <is>
          <t>2026-08-10T19:29:54Z</t>
        </is>
      </c>
      <c r="Q53" t="inlineStr">
        <is>
          <t>2026-08-10T19:29:54Z</t>
        </is>
      </c>
    </row>
    <row r="54">
      <c r="A54" s="19" t="inlineStr">
        <is>
          <t>53</t>
        </is>
      </c>
      <c r="B54" s="19" t="inlineStr">
        <is>
          <t>ST-036-EUR-06</t>
        </is>
      </c>
      <c r="C54" t="n">
        <v>0</v>
      </c>
      <c r="D54" t="inlineStr">
        <is>
          <t>Default transport — ST-036-EUR-06</t>
        </is>
      </c>
      <c r="E54" s="19" t="inlineStr">
        <is>
          <t>46</t>
        </is>
      </c>
      <c r="F54" s="19" t="inlineStr">
        <is>
          <t>2</t>
        </is>
      </c>
      <c r="K54" s="19" t="n"/>
      <c r="L54" s="19" t="inlineStr">
        <is>
          <t>2</t>
        </is>
      </c>
      <c r="M54" t="inlineStr">
        <is>
          <t>2026-08-08</t>
        </is>
      </c>
      <c r="O54" t="inlineStr">
        <is>
          <t>Engineering default transport for commercial mapping FK</t>
        </is>
      </c>
      <c r="P54" t="inlineStr">
        <is>
          <t>2026-08-10T19:29:54Z</t>
        </is>
      </c>
      <c r="Q54" t="inlineStr">
        <is>
          <t>2026-08-10T19:29:54Z</t>
        </is>
      </c>
    </row>
    <row r="55">
      <c r="A55" s="19" t="inlineStr">
        <is>
          <t>54</t>
        </is>
      </c>
      <c r="B55" s="19" t="inlineStr">
        <is>
          <t>ST-036-EUR-07</t>
        </is>
      </c>
      <c r="C55" t="n">
        <v>0</v>
      </c>
      <c r="D55" t="inlineStr">
        <is>
          <t>Default transport — ST-036-EUR-07</t>
        </is>
      </c>
      <c r="E55" s="19" t="inlineStr">
        <is>
          <t>47</t>
        </is>
      </c>
      <c r="F55" s="19" t="inlineStr">
        <is>
          <t>2</t>
        </is>
      </c>
      <c r="K55" s="19" t="n"/>
      <c r="L55" s="19" t="inlineStr">
        <is>
          <t>2</t>
        </is>
      </c>
      <c r="M55" t="inlineStr">
        <is>
          <t>2026-08-08</t>
        </is>
      </c>
      <c r="O55" t="inlineStr">
        <is>
          <t>Engineering default transport for commercial mapping FK</t>
        </is>
      </c>
      <c r="P55" t="inlineStr">
        <is>
          <t>2026-08-10T19:29:54Z</t>
        </is>
      </c>
      <c r="Q55" t="inlineStr">
        <is>
          <t>2026-08-10T19:29:54Z</t>
        </is>
      </c>
    </row>
    <row r="56">
      <c r="A56" s="19" t="inlineStr">
        <is>
          <t>55</t>
        </is>
      </c>
      <c r="B56" s="19" t="inlineStr">
        <is>
          <t>ST-036-STD-01</t>
        </is>
      </c>
      <c r="C56" t="n">
        <v>0</v>
      </c>
      <c r="D56" t="inlineStr">
        <is>
          <t>Default transport — ST-036-STD-01</t>
        </is>
      </c>
      <c r="E56" s="19" t="inlineStr">
        <is>
          <t>48</t>
        </is>
      </c>
      <c r="F56" s="19" t="inlineStr">
        <is>
          <t>2</t>
        </is>
      </c>
      <c r="K56" s="19" t="n"/>
      <c r="L56" s="19" t="inlineStr">
        <is>
          <t>2</t>
        </is>
      </c>
      <c r="M56" t="inlineStr">
        <is>
          <t>2026-08-08</t>
        </is>
      </c>
      <c r="O56" t="inlineStr">
        <is>
          <t>Engineering default transport for commercial mapping FK</t>
        </is>
      </c>
      <c r="P56" t="inlineStr">
        <is>
          <t>2026-08-10T19:29:54Z</t>
        </is>
      </c>
      <c r="Q56" t="inlineStr">
        <is>
          <t>2026-08-10T19:29:54Z</t>
        </is>
      </c>
    </row>
    <row r="57">
      <c r="A57" s="19" t="inlineStr">
        <is>
          <t>56</t>
        </is>
      </c>
      <c r="B57" s="19" t="inlineStr">
        <is>
          <t>ST-036-STD-02</t>
        </is>
      </c>
      <c r="C57" t="n">
        <v>0</v>
      </c>
      <c r="D57" t="inlineStr">
        <is>
          <t>Default transport — ST-036-STD-02</t>
        </is>
      </c>
      <c r="E57" s="19" t="inlineStr">
        <is>
          <t>49</t>
        </is>
      </c>
      <c r="F57" s="19" t="inlineStr">
        <is>
          <t>2</t>
        </is>
      </c>
      <c r="K57" s="19" t="n"/>
      <c r="L57" s="19" t="inlineStr">
        <is>
          <t>2</t>
        </is>
      </c>
      <c r="M57" t="inlineStr">
        <is>
          <t>2026-08-08</t>
        </is>
      </c>
      <c r="O57" t="inlineStr">
        <is>
          <t>Engineering default transport for commercial mapping FK</t>
        </is>
      </c>
      <c r="P57" t="inlineStr">
        <is>
          <t>2026-08-10T19:29:54Z</t>
        </is>
      </c>
      <c r="Q57" t="inlineStr">
        <is>
          <t>2026-08-10T19:29:54Z</t>
        </is>
      </c>
    </row>
    <row r="58">
      <c r="A58" s="19" t="inlineStr">
        <is>
          <t>57</t>
        </is>
      </c>
      <c r="B58" s="19" t="inlineStr">
        <is>
          <t>ST-036-STD-03</t>
        </is>
      </c>
      <c r="C58" t="n">
        <v>0</v>
      </c>
      <c r="D58" t="inlineStr">
        <is>
          <t>Default transport — ST-036-STD-03</t>
        </is>
      </c>
      <c r="E58" s="19" t="inlineStr">
        <is>
          <t>50</t>
        </is>
      </c>
      <c r="F58" s="19" t="inlineStr">
        <is>
          <t>2</t>
        </is>
      </c>
      <c r="K58" s="19" t="n"/>
      <c r="L58" s="19" t="inlineStr">
        <is>
          <t>2</t>
        </is>
      </c>
      <c r="M58" t="inlineStr">
        <is>
          <t>2026-08-08</t>
        </is>
      </c>
      <c r="O58" t="inlineStr">
        <is>
          <t>Engineering default transport for commercial mapping FK</t>
        </is>
      </c>
      <c r="P58" t="inlineStr">
        <is>
          <t>2026-08-10T19:29:54Z</t>
        </is>
      </c>
      <c r="Q58" t="inlineStr">
        <is>
          <t>2026-08-10T19:29:54Z</t>
        </is>
      </c>
    </row>
    <row r="59">
      <c r="A59" s="19" t="inlineStr">
        <is>
          <t>58</t>
        </is>
      </c>
      <c r="B59" s="19" t="inlineStr">
        <is>
          <t>ST-042-EUR-01</t>
        </is>
      </c>
      <c r="C59" t="n">
        <v>0</v>
      </c>
      <c r="D59" t="inlineStr">
        <is>
          <t>Default transport — ST-042-EUR-01</t>
        </is>
      </c>
      <c r="E59" s="19" t="inlineStr">
        <is>
          <t>51</t>
        </is>
      </c>
      <c r="F59" s="19" t="inlineStr">
        <is>
          <t>2</t>
        </is>
      </c>
      <c r="K59" s="19" t="n"/>
      <c r="L59" s="19" t="inlineStr">
        <is>
          <t>2</t>
        </is>
      </c>
      <c r="M59" t="inlineStr">
        <is>
          <t>2026-08-08</t>
        </is>
      </c>
      <c r="O59" t="inlineStr">
        <is>
          <t>Engineering default transport for commercial mapping FK</t>
        </is>
      </c>
      <c r="P59" t="inlineStr">
        <is>
          <t>2026-08-10T19:29:54Z</t>
        </is>
      </c>
      <c r="Q59" t="inlineStr">
        <is>
          <t>2026-08-10T19:29:54Z</t>
        </is>
      </c>
    </row>
    <row r="60">
      <c r="A60" s="19" t="inlineStr">
        <is>
          <t>59</t>
        </is>
      </c>
      <c r="B60" s="19" t="inlineStr">
        <is>
          <t>ST-042-EUR-02</t>
        </is>
      </c>
      <c r="C60" t="n">
        <v>0</v>
      </c>
      <c r="D60" t="inlineStr">
        <is>
          <t>Default transport — ST-042-EUR-02</t>
        </is>
      </c>
      <c r="E60" s="19" t="inlineStr">
        <is>
          <t>52</t>
        </is>
      </c>
      <c r="F60" s="19" t="inlineStr">
        <is>
          <t>2</t>
        </is>
      </c>
      <c r="K60" s="19" t="n"/>
      <c r="L60" s="19" t="inlineStr">
        <is>
          <t>2</t>
        </is>
      </c>
      <c r="M60" t="inlineStr">
        <is>
          <t>2026-08-08</t>
        </is>
      </c>
      <c r="O60" t="inlineStr">
        <is>
          <t>Engineering default transport for commercial mapping FK</t>
        </is>
      </c>
      <c r="P60" t="inlineStr">
        <is>
          <t>2026-08-10T19:29:54Z</t>
        </is>
      </c>
      <c r="Q60" t="inlineStr">
        <is>
          <t>2026-08-10T19:29:54Z</t>
        </is>
      </c>
    </row>
    <row r="61">
      <c r="A61" s="19" t="inlineStr">
        <is>
          <t>60</t>
        </is>
      </c>
      <c r="B61" s="19" t="inlineStr">
        <is>
          <t>ST-042-EUR-03</t>
        </is>
      </c>
      <c r="C61" t="n">
        <v>0</v>
      </c>
      <c r="D61" t="inlineStr">
        <is>
          <t>Default transport — ST-042-EUR-03</t>
        </is>
      </c>
      <c r="E61" s="19" t="inlineStr">
        <is>
          <t>53</t>
        </is>
      </c>
      <c r="F61" s="19" t="inlineStr">
        <is>
          <t>2</t>
        </is>
      </c>
      <c r="K61" s="19" t="n"/>
      <c r="L61" s="19" t="inlineStr">
        <is>
          <t>2</t>
        </is>
      </c>
      <c r="M61" t="inlineStr">
        <is>
          <t>2026-08-08</t>
        </is>
      </c>
      <c r="O61" t="inlineStr">
        <is>
          <t>Engineering default transport for commercial mapping FK</t>
        </is>
      </c>
      <c r="P61" t="inlineStr">
        <is>
          <t>2026-08-10T19:29:54Z</t>
        </is>
      </c>
      <c r="Q61" t="inlineStr">
        <is>
          <t>2026-08-10T19:29:54Z</t>
        </is>
      </c>
    </row>
    <row r="62">
      <c r="A62" s="19" t="inlineStr">
        <is>
          <t>61</t>
        </is>
      </c>
      <c r="B62" s="19" t="inlineStr">
        <is>
          <t>ST-042-EUR-04</t>
        </is>
      </c>
      <c r="C62" t="n">
        <v>0</v>
      </c>
      <c r="D62" t="inlineStr">
        <is>
          <t>Default transport — ST-042-EUR-04</t>
        </is>
      </c>
      <c r="E62" s="19" t="inlineStr">
        <is>
          <t>54</t>
        </is>
      </c>
      <c r="F62" s="19" t="inlineStr">
        <is>
          <t>2</t>
        </is>
      </c>
      <c r="K62" s="19" t="n"/>
      <c r="L62" s="19" t="inlineStr">
        <is>
          <t>2</t>
        </is>
      </c>
      <c r="M62" t="inlineStr">
        <is>
          <t>2026-08-08</t>
        </is>
      </c>
      <c r="O62" t="inlineStr">
        <is>
          <t>Engineering default transport for commercial mapping FK</t>
        </is>
      </c>
      <c r="P62" t="inlineStr">
        <is>
          <t>2026-08-10T19:29:54Z</t>
        </is>
      </c>
      <c r="Q62" t="inlineStr">
        <is>
          <t>2026-08-10T19:29:54Z</t>
        </is>
      </c>
    </row>
    <row r="63">
      <c r="A63" s="19" t="inlineStr">
        <is>
          <t>62</t>
        </is>
      </c>
      <c r="B63" s="19" t="inlineStr">
        <is>
          <t>ST-042-STD-01</t>
        </is>
      </c>
      <c r="C63" t="n">
        <v>0</v>
      </c>
      <c r="D63" t="inlineStr">
        <is>
          <t>Default transport — ST-042-STD-01</t>
        </is>
      </c>
      <c r="E63" s="19" t="inlineStr">
        <is>
          <t>55</t>
        </is>
      </c>
      <c r="F63" s="19" t="inlineStr">
        <is>
          <t>2</t>
        </is>
      </c>
      <c r="K63" s="19" t="n"/>
      <c r="L63" s="19" t="inlineStr">
        <is>
          <t>2</t>
        </is>
      </c>
      <c r="M63" t="inlineStr">
        <is>
          <t>2026-08-08</t>
        </is>
      </c>
      <c r="O63" t="inlineStr">
        <is>
          <t>Engineering default transport for commercial mapping FK</t>
        </is>
      </c>
      <c r="P63" t="inlineStr">
        <is>
          <t>2026-08-10T19:29:54Z</t>
        </is>
      </c>
      <c r="Q63" t="inlineStr">
        <is>
          <t>2026-08-10T19:29:54Z</t>
        </is>
      </c>
    </row>
    <row r="64">
      <c r="A64" s="19" t="inlineStr">
        <is>
          <t>63</t>
        </is>
      </c>
      <c r="B64" s="19" t="inlineStr">
        <is>
          <t>ST-042-STD-02</t>
        </is>
      </c>
      <c r="C64" t="n">
        <v>0</v>
      </c>
      <c r="D64" t="inlineStr">
        <is>
          <t>Default transport — ST-042-STD-02</t>
        </is>
      </c>
      <c r="E64" s="19" t="inlineStr">
        <is>
          <t>56</t>
        </is>
      </c>
      <c r="F64" s="19" t="inlineStr">
        <is>
          <t>2</t>
        </is>
      </c>
      <c r="K64" s="19" t="n"/>
      <c r="L64" s="19" t="inlineStr">
        <is>
          <t>2</t>
        </is>
      </c>
      <c r="M64" t="inlineStr">
        <is>
          <t>2026-08-08</t>
        </is>
      </c>
      <c r="O64" t="inlineStr">
        <is>
          <t>Engineering default transport for commercial mapping FK</t>
        </is>
      </c>
      <c r="P64" t="inlineStr">
        <is>
          <t>2026-08-10T19:29:54Z</t>
        </is>
      </c>
      <c r="Q64" t="inlineStr">
        <is>
          <t>2026-08-10T19:29:54Z</t>
        </is>
      </c>
    </row>
    <row r="65">
      <c r="A65" s="19" t="inlineStr">
        <is>
          <t>64</t>
        </is>
      </c>
      <c r="B65" s="19" t="inlineStr">
        <is>
          <t>ST-042-STD-03</t>
        </is>
      </c>
      <c r="C65" t="n">
        <v>0</v>
      </c>
      <c r="D65" t="inlineStr">
        <is>
          <t>Default transport — ST-042-STD-03</t>
        </is>
      </c>
      <c r="E65" s="19" t="inlineStr">
        <is>
          <t>57</t>
        </is>
      </c>
      <c r="F65" s="19" t="inlineStr">
        <is>
          <t>2</t>
        </is>
      </c>
      <c r="K65" s="19" t="n"/>
      <c r="L65" s="19" t="inlineStr">
        <is>
          <t>2</t>
        </is>
      </c>
      <c r="M65" t="inlineStr">
        <is>
          <t>2026-08-08</t>
        </is>
      </c>
      <c r="O65" t="inlineStr">
        <is>
          <t>Engineering default transport for commercial mapping FK</t>
        </is>
      </c>
      <c r="P65" t="inlineStr">
        <is>
          <t>2026-08-10T19:29:54Z</t>
        </is>
      </c>
      <c r="Q65" t="inlineStr">
        <is>
          <t>2026-08-10T19:29:54Z</t>
        </is>
      </c>
    </row>
    <row r="66">
      <c r="A66" s="19" t="inlineStr">
        <is>
          <t>65</t>
        </is>
      </c>
      <c r="B66" s="19" t="inlineStr">
        <is>
          <t>ST-042-STD-04</t>
        </is>
      </c>
      <c r="C66" t="n">
        <v>0</v>
      </c>
      <c r="D66" t="inlineStr">
        <is>
          <t>Default transport — ST-042-STD-04</t>
        </is>
      </c>
      <c r="E66" s="19" t="inlineStr">
        <is>
          <t>58</t>
        </is>
      </c>
      <c r="F66" s="19" t="inlineStr">
        <is>
          <t>2</t>
        </is>
      </c>
      <c r="K66" s="19" t="n"/>
      <c r="L66" s="19" t="inlineStr">
        <is>
          <t>2</t>
        </is>
      </c>
      <c r="M66" t="inlineStr">
        <is>
          <t>2026-08-08</t>
        </is>
      </c>
      <c r="O66" t="inlineStr">
        <is>
          <t>Engineering default transport for commercial mapping FK</t>
        </is>
      </c>
      <c r="P66" t="inlineStr">
        <is>
          <t>2026-08-10T19:29:54Z</t>
        </is>
      </c>
      <c r="Q66" t="inlineStr">
        <is>
          <t>2026-08-10T19:29:54Z</t>
        </is>
      </c>
    </row>
    <row r="67">
      <c r="A67" s="19" t="inlineStr">
        <is>
          <t>66</t>
        </is>
      </c>
      <c r="B67" s="19" t="inlineStr">
        <is>
          <t>ST-042-STD-05</t>
        </is>
      </c>
      <c r="C67" t="n">
        <v>0</v>
      </c>
      <c r="D67" t="inlineStr">
        <is>
          <t>Default transport — ST-042-STD-05</t>
        </is>
      </c>
      <c r="E67" s="19" t="inlineStr">
        <is>
          <t>59</t>
        </is>
      </c>
      <c r="F67" s="19" t="inlineStr">
        <is>
          <t>2</t>
        </is>
      </c>
      <c r="K67" s="19" t="n"/>
      <c r="L67" s="19" t="inlineStr">
        <is>
          <t>2</t>
        </is>
      </c>
      <c r="M67" t="inlineStr">
        <is>
          <t>2026-08-08</t>
        </is>
      </c>
      <c r="O67" t="inlineStr">
        <is>
          <t>Engineering default transport for commercial mapping FK</t>
        </is>
      </c>
      <c r="P67" t="inlineStr">
        <is>
          <t>2026-08-10T19:29:54Z</t>
        </is>
      </c>
      <c r="Q67" t="inlineStr">
        <is>
          <t>2026-08-10T19:29:54Z</t>
        </is>
      </c>
    </row>
    <row r="68">
      <c r="A68" s="19" t="inlineStr">
        <is>
          <t>67</t>
        </is>
      </c>
      <c r="B68" s="19" t="inlineStr">
        <is>
          <t>ST-042-STD-06</t>
        </is>
      </c>
      <c r="C68" t="n">
        <v>0</v>
      </c>
      <c r="D68" t="inlineStr">
        <is>
          <t>Default transport — ST-042-STD-06</t>
        </is>
      </c>
      <c r="E68" s="19" t="inlineStr">
        <is>
          <t>60</t>
        </is>
      </c>
      <c r="F68" s="19" t="inlineStr">
        <is>
          <t>2</t>
        </is>
      </c>
      <c r="K68" s="19" t="n"/>
      <c r="L68" s="19" t="inlineStr">
        <is>
          <t>2</t>
        </is>
      </c>
      <c r="M68" t="inlineStr">
        <is>
          <t>2026-08-08</t>
        </is>
      </c>
      <c r="O68" t="inlineStr">
        <is>
          <t>Engineering default transport for commercial mapping FK</t>
        </is>
      </c>
      <c r="P68" t="inlineStr">
        <is>
          <t>2026-08-10T19:29:54Z</t>
        </is>
      </c>
      <c r="Q68" t="inlineStr">
        <is>
          <t>2026-08-10T19:29:54Z</t>
        </is>
      </c>
    </row>
    <row r="69">
      <c r="A69" s="19" t="inlineStr">
        <is>
          <t>68</t>
        </is>
      </c>
      <c r="B69" s="19" t="inlineStr">
        <is>
          <t>ST-042-STD-07</t>
        </is>
      </c>
      <c r="C69" t="n">
        <v>0</v>
      </c>
      <c r="D69" t="inlineStr">
        <is>
          <t>Default transport — ST-042-STD-07</t>
        </is>
      </c>
      <c r="E69" s="19" t="inlineStr">
        <is>
          <t>61</t>
        </is>
      </c>
      <c r="F69" s="19" t="inlineStr">
        <is>
          <t>2</t>
        </is>
      </c>
      <c r="K69" s="19" t="n"/>
      <c r="L69" s="19" t="inlineStr">
        <is>
          <t>2</t>
        </is>
      </c>
      <c r="M69" t="inlineStr">
        <is>
          <t>2026-08-08</t>
        </is>
      </c>
      <c r="O69" t="inlineStr">
        <is>
          <t>Engineering default transport for commercial mapping FK</t>
        </is>
      </c>
      <c r="P69" t="inlineStr">
        <is>
          <t>2026-08-10T19:29:54Z</t>
        </is>
      </c>
      <c r="Q69" t="inlineStr">
        <is>
          <t>2026-08-10T19:29:54Z</t>
        </is>
      </c>
    </row>
    <row r="70">
      <c r="A70" s="19" t="inlineStr">
        <is>
          <t>69</t>
        </is>
      </c>
      <c r="B70" s="19" t="inlineStr">
        <is>
          <t>ST-042-STD-08</t>
        </is>
      </c>
      <c r="C70" t="n">
        <v>0</v>
      </c>
      <c r="D70" t="inlineStr">
        <is>
          <t>Default transport — ST-042-STD-08</t>
        </is>
      </c>
      <c r="E70" s="19" t="inlineStr">
        <is>
          <t>62</t>
        </is>
      </c>
      <c r="F70" s="19" t="inlineStr">
        <is>
          <t>2</t>
        </is>
      </c>
      <c r="K70" s="19" t="n"/>
      <c r="L70" s="19" t="inlineStr">
        <is>
          <t>2</t>
        </is>
      </c>
      <c r="M70" t="inlineStr">
        <is>
          <t>2026-08-08</t>
        </is>
      </c>
      <c r="O70" t="inlineStr">
        <is>
          <t>Engineering default transport for commercial mapping FK</t>
        </is>
      </c>
      <c r="P70" t="inlineStr">
        <is>
          <t>2026-08-10T19:29:54Z</t>
        </is>
      </c>
      <c r="Q70" t="inlineStr">
        <is>
          <t>2026-08-10T19:29:54Z</t>
        </is>
      </c>
    </row>
    <row r="71">
      <c r="A71" s="19" t="inlineStr">
        <is>
          <t>70</t>
        </is>
      </c>
      <c r="B71" s="19" t="inlineStr">
        <is>
          <t>ST-044-STD-01</t>
        </is>
      </c>
      <c r="C71" t="n">
        <v>0</v>
      </c>
      <c r="D71" t="inlineStr">
        <is>
          <t>Default transport — ST-044-STD-01</t>
        </is>
      </c>
      <c r="E71" s="19" t="inlineStr">
        <is>
          <t>63</t>
        </is>
      </c>
      <c r="F71" s="19" t="inlineStr">
        <is>
          <t>2</t>
        </is>
      </c>
      <c r="K71" s="19" t="n"/>
      <c r="L71" s="19" t="inlineStr">
        <is>
          <t>2</t>
        </is>
      </c>
      <c r="M71" t="inlineStr">
        <is>
          <t>2026-08-08</t>
        </is>
      </c>
      <c r="O71" t="inlineStr">
        <is>
          <t>Engineering default transport for commercial mapping FK</t>
        </is>
      </c>
      <c r="P71" t="inlineStr">
        <is>
          <t>2026-08-10T19:29:54Z</t>
        </is>
      </c>
      <c r="Q71" t="inlineStr">
        <is>
          <t>2026-08-10T19:29:54Z</t>
        </is>
      </c>
    </row>
    <row r="72">
      <c r="A72" s="19" t="inlineStr">
        <is>
          <t>71</t>
        </is>
      </c>
      <c r="B72" s="19" t="inlineStr">
        <is>
          <t>ST-045-EUR-01</t>
        </is>
      </c>
      <c r="C72" t="n">
        <v>0</v>
      </c>
      <c r="D72" t="inlineStr">
        <is>
          <t>Default transport — ST-045-EUR-01</t>
        </is>
      </c>
      <c r="E72" s="19" t="inlineStr">
        <is>
          <t>64</t>
        </is>
      </c>
      <c r="F72" s="19" t="inlineStr">
        <is>
          <t>2</t>
        </is>
      </c>
      <c r="K72" s="19" t="n"/>
      <c r="L72" s="19" t="inlineStr">
        <is>
          <t>2</t>
        </is>
      </c>
      <c r="M72" t="inlineStr">
        <is>
          <t>2026-08-08</t>
        </is>
      </c>
      <c r="O72" t="inlineStr">
        <is>
          <t>Engineering default transport for commercial mapping FK</t>
        </is>
      </c>
      <c r="P72" t="inlineStr">
        <is>
          <t>2026-08-10T19:29:54Z</t>
        </is>
      </c>
      <c r="Q72" t="inlineStr">
        <is>
          <t>2026-08-10T19:29:54Z</t>
        </is>
      </c>
    </row>
    <row r="73">
      <c r="A73" s="19" t="inlineStr">
        <is>
          <t>72</t>
        </is>
      </c>
      <c r="B73" s="19" t="inlineStr">
        <is>
          <t>ST-045-STD-01</t>
        </is>
      </c>
      <c r="C73" t="n">
        <v>0</v>
      </c>
      <c r="D73" t="inlineStr">
        <is>
          <t>Default transport — ST-045-STD-01</t>
        </is>
      </c>
      <c r="E73" s="19" t="inlineStr">
        <is>
          <t>65</t>
        </is>
      </c>
      <c r="F73" s="19" t="inlineStr">
        <is>
          <t>2</t>
        </is>
      </c>
      <c r="K73" s="19" t="n"/>
      <c r="L73" s="19" t="inlineStr">
        <is>
          <t>2</t>
        </is>
      </c>
      <c r="M73" t="inlineStr">
        <is>
          <t>2026-08-08</t>
        </is>
      </c>
      <c r="O73" t="inlineStr">
        <is>
          <t>Engineering default transport for commercial mapping FK</t>
        </is>
      </c>
      <c r="P73" t="inlineStr">
        <is>
          <t>2026-08-10T19:29:54Z</t>
        </is>
      </c>
      <c r="Q73" t="inlineStr">
        <is>
          <t>2026-08-10T19:29:54Z</t>
        </is>
      </c>
    </row>
    <row r="74">
      <c r="A74" s="19" t="inlineStr">
        <is>
          <t>73</t>
        </is>
      </c>
      <c r="B74" s="19" t="inlineStr">
        <is>
          <t>ST-045-STD-02</t>
        </is>
      </c>
      <c r="C74" t="n">
        <v>0</v>
      </c>
      <c r="D74" t="inlineStr">
        <is>
          <t>Default transport — ST-045-STD-02</t>
        </is>
      </c>
      <c r="E74" s="19" t="inlineStr">
        <is>
          <t>66</t>
        </is>
      </c>
      <c r="F74" s="19" t="inlineStr">
        <is>
          <t>2</t>
        </is>
      </c>
      <c r="K74" s="19" t="n"/>
      <c r="L74" s="19" t="inlineStr">
        <is>
          <t>2</t>
        </is>
      </c>
      <c r="M74" t="inlineStr">
        <is>
          <t>2026-08-08</t>
        </is>
      </c>
      <c r="O74" t="inlineStr">
        <is>
          <t>Engineering default transport for commercial mapping FK</t>
        </is>
      </c>
      <c r="P74" t="inlineStr">
        <is>
          <t>2026-08-10T19:29:54Z</t>
        </is>
      </c>
      <c r="Q74" t="inlineStr">
        <is>
          <t>2026-08-10T19:29:54Z</t>
        </is>
      </c>
    </row>
    <row r="75">
      <c r="A75" s="19" t="inlineStr">
        <is>
          <t>74</t>
        </is>
      </c>
      <c r="B75" s="19" t="inlineStr">
        <is>
          <t>ST-045-STD-03</t>
        </is>
      </c>
      <c r="C75" t="n">
        <v>0</v>
      </c>
      <c r="D75" t="inlineStr">
        <is>
          <t>Default transport — ST-045-STD-03</t>
        </is>
      </c>
      <c r="E75" s="19" t="inlineStr">
        <is>
          <t>67</t>
        </is>
      </c>
      <c r="F75" s="19" t="inlineStr">
        <is>
          <t>2</t>
        </is>
      </c>
      <c r="K75" s="19" t="n"/>
      <c r="L75" s="19" t="inlineStr">
        <is>
          <t>2</t>
        </is>
      </c>
      <c r="M75" t="inlineStr">
        <is>
          <t>2026-08-08</t>
        </is>
      </c>
      <c r="O75" t="inlineStr">
        <is>
          <t>Engineering default transport for commercial mapping FK</t>
        </is>
      </c>
      <c r="P75" t="inlineStr">
        <is>
          <t>2026-08-10T19:29:54Z</t>
        </is>
      </c>
      <c r="Q75" t="inlineStr">
        <is>
          <t>2026-08-10T19:29:54Z</t>
        </is>
      </c>
    </row>
    <row r="76">
      <c r="A76" s="19" t="inlineStr">
        <is>
          <t>75</t>
        </is>
      </c>
      <c r="B76" s="19" t="inlineStr">
        <is>
          <t>ST-045-STD-04</t>
        </is>
      </c>
      <c r="C76" t="n">
        <v>0</v>
      </c>
      <c r="D76" t="inlineStr">
        <is>
          <t>Default transport — ST-045-STD-04</t>
        </is>
      </c>
      <c r="E76" s="19" t="inlineStr">
        <is>
          <t>68</t>
        </is>
      </c>
      <c r="F76" s="19" t="inlineStr">
        <is>
          <t>2</t>
        </is>
      </c>
      <c r="K76" s="19" t="n"/>
      <c r="L76" s="19" t="inlineStr">
        <is>
          <t>2</t>
        </is>
      </c>
      <c r="M76" t="inlineStr">
        <is>
          <t>2026-08-08</t>
        </is>
      </c>
      <c r="O76" t="inlineStr">
        <is>
          <t>Engineering default transport for commercial mapping FK</t>
        </is>
      </c>
      <c r="P76" t="inlineStr">
        <is>
          <t>2026-08-10T19:29:54Z</t>
        </is>
      </c>
      <c r="Q76" t="inlineStr">
        <is>
          <t>2026-08-10T19:29:54Z</t>
        </is>
      </c>
    </row>
    <row r="77">
      <c r="A77" s="19" t="inlineStr">
        <is>
          <t>76</t>
        </is>
      </c>
      <c r="B77" s="19" t="inlineStr">
        <is>
          <t>ST-045-STD-05</t>
        </is>
      </c>
      <c r="C77" t="n">
        <v>0</v>
      </c>
      <c r="D77" t="inlineStr">
        <is>
          <t>Default transport — ST-045-STD-05</t>
        </is>
      </c>
      <c r="E77" s="19" t="inlineStr">
        <is>
          <t>69</t>
        </is>
      </c>
      <c r="F77" s="19" t="inlineStr">
        <is>
          <t>2</t>
        </is>
      </c>
      <c r="K77" s="19" t="n"/>
      <c r="L77" s="19" t="inlineStr">
        <is>
          <t>2</t>
        </is>
      </c>
      <c r="M77" t="inlineStr">
        <is>
          <t>2026-08-08</t>
        </is>
      </c>
      <c r="O77" t="inlineStr">
        <is>
          <t>Engineering default transport for commercial mapping FK</t>
        </is>
      </c>
      <c r="P77" t="inlineStr">
        <is>
          <t>2026-08-10T19:29:54Z</t>
        </is>
      </c>
      <c r="Q77" t="inlineStr">
        <is>
          <t>2026-08-10T19:29:54Z</t>
        </is>
      </c>
    </row>
    <row r="78">
      <c r="A78" s="19" t="inlineStr">
        <is>
          <t>77</t>
        </is>
      </c>
      <c r="B78" s="19" t="inlineStr">
        <is>
          <t>ST-045-STD-06</t>
        </is>
      </c>
      <c r="C78" t="n">
        <v>0</v>
      </c>
      <c r="D78" t="inlineStr">
        <is>
          <t>Default transport — ST-045-STD-06</t>
        </is>
      </c>
      <c r="E78" s="19" t="inlineStr">
        <is>
          <t>70</t>
        </is>
      </c>
      <c r="F78" s="19" t="inlineStr">
        <is>
          <t>2</t>
        </is>
      </c>
      <c r="K78" s="19" t="n"/>
      <c r="L78" s="19" t="inlineStr">
        <is>
          <t>2</t>
        </is>
      </c>
      <c r="M78" t="inlineStr">
        <is>
          <t>2026-08-08</t>
        </is>
      </c>
      <c r="O78" t="inlineStr">
        <is>
          <t>Engineering default transport for commercial mapping FK</t>
        </is>
      </c>
      <c r="P78" t="inlineStr">
        <is>
          <t>2026-08-10T19:29:54Z</t>
        </is>
      </c>
      <c r="Q78" t="inlineStr">
        <is>
          <t>2026-08-10T19:29:54Z</t>
        </is>
      </c>
    </row>
    <row r="79">
      <c r="A79" s="19" t="inlineStr">
        <is>
          <t>78</t>
        </is>
      </c>
      <c r="B79" s="19" t="inlineStr">
        <is>
          <t>ST-045-STD-07</t>
        </is>
      </c>
      <c r="C79" t="n">
        <v>0</v>
      </c>
      <c r="D79" t="inlineStr">
        <is>
          <t>Default transport — ST-045-STD-07</t>
        </is>
      </c>
      <c r="E79" s="19" t="inlineStr">
        <is>
          <t>71</t>
        </is>
      </c>
      <c r="F79" s="19" t="inlineStr">
        <is>
          <t>2</t>
        </is>
      </c>
      <c r="K79" s="19" t="n"/>
      <c r="L79" s="19" t="inlineStr">
        <is>
          <t>2</t>
        </is>
      </c>
      <c r="M79" t="inlineStr">
        <is>
          <t>2026-08-08</t>
        </is>
      </c>
      <c r="O79" t="inlineStr">
        <is>
          <t>Engineering default transport for commercial mapping FK</t>
        </is>
      </c>
      <c r="P79" t="inlineStr">
        <is>
          <t>2026-08-10T19:29:54Z</t>
        </is>
      </c>
      <c r="Q79" t="inlineStr">
        <is>
          <t>2026-08-10T19:29:54Z</t>
        </is>
      </c>
    </row>
    <row r="80">
      <c r="A80" s="19" t="inlineStr">
        <is>
          <t>79</t>
        </is>
      </c>
      <c r="B80" s="19" t="inlineStr">
        <is>
          <t>ST-045-STD-08</t>
        </is>
      </c>
      <c r="C80" t="n">
        <v>0</v>
      </c>
      <c r="D80" t="inlineStr">
        <is>
          <t>Default transport — ST-045-STD-08</t>
        </is>
      </c>
      <c r="E80" s="19" t="inlineStr">
        <is>
          <t>72</t>
        </is>
      </c>
      <c r="F80" s="19" t="inlineStr">
        <is>
          <t>2</t>
        </is>
      </c>
      <c r="K80" s="19" t="n"/>
      <c r="L80" s="19" t="inlineStr">
        <is>
          <t>2</t>
        </is>
      </c>
      <c r="M80" t="inlineStr">
        <is>
          <t>2026-08-08</t>
        </is>
      </c>
      <c r="O80" t="inlineStr">
        <is>
          <t>Engineering default transport for commercial mapping FK</t>
        </is>
      </c>
      <c r="P80" t="inlineStr">
        <is>
          <t>2026-08-10T19:29:54Z</t>
        </is>
      </c>
      <c r="Q80" t="inlineStr">
        <is>
          <t>2026-08-10T19:29:54Z</t>
        </is>
      </c>
    </row>
    <row r="81">
      <c r="A81" s="19" t="inlineStr">
        <is>
          <t>80</t>
        </is>
      </c>
      <c r="B81" s="19" t="inlineStr">
        <is>
          <t>ST-045-STD-09</t>
        </is>
      </c>
      <c r="C81" t="n">
        <v>0</v>
      </c>
      <c r="D81" t="inlineStr">
        <is>
          <t>Default transport — ST-045-STD-09</t>
        </is>
      </c>
      <c r="E81" s="19" t="inlineStr">
        <is>
          <t>73</t>
        </is>
      </c>
      <c r="F81" s="19" t="inlineStr">
        <is>
          <t>2</t>
        </is>
      </c>
      <c r="K81" s="19" t="n"/>
      <c r="L81" s="19" t="inlineStr">
        <is>
          <t>2</t>
        </is>
      </c>
      <c r="M81" t="inlineStr">
        <is>
          <t>2026-08-08</t>
        </is>
      </c>
      <c r="O81" t="inlineStr">
        <is>
          <t>Engineering default transport for commercial mapping FK</t>
        </is>
      </c>
      <c r="P81" t="inlineStr">
        <is>
          <t>2026-08-10T19:29:54Z</t>
        </is>
      </c>
      <c r="Q81" t="inlineStr">
        <is>
          <t>2026-08-10T19:29:54Z</t>
        </is>
      </c>
    </row>
    <row r="82">
      <c r="A82" s="19" t="inlineStr">
        <is>
          <t>81</t>
        </is>
      </c>
      <c r="B82" s="19" t="inlineStr">
        <is>
          <t>ST-045-STD-10</t>
        </is>
      </c>
      <c r="C82" t="n">
        <v>0</v>
      </c>
      <c r="D82" t="inlineStr">
        <is>
          <t>Default transport — ST-045-STD-10</t>
        </is>
      </c>
      <c r="E82" s="19" t="inlineStr">
        <is>
          <t>74</t>
        </is>
      </c>
      <c r="F82" s="19" t="inlineStr">
        <is>
          <t>2</t>
        </is>
      </c>
      <c r="K82" s="19" t="n"/>
      <c r="L82" s="19" t="inlineStr">
        <is>
          <t>2</t>
        </is>
      </c>
      <c r="M82" t="inlineStr">
        <is>
          <t>2026-08-08</t>
        </is>
      </c>
      <c r="O82" t="inlineStr">
        <is>
          <t>Engineering default transport for commercial mapping FK</t>
        </is>
      </c>
      <c r="P82" t="inlineStr">
        <is>
          <t>2026-08-10T19:29:54Z</t>
        </is>
      </c>
      <c r="Q82" t="inlineStr">
        <is>
          <t>2026-08-10T19:29:54Z</t>
        </is>
      </c>
    </row>
    <row r="83">
      <c r="A83" s="19" t="inlineStr">
        <is>
          <t>82</t>
        </is>
      </c>
      <c r="B83" s="19" t="inlineStr">
        <is>
          <t>ST-045-STD-11</t>
        </is>
      </c>
      <c r="C83" t="n">
        <v>0</v>
      </c>
      <c r="D83" t="inlineStr">
        <is>
          <t>Default transport — ST-045-STD-11</t>
        </is>
      </c>
      <c r="E83" s="19" t="inlineStr">
        <is>
          <t>75</t>
        </is>
      </c>
      <c r="F83" s="19" t="inlineStr">
        <is>
          <t>2</t>
        </is>
      </c>
      <c r="K83" s="19" t="n"/>
      <c r="L83" s="19" t="inlineStr">
        <is>
          <t>2</t>
        </is>
      </c>
      <c r="M83" t="inlineStr">
        <is>
          <t>2026-08-08</t>
        </is>
      </c>
      <c r="O83" t="inlineStr">
        <is>
          <t>Engineering default transport for commercial mapping FK</t>
        </is>
      </c>
      <c r="P83" t="inlineStr">
        <is>
          <t>2026-08-10T19:29:54Z</t>
        </is>
      </c>
      <c r="Q83" t="inlineStr">
        <is>
          <t>2026-08-10T19:29:54Z</t>
        </is>
      </c>
    </row>
    <row r="84">
      <c r="A84" s="19" t="inlineStr">
        <is>
          <t>83</t>
        </is>
      </c>
      <c r="B84" s="19" t="inlineStr">
        <is>
          <t>ST-045-STD-12</t>
        </is>
      </c>
      <c r="C84" t="n">
        <v>0</v>
      </c>
      <c r="D84" t="inlineStr">
        <is>
          <t>Default transport — ST-045-STD-12</t>
        </is>
      </c>
      <c r="E84" s="19" t="inlineStr">
        <is>
          <t>76</t>
        </is>
      </c>
      <c r="F84" s="19" t="inlineStr">
        <is>
          <t>2</t>
        </is>
      </c>
      <c r="K84" s="19" t="n"/>
      <c r="L84" s="19" t="inlineStr">
        <is>
          <t>2</t>
        </is>
      </c>
      <c r="M84" t="inlineStr">
        <is>
          <t>2026-08-08</t>
        </is>
      </c>
      <c r="O84" t="inlineStr">
        <is>
          <t>Engineering default transport for commercial mapping FK</t>
        </is>
      </c>
      <c r="P84" t="inlineStr">
        <is>
          <t>2026-08-10T19:29:54Z</t>
        </is>
      </c>
      <c r="Q84" t="inlineStr">
        <is>
          <t>2026-08-10T19:29:54Z</t>
        </is>
      </c>
    </row>
    <row r="85">
      <c r="A85" s="19" t="inlineStr">
        <is>
          <t>84</t>
        </is>
      </c>
      <c r="B85" s="19" t="inlineStr">
        <is>
          <t>ST-045-STD-13</t>
        </is>
      </c>
      <c r="C85" t="n">
        <v>0</v>
      </c>
      <c r="D85" t="inlineStr">
        <is>
          <t>Default transport — ST-045-STD-13</t>
        </is>
      </c>
      <c r="E85" s="19" t="inlineStr">
        <is>
          <t>77</t>
        </is>
      </c>
      <c r="F85" s="19" t="inlineStr">
        <is>
          <t>2</t>
        </is>
      </c>
      <c r="K85" s="19" t="n"/>
      <c r="L85" s="19" t="inlineStr">
        <is>
          <t>2</t>
        </is>
      </c>
      <c r="M85" t="inlineStr">
        <is>
          <t>2026-08-08</t>
        </is>
      </c>
      <c r="O85" t="inlineStr">
        <is>
          <t>Engineering default transport for commercial mapping FK</t>
        </is>
      </c>
      <c r="P85" t="inlineStr">
        <is>
          <t>2026-08-10T19:29:54Z</t>
        </is>
      </c>
      <c r="Q85" t="inlineStr">
        <is>
          <t>2026-08-10T19:29:54Z</t>
        </is>
      </c>
    </row>
    <row r="86">
      <c r="A86" s="19" t="inlineStr">
        <is>
          <t>85</t>
        </is>
      </c>
      <c r="B86" s="19" t="inlineStr">
        <is>
          <t>ST-045-STD-14</t>
        </is>
      </c>
      <c r="C86" t="n">
        <v>0</v>
      </c>
      <c r="D86" t="inlineStr">
        <is>
          <t>Default transport — ST-045-STD-14</t>
        </is>
      </c>
      <c r="E86" s="19" t="inlineStr">
        <is>
          <t>78</t>
        </is>
      </c>
      <c r="F86" s="19" t="inlineStr">
        <is>
          <t>2</t>
        </is>
      </c>
      <c r="K86" s="19" t="n"/>
      <c r="L86" s="19" t="inlineStr">
        <is>
          <t>2</t>
        </is>
      </c>
      <c r="M86" t="inlineStr">
        <is>
          <t>2026-08-08</t>
        </is>
      </c>
      <c r="O86" t="inlineStr">
        <is>
          <t>Engineering default transport for commercial mapping FK</t>
        </is>
      </c>
      <c r="P86" t="inlineStr">
        <is>
          <t>2026-08-10T19:29:54Z</t>
        </is>
      </c>
      <c r="Q86" t="inlineStr">
        <is>
          <t>2026-08-10T19:29:54Z</t>
        </is>
      </c>
    </row>
    <row r="87">
      <c r="A87" s="19" t="inlineStr">
        <is>
          <t>86</t>
        </is>
      </c>
      <c r="B87" s="19" t="inlineStr">
        <is>
          <t>ST-048-EUR-01</t>
        </is>
      </c>
      <c r="C87" t="n">
        <v>0</v>
      </c>
      <c r="D87" t="inlineStr">
        <is>
          <t>Default transport — ST-048-EUR-01</t>
        </is>
      </c>
      <c r="E87" s="19" t="inlineStr">
        <is>
          <t>79</t>
        </is>
      </c>
      <c r="F87" s="19" t="inlineStr">
        <is>
          <t>2</t>
        </is>
      </c>
      <c r="K87" s="19" t="n"/>
      <c r="L87" s="19" t="inlineStr">
        <is>
          <t>2</t>
        </is>
      </c>
      <c r="M87" t="inlineStr">
        <is>
          <t>2026-08-08</t>
        </is>
      </c>
      <c r="O87" t="inlineStr">
        <is>
          <t>Engineering default transport for commercial mapping FK</t>
        </is>
      </c>
      <c r="P87" t="inlineStr">
        <is>
          <t>2026-08-10T19:29:54Z</t>
        </is>
      </c>
      <c r="Q87" t="inlineStr">
        <is>
          <t>2026-08-10T19:29:54Z</t>
        </is>
      </c>
    </row>
    <row r="88">
      <c r="A88" s="19" t="inlineStr">
        <is>
          <t>87</t>
        </is>
      </c>
      <c r="B88" s="19" t="inlineStr">
        <is>
          <t>ST-048-EUR-02</t>
        </is>
      </c>
      <c r="C88" t="n">
        <v>0</v>
      </c>
      <c r="D88" t="inlineStr">
        <is>
          <t>Default transport — ST-048-EUR-02</t>
        </is>
      </c>
      <c r="E88" s="19" t="inlineStr">
        <is>
          <t>80</t>
        </is>
      </c>
      <c r="F88" s="19" t="inlineStr">
        <is>
          <t>2</t>
        </is>
      </c>
      <c r="K88" s="19" t="n"/>
      <c r="L88" s="19" t="inlineStr">
        <is>
          <t>2</t>
        </is>
      </c>
      <c r="M88" t="inlineStr">
        <is>
          <t>2026-08-08</t>
        </is>
      </c>
      <c r="O88" t="inlineStr">
        <is>
          <t>Engineering default transport for commercial mapping FK</t>
        </is>
      </c>
      <c r="P88" t="inlineStr">
        <is>
          <t>2026-08-10T19:29:54Z</t>
        </is>
      </c>
      <c r="Q88" t="inlineStr">
        <is>
          <t>2026-08-10T19:29:54Z</t>
        </is>
      </c>
    </row>
    <row r="89">
      <c r="A89" s="19" t="inlineStr">
        <is>
          <t>88</t>
        </is>
      </c>
      <c r="B89" s="19" t="inlineStr">
        <is>
          <t>ST-048-EUR-03</t>
        </is>
      </c>
      <c r="C89" t="n">
        <v>0</v>
      </c>
      <c r="D89" t="inlineStr">
        <is>
          <t>Default transport — ST-048-EUR-03</t>
        </is>
      </c>
      <c r="E89" s="19" t="inlineStr">
        <is>
          <t>81</t>
        </is>
      </c>
      <c r="F89" s="19" t="inlineStr">
        <is>
          <t>2</t>
        </is>
      </c>
      <c r="K89" s="19" t="n"/>
      <c r="L89" s="19" t="inlineStr">
        <is>
          <t>2</t>
        </is>
      </c>
      <c r="M89" t="inlineStr">
        <is>
          <t>2026-08-08</t>
        </is>
      </c>
      <c r="O89" t="inlineStr">
        <is>
          <t>Engineering default transport for commercial mapping FK</t>
        </is>
      </c>
      <c r="P89" t="inlineStr">
        <is>
          <t>2026-08-10T19:29:54Z</t>
        </is>
      </c>
      <c r="Q89" t="inlineStr">
        <is>
          <t>2026-08-10T19:29:54Z</t>
        </is>
      </c>
    </row>
    <row r="90">
      <c r="A90" s="19" t="inlineStr">
        <is>
          <t>89</t>
        </is>
      </c>
      <c r="B90" s="19" t="inlineStr">
        <is>
          <t>ST-048-EUR-04</t>
        </is>
      </c>
      <c r="C90" t="n">
        <v>0</v>
      </c>
      <c r="D90" t="inlineStr">
        <is>
          <t>Default transport — ST-048-EUR-04</t>
        </is>
      </c>
      <c r="E90" s="19" t="inlineStr">
        <is>
          <t>82</t>
        </is>
      </c>
      <c r="F90" s="19" t="inlineStr">
        <is>
          <t>2</t>
        </is>
      </c>
      <c r="K90" s="19" t="n"/>
      <c r="L90" s="19" t="inlineStr">
        <is>
          <t>2</t>
        </is>
      </c>
      <c r="M90" t="inlineStr">
        <is>
          <t>2026-08-08</t>
        </is>
      </c>
      <c r="O90" t="inlineStr">
        <is>
          <t>Engineering default transport for commercial mapping FK</t>
        </is>
      </c>
      <c r="P90" t="inlineStr">
        <is>
          <t>2026-08-10T19:29:54Z</t>
        </is>
      </c>
      <c r="Q90" t="inlineStr">
        <is>
          <t>2026-08-10T19:29:54Z</t>
        </is>
      </c>
    </row>
    <row r="91">
      <c r="A91" s="19" t="inlineStr">
        <is>
          <t>90</t>
        </is>
      </c>
      <c r="B91" s="19" t="inlineStr">
        <is>
          <t>ST-048-EUR-05</t>
        </is>
      </c>
      <c r="C91" t="n">
        <v>0</v>
      </c>
      <c r="D91" t="inlineStr">
        <is>
          <t>Default transport — ST-048-EUR-05</t>
        </is>
      </c>
      <c r="E91" s="19" t="inlineStr">
        <is>
          <t>83</t>
        </is>
      </c>
      <c r="F91" s="19" t="inlineStr">
        <is>
          <t>2</t>
        </is>
      </c>
      <c r="K91" s="19" t="n"/>
      <c r="L91" s="19" t="inlineStr">
        <is>
          <t>2</t>
        </is>
      </c>
      <c r="M91" t="inlineStr">
        <is>
          <t>2026-08-08</t>
        </is>
      </c>
      <c r="O91" t="inlineStr">
        <is>
          <t>Engineering default transport for commercial mapping FK</t>
        </is>
      </c>
      <c r="P91" t="inlineStr">
        <is>
          <t>2026-08-10T19:29:54Z</t>
        </is>
      </c>
      <c r="Q91" t="inlineStr">
        <is>
          <t>2026-08-10T19:29:54Z</t>
        </is>
      </c>
    </row>
    <row r="92">
      <c r="A92" s="19" t="inlineStr">
        <is>
          <t>91</t>
        </is>
      </c>
      <c r="B92" s="19" t="inlineStr">
        <is>
          <t>ST-048-EUR-06</t>
        </is>
      </c>
      <c r="C92" t="n">
        <v>0</v>
      </c>
      <c r="D92" t="inlineStr">
        <is>
          <t>Default transport — ST-048-EUR-06</t>
        </is>
      </c>
      <c r="E92" s="19" t="inlineStr">
        <is>
          <t>84</t>
        </is>
      </c>
      <c r="F92" s="19" t="inlineStr">
        <is>
          <t>2</t>
        </is>
      </c>
      <c r="K92" s="19" t="n"/>
      <c r="L92" s="19" t="inlineStr">
        <is>
          <t>2</t>
        </is>
      </c>
      <c r="M92" t="inlineStr">
        <is>
          <t>2026-08-08</t>
        </is>
      </c>
      <c r="O92" t="inlineStr">
        <is>
          <t>Engineering default transport for commercial mapping FK</t>
        </is>
      </c>
      <c r="P92" t="inlineStr">
        <is>
          <t>2026-08-10T19:29:54Z</t>
        </is>
      </c>
      <c r="Q92" t="inlineStr">
        <is>
          <t>2026-08-10T19:29:54Z</t>
        </is>
      </c>
    </row>
    <row r="93">
      <c r="A93" s="19" t="inlineStr">
        <is>
          <t>92</t>
        </is>
      </c>
      <c r="B93" s="19" t="inlineStr">
        <is>
          <t>ST-048-EUR-07</t>
        </is>
      </c>
      <c r="C93" t="n">
        <v>0</v>
      </c>
      <c r="D93" t="inlineStr">
        <is>
          <t>Default transport — ST-048-EUR-07</t>
        </is>
      </c>
      <c r="E93" s="19" t="inlineStr">
        <is>
          <t>85</t>
        </is>
      </c>
      <c r="F93" s="19" t="inlineStr">
        <is>
          <t>2</t>
        </is>
      </c>
      <c r="K93" s="19" t="n"/>
      <c r="L93" s="19" t="inlineStr">
        <is>
          <t>2</t>
        </is>
      </c>
      <c r="M93" t="inlineStr">
        <is>
          <t>2026-08-08</t>
        </is>
      </c>
      <c r="O93" t="inlineStr">
        <is>
          <t>Engineering default transport for commercial mapping FK</t>
        </is>
      </c>
      <c r="P93" t="inlineStr">
        <is>
          <t>2026-08-10T19:29:54Z</t>
        </is>
      </c>
      <c r="Q93" t="inlineStr">
        <is>
          <t>2026-08-10T19:29:54Z</t>
        </is>
      </c>
    </row>
    <row r="94">
      <c r="A94" s="19" t="inlineStr">
        <is>
          <t>93</t>
        </is>
      </c>
      <c r="B94" s="19" t="inlineStr">
        <is>
          <t>ST-048-EUR-08</t>
        </is>
      </c>
      <c r="C94" t="n">
        <v>0</v>
      </c>
      <c r="D94" t="inlineStr">
        <is>
          <t>Default transport — ST-048-EUR-08</t>
        </is>
      </c>
      <c r="E94" s="19" t="inlineStr">
        <is>
          <t>86</t>
        </is>
      </c>
      <c r="F94" s="19" t="inlineStr">
        <is>
          <t>2</t>
        </is>
      </c>
      <c r="K94" s="19" t="n"/>
      <c r="L94" s="19" t="inlineStr">
        <is>
          <t>2</t>
        </is>
      </c>
      <c r="M94" t="inlineStr">
        <is>
          <t>2026-08-08</t>
        </is>
      </c>
      <c r="O94" t="inlineStr">
        <is>
          <t>Engineering default transport for commercial mapping FK</t>
        </is>
      </c>
      <c r="P94" t="inlineStr">
        <is>
          <t>2026-08-10T19:29:54Z</t>
        </is>
      </c>
      <c r="Q94" t="inlineStr">
        <is>
          <t>2026-08-10T19:29:54Z</t>
        </is>
      </c>
    </row>
    <row r="95">
      <c r="A95" s="19" t="inlineStr">
        <is>
          <t>94</t>
        </is>
      </c>
      <c r="B95" s="19" t="inlineStr">
        <is>
          <t>ST-048-EUR-09</t>
        </is>
      </c>
      <c r="C95" t="n">
        <v>0</v>
      </c>
      <c r="D95" t="inlineStr">
        <is>
          <t>Default transport — ST-048-EUR-09</t>
        </is>
      </c>
      <c r="E95" s="19" t="inlineStr">
        <is>
          <t>87</t>
        </is>
      </c>
      <c r="F95" s="19" t="inlineStr">
        <is>
          <t>2</t>
        </is>
      </c>
      <c r="K95" s="19" t="n"/>
      <c r="L95" s="19" t="inlineStr">
        <is>
          <t>2</t>
        </is>
      </c>
      <c r="M95" t="inlineStr">
        <is>
          <t>2026-08-08</t>
        </is>
      </c>
      <c r="O95" t="inlineStr">
        <is>
          <t>Engineering default transport for commercial mapping FK</t>
        </is>
      </c>
      <c r="P95" t="inlineStr">
        <is>
          <t>2026-08-10T19:29:54Z</t>
        </is>
      </c>
      <c r="Q95" t="inlineStr">
        <is>
          <t>2026-08-10T19:29:54Z</t>
        </is>
      </c>
    </row>
    <row r="96">
      <c r="A96" s="19" t="inlineStr">
        <is>
          <t>95</t>
        </is>
      </c>
      <c r="B96" s="19" t="inlineStr">
        <is>
          <t>ST-048-EUR-10</t>
        </is>
      </c>
      <c r="C96" t="n">
        <v>0</v>
      </c>
      <c r="D96" t="inlineStr">
        <is>
          <t>Default transport — ST-048-EUR-10</t>
        </is>
      </c>
      <c r="E96" s="19" t="inlineStr">
        <is>
          <t>88</t>
        </is>
      </c>
      <c r="F96" s="19" t="inlineStr">
        <is>
          <t>2</t>
        </is>
      </c>
      <c r="K96" s="19" t="n"/>
      <c r="L96" s="19" t="inlineStr">
        <is>
          <t>2</t>
        </is>
      </c>
      <c r="M96" t="inlineStr">
        <is>
          <t>2026-08-08</t>
        </is>
      </c>
      <c r="O96" t="inlineStr">
        <is>
          <t>Engineering default transport for commercial mapping FK</t>
        </is>
      </c>
      <c r="P96" t="inlineStr">
        <is>
          <t>2026-08-10T19:29:54Z</t>
        </is>
      </c>
      <c r="Q96" t="inlineStr">
        <is>
          <t>2026-08-10T19:29:54Z</t>
        </is>
      </c>
    </row>
    <row r="97">
      <c r="A97" s="19" t="inlineStr">
        <is>
          <t>96</t>
        </is>
      </c>
      <c r="B97" s="19" t="inlineStr">
        <is>
          <t>ST-048-EUR-11</t>
        </is>
      </c>
      <c r="C97" t="n">
        <v>0</v>
      </c>
      <c r="D97" t="inlineStr">
        <is>
          <t>Default transport — ST-048-EUR-11</t>
        </is>
      </c>
      <c r="E97" s="19" t="inlineStr">
        <is>
          <t>89</t>
        </is>
      </c>
      <c r="F97" s="19" t="inlineStr">
        <is>
          <t>2</t>
        </is>
      </c>
      <c r="K97" s="19" t="n"/>
      <c r="L97" s="19" t="inlineStr">
        <is>
          <t>2</t>
        </is>
      </c>
      <c r="M97" t="inlineStr">
        <is>
          <t>2026-08-08</t>
        </is>
      </c>
      <c r="O97" t="inlineStr">
        <is>
          <t>Engineering default transport for commercial mapping FK</t>
        </is>
      </c>
      <c r="P97" t="inlineStr">
        <is>
          <t>2026-08-10T19:29:54Z</t>
        </is>
      </c>
      <c r="Q97" t="inlineStr">
        <is>
          <t>2026-08-10T19:29:54Z</t>
        </is>
      </c>
    </row>
    <row r="98">
      <c r="A98" s="19" t="inlineStr">
        <is>
          <t>97</t>
        </is>
      </c>
      <c r="B98" s="19" t="inlineStr">
        <is>
          <t>ST-048-EUR-12</t>
        </is>
      </c>
      <c r="C98" t="n">
        <v>0</v>
      </c>
      <c r="D98" t="inlineStr">
        <is>
          <t>Default transport — ST-048-EUR-12</t>
        </is>
      </c>
      <c r="E98" s="19" t="inlineStr">
        <is>
          <t>90</t>
        </is>
      </c>
      <c r="F98" s="19" t="inlineStr">
        <is>
          <t>2</t>
        </is>
      </c>
      <c r="K98" s="19" t="n"/>
      <c r="L98" s="19" t="inlineStr">
        <is>
          <t>2</t>
        </is>
      </c>
      <c r="M98" t="inlineStr">
        <is>
          <t>2026-08-08</t>
        </is>
      </c>
      <c r="O98" t="inlineStr">
        <is>
          <t>Engineering default transport for commercial mapping FK</t>
        </is>
      </c>
      <c r="P98" t="inlineStr">
        <is>
          <t>2026-08-10T19:29:54Z</t>
        </is>
      </c>
      <c r="Q98" t="inlineStr">
        <is>
          <t>2026-08-10T19:29:54Z</t>
        </is>
      </c>
    </row>
    <row r="99">
      <c r="A99" s="19" t="inlineStr">
        <is>
          <t>98</t>
        </is>
      </c>
      <c r="B99" s="19" t="inlineStr">
        <is>
          <t>ST-048-STD-01</t>
        </is>
      </c>
      <c r="C99" t="n">
        <v>0</v>
      </c>
      <c r="D99" t="inlineStr">
        <is>
          <t>Default transport — ST-048-STD-01</t>
        </is>
      </c>
      <c r="E99" s="19" t="inlineStr">
        <is>
          <t>91</t>
        </is>
      </c>
      <c r="F99" s="19" t="inlineStr">
        <is>
          <t>2</t>
        </is>
      </c>
      <c r="K99" s="19" t="n"/>
      <c r="L99" s="19" t="inlineStr">
        <is>
          <t>2</t>
        </is>
      </c>
      <c r="M99" t="inlineStr">
        <is>
          <t>2026-08-08</t>
        </is>
      </c>
      <c r="O99" t="inlineStr">
        <is>
          <t>Engineering default transport for commercial mapping FK</t>
        </is>
      </c>
      <c r="P99" t="inlineStr">
        <is>
          <t>2026-08-10T19:29:54Z</t>
        </is>
      </c>
      <c r="Q99" t="inlineStr">
        <is>
          <t>2026-08-10T19:29:54Z</t>
        </is>
      </c>
    </row>
    <row r="100">
      <c r="A100" s="19" t="inlineStr">
        <is>
          <t>99</t>
        </is>
      </c>
      <c r="B100" s="19" t="inlineStr">
        <is>
          <t>ST-048-STD-02</t>
        </is>
      </c>
      <c r="C100" t="n">
        <v>0</v>
      </c>
      <c r="D100" t="inlineStr">
        <is>
          <t>Default transport — ST-048-STD-02</t>
        </is>
      </c>
      <c r="E100" s="19" t="inlineStr">
        <is>
          <t>92</t>
        </is>
      </c>
      <c r="F100" s="19" t="inlineStr">
        <is>
          <t>2</t>
        </is>
      </c>
      <c r="K100" s="19" t="n"/>
      <c r="L100" s="19" t="inlineStr">
        <is>
          <t>2</t>
        </is>
      </c>
      <c r="M100" t="inlineStr">
        <is>
          <t>2026-08-08</t>
        </is>
      </c>
      <c r="O100" t="inlineStr">
        <is>
          <t>Engineering default transport for commercial mapping FK</t>
        </is>
      </c>
      <c r="P100" t="inlineStr">
        <is>
          <t>2026-08-10T19:29:54Z</t>
        </is>
      </c>
      <c r="Q100" t="inlineStr">
        <is>
          <t>2026-08-10T19:29:54Z</t>
        </is>
      </c>
    </row>
    <row r="101">
      <c r="A101" s="19" t="inlineStr">
        <is>
          <t>100</t>
        </is>
      </c>
      <c r="B101" s="19" t="inlineStr">
        <is>
          <t>ST-051-EUR-01</t>
        </is>
      </c>
      <c r="C101" t="n">
        <v>0</v>
      </c>
      <c r="D101" t="inlineStr">
        <is>
          <t>Default transport — ST-051-EUR-01</t>
        </is>
      </c>
      <c r="E101" s="19" t="inlineStr">
        <is>
          <t>93</t>
        </is>
      </c>
      <c r="F101" s="19" t="inlineStr">
        <is>
          <t>2</t>
        </is>
      </c>
      <c r="K101" s="19" t="n"/>
      <c r="L101" s="19" t="inlineStr">
        <is>
          <t>2</t>
        </is>
      </c>
      <c r="M101" t="inlineStr">
        <is>
          <t>2026-08-08</t>
        </is>
      </c>
      <c r="O101" t="inlineStr">
        <is>
          <t>Engineering default transport for commercial mapping FK</t>
        </is>
      </c>
      <c r="P101" t="inlineStr">
        <is>
          <t>2026-08-10T19:29:54Z</t>
        </is>
      </c>
      <c r="Q101" t="inlineStr">
        <is>
          <t>2026-08-10T19:29:54Z</t>
        </is>
      </c>
    </row>
    <row r="102">
      <c r="A102" s="19" t="inlineStr">
        <is>
          <t>101</t>
        </is>
      </c>
      <c r="B102" s="19" t="inlineStr">
        <is>
          <t>ST-051-EUR-02</t>
        </is>
      </c>
      <c r="C102" t="n">
        <v>0</v>
      </c>
      <c r="D102" t="inlineStr">
        <is>
          <t>Default transport — ST-051-EUR-02</t>
        </is>
      </c>
      <c r="E102" s="19" t="inlineStr">
        <is>
          <t>94</t>
        </is>
      </c>
      <c r="F102" s="19" t="inlineStr">
        <is>
          <t>2</t>
        </is>
      </c>
      <c r="K102" s="19" t="n"/>
      <c r="L102" s="19" t="inlineStr">
        <is>
          <t>2</t>
        </is>
      </c>
      <c r="M102" t="inlineStr">
        <is>
          <t>2026-08-08</t>
        </is>
      </c>
      <c r="O102" t="inlineStr">
        <is>
          <t>Engineering default transport for commercial mapping FK</t>
        </is>
      </c>
      <c r="P102" t="inlineStr">
        <is>
          <t>2026-08-10T19:29:54Z</t>
        </is>
      </c>
      <c r="Q102" t="inlineStr">
        <is>
          <t>2026-08-10T19:29:54Z</t>
        </is>
      </c>
    </row>
    <row r="103">
      <c r="A103" s="19" t="inlineStr">
        <is>
          <t>102</t>
        </is>
      </c>
      <c r="B103" s="19" t="inlineStr">
        <is>
          <t>ST-051-EUR-03</t>
        </is>
      </c>
      <c r="C103" t="n">
        <v>0</v>
      </c>
      <c r="D103" t="inlineStr">
        <is>
          <t>Default transport — ST-051-EUR-03</t>
        </is>
      </c>
      <c r="E103" s="19" t="inlineStr">
        <is>
          <t>95</t>
        </is>
      </c>
      <c r="F103" s="19" t="inlineStr">
        <is>
          <t>2</t>
        </is>
      </c>
      <c r="K103" s="19" t="n"/>
      <c r="L103" s="19" t="inlineStr">
        <is>
          <t>2</t>
        </is>
      </c>
      <c r="M103" t="inlineStr">
        <is>
          <t>2026-08-08</t>
        </is>
      </c>
      <c r="O103" t="inlineStr">
        <is>
          <t>Engineering default transport for commercial mapping FK</t>
        </is>
      </c>
      <c r="P103" t="inlineStr">
        <is>
          <t>2026-08-10T19:29:54Z</t>
        </is>
      </c>
      <c r="Q103" t="inlineStr">
        <is>
          <t>2026-08-10T19:29:54Z</t>
        </is>
      </c>
    </row>
    <row r="104">
      <c r="A104" s="19" t="inlineStr">
        <is>
          <t>103</t>
        </is>
      </c>
      <c r="B104" s="19" t="inlineStr">
        <is>
          <t>ST-051-EUR-04</t>
        </is>
      </c>
      <c r="C104" t="n">
        <v>0</v>
      </c>
      <c r="D104" t="inlineStr">
        <is>
          <t>Default transport — ST-051-EUR-04</t>
        </is>
      </c>
      <c r="E104" s="19" t="inlineStr">
        <is>
          <t>96</t>
        </is>
      </c>
      <c r="F104" s="19" t="inlineStr">
        <is>
          <t>2</t>
        </is>
      </c>
      <c r="K104" s="19" t="n"/>
      <c r="L104" s="19" t="inlineStr">
        <is>
          <t>2</t>
        </is>
      </c>
      <c r="M104" t="inlineStr">
        <is>
          <t>2026-08-08</t>
        </is>
      </c>
      <c r="O104" t="inlineStr">
        <is>
          <t>Engineering default transport for commercial mapping FK</t>
        </is>
      </c>
      <c r="P104" t="inlineStr">
        <is>
          <t>2026-08-10T19:29:54Z</t>
        </is>
      </c>
      <c r="Q104" t="inlineStr">
        <is>
          <t>2026-08-10T19:29:54Z</t>
        </is>
      </c>
    </row>
    <row r="105">
      <c r="A105" s="19" t="inlineStr">
        <is>
          <t>104</t>
        </is>
      </c>
      <c r="B105" s="19" t="inlineStr">
        <is>
          <t>ST-051-STD-01</t>
        </is>
      </c>
      <c r="C105" t="n">
        <v>0</v>
      </c>
      <c r="D105" t="inlineStr">
        <is>
          <t>Default transport — ST-051-STD-01</t>
        </is>
      </c>
      <c r="E105" s="19" t="inlineStr">
        <is>
          <t>97</t>
        </is>
      </c>
      <c r="F105" s="19" t="inlineStr">
        <is>
          <t>2</t>
        </is>
      </c>
      <c r="K105" s="19" t="n"/>
      <c r="L105" s="19" t="inlineStr">
        <is>
          <t>2</t>
        </is>
      </c>
      <c r="M105" t="inlineStr">
        <is>
          <t>2026-08-08</t>
        </is>
      </c>
      <c r="O105" t="inlineStr">
        <is>
          <t>Engineering default transport for commercial mapping FK</t>
        </is>
      </c>
      <c r="P105" t="inlineStr">
        <is>
          <t>2026-08-10T19:29:54Z</t>
        </is>
      </c>
      <c r="Q105" t="inlineStr">
        <is>
          <t>2026-08-10T19:29:54Z</t>
        </is>
      </c>
    </row>
    <row r="106">
      <c r="A106" s="19" t="inlineStr">
        <is>
          <t>105</t>
        </is>
      </c>
      <c r="B106" s="19" t="inlineStr">
        <is>
          <t>ST-051-STD-02</t>
        </is>
      </c>
      <c r="C106" t="n">
        <v>0</v>
      </c>
      <c r="D106" t="inlineStr">
        <is>
          <t>Default transport — ST-051-STD-02</t>
        </is>
      </c>
      <c r="E106" s="19" t="inlineStr">
        <is>
          <t>98</t>
        </is>
      </c>
      <c r="F106" s="19" t="inlineStr">
        <is>
          <t>2</t>
        </is>
      </c>
      <c r="K106" s="19" t="n"/>
      <c r="L106" s="19" t="inlineStr">
        <is>
          <t>2</t>
        </is>
      </c>
      <c r="M106" t="inlineStr">
        <is>
          <t>2026-08-08</t>
        </is>
      </c>
      <c r="O106" t="inlineStr">
        <is>
          <t>Engineering default transport for commercial mapping FK</t>
        </is>
      </c>
      <c r="P106" t="inlineStr">
        <is>
          <t>2026-08-10T19:29:54Z</t>
        </is>
      </c>
      <c r="Q106" t="inlineStr">
        <is>
          <t>2026-08-10T19:29:54Z</t>
        </is>
      </c>
    </row>
    <row r="107">
      <c r="A107" s="19" t="inlineStr">
        <is>
          <t>106</t>
        </is>
      </c>
      <c r="B107" s="19" t="inlineStr">
        <is>
          <t>ST-051-STD-03</t>
        </is>
      </c>
      <c r="C107" t="n">
        <v>0</v>
      </c>
      <c r="D107" t="inlineStr">
        <is>
          <t>Default transport — ST-051-STD-03</t>
        </is>
      </c>
      <c r="E107" s="19" t="inlineStr">
        <is>
          <t>99</t>
        </is>
      </c>
      <c r="F107" s="19" t="inlineStr">
        <is>
          <t>2</t>
        </is>
      </c>
      <c r="K107" s="19" t="n"/>
      <c r="L107" s="19" t="inlineStr">
        <is>
          <t>2</t>
        </is>
      </c>
      <c r="M107" t="inlineStr">
        <is>
          <t>2026-08-08</t>
        </is>
      </c>
      <c r="O107" t="inlineStr">
        <is>
          <t>Engineering default transport for commercial mapping FK</t>
        </is>
      </c>
      <c r="P107" t="inlineStr">
        <is>
          <t>2026-08-10T19:29:54Z</t>
        </is>
      </c>
      <c r="Q107" t="inlineStr">
        <is>
          <t>2026-08-10T19:29:54Z</t>
        </is>
      </c>
    </row>
    <row r="108">
      <c r="A108" s="19" t="inlineStr">
        <is>
          <t>107</t>
        </is>
      </c>
      <c r="B108" s="19" t="inlineStr">
        <is>
          <t>ST-051-STD-04</t>
        </is>
      </c>
      <c r="C108" t="n">
        <v>0</v>
      </c>
      <c r="D108" t="inlineStr">
        <is>
          <t>Default transport — ST-051-STD-04</t>
        </is>
      </c>
      <c r="E108" s="19" t="inlineStr">
        <is>
          <t>100</t>
        </is>
      </c>
      <c r="F108" s="19" t="inlineStr">
        <is>
          <t>2</t>
        </is>
      </c>
      <c r="K108" s="19" t="n"/>
      <c r="L108" s="19" t="inlineStr">
        <is>
          <t>2</t>
        </is>
      </c>
      <c r="M108" t="inlineStr">
        <is>
          <t>2026-08-08</t>
        </is>
      </c>
      <c r="O108" t="inlineStr">
        <is>
          <t>Engineering default transport for commercial mapping FK</t>
        </is>
      </c>
      <c r="P108" t="inlineStr">
        <is>
          <t>2026-08-10T19:29:54Z</t>
        </is>
      </c>
      <c r="Q108" t="inlineStr">
        <is>
          <t>2026-08-10T19:29:54Z</t>
        </is>
      </c>
    </row>
    <row r="109">
      <c r="A109" s="19" t="inlineStr">
        <is>
          <t>108</t>
        </is>
      </c>
      <c r="B109" s="19" t="inlineStr">
        <is>
          <t>ST-051-STD-05</t>
        </is>
      </c>
      <c r="C109" t="n">
        <v>0</v>
      </c>
      <c r="D109" t="inlineStr">
        <is>
          <t>Default transport — ST-051-STD-05</t>
        </is>
      </c>
      <c r="E109" s="19" t="inlineStr">
        <is>
          <t>101</t>
        </is>
      </c>
      <c r="F109" s="19" t="inlineStr">
        <is>
          <t>2</t>
        </is>
      </c>
      <c r="K109" s="19" t="n"/>
      <c r="L109" s="19" t="inlineStr">
        <is>
          <t>2</t>
        </is>
      </c>
      <c r="M109" t="inlineStr">
        <is>
          <t>2026-08-08</t>
        </is>
      </c>
      <c r="O109" t="inlineStr">
        <is>
          <t>Engineering default transport for commercial mapping FK</t>
        </is>
      </c>
      <c r="P109" t="inlineStr">
        <is>
          <t>2026-08-10T19:29:54Z</t>
        </is>
      </c>
      <c r="Q109" t="inlineStr">
        <is>
          <t>2026-08-10T19:29:54Z</t>
        </is>
      </c>
    </row>
    <row r="110">
      <c r="A110" s="19" t="inlineStr">
        <is>
          <t>109</t>
        </is>
      </c>
      <c r="B110" s="19" t="inlineStr">
        <is>
          <t>ST-051-STD-06</t>
        </is>
      </c>
      <c r="C110" t="n">
        <v>0</v>
      </c>
      <c r="D110" t="inlineStr">
        <is>
          <t>Default transport — ST-051-STD-06</t>
        </is>
      </c>
      <c r="E110" s="19" t="inlineStr">
        <is>
          <t>102</t>
        </is>
      </c>
      <c r="F110" s="19" t="inlineStr">
        <is>
          <t>2</t>
        </is>
      </c>
      <c r="K110" s="19" t="n"/>
      <c r="L110" s="19" t="inlineStr">
        <is>
          <t>2</t>
        </is>
      </c>
      <c r="M110" t="inlineStr">
        <is>
          <t>2026-08-08</t>
        </is>
      </c>
      <c r="O110" t="inlineStr">
        <is>
          <t>Engineering default transport for commercial mapping FK</t>
        </is>
      </c>
      <c r="P110" t="inlineStr">
        <is>
          <t>2026-08-10T19:29:54Z</t>
        </is>
      </c>
      <c r="Q110" t="inlineStr">
        <is>
          <t>2026-08-10T19:29:54Z</t>
        </is>
      </c>
    </row>
    <row r="111">
      <c r="A111" s="19" t="inlineStr">
        <is>
          <t>110</t>
        </is>
      </c>
      <c r="B111" s="19" t="inlineStr">
        <is>
          <t>ST-051-STD-07</t>
        </is>
      </c>
      <c r="C111" t="n">
        <v>0</v>
      </c>
      <c r="D111" t="inlineStr">
        <is>
          <t>Default transport — ST-051-STD-07</t>
        </is>
      </c>
      <c r="E111" s="19" t="inlineStr">
        <is>
          <t>103</t>
        </is>
      </c>
      <c r="F111" s="19" t="inlineStr">
        <is>
          <t>2</t>
        </is>
      </c>
      <c r="K111" s="19" t="n"/>
      <c r="L111" s="19" t="inlineStr">
        <is>
          <t>2</t>
        </is>
      </c>
      <c r="M111" t="inlineStr">
        <is>
          <t>2026-08-08</t>
        </is>
      </c>
      <c r="O111" t="inlineStr">
        <is>
          <t>Engineering default transport for commercial mapping FK</t>
        </is>
      </c>
      <c r="P111" t="inlineStr">
        <is>
          <t>2026-08-10T19:29:54Z</t>
        </is>
      </c>
      <c r="Q111" t="inlineStr">
        <is>
          <t>2026-08-10T19:29:54Z</t>
        </is>
      </c>
    </row>
    <row r="112">
      <c r="A112" s="19" t="inlineStr">
        <is>
          <t>111</t>
        </is>
      </c>
      <c r="B112" s="19" t="inlineStr">
        <is>
          <t>ST-051-STD-08</t>
        </is>
      </c>
      <c r="C112" t="n">
        <v>0</v>
      </c>
      <c r="D112" t="inlineStr">
        <is>
          <t>Default transport — ST-051-STD-08</t>
        </is>
      </c>
      <c r="E112" s="19" t="inlineStr">
        <is>
          <t>104</t>
        </is>
      </c>
      <c r="F112" s="19" t="inlineStr">
        <is>
          <t>2</t>
        </is>
      </c>
      <c r="K112" s="19" t="n"/>
      <c r="L112" s="19" t="inlineStr">
        <is>
          <t>2</t>
        </is>
      </c>
      <c r="M112" t="inlineStr">
        <is>
          <t>2026-08-08</t>
        </is>
      </c>
      <c r="O112" t="inlineStr">
        <is>
          <t>Engineering default transport for commercial mapping FK</t>
        </is>
      </c>
      <c r="P112" t="inlineStr">
        <is>
          <t>2026-08-10T19:29:54Z</t>
        </is>
      </c>
      <c r="Q112" t="inlineStr">
        <is>
          <t>2026-08-10T19:29:54Z</t>
        </is>
      </c>
    </row>
    <row r="113">
      <c r="A113" s="19" t="inlineStr">
        <is>
          <t>112</t>
        </is>
      </c>
      <c r="B113" s="19" t="inlineStr">
        <is>
          <t>ST-054-EUR-01</t>
        </is>
      </c>
      <c r="C113" t="n">
        <v>0</v>
      </c>
      <c r="D113" t="inlineStr">
        <is>
          <t>Default transport — ST-054-EUR-01</t>
        </is>
      </c>
      <c r="E113" s="19" t="inlineStr">
        <is>
          <t>105</t>
        </is>
      </c>
      <c r="F113" s="19" t="inlineStr">
        <is>
          <t>2</t>
        </is>
      </c>
      <c r="K113" s="19" t="n"/>
      <c r="L113" s="19" t="inlineStr">
        <is>
          <t>2</t>
        </is>
      </c>
      <c r="M113" t="inlineStr">
        <is>
          <t>2026-08-08</t>
        </is>
      </c>
      <c r="O113" t="inlineStr">
        <is>
          <t>Engineering default transport for commercial mapping FK</t>
        </is>
      </c>
      <c r="P113" t="inlineStr">
        <is>
          <t>2026-08-10T19:29:54Z</t>
        </is>
      </c>
      <c r="Q113" t="inlineStr">
        <is>
          <t>2026-08-10T19:29:54Z</t>
        </is>
      </c>
    </row>
    <row r="114">
      <c r="A114" s="19" t="inlineStr">
        <is>
          <t>113</t>
        </is>
      </c>
      <c r="B114" s="19" t="inlineStr">
        <is>
          <t>ST-054-STD-01</t>
        </is>
      </c>
      <c r="C114" t="n">
        <v>0</v>
      </c>
      <c r="D114" t="inlineStr">
        <is>
          <t>Default transport — ST-054-STD-01</t>
        </is>
      </c>
      <c r="E114" s="19" t="inlineStr">
        <is>
          <t>106</t>
        </is>
      </c>
      <c r="F114" s="19" t="inlineStr">
        <is>
          <t>2</t>
        </is>
      </c>
      <c r="K114" s="19" t="n"/>
      <c r="L114" s="19" t="inlineStr">
        <is>
          <t>2</t>
        </is>
      </c>
      <c r="M114" t="inlineStr">
        <is>
          <t>2026-08-08</t>
        </is>
      </c>
      <c r="O114" t="inlineStr">
        <is>
          <t>Engineering default transport for commercial mapping FK</t>
        </is>
      </c>
      <c r="P114" t="inlineStr">
        <is>
          <t>2026-08-10T19:29:54Z</t>
        </is>
      </c>
      <c r="Q114" t="inlineStr">
        <is>
          <t>2026-08-10T19:29:54Z</t>
        </is>
      </c>
    </row>
    <row r="115">
      <c r="A115" s="19" t="inlineStr">
        <is>
          <t>114</t>
        </is>
      </c>
      <c r="B115" s="19" t="inlineStr">
        <is>
          <t>ST-054-STD-02</t>
        </is>
      </c>
      <c r="C115" t="n">
        <v>0</v>
      </c>
      <c r="D115" t="inlineStr">
        <is>
          <t>Default transport — ST-054-STD-02</t>
        </is>
      </c>
      <c r="E115" s="19" t="inlineStr">
        <is>
          <t>107</t>
        </is>
      </c>
      <c r="F115" s="19" t="inlineStr">
        <is>
          <t>2</t>
        </is>
      </c>
      <c r="K115" s="19" t="n"/>
      <c r="L115" s="19" t="inlineStr">
        <is>
          <t>2</t>
        </is>
      </c>
      <c r="M115" t="inlineStr">
        <is>
          <t>2026-08-08</t>
        </is>
      </c>
      <c r="O115" t="inlineStr">
        <is>
          <t>Engineering default transport for commercial mapping FK</t>
        </is>
      </c>
      <c r="P115" t="inlineStr">
        <is>
          <t>2026-08-10T19:29:54Z</t>
        </is>
      </c>
      <c r="Q115" t="inlineStr">
        <is>
          <t>2026-08-10T19:29:54Z</t>
        </is>
      </c>
    </row>
    <row r="116">
      <c r="A116" s="19" t="inlineStr">
        <is>
          <t>115</t>
        </is>
      </c>
      <c r="B116" s="19" t="inlineStr">
        <is>
          <t>ST-054-STD-03</t>
        </is>
      </c>
      <c r="C116" t="n">
        <v>0</v>
      </c>
      <c r="D116" t="inlineStr">
        <is>
          <t>Default transport — ST-054-STD-03</t>
        </is>
      </c>
      <c r="E116" s="19" t="inlineStr">
        <is>
          <t>108</t>
        </is>
      </c>
      <c r="F116" s="19" t="inlineStr">
        <is>
          <t>2</t>
        </is>
      </c>
      <c r="K116" s="19" t="n"/>
      <c r="L116" s="19" t="inlineStr">
        <is>
          <t>2</t>
        </is>
      </c>
      <c r="M116" t="inlineStr">
        <is>
          <t>2026-08-08</t>
        </is>
      </c>
      <c r="O116" t="inlineStr">
        <is>
          <t>Engineering default transport for commercial mapping FK</t>
        </is>
      </c>
      <c r="P116" t="inlineStr">
        <is>
          <t>2026-08-10T19:29:54Z</t>
        </is>
      </c>
      <c r="Q116" t="inlineStr">
        <is>
          <t>2026-08-10T19:29:54Z</t>
        </is>
      </c>
    </row>
    <row r="117">
      <c r="A117" s="19" t="inlineStr">
        <is>
          <t>116</t>
        </is>
      </c>
      <c r="B117" s="19" t="inlineStr">
        <is>
          <t>ST-054-STD-04</t>
        </is>
      </c>
      <c r="C117" t="n">
        <v>0</v>
      </c>
      <c r="D117" t="inlineStr">
        <is>
          <t>Default transport — ST-054-STD-04</t>
        </is>
      </c>
      <c r="E117" s="19" t="inlineStr">
        <is>
          <t>109</t>
        </is>
      </c>
      <c r="F117" s="19" t="inlineStr">
        <is>
          <t>2</t>
        </is>
      </c>
      <c r="K117" s="19" t="n"/>
      <c r="L117" s="19" t="inlineStr">
        <is>
          <t>2</t>
        </is>
      </c>
      <c r="M117" t="inlineStr">
        <is>
          <t>2026-08-08</t>
        </is>
      </c>
      <c r="O117" t="inlineStr">
        <is>
          <t>Engineering default transport for commercial mapping FK</t>
        </is>
      </c>
      <c r="P117" t="inlineStr">
        <is>
          <t>2026-08-10T19:29:54Z</t>
        </is>
      </c>
      <c r="Q117" t="inlineStr">
        <is>
          <t>2026-08-10T19:29:54Z</t>
        </is>
      </c>
    </row>
    <row r="118">
      <c r="A118" s="19" t="inlineStr">
        <is>
          <t>117</t>
        </is>
      </c>
      <c r="B118" s="19" t="inlineStr">
        <is>
          <t>ST-054-STD-05</t>
        </is>
      </c>
      <c r="C118" t="n">
        <v>0</v>
      </c>
      <c r="D118" t="inlineStr">
        <is>
          <t>Default transport — ST-054-STD-05</t>
        </is>
      </c>
      <c r="E118" s="19" t="inlineStr">
        <is>
          <t>110</t>
        </is>
      </c>
      <c r="F118" s="19" t="inlineStr">
        <is>
          <t>2</t>
        </is>
      </c>
      <c r="K118" s="19" t="n"/>
      <c r="L118" s="19" t="inlineStr">
        <is>
          <t>2</t>
        </is>
      </c>
      <c r="M118" t="inlineStr">
        <is>
          <t>2026-08-08</t>
        </is>
      </c>
      <c r="O118" t="inlineStr">
        <is>
          <t>Engineering default transport for commercial mapping FK</t>
        </is>
      </c>
      <c r="P118" t="inlineStr">
        <is>
          <t>2026-08-10T19:29:54Z</t>
        </is>
      </c>
      <c r="Q118" t="inlineStr">
        <is>
          <t>2026-08-10T19:29:54Z</t>
        </is>
      </c>
    </row>
    <row r="119">
      <c r="A119" s="19" t="inlineStr">
        <is>
          <t>118</t>
        </is>
      </c>
      <c r="B119" s="19" t="inlineStr">
        <is>
          <t>ST-054-STD-06</t>
        </is>
      </c>
      <c r="C119" t="n">
        <v>0</v>
      </c>
      <c r="D119" t="inlineStr">
        <is>
          <t>Default transport — ST-054-STD-06</t>
        </is>
      </c>
      <c r="E119" s="19" t="inlineStr">
        <is>
          <t>111</t>
        </is>
      </c>
      <c r="F119" s="19" t="inlineStr">
        <is>
          <t>2</t>
        </is>
      </c>
      <c r="K119" s="19" t="n"/>
      <c r="L119" s="19" t="inlineStr">
        <is>
          <t>2</t>
        </is>
      </c>
      <c r="M119" t="inlineStr">
        <is>
          <t>2026-08-08</t>
        </is>
      </c>
      <c r="O119" t="inlineStr">
        <is>
          <t>Engineering default transport for commercial mapping FK</t>
        </is>
      </c>
      <c r="P119" t="inlineStr">
        <is>
          <t>2026-08-10T19:29:54Z</t>
        </is>
      </c>
      <c r="Q119" t="inlineStr">
        <is>
          <t>2026-08-10T19:29:54Z</t>
        </is>
      </c>
    </row>
    <row r="120">
      <c r="A120" s="19" t="inlineStr">
        <is>
          <t>119</t>
        </is>
      </c>
      <c r="B120" s="19" t="inlineStr">
        <is>
          <t>ST-054-STD-07</t>
        </is>
      </c>
      <c r="C120" t="n">
        <v>0</v>
      </c>
      <c r="D120" t="inlineStr">
        <is>
          <t>Default transport — ST-054-STD-07</t>
        </is>
      </c>
      <c r="E120" s="19" t="inlineStr">
        <is>
          <t>112</t>
        </is>
      </c>
      <c r="F120" s="19" t="inlineStr">
        <is>
          <t>2</t>
        </is>
      </c>
      <c r="K120" s="19" t="n"/>
      <c r="L120" s="19" t="inlineStr">
        <is>
          <t>2</t>
        </is>
      </c>
      <c r="M120" t="inlineStr">
        <is>
          <t>2026-08-08</t>
        </is>
      </c>
      <c r="O120" t="inlineStr">
        <is>
          <t>Engineering default transport for commercial mapping FK</t>
        </is>
      </c>
      <c r="P120" t="inlineStr">
        <is>
          <t>2026-08-10T19:29:54Z</t>
        </is>
      </c>
      <c r="Q120" t="inlineStr">
        <is>
          <t>2026-08-10T19:29:54Z</t>
        </is>
      </c>
    </row>
    <row r="121">
      <c r="A121" s="19" t="inlineStr">
        <is>
          <t>120</t>
        </is>
      </c>
      <c r="B121" s="19" t="inlineStr">
        <is>
          <t>ST-054-STD-08</t>
        </is>
      </c>
      <c r="C121" t="n">
        <v>0</v>
      </c>
      <c r="D121" t="inlineStr">
        <is>
          <t>Default transport — ST-054-STD-08</t>
        </is>
      </c>
      <c r="E121" s="19" t="inlineStr">
        <is>
          <t>113</t>
        </is>
      </c>
      <c r="F121" s="19" t="inlineStr">
        <is>
          <t>2</t>
        </is>
      </c>
      <c r="K121" s="19" t="n"/>
      <c r="L121" s="19" t="inlineStr">
        <is>
          <t>2</t>
        </is>
      </c>
      <c r="M121" t="inlineStr">
        <is>
          <t>2026-08-08</t>
        </is>
      </c>
      <c r="O121" t="inlineStr">
        <is>
          <t>Engineering default transport for commercial mapping FK</t>
        </is>
      </c>
      <c r="P121" t="inlineStr">
        <is>
          <t>2026-08-10T19:29:54Z</t>
        </is>
      </c>
      <c r="Q121" t="inlineStr">
        <is>
          <t>2026-08-10T19:29:54Z</t>
        </is>
      </c>
    </row>
    <row r="122">
      <c r="A122" s="19" t="inlineStr">
        <is>
          <t>121</t>
        </is>
      </c>
      <c r="B122" s="19" t="inlineStr">
        <is>
          <t>ST-054-STD-09</t>
        </is>
      </c>
      <c r="C122" t="n">
        <v>0</v>
      </c>
      <c r="D122" t="inlineStr">
        <is>
          <t>Default transport — ST-054-STD-09</t>
        </is>
      </c>
      <c r="E122" s="19" t="inlineStr">
        <is>
          <t>114</t>
        </is>
      </c>
      <c r="F122" s="19" t="inlineStr">
        <is>
          <t>2</t>
        </is>
      </c>
      <c r="K122" s="19" t="n"/>
      <c r="L122" s="19" t="inlineStr">
        <is>
          <t>2</t>
        </is>
      </c>
      <c r="M122" t="inlineStr">
        <is>
          <t>2026-08-08</t>
        </is>
      </c>
      <c r="O122" t="inlineStr">
        <is>
          <t>Engineering default transport for commercial mapping FK</t>
        </is>
      </c>
      <c r="P122" t="inlineStr">
        <is>
          <t>2026-08-10T19:29:54Z</t>
        </is>
      </c>
      <c r="Q122" t="inlineStr">
        <is>
          <t>2026-08-10T19:29:54Z</t>
        </is>
      </c>
    </row>
    <row r="123">
      <c r="A123" s="19" t="inlineStr">
        <is>
          <t>122</t>
        </is>
      </c>
      <c r="B123" s="19" t="inlineStr">
        <is>
          <t>ST-054-STD-10</t>
        </is>
      </c>
      <c r="C123" t="n">
        <v>0</v>
      </c>
      <c r="D123" t="inlineStr">
        <is>
          <t>Default transport — ST-054-STD-10</t>
        </is>
      </c>
      <c r="E123" s="19" t="inlineStr">
        <is>
          <t>115</t>
        </is>
      </c>
      <c r="F123" s="19" t="inlineStr">
        <is>
          <t>2</t>
        </is>
      </c>
      <c r="K123" s="19" t="n"/>
      <c r="L123" s="19" t="inlineStr">
        <is>
          <t>2</t>
        </is>
      </c>
      <c r="M123" t="inlineStr">
        <is>
          <t>2026-08-08</t>
        </is>
      </c>
      <c r="O123" t="inlineStr">
        <is>
          <t>Engineering default transport for commercial mapping FK</t>
        </is>
      </c>
      <c r="P123" t="inlineStr">
        <is>
          <t>2026-08-10T19:29:54Z</t>
        </is>
      </c>
      <c r="Q123" t="inlineStr">
        <is>
          <t>2026-08-10T19:29:54Z</t>
        </is>
      </c>
    </row>
    <row r="124">
      <c r="A124" s="19" t="inlineStr">
        <is>
          <t>123</t>
        </is>
      </c>
      <c r="B124" s="19" t="inlineStr">
        <is>
          <t>ST-054-STD-11</t>
        </is>
      </c>
      <c r="C124" t="n">
        <v>0</v>
      </c>
      <c r="D124" t="inlineStr">
        <is>
          <t>Default transport — ST-054-STD-11</t>
        </is>
      </c>
      <c r="E124" s="19" t="inlineStr">
        <is>
          <t>116</t>
        </is>
      </c>
      <c r="F124" s="19" t="inlineStr">
        <is>
          <t>2</t>
        </is>
      </c>
      <c r="K124" s="19" t="n"/>
      <c r="L124" s="19" t="inlineStr">
        <is>
          <t>2</t>
        </is>
      </c>
      <c r="M124" t="inlineStr">
        <is>
          <t>2026-08-08</t>
        </is>
      </c>
      <c r="O124" t="inlineStr">
        <is>
          <t>Engineering default transport for commercial mapping FK</t>
        </is>
      </c>
      <c r="P124" t="inlineStr">
        <is>
          <t>2026-08-10T19:29:54Z</t>
        </is>
      </c>
      <c r="Q124" t="inlineStr">
        <is>
          <t>2026-08-10T19:29:54Z</t>
        </is>
      </c>
    </row>
    <row r="125">
      <c r="A125" s="19" t="inlineStr">
        <is>
          <t>124</t>
        </is>
      </c>
      <c r="B125" s="19" t="inlineStr">
        <is>
          <t>ST-054-STD-12</t>
        </is>
      </c>
      <c r="C125" t="n">
        <v>0</v>
      </c>
      <c r="D125" t="inlineStr">
        <is>
          <t>Default transport — ST-054-STD-12</t>
        </is>
      </c>
      <c r="E125" s="19" t="inlineStr">
        <is>
          <t>117</t>
        </is>
      </c>
      <c r="F125" s="19" t="inlineStr">
        <is>
          <t>2</t>
        </is>
      </c>
      <c r="K125" s="19" t="n"/>
      <c r="L125" s="19" t="inlineStr">
        <is>
          <t>2</t>
        </is>
      </c>
      <c r="M125" t="inlineStr">
        <is>
          <t>2026-08-08</t>
        </is>
      </c>
      <c r="O125" t="inlineStr">
        <is>
          <t>Engineering default transport for commercial mapping FK</t>
        </is>
      </c>
      <c r="P125" t="inlineStr">
        <is>
          <t>2026-08-10T19:29:54Z</t>
        </is>
      </c>
      <c r="Q125" t="inlineStr">
        <is>
          <t>2026-08-10T19:29:54Z</t>
        </is>
      </c>
    </row>
    <row r="126">
      <c r="A126" s="19" t="inlineStr">
        <is>
          <t>125</t>
        </is>
      </c>
      <c r="B126" s="19" t="inlineStr">
        <is>
          <t>ST-056-EUR-01</t>
        </is>
      </c>
      <c r="C126" t="n">
        <v>0</v>
      </c>
      <c r="D126" t="inlineStr">
        <is>
          <t>Default transport — ST-056-EUR-01</t>
        </is>
      </c>
      <c r="E126" s="19" t="inlineStr">
        <is>
          <t>118</t>
        </is>
      </c>
      <c r="F126" s="19" t="inlineStr">
        <is>
          <t>2</t>
        </is>
      </c>
      <c r="K126" s="19" t="n"/>
      <c r="L126" s="19" t="inlineStr">
        <is>
          <t>2</t>
        </is>
      </c>
      <c r="M126" t="inlineStr">
        <is>
          <t>2026-08-08</t>
        </is>
      </c>
      <c r="O126" t="inlineStr">
        <is>
          <t>Engineering default transport for commercial mapping FK</t>
        </is>
      </c>
      <c r="P126" t="inlineStr">
        <is>
          <t>2026-08-10T19:29:54Z</t>
        </is>
      </c>
      <c r="Q126" t="inlineStr">
        <is>
          <t>2026-08-10T19:29:54Z</t>
        </is>
      </c>
    </row>
    <row r="127">
      <c r="A127" s="19" t="inlineStr">
        <is>
          <t>126</t>
        </is>
      </c>
      <c r="B127" s="19" t="inlineStr">
        <is>
          <t>ST-056-EUR-02</t>
        </is>
      </c>
      <c r="C127" t="n">
        <v>0</v>
      </c>
      <c r="D127" t="inlineStr">
        <is>
          <t>Default transport — ST-056-EUR-02</t>
        </is>
      </c>
      <c r="E127" s="19" t="inlineStr">
        <is>
          <t>119</t>
        </is>
      </c>
      <c r="F127" s="19" t="inlineStr">
        <is>
          <t>2</t>
        </is>
      </c>
      <c r="K127" s="19" t="n"/>
      <c r="L127" s="19" t="inlineStr">
        <is>
          <t>2</t>
        </is>
      </c>
      <c r="M127" t="inlineStr">
        <is>
          <t>2026-08-08</t>
        </is>
      </c>
      <c r="O127" t="inlineStr">
        <is>
          <t>Engineering default transport for commercial mapping FK</t>
        </is>
      </c>
      <c r="P127" t="inlineStr">
        <is>
          <t>2026-08-10T19:29:54Z</t>
        </is>
      </c>
      <c r="Q127" t="inlineStr">
        <is>
          <t>2026-08-10T19:29:54Z</t>
        </is>
      </c>
    </row>
    <row r="128">
      <c r="A128" s="19" t="inlineStr">
        <is>
          <t>127</t>
        </is>
      </c>
      <c r="B128" s="19" t="inlineStr">
        <is>
          <t>ST-056-EUR-03</t>
        </is>
      </c>
      <c r="C128" t="n">
        <v>0</v>
      </c>
      <c r="D128" t="inlineStr">
        <is>
          <t>Default transport — ST-056-EUR-03</t>
        </is>
      </c>
      <c r="E128" s="19" t="inlineStr">
        <is>
          <t>120</t>
        </is>
      </c>
      <c r="F128" s="19" t="inlineStr">
        <is>
          <t>2</t>
        </is>
      </c>
      <c r="K128" s="19" t="n"/>
      <c r="L128" s="19" t="inlineStr">
        <is>
          <t>2</t>
        </is>
      </c>
      <c r="M128" t="inlineStr">
        <is>
          <t>2026-08-08</t>
        </is>
      </c>
      <c r="O128" t="inlineStr">
        <is>
          <t>Engineering default transport for commercial mapping FK</t>
        </is>
      </c>
      <c r="P128" t="inlineStr">
        <is>
          <t>2026-08-10T19:29:54Z</t>
        </is>
      </c>
      <c r="Q128" t="inlineStr">
        <is>
          <t>2026-08-10T19:29:54Z</t>
        </is>
      </c>
    </row>
    <row r="129">
      <c r="A129" s="19" t="inlineStr">
        <is>
          <t>128</t>
        </is>
      </c>
      <c r="B129" s="19" t="inlineStr">
        <is>
          <t>ST-056-EUR-04</t>
        </is>
      </c>
      <c r="C129" t="n">
        <v>0</v>
      </c>
      <c r="D129" t="inlineStr">
        <is>
          <t>Default transport — ST-056-EUR-04</t>
        </is>
      </c>
      <c r="E129" s="19" t="inlineStr">
        <is>
          <t>121</t>
        </is>
      </c>
      <c r="F129" s="19" t="inlineStr">
        <is>
          <t>2</t>
        </is>
      </c>
      <c r="K129" s="19" t="n"/>
      <c r="L129" s="19" t="inlineStr">
        <is>
          <t>2</t>
        </is>
      </c>
      <c r="M129" t="inlineStr">
        <is>
          <t>2026-08-08</t>
        </is>
      </c>
      <c r="O129" t="inlineStr">
        <is>
          <t>Engineering default transport for commercial mapping FK</t>
        </is>
      </c>
      <c r="P129" t="inlineStr">
        <is>
          <t>2026-08-10T19:29:54Z</t>
        </is>
      </c>
      <c r="Q129" t="inlineStr">
        <is>
          <t>2026-08-10T19:29:54Z</t>
        </is>
      </c>
    </row>
    <row r="130">
      <c r="A130" s="19" t="inlineStr">
        <is>
          <t>129</t>
        </is>
      </c>
      <c r="B130" s="19" t="inlineStr">
        <is>
          <t>ST-057-EUR-01</t>
        </is>
      </c>
      <c r="C130" t="n">
        <v>0</v>
      </c>
      <c r="D130" t="inlineStr">
        <is>
          <t>Default transport — ST-057-EUR-01</t>
        </is>
      </c>
      <c r="E130" s="19" t="inlineStr">
        <is>
          <t>122</t>
        </is>
      </c>
      <c r="F130" s="19" t="inlineStr">
        <is>
          <t>2</t>
        </is>
      </c>
      <c r="K130" s="19" t="n"/>
      <c r="L130" s="19" t="inlineStr">
        <is>
          <t>2</t>
        </is>
      </c>
      <c r="M130" t="inlineStr">
        <is>
          <t>2026-08-08</t>
        </is>
      </c>
      <c r="O130" t="inlineStr">
        <is>
          <t>Engineering default transport for commercial mapping FK</t>
        </is>
      </c>
      <c r="P130" t="inlineStr">
        <is>
          <t>2026-08-10T19:29:54Z</t>
        </is>
      </c>
      <c r="Q130" t="inlineStr">
        <is>
          <t>2026-08-10T19:29:54Z</t>
        </is>
      </c>
    </row>
    <row r="131">
      <c r="A131" s="19" t="inlineStr">
        <is>
          <t>130</t>
        </is>
      </c>
      <c r="B131" s="19" t="inlineStr">
        <is>
          <t>ST-057-EUR-02</t>
        </is>
      </c>
      <c r="C131" t="n">
        <v>0</v>
      </c>
      <c r="D131" t="inlineStr">
        <is>
          <t>Default transport — ST-057-EUR-02</t>
        </is>
      </c>
      <c r="E131" s="19" t="inlineStr">
        <is>
          <t>123</t>
        </is>
      </c>
      <c r="F131" s="19" t="inlineStr">
        <is>
          <t>2</t>
        </is>
      </c>
      <c r="K131" s="19" t="n"/>
      <c r="L131" s="19" t="inlineStr">
        <is>
          <t>2</t>
        </is>
      </c>
      <c r="M131" t="inlineStr">
        <is>
          <t>2026-08-08</t>
        </is>
      </c>
      <c r="O131" t="inlineStr">
        <is>
          <t>Engineering default transport for commercial mapping FK</t>
        </is>
      </c>
      <c r="P131" t="inlineStr">
        <is>
          <t>2026-08-10T19:29:54Z</t>
        </is>
      </c>
      <c r="Q131" t="inlineStr">
        <is>
          <t>2026-08-10T19:29:54Z</t>
        </is>
      </c>
    </row>
    <row r="132">
      <c r="A132" s="19" t="inlineStr">
        <is>
          <t>131</t>
        </is>
      </c>
      <c r="B132" s="19" t="inlineStr">
        <is>
          <t>ST-057-EUR-03</t>
        </is>
      </c>
      <c r="C132" t="n">
        <v>0</v>
      </c>
      <c r="D132" t="inlineStr">
        <is>
          <t>Default transport — ST-057-EUR-03</t>
        </is>
      </c>
      <c r="E132" s="19" t="inlineStr">
        <is>
          <t>124</t>
        </is>
      </c>
      <c r="F132" s="19" t="inlineStr">
        <is>
          <t>2</t>
        </is>
      </c>
      <c r="K132" s="19" t="n"/>
      <c r="L132" s="19" t="inlineStr">
        <is>
          <t>2</t>
        </is>
      </c>
      <c r="M132" t="inlineStr">
        <is>
          <t>2026-08-08</t>
        </is>
      </c>
      <c r="O132" t="inlineStr">
        <is>
          <t>Engineering default transport for commercial mapping FK</t>
        </is>
      </c>
      <c r="P132" t="inlineStr">
        <is>
          <t>2026-08-10T19:29:54Z</t>
        </is>
      </c>
      <c r="Q132" t="inlineStr">
        <is>
          <t>2026-08-10T19:29:54Z</t>
        </is>
      </c>
    </row>
    <row r="133">
      <c r="A133" s="19" t="inlineStr">
        <is>
          <t>132</t>
        </is>
      </c>
      <c r="B133" s="19" t="inlineStr">
        <is>
          <t>ST-057-EUR-04</t>
        </is>
      </c>
      <c r="C133" t="n">
        <v>0</v>
      </c>
      <c r="D133" t="inlineStr">
        <is>
          <t>Default transport — ST-057-EUR-04</t>
        </is>
      </c>
      <c r="E133" s="19" t="inlineStr">
        <is>
          <t>125</t>
        </is>
      </c>
      <c r="F133" s="19" t="inlineStr">
        <is>
          <t>2</t>
        </is>
      </c>
      <c r="K133" s="19" t="n"/>
      <c r="L133" s="19" t="inlineStr">
        <is>
          <t>2</t>
        </is>
      </c>
      <c r="M133" t="inlineStr">
        <is>
          <t>2026-08-08</t>
        </is>
      </c>
      <c r="O133" t="inlineStr">
        <is>
          <t>Engineering default transport for commercial mapping FK</t>
        </is>
      </c>
      <c r="P133" t="inlineStr">
        <is>
          <t>2026-08-10T19:29:54Z</t>
        </is>
      </c>
      <c r="Q133" t="inlineStr">
        <is>
          <t>2026-08-10T19:29:54Z</t>
        </is>
      </c>
    </row>
    <row r="134">
      <c r="A134" s="19" t="inlineStr">
        <is>
          <t>133</t>
        </is>
      </c>
      <c r="B134" s="19" t="inlineStr">
        <is>
          <t>ST-057-EUR-05</t>
        </is>
      </c>
      <c r="C134" t="n">
        <v>0</v>
      </c>
      <c r="D134" t="inlineStr">
        <is>
          <t>Default transport — ST-057-EUR-05</t>
        </is>
      </c>
      <c r="E134" s="19" t="inlineStr">
        <is>
          <t>126</t>
        </is>
      </c>
      <c r="F134" s="19" t="inlineStr">
        <is>
          <t>2</t>
        </is>
      </c>
      <c r="K134" s="19" t="n"/>
      <c r="L134" s="19" t="inlineStr">
        <is>
          <t>2</t>
        </is>
      </c>
      <c r="M134" t="inlineStr">
        <is>
          <t>2026-08-08</t>
        </is>
      </c>
      <c r="O134" t="inlineStr">
        <is>
          <t>Engineering default transport for commercial mapping FK</t>
        </is>
      </c>
      <c r="P134" t="inlineStr">
        <is>
          <t>2026-08-10T19:29:54Z</t>
        </is>
      </c>
      <c r="Q134" t="inlineStr">
        <is>
          <t>2026-08-10T19:29:54Z</t>
        </is>
      </c>
    </row>
    <row r="135">
      <c r="A135" s="19" t="inlineStr">
        <is>
          <t>134</t>
        </is>
      </c>
      <c r="B135" s="19" t="inlineStr">
        <is>
          <t>ST-057-STD-01</t>
        </is>
      </c>
      <c r="C135" t="n">
        <v>0</v>
      </c>
      <c r="D135" t="inlineStr">
        <is>
          <t>Default transport — ST-057-STD-01</t>
        </is>
      </c>
      <c r="E135" s="19" t="inlineStr">
        <is>
          <t>127</t>
        </is>
      </c>
      <c r="F135" s="19" t="inlineStr">
        <is>
          <t>2</t>
        </is>
      </c>
      <c r="K135" s="19" t="n"/>
      <c r="L135" s="19" t="inlineStr">
        <is>
          <t>2</t>
        </is>
      </c>
      <c r="M135" t="inlineStr">
        <is>
          <t>2026-08-08</t>
        </is>
      </c>
      <c r="O135" t="inlineStr">
        <is>
          <t>Engineering default transport for commercial mapping FK</t>
        </is>
      </c>
      <c r="P135" t="inlineStr">
        <is>
          <t>2026-08-10T19:29:54Z</t>
        </is>
      </c>
      <c r="Q135" t="inlineStr">
        <is>
          <t>2026-08-10T19:29:54Z</t>
        </is>
      </c>
    </row>
    <row r="136">
      <c r="A136" s="19" t="inlineStr">
        <is>
          <t>135</t>
        </is>
      </c>
      <c r="B136" s="19" t="inlineStr">
        <is>
          <t>ST-057-STD-02</t>
        </is>
      </c>
      <c r="C136" t="n">
        <v>0</v>
      </c>
      <c r="D136" t="inlineStr">
        <is>
          <t>Default transport — ST-057-STD-02</t>
        </is>
      </c>
      <c r="E136" s="19" t="inlineStr">
        <is>
          <t>128</t>
        </is>
      </c>
      <c r="F136" s="19" t="inlineStr">
        <is>
          <t>2</t>
        </is>
      </c>
      <c r="K136" s="19" t="n"/>
      <c r="L136" s="19" t="inlineStr">
        <is>
          <t>2</t>
        </is>
      </c>
      <c r="M136" t="inlineStr">
        <is>
          <t>2026-08-08</t>
        </is>
      </c>
      <c r="O136" t="inlineStr">
        <is>
          <t>Engineering default transport for commercial mapping FK</t>
        </is>
      </c>
      <c r="P136" t="inlineStr">
        <is>
          <t>2026-08-10T19:29:54Z</t>
        </is>
      </c>
      <c r="Q136" t="inlineStr">
        <is>
          <t>2026-08-10T19:29:54Z</t>
        </is>
      </c>
    </row>
    <row r="137">
      <c r="A137" s="19" t="inlineStr">
        <is>
          <t>136</t>
        </is>
      </c>
      <c r="B137" s="19" t="inlineStr">
        <is>
          <t>ST-057-STD-03</t>
        </is>
      </c>
      <c r="C137" t="n">
        <v>0</v>
      </c>
      <c r="D137" t="inlineStr">
        <is>
          <t>Default transport — ST-057-STD-03</t>
        </is>
      </c>
      <c r="E137" s="19" t="inlineStr">
        <is>
          <t>129</t>
        </is>
      </c>
      <c r="F137" s="19" t="inlineStr">
        <is>
          <t>2</t>
        </is>
      </c>
      <c r="K137" s="19" t="n"/>
      <c r="L137" s="19" t="inlineStr">
        <is>
          <t>2</t>
        </is>
      </c>
      <c r="M137" t="inlineStr">
        <is>
          <t>2026-08-08</t>
        </is>
      </c>
      <c r="O137" t="inlineStr">
        <is>
          <t>Engineering default transport for commercial mapping FK</t>
        </is>
      </c>
      <c r="P137" t="inlineStr">
        <is>
          <t>2026-08-10T19:29:54Z</t>
        </is>
      </c>
      <c r="Q137" t="inlineStr">
        <is>
          <t>2026-08-10T19:29:54Z</t>
        </is>
      </c>
    </row>
    <row r="138">
      <c r="A138" s="19" t="inlineStr">
        <is>
          <t>137</t>
        </is>
      </c>
      <c r="B138" s="19" t="inlineStr">
        <is>
          <t>ST-060-EUR-01</t>
        </is>
      </c>
      <c r="C138" t="n">
        <v>0</v>
      </c>
      <c r="D138" t="inlineStr">
        <is>
          <t>Default transport — ST-060-EUR-01</t>
        </is>
      </c>
      <c r="E138" s="19" t="inlineStr">
        <is>
          <t>130</t>
        </is>
      </c>
      <c r="F138" s="19" t="inlineStr">
        <is>
          <t>2</t>
        </is>
      </c>
      <c r="K138" s="19" t="n"/>
      <c r="L138" s="19" t="inlineStr">
        <is>
          <t>2</t>
        </is>
      </c>
      <c r="M138" t="inlineStr">
        <is>
          <t>2026-08-08</t>
        </is>
      </c>
      <c r="O138" t="inlineStr">
        <is>
          <t>Engineering default transport for commercial mapping FK</t>
        </is>
      </c>
      <c r="P138" t="inlineStr">
        <is>
          <t>2026-08-10T19:29:54Z</t>
        </is>
      </c>
      <c r="Q138" t="inlineStr">
        <is>
          <t>2026-08-10T19:29:54Z</t>
        </is>
      </c>
    </row>
    <row r="139">
      <c r="A139" s="19" t="inlineStr">
        <is>
          <t>138</t>
        </is>
      </c>
      <c r="B139" s="19" t="inlineStr">
        <is>
          <t>ST-060-EUR-02</t>
        </is>
      </c>
      <c r="C139" t="n">
        <v>0</v>
      </c>
      <c r="D139" t="inlineStr">
        <is>
          <t>Default transport — ST-060-EUR-02</t>
        </is>
      </c>
      <c r="E139" s="19" t="inlineStr">
        <is>
          <t>131</t>
        </is>
      </c>
      <c r="F139" s="19" t="inlineStr">
        <is>
          <t>2</t>
        </is>
      </c>
      <c r="K139" s="19" t="n"/>
      <c r="L139" s="19" t="inlineStr">
        <is>
          <t>2</t>
        </is>
      </c>
      <c r="M139" t="inlineStr">
        <is>
          <t>2026-08-08</t>
        </is>
      </c>
      <c r="O139" t="inlineStr">
        <is>
          <t>Engineering default transport for commercial mapping FK</t>
        </is>
      </c>
      <c r="P139" t="inlineStr">
        <is>
          <t>2026-08-10T19:29:54Z</t>
        </is>
      </c>
      <c r="Q139" t="inlineStr">
        <is>
          <t>2026-08-10T19:29:54Z</t>
        </is>
      </c>
    </row>
    <row r="140">
      <c r="A140" s="19" t="inlineStr">
        <is>
          <t>139</t>
        </is>
      </c>
      <c r="B140" s="19" t="inlineStr">
        <is>
          <t>ST-060-STD-01</t>
        </is>
      </c>
      <c r="C140" t="n">
        <v>0</v>
      </c>
      <c r="D140" t="inlineStr">
        <is>
          <t>Default transport — ST-060-STD-01</t>
        </is>
      </c>
      <c r="E140" s="19" t="inlineStr">
        <is>
          <t>132</t>
        </is>
      </c>
      <c r="F140" s="19" t="inlineStr">
        <is>
          <t>2</t>
        </is>
      </c>
      <c r="K140" s="19" t="n"/>
      <c r="L140" s="19" t="inlineStr">
        <is>
          <t>2</t>
        </is>
      </c>
      <c r="M140" t="inlineStr">
        <is>
          <t>2026-08-08</t>
        </is>
      </c>
      <c r="O140" t="inlineStr">
        <is>
          <t>Engineering default transport for commercial mapping FK</t>
        </is>
      </c>
      <c r="P140" t="inlineStr">
        <is>
          <t>2026-08-10T19:29:54Z</t>
        </is>
      </c>
      <c r="Q140" t="inlineStr">
        <is>
          <t>2026-08-10T19:29:54Z</t>
        </is>
      </c>
    </row>
    <row r="141">
      <c r="A141" s="19" t="inlineStr">
        <is>
          <t>140</t>
        </is>
      </c>
      <c r="B141" s="19" t="inlineStr">
        <is>
          <t>ST-060-STD-02</t>
        </is>
      </c>
      <c r="C141" t="n">
        <v>0</v>
      </c>
      <c r="D141" t="inlineStr">
        <is>
          <t>Default transport — ST-060-STD-02</t>
        </is>
      </c>
      <c r="E141" s="19" t="inlineStr">
        <is>
          <t>133</t>
        </is>
      </c>
      <c r="F141" s="19" t="inlineStr">
        <is>
          <t>2</t>
        </is>
      </c>
      <c r="K141" s="19" t="n"/>
      <c r="L141" s="19" t="inlineStr">
        <is>
          <t>2</t>
        </is>
      </c>
      <c r="M141" t="inlineStr">
        <is>
          <t>2026-08-08</t>
        </is>
      </c>
      <c r="O141" t="inlineStr">
        <is>
          <t>Engineering default transport for commercial mapping FK</t>
        </is>
      </c>
      <c r="P141" t="inlineStr">
        <is>
          <t>2026-08-10T19:29:54Z</t>
        </is>
      </c>
      <c r="Q141" t="inlineStr">
        <is>
          <t>2026-08-10T19:29:54Z</t>
        </is>
      </c>
    </row>
    <row r="142">
      <c r="A142" s="19" t="inlineStr">
        <is>
          <t>141</t>
        </is>
      </c>
      <c r="B142" s="19" t="inlineStr">
        <is>
          <t>ST-060-STD-03</t>
        </is>
      </c>
      <c r="C142" t="n">
        <v>0</v>
      </c>
      <c r="D142" t="inlineStr">
        <is>
          <t>Default transport — ST-060-STD-03</t>
        </is>
      </c>
      <c r="E142" s="19" t="inlineStr">
        <is>
          <t>134</t>
        </is>
      </c>
      <c r="F142" s="19" t="inlineStr">
        <is>
          <t>2</t>
        </is>
      </c>
      <c r="K142" s="19" t="n"/>
      <c r="L142" s="19" t="inlineStr">
        <is>
          <t>2</t>
        </is>
      </c>
      <c r="M142" t="inlineStr">
        <is>
          <t>2026-08-08</t>
        </is>
      </c>
      <c r="O142" t="inlineStr">
        <is>
          <t>Engineering default transport for commercial mapping FK</t>
        </is>
      </c>
      <c r="P142" t="inlineStr">
        <is>
          <t>2026-08-10T19:29:54Z</t>
        </is>
      </c>
      <c r="Q142" t="inlineStr">
        <is>
          <t>2026-08-10T19:29:54Z</t>
        </is>
      </c>
    </row>
    <row r="143">
      <c r="A143" s="19" t="inlineStr">
        <is>
          <t>142</t>
        </is>
      </c>
      <c r="B143" s="19" t="inlineStr">
        <is>
          <t>ST-060-STD-04</t>
        </is>
      </c>
      <c r="C143" t="n">
        <v>0</v>
      </c>
      <c r="D143" t="inlineStr">
        <is>
          <t>Default transport — ST-060-STD-04</t>
        </is>
      </c>
      <c r="E143" s="19" t="inlineStr">
        <is>
          <t>135</t>
        </is>
      </c>
      <c r="F143" s="19" t="inlineStr">
        <is>
          <t>2</t>
        </is>
      </c>
      <c r="K143" s="19" t="n"/>
      <c r="L143" s="19" t="inlineStr">
        <is>
          <t>2</t>
        </is>
      </c>
      <c r="M143" t="inlineStr">
        <is>
          <t>2026-08-08</t>
        </is>
      </c>
      <c r="O143" t="inlineStr">
        <is>
          <t>Engineering default transport for commercial mapping FK</t>
        </is>
      </c>
      <c r="P143" t="inlineStr">
        <is>
          <t>2026-08-10T19:29:54Z</t>
        </is>
      </c>
      <c r="Q143" t="inlineStr">
        <is>
          <t>2026-08-10T19:29:54Z</t>
        </is>
      </c>
    </row>
    <row r="144">
      <c r="A144" s="19" t="inlineStr">
        <is>
          <t>143</t>
        </is>
      </c>
      <c r="B144" s="19" t="inlineStr">
        <is>
          <t>ST-060-STD-05</t>
        </is>
      </c>
      <c r="C144" t="n">
        <v>0</v>
      </c>
      <c r="D144" t="inlineStr">
        <is>
          <t>Default transport — ST-060-STD-05</t>
        </is>
      </c>
      <c r="E144" s="19" t="inlineStr">
        <is>
          <t>136</t>
        </is>
      </c>
      <c r="F144" s="19" t="inlineStr">
        <is>
          <t>2</t>
        </is>
      </c>
      <c r="K144" s="19" t="n"/>
      <c r="L144" s="19" t="inlineStr">
        <is>
          <t>2</t>
        </is>
      </c>
      <c r="M144" t="inlineStr">
        <is>
          <t>2026-08-08</t>
        </is>
      </c>
      <c r="O144" t="inlineStr">
        <is>
          <t>Engineering default transport for commercial mapping FK</t>
        </is>
      </c>
      <c r="P144" t="inlineStr">
        <is>
          <t>2026-08-10T19:29:54Z</t>
        </is>
      </c>
      <c r="Q144" t="inlineStr">
        <is>
          <t>2026-08-10T19:29:54Z</t>
        </is>
      </c>
    </row>
    <row r="145">
      <c r="A145" s="19" t="inlineStr">
        <is>
          <t>144</t>
        </is>
      </c>
      <c r="B145" s="19" t="inlineStr">
        <is>
          <t>ST-063-EUR-01</t>
        </is>
      </c>
      <c r="C145" t="n">
        <v>0</v>
      </c>
      <c r="D145" t="inlineStr">
        <is>
          <t>Default transport — ST-063-EUR-01</t>
        </is>
      </c>
      <c r="E145" s="19" t="inlineStr">
        <is>
          <t>137</t>
        </is>
      </c>
      <c r="F145" s="19" t="inlineStr">
        <is>
          <t>2</t>
        </is>
      </c>
      <c r="K145" s="19" t="n"/>
      <c r="L145" s="19" t="inlineStr">
        <is>
          <t>2</t>
        </is>
      </c>
      <c r="M145" t="inlineStr">
        <is>
          <t>2026-08-08</t>
        </is>
      </c>
      <c r="O145" t="inlineStr">
        <is>
          <t>Engineering default transport for commercial mapping FK</t>
        </is>
      </c>
      <c r="P145" t="inlineStr">
        <is>
          <t>2026-08-10T19:29:54Z</t>
        </is>
      </c>
      <c r="Q145" t="inlineStr">
        <is>
          <t>2026-08-10T19:29:54Z</t>
        </is>
      </c>
    </row>
    <row r="146">
      <c r="A146" s="19" t="inlineStr">
        <is>
          <t>145</t>
        </is>
      </c>
      <c r="B146" s="19" t="inlineStr">
        <is>
          <t>ST-063-EUR-02</t>
        </is>
      </c>
      <c r="C146" t="n">
        <v>0</v>
      </c>
      <c r="D146" t="inlineStr">
        <is>
          <t>Default transport — ST-063-EUR-02</t>
        </is>
      </c>
      <c r="E146" s="19" t="inlineStr">
        <is>
          <t>138</t>
        </is>
      </c>
      <c r="F146" s="19" t="inlineStr">
        <is>
          <t>2</t>
        </is>
      </c>
      <c r="K146" s="19" t="n"/>
      <c r="L146" s="19" t="inlineStr">
        <is>
          <t>2</t>
        </is>
      </c>
      <c r="M146" t="inlineStr">
        <is>
          <t>2026-08-08</t>
        </is>
      </c>
      <c r="O146" t="inlineStr">
        <is>
          <t>Engineering default transport for commercial mapping FK</t>
        </is>
      </c>
      <c r="P146" t="inlineStr">
        <is>
          <t>2026-08-10T19:29:54Z</t>
        </is>
      </c>
      <c r="Q146" t="inlineStr">
        <is>
          <t>2026-08-10T19:29:54Z</t>
        </is>
      </c>
    </row>
    <row r="147">
      <c r="A147" s="19" t="inlineStr">
        <is>
          <t>146</t>
        </is>
      </c>
      <c r="B147" s="19" t="inlineStr">
        <is>
          <t>ST-063-STD-01</t>
        </is>
      </c>
      <c r="C147" t="n">
        <v>0</v>
      </c>
      <c r="D147" t="inlineStr">
        <is>
          <t>Default transport — ST-063-STD-01</t>
        </is>
      </c>
      <c r="E147" s="19" t="inlineStr">
        <is>
          <t>139</t>
        </is>
      </c>
      <c r="F147" s="19" t="inlineStr">
        <is>
          <t>2</t>
        </is>
      </c>
      <c r="K147" s="19" t="n"/>
      <c r="L147" s="19" t="inlineStr">
        <is>
          <t>2</t>
        </is>
      </c>
      <c r="M147" t="inlineStr">
        <is>
          <t>2026-08-08</t>
        </is>
      </c>
      <c r="O147" t="inlineStr">
        <is>
          <t>Engineering default transport for commercial mapping FK</t>
        </is>
      </c>
      <c r="P147" t="inlineStr">
        <is>
          <t>2026-08-10T19:29:54Z</t>
        </is>
      </c>
      <c r="Q147" t="inlineStr">
        <is>
          <t>2026-08-10T19:29:54Z</t>
        </is>
      </c>
    </row>
    <row r="148">
      <c r="A148" s="19" t="inlineStr">
        <is>
          <t>147</t>
        </is>
      </c>
      <c r="B148" s="19" t="inlineStr">
        <is>
          <t>ST-063-STD-02</t>
        </is>
      </c>
      <c r="C148" t="n">
        <v>0</v>
      </c>
      <c r="D148" t="inlineStr">
        <is>
          <t>Default transport — ST-063-STD-02</t>
        </is>
      </c>
      <c r="E148" s="19" t="inlineStr">
        <is>
          <t>140</t>
        </is>
      </c>
      <c r="F148" s="19" t="inlineStr">
        <is>
          <t>2</t>
        </is>
      </c>
      <c r="K148" s="19" t="n"/>
      <c r="L148" s="19" t="inlineStr">
        <is>
          <t>2</t>
        </is>
      </c>
      <c r="M148" t="inlineStr">
        <is>
          <t>2026-08-08</t>
        </is>
      </c>
      <c r="O148" t="inlineStr">
        <is>
          <t>Engineering default transport for commercial mapping FK</t>
        </is>
      </c>
      <c r="P148" t="inlineStr">
        <is>
          <t>2026-08-10T19:29:54Z</t>
        </is>
      </c>
      <c r="Q148" t="inlineStr">
        <is>
          <t>2026-08-10T19:29:54Z</t>
        </is>
      </c>
    </row>
    <row r="149">
      <c r="A149" s="19" t="inlineStr">
        <is>
          <t>148</t>
        </is>
      </c>
      <c r="B149" s="19" t="inlineStr">
        <is>
          <t>ST-063-STD-03</t>
        </is>
      </c>
      <c r="C149" t="n">
        <v>0</v>
      </c>
      <c r="D149" t="inlineStr">
        <is>
          <t>Default transport — ST-063-STD-03</t>
        </is>
      </c>
      <c r="E149" s="19" t="inlineStr">
        <is>
          <t>141</t>
        </is>
      </c>
      <c r="F149" s="19" t="inlineStr">
        <is>
          <t>2</t>
        </is>
      </c>
      <c r="K149" s="19" t="n"/>
      <c r="L149" s="19" t="inlineStr">
        <is>
          <t>2</t>
        </is>
      </c>
      <c r="M149" t="inlineStr">
        <is>
          <t>2026-08-08</t>
        </is>
      </c>
      <c r="O149" t="inlineStr">
        <is>
          <t>Engineering default transport for commercial mapping FK</t>
        </is>
      </c>
      <c r="P149" t="inlineStr">
        <is>
          <t>2026-08-10T19:29:54Z</t>
        </is>
      </c>
      <c r="Q149" t="inlineStr">
        <is>
          <t>2026-08-10T19:29:54Z</t>
        </is>
      </c>
    </row>
    <row r="150">
      <c r="A150" s="19" t="inlineStr">
        <is>
          <t>149</t>
        </is>
      </c>
      <c r="B150" s="19" t="inlineStr">
        <is>
          <t>ST-063-STD-04</t>
        </is>
      </c>
      <c r="C150" t="n">
        <v>0</v>
      </c>
      <c r="D150" t="inlineStr">
        <is>
          <t>Default transport — ST-063-STD-04</t>
        </is>
      </c>
      <c r="E150" s="19" t="inlineStr">
        <is>
          <t>142</t>
        </is>
      </c>
      <c r="F150" s="19" t="inlineStr">
        <is>
          <t>2</t>
        </is>
      </c>
      <c r="K150" s="19" t="n"/>
      <c r="L150" s="19" t="inlineStr">
        <is>
          <t>2</t>
        </is>
      </c>
      <c r="M150" t="inlineStr">
        <is>
          <t>2026-08-08</t>
        </is>
      </c>
      <c r="O150" t="inlineStr">
        <is>
          <t>Engineering default transport for commercial mapping FK</t>
        </is>
      </c>
      <c r="P150" t="inlineStr">
        <is>
          <t>2026-08-10T19:29:54Z</t>
        </is>
      </c>
      <c r="Q150" t="inlineStr">
        <is>
          <t>2026-08-10T19:29:54Z</t>
        </is>
      </c>
    </row>
    <row r="151">
      <c r="A151" s="19" t="inlineStr">
        <is>
          <t>150</t>
        </is>
      </c>
      <c r="B151" s="19" t="inlineStr">
        <is>
          <t>ST-063-STD-05</t>
        </is>
      </c>
      <c r="C151" t="n">
        <v>0</v>
      </c>
      <c r="D151" t="inlineStr">
        <is>
          <t>Default transport — ST-063-STD-05</t>
        </is>
      </c>
      <c r="E151" s="19" t="inlineStr">
        <is>
          <t>143</t>
        </is>
      </c>
      <c r="F151" s="19" t="inlineStr">
        <is>
          <t>2</t>
        </is>
      </c>
      <c r="K151" s="19" t="n"/>
      <c r="L151" s="19" t="inlineStr">
        <is>
          <t>2</t>
        </is>
      </c>
      <c r="M151" t="inlineStr">
        <is>
          <t>2026-08-08</t>
        </is>
      </c>
      <c r="O151" t="inlineStr">
        <is>
          <t>Engineering default transport for commercial mapping FK</t>
        </is>
      </c>
      <c r="P151" t="inlineStr">
        <is>
          <t>2026-08-10T19:29:54Z</t>
        </is>
      </c>
      <c r="Q151" t="inlineStr">
        <is>
          <t>2026-08-10T19:29:54Z</t>
        </is>
      </c>
    </row>
    <row r="152">
      <c r="A152" s="19" t="inlineStr">
        <is>
          <t>151</t>
        </is>
      </c>
      <c r="B152" s="19" t="inlineStr">
        <is>
          <t>ST-063-STD-06</t>
        </is>
      </c>
      <c r="C152" t="n">
        <v>0</v>
      </c>
      <c r="D152" t="inlineStr">
        <is>
          <t>Default transport — ST-063-STD-06</t>
        </is>
      </c>
      <c r="E152" s="19" t="inlineStr">
        <is>
          <t>144</t>
        </is>
      </c>
      <c r="F152" s="19" t="inlineStr">
        <is>
          <t>2</t>
        </is>
      </c>
      <c r="K152" s="19" t="n"/>
      <c r="L152" s="19" t="inlineStr">
        <is>
          <t>2</t>
        </is>
      </c>
      <c r="M152" t="inlineStr">
        <is>
          <t>2026-08-08</t>
        </is>
      </c>
      <c r="O152" t="inlineStr">
        <is>
          <t>Engineering default transport for commercial mapping FK</t>
        </is>
      </c>
      <c r="P152" t="inlineStr">
        <is>
          <t>2026-08-10T19:29:54Z</t>
        </is>
      </c>
      <c r="Q152" t="inlineStr">
        <is>
          <t>2026-08-10T19:29:54Z</t>
        </is>
      </c>
    </row>
    <row r="153">
      <c r="A153" s="19" t="inlineStr">
        <is>
          <t>152</t>
        </is>
      </c>
      <c r="B153" s="19" t="inlineStr">
        <is>
          <t>ST-063-STD-07</t>
        </is>
      </c>
      <c r="C153" t="n">
        <v>0</v>
      </c>
      <c r="D153" t="inlineStr">
        <is>
          <t>Default transport — ST-063-STD-07</t>
        </is>
      </c>
      <c r="E153" s="19" t="inlineStr">
        <is>
          <t>145</t>
        </is>
      </c>
      <c r="F153" s="19" t="inlineStr">
        <is>
          <t>2</t>
        </is>
      </c>
      <c r="K153" s="19" t="n"/>
      <c r="L153" s="19" t="inlineStr">
        <is>
          <t>2</t>
        </is>
      </c>
      <c r="M153" t="inlineStr">
        <is>
          <t>2026-08-08</t>
        </is>
      </c>
      <c r="O153" t="inlineStr">
        <is>
          <t>Engineering default transport for commercial mapping FK</t>
        </is>
      </c>
      <c r="P153" t="inlineStr">
        <is>
          <t>2026-08-10T19:29:54Z</t>
        </is>
      </c>
      <c r="Q153" t="inlineStr">
        <is>
          <t>2026-08-10T19:29:54Z</t>
        </is>
      </c>
    </row>
    <row r="154">
      <c r="A154" s="19" t="inlineStr">
        <is>
          <t>153</t>
        </is>
      </c>
      <c r="B154" s="19" t="inlineStr">
        <is>
          <t>ST-063-STD-08</t>
        </is>
      </c>
      <c r="C154" t="n">
        <v>0</v>
      </c>
      <c r="D154" t="inlineStr">
        <is>
          <t>Default transport — ST-063-STD-08</t>
        </is>
      </c>
      <c r="E154" s="19" t="inlineStr">
        <is>
          <t>146</t>
        </is>
      </c>
      <c r="F154" s="19" t="inlineStr">
        <is>
          <t>2</t>
        </is>
      </c>
      <c r="K154" s="19" t="n"/>
      <c r="L154" s="19" t="inlineStr">
        <is>
          <t>2</t>
        </is>
      </c>
      <c r="M154" t="inlineStr">
        <is>
          <t>2026-08-08</t>
        </is>
      </c>
      <c r="O154" t="inlineStr">
        <is>
          <t>Engineering default transport for commercial mapping FK</t>
        </is>
      </c>
      <c r="P154" t="inlineStr">
        <is>
          <t>2026-08-10T19:29:54Z</t>
        </is>
      </c>
      <c r="Q154" t="inlineStr">
        <is>
          <t>2026-08-10T19:29:54Z</t>
        </is>
      </c>
    </row>
    <row r="155">
      <c r="A155" s="19" t="inlineStr">
        <is>
          <t>154</t>
        </is>
      </c>
      <c r="B155" s="19" t="inlineStr">
        <is>
          <t>ST-063-STD-09</t>
        </is>
      </c>
      <c r="C155" t="n">
        <v>0</v>
      </c>
      <c r="D155" t="inlineStr">
        <is>
          <t>Default transport — ST-063-STD-09</t>
        </is>
      </c>
      <c r="E155" s="19" t="inlineStr">
        <is>
          <t>147</t>
        </is>
      </c>
      <c r="F155" s="19" t="inlineStr">
        <is>
          <t>2</t>
        </is>
      </c>
      <c r="K155" s="19" t="n"/>
      <c r="L155" s="19" t="inlineStr">
        <is>
          <t>2</t>
        </is>
      </c>
      <c r="M155" t="inlineStr">
        <is>
          <t>2026-08-08</t>
        </is>
      </c>
      <c r="O155" t="inlineStr">
        <is>
          <t>Engineering default transport for commercial mapping FK</t>
        </is>
      </c>
      <c r="P155" t="inlineStr">
        <is>
          <t>2026-08-10T19:29:54Z</t>
        </is>
      </c>
      <c r="Q155" t="inlineStr">
        <is>
          <t>2026-08-10T19:29:54Z</t>
        </is>
      </c>
    </row>
    <row r="156">
      <c r="A156" s="19" t="inlineStr">
        <is>
          <t>155</t>
        </is>
      </c>
      <c r="B156" s="19" t="inlineStr">
        <is>
          <t>ST-063-STD-10</t>
        </is>
      </c>
      <c r="C156" t="n">
        <v>0</v>
      </c>
      <c r="D156" t="inlineStr">
        <is>
          <t>Default transport — ST-063-STD-10</t>
        </is>
      </c>
      <c r="E156" s="19" t="inlineStr">
        <is>
          <t>148</t>
        </is>
      </c>
      <c r="F156" s="19" t="inlineStr">
        <is>
          <t>2</t>
        </is>
      </c>
      <c r="K156" s="19" t="n"/>
      <c r="L156" s="19" t="inlineStr">
        <is>
          <t>2</t>
        </is>
      </c>
      <c r="M156" t="inlineStr">
        <is>
          <t>2026-08-08</t>
        </is>
      </c>
      <c r="O156" t="inlineStr">
        <is>
          <t>Engineering default transport for commercial mapping FK</t>
        </is>
      </c>
      <c r="P156" t="inlineStr">
        <is>
          <t>2026-08-10T19:29:54Z</t>
        </is>
      </c>
      <c r="Q156" t="inlineStr">
        <is>
          <t>2026-08-10T19:29:54Z</t>
        </is>
      </c>
    </row>
    <row r="157">
      <c r="A157" s="19" t="inlineStr">
        <is>
          <t>156</t>
        </is>
      </c>
      <c r="B157" s="19" t="inlineStr">
        <is>
          <t>ST-063-STD-11</t>
        </is>
      </c>
      <c r="C157" t="n">
        <v>0</v>
      </c>
      <c r="D157" t="inlineStr">
        <is>
          <t>Default transport — ST-063-STD-11</t>
        </is>
      </c>
      <c r="E157" s="19" t="inlineStr">
        <is>
          <t>149</t>
        </is>
      </c>
      <c r="F157" s="19" t="inlineStr">
        <is>
          <t>2</t>
        </is>
      </c>
      <c r="K157" s="19" t="n"/>
      <c r="L157" s="19" t="inlineStr">
        <is>
          <t>2</t>
        </is>
      </c>
      <c r="M157" t="inlineStr">
        <is>
          <t>2026-08-08</t>
        </is>
      </c>
      <c r="O157" t="inlineStr">
        <is>
          <t>Engineering default transport for commercial mapping FK</t>
        </is>
      </c>
      <c r="P157" t="inlineStr">
        <is>
          <t>2026-08-10T19:29:54Z</t>
        </is>
      </c>
      <c r="Q157" t="inlineStr">
        <is>
          <t>2026-08-10T19:29:54Z</t>
        </is>
      </c>
    </row>
    <row r="158">
      <c r="A158" s="19" t="inlineStr">
        <is>
          <t>157</t>
        </is>
      </c>
      <c r="B158" s="19" t="inlineStr">
        <is>
          <t>ST-063-STD-12</t>
        </is>
      </c>
      <c r="C158" t="n">
        <v>0</v>
      </c>
      <c r="D158" t="inlineStr">
        <is>
          <t>Default transport — ST-063-STD-12</t>
        </is>
      </c>
      <c r="E158" s="19" t="inlineStr">
        <is>
          <t>150</t>
        </is>
      </c>
      <c r="F158" s="19" t="inlineStr">
        <is>
          <t>2</t>
        </is>
      </c>
      <c r="K158" s="19" t="n"/>
      <c r="L158" s="19" t="inlineStr">
        <is>
          <t>2</t>
        </is>
      </c>
      <c r="M158" t="inlineStr">
        <is>
          <t>2026-08-08</t>
        </is>
      </c>
      <c r="O158" t="inlineStr">
        <is>
          <t>Engineering default transport for commercial mapping FK</t>
        </is>
      </c>
      <c r="P158" t="inlineStr">
        <is>
          <t>2026-08-10T19:29:54Z</t>
        </is>
      </c>
      <c r="Q158" t="inlineStr">
        <is>
          <t>2026-08-10T19:29:54Z</t>
        </is>
      </c>
    </row>
    <row r="159">
      <c r="A159" s="19" t="inlineStr">
        <is>
          <t>158</t>
        </is>
      </c>
      <c r="B159" s="19" t="inlineStr">
        <is>
          <t>ST-063-STD-13</t>
        </is>
      </c>
      <c r="C159" t="n">
        <v>0</v>
      </c>
      <c r="D159" t="inlineStr">
        <is>
          <t>Default transport — ST-063-STD-13</t>
        </is>
      </c>
      <c r="E159" s="19" t="inlineStr">
        <is>
          <t>151</t>
        </is>
      </c>
      <c r="F159" s="19" t="inlineStr">
        <is>
          <t>2</t>
        </is>
      </c>
      <c r="K159" s="19" t="n"/>
      <c r="L159" s="19" t="inlineStr">
        <is>
          <t>2</t>
        </is>
      </c>
      <c r="M159" t="inlineStr">
        <is>
          <t>2026-08-08</t>
        </is>
      </c>
      <c r="O159" t="inlineStr">
        <is>
          <t>Engineering default transport for commercial mapping FK</t>
        </is>
      </c>
      <c r="P159" t="inlineStr">
        <is>
          <t>2026-08-10T19:29:54Z</t>
        </is>
      </c>
      <c r="Q159" t="inlineStr">
        <is>
          <t>2026-08-10T19:29:54Z</t>
        </is>
      </c>
    </row>
    <row r="160">
      <c r="A160" s="19" t="inlineStr">
        <is>
          <t>159</t>
        </is>
      </c>
      <c r="B160" s="19" t="inlineStr">
        <is>
          <t>ST-063-STD-14</t>
        </is>
      </c>
      <c r="C160" t="n">
        <v>0</v>
      </c>
      <c r="D160" t="inlineStr">
        <is>
          <t>Default transport — ST-063-STD-14</t>
        </is>
      </c>
      <c r="E160" s="19" t="inlineStr">
        <is>
          <t>152</t>
        </is>
      </c>
      <c r="F160" s="19" t="inlineStr">
        <is>
          <t>2</t>
        </is>
      </c>
      <c r="K160" s="19" t="n"/>
      <c r="L160" s="19" t="inlineStr">
        <is>
          <t>2</t>
        </is>
      </c>
      <c r="M160" t="inlineStr">
        <is>
          <t>2026-08-08</t>
        </is>
      </c>
      <c r="O160" t="inlineStr">
        <is>
          <t>Engineering default transport for commercial mapping FK</t>
        </is>
      </c>
      <c r="P160" t="inlineStr">
        <is>
          <t>2026-08-10T19:29:54Z</t>
        </is>
      </c>
      <c r="Q160" t="inlineStr">
        <is>
          <t>2026-08-10T19:29:54Z</t>
        </is>
      </c>
    </row>
    <row r="161">
      <c r="A161" s="19" t="inlineStr">
        <is>
          <t>160</t>
        </is>
      </c>
      <c r="B161" s="19" t="inlineStr">
        <is>
          <t>ST-063-STD-15</t>
        </is>
      </c>
      <c r="C161" t="n">
        <v>0</v>
      </c>
      <c r="D161" t="inlineStr">
        <is>
          <t>Default transport — ST-063-STD-15</t>
        </is>
      </c>
      <c r="E161" s="19" t="inlineStr">
        <is>
          <t>153</t>
        </is>
      </c>
      <c r="F161" s="19" t="inlineStr">
        <is>
          <t>2</t>
        </is>
      </c>
      <c r="K161" s="19" t="n"/>
      <c r="L161" s="19" t="inlineStr">
        <is>
          <t>2</t>
        </is>
      </c>
      <c r="M161" t="inlineStr">
        <is>
          <t>2026-08-08</t>
        </is>
      </c>
      <c r="O161" t="inlineStr">
        <is>
          <t>Engineering default transport for commercial mapping FK</t>
        </is>
      </c>
      <c r="P161" t="inlineStr">
        <is>
          <t>2026-08-10T19:29:54Z</t>
        </is>
      </c>
      <c r="Q161" t="inlineStr">
        <is>
          <t>2026-08-10T19:29:54Z</t>
        </is>
      </c>
    </row>
    <row r="162">
      <c r="A162" s="19" t="inlineStr">
        <is>
          <t>161</t>
        </is>
      </c>
      <c r="B162" s="19" t="inlineStr">
        <is>
          <t>ST-064-EUR-01</t>
        </is>
      </c>
      <c r="C162" t="n">
        <v>0</v>
      </c>
      <c r="D162" t="inlineStr">
        <is>
          <t>Default transport — ST-064-EUR-01</t>
        </is>
      </c>
      <c r="E162" s="19" t="inlineStr">
        <is>
          <t>154</t>
        </is>
      </c>
      <c r="F162" s="19" t="inlineStr">
        <is>
          <t>2</t>
        </is>
      </c>
      <c r="K162" s="19" t="n"/>
      <c r="L162" s="19" t="inlineStr">
        <is>
          <t>2</t>
        </is>
      </c>
      <c r="M162" t="inlineStr">
        <is>
          <t>2026-08-08</t>
        </is>
      </c>
      <c r="O162" t="inlineStr">
        <is>
          <t>Engineering default transport for commercial mapping FK</t>
        </is>
      </c>
      <c r="P162" t="inlineStr">
        <is>
          <t>2026-08-10T19:29:54Z</t>
        </is>
      </c>
      <c r="Q162" t="inlineStr">
        <is>
          <t>2026-08-10T19:29:54Z</t>
        </is>
      </c>
    </row>
    <row r="163">
      <c r="A163" s="19" t="inlineStr">
        <is>
          <t>162</t>
        </is>
      </c>
      <c r="B163" s="19" t="inlineStr">
        <is>
          <t>ST-066-STD-01</t>
        </is>
      </c>
      <c r="C163" t="n">
        <v>0</v>
      </c>
      <c r="D163" t="inlineStr">
        <is>
          <t>Default transport — ST-066-STD-01</t>
        </is>
      </c>
      <c r="E163" s="19" t="inlineStr">
        <is>
          <t>155</t>
        </is>
      </c>
      <c r="F163" s="19" t="inlineStr">
        <is>
          <t>2</t>
        </is>
      </c>
      <c r="K163" s="19" t="n"/>
      <c r="L163" s="19" t="inlineStr">
        <is>
          <t>2</t>
        </is>
      </c>
      <c r="M163" t="inlineStr">
        <is>
          <t>2026-08-08</t>
        </is>
      </c>
      <c r="O163" t="inlineStr">
        <is>
          <t>Engineering default transport for commercial mapping FK</t>
        </is>
      </c>
      <c r="P163" t="inlineStr">
        <is>
          <t>2026-08-10T19:29:54Z</t>
        </is>
      </c>
      <c r="Q163" t="inlineStr">
        <is>
          <t>2026-08-10T19:29:54Z</t>
        </is>
      </c>
    </row>
    <row r="164">
      <c r="A164" s="19" t="inlineStr">
        <is>
          <t>163</t>
        </is>
      </c>
      <c r="B164" s="19" t="inlineStr">
        <is>
          <t>ST-066-STD-02</t>
        </is>
      </c>
      <c r="C164" t="n">
        <v>0</v>
      </c>
      <c r="D164" t="inlineStr">
        <is>
          <t>Default transport — ST-066-STD-02</t>
        </is>
      </c>
      <c r="E164" s="19" t="inlineStr">
        <is>
          <t>156</t>
        </is>
      </c>
      <c r="F164" s="19" t="inlineStr">
        <is>
          <t>2</t>
        </is>
      </c>
      <c r="K164" s="19" t="n"/>
      <c r="L164" s="19" t="inlineStr">
        <is>
          <t>2</t>
        </is>
      </c>
      <c r="M164" t="inlineStr">
        <is>
          <t>2026-08-08</t>
        </is>
      </c>
      <c r="O164" t="inlineStr">
        <is>
          <t>Engineering default transport for commercial mapping FK</t>
        </is>
      </c>
      <c r="P164" t="inlineStr">
        <is>
          <t>2026-08-10T19:29:54Z</t>
        </is>
      </c>
      <c r="Q164" t="inlineStr">
        <is>
          <t>2026-08-10T19:29:54Z</t>
        </is>
      </c>
    </row>
    <row r="165">
      <c r="A165" s="19" t="inlineStr">
        <is>
          <t>164</t>
        </is>
      </c>
      <c r="B165" s="19" t="inlineStr">
        <is>
          <t>ST-066-STD-03</t>
        </is>
      </c>
      <c r="C165" t="n">
        <v>0</v>
      </c>
      <c r="D165" t="inlineStr">
        <is>
          <t>Default transport — ST-066-STD-03</t>
        </is>
      </c>
      <c r="E165" s="19" t="inlineStr">
        <is>
          <t>157</t>
        </is>
      </c>
      <c r="F165" s="19" t="inlineStr">
        <is>
          <t>2</t>
        </is>
      </c>
      <c r="K165" s="19" t="n"/>
      <c r="L165" s="19" t="inlineStr">
        <is>
          <t>2</t>
        </is>
      </c>
      <c r="M165" t="inlineStr">
        <is>
          <t>2026-08-08</t>
        </is>
      </c>
      <c r="O165" t="inlineStr">
        <is>
          <t>Engineering default transport for commercial mapping FK</t>
        </is>
      </c>
      <c r="P165" t="inlineStr">
        <is>
          <t>2026-08-10T19:29:54Z</t>
        </is>
      </c>
      <c r="Q165" t="inlineStr">
        <is>
          <t>2026-08-10T19:29:54Z</t>
        </is>
      </c>
    </row>
    <row r="166">
      <c r="A166" s="19" t="inlineStr">
        <is>
          <t>165</t>
        </is>
      </c>
      <c r="B166" s="19" t="inlineStr">
        <is>
          <t>ST-068-EUR-01</t>
        </is>
      </c>
      <c r="C166" t="n">
        <v>0</v>
      </c>
      <c r="D166" t="inlineStr">
        <is>
          <t>Default transport — ST-068-EUR-01</t>
        </is>
      </c>
      <c r="E166" s="19" t="inlineStr">
        <is>
          <t>158</t>
        </is>
      </c>
      <c r="F166" s="19" t="inlineStr">
        <is>
          <t>2</t>
        </is>
      </c>
      <c r="K166" s="19" t="n"/>
      <c r="L166" s="19" t="inlineStr">
        <is>
          <t>2</t>
        </is>
      </c>
      <c r="M166" t="inlineStr">
        <is>
          <t>2026-08-08</t>
        </is>
      </c>
      <c r="O166" t="inlineStr">
        <is>
          <t>Engineering default transport for commercial mapping FK</t>
        </is>
      </c>
      <c r="P166" t="inlineStr">
        <is>
          <t>2026-08-10T19:29:54Z</t>
        </is>
      </c>
      <c r="Q166" t="inlineStr">
        <is>
          <t>2026-08-10T19:29:54Z</t>
        </is>
      </c>
    </row>
    <row r="167">
      <c r="A167" s="19" t="inlineStr">
        <is>
          <t>166</t>
        </is>
      </c>
      <c r="B167" s="19" t="inlineStr">
        <is>
          <t>ST-068-EUR-02</t>
        </is>
      </c>
      <c r="C167" t="n">
        <v>0</v>
      </c>
      <c r="D167" t="inlineStr">
        <is>
          <t>Default transport — ST-068-EUR-02</t>
        </is>
      </c>
      <c r="E167" s="19" t="inlineStr">
        <is>
          <t>159</t>
        </is>
      </c>
      <c r="F167" s="19" t="inlineStr">
        <is>
          <t>2</t>
        </is>
      </c>
      <c r="K167" s="19" t="n"/>
      <c r="L167" s="19" t="inlineStr">
        <is>
          <t>2</t>
        </is>
      </c>
      <c r="M167" t="inlineStr">
        <is>
          <t>2026-08-08</t>
        </is>
      </c>
      <c r="O167" t="inlineStr">
        <is>
          <t>Engineering default transport for commercial mapping FK</t>
        </is>
      </c>
      <c r="P167" t="inlineStr">
        <is>
          <t>2026-08-10T19:29:54Z</t>
        </is>
      </c>
      <c r="Q167" t="inlineStr">
        <is>
          <t>2026-08-10T19:29:54Z</t>
        </is>
      </c>
    </row>
    <row r="168">
      <c r="A168" s="19" t="inlineStr">
        <is>
          <t>167</t>
        </is>
      </c>
      <c r="B168" s="19" t="inlineStr">
        <is>
          <t>ST-068-EUR-03</t>
        </is>
      </c>
      <c r="C168" t="n">
        <v>0</v>
      </c>
      <c r="D168" t="inlineStr">
        <is>
          <t>Default transport — ST-068-EUR-03</t>
        </is>
      </c>
      <c r="E168" s="19" t="inlineStr">
        <is>
          <t>160</t>
        </is>
      </c>
      <c r="F168" s="19" t="inlineStr">
        <is>
          <t>2</t>
        </is>
      </c>
      <c r="K168" s="19" t="n"/>
      <c r="L168" s="19" t="inlineStr">
        <is>
          <t>2</t>
        </is>
      </c>
      <c r="M168" t="inlineStr">
        <is>
          <t>2026-08-08</t>
        </is>
      </c>
      <c r="O168" t="inlineStr">
        <is>
          <t>Engineering default transport for commercial mapping FK</t>
        </is>
      </c>
      <c r="P168" t="inlineStr">
        <is>
          <t>2026-08-10T19:29:54Z</t>
        </is>
      </c>
      <c r="Q168" t="inlineStr">
        <is>
          <t>2026-08-10T19:29:54Z</t>
        </is>
      </c>
    </row>
    <row r="169">
      <c r="A169" s="19" t="inlineStr">
        <is>
          <t>168</t>
        </is>
      </c>
      <c r="B169" s="19" t="inlineStr">
        <is>
          <t>ST-068-EUR-04</t>
        </is>
      </c>
      <c r="C169" t="n">
        <v>0</v>
      </c>
      <c r="D169" t="inlineStr">
        <is>
          <t>Default transport — ST-068-EUR-04</t>
        </is>
      </c>
      <c r="E169" s="19" t="inlineStr">
        <is>
          <t>161</t>
        </is>
      </c>
      <c r="F169" s="19" t="inlineStr">
        <is>
          <t>2</t>
        </is>
      </c>
      <c r="K169" s="19" t="n"/>
      <c r="L169" s="19" t="inlineStr">
        <is>
          <t>2</t>
        </is>
      </c>
      <c r="M169" t="inlineStr">
        <is>
          <t>2026-08-08</t>
        </is>
      </c>
      <c r="O169" t="inlineStr">
        <is>
          <t>Engineering default transport for commercial mapping FK</t>
        </is>
      </c>
      <c r="P169" t="inlineStr">
        <is>
          <t>2026-08-10T19:29:54Z</t>
        </is>
      </c>
      <c r="Q169" t="inlineStr">
        <is>
          <t>2026-08-10T19:29:54Z</t>
        </is>
      </c>
    </row>
    <row r="170">
      <c r="A170" s="19" t="inlineStr">
        <is>
          <t>169</t>
        </is>
      </c>
      <c r="B170" s="19" t="inlineStr">
        <is>
          <t>ST-068-STD-01</t>
        </is>
      </c>
      <c r="C170" t="n">
        <v>0</v>
      </c>
      <c r="D170" t="inlineStr">
        <is>
          <t>Default transport — ST-068-STD-01</t>
        </is>
      </c>
      <c r="E170" s="19" t="inlineStr">
        <is>
          <t>162</t>
        </is>
      </c>
      <c r="F170" s="19" t="inlineStr">
        <is>
          <t>2</t>
        </is>
      </c>
      <c r="K170" s="19" t="n"/>
      <c r="L170" s="19" t="inlineStr">
        <is>
          <t>2</t>
        </is>
      </c>
      <c r="M170" t="inlineStr">
        <is>
          <t>2026-08-08</t>
        </is>
      </c>
      <c r="O170" t="inlineStr">
        <is>
          <t>Engineering default transport for commercial mapping FK</t>
        </is>
      </c>
      <c r="P170" t="inlineStr">
        <is>
          <t>2026-08-10T19:29:54Z</t>
        </is>
      </c>
      <c r="Q170" t="inlineStr">
        <is>
          <t>2026-08-10T19:29:54Z</t>
        </is>
      </c>
    </row>
    <row r="171">
      <c r="A171" s="19" t="inlineStr">
        <is>
          <t>170</t>
        </is>
      </c>
      <c r="B171" s="19" t="inlineStr">
        <is>
          <t>ST-068-STD-02</t>
        </is>
      </c>
      <c r="C171" t="n">
        <v>0</v>
      </c>
      <c r="D171" t="inlineStr">
        <is>
          <t>Default transport — ST-068-STD-02</t>
        </is>
      </c>
      <c r="E171" s="19" t="inlineStr">
        <is>
          <t>163</t>
        </is>
      </c>
      <c r="F171" s="19" t="inlineStr">
        <is>
          <t>2</t>
        </is>
      </c>
      <c r="K171" s="19" t="n"/>
      <c r="L171" s="19" t="inlineStr">
        <is>
          <t>2</t>
        </is>
      </c>
      <c r="M171" t="inlineStr">
        <is>
          <t>2026-08-08</t>
        </is>
      </c>
      <c r="O171" t="inlineStr">
        <is>
          <t>Engineering default transport for commercial mapping FK</t>
        </is>
      </c>
      <c r="P171" t="inlineStr">
        <is>
          <t>2026-08-10T19:29:54Z</t>
        </is>
      </c>
      <c r="Q171" t="inlineStr">
        <is>
          <t>2026-08-10T19:29:54Z</t>
        </is>
      </c>
    </row>
    <row r="172">
      <c r="A172" s="19" t="inlineStr">
        <is>
          <t>171</t>
        </is>
      </c>
      <c r="B172" s="19" t="inlineStr">
        <is>
          <t>ST-068-STD-03</t>
        </is>
      </c>
      <c r="C172" t="n">
        <v>0</v>
      </c>
      <c r="D172" t="inlineStr">
        <is>
          <t>Default transport — ST-068-STD-03</t>
        </is>
      </c>
      <c r="E172" s="19" t="inlineStr">
        <is>
          <t>164</t>
        </is>
      </c>
      <c r="F172" s="19" t="inlineStr">
        <is>
          <t>2</t>
        </is>
      </c>
      <c r="K172" s="19" t="n"/>
      <c r="L172" s="19" t="inlineStr">
        <is>
          <t>2</t>
        </is>
      </c>
      <c r="M172" t="inlineStr">
        <is>
          <t>2026-08-08</t>
        </is>
      </c>
      <c r="O172" t="inlineStr">
        <is>
          <t>Engineering default transport for commercial mapping FK</t>
        </is>
      </c>
      <c r="P172" t="inlineStr">
        <is>
          <t>2026-08-10T19:29:54Z</t>
        </is>
      </c>
      <c r="Q172" t="inlineStr">
        <is>
          <t>2026-08-10T19:29:54Z</t>
        </is>
      </c>
    </row>
    <row r="173">
      <c r="A173" s="19" t="inlineStr">
        <is>
          <t>172</t>
        </is>
      </c>
      <c r="B173" s="19" t="inlineStr">
        <is>
          <t>ST-068-STD-04</t>
        </is>
      </c>
      <c r="C173" t="n">
        <v>0</v>
      </c>
      <c r="D173" t="inlineStr">
        <is>
          <t>Default transport — ST-068-STD-04</t>
        </is>
      </c>
      <c r="E173" s="19" t="inlineStr">
        <is>
          <t>165</t>
        </is>
      </c>
      <c r="F173" s="19" t="inlineStr">
        <is>
          <t>2</t>
        </is>
      </c>
      <c r="K173" s="19" t="n"/>
      <c r="L173" s="19" t="inlineStr">
        <is>
          <t>2</t>
        </is>
      </c>
      <c r="M173" t="inlineStr">
        <is>
          <t>2026-08-08</t>
        </is>
      </c>
      <c r="O173" t="inlineStr">
        <is>
          <t>Engineering default transport for commercial mapping FK</t>
        </is>
      </c>
      <c r="P173" t="inlineStr">
        <is>
          <t>2026-08-10T19:29:54Z</t>
        </is>
      </c>
      <c r="Q173" t="inlineStr">
        <is>
          <t>2026-08-10T19:29:54Z</t>
        </is>
      </c>
    </row>
    <row r="174">
      <c r="A174" s="19" t="inlineStr">
        <is>
          <t>173</t>
        </is>
      </c>
      <c r="B174" s="19" t="inlineStr">
        <is>
          <t>ST-072-EUR-01</t>
        </is>
      </c>
      <c r="C174" t="n">
        <v>0</v>
      </c>
      <c r="D174" t="inlineStr">
        <is>
          <t>Default transport — ST-072-EUR-01</t>
        </is>
      </c>
      <c r="E174" s="19" t="inlineStr">
        <is>
          <t>166</t>
        </is>
      </c>
      <c r="F174" s="19" t="inlineStr">
        <is>
          <t>2</t>
        </is>
      </c>
      <c r="K174" s="19" t="n"/>
      <c r="L174" s="19" t="inlineStr">
        <is>
          <t>2</t>
        </is>
      </c>
      <c r="M174" t="inlineStr">
        <is>
          <t>2026-08-08</t>
        </is>
      </c>
      <c r="O174" t="inlineStr">
        <is>
          <t>Engineering default transport for commercial mapping FK</t>
        </is>
      </c>
      <c r="P174" t="inlineStr">
        <is>
          <t>2026-08-10T19:29:54Z</t>
        </is>
      </c>
      <c r="Q174" t="inlineStr">
        <is>
          <t>2026-08-10T19:29:54Z</t>
        </is>
      </c>
    </row>
    <row r="175">
      <c r="A175" s="19" t="inlineStr">
        <is>
          <t>174</t>
        </is>
      </c>
      <c r="B175" s="19" t="inlineStr">
        <is>
          <t>ST-072-EUR-02</t>
        </is>
      </c>
      <c r="C175" t="n">
        <v>0</v>
      </c>
      <c r="D175" t="inlineStr">
        <is>
          <t>Default transport — ST-072-EUR-02</t>
        </is>
      </c>
      <c r="E175" s="19" t="inlineStr">
        <is>
          <t>167</t>
        </is>
      </c>
      <c r="F175" s="19" t="inlineStr">
        <is>
          <t>2</t>
        </is>
      </c>
      <c r="K175" s="19" t="n"/>
      <c r="L175" s="19" t="inlineStr">
        <is>
          <t>2</t>
        </is>
      </c>
      <c r="M175" t="inlineStr">
        <is>
          <t>2026-08-08</t>
        </is>
      </c>
      <c r="O175" t="inlineStr">
        <is>
          <t>Engineering default transport for commercial mapping FK</t>
        </is>
      </c>
      <c r="P175" t="inlineStr">
        <is>
          <t>2026-08-10T19:29:54Z</t>
        </is>
      </c>
      <c r="Q175" t="inlineStr">
        <is>
          <t>2026-08-10T19:29:54Z</t>
        </is>
      </c>
    </row>
    <row r="176">
      <c r="A176" s="19" t="inlineStr">
        <is>
          <t>175</t>
        </is>
      </c>
      <c r="B176" s="19" t="inlineStr">
        <is>
          <t>ST-072-EUR-03</t>
        </is>
      </c>
      <c r="C176" t="n">
        <v>0</v>
      </c>
      <c r="D176" t="inlineStr">
        <is>
          <t>Default transport — ST-072-EUR-03</t>
        </is>
      </c>
      <c r="E176" s="19" t="inlineStr">
        <is>
          <t>168</t>
        </is>
      </c>
      <c r="F176" s="19" t="inlineStr">
        <is>
          <t>2</t>
        </is>
      </c>
      <c r="K176" s="19" t="n"/>
      <c r="L176" s="19" t="inlineStr">
        <is>
          <t>2</t>
        </is>
      </c>
      <c r="M176" t="inlineStr">
        <is>
          <t>2026-08-08</t>
        </is>
      </c>
      <c r="O176" t="inlineStr">
        <is>
          <t>Engineering default transport for commercial mapping FK</t>
        </is>
      </c>
      <c r="P176" t="inlineStr">
        <is>
          <t>2026-08-10T19:29:54Z</t>
        </is>
      </c>
      <c r="Q176" t="inlineStr">
        <is>
          <t>2026-08-10T19:29:54Z</t>
        </is>
      </c>
    </row>
    <row r="177">
      <c r="A177" s="19" t="inlineStr">
        <is>
          <t>176</t>
        </is>
      </c>
      <c r="B177" s="19" t="inlineStr">
        <is>
          <t>ST-072-EUR-04</t>
        </is>
      </c>
      <c r="C177" t="n">
        <v>0</v>
      </c>
      <c r="D177" t="inlineStr">
        <is>
          <t>Default transport — ST-072-EUR-04</t>
        </is>
      </c>
      <c r="E177" s="19" t="inlineStr">
        <is>
          <t>169</t>
        </is>
      </c>
      <c r="F177" s="19" t="inlineStr">
        <is>
          <t>2</t>
        </is>
      </c>
      <c r="K177" s="19" t="n"/>
      <c r="L177" s="19" t="inlineStr">
        <is>
          <t>2</t>
        </is>
      </c>
      <c r="M177" t="inlineStr">
        <is>
          <t>2026-08-08</t>
        </is>
      </c>
      <c r="O177" t="inlineStr">
        <is>
          <t>Engineering default transport for commercial mapping FK</t>
        </is>
      </c>
      <c r="P177" t="inlineStr">
        <is>
          <t>2026-08-10T19:29:54Z</t>
        </is>
      </c>
      <c r="Q177" t="inlineStr">
        <is>
          <t>2026-08-10T19:29:54Z</t>
        </is>
      </c>
    </row>
    <row r="178">
      <c r="A178" s="19" t="inlineStr">
        <is>
          <t>177</t>
        </is>
      </c>
      <c r="B178" s="19" t="inlineStr">
        <is>
          <t>ST-072-EUR-05</t>
        </is>
      </c>
      <c r="C178" t="n">
        <v>0</v>
      </c>
      <c r="D178" t="inlineStr">
        <is>
          <t>Default transport — ST-072-EUR-05</t>
        </is>
      </c>
      <c r="E178" s="19" t="inlineStr">
        <is>
          <t>170</t>
        </is>
      </c>
      <c r="F178" s="19" t="inlineStr">
        <is>
          <t>2</t>
        </is>
      </c>
      <c r="K178" s="19" t="n"/>
      <c r="L178" s="19" t="inlineStr">
        <is>
          <t>2</t>
        </is>
      </c>
      <c r="M178" t="inlineStr">
        <is>
          <t>2026-08-08</t>
        </is>
      </c>
      <c r="O178" t="inlineStr">
        <is>
          <t>Engineering default transport for commercial mapping FK</t>
        </is>
      </c>
      <c r="P178" t="inlineStr">
        <is>
          <t>2026-08-10T19:29:54Z</t>
        </is>
      </c>
      <c r="Q178" t="inlineStr">
        <is>
          <t>2026-08-10T19:29:54Z</t>
        </is>
      </c>
    </row>
    <row r="179">
      <c r="A179" s="19" t="inlineStr">
        <is>
          <t>178</t>
        </is>
      </c>
      <c r="B179" s="19" t="inlineStr">
        <is>
          <t>ST-072-EUR-06</t>
        </is>
      </c>
      <c r="C179" t="n">
        <v>0</v>
      </c>
      <c r="D179" t="inlineStr">
        <is>
          <t>Default transport — ST-072-EUR-06</t>
        </is>
      </c>
      <c r="E179" s="19" t="inlineStr">
        <is>
          <t>171</t>
        </is>
      </c>
      <c r="F179" s="19" t="inlineStr">
        <is>
          <t>2</t>
        </is>
      </c>
      <c r="K179" s="19" t="n"/>
      <c r="L179" s="19" t="inlineStr">
        <is>
          <t>2</t>
        </is>
      </c>
      <c r="M179" t="inlineStr">
        <is>
          <t>2026-08-08</t>
        </is>
      </c>
      <c r="O179" t="inlineStr">
        <is>
          <t>Engineering default transport for commercial mapping FK</t>
        </is>
      </c>
      <c r="P179" t="inlineStr">
        <is>
          <t>2026-08-10T19:29:54Z</t>
        </is>
      </c>
      <c r="Q179" t="inlineStr">
        <is>
          <t>2026-08-10T19:29:54Z</t>
        </is>
      </c>
    </row>
    <row r="180">
      <c r="A180" s="19" t="inlineStr">
        <is>
          <t>179</t>
        </is>
      </c>
      <c r="B180" s="19" t="inlineStr">
        <is>
          <t>ST-072-STD-01</t>
        </is>
      </c>
      <c r="C180" t="n">
        <v>0</v>
      </c>
      <c r="D180" t="inlineStr">
        <is>
          <t>Default transport — ST-072-STD-01</t>
        </is>
      </c>
      <c r="E180" s="19" t="inlineStr">
        <is>
          <t>172</t>
        </is>
      </c>
      <c r="F180" s="19" t="inlineStr">
        <is>
          <t>2</t>
        </is>
      </c>
      <c r="K180" s="19" t="n"/>
      <c r="L180" s="19" t="inlineStr">
        <is>
          <t>2</t>
        </is>
      </c>
      <c r="M180" t="inlineStr">
        <is>
          <t>2026-08-08</t>
        </is>
      </c>
      <c r="O180" t="inlineStr">
        <is>
          <t>Engineering default transport for commercial mapping FK</t>
        </is>
      </c>
      <c r="P180" t="inlineStr">
        <is>
          <t>2026-08-10T19:29:54Z</t>
        </is>
      </c>
      <c r="Q180" t="inlineStr">
        <is>
          <t>2026-08-10T19:29:54Z</t>
        </is>
      </c>
    </row>
    <row r="181">
      <c r="A181" s="19" t="inlineStr">
        <is>
          <t>180</t>
        </is>
      </c>
      <c r="B181" s="19" t="inlineStr">
        <is>
          <t>ST-072-STD-02</t>
        </is>
      </c>
      <c r="C181" t="n">
        <v>0</v>
      </c>
      <c r="D181" t="inlineStr">
        <is>
          <t>Default transport — ST-072-STD-02</t>
        </is>
      </c>
      <c r="E181" s="19" t="inlineStr">
        <is>
          <t>173</t>
        </is>
      </c>
      <c r="F181" s="19" t="inlineStr">
        <is>
          <t>2</t>
        </is>
      </c>
      <c r="K181" s="19" t="n"/>
      <c r="L181" s="19" t="inlineStr">
        <is>
          <t>2</t>
        </is>
      </c>
      <c r="M181" t="inlineStr">
        <is>
          <t>2026-08-08</t>
        </is>
      </c>
      <c r="O181" t="inlineStr">
        <is>
          <t>Engineering default transport for commercial mapping FK</t>
        </is>
      </c>
      <c r="P181" t="inlineStr">
        <is>
          <t>2026-08-10T19:29:54Z</t>
        </is>
      </c>
      <c r="Q181" t="inlineStr">
        <is>
          <t>2026-08-10T19:29:54Z</t>
        </is>
      </c>
    </row>
    <row r="182">
      <c r="A182" s="19" t="inlineStr">
        <is>
          <t>181</t>
        </is>
      </c>
      <c r="B182" s="19" t="inlineStr">
        <is>
          <t>ST-072-STD-03</t>
        </is>
      </c>
      <c r="C182" t="n">
        <v>0</v>
      </c>
      <c r="D182" t="inlineStr">
        <is>
          <t>Default transport — ST-072-STD-03</t>
        </is>
      </c>
      <c r="E182" s="19" t="inlineStr">
        <is>
          <t>174</t>
        </is>
      </c>
      <c r="F182" s="19" t="inlineStr">
        <is>
          <t>2</t>
        </is>
      </c>
      <c r="K182" s="19" t="n"/>
      <c r="L182" s="19" t="inlineStr">
        <is>
          <t>2</t>
        </is>
      </c>
      <c r="M182" t="inlineStr">
        <is>
          <t>2026-08-08</t>
        </is>
      </c>
      <c r="O182" t="inlineStr">
        <is>
          <t>Engineering default transport for commercial mapping FK</t>
        </is>
      </c>
      <c r="P182" t="inlineStr">
        <is>
          <t>2026-08-10T19:29:54Z</t>
        </is>
      </c>
      <c r="Q182" t="inlineStr">
        <is>
          <t>2026-08-10T19:29:54Z</t>
        </is>
      </c>
    </row>
    <row r="183">
      <c r="A183" s="19" t="inlineStr">
        <is>
          <t>182</t>
        </is>
      </c>
      <c r="B183" s="19" t="inlineStr">
        <is>
          <t>ST-072-STD-04</t>
        </is>
      </c>
      <c r="C183" t="n">
        <v>0</v>
      </c>
      <c r="D183" t="inlineStr">
        <is>
          <t>Default transport — ST-072-STD-04</t>
        </is>
      </c>
      <c r="E183" s="19" t="inlineStr">
        <is>
          <t>175</t>
        </is>
      </c>
      <c r="F183" s="19" t="inlineStr">
        <is>
          <t>2</t>
        </is>
      </c>
      <c r="K183" s="19" t="n"/>
      <c r="L183" s="19" t="inlineStr">
        <is>
          <t>2</t>
        </is>
      </c>
      <c r="M183" t="inlineStr">
        <is>
          <t>2026-08-08</t>
        </is>
      </c>
      <c r="O183" t="inlineStr">
        <is>
          <t>Engineering default transport for commercial mapping FK</t>
        </is>
      </c>
      <c r="P183" t="inlineStr">
        <is>
          <t>2026-08-10T19:29:54Z</t>
        </is>
      </c>
      <c r="Q183" t="inlineStr">
        <is>
          <t>2026-08-10T19:29:54Z</t>
        </is>
      </c>
    </row>
    <row r="184">
      <c r="A184" s="19" t="inlineStr">
        <is>
          <t>183</t>
        </is>
      </c>
      <c r="B184" s="19" t="inlineStr">
        <is>
          <t>ST-072-STD-05</t>
        </is>
      </c>
      <c r="C184" t="n">
        <v>0</v>
      </c>
      <c r="D184" t="inlineStr">
        <is>
          <t>Default transport — ST-072-STD-05</t>
        </is>
      </c>
      <c r="E184" s="19" t="inlineStr">
        <is>
          <t>176</t>
        </is>
      </c>
      <c r="F184" s="19" t="inlineStr">
        <is>
          <t>2</t>
        </is>
      </c>
      <c r="K184" s="19" t="n"/>
      <c r="L184" s="19" t="inlineStr">
        <is>
          <t>2</t>
        </is>
      </c>
      <c r="M184" t="inlineStr">
        <is>
          <t>2026-08-08</t>
        </is>
      </c>
      <c r="O184" t="inlineStr">
        <is>
          <t>Engineering default transport for commercial mapping FK</t>
        </is>
      </c>
      <c r="P184" t="inlineStr">
        <is>
          <t>2026-08-10T19:29:54Z</t>
        </is>
      </c>
      <c r="Q184" t="inlineStr">
        <is>
          <t>2026-08-10T19:29:54Z</t>
        </is>
      </c>
    </row>
    <row r="185">
      <c r="A185" s="19" t="inlineStr">
        <is>
          <t>184</t>
        </is>
      </c>
      <c r="B185" s="19" t="inlineStr">
        <is>
          <t>ST-072-STD-06</t>
        </is>
      </c>
      <c r="C185" t="n">
        <v>0</v>
      </c>
      <c r="D185" t="inlineStr">
        <is>
          <t>Default transport — ST-072-STD-06</t>
        </is>
      </c>
      <c r="E185" s="19" t="inlineStr">
        <is>
          <t>177</t>
        </is>
      </c>
      <c r="F185" s="19" t="inlineStr">
        <is>
          <t>2</t>
        </is>
      </c>
      <c r="K185" s="19" t="n"/>
      <c r="L185" s="19" t="inlineStr">
        <is>
          <t>2</t>
        </is>
      </c>
      <c r="M185" t="inlineStr">
        <is>
          <t>2026-08-08</t>
        </is>
      </c>
      <c r="O185" t="inlineStr">
        <is>
          <t>Engineering default transport for commercial mapping FK</t>
        </is>
      </c>
      <c r="P185" t="inlineStr">
        <is>
          <t>2026-08-10T19:29:54Z</t>
        </is>
      </c>
      <c r="Q185" t="inlineStr">
        <is>
          <t>2026-08-10T19:29:54Z</t>
        </is>
      </c>
    </row>
    <row r="186">
      <c r="A186" s="19" t="inlineStr">
        <is>
          <t>185</t>
        </is>
      </c>
      <c r="B186" s="19" t="inlineStr">
        <is>
          <t>ST-072-STD-07</t>
        </is>
      </c>
      <c r="C186" t="n">
        <v>0</v>
      </c>
      <c r="D186" t="inlineStr">
        <is>
          <t>Default transport — ST-072-STD-07</t>
        </is>
      </c>
      <c r="E186" s="19" t="inlineStr">
        <is>
          <t>178</t>
        </is>
      </c>
      <c r="F186" s="19" t="inlineStr">
        <is>
          <t>2</t>
        </is>
      </c>
      <c r="K186" s="19" t="n"/>
      <c r="L186" s="19" t="inlineStr">
        <is>
          <t>2</t>
        </is>
      </c>
      <c r="M186" t="inlineStr">
        <is>
          <t>2026-08-08</t>
        </is>
      </c>
      <c r="O186" t="inlineStr">
        <is>
          <t>Engineering default transport for commercial mapping FK</t>
        </is>
      </c>
      <c r="P186" t="inlineStr">
        <is>
          <t>2026-08-10T19:29:54Z</t>
        </is>
      </c>
      <c r="Q186" t="inlineStr">
        <is>
          <t>2026-08-10T19:29:54Z</t>
        </is>
      </c>
    </row>
    <row r="187">
      <c r="A187" s="19" t="inlineStr">
        <is>
          <t>186</t>
        </is>
      </c>
      <c r="B187" s="19" t="inlineStr">
        <is>
          <t>ST-072-STD-08</t>
        </is>
      </c>
      <c r="C187" t="n">
        <v>0</v>
      </c>
      <c r="D187" t="inlineStr">
        <is>
          <t>Default transport — ST-072-STD-08</t>
        </is>
      </c>
      <c r="E187" s="19" t="inlineStr">
        <is>
          <t>179</t>
        </is>
      </c>
      <c r="F187" s="19" t="inlineStr">
        <is>
          <t>2</t>
        </is>
      </c>
      <c r="K187" s="19" t="n"/>
      <c r="L187" s="19" t="inlineStr">
        <is>
          <t>2</t>
        </is>
      </c>
      <c r="M187" t="inlineStr">
        <is>
          <t>2026-08-08</t>
        </is>
      </c>
      <c r="O187" t="inlineStr">
        <is>
          <t>Engineering default transport for commercial mapping FK</t>
        </is>
      </c>
      <c r="P187" t="inlineStr">
        <is>
          <t>2026-08-10T19:29:54Z</t>
        </is>
      </c>
      <c r="Q187" t="inlineStr">
        <is>
          <t>2026-08-10T19:29:54Z</t>
        </is>
      </c>
    </row>
    <row r="188">
      <c r="A188" s="19" t="inlineStr">
        <is>
          <t>187</t>
        </is>
      </c>
      <c r="B188" s="19" t="inlineStr">
        <is>
          <t>ST-072-STD-09</t>
        </is>
      </c>
      <c r="C188" t="n">
        <v>0</v>
      </c>
      <c r="D188" t="inlineStr">
        <is>
          <t>Default transport — ST-072-STD-09</t>
        </is>
      </c>
      <c r="E188" s="19" t="inlineStr">
        <is>
          <t>180</t>
        </is>
      </c>
      <c r="F188" s="19" t="inlineStr">
        <is>
          <t>2</t>
        </is>
      </c>
      <c r="K188" s="19" t="n"/>
      <c r="L188" s="19" t="inlineStr">
        <is>
          <t>2</t>
        </is>
      </c>
      <c r="M188" t="inlineStr">
        <is>
          <t>2026-08-08</t>
        </is>
      </c>
      <c r="O188" t="inlineStr">
        <is>
          <t>Engineering default transport for commercial mapping FK</t>
        </is>
      </c>
      <c r="P188" t="inlineStr">
        <is>
          <t>2026-08-10T19:29:54Z</t>
        </is>
      </c>
      <c r="Q188" t="inlineStr">
        <is>
          <t>2026-08-10T19:29:54Z</t>
        </is>
      </c>
    </row>
    <row r="189">
      <c r="A189" s="19" t="inlineStr">
        <is>
          <t>188</t>
        </is>
      </c>
      <c r="B189" s="19" t="inlineStr">
        <is>
          <t>ST-072-STD-10</t>
        </is>
      </c>
      <c r="C189" t="n">
        <v>0</v>
      </c>
      <c r="D189" t="inlineStr">
        <is>
          <t>Default transport — ST-072-STD-10</t>
        </is>
      </c>
      <c r="E189" s="19" t="inlineStr">
        <is>
          <t>181</t>
        </is>
      </c>
      <c r="F189" s="19" t="inlineStr">
        <is>
          <t>2</t>
        </is>
      </c>
      <c r="K189" s="19" t="n"/>
      <c r="L189" s="19" t="inlineStr">
        <is>
          <t>2</t>
        </is>
      </c>
      <c r="M189" t="inlineStr">
        <is>
          <t>2026-08-08</t>
        </is>
      </c>
      <c r="O189" t="inlineStr">
        <is>
          <t>Engineering default transport for commercial mapping FK</t>
        </is>
      </c>
      <c r="P189" t="inlineStr">
        <is>
          <t>2026-08-10T19:29:54Z</t>
        </is>
      </c>
      <c r="Q189" t="inlineStr">
        <is>
          <t>2026-08-10T19:29:54Z</t>
        </is>
      </c>
    </row>
    <row r="190">
      <c r="A190" s="19" t="inlineStr">
        <is>
          <t>189</t>
        </is>
      </c>
      <c r="B190" s="19" t="inlineStr">
        <is>
          <t>ST-072-STD-11</t>
        </is>
      </c>
      <c r="C190" t="n">
        <v>0</v>
      </c>
      <c r="D190" t="inlineStr">
        <is>
          <t>Default transport — ST-072-STD-11</t>
        </is>
      </c>
      <c r="E190" s="19" t="inlineStr">
        <is>
          <t>182</t>
        </is>
      </c>
      <c r="F190" s="19" t="inlineStr">
        <is>
          <t>2</t>
        </is>
      </c>
      <c r="K190" s="19" t="n"/>
      <c r="L190" s="19" t="inlineStr">
        <is>
          <t>2</t>
        </is>
      </c>
      <c r="M190" t="inlineStr">
        <is>
          <t>2026-08-08</t>
        </is>
      </c>
      <c r="O190" t="inlineStr">
        <is>
          <t>Engineering default transport for commercial mapping FK</t>
        </is>
      </c>
      <c r="P190" t="inlineStr">
        <is>
          <t>2026-08-10T19:29:54Z</t>
        </is>
      </c>
      <c r="Q190" t="inlineStr">
        <is>
          <t>2026-08-10T19:29:54Z</t>
        </is>
      </c>
    </row>
    <row r="191">
      <c r="A191" s="19" t="inlineStr">
        <is>
          <t>190</t>
        </is>
      </c>
      <c r="B191" s="19" t="inlineStr">
        <is>
          <t>ST-072-STD-12</t>
        </is>
      </c>
      <c r="C191" t="n">
        <v>0</v>
      </c>
      <c r="D191" t="inlineStr">
        <is>
          <t>Default transport — ST-072-STD-12</t>
        </is>
      </c>
      <c r="E191" s="19" t="inlineStr">
        <is>
          <t>183</t>
        </is>
      </c>
      <c r="F191" s="19" t="inlineStr">
        <is>
          <t>2</t>
        </is>
      </c>
      <c r="K191" s="19" t="n"/>
      <c r="L191" s="19" t="inlineStr">
        <is>
          <t>2</t>
        </is>
      </c>
      <c r="M191" t="inlineStr">
        <is>
          <t>2026-08-08</t>
        </is>
      </c>
      <c r="O191" t="inlineStr">
        <is>
          <t>Engineering default transport for commercial mapping FK</t>
        </is>
      </c>
      <c r="P191" t="inlineStr">
        <is>
          <t>2026-08-10T19:29:54Z</t>
        </is>
      </c>
      <c r="Q191" t="inlineStr">
        <is>
          <t>2026-08-10T19:29:54Z</t>
        </is>
      </c>
    </row>
    <row r="192">
      <c r="A192" s="19" t="inlineStr">
        <is>
          <t>191</t>
        </is>
      </c>
      <c r="B192" s="19" t="inlineStr">
        <is>
          <t>ST-072-STD-13</t>
        </is>
      </c>
      <c r="C192" t="n">
        <v>0</v>
      </c>
      <c r="D192" t="inlineStr">
        <is>
          <t>Default transport — ST-072-STD-13</t>
        </is>
      </c>
      <c r="E192" s="19" t="inlineStr">
        <is>
          <t>184</t>
        </is>
      </c>
      <c r="F192" s="19" t="inlineStr">
        <is>
          <t>2</t>
        </is>
      </c>
      <c r="K192" s="19" t="n"/>
      <c r="L192" s="19" t="inlineStr">
        <is>
          <t>2</t>
        </is>
      </c>
      <c r="M192" t="inlineStr">
        <is>
          <t>2026-08-08</t>
        </is>
      </c>
      <c r="O192" t="inlineStr">
        <is>
          <t>Engineering default transport for commercial mapping FK</t>
        </is>
      </c>
      <c r="P192" t="inlineStr">
        <is>
          <t>2026-08-10T19:29:54Z</t>
        </is>
      </c>
      <c r="Q192" t="inlineStr">
        <is>
          <t>2026-08-10T19:29:54Z</t>
        </is>
      </c>
    </row>
    <row r="193">
      <c r="A193" s="19" t="inlineStr">
        <is>
          <t>192</t>
        </is>
      </c>
      <c r="B193" s="19" t="inlineStr">
        <is>
          <t>ST-072-STD-14</t>
        </is>
      </c>
      <c r="C193" t="n">
        <v>0</v>
      </c>
      <c r="D193" t="inlineStr">
        <is>
          <t>Default transport — ST-072-STD-14</t>
        </is>
      </c>
      <c r="E193" s="19" t="inlineStr">
        <is>
          <t>185</t>
        </is>
      </c>
      <c r="F193" s="19" t="inlineStr">
        <is>
          <t>2</t>
        </is>
      </c>
      <c r="K193" s="19" t="n"/>
      <c r="L193" s="19" t="inlineStr">
        <is>
          <t>2</t>
        </is>
      </c>
      <c r="M193" t="inlineStr">
        <is>
          <t>2026-08-08</t>
        </is>
      </c>
      <c r="O193" t="inlineStr">
        <is>
          <t>Engineering default transport for commercial mapping FK</t>
        </is>
      </c>
      <c r="P193" t="inlineStr">
        <is>
          <t>2026-08-10T19:29:54Z</t>
        </is>
      </c>
      <c r="Q193" t="inlineStr">
        <is>
          <t>2026-08-10T19:29:54Z</t>
        </is>
      </c>
    </row>
    <row r="194">
      <c r="A194" s="19" t="inlineStr">
        <is>
          <t>193</t>
        </is>
      </c>
      <c r="B194" s="19" t="inlineStr">
        <is>
          <t>ST-072-STD-15</t>
        </is>
      </c>
      <c r="C194" t="n">
        <v>0</v>
      </c>
      <c r="D194" t="inlineStr">
        <is>
          <t>Default transport — ST-072-STD-15</t>
        </is>
      </c>
      <c r="E194" s="19" t="inlineStr">
        <is>
          <t>186</t>
        </is>
      </c>
      <c r="F194" s="19" t="inlineStr">
        <is>
          <t>2</t>
        </is>
      </c>
      <c r="K194" s="19" t="n"/>
      <c r="L194" s="19" t="inlineStr">
        <is>
          <t>2</t>
        </is>
      </c>
      <c r="M194" t="inlineStr">
        <is>
          <t>2026-08-08</t>
        </is>
      </c>
      <c r="O194" t="inlineStr">
        <is>
          <t>Engineering default transport for commercial mapping FK</t>
        </is>
      </c>
      <c r="P194" t="inlineStr">
        <is>
          <t>2026-08-10T19:29:54Z</t>
        </is>
      </c>
      <c r="Q194" t="inlineStr">
        <is>
          <t>2026-08-10T19:29:54Z</t>
        </is>
      </c>
    </row>
    <row r="195">
      <c r="A195" s="19" t="inlineStr">
        <is>
          <t>194</t>
        </is>
      </c>
      <c r="B195" s="19" t="inlineStr">
        <is>
          <t>ST-072-STD-16</t>
        </is>
      </c>
      <c r="C195" t="n">
        <v>0</v>
      </c>
      <c r="D195" t="inlineStr">
        <is>
          <t>Default transport — ST-072-STD-16</t>
        </is>
      </c>
      <c r="E195" s="19" t="inlineStr">
        <is>
          <t>187</t>
        </is>
      </c>
      <c r="F195" s="19" t="inlineStr">
        <is>
          <t>2</t>
        </is>
      </c>
      <c r="K195" s="19" t="n"/>
      <c r="L195" s="19" t="inlineStr">
        <is>
          <t>2</t>
        </is>
      </c>
      <c r="M195" t="inlineStr">
        <is>
          <t>2026-08-08</t>
        </is>
      </c>
      <c r="O195" t="inlineStr">
        <is>
          <t>Engineering default transport for commercial mapping FK</t>
        </is>
      </c>
      <c r="P195" t="inlineStr">
        <is>
          <t>2026-08-10T19:29:54Z</t>
        </is>
      </c>
      <c r="Q195" t="inlineStr">
        <is>
          <t>2026-08-10T19:29:54Z</t>
        </is>
      </c>
    </row>
    <row r="196">
      <c r="A196" s="19" t="inlineStr">
        <is>
          <t>195</t>
        </is>
      </c>
      <c r="B196" s="19" t="inlineStr">
        <is>
          <t>ST-072-STD-17</t>
        </is>
      </c>
      <c r="C196" t="n">
        <v>0</v>
      </c>
      <c r="D196" t="inlineStr">
        <is>
          <t>Default transport — ST-072-STD-17</t>
        </is>
      </c>
      <c r="E196" s="19" t="inlineStr">
        <is>
          <t>188</t>
        </is>
      </c>
      <c r="F196" s="19" t="inlineStr">
        <is>
          <t>2</t>
        </is>
      </c>
      <c r="K196" s="19" t="n"/>
      <c r="L196" s="19" t="inlineStr">
        <is>
          <t>2</t>
        </is>
      </c>
      <c r="M196" t="inlineStr">
        <is>
          <t>2026-08-08</t>
        </is>
      </c>
      <c r="O196" t="inlineStr">
        <is>
          <t>Engineering default transport for commercial mapping FK</t>
        </is>
      </c>
      <c r="P196" t="inlineStr">
        <is>
          <t>2026-08-10T19:29:54Z</t>
        </is>
      </c>
      <c r="Q196" t="inlineStr">
        <is>
          <t>2026-08-10T19:29:54Z</t>
        </is>
      </c>
    </row>
    <row r="197">
      <c r="A197" s="19" t="inlineStr">
        <is>
          <t>196</t>
        </is>
      </c>
      <c r="B197" s="19" t="inlineStr">
        <is>
          <t>ST-072-STD-18</t>
        </is>
      </c>
      <c r="C197" t="n">
        <v>0</v>
      </c>
      <c r="D197" t="inlineStr">
        <is>
          <t>Default transport — ST-072-STD-18</t>
        </is>
      </c>
      <c r="E197" s="19" t="inlineStr">
        <is>
          <t>189</t>
        </is>
      </c>
      <c r="F197" s="19" t="inlineStr">
        <is>
          <t>2</t>
        </is>
      </c>
      <c r="K197" s="19" t="n"/>
      <c r="L197" s="19" t="inlineStr">
        <is>
          <t>2</t>
        </is>
      </c>
      <c r="M197" t="inlineStr">
        <is>
          <t>2026-08-08</t>
        </is>
      </c>
      <c r="O197" t="inlineStr">
        <is>
          <t>Engineering default transport for commercial mapping FK</t>
        </is>
      </c>
      <c r="P197" t="inlineStr">
        <is>
          <t>2026-08-10T19:29:54Z</t>
        </is>
      </c>
      <c r="Q197" t="inlineStr">
        <is>
          <t>2026-08-10T19:29:54Z</t>
        </is>
      </c>
    </row>
    <row r="198">
      <c r="A198" s="19" t="inlineStr">
        <is>
          <t>197</t>
        </is>
      </c>
      <c r="B198" s="19" t="inlineStr">
        <is>
          <t>ST-072-STD-19</t>
        </is>
      </c>
      <c r="C198" t="n">
        <v>0</v>
      </c>
      <c r="D198" t="inlineStr">
        <is>
          <t>Default transport — ST-072-STD-19</t>
        </is>
      </c>
      <c r="E198" s="19" t="inlineStr">
        <is>
          <t>190</t>
        </is>
      </c>
      <c r="F198" s="19" t="inlineStr">
        <is>
          <t>2</t>
        </is>
      </c>
      <c r="K198" s="19" t="n"/>
      <c r="L198" s="19" t="inlineStr">
        <is>
          <t>2</t>
        </is>
      </c>
      <c r="M198" t="inlineStr">
        <is>
          <t>2026-08-08</t>
        </is>
      </c>
      <c r="O198" t="inlineStr">
        <is>
          <t>Engineering default transport for commercial mapping FK</t>
        </is>
      </c>
      <c r="P198" t="inlineStr">
        <is>
          <t>2026-08-10T19:29:54Z</t>
        </is>
      </c>
      <c r="Q198" t="inlineStr">
        <is>
          <t>2026-08-10T19:29:54Z</t>
        </is>
      </c>
    </row>
    <row r="199">
      <c r="A199" s="19" t="inlineStr">
        <is>
          <t>198</t>
        </is>
      </c>
      <c r="B199" s="19" t="inlineStr">
        <is>
          <t>ST-072-STD-20</t>
        </is>
      </c>
      <c r="C199" t="n">
        <v>0</v>
      </c>
      <c r="D199" t="inlineStr">
        <is>
          <t>Default transport — ST-072-STD-20</t>
        </is>
      </c>
      <c r="E199" s="19" t="inlineStr">
        <is>
          <t>191</t>
        </is>
      </c>
      <c r="F199" s="19" t="inlineStr">
        <is>
          <t>2</t>
        </is>
      </c>
      <c r="K199" s="19" t="n"/>
      <c r="L199" s="19" t="inlineStr">
        <is>
          <t>2</t>
        </is>
      </c>
      <c r="M199" t="inlineStr">
        <is>
          <t>2026-08-08</t>
        </is>
      </c>
      <c r="O199" t="inlineStr">
        <is>
          <t>Engineering default transport for commercial mapping FK</t>
        </is>
      </c>
      <c r="P199" t="inlineStr">
        <is>
          <t>2026-08-10T19:29:54Z</t>
        </is>
      </c>
      <c r="Q199" t="inlineStr">
        <is>
          <t>2026-08-10T19:29:54Z</t>
        </is>
      </c>
    </row>
    <row r="200">
      <c r="A200" s="19" t="inlineStr">
        <is>
          <t>199</t>
        </is>
      </c>
      <c r="B200" s="19" t="inlineStr">
        <is>
          <t>ST-072-STD-21</t>
        </is>
      </c>
      <c r="C200" t="n">
        <v>0</v>
      </c>
      <c r="D200" t="inlineStr">
        <is>
          <t>Default transport — ST-072-STD-21</t>
        </is>
      </c>
      <c r="E200" s="19" t="inlineStr">
        <is>
          <t>192</t>
        </is>
      </c>
      <c r="F200" s="19" t="inlineStr">
        <is>
          <t>2</t>
        </is>
      </c>
      <c r="K200" s="19" t="n"/>
      <c r="L200" s="19" t="inlineStr">
        <is>
          <t>2</t>
        </is>
      </c>
      <c r="M200" t="inlineStr">
        <is>
          <t>2026-08-08</t>
        </is>
      </c>
      <c r="O200" t="inlineStr">
        <is>
          <t>Engineering default transport for commercial mapping FK</t>
        </is>
      </c>
      <c r="P200" t="inlineStr">
        <is>
          <t>2026-08-10T19:29:54Z</t>
        </is>
      </c>
      <c r="Q200" t="inlineStr">
        <is>
          <t>2026-08-10T19:29:54Z</t>
        </is>
      </c>
    </row>
    <row r="201">
      <c r="A201" s="19" t="inlineStr">
        <is>
          <t>200</t>
        </is>
      </c>
      <c r="B201" s="19" t="inlineStr">
        <is>
          <t>ST-072-STD-22</t>
        </is>
      </c>
      <c r="C201" t="n">
        <v>0</v>
      </c>
      <c r="D201" t="inlineStr">
        <is>
          <t>Default transport — ST-072-STD-22</t>
        </is>
      </c>
      <c r="E201" s="19" t="inlineStr">
        <is>
          <t>193</t>
        </is>
      </c>
      <c r="F201" s="19" t="inlineStr">
        <is>
          <t>2</t>
        </is>
      </c>
      <c r="K201" s="19" t="n"/>
      <c r="L201" s="19" t="inlineStr">
        <is>
          <t>2</t>
        </is>
      </c>
      <c r="M201" t="inlineStr">
        <is>
          <t>2026-08-08</t>
        </is>
      </c>
      <c r="O201" t="inlineStr">
        <is>
          <t>Engineering default transport for commercial mapping FK</t>
        </is>
      </c>
      <c r="P201" t="inlineStr">
        <is>
          <t>2026-08-10T19:29:54Z</t>
        </is>
      </c>
      <c r="Q201" t="inlineStr">
        <is>
          <t>2026-08-10T19:29:54Z</t>
        </is>
      </c>
    </row>
    <row r="202">
      <c r="A202" s="19" t="inlineStr">
        <is>
          <t>201</t>
        </is>
      </c>
      <c r="B202" s="19" t="inlineStr">
        <is>
          <t>ST-072-STD-23</t>
        </is>
      </c>
      <c r="C202" t="n">
        <v>0</v>
      </c>
      <c r="D202" t="inlineStr">
        <is>
          <t>Default transport — ST-072-STD-23</t>
        </is>
      </c>
      <c r="E202" s="19" t="inlineStr">
        <is>
          <t>194</t>
        </is>
      </c>
      <c r="F202" s="19" t="inlineStr">
        <is>
          <t>2</t>
        </is>
      </c>
      <c r="K202" s="19" t="n"/>
      <c r="L202" s="19" t="inlineStr">
        <is>
          <t>2</t>
        </is>
      </c>
      <c r="M202" t="inlineStr">
        <is>
          <t>2026-08-08</t>
        </is>
      </c>
      <c r="O202" t="inlineStr">
        <is>
          <t>Engineering default transport for commercial mapping FK</t>
        </is>
      </c>
      <c r="P202" t="inlineStr">
        <is>
          <t>2026-08-10T19:29:54Z</t>
        </is>
      </c>
      <c r="Q202" t="inlineStr">
        <is>
          <t>2026-08-10T19:29:54Z</t>
        </is>
      </c>
    </row>
    <row r="203">
      <c r="A203" s="19" t="inlineStr">
        <is>
          <t>202</t>
        </is>
      </c>
      <c r="B203" s="19" t="inlineStr">
        <is>
          <t>ST-072-STD-24</t>
        </is>
      </c>
      <c r="C203" t="n">
        <v>0</v>
      </c>
      <c r="D203" t="inlineStr">
        <is>
          <t>Default transport — ST-072-STD-24</t>
        </is>
      </c>
      <c r="E203" s="19" t="inlineStr">
        <is>
          <t>195</t>
        </is>
      </c>
      <c r="F203" s="19" t="inlineStr">
        <is>
          <t>2</t>
        </is>
      </c>
      <c r="K203" s="19" t="n"/>
      <c r="L203" s="19" t="inlineStr">
        <is>
          <t>2</t>
        </is>
      </c>
      <c r="M203" t="inlineStr">
        <is>
          <t>2026-08-08</t>
        </is>
      </c>
      <c r="O203" t="inlineStr">
        <is>
          <t>Engineering default transport for commercial mapping FK</t>
        </is>
      </c>
      <c r="P203" t="inlineStr">
        <is>
          <t>2026-08-10T19:29:54Z</t>
        </is>
      </c>
      <c r="Q203" t="inlineStr">
        <is>
          <t>2026-08-10T19:29:54Z</t>
        </is>
      </c>
    </row>
    <row r="204">
      <c r="A204" s="19" t="inlineStr">
        <is>
          <t>203</t>
        </is>
      </c>
      <c r="B204" s="19" t="inlineStr">
        <is>
          <t>ST-072-STD-25</t>
        </is>
      </c>
      <c r="C204" t="n">
        <v>0</v>
      </c>
      <c r="D204" t="inlineStr">
        <is>
          <t>Default transport — ST-072-STD-25</t>
        </is>
      </c>
      <c r="E204" s="19" t="inlineStr">
        <is>
          <t>196</t>
        </is>
      </c>
      <c r="F204" s="19" t="inlineStr">
        <is>
          <t>2</t>
        </is>
      </c>
      <c r="K204" s="19" t="n"/>
      <c r="L204" s="19" t="inlineStr">
        <is>
          <t>2</t>
        </is>
      </c>
      <c r="M204" t="inlineStr">
        <is>
          <t>2026-08-08</t>
        </is>
      </c>
      <c r="O204" t="inlineStr">
        <is>
          <t>Engineering default transport for commercial mapping FK</t>
        </is>
      </c>
      <c r="P204" t="inlineStr">
        <is>
          <t>2026-08-10T19:29:54Z</t>
        </is>
      </c>
      <c r="Q204" t="inlineStr">
        <is>
          <t>2026-08-10T19:29:54Z</t>
        </is>
      </c>
    </row>
    <row r="205">
      <c r="A205" s="19" t="inlineStr">
        <is>
          <t>204</t>
        </is>
      </c>
      <c r="B205" s="19" t="inlineStr">
        <is>
          <t>ST-076-EUR-01</t>
        </is>
      </c>
      <c r="C205" t="n">
        <v>0</v>
      </c>
      <c r="D205" t="inlineStr">
        <is>
          <t>Default transport — ST-076-EUR-01</t>
        </is>
      </c>
      <c r="E205" s="19" t="inlineStr">
        <is>
          <t>197</t>
        </is>
      </c>
      <c r="F205" s="19" t="inlineStr">
        <is>
          <t>2</t>
        </is>
      </c>
      <c r="K205" s="19" t="n"/>
      <c r="L205" s="19" t="inlineStr">
        <is>
          <t>2</t>
        </is>
      </c>
      <c r="M205" t="inlineStr">
        <is>
          <t>2026-08-08</t>
        </is>
      </c>
      <c r="O205" t="inlineStr">
        <is>
          <t>Engineering default transport for commercial mapping FK</t>
        </is>
      </c>
      <c r="P205" t="inlineStr">
        <is>
          <t>2026-08-10T19:29:54Z</t>
        </is>
      </c>
      <c r="Q205" t="inlineStr">
        <is>
          <t>2026-08-10T19:29:54Z</t>
        </is>
      </c>
    </row>
    <row r="206">
      <c r="A206" s="19" t="inlineStr">
        <is>
          <t>205</t>
        </is>
      </c>
      <c r="B206" s="19" t="inlineStr">
        <is>
          <t>ST-076-EUR-02</t>
        </is>
      </c>
      <c r="C206" t="n">
        <v>0</v>
      </c>
      <c r="D206" t="inlineStr">
        <is>
          <t>Default transport — ST-076-EUR-02</t>
        </is>
      </c>
      <c r="E206" s="19" t="inlineStr">
        <is>
          <t>198</t>
        </is>
      </c>
      <c r="F206" s="19" t="inlineStr">
        <is>
          <t>2</t>
        </is>
      </c>
      <c r="K206" s="19" t="n"/>
      <c r="L206" s="19" t="inlineStr">
        <is>
          <t>2</t>
        </is>
      </c>
      <c r="M206" t="inlineStr">
        <is>
          <t>2026-08-08</t>
        </is>
      </c>
      <c r="O206" t="inlineStr">
        <is>
          <t>Engineering default transport for commercial mapping FK</t>
        </is>
      </c>
      <c r="P206" t="inlineStr">
        <is>
          <t>2026-08-10T19:29:54Z</t>
        </is>
      </c>
      <c r="Q206" t="inlineStr">
        <is>
          <t>2026-08-10T19:29:54Z</t>
        </is>
      </c>
    </row>
    <row r="207">
      <c r="A207" s="19" t="inlineStr">
        <is>
          <t>206</t>
        </is>
      </c>
      <c r="B207" s="19" t="inlineStr">
        <is>
          <t>ST-076-EUR-03</t>
        </is>
      </c>
      <c r="C207" t="n">
        <v>0</v>
      </c>
      <c r="D207" t="inlineStr">
        <is>
          <t>Default transport — ST-076-EUR-03</t>
        </is>
      </c>
      <c r="E207" s="19" t="inlineStr">
        <is>
          <t>199</t>
        </is>
      </c>
      <c r="F207" s="19" t="inlineStr">
        <is>
          <t>2</t>
        </is>
      </c>
      <c r="K207" s="19" t="n"/>
      <c r="L207" s="19" t="inlineStr">
        <is>
          <t>2</t>
        </is>
      </c>
      <c r="M207" t="inlineStr">
        <is>
          <t>2026-08-08</t>
        </is>
      </c>
      <c r="O207" t="inlineStr">
        <is>
          <t>Engineering default transport for commercial mapping FK</t>
        </is>
      </c>
      <c r="P207" t="inlineStr">
        <is>
          <t>2026-08-10T19:29:54Z</t>
        </is>
      </c>
      <c r="Q207" t="inlineStr">
        <is>
          <t>2026-08-10T19:29:54Z</t>
        </is>
      </c>
    </row>
    <row r="208">
      <c r="A208" s="19" t="inlineStr">
        <is>
          <t>207</t>
        </is>
      </c>
      <c r="B208" s="19" t="inlineStr">
        <is>
          <t>ST-076-EUR-04</t>
        </is>
      </c>
      <c r="C208" t="n">
        <v>0</v>
      </c>
      <c r="D208" t="inlineStr">
        <is>
          <t>Default transport — ST-076-EUR-04</t>
        </is>
      </c>
      <c r="E208" s="19" t="inlineStr">
        <is>
          <t>200</t>
        </is>
      </c>
      <c r="F208" s="19" t="inlineStr">
        <is>
          <t>2</t>
        </is>
      </c>
      <c r="K208" s="19" t="n"/>
      <c r="L208" s="19" t="inlineStr">
        <is>
          <t>2</t>
        </is>
      </c>
      <c r="M208" t="inlineStr">
        <is>
          <t>2026-08-08</t>
        </is>
      </c>
      <c r="O208" t="inlineStr">
        <is>
          <t>Engineering default transport for commercial mapping FK</t>
        </is>
      </c>
      <c r="P208" t="inlineStr">
        <is>
          <t>2026-08-10T19:29:54Z</t>
        </is>
      </c>
      <c r="Q208" t="inlineStr">
        <is>
          <t>2026-08-10T19:29:54Z</t>
        </is>
      </c>
    </row>
    <row r="209">
      <c r="A209" s="19" t="inlineStr">
        <is>
          <t>208</t>
        </is>
      </c>
      <c r="B209" s="19" t="inlineStr">
        <is>
          <t>ST-080-EUR-01</t>
        </is>
      </c>
      <c r="C209" t="n">
        <v>0</v>
      </c>
      <c r="D209" t="inlineStr">
        <is>
          <t>Default transport — ST-080-EUR-01</t>
        </is>
      </c>
      <c r="E209" s="19" t="inlineStr">
        <is>
          <t>201</t>
        </is>
      </c>
      <c r="F209" s="19" t="inlineStr">
        <is>
          <t>2</t>
        </is>
      </c>
      <c r="K209" s="19" t="n"/>
      <c r="L209" s="19" t="inlineStr">
        <is>
          <t>2</t>
        </is>
      </c>
      <c r="M209" t="inlineStr">
        <is>
          <t>2026-08-08</t>
        </is>
      </c>
      <c r="O209" t="inlineStr">
        <is>
          <t>Engineering default transport for commercial mapping FK</t>
        </is>
      </c>
      <c r="P209" t="inlineStr">
        <is>
          <t>2026-08-10T19:29:54Z</t>
        </is>
      </c>
      <c r="Q209" t="inlineStr">
        <is>
          <t>2026-08-10T19:29:54Z</t>
        </is>
      </c>
    </row>
    <row r="210">
      <c r="A210" s="19" t="inlineStr">
        <is>
          <t>209</t>
        </is>
      </c>
      <c r="B210" s="19" t="inlineStr">
        <is>
          <t>ST-081-EUR-01</t>
        </is>
      </c>
      <c r="C210" t="n">
        <v>0</v>
      </c>
      <c r="D210" t="inlineStr">
        <is>
          <t>Default transport — ST-081-EUR-01</t>
        </is>
      </c>
      <c r="E210" s="19" t="inlineStr">
        <is>
          <t>202</t>
        </is>
      </c>
      <c r="F210" s="19" t="inlineStr">
        <is>
          <t>2</t>
        </is>
      </c>
      <c r="K210" s="19" t="n"/>
      <c r="L210" s="19" t="inlineStr">
        <is>
          <t>2</t>
        </is>
      </c>
      <c r="M210" t="inlineStr">
        <is>
          <t>2026-08-08</t>
        </is>
      </c>
      <c r="O210" t="inlineStr">
        <is>
          <t>Engineering default transport for commercial mapping FK</t>
        </is>
      </c>
      <c r="P210" t="inlineStr">
        <is>
          <t>2026-08-10T19:29:54Z</t>
        </is>
      </c>
      <c r="Q210" t="inlineStr">
        <is>
          <t>2026-08-10T19:29:54Z</t>
        </is>
      </c>
    </row>
    <row r="211">
      <c r="A211" s="19" t="inlineStr">
        <is>
          <t>210</t>
        </is>
      </c>
      <c r="B211" s="19" t="inlineStr">
        <is>
          <t>ST-087-EUR-01</t>
        </is>
      </c>
      <c r="C211" t="n">
        <v>0</v>
      </c>
      <c r="D211" t="inlineStr">
        <is>
          <t>Default transport — ST-087-EUR-01</t>
        </is>
      </c>
      <c r="E211" s="19" t="inlineStr">
        <is>
          <t>203</t>
        </is>
      </c>
      <c r="F211" s="19" t="inlineStr">
        <is>
          <t>2</t>
        </is>
      </c>
      <c r="K211" s="19" t="n"/>
      <c r="L211" s="19" t="inlineStr">
        <is>
          <t>2</t>
        </is>
      </c>
      <c r="M211" t="inlineStr">
        <is>
          <t>2026-08-08</t>
        </is>
      </c>
      <c r="O211" t="inlineStr">
        <is>
          <t>Engineering default transport for commercial mapping FK</t>
        </is>
      </c>
      <c r="P211" t="inlineStr">
        <is>
          <t>2026-08-10T19:29:54Z</t>
        </is>
      </c>
      <c r="Q211" t="inlineStr">
        <is>
          <t>2026-08-10T19:29:54Z</t>
        </is>
      </c>
    </row>
    <row r="212">
      <c r="A212" s="19" t="inlineStr">
        <is>
          <t>211</t>
        </is>
      </c>
      <c r="B212" s="19" t="inlineStr">
        <is>
          <t>ST-087-STD-01</t>
        </is>
      </c>
      <c r="C212" t="n">
        <v>0</v>
      </c>
      <c r="D212" t="inlineStr">
        <is>
          <t>Default transport — ST-087-STD-01</t>
        </is>
      </c>
      <c r="E212" s="19" t="inlineStr">
        <is>
          <t>204</t>
        </is>
      </c>
      <c r="F212" s="19" t="inlineStr">
        <is>
          <t>2</t>
        </is>
      </c>
      <c r="K212" s="19" t="n"/>
      <c r="L212" s="19" t="inlineStr">
        <is>
          <t>2</t>
        </is>
      </c>
      <c r="M212" t="inlineStr">
        <is>
          <t>2026-08-08</t>
        </is>
      </c>
      <c r="O212" t="inlineStr">
        <is>
          <t>Engineering default transport for commercial mapping FK</t>
        </is>
      </c>
      <c r="P212" t="inlineStr">
        <is>
          <t>2026-08-10T19:29:54Z</t>
        </is>
      </c>
      <c r="Q212" t="inlineStr">
        <is>
          <t>2026-08-10T19:29:54Z</t>
        </is>
      </c>
    </row>
    <row r="213">
      <c r="A213" s="19" t="inlineStr">
        <is>
          <t>212</t>
        </is>
      </c>
      <c r="B213" s="19" t="inlineStr">
        <is>
          <t>ST-087-STD-02</t>
        </is>
      </c>
      <c r="C213" t="n">
        <v>0</v>
      </c>
      <c r="D213" t="inlineStr">
        <is>
          <t>Default transport — ST-087-STD-02</t>
        </is>
      </c>
      <c r="E213" s="19" t="inlineStr">
        <is>
          <t>205</t>
        </is>
      </c>
      <c r="F213" s="19" t="inlineStr">
        <is>
          <t>2</t>
        </is>
      </c>
      <c r="K213" s="19" t="n"/>
      <c r="L213" s="19" t="inlineStr">
        <is>
          <t>2</t>
        </is>
      </c>
      <c r="M213" t="inlineStr">
        <is>
          <t>2026-08-08</t>
        </is>
      </c>
      <c r="O213" t="inlineStr">
        <is>
          <t>Engineering default transport for commercial mapping FK</t>
        </is>
      </c>
      <c r="P213" t="inlineStr">
        <is>
          <t>2026-08-10T19:29:54Z</t>
        </is>
      </c>
      <c r="Q213" t="inlineStr">
        <is>
          <t>2026-08-10T19:29:54Z</t>
        </is>
      </c>
    </row>
    <row r="214">
      <c r="A214" s="19" t="inlineStr">
        <is>
          <t>213</t>
        </is>
      </c>
      <c r="B214" s="19" t="inlineStr">
        <is>
          <t>ST-087-STD-03</t>
        </is>
      </c>
      <c r="C214" t="n">
        <v>0</v>
      </c>
      <c r="D214" t="inlineStr">
        <is>
          <t>Default transport — ST-087-STD-03</t>
        </is>
      </c>
      <c r="E214" s="19" t="inlineStr">
        <is>
          <t>206</t>
        </is>
      </c>
      <c r="F214" s="19" t="inlineStr">
        <is>
          <t>2</t>
        </is>
      </c>
      <c r="K214" s="19" t="n"/>
      <c r="L214" s="19" t="inlineStr">
        <is>
          <t>2</t>
        </is>
      </c>
      <c r="M214" t="inlineStr">
        <is>
          <t>2026-08-08</t>
        </is>
      </c>
      <c r="O214" t="inlineStr">
        <is>
          <t>Engineering default transport for commercial mapping FK</t>
        </is>
      </c>
      <c r="P214" t="inlineStr">
        <is>
          <t>2026-08-10T19:29:54Z</t>
        </is>
      </c>
      <c r="Q214" t="inlineStr">
        <is>
          <t>2026-08-10T19:29:54Z</t>
        </is>
      </c>
    </row>
    <row r="215">
      <c r="A215" s="19" t="inlineStr">
        <is>
          <t>214</t>
        </is>
      </c>
      <c r="B215" s="19" t="inlineStr">
        <is>
          <t>ST-087-STD-04</t>
        </is>
      </c>
      <c r="C215" t="n">
        <v>0</v>
      </c>
      <c r="D215" t="inlineStr">
        <is>
          <t>Default transport — ST-087-STD-04</t>
        </is>
      </c>
      <c r="E215" s="19" t="inlineStr">
        <is>
          <t>207</t>
        </is>
      </c>
      <c r="F215" s="19" t="inlineStr">
        <is>
          <t>2</t>
        </is>
      </c>
      <c r="K215" s="19" t="n"/>
      <c r="L215" s="19" t="inlineStr">
        <is>
          <t>2</t>
        </is>
      </c>
      <c r="M215" t="inlineStr">
        <is>
          <t>2026-08-08</t>
        </is>
      </c>
      <c r="O215" t="inlineStr">
        <is>
          <t>Engineering default transport for commercial mapping FK</t>
        </is>
      </c>
      <c r="P215" t="inlineStr">
        <is>
          <t>2026-08-10T19:29:54Z</t>
        </is>
      </c>
      <c r="Q215" t="inlineStr">
        <is>
          <t>2026-08-10T19:29:54Z</t>
        </is>
      </c>
    </row>
    <row r="216">
      <c r="A216" s="19" t="inlineStr">
        <is>
          <t>215</t>
        </is>
      </c>
      <c r="B216" s="19" t="inlineStr">
        <is>
          <t>ST-087-STD-05</t>
        </is>
      </c>
      <c r="C216" t="n">
        <v>0</v>
      </c>
      <c r="D216" t="inlineStr">
        <is>
          <t>Default transport — ST-087-STD-05</t>
        </is>
      </c>
      <c r="E216" s="19" t="inlineStr">
        <is>
          <t>208</t>
        </is>
      </c>
      <c r="F216" s="19" t="inlineStr">
        <is>
          <t>2</t>
        </is>
      </c>
      <c r="K216" s="19" t="n"/>
      <c r="L216" s="19" t="inlineStr">
        <is>
          <t>2</t>
        </is>
      </c>
      <c r="M216" t="inlineStr">
        <is>
          <t>2026-08-08</t>
        </is>
      </c>
      <c r="O216" t="inlineStr">
        <is>
          <t>Engineering default transport for commercial mapping FK</t>
        </is>
      </c>
      <c r="P216" t="inlineStr">
        <is>
          <t>2026-08-10T19:29:54Z</t>
        </is>
      </c>
      <c r="Q216" t="inlineStr">
        <is>
          <t>2026-08-10T19:29:54Z</t>
        </is>
      </c>
    </row>
    <row r="217">
      <c r="A217" s="19" t="inlineStr">
        <is>
          <t>216</t>
        </is>
      </c>
      <c r="B217" s="19" t="inlineStr">
        <is>
          <t>ST-087-STD-06</t>
        </is>
      </c>
      <c r="C217" t="n">
        <v>0</v>
      </c>
      <c r="D217" t="inlineStr">
        <is>
          <t>Default transport — ST-087-STD-06</t>
        </is>
      </c>
      <c r="E217" s="19" t="inlineStr">
        <is>
          <t>209</t>
        </is>
      </c>
      <c r="F217" s="19" t="inlineStr">
        <is>
          <t>2</t>
        </is>
      </c>
      <c r="K217" s="19" t="n"/>
      <c r="L217" s="19" t="inlineStr">
        <is>
          <t>2</t>
        </is>
      </c>
      <c r="M217" t="inlineStr">
        <is>
          <t>2026-08-08</t>
        </is>
      </c>
      <c r="O217" t="inlineStr">
        <is>
          <t>Engineering default transport for commercial mapping FK</t>
        </is>
      </c>
      <c r="P217" t="inlineStr">
        <is>
          <t>2026-08-10T19:29:54Z</t>
        </is>
      </c>
      <c r="Q217" t="inlineStr">
        <is>
          <t>2026-08-10T19:29:54Z</t>
        </is>
      </c>
    </row>
    <row r="218">
      <c r="A218" s="19" t="inlineStr">
        <is>
          <t>217</t>
        </is>
      </c>
      <c r="B218" s="19" t="inlineStr">
        <is>
          <t>ST-087-STD-07</t>
        </is>
      </c>
      <c r="C218" t="n">
        <v>0</v>
      </c>
      <c r="D218" t="inlineStr">
        <is>
          <t>Default transport — ST-087-STD-07</t>
        </is>
      </c>
      <c r="E218" s="19" t="inlineStr">
        <is>
          <t>210</t>
        </is>
      </c>
      <c r="F218" s="19" t="inlineStr">
        <is>
          <t>2</t>
        </is>
      </c>
      <c r="K218" s="19" t="n"/>
      <c r="L218" s="19" t="inlineStr">
        <is>
          <t>2</t>
        </is>
      </c>
      <c r="M218" t="inlineStr">
        <is>
          <t>2026-08-08</t>
        </is>
      </c>
      <c r="O218" t="inlineStr">
        <is>
          <t>Engineering default transport for commercial mapping FK</t>
        </is>
      </c>
      <c r="P218" t="inlineStr">
        <is>
          <t>2026-08-10T19:29:54Z</t>
        </is>
      </c>
      <c r="Q218" t="inlineStr">
        <is>
          <t>2026-08-10T19:29:54Z</t>
        </is>
      </c>
    </row>
    <row r="219">
      <c r="A219" s="19" t="inlineStr">
        <is>
          <t>218</t>
        </is>
      </c>
      <c r="B219" s="19" t="inlineStr">
        <is>
          <t>ST-088-STD-01</t>
        </is>
      </c>
      <c r="C219" t="n">
        <v>0</v>
      </c>
      <c r="D219" t="inlineStr">
        <is>
          <t>Default transport — ST-088-STD-01</t>
        </is>
      </c>
      <c r="E219" s="19" t="inlineStr">
        <is>
          <t>211</t>
        </is>
      </c>
      <c r="F219" s="19" t="inlineStr">
        <is>
          <t>2</t>
        </is>
      </c>
      <c r="K219" s="19" t="n"/>
      <c r="L219" s="19" t="inlineStr">
        <is>
          <t>2</t>
        </is>
      </c>
      <c r="M219" t="inlineStr">
        <is>
          <t>2026-08-08</t>
        </is>
      </c>
      <c r="O219" t="inlineStr">
        <is>
          <t>Engineering default transport for commercial mapping FK</t>
        </is>
      </c>
      <c r="P219" t="inlineStr">
        <is>
          <t>2026-08-10T19:29:54Z</t>
        </is>
      </c>
      <c r="Q219" t="inlineStr">
        <is>
          <t>2026-08-10T19:29:54Z</t>
        </is>
      </c>
    </row>
    <row r="220">
      <c r="A220" s="19" t="inlineStr">
        <is>
          <t>219</t>
        </is>
      </c>
      <c r="B220" s="19" t="inlineStr">
        <is>
          <t>ST-088-STD-02</t>
        </is>
      </c>
      <c r="C220" t="n">
        <v>0</v>
      </c>
      <c r="D220" t="inlineStr">
        <is>
          <t>Default transport — ST-088-STD-02</t>
        </is>
      </c>
      <c r="E220" s="19" t="inlineStr">
        <is>
          <t>212</t>
        </is>
      </c>
      <c r="F220" s="19" t="inlineStr">
        <is>
          <t>2</t>
        </is>
      </c>
      <c r="K220" s="19" t="n"/>
      <c r="L220" s="19" t="inlineStr">
        <is>
          <t>2</t>
        </is>
      </c>
      <c r="M220" t="inlineStr">
        <is>
          <t>2026-08-08</t>
        </is>
      </c>
      <c r="O220" t="inlineStr">
        <is>
          <t>Engineering default transport for commercial mapping FK</t>
        </is>
      </c>
      <c r="P220" t="inlineStr">
        <is>
          <t>2026-08-10T19:29:54Z</t>
        </is>
      </c>
      <c r="Q220" t="inlineStr">
        <is>
          <t>2026-08-10T19:29:54Z</t>
        </is>
      </c>
    </row>
    <row r="221">
      <c r="A221" s="19" t="inlineStr">
        <is>
          <t>220</t>
        </is>
      </c>
      <c r="B221" s="19" t="inlineStr">
        <is>
          <t>ST-088-STD-03</t>
        </is>
      </c>
      <c r="C221" t="n">
        <v>0</v>
      </c>
      <c r="D221" t="inlineStr">
        <is>
          <t>Default transport — ST-088-STD-03</t>
        </is>
      </c>
      <c r="E221" s="19" t="inlineStr">
        <is>
          <t>213</t>
        </is>
      </c>
      <c r="F221" s="19" t="inlineStr">
        <is>
          <t>2</t>
        </is>
      </c>
      <c r="K221" s="19" t="n"/>
      <c r="L221" s="19" t="inlineStr">
        <is>
          <t>2</t>
        </is>
      </c>
      <c r="M221" t="inlineStr">
        <is>
          <t>2026-08-08</t>
        </is>
      </c>
      <c r="O221" t="inlineStr">
        <is>
          <t>Engineering default transport for commercial mapping FK</t>
        </is>
      </c>
      <c r="P221" t="inlineStr">
        <is>
          <t>2026-08-10T19:29:54Z</t>
        </is>
      </c>
      <c r="Q221" t="inlineStr">
        <is>
          <t>2026-08-10T19:29:54Z</t>
        </is>
      </c>
    </row>
    <row r="222">
      <c r="A222" s="19" t="inlineStr">
        <is>
          <t>221</t>
        </is>
      </c>
      <c r="B222" s="19" t="inlineStr">
        <is>
          <t>ST-088-STD-04</t>
        </is>
      </c>
      <c r="C222" t="n">
        <v>0</v>
      </c>
      <c r="D222" t="inlineStr">
        <is>
          <t>Default transport — ST-088-STD-04</t>
        </is>
      </c>
      <c r="E222" s="19" t="inlineStr">
        <is>
          <t>214</t>
        </is>
      </c>
      <c r="F222" s="19" t="inlineStr">
        <is>
          <t>2</t>
        </is>
      </c>
      <c r="K222" s="19" t="n"/>
      <c r="L222" s="19" t="inlineStr">
        <is>
          <t>2</t>
        </is>
      </c>
      <c r="M222" t="inlineStr">
        <is>
          <t>2026-08-08</t>
        </is>
      </c>
      <c r="O222" t="inlineStr">
        <is>
          <t>Engineering default transport for commercial mapping FK</t>
        </is>
      </c>
      <c r="P222" t="inlineStr">
        <is>
          <t>2026-08-10T19:29:54Z</t>
        </is>
      </c>
      <c r="Q222" t="inlineStr">
        <is>
          <t>2026-08-10T19:29:54Z</t>
        </is>
      </c>
    </row>
    <row r="223">
      <c r="A223" s="19" t="inlineStr">
        <is>
          <t>222</t>
        </is>
      </c>
      <c r="B223" s="19" t="inlineStr">
        <is>
          <t>ST-088-STD-05</t>
        </is>
      </c>
      <c r="C223" t="n">
        <v>0</v>
      </c>
      <c r="D223" t="inlineStr">
        <is>
          <t>Default transport — ST-088-STD-05</t>
        </is>
      </c>
      <c r="E223" s="19" t="inlineStr">
        <is>
          <t>215</t>
        </is>
      </c>
      <c r="F223" s="19" t="inlineStr">
        <is>
          <t>2</t>
        </is>
      </c>
      <c r="K223" s="19" t="n"/>
      <c r="L223" s="19" t="inlineStr">
        <is>
          <t>2</t>
        </is>
      </c>
      <c r="M223" t="inlineStr">
        <is>
          <t>2026-08-08</t>
        </is>
      </c>
      <c r="O223" t="inlineStr">
        <is>
          <t>Engineering default transport for commercial mapping FK</t>
        </is>
      </c>
      <c r="P223" t="inlineStr">
        <is>
          <t>2026-08-10T19:29:54Z</t>
        </is>
      </c>
      <c r="Q223" t="inlineStr">
        <is>
          <t>2026-08-10T19:29:54Z</t>
        </is>
      </c>
    </row>
    <row r="224">
      <c r="A224" s="19" t="inlineStr">
        <is>
          <t>223</t>
        </is>
      </c>
      <c r="B224" s="19" t="inlineStr">
        <is>
          <t>ST-088-STD-06</t>
        </is>
      </c>
      <c r="C224" t="n">
        <v>0</v>
      </c>
      <c r="D224" t="inlineStr">
        <is>
          <t>Default transport — ST-088-STD-06</t>
        </is>
      </c>
      <c r="E224" s="19" t="inlineStr">
        <is>
          <t>216</t>
        </is>
      </c>
      <c r="F224" s="19" t="inlineStr">
        <is>
          <t>2</t>
        </is>
      </c>
      <c r="K224" s="19" t="n"/>
      <c r="L224" s="19" t="inlineStr">
        <is>
          <t>2</t>
        </is>
      </c>
      <c r="M224" t="inlineStr">
        <is>
          <t>2026-08-08</t>
        </is>
      </c>
      <c r="O224" t="inlineStr">
        <is>
          <t>Engineering default transport for commercial mapping FK</t>
        </is>
      </c>
      <c r="P224" t="inlineStr">
        <is>
          <t>2026-08-10T19:29:54Z</t>
        </is>
      </c>
      <c r="Q224" t="inlineStr">
        <is>
          <t>2026-08-10T19:29:54Z</t>
        </is>
      </c>
    </row>
    <row r="225">
      <c r="A225" s="19" t="inlineStr">
        <is>
          <t>224</t>
        </is>
      </c>
      <c r="B225" s="19" t="inlineStr">
        <is>
          <t>ST-088-STD-07</t>
        </is>
      </c>
      <c r="C225" t="n">
        <v>0</v>
      </c>
      <c r="D225" t="inlineStr">
        <is>
          <t>Default transport — ST-088-STD-07</t>
        </is>
      </c>
      <c r="E225" s="19" t="inlineStr">
        <is>
          <t>217</t>
        </is>
      </c>
      <c r="F225" s="19" t="inlineStr">
        <is>
          <t>2</t>
        </is>
      </c>
      <c r="K225" s="19" t="n"/>
      <c r="L225" s="19" t="inlineStr">
        <is>
          <t>2</t>
        </is>
      </c>
      <c r="M225" t="inlineStr">
        <is>
          <t>2026-08-08</t>
        </is>
      </c>
      <c r="O225" t="inlineStr">
        <is>
          <t>Engineering default transport for commercial mapping FK</t>
        </is>
      </c>
      <c r="P225" t="inlineStr">
        <is>
          <t>2026-08-10T19:29:54Z</t>
        </is>
      </c>
      <c r="Q225" t="inlineStr">
        <is>
          <t>2026-08-10T19:29:54Z</t>
        </is>
      </c>
    </row>
    <row r="226">
      <c r="A226" s="19" t="inlineStr">
        <is>
          <t>225</t>
        </is>
      </c>
      <c r="B226" s="19" t="inlineStr">
        <is>
          <t>ST-088-STD-08</t>
        </is>
      </c>
      <c r="C226" t="n">
        <v>0</v>
      </c>
      <c r="D226" t="inlineStr">
        <is>
          <t>Default transport — ST-088-STD-08</t>
        </is>
      </c>
      <c r="E226" s="19" t="inlineStr">
        <is>
          <t>218</t>
        </is>
      </c>
      <c r="F226" s="19" t="inlineStr">
        <is>
          <t>2</t>
        </is>
      </c>
      <c r="K226" s="19" t="n"/>
      <c r="L226" s="19" t="inlineStr">
        <is>
          <t>2</t>
        </is>
      </c>
      <c r="M226" t="inlineStr">
        <is>
          <t>2026-08-08</t>
        </is>
      </c>
      <c r="O226" t="inlineStr">
        <is>
          <t>Engineering default transport for commercial mapping FK</t>
        </is>
      </c>
      <c r="P226" t="inlineStr">
        <is>
          <t>2026-08-10T19:29:54Z</t>
        </is>
      </c>
      <c r="Q226" t="inlineStr">
        <is>
          <t>2026-08-10T19:29:54Z</t>
        </is>
      </c>
    </row>
    <row r="227">
      <c r="A227" s="19" t="inlineStr">
        <is>
          <t>226</t>
        </is>
      </c>
      <c r="B227" s="19" t="inlineStr">
        <is>
          <t>ST-090-STD-01</t>
        </is>
      </c>
      <c r="C227" t="n">
        <v>0</v>
      </c>
      <c r="D227" t="inlineStr">
        <is>
          <t>Default transport — ST-090-STD-01</t>
        </is>
      </c>
      <c r="E227" s="19" t="inlineStr">
        <is>
          <t>219</t>
        </is>
      </c>
      <c r="F227" s="19" t="inlineStr">
        <is>
          <t>2</t>
        </is>
      </c>
      <c r="K227" s="19" t="n"/>
      <c r="L227" s="19" t="inlineStr">
        <is>
          <t>2</t>
        </is>
      </c>
      <c r="M227" t="inlineStr">
        <is>
          <t>2026-08-08</t>
        </is>
      </c>
      <c r="O227" t="inlineStr">
        <is>
          <t>Engineering default transport for commercial mapping FK</t>
        </is>
      </c>
      <c r="P227" t="inlineStr">
        <is>
          <t>2026-08-10T19:29:54Z</t>
        </is>
      </c>
      <c r="Q227" t="inlineStr">
        <is>
          <t>2026-08-10T19:29:54Z</t>
        </is>
      </c>
    </row>
    <row r="228">
      <c r="A228" s="19" t="inlineStr">
        <is>
          <t>227</t>
        </is>
      </c>
      <c r="B228" s="19" t="inlineStr">
        <is>
          <t>ST-090-STD-02</t>
        </is>
      </c>
      <c r="C228" t="n">
        <v>0</v>
      </c>
      <c r="D228" t="inlineStr">
        <is>
          <t>Default transport — ST-090-STD-02</t>
        </is>
      </c>
      <c r="E228" s="19" t="inlineStr">
        <is>
          <t>220</t>
        </is>
      </c>
      <c r="F228" s="19" t="inlineStr">
        <is>
          <t>2</t>
        </is>
      </c>
      <c r="K228" s="19" t="n"/>
      <c r="L228" s="19" t="inlineStr">
        <is>
          <t>2</t>
        </is>
      </c>
      <c r="M228" t="inlineStr">
        <is>
          <t>2026-08-08</t>
        </is>
      </c>
      <c r="O228" t="inlineStr">
        <is>
          <t>Engineering default transport for commercial mapping FK</t>
        </is>
      </c>
      <c r="P228" t="inlineStr">
        <is>
          <t>2026-08-10T19:29:54Z</t>
        </is>
      </c>
      <c r="Q228" t="inlineStr">
        <is>
          <t>2026-08-10T19:29:54Z</t>
        </is>
      </c>
    </row>
    <row r="229">
      <c r="A229" s="19" t="inlineStr">
        <is>
          <t>228</t>
        </is>
      </c>
      <c r="B229" s="19" t="inlineStr">
        <is>
          <t>ST-096-EUR-01</t>
        </is>
      </c>
      <c r="C229" t="n">
        <v>0</v>
      </c>
      <c r="D229" t="inlineStr">
        <is>
          <t>Default transport — ST-096-EUR-01</t>
        </is>
      </c>
      <c r="E229" s="19" t="inlineStr">
        <is>
          <t>221</t>
        </is>
      </c>
      <c r="F229" s="19" t="inlineStr">
        <is>
          <t>2</t>
        </is>
      </c>
      <c r="K229" s="19" t="n"/>
      <c r="L229" s="19" t="inlineStr">
        <is>
          <t>2</t>
        </is>
      </c>
      <c r="M229" t="inlineStr">
        <is>
          <t>2026-08-08</t>
        </is>
      </c>
      <c r="O229" t="inlineStr">
        <is>
          <t>Engineering default transport for commercial mapping FK</t>
        </is>
      </c>
      <c r="P229" t="inlineStr">
        <is>
          <t>2026-08-10T19:29:54Z</t>
        </is>
      </c>
      <c r="Q229" t="inlineStr">
        <is>
          <t>2026-08-10T19:29:54Z</t>
        </is>
      </c>
    </row>
    <row r="230">
      <c r="A230" s="19" t="inlineStr">
        <is>
          <t>229</t>
        </is>
      </c>
      <c r="B230" s="19" t="inlineStr">
        <is>
          <t>ST-096-EUR-02</t>
        </is>
      </c>
      <c r="C230" t="n">
        <v>0</v>
      </c>
      <c r="D230" t="inlineStr">
        <is>
          <t>Default transport — ST-096-EUR-02</t>
        </is>
      </c>
      <c r="E230" s="19" t="inlineStr">
        <is>
          <t>222</t>
        </is>
      </c>
      <c r="F230" s="19" t="inlineStr">
        <is>
          <t>2</t>
        </is>
      </c>
      <c r="K230" s="19" t="n"/>
      <c r="L230" s="19" t="inlineStr">
        <is>
          <t>2</t>
        </is>
      </c>
      <c r="M230" t="inlineStr">
        <is>
          <t>2026-08-08</t>
        </is>
      </c>
      <c r="O230" t="inlineStr">
        <is>
          <t>Engineering default transport for commercial mapping FK</t>
        </is>
      </c>
      <c r="P230" t="inlineStr">
        <is>
          <t>2026-08-10T19:29:54Z</t>
        </is>
      </c>
      <c r="Q230" t="inlineStr">
        <is>
          <t>2026-08-10T19:29:54Z</t>
        </is>
      </c>
    </row>
    <row r="231">
      <c r="A231" s="19" t="inlineStr">
        <is>
          <t>230</t>
        </is>
      </c>
      <c r="B231" s="19" t="inlineStr">
        <is>
          <t>ST-096-EUR-03</t>
        </is>
      </c>
      <c r="C231" t="n">
        <v>0</v>
      </c>
      <c r="D231" t="inlineStr">
        <is>
          <t>Default transport — ST-096-EUR-03</t>
        </is>
      </c>
      <c r="E231" s="19" t="inlineStr">
        <is>
          <t>223</t>
        </is>
      </c>
      <c r="F231" s="19" t="inlineStr">
        <is>
          <t>2</t>
        </is>
      </c>
      <c r="K231" s="19" t="n"/>
      <c r="L231" s="19" t="inlineStr">
        <is>
          <t>2</t>
        </is>
      </c>
      <c r="M231" t="inlineStr">
        <is>
          <t>2026-08-08</t>
        </is>
      </c>
      <c r="O231" t="inlineStr">
        <is>
          <t>Engineering default transport for commercial mapping FK</t>
        </is>
      </c>
      <c r="P231" t="inlineStr">
        <is>
          <t>2026-08-10T19:29:54Z</t>
        </is>
      </c>
      <c r="Q231" t="inlineStr">
        <is>
          <t>2026-08-10T19:29:54Z</t>
        </is>
      </c>
    </row>
    <row r="232">
      <c r="A232" s="19" t="inlineStr">
        <is>
          <t>231</t>
        </is>
      </c>
      <c r="B232" s="19" t="inlineStr">
        <is>
          <t>ST-096-EUR-04</t>
        </is>
      </c>
      <c r="C232" t="n">
        <v>0</v>
      </c>
      <c r="D232" t="inlineStr">
        <is>
          <t>Default transport — ST-096-EUR-04</t>
        </is>
      </c>
      <c r="E232" s="19" t="inlineStr">
        <is>
          <t>224</t>
        </is>
      </c>
      <c r="F232" s="19" t="inlineStr">
        <is>
          <t>2</t>
        </is>
      </c>
      <c r="K232" s="19" t="n"/>
      <c r="L232" s="19" t="inlineStr">
        <is>
          <t>2</t>
        </is>
      </c>
      <c r="M232" t="inlineStr">
        <is>
          <t>2026-08-08</t>
        </is>
      </c>
      <c r="O232" t="inlineStr">
        <is>
          <t>Engineering default transport for commercial mapping FK</t>
        </is>
      </c>
      <c r="P232" t="inlineStr">
        <is>
          <t>2026-08-10T19:29:54Z</t>
        </is>
      </c>
      <c r="Q232" t="inlineStr">
        <is>
          <t>2026-08-10T19:29:54Z</t>
        </is>
      </c>
    </row>
    <row r="233">
      <c r="A233" s="19" t="inlineStr">
        <is>
          <t>232</t>
        </is>
      </c>
      <c r="B233" s="19" t="inlineStr">
        <is>
          <t>ST-096-EUR-05</t>
        </is>
      </c>
      <c r="C233" t="n">
        <v>0</v>
      </c>
      <c r="D233" t="inlineStr">
        <is>
          <t>Default transport — ST-096-EUR-05</t>
        </is>
      </c>
      <c r="E233" s="19" t="inlineStr">
        <is>
          <t>225</t>
        </is>
      </c>
      <c r="F233" s="19" t="inlineStr">
        <is>
          <t>2</t>
        </is>
      </c>
      <c r="K233" s="19" t="n"/>
      <c r="L233" s="19" t="inlineStr">
        <is>
          <t>2</t>
        </is>
      </c>
      <c r="M233" t="inlineStr">
        <is>
          <t>2026-08-08</t>
        </is>
      </c>
      <c r="O233" t="inlineStr">
        <is>
          <t>Engineering default transport for commercial mapping FK</t>
        </is>
      </c>
      <c r="P233" t="inlineStr">
        <is>
          <t>2026-08-10T19:29:54Z</t>
        </is>
      </c>
      <c r="Q233" t="inlineStr">
        <is>
          <t>2026-08-10T19:29:54Z</t>
        </is>
      </c>
    </row>
    <row r="234">
      <c r="A234" s="19" t="inlineStr">
        <is>
          <t>233</t>
        </is>
      </c>
      <c r="B234" s="19" t="inlineStr">
        <is>
          <t>ST-096-EUR-06</t>
        </is>
      </c>
      <c r="C234" t="n">
        <v>0</v>
      </c>
      <c r="D234" t="inlineStr">
        <is>
          <t>Default transport — ST-096-EUR-06</t>
        </is>
      </c>
      <c r="E234" s="19" t="inlineStr">
        <is>
          <t>226</t>
        </is>
      </c>
      <c r="F234" s="19" t="inlineStr">
        <is>
          <t>2</t>
        </is>
      </c>
      <c r="K234" s="19" t="n"/>
      <c r="L234" s="19" t="inlineStr">
        <is>
          <t>2</t>
        </is>
      </c>
      <c r="M234" t="inlineStr">
        <is>
          <t>2026-08-08</t>
        </is>
      </c>
      <c r="O234" t="inlineStr">
        <is>
          <t>Engineering default transport for commercial mapping FK</t>
        </is>
      </c>
      <c r="P234" t="inlineStr">
        <is>
          <t>2026-08-10T19:29:54Z</t>
        </is>
      </c>
      <c r="Q234" t="inlineStr">
        <is>
          <t>2026-08-10T19:29:54Z</t>
        </is>
      </c>
    </row>
    <row r="235">
      <c r="A235" s="19" t="inlineStr">
        <is>
          <t>234</t>
        </is>
      </c>
      <c r="B235" s="19" t="inlineStr">
        <is>
          <t>ST-096-EUR-07</t>
        </is>
      </c>
      <c r="C235" t="n">
        <v>0</v>
      </c>
      <c r="D235" t="inlineStr">
        <is>
          <t>Default transport — ST-096-EUR-07</t>
        </is>
      </c>
      <c r="E235" s="19" t="inlineStr">
        <is>
          <t>227</t>
        </is>
      </c>
      <c r="F235" s="19" t="inlineStr">
        <is>
          <t>2</t>
        </is>
      </c>
      <c r="K235" s="19" t="n"/>
      <c r="L235" s="19" t="inlineStr">
        <is>
          <t>2</t>
        </is>
      </c>
      <c r="M235" t="inlineStr">
        <is>
          <t>2026-08-08</t>
        </is>
      </c>
      <c r="O235" t="inlineStr">
        <is>
          <t>Engineering default transport for commercial mapping FK</t>
        </is>
      </c>
      <c r="P235" t="inlineStr">
        <is>
          <t>2026-08-10T19:29:54Z</t>
        </is>
      </c>
      <c r="Q235" t="inlineStr">
        <is>
          <t>2026-08-10T19:29:54Z</t>
        </is>
      </c>
    </row>
    <row r="236">
      <c r="A236" s="19" t="inlineStr">
        <is>
          <t>235</t>
        </is>
      </c>
      <c r="B236" s="19" t="inlineStr">
        <is>
          <t>ST-096-EUR-08</t>
        </is>
      </c>
      <c r="C236" t="n">
        <v>0</v>
      </c>
      <c r="D236" t="inlineStr">
        <is>
          <t>Default transport — ST-096-EUR-08</t>
        </is>
      </c>
      <c r="E236" s="19" t="inlineStr">
        <is>
          <t>228</t>
        </is>
      </c>
      <c r="F236" s="19" t="inlineStr">
        <is>
          <t>2</t>
        </is>
      </c>
      <c r="K236" s="19" t="n"/>
      <c r="L236" s="19" t="inlineStr">
        <is>
          <t>2</t>
        </is>
      </c>
      <c r="M236" t="inlineStr">
        <is>
          <t>2026-08-08</t>
        </is>
      </c>
      <c r="O236" t="inlineStr">
        <is>
          <t>Engineering default transport for commercial mapping FK</t>
        </is>
      </c>
      <c r="P236" t="inlineStr">
        <is>
          <t>2026-08-10T19:29:54Z</t>
        </is>
      </c>
      <c r="Q236" t="inlineStr">
        <is>
          <t>2026-08-10T19:29:54Z</t>
        </is>
      </c>
    </row>
    <row r="237">
      <c r="A237" s="19" t="inlineStr">
        <is>
          <t>236</t>
        </is>
      </c>
      <c r="B237" s="19" t="inlineStr">
        <is>
          <t>ST-096-EUR-09</t>
        </is>
      </c>
      <c r="C237" t="n">
        <v>0</v>
      </c>
      <c r="D237" t="inlineStr">
        <is>
          <t>Default transport — ST-096-EUR-09</t>
        </is>
      </c>
      <c r="E237" s="19" t="inlineStr">
        <is>
          <t>229</t>
        </is>
      </c>
      <c r="F237" s="19" t="inlineStr">
        <is>
          <t>2</t>
        </is>
      </c>
      <c r="K237" s="19" t="n"/>
      <c r="L237" s="19" t="inlineStr">
        <is>
          <t>2</t>
        </is>
      </c>
      <c r="M237" t="inlineStr">
        <is>
          <t>2026-08-08</t>
        </is>
      </c>
      <c r="O237" t="inlineStr">
        <is>
          <t>Engineering default transport for commercial mapping FK</t>
        </is>
      </c>
      <c r="P237" t="inlineStr">
        <is>
          <t>2026-08-10T19:29:54Z</t>
        </is>
      </c>
      <c r="Q237" t="inlineStr">
        <is>
          <t>2026-08-10T19:29:54Z</t>
        </is>
      </c>
    </row>
    <row r="238">
      <c r="A238" s="19" t="inlineStr">
        <is>
          <t>237</t>
        </is>
      </c>
      <c r="B238" s="19" t="inlineStr">
        <is>
          <t>ST-096-EUR-10</t>
        </is>
      </c>
      <c r="C238" t="n">
        <v>0</v>
      </c>
      <c r="D238" t="inlineStr">
        <is>
          <t>Default transport — ST-096-EUR-10</t>
        </is>
      </c>
      <c r="E238" s="19" t="inlineStr">
        <is>
          <t>230</t>
        </is>
      </c>
      <c r="F238" s="19" t="inlineStr">
        <is>
          <t>2</t>
        </is>
      </c>
      <c r="K238" s="19" t="n"/>
      <c r="L238" s="19" t="inlineStr">
        <is>
          <t>2</t>
        </is>
      </c>
      <c r="M238" t="inlineStr">
        <is>
          <t>2026-08-08</t>
        </is>
      </c>
      <c r="O238" t="inlineStr">
        <is>
          <t>Engineering default transport for commercial mapping FK</t>
        </is>
      </c>
      <c r="P238" t="inlineStr">
        <is>
          <t>2026-08-10T19:29:54Z</t>
        </is>
      </c>
      <c r="Q238" t="inlineStr">
        <is>
          <t>2026-08-10T19:29:54Z</t>
        </is>
      </c>
    </row>
    <row r="239">
      <c r="A239" s="19" t="inlineStr">
        <is>
          <t>238</t>
        </is>
      </c>
      <c r="B239" s="19" t="inlineStr">
        <is>
          <t>ST-096-STD-01</t>
        </is>
      </c>
      <c r="C239" t="n">
        <v>0</v>
      </c>
      <c r="D239" t="inlineStr">
        <is>
          <t>Default transport — ST-096-STD-01</t>
        </is>
      </c>
      <c r="E239" s="19" t="inlineStr">
        <is>
          <t>231</t>
        </is>
      </c>
      <c r="F239" s="19" t="inlineStr">
        <is>
          <t>2</t>
        </is>
      </c>
      <c r="K239" s="19" t="n"/>
      <c r="L239" s="19" t="inlineStr">
        <is>
          <t>2</t>
        </is>
      </c>
      <c r="M239" t="inlineStr">
        <is>
          <t>2026-08-08</t>
        </is>
      </c>
      <c r="O239" t="inlineStr">
        <is>
          <t>Engineering default transport for commercial mapping FK</t>
        </is>
      </c>
      <c r="P239" t="inlineStr">
        <is>
          <t>2026-08-10T19:29:54Z</t>
        </is>
      </c>
      <c r="Q239" t="inlineStr">
        <is>
          <t>2026-08-10T19:29:54Z</t>
        </is>
      </c>
    </row>
    <row r="240">
      <c r="A240" s="19" t="inlineStr">
        <is>
          <t>239</t>
        </is>
      </c>
      <c r="B240" s="19" t="inlineStr">
        <is>
          <t>ST-096-STD-02</t>
        </is>
      </c>
      <c r="C240" t="n">
        <v>0</v>
      </c>
      <c r="D240" t="inlineStr">
        <is>
          <t>Default transport — ST-096-STD-02</t>
        </is>
      </c>
      <c r="E240" s="19" t="inlineStr">
        <is>
          <t>232</t>
        </is>
      </c>
      <c r="F240" s="19" t="inlineStr">
        <is>
          <t>2</t>
        </is>
      </c>
      <c r="K240" s="19" t="n"/>
      <c r="L240" s="19" t="inlineStr">
        <is>
          <t>2</t>
        </is>
      </c>
      <c r="M240" t="inlineStr">
        <is>
          <t>2026-08-08</t>
        </is>
      </c>
      <c r="O240" t="inlineStr">
        <is>
          <t>Engineering default transport for commercial mapping FK</t>
        </is>
      </c>
      <c r="P240" t="inlineStr">
        <is>
          <t>2026-08-10T19:29:54Z</t>
        </is>
      </c>
      <c r="Q240" t="inlineStr">
        <is>
          <t>2026-08-10T19:29:54Z</t>
        </is>
      </c>
    </row>
    <row r="241">
      <c r="A241" s="19" t="inlineStr">
        <is>
          <t>240</t>
        </is>
      </c>
      <c r="B241" s="19" t="inlineStr">
        <is>
          <t>ST-096-STD-03</t>
        </is>
      </c>
      <c r="C241" t="n">
        <v>0</v>
      </c>
      <c r="D241" t="inlineStr">
        <is>
          <t>Default transport — ST-096-STD-03</t>
        </is>
      </c>
      <c r="E241" s="19" t="inlineStr">
        <is>
          <t>233</t>
        </is>
      </c>
      <c r="F241" s="19" t="inlineStr">
        <is>
          <t>2</t>
        </is>
      </c>
      <c r="K241" s="19" t="n"/>
      <c r="L241" s="19" t="inlineStr">
        <is>
          <t>2</t>
        </is>
      </c>
      <c r="M241" t="inlineStr">
        <is>
          <t>2026-08-08</t>
        </is>
      </c>
      <c r="O241" t="inlineStr">
        <is>
          <t>Engineering default transport for commercial mapping FK</t>
        </is>
      </c>
      <c r="P241" t="inlineStr">
        <is>
          <t>2026-08-10T19:29:54Z</t>
        </is>
      </c>
      <c r="Q241" t="inlineStr">
        <is>
          <t>2026-08-10T19:29:54Z</t>
        </is>
      </c>
    </row>
    <row r="242">
      <c r="A242" s="19" t="inlineStr">
        <is>
          <t>241</t>
        </is>
      </c>
      <c r="B242" s="19" t="inlineStr">
        <is>
          <t>ST-096-STD-04</t>
        </is>
      </c>
      <c r="C242" t="n">
        <v>0</v>
      </c>
      <c r="D242" t="inlineStr">
        <is>
          <t>Default transport — ST-096-STD-04</t>
        </is>
      </c>
      <c r="E242" s="19" t="inlineStr">
        <is>
          <t>234</t>
        </is>
      </c>
      <c r="F242" s="19" t="inlineStr">
        <is>
          <t>2</t>
        </is>
      </c>
      <c r="K242" s="19" t="n"/>
      <c r="L242" s="19" t="inlineStr">
        <is>
          <t>2</t>
        </is>
      </c>
      <c r="M242" t="inlineStr">
        <is>
          <t>2026-08-08</t>
        </is>
      </c>
      <c r="O242" t="inlineStr">
        <is>
          <t>Engineering default transport for commercial mapping FK</t>
        </is>
      </c>
      <c r="P242" t="inlineStr">
        <is>
          <t>2026-08-10T19:29:54Z</t>
        </is>
      </c>
      <c r="Q242" t="inlineStr">
        <is>
          <t>2026-08-10T19:29:54Z</t>
        </is>
      </c>
    </row>
    <row r="243">
      <c r="A243" s="19" t="inlineStr">
        <is>
          <t>242</t>
        </is>
      </c>
      <c r="B243" s="19" t="inlineStr">
        <is>
          <t>ST-096-STD-05</t>
        </is>
      </c>
      <c r="C243" t="n">
        <v>0</v>
      </c>
      <c r="D243" t="inlineStr">
        <is>
          <t>Default transport — ST-096-STD-05</t>
        </is>
      </c>
      <c r="E243" s="19" t="inlineStr">
        <is>
          <t>235</t>
        </is>
      </c>
      <c r="F243" s="19" t="inlineStr">
        <is>
          <t>2</t>
        </is>
      </c>
      <c r="K243" s="19" t="n"/>
      <c r="L243" s="19" t="inlineStr">
        <is>
          <t>2</t>
        </is>
      </c>
      <c r="M243" t="inlineStr">
        <is>
          <t>2026-08-08</t>
        </is>
      </c>
      <c r="O243" t="inlineStr">
        <is>
          <t>Engineering default transport for commercial mapping FK</t>
        </is>
      </c>
      <c r="P243" t="inlineStr">
        <is>
          <t>2026-08-10T19:29:54Z</t>
        </is>
      </c>
      <c r="Q243" t="inlineStr">
        <is>
          <t>2026-08-10T19:29:54Z</t>
        </is>
      </c>
    </row>
    <row r="244">
      <c r="A244" s="19" t="inlineStr">
        <is>
          <t>243</t>
        </is>
      </c>
      <c r="B244" s="19" t="inlineStr">
        <is>
          <t>ST-105-STD-01</t>
        </is>
      </c>
      <c r="C244" t="n">
        <v>0</v>
      </c>
      <c r="D244" t="inlineStr">
        <is>
          <t>Default transport — ST-105-STD-01</t>
        </is>
      </c>
      <c r="E244" s="19" t="inlineStr">
        <is>
          <t>236</t>
        </is>
      </c>
      <c r="F244" s="19" t="inlineStr">
        <is>
          <t>2</t>
        </is>
      </c>
      <c r="K244" s="19" t="n"/>
      <c r="L244" s="19" t="inlineStr">
        <is>
          <t>2</t>
        </is>
      </c>
      <c r="M244" t="inlineStr">
        <is>
          <t>2026-08-08</t>
        </is>
      </c>
      <c r="O244" t="inlineStr">
        <is>
          <t>Engineering default transport for commercial mapping FK</t>
        </is>
      </c>
      <c r="P244" t="inlineStr">
        <is>
          <t>2026-08-10T19:29:54Z</t>
        </is>
      </c>
      <c r="Q244" t="inlineStr">
        <is>
          <t>2026-08-10T19:29:54Z</t>
        </is>
      </c>
    </row>
    <row r="245">
      <c r="A245" s="19" t="inlineStr">
        <is>
          <t>244</t>
        </is>
      </c>
      <c r="B245" s="19" t="inlineStr">
        <is>
          <t>ST-105-STD-02</t>
        </is>
      </c>
      <c r="C245" t="n">
        <v>0</v>
      </c>
      <c r="D245" t="inlineStr">
        <is>
          <t>Default transport — ST-105-STD-02</t>
        </is>
      </c>
      <c r="E245" s="19" t="inlineStr">
        <is>
          <t>237</t>
        </is>
      </c>
      <c r="F245" s="19" t="inlineStr">
        <is>
          <t>2</t>
        </is>
      </c>
      <c r="K245" s="19" t="n"/>
      <c r="L245" s="19" t="inlineStr">
        <is>
          <t>2</t>
        </is>
      </c>
      <c r="M245" t="inlineStr">
        <is>
          <t>2026-08-08</t>
        </is>
      </c>
      <c r="O245" t="inlineStr">
        <is>
          <t>Engineering default transport for commercial mapping FK</t>
        </is>
      </c>
      <c r="P245" t="inlineStr">
        <is>
          <t>2026-08-10T19:29:54Z</t>
        </is>
      </c>
      <c r="Q245" t="inlineStr">
        <is>
          <t>2026-08-10T19:29:54Z</t>
        </is>
      </c>
    </row>
    <row r="246">
      <c r="A246" s="19" t="inlineStr">
        <is>
          <t>245</t>
        </is>
      </c>
      <c r="B246" s="19" t="inlineStr">
        <is>
          <t>ST-120-STD-01</t>
        </is>
      </c>
      <c r="C246" t="n">
        <v>0</v>
      </c>
      <c r="D246" t="inlineStr">
        <is>
          <t>Default transport — ST-120-STD-01</t>
        </is>
      </c>
      <c r="E246" s="19" t="inlineStr">
        <is>
          <t>238</t>
        </is>
      </c>
      <c r="F246" s="19" t="inlineStr">
        <is>
          <t>2</t>
        </is>
      </c>
      <c r="K246" s="19" t="n"/>
      <c r="L246" s="19" t="inlineStr">
        <is>
          <t>2</t>
        </is>
      </c>
      <c r="M246" t="inlineStr">
        <is>
          <t>2026-08-08</t>
        </is>
      </c>
      <c r="O246" t="inlineStr">
        <is>
          <t>Engineering default transport for commercial mapping FK</t>
        </is>
      </c>
      <c r="P246" t="inlineStr">
        <is>
          <t>2026-08-10T19:29:54Z</t>
        </is>
      </c>
      <c r="Q246" t="inlineStr">
        <is>
          <t>2026-08-10T19:29:54Z</t>
        </is>
      </c>
    </row>
    <row r="247">
      <c r="A247" s="19" t="inlineStr">
        <is>
          <t>246</t>
        </is>
      </c>
      <c r="B247" s="19" t="inlineStr">
        <is>
          <t>ST-120-STD-02</t>
        </is>
      </c>
      <c r="C247" t="n">
        <v>0</v>
      </c>
      <c r="D247" t="inlineStr">
        <is>
          <t>Default transport — ST-120-STD-02</t>
        </is>
      </c>
      <c r="E247" s="19" t="inlineStr">
        <is>
          <t>239</t>
        </is>
      </c>
      <c r="F247" s="19" t="inlineStr">
        <is>
          <t>2</t>
        </is>
      </c>
      <c r="K247" s="19" t="n"/>
      <c r="L247" s="19" t="inlineStr">
        <is>
          <t>2</t>
        </is>
      </c>
      <c r="M247" t="inlineStr">
        <is>
          <t>2026-08-08</t>
        </is>
      </c>
      <c r="O247" t="inlineStr">
        <is>
          <t>Engineering default transport for commercial mapping FK</t>
        </is>
      </c>
      <c r="P247" t="inlineStr">
        <is>
          <t>2026-08-10T19:29:54Z</t>
        </is>
      </c>
      <c r="Q247" t="inlineStr">
        <is>
          <t>2026-08-10T19:29:54Z</t>
        </is>
      </c>
    </row>
    <row r="248">
      <c r="A248" s="19" t="inlineStr">
        <is>
          <t>247</t>
        </is>
      </c>
      <c r="B248" s="19" t="inlineStr">
        <is>
          <t>ST-120-STD-03</t>
        </is>
      </c>
      <c r="C248" t="n">
        <v>0</v>
      </c>
      <c r="D248" t="inlineStr">
        <is>
          <t>Default transport — ST-120-STD-03</t>
        </is>
      </c>
      <c r="E248" s="19" t="inlineStr">
        <is>
          <t>240</t>
        </is>
      </c>
      <c r="F248" s="19" t="inlineStr">
        <is>
          <t>2</t>
        </is>
      </c>
      <c r="K248" s="19" t="n"/>
      <c r="L248" s="19" t="inlineStr">
        <is>
          <t>2</t>
        </is>
      </c>
      <c r="M248" t="inlineStr">
        <is>
          <t>2026-08-08</t>
        </is>
      </c>
      <c r="O248" t="inlineStr">
        <is>
          <t>Engineering default transport for commercial mapping FK</t>
        </is>
      </c>
      <c r="P248" t="inlineStr">
        <is>
          <t>2026-08-10T19:29:54Z</t>
        </is>
      </c>
      <c r="Q248" t="inlineStr">
        <is>
          <t>2026-08-10T19:29:54Z</t>
        </is>
      </c>
    </row>
  </sheetData>
  <dataValidations count="3">
    <dataValidation sqref="F2:F5000" showDropDown="0" showInputMessage="0" showErrorMessage="1" allowBlank="1" errorTitle="Lookup FK" error="Value must exist in LKP_TRANSPORT_UNIT_TYPE" type="list">
      <formula1>NR_TRANSPORT_UNIT_TYPE_ID</formula1>
    </dataValidation>
    <dataValidation sqref="L2:L5000" showDropDown="0" showInputMessage="0" showErrorMessage="1" allowBlank="1" errorTitle="Lookup FK" error="Value must exist in LKP_STATUS" type="list">
      <formula1>NR_STATUS_ID</formula1>
    </dataValidation>
    <dataValidation sqref="M2:N5000" showDropDown="0" showInputMessage="0" showErrorMessage="1" allowBlank="1" errorTitle="Date" error="Enter a valid date (DD.MM.YYYY)" type="date" operator="greaterThan">
      <formula1>DATE(2000,1,1)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2"/>
    <col width="14" customWidth="1" min="3" max="3"/>
    <col width="24" customWidth="1" min="4" max="4"/>
    <col width="14" customWidth="1" min="5" max="5"/>
    <col width="12" customWidth="1" min="6" max="6"/>
    <col width="36" customWidth="1" min="7" max="7"/>
  </cols>
  <sheetData>
    <row r="1" ht="27.95" customHeight="1">
      <c r="A1" s="6" t="inlineStr">
        <is>
          <t>TRANSPORT_CONFIGURATION_LINE_ID</t>
        </is>
      </c>
      <c r="B1" s="6" t="inlineStr">
        <is>
          <t>TRANSPORT_CONFIGURATION_ID</t>
        </is>
      </c>
      <c r="C1" s="6" t="inlineStr">
        <is>
          <t>COMPONENT_ID</t>
        </is>
      </c>
      <c r="D1" s="6" t="inlineStr">
        <is>
          <t>QUANTITY_PER_TRANSPORT_UNIT</t>
        </is>
      </c>
      <c r="E1" s="6" t="inlineStr">
        <is>
          <t>LINE_ROLE_ID</t>
        </is>
      </c>
      <c r="F1" s="6" t="inlineStr">
        <is>
          <t>SORT_ORDER</t>
        </is>
      </c>
      <c r="G1" s="6" t="inlineStr">
        <is>
          <t>NOTES</t>
        </is>
      </c>
    </row>
    <row r="2">
      <c r="A2" s="19" t="inlineStr">
        <is>
          <t>1</t>
        </is>
      </c>
      <c r="B2" s="19" t="inlineStr">
        <is>
          <t>1</t>
        </is>
      </c>
      <c r="C2" s="19" t="inlineStr">
        <is>
          <t>4</t>
        </is>
      </c>
      <c r="D2" t="n">
        <v>10</v>
      </c>
      <c r="E2" s="19" t="inlineStr">
        <is>
          <t>18</t>
        </is>
      </c>
      <c r="F2" t="n">
        <v>1</v>
      </c>
      <c r="G2" t="inlineStr">
        <is>
          <t>UOM=M;LINE_WEIGHT_KG=0.1165</t>
        </is>
      </c>
    </row>
    <row r="3">
      <c r="A3" s="19" t="inlineStr">
        <is>
          <t>2</t>
        </is>
      </c>
      <c r="B3" s="19" t="inlineStr">
        <is>
          <t>1</t>
        </is>
      </c>
      <c r="C3" s="19" t="inlineStr">
        <is>
          <t>9</t>
        </is>
      </c>
      <c r="D3" t="n">
        <v>0.0509</v>
      </c>
      <c r="E3" s="19" t="inlineStr">
        <is>
          <t>18</t>
        </is>
      </c>
      <c r="F3" t="n">
        <v>2</v>
      </c>
      <c r="G3" t="inlineStr">
        <is>
          <t>UOM=KG;LINE_WEIGHT_KG=0.0509</t>
        </is>
      </c>
    </row>
    <row r="4">
      <c r="A4" s="19" t="inlineStr">
        <is>
          <t>3</t>
        </is>
      </c>
      <c r="B4" s="19" t="inlineStr">
        <is>
          <t>1</t>
        </is>
      </c>
      <c r="C4" s="19" t="inlineStr">
        <is>
          <t>86</t>
        </is>
      </c>
      <c r="D4" t="n">
        <v>8</v>
      </c>
      <c r="E4" s="19" t="inlineStr">
        <is>
          <t>18</t>
        </is>
      </c>
      <c r="F4" t="n">
        <v>3</v>
      </c>
      <c r="G4" t="inlineStr">
        <is>
          <t>UOM=M;LINE_WEIGHT_KG=0.0756</t>
        </is>
      </c>
    </row>
    <row r="5">
      <c r="A5" s="19" t="inlineStr">
        <is>
          <t>4</t>
        </is>
      </c>
      <c r="B5" s="19" t="inlineStr">
        <is>
          <t>1</t>
        </is>
      </c>
      <c r="C5" s="19" t="inlineStr">
        <is>
          <t>2</t>
        </is>
      </c>
      <c r="D5" t="n">
        <v>1</v>
      </c>
      <c r="E5" s="19" t="inlineStr">
        <is>
          <t>18</t>
        </is>
      </c>
      <c r="F5" t="n">
        <v>4</v>
      </c>
      <c r="G5" t="inlineStr">
        <is>
          <t>UOM=ADT;LINE_WEIGHT_KG=1.14</t>
        </is>
      </c>
    </row>
    <row r="6">
      <c r="A6" s="19" t="inlineStr">
        <is>
          <t>5</t>
        </is>
      </c>
      <c r="B6" s="19" t="inlineStr">
        <is>
          <t>1</t>
        </is>
      </c>
      <c r="C6" s="19" t="inlineStr">
        <is>
          <t>42</t>
        </is>
      </c>
      <c r="D6" t="n">
        <v>1</v>
      </c>
      <c r="E6" s="19" t="inlineStr">
        <is>
          <t>18</t>
        </is>
      </c>
      <c r="F6" t="n">
        <v>5</v>
      </c>
      <c r="G6" t="inlineStr">
        <is>
          <t>UOM=ADT;LINE_WEIGHT_KG=26.0</t>
        </is>
      </c>
    </row>
    <row r="7">
      <c r="A7" s="19" t="inlineStr">
        <is>
          <t>6</t>
        </is>
      </c>
      <c r="B7" s="19" t="inlineStr">
        <is>
          <t>1</t>
        </is>
      </c>
      <c r="C7" s="19" t="inlineStr">
        <is>
          <t>112</t>
        </is>
      </c>
      <c r="D7" t="n">
        <v>1</v>
      </c>
      <c r="E7" s="19" t="inlineStr">
        <is>
          <t>18</t>
        </is>
      </c>
      <c r="F7" t="n">
        <v>6</v>
      </c>
      <c r="G7" t="inlineStr">
        <is>
          <t>UOM=SET;LINE_WEIGHT_KG=0.005</t>
        </is>
      </c>
    </row>
    <row r="8">
      <c r="A8" s="19" t="inlineStr">
        <is>
          <t>7</t>
        </is>
      </c>
      <c r="B8" s="19" t="inlineStr">
        <is>
          <t>2</t>
        </is>
      </c>
      <c r="C8" s="19" t="inlineStr">
        <is>
          <t>4</t>
        </is>
      </c>
      <c r="D8" t="n">
        <v>10</v>
      </c>
      <c r="E8" s="19" t="inlineStr">
        <is>
          <t>18</t>
        </is>
      </c>
      <c r="F8" t="n">
        <v>1</v>
      </c>
      <c r="G8" t="inlineStr">
        <is>
          <t>UOM=M;LINE_WEIGHT_KG=0.1485</t>
        </is>
      </c>
    </row>
    <row r="9">
      <c r="A9" s="19" t="inlineStr">
        <is>
          <t>8</t>
        </is>
      </c>
      <c r="B9" s="19" t="inlineStr">
        <is>
          <t>2</t>
        </is>
      </c>
      <c r="C9" s="19" t="inlineStr">
        <is>
          <t>9</t>
        </is>
      </c>
      <c r="D9" t="n">
        <v>0.1919</v>
      </c>
      <c r="E9" s="19" t="inlineStr">
        <is>
          <t>18</t>
        </is>
      </c>
      <c r="F9" t="n">
        <v>2</v>
      </c>
      <c r="G9" t="inlineStr">
        <is>
          <t>UOM=KG;LINE_WEIGHT_KG=0.1919</t>
        </is>
      </c>
    </row>
    <row r="10">
      <c r="A10" s="19" t="inlineStr">
        <is>
          <t>9</t>
        </is>
      </c>
      <c r="B10" s="19" t="inlineStr">
        <is>
          <t>2</t>
        </is>
      </c>
      <c r="C10" s="19" t="inlineStr">
        <is>
          <t>86</t>
        </is>
      </c>
      <c r="D10" t="n">
        <v>8</v>
      </c>
      <c r="E10" s="19" t="inlineStr">
        <is>
          <t>18</t>
        </is>
      </c>
      <c r="F10" t="n">
        <v>3</v>
      </c>
      <c r="G10" t="inlineStr">
        <is>
          <t>UOM=M;LINE_WEIGHT_KG=0.0913</t>
        </is>
      </c>
    </row>
    <row r="11">
      <c r="A11" s="19" t="inlineStr">
        <is>
          <t>10</t>
        </is>
      </c>
      <c r="B11" s="19" t="inlineStr">
        <is>
          <t>2</t>
        </is>
      </c>
      <c r="C11" s="19" t="inlineStr">
        <is>
          <t>2</t>
        </is>
      </c>
      <c r="D11" t="n">
        <v>1</v>
      </c>
      <c r="E11" s="19" t="inlineStr">
        <is>
          <t>18</t>
        </is>
      </c>
      <c r="F11" t="n">
        <v>4</v>
      </c>
      <c r="G11" t="inlineStr">
        <is>
          <t>UOM=ADT;LINE_WEIGHT_KG=1.14</t>
        </is>
      </c>
    </row>
    <row r="12">
      <c r="A12" s="19" t="inlineStr">
        <is>
          <t>11</t>
        </is>
      </c>
      <c r="B12" s="19" t="inlineStr">
        <is>
          <t>2</t>
        </is>
      </c>
      <c r="C12" s="19" t="inlineStr">
        <is>
          <t>42</t>
        </is>
      </c>
      <c r="D12" t="n">
        <v>1</v>
      </c>
      <c r="E12" s="19" t="inlineStr">
        <is>
          <t>18</t>
        </is>
      </c>
      <c r="F12" t="n">
        <v>5</v>
      </c>
      <c r="G12" t="inlineStr">
        <is>
          <t>UOM=ADT;LINE_WEIGHT_KG=26.0</t>
        </is>
      </c>
    </row>
    <row r="13">
      <c r="A13" s="19" t="inlineStr">
        <is>
          <t>12</t>
        </is>
      </c>
      <c r="B13" s="19" t="inlineStr">
        <is>
          <t>2</t>
        </is>
      </c>
      <c r="C13" s="19" t="inlineStr">
        <is>
          <t>112</t>
        </is>
      </c>
      <c r="D13" t="n">
        <v>1</v>
      </c>
      <c r="E13" s="19" t="inlineStr">
        <is>
          <t>18</t>
        </is>
      </c>
      <c r="F13" t="n">
        <v>6</v>
      </c>
      <c r="G13" t="inlineStr">
        <is>
          <t>UOM=SET;LINE_WEIGHT_KG=0.005</t>
        </is>
      </c>
    </row>
    <row r="14">
      <c r="A14" s="19" t="inlineStr">
        <is>
          <t>13</t>
        </is>
      </c>
      <c r="B14" s="19" t="inlineStr">
        <is>
          <t>3</t>
        </is>
      </c>
      <c r="C14" s="19" t="inlineStr">
        <is>
          <t>4</t>
        </is>
      </c>
      <c r="D14" t="n">
        <v>10</v>
      </c>
      <c r="E14" s="19" t="inlineStr">
        <is>
          <t>18</t>
        </is>
      </c>
      <c r="F14" t="n">
        <v>1</v>
      </c>
      <c r="G14" t="inlineStr">
        <is>
          <t>UOM=M;LINE_WEIGHT_KG=0.1886</t>
        </is>
      </c>
    </row>
    <row r="15">
      <c r="A15" s="19" t="inlineStr">
        <is>
          <t>14</t>
        </is>
      </c>
      <c r="B15" s="19" t="inlineStr">
        <is>
          <t>3</t>
        </is>
      </c>
      <c r="C15" s="19" t="inlineStr">
        <is>
          <t>9</t>
        </is>
      </c>
      <c r="D15" t="n">
        <v>0.1915</v>
      </c>
      <c r="E15" s="19" t="inlineStr">
        <is>
          <t>18</t>
        </is>
      </c>
      <c r="F15" t="n">
        <v>2</v>
      </c>
      <c r="G15" t="inlineStr">
        <is>
          <t>UOM=KG;LINE_WEIGHT_KG=0.1915</t>
        </is>
      </c>
    </row>
    <row r="16">
      <c r="A16" s="19" t="inlineStr">
        <is>
          <t>15</t>
        </is>
      </c>
      <c r="B16" s="19" t="inlineStr">
        <is>
          <t>3</t>
        </is>
      </c>
      <c r="C16" s="19" t="inlineStr">
        <is>
          <t>86</t>
        </is>
      </c>
      <c r="D16" t="n">
        <v>8</v>
      </c>
      <c r="E16" s="19" t="inlineStr">
        <is>
          <t>18</t>
        </is>
      </c>
      <c r="F16" t="n">
        <v>3</v>
      </c>
      <c r="G16" t="inlineStr">
        <is>
          <t>UOM=M;LINE_WEIGHT_KG=0.10637</t>
        </is>
      </c>
    </row>
    <row r="17">
      <c r="A17" s="19" t="inlineStr">
        <is>
          <t>16</t>
        </is>
      </c>
      <c r="B17" s="19" t="inlineStr">
        <is>
          <t>3</t>
        </is>
      </c>
      <c r="C17" s="19" t="inlineStr">
        <is>
          <t>1</t>
        </is>
      </c>
      <c r="D17" t="n">
        <v>1</v>
      </c>
      <c r="E17" s="19" t="inlineStr">
        <is>
          <t>18</t>
        </is>
      </c>
      <c r="F17" t="n">
        <v>4</v>
      </c>
      <c r="G17" t="inlineStr">
        <is>
          <t>UOM=ADT;LINE_WEIGHT_KG=1.14</t>
        </is>
      </c>
    </row>
    <row r="18">
      <c r="A18" s="19" t="inlineStr">
        <is>
          <t>17</t>
        </is>
      </c>
      <c r="B18" s="19" t="inlineStr">
        <is>
          <t>3</t>
        </is>
      </c>
      <c r="C18" s="19" t="inlineStr">
        <is>
          <t>41</t>
        </is>
      </c>
      <c r="D18" t="n">
        <v>1</v>
      </c>
      <c r="E18" s="19" t="inlineStr">
        <is>
          <t>18</t>
        </is>
      </c>
      <c r="F18" t="n">
        <v>5</v>
      </c>
      <c r="G18" t="inlineStr">
        <is>
          <t>UOM=ADT;LINE_WEIGHT_KG=31.0</t>
        </is>
      </c>
    </row>
    <row r="19">
      <c r="A19" s="19" t="inlineStr">
        <is>
          <t>18</t>
        </is>
      </c>
      <c r="B19" s="19" t="inlineStr">
        <is>
          <t>3</t>
        </is>
      </c>
      <c r="C19" s="19" t="inlineStr">
        <is>
          <t>112</t>
        </is>
      </c>
      <c r="D19" t="n">
        <v>1</v>
      </c>
      <c r="E19" s="19" t="inlineStr">
        <is>
          <t>18</t>
        </is>
      </c>
      <c r="F19" t="n">
        <v>6</v>
      </c>
      <c r="G19" t="inlineStr">
        <is>
          <t>UOM=SET;LINE_WEIGHT_KG=0.005</t>
        </is>
      </c>
    </row>
    <row r="20">
      <c r="A20" s="19" t="inlineStr">
        <is>
          <t>19</t>
        </is>
      </c>
      <c r="B20" s="19" t="inlineStr">
        <is>
          <t>4</t>
        </is>
      </c>
      <c r="C20" s="19" t="inlineStr">
        <is>
          <t>105</t>
        </is>
      </c>
      <c r="D20" t="n">
        <v>10</v>
      </c>
      <c r="E20" s="19" t="inlineStr">
        <is>
          <t>18</t>
        </is>
      </c>
      <c r="F20" t="n">
        <v>1</v>
      </c>
      <c r="G20" t="inlineStr">
        <is>
          <t>UOM=ADT;LINE_WEIGHT_KG=70.0</t>
        </is>
      </c>
    </row>
    <row r="21">
      <c r="A21" s="19" t="inlineStr">
        <is>
          <t>20</t>
        </is>
      </c>
      <c r="B21" s="19" t="inlineStr">
        <is>
          <t>4</t>
        </is>
      </c>
      <c r="C21" s="19" t="inlineStr">
        <is>
          <t>7</t>
        </is>
      </c>
      <c r="D21" t="n">
        <v>10</v>
      </c>
      <c r="E21" s="19" t="inlineStr">
        <is>
          <t>18</t>
        </is>
      </c>
      <c r="F21" t="n">
        <v>2</v>
      </c>
      <c r="G21" t="inlineStr">
        <is>
          <t>UOM=ADT;LINE_WEIGHT_KG=2.7</t>
        </is>
      </c>
    </row>
    <row r="22">
      <c r="A22" s="19" t="inlineStr">
        <is>
          <t>21</t>
        </is>
      </c>
      <c r="B22" s="19" t="inlineStr">
        <is>
          <t>4</t>
        </is>
      </c>
      <c r="C22" s="19" t="inlineStr">
        <is>
          <t>102</t>
        </is>
      </c>
      <c r="D22" t="n">
        <v>5</v>
      </c>
      <c r="E22" s="19" t="inlineStr">
        <is>
          <t>18</t>
        </is>
      </c>
      <c r="F22" t="n">
        <v>3</v>
      </c>
      <c r="G22" t="inlineStr">
        <is>
          <t>UOM=ADT;LINE_WEIGHT_KG=2.0</t>
        </is>
      </c>
    </row>
    <row r="23">
      <c r="A23" s="19" t="inlineStr">
        <is>
          <t>22</t>
        </is>
      </c>
      <c r="B23" s="19" t="inlineStr">
        <is>
          <t>4</t>
        </is>
      </c>
      <c r="C23" s="19" t="inlineStr">
        <is>
          <t>103</t>
        </is>
      </c>
      <c r="D23" t="n">
        <v>12</v>
      </c>
      <c r="E23" s="19" t="inlineStr">
        <is>
          <t>18</t>
        </is>
      </c>
      <c r="F23" t="n">
        <v>4</v>
      </c>
      <c r="G23" t="inlineStr">
        <is>
          <t>UOM=M;LINE_WEIGHT_KG=0.3</t>
        </is>
      </c>
    </row>
    <row r="24">
      <c r="A24" s="19" t="inlineStr">
        <is>
          <t>23</t>
        </is>
      </c>
      <c r="B24" s="19" t="inlineStr">
        <is>
          <t>4</t>
        </is>
      </c>
      <c r="C24" s="19" t="inlineStr">
        <is>
          <t>110</t>
        </is>
      </c>
      <c r="D24" t="n">
        <v>4</v>
      </c>
      <c r="E24" s="19" t="inlineStr">
        <is>
          <t>18</t>
        </is>
      </c>
      <c r="F24" t="n">
        <v>5</v>
      </c>
      <c r="G24" t="inlineStr">
        <is>
          <t>UOM=ADT;LINE_WEIGHT_KG=2.0</t>
        </is>
      </c>
    </row>
    <row r="25">
      <c r="A25" s="19" t="inlineStr">
        <is>
          <t>24</t>
        </is>
      </c>
      <c r="B25" s="19" t="inlineStr">
        <is>
          <t>4</t>
        </is>
      </c>
      <c r="C25" s="19" t="inlineStr">
        <is>
          <t>109</t>
        </is>
      </c>
      <c r="D25" t="n">
        <v>2</v>
      </c>
      <c r="E25" s="19" t="inlineStr">
        <is>
          <t>18</t>
        </is>
      </c>
      <c r="F25" t="n">
        <v>6</v>
      </c>
      <c r="G25" t="inlineStr">
        <is>
          <t>UOM=ADT;LINE_WEIGHT_KG=1.0</t>
        </is>
      </c>
    </row>
    <row r="26">
      <c r="A26" s="19" t="inlineStr">
        <is>
          <t>25</t>
        </is>
      </c>
      <c r="B26" s="19" t="inlineStr">
        <is>
          <t>4</t>
        </is>
      </c>
      <c r="C26" s="19" t="inlineStr">
        <is>
          <t>104</t>
        </is>
      </c>
      <c r="D26" t="n">
        <v>1</v>
      </c>
      <c r="E26" s="19" t="inlineStr">
        <is>
          <t>18</t>
        </is>
      </c>
      <c r="F26" t="n">
        <v>7</v>
      </c>
      <c r="G26" t="inlineStr">
        <is>
          <t>UOM=ADT;LINE_WEIGHT_KG=0.04</t>
        </is>
      </c>
    </row>
    <row r="27">
      <c r="A27" s="19" t="inlineStr">
        <is>
          <t>26</t>
        </is>
      </c>
      <c r="B27" s="19" t="inlineStr">
        <is>
          <t>4</t>
        </is>
      </c>
      <c r="C27" s="19" t="inlineStr">
        <is>
          <t>108</t>
        </is>
      </c>
      <c r="D27" t="n">
        <v>4</v>
      </c>
      <c r="E27" s="19" t="inlineStr">
        <is>
          <t>18</t>
        </is>
      </c>
      <c r="F27" t="n">
        <v>8</v>
      </c>
      <c r="G27" t="inlineStr">
        <is>
          <t>UOM=ADT;LINE_WEIGHT_KG=0.02</t>
        </is>
      </c>
    </row>
    <row r="28">
      <c r="A28" s="19" t="inlineStr">
        <is>
          <t>27</t>
        </is>
      </c>
      <c r="B28" s="19" t="inlineStr">
        <is>
          <t>5</t>
        </is>
      </c>
      <c r="C28" s="19" t="inlineStr">
        <is>
          <t>106</t>
        </is>
      </c>
      <c r="D28" t="n">
        <v>11</v>
      </c>
      <c r="E28" s="19" t="inlineStr">
        <is>
          <t>18</t>
        </is>
      </c>
      <c r="F28" t="n">
        <v>1</v>
      </c>
      <c r="G28" t="inlineStr">
        <is>
          <t>UOM=ADT;LINE_WEIGHT_KG=71.5</t>
        </is>
      </c>
    </row>
    <row r="29">
      <c r="A29" s="19" t="inlineStr">
        <is>
          <t>28</t>
        </is>
      </c>
      <c r="B29" s="19" t="inlineStr">
        <is>
          <t>5</t>
        </is>
      </c>
      <c r="C29" s="19" t="inlineStr">
        <is>
          <t>7</t>
        </is>
      </c>
      <c r="D29" t="n">
        <v>10</v>
      </c>
      <c r="E29" s="19" t="inlineStr">
        <is>
          <t>18</t>
        </is>
      </c>
      <c r="F29" t="n">
        <v>2</v>
      </c>
      <c r="G29" t="inlineStr">
        <is>
          <t>UOM=ADT;LINE_WEIGHT_KG=2.7</t>
        </is>
      </c>
    </row>
    <row r="30">
      <c r="A30" s="19" t="inlineStr">
        <is>
          <t>29</t>
        </is>
      </c>
      <c r="B30" s="19" t="inlineStr">
        <is>
          <t>5</t>
        </is>
      </c>
      <c r="C30" s="19" t="inlineStr">
        <is>
          <t>102</t>
        </is>
      </c>
      <c r="D30" t="n">
        <v>10</v>
      </c>
      <c r="E30" s="19" t="inlineStr">
        <is>
          <t>18</t>
        </is>
      </c>
      <c r="F30" t="n">
        <v>3</v>
      </c>
      <c r="G30" t="inlineStr">
        <is>
          <t>UOM=ADT;LINE_WEIGHT_KG=4.0</t>
        </is>
      </c>
    </row>
    <row r="31">
      <c r="A31" s="19" t="inlineStr">
        <is>
          <t>30</t>
        </is>
      </c>
      <c r="B31" s="19" t="inlineStr">
        <is>
          <t>5</t>
        </is>
      </c>
      <c r="C31" s="19" t="inlineStr">
        <is>
          <t>103</t>
        </is>
      </c>
      <c r="D31" t="n">
        <v>12</v>
      </c>
      <c r="E31" s="19" t="inlineStr">
        <is>
          <t>18</t>
        </is>
      </c>
      <c r="F31" t="n">
        <v>4</v>
      </c>
      <c r="G31" t="inlineStr">
        <is>
          <t>UOM=M;LINE_WEIGHT_KG=0.3</t>
        </is>
      </c>
    </row>
    <row r="32">
      <c r="A32" s="19" t="inlineStr">
        <is>
          <t>31</t>
        </is>
      </c>
      <c r="B32" s="19" t="inlineStr">
        <is>
          <t>5</t>
        </is>
      </c>
      <c r="C32" s="19" t="inlineStr">
        <is>
          <t>110</t>
        </is>
      </c>
      <c r="D32" t="n">
        <v>7</v>
      </c>
      <c r="E32" s="19" t="inlineStr">
        <is>
          <t>18</t>
        </is>
      </c>
      <c r="F32" t="n">
        <v>5</v>
      </c>
      <c r="G32" t="inlineStr">
        <is>
          <t>UOM=ADT;LINE_WEIGHT_KG=3.5</t>
        </is>
      </c>
    </row>
    <row r="33">
      <c r="A33" s="19" t="inlineStr">
        <is>
          <t>32</t>
        </is>
      </c>
      <c r="B33" s="19" t="inlineStr">
        <is>
          <t>5</t>
        </is>
      </c>
      <c r="C33" s="19" t="inlineStr">
        <is>
          <t>109</t>
        </is>
      </c>
      <c r="D33" t="n">
        <v>2</v>
      </c>
      <c r="E33" s="19" t="inlineStr">
        <is>
          <t>18</t>
        </is>
      </c>
      <c r="F33" t="n">
        <v>6</v>
      </c>
      <c r="G33" t="inlineStr">
        <is>
          <t>UOM=ADT;LINE_WEIGHT_KG=1.0</t>
        </is>
      </c>
    </row>
    <row r="34">
      <c r="A34" s="19" t="inlineStr">
        <is>
          <t>33</t>
        </is>
      </c>
      <c r="B34" s="19" t="inlineStr">
        <is>
          <t>5</t>
        </is>
      </c>
      <c r="C34" s="19" t="inlineStr">
        <is>
          <t>104</t>
        </is>
      </c>
      <c r="D34" t="n">
        <v>1</v>
      </c>
      <c r="E34" s="19" t="inlineStr">
        <is>
          <t>18</t>
        </is>
      </c>
      <c r="F34" t="n">
        <v>7</v>
      </c>
      <c r="G34" t="inlineStr">
        <is>
          <t>UOM=ADT;LINE_WEIGHT_KG=0.04</t>
        </is>
      </c>
    </row>
    <row r="35">
      <c r="A35" s="19" t="inlineStr">
        <is>
          <t>34</t>
        </is>
      </c>
      <c r="B35" s="19" t="inlineStr">
        <is>
          <t>5</t>
        </is>
      </c>
      <c r="C35" s="19" t="inlineStr">
        <is>
          <t>108</t>
        </is>
      </c>
      <c r="D35" t="n">
        <v>4</v>
      </c>
      <c r="E35" s="19" t="inlineStr">
        <is>
          <t>18</t>
        </is>
      </c>
      <c r="F35" t="n">
        <v>8</v>
      </c>
      <c r="G35" t="inlineStr">
        <is>
          <t>UOM=ADT;LINE_WEIGHT_KG=0.02</t>
        </is>
      </c>
    </row>
    <row r="36">
      <c r="A36" s="19" t="inlineStr">
        <is>
          <t>35</t>
        </is>
      </c>
      <c r="B36" s="19" t="inlineStr">
        <is>
          <t>6</t>
        </is>
      </c>
      <c r="C36" s="19" t="inlineStr">
        <is>
          <t>102</t>
        </is>
      </c>
      <c r="D36" t="n">
        <v>26</v>
      </c>
      <c r="E36" s="19" t="inlineStr">
        <is>
          <t>18</t>
        </is>
      </c>
      <c r="F36" t="n">
        <v>1</v>
      </c>
      <c r="G36" t="inlineStr">
        <is>
          <t>UOM=ADT;LINE_WEIGHT_KG=10.4</t>
        </is>
      </c>
    </row>
    <row r="37">
      <c r="A37" s="19" t="inlineStr">
        <is>
          <t>36</t>
        </is>
      </c>
      <c r="B37" s="19" t="inlineStr">
        <is>
          <t>6</t>
        </is>
      </c>
      <c r="C37" s="19" t="inlineStr">
        <is>
          <t>103</t>
        </is>
      </c>
      <c r="D37" t="n">
        <v>12</v>
      </c>
      <c r="E37" s="19" t="inlineStr">
        <is>
          <t>18</t>
        </is>
      </c>
      <c r="F37" t="n">
        <v>2</v>
      </c>
      <c r="G37" t="inlineStr">
        <is>
          <t>UOM=M;LINE_WEIGHT_KG=0.3</t>
        </is>
      </c>
    </row>
    <row r="38">
      <c r="A38" s="19" t="inlineStr">
        <is>
          <t>37</t>
        </is>
      </c>
      <c r="B38" s="19" t="inlineStr">
        <is>
          <t>6</t>
        </is>
      </c>
      <c r="C38" s="19" t="inlineStr">
        <is>
          <t>104</t>
        </is>
      </c>
      <c r="D38" t="n">
        <v>1</v>
      </c>
      <c r="E38" s="19" t="inlineStr">
        <is>
          <t>18</t>
        </is>
      </c>
      <c r="F38" t="n">
        <v>3</v>
      </c>
      <c r="G38" t="inlineStr">
        <is>
          <t>UOM=ADT;LINE_WEIGHT_KG=0.04</t>
        </is>
      </c>
    </row>
    <row r="39">
      <c r="A39" s="19" t="inlineStr">
        <is>
          <t>38</t>
        </is>
      </c>
      <c r="B39" s="19" t="inlineStr">
        <is>
          <t>6</t>
        </is>
      </c>
      <c r="C39" s="19" t="inlineStr">
        <is>
          <t>108</t>
        </is>
      </c>
      <c r="D39" t="n">
        <v>4</v>
      </c>
      <c r="E39" s="19" t="inlineStr">
        <is>
          <t>18</t>
        </is>
      </c>
      <c r="F39" t="n">
        <v>4</v>
      </c>
      <c r="G39" t="inlineStr">
        <is>
          <t>UOM=ADT;LINE_WEIGHT_KG=0.02</t>
        </is>
      </c>
    </row>
    <row r="40">
      <c r="A40" s="19" t="inlineStr">
        <is>
          <t>39</t>
        </is>
      </c>
      <c r="B40" s="19" t="inlineStr">
        <is>
          <t>6</t>
        </is>
      </c>
      <c r="C40" s="19" t="inlineStr">
        <is>
          <t>109</t>
        </is>
      </c>
      <c r="D40" t="n">
        <v>4</v>
      </c>
      <c r="E40" s="19" t="inlineStr">
        <is>
          <t>18</t>
        </is>
      </c>
      <c r="F40" t="n">
        <v>5</v>
      </c>
      <c r="G40" t="inlineStr">
        <is>
          <t>UOM=ADT;LINE_WEIGHT_KG=2.0</t>
        </is>
      </c>
    </row>
    <row r="41">
      <c r="A41" s="19" t="inlineStr">
        <is>
          <t>40</t>
        </is>
      </c>
      <c r="B41" s="19" t="inlineStr">
        <is>
          <t>7</t>
        </is>
      </c>
      <c r="C41" s="19" t="inlineStr">
        <is>
          <t>107</t>
        </is>
      </c>
      <c r="D41" t="n">
        <v>11</v>
      </c>
      <c r="E41" s="19" t="inlineStr">
        <is>
          <t>18</t>
        </is>
      </c>
      <c r="F41" t="n">
        <v>1</v>
      </c>
      <c r="G41" t="inlineStr">
        <is>
          <t>UOM=ADT;LINE_WEIGHT_KG=143.0</t>
        </is>
      </c>
    </row>
    <row r="42">
      <c r="A42" s="19" t="inlineStr">
        <is>
          <t>41</t>
        </is>
      </c>
      <c r="B42" s="19" t="inlineStr">
        <is>
          <t>7</t>
        </is>
      </c>
      <c r="C42" s="19" t="inlineStr">
        <is>
          <t>111</t>
        </is>
      </c>
      <c r="D42" t="n">
        <v>2</v>
      </c>
      <c r="E42" s="19" t="inlineStr">
        <is>
          <t>18</t>
        </is>
      </c>
      <c r="F42" t="n">
        <v>2</v>
      </c>
      <c r="G42" t="inlineStr">
        <is>
          <t>UOM=ADT;LINE_WEIGHT_KG=36.0</t>
        </is>
      </c>
    </row>
    <row r="43">
      <c r="A43" s="19" t="inlineStr">
        <is>
          <t>42</t>
        </is>
      </c>
      <c r="B43" s="19" t="inlineStr">
        <is>
          <t>7</t>
        </is>
      </c>
      <c r="C43" s="19" t="inlineStr">
        <is>
          <t>111</t>
        </is>
      </c>
      <c r="D43" t="n">
        <v>2</v>
      </c>
      <c r="E43" s="19" t="inlineStr">
        <is>
          <t>18</t>
        </is>
      </c>
      <c r="F43" t="n">
        <v>3</v>
      </c>
      <c r="G43" t="inlineStr">
        <is>
          <t>UOM=ADT;LINE_WEIGHT_KG=15.0</t>
        </is>
      </c>
    </row>
  </sheetData>
  <dataValidations count="1">
    <dataValidation sqref="E2:E5000" showDropDown="0" showInputMessage="0" showErrorMessage="1" allowBlank="1" errorTitle="Lookup FK" error="Value must exist in LKP_LINE_ROLE" type="list">
      <formula1>NR_LINE_ROLE_ID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P19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3"/>
    <col width="18" customWidth="1" min="4" max="4"/>
    <col width="14" customWidth="1" min="5" max="5"/>
    <col width="22" customWidth="1" min="6" max="6"/>
    <col width="14" customWidth="1" min="7" max="7"/>
    <col width="22" customWidth="1" min="8" max="8"/>
    <col width="14" customWidth="1" min="9" max="9"/>
    <col width="19" customWidth="1" min="10" max="10"/>
    <col width="14" customWidth="1" min="11" max="11"/>
    <col width="12" customWidth="1" min="12" max="13"/>
    <col width="36" customWidth="1" min="14" max="14"/>
    <col width="12" customWidth="1" min="15" max="16"/>
  </cols>
  <sheetData>
    <row r="1" ht="27.95" customHeight="1">
      <c r="A1" s="6" t="inlineStr">
        <is>
          <t>COMMERCIAL_SCENARIO_ID</t>
        </is>
      </c>
      <c r="B1" s="6" t="inlineStr">
        <is>
          <t>COMMERCIAL_SCENARIO_CODE</t>
        </is>
      </c>
      <c r="C1" s="6" t="inlineStr">
        <is>
          <t>COMMERCIAL_SCENARIO_NAME</t>
        </is>
      </c>
      <c r="D1" s="6" t="inlineStr">
        <is>
          <t>SCENARIO_TYPE_ID</t>
        </is>
      </c>
      <c r="E1" s="6" t="inlineStr">
        <is>
          <t>PRODUCT_ID</t>
        </is>
      </c>
      <c r="F1" s="6" t="inlineStr">
        <is>
          <t>TRANSPORT_CONFIGURATION_ID</t>
        </is>
      </c>
      <c r="G1" s="6" t="inlineStr">
        <is>
          <t>CUSTOMER_ID</t>
        </is>
      </c>
      <c r="H1" s="6" t="inlineStr">
        <is>
          <t>DESTINATION_COUNTRY_ID</t>
        </is>
      </c>
      <c r="I1" s="6" t="inlineStr">
        <is>
          <t>INCOTERM_ID</t>
        </is>
      </c>
      <c r="J1" s="6" t="inlineStr">
        <is>
          <t>TRANSPORT_MODE_ID</t>
        </is>
      </c>
      <c r="K1" s="6" t="inlineStr">
        <is>
          <t>STATUS_ID</t>
        </is>
      </c>
      <c r="L1" s="6" t="inlineStr">
        <is>
          <t>VALID_FROM</t>
        </is>
      </c>
      <c r="M1" s="6" t="inlineStr">
        <is>
          <t>VALID_TO</t>
        </is>
      </c>
      <c r="N1" s="6" t="inlineStr">
        <is>
          <t>NOTES</t>
        </is>
      </c>
      <c r="O1" s="6" t="inlineStr">
        <is>
          <t>CREATED_AT</t>
        </is>
      </c>
      <c r="P1" s="6" t="inlineStr">
        <is>
          <t>UPDATED_AT</t>
        </is>
      </c>
    </row>
    <row r="2">
      <c r="A2" s="19" t="inlineStr">
        <is>
          <t>1</t>
        </is>
      </c>
      <c r="B2" s="19" t="inlineStr">
        <is>
          <t>SC-1015169-ST-012-EUR-01</t>
        </is>
      </c>
      <c r="C2" t="inlineStr">
        <is>
          <t>1015169 → ST-012-EUR-01</t>
        </is>
      </c>
      <c r="D2" s="19" t="inlineStr">
        <is>
          <t>2</t>
        </is>
      </c>
      <c r="E2" s="19" t="inlineStr">
        <is>
          <t>1915</t>
        </is>
      </c>
      <c r="F2" s="19" t="inlineStr">
        <is>
          <t>8</t>
        </is>
      </c>
      <c r="G2" s="19" t="n"/>
      <c r="H2" s="19" t="inlineStr">
        <is>
          <t>2</t>
        </is>
      </c>
      <c r="I2" s="19" t="n"/>
      <c r="J2" s="19" t="n"/>
      <c r="K2" s="19" t="inlineStr">
        <is>
          <t>2</t>
        </is>
      </c>
      <c r="L2" t="inlineStr">
        <is>
          <t>2026-08-08</t>
        </is>
      </c>
      <c r="N2" t="inlineStr">
        <is>
          <t>IN_SCOPE_FINAL; SOURCE_CFG=IA-ST-CFG-0004; MARKET=GY EUR; STATUS=IN OEM / EU PACKAGE</t>
        </is>
      </c>
      <c r="O2" t="inlineStr">
        <is>
          <t>2026-08-10T19:29:54Z</t>
        </is>
      </c>
      <c r="P2" t="inlineStr">
        <is>
          <t>2026-08-10T19:29:54Z</t>
        </is>
      </c>
    </row>
    <row r="3">
      <c r="A3" s="19" t="inlineStr">
        <is>
          <t>2</t>
        </is>
      </c>
      <c r="B3" s="19" t="inlineStr">
        <is>
          <t>SC-1008854-ST-012-EUR-02</t>
        </is>
      </c>
      <c r="C3" t="inlineStr">
        <is>
          <t>1008854 → ST-012-EUR-02</t>
        </is>
      </c>
      <c r="D3" s="19" t="inlineStr">
        <is>
          <t>2</t>
        </is>
      </c>
      <c r="E3" s="19" t="inlineStr">
        <is>
          <t>95</t>
        </is>
      </c>
      <c r="F3" s="19" t="inlineStr">
        <is>
          <t>9</t>
        </is>
      </c>
      <c r="G3" s="19" t="n"/>
      <c r="H3" s="19" t="inlineStr">
        <is>
          <t>2</t>
        </is>
      </c>
      <c r="I3" s="19" t="n"/>
      <c r="J3" s="19" t="n"/>
      <c r="K3" s="19" t="inlineStr">
        <is>
          <t>2</t>
        </is>
      </c>
      <c r="L3" t="inlineStr">
        <is>
          <t>2026-08-08</t>
        </is>
      </c>
      <c r="N3" t="inlineStr">
        <is>
          <t>IN_SCOPE_FINAL; SOURCE_CFG=IA-ST-CFG-0005; MARKET=PSA (Yurt Dışı); STATUS=IN OEM / EU PACKAGE</t>
        </is>
      </c>
      <c r="O3" t="inlineStr">
        <is>
          <t>2026-08-10T19:29:54Z</t>
        </is>
      </c>
      <c r="P3" t="inlineStr">
        <is>
          <t>2026-08-10T19:29:54Z</t>
        </is>
      </c>
    </row>
    <row r="4">
      <c r="A4" s="19" t="inlineStr">
        <is>
          <t>3</t>
        </is>
      </c>
      <c r="B4" s="19" t="inlineStr">
        <is>
          <t>SC-1014904-ST-012-EUR-03</t>
        </is>
      </c>
      <c r="C4" t="inlineStr">
        <is>
          <t>1014904 → ST-012-EUR-03</t>
        </is>
      </c>
      <c r="D4" s="19" t="inlineStr">
        <is>
          <t>2</t>
        </is>
      </c>
      <c r="E4" s="19" t="inlineStr">
        <is>
          <t>1673</t>
        </is>
      </c>
      <c r="F4" s="19" t="inlineStr">
        <is>
          <t>10</t>
        </is>
      </c>
      <c r="G4" s="19" t="n"/>
      <c r="H4" s="19" t="inlineStr">
        <is>
          <t>2</t>
        </is>
      </c>
      <c r="I4" s="19" t="n"/>
      <c r="J4" s="19" t="n"/>
      <c r="K4" s="19" t="inlineStr">
        <is>
          <t>2</t>
        </is>
      </c>
      <c r="L4" t="inlineStr">
        <is>
          <t>2026-08-08</t>
        </is>
      </c>
      <c r="N4" t="inlineStr">
        <is>
          <t>IN_SCOPE_FINAL; SOURCE_CFG=IA-ST-CFG-0006; MARKET=GY ITALY; STATUS=IN OEM / EU PACKAGE</t>
        </is>
      </c>
      <c r="O4" t="inlineStr">
        <is>
          <t>2026-08-10T19:29:54Z</t>
        </is>
      </c>
      <c r="P4" t="inlineStr">
        <is>
          <t>2026-08-10T19:29:54Z</t>
        </is>
      </c>
    </row>
    <row r="5">
      <c r="A5" s="19" t="inlineStr">
        <is>
          <t>4</t>
        </is>
      </c>
      <c r="B5" s="19" t="inlineStr">
        <is>
          <t>SC-1014912-ST-012-EUR-03</t>
        </is>
      </c>
      <c r="C5" t="inlineStr">
        <is>
          <t>1014912 → ST-012-EUR-03</t>
        </is>
      </c>
      <c r="D5" s="19" t="inlineStr">
        <is>
          <t>2</t>
        </is>
      </c>
      <c r="E5" s="19" t="inlineStr">
        <is>
          <t>1681</t>
        </is>
      </c>
      <c r="F5" s="19" t="inlineStr">
        <is>
          <t>10</t>
        </is>
      </c>
      <c r="G5" s="19" t="n"/>
      <c r="H5" s="19" t="inlineStr">
        <is>
          <t>2</t>
        </is>
      </c>
      <c r="I5" s="19" t="n"/>
      <c r="J5" s="19" t="n"/>
      <c r="K5" s="19" t="inlineStr">
        <is>
          <t>2</t>
        </is>
      </c>
      <c r="L5" t="inlineStr">
        <is>
          <t>2026-08-08</t>
        </is>
      </c>
      <c r="N5" t="inlineStr">
        <is>
          <t>IN_SCOPE_FINAL; SOURCE_CFG=IA-ST-CFG-0006; MARKET=GY ITALY; STATUS=IN OEM / EU PACKAGE</t>
        </is>
      </c>
      <c r="O5" t="inlineStr">
        <is>
          <t>2026-08-10T19:29:54Z</t>
        </is>
      </c>
      <c r="P5" t="inlineStr">
        <is>
          <t>2026-08-10T19:29:54Z</t>
        </is>
      </c>
    </row>
    <row r="6">
      <c r="A6" s="19" t="inlineStr">
        <is>
          <t>5</t>
        </is>
      </c>
      <c r="B6" s="19" t="inlineStr">
        <is>
          <t>SC-1015105-ST-018-EUR-01</t>
        </is>
      </c>
      <c r="C6" t="inlineStr">
        <is>
          <t>1015105 → ST-018-EUR-01</t>
        </is>
      </c>
      <c r="D6" s="19" t="inlineStr">
        <is>
          <t>2</t>
        </is>
      </c>
      <c r="E6" s="19" t="inlineStr">
        <is>
          <t>1858</t>
        </is>
      </c>
      <c r="F6" s="19" t="inlineStr">
        <is>
          <t>11</t>
        </is>
      </c>
      <c r="G6" s="19" t="n"/>
      <c r="H6" s="19" t="inlineStr">
        <is>
          <t>2</t>
        </is>
      </c>
      <c r="I6" s="19" t="n"/>
      <c r="J6" s="19" t="n"/>
      <c r="K6" s="19" t="inlineStr">
        <is>
          <t>2</t>
        </is>
      </c>
      <c r="L6" t="inlineStr">
        <is>
          <t>2026-08-08</t>
        </is>
      </c>
      <c r="N6" t="inlineStr">
        <is>
          <t>IN_SCOPE_FINAL; SOURCE_CFG=IA-ST-CFG-0012; MARKET=MERCEDES FRANSA; STATUS=IN OEM / EU PACKAGE</t>
        </is>
      </c>
      <c r="O6" t="inlineStr">
        <is>
          <t>2026-08-10T19:29:54Z</t>
        </is>
      </c>
      <c r="P6" t="inlineStr">
        <is>
          <t>2026-08-10T19:29:54Z</t>
        </is>
      </c>
    </row>
    <row r="7">
      <c r="A7" s="19" t="inlineStr">
        <is>
          <t>6</t>
        </is>
      </c>
      <c r="B7" s="19" t="inlineStr">
        <is>
          <t>SC-1013644-ST-018-EUR-02</t>
        </is>
      </c>
      <c r="C7" t="inlineStr">
        <is>
          <t>1013644 → ST-018-EUR-02</t>
        </is>
      </c>
      <c r="D7" s="19" t="inlineStr">
        <is>
          <t>2</t>
        </is>
      </c>
      <c r="E7" s="19" t="inlineStr">
        <is>
          <t>1059</t>
        </is>
      </c>
      <c r="F7" s="19" t="inlineStr">
        <is>
          <t>12</t>
        </is>
      </c>
      <c r="G7" s="19" t="n"/>
      <c r="H7" s="19" t="inlineStr">
        <is>
          <t>2</t>
        </is>
      </c>
      <c r="I7" s="19" t="n"/>
      <c r="J7" s="19" t="n"/>
      <c r="K7" s="19" t="inlineStr">
        <is>
          <t>2</t>
        </is>
      </c>
      <c r="L7" t="inlineStr">
        <is>
          <t>2026-08-08</t>
        </is>
      </c>
      <c r="N7" t="inlineStr">
        <is>
          <t>IN_SCOPE_FINAL; SOURCE_CFG=IA-ST-CFG-0013; MARKET=CAR PARTS DISTRIBUZIONE İTALYA; STATUS=IN OEM / EU PACKAGE</t>
        </is>
      </c>
      <c r="O7" t="inlineStr">
        <is>
          <t>2026-08-10T19:29:54Z</t>
        </is>
      </c>
      <c r="P7" t="inlineStr">
        <is>
          <t>2026-08-10T19:29:54Z</t>
        </is>
      </c>
    </row>
    <row r="8">
      <c r="A8" s="19" t="inlineStr">
        <is>
          <t>7</t>
        </is>
      </c>
      <c r="B8" s="19" t="inlineStr">
        <is>
          <t>SC-1014048-ST-018-EUR-02</t>
        </is>
      </c>
      <c r="C8" t="inlineStr">
        <is>
          <t>1014048 → ST-018-EUR-02</t>
        </is>
      </c>
      <c r="D8" s="19" t="inlineStr">
        <is>
          <t>2</t>
        </is>
      </c>
      <c r="E8" s="19" t="inlineStr">
        <is>
          <t>1196</t>
        </is>
      </c>
      <c r="F8" s="19" t="inlineStr">
        <is>
          <t>12</t>
        </is>
      </c>
      <c r="G8" s="19" t="n"/>
      <c r="H8" s="19" t="inlineStr">
        <is>
          <t>2</t>
        </is>
      </c>
      <c r="I8" s="19" t="n"/>
      <c r="J8" s="19" t="n"/>
      <c r="K8" s="19" t="inlineStr">
        <is>
          <t>2</t>
        </is>
      </c>
      <c r="L8" t="inlineStr">
        <is>
          <t>2026-08-08</t>
        </is>
      </c>
      <c r="N8" t="inlineStr">
        <is>
          <t>IN_SCOPE_FINAL; SOURCE_CFG=IA-ST-CFG-0013; MARKET=CARANDA ROMANYA; STATUS=IN OEM / EU PACKAGE</t>
        </is>
      </c>
      <c r="O8" t="inlineStr">
        <is>
          <t>2026-08-10T19:29:54Z</t>
        </is>
      </c>
      <c r="P8" t="inlineStr">
        <is>
          <t>2026-08-10T19:29:54Z</t>
        </is>
      </c>
    </row>
    <row r="9">
      <c r="A9" s="19" t="inlineStr">
        <is>
          <t>8</t>
        </is>
      </c>
      <c r="B9" s="19" t="inlineStr">
        <is>
          <t>SC-1014710-ST-018-EUR-02</t>
        </is>
      </c>
      <c r="C9" t="inlineStr">
        <is>
          <t>1014710 → ST-018-EUR-02</t>
        </is>
      </c>
      <c r="D9" s="19" t="inlineStr">
        <is>
          <t>2</t>
        </is>
      </c>
      <c r="E9" s="19" t="inlineStr">
        <is>
          <t>1556</t>
        </is>
      </c>
      <c r="F9" s="19" t="inlineStr">
        <is>
          <t>12</t>
        </is>
      </c>
      <c r="G9" s="19" t="n"/>
      <c r="H9" s="19" t="inlineStr">
        <is>
          <t>2</t>
        </is>
      </c>
      <c r="I9" s="19" t="n"/>
      <c r="J9" s="19" t="n"/>
      <c r="K9" s="19" t="inlineStr">
        <is>
          <t>2</t>
        </is>
      </c>
      <c r="L9" t="inlineStr">
        <is>
          <t>2026-08-08</t>
        </is>
      </c>
      <c r="N9" t="inlineStr">
        <is>
          <t>IN_SCOPE_FINAL; SOURCE_CFG=IA-ST-CFG-0013; MARKET=BATERIE PRZEMYSLOWE POLONYA; STATUS=IN OEM / EU PACKAGE</t>
        </is>
      </c>
      <c r="O9" t="inlineStr">
        <is>
          <t>2026-08-10T19:29:54Z</t>
        </is>
      </c>
      <c r="P9" t="inlineStr">
        <is>
          <t>2026-08-10T19:29:54Z</t>
        </is>
      </c>
    </row>
    <row r="10">
      <c r="A10" s="19" t="inlineStr">
        <is>
          <t>9</t>
        </is>
      </c>
      <c r="B10" s="19" t="inlineStr">
        <is>
          <t>SC-1014775-ST-018-EUR-02</t>
        </is>
      </c>
      <c r="C10" t="inlineStr">
        <is>
          <t>1014775 → ST-018-EUR-02</t>
        </is>
      </c>
      <c r="D10" s="19" t="inlineStr">
        <is>
          <t>2</t>
        </is>
      </c>
      <c r="E10" s="19" t="inlineStr">
        <is>
          <t>1600</t>
        </is>
      </c>
      <c r="F10" s="19" t="inlineStr">
        <is>
          <t>12</t>
        </is>
      </c>
      <c r="G10" s="19" t="n"/>
      <c r="H10" s="19" t="inlineStr">
        <is>
          <t>2</t>
        </is>
      </c>
      <c r="I10" s="19" t="n"/>
      <c r="J10" s="19" t="n"/>
      <c r="K10" s="19" t="inlineStr">
        <is>
          <t>2</t>
        </is>
      </c>
      <c r="L10" t="inlineStr">
        <is>
          <t>2026-08-08</t>
        </is>
      </c>
      <c r="N10" t="inlineStr">
        <is>
          <t>IN_SCOPE_FINAL; SOURCE_CFG=IA-ST-CFG-0013; MARKET=SKG İTALYA; STATUS=IN OEM / EU PACKAGE</t>
        </is>
      </c>
      <c r="O10" t="inlineStr">
        <is>
          <t>2026-08-10T19:29:54Z</t>
        </is>
      </c>
      <c r="P10" t="inlineStr">
        <is>
          <t>2026-08-10T19:29:54Z</t>
        </is>
      </c>
    </row>
    <row r="11">
      <c r="A11" s="19" t="inlineStr">
        <is>
          <t>10</t>
        </is>
      </c>
      <c r="B11" s="19" t="inlineStr">
        <is>
          <t>SC-1005176-ST-018-EUR-03</t>
        </is>
      </c>
      <c r="C11" t="inlineStr">
        <is>
          <t>1005176 → ST-018-EUR-03</t>
        </is>
      </c>
      <c r="D11" s="19" t="inlineStr">
        <is>
          <t>2</t>
        </is>
      </c>
      <c r="E11" s="19" t="inlineStr">
        <is>
          <t>39</t>
        </is>
      </c>
      <c r="F11" s="19" t="inlineStr">
        <is>
          <t>13</t>
        </is>
      </c>
      <c r="G11" s="19" t="n"/>
      <c r="H11" s="19" t="inlineStr">
        <is>
          <t>2</t>
        </is>
      </c>
      <c r="I11" s="19" t="n"/>
      <c r="J11" s="19" t="n"/>
      <c r="K11" s="19" t="inlineStr">
        <is>
          <t>2</t>
        </is>
      </c>
      <c r="L11" t="inlineStr">
        <is>
          <t>2026-08-08</t>
        </is>
      </c>
      <c r="N11" t="inlineStr">
        <is>
          <t>IN_SCOPE_FINAL; SOURCE_CFG=IA-ST-CFG-0014; MARKET=None; STATUS=IN OEM / EU PACKAGE</t>
        </is>
      </c>
      <c r="O11" t="inlineStr">
        <is>
          <t>2026-08-10T19:29:54Z</t>
        </is>
      </c>
      <c r="P11" t="inlineStr">
        <is>
          <t>2026-08-10T19:29:54Z</t>
        </is>
      </c>
    </row>
    <row r="12">
      <c r="A12" s="19" t="inlineStr">
        <is>
          <t>11</t>
        </is>
      </c>
      <c r="B12" s="19" t="inlineStr">
        <is>
          <t>SC-1008110-ST-018-EUR-03</t>
        </is>
      </c>
      <c r="C12" t="inlineStr">
        <is>
          <t>1008110 → ST-018-EUR-03</t>
        </is>
      </c>
      <c r="D12" s="19" t="inlineStr">
        <is>
          <t>2</t>
        </is>
      </c>
      <c r="E12" s="19" t="inlineStr">
        <is>
          <t>79</t>
        </is>
      </c>
      <c r="F12" s="19" t="inlineStr">
        <is>
          <t>13</t>
        </is>
      </c>
      <c r="G12" s="19" t="n"/>
      <c r="H12" s="19" t="inlineStr">
        <is>
          <t>2</t>
        </is>
      </c>
      <c r="I12" s="19" t="n"/>
      <c r="J12" s="19" t="n"/>
      <c r="K12" s="19" t="inlineStr">
        <is>
          <t>2</t>
        </is>
      </c>
      <c r="L12" t="inlineStr">
        <is>
          <t>2026-08-08</t>
        </is>
      </c>
      <c r="N12" t="inlineStr">
        <is>
          <t>IN_SCOPE_FINAL; SOURCE_CFG=IA-ST-CFG-0014; MARKET=None; STATUS=IN OEM / EU PACKAGE</t>
        </is>
      </c>
      <c r="O12" t="inlineStr">
        <is>
          <t>2026-08-10T19:29:54Z</t>
        </is>
      </c>
      <c r="P12" t="inlineStr">
        <is>
          <t>2026-08-10T19:29:54Z</t>
        </is>
      </c>
    </row>
    <row r="13">
      <c r="A13" s="19" t="inlineStr">
        <is>
          <t>12</t>
        </is>
      </c>
      <c r="B13" s="19" t="inlineStr">
        <is>
          <t>SC-1013067-ST-018-EUR-03</t>
        </is>
      </c>
      <c r="C13" t="inlineStr">
        <is>
          <t>1013067 → ST-018-EUR-03</t>
        </is>
      </c>
      <c r="D13" s="19" t="inlineStr">
        <is>
          <t>2</t>
        </is>
      </c>
      <c r="E13" s="19" t="inlineStr">
        <is>
          <t>910</t>
        </is>
      </c>
      <c r="F13" s="19" t="inlineStr">
        <is>
          <t>13</t>
        </is>
      </c>
      <c r="G13" s="19" t="n"/>
      <c r="H13" s="19" t="inlineStr">
        <is>
          <t>2</t>
        </is>
      </c>
      <c r="I13" s="19" t="n"/>
      <c r="J13" s="19" t="n"/>
      <c r="K13" s="19" t="inlineStr">
        <is>
          <t>2</t>
        </is>
      </c>
      <c r="L13" t="inlineStr">
        <is>
          <t>2026-08-08</t>
        </is>
      </c>
      <c r="N13" t="inlineStr">
        <is>
          <t>IN_SCOPE_FINAL; SOURCE_CFG=IA-ST-CFG-0014; MARKET=None; STATUS=IN OEM / EU PACKAGE</t>
        </is>
      </c>
      <c r="O13" t="inlineStr">
        <is>
          <t>2026-08-10T19:29:54Z</t>
        </is>
      </c>
      <c r="P13" t="inlineStr">
        <is>
          <t>2026-08-10T19:29:54Z</t>
        </is>
      </c>
    </row>
    <row r="14">
      <c r="A14" s="19" t="inlineStr">
        <is>
          <t>13</t>
        </is>
      </c>
      <c r="B14" s="19" t="inlineStr">
        <is>
          <t>SC-1013281-ST-018-EUR-03</t>
        </is>
      </c>
      <c r="C14" t="inlineStr">
        <is>
          <t>1013281 → ST-018-EUR-03</t>
        </is>
      </c>
      <c r="D14" s="19" t="inlineStr">
        <is>
          <t>2</t>
        </is>
      </c>
      <c r="E14" s="19" t="inlineStr">
        <is>
          <t>967</t>
        </is>
      </c>
      <c r="F14" s="19" t="inlineStr">
        <is>
          <t>13</t>
        </is>
      </c>
      <c r="G14" s="19" t="n"/>
      <c r="H14" s="19" t="inlineStr">
        <is>
          <t>2</t>
        </is>
      </c>
      <c r="I14" s="19" t="n"/>
      <c r="J14" s="19" t="n"/>
      <c r="K14" s="19" t="inlineStr">
        <is>
          <t>2</t>
        </is>
      </c>
      <c r="L14" t="inlineStr">
        <is>
          <t>2026-08-08</t>
        </is>
      </c>
      <c r="N14" t="inlineStr">
        <is>
          <t>IN_SCOPE_FINAL; SOURCE_CFG=IA-ST-CFG-0014; MARKET=LAMPA ITALY İTALYA; STATUS=IN OEM / EU PACKAGE</t>
        </is>
      </c>
      <c r="O14" t="inlineStr">
        <is>
          <t>2026-08-10T19:29:54Z</t>
        </is>
      </c>
      <c r="P14" t="inlineStr">
        <is>
          <t>2026-08-10T19:29:54Z</t>
        </is>
      </c>
    </row>
    <row r="15">
      <c r="A15" s="19" t="inlineStr">
        <is>
          <t>14</t>
        </is>
      </c>
      <c r="B15" s="19" t="inlineStr">
        <is>
          <t>SC-1013283-ST-018-EUR-03</t>
        </is>
      </c>
      <c r="C15" t="inlineStr">
        <is>
          <t>1013283 → ST-018-EUR-03</t>
        </is>
      </c>
      <c r="D15" s="19" t="inlineStr">
        <is>
          <t>2</t>
        </is>
      </c>
      <c r="E15" s="19" t="inlineStr">
        <is>
          <t>968</t>
        </is>
      </c>
      <c r="F15" s="19" t="inlineStr">
        <is>
          <t>13</t>
        </is>
      </c>
      <c r="G15" s="19" t="n"/>
      <c r="H15" s="19" t="inlineStr">
        <is>
          <t>2</t>
        </is>
      </c>
      <c r="I15" s="19" t="n"/>
      <c r="J15" s="19" t="n"/>
      <c r="K15" s="19" t="inlineStr">
        <is>
          <t>2</t>
        </is>
      </c>
      <c r="L15" t="inlineStr">
        <is>
          <t>2026-08-08</t>
        </is>
      </c>
      <c r="N15" t="inlineStr">
        <is>
          <t>IN_SCOPE_FINAL; SOURCE_CFG=IA-ST-CFG-0014; MARKET=LAMPA ITALY İTALYA; STATUS=IN OEM / EU PACKAGE</t>
        </is>
      </c>
      <c r="O15" t="inlineStr">
        <is>
          <t>2026-08-10T19:29:54Z</t>
        </is>
      </c>
      <c r="P15" t="inlineStr">
        <is>
          <t>2026-08-10T19:29:54Z</t>
        </is>
      </c>
    </row>
    <row r="16">
      <c r="A16" s="19" t="inlineStr">
        <is>
          <t>15</t>
        </is>
      </c>
      <c r="B16" s="19" t="inlineStr">
        <is>
          <t>SC-1013312-ST-018-EUR-03</t>
        </is>
      </c>
      <c r="C16" t="inlineStr">
        <is>
          <t>1013312 → ST-018-EUR-03</t>
        </is>
      </c>
      <c r="D16" s="19" t="inlineStr">
        <is>
          <t>2</t>
        </is>
      </c>
      <c r="E16" s="19" t="inlineStr">
        <is>
          <t>974</t>
        </is>
      </c>
      <c r="F16" s="19" t="inlineStr">
        <is>
          <t>13</t>
        </is>
      </c>
      <c r="G16" s="19" t="n"/>
      <c r="H16" s="19" t="inlineStr">
        <is>
          <t>2</t>
        </is>
      </c>
      <c r="I16" s="19" t="n"/>
      <c r="J16" s="19" t="n"/>
      <c r="K16" s="19" t="inlineStr">
        <is>
          <t>2</t>
        </is>
      </c>
      <c r="L16" t="inlineStr">
        <is>
          <t>2026-08-08</t>
        </is>
      </c>
      <c r="N16" t="inlineStr">
        <is>
          <t>IN_SCOPE_FINAL; SOURCE_CFG=IA-ST-CFG-0014; MARKET=CANARIBAT İSPANYA; STATUS=IN OEM / EU PACKAGE</t>
        </is>
      </c>
      <c r="O16" t="inlineStr">
        <is>
          <t>2026-08-10T19:29:54Z</t>
        </is>
      </c>
      <c r="P16" t="inlineStr">
        <is>
          <t>2026-08-10T19:29:54Z</t>
        </is>
      </c>
    </row>
    <row r="17">
      <c r="A17" s="19" t="inlineStr">
        <is>
          <t>16</t>
        </is>
      </c>
      <c r="B17" s="19" t="inlineStr">
        <is>
          <t>SC-1013469-ST-018-EUR-03</t>
        </is>
      </c>
      <c r="C17" t="inlineStr">
        <is>
          <t>1013469 → ST-018-EUR-03</t>
        </is>
      </c>
      <c r="D17" s="19" t="inlineStr">
        <is>
          <t>2</t>
        </is>
      </c>
      <c r="E17" s="19" t="inlineStr">
        <is>
          <t>1012</t>
        </is>
      </c>
      <c r="F17" s="19" t="inlineStr">
        <is>
          <t>13</t>
        </is>
      </c>
      <c r="G17" s="19" t="n"/>
      <c r="H17" s="19" t="inlineStr">
        <is>
          <t>2</t>
        </is>
      </c>
      <c r="I17" s="19" t="n"/>
      <c r="J17" s="19" t="n"/>
      <c r="K17" s="19" t="inlineStr">
        <is>
          <t>2</t>
        </is>
      </c>
      <c r="L17" t="inlineStr">
        <is>
          <t>2026-08-08</t>
        </is>
      </c>
      <c r="N17" t="inlineStr">
        <is>
          <t>IN_SCOPE_FINAL; SOURCE_CFG=IA-ST-CFG-0014; MARKET=None; STATUS=IN OEM / EU PACKAGE</t>
        </is>
      </c>
      <c r="O17" t="inlineStr">
        <is>
          <t>2026-08-10T19:29:54Z</t>
        </is>
      </c>
      <c r="P17" t="inlineStr">
        <is>
          <t>2026-08-10T19:29:54Z</t>
        </is>
      </c>
    </row>
    <row r="18">
      <c r="A18" s="19" t="inlineStr">
        <is>
          <t>17</t>
        </is>
      </c>
      <c r="B18" s="19" t="inlineStr">
        <is>
          <t>SC-1013682-ST-018-EUR-03</t>
        </is>
      </c>
      <c r="C18" t="inlineStr">
        <is>
          <t>1013682 → ST-018-EUR-03</t>
        </is>
      </c>
      <c r="D18" s="19" t="inlineStr">
        <is>
          <t>2</t>
        </is>
      </c>
      <c r="E18" s="19" t="inlineStr">
        <is>
          <t>1064</t>
        </is>
      </c>
      <c r="F18" s="19" t="inlineStr">
        <is>
          <t>13</t>
        </is>
      </c>
      <c r="G18" s="19" t="n"/>
      <c r="H18" s="19" t="inlineStr">
        <is>
          <t>2</t>
        </is>
      </c>
      <c r="I18" s="19" t="n"/>
      <c r="J18" s="19" t="n"/>
      <c r="K18" s="19" t="inlineStr">
        <is>
          <t>2</t>
        </is>
      </c>
      <c r="L18" t="inlineStr">
        <is>
          <t>2026-08-08</t>
        </is>
      </c>
      <c r="N18" t="inlineStr">
        <is>
          <t>IN_SCOPE_FINAL; SOURCE_CFG=IA-ST-CFG-0014; MARKET=None; STATUS=IN OEM / EU PACKAGE</t>
        </is>
      </c>
      <c r="O18" t="inlineStr">
        <is>
          <t>2026-08-10T19:29:54Z</t>
        </is>
      </c>
      <c r="P18" t="inlineStr">
        <is>
          <t>2026-08-10T19:29:54Z</t>
        </is>
      </c>
    </row>
    <row r="19">
      <c r="A19" s="19" t="inlineStr">
        <is>
          <t>18</t>
        </is>
      </c>
      <c r="B19" s="19" t="inlineStr">
        <is>
          <t>SC-1013721-ST-018-EUR-03</t>
        </is>
      </c>
      <c r="C19" t="inlineStr">
        <is>
          <t>1013721 → ST-018-EUR-03</t>
        </is>
      </c>
      <c r="D19" s="19" t="inlineStr">
        <is>
          <t>2</t>
        </is>
      </c>
      <c r="E19" s="19" t="inlineStr">
        <is>
          <t>1071</t>
        </is>
      </c>
      <c r="F19" s="19" t="inlineStr">
        <is>
          <t>13</t>
        </is>
      </c>
      <c r="G19" s="19" t="n"/>
      <c r="H19" s="19" t="inlineStr">
        <is>
          <t>2</t>
        </is>
      </c>
      <c r="I19" s="19" t="n"/>
      <c r="J19" s="19" t="n"/>
      <c r="K19" s="19" t="inlineStr">
        <is>
          <t>2</t>
        </is>
      </c>
      <c r="L19" t="inlineStr">
        <is>
          <t>2026-08-08</t>
        </is>
      </c>
      <c r="N19" t="inlineStr">
        <is>
          <t>IN_SCOPE_FINAL; SOURCE_CFG=IA-ST-CFG-0014; MARKET=None; STATUS=IN OEM / EU PACKAGE</t>
        </is>
      </c>
      <c r="O19" t="inlineStr">
        <is>
          <t>2026-08-10T19:29:54Z</t>
        </is>
      </c>
      <c r="P19" t="inlineStr">
        <is>
          <t>2026-08-10T19:29:54Z</t>
        </is>
      </c>
    </row>
    <row r="20">
      <c r="A20" s="19" t="inlineStr">
        <is>
          <t>19</t>
        </is>
      </c>
      <c r="B20" s="19" t="inlineStr">
        <is>
          <t>SC-1014178-ST-018-EUR-03</t>
        </is>
      </c>
      <c r="C20" t="inlineStr">
        <is>
          <t>1014178 → ST-018-EUR-03</t>
        </is>
      </c>
      <c r="D20" s="19" t="inlineStr">
        <is>
          <t>2</t>
        </is>
      </c>
      <c r="E20" s="19" t="inlineStr">
        <is>
          <t>1256</t>
        </is>
      </c>
      <c r="F20" s="19" t="inlineStr">
        <is>
          <t>13</t>
        </is>
      </c>
      <c r="G20" s="19" t="n"/>
      <c r="H20" s="19" t="inlineStr">
        <is>
          <t>2</t>
        </is>
      </c>
      <c r="I20" s="19" t="n"/>
      <c r="J20" s="19" t="n"/>
      <c r="K20" s="19" t="inlineStr">
        <is>
          <t>2</t>
        </is>
      </c>
      <c r="L20" t="inlineStr">
        <is>
          <t>2026-08-08</t>
        </is>
      </c>
      <c r="N20" t="inlineStr">
        <is>
          <t>IN_SCOPE_FINAL; SOURCE_CFG=IA-ST-CFG-0014; MARKET=None; STATUS=IN OEM / EU PACKAGE</t>
        </is>
      </c>
      <c r="O20" t="inlineStr">
        <is>
          <t>2026-08-10T19:29:54Z</t>
        </is>
      </c>
      <c r="P20" t="inlineStr">
        <is>
          <t>2026-08-10T19:29:54Z</t>
        </is>
      </c>
    </row>
    <row r="21">
      <c r="A21" s="19" t="inlineStr">
        <is>
          <t>20</t>
        </is>
      </c>
      <c r="B21" s="19" t="inlineStr">
        <is>
          <t>SC-1014392-ST-018-EUR-03</t>
        </is>
      </c>
      <c r="C21" t="inlineStr">
        <is>
          <t>1014392 → ST-018-EUR-03</t>
        </is>
      </c>
      <c r="D21" s="19" t="inlineStr">
        <is>
          <t>2</t>
        </is>
      </c>
      <c r="E21" s="19" t="inlineStr">
        <is>
          <t>1342</t>
        </is>
      </c>
      <c r="F21" s="19" t="inlineStr">
        <is>
          <t>13</t>
        </is>
      </c>
      <c r="G21" s="19" t="n"/>
      <c r="H21" s="19" t="inlineStr">
        <is>
          <t>2</t>
        </is>
      </c>
      <c r="I21" s="19" t="n"/>
      <c r="J21" s="19" t="n"/>
      <c r="K21" s="19" t="inlineStr">
        <is>
          <t>2</t>
        </is>
      </c>
      <c r="L21" t="inlineStr">
        <is>
          <t>2026-08-08</t>
        </is>
      </c>
      <c r="N21" t="inlineStr">
        <is>
          <t>IN_SCOPE_FINAL; SOURCE_CFG=IA-ST-CFG-0014; MARKET=None; STATUS=IN OEM / EU PACKAGE</t>
        </is>
      </c>
      <c r="O21" t="inlineStr">
        <is>
          <t>2026-08-10T19:29:54Z</t>
        </is>
      </c>
      <c r="P21" t="inlineStr">
        <is>
          <t>2026-08-10T19:29:54Z</t>
        </is>
      </c>
    </row>
    <row r="22">
      <c r="A22" s="19" t="inlineStr">
        <is>
          <t>21</t>
        </is>
      </c>
      <c r="B22" s="19" t="inlineStr">
        <is>
          <t>SC-1014495-ST-018-EUR-03</t>
        </is>
      </c>
      <c r="C22" t="inlineStr">
        <is>
          <t>1014495 → ST-018-EUR-03</t>
        </is>
      </c>
      <c r="D22" s="19" t="inlineStr">
        <is>
          <t>2</t>
        </is>
      </c>
      <c r="E22" s="19" t="inlineStr">
        <is>
          <t>1419</t>
        </is>
      </c>
      <c r="F22" s="19" t="inlineStr">
        <is>
          <t>13</t>
        </is>
      </c>
      <c r="G22" s="19" t="n"/>
      <c r="H22" s="19" t="inlineStr">
        <is>
          <t>2</t>
        </is>
      </c>
      <c r="I22" s="19" t="n"/>
      <c r="J22" s="19" t="n"/>
      <c r="K22" s="19" t="inlineStr">
        <is>
          <t>2</t>
        </is>
      </c>
      <c r="L22" t="inlineStr">
        <is>
          <t>2026-08-08</t>
        </is>
      </c>
      <c r="N22" t="inlineStr">
        <is>
          <t>IN_SCOPE_FINAL; SOURCE_CFG=IA-ST-CFG-0014; MARKET=None; STATUS=IN OEM / EU PACKAGE</t>
        </is>
      </c>
      <c r="O22" t="inlineStr">
        <is>
          <t>2026-08-10T19:29:54Z</t>
        </is>
      </c>
      <c r="P22" t="inlineStr">
        <is>
          <t>2026-08-10T19:29:54Z</t>
        </is>
      </c>
    </row>
    <row r="23">
      <c r="A23" s="19" t="inlineStr">
        <is>
          <t>22</t>
        </is>
      </c>
      <c r="B23" s="19" t="inlineStr">
        <is>
          <t>SC-1014685-ST-018-EUR-03</t>
        </is>
      </c>
      <c r="C23" t="inlineStr">
        <is>
          <t>1014685 → ST-018-EUR-03</t>
        </is>
      </c>
      <c r="D23" s="19" t="inlineStr">
        <is>
          <t>2</t>
        </is>
      </c>
      <c r="E23" s="19" t="inlineStr">
        <is>
          <t>1537</t>
        </is>
      </c>
      <c r="F23" s="19" t="inlineStr">
        <is>
          <t>13</t>
        </is>
      </c>
      <c r="G23" s="19" t="n"/>
      <c r="H23" s="19" t="inlineStr">
        <is>
          <t>2</t>
        </is>
      </c>
      <c r="I23" s="19" t="n"/>
      <c r="J23" s="19" t="n"/>
      <c r="K23" s="19" t="inlineStr">
        <is>
          <t>2</t>
        </is>
      </c>
      <c r="L23" t="inlineStr">
        <is>
          <t>2026-08-08</t>
        </is>
      </c>
      <c r="N23" t="inlineStr">
        <is>
          <t>IN_SCOPE_FINAL; SOURCE_CFG=IA-ST-CFG-0014; MARKET=None; STATUS=IN OEM / EU PACKAGE</t>
        </is>
      </c>
      <c r="O23" t="inlineStr">
        <is>
          <t>2026-08-10T19:29:54Z</t>
        </is>
      </c>
      <c r="P23" t="inlineStr">
        <is>
          <t>2026-08-10T19:29:54Z</t>
        </is>
      </c>
    </row>
    <row r="24">
      <c r="A24" s="19" t="inlineStr">
        <is>
          <t>23</t>
        </is>
      </c>
      <c r="B24" s="19" t="inlineStr">
        <is>
          <t>SC-1014864-ST-018-EUR-03</t>
        </is>
      </c>
      <c r="C24" t="inlineStr">
        <is>
          <t>1014864 → ST-018-EUR-03</t>
        </is>
      </c>
      <c r="D24" s="19" t="inlineStr">
        <is>
          <t>2</t>
        </is>
      </c>
      <c r="E24" s="19" t="inlineStr">
        <is>
          <t>1647</t>
        </is>
      </c>
      <c r="F24" s="19" t="inlineStr">
        <is>
          <t>13</t>
        </is>
      </c>
      <c r="G24" s="19" t="n"/>
      <c r="H24" s="19" t="inlineStr">
        <is>
          <t>2</t>
        </is>
      </c>
      <c r="I24" s="19" t="n"/>
      <c r="J24" s="19" t="n"/>
      <c r="K24" s="19" t="inlineStr">
        <is>
          <t>2</t>
        </is>
      </c>
      <c r="L24" t="inlineStr">
        <is>
          <t>2026-08-08</t>
        </is>
      </c>
      <c r="N24" t="inlineStr">
        <is>
          <t>IN_SCOPE_FINAL; SOURCE_CFG=IA-ST-CFG-0014; MARKET=ALEX ARABATZIS BSA(YUNANİSTAN); STATUS=IN OEM / EU PACKAGE</t>
        </is>
      </c>
      <c r="O24" t="inlineStr">
        <is>
          <t>2026-08-10T19:29:54Z</t>
        </is>
      </c>
      <c r="P24" t="inlineStr">
        <is>
          <t>2026-08-10T19:29:54Z</t>
        </is>
      </c>
    </row>
    <row r="25">
      <c r="A25" s="19" t="inlineStr">
        <is>
          <t>24</t>
        </is>
      </c>
      <c r="B25" s="19" t="inlineStr">
        <is>
          <t>SC-1014865-ST-018-EUR-03</t>
        </is>
      </c>
      <c r="C25" t="inlineStr">
        <is>
          <t>1014865 → ST-018-EUR-03</t>
        </is>
      </c>
      <c r="D25" s="19" t="inlineStr">
        <is>
          <t>2</t>
        </is>
      </c>
      <c r="E25" s="19" t="inlineStr">
        <is>
          <t>1648</t>
        </is>
      </c>
      <c r="F25" s="19" t="inlineStr">
        <is>
          <t>13</t>
        </is>
      </c>
      <c r="G25" s="19" t="n"/>
      <c r="H25" s="19" t="inlineStr">
        <is>
          <t>2</t>
        </is>
      </c>
      <c r="I25" s="19" t="n"/>
      <c r="J25" s="19" t="n"/>
      <c r="K25" s="19" t="inlineStr">
        <is>
          <t>2</t>
        </is>
      </c>
      <c r="L25" t="inlineStr">
        <is>
          <t>2026-08-08</t>
        </is>
      </c>
      <c r="N25" t="inlineStr">
        <is>
          <t>IN_SCOPE_FINAL; SOURCE_CFG=IA-ST-CFG-0014; MARKET=ALEX ARABATZIS BSA(YUNANİSTAN); STATUS=IN OEM / EU PACKAGE</t>
        </is>
      </c>
      <c r="O25" t="inlineStr">
        <is>
          <t>2026-08-10T19:29:54Z</t>
        </is>
      </c>
      <c r="P25" t="inlineStr">
        <is>
          <t>2026-08-10T19:29:54Z</t>
        </is>
      </c>
    </row>
    <row r="26">
      <c r="A26" s="19" t="inlineStr">
        <is>
          <t>25</t>
        </is>
      </c>
      <c r="B26" s="19" t="inlineStr">
        <is>
          <t>SC-1014947-ST-018-EUR-03</t>
        </is>
      </c>
      <c r="C26" t="inlineStr">
        <is>
          <t>1014947 → ST-018-EUR-03</t>
        </is>
      </c>
      <c r="D26" s="19" t="inlineStr">
        <is>
          <t>2</t>
        </is>
      </c>
      <c r="E26" s="19" t="inlineStr">
        <is>
          <t>1714</t>
        </is>
      </c>
      <c r="F26" s="19" t="inlineStr">
        <is>
          <t>13</t>
        </is>
      </c>
      <c r="G26" s="19" t="n"/>
      <c r="H26" s="19" t="inlineStr">
        <is>
          <t>2</t>
        </is>
      </c>
      <c r="I26" s="19" t="n"/>
      <c r="J26" s="19" t="n"/>
      <c r="K26" s="19" t="inlineStr">
        <is>
          <t>2</t>
        </is>
      </c>
      <c r="L26" t="inlineStr">
        <is>
          <t>2026-08-08</t>
        </is>
      </c>
      <c r="N26" t="inlineStr">
        <is>
          <t>IN_SCOPE_FINAL; SOURCE_CFG=IA-ST-CFG-0014; MARKET=ALEX ARABATZIS BSA(YUNANİSTAN); STATUS=IN OEM / EU PACKAGE</t>
        </is>
      </c>
      <c r="O26" t="inlineStr">
        <is>
          <t>2026-08-10T19:29:54Z</t>
        </is>
      </c>
      <c r="P26" t="inlineStr">
        <is>
          <t>2026-08-10T19:29:54Z</t>
        </is>
      </c>
    </row>
    <row r="27">
      <c r="A27" s="19" t="inlineStr">
        <is>
          <t>26</t>
        </is>
      </c>
      <c r="B27" s="19" t="inlineStr">
        <is>
          <t>SC-1015132-ST-018-EUR-03</t>
        </is>
      </c>
      <c r="C27" t="inlineStr">
        <is>
          <t>1015132 → ST-018-EUR-03</t>
        </is>
      </c>
      <c r="D27" s="19" t="inlineStr">
        <is>
          <t>2</t>
        </is>
      </c>
      <c r="E27" s="19" t="inlineStr">
        <is>
          <t>1881</t>
        </is>
      </c>
      <c r="F27" s="19" t="inlineStr">
        <is>
          <t>13</t>
        </is>
      </c>
      <c r="G27" s="19" t="n"/>
      <c r="H27" s="19" t="inlineStr">
        <is>
          <t>2</t>
        </is>
      </c>
      <c r="I27" s="19" t="n"/>
      <c r="J27" s="19" t="n"/>
      <c r="K27" s="19" t="inlineStr">
        <is>
          <t>2</t>
        </is>
      </c>
      <c r="L27" t="inlineStr">
        <is>
          <t>2026-08-08</t>
        </is>
      </c>
      <c r="N27" t="inlineStr">
        <is>
          <t>IN_SCOPE_FINAL; SOURCE_CFG=IA-ST-CFG-0014; MARKET=BOOSTER; STATUS=IN OEM / EU PACKAGE</t>
        </is>
      </c>
      <c r="O27" t="inlineStr">
        <is>
          <t>2026-08-10T19:29:54Z</t>
        </is>
      </c>
      <c r="P27" t="inlineStr">
        <is>
          <t>2026-08-10T19:29:54Z</t>
        </is>
      </c>
    </row>
    <row r="28">
      <c r="A28" s="19" t="inlineStr">
        <is>
          <t>27</t>
        </is>
      </c>
      <c r="B28" s="19" t="inlineStr">
        <is>
          <t>SC-1015166-ST-018-EUR-03</t>
        </is>
      </c>
      <c r="C28" t="inlineStr">
        <is>
          <t>1015166 → ST-018-EUR-03</t>
        </is>
      </c>
      <c r="D28" s="19" t="inlineStr">
        <is>
          <t>2</t>
        </is>
      </c>
      <c r="E28" s="19" t="inlineStr">
        <is>
          <t>1912</t>
        </is>
      </c>
      <c r="F28" s="19" t="inlineStr">
        <is>
          <t>13</t>
        </is>
      </c>
      <c r="G28" s="19" t="n"/>
      <c r="H28" s="19" t="inlineStr">
        <is>
          <t>2</t>
        </is>
      </c>
      <c r="I28" s="19" t="n"/>
      <c r="J28" s="19" t="n"/>
      <c r="K28" s="19" t="inlineStr">
        <is>
          <t>2</t>
        </is>
      </c>
      <c r="L28" t="inlineStr">
        <is>
          <t>2026-08-08</t>
        </is>
      </c>
      <c r="N28" t="inlineStr">
        <is>
          <t>IN_SCOPE_FINAL; SOURCE_CFG=IA-ST-CFG-0014; MARKET=LAMPA ITALY İTALYA; STATUS=IN OEM / EU PACKAGE</t>
        </is>
      </c>
      <c r="O28" t="inlineStr">
        <is>
          <t>2026-08-10T19:29:54Z</t>
        </is>
      </c>
      <c r="P28" t="inlineStr">
        <is>
          <t>2026-08-10T19:29:54Z</t>
        </is>
      </c>
    </row>
    <row r="29">
      <c r="A29" s="19" t="inlineStr">
        <is>
          <t>28</t>
        </is>
      </c>
      <c r="B29" s="19" t="inlineStr">
        <is>
          <t>SC-1015049-ST-018-EUR-03</t>
        </is>
      </c>
      <c r="C29" t="inlineStr">
        <is>
          <t>1015049 → ST-018-EUR-03</t>
        </is>
      </c>
      <c r="D29" s="19" t="inlineStr">
        <is>
          <t>2</t>
        </is>
      </c>
      <c r="E29" s="19" t="inlineStr">
        <is>
          <t>1808</t>
        </is>
      </c>
      <c r="F29" s="19" t="inlineStr">
        <is>
          <t>13</t>
        </is>
      </c>
      <c r="G29" s="19" t="n"/>
      <c r="H29" s="19" t="inlineStr">
        <is>
          <t>2</t>
        </is>
      </c>
      <c r="I29" s="19" t="n"/>
      <c r="J29" s="19" t="n"/>
      <c r="K29" s="19" t="inlineStr">
        <is>
          <t>2</t>
        </is>
      </c>
      <c r="L29" t="inlineStr">
        <is>
          <t>2026-08-08</t>
        </is>
      </c>
      <c r="N29" t="inlineStr">
        <is>
          <t>IN_SCOPE_FINAL; SOURCE_CFG=IA-ST-CFG-0014; MARKET=TEKSAN (Yurt İçi); STATUS=IN OEM / EU PACKAGE</t>
        </is>
      </c>
      <c r="O29" t="inlineStr">
        <is>
          <t>2026-08-10T19:29:54Z</t>
        </is>
      </c>
      <c r="P29" t="inlineStr">
        <is>
          <t>2026-08-10T19:29:54Z</t>
        </is>
      </c>
    </row>
    <row r="30">
      <c r="A30" s="19" t="inlineStr">
        <is>
          <t>29</t>
        </is>
      </c>
      <c r="B30" s="19" t="inlineStr">
        <is>
          <t>SC-1012516-ST-018-EUR-03</t>
        </is>
      </c>
      <c r="C30" t="inlineStr">
        <is>
          <t>1012516 → ST-018-EUR-03</t>
        </is>
      </c>
      <c r="D30" s="19" t="inlineStr">
        <is>
          <t>2</t>
        </is>
      </c>
      <c r="E30" s="19" t="inlineStr">
        <is>
          <t>682</t>
        </is>
      </c>
      <c r="F30" s="19" t="inlineStr">
        <is>
          <t>13</t>
        </is>
      </c>
      <c r="G30" s="19" t="n"/>
      <c r="H30" s="19" t="inlineStr">
        <is>
          <t>2</t>
        </is>
      </c>
      <c r="I30" s="19" t="n"/>
      <c r="J30" s="19" t="n"/>
      <c r="K30" s="19" t="inlineStr">
        <is>
          <t>2</t>
        </is>
      </c>
      <c r="L30" t="inlineStr">
        <is>
          <t>2026-08-08</t>
        </is>
      </c>
      <c r="N30" t="inlineStr">
        <is>
          <t>IN_SCOPE_FINAL; SOURCE_CFG=IA-ST-CFG-0014; MARKET=START TRADING BULGARİSTAN; STATUS=IN OEM / EU PACKAGE</t>
        </is>
      </c>
      <c r="O30" t="inlineStr">
        <is>
          <t>2026-08-10T19:29:54Z</t>
        </is>
      </c>
      <c r="P30" t="inlineStr">
        <is>
          <t>2026-08-10T19:29:54Z</t>
        </is>
      </c>
    </row>
    <row r="31">
      <c r="A31" s="19" t="inlineStr">
        <is>
          <t>30</t>
        </is>
      </c>
      <c r="B31" s="19" t="inlineStr">
        <is>
          <t>SC-1013393-ST-018-EUR-03</t>
        </is>
      </c>
      <c r="C31" t="inlineStr">
        <is>
          <t>1013393 → ST-018-EUR-03</t>
        </is>
      </c>
      <c r="D31" s="19" t="inlineStr">
        <is>
          <t>2</t>
        </is>
      </c>
      <c r="E31" s="19" t="inlineStr">
        <is>
          <t>983</t>
        </is>
      </c>
      <c r="F31" s="19" t="inlineStr">
        <is>
          <t>13</t>
        </is>
      </c>
      <c r="G31" s="19" t="n"/>
      <c r="H31" s="19" t="inlineStr">
        <is>
          <t>2</t>
        </is>
      </c>
      <c r="I31" s="19" t="n"/>
      <c r="J31" s="19" t="n"/>
      <c r="K31" s="19" t="inlineStr">
        <is>
          <t>2</t>
        </is>
      </c>
      <c r="L31" t="inlineStr">
        <is>
          <t>2026-08-08</t>
        </is>
      </c>
      <c r="N31" t="inlineStr">
        <is>
          <t>IN_SCOPE_FINAL; SOURCE_CFG=IA-ST-CFG-0014; MARKET=START TRADING BULGARİSTAN; STATUS=IN OEM / EU PACKAGE</t>
        </is>
      </c>
      <c r="O31" t="inlineStr">
        <is>
          <t>2026-08-10T19:29:54Z</t>
        </is>
      </c>
      <c r="P31" t="inlineStr">
        <is>
          <t>2026-08-10T19:29:54Z</t>
        </is>
      </c>
    </row>
    <row r="32">
      <c r="A32" s="19" t="inlineStr">
        <is>
          <t>31</t>
        </is>
      </c>
      <c r="B32" s="19" t="inlineStr">
        <is>
          <t>SC-1013442-ST-018-EUR-03</t>
        </is>
      </c>
      <c r="C32" t="inlineStr">
        <is>
          <t>1013442 → ST-018-EUR-03</t>
        </is>
      </c>
      <c r="D32" s="19" t="inlineStr">
        <is>
          <t>2</t>
        </is>
      </c>
      <c r="E32" s="19" t="inlineStr">
        <is>
          <t>999</t>
        </is>
      </c>
      <c r="F32" s="19" t="inlineStr">
        <is>
          <t>13</t>
        </is>
      </c>
      <c r="G32" s="19" t="n"/>
      <c r="H32" s="19" t="inlineStr">
        <is>
          <t>2</t>
        </is>
      </c>
      <c r="I32" s="19" t="n"/>
      <c r="J32" s="19" t="n"/>
      <c r="K32" s="19" t="inlineStr">
        <is>
          <t>2</t>
        </is>
      </c>
      <c r="L32" t="inlineStr">
        <is>
          <t>2026-08-08</t>
        </is>
      </c>
      <c r="N32" t="inlineStr">
        <is>
          <t>IN_SCOPE_FINAL; SOURCE_CFG=IA-ST-CFG-0014; MARKET=TEKSAN (Yurt İçi); STATUS=IN OEM / EU PACKAGE</t>
        </is>
      </c>
      <c r="O32" t="inlineStr">
        <is>
          <t>2026-08-10T19:29:54Z</t>
        </is>
      </c>
      <c r="P32" t="inlineStr">
        <is>
          <t>2026-08-10T19:29:54Z</t>
        </is>
      </c>
    </row>
    <row r="33">
      <c r="A33" s="19" t="inlineStr">
        <is>
          <t>32</t>
        </is>
      </c>
      <c r="B33" s="19" t="inlineStr">
        <is>
          <t>SC-1013733-ST-018-EUR-03</t>
        </is>
      </c>
      <c r="C33" t="inlineStr">
        <is>
          <t>1013733 → ST-018-EUR-03</t>
        </is>
      </c>
      <c r="D33" s="19" t="inlineStr">
        <is>
          <t>2</t>
        </is>
      </c>
      <c r="E33" s="19" t="inlineStr">
        <is>
          <t>1074</t>
        </is>
      </c>
      <c r="F33" s="19" t="inlineStr">
        <is>
          <t>13</t>
        </is>
      </c>
      <c r="G33" s="19" t="n"/>
      <c r="H33" s="19" t="inlineStr">
        <is>
          <t>2</t>
        </is>
      </c>
      <c r="I33" s="19" t="n"/>
      <c r="J33" s="19" t="n"/>
      <c r="K33" s="19" t="inlineStr">
        <is>
          <t>2</t>
        </is>
      </c>
      <c r="L33" t="inlineStr">
        <is>
          <t>2026-08-08</t>
        </is>
      </c>
      <c r="N33" t="inlineStr">
        <is>
          <t>IN_SCOPE_FINAL; SOURCE_CFG=IA-ST-CFG-0014; MARKET=START TRADING BULGARİSTAN; STATUS=IN OEM / EU PACKAGE</t>
        </is>
      </c>
      <c r="O33" t="inlineStr">
        <is>
          <t>2026-08-10T19:29:54Z</t>
        </is>
      </c>
      <c r="P33" t="inlineStr">
        <is>
          <t>2026-08-10T19:29:54Z</t>
        </is>
      </c>
    </row>
    <row r="34">
      <c r="A34" s="19" t="inlineStr">
        <is>
          <t>33</t>
        </is>
      </c>
      <c r="B34" s="19" t="inlineStr">
        <is>
          <t>SC-1014899-ST-018-EUR-04</t>
        </is>
      </c>
      <c r="C34" t="inlineStr">
        <is>
          <t>1014899 → ST-018-EUR-04</t>
        </is>
      </c>
      <c r="D34" s="19" t="inlineStr">
        <is>
          <t>2</t>
        </is>
      </c>
      <c r="E34" s="19" t="inlineStr">
        <is>
          <t>1668</t>
        </is>
      </c>
      <c r="F34" s="19" t="inlineStr">
        <is>
          <t>14</t>
        </is>
      </c>
      <c r="G34" s="19" t="n"/>
      <c r="H34" s="19" t="inlineStr">
        <is>
          <t>2</t>
        </is>
      </c>
      <c r="I34" s="19" t="n"/>
      <c r="J34" s="19" t="n"/>
      <c r="K34" s="19" t="inlineStr">
        <is>
          <t>2</t>
        </is>
      </c>
      <c r="L34" t="inlineStr">
        <is>
          <t>2026-08-08</t>
        </is>
      </c>
      <c r="N34" t="inlineStr">
        <is>
          <t>IN_SCOPE_FINAL; SOURCE_CFG=IA-ST-CFG-0015; MARKET=GY ITALY; STATUS=IN OEM / EU PACKAGE</t>
        </is>
      </c>
      <c r="O34" t="inlineStr">
        <is>
          <t>2026-08-10T19:29:54Z</t>
        </is>
      </c>
      <c r="P34" t="inlineStr">
        <is>
          <t>2026-08-10T19:29:54Z</t>
        </is>
      </c>
    </row>
    <row r="35">
      <c r="A35" s="19" t="inlineStr">
        <is>
          <t>34</t>
        </is>
      </c>
      <c r="B35" s="19" t="inlineStr">
        <is>
          <t>SC-1014907-ST-018-EUR-04</t>
        </is>
      </c>
      <c r="C35" t="inlineStr">
        <is>
          <t>1014907 → ST-018-EUR-04</t>
        </is>
      </c>
      <c r="D35" s="19" t="inlineStr">
        <is>
          <t>2</t>
        </is>
      </c>
      <c r="E35" s="19" t="inlineStr">
        <is>
          <t>1676</t>
        </is>
      </c>
      <c r="F35" s="19" t="inlineStr">
        <is>
          <t>14</t>
        </is>
      </c>
      <c r="G35" s="19" t="n"/>
      <c r="H35" s="19" t="inlineStr">
        <is>
          <t>2</t>
        </is>
      </c>
      <c r="I35" s="19" t="n"/>
      <c r="J35" s="19" t="n"/>
      <c r="K35" s="19" t="inlineStr">
        <is>
          <t>2</t>
        </is>
      </c>
      <c r="L35" t="inlineStr">
        <is>
          <t>2026-08-08</t>
        </is>
      </c>
      <c r="N35" t="inlineStr">
        <is>
          <t>IN_SCOPE_FINAL; SOURCE_CFG=IA-ST-CFG-0015; MARKET=GY ITALY; STATUS=IN OEM / EU PACKAGE</t>
        </is>
      </c>
      <c r="O35" t="inlineStr">
        <is>
          <t>2026-08-10T19:29:54Z</t>
        </is>
      </c>
      <c r="P35" t="inlineStr">
        <is>
          <t>2026-08-10T19:29:54Z</t>
        </is>
      </c>
    </row>
    <row r="36">
      <c r="A36" s="19" t="inlineStr">
        <is>
          <t>35</t>
        </is>
      </c>
      <c r="B36" s="19" t="inlineStr">
        <is>
          <t>SC-1015196-ST-018-EUR-04</t>
        </is>
      </c>
      <c r="C36" t="inlineStr">
        <is>
          <t>1015196 → ST-018-EUR-04</t>
        </is>
      </c>
      <c r="D36" s="19" t="inlineStr">
        <is>
          <t>2</t>
        </is>
      </c>
      <c r="E36" s="19" t="inlineStr">
        <is>
          <t>1937</t>
        </is>
      </c>
      <c r="F36" s="19" t="inlineStr">
        <is>
          <t>14</t>
        </is>
      </c>
      <c r="G36" s="19" t="n"/>
      <c r="H36" s="19" t="inlineStr">
        <is>
          <t>2</t>
        </is>
      </c>
      <c r="I36" s="19" t="n"/>
      <c r="J36" s="19" t="n"/>
      <c r="K36" s="19" t="inlineStr">
        <is>
          <t>2</t>
        </is>
      </c>
      <c r="L36" t="inlineStr">
        <is>
          <t>2026-08-08</t>
        </is>
      </c>
      <c r="N36" t="inlineStr">
        <is>
          <t>IN_SCOPE_FINAL; SOURCE_CFG=IA-ST-CFG-0015; MARKET=GY ITALY; STATUS=IN OEM / EU PACKAGE</t>
        </is>
      </c>
      <c r="O36" t="inlineStr">
        <is>
          <t>2026-08-10T19:29:54Z</t>
        </is>
      </c>
      <c r="P36" t="inlineStr">
        <is>
          <t>2026-08-10T19:29:54Z</t>
        </is>
      </c>
    </row>
    <row r="37">
      <c r="A37" s="19" t="inlineStr">
        <is>
          <t>36</t>
        </is>
      </c>
      <c r="B37" s="19" t="inlineStr">
        <is>
          <t>SC-1015200-ST-018-EUR-04</t>
        </is>
      </c>
      <c r="C37" t="inlineStr">
        <is>
          <t>1015200 → ST-018-EUR-04</t>
        </is>
      </c>
      <c r="D37" s="19" t="inlineStr">
        <is>
          <t>2</t>
        </is>
      </c>
      <c r="E37" s="19" t="inlineStr">
        <is>
          <t>1941</t>
        </is>
      </c>
      <c r="F37" s="19" t="inlineStr">
        <is>
          <t>14</t>
        </is>
      </c>
      <c r="G37" s="19" t="n"/>
      <c r="H37" s="19" t="inlineStr">
        <is>
          <t>2</t>
        </is>
      </c>
      <c r="I37" s="19" t="n"/>
      <c r="J37" s="19" t="n"/>
      <c r="K37" s="19" t="inlineStr">
        <is>
          <t>2</t>
        </is>
      </c>
      <c r="L37" t="inlineStr">
        <is>
          <t>2026-08-08</t>
        </is>
      </c>
      <c r="N37" t="inlineStr">
        <is>
          <t>IN_SCOPE_FINAL; SOURCE_CFG=IA-ST-CFG-0015; MARKET=GY ITALY; STATUS=IN OEM / EU PACKAGE</t>
        </is>
      </c>
      <c r="O37" t="inlineStr">
        <is>
          <t>2026-08-10T19:29:54Z</t>
        </is>
      </c>
      <c r="P37" t="inlineStr">
        <is>
          <t>2026-08-10T19:29:54Z</t>
        </is>
      </c>
    </row>
    <row r="38">
      <c r="A38" s="19" t="inlineStr">
        <is>
          <t>37</t>
        </is>
      </c>
      <c r="B38" s="19" t="inlineStr">
        <is>
          <t>SC-1014902-ST-018-EUR-04</t>
        </is>
      </c>
      <c r="C38" t="inlineStr">
        <is>
          <t>1014902 → ST-018-EUR-04</t>
        </is>
      </c>
      <c r="D38" s="19" t="inlineStr">
        <is>
          <t>2</t>
        </is>
      </c>
      <c r="E38" s="19" t="inlineStr">
        <is>
          <t>1671</t>
        </is>
      </c>
      <c r="F38" s="19" t="inlineStr">
        <is>
          <t>14</t>
        </is>
      </c>
      <c r="G38" s="19" t="n"/>
      <c r="H38" s="19" t="inlineStr">
        <is>
          <t>2</t>
        </is>
      </c>
      <c r="I38" s="19" t="n"/>
      <c r="J38" s="19" t="n"/>
      <c r="K38" s="19" t="inlineStr">
        <is>
          <t>2</t>
        </is>
      </c>
      <c r="L38" t="inlineStr">
        <is>
          <t>2026-08-08</t>
        </is>
      </c>
      <c r="N38" t="inlineStr">
        <is>
          <t>IN_SCOPE_FINAL; SOURCE_CFG=IA-ST-CFG-0015; MARKET=GY ITALY; STATUS=IN OEM / EU PACKAGE</t>
        </is>
      </c>
      <c r="O38" t="inlineStr">
        <is>
          <t>2026-08-10T19:29:54Z</t>
        </is>
      </c>
      <c r="P38" t="inlineStr">
        <is>
          <t>2026-08-10T19:29:54Z</t>
        </is>
      </c>
    </row>
    <row r="39">
      <c r="A39" s="19" t="inlineStr">
        <is>
          <t>38</t>
        </is>
      </c>
      <c r="B39" s="19" t="inlineStr">
        <is>
          <t>SC-1014910-ST-018-EUR-04</t>
        </is>
      </c>
      <c r="C39" t="inlineStr">
        <is>
          <t>1014910 → ST-018-EUR-04</t>
        </is>
      </c>
      <c r="D39" s="19" t="inlineStr">
        <is>
          <t>2</t>
        </is>
      </c>
      <c r="E39" s="19" t="inlineStr">
        <is>
          <t>1679</t>
        </is>
      </c>
      <c r="F39" s="19" t="inlineStr">
        <is>
          <t>14</t>
        </is>
      </c>
      <c r="G39" s="19" t="n"/>
      <c r="H39" s="19" t="inlineStr">
        <is>
          <t>2</t>
        </is>
      </c>
      <c r="I39" s="19" t="n"/>
      <c r="J39" s="19" t="n"/>
      <c r="K39" s="19" t="inlineStr">
        <is>
          <t>2</t>
        </is>
      </c>
      <c r="L39" t="inlineStr">
        <is>
          <t>2026-08-08</t>
        </is>
      </c>
      <c r="N39" t="inlineStr">
        <is>
          <t>IN_SCOPE_FINAL; SOURCE_CFG=IA-ST-CFG-0015; MARKET=GY ITALY; STATUS=IN OEM / EU PACKAGE</t>
        </is>
      </c>
      <c r="O39" t="inlineStr">
        <is>
          <t>2026-08-10T19:29:54Z</t>
        </is>
      </c>
      <c r="P39" t="inlineStr">
        <is>
          <t>2026-08-10T19:29:54Z</t>
        </is>
      </c>
    </row>
    <row r="40">
      <c r="A40" s="19" t="inlineStr">
        <is>
          <t>39</t>
        </is>
      </c>
      <c r="B40" s="19" t="inlineStr">
        <is>
          <t>SC-1006040-ST-018-EUR-05</t>
        </is>
      </c>
      <c r="C40" t="inlineStr">
        <is>
          <t>1006040 → ST-018-EUR-05</t>
        </is>
      </c>
      <c r="D40" s="19" t="inlineStr">
        <is>
          <t>2</t>
        </is>
      </c>
      <c r="E40" s="19" t="inlineStr">
        <is>
          <t>51</t>
        </is>
      </c>
      <c r="F40" s="19" t="inlineStr">
        <is>
          <t>15</t>
        </is>
      </c>
      <c r="G40" s="19" t="n"/>
      <c r="H40" s="19" t="inlineStr">
        <is>
          <t>2</t>
        </is>
      </c>
      <c r="I40" s="19" t="n"/>
      <c r="J40" s="19" t="n"/>
      <c r="K40" s="19" t="inlineStr">
        <is>
          <t>2</t>
        </is>
      </c>
      <c r="L40" t="inlineStr">
        <is>
          <t>2026-08-08</t>
        </is>
      </c>
      <c r="N40" t="inlineStr">
        <is>
          <t>IN_SCOPE_FINAL; SOURCE_CFG=IA-ST-CFG-0016; MARKET=MAKO OES (Yurt İçi); STATUS=IN OEM / EU PACKAGE</t>
        </is>
      </c>
      <c r="O40" t="inlineStr">
        <is>
          <t>2026-08-10T19:29:54Z</t>
        </is>
      </c>
      <c r="P40" t="inlineStr">
        <is>
          <t>2026-08-10T19:29:54Z</t>
        </is>
      </c>
    </row>
    <row r="41">
      <c r="A41" s="19" t="inlineStr">
        <is>
          <t>40</t>
        </is>
      </c>
      <c r="B41" s="19" t="inlineStr">
        <is>
          <t>SC-1006041-ST-018-EUR-05</t>
        </is>
      </c>
      <c r="C41" t="inlineStr">
        <is>
          <t>1006041 → ST-018-EUR-05</t>
        </is>
      </c>
      <c r="D41" s="19" t="inlineStr">
        <is>
          <t>2</t>
        </is>
      </c>
      <c r="E41" s="19" t="inlineStr">
        <is>
          <t>52</t>
        </is>
      </c>
      <c r="F41" s="19" t="inlineStr">
        <is>
          <t>15</t>
        </is>
      </c>
      <c r="G41" s="19" t="n"/>
      <c r="H41" s="19" t="inlineStr">
        <is>
          <t>2</t>
        </is>
      </c>
      <c r="I41" s="19" t="n"/>
      <c r="J41" s="19" t="n"/>
      <c r="K41" s="19" t="inlineStr">
        <is>
          <t>2</t>
        </is>
      </c>
      <c r="L41" t="inlineStr">
        <is>
          <t>2026-08-08</t>
        </is>
      </c>
      <c r="N41" t="inlineStr">
        <is>
          <t>IN_SCOPE_FINAL; SOURCE_CFG=IA-ST-CFG-0016; MARKET=MAKO OES (Yurt İçi); STATUS=IN OEM / EU PACKAGE</t>
        </is>
      </c>
      <c r="O41" t="inlineStr">
        <is>
          <t>2026-08-10T19:29:54Z</t>
        </is>
      </c>
      <c r="P41" t="inlineStr">
        <is>
          <t>2026-08-10T19:29:54Z</t>
        </is>
      </c>
    </row>
    <row r="42">
      <c r="A42" s="19" t="inlineStr">
        <is>
          <t>41</t>
        </is>
      </c>
      <c r="B42" s="19" t="inlineStr">
        <is>
          <t>SC-1014966-ST-018-EUR-05</t>
        </is>
      </c>
      <c r="C42" t="inlineStr">
        <is>
          <t>1014966 → ST-018-EUR-05</t>
        </is>
      </c>
      <c r="D42" s="19" t="inlineStr">
        <is>
          <t>2</t>
        </is>
      </c>
      <c r="E42" s="19" t="inlineStr">
        <is>
          <t>1732</t>
        </is>
      </c>
      <c r="F42" s="19" t="inlineStr">
        <is>
          <t>15</t>
        </is>
      </c>
      <c r="G42" s="19" t="n"/>
      <c r="H42" s="19" t="inlineStr">
        <is>
          <t>2</t>
        </is>
      </c>
      <c r="I42" s="19" t="n"/>
      <c r="J42" s="19" t="n"/>
      <c r="K42" s="19" t="inlineStr">
        <is>
          <t>2</t>
        </is>
      </c>
      <c r="L42" t="inlineStr">
        <is>
          <t>2026-08-08</t>
        </is>
      </c>
      <c r="N42" t="inlineStr">
        <is>
          <t>IN_SCOPE_FINAL; SOURCE_CFG=IA-ST-CFG-0016; MARKET=MAKO OES (Yurt İçi); STATUS=IN OEM / EU PACKAGE</t>
        </is>
      </c>
      <c r="O42" t="inlineStr">
        <is>
          <t>2026-08-10T19:29:54Z</t>
        </is>
      </c>
      <c r="P42" t="inlineStr">
        <is>
          <t>2026-08-10T19:29:54Z</t>
        </is>
      </c>
    </row>
    <row r="43">
      <c r="A43" s="19" t="inlineStr">
        <is>
          <t>42</t>
        </is>
      </c>
      <c r="B43" s="19" t="inlineStr">
        <is>
          <t>SC-1014969-ST-018-EUR-05</t>
        </is>
      </c>
      <c r="C43" t="inlineStr">
        <is>
          <t>1014969 → ST-018-EUR-05</t>
        </is>
      </c>
      <c r="D43" s="19" t="inlineStr">
        <is>
          <t>2</t>
        </is>
      </c>
      <c r="E43" s="19" t="inlineStr">
        <is>
          <t>1735</t>
        </is>
      </c>
      <c r="F43" s="19" t="inlineStr">
        <is>
          <t>15</t>
        </is>
      </c>
      <c r="G43" s="19" t="n"/>
      <c r="H43" s="19" t="inlineStr">
        <is>
          <t>2</t>
        </is>
      </c>
      <c r="I43" s="19" t="n"/>
      <c r="J43" s="19" t="n"/>
      <c r="K43" s="19" t="inlineStr">
        <is>
          <t>2</t>
        </is>
      </c>
      <c r="L43" t="inlineStr">
        <is>
          <t>2026-08-08</t>
        </is>
      </c>
      <c r="N43" t="inlineStr">
        <is>
          <t>IN_SCOPE_FINAL; SOURCE_CFG=IA-ST-CFG-0016; MARKET=MAKO OES (Yurt İçi); STATUS=IN OEM / EU PACKAGE</t>
        </is>
      </c>
      <c r="O43" t="inlineStr">
        <is>
          <t>2026-08-10T19:29:54Z</t>
        </is>
      </c>
      <c r="P43" t="inlineStr">
        <is>
          <t>2026-08-10T19:29:54Z</t>
        </is>
      </c>
    </row>
    <row r="44">
      <c r="A44" s="19" t="inlineStr">
        <is>
          <t>43</t>
        </is>
      </c>
      <c r="B44" s="19" t="inlineStr">
        <is>
          <t>SC-1014973-ST-018-EUR-05</t>
        </is>
      </c>
      <c r="C44" t="inlineStr">
        <is>
          <t>1014973 → ST-018-EUR-05</t>
        </is>
      </c>
      <c r="D44" s="19" t="inlineStr">
        <is>
          <t>2</t>
        </is>
      </c>
      <c r="E44" s="19" t="inlineStr">
        <is>
          <t>1739</t>
        </is>
      </c>
      <c r="F44" s="19" t="inlineStr">
        <is>
          <t>15</t>
        </is>
      </c>
      <c r="G44" s="19" t="n"/>
      <c r="H44" s="19" t="inlineStr">
        <is>
          <t>2</t>
        </is>
      </c>
      <c r="I44" s="19" t="n"/>
      <c r="J44" s="19" t="n"/>
      <c r="K44" s="19" t="inlineStr">
        <is>
          <t>2</t>
        </is>
      </c>
      <c r="L44" t="inlineStr">
        <is>
          <t>2026-08-08</t>
        </is>
      </c>
      <c r="N44" t="inlineStr">
        <is>
          <t>IN_SCOPE_FINAL; SOURCE_CFG=IA-ST-CFG-0016; MARKET=MAKO OES (Yurt İçi); STATUS=IN OEM / EU PACKAGE</t>
        </is>
      </c>
      <c r="O44" t="inlineStr">
        <is>
          <t>2026-08-10T19:29:54Z</t>
        </is>
      </c>
      <c r="P44" t="inlineStr">
        <is>
          <t>2026-08-10T19:29:54Z</t>
        </is>
      </c>
    </row>
    <row r="45">
      <c r="A45" s="19" t="inlineStr">
        <is>
          <t>44</t>
        </is>
      </c>
      <c r="B45" s="19" t="inlineStr">
        <is>
          <t>SC-1014964-ST-018-EUR-05</t>
        </is>
      </c>
      <c r="C45" t="inlineStr">
        <is>
          <t>1014964 → ST-018-EUR-05</t>
        </is>
      </c>
      <c r="D45" s="19" t="inlineStr">
        <is>
          <t>2</t>
        </is>
      </c>
      <c r="E45" s="19" t="inlineStr">
        <is>
          <t>1730</t>
        </is>
      </c>
      <c r="F45" s="19" t="inlineStr">
        <is>
          <t>15</t>
        </is>
      </c>
      <c r="G45" s="19" t="n"/>
      <c r="H45" s="19" t="inlineStr">
        <is>
          <t>2</t>
        </is>
      </c>
      <c r="I45" s="19" t="n"/>
      <c r="J45" s="19" t="n"/>
      <c r="K45" s="19" t="inlineStr">
        <is>
          <t>2</t>
        </is>
      </c>
      <c r="L45" t="inlineStr">
        <is>
          <t>2026-08-08</t>
        </is>
      </c>
      <c r="N45" t="inlineStr">
        <is>
          <t>IN_SCOPE_FINAL; SOURCE_CFG=IA-ST-CFG-0016; MARKET=MAKO OES (Yurt İçi); STATUS=IN OEM / EU PACKAGE</t>
        </is>
      </c>
      <c r="O45" t="inlineStr">
        <is>
          <t>2026-08-10T19:29:54Z</t>
        </is>
      </c>
      <c r="P45" t="inlineStr">
        <is>
          <t>2026-08-10T19:29:54Z</t>
        </is>
      </c>
    </row>
    <row r="46">
      <c r="A46" s="19" t="inlineStr">
        <is>
          <t>45</t>
        </is>
      </c>
      <c r="B46" s="19" t="inlineStr">
        <is>
          <t>SC-1014491-ST-018-EUR-05</t>
        </is>
      </c>
      <c r="C46" t="inlineStr">
        <is>
          <t>1014491 → ST-018-EUR-05</t>
        </is>
      </c>
      <c r="D46" s="19" t="inlineStr">
        <is>
          <t>2</t>
        </is>
      </c>
      <c r="E46" s="19" t="inlineStr">
        <is>
          <t>1415</t>
        </is>
      </c>
      <c r="F46" s="19" t="inlineStr">
        <is>
          <t>15</t>
        </is>
      </c>
      <c r="G46" s="19" t="n"/>
      <c r="H46" s="19" t="inlineStr">
        <is>
          <t>2</t>
        </is>
      </c>
      <c r="I46" s="19" t="n"/>
      <c r="J46" s="19" t="n"/>
      <c r="K46" s="19" t="inlineStr">
        <is>
          <t>2</t>
        </is>
      </c>
      <c r="L46" t="inlineStr">
        <is>
          <t>2026-08-08</t>
        </is>
      </c>
      <c r="N46" t="inlineStr">
        <is>
          <t>IN_SCOPE_FINAL; SOURCE_CFG=IA-ST-CFG-0016; MARKET=YURT İÇİ AFM; STATUS=IN OEM / EU PACKAGE</t>
        </is>
      </c>
      <c r="O46" t="inlineStr">
        <is>
          <t>2026-08-10T19:29:54Z</t>
        </is>
      </c>
      <c r="P46" t="inlineStr">
        <is>
          <t>2026-08-10T19:29:54Z</t>
        </is>
      </c>
    </row>
    <row r="47">
      <c r="A47" s="19" t="inlineStr">
        <is>
          <t>46</t>
        </is>
      </c>
      <c r="B47" s="19" t="inlineStr">
        <is>
          <t>SC-1010998-ST-021-STD-01</t>
        </is>
      </c>
      <c r="C47" t="inlineStr">
        <is>
          <t>1010998 → ST-021-STD-01</t>
        </is>
      </c>
      <c r="D47" s="19" t="inlineStr">
        <is>
          <t>2</t>
        </is>
      </c>
      <c r="E47" s="19" t="inlineStr">
        <is>
          <t>217</t>
        </is>
      </c>
      <c r="F47" s="19" t="inlineStr">
        <is>
          <t>21</t>
        </is>
      </c>
      <c r="G47" s="19" t="n"/>
      <c r="H47" s="19" t="inlineStr">
        <is>
          <t>2</t>
        </is>
      </c>
      <c r="I47" s="19" t="n"/>
      <c r="J47" s="19" t="n"/>
      <c r="K47" s="19" t="inlineStr">
        <is>
          <t>2</t>
        </is>
      </c>
      <c r="L47" t="inlineStr">
        <is>
          <t>2026-08-08</t>
        </is>
      </c>
      <c r="N47" t="inlineStr">
        <is>
          <t>IN_SCOPE_FINAL; SOURCE_CFG=IA-ST-CFG-0020; MARKET=SHAWKAT; STATUS=IN OEM / EU PACKAGE</t>
        </is>
      </c>
      <c r="O47" t="inlineStr">
        <is>
          <t>2026-08-10T19:29:54Z</t>
        </is>
      </c>
      <c r="P47" t="inlineStr">
        <is>
          <t>2026-08-10T19:29:54Z</t>
        </is>
      </c>
    </row>
    <row r="48">
      <c r="A48" s="19" t="inlineStr">
        <is>
          <t>47</t>
        </is>
      </c>
      <c r="B48" s="19" t="inlineStr">
        <is>
          <t>SC-1014784-ST-021-STD-02</t>
        </is>
      </c>
      <c r="C48" t="inlineStr">
        <is>
          <t>1014784 → ST-021-STD-02</t>
        </is>
      </c>
      <c r="D48" s="19" t="inlineStr">
        <is>
          <t>2</t>
        </is>
      </c>
      <c r="E48" s="19" t="inlineStr">
        <is>
          <t>1606</t>
        </is>
      </c>
      <c r="F48" s="19" t="inlineStr">
        <is>
          <t>22</t>
        </is>
      </c>
      <c r="G48" s="19" t="n"/>
      <c r="H48" s="19" t="inlineStr">
        <is>
          <t>2</t>
        </is>
      </c>
      <c r="I48" s="19" t="n"/>
      <c r="J48" s="19" t="n"/>
      <c r="K48" s="19" t="inlineStr">
        <is>
          <t>2</t>
        </is>
      </c>
      <c r="L48" t="inlineStr">
        <is>
          <t>2026-08-08</t>
        </is>
      </c>
      <c r="N48" t="inlineStr">
        <is>
          <t>IN_SCOPE_FINAL; SOURCE_CFG=IA-ST-CFG-0021; MARKET=YURT İÇİ AFM; STATUS=IN OEM / EU PACKAGE</t>
        </is>
      </c>
      <c r="O48" t="inlineStr">
        <is>
          <t>2026-08-10T19:29:54Z</t>
        </is>
      </c>
      <c r="P48" t="inlineStr">
        <is>
          <t>2026-08-10T19:29:54Z</t>
        </is>
      </c>
    </row>
    <row r="49">
      <c r="A49" s="19" t="inlineStr">
        <is>
          <t>48</t>
        </is>
      </c>
      <c r="B49" s="19" t="inlineStr">
        <is>
          <t>SC-1000069-ST-021-STD-03</t>
        </is>
      </c>
      <c r="C49" t="inlineStr">
        <is>
          <t>1000069 → ST-021-STD-03</t>
        </is>
      </c>
      <c r="D49" s="19" t="inlineStr">
        <is>
          <t>2</t>
        </is>
      </c>
      <c r="E49" s="19" t="inlineStr">
        <is>
          <t>1</t>
        </is>
      </c>
      <c r="F49" s="19" t="inlineStr">
        <is>
          <t>23</t>
        </is>
      </c>
      <c r="G49" s="19" t="n"/>
      <c r="H49" s="19" t="inlineStr">
        <is>
          <t>2</t>
        </is>
      </c>
      <c r="I49" s="19" t="n"/>
      <c r="J49" s="19" t="n"/>
      <c r="K49" s="19" t="inlineStr">
        <is>
          <t>2</t>
        </is>
      </c>
      <c r="L49" t="inlineStr">
        <is>
          <t>2026-08-08</t>
        </is>
      </c>
      <c r="N49" t="inlineStr">
        <is>
          <t>IN_SCOPE_FINAL; SOURCE_CFG=IA-ST-CFG-0023; MARKET=None; STATUS=IN OEM / EU PACKAGE</t>
        </is>
      </c>
      <c r="O49" t="inlineStr">
        <is>
          <t>2026-08-10T19:29:54Z</t>
        </is>
      </c>
      <c r="P49" t="inlineStr">
        <is>
          <t>2026-08-10T19:29:54Z</t>
        </is>
      </c>
    </row>
    <row r="50">
      <c r="A50" s="19" t="inlineStr">
        <is>
          <t>49</t>
        </is>
      </c>
      <c r="B50" s="19" t="inlineStr">
        <is>
          <t>SC-1003275-ST-021-STD-03</t>
        </is>
      </c>
      <c r="C50" t="inlineStr">
        <is>
          <t>1003275 → ST-021-STD-03</t>
        </is>
      </c>
      <c r="D50" s="19" t="inlineStr">
        <is>
          <t>2</t>
        </is>
      </c>
      <c r="E50" s="19" t="inlineStr">
        <is>
          <t>14</t>
        </is>
      </c>
      <c r="F50" s="19" t="inlineStr">
        <is>
          <t>23</t>
        </is>
      </c>
      <c r="G50" s="19" t="n"/>
      <c r="H50" s="19" t="inlineStr">
        <is>
          <t>2</t>
        </is>
      </c>
      <c r="I50" s="19" t="n"/>
      <c r="J50" s="19" t="n"/>
      <c r="K50" s="19" t="inlineStr">
        <is>
          <t>2</t>
        </is>
      </c>
      <c r="L50" t="inlineStr">
        <is>
          <t>2026-08-08</t>
        </is>
      </c>
      <c r="N50" t="inlineStr">
        <is>
          <t>IN_SCOPE_FINAL; SOURCE_CFG=IA-ST-CFG-0023; MARKET=None; STATUS=IN OEM / EU PACKAGE</t>
        </is>
      </c>
      <c r="O50" t="inlineStr">
        <is>
          <t>2026-08-10T19:29:54Z</t>
        </is>
      </c>
      <c r="P50" t="inlineStr">
        <is>
          <t>2026-08-10T19:29:54Z</t>
        </is>
      </c>
    </row>
    <row r="51">
      <c r="A51" s="19" t="inlineStr">
        <is>
          <t>50</t>
        </is>
      </c>
      <c r="B51" s="19" t="inlineStr">
        <is>
          <t>SC-1003383-ST-021-STD-03</t>
        </is>
      </c>
      <c r="C51" t="inlineStr">
        <is>
          <t>1003383 → ST-021-STD-03</t>
        </is>
      </c>
      <c r="D51" s="19" t="inlineStr">
        <is>
          <t>2</t>
        </is>
      </c>
      <c r="E51" s="19" t="inlineStr">
        <is>
          <t>18</t>
        </is>
      </c>
      <c r="F51" s="19" t="inlineStr">
        <is>
          <t>23</t>
        </is>
      </c>
      <c r="G51" s="19" t="n"/>
      <c r="H51" s="19" t="inlineStr">
        <is>
          <t>2</t>
        </is>
      </c>
      <c r="I51" s="19" t="n"/>
      <c r="J51" s="19" t="n"/>
      <c r="K51" s="19" t="inlineStr">
        <is>
          <t>2</t>
        </is>
      </c>
      <c r="L51" t="inlineStr">
        <is>
          <t>2026-08-08</t>
        </is>
      </c>
      <c r="N51" t="inlineStr">
        <is>
          <t>IN_SCOPE_FINAL; SOURCE_CFG=IA-ST-CFG-0023; MARKET=None; STATUS=IN OEM / EU PACKAGE</t>
        </is>
      </c>
      <c r="O51" t="inlineStr">
        <is>
          <t>2026-08-10T19:29:54Z</t>
        </is>
      </c>
      <c r="P51" t="inlineStr">
        <is>
          <t>2026-08-10T19:29:54Z</t>
        </is>
      </c>
    </row>
    <row r="52">
      <c r="A52" s="19" t="inlineStr">
        <is>
          <t>51</t>
        </is>
      </c>
      <c r="B52" s="19" t="inlineStr">
        <is>
          <t>SC-1006519-ST-021-STD-03</t>
        </is>
      </c>
      <c r="C52" t="inlineStr">
        <is>
          <t>1006519 → ST-021-STD-03</t>
        </is>
      </c>
      <c r="D52" s="19" t="inlineStr">
        <is>
          <t>2</t>
        </is>
      </c>
      <c r="E52" s="19" t="inlineStr">
        <is>
          <t>60</t>
        </is>
      </c>
      <c r="F52" s="19" t="inlineStr">
        <is>
          <t>23</t>
        </is>
      </c>
      <c r="G52" s="19" t="n"/>
      <c r="H52" s="19" t="inlineStr">
        <is>
          <t>2</t>
        </is>
      </c>
      <c r="I52" s="19" t="n"/>
      <c r="J52" s="19" t="n"/>
      <c r="K52" s="19" t="inlineStr">
        <is>
          <t>2</t>
        </is>
      </c>
      <c r="L52" t="inlineStr">
        <is>
          <t>2026-08-08</t>
        </is>
      </c>
      <c r="N52" t="inlineStr">
        <is>
          <t>IN_SCOPE_FINAL; SOURCE_CFG=IA-ST-CFG-0023; MARKET=None; STATUS=IN OEM / EU PACKAGE</t>
        </is>
      </c>
      <c r="O52" t="inlineStr">
        <is>
          <t>2026-08-10T19:29:54Z</t>
        </is>
      </c>
      <c r="P52" t="inlineStr">
        <is>
          <t>2026-08-10T19:29:54Z</t>
        </is>
      </c>
    </row>
    <row r="53">
      <c r="A53" s="19" t="inlineStr">
        <is>
          <t>52</t>
        </is>
      </c>
      <c r="B53" s="19" t="inlineStr">
        <is>
          <t>SC-1006640-ST-021-STD-03</t>
        </is>
      </c>
      <c r="C53" t="inlineStr">
        <is>
          <t>1006640 → ST-021-STD-03</t>
        </is>
      </c>
      <c r="D53" s="19" t="inlineStr">
        <is>
          <t>2</t>
        </is>
      </c>
      <c r="E53" s="19" t="inlineStr">
        <is>
          <t>61</t>
        </is>
      </c>
      <c r="F53" s="19" t="inlineStr">
        <is>
          <t>23</t>
        </is>
      </c>
      <c r="G53" s="19" t="n"/>
      <c r="H53" s="19" t="inlineStr">
        <is>
          <t>2</t>
        </is>
      </c>
      <c r="I53" s="19" t="n"/>
      <c r="J53" s="19" t="n"/>
      <c r="K53" s="19" t="inlineStr">
        <is>
          <t>2</t>
        </is>
      </c>
      <c r="L53" t="inlineStr">
        <is>
          <t>2026-08-08</t>
        </is>
      </c>
      <c r="N53" t="inlineStr">
        <is>
          <t>IN_SCOPE_FINAL; SOURCE_CFG=IA-ST-CFG-0023; MARKET=None; STATUS=IN OEM / EU PACKAGE</t>
        </is>
      </c>
      <c r="O53" t="inlineStr">
        <is>
          <t>2026-08-10T19:29:54Z</t>
        </is>
      </c>
      <c r="P53" t="inlineStr">
        <is>
          <t>2026-08-10T19:29:54Z</t>
        </is>
      </c>
    </row>
    <row r="54">
      <c r="A54" s="19" t="inlineStr">
        <is>
          <t>53</t>
        </is>
      </c>
      <c r="B54" s="19" t="inlineStr">
        <is>
          <t>SC-1007482-ST-021-STD-03</t>
        </is>
      </c>
      <c r="C54" t="inlineStr">
        <is>
          <t>1007482 → ST-021-STD-03</t>
        </is>
      </c>
      <c r="D54" s="19" t="inlineStr">
        <is>
          <t>2</t>
        </is>
      </c>
      <c r="E54" s="19" t="inlineStr">
        <is>
          <t>68</t>
        </is>
      </c>
      <c r="F54" s="19" t="inlineStr">
        <is>
          <t>23</t>
        </is>
      </c>
      <c r="G54" s="19" t="n"/>
      <c r="H54" s="19" t="inlineStr">
        <is>
          <t>2</t>
        </is>
      </c>
      <c r="I54" s="19" t="n"/>
      <c r="J54" s="19" t="n"/>
      <c r="K54" s="19" t="inlineStr">
        <is>
          <t>2</t>
        </is>
      </c>
      <c r="L54" t="inlineStr">
        <is>
          <t>2026-08-08</t>
        </is>
      </c>
      <c r="N54" t="inlineStr">
        <is>
          <t>IN_SCOPE_FINAL; SOURCE_CFG=IA-ST-CFG-0023; MARKET=None; STATUS=IN OEM / EU PACKAGE</t>
        </is>
      </c>
      <c r="O54" t="inlineStr">
        <is>
          <t>2026-08-10T19:29:54Z</t>
        </is>
      </c>
      <c r="P54" t="inlineStr">
        <is>
          <t>2026-08-10T19:29:54Z</t>
        </is>
      </c>
    </row>
    <row r="55">
      <c r="A55" s="19" t="inlineStr">
        <is>
          <t>54</t>
        </is>
      </c>
      <c r="B55" s="19" t="inlineStr">
        <is>
          <t>SC-1007995-ST-021-STD-03</t>
        </is>
      </c>
      <c r="C55" t="inlineStr">
        <is>
          <t>1007995 → ST-021-STD-03</t>
        </is>
      </c>
      <c r="D55" s="19" t="inlineStr">
        <is>
          <t>2</t>
        </is>
      </c>
      <c r="E55" s="19" t="inlineStr">
        <is>
          <t>78</t>
        </is>
      </c>
      <c r="F55" s="19" t="inlineStr">
        <is>
          <t>23</t>
        </is>
      </c>
      <c r="G55" s="19" t="n"/>
      <c r="H55" s="19" t="inlineStr">
        <is>
          <t>2</t>
        </is>
      </c>
      <c r="I55" s="19" t="n"/>
      <c r="J55" s="19" t="n"/>
      <c r="K55" s="19" t="inlineStr">
        <is>
          <t>2</t>
        </is>
      </c>
      <c r="L55" t="inlineStr">
        <is>
          <t>2026-08-08</t>
        </is>
      </c>
      <c r="N55" t="inlineStr">
        <is>
          <t>IN_SCOPE_FINAL; SOURCE_CFG=IA-ST-CFG-0023; MARKET=SHAWKAT; STATUS=IN OEM / EU PACKAGE</t>
        </is>
      </c>
      <c r="O55" t="inlineStr">
        <is>
          <t>2026-08-10T19:29:54Z</t>
        </is>
      </c>
      <c r="P55" t="inlineStr">
        <is>
          <t>2026-08-10T19:29:54Z</t>
        </is>
      </c>
    </row>
    <row r="56">
      <c r="A56" s="19" t="inlineStr">
        <is>
          <t>55</t>
        </is>
      </c>
      <c r="B56" s="19" t="inlineStr">
        <is>
          <t>SC-1008527-ST-021-STD-03</t>
        </is>
      </c>
      <c r="C56" t="inlineStr">
        <is>
          <t>1008527 → ST-021-STD-03</t>
        </is>
      </c>
      <c r="D56" s="19" t="inlineStr">
        <is>
          <t>2</t>
        </is>
      </c>
      <c r="E56" s="19" t="inlineStr">
        <is>
          <t>89</t>
        </is>
      </c>
      <c r="F56" s="19" t="inlineStr">
        <is>
          <t>23</t>
        </is>
      </c>
      <c r="G56" s="19" t="n"/>
      <c r="H56" s="19" t="inlineStr">
        <is>
          <t>2</t>
        </is>
      </c>
      <c r="I56" s="19" t="n"/>
      <c r="J56" s="19" t="n"/>
      <c r="K56" s="19" t="inlineStr">
        <is>
          <t>2</t>
        </is>
      </c>
      <c r="L56" t="inlineStr">
        <is>
          <t>2026-08-08</t>
        </is>
      </c>
      <c r="N56" t="inlineStr">
        <is>
          <t>IN_SCOPE_FINAL; SOURCE_CFG=IA-ST-CFG-0023; MARKET=None; STATUS=IN OEM / EU PACKAGE</t>
        </is>
      </c>
      <c r="O56" t="inlineStr">
        <is>
          <t>2026-08-10T19:29:54Z</t>
        </is>
      </c>
      <c r="P56" t="inlineStr">
        <is>
          <t>2026-08-10T19:29:54Z</t>
        </is>
      </c>
    </row>
    <row r="57">
      <c r="A57" s="19" t="inlineStr">
        <is>
          <t>56</t>
        </is>
      </c>
      <c r="B57" s="19" t="inlineStr">
        <is>
          <t>SC-1008836-ST-021-STD-03</t>
        </is>
      </c>
      <c r="C57" t="inlineStr">
        <is>
          <t>1008836 → ST-021-STD-03</t>
        </is>
      </c>
      <c r="D57" s="19" t="inlineStr">
        <is>
          <t>2</t>
        </is>
      </c>
      <c r="E57" s="19" t="inlineStr">
        <is>
          <t>93</t>
        </is>
      </c>
      <c r="F57" s="19" t="inlineStr">
        <is>
          <t>23</t>
        </is>
      </c>
      <c r="G57" s="19" t="n"/>
      <c r="H57" s="19" t="inlineStr">
        <is>
          <t>2</t>
        </is>
      </c>
      <c r="I57" s="19" t="n"/>
      <c r="J57" s="19" t="n"/>
      <c r="K57" s="19" t="inlineStr">
        <is>
          <t>2</t>
        </is>
      </c>
      <c r="L57" t="inlineStr">
        <is>
          <t>2026-08-08</t>
        </is>
      </c>
      <c r="N57" t="inlineStr">
        <is>
          <t>IN_SCOPE_FINAL; SOURCE_CFG=IA-ST-CFG-0023; MARKET=NASA; STATUS=IN OEM / EU PACKAGE</t>
        </is>
      </c>
      <c r="O57" t="inlineStr">
        <is>
          <t>2026-08-10T19:29:54Z</t>
        </is>
      </c>
      <c r="P57" t="inlineStr">
        <is>
          <t>2026-08-10T19:29:54Z</t>
        </is>
      </c>
    </row>
    <row r="58">
      <c r="A58" s="19" t="inlineStr">
        <is>
          <t>57</t>
        </is>
      </c>
      <c r="B58" s="19" t="inlineStr">
        <is>
          <t>SC-1009129-ST-021-STD-03</t>
        </is>
      </c>
      <c r="C58" t="inlineStr">
        <is>
          <t>1009129 → ST-021-STD-03</t>
        </is>
      </c>
      <c r="D58" s="19" t="inlineStr">
        <is>
          <t>2</t>
        </is>
      </c>
      <c r="E58" s="19" t="inlineStr">
        <is>
          <t>101</t>
        </is>
      </c>
      <c r="F58" s="19" t="inlineStr">
        <is>
          <t>23</t>
        </is>
      </c>
      <c r="G58" s="19" t="n"/>
      <c r="H58" s="19" t="inlineStr">
        <is>
          <t>2</t>
        </is>
      </c>
      <c r="I58" s="19" t="n"/>
      <c r="J58" s="19" t="n"/>
      <c r="K58" s="19" t="inlineStr">
        <is>
          <t>2</t>
        </is>
      </c>
      <c r="L58" t="inlineStr">
        <is>
          <t>2026-08-08</t>
        </is>
      </c>
      <c r="N58" t="inlineStr">
        <is>
          <t>IN_SCOPE_FINAL; SOURCE_CFG=IA-ST-CFG-0023; MARKET=None; STATUS=IN OEM / EU PACKAGE</t>
        </is>
      </c>
      <c r="O58" t="inlineStr">
        <is>
          <t>2026-08-10T19:29:54Z</t>
        </is>
      </c>
      <c r="P58" t="inlineStr">
        <is>
          <t>2026-08-10T19:29:54Z</t>
        </is>
      </c>
    </row>
    <row r="59">
      <c r="A59" s="19" t="inlineStr">
        <is>
          <t>58</t>
        </is>
      </c>
      <c r="B59" s="19" t="inlineStr">
        <is>
          <t>SC-1009148-ST-021-STD-03</t>
        </is>
      </c>
      <c r="C59" t="inlineStr">
        <is>
          <t>1009148 → ST-021-STD-03</t>
        </is>
      </c>
      <c r="D59" s="19" t="inlineStr">
        <is>
          <t>2</t>
        </is>
      </c>
      <c r="E59" s="19" t="inlineStr">
        <is>
          <t>102</t>
        </is>
      </c>
      <c r="F59" s="19" t="inlineStr">
        <is>
          <t>23</t>
        </is>
      </c>
      <c r="G59" s="19" t="n"/>
      <c r="H59" s="19" t="inlineStr">
        <is>
          <t>2</t>
        </is>
      </c>
      <c r="I59" s="19" t="n"/>
      <c r="J59" s="19" t="n"/>
      <c r="K59" s="19" t="inlineStr">
        <is>
          <t>2</t>
        </is>
      </c>
      <c r="L59" t="inlineStr">
        <is>
          <t>2026-08-08</t>
        </is>
      </c>
      <c r="N59" t="inlineStr">
        <is>
          <t>IN_SCOPE_FINAL; SOURCE_CFG=IA-ST-CFG-0023; MARKET=MISIR NACITA; STATUS=IN OEM / EU PACKAGE</t>
        </is>
      </c>
      <c r="O59" t="inlineStr">
        <is>
          <t>2026-08-10T19:29:54Z</t>
        </is>
      </c>
      <c r="P59" t="inlineStr">
        <is>
          <t>2026-08-10T19:29:54Z</t>
        </is>
      </c>
    </row>
    <row r="60">
      <c r="A60" s="19" t="inlineStr">
        <is>
          <t>59</t>
        </is>
      </c>
      <c r="B60" s="19" t="inlineStr">
        <is>
          <t>SC-1009149-ST-021-STD-03</t>
        </is>
      </c>
      <c r="C60" t="inlineStr">
        <is>
          <t>1009149 → ST-021-STD-03</t>
        </is>
      </c>
      <c r="D60" s="19" t="inlineStr">
        <is>
          <t>2</t>
        </is>
      </c>
      <c r="E60" s="19" t="inlineStr">
        <is>
          <t>103</t>
        </is>
      </c>
      <c r="F60" s="19" t="inlineStr">
        <is>
          <t>23</t>
        </is>
      </c>
      <c r="G60" s="19" t="n"/>
      <c r="H60" s="19" t="inlineStr">
        <is>
          <t>2</t>
        </is>
      </c>
      <c r="I60" s="19" t="n"/>
      <c r="J60" s="19" t="n"/>
      <c r="K60" s="19" t="inlineStr">
        <is>
          <t>2</t>
        </is>
      </c>
      <c r="L60" t="inlineStr">
        <is>
          <t>2026-08-08</t>
        </is>
      </c>
      <c r="N60" t="inlineStr">
        <is>
          <t>IN_SCOPE_FINAL; SOURCE_CFG=IA-ST-CFG-0023; MARKET=MISIR NACITA; STATUS=IN OEM / EU PACKAGE</t>
        </is>
      </c>
      <c r="O60" t="inlineStr">
        <is>
          <t>2026-08-10T19:29:54Z</t>
        </is>
      </c>
      <c r="P60" t="inlineStr">
        <is>
          <t>2026-08-10T19:29:54Z</t>
        </is>
      </c>
    </row>
    <row r="61">
      <c r="A61" s="19" t="inlineStr">
        <is>
          <t>60</t>
        </is>
      </c>
      <c r="B61" s="19" t="inlineStr">
        <is>
          <t>SC-1009163-ST-021-STD-03</t>
        </is>
      </c>
      <c r="C61" t="inlineStr">
        <is>
          <t>1009163 → ST-021-STD-03</t>
        </is>
      </c>
      <c r="D61" s="19" t="inlineStr">
        <is>
          <t>2</t>
        </is>
      </c>
      <c r="E61" s="19" t="inlineStr">
        <is>
          <t>104</t>
        </is>
      </c>
      <c r="F61" s="19" t="inlineStr">
        <is>
          <t>23</t>
        </is>
      </c>
      <c r="G61" s="19" t="n"/>
      <c r="H61" s="19" t="inlineStr">
        <is>
          <t>2</t>
        </is>
      </c>
      <c r="I61" s="19" t="n"/>
      <c r="J61" s="19" t="n"/>
      <c r="K61" s="19" t="inlineStr">
        <is>
          <t>2</t>
        </is>
      </c>
      <c r="L61" t="inlineStr">
        <is>
          <t>2026-08-08</t>
        </is>
      </c>
      <c r="N61" t="inlineStr">
        <is>
          <t>IN_SCOPE_FINAL; SOURCE_CFG=IA-ST-CFG-0023; MARKET=MISIR AL AMAN; STATUS=IN OEM / EU PACKAGE</t>
        </is>
      </c>
      <c r="O61" t="inlineStr">
        <is>
          <t>2026-08-10T19:29:54Z</t>
        </is>
      </c>
      <c r="P61" t="inlineStr">
        <is>
          <t>2026-08-10T19:29:54Z</t>
        </is>
      </c>
    </row>
    <row r="62">
      <c r="A62" s="19" t="inlineStr">
        <is>
          <t>61</t>
        </is>
      </c>
      <c r="B62" s="19" t="inlineStr">
        <is>
          <t>SC-1009288-ST-021-STD-03</t>
        </is>
      </c>
      <c r="C62" t="inlineStr">
        <is>
          <t>1009288 → ST-021-STD-03</t>
        </is>
      </c>
      <c r="D62" s="19" t="inlineStr">
        <is>
          <t>2</t>
        </is>
      </c>
      <c r="E62" s="19" t="inlineStr">
        <is>
          <t>112</t>
        </is>
      </c>
      <c r="F62" s="19" t="inlineStr">
        <is>
          <t>23</t>
        </is>
      </c>
      <c r="G62" s="19" t="n"/>
      <c r="H62" s="19" t="inlineStr">
        <is>
          <t>2</t>
        </is>
      </c>
      <c r="I62" s="19" t="n"/>
      <c r="J62" s="19" t="n"/>
      <c r="K62" s="19" t="inlineStr">
        <is>
          <t>2</t>
        </is>
      </c>
      <c r="L62" t="inlineStr">
        <is>
          <t>2026-08-08</t>
        </is>
      </c>
      <c r="N62" t="inlineStr">
        <is>
          <t>IN_SCOPE_FINAL; SOURCE_CFG=IA-ST-CFG-0023; MARKET=MISIR ATWAN; STATUS=IN OEM / EU PACKAGE</t>
        </is>
      </c>
      <c r="O62" t="inlineStr">
        <is>
          <t>2026-08-10T19:29:54Z</t>
        </is>
      </c>
      <c r="P62" t="inlineStr">
        <is>
          <t>2026-08-10T19:29:54Z</t>
        </is>
      </c>
    </row>
    <row r="63">
      <c r="A63" s="19" t="inlineStr">
        <is>
          <t>62</t>
        </is>
      </c>
      <c r="B63" s="19" t="inlineStr">
        <is>
          <t>SC-1009802-ST-021-STD-03</t>
        </is>
      </c>
      <c r="C63" t="inlineStr">
        <is>
          <t>1009802 → ST-021-STD-03</t>
        </is>
      </c>
      <c r="D63" s="19" t="inlineStr">
        <is>
          <t>2</t>
        </is>
      </c>
      <c r="E63" s="19" t="inlineStr">
        <is>
          <t>115</t>
        </is>
      </c>
      <c r="F63" s="19" t="inlineStr">
        <is>
          <t>23</t>
        </is>
      </c>
      <c r="G63" s="19" t="n"/>
      <c r="H63" s="19" t="inlineStr">
        <is>
          <t>2</t>
        </is>
      </c>
      <c r="I63" s="19" t="n"/>
      <c r="J63" s="19" t="n"/>
      <c r="K63" s="19" t="inlineStr">
        <is>
          <t>2</t>
        </is>
      </c>
      <c r="L63" t="inlineStr">
        <is>
          <t>2026-08-08</t>
        </is>
      </c>
      <c r="N63" t="inlineStr">
        <is>
          <t>IN_SCOPE_FINAL; SOURCE_CFG=IA-ST-CFG-0023; MARKET=MISIR EEC; STATUS=IN OEM / EU PACKAGE</t>
        </is>
      </c>
      <c r="O63" t="inlineStr">
        <is>
          <t>2026-08-10T19:29:54Z</t>
        </is>
      </c>
      <c r="P63" t="inlineStr">
        <is>
          <t>2026-08-10T19:29:54Z</t>
        </is>
      </c>
    </row>
    <row r="64">
      <c r="A64" s="19" t="inlineStr">
        <is>
          <t>63</t>
        </is>
      </c>
      <c r="B64" s="19" t="inlineStr">
        <is>
          <t>SC-1009984-ST-021-STD-03</t>
        </is>
      </c>
      <c r="C64" t="inlineStr">
        <is>
          <t>1009984 → ST-021-STD-03</t>
        </is>
      </c>
      <c r="D64" s="19" t="inlineStr">
        <is>
          <t>2</t>
        </is>
      </c>
      <c r="E64" s="19" t="inlineStr">
        <is>
          <t>140</t>
        </is>
      </c>
      <c r="F64" s="19" t="inlineStr">
        <is>
          <t>23</t>
        </is>
      </c>
      <c r="G64" s="19" t="n"/>
      <c r="H64" s="19" t="inlineStr">
        <is>
          <t>2</t>
        </is>
      </c>
      <c r="I64" s="19" t="n"/>
      <c r="J64" s="19" t="n"/>
      <c r="K64" s="19" t="inlineStr">
        <is>
          <t>2</t>
        </is>
      </c>
      <c r="L64" t="inlineStr">
        <is>
          <t>2026-08-08</t>
        </is>
      </c>
      <c r="N64" t="inlineStr">
        <is>
          <t>IN_SCOPE_FINAL; SOURCE_CFG=IA-ST-CFG-0023; MARKET=REY &amp; LENFERNA LUCAS; STATUS=IN OEM / EU PACKAGE</t>
        </is>
      </c>
      <c r="O64" t="inlineStr">
        <is>
          <t>2026-08-10T19:29:54Z</t>
        </is>
      </c>
      <c r="P64" t="inlineStr">
        <is>
          <t>2026-08-10T19:29:54Z</t>
        </is>
      </c>
    </row>
    <row r="65">
      <c r="A65" s="19" t="inlineStr">
        <is>
          <t>64</t>
        </is>
      </c>
      <c r="B65" s="19" t="inlineStr">
        <is>
          <t>SC-1010105-ST-021-STD-03</t>
        </is>
      </c>
      <c r="C65" t="inlineStr">
        <is>
          <t>1010105 → ST-021-STD-03</t>
        </is>
      </c>
      <c r="D65" s="19" t="inlineStr">
        <is>
          <t>2</t>
        </is>
      </c>
      <c r="E65" s="19" t="inlineStr">
        <is>
          <t>159</t>
        </is>
      </c>
      <c r="F65" s="19" t="inlineStr">
        <is>
          <t>23</t>
        </is>
      </c>
      <c r="G65" s="19" t="n"/>
      <c r="H65" s="19" t="inlineStr">
        <is>
          <t>2</t>
        </is>
      </c>
      <c r="I65" s="19" t="n"/>
      <c r="J65" s="19" t="n"/>
      <c r="K65" s="19" t="inlineStr">
        <is>
          <t>2</t>
        </is>
      </c>
      <c r="L65" t="inlineStr">
        <is>
          <t>2026-08-08</t>
        </is>
      </c>
      <c r="N65" t="inlineStr">
        <is>
          <t>IN_SCOPE_FINAL; SOURCE_CFG=IA-ST-CFG-0023; MARKET=JANENE İSRAİL; STATUS=IN OEM / EU PACKAGE</t>
        </is>
      </c>
      <c r="O65" t="inlineStr">
        <is>
          <t>2026-08-10T19:29:54Z</t>
        </is>
      </c>
      <c r="P65" t="inlineStr">
        <is>
          <t>2026-08-10T19:29:54Z</t>
        </is>
      </c>
    </row>
    <row r="66">
      <c r="A66" s="19" t="inlineStr">
        <is>
          <t>65</t>
        </is>
      </c>
      <c r="B66" s="19" t="inlineStr">
        <is>
          <t>SC-1010437-ST-021-STD-03</t>
        </is>
      </c>
      <c r="C66" t="inlineStr">
        <is>
          <t>1010437 → ST-021-STD-03</t>
        </is>
      </c>
      <c r="D66" s="19" t="inlineStr">
        <is>
          <t>2</t>
        </is>
      </c>
      <c r="E66" s="19" t="inlineStr">
        <is>
          <t>186</t>
        </is>
      </c>
      <c r="F66" s="19" t="inlineStr">
        <is>
          <t>23</t>
        </is>
      </c>
      <c r="G66" s="19" t="n"/>
      <c r="H66" s="19" t="inlineStr">
        <is>
          <t>2</t>
        </is>
      </c>
      <c r="I66" s="19" t="n"/>
      <c r="J66" s="19" t="n"/>
      <c r="K66" s="19" t="inlineStr">
        <is>
          <t>2</t>
        </is>
      </c>
      <c r="L66" t="inlineStr">
        <is>
          <t>2026-08-08</t>
        </is>
      </c>
      <c r="N66" t="inlineStr">
        <is>
          <t>IN_SCOPE_FINAL; SOURCE_CFG=IA-ST-CFG-0023; MARKET=SHAWKAT; STATUS=IN OEM / EU PACKAGE</t>
        </is>
      </c>
      <c r="O66" t="inlineStr">
        <is>
          <t>2026-08-10T19:29:54Z</t>
        </is>
      </c>
      <c r="P66" t="inlineStr">
        <is>
          <t>2026-08-10T19:29:54Z</t>
        </is>
      </c>
    </row>
    <row r="67">
      <c r="A67" s="19" t="inlineStr">
        <is>
          <t>66</t>
        </is>
      </c>
      <c r="B67" s="19" t="inlineStr">
        <is>
          <t>SC-1010438-ST-021-STD-03</t>
        </is>
      </c>
      <c r="C67" t="inlineStr">
        <is>
          <t>1010438 → ST-021-STD-03</t>
        </is>
      </c>
      <c r="D67" s="19" t="inlineStr">
        <is>
          <t>2</t>
        </is>
      </c>
      <c r="E67" s="19" t="inlineStr">
        <is>
          <t>187</t>
        </is>
      </c>
      <c r="F67" s="19" t="inlineStr">
        <is>
          <t>23</t>
        </is>
      </c>
      <c r="G67" s="19" t="n"/>
      <c r="H67" s="19" t="inlineStr">
        <is>
          <t>2</t>
        </is>
      </c>
      <c r="I67" s="19" t="n"/>
      <c r="J67" s="19" t="n"/>
      <c r="K67" s="19" t="inlineStr">
        <is>
          <t>2</t>
        </is>
      </c>
      <c r="L67" t="inlineStr">
        <is>
          <t>2026-08-08</t>
        </is>
      </c>
      <c r="N67" t="inlineStr">
        <is>
          <t>IN_SCOPE_FINAL; SOURCE_CFG=IA-ST-CFG-0023; MARKET=None; STATUS=IN OEM / EU PACKAGE</t>
        </is>
      </c>
      <c r="O67" t="inlineStr">
        <is>
          <t>2026-08-10T19:29:54Z</t>
        </is>
      </c>
      <c r="P67" t="inlineStr">
        <is>
          <t>2026-08-10T19:29:54Z</t>
        </is>
      </c>
    </row>
    <row r="68">
      <c r="A68" s="19" t="inlineStr">
        <is>
          <t>67</t>
        </is>
      </c>
      <c r="B68" s="19" t="inlineStr">
        <is>
          <t>SC-1010440-ST-021-STD-03</t>
        </is>
      </c>
      <c r="C68" t="inlineStr">
        <is>
          <t>1010440 → ST-021-STD-03</t>
        </is>
      </c>
      <c r="D68" s="19" t="inlineStr">
        <is>
          <t>2</t>
        </is>
      </c>
      <c r="E68" s="19" t="inlineStr">
        <is>
          <t>188</t>
        </is>
      </c>
      <c r="F68" s="19" t="inlineStr">
        <is>
          <t>23</t>
        </is>
      </c>
      <c r="G68" s="19" t="n"/>
      <c r="H68" s="19" t="inlineStr">
        <is>
          <t>2</t>
        </is>
      </c>
      <c r="I68" s="19" t="n"/>
      <c r="J68" s="19" t="n"/>
      <c r="K68" s="19" t="inlineStr">
        <is>
          <t>2</t>
        </is>
      </c>
      <c r="L68" t="inlineStr">
        <is>
          <t>2026-08-08</t>
        </is>
      </c>
      <c r="N68" t="inlineStr">
        <is>
          <t>IN_SCOPE_FINAL; SOURCE_CFG=IA-ST-CFG-0023; MARKET=None; STATUS=IN OEM / EU PACKAGE</t>
        </is>
      </c>
      <c r="O68" t="inlineStr">
        <is>
          <t>2026-08-10T19:29:54Z</t>
        </is>
      </c>
      <c r="P68" t="inlineStr">
        <is>
          <t>2026-08-10T19:29:54Z</t>
        </is>
      </c>
    </row>
    <row r="69">
      <c r="A69" s="19" t="inlineStr">
        <is>
          <t>68</t>
        </is>
      </c>
      <c r="B69" s="19" t="inlineStr">
        <is>
          <t>SC-1010451-ST-021-STD-03</t>
        </is>
      </c>
      <c r="C69" t="inlineStr">
        <is>
          <t>1010451 → ST-021-STD-03</t>
        </is>
      </c>
      <c r="D69" s="19" t="inlineStr">
        <is>
          <t>2</t>
        </is>
      </c>
      <c r="E69" s="19" t="inlineStr">
        <is>
          <t>193</t>
        </is>
      </c>
      <c r="F69" s="19" t="inlineStr">
        <is>
          <t>23</t>
        </is>
      </c>
      <c r="G69" s="19" t="n"/>
      <c r="H69" s="19" t="inlineStr">
        <is>
          <t>2</t>
        </is>
      </c>
      <c r="I69" s="19" t="n"/>
      <c r="J69" s="19" t="n"/>
      <c r="K69" s="19" t="inlineStr">
        <is>
          <t>2</t>
        </is>
      </c>
      <c r="L69" t="inlineStr">
        <is>
          <t>2026-08-08</t>
        </is>
      </c>
      <c r="N69" t="inlineStr">
        <is>
          <t>IN_SCOPE_FINAL; SOURCE_CFG=IA-ST-CFG-0023; MARKET=None; STATUS=IN OEM / EU PACKAGE</t>
        </is>
      </c>
      <c r="O69" t="inlineStr">
        <is>
          <t>2026-08-10T19:29:54Z</t>
        </is>
      </c>
      <c r="P69" t="inlineStr">
        <is>
          <t>2026-08-10T19:29:54Z</t>
        </is>
      </c>
    </row>
    <row r="70">
      <c r="A70" s="19" t="inlineStr">
        <is>
          <t>69</t>
        </is>
      </c>
      <c r="B70" s="19" t="inlineStr">
        <is>
          <t>SC-1010452-ST-021-STD-03</t>
        </is>
      </c>
      <c r="C70" t="inlineStr">
        <is>
          <t>1010452 → ST-021-STD-03</t>
        </is>
      </c>
      <c r="D70" s="19" t="inlineStr">
        <is>
          <t>2</t>
        </is>
      </c>
      <c r="E70" s="19" t="inlineStr">
        <is>
          <t>194</t>
        </is>
      </c>
      <c r="F70" s="19" t="inlineStr">
        <is>
          <t>23</t>
        </is>
      </c>
      <c r="G70" s="19" t="n"/>
      <c r="H70" s="19" t="inlineStr">
        <is>
          <t>2</t>
        </is>
      </c>
      <c r="I70" s="19" t="n"/>
      <c r="J70" s="19" t="n"/>
      <c r="K70" s="19" t="inlineStr">
        <is>
          <t>2</t>
        </is>
      </c>
      <c r="L70" t="inlineStr">
        <is>
          <t>2026-08-08</t>
        </is>
      </c>
      <c r="N70" t="inlineStr">
        <is>
          <t>IN_SCOPE_FINAL; SOURCE_CFG=IA-ST-CFG-0023; MARKET=None; STATUS=IN OEM / EU PACKAGE</t>
        </is>
      </c>
      <c r="O70" t="inlineStr">
        <is>
          <t>2026-08-10T19:29:54Z</t>
        </is>
      </c>
      <c r="P70" t="inlineStr">
        <is>
          <t>2026-08-10T19:29:54Z</t>
        </is>
      </c>
    </row>
    <row r="71">
      <c r="A71" s="19" t="inlineStr">
        <is>
          <t>70</t>
        </is>
      </c>
      <c r="B71" s="19" t="inlineStr">
        <is>
          <t>SC-1010532-ST-021-STD-03</t>
        </is>
      </c>
      <c r="C71" t="inlineStr">
        <is>
          <t>1010532 → ST-021-STD-03</t>
        </is>
      </c>
      <c r="D71" s="19" t="inlineStr">
        <is>
          <t>2</t>
        </is>
      </c>
      <c r="E71" s="19" t="inlineStr">
        <is>
          <t>202</t>
        </is>
      </c>
      <c r="F71" s="19" t="inlineStr">
        <is>
          <t>23</t>
        </is>
      </c>
      <c r="G71" s="19" t="n"/>
      <c r="H71" s="19" t="inlineStr">
        <is>
          <t>2</t>
        </is>
      </c>
      <c r="I71" s="19" t="n"/>
      <c r="J71" s="19" t="n"/>
      <c r="K71" s="19" t="inlineStr">
        <is>
          <t>2</t>
        </is>
      </c>
      <c r="L71" t="inlineStr">
        <is>
          <t>2026-08-08</t>
        </is>
      </c>
      <c r="N71" t="inlineStr">
        <is>
          <t>IN_SCOPE_FINAL; SOURCE_CFG=IA-ST-CFG-0023; MARKET=SHAWKAT; STATUS=IN OEM / EU PACKAGE</t>
        </is>
      </c>
      <c r="O71" t="inlineStr">
        <is>
          <t>2026-08-10T19:29:54Z</t>
        </is>
      </c>
      <c r="P71" t="inlineStr">
        <is>
          <t>2026-08-10T19:29:54Z</t>
        </is>
      </c>
    </row>
    <row r="72">
      <c r="A72" s="19" t="inlineStr">
        <is>
          <t>71</t>
        </is>
      </c>
      <c r="B72" s="19" t="inlineStr">
        <is>
          <t>SC-1013394-ST-021-STD-03</t>
        </is>
      </c>
      <c r="C72" t="inlineStr">
        <is>
          <t>1013394 → ST-021-STD-03</t>
        </is>
      </c>
      <c r="D72" s="19" t="inlineStr">
        <is>
          <t>2</t>
        </is>
      </c>
      <c r="E72" s="19" t="inlineStr">
        <is>
          <t>984</t>
        </is>
      </c>
      <c r="F72" s="19" t="inlineStr">
        <is>
          <t>23</t>
        </is>
      </c>
      <c r="G72" s="19" t="n"/>
      <c r="H72" s="19" t="inlineStr">
        <is>
          <t>2</t>
        </is>
      </c>
      <c r="I72" s="19" t="n"/>
      <c r="J72" s="19" t="n"/>
      <c r="K72" s="19" t="inlineStr">
        <is>
          <t>2</t>
        </is>
      </c>
      <c r="L72" t="inlineStr">
        <is>
          <t>2026-08-08</t>
        </is>
      </c>
      <c r="N72" t="inlineStr">
        <is>
          <t>IN_SCOPE_FINAL; SOURCE_CFG=IA-ST-CFG-0023; MARKET=None; STATUS=IN OEM / EU PACKAGE</t>
        </is>
      </c>
      <c r="O72" t="inlineStr">
        <is>
          <t>2026-08-10T19:29:54Z</t>
        </is>
      </c>
      <c r="P72" t="inlineStr">
        <is>
          <t>2026-08-10T19:29:54Z</t>
        </is>
      </c>
    </row>
    <row r="73">
      <c r="A73" s="19" t="inlineStr">
        <is>
          <t>72</t>
        </is>
      </c>
      <c r="B73" s="19" t="inlineStr">
        <is>
          <t>SC-1013617-ST-021-STD-03</t>
        </is>
      </c>
      <c r="C73" t="inlineStr">
        <is>
          <t>1013617 → ST-021-STD-03</t>
        </is>
      </c>
      <c r="D73" s="19" t="inlineStr">
        <is>
          <t>2</t>
        </is>
      </c>
      <c r="E73" s="19" t="inlineStr">
        <is>
          <t>1044</t>
        </is>
      </c>
      <c r="F73" s="19" t="inlineStr">
        <is>
          <t>23</t>
        </is>
      </c>
      <c r="G73" s="19" t="n"/>
      <c r="H73" s="19" t="inlineStr">
        <is>
          <t>2</t>
        </is>
      </c>
      <c r="I73" s="19" t="n"/>
      <c r="J73" s="19" t="n"/>
      <c r="K73" s="19" t="inlineStr">
        <is>
          <t>2</t>
        </is>
      </c>
      <c r="L73" t="inlineStr">
        <is>
          <t>2026-08-08</t>
        </is>
      </c>
      <c r="N73" t="inlineStr">
        <is>
          <t>IN_SCOPE_FINAL; SOURCE_CFG=IA-ST-CFG-0023; MARKET=None; STATUS=IN OEM / EU PACKAGE</t>
        </is>
      </c>
      <c r="O73" t="inlineStr">
        <is>
          <t>2026-08-10T19:29:54Z</t>
        </is>
      </c>
      <c r="P73" t="inlineStr">
        <is>
          <t>2026-08-10T19:29:54Z</t>
        </is>
      </c>
    </row>
    <row r="74">
      <c r="A74" s="19" t="inlineStr">
        <is>
          <t>73</t>
        </is>
      </c>
      <c r="B74" s="19" t="inlineStr">
        <is>
          <t>SC-1013645-ST-021-STD-03</t>
        </is>
      </c>
      <c r="C74" t="inlineStr">
        <is>
          <t>1013645 → ST-021-STD-03</t>
        </is>
      </c>
      <c r="D74" s="19" t="inlineStr">
        <is>
          <t>2</t>
        </is>
      </c>
      <c r="E74" s="19" t="inlineStr">
        <is>
          <t>1060</t>
        </is>
      </c>
      <c r="F74" s="19" t="inlineStr">
        <is>
          <t>23</t>
        </is>
      </c>
      <c r="G74" s="19" t="n"/>
      <c r="H74" s="19" t="inlineStr">
        <is>
          <t>2</t>
        </is>
      </c>
      <c r="I74" s="19" t="n"/>
      <c r="J74" s="19" t="n"/>
      <c r="K74" s="19" t="inlineStr">
        <is>
          <t>2</t>
        </is>
      </c>
      <c r="L74" t="inlineStr">
        <is>
          <t>2026-08-08</t>
        </is>
      </c>
      <c r="N74" t="inlineStr">
        <is>
          <t>IN_SCOPE_FINAL; SOURCE_CFG=IA-ST-CFG-0023; MARKET=None; STATUS=IN OEM / EU PACKAGE</t>
        </is>
      </c>
      <c r="O74" t="inlineStr">
        <is>
          <t>2026-08-10T19:29:54Z</t>
        </is>
      </c>
      <c r="P74" t="inlineStr">
        <is>
          <t>2026-08-10T19:29:54Z</t>
        </is>
      </c>
    </row>
    <row r="75">
      <c r="A75" s="19" t="inlineStr">
        <is>
          <t>74</t>
        </is>
      </c>
      <c r="B75" s="19" t="inlineStr">
        <is>
          <t>SC-1013778-ST-021-STD-03</t>
        </is>
      </c>
      <c r="C75" t="inlineStr">
        <is>
          <t>1013778 → ST-021-STD-03</t>
        </is>
      </c>
      <c r="D75" s="19" t="inlineStr">
        <is>
          <t>2</t>
        </is>
      </c>
      <c r="E75" s="19" t="inlineStr">
        <is>
          <t>1097</t>
        </is>
      </c>
      <c r="F75" s="19" t="inlineStr">
        <is>
          <t>23</t>
        </is>
      </c>
      <c r="G75" s="19" t="n"/>
      <c r="H75" s="19" t="inlineStr">
        <is>
          <t>2</t>
        </is>
      </c>
      <c r="I75" s="19" t="n"/>
      <c r="J75" s="19" t="n"/>
      <c r="K75" s="19" t="inlineStr">
        <is>
          <t>2</t>
        </is>
      </c>
      <c r="L75" t="inlineStr">
        <is>
          <t>2026-08-08</t>
        </is>
      </c>
      <c r="N75" t="inlineStr">
        <is>
          <t>IN_SCOPE_FINAL; SOURCE_CFG=IA-ST-CFG-0023; MARKET=SHAWKAT; STATUS=IN OEM / EU PACKAGE</t>
        </is>
      </c>
      <c r="O75" t="inlineStr">
        <is>
          <t>2026-08-10T19:29:54Z</t>
        </is>
      </c>
      <c r="P75" t="inlineStr">
        <is>
          <t>2026-08-10T19:29:54Z</t>
        </is>
      </c>
    </row>
    <row r="76">
      <c r="A76" s="19" t="inlineStr">
        <is>
          <t>75</t>
        </is>
      </c>
      <c r="B76" s="19" t="inlineStr">
        <is>
          <t>SC-1014159-ST-021-STD-03</t>
        </is>
      </c>
      <c r="C76" t="inlineStr">
        <is>
          <t>1014159 → ST-021-STD-03</t>
        </is>
      </c>
      <c r="D76" s="19" t="inlineStr">
        <is>
          <t>2</t>
        </is>
      </c>
      <c r="E76" s="19" t="inlineStr">
        <is>
          <t>1243</t>
        </is>
      </c>
      <c r="F76" s="19" t="inlineStr">
        <is>
          <t>23</t>
        </is>
      </c>
      <c r="G76" s="19" t="n"/>
      <c r="H76" s="19" t="inlineStr">
        <is>
          <t>2</t>
        </is>
      </c>
      <c r="I76" s="19" t="n"/>
      <c r="J76" s="19" t="n"/>
      <c r="K76" s="19" t="inlineStr">
        <is>
          <t>2</t>
        </is>
      </c>
      <c r="L76" t="inlineStr">
        <is>
          <t>2026-08-08</t>
        </is>
      </c>
      <c r="N76" t="inlineStr">
        <is>
          <t>IN_SCOPE_FINAL; SOURCE_CFG=IA-ST-CFG-0023; MARKET=ARCOBALENO-GANA; STATUS=IN OEM / EU PACKAGE</t>
        </is>
      </c>
      <c r="O76" t="inlineStr">
        <is>
          <t>2026-08-10T19:29:54Z</t>
        </is>
      </c>
      <c r="P76" t="inlineStr">
        <is>
          <t>2026-08-10T19:29:54Z</t>
        </is>
      </c>
    </row>
    <row r="77">
      <c r="A77" s="19" t="inlineStr">
        <is>
          <t>76</t>
        </is>
      </c>
      <c r="B77" s="19" t="inlineStr">
        <is>
          <t>SC-1014164-ST-021-STD-03</t>
        </is>
      </c>
      <c r="C77" t="inlineStr">
        <is>
          <t>1014164 → ST-021-STD-03</t>
        </is>
      </c>
      <c r="D77" s="19" t="inlineStr">
        <is>
          <t>2</t>
        </is>
      </c>
      <c r="E77" s="19" t="inlineStr">
        <is>
          <t>1247</t>
        </is>
      </c>
      <c r="F77" s="19" t="inlineStr">
        <is>
          <t>23</t>
        </is>
      </c>
      <c r="G77" s="19" t="n"/>
      <c r="H77" s="19" t="inlineStr">
        <is>
          <t>2</t>
        </is>
      </c>
      <c r="I77" s="19" t="n"/>
      <c r="J77" s="19" t="n"/>
      <c r="K77" s="19" t="inlineStr">
        <is>
          <t>2</t>
        </is>
      </c>
      <c r="L77" t="inlineStr">
        <is>
          <t>2026-08-08</t>
        </is>
      </c>
      <c r="N77" t="inlineStr">
        <is>
          <t>IN_SCOPE_FINAL; SOURCE_CFG=IA-ST-CFG-0023; MARKET=None; STATUS=IN OEM / EU PACKAGE</t>
        </is>
      </c>
      <c r="O77" t="inlineStr">
        <is>
          <t>2026-08-10T19:29:54Z</t>
        </is>
      </c>
      <c r="P77" t="inlineStr">
        <is>
          <t>2026-08-10T19:29:54Z</t>
        </is>
      </c>
    </row>
    <row r="78">
      <c r="A78" s="19" t="inlineStr">
        <is>
          <t>77</t>
        </is>
      </c>
      <c r="B78" s="19" t="inlineStr">
        <is>
          <t>SC-1014172-ST-021-STD-03</t>
        </is>
      </c>
      <c r="C78" t="inlineStr">
        <is>
          <t>1014172 → ST-021-STD-03</t>
        </is>
      </c>
      <c r="D78" s="19" t="inlineStr">
        <is>
          <t>2</t>
        </is>
      </c>
      <c r="E78" s="19" t="inlineStr">
        <is>
          <t>1251</t>
        </is>
      </c>
      <c r="F78" s="19" t="inlineStr">
        <is>
          <t>23</t>
        </is>
      </c>
      <c r="G78" s="19" t="n"/>
      <c r="H78" s="19" t="inlineStr">
        <is>
          <t>2</t>
        </is>
      </c>
      <c r="I78" s="19" t="n"/>
      <c r="J78" s="19" t="n"/>
      <c r="K78" s="19" t="inlineStr">
        <is>
          <t>2</t>
        </is>
      </c>
      <c r="L78" t="inlineStr">
        <is>
          <t>2026-08-08</t>
        </is>
      </c>
      <c r="N78" t="inlineStr">
        <is>
          <t>IN_SCOPE_FINAL; SOURCE_CFG=IA-ST-CFG-0023; MARKET=MISIR ATWAN; STATUS=IN OEM / EU PACKAGE</t>
        </is>
      </c>
      <c r="O78" t="inlineStr">
        <is>
          <t>2026-08-10T19:29:54Z</t>
        </is>
      </c>
      <c r="P78" t="inlineStr">
        <is>
          <t>2026-08-10T19:29:54Z</t>
        </is>
      </c>
    </row>
    <row r="79">
      <c r="A79" s="19" t="inlineStr">
        <is>
          <t>78</t>
        </is>
      </c>
      <c r="B79" s="19" t="inlineStr">
        <is>
          <t>SC-1014196-ST-021-STD-03</t>
        </is>
      </c>
      <c r="C79" t="inlineStr">
        <is>
          <t>1014196 → ST-021-STD-03</t>
        </is>
      </c>
      <c r="D79" s="19" t="inlineStr">
        <is>
          <t>2</t>
        </is>
      </c>
      <c r="E79" s="19" t="inlineStr">
        <is>
          <t>1263</t>
        </is>
      </c>
      <c r="F79" s="19" t="inlineStr">
        <is>
          <t>23</t>
        </is>
      </c>
      <c r="G79" s="19" t="n"/>
      <c r="H79" s="19" t="inlineStr">
        <is>
          <t>2</t>
        </is>
      </c>
      <c r="I79" s="19" t="n"/>
      <c r="J79" s="19" t="n"/>
      <c r="K79" s="19" t="inlineStr">
        <is>
          <t>2</t>
        </is>
      </c>
      <c r="L79" t="inlineStr">
        <is>
          <t>2026-08-08</t>
        </is>
      </c>
      <c r="N79" t="inlineStr">
        <is>
          <t>IN_SCOPE_FINAL; SOURCE_CFG=IA-ST-CFG-0023; MARKET=None; STATUS=IN OEM / EU PACKAGE</t>
        </is>
      </c>
      <c r="O79" t="inlineStr">
        <is>
          <t>2026-08-10T19:29:54Z</t>
        </is>
      </c>
      <c r="P79" t="inlineStr">
        <is>
          <t>2026-08-10T19:29:54Z</t>
        </is>
      </c>
    </row>
    <row r="80">
      <c r="A80" s="19" t="inlineStr">
        <is>
          <t>79</t>
        </is>
      </c>
      <c r="B80" s="19" t="inlineStr">
        <is>
          <t>SC-1014222-ST-021-STD-03</t>
        </is>
      </c>
      <c r="C80" t="inlineStr">
        <is>
          <t>1014222 → ST-021-STD-03</t>
        </is>
      </c>
      <c r="D80" s="19" t="inlineStr">
        <is>
          <t>2</t>
        </is>
      </c>
      <c r="E80" s="19" t="inlineStr">
        <is>
          <t>1277</t>
        </is>
      </c>
      <c r="F80" s="19" t="inlineStr">
        <is>
          <t>23</t>
        </is>
      </c>
      <c r="G80" s="19" t="n"/>
      <c r="H80" s="19" t="inlineStr">
        <is>
          <t>2</t>
        </is>
      </c>
      <c r="I80" s="19" t="n"/>
      <c r="J80" s="19" t="n"/>
      <c r="K80" s="19" t="inlineStr">
        <is>
          <t>2</t>
        </is>
      </c>
      <c r="L80" t="inlineStr">
        <is>
          <t>2026-08-08</t>
        </is>
      </c>
      <c r="N80" t="inlineStr">
        <is>
          <t>IN_SCOPE_FINAL; SOURCE_CFG=IA-ST-CFG-0023; MARKET=None; STATUS=IN OEM / EU PACKAGE</t>
        </is>
      </c>
      <c r="O80" t="inlineStr">
        <is>
          <t>2026-08-10T19:29:54Z</t>
        </is>
      </c>
      <c r="P80" t="inlineStr">
        <is>
          <t>2026-08-10T19:29:54Z</t>
        </is>
      </c>
    </row>
    <row r="81">
      <c r="A81" s="19" t="inlineStr">
        <is>
          <t>80</t>
        </is>
      </c>
      <c r="B81" s="19" t="inlineStr">
        <is>
          <t>SC-1014355-ST-021-STD-03</t>
        </is>
      </c>
      <c r="C81" t="inlineStr">
        <is>
          <t>1014355 → ST-021-STD-03</t>
        </is>
      </c>
      <c r="D81" s="19" t="inlineStr">
        <is>
          <t>2</t>
        </is>
      </c>
      <c r="E81" s="19" t="inlineStr">
        <is>
          <t>1318</t>
        </is>
      </c>
      <c r="F81" s="19" t="inlineStr">
        <is>
          <t>23</t>
        </is>
      </c>
      <c r="G81" s="19" t="n"/>
      <c r="H81" s="19" t="inlineStr">
        <is>
          <t>2</t>
        </is>
      </c>
      <c r="I81" s="19" t="n"/>
      <c r="J81" s="19" t="n"/>
      <c r="K81" s="19" t="inlineStr">
        <is>
          <t>2</t>
        </is>
      </c>
      <c r="L81" t="inlineStr">
        <is>
          <t>2026-08-08</t>
        </is>
      </c>
      <c r="N81" t="inlineStr">
        <is>
          <t>IN_SCOPE_FINAL; SOURCE_CFG=IA-ST-CFG-0023; MARKET=MISIR ALSAFA; STATUS=IN OEM / EU PACKAGE</t>
        </is>
      </c>
      <c r="O81" t="inlineStr">
        <is>
          <t>2026-08-10T19:29:54Z</t>
        </is>
      </c>
      <c r="P81" t="inlineStr">
        <is>
          <t>2026-08-10T19:29:54Z</t>
        </is>
      </c>
    </row>
    <row r="82">
      <c r="A82" s="19" t="inlineStr">
        <is>
          <t>81</t>
        </is>
      </c>
      <c r="B82" s="19" t="inlineStr">
        <is>
          <t>SC-1014393-ST-021-STD-03</t>
        </is>
      </c>
      <c r="C82" t="inlineStr">
        <is>
          <t>1014393 → ST-021-STD-03</t>
        </is>
      </c>
      <c r="D82" s="19" t="inlineStr">
        <is>
          <t>2</t>
        </is>
      </c>
      <c r="E82" s="19" t="inlineStr">
        <is>
          <t>1343</t>
        </is>
      </c>
      <c r="F82" s="19" t="inlineStr">
        <is>
          <t>23</t>
        </is>
      </c>
      <c r="G82" s="19" t="n"/>
      <c r="H82" s="19" t="inlineStr">
        <is>
          <t>2</t>
        </is>
      </c>
      <c r="I82" s="19" t="n"/>
      <c r="J82" s="19" t="n"/>
      <c r="K82" s="19" t="inlineStr">
        <is>
          <t>2</t>
        </is>
      </c>
      <c r="L82" t="inlineStr">
        <is>
          <t>2026-08-08</t>
        </is>
      </c>
      <c r="N82" t="inlineStr">
        <is>
          <t>IN_SCOPE_FINAL; SOURCE_CFG=IA-ST-CFG-0023; MARKET=REDMAY URUGUAY; STATUS=IN OEM / EU PACKAGE</t>
        </is>
      </c>
      <c r="O82" t="inlineStr">
        <is>
          <t>2026-08-10T19:29:54Z</t>
        </is>
      </c>
      <c r="P82" t="inlineStr">
        <is>
          <t>2026-08-10T19:29:54Z</t>
        </is>
      </c>
    </row>
    <row r="83">
      <c r="A83" s="19" t="inlineStr">
        <is>
          <t>82</t>
        </is>
      </c>
      <c r="B83" s="19" t="inlineStr">
        <is>
          <t>SC-1014640-ST-021-STD-03</t>
        </is>
      </c>
      <c r="C83" t="inlineStr">
        <is>
          <t>1014640 → ST-021-STD-03</t>
        </is>
      </c>
      <c r="D83" s="19" t="inlineStr">
        <is>
          <t>2</t>
        </is>
      </c>
      <c r="E83" s="19" t="inlineStr">
        <is>
          <t>1500</t>
        </is>
      </c>
      <c r="F83" s="19" t="inlineStr">
        <is>
          <t>23</t>
        </is>
      </c>
      <c r="G83" s="19" t="n"/>
      <c r="H83" s="19" t="inlineStr">
        <is>
          <t>2</t>
        </is>
      </c>
      <c r="I83" s="19" t="n"/>
      <c r="J83" s="19" t="n"/>
      <c r="K83" s="19" t="inlineStr">
        <is>
          <t>2</t>
        </is>
      </c>
      <c r="L83" t="inlineStr">
        <is>
          <t>2026-08-08</t>
        </is>
      </c>
      <c r="N83" t="inlineStr">
        <is>
          <t>IN_SCOPE_FINAL; SOURCE_CFG=IA-ST-CFG-0023; MARKET=MISIR EEC; STATUS=IN OEM / EU PACKAGE</t>
        </is>
      </c>
      <c r="O83" t="inlineStr">
        <is>
          <t>2026-08-10T19:29:54Z</t>
        </is>
      </c>
      <c r="P83" t="inlineStr">
        <is>
          <t>2026-08-10T19:29:54Z</t>
        </is>
      </c>
    </row>
    <row r="84">
      <c r="A84" s="19" t="inlineStr">
        <is>
          <t>83</t>
        </is>
      </c>
      <c r="B84" s="19" t="inlineStr">
        <is>
          <t>SC-1014673-ST-021-STD-03</t>
        </is>
      </c>
      <c r="C84" t="inlineStr">
        <is>
          <t>1014673 → ST-021-STD-03</t>
        </is>
      </c>
      <c r="D84" s="19" t="inlineStr">
        <is>
          <t>2</t>
        </is>
      </c>
      <c r="E84" s="19" t="inlineStr">
        <is>
          <t>1529</t>
        </is>
      </c>
      <c r="F84" s="19" t="inlineStr">
        <is>
          <t>23</t>
        </is>
      </c>
      <c r="G84" s="19" t="n"/>
      <c r="H84" s="19" t="inlineStr">
        <is>
          <t>2</t>
        </is>
      </c>
      <c r="I84" s="19" t="n"/>
      <c r="J84" s="19" t="n"/>
      <c r="K84" s="19" t="inlineStr">
        <is>
          <t>2</t>
        </is>
      </c>
      <c r="L84" t="inlineStr">
        <is>
          <t>2026-08-08</t>
        </is>
      </c>
      <c r="N84" t="inlineStr">
        <is>
          <t>IN_SCOPE_FINAL; SOURCE_CFG=IA-ST-CFG-0023; MARKET=None; STATUS=IN OEM / EU PACKAGE</t>
        </is>
      </c>
      <c r="O84" t="inlineStr">
        <is>
          <t>2026-08-10T19:29:54Z</t>
        </is>
      </c>
      <c r="P84" t="inlineStr">
        <is>
          <t>2026-08-10T19:29:54Z</t>
        </is>
      </c>
    </row>
    <row r="85">
      <c r="A85" s="19" t="inlineStr">
        <is>
          <t>84</t>
        </is>
      </c>
      <c r="B85" s="19" t="inlineStr">
        <is>
          <t>SC-1014731-ST-021-STD-03</t>
        </is>
      </c>
      <c r="C85" t="inlineStr">
        <is>
          <t>1014731 → ST-021-STD-03</t>
        </is>
      </c>
      <c r="D85" s="19" t="inlineStr">
        <is>
          <t>2</t>
        </is>
      </c>
      <c r="E85" s="19" t="inlineStr">
        <is>
          <t>1569</t>
        </is>
      </c>
      <c r="F85" s="19" t="inlineStr">
        <is>
          <t>23</t>
        </is>
      </c>
      <c r="G85" s="19" t="n"/>
      <c r="H85" s="19" t="inlineStr">
        <is>
          <t>2</t>
        </is>
      </c>
      <c r="I85" s="19" t="n"/>
      <c r="J85" s="19" t="n"/>
      <c r="K85" s="19" t="inlineStr">
        <is>
          <t>2</t>
        </is>
      </c>
      <c r="L85" t="inlineStr">
        <is>
          <t>2026-08-08</t>
        </is>
      </c>
      <c r="N85" t="inlineStr">
        <is>
          <t>IN_SCOPE_FINAL; SOURCE_CFG=IA-ST-CFG-0023; MARKET=SHAWKAT; STATUS=IN OEM / EU PACKAGE</t>
        </is>
      </c>
      <c r="O85" t="inlineStr">
        <is>
          <t>2026-08-10T19:29:54Z</t>
        </is>
      </c>
      <c r="P85" t="inlineStr">
        <is>
          <t>2026-08-10T19:29:54Z</t>
        </is>
      </c>
    </row>
    <row r="86">
      <c r="A86" s="19" t="inlineStr">
        <is>
          <t>85</t>
        </is>
      </c>
      <c r="B86" s="19" t="inlineStr">
        <is>
          <t>SC-1014742-ST-021-STD-03</t>
        </is>
      </c>
      <c r="C86" t="inlineStr">
        <is>
          <t>1014742 → ST-021-STD-03</t>
        </is>
      </c>
      <c r="D86" s="19" t="inlineStr">
        <is>
          <t>2</t>
        </is>
      </c>
      <c r="E86" s="19" t="inlineStr">
        <is>
          <t>1576</t>
        </is>
      </c>
      <c r="F86" s="19" t="inlineStr">
        <is>
          <t>23</t>
        </is>
      </c>
      <c r="G86" s="19" t="n"/>
      <c r="H86" s="19" t="inlineStr">
        <is>
          <t>2</t>
        </is>
      </c>
      <c r="I86" s="19" t="n"/>
      <c r="J86" s="19" t="n"/>
      <c r="K86" s="19" t="inlineStr">
        <is>
          <t>2</t>
        </is>
      </c>
      <c r="L86" t="inlineStr">
        <is>
          <t>2026-08-08</t>
        </is>
      </c>
      <c r="N86" t="inlineStr">
        <is>
          <t>IN_SCOPE_FINAL; SOURCE_CFG=IA-ST-CFG-0023; MARKET=ARCOBALENO-GANA; STATUS=IN OEM / EU PACKAGE</t>
        </is>
      </c>
      <c r="O86" t="inlineStr">
        <is>
          <t>2026-08-10T19:29:54Z</t>
        </is>
      </c>
      <c r="P86" t="inlineStr">
        <is>
          <t>2026-08-10T19:29:54Z</t>
        </is>
      </c>
    </row>
    <row r="87">
      <c r="A87" s="19" t="inlineStr">
        <is>
          <t>86</t>
        </is>
      </c>
      <c r="B87" s="19" t="inlineStr">
        <is>
          <t>SC-1014761-ST-021-STD-03</t>
        </is>
      </c>
      <c r="C87" t="inlineStr">
        <is>
          <t>1014761 → ST-021-STD-03</t>
        </is>
      </c>
      <c r="D87" s="19" t="inlineStr">
        <is>
          <t>2</t>
        </is>
      </c>
      <c r="E87" s="19" t="inlineStr">
        <is>
          <t>1586</t>
        </is>
      </c>
      <c r="F87" s="19" t="inlineStr">
        <is>
          <t>23</t>
        </is>
      </c>
      <c r="G87" s="19" t="n"/>
      <c r="H87" s="19" t="inlineStr">
        <is>
          <t>2</t>
        </is>
      </c>
      <c r="I87" s="19" t="n"/>
      <c r="J87" s="19" t="n"/>
      <c r="K87" s="19" t="inlineStr">
        <is>
          <t>2</t>
        </is>
      </c>
      <c r="L87" t="inlineStr">
        <is>
          <t>2026-08-08</t>
        </is>
      </c>
      <c r="N87" t="inlineStr">
        <is>
          <t>IN_SCOPE_FINAL; SOURCE_CFG=IA-ST-CFG-0023; MARKET=None; STATUS=IN OEM / EU PACKAGE</t>
        </is>
      </c>
      <c r="O87" t="inlineStr">
        <is>
          <t>2026-08-10T19:29:54Z</t>
        </is>
      </c>
      <c r="P87" t="inlineStr">
        <is>
          <t>2026-08-10T19:29:54Z</t>
        </is>
      </c>
    </row>
    <row r="88">
      <c r="A88" s="19" t="inlineStr">
        <is>
          <t>87</t>
        </is>
      </c>
      <c r="B88" s="19" t="inlineStr">
        <is>
          <t>SC-1014830-ST-021-STD-03</t>
        </is>
      </c>
      <c r="C88" t="inlineStr">
        <is>
          <t>1014830 → ST-021-STD-03</t>
        </is>
      </c>
      <c r="D88" s="19" t="inlineStr">
        <is>
          <t>2</t>
        </is>
      </c>
      <c r="E88" s="19" t="inlineStr">
        <is>
          <t>1627</t>
        </is>
      </c>
      <c r="F88" s="19" t="inlineStr">
        <is>
          <t>23</t>
        </is>
      </c>
      <c r="G88" s="19" t="n"/>
      <c r="H88" s="19" t="inlineStr">
        <is>
          <t>2</t>
        </is>
      </c>
      <c r="I88" s="19" t="n"/>
      <c r="J88" s="19" t="n"/>
      <c r="K88" s="19" t="inlineStr">
        <is>
          <t>2</t>
        </is>
      </c>
      <c r="L88" t="inlineStr">
        <is>
          <t>2026-08-08</t>
        </is>
      </c>
      <c r="N88" t="inlineStr">
        <is>
          <t>IN_SCOPE_FINAL; SOURCE_CFG=IA-ST-CFG-0023; MARKET=None; STATUS=IN OEM / EU PACKAGE</t>
        </is>
      </c>
      <c r="O88" t="inlineStr">
        <is>
          <t>2026-08-10T19:29:54Z</t>
        </is>
      </c>
      <c r="P88" t="inlineStr">
        <is>
          <t>2026-08-10T19:29:54Z</t>
        </is>
      </c>
    </row>
    <row r="89">
      <c r="A89" s="19" t="inlineStr">
        <is>
          <t>88</t>
        </is>
      </c>
      <c r="B89" s="19" t="inlineStr">
        <is>
          <t>SC-1014985-ST-021-STD-03</t>
        </is>
      </c>
      <c r="C89" t="inlineStr">
        <is>
          <t>1014985 → ST-021-STD-03</t>
        </is>
      </c>
      <c r="D89" s="19" t="inlineStr">
        <is>
          <t>2</t>
        </is>
      </c>
      <c r="E89" s="19" t="inlineStr">
        <is>
          <t>1746</t>
        </is>
      </c>
      <c r="F89" s="19" t="inlineStr">
        <is>
          <t>23</t>
        </is>
      </c>
      <c r="G89" s="19" t="n"/>
      <c r="H89" s="19" t="inlineStr">
        <is>
          <t>2</t>
        </is>
      </c>
      <c r="I89" s="19" t="n"/>
      <c r="J89" s="19" t="n"/>
      <c r="K89" s="19" t="inlineStr">
        <is>
          <t>2</t>
        </is>
      </c>
      <c r="L89" t="inlineStr">
        <is>
          <t>2026-08-08</t>
        </is>
      </c>
      <c r="N89" t="inlineStr">
        <is>
          <t>IN_SCOPE_FINAL; SOURCE_CFG=IA-ST-CFG-0023; MARKET=SHAWKAT; STATUS=IN OEM / EU PACKAGE</t>
        </is>
      </c>
      <c r="O89" t="inlineStr">
        <is>
          <t>2026-08-10T19:29:54Z</t>
        </is>
      </c>
      <c r="P89" t="inlineStr">
        <is>
          <t>2026-08-10T19:29:54Z</t>
        </is>
      </c>
    </row>
    <row r="90">
      <c r="A90" s="19" t="inlineStr">
        <is>
          <t>89</t>
        </is>
      </c>
      <c r="B90" s="19" t="inlineStr">
        <is>
          <t>SC-1015095-ST-021-STD-03</t>
        </is>
      </c>
      <c r="C90" t="inlineStr">
        <is>
          <t>1015095 → ST-021-STD-03</t>
        </is>
      </c>
      <c r="D90" s="19" t="inlineStr">
        <is>
          <t>2</t>
        </is>
      </c>
      <c r="E90" s="19" t="inlineStr">
        <is>
          <t>1849</t>
        </is>
      </c>
      <c r="F90" s="19" t="inlineStr">
        <is>
          <t>23</t>
        </is>
      </c>
      <c r="G90" s="19" t="n"/>
      <c r="H90" s="19" t="inlineStr">
        <is>
          <t>2</t>
        </is>
      </c>
      <c r="I90" s="19" t="n"/>
      <c r="J90" s="19" t="n"/>
      <c r="K90" s="19" t="inlineStr">
        <is>
          <t>2</t>
        </is>
      </c>
      <c r="L90" t="inlineStr">
        <is>
          <t>2026-08-08</t>
        </is>
      </c>
      <c r="N90" t="inlineStr">
        <is>
          <t>IN_SCOPE_FINAL; SOURCE_CFG=IA-ST-CFG-0023; MARKET=None; STATUS=IN OEM / EU PACKAGE</t>
        </is>
      </c>
      <c r="O90" t="inlineStr">
        <is>
          <t>2026-08-10T19:29:54Z</t>
        </is>
      </c>
      <c r="P90" t="inlineStr">
        <is>
          <t>2026-08-10T19:29:54Z</t>
        </is>
      </c>
    </row>
    <row r="91">
      <c r="A91" s="19" t="inlineStr">
        <is>
          <t>90</t>
        </is>
      </c>
      <c r="B91" s="19" t="inlineStr">
        <is>
          <t>SC-1015148-ST-021-STD-03</t>
        </is>
      </c>
      <c r="C91" t="inlineStr">
        <is>
          <t>1015148 → ST-021-STD-03</t>
        </is>
      </c>
      <c r="D91" s="19" t="inlineStr">
        <is>
          <t>2</t>
        </is>
      </c>
      <c r="E91" s="19" t="inlineStr">
        <is>
          <t>1897</t>
        </is>
      </c>
      <c r="F91" s="19" t="inlineStr">
        <is>
          <t>23</t>
        </is>
      </c>
      <c r="G91" s="19" t="n"/>
      <c r="H91" s="19" t="inlineStr">
        <is>
          <t>2</t>
        </is>
      </c>
      <c r="I91" s="19" t="n"/>
      <c r="J91" s="19" t="n"/>
      <c r="K91" s="19" t="inlineStr">
        <is>
          <t>2</t>
        </is>
      </c>
      <c r="L91" t="inlineStr">
        <is>
          <t>2026-08-08</t>
        </is>
      </c>
      <c r="N91" t="inlineStr">
        <is>
          <t>IN_SCOPE_FINAL; SOURCE_CFG=IA-ST-CFG-0023; MARKET=None; STATUS=IN OEM / EU PACKAGE</t>
        </is>
      </c>
      <c r="O91" t="inlineStr">
        <is>
          <t>2026-08-10T19:29:54Z</t>
        </is>
      </c>
      <c r="P91" t="inlineStr">
        <is>
          <t>2026-08-10T19:29:54Z</t>
        </is>
      </c>
    </row>
    <row r="92">
      <c r="A92" s="19" t="inlineStr">
        <is>
          <t>91</t>
        </is>
      </c>
      <c r="B92" s="19" t="inlineStr">
        <is>
          <t>SC-1015170-ST-021-STD-03</t>
        </is>
      </c>
      <c r="C92" t="inlineStr">
        <is>
          <t>1015170 → ST-021-STD-03</t>
        </is>
      </c>
      <c r="D92" s="19" t="inlineStr">
        <is>
          <t>2</t>
        </is>
      </c>
      <c r="E92" s="19" t="inlineStr">
        <is>
          <t>1916</t>
        </is>
      </c>
      <c r="F92" s="19" t="inlineStr">
        <is>
          <t>23</t>
        </is>
      </c>
      <c r="G92" s="19" t="n"/>
      <c r="H92" s="19" t="inlineStr">
        <is>
          <t>2</t>
        </is>
      </c>
      <c r="I92" s="19" t="n"/>
      <c r="J92" s="19" t="n"/>
      <c r="K92" s="19" t="inlineStr">
        <is>
          <t>2</t>
        </is>
      </c>
      <c r="L92" t="inlineStr">
        <is>
          <t>2026-08-08</t>
        </is>
      </c>
      <c r="N92" t="inlineStr">
        <is>
          <t>IN_SCOPE_FINAL; SOURCE_CFG=IA-ST-CFG-0023; MARKET=None; STATUS=IN OEM / EU PACKAGE</t>
        </is>
      </c>
      <c r="O92" t="inlineStr">
        <is>
          <t>2026-08-10T19:29:54Z</t>
        </is>
      </c>
      <c r="P92" t="inlineStr">
        <is>
          <t>2026-08-10T19:29:54Z</t>
        </is>
      </c>
    </row>
    <row r="93">
      <c r="A93" s="19" t="inlineStr">
        <is>
          <t>92</t>
        </is>
      </c>
      <c r="B93" s="19" t="inlineStr">
        <is>
          <t>SC-1015253-ST-021-STD-03</t>
        </is>
      </c>
      <c r="C93" t="inlineStr">
        <is>
          <t>1015253 → ST-021-STD-03</t>
        </is>
      </c>
      <c r="D93" s="19" t="inlineStr">
        <is>
          <t>2</t>
        </is>
      </c>
      <c r="E93" s="19" t="inlineStr">
        <is>
          <t>1989</t>
        </is>
      </c>
      <c r="F93" s="19" t="inlineStr">
        <is>
          <t>23</t>
        </is>
      </c>
      <c r="G93" s="19" t="n"/>
      <c r="H93" s="19" t="inlineStr">
        <is>
          <t>2</t>
        </is>
      </c>
      <c r="I93" s="19" t="n"/>
      <c r="J93" s="19" t="n"/>
      <c r="K93" s="19" t="inlineStr">
        <is>
          <t>2</t>
        </is>
      </c>
      <c r="L93" t="inlineStr">
        <is>
          <t>2026-08-08</t>
        </is>
      </c>
      <c r="N93" t="inlineStr">
        <is>
          <t>IN_SCOPE_FINAL; SOURCE_CFG=IA-ST-CFG-0023; MARKET=MISIR AL AMAN; STATUS=IN OEM / EU PACKAGE</t>
        </is>
      </c>
      <c r="O93" t="inlineStr">
        <is>
          <t>2026-08-10T19:29:54Z</t>
        </is>
      </c>
      <c r="P93" t="inlineStr">
        <is>
          <t>2026-08-10T19:29:54Z</t>
        </is>
      </c>
    </row>
    <row r="94">
      <c r="A94" s="19" t="inlineStr">
        <is>
          <t>93</t>
        </is>
      </c>
      <c r="B94" s="19" t="inlineStr">
        <is>
          <t>SC-1015261-ST-021-STD-03</t>
        </is>
      </c>
      <c r="C94" t="inlineStr">
        <is>
          <t>1015261 → ST-021-STD-03</t>
        </is>
      </c>
      <c r="D94" s="19" t="inlineStr">
        <is>
          <t>2</t>
        </is>
      </c>
      <c r="E94" s="19" t="inlineStr">
        <is>
          <t>1994</t>
        </is>
      </c>
      <c r="F94" s="19" t="inlineStr">
        <is>
          <t>23</t>
        </is>
      </c>
      <c r="G94" s="19" t="n"/>
      <c r="H94" s="19" t="inlineStr">
        <is>
          <t>2</t>
        </is>
      </c>
      <c r="I94" s="19" t="n"/>
      <c r="J94" s="19" t="n"/>
      <c r="K94" s="19" t="inlineStr">
        <is>
          <t>2</t>
        </is>
      </c>
      <c r="L94" t="inlineStr">
        <is>
          <t>2026-08-08</t>
        </is>
      </c>
      <c r="N94" t="inlineStr">
        <is>
          <t>IN_SCOPE_FINAL; SOURCE_CFG=IA-ST-CFG-0023; MARKET=None; STATUS=IN OEM / EU PACKAGE</t>
        </is>
      </c>
      <c r="O94" t="inlineStr">
        <is>
          <t>2026-08-10T19:29:54Z</t>
        </is>
      </c>
      <c r="P94" t="inlineStr">
        <is>
          <t>2026-08-10T19:29:54Z</t>
        </is>
      </c>
    </row>
    <row r="95">
      <c r="A95" s="19" t="inlineStr">
        <is>
          <t>94</t>
        </is>
      </c>
      <c r="B95" s="19" t="inlineStr">
        <is>
          <t>SC-1015291-ST-021-STD-03</t>
        </is>
      </c>
      <c r="C95" t="inlineStr">
        <is>
          <t>1015291 → ST-021-STD-03</t>
        </is>
      </c>
      <c r="D95" s="19" t="inlineStr">
        <is>
          <t>2</t>
        </is>
      </c>
      <c r="E95" s="19" t="inlineStr">
        <is>
          <t>2024</t>
        </is>
      </c>
      <c r="F95" s="19" t="inlineStr">
        <is>
          <t>23</t>
        </is>
      </c>
      <c r="G95" s="19" t="n"/>
      <c r="H95" s="19" t="inlineStr">
        <is>
          <t>2</t>
        </is>
      </c>
      <c r="I95" s="19" t="n"/>
      <c r="J95" s="19" t="n"/>
      <c r="K95" s="19" t="inlineStr">
        <is>
          <t>2</t>
        </is>
      </c>
      <c r="L95" t="inlineStr">
        <is>
          <t>2026-08-08</t>
        </is>
      </c>
      <c r="N95" t="inlineStr">
        <is>
          <t>IN_SCOPE_FINAL; SOURCE_CFG=IA-ST-CFG-0023; MARKET=None; STATUS=IN OEM / EU PACKAGE</t>
        </is>
      </c>
      <c r="O95" t="inlineStr">
        <is>
          <t>2026-08-10T19:29:54Z</t>
        </is>
      </c>
      <c r="P95" t="inlineStr">
        <is>
          <t>2026-08-10T19:29:54Z</t>
        </is>
      </c>
    </row>
    <row r="96">
      <c r="A96" s="19" t="inlineStr">
        <is>
          <t>95</t>
        </is>
      </c>
      <c r="B96" s="19" t="inlineStr">
        <is>
          <t>SC-1015304-ST-021-STD-03</t>
        </is>
      </c>
      <c r="C96" t="inlineStr">
        <is>
          <t>1015304 → ST-021-STD-03</t>
        </is>
      </c>
      <c r="D96" s="19" t="inlineStr">
        <is>
          <t>2</t>
        </is>
      </c>
      <c r="E96" s="19" t="inlineStr">
        <is>
          <t>2028</t>
        </is>
      </c>
      <c r="F96" s="19" t="inlineStr">
        <is>
          <t>23</t>
        </is>
      </c>
      <c r="G96" s="19" t="n"/>
      <c r="H96" s="19" t="inlineStr">
        <is>
          <t>2</t>
        </is>
      </c>
      <c r="I96" s="19" t="n"/>
      <c r="J96" s="19" t="n"/>
      <c r="K96" s="19" t="inlineStr">
        <is>
          <t>2</t>
        </is>
      </c>
      <c r="L96" t="inlineStr">
        <is>
          <t>2026-08-08</t>
        </is>
      </c>
      <c r="N96" t="inlineStr">
        <is>
          <t>IN_SCOPE_FINAL; SOURCE_CFG=IA-ST-CFG-0023; MARKET=MISIR AL AMAN; STATUS=IN OEM / EU PACKAGE</t>
        </is>
      </c>
      <c r="O96" t="inlineStr">
        <is>
          <t>2026-08-10T19:29:54Z</t>
        </is>
      </c>
      <c r="P96" t="inlineStr">
        <is>
          <t>2026-08-10T19:29:54Z</t>
        </is>
      </c>
    </row>
    <row r="97">
      <c r="A97" s="19" t="inlineStr">
        <is>
          <t>96</t>
        </is>
      </c>
      <c r="B97" s="19" t="inlineStr">
        <is>
          <t>SC-1015327-ST-021-STD-03</t>
        </is>
      </c>
      <c r="C97" t="inlineStr">
        <is>
          <t>1015327 → ST-021-STD-03</t>
        </is>
      </c>
      <c r="D97" s="19" t="inlineStr">
        <is>
          <t>2</t>
        </is>
      </c>
      <c r="E97" s="19" t="inlineStr">
        <is>
          <t>2046</t>
        </is>
      </c>
      <c r="F97" s="19" t="inlineStr">
        <is>
          <t>23</t>
        </is>
      </c>
      <c r="G97" s="19" t="n"/>
      <c r="H97" s="19" t="inlineStr">
        <is>
          <t>2</t>
        </is>
      </c>
      <c r="I97" s="19" t="n"/>
      <c r="J97" s="19" t="n"/>
      <c r="K97" s="19" t="inlineStr">
        <is>
          <t>2</t>
        </is>
      </c>
      <c r="L97" t="inlineStr">
        <is>
          <t>2026-08-08</t>
        </is>
      </c>
      <c r="N97" t="inlineStr">
        <is>
          <t>IN_SCOPE_FINAL; SOURCE_CFG=IA-ST-CFG-0023; MARKET=MISIR AL AMAN; STATUS=IN OEM / EU PACKAGE</t>
        </is>
      </c>
      <c r="O97" t="inlineStr">
        <is>
          <t>2026-08-10T19:29:54Z</t>
        </is>
      </c>
      <c r="P97" t="inlineStr">
        <is>
          <t>2026-08-10T19:29:54Z</t>
        </is>
      </c>
    </row>
    <row r="98">
      <c r="A98" s="19" t="inlineStr">
        <is>
          <t>97</t>
        </is>
      </c>
      <c r="B98" s="19" t="inlineStr">
        <is>
          <t>SC-1015077-ST-021-STD-03</t>
        </is>
      </c>
      <c r="C98" t="inlineStr">
        <is>
          <t>1015077 → ST-021-STD-03</t>
        </is>
      </c>
      <c r="D98" s="19" t="inlineStr">
        <is>
          <t>2</t>
        </is>
      </c>
      <c r="E98" s="19" t="inlineStr">
        <is>
          <t>1834</t>
        </is>
      </c>
      <c r="F98" s="19" t="inlineStr">
        <is>
          <t>23</t>
        </is>
      </c>
      <c r="G98" s="19" t="n"/>
      <c r="H98" s="19" t="inlineStr">
        <is>
          <t>2</t>
        </is>
      </c>
      <c r="I98" s="19" t="n"/>
      <c r="J98" s="19" t="n"/>
      <c r="K98" s="19" t="inlineStr">
        <is>
          <t>2</t>
        </is>
      </c>
      <c r="L98" t="inlineStr">
        <is>
          <t>2026-08-08</t>
        </is>
      </c>
      <c r="N98" t="inlineStr">
        <is>
          <t>IN_SCOPE_FINAL; SOURCE_CFG=IA-ST-CFG-0023; MARKET=İŞBİR JENERATÖR OEM (Yurt İçi); STATUS=IN OEM / EU PACKAGE</t>
        </is>
      </c>
      <c r="O98" t="inlineStr">
        <is>
          <t>2026-08-10T19:29:54Z</t>
        </is>
      </c>
      <c r="P98" t="inlineStr">
        <is>
          <t>2026-08-10T19:29:54Z</t>
        </is>
      </c>
    </row>
    <row r="99">
      <c r="A99" s="19" t="inlineStr">
        <is>
          <t>98</t>
        </is>
      </c>
      <c r="B99" s="19" t="inlineStr">
        <is>
          <t>SC-1013136-ST-021-STD-03</t>
        </is>
      </c>
      <c r="C99" t="inlineStr">
        <is>
          <t>1013136 → ST-021-STD-03</t>
        </is>
      </c>
      <c r="D99" s="19" t="inlineStr">
        <is>
          <t>2</t>
        </is>
      </c>
      <c r="E99" s="19" t="inlineStr">
        <is>
          <t>927</t>
        </is>
      </c>
      <c r="F99" s="19" t="inlineStr">
        <is>
          <t>23</t>
        </is>
      </c>
      <c r="G99" s="19" t="n"/>
      <c r="H99" s="19" t="inlineStr">
        <is>
          <t>2</t>
        </is>
      </c>
      <c r="I99" s="19" t="n"/>
      <c r="J99" s="19" t="n"/>
      <c r="K99" s="19" t="inlineStr">
        <is>
          <t>2</t>
        </is>
      </c>
      <c r="L99" t="inlineStr">
        <is>
          <t>2026-08-08</t>
        </is>
      </c>
      <c r="N99" t="inlineStr">
        <is>
          <t>IN_SCOPE_FINAL; SOURCE_CFG=IA-ST-CFG-0023; MARKET=TÜRKMENİSTAN; STATUS=IN OEM / EU PACKAGE</t>
        </is>
      </c>
      <c r="O99" t="inlineStr">
        <is>
          <t>2026-08-10T19:29:54Z</t>
        </is>
      </c>
      <c r="P99" t="inlineStr">
        <is>
          <t>2026-08-10T19:29:54Z</t>
        </is>
      </c>
    </row>
    <row r="100">
      <c r="A100" s="19" t="inlineStr">
        <is>
          <t>99</t>
        </is>
      </c>
      <c r="B100" s="19" t="inlineStr">
        <is>
          <t>SC-1015156-ST-021-STD-03</t>
        </is>
      </c>
      <c r="C100" t="inlineStr">
        <is>
          <t>1015156 → ST-021-STD-03</t>
        </is>
      </c>
      <c r="D100" s="19" t="inlineStr">
        <is>
          <t>2</t>
        </is>
      </c>
      <c r="E100" s="19" t="inlineStr">
        <is>
          <t>1903</t>
        </is>
      </c>
      <c r="F100" s="19" t="inlineStr">
        <is>
          <t>23</t>
        </is>
      </c>
      <c r="G100" s="19" t="n"/>
      <c r="H100" s="19" t="inlineStr">
        <is>
          <t>2</t>
        </is>
      </c>
      <c r="I100" s="19" t="n"/>
      <c r="J100" s="19" t="n"/>
      <c r="K100" s="19" t="inlineStr">
        <is>
          <t>2</t>
        </is>
      </c>
      <c r="L100" t="inlineStr">
        <is>
          <t>2026-08-08</t>
        </is>
      </c>
      <c r="N100" t="inlineStr">
        <is>
          <t>IN_SCOPE_FINAL; SOURCE_CFG=IA-ST-CFG-0023; MARKET=FULL JENERATÖR OEM (Yurt İçi); STATUS=IN OEM / EU PACKAGE</t>
        </is>
      </c>
      <c r="O100" t="inlineStr">
        <is>
          <t>2026-08-10T19:29:54Z</t>
        </is>
      </c>
      <c r="P100" t="inlineStr">
        <is>
          <t>2026-08-10T19:29:54Z</t>
        </is>
      </c>
    </row>
    <row r="101">
      <c r="A101" s="19" t="inlineStr">
        <is>
          <t>100</t>
        </is>
      </c>
      <c r="B101" s="19" t="inlineStr">
        <is>
          <t>SC-1009273-ST-021-STD-04</t>
        </is>
      </c>
      <c r="C101" t="inlineStr">
        <is>
          <t>1009273 → ST-021-STD-04</t>
        </is>
      </c>
      <c r="D101" s="19" t="inlineStr">
        <is>
          <t>2</t>
        </is>
      </c>
      <c r="E101" s="19" t="inlineStr">
        <is>
          <t>109</t>
        </is>
      </c>
      <c r="F101" s="19" t="inlineStr">
        <is>
          <t>24</t>
        </is>
      </c>
      <c r="G101" s="19" t="n"/>
      <c r="H101" s="19" t="inlineStr">
        <is>
          <t>2</t>
        </is>
      </c>
      <c r="I101" s="19" t="n"/>
      <c r="J101" s="19" t="n"/>
      <c r="K101" s="19" t="inlineStr">
        <is>
          <t>2</t>
        </is>
      </c>
      <c r="L101" t="inlineStr">
        <is>
          <t>2026-08-08</t>
        </is>
      </c>
      <c r="N101" t="inlineStr">
        <is>
          <t>IN_SCOPE_FINAL; SOURCE_CFG=IA-ST-CFG-0024; MARKET=YUA-CV YURT İÇİ AFM; STATUS=IN OEM / EU PACKAGE</t>
        </is>
      </c>
      <c r="O101" t="inlineStr">
        <is>
          <t>2026-08-10T19:29:54Z</t>
        </is>
      </c>
      <c r="P101" t="inlineStr">
        <is>
          <t>2026-08-10T19:29:54Z</t>
        </is>
      </c>
    </row>
    <row r="102">
      <c r="A102" s="19" t="inlineStr">
        <is>
          <t>101</t>
        </is>
      </c>
      <c r="B102" s="19" t="inlineStr">
        <is>
          <t>SC-1014075-ST-021-STD-04</t>
        </is>
      </c>
      <c r="C102" t="inlineStr">
        <is>
          <t>1014075 → ST-021-STD-04</t>
        </is>
      </c>
      <c r="D102" s="19" t="inlineStr">
        <is>
          <t>2</t>
        </is>
      </c>
      <c r="E102" s="19" t="inlineStr">
        <is>
          <t>1214</t>
        </is>
      </c>
      <c r="F102" s="19" t="inlineStr">
        <is>
          <t>24</t>
        </is>
      </c>
      <c r="G102" s="19" t="n"/>
      <c r="H102" s="19" t="inlineStr">
        <is>
          <t>2</t>
        </is>
      </c>
      <c r="I102" s="19" t="n"/>
      <c r="J102" s="19" t="n"/>
      <c r="K102" s="19" t="inlineStr">
        <is>
          <t>2</t>
        </is>
      </c>
      <c r="L102" t="inlineStr">
        <is>
          <t>2026-08-08</t>
        </is>
      </c>
      <c r="N102" t="inlineStr">
        <is>
          <t>IN_SCOPE_FINAL; SOURCE_CFG=IA-ST-CFG-0024; MARKET=YURT İÇİ AFM; STATUS=IN OEM / EU PACKAGE</t>
        </is>
      </c>
      <c r="O102" t="inlineStr">
        <is>
          <t>2026-08-10T19:29:54Z</t>
        </is>
      </c>
      <c r="P102" t="inlineStr">
        <is>
          <t>2026-08-10T19:29:54Z</t>
        </is>
      </c>
    </row>
    <row r="103">
      <c r="A103" s="19" t="inlineStr">
        <is>
          <t>102</t>
        </is>
      </c>
      <c r="B103" s="19" t="inlineStr">
        <is>
          <t>SC-1014078-ST-021-STD-04</t>
        </is>
      </c>
      <c r="C103" t="inlineStr">
        <is>
          <t>1014078 → ST-021-STD-04</t>
        </is>
      </c>
      <c r="D103" s="19" t="inlineStr">
        <is>
          <t>2</t>
        </is>
      </c>
      <c r="E103" s="19" t="inlineStr">
        <is>
          <t>1217</t>
        </is>
      </c>
      <c r="F103" s="19" t="inlineStr">
        <is>
          <t>24</t>
        </is>
      </c>
      <c r="G103" s="19" t="n"/>
      <c r="H103" s="19" t="inlineStr">
        <is>
          <t>2</t>
        </is>
      </c>
      <c r="I103" s="19" t="n"/>
      <c r="J103" s="19" t="n"/>
      <c r="K103" s="19" t="inlineStr">
        <is>
          <t>2</t>
        </is>
      </c>
      <c r="L103" t="inlineStr">
        <is>
          <t>2026-08-08</t>
        </is>
      </c>
      <c r="N103" t="inlineStr">
        <is>
          <t>IN_SCOPE_FINAL; SOURCE_CFG=IA-ST-CFG-0024; MARKET=YURT İÇİ AFM; STATUS=IN OEM / EU PACKAGE</t>
        </is>
      </c>
      <c r="O103" t="inlineStr">
        <is>
          <t>2026-08-10T19:29:54Z</t>
        </is>
      </c>
      <c r="P103" t="inlineStr">
        <is>
          <t>2026-08-10T19:29:54Z</t>
        </is>
      </c>
    </row>
    <row r="104">
      <c r="A104" s="19" t="inlineStr">
        <is>
          <t>103</t>
        </is>
      </c>
      <c r="B104" s="19" t="inlineStr">
        <is>
          <t>SC-1014080-ST-021-STD-04</t>
        </is>
      </c>
      <c r="C104" t="inlineStr">
        <is>
          <t>1014080 → ST-021-STD-04</t>
        </is>
      </c>
      <c r="D104" s="19" t="inlineStr">
        <is>
          <t>2</t>
        </is>
      </c>
      <c r="E104" s="19" t="inlineStr">
        <is>
          <t>1218</t>
        </is>
      </c>
      <c r="F104" s="19" t="inlineStr">
        <is>
          <t>24</t>
        </is>
      </c>
      <c r="G104" s="19" t="n"/>
      <c r="H104" s="19" t="inlineStr">
        <is>
          <t>2</t>
        </is>
      </c>
      <c r="I104" s="19" t="n"/>
      <c r="J104" s="19" t="n"/>
      <c r="K104" s="19" t="inlineStr">
        <is>
          <t>2</t>
        </is>
      </c>
      <c r="L104" t="inlineStr">
        <is>
          <t>2026-08-08</t>
        </is>
      </c>
      <c r="N104" t="inlineStr">
        <is>
          <t>IN_SCOPE_FINAL; SOURCE_CFG=IA-ST-CFG-0024; MARKET=YURT İÇİ AFM; STATUS=IN OEM / EU PACKAGE</t>
        </is>
      </c>
      <c r="O104" t="inlineStr">
        <is>
          <t>2026-08-10T19:29:54Z</t>
        </is>
      </c>
      <c r="P104" t="inlineStr">
        <is>
          <t>2026-08-10T19:29:54Z</t>
        </is>
      </c>
    </row>
    <row r="105">
      <c r="A105" s="19" t="inlineStr">
        <is>
          <t>104</t>
        </is>
      </c>
      <c r="B105" s="19" t="inlineStr">
        <is>
          <t>SC-1014492-ST-021-STD-04</t>
        </is>
      </c>
      <c r="C105" t="inlineStr">
        <is>
          <t>1014492 → ST-021-STD-04</t>
        </is>
      </c>
      <c r="D105" s="19" t="inlineStr">
        <is>
          <t>2</t>
        </is>
      </c>
      <c r="E105" s="19" t="inlineStr">
        <is>
          <t>1416</t>
        </is>
      </c>
      <c r="F105" s="19" t="inlineStr">
        <is>
          <t>24</t>
        </is>
      </c>
      <c r="G105" s="19" t="n"/>
      <c r="H105" s="19" t="inlineStr">
        <is>
          <t>2</t>
        </is>
      </c>
      <c r="I105" s="19" t="n"/>
      <c r="J105" s="19" t="n"/>
      <c r="K105" s="19" t="inlineStr">
        <is>
          <t>2</t>
        </is>
      </c>
      <c r="L105" t="inlineStr">
        <is>
          <t>2026-08-08</t>
        </is>
      </c>
      <c r="N105" t="inlineStr">
        <is>
          <t>IN_SCOPE_FINAL; SOURCE_CFG=IA-ST-CFG-0024; MARKET=YURT İÇİ AFM; STATUS=IN OEM / EU PACKAGE</t>
        </is>
      </c>
      <c r="O105" t="inlineStr">
        <is>
          <t>2026-08-10T19:29:54Z</t>
        </is>
      </c>
      <c r="P105" t="inlineStr">
        <is>
          <t>2026-08-10T19:29:54Z</t>
        </is>
      </c>
    </row>
    <row r="106">
      <c r="A106" s="19" t="inlineStr">
        <is>
          <t>105</t>
        </is>
      </c>
      <c r="B106" s="19" t="inlineStr">
        <is>
          <t>SC-1000448-ST-021-STD-04</t>
        </is>
      </c>
      <c r="C106" t="inlineStr">
        <is>
          <t>1000448 → ST-021-STD-04</t>
        </is>
      </c>
      <c r="D106" s="19" t="inlineStr">
        <is>
          <t>2</t>
        </is>
      </c>
      <c r="E106" s="19" t="inlineStr">
        <is>
          <t>5</t>
        </is>
      </c>
      <c r="F106" s="19" t="inlineStr">
        <is>
          <t>24</t>
        </is>
      </c>
      <c r="G106" s="19" t="n"/>
      <c r="H106" s="19" t="inlineStr">
        <is>
          <t>2</t>
        </is>
      </c>
      <c r="I106" s="19" t="n"/>
      <c r="J106" s="19" t="n"/>
      <c r="K106" s="19" t="inlineStr">
        <is>
          <t>2</t>
        </is>
      </c>
      <c r="L106" t="inlineStr">
        <is>
          <t>2026-08-08</t>
        </is>
      </c>
      <c r="N106" t="inlineStr">
        <is>
          <t>IN_SCOPE_FINAL; SOURCE_CFG=IA-ST-CFG-0024; MARKET=YURT İÇİ AFM; STATUS=IN OEM / EU PACKAGE</t>
        </is>
      </c>
      <c r="O106" t="inlineStr">
        <is>
          <t>2026-08-10T19:29:54Z</t>
        </is>
      </c>
      <c r="P106" t="inlineStr">
        <is>
          <t>2026-08-10T19:29:54Z</t>
        </is>
      </c>
    </row>
    <row r="107">
      <c r="A107" s="19" t="inlineStr">
        <is>
          <t>106</t>
        </is>
      </c>
      <c r="B107" s="19" t="inlineStr">
        <is>
          <t>SC-1001102-ST-021-STD-04</t>
        </is>
      </c>
      <c r="C107" t="inlineStr">
        <is>
          <t>1001102 → ST-021-STD-04</t>
        </is>
      </c>
      <c r="D107" s="19" t="inlineStr">
        <is>
          <t>2</t>
        </is>
      </c>
      <c r="E107" s="19" t="inlineStr">
        <is>
          <t>7</t>
        </is>
      </c>
      <c r="F107" s="19" t="inlineStr">
        <is>
          <t>24</t>
        </is>
      </c>
      <c r="G107" s="19" t="n"/>
      <c r="H107" s="19" t="inlineStr">
        <is>
          <t>2</t>
        </is>
      </c>
      <c r="I107" s="19" t="n"/>
      <c r="J107" s="19" t="n"/>
      <c r="K107" s="19" t="inlineStr">
        <is>
          <t>2</t>
        </is>
      </c>
      <c r="L107" t="inlineStr">
        <is>
          <t>2026-08-08</t>
        </is>
      </c>
      <c r="N107" t="inlineStr">
        <is>
          <t>IN_SCOPE_FINAL; SOURCE_CFG=IA-ST-CFG-0024; MARKET=YURT İÇİ AFM; STATUS=IN OEM / EU PACKAGE</t>
        </is>
      </c>
      <c r="O107" t="inlineStr">
        <is>
          <t>2026-08-10T19:29:54Z</t>
        </is>
      </c>
      <c r="P107" t="inlineStr">
        <is>
          <t>2026-08-10T19:29:54Z</t>
        </is>
      </c>
    </row>
    <row r="108">
      <c r="A108" s="19" t="inlineStr">
        <is>
          <t>107</t>
        </is>
      </c>
      <c r="B108" s="19" t="inlineStr">
        <is>
          <t>SC-1003403-ST-021-STD-04</t>
        </is>
      </c>
      <c r="C108" t="inlineStr">
        <is>
          <t>1003403 → ST-021-STD-04</t>
        </is>
      </c>
      <c r="D108" s="19" t="inlineStr">
        <is>
          <t>2</t>
        </is>
      </c>
      <c r="E108" s="19" t="inlineStr">
        <is>
          <t>19</t>
        </is>
      </c>
      <c r="F108" s="19" t="inlineStr">
        <is>
          <t>24</t>
        </is>
      </c>
      <c r="G108" s="19" t="n"/>
      <c r="H108" s="19" t="inlineStr">
        <is>
          <t>2</t>
        </is>
      </c>
      <c r="I108" s="19" t="n"/>
      <c r="J108" s="19" t="n"/>
      <c r="K108" s="19" t="inlineStr">
        <is>
          <t>2</t>
        </is>
      </c>
      <c r="L108" t="inlineStr">
        <is>
          <t>2026-08-08</t>
        </is>
      </c>
      <c r="N108" t="inlineStr">
        <is>
          <t>IN_SCOPE_FINAL; SOURCE_CFG=IA-ST-CFG-0024; MARKET=YURT İÇİ AFM; STATUS=IN OEM / EU PACKAGE</t>
        </is>
      </c>
      <c r="O108" t="inlineStr">
        <is>
          <t>2026-08-10T19:29:54Z</t>
        </is>
      </c>
      <c r="P108" t="inlineStr">
        <is>
          <t>2026-08-10T19:29:54Z</t>
        </is>
      </c>
    </row>
    <row r="109">
      <c r="A109" s="19" t="inlineStr">
        <is>
          <t>108</t>
        </is>
      </c>
      <c r="B109" s="19" t="inlineStr">
        <is>
          <t>SC-1004304-ST-021-STD-04</t>
        </is>
      </c>
      <c r="C109" t="inlineStr">
        <is>
          <t>1004304 → ST-021-STD-04</t>
        </is>
      </c>
      <c r="D109" s="19" t="inlineStr">
        <is>
          <t>2</t>
        </is>
      </c>
      <c r="E109" s="19" t="inlineStr">
        <is>
          <t>32</t>
        </is>
      </c>
      <c r="F109" s="19" t="inlineStr">
        <is>
          <t>24</t>
        </is>
      </c>
      <c r="G109" s="19" t="n"/>
      <c r="H109" s="19" t="inlineStr">
        <is>
          <t>2</t>
        </is>
      </c>
      <c r="I109" s="19" t="n"/>
      <c r="J109" s="19" t="n"/>
      <c r="K109" s="19" t="inlineStr">
        <is>
          <t>2</t>
        </is>
      </c>
      <c r="L109" t="inlineStr">
        <is>
          <t>2026-08-08</t>
        </is>
      </c>
      <c r="N109" t="inlineStr">
        <is>
          <t>IN_SCOPE_FINAL; SOURCE_CFG=IA-ST-CFG-0024; MARKET=YURT İÇİ AFM; STATUS=IN OEM / EU PACKAGE</t>
        </is>
      </c>
      <c r="O109" t="inlineStr">
        <is>
          <t>2026-08-10T19:29:54Z</t>
        </is>
      </c>
      <c r="P109" t="inlineStr">
        <is>
          <t>2026-08-10T19:29:54Z</t>
        </is>
      </c>
    </row>
    <row r="110">
      <c r="A110" s="19" t="inlineStr">
        <is>
          <t>109</t>
        </is>
      </c>
      <c r="B110" s="19" t="inlineStr">
        <is>
          <t>SC-1010069-ST-021-STD-04</t>
        </is>
      </c>
      <c r="C110" t="inlineStr">
        <is>
          <t>1010069 → ST-021-STD-04</t>
        </is>
      </c>
      <c r="D110" s="19" t="inlineStr">
        <is>
          <t>2</t>
        </is>
      </c>
      <c r="E110" s="19" t="inlineStr">
        <is>
          <t>156</t>
        </is>
      </c>
      <c r="F110" s="19" t="inlineStr">
        <is>
          <t>24</t>
        </is>
      </c>
      <c r="G110" s="19" t="n"/>
      <c r="H110" s="19" t="inlineStr">
        <is>
          <t>2</t>
        </is>
      </c>
      <c r="I110" s="19" t="n"/>
      <c r="J110" s="19" t="n"/>
      <c r="K110" s="19" t="inlineStr">
        <is>
          <t>2</t>
        </is>
      </c>
      <c r="L110" t="inlineStr">
        <is>
          <t>2026-08-08</t>
        </is>
      </c>
      <c r="N110" t="inlineStr">
        <is>
          <t>IN_SCOPE_FINAL; SOURCE_CFG=IA-ST-CFG-0024; MARKET=OTOPRATİK (Yurt İçi); STATUS=IN OEM / EU PACKAGE</t>
        </is>
      </c>
      <c r="O110" t="inlineStr">
        <is>
          <t>2026-08-10T19:29:54Z</t>
        </is>
      </c>
      <c r="P110" t="inlineStr">
        <is>
          <t>2026-08-10T19:29:54Z</t>
        </is>
      </c>
    </row>
    <row r="111">
      <c r="A111" s="19" t="inlineStr">
        <is>
          <t>110</t>
        </is>
      </c>
      <c r="B111" s="19" t="inlineStr">
        <is>
          <t>SC-1010168-ST-021-STD-04</t>
        </is>
      </c>
      <c r="C111" t="inlineStr">
        <is>
          <t>1010168 → ST-021-STD-04</t>
        </is>
      </c>
      <c r="D111" s="19" t="inlineStr">
        <is>
          <t>2</t>
        </is>
      </c>
      <c r="E111" s="19" t="inlineStr">
        <is>
          <t>164</t>
        </is>
      </c>
      <c r="F111" s="19" t="inlineStr">
        <is>
          <t>24</t>
        </is>
      </c>
      <c r="G111" s="19" t="n"/>
      <c r="H111" s="19" t="inlineStr">
        <is>
          <t>2</t>
        </is>
      </c>
      <c r="I111" s="19" t="n"/>
      <c r="J111" s="19" t="n"/>
      <c r="K111" s="19" t="inlineStr">
        <is>
          <t>2</t>
        </is>
      </c>
      <c r="L111" t="inlineStr">
        <is>
          <t>2026-08-08</t>
        </is>
      </c>
      <c r="N111" t="inlineStr">
        <is>
          <t>IN_SCOPE_FINAL; SOURCE_CFG=IA-ST-CFG-0024; MARKET=YURT İÇİ AFM; STATUS=IN OEM / EU PACKAGE</t>
        </is>
      </c>
      <c r="O111" t="inlineStr">
        <is>
          <t>2026-08-10T19:29:54Z</t>
        </is>
      </c>
      <c r="P111" t="inlineStr">
        <is>
          <t>2026-08-10T19:29:54Z</t>
        </is>
      </c>
    </row>
    <row r="112">
      <c r="A112" s="19" t="inlineStr">
        <is>
          <t>111</t>
        </is>
      </c>
      <c r="B112" s="19" t="inlineStr">
        <is>
          <t>SC-1010199-ST-021-STD-04</t>
        </is>
      </c>
      <c r="C112" t="inlineStr">
        <is>
          <t>1010199 → ST-021-STD-04</t>
        </is>
      </c>
      <c r="D112" s="19" t="inlineStr">
        <is>
          <t>2</t>
        </is>
      </c>
      <c r="E112" s="19" t="inlineStr">
        <is>
          <t>174</t>
        </is>
      </c>
      <c r="F112" s="19" t="inlineStr">
        <is>
          <t>24</t>
        </is>
      </c>
      <c r="G112" s="19" t="n"/>
      <c r="H112" s="19" t="inlineStr">
        <is>
          <t>2</t>
        </is>
      </c>
      <c r="I112" s="19" t="n"/>
      <c r="J112" s="19" t="n"/>
      <c r="K112" s="19" t="inlineStr">
        <is>
          <t>2</t>
        </is>
      </c>
      <c r="L112" t="inlineStr">
        <is>
          <t>2026-08-08</t>
        </is>
      </c>
      <c r="N112" t="inlineStr">
        <is>
          <t>IN_SCOPE_FINAL; SOURCE_CFG=IA-ST-CFG-0024; MARKET=YURT İÇİ AFM; STATUS=IN OEM / EU PACKAGE</t>
        </is>
      </c>
      <c r="O112" t="inlineStr">
        <is>
          <t>2026-08-10T19:29:54Z</t>
        </is>
      </c>
      <c r="P112" t="inlineStr">
        <is>
          <t>2026-08-10T19:29:54Z</t>
        </is>
      </c>
    </row>
    <row r="113">
      <c r="A113" s="19" t="inlineStr">
        <is>
          <t>112</t>
        </is>
      </c>
      <c r="B113" s="19" t="inlineStr">
        <is>
          <t>SC-1010200-ST-021-STD-04</t>
        </is>
      </c>
      <c r="C113" t="inlineStr">
        <is>
          <t>1010200 → ST-021-STD-04</t>
        </is>
      </c>
      <c r="D113" s="19" t="inlineStr">
        <is>
          <t>2</t>
        </is>
      </c>
      <c r="E113" s="19" t="inlineStr">
        <is>
          <t>175</t>
        </is>
      </c>
      <c r="F113" s="19" t="inlineStr">
        <is>
          <t>24</t>
        </is>
      </c>
      <c r="G113" s="19" t="n"/>
      <c r="H113" s="19" t="inlineStr">
        <is>
          <t>2</t>
        </is>
      </c>
      <c r="I113" s="19" t="n"/>
      <c r="J113" s="19" t="n"/>
      <c r="K113" s="19" t="inlineStr">
        <is>
          <t>2</t>
        </is>
      </c>
      <c r="L113" t="inlineStr">
        <is>
          <t>2026-08-08</t>
        </is>
      </c>
      <c r="N113" t="inlineStr">
        <is>
          <t>IN_SCOPE_FINAL; SOURCE_CFG=IA-ST-CFG-0024; MARKET=YURT İÇİ AFM; STATUS=IN OEM / EU PACKAGE</t>
        </is>
      </c>
      <c r="O113" t="inlineStr">
        <is>
          <t>2026-08-10T19:29:54Z</t>
        </is>
      </c>
      <c r="P113" t="inlineStr">
        <is>
          <t>2026-08-10T19:29:54Z</t>
        </is>
      </c>
    </row>
    <row r="114">
      <c r="A114" s="19" t="inlineStr">
        <is>
          <t>113</t>
        </is>
      </c>
      <c r="B114" s="19" t="inlineStr">
        <is>
          <t>SC-1010202-ST-021-STD-04</t>
        </is>
      </c>
      <c r="C114" t="inlineStr">
        <is>
          <t>1010202 → ST-021-STD-04</t>
        </is>
      </c>
      <c r="D114" s="19" t="inlineStr">
        <is>
          <t>2</t>
        </is>
      </c>
      <c r="E114" s="19" t="inlineStr">
        <is>
          <t>176</t>
        </is>
      </c>
      <c r="F114" s="19" t="inlineStr">
        <is>
          <t>24</t>
        </is>
      </c>
      <c r="G114" s="19" t="n"/>
      <c r="H114" s="19" t="inlineStr">
        <is>
          <t>2</t>
        </is>
      </c>
      <c r="I114" s="19" t="n"/>
      <c r="J114" s="19" t="n"/>
      <c r="K114" s="19" t="inlineStr">
        <is>
          <t>2</t>
        </is>
      </c>
      <c r="L114" t="inlineStr">
        <is>
          <t>2026-08-08</t>
        </is>
      </c>
      <c r="N114" t="inlineStr">
        <is>
          <t>IN_SCOPE_FINAL; SOURCE_CFG=IA-ST-CFG-0024; MARKET=YURT İÇİ AFM; STATUS=IN OEM / EU PACKAGE</t>
        </is>
      </c>
      <c r="O114" t="inlineStr">
        <is>
          <t>2026-08-10T19:29:54Z</t>
        </is>
      </c>
      <c r="P114" t="inlineStr">
        <is>
          <t>2026-08-10T19:29:54Z</t>
        </is>
      </c>
    </row>
    <row r="115">
      <c r="A115" s="19" t="inlineStr">
        <is>
          <t>114</t>
        </is>
      </c>
      <c r="B115" s="19" t="inlineStr">
        <is>
          <t>SC-1014015-ST-021-STD-04</t>
        </is>
      </c>
      <c r="C115" t="inlineStr">
        <is>
          <t>1014015 → ST-021-STD-04</t>
        </is>
      </c>
      <c r="D115" s="19" t="inlineStr">
        <is>
          <t>2</t>
        </is>
      </c>
      <c r="E115" s="19" t="inlineStr">
        <is>
          <t>1183</t>
        </is>
      </c>
      <c r="F115" s="19" t="inlineStr">
        <is>
          <t>24</t>
        </is>
      </c>
      <c r="G115" s="19" t="n"/>
      <c r="H115" s="19" t="inlineStr">
        <is>
          <t>2</t>
        </is>
      </c>
      <c r="I115" s="19" t="n"/>
      <c r="J115" s="19" t="n"/>
      <c r="K115" s="19" t="inlineStr">
        <is>
          <t>2</t>
        </is>
      </c>
      <c r="L115" t="inlineStr">
        <is>
          <t>2026-08-08</t>
        </is>
      </c>
      <c r="N115" t="inlineStr">
        <is>
          <t>IN_SCOPE_FINAL; SOURCE_CFG=IA-ST-CFG-0024; MARKET=YURT İÇİ AFM; STATUS=IN OEM / EU PACKAGE</t>
        </is>
      </c>
      <c r="O115" t="inlineStr">
        <is>
          <t>2026-08-10T19:29:54Z</t>
        </is>
      </c>
      <c r="P115" t="inlineStr">
        <is>
          <t>2026-08-10T19:29:54Z</t>
        </is>
      </c>
    </row>
    <row r="116">
      <c r="A116" s="19" t="inlineStr">
        <is>
          <t>115</t>
        </is>
      </c>
      <c r="B116" s="19" t="inlineStr">
        <is>
          <t>SC-1014017-ST-021-STD-04</t>
        </is>
      </c>
      <c r="C116" t="inlineStr">
        <is>
          <t>1014017 → ST-021-STD-04</t>
        </is>
      </c>
      <c r="D116" s="19" t="inlineStr">
        <is>
          <t>2</t>
        </is>
      </c>
      <c r="E116" s="19" t="inlineStr">
        <is>
          <t>1185</t>
        </is>
      </c>
      <c r="F116" s="19" t="inlineStr">
        <is>
          <t>24</t>
        </is>
      </c>
      <c r="G116" s="19" t="n"/>
      <c r="H116" s="19" t="inlineStr">
        <is>
          <t>2</t>
        </is>
      </c>
      <c r="I116" s="19" t="n"/>
      <c r="J116" s="19" t="n"/>
      <c r="K116" s="19" t="inlineStr">
        <is>
          <t>2</t>
        </is>
      </c>
      <c r="L116" t="inlineStr">
        <is>
          <t>2026-08-08</t>
        </is>
      </c>
      <c r="N116" t="inlineStr">
        <is>
          <t>IN_SCOPE_FINAL; SOURCE_CFG=IA-ST-CFG-0024; MARKET=YURT İÇİ AFM; STATUS=IN OEM / EU PACKAGE</t>
        </is>
      </c>
      <c r="O116" t="inlineStr">
        <is>
          <t>2026-08-10T19:29:54Z</t>
        </is>
      </c>
      <c r="P116" t="inlineStr">
        <is>
          <t>2026-08-10T19:29:54Z</t>
        </is>
      </c>
    </row>
    <row r="117">
      <c r="A117" s="19" t="inlineStr">
        <is>
          <t>116</t>
        </is>
      </c>
      <c r="B117" s="19" t="inlineStr">
        <is>
          <t>SC-1014021-ST-021-STD-04</t>
        </is>
      </c>
      <c r="C117" t="inlineStr">
        <is>
          <t>1014021 → ST-021-STD-04</t>
        </is>
      </c>
      <c r="D117" s="19" t="inlineStr">
        <is>
          <t>2</t>
        </is>
      </c>
      <c r="E117" s="19" t="inlineStr">
        <is>
          <t>1189</t>
        </is>
      </c>
      <c r="F117" s="19" t="inlineStr">
        <is>
          <t>24</t>
        </is>
      </c>
      <c r="G117" s="19" t="n"/>
      <c r="H117" s="19" t="inlineStr">
        <is>
          <t>2</t>
        </is>
      </c>
      <c r="I117" s="19" t="n"/>
      <c r="J117" s="19" t="n"/>
      <c r="K117" s="19" t="inlineStr">
        <is>
          <t>2</t>
        </is>
      </c>
      <c r="L117" t="inlineStr">
        <is>
          <t>2026-08-08</t>
        </is>
      </c>
      <c r="N117" t="inlineStr">
        <is>
          <t>IN_SCOPE_FINAL; SOURCE_CFG=IA-ST-CFG-0024; MARKET=YURT İÇİ AFM; STATUS=IN OEM / EU PACKAGE</t>
        </is>
      </c>
      <c r="O117" t="inlineStr">
        <is>
          <t>2026-08-10T19:29:54Z</t>
        </is>
      </c>
      <c r="P117" t="inlineStr">
        <is>
          <t>2026-08-10T19:29:54Z</t>
        </is>
      </c>
    </row>
    <row r="118">
      <c r="A118" s="19" t="inlineStr">
        <is>
          <t>117</t>
        </is>
      </c>
      <c r="B118" s="19" t="inlineStr">
        <is>
          <t>SC-1014066-ST-021-STD-04</t>
        </is>
      </c>
      <c r="C118" t="inlineStr">
        <is>
          <t>1014066 → ST-021-STD-04</t>
        </is>
      </c>
      <c r="D118" s="19" t="inlineStr">
        <is>
          <t>2</t>
        </is>
      </c>
      <c r="E118" s="19" t="inlineStr">
        <is>
          <t>1208</t>
        </is>
      </c>
      <c r="F118" s="19" t="inlineStr">
        <is>
          <t>24</t>
        </is>
      </c>
      <c r="G118" s="19" t="n"/>
      <c r="H118" s="19" t="inlineStr">
        <is>
          <t>2</t>
        </is>
      </c>
      <c r="I118" s="19" t="n"/>
      <c r="J118" s="19" t="n"/>
      <c r="K118" s="19" t="inlineStr">
        <is>
          <t>2</t>
        </is>
      </c>
      <c r="L118" t="inlineStr">
        <is>
          <t>2026-08-08</t>
        </is>
      </c>
      <c r="N118" t="inlineStr">
        <is>
          <t>IN_SCOPE_FINAL; SOURCE_CFG=IA-ST-CFG-0024; MARKET=YURT İÇİ AFM; STATUS=IN OEM / EU PACKAGE</t>
        </is>
      </c>
      <c r="O118" t="inlineStr">
        <is>
          <t>2026-08-10T19:29:54Z</t>
        </is>
      </c>
      <c r="P118" t="inlineStr">
        <is>
          <t>2026-08-10T19:29:54Z</t>
        </is>
      </c>
    </row>
    <row r="119">
      <c r="A119" s="19" t="inlineStr">
        <is>
          <t>118</t>
        </is>
      </c>
      <c r="B119" s="19" t="inlineStr">
        <is>
          <t>SC-1014069-ST-021-STD-04</t>
        </is>
      </c>
      <c r="C119" t="inlineStr">
        <is>
          <t>1014069 → ST-021-STD-04</t>
        </is>
      </c>
      <c r="D119" s="19" t="inlineStr">
        <is>
          <t>2</t>
        </is>
      </c>
      <c r="E119" s="19" t="inlineStr">
        <is>
          <t>1211</t>
        </is>
      </c>
      <c r="F119" s="19" t="inlineStr">
        <is>
          <t>24</t>
        </is>
      </c>
      <c r="G119" s="19" t="n"/>
      <c r="H119" s="19" t="inlineStr">
        <is>
          <t>2</t>
        </is>
      </c>
      <c r="I119" s="19" t="n"/>
      <c r="J119" s="19" t="n"/>
      <c r="K119" s="19" t="inlineStr">
        <is>
          <t>2</t>
        </is>
      </c>
      <c r="L119" t="inlineStr">
        <is>
          <t>2026-08-08</t>
        </is>
      </c>
      <c r="N119" t="inlineStr">
        <is>
          <t>IN_SCOPE_FINAL; SOURCE_CFG=IA-ST-CFG-0024; MARKET=YURT İÇİ AFM; STATUS=IN OEM / EU PACKAGE</t>
        </is>
      </c>
      <c r="O119" t="inlineStr">
        <is>
          <t>2026-08-10T19:29:54Z</t>
        </is>
      </c>
      <c r="P119" t="inlineStr">
        <is>
          <t>2026-08-10T19:29:54Z</t>
        </is>
      </c>
    </row>
    <row r="120">
      <c r="A120" s="19" t="inlineStr">
        <is>
          <t>119</t>
        </is>
      </c>
      <c r="B120" s="19" t="inlineStr">
        <is>
          <t>SC-1014071-ST-021-STD-04</t>
        </is>
      </c>
      <c r="C120" t="inlineStr">
        <is>
          <t>1014071 → ST-021-STD-04</t>
        </is>
      </c>
      <c r="D120" s="19" t="inlineStr">
        <is>
          <t>2</t>
        </is>
      </c>
      <c r="E120" s="19" t="inlineStr">
        <is>
          <t>1213</t>
        </is>
      </c>
      <c r="F120" s="19" t="inlineStr">
        <is>
          <t>24</t>
        </is>
      </c>
      <c r="G120" s="19" t="n"/>
      <c r="H120" s="19" t="inlineStr">
        <is>
          <t>2</t>
        </is>
      </c>
      <c r="I120" s="19" t="n"/>
      <c r="J120" s="19" t="n"/>
      <c r="K120" s="19" t="inlineStr">
        <is>
          <t>2</t>
        </is>
      </c>
      <c r="L120" t="inlineStr">
        <is>
          <t>2026-08-08</t>
        </is>
      </c>
      <c r="N120" t="inlineStr">
        <is>
          <t>IN_SCOPE_FINAL; SOURCE_CFG=IA-ST-CFG-0024; MARKET=YURT İÇİ AFM; STATUS=IN OEM / EU PACKAGE</t>
        </is>
      </c>
      <c r="O120" t="inlineStr">
        <is>
          <t>2026-08-10T19:29:54Z</t>
        </is>
      </c>
      <c r="P120" t="inlineStr">
        <is>
          <t>2026-08-10T19:29:54Z</t>
        </is>
      </c>
    </row>
    <row r="121">
      <c r="A121" s="19" t="inlineStr">
        <is>
          <t>120</t>
        </is>
      </c>
      <c r="B121" s="19" t="inlineStr">
        <is>
          <t>SC-1014364-ST-021-STD-04</t>
        </is>
      </c>
      <c r="C121" t="inlineStr">
        <is>
          <t>1014364 → ST-021-STD-04</t>
        </is>
      </c>
      <c r="D121" s="19" t="inlineStr">
        <is>
          <t>2</t>
        </is>
      </c>
      <c r="E121" s="19" t="inlineStr">
        <is>
          <t>1322</t>
        </is>
      </c>
      <c r="F121" s="19" t="inlineStr">
        <is>
          <t>24</t>
        </is>
      </c>
      <c r="G121" s="19" t="n"/>
      <c r="H121" s="19" t="inlineStr">
        <is>
          <t>2</t>
        </is>
      </c>
      <c r="I121" s="19" t="n"/>
      <c r="J121" s="19" t="n"/>
      <c r="K121" s="19" t="inlineStr">
        <is>
          <t>2</t>
        </is>
      </c>
      <c r="L121" t="inlineStr">
        <is>
          <t>2026-08-08</t>
        </is>
      </c>
      <c r="N121" t="inlineStr">
        <is>
          <t>IN_SCOPE_FINAL; SOURCE_CFG=IA-ST-CFG-0024; MARKET=OTOMOTİV (Yurt İçi); STATUS=IN OEM / EU PACKAGE</t>
        </is>
      </c>
      <c r="O121" t="inlineStr">
        <is>
          <t>2026-08-10T19:29:54Z</t>
        </is>
      </c>
      <c r="P121" t="inlineStr">
        <is>
          <t>2026-08-10T19:29:54Z</t>
        </is>
      </c>
    </row>
    <row r="122">
      <c r="A122" s="19" t="inlineStr">
        <is>
          <t>121</t>
        </is>
      </c>
      <c r="B122" s="19" t="inlineStr">
        <is>
          <t>SC-1014573-ST-021-STD-04</t>
        </is>
      </c>
      <c r="C122" t="inlineStr">
        <is>
          <t>1014573 → ST-021-STD-04</t>
        </is>
      </c>
      <c r="D122" s="19" t="inlineStr">
        <is>
          <t>2</t>
        </is>
      </c>
      <c r="E122" s="19" t="inlineStr">
        <is>
          <t>1459</t>
        </is>
      </c>
      <c r="F122" s="19" t="inlineStr">
        <is>
          <t>24</t>
        </is>
      </c>
      <c r="G122" s="19" t="n"/>
      <c r="H122" s="19" t="inlineStr">
        <is>
          <t>2</t>
        </is>
      </c>
      <c r="I122" s="19" t="n"/>
      <c r="J122" s="19" t="n"/>
      <c r="K122" s="19" t="inlineStr">
        <is>
          <t>2</t>
        </is>
      </c>
      <c r="L122" t="inlineStr">
        <is>
          <t>2026-08-08</t>
        </is>
      </c>
      <c r="N122" t="inlineStr">
        <is>
          <t>IN_SCOPE_FINAL; SOURCE_CFG=IA-ST-CFG-0024; MARKET=YURT İÇİ AFM; STATUS=IN OEM / EU PACKAGE</t>
        </is>
      </c>
      <c r="O122" t="inlineStr">
        <is>
          <t>2026-08-10T19:29:54Z</t>
        </is>
      </c>
      <c r="P122" t="inlineStr">
        <is>
          <t>2026-08-10T19:29:54Z</t>
        </is>
      </c>
    </row>
    <row r="123">
      <c r="A123" s="19" t="inlineStr">
        <is>
          <t>122</t>
        </is>
      </c>
      <c r="B123" s="19" t="inlineStr">
        <is>
          <t>SC-1014582-ST-021-STD-04</t>
        </is>
      </c>
      <c r="C123" t="inlineStr">
        <is>
          <t>1014582 → ST-021-STD-04</t>
        </is>
      </c>
      <c r="D123" s="19" t="inlineStr">
        <is>
          <t>2</t>
        </is>
      </c>
      <c r="E123" s="19" t="inlineStr">
        <is>
          <t>1468</t>
        </is>
      </c>
      <c r="F123" s="19" t="inlineStr">
        <is>
          <t>24</t>
        </is>
      </c>
      <c r="G123" s="19" t="n"/>
      <c r="H123" s="19" t="inlineStr">
        <is>
          <t>2</t>
        </is>
      </c>
      <c r="I123" s="19" t="n"/>
      <c r="J123" s="19" t="n"/>
      <c r="K123" s="19" t="inlineStr">
        <is>
          <t>2</t>
        </is>
      </c>
      <c r="L123" t="inlineStr">
        <is>
          <t>2026-08-08</t>
        </is>
      </c>
      <c r="N123" t="inlineStr">
        <is>
          <t>IN_SCOPE_FINAL; SOURCE_CFG=IA-ST-CFG-0024; MARKET=YURT İÇİ AFM; STATUS=IN OEM / EU PACKAGE</t>
        </is>
      </c>
      <c r="O123" t="inlineStr">
        <is>
          <t>2026-08-10T19:29:54Z</t>
        </is>
      </c>
      <c r="P123" t="inlineStr">
        <is>
          <t>2026-08-10T19:29:54Z</t>
        </is>
      </c>
    </row>
    <row r="124">
      <c r="A124" s="19" t="inlineStr">
        <is>
          <t>123</t>
        </is>
      </c>
      <c r="B124" s="19" t="inlineStr">
        <is>
          <t>SC-1014592-ST-021-STD-04</t>
        </is>
      </c>
      <c r="C124" t="inlineStr">
        <is>
          <t>1014592 → ST-021-STD-04</t>
        </is>
      </c>
      <c r="D124" s="19" t="inlineStr">
        <is>
          <t>2</t>
        </is>
      </c>
      <c r="E124" s="19" t="inlineStr">
        <is>
          <t>1478</t>
        </is>
      </c>
      <c r="F124" s="19" t="inlineStr">
        <is>
          <t>24</t>
        </is>
      </c>
      <c r="G124" s="19" t="n"/>
      <c r="H124" s="19" t="inlineStr">
        <is>
          <t>2</t>
        </is>
      </c>
      <c r="I124" s="19" t="n"/>
      <c r="J124" s="19" t="n"/>
      <c r="K124" s="19" t="inlineStr">
        <is>
          <t>2</t>
        </is>
      </c>
      <c r="L124" t="inlineStr">
        <is>
          <t>2026-08-08</t>
        </is>
      </c>
      <c r="N124" t="inlineStr">
        <is>
          <t>IN_SCOPE_FINAL; SOURCE_CFG=IA-ST-CFG-0024; MARKET=YURT İÇİ AFM; STATUS=IN OEM / EU PACKAGE</t>
        </is>
      </c>
      <c r="O124" t="inlineStr">
        <is>
          <t>2026-08-10T19:29:54Z</t>
        </is>
      </c>
      <c r="P124" t="inlineStr">
        <is>
          <t>2026-08-10T19:29:54Z</t>
        </is>
      </c>
    </row>
    <row r="125">
      <c r="A125" s="19" t="inlineStr">
        <is>
          <t>124</t>
        </is>
      </c>
      <c r="B125" s="19" t="inlineStr">
        <is>
          <t>SC-1010001-ST-021-STD-05</t>
        </is>
      </c>
      <c r="C125" t="inlineStr">
        <is>
          <t>1010001 → ST-021-STD-05</t>
        </is>
      </c>
      <c r="D125" s="19" t="inlineStr">
        <is>
          <t>2</t>
        </is>
      </c>
      <c r="E125" s="19" t="inlineStr">
        <is>
          <t>145</t>
        </is>
      </c>
      <c r="F125" s="19" t="inlineStr">
        <is>
          <t>25</t>
        </is>
      </c>
      <c r="G125" s="19" t="n"/>
      <c r="H125" s="19" t="inlineStr">
        <is>
          <t>2</t>
        </is>
      </c>
      <c r="I125" s="19" t="n"/>
      <c r="J125" s="19" t="n"/>
      <c r="K125" s="19" t="inlineStr">
        <is>
          <t>2</t>
        </is>
      </c>
      <c r="L125" t="inlineStr">
        <is>
          <t>2026-08-08</t>
        </is>
      </c>
      <c r="N125" t="inlineStr">
        <is>
          <t>IN_SCOPE_FINAL; SOURCE_CFG=IA-ST-CFG-0025; MARKET=SCHNAPP; STATUS=IN OEM / EU PACKAGE</t>
        </is>
      </c>
      <c r="O125" t="inlineStr">
        <is>
          <t>2026-08-10T19:29:54Z</t>
        </is>
      </c>
      <c r="P125" t="inlineStr">
        <is>
          <t>2026-08-10T19:29:54Z</t>
        </is>
      </c>
    </row>
    <row r="126">
      <c r="A126" s="19" t="inlineStr">
        <is>
          <t>125</t>
        </is>
      </c>
      <c r="B126" s="19" t="inlineStr">
        <is>
          <t>SC-1010863-ST-021-EUR-01</t>
        </is>
      </c>
      <c r="C126" t="inlineStr">
        <is>
          <t>1010863 → ST-021-EUR-01</t>
        </is>
      </c>
      <c r="D126" s="19" t="inlineStr">
        <is>
          <t>2</t>
        </is>
      </c>
      <c r="E126" s="19" t="inlineStr">
        <is>
          <t>208</t>
        </is>
      </c>
      <c r="F126" s="19" t="inlineStr">
        <is>
          <t>16</t>
        </is>
      </c>
      <c r="G126" s="19" t="n"/>
      <c r="H126" s="19" t="inlineStr">
        <is>
          <t>2</t>
        </is>
      </c>
      <c r="I126" s="19" t="n"/>
      <c r="J126" s="19" t="n"/>
      <c r="K126" s="19" t="inlineStr">
        <is>
          <t>2</t>
        </is>
      </c>
      <c r="L126" t="inlineStr">
        <is>
          <t>2026-08-08</t>
        </is>
      </c>
      <c r="N126" t="inlineStr">
        <is>
          <t>IN_SCOPE_FINAL; SOURCE_CFG=IA-ST-CFG-0027; MARKET=MERCEDES ALMANYA; STATUS=IN OEM / EU PACKAGE</t>
        </is>
      </c>
      <c r="O126" t="inlineStr">
        <is>
          <t>2026-08-10T19:29:54Z</t>
        </is>
      </c>
      <c r="P126" t="inlineStr">
        <is>
          <t>2026-08-10T19:29:54Z</t>
        </is>
      </c>
    </row>
    <row r="127">
      <c r="A127" s="19" t="inlineStr">
        <is>
          <t>126</t>
        </is>
      </c>
      <c r="B127" s="19" t="inlineStr">
        <is>
          <t>SC-1013643-ST-021-EUR-02</t>
        </is>
      </c>
      <c r="C127" t="inlineStr">
        <is>
          <t>1013643 → ST-021-EUR-02</t>
        </is>
      </c>
      <c r="D127" s="19" t="inlineStr">
        <is>
          <t>2</t>
        </is>
      </c>
      <c r="E127" s="19" t="inlineStr">
        <is>
          <t>1058</t>
        </is>
      </c>
      <c r="F127" s="19" t="inlineStr">
        <is>
          <t>17</t>
        </is>
      </c>
      <c r="G127" s="19" t="n"/>
      <c r="H127" s="19" t="inlineStr">
        <is>
          <t>2</t>
        </is>
      </c>
      <c r="I127" s="19" t="n"/>
      <c r="J127" s="19" t="n"/>
      <c r="K127" s="19" t="inlineStr">
        <is>
          <t>2</t>
        </is>
      </c>
      <c r="L127" t="inlineStr">
        <is>
          <t>2026-08-08</t>
        </is>
      </c>
      <c r="N127" t="inlineStr">
        <is>
          <t>IN_SCOPE_FINAL; SOURCE_CFG=IA-ST-CFG-0028; MARKET=CAR PARTS DISTRIBUZIONE İTALYA; STATUS=IN OEM / EU PACKAGE</t>
        </is>
      </c>
      <c r="O127" t="inlineStr">
        <is>
          <t>2026-08-10T19:29:54Z</t>
        </is>
      </c>
      <c r="P127" t="inlineStr">
        <is>
          <t>2026-08-10T19:29:54Z</t>
        </is>
      </c>
    </row>
    <row r="128">
      <c r="A128" s="19" t="inlineStr">
        <is>
          <t>127</t>
        </is>
      </c>
      <c r="B128" s="19" t="inlineStr">
        <is>
          <t>SC-1014711-ST-021-EUR-02</t>
        </is>
      </c>
      <c r="C128" t="inlineStr">
        <is>
          <t>1014711 → ST-021-EUR-02</t>
        </is>
      </c>
      <c r="D128" s="19" t="inlineStr">
        <is>
          <t>2</t>
        </is>
      </c>
      <c r="E128" s="19" t="inlineStr">
        <is>
          <t>1557</t>
        </is>
      </c>
      <c r="F128" s="19" t="inlineStr">
        <is>
          <t>17</t>
        </is>
      </c>
      <c r="G128" s="19" t="n"/>
      <c r="H128" s="19" t="inlineStr">
        <is>
          <t>2</t>
        </is>
      </c>
      <c r="I128" s="19" t="n"/>
      <c r="J128" s="19" t="n"/>
      <c r="K128" s="19" t="inlineStr">
        <is>
          <t>2</t>
        </is>
      </c>
      <c r="L128" t="inlineStr">
        <is>
          <t>2026-08-08</t>
        </is>
      </c>
      <c r="N128" t="inlineStr">
        <is>
          <t>IN_SCOPE_FINAL; SOURCE_CFG=IA-ST-CFG-0028; MARKET=BATERIE PRZEMYSLOWE POLONYA; STATUS=IN OEM / EU PACKAGE</t>
        </is>
      </c>
      <c r="O128" t="inlineStr">
        <is>
          <t>2026-08-10T19:29:54Z</t>
        </is>
      </c>
      <c r="P128" t="inlineStr">
        <is>
          <t>2026-08-10T19:29:54Z</t>
        </is>
      </c>
    </row>
    <row r="129">
      <c r="A129" s="19" t="inlineStr">
        <is>
          <t>128</t>
        </is>
      </c>
      <c r="B129" s="19" t="inlineStr">
        <is>
          <t>SC-1014774-ST-021-EUR-02</t>
        </is>
      </c>
      <c r="C129" t="inlineStr">
        <is>
          <t>1014774 → ST-021-EUR-02</t>
        </is>
      </c>
      <c r="D129" s="19" t="inlineStr">
        <is>
          <t>2</t>
        </is>
      </c>
      <c r="E129" s="19" t="inlineStr">
        <is>
          <t>1599</t>
        </is>
      </c>
      <c r="F129" s="19" t="inlineStr">
        <is>
          <t>17</t>
        </is>
      </c>
      <c r="G129" s="19" t="n"/>
      <c r="H129" s="19" t="inlineStr">
        <is>
          <t>2</t>
        </is>
      </c>
      <c r="I129" s="19" t="n"/>
      <c r="J129" s="19" t="n"/>
      <c r="K129" s="19" t="inlineStr">
        <is>
          <t>2</t>
        </is>
      </c>
      <c r="L129" t="inlineStr">
        <is>
          <t>2026-08-08</t>
        </is>
      </c>
      <c r="N129" t="inlineStr">
        <is>
          <t>IN_SCOPE_FINAL; SOURCE_CFG=IA-ST-CFG-0028; MARKET=SKG İTALYA; STATUS=IN OEM / EU PACKAGE</t>
        </is>
      </c>
      <c r="O129" t="inlineStr">
        <is>
          <t>2026-08-10T19:29:54Z</t>
        </is>
      </c>
      <c r="P129" t="inlineStr">
        <is>
          <t>2026-08-10T19:29:54Z</t>
        </is>
      </c>
    </row>
    <row r="130">
      <c r="A130" s="19" t="inlineStr">
        <is>
          <t>129</t>
        </is>
      </c>
      <c r="B130" s="19" t="inlineStr">
        <is>
          <t>SC-1003643-ST-021-EUR-03</t>
        </is>
      </c>
      <c r="C130" t="inlineStr">
        <is>
          <t>1003643 → ST-021-EUR-03</t>
        </is>
      </c>
      <c r="D130" s="19" t="inlineStr">
        <is>
          <t>2</t>
        </is>
      </c>
      <c r="E130" s="19" t="inlineStr">
        <is>
          <t>21</t>
        </is>
      </c>
      <c r="F130" s="19" t="inlineStr">
        <is>
          <t>18</t>
        </is>
      </c>
      <c r="G130" s="19" t="n"/>
      <c r="H130" s="19" t="inlineStr">
        <is>
          <t>2</t>
        </is>
      </c>
      <c r="I130" s="19" t="n"/>
      <c r="J130" s="19" t="n"/>
      <c r="K130" s="19" t="inlineStr">
        <is>
          <t>2</t>
        </is>
      </c>
      <c r="L130" t="inlineStr">
        <is>
          <t>2026-08-08</t>
        </is>
      </c>
      <c r="N130" t="inlineStr">
        <is>
          <t>IN_SCOPE_FINAL; SOURCE_CFG=IA-ST-CFG-0029; MARKET=None; STATUS=IN OEM / EU PACKAGE</t>
        </is>
      </c>
      <c r="O130" t="inlineStr">
        <is>
          <t>2026-08-10T19:29:54Z</t>
        </is>
      </c>
      <c r="P130" t="inlineStr">
        <is>
          <t>2026-08-10T19:29:54Z</t>
        </is>
      </c>
    </row>
    <row r="131">
      <c r="A131" s="19" t="inlineStr">
        <is>
          <t>130</t>
        </is>
      </c>
      <c r="B131" s="19" t="inlineStr">
        <is>
          <t>SC-1005175-ST-021-EUR-03</t>
        </is>
      </c>
      <c r="C131" t="inlineStr">
        <is>
          <t>1005175 → ST-021-EUR-03</t>
        </is>
      </c>
      <c r="D131" s="19" t="inlineStr">
        <is>
          <t>2</t>
        </is>
      </c>
      <c r="E131" s="19" t="inlineStr">
        <is>
          <t>38</t>
        </is>
      </c>
      <c r="F131" s="19" t="inlineStr">
        <is>
          <t>18</t>
        </is>
      </c>
      <c r="G131" s="19" t="n"/>
      <c r="H131" s="19" t="inlineStr">
        <is>
          <t>2</t>
        </is>
      </c>
      <c r="I131" s="19" t="n"/>
      <c r="J131" s="19" t="n"/>
      <c r="K131" s="19" t="inlineStr">
        <is>
          <t>2</t>
        </is>
      </c>
      <c r="L131" t="inlineStr">
        <is>
          <t>2026-08-08</t>
        </is>
      </c>
      <c r="N131" t="inlineStr">
        <is>
          <t>IN_SCOPE_FINAL; SOURCE_CFG=IA-ST-CFG-0029; MARKET=None; STATUS=IN OEM / EU PACKAGE</t>
        </is>
      </c>
      <c r="O131" t="inlineStr">
        <is>
          <t>2026-08-10T19:29:54Z</t>
        </is>
      </c>
      <c r="P131" t="inlineStr">
        <is>
          <t>2026-08-10T19:29:54Z</t>
        </is>
      </c>
    </row>
    <row r="132">
      <c r="A132" s="19" t="inlineStr">
        <is>
          <t>131</t>
        </is>
      </c>
      <c r="B132" s="19" t="inlineStr">
        <is>
          <t>SC-1009116-ST-021-EUR-03</t>
        </is>
      </c>
      <c r="C132" t="inlineStr">
        <is>
          <t>1009116 → ST-021-EUR-03</t>
        </is>
      </c>
      <c r="D132" s="19" t="inlineStr">
        <is>
          <t>2</t>
        </is>
      </c>
      <c r="E132" s="19" t="inlineStr">
        <is>
          <t>100</t>
        </is>
      </c>
      <c r="F132" s="19" t="inlineStr">
        <is>
          <t>18</t>
        </is>
      </c>
      <c r="G132" s="19" t="n"/>
      <c r="H132" s="19" t="inlineStr">
        <is>
          <t>2</t>
        </is>
      </c>
      <c r="I132" s="19" t="n"/>
      <c r="J132" s="19" t="n"/>
      <c r="K132" s="19" t="inlineStr">
        <is>
          <t>2</t>
        </is>
      </c>
      <c r="L132" t="inlineStr">
        <is>
          <t>2026-08-08</t>
        </is>
      </c>
      <c r="N132" t="inlineStr">
        <is>
          <t>IN_SCOPE_FINAL; SOURCE_CFG=IA-ST-CFG-0029; MARKET=None; STATUS=IN OEM / EU PACKAGE</t>
        </is>
      </c>
      <c r="O132" t="inlineStr">
        <is>
          <t>2026-08-10T19:29:54Z</t>
        </is>
      </c>
      <c r="P132" t="inlineStr">
        <is>
          <t>2026-08-10T19:29:54Z</t>
        </is>
      </c>
    </row>
    <row r="133">
      <c r="A133" s="19" t="inlineStr">
        <is>
          <t>132</t>
        </is>
      </c>
      <c r="B133" s="19" t="inlineStr">
        <is>
          <t>SC-1013071-ST-021-EUR-03</t>
        </is>
      </c>
      <c r="C133" t="inlineStr">
        <is>
          <t>1013071 → ST-021-EUR-03</t>
        </is>
      </c>
      <c r="D133" s="19" t="inlineStr">
        <is>
          <t>2</t>
        </is>
      </c>
      <c r="E133" s="19" t="inlineStr">
        <is>
          <t>911</t>
        </is>
      </c>
      <c r="F133" s="19" t="inlineStr">
        <is>
          <t>18</t>
        </is>
      </c>
      <c r="G133" s="19" t="n"/>
      <c r="H133" s="19" t="inlineStr">
        <is>
          <t>2</t>
        </is>
      </c>
      <c r="I133" s="19" t="n"/>
      <c r="J133" s="19" t="n"/>
      <c r="K133" s="19" t="inlineStr">
        <is>
          <t>2</t>
        </is>
      </c>
      <c r="L133" t="inlineStr">
        <is>
          <t>2026-08-08</t>
        </is>
      </c>
      <c r="N133" t="inlineStr">
        <is>
          <t>IN_SCOPE_FINAL; SOURCE_CFG=IA-ST-CFG-0029; MARKET=None; STATUS=IN OEM / EU PACKAGE</t>
        </is>
      </c>
      <c r="O133" t="inlineStr">
        <is>
          <t>2026-08-10T19:29:54Z</t>
        </is>
      </c>
      <c r="P133" t="inlineStr">
        <is>
          <t>2026-08-10T19:29:54Z</t>
        </is>
      </c>
    </row>
    <row r="134">
      <c r="A134" s="19" t="inlineStr">
        <is>
          <t>133</t>
        </is>
      </c>
      <c r="B134" s="19" t="inlineStr">
        <is>
          <t>SC-1013276-ST-021-EUR-03</t>
        </is>
      </c>
      <c r="C134" t="inlineStr">
        <is>
          <t>1013276 → ST-021-EUR-03</t>
        </is>
      </c>
      <c r="D134" s="19" t="inlineStr">
        <is>
          <t>2</t>
        </is>
      </c>
      <c r="E134" s="19" t="inlineStr">
        <is>
          <t>964</t>
        </is>
      </c>
      <c r="F134" s="19" t="inlineStr">
        <is>
          <t>18</t>
        </is>
      </c>
      <c r="G134" s="19" t="n"/>
      <c r="H134" s="19" t="inlineStr">
        <is>
          <t>2</t>
        </is>
      </c>
      <c r="I134" s="19" t="n"/>
      <c r="J134" s="19" t="n"/>
      <c r="K134" s="19" t="inlineStr">
        <is>
          <t>2</t>
        </is>
      </c>
      <c r="L134" t="inlineStr">
        <is>
          <t>2026-08-08</t>
        </is>
      </c>
      <c r="N134" t="inlineStr">
        <is>
          <t>IN_SCOPE_FINAL; SOURCE_CFG=IA-ST-CFG-0029; MARKET=LAMPA ITALY İTALYA; STATUS=IN OEM / EU PACKAGE</t>
        </is>
      </c>
      <c r="O134" t="inlineStr">
        <is>
          <t>2026-08-10T19:29:54Z</t>
        </is>
      </c>
      <c r="P134" t="inlineStr">
        <is>
          <t>2026-08-10T19:29:54Z</t>
        </is>
      </c>
    </row>
    <row r="135">
      <c r="A135" s="19" t="inlineStr">
        <is>
          <t>134</t>
        </is>
      </c>
      <c r="B135" s="19" t="inlineStr">
        <is>
          <t>SC-1013277-ST-021-EUR-03</t>
        </is>
      </c>
      <c r="C135" t="inlineStr">
        <is>
          <t>1013277 → ST-021-EUR-03</t>
        </is>
      </c>
      <c r="D135" s="19" t="inlineStr">
        <is>
          <t>2</t>
        </is>
      </c>
      <c r="E135" s="19" t="inlineStr">
        <is>
          <t>965</t>
        </is>
      </c>
      <c r="F135" s="19" t="inlineStr">
        <is>
          <t>18</t>
        </is>
      </c>
      <c r="G135" s="19" t="n"/>
      <c r="H135" s="19" t="inlineStr">
        <is>
          <t>2</t>
        </is>
      </c>
      <c r="I135" s="19" t="n"/>
      <c r="J135" s="19" t="n"/>
      <c r="K135" s="19" t="inlineStr">
        <is>
          <t>2</t>
        </is>
      </c>
      <c r="L135" t="inlineStr">
        <is>
          <t>2026-08-08</t>
        </is>
      </c>
      <c r="N135" t="inlineStr">
        <is>
          <t>IN_SCOPE_FINAL; SOURCE_CFG=IA-ST-CFG-0029; MARKET=LAMPA ITALY İTALYA; STATUS=IN OEM / EU PACKAGE</t>
        </is>
      </c>
      <c r="O135" t="inlineStr">
        <is>
          <t>2026-08-10T19:29:54Z</t>
        </is>
      </c>
      <c r="P135" t="inlineStr">
        <is>
          <t>2026-08-10T19:29:54Z</t>
        </is>
      </c>
    </row>
    <row r="136">
      <c r="A136" s="19" t="inlineStr">
        <is>
          <t>135</t>
        </is>
      </c>
      <c r="B136" s="19" t="inlineStr">
        <is>
          <t>SC-1013280-ST-021-EUR-03</t>
        </is>
      </c>
      <c r="C136" t="inlineStr">
        <is>
          <t>1013280 → ST-021-EUR-03</t>
        </is>
      </c>
      <c r="D136" s="19" t="inlineStr">
        <is>
          <t>2</t>
        </is>
      </c>
      <c r="E136" s="19" t="inlineStr">
        <is>
          <t>966</t>
        </is>
      </c>
      <c r="F136" s="19" t="inlineStr">
        <is>
          <t>18</t>
        </is>
      </c>
      <c r="G136" s="19" t="n"/>
      <c r="H136" s="19" t="inlineStr">
        <is>
          <t>2</t>
        </is>
      </c>
      <c r="I136" s="19" t="n"/>
      <c r="J136" s="19" t="n"/>
      <c r="K136" s="19" t="inlineStr">
        <is>
          <t>2</t>
        </is>
      </c>
      <c r="L136" t="inlineStr">
        <is>
          <t>2026-08-08</t>
        </is>
      </c>
      <c r="N136" t="inlineStr">
        <is>
          <t>IN_SCOPE_FINAL; SOURCE_CFG=IA-ST-CFG-0029; MARKET=LAMPA ITALY İTALYA; STATUS=IN OEM / EU PACKAGE</t>
        </is>
      </c>
      <c r="O136" t="inlineStr">
        <is>
          <t>2026-08-10T19:29:54Z</t>
        </is>
      </c>
      <c r="P136" t="inlineStr">
        <is>
          <t>2026-08-10T19:29:54Z</t>
        </is>
      </c>
    </row>
    <row r="137">
      <c r="A137" s="19" t="inlineStr">
        <is>
          <t>136</t>
        </is>
      </c>
      <c r="B137" s="19" t="inlineStr">
        <is>
          <t>SC-1013404-ST-021-EUR-03</t>
        </is>
      </c>
      <c r="C137" t="inlineStr">
        <is>
          <t>1013404 → ST-021-EUR-03</t>
        </is>
      </c>
      <c r="D137" s="19" t="inlineStr">
        <is>
          <t>2</t>
        </is>
      </c>
      <c r="E137" s="19" t="inlineStr">
        <is>
          <t>988</t>
        </is>
      </c>
      <c r="F137" s="19" t="inlineStr">
        <is>
          <t>18</t>
        </is>
      </c>
      <c r="G137" s="19" t="n"/>
      <c r="H137" s="19" t="inlineStr">
        <is>
          <t>2</t>
        </is>
      </c>
      <c r="I137" s="19" t="n"/>
      <c r="J137" s="19" t="n"/>
      <c r="K137" s="19" t="inlineStr">
        <is>
          <t>2</t>
        </is>
      </c>
      <c r="L137" t="inlineStr">
        <is>
          <t>2026-08-08</t>
        </is>
      </c>
      <c r="N137" t="inlineStr">
        <is>
          <t>IN_SCOPE_FINAL; SOURCE_CFG=IA-ST-CFG-0029; MARKET=CANARIBAT İSPANYA; STATUS=IN OEM / EU PACKAGE</t>
        </is>
      </c>
      <c r="O137" t="inlineStr">
        <is>
          <t>2026-08-10T19:29:54Z</t>
        </is>
      </c>
      <c r="P137" t="inlineStr">
        <is>
          <t>2026-08-10T19:29:54Z</t>
        </is>
      </c>
    </row>
    <row r="138">
      <c r="A138" s="19" t="inlineStr">
        <is>
          <t>137</t>
        </is>
      </c>
      <c r="B138" s="19" t="inlineStr">
        <is>
          <t>SC-1013549-ST-021-EUR-03</t>
        </is>
      </c>
      <c r="C138" t="inlineStr">
        <is>
          <t>1013549 → ST-021-EUR-03</t>
        </is>
      </c>
      <c r="D138" s="19" t="inlineStr">
        <is>
          <t>2</t>
        </is>
      </c>
      <c r="E138" s="19" t="inlineStr">
        <is>
          <t>1030</t>
        </is>
      </c>
      <c r="F138" s="19" t="inlineStr">
        <is>
          <t>18</t>
        </is>
      </c>
      <c r="G138" s="19" t="n"/>
      <c r="H138" s="19" t="inlineStr">
        <is>
          <t>2</t>
        </is>
      </c>
      <c r="I138" s="19" t="n"/>
      <c r="J138" s="19" t="n"/>
      <c r="K138" s="19" t="inlineStr">
        <is>
          <t>2</t>
        </is>
      </c>
      <c r="L138" t="inlineStr">
        <is>
          <t>2026-08-08</t>
        </is>
      </c>
      <c r="N138" t="inlineStr">
        <is>
          <t>IN_SCOPE_FINAL; SOURCE_CFG=IA-ST-CFG-0029; MARKET=None; STATUS=IN OEM / EU PACKAGE</t>
        </is>
      </c>
      <c r="O138" t="inlineStr">
        <is>
          <t>2026-08-10T19:29:54Z</t>
        </is>
      </c>
      <c r="P138" t="inlineStr">
        <is>
          <t>2026-08-10T19:29:54Z</t>
        </is>
      </c>
    </row>
    <row r="139">
      <c r="A139" s="19" t="inlineStr">
        <is>
          <t>138</t>
        </is>
      </c>
      <c r="B139" s="19" t="inlineStr">
        <is>
          <t>SC-1013854-ST-021-EUR-03</t>
        </is>
      </c>
      <c r="C139" t="inlineStr">
        <is>
          <t>1013854 → ST-021-EUR-03</t>
        </is>
      </c>
      <c r="D139" s="19" t="inlineStr">
        <is>
          <t>2</t>
        </is>
      </c>
      <c r="E139" s="19" t="inlineStr">
        <is>
          <t>1110</t>
        </is>
      </c>
      <c r="F139" s="19" t="inlineStr">
        <is>
          <t>18</t>
        </is>
      </c>
      <c r="G139" s="19" t="n"/>
      <c r="H139" s="19" t="inlineStr">
        <is>
          <t>2</t>
        </is>
      </c>
      <c r="I139" s="19" t="n"/>
      <c r="J139" s="19" t="n"/>
      <c r="K139" s="19" t="inlineStr">
        <is>
          <t>2</t>
        </is>
      </c>
      <c r="L139" t="inlineStr">
        <is>
          <t>2026-08-08</t>
        </is>
      </c>
      <c r="N139" t="inlineStr">
        <is>
          <t>IN_SCOPE_FINAL; SOURCE_CFG=IA-ST-CFG-0029; MARKET=None; STATUS=IN OEM / EU PACKAGE</t>
        </is>
      </c>
      <c r="O139" t="inlineStr">
        <is>
          <t>2026-08-10T19:29:54Z</t>
        </is>
      </c>
      <c r="P139" t="inlineStr">
        <is>
          <t>2026-08-10T19:29:54Z</t>
        </is>
      </c>
    </row>
    <row r="140">
      <c r="A140" s="19" t="inlineStr">
        <is>
          <t>139</t>
        </is>
      </c>
      <c r="B140" s="19" t="inlineStr">
        <is>
          <t>SC-1014153-ST-021-EUR-03</t>
        </is>
      </c>
      <c r="C140" t="inlineStr">
        <is>
          <t>1014153 → ST-021-EUR-03</t>
        </is>
      </c>
      <c r="D140" s="19" t="inlineStr">
        <is>
          <t>2</t>
        </is>
      </c>
      <c r="E140" s="19" t="inlineStr">
        <is>
          <t>1239</t>
        </is>
      </c>
      <c r="F140" s="19" t="inlineStr">
        <is>
          <t>18</t>
        </is>
      </c>
      <c r="G140" s="19" t="n"/>
      <c r="H140" s="19" t="inlineStr">
        <is>
          <t>2</t>
        </is>
      </c>
      <c r="I140" s="19" t="n"/>
      <c r="J140" s="19" t="n"/>
      <c r="K140" s="19" t="inlineStr">
        <is>
          <t>2</t>
        </is>
      </c>
      <c r="L140" t="inlineStr">
        <is>
          <t>2026-08-08</t>
        </is>
      </c>
      <c r="N140" t="inlineStr">
        <is>
          <t>IN_SCOPE_FINAL; SOURCE_CFG=IA-ST-CFG-0029; MARKET=None; STATUS=IN OEM / EU PACKAGE</t>
        </is>
      </c>
      <c r="O140" t="inlineStr">
        <is>
          <t>2026-08-10T19:29:54Z</t>
        </is>
      </c>
      <c r="P140" t="inlineStr">
        <is>
          <t>2026-08-10T19:29:54Z</t>
        </is>
      </c>
    </row>
    <row r="141">
      <c r="A141" s="19" t="inlineStr">
        <is>
          <t>140</t>
        </is>
      </c>
      <c r="B141" s="19" t="inlineStr">
        <is>
          <t>SC-1014494-ST-021-EUR-03</t>
        </is>
      </c>
      <c r="C141" t="inlineStr">
        <is>
          <t>1014494 → ST-021-EUR-03</t>
        </is>
      </c>
      <c r="D141" s="19" t="inlineStr">
        <is>
          <t>2</t>
        </is>
      </c>
      <c r="E141" s="19" t="inlineStr">
        <is>
          <t>1418</t>
        </is>
      </c>
      <c r="F141" s="19" t="inlineStr">
        <is>
          <t>18</t>
        </is>
      </c>
      <c r="G141" s="19" t="n"/>
      <c r="H141" s="19" t="inlineStr">
        <is>
          <t>2</t>
        </is>
      </c>
      <c r="I141" s="19" t="n"/>
      <c r="J141" s="19" t="n"/>
      <c r="K141" s="19" t="inlineStr">
        <is>
          <t>2</t>
        </is>
      </c>
      <c r="L141" t="inlineStr">
        <is>
          <t>2026-08-08</t>
        </is>
      </c>
      <c r="N141" t="inlineStr">
        <is>
          <t>IN_SCOPE_FINAL; SOURCE_CFG=IA-ST-CFG-0029; MARKET=None; STATUS=IN OEM / EU PACKAGE</t>
        </is>
      </c>
      <c r="O141" t="inlineStr">
        <is>
          <t>2026-08-10T19:29:54Z</t>
        </is>
      </c>
      <c r="P141" t="inlineStr">
        <is>
          <t>2026-08-10T19:29:54Z</t>
        </is>
      </c>
    </row>
    <row r="142">
      <c r="A142" s="19" t="inlineStr">
        <is>
          <t>141</t>
        </is>
      </c>
      <c r="B142" s="19" t="inlineStr">
        <is>
          <t>SC-1014686-ST-021-EUR-03</t>
        </is>
      </c>
      <c r="C142" t="inlineStr">
        <is>
          <t>1014686 → ST-021-EUR-03</t>
        </is>
      </c>
      <c r="D142" s="19" t="inlineStr">
        <is>
          <t>2</t>
        </is>
      </c>
      <c r="E142" s="19" t="inlineStr">
        <is>
          <t>1538</t>
        </is>
      </c>
      <c r="F142" s="19" t="inlineStr">
        <is>
          <t>18</t>
        </is>
      </c>
      <c r="G142" s="19" t="n"/>
      <c r="H142" s="19" t="inlineStr">
        <is>
          <t>2</t>
        </is>
      </c>
      <c r="I142" s="19" t="n"/>
      <c r="J142" s="19" t="n"/>
      <c r="K142" s="19" t="inlineStr">
        <is>
          <t>2</t>
        </is>
      </c>
      <c r="L142" t="inlineStr">
        <is>
          <t>2026-08-08</t>
        </is>
      </c>
      <c r="N142" t="inlineStr">
        <is>
          <t>IN_SCOPE_FINAL; SOURCE_CFG=IA-ST-CFG-0029; MARKET=None; STATUS=IN OEM / EU PACKAGE</t>
        </is>
      </c>
      <c r="O142" t="inlineStr">
        <is>
          <t>2026-08-10T19:29:54Z</t>
        </is>
      </c>
      <c r="P142" t="inlineStr">
        <is>
          <t>2026-08-10T19:29:54Z</t>
        </is>
      </c>
    </row>
    <row r="143">
      <c r="A143" s="19" t="inlineStr">
        <is>
          <t>142</t>
        </is>
      </c>
      <c r="B143" s="19" t="inlineStr">
        <is>
          <t>SC-1014863-ST-021-EUR-03</t>
        </is>
      </c>
      <c r="C143" t="inlineStr">
        <is>
          <t>1014863 → ST-021-EUR-03</t>
        </is>
      </c>
      <c r="D143" s="19" t="inlineStr">
        <is>
          <t>2</t>
        </is>
      </c>
      <c r="E143" s="19" t="inlineStr">
        <is>
          <t>1646</t>
        </is>
      </c>
      <c r="F143" s="19" t="inlineStr">
        <is>
          <t>18</t>
        </is>
      </c>
      <c r="G143" s="19" t="n"/>
      <c r="H143" s="19" t="inlineStr">
        <is>
          <t>2</t>
        </is>
      </c>
      <c r="I143" s="19" t="n"/>
      <c r="J143" s="19" t="n"/>
      <c r="K143" s="19" t="inlineStr">
        <is>
          <t>2</t>
        </is>
      </c>
      <c r="L143" t="inlineStr">
        <is>
          <t>2026-08-08</t>
        </is>
      </c>
      <c r="N143" t="inlineStr">
        <is>
          <t>IN_SCOPE_FINAL; SOURCE_CFG=IA-ST-CFG-0029; MARKET=ALEX ARABATZIS BSA(YUNANİSTAN); STATUS=IN OEM / EU PACKAGE</t>
        </is>
      </c>
      <c r="O143" t="inlineStr">
        <is>
          <t>2026-08-10T19:29:54Z</t>
        </is>
      </c>
      <c r="P143" t="inlineStr">
        <is>
          <t>2026-08-10T19:29:54Z</t>
        </is>
      </c>
    </row>
    <row r="144">
      <c r="A144" s="19" t="inlineStr">
        <is>
          <t>143</t>
        </is>
      </c>
      <c r="B144" s="19" t="inlineStr">
        <is>
          <t>SC-1014946-ST-021-EUR-03</t>
        </is>
      </c>
      <c r="C144" t="inlineStr">
        <is>
          <t>1014946 → ST-021-EUR-03</t>
        </is>
      </c>
      <c r="D144" s="19" t="inlineStr">
        <is>
          <t>2</t>
        </is>
      </c>
      <c r="E144" s="19" t="inlineStr">
        <is>
          <t>1713</t>
        </is>
      </c>
      <c r="F144" s="19" t="inlineStr">
        <is>
          <t>18</t>
        </is>
      </c>
      <c r="G144" s="19" t="n"/>
      <c r="H144" s="19" t="inlineStr">
        <is>
          <t>2</t>
        </is>
      </c>
      <c r="I144" s="19" t="n"/>
      <c r="J144" s="19" t="n"/>
      <c r="K144" s="19" t="inlineStr">
        <is>
          <t>2</t>
        </is>
      </c>
      <c r="L144" t="inlineStr">
        <is>
          <t>2026-08-08</t>
        </is>
      </c>
      <c r="N144" t="inlineStr">
        <is>
          <t>IN_SCOPE_FINAL; SOURCE_CFG=IA-ST-CFG-0029; MARKET=ALEX ARABATZIS BSA(YUNANİSTAN); STATUS=IN OEM / EU PACKAGE</t>
        </is>
      </c>
      <c r="O144" t="inlineStr">
        <is>
          <t>2026-08-10T19:29:54Z</t>
        </is>
      </c>
      <c r="P144" t="inlineStr">
        <is>
          <t>2026-08-10T19:29:54Z</t>
        </is>
      </c>
    </row>
    <row r="145">
      <c r="A145" s="19" t="inlineStr">
        <is>
          <t>144</t>
        </is>
      </c>
      <c r="B145" s="19" t="inlineStr">
        <is>
          <t>SC-1014951-ST-021-EUR-03</t>
        </is>
      </c>
      <c r="C145" t="inlineStr">
        <is>
          <t>1014951 → ST-021-EUR-03</t>
        </is>
      </c>
      <c r="D145" s="19" t="inlineStr">
        <is>
          <t>2</t>
        </is>
      </c>
      <c r="E145" s="19" t="inlineStr">
        <is>
          <t>1717</t>
        </is>
      </c>
      <c r="F145" s="19" t="inlineStr">
        <is>
          <t>18</t>
        </is>
      </c>
      <c r="G145" s="19" t="n"/>
      <c r="H145" s="19" t="inlineStr">
        <is>
          <t>2</t>
        </is>
      </c>
      <c r="I145" s="19" t="n"/>
      <c r="J145" s="19" t="n"/>
      <c r="K145" s="19" t="inlineStr">
        <is>
          <t>2</t>
        </is>
      </c>
      <c r="L145" t="inlineStr">
        <is>
          <t>2026-08-08</t>
        </is>
      </c>
      <c r="N145" t="inlineStr">
        <is>
          <t>IN_SCOPE_FINAL; SOURCE_CFG=IA-ST-CFG-0029; MARKET=None; STATUS=IN OEM / EU PACKAGE</t>
        </is>
      </c>
      <c r="O145" t="inlineStr">
        <is>
          <t>2026-08-10T19:29:54Z</t>
        </is>
      </c>
      <c r="P145" t="inlineStr">
        <is>
          <t>2026-08-10T19:29:54Z</t>
        </is>
      </c>
    </row>
    <row r="146">
      <c r="A146" s="19" t="inlineStr">
        <is>
          <t>145</t>
        </is>
      </c>
      <c r="B146" s="19" t="inlineStr">
        <is>
          <t>SC-1015036-ST-021-EUR-03</t>
        </is>
      </c>
      <c r="C146" t="inlineStr">
        <is>
          <t>1015036 → ST-021-EUR-03</t>
        </is>
      </c>
      <c r="D146" s="19" t="inlineStr">
        <is>
          <t>2</t>
        </is>
      </c>
      <c r="E146" s="19" t="inlineStr">
        <is>
          <t>1796</t>
        </is>
      </c>
      <c r="F146" s="19" t="inlineStr">
        <is>
          <t>18</t>
        </is>
      </c>
      <c r="G146" s="19" t="n"/>
      <c r="H146" s="19" t="inlineStr">
        <is>
          <t>2</t>
        </is>
      </c>
      <c r="I146" s="19" t="n"/>
      <c r="J146" s="19" t="n"/>
      <c r="K146" s="19" t="inlineStr">
        <is>
          <t>2</t>
        </is>
      </c>
      <c r="L146" t="inlineStr">
        <is>
          <t>2026-08-08</t>
        </is>
      </c>
      <c r="N146" t="inlineStr">
        <is>
          <t>IN_SCOPE_FINAL; SOURCE_CFG=IA-ST-CFG-0029; MARKET=ALEX ARABATZIS BSA(YUNANİSTAN); STATUS=IN OEM / EU PACKAGE</t>
        </is>
      </c>
      <c r="O146" t="inlineStr">
        <is>
          <t>2026-08-10T19:29:54Z</t>
        </is>
      </c>
      <c r="P146" t="inlineStr">
        <is>
          <t>2026-08-10T19:29:54Z</t>
        </is>
      </c>
    </row>
    <row r="147">
      <c r="A147" s="19" t="inlineStr">
        <is>
          <t>146</t>
        </is>
      </c>
      <c r="B147" s="19" t="inlineStr">
        <is>
          <t>SC-1015037-ST-021-EUR-03</t>
        </is>
      </c>
      <c r="C147" t="inlineStr">
        <is>
          <t>1015037 → ST-021-EUR-03</t>
        </is>
      </c>
      <c r="D147" s="19" t="inlineStr">
        <is>
          <t>2</t>
        </is>
      </c>
      <c r="E147" s="19" t="inlineStr">
        <is>
          <t>1797</t>
        </is>
      </c>
      <c r="F147" s="19" t="inlineStr">
        <is>
          <t>18</t>
        </is>
      </c>
      <c r="G147" s="19" t="n"/>
      <c r="H147" s="19" t="inlineStr">
        <is>
          <t>2</t>
        </is>
      </c>
      <c r="I147" s="19" t="n"/>
      <c r="J147" s="19" t="n"/>
      <c r="K147" s="19" t="inlineStr">
        <is>
          <t>2</t>
        </is>
      </c>
      <c r="L147" t="inlineStr">
        <is>
          <t>2026-08-08</t>
        </is>
      </c>
      <c r="N147" t="inlineStr">
        <is>
          <t>IN_SCOPE_FINAL; SOURCE_CFG=IA-ST-CFG-0029; MARKET=ALEX ARABATZIS BSA(YUNANİSTAN); STATUS=IN OEM / EU PACKAGE</t>
        </is>
      </c>
      <c r="O147" t="inlineStr">
        <is>
          <t>2026-08-10T19:29:54Z</t>
        </is>
      </c>
      <c r="P147" t="inlineStr">
        <is>
          <t>2026-08-10T19:29:54Z</t>
        </is>
      </c>
    </row>
    <row r="148">
      <c r="A148" s="19" t="inlineStr">
        <is>
          <t>147</t>
        </is>
      </c>
      <c r="B148" s="19" t="inlineStr">
        <is>
          <t>SC-1015131-ST-021-EUR-03</t>
        </is>
      </c>
      <c r="C148" t="inlineStr">
        <is>
          <t>1015131 → ST-021-EUR-03</t>
        </is>
      </c>
      <c r="D148" s="19" t="inlineStr">
        <is>
          <t>2</t>
        </is>
      </c>
      <c r="E148" s="19" t="inlineStr">
        <is>
          <t>1880</t>
        </is>
      </c>
      <c r="F148" s="19" t="inlineStr">
        <is>
          <t>18</t>
        </is>
      </c>
      <c r="G148" s="19" t="n"/>
      <c r="H148" s="19" t="inlineStr">
        <is>
          <t>2</t>
        </is>
      </c>
      <c r="I148" s="19" t="n"/>
      <c r="J148" s="19" t="n"/>
      <c r="K148" s="19" t="inlineStr">
        <is>
          <t>2</t>
        </is>
      </c>
      <c r="L148" t="inlineStr">
        <is>
          <t>2026-08-08</t>
        </is>
      </c>
      <c r="N148" t="inlineStr">
        <is>
          <t>IN_SCOPE_FINAL; SOURCE_CFG=IA-ST-CFG-0029; MARKET=BOOSTER; STATUS=IN OEM / EU PACKAGE</t>
        </is>
      </c>
      <c r="O148" t="inlineStr">
        <is>
          <t>2026-08-10T19:29:54Z</t>
        </is>
      </c>
      <c r="P148" t="inlineStr">
        <is>
          <t>2026-08-10T19:29:54Z</t>
        </is>
      </c>
    </row>
    <row r="149">
      <c r="A149" s="19" t="inlineStr">
        <is>
          <t>148</t>
        </is>
      </c>
      <c r="B149" s="19" t="inlineStr">
        <is>
          <t>SC-1015165-ST-021-EUR-03</t>
        </is>
      </c>
      <c r="C149" t="inlineStr">
        <is>
          <t>1015165 → ST-021-EUR-03</t>
        </is>
      </c>
      <c r="D149" s="19" t="inlineStr">
        <is>
          <t>2</t>
        </is>
      </c>
      <c r="E149" s="19" t="inlineStr">
        <is>
          <t>1911</t>
        </is>
      </c>
      <c r="F149" s="19" t="inlineStr">
        <is>
          <t>18</t>
        </is>
      </c>
      <c r="G149" s="19" t="n"/>
      <c r="H149" s="19" t="inlineStr">
        <is>
          <t>2</t>
        </is>
      </c>
      <c r="I149" s="19" t="n"/>
      <c r="J149" s="19" t="n"/>
      <c r="K149" s="19" t="inlineStr">
        <is>
          <t>2</t>
        </is>
      </c>
      <c r="L149" t="inlineStr">
        <is>
          <t>2026-08-08</t>
        </is>
      </c>
      <c r="N149" t="inlineStr">
        <is>
          <t>IN_SCOPE_FINAL; SOURCE_CFG=IA-ST-CFG-0029; MARKET=LAMPA ITALY İTALYA; STATUS=IN OEM / EU PACKAGE</t>
        </is>
      </c>
      <c r="O149" t="inlineStr">
        <is>
          <t>2026-08-10T19:29:54Z</t>
        </is>
      </c>
      <c r="P149" t="inlineStr">
        <is>
          <t>2026-08-10T19:29:54Z</t>
        </is>
      </c>
    </row>
    <row r="150">
      <c r="A150" s="19" t="inlineStr">
        <is>
          <t>149</t>
        </is>
      </c>
      <c r="B150" s="19" t="inlineStr">
        <is>
          <t>SC-1015260-ST-021-EUR-03</t>
        </is>
      </c>
      <c r="C150" t="inlineStr">
        <is>
          <t>1015260 → ST-021-EUR-03</t>
        </is>
      </c>
      <c r="D150" s="19" t="inlineStr">
        <is>
          <t>2</t>
        </is>
      </c>
      <c r="E150" s="19" t="inlineStr">
        <is>
          <t>1993</t>
        </is>
      </c>
      <c r="F150" s="19" t="inlineStr">
        <is>
          <t>18</t>
        </is>
      </c>
      <c r="G150" s="19" t="n"/>
      <c r="H150" s="19" t="inlineStr">
        <is>
          <t>2</t>
        </is>
      </c>
      <c r="I150" s="19" t="n"/>
      <c r="J150" s="19" t="n"/>
      <c r="K150" s="19" t="inlineStr">
        <is>
          <t>2</t>
        </is>
      </c>
      <c r="L150" t="inlineStr">
        <is>
          <t>2026-08-08</t>
        </is>
      </c>
      <c r="N150" t="inlineStr">
        <is>
          <t>IN_SCOPE_FINAL; SOURCE_CFG=IA-ST-CFG-0029; MARKET=LAMPA ITALY İTALYA; STATUS=IN OEM / EU PACKAGE</t>
        </is>
      </c>
      <c r="O150" t="inlineStr">
        <is>
          <t>2026-08-10T19:29:54Z</t>
        </is>
      </c>
      <c r="P150" t="inlineStr">
        <is>
          <t>2026-08-10T19:29:54Z</t>
        </is>
      </c>
    </row>
    <row r="151">
      <c r="A151" s="19" t="inlineStr">
        <is>
          <t>150</t>
        </is>
      </c>
      <c r="B151" s="19" t="inlineStr">
        <is>
          <t>SC-1007018-ST-021-EUR-03</t>
        </is>
      </c>
      <c r="C151" t="inlineStr">
        <is>
          <t>1007018 → ST-021-EUR-03</t>
        </is>
      </c>
      <c r="D151" s="19" t="inlineStr">
        <is>
          <t>2</t>
        </is>
      </c>
      <c r="E151" s="19" t="inlineStr">
        <is>
          <t>67</t>
        </is>
      </c>
      <c r="F151" s="19" t="inlineStr">
        <is>
          <t>18</t>
        </is>
      </c>
      <c r="G151" s="19" t="n"/>
      <c r="H151" s="19" t="inlineStr">
        <is>
          <t>2</t>
        </is>
      </c>
      <c r="I151" s="19" t="n"/>
      <c r="J151" s="19" t="n"/>
      <c r="K151" s="19" t="inlineStr">
        <is>
          <t>2</t>
        </is>
      </c>
      <c r="L151" t="inlineStr">
        <is>
          <t>2026-08-08</t>
        </is>
      </c>
      <c r="N151" t="inlineStr">
        <is>
          <t>IN_SCOPE_FINAL; SOURCE_CFG=IA-ST-CFG-0029; MARKET=TEKSAN (Yurt İçi); STATUS=IN OEM / EU PACKAGE</t>
        </is>
      </c>
      <c r="O151" t="inlineStr">
        <is>
          <t>2026-08-10T19:29:54Z</t>
        </is>
      </c>
      <c r="P151" t="inlineStr">
        <is>
          <t>2026-08-10T19:29:54Z</t>
        </is>
      </c>
    </row>
    <row r="152">
      <c r="A152" s="19" t="inlineStr">
        <is>
          <t>151</t>
        </is>
      </c>
      <c r="B152" s="19" t="inlineStr">
        <is>
          <t>SC-1014897-ST-021-EUR-04</t>
        </is>
      </c>
      <c r="C152" t="inlineStr">
        <is>
          <t>1014897 → ST-021-EUR-04</t>
        </is>
      </c>
      <c r="D152" s="19" t="inlineStr">
        <is>
          <t>2</t>
        </is>
      </c>
      <c r="E152" s="19" t="inlineStr">
        <is>
          <t>1666</t>
        </is>
      </c>
      <c r="F152" s="19" t="inlineStr">
        <is>
          <t>19</t>
        </is>
      </c>
      <c r="G152" s="19" t="n"/>
      <c r="H152" s="19" t="inlineStr">
        <is>
          <t>2</t>
        </is>
      </c>
      <c r="I152" s="19" t="n"/>
      <c r="J152" s="19" t="n"/>
      <c r="K152" s="19" t="inlineStr">
        <is>
          <t>2</t>
        </is>
      </c>
      <c r="L152" t="inlineStr">
        <is>
          <t>2026-08-08</t>
        </is>
      </c>
      <c r="N152" t="inlineStr">
        <is>
          <t>IN_SCOPE_FINAL; SOURCE_CFG=IA-ST-CFG-0030; MARKET=GY ITALY; STATUS=IN OEM / EU PACKAGE</t>
        </is>
      </c>
      <c r="O152" t="inlineStr">
        <is>
          <t>2026-08-10T19:29:54Z</t>
        </is>
      </c>
      <c r="P152" t="inlineStr">
        <is>
          <t>2026-08-10T19:29:54Z</t>
        </is>
      </c>
    </row>
    <row r="153">
      <c r="A153" s="19" t="inlineStr">
        <is>
          <t>152</t>
        </is>
      </c>
      <c r="B153" s="19" t="inlineStr">
        <is>
          <t>SC-1014898-ST-021-EUR-04</t>
        </is>
      </c>
      <c r="C153" t="inlineStr">
        <is>
          <t>1014898 → ST-021-EUR-04</t>
        </is>
      </c>
      <c r="D153" s="19" t="inlineStr">
        <is>
          <t>2</t>
        </is>
      </c>
      <c r="E153" s="19" t="inlineStr">
        <is>
          <t>1667</t>
        </is>
      </c>
      <c r="F153" s="19" t="inlineStr">
        <is>
          <t>19</t>
        </is>
      </c>
      <c r="G153" s="19" t="n"/>
      <c r="H153" s="19" t="inlineStr">
        <is>
          <t>2</t>
        </is>
      </c>
      <c r="I153" s="19" t="n"/>
      <c r="J153" s="19" t="n"/>
      <c r="K153" s="19" t="inlineStr">
        <is>
          <t>2</t>
        </is>
      </c>
      <c r="L153" t="inlineStr">
        <is>
          <t>2026-08-08</t>
        </is>
      </c>
      <c r="N153" t="inlineStr">
        <is>
          <t>IN_SCOPE_FINAL; SOURCE_CFG=IA-ST-CFG-0030; MARKET=GY ITALY; STATUS=IN OEM / EU PACKAGE</t>
        </is>
      </c>
      <c r="O153" t="inlineStr">
        <is>
          <t>2026-08-10T19:29:54Z</t>
        </is>
      </c>
      <c r="P153" t="inlineStr">
        <is>
          <t>2026-08-10T19:29:54Z</t>
        </is>
      </c>
    </row>
    <row r="154">
      <c r="A154" s="19" t="inlineStr">
        <is>
          <t>153</t>
        </is>
      </c>
      <c r="B154" s="19" t="inlineStr">
        <is>
          <t>SC-1014905-ST-021-EUR-04</t>
        </is>
      </c>
      <c r="C154" t="inlineStr">
        <is>
          <t>1014905 → ST-021-EUR-04</t>
        </is>
      </c>
      <c r="D154" s="19" t="inlineStr">
        <is>
          <t>2</t>
        </is>
      </c>
      <c r="E154" s="19" t="inlineStr">
        <is>
          <t>1674</t>
        </is>
      </c>
      <c r="F154" s="19" t="inlineStr">
        <is>
          <t>19</t>
        </is>
      </c>
      <c r="G154" s="19" t="n"/>
      <c r="H154" s="19" t="inlineStr">
        <is>
          <t>2</t>
        </is>
      </c>
      <c r="I154" s="19" t="n"/>
      <c r="J154" s="19" t="n"/>
      <c r="K154" s="19" t="inlineStr">
        <is>
          <t>2</t>
        </is>
      </c>
      <c r="L154" t="inlineStr">
        <is>
          <t>2026-08-08</t>
        </is>
      </c>
      <c r="N154" t="inlineStr">
        <is>
          <t>IN_SCOPE_FINAL; SOURCE_CFG=IA-ST-CFG-0030; MARKET=GY ITALY; STATUS=IN OEM / EU PACKAGE</t>
        </is>
      </c>
      <c r="O154" t="inlineStr">
        <is>
          <t>2026-08-10T19:29:54Z</t>
        </is>
      </c>
      <c r="P154" t="inlineStr">
        <is>
          <t>2026-08-10T19:29:54Z</t>
        </is>
      </c>
    </row>
    <row r="155">
      <c r="A155" s="19" t="inlineStr">
        <is>
          <t>154</t>
        </is>
      </c>
      <c r="B155" s="19" t="inlineStr">
        <is>
          <t>SC-1014906-ST-021-EUR-04</t>
        </is>
      </c>
      <c r="C155" t="inlineStr">
        <is>
          <t>1014906 → ST-021-EUR-04</t>
        </is>
      </c>
      <c r="D155" s="19" t="inlineStr">
        <is>
          <t>2</t>
        </is>
      </c>
      <c r="E155" s="19" t="inlineStr">
        <is>
          <t>1675</t>
        </is>
      </c>
      <c r="F155" s="19" t="inlineStr">
        <is>
          <t>19</t>
        </is>
      </c>
      <c r="G155" s="19" t="n"/>
      <c r="H155" s="19" t="inlineStr">
        <is>
          <t>2</t>
        </is>
      </c>
      <c r="I155" s="19" t="n"/>
      <c r="J155" s="19" t="n"/>
      <c r="K155" s="19" t="inlineStr">
        <is>
          <t>2</t>
        </is>
      </c>
      <c r="L155" t="inlineStr">
        <is>
          <t>2026-08-08</t>
        </is>
      </c>
      <c r="N155" t="inlineStr">
        <is>
          <t>IN_SCOPE_FINAL; SOURCE_CFG=IA-ST-CFG-0030; MARKET=GY ITALY; STATUS=IN OEM / EU PACKAGE</t>
        </is>
      </c>
      <c r="O155" t="inlineStr">
        <is>
          <t>2026-08-10T19:29:54Z</t>
        </is>
      </c>
      <c r="P155" t="inlineStr">
        <is>
          <t>2026-08-10T19:29:54Z</t>
        </is>
      </c>
    </row>
    <row r="156">
      <c r="A156" s="19" t="inlineStr">
        <is>
          <t>155</t>
        </is>
      </c>
      <c r="B156" s="19" t="inlineStr">
        <is>
          <t>SC-1015194-ST-021-EUR-04</t>
        </is>
      </c>
      <c r="C156" t="inlineStr">
        <is>
          <t>1015194 → ST-021-EUR-04</t>
        </is>
      </c>
      <c r="D156" s="19" t="inlineStr">
        <is>
          <t>2</t>
        </is>
      </c>
      <c r="E156" s="19" t="inlineStr">
        <is>
          <t>1935</t>
        </is>
      </c>
      <c r="F156" s="19" t="inlineStr">
        <is>
          <t>19</t>
        </is>
      </c>
      <c r="G156" s="19" t="n"/>
      <c r="H156" s="19" t="inlineStr">
        <is>
          <t>2</t>
        </is>
      </c>
      <c r="I156" s="19" t="n"/>
      <c r="J156" s="19" t="n"/>
      <c r="K156" s="19" t="inlineStr">
        <is>
          <t>2</t>
        </is>
      </c>
      <c r="L156" t="inlineStr">
        <is>
          <t>2026-08-08</t>
        </is>
      </c>
      <c r="N156" t="inlineStr">
        <is>
          <t>IN_SCOPE_FINAL; SOURCE_CFG=IA-ST-CFG-0030; MARKET=GY ITALY; STATUS=IN OEM / EU PACKAGE</t>
        </is>
      </c>
      <c r="O156" t="inlineStr">
        <is>
          <t>2026-08-10T19:29:54Z</t>
        </is>
      </c>
      <c r="P156" t="inlineStr">
        <is>
          <t>2026-08-10T19:29:54Z</t>
        </is>
      </c>
    </row>
    <row r="157">
      <c r="A157" s="19" t="inlineStr">
        <is>
          <t>156</t>
        </is>
      </c>
      <c r="B157" s="19" t="inlineStr">
        <is>
          <t>SC-1015195-ST-021-EUR-04</t>
        </is>
      </c>
      <c r="C157" t="inlineStr">
        <is>
          <t>1015195 → ST-021-EUR-04</t>
        </is>
      </c>
      <c r="D157" s="19" t="inlineStr">
        <is>
          <t>2</t>
        </is>
      </c>
      <c r="E157" s="19" t="inlineStr">
        <is>
          <t>1936</t>
        </is>
      </c>
      <c r="F157" s="19" t="inlineStr">
        <is>
          <t>19</t>
        </is>
      </c>
      <c r="G157" s="19" t="n"/>
      <c r="H157" s="19" t="inlineStr">
        <is>
          <t>2</t>
        </is>
      </c>
      <c r="I157" s="19" t="n"/>
      <c r="J157" s="19" t="n"/>
      <c r="K157" s="19" t="inlineStr">
        <is>
          <t>2</t>
        </is>
      </c>
      <c r="L157" t="inlineStr">
        <is>
          <t>2026-08-08</t>
        </is>
      </c>
      <c r="N157" t="inlineStr">
        <is>
          <t>IN_SCOPE_FINAL; SOURCE_CFG=IA-ST-CFG-0030; MARKET=GY ITALY; STATUS=IN OEM / EU PACKAGE</t>
        </is>
      </c>
      <c r="O157" t="inlineStr">
        <is>
          <t>2026-08-10T19:29:54Z</t>
        </is>
      </c>
      <c r="P157" t="inlineStr">
        <is>
          <t>2026-08-10T19:29:54Z</t>
        </is>
      </c>
    </row>
    <row r="158">
      <c r="A158" s="19" t="inlineStr">
        <is>
          <t>157</t>
        </is>
      </c>
      <c r="B158" s="19" t="inlineStr">
        <is>
          <t>SC-1015197-ST-021-EUR-04</t>
        </is>
      </c>
      <c r="C158" t="inlineStr">
        <is>
          <t>1015197 → ST-021-EUR-04</t>
        </is>
      </c>
      <c r="D158" s="19" t="inlineStr">
        <is>
          <t>2</t>
        </is>
      </c>
      <c r="E158" s="19" t="inlineStr">
        <is>
          <t>1938</t>
        </is>
      </c>
      <c r="F158" s="19" t="inlineStr">
        <is>
          <t>19</t>
        </is>
      </c>
      <c r="G158" s="19" t="n"/>
      <c r="H158" s="19" t="inlineStr">
        <is>
          <t>2</t>
        </is>
      </c>
      <c r="I158" s="19" t="n"/>
      <c r="J158" s="19" t="n"/>
      <c r="K158" s="19" t="inlineStr">
        <is>
          <t>2</t>
        </is>
      </c>
      <c r="L158" t="inlineStr">
        <is>
          <t>2026-08-08</t>
        </is>
      </c>
      <c r="N158" t="inlineStr">
        <is>
          <t>IN_SCOPE_FINAL; SOURCE_CFG=IA-ST-CFG-0030; MARKET=GY ITALY; STATUS=IN OEM / EU PACKAGE</t>
        </is>
      </c>
      <c r="O158" t="inlineStr">
        <is>
          <t>2026-08-10T19:29:54Z</t>
        </is>
      </c>
      <c r="P158" t="inlineStr">
        <is>
          <t>2026-08-10T19:29:54Z</t>
        </is>
      </c>
    </row>
    <row r="159">
      <c r="A159" s="19" t="inlineStr">
        <is>
          <t>158</t>
        </is>
      </c>
      <c r="B159" s="19" t="inlineStr">
        <is>
          <t>SC-1015198-ST-021-EUR-04</t>
        </is>
      </c>
      <c r="C159" t="inlineStr">
        <is>
          <t>1015198 → ST-021-EUR-04</t>
        </is>
      </c>
      <c r="D159" s="19" t="inlineStr">
        <is>
          <t>2</t>
        </is>
      </c>
      <c r="E159" s="19" t="inlineStr">
        <is>
          <t>1939</t>
        </is>
      </c>
      <c r="F159" s="19" t="inlineStr">
        <is>
          <t>19</t>
        </is>
      </c>
      <c r="G159" s="19" t="n"/>
      <c r="H159" s="19" t="inlineStr">
        <is>
          <t>2</t>
        </is>
      </c>
      <c r="I159" s="19" t="n"/>
      <c r="J159" s="19" t="n"/>
      <c r="K159" s="19" t="inlineStr">
        <is>
          <t>2</t>
        </is>
      </c>
      <c r="L159" t="inlineStr">
        <is>
          <t>2026-08-08</t>
        </is>
      </c>
      <c r="N159" t="inlineStr">
        <is>
          <t>IN_SCOPE_FINAL; SOURCE_CFG=IA-ST-CFG-0030; MARKET=GY ITALY; STATUS=IN OEM / EU PACKAGE</t>
        </is>
      </c>
      <c r="O159" t="inlineStr">
        <is>
          <t>2026-08-10T19:29:54Z</t>
        </is>
      </c>
      <c r="P159" t="inlineStr">
        <is>
          <t>2026-08-10T19:29:54Z</t>
        </is>
      </c>
    </row>
    <row r="160">
      <c r="A160" s="19" t="inlineStr">
        <is>
          <t>159</t>
        </is>
      </c>
      <c r="B160" s="19" t="inlineStr">
        <is>
          <t>SC-1015199-ST-021-EUR-04</t>
        </is>
      </c>
      <c r="C160" t="inlineStr">
        <is>
          <t>1015199 → ST-021-EUR-04</t>
        </is>
      </c>
      <c r="D160" s="19" t="inlineStr">
        <is>
          <t>2</t>
        </is>
      </c>
      <c r="E160" s="19" t="inlineStr">
        <is>
          <t>1940</t>
        </is>
      </c>
      <c r="F160" s="19" t="inlineStr">
        <is>
          <t>19</t>
        </is>
      </c>
      <c r="G160" s="19" t="n"/>
      <c r="H160" s="19" t="inlineStr">
        <is>
          <t>2</t>
        </is>
      </c>
      <c r="I160" s="19" t="n"/>
      <c r="J160" s="19" t="n"/>
      <c r="K160" s="19" t="inlineStr">
        <is>
          <t>2</t>
        </is>
      </c>
      <c r="L160" t="inlineStr">
        <is>
          <t>2026-08-08</t>
        </is>
      </c>
      <c r="N160" t="inlineStr">
        <is>
          <t>IN_SCOPE_FINAL; SOURCE_CFG=IA-ST-CFG-0030; MARKET=GY ITALY; STATUS=IN OEM / EU PACKAGE</t>
        </is>
      </c>
      <c r="O160" t="inlineStr">
        <is>
          <t>2026-08-10T19:29:54Z</t>
        </is>
      </c>
      <c r="P160" t="inlineStr">
        <is>
          <t>2026-08-10T19:29:54Z</t>
        </is>
      </c>
    </row>
    <row r="161">
      <c r="A161" s="19" t="inlineStr">
        <is>
          <t>160</t>
        </is>
      </c>
      <c r="B161" s="19" t="inlineStr">
        <is>
          <t>SC-1015201-ST-021-EUR-04</t>
        </is>
      </c>
      <c r="C161" t="inlineStr">
        <is>
          <t>1015201 → ST-021-EUR-04</t>
        </is>
      </c>
      <c r="D161" s="19" t="inlineStr">
        <is>
          <t>2</t>
        </is>
      </c>
      <c r="E161" s="19" t="inlineStr">
        <is>
          <t>1942</t>
        </is>
      </c>
      <c r="F161" s="19" t="inlineStr">
        <is>
          <t>19</t>
        </is>
      </c>
      <c r="G161" s="19" t="n"/>
      <c r="H161" s="19" t="inlineStr">
        <is>
          <t>2</t>
        </is>
      </c>
      <c r="I161" s="19" t="n"/>
      <c r="J161" s="19" t="n"/>
      <c r="K161" s="19" t="inlineStr">
        <is>
          <t>2</t>
        </is>
      </c>
      <c r="L161" t="inlineStr">
        <is>
          <t>2026-08-08</t>
        </is>
      </c>
      <c r="N161" t="inlineStr">
        <is>
          <t>IN_SCOPE_FINAL; SOURCE_CFG=IA-ST-CFG-0030; MARKET=GY ITALY; STATUS=IN OEM / EU PACKAGE</t>
        </is>
      </c>
      <c r="O161" t="inlineStr">
        <is>
          <t>2026-08-10T19:29:54Z</t>
        </is>
      </c>
      <c r="P161" t="inlineStr">
        <is>
          <t>2026-08-10T19:29:54Z</t>
        </is>
      </c>
    </row>
    <row r="162">
      <c r="A162" s="19" t="inlineStr">
        <is>
          <t>161</t>
        </is>
      </c>
      <c r="B162" s="19" t="inlineStr">
        <is>
          <t>SC-1014900-ST-021-EUR-04</t>
        </is>
      </c>
      <c r="C162" t="inlineStr">
        <is>
          <t>1014900 → ST-021-EUR-04</t>
        </is>
      </c>
      <c r="D162" s="19" t="inlineStr">
        <is>
          <t>2</t>
        </is>
      </c>
      <c r="E162" s="19" t="inlineStr">
        <is>
          <t>1669</t>
        </is>
      </c>
      <c r="F162" s="19" t="inlineStr">
        <is>
          <t>19</t>
        </is>
      </c>
      <c r="G162" s="19" t="n"/>
      <c r="H162" s="19" t="inlineStr">
        <is>
          <t>2</t>
        </is>
      </c>
      <c r="I162" s="19" t="n"/>
      <c r="J162" s="19" t="n"/>
      <c r="K162" s="19" t="inlineStr">
        <is>
          <t>2</t>
        </is>
      </c>
      <c r="L162" t="inlineStr">
        <is>
          <t>2026-08-08</t>
        </is>
      </c>
      <c r="N162" t="inlineStr">
        <is>
          <t>IN_SCOPE_FINAL; SOURCE_CFG=IA-ST-CFG-0030; MARKET=GY ITALY; STATUS=IN OEM / EU PACKAGE</t>
        </is>
      </c>
      <c r="O162" t="inlineStr">
        <is>
          <t>2026-08-10T19:29:54Z</t>
        </is>
      </c>
      <c r="P162" t="inlineStr">
        <is>
          <t>2026-08-10T19:29:54Z</t>
        </is>
      </c>
    </row>
    <row r="163">
      <c r="A163" s="19" t="inlineStr">
        <is>
          <t>162</t>
        </is>
      </c>
      <c r="B163" s="19" t="inlineStr">
        <is>
          <t>SC-1014901-ST-021-EUR-04</t>
        </is>
      </c>
      <c r="C163" t="inlineStr">
        <is>
          <t>1014901 → ST-021-EUR-04</t>
        </is>
      </c>
      <c r="D163" s="19" t="inlineStr">
        <is>
          <t>2</t>
        </is>
      </c>
      <c r="E163" s="19" t="inlineStr">
        <is>
          <t>1670</t>
        </is>
      </c>
      <c r="F163" s="19" t="inlineStr">
        <is>
          <t>19</t>
        </is>
      </c>
      <c r="G163" s="19" t="n"/>
      <c r="H163" s="19" t="inlineStr">
        <is>
          <t>2</t>
        </is>
      </c>
      <c r="I163" s="19" t="n"/>
      <c r="J163" s="19" t="n"/>
      <c r="K163" s="19" t="inlineStr">
        <is>
          <t>2</t>
        </is>
      </c>
      <c r="L163" t="inlineStr">
        <is>
          <t>2026-08-08</t>
        </is>
      </c>
      <c r="N163" t="inlineStr">
        <is>
          <t>IN_SCOPE_FINAL; SOURCE_CFG=IA-ST-CFG-0030; MARKET=GY ITALY; STATUS=IN OEM / EU PACKAGE</t>
        </is>
      </c>
      <c r="O163" t="inlineStr">
        <is>
          <t>2026-08-10T19:29:54Z</t>
        </is>
      </c>
      <c r="P163" t="inlineStr">
        <is>
          <t>2026-08-10T19:29:54Z</t>
        </is>
      </c>
    </row>
    <row r="164">
      <c r="A164" s="19" t="inlineStr">
        <is>
          <t>163</t>
        </is>
      </c>
      <c r="B164" s="19" t="inlineStr">
        <is>
          <t>SC-1014903-ST-021-EUR-04</t>
        </is>
      </c>
      <c r="C164" t="inlineStr">
        <is>
          <t>1014903 → ST-021-EUR-04</t>
        </is>
      </c>
      <c r="D164" s="19" t="inlineStr">
        <is>
          <t>2</t>
        </is>
      </c>
      <c r="E164" s="19" t="inlineStr">
        <is>
          <t>1672</t>
        </is>
      </c>
      <c r="F164" s="19" t="inlineStr">
        <is>
          <t>19</t>
        </is>
      </c>
      <c r="G164" s="19" t="n"/>
      <c r="H164" s="19" t="inlineStr">
        <is>
          <t>2</t>
        </is>
      </c>
      <c r="I164" s="19" t="n"/>
      <c r="J164" s="19" t="n"/>
      <c r="K164" s="19" t="inlineStr">
        <is>
          <t>2</t>
        </is>
      </c>
      <c r="L164" t="inlineStr">
        <is>
          <t>2026-08-08</t>
        </is>
      </c>
      <c r="N164" t="inlineStr">
        <is>
          <t>IN_SCOPE_FINAL; SOURCE_CFG=IA-ST-CFG-0030; MARKET=GY ITALY; STATUS=IN OEM / EU PACKAGE</t>
        </is>
      </c>
      <c r="O164" t="inlineStr">
        <is>
          <t>2026-08-10T19:29:54Z</t>
        </is>
      </c>
      <c r="P164" t="inlineStr">
        <is>
          <t>2026-08-10T19:29:54Z</t>
        </is>
      </c>
    </row>
    <row r="165">
      <c r="A165" s="19" t="inlineStr">
        <is>
          <t>164</t>
        </is>
      </c>
      <c r="B165" s="19" t="inlineStr">
        <is>
          <t>SC-1014908-ST-021-EUR-04</t>
        </is>
      </c>
      <c r="C165" t="inlineStr">
        <is>
          <t>1014908 → ST-021-EUR-04</t>
        </is>
      </c>
      <c r="D165" s="19" t="inlineStr">
        <is>
          <t>2</t>
        </is>
      </c>
      <c r="E165" s="19" t="inlineStr">
        <is>
          <t>1677</t>
        </is>
      </c>
      <c r="F165" s="19" t="inlineStr">
        <is>
          <t>19</t>
        </is>
      </c>
      <c r="G165" s="19" t="n"/>
      <c r="H165" s="19" t="inlineStr">
        <is>
          <t>2</t>
        </is>
      </c>
      <c r="I165" s="19" t="n"/>
      <c r="J165" s="19" t="n"/>
      <c r="K165" s="19" t="inlineStr">
        <is>
          <t>2</t>
        </is>
      </c>
      <c r="L165" t="inlineStr">
        <is>
          <t>2026-08-08</t>
        </is>
      </c>
      <c r="N165" t="inlineStr">
        <is>
          <t>IN_SCOPE_FINAL; SOURCE_CFG=IA-ST-CFG-0030; MARKET=GY ITALY; STATUS=IN OEM / EU PACKAGE</t>
        </is>
      </c>
      <c r="O165" t="inlineStr">
        <is>
          <t>2026-08-10T19:29:54Z</t>
        </is>
      </c>
      <c r="P165" t="inlineStr">
        <is>
          <t>2026-08-10T19:29:54Z</t>
        </is>
      </c>
    </row>
    <row r="166">
      <c r="A166" s="19" t="inlineStr">
        <is>
          <t>165</t>
        </is>
      </c>
      <c r="B166" s="19" t="inlineStr">
        <is>
          <t>SC-1014909-ST-021-EUR-04</t>
        </is>
      </c>
      <c r="C166" t="inlineStr">
        <is>
          <t>1014909 → ST-021-EUR-04</t>
        </is>
      </c>
      <c r="D166" s="19" t="inlineStr">
        <is>
          <t>2</t>
        </is>
      </c>
      <c r="E166" s="19" t="inlineStr">
        <is>
          <t>1678</t>
        </is>
      </c>
      <c r="F166" s="19" t="inlineStr">
        <is>
          <t>19</t>
        </is>
      </c>
      <c r="G166" s="19" t="n"/>
      <c r="H166" s="19" t="inlineStr">
        <is>
          <t>2</t>
        </is>
      </c>
      <c r="I166" s="19" t="n"/>
      <c r="J166" s="19" t="n"/>
      <c r="K166" s="19" t="inlineStr">
        <is>
          <t>2</t>
        </is>
      </c>
      <c r="L166" t="inlineStr">
        <is>
          <t>2026-08-08</t>
        </is>
      </c>
      <c r="N166" t="inlineStr">
        <is>
          <t>IN_SCOPE_FINAL; SOURCE_CFG=IA-ST-CFG-0030; MARKET=GY ITALY; STATUS=IN OEM / EU PACKAGE</t>
        </is>
      </c>
      <c r="O166" t="inlineStr">
        <is>
          <t>2026-08-10T19:29:54Z</t>
        </is>
      </c>
      <c r="P166" t="inlineStr">
        <is>
          <t>2026-08-10T19:29:54Z</t>
        </is>
      </c>
    </row>
    <row r="167">
      <c r="A167" s="19" t="inlineStr">
        <is>
          <t>166</t>
        </is>
      </c>
      <c r="B167" s="19" t="inlineStr">
        <is>
          <t>SC-1014911-ST-021-EUR-04</t>
        </is>
      </c>
      <c r="C167" t="inlineStr">
        <is>
          <t>1014911 → ST-021-EUR-04</t>
        </is>
      </c>
      <c r="D167" s="19" t="inlineStr">
        <is>
          <t>2</t>
        </is>
      </c>
      <c r="E167" s="19" t="inlineStr">
        <is>
          <t>1680</t>
        </is>
      </c>
      <c r="F167" s="19" t="inlineStr">
        <is>
          <t>19</t>
        </is>
      </c>
      <c r="G167" s="19" t="n"/>
      <c r="H167" s="19" t="inlineStr">
        <is>
          <t>2</t>
        </is>
      </c>
      <c r="I167" s="19" t="n"/>
      <c r="J167" s="19" t="n"/>
      <c r="K167" s="19" t="inlineStr">
        <is>
          <t>2</t>
        </is>
      </c>
      <c r="L167" t="inlineStr">
        <is>
          <t>2026-08-08</t>
        </is>
      </c>
      <c r="N167" t="inlineStr">
        <is>
          <t>IN_SCOPE_FINAL; SOURCE_CFG=IA-ST-CFG-0030; MARKET=GY ITALY; STATUS=IN OEM / EU PACKAGE</t>
        </is>
      </c>
      <c r="O167" t="inlineStr">
        <is>
          <t>2026-08-10T19:29:54Z</t>
        </is>
      </c>
      <c r="P167" t="inlineStr">
        <is>
          <t>2026-08-10T19:29:54Z</t>
        </is>
      </c>
    </row>
    <row r="168">
      <c r="A168" s="19" t="inlineStr">
        <is>
          <t>167</t>
        </is>
      </c>
      <c r="B168" s="19" t="inlineStr">
        <is>
          <t>SC-1014778-ST-021-EUR-05</t>
        </is>
      </c>
      <c r="C168" t="inlineStr">
        <is>
          <t>1014778 → ST-021-EUR-05</t>
        </is>
      </c>
      <c r="D168" s="19" t="inlineStr">
        <is>
          <t>2</t>
        </is>
      </c>
      <c r="E168" s="19" t="inlineStr">
        <is>
          <t>1601</t>
        </is>
      </c>
      <c r="F168" s="19" t="inlineStr">
        <is>
          <t>20</t>
        </is>
      </c>
      <c r="G168" s="19" t="n"/>
      <c r="H168" s="19" t="inlineStr">
        <is>
          <t>2</t>
        </is>
      </c>
      <c r="I168" s="19" t="n"/>
      <c r="J168" s="19" t="n"/>
      <c r="K168" s="19" t="inlineStr">
        <is>
          <t>2</t>
        </is>
      </c>
      <c r="L168" t="inlineStr">
        <is>
          <t>2026-08-08</t>
        </is>
      </c>
      <c r="N168" t="inlineStr">
        <is>
          <t>IN_SCOPE_FINAL; SOURCE_CFG=IA-ST-CFG-0031; MARKET=CAR PARTS DISTRIBUZIONE İTALYA; STATUS=IN OEM / EU PACKAGE</t>
        </is>
      </c>
      <c r="O168" t="inlineStr">
        <is>
          <t>2026-08-10T19:29:54Z</t>
        </is>
      </c>
      <c r="P168" t="inlineStr">
        <is>
          <t>2026-08-10T19:29:54Z</t>
        </is>
      </c>
    </row>
    <row r="169">
      <c r="A169" s="19" t="inlineStr">
        <is>
          <t>168</t>
        </is>
      </c>
      <c r="B169" s="19" t="inlineStr">
        <is>
          <t>SC-1014726-ST-024-STD-01</t>
        </is>
      </c>
      <c r="C169" t="inlineStr">
        <is>
          <t>1014726 → ST-024-STD-01</t>
        </is>
      </c>
      <c r="D169" s="19" t="inlineStr">
        <is>
          <t>2</t>
        </is>
      </c>
      <c r="E169" s="19" t="inlineStr">
        <is>
          <t>1566</t>
        </is>
      </c>
      <c r="F169" s="19" t="inlineStr">
        <is>
          <t>30</t>
        </is>
      </c>
      <c r="G169" s="19" t="n"/>
      <c r="H169" s="19" t="inlineStr">
        <is>
          <t>2</t>
        </is>
      </c>
      <c r="I169" s="19" t="n"/>
      <c r="J169" s="19" t="n"/>
      <c r="K169" s="19" t="inlineStr">
        <is>
          <t>2</t>
        </is>
      </c>
      <c r="L169" t="inlineStr">
        <is>
          <t>2026-08-08</t>
        </is>
      </c>
      <c r="N169" t="inlineStr">
        <is>
          <t>IN_SCOPE_FINAL; SOURCE_CFG=IA-ST-CFG-0034; MARKET=None; STATUS=IN OEM / EU PACKAGE</t>
        </is>
      </c>
      <c r="O169" t="inlineStr">
        <is>
          <t>2026-08-10T19:29:54Z</t>
        </is>
      </c>
      <c r="P169" t="inlineStr">
        <is>
          <t>2026-08-10T19:29:54Z</t>
        </is>
      </c>
    </row>
    <row r="170">
      <c r="A170" s="19" t="inlineStr">
        <is>
          <t>169</t>
        </is>
      </c>
      <c r="B170" s="19" t="inlineStr">
        <is>
          <t>SC-1010063-ST-024-EUR-01</t>
        </is>
      </c>
      <c r="C170" t="inlineStr">
        <is>
          <t>1010063 → ST-024-EUR-01</t>
        </is>
      </c>
      <c r="D170" s="19" t="inlineStr">
        <is>
          <t>2</t>
        </is>
      </c>
      <c r="E170" s="19" t="inlineStr">
        <is>
          <t>154</t>
        </is>
      </c>
      <c r="F170" s="19" t="inlineStr">
        <is>
          <t>26</t>
        </is>
      </c>
      <c r="G170" s="19" t="n"/>
      <c r="H170" s="19" t="inlineStr">
        <is>
          <t>2</t>
        </is>
      </c>
      <c r="I170" s="19" t="n"/>
      <c r="J170" s="19" t="n"/>
      <c r="K170" s="19" t="inlineStr">
        <is>
          <t>2</t>
        </is>
      </c>
      <c r="L170" t="inlineStr">
        <is>
          <t>2026-08-08</t>
        </is>
      </c>
      <c r="N170" t="inlineStr">
        <is>
          <t>IN_SCOPE_FINAL; SOURCE_CFG=IA-ST-CFG-0035; MARKET=GY EUR; STATUS=IN OEM / EU PACKAGE</t>
        </is>
      </c>
      <c r="O170" t="inlineStr">
        <is>
          <t>2026-08-10T19:29:54Z</t>
        </is>
      </c>
      <c r="P170" t="inlineStr">
        <is>
          <t>2026-08-10T19:29:54Z</t>
        </is>
      </c>
    </row>
    <row r="171">
      <c r="A171" s="19" t="inlineStr">
        <is>
          <t>170</t>
        </is>
      </c>
      <c r="B171" s="19" t="inlineStr">
        <is>
          <t>SC-1010864-ST-024-EUR-02</t>
        </is>
      </c>
      <c r="C171" t="inlineStr">
        <is>
          <t>1010864 → ST-024-EUR-02</t>
        </is>
      </c>
      <c r="D171" s="19" t="inlineStr">
        <is>
          <t>2</t>
        </is>
      </c>
      <c r="E171" s="19" t="inlineStr">
        <is>
          <t>209</t>
        </is>
      </c>
      <c r="F171" s="19" t="inlineStr">
        <is>
          <t>27</t>
        </is>
      </c>
      <c r="G171" s="19" t="n"/>
      <c r="H171" s="19" t="inlineStr">
        <is>
          <t>2</t>
        </is>
      </c>
      <c r="I171" s="19" t="n"/>
      <c r="J171" s="19" t="n"/>
      <c r="K171" s="19" t="inlineStr">
        <is>
          <t>2</t>
        </is>
      </c>
      <c r="L171" t="inlineStr">
        <is>
          <t>2026-08-08</t>
        </is>
      </c>
      <c r="N171" t="inlineStr">
        <is>
          <t>IN_SCOPE_FINAL; SOURCE_CFG=IA-ST-CFG-0037; MARKET=MERCEDES ALMANYA; STATUS=IN OEM / EU PACKAGE</t>
        </is>
      </c>
      <c r="O171" t="inlineStr">
        <is>
          <t>2026-08-10T19:29:54Z</t>
        </is>
      </c>
      <c r="P171" t="inlineStr">
        <is>
          <t>2026-08-10T19:29:54Z</t>
        </is>
      </c>
    </row>
    <row r="172">
      <c r="A172" s="19" t="inlineStr">
        <is>
          <t>171</t>
        </is>
      </c>
      <c r="B172" s="19" t="inlineStr">
        <is>
          <t>SC-1013857-ST-024-EUR-03</t>
        </is>
      </c>
      <c r="C172" t="inlineStr">
        <is>
          <t>1013857 → ST-024-EUR-03</t>
        </is>
      </c>
      <c r="D172" s="19" t="inlineStr">
        <is>
          <t>2</t>
        </is>
      </c>
      <c r="E172" s="19" t="inlineStr">
        <is>
          <t>1111</t>
        </is>
      </c>
      <c r="F172" s="19" t="inlineStr">
        <is>
          <t>28</t>
        </is>
      </c>
      <c r="G172" s="19" t="n"/>
      <c r="H172" s="19" t="inlineStr">
        <is>
          <t>2</t>
        </is>
      </c>
      <c r="I172" s="19" t="n"/>
      <c r="J172" s="19" t="n"/>
      <c r="K172" s="19" t="inlineStr">
        <is>
          <t>2</t>
        </is>
      </c>
      <c r="L172" t="inlineStr">
        <is>
          <t>2026-08-08</t>
        </is>
      </c>
      <c r="N172" t="inlineStr">
        <is>
          <t>IN_SCOPE_FINAL; SOURCE_CFG=IA-ST-CFG-0038; MARKET=CAR PARTS DISTRIBUZIONE İTALYA; STATUS=IN OEM / EU PACKAGE</t>
        </is>
      </c>
      <c r="O172" t="inlineStr">
        <is>
          <t>2026-08-10T19:29:54Z</t>
        </is>
      </c>
      <c r="P172" t="inlineStr">
        <is>
          <t>2026-08-10T19:29:54Z</t>
        </is>
      </c>
    </row>
    <row r="173">
      <c r="A173" s="19" t="inlineStr">
        <is>
          <t>172</t>
        </is>
      </c>
      <c r="B173" s="19" t="inlineStr">
        <is>
          <t>SC-1014085-ST-024-EUR-03</t>
        </is>
      </c>
      <c r="C173" t="inlineStr">
        <is>
          <t>1014085 → ST-024-EUR-03</t>
        </is>
      </c>
      <c r="D173" s="19" t="inlineStr">
        <is>
          <t>2</t>
        </is>
      </c>
      <c r="E173" s="19" t="inlineStr">
        <is>
          <t>1219</t>
        </is>
      </c>
      <c r="F173" s="19" t="inlineStr">
        <is>
          <t>28</t>
        </is>
      </c>
      <c r="G173" s="19" t="n"/>
      <c r="H173" s="19" t="inlineStr">
        <is>
          <t>2</t>
        </is>
      </c>
      <c r="I173" s="19" t="n"/>
      <c r="J173" s="19" t="n"/>
      <c r="K173" s="19" t="inlineStr">
        <is>
          <t>2</t>
        </is>
      </c>
      <c r="L173" t="inlineStr">
        <is>
          <t>2026-08-08</t>
        </is>
      </c>
      <c r="N173" t="inlineStr">
        <is>
          <t>IN_SCOPE_FINAL; SOURCE_CFG=IA-ST-CFG-0038; MARKET=CAR PARTS DISTRIBUZIONE İTALYA; STATUS=IN OEM / EU PACKAGE</t>
        </is>
      </c>
      <c r="O173" t="inlineStr">
        <is>
          <t>2026-08-10T19:29:54Z</t>
        </is>
      </c>
      <c r="P173" t="inlineStr">
        <is>
          <t>2026-08-10T19:29:54Z</t>
        </is>
      </c>
    </row>
    <row r="174">
      <c r="A174" s="19" t="inlineStr">
        <is>
          <t>173</t>
        </is>
      </c>
      <c r="B174" s="19" t="inlineStr">
        <is>
          <t>SC-1008113-ST-024-EUR-04</t>
        </is>
      </c>
      <c r="C174" t="inlineStr">
        <is>
          <t>1008113 → ST-024-EUR-04</t>
        </is>
      </c>
      <c r="D174" s="19" t="inlineStr">
        <is>
          <t>2</t>
        </is>
      </c>
      <c r="E174" s="19" t="inlineStr">
        <is>
          <t>80</t>
        </is>
      </c>
      <c r="F174" s="19" t="inlineStr">
        <is>
          <t>29</t>
        </is>
      </c>
      <c r="G174" s="19" t="n"/>
      <c r="H174" s="19" t="inlineStr">
        <is>
          <t>2</t>
        </is>
      </c>
      <c r="I174" s="19" t="n"/>
      <c r="J174" s="19" t="n"/>
      <c r="K174" s="19" t="inlineStr">
        <is>
          <t>2</t>
        </is>
      </c>
      <c r="L174" t="inlineStr">
        <is>
          <t>2026-08-08</t>
        </is>
      </c>
      <c r="N174" t="inlineStr">
        <is>
          <t>IN_SCOPE_FINAL; SOURCE_CFG=IA-ST-CFG-0039; MARKET=None; STATUS=IN OEM / EU PACKAGE</t>
        </is>
      </c>
      <c r="O174" t="inlineStr">
        <is>
          <t>2026-08-10T19:29:54Z</t>
        </is>
      </c>
      <c r="P174" t="inlineStr">
        <is>
          <t>2026-08-10T19:29:54Z</t>
        </is>
      </c>
    </row>
    <row r="175">
      <c r="A175" s="19" t="inlineStr">
        <is>
          <t>174</t>
        </is>
      </c>
      <c r="B175" s="19" t="inlineStr">
        <is>
          <t>SC-1011586-ST-024-EUR-04</t>
        </is>
      </c>
      <c r="C175" t="inlineStr">
        <is>
          <t>1011586 → ST-024-EUR-04</t>
        </is>
      </c>
      <c r="D175" s="19" t="inlineStr">
        <is>
          <t>2</t>
        </is>
      </c>
      <c r="E175" s="19" t="inlineStr">
        <is>
          <t>323</t>
        </is>
      </c>
      <c r="F175" s="19" t="inlineStr">
        <is>
          <t>29</t>
        </is>
      </c>
      <c r="G175" s="19" t="n"/>
      <c r="H175" s="19" t="inlineStr">
        <is>
          <t>2</t>
        </is>
      </c>
      <c r="I175" s="19" t="n"/>
      <c r="J175" s="19" t="n"/>
      <c r="K175" s="19" t="inlineStr">
        <is>
          <t>2</t>
        </is>
      </c>
      <c r="L175" t="inlineStr">
        <is>
          <t>2026-08-08</t>
        </is>
      </c>
      <c r="N175" t="inlineStr">
        <is>
          <t>IN_SCOPE_FINAL; SOURCE_CFG=IA-ST-CFG-0039; MARKET=CANARIBAT İSPANYA; STATUS=IN OEM / EU PACKAGE</t>
        </is>
      </c>
      <c r="O175" t="inlineStr">
        <is>
          <t>2026-08-10T19:29:54Z</t>
        </is>
      </c>
      <c r="P175" t="inlineStr">
        <is>
          <t>2026-08-10T19:29:54Z</t>
        </is>
      </c>
    </row>
    <row r="176">
      <c r="A176" s="19" t="inlineStr">
        <is>
          <t>175</t>
        </is>
      </c>
      <c r="B176" s="19" t="inlineStr">
        <is>
          <t>SC-1013274-ST-024-EUR-04</t>
        </is>
      </c>
      <c r="C176" t="inlineStr">
        <is>
          <t>1013274 → ST-024-EUR-04</t>
        </is>
      </c>
      <c r="D176" s="19" t="inlineStr">
        <is>
          <t>2</t>
        </is>
      </c>
      <c r="E176" s="19" t="inlineStr">
        <is>
          <t>962</t>
        </is>
      </c>
      <c r="F176" s="19" t="inlineStr">
        <is>
          <t>29</t>
        </is>
      </c>
      <c r="G176" s="19" t="n"/>
      <c r="H176" s="19" t="inlineStr">
        <is>
          <t>2</t>
        </is>
      </c>
      <c r="I176" s="19" t="n"/>
      <c r="J176" s="19" t="n"/>
      <c r="K176" s="19" t="inlineStr">
        <is>
          <t>2</t>
        </is>
      </c>
      <c r="L176" t="inlineStr">
        <is>
          <t>2026-08-08</t>
        </is>
      </c>
      <c r="N176" t="inlineStr">
        <is>
          <t>IN_SCOPE_FINAL; SOURCE_CFG=IA-ST-CFG-0039; MARKET=LAMPA ITALY İTALYA; STATUS=IN OEM / EU PACKAGE</t>
        </is>
      </c>
      <c r="O176" t="inlineStr">
        <is>
          <t>2026-08-10T19:29:54Z</t>
        </is>
      </c>
      <c r="P176" t="inlineStr">
        <is>
          <t>2026-08-10T19:29:54Z</t>
        </is>
      </c>
    </row>
    <row r="177">
      <c r="A177" s="19" t="inlineStr">
        <is>
          <t>176</t>
        </is>
      </c>
      <c r="B177" s="19" t="inlineStr">
        <is>
          <t>SC-1013275-ST-024-EUR-04</t>
        </is>
      </c>
      <c r="C177" t="inlineStr">
        <is>
          <t>1013275 → ST-024-EUR-04</t>
        </is>
      </c>
      <c r="D177" s="19" t="inlineStr">
        <is>
          <t>2</t>
        </is>
      </c>
      <c r="E177" s="19" t="inlineStr">
        <is>
          <t>963</t>
        </is>
      </c>
      <c r="F177" s="19" t="inlineStr">
        <is>
          <t>29</t>
        </is>
      </c>
      <c r="G177" s="19" t="n"/>
      <c r="H177" s="19" t="inlineStr">
        <is>
          <t>2</t>
        </is>
      </c>
      <c r="I177" s="19" t="n"/>
      <c r="J177" s="19" t="n"/>
      <c r="K177" s="19" t="inlineStr">
        <is>
          <t>2</t>
        </is>
      </c>
      <c r="L177" t="inlineStr">
        <is>
          <t>2026-08-08</t>
        </is>
      </c>
      <c r="N177" t="inlineStr">
        <is>
          <t>IN_SCOPE_FINAL; SOURCE_CFG=IA-ST-CFG-0039; MARKET=LAMPA ITALY İTALYA; STATUS=IN OEM / EU PACKAGE</t>
        </is>
      </c>
      <c r="O177" t="inlineStr">
        <is>
          <t>2026-08-10T19:29:54Z</t>
        </is>
      </c>
      <c r="P177" t="inlineStr">
        <is>
          <t>2026-08-10T19:29:54Z</t>
        </is>
      </c>
    </row>
    <row r="178">
      <c r="A178" s="19" t="inlineStr">
        <is>
          <t>177</t>
        </is>
      </c>
      <c r="B178" s="19" t="inlineStr">
        <is>
          <t>SC-1013542-ST-024-EUR-04</t>
        </is>
      </c>
      <c r="C178" t="inlineStr">
        <is>
          <t>1013542 → ST-024-EUR-04</t>
        </is>
      </c>
      <c r="D178" s="19" t="inlineStr">
        <is>
          <t>2</t>
        </is>
      </c>
      <c r="E178" s="19" t="inlineStr">
        <is>
          <t>1028</t>
        </is>
      </c>
      <c r="F178" s="19" t="inlineStr">
        <is>
          <t>29</t>
        </is>
      </c>
      <c r="G178" s="19" t="n"/>
      <c r="H178" s="19" t="inlineStr">
        <is>
          <t>2</t>
        </is>
      </c>
      <c r="I178" s="19" t="n"/>
      <c r="J178" s="19" t="n"/>
      <c r="K178" s="19" t="inlineStr">
        <is>
          <t>2</t>
        </is>
      </c>
      <c r="L178" t="inlineStr">
        <is>
          <t>2026-08-08</t>
        </is>
      </c>
      <c r="N178" t="inlineStr">
        <is>
          <t>IN_SCOPE_FINAL; SOURCE_CFG=IA-ST-CFG-0039; MARKET=None; STATUS=IN OEM / EU PACKAGE</t>
        </is>
      </c>
      <c r="O178" t="inlineStr">
        <is>
          <t>2026-08-10T19:29:54Z</t>
        </is>
      </c>
      <c r="P178" t="inlineStr">
        <is>
          <t>2026-08-10T19:29:54Z</t>
        </is>
      </c>
    </row>
    <row r="179">
      <c r="A179" s="19" t="inlineStr">
        <is>
          <t>178</t>
        </is>
      </c>
      <c r="B179" s="19" t="inlineStr">
        <is>
          <t>SC-1013546-ST-024-EUR-04</t>
        </is>
      </c>
      <c r="C179" t="inlineStr">
        <is>
          <t>1013546 → ST-024-EUR-04</t>
        </is>
      </c>
      <c r="D179" s="19" t="inlineStr">
        <is>
          <t>2</t>
        </is>
      </c>
      <c r="E179" s="19" t="inlineStr">
        <is>
          <t>1029</t>
        </is>
      </c>
      <c r="F179" s="19" t="inlineStr">
        <is>
          <t>29</t>
        </is>
      </c>
      <c r="G179" s="19" t="n"/>
      <c r="H179" s="19" t="inlineStr">
        <is>
          <t>2</t>
        </is>
      </c>
      <c r="I179" s="19" t="n"/>
      <c r="J179" s="19" t="n"/>
      <c r="K179" s="19" t="inlineStr">
        <is>
          <t>2</t>
        </is>
      </c>
      <c r="L179" t="inlineStr">
        <is>
          <t>2026-08-08</t>
        </is>
      </c>
      <c r="N179" t="inlineStr">
        <is>
          <t>IN_SCOPE_FINAL; SOURCE_CFG=IA-ST-CFG-0039; MARKET=None; STATUS=IN OEM / EU PACKAGE</t>
        </is>
      </c>
      <c r="O179" t="inlineStr">
        <is>
          <t>2026-08-10T19:29:54Z</t>
        </is>
      </c>
      <c r="P179" t="inlineStr">
        <is>
          <t>2026-08-10T19:29:54Z</t>
        </is>
      </c>
    </row>
    <row r="180">
      <c r="A180" s="19" t="inlineStr">
        <is>
          <t>179</t>
        </is>
      </c>
      <c r="B180" s="19" t="inlineStr">
        <is>
          <t>SC-1014026-ST-024-EUR-04</t>
        </is>
      </c>
      <c r="C180" t="inlineStr">
        <is>
          <t>1014026 → ST-024-EUR-04</t>
        </is>
      </c>
      <c r="D180" s="19" t="inlineStr">
        <is>
          <t>2</t>
        </is>
      </c>
      <c r="E180" s="19" t="inlineStr">
        <is>
          <t>1190</t>
        </is>
      </c>
      <c r="F180" s="19" t="inlineStr">
        <is>
          <t>29</t>
        </is>
      </c>
      <c r="G180" s="19" t="n"/>
      <c r="H180" s="19" t="inlineStr">
        <is>
          <t>2</t>
        </is>
      </c>
      <c r="I180" s="19" t="n"/>
      <c r="J180" s="19" t="n"/>
      <c r="K180" s="19" t="inlineStr">
        <is>
          <t>2</t>
        </is>
      </c>
      <c r="L180" t="inlineStr">
        <is>
          <t>2026-08-08</t>
        </is>
      </c>
      <c r="N180" t="inlineStr">
        <is>
          <t>IN_SCOPE_FINAL; SOURCE_CFG=IA-ST-CFG-0039; MARKET=None; STATUS=IN OEM / EU PACKAGE</t>
        </is>
      </c>
      <c r="O180" t="inlineStr">
        <is>
          <t>2026-08-10T19:29:54Z</t>
        </is>
      </c>
      <c r="P180" t="inlineStr">
        <is>
          <t>2026-08-10T19:29:54Z</t>
        </is>
      </c>
    </row>
    <row r="181">
      <c r="A181" s="19" t="inlineStr">
        <is>
          <t>180</t>
        </is>
      </c>
      <c r="B181" s="19" t="inlineStr">
        <is>
          <t>SC-1014152-ST-024-EUR-04</t>
        </is>
      </c>
      <c r="C181" t="inlineStr">
        <is>
          <t>1014152 → ST-024-EUR-04</t>
        </is>
      </c>
      <c r="D181" s="19" t="inlineStr">
        <is>
          <t>2</t>
        </is>
      </c>
      <c r="E181" s="19" t="inlineStr">
        <is>
          <t>1238</t>
        </is>
      </c>
      <c r="F181" s="19" t="inlineStr">
        <is>
          <t>29</t>
        </is>
      </c>
      <c r="G181" s="19" t="n"/>
      <c r="H181" s="19" t="inlineStr">
        <is>
          <t>2</t>
        </is>
      </c>
      <c r="I181" s="19" t="n"/>
      <c r="J181" s="19" t="n"/>
      <c r="K181" s="19" t="inlineStr">
        <is>
          <t>2</t>
        </is>
      </c>
      <c r="L181" t="inlineStr">
        <is>
          <t>2026-08-08</t>
        </is>
      </c>
      <c r="N181" t="inlineStr">
        <is>
          <t>IN_SCOPE_FINAL; SOURCE_CFG=IA-ST-CFG-0039; MARKET=None; STATUS=IN OEM / EU PACKAGE</t>
        </is>
      </c>
      <c r="O181" t="inlineStr">
        <is>
          <t>2026-08-10T19:29:54Z</t>
        </is>
      </c>
      <c r="P181" t="inlineStr">
        <is>
          <t>2026-08-10T19:29:54Z</t>
        </is>
      </c>
    </row>
    <row r="182">
      <c r="A182" s="19" t="inlineStr">
        <is>
          <t>181</t>
        </is>
      </c>
      <c r="B182" s="19" t="inlineStr">
        <is>
          <t>SC-1014391-ST-024-EUR-04</t>
        </is>
      </c>
      <c r="C182" t="inlineStr">
        <is>
          <t>1014391 → ST-024-EUR-04</t>
        </is>
      </c>
      <c r="D182" s="19" t="inlineStr">
        <is>
          <t>2</t>
        </is>
      </c>
      <c r="E182" s="19" t="inlineStr">
        <is>
          <t>1341</t>
        </is>
      </c>
      <c r="F182" s="19" t="inlineStr">
        <is>
          <t>29</t>
        </is>
      </c>
      <c r="G182" s="19" t="n"/>
      <c r="H182" s="19" t="inlineStr">
        <is>
          <t>2</t>
        </is>
      </c>
      <c r="I182" s="19" t="n"/>
      <c r="J182" s="19" t="n"/>
      <c r="K182" s="19" t="inlineStr">
        <is>
          <t>2</t>
        </is>
      </c>
      <c r="L182" t="inlineStr">
        <is>
          <t>2026-08-08</t>
        </is>
      </c>
      <c r="N182" t="inlineStr">
        <is>
          <t>IN_SCOPE_FINAL; SOURCE_CFG=IA-ST-CFG-0039; MARKET=None; STATUS=IN OEM / EU PACKAGE</t>
        </is>
      </c>
      <c r="O182" t="inlineStr">
        <is>
          <t>2026-08-10T19:29:54Z</t>
        </is>
      </c>
      <c r="P182" t="inlineStr">
        <is>
          <t>2026-08-10T19:29:54Z</t>
        </is>
      </c>
    </row>
    <row r="183">
      <c r="A183" s="19" t="inlineStr">
        <is>
          <t>182</t>
        </is>
      </c>
      <c r="B183" s="19" t="inlineStr">
        <is>
          <t>SC-1014612-ST-024-EUR-04</t>
        </is>
      </c>
      <c r="C183" t="inlineStr">
        <is>
          <t>1014612 → ST-024-EUR-04</t>
        </is>
      </c>
      <c r="D183" s="19" t="inlineStr">
        <is>
          <t>2</t>
        </is>
      </c>
      <c r="E183" s="19" t="inlineStr">
        <is>
          <t>1488</t>
        </is>
      </c>
      <c r="F183" s="19" t="inlineStr">
        <is>
          <t>29</t>
        </is>
      </c>
      <c r="G183" s="19" t="n"/>
      <c r="H183" s="19" t="inlineStr">
        <is>
          <t>2</t>
        </is>
      </c>
      <c r="I183" s="19" t="n"/>
      <c r="J183" s="19" t="n"/>
      <c r="K183" s="19" t="inlineStr">
        <is>
          <t>2</t>
        </is>
      </c>
      <c r="L183" t="inlineStr">
        <is>
          <t>2026-08-08</t>
        </is>
      </c>
      <c r="N183" t="inlineStr">
        <is>
          <t>IN_SCOPE_FINAL; SOURCE_CFG=IA-ST-CFG-0039; MARKET=None; STATUS=IN OEM / EU PACKAGE</t>
        </is>
      </c>
      <c r="O183" t="inlineStr">
        <is>
          <t>2026-08-10T19:29:54Z</t>
        </is>
      </c>
      <c r="P183" t="inlineStr">
        <is>
          <t>2026-08-10T19:29:54Z</t>
        </is>
      </c>
    </row>
    <row r="184">
      <c r="A184" s="19" t="inlineStr">
        <is>
          <t>183</t>
        </is>
      </c>
      <c r="B184" s="19" t="inlineStr">
        <is>
          <t>SC-1014687-ST-024-EUR-04</t>
        </is>
      </c>
      <c r="C184" t="inlineStr">
        <is>
          <t>1014687 → ST-024-EUR-04</t>
        </is>
      </c>
      <c r="D184" s="19" t="inlineStr">
        <is>
          <t>2</t>
        </is>
      </c>
      <c r="E184" s="19" t="inlineStr">
        <is>
          <t>1539</t>
        </is>
      </c>
      <c r="F184" s="19" t="inlineStr">
        <is>
          <t>29</t>
        </is>
      </c>
      <c r="G184" s="19" t="n"/>
      <c r="H184" s="19" t="inlineStr">
        <is>
          <t>2</t>
        </is>
      </c>
      <c r="I184" s="19" t="n"/>
      <c r="J184" s="19" t="n"/>
      <c r="K184" s="19" t="inlineStr">
        <is>
          <t>2</t>
        </is>
      </c>
      <c r="L184" t="inlineStr">
        <is>
          <t>2026-08-08</t>
        </is>
      </c>
      <c r="N184" t="inlineStr">
        <is>
          <t>IN_SCOPE_FINAL; SOURCE_CFG=IA-ST-CFG-0039; MARKET=None; STATUS=IN OEM / EU PACKAGE</t>
        </is>
      </c>
      <c r="O184" t="inlineStr">
        <is>
          <t>2026-08-10T19:29:54Z</t>
        </is>
      </c>
      <c r="P184" t="inlineStr">
        <is>
          <t>2026-08-10T19:29:54Z</t>
        </is>
      </c>
    </row>
    <row r="185">
      <c r="A185" s="19" t="inlineStr">
        <is>
          <t>184</t>
        </is>
      </c>
      <c r="B185" s="19" t="inlineStr">
        <is>
          <t>SC-1014861-ST-024-EUR-04</t>
        </is>
      </c>
      <c r="C185" t="inlineStr">
        <is>
          <t>1014861 → ST-024-EUR-04</t>
        </is>
      </c>
      <c r="D185" s="19" t="inlineStr">
        <is>
          <t>2</t>
        </is>
      </c>
      <c r="E185" s="19" t="inlineStr">
        <is>
          <t>1644</t>
        </is>
      </c>
      <c r="F185" s="19" t="inlineStr">
        <is>
          <t>29</t>
        </is>
      </c>
      <c r="G185" s="19" t="n"/>
      <c r="H185" s="19" t="inlineStr">
        <is>
          <t>2</t>
        </is>
      </c>
      <c r="I185" s="19" t="n"/>
      <c r="J185" s="19" t="n"/>
      <c r="K185" s="19" t="inlineStr">
        <is>
          <t>2</t>
        </is>
      </c>
      <c r="L185" t="inlineStr">
        <is>
          <t>2026-08-08</t>
        </is>
      </c>
      <c r="N185" t="inlineStr">
        <is>
          <t>IN_SCOPE_FINAL; SOURCE_CFG=IA-ST-CFG-0039; MARKET=ALEX ARABATZIS BSA(YUNANİSTAN); STATUS=IN OEM / EU PACKAGE</t>
        </is>
      </c>
      <c r="O185" t="inlineStr">
        <is>
          <t>2026-08-10T19:29:54Z</t>
        </is>
      </c>
      <c r="P185" t="inlineStr">
        <is>
          <t>2026-08-10T19:29:54Z</t>
        </is>
      </c>
    </row>
    <row r="186">
      <c r="A186" s="19" t="inlineStr">
        <is>
          <t>185</t>
        </is>
      </c>
      <c r="B186" s="19" t="inlineStr">
        <is>
          <t>SC-1014862-ST-024-EUR-04</t>
        </is>
      </c>
      <c r="C186" t="inlineStr">
        <is>
          <t>1014862 → ST-024-EUR-04</t>
        </is>
      </c>
      <c r="D186" s="19" t="inlineStr">
        <is>
          <t>2</t>
        </is>
      </c>
      <c r="E186" s="19" t="inlineStr">
        <is>
          <t>1645</t>
        </is>
      </c>
      <c r="F186" s="19" t="inlineStr">
        <is>
          <t>29</t>
        </is>
      </c>
      <c r="G186" s="19" t="n"/>
      <c r="H186" s="19" t="inlineStr">
        <is>
          <t>2</t>
        </is>
      </c>
      <c r="I186" s="19" t="n"/>
      <c r="J186" s="19" t="n"/>
      <c r="K186" s="19" t="inlineStr">
        <is>
          <t>2</t>
        </is>
      </c>
      <c r="L186" t="inlineStr">
        <is>
          <t>2026-08-08</t>
        </is>
      </c>
      <c r="N186" t="inlineStr">
        <is>
          <t>IN_SCOPE_FINAL; SOURCE_CFG=IA-ST-CFG-0039; MARKET=ALEX ARABATZIS BSA(YUNANİSTAN); STATUS=IN OEM / EU PACKAGE</t>
        </is>
      </c>
      <c r="O186" t="inlineStr">
        <is>
          <t>2026-08-10T19:29:54Z</t>
        </is>
      </c>
      <c r="P186" t="inlineStr">
        <is>
          <t>2026-08-10T19:29:54Z</t>
        </is>
      </c>
    </row>
    <row r="187">
      <c r="A187" s="19" t="inlineStr">
        <is>
          <t>186</t>
        </is>
      </c>
      <c r="B187" s="19" t="inlineStr">
        <is>
          <t>SC-1014945-ST-024-EUR-04</t>
        </is>
      </c>
      <c r="C187" t="inlineStr">
        <is>
          <t>1014945 → ST-024-EUR-04</t>
        </is>
      </c>
      <c r="D187" s="19" t="inlineStr">
        <is>
          <t>2</t>
        </is>
      </c>
      <c r="E187" s="19" t="inlineStr">
        <is>
          <t>1712</t>
        </is>
      </c>
      <c r="F187" s="19" t="inlineStr">
        <is>
          <t>29</t>
        </is>
      </c>
      <c r="G187" s="19" t="n"/>
      <c r="H187" s="19" t="inlineStr">
        <is>
          <t>2</t>
        </is>
      </c>
      <c r="I187" s="19" t="n"/>
      <c r="J187" s="19" t="n"/>
      <c r="K187" s="19" t="inlineStr">
        <is>
          <t>2</t>
        </is>
      </c>
      <c r="L187" t="inlineStr">
        <is>
          <t>2026-08-08</t>
        </is>
      </c>
      <c r="N187" t="inlineStr">
        <is>
          <t>IN_SCOPE_FINAL; SOURCE_CFG=IA-ST-CFG-0039; MARKET=ALEX ARABATZIS BSA(YUNANİSTAN); STATUS=IN OEM / EU PACKAGE</t>
        </is>
      </c>
      <c r="O187" t="inlineStr">
        <is>
          <t>2026-08-10T19:29:54Z</t>
        </is>
      </c>
      <c r="P187" t="inlineStr">
        <is>
          <t>2026-08-10T19:29:54Z</t>
        </is>
      </c>
    </row>
    <row r="188">
      <c r="A188" s="19" t="inlineStr">
        <is>
          <t>187</t>
        </is>
      </c>
      <c r="B188" s="19" t="inlineStr">
        <is>
          <t>SC-1015035-ST-024-EUR-04</t>
        </is>
      </c>
      <c r="C188" t="inlineStr">
        <is>
          <t>1015035 → ST-024-EUR-04</t>
        </is>
      </c>
      <c r="D188" s="19" t="inlineStr">
        <is>
          <t>2</t>
        </is>
      </c>
      <c r="E188" s="19" t="inlineStr">
        <is>
          <t>1795</t>
        </is>
      </c>
      <c r="F188" s="19" t="inlineStr">
        <is>
          <t>29</t>
        </is>
      </c>
      <c r="G188" s="19" t="n"/>
      <c r="H188" s="19" t="inlineStr">
        <is>
          <t>2</t>
        </is>
      </c>
      <c r="I188" s="19" t="n"/>
      <c r="J188" s="19" t="n"/>
      <c r="K188" s="19" t="inlineStr">
        <is>
          <t>2</t>
        </is>
      </c>
      <c r="L188" t="inlineStr">
        <is>
          <t>2026-08-08</t>
        </is>
      </c>
      <c r="N188" t="inlineStr">
        <is>
          <t>IN_SCOPE_FINAL; SOURCE_CFG=IA-ST-CFG-0039; MARKET=ALEX ARABATZIS BSA(YUNANİSTAN); STATUS=IN OEM / EU PACKAGE</t>
        </is>
      </c>
      <c r="O188" t="inlineStr">
        <is>
          <t>2026-08-10T19:29:54Z</t>
        </is>
      </c>
      <c r="P188" t="inlineStr">
        <is>
          <t>2026-08-10T19:29:54Z</t>
        </is>
      </c>
    </row>
    <row r="189">
      <c r="A189" s="19" t="inlineStr">
        <is>
          <t>188</t>
        </is>
      </c>
      <c r="B189" s="19" t="inlineStr">
        <is>
          <t>SC-1015130-ST-024-EUR-04</t>
        </is>
      </c>
      <c r="C189" t="inlineStr">
        <is>
          <t>1015130 → ST-024-EUR-04</t>
        </is>
      </c>
      <c r="D189" s="19" t="inlineStr">
        <is>
          <t>2</t>
        </is>
      </c>
      <c r="E189" s="19" t="inlineStr">
        <is>
          <t>1879</t>
        </is>
      </c>
      <c r="F189" s="19" t="inlineStr">
        <is>
          <t>29</t>
        </is>
      </c>
      <c r="G189" s="19" t="n"/>
      <c r="H189" s="19" t="inlineStr">
        <is>
          <t>2</t>
        </is>
      </c>
      <c r="I189" s="19" t="n"/>
      <c r="J189" s="19" t="n"/>
      <c r="K189" s="19" t="inlineStr">
        <is>
          <t>2</t>
        </is>
      </c>
      <c r="L189" t="inlineStr">
        <is>
          <t>2026-08-08</t>
        </is>
      </c>
      <c r="N189" t="inlineStr">
        <is>
          <t>IN_SCOPE_FINAL; SOURCE_CFG=IA-ST-CFG-0039; MARKET=BOOSTER; STATUS=IN OEM / EU PACKAGE</t>
        </is>
      </c>
      <c r="O189" t="inlineStr">
        <is>
          <t>2026-08-10T19:29:54Z</t>
        </is>
      </c>
      <c r="P189" t="inlineStr">
        <is>
          <t>2026-08-10T19:29:54Z</t>
        </is>
      </c>
    </row>
    <row r="190">
      <c r="A190" s="19" t="inlineStr">
        <is>
          <t>189</t>
        </is>
      </c>
      <c r="B190" s="19" t="inlineStr">
        <is>
          <t>SC-1007017-ST-024-EUR-04</t>
        </is>
      </c>
      <c r="C190" t="inlineStr">
        <is>
          <t>1007017 → ST-024-EUR-04</t>
        </is>
      </c>
      <c r="D190" s="19" t="inlineStr">
        <is>
          <t>2</t>
        </is>
      </c>
      <c r="E190" s="19" t="inlineStr">
        <is>
          <t>66</t>
        </is>
      </c>
      <c r="F190" s="19" t="inlineStr">
        <is>
          <t>29</t>
        </is>
      </c>
      <c r="G190" s="19" t="n"/>
      <c r="H190" s="19" t="inlineStr">
        <is>
          <t>2</t>
        </is>
      </c>
      <c r="I190" s="19" t="n"/>
      <c r="J190" s="19" t="n"/>
      <c r="K190" s="19" t="inlineStr">
        <is>
          <t>2</t>
        </is>
      </c>
      <c r="L190" t="inlineStr">
        <is>
          <t>2026-08-08</t>
        </is>
      </c>
      <c r="N190" t="inlineStr">
        <is>
          <t>IN_SCOPE_FINAL; SOURCE_CFG=IA-ST-CFG-0039; MARKET=TEKSAN (Yurt İçi); STATUS=IN OEM / EU PACKAGE</t>
        </is>
      </c>
      <c r="O190" t="inlineStr">
        <is>
          <t>2026-08-10T19:29:54Z</t>
        </is>
      </c>
      <c r="P190" t="inlineStr">
        <is>
          <t>2026-08-10T19:29:54Z</t>
        </is>
      </c>
    </row>
    <row r="191">
      <c r="A191" s="19" t="inlineStr">
        <is>
          <t>190</t>
        </is>
      </c>
      <c r="B191" s="19" t="inlineStr">
        <is>
          <t>SC-1011307-ST-024-EUR-04</t>
        </is>
      </c>
      <c r="C191" t="inlineStr">
        <is>
          <t>1011307 → ST-024-EUR-04</t>
        </is>
      </c>
      <c r="D191" s="19" t="inlineStr">
        <is>
          <t>2</t>
        </is>
      </c>
      <c r="E191" s="19" t="inlineStr">
        <is>
          <t>294</t>
        </is>
      </c>
      <c r="F191" s="19" t="inlineStr">
        <is>
          <t>29</t>
        </is>
      </c>
      <c r="G191" s="19" t="n"/>
      <c r="H191" s="19" t="inlineStr">
        <is>
          <t>2</t>
        </is>
      </c>
      <c r="I191" s="19" t="n"/>
      <c r="J191" s="19" t="n"/>
      <c r="K191" s="19" t="inlineStr">
        <is>
          <t>2</t>
        </is>
      </c>
      <c r="L191" t="inlineStr">
        <is>
          <t>2026-08-08</t>
        </is>
      </c>
      <c r="N191" t="inlineStr">
        <is>
          <t>IN_SCOPE_FINAL; SOURCE_CFG=IA-ST-CFG-0039; MARKET=START TRADING BULGARİSTAN; STATUS=IN OEM / EU PACKAGE</t>
        </is>
      </c>
      <c r="O191" t="inlineStr">
        <is>
          <t>2026-08-10T19:29:54Z</t>
        </is>
      </c>
      <c r="P191" t="inlineStr">
        <is>
          <t>2026-08-10T19:29:54Z</t>
        </is>
      </c>
    </row>
    <row r="192">
      <c r="A192" s="19" t="inlineStr">
        <is>
          <t>191</t>
        </is>
      </c>
      <c r="B192" s="19" t="inlineStr">
        <is>
          <t>SC-1014816-ST-027-STD90-01</t>
        </is>
      </c>
      <c r="C192" t="inlineStr">
        <is>
          <t>1014816 → ST-027-STD90-01</t>
        </is>
      </c>
      <c r="D192" s="19" t="inlineStr">
        <is>
          <t>2</t>
        </is>
      </c>
      <c r="E192" s="19" t="inlineStr">
        <is>
          <t>1621</t>
        </is>
      </c>
      <c r="F192" s="19" t="inlineStr">
        <is>
          <t>31</t>
        </is>
      </c>
      <c r="G192" s="19" t="n"/>
      <c r="H192" s="19" t="inlineStr">
        <is>
          <t>2</t>
        </is>
      </c>
      <c r="I192" s="19" t="n"/>
      <c r="J192" s="19" t="n"/>
      <c r="K192" s="19" t="inlineStr">
        <is>
          <t>2</t>
        </is>
      </c>
      <c r="L192" t="inlineStr">
        <is>
          <t>2026-08-08</t>
        </is>
      </c>
      <c r="N192" t="inlineStr">
        <is>
          <t>IN_SCOPE_FINAL; SOURCE_CFG=IA-ST-CFG-0043; MARKET=None; STATUS=IN OEM / EU PACKAGE</t>
        </is>
      </c>
      <c r="O192" t="inlineStr">
        <is>
          <t>2026-08-10T19:29:54Z</t>
        </is>
      </c>
      <c r="P192" t="inlineStr">
        <is>
          <t>2026-08-10T19:29:54Z</t>
        </is>
      </c>
    </row>
    <row r="193">
      <c r="A193" s="19" t="inlineStr">
        <is>
          <t>192</t>
        </is>
      </c>
      <c r="B193" s="19" t="inlineStr">
        <is>
          <t>SC-1010170-ST-027-STD90-02</t>
        </is>
      </c>
      <c r="C193" t="inlineStr">
        <is>
          <t>1010170 → ST-027-STD90-02</t>
        </is>
      </c>
      <c r="D193" s="19" t="inlineStr">
        <is>
          <t>2</t>
        </is>
      </c>
      <c r="E193" s="19" t="inlineStr">
        <is>
          <t>165</t>
        </is>
      </c>
      <c r="F193" s="19" t="inlineStr">
        <is>
          <t>32</t>
        </is>
      </c>
      <c r="G193" s="19" t="n"/>
      <c r="H193" s="19" t="inlineStr">
        <is>
          <t>2</t>
        </is>
      </c>
      <c r="I193" s="19" t="n"/>
      <c r="J193" s="19" t="n"/>
      <c r="K193" s="19" t="inlineStr">
        <is>
          <t>2</t>
        </is>
      </c>
      <c r="L193" t="inlineStr">
        <is>
          <t>2026-08-08</t>
        </is>
      </c>
      <c r="N193" t="inlineStr">
        <is>
          <t>IN_SCOPE_FINAL; SOURCE_CFG=IA-ST-CFG-0044; MARKET=YURT İÇİ AFM; STATUS=IN OEM / EU PACKAGE</t>
        </is>
      </c>
      <c r="O193" t="inlineStr">
        <is>
          <t>2026-08-10T19:29:54Z</t>
        </is>
      </c>
      <c r="P193" t="inlineStr">
        <is>
          <t>2026-08-10T19:29:54Z</t>
        </is>
      </c>
    </row>
    <row r="194">
      <c r="A194" s="19" t="inlineStr">
        <is>
          <t>193</t>
        </is>
      </c>
      <c r="B194" s="19" t="inlineStr">
        <is>
          <t>SC-1014315-ST-028-STD-01</t>
        </is>
      </c>
      <c r="C194" t="inlineStr">
        <is>
          <t>1014315 → ST-028-STD-01</t>
        </is>
      </c>
      <c r="D194" s="19" t="inlineStr">
        <is>
          <t>2</t>
        </is>
      </c>
      <c r="E194" s="19" t="inlineStr">
        <is>
          <t>1302</t>
        </is>
      </c>
      <c r="F194" s="19" t="inlineStr">
        <is>
          <t>33</t>
        </is>
      </c>
      <c r="G194" s="19" t="n"/>
      <c r="H194" s="19" t="inlineStr">
        <is>
          <t>2</t>
        </is>
      </c>
      <c r="I194" s="19" t="n"/>
      <c r="J194" s="19" t="n"/>
      <c r="K194" s="19" t="inlineStr">
        <is>
          <t>2</t>
        </is>
      </c>
      <c r="L194" t="inlineStr">
        <is>
          <t>2026-08-08</t>
        </is>
      </c>
      <c r="N194" t="inlineStr">
        <is>
          <t>IN_SCOPE_FINAL; SOURCE_CFG=IA-ST-CFG-0045; MARKET=YUASA 9000 AGM EXPORT; STATUS=IN OEM / EU PACKAGE</t>
        </is>
      </c>
      <c r="O194" t="inlineStr">
        <is>
          <t>2026-08-10T19:29:54Z</t>
        </is>
      </c>
      <c r="P194" t="inlineStr">
        <is>
          <t>2026-08-10T19:29:54Z</t>
        </is>
      </c>
    </row>
    <row r="195">
      <c r="A195" s="19" t="inlineStr">
        <is>
          <t>194</t>
        </is>
      </c>
      <c r="B195" s="19" t="inlineStr">
        <is>
          <t>SC-1014314-ST-030-STD-01</t>
        </is>
      </c>
      <c r="C195" t="inlineStr">
        <is>
          <t>1014314 → ST-030-STD-01</t>
        </is>
      </c>
      <c r="D195" s="19" t="inlineStr">
        <is>
          <t>2</t>
        </is>
      </c>
      <c r="E195" s="19" t="inlineStr">
        <is>
          <t>1301</t>
        </is>
      </c>
      <c r="F195" s="19" t="inlineStr">
        <is>
          <t>34</t>
        </is>
      </c>
      <c r="G195" s="19" t="n"/>
      <c r="H195" s="19" t="inlineStr">
        <is>
          <t>2</t>
        </is>
      </c>
      <c r="I195" s="19" t="n"/>
      <c r="J195" s="19" t="n"/>
      <c r="K195" s="19" t="inlineStr">
        <is>
          <t>2</t>
        </is>
      </c>
      <c r="L195" t="inlineStr">
        <is>
          <t>2026-08-08</t>
        </is>
      </c>
      <c r="N195" t="inlineStr">
        <is>
          <t>IN_SCOPE_FINAL; SOURCE_CFG=IA-ST-CFG-0046; MARKET=YUASA 9000 AGM EXPORT; STATUS=IN OEM / EU PACKAGE</t>
        </is>
      </c>
      <c r="O195" t="inlineStr">
        <is>
          <t>2026-08-10T19:29:54Z</t>
        </is>
      </c>
      <c r="P195" t="inlineStr">
        <is>
          <t>2026-08-10T19:29:54Z</t>
        </is>
      </c>
    </row>
    <row r="196">
      <c r="A196" s="19" t="inlineStr">
        <is>
          <t>195</t>
        </is>
      </c>
      <c r="B196" s="19" t="inlineStr">
        <is>
          <t>SC-1014374-ST-030-STD-02</t>
        </is>
      </c>
      <c r="C196" t="inlineStr">
        <is>
          <t>1014374 → ST-030-STD-02</t>
        </is>
      </c>
      <c r="D196" s="19" t="inlineStr">
        <is>
          <t>2</t>
        </is>
      </c>
      <c r="E196" s="19" t="inlineStr">
        <is>
          <t>1330</t>
        </is>
      </c>
      <c r="F196" s="19" t="inlineStr">
        <is>
          <t>35</t>
        </is>
      </c>
      <c r="G196" s="19" t="n"/>
      <c r="H196" s="19" t="inlineStr">
        <is>
          <t>2</t>
        </is>
      </c>
      <c r="I196" s="19" t="n"/>
      <c r="J196" s="19" t="n"/>
      <c r="K196" s="19" t="inlineStr">
        <is>
          <t>2</t>
        </is>
      </c>
      <c r="L196" t="inlineStr">
        <is>
          <t>2026-08-08</t>
        </is>
      </c>
      <c r="N196" t="inlineStr">
        <is>
          <t>IN_SCOPE_FINAL; SOURCE_CFG=IA-ST-CFG-0047; MARKET=YURT İÇİ AFM; STATUS=IN OEM / EU PACKAGE</t>
        </is>
      </c>
      <c r="O196" t="inlineStr">
        <is>
          <t>2026-08-10T19:29:54Z</t>
        </is>
      </c>
      <c r="P196" t="inlineStr">
        <is>
          <t>2026-08-10T19:29:54Z</t>
        </is>
      </c>
    </row>
    <row r="197">
      <c r="A197" s="19" t="inlineStr">
        <is>
          <t>196</t>
        </is>
      </c>
      <c r="B197" s="19" t="inlineStr">
        <is>
          <t>SC-1014782-ST-030-STD-02</t>
        </is>
      </c>
      <c r="C197" t="inlineStr">
        <is>
          <t>1014782 → ST-030-STD-02</t>
        </is>
      </c>
      <c r="D197" s="19" t="inlineStr">
        <is>
          <t>2</t>
        </is>
      </c>
      <c r="E197" s="19" t="inlineStr">
        <is>
          <t>1604</t>
        </is>
      </c>
      <c r="F197" s="19" t="inlineStr">
        <is>
          <t>35</t>
        </is>
      </c>
      <c r="G197" s="19" t="n"/>
      <c r="H197" s="19" t="inlineStr">
        <is>
          <t>2</t>
        </is>
      </c>
      <c r="I197" s="19" t="n"/>
      <c r="J197" s="19" t="n"/>
      <c r="K197" s="19" t="inlineStr">
        <is>
          <t>2</t>
        </is>
      </c>
      <c r="L197" t="inlineStr">
        <is>
          <t>2026-08-08</t>
        </is>
      </c>
      <c r="N197" t="inlineStr">
        <is>
          <t>IN_SCOPE_FINAL; SOURCE_CFG=IA-ST-CFG-0047; MARKET=YURT İÇİ AFM; STATUS=IN OEM / EU PACKAGE</t>
        </is>
      </c>
      <c r="O197" t="inlineStr">
        <is>
          <t>2026-08-10T19:29:54Z</t>
        </is>
      </c>
      <c r="P197" t="inlineStr">
        <is>
          <t>2026-08-10T19:29:54Z</t>
        </is>
      </c>
    </row>
    <row r="198">
      <c r="A198" s="19" t="inlineStr">
        <is>
          <t>197</t>
        </is>
      </c>
      <c r="B198" s="19" t="inlineStr">
        <is>
          <t>SC-1014375-ST-030-STD-03</t>
        </is>
      </c>
      <c r="C198" t="inlineStr">
        <is>
          <t>1014375 → ST-030-STD-03</t>
        </is>
      </c>
      <c r="D198" s="19" t="inlineStr">
        <is>
          <t>2</t>
        </is>
      </c>
      <c r="E198" s="19" t="inlineStr">
        <is>
          <t>1331</t>
        </is>
      </c>
      <c r="F198" s="19" t="inlineStr">
        <is>
          <t>36</t>
        </is>
      </c>
      <c r="G198" s="19" t="n"/>
      <c r="H198" s="19" t="inlineStr">
        <is>
          <t>2</t>
        </is>
      </c>
      <c r="I198" s="19" t="n"/>
      <c r="J198" s="19" t="n"/>
      <c r="K198" s="19" t="inlineStr">
        <is>
          <t>2</t>
        </is>
      </c>
      <c r="L198" t="inlineStr">
        <is>
          <t>2026-08-08</t>
        </is>
      </c>
      <c r="N198" t="inlineStr">
        <is>
          <t>IN_SCOPE_FINAL; SOURCE_CFG=IA-ST-CFG-0048; MARKET=YURT İÇİ AFM; STATUS=IN OEM / EU PACKAGE</t>
        </is>
      </c>
      <c r="O198" t="inlineStr">
        <is>
          <t>2026-08-10T19:29:54Z</t>
        </is>
      </c>
      <c r="P198" t="inlineStr">
        <is>
          <t>2026-08-10T19:29:54Z</t>
        </is>
      </c>
    </row>
    <row r="199">
      <c r="A199" s="19" t="inlineStr">
        <is>
          <t>198</t>
        </is>
      </c>
      <c r="B199" s="19" t="inlineStr">
        <is>
          <t>SC-1014783-ST-030-STD-03</t>
        </is>
      </c>
      <c r="C199" t="inlineStr">
        <is>
          <t>1014783 → ST-030-STD-03</t>
        </is>
      </c>
      <c r="D199" s="19" t="inlineStr">
        <is>
          <t>2</t>
        </is>
      </c>
      <c r="E199" s="19" t="inlineStr">
        <is>
          <t>1605</t>
        </is>
      </c>
      <c r="F199" s="19" t="inlineStr">
        <is>
          <t>36</t>
        </is>
      </c>
      <c r="G199" s="19" t="n"/>
      <c r="H199" s="19" t="inlineStr">
        <is>
          <t>2</t>
        </is>
      </c>
      <c r="I199" s="19" t="n"/>
      <c r="J199" s="19" t="n"/>
      <c r="K199" s="19" t="inlineStr">
        <is>
          <t>2</t>
        </is>
      </c>
      <c r="L199" t="inlineStr">
        <is>
          <t>2026-08-08</t>
        </is>
      </c>
      <c r="N199" t="inlineStr">
        <is>
          <t>IN_SCOPE_FINAL; SOURCE_CFG=IA-ST-CFG-0048; MARKET=YURT İÇİ AFM; STATUS=IN OEM / EU PACKAGE</t>
        </is>
      </c>
      <c r="O199" t="inlineStr">
        <is>
          <t>2026-08-10T19:29:54Z</t>
        </is>
      </c>
      <c r="P199" t="inlineStr">
        <is>
          <t>2026-08-10T19:29:54Z</t>
        </is>
      </c>
    </row>
    <row r="200">
      <c r="A200" s="19" t="inlineStr">
        <is>
          <t>199</t>
        </is>
      </c>
      <c r="B200" s="19" t="inlineStr">
        <is>
          <t>SC-1014727-ST-030-STD-04</t>
        </is>
      </c>
      <c r="C200" t="inlineStr">
        <is>
          <t>1014727 → ST-030-STD-04</t>
        </is>
      </c>
      <c r="D200" s="19" t="inlineStr">
        <is>
          <t>2</t>
        </is>
      </c>
      <c r="E200" s="19" t="inlineStr">
        <is>
          <t>1567</t>
        </is>
      </c>
      <c r="F200" s="19" t="inlineStr">
        <is>
          <t>37</t>
        </is>
      </c>
      <c r="G200" s="19" t="n"/>
      <c r="H200" s="19" t="inlineStr">
        <is>
          <t>2</t>
        </is>
      </c>
      <c r="I200" s="19" t="n"/>
      <c r="J200" s="19" t="n"/>
      <c r="K200" s="19" t="inlineStr">
        <is>
          <t>2</t>
        </is>
      </c>
      <c r="L200" t="inlineStr">
        <is>
          <t>2026-08-08</t>
        </is>
      </c>
      <c r="N200" t="inlineStr">
        <is>
          <t>IN_SCOPE_FINAL; SOURCE_CFG=IA-ST-CFG-0049; MARKET=None; STATUS=IN OEM / EU PACKAGE</t>
        </is>
      </c>
      <c r="O200" t="inlineStr">
        <is>
          <t>2026-08-10T19:29:54Z</t>
        </is>
      </c>
      <c r="P200" t="inlineStr">
        <is>
          <t>2026-08-10T19:29:54Z</t>
        </is>
      </c>
    </row>
    <row r="201">
      <c r="A201" s="19" t="inlineStr">
        <is>
          <t>200</t>
        </is>
      </c>
      <c r="B201" s="19" t="inlineStr">
        <is>
          <t>SC-1015310-ST-030-STD-04</t>
        </is>
      </c>
      <c r="C201" t="inlineStr">
        <is>
          <t>1015310 → ST-030-STD-04</t>
        </is>
      </c>
      <c r="D201" s="19" t="inlineStr">
        <is>
          <t>2</t>
        </is>
      </c>
      <c r="E201" s="19" t="inlineStr">
        <is>
          <t>2031</t>
        </is>
      </c>
      <c r="F201" s="19" t="inlineStr">
        <is>
          <t>37</t>
        </is>
      </c>
      <c r="G201" s="19" t="n"/>
      <c r="H201" s="19" t="inlineStr">
        <is>
          <t>2</t>
        </is>
      </c>
      <c r="I201" s="19" t="n"/>
      <c r="J201" s="19" t="n"/>
      <c r="K201" s="19" t="inlineStr">
        <is>
          <t>2</t>
        </is>
      </c>
      <c r="L201" t="inlineStr">
        <is>
          <t>2026-08-08</t>
        </is>
      </c>
      <c r="N201" t="inlineStr">
        <is>
          <t>IN_SCOPE_FINAL; SOURCE_CFG=IA-ST-CFG-0049; MARKET=None; STATUS=IN OEM / EU PACKAGE</t>
        </is>
      </c>
      <c r="O201" t="inlineStr">
        <is>
          <t>2026-08-10T19:29:54Z</t>
        </is>
      </c>
      <c r="P201" t="inlineStr">
        <is>
          <t>2026-08-10T19:29:54Z</t>
        </is>
      </c>
    </row>
    <row r="202">
      <c r="A202" s="19" t="inlineStr">
        <is>
          <t>201</t>
        </is>
      </c>
      <c r="B202" s="19" t="inlineStr">
        <is>
          <t>SC-1015014-ST-030-STD-05</t>
        </is>
      </c>
      <c r="C202" t="inlineStr">
        <is>
          <t>1015014 → ST-030-STD-05</t>
        </is>
      </c>
      <c r="D202" s="19" t="inlineStr">
        <is>
          <t>2</t>
        </is>
      </c>
      <c r="E202" s="19" t="inlineStr">
        <is>
          <t>1774</t>
        </is>
      </c>
      <c r="F202" s="19" t="inlineStr">
        <is>
          <t>38</t>
        </is>
      </c>
      <c r="G202" s="19" t="n"/>
      <c r="H202" s="19" t="inlineStr">
        <is>
          <t>2</t>
        </is>
      </c>
      <c r="I202" s="19" t="n"/>
      <c r="J202" s="19" t="n"/>
      <c r="K202" s="19" t="inlineStr">
        <is>
          <t>2</t>
        </is>
      </c>
      <c r="L202" t="inlineStr">
        <is>
          <t>2026-08-08</t>
        </is>
      </c>
      <c r="N202" t="inlineStr">
        <is>
          <t>IN_SCOPE_FINAL; SOURCE_CFG=IA-ST-CFG-0051; MARKET=RAYA ENERGY INC. KANADA; STATUS=IN OEM / EU PACKAGE</t>
        </is>
      </c>
      <c r="O202" t="inlineStr">
        <is>
          <t>2026-08-10T19:29:54Z</t>
        </is>
      </c>
      <c r="P202" t="inlineStr">
        <is>
          <t>2026-08-10T19:29:54Z</t>
        </is>
      </c>
    </row>
    <row r="203">
      <c r="A203" s="19" t="inlineStr">
        <is>
          <t>202</t>
        </is>
      </c>
      <c r="B203" s="19" t="inlineStr">
        <is>
          <t>SC-1000890-ST-030-STD-05</t>
        </is>
      </c>
      <c r="C203" t="inlineStr">
        <is>
          <t>1000890 → ST-030-STD-05</t>
        </is>
      </c>
      <c r="D203" s="19" t="inlineStr">
        <is>
          <t>2</t>
        </is>
      </c>
      <c r="E203" s="19" t="inlineStr">
        <is>
          <t>6</t>
        </is>
      </c>
      <c r="F203" s="19" t="inlineStr">
        <is>
          <t>38</t>
        </is>
      </c>
      <c r="G203" s="19" t="n"/>
      <c r="H203" s="19" t="inlineStr">
        <is>
          <t>2</t>
        </is>
      </c>
      <c r="I203" s="19" t="n"/>
      <c r="J203" s="19" t="n"/>
      <c r="K203" s="19" t="inlineStr">
        <is>
          <t>2</t>
        </is>
      </c>
      <c r="L203" t="inlineStr">
        <is>
          <t>2026-08-08</t>
        </is>
      </c>
      <c r="N203" t="inlineStr">
        <is>
          <t>IN_SCOPE_FINAL; SOURCE_CFG=IA-ST-CFG-0051; MARKET=None; STATUS=IN OEM / EU PACKAGE</t>
        </is>
      </c>
      <c r="O203" t="inlineStr">
        <is>
          <t>2026-08-10T19:29:54Z</t>
        </is>
      </c>
      <c r="P203" t="inlineStr">
        <is>
          <t>2026-08-10T19:29:54Z</t>
        </is>
      </c>
    </row>
    <row r="204">
      <c r="A204" s="19" t="inlineStr">
        <is>
          <t>203</t>
        </is>
      </c>
      <c r="B204" s="19" t="inlineStr">
        <is>
          <t>SC-1002873-ST-030-STD-05</t>
        </is>
      </c>
      <c r="C204" t="inlineStr">
        <is>
          <t>1002873 → ST-030-STD-05</t>
        </is>
      </c>
      <c r="D204" s="19" t="inlineStr">
        <is>
          <t>2</t>
        </is>
      </c>
      <c r="E204" s="19" t="inlineStr">
        <is>
          <t>12</t>
        </is>
      </c>
      <c r="F204" s="19" t="inlineStr">
        <is>
          <t>38</t>
        </is>
      </c>
      <c r="G204" s="19" t="n"/>
      <c r="H204" s="19" t="inlineStr">
        <is>
          <t>2</t>
        </is>
      </c>
      <c r="I204" s="19" t="n"/>
      <c r="J204" s="19" t="n"/>
      <c r="K204" s="19" t="inlineStr">
        <is>
          <t>2</t>
        </is>
      </c>
      <c r="L204" t="inlineStr">
        <is>
          <t>2026-08-08</t>
        </is>
      </c>
      <c r="N204" t="inlineStr">
        <is>
          <t>IN_SCOPE_FINAL; SOURCE_CFG=IA-ST-CFG-0051; MARKET=None; STATUS=IN OEM / EU PACKAGE</t>
        </is>
      </c>
      <c r="O204" t="inlineStr">
        <is>
          <t>2026-08-10T19:29:54Z</t>
        </is>
      </c>
      <c r="P204" t="inlineStr">
        <is>
          <t>2026-08-10T19:29:54Z</t>
        </is>
      </c>
    </row>
    <row r="205">
      <c r="A205" s="19" t="inlineStr">
        <is>
          <t>204</t>
        </is>
      </c>
      <c r="B205" s="19" t="inlineStr">
        <is>
          <t>SC-1003150-ST-030-STD-05</t>
        </is>
      </c>
      <c r="C205" t="inlineStr">
        <is>
          <t>1003150 → ST-030-STD-05</t>
        </is>
      </c>
      <c r="D205" s="19" t="inlineStr">
        <is>
          <t>2</t>
        </is>
      </c>
      <c r="E205" s="19" t="inlineStr">
        <is>
          <t>13</t>
        </is>
      </c>
      <c r="F205" s="19" t="inlineStr">
        <is>
          <t>38</t>
        </is>
      </c>
      <c r="G205" s="19" t="n"/>
      <c r="H205" s="19" t="inlineStr">
        <is>
          <t>2</t>
        </is>
      </c>
      <c r="I205" s="19" t="n"/>
      <c r="J205" s="19" t="n"/>
      <c r="K205" s="19" t="inlineStr">
        <is>
          <t>2</t>
        </is>
      </c>
      <c r="L205" t="inlineStr">
        <is>
          <t>2026-08-08</t>
        </is>
      </c>
      <c r="N205" t="inlineStr">
        <is>
          <t>IN_SCOPE_FINAL; SOURCE_CFG=IA-ST-CFG-0051; MARKET=None; STATUS=IN OEM / EU PACKAGE</t>
        </is>
      </c>
      <c r="O205" t="inlineStr">
        <is>
          <t>2026-08-10T19:29:54Z</t>
        </is>
      </c>
      <c r="P205" t="inlineStr">
        <is>
          <t>2026-08-10T19:29:54Z</t>
        </is>
      </c>
    </row>
    <row r="206">
      <c r="A206" s="19" t="inlineStr">
        <is>
          <t>205</t>
        </is>
      </c>
      <c r="B206" s="19" t="inlineStr">
        <is>
          <t>SC-1003341-ST-030-STD-05</t>
        </is>
      </c>
      <c r="C206" t="inlineStr">
        <is>
          <t>1003341 → ST-030-STD-05</t>
        </is>
      </c>
      <c r="D206" s="19" t="inlineStr">
        <is>
          <t>2</t>
        </is>
      </c>
      <c r="E206" s="19" t="inlineStr">
        <is>
          <t>17</t>
        </is>
      </c>
      <c r="F206" s="19" t="inlineStr">
        <is>
          <t>38</t>
        </is>
      </c>
      <c r="G206" s="19" t="n"/>
      <c r="H206" s="19" t="inlineStr">
        <is>
          <t>2</t>
        </is>
      </c>
      <c r="I206" s="19" t="n"/>
      <c r="J206" s="19" t="n"/>
      <c r="K206" s="19" t="inlineStr">
        <is>
          <t>2</t>
        </is>
      </c>
      <c r="L206" t="inlineStr">
        <is>
          <t>2026-08-08</t>
        </is>
      </c>
      <c r="N206" t="inlineStr">
        <is>
          <t>IN_SCOPE_FINAL; SOURCE_CFG=IA-ST-CFG-0051; MARKET=None; STATUS=IN OEM / EU PACKAGE</t>
        </is>
      </c>
      <c r="O206" t="inlineStr">
        <is>
          <t>2026-08-10T19:29:54Z</t>
        </is>
      </c>
      <c r="P206" t="inlineStr">
        <is>
          <t>2026-08-10T19:29:54Z</t>
        </is>
      </c>
    </row>
    <row r="207">
      <c r="A207" s="19" t="inlineStr">
        <is>
          <t>206</t>
        </is>
      </c>
      <c r="B207" s="19" t="inlineStr">
        <is>
          <t>SC-1004497-ST-030-STD-05</t>
        </is>
      </c>
      <c r="C207" t="inlineStr">
        <is>
          <t>1004497 → ST-030-STD-05</t>
        </is>
      </c>
      <c r="D207" s="19" t="inlineStr">
        <is>
          <t>2</t>
        </is>
      </c>
      <c r="E207" s="19" t="inlineStr">
        <is>
          <t>33</t>
        </is>
      </c>
      <c r="F207" s="19" t="inlineStr">
        <is>
          <t>38</t>
        </is>
      </c>
      <c r="G207" s="19" t="n"/>
      <c r="H207" s="19" t="inlineStr">
        <is>
          <t>2</t>
        </is>
      </c>
      <c r="I207" s="19" t="n"/>
      <c r="J207" s="19" t="n"/>
      <c r="K207" s="19" t="inlineStr">
        <is>
          <t>2</t>
        </is>
      </c>
      <c r="L207" t="inlineStr">
        <is>
          <t>2026-08-08</t>
        </is>
      </c>
      <c r="N207" t="inlineStr">
        <is>
          <t>IN_SCOPE_FINAL; SOURCE_CFG=IA-ST-CFG-0051; MARKET=None; STATUS=IN OEM / EU PACKAGE</t>
        </is>
      </c>
      <c r="O207" t="inlineStr">
        <is>
          <t>2026-08-10T19:29:54Z</t>
        </is>
      </c>
      <c r="P207" t="inlineStr">
        <is>
          <t>2026-08-10T19:29:54Z</t>
        </is>
      </c>
    </row>
    <row r="208">
      <c r="A208" s="19" t="inlineStr">
        <is>
          <t>207</t>
        </is>
      </c>
      <c r="B208" s="19" t="inlineStr">
        <is>
          <t>SC-1006077-ST-030-STD-05</t>
        </is>
      </c>
      <c r="C208" t="inlineStr">
        <is>
          <t>1006077 → ST-030-STD-05</t>
        </is>
      </c>
      <c r="D208" s="19" t="inlineStr">
        <is>
          <t>2</t>
        </is>
      </c>
      <c r="E208" s="19" t="inlineStr">
        <is>
          <t>54</t>
        </is>
      </c>
      <c r="F208" s="19" t="inlineStr">
        <is>
          <t>38</t>
        </is>
      </c>
      <c r="G208" s="19" t="n"/>
      <c r="H208" s="19" t="inlineStr">
        <is>
          <t>2</t>
        </is>
      </c>
      <c r="I208" s="19" t="n"/>
      <c r="J208" s="19" t="n"/>
      <c r="K208" s="19" t="inlineStr">
        <is>
          <t>2</t>
        </is>
      </c>
      <c r="L208" t="inlineStr">
        <is>
          <t>2026-08-08</t>
        </is>
      </c>
      <c r="N208" t="inlineStr">
        <is>
          <t>IN_SCOPE_FINAL; SOURCE_CFG=IA-ST-CFG-0051; MARKET=None; STATUS=IN OEM / EU PACKAGE</t>
        </is>
      </c>
      <c r="O208" t="inlineStr">
        <is>
          <t>2026-08-10T19:29:54Z</t>
        </is>
      </c>
      <c r="P208" t="inlineStr">
        <is>
          <t>2026-08-10T19:29:54Z</t>
        </is>
      </c>
    </row>
    <row r="209">
      <c r="A209" s="19" t="inlineStr">
        <is>
          <t>208</t>
        </is>
      </c>
      <c r="B209" s="19" t="inlineStr">
        <is>
          <t>SC-1006081-ST-030-STD-05</t>
        </is>
      </c>
      <c r="C209" t="inlineStr">
        <is>
          <t>1006081 → ST-030-STD-05</t>
        </is>
      </c>
      <c r="D209" s="19" t="inlineStr">
        <is>
          <t>2</t>
        </is>
      </c>
      <c r="E209" s="19" t="inlineStr">
        <is>
          <t>55</t>
        </is>
      </c>
      <c r="F209" s="19" t="inlineStr">
        <is>
          <t>38</t>
        </is>
      </c>
      <c r="G209" s="19" t="n"/>
      <c r="H209" s="19" t="inlineStr">
        <is>
          <t>2</t>
        </is>
      </c>
      <c r="I209" s="19" t="n"/>
      <c r="J209" s="19" t="n"/>
      <c r="K209" s="19" t="inlineStr">
        <is>
          <t>2</t>
        </is>
      </c>
      <c r="L209" t="inlineStr">
        <is>
          <t>2026-08-08</t>
        </is>
      </c>
      <c r="N209" t="inlineStr">
        <is>
          <t>IN_SCOPE_FINAL; SOURCE_CFG=IA-ST-CFG-0051; MARKET=None; STATUS=IN OEM / EU PACKAGE</t>
        </is>
      </c>
      <c r="O209" t="inlineStr">
        <is>
          <t>2026-08-10T19:29:54Z</t>
        </is>
      </c>
      <c r="P209" t="inlineStr">
        <is>
          <t>2026-08-10T19:29:54Z</t>
        </is>
      </c>
    </row>
    <row r="210">
      <c r="A210" s="19" t="inlineStr">
        <is>
          <t>209</t>
        </is>
      </c>
      <c r="B210" s="19" t="inlineStr">
        <is>
          <t>SC-1006083-ST-030-STD-05</t>
        </is>
      </c>
      <c r="C210" t="inlineStr">
        <is>
          <t>1006083 → ST-030-STD-05</t>
        </is>
      </c>
      <c r="D210" s="19" t="inlineStr">
        <is>
          <t>2</t>
        </is>
      </c>
      <c r="E210" s="19" t="inlineStr">
        <is>
          <t>56</t>
        </is>
      </c>
      <c r="F210" s="19" t="inlineStr">
        <is>
          <t>38</t>
        </is>
      </c>
      <c r="G210" s="19" t="n"/>
      <c r="H210" s="19" t="inlineStr">
        <is>
          <t>2</t>
        </is>
      </c>
      <c r="I210" s="19" t="n"/>
      <c r="J210" s="19" t="n"/>
      <c r="K210" s="19" t="inlineStr">
        <is>
          <t>2</t>
        </is>
      </c>
      <c r="L210" t="inlineStr">
        <is>
          <t>2026-08-08</t>
        </is>
      </c>
      <c r="N210" t="inlineStr">
        <is>
          <t>IN_SCOPE_FINAL; SOURCE_CFG=IA-ST-CFG-0051; MARKET=None; STATUS=IN OEM / EU PACKAGE</t>
        </is>
      </c>
      <c r="O210" t="inlineStr">
        <is>
          <t>2026-08-10T19:29:54Z</t>
        </is>
      </c>
      <c r="P210" t="inlineStr">
        <is>
          <t>2026-08-10T19:29:54Z</t>
        </is>
      </c>
    </row>
    <row r="211">
      <c r="A211" s="19" t="inlineStr">
        <is>
          <t>210</t>
        </is>
      </c>
      <c r="B211" s="19" t="inlineStr">
        <is>
          <t>SC-1006646-ST-030-STD-05</t>
        </is>
      </c>
      <c r="C211" t="inlineStr">
        <is>
          <t>1006646 → ST-030-STD-05</t>
        </is>
      </c>
      <c r="D211" s="19" t="inlineStr">
        <is>
          <t>2</t>
        </is>
      </c>
      <c r="E211" s="19" t="inlineStr">
        <is>
          <t>62</t>
        </is>
      </c>
      <c r="F211" s="19" t="inlineStr">
        <is>
          <t>38</t>
        </is>
      </c>
      <c r="G211" s="19" t="n"/>
      <c r="H211" s="19" t="inlineStr">
        <is>
          <t>2</t>
        </is>
      </c>
      <c r="I211" s="19" t="n"/>
      <c r="J211" s="19" t="n"/>
      <c r="K211" s="19" t="inlineStr">
        <is>
          <t>2</t>
        </is>
      </c>
      <c r="L211" t="inlineStr">
        <is>
          <t>2026-08-08</t>
        </is>
      </c>
      <c r="N211" t="inlineStr">
        <is>
          <t>IN_SCOPE_FINAL; SOURCE_CFG=IA-ST-CFG-0051; MARKET=None; STATUS=IN OEM / EU PACKAGE</t>
        </is>
      </c>
      <c r="O211" t="inlineStr">
        <is>
          <t>2026-08-10T19:29:54Z</t>
        </is>
      </c>
      <c r="P211" t="inlineStr">
        <is>
          <t>2026-08-10T19:29:54Z</t>
        </is>
      </c>
    </row>
    <row r="212">
      <c r="A212" s="19" t="inlineStr">
        <is>
          <t>211</t>
        </is>
      </c>
      <c r="B212" s="19" t="inlineStr">
        <is>
          <t>SC-1007590-ST-030-STD-05</t>
        </is>
      </c>
      <c r="C212" t="inlineStr">
        <is>
          <t>1007590 → ST-030-STD-05</t>
        </is>
      </c>
      <c r="D212" s="19" t="inlineStr">
        <is>
          <t>2</t>
        </is>
      </c>
      <c r="E212" s="19" t="inlineStr">
        <is>
          <t>69</t>
        </is>
      </c>
      <c r="F212" s="19" t="inlineStr">
        <is>
          <t>38</t>
        </is>
      </c>
      <c r="G212" s="19" t="n"/>
      <c r="H212" s="19" t="inlineStr">
        <is>
          <t>2</t>
        </is>
      </c>
      <c r="I212" s="19" t="n"/>
      <c r="J212" s="19" t="n"/>
      <c r="K212" s="19" t="inlineStr">
        <is>
          <t>2</t>
        </is>
      </c>
      <c r="L212" t="inlineStr">
        <is>
          <t>2026-08-08</t>
        </is>
      </c>
      <c r="N212" t="inlineStr">
        <is>
          <t>IN_SCOPE_FINAL; SOURCE_CFG=IA-ST-CFG-0051; MARKET=None; STATUS=IN OEM / EU PACKAGE</t>
        </is>
      </c>
      <c r="O212" t="inlineStr">
        <is>
          <t>2026-08-10T19:29:54Z</t>
        </is>
      </c>
      <c r="P212" t="inlineStr">
        <is>
          <t>2026-08-10T19:29:54Z</t>
        </is>
      </c>
    </row>
    <row r="213">
      <c r="A213" s="19" t="inlineStr">
        <is>
          <t>212</t>
        </is>
      </c>
      <c r="B213" s="19" t="inlineStr">
        <is>
          <t>SC-1007600-ST-030-STD-05</t>
        </is>
      </c>
      <c r="C213" t="inlineStr">
        <is>
          <t>1007600 → ST-030-STD-05</t>
        </is>
      </c>
      <c r="D213" s="19" t="inlineStr">
        <is>
          <t>2</t>
        </is>
      </c>
      <c r="E213" s="19" t="inlineStr">
        <is>
          <t>71</t>
        </is>
      </c>
      <c r="F213" s="19" t="inlineStr">
        <is>
          <t>38</t>
        </is>
      </c>
      <c r="G213" s="19" t="n"/>
      <c r="H213" s="19" t="inlineStr">
        <is>
          <t>2</t>
        </is>
      </c>
      <c r="I213" s="19" t="n"/>
      <c r="J213" s="19" t="n"/>
      <c r="K213" s="19" t="inlineStr">
        <is>
          <t>2</t>
        </is>
      </c>
      <c r="L213" t="inlineStr">
        <is>
          <t>2026-08-08</t>
        </is>
      </c>
      <c r="N213" t="inlineStr">
        <is>
          <t>IN_SCOPE_FINAL; SOURCE_CFG=IA-ST-CFG-0051; MARKET=SHAWKAT; STATUS=IN OEM / EU PACKAGE</t>
        </is>
      </c>
      <c r="O213" t="inlineStr">
        <is>
          <t>2026-08-10T19:29:54Z</t>
        </is>
      </c>
      <c r="P213" t="inlineStr">
        <is>
          <t>2026-08-10T19:29:54Z</t>
        </is>
      </c>
    </row>
    <row r="214">
      <c r="A214" s="19" t="inlineStr">
        <is>
          <t>213</t>
        </is>
      </c>
      <c r="B214" s="19" t="inlineStr">
        <is>
          <t>SC-1007601-ST-030-STD-05</t>
        </is>
      </c>
      <c r="C214" t="inlineStr">
        <is>
          <t>1007601 → ST-030-STD-05</t>
        </is>
      </c>
      <c r="D214" s="19" t="inlineStr">
        <is>
          <t>2</t>
        </is>
      </c>
      <c r="E214" s="19" t="inlineStr">
        <is>
          <t>72</t>
        </is>
      </c>
      <c r="F214" s="19" t="inlineStr">
        <is>
          <t>38</t>
        </is>
      </c>
      <c r="G214" s="19" t="n"/>
      <c r="H214" s="19" t="inlineStr">
        <is>
          <t>2</t>
        </is>
      </c>
      <c r="I214" s="19" t="n"/>
      <c r="J214" s="19" t="n"/>
      <c r="K214" s="19" t="inlineStr">
        <is>
          <t>2</t>
        </is>
      </c>
      <c r="L214" t="inlineStr">
        <is>
          <t>2026-08-08</t>
        </is>
      </c>
      <c r="N214" t="inlineStr">
        <is>
          <t>IN_SCOPE_FINAL; SOURCE_CFG=IA-ST-CFG-0051; MARKET=SHAWKAT; STATUS=IN OEM / EU PACKAGE</t>
        </is>
      </c>
      <c r="O214" t="inlineStr">
        <is>
          <t>2026-08-10T19:29:54Z</t>
        </is>
      </c>
      <c r="P214" t="inlineStr">
        <is>
          <t>2026-08-10T19:29:54Z</t>
        </is>
      </c>
    </row>
    <row r="215">
      <c r="A215" s="19" t="inlineStr">
        <is>
          <t>214</t>
        </is>
      </c>
      <c r="B215" s="19" t="inlineStr">
        <is>
          <t>SC-1007643-ST-030-STD-05</t>
        </is>
      </c>
      <c r="C215" t="inlineStr">
        <is>
          <t>1007643 → ST-030-STD-05</t>
        </is>
      </c>
      <c r="D215" s="19" t="inlineStr">
        <is>
          <t>2</t>
        </is>
      </c>
      <c r="E215" s="19" t="inlineStr">
        <is>
          <t>74</t>
        </is>
      </c>
      <c r="F215" s="19" t="inlineStr">
        <is>
          <t>38</t>
        </is>
      </c>
      <c r="G215" s="19" t="n"/>
      <c r="H215" s="19" t="inlineStr">
        <is>
          <t>2</t>
        </is>
      </c>
      <c r="I215" s="19" t="n"/>
      <c r="J215" s="19" t="n"/>
      <c r="K215" s="19" t="inlineStr">
        <is>
          <t>2</t>
        </is>
      </c>
      <c r="L215" t="inlineStr">
        <is>
          <t>2026-08-08</t>
        </is>
      </c>
      <c r="N215" t="inlineStr">
        <is>
          <t>IN_SCOPE_FINAL; SOURCE_CFG=IA-ST-CFG-0051; MARKET=SHAWKAT; STATUS=IN OEM / EU PACKAGE</t>
        </is>
      </c>
      <c r="O215" t="inlineStr">
        <is>
          <t>2026-08-10T19:29:54Z</t>
        </is>
      </c>
      <c r="P215" t="inlineStr">
        <is>
          <t>2026-08-10T19:29:54Z</t>
        </is>
      </c>
    </row>
    <row r="216">
      <c r="A216" s="19" t="inlineStr">
        <is>
          <t>215</t>
        </is>
      </c>
      <c r="B216" s="19" t="inlineStr">
        <is>
          <t>SC-1008839-ST-030-STD-05</t>
        </is>
      </c>
      <c r="C216" t="inlineStr">
        <is>
          <t>1008839 → ST-030-STD-05</t>
        </is>
      </c>
      <c r="D216" s="19" t="inlineStr">
        <is>
          <t>2</t>
        </is>
      </c>
      <c r="E216" s="19" t="inlineStr">
        <is>
          <t>94</t>
        </is>
      </c>
      <c r="F216" s="19" t="inlineStr">
        <is>
          <t>38</t>
        </is>
      </c>
      <c r="G216" s="19" t="n"/>
      <c r="H216" s="19" t="inlineStr">
        <is>
          <t>2</t>
        </is>
      </c>
      <c r="I216" s="19" t="n"/>
      <c r="J216" s="19" t="n"/>
      <c r="K216" s="19" t="inlineStr">
        <is>
          <t>2</t>
        </is>
      </c>
      <c r="L216" t="inlineStr">
        <is>
          <t>2026-08-08</t>
        </is>
      </c>
      <c r="N216" t="inlineStr">
        <is>
          <t>IN_SCOPE_FINAL; SOURCE_CFG=IA-ST-CFG-0051; MARKET=NASA; STATUS=IN OEM / EU PACKAGE</t>
        </is>
      </c>
      <c r="O216" t="inlineStr">
        <is>
          <t>2026-08-10T19:29:54Z</t>
        </is>
      </c>
      <c r="P216" t="inlineStr">
        <is>
          <t>2026-08-10T19:29:54Z</t>
        </is>
      </c>
    </row>
    <row r="217">
      <c r="A217" s="19" t="inlineStr">
        <is>
          <t>216</t>
        </is>
      </c>
      <c r="B217" s="19" t="inlineStr">
        <is>
          <t>SC-1009983-ST-030-STD-05</t>
        </is>
      </c>
      <c r="C217" t="inlineStr">
        <is>
          <t>1009983 → ST-030-STD-05</t>
        </is>
      </c>
      <c r="D217" s="19" t="inlineStr">
        <is>
          <t>2</t>
        </is>
      </c>
      <c r="E217" s="19" t="inlineStr">
        <is>
          <t>139</t>
        </is>
      </c>
      <c r="F217" s="19" t="inlineStr">
        <is>
          <t>38</t>
        </is>
      </c>
      <c r="G217" s="19" t="n"/>
      <c r="H217" s="19" t="inlineStr">
        <is>
          <t>2</t>
        </is>
      </c>
      <c r="I217" s="19" t="n"/>
      <c r="J217" s="19" t="n"/>
      <c r="K217" s="19" t="inlineStr">
        <is>
          <t>2</t>
        </is>
      </c>
      <c r="L217" t="inlineStr">
        <is>
          <t>2026-08-08</t>
        </is>
      </c>
      <c r="N217" t="inlineStr">
        <is>
          <t>IN_SCOPE_FINAL; SOURCE_CFG=IA-ST-CFG-0051; MARKET=REY &amp; LENFERNA LUCAS; STATUS=IN OEM / EU PACKAGE</t>
        </is>
      </c>
      <c r="O217" t="inlineStr">
        <is>
          <t>2026-08-10T19:29:54Z</t>
        </is>
      </c>
      <c r="P217" t="inlineStr">
        <is>
          <t>2026-08-10T19:29:54Z</t>
        </is>
      </c>
    </row>
    <row r="218">
      <c r="A218" s="19" t="inlineStr">
        <is>
          <t>217</t>
        </is>
      </c>
      <c r="B218" s="19" t="inlineStr">
        <is>
          <t>SC-1010050-ST-030-STD-05</t>
        </is>
      </c>
      <c r="C218" t="inlineStr">
        <is>
          <t>1010050 → ST-030-STD-05</t>
        </is>
      </c>
      <c r="D218" s="19" t="inlineStr">
        <is>
          <t>2</t>
        </is>
      </c>
      <c r="E218" s="19" t="inlineStr">
        <is>
          <t>151</t>
        </is>
      </c>
      <c r="F218" s="19" t="inlineStr">
        <is>
          <t>38</t>
        </is>
      </c>
      <c r="G218" s="19" t="n"/>
      <c r="H218" s="19" t="inlineStr">
        <is>
          <t>2</t>
        </is>
      </c>
      <c r="I218" s="19" t="n"/>
      <c r="J218" s="19" t="n"/>
      <c r="K218" s="19" t="inlineStr">
        <is>
          <t>2</t>
        </is>
      </c>
      <c r="L218" t="inlineStr">
        <is>
          <t>2026-08-08</t>
        </is>
      </c>
      <c r="N218" t="inlineStr">
        <is>
          <t>IN_SCOPE_FINAL; SOURCE_CFG=IA-ST-CFG-0051; MARKET=REY &amp; LENFERNA LUCAS; STATUS=IN OEM / EU PACKAGE</t>
        </is>
      </c>
      <c r="O218" t="inlineStr">
        <is>
          <t>2026-08-10T19:29:54Z</t>
        </is>
      </c>
      <c r="P218" t="inlineStr">
        <is>
          <t>2026-08-10T19:29:54Z</t>
        </is>
      </c>
    </row>
    <row r="219">
      <c r="A219" s="19" t="inlineStr">
        <is>
          <t>218</t>
        </is>
      </c>
      <c r="B219" s="19" t="inlineStr">
        <is>
          <t>SC-1010103-ST-030-STD-05</t>
        </is>
      </c>
      <c r="C219" t="inlineStr">
        <is>
          <t>1010103 → ST-030-STD-05</t>
        </is>
      </c>
      <c r="D219" s="19" t="inlineStr">
        <is>
          <t>2</t>
        </is>
      </c>
      <c r="E219" s="19" t="inlineStr">
        <is>
          <t>157</t>
        </is>
      </c>
      <c r="F219" s="19" t="inlineStr">
        <is>
          <t>38</t>
        </is>
      </c>
      <c r="G219" s="19" t="n"/>
      <c r="H219" s="19" t="inlineStr">
        <is>
          <t>2</t>
        </is>
      </c>
      <c r="I219" s="19" t="n"/>
      <c r="J219" s="19" t="n"/>
      <c r="K219" s="19" t="inlineStr">
        <is>
          <t>2</t>
        </is>
      </c>
      <c r="L219" t="inlineStr">
        <is>
          <t>2026-08-08</t>
        </is>
      </c>
      <c r="N219" t="inlineStr">
        <is>
          <t>IN_SCOPE_FINAL; SOURCE_CFG=IA-ST-CFG-0051; MARKET=JANENE İSRAİL; STATUS=IN OEM / EU PACKAGE</t>
        </is>
      </c>
      <c r="O219" t="inlineStr">
        <is>
          <t>2026-08-10T19:29:54Z</t>
        </is>
      </c>
      <c r="P219" t="inlineStr">
        <is>
          <t>2026-08-10T19:29:54Z</t>
        </is>
      </c>
    </row>
    <row r="220">
      <c r="A220" s="19" t="inlineStr">
        <is>
          <t>219</t>
        </is>
      </c>
      <c r="B220" s="19" t="inlineStr">
        <is>
          <t>SC-1010448-ST-030-STD-05</t>
        </is>
      </c>
      <c r="C220" t="inlineStr">
        <is>
          <t>1010448 → ST-030-STD-05</t>
        </is>
      </c>
      <c r="D220" s="19" t="inlineStr">
        <is>
          <t>2</t>
        </is>
      </c>
      <c r="E220" s="19" t="inlineStr">
        <is>
          <t>192</t>
        </is>
      </c>
      <c r="F220" s="19" t="inlineStr">
        <is>
          <t>38</t>
        </is>
      </c>
      <c r="G220" s="19" t="n"/>
      <c r="H220" s="19" t="inlineStr">
        <is>
          <t>2</t>
        </is>
      </c>
      <c r="I220" s="19" t="n"/>
      <c r="J220" s="19" t="n"/>
      <c r="K220" s="19" t="inlineStr">
        <is>
          <t>2</t>
        </is>
      </c>
      <c r="L220" t="inlineStr">
        <is>
          <t>2026-08-08</t>
        </is>
      </c>
      <c r="N220" t="inlineStr">
        <is>
          <t>IN_SCOPE_FINAL; SOURCE_CFG=IA-ST-CFG-0051; MARKET=None; STATUS=IN OEM / EU PACKAGE</t>
        </is>
      </c>
      <c r="O220" t="inlineStr">
        <is>
          <t>2026-08-10T19:29:54Z</t>
        </is>
      </c>
      <c r="P220" t="inlineStr">
        <is>
          <t>2026-08-10T19:29:54Z</t>
        </is>
      </c>
    </row>
    <row r="221">
      <c r="A221" s="19" t="inlineStr">
        <is>
          <t>220</t>
        </is>
      </c>
      <c r="B221" s="19" t="inlineStr">
        <is>
          <t>SC-1010501-ST-030-STD-05</t>
        </is>
      </c>
      <c r="C221" t="inlineStr">
        <is>
          <t>1010501 → ST-030-STD-05</t>
        </is>
      </c>
      <c r="D221" s="19" t="inlineStr">
        <is>
          <t>2</t>
        </is>
      </c>
      <c r="E221" s="19" t="inlineStr">
        <is>
          <t>200</t>
        </is>
      </c>
      <c r="F221" s="19" t="inlineStr">
        <is>
          <t>38</t>
        </is>
      </c>
      <c r="G221" s="19" t="n"/>
      <c r="H221" s="19" t="inlineStr">
        <is>
          <t>2</t>
        </is>
      </c>
      <c r="I221" s="19" t="n"/>
      <c r="J221" s="19" t="n"/>
      <c r="K221" s="19" t="inlineStr">
        <is>
          <t>2</t>
        </is>
      </c>
      <c r="L221" t="inlineStr">
        <is>
          <t>2026-08-08</t>
        </is>
      </c>
      <c r="N221" t="inlineStr">
        <is>
          <t>IN_SCOPE_FINAL; SOURCE_CFG=IA-ST-CFG-0051; MARKET=None; STATUS=IN OEM / EU PACKAGE</t>
        </is>
      </c>
      <c r="O221" t="inlineStr">
        <is>
          <t>2026-08-10T19:29:54Z</t>
        </is>
      </c>
      <c r="P221" t="inlineStr">
        <is>
          <t>2026-08-10T19:29:54Z</t>
        </is>
      </c>
    </row>
    <row r="222">
      <c r="A222" s="19" t="inlineStr">
        <is>
          <t>221</t>
        </is>
      </c>
      <c r="B222" s="19" t="inlineStr">
        <is>
          <t>SC-1010891-ST-030-STD-05</t>
        </is>
      </c>
      <c r="C222" t="inlineStr">
        <is>
          <t>1010891 → ST-030-STD-05</t>
        </is>
      </c>
      <c r="D222" s="19" t="inlineStr">
        <is>
          <t>2</t>
        </is>
      </c>
      <c r="E222" s="19" t="inlineStr">
        <is>
          <t>210</t>
        </is>
      </c>
      <c r="F222" s="19" t="inlineStr">
        <is>
          <t>38</t>
        </is>
      </c>
      <c r="G222" s="19" t="n"/>
      <c r="H222" s="19" t="inlineStr">
        <is>
          <t>2</t>
        </is>
      </c>
      <c r="I222" s="19" t="n"/>
      <c r="J222" s="19" t="n"/>
      <c r="K222" s="19" t="inlineStr">
        <is>
          <t>2</t>
        </is>
      </c>
      <c r="L222" t="inlineStr">
        <is>
          <t>2026-08-08</t>
        </is>
      </c>
      <c r="N222" t="inlineStr">
        <is>
          <t>IN_SCOPE_FINAL; SOURCE_CFG=IA-ST-CFG-0051; MARKET=None; STATUS=IN OEM / EU PACKAGE</t>
        </is>
      </c>
      <c r="O222" t="inlineStr">
        <is>
          <t>2026-08-10T19:29:54Z</t>
        </is>
      </c>
      <c r="P222" t="inlineStr">
        <is>
          <t>2026-08-10T19:29:54Z</t>
        </is>
      </c>
    </row>
    <row r="223">
      <c r="A223" s="19" t="inlineStr">
        <is>
          <t>222</t>
        </is>
      </c>
      <c r="B223" s="19" t="inlineStr">
        <is>
          <t>SC-1011299-ST-030-STD-05</t>
        </is>
      </c>
      <c r="C223" t="inlineStr">
        <is>
          <t>1011299 → ST-030-STD-05</t>
        </is>
      </c>
      <c r="D223" s="19" t="inlineStr">
        <is>
          <t>2</t>
        </is>
      </c>
      <c r="E223" s="19" t="inlineStr">
        <is>
          <t>291</t>
        </is>
      </c>
      <c r="F223" s="19" t="inlineStr">
        <is>
          <t>38</t>
        </is>
      </c>
      <c r="G223" s="19" t="n"/>
      <c r="H223" s="19" t="inlineStr">
        <is>
          <t>2</t>
        </is>
      </c>
      <c r="I223" s="19" t="n"/>
      <c r="J223" s="19" t="n"/>
      <c r="K223" s="19" t="inlineStr">
        <is>
          <t>2</t>
        </is>
      </c>
      <c r="L223" t="inlineStr">
        <is>
          <t>2026-08-08</t>
        </is>
      </c>
      <c r="N223" t="inlineStr">
        <is>
          <t>IN_SCOPE_FINAL; SOURCE_CFG=IA-ST-CFG-0051; MARKET=None; STATUS=IN OEM / EU PACKAGE</t>
        </is>
      </c>
      <c r="O223" t="inlineStr">
        <is>
          <t>2026-08-10T19:29:54Z</t>
        </is>
      </c>
      <c r="P223" t="inlineStr">
        <is>
          <t>2026-08-10T19:29:54Z</t>
        </is>
      </c>
    </row>
    <row r="224">
      <c r="A224" s="19" t="inlineStr">
        <is>
          <t>223</t>
        </is>
      </c>
      <c r="B224" s="19" t="inlineStr">
        <is>
          <t>SC-1013152-ST-030-STD-05</t>
        </is>
      </c>
      <c r="C224" t="inlineStr">
        <is>
          <t>1013152 → ST-030-STD-05</t>
        </is>
      </c>
      <c r="D224" s="19" t="inlineStr">
        <is>
          <t>2</t>
        </is>
      </c>
      <c r="E224" s="19" t="inlineStr">
        <is>
          <t>931</t>
        </is>
      </c>
      <c r="F224" s="19" t="inlineStr">
        <is>
          <t>38</t>
        </is>
      </c>
      <c r="G224" s="19" t="n"/>
      <c r="H224" s="19" t="inlineStr">
        <is>
          <t>2</t>
        </is>
      </c>
      <c r="I224" s="19" t="n"/>
      <c r="J224" s="19" t="n"/>
      <c r="K224" s="19" t="inlineStr">
        <is>
          <t>2</t>
        </is>
      </c>
      <c r="L224" t="inlineStr">
        <is>
          <t>2026-08-08</t>
        </is>
      </c>
      <c r="N224" t="inlineStr">
        <is>
          <t>IN_SCOPE_FINAL; SOURCE_CFG=IA-ST-CFG-0051; MARKET=MISIR NACITA; STATUS=IN OEM / EU PACKAGE</t>
        </is>
      </c>
      <c r="O224" t="inlineStr">
        <is>
          <t>2026-08-10T19:29:54Z</t>
        </is>
      </c>
      <c r="P224" t="inlineStr">
        <is>
          <t>2026-08-10T19:29:54Z</t>
        </is>
      </c>
    </row>
    <row r="225">
      <c r="A225" s="19" t="inlineStr">
        <is>
          <t>224</t>
        </is>
      </c>
      <c r="B225" s="19" t="inlineStr">
        <is>
          <t>SC-1014155-ST-030-STD-05</t>
        </is>
      </c>
      <c r="C225" t="inlineStr">
        <is>
          <t>1014155 → ST-030-STD-05</t>
        </is>
      </c>
      <c r="D225" s="19" t="inlineStr">
        <is>
          <t>2</t>
        </is>
      </c>
      <c r="E225" s="19" t="inlineStr">
        <is>
          <t>1241</t>
        </is>
      </c>
      <c r="F225" s="19" t="inlineStr">
        <is>
          <t>38</t>
        </is>
      </c>
      <c r="G225" s="19" t="n"/>
      <c r="H225" s="19" t="inlineStr">
        <is>
          <t>2</t>
        </is>
      </c>
      <c r="I225" s="19" t="n"/>
      <c r="J225" s="19" t="n"/>
      <c r="K225" s="19" t="inlineStr">
        <is>
          <t>2</t>
        </is>
      </c>
      <c r="L225" t="inlineStr">
        <is>
          <t>2026-08-08</t>
        </is>
      </c>
      <c r="N225" t="inlineStr">
        <is>
          <t>IN_SCOPE_FINAL; SOURCE_CFG=IA-ST-CFG-0051; MARKET=ARCOBALENO-GANA; STATUS=IN OEM / EU PACKAGE</t>
        </is>
      </c>
      <c r="O225" t="inlineStr">
        <is>
          <t>2026-08-10T19:29:54Z</t>
        </is>
      </c>
      <c r="P225" t="inlineStr">
        <is>
          <t>2026-08-10T19:29:54Z</t>
        </is>
      </c>
    </row>
    <row r="226">
      <c r="A226" s="19" t="inlineStr">
        <is>
          <t>225</t>
        </is>
      </c>
      <c r="B226" s="19" t="inlineStr">
        <is>
          <t>SC-1014480-ST-030-STD-05</t>
        </is>
      </c>
      <c r="C226" t="inlineStr">
        <is>
          <t>1014480 → ST-030-STD-05</t>
        </is>
      </c>
      <c r="D226" s="19" t="inlineStr">
        <is>
          <t>2</t>
        </is>
      </c>
      <c r="E226" s="19" t="inlineStr">
        <is>
          <t>1410</t>
        </is>
      </c>
      <c r="F226" s="19" t="inlineStr">
        <is>
          <t>38</t>
        </is>
      </c>
      <c r="G226" s="19" t="n"/>
      <c r="H226" s="19" t="inlineStr">
        <is>
          <t>2</t>
        </is>
      </c>
      <c r="I226" s="19" t="n"/>
      <c r="J226" s="19" t="n"/>
      <c r="K226" s="19" t="inlineStr">
        <is>
          <t>2</t>
        </is>
      </c>
      <c r="L226" t="inlineStr">
        <is>
          <t>2026-08-08</t>
        </is>
      </c>
      <c r="N226" t="inlineStr">
        <is>
          <t>IN_SCOPE_FINAL; SOURCE_CFG=IA-ST-CFG-0051; MARKET=None; STATUS=IN OEM / EU PACKAGE</t>
        </is>
      </c>
      <c r="O226" t="inlineStr">
        <is>
          <t>2026-08-10T19:29:54Z</t>
        </is>
      </c>
      <c r="P226" t="inlineStr">
        <is>
          <t>2026-08-10T19:29:54Z</t>
        </is>
      </c>
    </row>
    <row r="227">
      <c r="A227" s="19" t="inlineStr">
        <is>
          <t>226</t>
        </is>
      </c>
      <c r="B227" s="19" t="inlineStr">
        <is>
          <t>SC-1014679-ST-030-STD-05</t>
        </is>
      </c>
      <c r="C227" t="inlineStr">
        <is>
          <t>1014679 → ST-030-STD-05</t>
        </is>
      </c>
      <c r="D227" s="19" t="inlineStr">
        <is>
          <t>2</t>
        </is>
      </c>
      <c r="E227" s="19" t="inlineStr">
        <is>
          <t>1534</t>
        </is>
      </c>
      <c r="F227" s="19" t="inlineStr">
        <is>
          <t>38</t>
        </is>
      </c>
      <c r="G227" s="19" t="n"/>
      <c r="H227" s="19" t="inlineStr">
        <is>
          <t>2</t>
        </is>
      </c>
      <c r="I227" s="19" t="n"/>
      <c r="J227" s="19" t="n"/>
      <c r="K227" s="19" t="inlineStr">
        <is>
          <t>2</t>
        </is>
      </c>
      <c r="L227" t="inlineStr">
        <is>
          <t>2026-08-08</t>
        </is>
      </c>
      <c r="N227" t="inlineStr">
        <is>
          <t>IN_SCOPE_FINAL; SOURCE_CFG=IA-ST-CFG-0051; MARKET=None; STATUS=IN OEM / EU PACKAGE</t>
        </is>
      </c>
      <c r="O227" t="inlineStr">
        <is>
          <t>2026-08-10T19:29:54Z</t>
        </is>
      </c>
      <c r="P227" t="inlineStr">
        <is>
          <t>2026-08-10T19:29:54Z</t>
        </is>
      </c>
    </row>
    <row r="228">
      <c r="A228" s="19" t="inlineStr">
        <is>
          <t>227</t>
        </is>
      </c>
      <c r="B228" s="19" t="inlineStr">
        <is>
          <t>SC-1014682-ST-030-STD-05</t>
        </is>
      </c>
      <c r="C228" t="inlineStr">
        <is>
          <t>1014682 → ST-030-STD-05</t>
        </is>
      </c>
      <c r="D228" s="19" t="inlineStr">
        <is>
          <t>2</t>
        </is>
      </c>
      <c r="E228" s="19" t="inlineStr">
        <is>
          <t>1535</t>
        </is>
      </c>
      <c r="F228" s="19" t="inlineStr">
        <is>
          <t>38</t>
        </is>
      </c>
      <c r="G228" s="19" t="n"/>
      <c r="H228" s="19" t="inlineStr">
        <is>
          <t>2</t>
        </is>
      </c>
      <c r="I228" s="19" t="n"/>
      <c r="J228" s="19" t="n"/>
      <c r="K228" s="19" t="inlineStr">
        <is>
          <t>2</t>
        </is>
      </c>
      <c r="L228" t="inlineStr">
        <is>
          <t>2026-08-08</t>
        </is>
      </c>
      <c r="N228" t="inlineStr">
        <is>
          <t>IN_SCOPE_FINAL; SOURCE_CFG=IA-ST-CFG-0051; MARKET=None; STATUS=IN OEM / EU PACKAGE</t>
        </is>
      </c>
      <c r="O228" t="inlineStr">
        <is>
          <t>2026-08-10T19:29:54Z</t>
        </is>
      </c>
      <c r="P228" t="inlineStr">
        <is>
          <t>2026-08-10T19:29:54Z</t>
        </is>
      </c>
    </row>
    <row r="229">
      <c r="A229" s="19" t="inlineStr">
        <is>
          <t>228</t>
        </is>
      </c>
      <c r="B229" s="19" t="inlineStr">
        <is>
          <t>SC-1015016-ST-030-STD-05</t>
        </is>
      </c>
      <c r="C229" t="inlineStr">
        <is>
          <t>1015016 → ST-030-STD-05</t>
        </is>
      </c>
      <c r="D229" s="19" t="inlineStr">
        <is>
          <t>2</t>
        </is>
      </c>
      <c r="E229" s="19" t="inlineStr">
        <is>
          <t>1776</t>
        </is>
      </c>
      <c r="F229" s="19" t="inlineStr">
        <is>
          <t>38</t>
        </is>
      </c>
      <c r="G229" s="19" t="n"/>
      <c r="H229" s="19" t="inlineStr">
        <is>
          <t>2</t>
        </is>
      </c>
      <c r="I229" s="19" t="n"/>
      <c r="J229" s="19" t="n"/>
      <c r="K229" s="19" t="inlineStr">
        <is>
          <t>2</t>
        </is>
      </c>
      <c r="L229" t="inlineStr">
        <is>
          <t>2026-08-08</t>
        </is>
      </c>
      <c r="N229" t="inlineStr">
        <is>
          <t>IN_SCOPE_FINAL; SOURCE_CFG=IA-ST-CFG-0051; MARKET=TÜRKMENİSTAN; STATUS=IN OEM / EU PACKAGE</t>
        </is>
      </c>
      <c r="O229" t="inlineStr">
        <is>
          <t>2026-08-10T19:29:54Z</t>
        </is>
      </c>
      <c r="P229" t="inlineStr">
        <is>
          <t>2026-08-10T19:29:54Z</t>
        </is>
      </c>
    </row>
    <row r="230">
      <c r="A230" s="19" t="inlineStr">
        <is>
          <t>229</t>
        </is>
      </c>
      <c r="B230" s="19" t="inlineStr">
        <is>
          <t>SC-1015147-ST-030-STD-05</t>
        </is>
      </c>
      <c r="C230" t="inlineStr">
        <is>
          <t>1015147 → ST-030-STD-05</t>
        </is>
      </c>
      <c r="D230" s="19" t="inlineStr">
        <is>
          <t>2</t>
        </is>
      </c>
      <c r="E230" s="19" t="inlineStr">
        <is>
          <t>1896</t>
        </is>
      </c>
      <c r="F230" s="19" t="inlineStr">
        <is>
          <t>38</t>
        </is>
      </c>
      <c r="G230" s="19" t="n"/>
      <c r="H230" s="19" t="inlineStr">
        <is>
          <t>2</t>
        </is>
      </c>
      <c r="I230" s="19" t="n"/>
      <c r="J230" s="19" t="n"/>
      <c r="K230" s="19" t="inlineStr">
        <is>
          <t>2</t>
        </is>
      </c>
      <c r="L230" t="inlineStr">
        <is>
          <t>2026-08-08</t>
        </is>
      </c>
      <c r="N230" t="inlineStr">
        <is>
          <t>IN_SCOPE_FINAL; SOURCE_CFG=IA-ST-CFG-0051; MARKET=None; STATUS=IN OEM / EU PACKAGE</t>
        </is>
      </c>
      <c r="O230" t="inlineStr">
        <is>
          <t>2026-08-10T19:29:54Z</t>
        </is>
      </c>
      <c r="P230" t="inlineStr">
        <is>
          <t>2026-08-10T19:29:54Z</t>
        </is>
      </c>
    </row>
    <row r="231">
      <c r="A231" s="19" t="inlineStr">
        <is>
          <t>230</t>
        </is>
      </c>
      <c r="B231" s="19" t="inlineStr">
        <is>
          <t>SC-1015149-ST-030-STD-05</t>
        </is>
      </c>
      <c r="C231" t="inlineStr">
        <is>
          <t>1015149 → ST-030-STD-05</t>
        </is>
      </c>
      <c r="D231" s="19" t="inlineStr">
        <is>
          <t>2</t>
        </is>
      </c>
      <c r="E231" s="19" t="inlineStr">
        <is>
          <t>1898</t>
        </is>
      </c>
      <c r="F231" s="19" t="inlineStr">
        <is>
          <t>38</t>
        </is>
      </c>
      <c r="G231" s="19" t="n"/>
      <c r="H231" s="19" t="inlineStr">
        <is>
          <t>2</t>
        </is>
      </c>
      <c r="I231" s="19" t="n"/>
      <c r="J231" s="19" t="n"/>
      <c r="K231" s="19" t="inlineStr">
        <is>
          <t>2</t>
        </is>
      </c>
      <c r="L231" t="inlineStr">
        <is>
          <t>2026-08-08</t>
        </is>
      </c>
      <c r="N231" t="inlineStr">
        <is>
          <t>IN_SCOPE_FINAL; SOURCE_CFG=IA-ST-CFG-0051; MARKET=None; STATUS=IN OEM / EU PACKAGE</t>
        </is>
      </c>
      <c r="O231" t="inlineStr">
        <is>
          <t>2026-08-10T19:29:54Z</t>
        </is>
      </c>
      <c r="P231" t="inlineStr">
        <is>
          <t>2026-08-10T19:29:54Z</t>
        </is>
      </c>
    </row>
    <row r="232">
      <c r="A232" s="19" t="inlineStr">
        <is>
          <t>231</t>
        </is>
      </c>
      <c r="B232" s="19" t="inlineStr">
        <is>
          <t>SC-1015286-ST-030-STD-05</t>
        </is>
      </c>
      <c r="C232" t="inlineStr">
        <is>
          <t>1015286 → ST-030-STD-05</t>
        </is>
      </c>
      <c r="D232" s="19" t="inlineStr">
        <is>
          <t>2</t>
        </is>
      </c>
      <c r="E232" s="19" t="inlineStr">
        <is>
          <t>2019</t>
        </is>
      </c>
      <c r="F232" s="19" t="inlineStr">
        <is>
          <t>38</t>
        </is>
      </c>
      <c r="G232" s="19" t="n"/>
      <c r="H232" s="19" t="inlineStr">
        <is>
          <t>2</t>
        </is>
      </c>
      <c r="I232" s="19" t="n"/>
      <c r="J232" s="19" t="n"/>
      <c r="K232" s="19" t="inlineStr">
        <is>
          <t>2</t>
        </is>
      </c>
      <c r="L232" t="inlineStr">
        <is>
          <t>2026-08-08</t>
        </is>
      </c>
      <c r="N232" t="inlineStr">
        <is>
          <t>IN_SCOPE_FINAL; SOURCE_CFG=IA-ST-CFG-0051; MARKET=SHAWKAT; STATUS=IN OEM / EU PACKAGE</t>
        </is>
      </c>
      <c r="O232" t="inlineStr">
        <is>
          <t>2026-08-10T19:29:54Z</t>
        </is>
      </c>
      <c r="P232" t="inlineStr">
        <is>
          <t>2026-08-10T19:29:54Z</t>
        </is>
      </c>
    </row>
    <row r="233">
      <c r="A233" s="19" t="inlineStr">
        <is>
          <t>232</t>
        </is>
      </c>
      <c r="B233" s="19" t="inlineStr">
        <is>
          <t>SC-1013135-ST-030-STD-05</t>
        </is>
      </c>
      <c r="C233" t="inlineStr">
        <is>
          <t>1013135 → ST-030-STD-05</t>
        </is>
      </c>
      <c r="D233" s="19" t="inlineStr">
        <is>
          <t>2</t>
        </is>
      </c>
      <c r="E233" s="19" t="inlineStr">
        <is>
          <t>926</t>
        </is>
      </c>
      <c r="F233" s="19" t="inlineStr">
        <is>
          <t>38</t>
        </is>
      </c>
      <c r="G233" s="19" t="n"/>
      <c r="H233" s="19" t="inlineStr">
        <is>
          <t>2</t>
        </is>
      </c>
      <c r="I233" s="19" t="n"/>
      <c r="J233" s="19" t="n"/>
      <c r="K233" s="19" t="inlineStr">
        <is>
          <t>2</t>
        </is>
      </c>
      <c r="L233" t="inlineStr">
        <is>
          <t>2026-08-08</t>
        </is>
      </c>
      <c r="N233" t="inlineStr">
        <is>
          <t>IN_SCOPE_FINAL; SOURCE_CFG=IA-ST-CFG-0051; MARKET=TÜRKMENİSTAN; STATUS=IN OEM / EU PACKAGE</t>
        </is>
      </c>
      <c r="O233" t="inlineStr">
        <is>
          <t>2026-08-10T19:29:54Z</t>
        </is>
      </c>
      <c r="P233" t="inlineStr">
        <is>
          <t>2026-08-10T19:29:54Z</t>
        </is>
      </c>
    </row>
    <row r="234">
      <c r="A234" s="19" t="inlineStr">
        <is>
          <t>233</t>
        </is>
      </c>
      <c r="B234" s="19" t="inlineStr">
        <is>
          <t>SC-1014381-ST-030-STD-05</t>
        </is>
      </c>
      <c r="C234" t="inlineStr">
        <is>
          <t>1014381 → ST-030-STD-05</t>
        </is>
      </c>
      <c r="D234" s="19" t="inlineStr">
        <is>
          <t>2</t>
        </is>
      </c>
      <c r="E234" s="19" t="inlineStr">
        <is>
          <t>1336</t>
        </is>
      </c>
      <c r="F234" s="19" t="inlineStr">
        <is>
          <t>38</t>
        </is>
      </c>
      <c r="G234" s="19" t="n"/>
      <c r="H234" s="19" t="inlineStr">
        <is>
          <t>2</t>
        </is>
      </c>
      <c r="I234" s="19" t="n"/>
      <c r="J234" s="19" t="n"/>
      <c r="K234" s="19" t="inlineStr">
        <is>
          <t>2</t>
        </is>
      </c>
      <c r="L234" t="inlineStr">
        <is>
          <t>2026-08-08</t>
        </is>
      </c>
      <c r="N234" t="inlineStr">
        <is>
          <t>IN_SCOPE_FINAL; SOURCE_CFG=IA-ST-CFG-0051; MARKET=MST İŞ MAKİNALARI (Yurt İçi); STATUS=IN OEM / EU PACKAGE</t>
        </is>
      </c>
      <c r="O234" t="inlineStr">
        <is>
          <t>2026-08-10T19:29:54Z</t>
        </is>
      </c>
      <c r="P234" t="inlineStr">
        <is>
          <t>2026-08-10T19:29:54Z</t>
        </is>
      </c>
    </row>
    <row r="235">
      <c r="A235" s="19" t="inlineStr">
        <is>
          <t>234</t>
        </is>
      </c>
      <c r="B235" s="19" t="inlineStr">
        <is>
          <t>SC-1014919-ST-030-STD-05</t>
        </is>
      </c>
      <c r="C235" t="inlineStr">
        <is>
          <t>1014919 → ST-030-STD-05</t>
        </is>
      </c>
      <c r="D235" s="19" t="inlineStr">
        <is>
          <t>2</t>
        </is>
      </c>
      <c r="E235" s="19" t="inlineStr">
        <is>
          <t>1687</t>
        </is>
      </c>
      <c r="F235" s="19" t="inlineStr">
        <is>
          <t>38</t>
        </is>
      </c>
      <c r="G235" s="19" t="n"/>
      <c r="H235" s="19" t="inlineStr">
        <is>
          <t>2</t>
        </is>
      </c>
      <c r="I235" s="19" t="n"/>
      <c r="J235" s="19" t="n"/>
      <c r="K235" s="19" t="inlineStr">
        <is>
          <t>2</t>
        </is>
      </c>
      <c r="L235" t="inlineStr">
        <is>
          <t>2026-08-08</t>
        </is>
      </c>
      <c r="N235" t="inlineStr">
        <is>
          <t>IN_SCOPE_FINAL; SOURCE_CFG=IA-ST-CFG-0051; MARKET=CEYTECH İŞ MAKİNALARI OEM (Yurt İçi); STATUS=IN OEM / EU PACKAGE</t>
        </is>
      </c>
      <c r="O235" t="inlineStr">
        <is>
          <t>2026-08-10T19:29:54Z</t>
        </is>
      </c>
      <c r="P235" t="inlineStr">
        <is>
          <t>2026-08-10T19:29:54Z</t>
        </is>
      </c>
    </row>
    <row r="236">
      <c r="A236" s="19" t="inlineStr">
        <is>
          <t>235</t>
        </is>
      </c>
      <c r="B236" s="19" t="inlineStr">
        <is>
          <t>SC-1011746-ST-030-STD-06</t>
        </is>
      </c>
      <c r="C236" t="inlineStr">
        <is>
          <t>1011746 → ST-030-STD-06</t>
        </is>
      </c>
      <c r="D236" s="19" t="inlineStr">
        <is>
          <t>2</t>
        </is>
      </c>
      <c r="E236" s="19" t="inlineStr">
        <is>
          <t>334</t>
        </is>
      </c>
      <c r="F236" s="19" t="inlineStr">
        <is>
          <t>39</t>
        </is>
      </c>
      <c r="G236" s="19" t="n"/>
      <c r="H236" s="19" t="inlineStr">
        <is>
          <t>2</t>
        </is>
      </c>
      <c r="I236" s="19" t="n"/>
      <c r="J236" s="19" t="n"/>
      <c r="K236" s="19" t="inlineStr">
        <is>
          <t>2</t>
        </is>
      </c>
      <c r="L236" t="inlineStr">
        <is>
          <t>2026-08-08</t>
        </is>
      </c>
      <c r="N236" t="inlineStr">
        <is>
          <t>IN_SCOPE_FINAL; SOURCE_CFG=IA-ST-CFG-0052; MARKET=TÜRKMENİSTAN; STATUS=IN OEM / EU PACKAGE</t>
        </is>
      </c>
      <c r="O236" t="inlineStr">
        <is>
          <t>2026-08-10T19:29:54Z</t>
        </is>
      </c>
      <c r="P236" t="inlineStr">
        <is>
          <t>2026-08-10T19:29:54Z</t>
        </is>
      </c>
    </row>
    <row r="237">
      <c r="A237" s="19" t="inlineStr">
        <is>
          <t>236</t>
        </is>
      </c>
      <c r="B237" s="19" t="inlineStr">
        <is>
          <t>SC-1015015-ST-030-STD-06</t>
        </is>
      </c>
      <c r="C237" t="inlineStr">
        <is>
          <t>1015015 → ST-030-STD-06</t>
        </is>
      </c>
      <c r="D237" s="19" t="inlineStr">
        <is>
          <t>2</t>
        </is>
      </c>
      <c r="E237" s="19" t="inlineStr">
        <is>
          <t>1775</t>
        </is>
      </c>
      <c r="F237" s="19" t="inlineStr">
        <is>
          <t>39</t>
        </is>
      </c>
      <c r="G237" s="19" t="n"/>
      <c r="H237" s="19" t="inlineStr">
        <is>
          <t>2</t>
        </is>
      </c>
      <c r="I237" s="19" t="n"/>
      <c r="J237" s="19" t="n"/>
      <c r="K237" s="19" t="inlineStr">
        <is>
          <t>2</t>
        </is>
      </c>
      <c r="L237" t="inlineStr">
        <is>
          <t>2026-08-08</t>
        </is>
      </c>
      <c r="N237" t="inlineStr">
        <is>
          <t>IN_SCOPE_FINAL; SOURCE_CFG=IA-ST-CFG-0052; MARKET=RAYA ENERGY INC. KANADA; STATUS=IN OEM / EU PACKAGE</t>
        </is>
      </c>
      <c r="O237" t="inlineStr">
        <is>
          <t>2026-08-10T19:29:54Z</t>
        </is>
      </c>
      <c r="P237" t="inlineStr">
        <is>
          <t>2026-08-10T19:29:54Z</t>
        </is>
      </c>
    </row>
    <row r="238">
      <c r="A238" s="19" t="inlineStr">
        <is>
          <t>237</t>
        </is>
      </c>
      <c r="B238" s="19" t="inlineStr">
        <is>
          <t>SC-1002216-ST-030-STD-06</t>
        </is>
      </c>
      <c r="C238" t="inlineStr">
        <is>
          <t>1002216 → ST-030-STD-06</t>
        </is>
      </c>
      <c r="D238" s="19" t="inlineStr">
        <is>
          <t>2</t>
        </is>
      </c>
      <c r="E238" s="19" t="inlineStr">
        <is>
          <t>10</t>
        </is>
      </c>
      <c r="F238" s="19" t="inlineStr">
        <is>
          <t>39</t>
        </is>
      </c>
      <c r="G238" s="19" t="n"/>
      <c r="H238" s="19" t="inlineStr">
        <is>
          <t>2</t>
        </is>
      </c>
      <c r="I238" s="19" t="n"/>
      <c r="J238" s="19" t="n"/>
      <c r="K238" s="19" t="inlineStr">
        <is>
          <t>2</t>
        </is>
      </c>
      <c r="L238" t="inlineStr">
        <is>
          <t>2026-08-08</t>
        </is>
      </c>
      <c r="N238" t="inlineStr">
        <is>
          <t>IN_SCOPE_FINAL; SOURCE_CFG=IA-ST-CFG-0052; MARKET=MISIR EEC; STATUS=IN OEM / EU PACKAGE</t>
        </is>
      </c>
      <c r="O238" t="inlineStr">
        <is>
          <t>2026-08-10T19:29:54Z</t>
        </is>
      </c>
      <c r="P238" t="inlineStr">
        <is>
          <t>2026-08-10T19:29:54Z</t>
        </is>
      </c>
    </row>
    <row r="239">
      <c r="A239" s="19" t="inlineStr">
        <is>
          <t>238</t>
        </is>
      </c>
      <c r="B239" s="19" t="inlineStr">
        <is>
          <t>SC-1002422-ST-030-STD-06</t>
        </is>
      </c>
      <c r="C239" t="inlineStr">
        <is>
          <t>1002422 → ST-030-STD-06</t>
        </is>
      </c>
      <c r="D239" s="19" t="inlineStr">
        <is>
          <t>2</t>
        </is>
      </c>
      <c r="E239" s="19" t="inlineStr">
        <is>
          <t>11</t>
        </is>
      </c>
      <c r="F239" s="19" t="inlineStr">
        <is>
          <t>39</t>
        </is>
      </c>
      <c r="G239" s="19" t="n"/>
      <c r="H239" s="19" t="inlineStr">
        <is>
          <t>2</t>
        </is>
      </c>
      <c r="I239" s="19" t="n"/>
      <c r="J239" s="19" t="n"/>
      <c r="K239" s="19" t="inlineStr">
        <is>
          <t>2</t>
        </is>
      </c>
      <c r="L239" t="inlineStr">
        <is>
          <t>2026-08-08</t>
        </is>
      </c>
      <c r="N239" t="inlineStr">
        <is>
          <t>IN_SCOPE_FINAL; SOURCE_CFG=IA-ST-CFG-0052; MARKET=None; STATUS=IN OEM / EU PACKAGE</t>
        </is>
      </c>
      <c r="O239" t="inlineStr">
        <is>
          <t>2026-08-10T19:29:54Z</t>
        </is>
      </c>
      <c r="P239" t="inlineStr">
        <is>
          <t>2026-08-10T19:29:54Z</t>
        </is>
      </c>
    </row>
    <row r="240">
      <c r="A240" s="19" t="inlineStr">
        <is>
          <t>239</t>
        </is>
      </c>
      <c r="B240" s="19" t="inlineStr">
        <is>
          <t>SC-1003330-ST-030-STD-06</t>
        </is>
      </c>
      <c r="C240" t="inlineStr">
        <is>
          <t>1003330 → ST-030-STD-06</t>
        </is>
      </c>
      <c r="D240" s="19" t="inlineStr">
        <is>
          <t>2</t>
        </is>
      </c>
      <c r="E240" s="19" t="inlineStr">
        <is>
          <t>15</t>
        </is>
      </c>
      <c r="F240" s="19" t="inlineStr">
        <is>
          <t>39</t>
        </is>
      </c>
      <c r="G240" s="19" t="n"/>
      <c r="H240" s="19" t="inlineStr">
        <is>
          <t>2</t>
        </is>
      </c>
      <c r="I240" s="19" t="n"/>
      <c r="J240" s="19" t="n"/>
      <c r="K240" s="19" t="inlineStr">
        <is>
          <t>2</t>
        </is>
      </c>
      <c r="L240" t="inlineStr">
        <is>
          <t>2026-08-08</t>
        </is>
      </c>
      <c r="N240" t="inlineStr">
        <is>
          <t>IN_SCOPE_FINAL; SOURCE_CFG=IA-ST-CFG-0052; MARKET=None; STATUS=IN OEM / EU PACKAGE</t>
        </is>
      </c>
      <c r="O240" t="inlineStr">
        <is>
          <t>2026-08-10T19:29:54Z</t>
        </is>
      </c>
      <c r="P240" t="inlineStr">
        <is>
          <t>2026-08-10T19:29:54Z</t>
        </is>
      </c>
    </row>
    <row r="241">
      <c r="A241" s="19" t="inlineStr">
        <is>
          <t>240</t>
        </is>
      </c>
      <c r="B241" s="19" t="inlineStr">
        <is>
          <t>SC-1003332-ST-030-STD-06</t>
        </is>
      </c>
      <c r="C241" t="inlineStr">
        <is>
          <t>1003332 → ST-030-STD-06</t>
        </is>
      </c>
      <c r="D241" s="19" t="inlineStr">
        <is>
          <t>2</t>
        </is>
      </c>
      <c r="E241" s="19" t="inlineStr">
        <is>
          <t>16</t>
        </is>
      </c>
      <c r="F241" s="19" t="inlineStr">
        <is>
          <t>39</t>
        </is>
      </c>
      <c r="G241" s="19" t="n"/>
      <c r="H241" s="19" t="inlineStr">
        <is>
          <t>2</t>
        </is>
      </c>
      <c r="I241" s="19" t="n"/>
      <c r="J241" s="19" t="n"/>
      <c r="K241" s="19" t="inlineStr">
        <is>
          <t>2</t>
        </is>
      </c>
      <c r="L241" t="inlineStr">
        <is>
          <t>2026-08-08</t>
        </is>
      </c>
      <c r="N241" t="inlineStr">
        <is>
          <t>IN_SCOPE_FINAL; SOURCE_CFG=IA-ST-CFG-0052; MARKET=None; STATUS=IN OEM / EU PACKAGE</t>
        </is>
      </c>
      <c r="O241" t="inlineStr">
        <is>
          <t>2026-08-10T19:29:54Z</t>
        </is>
      </c>
      <c r="P241" t="inlineStr">
        <is>
          <t>2026-08-10T19:29:54Z</t>
        </is>
      </c>
    </row>
    <row r="242">
      <c r="A242" s="19" t="inlineStr">
        <is>
          <t>241</t>
        </is>
      </c>
      <c r="B242" s="19" t="inlineStr">
        <is>
          <t>SC-1003539-ST-030-STD-06</t>
        </is>
      </c>
      <c r="C242" t="inlineStr">
        <is>
          <t>1003539 → ST-030-STD-06</t>
        </is>
      </c>
      <c r="D242" s="19" t="inlineStr">
        <is>
          <t>2</t>
        </is>
      </c>
      <c r="E242" s="19" t="inlineStr">
        <is>
          <t>20</t>
        </is>
      </c>
      <c r="F242" s="19" t="inlineStr">
        <is>
          <t>39</t>
        </is>
      </c>
      <c r="G242" s="19" t="n"/>
      <c r="H242" s="19" t="inlineStr">
        <is>
          <t>2</t>
        </is>
      </c>
      <c r="I242" s="19" t="n"/>
      <c r="J242" s="19" t="n"/>
      <c r="K242" s="19" t="inlineStr">
        <is>
          <t>2</t>
        </is>
      </c>
      <c r="L242" t="inlineStr">
        <is>
          <t>2026-08-08</t>
        </is>
      </c>
      <c r="N242" t="inlineStr">
        <is>
          <t>IN_SCOPE_FINAL; SOURCE_CFG=IA-ST-CFG-0052; MARKET=None; STATUS=IN OEM / EU PACKAGE</t>
        </is>
      </c>
      <c r="O242" t="inlineStr">
        <is>
          <t>2026-08-10T19:29:54Z</t>
        </is>
      </c>
      <c r="P242" t="inlineStr">
        <is>
          <t>2026-08-10T19:29:54Z</t>
        </is>
      </c>
    </row>
    <row r="243">
      <c r="A243" s="19" t="inlineStr">
        <is>
          <t>242</t>
        </is>
      </c>
      <c r="B243" s="19" t="inlineStr">
        <is>
          <t>SC-1003800-ST-030-STD-06</t>
        </is>
      </c>
      <c r="C243" t="inlineStr">
        <is>
          <t>1003800 → ST-030-STD-06</t>
        </is>
      </c>
      <c r="D243" s="19" t="inlineStr">
        <is>
          <t>2</t>
        </is>
      </c>
      <c r="E243" s="19" t="inlineStr">
        <is>
          <t>22</t>
        </is>
      </c>
      <c r="F243" s="19" t="inlineStr">
        <is>
          <t>39</t>
        </is>
      </c>
      <c r="G243" s="19" t="n"/>
      <c r="H243" s="19" t="inlineStr">
        <is>
          <t>2</t>
        </is>
      </c>
      <c r="I243" s="19" t="n"/>
      <c r="J243" s="19" t="n"/>
      <c r="K243" s="19" t="inlineStr">
        <is>
          <t>2</t>
        </is>
      </c>
      <c r="L243" t="inlineStr">
        <is>
          <t>2026-08-08</t>
        </is>
      </c>
      <c r="N243" t="inlineStr">
        <is>
          <t>IN_SCOPE_FINAL; SOURCE_CFG=IA-ST-CFG-0052; MARKET=None; STATUS=IN OEM / EU PACKAGE</t>
        </is>
      </c>
      <c r="O243" t="inlineStr">
        <is>
          <t>2026-08-10T19:29:54Z</t>
        </is>
      </c>
      <c r="P243" t="inlineStr">
        <is>
          <t>2026-08-10T19:29:54Z</t>
        </is>
      </c>
    </row>
    <row r="244">
      <c r="A244" s="19" t="inlineStr">
        <is>
          <t>243</t>
        </is>
      </c>
      <c r="B244" s="19" t="inlineStr">
        <is>
          <t>SC-1004037-ST-030-STD-06</t>
        </is>
      </c>
      <c r="C244" t="inlineStr">
        <is>
          <t>1004037 → ST-030-STD-06</t>
        </is>
      </c>
      <c r="D244" s="19" t="inlineStr">
        <is>
          <t>2</t>
        </is>
      </c>
      <c r="E244" s="19" t="inlineStr">
        <is>
          <t>27</t>
        </is>
      </c>
      <c r="F244" s="19" t="inlineStr">
        <is>
          <t>39</t>
        </is>
      </c>
      <c r="G244" s="19" t="n"/>
      <c r="H244" s="19" t="inlineStr">
        <is>
          <t>2</t>
        </is>
      </c>
      <c r="I244" s="19" t="n"/>
      <c r="J244" s="19" t="n"/>
      <c r="K244" s="19" t="inlineStr">
        <is>
          <t>2</t>
        </is>
      </c>
      <c r="L244" t="inlineStr">
        <is>
          <t>2026-08-08</t>
        </is>
      </c>
      <c r="N244" t="inlineStr">
        <is>
          <t>IN_SCOPE_FINAL; SOURCE_CFG=IA-ST-CFG-0052; MARKET=None; STATUS=IN OEM / EU PACKAGE</t>
        </is>
      </c>
      <c r="O244" t="inlineStr">
        <is>
          <t>2026-08-10T19:29:54Z</t>
        </is>
      </c>
      <c r="P244" t="inlineStr">
        <is>
          <t>2026-08-10T19:29:54Z</t>
        </is>
      </c>
    </row>
    <row r="245">
      <c r="A245" s="19" t="inlineStr">
        <is>
          <t>244</t>
        </is>
      </c>
      <c r="B245" s="19" t="inlineStr">
        <is>
          <t>SC-1004067-ST-030-STD-06</t>
        </is>
      </c>
      <c r="C245" t="inlineStr">
        <is>
          <t>1004067 → ST-030-STD-06</t>
        </is>
      </c>
      <c r="D245" s="19" t="inlineStr">
        <is>
          <t>2</t>
        </is>
      </c>
      <c r="E245" s="19" t="inlineStr">
        <is>
          <t>28</t>
        </is>
      </c>
      <c r="F245" s="19" t="inlineStr">
        <is>
          <t>39</t>
        </is>
      </c>
      <c r="G245" s="19" t="n"/>
      <c r="H245" s="19" t="inlineStr">
        <is>
          <t>2</t>
        </is>
      </c>
      <c r="I245" s="19" t="n"/>
      <c r="J245" s="19" t="n"/>
      <c r="K245" s="19" t="inlineStr">
        <is>
          <t>2</t>
        </is>
      </c>
      <c r="L245" t="inlineStr">
        <is>
          <t>2026-08-08</t>
        </is>
      </c>
      <c r="N245" t="inlineStr">
        <is>
          <t>IN_SCOPE_FINAL; SOURCE_CFG=IA-ST-CFG-0052; MARKET=SHAWKAT; STATUS=IN OEM / EU PACKAGE</t>
        </is>
      </c>
      <c r="O245" t="inlineStr">
        <is>
          <t>2026-08-10T19:29:54Z</t>
        </is>
      </c>
      <c r="P245" t="inlineStr">
        <is>
          <t>2026-08-10T19:29:54Z</t>
        </is>
      </c>
    </row>
    <row r="246">
      <c r="A246" s="19" t="inlineStr">
        <is>
          <t>245</t>
        </is>
      </c>
      <c r="B246" s="19" t="inlineStr">
        <is>
          <t>SC-1006152-ST-030-STD-06</t>
        </is>
      </c>
      <c r="C246" t="inlineStr">
        <is>
          <t>1006152 → ST-030-STD-06</t>
        </is>
      </c>
      <c r="D246" s="19" t="inlineStr">
        <is>
          <t>2</t>
        </is>
      </c>
      <c r="E246" s="19" t="inlineStr">
        <is>
          <t>57</t>
        </is>
      </c>
      <c r="F246" s="19" t="inlineStr">
        <is>
          <t>39</t>
        </is>
      </c>
      <c r="G246" s="19" t="n"/>
      <c r="H246" s="19" t="inlineStr">
        <is>
          <t>2</t>
        </is>
      </c>
      <c r="I246" s="19" t="n"/>
      <c r="J246" s="19" t="n"/>
      <c r="K246" s="19" t="inlineStr">
        <is>
          <t>2</t>
        </is>
      </c>
      <c r="L246" t="inlineStr">
        <is>
          <t>2026-08-08</t>
        </is>
      </c>
      <c r="N246" t="inlineStr">
        <is>
          <t>IN_SCOPE_FINAL; SOURCE_CFG=IA-ST-CFG-0052; MARKET=MISIR EEC; STATUS=IN OEM / EU PACKAGE</t>
        </is>
      </c>
      <c r="O246" t="inlineStr">
        <is>
          <t>2026-08-10T19:29:54Z</t>
        </is>
      </c>
      <c r="P246" t="inlineStr">
        <is>
          <t>2026-08-10T19:29:54Z</t>
        </is>
      </c>
    </row>
    <row r="247">
      <c r="A247" s="19" t="inlineStr">
        <is>
          <t>246</t>
        </is>
      </c>
      <c r="B247" s="19" t="inlineStr">
        <is>
          <t>SC-1006165-ST-030-STD-06</t>
        </is>
      </c>
      <c r="C247" t="inlineStr">
        <is>
          <t>1006165 → ST-030-STD-06</t>
        </is>
      </c>
      <c r="D247" s="19" t="inlineStr">
        <is>
          <t>2</t>
        </is>
      </c>
      <c r="E247" s="19" t="inlineStr">
        <is>
          <t>58</t>
        </is>
      </c>
      <c r="F247" s="19" t="inlineStr">
        <is>
          <t>39</t>
        </is>
      </c>
      <c r="G247" s="19" t="n"/>
      <c r="H247" s="19" t="inlineStr">
        <is>
          <t>2</t>
        </is>
      </c>
      <c r="I247" s="19" t="n"/>
      <c r="J247" s="19" t="n"/>
      <c r="K247" s="19" t="inlineStr">
        <is>
          <t>2</t>
        </is>
      </c>
      <c r="L247" t="inlineStr">
        <is>
          <t>2026-08-08</t>
        </is>
      </c>
      <c r="N247" t="inlineStr">
        <is>
          <t>IN_SCOPE_FINAL; SOURCE_CFG=IA-ST-CFG-0052; MARKET=None; STATUS=IN OEM / EU PACKAGE</t>
        </is>
      </c>
      <c r="O247" t="inlineStr">
        <is>
          <t>2026-08-10T19:29:54Z</t>
        </is>
      </c>
      <c r="P247" t="inlineStr">
        <is>
          <t>2026-08-10T19:29:54Z</t>
        </is>
      </c>
    </row>
    <row r="248">
      <c r="A248" s="19" t="inlineStr">
        <is>
          <t>247</t>
        </is>
      </c>
      <c r="B248" s="19" t="inlineStr">
        <is>
          <t>SC-1006428-ST-030-STD-06</t>
        </is>
      </c>
      <c r="C248" t="inlineStr">
        <is>
          <t>1006428 → ST-030-STD-06</t>
        </is>
      </c>
      <c r="D248" s="19" t="inlineStr">
        <is>
          <t>2</t>
        </is>
      </c>
      <c r="E248" s="19" t="inlineStr">
        <is>
          <t>59</t>
        </is>
      </c>
      <c r="F248" s="19" t="inlineStr">
        <is>
          <t>39</t>
        </is>
      </c>
      <c r="G248" s="19" t="n"/>
      <c r="H248" s="19" t="inlineStr">
        <is>
          <t>2</t>
        </is>
      </c>
      <c r="I248" s="19" t="n"/>
      <c r="J248" s="19" t="n"/>
      <c r="K248" s="19" t="inlineStr">
        <is>
          <t>2</t>
        </is>
      </c>
      <c r="L248" t="inlineStr">
        <is>
          <t>2026-08-08</t>
        </is>
      </c>
      <c r="N248" t="inlineStr">
        <is>
          <t>IN_SCOPE_FINAL; SOURCE_CFG=IA-ST-CFG-0052; MARKET=JANENE İSRAİL; STATUS=IN OEM / EU PACKAGE</t>
        </is>
      </c>
      <c r="O248" t="inlineStr">
        <is>
          <t>2026-08-10T19:29:54Z</t>
        </is>
      </c>
      <c r="P248" t="inlineStr">
        <is>
          <t>2026-08-10T19:29:54Z</t>
        </is>
      </c>
    </row>
    <row r="249">
      <c r="A249" s="19" t="inlineStr">
        <is>
          <t>248</t>
        </is>
      </c>
      <c r="B249" s="19" t="inlineStr">
        <is>
          <t>SC-1007602-ST-030-STD-06</t>
        </is>
      </c>
      <c r="C249" t="inlineStr">
        <is>
          <t>1007602 → ST-030-STD-06</t>
        </is>
      </c>
      <c r="D249" s="19" t="inlineStr">
        <is>
          <t>2</t>
        </is>
      </c>
      <c r="E249" s="19" t="inlineStr">
        <is>
          <t>73</t>
        </is>
      </c>
      <c r="F249" s="19" t="inlineStr">
        <is>
          <t>39</t>
        </is>
      </c>
      <c r="G249" s="19" t="n"/>
      <c r="H249" s="19" t="inlineStr">
        <is>
          <t>2</t>
        </is>
      </c>
      <c r="I249" s="19" t="n"/>
      <c r="J249" s="19" t="n"/>
      <c r="K249" s="19" t="inlineStr">
        <is>
          <t>2</t>
        </is>
      </c>
      <c r="L249" t="inlineStr">
        <is>
          <t>2026-08-08</t>
        </is>
      </c>
      <c r="N249" t="inlineStr">
        <is>
          <t>IN_SCOPE_FINAL; SOURCE_CFG=IA-ST-CFG-0052; MARKET=SHAWKAT; STATUS=IN OEM / EU PACKAGE</t>
        </is>
      </c>
      <c r="O249" t="inlineStr">
        <is>
          <t>2026-08-10T19:29:54Z</t>
        </is>
      </c>
      <c r="P249" t="inlineStr">
        <is>
          <t>2026-08-10T19:29:54Z</t>
        </is>
      </c>
    </row>
    <row r="250">
      <c r="A250" s="19" t="inlineStr">
        <is>
          <t>249</t>
        </is>
      </c>
      <c r="B250" s="19" t="inlineStr">
        <is>
          <t>SC-1007778-ST-030-STD-06</t>
        </is>
      </c>
      <c r="C250" t="inlineStr">
        <is>
          <t>1007778 → ST-030-STD-06</t>
        </is>
      </c>
      <c r="D250" s="19" t="inlineStr">
        <is>
          <t>2</t>
        </is>
      </c>
      <c r="E250" s="19" t="inlineStr">
        <is>
          <t>76</t>
        </is>
      </c>
      <c r="F250" s="19" t="inlineStr">
        <is>
          <t>39</t>
        </is>
      </c>
      <c r="G250" s="19" t="n"/>
      <c r="H250" s="19" t="inlineStr">
        <is>
          <t>2</t>
        </is>
      </c>
      <c r="I250" s="19" t="n"/>
      <c r="J250" s="19" t="n"/>
      <c r="K250" s="19" t="inlineStr">
        <is>
          <t>2</t>
        </is>
      </c>
      <c r="L250" t="inlineStr">
        <is>
          <t>2026-08-08</t>
        </is>
      </c>
      <c r="N250" t="inlineStr">
        <is>
          <t>IN_SCOPE_FINAL; SOURCE_CFG=IA-ST-CFG-0052; MARKET=SHAWKAT; STATUS=IN OEM / EU PACKAGE</t>
        </is>
      </c>
      <c r="O250" t="inlineStr">
        <is>
          <t>2026-08-10T19:29:54Z</t>
        </is>
      </c>
      <c r="P250" t="inlineStr">
        <is>
          <t>2026-08-10T19:29:54Z</t>
        </is>
      </c>
    </row>
    <row r="251">
      <c r="A251" s="19" t="inlineStr">
        <is>
          <t>250</t>
        </is>
      </c>
      <c r="B251" s="19" t="inlineStr">
        <is>
          <t>SC-1008794-ST-030-STD-06</t>
        </is>
      </c>
      <c r="C251" t="inlineStr">
        <is>
          <t>1008794 → ST-030-STD-06</t>
        </is>
      </c>
      <c r="D251" s="19" t="inlineStr">
        <is>
          <t>2</t>
        </is>
      </c>
      <c r="E251" s="19" t="inlineStr">
        <is>
          <t>92</t>
        </is>
      </c>
      <c r="F251" s="19" t="inlineStr">
        <is>
          <t>39</t>
        </is>
      </c>
      <c r="G251" s="19" t="n"/>
      <c r="H251" s="19" t="inlineStr">
        <is>
          <t>2</t>
        </is>
      </c>
      <c r="I251" s="19" t="n"/>
      <c r="J251" s="19" t="n"/>
      <c r="K251" s="19" t="inlineStr">
        <is>
          <t>2</t>
        </is>
      </c>
      <c r="L251" t="inlineStr">
        <is>
          <t>2026-08-08</t>
        </is>
      </c>
      <c r="N251" t="inlineStr">
        <is>
          <t>IN_SCOPE_FINAL; SOURCE_CFG=IA-ST-CFG-0052; MARKET=None; STATUS=IN OEM / EU PACKAGE</t>
        </is>
      </c>
      <c r="O251" t="inlineStr">
        <is>
          <t>2026-08-10T19:29:54Z</t>
        </is>
      </c>
      <c r="P251" t="inlineStr">
        <is>
          <t>2026-08-10T19:29:54Z</t>
        </is>
      </c>
    </row>
    <row r="252">
      <c r="A252" s="19" t="inlineStr">
        <is>
          <t>251</t>
        </is>
      </c>
      <c r="B252" s="19" t="inlineStr">
        <is>
          <t>SC-1009175-ST-030-STD-06</t>
        </is>
      </c>
      <c r="C252" t="inlineStr">
        <is>
          <t>1009175 → ST-030-STD-06</t>
        </is>
      </c>
      <c r="D252" s="19" t="inlineStr">
        <is>
          <t>2</t>
        </is>
      </c>
      <c r="E252" s="19" t="inlineStr">
        <is>
          <t>105</t>
        </is>
      </c>
      <c r="F252" s="19" t="inlineStr">
        <is>
          <t>39</t>
        </is>
      </c>
      <c r="G252" s="19" t="n"/>
      <c r="H252" s="19" t="inlineStr">
        <is>
          <t>2</t>
        </is>
      </c>
      <c r="I252" s="19" t="n"/>
      <c r="J252" s="19" t="n"/>
      <c r="K252" s="19" t="inlineStr">
        <is>
          <t>2</t>
        </is>
      </c>
      <c r="L252" t="inlineStr">
        <is>
          <t>2026-08-08</t>
        </is>
      </c>
      <c r="N252" t="inlineStr">
        <is>
          <t>IN_SCOPE_FINAL; SOURCE_CFG=IA-ST-CFG-0052; MARKET=MISIR NACITA; STATUS=IN OEM / EU PACKAGE</t>
        </is>
      </c>
      <c r="O252" t="inlineStr">
        <is>
          <t>2026-08-10T19:29:54Z</t>
        </is>
      </c>
      <c r="P252" t="inlineStr">
        <is>
          <t>2026-08-10T19:29:54Z</t>
        </is>
      </c>
    </row>
    <row r="253">
      <c r="A253" s="19" t="inlineStr">
        <is>
          <t>252</t>
        </is>
      </c>
      <c r="B253" s="19" t="inlineStr">
        <is>
          <t>SC-1009176-ST-030-STD-06</t>
        </is>
      </c>
      <c r="C253" t="inlineStr">
        <is>
          <t>1009176 → ST-030-STD-06</t>
        </is>
      </c>
      <c r="D253" s="19" t="inlineStr">
        <is>
          <t>2</t>
        </is>
      </c>
      <c r="E253" s="19" t="inlineStr">
        <is>
          <t>106</t>
        </is>
      </c>
      <c r="F253" s="19" t="inlineStr">
        <is>
          <t>39</t>
        </is>
      </c>
      <c r="G253" s="19" t="n"/>
      <c r="H253" s="19" t="inlineStr">
        <is>
          <t>2</t>
        </is>
      </c>
      <c r="I253" s="19" t="n"/>
      <c r="J253" s="19" t="n"/>
      <c r="K253" s="19" t="inlineStr">
        <is>
          <t>2</t>
        </is>
      </c>
      <c r="L253" t="inlineStr">
        <is>
          <t>2026-08-08</t>
        </is>
      </c>
      <c r="N253" t="inlineStr">
        <is>
          <t>IN_SCOPE_FINAL; SOURCE_CFG=IA-ST-CFG-0052; MARKET=MISIR AL AMAN; STATUS=IN OEM / EU PACKAGE</t>
        </is>
      </c>
      <c r="O253" t="inlineStr">
        <is>
          <t>2026-08-10T19:29:54Z</t>
        </is>
      </c>
      <c r="P253" t="inlineStr">
        <is>
          <t>2026-08-10T19:29:54Z</t>
        </is>
      </c>
    </row>
    <row r="254">
      <c r="A254" s="19" t="inlineStr">
        <is>
          <t>253</t>
        </is>
      </c>
      <c r="B254" s="19" t="inlineStr">
        <is>
          <t>SC-1009287-ST-030-STD-06</t>
        </is>
      </c>
      <c r="C254" t="inlineStr">
        <is>
          <t>1009287 → ST-030-STD-06</t>
        </is>
      </c>
      <c r="D254" s="19" t="inlineStr">
        <is>
          <t>2</t>
        </is>
      </c>
      <c r="E254" s="19" t="inlineStr">
        <is>
          <t>111</t>
        </is>
      </c>
      <c r="F254" s="19" t="inlineStr">
        <is>
          <t>39</t>
        </is>
      </c>
      <c r="G254" s="19" t="n"/>
      <c r="H254" s="19" t="inlineStr">
        <is>
          <t>2</t>
        </is>
      </c>
      <c r="I254" s="19" t="n"/>
      <c r="J254" s="19" t="n"/>
      <c r="K254" s="19" t="inlineStr">
        <is>
          <t>2</t>
        </is>
      </c>
      <c r="L254" t="inlineStr">
        <is>
          <t>2026-08-08</t>
        </is>
      </c>
      <c r="N254" t="inlineStr">
        <is>
          <t>IN_SCOPE_FINAL; SOURCE_CFG=IA-ST-CFG-0052; MARKET=MISIR ATWAN; STATUS=IN OEM / EU PACKAGE</t>
        </is>
      </c>
      <c r="O254" t="inlineStr">
        <is>
          <t>2026-08-10T19:29:54Z</t>
        </is>
      </c>
      <c r="P254" t="inlineStr">
        <is>
          <t>2026-08-10T19:29:54Z</t>
        </is>
      </c>
    </row>
    <row r="255">
      <c r="A255" s="19" t="inlineStr">
        <is>
          <t>254</t>
        </is>
      </c>
      <c r="B255" s="19" t="inlineStr">
        <is>
          <t>SC-1009430-ST-030-STD-06</t>
        </is>
      </c>
      <c r="C255" t="inlineStr">
        <is>
          <t>1009430 → ST-030-STD-06</t>
        </is>
      </c>
      <c r="D255" s="19" t="inlineStr">
        <is>
          <t>2</t>
        </is>
      </c>
      <c r="E255" s="19" t="inlineStr">
        <is>
          <t>113</t>
        </is>
      </c>
      <c r="F255" s="19" t="inlineStr">
        <is>
          <t>39</t>
        </is>
      </c>
      <c r="G255" s="19" t="n"/>
      <c r="H255" s="19" t="inlineStr">
        <is>
          <t>2</t>
        </is>
      </c>
      <c r="I255" s="19" t="n"/>
      <c r="J255" s="19" t="n"/>
      <c r="K255" s="19" t="inlineStr">
        <is>
          <t>2</t>
        </is>
      </c>
      <c r="L255" t="inlineStr">
        <is>
          <t>2026-08-08</t>
        </is>
      </c>
      <c r="N255" t="inlineStr">
        <is>
          <t>IN_SCOPE_FINAL; SOURCE_CFG=IA-ST-CFG-0052; MARKET=NASA; STATUS=IN OEM / EU PACKAGE</t>
        </is>
      </c>
      <c r="O255" t="inlineStr">
        <is>
          <t>2026-08-10T19:29:54Z</t>
        </is>
      </c>
      <c r="P255" t="inlineStr">
        <is>
          <t>2026-08-10T19:29:54Z</t>
        </is>
      </c>
    </row>
    <row r="256">
      <c r="A256" s="19" t="inlineStr">
        <is>
          <t>255</t>
        </is>
      </c>
      <c r="B256" s="19" t="inlineStr">
        <is>
          <t>SC-1009982-ST-030-STD-06</t>
        </is>
      </c>
      <c r="C256" t="inlineStr">
        <is>
          <t>1009982 → ST-030-STD-06</t>
        </is>
      </c>
      <c r="D256" s="19" t="inlineStr">
        <is>
          <t>2</t>
        </is>
      </c>
      <c r="E256" s="19" t="inlineStr">
        <is>
          <t>138</t>
        </is>
      </c>
      <c r="F256" s="19" t="inlineStr">
        <is>
          <t>39</t>
        </is>
      </c>
      <c r="G256" s="19" t="n"/>
      <c r="H256" s="19" t="inlineStr">
        <is>
          <t>2</t>
        </is>
      </c>
      <c r="I256" s="19" t="n"/>
      <c r="J256" s="19" t="n"/>
      <c r="K256" s="19" t="inlineStr">
        <is>
          <t>2</t>
        </is>
      </c>
      <c r="L256" t="inlineStr">
        <is>
          <t>2026-08-08</t>
        </is>
      </c>
      <c r="N256" t="inlineStr">
        <is>
          <t>IN_SCOPE_FINAL; SOURCE_CFG=IA-ST-CFG-0052; MARKET=REY &amp; LENFERNA LUCAS; STATUS=IN OEM / EU PACKAGE</t>
        </is>
      </c>
      <c r="O256" t="inlineStr">
        <is>
          <t>2026-08-10T19:29:54Z</t>
        </is>
      </c>
      <c r="P256" t="inlineStr">
        <is>
          <t>2026-08-10T19:29:54Z</t>
        </is>
      </c>
    </row>
    <row r="257">
      <c r="A257" s="19" t="inlineStr">
        <is>
          <t>256</t>
        </is>
      </c>
      <c r="B257" s="19" t="inlineStr">
        <is>
          <t>SC-1010051-ST-030-STD-06</t>
        </is>
      </c>
      <c r="C257" t="inlineStr">
        <is>
          <t>1010051 → ST-030-STD-06</t>
        </is>
      </c>
      <c r="D257" s="19" t="inlineStr">
        <is>
          <t>2</t>
        </is>
      </c>
      <c r="E257" s="19" t="inlineStr">
        <is>
          <t>152</t>
        </is>
      </c>
      <c r="F257" s="19" t="inlineStr">
        <is>
          <t>39</t>
        </is>
      </c>
      <c r="G257" s="19" t="n"/>
      <c r="H257" s="19" t="inlineStr">
        <is>
          <t>2</t>
        </is>
      </c>
      <c r="I257" s="19" t="n"/>
      <c r="J257" s="19" t="n"/>
      <c r="K257" s="19" t="inlineStr">
        <is>
          <t>2</t>
        </is>
      </c>
      <c r="L257" t="inlineStr">
        <is>
          <t>2026-08-08</t>
        </is>
      </c>
      <c r="N257" t="inlineStr">
        <is>
          <t>IN_SCOPE_FINAL; SOURCE_CFG=IA-ST-CFG-0052; MARKET=REY &amp; LENFERNA LUCAS; STATUS=IN OEM / EU PACKAGE</t>
        </is>
      </c>
      <c r="O257" t="inlineStr">
        <is>
          <t>2026-08-10T19:29:54Z</t>
        </is>
      </c>
      <c r="P257" t="inlineStr">
        <is>
          <t>2026-08-10T19:29:54Z</t>
        </is>
      </c>
    </row>
    <row r="258">
      <c r="A258" s="19" t="inlineStr">
        <is>
          <t>257</t>
        </is>
      </c>
      <c r="B258" s="19" t="inlineStr">
        <is>
          <t>SC-1010104-ST-030-STD-06</t>
        </is>
      </c>
      <c r="C258" t="inlineStr">
        <is>
          <t>1010104 → ST-030-STD-06</t>
        </is>
      </c>
      <c r="D258" s="19" t="inlineStr">
        <is>
          <t>2</t>
        </is>
      </c>
      <c r="E258" s="19" t="inlineStr">
        <is>
          <t>158</t>
        </is>
      </c>
      <c r="F258" s="19" t="inlineStr">
        <is>
          <t>39</t>
        </is>
      </c>
      <c r="G258" s="19" t="n"/>
      <c r="H258" s="19" t="inlineStr">
        <is>
          <t>2</t>
        </is>
      </c>
      <c r="I258" s="19" t="n"/>
      <c r="J258" s="19" t="n"/>
      <c r="K258" s="19" t="inlineStr">
        <is>
          <t>2</t>
        </is>
      </c>
      <c r="L258" t="inlineStr">
        <is>
          <t>2026-08-08</t>
        </is>
      </c>
      <c r="N258" t="inlineStr">
        <is>
          <t>IN_SCOPE_FINAL; SOURCE_CFG=IA-ST-CFG-0052; MARKET=JANENE İSRAİL; STATUS=IN OEM / EU PACKAGE</t>
        </is>
      </c>
      <c r="O258" t="inlineStr">
        <is>
          <t>2026-08-10T19:29:54Z</t>
        </is>
      </c>
      <c r="P258" t="inlineStr">
        <is>
          <t>2026-08-10T19:29:54Z</t>
        </is>
      </c>
    </row>
    <row r="259">
      <c r="A259" s="19" t="inlineStr">
        <is>
          <t>258</t>
        </is>
      </c>
      <c r="B259" s="19" t="inlineStr">
        <is>
          <t>SC-1010445-ST-030-STD-06</t>
        </is>
      </c>
      <c r="C259" t="inlineStr">
        <is>
          <t>1010445 → ST-030-STD-06</t>
        </is>
      </c>
      <c r="D259" s="19" t="inlineStr">
        <is>
          <t>2</t>
        </is>
      </c>
      <c r="E259" s="19" t="inlineStr">
        <is>
          <t>190</t>
        </is>
      </c>
      <c r="F259" s="19" t="inlineStr">
        <is>
          <t>39</t>
        </is>
      </c>
      <c r="G259" s="19" t="n"/>
      <c r="H259" s="19" t="inlineStr">
        <is>
          <t>2</t>
        </is>
      </c>
      <c r="I259" s="19" t="n"/>
      <c r="J259" s="19" t="n"/>
      <c r="K259" s="19" t="inlineStr">
        <is>
          <t>2</t>
        </is>
      </c>
      <c r="L259" t="inlineStr">
        <is>
          <t>2026-08-08</t>
        </is>
      </c>
      <c r="N259" t="inlineStr">
        <is>
          <t>IN_SCOPE_FINAL; SOURCE_CFG=IA-ST-CFG-0052; MARKET=None; STATUS=IN OEM / EU PACKAGE</t>
        </is>
      </c>
      <c r="O259" t="inlineStr">
        <is>
          <t>2026-08-10T19:29:54Z</t>
        </is>
      </c>
      <c r="P259" t="inlineStr">
        <is>
          <t>2026-08-10T19:29:54Z</t>
        </is>
      </c>
    </row>
    <row r="260">
      <c r="A260" s="19" t="inlineStr">
        <is>
          <t>259</t>
        </is>
      </c>
      <c r="B260" s="19" t="inlineStr">
        <is>
          <t>SC-1010446-ST-030-STD-06</t>
        </is>
      </c>
      <c r="C260" t="inlineStr">
        <is>
          <t>1010446 → ST-030-STD-06</t>
        </is>
      </c>
      <c r="D260" s="19" t="inlineStr">
        <is>
          <t>2</t>
        </is>
      </c>
      <c r="E260" s="19" t="inlineStr">
        <is>
          <t>191</t>
        </is>
      </c>
      <c r="F260" s="19" t="inlineStr">
        <is>
          <t>39</t>
        </is>
      </c>
      <c r="G260" s="19" t="n"/>
      <c r="H260" s="19" t="inlineStr">
        <is>
          <t>2</t>
        </is>
      </c>
      <c r="I260" s="19" t="n"/>
      <c r="J260" s="19" t="n"/>
      <c r="K260" s="19" t="inlineStr">
        <is>
          <t>2</t>
        </is>
      </c>
      <c r="L260" t="inlineStr">
        <is>
          <t>2026-08-08</t>
        </is>
      </c>
      <c r="N260" t="inlineStr">
        <is>
          <t>IN_SCOPE_FINAL; SOURCE_CFG=IA-ST-CFG-0052; MARKET=None; STATUS=IN OEM / EU PACKAGE</t>
        </is>
      </c>
      <c r="O260" t="inlineStr">
        <is>
          <t>2026-08-10T19:29:54Z</t>
        </is>
      </c>
      <c r="P260" t="inlineStr">
        <is>
          <t>2026-08-10T19:29:54Z</t>
        </is>
      </c>
    </row>
    <row r="261">
      <c r="A261" s="19" t="inlineStr">
        <is>
          <t>260</t>
        </is>
      </c>
      <c r="B261" s="19" t="inlineStr">
        <is>
          <t>SC-1010458-ST-030-STD-06</t>
        </is>
      </c>
      <c r="C261" t="inlineStr">
        <is>
          <t>1010458 → ST-030-STD-06</t>
        </is>
      </c>
      <c r="D261" s="19" t="inlineStr">
        <is>
          <t>2</t>
        </is>
      </c>
      <c r="E261" s="19" t="inlineStr">
        <is>
          <t>195</t>
        </is>
      </c>
      <c r="F261" s="19" t="inlineStr">
        <is>
          <t>39</t>
        </is>
      </c>
      <c r="G261" s="19" t="n"/>
      <c r="H261" s="19" t="inlineStr">
        <is>
          <t>2</t>
        </is>
      </c>
      <c r="I261" s="19" t="n"/>
      <c r="J261" s="19" t="n"/>
      <c r="K261" s="19" t="inlineStr">
        <is>
          <t>2</t>
        </is>
      </c>
      <c r="L261" t="inlineStr">
        <is>
          <t>2026-08-08</t>
        </is>
      </c>
      <c r="N261" t="inlineStr">
        <is>
          <t>IN_SCOPE_FINAL; SOURCE_CFG=IA-ST-CFG-0052; MARKET=None; STATUS=IN OEM / EU PACKAGE</t>
        </is>
      </c>
      <c r="O261" t="inlineStr">
        <is>
          <t>2026-08-10T19:29:54Z</t>
        </is>
      </c>
      <c r="P261" t="inlineStr">
        <is>
          <t>2026-08-10T19:29:54Z</t>
        </is>
      </c>
    </row>
    <row r="262">
      <c r="A262" s="19" t="inlineStr">
        <is>
          <t>261</t>
        </is>
      </c>
      <c r="B262" s="19" t="inlineStr">
        <is>
          <t>SC-1010479-ST-030-STD-06</t>
        </is>
      </c>
      <c r="C262" t="inlineStr">
        <is>
          <t>1010479 → ST-030-STD-06</t>
        </is>
      </c>
      <c r="D262" s="19" t="inlineStr">
        <is>
          <t>2</t>
        </is>
      </c>
      <c r="E262" s="19" t="inlineStr">
        <is>
          <t>198</t>
        </is>
      </c>
      <c r="F262" s="19" t="inlineStr">
        <is>
          <t>39</t>
        </is>
      </c>
      <c r="G262" s="19" t="n"/>
      <c r="H262" s="19" t="inlineStr">
        <is>
          <t>2</t>
        </is>
      </c>
      <c r="I262" s="19" t="n"/>
      <c r="J262" s="19" t="n"/>
      <c r="K262" s="19" t="inlineStr">
        <is>
          <t>2</t>
        </is>
      </c>
      <c r="L262" t="inlineStr">
        <is>
          <t>2026-08-08</t>
        </is>
      </c>
      <c r="N262" t="inlineStr">
        <is>
          <t>IN_SCOPE_FINAL; SOURCE_CFG=IA-ST-CFG-0052; MARKET=None; STATUS=IN OEM / EU PACKAGE</t>
        </is>
      </c>
      <c r="O262" t="inlineStr">
        <is>
          <t>2026-08-10T19:29:54Z</t>
        </is>
      </c>
      <c r="P262" t="inlineStr">
        <is>
          <t>2026-08-10T19:29:54Z</t>
        </is>
      </c>
    </row>
    <row r="263">
      <c r="A263" s="19" t="inlineStr">
        <is>
          <t>262</t>
        </is>
      </c>
      <c r="B263" s="19" t="inlineStr">
        <is>
          <t>SC-1010484-ST-030-STD-06</t>
        </is>
      </c>
      <c r="C263" t="inlineStr">
        <is>
          <t>1010484 → ST-030-STD-06</t>
        </is>
      </c>
      <c r="D263" s="19" t="inlineStr">
        <is>
          <t>2</t>
        </is>
      </c>
      <c r="E263" s="19" t="inlineStr">
        <is>
          <t>199</t>
        </is>
      </c>
      <c r="F263" s="19" t="inlineStr">
        <is>
          <t>39</t>
        </is>
      </c>
      <c r="G263" s="19" t="n"/>
      <c r="H263" s="19" t="inlineStr">
        <is>
          <t>2</t>
        </is>
      </c>
      <c r="I263" s="19" t="n"/>
      <c r="J263" s="19" t="n"/>
      <c r="K263" s="19" t="inlineStr">
        <is>
          <t>2</t>
        </is>
      </c>
      <c r="L263" t="inlineStr">
        <is>
          <t>2026-08-08</t>
        </is>
      </c>
      <c r="N263" t="inlineStr">
        <is>
          <t>IN_SCOPE_FINAL; SOURCE_CFG=IA-ST-CFG-0052; MARKET=GULF; STATUS=IN OEM / EU PACKAGE</t>
        </is>
      </c>
      <c r="O263" t="inlineStr">
        <is>
          <t>2026-08-10T19:29:54Z</t>
        </is>
      </c>
      <c r="P263" t="inlineStr">
        <is>
          <t>2026-08-10T19:29:54Z</t>
        </is>
      </c>
    </row>
    <row r="264">
      <c r="A264" s="19" t="inlineStr">
        <is>
          <t>263</t>
        </is>
      </c>
      <c r="B264" s="19" t="inlineStr">
        <is>
          <t>SC-1010502-ST-030-STD-06</t>
        </is>
      </c>
      <c r="C264" t="inlineStr">
        <is>
          <t>1010502 → ST-030-STD-06</t>
        </is>
      </c>
      <c r="D264" s="19" t="inlineStr">
        <is>
          <t>2</t>
        </is>
      </c>
      <c r="E264" s="19" t="inlineStr">
        <is>
          <t>201</t>
        </is>
      </c>
      <c r="F264" s="19" t="inlineStr">
        <is>
          <t>39</t>
        </is>
      </c>
      <c r="G264" s="19" t="n"/>
      <c r="H264" s="19" t="inlineStr">
        <is>
          <t>2</t>
        </is>
      </c>
      <c r="I264" s="19" t="n"/>
      <c r="J264" s="19" t="n"/>
      <c r="K264" s="19" t="inlineStr">
        <is>
          <t>2</t>
        </is>
      </c>
      <c r="L264" t="inlineStr">
        <is>
          <t>2026-08-08</t>
        </is>
      </c>
      <c r="N264" t="inlineStr">
        <is>
          <t>IN_SCOPE_FINAL; SOURCE_CFG=IA-ST-CFG-0052; MARKET=None; STATUS=IN OEM / EU PACKAGE</t>
        </is>
      </c>
      <c r="O264" t="inlineStr">
        <is>
          <t>2026-08-10T19:29:54Z</t>
        </is>
      </c>
      <c r="P264" t="inlineStr">
        <is>
          <t>2026-08-10T19:29:54Z</t>
        </is>
      </c>
    </row>
    <row r="265">
      <c r="A265" s="19" t="inlineStr">
        <is>
          <t>264</t>
        </is>
      </c>
      <c r="B265" s="19" t="inlineStr">
        <is>
          <t>SC-1010542-ST-030-STD-06</t>
        </is>
      </c>
      <c r="C265" t="inlineStr">
        <is>
          <t>1010542 → ST-030-STD-06</t>
        </is>
      </c>
      <c r="D265" s="19" t="inlineStr">
        <is>
          <t>2</t>
        </is>
      </c>
      <c r="E265" s="19" t="inlineStr">
        <is>
          <t>203</t>
        </is>
      </c>
      <c r="F265" s="19" t="inlineStr">
        <is>
          <t>39</t>
        </is>
      </c>
      <c r="G265" s="19" t="n"/>
      <c r="H265" s="19" t="inlineStr">
        <is>
          <t>2</t>
        </is>
      </c>
      <c r="I265" s="19" t="n"/>
      <c r="J265" s="19" t="n"/>
      <c r="K265" s="19" t="inlineStr">
        <is>
          <t>2</t>
        </is>
      </c>
      <c r="L265" t="inlineStr">
        <is>
          <t>2026-08-08</t>
        </is>
      </c>
      <c r="N265" t="inlineStr">
        <is>
          <t>IN_SCOPE_FINAL; SOURCE_CFG=IA-ST-CFG-0052; MARKET=SHAWKAT; STATUS=IN OEM / EU PACKAGE</t>
        </is>
      </c>
      <c r="O265" t="inlineStr">
        <is>
          <t>2026-08-10T19:29:54Z</t>
        </is>
      </c>
      <c r="P265" t="inlineStr">
        <is>
          <t>2026-08-10T19:29:54Z</t>
        </is>
      </c>
    </row>
    <row r="266">
      <c r="A266" s="19" t="inlineStr">
        <is>
          <t>265</t>
        </is>
      </c>
      <c r="B266" s="19" t="inlineStr">
        <is>
          <t>SC-1010944-ST-030-STD-06</t>
        </is>
      </c>
      <c r="C266" t="inlineStr">
        <is>
          <t>1010944 → ST-030-STD-06</t>
        </is>
      </c>
      <c r="D266" s="19" t="inlineStr">
        <is>
          <t>2</t>
        </is>
      </c>
      <c r="E266" s="19" t="inlineStr">
        <is>
          <t>215</t>
        </is>
      </c>
      <c r="F266" s="19" t="inlineStr">
        <is>
          <t>39</t>
        </is>
      </c>
      <c r="G266" s="19" t="n"/>
      <c r="H266" s="19" t="inlineStr">
        <is>
          <t>2</t>
        </is>
      </c>
      <c r="I266" s="19" t="n"/>
      <c r="J266" s="19" t="n"/>
      <c r="K266" s="19" t="inlineStr">
        <is>
          <t>2</t>
        </is>
      </c>
      <c r="L266" t="inlineStr">
        <is>
          <t>2026-08-08</t>
        </is>
      </c>
      <c r="N266" t="inlineStr">
        <is>
          <t>IN_SCOPE_FINAL; SOURCE_CFG=IA-ST-CFG-0052; MARKET=None; STATUS=IN OEM / EU PACKAGE</t>
        </is>
      </c>
      <c r="O266" t="inlineStr">
        <is>
          <t>2026-08-10T19:29:54Z</t>
        </is>
      </c>
      <c r="P266" t="inlineStr">
        <is>
          <t>2026-08-10T19:29:54Z</t>
        </is>
      </c>
    </row>
    <row r="267">
      <c r="A267" s="19" t="inlineStr">
        <is>
          <t>266</t>
        </is>
      </c>
      <c r="B267" s="19" t="inlineStr">
        <is>
          <t>SC-1011129-ST-030-STD-06</t>
        </is>
      </c>
      <c r="C267" t="inlineStr">
        <is>
          <t>1011129 → ST-030-STD-06</t>
        </is>
      </c>
      <c r="D267" s="19" t="inlineStr">
        <is>
          <t>2</t>
        </is>
      </c>
      <c r="E267" s="19" t="inlineStr">
        <is>
          <t>228</t>
        </is>
      </c>
      <c r="F267" s="19" t="inlineStr">
        <is>
          <t>39</t>
        </is>
      </c>
      <c r="G267" s="19" t="n"/>
      <c r="H267" s="19" t="inlineStr">
        <is>
          <t>2</t>
        </is>
      </c>
      <c r="I267" s="19" t="n"/>
      <c r="J267" s="19" t="n"/>
      <c r="K267" s="19" t="inlineStr">
        <is>
          <t>2</t>
        </is>
      </c>
      <c r="L267" t="inlineStr">
        <is>
          <t>2026-08-08</t>
        </is>
      </c>
      <c r="N267" t="inlineStr">
        <is>
          <t>IN_SCOPE_FINAL; SOURCE_CFG=IA-ST-CFG-0052; MARKET=TÜRKMENİSTAN; STATUS=IN OEM / EU PACKAGE</t>
        </is>
      </c>
      <c r="O267" t="inlineStr">
        <is>
          <t>2026-08-10T19:29:54Z</t>
        </is>
      </c>
      <c r="P267" t="inlineStr">
        <is>
          <t>2026-08-10T19:29:54Z</t>
        </is>
      </c>
    </row>
    <row r="268">
      <c r="A268" s="19" t="inlineStr">
        <is>
          <t>267</t>
        </is>
      </c>
      <c r="B268" s="19" t="inlineStr">
        <is>
          <t>SC-1011347-ST-030-STD-06</t>
        </is>
      </c>
      <c r="C268" t="inlineStr">
        <is>
          <t>1011347 → ST-030-STD-06</t>
        </is>
      </c>
      <c r="D268" s="19" t="inlineStr">
        <is>
          <t>2</t>
        </is>
      </c>
      <c r="E268" s="19" t="inlineStr">
        <is>
          <t>298</t>
        </is>
      </c>
      <c r="F268" s="19" t="inlineStr">
        <is>
          <t>39</t>
        </is>
      </c>
      <c r="G268" s="19" t="n"/>
      <c r="H268" s="19" t="inlineStr">
        <is>
          <t>2</t>
        </is>
      </c>
      <c r="I268" s="19" t="n"/>
      <c r="J268" s="19" t="n"/>
      <c r="K268" s="19" t="inlineStr">
        <is>
          <t>2</t>
        </is>
      </c>
      <c r="L268" t="inlineStr">
        <is>
          <t>2026-08-08</t>
        </is>
      </c>
      <c r="N268" t="inlineStr">
        <is>
          <t>IN_SCOPE_FINAL; SOURCE_CFG=IA-ST-CFG-0052; MARKET=None; STATUS=IN OEM / EU PACKAGE</t>
        </is>
      </c>
      <c r="O268" t="inlineStr">
        <is>
          <t>2026-08-10T19:29:54Z</t>
        </is>
      </c>
      <c r="P268" t="inlineStr">
        <is>
          <t>2026-08-10T19:29:54Z</t>
        </is>
      </c>
    </row>
    <row r="269">
      <c r="A269" s="19" t="inlineStr">
        <is>
          <t>268</t>
        </is>
      </c>
      <c r="B269" s="19" t="inlineStr">
        <is>
          <t>SC-1011493-ST-030-STD-06</t>
        </is>
      </c>
      <c r="C269" t="inlineStr">
        <is>
          <t>1011493 → ST-030-STD-06</t>
        </is>
      </c>
      <c r="D269" s="19" t="inlineStr">
        <is>
          <t>2</t>
        </is>
      </c>
      <c r="E269" s="19" t="inlineStr">
        <is>
          <t>304</t>
        </is>
      </c>
      <c r="F269" s="19" t="inlineStr">
        <is>
          <t>39</t>
        </is>
      </c>
      <c r="G269" s="19" t="n"/>
      <c r="H269" s="19" t="inlineStr">
        <is>
          <t>2</t>
        </is>
      </c>
      <c r="I269" s="19" t="n"/>
      <c r="J269" s="19" t="n"/>
      <c r="K269" s="19" t="inlineStr">
        <is>
          <t>2</t>
        </is>
      </c>
      <c r="L269" t="inlineStr">
        <is>
          <t>2026-08-08</t>
        </is>
      </c>
      <c r="N269" t="inlineStr">
        <is>
          <t>IN_SCOPE_FINAL; SOURCE_CFG=IA-ST-CFG-0052; MARKET=SHAWKAT; STATUS=IN OEM / EU PACKAGE</t>
        </is>
      </c>
      <c r="O269" t="inlineStr">
        <is>
          <t>2026-08-10T19:29:54Z</t>
        </is>
      </c>
      <c r="P269" t="inlineStr">
        <is>
          <t>2026-08-10T19:29:54Z</t>
        </is>
      </c>
    </row>
    <row r="270">
      <c r="A270" s="19" t="inlineStr">
        <is>
          <t>269</t>
        </is>
      </c>
      <c r="B270" s="19" t="inlineStr">
        <is>
          <t>SC-1011661-ST-030-STD-06</t>
        </is>
      </c>
      <c r="C270" t="inlineStr">
        <is>
          <t>1011661 → ST-030-STD-06</t>
        </is>
      </c>
      <c r="D270" s="19" t="inlineStr">
        <is>
          <t>2</t>
        </is>
      </c>
      <c r="E270" s="19" t="inlineStr">
        <is>
          <t>329</t>
        </is>
      </c>
      <c r="F270" s="19" t="inlineStr">
        <is>
          <t>39</t>
        </is>
      </c>
      <c r="G270" s="19" t="n"/>
      <c r="H270" s="19" t="inlineStr">
        <is>
          <t>2</t>
        </is>
      </c>
      <c r="I270" s="19" t="n"/>
      <c r="J270" s="19" t="n"/>
      <c r="K270" s="19" t="inlineStr">
        <is>
          <t>2</t>
        </is>
      </c>
      <c r="L270" t="inlineStr">
        <is>
          <t>2026-08-08</t>
        </is>
      </c>
      <c r="N270" t="inlineStr">
        <is>
          <t>IN_SCOPE_FINAL; SOURCE_CFG=IA-ST-CFG-0052; MARKET=None; STATUS=IN OEM / EU PACKAGE</t>
        </is>
      </c>
      <c r="O270" t="inlineStr">
        <is>
          <t>2026-08-10T19:29:54Z</t>
        </is>
      </c>
      <c r="P270" t="inlineStr">
        <is>
          <t>2026-08-10T19:29:54Z</t>
        </is>
      </c>
    </row>
    <row r="271">
      <c r="A271" s="19" t="inlineStr">
        <is>
          <t>270</t>
        </is>
      </c>
      <c r="B271" s="19" t="inlineStr">
        <is>
          <t>SC-1012181-ST-030-STD-06</t>
        </is>
      </c>
      <c r="C271" t="inlineStr">
        <is>
          <t>1012181 → ST-030-STD-06</t>
        </is>
      </c>
      <c r="D271" s="19" t="inlineStr">
        <is>
          <t>2</t>
        </is>
      </c>
      <c r="E271" s="19" t="inlineStr">
        <is>
          <t>558</t>
        </is>
      </c>
      <c r="F271" s="19" t="inlineStr">
        <is>
          <t>39</t>
        </is>
      </c>
      <c r="G271" s="19" t="n"/>
      <c r="H271" s="19" t="inlineStr">
        <is>
          <t>2</t>
        </is>
      </c>
      <c r="I271" s="19" t="n"/>
      <c r="J271" s="19" t="n"/>
      <c r="K271" s="19" t="inlineStr">
        <is>
          <t>2</t>
        </is>
      </c>
      <c r="L271" t="inlineStr">
        <is>
          <t>2026-08-08</t>
        </is>
      </c>
      <c r="N271" t="inlineStr">
        <is>
          <t>IN_SCOPE_FINAL; SOURCE_CFG=IA-ST-CFG-0052; MARKET=None; STATUS=IN OEM / EU PACKAGE</t>
        </is>
      </c>
      <c r="O271" t="inlineStr">
        <is>
          <t>2026-08-10T19:29:54Z</t>
        </is>
      </c>
      <c r="P271" t="inlineStr">
        <is>
          <t>2026-08-10T19:29:54Z</t>
        </is>
      </c>
    </row>
    <row r="272">
      <c r="A272" s="19" t="inlineStr">
        <is>
          <t>271</t>
        </is>
      </c>
      <c r="B272" s="19" t="inlineStr">
        <is>
          <t>SC-1013153-ST-030-STD-06</t>
        </is>
      </c>
      <c r="C272" t="inlineStr">
        <is>
          <t>1013153 → ST-030-STD-06</t>
        </is>
      </c>
      <c r="D272" s="19" t="inlineStr">
        <is>
          <t>2</t>
        </is>
      </c>
      <c r="E272" s="19" t="inlineStr">
        <is>
          <t>932</t>
        </is>
      </c>
      <c r="F272" s="19" t="inlineStr">
        <is>
          <t>39</t>
        </is>
      </c>
      <c r="G272" s="19" t="n"/>
      <c r="H272" s="19" t="inlineStr">
        <is>
          <t>2</t>
        </is>
      </c>
      <c r="I272" s="19" t="n"/>
      <c r="J272" s="19" t="n"/>
      <c r="K272" s="19" t="inlineStr">
        <is>
          <t>2</t>
        </is>
      </c>
      <c r="L272" t="inlineStr">
        <is>
          <t>2026-08-08</t>
        </is>
      </c>
      <c r="N272" t="inlineStr">
        <is>
          <t>IN_SCOPE_FINAL; SOURCE_CFG=IA-ST-CFG-0052; MARKET=MISIR NACITA; STATUS=IN OEM / EU PACKAGE</t>
        </is>
      </c>
      <c r="O272" t="inlineStr">
        <is>
          <t>2026-08-10T19:29:54Z</t>
        </is>
      </c>
      <c r="P272" t="inlineStr">
        <is>
          <t>2026-08-10T19:29:54Z</t>
        </is>
      </c>
    </row>
    <row r="273">
      <c r="A273" s="19" t="inlineStr">
        <is>
          <t>272</t>
        </is>
      </c>
      <c r="B273" s="19" t="inlineStr">
        <is>
          <t>SC-1013844-ST-030-STD-06</t>
        </is>
      </c>
      <c r="C273" t="inlineStr">
        <is>
          <t>1013844 → ST-030-STD-06</t>
        </is>
      </c>
      <c r="D273" s="19" t="inlineStr">
        <is>
          <t>2</t>
        </is>
      </c>
      <c r="E273" s="19" t="inlineStr">
        <is>
          <t>1106</t>
        </is>
      </c>
      <c r="F273" s="19" t="inlineStr">
        <is>
          <t>39</t>
        </is>
      </c>
      <c r="G273" s="19" t="n"/>
      <c r="H273" s="19" t="inlineStr">
        <is>
          <t>2</t>
        </is>
      </c>
      <c r="I273" s="19" t="n"/>
      <c r="J273" s="19" t="n"/>
      <c r="K273" s="19" t="inlineStr">
        <is>
          <t>2</t>
        </is>
      </c>
      <c r="L273" t="inlineStr">
        <is>
          <t>2026-08-08</t>
        </is>
      </c>
      <c r="N273" t="inlineStr">
        <is>
          <t>IN_SCOPE_FINAL; SOURCE_CFG=IA-ST-CFG-0052; MARKET=SHAWKAT; STATUS=IN OEM / EU PACKAGE</t>
        </is>
      </c>
      <c r="O273" t="inlineStr">
        <is>
          <t>2026-08-10T19:29:54Z</t>
        </is>
      </c>
      <c r="P273" t="inlineStr">
        <is>
          <t>2026-08-10T19:29:54Z</t>
        </is>
      </c>
    </row>
    <row r="274">
      <c r="A274" s="19" t="inlineStr">
        <is>
          <t>273</t>
        </is>
      </c>
      <c r="B274" s="19" t="inlineStr">
        <is>
          <t>SC-1013950-ST-030-STD-06</t>
        </is>
      </c>
      <c r="C274" t="inlineStr">
        <is>
          <t>1013950 → ST-030-STD-06</t>
        </is>
      </c>
      <c r="D274" s="19" t="inlineStr">
        <is>
          <t>2</t>
        </is>
      </c>
      <c r="E274" s="19" t="inlineStr">
        <is>
          <t>1142</t>
        </is>
      </c>
      <c r="F274" s="19" t="inlineStr">
        <is>
          <t>39</t>
        </is>
      </c>
      <c r="G274" s="19" t="n"/>
      <c r="H274" s="19" t="inlineStr">
        <is>
          <t>2</t>
        </is>
      </c>
      <c r="I274" s="19" t="n"/>
      <c r="J274" s="19" t="n"/>
      <c r="K274" s="19" t="inlineStr">
        <is>
          <t>2</t>
        </is>
      </c>
      <c r="L274" t="inlineStr">
        <is>
          <t>2026-08-08</t>
        </is>
      </c>
      <c r="N274" t="inlineStr">
        <is>
          <t>IN_SCOPE_FINAL; SOURCE_CFG=IA-ST-CFG-0052; MARKET=None; STATUS=IN OEM / EU PACKAGE</t>
        </is>
      </c>
      <c r="O274" t="inlineStr">
        <is>
          <t>2026-08-10T19:29:54Z</t>
        </is>
      </c>
      <c r="P274" t="inlineStr">
        <is>
          <t>2026-08-10T19:29:54Z</t>
        </is>
      </c>
    </row>
    <row r="275">
      <c r="A275" s="19" t="inlineStr">
        <is>
          <t>274</t>
        </is>
      </c>
      <c r="B275" s="19" t="inlineStr">
        <is>
          <t>SC-1013968-ST-030-STD-06</t>
        </is>
      </c>
      <c r="C275" t="inlineStr">
        <is>
          <t>1013968 → ST-030-STD-06</t>
        </is>
      </c>
      <c r="D275" s="19" t="inlineStr">
        <is>
          <t>2</t>
        </is>
      </c>
      <c r="E275" s="19" t="inlineStr">
        <is>
          <t>1147</t>
        </is>
      </c>
      <c r="F275" s="19" t="inlineStr">
        <is>
          <t>39</t>
        </is>
      </c>
      <c r="G275" s="19" t="n"/>
      <c r="H275" s="19" t="inlineStr">
        <is>
          <t>2</t>
        </is>
      </c>
      <c r="I275" s="19" t="n"/>
      <c r="J275" s="19" t="n"/>
      <c r="K275" s="19" t="inlineStr">
        <is>
          <t>2</t>
        </is>
      </c>
      <c r="L275" t="inlineStr">
        <is>
          <t>2026-08-08</t>
        </is>
      </c>
      <c r="N275" t="inlineStr">
        <is>
          <t>IN_SCOPE_FINAL; SOURCE_CFG=IA-ST-CFG-0052; MARKET=REDMAY URUGUAY; STATUS=IN OEM / EU PACKAGE</t>
        </is>
      </c>
      <c r="O275" t="inlineStr">
        <is>
          <t>2026-08-10T19:29:54Z</t>
        </is>
      </c>
      <c r="P275" t="inlineStr">
        <is>
          <t>2026-08-10T19:29:54Z</t>
        </is>
      </c>
    </row>
    <row r="276">
      <c r="A276" s="19" t="inlineStr">
        <is>
          <t>275</t>
        </is>
      </c>
      <c r="B276" s="19" t="inlineStr">
        <is>
          <t>SC-1013969-ST-030-STD-06</t>
        </is>
      </c>
      <c r="C276" t="inlineStr">
        <is>
          <t>1013969 → ST-030-STD-06</t>
        </is>
      </c>
      <c r="D276" s="19" t="inlineStr">
        <is>
          <t>2</t>
        </is>
      </c>
      <c r="E276" s="19" t="inlineStr">
        <is>
          <t>1148</t>
        </is>
      </c>
      <c r="F276" s="19" t="inlineStr">
        <is>
          <t>39</t>
        </is>
      </c>
      <c r="G276" s="19" t="n"/>
      <c r="H276" s="19" t="inlineStr">
        <is>
          <t>2</t>
        </is>
      </c>
      <c r="I276" s="19" t="n"/>
      <c r="J276" s="19" t="n"/>
      <c r="K276" s="19" t="inlineStr">
        <is>
          <t>2</t>
        </is>
      </c>
      <c r="L276" t="inlineStr">
        <is>
          <t>2026-08-08</t>
        </is>
      </c>
      <c r="N276" t="inlineStr">
        <is>
          <t>IN_SCOPE_FINAL; SOURCE_CFG=IA-ST-CFG-0052; MARKET=REDMAY URUGUAY; STATUS=IN OEM / EU PACKAGE</t>
        </is>
      </c>
      <c r="O276" t="inlineStr">
        <is>
          <t>2026-08-10T19:29:54Z</t>
        </is>
      </c>
      <c r="P276" t="inlineStr">
        <is>
          <t>2026-08-10T19:29:54Z</t>
        </is>
      </c>
    </row>
    <row r="277">
      <c r="A277" s="19" t="inlineStr">
        <is>
          <t>276</t>
        </is>
      </c>
      <c r="B277" s="19" t="inlineStr">
        <is>
          <t>SC-1014059-ST-030-STD-06</t>
        </is>
      </c>
      <c r="C277" t="inlineStr">
        <is>
          <t>1014059 → ST-030-STD-06</t>
        </is>
      </c>
      <c r="D277" s="19" t="inlineStr">
        <is>
          <t>2</t>
        </is>
      </c>
      <c r="E277" s="19" t="inlineStr">
        <is>
          <t>1204</t>
        </is>
      </c>
      <c r="F277" s="19" t="inlineStr">
        <is>
          <t>39</t>
        </is>
      </c>
      <c r="G277" s="19" t="n"/>
      <c r="H277" s="19" t="inlineStr">
        <is>
          <t>2</t>
        </is>
      </c>
      <c r="I277" s="19" t="n"/>
      <c r="J277" s="19" t="n"/>
      <c r="K277" s="19" t="inlineStr">
        <is>
          <t>2</t>
        </is>
      </c>
      <c r="L277" t="inlineStr">
        <is>
          <t>2026-08-08</t>
        </is>
      </c>
      <c r="N277" t="inlineStr">
        <is>
          <t>IN_SCOPE_FINAL; SOURCE_CFG=IA-ST-CFG-0052; MARKET=None; STATUS=IN OEM / EU PACKAGE</t>
        </is>
      </c>
      <c r="O277" t="inlineStr">
        <is>
          <t>2026-08-10T19:29:54Z</t>
        </is>
      </c>
      <c r="P277" t="inlineStr">
        <is>
          <t>2026-08-10T19:29:54Z</t>
        </is>
      </c>
    </row>
    <row r="278">
      <c r="A278" s="19" t="inlineStr">
        <is>
          <t>277</t>
        </is>
      </c>
      <c r="B278" s="19" t="inlineStr">
        <is>
          <t>SC-1014148-ST-030-STD-06</t>
        </is>
      </c>
      <c r="C278" t="inlineStr">
        <is>
          <t>1014148 → ST-030-STD-06</t>
        </is>
      </c>
      <c r="D278" s="19" t="inlineStr">
        <is>
          <t>2</t>
        </is>
      </c>
      <c r="E278" s="19" t="inlineStr">
        <is>
          <t>1236</t>
        </is>
      </c>
      <c r="F278" s="19" t="inlineStr">
        <is>
          <t>39</t>
        </is>
      </c>
      <c r="G278" s="19" t="n"/>
      <c r="H278" s="19" t="inlineStr">
        <is>
          <t>2</t>
        </is>
      </c>
      <c r="I278" s="19" t="n"/>
      <c r="J278" s="19" t="n"/>
      <c r="K278" s="19" t="inlineStr">
        <is>
          <t>2</t>
        </is>
      </c>
      <c r="L278" t="inlineStr">
        <is>
          <t>2026-08-08</t>
        </is>
      </c>
      <c r="N278" t="inlineStr">
        <is>
          <t>IN_SCOPE_FINAL; SOURCE_CFG=IA-ST-CFG-0052; MARKET=None; STATUS=IN OEM / EU PACKAGE</t>
        </is>
      </c>
      <c r="O278" t="inlineStr">
        <is>
          <t>2026-08-10T19:29:54Z</t>
        </is>
      </c>
      <c r="P278" t="inlineStr">
        <is>
          <t>2026-08-10T19:29:54Z</t>
        </is>
      </c>
    </row>
    <row r="279">
      <c r="A279" s="19" t="inlineStr">
        <is>
          <t>278</t>
        </is>
      </c>
      <c r="B279" s="19" t="inlineStr">
        <is>
          <t>SC-1014157-ST-030-STD-06</t>
        </is>
      </c>
      <c r="C279" t="inlineStr">
        <is>
          <t>1014157 → ST-030-STD-06</t>
        </is>
      </c>
      <c r="D279" s="19" t="inlineStr">
        <is>
          <t>2</t>
        </is>
      </c>
      <c r="E279" s="19" t="inlineStr">
        <is>
          <t>1242</t>
        </is>
      </c>
      <c r="F279" s="19" t="inlineStr">
        <is>
          <t>39</t>
        </is>
      </c>
      <c r="G279" s="19" t="n"/>
      <c r="H279" s="19" t="inlineStr">
        <is>
          <t>2</t>
        </is>
      </c>
      <c r="I279" s="19" t="n"/>
      <c r="J279" s="19" t="n"/>
      <c r="K279" s="19" t="inlineStr">
        <is>
          <t>2</t>
        </is>
      </c>
      <c r="L279" t="inlineStr">
        <is>
          <t>2026-08-08</t>
        </is>
      </c>
      <c r="N279" t="inlineStr">
        <is>
          <t>IN_SCOPE_FINAL; SOURCE_CFG=IA-ST-CFG-0052; MARKET=ARCOBALENO-GANA; STATUS=IN OEM / EU PACKAGE</t>
        </is>
      </c>
      <c r="O279" t="inlineStr">
        <is>
          <t>2026-08-10T19:29:54Z</t>
        </is>
      </c>
      <c r="P279" t="inlineStr">
        <is>
          <t>2026-08-10T19:29:54Z</t>
        </is>
      </c>
    </row>
    <row r="280">
      <c r="A280" s="19" t="inlineStr">
        <is>
          <t>279</t>
        </is>
      </c>
      <c r="B280" s="19" t="inlineStr">
        <is>
          <t>SC-1014163-ST-030-STD-06</t>
        </is>
      </c>
      <c r="C280" t="inlineStr">
        <is>
          <t>1014163 → ST-030-STD-06</t>
        </is>
      </c>
      <c r="D280" s="19" t="inlineStr">
        <is>
          <t>2</t>
        </is>
      </c>
      <c r="E280" s="19" t="inlineStr">
        <is>
          <t>1246</t>
        </is>
      </c>
      <c r="F280" s="19" t="inlineStr">
        <is>
          <t>39</t>
        </is>
      </c>
      <c r="G280" s="19" t="n"/>
      <c r="H280" s="19" t="inlineStr">
        <is>
          <t>2</t>
        </is>
      </c>
      <c r="I280" s="19" t="n"/>
      <c r="J280" s="19" t="n"/>
      <c r="K280" s="19" t="inlineStr">
        <is>
          <t>2</t>
        </is>
      </c>
      <c r="L280" t="inlineStr">
        <is>
          <t>2026-08-08</t>
        </is>
      </c>
      <c r="N280" t="inlineStr">
        <is>
          <t>IN_SCOPE_FINAL; SOURCE_CFG=IA-ST-CFG-0052; MARKET=None; STATUS=IN OEM / EU PACKAGE</t>
        </is>
      </c>
      <c r="O280" t="inlineStr">
        <is>
          <t>2026-08-10T19:29:54Z</t>
        </is>
      </c>
      <c r="P280" t="inlineStr">
        <is>
          <t>2026-08-10T19:29:54Z</t>
        </is>
      </c>
    </row>
    <row r="281">
      <c r="A281" s="19" t="inlineStr">
        <is>
          <t>280</t>
        </is>
      </c>
      <c r="B281" s="19" t="inlineStr">
        <is>
          <t>SC-1014193-ST-030-STD-06</t>
        </is>
      </c>
      <c r="C281" t="inlineStr">
        <is>
          <t>1014193 → ST-030-STD-06</t>
        </is>
      </c>
      <c r="D281" s="19" t="inlineStr">
        <is>
          <t>2</t>
        </is>
      </c>
      <c r="E281" s="19" t="inlineStr">
        <is>
          <t>1262</t>
        </is>
      </c>
      <c r="F281" s="19" t="inlineStr">
        <is>
          <t>39</t>
        </is>
      </c>
      <c r="G281" s="19" t="n"/>
      <c r="H281" s="19" t="inlineStr">
        <is>
          <t>2</t>
        </is>
      </c>
      <c r="I281" s="19" t="n"/>
      <c r="J281" s="19" t="n"/>
      <c r="K281" s="19" t="inlineStr">
        <is>
          <t>2</t>
        </is>
      </c>
      <c r="L281" t="inlineStr">
        <is>
          <t>2026-08-08</t>
        </is>
      </c>
      <c r="N281" t="inlineStr">
        <is>
          <t>IN_SCOPE_FINAL; SOURCE_CFG=IA-ST-CFG-0052; MARKET=None; STATUS=IN OEM / EU PACKAGE</t>
        </is>
      </c>
      <c r="O281" t="inlineStr">
        <is>
          <t>2026-08-10T19:29:54Z</t>
        </is>
      </c>
      <c r="P281" t="inlineStr">
        <is>
          <t>2026-08-10T19:29:54Z</t>
        </is>
      </c>
    </row>
    <row r="282">
      <c r="A282" s="19" t="inlineStr">
        <is>
          <t>281</t>
        </is>
      </c>
      <c r="B282" s="19" t="inlineStr">
        <is>
          <t>SC-1014358-ST-030-STD-06</t>
        </is>
      </c>
      <c r="C282" t="inlineStr">
        <is>
          <t>1014358 → ST-030-STD-06</t>
        </is>
      </c>
      <c r="D282" s="19" t="inlineStr">
        <is>
          <t>2</t>
        </is>
      </c>
      <c r="E282" s="19" t="inlineStr">
        <is>
          <t>1321</t>
        </is>
      </c>
      <c r="F282" s="19" t="inlineStr">
        <is>
          <t>39</t>
        </is>
      </c>
      <c r="G282" s="19" t="n"/>
      <c r="H282" s="19" t="inlineStr">
        <is>
          <t>2</t>
        </is>
      </c>
      <c r="I282" s="19" t="n"/>
      <c r="J282" s="19" t="n"/>
      <c r="K282" s="19" t="inlineStr">
        <is>
          <t>2</t>
        </is>
      </c>
      <c r="L282" t="inlineStr">
        <is>
          <t>2026-08-08</t>
        </is>
      </c>
      <c r="N282" t="inlineStr">
        <is>
          <t>IN_SCOPE_FINAL; SOURCE_CFG=IA-ST-CFG-0052; MARKET=None; STATUS=IN OEM / EU PACKAGE</t>
        </is>
      </c>
      <c r="O282" t="inlineStr">
        <is>
          <t>2026-08-10T19:29:54Z</t>
        </is>
      </c>
      <c r="P282" t="inlineStr">
        <is>
          <t>2026-08-10T19:29:54Z</t>
        </is>
      </c>
    </row>
    <row r="283">
      <c r="A283" s="19" t="inlineStr">
        <is>
          <t>282</t>
        </is>
      </c>
      <c r="B283" s="19" t="inlineStr">
        <is>
          <t>SC-1014475-ST-030-STD-06</t>
        </is>
      </c>
      <c r="C283" t="inlineStr">
        <is>
          <t>1014475 → ST-030-STD-06</t>
        </is>
      </c>
      <c r="D283" s="19" t="inlineStr">
        <is>
          <t>2</t>
        </is>
      </c>
      <c r="E283" s="19" t="inlineStr">
        <is>
          <t>1405</t>
        </is>
      </c>
      <c r="F283" s="19" t="inlineStr">
        <is>
          <t>39</t>
        </is>
      </c>
      <c r="G283" s="19" t="n"/>
      <c r="H283" s="19" t="inlineStr">
        <is>
          <t>2</t>
        </is>
      </c>
      <c r="I283" s="19" t="n"/>
      <c r="J283" s="19" t="n"/>
      <c r="K283" s="19" t="inlineStr">
        <is>
          <t>2</t>
        </is>
      </c>
      <c r="L283" t="inlineStr">
        <is>
          <t>2026-08-08</t>
        </is>
      </c>
      <c r="N283" t="inlineStr">
        <is>
          <t>IN_SCOPE_FINAL; SOURCE_CFG=IA-ST-CFG-0052; MARKET=REDMAY URUGUAY; STATUS=IN OEM / EU PACKAGE</t>
        </is>
      </c>
      <c r="O283" t="inlineStr">
        <is>
          <t>2026-08-10T19:29:54Z</t>
        </is>
      </c>
      <c r="P283" t="inlineStr">
        <is>
          <t>2026-08-10T19:29:54Z</t>
        </is>
      </c>
    </row>
    <row r="284">
      <c r="A284" s="19" t="inlineStr">
        <is>
          <t>283</t>
        </is>
      </c>
      <c r="B284" s="19" t="inlineStr">
        <is>
          <t>SC-1014674-ST-030-STD-06</t>
        </is>
      </c>
      <c r="C284" t="inlineStr">
        <is>
          <t>1014674 → ST-030-STD-06</t>
        </is>
      </c>
      <c r="D284" s="19" t="inlineStr">
        <is>
          <t>2</t>
        </is>
      </c>
      <c r="E284" s="19" t="inlineStr">
        <is>
          <t>1530</t>
        </is>
      </c>
      <c r="F284" s="19" t="inlineStr">
        <is>
          <t>39</t>
        </is>
      </c>
      <c r="G284" s="19" t="n"/>
      <c r="H284" s="19" t="inlineStr">
        <is>
          <t>2</t>
        </is>
      </c>
      <c r="I284" s="19" t="n"/>
      <c r="J284" s="19" t="n"/>
      <c r="K284" s="19" t="inlineStr">
        <is>
          <t>2</t>
        </is>
      </c>
      <c r="L284" t="inlineStr">
        <is>
          <t>2026-08-08</t>
        </is>
      </c>
      <c r="N284" t="inlineStr">
        <is>
          <t>IN_SCOPE_FINAL; SOURCE_CFG=IA-ST-CFG-0052; MARKET=None; STATUS=IN OEM / EU PACKAGE</t>
        </is>
      </c>
      <c r="O284" t="inlineStr">
        <is>
          <t>2026-08-10T19:29:54Z</t>
        </is>
      </c>
      <c r="P284" t="inlineStr">
        <is>
          <t>2026-08-10T19:29:54Z</t>
        </is>
      </c>
    </row>
    <row r="285">
      <c r="A285" s="19" t="inlineStr">
        <is>
          <t>284</t>
        </is>
      </c>
      <c r="B285" s="19" t="inlineStr">
        <is>
          <t>SC-1014683-ST-030-STD-06</t>
        </is>
      </c>
      <c r="C285" t="inlineStr">
        <is>
          <t>1014683 → ST-030-STD-06</t>
        </is>
      </c>
      <c r="D285" s="19" t="inlineStr">
        <is>
          <t>2</t>
        </is>
      </c>
      <c r="E285" s="19" t="inlineStr">
        <is>
          <t>1536</t>
        </is>
      </c>
      <c r="F285" s="19" t="inlineStr">
        <is>
          <t>39</t>
        </is>
      </c>
      <c r="G285" s="19" t="n"/>
      <c r="H285" s="19" t="inlineStr">
        <is>
          <t>2</t>
        </is>
      </c>
      <c r="I285" s="19" t="n"/>
      <c r="J285" s="19" t="n"/>
      <c r="K285" s="19" t="inlineStr">
        <is>
          <t>2</t>
        </is>
      </c>
      <c r="L285" t="inlineStr">
        <is>
          <t>2026-08-08</t>
        </is>
      </c>
      <c r="N285" t="inlineStr">
        <is>
          <t>IN_SCOPE_FINAL; SOURCE_CFG=IA-ST-CFG-0052; MARKET=None; STATUS=IN OEM / EU PACKAGE</t>
        </is>
      </c>
      <c r="O285" t="inlineStr">
        <is>
          <t>2026-08-10T19:29:54Z</t>
        </is>
      </c>
      <c r="P285" t="inlineStr">
        <is>
          <t>2026-08-10T19:29:54Z</t>
        </is>
      </c>
    </row>
    <row r="286">
      <c r="A286" s="19" t="inlineStr">
        <is>
          <t>285</t>
        </is>
      </c>
      <c r="B286" s="19" t="inlineStr">
        <is>
          <t>SC-1014736-ST-030-STD-06</t>
        </is>
      </c>
      <c r="C286" t="inlineStr">
        <is>
          <t>1014736 → ST-030-STD-06</t>
        </is>
      </c>
      <c r="D286" s="19" t="inlineStr">
        <is>
          <t>2</t>
        </is>
      </c>
      <c r="E286" s="19" t="inlineStr">
        <is>
          <t>1570</t>
        </is>
      </c>
      <c r="F286" s="19" t="inlineStr">
        <is>
          <t>39</t>
        </is>
      </c>
      <c r="G286" s="19" t="n"/>
      <c r="H286" s="19" t="inlineStr">
        <is>
          <t>2</t>
        </is>
      </c>
      <c r="I286" s="19" t="n"/>
      <c r="J286" s="19" t="n"/>
      <c r="K286" s="19" t="inlineStr">
        <is>
          <t>2</t>
        </is>
      </c>
      <c r="L286" t="inlineStr">
        <is>
          <t>2026-08-08</t>
        </is>
      </c>
      <c r="N286" t="inlineStr">
        <is>
          <t>IN_SCOPE_FINAL; SOURCE_CFG=IA-ST-CFG-0052; MARKET=TÜRKMENİSTAN; STATUS=IN OEM / EU PACKAGE</t>
        </is>
      </c>
      <c r="O286" t="inlineStr">
        <is>
          <t>2026-08-10T19:29:54Z</t>
        </is>
      </c>
      <c r="P286" t="inlineStr">
        <is>
          <t>2026-08-10T19:29:54Z</t>
        </is>
      </c>
    </row>
    <row r="287">
      <c r="A287" s="19" t="inlineStr">
        <is>
          <t>286</t>
        </is>
      </c>
      <c r="B287" s="19" t="inlineStr">
        <is>
          <t>SC-1014793-ST-030-STD-06</t>
        </is>
      </c>
      <c r="C287" t="inlineStr">
        <is>
          <t>1014793 → ST-030-STD-06</t>
        </is>
      </c>
      <c r="D287" s="19" t="inlineStr">
        <is>
          <t>2</t>
        </is>
      </c>
      <c r="E287" s="19" t="inlineStr">
        <is>
          <t>1611</t>
        </is>
      </c>
      <c r="F287" s="19" t="inlineStr">
        <is>
          <t>39</t>
        </is>
      </c>
      <c r="G287" s="19" t="n"/>
      <c r="H287" s="19" t="inlineStr">
        <is>
          <t>2</t>
        </is>
      </c>
      <c r="I287" s="19" t="n"/>
      <c r="J287" s="19" t="n"/>
      <c r="K287" s="19" t="inlineStr">
        <is>
          <t>2</t>
        </is>
      </c>
      <c r="L287" t="inlineStr">
        <is>
          <t>2026-08-08</t>
        </is>
      </c>
      <c r="N287" t="inlineStr">
        <is>
          <t>IN_SCOPE_FINAL; SOURCE_CFG=IA-ST-CFG-0052; MARKET=None; STATUS=IN OEM / EU PACKAGE</t>
        </is>
      </c>
      <c r="O287" t="inlineStr">
        <is>
          <t>2026-08-10T19:29:54Z</t>
        </is>
      </c>
      <c r="P287" t="inlineStr">
        <is>
          <t>2026-08-10T19:29:54Z</t>
        </is>
      </c>
    </row>
    <row r="288">
      <c r="A288" s="19" t="inlineStr">
        <is>
          <t>287</t>
        </is>
      </c>
      <c r="B288" s="19" t="inlineStr">
        <is>
          <t>SC-1014990-ST-030-STD-06</t>
        </is>
      </c>
      <c r="C288" t="inlineStr">
        <is>
          <t>1014990 → ST-030-STD-06</t>
        </is>
      </c>
      <c r="D288" s="19" t="inlineStr">
        <is>
          <t>2</t>
        </is>
      </c>
      <c r="E288" s="19" t="inlineStr">
        <is>
          <t>1751</t>
        </is>
      </c>
      <c r="F288" s="19" t="inlineStr">
        <is>
          <t>39</t>
        </is>
      </c>
      <c r="G288" s="19" t="n"/>
      <c r="H288" s="19" t="inlineStr">
        <is>
          <t>2</t>
        </is>
      </c>
      <c r="I288" s="19" t="n"/>
      <c r="J288" s="19" t="n"/>
      <c r="K288" s="19" t="inlineStr">
        <is>
          <t>2</t>
        </is>
      </c>
      <c r="L288" t="inlineStr">
        <is>
          <t>2026-08-08</t>
        </is>
      </c>
      <c r="N288" t="inlineStr">
        <is>
          <t>IN_SCOPE_FINAL; SOURCE_CFG=IA-ST-CFG-0052; MARKET=None; STATUS=IN OEM / EU PACKAGE</t>
        </is>
      </c>
      <c r="O288" t="inlineStr">
        <is>
          <t>2026-08-10T19:29:54Z</t>
        </is>
      </c>
      <c r="P288" t="inlineStr">
        <is>
          <t>2026-08-10T19:29:54Z</t>
        </is>
      </c>
    </row>
    <row r="289">
      <c r="A289" s="19" t="inlineStr">
        <is>
          <t>288</t>
        </is>
      </c>
      <c r="B289" s="19" t="inlineStr">
        <is>
          <t>SC-1015038-ST-030-STD-06</t>
        </is>
      </c>
      <c r="C289" t="inlineStr">
        <is>
          <t>1015038 → ST-030-STD-06</t>
        </is>
      </c>
      <c r="D289" s="19" t="inlineStr">
        <is>
          <t>2</t>
        </is>
      </c>
      <c r="E289" s="19" t="inlineStr">
        <is>
          <t>1798</t>
        </is>
      </c>
      <c r="F289" s="19" t="inlineStr">
        <is>
          <t>39</t>
        </is>
      </c>
      <c r="G289" s="19" t="n"/>
      <c r="H289" s="19" t="inlineStr">
        <is>
          <t>2</t>
        </is>
      </c>
      <c r="I289" s="19" t="n"/>
      <c r="J289" s="19" t="n"/>
      <c r="K289" s="19" t="inlineStr">
        <is>
          <t>2</t>
        </is>
      </c>
      <c r="L289" t="inlineStr">
        <is>
          <t>2026-08-08</t>
        </is>
      </c>
      <c r="N289" t="inlineStr">
        <is>
          <t>IN_SCOPE_FINAL; SOURCE_CFG=IA-ST-CFG-0052; MARKET=None; STATUS=IN OEM / EU PACKAGE</t>
        </is>
      </c>
      <c r="O289" t="inlineStr">
        <is>
          <t>2026-08-10T19:29:54Z</t>
        </is>
      </c>
      <c r="P289" t="inlineStr">
        <is>
          <t>2026-08-10T19:29:54Z</t>
        </is>
      </c>
    </row>
    <row r="290">
      <c r="A290" s="19" t="inlineStr">
        <is>
          <t>289</t>
        </is>
      </c>
      <c r="B290" s="19" t="inlineStr">
        <is>
          <t>SC-1015150-ST-030-STD-06</t>
        </is>
      </c>
      <c r="C290" t="inlineStr">
        <is>
          <t>1015150 → ST-030-STD-06</t>
        </is>
      </c>
      <c r="D290" s="19" t="inlineStr">
        <is>
          <t>2</t>
        </is>
      </c>
      <c r="E290" s="19" t="inlineStr">
        <is>
          <t>1899</t>
        </is>
      </c>
      <c r="F290" s="19" t="inlineStr">
        <is>
          <t>39</t>
        </is>
      </c>
      <c r="G290" s="19" t="n"/>
      <c r="H290" s="19" t="inlineStr">
        <is>
          <t>2</t>
        </is>
      </c>
      <c r="I290" s="19" t="n"/>
      <c r="J290" s="19" t="n"/>
      <c r="K290" s="19" t="inlineStr">
        <is>
          <t>2</t>
        </is>
      </c>
      <c r="L290" t="inlineStr">
        <is>
          <t>2026-08-08</t>
        </is>
      </c>
      <c r="N290" t="inlineStr">
        <is>
          <t>IN_SCOPE_FINAL; SOURCE_CFG=IA-ST-CFG-0052; MARKET=None; STATUS=IN OEM / EU PACKAGE</t>
        </is>
      </c>
      <c r="O290" t="inlineStr">
        <is>
          <t>2026-08-10T19:29:54Z</t>
        </is>
      </c>
      <c r="P290" t="inlineStr">
        <is>
          <t>2026-08-10T19:29:54Z</t>
        </is>
      </c>
    </row>
    <row r="291">
      <c r="A291" s="19" t="inlineStr">
        <is>
          <t>290</t>
        </is>
      </c>
      <c r="B291" s="19" t="inlineStr">
        <is>
          <t>SC-1015252-ST-030-STD-06</t>
        </is>
      </c>
      <c r="C291" t="inlineStr">
        <is>
          <t>1015252 → ST-030-STD-06</t>
        </is>
      </c>
      <c r="D291" s="19" t="inlineStr">
        <is>
          <t>2</t>
        </is>
      </c>
      <c r="E291" s="19" t="inlineStr">
        <is>
          <t>1988</t>
        </is>
      </c>
      <c r="F291" s="19" t="inlineStr">
        <is>
          <t>39</t>
        </is>
      </c>
      <c r="G291" s="19" t="n"/>
      <c r="H291" s="19" t="inlineStr">
        <is>
          <t>2</t>
        </is>
      </c>
      <c r="I291" s="19" t="n"/>
      <c r="J291" s="19" t="n"/>
      <c r="K291" s="19" t="inlineStr">
        <is>
          <t>2</t>
        </is>
      </c>
      <c r="L291" t="inlineStr">
        <is>
          <t>2026-08-08</t>
        </is>
      </c>
      <c r="N291" t="inlineStr">
        <is>
          <t>IN_SCOPE_FINAL; SOURCE_CFG=IA-ST-CFG-0052; MARKET=MISIR AL AMAN; STATUS=IN OEM / EU PACKAGE</t>
        </is>
      </c>
      <c r="O291" t="inlineStr">
        <is>
          <t>2026-08-10T19:29:54Z</t>
        </is>
      </c>
      <c r="P291" t="inlineStr">
        <is>
          <t>2026-08-10T19:29:54Z</t>
        </is>
      </c>
    </row>
    <row r="292">
      <c r="A292" s="19" t="inlineStr">
        <is>
          <t>291</t>
        </is>
      </c>
      <c r="B292" s="19" t="inlineStr">
        <is>
          <t>SC-1015287-ST-030-STD-06</t>
        </is>
      </c>
      <c r="C292" t="inlineStr">
        <is>
          <t>1015287 → ST-030-STD-06</t>
        </is>
      </c>
      <c r="D292" s="19" t="inlineStr">
        <is>
          <t>2</t>
        </is>
      </c>
      <c r="E292" s="19" t="inlineStr">
        <is>
          <t>2020</t>
        </is>
      </c>
      <c r="F292" s="19" t="inlineStr">
        <is>
          <t>39</t>
        </is>
      </c>
      <c r="G292" s="19" t="n"/>
      <c r="H292" s="19" t="inlineStr">
        <is>
          <t>2</t>
        </is>
      </c>
      <c r="I292" s="19" t="n"/>
      <c r="J292" s="19" t="n"/>
      <c r="K292" s="19" t="inlineStr">
        <is>
          <t>2</t>
        </is>
      </c>
      <c r="L292" t="inlineStr">
        <is>
          <t>2026-08-08</t>
        </is>
      </c>
      <c r="N292" t="inlineStr">
        <is>
          <t>IN_SCOPE_FINAL; SOURCE_CFG=IA-ST-CFG-0052; MARKET=None; STATUS=IN OEM / EU PACKAGE</t>
        </is>
      </c>
      <c r="O292" t="inlineStr">
        <is>
          <t>2026-08-10T19:29:54Z</t>
        </is>
      </c>
      <c r="P292" t="inlineStr">
        <is>
          <t>2026-08-10T19:29:54Z</t>
        </is>
      </c>
    </row>
    <row r="293">
      <c r="A293" s="19" t="inlineStr">
        <is>
          <t>292</t>
        </is>
      </c>
      <c r="B293" s="19" t="inlineStr">
        <is>
          <t>SC-1014382-ST-030-STD-06</t>
        </is>
      </c>
      <c r="C293" t="inlineStr">
        <is>
          <t>1014382 → ST-030-STD-06</t>
        </is>
      </c>
      <c r="D293" s="19" t="inlineStr">
        <is>
          <t>2</t>
        </is>
      </c>
      <c r="E293" s="19" t="inlineStr">
        <is>
          <t>1337</t>
        </is>
      </c>
      <c r="F293" s="19" t="inlineStr">
        <is>
          <t>39</t>
        </is>
      </c>
      <c r="G293" s="19" t="n"/>
      <c r="H293" s="19" t="inlineStr">
        <is>
          <t>2</t>
        </is>
      </c>
      <c r="I293" s="19" t="n"/>
      <c r="J293" s="19" t="n"/>
      <c r="K293" s="19" t="inlineStr">
        <is>
          <t>2</t>
        </is>
      </c>
      <c r="L293" t="inlineStr">
        <is>
          <t>2026-08-08</t>
        </is>
      </c>
      <c r="N293" t="inlineStr">
        <is>
          <t>IN_SCOPE_FINAL; SOURCE_CFG=IA-ST-CFG-0052; MARKET=MST İŞ MAKİNALARI (Yurt İçi); STATUS=IN OEM / EU PACKAGE</t>
        </is>
      </c>
      <c r="O293" t="inlineStr">
        <is>
          <t>2026-08-10T19:29:54Z</t>
        </is>
      </c>
      <c r="P293" t="inlineStr">
        <is>
          <t>2026-08-10T19:29:54Z</t>
        </is>
      </c>
    </row>
    <row r="294">
      <c r="A294" s="19" t="inlineStr">
        <is>
          <t>293</t>
        </is>
      </c>
      <c r="B294" s="19" t="inlineStr">
        <is>
          <t>SC-1014473-ST-030-STD-06</t>
        </is>
      </c>
      <c r="C294" t="inlineStr">
        <is>
          <t>1014473 → ST-030-STD-06</t>
        </is>
      </c>
      <c r="D294" s="19" t="inlineStr">
        <is>
          <t>2</t>
        </is>
      </c>
      <c r="E294" s="19" t="inlineStr">
        <is>
          <t>1404</t>
        </is>
      </c>
      <c r="F294" s="19" t="inlineStr">
        <is>
          <t>39</t>
        </is>
      </c>
      <c r="G294" s="19" t="n"/>
      <c r="H294" s="19" t="inlineStr">
        <is>
          <t>2</t>
        </is>
      </c>
      <c r="I294" s="19" t="n"/>
      <c r="J294" s="19" t="n"/>
      <c r="K294" s="19" t="inlineStr">
        <is>
          <t>2</t>
        </is>
      </c>
      <c r="L294" t="inlineStr">
        <is>
          <t>2026-08-08</t>
        </is>
      </c>
      <c r="N294" t="inlineStr">
        <is>
          <t>IN_SCOPE_FINAL; SOURCE_CFG=IA-ST-CFG-0052; MARKET=HABAŞ OEM (Yurt İçi); STATUS=IN OEM / EU PACKAGE</t>
        </is>
      </c>
      <c r="O294" t="inlineStr">
        <is>
          <t>2026-08-10T19:29:54Z</t>
        </is>
      </c>
      <c r="P294" t="inlineStr">
        <is>
          <t>2026-08-10T19:29:54Z</t>
        </is>
      </c>
    </row>
    <row r="295">
      <c r="A295" s="19" t="inlineStr">
        <is>
          <t>294</t>
        </is>
      </c>
      <c r="B295" s="19" t="inlineStr">
        <is>
          <t>SC-1015311-ST-030-STD-07</t>
        </is>
      </c>
      <c r="C295" t="inlineStr">
        <is>
          <t>1015311 → ST-030-STD-07</t>
        </is>
      </c>
      <c r="D295" s="19" t="inlineStr">
        <is>
          <t>2</t>
        </is>
      </c>
      <c r="E295" s="19" t="inlineStr">
        <is>
          <t>2032</t>
        </is>
      </c>
      <c r="F295" s="19" t="inlineStr">
        <is>
          <t>40</t>
        </is>
      </c>
      <c r="G295" s="19" t="n"/>
      <c r="H295" s="19" t="inlineStr">
        <is>
          <t>2</t>
        </is>
      </c>
      <c r="I295" s="19" t="n"/>
      <c r="J295" s="19" t="n"/>
      <c r="K295" s="19" t="inlineStr">
        <is>
          <t>2</t>
        </is>
      </c>
      <c r="L295" t="inlineStr">
        <is>
          <t>2026-08-08</t>
        </is>
      </c>
      <c r="N295" t="inlineStr">
        <is>
          <t>IN_SCOPE_FINAL; SOURCE_CFG=IA-ST-CFG-0053; MARKET=None; STATUS=IN OEM / EU PACKAGE</t>
        </is>
      </c>
      <c r="O295" t="inlineStr">
        <is>
          <t>2026-08-10T19:29:54Z</t>
        </is>
      </c>
      <c r="P295" t="inlineStr">
        <is>
          <t>2026-08-10T19:29:54Z</t>
        </is>
      </c>
    </row>
    <row r="296">
      <c r="A296" s="19" t="inlineStr">
        <is>
          <t>295</t>
        </is>
      </c>
      <c r="B296" s="19" t="inlineStr">
        <is>
          <t>SC-1014076-ST-030-STD-08</t>
        </is>
      </c>
      <c r="C296" t="inlineStr">
        <is>
          <t>1014076 → ST-030-STD-08</t>
        </is>
      </c>
      <c r="D296" s="19" t="inlineStr">
        <is>
          <t>2</t>
        </is>
      </c>
      <c r="E296" s="19" t="inlineStr">
        <is>
          <t>1215</t>
        </is>
      </c>
      <c r="F296" s="19" t="inlineStr">
        <is>
          <t>41</t>
        </is>
      </c>
      <c r="G296" s="19" t="n"/>
      <c r="H296" s="19" t="inlineStr">
        <is>
          <t>2</t>
        </is>
      </c>
      <c r="I296" s="19" t="n"/>
      <c r="J296" s="19" t="n"/>
      <c r="K296" s="19" t="inlineStr">
        <is>
          <t>2</t>
        </is>
      </c>
      <c r="L296" t="inlineStr">
        <is>
          <t>2026-08-08</t>
        </is>
      </c>
      <c r="N296" t="inlineStr">
        <is>
          <t>IN_SCOPE_FINAL; SOURCE_CFG=IA-ST-CFG-0054; MARKET=YURT İÇİ AFM; STATUS=IN OEM / EU PACKAGE</t>
        </is>
      </c>
      <c r="O296" t="inlineStr">
        <is>
          <t>2026-08-10T19:29:54Z</t>
        </is>
      </c>
      <c r="P296" t="inlineStr">
        <is>
          <t>2026-08-10T19:29:54Z</t>
        </is>
      </c>
    </row>
    <row r="297">
      <c r="A297" s="19" t="inlineStr">
        <is>
          <t>296</t>
        </is>
      </c>
      <c r="B297" s="19" t="inlineStr">
        <is>
          <t>SC-1000441-ST-030-STD-08</t>
        </is>
      </c>
      <c r="C297" t="inlineStr">
        <is>
          <t>1000441 → ST-030-STD-08</t>
        </is>
      </c>
      <c r="D297" s="19" t="inlineStr">
        <is>
          <t>2</t>
        </is>
      </c>
      <c r="E297" s="19" t="inlineStr">
        <is>
          <t>2</t>
        </is>
      </c>
      <c r="F297" s="19" t="inlineStr">
        <is>
          <t>41</t>
        </is>
      </c>
      <c r="G297" s="19" t="n"/>
      <c r="H297" s="19" t="inlineStr">
        <is>
          <t>2</t>
        </is>
      </c>
      <c r="I297" s="19" t="n"/>
      <c r="J297" s="19" t="n"/>
      <c r="K297" s="19" t="inlineStr">
        <is>
          <t>2</t>
        </is>
      </c>
      <c r="L297" t="inlineStr">
        <is>
          <t>2026-08-08</t>
        </is>
      </c>
      <c r="N297" t="inlineStr">
        <is>
          <t>IN_SCOPE_FINAL; SOURCE_CFG=IA-ST-CFG-0054; MARKET=YURT İÇİ AFM; STATUS=IN OEM / EU PACKAGE</t>
        </is>
      </c>
      <c r="O297" t="inlineStr">
        <is>
          <t>2026-08-10T19:29:54Z</t>
        </is>
      </c>
      <c r="P297" t="inlineStr">
        <is>
          <t>2026-08-10T19:29:54Z</t>
        </is>
      </c>
    </row>
    <row r="298">
      <c r="A298" s="19" t="inlineStr">
        <is>
          <t>297</t>
        </is>
      </c>
      <c r="B298" s="19" t="inlineStr">
        <is>
          <t>SC-1000442-ST-030-STD-08</t>
        </is>
      </c>
      <c r="C298" t="inlineStr">
        <is>
          <t>1000442 → ST-030-STD-08</t>
        </is>
      </c>
      <c r="D298" s="19" t="inlineStr">
        <is>
          <t>2</t>
        </is>
      </c>
      <c r="E298" s="19" t="inlineStr">
        <is>
          <t>3</t>
        </is>
      </c>
      <c r="F298" s="19" t="inlineStr">
        <is>
          <t>41</t>
        </is>
      </c>
      <c r="G298" s="19" t="n"/>
      <c r="H298" s="19" t="inlineStr">
        <is>
          <t>2</t>
        </is>
      </c>
      <c r="I298" s="19" t="n"/>
      <c r="J298" s="19" t="n"/>
      <c r="K298" s="19" t="inlineStr">
        <is>
          <t>2</t>
        </is>
      </c>
      <c r="L298" t="inlineStr">
        <is>
          <t>2026-08-08</t>
        </is>
      </c>
      <c r="N298" t="inlineStr">
        <is>
          <t>IN_SCOPE_FINAL; SOURCE_CFG=IA-ST-CFG-0054; MARKET=YURT İÇİ AFM; STATUS=IN OEM / EU PACKAGE</t>
        </is>
      </c>
      <c r="O298" t="inlineStr">
        <is>
          <t>2026-08-10T19:29:54Z</t>
        </is>
      </c>
      <c r="P298" t="inlineStr">
        <is>
          <t>2026-08-10T19:29:54Z</t>
        </is>
      </c>
    </row>
    <row r="299">
      <c r="A299" s="19" t="inlineStr">
        <is>
          <t>298</t>
        </is>
      </c>
      <c r="B299" s="19" t="inlineStr">
        <is>
          <t>SC-1004293-ST-030-STD-08</t>
        </is>
      </c>
      <c r="C299" t="inlineStr">
        <is>
          <t>1004293 → ST-030-STD-08</t>
        </is>
      </c>
      <c r="D299" s="19" t="inlineStr">
        <is>
          <t>2</t>
        </is>
      </c>
      <c r="E299" s="19" t="inlineStr">
        <is>
          <t>30</t>
        </is>
      </c>
      <c r="F299" s="19" t="inlineStr">
        <is>
          <t>41</t>
        </is>
      </c>
      <c r="G299" s="19" t="n"/>
      <c r="H299" s="19" t="inlineStr">
        <is>
          <t>2</t>
        </is>
      </c>
      <c r="I299" s="19" t="n"/>
      <c r="J299" s="19" t="n"/>
      <c r="K299" s="19" t="inlineStr">
        <is>
          <t>2</t>
        </is>
      </c>
      <c r="L299" t="inlineStr">
        <is>
          <t>2026-08-08</t>
        </is>
      </c>
      <c r="N299" t="inlineStr">
        <is>
          <t>IN_SCOPE_FINAL; SOURCE_CFG=IA-ST-CFG-0054; MARKET=YURT İÇİ AFM; STATUS=IN OEM / EU PACKAGE</t>
        </is>
      </c>
      <c r="O299" t="inlineStr">
        <is>
          <t>2026-08-10T19:29:54Z</t>
        </is>
      </c>
      <c r="P299" t="inlineStr">
        <is>
          <t>2026-08-10T19:29:54Z</t>
        </is>
      </c>
    </row>
    <row r="300">
      <c r="A300" s="19" t="inlineStr">
        <is>
          <t>299</t>
        </is>
      </c>
      <c r="B300" s="19" t="inlineStr">
        <is>
          <t>SC-1010195-ST-030-STD-08</t>
        </is>
      </c>
      <c r="C300" t="inlineStr">
        <is>
          <t>1010195 → ST-030-STD-08</t>
        </is>
      </c>
      <c r="D300" s="19" t="inlineStr">
        <is>
          <t>2</t>
        </is>
      </c>
      <c r="E300" s="19" t="inlineStr">
        <is>
          <t>171</t>
        </is>
      </c>
      <c r="F300" s="19" t="inlineStr">
        <is>
          <t>41</t>
        </is>
      </c>
      <c r="G300" s="19" t="n"/>
      <c r="H300" s="19" t="inlineStr">
        <is>
          <t>2</t>
        </is>
      </c>
      <c r="I300" s="19" t="n"/>
      <c r="J300" s="19" t="n"/>
      <c r="K300" s="19" t="inlineStr">
        <is>
          <t>2</t>
        </is>
      </c>
      <c r="L300" t="inlineStr">
        <is>
          <t>2026-08-08</t>
        </is>
      </c>
      <c r="N300" t="inlineStr">
        <is>
          <t>IN_SCOPE_FINAL; SOURCE_CFG=IA-ST-CFG-0054; MARKET=YURT İÇİ AFM; STATUS=IN OEM / EU PACKAGE</t>
        </is>
      </c>
      <c r="O300" t="inlineStr">
        <is>
          <t>2026-08-10T19:29:54Z</t>
        </is>
      </c>
      <c r="P300" t="inlineStr">
        <is>
          <t>2026-08-10T19:29:54Z</t>
        </is>
      </c>
    </row>
    <row r="301">
      <c r="A301" s="19" t="inlineStr">
        <is>
          <t>300</t>
        </is>
      </c>
      <c r="B301" s="19" t="inlineStr">
        <is>
          <t>SC-1010205-ST-030-STD-08</t>
        </is>
      </c>
      <c r="C301" t="inlineStr">
        <is>
          <t>1010205 → ST-030-STD-08</t>
        </is>
      </c>
      <c r="D301" s="19" t="inlineStr">
        <is>
          <t>2</t>
        </is>
      </c>
      <c r="E301" s="19" t="inlineStr">
        <is>
          <t>178</t>
        </is>
      </c>
      <c r="F301" s="19" t="inlineStr">
        <is>
          <t>41</t>
        </is>
      </c>
      <c r="G301" s="19" t="n"/>
      <c r="H301" s="19" t="inlineStr">
        <is>
          <t>2</t>
        </is>
      </c>
      <c r="I301" s="19" t="n"/>
      <c r="J301" s="19" t="n"/>
      <c r="K301" s="19" t="inlineStr">
        <is>
          <t>2</t>
        </is>
      </c>
      <c r="L301" t="inlineStr">
        <is>
          <t>2026-08-08</t>
        </is>
      </c>
      <c r="N301" t="inlineStr">
        <is>
          <t>IN_SCOPE_FINAL; SOURCE_CFG=IA-ST-CFG-0054; MARKET=YURT İÇİ AFM; STATUS=IN OEM / EU PACKAGE</t>
        </is>
      </c>
      <c r="O301" t="inlineStr">
        <is>
          <t>2026-08-10T19:29:54Z</t>
        </is>
      </c>
      <c r="P301" t="inlineStr">
        <is>
          <t>2026-08-10T19:29:54Z</t>
        </is>
      </c>
    </row>
    <row r="302">
      <c r="A302" s="19" t="inlineStr">
        <is>
          <t>301</t>
        </is>
      </c>
      <c r="B302" s="19" t="inlineStr">
        <is>
          <t>SC-1014013-ST-030-STD-08</t>
        </is>
      </c>
      <c r="C302" t="inlineStr">
        <is>
          <t>1014013 → ST-030-STD-08</t>
        </is>
      </c>
      <c r="D302" s="19" t="inlineStr">
        <is>
          <t>2</t>
        </is>
      </c>
      <c r="E302" s="19" t="inlineStr">
        <is>
          <t>1181</t>
        </is>
      </c>
      <c r="F302" s="19" t="inlineStr">
        <is>
          <t>41</t>
        </is>
      </c>
      <c r="G302" s="19" t="n"/>
      <c r="H302" s="19" t="inlineStr">
        <is>
          <t>2</t>
        </is>
      </c>
      <c r="I302" s="19" t="n"/>
      <c r="J302" s="19" t="n"/>
      <c r="K302" s="19" t="inlineStr">
        <is>
          <t>2</t>
        </is>
      </c>
      <c r="L302" t="inlineStr">
        <is>
          <t>2026-08-08</t>
        </is>
      </c>
      <c r="N302" t="inlineStr">
        <is>
          <t>IN_SCOPE_FINAL; SOURCE_CFG=IA-ST-CFG-0054; MARKET=YURT İÇİ AFM; STATUS=IN OEM / EU PACKAGE</t>
        </is>
      </c>
      <c r="O302" t="inlineStr">
        <is>
          <t>2026-08-10T19:29:54Z</t>
        </is>
      </c>
      <c r="P302" t="inlineStr">
        <is>
          <t>2026-08-10T19:29:54Z</t>
        </is>
      </c>
    </row>
    <row r="303">
      <c r="A303" s="19" t="inlineStr">
        <is>
          <t>302</t>
        </is>
      </c>
      <c r="B303" s="19" t="inlineStr">
        <is>
          <t>SC-1014018-ST-030-STD-08</t>
        </is>
      </c>
      <c r="C303" t="inlineStr">
        <is>
          <t>1014018 → ST-030-STD-08</t>
        </is>
      </c>
      <c r="D303" s="19" t="inlineStr">
        <is>
          <t>2</t>
        </is>
      </c>
      <c r="E303" s="19" t="inlineStr">
        <is>
          <t>1186</t>
        </is>
      </c>
      <c r="F303" s="19" t="inlineStr">
        <is>
          <t>41</t>
        </is>
      </c>
      <c r="G303" s="19" t="n"/>
      <c r="H303" s="19" t="inlineStr">
        <is>
          <t>2</t>
        </is>
      </c>
      <c r="I303" s="19" t="n"/>
      <c r="J303" s="19" t="n"/>
      <c r="K303" s="19" t="inlineStr">
        <is>
          <t>2</t>
        </is>
      </c>
      <c r="L303" t="inlineStr">
        <is>
          <t>2026-08-08</t>
        </is>
      </c>
      <c r="N303" t="inlineStr">
        <is>
          <t>IN_SCOPE_FINAL; SOURCE_CFG=IA-ST-CFG-0054; MARKET=YURT İÇİ AFM; STATUS=IN OEM / EU PACKAGE</t>
        </is>
      </c>
      <c r="O303" t="inlineStr">
        <is>
          <t>2026-08-10T19:29:54Z</t>
        </is>
      </c>
      <c r="P303" t="inlineStr">
        <is>
          <t>2026-08-10T19:29:54Z</t>
        </is>
      </c>
    </row>
    <row r="304">
      <c r="A304" s="19" t="inlineStr">
        <is>
          <t>303</t>
        </is>
      </c>
      <c r="B304" s="19" t="inlineStr">
        <is>
          <t>SC-1014063-ST-030-STD-08</t>
        </is>
      </c>
      <c r="C304" t="inlineStr">
        <is>
          <t>1014063 → ST-030-STD-08</t>
        </is>
      </c>
      <c r="D304" s="19" t="inlineStr">
        <is>
          <t>2</t>
        </is>
      </c>
      <c r="E304" s="19" t="inlineStr">
        <is>
          <t>1205</t>
        </is>
      </c>
      <c r="F304" s="19" t="inlineStr">
        <is>
          <t>41</t>
        </is>
      </c>
      <c r="G304" s="19" t="n"/>
      <c r="H304" s="19" t="inlineStr">
        <is>
          <t>2</t>
        </is>
      </c>
      <c r="I304" s="19" t="n"/>
      <c r="J304" s="19" t="n"/>
      <c r="K304" s="19" t="inlineStr">
        <is>
          <t>2</t>
        </is>
      </c>
      <c r="L304" t="inlineStr">
        <is>
          <t>2026-08-08</t>
        </is>
      </c>
      <c r="N304" t="inlineStr">
        <is>
          <t>IN_SCOPE_FINAL; SOURCE_CFG=IA-ST-CFG-0054; MARKET=YURT İÇİ AFM; STATUS=IN OEM / EU PACKAGE</t>
        </is>
      </c>
      <c r="O304" t="inlineStr">
        <is>
          <t>2026-08-10T19:29:54Z</t>
        </is>
      </c>
      <c r="P304" t="inlineStr">
        <is>
          <t>2026-08-10T19:29:54Z</t>
        </is>
      </c>
    </row>
    <row r="305">
      <c r="A305" s="19" t="inlineStr">
        <is>
          <t>304</t>
        </is>
      </c>
      <c r="B305" s="19" t="inlineStr">
        <is>
          <t>SC-1014067-ST-030-STD-08</t>
        </is>
      </c>
      <c r="C305" t="inlineStr">
        <is>
          <t>1014067 → ST-030-STD-08</t>
        </is>
      </c>
      <c r="D305" s="19" t="inlineStr">
        <is>
          <t>2</t>
        </is>
      </c>
      <c r="E305" s="19" t="inlineStr">
        <is>
          <t>1209</t>
        </is>
      </c>
      <c r="F305" s="19" t="inlineStr">
        <is>
          <t>41</t>
        </is>
      </c>
      <c r="G305" s="19" t="n"/>
      <c r="H305" s="19" t="inlineStr">
        <is>
          <t>2</t>
        </is>
      </c>
      <c r="I305" s="19" t="n"/>
      <c r="J305" s="19" t="n"/>
      <c r="K305" s="19" t="inlineStr">
        <is>
          <t>2</t>
        </is>
      </c>
      <c r="L305" t="inlineStr">
        <is>
          <t>2026-08-08</t>
        </is>
      </c>
      <c r="N305" t="inlineStr">
        <is>
          <t>IN_SCOPE_FINAL; SOURCE_CFG=IA-ST-CFG-0054; MARKET=YURT İÇİ AFM; STATUS=IN OEM / EU PACKAGE</t>
        </is>
      </c>
      <c r="O305" t="inlineStr">
        <is>
          <t>2026-08-10T19:29:54Z</t>
        </is>
      </c>
      <c r="P305" t="inlineStr">
        <is>
          <t>2026-08-10T19:29:54Z</t>
        </is>
      </c>
    </row>
    <row r="306">
      <c r="A306" s="19" t="inlineStr">
        <is>
          <t>305</t>
        </is>
      </c>
      <c r="B306" s="19" t="inlineStr">
        <is>
          <t>SC-1014307-ST-030-STD-08</t>
        </is>
      </c>
      <c r="C306" t="inlineStr">
        <is>
          <t>1014307 → ST-030-STD-08</t>
        </is>
      </c>
      <c r="D306" s="19" t="inlineStr">
        <is>
          <t>2</t>
        </is>
      </c>
      <c r="E306" s="19" t="inlineStr">
        <is>
          <t>1297</t>
        </is>
      </c>
      <c r="F306" s="19" t="inlineStr">
        <is>
          <t>41</t>
        </is>
      </c>
      <c r="G306" s="19" t="n"/>
      <c r="H306" s="19" t="inlineStr">
        <is>
          <t>2</t>
        </is>
      </c>
      <c r="I306" s="19" t="n"/>
      <c r="J306" s="19" t="n"/>
      <c r="K306" s="19" t="inlineStr">
        <is>
          <t>2</t>
        </is>
      </c>
      <c r="L306" t="inlineStr">
        <is>
          <t>2026-08-08</t>
        </is>
      </c>
      <c r="N306" t="inlineStr">
        <is>
          <t>IN_SCOPE_FINAL; SOURCE_CFG=IA-ST-CFG-0054; MARKET=YANMAR OEM (SOLİS) (Yurt İçi); STATUS=IN OEM / EU PACKAGE</t>
        </is>
      </c>
      <c r="O306" t="inlineStr">
        <is>
          <t>2026-08-10T19:29:54Z</t>
        </is>
      </c>
      <c r="P306" t="inlineStr">
        <is>
          <t>2026-08-10T19:29:54Z</t>
        </is>
      </c>
    </row>
    <row r="307">
      <c r="A307" s="19" t="inlineStr">
        <is>
          <t>306</t>
        </is>
      </c>
      <c r="B307" s="19" t="inlineStr">
        <is>
          <t>SC-1014580-ST-030-STD-08</t>
        </is>
      </c>
      <c r="C307" t="inlineStr">
        <is>
          <t>1014580 → ST-030-STD-08</t>
        </is>
      </c>
      <c r="D307" s="19" t="inlineStr">
        <is>
          <t>2</t>
        </is>
      </c>
      <c r="E307" s="19" t="inlineStr">
        <is>
          <t>1466</t>
        </is>
      </c>
      <c r="F307" s="19" t="inlineStr">
        <is>
          <t>41</t>
        </is>
      </c>
      <c r="G307" s="19" t="n"/>
      <c r="H307" s="19" t="inlineStr">
        <is>
          <t>2</t>
        </is>
      </c>
      <c r="I307" s="19" t="n"/>
      <c r="J307" s="19" t="n"/>
      <c r="K307" s="19" t="inlineStr">
        <is>
          <t>2</t>
        </is>
      </c>
      <c r="L307" t="inlineStr">
        <is>
          <t>2026-08-08</t>
        </is>
      </c>
      <c r="N307" t="inlineStr">
        <is>
          <t>IN_SCOPE_FINAL; SOURCE_CFG=IA-ST-CFG-0054; MARKET=YURT İÇİ AFM; STATUS=IN OEM / EU PACKAGE</t>
        </is>
      </c>
      <c r="O307" t="inlineStr">
        <is>
          <t>2026-08-10T19:29:54Z</t>
        </is>
      </c>
      <c r="P307" t="inlineStr">
        <is>
          <t>2026-08-10T19:29:54Z</t>
        </is>
      </c>
    </row>
    <row r="308">
      <c r="A308" s="19" t="inlineStr">
        <is>
          <t>307</t>
        </is>
      </c>
      <c r="B308" s="19" t="inlineStr">
        <is>
          <t>SC-1014590-ST-030-STD-08</t>
        </is>
      </c>
      <c r="C308" t="inlineStr">
        <is>
          <t>1014590 → ST-030-STD-08</t>
        </is>
      </c>
      <c r="D308" s="19" t="inlineStr">
        <is>
          <t>2</t>
        </is>
      </c>
      <c r="E308" s="19" t="inlineStr">
        <is>
          <t>1476</t>
        </is>
      </c>
      <c r="F308" s="19" t="inlineStr">
        <is>
          <t>41</t>
        </is>
      </c>
      <c r="G308" s="19" t="n"/>
      <c r="H308" s="19" t="inlineStr">
        <is>
          <t>2</t>
        </is>
      </c>
      <c r="I308" s="19" t="n"/>
      <c r="J308" s="19" t="n"/>
      <c r="K308" s="19" t="inlineStr">
        <is>
          <t>2</t>
        </is>
      </c>
      <c r="L308" t="inlineStr">
        <is>
          <t>2026-08-08</t>
        </is>
      </c>
      <c r="N308" t="inlineStr">
        <is>
          <t>IN_SCOPE_FINAL; SOURCE_CFG=IA-ST-CFG-0054; MARKET=YURT İÇİ AFM; STATUS=IN OEM / EU PACKAGE</t>
        </is>
      </c>
      <c r="O308" t="inlineStr">
        <is>
          <t>2026-08-10T19:29:54Z</t>
        </is>
      </c>
      <c r="P308" t="inlineStr">
        <is>
          <t>2026-08-10T19:29:54Z</t>
        </is>
      </c>
    </row>
    <row r="309">
      <c r="A309" s="19" t="inlineStr">
        <is>
          <t>308</t>
        </is>
      </c>
      <c r="B309" s="19" t="inlineStr">
        <is>
          <t>SC-1009270-ST-030-STD-09</t>
        </is>
      </c>
      <c r="C309" t="inlineStr">
        <is>
          <t>1009270 → ST-030-STD-09</t>
        </is>
      </c>
      <c r="D309" s="19" t="inlineStr">
        <is>
          <t>2</t>
        </is>
      </c>
      <c r="E309" s="19" t="inlineStr">
        <is>
          <t>107</t>
        </is>
      </c>
      <c r="F309" s="19" t="inlineStr">
        <is>
          <t>42</t>
        </is>
      </c>
      <c r="G309" s="19" t="n"/>
      <c r="H309" s="19" t="inlineStr">
        <is>
          <t>2</t>
        </is>
      </c>
      <c r="I309" s="19" t="n"/>
      <c r="J309" s="19" t="n"/>
      <c r="K309" s="19" t="inlineStr">
        <is>
          <t>2</t>
        </is>
      </c>
      <c r="L309" t="inlineStr">
        <is>
          <t>2026-08-08</t>
        </is>
      </c>
      <c r="N309" t="inlineStr">
        <is>
          <t>IN_SCOPE_FINAL; SOURCE_CFG=IA-ST-CFG-0055; MARKET=YUA-CV YURT İÇİ AFM; STATUS=IN OEM / EU PACKAGE</t>
        </is>
      </c>
      <c r="O309" t="inlineStr">
        <is>
          <t>2026-08-10T19:29:54Z</t>
        </is>
      </c>
      <c r="P309" t="inlineStr">
        <is>
          <t>2026-08-10T19:29:54Z</t>
        </is>
      </c>
    </row>
    <row r="310">
      <c r="A310" s="19" t="inlineStr">
        <is>
          <t>309</t>
        </is>
      </c>
      <c r="B310" s="19" t="inlineStr">
        <is>
          <t>SC-1009271-ST-030-STD-09</t>
        </is>
      </c>
      <c r="C310" t="inlineStr">
        <is>
          <t>1009271 → ST-030-STD-09</t>
        </is>
      </c>
      <c r="D310" s="19" t="inlineStr">
        <is>
          <t>2</t>
        </is>
      </c>
      <c r="E310" s="19" t="inlineStr">
        <is>
          <t>108</t>
        </is>
      </c>
      <c r="F310" s="19" t="inlineStr">
        <is>
          <t>42</t>
        </is>
      </c>
      <c r="G310" s="19" t="n"/>
      <c r="H310" s="19" t="inlineStr">
        <is>
          <t>2</t>
        </is>
      </c>
      <c r="I310" s="19" t="n"/>
      <c r="J310" s="19" t="n"/>
      <c r="K310" s="19" t="inlineStr">
        <is>
          <t>2</t>
        </is>
      </c>
      <c r="L310" t="inlineStr">
        <is>
          <t>2026-08-08</t>
        </is>
      </c>
      <c r="N310" t="inlineStr">
        <is>
          <t>IN_SCOPE_FINAL; SOURCE_CFG=IA-ST-CFG-0055; MARKET=YUA-CV YURT İÇİ AFM; STATUS=IN OEM / EU PACKAGE</t>
        </is>
      </c>
      <c r="O310" t="inlineStr">
        <is>
          <t>2026-08-10T19:29:54Z</t>
        </is>
      </c>
      <c r="P310" t="inlineStr">
        <is>
          <t>2026-08-10T19:29:54Z</t>
        </is>
      </c>
    </row>
    <row r="311">
      <c r="A311" s="19" t="inlineStr">
        <is>
          <t>310</t>
        </is>
      </c>
      <c r="B311" s="19" t="inlineStr">
        <is>
          <t>SC-1014077-ST-030-STD-09</t>
        </is>
      </c>
      <c r="C311" t="inlineStr">
        <is>
          <t>1014077 → ST-030-STD-09</t>
        </is>
      </c>
      <c r="D311" s="19" t="inlineStr">
        <is>
          <t>2</t>
        </is>
      </c>
      <c r="E311" s="19" t="inlineStr">
        <is>
          <t>1216</t>
        </is>
      </c>
      <c r="F311" s="19" t="inlineStr">
        <is>
          <t>42</t>
        </is>
      </c>
      <c r="G311" s="19" t="n"/>
      <c r="H311" s="19" t="inlineStr">
        <is>
          <t>2</t>
        </is>
      </c>
      <c r="I311" s="19" t="n"/>
      <c r="J311" s="19" t="n"/>
      <c r="K311" s="19" t="inlineStr">
        <is>
          <t>2</t>
        </is>
      </c>
      <c r="L311" t="inlineStr">
        <is>
          <t>2026-08-08</t>
        </is>
      </c>
      <c r="N311" t="inlineStr">
        <is>
          <t>IN_SCOPE_FINAL; SOURCE_CFG=IA-ST-CFG-0055; MARKET=YURT İÇİ AFM; STATUS=IN OEM / EU PACKAGE</t>
        </is>
      </c>
      <c r="O311" t="inlineStr">
        <is>
          <t>2026-08-10T19:29:54Z</t>
        </is>
      </c>
      <c r="P311" t="inlineStr">
        <is>
          <t>2026-08-10T19:29:54Z</t>
        </is>
      </c>
    </row>
    <row r="312">
      <c r="A312" s="19" t="inlineStr">
        <is>
          <t>311</t>
        </is>
      </c>
      <c r="B312" s="19" t="inlineStr">
        <is>
          <t>SC-1000445-ST-030-STD-09</t>
        </is>
      </c>
      <c r="C312" t="inlineStr">
        <is>
          <t>1000445 → ST-030-STD-09</t>
        </is>
      </c>
      <c r="D312" s="19" t="inlineStr">
        <is>
          <t>2</t>
        </is>
      </c>
      <c r="E312" s="19" t="inlineStr">
        <is>
          <t>4</t>
        </is>
      </c>
      <c r="F312" s="19" t="inlineStr">
        <is>
          <t>42</t>
        </is>
      </c>
      <c r="G312" s="19" t="n"/>
      <c r="H312" s="19" t="inlineStr">
        <is>
          <t>2</t>
        </is>
      </c>
      <c r="I312" s="19" t="n"/>
      <c r="J312" s="19" t="n"/>
      <c r="K312" s="19" t="inlineStr">
        <is>
          <t>2</t>
        </is>
      </c>
      <c r="L312" t="inlineStr">
        <is>
          <t>2026-08-08</t>
        </is>
      </c>
      <c r="N312" t="inlineStr">
        <is>
          <t>IN_SCOPE_FINAL; SOURCE_CFG=IA-ST-CFG-0055; MARKET=YURT İÇİ AFM; STATUS=IN OEM / EU PACKAGE</t>
        </is>
      </c>
      <c r="O312" t="inlineStr">
        <is>
          <t>2026-08-10T19:29:54Z</t>
        </is>
      </c>
      <c r="P312" t="inlineStr">
        <is>
          <t>2026-08-10T19:29:54Z</t>
        </is>
      </c>
    </row>
    <row r="313">
      <c r="A313" s="19" t="inlineStr">
        <is>
          <t>312</t>
        </is>
      </c>
      <c r="B313" s="19" t="inlineStr">
        <is>
          <t>SC-1004031-ST-030-STD-09</t>
        </is>
      </c>
      <c r="C313" t="inlineStr">
        <is>
          <t>1004031 → ST-030-STD-09</t>
        </is>
      </c>
      <c r="D313" s="19" t="inlineStr">
        <is>
          <t>2</t>
        </is>
      </c>
      <c r="E313" s="19" t="inlineStr">
        <is>
          <t>26</t>
        </is>
      </c>
      <c r="F313" s="19" t="inlineStr">
        <is>
          <t>42</t>
        </is>
      </c>
      <c r="G313" s="19" t="n"/>
      <c r="H313" s="19" t="inlineStr">
        <is>
          <t>2</t>
        </is>
      </c>
      <c r="I313" s="19" t="n"/>
      <c r="J313" s="19" t="n"/>
      <c r="K313" s="19" t="inlineStr">
        <is>
          <t>2</t>
        </is>
      </c>
      <c r="L313" t="inlineStr">
        <is>
          <t>2026-08-08</t>
        </is>
      </c>
      <c r="N313" t="inlineStr">
        <is>
          <t>IN_SCOPE_FINAL; SOURCE_CFG=IA-ST-CFG-0055; MARKET=YURT İÇİ AFM; STATUS=IN OEM / EU PACKAGE</t>
        </is>
      </c>
      <c r="O313" t="inlineStr">
        <is>
          <t>2026-08-10T19:29:54Z</t>
        </is>
      </c>
      <c r="P313" t="inlineStr">
        <is>
          <t>2026-08-10T19:29:54Z</t>
        </is>
      </c>
    </row>
    <row r="314">
      <c r="A314" s="19" t="inlineStr">
        <is>
          <t>313</t>
        </is>
      </c>
      <c r="B314" s="19" t="inlineStr">
        <is>
          <t>SC-1004234-ST-030-STD-09</t>
        </is>
      </c>
      <c r="C314" t="inlineStr">
        <is>
          <t>1004234 → ST-030-STD-09</t>
        </is>
      </c>
      <c r="D314" s="19" t="inlineStr">
        <is>
          <t>2</t>
        </is>
      </c>
      <c r="E314" s="19" t="inlineStr">
        <is>
          <t>29</t>
        </is>
      </c>
      <c r="F314" s="19" t="inlineStr">
        <is>
          <t>42</t>
        </is>
      </c>
      <c r="G314" s="19" t="n"/>
      <c r="H314" s="19" t="inlineStr">
        <is>
          <t>2</t>
        </is>
      </c>
      <c r="I314" s="19" t="n"/>
      <c r="J314" s="19" t="n"/>
      <c r="K314" s="19" t="inlineStr">
        <is>
          <t>2</t>
        </is>
      </c>
      <c r="L314" t="inlineStr">
        <is>
          <t>2026-08-08</t>
        </is>
      </c>
      <c r="N314" t="inlineStr">
        <is>
          <t>IN_SCOPE_FINAL; SOURCE_CFG=IA-ST-CFG-0055; MARKET=YURT İÇİ AFM; STATUS=IN OEM / EU PACKAGE</t>
        </is>
      </c>
      <c r="O314" t="inlineStr">
        <is>
          <t>2026-08-10T19:29:54Z</t>
        </is>
      </c>
      <c r="P314" t="inlineStr">
        <is>
          <t>2026-08-10T19:29:54Z</t>
        </is>
      </c>
    </row>
    <row r="315">
      <c r="A315" s="19" t="inlineStr">
        <is>
          <t>314</t>
        </is>
      </c>
      <c r="B315" s="19" t="inlineStr">
        <is>
          <t>SC-1004297-ST-030-STD-09</t>
        </is>
      </c>
      <c r="C315" t="inlineStr">
        <is>
          <t>1004297 → ST-030-STD-09</t>
        </is>
      </c>
      <c r="D315" s="19" t="inlineStr">
        <is>
          <t>2</t>
        </is>
      </c>
      <c r="E315" s="19" t="inlineStr">
        <is>
          <t>31</t>
        </is>
      </c>
      <c r="F315" s="19" t="inlineStr">
        <is>
          <t>42</t>
        </is>
      </c>
      <c r="G315" s="19" t="n"/>
      <c r="H315" s="19" t="inlineStr">
        <is>
          <t>2</t>
        </is>
      </c>
      <c r="I315" s="19" t="n"/>
      <c r="J315" s="19" t="n"/>
      <c r="K315" s="19" t="inlineStr">
        <is>
          <t>2</t>
        </is>
      </c>
      <c r="L315" t="inlineStr">
        <is>
          <t>2026-08-08</t>
        </is>
      </c>
      <c r="N315" t="inlineStr">
        <is>
          <t>IN_SCOPE_FINAL; SOURCE_CFG=IA-ST-CFG-0055; MARKET=YURT İÇİ AFM; STATUS=IN OEM / EU PACKAGE</t>
        </is>
      </c>
      <c r="O315" t="inlineStr">
        <is>
          <t>2026-08-10T19:29:54Z</t>
        </is>
      </c>
      <c r="P315" t="inlineStr">
        <is>
          <t>2026-08-10T19:29:54Z</t>
        </is>
      </c>
    </row>
    <row r="316">
      <c r="A316" s="19" t="inlineStr">
        <is>
          <t>315</t>
        </is>
      </c>
      <c r="B316" s="19" t="inlineStr">
        <is>
          <t>SC-1010194-ST-030-STD-09</t>
        </is>
      </c>
      <c r="C316" t="inlineStr">
        <is>
          <t>1010194 → ST-030-STD-09</t>
        </is>
      </c>
      <c r="D316" s="19" t="inlineStr">
        <is>
          <t>2</t>
        </is>
      </c>
      <c r="E316" s="19" t="inlineStr">
        <is>
          <t>170</t>
        </is>
      </c>
      <c r="F316" s="19" t="inlineStr">
        <is>
          <t>42</t>
        </is>
      </c>
      <c r="G316" s="19" t="n"/>
      <c r="H316" s="19" t="inlineStr">
        <is>
          <t>2</t>
        </is>
      </c>
      <c r="I316" s="19" t="n"/>
      <c r="J316" s="19" t="n"/>
      <c r="K316" s="19" t="inlineStr">
        <is>
          <t>2</t>
        </is>
      </c>
      <c r="L316" t="inlineStr">
        <is>
          <t>2026-08-08</t>
        </is>
      </c>
      <c r="N316" t="inlineStr">
        <is>
          <t>IN_SCOPE_FINAL; SOURCE_CFG=IA-ST-CFG-0055; MARKET=YURT İÇİ AFM; STATUS=IN OEM / EU PACKAGE</t>
        </is>
      </c>
      <c r="O316" t="inlineStr">
        <is>
          <t>2026-08-10T19:29:54Z</t>
        </is>
      </c>
      <c r="P316" t="inlineStr">
        <is>
          <t>2026-08-10T19:29:54Z</t>
        </is>
      </c>
    </row>
    <row r="317">
      <c r="A317" s="19" t="inlineStr">
        <is>
          <t>316</t>
        </is>
      </c>
      <c r="B317" s="19" t="inlineStr">
        <is>
          <t>SC-1010196-ST-030-STD-09</t>
        </is>
      </c>
      <c r="C317" t="inlineStr">
        <is>
          <t>1010196 → ST-030-STD-09</t>
        </is>
      </c>
      <c r="D317" s="19" t="inlineStr">
        <is>
          <t>2</t>
        </is>
      </c>
      <c r="E317" s="19" t="inlineStr">
        <is>
          <t>172</t>
        </is>
      </c>
      <c r="F317" s="19" t="inlineStr">
        <is>
          <t>42</t>
        </is>
      </c>
      <c r="G317" s="19" t="n"/>
      <c r="H317" s="19" t="inlineStr">
        <is>
          <t>2</t>
        </is>
      </c>
      <c r="I317" s="19" t="n"/>
      <c r="J317" s="19" t="n"/>
      <c r="K317" s="19" t="inlineStr">
        <is>
          <t>2</t>
        </is>
      </c>
      <c r="L317" t="inlineStr">
        <is>
          <t>2026-08-08</t>
        </is>
      </c>
      <c r="N317" t="inlineStr">
        <is>
          <t>IN_SCOPE_FINAL; SOURCE_CFG=IA-ST-CFG-0055; MARKET=YURT İÇİ AFM; STATUS=IN OEM / EU PACKAGE</t>
        </is>
      </c>
      <c r="O317" t="inlineStr">
        <is>
          <t>2026-08-10T19:29:54Z</t>
        </is>
      </c>
      <c r="P317" t="inlineStr">
        <is>
          <t>2026-08-10T19:29:54Z</t>
        </is>
      </c>
    </row>
    <row r="318">
      <c r="A318" s="19" t="inlineStr">
        <is>
          <t>317</t>
        </is>
      </c>
      <c r="B318" s="19" t="inlineStr">
        <is>
          <t>SC-1010198-ST-030-STD-09</t>
        </is>
      </c>
      <c r="C318" t="inlineStr">
        <is>
          <t>1010198 → ST-030-STD-09</t>
        </is>
      </c>
      <c r="D318" s="19" t="inlineStr">
        <is>
          <t>2</t>
        </is>
      </c>
      <c r="E318" s="19" t="inlineStr">
        <is>
          <t>173</t>
        </is>
      </c>
      <c r="F318" s="19" t="inlineStr">
        <is>
          <t>42</t>
        </is>
      </c>
      <c r="G318" s="19" t="n"/>
      <c r="H318" s="19" t="inlineStr">
        <is>
          <t>2</t>
        </is>
      </c>
      <c r="I318" s="19" t="n"/>
      <c r="J318" s="19" t="n"/>
      <c r="K318" s="19" t="inlineStr">
        <is>
          <t>2</t>
        </is>
      </c>
      <c r="L318" t="inlineStr">
        <is>
          <t>2026-08-08</t>
        </is>
      </c>
      <c r="N318" t="inlineStr">
        <is>
          <t>IN_SCOPE_FINAL; SOURCE_CFG=IA-ST-CFG-0055; MARKET=YURT İÇİ AFM; STATUS=IN OEM / EU PACKAGE</t>
        </is>
      </c>
      <c r="O318" t="inlineStr">
        <is>
          <t>2026-08-10T19:29:54Z</t>
        </is>
      </c>
      <c r="P318" t="inlineStr">
        <is>
          <t>2026-08-10T19:29:54Z</t>
        </is>
      </c>
    </row>
    <row r="319">
      <c r="A319" s="19" t="inlineStr">
        <is>
          <t>318</t>
        </is>
      </c>
      <c r="B319" s="19" t="inlineStr">
        <is>
          <t>SC-1014014-ST-030-STD-09</t>
        </is>
      </c>
      <c r="C319" t="inlineStr">
        <is>
          <t>1014014 → ST-030-STD-09</t>
        </is>
      </c>
      <c r="D319" s="19" t="inlineStr">
        <is>
          <t>2</t>
        </is>
      </c>
      <c r="E319" s="19" t="inlineStr">
        <is>
          <t>1182</t>
        </is>
      </c>
      <c r="F319" s="19" t="inlineStr">
        <is>
          <t>42</t>
        </is>
      </c>
      <c r="G319" s="19" t="n"/>
      <c r="H319" s="19" t="inlineStr">
        <is>
          <t>2</t>
        </is>
      </c>
      <c r="I319" s="19" t="n"/>
      <c r="J319" s="19" t="n"/>
      <c r="K319" s="19" t="inlineStr">
        <is>
          <t>2</t>
        </is>
      </c>
      <c r="L319" t="inlineStr">
        <is>
          <t>2026-08-08</t>
        </is>
      </c>
      <c r="N319" t="inlineStr">
        <is>
          <t>IN_SCOPE_FINAL; SOURCE_CFG=IA-ST-CFG-0055; MARKET=YURT İÇİ AFM; STATUS=IN OEM / EU PACKAGE</t>
        </is>
      </c>
      <c r="O319" t="inlineStr">
        <is>
          <t>2026-08-10T19:29:54Z</t>
        </is>
      </c>
      <c r="P319" t="inlineStr">
        <is>
          <t>2026-08-10T19:29:54Z</t>
        </is>
      </c>
    </row>
    <row r="320">
      <c r="A320" s="19" t="inlineStr">
        <is>
          <t>319</t>
        </is>
      </c>
      <c r="B320" s="19" t="inlineStr">
        <is>
          <t>SC-1014016-ST-030-STD-09</t>
        </is>
      </c>
      <c r="C320" t="inlineStr">
        <is>
          <t>1014016 → ST-030-STD-09</t>
        </is>
      </c>
      <c r="D320" s="19" t="inlineStr">
        <is>
          <t>2</t>
        </is>
      </c>
      <c r="E320" s="19" t="inlineStr">
        <is>
          <t>1184</t>
        </is>
      </c>
      <c r="F320" s="19" t="inlineStr">
        <is>
          <t>42</t>
        </is>
      </c>
      <c r="G320" s="19" t="n"/>
      <c r="H320" s="19" t="inlineStr">
        <is>
          <t>2</t>
        </is>
      </c>
      <c r="I320" s="19" t="n"/>
      <c r="J320" s="19" t="n"/>
      <c r="K320" s="19" t="inlineStr">
        <is>
          <t>2</t>
        </is>
      </c>
      <c r="L320" t="inlineStr">
        <is>
          <t>2026-08-08</t>
        </is>
      </c>
      <c r="N320" t="inlineStr">
        <is>
          <t>IN_SCOPE_FINAL; SOURCE_CFG=IA-ST-CFG-0055; MARKET=YURT İÇİ AFM; STATUS=IN OEM / EU PACKAGE</t>
        </is>
      </c>
      <c r="O320" t="inlineStr">
        <is>
          <t>2026-08-10T19:29:54Z</t>
        </is>
      </c>
      <c r="P320" t="inlineStr">
        <is>
          <t>2026-08-10T19:29:54Z</t>
        </is>
      </c>
    </row>
    <row r="321">
      <c r="A321" s="19" t="inlineStr">
        <is>
          <t>320</t>
        </is>
      </c>
      <c r="B321" s="19" t="inlineStr">
        <is>
          <t>SC-1014019-ST-030-STD-09</t>
        </is>
      </c>
      <c r="C321" t="inlineStr">
        <is>
          <t>1014019 → ST-030-STD-09</t>
        </is>
      </c>
      <c r="D321" s="19" t="inlineStr">
        <is>
          <t>2</t>
        </is>
      </c>
      <c r="E321" s="19" t="inlineStr">
        <is>
          <t>1187</t>
        </is>
      </c>
      <c r="F321" s="19" t="inlineStr">
        <is>
          <t>42</t>
        </is>
      </c>
      <c r="G321" s="19" t="n"/>
      <c r="H321" s="19" t="inlineStr">
        <is>
          <t>2</t>
        </is>
      </c>
      <c r="I321" s="19" t="n"/>
      <c r="J321" s="19" t="n"/>
      <c r="K321" s="19" t="inlineStr">
        <is>
          <t>2</t>
        </is>
      </c>
      <c r="L321" t="inlineStr">
        <is>
          <t>2026-08-08</t>
        </is>
      </c>
      <c r="N321" t="inlineStr">
        <is>
          <t>IN_SCOPE_FINAL; SOURCE_CFG=IA-ST-CFG-0055; MARKET=YURT İÇİ AFM; STATUS=IN OEM / EU PACKAGE</t>
        </is>
      </c>
      <c r="O321" t="inlineStr">
        <is>
          <t>2026-08-10T19:29:54Z</t>
        </is>
      </c>
      <c r="P321" t="inlineStr">
        <is>
          <t>2026-08-10T19:29:54Z</t>
        </is>
      </c>
    </row>
    <row r="322">
      <c r="A322" s="19" t="inlineStr">
        <is>
          <t>321</t>
        </is>
      </c>
      <c r="B322" s="19" t="inlineStr">
        <is>
          <t>SC-1014020-ST-030-STD-09</t>
        </is>
      </c>
      <c r="C322" t="inlineStr">
        <is>
          <t>1014020 → ST-030-STD-09</t>
        </is>
      </c>
      <c r="D322" s="19" t="inlineStr">
        <is>
          <t>2</t>
        </is>
      </c>
      <c r="E322" s="19" t="inlineStr">
        <is>
          <t>1188</t>
        </is>
      </c>
      <c r="F322" s="19" t="inlineStr">
        <is>
          <t>42</t>
        </is>
      </c>
      <c r="G322" s="19" t="n"/>
      <c r="H322" s="19" t="inlineStr">
        <is>
          <t>2</t>
        </is>
      </c>
      <c r="I322" s="19" t="n"/>
      <c r="J322" s="19" t="n"/>
      <c r="K322" s="19" t="inlineStr">
        <is>
          <t>2</t>
        </is>
      </c>
      <c r="L322" t="inlineStr">
        <is>
          <t>2026-08-08</t>
        </is>
      </c>
      <c r="N322" t="inlineStr">
        <is>
          <t>IN_SCOPE_FINAL; SOURCE_CFG=IA-ST-CFG-0055; MARKET=YURT İÇİ AFM; STATUS=IN OEM / EU PACKAGE</t>
        </is>
      </c>
      <c r="O322" t="inlineStr">
        <is>
          <t>2026-08-10T19:29:54Z</t>
        </is>
      </c>
      <c r="P322" t="inlineStr">
        <is>
          <t>2026-08-10T19:29:54Z</t>
        </is>
      </c>
    </row>
    <row r="323">
      <c r="A323" s="19" t="inlineStr">
        <is>
          <t>322</t>
        </is>
      </c>
      <c r="B323" s="19" t="inlineStr">
        <is>
          <t>SC-1014064-ST-030-STD-09</t>
        </is>
      </c>
      <c r="C323" t="inlineStr">
        <is>
          <t>1014064 → ST-030-STD-09</t>
        </is>
      </c>
      <c r="D323" s="19" t="inlineStr">
        <is>
          <t>2</t>
        </is>
      </c>
      <c r="E323" s="19" t="inlineStr">
        <is>
          <t>1206</t>
        </is>
      </c>
      <c r="F323" s="19" t="inlineStr">
        <is>
          <t>42</t>
        </is>
      </c>
      <c r="G323" s="19" t="n"/>
      <c r="H323" s="19" t="inlineStr">
        <is>
          <t>2</t>
        </is>
      </c>
      <c r="I323" s="19" t="n"/>
      <c r="J323" s="19" t="n"/>
      <c r="K323" s="19" t="inlineStr">
        <is>
          <t>2</t>
        </is>
      </c>
      <c r="L323" t="inlineStr">
        <is>
          <t>2026-08-08</t>
        </is>
      </c>
      <c r="N323" t="inlineStr">
        <is>
          <t>IN_SCOPE_FINAL; SOURCE_CFG=IA-ST-CFG-0055; MARKET=YURT İÇİ AFM; STATUS=IN OEM / EU PACKAGE</t>
        </is>
      </c>
      <c r="O323" t="inlineStr">
        <is>
          <t>2026-08-10T19:29:54Z</t>
        </is>
      </c>
      <c r="P323" t="inlineStr">
        <is>
          <t>2026-08-10T19:29:54Z</t>
        </is>
      </c>
    </row>
    <row r="324">
      <c r="A324" s="19" t="inlineStr">
        <is>
          <t>323</t>
        </is>
      </c>
      <c r="B324" s="19" t="inlineStr">
        <is>
          <t>SC-1014065-ST-030-STD-09</t>
        </is>
      </c>
      <c r="C324" t="inlineStr">
        <is>
          <t>1014065 → ST-030-STD-09</t>
        </is>
      </c>
      <c r="D324" s="19" t="inlineStr">
        <is>
          <t>2</t>
        </is>
      </c>
      <c r="E324" s="19" t="inlineStr">
        <is>
          <t>1207</t>
        </is>
      </c>
      <c r="F324" s="19" t="inlineStr">
        <is>
          <t>42</t>
        </is>
      </c>
      <c r="G324" s="19" t="n"/>
      <c r="H324" s="19" t="inlineStr">
        <is>
          <t>2</t>
        </is>
      </c>
      <c r="I324" s="19" t="n"/>
      <c r="J324" s="19" t="n"/>
      <c r="K324" s="19" t="inlineStr">
        <is>
          <t>2</t>
        </is>
      </c>
      <c r="L324" t="inlineStr">
        <is>
          <t>2026-08-08</t>
        </is>
      </c>
      <c r="N324" t="inlineStr">
        <is>
          <t>IN_SCOPE_FINAL; SOURCE_CFG=IA-ST-CFG-0055; MARKET=YURT İÇİ AFM; STATUS=IN OEM / EU PACKAGE</t>
        </is>
      </c>
      <c r="O324" t="inlineStr">
        <is>
          <t>2026-08-10T19:29:54Z</t>
        </is>
      </c>
      <c r="P324" t="inlineStr">
        <is>
          <t>2026-08-10T19:29:54Z</t>
        </is>
      </c>
    </row>
    <row r="325">
      <c r="A325" s="19" t="inlineStr">
        <is>
          <t>324</t>
        </is>
      </c>
      <c r="B325" s="19" t="inlineStr">
        <is>
          <t>SC-1014068-ST-030-STD-09</t>
        </is>
      </c>
      <c r="C325" t="inlineStr">
        <is>
          <t>1014068 → ST-030-STD-09</t>
        </is>
      </c>
      <c r="D325" s="19" t="inlineStr">
        <is>
          <t>2</t>
        </is>
      </c>
      <c r="E325" s="19" t="inlineStr">
        <is>
          <t>1210</t>
        </is>
      </c>
      <c r="F325" s="19" t="inlineStr">
        <is>
          <t>42</t>
        </is>
      </c>
      <c r="G325" s="19" t="n"/>
      <c r="H325" s="19" t="inlineStr">
        <is>
          <t>2</t>
        </is>
      </c>
      <c r="I325" s="19" t="n"/>
      <c r="J325" s="19" t="n"/>
      <c r="K325" s="19" t="inlineStr">
        <is>
          <t>2</t>
        </is>
      </c>
      <c r="L325" t="inlineStr">
        <is>
          <t>2026-08-08</t>
        </is>
      </c>
      <c r="N325" t="inlineStr">
        <is>
          <t>IN_SCOPE_FINAL; SOURCE_CFG=IA-ST-CFG-0055; MARKET=YURT İÇİ AFM; STATUS=IN OEM / EU PACKAGE</t>
        </is>
      </c>
      <c r="O325" t="inlineStr">
        <is>
          <t>2026-08-10T19:29:54Z</t>
        </is>
      </c>
      <c r="P325" t="inlineStr">
        <is>
          <t>2026-08-10T19:29:54Z</t>
        </is>
      </c>
    </row>
    <row r="326">
      <c r="A326" s="19" t="inlineStr">
        <is>
          <t>325</t>
        </is>
      </c>
      <c r="B326" s="19" t="inlineStr">
        <is>
          <t>SC-1014070-ST-030-STD-09</t>
        </is>
      </c>
      <c r="C326" t="inlineStr">
        <is>
          <t>1014070 → ST-030-STD-09</t>
        </is>
      </c>
      <c r="D326" s="19" t="inlineStr">
        <is>
          <t>2</t>
        </is>
      </c>
      <c r="E326" s="19" t="inlineStr">
        <is>
          <t>1212</t>
        </is>
      </c>
      <c r="F326" s="19" t="inlineStr">
        <is>
          <t>42</t>
        </is>
      </c>
      <c r="G326" s="19" t="n"/>
      <c r="H326" s="19" t="inlineStr">
        <is>
          <t>2</t>
        </is>
      </c>
      <c r="I326" s="19" t="n"/>
      <c r="J326" s="19" t="n"/>
      <c r="K326" s="19" t="inlineStr">
        <is>
          <t>2</t>
        </is>
      </c>
      <c r="L326" t="inlineStr">
        <is>
          <t>2026-08-08</t>
        </is>
      </c>
      <c r="N326" t="inlineStr">
        <is>
          <t>IN_SCOPE_FINAL; SOURCE_CFG=IA-ST-CFG-0055; MARKET=YURT İÇİ AFM; STATUS=IN OEM / EU PACKAGE</t>
        </is>
      </c>
      <c r="O326" t="inlineStr">
        <is>
          <t>2026-08-10T19:29:54Z</t>
        </is>
      </c>
      <c r="P326" t="inlineStr">
        <is>
          <t>2026-08-10T19:29:54Z</t>
        </is>
      </c>
    </row>
    <row r="327">
      <c r="A327" s="19" t="inlineStr">
        <is>
          <t>326</t>
        </is>
      </c>
      <c r="B327" s="19" t="inlineStr">
        <is>
          <t>SC-1014581-ST-030-STD-09</t>
        </is>
      </c>
      <c r="C327" t="inlineStr">
        <is>
          <t>1014581 → ST-030-STD-09</t>
        </is>
      </c>
      <c r="D327" s="19" t="inlineStr">
        <is>
          <t>2</t>
        </is>
      </c>
      <c r="E327" s="19" t="inlineStr">
        <is>
          <t>1467</t>
        </is>
      </c>
      <c r="F327" s="19" t="inlineStr">
        <is>
          <t>42</t>
        </is>
      </c>
      <c r="G327" s="19" t="n"/>
      <c r="H327" s="19" t="inlineStr">
        <is>
          <t>2</t>
        </is>
      </c>
      <c r="I327" s="19" t="n"/>
      <c r="J327" s="19" t="n"/>
      <c r="K327" s="19" t="inlineStr">
        <is>
          <t>2</t>
        </is>
      </c>
      <c r="L327" t="inlineStr">
        <is>
          <t>2026-08-08</t>
        </is>
      </c>
      <c r="N327" t="inlineStr">
        <is>
          <t>IN_SCOPE_FINAL; SOURCE_CFG=IA-ST-CFG-0055; MARKET=YURT İÇİ AFM; STATUS=IN OEM / EU PACKAGE</t>
        </is>
      </c>
      <c r="O327" t="inlineStr">
        <is>
          <t>2026-08-10T19:29:54Z</t>
        </is>
      </c>
      <c r="P327" t="inlineStr">
        <is>
          <t>2026-08-10T19:29:54Z</t>
        </is>
      </c>
    </row>
    <row r="328">
      <c r="A328" s="19" t="inlineStr">
        <is>
          <t>327</t>
        </is>
      </c>
      <c r="B328" s="19" t="inlineStr">
        <is>
          <t>SC-1014591-ST-030-STD-09</t>
        </is>
      </c>
      <c r="C328" t="inlineStr">
        <is>
          <t>1014591 → ST-030-STD-09</t>
        </is>
      </c>
      <c r="D328" s="19" t="inlineStr">
        <is>
          <t>2</t>
        </is>
      </c>
      <c r="E328" s="19" t="inlineStr">
        <is>
          <t>1477</t>
        </is>
      </c>
      <c r="F328" s="19" t="inlineStr">
        <is>
          <t>42</t>
        </is>
      </c>
      <c r="G328" s="19" t="n"/>
      <c r="H328" s="19" t="inlineStr">
        <is>
          <t>2</t>
        </is>
      </c>
      <c r="I328" s="19" t="n"/>
      <c r="J328" s="19" t="n"/>
      <c r="K328" s="19" t="inlineStr">
        <is>
          <t>2</t>
        </is>
      </c>
      <c r="L328" t="inlineStr">
        <is>
          <t>2026-08-08</t>
        </is>
      </c>
      <c r="N328" t="inlineStr">
        <is>
          <t>IN_SCOPE_FINAL; SOURCE_CFG=IA-ST-CFG-0055; MARKET=YURT İÇİ AFM; STATUS=IN OEM / EU PACKAGE</t>
        </is>
      </c>
      <c r="O328" t="inlineStr">
        <is>
          <t>2026-08-10T19:29:54Z</t>
        </is>
      </c>
      <c r="P328" t="inlineStr">
        <is>
          <t>2026-08-10T19:29:54Z</t>
        </is>
      </c>
    </row>
    <row r="329">
      <c r="A329" s="19" t="inlineStr">
        <is>
          <t>328</t>
        </is>
      </c>
      <c r="B329" s="19" t="inlineStr">
        <is>
          <t>SC-1010003-ST-030-STD-10</t>
        </is>
      </c>
      <c r="C329" t="inlineStr">
        <is>
          <t>1010003 → ST-030-STD-10</t>
        </is>
      </c>
      <c r="D329" s="19" t="inlineStr">
        <is>
          <t>2</t>
        </is>
      </c>
      <c r="E329" s="19" t="inlineStr">
        <is>
          <t>147</t>
        </is>
      </c>
      <c r="F329" s="19" t="inlineStr">
        <is>
          <t>43</t>
        </is>
      </c>
      <c r="G329" s="19" t="n"/>
      <c r="H329" s="19" t="inlineStr">
        <is>
          <t>2</t>
        </is>
      </c>
      <c r="I329" s="19" t="n"/>
      <c r="J329" s="19" t="n"/>
      <c r="K329" s="19" t="inlineStr">
        <is>
          <t>2</t>
        </is>
      </c>
      <c r="L329" t="inlineStr">
        <is>
          <t>2026-08-08</t>
        </is>
      </c>
      <c r="N329" t="inlineStr">
        <is>
          <t>IN_SCOPE_FINAL; SOURCE_CFG=IA-ST-CFG-0056; MARKET=SCHNAPP; STATUS=IN OEM / EU PACKAGE</t>
        </is>
      </c>
      <c r="O329" t="inlineStr">
        <is>
          <t>2026-08-10T19:29:54Z</t>
        </is>
      </c>
      <c r="P329" t="inlineStr">
        <is>
          <t>2026-08-10T19:29:54Z</t>
        </is>
      </c>
    </row>
    <row r="330">
      <c r="A330" s="19" t="inlineStr">
        <is>
          <t>329</t>
        </is>
      </c>
      <c r="B330" s="19" t="inlineStr">
        <is>
          <t>SC-1010398-ST-030-STD-10</t>
        </is>
      </c>
      <c r="C330" t="inlineStr">
        <is>
          <t>1010398 → ST-030-STD-10</t>
        </is>
      </c>
      <c r="D330" s="19" t="inlineStr">
        <is>
          <t>2</t>
        </is>
      </c>
      <c r="E330" s="19" t="inlineStr">
        <is>
          <t>183</t>
        </is>
      </c>
      <c r="F330" s="19" t="inlineStr">
        <is>
          <t>43</t>
        </is>
      </c>
      <c r="G330" s="19" t="n"/>
      <c r="H330" s="19" t="inlineStr">
        <is>
          <t>2</t>
        </is>
      </c>
      <c r="I330" s="19" t="n"/>
      <c r="J330" s="19" t="n"/>
      <c r="K330" s="19" t="inlineStr">
        <is>
          <t>2</t>
        </is>
      </c>
      <c r="L330" t="inlineStr">
        <is>
          <t>2026-08-08</t>
        </is>
      </c>
      <c r="N330" t="inlineStr">
        <is>
          <t>IN_SCOPE_FINAL; SOURCE_CFG=IA-ST-CFG-0056; MARKET=SCHNAPP; STATUS=IN OEM / EU PACKAGE</t>
        </is>
      </c>
      <c r="O330" t="inlineStr">
        <is>
          <t>2026-08-10T19:29:54Z</t>
        </is>
      </c>
      <c r="P330" t="inlineStr">
        <is>
          <t>2026-08-10T19:29:54Z</t>
        </is>
      </c>
    </row>
    <row r="331">
      <c r="A331" s="19" t="inlineStr">
        <is>
          <t>330</t>
        </is>
      </c>
      <c r="B331" s="19" t="inlineStr">
        <is>
          <t>SC-1010000-ST-030-STD-11</t>
        </is>
      </c>
      <c r="C331" t="inlineStr">
        <is>
          <t>1010000 → ST-030-STD-11</t>
        </is>
      </c>
      <c r="D331" s="19" t="inlineStr">
        <is>
          <t>2</t>
        </is>
      </c>
      <c r="E331" s="19" t="inlineStr">
        <is>
          <t>144</t>
        </is>
      </c>
      <c r="F331" s="19" t="inlineStr">
        <is>
          <t>44</t>
        </is>
      </c>
      <c r="G331" s="19" t="n"/>
      <c r="H331" s="19" t="inlineStr">
        <is>
          <t>2</t>
        </is>
      </c>
      <c r="I331" s="19" t="n"/>
      <c r="J331" s="19" t="n"/>
      <c r="K331" s="19" t="inlineStr">
        <is>
          <t>2</t>
        </is>
      </c>
      <c r="L331" t="inlineStr">
        <is>
          <t>2026-08-08</t>
        </is>
      </c>
      <c r="N331" t="inlineStr">
        <is>
          <t>IN_SCOPE_FINAL; SOURCE_CFG=IA-ST-CFG-0057; MARKET=SCHNAPP; STATUS=IN OEM / EU PACKAGE</t>
        </is>
      </c>
      <c r="O331" t="inlineStr">
        <is>
          <t>2026-08-10T19:29:54Z</t>
        </is>
      </c>
      <c r="P331" t="inlineStr">
        <is>
          <t>2026-08-10T19:29:54Z</t>
        </is>
      </c>
    </row>
    <row r="332">
      <c r="A332" s="19" t="inlineStr">
        <is>
          <t>331</t>
        </is>
      </c>
      <c r="B332" s="19" t="inlineStr">
        <is>
          <t>SC-1010002-ST-030-STD-11</t>
        </is>
      </c>
      <c r="C332" t="inlineStr">
        <is>
          <t>1010002 → ST-030-STD-11</t>
        </is>
      </c>
      <c r="D332" s="19" t="inlineStr">
        <is>
          <t>2</t>
        </is>
      </c>
      <c r="E332" s="19" t="inlineStr">
        <is>
          <t>146</t>
        </is>
      </c>
      <c r="F332" s="19" t="inlineStr">
        <is>
          <t>44</t>
        </is>
      </c>
      <c r="G332" s="19" t="n"/>
      <c r="H332" s="19" t="inlineStr">
        <is>
          <t>2</t>
        </is>
      </c>
      <c r="I332" s="19" t="n"/>
      <c r="J332" s="19" t="n"/>
      <c r="K332" s="19" t="inlineStr">
        <is>
          <t>2</t>
        </is>
      </c>
      <c r="L332" t="inlineStr">
        <is>
          <t>2026-08-08</t>
        </is>
      </c>
      <c r="N332" t="inlineStr">
        <is>
          <t>IN_SCOPE_FINAL; SOURCE_CFG=IA-ST-CFG-0057; MARKET=SCHNAPP; STATUS=IN OEM / EU PACKAGE</t>
        </is>
      </c>
      <c r="O332" t="inlineStr">
        <is>
          <t>2026-08-10T19:29:54Z</t>
        </is>
      </c>
      <c r="P332" t="inlineStr">
        <is>
          <t>2026-08-10T19:29:54Z</t>
        </is>
      </c>
    </row>
    <row r="333">
      <c r="A333" s="19" t="inlineStr">
        <is>
          <t>332</t>
        </is>
      </c>
      <c r="B333" s="19" t="inlineStr">
        <is>
          <t>SC-1010399-ST-030-STD-11</t>
        </is>
      </c>
      <c r="C333" t="inlineStr">
        <is>
          <t>1010399 → ST-030-STD-11</t>
        </is>
      </c>
      <c r="D333" s="19" t="inlineStr">
        <is>
          <t>2</t>
        </is>
      </c>
      <c r="E333" s="19" t="inlineStr">
        <is>
          <t>184</t>
        </is>
      </c>
      <c r="F333" s="19" t="inlineStr">
        <is>
          <t>44</t>
        </is>
      </c>
      <c r="G333" s="19" t="n"/>
      <c r="H333" s="19" t="inlineStr">
        <is>
          <t>2</t>
        </is>
      </c>
      <c r="I333" s="19" t="n"/>
      <c r="J333" s="19" t="n"/>
      <c r="K333" s="19" t="inlineStr">
        <is>
          <t>2</t>
        </is>
      </c>
      <c r="L333" t="inlineStr">
        <is>
          <t>2026-08-08</t>
        </is>
      </c>
      <c r="N333" t="inlineStr">
        <is>
          <t>IN_SCOPE_FINAL; SOURCE_CFG=IA-ST-CFG-0057; MARKET=SCHNAPP; STATUS=IN OEM / EU PACKAGE</t>
        </is>
      </c>
      <c r="O333" t="inlineStr">
        <is>
          <t>2026-08-10T19:29:54Z</t>
        </is>
      </c>
      <c r="P333" t="inlineStr">
        <is>
          <t>2026-08-10T19:29:54Z</t>
        </is>
      </c>
    </row>
    <row r="334">
      <c r="A334" s="19" t="inlineStr">
        <is>
          <t>333</t>
        </is>
      </c>
      <c r="B334" s="19" t="inlineStr">
        <is>
          <t>SC-1013738-ST-033-EUR-01</t>
        </is>
      </c>
      <c r="C334" t="inlineStr">
        <is>
          <t>1013738 → ST-033-EUR-01</t>
        </is>
      </c>
      <c r="D334" s="19" t="inlineStr">
        <is>
          <t>2</t>
        </is>
      </c>
      <c r="E334" s="19" t="inlineStr">
        <is>
          <t>1079</t>
        </is>
      </c>
      <c r="F334" s="19" t="inlineStr">
        <is>
          <t>45</t>
        </is>
      </c>
      <c r="G334" s="19" t="n"/>
      <c r="H334" s="19" t="inlineStr">
        <is>
          <t>2</t>
        </is>
      </c>
      <c r="I334" s="19" t="n"/>
      <c r="J334" s="19" t="n"/>
      <c r="K334" s="19" t="inlineStr">
        <is>
          <t>2</t>
        </is>
      </c>
      <c r="L334" t="inlineStr">
        <is>
          <t>2026-08-08</t>
        </is>
      </c>
      <c r="N334" t="inlineStr">
        <is>
          <t>IN_SCOPE_FINAL; SOURCE_CFG=IA-ST-CFG-0058; MARKET=GY EUR; STATUS=IN OEM / EU PACKAGE</t>
        </is>
      </c>
      <c r="O334" t="inlineStr">
        <is>
          <t>2026-08-10T19:29:54Z</t>
        </is>
      </c>
      <c r="P334" t="inlineStr">
        <is>
          <t>2026-08-10T19:29:54Z</t>
        </is>
      </c>
    </row>
    <row r="335">
      <c r="A335" s="19" t="inlineStr">
        <is>
          <t>334</t>
        </is>
      </c>
      <c r="B335" s="19" t="inlineStr">
        <is>
          <t>SC-1014493-ST-033-EUR-01</t>
        </is>
      </c>
      <c r="C335" t="inlineStr">
        <is>
          <t>1014493 → ST-033-EUR-01</t>
        </is>
      </c>
      <c r="D335" s="19" t="inlineStr">
        <is>
          <t>2</t>
        </is>
      </c>
      <c r="E335" s="19" t="inlineStr">
        <is>
          <t>1417</t>
        </is>
      </c>
      <c r="F335" s="19" t="inlineStr">
        <is>
          <t>45</t>
        </is>
      </c>
      <c r="G335" s="19" t="n"/>
      <c r="H335" s="19" t="inlineStr">
        <is>
          <t>2</t>
        </is>
      </c>
      <c r="I335" s="19" t="n"/>
      <c r="J335" s="19" t="n"/>
      <c r="K335" s="19" t="inlineStr">
        <is>
          <t>2</t>
        </is>
      </c>
      <c r="L335" t="inlineStr">
        <is>
          <t>2026-08-08</t>
        </is>
      </c>
      <c r="N335" t="inlineStr">
        <is>
          <t>IN_SCOPE_FINAL; SOURCE_CFG=IA-ST-CFG-0058; MARKET=GY EUR; STATUS=IN OEM / EU PACKAGE</t>
        </is>
      </c>
      <c r="O335" t="inlineStr">
        <is>
          <t>2026-08-10T19:29:54Z</t>
        </is>
      </c>
      <c r="P335" t="inlineStr">
        <is>
          <t>2026-08-10T19:29:54Z</t>
        </is>
      </c>
    </row>
    <row r="336">
      <c r="A336" s="19" t="inlineStr">
        <is>
          <t>335</t>
        </is>
      </c>
      <c r="B336" s="19" t="inlineStr">
        <is>
          <t>SC-1014546-ST-033-EUR-01</t>
        </is>
      </c>
      <c r="C336" t="inlineStr">
        <is>
          <t>1014546 → ST-033-EUR-01</t>
        </is>
      </c>
      <c r="D336" s="19" t="inlineStr">
        <is>
          <t>2</t>
        </is>
      </c>
      <c r="E336" s="19" t="inlineStr">
        <is>
          <t>1436</t>
        </is>
      </c>
      <c r="F336" s="19" t="inlineStr">
        <is>
          <t>45</t>
        </is>
      </c>
      <c r="G336" s="19" t="n"/>
      <c r="H336" s="19" t="inlineStr">
        <is>
          <t>2</t>
        </is>
      </c>
      <c r="I336" s="19" t="n"/>
      <c r="J336" s="19" t="n"/>
      <c r="K336" s="19" t="inlineStr">
        <is>
          <t>2</t>
        </is>
      </c>
      <c r="L336" t="inlineStr">
        <is>
          <t>2026-08-08</t>
        </is>
      </c>
      <c r="N336" t="inlineStr">
        <is>
          <t>IN_SCOPE_FINAL; SOURCE_CFG=IA-ST-CFG-0058; MARKET=GY EUR; STATUS=IN OEM / EU PACKAGE</t>
        </is>
      </c>
      <c r="O336" t="inlineStr">
        <is>
          <t>2026-08-10T19:29:54Z</t>
        </is>
      </c>
      <c r="P336" t="inlineStr">
        <is>
          <t>2026-08-10T19:29:54Z</t>
        </is>
      </c>
    </row>
    <row r="337">
      <c r="A337" s="19" t="inlineStr">
        <is>
          <t>336</t>
        </is>
      </c>
      <c r="B337" s="19" t="inlineStr">
        <is>
          <t>SC-1012648-ST-034-STD-01</t>
        </is>
      </c>
      <c r="C337" t="inlineStr">
        <is>
          <t>1012648 → ST-034-STD-01</t>
        </is>
      </c>
      <c r="D337" s="19" t="inlineStr">
        <is>
          <t>2</t>
        </is>
      </c>
      <c r="E337" s="19" t="inlineStr">
        <is>
          <t>730</t>
        </is>
      </c>
      <c r="F337" s="19" t="inlineStr">
        <is>
          <t>46</t>
        </is>
      </c>
      <c r="G337" s="19" t="n"/>
      <c r="H337" s="19" t="inlineStr">
        <is>
          <t>2</t>
        </is>
      </c>
      <c r="I337" s="19" t="n"/>
      <c r="J337" s="19" t="n"/>
      <c r="K337" s="19" t="inlineStr">
        <is>
          <t>2</t>
        </is>
      </c>
      <c r="L337" t="inlineStr">
        <is>
          <t>2026-08-08</t>
        </is>
      </c>
      <c r="N337" t="inlineStr">
        <is>
          <t>IN_SCOPE_FINAL; SOURCE_CFG=IA-ST-CFG-0059; MARKET=YUASA 3000 EXPORT; STATUS=IN OEM / EU PACKAGE</t>
        </is>
      </c>
      <c r="O337" t="inlineStr">
        <is>
          <t>2026-08-10T19:29:54Z</t>
        </is>
      </c>
      <c r="P337" t="inlineStr">
        <is>
          <t>2026-08-10T19:29:54Z</t>
        </is>
      </c>
    </row>
    <row r="338">
      <c r="A338" s="19" t="inlineStr">
        <is>
          <t>337</t>
        </is>
      </c>
      <c r="B338" s="19" t="inlineStr">
        <is>
          <t>SC-1012649-ST-034-STD-01</t>
        </is>
      </c>
      <c r="C338" t="inlineStr">
        <is>
          <t>1012649 → ST-034-STD-01</t>
        </is>
      </c>
      <c r="D338" s="19" t="inlineStr">
        <is>
          <t>2</t>
        </is>
      </c>
      <c r="E338" s="19" t="inlineStr">
        <is>
          <t>731</t>
        </is>
      </c>
      <c r="F338" s="19" t="inlineStr">
        <is>
          <t>46</t>
        </is>
      </c>
      <c r="G338" s="19" t="n"/>
      <c r="H338" s="19" t="inlineStr">
        <is>
          <t>2</t>
        </is>
      </c>
      <c r="I338" s="19" t="n"/>
      <c r="J338" s="19" t="n"/>
      <c r="K338" s="19" t="inlineStr">
        <is>
          <t>2</t>
        </is>
      </c>
      <c r="L338" t="inlineStr">
        <is>
          <t>2026-08-08</t>
        </is>
      </c>
      <c r="N338" t="inlineStr">
        <is>
          <t>IN_SCOPE_FINAL; SOURCE_CFG=IA-ST-CFG-0059; MARKET=YUASA 3000 EXPORT; STATUS=IN OEM / EU PACKAGE</t>
        </is>
      </c>
      <c r="O338" t="inlineStr">
        <is>
          <t>2026-08-10T19:29:54Z</t>
        </is>
      </c>
      <c r="P338" t="inlineStr">
        <is>
          <t>2026-08-10T19:29:54Z</t>
        </is>
      </c>
    </row>
    <row r="339">
      <c r="A339" s="19" t="inlineStr">
        <is>
          <t>338</t>
        </is>
      </c>
      <c r="B339" s="19" t="inlineStr">
        <is>
          <t>SC-1012641-ST-034-STD-02</t>
        </is>
      </c>
      <c r="C339" t="inlineStr">
        <is>
          <t>1012641 → ST-034-STD-02</t>
        </is>
      </c>
      <c r="D339" s="19" t="inlineStr">
        <is>
          <t>2</t>
        </is>
      </c>
      <c r="E339" s="19" t="inlineStr">
        <is>
          <t>728</t>
        </is>
      </c>
      <c r="F339" s="19" t="inlineStr">
        <is>
          <t>47</t>
        </is>
      </c>
      <c r="G339" s="19" t="n"/>
      <c r="H339" s="19" t="inlineStr">
        <is>
          <t>2</t>
        </is>
      </c>
      <c r="I339" s="19" t="n"/>
      <c r="J339" s="19" t="n"/>
      <c r="K339" s="19" t="inlineStr">
        <is>
          <t>2</t>
        </is>
      </c>
      <c r="L339" t="inlineStr">
        <is>
          <t>2026-08-08</t>
        </is>
      </c>
      <c r="N339" t="inlineStr">
        <is>
          <t>IN_SCOPE_FINAL; SOURCE_CFG=IA-ST-CFG-0060; MARKET=YUASA 3000 EXPORT; STATUS=IN OEM / EU PACKAGE</t>
        </is>
      </c>
      <c r="O339" t="inlineStr">
        <is>
          <t>2026-08-10T19:29:54Z</t>
        </is>
      </c>
      <c r="P339" t="inlineStr">
        <is>
          <t>2026-08-10T19:29:54Z</t>
        </is>
      </c>
    </row>
    <row r="340">
      <c r="A340" s="19" t="inlineStr">
        <is>
          <t>339</t>
        </is>
      </c>
      <c r="B340" s="19" t="inlineStr">
        <is>
          <t>SC-1014448-ST-036-STD-01</t>
        </is>
      </c>
      <c r="C340" t="inlineStr">
        <is>
          <t>1014448 → ST-036-STD-01</t>
        </is>
      </c>
      <c r="D340" s="19" t="inlineStr">
        <is>
          <t>2</t>
        </is>
      </c>
      <c r="E340" s="19" t="inlineStr">
        <is>
          <t>1390</t>
        </is>
      </c>
      <c r="F340" s="19" t="inlineStr">
        <is>
          <t>55</t>
        </is>
      </c>
      <c r="G340" s="19" t="n"/>
      <c r="H340" s="19" t="inlineStr">
        <is>
          <t>2</t>
        </is>
      </c>
      <c r="I340" s="19" t="n"/>
      <c r="J340" s="19" t="n"/>
      <c r="K340" s="19" t="inlineStr">
        <is>
          <t>2</t>
        </is>
      </c>
      <c r="L340" t="inlineStr">
        <is>
          <t>2026-08-08</t>
        </is>
      </c>
      <c r="N340" t="inlineStr">
        <is>
          <t>IN_SCOPE_FINAL; SOURCE_CFG=IA-ST-CFG-0061; MARKET=YUASA 3000 EXPORT; STATUS=IN OEM / EU PACKAGE</t>
        </is>
      </c>
      <c r="O340" t="inlineStr">
        <is>
          <t>2026-08-10T19:29:54Z</t>
        </is>
      </c>
      <c r="P340" t="inlineStr">
        <is>
          <t>2026-08-10T19:29:54Z</t>
        </is>
      </c>
    </row>
    <row r="341">
      <c r="A341" s="19" t="inlineStr">
        <is>
          <t>340</t>
        </is>
      </c>
      <c r="B341" s="19" t="inlineStr">
        <is>
          <t>SC-1012468-ST-036-EUR-01</t>
        </is>
      </c>
      <c r="C341" t="inlineStr">
        <is>
          <t>1012468 → ST-036-EUR-01</t>
        </is>
      </c>
      <c r="D341" s="19" t="inlineStr">
        <is>
          <t>2</t>
        </is>
      </c>
      <c r="E341" s="19" t="inlineStr">
        <is>
          <t>659</t>
        </is>
      </c>
      <c r="F341" s="19" t="inlineStr">
        <is>
          <t>48</t>
        </is>
      </c>
      <c r="G341" s="19" t="n"/>
      <c r="H341" s="19" t="inlineStr">
        <is>
          <t>2</t>
        </is>
      </c>
      <c r="I341" s="19" t="n"/>
      <c r="J341" s="19" t="n"/>
      <c r="K341" s="19" t="inlineStr">
        <is>
          <t>2</t>
        </is>
      </c>
      <c r="L341" t="inlineStr">
        <is>
          <t>2026-08-08</t>
        </is>
      </c>
      <c r="N341" t="inlineStr">
        <is>
          <t>IN_SCOPE_FINAL; SOURCE_CFG=IA-ST-CFG-0062; MARKET=YURT İÇİ AFM; STATUS=IN OEM / EU PACKAGE</t>
        </is>
      </c>
      <c r="O341" t="inlineStr">
        <is>
          <t>2026-08-10T19:29:54Z</t>
        </is>
      </c>
      <c r="P341" t="inlineStr">
        <is>
          <t>2026-08-10T19:29:54Z</t>
        </is>
      </c>
    </row>
    <row r="342">
      <c r="A342" s="19" t="inlineStr">
        <is>
          <t>341</t>
        </is>
      </c>
      <c r="B342" s="19" t="inlineStr">
        <is>
          <t>SC-1014313-ST-036-STD-02</t>
        </is>
      </c>
      <c r="C342" t="inlineStr">
        <is>
          <t>1014313 → ST-036-STD-02</t>
        </is>
      </c>
      <c r="D342" s="19" t="inlineStr">
        <is>
          <t>2</t>
        </is>
      </c>
      <c r="E342" s="19" t="inlineStr">
        <is>
          <t>1300</t>
        </is>
      </c>
      <c r="F342" s="19" t="inlineStr">
        <is>
          <t>56</t>
        </is>
      </c>
      <c r="G342" s="19" t="n"/>
      <c r="H342" s="19" t="inlineStr">
        <is>
          <t>2</t>
        </is>
      </c>
      <c r="I342" s="19" t="n"/>
      <c r="J342" s="19" t="n"/>
      <c r="K342" s="19" t="inlineStr">
        <is>
          <t>2</t>
        </is>
      </c>
      <c r="L342" t="inlineStr">
        <is>
          <t>2026-08-08</t>
        </is>
      </c>
      <c r="N342" t="inlineStr">
        <is>
          <t>IN_SCOPE_FINAL; SOURCE_CFG=IA-ST-CFG-0063; MARKET=YUASA 9000 AGM EXPORT; STATUS=IN OEM / EU PACKAGE</t>
        </is>
      </c>
      <c r="O342" t="inlineStr">
        <is>
          <t>2026-08-10T19:29:54Z</t>
        </is>
      </c>
      <c r="P342" t="inlineStr">
        <is>
          <t>2026-08-10T19:29:54Z</t>
        </is>
      </c>
    </row>
    <row r="343">
      <c r="A343" s="19" t="inlineStr">
        <is>
          <t>342</t>
        </is>
      </c>
      <c r="B343" s="19" t="inlineStr">
        <is>
          <t>SC-1014934-ST-036-STD-03</t>
        </is>
      </c>
      <c r="C343" t="inlineStr">
        <is>
          <t>1014934 → ST-036-STD-03</t>
        </is>
      </c>
      <c r="D343" s="19" t="inlineStr">
        <is>
          <t>2</t>
        </is>
      </c>
      <c r="E343" s="19" t="inlineStr">
        <is>
          <t>1702</t>
        </is>
      </c>
      <c r="F343" s="19" t="inlineStr">
        <is>
          <t>57</t>
        </is>
      </c>
      <c r="G343" s="19" t="n"/>
      <c r="H343" s="19" t="inlineStr">
        <is>
          <t>2</t>
        </is>
      </c>
      <c r="I343" s="19" t="n"/>
      <c r="J343" s="19" t="n"/>
      <c r="K343" s="19" t="inlineStr">
        <is>
          <t>2</t>
        </is>
      </c>
      <c r="L343" t="inlineStr">
        <is>
          <t>2026-08-08</t>
        </is>
      </c>
      <c r="N343" t="inlineStr">
        <is>
          <t>IN_SCOPE_FINAL; SOURCE_CFG=IA-ST-CFG-0064; MARKET=MISIR NACITA; STATUS=IN OEM / EU PACKAGE</t>
        </is>
      </c>
      <c r="O343" t="inlineStr">
        <is>
          <t>2026-08-10T19:29:54Z</t>
        </is>
      </c>
      <c r="P343" t="inlineStr">
        <is>
          <t>2026-08-10T19:29:54Z</t>
        </is>
      </c>
    </row>
    <row r="344">
      <c r="A344" s="19" t="inlineStr">
        <is>
          <t>343</t>
        </is>
      </c>
      <c r="B344" s="19" t="inlineStr">
        <is>
          <t>SC-1012654-ST-036-EUR-02</t>
        </is>
      </c>
      <c r="C344" t="inlineStr">
        <is>
          <t>1012654 → ST-036-EUR-02</t>
        </is>
      </c>
      <c r="D344" s="19" t="inlineStr">
        <is>
          <t>2</t>
        </is>
      </c>
      <c r="E344" s="19" t="inlineStr">
        <is>
          <t>733</t>
        </is>
      </c>
      <c r="F344" s="19" t="inlineStr">
        <is>
          <t>49</t>
        </is>
      </c>
      <c r="G344" s="19" t="n"/>
      <c r="H344" s="19" t="inlineStr">
        <is>
          <t>2</t>
        </is>
      </c>
      <c r="I344" s="19" t="n"/>
      <c r="J344" s="19" t="n"/>
      <c r="K344" s="19" t="inlineStr">
        <is>
          <t>2</t>
        </is>
      </c>
      <c r="L344" t="inlineStr">
        <is>
          <t>2026-08-08</t>
        </is>
      </c>
      <c r="N344" t="inlineStr">
        <is>
          <t>IN_SCOPE_FINAL; SOURCE_CFG=IA-ST-CFG-0065; MARKET=PSA (Yurt Dışı); STATUS=IN OEM / EU PACKAGE</t>
        </is>
      </c>
      <c r="O344" t="inlineStr">
        <is>
          <t>2026-08-10T19:29:54Z</t>
        </is>
      </c>
      <c r="P344" t="inlineStr">
        <is>
          <t>2026-08-10T19:29:54Z</t>
        </is>
      </c>
    </row>
    <row r="345">
      <c r="A345" s="19" t="inlineStr">
        <is>
          <t>344</t>
        </is>
      </c>
      <c r="B345" s="19" t="inlineStr">
        <is>
          <t>SC-1014929-ST-036-EUR-03</t>
        </is>
      </c>
      <c r="C345" t="inlineStr">
        <is>
          <t>1014929 → ST-036-EUR-03</t>
        </is>
      </c>
      <c r="D345" s="19" t="inlineStr">
        <is>
          <t>2</t>
        </is>
      </c>
      <c r="E345" s="19" t="inlineStr">
        <is>
          <t>1697</t>
        </is>
      </c>
      <c r="F345" s="19" t="inlineStr">
        <is>
          <t>50</t>
        </is>
      </c>
      <c r="G345" s="19" t="n"/>
      <c r="H345" s="19" t="inlineStr">
        <is>
          <t>2</t>
        </is>
      </c>
      <c r="I345" s="19" t="n"/>
      <c r="J345" s="19" t="n"/>
      <c r="K345" s="19" t="inlineStr">
        <is>
          <t>2</t>
        </is>
      </c>
      <c r="L345" t="inlineStr">
        <is>
          <t>2026-08-08</t>
        </is>
      </c>
      <c r="N345" t="inlineStr">
        <is>
          <t>IN_SCOPE_FINAL; SOURCE_CFG=IA-ST-CFG-0066; MARKET=YUASA 9000 AGM EXPORT; STATUS=IN OEM / EU PACKAGE</t>
        </is>
      </c>
      <c r="O345" t="inlineStr">
        <is>
          <t>2026-08-10T19:29:54Z</t>
        </is>
      </c>
      <c r="P345" t="inlineStr">
        <is>
          <t>2026-08-10T19:29:54Z</t>
        </is>
      </c>
    </row>
    <row r="346">
      <c r="A346" s="19" t="inlineStr">
        <is>
          <t>345</t>
        </is>
      </c>
      <c r="B346" s="19" t="inlineStr">
        <is>
          <t>SC-1012682-ST-036-EUR-03</t>
        </is>
      </c>
      <c r="C346" t="inlineStr">
        <is>
          <t>1012682 → ST-036-EUR-03</t>
        </is>
      </c>
      <c r="D346" s="19" t="inlineStr">
        <is>
          <t>2</t>
        </is>
      </c>
      <c r="E346" s="19" t="inlineStr">
        <is>
          <t>747</t>
        </is>
      </c>
      <c r="F346" s="19" t="inlineStr">
        <is>
          <t>50</t>
        </is>
      </c>
      <c r="G346" s="19" t="n"/>
      <c r="H346" s="19" t="inlineStr">
        <is>
          <t>2</t>
        </is>
      </c>
      <c r="I346" s="19" t="n"/>
      <c r="J346" s="19" t="n"/>
      <c r="K346" s="19" t="inlineStr">
        <is>
          <t>2</t>
        </is>
      </c>
      <c r="L346" t="inlineStr">
        <is>
          <t>2026-08-08</t>
        </is>
      </c>
      <c r="N346" t="inlineStr">
        <is>
          <t>IN_SCOPE_FINAL; SOURCE_CFG=IA-ST-CFG-0066; MARKET=PSA (Yurt İçi); STATUS=IN OEM / EU PACKAGE</t>
        </is>
      </c>
      <c r="O346" t="inlineStr">
        <is>
          <t>2026-08-10T19:29:54Z</t>
        </is>
      </c>
      <c r="P346" t="inlineStr">
        <is>
          <t>2026-08-10T19:29:54Z</t>
        </is>
      </c>
    </row>
    <row r="347">
      <c r="A347" s="19" t="inlineStr">
        <is>
          <t>346</t>
        </is>
      </c>
      <c r="B347" s="19" t="inlineStr">
        <is>
          <t>SC-1012683-ST-036-EUR-03</t>
        </is>
      </c>
      <c r="C347" t="inlineStr">
        <is>
          <t>1012683 → ST-036-EUR-03</t>
        </is>
      </c>
      <c r="D347" s="19" t="inlineStr">
        <is>
          <t>2</t>
        </is>
      </c>
      <c r="E347" s="19" t="inlineStr">
        <is>
          <t>748</t>
        </is>
      </c>
      <c r="F347" s="19" t="inlineStr">
        <is>
          <t>50</t>
        </is>
      </c>
      <c r="G347" s="19" t="n"/>
      <c r="H347" s="19" t="inlineStr">
        <is>
          <t>2</t>
        </is>
      </c>
      <c r="I347" s="19" t="n"/>
      <c r="J347" s="19" t="n"/>
      <c r="K347" s="19" t="inlineStr">
        <is>
          <t>2</t>
        </is>
      </c>
      <c r="L347" t="inlineStr">
        <is>
          <t>2026-08-08</t>
        </is>
      </c>
      <c r="N347" t="inlineStr">
        <is>
          <t>IN_SCOPE_FINAL; SOURCE_CFG=IA-ST-CFG-0066; MARKET=PSA (Yurt İçi); STATUS=IN OEM / EU PACKAGE</t>
        </is>
      </c>
      <c r="O347" t="inlineStr">
        <is>
          <t>2026-08-10T19:29:54Z</t>
        </is>
      </c>
      <c r="P347" t="inlineStr">
        <is>
          <t>2026-08-10T19:29:54Z</t>
        </is>
      </c>
    </row>
    <row r="348">
      <c r="A348" s="19" t="inlineStr">
        <is>
          <t>347</t>
        </is>
      </c>
      <c r="B348" s="19" t="inlineStr">
        <is>
          <t>SC-1015054-ST-036-EUR-03</t>
        </is>
      </c>
      <c r="C348" t="inlineStr">
        <is>
          <t>1015054 → ST-036-EUR-03</t>
        </is>
      </c>
      <c r="D348" s="19" t="inlineStr">
        <is>
          <t>2</t>
        </is>
      </c>
      <c r="E348" s="19" t="inlineStr">
        <is>
          <t>1813</t>
        </is>
      </c>
      <c r="F348" s="19" t="inlineStr">
        <is>
          <t>50</t>
        </is>
      </c>
      <c r="G348" s="19" t="n"/>
      <c r="H348" s="19" t="inlineStr">
        <is>
          <t>2</t>
        </is>
      </c>
      <c r="I348" s="19" t="n"/>
      <c r="J348" s="19" t="n"/>
      <c r="K348" s="19" t="inlineStr">
        <is>
          <t>2</t>
        </is>
      </c>
      <c r="L348" t="inlineStr">
        <is>
          <t>2026-08-08</t>
        </is>
      </c>
      <c r="N348" t="inlineStr">
        <is>
          <t>IN_SCOPE_FINAL; SOURCE_CFG=IA-ST-CFG-0066; MARKET=PSA (Yurt İçi); STATUS=IN OEM / EU PACKAGE</t>
        </is>
      </c>
      <c r="O348" t="inlineStr">
        <is>
          <t>2026-08-10T19:29:54Z</t>
        </is>
      </c>
      <c r="P348" t="inlineStr">
        <is>
          <t>2026-08-10T19:29:54Z</t>
        </is>
      </c>
    </row>
    <row r="349">
      <c r="A349" s="19" t="inlineStr">
        <is>
          <t>348</t>
        </is>
      </c>
      <c r="B349" s="19" t="inlineStr">
        <is>
          <t>SC-1015055-ST-036-EUR-03</t>
        </is>
      </c>
      <c r="C349" t="inlineStr">
        <is>
          <t>1015055 → ST-036-EUR-03</t>
        </is>
      </c>
      <c r="D349" s="19" t="inlineStr">
        <is>
          <t>2</t>
        </is>
      </c>
      <c r="E349" s="19" t="inlineStr">
        <is>
          <t>1814</t>
        </is>
      </c>
      <c r="F349" s="19" t="inlineStr">
        <is>
          <t>50</t>
        </is>
      </c>
      <c r="G349" s="19" t="n"/>
      <c r="H349" s="19" t="inlineStr">
        <is>
          <t>2</t>
        </is>
      </c>
      <c r="I349" s="19" t="n"/>
      <c r="J349" s="19" t="n"/>
      <c r="K349" s="19" t="inlineStr">
        <is>
          <t>2</t>
        </is>
      </c>
      <c r="L349" t="inlineStr">
        <is>
          <t>2026-08-08</t>
        </is>
      </c>
      <c r="N349" t="inlineStr">
        <is>
          <t>IN_SCOPE_FINAL; SOURCE_CFG=IA-ST-CFG-0066; MARKET=PSA (Yurt İçi); STATUS=IN OEM / EU PACKAGE</t>
        </is>
      </c>
      <c r="O349" t="inlineStr">
        <is>
          <t>2026-08-10T19:29:54Z</t>
        </is>
      </c>
      <c r="P349" t="inlineStr">
        <is>
          <t>2026-08-10T19:29:54Z</t>
        </is>
      </c>
    </row>
    <row r="350">
      <c r="A350" s="19" t="inlineStr">
        <is>
          <t>349</t>
        </is>
      </c>
      <c r="B350" s="19" t="inlineStr">
        <is>
          <t>SC-1015056-ST-036-EUR-03</t>
        </is>
      </c>
      <c r="C350" t="inlineStr">
        <is>
          <t>1015056 → ST-036-EUR-03</t>
        </is>
      </c>
      <c r="D350" s="19" t="inlineStr">
        <is>
          <t>2</t>
        </is>
      </c>
      <c r="E350" s="19" t="inlineStr">
        <is>
          <t>1815</t>
        </is>
      </c>
      <c r="F350" s="19" t="inlineStr">
        <is>
          <t>50</t>
        </is>
      </c>
      <c r="G350" s="19" t="n"/>
      <c r="H350" s="19" t="inlineStr">
        <is>
          <t>2</t>
        </is>
      </c>
      <c r="I350" s="19" t="n"/>
      <c r="J350" s="19" t="n"/>
      <c r="K350" s="19" t="inlineStr">
        <is>
          <t>2</t>
        </is>
      </c>
      <c r="L350" t="inlineStr">
        <is>
          <t>2026-08-08</t>
        </is>
      </c>
      <c r="N350" t="inlineStr">
        <is>
          <t>IN_SCOPE_FINAL; SOURCE_CFG=IA-ST-CFG-0066; MARKET=PSA (Yurt İçi); STATUS=IN OEM / EU PACKAGE</t>
        </is>
      </c>
      <c r="O350" t="inlineStr">
        <is>
          <t>2026-08-10T19:29:54Z</t>
        </is>
      </c>
      <c r="P350" t="inlineStr">
        <is>
          <t>2026-08-10T19:29:54Z</t>
        </is>
      </c>
    </row>
    <row r="351">
      <c r="A351" s="19" t="inlineStr">
        <is>
          <t>350</t>
        </is>
      </c>
      <c r="B351" s="19" t="inlineStr">
        <is>
          <t>SC-1015058-ST-036-EUR-03</t>
        </is>
      </c>
      <c r="C351" t="inlineStr">
        <is>
          <t>1015058 → ST-036-EUR-03</t>
        </is>
      </c>
      <c r="D351" s="19" t="inlineStr">
        <is>
          <t>2</t>
        </is>
      </c>
      <c r="E351" s="19" t="inlineStr">
        <is>
          <t>1817</t>
        </is>
      </c>
      <c r="F351" s="19" t="inlineStr">
        <is>
          <t>50</t>
        </is>
      </c>
      <c r="G351" s="19" t="n"/>
      <c r="H351" s="19" t="inlineStr">
        <is>
          <t>2</t>
        </is>
      </c>
      <c r="I351" s="19" t="n"/>
      <c r="J351" s="19" t="n"/>
      <c r="K351" s="19" t="inlineStr">
        <is>
          <t>2</t>
        </is>
      </c>
      <c r="L351" t="inlineStr">
        <is>
          <t>2026-08-08</t>
        </is>
      </c>
      <c r="N351" t="inlineStr">
        <is>
          <t>IN_SCOPE_FINAL; SOURCE_CFG=IA-ST-CFG-0066; MARKET=PSA (Yurt İçi); STATUS=IN OEM / EU PACKAGE</t>
        </is>
      </c>
      <c r="O351" t="inlineStr">
        <is>
          <t>2026-08-10T19:29:54Z</t>
        </is>
      </c>
      <c r="P351" t="inlineStr">
        <is>
          <t>2026-08-10T19:29:54Z</t>
        </is>
      </c>
    </row>
    <row r="352">
      <c r="A352" s="19" t="inlineStr">
        <is>
          <t>351</t>
        </is>
      </c>
      <c r="B352" s="19" t="inlineStr">
        <is>
          <t>SC-1013737-ST-036-EUR-04</t>
        </is>
      </c>
      <c r="C352" t="inlineStr">
        <is>
          <t>1013737 → ST-036-EUR-04</t>
        </is>
      </c>
      <c r="D352" s="19" t="inlineStr">
        <is>
          <t>2</t>
        </is>
      </c>
      <c r="E352" s="19" t="inlineStr">
        <is>
          <t>1078</t>
        </is>
      </c>
      <c r="F352" s="19" t="inlineStr">
        <is>
          <t>51</t>
        </is>
      </c>
      <c r="G352" s="19" t="n"/>
      <c r="H352" s="19" t="inlineStr">
        <is>
          <t>2</t>
        </is>
      </c>
      <c r="I352" s="19" t="n"/>
      <c r="J352" s="19" t="n"/>
      <c r="K352" s="19" t="inlineStr">
        <is>
          <t>2</t>
        </is>
      </c>
      <c r="L352" t="inlineStr">
        <is>
          <t>2026-08-08</t>
        </is>
      </c>
      <c r="N352" t="inlineStr">
        <is>
          <t>IN_SCOPE_FINAL; SOURCE_CFG=IA-ST-CFG-0068; MARKET=GY EUR; STATUS=IN OEM / EU PACKAGE</t>
        </is>
      </c>
      <c r="O352" t="inlineStr">
        <is>
          <t>2026-08-10T19:29:54Z</t>
        </is>
      </c>
      <c r="P352" t="inlineStr">
        <is>
          <t>2026-08-10T19:29:54Z</t>
        </is>
      </c>
    </row>
    <row r="353">
      <c r="A353" s="19" t="inlineStr">
        <is>
          <t>352</t>
        </is>
      </c>
      <c r="B353" s="19" t="inlineStr">
        <is>
          <t>SC-1014545-ST-036-EUR-04</t>
        </is>
      </c>
      <c r="C353" t="inlineStr">
        <is>
          <t>1014545 → ST-036-EUR-04</t>
        </is>
      </c>
      <c r="D353" s="19" t="inlineStr">
        <is>
          <t>2</t>
        </is>
      </c>
      <c r="E353" s="19" t="inlineStr">
        <is>
          <t>1435</t>
        </is>
      </c>
      <c r="F353" s="19" t="inlineStr">
        <is>
          <t>51</t>
        </is>
      </c>
      <c r="G353" s="19" t="n"/>
      <c r="H353" s="19" t="inlineStr">
        <is>
          <t>2</t>
        </is>
      </c>
      <c r="I353" s="19" t="n"/>
      <c r="J353" s="19" t="n"/>
      <c r="K353" s="19" t="inlineStr">
        <is>
          <t>2</t>
        </is>
      </c>
      <c r="L353" t="inlineStr">
        <is>
          <t>2026-08-08</t>
        </is>
      </c>
      <c r="N353" t="inlineStr">
        <is>
          <t>IN_SCOPE_FINAL; SOURCE_CFG=IA-ST-CFG-0068; MARKET=GY EUR; STATUS=IN OEM / EU PACKAGE</t>
        </is>
      </c>
      <c r="O353" t="inlineStr">
        <is>
          <t>2026-08-10T19:29:54Z</t>
        </is>
      </c>
      <c r="P353" t="inlineStr">
        <is>
          <t>2026-08-10T19:29:54Z</t>
        </is>
      </c>
    </row>
    <row r="354">
      <c r="A354" s="19" t="inlineStr">
        <is>
          <t>353</t>
        </is>
      </c>
      <c r="B354" s="19" t="inlineStr">
        <is>
          <t>SC-1014253-ST-036-EUR-04</t>
        </is>
      </c>
      <c r="C354" t="inlineStr">
        <is>
          <t>1014253 → ST-036-EUR-04</t>
        </is>
      </c>
      <c r="D354" s="19" t="inlineStr">
        <is>
          <t>2</t>
        </is>
      </c>
      <c r="E354" s="19" t="inlineStr">
        <is>
          <t>1279</t>
        </is>
      </c>
      <c r="F354" s="19" t="inlineStr">
        <is>
          <t>51</t>
        </is>
      </c>
      <c r="G354" s="19" t="n"/>
      <c r="H354" s="19" t="inlineStr">
        <is>
          <t>2</t>
        </is>
      </c>
      <c r="I354" s="19" t="n"/>
      <c r="J354" s="19" t="n"/>
      <c r="K354" s="19" t="inlineStr">
        <is>
          <t>2</t>
        </is>
      </c>
      <c r="L354" t="inlineStr">
        <is>
          <t>2026-08-08</t>
        </is>
      </c>
      <c r="N354" t="inlineStr">
        <is>
          <t>IN_SCOPE_FINAL; SOURCE_CFG=IA-ST-CFG-0068; MARKET=GY EUR; STATUS=IN OEM / EU PACKAGE</t>
        </is>
      </c>
      <c r="O354" t="inlineStr">
        <is>
          <t>2026-08-10T19:29:54Z</t>
        </is>
      </c>
      <c r="P354" t="inlineStr">
        <is>
          <t>2026-08-10T19:29:54Z</t>
        </is>
      </c>
    </row>
    <row r="355">
      <c r="A355" s="19" t="inlineStr">
        <is>
          <t>354</t>
        </is>
      </c>
      <c r="B355" s="19" t="inlineStr">
        <is>
          <t>SC-1014254-ST-036-EUR-04</t>
        </is>
      </c>
      <c r="C355" t="inlineStr">
        <is>
          <t>1014254 → ST-036-EUR-04</t>
        </is>
      </c>
      <c r="D355" s="19" t="inlineStr">
        <is>
          <t>2</t>
        </is>
      </c>
      <c r="E355" s="19" t="inlineStr">
        <is>
          <t>1280</t>
        </is>
      </c>
      <c r="F355" s="19" t="inlineStr">
        <is>
          <t>51</t>
        </is>
      </c>
      <c r="G355" s="19" t="n"/>
      <c r="H355" s="19" t="inlineStr">
        <is>
          <t>2</t>
        </is>
      </c>
      <c r="I355" s="19" t="n"/>
      <c r="J355" s="19" t="n"/>
      <c r="K355" s="19" t="inlineStr">
        <is>
          <t>2</t>
        </is>
      </c>
      <c r="L355" t="inlineStr">
        <is>
          <t>2026-08-08</t>
        </is>
      </c>
      <c r="N355" t="inlineStr">
        <is>
          <t>IN_SCOPE_FINAL; SOURCE_CFG=IA-ST-CFG-0068; MARKET=GY EUR; STATUS=IN OEM / EU PACKAGE</t>
        </is>
      </c>
      <c r="O355" t="inlineStr">
        <is>
          <t>2026-08-10T19:29:54Z</t>
        </is>
      </c>
      <c r="P355" t="inlineStr">
        <is>
          <t>2026-08-10T19:29:54Z</t>
        </is>
      </c>
    </row>
    <row r="356">
      <c r="A356" s="19" t="inlineStr">
        <is>
          <t>355</t>
        </is>
      </c>
      <c r="B356" s="19" t="inlineStr">
        <is>
          <t>SC-1014408-ST-036-EUR-04</t>
        </is>
      </c>
      <c r="C356" t="inlineStr">
        <is>
          <t>1014408 → ST-036-EUR-04</t>
        </is>
      </c>
      <c r="D356" s="19" t="inlineStr">
        <is>
          <t>2</t>
        </is>
      </c>
      <c r="E356" s="19" t="inlineStr">
        <is>
          <t>1356</t>
        </is>
      </c>
      <c r="F356" s="19" t="inlineStr">
        <is>
          <t>51</t>
        </is>
      </c>
      <c r="G356" s="19" t="n"/>
      <c r="H356" s="19" t="inlineStr">
        <is>
          <t>2</t>
        </is>
      </c>
      <c r="I356" s="19" t="n"/>
      <c r="J356" s="19" t="n"/>
      <c r="K356" s="19" t="inlineStr">
        <is>
          <t>2</t>
        </is>
      </c>
      <c r="L356" t="inlineStr">
        <is>
          <t>2026-08-08</t>
        </is>
      </c>
      <c r="N356" t="inlineStr">
        <is>
          <t>IN_SCOPE_FINAL; SOURCE_CFG=IA-ST-CFG-0068; MARKET=GY EUR; STATUS=IN OEM / EU PACKAGE</t>
        </is>
      </c>
      <c r="O356" t="inlineStr">
        <is>
          <t>2026-08-10T19:29:54Z</t>
        </is>
      </c>
      <c r="P356" t="inlineStr">
        <is>
          <t>2026-08-10T19:29:54Z</t>
        </is>
      </c>
    </row>
    <row r="357">
      <c r="A357" s="19" t="inlineStr">
        <is>
          <t>356</t>
        </is>
      </c>
      <c r="B357" s="19" t="inlineStr">
        <is>
          <t>SC-1014420-ST-036-EUR-04</t>
        </is>
      </c>
      <c r="C357" t="inlineStr">
        <is>
          <t>1014420 → ST-036-EUR-04</t>
        </is>
      </c>
      <c r="D357" s="19" t="inlineStr">
        <is>
          <t>2</t>
        </is>
      </c>
      <c r="E357" s="19" t="inlineStr">
        <is>
          <t>1364</t>
        </is>
      </c>
      <c r="F357" s="19" t="inlineStr">
        <is>
          <t>51</t>
        </is>
      </c>
      <c r="G357" s="19" t="n"/>
      <c r="H357" s="19" t="inlineStr">
        <is>
          <t>2</t>
        </is>
      </c>
      <c r="I357" s="19" t="n"/>
      <c r="J357" s="19" t="n"/>
      <c r="K357" s="19" t="inlineStr">
        <is>
          <t>2</t>
        </is>
      </c>
      <c r="L357" t="inlineStr">
        <is>
          <t>2026-08-08</t>
        </is>
      </c>
      <c r="N357" t="inlineStr">
        <is>
          <t>IN_SCOPE_FINAL; SOURCE_CFG=IA-ST-CFG-0068; MARKET=GY EUR; STATUS=IN OEM / EU PACKAGE</t>
        </is>
      </c>
      <c r="O357" t="inlineStr">
        <is>
          <t>2026-08-10T19:29:54Z</t>
        </is>
      </c>
      <c r="P357" t="inlineStr">
        <is>
          <t>2026-08-10T19:29:54Z</t>
        </is>
      </c>
    </row>
    <row r="358">
      <c r="A358" s="19" t="inlineStr">
        <is>
          <t>357</t>
        </is>
      </c>
      <c r="B358" s="19" t="inlineStr">
        <is>
          <t>SC-1014422-ST-036-EUR-04</t>
        </is>
      </c>
      <c r="C358" t="inlineStr">
        <is>
          <t>1014422 → ST-036-EUR-04</t>
        </is>
      </c>
      <c r="D358" s="19" t="inlineStr">
        <is>
          <t>2</t>
        </is>
      </c>
      <c r="E358" s="19" t="inlineStr">
        <is>
          <t>1365</t>
        </is>
      </c>
      <c r="F358" s="19" t="inlineStr">
        <is>
          <t>51</t>
        </is>
      </c>
      <c r="G358" s="19" t="n"/>
      <c r="H358" s="19" t="inlineStr">
        <is>
          <t>2</t>
        </is>
      </c>
      <c r="I358" s="19" t="n"/>
      <c r="J358" s="19" t="n"/>
      <c r="K358" s="19" t="inlineStr">
        <is>
          <t>2</t>
        </is>
      </c>
      <c r="L358" t="inlineStr">
        <is>
          <t>2026-08-08</t>
        </is>
      </c>
      <c r="N358" t="inlineStr">
        <is>
          <t>IN_SCOPE_FINAL; SOURCE_CFG=IA-ST-CFG-0068; MARKET=GY EUR; STATUS=IN OEM / EU PACKAGE</t>
        </is>
      </c>
      <c r="O358" t="inlineStr">
        <is>
          <t>2026-08-10T19:29:54Z</t>
        </is>
      </c>
      <c r="P358" t="inlineStr">
        <is>
          <t>2026-08-10T19:29:54Z</t>
        </is>
      </c>
    </row>
    <row r="359">
      <c r="A359" s="19" t="inlineStr">
        <is>
          <t>358</t>
        </is>
      </c>
      <c r="B359" s="19" t="inlineStr">
        <is>
          <t>SC-1014426-ST-036-EUR-04</t>
        </is>
      </c>
      <c r="C359" t="inlineStr">
        <is>
          <t>1014426 → ST-036-EUR-04</t>
        </is>
      </c>
      <c r="D359" s="19" t="inlineStr">
        <is>
          <t>2</t>
        </is>
      </c>
      <c r="E359" s="19" t="inlineStr">
        <is>
          <t>1369</t>
        </is>
      </c>
      <c r="F359" s="19" t="inlineStr">
        <is>
          <t>51</t>
        </is>
      </c>
      <c r="G359" s="19" t="n"/>
      <c r="H359" s="19" t="inlineStr">
        <is>
          <t>2</t>
        </is>
      </c>
      <c r="I359" s="19" t="n"/>
      <c r="J359" s="19" t="n"/>
      <c r="K359" s="19" t="inlineStr">
        <is>
          <t>2</t>
        </is>
      </c>
      <c r="L359" t="inlineStr">
        <is>
          <t>2026-08-08</t>
        </is>
      </c>
      <c r="N359" t="inlineStr">
        <is>
          <t>IN_SCOPE_FINAL; SOURCE_CFG=IA-ST-CFG-0068; MARKET=GY EUR; STATUS=IN OEM / EU PACKAGE</t>
        </is>
      </c>
      <c r="O359" t="inlineStr">
        <is>
          <t>2026-08-10T19:29:54Z</t>
        </is>
      </c>
      <c r="P359" t="inlineStr">
        <is>
          <t>2026-08-10T19:29:54Z</t>
        </is>
      </c>
    </row>
    <row r="360">
      <c r="A360" s="19" t="inlineStr">
        <is>
          <t>359</t>
        </is>
      </c>
      <c r="B360" s="19" t="inlineStr">
        <is>
          <t>SC-1014457-ST-036-EUR-04</t>
        </is>
      </c>
      <c r="C360" t="inlineStr">
        <is>
          <t>1014457 → ST-036-EUR-04</t>
        </is>
      </c>
      <c r="D360" s="19" t="inlineStr">
        <is>
          <t>2</t>
        </is>
      </c>
      <c r="E360" s="19" t="inlineStr">
        <is>
          <t>1397</t>
        </is>
      </c>
      <c r="F360" s="19" t="inlineStr">
        <is>
          <t>51</t>
        </is>
      </c>
      <c r="G360" s="19" t="n"/>
      <c r="H360" s="19" t="inlineStr">
        <is>
          <t>2</t>
        </is>
      </c>
      <c r="I360" s="19" t="n"/>
      <c r="J360" s="19" t="n"/>
      <c r="K360" s="19" t="inlineStr">
        <is>
          <t>2</t>
        </is>
      </c>
      <c r="L360" t="inlineStr">
        <is>
          <t>2026-08-08</t>
        </is>
      </c>
      <c r="N360" t="inlineStr">
        <is>
          <t>IN_SCOPE_FINAL; SOURCE_CFG=IA-ST-CFG-0068; MARKET=GY EUR; STATUS=IN OEM / EU PACKAGE</t>
        </is>
      </c>
      <c r="O360" t="inlineStr">
        <is>
          <t>2026-08-10T19:29:54Z</t>
        </is>
      </c>
      <c r="P360" t="inlineStr">
        <is>
          <t>2026-08-10T19:29:54Z</t>
        </is>
      </c>
    </row>
    <row r="361">
      <c r="A361" s="19" t="inlineStr">
        <is>
          <t>360</t>
        </is>
      </c>
      <c r="B361" s="19" t="inlineStr">
        <is>
          <t>SC-1014536-ST-036-EUR-04</t>
        </is>
      </c>
      <c r="C361" t="inlineStr">
        <is>
          <t>1014536 → ST-036-EUR-04</t>
        </is>
      </c>
      <c r="D361" s="19" t="inlineStr">
        <is>
          <t>2</t>
        </is>
      </c>
      <c r="E361" s="19" t="inlineStr">
        <is>
          <t>1430</t>
        </is>
      </c>
      <c r="F361" s="19" t="inlineStr">
        <is>
          <t>51</t>
        </is>
      </c>
      <c r="G361" s="19" t="n"/>
      <c r="H361" s="19" t="inlineStr">
        <is>
          <t>2</t>
        </is>
      </c>
      <c r="I361" s="19" t="n"/>
      <c r="J361" s="19" t="n"/>
      <c r="K361" s="19" t="inlineStr">
        <is>
          <t>2</t>
        </is>
      </c>
      <c r="L361" t="inlineStr">
        <is>
          <t>2026-08-08</t>
        </is>
      </c>
      <c r="N361" t="inlineStr">
        <is>
          <t>IN_SCOPE_FINAL; SOURCE_CFG=IA-ST-CFG-0068; MARKET=GY EUR; STATUS=IN OEM / EU PACKAGE</t>
        </is>
      </c>
      <c r="O361" t="inlineStr">
        <is>
          <t>2026-08-10T19:29:54Z</t>
        </is>
      </c>
      <c r="P361" t="inlineStr">
        <is>
          <t>2026-08-10T19:29:54Z</t>
        </is>
      </c>
    </row>
    <row r="362">
      <c r="A362" s="19" t="inlineStr">
        <is>
          <t>361</t>
        </is>
      </c>
      <c r="B362" s="19" t="inlineStr">
        <is>
          <t>SC-1014537-ST-036-EUR-04</t>
        </is>
      </c>
      <c r="C362" t="inlineStr">
        <is>
          <t>1014537 → ST-036-EUR-04</t>
        </is>
      </c>
      <c r="D362" s="19" t="inlineStr">
        <is>
          <t>2</t>
        </is>
      </c>
      <c r="E362" s="19" t="inlineStr">
        <is>
          <t>1431</t>
        </is>
      </c>
      <c r="F362" s="19" t="inlineStr">
        <is>
          <t>51</t>
        </is>
      </c>
      <c r="G362" s="19" t="n"/>
      <c r="H362" s="19" t="inlineStr">
        <is>
          <t>2</t>
        </is>
      </c>
      <c r="I362" s="19" t="n"/>
      <c r="J362" s="19" t="n"/>
      <c r="K362" s="19" t="inlineStr">
        <is>
          <t>2</t>
        </is>
      </c>
      <c r="L362" t="inlineStr">
        <is>
          <t>2026-08-08</t>
        </is>
      </c>
      <c r="N362" t="inlineStr">
        <is>
          <t>IN_SCOPE_FINAL; SOURCE_CFG=IA-ST-CFG-0068; MARKET=GY EUR; STATUS=IN OEM / EU PACKAGE</t>
        </is>
      </c>
      <c r="O362" t="inlineStr">
        <is>
          <t>2026-08-10T19:29:54Z</t>
        </is>
      </c>
      <c r="P362" t="inlineStr">
        <is>
          <t>2026-08-10T19:29:54Z</t>
        </is>
      </c>
    </row>
    <row r="363">
      <c r="A363" s="19" t="inlineStr">
        <is>
          <t>362</t>
        </is>
      </c>
      <c r="B363" s="19" t="inlineStr">
        <is>
          <t>SC-1014754-ST-036-EUR-04</t>
        </is>
      </c>
      <c r="C363" t="inlineStr">
        <is>
          <t>1014754 → ST-036-EUR-04</t>
        </is>
      </c>
      <c r="D363" s="19" t="inlineStr">
        <is>
          <t>2</t>
        </is>
      </c>
      <c r="E363" s="19" t="inlineStr">
        <is>
          <t>1581</t>
        </is>
      </c>
      <c r="F363" s="19" t="inlineStr">
        <is>
          <t>51</t>
        </is>
      </c>
      <c r="G363" s="19" t="n"/>
      <c r="H363" s="19" t="inlineStr">
        <is>
          <t>2</t>
        </is>
      </c>
      <c r="I363" s="19" t="n"/>
      <c r="J363" s="19" t="n"/>
      <c r="K363" s="19" t="inlineStr">
        <is>
          <t>2</t>
        </is>
      </c>
      <c r="L363" t="inlineStr">
        <is>
          <t>2026-08-08</t>
        </is>
      </c>
      <c r="N363" t="inlineStr">
        <is>
          <t>IN_SCOPE_FINAL; SOURCE_CFG=IA-ST-CFG-0068; MARKET=GS STARTAX FINLAND OY; STATUS=IN OEM / EU PACKAGE</t>
        </is>
      </c>
      <c r="O363" t="inlineStr">
        <is>
          <t>2026-08-10T19:29:54Z</t>
        </is>
      </c>
      <c r="P363" t="inlineStr">
        <is>
          <t>2026-08-10T19:29:54Z</t>
        </is>
      </c>
    </row>
    <row r="364">
      <c r="A364" s="19" t="inlineStr">
        <is>
          <t>363</t>
        </is>
      </c>
      <c r="B364" s="19" t="inlineStr">
        <is>
          <t>SC-1015093-ST-036-EUR-04</t>
        </is>
      </c>
      <c r="C364" t="inlineStr">
        <is>
          <t>1015093 → ST-036-EUR-04</t>
        </is>
      </c>
      <c r="D364" s="19" t="inlineStr">
        <is>
          <t>2</t>
        </is>
      </c>
      <c r="E364" s="19" t="inlineStr">
        <is>
          <t>1847</t>
        </is>
      </c>
      <c r="F364" s="19" t="inlineStr">
        <is>
          <t>51</t>
        </is>
      </c>
      <c r="G364" s="19" t="n"/>
      <c r="H364" s="19" t="inlineStr">
        <is>
          <t>2</t>
        </is>
      </c>
      <c r="I364" s="19" t="n"/>
      <c r="J364" s="19" t="n"/>
      <c r="K364" s="19" t="inlineStr">
        <is>
          <t>2</t>
        </is>
      </c>
      <c r="L364" t="inlineStr">
        <is>
          <t>2026-08-08</t>
        </is>
      </c>
      <c r="N364" t="inlineStr">
        <is>
          <t>IN_SCOPE_FINAL; SOURCE_CFG=IA-ST-CFG-0068; MARKET=GY NRD (ADN BALTIC NORDIC); STATUS=IN OEM / EU PACKAGE</t>
        </is>
      </c>
      <c r="O364" t="inlineStr">
        <is>
          <t>2026-08-10T19:29:54Z</t>
        </is>
      </c>
      <c r="P364" t="inlineStr">
        <is>
          <t>2026-08-10T19:29:54Z</t>
        </is>
      </c>
    </row>
    <row r="365">
      <c r="A365" s="19" t="inlineStr">
        <is>
          <t>364</t>
        </is>
      </c>
      <c r="B365" s="19" t="inlineStr">
        <is>
          <t>SC-1015229-ST-036-EUR-04</t>
        </is>
      </c>
      <c r="C365" t="inlineStr">
        <is>
          <t>1015229 → ST-036-EUR-04</t>
        </is>
      </c>
      <c r="D365" s="19" t="inlineStr">
        <is>
          <t>2</t>
        </is>
      </c>
      <c r="E365" s="19" t="inlineStr">
        <is>
          <t>1967</t>
        </is>
      </c>
      <c r="F365" s="19" t="inlineStr">
        <is>
          <t>51</t>
        </is>
      </c>
      <c r="G365" s="19" t="n"/>
      <c r="H365" s="19" t="inlineStr">
        <is>
          <t>2</t>
        </is>
      </c>
      <c r="I365" s="19" t="n"/>
      <c r="J365" s="19" t="n"/>
      <c r="K365" s="19" t="inlineStr">
        <is>
          <t>2</t>
        </is>
      </c>
      <c r="L365" t="inlineStr">
        <is>
          <t>2026-08-08</t>
        </is>
      </c>
      <c r="N365" t="inlineStr">
        <is>
          <t>IN_SCOPE_FINAL; SOURCE_CFG=IA-ST-CFG-0068; MARKET=GY EUR; STATUS=IN OEM / EU PACKAGE</t>
        </is>
      </c>
      <c r="O365" t="inlineStr">
        <is>
          <t>2026-08-10T19:29:54Z</t>
        </is>
      </c>
      <c r="P365" t="inlineStr">
        <is>
          <t>2026-08-10T19:29:54Z</t>
        </is>
      </c>
    </row>
    <row r="366">
      <c r="A366" s="19" t="inlineStr">
        <is>
          <t>365</t>
        </is>
      </c>
      <c r="B366" s="19" t="inlineStr">
        <is>
          <t>SC-1015230-ST-036-EUR-04</t>
        </is>
      </c>
      <c r="C366" t="inlineStr">
        <is>
          <t>1015230 → ST-036-EUR-04</t>
        </is>
      </c>
      <c r="D366" s="19" t="inlineStr">
        <is>
          <t>2</t>
        </is>
      </c>
      <c r="E366" s="19" t="inlineStr">
        <is>
          <t>1968</t>
        </is>
      </c>
      <c r="F366" s="19" t="inlineStr">
        <is>
          <t>51</t>
        </is>
      </c>
      <c r="G366" s="19" t="n"/>
      <c r="H366" s="19" t="inlineStr">
        <is>
          <t>2</t>
        </is>
      </c>
      <c r="I366" s="19" t="n"/>
      <c r="J366" s="19" t="n"/>
      <c r="K366" s="19" t="inlineStr">
        <is>
          <t>2</t>
        </is>
      </c>
      <c r="L366" t="inlineStr">
        <is>
          <t>2026-08-08</t>
        </is>
      </c>
      <c r="N366" t="inlineStr">
        <is>
          <t>IN_SCOPE_FINAL; SOURCE_CFG=IA-ST-CFG-0068; MARKET=GY EUR; STATUS=IN OEM / EU PACKAGE</t>
        </is>
      </c>
      <c r="O366" t="inlineStr">
        <is>
          <t>2026-08-10T19:29:54Z</t>
        </is>
      </c>
      <c r="P366" t="inlineStr">
        <is>
          <t>2026-08-10T19:29:54Z</t>
        </is>
      </c>
    </row>
    <row r="367">
      <c r="A367" s="19" t="inlineStr">
        <is>
          <t>366</t>
        </is>
      </c>
      <c r="B367" s="19" t="inlineStr">
        <is>
          <t>SC-1015231-ST-036-EUR-04</t>
        </is>
      </c>
      <c r="C367" t="inlineStr">
        <is>
          <t>1015231 → ST-036-EUR-04</t>
        </is>
      </c>
      <c r="D367" s="19" t="inlineStr">
        <is>
          <t>2</t>
        </is>
      </c>
      <c r="E367" s="19" t="inlineStr">
        <is>
          <t>1969</t>
        </is>
      </c>
      <c r="F367" s="19" t="inlineStr">
        <is>
          <t>51</t>
        </is>
      </c>
      <c r="G367" s="19" t="n"/>
      <c r="H367" s="19" t="inlineStr">
        <is>
          <t>2</t>
        </is>
      </c>
      <c r="I367" s="19" t="n"/>
      <c r="J367" s="19" t="n"/>
      <c r="K367" s="19" t="inlineStr">
        <is>
          <t>2</t>
        </is>
      </c>
      <c r="L367" t="inlineStr">
        <is>
          <t>2026-08-08</t>
        </is>
      </c>
      <c r="N367" t="inlineStr">
        <is>
          <t>IN_SCOPE_FINAL; SOURCE_CFG=IA-ST-CFG-0068; MARKET=GY EUR; STATUS=IN OEM / EU PACKAGE</t>
        </is>
      </c>
      <c r="O367" t="inlineStr">
        <is>
          <t>2026-08-10T19:29:54Z</t>
        </is>
      </c>
      <c r="P367" t="inlineStr">
        <is>
          <t>2026-08-10T19:29:54Z</t>
        </is>
      </c>
    </row>
    <row r="368">
      <c r="A368" s="19" t="inlineStr">
        <is>
          <t>367</t>
        </is>
      </c>
      <c r="B368" s="19" t="inlineStr">
        <is>
          <t>SC-1015244-ST-036-EUR-04</t>
        </is>
      </c>
      <c r="C368" t="inlineStr">
        <is>
          <t>1015244 → ST-036-EUR-04</t>
        </is>
      </c>
      <c r="D368" s="19" t="inlineStr">
        <is>
          <t>2</t>
        </is>
      </c>
      <c r="E368" s="19" t="inlineStr">
        <is>
          <t>1982</t>
        </is>
      </c>
      <c r="F368" s="19" t="inlineStr">
        <is>
          <t>51</t>
        </is>
      </c>
      <c r="G368" s="19" t="n"/>
      <c r="H368" s="19" t="inlineStr">
        <is>
          <t>2</t>
        </is>
      </c>
      <c r="I368" s="19" t="n"/>
      <c r="J368" s="19" t="n"/>
      <c r="K368" s="19" t="inlineStr">
        <is>
          <t>2</t>
        </is>
      </c>
      <c r="L368" t="inlineStr">
        <is>
          <t>2026-08-08</t>
        </is>
      </c>
      <c r="N368" t="inlineStr">
        <is>
          <t>IN_SCOPE_FINAL; SOURCE_CFG=IA-ST-CFG-0068; MARKET=GY EUR; STATUS=IN OEM / EU PACKAGE</t>
        </is>
      </c>
      <c r="O368" t="inlineStr">
        <is>
          <t>2026-08-10T19:29:54Z</t>
        </is>
      </c>
      <c r="P368" t="inlineStr">
        <is>
          <t>2026-08-10T19:29:54Z</t>
        </is>
      </c>
    </row>
    <row r="369">
      <c r="A369" s="19" t="inlineStr">
        <is>
          <t>368</t>
        </is>
      </c>
      <c r="B369" s="19" t="inlineStr">
        <is>
          <t>SC-1015245-ST-036-EUR-04</t>
        </is>
      </c>
      <c r="C369" t="inlineStr">
        <is>
          <t>1015245 → ST-036-EUR-04</t>
        </is>
      </c>
      <c r="D369" s="19" t="inlineStr">
        <is>
          <t>2</t>
        </is>
      </c>
      <c r="E369" s="19" t="inlineStr">
        <is>
          <t>1983</t>
        </is>
      </c>
      <c r="F369" s="19" t="inlineStr">
        <is>
          <t>51</t>
        </is>
      </c>
      <c r="G369" s="19" t="n"/>
      <c r="H369" s="19" t="inlineStr">
        <is>
          <t>2</t>
        </is>
      </c>
      <c r="I369" s="19" t="n"/>
      <c r="J369" s="19" t="n"/>
      <c r="K369" s="19" t="inlineStr">
        <is>
          <t>2</t>
        </is>
      </c>
      <c r="L369" t="inlineStr">
        <is>
          <t>2026-08-08</t>
        </is>
      </c>
      <c r="N369" t="inlineStr">
        <is>
          <t>IN_SCOPE_FINAL; SOURCE_CFG=IA-ST-CFG-0068; MARKET=GY EUR; STATUS=IN OEM / EU PACKAGE</t>
        </is>
      </c>
      <c r="O369" t="inlineStr">
        <is>
          <t>2026-08-10T19:29:54Z</t>
        </is>
      </c>
      <c r="P369" t="inlineStr">
        <is>
          <t>2026-08-10T19:29:54Z</t>
        </is>
      </c>
    </row>
    <row r="370">
      <c r="A370" s="19" t="inlineStr">
        <is>
          <t>369</t>
        </is>
      </c>
      <c r="B370" s="19" t="inlineStr">
        <is>
          <t>SC-1015246-ST-036-EUR-04</t>
        </is>
      </c>
      <c r="C370" t="inlineStr">
        <is>
          <t>1015246 → ST-036-EUR-04</t>
        </is>
      </c>
      <c r="D370" s="19" t="inlineStr">
        <is>
          <t>2</t>
        </is>
      </c>
      <c r="E370" s="19" t="inlineStr">
        <is>
          <t>1984</t>
        </is>
      </c>
      <c r="F370" s="19" t="inlineStr">
        <is>
          <t>51</t>
        </is>
      </c>
      <c r="G370" s="19" t="n"/>
      <c r="H370" s="19" t="inlineStr">
        <is>
          <t>2</t>
        </is>
      </c>
      <c r="I370" s="19" t="n"/>
      <c r="J370" s="19" t="n"/>
      <c r="K370" s="19" t="inlineStr">
        <is>
          <t>2</t>
        </is>
      </c>
      <c r="L370" t="inlineStr">
        <is>
          <t>2026-08-08</t>
        </is>
      </c>
      <c r="N370" t="inlineStr">
        <is>
          <t>IN_SCOPE_FINAL; SOURCE_CFG=IA-ST-CFG-0068; MARKET=GY EUR; STATUS=IN OEM / EU PACKAGE</t>
        </is>
      </c>
      <c r="O370" t="inlineStr">
        <is>
          <t>2026-08-10T19:29:54Z</t>
        </is>
      </c>
      <c r="P370" t="inlineStr">
        <is>
          <t>2026-08-10T19:29:54Z</t>
        </is>
      </c>
    </row>
    <row r="371">
      <c r="A371" s="19" t="inlineStr">
        <is>
          <t>370</t>
        </is>
      </c>
      <c r="B371" s="19" t="inlineStr">
        <is>
          <t>SC-1014463-ST-036-EUR-04</t>
        </is>
      </c>
      <c r="C371" t="inlineStr">
        <is>
          <t>1014463 → ST-036-EUR-04</t>
        </is>
      </c>
      <c r="D371" s="19" t="inlineStr">
        <is>
          <t>2</t>
        </is>
      </c>
      <c r="E371" s="19" t="inlineStr">
        <is>
          <t>1401</t>
        </is>
      </c>
      <c r="F371" s="19" t="inlineStr">
        <is>
          <t>51</t>
        </is>
      </c>
      <c r="G371" s="19" t="n"/>
      <c r="H371" s="19" t="inlineStr">
        <is>
          <t>2</t>
        </is>
      </c>
      <c r="I371" s="19" t="n"/>
      <c r="J371" s="19" t="n"/>
      <c r="K371" s="19" t="inlineStr">
        <is>
          <t>2</t>
        </is>
      </c>
      <c r="L371" t="inlineStr">
        <is>
          <t>2026-08-08</t>
        </is>
      </c>
      <c r="N371" t="inlineStr">
        <is>
          <t>IN_SCOPE_FINAL; SOURCE_CFG=IA-ST-CFG-0068; MARKET=YUASA 3000 EXPORT; STATUS=IN OEM / EU PACKAGE</t>
        </is>
      </c>
      <c r="O371" t="inlineStr">
        <is>
          <t>2026-08-10T19:29:54Z</t>
        </is>
      </c>
      <c r="P371" t="inlineStr">
        <is>
          <t>2026-08-10T19:29:54Z</t>
        </is>
      </c>
    </row>
    <row r="372">
      <c r="A372" s="19" t="inlineStr">
        <is>
          <t>371</t>
        </is>
      </c>
      <c r="B372" s="19" t="inlineStr">
        <is>
          <t>SC-1013538-ST-036-EUR-04</t>
        </is>
      </c>
      <c r="C372" t="inlineStr">
        <is>
          <t>1013538 → ST-036-EUR-04</t>
        </is>
      </c>
      <c r="D372" s="19" t="inlineStr">
        <is>
          <t>2</t>
        </is>
      </c>
      <c r="E372" s="19" t="inlineStr">
        <is>
          <t>1026</t>
        </is>
      </c>
      <c r="F372" s="19" t="inlineStr">
        <is>
          <t>51</t>
        </is>
      </c>
      <c r="G372" s="19" t="n"/>
      <c r="H372" s="19" t="inlineStr">
        <is>
          <t>2</t>
        </is>
      </c>
      <c r="I372" s="19" t="n"/>
      <c r="J372" s="19" t="n"/>
      <c r="K372" s="19" t="inlineStr">
        <is>
          <t>2</t>
        </is>
      </c>
      <c r="L372" t="inlineStr">
        <is>
          <t>2026-08-08</t>
        </is>
      </c>
      <c r="N372" t="inlineStr">
        <is>
          <t>IN_SCOPE_FINAL; SOURCE_CFG=IA-ST-CFG-0068; MARKET=SKG İTALYA; STATUS=IN OEM / EU PACKAGE</t>
        </is>
      </c>
      <c r="O372" t="inlineStr">
        <is>
          <t>2026-08-10T19:29:54Z</t>
        </is>
      </c>
      <c r="P372" t="inlineStr">
        <is>
          <t>2026-08-10T19:29:54Z</t>
        </is>
      </c>
    </row>
    <row r="373">
      <c r="A373" s="19" t="inlineStr">
        <is>
          <t>372</t>
        </is>
      </c>
      <c r="B373" s="19" t="inlineStr">
        <is>
          <t>SC-1015033-ST-036-EUR-04</t>
        </is>
      </c>
      <c r="C373" t="inlineStr">
        <is>
          <t>1015033 → ST-036-EUR-04</t>
        </is>
      </c>
      <c r="D373" s="19" t="inlineStr">
        <is>
          <t>2</t>
        </is>
      </c>
      <c r="E373" s="19" t="inlineStr">
        <is>
          <t>1793</t>
        </is>
      </c>
      <c r="F373" s="19" t="inlineStr">
        <is>
          <t>51</t>
        </is>
      </c>
      <c r="G373" s="19" t="n"/>
      <c r="H373" s="19" t="inlineStr">
        <is>
          <t>2</t>
        </is>
      </c>
      <c r="I373" s="19" t="n"/>
      <c r="J373" s="19" t="n"/>
      <c r="K373" s="19" t="inlineStr">
        <is>
          <t>2</t>
        </is>
      </c>
      <c r="L373" t="inlineStr">
        <is>
          <t>2026-08-08</t>
        </is>
      </c>
      <c r="N373" t="inlineStr">
        <is>
          <t>IN_SCOPE_FINAL; SOURCE_CFG=IA-ST-CFG-0068; MARKET=SKG İTALYA; STATUS=IN OEM / EU PACKAGE</t>
        </is>
      </c>
      <c r="O373" t="inlineStr">
        <is>
          <t>2026-08-10T19:29:54Z</t>
        </is>
      </c>
      <c r="P373" t="inlineStr">
        <is>
          <t>2026-08-10T19:29:54Z</t>
        </is>
      </c>
    </row>
    <row r="374">
      <c r="A374" s="19" t="inlineStr">
        <is>
          <t>373</t>
        </is>
      </c>
      <c r="B374" s="19" t="inlineStr">
        <is>
          <t>SC-1012969-ST-036-EUR-04</t>
        </is>
      </c>
      <c r="C374" t="inlineStr">
        <is>
          <t>1012969 → ST-036-EUR-04</t>
        </is>
      </c>
      <c r="D374" s="19" t="inlineStr">
        <is>
          <t>2</t>
        </is>
      </c>
      <c r="E374" s="19" t="inlineStr">
        <is>
          <t>886</t>
        </is>
      </c>
      <c r="F374" s="19" t="inlineStr">
        <is>
          <t>51</t>
        </is>
      </c>
      <c r="G374" s="19" t="n"/>
      <c r="H374" s="19" t="inlineStr">
        <is>
          <t>2</t>
        </is>
      </c>
      <c r="I374" s="19" t="n"/>
      <c r="J374" s="19" t="n"/>
      <c r="K374" s="19" t="inlineStr">
        <is>
          <t>2</t>
        </is>
      </c>
      <c r="L374" t="inlineStr">
        <is>
          <t>2026-08-08</t>
        </is>
      </c>
      <c r="N374" t="inlineStr">
        <is>
          <t>IN_SCOPE_FINAL; SOURCE_CFG=IA-ST-CFG-0068; MARKET=GS; STATUS=IN OEM / EU PACKAGE</t>
        </is>
      </c>
      <c r="O374" t="inlineStr">
        <is>
          <t>2026-08-10T19:29:54Z</t>
        </is>
      </c>
      <c r="P374" t="inlineStr">
        <is>
          <t>2026-08-10T19:29:54Z</t>
        </is>
      </c>
    </row>
    <row r="375">
      <c r="A375" s="19" t="inlineStr">
        <is>
          <t>374</t>
        </is>
      </c>
      <c r="B375" s="19" t="inlineStr">
        <is>
          <t>SC-1014432-ST-036-EUR-04</t>
        </is>
      </c>
      <c r="C375" t="inlineStr">
        <is>
          <t>1014432 → ST-036-EUR-04</t>
        </is>
      </c>
      <c r="D375" s="19" t="inlineStr">
        <is>
          <t>2</t>
        </is>
      </c>
      <c r="E375" s="19" t="inlineStr">
        <is>
          <t>1375</t>
        </is>
      </c>
      <c r="F375" s="19" t="inlineStr">
        <is>
          <t>51</t>
        </is>
      </c>
      <c r="G375" s="19" t="n"/>
      <c r="H375" s="19" t="inlineStr">
        <is>
          <t>2</t>
        </is>
      </c>
      <c r="I375" s="19" t="n"/>
      <c r="J375" s="19" t="n"/>
      <c r="K375" s="19" t="inlineStr">
        <is>
          <t>2</t>
        </is>
      </c>
      <c r="L375" t="inlineStr">
        <is>
          <t>2026-08-08</t>
        </is>
      </c>
      <c r="N375" t="inlineStr">
        <is>
          <t>IN_SCOPE_FINAL; SOURCE_CFG=IA-ST-CFG-0068; MARKET=GS; STATUS=IN OEM / EU PACKAGE</t>
        </is>
      </c>
      <c r="O375" t="inlineStr">
        <is>
          <t>2026-08-10T19:29:54Z</t>
        </is>
      </c>
      <c r="P375" t="inlineStr">
        <is>
          <t>2026-08-10T19:29:54Z</t>
        </is>
      </c>
    </row>
    <row r="376">
      <c r="A376" s="19" t="inlineStr">
        <is>
          <t>375</t>
        </is>
      </c>
      <c r="B376" s="19" t="inlineStr">
        <is>
          <t>SC-1014962-ST-036-EUR-04</t>
        </is>
      </c>
      <c r="C376" t="inlineStr">
        <is>
          <t>1014962 → ST-036-EUR-04</t>
        </is>
      </c>
      <c r="D376" s="19" t="inlineStr">
        <is>
          <t>2</t>
        </is>
      </c>
      <c r="E376" s="19" t="inlineStr">
        <is>
          <t>1728</t>
        </is>
      </c>
      <c r="F376" s="19" t="inlineStr">
        <is>
          <t>51</t>
        </is>
      </c>
      <c r="G376" s="19" t="n"/>
      <c r="H376" s="19" t="inlineStr">
        <is>
          <t>2</t>
        </is>
      </c>
      <c r="I376" s="19" t="n"/>
      <c r="J376" s="19" t="n"/>
      <c r="K376" s="19" t="inlineStr">
        <is>
          <t>2</t>
        </is>
      </c>
      <c r="L376" t="inlineStr">
        <is>
          <t>2026-08-08</t>
        </is>
      </c>
      <c r="N376" t="inlineStr">
        <is>
          <t>IN_SCOPE_FINAL; SOURCE_CFG=IA-ST-CFG-0068; MARKET=GY EUR; STATUS=IN OEM / EU PACKAGE</t>
        </is>
      </c>
      <c r="O376" t="inlineStr">
        <is>
          <t>2026-08-10T19:29:54Z</t>
        </is>
      </c>
      <c r="P376" t="inlineStr">
        <is>
          <t>2026-08-10T19:29:54Z</t>
        </is>
      </c>
    </row>
    <row r="377">
      <c r="A377" s="19" t="inlineStr">
        <is>
          <t>376</t>
        </is>
      </c>
      <c r="B377" s="19" t="inlineStr">
        <is>
          <t>SC-1015001-ST-036-EUR-04</t>
        </is>
      </c>
      <c r="C377" t="inlineStr">
        <is>
          <t>1015001 → ST-036-EUR-04</t>
        </is>
      </c>
      <c r="D377" s="19" t="inlineStr">
        <is>
          <t>2</t>
        </is>
      </c>
      <c r="E377" s="19" t="inlineStr">
        <is>
          <t>1762</t>
        </is>
      </c>
      <c r="F377" s="19" t="inlineStr">
        <is>
          <t>51</t>
        </is>
      </c>
      <c r="G377" s="19" t="n"/>
      <c r="H377" s="19" t="inlineStr">
        <is>
          <t>2</t>
        </is>
      </c>
      <c r="I377" s="19" t="n"/>
      <c r="J377" s="19" t="n"/>
      <c r="K377" s="19" t="inlineStr">
        <is>
          <t>2</t>
        </is>
      </c>
      <c r="L377" t="inlineStr">
        <is>
          <t>2026-08-08</t>
        </is>
      </c>
      <c r="N377" t="inlineStr">
        <is>
          <t>IN_SCOPE_FINAL; SOURCE_CFG=IA-ST-CFG-0068; MARKET=GS; STATUS=IN OEM / EU PACKAGE</t>
        </is>
      </c>
      <c r="O377" t="inlineStr">
        <is>
          <t>2026-08-10T19:29:54Z</t>
        </is>
      </c>
      <c r="P377" t="inlineStr">
        <is>
          <t>2026-08-10T19:29:54Z</t>
        </is>
      </c>
    </row>
    <row r="378">
      <c r="A378" s="19" t="inlineStr">
        <is>
          <t>377</t>
        </is>
      </c>
      <c r="B378" s="19" t="inlineStr">
        <is>
          <t>SC-1015183-ST-036-EUR-04</t>
        </is>
      </c>
      <c r="C378" t="inlineStr">
        <is>
          <t>1015183 → ST-036-EUR-04</t>
        </is>
      </c>
      <c r="D378" s="19" t="inlineStr">
        <is>
          <t>2</t>
        </is>
      </c>
      <c r="E378" s="19" t="inlineStr">
        <is>
          <t>1928</t>
        </is>
      </c>
      <c r="F378" s="19" t="inlineStr">
        <is>
          <t>51</t>
        </is>
      </c>
      <c r="G378" s="19" t="n"/>
      <c r="H378" s="19" t="inlineStr">
        <is>
          <t>2</t>
        </is>
      </c>
      <c r="I378" s="19" t="n"/>
      <c r="J378" s="19" t="n"/>
      <c r="K378" s="19" t="inlineStr">
        <is>
          <t>2</t>
        </is>
      </c>
      <c r="L378" t="inlineStr">
        <is>
          <t>2026-08-08</t>
        </is>
      </c>
      <c r="N378" t="inlineStr">
        <is>
          <t>IN_SCOPE_FINAL; SOURCE_CFG=IA-ST-CFG-0068; MARKET=GY NRD (ADN BALTIC NORDIC); STATUS=IN OEM / EU PACKAGE</t>
        </is>
      </c>
      <c r="O378" t="inlineStr">
        <is>
          <t>2026-08-10T19:29:54Z</t>
        </is>
      </c>
      <c r="P378" t="inlineStr">
        <is>
          <t>2026-08-10T19:29:54Z</t>
        </is>
      </c>
    </row>
    <row r="379">
      <c r="A379" s="19" t="inlineStr">
        <is>
          <t>378</t>
        </is>
      </c>
      <c r="B379" s="19" t="inlineStr">
        <is>
          <t>SC-1013405-ST-036-EUR-05</t>
        </is>
      </c>
      <c r="C379" t="inlineStr">
        <is>
          <t>1013405 → ST-036-EUR-05</t>
        </is>
      </c>
      <c r="D379" s="19" t="inlineStr">
        <is>
          <t>2</t>
        </is>
      </c>
      <c r="E379" s="19" t="inlineStr">
        <is>
          <t>989</t>
        </is>
      </c>
      <c r="F379" s="19" t="inlineStr">
        <is>
          <t>52</t>
        </is>
      </c>
      <c r="G379" s="19" t="n"/>
      <c r="H379" s="19" t="inlineStr">
        <is>
          <t>2</t>
        </is>
      </c>
      <c r="I379" s="19" t="n"/>
      <c r="J379" s="19" t="n"/>
      <c r="K379" s="19" t="inlineStr">
        <is>
          <t>2</t>
        </is>
      </c>
      <c r="L379" t="inlineStr">
        <is>
          <t>2026-08-08</t>
        </is>
      </c>
      <c r="N379" t="inlineStr">
        <is>
          <t>IN_SCOPE_FINAL; SOURCE_CFG=IA-ST-CFG-0070; MARKET=CANARIBAT İSPANYA; STATUS=IN OEM / EU PACKAGE</t>
        </is>
      </c>
      <c r="O379" t="inlineStr">
        <is>
          <t>2026-08-10T19:29:54Z</t>
        </is>
      </c>
      <c r="P379" t="inlineStr">
        <is>
          <t>2026-08-10T19:29:54Z</t>
        </is>
      </c>
    </row>
    <row r="380">
      <c r="A380" s="19" t="inlineStr">
        <is>
          <t>379</t>
        </is>
      </c>
      <c r="B380" s="19" t="inlineStr">
        <is>
          <t>SC-1014690-ST-036-EUR-05</t>
        </is>
      </c>
      <c r="C380" t="inlineStr">
        <is>
          <t>1014690 → ST-036-EUR-05</t>
        </is>
      </c>
      <c r="D380" s="19" t="inlineStr">
        <is>
          <t>2</t>
        </is>
      </c>
      <c r="E380" s="19" t="inlineStr">
        <is>
          <t>1542</t>
        </is>
      </c>
      <c r="F380" s="19" t="inlineStr">
        <is>
          <t>52</t>
        </is>
      </c>
      <c r="G380" s="19" t="n"/>
      <c r="H380" s="19" t="inlineStr">
        <is>
          <t>2</t>
        </is>
      </c>
      <c r="I380" s="19" t="n"/>
      <c r="J380" s="19" t="n"/>
      <c r="K380" s="19" t="inlineStr">
        <is>
          <t>2</t>
        </is>
      </c>
      <c r="L380" t="inlineStr">
        <is>
          <t>2026-08-08</t>
        </is>
      </c>
      <c r="N380" t="inlineStr">
        <is>
          <t>IN_SCOPE_FINAL; SOURCE_CFG=IA-ST-CFG-0070; MARKET=None; STATUS=IN OEM / EU PACKAGE</t>
        </is>
      </c>
      <c r="O380" t="inlineStr">
        <is>
          <t>2026-08-10T19:29:54Z</t>
        </is>
      </c>
      <c r="P380" t="inlineStr">
        <is>
          <t>2026-08-10T19:29:54Z</t>
        </is>
      </c>
    </row>
    <row r="381">
      <c r="A381" s="19" t="inlineStr">
        <is>
          <t>380</t>
        </is>
      </c>
      <c r="B381" s="19" t="inlineStr">
        <is>
          <t>SC-1014944-ST-036-EUR-05</t>
        </is>
      </c>
      <c r="C381" t="inlineStr">
        <is>
          <t>1014944 → ST-036-EUR-05</t>
        </is>
      </c>
      <c r="D381" s="19" t="inlineStr">
        <is>
          <t>2</t>
        </is>
      </c>
      <c r="E381" s="19" t="inlineStr">
        <is>
          <t>1711</t>
        </is>
      </c>
      <c r="F381" s="19" t="inlineStr">
        <is>
          <t>52</t>
        </is>
      </c>
      <c r="G381" s="19" t="n"/>
      <c r="H381" s="19" t="inlineStr">
        <is>
          <t>2</t>
        </is>
      </c>
      <c r="I381" s="19" t="n"/>
      <c r="J381" s="19" t="n"/>
      <c r="K381" s="19" t="inlineStr">
        <is>
          <t>2</t>
        </is>
      </c>
      <c r="L381" t="inlineStr">
        <is>
          <t>2026-08-08</t>
        </is>
      </c>
      <c r="N381" t="inlineStr">
        <is>
          <t>IN_SCOPE_FINAL; SOURCE_CFG=IA-ST-CFG-0070; MARKET=ALEX ARABATZIS BSA(YUNANİSTAN); STATUS=IN OEM / EU PACKAGE</t>
        </is>
      </c>
      <c r="O381" t="inlineStr">
        <is>
          <t>2026-08-10T19:29:54Z</t>
        </is>
      </c>
      <c r="P381" t="inlineStr">
        <is>
          <t>2026-08-10T19:29:54Z</t>
        </is>
      </c>
    </row>
    <row r="382">
      <c r="A382" s="19" t="inlineStr">
        <is>
          <t>381</t>
        </is>
      </c>
      <c r="B382" s="19" t="inlineStr">
        <is>
          <t>SC-1013872-ST-036-EUR-06</t>
        </is>
      </c>
      <c r="C382" t="inlineStr">
        <is>
          <t>1013872 → ST-036-EUR-06</t>
        </is>
      </c>
      <c r="D382" s="19" t="inlineStr">
        <is>
          <t>2</t>
        </is>
      </c>
      <c r="E382" s="19" t="inlineStr">
        <is>
          <t>1119</t>
        </is>
      </c>
      <c r="F382" s="19" t="inlineStr">
        <is>
          <t>53</t>
        </is>
      </c>
      <c r="G382" s="19" t="n"/>
      <c r="H382" s="19" t="inlineStr">
        <is>
          <t>2</t>
        </is>
      </c>
      <c r="I382" s="19" t="n"/>
      <c r="J382" s="19" t="n"/>
      <c r="K382" s="19" t="inlineStr">
        <is>
          <t>2</t>
        </is>
      </c>
      <c r="L382" t="inlineStr">
        <is>
          <t>2026-08-08</t>
        </is>
      </c>
      <c r="N382" t="inlineStr">
        <is>
          <t>IN_SCOPE_FINAL; SOURCE_CFG=IA-ST-CFG-0071; MARKET=None; STATUS=IN OEM / EU PACKAGE</t>
        </is>
      </c>
      <c r="O382" t="inlineStr">
        <is>
          <t>2026-08-10T19:29:54Z</t>
        </is>
      </c>
      <c r="P382" t="inlineStr">
        <is>
          <t>2026-08-10T19:29:54Z</t>
        </is>
      </c>
    </row>
    <row r="383">
      <c r="A383" s="19" t="inlineStr">
        <is>
          <t>382</t>
        </is>
      </c>
      <c r="B383" s="19" t="inlineStr">
        <is>
          <t>SC-1015269-ST-036-EUR-06</t>
        </is>
      </c>
      <c r="C383" t="inlineStr">
        <is>
          <t>1015269 → ST-036-EUR-06</t>
        </is>
      </c>
      <c r="D383" s="19" t="inlineStr">
        <is>
          <t>2</t>
        </is>
      </c>
      <c r="E383" s="19" t="inlineStr">
        <is>
          <t>2002</t>
        </is>
      </c>
      <c r="F383" s="19" t="inlineStr">
        <is>
          <t>53</t>
        </is>
      </c>
      <c r="G383" s="19" t="n"/>
      <c r="H383" s="19" t="inlineStr">
        <is>
          <t>2</t>
        </is>
      </c>
      <c r="I383" s="19" t="n"/>
      <c r="J383" s="19" t="n"/>
      <c r="K383" s="19" t="inlineStr">
        <is>
          <t>2</t>
        </is>
      </c>
      <c r="L383" t="inlineStr">
        <is>
          <t>2026-08-08</t>
        </is>
      </c>
      <c r="N383" t="inlineStr">
        <is>
          <t>IN_SCOPE_FINAL; SOURCE_CFG=IA-ST-CFG-0071; MARKET=None; STATUS=IN OEM / EU PACKAGE</t>
        </is>
      </c>
      <c r="O383" t="inlineStr">
        <is>
          <t>2026-08-10T19:29:54Z</t>
        </is>
      </c>
      <c r="P383" t="inlineStr">
        <is>
          <t>2026-08-10T19:29:54Z</t>
        </is>
      </c>
    </row>
    <row r="384">
      <c r="A384" s="19" t="inlineStr">
        <is>
          <t>383</t>
        </is>
      </c>
      <c r="B384" s="19" t="inlineStr">
        <is>
          <t>SC-1013461-ST-036-EUR-06</t>
        </is>
      </c>
      <c r="C384" t="inlineStr">
        <is>
          <t>1013461 → ST-036-EUR-06</t>
        </is>
      </c>
      <c r="D384" s="19" t="inlineStr">
        <is>
          <t>2</t>
        </is>
      </c>
      <c r="E384" s="19" t="inlineStr">
        <is>
          <t>1006</t>
        </is>
      </c>
      <c r="F384" s="19" t="inlineStr">
        <is>
          <t>53</t>
        </is>
      </c>
      <c r="G384" s="19" t="n"/>
      <c r="H384" s="19" t="inlineStr">
        <is>
          <t>2</t>
        </is>
      </c>
      <c r="I384" s="19" t="n"/>
      <c r="J384" s="19" t="n"/>
      <c r="K384" s="19" t="inlineStr">
        <is>
          <t>2</t>
        </is>
      </c>
      <c r="L384" t="inlineStr">
        <is>
          <t>2026-08-08</t>
        </is>
      </c>
      <c r="N384" t="inlineStr">
        <is>
          <t>IN_SCOPE_FINAL; SOURCE_CFG=IA-ST-CFG-0071; MARKET=None; STATUS=IN OEM / EU PACKAGE</t>
        </is>
      </c>
      <c r="O384" t="inlineStr">
        <is>
          <t>2026-08-10T19:29:54Z</t>
        </is>
      </c>
      <c r="P384" t="inlineStr">
        <is>
          <t>2026-08-10T19:29:54Z</t>
        </is>
      </c>
    </row>
    <row r="385">
      <c r="A385" s="19" t="inlineStr">
        <is>
          <t>384</t>
        </is>
      </c>
      <c r="B385" s="19" t="inlineStr">
        <is>
          <t>SC-1013185-ST-036-EUR-06</t>
        </is>
      </c>
      <c r="C385" t="inlineStr">
        <is>
          <t>1013185 → ST-036-EUR-06</t>
        </is>
      </c>
      <c r="D385" s="19" t="inlineStr">
        <is>
          <t>2</t>
        </is>
      </c>
      <c r="E385" s="19" t="inlineStr">
        <is>
          <t>937</t>
        </is>
      </c>
      <c r="F385" s="19" t="inlineStr">
        <is>
          <t>53</t>
        </is>
      </c>
      <c r="G385" s="19" t="n"/>
      <c r="H385" s="19" t="inlineStr">
        <is>
          <t>2</t>
        </is>
      </c>
      <c r="I385" s="19" t="n"/>
      <c r="J385" s="19" t="n"/>
      <c r="K385" s="19" t="inlineStr">
        <is>
          <t>2</t>
        </is>
      </c>
      <c r="L385" t="inlineStr">
        <is>
          <t>2026-08-08</t>
        </is>
      </c>
      <c r="N385" t="inlineStr">
        <is>
          <t>IN_SCOPE_FINAL; SOURCE_CFG=IA-ST-CFG-0071; MARKET=LAMPA ITALY İTALYA; STATUS=IN OEM / EU PACKAGE</t>
        </is>
      </c>
      <c r="O385" t="inlineStr">
        <is>
          <t>2026-08-10T19:29:54Z</t>
        </is>
      </c>
      <c r="P385" t="inlineStr">
        <is>
          <t>2026-08-10T19:29:54Z</t>
        </is>
      </c>
    </row>
    <row r="386">
      <c r="A386" s="19" t="inlineStr">
        <is>
          <t>385</t>
        </is>
      </c>
      <c r="B386" s="19" t="inlineStr">
        <is>
          <t>SC-1014167-ST-036-EUR-06</t>
        </is>
      </c>
      <c r="C386" t="inlineStr">
        <is>
          <t>1014167 → ST-036-EUR-06</t>
        </is>
      </c>
      <c r="D386" s="19" t="inlineStr">
        <is>
          <t>2</t>
        </is>
      </c>
      <c r="E386" s="19" t="inlineStr">
        <is>
          <t>1249</t>
        </is>
      </c>
      <c r="F386" s="19" t="inlineStr">
        <is>
          <t>53</t>
        </is>
      </c>
      <c r="G386" s="19" t="n"/>
      <c r="H386" s="19" t="inlineStr">
        <is>
          <t>2</t>
        </is>
      </c>
      <c r="I386" s="19" t="n"/>
      <c r="J386" s="19" t="n"/>
      <c r="K386" s="19" t="inlineStr">
        <is>
          <t>2</t>
        </is>
      </c>
      <c r="L386" t="inlineStr">
        <is>
          <t>2026-08-08</t>
        </is>
      </c>
      <c r="N386" t="inlineStr">
        <is>
          <t>IN_SCOPE_FINAL; SOURCE_CFG=IA-ST-CFG-0071; MARKET=None; STATUS=IN OEM / EU PACKAGE</t>
        </is>
      </c>
      <c r="O386" t="inlineStr">
        <is>
          <t>2026-08-10T19:29:54Z</t>
        </is>
      </c>
      <c r="P386" t="inlineStr">
        <is>
          <t>2026-08-10T19:29:54Z</t>
        </is>
      </c>
    </row>
    <row r="387">
      <c r="A387" s="19" t="inlineStr">
        <is>
          <t>386</t>
        </is>
      </c>
      <c r="B387" s="19" t="inlineStr">
        <is>
          <t>SC-1014499-ST-036-EUR-06</t>
        </is>
      </c>
      <c r="C387" t="inlineStr">
        <is>
          <t>1014499 → ST-036-EUR-06</t>
        </is>
      </c>
      <c r="D387" s="19" t="inlineStr">
        <is>
          <t>2</t>
        </is>
      </c>
      <c r="E387" s="19" t="inlineStr">
        <is>
          <t>1423</t>
        </is>
      </c>
      <c r="F387" s="19" t="inlineStr">
        <is>
          <t>53</t>
        </is>
      </c>
      <c r="G387" s="19" t="n"/>
      <c r="H387" s="19" t="inlineStr">
        <is>
          <t>2</t>
        </is>
      </c>
      <c r="I387" s="19" t="n"/>
      <c r="J387" s="19" t="n"/>
      <c r="K387" s="19" t="inlineStr">
        <is>
          <t>2</t>
        </is>
      </c>
      <c r="L387" t="inlineStr">
        <is>
          <t>2026-08-08</t>
        </is>
      </c>
      <c r="N387" t="inlineStr">
        <is>
          <t>IN_SCOPE_FINAL; SOURCE_CFG=IA-ST-CFG-0071; MARKET=None; STATUS=IN OEM / EU PACKAGE</t>
        </is>
      </c>
      <c r="O387" t="inlineStr">
        <is>
          <t>2026-08-10T19:29:54Z</t>
        </is>
      </c>
      <c r="P387" t="inlineStr">
        <is>
          <t>2026-08-10T19:29:54Z</t>
        </is>
      </c>
    </row>
    <row r="388">
      <c r="A388" s="19" t="inlineStr">
        <is>
          <t>387</t>
        </is>
      </c>
      <c r="B388" s="19" t="inlineStr">
        <is>
          <t>SC-1014998-ST-036-EUR-06</t>
        </is>
      </c>
      <c r="C388" t="inlineStr">
        <is>
          <t>1014998 → ST-036-EUR-06</t>
        </is>
      </c>
      <c r="D388" s="19" t="inlineStr">
        <is>
          <t>2</t>
        </is>
      </c>
      <c r="E388" s="19" t="inlineStr">
        <is>
          <t>1759</t>
        </is>
      </c>
      <c r="F388" s="19" t="inlineStr">
        <is>
          <t>53</t>
        </is>
      </c>
      <c r="G388" s="19" t="n"/>
      <c r="H388" s="19" t="inlineStr">
        <is>
          <t>2</t>
        </is>
      </c>
      <c r="I388" s="19" t="n"/>
      <c r="J388" s="19" t="n"/>
      <c r="K388" s="19" t="inlineStr">
        <is>
          <t>2</t>
        </is>
      </c>
      <c r="L388" t="inlineStr">
        <is>
          <t>2026-08-08</t>
        </is>
      </c>
      <c r="N388" t="inlineStr">
        <is>
          <t>IN_SCOPE_FINAL; SOURCE_CFG=IA-ST-CFG-0071; MARKET=CONEX ROMANYA; STATUS=IN OEM / EU PACKAGE</t>
        </is>
      </c>
      <c r="O388" t="inlineStr">
        <is>
          <t>2026-08-10T19:29:54Z</t>
        </is>
      </c>
      <c r="P388" t="inlineStr">
        <is>
          <t>2026-08-10T19:29:54Z</t>
        </is>
      </c>
    </row>
    <row r="389">
      <c r="A389" s="19" t="inlineStr">
        <is>
          <t>388</t>
        </is>
      </c>
      <c r="B389" s="19" t="inlineStr">
        <is>
          <t>SC-1012615-ST-036-EUR-06</t>
        </is>
      </c>
      <c r="C389" t="inlineStr">
        <is>
          <t>1012615 → ST-036-EUR-06</t>
        </is>
      </c>
      <c r="D389" s="19" t="inlineStr">
        <is>
          <t>2</t>
        </is>
      </c>
      <c r="E389" s="19" t="inlineStr">
        <is>
          <t>716</t>
        </is>
      </c>
      <c r="F389" s="19" t="inlineStr">
        <is>
          <t>53</t>
        </is>
      </c>
      <c r="G389" s="19" t="n"/>
      <c r="H389" s="19" t="inlineStr">
        <is>
          <t>2</t>
        </is>
      </c>
      <c r="I389" s="19" t="n"/>
      <c r="J389" s="19" t="n"/>
      <c r="K389" s="19" t="inlineStr">
        <is>
          <t>2</t>
        </is>
      </c>
      <c r="L389" t="inlineStr">
        <is>
          <t>2026-08-08</t>
        </is>
      </c>
      <c r="N389" t="inlineStr">
        <is>
          <t>IN_SCOPE_FINAL; SOURCE_CFG=IA-ST-CFG-0071; MARKET=START TRADING BULGARİSTAN; STATUS=IN OEM / EU PACKAGE</t>
        </is>
      </c>
      <c r="O389" t="inlineStr">
        <is>
          <t>2026-08-10T19:29:54Z</t>
        </is>
      </c>
      <c r="P389" t="inlineStr">
        <is>
          <t>2026-08-10T19:29:54Z</t>
        </is>
      </c>
    </row>
    <row r="390">
      <c r="A390" s="19" t="inlineStr">
        <is>
          <t>389</t>
        </is>
      </c>
      <c r="B390" s="19" t="inlineStr">
        <is>
          <t>SC-1012620-ST-036-EUR-06</t>
        </is>
      </c>
      <c r="C390" t="inlineStr">
        <is>
          <t>1012620 → ST-036-EUR-06</t>
        </is>
      </c>
      <c r="D390" s="19" t="inlineStr">
        <is>
          <t>2</t>
        </is>
      </c>
      <c r="E390" s="19" t="inlineStr">
        <is>
          <t>719</t>
        </is>
      </c>
      <c r="F390" s="19" t="inlineStr">
        <is>
          <t>53</t>
        </is>
      </c>
      <c r="G390" s="19" t="n"/>
      <c r="H390" s="19" t="inlineStr">
        <is>
          <t>2</t>
        </is>
      </c>
      <c r="I390" s="19" t="n"/>
      <c r="J390" s="19" t="n"/>
      <c r="K390" s="19" t="inlineStr">
        <is>
          <t>2</t>
        </is>
      </c>
      <c r="L390" t="inlineStr">
        <is>
          <t>2026-08-08</t>
        </is>
      </c>
      <c r="N390" t="inlineStr">
        <is>
          <t>IN_SCOPE_FINAL; SOURCE_CFG=IA-ST-CFG-0071; MARKET=START TRADING BULGARİSTAN; STATUS=IN OEM / EU PACKAGE</t>
        </is>
      </c>
      <c r="O390" t="inlineStr">
        <is>
          <t>2026-08-10T19:29:54Z</t>
        </is>
      </c>
      <c r="P390" t="inlineStr">
        <is>
          <t>2026-08-10T19:29:54Z</t>
        </is>
      </c>
    </row>
    <row r="391">
      <c r="A391" s="19" t="inlineStr">
        <is>
          <t>390</t>
        </is>
      </c>
      <c r="B391" s="19" t="inlineStr">
        <is>
          <t>SC-1013914-ST-036-EUR-07</t>
        </is>
      </c>
      <c r="C391" t="inlineStr">
        <is>
          <t>1013914 → ST-036-EUR-07</t>
        </is>
      </c>
      <c r="D391" s="19" t="inlineStr">
        <is>
          <t>2</t>
        </is>
      </c>
      <c r="E391" s="19" t="inlineStr">
        <is>
          <t>1131</t>
        </is>
      </c>
      <c r="F391" s="19" t="inlineStr">
        <is>
          <t>54</t>
        </is>
      </c>
      <c r="G391" s="19" t="n"/>
      <c r="H391" s="19" t="inlineStr">
        <is>
          <t>2</t>
        </is>
      </c>
      <c r="I391" s="19" t="n"/>
      <c r="J391" s="19" t="n"/>
      <c r="K391" s="19" t="inlineStr">
        <is>
          <t>2</t>
        </is>
      </c>
      <c r="L391" t="inlineStr">
        <is>
          <t>2026-08-08</t>
        </is>
      </c>
      <c r="N391" t="inlineStr">
        <is>
          <t>IN_SCOPE_FINAL; SOURCE_CFG=IA-ST-CFG-0072; MARKET=CAR PARTS DISTRIBUZIONE İTALYA; STATUS=IN OEM / EU PACKAGE</t>
        </is>
      </c>
      <c r="O391" t="inlineStr">
        <is>
          <t>2026-08-10T19:29:54Z</t>
        </is>
      </c>
      <c r="P391" t="inlineStr">
        <is>
          <t>2026-08-10T19:29:54Z</t>
        </is>
      </c>
    </row>
    <row r="392">
      <c r="A392" s="19" t="inlineStr">
        <is>
          <t>391</t>
        </is>
      </c>
      <c r="B392" s="19" t="inlineStr">
        <is>
          <t>SC-1013964-ST-036-EUR-07</t>
        </is>
      </c>
      <c r="C392" t="inlineStr">
        <is>
          <t>1013964 → ST-036-EUR-07</t>
        </is>
      </c>
      <c r="D392" s="19" t="inlineStr">
        <is>
          <t>2</t>
        </is>
      </c>
      <c r="E392" s="19" t="inlineStr">
        <is>
          <t>1144</t>
        </is>
      </c>
      <c r="F392" s="19" t="inlineStr">
        <is>
          <t>54</t>
        </is>
      </c>
      <c r="G392" s="19" t="n"/>
      <c r="H392" s="19" t="inlineStr">
        <is>
          <t>2</t>
        </is>
      </c>
      <c r="I392" s="19" t="n"/>
      <c r="J392" s="19" t="n"/>
      <c r="K392" s="19" t="inlineStr">
        <is>
          <t>2</t>
        </is>
      </c>
      <c r="L392" t="inlineStr">
        <is>
          <t>2026-08-08</t>
        </is>
      </c>
      <c r="N392" t="inlineStr">
        <is>
          <t>IN_SCOPE_FINAL; SOURCE_CFG=IA-ST-CFG-0072; MARKET=BATERIE PRZEMYSLOWE POLONYA; STATUS=IN OEM / EU PACKAGE</t>
        </is>
      </c>
      <c r="O392" t="inlineStr">
        <is>
          <t>2026-08-10T19:29:54Z</t>
        </is>
      </c>
      <c r="P392" t="inlineStr">
        <is>
          <t>2026-08-10T19:29:54Z</t>
        </is>
      </c>
    </row>
    <row r="393">
      <c r="A393" s="19" t="inlineStr">
        <is>
          <t>392</t>
        </is>
      </c>
      <c r="B393" s="19" t="inlineStr">
        <is>
          <t>SC-1014558-ST-036-EUR-07</t>
        </is>
      </c>
      <c r="C393" t="inlineStr">
        <is>
          <t>1014558 → ST-036-EUR-07</t>
        </is>
      </c>
      <c r="D393" s="19" t="inlineStr">
        <is>
          <t>2</t>
        </is>
      </c>
      <c r="E393" s="19" t="inlineStr">
        <is>
          <t>1447</t>
        </is>
      </c>
      <c r="F393" s="19" t="inlineStr">
        <is>
          <t>54</t>
        </is>
      </c>
      <c r="G393" s="19" t="n"/>
      <c r="H393" s="19" t="inlineStr">
        <is>
          <t>2</t>
        </is>
      </c>
      <c r="I393" s="19" t="n"/>
      <c r="J393" s="19" t="n"/>
      <c r="K393" s="19" t="inlineStr">
        <is>
          <t>2</t>
        </is>
      </c>
      <c r="L393" t="inlineStr">
        <is>
          <t>2026-08-08</t>
        </is>
      </c>
      <c r="N393" t="inlineStr">
        <is>
          <t>IN_SCOPE_FINAL; SOURCE_CFG=IA-ST-CFG-0072; MARKET=BATERIE PRZEMYSLOWE POLONYA; STATUS=IN OEM / EU PACKAGE</t>
        </is>
      </c>
      <c r="O393" t="inlineStr">
        <is>
          <t>2026-08-10T19:29:54Z</t>
        </is>
      </c>
      <c r="P393" t="inlineStr">
        <is>
          <t>2026-08-10T19:29:54Z</t>
        </is>
      </c>
    </row>
    <row r="394">
      <c r="A394" s="19" t="inlineStr">
        <is>
          <t>393</t>
        </is>
      </c>
      <c r="B394" s="19" t="inlineStr">
        <is>
          <t>SC-1015118-ST-036-EUR-07</t>
        </is>
      </c>
      <c r="C394" t="inlineStr">
        <is>
          <t>1015118 → ST-036-EUR-07</t>
        </is>
      </c>
      <c r="D394" s="19" t="inlineStr">
        <is>
          <t>2</t>
        </is>
      </c>
      <c r="E394" s="19" t="inlineStr">
        <is>
          <t>1871</t>
        </is>
      </c>
      <c r="F394" s="19" t="inlineStr">
        <is>
          <t>54</t>
        </is>
      </c>
      <c r="G394" s="19" t="n"/>
      <c r="H394" s="19" t="inlineStr">
        <is>
          <t>2</t>
        </is>
      </c>
      <c r="I394" s="19" t="n"/>
      <c r="J394" s="19" t="n"/>
      <c r="K394" s="19" t="inlineStr">
        <is>
          <t>2</t>
        </is>
      </c>
      <c r="L394" t="inlineStr">
        <is>
          <t>2026-08-08</t>
        </is>
      </c>
      <c r="N394" t="inlineStr">
        <is>
          <t>IN_SCOPE_FINAL; SOURCE_CFG=IA-ST-CFG-0072; MARKET=BATERIE PRZEMYSLOWE POLONYA; STATUS=IN OEM / EU PACKAGE</t>
        </is>
      </c>
      <c r="O394" t="inlineStr">
        <is>
          <t>2026-08-10T19:29:54Z</t>
        </is>
      </c>
      <c r="P394" t="inlineStr">
        <is>
          <t>2026-08-10T19:29:54Z</t>
        </is>
      </c>
    </row>
    <row r="395">
      <c r="A395" s="19" t="inlineStr">
        <is>
          <t>394</t>
        </is>
      </c>
      <c r="B395" s="19" t="inlineStr">
        <is>
          <t>SC-1014046-ST-036-EUR-07</t>
        </is>
      </c>
      <c r="C395" t="inlineStr">
        <is>
          <t>1014046 → ST-036-EUR-07</t>
        </is>
      </c>
      <c r="D395" s="19" t="inlineStr">
        <is>
          <t>2</t>
        </is>
      </c>
      <c r="E395" s="19" t="inlineStr">
        <is>
          <t>1195</t>
        </is>
      </c>
      <c r="F395" s="19" t="inlineStr">
        <is>
          <t>54</t>
        </is>
      </c>
      <c r="G395" s="19" t="n"/>
      <c r="H395" s="19" t="inlineStr">
        <is>
          <t>2</t>
        </is>
      </c>
      <c r="I395" s="19" t="n"/>
      <c r="J395" s="19" t="n"/>
      <c r="K395" s="19" t="inlineStr">
        <is>
          <t>2</t>
        </is>
      </c>
      <c r="L395" t="inlineStr">
        <is>
          <t>2026-08-08</t>
        </is>
      </c>
      <c r="N395" t="inlineStr">
        <is>
          <t>IN_SCOPE_FINAL; SOURCE_CFG=IA-ST-CFG-0072; MARKET=CARANDA ROMANYA; STATUS=IN OEM / EU PACKAGE</t>
        </is>
      </c>
      <c r="O395" t="inlineStr">
        <is>
          <t>2026-08-10T19:29:54Z</t>
        </is>
      </c>
      <c r="P395" t="inlineStr">
        <is>
          <t>2026-08-10T19:29:54Z</t>
        </is>
      </c>
    </row>
    <row r="396">
      <c r="A396" s="19" t="inlineStr">
        <is>
          <t>395</t>
        </is>
      </c>
      <c r="B396" s="19" t="inlineStr">
        <is>
          <t>SC-1014052-ST-036-EUR-07</t>
        </is>
      </c>
      <c r="C396" t="inlineStr">
        <is>
          <t>1014052 → ST-036-EUR-07</t>
        </is>
      </c>
      <c r="D396" s="19" t="inlineStr">
        <is>
          <t>2</t>
        </is>
      </c>
      <c r="E396" s="19" t="inlineStr">
        <is>
          <t>1200</t>
        </is>
      </c>
      <c r="F396" s="19" t="inlineStr">
        <is>
          <t>54</t>
        </is>
      </c>
      <c r="G396" s="19" t="n"/>
      <c r="H396" s="19" t="inlineStr">
        <is>
          <t>2</t>
        </is>
      </c>
      <c r="I396" s="19" t="n"/>
      <c r="J396" s="19" t="n"/>
      <c r="K396" s="19" t="inlineStr">
        <is>
          <t>2</t>
        </is>
      </c>
      <c r="L396" t="inlineStr">
        <is>
          <t>2026-08-08</t>
        </is>
      </c>
      <c r="N396" t="inlineStr">
        <is>
          <t>IN_SCOPE_FINAL; SOURCE_CFG=IA-ST-CFG-0072; MARKET=CARANDA ROMANYA; STATUS=IN OEM / EU PACKAGE</t>
        </is>
      </c>
      <c r="O396" t="inlineStr">
        <is>
          <t>2026-08-10T19:29:54Z</t>
        </is>
      </c>
      <c r="P396" t="inlineStr">
        <is>
          <t>2026-08-10T19:29:54Z</t>
        </is>
      </c>
    </row>
    <row r="397">
      <c r="A397" s="19" t="inlineStr">
        <is>
          <t>396</t>
        </is>
      </c>
      <c r="B397" s="19" t="inlineStr">
        <is>
          <t>SC-1014053-ST-036-EUR-07</t>
        </is>
      </c>
      <c r="C397" t="inlineStr">
        <is>
          <t>1014053 → ST-036-EUR-07</t>
        </is>
      </c>
      <c r="D397" s="19" t="inlineStr">
        <is>
          <t>2</t>
        </is>
      </c>
      <c r="E397" s="19" t="inlineStr">
        <is>
          <t>1201</t>
        </is>
      </c>
      <c r="F397" s="19" t="inlineStr">
        <is>
          <t>54</t>
        </is>
      </c>
      <c r="G397" s="19" t="n"/>
      <c r="H397" s="19" t="inlineStr">
        <is>
          <t>2</t>
        </is>
      </c>
      <c r="I397" s="19" t="n"/>
      <c r="J397" s="19" t="n"/>
      <c r="K397" s="19" t="inlineStr">
        <is>
          <t>2</t>
        </is>
      </c>
      <c r="L397" t="inlineStr">
        <is>
          <t>2026-08-08</t>
        </is>
      </c>
      <c r="N397" t="inlineStr">
        <is>
          <t>IN_SCOPE_FINAL; SOURCE_CFG=IA-ST-CFG-0072; MARKET=CARANDA ROMANYA; STATUS=IN OEM / EU PACKAGE</t>
        </is>
      </c>
      <c r="O397" t="inlineStr">
        <is>
          <t>2026-08-10T19:29:54Z</t>
        </is>
      </c>
      <c r="P397" t="inlineStr">
        <is>
          <t>2026-08-10T19:29:54Z</t>
        </is>
      </c>
    </row>
    <row r="398">
      <c r="A398" s="19" t="inlineStr">
        <is>
          <t>397</t>
        </is>
      </c>
      <c r="B398" s="19" t="inlineStr">
        <is>
          <t>SC-1012643-ST-042-STD-01</t>
        </is>
      </c>
      <c r="C398" t="inlineStr">
        <is>
          <t>1012643 → ST-042-STD-01</t>
        </is>
      </c>
      <c r="D398" s="19" t="inlineStr">
        <is>
          <t>2</t>
        </is>
      </c>
      <c r="E398" s="19" t="inlineStr">
        <is>
          <t>729</t>
        </is>
      </c>
      <c r="F398" s="19" t="inlineStr">
        <is>
          <t>62</t>
        </is>
      </c>
      <c r="G398" s="19" t="n"/>
      <c r="H398" s="19" t="inlineStr">
        <is>
          <t>2</t>
        </is>
      </c>
      <c r="I398" s="19" t="n"/>
      <c r="J398" s="19" t="n"/>
      <c r="K398" s="19" t="inlineStr">
        <is>
          <t>2</t>
        </is>
      </c>
      <c r="L398" t="inlineStr">
        <is>
          <t>2026-08-08</t>
        </is>
      </c>
      <c r="N398" t="inlineStr">
        <is>
          <t>IN_SCOPE_FINAL; SOURCE_CFG=IA-ST-CFG-0075; MARKET=YUASA 3000 EXPORT; STATUS=IN OEM / EU PACKAGE</t>
        </is>
      </c>
      <c r="O398" t="inlineStr">
        <is>
          <t>2026-08-10T19:29:54Z</t>
        </is>
      </c>
      <c r="P398" t="inlineStr">
        <is>
          <t>2026-08-10T19:29:54Z</t>
        </is>
      </c>
    </row>
    <row r="399">
      <c r="A399" s="19" t="inlineStr">
        <is>
          <t>398</t>
        </is>
      </c>
      <c r="B399" s="19" t="inlineStr">
        <is>
          <t>SC-1013993-ST-042-STD-02</t>
        </is>
      </c>
      <c r="C399" t="inlineStr">
        <is>
          <t>1013993 → ST-042-STD-02</t>
        </is>
      </c>
      <c r="D399" s="19" t="inlineStr">
        <is>
          <t>2</t>
        </is>
      </c>
      <c r="E399" s="19" t="inlineStr">
        <is>
          <t>1164</t>
        </is>
      </c>
      <c r="F399" s="19" t="inlineStr">
        <is>
          <t>63</t>
        </is>
      </c>
      <c r="G399" s="19" t="n"/>
      <c r="H399" s="19" t="inlineStr">
        <is>
          <t>2</t>
        </is>
      </c>
      <c r="I399" s="19" t="n"/>
      <c r="J399" s="19" t="n"/>
      <c r="K399" s="19" t="inlineStr">
        <is>
          <t>2</t>
        </is>
      </c>
      <c r="L399" t="inlineStr">
        <is>
          <t>2026-08-08</t>
        </is>
      </c>
      <c r="N399" t="inlineStr">
        <is>
          <t>IN_SCOPE_FINAL; SOURCE_CFG=IA-ST-CFG-0076; MARKET=YURT İÇİ AFM; STATUS=IN OEM / EU PACKAGE</t>
        </is>
      </c>
      <c r="O399" t="inlineStr">
        <is>
          <t>2026-08-10T19:29:54Z</t>
        </is>
      </c>
      <c r="P399" t="inlineStr">
        <is>
          <t>2026-08-10T19:29:54Z</t>
        </is>
      </c>
    </row>
    <row r="400">
      <c r="A400" s="19" t="inlineStr">
        <is>
          <t>399</t>
        </is>
      </c>
      <c r="B400" s="19" t="inlineStr">
        <is>
          <t>SC-1014927-ST-042-EUR-01</t>
        </is>
      </c>
      <c r="C400" t="inlineStr">
        <is>
          <t>1014927 → ST-042-EUR-01</t>
        </is>
      </c>
      <c r="D400" s="19" t="inlineStr">
        <is>
          <t>2</t>
        </is>
      </c>
      <c r="E400" s="19" t="inlineStr">
        <is>
          <t>1695</t>
        </is>
      </c>
      <c r="F400" s="19" t="inlineStr">
        <is>
          <t>58</t>
        </is>
      </c>
      <c r="G400" s="19" t="n"/>
      <c r="H400" s="19" t="inlineStr">
        <is>
          <t>2</t>
        </is>
      </c>
      <c r="I400" s="19" t="n"/>
      <c r="J400" s="19" t="n"/>
      <c r="K400" s="19" t="inlineStr">
        <is>
          <t>2</t>
        </is>
      </c>
      <c r="L400" t="inlineStr">
        <is>
          <t>2026-08-08</t>
        </is>
      </c>
      <c r="N400" t="inlineStr">
        <is>
          <t>IN_SCOPE_FINAL; SOURCE_CFG=IA-ST-CFG-0077; MARKET=YUASA 3000 EXPORT; STATUS=IN OEM / EU PACKAGE</t>
        </is>
      </c>
      <c r="O400" t="inlineStr">
        <is>
          <t>2026-08-10T19:29:54Z</t>
        </is>
      </c>
      <c r="P400" t="inlineStr">
        <is>
          <t>2026-08-10T19:29:54Z</t>
        </is>
      </c>
    </row>
    <row r="401">
      <c r="A401" s="19" t="inlineStr">
        <is>
          <t>400</t>
        </is>
      </c>
      <c r="B401" s="19" t="inlineStr">
        <is>
          <t>SC-1014312-ST-042-STD-03</t>
        </is>
      </c>
      <c r="C401" t="inlineStr">
        <is>
          <t>1014312 → ST-042-STD-03</t>
        </is>
      </c>
      <c r="D401" s="19" t="inlineStr">
        <is>
          <t>2</t>
        </is>
      </c>
      <c r="E401" s="19" t="inlineStr">
        <is>
          <t>1299</t>
        </is>
      </c>
      <c r="F401" s="19" t="inlineStr">
        <is>
          <t>64</t>
        </is>
      </c>
      <c r="G401" s="19" t="n"/>
      <c r="H401" s="19" t="inlineStr">
        <is>
          <t>2</t>
        </is>
      </c>
      <c r="I401" s="19" t="n"/>
      <c r="J401" s="19" t="n"/>
      <c r="K401" s="19" t="inlineStr">
        <is>
          <t>2</t>
        </is>
      </c>
      <c r="L401" t="inlineStr">
        <is>
          <t>2026-08-08</t>
        </is>
      </c>
      <c r="N401" t="inlineStr">
        <is>
          <t>IN_SCOPE_FINAL; SOURCE_CFG=IA-ST-CFG-0078; MARKET=YUASA 9000 AGM EXPORT; STATUS=IN OEM / EU PACKAGE</t>
        </is>
      </c>
      <c r="O401" t="inlineStr">
        <is>
          <t>2026-08-10T19:29:54Z</t>
        </is>
      </c>
      <c r="P401" t="inlineStr">
        <is>
          <t>2026-08-10T19:29:54Z</t>
        </is>
      </c>
    </row>
    <row r="402">
      <c r="A402" s="19" t="inlineStr">
        <is>
          <t>401</t>
        </is>
      </c>
      <c r="B402" s="19" t="inlineStr">
        <is>
          <t>SC-1014933-ST-042-STD-04</t>
        </is>
      </c>
      <c r="C402" t="inlineStr">
        <is>
          <t>1014933 → ST-042-STD-04</t>
        </is>
      </c>
      <c r="D402" s="19" t="inlineStr">
        <is>
          <t>2</t>
        </is>
      </c>
      <c r="E402" s="19" t="inlineStr">
        <is>
          <t>1701</t>
        </is>
      </c>
      <c r="F402" s="19" t="inlineStr">
        <is>
          <t>65</t>
        </is>
      </c>
      <c r="G402" s="19" t="n"/>
      <c r="H402" s="19" t="inlineStr">
        <is>
          <t>2</t>
        </is>
      </c>
      <c r="I402" s="19" t="n"/>
      <c r="J402" s="19" t="n"/>
      <c r="K402" s="19" t="inlineStr">
        <is>
          <t>2</t>
        </is>
      </c>
      <c r="L402" t="inlineStr">
        <is>
          <t>2026-08-08</t>
        </is>
      </c>
      <c r="N402" t="inlineStr">
        <is>
          <t>IN_SCOPE_FINAL; SOURCE_CFG=IA-ST-CFG-0079; MARKET=MISIR NACITA; STATUS=IN OEM / EU PACKAGE</t>
        </is>
      </c>
      <c r="O402" t="inlineStr">
        <is>
          <t>2026-08-10T19:29:54Z</t>
        </is>
      </c>
      <c r="P402" t="inlineStr">
        <is>
          <t>2026-08-10T19:29:54Z</t>
        </is>
      </c>
    </row>
    <row r="403">
      <c r="A403" s="19" t="inlineStr">
        <is>
          <t>402</t>
        </is>
      </c>
      <c r="B403" s="19" t="inlineStr">
        <is>
          <t>SC-1009888-ST-042-STD-05</t>
        </is>
      </c>
      <c r="C403" t="inlineStr">
        <is>
          <t>1009888 → ST-042-STD-05</t>
        </is>
      </c>
      <c r="D403" s="19" t="inlineStr">
        <is>
          <t>2</t>
        </is>
      </c>
      <c r="E403" s="19" t="inlineStr">
        <is>
          <t>121</t>
        </is>
      </c>
      <c r="F403" s="19" t="inlineStr">
        <is>
          <t>66</t>
        </is>
      </c>
      <c r="G403" s="19" t="n"/>
      <c r="H403" s="19" t="inlineStr">
        <is>
          <t>2</t>
        </is>
      </c>
      <c r="I403" s="19" t="n"/>
      <c r="J403" s="19" t="n"/>
      <c r="K403" s="19" t="inlineStr">
        <is>
          <t>2</t>
        </is>
      </c>
      <c r="L403" t="inlineStr">
        <is>
          <t>2026-08-08</t>
        </is>
      </c>
      <c r="N403" t="inlineStr">
        <is>
          <t>IN_SCOPE_FINAL; SOURCE_CFG=IA-ST-CFG-0080; MARKET=CELLMAX; STATUS=IN OEM / EU PACKAGE</t>
        </is>
      </c>
      <c r="O403" t="inlineStr">
        <is>
          <t>2026-08-10T19:29:54Z</t>
        </is>
      </c>
      <c r="P403" t="inlineStr">
        <is>
          <t>2026-08-10T19:29:54Z</t>
        </is>
      </c>
    </row>
    <row r="404">
      <c r="A404" s="19" t="inlineStr">
        <is>
          <t>403</t>
        </is>
      </c>
      <c r="B404" s="19" t="inlineStr">
        <is>
          <t>SC-1013616-ST-042-STD-05</t>
        </is>
      </c>
      <c r="C404" t="inlineStr">
        <is>
          <t>1013616 → ST-042-STD-05</t>
        </is>
      </c>
      <c r="D404" s="19" t="inlineStr">
        <is>
          <t>2</t>
        </is>
      </c>
      <c r="E404" s="19" t="inlineStr">
        <is>
          <t>1043</t>
        </is>
      </c>
      <c r="F404" s="19" t="inlineStr">
        <is>
          <t>66</t>
        </is>
      </c>
      <c r="G404" s="19" t="n"/>
      <c r="H404" s="19" t="inlineStr">
        <is>
          <t>2</t>
        </is>
      </c>
      <c r="I404" s="19" t="n"/>
      <c r="J404" s="19" t="n"/>
      <c r="K404" s="19" t="inlineStr">
        <is>
          <t>2</t>
        </is>
      </c>
      <c r="L404" t="inlineStr">
        <is>
          <t>2026-08-08</t>
        </is>
      </c>
      <c r="N404" t="inlineStr">
        <is>
          <t>IN_SCOPE_FINAL; SOURCE_CFG=IA-ST-CFG-0080; MARKET=None; STATUS=IN OEM / EU PACKAGE</t>
        </is>
      </c>
      <c r="O404" t="inlineStr">
        <is>
          <t>2026-08-10T19:29:54Z</t>
        </is>
      </c>
      <c r="P404" t="inlineStr">
        <is>
          <t>2026-08-10T19:29:54Z</t>
        </is>
      </c>
    </row>
    <row r="405">
      <c r="A405" s="19" t="inlineStr">
        <is>
          <t>404</t>
        </is>
      </c>
      <c r="B405" s="19" t="inlineStr">
        <is>
          <t>SC-1014130-ST-042-STD-05</t>
        </is>
      </c>
      <c r="C405" t="inlineStr">
        <is>
          <t>1014130 → ST-042-STD-05</t>
        </is>
      </c>
      <c r="D405" s="19" t="inlineStr">
        <is>
          <t>2</t>
        </is>
      </c>
      <c r="E405" s="19" t="inlineStr">
        <is>
          <t>1227</t>
        </is>
      </c>
      <c r="F405" s="19" t="inlineStr">
        <is>
          <t>66</t>
        </is>
      </c>
      <c r="G405" s="19" t="n"/>
      <c r="H405" s="19" t="inlineStr">
        <is>
          <t>2</t>
        </is>
      </c>
      <c r="I405" s="19" t="n"/>
      <c r="J405" s="19" t="n"/>
      <c r="K405" s="19" t="inlineStr">
        <is>
          <t>2</t>
        </is>
      </c>
      <c r="L405" t="inlineStr">
        <is>
          <t>2026-08-08</t>
        </is>
      </c>
      <c r="N405" t="inlineStr">
        <is>
          <t>IN_SCOPE_FINAL; SOURCE_CFG=IA-ST-CFG-0080; MARKET=None; STATUS=IN OEM / EU PACKAGE</t>
        </is>
      </c>
      <c r="O405" t="inlineStr">
        <is>
          <t>2026-08-10T19:29:54Z</t>
        </is>
      </c>
      <c r="P405" t="inlineStr">
        <is>
          <t>2026-08-10T19:29:54Z</t>
        </is>
      </c>
    </row>
    <row r="406">
      <c r="A406" s="19" t="inlineStr">
        <is>
          <t>405</t>
        </is>
      </c>
      <c r="B406" s="19" t="inlineStr">
        <is>
          <t>SC-1012786-ST-042-STD-05</t>
        </is>
      </c>
      <c r="C406" t="inlineStr">
        <is>
          <t>1012786 → ST-042-STD-05</t>
        </is>
      </c>
      <c r="D406" s="19" t="inlineStr">
        <is>
          <t>2</t>
        </is>
      </c>
      <c r="E406" s="19" t="inlineStr">
        <is>
          <t>786</t>
        </is>
      </c>
      <c r="F406" s="19" t="inlineStr">
        <is>
          <t>66</t>
        </is>
      </c>
      <c r="G406" s="19" t="n"/>
      <c r="H406" s="19" t="inlineStr">
        <is>
          <t>2</t>
        </is>
      </c>
      <c r="I406" s="19" t="n"/>
      <c r="J406" s="19" t="n"/>
      <c r="K406" s="19" t="inlineStr">
        <is>
          <t>2</t>
        </is>
      </c>
      <c r="L406" t="inlineStr">
        <is>
          <t>2026-08-08</t>
        </is>
      </c>
      <c r="N406" t="inlineStr">
        <is>
          <t>IN_SCOPE_FINAL; SOURCE_CFG=IA-ST-CFG-0080; MARKET=None; STATUS=IN OEM / EU PACKAGE</t>
        </is>
      </c>
      <c r="O406" t="inlineStr">
        <is>
          <t>2026-08-10T19:29:54Z</t>
        </is>
      </c>
      <c r="P406" t="inlineStr">
        <is>
          <t>2026-08-10T19:29:54Z</t>
        </is>
      </c>
    </row>
    <row r="407">
      <c r="A407" s="19" t="inlineStr">
        <is>
          <t>406</t>
        </is>
      </c>
      <c r="B407" s="19" t="inlineStr">
        <is>
          <t>SC-1014959-ST-042-STD-05</t>
        </is>
      </c>
      <c r="C407" t="inlineStr">
        <is>
          <t>1014959 → ST-042-STD-05</t>
        </is>
      </c>
      <c r="D407" s="19" t="inlineStr">
        <is>
          <t>2</t>
        </is>
      </c>
      <c r="E407" s="19" t="inlineStr">
        <is>
          <t>1725</t>
        </is>
      </c>
      <c r="F407" s="19" t="inlineStr">
        <is>
          <t>66</t>
        </is>
      </c>
      <c r="G407" s="19" t="n"/>
      <c r="H407" s="19" t="inlineStr">
        <is>
          <t>2</t>
        </is>
      </c>
      <c r="I407" s="19" t="n"/>
      <c r="J407" s="19" t="n"/>
      <c r="K407" s="19" t="inlineStr">
        <is>
          <t>2</t>
        </is>
      </c>
      <c r="L407" t="inlineStr">
        <is>
          <t>2026-08-08</t>
        </is>
      </c>
      <c r="N407" t="inlineStr">
        <is>
          <t>IN_SCOPE_FINAL; SOURCE_CFG=IA-ST-CFG-0080; MARKET=SHAWKAT; STATUS=IN OEM / EU PACKAGE</t>
        </is>
      </c>
      <c r="O407" t="inlineStr">
        <is>
          <t>2026-08-10T19:29:54Z</t>
        </is>
      </c>
      <c r="P407" t="inlineStr">
        <is>
          <t>2026-08-10T19:29:54Z</t>
        </is>
      </c>
    </row>
    <row r="408">
      <c r="A408" s="19" t="inlineStr">
        <is>
          <t>407</t>
        </is>
      </c>
      <c r="B408" s="19" t="inlineStr">
        <is>
          <t>SC-1014988-ST-042-STD-05</t>
        </is>
      </c>
      <c r="C408" t="inlineStr">
        <is>
          <t>1014988 → ST-042-STD-05</t>
        </is>
      </c>
      <c r="D408" s="19" t="inlineStr">
        <is>
          <t>2</t>
        </is>
      </c>
      <c r="E408" s="19" t="inlineStr">
        <is>
          <t>1749</t>
        </is>
      </c>
      <c r="F408" s="19" t="inlineStr">
        <is>
          <t>66</t>
        </is>
      </c>
      <c r="G408" s="19" t="n"/>
      <c r="H408" s="19" t="inlineStr">
        <is>
          <t>2</t>
        </is>
      </c>
      <c r="I408" s="19" t="n"/>
      <c r="J408" s="19" t="n"/>
      <c r="K408" s="19" t="inlineStr">
        <is>
          <t>2</t>
        </is>
      </c>
      <c r="L408" t="inlineStr">
        <is>
          <t>2026-08-08</t>
        </is>
      </c>
      <c r="N408" t="inlineStr">
        <is>
          <t>IN_SCOPE_FINAL; SOURCE_CFG=IA-ST-CFG-0080; MARKET=MISIR ALSAFA; STATUS=IN OEM / EU PACKAGE</t>
        </is>
      </c>
      <c r="O408" t="inlineStr">
        <is>
          <t>2026-08-10T19:29:54Z</t>
        </is>
      </c>
      <c r="P408" t="inlineStr">
        <is>
          <t>2026-08-10T19:29:54Z</t>
        </is>
      </c>
    </row>
    <row r="409">
      <c r="A409" s="19" t="inlineStr">
        <is>
          <t>408</t>
        </is>
      </c>
      <c r="B409" s="19" t="inlineStr">
        <is>
          <t>SC-1014551-ST-042-STD-05</t>
        </is>
      </c>
      <c r="C409" t="inlineStr">
        <is>
          <t>1014551 → ST-042-STD-05</t>
        </is>
      </c>
      <c r="D409" s="19" t="inlineStr">
        <is>
          <t>2</t>
        </is>
      </c>
      <c r="E409" s="19" t="inlineStr">
        <is>
          <t>1440</t>
        </is>
      </c>
      <c r="F409" s="19" t="inlineStr">
        <is>
          <t>66</t>
        </is>
      </c>
      <c r="G409" s="19" t="n"/>
      <c r="H409" s="19" t="inlineStr">
        <is>
          <t>2</t>
        </is>
      </c>
      <c r="I409" s="19" t="n"/>
      <c r="J409" s="19" t="n"/>
      <c r="K409" s="19" t="inlineStr">
        <is>
          <t>2</t>
        </is>
      </c>
      <c r="L409" t="inlineStr">
        <is>
          <t>2026-08-08</t>
        </is>
      </c>
      <c r="N409" t="inlineStr">
        <is>
          <t>IN_SCOPE_FINAL; SOURCE_CFG=IA-ST-CFG-0080; MARKET=MISIR NACITA; STATUS=IN OEM / EU PACKAGE</t>
        </is>
      </c>
      <c r="O409" t="inlineStr">
        <is>
          <t>2026-08-10T19:29:54Z</t>
        </is>
      </c>
      <c r="P409" t="inlineStr">
        <is>
          <t>2026-08-10T19:29:54Z</t>
        </is>
      </c>
    </row>
    <row r="410">
      <c r="A410" s="19" t="inlineStr">
        <is>
          <t>409</t>
        </is>
      </c>
      <c r="B410" s="19" t="inlineStr">
        <is>
          <t>SC-1015289-ST-042-STD-05</t>
        </is>
      </c>
      <c r="C410" t="inlineStr">
        <is>
          <t>1015289 → ST-042-STD-05</t>
        </is>
      </c>
      <c r="D410" s="19" t="inlineStr">
        <is>
          <t>2</t>
        </is>
      </c>
      <c r="E410" s="19" t="inlineStr">
        <is>
          <t>2022</t>
        </is>
      </c>
      <c r="F410" s="19" t="inlineStr">
        <is>
          <t>66</t>
        </is>
      </c>
      <c r="G410" s="19" t="n"/>
      <c r="H410" s="19" t="inlineStr">
        <is>
          <t>2</t>
        </is>
      </c>
      <c r="I410" s="19" t="n"/>
      <c r="J410" s="19" t="n"/>
      <c r="K410" s="19" t="inlineStr">
        <is>
          <t>2</t>
        </is>
      </c>
      <c r="L410" t="inlineStr">
        <is>
          <t>2026-08-08</t>
        </is>
      </c>
      <c r="N410" t="inlineStr">
        <is>
          <t>IN_SCOPE_FINAL; SOURCE_CFG=IA-ST-CFG-0080; MARKET=None; STATUS=IN OEM / EU PACKAGE</t>
        </is>
      </c>
      <c r="O410" t="inlineStr">
        <is>
          <t>2026-08-10T19:29:54Z</t>
        </is>
      </c>
      <c r="P410" t="inlineStr">
        <is>
          <t>2026-08-10T19:29:54Z</t>
        </is>
      </c>
    </row>
    <row r="411">
      <c r="A411" s="19" t="inlineStr">
        <is>
          <t>410</t>
        </is>
      </c>
      <c r="B411" s="19" t="inlineStr">
        <is>
          <t>SC-1015071-ST-042-STD-05</t>
        </is>
      </c>
      <c r="C411" t="inlineStr">
        <is>
          <t>1015071 → ST-042-STD-05</t>
        </is>
      </c>
      <c r="D411" s="19" t="inlineStr">
        <is>
          <t>2</t>
        </is>
      </c>
      <c r="E411" s="19" t="inlineStr">
        <is>
          <t>1829</t>
        </is>
      </c>
      <c r="F411" s="19" t="inlineStr">
        <is>
          <t>66</t>
        </is>
      </c>
      <c r="G411" s="19" t="n"/>
      <c r="H411" s="19" t="inlineStr">
        <is>
          <t>2</t>
        </is>
      </c>
      <c r="I411" s="19" t="n"/>
      <c r="J411" s="19" t="n"/>
      <c r="K411" s="19" t="inlineStr">
        <is>
          <t>2</t>
        </is>
      </c>
      <c r="L411" t="inlineStr">
        <is>
          <t>2026-08-08</t>
        </is>
      </c>
      <c r="N411" t="inlineStr">
        <is>
          <t>IN_SCOPE_FINAL; SOURCE_CFG=IA-ST-CFG-0080; MARKET=RAYA ENERGY INC. KANADA; STATUS=IN OEM / EU PACKAGE</t>
        </is>
      </c>
      <c r="O411" t="inlineStr">
        <is>
          <t>2026-08-10T19:29:54Z</t>
        </is>
      </c>
      <c r="P411" t="inlineStr">
        <is>
          <t>2026-08-10T19:29:54Z</t>
        </is>
      </c>
    </row>
    <row r="412">
      <c r="A412" s="19" t="inlineStr">
        <is>
          <t>411</t>
        </is>
      </c>
      <c r="B412" s="19" t="inlineStr">
        <is>
          <t>SC-1014175-ST-042-STD-05</t>
        </is>
      </c>
      <c r="C412" t="inlineStr">
        <is>
          <t>1014175 → ST-042-STD-05</t>
        </is>
      </c>
      <c r="D412" s="19" t="inlineStr">
        <is>
          <t>2</t>
        </is>
      </c>
      <c r="E412" s="19" t="inlineStr">
        <is>
          <t>1254</t>
        </is>
      </c>
      <c r="F412" s="19" t="inlineStr">
        <is>
          <t>66</t>
        </is>
      </c>
      <c r="G412" s="19" t="n"/>
      <c r="H412" s="19" t="inlineStr">
        <is>
          <t>2</t>
        </is>
      </c>
      <c r="I412" s="19" t="n"/>
      <c r="J412" s="19" t="n"/>
      <c r="K412" s="19" t="inlineStr">
        <is>
          <t>2</t>
        </is>
      </c>
      <c r="L412" t="inlineStr">
        <is>
          <t>2026-08-08</t>
        </is>
      </c>
      <c r="N412" t="inlineStr">
        <is>
          <t>IN_SCOPE_FINAL; SOURCE_CFG=IA-ST-CFG-0080; MARKET=MISIR ATWAN; STATUS=IN OEM / EU PACKAGE</t>
        </is>
      </c>
      <c r="O412" t="inlineStr">
        <is>
          <t>2026-08-10T19:29:54Z</t>
        </is>
      </c>
      <c r="P412" t="inlineStr">
        <is>
          <t>2026-08-10T19:29:54Z</t>
        </is>
      </c>
    </row>
    <row r="413">
      <c r="A413" s="19" t="inlineStr">
        <is>
          <t>412</t>
        </is>
      </c>
      <c r="B413" s="19" t="inlineStr">
        <is>
          <t>SC-1014192-ST-042-STD-05</t>
        </is>
      </c>
      <c r="C413" t="inlineStr">
        <is>
          <t>1014192 → ST-042-STD-05</t>
        </is>
      </c>
      <c r="D413" s="19" t="inlineStr">
        <is>
          <t>2</t>
        </is>
      </c>
      <c r="E413" s="19" t="inlineStr">
        <is>
          <t>1261</t>
        </is>
      </c>
      <c r="F413" s="19" t="inlineStr">
        <is>
          <t>66</t>
        </is>
      </c>
      <c r="G413" s="19" t="n"/>
      <c r="H413" s="19" t="inlineStr">
        <is>
          <t>2</t>
        </is>
      </c>
      <c r="I413" s="19" t="n"/>
      <c r="J413" s="19" t="n"/>
      <c r="K413" s="19" t="inlineStr">
        <is>
          <t>2</t>
        </is>
      </c>
      <c r="L413" t="inlineStr">
        <is>
          <t>2026-08-08</t>
        </is>
      </c>
      <c r="N413" t="inlineStr">
        <is>
          <t>IN_SCOPE_FINAL; SOURCE_CFG=IA-ST-CFG-0080; MARKET=None; STATUS=IN OEM / EU PACKAGE</t>
        </is>
      </c>
      <c r="O413" t="inlineStr">
        <is>
          <t>2026-08-10T19:29:54Z</t>
        </is>
      </c>
      <c r="P413" t="inlineStr">
        <is>
          <t>2026-08-10T19:29:54Z</t>
        </is>
      </c>
    </row>
    <row r="414">
      <c r="A414" s="19" t="inlineStr">
        <is>
          <t>413</t>
        </is>
      </c>
      <c r="B414" s="19" t="inlineStr">
        <is>
          <t>SC-1013777-ST-042-STD-06</t>
        </is>
      </c>
      <c r="C414" t="inlineStr">
        <is>
          <t>1013777 → ST-042-STD-06</t>
        </is>
      </c>
      <c r="D414" s="19" t="inlineStr">
        <is>
          <t>2</t>
        </is>
      </c>
      <c r="E414" s="19" t="inlineStr">
        <is>
          <t>1096</t>
        </is>
      </c>
      <c r="F414" s="19" t="inlineStr">
        <is>
          <t>67</t>
        </is>
      </c>
      <c r="G414" s="19" t="n"/>
      <c r="H414" s="19" t="inlineStr">
        <is>
          <t>2</t>
        </is>
      </c>
      <c r="I414" s="19" t="n"/>
      <c r="J414" s="19" t="n"/>
      <c r="K414" s="19" t="inlineStr">
        <is>
          <t>2</t>
        </is>
      </c>
      <c r="L414" t="inlineStr">
        <is>
          <t>2026-08-08</t>
        </is>
      </c>
      <c r="N414" t="inlineStr">
        <is>
          <t>IN_SCOPE_FINAL; SOURCE_CFG=IA-ST-CFG-0081; MARKET=YURT İÇİ AFM; STATUS=IN OEM / EU PACKAGE</t>
        </is>
      </c>
      <c r="O414" t="inlineStr">
        <is>
          <t>2026-08-10T19:29:54Z</t>
        </is>
      </c>
      <c r="P414" t="inlineStr">
        <is>
          <t>2026-08-10T19:29:54Z</t>
        </is>
      </c>
    </row>
    <row r="415">
      <c r="A415" s="19" t="inlineStr">
        <is>
          <t>414</t>
        </is>
      </c>
      <c r="B415" s="19" t="inlineStr">
        <is>
          <t>SC-1014165-ST-042-STD-06</t>
        </is>
      </c>
      <c r="C415" t="inlineStr">
        <is>
          <t>1014165 → ST-042-STD-06</t>
        </is>
      </c>
      <c r="D415" s="19" t="inlineStr">
        <is>
          <t>2</t>
        </is>
      </c>
      <c r="E415" s="19" t="inlineStr">
        <is>
          <t>1248</t>
        </is>
      </c>
      <c r="F415" s="19" t="inlineStr">
        <is>
          <t>67</t>
        </is>
      </c>
      <c r="G415" s="19" t="n"/>
      <c r="H415" s="19" t="inlineStr">
        <is>
          <t>2</t>
        </is>
      </c>
      <c r="I415" s="19" t="n"/>
      <c r="J415" s="19" t="n"/>
      <c r="K415" s="19" t="inlineStr">
        <is>
          <t>2</t>
        </is>
      </c>
      <c r="L415" t="inlineStr">
        <is>
          <t>2026-08-08</t>
        </is>
      </c>
      <c r="N415" t="inlineStr">
        <is>
          <t>IN_SCOPE_FINAL; SOURCE_CFG=IA-ST-CFG-0081; MARKET=YURT İÇİ AFM; STATUS=IN OEM / EU PACKAGE</t>
        </is>
      </c>
      <c r="O415" t="inlineStr">
        <is>
          <t>2026-08-10T19:29:54Z</t>
        </is>
      </c>
      <c r="P415" t="inlineStr">
        <is>
          <t>2026-08-10T19:29:54Z</t>
        </is>
      </c>
    </row>
    <row r="416">
      <c r="A416" s="19" t="inlineStr">
        <is>
          <t>415</t>
        </is>
      </c>
      <c r="B416" s="19" t="inlineStr">
        <is>
          <t>SC-1014924-ST-042-STD-06</t>
        </is>
      </c>
      <c r="C416" t="inlineStr">
        <is>
          <t>1014924 → ST-042-STD-06</t>
        </is>
      </c>
      <c r="D416" s="19" t="inlineStr">
        <is>
          <t>2</t>
        </is>
      </c>
      <c r="E416" s="19" t="inlineStr">
        <is>
          <t>1692</t>
        </is>
      </c>
      <c r="F416" s="19" t="inlineStr">
        <is>
          <t>67</t>
        </is>
      </c>
      <c r="G416" s="19" t="n"/>
      <c r="H416" s="19" t="inlineStr">
        <is>
          <t>2</t>
        </is>
      </c>
      <c r="I416" s="19" t="n"/>
      <c r="J416" s="19" t="n"/>
      <c r="K416" s="19" t="inlineStr">
        <is>
          <t>2</t>
        </is>
      </c>
      <c r="L416" t="inlineStr">
        <is>
          <t>2026-08-08</t>
        </is>
      </c>
      <c r="N416" t="inlineStr">
        <is>
          <t>IN_SCOPE_FINAL; SOURCE_CFG=IA-ST-CFG-0081; MARKET=YURT İÇİ AFM; STATUS=IN OEM / EU PACKAGE</t>
        </is>
      </c>
      <c r="O416" t="inlineStr">
        <is>
          <t>2026-08-10T19:29:54Z</t>
        </is>
      </c>
      <c r="P416" t="inlineStr">
        <is>
          <t>2026-08-10T19:29:54Z</t>
        </is>
      </c>
    </row>
    <row r="417">
      <c r="A417" s="19" t="inlineStr">
        <is>
          <t>416</t>
        </is>
      </c>
      <c r="B417" s="19" t="inlineStr">
        <is>
          <t>SC-1010228-ST-042-STD-06</t>
        </is>
      </c>
      <c r="C417" t="inlineStr">
        <is>
          <t>1010228 → ST-042-STD-06</t>
        </is>
      </c>
      <c r="D417" s="19" t="inlineStr">
        <is>
          <t>2</t>
        </is>
      </c>
      <c r="E417" s="19" t="inlineStr">
        <is>
          <t>181</t>
        </is>
      </c>
      <c r="F417" s="19" t="inlineStr">
        <is>
          <t>67</t>
        </is>
      </c>
      <c r="G417" s="19" t="n"/>
      <c r="H417" s="19" t="inlineStr">
        <is>
          <t>2</t>
        </is>
      </c>
      <c r="I417" s="19" t="n"/>
      <c r="J417" s="19" t="n"/>
      <c r="K417" s="19" t="inlineStr">
        <is>
          <t>2</t>
        </is>
      </c>
      <c r="L417" t="inlineStr">
        <is>
          <t>2026-08-08</t>
        </is>
      </c>
      <c r="N417" t="inlineStr">
        <is>
          <t>IN_SCOPE_FINAL; SOURCE_CFG=IA-ST-CFG-0081; MARKET=YURT İÇİ AFM; STATUS=IN OEM / EU PACKAGE</t>
        </is>
      </c>
      <c r="O417" t="inlineStr">
        <is>
          <t>2026-08-10T19:29:54Z</t>
        </is>
      </c>
      <c r="P417" t="inlineStr">
        <is>
          <t>2026-08-10T19:29:54Z</t>
        </is>
      </c>
    </row>
    <row r="418">
      <c r="A418" s="19" t="inlineStr">
        <is>
          <t>417</t>
        </is>
      </c>
      <c r="B418" s="19" t="inlineStr">
        <is>
          <t>SC-1013487-ST-042-STD-06</t>
        </is>
      </c>
      <c r="C418" t="inlineStr">
        <is>
          <t>1013487 → ST-042-STD-06</t>
        </is>
      </c>
      <c r="D418" s="19" t="inlineStr">
        <is>
          <t>2</t>
        </is>
      </c>
      <c r="E418" s="19" t="inlineStr">
        <is>
          <t>1017</t>
        </is>
      </c>
      <c r="F418" s="19" t="inlineStr">
        <is>
          <t>67</t>
        </is>
      </c>
      <c r="G418" s="19" t="n"/>
      <c r="H418" s="19" t="inlineStr">
        <is>
          <t>2</t>
        </is>
      </c>
      <c r="I418" s="19" t="n"/>
      <c r="J418" s="19" t="n"/>
      <c r="K418" s="19" t="inlineStr">
        <is>
          <t>2</t>
        </is>
      </c>
      <c r="L418" t="inlineStr">
        <is>
          <t>2026-08-08</t>
        </is>
      </c>
      <c r="N418" t="inlineStr">
        <is>
          <t>IN_SCOPE_FINAL; SOURCE_CFG=IA-ST-CFG-0081; MARKET=MECALAC OEM İZMİR (Yurt İçi); STATUS=IN OEM / EU PACKAGE</t>
        </is>
      </c>
      <c r="O418" t="inlineStr">
        <is>
          <t>2026-08-10T19:29:54Z</t>
        </is>
      </c>
      <c r="P418" t="inlineStr">
        <is>
          <t>2026-08-10T19:29:54Z</t>
        </is>
      </c>
    </row>
    <row r="419">
      <c r="A419" s="19" t="inlineStr">
        <is>
          <t>418</t>
        </is>
      </c>
      <c r="B419" s="19" t="inlineStr">
        <is>
          <t>SC-1014923-ST-042-STD-06</t>
        </is>
      </c>
      <c r="C419" t="inlineStr">
        <is>
          <t>1014923 → ST-042-STD-06</t>
        </is>
      </c>
      <c r="D419" s="19" t="inlineStr">
        <is>
          <t>2</t>
        </is>
      </c>
      <c r="E419" s="19" t="inlineStr">
        <is>
          <t>1691</t>
        </is>
      </c>
      <c r="F419" s="19" t="inlineStr">
        <is>
          <t>67</t>
        </is>
      </c>
      <c r="G419" s="19" t="n"/>
      <c r="H419" s="19" t="inlineStr">
        <is>
          <t>2</t>
        </is>
      </c>
      <c r="I419" s="19" t="n"/>
      <c r="J419" s="19" t="n"/>
      <c r="K419" s="19" t="inlineStr">
        <is>
          <t>2</t>
        </is>
      </c>
      <c r="L419" t="inlineStr">
        <is>
          <t>2026-08-08</t>
        </is>
      </c>
      <c r="N419" t="inlineStr">
        <is>
          <t>IN_SCOPE_FINAL; SOURCE_CFG=IA-ST-CFG-0081; MARKET=YURT İÇİ AFM; STATUS=IN OEM / EU PACKAGE</t>
        </is>
      </c>
      <c r="O419" t="inlineStr">
        <is>
          <t>2026-08-10T19:29:54Z</t>
        </is>
      </c>
      <c r="P419" t="inlineStr">
        <is>
          <t>2026-08-10T19:29:54Z</t>
        </is>
      </c>
    </row>
    <row r="420">
      <c r="A420" s="19" t="inlineStr">
        <is>
          <t>419</t>
        </is>
      </c>
      <c r="B420" s="19" t="inlineStr">
        <is>
          <t>SC-1012132-ST-042-STD-07</t>
        </is>
      </c>
      <c r="C420" t="inlineStr">
        <is>
          <t>1012132 → ST-042-STD-07</t>
        </is>
      </c>
      <c r="D420" s="19" t="inlineStr">
        <is>
          <t>2</t>
        </is>
      </c>
      <c r="E420" s="19" t="inlineStr">
        <is>
          <t>537</t>
        </is>
      </c>
      <c r="F420" s="19" t="inlineStr">
        <is>
          <t>68</t>
        </is>
      </c>
      <c r="G420" s="19" t="n"/>
      <c r="H420" s="19" t="inlineStr">
        <is>
          <t>2</t>
        </is>
      </c>
      <c r="I420" s="19" t="n"/>
      <c r="J420" s="19" t="n"/>
      <c r="K420" s="19" t="inlineStr">
        <is>
          <t>2</t>
        </is>
      </c>
      <c r="L420" t="inlineStr">
        <is>
          <t>2026-08-08</t>
        </is>
      </c>
      <c r="N420" t="inlineStr">
        <is>
          <t>IN_SCOPE_FINAL; SOURCE_CFG=IA-ST-CFG-0082; MARKET=SCHNAPP; STATUS=IN OEM / EU PACKAGE</t>
        </is>
      </c>
      <c r="O420" t="inlineStr">
        <is>
          <t>2026-08-10T19:29:54Z</t>
        </is>
      </c>
      <c r="P420" t="inlineStr">
        <is>
          <t>2026-08-10T19:29:54Z</t>
        </is>
      </c>
    </row>
    <row r="421">
      <c r="A421" s="19" t="inlineStr">
        <is>
          <t>420</t>
        </is>
      </c>
      <c r="B421" s="19" t="inlineStr">
        <is>
          <t>SC-1014094-ST-042-STD-08</t>
        </is>
      </c>
      <c r="C421" t="inlineStr">
        <is>
          <t>1014094 → ST-042-STD-08</t>
        </is>
      </c>
      <c r="D421" s="19" t="inlineStr">
        <is>
          <t>2</t>
        </is>
      </c>
      <c r="E421" s="19" t="inlineStr">
        <is>
          <t>1221</t>
        </is>
      </c>
      <c r="F421" s="19" t="inlineStr">
        <is>
          <t>69</t>
        </is>
      </c>
      <c r="G421" s="19" t="n"/>
      <c r="H421" s="19" t="inlineStr">
        <is>
          <t>2</t>
        </is>
      </c>
      <c r="I421" s="19" t="n"/>
      <c r="J421" s="19" t="n"/>
      <c r="K421" s="19" t="inlineStr">
        <is>
          <t>2</t>
        </is>
      </c>
      <c r="L421" t="inlineStr">
        <is>
          <t>2026-08-08</t>
        </is>
      </c>
      <c r="N421" t="inlineStr">
        <is>
          <t>IN_SCOPE_FINAL; SOURCE_CFG=IA-ST-CFG-0083; MARKET=SCHNAPP; STATUS=IN OEM / EU PACKAGE</t>
        </is>
      </c>
      <c r="O421" t="inlineStr">
        <is>
          <t>2026-08-10T19:29:54Z</t>
        </is>
      </c>
      <c r="P421" t="inlineStr">
        <is>
          <t>2026-08-10T19:29:54Z</t>
        </is>
      </c>
    </row>
    <row r="422">
      <c r="A422" s="19" t="inlineStr">
        <is>
          <t>421</t>
        </is>
      </c>
      <c r="B422" s="19" t="inlineStr">
        <is>
          <t>SC-1013736-ST-042-EUR-02</t>
        </is>
      </c>
      <c r="C422" t="inlineStr">
        <is>
          <t>1013736 → ST-042-EUR-02</t>
        </is>
      </c>
      <c r="D422" s="19" t="inlineStr">
        <is>
          <t>2</t>
        </is>
      </c>
      <c r="E422" s="19" t="inlineStr">
        <is>
          <t>1077</t>
        </is>
      </c>
      <c r="F422" s="19" t="inlineStr">
        <is>
          <t>59</t>
        </is>
      </c>
      <c r="G422" s="19" t="n"/>
      <c r="H422" s="19" t="inlineStr">
        <is>
          <t>2</t>
        </is>
      </c>
      <c r="I422" s="19" t="n"/>
      <c r="J422" s="19" t="n"/>
      <c r="K422" s="19" t="inlineStr">
        <is>
          <t>2</t>
        </is>
      </c>
      <c r="L422" t="inlineStr">
        <is>
          <t>2026-08-08</t>
        </is>
      </c>
      <c r="N422" t="inlineStr">
        <is>
          <t>IN_SCOPE_FINAL; SOURCE_CFG=IA-ST-CFG-0085; MARKET=GY EUR; STATUS=IN OEM / EU PACKAGE</t>
        </is>
      </c>
      <c r="O422" t="inlineStr">
        <is>
          <t>2026-08-10T19:29:54Z</t>
        </is>
      </c>
      <c r="P422" t="inlineStr">
        <is>
          <t>2026-08-10T19:29:54Z</t>
        </is>
      </c>
    </row>
    <row r="423">
      <c r="A423" s="19" t="inlineStr">
        <is>
          <t>422</t>
        </is>
      </c>
      <c r="B423" s="19" t="inlineStr">
        <is>
          <t>SC-1014544-ST-042-EUR-02</t>
        </is>
      </c>
      <c r="C423" t="inlineStr">
        <is>
          <t>1014544 → ST-042-EUR-02</t>
        </is>
      </c>
      <c r="D423" s="19" t="inlineStr">
        <is>
          <t>2</t>
        </is>
      </c>
      <c r="E423" s="19" t="inlineStr">
        <is>
          <t>1434</t>
        </is>
      </c>
      <c r="F423" s="19" t="inlineStr">
        <is>
          <t>59</t>
        </is>
      </c>
      <c r="G423" s="19" t="n"/>
      <c r="H423" s="19" t="inlineStr">
        <is>
          <t>2</t>
        </is>
      </c>
      <c r="I423" s="19" t="n"/>
      <c r="J423" s="19" t="n"/>
      <c r="K423" s="19" t="inlineStr">
        <is>
          <t>2</t>
        </is>
      </c>
      <c r="L423" t="inlineStr">
        <is>
          <t>2026-08-08</t>
        </is>
      </c>
      <c r="N423" t="inlineStr">
        <is>
          <t>IN_SCOPE_FINAL; SOURCE_CFG=IA-ST-CFG-0085; MARKET=GY EUR; STATUS=IN OEM / EU PACKAGE</t>
        </is>
      </c>
      <c r="O423" t="inlineStr">
        <is>
          <t>2026-08-10T19:29:54Z</t>
        </is>
      </c>
      <c r="P423" t="inlineStr">
        <is>
          <t>2026-08-10T19:29:54Z</t>
        </is>
      </c>
    </row>
    <row r="424">
      <c r="A424" s="19" t="inlineStr">
        <is>
          <t>423</t>
        </is>
      </c>
      <c r="B424" s="19" t="inlineStr">
        <is>
          <t>SC-1011492-ST-042-EUR-02</t>
        </is>
      </c>
      <c r="C424" t="inlineStr">
        <is>
          <t>1011492 → ST-042-EUR-02</t>
        </is>
      </c>
      <c r="D424" s="19" t="inlineStr">
        <is>
          <t>2</t>
        </is>
      </c>
      <c r="E424" s="19" t="inlineStr">
        <is>
          <t>303</t>
        </is>
      </c>
      <c r="F424" s="19" t="inlineStr">
        <is>
          <t>59</t>
        </is>
      </c>
      <c r="G424" s="19" t="n"/>
      <c r="H424" s="19" t="inlineStr">
        <is>
          <t>2</t>
        </is>
      </c>
      <c r="I424" s="19" t="n"/>
      <c r="J424" s="19" t="n"/>
      <c r="K424" s="19" t="inlineStr">
        <is>
          <t>2</t>
        </is>
      </c>
      <c r="L424" t="inlineStr">
        <is>
          <t>2026-08-08</t>
        </is>
      </c>
      <c r="N424" t="inlineStr">
        <is>
          <t>IN_SCOPE_FINAL; SOURCE_CFG=IA-ST-CFG-0085; MARKET=GY EUR; STATUS=IN OEM / EU PACKAGE</t>
        </is>
      </c>
      <c r="O424" t="inlineStr">
        <is>
          <t>2026-08-10T19:29:54Z</t>
        </is>
      </c>
      <c r="P424" t="inlineStr">
        <is>
          <t>2026-08-10T19:29:54Z</t>
        </is>
      </c>
    </row>
    <row r="425">
      <c r="A425" s="19" t="inlineStr">
        <is>
          <t>424</t>
        </is>
      </c>
      <c r="B425" s="19" t="inlineStr">
        <is>
          <t>SC-1011615-ST-042-EUR-02</t>
        </is>
      </c>
      <c r="C425" t="inlineStr">
        <is>
          <t>1011615 → ST-042-EUR-02</t>
        </is>
      </c>
      <c r="D425" s="19" t="inlineStr">
        <is>
          <t>2</t>
        </is>
      </c>
      <c r="E425" s="19" t="inlineStr">
        <is>
          <t>325</t>
        </is>
      </c>
      <c r="F425" s="19" t="inlineStr">
        <is>
          <t>59</t>
        </is>
      </c>
      <c r="G425" s="19" t="n"/>
      <c r="H425" s="19" t="inlineStr">
        <is>
          <t>2</t>
        </is>
      </c>
      <c r="I425" s="19" t="n"/>
      <c r="J425" s="19" t="n"/>
      <c r="K425" s="19" t="inlineStr">
        <is>
          <t>2</t>
        </is>
      </c>
      <c r="L425" t="inlineStr">
        <is>
          <t>2026-08-08</t>
        </is>
      </c>
      <c r="N425" t="inlineStr">
        <is>
          <t>IN_SCOPE_FINAL; SOURCE_CFG=IA-ST-CFG-0085; MARKET=GY EUR; STATUS=IN OEM / EU PACKAGE</t>
        </is>
      </c>
      <c r="O425" t="inlineStr">
        <is>
          <t>2026-08-10T19:29:54Z</t>
        </is>
      </c>
      <c r="P425" t="inlineStr">
        <is>
          <t>2026-08-10T19:29:54Z</t>
        </is>
      </c>
    </row>
    <row r="426">
      <c r="A426" s="19" t="inlineStr">
        <is>
          <t>425</t>
        </is>
      </c>
      <c r="B426" s="19" t="inlineStr">
        <is>
          <t>SC-1011638-ST-042-EUR-02</t>
        </is>
      </c>
      <c r="C426" t="inlineStr">
        <is>
          <t>1011638 → ST-042-EUR-02</t>
        </is>
      </c>
      <c r="D426" s="19" t="inlineStr">
        <is>
          <t>2</t>
        </is>
      </c>
      <c r="E426" s="19" t="inlineStr">
        <is>
          <t>328</t>
        </is>
      </c>
      <c r="F426" s="19" t="inlineStr">
        <is>
          <t>59</t>
        </is>
      </c>
      <c r="G426" s="19" t="n"/>
      <c r="H426" s="19" t="inlineStr">
        <is>
          <t>2</t>
        </is>
      </c>
      <c r="I426" s="19" t="n"/>
      <c r="J426" s="19" t="n"/>
      <c r="K426" s="19" t="inlineStr">
        <is>
          <t>2</t>
        </is>
      </c>
      <c r="L426" t="inlineStr">
        <is>
          <t>2026-08-08</t>
        </is>
      </c>
      <c r="N426" t="inlineStr">
        <is>
          <t>IN_SCOPE_FINAL; SOURCE_CFG=IA-ST-CFG-0085; MARKET=GY EUR; STATUS=IN OEM / EU PACKAGE</t>
        </is>
      </c>
      <c r="O426" t="inlineStr">
        <is>
          <t>2026-08-10T19:29:54Z</t>
        </is>
      </c>
      <c r="P426" t="inlineStr">
        <is>
          <t>2026-08-10T19:29:54Z</t>
        </is>
      </c>
    </row>
    <row r="427">
      <c r="A427" s="19" t="inlineStr">
        <is>
          <t>426</t>
        </is>
      </c>
      <c r="B427" s="19" t="inlineStr">
        <is>
          <t>SC-1012122-ST-042-EUR-02</t>
        </is>
      </c>
      <c r="C427" t="inlineStr">
        <is>
          <t>1012122 → ST-042-EUR-02</t>
        </is>
      </c>
      <c r="D427" s="19" t="inlineStr">
        <is>
          <t>2</t>
        </is>
      </c>
      <c r="E427" s="19" t="inlineStr">
        <is>
          <t>533</t>
        </is>
      </c>
      <c r="F427" s="19" t="inlineStr">
        <is>
          <t>59</t>
        </is>
      </c>
      <c r="G427" s="19" t="n"/>
      <c r="H427" s="19" t="inlineStr">
        <is>
          <t>2</t>
        </is>
      </c>
      <c r="I427" s="19" t="n"/>
      <c r="J427" s="19" t="n"/>
      <c r="K427" s="19" t="inlineStr">
        <is>
          <t>2</t>
        </is>
      </c>
      <c r="L427" t="inlineStr">
        <is>
          <t>2026-08-08</t>
        </is>
      </c>
      <c r="N427" t="inlineStr">
        <is>
          <t>IN_SCOPE_FINAL; SOURCE_CFG=IA-ST-CFG-0085; MARKET=GY EUR; STATUS=IN OEM / EU PACKAGE</t>
        </is>
      </c>
      <c r="O427" t="inlineStr">
        <is>
          <t>2026-08-10T19:29:54Z</t>
        </is>
      </c>
      <c r="P427" t="inlineStr">
        <is>
          <t>2026-08-10T19:29:54Z</t>
        </is>
      </c>
    </row>
    <row r="428">
      <c r="A428" s="19" t="inlineStr">
        <is>
          <t>427</t>
        </is>
      </c>
      <c r="B428" s="19" t="inlineStr">
        <is>
          <t>SC-1012124-ST-042-EUR-02</t>
        </is>
      </c>
      <c r="C428" t="inlineStr">
        <is>
          <t>1012124 → ST-042-EUR-02</t>
        </is>
      </c>
      <c r="D428" s="19" t="inlineStr">
        <is>
          <t>2</t>
        </is>
      </c>
      <c r="E428" s="19" t="inlineStr">
        <is>
          <t>535</t>
        </is>
      </c>
      <c r="F428" s="19" t="inlineStr">
        <is>
          <t>59</t>
        </is>
      </c>
      <c r="G428" s="19" t="n"/>
      <c r="H428" s="19" t="inlineStr">
        <is>
          <t>2</t>
        </is>
      </c>
      <c r="I428" s="19" t="n"/>
      <c r="J428" s="19" t="n"/>
      <c r="K428" s="19" t="inlineStr">
        <is>
          <t>2</t>
        </is>
      </c>
      <c r="L428" t="inlineStr">
        <is>
          <t>2026-08-08</t>
        </is>
      </c>
      <c r="N428" t="inlineStr">
        <is>
          <t>IN_SCOPE_FINAL; SOURCE_CFG=IA-ST-CFG-0085; MARKET=GY EUR; STATUS=IN OEM / EU PACKAGE</t>
        </is>
      </c>
      <c r="O428" t="inlineStr">
        <is>
          <t>2026-08-10T19:29:54Z</t>
        </is>
      </c>
      <c r="P428" t="inlineStr">
        <is>
          <t>2026-08-10T19:29:54Z</t>
        </is>
      </c>
    </row>
    <row r="429">
      <c r="A429" s="19" t="inlineStr">
        <is>
          <t>428</t>
        </is>
      </c>
      <c r="B429" s="19" t="inlineStr">
        <is>
          <t>SC-1013045-ST-042-EUR-02</t>
        </is>
      </c>
      <c r="C429" t="inlineStr">
        <is>
          <t>1013045 → ST-042-EUR-02</t>
        </is>
      </c>
      <c r="D429" s="19" t="inlineStr">
        <is>
          <t>2</t>
        </is>
      </c>
      <c r="E429" s="19" t="inlineStr">
        <is>
          <t>904</t>
        </is>
      </c>
      <c r="F429" s="19" t="inlineStr">
        <is>
          <t>59</t>
        </is>
      </c>
      <c r="G429" s="19" t="n"/>
      <c r="H429" s="19" t="inlineStr">
        <is>
          <t>2</t>
        </is>
      </c>
      <c r="I429" s="19" t="n"/>
      <c r="J429" s="19" t="n"/>
      <c r="K429" s="19" t="inlineStr">
        <is>
          <t>2</t>
        </is>
      </c>
      <c r="L429" t="inlineStr">
        <is>
          <t>2026-08-08</t>
        </is>
      </c>
      <c r="N429" t="inlineStr">
        <is>
          <t>IN_SCOPE_FINAL; SOURCE_CFG=IA-ST-CFG-0085; MARKET=GY EUR; STATUS=IN OEM / EU PACKAGE</t>
        </is>
      </c>
      <c r="O429" t="inlineStr">
        <is>
          <t>2026-08-10T19:29:54Z</t>
        </is>
      </c>
      <c r="P429" t="inlineStr">
        <is>
          <t>2026-08-10T19:29:54Z</t>
        </is>
      </c>
    </row>
    <row r="430">
      <c r="A430" s="19" t="inlineStr">
        <is>
          <t>429</t>
        </is>
      </c>
      <c r="B430" s="19" t="inlineStr">
        <is>
          <t>SC-1014406-ST-042-EUR-02</t>
        </is>
      </c>
      <c r="C430" t="inlineStr">
        <is>
          <t>1014406 → ST-042-EUR-02</t>
        </is>
      </c>
      <c r="D430" s="19" t="inlineStr">
        <is>
          <t>2</t>
        </is>
      </c>
      <c r="E430" s="19" t="inlineStr">
        <is>
          <t>1354</t>
        </is>
      </c>
      <c r="F430" s="19" t="inlineStr">
        <is>
          <t>59</t>
        </is>
      </c>
      <c r="G430" s="19" t="n"/>
      <c r="H430" s="19" t="inlineStr">
        <is>
          <t>2</t>
        </is>
      </c>
      <c r="I430" s="19" t="n"/>
      <c r="J430" s="19" t="n"/>
      <c r="K430" s="19" t="inlineStr">
        <is>
          <t>2</t>
        </is>
      </c>
      <c r="L430" t="inlineStr">
        <is>
          <t>2026-08-08</t>
        </is>
      </c>
      <c r="N430" t="inlineStr">
        <is>
          <t>IN_SCOPE_FINAL; SOURCE_CFG=IA-ST-CFG-0085; MARKET=GY EUR; STATUS=IN OEM / EU PACKAGE</t>
        </is>
      </c>
      <c r="O430" t="inlineStr">
        <is>
          <t>2026-08-10T19:29:54Z</t>
        </is>
      </c>
      <c r="P430" t="inlineStr">
        <is>
          <t>2026-08-10T19:29:54Z</t>
        </is>
      </c>
    </row>
    <row r="431">
      <c r="A431" s="19" t="inlineStr">
        <is>
          <t>430</t>
        </is>
      </c>
      <c r="B431" s="19" t="inlineStr">
        <is>
          <t>SC-1014407-ST-042-EUR-02</t>
        </is>
      </c>
      <c r="C431" t="inlineStr">
        <is>
          <t>1014407 → ST-042-EUR-02</t>
        </is>
      </c>
      <c r="D431" s="19" t="inlineStr">
        <is>
          <t>2</t>
        </is>
      </c>
      <c r="E431" s="19" t="inlineStr">
        <is>
          <t>1355</t>
        </is>
      </c>
      <c r="F431" s="19" t="inlineStr">
        <is>
          <t>59</t>
        </is>
      </c>
      <c r="G431" s="19" t="n"/>
      <c r="H431" s="19" t="inlineStr">
        <is>
          <t>2</t>
        </is>
      </c>
      <c r="I431" s="19" t="n"/>
      <c r="J431" s="19" t="n"/>
      <c r="K431" s="19" t="inlineStr">
        <is>
          <t>2</t>
        </is>
      </c>
      <c r="L431" t="inlineStr">
        <is>
          <t>2026-08-08</t>
        </is>
      </c>
      <c r="N431" t="inlineStr">
        <is>
          <t>IN_SCOPE_FINAL; SOURCE_CFG=IA-ST-CFG-0085; MARKET=GY EUR; STATUS=IN OEM / EU PACKAGE</t>
        </is>
      </c>
      <c r="O431" t="inlineStr">
        <is>
          <t>2026-08-10T19:29:54Z</t>
        </is>
      </c>
      <c r="P431" t="inlineStr">
        <is>
          <t>2026-08-10T19:29:54Z</t>
        </is>
      </c>
    </row>
    <row r="432">
      <c r="A432" s="19" t="inlineStr">
        <is>
          <t>431</t>
        </is>
      </c>
      <c r="B432" s="19" t="inlineStr">
        <is>
          <t>SC-1014417-ST-042-EUR-02</t>
        </is>
      </c>
      <c r="C432" t="inlineStr">
        <is>
          <t>1014417 → ST-042-EUR-02</t>
        </is>
      </c>
      <c r="D432" s="19" t="inlineStr">
        <is>
          <t>2</t>
        </is>
      </c>
      <c r="E432" s="19" t="inlineStr">
        <is>
          <t>1363</t>
        </is>
      </c>
      <c r="F432" s="19" t="inlineStr">
        <is>
          <t>59</t>
        </is>
      </c>
      <c r="G432" s="19" t="n"/>
      <c r="H432" s="19" t="inlineStr">
        <is>
          <t>2</t>
        </is>
      </c>
      <c r="I432" s="19" t="n"/>
      <c r="J432" s="19" t="n"/>
      <c r="K432" s="19" t="inlineStr">
        <is>
          <t>2</t>
        </is>
      </c>
      <c r="L432" t="inlineStr">
        <is>
          <t>2026-08-08</t>
        </is>
      </c>
      <c r="N432" t="inlineStr">
        <is>
          <t>IN_SCOPE_FINAL; SOURCE_CFG=IA-ST-CFG-0085; MARKET=GY EUR; STATUS=IN OEM / EU PACKAGE</t>
        </is>
      </c>
      <c r="O432" t="inlineStr">
        <is>
          <t>2026-08-10T19:29:54Z</t>
        </is>
      </c>
      <c r="P432" t="inlineStr">
        <is>
          <t>2026-08-10T19:29:54Z</t>
        </is>
      </c>
    </row>
    <row r="433">
      <c r="A433" s="19" t="inlineStr">
        <is>
          <t>432</t>
        </is>
      </c>
      <c r="B433" s="19" t="inlineStr">
        <is>
          <t>SC-1015205-ST-042-EUR-02</t>
        </is>
      </c>
      <c r="C433" t="inlineStr">
        <is>
          <t>1015205 → ST-042-EUR-02</t>
        </is>
      </c>
      <c r="D433" s="19" t="inlineStr">
        <is>
          <t>2</t>
        </is>
      </c>
      <c r="E433" s="19" t="inlineStr">
        <is>
          <t>1945</t>
        </is>
      </c>
      <c r="F433" s="19" t="inlineStr">
        <is>
          <t>59</t>
        </is>
      </c>
      <c r="G433" s="19" t="n"/>
      <c r="H433" s="19" t="inlineStr">
        <is>
          <t>2</t>
        </is>
      </c>
      <c r="I433" s="19" t="n"/>
      <c r="J433" s="19" t="n"/>
      <c r="K433" s="19" t="inlineStr">
        <is>
          <t>2</t>
        </is>
      </c>
      <c r="L433" t="inlineStr">
        <is>
          <t>2026-08-08</t>
        </is>
      </c>
      <c r="N433" t="inlineStr">
        <is>
          <t>IN_SCOPE_FINAL; SOURCE_CFG=IA-ST-CFG-0085; MARKET=GY EUR; STATUS=IN OEM / EU PACKAGE</t>
        </is>
      </c>
      <c r="O433" t="inlineStr">
        <is>
          <t>2026-08-10T19:29:54Z</t>
        </is>
      </c>
      <c r="P433" t="inlineStr">
        <is>
          <t>2026-08-10T19:29:54Z</t>
        </is>
      </c>
    </row>
    <row r="434">
      <c r="A434" s="19" t="inlineStr">
        <is>
          <t>433</t>
        </is>
      </c>
      <c r="B434" s="19" t="inlineStr">
        <is>
          <t>SC-1015206-ST-042-EUR-02</t>
        </is>
      </c>
      <c r="C434" t="inlineStr">
        <is>
          <t>1015206 → ST-042-EUR-02</t>
        </is>
      </c>
      <c r="D434" s="19" t="inlineStr">
        <is>
          <t>2</t>
        </is>
      </c>
      <c r="E434" s="19" t="inlineStr">
        <is>
          <t>1946</t>
        </is>
      </c>
      <c r="F434" s="19" t="inlineStr">
        <is>
          <t>59</t>
        </is>
      </c>
      <c r="G434" s="19" t="n"/>
      <c r="H434" s="19" t="inlineStr">
        <is>
          <t>2</t>
        </is>
      </c>
      <c r="I434" s="19" t="n"/>
      <c r="J434" s="19" t="n"/>
      <c r="K434" s="19" t="inlineStr">
        <is>
          <t>2</t>
        </is>
      </c>
      <c r="L434" t="inlineStr">
        <is>
          <t>2026-08-08</t>
        </is>
      </c>
      <c r="N434" t="inlineStr">
        <is>
          <t>IN_SCOPE_FINAL; SOURCE_CFG=IA-ST-CFG-0085; MARKET=GY EUR; STATUS=IN OEM / EU PACKAGE</t>
        </is>
      </c>
      <c r="O434" t="inlineStr">
        <is>
          <t>2026-08-10T19:29:54Z</t>
        </is>
      </c>
      <c r="P434" t="inlineStr">
        <is>
          <t>2026-08-10T19:29:54Z</t>
        </is>
      </c>
    </row>
    <row r="435">
      <c r="A435" s="19" t="inlineStr">
        <is>
          <t>434</t>
        </is>
      </c>
      <c r="B435" s="19" t="inlineStr">
        <is>
          <t>SC-1015223-ST-042-EUR-02</t>
        </is>
      </c>
      <c r="C435" t="inlineStr">
        <is>
          <t>1015223 → ST-042-EUR-02</t>
        </is>
      </c>
      <c r="D435" s="19" t="inlineStr">
        <is>
          <t>2</t>
        </is>
      </c>
      <c r="E435" s="19" t="inlineStr">
        <is>
          <t>1961</t>
        </is>
      </c>
      <c r="F435" s="19" t="inlineStr">
        <is>
          <t>59</t>
        </is>
      </c>
      <c r="G435" s="19" t="n"/>
      <c r="H435" s="19" t="inlineStr">
        <is>
          <t>2</t>
        </is>
      </c>
      <c r="I435" s="19" t="n"/>
      <c r="J435" s="19" t="n"/>
      <c r="K435" s="19" t="inlineStr">
        <is>
          <t>2</t>
        </is>
      </c>
      <c r="L435" t="inlineStr">
        <is>
          <t>2026-08-08</t>
        </is>
      </c>
      <c r="N435" t="inlineStr">
        <is>
          <t>IN_SCOPE_FINAL; SOURCE_CFG=IA-ST-CFG-0085; MARKET=GY EUR; STATUS=IN OEM / EU PACKAGE</t>
        </is>
      </c>
      <c r="O435" t="inlineStr">
        <is>
          <t>2026-08-10T19:29:54Z</t>
        </is>
      </c>
      <c r="P435" t="inlineStr">
        <is>
          <t>2026-08-10T19:29:54Z</t>
        </is>
      </c>
    </row>
    <row r="436">
      <c r="A436" s="19" t="inlineStr">
        <is>
          <t>435</t>
        </is>
      </c>
      <c r="B436" s="19" t="inlineStr">
        <is>
          <t>SC-1015224-ST-042-EUR-02</t>
        </is>
      </c>
      <c r="C436" t="inlineStr">
        <is>
          <t>1015224 → ST-042-EUR-02</t>
        </is>
      </c>
      <c r="D436" s="19" t="inlineStr">
        <is>
          <t>2</t>
        </is>
      </c>
      <c r="E436" s="19" t="inlineStr">
        <is>
          <t>1962</t>
        </is>
      </c>
      <c r="F436" s="19" t="inlineStr">
        <is>
          <t>59</t>
        </is>
      </c>
      <c r="G436" s="19" t="n"/>
      <c r="H436" s="19" t="inlineStr">
        <is>
          <t>2</t>
        </is>
      </c>
      <c r="I436" s="19" t="n"/>
      <c r="J436" s="19" t="n"/>
      <c r="K436" s="19" t="inlineStr">
        <is>
          <t>2</t>
        </is>
      </c>
      <c r="L436" t="inlineStr">
        <is>
          <t>2026-08-08</t>
        </is>
      </c>
      <c r="N436" t="inlineStr">
        <is>
          <t>IN_SCOPE_FINAL; SOURCE_CFG=IA-ST-CFG-0085; MARKET=GY EUR; STATUS=IN OEM / EU PACKAGE</t>
        </is>
      </c>
      <c r="O436" t="inlineStr">
        <is>
          <t>2026-08-10T19:29:54Z</t>
        </is>
      </c>
      <c r="P436" t="inlineStr">
        <is>
          <t>2026-08-10T19:29:54Z</t>
        </is>
      </c>
    </row>
    <row r="437">
      <c r="A437" s="19" t="inlineStr">
        <is>
          <t>436</t>
        </is>
      </c>
      <c r="B437" s="19" t="inlineStr">
        <is>
          <t>SC-1015225-ST-042-EUR-02</t>
        </is>
      </c>
      <c r="C437" t="inlineStr">
        <is>
          <t>1015225 → ST-042-EUR-02</t>
        </is>
      </c>
      <c r="D437" s="19" t="inlineStr">
        <is>
          <t>2</t>
        </is>
      </c>
      <c r="E437" s="19" t="inlineStr">
        <is>
          <t>1963</t>
        </is>
      </c>
      <c r="F437" s="19" t="inlineStr">
        <is>
          <t>59</t>
        </is>
      </c>
      <c r="G437" s="19" t="n"/>
      <c r="H437" s="19" t="inlineStr">
        <is>
          <t>2</t>
        </is>
      </c>
      <c r="I437" s="19" t="n"/>
      <c r="J437" s="19" t="n"/>
      <c r="K437" s="19" t="inlineStr">
        <is>
          <t>2</t>
        </is>
      </c>
      <c r="L437" t="inlineStr">
        <is>
          <t>2026-08-08</t>
        </is>
      </c>
      <c r="N437" t="inlineStr">
        <is>
          <t>IN_SCOPE_FINAL; SOURCE_CFG=IA-ST-CFG-0085; MARKET=GY EUR; STATUS=IN OEM / EU PACKAGE</t>
        </is>
      </c>
      <c r="O437" t="inlineStr">
        <is>
          <t>2026-08-10T19:29:54Z</t>
        </is>
      </c>
      <c r="P437" t="inlineStr">
        <is>
          <t>2026-08-10T19:29:54Z</t>
        </is>
      </c>
    </row>
    <row r="438">
      <c r="A438" s="19" t="inlineStr">
        <is>
          <t>437</t>
        </is>
      </c>
      <c r="B438" s="19" t="inlineStr">
        <is>
          <t>SC-1015226-ST-042-EUR-02</t>
        </is>
      </c>
      <c r="C438" t="inlineStr">
        <is>
          <t>1015226 → ST-042-EUR-02</t>
        </is>
      </c>
      <c r="D438" s="19" t="inlineStr">
        <is>
          <t>2</t>
        </is>
      </c>
      <c r="E438" s="19" t="inlineStr">
        <is>
          <t>1964</t>
        </is>
      </c>
      <c r="F438" s="19" t="inlineStr">
        <is>
          <t>59</t>
        </is>
      </c>
      <c r="G438" s="19" t="n"/>
      <c r="H438" s="19" t="inlineStr">
        <is>
          <t>2</t>
        </is>
      </c>
      <c r="I438" s="19" t="n"/>
      <c r="J438" s="19" t="n"/>
      <c r="K438" s="19" t="inlineStr">
        <is>
          <t>2</t>
        </is>
      </c>
      <c r="L438" t="inlineStr">
        <is>
          <t>2026-08-08</t>
        </is>
      </c>
      <c r="N438" t="inlineStr">
        <is>
          <t>IN_SCOPE_FINAL; SOURCE_CFG=IA-ST-CFG-0085; MARKET=GY EUR; STATUS=IN OEM / EU PACKAGE</t>
        </is>
      </c>
      <c r="O438" t="inlineStr">
        <is>
          <t>2026-08-10T19:29:54Z</t>
        </is>
      </c>
      <c r="P438" t="inlineStr">
        <is>
          <t>2026-08-10T19:29:54Z</t>
        </is>
      </c>
    </row>
    <row r="439">
      <c r="A439" s="19" t="inlineStr">
        <is>
          <t>438</t>
        </is>
      </c>
      <c r="B439" s="19" t="inlineStr">
        <is>
          <t>SC-1015227-ST-042-EUR-02</t>
        </is>
      </c>
      <c r="C439" t="inlineStr">
        <is>
          <t>1015227 → ST-042-EUR-02</t>
        </is>
      </c>
      <c r="D439" s="19" t="inlineStr">
        <is>
          <t>2</t>
        </is>
      </c>
      <c r="E439" s="19" t="inlineStr">
        <is>
          <t>1965</t>
        </is>
      </c>
      <c r="F439" s="19" t="inlineStr">
        <is>
          <t>59</t>
        </is>
      </c>
      <c r="G439" s="19" t="n"/>
      <c r="H439" s="19" t="inlineStr">
        <is>
          <t>2</t>
        </is>
      </c>
      <c r="I439" s="19" t="n"/>
      <c r="J439" s="19" t="n"/>
      <c r="K439" s="19" t="inlineStr">
        <is>
          <t>2</t>
        </is>
      </c>
      <c r="L439" t="inlineStr">
        <is>
          <t>2026-08-08</t>
        </is>
      </c>
      <c r="N439" t="inlineStr">
        <is>
          <t>IN_SCOPE_FINAL; SOURCE_CFG=IA-ST-CFG-0085; MARKET=GY EUR; STATUS=IN OEM / EU PACKAGE</t>
        </is>
      </c>
      <c r="O439" t="inlineStr">
        <is>
          <t>2026-08-10T19:29:54Z</t>
        </is>
      </c>
      <c r="P439" t="inlineStr">
        <is>
          <t>2026-08-10T19:29:54Z</t>
        </is>
      </c>
    </row>
    <row r="440">
      <c r="A440" s="19" t="inlineStr">
        <is>
          <t>439</t>
        </is>
      </c>
      <c r="B440" s="19" t="inlineStr">
        <is>
          <t>SC-1015228-ST-042-EUR-02</t>
        </is>
      </c>
      <c r="C440" t="inlineStr">
        <is>
          <t>1015228 → ST-042-EUR-02</t>
        </is>
      </c>
      <c r="D440" s="19" t="inlineStr">
        <is>
          <t>2</t>
        </is>
      </c>
      <c r="E440" s="19" t="inlineStr">
        <is>
          <t>1966</t>
        </is>
      </c>
      <c r="F440" s="19" t="inlineStr">
        <is>
          <t>59</t>
        </is>
      </c>
      <c r="G440" s="19" t="n"/>
      <c r="H440" s="19" t="inlineStr">
        <is>
          <t>2</t>
        </is>
      </c>
      <c r="I440" s="19" t="n"/>
      <c r="J440" s="19" t="n"/>
      <c r="K440" s="19" t="inlineStr">
        <is>
          <t>2</t>
        </is>
      </c>
      <c r="L440" t="inlineStr">
        <is>
          <t>2026-08-08</t>
        </is>
      </c>
      <c r="N440" t="inlineStr">
        <is>
          <t>IN_SCOPE_FINAL; SOURCE_CFG=IA-ST-CFG-0085; MARKET=GY EUR; STATUS=IN OEM / EU PACKAGE</t>
        </is>
      </c>
      <c r="O440" t="inlineStr">
        <is>
          <t>2026-08-10T19:29:54Z</t>
        </is>
      </c>
      <c r="P440" t="inlineStr">
        <is>
          <t>2026-08-10T19:29:54Z</t>
        </is>
      </c>
    </row>
    <row r="441">
      <c r="A441" s="19" t="inlineStr">
        <is>
          <t>440</t>
        </is>
      </c>
      <c r="B441" s="19" t="inlineStr">
        <is>
          <t>SC-1015241-ST-042-EUR-02</t>
        </is>
      </c>
      <c r="C441" t="inlineStr">
        <is>
          <t>1015241 → ST-042-EUR-02</t>
        </is>
      </c>
      <c r="D441" s="19" t="inlineStr">
        <is>
          <t>2</t>
        </is>
      </c>
      <c r="E441" s="19" t="inlineStr">
        <is>
          <t>1979</t>
        </is>
      </c>
      <c r="F441" s="19" t="inlineStr">
        <is>
          <t>59</t>
        </is>
      </c>
      <c r="G441" s="19" t="n"/>
      <c r="H441" s="19" t="inlineStr">
        <is>
          <t>2</t>
        </is>
      </c>
      <c r="I441" s="19" t="n"/>
      <c r="J441" s="19" t="n"/>
      <c r="K441" s="19" t="inlineStr">
        <is>
          <t>2</t>
        </is>
      </c>
      <c r="L441" t="inlineStr">
        <is>
          <t>2026-08-08</t>
        </is>
      </c>
      <c r="N441" t="inlineStr">
        <is>
          <t>IN_SCOPE_FINAL; SOURCE_CFG=IA-ST-CFG-0085; MARKET=GY EUR; STATUS=IN OEM / EU PACKAGE</t>
        </is>
      </c>
      <c r="O441" t="inlineStr">
        <is>
          <t>2026-08-10T19:29:54Z</t>
        </is>
      </c>
      <c r="P441" t="inlineStr">
        <is>
          <t>2026-08-10T19:29:54Z</t>
        </is>
      </c>
    </row>
    <row r="442">
      <c r="A442" s="19" t="inlineStr">
        <is>
          <t>441</t>
        </is>
      </c>
      <c r="B442" s="19" t="inlineStr">
        <is>
          <t>SC-1015242-ST-042-EUR-02</t>
        </is>
      </c>
      <c r="C442" t="inlineStr">
        <is>
          <t>1015242 → ST-042-EUR-02</t>
        </is>
      </c>
      <c r="D442" s="19" t="inlineStr">
        <is>
          <t>2</t>
        </is>
      </c>
      <c r="E442" s="19" t="inlineStr">
        <is>
          <t>1980</t>
        </is>
      </c>
      <c r="F442" s="19" t="inlineStr">
        <is>
          <t>59</t>
        </is>
      </c>
      <c r="G442" s="19" t="n"/>
      <c r="H442" s="19" t="inlineStr">
        <is>
          <t>2</t>
        </is>
      </c>
      <c r="I442" s="19" t="n"/>
      <c r="J442" s="19" t="n"/>
      <c r="K442" s="19" t="inlineStr">
        <is>
          <t>2</t>
        </is>
      </c>
      <c r="L442" t="inlineStr">
        <is>
          <t>2026-08-08</t>
        </is>
      </c>
      <c r="N442" t="inlineStr">
        <is>
          <t>IN_SCOPE_FINAL; SOURCE_CFG=IA-ST-CFG-0085; MARKET=GY EUR; STATUS=IN OEM / EU PACKAGE</t>
        </is>
      </c>
      <c r="O442" t="inlineStr">
        <is>
          <t>2026-08-10T19:29:54Z</t>
        </is>
      </c>
      <c r="P442" t="inlineStr">
        <is>
          <t>2026-08-10T19:29:54Z</t>
        </is>
      </c>
    </row>
    <row r="443">
      <c r="A443" s="19" t="inlineStr">
        <is>
          <t>442</t>
        </is>
      </c>
      <c r="B443" s="19" t="inlineStr">
        <is>
          <t>SC-1015243-ST-042-EUR-02</t>
        </is>
      </c>
      <c r="C443" t="inlineStr">
        <is>
          <t>1015243 → ST-042-EUR-02</t>
        </is>
      </c>
      <c r="D443" s="19" t="inlineStr">
        <is>
          <t>2</t>
        </is>
      </c>
      <c r="E443" s="19" t="inlineStr">
        <is>
          <t>1981</t>
        </is>
      </c>
      <c r="F443" s="19" t="inlineStr">
        <is>
          <t>59</t>
        </is>
      </c>
      <c r="G443" s="19" t="n"/>
      <c r="H443" s="19" t="inlineStr">
        <is>
          <t>2</t>
        </is>
      </c>
      <c r="I443" s="19" t="n"/>
      <c r="J443" s="19" t="n"/>
      <c r="K443" s="19" t="inlineStr">
        <is>
          <t>2</t>
        </is>
      </c>
      <c r="L443" t="inlineStr">
        <is>
          <t>2026-08-08</t>
        </is>
      </c>
      <c r="N443" t="inlineStr">
        <is>
          <t>IN_SCOPE_FINAL; SOURCE_CFG=IA-ST-CFG-0085; MARKET=GY EUR; STATUS=IN OEM / EU PACKAGE</t>
        </is>
      </c>
      <c r="O443" t="inlineStr">
        <is>
          <t>2026-08-10T19:29:54Z</t>
        </is>
      </c>
      <c r="P443" t="inlineStr">
        <is>
          <t>2026-08-10T19:29:54Z</t>
        </is>
      </c>
    </row>
    <row r="444">
      <c r="A444" s="19" t="inlineStr">
        <is>
          <t>443</t>
        </is>
      </c>
      <c r="B444" s="19" t="inlineStr">
        <is>
          <t>SC-1015280-ST-042-EUR-02</t>
        </is>
      </c>
      <c r="C444" t="inlineStr">
        <is>
          <t>1015280 → ST-042-EUR-02</t>
        </is>
      </c>
      <c r="D444" s="19" t="inlineStr">
        <is>
          <t>2</t>
        </is>
      </c>
      <c r="E444" s="19" t="inlineStr">
        <is>
          <t>2013</t>
        </is>
      </c>
      <c r="F444" s="19" t="inlineStr">
        <is>
          <t>59</t>
        </is>
      </c>
      <c r="G444" s="19" t="n"/>
      <c r="H444" s="19" t="inlineStr">
        <is>
          <t>2</t>
        </is>
      </c>
      <c r="I444" s="19" t="n"/>
      <c r="J444" s="19" t="n"/>
      <c r="K444" s="19" t="inlineStr">
        <is>
          <t>2</t>
        </is>
      </c>
      <c r="L444" t="inlineStr">
        <is>
          <t>2026-08-08</t>
        </is>
      </c>
      <c r="N444" t="inlineStr">
        <is>
          <t>IN_SCOPE_FINAL; SOURCE_CFG=IA-ST-CFG-0085; MARKET=GS; STATUS=IN OEM / EU PACKAGE</t>
        </is>
      </c>
      <c r="O444" t="inlineStr">
        <is>
          <t>2026-08-10T19:29:54Z</t>
        </is>
      </c>
      <c r="P444" t="inlineStr">
        <is>
          <t>2026-08-10T19:29:54Z</t>
        </is>
      </c>
    </row>
    <row r="445">
      <c r="A445" s="19" t="inlineStr">
        <is>
          <t>444</t>
        </is>
      </c>
      <c r="B445" s="19" t="inlineStr">
        <is>
          <t>SC-1012100-ST-042-EUR-02</t>
        </is>
      </c>
      <c r="C445" t="inlineStr">
        <is>
          <t>1012100 → ST-042-EUR-02</t>
        </is>
      </c>
      <c r="D445" s="19" t="inlineStr">
        <is>
          <t>2</t>
        </is>
      </c>
      <c r="E445" s="19" t="inlineStr">
        <is>
          <t>521</t>
        </is>
      </c>
      <c r="F445" s="19" t="inlineStr">
        <is>
          <t>59</t>
        </is>
      </c>
      <c r="G445" s="19" t="n"/>
      <c r="H445" s="19" t="inlineStr">
        <is>
          <t>2</t>
        </is>
      </c>
      <c r="I445" s="19" t="n"/>
      <c r="J445" s="19" t="n"/>
      <c r="K445" s="19" t="inlineStr">
        <is>
          <t>2</t>
        </is>
      </c>
      <c r="L445" t="inlineStr">
        <is>
          <t>2026-08-08</t>
        </is>
      </c>
      <c r="N445" t="inlineStr">
        <is>
          <t>IN_SCOPE_FINAL; SOURCE_CFG=IA-ST-CFG-0085; MARKET=PSA (Yurt Dışı); STATUS=IN OEM / EU PACKAGE</t>
        </is>
      </c>
      <c r="O445" t="inlineStr">
        <is>
          <t>2026-08-10T19:29:54Z</t>
        </is>
      </c>
      <c r="P445" t="inlineStr">
        <is>
          <t>2026-08-10T19:29:54Z</t>
        </is>
      </c>
    </row>
    <row r="446">
      <c r="A446" s="19" t="inlineStr">
        <is>
          <t>445</t>
        </is>
      </c>
      <c r="B446" s="19" t="inlineStr">
        <is>
          <t>SC-1012112-ST-042-EUR-02</t>
        </is>
      </c>
      <c r="C446" t="inlineStr">
        <is>
          <t>1012112 → ST-042-EUR-02</t>
        </is>
      </c>
      <c r="D446" s="19" t="inlineStr">
        <is>
          <t>2</t>
        </is>
      </c>
      <c r="E446" s="19" t="inlineStr">
        <is>
          <t>532</t>
        </is>
      </c>
      <c r="F446" s="19" t="inlineStr">
        <is>
          <t>59</t>
        </is>
      </c>
      <c r="G446" s="19" t="n"/>
      <c r="H446" s="19" t="inlineStr">
        <is>
          <t>2</t>
        </is>
      </c>
      <c r="I446" s="19" t="n"/>
      <c r="J446" s="19" t="n"/>
      <c r="K446" s="19" t="inlineStr">
        <is>
          <t>2</t>
        </is>
      </c>
      <c r="L446" t="inlineStr">
        <is>
          <t>2026-08-08</t>
        </is>
      </c>
      <c r="N446" t="inlineStr">
        <is>
          <t>IN_SCOPE_FINAL; SOURCE_CFG=IA-ST-CFG-0085; MARKET=PSA (Yurt Dışı); STATUS=IN OEM / EU PACKAGE</t>
        </is>
      </c>
      <c r="O446" t="inlineStr">
        <is>
          <t>2026-08-10T19:29:54Z</t>
        </is>
      </c>
      <c r="P446" t="inlineStr">
        <is>
          <t>2026-08-10T19:29:54Z</t>
        </is>
      </c>
    </row>
    <row r="447">
      <c r="A447" s="19" t="inlineStr">
        <is>
          <t>446</t>
        </is>
      </c>
      <c r="B447" s="19" t="inlineStr">
        <is>
          <t>SC-1012966-ST-042-EUR-02</t>
        </is>
      </c>
      <c r="C447" t="inlineStr">
        <is>
          <t>1012966 → ST-042-EUR-02</t>
        </is>
      </c>
      <c r="D447" s="19" t="inlineStr">
        <is>
          <t>2</t>
        </is>
      </c>
      <c r="E447" s="19" t="inlineStr">
        <is>
          <t>884</t>
        </is>
      </c>
      <c r="F447" s="19" t="inlineStr">
        <is>
          <t>59</t>
        </is>
      </c>
      <c r="G447" s="19" t="n"/>
      <c r="H447" s="19" t="inlineStr">
        <is>
          <t>2</t>
        </is>
      </c>
      <c r="I447" s="19" t="n"/>
      <c r="J447" s="19" t="n"/>
      <c r="K447" s="19" t="inlineStr">
        <is>
          <t>2</t>
        </is>
      </c>
      <c r="L447" t="inlineStr">
        <is>
          <t>2026-08-08</t>
        </is>
      </c>
      <c r="N447" t="inlineStr">
        <is>
          <t>IN_SCOPE_FINAL; SOURCE_CFG=IA-ST-CFG-0085; MARKET=GS; STATUS=IN OEM / EU PACKAGE</t>
        </is>
      </c>
      <c r="O447" t="inlineStr">
        <is>
          <t>2026-08-10T19:29:54Z</t>
        </is>
      </c>
      <c r="P447" t="inlineStr">
        <is>
          <t>2026-08-10T19:29:54Z</t>
        </is>
      </c>
    </row>
    <row r="448">
      <c r="A448" s="19" t="inlineStr">
        <is>
          <t>447</t>
        </is>
      </c>
      <c r="B448" s="19" t="inlineStr">
        <is>
          <t>SC-1012967-ST-042-EUR-02</t>
        </is>
      </c>
      <c r="C448" t="inlineStr">
        <is>
          <t>1012967 → ST-042-EUR-02</t>
        </is>
      </c>
      <c r="D448" s="19" t="inlineStr">
        <is>
          <t>2</t>
        </is>
      </c>
      <c r="E448" s="19" t="inlineStr">
        <is>
          <t>885</t>
        </is>
      </c>
      <c r="F448" s="19" t="inlineStr">
        <is>
          <t>59</t>
        </is>
      </c>
      <c r="G448" s="19" t="n"/>
      <c r="H448" s="19" t="inlineStr">
        <is>
          <t>2</t>
        </is>
      </c>
      <c r="I448" s="19" t="n"/>
      <c r="J448" s="19" t="n"/>
      <c r="K448" s="19" t="inlineStr">
        <is>
          <t>2</t>
        </is>
      </c>
      <c r="L448" t="inlineStr">
        <is>
          <t>2026-08-08</t>
        </is>
      </c>
      <c r="N448" t="inlineStr">
        <is>
          <t>IN_SCOPE_FINAL; SOURCE_CFG=IA-ST-CFG-0085; MARKET=GS; STATUS=IN OEM / EU PACKAGE</t>
        </is>
      </c>
      <c r="O448" t="inlineStr">
        <is>
          <t>2026-08-10T19:29:54Z</t>
        </is>
      </c>
      <c r="P448" t="inlineStr">
        <is>
          <t>2026-08-10T19:29:54Z</t>
        </is>
      </c>
    </row>
    <row r="449">
      <c r="A449" s="19" t="inlineStr">
        <is>
          <t>448</t>
        </is>
      </c>
      <c r="B449" s="19" t="inlineStr">
        <is>
          <t>SC-1014978-ST-042-EUR-02</t>
        </is>
      </c>
      <c r="C449" t="inlineStr">
        <is>
          <t>1014978 → ST-042-EUR-02</t>
        </is>
      </c>
      <c r="D449" s="19" t="inlineStr">
        <is>
          <t>2</t>
        </is>
      </c>
      <c r="E449" s="19" t="inlineStr">
        <is>
          <t>1744</t>
        </is>
      </c>
      <c r="F449" s="19" t="inlineStr">
        <is>
          <t>59</t>
        </is>
      </c>
      <c r="G449" s="19" t="n"/>
      <c r="H449" s="19" t="inlineStr">
        <is>
          <t>2</t>
        </is>
      </c>
      <c r="I449" s="19" t="n"/>
      <c r="J449" s="19" t="n"/>
      <c r="K449" s="19" t="inlineStr">
        <is>
          <t>2</t>
        </is>
      </c>
      <c r="L449" t="inlineStr">
        <is>
          <t>2026-08-08</t>
        </is>
      </c>
      <c r="N449" t="inlineStr">
        <is>
          <t>IN_SCOPE_FINAL; SOURCE_CFG=IA-ST-CFG-0085; MARKET=GS; STATUS=IN OEM / EU PACKAGE</t>
        </is>
      </c>
      <c r="O449" t="inlineStr">
        <is>
          <t>2026-08-10T19:29:54Z</t>
        </is>
      </c>
      <c r="P449" t="inlineStr">
        <is>
          <t>2026-08-10T19:29:54Z</t>
        </is>
      </c>
    </row>
    <row r="450">
      <c r="A450" s="19" t="inlineStr">
        <is>
          <t>449</t>
        </is>
      </c>
      <c r="B450" s="19" t="inlineStr">
        <is>
          <t>SC-1014984-ST-042-EUR-02</t>
        </is>
      </c>
      <c r="C450" t="inlineStr">
        <is>
          <t>1014984 → ST-042-EUR-02</t>
        </is>
      </c>
      <c r="D450" s="19" t="inlineStr">
        <is>
          <t>2</t>
        </is>
      </c>
      <c r="E450" s="19" t="inlineStr">
        <is>
          <t>1745</t>
        </is>
      </c>
      <c r="F450" s="19" t="inlineStr">
        <is>
          <t>59</t>
        </is>
      </c>
      <c r="G450" s="19" t="n"/>
      <c r="H450" s="19" t="inlineStr">
        <is>
          <t>2</t>
        </is>
      </c>
      <c r="I450" s="19" t="n"/>
      <c r="J450" s="19" t="n"/>
      <c r="K450" s="19" t="inlineStr">
        <is>
          <t>2</t>
        </is>
      </c>
      <c r="L450" t="inlineStr">
        <is>
          <t>2026-08-08</t>
        </is>
      </c>
      <c r="N450" t="inlineStr">
        <is>
          <t>IN_SCOPE_FINAL; SOURCE_CFG=IA-ST-CFG-0085; MARKET=GS; STATUS=IN OEM / EU PACKAGE</t>
        </is>
      </c>
      <c r="O450" t="inlineStr">
        <is>
          <t>2026-08-10T19:29:54Z</t>
        </is>
      </c>
      <c r="P450" t="inlineStr">
        <is>
          <t>2026-08-10T19:29:54Z</t>
        </is>
      </c>
    </row>
    <row r="451">
      <c r="A451" s="19" t="inlineStr">
        <is>
          <t>450</t>
        </is>
      </c>
      <c r="B451" s="19" t="inlineStr">
        <is>
          <t>SC-1015182-ST-042-EUR-02</t>
        </is>
      </c>
      <c r="C451" t="inlineStr">
        <is>
          <t>1015182 → ST-042-EUR-02</t>
        </is>
      </c>
      <c r="D451" s="19" t="inlineStr">
        <is>
          <t>2</t>
        </is>
      </c>
      <c r="E451" s="19" t="inlineStr">
        <is>
          <t>1927</t>
        </is>
      </c>
      <c r="F451" s="19" t="inlineStr">
        <is>
          <t>59</t>
        </is>
      </c>
      <c r="G451" s="19" t="n"/>
      <c r="H451" s="19" t="inlineStr">
        <is>
          <t>2</t>
        </is>
      </c>
      <c r="I451" s="19" t="n"/>
      <c r="J451" s="19" t="n"/>
      <c r="K451" s="19" t="inlineStr">
        <is>
          <t>2</t>
        </is>
      </c>
      <c r="L451" t="inlineStr">
        <is>
          <t>2026-08-08</t>
        </is>
      </c>
      <c r="N451" t="inlineStr">
        <is>
          <t>IN_SCOPE_FINAL; SOURCE_CFG=IA-ST-CFG-0085; MARKET=GY NRD (ADN BALTIC NORDIC); STATUS=IN OEM / EU PACKAGE</t>
        </is>
      </c>
      <c r="O451" t="inlineStr">
        <is>
          <t>2026-08-10T19:29:54Z</t>
        </is>
      </c>
      <c r="P451" t="inlineStr">
        <is>
          <t>2026-08-10T19:29:54Z</t>
        </is>
      </c>
    </row>
    <row r="452">
      <c r="A452" s="19" t="inlineStr">
        <is>
          <t>451</t>
        </is>
      </c>
      <c r="B452" s="19" t="inlineStr">
        <is>
          <t>SC-1014200-ST-042-EUR-03</t>
        </is>
      </c>
      <c r="C452" t="inlineStr">
        <is>
          <t>1014200 → ST-042-EUR-03</t>
        </is>
      </c>
      <c r="D452" s="19" t="inlineStr">
        <is>
          <t>2</t>
        </is>
      </c>
      <c r="E452" s="19" t="inlineStr">
        <is>
          <t>1267</t>
        </is>
      </c>
      <c r="F452" s="19" t="inlineStr">
        <is>
          <t>60</t>
        </is>
      </c>
      <c r="G452" s="19" t="n"/>
      <c r="H452" s="19" t="inlineStr">
        <is>
          <t>2</t>
        </is>
      </c>
      <c r="I452" s="19" t="n"/>
      <c r="J452" s="19" t="n"/>
      <c r="K452" s="19" t="inlineStr">
        <is>
          <t>2</t>
        </is>
      </c>
      <c r="L452" t="inlineStr">
        <is>
          <t>2026-08-08</t>
        </is>
      </c>
      <c r="N452" t="inlineStr">
        <is>
          <t>IN_SCOPE_FINAL; SOURCE_CFG=IA-ST-CFG-0086; MARKET=BOOSTER; STATUS=IN OEM / EU PACKAGE</t>
        </is>
      </c>
      <c r="O452" t="inlineStr">
        <is>
          <t>2026-08-10T19:29:54Z</t>
        </is>
      </c>
      <c r="P452" t="inlineStr">
        <is>
          <t>2026-08-10T19:29:54Z</t>
        </is>
      </c>
    </row>
    <row r="453">
      <c r="A453" s="19" t="inlineStr">
        <is>
          <t>452</t>
        </is>
      </c>
      <c r="B453" s="19" t="inlineStr">
        <is>
          <t>SC-1014258-ST-042-EUR-03</t>
        </is>
      </c>
      <c r="C453" t="inlineStr">
        <is>
          <t>1014258 → ST-042-EUR-03</t>
        </is>
      </c>
      <c r="D453" s="19" t="inlineStr">
        <is>
          <t>2</t>
        </is>
      </c>
      <c r="E453" s="19" t="inlineStr">
        <is>
          <t>1283</t>
        </is>
      </c>
      <c r="F453" s="19" t="inlineStr">
        <is>
          <t>60</t>
        </is>
      </c>
      <c r="G453" s="19" t="n"/>
      <c r="H453" s="19" t="inlineStr">
        <is>
          <t>2</t>
        </is>
      </c>
      <c r="I453" s="19" t="n"/>
      <c r="J453" s="19" t="n"/>
      <c r="K453" s="19" t="inlineStr">
        <is>
          <t>2</t>
        </is>
      </c>
      <c r="L453" t="inlineStr">
        <is>
          <t>2026-08-08</t>
        </is>
      </c>
      <c r="N453" t="inlineStr">
        <is>
          <t>IN_SCOPE_FINAL; SOURCE_CFG=IA-ST-CFG-0086; MARKET=None; STATUS=IN OEM / EU PACKAGE</t>
        </is>
      </c>
      <c r="O453" t="inlineStr">
        <is>
          <t>2026-08-10T19:29:54Z</t>
        </is>
      </c>
      <c r="P453" t="inlineStr">
        <is>
          <t>2026-08-10T19:29:54Z</t>
        </is>
      </c>
    </row>
    <row r="454">
      <c r="A454" s="19" t="inlineStr">
        <is>
          <t>453</t>
        </is>
      </c>
      <c r="B454" s="19" t="inlineStr">
        <is>
          <t>SC-1014497-ST-042-EUR-03</t>
        </is>
      </c>
      <c r="C454" t="inlineStr">
        <is>
          <t>1014497 → ST-042-EUR-03</t>
        </is>
      </c>
      <c r="D454" s="19" t="inlineStr">
        <is>
          <t>2</t>
        </is>
      </c>
      <c r="E454" s="19" t="inlineStr">
        <is>
          <t>1421</t>
        </is>
      </c>
      <c r="F454" s="19" t="inlineStr">
        <is>
          <t>60</t>
        </is>
      </c>
      <c r="G454" s="19" t="n"/>
      <c r="H454" s="19" t="inlineStr">
        <is>
          <t>2</t>
        </is>
      </c>
      <c r="I454" s="19" t="n"/>
      <c r="J454" s="19" t="n"/>
      <c r="K454" s="19" t="inlineStr">
        <is>
          <t>2</t>
        </is>
      </c>
      <c r="L454" t="inlineStr">
        <is>
          <t>2026-08-08</t>
        </is>
      </c>
      <c r="N454" t="inlineStr">
        <is>
          <t>IN_SCOPE_FINAL; SOURCE_CFG=IA-ST-CFG-0086; MARKET=None; STATUS=IN OEM / EU PACKAGE</t>
        </is>
      </c>
      <c r="O454" t="inlineStr">
        <is>
          <t>2026-08-10T19:29:54Z</t>
        </is>
      </c>
      <c r="P454" t="inlineStr">
        <is>
          <t>2026-08-10T19:29:54Z</t>
        </is>
      </c>
    </row>
    <row r="455">
      <c r="A455" s="19" t="inlineStr">
        <is>
          <t>454</t>
        </is>
      </c>
      <c r="B455" s="19" t="inlineStr">
        <is>
          <t>SC-1014996-ST-042-EUR-03</t>
        </is>
      </c>
      <c r="C455" t="inlineStr">
        <is>
          <t>1014996 → ST-042-EUR-03</t>
        </is>
      </c>
      <c r="D455" s="19" t="inlineStr">
        <is>
          <t>2</t>
        </is>
      </c>
      <c r="E455" s="19" t="inlineStr">
        <is>
          <t>1757</t>
        </is>
      </c>
      <c r="F455" s="19" t="inlineStr">
        <is>
          <t>60</t>
        </is>
      </c>
      <c r="G455" s="19" t="n"/>
      <c r="H455" s="19" t="inlineStr">
        <is>
          <t>2</t>
        </is>
      </c>
      <c r="I455" s="19" t="n"/>
      <c r="J455" s="19" t="n"/>
      <c r="K455" s="19" t="inlineStr">
        <is>
          <t>2</t>
        </is>
      </c>
      <c r="L455" t="inlineStr">
        <is>
          <t>2026-08-08</t>
        </is>
      </c>
      <c r="N455" t="inlineStr">
        <is>
          <t>IN_SCOPE_FINAL; SOURCE_CFG=IA-ST-CFG-0086; MARKET=CONEX ROMANYA; STATUS=IN OEM / EU PACKAGE</t>
        </is>
      </c>
      <c r="O455" t="inlineStr">
        <is>
          <t>2026-08-10T19:29:54Z</t>
        </is>
      </c>
      <c r="P455" t="inlineStr">
        <is>
          <t>2026-08-10T19:29:54Z</t>
        </is>
      </c>
    </row>
    <row r="456">
      <c r="A456" s="19" t="inlineStr">
        <is>
          <t>455</t>
        </is>
      </c>
      <c r="B456" s="19" t="inlineStr">
        <is>
          <t>SC-1014997-ST-042-EUR-03</t>
        </is>
      </c>
      <c r="C456" t="inlineStr">
        <is>
          <t>1014997 → ST-042-EUR-03</t>
        </is>
      </c>
      <c r="D456" s="19" t="inlineStr">
        <is>
          <t>2</t>
        </is>
      </c>
      <c r="E456" s="19" t="inlineStr">
        <is>
          <t>1758</t>
        </is>
      </c>
      <c r="F456" s="19" t="inlineStr">
        <is>
          <t>60</t>
        </is>
      </c>
      <c r="G456" s="19" t="n"/>
      <c r="H456" s="19" t="inlineStr">
        <is>
          <t>2</t>
        </is>
      </c>
      <c r="I456" s="19" t="n"/>
      <c r="J456" s="19" t="n"/>
      <c r="K456" s="19" t="inlineStr">
        <is>
          <t>2</t>
        </is>
      </c>
      <c r="L456" t="inlineStr">
        <is>
          <t>2026-08-08</t>
        </is>
      </c>
      <c r="N456" t="inlineStr">
        <is>
          <t>IN_SCOPE_FINAL; SOURCE_CFG=IA-ST-CFG-0086; MARKET=CONEX ROMANYA; STATUS=IN OEM / EU PACKAGE</t>
        </is>
      </c>
      <c r="O456" t="inlineStr">
        <is>
          <t>2026-08-10T19:29:54Z</t>
        </is>
      </c>
      <c r="P456" t="inlineStr">
        <is>
          <t>2026-08-10T19:29:54Z</t>
        </is>
      </c>
    </row>
    <row r="457">
      <c r="A457" s="19" t="inlineStr">
        <is>
          <t>456</t>
        </is>
      </c>
      <c r="B457" s="19" t="inlineStr">
        <is>
          <t>SC-1012614-ST-042-EUR-03</t>
        </is>
      </c>
      <c r="C457" t="inlineStr">
        <is>
          <t>1012614 → ST-042-EUR-03</t>
        </is>
      </c>
      <c r="D457" s="19" t="inlineStr">
        <is>
          <t>2</t>
        </is>
      </c>
      <c r="E457" s="19" t="inlineStr">
        <is>
          <t>715</t>
        </is>
      </c>
      <c r="F457" s="19" t="inlineStr">
        <is>
          <t>60</t>
        </is>
      </c>
      <c r="G457" s="19" t="n"/>
      <c r="H457" s="19" t="inlineStr">
        <is>
          <t>2</t>
        </is>
      </c>
      <c r="I457" s="19" t="n"/>
      <c r="J457" s="19" t="n"/>
      <c r="K457" s="19" t="inlineStr">
        <is>
          <t>2</t>
        </is>
      </c>
      <c r="L457" t="inlineStr">
        <is>
          <t>2026-08-08</t>
        </is>
      </c>
      <c r="N457" t="inlineStr">
        <is>
          <t>IN_SCOPE_FINAL; SOURCE_CFG=IA-ST-CFG-0086; MARKET=START TRADING BULGARİSTAN; STATUS=IN OEM / EU PACKAGE</t>
        </is>
      </c>
      <c r="O457" t="inlineStr">
        <is>
          <t>2026-08-10T19:29:54Z</t>
        </is>
      </c>
      <c r="P457" t="inlineStr">
        <is>
          <t>2026-08-10T19:29:54Z</t>
        </is>
      </c>
    </row>
    <row r="458">
      <c r="A458" s="19" t="inlineStr">
        <is>
          <t>457</t>
        </is>
      </c>
      <c r="B458" s="19" t="inlineStr">
        <is>
          <t>SC-1012619-ST-042-EUR-03</t>
        </is>
      </c>
      <c r="C458" t="inlineStr">
        <is>
          <t>1012619 → ST-042-EUR-03</t>
        </is>
      </c>
      <c r="D458" s="19" t="inlineStr">
        <is>
          <t>2</t>
        </is>
      </c>
      <c r="E458" s="19" t="inlineStr">
        <is>
          <t>718</t>
        </is>
      </c>
      <c r="F458" s="19" t="inlineStr">
        <is>
          <t>60</t>
        </is>
      </c>
      <c r="G458" s="19" t="n"/>
      <c r="H458" s="19" t="inlineStr">
        <is>
          <t>2</t>
        </is>
      </c>
      <c r="I458" s="19" t="n"/>
      <c r="J458" s="19" t="n"/>
      <c r="K458" s="19" t="inlineStr">
        <is>
          <t>2</t>
        </is>
      </c>
      <c r="L458" t="inlineStr">
        <is>
          <t>2026-08-08</t>
        </is>
      </c>
      <c r="N458" t="inlineStr">
        <is>
          <t>IN_SCOPE_FINAL; SOURCE_CFG=IA-ST-CFG-0086; MARKET=START TRADING BULGARİSTAN; STATUS=IN OEM / EU PACKAGE</t>
        </is>
      </c>
      <c r="O458" t="inlineStr">
        <is>
          <t>2026-08-10T19:29:54Z</t>
        </is>
      </c>
      <c r="P458" t="inlineStr">
        <is>
          <t>2026-08-10T19:29:54Z</t>
        </is>
      </c>
    </row>
    <row r="459">
      <c r="A459" s="19" t="inlineStr">
        <is>
          <t>458</t>
        </is>
      </c>
      <c r="B459" s="19" t="inlineStr">
        <is>
          <t>SC-1014402-ST-042-EUR-04</t>
        </is>
      </c>
      <c r="C459" t="inlineStr">
        <is>
          <t>1014402 → ST-042-EUR-04</t>
        </is>
      </c>
      <c r="D459" s="19" t="inlineStr">
        <is>
          <t>2</t>
        </is>
      </c>
      <c r="E459" s="19" t="inlineStr">
        <is>
          <t>1350</t>
        </is>
      </c>
      <c r="F459" s="19" t="inlineStr">
        <is>
          <t>61</t>
        </is>
      </c>
      <c r="G459" s="19" t="n"/>
      <c r="H459" s="19" t="inlineStr">
        <is>
          <t>2</t>
        </is>
      </c>
      <c r="I459" s="19" t="n"/>
      <c r="J459" s="19" t="n"/>
      <c r="K459" s="19" t="inlineStr">
        <is>
          <t>2</t>
        </is>
      </c>
      <c r="L459" t="inlineStr">
        <is>
          <t>2026-08-08</t>
        </is>
      </c>
      <c r="N459" t="inlineStr">
        <is>
          <t>IN_SCOPE_FINAL; SOURCE_CFG=IA-ST-CFG-0087; MARKET=GY EUR; STATUS=IN OEM / EU PACKAGE</t>
        </is>
      </c>
      <c r="O459" t="inlineStr">
        <is>
          <t>2026-08-10T19:29:54Z</t>
        </is>
      </c>
      <c r="P459" t="inlineStr">
        <is>
          <t>2026-08-10T19:29:54Z</t>
        </is>
      </c>
    </row>
    <row r="460">
      <c r="A460" s="19" t="inlineStr">
        <is>
          <t>459</t>
        </is>
      </c>
      <c r="B460" s="19" t="inlineStr">
        <is>
          <t>SC-1012740-ST-042-EUR-04</t>
        </is>
      </c>
      <c r="C460" t="inlineStr">
        <is>
          <t>1012740 → ST-042-EUR-04</t>
        </is>
      </c>
      <c r="D460" s="19" t="inlineStr">
        <is>
          <t>2</t>
        </is>
      </c>
      <c r="E460" s="19" t="inlineStr">
        <is>
          <t>775</t>
        </is>
      </c>
      <c r="F460" s="19" t="inlineStr">
        <is>
          <t>61</t>
        </is>
      </c>
      <c r="G460" s="19" t="n"/>
      <c r="H460" s="19" t="inlineStr">
        <is>
          <t>2</t>
        </is>
      </c>
      <c r="I460" s="19" t="n"/>
      <c r="J460" s="19" t="n"/>
      <c r="K460" s="19" t="inlineStr">
        <is>
          <t>2</t>
        </is>
      </c>
      <c r="L460" t="inlineStr">
        <is>
          <t>2026-08-08</t>
        </is>
      </c>
      <c r="N460" t="inlineStr">
        <is>
          <t>IN_SCOPE_FINAL; SOURCE_CFG=IA-ST-CFG-0087; MARKET=BATERIE PRZEMYSLOWE POLONYA; STATUS=IN OEM / EU PACKAGE</t>
        </is>
      </c>
      <c r="O460" t="inlineStr">
        <is>
          <t>2026-08-10T19:29:54Z</t>
        </is>
      </c>
      <c r="P460" t="inlineStr">
        <is>
          <t>2026-08-10T19:29:54Z</t>
        </is>
      </c>
    </row>
    <row r="461">
      <c r="A461" s="19" t="inlineStr">
        <is>
          <t>460</t>
        </is>
      </c>
      <c r="B461" s="19" t="inlineStr">
        <is>
          <t>SC-1014561-ST-042-EUR-04</t>
        </is>
      </c>
      <c r="C461" t="inlineStr">
        <is>
          <t>1014561 → ST-042-EUR-04</t>
        </is>
      </c>
      <c r="D461" s="19" t="inlineStr">
        <is>
          <t>2</t>
        </is>
      </c>
      <c r="E461" s="19" t="inlineStr">
        <is>
          <t>1450</t>
        </is>
      </c>
      <c r="F461" s="19" t="inlineStr">
        <is>
          <t>61</t>
        </is>
      </c>
      <c r="G461" s="19" t="n"/>
      <c r="H461" s="19" t="inlineStr">
        <is>
          <t>2</t>
        </is>
      </c>
      <c r="I461" s="19" t="n"/>
      <c r="J461" s="19" t="n"/>
      <c r="K461" s="19" t="inlineStr">
        <is>
          <t>2</t>
        </is>
      </c>
      <c r="L461" t="inlineStr">
        <is>
          <t>2026-08-08</t>
        </is>
      </c>
      <c r="N461" t="inlineStr">
        <is>
          <t>IN_SCOPE_FINAL; SOURCE_CFG=IA-ST-CFG-0087; MARKET=BATERIE PRZEMYSLOWE POLONYA; STATUS=IN OEM / EU PACKAGE</t>
        </is>
      </c>
      <c r="O461" t="inlineStr">
        <is>
          <t>2026-08-10T19:29:54Z</t>
        </is>
      </c>
      <c r="P461" t="inlineStr">
        <is>
          <t>2026-08-10T19:29:54Z</t>
        </is>
      </c>
    </row>
    <row r="462">
      <c r="A462" s="19" t="inlineStr">
        <is>
          <t>461</t>
        </is>
      </c>
      <c r="B462" s="19" t="inlineStr">
        <is>
          <t>SC-1014562-ST-042-EUR-04</t>
        </is>
      </c>
      <c r="C462" t="inlineStr">
        <is>
          <t>1014562 → ST-042-EUR-04</t>
        </is>
      </c>
      <c r="D462" s="19" t="inlineStr">
        <is>
          <t>2</t>
        </is>
      </c>
      <c r="E462" s="19" t="inlineStr">
        <is>
          <t>1451</t>
        </is>
      </c>
      <c r="F462" s="19" t="inlineStr">
        <is>
          <t>61</t>
        </is>
      </c>
      <c r="G462" s="19" t="n"/>
      <c r="H462" s="19" t="inlineStr">
        <is>
          <t>2</t>
        </is>
      </c>
      <c r="I462" s="19" t="n"/>
      <c r="J462" s="19" t="n"/>
      <c r="K462" s="19" t="inlineStr">
        <is>
          <t>2</t>
        </is>
      </c>
      <c r="L462" t="inlineStr">
        <is>
          <t>2026-08-08</t>
        </is>
      </c>
      <c r="N462" t="inlineStr">
        <is>
          <t>IN_SCOPE_FINAL; SOURCE_CFG=IA-ST-CFG-0087; MARKET=BATERIE PRZEMYSLOWE POLONYA; STATUS=IN OEM / EU PACKAGE</t>
        </is>
      </c>
      <c r="O462" t="inlineStr">
        <is>
          <t>2026-08-10T19:29:54Z</t>
        </is>
      </c>
      <c r="P462" t="inlineStr">
        <is>
          <t>2026-08-10T19:29:54Z</t>
        </is>
      </c>
    </row>
    <row r="463">
      <c r="A463" s="19" t="inlineStr">
        <is>
          <t>462</t>
        </is>
      </c>
      <c r="B463" s="19" t="inlineStr">
        <is>
          <t>SC-1015116-ST-042-EUR-04</t>
        </is>
      </c>
      <c r="C463" t="inlineStr">
        <is>
          <t>1015116 → ST-042-EUR-04</t>
        </is>
      </c>
      <c r="D463" s="19" t="inlineStr">
        <is>
          <t>2</t>
        </is>
      </c>
      <c r="E463" s="19" t="inlineStr">
        <is>
          <t>1869</t>
        </is>
      </c>
      <c r="F463" s="19" t="inlineStr">
        <is>
          <t>61</t>
        </is>
      </c>
      <c r="G463" s="19" t="n"/>
      <c r="H463" s="19" t="inlineStr">
        <is>
          <t>2</t>
        </is>
      </c>
      <c r="I463" s="19" t="n"/>
      <c r="J463" s="19" t="n"/>
      <c r="K463" s="19" t="inlineStr">
        <is>
          <t>2</t>
        </is>
      </c>
      <c r="L463" t="inlineStr">
        <is>
          <t>2026-08-08</t>
        </is>
      </c>
      <c r="N463" t="inlineStr">
        <is>
          <t>IN_SCOPE_FINAL; SOURCE_CFG=IA-ST-CFG-0087; MARKET=BATERIE PRZEMYSLOWE POLONYA; STATUS=IN OEM / EU PACKAGE</t>
        </is>
      </c>
      <c r="O463" t="inlineStr">
        <is>
          <t>2026-08-10T19:29:54Z</t>
        </is>
      </c>
      <c r="P463" t="inlineStr">
        <is>
          <t>2026-08-10T19:29:54Z</t>
        </is>
      </c>
    </row>
    <row r="464">
      <c r="A464" s="19" t="inlineStr">
        <is>
          <t>463</t>
        </is>
      </c>
      <c r="B464" s="19" t="inlineStr">
        <is>
          <t>SC-1015117-ST-042-EUR-04</t>
        </is>
      </c>
      <c r="C464" t="inlineStr">
        <is>
          <t>1015117 → ST-042-EUR-04</t>
        </is>
      </c>
      <c r="D464" s="19" t="inlineStr">
        <is>
          <t>2</t>
        </is>
      </c>
      <c r="E464" s="19" t="inlineStr">
        <is>
          <t>1870</t>
        </is>
      </c>
      <c r="F464" s="19" t="inlineStr">
        <is>
          <t>61</t>
        </is>
      </c>
      <c r="G464" s="19" t="n"/>
      <c r="H464" s="19" t="inlineStr">
        <is>
          <t>2</t>
        </is>
      </c>
      <c r="I464" s="19" t="n"/>
      <c r="J464" s="19" t="n"/>
      <c r="K464" s="19" t="inlineStr">
        <is>
          <t>2</t>
        </is>
      </c>
      <c r="L464" t="inlineStr">
        <is>
          <t>2026-08-08</t>
        </is>
      </c>
      <c r="N464" t="inlineStr">
        <is>
          <t>IN_SCOPE_FINAL; SOURCE_CFG=IA-ST-CFG-0087; MARKET=BATERIE PRZEMYSLOWE POLONYA; STATUS=IN OEM / EU PACKAGE</t>
        </is>
      </c>
      <c r="O464" t="inlineStr">
        <is>
          <t>2026-08-10T19:29:54Z</t>
        </is>
      </c>
      <c r="P464" t="inlineStr">
        <is>
          <t>2026-08-10T19:29:54Z</t>
        </is>
      </c>
    </row>
    <row r="465">
      <c r="A465" s="19" t="inlineStr">
        <is>
          <t>464</t>
        </is>
      </c>
      <c r="B465" s="19" t="inlineStr">
        <is>
          <t>SC-1014051-ST-042-EUR-04</t>
        </is>
      </c>
      <c r="C465" t="inlineStr">
        <is>
          <t>1014051 → ST-042-EUR-04</t>
        </is>
      </c>
      <c r="D465" s="19" t="inlineStr">
        <is>
          <t>2</t>
        </is>
      </c>
      <c r="E465" s="19" t="inlineStr">
        <is>
          <t>1199</t>
        </is>
      </c>
      <c r="F465" s="19" t="inlineStr">
        <is>
          <t>61</t>
        </is>
      </c>
      <c r="G465" s="19" t="n"/>
      <c r="H465" s="19" t="inlineStr">
        <is>
          <t>2</t>
        </is>
      </c>
      <c r="I465" s="19" t="n"/>
      <c r="J465" s="19" t="n"/>
      <c r="K465" s="19" t="inlineStr">
        <is>
          <t>2</t>
        </is>
      </c>
      <c r="L465" t="inlineStr">
        <is>
          <t>2026-08-08</t>
        </is>
      </c>
      <c r="N465" t="inlineStr">
        <is>
          <t>IN_SCOPE_FINAL; SOURCE_CFG=IA-ST-CFG-0087; MARKET=CARANDA ROMANYA; STATUS=IN OEM / EU PACKAGE</t>
        </is>
      </c>
      <c r="O465" t="inlineStr">
        <is>
          <t>2026-08-10T19:29:54Z</t>
        </is>
      </c>
      <c r="P465" t="inlineStr">
        <is>
          <t>2026-08-10T19:29:54Z</t>
        </is>
      </c>
    </row>
    <row r="466">
      <c r="A466" s="19" t="inlineStr">
        <is>
          <t>465</t>
        </is>
      </c>
      <c r="B466" s="19" t="inlineStr">
        <is>
          <t>SC-1014434-ST-044-STD-01</t>
        </is>
      </c>
      <c r="C466" t="inlineStr">
        <is>
          <t>1014434 → ST-044-STD-01</t>
        </is>
      </c>
      <c r="D466" s="19" t="inlineStr">
        <is>
          <t>2</t>
        </is>
      </c>
      <c r="E466" s="19" t="inlineStr">
        <is>
          <t>1377</t>
        </is>
      </c>
      <c r="F466" s="19" t="inlineStr">
        <is>
          <t>70</t>
        </is>
      </c>
      <c r="G466" s="19" t="n"/>
      <c r="H466" s="19" t="inlineStr">
        <is>
          <t>2</t>
        </is>
      </c>
      <c r="I466" s="19" t="n"/>
      <c r="J466" s="19" t="n"/>
      <c r="K466" s="19" t="inlineStr">
        <is>
          <t>2</t>
        </is>
      </c>
      <c r="L466" t="inlineStr">
        <is>
          <t>2026-08-08</t>
        </is>
      </c>
      <c r="N466" t="inlineStr">
        <is>
          <t>IN_SCOPE_FINAL; SOURCE_CFG=IA-ST-CFG-0088; MARKET=YUASA 3000 EXPORT; STATUS=IN OEM / EU PACKAGE</t>
        </is>
      </c>
      <c r="O466" t="inlineStr">
        <is>
          <t>2026-08-10T19:29:54Z</t>
        </is>
      </c>
      <c r="P466" t="inlineStr">
        <is>
          <t>2026-08-10T19:29:54Z</t>
        </is>
      </c>
    </row>
    <row r="467">
      <c r="A467" s="19" t="inlineStr">
        <is>
          <t>466</t>
        </is>
      </c>
      <c r="B467" s="19" t="inlineStr">
        <is>
          <t>SC-1014462-ST-045-STD-01</t>
        </is>
      </c>
      <c r="C467" t="inlineStr">
        <is>
          <t>1014462 → ST-045-STD-01</t>
        </is>
      </c>
      <c r="D467" s="19" t="inlineStr">
        <is>
          <t>2</t>
        </is>
      </c>
      <c r="E467" s="19" t="inlineStr">
        <is>
          <t>1400</t>
        </is>
      </c>
      <c r="F467" s="19" t="inlineStr">
        <is>
          <t>72</t>
        </is>
      </c>
      <c r="G467" s="19" t="n"/>
      <c r="H467" s="19" t="inlineStr">
        <is>
          <t>2</t>
        </is>
      </c>
      <c r="I467" s="19" t="n"/>
      <c r="J467" s="19" t="n"/>
      <c r="K467" s="19" t="inlineStr">
        <is>
          <t>2</t>
        </is>
      </c>
      <c r="L467" t="inlineStr">
        <is>
          <t>2026-08-08</t>
        </is>
      </c>
      <c r="N467" t="inlineStr">
        <is>
          <t>IN_SCOPE_FINAL; SOURCE_CFG=IA-ST-CFG-0089; MARKET=YUASA 3000 EXPORT; STATUS=IN OEM / EU PACKAGE</t>
        </is>
      </c>
      <c r="O467" t="inlineStr">
        <is>
          <t>2026-08-10T19:29:54Z</t>
        </is>
      </c>
      <c r="P467" t="inlineStr">
        <is>
          <t>2026-08-10T19:29:54Z</t>
        </is>
      </c>
    </row>
    <row r="468">
      <c r="A468" s="19" t="inlineStr">
        <is>
          <t>467</t>
        </is>
      </c>
      <c r="B468" s="19" t="inlineStr">
        <is>
          <t>SC-1013383-ST-045-STD-02</t>
        </is>
      </c>
      <c r="C468" t="inlineStr">
        <is>
          <t>1013383 → ST-045-STD-02</t>
        </is>
      </c>
      <c r="D468" s="19" t="inlineStr">
        <is>
          <t>2</t>
        </is>
      </c>
      <c r="E468" s="19" t="inlineStr">
        <is>
          <t>981</t>
        </is>
      </c>
      <c r="F468" s="19" t="inlineStr">
        <is>
          <t>73</t>
        </is>
      </c>
      <c r="G468" s="19" t="n"/>
      <c r="H468" s="19" t="inlineStr">
        <is>
          <t>2</t>
        </is>
      </c>
      <c r="I468" s="19" t="n"/>
      <c r="J468" s="19" t="n"/>
      <c r="K468" s="19" t="inlineStr">
        <is>
          <t>2</t>
        </is>
      </c>
      <c r="L468" t="inlineStr">
        <is>
          <t>2026-08-08</t>
        </is>
      </c>
      <c r="N468" t="inlineStr">
        <is>
          <t>IN_SCOPE_FINAL; SOURCE_CFG=IA-ST-CFG-0090; MARKET=None; STATUS=IN OEM / EU PACKAGE</t>
        </is>
      </c>
      <c r="O468" t="inlineStr">
        <is>
          <t>2026-08-10T19:29:54Z</t>
        </is>
      </c>
      <c r="P468" t="inlineStr">
        <is>
          <t>2026-08-10T19:29:54Z</t>
        </is>
      </c>
    </row>
    <row r="469">
      <c r="A469" s="19" t="inlineStr">
        <is>
          <t>468</t>
        </is>
      </c>
      <c r="B469" s="19" t="inlineStr">
        <is>
          <t>SC-1013992-ST-045-STD-03</t>
        </is>
      </c>
      <c r="C469" t="inlineStr">
        <is>
          <t>1013992 → ST-045-STD-03</t>
        </is>
      </c>
      <c r="D469" s="19" t="inlineStr">
        <is>
          <t>2</t>
        </is>
      </c>
      <c r="E469" s="19" t="inlineStr">
        <is>
          <t>1163</t>
        </is>
      </c>
      <c r="F469" s="19" t="inlineStr">
        <is>
          <t>74</t>
        </is>
      </c>
      <c r="G469" s="19" t="n"/>
      <c r="H469" s="19" t="inlineStr">
        <is>
          <t>2</t>
        </is>
      </c>
      <c r="I469" s="19" t="n"/>
      <c r="J469" s="19" t="n"/>
      <c r="K469" s="19" t="inlineStr">
        <is>
          <t>2</t>
        </is>
      </c>
      <c r="L469" t="inlineStr">
        <is>
          <t>2026-08-08</t>
        </is>
      </c>
      <c r="N469" t="inlineStr">
        <is>
          <t>IN_SCOPE_FINAL; SOURCE_CFG=IA-ST-CFG-0091; MARKET=YURT İÇİ AFM; STATUS=IN OEM / EU PACKAGE</t>
        </is>
      </c>
      <c r="O469" t="inlineStr">
        <is>
          <t>2026-08-10T19:29:54Z</t>
        </is>
      </c>
      <c r="P469" t="inlineStr">
        <is>
          <t>2026-08-10T19:29:54Z</t>
        </is>
      </c>
    </row>
    <row r="470">
      <c r="A470" s="19" t="inlineStr">
        <is>
          <t>469</t>
        </is>
      </c>
      <c r="B470" s="19" t="inlineStr">
        <is>
          <t>SC-1014788-ST-045-STD-04</t>
        </is>
      </c>
      <c r="C470" t="inlineStr">
        <is>
          <t>1014788 → ST-045-STD-04</t>
        </is>
      </c>
      <c r="D470" s="19" t="inlineStr">
        <is>
          <t>2</t>
        </is>
      </c>
      <c r="E470" s="19" t="inlineStr">
        <is>
          <t>1607</t>
        </is>
      </c>
      <c r="F470" s="19" t="inlineStr">
        <is>
          <t>75</t>
        </is>
      </c>
      <c r="G470" s="19" t="n"/>
      <c r="H470" s="19" t="inlineStr">
        <is>
          <t>2</t>
        </is>
      </c>
      <c r="I470" s="19" t="n"/>
      <c r="J470" s="19" t="n"/>
      <c r="K470" s="19" t="inlineStr">
        <is>
          <t>2</t>
        </is>
      </c>
      <c r="L470" t="inlineStr">
        <is>
          <t>2026-08-08</t>
        </is>
      </c>
      <c r="N470" t="inlineStr">
        <is>
          <t>IN_SCOPE_FINAL; SOURCE_CFG=IA-ST-CFG-0092; MARKET=GS; STATUS=IN OEM / EU PACKAGE</t>
        </is>
      </c>
      <c r="O470" t="inlineStr">
        <is>
          <t>2026-08-10T19:29:54Z</t>
        </is>
      </c>
      <c r="P470" t="inlineStr">
        <is>
          <t>2026-08-10T19:29:54Z</t>
        </is>
      </c>
    </row>
    <row r="471">
      <c r="A471" s="19" t="inlineStr">
        <is>
          <t>470</t>
        </is>
      </c>
      <c r="B471" s="19" t="inlineStr">
        <is>
          <t>SC-1003974-ST-045-STD-05</t>
        </is>
      </c>
      <c r="C471" t="inlineStr">
        <is>
          <t>1003974 → ST-045-STD-05</t>
        </is>
      </c>
      <c r="D471" s="19" t="inlineStr">
        <is>
          <t>2</t>
        </is>
      </c>
      <c r="E471" s="19" t="inlineStr">
        <is>
          <t>24</t>
        </is>
      </c>
      <c r="F471" s="19" t="inlineStr">
        <is>
          <t>76</t>
        </is>
      </c>
      <c r="G471" s="19" t="n"/>
      <c r="H471" s="19" t="inlineStr">
        <is>
          <t>2</t>
        </is>
      </c>
      <c r="I471" s="19" t="n"/>
      <c r="J471" s="19" t="n"/>
      <c r="K471" s="19" t="inlineStr">
        <is>
          <t>2</t>
        </is>
      </c>
      <c r="L471" t="inlineStr">
        <is>
          <t>2026-08-08</t>
        </is>
      </c>
      <c r="N471" t="inlineStr">
        <is>
          <t>IN_SCOPE_FINAL; SOURCE_CFG=IA-ST-CFG-0093; MARKET=JANENE İSRAİL; STATUS=IN OEM / EU PACKAGE</t>
        </is>
      </c>
      <c r="O471" t="inlineStr">
        <is>
          <t>2026-08-10T19:29:54Z</t>
        </is>
      </c>
      <c r="P471" t="inlineStr">
        <is>
          <t>2026-08-10T19:29:54Z</t>
        </is>
      </c>
    </row>
    <row r="472">
      <c r="A472" s="19" t="inlineStr">
        <is>
          <t>471</t>
        </is>
      </c>
      <c r="B472" s="19" t="inlineStr">
        <is>
          <t>SC-1003977-ST-045-STD-05</t>
        </is>
      </c>
      <c r="C472" t="inlineStr">
        <is>
          <t>1003977 → ST-045-STD-05</t>
        </is>
      </c>
      <c r="D472" s="19" t="inlineStr">
        <is>
          <t>2</t>
        </is>
      </c>
      <c r="E472" s="19" t="inlineStr">
        <is>
          <t>25</t>
        </is>
      </c>
      <c r="F472" s="19" t="inlineStr">
        <is>
          <t>76</t>
        </is>
      </c>
      <c r="G472" s="19" t="n"/>
      <c r="H472" s="19" t="inlineStr">
        <is>
          <t>2</t>
        </is>
      </c>
      <c r="I472" s="19" t="n"/>
      <c r="J472" s="19" t="n"/>
      <c r="K472" s="19" t="inlineStr">
        <is>
          <t>2</t>
        </is>
      </c>
      <c r="L472" t="inlineStr">
        <is>
          <t>2026-08-08</t>
        </is>
      </c>
      <c r="N472" t="inlineStr">
        <is>
          <t>IN_SCOPE_FINAL; SOURCE_CFG=IA-ST-CFG-0093; MARKET=None; STATUS=IN OEM / EU PACKAGE</t>
        </is>
      </c>
      <c r="O472" t="inlineStr">
        <is>
          <t>2026-08-10T19:29:54Z</t>
        </is>
      </c>
      <c r="P472" t="inlineStr">
        <is>
          <t>2026-08-10T19:29:54Z</t>
        </is>
      </c>
    </row>
    <row r="473">
      <c r="A473" s="19" t="inlineStr">
        <is>
          <t>472</t>
        </is>
      </c>
      <c r="B473" s="19" t="inlineStr">
        <is>
          <t>SC-1007599-ST-045-STD-05</t>
        </is>
      </c>
      <c r="C473" t="inlineStr">
        <is>
          <t>1007599 → ST-045-STD-05</t>
        </is>
      </c>
      <c r="D473" s="19" t="inlineStr">
        <is>
          <t>2</t>
        </is>
      </c>
      <c r="E473" s="19" t="inlineStr">
        <is>
          <t>70</t>
        </is>
      </c>
      <c r="F473" s="19" t="inlineStr">
        <is>
          <t>76</t>
        </is>
      </c>
      <c r="G473" s="19" t="n"/>
      <c r="H473" s="19" t="inlineStr">
        <is>
          <t>2</t>
        </is>
      </c>
      <c r="I473" s="19" t="n"/>
      <c r="J473" s="19" t="n"/>
      <c r="K473" s="19" t="inlineStr">
        <is>
          <t>2</t>
        </is>
      </c>
      <c r="L473" t="inlineStr">
        <is>
          <t>2026-08-08</t>
        </is>
      </c>
      <c r="N473" t="inlineStr">
        <is>
          <t>IN_SCOPE_FINAL; SOURCE_CFG=IA-ST-CFG-0093; MARKET=SHAWKAT; STATUS=IN OEM / EU PACKAGE</t>
        </is>
      </c>
      <c r="O473" t="inlineStr">
        <is>
          <t>2026-08-10T19:29:54Z</t>
        </is>
      </c>
      <c r="P473" t="inlineStr">
        <is>
          <t>2026-08-10T19:29:54Z</t>
        </is>
      </c>
    </row>
    <row r="474">
      <c r="A474" s="19" t="inlineStr">
        <is>
          <t>473</t>
        </is>
      </c>
      <c r="B474" s="19" t="inlineStr">
        <is>
          <t>SC-1007653-ST-045-STD-05</t>
        </is>
      </c>
      <c r="C474" t="inlineStr">
        <is>
          <t>1007653 → ST-045-STD-05</t>
        </is>
      </c>
      <c r="D474" s="19" t="inlineStr">
        <is>
          <t>2</t>
        </is>
      </c>
      <c r="E474" s="19" t="inlineStr">
        <is>
          <t>75</t>
        </is>
      </c>
      <c r="F474" s="19" t="inlineStr">
        <is>
          <t>76</t>
        </is>
      </c>
      <c r="G474" s="19" t="n"/>
      <c r="H474" s="19" t="inlineStr">
        <is>
          <t>2</t>
        </is>
      </c>
      <c r="I474" s="19" t="n"/>
      <c r="J474" s="19" t="n"/>
      <c r="K474" s="19" t="inlineStr">
        <is>
          <t>2</t>
        </is>
      </c>
      <c r="L474" t="inlineStr">
        <is>
          <t>2026-08-08</t>
        </is>
      </c>
      <c r="N474" t="inlineStr">
        <is>
          <t>IN_SCOPE_FINAL; SOURCE_CFG=IA-ST-CFG-0093; MARKET=SHAWKAT; STATUS=IN OEM / EU PACKAGE</t>
        </is>
      </c>
      <c r="O474" t="inlineStr">
        <is>
          <t>2026-08-10T19:29:54Z</t>
        </is>
      </c>
      <c r="P474" t="inlineStr">
        <is>
          <t>2026-08-10T19:29:54Z</t>
        </is>
      </c>
    </row>
    <row r="475">
      <c r="A475" s="19" t="inlineStr">
        <is>
          <t>474</t>
        </is>
      </c>
      <c r="B475" s="19" t="inlineStr">
        <is>
          <t>SC-1007985-ST-045-STD-05</t>
        </is>
      </c>
      <c r="C475" t="inlineStr">
        <is>
          <t>1007985 → ST-045-STD-05</t>
        </is>
      </c>
      <c r="D475" s="19" t="inlineStr">
        <is>
          <t>2</t>
        </is>
      </c>
      <c r="E475" s="19" t="inlineStr">
        <is>
          <t>77</t>
        </is>
      </c>
      <c r="F475" s="19" t="inlineStr">
        <is>
          <t>76</t>
        </is>
      </c>
      <c r="G475" s="19" t="n"/>
      <c r="H475" s="19" t="inlineStr">
        <is>
          <t>2</t>
        </is>
      </c>
      <c r="I475" s="19" t="n"/>
      <c r="J475" s="19" t="n"/>
      <c r="K475" s="19" t="inlineStr">
        <is>
          <t>2</t>
        </is>
      </c>
      <c r="L475" t="inlineStr">
        <is>
          <t>2026-08-08</t>
        </is>
      </c>
      <c r="N475" t="inlineStr">
        <is>
          <t>IN_SCOPE_FINAL; SOURCE_CFG=IA-ST-CFG-0093; MARKET=SHAWKAT; STATUS=IN OEM / EU PACKAGE</t>
        </is>
      </c>
      <c r="O475" t="inlineStr">
        <is>
          <t>2026-08-10T19:29:54Z</t>
        </is>
      </c>
      <c r="P475" t="inlineStr">
        <is>
          <t>2026-08-10T19:29:54Z</t>
        </is>
      </c>
    </row>
    <row r="476">
      <c r="A476" s="19" t="inlineStr">
        <is>
          <t>475</t>
        </is>
      </c>
      <c r="B476" s="19" t="inlineStr">
        <is>
          <t>SC-1008964-ST-045-STD-05</t>
        </is>
      </c>
      <c r="C476" t="inlineStr">
        <is>
          <t>1008964 → ST-045-STD-05</t>
        </is>
      </c>
      <c r="D476" s="19" t="inlineStr">
        <is>
          <t>2</t>
        </is>
      </c>
      <c r="E476" s="19" t="inlineStr">
        <is>
          <t>97</t>
        </is>
      </c>
      <c r="F476" s="19" t="inlineStr">
        <is>
          <t>76</t>
        </is>
      </c>
      <c r="G476" s="19" t="n"/>
      <c r="H476" s="19" t="inlineStr">
        <is>
          <t>2</t>
        </is>
      </c>
      <c r="I476" s="19" t="n"/>
      <c r="J476" s="19" t="n"/>
      <c r="K476" s="19" t="inlineStr">
        <is>
          <t>2</t>
        </is>
      </c>
      <c r="L476" t="inlineStr">
        <is>
          <t>2026-08-08</t>
        </is>
      </c>
      <c r="N476" t="inlineStr">
        <is>
          <t>IN_SCOPE_FINAL; SOURCE_CFG=IA-ST-CFG-0093; MARKET=NASA; STATUS=IN OEM / EU PACKAGE</t>
        </is>
      </c>
      <c r="O476" t="inlineStr">
        <is>
          <t>2026-08-10T19:29:54Z</t>
        </is>
      </c>
      <c r="P476" t="inlineStr">
        <is>
          <t>2026-08-10T19:29:54Z</t>
        </is>
      </c>
    </row>
    <row r="477">
      <c r="A477" s="19" t="inlineStr">
        <is>
          <t>476</t>
        </is>
      </c>
      <c r="B477" s="19" t="inlineStr">
        <is>
          <t>SC-1010469-ST-045-STD-05</t>
        </is>
      </c>
      <c r="C477" t="inlineStr">
        <is>
          <t>1010469 → ST-045-STD-05</t>
        </is>
      </c>
      <c r="D477" s="19" t="inlineStr">
        <is>
          <t>2</t>
        </is>
      </c>
      <c r="E477" s="19" t="inlineStr">
        <is>
          <t>196</t>
        </is>
      </c>
      <c r="F477" s="19" t="inlineStr">
        <is>
          <t>76</t>
        </is>
      </c>
      <c r="G477" s="19" t="n"/>
      <c r="H477" s="19" t="inlineStr">
        <is>
          <t>2</t>
        </is>
      </c>
      <c r="I477" s="19" t="n"/>
      <c r="J477" s="19" t="n"/>
      <c r="K477" s="19" t="inlineStr">
        <is>
          <t>2</t>
        </is>
      </c>
      <c r="L477" t="inlineStr">
        <is>
          <t>2026-08-08</t>
        </is>
      </c>
      <c r="N477" t="inlineStr">
        <is>
          <t>IN_SCOPE_FINAL; SOURCE_CFG=IA-ST-CFG-0093; MARKET=None; STATUS=IN OEM / EU PACKAGE</t>
        </is>
      </c>
      <c r="O477" t="inlineStr">
        <is>
          <t>2026-08-10T19:29:54Z</t>
        </is>
      </c>
      <c r="P477" t="inlineStr">
        <is>
          <t>2026-08-10T19:29:54Z</t>
        </is>
      </c>
    </row>
    <row r="478">
      <c r="A478" s="19" t="inlineStr">
        <is>
          <t>477</t>
        </is>
      </c>
      <c r="B478" s="19" t="inlineStr">
        <is>
          <t>SC-1010471-ST-045-STD-05</t>
        </is>
      </c>
      <c r="C478" t="inlineStr">
        <is>
          <t>1010471 → ST-045-STD-05</t>
        </is>
      </c>
      <c r="D478" s="19" t="inlineStr">
        <is>
          <t>2</t>
        </is>
      </c>
      <c r="E478" s="19" t="inlineStr">
        <is>
          <t>197</t>
        </is>
      </c>
      <c r="F478" s="19" t="inlineStr">
        <is>
          <t>76</t>
        </is>
      </c>
      <c r="G478" s="19" t="n"/>
      <c r="H478" s="19" t="inlineStr">
        <is>
          <t>2</t>
        </is>
      </c>
      <c r="I478" s="19" t="n"/>
      <c r="J478" s="19" t="n"/>
      <c r="K478" s="19" t="inlineStr">
        <is>
          <t>2</t>
        </is>
      </c>
      <c r="L478" t="inlineStr">
        <is>
          <t>2026-08-08</t>
        </is>
      </c>
      <c r="N478" t="inlineStr">
        <is>
          <t>IN_SCOPE_FINAL; SOURCE_CFG=IA-ST-CFG-0093; MARKET=SHAWKAT; STATUS=IN OEM / EU PACKAGE</t>
        </is>
      </c>
      <c r="O478" t="inlineStr">
        <is>
          <t>2026-08-10T19:29:54Z</t>
        </is>
      </c>
      <c r="P478" t="inlineStr">
        <is>
          <t>2026-08-10T19:29:54Z</t>
        </is>
      </c>
    </row>
    <row r="479">
      <c r="A479" s="19" t="inlineStr">
        <is>
          <t>478</t>
        </is>
      </c>
      <c r="B479" s="19" t="inlineStr">
        <is>
          <t>SC-1011027-ST-045-STD-05</t>
        </is>
      </c>
      <c r="C479" t="inlineStr">
        <is>
          <t>1011027 → ST-045-STD-05</t>
        </is>
      </c>
      <c r="D479" s="19" t="inlineStr">
        <is>
          <t>2</t>
        </is>
      </c>
      <c r="E479" s="19" t="inlineStr">
        <is>
          <t>225</t>
        </is>
      </c>
      <c r="F479" s="19" t="inlineStr">
        <is>
          <t>76</t>
        </is>
      </c>
      <c r="G479" s="19" t="n"/>
      <c r="H479" s="19" t="inlineStr">
        <is>
          <t>2</t>
        </is>
      </c>
      <c r="I479" s="19" t="n"/>
      <c r="J479" s="19" t="n"/>
      <c r="K479" s="19" t="inlineStr">
        <is>
          <t>2</t>
        </is>
      </c>
      <c r="L479" t="inlineStr">
        <is>
          <t>2026-08-08</t>
        </is>
      </c>
      <c r="N479" t="inlineStr">
        <is>
          <t>IN_SCOPE_FINAL; SOURCE_CFG=IA-ST-CFG-0093; MARKET=NASA; STATUS=IN OEM / EU PACKAGE</t>
        </is>
      </c>
      <c r="O479" t="inlineStr">
        <is>
          <t>2026-08-10T19:29:54Z</t>
        </is>
      </c>
      <c r="P479" t="inlineStr">
        <is>
          <t>2026-08-10T19:29:54Z</t>
        </is>
      </c>
    </row>
    <row r="480">
      <c r="A480" s="19" t="inlineStr">
        <is>
          <t>479</t>
        </is>
      </c>
      <c r="B480" s="19" t="inlineStr">
        <is>
          <t>SC-1013055-ST-045-STD-05</t>
        </is>
      </c>
      <c r="C480" t="inlineStr">
        <is>
          <t>1013055 → ST-045-STD-05</t>
        </is>
      </c>
      <c r="D480" s="19" t="inlineStr">
        <is>
          <t>2</t>
        </is>
      </c>
      <c r="E480" s="19" t="inlineStr">
        <is>
          <t>906</t>
        </is>
      </c>
      <c r="F480" s="19" t="inlineStr">
        <is>
          <t>76</t>
        </is>
      </c>
      <c r="G480" s="19" t="n"/>
      <c r="H480" s="19" t="inlineStr">
        <is>
          <t>2</t>
        </is>
      </c>
      <c r="I480" s="19" t="n"/>
      <c r="J480" s="19" t="n"/>
      <c r="K480" s="19" t="inlineStr">
        <is>
          <t>2</t>
        </is>
      </c>
      <c r="L480" t="inlineStr">
        <is>
          <t>2026-08-08</t>
        </is>
      </c>
      <c r="N480" t="inlineStr">
        <is>
          <t>IN_SCOPE_FINAL; SOURCE_CFG=IA-ST-CFG-0093; MARKET=JANENE İSRAİL; STATUS=IN OEM / EU PACKAGE</t>
        </is>
      </c>
      <c r="O480" t="inlineStr">
        <is>
          <t>2026-08-10T19:29:54Z</t>
        </is>
      </c>
      <c r="P480" t="inlineStr">
        <is>
          <t>2026-08-10T19:29:54Z</t>
        </is>
      </c>
    </row>
    <row r="481">
      <c r="A481" s="19" t="inlineStr">
        <is>
          <t>480</t>
        </is>
      </c>
      <c r="B481" s="19" t="inlineStr">
        <is>
          <t>SC-1013723-ST-045-STD-05</t>
        </is>
      </c>
      <c r="C481" t="inlineStr">
        <is>
          <t>1013723 → ST-045-STD-05</t>
        </is>
      </c>
      <c r="D481" s="19" t="inlineStr">
        <is>
          <t>2</t>
        </is>
      </c>
      <c r="E481" s="19" t="inlineStr">
        <is>
          <t>1073</t>
        </is>
      </c>
      <c r="F481" s="19" t="inlineStr">
        <is>
          <t>76</t>
        </is>
      </c>
      <c r="G481" s="19" t="n"/>
      <c r="H481" s="19" t="inlineStr">
        <is>
          <t>2</t>
        </is>
      </c>
      <c r="I481" s="19" t="n"/>
      <c r="J481" s="19" t="n"/>
      <c r="K481" s="19" t="inlineStr">
        <is>
          <t>2</t>
        </is>
      </c>
      <c r="L481" t="inlineStr">
        <is>
          <t>2026-08-08</t>
        </is>
      </c>
      <c r="N481" t="inlineStr">
        <is>
          <t>IN_SCOPE_FINAL; SOURCE_CFG=IA-ST-CFG-0093; MARKET=None; STATUS=IN OEM / EU PACKAGE</t>
        </is>
      </c>
      <c r="O481" t="inlineStr">
        <is>
          <t>2026-08-10T19:29:54Z</t>
        </is>
      </c>
      <c r="P481" t="inlineStr">
        <is>
          <t>2026-08-10T19:29:54Z</t>
        </is>
      </c>
    </row>
    <row r="482">
      <c r="A482" s="19" t="inlineStr">
        <is>
          <t>481</t>
        </is>
      </c>
      <c r="B482" s="19" t="inlineStr">
        <is>
          <t>SC-1014377-ST-045-STD-05</t>
        </is>
      </c>
      <c r="C482" t="inlineStr">
        <is>
          <t>1014377 → ST-045-STD-05</t>
        </is>
      </c>
      <c r="D482" s="19" t="inlineStr">
        <is>
          <t>2</t>
        </is>
      </c>
      <c r="E482" s="19" t="inlineStr">
        <is>
          <t>1332</t>
        </is>
      </c>
      <c r="F482" s="19" t="inlineStr">
        <is>
          <t>76</t>
        </is>
      </c>
      <c r="G482" s="19" t="n"/>
      <c r="H482" s="19" t="inlineStr">
        <is>
          <t>2</t>
        </is>
      </c>
      <c r="I482" s="19" t="n"/>
      <c r="J482" s="19" t="n"/>
      <c r="K482" s="19" t="inlineStr">
        <is>
          <t>2</t>
        </is>
      </c>
      <c r="L482" t="inlineStr">
        <is>
          <t>2026-08-08</t>
        </is>
      </c>
      <c r="N482" t="inlineStr">
        <is>
          <t>IN_SCOPE_FINAL; SOURCE_CFG=IA-ST-CFG-0093; MARKET=None; STATUS=IN OEM / EU PACKAGE</t>
        </is>
      </c>
      <c r="O482" t="inlineStr">
        <is>
          <t>2026-08-10T19:29:54Z</t>
        </is>
      </c>
      <c r="P482" t="inlineStr">
        <is>
          <t>2026-08-10T19:29:54Z</t>
        </is>
      </c>
    </row>
    <row r="483">
      <c r="A483" s="19" t="inlineStr">
        <is>
          <t>482</t>
        </is>
      </c>
      <c r="B483" s="19" t="inlineStr">
        <is>
          <t>SC-1015151-ST-045-STD-05</t>
        </is>
      </c>
      <c r="C483" t="inlineStr">
        <is>
          <t>1015151 → ST-045-STD-05</t>
        </is>
      </c>
      <c r="D483" s="19" t="inlineStr">
        <is>
          <t>2</t>
        </is>
      </c>
      <c r="E483" s="19" t="inlineStr">
        <is>
          <t>1900</t>
        </is>
      </c>
      <c r="F483" s="19" t="inlineStr">
        <is>
          <t>76</t>
        </is>
      </c>
      <c r="G483" s="19" t="n"/>
      <c r="H483" s="19" t="inlineStr">
        <is>
          <t>2</t>
        </is>
      </c>
      <c r="I483" s="19" t="n"/>
      <c r="J483" s="19" t="n"/>
      <c r="K483" s="19" t="inlineStr">
        <is>
          <t>2</t>
        </is>
      </c>
      <c r="L483" t="inlineStr">
        <is>
          <t>2026-08-08</t>
        </is>
      </c>
      <c r="N483" t="inlineStr">
        <is>
          <t>IN_SCOPE_FINAL; SOURCE_CFG=IA-ST-CFG-0093; MARKET=None; STATUS=IN OEM / EU PACKAGE</t>
        </is>
      </c>
      <c r="O483" t="inlineStr">
        <is>
          <t>2026-08-10T19:29:54Z</t>
        </is>
      </c>
      <c r="P483" t="inlineStr">
        <is>
          <t>2026-08-10T19:29:54Z</t>
        </is>
      </c>
    </row>
    <row r="484">
      <c r="A484" s="19" t="inlineStr">
        <is>
          <t>483</t>
        </is>
      </c>
      <c r="B484" s="19" t="inlineStr">
        <is>
          <t>SC-1015290-ST-045-STD-05</t>
        </is>
      </c>
      <c r="C484" t="inlineStr">
        <is>
          <t>1015290 → ST-045-STD-05</t>
        </is>
      </c>
      <c r="D484" s="19" t="inlineStr">
        <is>
          <t>2</t>
        </is>
      </c>
      <c r="E484" s="19" t="inlineStr">
        <is>
          <t>2023</t>
        </is>
      </c>
      <c r="F484" s="19" t="inlineStr">
        <is>
          <t>76</t>
        </is>
      </c>
      <c r="G484" s="19" t="n"/>
      <c r="H484" s="19" t="inlineStr">
        <is>
          <t>2</t>
        </is>
      </c>
      <c r="I484" s="19" t="n"/>
      <c r="J484" s="19" t="n"/>
      <c r="K484" s="19" t="inlineStr">
        <is>
          <t>2</t>
        </is>
      </c>
      <c r="L484" t="inlineStr">
        <is>
          <t>2026-08-08</t>
        </is>
      </c>
      <c r="N484" t="inlineStr">
        <is>
          <t>IN_SCOPE_FINAL; SOURCE_CFG=IA-ST-CFG-0093; MARKET=None; STATUS=IN OEM / EU PACKAGE</t>
        </is>
      </c>
      <c r="O484" t="inlineStr">
        <is>
          <t>2026-08-10T19:29:54Z</t>
        </is>
      </c>
      <c r="P484" t="inlineStr">
        <is>
          <t>2026-08-10T19:29:54Z</t>
        </is>
      </c>
    </row>
    <row r="485">
      <c r="A485" s="19" t="inlineStr">
        <is>
          <t>484</t>
        </is>
      </c>
      <c r="B485" s="19" t="inlineStr">
        <is>
          <t>SC-1009898-ST-045-STD-05</t>
        </is>
      </c>
      <c r="C485" t="inlineStr">
        <is>
          <t>1009898 → ST-045-STD-05</t>
        </is>
      </c>
      <c r="D485" s="19" t="inlineStr">
        <is>
          <t>2</t>
        </is>
      </c>
      <c r="E485" s="19" t="inlineStr">
        <is>
          <t>123</t>
        </is>
      </c>
      <c r="F485" s="19" t="inlineStr">
        <is>
          <t>76</t>
        </is>
      </c>
      <c r="G485" s="19" t="n"/>
      <c r="H485" s="19" t="inlineStr">
        <is>
          <t>2</t>
        </is>
      </c>
      <c r="I485" s="19" t="n"/>
      <c r="J485" s="19" t="n"/>
      <c r="K485" s="19" t="inlineStr">
        <is>
          <t>2</t>
        </is>
      </c>
      <c r="L485" t="inlineStr">
        <is>
          <t>2026-08-08</t>
        </is>
      </c>
      <c r="N485" t="inlineStr">
        <is>
          <t>IN_SCOPE_FINAL; SOURCE_CFG=IA-ST-CFG-0093; MARKET=ISUZU (Yurt İçi); STATUS=IN OEM / EU PACKAGE</t>
        </is>
      </c>
      <c r="O485" t="inlineStr">
        <is>
          <t>2026-08-10T19:29:54Z</t>
        </is>
      </c>
      <c r="P485" t="inlineStr">
        <is>
          <t>2026-08-10T19:29:54Z</t>
        </is>
      </c>
    </row>
    <row r="486">
      <c r="A486" s="19" t="inlineStr">
        <is>
          <t>485</t>
        </is>
      </c>
      <c r="B486" s="19" t="inlineStr">
        <is>
          <t>SC-1009899-ST-045-STD-05</t>
        </is>
      </c>
      <c r="C486" t="inlineStr">
        <is>
          <t>1009899 → ST-045-STD-05</t>
        </is>
      </c>
      <c r="D486" s="19" t="inlineStr">
        <is>
          <t>2</t>
        </is>
      </c>
      <c r="E486" s="19" t="inlineStr">
        <is>
          <t>124</t>
        </is>
      </c>
      <c r="F486" s="19" t="inlineStr">
        <is>
          <t>76</t>
        </is>
      </c>
      <c r="G486" s="19" t="n"/>
      <c r="H486" s="19" t="inlineStr">
        <is>
          <t>2</t>
        </is>
      </c>
      <c r="I486" s="19" t="n"/>
      <c r="J486" s="19" t="n"/>
      <c r="K486" s="19" t="inlineStr">
        <is>
          <t>2</t>
        </is>
      </c>
      <c r="L486" t="inlineStr">
        <is>
          <t>2026-08-08</t>
        </is>
      </c>
      <c r="N486" t="inlineStr">
        <is>
          <t>IN_SCOPE_FINAL; SOURCE_CFG=IA-ST-CFG-0093; MARKET=ISUZU (Yurt İçi); STATUS=IN OEM / EU PACKAGE</t>
        </is>
      </c>
      <c r="O486" t="inlineStr">
        <is>
          <t>2026-08-10T19:29:54Z</t>
        </is>
      </c>
      <c r="P486" t="inlineStr">
        <is>
          <t>2026-08-10T19:29:54Z</t>
        </is>
      </c>
    </row>
    <row r="487">
      <c r="A487" s="19" t="inlineStr">
        <is>
          <t>486</t>
        </is>
      </c>
      <c r="B487" s="19" t="inlineStr">
        <is>
          <t>SC-1013906-ST-045-STD-05</t>
        </is>
      </c>
      <c r="C487" t="inlineStr">
        <is>
          <t>1013906 → ST-045-STD-05</t>
        </is>
      </c>
      <c r="D487" s="19" t="inlineStr">
        <is>
          <t>2</t>
        </is>
      </c>
      <c r="E487" s="19" t="inlineStr">
        <is>
          <t>1129</t>
        </is>
      </c>
      <c r="F487" s="19" t="inlineStr">
        <is>
          <t>76</t>
        </is>
      </c>
      <c r="G487" s="19" t="n"/>
      <c r="H487" s="19" t="inlineStr">
        <is>
          <t>2</t>
        </is>
      </c>
      <c r="I487" s="19" t="n"/>
      <c r="J487" s="19" t="n"/>
      <c r="K487" s="19" t="inlineStr">
        <is>
          <t>2</t>
        </is>
      </c>
      <c r="L487" t="inlineStr">
        <is>
          <t>2026-08-08</t>
        </is>
      </c>
      <c r="N487" t="inlineStr">
        <is>
          <t>IN_SCOPE_FINAL; SOURCE_CFG=IA-ST-CFG-0093; MARKET=HATTAT (Yurt İçi); STATUS=IN OEM / EU PACKAGE</t>
        </is>
      </c>
      <c r="O487" t="inlineStr">
        <is>
          <t>2026-08-10T19:29:54Z</t>
        </is>
      </c>
      <c r="P487" t="inlineStr">
        <is>
          <t>2026-08-10T19:29:54Z</t>
        </is>
      </c>
    </row>
    <row r="488">
      <c r="A488" s="19" t="inlineStr">
        <is>
          <t>487</t>
        </is>
      </c>
      <c r="B488" s="19" t="inlineStr">
        <is>
          <t>SC-1014920-ST-045-STD-05</t>
        </is>
      </c>
      <c r="C488" t="inlineStr">
        <is>
          <t>1014920 → ST-045-STD-05</t>
        </is>
      </c>
      <c r="D488" s="19" t="inlineStr">
        <is>
          <t>2</t>
        </is>
      </c>
      <c r="E488" s="19" t="inlineStr">
        <is>
          <t>1688</t>
        </is>
      </c>
      <c r="F488" s="19" t="inlineStr">
        <is>
          <t>76</t>
        </is>
      </c>
      <c r="G488" s="19" t="n"/>
      <c r="H488" s="19" t="inlineStr">
        <is>
          <t>2</t>
        </is>
      </c>
      <c r="I488" s="19" t="n"/>
      <c r="J488" s="19" t="n"/>
      <c r="K488" s="19" t="inlineStr">
        <is>
          <t>2</t>
        </is>
      </c>
      <c r="L488" t="inlineStr">
        <is>
          <t>2026-08-08</t>
        </is>
      </c>
      <c r="N488" t="inlineStr">
        <is>
          <t>IN_SCOPE_FINAL; SOURCE_CFG=IA-ST-CFG-0093; MARKET=CEYTECH İŞ MAKİNALARI OEM (Yurt İçi); STATUS=IN OEM / EU PACKAGE</t>
        </is>
      </c>
      <c r="O488" t="inlineStr">
        <is>
          <t>2026-08-10T19:29:54Z</t>
        </is>
      </c>
      <c r="P488" t="inlineStr">
        <is>
          <t>2026-08-10T19:29:54Z</t>
        </is>
      </c>
    </row>
    <row r="489">
      <c r="A489" s="19" t="inlineStr">
        <is>
          <t>488</t>
        </is>
      </c>
      <c r="B489" s="19" t="inlineStr">
        <is>
          <t>SC-1014724-ST-045-STD-06</t>
        </is>
      </c>
      <c r="C489" t="inlineStr">
        <is>
          <t>1014724 → ST-045-STD-06</t>
        </is>
      </c>
      <c r="D489" s="19" t="inlineStr">
        <is>
          <t>2</t>
        </is>
      </c>
      <c r="E489" s="19" t="inlineStr">
        <is>
          <t>1565</t>
        </is>
      </c>
      <c r="F489" s="19" t="inlineStr">
        <is>
          <t>77</t>
        </is>
      </c>
      <c r="G489" s="19" t="n"/>
      <c r="H489" s="19" t="inlineStr">
        <is>
          <t>2</t>
        </is>
      </c>
      <c r="I489" s="19" t="n"/>
      <c r="J489" s="19" t="n"/>
      <c r="K489" s="19" t="inlineStr">
        <is>
          <t>2</t>
        </is>
      </c>
      <c r="L489" t="inlineStr">
        <is>
          <t>2026-08-08</t>
        </is>
      </c>
      <c r="N489" t="inlineStr">
        <is>
          <t>IN_SCOPE_FINAL; SOURCE_CFG=IA-ST-CFG-0094; MARKET=None; STATUS=IN OEM / EU PACKAGE</t>
        </is>
      </c>
      <c r="O489" t="inlineStr">
        <is>
          <t>2026-08-10T19:29:54Z</t>
        </is>
      </c>
      <c r="P489" t="inlineStr">
        <is>
          <t>2026-08-10T19:29:54Z</t>
        </is>
      </c>
    </row>
    <row r="490">
      <c r="A490" s="19" t="inlineStr">
        <is>
          <t>489</t>
        </is>
      </c>
      <c r="B490" s="19" t="inlineStr">
        <is>
          <t>SC-1014848-ST-045-STD-07</t>
        </is>
      </c>
      <c r="C490" t="inlineStr">
        <is>
          <t>1014848 → ST-045-STD-07</t>
        </is>
      </c>
      <c r="D490" s="19" t="inlineStr">
        <is>
          <t>2</t>
        </is>
      </c>
      <c r="E490" s="19" t="inlineStr">
        <is>
          <t>1632</t>
        </is>
      </c>
      <c r="F490" s="19" t="inlineStr">
        <is>
          <t>78</t>
        </is>
      </c>
      <c r="G490" s="19" t="n"/>
      <c r="H490" s="19" t="inlineStr">
        <is>
          <t>2</t>
        </is>
      </c>
      <c r="I490" s="19" t="n"/>
      <c r="J490" s="19" t="n"/>
      <c r="K490" s="19" t="inlineStr">
        <is>
          <t>2</t>
        </is>
      </c>
      <c r="L490" t="inlineStr">
        <is>
          <t>2026-08-08</t>
        </is>
      </c>
      <c r="N490" t="inlineStr">
        <is>
          <t>IN_SCOPE_FINAL; SOURCE_CFG=IA-ST-CFG-0095; MARKET=None; STATUS=IN OEM / EU PACKAGE</t>
        </is>
      </c>
      <c r="O490" t="inlineStr">
        <is>
          <t>2026-08-10T19:29:54Z</t>
        </is>
      </c>
      <c r="P490" t="inlineStr">
        <is>
          <t>2026-08-10T19:29:54Z</t>
        </is>
      </c>
    </row>
    <row r="491">
      <c r="A491" s="19" t="inlineStr">
        <is>
          <t>490</t>
        </is>
      </c>
      <c r="B491" s="19" t="inlineStr">
        <is>
          <t>SC-1014316-ST-045-STD-08</t>
        </is>
      </c>
      <c r="C491" t="inlineStr">
        <is>
          <t>1014316 → ST-045-STD-08</t>
        </is>
      </c>
      <c r="D491" s="19" t="inlineStr">
        <is>
          <t>2</t>
        </is>
      </c>
      <c r="E491" s="19" t="inlineStr">
        <is>
          <t>1303</t>
        </is>
      </c>
      <c r="F491" s="19" t="inlineStr">
        <is>
          <t>79</t>
        </is>
      </c>
      <c r="G491" s="19" t="n"/>
      <c r="H491" s="19" t="inlineStr">
        <is>
          <t>2</t>
        </is>
      </c>
      <c r="I491" s="19" t="n"/>
      <c r="J491" s="19" t="n"/>
      <c r="K491" s="19" t="inlineStr">
        <is>
          <t>2</t>
        </is>
      </c>
      <c r="L491" t="inlineStr">
        <is>
          <t>2026-08-08</t>
        </is>
      </c>
      <c r="N491" t="inlineStr">
        <is>
          <t>IN_SCOPE_FINAL; SOURCE_CFG=IA-ST-CFG-0096; MARKET=None; STATUS=IN OEM / EU PACKAGE</t>
        </is>
      </c>
      <c r="O491" t="inlineStr">
        <is>
          <t>2026-08-10T19:29:54Z</t>
        </is>
      </c>
      <c r="P491" t="inlineStr">
        <is>
          <t>2026-08-10T19:29:54Z</t>
        </is>
      </c>
    </row>
    <row r="492">
      <c r="A492" s="19" t="inlineStr">
        <is>
          <t>491</t>
        </is>
      </c>
      <c r="B492" s="19" t="inlineStr">
        <is>
          <t>SC-1011324-ST-045-STD-08</t>
        </is>
      </c>
      <c r="C492" t="inlineStr">
        <is>
          <t>1011324 → ST-045-STD-08</t>
        </is>
      </c>
      <c r="D492" s="19" t="inlineStr">
        <is>
          <t>2</t>
        </is>
      </c>
      <c r="E492" s="19" t="inlineStr">
        <is>
          <t>295</t>
        </is>
      </c>
      <c r="F492" s="19" t="inlineStr">
        <is>
          <t>79</t>
        </is>
      </c>
      <c r="G492" s="19" t="n"/>
      <c r="H492" s="19" t="inlineStr">
        <is>
          <t>2</t>
        </is>
      </c>
      <c r="I492" s="19" t="n"/>
      <c r="J492" s="19" t="n"/>
      <c r="K492" s="19" t="inlineStr">
        <is>
          <t>2</t>
        </is>
      </c>
      <c r="L492" t="inlineStr">
        <is>
          <t>2026-08-08</t>
        </is>
      </c>
      <c r="N492" t="inlineStr">
        <is>
          <t>IN_SCOPE_FINAL; SOURCE_CFG=IA-ST-CFG-0096; MARKET=None; STATUS=IN OEM / EU PACKAGE</t>
        </is>
      </c>
      <c r="O492" t="inlineStr">
        <is>
          <t>2026-08-10T19:29:54Z</t>
        </is>
      </c>
      <c r="P492" t="inlineStr">
        <is>
          <t>2026-08-10T19:29:54Z</t>
        </is>
      </c>
    </row>
    <row r="493">
      <c r="A493" s="19" t="inlineStr">
        <is>
          <t>492</t>
        </is>
      </c>
      <c r="B493" s="19" t="inlineStr">
        <is>
          <t>SC-1012773-ST-045-STD-08</t>
        </is>
      </c>
      <c r="C493" t="inlineStr">
        <is>
          <t>1012773 → ST-045-STD-08</t>
        </is>
      </c>
      <c r="D493" s="19" t="inlineStr">
        <is>
          <t>2</t>
        </is>
      </c>
      <c r="E493" s="19" t="inlineStr">
        <is>
          <t>785</t>
        </is>
      </c>
      <c r="F493" s="19" t="inlineStr">
        <is>
          <t>79</t>
        </is>
      </c>
      <c r="G493" s="19" t="n"/>
      <c r="H493" s="19" t="inlineStr">
        <is>
          <t>2</t>
        </is>
      </c>
      <c r="I493" s="19" t="n"/>
      <c r="J493" s="19" t="n"/>
      <c r="K493" s="19" t="inlineStr">
        <is>
          <t>2</t>
        </is>
      </c>
      <c r="L493" t="inlineStr">
        <is>
          <t>2026-08-08</t>
        </is>
      </c>
      <c r="N493" t="inlineStr">
        <is>
          <t>IN_SCOPE_FINAL; SOURCE_CFG=IA-ST-CFG-0096; MARKET=MISIR EEC; STATUS=IN OEM / EU PACKAGE</t>
        </is>
      </c>
      <c r="O493" t="inlineStr">
        <is>
          <t>2026-08-10T19:29:54Z</t>
        </is>
      </c>
      <c r="P493" t="inlineStr">
        <is>
          <t>2026-08-10T19:29:54Z</t>
        </is>
      </c>
    </row>
    <row r="494">
      <c r="A494" s="19" t="inlineStr">
        <is>
          <t>493</t>
        </is>
      </c>
      <c r="B494" s="19" t="inlineStr">
        <is>
          <t>SC-1014896-ST-045-STD-08</t>
        </is>
      </c>
      <c r="C494" t="inlineStr">
        <is>
          <t>1014896 → ST-045-STD-08</t>
        </is>
      </c>
      <c r="D494" s="19" t="inlineStr">
        <is>
          <t>2</t>
        </is>
      </c>
      <c r="E494" s="19" t="inlineStr">
        <is>
          <t>1665</t>
        </is>
      </c>
      <c r="F494" s="19" t="inlineStr">
        <is>
          <t>79</t>
        </is>
      </c>
      <c r="G494" s="19" t="n"/>
      <c r="H494" s="19" t="inlineStr">
        <is>
          <t>2</t>
        </is>
      </c>
      <c r="I494" s="19" t="n"/>
      <c r="J494" s="19" t="n"/>
      <c r="K494" s="19" t="inlineStr">
        <is>
          <t>2</t>
        </is>
      </c>
      <c r="L494" t="inlineStr">
        <is>
          <t>2026-08-08</t>
        </is>
      </c>
      <c r="N494" t="inlineStr">
        <is>
          <t>IN_SCOPE_FINAL; SOURCE_CFG=IA-ST-CFG-0096; MARKET=REY &amp; LENFERNA LUCAS; STATUS=IN OEM / EU PACKAGE</t>
        </is>
      </c>
      <c r="O494" t="inlineStr">
        <is>
          <t>2026-08-10T19:29:54Z</t>
        </is>
      </c>
      <c r="P494" t="inlineStr">
        <is>
          <t>2026-08-10T19:29:54Z</t>
        </is>
      </c>
    </row>
    <row r="495">
      <c r="A495" s="19" t="inlineStr">
        <is>
          <t>494</t>
        </is>
      </c>
      <c r="B495" s="19" t="inlineStr">
        <is>
          <t>SC-1014958-ST-045-STD-08</t>
        </is>
      </c>
      <c r="C495" t="inlineStr">
        <is>
          <t>1014958 → ST-045-STD-08</t>
        </is>
      </c>
      <c r="D495" s="19" t="inlineStr">
        <is>
          <t>2</t>
        </is>
      </c>
      <c r="E495" s="19" t="inlineStr">
        <is>
          <t>1724</t>
        </is>
      </c>
      <c r="F495" s="19" t="inlineStr">
        <is>
          <t>79</t>
        </is>
      </c>
      <c r="G495" s="19" t="n"/>
      <c r="H495" s="19" t="inlineStr">
        <is>
          <t>2</t>
        </is>
      </c>
      <c r="I495" s="19" t="n"/>
      <c r="J495" s="19" t="n"/>
      <c r="K495" s="19" t="inlineStr">
        <is>
          <t>2</t>
        </is>
      </c>
      <c r="L495" t="inlineStr">
        <is>
          <t>2026-08-08</t>
        </is>
      </c>
      <c r="N495" t="inlineStr">
        <is>
          <t>IN_SCOPE_FINAL; SOURCE_CFG=IA-ST-CFG-0096; MARKET=SHAWKAT; STATUS=IN OEM / EU PACKAGE</t>
        </is>
      </c>
      <c r="O495" t="inlineStr">
        <is>
          <t>2026-08-10T19:29:54Z</t>
        </is>
      </c>
      <c r="P495" t="inlineStr">
        <is>
          <t>2026-08-10T19:29:54Z</t>
        </is>
      </c>
    </row>
    <row r="496">
      <c r="A496" s="19" t="inlineStr">
        <is>
          <t>495</t>
        </is>
      </c>
      <c r="B496" s="19" t="inlineStr">
        <is>
          <t>SC-1014613-ST-045-STD-08</t>
        </is>
      </c>
      <c r="C496" t="inlineStr">
        <is>
          <t>1014613 → ST-045-STD-08</t>
        </is>
      </c>
      <c r="D496" s="19" t="inlineStr">
        <is>
          <t>2</t>
        </is>
      </c>
      <c r="E496" s="19" t="inlineStr">
        <is>
          <t>1489</t>
        </is>
      </c>
      <c r="F496" s="19" t="inlineStr">
        <is>
          <t>79</t>
        </is>
      </c>
      <c r="G496" s="19" t="n"/>
      <c r="H496" s="19" t="inlineStr">
        <is>
          <t>2</t>
        </is>
      </c>
      <c r="I496" s="19" t="n"/>
      <c r="J496" s="19" t="n"/>
      <c r="K496" s="19" t="inlineStr">
        <is>
          <t>2</t>
        </is>
      </c>
      <c r="L496" t="inlineStr">
        <is>
          <t>2026-08-08</t>
        </is>
      </c>
      <c r="N496" t="inlineStr">
        <is>
          <t>IN_SCOPE_FINAL; SOURCE_CFG=IA-ST-CFG-0096; MARKET=MISIR ALSAFA; STATUS=IN OEM / EU PACKAGE</t>
        </is>
      </c>
      <c r="O496" t="inlineStr">
        <is>
          <t>2026-08-10T19:29:54Z</t>
        </is>
      </c>
      <c r="P496" t="inlineStr">
        <is>
          <t>2026-08-10T19:29:54Z</t>
        </is>
      </c>
    </row>
    <row r="497">
      <c r="A497" s="19" t="inlineStr">
        <is>
          <t>496</t>
        </is>
      </c>
      <c r="B497" s="19" t="inlineStr">
        <is>
          <t>SC-1009285-ST-045-STD-08</t>
        </is>
      </c>
      <c r="C497" t="inlineStr">
        <is>
          <t>1009285 → ST-045-STD-08</t>
        </is>
      </c>
      <c r="D497" s="19" t="inlineStr">
        <is>
          <t>2</t>
        </is>
      </c>
      <c r="E497" s="19" t="inlineStr">
        <is>
          <t>110</t>
        </is>
      </c>
      <c r="F497" s="19" t="inlineStr">
        <is>
          <t>79</t>
        </is>
      </c>
      <c r="G497" s="19" t="n"/>
      <c r="H497" s="19" t="inlineStr">
        <is>
          <t>2</t>
        </is>
      </c>
      <c r="I497" s="19" t="n"/>
      <c r="J497" s="19" t="n"/>
      <c r="K497" s="19" t="inlineStr">
        <is>
          <t>2</t>
        </is>
      </c>
      <c r="L497" t="inlineStr">
        <is>
          <t>2026-08-08</t>
        </is>
      </c>
      <c r="N497" t="inlineStr">
        <is>
          <t>IN_SCOPE_FINAL; SOURCE_CFG=IA-ST-CFG-0096; MARKET=NASA; STATUS=IN OEM / EU PACKAGE</t>
        </is>
      </c>
      <c r="O497" t="inlineStr">
        <is>
          <t>2026-08-10T19:29:54Z</t>
        </is>
      </c>
      <c r="P497" t="inlineStr">
        <is>
          <t>2026-08-10T19:29:54Z</t>
        </is>
      </c>
    </row>
    <row r="498">
      <c r="A498" s="19" t="inlineStr">
        <is>
          <t>497</t>
        </is>
      </c>
      <c r="B498" s="19" t="inlineStr">
        <is>
          <t>SC-1010111-ST-045-STD-08</t>
        </is>
      </c>
      <c r="C498" t="inlineStr">
        <is>
          <t>1010111 → ST-045-STD-08</t>
        </is>
      </c>
      <c r="D498" s="19" t="inlineStr">
        <is>
          <t>2</t>
        </is>
      </c>
      <c r="E498" s="19" t="inlineStr">
        <is>
          <t>161</t>
        </is>
      </c>
      <c r="F498" s="19" t="inlineStr">
        <is>
          <t>79</t>
        </is>
      </c>
      <c r="G498" s="19" t="n"/>
      <c r="H498" s="19" t="inlineStr">
        <is>
          <t>2</t>
        </is>
      </c>
      <c r="I498" s="19" t="n"/>
      <c r="J498" s="19" t="n"/>
      <c r="K498" s="19" t="inlineStr">
        <is>
          <t>2</t>
        </is>
      </c>
      <c r="L498" t="inlineStr">
        <is>
          <t>2026-08-08</t>
        </is>
      </c>
      <c r="N498" t="inlineStr">
        <is>
          <t>IN_SCOPE_FINAL; SOURCE_CFG=IA-ST-CFG-0096; MARKET=JANENE İSRAİL; STATUS=IN OEM / EU PACKAGE</t>
        </is>
      </c>
      <c r="O498" t="inlineStr">
        <is>
          <t>2026-08-10T19:29:54Z</t>
        </is>
      </c>
      <c r="P498" t="inlineStr">
        <is>
          <t>2026-08-10T19:29:54Z</t>
        </is>
      </c>
    </row>
    <row r="499">
      <c r="A499" s="19" t="inlineStr">
        <is>
          <t>498</t>
        </is>
      </c>
      <c r="B499" s="19" t="inlineStr">
        <is>
          <t>SC-1011301-ST-045-STD-08</t>
        </is>
      </c>
      <c r="C499" t="inlineStr">
        <is>
          <t>1011301 → ST-045-STD-08</t>
        </is>
      </c>
      <c r="D499" s="19" t="inlineStr">
        <is>
          <t>2</t>
        </is>
      </c>
      <c r="E499" s="19" t="inlineStr">
        <is>
          <t>293</t>
        </is>
      </c>
      <c r="F499" s="19" t="inlineStr">
        <is>
          <t>79</t>
        </is>
      </c>
      <c r="G499" s="19" t="n"/>
      <c r="H499" s="19" t="inlineStr">
        <is>
          <t>2</t>
        </is>
      </c>
      <c r="I499" s="19" t="n"/>
      <c r="J499" s="19" t="n"/>
      <c r="K499" s="19" t="inlineStr">
        <is>
          <t>2</t>
        </is>
      </c>
      <c r="L499" t="inlineStr">
        <is>
          <t>2026-08-08</t>
        </is>
      </c>
      <c r="N499" t="inlineStr">
        <is>
          <t>IN_SCOPE_FINAL; SOURCE_CFG=IA-ST-CFG-0096; MARKET=None; STATUS=IN OEM / EU PACKAGE</t>
        </is>
      </c>
      <c r="O499" t="inlineStr">
        <is>
          <t>2026-08-10T19:29:54Z</t>
        </is>
      </c>
      <c r="P499" t="inlineStr">
        <is>
          <t>2026-08-10T19:29:54Z</t>
        </is>
      </c>
    </row>
    <row r="500">
      <c r="A500" s="19" t="inlineStr">
        <is>
          <t>499</t>
        </is>
      </c>
      <c r="B500" s="19" t="inlineStr">
        <is>
          <t>SC-1015074-ST-045-STD-08</t>
        </is>
      </c>
      <c r="C500" t="inlineStr">
        <is>
          <t>1015074 → ST-045-STD-08</t>
        </is>
      </c>
      <c r="D500" s="19" t="inlineStr">
        <is>
          <t>2</t>
        </is>
      </c>
      <c r="E500" s="19" t="inlineStr">
        <is>
          <t>1831</t>
        </is>
      </c>
      <c r="F500" s="19" t="inlineStr">
        <is>
          <t>79</t>
        </is>
      </c>
      <c r="G500" s="19" t="n"/>
      <c r="H500" s="19" t="inlineStr">
        <is>
          <t>2</t>
        </is>
      </c>
      <c r="I500" s="19" t="n"/>
      <c r="J500" s="19" t="n"/>
      <c r="K500" s="19" t="inlineStr">
        <is>
          <t>2</t>
        </is>
      </c>
      <c r="L500" t="inlineStr">
        <is>
          <t>2026-08-08</t>
        </is>
      </c>
      <c r="N500" t="inlineStr">
        <is>
          <t>IN_SCOPE_FINAL; SOURCE_CFG=IA-ST-CFG-0096; MARKET=İŞBİR JENERATÖR OEM (Yurt İçi); STATUS=IN OEM / EU PACKAGE</t>
        </is>
      </c>
      <c r="O500" t="inlineStr">
        <is>
          <t>2026-08-10T19:29:54Z</t>
        </is>
      </c>
      <c r="P500" t="inlineStr">
        <is>
          <t>2026-08-10T19:29:54Z</t>
        </is>
      </c>
    </row>
    <row r="501">
      <c r="A501" s="19" t="inlineStr">
        <is>
          <t>500</t>
        </is>
      </c>
      <c r="B501" s="19" t="inlineStr">
        <is>
          <t>SC-1013151-ST-045-STD-08</t>
        </is>
      </c>
      <c r="C501" t="inlineStr">
        <is>
          <t>1013151 → ST-045-STD-08</t>
        </is>
      </c>
      <c r="D501" s="19" t="inlineStr">
        <is>
          <t>2</t>
        </is>
      </c>
      <c r="E501" s="19" t="inlineStr">
        <is>
          <t>930</t>
        </is>
      </c>
      <c r="F501" s="19" t="inlineStr">
        <is>
          <t>79</t>
        </is>
      </c>
      <c r="G501" s="19" t="n"/>
      <c r="H501" s="19" t="inlineStr">
        <is>
          <t>2</t>
        </is>
      </c>
      <c r="I501" s="19" t="n"/>
      <c r="J501" s="19" t="n"/>
      <c r="K501" s="19" t="inlineStr">
        <is>
          <t>2</t>
        </is>
      </c>
      <c r="L501" t="inlineStr">
        <is>
          <t>2026-08-08</t>
        </is>
      </c>
      <c r="N501" t="inlineStr">
        <is>
          <t>IN_SCOPE_FINAL; SOURCE_CFG=IA-ST-CFG-0096; MARKET=MISIR NACITA; STATUS=IN OEM / EU PACKAGE</t>
        </is>
      </c>
      <c r="O501" t="inlineStr">
        <is>
          <t>2026-08-10T19:29:54Z</t>
        </is>
      </c>
      <c r="P501" t="inlineStr">
        <is>
          <t>2026-08-10T19:29:54Z</t>
        </is>
      </c>
    </row>
    <row r="502">
      <c r="A502" s="19" t="inlineStr">
        <is>
          <t>501</t>
        </is>
      </c>
      <c r="B502" s="19" t="inlineStr">
        <is>
          <t>SC-1014174-ST-045-STD-08</t>
        </is>
      </c>
      <c r="C502" t="inlineStr">
        <is>
          <t>1014174 → ST-045-STD-08</t>
        </is>
      </c>
      <c r="D502" s="19" t="inlineStr">
        <is>
          <t>2</t>
        </is>
      </c>
      <c r="E502" s="19" t="inlineStr">
        <is>
          <t>1253</t>
        </is>
      </c>
      <c r="F502" s="19" t="inlineStr">
        <is>
          <t>79</t>
        </is>
      </c>
      <c r="G502" s="19" t="n"/>
      <c r="H502" s="19" t="inlineStr">
        <is>
          <t>2</t>
        </is>
      </c>
      <c r="I502" s="19" t="n"/>
      <c r="J502" s="19" t="n"/>
      <c r="K502" s="19" t="inlineStr">
        <is>
          <t>2</t>
        </is>
      </c>
      <c r="L502" t="inlineStr">
        <is>
          <t>2026-08-08</t>
        </is>
      </c>
      <c r="N502" t="inlineStr">
        <is>
          <t>IN_SCOPE_FINAL; SOURCE_CFG=IA-ST-CFG-0096; MARKET=MISIR ATWAN; STATUS=IN OEM / EU PACKAGE</t>
        </is>
      </c>
      <c r="O502" t="inlineStr">
        <is>
          <t>2026-08-10T19:29:54Z</t>
        </is>
      </c>
      <c r="P502" t="inlineStr">
        <is>
          <t>2026-08-10T19:29:54Z</t>
        </is>
      </c>
    </row>
    <row r="503">
      <c r="A503" s="19" t="inlineStr">
        <is>
          <t>502</t>
        </is>
      </c>
      <c r="B503" s="19" t="inlineStr">
        <is>
          <t>SC-1014272-ST-045-STD-08</t>
        </is>
      </c>
      <c r="C503" t="inlineStr">
        <is>
          <t>1014272 → ST-045-STD-08</t>
        </is>
      </c>
      <c r="D503" s="19" t="inlineStr">
        <is>
          <t>2</t>
        </is>
      </c>
      <c r="E503" s="19" t="inlineStr">
        <is>
          <t>1288</t>
        </is>
      </c>
      <c r="F503" s="19" t="inlineStr">
        <is>
          <t>79</t>
        </is>
      </c>
      <c r="G503" s="19" t="n"/>
      <c r="H503" s="19" t="inlineStr">
        <is>
          <t>2</t>
        </is>
      </c>
      <c r="I503" s="19" t="n"/>
      <c r="J503" s="19" t="n"/>
      <c r="K503" s="19" t="inlineStr">
        <is>
          <t>2</t>
        </is>
      </c>
      <c r="L503" t="inlineStr">
        <is>
          <t>2026-08-08</t>
        </is>
      </c>
      <c r="N503" t="inlineStr">
        <is>
          <t>IN_SCOPE_FINAL; SOURCE_CFG=IA-ST-CFG-0096; MARKET=None; STATUS=IN OEM / EU PACKAGE</t>
        </is>
      </c>
      <c r="O503" t="inlineStr">
        <is>
          <t>2026-08-10T19:29:54Z</t>
        </is>
      </c>
      <c r="P503" t="inlineStr">
        <is>
          <t>2026-08-10T19:29:54Z</t>
        </is>
      </c>
    </row>
    <row r="504">
      <c r="A504" s="19" t="inlineStr">
        <is>
          <t>503</t>
        </is>
      </c>
      <c r="B504" s="19" t="inlineStr">
        <is>
          <t>SC-1011375-ST-045-STD-08</t>
        </is>
      </c>
      <c r="C504" t="inlineStr">
        <is>
          <t>1011375 → ST-045-STD-08</t>
        </is>
      </c>
      <c r="D504" s="19" t="inlineStr">
        <is>
          <t>2</t>
        </is>
      </c>
      <c r="E504" s="19" t="inlineStr">
        <is>
          <t>299</t>
        </is>
      </c>
      <c r="F504" s="19" t="inlineStr">
        <is>
          <t>79</t>
        </is>
      </c>
      <c r="G504" s="19" t="n"/>
      <c r="H504" s="19" t="inlineStr">
        <is>
          <t>2</t>
        </is>
      </c>
      <c r="I504" s="19" t="n"/>
      <c r="J504" s="19" t="n"/>
      <c r="K504" s="19" t="inlineStr">
        <is>
          <t>2</t>
        </is>
      </c>
      <c r="L504" t="inlineStr">
        <is>
          <t>2026-08-08</t>
        </is>
      </c>
      <c r="N504" t="inlineStr">
        <is>
          <t>IN_SCOPE_FINAL; SOURCE_CFG=IA-ST-CFG-0096; MARKET=None; STATUS=IN OEM / EU PACKAGE</t>
        </is>
      </c>
      <c r="O504" t="inlineStr">
        <is>
          <t>2026-08-10T19:29:54Z</t>
        </is>
      </c>
      <c r="P504" t="inlineStr">
        <is>
          <t>2026-08-10T19:29:54Z</t>
        </is>
      </c>
    </row>
    <row r="505">
      <c r="A505" s="19" t="inlineStr">
        <is>
          <t>504</t>
        </is>
      </c>
      <c r="B505" s="19" t="inlineStr">
        <is>
          <t>SC-1010037-ST-045-STD-08</t>
        </is>
      </c>
      <c r="C505" t="inlineStr">
        <is>
          <t>1010037 → ST-045-STD-08</t>
        </is>
      </c>
      <c r="D505" s="19" t="inlineStr">
        <is>
          <t>2</t>
        </is>
      </c>
      <c r="E505" s="19" t="inlineStr">
        <is>
          <t>148</t>
        </is>
      </c>
      <c r="F505" s="19" t="inlineStr">
        <is>
          <t>79</t>
        </is>
      </c>
      <c r="G505" s="19" t="n"/>
      <c r="H505" s="19" t="inlineStr">
        <is>
          <t>2</t>
        </is>
      </c>
      <c r="I505" s="19" t="n"/>
      <c r="J505" s="19" t="n"/>
      <c r="K505" s="19" t="inlineStr">
        <is>
          <t>2</t>
        </is>
      </c>
      <c r="L505" t="inlineStr">
        <is>
          <t>2026-08-08</t>
        </is>
      </c>
      <c r="N505" t="inlineStr">
        <is>
          <t>IN_SCOPE_FINAL; SOURCE_CFG=IA-ST-CFG-0096; MARKET=FORD (Yurt İçi); STATUS=IN OEM / EU PACKAGE</t>
        </is>
      </c>
      <c r="O505" t="inlineStr">
        <is>
          <t>2026-08-10T19:29:54Z</t>
        </is>
      </c>
      <c r="P505" t="inlineStr">
        <is>
          <t>2026-08-10T19:29:54Z</t>
        </is>
      </c>
    </row>
    <row r="506">
      <c r="A506" s="19" t="inlineStr">
        <is>
          <t>505</t>
        </is>
      </c>
      <c r="B506" s="19" t="inlineStr">
        <is>
          <t>SC-1014371-ST-045-STD-08</t>
        </is>
      </c>
      <c r="C506" t="inlineStr">
        <is>
          <t>1014371 → ST-045-STD-08</t>
        </is>
      </c>
      <c r="D506" s="19" t="inlineStr">
        <is>
          <t>2</t>
        </is>
      </c>
      <c r="E506" s="19" t="inlineStr">
        <is>
          <t>1327</t>
        </is>
      </c>
      <c r="F506" s="19" t="inlineStr">
        <is>
          <t>79</t>
        </is>
      </c>
      <c r="G506" s="19" t="n"/>
      <c r="H506" s="19" t="inlineStr">
        <is>
          <t>2</t>
        </is>
      </c>
      <c r="I506" s="19" t="n"/>
      <c r="J506" s="19" t="n"/>
      <c r="K506" s="19" t="inlineStr">
        <is>
          <t>2</t>
        </is>
      </c>
      <c r="L506" t="inlineStr">
        <is>
          <t>2026-08-08</t>
        </is>
      </c>
      <c r="N506" t="inlineStr">
        <is>
          <t>IN_SCOPE_FINAL; SOURCE_CFG=IA-ST-CFG-0096; MARKET=YURT İÇİ AFM; STATUS=IN OEM / EU PACKAGE</t>
        </is>
      </c>
      <c r="O506" t="inlineStr">
        <is>
          <t>2026-08-10T19:29:54Z</t>
        </is>
      </c>
      <c r="P506" t="inlineStr">
        <is>
          <t>2026-08-10T19:29:54Z</t>
        </is>
      </c>
    </row>
    <row r="507">
      <c r="A507" s="19" t="inlineStr">
        <is>
          <t>506</t>
        </is>
      </c>
      <c r="B507" s="19" t="inlineStr">
        <is>
          <t>SC-1014464-ST-045-STD-08</t>
        </is>
      </c>
      <c r="C507" t="inlineStr">
        <is>
          <t>1014464 → ST-045-STD-08</t>
        </is>
      </c>
      <c r="D507" s="19" t="inlineStr">
        <is>
          <t>2</t>
        </is>
      </c>
      <c r="E507" s="19" t="inlineStr">
        <is>
          <t>1402</t>
        </is>
      </c>
      <c r="F507" s="19" t="inlineStr">
        <is>
          <t>79</t>
        </is>
      </c>
      <c r="G507" s="19" t="n"/>
      <c r="H507" s="19" t="inlineStr">
        <is>
          <t>2</t>
        </is>
      </c>
      <c r="I507" s="19" t="n"/>
      <c r="J507" s="19" t="n"/>
      <c r="K507" s="19" t="inlineStr">
        <is>
          <t>2</t>
        </is>
      </c>
      <c r="L507" t="inlineStr">
        <is>
          <t>2026-08-08</t>
        </is>
      </c>
      <c r="N507" t="inlineStr">
        <is>
          <t>IN_SCOPE_FINAL; SOURCE_CFG=IA-ST-CFG-0096; MARKET=YUASA 3000 EXPORT; STATUS=IN OEM / EU PACKAGE</t>
        </is>
      </c>
      <c r="O507" t="inlineStr">
        <is>
          <t>2026-08-10T19:29:54Z</t>
        </is>
      </c>
      <c r="P507" t="inlineStr">
        <is>
          <t>2026-08-10T19:29:54Z</t>
        </is>
      </c>
    </row>
    <row r="508">
      <c r="A508" s="19" t="inlineStr">
        <is>
          <t>507</t>
        </is>
      </c>
      <c r="B508" s="19" t="inlineStr">
        <is>
          <t>SC-1015013-ST-045-STD-08</t>
        </is>
      </c>
      <c r="C508" t="inlineStr">
        <is>
          <t>1015013 → ST-045-STD-08</t>
        </is>
      </c>
      <c r="D508" s="19" t="inlineStr">
        <is>
          <t>2</t>
        </is>
      </c>
      <c r="E508" s="19" t="inlineStr">
        <is>
          <t>1773</t>
        </is>
      </c>
      <c r="F508" s="19" t="inlineStr">
        <is>
          <t>79</t>
        </is>
      </c>
      <c r="G508" s="19" t="n"/>
      <c r="H508" s="19" t="inlineStr">
        <is>
          <t>2</t>
        </is>
      </c>
      <c r="I508" s="19" t="n"/>
      <c r="J508" s="19" t="n"/>
      <c r="K508" s="19" t="inlineStr">
        <is>
          <t>2</t>
        </is>
      </c>
      <c r="L508" t="inlineStr">
        <is>
          <t>2026-08-08</t>
        </is>
      </c>
      <c r="N508" t="inlineStr">
        <is>
          <t>IN_SCOPE_FINAL; SOURCE_CFG=IA-ST-CFG-0096; MARKET=RAYA ENERGY INC. KANADA; STATUS=IN OEM / EU PACKAGE</t>
        </is>
      </c>
      <c r="O508" t="inlineStr">
        <is>
          <t>2026-08-10T19:29:54Z</t>
        </is>
      </c>
      <c r="P508" t="inlineStr">
        <is>
          <t>2026-08-10T19:29:54Z</t>
        </is>
      </c>
    </row>
    <row r="509">
      <c r="A509" s="19" t="inlineStr">
        <is>
          <t>508</t>
        </is>
      </c>
      <c r="B509" s="19" t="inlineStr">
        <is>
          <t>SC-1014798-ST-045-STD-08</t>
        </is>
      </c>
      <c r="C509" t="inlineStr">
        <is>
          <t>1014798 → ST-045-STD-08</t>
        </is>
      </c>
      <c r="D509" s="19" t="inlineStr">
        <is>
          <t>2</t>
        </is>
      </c>
      <c r="E509" s="19" t="inlineStr">
        <is>
          <t>1616</t>
        </is>
      </c>
      <c r="F509" s="19" t="inlineStr">
        <is>
          <t>79</t>
        </is>
      </c>
      <c r="G509" s="19" t="n"/>
      <c r="H509" s="19" t="inlineStr">
        <is>
          <t>2</t>
        </is>
      </c>
      <c r="I509" s="19" t="n"/>
      <c r="J509" s="19" t="n"/>
      <c r="K509" s="19" t="inlineStr">
        <is>
          <t>2</t>
        </is>
      </c>
      <c r="L509" t="inlineStr">
        <is>
          <t>2026-08-08</t>
        </is>
      </c>
      <c r="N509" t="inlineStr">
        <is>
          <t>IN_SCOPE_FINAL; SOURCE_CFG=IA-ST-CFG-0096; MARKET=RAYA ENERGY INC. KANADA; STATUS=IN OEM / EU PACKAGE</t>
        </is>
      </c>
      <c r="O509" t="inlineStr">
        <is>
          <t>2026-08-10T19:29:54Z</t>
        </is>
      </c>
      <c r="P509" t="inlineStr">
        <is>
          <t>2026-08-10T19:29:54Z</t>
        </is>
      </c>
    </row>
    <row r="510">
      <c r="A510" s="19" t="inlineStr">
        <is>
          <t>509</t>
        </is>
      </c>
      <c r="B510" s="19" t="inlineStr">
        <is>
          <t>SC-1011960-ST-045-STD-08</t>
        </is>
      </c>
      <c r="C510" t="inlineStr">
        <is>
          <t>1011960 → ST-045-STD-08</t>
        </is>
      </c>
      <c r="D510" s="19" t="inlineStr">
        <is>
          <t>2</t>
        </is>
      </c>
      <c r="E510" s="19" t="inlineStr">
        <is>
          <t>438</t>
        </is>
      </c>
      <c r="F510" s="19" t="inlineStr">
        <is>
          <t>79</t>
        </is>
      </c>
      <c r="G510" s="19" t="n"/>
      <c r="H510" s="19" t="inlineStr">
        <is>
          <t>2</t>
        </is>
      </c>
      <c r="I510" s="19" t="n"/>
      <c r="J510" s="19" t="n"/>
      <c r="K510" s="19" t="inlineStr">
        <is>
          <t>2</t>
        </is>
      </c>
      <c r="L510" t="inlineStr">
        <is>
          <t>2026-08-08</t>
        </is>
      </c>
      <c r="N510" t="inlineStr">
        <is>
          <t>IN_SCOPE_FINAL; SOURCE_CFG=IA-ST-CFG-0096; MARKET=MISIR EEC; STATUS=IN OEM / EU PACKAGE</t>
        </is>
      </c>
      <c r="O510" t="inlineStr">
        <is>
          <t>2026-08-10T19:29:54Z</t>
        </is>
      </c>
      <c r="P510" t="inlineStr">
        <is>
          <t>2026-08-10T19:29:54Z</t>
        </is>
      </c>
    </row>
    <row r="511">
      <c r="A511" s="19" t="inlineStr">
        <is>
          <t>510</t>
        </is>
      </c>
      <c r="B511" s="19" t="inlineStr">
        <is>
          <t>SC-1011965-ST-045-STD-08</t>
        </is>
      </c>
      <c r="C511" t="inlineStr">
        <is>
          <t>1011965 → ST-045-STD-08</t>
        </is>
      </c>
      <c r="D511" s="19" t="inlineStr">
        <is>
          <t>2</t>
        </is>
      </c>
      <c r="E511" s="19" t="inlineStr">
        <is>
          <t>440</t>
        </is>
      </c>
      <c r="F511" s="19" t="inlineStr">
        <is>
          <t>79</t>
        </is>
      </c>
      <c r="G511" s="19" t="n"/>
      <c r="H511" s="19" t="inlineStr">
        <is>
          <t>2</t>
        </is>
      </c>
      <c r="I511" s="19" t="n"/>
      <c r="J511" s="19" t="n"/>
      <c r="K511" s="19" t="inlineStr">
        <is>
          <t>2</t>
        </is>
      </c>
      <c r="L511" t="inlineStr">
        <is>
          <t>2026-08-08</t>
        </is>
      </c>
      <c r="N511" t="inlineStr">
        <is>
          <t>IN_SCOPE_FINAL; SOURCE_CFG=IA-ST-CFG-0096; MARKET=None; STATUS=IN OEM / EU PACKAGE</t>
        </is>
      </c>
      <c r="O511" t="inlineStr">
        <is>
          <t>2026-08-10T19:29:54Z</t>
        </is>
      </c>
      <c r="P511" t="inlineStr">
        <is>
          <t>2026-08-10T19:29:54Z</t>
        </is>
      </c>
    </row>
    <row r="512">
      <c r="A512" s="19" t="inlineStr">
        <is>
          <t>511</t>
        </is>
      </c>
      <c r="B512" s="19" t="inlineStr">
        <is>
          <t>SC-1011966-ST-045-STD-08</t>
        </is>
      </c>
      <c r="C512" t="inlineStr">
        <is>
          <t>1011966 → ST-045-STD-08</t>
        </is>
      </c>
      <c r="D512" s="19" t="inlineStr">
        <is>
          <t>2</t>
        </is>
      </c>
      <c r="E512" s="19" t="inlineStr">
        <is>
          <t>441</t>
        </is>
      </c>
      <c r="F512" s="19" t="inlineStr">
        <is>
          <t>79</t>
        </is>
      </c>
      <c r="G512" s="19" t="n"/>
      <c r="H512" s="19" t="inlineStr">
        <is>
          <t>2</t>
        </is>
      </c>
      <c r="I512" s="19" t="n"/>
      <c r="J512" s="19" t="n"/>
      <c r="K512" s="19" t="inlineStr">
        <is>
          <t>2</t>
        </is>
      </c>
      <c r="L512" t="inlineStr">
        <is>
          <t>2026-08-08</t>
        </is>
      </c>
      <c r="N512" t="inlineStr">
        <is>
          <t>IN_SCOPE_FINAL; SOURCE_CFG=IA-ST-CFG-0096; MARKET=None; STATUS=IN OEM / EU PACKAGE</t>
        </is>
      </c>
      <c r="O512" t="inlineStr">
        <is>
          <t>2026-08-10T19:29:54Z</t>
        </is>
      </c>
      <c r="P512" t="inlineStr">
        <is>
          <t>2026-08-10T19:29:54Z</t>
        </is>
      </c>
    </row>
    <row r="513">
      <c r="A513" s="19" t="inlineStr">
        <is>
          <t>512</t>
        </is>
      </c>
      <c r="B513" s="19" t="inlineStr">
        <is>
          <t>SC-1011972-ST-045-STD-08</t>
        </is>
      </c>
      <c r="C513" t="inlineStr">
        <is>
          <t>1011972 → ST-045-STD-08</t>
        </is>
      </c>
      <c r="D513" s="19" t="inlineStr">
        <is>
          <t>2</t>
        </is>
      </c>
      <c r="E513" s="19" t="inlineStr">
        <is>
          <t>447</t>
        </is>
      </c>
      <c r="F513" s="19" t="inlineStr">
        <is>
          <t>79</t>
        </is>
      </c>
      <c r="G513" s="19" t="n"/>
      <c r="H513" s="19" t="inlineStr">
        <is>
          <t>2</t>
        </is>
      </c>
      <c r="I513" s="19" t="n"/>
      <c r="J513" s="19" t="n"/>
      <c r="K513" s="19" t="inlineStr">
        <is>
          <t>2</t>
        </is>
      </c>
      <c r="L513" t="inlineStr">
        <is>
          <t>2026-08-08</t>
        </is>
      </c>
      <c r="N513" t="inlineStr">
        <is>
          <t>IN_SCOPE_FINAL; SOURCE_CFG=IA-ST-CFG-0096; MARKET=None; STATUS=IN OEM / EU PACKAGE</t>
        </is>
      </c>
      <c r="O513" t="inlineStr">
        <is>
          <t>2026-08-10T19:29:54Z</t>
        </is>
      </c>
      <c r="P513" t="inlineStr">
        <is>
          <t>2026-08-10T19:29:54Z</t>
        </is>
      </c>
    </row>
    <row r="514">
      <c r="A514" s="19" t="inlineStr">
        <is>
          <t>513</t>
        </is>
      </c>
      <c r="B514" s="19" t="inlineStr">
        <is>
          <t>SC-1011974-ST-045-STD-08</t>
        </is>
      </c>
      <c r="C514" t="inlineStr">
        <is>
          <t>1011974 → ST-045-STD-08</t>
        </is>
      </c>
      <c r="D514" s="19" t="inlineStr">
        <is>
          <t>2</t>
        </is>
      </c>
      <c r="E514" s="19" t="inlineStr">
        <is>
          <t>448</t>
        </is>
      </c>
      <c r="F514" s="19" t="inlineStr">
        <is>
          <t>79</t>
        </is>
      </c>
      <c r="G514" s="19" t="n"/>
      <c r="H514" s="19" t="inlineStr">
        <is>
          <t>2</t>
        </is>
      </c>
      <c r="I514" s="19" t="n"/>
      <c r="J514" s="19" t="n"/>
      <c r="K514" s="19" t="inlineStr">
        <is>
          <t>2</t>
        </is>
      </c>
      <c r="L514" t="inlineStr">
        <is>
          <t>2026-08-08</t>
        </is>
      </c>
      <c r="N514" t="inlineStr">
        <is>
          <t>IN_SCOPE_FINAL; SOURCE_CFG=IA-ST-CFG-0096; MARKET=None; STATUS=IN OEM / EU PACKAGE</t>
        </is>
      </c>
      <c r="O514" t="inlineStr">
        <is>
          <t>2026-08-10T19:29:54Z</t>
        </is>
      </c>
      <c r="P514" t="inlineStr">
        <is>
          <t>2026-08-10T19:29:54Z</t>
        </is>
      </c>
    </row>
    <row r="515">
      <c r="A515" s="19" t="inlineStr">
        <is>
          <t>514</t>
        </is>
      </c>
      <c r="B515" s="19" t="inlineStr">
        <is>
          <t>SC-1011977-ST-045-STD-08</t>
        </is>
      </c>
      <c r="C515" t="inlineStr">
        <is>
          <t>1011977 → ST-045-STD-08</t>
        </is>
      </c>
      <c r="D515" s="19" t="inlineStr">
        <is>
          <t>2</t>
        </is>
      </c>
      <c r="E515" s="19" t="inlineStr">
        <is>
          <t>449</t>
        </is>
      </c>
      <c r="F515" s="19" t="inlineStr">
        <is>
          <t>79</t>
        </is>
      </c>
      <c r="G515" s="19" t="n"/>
      <c r="H515" s="19" t="inlineStr">
        <is>
          <t>2</t>
        </is>
      </c>
      <c r="I515" s="19" t="n"/>
      <c r="J515" s="19" t="n"/>
      <c r="K515" s="19" t="inlineStr">
        <is>
          <t>2</t>
        </is>
      </c>
      <c r="L515" t="inlineStr">
        <is>
          <t>2026-08-08</t>
        </is>
      </c>
      <c r="N515" t="inlineStr">
        <is>
          <t>IN_SCOPE_FINAL; SOURCE_CFG=IA-ST-CFG-0096; MARKET=MISIR EEC; STATUS=IN OEM / EU PACKAGE</t>
        </is>
      </c>
      <c r="O515" t="inlineStr">
        <is>
          <t>2026-08-10T19:29:54Z</t>
        </is>
      </c>
      <c r="P515" t="inlineStr">
        <is>
          <t>2026-08-10T19:29:54Z</t>
        </is>
      </c>
    </row>
    <row r="516">
      <c r="A516" s="19" t="inlineStr">
        <is>
          <t>515</t>
        </is>
      </c>
      <c r="B516" s="19" t="inlineStr">
        <is>
          <t>SC-1012254-ST-045-STD-08</t>
        </is>
      </c>
      <c r="C516" t="inlineStr">
        <is>
          <t>1012254 → ST-045-STD-08</t>
        </is>
      </c>
      <c r="D516" s="19" t="inlineStr">
        <is>
          <t>2</t>
        </is>
      </c>
      <c r="E516" s="19" t="inlineStr">
        <is>
          <t>574</t>
        </is>
      </c>
      <c r="F516" s="19" t="inlineStr">
        <is>
          <t>79</t>
        </is>
      </c>
      <c r="G516" s="19" t="n"/>
      <c r="H516" s="19" t="inlineStr">
        <is>
          <t>2</t>
        </is>
      </c>
      <c r="I516" s="19" t="n"/>
      <c r="J516" s="19" t="n"/>
      <c r="K516" s="19" t="inlineStr">
        <is>
          <t>2</t>
        </is>
      </c>
      <c r="L516" t="inlineStr">
        <is>
          <t>2026-08-08</t>
        </is>
      </c>
      <c r="N516" t="inlineStr">
        <is>
          <t>IN_SCOPE_FINAL; SOURCE_CFG=IA-ST-CFG-0096; MARKET=None; STATUS=IN OEM / EU PACKAGE</t>
        </is>
      </c>
      <c r="O516" t="inlineStr">
        <is>
          <t>2026-08-10T19:29:54Z</t>
        </is>
      </c>
      <c r="P516" t="inlineStr">
        <is>
          <t>2026-08-10T19:29:54Z</t>
        </is>
      </c>
    </row>
    <row r="517">
      <c r="A517" s="19" t="inlineStr">
        <is>
          <t>516</t>
        </is>
      </c>
      <c r="B517" s="19" t="inlineStr">
        <is>
          <t>SC-1012257-ST-045-STD-08</t>
        </is>
      </c>
      <c r="C517" t="inlineStr">
        <is>
          <t>1012257 → ST-045-STD-08</t>
        </is>
      </c>
      <c r="D517" s="19" t="inlineStr">
        <is>
          <t>2</t>
        </is>
      </c>
      <c r="E517" s="19" t="inlineStr">
        <is>
          <t>575</t>
        </is>
      </c>
      <c r="F517" s="19" t="inlineStr">
        <is>
          <t>79</t>
        </is>
      </c>
      <c r="G517" s="19" t="n"/>
      <c r="H517" s="19" t="inlineStr">
        <is>
          <t>2</t>
        </is>
      </c>
      <c r="I517" s="19" t="n"/>
      <c r="J517" s="19" t="n"/>
      <c r="K517" s="19" t="inlineStr">
        <is>
          <t>2</t>
        </is>
      </c>
      <c r="L517" t="inlineStr">
        <is>
          <t>2026-08-08</t>
        </is>
      </c>
      <c r="N517" t="inlineStr">
        <is>
          <t>IN_SCOPE_FINAL; SOURCE_CFG=IA-ST-CFG-0096; MARKET=None; STATUS=IN OEM / EU PACKAGE</t>
        </is>
      </c>
      <c r="O517" t="inlineStr">
        <is>
          <t>2026-08-10T19:29:54Z</t>
        </is>
      </c>
      <c r="P517" t="inlineStr">
        <is>
          <t>2026-08-10T19:29:54Z</t>
        </is>
      </c>
    </row>
    <row r="518">
      <c r="A518" s="19" t="inlineStr">
        <is>
          <t>517</t>
        </is>
      </c>
      <c r="B518" s="19" t="inlineStr">
        <is>
          <t>SC-1012258-ST-045-STD-08</t>
        </is>
      </c>
      <c r="C518" t="inlineStr">
        <is>
          <t>1012258 → ST-045-STD-08</t>
        </is>
      </c>
      <c r="D518" s="19" t="inlineStr">
        <is>
          <t>2</t>
        </is>
      </c>
      <c r="E518" s="19" t="inlineStr">
        <is>
          <t>576</t>
        </is>
      </c>
      <c r="F518" s="19" t="inlineStr">
        <is>
          <t>79</t>
        </is>
      </c>
      <c r="G518" s="19" t="n"/>
      <c r="H518" s="19" t="inlineStr">
        <is>
          <t>2</t>
        </is>
      </c>
      <c r="I518" s="19" t="n"/>
      <c r="J518" s="19" t="n"/>
      <c r="K518" s="19" t="inlineStr">
        <is>
          <t>2</t>
        </is>
      </c>
      <c r="L518" t="inlineStr">
        <is>
          <t>2026-08-08</t>
        </is>
      </c>
      <c r="N518" t="inlineStr">
        <is>
          <t>IN_SCOPE_FINAL; SOURCE_CFG=IA-ST-CFG-0096; MARKET=None; STATUS=IN OEM / EU PACKAGE</t>
        </is>
      </c>
      <c r="O518" t="inlineStr">
        <is>
          <t>2026-08-10T19:29:54Z</t>
        </is>
      </c>
      <c r="P518" t="inlineStr">
        <is>
          <t>2026-08-10T19:29:54Z</t>
        </is>
      </c>
    </row>
    <row r="519">
      <c r="A519" s="19" t="inlineStr">
        <is>
          <t>518</t>
        </is>
      </c>
      <c r="B519" s="19" t="inlineStr">
        <is>
          <t>SC-1012259-ST-045-STD-08</t>
        </is>
      </c>
      <c r="C519" t="inlineStr">
        <is>
          <t>1012259 → ST-045-STD-08</t>
        </is>
      </c>
      <c r="D519" s="19" t="inlineStr">
        <is>
          <t>2</t>
        </is>
      </c>
      <c r="E519" s="19" t="inlineStr">
        <is>
          <t>577</t>
        </is>
      </c>
      <c r="F519" s="19" t="inlineStr">
        <is>
          <t>79</t>
        </is>
      </c>
      <c r="G519" s="19" t="n"/>
      <c r="H519" s="19" t="inlineStr">
        <is>
          <t>2</t>
        </is>
      </c>
      <c r="I519" s="19" t="n"/>
      <c r="J519" s="19" t="n"/>
      <c r="K519" s="19" t="inlineStr">
        <is>
          <t>2</t>
        </is>
      </c>
      <c r="L519" t="inlineStr">
        <is>
          <t>2026-08-08</t>
        </is>
      </c>
      <c r="N519" t="inlineStr">
        <is>
          <t>IN_SCOPE_FINAL; SOURCE_CFG=IA-ST-CFG-0096; MARKET=None; STATUS=IN OEM / EU PACKAGE</t>
        </is>
      </c>
      <c r="O519" t="inlineStr">
        <is>
          <t>2026-08-10T19:29:54Z</t>
        </is>
      </c>
      <c r="P519" t="inlineStr">
        <is>
          <t>2026-08-10T19:29:54Z</t>
        </is>
      </c>
    </row>
    <row r="520">
      <c r="A520" s="19" t="inlineStr">
        <is>
          <t>519</t>
        </is>
      </c>
      <c r="B520" s="19" t="inlineStr">
        <is>
          <t>SC-1012562-ST-045-STD-08</t>
        </is>
      </c>
      <c r="C520" t="inlineStr">
        <is>
          <t>1012562 → ST-045-STD-08</t>
        </is>
      </c>
      <c r="D520" s="19" t="inlineStr">
        <is>
          <t>2</t>
        </is>
      </c>
      <c r="E520" s="19" t="inlineStr">
        <is>
          <t>699</t>
        </is>
      </c>
      <c r="F520" s="19" t="inlineStr">
        <is>
          <t>79</t>
        </is>
      </c>
      <c r="G520" s="19" t="n"/>
      <c r="H520" s="19" t="inlineStr">
        <is>
          <t>2</t>
        </is>
      </c>
      <c r="I520" s="19" t="n"/>
      <c r="J520" s="19" t="n"/>
      <c r="K520" s="19" t="inlineStr">
        <is>
          <t>2</t>
        </is>
      </c>
      <c r="L520" t="inlineStr">
        <is>
          <t>2026-08-08</t>
        </is>
      </c>
      <c r="N520" t="inlineStr">
        <is>
          <t>IN_SCOPE_FINAL; SOURCE_CFG=IA-ST-CFG-0096; MARKET=None; STATUS=IN OEM / EU PACKAGE</t>
        </is>
      </c>
      <c r="O520" t="inlineStr">
        <is>
          <t>2026-08-10T19:29:54Z</t>
        </is>
      </c>
      <c r="P520" t="inlineStr">
        <is>
          <t>2026-08-10T19:29:54Z</t>
        </is>
      </c>
    </row>
    <row r="521">
      <c r="A521" s="19" t="inlineStr">
        <is>
          <t>520</t>
        </is>
      </c>
      <c r="B521" s="19" t="inlineStr">
        <is>
          <t>SC-1012588-ST-045-STD-08</t>
        </is>
      </c>
      <c r="C521" t="inlineStr">
        <is>
          <t>1012588 → ST-045-STD-08</t>
        </is>
      </c>
      <c r="D521" s="19" t="inlineStr">
        <is>
          <t>2</t>
        </is>
      </c>
      <c r="E521" s="19" t="inlineStr">
        <is>
          <t>709</t>
        </is>
      </c>
      <c r="F521" s="19" t="inlineStr">
        <is>
          <t>79</t>
        </is>
      </c>
      <c r="G521" s="19" t="n"/>
      <c r="H521" s="19" t="inlineStr">
        <is>
          <t>2</t>
        </is>
      </c>
      <c r="I521" s="19" t="n"/>
      <c r="J521" s="19" t="n"/>
      <c r="K521" s="19" t="inlineStr">
        <is>
          <t>2</t>
        </is>
      </c>
      <c r="L521" t="inlineStr">
        <is>
          <t>2026-08-08</t>
        </is>
      </c>
      <c r="N521" t="inlineStr">
        <is>
          <t>IN_SCOPE_FINAL; SOURCE_CFG=IA-ST-CFG-0096; MARKET=None; STATUS=IN OEM / EU PACKAGE</t>
        </is>
      </c>
      <c r="O521" t="inlineStr">
        <is>
          <t>2026-08-10T19:29:54Z</t>
        </is>
      </c>
      <c r="P521" t="inlineStr">
        <is>
          <t>2026-08-10T19:29:54Z</t>
        </is>
      </c>
    </row>
    <row r="522">
      <c r="A522" s="19" t="inlineStr">
        <is>
          <t>521</t>
        </is>
      </c>
      <c r="B522" s="19" t="inlineStr">
        <is>
          <t>SC-1012769-ST-045-STD-08</t>
        </is>
      </c>
      <c r="C522" t="inlineStr">
        <is>
          <t>1012769 → ST-045-STD-08</t>
        </is>
      </c>
      <c r="D522" s="19" t="inlineStr">
        <is>
          <t>2</t>
        </is>
      </c>
      <c r="E522" s="19" t="inlineStr">
        <is>
          <t>782</t>
        </is>
      </c>
      <c r="F522" s="19" t="inlineStr">
        <is>
          <t>79</t>
        </is>
      </c>
      <c r="G522" s="19" t="n"/>
      <c r="H522" s="19" t="inlineStr">
        <is>
          <t>2</t>
        </is>
      </c>
      <c r="I522" s="19" t="n"/>
      <c r="J522" s="19" t="n"/>
      <c r="K522" s="19" t="inlineStr">
        <is>
          <t>2</t>
        </is>
      </c>
      <c r="L522" t="inlineStr">
        <is>
          <t>2026-08-08</t>
        </is>
      </c>
      <c r="N522" t="inlineStr">
        <is>
          <t>IN_SCOPE_FINAL; SOURCE_CFG=IA-ST-CFG-0096; MARKET=SHAWKAT; STATUS=IN OEM / EU PACKAGE</t>
        </is>
      </c>
      <c r="O522" t="inlineStr">
        <is>
          <t>2026-08-10T19:29:54Z</t>
        </is>
      </c>
      <c r="P522" t="inlineStr">
        <is>
          <t>2026-08-10T19:29:54Z</t>
        </is>
      </c>
    </row>
    <row r="523">
      <c r="A523" s="19" t="inlineStr">
        <is>
          <t>522</t>
        </is>
      </c>
      <c r="B523" s="19" t="inlineStr">
        <is>
          <t>SC-1012905-ST-045-STD-08</t>
        </is>
      </c>
      <c r="C523" t="inlineStr">
        <is>
          <t>1012905 → ST-045-STD-08</t>
        </is>
      </c>
      <c r="D523" s="19" t="inlineStr">
        <is>
          <t>2</t>
        </is>
      </c>
      <c r="E523" s="19" t="inlineStr">
        <is>
          <t>855</t>
        </is>
      </c>
      <c r="F523" s="19" t="inlineStr">
        <is>
          <t>79</t>
        </is>
      </c>
      <c r="G523" s="19" t="n"/>
      <c r="H523" s="19" t="inlineStr">
        <is>
          <t>2</t>
        </is>
      </c>
      <c r="I523" s="19" t="n"/>
      <c r="J523" s="19" t="n"/>
      <c r="K523" s="19" t="inlineStr">
        <is>
          <t>2</t>
        </is>
      </c>
      <c r="L523" t="inlineStr">
        <is>
          <t>2026-08-08</t>
        </is>
      </c>
      <c r="N523" t="inlineStr">
        <is>
          <t>IN_SCOPE_FINAL; SOURCE_CFG=IA-ST-CFG-0096; MARKET=SHAWKAT; STATUS=IN OEM / EU PACKAGE</t>
        </is>
      </c>
      <c r="O523" t="inlineStr">
        <is>
          <t>2026-08-10T19:29:54Z</t>
        </is>
      </c>
      <c r="P523" t="inlineStr">
        <is>
          <t>2026-08-10T19:29:54Z</t>
        </is>
      </c>
    </row>
    <row r="524">
      <c r="A524" s="19" t="inlineStr">
        <is>
          <t>523</t>
        </is>
      </c>
      <c r="B524" s="19" t="inlineStr">
        <is>
          <t>SC-1012909-ST-045-STD-08</t>
        </is>
      </c>
      <c r="C524" t="inlineStr">
        <is>
          <t>1012909 → ST-045-STD-08</t>
        </is>
      </c>
      <c r="D524" s="19" t="inlineStr">
        <is>
          <t>2</t>
        </is>
      </c>
      <c r="E524" s="19" t="inlineStr">
        <is>
          <t>859</t>
        </is>
      </c>
      <c r="F524" s="19" t="inlineStr">
        <is>
          <t>79</t>
        </is>
      </c>
      <c r="G524" s="19" t="n"/>
      <c r="H524" s="19" t="inlineStr">
        <is>
          <t>2</t>
        </is>
      </c>
      <c r="I524" s="19" t="n"/>
      <c r="J524" s="19" t="n"/>
      <c r="K524" s="19" t="inlineStr">
        <is>
          <t>2</t>
        </is>
      </c>
      <c r="L524" t="inlineStr">
        <is>
          <t>2026-08-08</t>
        </is>
      </c>
      <c r="N524" t="inlineStr">
        <is>
          <t>IN_SCOPE_FINAL; SOURCE_CFG=IA-ST-CFG-0096; MARKET=SHAWKAT; STATUS=IN OEM / EU PACKAGE</t>
        </is>
      </c>
      <c r="O524" t="inlineStr">
        <is>
          <t>2026-08-10T19:29:54Z</t>
        </is>
      </c>
      <c r="P524" t="inlineStr">
        <is>
          <t>2026-08-10T19:29:54Z</t>
        </is>
      </c>
    </row>
    <row r="525">
      <c r="A525" s="19" t="inlineStr">
        <is>
          <t>524</t>
        </is>
      </c>
      <c r="B525" s="19" t="inlineStr">
        <is>
          <t>SC-1013896-ST-045-STD-08</t>
        </is>
      </c>
      <c r="C525" t="inlineStr">
        <is>
          <t>1013896 → ST-045-STD-08</t>
        </is>
      </c>
      <c r="D525" s="19" t="inlineStr">
        <is>
          <t>2</t>
        </is>
      </c>
      <c r="E525" s="19" t="inlineStr">
        <is>
          <t>1122</t>
        </is>
      </c>
      <c r="F525" s="19" t="inlineStr">
        <is>
          <t>79</t>
        </is>
      </c>
      <c r="G525" s="19" t="n"/>
      <c r="H525" s="19" t="inlineStr">
        <is>
          <t>2</t>
        </is>
      </c>
      <c r="I525" s="19" t="n"/>
      <c r="J525" s="19" t="n"/>
      <c r="K525" s="19" t="inlineStr">
        <is>
          <t>2</t>
        </is>
      </c>
      <c r="L525" t="inlineStr">
        <is>
          <t>2026-08-08</t>
        </is>
      </c>
      <c r="N525" t="inlineStr">
        <is>
          <t>IN_SCOPE_FINAL; SOURCE_CFG=IA-ST-CFG-0096; MARKET=None; STATUS=IN OEM / EU PACKAGE</t>
        </is>
      </c>
      <c r="O525" t="inlineStr">
        <is>
          <t>2026-08-10T19:29:54Z</t>
        </is>
      </c>
      <c r="P525" t="inlineStr">
        <is>
          <t>2026-08-10T19:29:54Z</t>
        </is>
      </c>
    </row>
    <row r="526">
      <c r="A526" s="19" t="inlineStr">
        <is>
          <t>525</t>
        </is>
      </c>
      <c r="B526" s="19" t="inlineStr">
        <is>
          <t>SC-1013924-ST-045-STD-08</t>
        </is>
      </c>
      <c r="C526" t="inlineStr">
        <is>
          <t>1013924 → ST-045-STD-08</t>
        </is>
      </c>
      <c r="D526" s="19" t="inlineStr">
        <is>
          <t>2</t>
        </is>
      </c>
      <c r="E526" s="19" t="inlineStr">
        <is>
          <t>1136</t>
        </is>
      </c>
      <c r="F526" s="19" t="inlineStr">
        <is>
          <t>79</t>
        </is>
      </c>
      <c r="G526" s="19" t="n"/>
      <c r="H526" s="19" t="inlineStr">
        <is>
          <t>2</t>
        </is>
      </c>
      <c r="I526" s="19" t="n"/>
      <c r="J526" s="19" t="n"/>
      <c r="K526" s="19" t="inlineStr">
        <is>
          <t>2</t>
        </is>
      </c>
      <c r="L526" t="inlineStr">
        <is>
          <t>2026-08-08</t>
        </is>
      </c>
      <c r="N526" t="inlineStr">
        <is>
          <t>IN_SCOPE_FINAL; SOURCE_CFG=IA-ST-CFG-0096; MARKET=SHAWKAT; STATUS=IN OEM / EU PACKAGE</t>
        </is>
      </c>
      <c r="O526" t="inlineStr">
        <is>
          <t>2026-08-10T19:29:54Z</t>
        </is>
      </c>
      <c r="P526" t="inlineStr">
        <is>
          <t>2026-08-10T19:29:54Z</t>
        </is>
      </c>
    </row>
    <row r="527">
      <c r="A527" s="19" t="inlineStr">
        <is>
          <t>526</t>
        </is>
      </c>
      <c r="B527" s="19" t="inlineStr">
        <is>
          <t>SC-1014356-ST-045-STD-08</t>
        </is>
      </c>
      <c r="C527" t="inlineStr">
        <is>
          <t>1014356 → ST-045-STD-08</t>
        </is>
      </c>
      <c r="D527" s="19" t="inlineStr">
        <is>
          <t>2</t>
        </is>
      </c>
      <c r="E527" s="19" t="inlineStr">
        <is>
          <t>1319</t>
        </is>
      </c>
      <c r="F527" s="19" t="inlineStr">
        <is>
          <t>79</t>
        </is>
      </c>
      <c r="G527" s="19" t="n"/>
      <c r="H527" s="19" t="inlineStr">
        <is>
          <t>2</t>
        </is>
      </c>
      <c r="I527" s="19" t="n"/>
      <c r="J527" s="19" t="n"/>
      <c r="K527" s="19" t="inlineStr">
        <is>
          <t>2</t>
        </is>
      </c>
      <c r="L527" t="inlineStr">
        <is>
          <t>2026-08-08</t>
        </is>
      </c>
      <c r="N527" t="inlineStr">
        <is>
          <t>IN_SCOPE_FINAL; SOURCE_CFG=IA-ST-CFG-0096; MARKET=MISIR ALSAFA; STATUS=IN OEM / EU PACKAGE</t>
        </is>
      </c>
      <c r="O527" t="inlineStr">
        <is>
          <t>2026-08-10T19:29:54Z</t>
        </is>
      </c>
      <c r="P527" t="inlineStr">
        <is>
          <t>2026-08-10T19:29:54Z</t>
        </is>
      </c>
    </row>
    <row r="528">
      <c r="A528" s="19" t="inlineStr">
        <is>
          <t>527</t>
        </is>
      </c>
      <c r="B528" s="19" t="inlineStr">
        <is>
          <t>SC-1011893-ST-045-STD-08</t>
        </is>
      </c>
      <c r="C528" t="inlineStr">
        <is>
          <t>1011893 → ST-045-STD-08</t>
        </is>
      </c>
      <c r="D528" s="19" t="inlineStr">
        <is>
          <t>2</t>
        </is>
      </c>
      <c r="E528" s="19" t="inlineStr">
        <is>
          <t>392</t>
        </is>
      </c>
      <c r="F528" s="19" t="inlineStr">
        <is>
          <t>79</t>
        </is>
      </c>
      <c r="G528" s="19" t="n"/>
      <c r="H528" s="19" t="inlineStr">
        <is>
          <t>2</t>
        </is>
      </c>
      <c r="I528" s="19" t="n"/>
      <c r="J528" s="19" t="n"/>
      <c r="K528" s="19" t="inlineStr">
        <is>
          <t>2</t>
        </is>
      </c>
      <c r="L528" t="inlineStr">
        <is>
          <t>2026-08-08</t>
        </is>
      </c>
      <c r="N528" t="inlineStr">
        <is>
          <t>IN_SCOPE_FINAL; SOURCE_CFG=IA-ST-CFG-0096; MARKET=NASA; STATUS=IN OEM / EU PACKAGE</t>
        </is>
      </c>
      <c r="O528" t="inlineStr">
        <is>
          <t>2026-08-10T19:29:54Z</t>
        </is>
      </c>
      <c r="P528" t="inlineStr">
        <is>
          <t>2026-08-10T19:29:54Z</t>
        </is>
      </c>
    </row>
    <row r="529">
      <c r="A529" s="19" t="inlineStr">
        <is>
          <t>528</t>
        </is>
      </c>
      <c r="B529" s="19" t="inlineStr">
        <is>
          <t>SC-1011895-ST-045-STD-08</t>
        </is>
      </c>
      <c r="C529" t="inlineStr">
        <is>
          <t>1011895 → ST-045-STD-08</t>
        </is>
      </c>
      <c r="D529" s="19" t="inlineStr">
        <is>
          <t>2</t>
        </is>
      </c>
      <c r="E529" s="19" t="inlineStr">
        <is>
          <t>394</t>
        </is>
      </c>
      <c r="F529" s="19" t="inlineStr">
        <is>
          <t>79</t>
        </is>
      </c>
      <c r="G529" s="19" t="n"/>
      <c r="H529" s="19" t="inlineStr">
        <is>
          <t>2</t>
        </is>
      </c>
      <c r="I529" s="19" t="n"/>
      <c r="J529" s="19" t="n"/>
      <c r="K529" s="19" t="inlineStr">
        <is>
          <t>2</t>
        </is>
      </c>
      <c r="L529" t="inlineStr">
        <is>
          <t>2026-08-08</t>
        </is>
      </c>
      <c r="N529" t="inlineStr">
        <is>
          <t>IN_SCOPE_FINAL; SOURCE_CFG=IA-ST-CFG-0096; MARKET=None; STATUS=IN OEM / EU PACKAGE</t>
        </is>
      </c>
      <c r="O529" t="inlineStr">
        <is>
          <t>2026-08-10T19:29:54Z</t>
        </is>
      </c>
      <c r="P529" t="inlineStr">
        <is>
          <t>2026-08-10T19:29:54Z</t>
        </is>
      </c>
    </row>
    <row r="530">
      <c r="A530" s="19" t="inlineStr">
        <is>
          <t>529</t>
        </is>
      </c>
      <c r="B530" s="19" t="inlineStr">
        <is>
          <t>SC-1011981-ST-045-STD-08</t>
        </is>
      </c>
      <c r="C530" t="inlineStr">
        <is>
          <t>1011981 → ST-045-STD-08</t>
        </is>
      </c>
      <c r="D530" s="19" t="inlineStr">
        <is>
          <t>2</t>
        </is>
      </c>
      <c r="E530" s="19" t="inlineStr">
        <is>
          <t>450</t>
        </is>
      </c>
      <c r="F530" s="19" t="inlineStr">
        <is>
          <t>79</t>
        </is>
      </c>
      <c r="G530" s="19" t="n"/>
      <c r="H530" s="19" t="inlineStr">
        <is>
          <t>2</t>
        </is>
      </c>
      <c r="I530" s="19" t="n"/>
      <c r="J530" s="19" t="n"/>
      <c r="K530" s="19" t="inlineStr">
        <is>
          <t>2</t>
        </is>
      </c>
      <c r="L530" t="inlineStr">
        <is>
          <t>2026-08-08</t>
        </is>
      </c>
      <c r="N530" t="inlineStr">
        <is>
          <t>IN_SCOPE_FINAL; SOURCE_CFG=IA-ST-CFG-0096; MARKET=None; STATUS=IN OEM / EU PACKAGE</t>
        </is>
      </c>
      <c r="O530" t="inlineStr">
        <is>
          <t>2026-08-10T19:29:54Z</t>
        </is>
      </c>
      <c r="P530" t="inlineStr">
        <is>
          <t>2026-08-10T19:29:54Z</t>
        </is>
      </c>
    </row>
    <row r="531">
      <c r="A531" s="19" t="inlineStr">
        <is>
          <t>530</t>
        </is>
      </c>
      <c r="B531" s="19" t="inlineStr">
        <is>
          <t>SC-1013903-ST-045-STD-08</t>
        </is>
      </c>
      <c r="C531" t="inlineStr">
        <is>
          <t>1013903 → ST-045-STD-08</t>
        </is>
      </c>
      <c r="D531" s="19" t="inlineStr">
        <is>
          <t>2</t>
        </is>
      </c>
      <c r="E531" s="19" t="inlineStr">
        <is>
          <t>1128</t>
        </is>
      </c>
      <c r="F531" s="19" t="inlineStr">
        <is>
          <t>79</t>
        </is>
      </c>
      <c r="G531" s="19" t="n"/>
      <c r="H531" s="19" t="inlineStr">
        <is>
          <t>2</t>
        </is>
      </c>
      <c r="I531" s="19" t="n"/>
      <c r="J531" s="19" t="n"/>
      <c r="K531" s="19" t="inlineStr">
        <is>
          <t>2</t>
        </is>
      </c>
      <c r="L531" t="inlineStr">
        <is>
          <t>2026-08-08</t>
        </is>
      </c>
      <c r="N531" t="inlineStr">
        <is>
          <t>IN_SCOPE_FINAL; SOURCE_CFG=IA-ST-CFG-0096; MARKET=None; STATUS=IN OEM / EU PACKAGE</t>
        </is>
      </c>
      <c r="O531" t="inlineStr">
        <is>
          <t>2026-08-10T19:29:54Z</t>
        </is>
      </c>
      <c r="P531" t="inlineStr">
        <is>
          <t>2026-08-10T19:29:54Z</t>
        </is>
      </c>
    </row>
    <row r="532">
      <c r="A532" s="19" t="inlineStr">
        <is>
          <t>531</t>
        </is>
      </c>
      <c r="B532" s="19" t="inlineStr">
        <is>
          <t>SC-1014737-ST-045-STD-08</t>
        </is>
      </c>
      <c r="C532" t="inlineStr">
        <is>
          <t>1014737 → ST-045-STD-08</t>
        </is>
      </c>
      <c r="D532" s="19" t="inlineStr">
        <is>
          <t>2</t>
        </is>
      </c>
      <c r="E532" s="19" t="inlineStr">
        <is>
          <t>1571</t>
        </is>
      </c>
      <c r="F532" s="19" t="inlineStr">
        <is>
          <t>79</t>
        </is>
      </c>
      <c r="G532" s="19" t="n"/>
      <c r="H532" s="19" t="inlineStr">
        <is>
          <t>2</t>
        </is>
      </c>
      <c r="I532" s="19" t="n"/>
      <c r="J532" s="19" t="n"/>
      <c r="K532" s="19" t="inlineStr">
        <is>
          <t>2</t>
        </is>
      </c>
      <c r="L532" t="inlineStr">
        <is>
          <t>2026-08-08</t>
        </is>
      </c>
      <c r="N532" t="inlineStr">
        <is>
          <t>IN_SCOPE_FINAL; SOURCE_CFG=IA-ST-CFG-0096; MARKET=TÜRKMENİSTAN; STATUS=IN OEM / EU PACKAGE</t>
        </is>
      </c>
      <c r="O532" t="inlineStr">
        <is>
          <t>2026-08-10T19:29:54Z</t>
        </is>
      </c>
      <c r="P532" t="inlineStr">
        <is>
          <t>2026-08-10T19:29:54Z</t>
        </is>
      </c>
    </row>
    <row r="533">
      <c r="A533" s="19" t="inlineStr">
        <is>
          <t>532</t>
        </is>
      </c>
      <c r="B533" s="19" t="inlineStr">
        <is>
          <t>SC-1014762-ST-045-STD-08</t>
        </is>
      </c>
      <c r="C533" t="inlineStr">
        <is>
          <t>1014762 → ST-045-STD-08</t>
        </is>
      </c>
      <c r="D533" s="19" t="inlineStr">
        <is>
          <t>2</t>
        </is>
      </c>
      <c r="E533" s="19" t="inlineStr">
        <is>
          <t>1587</t>
        </is>
      </c>
      <c r="F533" s="19" t="inlineStr">
        <is>
          <t>79</t>
        </is>
      </c>
      <c r="G533" s="19" t="n"/>
      <c r="H533" s="19" t="inlineStr">
        <is>
          <t>2</t>
        </is>
      </c>
      <c r="I533" s="19" t="n"/>
      <c r="J533" s="19" t="n"/>
      <c r="K533" s="19" t="inlineStr">
        <is>
          <t>2</t>
        </is>
      </c>
      <c r="L533" t="inlineStr">
        <is>
          <t>2026-08-08</t>
        </is>
      </c>
      <c r="N533" t="inlineStr">
        <is>
          <t>IN_SCOPE_FINAL; SOURCE_CFG=IA-ST-CFG-0096; MARKET=TÜRKMENİSTAN; STATUS=IN OEM / EU PACKAGE</t>
        </is>
      </c>
      <c r="O533" t="inlineStr">
        <is>
          <t>2026-08-10T19:29:54Z</t>
        </is>
      </c>
      <c r="P533" t="inlineStr">
        <is>
          <t>2026-08-10T19:29:54Z</t>
        </is>
      </c>
    </row>
    <row r="534">
      <c r="A534" s="19" t="inlineStr">
        <is>
          <t>533</t>
        </is>
      </c>
      <c r="B534" s="19" t="inlineStr">
        <is>
          <t>SC-1014866-ST-045-STD-08</t>
        </is>
      </c>
      <c r="C534" t="inlineStr">
        <is>
          <t>1014866 → ST-045-STD-08</t>
        </is>
      </c>
      <c r="D534" s="19" t="inlineStr">
        <is>
          <t>2</t>
        </is>
      </c>
      <c r="E534" s="19" t="inlineStr">
        <is>
          <t>1649</t>
        </is>
      </c>
      <c r="F534" s="19" t="inlineStr">
        <is>
          <t>79</t>
        </is>
      </c>
      <c r="G534" s="19" t="n"/>
      <c r="H534" s="19" t="inlineStr">
        <is>
          <t>2</t>
        </is>
      </c>
      <c r="I534" s="19" t="n"/>
      <c r="J534" s="19" t="n"/>
      <c r="K534" s="19" t="inlineStr">
        <is>
          <t>2</t>
        </is>
      </c>
      <c r="L534" t="inlineStr">
        <is>
          <t>2026-08-08</t>
        </is>
      </c>
      <c r="N534" t="inlineStr">
        <is>
          <t>IN_SCOPE_FINAL; SOURCE_CFG=IA-ST-CFG-0096; MARKET=TÜRKMENİSTAN; STATUS=IN OEM / EU PACKAGE</t>
        </is>
      </c>
      <c r="O534" t="inlineStr">
        <is>
          <t>2026-08-10T19:29:54Z</t>
        </is>
      </c>
      <c r="P534" t="inlineStr">
        <is>
          <t>2026-08-10T19:29:54Z</t>
        </is>
      </c>
    </row>
    <row r="535">
      <c r="A535" s="19" t="inlineStr">
        <is>
          <t>534</t>
        </is>
      </c>
      <c r="B535" s="19" t="inlineStr">
        <is>
          <t>SC-1009979-ST-045-STD-08</t>
        </is>
      </c>
      <c r="C535" t="inlineStr">
        <is>
          <t>1009979 → ST-045-STD-08</t>
        </is>
      </c>
      <c r="D535" s="19" t="inlineStr">
        <is>
          <t>2</t>
        </is>
      </c>
      <c r="E535" s="19" t="inlineStr">
        <is>
          <t>135</t>
        </is>
      </c>
      <c r="F535" s="19" t="inlineStr">
        <is>
          <t>79</t>
        </is>
      </c>
      <c r="G535" s="19" t="n"/>
      <c r="H535" s="19" t="inlineStr">
        <is>
          <t>2</t>
        </is>
      </c>
      <c r="I535" s="19" t="n"/>
      <c r="J535" s="19" t="n"/>
      <c r="K535" s="19" t="inlineStr">
        <is>
          <t>2</t>
        </is>
      </c>
      <c r="L535" t="inlineStr">
        <is>
          <t>2026-08-08</t>
        </is>
      </c>
      <c r="N535" t="inlineStr">
        <is>
          <t>IN_SCOPE_FINAL; SOURCE_CFG=IA-ST-CFG-0096; MARKET=REY &amp; LENFERNA LUCAS; STATUS=IN OEM / EU PACKAGE</t>
        </is>
      </c>
      <c r="O535" t="inlineStr">
        <is>
          <t>2026-08-10T19:29:54Z</t>
        </is>
      </c>
      <c r="P535" t="inlineStr">
        <is>
          <t>2026-08-10T19:29:54Z</t>
        </is>
      </c>
    </row>
    <row r="536">
      <c r="A536" s="19" t="inlineStr">
        <is>
          <t>535</t>
        </is>
      </c>
      <c r="B536" s="19" t="inlineStr">
        <is>
          <t>SC-1010907-ST-045-STD-08</t>
        </is>
      </c>
      <c r="C536" t="inlineStr">
        <is>
          <t>1010907 → ST-045-STD-08</t>
        </is>
      </c>
      <c r="D536" s="19" t="inlineStr">
        <is>
          <t>2</t>
        </is>
      </c>
      <c r="E536" s="19" t="inlineStr">
        <is>
          <t>214</t>
        </is>
      </c>
      <c r="F536" s="19" t="inlineStr">
        <is>
          <t>79</t>
        </is>
      </c>
      <c r="G536" s="19" t="n"/>
      <c r="H536" s="19" t="inlineStr">
        <is>
          <t>2</t>
        </is>
      </c>
      <c r="I536" s="19" t="n"/>
      <c r="J536" s="19" t="n"/>
      <c r="K536" s="19" t="inlineStr">
        <is>
          <t>2</t>
        </is>
      </c>
      <c r="L536" t="inlineStr">
        <is>
          <t>2026-08-08</t>
        </is>
      </c>
      <c r="N536" t="inlineStr">
        <is>
          <t>IN_SCOPE_FINAL; SOURCE_CFG=IA-ST-CFG-0096; MARKET=ARCOBALENO-GANA; STATUS=IN OEM / EU PACKAGE</t>
        </is>
      </c>
      <c r="O536" t="inlineStr">
        <is>
          <t>2026-08-10T19:29:54Z</t>
        </is>
      </c>
      <c r="P536" t="inlineStr">
        <is>
          <t>2026-08-10T19:29:54Z</t>
        </is>
      </c>
    </row>
    <row r="537">
      <c r="A537" s="19" t="inlineStr">
        <is>
          <t>536</t>
        </is>
      </c>
      <c r="B537" s="19" t="inlineStr">
        <is>
          <t>SC-1011894-ST-045-STD-08</t>
        </is>
      </c>
      <c r="C537" t="inlineStr">
        <is>
          <t>1011894 → ST-045-STD-08</t>
        </is>
      </c>
      <c r="D537" s="19" t="inlineStr">
        <is>
          <t>2</t>
        </is>
      </c>
      <c r="E537" s="19" t="inlineStr">
        <is>
          <t>393</t>
        </is>
      </c>
      <c r="F537" s="19" t="inlineStr">
        <is>
          <t>79</t>
        </is>
      </c>
      <c r="G537" s="19" t="n"/>
      <c r="H537" s="19" t="inlineStr">
        <is>
          <t>2</t>
        </is>
      </c>
      <c r="I537" s="19" t="n"/>
      <c r="J537" s="19" t="n"/>
      <c r="K537" s="19" t="inlineStr">
        <is>
          <t>2</t>
        </is>
      </c>
      <c r="L537" t="inlineStr">
        <is>
          <t>2026-08-08</t>
        </is>
      </c>
      <c r="N537" t="inlineStr">
        <is>
          <t>IN_SCOPE_FINAL; SOURCE_CFG=IA-ST-CFG-0096; MARKET=None; STATUS=IN OEM / EU PACKAGE</t>
        </is>
      </c>
      <c r="O537" t="inlineStr">
        <is>
          <t>2026-08-10T19:29:54Z</t>
        </is>
      </c>
      <c r="P537" t="inlineStr">
        <is>
          <t>2026-08-10T19:29:54Z</t>
        </is>
      </c>
    </row>
    <row r="538">
      <c r="A538" s="19" t="inlineStr">
        <is>
          <t>537</t>
        </is>
      </c>
      <c r="B538" s="19" t="inlineStr">
        <is>
          <t>SC-1011897-ST-045-STD-08</t>
        </is>
      </c>
      <c r="C538" t="inlineStr">
        <is>
          <t>1011897 → ST-045-STD-08</t>
        </is>
      </c>
      <c r="D538" s="19" t="inlineStr">
        <is>
          <t>2</t>
        </is>
      </c>
      <c r="E538" s="19" t="inlineStr">
        <is>
          <t>396</t>
        </is>
      </c>
      <c r="F538" s="19" t="inlineStr">
        <is>
          <t>79</t>
        </is>
      </c>
      <c r="G538" s="19" t="n"/>
      <c r="H538" s="19" t="inlineStr">
        <is>
          <t>2</t>
        </is>
      </c>
      <c r="I538" s="19" t="n"/>
      <c r="J538" s="19" t="n"/>
      <c r="K538" s="19" t="inlineStr">
        <is>
          <t>2</t>
        </is>
      </c>
      <c r="L538" t="inlineStr">
        <is>
          <t>2026-08-08</t>
        </is>
      </c>
      <c r="N538" t="inlineStr">
        <is>
          <t>IN_SCOPE_FINAL; SOURCE_CFG=IA-ST-CFG-0096; MARKET=None; STATUS=IN OEM / EU PACKAGE</t>
        </is>
      </c>
      <c r="O538" t="inlineStr">
        <is>
          <t>2026-08-10T19:29:54Z</t>
        </is>
      </c>
      <c r="P538" t="inlineStr">
        <is>
          <t>2026-08-10T19:29:54Z</t>
        </is>
      </c>
    </row>
    <row r="539">
      <c r="A539" s="19" t="inlineStr">
        <is>
          <t>538</t>
        </is>
      </c>
      <c r="B539" s="19" t="inlineStr">
        <is>
          <t>SC-1011899-ST-045-STD-08</t>
        </is>
      </c>
      <c r="C539" t="inlineStr">
        <is>
          <t>1011899 → ST-045-STD-08</t>
        </is>
      </c>
      <c r="D539" s="19" t="inlineStr">
        <is>
          <t>2</t>
        </is>
      </c>
      <c r="E539" s="19" t="inlineStr">
        <is>
          <t>398</t>
        </is>
      </c>
      <c r="F539" s="19" t="inlineStr">
        <is>
          <t>79</t>
        </is>
      </c>
      <c r="G539" s="19" t="n"/>
      <c r="H539" s="19" t="inlineStr">
        <is>
          <t>2</t>
        </is>
      </c>
      <c r="I539" s="19" t="n"/>
      <c r="J539" s="19" t="n"/>
      <c r="K539" s="19" t="inlineStr">
        <is>
          <t>2</t>
        </is>
      </c>
      <c r="L539" t="inlineStr">
        <is>
          <t>2026-08-08</t>
        </is>
      </c>
      <c r="N539" t="inlineStr">
        <is>
          <t>IN_SCOPE_FINAL; SOURCE_CFG=IA-ST-CFG-0096; MARKET=None; STATUS=IN OEM / EU PACKAGE</t>
        </is>
      </c>
      <c r="O539" t="inlineStr">
        <is>
          <t>2026-08-10T19:29:54Z</t>
        </is>
      </c>
      <c r="P539" t="inlineStr">
        <is>
          <t>2026-08-10T19:29:54Z</t>
        </is>
      </c>
    </row>
    <row r="540">
      <c r="A540" s="19" t="inlineStr">
        <is>
          <t>539</t>
        </is>
      </c>
      <c r="B540" s="19" t="inlineStr">
        <is>
          <t>SC-1011901-ST-045-STD-08</t>
        </is>
      </c>
      <c r="C540" t="inlineStr">
        <is>
          <t>1011901 → ST-045-STD-08</t>
        </is>
      </c>
      <c r="D540" s="19" t="inlineStr">
        <is>
          <t>2</t>
        </is>
      </c>
      <c r="E540" s="19" t="inlineStr">
        <is>
          <t>400</t>
        </is>
      </c>
      <c r="F540" s="19" t="inlineStr">
        <is>
          <t>79</t>
        </is>
      </c>
      <c r="G540" s="19" t="n"/>
      <c r="H540" s="19" t="inlineStr">
        <is>
          <t>2</t>
        </is>
      </c>
      <c r="I540" s="19" t="n"/>
      <c r="J540" s="19" t="n"/>
      <c r="K540" s="19" t="inlineStr">
        <is>
          <t>2</t>
        </is>
      </c>
      <c r="L540" t="inlineStr">
        <is>
          <t>2026-08-08</t>
        </is>
      </c>
      <c r="N540" t="inlineStr">
        <is>
          <t>IN_SCOPE_FINAL; SOURCE_CFG=IA-ST-CFG-0096; MARKET=JANENE İSRAİL; STATUS=IN OEM / EU PACKAGE</t>
        </is>
      </c>
      <c r="O540" t="inlineStr">
        <is>
          <t>2026-08-10T19:29:54Z</t>
        </is>
      </c>
      <c r="P540" t="inlineStr">
        <is>
          <t>2026-08-10T19:29:54Z</t>
        </is>
      </c>
    </row>
    <row r="541">
      <c r="A541" s="19" t="inlineStr">
        <is>
          <t>540</t>
        </is>
      </c>
      <c r="B541" s="19" t="inlineStr">
        <is>
          <t>SC-1011961-ST-045-STD-08</t>
        </is>
      </c>
      <c r="C541" t="inlineStr">
        <is>
          <t>1011961 → ST-045-STD-08</t>
        </is>
      </c>
      <c r="D541" s="19" t="inlineStr">
        <is>
          <t>2</t>
        </is>
      </c>
      <c r="E541" s="19" t="inlineStr">
        <is>
          <t>439</t>
        </is>
      </c>
      <c r="F541" s="19" t="inlineStr">
        <is>
          <t>79</t>
        </is>
      </c>
      <c r="G541" s="19" t="n"/>
      <c r="H541" s="19" t="inlineStr">
        <is>
          <t>2</t>
        </is>
      </c>
      <c r="I541" s="19" t="n"/>
      <c r="J541" s="19" t="n"/>
      <c r="K541" s="19" t="inlineStr">
        <is>
          <t>2</t>
        </is>
      </c>
      <c r="L541" t="inlineStr">
        <is>
          <t>2026-08-08</t>
        </is>
      </c>
      <c r="N541" t="inlineStr">
        <is>
          <t>IN_SCOPE_FINAL; SOURCE_CFG=IA-ST-CFG-0096; MARKET=None; STATUS=IN OEM / EU PACKAGE</t>
        </is>
      </c>
      <c r="O541" t="inlineStr">
        <is>
          <t>2026-08-10T19:29:54Z</t>
        </is>
      </c>
      <c r="P541" t="inlineStr">
        <is>
          <t>2026-08-10T19:29:54Z</t>
        </is>
      </c>
    </row>
    <row r="542">
      <c r="A542" s="19" t="inlineStr">
        <is>
          <t>541</t>
        </is>
      </c>
      <c r="B542" s="19" t="inlineStr">
        <is>
          <t>SC-1011967-ST-045-STD-08</t>
        </is>
      </c>
      <c r="C542" t="inlineStr">
        <is>
          <t>1011967 → ST-045-STD-08</t>
        </is>
      </c>
      <c r="D542" s="19" t="inlineStr">
        <is>
          <t>2</t>
        </is>
      </c>
      <c r="E542" s="19" t="inlineStr">
        <is>
          <t>442</t>
        </is>
      </c>
      <c r="F542" s="19" t="inlineStr">
        <is>
          <t>79</t>
        </is>
      </c>
      <c r="G542" s="19" t="n"/>
      <c r="H542" s="19" t="inlineStr">
        <is>
          <t>2</t>
        </is>
      </c>
      <c r="I542" s="19" t="n"/>
      <c r="J542" s="19" t="n"/>
      <c r="K542" s="19" t="inlineStr">
        <is>
          <t>2</t>
        </is>
      </c>
      <c r="L542" t="inlineStr">
        <is>
          <t>2026-08-08</t>
        </is>
      </c>
      <c r="N542" t="inlineStr">
        <is>
          <t>IN_SCOPE_FINAL; SOURCE_CFG=IA-ST-CFG-0096; MARKET=MISIR NACITA; STATUS=IN OEM / EU PACKAGE</t>
        </is>
      </c>
      <c r="O542" t="inlineStr">
        <is>
          <t>2026-08-10T19:29:54Z</t>
        </is>
      </c>
      <c r="P542" t="inlineStr">
        <is>
          <t>2026-08-10T19:29:54Z</t>
        </is>
      </c>
    </row>
    <row r="543">
      <c r="A543" s="19" t="inlineStr">
        <is>
          <t>542</t>
        </is>
      </c>
      <c r="B543" s="19" t="inlineStr">
        <is>
          <t>SC-1011968-ST-045-STD-08</t>
        </is>
      </c>
      <c r="C543" t="inlineStr">
        <is>
          <t>1011968 → ST-045-STD-08</t>
        </is>
      </c>
      <c r="D543" s="19" t="inlineStr">
        <is>
          <t>2</t>
        </is>
      </c>
      <c r="E543" s="19" t="inlineStr">
        <is>
          <t>443</t>
        </is>
      </c>
      <c r="F543" s="19" t="inlineStr">
        <is>
          <t>79</t>
        </is>
      </c>
      <c r="G543" s="19" t="n"/>
      <c r="H543" s="19" t="inlineStr">
        <is>
          <t>2</t>
        </is>
      </c>
      <c r="I543" s="19" t="n"/>
      <c r="J543" s="19" t="n"/>
      <c r="K543" s="19" t="inlineStr">
        <is>
          <t>2</t>
        </is>
      </c>
      <c r="L543" t="inlineStr">
        <is>
          <t>2026-08-08</t>
        </is>
      </c>
      <c r="N543" t="inlineStr">
        <is>
          <t>IN_SCOPE_FINAL; SOURCE_CFG=IA-ST-CFG-0096; MARKET=MISIR AL AMAN; STATUS=IN OEM / EU PACKAGE</t>
        </is>
      </c>
      <c r="O543" t="inlineStr">
        <is>
          <t>2026-08-10T19:29:54Z</t>
        </is>
      </c>
      <c r="P543" t="inlineStr">
        <is>
          <t>2026-08-10T19:29:54Z</t>
        </is>
      </c>
    </row>
    <row r="544">
      <c r="A544" s="19" t="inlineStr">
        <is>
          <t>543</t>
        </is>
      </c>
      <c r="B544" s="19" t="inlineStr">
        <is>
          <t>SC-1011969-ST-045-STD-08</t>
        </is>
      </c>
      <c r="C544" t="inlineStr">
        <is>
          <t>1011969 → ST-045-STD-08</t>
        </is>
      </c>
      <c r="D544" s="19" t="inlineStr">
        <is>
          <t>2</t>
        </is>
      </c>
      <c r="E544" s="19" t="inlineStr">
        <is>
          <t>444</t>
        </is>
      </c>
      <c r="F544" s="19" t="inlineStr">
        <is>
          <t>79</t>
        </is>
      </c>
      <c r="G544" s="19" t="n"/>
      <c r="H544" s="19" t="inlineStr">
        <is>
          <t>2</t>
        </is>
      </c>
      <c r="I544" s="19" t="n"/>
      <c r="J544" s="19" t="n"/>
      <c r="K544" s="19" t="inlineStr">
        <is>
          <t>2</t>
        </is>
      </c>
      <c r="L544" t="inlineStr">
        <is>
          <t>2026-08-08</t>
        </is>
      </c>
      <c r="N544" t="inlineStr">
        <is>
          <t>IN_SCOPE_FINAL; SOURCE_CFG=IA-ST-CFG-0096; MARKET=MISIR NACITA; STATUS=IN OEM / EU PACKAGE</t>
        </is>
      </c>
      <c r="O544" t="inlineStr">
        <is>
          <t>2026-08-10T19:29:54Z</t>
        </is>
      </c>
      <c r="P544" t="inlineStr">
        <is>
          <t>2026-08-10T19:29:54Z</t>
        </is>
      </c>
    </row>
    <row r="545">
      <c r="A545" s="19" t="inlineStr">
        <is>
          <t>544</t>
        </is>
      </c>
      <c r="B545" s="19" t="inlineStr">
        <is>
          <t>SC-1011970-ST-045-STD-08</t>
        </is>
      </c>
      <c r="C545" t="inlineStr">
        <is>
          <t>1011970 → ST-045-STD-08</t>
        </is>
      </c>
      <c r="D545" s="19" t="inlineStr">
        <is>
          <t>2</t>
        </is>
      </c>
      <c r="E545" s="19" t="inlineStr">
        <is>
          <t>445</t>
        </is>
      </c>
      <c r="F545" s="19" t="inlineStr">
        <is>
          <t>79</t>
        </is>
      </c>
      <c r="G545" s="19" t="n"/>
      <c r="H545" s="19" t="inlineStr">
        <is>
          <t>2</t>
        </is>
      </c>
      <c r="I545" s="19" t="n"/>
      <c r="J545" s="19" t="n"/>
      <c r="K545" s="19" t="inlineStr">
        <is>
          <t>2</t>
        </is>
      </c>
      <c r="L545" t="inlineStr">
        <is>
          <t>2026-08-08</t>
        </is>
      </c>
      <c r="N545" t="inlineStr">
        <is>
          <t>IN_SCOPE_FINAL; SOURCE_CFG=IA-ST-CFG-0096; MARKET=MISIR AL AMAN; STATUS=IN OEM / EU PACKAGE</t>
        </is>
      </c>
      <c r="O545" t="inlineStr">
        <is>
          <t>2026-08-10T19:29:54Z</t>
        </is>
      </c>
      <c r="P545" t="inlineStr">
        <is>
          <t>2026-08-10T19:29:54Z</t>
        </is>
      </c>
    </row>
    <row r="546">
      <c r="A546" s="19" t="inlineStr">
        <is>
          <t>545</t>
        </is>
      </c>
      <c r="B546" s="19" t="inlineStr">
        <is>
          <t>SC-1012404-ST-045-STD-08</t>
        </is>
      </c>
      <c r="C546" t="inlineStr">
        <is>
          <t>1012404 → ST-045-STD-08</t>
        </is>
      </c>
      <c r="D546" s="19" t="inlineStr">
        <is>
          <t>2</t>
        </is>
      </c>
      <c r="E546" s="19" t="inlineStr">
        <is>
          <t>627</t>
        </is>
      </c>
      <c r="F546" s="19" t="inlineStr">
        <is>
          <t>79</t>
        </is>
      </c>
      <c r="G546" s="19" t="n"/>
      <c r="H546" s="19" t="inlineStr">
        <is>
          <t>2</t>
        </is>
      </c>
      <c r="I546" s="19" t="n"/>
      <c r="J546" s="19" t="n"/>
      <c r="K546" s="19" t="inlineStr">
        <is>
          <t>2</t>
        </is>
      </c>
      <c r="L546" t="inlineStr">
        <is>
          <t>2026-08-08</t>
        </is>
      </c>
      <c r="N546" t="inlineStr">
        <is>
          <t>IN_SCOPE_FINAL; SOURCE_CFG=IA-ST-CFG-0096; MARKET=None; STATUS=IN OEM / EU PACKAGE</t>
        </is>
      </c>
      <c r="O546" t="inlineStr">
        <is>
          <t>2026-08-10T19:29:54Z</t>
        </is>
      </c>
      <c r="P546" t="inlineStr">
        <is>
          <t>2026-08-10T19:29:54Z</t>
        </is>
      </c>
    </row>
    <row r="547">
      <c r="A547" s="19" t="inlineStr">
        <is>
          <t>546</t>
        </is>
      </c>
      <c r="B547" s="19" t="inlineStr">
        <is>
          <t>SC-1012405-ST-045-STD-08</t>
        </is>
      </c>
      <c r="C547" t="inlineStr">
        <is>
          <t>1012405 → ST-045-STD-08</t>
        </is>
      </c>
      <c r="D547" s="19" t="inlineStr">
        <is>
          <t>2</t>
        </is>
      </c>
      <c r="E547" s="19" t="inlineStr">
        <is>
          <t>628</t>
        </is>
      </c>
      <c r="F547" s="19" t="inlineStr">
        <is>
          <t>79</t>
        </is>
      </c>
      <c r="G547" s="19" t="n"/>
      <c r="H547" s="19" t="inlineStr">
        <is>
          <t>2</t>
        </is>
      </c>
      <c r="I547" s="19" t="n"/>
      <c r="J547" s="19" t="n"/>
      <c r="K547" s="19" t="inlineStr">
        <is>
          <t>2</t>
        </is>
      </c>
      <c r="L547" t="inlineStr">
        <is>
          <t>2026-08-08</t>
        </is>
      </c>
      <c r="N547" t="inlineStr">
        <is>
          <t>IN_SCOPE_FINAL; SOURCE_CFG=IA-ST-CFG-0096; MARKET=None; STATUS=IN OEM / EU PACKAGE</t>
        </is>
      </c>
      <c r="O547" t="inlineStr">
        <is>
          <t>2026-08-10T19:29:54Z</t>
        </is>
      </c>
      <c r="P547" t="inlineStr">
        <is>
          <t>2026-08-10T19:29:54Z</t>
        </is>
      </c>
    </row>
    <row r="548">
      <c r="A548" s="19" t="inlineStr">
        <is>
          <t>547</t>
        </is>
      </c>
      <c r="B548" s="19" t="inlineStr">
        <is>
          <t>SC-1012407-ST-045-STD-08</t>
        </is>
      </c>
      <c r="C548" t="inlineStr">
        <is>
          <t>1012407 → ST-045-STD-08</t>
        </is>
      </c>
      <c r="D548" s="19" t="inlineStr">
        <is>
          <t>2</t>
        </is>
      </c>
      <c r="E548" s="19" t="inlineStr">
        <is>
          <t>629</t>
        </is>
      </c>
      <c r="F548" s="19" t="inlineStr">
        <is>
          <t>79</t>
        </is>
      </c>
      <c r="G548" s="19" t="n"/>
      <c r="H548" s="19" t="inlineStr">
        <is>
          <t>2</t>
        </is>
      </c>
      <c r="I548" s="19" t="n"/>
      <c r="J548" s="19" t="n"/>
      <c r="K548" s="19" t="inlineStr">
        <is>
          <t>2</t>
        </is>
      </c>
      <c r="L548" t="inlineStr">
        <is>
          <t>2026-08-08</t>
        </is>
      </c>
      <c r="N548" t="inlineStr">
        <is>
          <t>IN_SCOPE_FINAL; SOURCE_CFG=IA-ST-CFG-0096; MARKET=JANENE İSRAİL; STATUS=IN OEM / EU PACKAGE</t>
        </is>
      </c>
      <c r="O548" t="inlineStr">
        <is>
          <t>2026-08-10T19:29:54Z</t>
        </is>
      </c>
      <c r="P548" t="inlineStr">
        <is>
          <t>2026-08-10T19:29:54Z</t>
        </is>
      </c>
    </row>
    <row r="549">
      <c r="A549" s="19" t="inlineStr">
        <is>
          <t>548</t>
        </is>
      </c>
      <c r="B549" s="19" t="inlineStr">
        <is>
          <t>SC-1012408-ST-045-STD-08</t>
        </is>
      </c>
      <c r="C549" t="inlineStr">
        <is>
          <t>1012408 → ST-045-STD-08</t>
        </is>
      </c>
      <c r="D549" s="19" t="inlineStr">
        <is>
          <t>2</t>
        </is>
      </c>
      <c r="E549" s="19" t="inlineStr">
        <is>
          <t>630</t>
        </is>
      </c>
      <c r="F549" s="19" t="inlineStr">
        <is>
          <t>79</t>
        </is>
      </c>
      <c r="G549" s="19" t="n"/>
      <c r="H549" s="19" t="inlineStr">
        <is>
          <t>2</t>
        </is>
      </c>
      <c r="I549" s="19" t="n"/>
      <c r="J549" s="19" t="n"/>
      <c r="K549" s="19" t="inlineStr">
        <is>
          <t>2</t>
        </is>
      </c>
      <c r="L549" t="inlineStr">
        <is>
          <t>2026-08-08</t>
        </is>
      </c>
      <c r="N549" t="inlineStr">
        <is>
          <t>IN_SCOPE_FINAL; SOURCE_CFG=IA-ST-CFG-0096; MARKET=None; STATUS=IN OEM / EU PACKAGE</t>
        </is>
      </c>
      <c r="O549" t="inlineStr">
        <is>
          <t>2026-08-10T19:29:54Z</t>
        </is>
      </c>
      <c r="P549" t="inlineStr">
        <is>
          <t>2026-08-10T19:29:54Z</t>
        </is>
      </c>
    </row>
    <row r="550">
      <c r="A550" s="19" t="inlineStr">
        <is>
          <t>549</t>
        </is>
      </c>
      <c r="B550" s="19" t="inlineStr">
        <is>
          <t>SC-1012903-ST-045-STD-08</t>
        </is>
      </c>
      <c r="C550" t="inlineStr">
        <is>
          <t>1012903 → ST-045-STD-08</t>
        </is>
      </c>
      <c r="D550" s="19" t="inlineStr">
        <is>
          <t>2</t>
        </is>
      </c>
      <c r="E550" s="19" t="inlineStr">
        <is>
          <t>853</t>
        </is>
      </c>
      <c r="F550" s="19" t="inlineStr">
        <is>
          <t>79</t>
        </is>
      </c>
      <c r="G550" s="19" t="n"/>
      <c r="H550" s="19" t="inlineStr">
        <is>
          <t>2</t>
        </is>
      </c>
      <c r="I550" s="19" t="n"/>
      <c r="J550" s="19" t="n"/>
      <c r="K550" s="19" t="inlineStr">
        <is>
          <t>2</t>
        </is>
      </c>
      <c r="L550" t="inlineStr">
        <is>
          <t>2026-08-08</t>
        </is>
      </c>
      <c r="N550" t="inlineStr">
        <is>
          <t>IN_SCOPE_FINAL; SOURCE_CFG=IA-ST-CFG-0096; MARKET=SHAWKAT; STATUS=IN OEM / EU PACKAGE</t>
        </is>
      </c>
      <c r="O550" t="inlineStr">
        <is>
          <t>2026-08-10T19:29:54Z</t>
        </is>
      </c>
      <c r="P550" t="inlineStr">
        <is>
          <t>2026-08-10T19:29:54Z</t>
        </is>
      </c>
    </row>
    <row r="551">
      <c r="A551" s="19" t="inlineStr">
        <is>
          <t>550</t>
        </is>
      </c>
      <c r="B551" s="19" t="inlineStr">
        <is>
          <t>SC-1013075-ST-045-STD-08</t>
        </is>
      </c>
      <c r="C551" t="inlineStr">
        <is>
          <t>1013075 → ST-045-STD-08</t>
        </is>
      </c>
      <c r="D551" s="19" t="inlineStr">
        <is>
          <t>2</t>
        </is>
      </c>
      <c r="E551" s="19" t="inlineStr">
        <is>
          <t>912</t>
        </is>
      </c>
      <c r="F551" s="19" t="inlineStr">
        <is>
          <t>79</t>
        </is>
      </c>
      <c r="G551" s="19" t="n"/>
      <c r="H551" s="19" t="inlineStr">
        <is>
          <t>2</t>
        </is>
      </c>
      <c r="I551" s="19" t="n"/>
      <c r="J551" s="19" t="n"/>
      <c r="K551" s="19" t="inlineStr">
        <is>
          <t>2</t>
        </is>
      </c>
      <c r="L551" t="inlineStr">
        <is>
          <t>2026-08-08</t>
        </is>
      </c>
      <c r="N551" t="inlineStr">
        <is>
          <t>IN_SCOPE_FINAL; SOURCE_CFG=IA-ST-CFG-0096; MARKET=None; STATUS=IN OEM / EU PACKAGE</t>
        </is>
      </c>
      <c r="O551" t="inlineStr">
        <is>
          <t>2026-08-10T19:29:54Z</t>
        </is>
      </c>
      <c r="P551" t="inlineStr">
        <is>
          <t>2026-08-10T19:29:54Z</t>
        </is>
      </c>
    </row>
    <row r="552">
      <c r="A552" s="19" t="inlineStr">
        <is>
          <t>551</t>
        </is>
      </c>
      <c r="B552" s="19" t="inlineStr">
        <is>
          <t>SC-1013679-ST-045-STD-08</t>
        </is>
      </c>
      <c r="C552" t="inlineStr">
        <is>
          <t>1013679 → ST-045-STD-08</t>
        </is>
      </c>
      <c r="D552" s="19" t="inlineStr">
        <is>
          <t>2</t>
        </is>
      </c>
      <c r="E552" s="19" t="inlineStr">
        <is>
          <t>1063</t>
        </is>
      </c>
      <c r="F552" s="19" t="inlineStr">
        <is>
          <t>79</t>
        </is>
      </c>
      <c r="G552" s="19" t="n"/>
      <c r="H552" s="19" t="inlineStr">
        <is>
          <t>2</t>
        </is>
      </c>
      <c r="I552" s="19" t="n"/>
      <c r="J552" s="19" t="n"/>
      <c r="K552" s="19" t="inlineStr">
        <is>
          <t>2</t>
        </is>
      </c>
      <c r="L552" t="inlineStr">
        <is>
          <t>2026-08-08</t>
        </is>
      </c>
      <c r="N552" t="inlineStr">
        <is>
          <t>IN_SCOPE_FINAL; SOURCE_CFG=IA-ST-CFG-0096; MARKET=None; STATUS=IN OEM / EU PACKAGE</t>
        </is>
      </c>
      <c r="O552" t="inlineStr">
        <is>
          <t>2026-08-10T19:29:54Z</t>
        </is>
      </c>
      <c r="P552" t="inlineStr">
        <is>
          <t>2026-08-10T19:29:54Z</t>
        </is>
      </c>
    </row>
    <row r="553">
      <c r="A553" s="19" t="inlineStr">
        <is>
          <t>552</t>
        </is>
      </c>
      <c r="B553" s="19" t="inlineStr">
        <is>
          <t>SC-1013865-ST-045-STD-08</t>
        </is>
      </c>
      <c r="C553" t="inlineStr">
        <is>
          <t>1013865 → ST-045-STD-08</t>
        </is>
      </c>
      <c r="D553" s="19" t="inlineStr">
        <is>
          <t>2</t>
        </is>
      </c>
      <c r="E553" s="19" t="inlineStr">
        <is>
          <t>1115</t>
        </is>
      </c>
      <c r="F553" s="19" t="inlineStr">
        <is>
          <t>79</t>
        </is>
      </c>
      <c r="G553" s="19" t="n"/>
      <c r="H553" s="19" t="inlineStr">
        <is>
          <t>2</t>
        </is>
      </c>
      <c r="I553" s="19" t="n"/>
      <c r="J553" s="19" t="n"/>
      <c r="K553" s="19" t="inlineStr">
        <is>
          <t>2</t>
        </is>
      </c>
      <c r="L553" t="inlineStr">
        <is>
          <t>2026-08-08</t>
        </is>
      </c>
      <c r="N553" t="inlineStr">
        <is>
          <t>IN_SCOPE_FINAL; SOURCE_CFG=IA-ST-CFG-0096; MARKET=None; STATUS=IN OEM / EU PACKAGE</t>
        </is>
      </c>
      <c r="O553" t="inlineStr">
        <is>
          <t>2026-08-10T19:29:54Z</t>
        </is>
      </c>
      <c r="P553" t="inlineStr">
        <is>
          <t>2026-08-10T19:29:54Z</t>
        </is>
      </c>
    </row>
    <row r="554">
      <c r="A554" s="19" t="inlineStr">
        <is>
          <t>553</t>
        </is>
      </c>
      <c r="B554" s="19" t="inlineStr">
        <is>
          <t>SC-1014205-ST-045-STD-08</t>
        </is>
      </c>
      <c r="C554" t="inlineStr">
        <is>
          <t>1014205 → ST-045-STD-08</t>
        </is>
      </c>
      <c r="D554" s="19" t="inlineStr">
        <is>
          <t>2</t>
        </is>
      </c>
      <c r="E554" s="19" t="inlineStr">
        <is>
          <t>1272</t>
        </is>
      </c>
      <c r="F554" s="19" t="inlineStr">
        <is>
          <t>79</t>
        </is>
      </c>
      <c r="G554" s="19" t="n"/>
      <c r="H554" s="19" t="inlineStr">
        <is>
          <t>2</t>
        </is>
      </c>
      <c r="I554" s="19" t="n"/>
      <c r="J554" s="19" t="n"/>
      <c r="K554" s="19" t="inlineStr">
        <is>
          <t>2</t>
        </is>
      </c>
      <c r="L554" t="inlineStr">
        <is>
          <t>2026-08-08</t>
        </is>
      </c>
      <c r="N554" t="inlineStr">
        <is>
          <t>IN_SCOPE_FINAL; SOURCE_CFG=IA-ST-CFG-0096; MARKET=REY &amp; LENFERNA LUCAS; STATUS=IN OEM / EU PACKAGE</t>
        </is>
      </c>
      <c r="O554" t="inlineStr">
        <is>
          <t>2026-08-10T19:29:54Z</t>
        </is>
      </c>
      <c r="P554" t="inlineStr">
        <is>
          <t>2026-08-10T19:29:54Z</t>
        </is>
      </c>
    </row>
    <row r="555">
      <c r="A555" s="19" t="inlineStr">
        <is>
          <t>554</t>
        </is>
      </c>
      <c r="B555" s="19" t="inlineStr">
        <is>
          <t>SC-1014277-ST-045-STD-08</t>
        </is>
      </c>
      <c r="C555" t="inlineStr">
        <is>
          <t>1014277 → ST-045-STD-08</t>
        </is>
      </c>
      <c r="D555" s="19" t="inlineStr">
        <is>
          <t>2</t>
        </is>
      </c>
      <c r="E555" s="19" t="inlineStr">
        <is>
          <t>1291</t>
        </is>
      </c>
      <c r="F555" s="19" t="inlineStr">
        <is>
          <t>79</t>
        </is>
      </c>
      <c r="G555" s="19" t="n"/>
      <c r="H555" s="19" t="inlineStr">
        <is>
          <t>2</t>
        </is>
      </c>
      <c r="I555" s="19" t="n"/>
      <c r="J555" s="19" t="n"/>
      <c r="K555" s="19" t="inlineStr">
        <is>
          <t>2</t>
        </is>
      </c>
      <c r="L555" t="inlineStr">
        <is>
          <t>2026-08-08</t>
        </is>
      </c>
      <c r="N555" t="inlineStr">
        <is>
          <t>IN_SCOPE_FINAL; SOURCE_CFG=IA-ST-CFG-0096; MARKET=None; STATUS=IN OEM / EU PACKAGE</t>
        </is>
      </c>
      <c r="O555" t="inlineStr">
        <is>
          <t>2026-08-10T19:29:54Z</t>
        </is>
      </c>
      <c r="P555" t="inlineStr">
        <is>
          <t>2026-08-10T19:29:54Z</t>
        </is>
      </c>
    </row>
    <row r="556">
      <c r="A556" s="19" t="inlineStr">
        <is>
          <t>555</t>
        </is>
      </c>
      <c r="B556" s="19" t="inlineStr">
        <is>
          <t>SC-1014281-ST-045-STD-08</t>
        </is>
      </c>
      <c r="C556" t="inlineStr">
        <is>
          <t>1014281 → ST-045-STD-08</t>
        </is>
      </c>
      <c r="D556" s="19" t="inlineStr">
        <is>
          <t>2</t>
        </is>
      </c>
      <c r="E556" s="19" t="inlineStr">
        <is>
          <t>1294</t>
        </is>
      </c>
      <c r="F556" s="19" t="inlineStr">
        <is>
          <t>79</t>
        </is>
      </c>
      <c r="G556" s="19" t="n"/>
      <c r="H556" s="19" t="inlineStr">
        <is>
          <t>2</t>
        </is>
      </c>
      <c r="I556" s="19" t="n"/>
      <c r="J556" s="19" t="n"/>
      <c r="K556" s="19" t="inlineStr">
        <is>
          <t>2</t>
        </is>
      </c>
      <c r="L556" t="inlineStr">
        <is>
          <t>2026-08-08</t>
        </is>
      </c>
      <c r="N556" t="inlineStr">
        <is>
          <t>IN_SCOPE_FINAL; SOURCE_CFG=IA-ST-CFG-0096; MARKET=None; STATUS=IN OEM / EU PACKAGE</t>
        </is>
      </c>
      <c r="O556" t="inlineStr">
        <is>
          <t>2026-08-10T19:29:54Z</t>
        </is>
      </c>
      <c r="P556" t="inlineStr">
        <is>
          <t>2026-08-10T19:29:54Z</t>
        </is>
      </c>
    </row>
    <row r="557">
      <c r="A557" s="19" t="inlineStr">
        <is>
          <t>556</t>
        </is>
      </c>
      <c r="B557" s="19" t="inlineStr">
        <is>
          <t>SC-1014555-ST-045-STD-08</t>
        </is>
      </c>
      <c r="C557" t="inlineStr">
        <is>
          <t>1014555 → ST-045-STD-08</t>
        </is>
      </c>
      <c r="D557" s="19" t="inlineStr">
        <is>
          <t>2</t>
        </is>
      </c>
      <c r="E557" s="19" t="inlineStr">
        <is>
          <t>1444</t>
        </is>
      </c>
      <c r="F557" s="19" t="inlineStr">
        <is>
          <t>79</t>
        </is>
      </c>
      <c r="G557" s="19" t="n"/>
      <c r="H557" s="19" t="inlineStr">
        <is>
          <t>2</t>
        </is>
      </c>
      <c r="I557" s="19" t="n"/>
      <c r="J557" s="19" t="n"/>
      <c r="K557" s="19" t="inlineStr">
        <is>
          <t>2</t>
        </is>
      </c>
      <c r="L557" t="inlineStr">
        <is>
          <t>2026-08-08</t>
        </is>
      </c>
      <c r="N557" t="inlineStr">
        <is>
          <t>IN_SCOPE_FINAL; SOURCE_CFG=IA-ST-CFG-0096; MARKET=MISIR NACITA; STATUS=IN OEM / EU PACKAGE</t>
        </is>
      </c>
      <c r="O557" t="inlineStr">
        <is>
          <t>2026-08-10T19:29:54Z</t>
        </is>
      </c>
      <c r="P557" t="inlineStr">
        <is>
          <t>2026-08-10T19:29:54Z</t>
        </is>
      </c>
    </row>
    <row r="558">
      <c r="A558" s="19" t="inlineStr">
        <is>
          <t>557</t>
        </is>
      </c>
      <c r="B558" s="19" t="inlineStr">
        <is>
          <t>SC-1014763-ST-045-STD-08</t>
        </is>
      </c>
      <c r="C558" t="inlineStr">
        <is>
          <t>1014763 → ST-045-STD-08</t>
        </is>
      </c>
      <c r="D558" s="19" t="inlineStr">
        <is>
          <t>2</t>
        </is>
      </c>
      <c r="E558" s="19" t="inlineStr">
        <is>
          <t>1588</t>
        </is>
      </c>
      <c r="F558" s="19" t="inlineStr">
        <is>
          <t>79</t>
        </is>
      </c>
      <c r="G558" s="19" t="n"/>
      <c r="H558" s="19" t="inlineStr">
        <is>
          <t>2</t>
        </is>
      </c>
      <c r="I558" s="19" t="n"/>
      <c r="J558" s="19" t="n"/>
      <c r="K558" s="19" t="inlineStr">
        <is>
          <t>2</t>
        </is>
      </c>
      <c r="L558" t="inlineStr">
        <is>
          <t>2026-08-08</t>
        </is>
      </c>
      <c r="N558" t="inlineStr">
        <is>
          <t>IN_SCOPE_FINAL; SOURCE_CFG=IA-ST-CFG-0096; MARKET=None; STATUS=IN OEM / EU PACKAGE</t>
        </is>
      </c>
      <c r="O558" t="inlineStr">
        <is>
          <t>2026-08-10T19:29:54Z</t>
        </is>
      </c>
      <c r="P558" t="inlineStr">
        <is>
          <t>2026-08-10T19:29:54Z</t>
        </is>
      </c>
    </row>
    <row r="559">
      <c r="A559" s="19" t="inlineStr">
        <is>
          <t>558</t>
        </is>
      </c>
      <c r="B559" s="19" t="inlineStr">
        <is>
          <t>SC-1014916-ST-045-STD-08</t>
        </is>
      </c>
      <c r="C559" t="inlineStr">
        <is>
          <t>1014916 → ST-045-STD-08</t>
        </is>
      </c>
      <c r="D559" s="19" t="inlineStr">
        <is>
          <t>2</t>
        </is>
      </c>
      <c r="E559" s="19" t="inlineStr">
        <is>
          <t>1684</t>
        </is>
      </c>
      <c r="F559" s="19" t="inlineStr">
        <is>
          <t>79</t>
        </is>
      </c>
      <c r="G559" s="19" t="n"/>
      <c r="H559" s="19" t="inlineStr">
        <is>
          <t>2</t>
        </is>
      </c>
      <c r="I559" s="19" t="n"/>
      <c r="J559" s="19" t="n"/>
      <c r="K559" s="19" t="inlineStr">
        <is>
          <t>2</t>
        </is>
      </c>
      <c r="L559" t="inlineStr">
        <is>
          <t>2026-08-08</t>
        </is>
      </c>
      <c r="N559" t="inlineStr">
        <is>
          <t>IN_SCOPE_FINAL; SOURCE_CFG=IA-ST-CFG-0096; MARKET=ARCOBALENO-GANA; STATUS=IN OEM / EU PACKAGE</t>
        </is>
      </c>
      <c r="O559" t="inlineStr">
        <is>
          <t>2026-08-10T19:29:54Z</t>
        </is>
      </c>
      <c r="P559" t="inlineStr">
        <is>
          <t>2026-08-10T19:29:54Z</t>
        </is>
      </c>
    </row>
    <row r="560">
      <c r="A560" s="19" t="inlineStr">
        <is>
          <t>559</t>
        </is>
      </c>
      <c r="B560" s="19" t="inlineStr">
        <is>
          <t>SC-1015094-ST-045-STD-08</t>
        </is>
      </c>
      <c r="C560" t="inlineStr">
        <is>
          <t>1015094 → ST-045-STD-08</t>
        </is>
      </c>
      <c r="D560" s="19" t="inlineStr">
        <is>
          <t>2</t>
        </is>
      </c>
      <c r="E560" s="19" t="inlineStr">
        <is>
          <t>1848</t>
        </is>
      </c>
      <c r="F560" s="19" t="inlineStr">
        <is>
          <t>79</t>
        </is>
      </c>
      <c r="G560" s="19" t="n"/>
      <c r="H560" s="19" t="inlineStr">
        <is>
          <t>2</t>
        </is>
      </c>
      <c r="I560" s="19" t="n"/>
      <c r="J560" s="19" t="n"/>
      <c r="K560" s="19" t="inlineStr">
        <is>
          <t>2</t>
        </is>
      </c>
      <c r="L560" t="inlineStr">
        <is>
          <t>2026-08-08</t>
        </is>
      </c>
      <c r="N560" t="inlineStr">
        <is>
          <t>IN_SCOPE_FINAL; SOURCE_CFG=IA-ST-CFG-0096; MARKET=TÜRKMENİSTAN; STATUS=IN OEM / EU PACKAGE</t>
        </is>
      </c>
      <c r="O560" t="inlineStr">
        <is>
          <t>2026-08-10T19:29:54Z</t>
        </is>
      </c>
      <c r="P560" t="inlineStr">
        <is>
          <t>2026-08-10T19:29:54Z</t>
        </is>
      </c>
    </row>
    <row r="561">
      <c r="A561" s="19" t="inlineStr">
        <is>
          <t>560</t>
        </is>
      </c>
      <c r="B561" s="19" t="inlineStr">
        <is>
          <t>SC-1015129-ST-045-STD-08</t>
        </is>
      </c>
      <c r="C561" t="inlineStr">
        <is>
          <t>1015129 → ST-045-STD-08</t>
        </is>
      </c>
      <c r="D561" s="19" t="inlineStr">
        <is>
          <t>2</t>
        </is>
      </c>
      <c r="E561" s="19" t="inlineStr">
        <is>
          <t>1878</t>
        </is>
      </c>
      <c r="F561" s="19" t="inlineStr">
        <is>
          <t>79</t>
        </is>
      </c>
      <c r="G561" s="19" t="n"/>
      <c r="H561" s="19" t="inlineStr">
        <is>
          <t>2</t>
        </is>
      </c>
      <c r="I561" s="19" t="n"/>
      <c r="J561" s="19" t="n"/>
      <c r="K561" s="19" t="inlineStr">
        <is>
          <t>2</t>
        </is>
      </c>
      <c r="L561" t="inlineStr">
        <is>
          <t>2026-08-08</t>
        </is>
      </c>
      <c r="N561" t="inlineStr">
        <is>
          <t>IN_SCOPE_FINAL; SOURCE_CFG=IA-ST-CFG-0096; MARKET=AWAEL S.A.R.L. (LÜBNAN); STATUS=IN OEM / EU PACKAGE</t>
        </is>
      </c>
      <c r="O561" t="inlineStr">
        <is>
          <t>2026-08-10T19:29:54Z</t>
        </is>
      </c>
      <c r="P561" t="inlineStr">
        <is>
          <t>2026-08-10T19:29:54Z</t>
        </is>
      </c>
    </row>
    <row r="562">
      <c r="A562" s="19" t="inlineStr">
        <is>
          <t>561</t>
        </is>
      </c>
      <c r="B562" s="19" t="inlineStr">
        <is>
          <t>SC-1015145-ST-045-STD-08</t>
        </is>
      </c>
      <c r="C562" t="inlineStr">
        <is>
          <t>1015145 → ST-045-STD-08</t>
        </is>
      </c>
      <c r="D562" s="19" t="inlineStr">
        <is>
          <t>2</t>
        </is>
      </c>
      <c r="E562" s="19" t="inlineStr">
        <is>
          <t>1894</t>
        </is>
      </c>
      <c r="F562" s="19" t="inlineStr">
        <is>
          <t>79</t>
        </is>
      </c>
      <c r="G562" s="19" t="n"/>
      <c r="H562" s="19" t="inlineStr">
        <is>
          <t>2</t>
        </is>
      </c>
      <c r="I562" s="19" t="n"/>
      <c r="J562" s="19" t="n"/>
      <c r="K562" s="19" t="inlineStr">
        <is>
          <t>2</t>
        </is>
      </c>
      <c r="L562" t="inlineStr">
        <is>
          <t>2026-08-08</t>
        </is>
      </c>
      <c r="N562" t="inlineStr">
        <is>
          <t>IN_SCOPE_FINAL; SOURCE_CFG=IA-ST-CFG-0096; MARKET=None; STATUS=IN OEM / EU PACKAGE</t>
        </is>
      </c>
      <c r="O562" t="inlineStr">
        <is>
          <t>2026-08-10T19:29:54Z</t>
        </is>
      </c>
      <c r="P562" t="inlineStr">
        <is>
          <t>2026-08-10T19:29:54Z</t>
        </is>
      </c>
    </row>
    <row r="563">
      <c r="A563" s="19" t="inlineStr">
        <is>
          <t>562</t>
        </is>
      </c>
      <c r="B563" s="19" t="inlineStr">
        <is>
          <t>SC-1015288-ST-045-STD-08</t>
        </is>
      </c>
      <c r="C563" t="inlineStr">
        <is>
          <t>1015288 → ST-045-STD-08</t>
        </is>
      </c>
      <c r="D563" s="19" t="inlineStr">
        <is>
          <t>2</t>
        </is>
      </c>
      <c r="E563" s="19" t="inlineStr">
        <is>
          <t>2021</t>
        </is>
      </c>
      <c r="F563" s="19" t="inlineStr">
        <is>
          <t>79</t>
        </is>
      </c>
      <c r="G563" s="19" t="n"/>
      <c r="H563" s="19" t="inlineStr">
        <is>
          <t>2</t>
        </is>
      </c>
      <c r="I563" s="19" t="n"/>
      <c r="J563" s="19" t="n"/>
      <c r="K563" s="19" t="inlineStr">
        <is>
          <t>2</t>
        </is>
      </c>
      <c r="L563" t="inlineStr">
        <is>
          <t>2026-08-08</t>
        </is>
      </c>
      <c r="N563" t="inlineStr">
        <is>
          <t>IN_SCOPE_FINAL; SOURCE_CFG=IA-ST-CFG-0096; MARKET=None; STATUS=IN OEM / EU PACKAGE</t>
        </is>
      </c>
      <c r="O563" t="inlineStr">
        <is>
          <t>2026-08-10T19:29:54Z</t>
        </is>
      </c>
      <c r="P563" t="inlineStr">
        <is>
          <t>2026-08-10T19:29:54Z</t>
        </is>
      </c>
    </row>
    <row r="564">
      <c r="A564" s="19" t="inlineStr">
        <is>
          <t>563</t>
        </is>
      </c>
      <c r="B564" s="19" t="inlineStr">
        <is>
          <t>SC-1015326-ST-045-STD-08</t>
        </is>
      </c>
      <c r="C564" t="inlineStr">
        <is>
          <t>1015326 → ST-045-STD-08</t>
        </is>
      </c>
      <c r="D564" s="19" t="inlineStr">
        <is>
          <t>2</t>
        </is>
      </c>
      <c r="E564" s="19" t="inlineStr">
        <is>
          <t>2045</t>
        </is>
      </c>
      <c r="F564" s="19" t="inlineStr">
        <is>
          <t>79</t>
        </is>
      </c>
      <c r="G564" s="19" t="n"/>
      <c r="H564" s="19" t="inlineStr">
        <is>
          <t>2</t>
        </is>
      </c>
      <c r="I564" s="19" t="n"/>
      <c r="J564" s="19" t="n"/>
      <c r="K564" s="19" t="inlineStr">
        <is>
          <t>2</t>
        </is>
      </c>
      <c r="L564" t="inlineStr">
        <is>
          <t>2026-08-08</t>
        </is>
      </c>
      <c r="N564" t="inlineStr">
        <is>
          <t>IN_SCOPE_FINAL; SOURCE_CFG=IA-ST-CFG-0096; MARKET=MISIR AL AMAN; STATUS=IN OEM / EU PACKAGE</t>
        </is>
      </c>
      <c r="O564" t="inlineStr">
        <is>
          <t>2026-08-10T19:29:54Z</t>
        </is>
      </c>
      <c r="P564" t="inlineStr">
        <is>
          <t>2026-08-10T19:29:54Z</t>
        </is>
      </c>
    </row>
    <row r="565">
      <c r="A565" s="19" t="inlineStr">
        <is>
          <t>564</t>
        </is>
      </c>
      <c r="B565" s="19" t="inlineStr">
        <is>
          <t>SC-1015075-ST-045-STD-08</t>
        </is>
      </c>
      <c r="C565" t="inlineStr">
        <is>
          <t>1015075 → ST-045-STD-08</t>
        </is>
      </c>
      <c r="D565" s="19" t="inlineStr">
        <is>
          <t>2</t>
        </is>
      </c>
      <c r="E565" s="19" t="inlineStr">
        <is>
          <t>1832</t>
        </is>
      </c>
      <c r="F565" s="19" t="inlineStr">
        <is>
          <t>79</t>
        </is>
      </c>
      <c r="G565" s="19" t="n"/>
      <c r="H565" s="19" t="inlineStr">
        <is>
          <t>2</t>
        </is>
      </c>
      <c r="I565" s="19" t="n"/>
      <c r="J565" s="19" t="n"/>
      <c r="K565" s="19" t="inlineStr">
        <is>
          <t>2</t>
        </is>
      </c>
      <c r="L565" t="inlineStr">
        <is>
          <t>2026-08-08</t>
        </is>
      </c>
      <c r="N565" t="inlineStr">
        <is>
          <t>IN_SCOPE_FINAL; SOURCE_CFG=IA-ST-CFG-0096; MARKET=İŞBİR JENERATÖR OEM (Yurt İçi); STATUS=IN OEM / EU PACKAGE</t>
        </is>
      </c>
      <c r="O565" t="inlineStr">
        <is>
          <t>2026-08-10T19:29:54Z</t>
        </is>
      </c>
      <c r="P565" t="inlineStr">
        <is>
          <t>2026-08-10T19:29:54Z</t>
        </is>
      </c>
    </row>
    <row r="566">
      <c r="A566" s="19" t="inlineStr">
        <is>
          <t>565</t>
        </is>
      </c>
      <c r="B566" s="19" t="inlineStr">
        <is>
          <t>SC-1012788-ST-045-STD-08</t>
        </is>
      </c>
      <c r="C566" t="inlineStr">
        <is>
          <t>1012788 → ST-045-STD-08</t>
        </is>
      </c>
      <c r="D566" s="19" t="inlineStr">
        <is>
          <t>2</t>
        </is>
      </c>
      <c r="E566" s="19" t="inlineStr">
        <is>
          <t>788</t>
        </is>
      </c>
      <c r="F566" s="19" t="inlineStr">
        <is>
          <t>79</t>
        </is>
      </c>
      <c r="G566" s="19" t="n"/>
      <c r="H566" s="19" t="inlineStr">
        <is>
          <t>2</t>
        </is>
      </c>
      <c r="I566" s="19" t="n"/>
      <c r="J566" s="19" t="n"/>
      <c r="K566" s="19" t="inlineStr">
        <is>
          <t>2</t>
        </is>
      </c>
      <c r="L566" t="inlineStr">
        <is>
          <t>2026-08-08</t>
        </is>
      </c>
      <c r="N566" t="inlineStr">
        <is>
          <t>IN_SCOPE_FINAL; SOURCE_CFG=IA-ST-CFG-0096; MARKET=HATTAT (Yurt İçi); STATUS=IN OEM / EU PACKAGE</t>
        </is>
      </c>
      <c r="O566" t="inlineStr">
        <is>
          <t>2026-08-10T19:29:54Z</t>
        </is>
      </c>
      <c r="P566" t="inlineStr">
        <is>
          <t>2026-08-10T19:29:54Z</t>
        </is>
      </c>
    </row>
    <row r="567">
      <c r="A567" s="19" t="inlineStr">
        <is>
          <t>566</t>
        </is>
      </c>
      <c r="B567" s="19" t="inlineStr">
        <is>
          <t>SC-1013907-ST-045-STD-08</t>
        </is>
      </c>
      <c r="C567" t="inlineStr">
        <is>
          <t>1013907 → ST-045-STD-08</t>
        </is>
      </c>
      <c r="D567" s="19" t="inlineStr">
        <is>
          <t>2</t>
        </is>
      </c>
      <c r="E567" s="19" t="inlineStr">
        <is>
          <t>1130</t>
        </is>
      </c>
      <c r="F567" s="19" t="inlineStr">
        <is>
          <t>79</t>
        </is>
      </c>
      <c r="G567" s="19" t="n"/>
      <c r="H567" s="19" t="inlineStr">
        <is>
          <t>2</t>
        </is>
      </c>
      <c r="I567" s="19" t="n"/>
      <c r="J567" s="19" t="n"/>
      <c r="K567" s="19" t="inlineStr">
        <is>
          <t>2</t>
        </is>
      </c>
      <c r="L567" t="inlineStr">
        <is>
          <t>2026-08-08</t>
        </is>
      </c>
      <c r="N567" t="inlineStr">
        <is>
          <t>IN_SCOPE_FINAL; SOURCE_CFG=IA-ST-CFG-0096; MARKET=HATTAT (Yurt İçi); STATUS=IN OEM / EU PACKAGE</t>
        </is>
      </c>
      <c r="O567" t="inlineStr">
        <is>
          <t>2026-08-10T19:29:54Z</t>
        </is>
      </c>
      <c r="P567" t="inlineStr">
        <is>
          <t>2026-08-10T19:29:54Z</t>
        </is>
      </c>
    </row>
    <row r="568">
      <c r="A568" s="19" t="inlineStr">
        <is>
          <t>567</t>
        </is>
      </c>
      <c r="B568" s="19" t="inlineStr">
        <is>
          <t>SC-1002103-ST-045-STD-09</t>
        </is>
      </c>
      <c r="C568" t="inlineStr">
        <is>
          <t>1002103 → ST-045-STD-09</t>
        </is>
      </c>
      <c r="D568" s="19" t="inlineStr">
        <is>
          <t>2</t>
        </is>
      </c>
      <c r="E568" s="19" t="inlineStr">
        <is>
          <t>8</t>
        </is>
      </c>
      <c r="F568" s="19" t="inlineStr">
        <is>
          <t>80</t>
        </is>
      </c>
      <c r="G568" s="19" t="n"/>
      <c r="H568" s="19" t="inlineStr">
        <is>
          <t>2</t>
        </is>
      </c>
      <c r="I568" s="19" t="n"/>
      <c r="J568" s="19" t="n"/>
      <c r="K568" s="19" t="inlineStr">
        <is>
          <t>2</t>
        </is>
      </c>
      <c r="L568" t="inlineStr">
        <is>
          <t>2026-08-08</t>
        </is>
      </c>
      <c r="N568" t="inlineStr">
        <is>
          <t>IN_SCOPE_FINAL; SOURCE_CFG=IA-ST-CFG-0097; MARKET=YURT İÇİ AFM; STATUS=IN OEM / EU PACKAGE</t>
        </is>
      </c>
      <c r="O568" t="inlineStr">
        <is>
          <t>2026-08-10T19:29:54Z</t>
        </is>
      </c>
      <c r="P568" t="inlineStr">
        <is>
          <t>2026-08-10T19:29:54Z</t>
        </is>
      </c>
    </row>
    <row r="569">
      <c r="A569" s="19" t="inlineStr">
        <is>
          <t>568</t>
        </is>
      </c>
      <c r="B569" s="19" t="inlineStr">
        <is>
          <t>SC-1002104-ST-045-STD-09</t>
        </is>
      </c>
      <c r="C569" t="inlineStr">
        <is>
          <t>1002104 → ST-045-STD-09</t>
        </is>
      </c>
      <c r="D569" s="19" t="inlineStr">
        <is>
          <t>2</t>
        </is>
      </c>
      <c r="E569" s="19" t="inlineStr">
        <is>
          <t>9</t>
        </is>
      </c>
      <c r="F569" s="19" t="inlineStr">
        <is>
          <t>80</t>
        </is>
      </c>
      <c r="G569" s="19" t="n"/>
      <c r="H569" s="19" t="inlineStr">
        <is>
          <t>2</t>
        </is>
      </c>
      <c r="I569" s="19" t="n"/>
      <c r="J569" s="19" t="n"/>
      <c r="K569" s="19" t="inlineStr">
        <is>
          <t>2</t>
        </is>
      </c>
      <c r="L569" t="inlineStr">
        <is>
          <t>2026-08-08</t>
        </is>
      </c>
      <c r="N569" t="inlineStr">
        <is>
          <t>IN_SCOPE_FINAL; SOURCE_CFG=IA-ST-CFG-0097; MARKET=YURT İÇİ AFM; STATUS=IN OEM / EU PACKAGE</t>
        </is>
      </c>
      <c r="O569" t="inlineStr">
        <is>
          <t>2026-08-10T19:29:54Z</t>
        </is>
      </c>
      <c r="P569" t="inlineStr">
        <is>
          <t>2026-08-10T19:29:54Z</t>
        </is>
      </c>
    </row>
    <row r="570">
      <c r="A570" s="19" t="inlineStr">
        <is>
          <t>569</t>
        </is>
      </c>
      <c r="B570" s="19" t="inlineStr">
        <is>
          <t>SC-1003973-ST-045-STD-09</t>
        </is>
      </c>
      <c r="C570" t="inlineStr">
        <is>
          <t>1003973 → ST-045-STD-09</t>
        </is>
      </c>
      <c r="D570" s="19" t="inlineStr">
        <is>
          <t>2</t>
        </is>
      </c>
      <c r="E570" s="19" t="inlineStr">
        <is>
          <t>23</t>
        </is>
      </c>
      <c r="F570" s="19" t="inlineStr">
        <is>
          <t>80</t>
        </is>
      </c>
      <c r="G570" s="19" t="n"/>
      <c r="H570" s="19" t="inlineStr">
        <is>
          <t>2</t>
        </is>
      </c>
      <c r="I570" s="19" t="n"/>
      <c r="J570" s="19" t="n"/>
      <c r="K570" s="19" t="inlineStr">
        <is>
          <t>2</t>
        </is>
      </c>
      <c r="L570" t="inlineStr">
        <is>
          <t>2026-08-08</t>
        </is>
      </c>
      <c r="N570" t="inlineStr">
        <is>
          <t>IN_SCOPE_FINAL; SOURCE_CFG=IA-ST-CFG-0097; MARKET=YURT İÇİ AFM; STATUS=IN OEM / EU PACKAGE</t>
        </is>
      </c>
      <c r="O570" t="inlineStr">
        <is>
          <t>2026-08-10T19:29:54Z</t>
        </is>
      </c>
      <c r="P570" t="inlineStr">
        <is>
          <t>2026-08-10T19:29:54Z</t>
        </is>
      </c>
    </row>
    <row r="571">
      <c r="A571" s="19" t="inlineStr">
        <is>
          <t>570</t>
        </is>
      </c>
      <c r="B571" s="19" t="inlineStr">
        <is>
          <t>SC-1008731-ST-045-STD-09</t>
        </is>
      </c>
      <c r="C571" t="inlineStr">
        <is>
          <t>1008731 → ST-045-STD-09</t>
        </is>
      </c>
      <c r="D571" s="19" t="inlineStr">
        <is>
          <t>2</t>
        </is>
      </c>
      <c r="E571" s="19" t="inlineStr">
        <is>
          <t>91</t>
        </is>
      </c>
      <c r="F571" s="19" t="inlineStr">
        <is>
          <t>80</t>
        </is>
      </c>
      <c r="G571" s="19" t="n"/>
      <c r="H571" s="19" t="inlineStr">
        <is>
          <t>2</t>
        </is>
      </c>
      <c r="I571" s="19" t="n"/>
      <c r="J571" s="19" t="n"/>
      <c r="K571" s="19" t="inlineStr">
        <is>
          <t>2</t>
        </is>
      </c>
      <c r="L571" t="inlineStr">
        <is>
          <t>2026-08-08</t>
        </is>
      </c>
      <c r="N571" t="inlineStr">
        <is>
          <t>IN_SCOPE_FINAL; SOURCE_CFG=IA-ST-CFG-0097; MARKET=YURT İÇİ AFM; STATUS=IN OEM / EU PACKAGE</t>
        </is>
      </c>
      <c r="O571" t="inlineStr">
        <is>
          <t>2026-08-10T19:29:54Z</t>
        </is>
      </c>
      <c r="P571" t="inlineStr">
        <is>
          <t>2026-08-10T19:29:54Z</t>
        </is>
      </c>
    </row>
    <row r="572">
      <c r="A572" s="19" t="inlineStr">
        <is>
          <t>571</t>
        </is>
      </c>
      <c r="B572" s="19" t="inlineStr">
        <is>
          <t>SC-1008926-ST-045-STD-09</t>
        </is>
      </c>
      <c r="C572" t="inlineStr">
        <is>
          <t>1008926 → ST-045-STD-09</t>
        </is>
      </c>
      <c r="D572" s="19" t="inlineStr">
        <is>
          <t>2</t>
        </is>
      </c>
      <c r="E572" s="19" t="inlineStr">
        <is>
          <t>96</t>
        </is>
      </c>
      <c r="F572" s="19" t="inlineStr">
        <is>
          <t>80</t>
        </is>
      </c>
      <c r="G572" s="19" t="n"/>
      <c r="H572" s="19" t="inlineStr">
        <is>
          <t>2</t>
        </is>
      </c>
      <c r="I572" s="19" t="n"/>
      <c r="J572" s="19" t="n"/>
      <c r="K572" s="19" t="inlineStr">
        <is>
          <t>2</t>
        </is>
      </c>
      <c r="L572" t="inlineStr">
        <is>
          <t>2026-08-08</t>
        </is>
      </c>
      <c r="N572" t="inlineStr">
        <is>
          <t>IN_SCOPE_FINAL; SOURCE_CFG=IA-ST-CFG-0097; MARKET=YURT İÇİ AFM; STATUS=IN OEM / EU PACKAGE</t>
        </is>
      </c>
      <c r="O572" t="inlineStr">
        <is>
          <t>2026-08-10T19:29:54Z</t>
        </is>
      </c>
      <c r="P572" t="inlineStr">
        <is>
          <t>2026-08-10T19:29:54Z</t>
        </is>
      </c>
    </row>
    <row r="573">
      <c r="A573" s="19" t="inlineStr">
        <is>
          <t>572</t>
        </is>
      </c>
      <c r="B573" s="19" t="inlineStr">
        <is>
          <t>SC-1009892-ST-045-STD-09</t>
        </is>
      </c>
      <c r="C573" t="inlineStr">
        <is>
          <t>1009892 → ST-045-STD-09</t>
        </is>
      </c>
      <c r="D573" s="19" t="inlineStr">
        <is>
          <t>2</t>
        </is>
      </c>
      <c r="E573" s="19" t="inlineStr">
        <is>
          <t>122</t>
        </is>
      </c>
      <c r="F573" s="19" t="inlineStr">
        <is>
          <t>80</t>
        </is>
      </c>
      <c r="G573" s="19" t="n"/>
      <c r="H573" s="19" t="inlineStr">
        <is>
          <t>2</t>
        </is>
      </c>
      <c r="I573" s="19" t="n"/>
      <c r="J573" s="19" t="n"/>
      <c r="K573" s="19" t="inlineStr">
        <is>
          <t>2</t>
        </is>
      </c>
      <c r="L573" t="inlineStr">
        <is>
          <t>2026-08-08</t>
        </is>
      </c>
      <c r="N573" t="inlineStr">
        <is>
          <t>IN_SCOPE_FINAL; SOURCE_CFG=IA-ST-CFG-0097; MARKET=OTOPRATİK (Yurt İçi); STATUS=IN OEM / EU PACKAGE</t>
        </is>
      </c>
      <c r="O573" t="inlineStr">
        <is>
          <t>2026-08-10T19:29:54Z</t>
        </is>
      </c>
      <c r="P573" t="inlineStr">
        <is>
          <t>2026-08-10T19:29:54Z</t>
        </is>
      </c>
    </row>
    <row r="574">
      <c r="A574" s="19" t="inlineStr">
        <is>
          <t>573</t>
        </is>
      </c>
      <c r="B574" s="19" t="inlineStr">
        <is>
          <t>SC-1010068-ST-045-STD-09</t>
        </is>
      </c>
      <c r="C574" t="inlineStr">
        <is>
          <t>1010068 → ST-045-STD-09</t>
        </is>
      </c>
      <c r="D574" s="19" t="inlineStr">
        <is>
          <t>2</t>
        </is>
      </c>
      <c r="E574" s="19" t="inlineStr">
        <is>
          <t>155</t>
        </is>
      </c>
      <c r="F574" s="19" t="inlineStr">
        <is>
          <t>80</t>
        </is>
      </c>
      <c r="G574" s="19" t="n"/>
      <c r="H574" s="19" t="inlineStr">
        <is>
          <t>2</t>
        </is>
      </c>
      <c r="I574" s="19" t="n"/>
      <c r="J574" s="19" t="n"/>
      <c r="K574" s="19" t="inlineStr">
        <is>
          <t>2</t>
        </is>
      </c>
      <c r="L574" t="inlineStr">
        <is>
          <t>2026-08-08</t>
        </is>
      </c>
      <c r="N574" t="inlineStr">
        <is>
          <t>IN_SCOPE_FINAL; SOURCE_CFG=IA-ST-CFG-0097; MARKET=OTOPRATİK (Yurt İçi); STATUS=IN OEM / EU PACKAGE</t>
        </is>
      </c>
      <c r="O574" t="inlineStr">
        <is>
          <t>2026-08-10T19:29:54Z</t>
        </is>
      </c>
      <c r="P574" t="inlineStr">
        <is>
          <t>2026-08-10T19:29:54Z</t>
        </is>
      </c>
    </row>
    <row r="575">
      <c r="A575" s="19" t="inlineStr">
        <is>
          <t>574</t>
        </is>
      </c>
      <c r="B575" s="19" t="inlineStr">
        <is>
          <t>SC-1010171-ST-045-STD-09</t>
        </is>
      </c>
      <c r="C575" t="inlineStr">
        <is>
          <t>1010171 → ST-045-STD-09</t>
        </is>
      </c>
      <c r="D575" s="19" t="inlineStr">
        <is>
          <t>2</t>
        </is>
      </c>
      <c r="E575" s="19" t="inlineStr">
        <is>
          <t>166</t>
        </is>
      </c>
      <c r="F575" s="19" t="inlineStr">
        <is>
          <t>80</t>
        </is>
      </c>
      <c r="G575" s="19" t="n"/>
      <c r="H575" s="19" t="inlineStr">
        <is>
          <t>2</t>
        </is>
      </c>
      <c r="I575" s="19" t="n"/>
      <c r="J575" s="19" t="n"/>
      <c r="K575" s="19" t="inlineStr">
        <is>
          <t>2</t>
        </is>
      </c>
      <c r="L575" t="inlineStr">
        <is>
          <t>2026-08-08</t>
        </is>
      </c>
      <c r="N575" t="inlineStr">
        <is>
          <t>IN_SCOPE_FINAL; SOURCE_CFG=IA-ST-CFG-0097; MARKET=YURT İÇİ AFM; STATUS=IN OEM / EU PACKAGE</t>
        </is>
      </c>
      <c r="O575" t="inlineStr">
        <is>
          <t>2026-08-10T19:29:54Z</t>
        </is>
      </c>
      <c r="P575" t="inlineStr">
        <is>
          <t>2026-08-10T19:29:54Z</t>
        </is>
      </c>
    </row>
    <row r="576">
      <c r="A576" s="19" t="inlineStr">
        <is>
          <t>575</t>
        </is>
      </c>
      <c r="B576" s="19" t="inlineStr">
        <is>
          <t>SC-1010175-ST-045-STD-09</t>
        </is>
      </c>
      <c r="C576" t="inlineStr">
        <is>
          <t>1010175 → ST-045-STD-09</t>
        </is>
      </c>
      <c r="D576" s="19" t="inlineStr">
        <is>
          <t>2</t>
        </is>
      </c>
      <c r="E576" s="19" t="inlineStr">
        <is>
          <t>167</t>
        </is>
      </c>
      <c r="F576" s="19" t="inlineStr">
        <is>
          <t>80</t>
        </is>
      </c>
      <c r="G576" s="19" t="n"/>
      <c r="H576" s="19" t="inlineStr">
        <is>
          <t>2</t>
        </is>
      </c>
      <c r="I576" s="19" t="n"/>
      <c r="J576" s="19" t="n"/>
      <c r="K576" s="19" t="inlineStr">
        <is>
          <t>2</t>
        </is>
      </c>
      <c r="L576" t="inlineStr">
        <is>
          <t>2026-08-08</t>
        </is>
      </c>
      <c r="N576" t="inlineStr">
        <is>
          <t>IN_SCOPE_FINAL; SOURCE_CFG=IA-ST-CFG-0097; MARKET=YURT İÇİ AFM; STATUS=IN OEM / EU PACKAGE</t>
        </is>
      </c>
      <c r="O576" t="inlineStr">
        <is>
          <t>2026-08-10T19:29:54Z</t>
        </is>
      </c>
      <c r="P576" t="inlineStr">
        <is>
          <t>2026-08-10T19:29:54Z</t>
        </is>
      </c>
    </row>
    <row r="577">
      <c r="A577" s="19" t="inlineStr">
        <is>
          <t>576</t>
        </is>
      </c>
      <c r="B577" s="19" t="inlineStr">
        <is>
          <t>SC-1010204-ST-045-STD-09</t>
        </is>
      </c>
      <c r="C577" t="inlineStr">
        <is>
          <t>1010204 → ST-045-STD-09</t>
        </is>
      </c>
      <c r="D577" s="19" t="inlineStr">
        <is>
          <t>2</t>
        </is>
      </c>
      <c r="E577" s="19" t="inlineStr">
        <is>
          <t>177</t>
        </is>
      </c>
      <c r="F577" s="19" t="inlineStr">
        <is>
          <t>80</t>
        </is>
      </c>
      <c r="G577" s="19" t="n"/>
      <c r="H577" s="19" t="inlineStr">
        <is>
          <t>2</t>
        </is>
      </c>
      <c r="I577" s="19" t="n"/>
      <c r="J577" s="19" t="n"/>
      <c r="K577" s="19" t="inlineStr">
        <is>
          <t>2</t>
        </is>
      </c>
      <c r="L577" t="inlineStr">
        <is>
          <t>2026-08-08</t>
        </is>
      </c>
      <c r="N577" t="inlineStr">
        <is>
          <t>IN_SCOPE_FINAL; SOURCE_CFG=IA-ST-CFG-0097; MARKET=YURT İÇİ AFM; STATUS=IN OEM / EU PACKAGE</t>
        </is>
      </c>
      <c r="O577" t="inlineStr">
        <is>
          <t>2026-08-10T19:29:54Z</t>
        </is>
      </c>
      <c r="P577" t="inlineStr">
        <is>
          <t>2026-08-10T19:29:54Z</t>
        </is>
      </c>
    </row>
    <row r="578">
      <c r="A578" s="19" t="inlineStr">
        <is>
          <t>577</t>
        </is>
      </c>
      <c r="B578" s="19" t="inlineStr">
        <is>
          <t>SC-1010208-ST-045-STD-09</t>
        </is>
      </c>
      <c r="C578" t="inlineStr">
        <is>
          <t>1010208 → ST-045-STD-09</t>
        </is>
      </c>
      <c r="D578" s="19" t="inlineStr">
        <is>
          <t>2</t>
        </is>
      </c>
      <c r="E578" s="19" t="inlineStr">
        <is>
          <t>179</t>
        </is>
      </c>
      <c r="F578" s="19" t="inlineStr">
        <is>
          <t>80</t>
        </is>
      </c>
      <c r="G578" s="19" t="n"/>
      <c r="H578" s="19" t="inlineStr">
        <is>
          <t>2</t>
        </is>
      </c>
      <c r="I578" s="19" t="n"/>
      <c r="J578" s="19" t="n"/>
      <c r="K578" s="19" t="inlineStr">
        <is>
          <t>2</t>
        </is>
      </c>
      <c r="L578" t="inlineStr">
        <is>
          <t>2026-08-08</t>
        </is>
      </c>
      <c r="N578" t="inlineStr">
        <is>
          <t>IN_SCOPE_FINAL; SOURCE_CFG=IA-ST-CFG-0097; MARKET=YURT İÇİ AFM; STATUS=IN OEM / EU PACKAGE</t>
        </is>
      </c>
      <c r="O578" t="inlineStr">
        <is>
          <t>2026-08-10T19:29:54Z</t>
        </is>
      </c>
      <c r="P578" t="inlineStr">
        <is>
          <t>2026-08-10T19:29:54Z</t>
        </is>
      </c>
    </row>
    <row r="579">
      <c r="A579" s="19" t="inlineStr">
        <is>
          <t>578</t>
        </is>
      </c>
      <c r="B579" s="19" t="inlineStr">
        <is>
          <t>SC-1010220-ST-045-STD-09</t>
        </is>
      </c>
      <c r="C579" t="inlineStr">
        <is>
          <t>1010220 → ST-045-STD-09</t>
        </is>
      </c>
      <c r="D579" s="19" t="inlineStr">
        <is>
          <t>2</t>
        </is>
      </c>
      <c r="E579" s="19" t="inlineStr">
        <is>
          <t>180</t>
        </is>
      </c>
      <c r="F579" s="19" t="inlineStr">
        <is>
          <t>80</t>
        </is>
      </c>
      <c r="G579" s="19" t="n"/>
      <c r="H579" s="19" t="inlineStr">
        <is>
          <t>2</t>
        </is>
      </c>
      <c r="I579" s="19" t="n"/>
      <c r="J579" s="19" t="n"/>
      <c r="K579" s="19" t="inlineStr">
        <is>
          <t>2</t>
        </is>
      </c>
      <c r="L579" t="inlineStr">
        <is>
          <t>2026-08-08</t>
        </is>
      </c>
      <c r="N579" t="inlineStr">
        <is>
          <t>IN_SCOPE_FINAL; SOURCE_CFG=IA-ST-CFG-0097; MARKET=YURT İÇİ AFM; STATUS=IN OEM / EU PACKAGE</t>
        </is>
      </c>
      <c r="O579" t="inlineStr">
        <is>
          <t>2026-08-10T19:29:54Z</t>
        </is>
      </c>
      <c r="P579" t="inlineStr">
        <is>
          <t>2026-08-10T19:29:54Z</t>
        </is>
      </c>
    </row>
    <row r="580">
      <c r="A580" s="19" t="inlineStr">
        <is>
          <t>579</t>
        </is>
      </c>
      <c r="B580" s="19" t="inlineStr">
        <is>
          <t>SC-1014583-ST-045-STD-09</t>
        </is>
      </c>
      <c r="C580" t="inlineStr">
        <is>
          <t>1014583 → ST-045-STD-09</t>
        </is>
      </c>
      <c r="D580" s="19" t="inlineStr">
        <is>
          <t>2</t>
        </is>
      </c>
      <c r="E580" s="19" t="inlineStr">
        <is>
          <t>1469</t>
        </is>
      </c>
      <c r="F580" s="19" t="inlineStr">
        <is>
          <t>80</t>
        </is>
      </c>
      <c r="G580" s="19" t="n"/>
      <c r="H580" s="19" t="inlineStr">
        <is>
          <t>2</t>
        </is>
      </c>
      <c r="I580" s="19" t="n"/>
      <c r="J580" s="19" t="n"/>
      <c r="K580" s="19" t="inlineStr">
        <is>
          <t>2</t>
        </is>
      </c>
      <c r="L580" t="inlineStr">
        <is>
          <t>2026-08-08</t>
        </is>
      </c>
      <c r="N580" t="inlineStr">
        <is>
          <t>IN_SCOPE_FINAL; SOURCE_CFG=IA-ST-CFG-0097; MARKET=YURT İÇİ AFM; STATUS=IN OEM / EU PACKAGE</t>
        </is>
      </c>
      <c r="O580" t="inlineStr">
        <is>
          <t>2026-08-10T19:29:54Z</t>
        </is>
      </c>
      <c r="P580" t="inlineStr">
        <is>
          <t>2026-08-10T19:29:54Z</t>
        </is>
      </c>
    </row>
    <row r="581">
      <c r="A581" s="19" t="inlineStr">
        <is>
          <t>580</t>
        </is>
      </c>
      <c r="B581" s="19" t="inlineStr">
        <is>
          <t>SC-1014593-ST-045-STD-09</t>
        </is>
      </c>
      <c r="C581" t="inlineStr">
        <is>
          <t>1014593 → ST-045-STD-09</t>
        </is>
      </c>
      <c r="D581" s="19" t="inlineStr">
        <is>
          <t>2</t>
        </is>
      </c>
      <c r="E581" s="19" t="inlineStr">
        <is>
          <t>1479</t>
        </is>
      </c>
      <c r="F581" s="19" t="inlineStr">
        <is>
          <t>80</t>
        </is>
      </c>
      <c r="G581" s="19" t="n"/>
      <c r="H581" s="19" t="inlineStr">
        <is>
          <t>2</t>
        </is>
      </c>
      <c r="I581" s="19" t="n"/>
      <c r="J581" s="19" t="n"/>
      <c r="K581" s="19" t="inlineStr">
        <is>
          <t>2</t>
        </is>
      </c>
      <c r="L581" t="inlineStr">
        <is>
          <t>2026-08-08</t>
        </is>
      </c>
      <c r="N581" t="inlineStr">
        <is>
          <t>IN_SCOPE_FINAL; SOURCE_CFG=IA-ST-CFG-0097; MARKET=YURT İÇİ AFM; STATUS=IN OEM / EU PACKAGE</t>
        </is>
      </c>
      <c r="O581" t="inlineStr">
        <is>
          <t>2026-08-10T19:29:54Z</t>
        </is>
      </c>
      <c r="P581" t="inlineStr">
        <is>
          <t>2026-08-10T19:29:54Z</t>
        </is>
      </c>
    </row>
    <row r="582">
      <c r="A582" s="19" t="inlineStr">
        <is>
          <t>581</t>
        </is>
      </c>
      <c r="B582" s="19" t="inlineStr">
        <is>
          <t>SC-1013776-ST-045-STD-10</t>
        </is>
      </c>
      <c r="C582" t="inlineStr">
        <is>
          <t>1013776 → ST-045-STD-10</t>
        </is>
      </c>
      <c r="D582" s="19" t="inlineStr">
        <is>
          <t>2</t>
        </is>
      </c>
      <c r="E582" s="19" t="inlineStr">
        <is>
          <t>1095</t>
        </is>
      </c>
      <c r="F582" s="19" t="inlineStr">
        <is>
          <t>81</t>
        </is>
      </c>
      <c r="G582" s="19" t="n"/>
      <c r="H582" s="19" t="inlineStr">
        <is>
          <t>2</t>
        </is>
      </c>
      <c r="I582" s="19" t="n"/>
      <c r="J582" s="19" t="n"/>
      <c r="K582" s="19" t="inlineStr">
        <is>
          <t>2</t>
        </is>
      </c>
      <c r="L582" t="inlineStr">
        <is>
          <t>2026-08-08</t>
        </is>
      </c>
      <c r="N582" t="inlineStr">
        <is>
          <t>IN_SCOPE_FINAL; SOURCE_CFG=IA-ST-CFG-0098; MARKET=YURT İÇİ AFM; STATUS=IN OEM / EU PACKAGE</t>
        </is>
      </c>
      <c r="O582" t="inlineStr">
        <is>
          <t>2026-08-10T19:29:54Z</t>
        </is>
      </c>
      <c r="P582" t="inlineStr">
        <is>
          <t>2026-08-10T19:29:54Z</t>
        </is>
      </c>
    </row>
    <row r="583">
      <c r="A583" s="19" t="inlineStr">
        <is>
          <t>582</t>
        </is>
      </c>
      <c r="B583" s="19" t="inlineStr">
        <is>
          <t>SC-1015040-ST-045-STD-10</t>
        </is>
      </c>
      <c r="C583" t="inlineStr">
        <is>
          <t>1015040 → ST-045-STD-10</t>
        </is>
      </c>
      <c r="D583" s="19" t="inlineStr">
        <is>
          <t>2</t>
        </is>
      </c>
      <c r="E583" s="19" t="inlineStr">
        <is>
          <t>1800</t>
        </is>
      </c>
      <c r="F583" s="19" t="inlineStr">
        <is>
          <t>81</t>
        </is>
      </c>
      <c r="G583" s="19" t="n"/>
      <c r="H583" s="19" t="inlineStr">
        <is>
          <t>2</t>
        </is>
      </c>
      <c r="I583" s="19" t="n"/>
      <c r="J583" s="19" t="n"/>
      <c r="K583" s="19" t="inlineStr">
        <is>
          <t>2</t>
        </is>
      </c>
      <c r="L583" t="inlineStr">
        <is>
          <t>2026-08-08</t>
        </is>
      </c>
      <c r="N583" t="inlineStr">
        <is>
          <t>IN_SCOPE_FINAL; SOURCE_CFG=IA-ST-CFG-0098; MARKET=SDF (Yurt İçi); STATUS=IN OEM / EU PACKAGE</t>
        </is>
      </c>
      <c r="O583" t="inlineStr">
        <is>
          <t>2026-08-10T19:29:54Z</t>
        </is>
      </c>
      <c r="P583" t="inlineStr">
        <is>
          <t>2026-08-10T19:29:54Z</t>
        </is>
      </c>
    </row>
    <row r="584">
      <c r="A584" s="19" t="inlineStr">
        <is>
          <t>583</t>
        </is>
      </c>
      <c r="B584" s="19" t="inlineStr">
        <is>
          <t>SC-1011160-ST-045-STD-10</t>
        </is>
      </c>
      <c r="C584" t="inlineStr">
        <is>
          <t>1011160 → ST-045-STD-10</t>
        </is>
      </c>
      <c r="D584" s="19" t="inlineStr">
        <is>
          <t>2</t>
        </is>
      </c>
      <c r="E584" s="19" t="inlineStr">
        <is>
          <t>237</t>
        </is>
      </c>
      <c r="F584" s="19" t="inlineStr">
        <is>
          <t>81</t>
        </is>
      </c>
      <c r="G584" s="19" t="n"/>
      <c r="H584" s="19" t="inlineStr">
        <is>
          <t>2</t>
        </is>
      </c>
      <c r="I584" s="19" t="n"/>
      <c r="J584" s="19" t="n"/>
      <c r="K584" s="19" t="inlineStr">
        <is>
          <t>2</t>
        </is>
      </c>
      <c r="L584" t="inlineStr">
        <is>
          <t>2026-08-08</t>
        </is>
      </c>
      <c r="N584" t="inlineStr">
        <is>
          <t>IN_SCOPE_FINAL; SOURCE_CFG=IA-ST-CFG-0098; MARKET=YURT İÇİ AFM; STATUS=IN OEM / EU PACKAGE</t>
        </is>
      </c>
      <c r="O584" t="inlineStr">
        <is>
          <t>2026-08-10T19:29:54Z</t>
        </is>
      </c>
      <c r="P584" t="inlineStr">
        <is>
          <t>2026-08-10T19:29:54Z</t>
        </is>
      </c>
    </row>
    <row r="585">
      <c r="A585" s="19" t="inlineStr">
        <is>
          <t>584</t>
        </is>
      </c>
      <c r="B585" s="19" t="inlineStr">
        <is>
          <t>SC-1011192-ST-045-STD-10</t>
        </is>
      </c>
      <c r="C585" t="inlineStr">
        <is>
          <t>1011192 → ST-045-STD-10</t>
        </is>
      </c>
      <c r="D585" s="19" t="inlineStr">
        <is>
          <t>2</t>
        </is>
      </c>
      <c r="E585" s="19" t="inlineStr">
        <is>
          <t>263</t>
        </is>
      </c>
      <c r="F585" s="19" t="inlineStr">
        <is>
          <t>81</t>
        </is>
      </c>
      <c r="G585" s="19" t="n"/>
      <c r="H585" s="19" t="inlineStr">
        <is>
          <t>2</t>
        </is>
      </c>
      <c r="I585" s="19" t="n"/>
      <c r="J585" s="19" t="n"/>
      <c r="K585" s="19" t="inlineStr">
        <is>
          <t>2</t>
        </is>
      </c>
      <c r="L585" t="inlineStr">
        <is>
          <t>2026-08-08</t>
        </is>
      </c>
      <c r="N585" t="inlineStr">
        <is>
          <t>IN_SCOPE_FINAL; SOURCE_CFG=IA-ST-CFG-0098; MARKET=YURT İÇİ AFM; STATUS=IN OEM / EU PACKAGE</t>
        </is>
      </c>
      <c r="O585" t="inlineStr">
        <is>
          <t>2026-08-10T19:29:54Z</t>
        </is>
      </c>
      <c r="P585" t="inlineStr">
        <is>
          <t>2026-08-10T19:29:54Z</t>
        </is>
      </c>
    </row>
    <row r="586">
      <c r="A586" s="19" t="inlineStr">
        <is>
          <t>585</t>
        </is>
      </c>
      <c r="B586" s="19" t="inlineStr">
        <is>
          <t>SC-1013486-ST-045-STD-10</t>
        </is>
      </c>
      <c r="C586" t="inlineStr">
        <is>
          <t>1013486 → ST-045-STD-10</t>
        </is>
      </c>
      <c r="D586" s="19" t="inlineStr">
        <is>
          <t>2</t>
        </is>
      </c>
      <c r="E586" s="19" t="inlineStr">
        <is>
          <t>1016</t>
        </is>
      </c>
      <c r="F586" s="19" t="inlineStr">
        <is>
          <t>81</t>
        </is>
      </c>
      <c r="G586" s="19" t="n"/>
      <c r="H586" s="19" t="inlineStr">
        <is>
          <t>2</t>
        </is>
      </c>
      <c r="I586" s="19" t="n"/>
      <c r="J586" s="19" t="n"/>
      <c r="K586" s="19" t="inlineStr">
        <is>
          <t>2</t>
        </is>
      </c>
      <c r="L586" t="inlineStr">
        <is>
          <t>2026-08-08</t>
        </is>
      </c>
      <c r="N586" t="inlineStr">
        <is>
          <t>IN_SCOPE_FINAL; SOURCE_CFG=IA-ST-CFG-0098; MARKET=MECALAC OEM İZMİR (Yurt İçi); STATUS=IN OEM / EU PACKAGE</t>
        </is>
      </c>
      <c r="O586" t="inlineStr">
        <is>
          <t>2026-08-10T19:29:54Z</t>
        </is>
      </c>
      <c r="P586" t="inlineStr">
        <is>
          <t>2026-08-10T19:29:54Z</t>
        </is>
      </c>
    </row>
    <row r="587">
      <c r="A587" s="19" t="inlineStr">
        <is>
          <t>586</t>
        </is>
      </c>
      <c r="B587" s="19" t="inlineStr">
        <is>
          <t>SC-1014675-ST-045-STD-10</t>
        </is>
      </c>
      <c r="C587" t="inlineStr">
        <is>
          <t>1014675 → ST-045-STD-10</t>
        </is>
      </c>
      <c r="D587" s="19" t="inlineStr">
        <is>
          <t>2</t>
        </is>
      </c>
      <c r="E587" s="19" t="inlineStr">
        <is>
          <t>1531</t>
        </is>
      </c>
      <c r="F587" s="19" t="inlineStr">
        <is>
          <t>81</t>
        </is>
      </c>
      <c r="G587" s="19" t="n"/>
      <c r="H587" s="19" t="inlineStr">
        <is>
          <t>2</t>
        </is>
      </c>
      <c r="I587" s="19" t="n"/>
      <c r="J587" s="19" t="n"/>
      <c r="K587" s="19" t="inlineStr">
        <is>
          <t>2</t>
        </is>
      </c>
      <c r="L587" t="inlineStr">
        <is>
          <t>2026-08-08</t>
        </is>
      </c>
      <c r="N587" t="inlineStr">
        <is>
          <t>IN_SCOPE_FINAL; SOURCE_CFG=IA-ST-CFG-0098; MARKET=YURT İÇİ AFM; STATUS=IN OEM / EU PACKAGE</t>
        </is>
      </c>
      <c r="O587" t="inlineStr">
        <is>
          <t>2026-08-10T19:29:54Z</t>
        </is>
      </c>
      <c r="P587" t="inlineStr">
        <is>
          <t>2026-08-10T19:29:54Z</t>
        </is>
      </c>
    </row>
    <row r="588">
      <c r="A588" s="19" t="inlineStr">
        <is>
          <t>587</t>
        </is>
      </c>
      <c r="B588" s="19" t="inlineStr">
        <is>
          <t>SC-1011689-ST-045-STD-10</t>
        </is>
      </c>
      <c r="C588" t="inlineStr">
        <is>
          <t>1011689 → ST-045-STD-10</t>
        </is>
      </c>
      <c r="D588" s="19" t="inlineStr">
        <is>
          <t>2</t>
        </is>
      </c>
      <c r="E588" s="19" t="inlineStr">
        <is>
          <t>332</t>
        </is>
      </c>
      <c r="F588" s="19" t="inlineStr">
        <is>
          <t>81</t>
        </is>
      </c>
      <c r="G588" s="19" t="n"/>
      <c r="H588" s="19" t="inlineStr">
        <is>
          <t>2</t>
        </is>
      </c>
      <c r="I588" s="19" t="n"/>
      <c r="J588" s="19" t="n"/>
      <c r="K588" s="19" t="inlineStr">
        <is>
          <t>2</t>
        </is>
      </c>
      <c r="L588" t="inlineStr">
        <is>
          <t>2026-08-08</t>
        </is>
      </c>
      <c r="N588" t="inlineStr">
        <is>
          <t>IN_SCOPE_FINAL; SOURCE_CFG=IA-ST-CFG-0098; MARKET=OTOPRATİK (Yurt İçi); STATUS=IN OEM / EU PACKAGE</t>
        </is>
      </c>
      <c r="O588" t="inlineStr">
        <is>
          <t>2026-08-10T19:29:54Z</t>
        </is>
      </c>
      <c r="P588" t="inlineStr">
        <is>
          <t>2026-08-10T19:29:54Z</t>
        </is>
      </c>
    </row>
    <row r="589">
      <c r="A589" s="19" t="inlineStr">
        <is>
          <t>588</t>
        </is>
      </c>
      <c r="B589" s="19" t="inlineStr">
        <is>
          <t>SC-1012175-ST-045-STD-10</t>
        </is>
      </c>
      <c r="C589" t="inlineStr">
        <is>
          <t>1012175 → ST-045-STD-10</t>
        </is>
      </c>
      <c r="D589" s="19" t="inlineStr">
        <is>
          <t>2</t>
        </is>
      </c>
      <c r="E589" s="19" t="inlineStr">
        <is>
          <t>556</t>
        </is>
      </c>
      <c r="F589" s="19" t="inlineStr">
        <is>
          <t>81</t>
        </is>
      </c>
      <c r="G589" s="19" t="n"/>
      <c r="H589" s="19" t="inlineStr">
        <is>
          <t>2</t>
        </is>
      </c>
      <c r="I589" s="19" t="n"/>
      <c r="J589" s="19" t="n"/>
      <c r="K589" s="19" t="inlineStr">
        <is>
          <t>2</t>
        </is>
      </c>
      <c r="L589" t="inlineStr">
        <is>
          <t>2026-08-08</t>
        </is>
      </c>
      <c r="N589" t="inlineStr">
        <is>
          <t>IN_SCOPE_FINAL; SOURCE_CFG=IA-ST-CFG-0098; MARKET=YURT İÇİ AFM; STATUS=IN OEM / EU PACKAGE</t>
        </is>
      </c>
      <c r="O589" t="inlineStr">
        <is>
          <t>2026-08-10T19:29:54Z</t>
        </is>
      </c>
      <c r="P589" t="inlineStr">
        <is>
          <t>2026-08-10T19:29:54Z</t>
        </is>
      </c>
    </row>
    <row r="590">
      <c r="A590" s="19" t="inlineStr">
        <is>
          <t>589</t>
        </is>
      </c>
      <c r="B590" s="19" t="inlineStr">
        <is>
          <t>SC-1014566-ST-045-STD-10</t>
        </is>
      </c>
      <c r="C590" t="inlineStr">
        <is>
          <t>1014566 → ST-045-STD-10</t>
        </is>
      </c>
      <c r="D590" s="19" t="inlineStr">
        <is>
          <t>2</t>
        </is>
      </c>
      <c r="E590" s="19" t="inlineStr">
        <is>
          <t>1455</t>
        </is>
      </c>
      <c r="F590" s="19" t="inlineStr">
        <is>
          <t>81</t>
        </is>
      </c>
      <c r="G590" s="19" t="n"/>
      <c r="H590" s="19" t="inlineStr">
        <is>
          <t>2</t>
        </is>
      </c>
      <c r="I590" s="19" t="n"/>
      <c r="J590" s="19" t="n"/>
      <c r="K590" s="19" t="inlineStr">
        <is>
          <t>2</t>
        </is>
      </c>
      <c r="L590" t="inlineStr">
        <is>
          <t>2026-08-08</t>
        </is>
      </c>
      <c r="N590" t="inlineStr">
        <is>
          <t>IN_SCOPE_FINAL; SOURCE_CFG=IA-ST-CFG-0098; MARKET=YURT İÇİ AFM; STATUS=IN OEM / EU PACKAGE</t>
        </is>
      </c>
      <c r="O590" t="inlineStr">
        <is>
          <t>2026-08-10T19:29:54Z</t>
        </is>
      </c>
      <c r="P590" t="inlineStr">
        <is>
          <t>2026-08-10T19:29:54Z</t>
        </is>
      </c>
    </row>
    <row r="591">
      <c r="A591" s="19" t="inlineStr">
        <is>
          <t>590</t>
        </is>
      </c>
      <c r="B591" s="19" t="inlineStr">
        <is>
          <t>SC-1014577-ST-045-STD-10</t>
        </is>
      </c>
      <c r="C591" t="inlineStr">
        <is>
          <t>1014577 → ST-045-STD-10</t>
        </is>
      </c>
      <c r="D591" s="19" t="inlineStr">
        <is>
          <t>2</t>
        </is>
      </c>
      <c r="E591" s="19" t="inlineStr">
        <is>
          <t>1463</t>
        </is>
      </c>
      <c r="F591" s="19" t="inlineStr">
        <is>
          <t>81</t>
        </is>
      </c>
      <c r="G591" s="19" t="n"/>
      <c r="H591" s="19" t="inlineStr">
        <is>
          <t>2</t>
        </is>
      </c>
      <c r="I591" s="19" t="n"/>
      <c r="J591" s="19" t="n"/>
      <c r="K591" s="19" t="inlineStr">
        <is>
          <t>2</t>
        </is>
      </c>
      <c r="L591" t="inlineStr">
        <is>
          <t>2026-08-08</t>
        </is>
      </c>
      <c r="N591" t="inlineStr">
        <is>
          <t>IN_SCOPE_FINAL; SOURCE_CFG=IA-ST-CFG-0098; MARKET=YURT İÇİ AFM; STATUS=IN OEM / EU PACKAGE</t>
        </is>
      </c>
      <c r="O591" t="inlineStr">
        <is>
          <t>2026-08-10T19:29:54Z</t>
        </is>
      </c>
      <c r="P591" t="inlineStr">
        <is>
          <t>2026-08-10T19:29:54Z</t>
        </is>
      </c>
    </row>
    <row r="592">
      <c r="A592" s="19" t="inlineStr">
        <is>
          <t>591</t>
        </is>
      </c>
      <c r="B592" s="19" t="inlineStr">
        <is>
          <t>SC-1014587-ST-045-STD-10</t>
        </is>
      </c>
      <c r="C592" t="inlineStr">
        <is>
          <t>1014587 → ST-045-STD-10</t>
        </is>
      </c>
      <c r="D592" s="19" t="inlineStr">
        <is>
          <t>2</t>
        </is>
      </c>
      <c r="E592" s="19" t="inlineStr">
        <is>
          <t>1473</t>
        </is>
      </c>
      <c r="F592" s="19" t="inlineStr">
        <is>
          <t>81</t>
        </is>
      </c>
      <c r="G592" s="19" t="n"/>
      <c r="H592" s="19" t="inlineStr">
        <is>
          <t>2</t>
        </is>
      </c>
      <c r="I592" s="19" t="n"/>
      <c r="J592" s="19" t="n"/>
      <c r="K592" s="19" t="inlineStr">
        <is>
          <t>2</t>
        </is>
      </c>
      <c r="L592" t="inlineStr">
        <is>
          <t>2026-08-08</t>
        </is>
      </c>
      <c r="N592" t="inlineStr">
        <is>
          <t>IN_SCOPE_FINAL; SOURCE_CFG=IA-ST-CFG-0098; MARKET=YURT İÇİ AFM; STATUS=IN OEM / EU PACKAGE</t>
        </is>
      </c>
      <c r="O592" t="inlineStr">
        <is>
          <t>2026-08-10T19:29:54Z</t>
        </is>
      </c>
      <c r="P592" t="inlineStr">
        <is>
          <t>2026-08-10T19:29:54Z</t>
        </is>
      </c>
    </row>
    <row r="593">
      <c r="A593" s="19" t="inlineStr">
        <is>
          <t>592</t>
        </is>
      </c>
      <c r="B593" s="19" t="inlineStr">
        <is>
          <t>SC-1014952-ST-045-STD-10</t>
        </is>
      </c>
      <c r="C593" t="inlineStr">
        <is>
          <t>1014952 → ST-045-STD-10</t>
        </is>
      </c>
      <c r="D593" s="19" t="inlineStr">
        <is>
          <t>2</t>
        </is>
      </c>
      <c r="E593" s="19" t="inlineStr">
        <is>
          <t>1718</t>
        </is>
      </c>
      <c r="F593" s="19" t="inlineStr">
        <is>
          <t>81</t>
        </is>
      </c>
      <c r="G593" s="19" t="n"/>
      <c r="H593" s="19" t="inlineStr">
        <is>
          <t>2</t>
        </is>
      </c>
      <c r="I593" s="19" t="n"/>
      <c r="J593" s="19" t="n"/>
      <c r="K593" s="19" t="inlineStr">
        <is>
          <t>2</t>
        </is>
      </c>
      <c r="L593" t="inlineStr">
        <is>
          <t>2026-08-08</t>
        </is>
      </c>
      <c r="N593" t="inlineStr">
        <is>
          <t>IN_SCOPE_FINAL; SOURCE_CFG=IA-ST-CFG-0098; MARKET=YURT İÇİ AFM; STATUS=IN OEM / EU PACKAGE</t>
        </is>
      </c>
      <c r="O593" t="inlineStr">
        <is>
          <t>2026-08-10T19:29:54Z</t>
        </is>
      </c>
      <c r="P593" t="inlineStr">
        <is>
          <t>2026-08-10T19:29:54Z</t>
        </is>
      </c>
    </row>
    <row r="594">
      <c r="A594" s="19" t="inlineStr">
        <is>
          <t>593</t>
        </is>
      </c>
      <c r="B594" s="19" t="inlineStr">
        <is>
          <t>SC-1014953-ST-045-STD-10</t>
        </is>
      </c>
      <c r="C594" t="inlineStr">
        <is>
          <t>1014953 → ST-045-STD-10</t>
        </is>
      </c>
      <c r="D594" s="19" t="inlineStr">
        <is>
          <t>2</t>
        </is>
      </c>
      <c r="E594" s="19" t="inlineStr">
        <is>
          <t>1719</t>
        </is>
      </c>
      <c r="F594" s="19" t="inlineStr">
        <is>
          <t>81</t>
        </is>
      </c>
      <c r="G594" s="19" t="n"/>
      <c r="H594" s="19" t="inlineStr">
        <is>
          <t>2</t>
        </is>
      </c>
      <c r="I594" s="19" t="n"/>
      <c r="J594" s="19" t="n"/>
      <c r="K594" s="19" t="inlineStr">
        <is>
          <t>2</t>
        </is>
      </c>
      <c r="L594" t="inlineStr">
        <is>
          <t>2026-08-08</t>
        </is>
      </c>
      <c r="N594" t="inlineStr">
        <is>
          <t>IN_SCOPE_FINAL; SOURCE_CFG=IA-ST-CFG-0098; MARKET=YURT İÇİ AFM; STATUS=IN OEM / EU PACKAGE</t>
        </is>
      </c>
      <c r="O594" t="inlineStr">
        <is>
          <t>2026-08-10T19:29:54Z</t>
        </is>
      </c>
      <c r="P594" t="inlineStr">
        <is>
          <t>2026-08-10T19:29:54Z</t>
        </is>
      </c>
    </row>
    <row r="595">
      <c r="A595" s="19" t="inlineStr">
        <is>
          <t>594</t>
        </is>
      </c>
      <c r="B595" s="19" t="inlineStr">
        <is>
          <t>SC-1014954-ST-045-STD-10</t>
        </is>
      </c>
      <c r="C595" t="inlineStr">
        <is>
          <t>1014954 → ST-045-STD-10</t>
        </is>
      </c>
      <c r="D595" s="19" t="inlineStr">
        <is>
          <t>2</t>
        </is>
      </c>
      <c r="E595" s="19" t="inlineStr">
        <is>
          <t>1720</t>
        </is>
      </c>
      <c r="F595" s="19" t="inlineStr">
        <is>
          <t>81</t>
        </is>
      </c>
      <c r="G595" s="19" t="n"/>
      <c r="H595" s="19" t="inlineStr">
        <is>
          <t>2</t>
        </is>
      </c>
      <c r="I595" s="19" t="n"/>
      <c r="J595" s="19" t="n"/>
      <c r="K595" s="19" t="inlineStr">
        <is>
          <t>2</t>
        </is>
      </c>
      <c r="L595" t="inlineStr">
        <is>
          <t>2026-08-08</t>
        </is>
      </c>
      <c r="N595" t="inlineStr">
        <is>
          <t>IN_SCOPE_FINAL; SOURCE_CFG=IA-ST-CFG-0098; MARKET=YURT İÇİ AFM; STATUS=IN OEM / EU PACKAGE</t>
        </is>
      </c>
      <c r="O595" t="inlineStr">
        <is>
          <t>2026-08-10T19:29:54Z</t>
        </is>
      </c>
      <c r="P595" t="inlineStr">
        <is>
          <t>2026-08-10T19:29:54Z</t>
        </is>
      </c>
    </row>
    <row r="596">
      <c r="A596" s="19" t="inlineStr">
        <is>
          <t>595</t>
        </is>
      </c>
      <c r="B596" s="19" t="inlineStr">
        <is>
          <t>SC-1011207-ST-045-STD-10</t>
        </is>
      </c>
      <c r="C596" t="inlineStr">
        <is>
          <t>1011207 → ST-045-STD-10</t>
        </is>
      </c>
      <c r="D596" s="19" t="inlineStr">
        <is>
          <t>2</t>
        </is>
      </c>
      <c r="E596" s="19" t="inlineStr">
        <is>
          <t>274</t>
        </is>
      </c>
      <c r="F596" s="19" t="inlineStr">
        <is>
          <t>81</t>
        </is>
      </c>
      <c r="G596" s="19" t="n"/>
      <c r="H596" s="19" t="inlineStr">
        <is>
          <t>2</t>
        </is>
      </c>
      <c r="I596" s="19" t="n"/>
      <c r="J596" s="19" t="n"/>
      <c r="K596" s="19" t="inlineStr">
        <is>
          <t>2</t>
        </is>
      </c>
      <c r="L596" t="inlineStr">
        <is>
          <t>2026-08-08</t>
        </is>
      </c>
      <c r="N596" t="inlineStr">
        <is>
          <t>IN_SCOPE_FINAL; SOURCE_CFG=IA-ST-CFG-0098; MARKET=YURT İÇİ AFM; STATUS=IN OEM / EU PACKAGE</t>
        </is>
      </c>
      <c r="O596" t="inlineStr">
        <is>
          <t>2026-08-10T19:29:54Z</t>
        </is>
      </c>
      <c r="P596" t="inlineStr">
        <is>
          <t>2026-08-10T19:29:54Z</t>
        </is>
      </c>
    </row>
    <row r="597">
      <c r="A597" s="19" t="inlineStr">
        <is>
          <t>596</t>
        </is>
      </c>
      <c r="B597" s="19" t="inlineStr">
        <is>
          <t>SC-1011229-ST-045-STD-10</t>
        </is>
      </c>
      <c r="C597" t="inlineStr">
        <is>
          <t>1011229 → ST-045-STD-10</t>
        </is>
      </c>
      <c r="D597" s="19" t="inlineStr">
        <is>
          <t>2</t>
        </is>
      </c>
      <c r="E597" s="19" t="inlineStr">
        <is>
          <t>284</t>
        </is>
      </c>
      <c r="F597" s="19" t="inlineStr">
        <is>
          <t>81</t>
        </is>
      </c>
      <c r="G597" s="19" t="n"/>
      <c r="H597" s="19" t="inlineStr">
        <is>
          <t>2</t>
        </is>
      </c>
      <c r="I597" s="19" t="n"/>
      <c r="J597" s="19" t="n"/>
      <c r="K597" s="19" t="inlineStr">
        <is>
          <t>2</t>
        </is>
      </c>
      <c r="L597" t="inlineStr">
        <is>
          <t>2026-08-08</t>
        </is>
      </c>
      <c r="N597" t="inlineStr">
        <is>
          <t>IN_SCOPE_FINAL; SOURCE_CFG=IA-ST-CFG-0098; MARKET=YURT İÇİ AFM; STATUS=IN OEM / EU PACKAGE</t>
        </is>
      </c>
      <c r="O597" t="inlineStr">
        <is>
          <t>2026-08-10T19:29:54Z</t>
        </is>
      </c>
      <c r="P597" t="inlineStr">
        <is>
          <t>2026-08-10T19:29:54Z</t>
        </is>
      </c>
    </row>
    <row r="598">
      <c r="A598" s="19" t="inlineStr">
        <is>
          <t>597</t>
        </is>
      </c>
      <c r="B598" s="19" t="inlineStr">
        <is>
          <t>SC-1013997-ST-045-STD-10</t>
        </is>
      </c>
      <c r="C598" t="inlineStr">
        <is>
          <t>1013997 → ST-045-STD-10</t>
        </is>
      </c>
      <c r="D598" s="19" t="inlineStr">
        <is>
          <t>2</t>
        </is>
      </c>
      <c r="E598" s="19" t="inlineStr">
        <is>
          <t>1168</t>
        </is>
      </c>
      <c r="F598" s="19" t="inlineStr">
        <is>
          <t>81</t>
        </is>
      </c>
      <c r="G598" s="19" t="n"/>
      <c r="H598" s="19" t="inlineStr">
        <is>
          <t>2</t>
        </is>
      </c>
      <c r="I598" s="19" t="n"/>
      <c r="J598" s="19" t="n"/>
      <c r="K598" s="19" t="inlineStr">
        <is>
          <t>2</t>
        </is>
      </c>
      <c r="L598" t="inlineStr">
        <is>
          <t>2026-08-08</t>
        </is>
      </c>
      <c r="N598" t="inlineStr">
        <is>
          <t>IN_SCOPE_FINAL; SOURCE_CFG=IA-ST-CFG-0098; MARKET=YURT İÇİ AFM; STATUS=IN OEM / EU PACKAGE</t>
        </is>
      </c>
      <c r="O598" t="inlineStr">
        <is>
          <t>2026-08-10T19:29:54Z</t>
        </is>
      </c>
      <c r="P598" t="inlineStr">
        <is>
          <t>2026-08-10T19:29:54Z</t>
        </is>
      </c>
    </row>
    <row r="599">
      <c r="A599" s="19" t="inlineStr">
        <is>
          <t>598</t>
        </is>
      </c>
      <c r="B599" s="19" t="inlineStr">
        <is>
          <t>SC-1014676-ST-045-STD-10</t>
        </is>
      </c>
      <c r="C599" t="inlineStr">
        <is>
          <t>1014676 → ST-045-STD-10</t>
        </is>
      </c>
      <c r="D599" s="19" t="inlineStr">
        <is>
          <t>2</t>
        </is>
      </c>
      <c r="E599" s="19" t="inlineStr">
        <is>
          <t>1532</t>
        </is>
      </c>
      <c r="F599" s="19" t="inlineStr">
        <is>
          <t>81</t>
        </is>
      </c>
      <c r="G599" s="19" t="n"/>
      <c r="H599" s="19" t="inlineStr">
        <is>
          <t>2</t>
        </is>
      </c>
      <c r="I599" s="19" t="n"/>
      <c r="J599" s="19" t="n"/>
      <c r="K599" s="19" t="inlineStr">
        <is>
          <t>2</t>
        </is>
      </c>
      <c r="L599" t="inlineStr">
        <is>
          <t>2026-08-08</t>
        </is>
      </c>
      <c r="N599" t="inlineStr">
        <is>
          <t>IN_SCOPE_FINAL; SOURCE_CFG=IA-ST-CFG-0098; MARKET=YURT İÇİ AFM; STATUS=IN OEM / EU PACKAGE</t>
        </is>
      </c>
      <c r="O599" t="inlineStr">
        <is>
          <t>2026-08-10T19:29:54Z</t>
        </is>
      </c>
      <c r="P599" t="inlineStr">
        <is>
          <t>2026-08-10T19:29:54Z</t>
        </is>
      </c>
    </row>
    <row r="600">
      <c r="A600" s="19" t="inlineStr">
        <is>
          <t>599</t>
        </is>
      </c>
      <c r="B600" s="19" t="inlineStr">
        <is>
          <t>SC-1010584-ST-045-STD-11</t>
        </is>
      </c>
      <c r="C600" t="inlineStr">
        <is>
          <t>1010584 → ST-045-STD-11</t>
        </is>
      </c>
      <c r="D600" s="19" t="inlineStr">
        <is>
          <t>2</t>
        </is>
      </c>
      <c r="E600" s="19" t="inlineStr">
        <is>
          <t>204</t>
        </is>
      </c>
      <c r="F600" s="19" t="inlineStr">
        <is>
          <t>82</t>
        </is>
      </c>
      <c r="G600" s="19" t="n"/>
      <c r="H600" s="19" t="inlineStr">
        <is>
          <t>2</t>
        </is>
      </c>
      <c r="I600" s="19" t="n"/>
      <c r="J600" s="19" t="n"/>
      <c r="K600" s="19" t="inlineStr">
        <is>
          <t>2</t>
        </is>
      </c>
      <c r="L600" t="inlineStr">
        <is>
          <t>2026-08-08</t>
        </is>
      </c>
      <c r="N600" t="inlineStr">
        <is>
          <t>IN_SCOPE_FINAL; SOURCE_CFG=IA-ST-CFG-0099; MARKET=SCHNAPP; STATUS=IN OEM / EU PACKAGE</t>
        </is>
      </c>
      <c r="O600" t="inlineStr">
        <is>
          <t>2026-08-10T19:29:54Z</t>
        </is>
      </c>
      <c r="P600" t="inlineStr">
        <is>
          <t>2026-08-10T19:29:54Z</t>
        </is>
      </c>
    </row>
    <row r="601">
      <c r="A601" s="19" t="inlineStr">
        <is>
          <t>600</t>
        </is>
      </c>
      <c r="B601" s="19" t="inlineStr">
        <is>
          <t>SC-1013769-ST-045-STD-11</t>
        </is>
      </c>
      <c r="C601" t="inlineStr">
        <is>
          <t>1013769 → ST-045-STD-11</t>
        </is>
      </c>
      <c r="D601" s="19" t="inlineStr">
        <is>
          <t>2</t>
        </is>
      </c>
      <c r="E601" s="19" t="inlineStr">
        <is>
          <t>1091</t>
        </is>
      </c>
      <c r="F601" s="19" t="inlineStr">
        <is>
          <t>82</t>
        </is>
      </c>
      <c r="G601" s="19" t="n"/>
      <c r="H601" s="19" t="inlineStr">
        <is>
          <t>2</t>
        </is>
      </c>
      <c r="I601" s="19" t="n"/>
      <c r="J601" s="19" t="n"/>
      <c r="K601" s="19" t="inlineStr">
        <is>
          <t>2</t>
        </is>
      </c>
      <c r="L601" t="inlineStr">
        <is>
          <t>2026-08-08</t>
        </is>
      </c>
      <c r="N601" t="inlineStr">
        <is>
          <t>IN_SCOPE_FINAL; SOURCE_CFG=IA-ST-CFG-0099; MARKET=SCHNAPP; STATUS=IN OEM / EU PACKAGE</t>
        </is>
      </c>
      <c r="O601" t="inlineStr">
        <is>
          <t>2026-08-10T19:29:54Z</t>
        </is>
      </c>
      <c r="P601" t="inlineStr">
        <is>
          <t>2026-08-10T19:29:54Z</t>
        </is>
      </c>
    </row>
    <row r="602">
      <c r="A602" s="19" t="inlineStr">
        <is>
          <t>601</t>
        </is>
      </c>
      <c r="B602" s="19" t="inlineStr">
        <is>
          <t>SC-1013978-ST-045-STD-12</t>
        </is>
      </c>
      <c r="C602" t="inlineStr">
        <is>
          <t>1013978 → ST-045-STD-12</t>
        </is>
      </c>
      <c r="D602" s="19" t="inlineStr">
        <is>
          <t>2</t>
        </is>
      </c>
      <c r="E602" s="19" t="inlineStr">
        <is>
          <t>1152</t>
        </is>
      </c>
      <c r="F602" s="19" t="inlineStr">
        <is>
          <t>83</t>
        </is>
      </c>
      <c r="G602" s="19" t="n"/>
      <c r="H602" s="19" t="inlineStr">
        <is>
          <t>2</t>
        </is>
      </c>
      <c r="I602" s="19" t="n"/>
      <c r="J602" s="19" t="n"/>
      <c r="K602" s="19" t="inlineStr">
        <is>
          <t>2</t>
        </is>
      </c>
      <c r="L602" t="inlineStr">
        <is>
          <t>2026-08-08</t>
        </is>
      </c>
      <c r="N602" t="inlineStr">
        <is>
          <t>IN_SCOPE_FINAL; SOURCE_CFG=IA-ST-CFG-0100; MARKET=SCHNAPP; STATUS=IN OEM / EU PACKAGE</t>
        </is>
      </c>
      <c r="O602" t="inlineStr">
        <is>
          <t>2026-08-10T19:29:54Z</t>
        </is>
      </c>
      <c r="P602" t="inlineStr">
        <is>
          <t>2026-08-10T19:29:54Z</t>
        </is>
      </c>
    </row>
    <row r="603">
      <c r="A603" s="19" t="inlineStr">
        <is>
          <t>602</t>
        </is>
      </c>
      <c r="B603" s="19" t="inlineStr">
        <is>
          <t>SC-1012264-ST-045-STD-13</t>
        </is>
      </c>
      <c r="C603" t="inlineStr">
        <is>
          <t>1012264 → ST-045-STD-13</t>
        </is>
      </c>
      <c r="D603" s="19" t="inlineStr">
        <is>
          <t>2</t>
        </is>
      </c>
      <c r="E603" s="19" t="inlineStr">
        <is>
          <t>578</t>
        </is>
      </c>
      <c r="F603" s="19" t="inlineStr">
        <is>
          <t>84</t>
        </is>
      </c>
      <c r="G603" s="19" t="n"/>
      <c r="H603" s="19" t="inlineStr">
        <is>
          <t>2</t>
        </is>
      </c>
      <c r="I603" s="19" t="n"/>
      <c r="J603" s="19" t="n"/>
      <c r="K603" s="19" t="inlineStr">
        <is>
          <t>2</t>
        </is>
      </c>
      <c r="L603" t="inlineStr">
        <is>
          <t>2026-08-08</t>
        </is>
      </c>
      <c r="N603" t="inlineStr">
        <is>
          <t>IN_SCOPE_FINAL; SOURCE_CFG=IA-ST-CFG-0101; MARKET=SCHNAPP; STATUS=IN OEM / EU PACKAGE</t>
        </is>
      </c>
      <c r="O603" t="inlineStr">
        <is>
          <t>2026-08-10T19:29:54Z</t>
        </is>
      </c>
      <c r="P603" t="inlineStr">
        <is>
          <t>2026-08-10T19:29:54Z</t>
        </is>
      </c>
    </row>
    <row r="604">
      <c r="A604" s="19" t="inlineStr">
        <is>
          <t>603</t>
        </is>
      </c>
      <c r="B604" s="19" t="inlineStr">
        <is>
          <t>SC-1012265-ST-045-STD-13</t>
        </is>
      </c>
      <c r="C604" t="inlineStr">
        <is>
          <t>1012265 → ST-045-STD-13</t>
        </is>
      </c>
      <c r="D604" s="19" t="inlineStr">
        <is>
          <t>2</t>
        </is>
      </c>
      <c r="E604" s="19" t="inlineStr">
        <is>
          <t>579</t>
        </is>
      </c>
      <c r="F604" s="19" t="inlineStr">
        <is>
          <t>84</t>
        </is>
      </c>
      <c r="G604" s="19" t="n"/>
      <c r="H604" s="19" t="inlineStr">
        <is>
          <t>2</t>
        </is>
      </c>
      <c r="I604" s="19" t="n"/>
      <c r="J604" s="19" t="n"/>
      <c r="K604" s="19" t="inlineStr">
        <is>
          <t>2</t>
        </is>
      </c>
      <c r="L604" t="inlineStr">
        <is>
          <t>2026-08-08</t>
        </is>
      </c>
      <c r="N604" t="inlineStr">
        <is>
          <t>IN_SCOPE_FINAL; SOURCE_CFG=IA-ST-CFG-0101; MARKET=SCHNAPP; STATUS=IN OEM / EU PACKAGE</t>
        </is>
      </c>
      <c r="O604" t="inlineStr">
        <is>
          <t>2026-08-10T19:29:54Z</t>
        </is>
      </c>
      <c r="P604" t="inlineStr">
        <is>
          <t>2026-08-10T19:29:54Z</t>
        </is>
      </c>
    </row>
    <row r="605">
      <c r="A605" s="19" t="inlineStr">
        <is>
          <t>604</t>
        </is>
      </c>
      <c r="B605" s="19" t="inlineStr">
        <is>
          <t>SC-1014460-ST-045-STD-14</t>
        </is>
      </c>
      <c r="C605" t="inlineStr">
        <is>
          <t>1014460 → ST-045-STD-14</t>
        </is>
      </c>
      <c r="D605" s="19" t="inlineStr">
        <is>
          <t>2</t>
        </is>
      </c>
      <c r="E605" s="19" t="inlineStr">
        <is>
          <t>1398</t>
        </is>
      </c>
      <c r="F605" s="19" t="inlineStr">
        <is>
          <t>85</t>
        </is>
      </c>
      <c r="G605" s="19" t="n"/>
      <c r="H605" s="19" t="inlineStr">
        <is>
          <t>2</t>
        </is>
      </c>
      <c r="I605" s="19" t="n"/>
      <c r="J605" s="19" t="n"/>
      <c r="K605" s="19" t="inlineStr">
        <is>
          <t>2</t>
        </is>
      </c>
      <c r="L605" t="inlineStr">
        <is>
          <t>2026-08-08</t>
        </is>
      </c>
      <c r="N605" t="inlineStr">
        <is>
          <t>IN_SCOPE_FINAL; SOURCE_CFG=IA-ST-CFG-0102; MARKET=YUASA 3000; STATUS=IN OEM / EU PACKAGE</t>
        </is>
      </c>
      <c r="O605" t="inlineStr">
        <is>
          <t>2026-08-10T19:29:54Z</t>
        </is>
      </c>
      <c r="P605" t="inlineStr">
        <is>
          <t>2026-08-10T19:29:54Z</t>
        </is>
      </c>
    </row>
    <row r="606">
      <c r="A606" s="19" t="inlineStr">
        <is>
          <t>605</t>
        </is>
      </c>
      <c r="B606" s="19" t="inlineStr">
        <is>
          <t>SC-1014255-ST-045-EUR-01</t>
        </is>
      </c>
      <c r="C606" t="inlineStr">
        <is>
          <t>1014255 → ST-045-EUR-01</t>
        </is>
      </c>
      <c r="D606" s="19" t="inlineStr">
        <is>
          <t>2</t>
        </is>
      </c>
      <c r="E606" s="19" t="inlineStr">
        <is>
          <t>1281</t>
        </is>
      </c>
      <c r="F606" s="19" t="inlineStr">
        <is>
          <t>71</t>
        </is>
      </c>
      <c r="G606" s="19" t="n"/>
      <c r="H606" s="19" t="inlineStr">
        <is>
          <t>2</t>
        </is>
      </c>
      <c r="I606" s="19" t="n"/>
      <c r="J606" s="19" t="n"/>
      <c r="K606" s="19" t="inlineStr">
        <is>
          <t>2</t>
        </is>
      </c>
      <c r="L606" t="inlineStr">
        <is>
          <t>2026-08-08</t>
        </is>
      </c>
      <c r="N606" t="inlineStr">
        <is>
          <t>IN_SCOPE_FINAL; SOURCE_CFG=IA-ST-CFG-0103; MARKET=GY EUR; STATUS=IN OEM / EU PACKAGE</t>
        </is>
      </c>
      <c r="O606" t="inlineStr">
        <is>
          <t>2026-08-10T19:29:54Z</t>
        </is>
      </c>
      <c r="P606" t="inlineStr">
        <is>
          <t>2026-08-10T19:29:54Z</t>
        </is>
      </c>
    </row>
    <row r="607">
      <c r="A607" s="19" t="inlineStr">
        <is>
          <t>606</t>
        </is>
      </c>
      <c r="B607" s="19" t="inlineStr">
        <is>
          <t>SC-1014256-ST-045-EUR-01</t>
        </is>
      </c>
      <c r="C607" t="inlineStr">
        <is>
          <t>1014256 → ST-045-EUR-01</t>
        </is>
      </c>
      <c r="D607" s="19" t="inlineStr">
        <is>
          <t>2</t>
        </is>
      </c>
      <c r="E607" s="19" t="inlineStr">
        <is>
          <t>1282</t>
        </is>
      </c>
      <c r="F607" s="19" t="inlineStr">
        <is>
          <t>71</t>
        </is>
      </c>
      <c r="G607" s="19" t="n"/>
      <c r="H607" s="19" t="inlineStr">
        <is>
          <t>2</t>
        </is>
      </c>
      <c r="I607" s="19" t="n"/>
      <c r="J607" s="19" t="n"/>
      <c r="K607" s="19" t="inlineStr">
        <is>
          <t>2</t>
        </is>
      </c>
      <c r="L607" t="inlineStr">
        <is>
          <t>2026-08-08</t>
        </is>
      </c>
      <c r="N607" t="inlineStr">
        <is>
          <t>IN_SCOPE_FINAL; SOURCE_CFG=IA-ST-CFG-0103; MARKET=GY EUR; STATUS=IN OEM / EU PACKAGE</t>
        </is>
      </c>
      <c r="O607" t="inlineStr">
        <is>
          <t>2026-08-10T19:29:54Z</t>
        </is>
      </c>
      <c r="P607" t="inlineStr">
        <is>
          <t>2026-08-10T19:29:54Z</t>
        </is>
      </c>
    </row>
    <row r="608">
      <c r="A608" s="19" t="inlineStr">
        <is>
          <t>607</t>
        </is>
      </c>
      <c r="B608" s="19" t="inlineStr">
        <is>
          <t>SC-1014384-ST-045-EUR-01</t>
        </is>
      </c>
      <c r="C608" t="inlineStr">
        <is>
          <t>1014384 → ST-045-EUR-01</t>
        </is>
      </c>
      <c r="D608" s="19" t="inlineStr">
        <is>
          <t>2</t>
        </is>
      </c>
      <c r="E608" s="19" t="inlineStr">
        <is>
          <t>1339</t>
        </is>
      </c>
      <c r="F608" s="19" t="inlineStr">
        <is>
          <t>71</t>
        </is>
      </c>
      <c r="G608" s="19" t="n"/>
      <c r="H608" s="19" t="inlineStr">
        <is>
          <t>2</t>
        </is>
      </c>
      <c r="I608" s="19" t="n"/>
      <c r="J608" s="19" t="n"/>
      <c r="K608" s="19" t="inlineStr">
        <is>
          <t>2</t>
        </is>
      </c>
      <c r="L608" t="inlineStr">
        <is>
          <t>2026-08-08</t>
        </is>
      </c>
      <c r="N608" t="inlineStr">
        <is>
          <t>IN_SCOPE_FINAL; SOURCE_CFG=IA-ST-CFG-0103; MARKET=GY EUR; STATUS=IN OEM / EU PACKAGE</t>
        </is>
      </c>
      <c r="O608" t="inlineStr">
        <is>
          <t>2026-08-10T19:29:54Z</t>
        </is>
      </c>
      <c r="P608" t="inlineStr">
        <is>
          <t>2026-08-10T19:29:54Z</t>
        </is>
      </c>
    </row>
    <row r="609">
      <c r="A609" s="19" t="inlineStr">
        <is>
          <t>608</t>
        </is>
      </c>
      <c r="B609" s="19" t="inlineStr">
        <is>
          <t>SC-1015235-ST-045-EUR-01</t>
        </is>
      </c>
      <c r="C609" t="inlineStr">
        <is>
          <t>1015235 → ST-045-EUR-01</t>
        </is>
      </c>
      <c r="D609" s="19" t="inlineStr">
        <is>
          <t>2</t>
        </is>
      </c>
      <c r="E609" s="19" t="inlineStr">
        <is>
          <t>1973</t>
        </is>
      </c>
      <c r="F609" s="19" t="inlineStr">
        <is>
          <t>71</t>
        </is>
      </c>
      <c r="G609" s="19" t="n"/>
      <c r="H609" s="19" t="inlineStr">
        <is>
          <t>2</t>
        </is>
      </c>
      <c r="I609" s="19" t="n"/>
      <c r="J609" s="19" t="n"/>
      <c r="K609" s="19" t="inlineStr">
        <is>
          <t>2</t>
        </is>
      </c>
      <c r="L609" t="inlineStr">
        <is>
          <t>2026-08-08</t>
        </is>
      </c>
      <c r="N609" t="inlineStr">
        <is>
          <t>IN_SCOPE_FINAL; SOURCE_CFG=IA-ST-CFG-0103; MARKET=GY EUR; STATUS=IN OEM / EU PACKAGE</t>
        </is>
      </c>
      <c r="O609" t="inlineStr">
        <is>
          <t>2026-08-10T19:29:54Z</t>
        </is>
      </c>
      <c r="P609" t="inlineStr">
        <is>
          <t>2026-08-10T19:29:54Z</t>
        </is>
      </c>
    </row>
    <row r="610">
      <c r="A610" s="19" t="inlineStr">
        <is>
          <t>609</t>
        </is>
      </c>
      <c r="B610" s="19" t="inlineStr">
        <is>
          <t>SC-1015236-ST-045-EUR-01</t>
        </is>
      </c>
      <c r="C610" t="inlineStr">
        <is>
          <t>1015236 → ST-045-EUR-01</t>
        </is>
      </c>
      <c r="D610" s="19" t="inlineStr">
        <is>
          <t>2</t>
        </is>
      </c>
      <c r="E610" s="19" t="inlineStr">
        <is>
          <t>1974</t>
        </is>
      </c>
      <c r="F610" s="19" t="inlineStr">
        <is>
          <t>71</t>
        </is>
      </c>
      <c r="G610" s="19" t="n"/>
      <c r="H610" s="19" t="inlineStr">
        <is>
          <t>2</t>
        </is>
      </c>
      <c r="I610" s="19" t="n"/>
      <c r="J610" s="19" t="n"/>
      <c r="K610" s="19" t="inlineStr">
        <is>
          <t>2</t>
        </is>
      </c>
      <c r="L610" t="inlineStr">
        <is>
          <t>2026-08-08</t>
        </is>
      </c>
      <c r="N610" t="inlineStr">
        <is>
          <t>IN_SCOPE_FINAL; SOURCE_CFG=IA-ST-CFG-0103; MARKET=GY EUR; STATUS=IN OEM / EU PACKAGE</t>
        </is>
      </c>
      <c r="O610" t="inlineStr">
        <is>
          <t>2026-08-10T19:29:54Z</t>
        </is>
      </c>
      <c r="P610" t="inlineStr">
        <is>
          <t>2026-08-10T19:29:54Z</t>
        </is>
      </c>
    </row>
    <row r="611">
      <c r="A611" s="19" t="inlineStr">
        <is>
          <t>610</t>
        </is>
      </c>
      <c r="B611" s="19" t="inlineStr">
        <is>
          <t>SC-1015237-ST-045-EUR-01</t>
        </is>
      </c>
      <c r="C611" t="inlineStr">
        <is>
          <t>1015237 → ST-045-EUR-01</t>
        </is>
      </c>
      <c r="D611" s="19" t="inlineStr">
        <is>
          <t>2</t>
        </is>
      </c>
      <c r="E611" s="19" t="inlineStr">
        <is>
          <t>1975</t>
        </is>
      </c>
      <c r="F611" s="19" t="inlineStr">
        <is>
          <t>71</t>
        </is>
      </c>
      <c r="G611" s="19" t="n"/>
      <c r="H611" s="19" t="inlineStr">
        <is>
          <t>2</t>
        </is>
      </c>
      <c r="I611" s="19" t="n"/>
      <c r="J611" s="19" t="n"/>
      <c r="K611" s="19" t="inlineStr">
        <is>
          <t>2</t>
        </is>
      </c>
      <c r="L611" t="inlineStr">
        <is>
          <t>2026-08-08</t>
        </is>
      </c>
      <c r="N611" t="inlineStr">
        <is>
          <t>IN_SCOPE_FINAL; SOURCE_CFG=IA-ST-CFG-0103; MARKET=GY EUR; STATUS=IN OEM / EU PACKAGE</t>
        </is>
      </c>
      <c r="O611" t="inlineStr">
        <is>
          <t>2026-08-10T19:29:54Z</t>
        </is>
      </c>
      <c r="P611" t="inlineStr">
        <is>
          <t>2026-08-10T19:29:54Z</t>
        </is>
      </c>
    </row>
    <row r="612">
      <c r="A612" s="19" t="inlineStr">
        <is>
          <t>611</t>
        </is>
      </c>
      <c r="B612" s="19" t="inlineStr">
        <is>
          <t>SC-1012638-ST-048-STD-01</t>
        </is>
      </c>
      <c r="C612" t="inlineStr">
        <is>
          <t>1012638 → ST-048-STD-01</t>
        </is>
      </c>
      <c r="D612" s="19" t="inlineStr">
        <is>
          <t>2</t>
        </is>
      </c>
      <c r="E612" s="19" t="inlineStr">
        <is>
          <t>727</t>
        </is>
      </c>
      <c r="F612" s="19" t="inlineStr">
        <is>
          <t>98</t>
        </is>
      </c>
      <c r="G612" s="19" t="n"/>
      <c r="H612" s="19" t="inlineStr">
        <is>
          <t>2</t>
        </is>
      </c>
      <c r="I612" s="19" t="n"/>
      <c r="J612" s="19" t="n"/>
      <c r="K612" s="19" t="inlineStr">
        <is>
          <t>2</t>
        </is>
      </c>
      <c r="L612" t="inlineStr">
        <is>
          <t>2026-08-08</t>
        </is>
      </c>
      <c r="N612" t="inlineStr">
        <is>
          <t>IN_SCOPE_FINAL; SOURCE_CFG=IA-ST-CFG-0104; MARKET=YUASA 3000 EXPORT; STATUS=IN OEM / EU PACKAGE</t>
        </is>
      </c>
      <c r="O612" t="inlineStr">
        <is>
          <t>2026-08-10T19:29:54Z</t>
        </is>
      </c>
      <c r="P612" t="inlineStr">
        <is>
          <t>2026-08-10T19:29:54Z</t>
        </is>
      </c>
    </row>
    <row r="613">
      <c r="A613" s="19" t="inlineStr">
        <is>
          <t>612</t>
        </is>
      </c>
      <c r="B613" s="19" t="inlineStr">
        <is>
          <t>SC-1010193-ST-048-EUR-01</t>
        </is>
      </c>
      <c r="C613" t="inlineStr">
        <is>
          <t>1010193 → ST-048-EUR-01</t>
        </is>
      </c>
      <c r="D613" s="19" t="inlineStr">
        <is>
          <t>2</t>
        </is>
      </c>
      <c r="E613" s="19" t="inlineStr">
        <is>
          <t>169</t>
        </is>
      </c>
      <c r="F613" s="19" t="inlineStr">
        <is>
          <t>86</t>
        </is>
      </c>
      <c r="G613" s="19" t="n"/>
      <c r="H613" s="19" t="inlineStr">
        <is>
          <t>2</t>
        </is>
      </c>
      <c r="I613" s="19" t="n"/>
      <c r="J613" s="19" t="n"/>
      <c r="K613" s="19" t="inlineStr">
        <is>
          <t>2</t>
        </is>
      </c>
      <c r="L613" t="inlineStr">
        <is>
          <t>2026-08-08</t>
        </is>
      </c>
      <c r="N613" t="inlineStr">
        <is>
          <t>IN_SCOPE_FINAL; SOURCE_CFG=IA-ST-CFG-0105; MARKET=YURT İÇİ AFM; STATUS=IN OEM / EU PACKAGE</t>
        </is>
      </c>
      <c r="O613" t="inlineStr">
        <is>
          <t>2026-08-10T19:29:54Z</t>
        </is>
      </c>
      <c r="P613" t="inlineStr">
        <is>
          <t>2026-08-10T19:29:54Z</t>
        </is>
      </c>
    </row>
    <row r="614">
      <c r="A614" s="19" t="inlineStr">
        <is>
          <t>613</t>
        </is>
      </c>
      <c r="B614" s="19" t="inlineStr">
        <is>
          <t>SC-1014311-ST-048-STD-02</t>
        </is>
      </c>
      <c r="C614" t="inlineStr">
        <is>
          <t>1014311 → ST-048-STD-02</t>
        </is>
      </c>
      <c r="D614" s="19" t="inlineStr">
        <is>
          <t>2</t>
        </is>
      </c>
      <c r="E614" s="19" t="inlineStr">
        <is>
          <t>1298</t>
        </is>
      </c>
      <c r="F614" s="19" t="inlineStr">
        <is>
          <t>99</t>
        </is>
      </c>
      <c r="G614" s="19" t="n"/>
      <c r="H614" s="19" t="inlineStr">
        <is>
          <t>2</t>
        </is>
      </c>
      <c r="I614" s="19" t="n"/>
      <c r="J614" s="19" t="n"/>
      <c r="K614" s="19" t="inlineStr">
        <is>
          <t>2</t>
        </is>
      </c>
      <c r="L614" t="inlineStr">
        <is>
          <t>2026-08-08</t>
        </is>
      </c>
      <c r="N614" t="inlineStr">
        <is>
          <t>IN_SCOPE_FINAL; SOURCE_CFG=IA-ST-CFG-0106; MARKET=YUASA 9000 AGM EXPORT; STATUS=IN OEM / EU PACKAGE</t>
        </is>
      </c>
      <c r="O614" t="inlineStr">
        <is>
          <t>2026-08-10T19:29:54Z</t>
        </is>
      </c>
      <c r="P614" t="inlineStr">
        <is>
          <t>2026-08-10T19:29:54Z</t>
        </is>
      </c>
    </row>
    <row r="615">
      <c r="A615" s="19" t="inlineStr">
        <is>
          <t>614</t>
        </is>
      </c>
      <c r="B615" s="19" t="inlineStr">
        <is>
          <t>SC-1013419-ST-048-EUR-02</t>
        </is>
      </c>
      <c r="C615" t="inlineStr">
        <is>
          <t>1013419 → ST-048-EUR-02</t>
        </is>
      </c>
      <c r="D615" s="19" t="inlineStr">
        <is>
          <t>2</t>
        </is>
      </c>
      <c r="E615" s="19" t="inlineStr">
        <is>
          <t>994</t>
        </is>
      </c>
      <c r="F615" s="19" t="inlineStr">
        <is>
          <t>87</t>
        </is>
      </c>
      <c r="G615" s="19" t="n"/>
      <c r="H615" s="19" t="inlineStr">
        <is>
          <t>2</t>
        </is>
      </c>
      <c r="I615" s="19" t="n"/>
      <c r="J615" s="19" t="n"/>
      <c r="K615" s="19" t="inlineStr">
        <is>
          <t>2</t>
        </is>
      </c>
      <c r="L615" t="inlineStr">
        <is>
          <t>2026-08-08</t>
        </is>
      </c>
      <c r="N615" t="inlineStr">
        <is>
          <t>IN_SCOPE_FINAL; SOURCE_CFG=IA-ST-CFG-0107; MARKET=None; STATUS=IN OEM / EU PACKAGE</t>
        </is>
      </c>
      <c r="O615" t="inlineStr">
        <is>
          <t>2026-08-10T19:29:54Z</t>
        </is>
      </c>
      <c r="P615" t="inlineStr">
        <is>
          <t>2026-08-10T19:29:54Z</t>
        </is>
      </c>
    </row>
    <row r="616">
      <c r="A616" s="19" t="inlineStr">
        <is>
          <t>615</t>
        </is>
      </c>
      <c r="B616" s="19" t="inlineStr">
        <is>
          <t>SC-1013748-ST-048-EUR-02</t>
        </is>
      </c>
      <c r="C616" t="inlineStr">
        <is>
          <t>1013748 → ST-048-EUR-02</t>
        </is>
      </c>
      <c r="D616" s="19" t="inlineStr">
        <is>
          <t>2</t>
        </is>
      </c>
      <c r="E616" s="19" t="inlineStr">
        <is>
          <t>1088</t>
        </is>
      </c>
      <c r="F616" s="19" t="inlineStr">
        <is>
          <t>87</t>
        </is>
      </c>
      <c r="G616" s="19" t="n"/>
      <c r="H616" s="19" t="inlineStr">
        <is>
          <t>2</t>
        </is>
      </c>
      <c r="I616" s="19" t="n"/>
      <c r="J616" s="19" t="n"/>
      <c r="K616" s="19" t="inlineStr">
        <is>
          <t>2</t>
        </is>
      </c>
      <c r="L616" t="inlineStr">
        <is>
          <t>2026-08-08</t>
        </is>
      </c>
      <c r="N616" t="inlineStr">
        <is>
          <t>IN_SCOPE_FINAL; SOURCE_CFG=IA-ST-CFG-0107; MARKET=None; STATUS=IN OEM / EU PACKAGE</t>
        </is>
      </c>
      <c r="O616" t="inlineStr">
        <is>
          <t>2026-08-10T19:29:54Z</t>
        </is>
      </c>
      <c r="P616" t="inlineStr">
        <is>
          <t>2026-08-10T19:29:54Z</t>
        </is>
      </c>
    </row>
    <row r="617">
      <c r="A617" s="19" t="inlineStr">
        <is>
          <t>616</t>
        </is>
      </c>
      <c r="B617" s="19" t="inlineStr">
        <is>
          <t>SC-1013861-ST-048-EUR-02</t>
        </is>
      </c>
      <c r="C617" t="inlineStr">
        <is>
          <t>1013861 → ST-048-EUR-02</t>
        </is>
      </c>
      <c r="D617" s="19" t="inlineStr">
        <is>
          <t>2</t>
        </is>
      </c>
      <c r="E617" s="19" t="inlineStr">
        <is>
          <t>1113</t>
        </is>
      </c>
      <c r="F617" s="19" t="inlineStr">
        <is>
          <t>87</t>
        </is>
      </c>
      <c r="G617" s="19" t="n"/>
      <c r="H617" s="19" t="inlineStr">
        <is>
          <t>2</t>
        </is>
      </c>
      <c r="I617" s="19" t="n"/>
      <c r="J617" s="19" t="n"/>
      <c r="K617" s="19" t="inlineStr">
        <is>
          <t>2</t>
        </is>
      </c>
      <c r="L617" t="inlineStr">
        <is>
          <t>2026-08-08</t>
        </is>
      </c>
      <c r="N617" t="inlineStr">
        <is>
          <t>IN_SCOPE_FINAL; SOURCE_CFG=IA-ST-CFG-0107; MARKET=None; STATUS=IN OEM / EU PACKAGE</t>
        </is>
      </c>
      <c r="O617" t="inlineStr">
        <is>
          <t>2026-08-10T19:29:54Z</t>
        </is>
      </c>
      <c r="P617" t="inlineStr">
        <is>
          <t>2026-08-10T19:29:54Z</t>
        </is>
      </c>
    </row>
    <row r="618">
      <c r="A618" s="19" t="inlineStr">
        <is>
          <t>617</t>
        </is>
      </c>
      <c r="B618" s="19" t="inlineStr">
        <is>
          <t>SC-1014151-ST-048-EUR-02</t>
        </is>
      </c>
      <c r="C618" t="inlineStr">
        <is>
          <t>1014151 → ST-048-EUR-02</t>
        </is>
      </c>
      <c r="D618" s="19" t="inlineStr">
        <is>
          <t>2</t>
        </is>
      </c>
      <c r="E618" s="19" t="inlineStr">
        <is>
          <t>1237</t>
        </is>
      </c>
      <c r="F618" s="19" t="inlineStr">
        <is>
          <t>87</t>
        </is>
      </c>
      <c r="G618" s="19" t="n"/>
      <c r="H618" s="19" t="inlineStr">
        <is>
          <t>2</t>
        </is>
      </c>
      <c r="I618" s="19" t="n"/>
      <c r="J618" s="19" t="n"/>
      <c r="K618" s="19" t="inlineStr">
        <is>
          <t>2</t>
        </is>
      </c>
      <c r="L618" t="inlineStr">
        <is>
          <t>2026-08-08</t>
        </is>
      </c>
      <c r="N618" t="inlineStr">
        <is>
          <t>IN_SCOPE_FINAL; SOURCE_CFG=IA-ST-CFG-0107; MARKET=None; STATUS=IN OEM / EU PACKAGE</t>
        </is>
      </c>
      <c r="O618" t="inlineStr">
        <is>
          <t>2026-08-10T19:29:54Z</t>
        </is>
      </c>
      <c r="P618" t="inlineStr">
        <is>
          <t>2026-08-10T19:29:54Z</t>
        </is>
      </c>
    </row>
    <row r="619">
      <c r="A619" s="19" t="inlineStr">
        <is>
          <t>618</t>
        </is>
      </c>
      <c r="B619" s="19" t="inlineStr">
        <is>
          <t>SC-1014648-ST-048-EUR-02</t>
        </is>
      </c>
      <c r="C619" t="inlineStr">
        <is>
          <t>1014648 → ST-048-EUR-02</t>
        </is>
      </c>
      <c r="D619" s="19" t="inlineStr">
        <is>
          <t>2</t>
        </is>
      </c>
      <c r="E619" s="19" t="inlineStr">
        <is>
          <t>1507</t>
        </is>
      </c>
      <c r="F619" s="19" t="inlineStr">
        <is>
          <t>87</t>
        </is>
      </c>
      <c r="G619" s="19" t="n"/>
      <c r="H619" s="19" t="inlineStr">
        <is>
          <t>2</t>
        </is>
      </c>
      <c r="I619" s="19" t="n"/>
      <c r="J619" s="19" t="n"/>
      <c r="K619" s="19" t="inlineStr">
        <is>
          <t>2</t>
        </is>
      </c>
      <c r="L619" t="inlineStr">
        <is>
          <t>2026-08-08</t>
        </is>
      </c>
      <c r="N619" t="inlineStr">
        <is>
          <t>IN_SCOPE_FINAL; SOURCE_CFG=IA-ST-CFG-0107; MARKET=None; STATUS=IN OEM / EU PACKAGE</t>
        </is>
      </c>
      <c r="O619" t="inlineStr">
        <is>
          <t>2026-08-10T19:29:54Z</t>
        </is>
      </c>
      <c r="P619" t="inlineStr">
        <is>
          <t>2026-08-10T19:29:54Z</t>
        </is>
      </c>
    </row>
    <row r="620">
      <c r="A620" s="19" t="inlineStr">
        <is>
          <t>619</t>
        </is>
      </c>
      <c r="B620" s="19" t="inlineStr">
        <is>
          <t>SC-1014773-ST-048-EUR-02</t>
        </is>
      </c>
      <c r="C620" t="inlineStr">
        <is>
          <t>1014773 → ST-048-EUR-02</t>
        </is>
      </c>
      <c r="D620" s="19" t="inlineStr">
        <is>
          <t>2</t>
        </is>
      </c>
      <c r="E620" s="19" t="inlineStr">
        <is>
          <t>1598</t>
        </is>
      </c>
      <c r="F620" s="19" t="inlineStr">
        <is>
          <t>87</t>
        </is>
      </c>
      <c r="G620" s="19" t="n"/>
      <c r="H620" s="19" t="inlineStr">
        <is>
          <t>2</t>
        </is>
      </c>
      <c r="I620" s="19" t="n"/>
      <c r="J620" s="19" t="n"/>
      <c r="K620" s="19" t="inlineStr">
        <is>
          <t>2</t>
        </is>
      </c>
      <c r="L620" t="inlineStr">
        <is>
          <t>2026-08-08</t>
        </is>
      </c>
      <c r="N620" t="inlineStr">
        <is>
          <t>IN_SCOPE_FINAL; SOURCE_CFG=IA-ST-CFG-0107; MARKET=None; STATUS=IN OEM / EU PACKAGE</t>
        </is>
      </c>
      <c r="O620" t="inlineStr">
        <is>
          <t>2026-08-10T19:29:54Z</t>
        </is>
      </c>
      <c r="P620" t="inlineStr">
        <is>
          <t>2026-08-10T19:29:54Z</t>
        </is>
      </c>
    </row>
    <row r="621">
      <c r="A621" s="19" t="inlineStr">
        <is>
          <t>620</t>
        </is>
      </c>
      <c r="B621" s="19" t="inlineStr">
        <is>
          <t>SC-1014850-ST-048-EUR-02</t>
        </is>
      </c>
      <c r="C621" t="inlineStr">
        <is>
          <t>1014850 → ST-048-EUR-02</t>
        </is>
      </c>
      <c r="D621" s="19" t="inlineStr">
        <is>
          <t>2</t>
        </is>
      </c>
      <c r="E621" s="19" t="inlineStr">
        <is>
          <t>1633</t>
        </is>
      </c>
      <c r="F621" s="19" t="inlineStr">
        <is>
          <t>87</t>
        </is>
      </c>
      <c r="G621" s="19" t="n"/>
      <c r="H621" s="19" t="inlineStr">
        <is>
          <t>2</t>
        </is>
      </c>
      <c r="I621" s="19" t="n"/>
      <c r="J621" s="19" t="n"/>
      <c r="K621" s="19" t="inlineStr">
        <is>
          <t>2</t>
        </is>
      </c>
      <c r="L621" t="inlineStr">
        <is>
          <t>2026-08-08</t>
        </is>
      </c>
      <c r="N621" t="inlineStr">
        <is>
          <t>IN_SCOPE_FINAL; SOURCE_CFG=IA-ST-CFG-0107; MARKET=ALEX ARABATZIS BSA(YUNANİSTAN); STATUS=IN OEM / EU PACKAGE</t>
        </is>
      </c>
      <c r="O621" t="inlineStr">
        <is>
          <t>2026-08-10T19:29:54Z</t>
        </is>
      </c>
      <c r="P621" t="inlineStr">
        <is>
          <t>2026-08-10T19:29:54Z</t>
        </is>
      </c>
    </row>
    <row r="622">
      <c r="A622" s="19" t="inlineStr">
        <is>
          <t>621</t>
        </is>
      </c>
      <c r="B622" s="19" t="inlineStr">
        <is>
          <t>SC-1014851-ST-048-EUR-02</t>
        </is>
      </c>
      <c r="C622" t="inlineStr">
        <is>
          <t>1014851 → ST-048-EUR-02</t>
        </is>
      </c>
      <c r="D622" s="19" t="inlineStr">
        <is>
          <t>2</t>
        </is>
      </c>
      <c r="E622" s="19" t="inlineStr">
        <is>
          <t>1634</t>
        </is>
      </c>
      <c r="F622" s="19" t="inlineStr">
        <is>
          <t>87</t>
        </is>
      </c>
      <c r="G622" s="19" t="n"/>
      <c r="H622" s="19" t="inlineStr">
        <is>
          <t>2</t>
        </is>
      </c>
      <c r="I622" s="19" t="n"/>
      <c r="J622" s="19" t="n"/>
      <c r="K622" s="19" t="inlineStr">
        <is>
          <t>2</t>
        </is>
      </c>
      <c r="L622" t="inlineStr">
        <is>
          <t>2026-08-08</t>
        </is>
      </c>
      <c r="N622" t="inlineStr">
        <is>
          <t>IN_SCOPE_FINAL; SOURCE_CFG=IA-ST-CFG-0107; MARKET=ALEX ARABATZIS BSA(YUNANİSTAN); STATUS=IN OEM / EU PACKAGE</t>
        </is>
      </c>
      <c r="O622" t="inlineStr">
        <is>
          <t>2026-08-10T19:29:54Z</t>
        </is>
      </c>
      <c r="P622" t="inlineStr">
        <is>
          <t>2026-08-10T19:29:54Z</t>
        </is>
      </c>
    </row>
    <row r="623">
      <c r="A623" s="19" t="inlineStr">
        <is>
          <t>622</t>
        </is>
      </c>
      <c r="B623" s="19" t="inlineStr">
        <is>
          <t>SC-1015316-ST-048-EUR-02</t>
        </is>
      </c>
      <c r="C623" t="inlineStr">
        <is>
          <t>1015316 → ST-048-EUR-02</t>
        </is>
      </c>
      <c r="D623" s="19" t="inlineStr">
        <is>
          <t>2</t>
        </is>
      </c>
      <c r="E623" s="19" t="inlineStr">
        <is>
          <t>2037</t>
        </is>
      </c>
      <c r="F623" s="19" t="inlineStr">
        <is>
          <t>87</t>
        </is>
      </c>
      <c r="G623" s="19" t="n"/>
      <c r="H623" s="19" t="inlineStr">
        <is>
          <t>2</t>
        </is>
      </c>
      <c r="I623" s="19" t="n"/>
      <c r="J623" s="19" t="n"/>
      <c r="K623" s="19" t="inlineStr">
        <is>
          <t>2</t>
        </is>
      </c>
      <c r="L623" t="inlineStr">
        <is>
          <t>2026-08-08</t>
        </is>
      </c>
      <c r="N623" t="inlineStr">
        <is>
          <t>IN_SCOPE_FINAL; SOURCE_CFG=IA-ST-CFG-0107; MARKET=LAMPA ITALY İTALYA; STATUS=IN OEM / EU PACKAGE</t>
        </is>
      </c>
      <c r="O623" t="inlineStr">
        <is>
          <t>2026-08-10T19:29:54Z</t>
        </is>
      </c>
      <c r="P623" t="inlineStr">
        <is>
          <t>2026-08-10T19:29:54Z</t>
        </is>
      </c>
    </row>
    <row r="624">
      <c r="A624" s="19" t="inlineStr">
        <is>
          <t>623</t>
        </is>
      </c>
      <c r="B624" s="19" t="inlineStr">
        <is>
          <t>SC-1015322-ST-048-EUR-02</t>
        </is>
      </c>
      <c r="C624" t="inlineStr">
        <is>
          <t>1015322 → ST-048-EUR-02</t>
        </is>
      </c>
      <c r="D624" s="19" t="inlineStr">
        <is>
          <t>2</t>
        </is>
      </c>
      <c r="E624" s="19" t="inlineStr">
        <is>
          <t>2043</t>
        </is>
      </c>
      <c r="F624" s="19" t="inlineStr">
        <is>
          <t>87</t>
        </is>
      </c>
      <c r="G624" s="19" t="n"/>
      <c r="H624" s="19" t="inlineStr">
        <is>
          <t>2</t>
        </is>
      </c>
      <c r="I624" s="19" t="n"/>
      <c r="J624" s="19" t="n"/>
      <c r="K624" s="19" t="inlineStr">
        <is>
          <t>2</t>
        </is>
      </c>
      <c r="L624" t="inlineStr">
        <is>
          <t>2026-08-08</t>
        </is>
      </c>
      <c r="N624" t="inlineStr">
        <is>
          <t>IN_SCOPE_FINAL; SOURCE_CFG=IA-ST-CFG-0107; MARKET=None; STATUS=IN OEM / EU PACKAGE</t>
        </is>
      </c>
      <c r="O624" t="inlineStr">
        <is>
          <t>2026-08-10T19:29:54Z</t>
        </is>
      </c>
      <c r="P624" t="inlineStr">
        <is>
          <t>2026-08-10T19:29:54Z</t>
        </is>
      </c>
    </row>
    <row r="625">
      <c r="A625" s="19" t="inlineStr">
        <is>
          <t>624</t>
        </is>
      </c>
      <c r="B625" s="19" t="inlineStr">
        <is>
          <t>SC-1015323-ST-048-EUR-02</t>
        </is>
      </c>
      <c r="C625" t="inlineStr">
        <is>
          <t>1015323 → ST-048-EUR-02</t>
        </is>
      </c>
      <c r="D625" s="19" t="inlineStr">
        <is>
          <t>2</t>
        </is>
      </c>
      <c r="E625" s="19" t="inlineStr">
        <is>
          <t>2044</t>
        </is>
      </c>
      <c r="F625" s="19" t="inlineStr">
        <is>
          <t>87</t>
        </is>
      </c>
      <c r="G625" s="19" t="n"/>
      <c r="H625" s="19" t="inlineStr">
        <is>
          <t>2</t>
        </is>
      </c>
      <c r="I625" s="19" t="n"/>
      <c r="J625" s="19" t="n"/>
      <c r="K625" s="19" t="inlineStr">
        <is>
          <t>2</t>
        </is>
      </c>
      <c r="L625" t="inlineStr">
        <is>
          <t>2026-08-08</t>
        </is>
      </c>
      <c r="N625" t="inlineStr">
        <is>
          <t>IN_SCOPE_FINAL; SOURCE_CFG=IA-ST-CFG-0107; MARKET=None; STATUS=IN OEM / EU PACKAGE</t>
        </is>
      </c>
      <c r="O625" t="inlineStr">
        <is>
          <t>2026-08-10T19:29:54Z</t>
        </is>
      </c>
      <c r="P625" t="inlineStr">
        <is>
          <t>2026-08-10T19:29:54Z</t>
        </is>
      </c>
    </row>
    <row r="626">
      <c r="A626" s="19" t="inlineStr">
        <is>
          <t>625</t>
        </is>
      </c>
      <c r="B626" s="19" t="inlineStr">
        <is>
          <t>SC-1012653-ST-048-EUR-03</t>
        </is>
      </c>
      <c r="C626" t="inlineStr">
        <is>
          <t>1012653 → ST-048-EUR-03</t>
        </is>
      </c>
      <c r="D626" s="19" t="inlineStr">
        <is>
          <t>2</t>
        </is>
      </c>
      <c r="E626" s="19" t="inlineStr">
        <is>
          <t>732</t>
        </is>
      </c>
      <c r="F626" s="19" t="inlineStr">
        <is>
          <t>88</t>
        </is>
      </c>
      <c r="G626" s="19" t="n"/>
      <c r="H626" s="19" t="inlineStr">
        <is>
          <t>2</t>
        </is>
      </c>
      <c r="I626" s="19" t="n"/>
      <c r="J626" s="19" t="n"/>
      <c r="K626" s="19" t="inlineStr">
        <is>
          <t>2</t>
        </is>
      </c>
      <c r="L626" t="inlineStr">
        <is>
          <t>2026-08-08</t>
        </is>
      </c>
      <c r="N626" t="inlineStr">
        <is>
          <t>IN_SCOPE_FINAL; SOURCE_CFG=IA-ST-CFG-0109; MARKET=PSA (Yurt Dışı); STATUS=IN OEM / EU PACKAGE</t>
        </is>
      </c>
      <c r="O626" t="inlineStr">
        <is>
          <t>2026-08-10T19:29:54Z</t>
        </is>
      </c>
      <c r="P626" t="inlineStr">
        <is>
          <t>2026-08-10T19:29:54Z</t>
        </is>
      </c>
    </row>
    <row r="627">
      <c r="A627" s="19" t="inlineStr">
        <is>
          <t>626</t>
        </is>
      </c>
      <c r="B627" s="19" t="inlineStr">
        <is>
          <t>SC-1014928-ST-048-EUR-04</t>
        </is>
      </c>
      <c r="C627" t="inlineStr">
        <is>
          <t>1014928 → ST-048-EUR-04</t>
        </is>
      </c>
      <c r="D627" s="19" t="inlineStr">
        <is>
          <t>2</t>
        </is>
      </c>
      <c r="E627" s="19" t="inlineStr">
        <is>
          <t>1696</t>
        </is>
      </c>
      <c r="F627" s="19" t="inlineStr">
        <is>
          <t>89</t>
        </is>
      </c>
      <c r="G627" s="19" t="n"/>
      <c r="H627" s="19" t="inlineStr">
        <is>
          <t>2</t>
        </is>
      </c>
      <c r="I627" s="19" t="n"/>
      <c r="J627" s="19" t="n"/>
      <c r="K627" s="19" t="inlineStr">
        <is>
          <t>2</t>
        </is>
      </c>
      <c r="L627" t="inlineStr">
        <is>
          <t>2026-08-08</t>
        </is>
      </c>
      <c r="N627" t="inlineStr">
        <is>
          <t>IN_SCOPE_FINAL; SOURCE_CFG=IA-ST-CFG-0110; MARKET=YUASA 9000 AGM EXPORT; STATUS=IN OEM / EU PACKAGE</t>
        </is>
      </c>
      <c r="O627" t="inlineStr">
        <is>
          <t>2026-08-10T19:29:54Z</t>
        </is>
      </c>
      <c r="P627" t="inlineStr">
        <is>
          <t>2026-08-10T19:29:54Z</t>
        </is>
      </c>
    </row>
    <row r="628">
      <c r="A628" s="19" t="inlineStr">
        <is>
          <t>627</t>
        </is>
      </c>
      <c r="B628" s="19" t="inlineStr">
        <is>
          <t>SC-1013219-ST-048-EUR-05</t>
        </is>
      </c>
      <c r="C628" t="inlineStr">
        <is>
          <t>1013219 → ST-048-EUR-05</t>
        </is>
      </c>
      <c r="D628" s="19" t="inlineStr">
        <is>
          <t>2</t>
        </is>
      </c>
      <c r="E628" s="19" t="inlineStr">
        <is>
          <t>947</t>
        </is>
      </c>
      <c r="F628" s="19" t="inlineStr">
        <is>
          <t>90</t>
        </is>
      </c>
      <c r="G628" s="19" t="n"/>
      <c r="H628" s="19" t="inlineStr">
        <is>
          <t>2</t>
        </is>
      </c>
      <c r="I628" s="19" t="n"/>
      <c r="J628" s="19" t="n"/>
      <c r="K628" s="19" t="inlineStr">
        <is>
          <t>2</t>
        </is>
      </c>
      <c r="L628" t="inlineStr">
        <is>
          <t>2026-08-08</t>
        </is>
      </c>
      <c r="N628" t="inlineStr">
        <is>
          <t>IN_SCOPE_FINAL; SOURCE_CFG=IA-ST-CFG-0111; MARKET=GY EUR; STATUS=IN OEM / EU PACKAGE</t>
        </is>
      </c>
      <c r="O628" t="inlineStr">
        <is>
          <t>2026-08-10T19:29:54Z</t>
        </is>
      </c>
      <c r="P628" t="inlineStr">
        <is>
          <t>2026-08-10T19:29:54Z</t>
        </is>
      </c>
    </row>
    <row r="629">
      <c r="A629" s="19" t="inlineStr">
        <is>
          <t>628</t>
        </is>
      </c>
      <c r="B629" s="19" t="inlineStr">
        <is>
          <t>SC-1013221-ST-048-EUR-05</t>
        </is>
      </c>
      <c r="C629" t="inlineStr">
        <is>
          <t>1013221 → ST-048-EUR-05</t>
        </is>
      </c>
      <c r="D629" s="19" t="inlineStr">
        <is>
          <t>2</t>
        </is>
      </c>
      <c r="E629" s="19" t="inlineStr">
        <is>
          <t>948</t>
        </is>
      </c>
      <c r="F629" s="19" t="inlineStr">
        <is>
          <t>90</t>
        </is>
      </c>
      <c r="G629" s="19" t="n"/>
      <c r="H629" s="19" t="inlineStr">
        <is>
          <t>2</t>
        </is>
      </c>
      <c r="I629" s="19" t="n"/>
      <c r="J629" s="19" t="n"/>
      <c r="K629" s="19" t="inlineStr">
        <is>
          <t>2</t>
        </is>
      </c>
      <c r="L629" t="inlineStr">
        <is>
          <t>2026-08-08</t>
        </is>
      </c>
      <c r="N629" t="inlineStr">
        <is>
          <t>IN_SCOPE_FINAL; SOURCE_CFG=IA-ST-CFG-0111; MARKET=GY EUR; STATUS=IN OEM / EU PACKAGE</t>
        </is>
      </c>
      <c r="O629" t="inlineStr">
        <is>
          <t>2026-08-10T19:29:54Z</t>
        </is>
      </c>
      <c r="P629" t="inlineStr">
        <is>
          <t>2026-08-10T19:29:54Z</t>
        </is>
      </c>
    </row>
    <row r="630">
      <c r="A630" s="19" t="inlineStr">
        <is>
          <t>629</t>
        </is>
      </c>
      <c r="B630" s="19" t="inlineStr">
        <is>
          <t>SC-1014380-ST-048-EUR-05</t>
        </is>
      </c>
      <c r="C630" t="inlineStr">
        <is>
          <t>1014380 → ST-048-EUR-05</t>
        </is>
      </c>
      <c r="D630" s="19" t="inlineStr">
        <is>
          <t>2</t>
        </is>
      </c>
      <c r="E630" s="19" t="inlineStr">
        <is>
          <t>1335</t>
        </is>
      </c>
      <c r="F630" s="19" t="inlineStr">
        <is>
          <t>90</t>
        </is>
      </c>
      <c r="G630" s="19" t="n"/>
      <c r="H630" s="19" t="inlineStr">
        <is>
          <t>2</t>
        </is>
      </c>
      <c r="I630" s="19" t="n"/>
      <c r="J630" s="19" t="n"/>
      <c r="K630" s="19" t="inlineStr">
        <is>
          <t>2</t>
        </is>
      </c>
      <c r="L630" t="inlineStr">
        <is>
          <t>2026-08-08</t>
        </is>
      </c>
      <c r="N630" t="inlineStr">
        <is>
          <t>IN_SCOPE_FINAL; SOURCE_CFG=IA-ST-CFG-0111; MARKET=GY EUR; STATUS=IN OEM / EU PACKAGE</t>
        </is>
      </c>
      <c r="O630" t="inlineStr">
        <is>
          <t>2026-08-10T19:29:54Z</t>
        </is>
      </c>
      <c r="P630" t="inlineStr">
        <is>
          <t>2026-08-10T19:29:54Z</t>
        </is>
      </c>
    </row>
    <row r="631">
      <c r="A631" s="19" t="inlineStr">
        <is>
          <t>630</t>
        </is>
      </c>
      <c r="B631" s="19" t="inlineStr">
        <is>
          <t>SC-1012974-ST-048-EUR-05</t>
        </is>
      </c>
      <c r="C631" t="inlineStr">
        <is>
          <t>1012974 → ST-048-EUR-05</t>
        </is>
      </c>
      <c r="D631" s="19" t="inlineStr">
        <is>
          <t>2</t>
        </is>
      </c>
      <c r="E631" s="19" t="inlineStr">
        <is>
          <t>891</t>
        </is>
      </c>
      <c r="F631" s="19" t="inlineStr">
        <is>
          <t>90</t>
        </is>
      </c>
      <c r="G631" s="19" t="n"/>
      <c r="H631" s="19" t="inlineStr">
        <is>
          <t>2</t>
        </is>
      </c>
      <c r="I631" s="19" t="n"/>
      <c r="J631" s="19" t="n"/>
      <c r="K631" s="19" t="inlineStr">
        <is>
          <t>2</t>
        </is>
      </c>
      <c r="L631" t="inlineStr">
        <is>
          <t>2026-08-08</t>
        </is>
      </c>
      <c r="N631" t="inlineStr">
        <is>
          <t>IN_SCOPE_FINAL; SOURCE_CFG=IA-ST-CFG-0111; MARKET=GS; STATUS=IN OEM / EU PACKAGE</t>
        </is>
      </c>
      <c r="O631" t="inlineStr">
        <is>
          <t>2026-08-10T19:29:54Z</t>
        </is>
      </c>
      <c r="P631" t="inlineStr">
        <is>
          <t>2026-08-10T19:29:54Z</t>
        </is>
      </c>
    </row>
    <row r="632">
      <c r="A632" s="19" t="inlineStr">
        <is>
          <t>631</t>
        </is>
      </c>
      <c r="B632" s="19" t="inlineStr">
        <is>
          <t>SC-1012975-ST-048-EUR-05</t>
        </is>
      </c>
      <c r="C632" t="inlineStr">
        <is>
          <t>1012975 → ST-048-EUR-05</t>
        </is>
      </c>
      <c r="D632" s="19" t="inlineStr">
        <is>
          <t>2</t>
        </is>
      </c>
      <c r="E632" s="19" t="inlineStr">
        <is>
          <t>892</t>
        </is>
      </c>
      <c r="F632" s="19" t="inlineStr">
        <is>
          <t>90</t>
        </is>
      </c>
      <c r="G632" s="19" t="n"/>
      <c r="H632" s="19" t="inlineStr">
        <is>
          <t>2</t>
        </is>
      </c>
      <c r="I632" s="19" t="n"/>
      <c r="J632" s="19" t="n"/>
      <c r="K632" s="19" t="inlineStr">
        <is>
          <t>2</t>
        </is>
      </c>
      <c r="L632" t="inlineStr">
        <is>
          <t>2026-08-08</t>
        </is>
      </c>
      <c r="N632" t="inlineStr">
        <is>
          <t>IN_SCOPE_FINAL; SOURCE_CFG=IA-ST-CFG-0111; MARKET=GS; STATUS=IN OEM / EU PACKAGE</t>
        </is>
      </c>
      <c r="O632" t="inlineStr">
        <is>
          <t>2026-08-10T19:29:54Z</t>
        </is>
      </c>
      <c r="P632" t="inlineStr">
        <is>
          <t>2026-08-10T19:29:54Z</t>
        </is>
      </c>
    </row>
    <row r="633">
      <c r="A633" s="19" t="inlineStr">
        <is>
          <t>632</t>
        </is>
      </c>
      <c r="B633" s="19" t="inlineStr">
        <is>
          <t>SC-1015006-ST-048-EUR-05</t>
        </is>
      </c>
      <c r="C633" t="inlineStr">
        <is>
          <t>1015006 → ST-048-EUR-05</t>
        </is>
      </c>
      <c r="D633" s="19" t="inlineStr">
        <is>
          <t>2</t>
        </is>
      </c>
      <c r="E633" s="19" t="inlineStr">
        <is>
          <t>1767</t>
        </is>
      </c>
      <c r="F633" s="19" t="inlineStr">
        <is>
          <t>90</t>
        </is>
      </c>
      <c r="G633" s="19" t="n"/>
      <c r="H633" s="19" t="inlineStr">
        <is>
          <t>2</t>
        </is>
      </c>
      <c r="I633" s="19" t="n"/>
      <c r="J633" s="19" t="n"/>
      <c r="K633" s="19" t="inlineStr">
        <is>
          <t>2</t>
        </is>
      </c>
      <c r="L633" t="inlineStr">
        <is>
          <t>2026-08-08</t>
        </is>
      </c>
      <c r="N633" t="inlineStr">
        <is>
          <t>IN_SCOPE_FINAL; SOURCE_CFG=IA-ST-CFG-0111; MARKET=GS; STATUS=IN OEM / EU PACKAGE</t>
        </is>
      </c>
      <c r="O633" t="inlineStr">
        <is>
          <t>2026-08-10T19:29:54Z</t>
        </is>
      </c>
      <c r="P633" t="inlineStr">
        <is>
          <t>2026-08-10T19:29:54Z</t>
        </is>
      </c>
    </row>
    <row r="634">
      <c r="A634" s="19" t="inlineStr">
        <is>
          <t>633</t>
        </is>
      </c>
      <c r="B634" s="19" t="inlineStr">
        <is>
          <t>SC-1015007-ST-048-EUR-05</t>
        </is>
      </c>
      <c r="C634" t="inlineStr">
        <is>
          <t>1015007 → ST-048-EUR-05</t>
        </is>
      </c>
      <c r="D634" s="19" t="inlineStr">
        <is>
          <t>2</t>
        </is>
      </c>
      <c r="E634" s="19" t="inlineStr">
        <is>
          <t>1768</t>
        </is>
      </c>
      <c r="F634" s="19" t="inlineStr">
        <is>
          <t>90</t>
        </is>
      </c>
      <c r="G634" s="19" t="n"/>
      <c r="H634" s="19" t="inlineStr">
        <is>
          <t>2</t>
        </is>
      </c>
      <c r="I634" s="19" t="n"/>
      <c r="J634" s="19" t="n"/>
      <c r="K634" s="19" t="inlineStr">
        <is>
          <t>2</t>
        </is>
      </c>
      <c r="L634" t="inlineStr">
        <is>
          <t>2026-08-08</t>
        </is>
      </c>
      <c r="N634" t="inlineStr">
        <is>
          <t>IN_SCOPE_FINAL; SOURCE_CFG=IA-ST-CFG-0111; MARKET=GS; STATUS=IN OEM / EU PACKAGE</t>
        </is>
      </c>
      <c r="O634" t="inlineStr">
        <is>
          <t>2026-08-10T19:29:54Z</t>
        </is>
      </c>
      <c r="P634" t="inlineStr">
        <is>
          <t>2026-08-10T19:29:54Z</t>
        </is>
      </c>
    </row>
    <row r="635">
      <c r="A635" s="19" t="inlineStr">
        <is>
          <t>634</t>
        </is>
      </c>
      <c r="B635" s="19" t="inlineStr">
        <is>
          <t>SC-1015184-ST-048-EUR-05</t>
        </is>
      </c>
      <c r="C635" t="inlineStr">
        <is>
          <t>1015184 → ST-048-EUR-05</t>
        </is>
      </c>
      <c r="D635" s="19" t="inlineStr">
        <is>
          <t>2</t>
        </is>
      </c>
      <c r="E635" s="19" t="inlineStr">
        <is>
          <t>1929</t>
        </is>
      </c>
      <c r="F635" s="19" t="inlineStr">
        <is>
          <t>90</t>
        </is>
      </c>
      <c r="G635" s="19" t="n"/>
      <c r="H635" s="19" t="inlineStr">
        <is>
          <t>2</t>
        </is>
      </c>
      <c r="I635" s="19" t="n"/>
      <c r="J635" s="19" t="n"/>
      <c r="K635" s="19" t="inlineStr">
        <is>
          <t>2</t>
        </is>
      </c>
      <c r="L635" t="inlineStr">
        <is>
          <t>2026-08-08</t>
        </is>
      </c>
      <c r="N635" t="inlineStr">
        <is>
          <t>IN_SCOPE_FINAL; SOURCE_CFG=IA-ST-CFG-0111; MARKET=GY NRD (ADN BALTIC NORDIC); STATUS=IN OEM / EU PACKAGE</t>
        </is>
      </c>
      <c r="O635" t="inlineStr">
        <is>
          <t>2026-08-10T19:29:54Z</t>
        </is>
      </c>
      <c r="P635" t="inlineStr">
        <is>
          <t>2026-08-10T19:29:54Z</t>
        </is>
      </c>
    </row>
    <row r="636">
      <c r="A636" s="19" t="inlineStr">
        <is>
          <t>635</t>
        </is>
      </c>
      <c r="B636" s="19" t="inlineStr">
        <is>
          <t>SC-1015185-ST-048-EUR-05</t>
        </is>
      </c>
      <c r="C636" t="inlineStr">
        <is>
          <t>1015185 → ST-048-EUR-05</t>
        </is>
      </c>
      <c r="D636" s="19" t="inlineStr">
        <is>
          <t>2</t>
        </is>
      </c>
      <c r="E636" s="19" t="inlineStr">
        <is>
          <t>1930</t>
        </is>
      </c>
      <c r="F636" s="19" t="inlineStr">
        <is>
          <t>90</t>
        </is>
      </c>
      <c r="G636" s="19" t="n"/>
      <c r="H636" s="19" t="inlineStr">
        <is>
          <t>2</t>
        </is>
      </c>
      <c r="I636" s="19" t="n"/>
      <c r="J636" s="19" t="n"/>
      <c r="K636" s="19" t="inlineStr">
        <is>
          <t>2</t>
        </is>
      </c>
      <c r="L636" t="inlineStr">
        <is>
          <t>2026-08-08</t>
        </is>
      </c>
      <c r="N636" t="inlineStr">
        <is>
          <t>IN_SCOPE_FINAL; SOURCE_CFG=IA-ST-CFG-0111; MARKET=GY NRD (ADN BALTIC NORDIC); STATUS=IN OEM / EU PACKAGE</t>
        </is>
      </c>
      <c r="O636" t="inlineStr">
        <is>
          <t>2026-08-10T19:29:54Z</t>
        </is>
      </c>
      <c r="P636" t="inlineStr">
        <is>
          <t>2026-08-10T19:29:54Z</t>
        </is>
      </c>
    </row>
    <row r="637">
      <c r="A637" s="19" t="inlineStr">
        <is>
          <t>636</t>
        </is>
      </c>
      <c r="B637" s="19" t="inlineStr">
        <is>
          <t>SC-1014712-ST-048-EUR-06</t>
        </is>
      </c>
      <c r="C637" t="inlineStr">
        <is>
          <t>1014712 → ST-048-EUR-06</t>
        </is>
      </c>
      <c r="D637" s="19" t="inlineStr">
        <is>
          <t>2</t>
        </is>
      </c>
      <c r="E637" s="19" t="inlineStr">
        <is>
          <t>1558</t>
        </is>
      </c>
      <c r="F637" s="19" t="inlineStr">
        <is>
          <t>91</t>
        </is>
      </c>
      <c r="G637" s="19" t="n"/>
      <c r="H637" s="19" t="inlineStr">
        <is>
          <t>2</t>
        </is>
      </c>
      <c r="I637" s="19" t="n"/>
      <c r="J637" s="19" t="n"/>
      <c r="K637" s="19" t="inlineStr">
        <is>
          <t>2</t>
        </is>
      </c>
      <c r="L637" t="inlineStr">
        <is>
          <t>2026-08-08</t>
        </is>
      </c>
      <c r="N637" t="inlineStr">
        <is>
          <t>IN_SCOPE_FINAL; SOURCE_CFG=IA-ST-CFG-0112; MARKET=BATERIE PRZEMYSLOWE POLONYA; STATUS=IN OEM / EU PACKAGE</t>
        </is>
      </c>
      <c r="O637" t="inlineStr">
        <is>
          <t>2026-08-10T19:29:54Z</t>
        </is>
      </c>
      <c r="P637" t="inlineStr">
        <is>
          <t>2026-08-10T19:29:54Z</t>
        </is>
      </c>
    </row>
    <row r="638">
      <c r="A638" s="19" t="inlineStr">
        <is>
          <t>637</t>
        </is>
      </c>
      <c r="B638" s="19" t="inlineStr">
        <is>
          <t>SC-1014713-ST-048-EUR-06</t>
        </is>
      </c>
      <c r="C638" t="inlineStr">
        <is>
          <t>1014713 → ST-048-EUR-06</t>
        </is>
      </c>
      <c r="D638" s="19" t="inlineStr">
        <is>
          <t>2</t>
        </is>
      </c>
      <c r="E638" s="19" t="inlineStr">
        <is>
          <t>1559</t>
        </is>
      </c>
      <c r="F638" s="19" t="inlineStr">
        <is>
          <t>91</t>
        </is>
      </c>
      <c r="G638" s="19" t="n"/>
      <c r="H638" s="19" t="inlineStr">
        <is>
          <t>2</t>
        </is>
      </c>
      <c r="I638" s="19" t="n"/>
      <c r="J638" s="19" t="n"/>
      <c r="K638" s="19" t="inlineStr">
        <is>
          <t>2</t>
        </is>
      </c>
      <c r="L638" t="inlineStr">
        <is>
          <t>2026-08-08</t>
        </is>
      </c>
      <c r="N638" t="inlineStr">
        <is>
          <t>IN_SCOPE_FINAL; SOURCE_CFG=IA-ST-CFG-0112; MARKET=BATERIE PRZEMYSLOWE POLONYA; STATUS=IN OEM / EU PACKAGE</t>
        </is>
      </c>
      <c r="O638" t="inlineStr">
        <is>
          <t>2026-08-10T19:29:54Z</t>
        </is>
      </c>
      <c r="P638" t="inlineStr">
        <is>
          <t>2026-08-10T19:29:54Z</t>
        </is>
      </c>
    </row>
    <row r="639">
      <c r="A639" s="19" t="inlineStr">
        <is>
          <t>638</t>
        </is>
      </c>
      <c r="B639" s="19" t="inlineStr">
        <is>
          <t>SC-1013641-ST-048-EUR-06</t>
        </is>
      </c>
      <c r="C639" t="inlineStr">
        <is>
          <t>1013641 → ST-048-EUR-06</t>
        </is>
      </c>
      <c r="D639" s="19" t="inlineStr">
        <is>
          <t>2</t>
        </is>
      </c>
      <c r="E639" s="19" t="inlineStr">
        <is>
          <t>1056</t>
        </is>
      </c>
      <c r="F639" s="19" t="inlineStr">
        <is>
          <t>91</t>
        </is>
      </c>
      <c r="G639" s="19" t="n"/>
      <c r="H639" s="19" t="inlineStr">
        <is>
          <t>2</t>
        </is>
      </c>
      <c r="I639" s="19" t="n"/>
      <c r="J639" s="19" t="n"/>
      <c r="K639" s="19" t="inlineStr">
        <is>
          <t>2</t>
        </is>
      </c>
      <c r="L639" t="inlineStr">
        <is>
          <t>2026-08-08</t>
        </is>
      </c>
      <c r="N639" t="inlineStr">
        <is>
          <t>IN_SCOPE_FINAL; SOURCE_CFG=IA-ST-CFG-0112; MARKET=CAR PARTS DISTRIBUZIONE İTALYA; STATUS=IN OEM / EU PACKAGE</t>
        </is>
      </c>
      <c r="O639" t="inlineStr">
        <is>
          <t>2026-08-10T19:29:54Z</t>
        </is>
      </c>
      <c r="P639" t="inlineStr">
        <is>
          <t>2026-08-10T19:29:54Z</t>
        </is>
      </c>
    </row>
    <row r="640">
      <c r="A640" s="19" t="inlineStr">
        <is>
          <t>639</t>
        </is>
      </c>
      <c r="B640" s="19" t="inlineStr">
        <is>
          <t>SC-1013642-ST-048-EUR-06</t>
        </is>
      </c>
      <c r="C640" t="inlineStr">
        <is>
          <t>1013642 → ST-048-EUR-06</t>
        </is>
      </c>
      <c r="D640" s="19" t="inlineStr">
        <is>
          <t>2</t>
        </is>
      </c>
      <c r="E640" s="19" t="inlineStr">
        <is>
          <t>1057</t>
        </is>
      </c>
      <c r="F640" s="19" t="inlineStr">
        <is>
          <t>91</t>
        </is>
      </c>
      <c r="G640" s="19" t="n"/>
      <c r="H640" s="19" t="inlineStr">
        <is>
          <t>2</t>
        </is>
      </c>
      <c r="I640" s="19" t="n"/>
      <c r="J640" s="19" t="n"/>
      <c r="K640" s="19" t="inlineStr">
        <is>
          <t>2</t>
        </is>
      </c>
      <c r="L640" t="inlineStr">
        <is>
          <t>2026-08-08</t>
        </is>
      </c>
      <c r="N640" t="inlineStr">
        <is>
          <t>IN_SCOPE_FINAL; SOURCE_CFG=IA-ST-CFG-0112; MARKET=CAR PARTS DISTRIBUZIONE İTALYA; STATUS=IN OEM / EU PACKAGE</t>
        </is>
      </c>
      <c r="O640" t="inlineStr">
        <is>
          <t>2026-08-10T19:29:54Z</t>
        </is>
      </c>
      <c r="P640" t="inlineStr">
        <is>
          <t>2026-08-10T19:29:54Z</t>
        </is>
      </c>
    </row>
    <row r="641">
      <c r="A641" s="19" t="inlineStr">
        <is>
          <t>640</t>
        </is>
      </c>
      <c r="B641" s="19" t="inlineStr">
        <is>
          <t>SC-1013735-ST-048-EUR-07</t>
        </is>
      </c>
      <c r="C641" t="inlineStr">
        <is>
          <t>1013735 → ST-048-EUR-07</t>
        </is>
      </c>
      <c r="D641" s="19" t="inlineStr">
        <is>
          <t>2</t>
        </is>
      </c>
      <c r="E641" s="19" t="inlineStr">
        <is>
          <t>1076</t>
        </is>
      </c>
      <c r="F641" s="19" t="inlineStr">
        <is>
          <t>92</t>
        </is>
      </c>
      <c r="G641" s="19" t="n"/>
      <c r="H641" s="19" t="inlineStr">
        <is>
          <t>2</t>
        </is>
      </c>
      <c r="I641" s="19" t="n"/>
      <c r="J641" s="19" t="n"/>
      <c r="K641" s="19" t="inlineStr">
        <is>
          <t>2</t>
        </is>
      </c>
      <c r="L641" t="inlineStr">
        <is>
          <t>2026-08-08</t>
        </is>
      </c>
      <c r="N641" t="inlineStr">
        <is>
          <t>IN_SCOPE_FINAL; SOURCE_CFG=IA-ST-CFG-0113; MARKET=GY EUR; STATUS=IN OEM / EU PACKAGE</t>
        </is>
      </c>
      <c r="O641" t="inlineStr">
        <is>
          <t>2026-08-10T19:29:54Z</t>
        </is>
      </c>
      <c r="P641" t="inlineStr">
        <is>
          <t>2026-08-10T19:29:54Z</t>
        </is>
      </c>
    </row>
    <row r="642">
      <c r="A642" s="19" t="inlineStr">
        <is>
          <t>641</t>
        </is>
      </c>
      <c r="B642" s="19" t="inlineStr">
        <is>
          <t>SC-1014543-ST-048-EUR-07</t>
        </is>
      </c>
      <c r="C642" t="inlineStr">
        <is>
          <t>1014543 → ST-048-EUR-07</t>
        </is>
      </c>
      <c r="D642" s="19" t="inlineStr">
        <is>
          <t>2</t>
        </is>
      </c>
      <c r="E642" s="19" t="inlineStr">
        <is>
          <t>1433</t>
        </is>
      </c>
      <c r="F642" s="19" t="inlineStr">
        <is>
          <t>92</t>
        </is>
      </c>
      <c r="G642" s="19" t="n"/>
      <c r="H642" s="19" t="inlineStr">
        <is>
          <t>2</t>
        </is>
      </c>
      <c r="I642" s="19" t="n"/>
      <c r="J642" s="19" t="n"/>
      <c r="K642" s="19" t="inlineStr">
        <is>
          <t>2</t>
        </is>
      </c>
      <c r="L642" t="inlineStr">
        <is>
          <t>2026-08-08</t>
        </is>
      </c>
      <c r="N642" t="inlineStr">
        <is>
          <t>IN_SCOPE_FINAL; SOURCE_CFG=IA-ST-CFG-0113; MARKET=GY EUR; STATUS=IN OEM / EU PACKAGE</t>
        </is>
      </c>
      <c r="O642" t="inlineStr">
        <is>
          <t>2026-08-10T19:29:54Z</t>
        </is>
      </c>
      <c r="P642" t="inlineStr">
        <is>
          <t>2026-08-10T19:29:54Z</t>
        </is>
      </c>
    </row>
    <row r="643">
      <c r="A643" s="19" t="inlineStr">
        <is>
          <t>642</t>
        </is>
      </c>
      <c r="B643" s="19" t="inlineStr">
        <is>
          <t>SC-1014404-ST-048-EUR-07</t>
        </is>
      </c>
      <c r="C643" t="inlineStr">
        <is>
          <t>1014404 → ST-048-EUR-07</t>
        </is>
      </c>
      <c r="D643" s="19" t="inlineStr">
        <is>
          <t>2</t>
        </is>
      </c>
      <c r="E643" s="19" t="inlineStr">
        <is>
          <t>1352</t>
        </is>
      </c>
      <c r="F643" s="19" t="inlineStr">
        <is>
          <t>92</t>
        </is>
      </c>
      <c r="G643" s="19" t="n"/>
      <c r="H643" s="19" t="inlineStr">
        <is>
          <t>2</t>
        </is>
      </c>
      <c r="I643" s="19" t="n"/>
      <c r="J643" s="19" t="n"/>
      <c r="K643" s="19" t="inlineStr">
        <is>
          <t>2</t>
        </is>
      </c>
      <c r="L643" t="inlineStr">
        <is>
          <t>2026-08-08</t>
        </is>
      </c>
      <c r="N643" t="inlineStr">
        <is>
          <t>IN_SCOPE_FINAL; SOURCE_CFG=IA-ST-CFG-0113; MARKET=GY EUR; STATUS=IN OEM / EU PACKAGE</t>
        </is>
      </c>
      <c r="O643" t="inlineStr">
        <is>
          <t>2026-08-10T19:29:54Z</t>
        </is>
      </c>
      <c r="P643" t="inlineStr">
        <is>
          <t>2026-08-10T19:29:54Z</t>
        </is>
      </c>
    </row>
    <row r="644">
      <c r="A644" s="19" t="inlineStr">
        <is>
          <t>643</t>
        </is>
      </c>
      <c r="B644" s="19" t="inlineStr">
        <is>
          <t>SC-1014412-ST-048-EUR-07</t>
        </is>
      </c>
      <c r="C644" t="inlineStr">
        <is>
          <t>1014412 → ST-048-EUR-07</t>
        </is>
      </c>
      <c r="D644" s="19" t="inlineStr">
        <is>
          <t>2</t>
        </is>
      </c>
      <c r="E644" s="19" t="inlineStr">
        <is>
          <t>1359</t>
        </is>
      </c>
      <c r="F644" s="19" t="inlineStr">
        <is>
          <t>92</t>
        </is>
      </c>
      <c r="G644" s="19" t="n"/>
      <c r="H644" s="19" t="inlineStr">
        <is>
          <t>2</t>
        </is>
      </c>
      <c r="I644" s="19" t="n"/>
      <c r="J644" s="19" t="n"/>
      <c r="K644" s="19" t="inlineStr">
        <is>
          <t>2</t>
        </is>
      </c>
      <c r="L644" t="inlineStr">
        <is>
          <t>2026-08-08</t>
        </is>
      </c>
      <c r="N644" t="inlineStr">
        <is>
          <t>IN_SCOPE_FINAL; SOURCE_CFG=IA-ST-CFG-0113; MARKET=GY EUR; STATUS=IN OEM / EU PACKAGE</t>
        </is>
      </c>
      <c r="O644" t="inlineStr">
        <is>
          <t>2026-08-10T19:29:54Z</t>
        </is>
      </c>
      <c r="P644" t="inlineStr">
        <is>
          <t>2026-08-10T19:29:54Z</t>
        </is>
      </c>
    </row>
    <row r="645">
      <c r="A645" s="19" t="inlineStr">
        <is>
          <t>644</t>
        </is>
      </c>
      <c r="B645" s="19" t="inlineStr">
        <is>
          <t>SC-1014414-ST-048-EUR-07</t>
        </is>
      </c>
      <c r="C645" t="inlineStr">
        <is>
          <t>1014414 → ST-048-EUR-07</t>
        </is>
      </c>
      <c r="D645" s="19" t="inlineStr">
        <is>
          <t>2</t>
        </is>
      </c>
      <c r="E645" s="19" t="inlineStr">
        <is>
          <t>1360</t>
        </is>
      </c>
      <c r="F645" s="19" t="inlineStr">
        <is>
          <t>92</t>
        </is>
      </c>
      <c r="G645" s="19" t="n"/>
      <c r="H645" s="19" t="inlineStr">
        <is>
          <t>2</t>
        </is>
      </c>
      <c r="I645" s="19" t="n"/>
      <c r="J645" s="19" t="n"/>
      <c r="K645" s="19" t="inlineStr">
        <is>
          <t>2</t>
        </is>
      </c>
      <c r="L645" t="inlineStr">
        <is>
          <t>2026-08-08</t>
        </is>
      </c>
      <c r="N645" t="inlineStr">
        <is>
          <t>IN_SCOPE_FINAL; SOURCE_CFG=IA-ST-CFG-0113; MARKET=GY EUR; STATUS=IN OEM / EU PACKAGE</t>
        </is>
      </c>
      <c r="O645" t="inlineStr">
        <is>
          <t>2026-08-10T19:29:54Z</t>
        </is>
      </c>
      <c r="P645" t="inlineStr">
        <is>
          <t>2026-08-10T19:29:54Z</t>
        </is>
      </c>
    </row>
    <row r="646">
      <c r="A646" s="19" t="inlineStr">
        <is>
          <t>645</t>
        </is>
      </c>
      <c r="B646" s="19" t="inlineStr">
        <is>
          <t>SC-1015092-ST-048-EUR-07</t>
        </is>
      </c>
      <c r="C646" t="inlineStr">
        <is>
          <t>1015092 → ST-048-EUR-07</t>
        </is>
      </c>
      <c r="D646" s="19" t="inlineStr">
        <is>
          <t>2</t>
        </is>
      </c>
      <c r="E646" s="19" t="inlineStr">
        <is>
          <t>1846</t>
        </is>
      </c>
      <c r="F646" s="19" t="inlineStr">
        <is>
          <t>92</t>
        </is>
      </c>
      <c r="G646" s="19" t="n"/>
      <c r="H646" s="19" t="inlineStr">
        <is>
          <t>2</t>
        </is>
      </c>
      <c r="I646" s="19" t="n"/>
      <c r="J646" s="19" t="n"/>
      <c r="K646" s="19" t="inlineStr">
        <is>
          <t>2</t>
        </is>
      </c>
      <c r="L646" t="inlineStr">
        <is>
          <t>2026-08-08</t>
        </is>
      </c>
      <c r="N646" t="inlineStr">
        <is>
          <t>IN_SCOPE_FINAL; SOURCE_CFG=IA-ST-CFG-0113; MARKET=GY NRD (ADN BALTIC NORDIC); STATUS=IN OEM / EU PACKAGE</t>
        </is>
      </c>
      <c r="O646" t="inlineStr">
        <is>
          <t>2026-08-10T19:29:54Z</t>
        </is>
      </c>
      <c r="P646" t="inlineStr">
        <is>
          <t>2026-08-10T19:29:54Z</t>
        </is>
      </c>
    </row>
    <row r="647">
      <c r="A647" s="19" t="inlineStr">
        <is>
          <t>646</t>
        </is>
      </c>
      <c r="B647" s="19" t="inlineStr">
        <is>
          <t>SC-1015216-ST-048-EUR-07</t>
        </is>
      </c>
      <c r="C647" t="inlineStr">
        <is>
          <t>1015216 → ST-048-EUR-07</t>
        </is>
      </c>
      <c r="D647" s="19" t="inlineStr">
        <is>
          <t>2</t>
        </is>
      </c>
      <c r="E647" s="19" t="inlineStr">
        <is>
          <t>1954</t>
        </is>
      </c>
      <c r="F647" s="19" t="inlineStr">
        <is>
          <t>92</t>
        </is>
      </c>
      <c r="G647" s="19" t="n"/>
      <c r="H647" s="19" t="inlineStr">
        <is>
          <t>2</t>
        </is>
      </c>
      <c r="I647" s="19" t="n"/>
      <c r="J647" s="19" t="n"/>
      <c r="K647" s="19" t="inlineStr">
        <is>
          <t>2</t>
        </is>
      </c>
      <c r="L647" t="inlineStr">
        <is>
          <t>2026-08-08</t>
        </is>
      </c>
      <c r="N647" t="inlineStr">
        <is>
          <t>IN_SCOPE_FINAL; SOURCE_CFG=IA-ST-CFG-0113; MARKET=GY EUR; STATUS=IN OEM / EU PACKAGE</t>
        </is>
      </c>
      <c r="O647" t="inlineStr">
        <is>
          <t>2026-08-10T19:29:54Z</t>
        </is>
      </c>
      <c r="P647" t="inlineStr">
        <is>
          <t>2026-08-10T19:29:54Z</t>
        </is>
      </c>
    </row>
    <row r="648">
      <c r="A648" s="19" t="inlineStr">
        <is>
          <t>647</t>
        </is>
      </c>
      <c r="B648" s="19" t="inlineStr">
        <is>
          <t>SC-1015217-ST-048-EUR-07</t>
        </is>
      </c>
      <c r="C648" t="inlineStr">
        <is>
          <t>1015217 → ST-048-EUR-07</t>
        </is>
      </c>
      <c r="D648" s="19" t="inlineStr">
        <is>
          <t>2</t>
        </is>
      </c>
      <c r="E648" s="19" t="inlineStr">
        <is>
          <t>1955</t>
        </is>
      </c>
      <c r="F648" s="19" t="inlineStr">
        <is>
          <t>92</t>
        </is>
      </c>
      <c r="G648" s="19" t="n"/>
      <c r="H648" s="19" t="inlineStr">
        <is>
          <t>2</t>
        </is>
      </c>
      <c r="I648" s="19" t="n"/>
      <c r="J648" s="19" t="n"/>
      <c r="K648" s="19" t="inlineStr">
        <is>
          <t>2</t>
        </is>
      </c>
      <c r="L648" t="inlineStr">
        <is>
          <t>2026-08-08</t>
        </is>
      </c>
      <c r="N648" t="inlineStr">
        <is>
          <t>IN_SCOPE_FINAL; SOURCE_CFG=IA-ST-CFG-0113; MARKET=GY EUR; STATUS=IN OEM / EU PACKAGE</t>
        </is>
      </c>
      <c r="O648" t="inlineStr">
        <is>
          <t>2026-08-10T19:29:54Z</t>
        </is>
      </c>
      <c r="P648" t="inlineStr">
        <is>
          <t>2026-08-10T19:29:54Z</t>
        </is>
      </c>
    </row>
    <row r="649">
      <c r="A649" s="19" t="inlineStr">
        <is>
          <t>648</t>
        </is>
      </c>
      <c r="B649" s="19" t="inlineStr">
        <is>
          <t>SC-1015218-ST-048-EUR-07</t>
        </is>
      </c>
      <c r="C649" t="inlineStr">
        <is>
          <t>1015218 → ST-048-EUR-07</t>
        </is>
      </c>
      <c r="D649" s="19" t="inlineStr">
        <is>
          <t>2</t>
        </is>
      </c>
      <c r="E649" s="19" t="inlineStr">
        <is>
          <t>1956</t>
        </is>
      </c>
      <c r="F649" s="19" t="inlineStr">
        <is>
          <t>92</t>
        </is>
      </c>
      <c r="G649" s="19" t="n"/>
      <c r="H649" s="19" t="inlineStr">
        <is>
          <t>2</t>
        </is>
      </c>
      <c r="I649" s="19" t="n"/>
      <c r="J649" s="19" t="n"/>
      <c r="K649" s="19" t="inlineStr">
        <is>
          <t>2</t>
        </is>
      </c>
      <c r="L649" t="inlineStr">
        <is>
          <t>2026-08-08</t>
        </is>
      </c>
      <c r="N649" t="inlineStr">
        <is>
          <t>IN_SCOPE_FINAL; SOURCE_CFG=IA-ST-CFG-0113; MARKET=GY EUR; STATUS=IN OEM / EU PACKAGE</t>
        </is>
      </c>
      <c r="O649" t="inlineStr">
        <is>
          <t>2026-08-10T19:29:54Z</t>
        </is>
      </c>
      <c r="P649" t="inlineStr">
        <is>
          <t>2026-08-10T19:29:54Z</t>
        </is>
      </c>
    </row>
    <row r="650">
      <c r="A650" s="19" t="inlineStr">
        <is>
          <t>649</t>
        </is>
      </c>
      <c r="B650" s="19" t="inlineStr">
        <is>
          <t>SC-1015219-ST-048-EUR-07</t>
        </is>
      </c>
      <c r="C650" t="inlineStr">
        <is>
          <t>1015219 → ST-048-EUR-07</t>
        </is>
      </c>
      <c r="D650" s="19" t="inlineStr">
        <is>
          <t>2</t>
        </is>
      </c>
      <c r="E650" s="19" t="inlineStr">
        <is>
          <t>1957</t>
        </is>
      </c>
      <c r="F650" s="19" t="inlineStr">
        <is>
          <t>92</t>
        </is>
      </c>
      <c r="G650" s="19" t="n"/>
      <c r="H650" s="19" t="inlineStr">
        <is>
          <t>2</t>
        </is>
      </c>
      <c r="I650" s="19" t="n"/>
      <c r="J650" s="19" t="n"/>
      <c r="K650" s="19" t="inlineStr">
        <is>
          <t>2</t>
        </is>
      </c>
      <c r="L650" t="inlineStr">
        <is>
          <t>2026-08-08</t>
        </is>
      </c>
      <c r="N650" t="inlineStr">
        <is>
          <t>IN_SCOPE_FINAL; SOURCE_CFG=IA-ST-CFG-0113; MARKET=GY NRD (ADN BALTIC NORDIC); STATUS=IN OEM / EU PACKAGE</t>
        </is>
      </c>
      <c r="O650" t="inlineStr">
        <is>
          <t>2026-08-10T19:29:54Z</t>
        </is>
      </c>
      <c r="P650" t="inlineStr">
        <is>
          <t>2026-08-10T19:29:54Z</t>
        </is>
      </c>
    </row>
    <row r="651">
      <c r="A651" s="19" t="inlineStr">
        <is>
          <t>650</t>
        </is>
      </c>
      <c r="B651" s="19" t="inlineStr">
        <is>
          <t>SC-1015277-ST-048-EUR-07</t>
        </is>
      </c>
      <c r="C651" t="inlineStr">
        <is>
          <t>1015277 → ST-048-EUR-07</t>
        </is>
      </c>
      <c r="D651" s="19" t="inlineStr">
        <is>
          <t>2</t>
        </is>
      </c>
      <c r="E651" s="19" t="inlineStr">
        <is>
          <t>2010</t>
        </is>
      </c>
      <c r="F651" s="19" t="inlineStr">
        <is>
          <t>92</t>
        </is>
      </c>
      <c r="G651" s="19" t="n"/>
      <c r="H651" s="19" t="inlineStr">
        <is>
          <t>2</t>
        </is>
      </c>
      <c r="I651" s="19" t="n"/>
      <c r="J651" s="19" t="n"/>
      <c r="K651" s="19" t="inlineStr">
        <is>
          <t>2</t>
        </is>
      </c>
      <c r="L651" t="inlineStr">
        <is>
          <t>2026-08-08</t>
        </is>
      </c>
      <c r="N651" t="inlineStr">
        <is>
          <t>IN_SCOPE_FINAL; SOURCE_CFG=IA-ST-CFG-0113; MARKET=GY NRD (ADN BALTIC NORDIC); STATUS=IN OEM / EU PACKAGE</t>
        </is>
      </c>
      <c r="O651" t="inlineStr">
        <is>
          <t>2026-08-10T19:29:54Z</t>
        </is>
      </c>
      <c r="P651" t="inlineStr">
        <is>
          <t>2026-08-10T19:29:54Z</t>
        </is>
      </c>
    </row>
    <row r="652">
      <c r="A652" s="19" t="inlineStr">
        <is>
          <t>651</t>
        </is>
      </c>
      <c r="B652" s="19" t="inlineStr">
        <is>
          <t>SC-1015279-ST-048-EUR-07</t>
        </is>
      </c>
      <c r="C652" t="inlineStr">
        <is>
          <t>1015279 → ST-048-EUR-07</t>
        </is>
      </c>
      <c r="D652" s="19" t="inlineStr">
        <is>
          <t>2</t>
        </is>
      </c>
      <c r="E652" s="19" t="inlineStr">
        <is>
          <t>2012</t>
        </is>
      </c>
      <c r="F652" s="19" t="inlineStr">
        <is>
          <t>92</t>
        </is>
      </c>
      <c r="G652" s="19" t="n"/>
      <c r="H652" s="19" t="inlineStr">
        <is>
          <t>2</t>
        </is>
      </c>
      <c r="I652" s="19" t="n"/>
      <c r="J652" s="19" t="n"/>
      <c r="K652" s="19" t="inlineStr">
        <is>
          <t>2</t>
        </is>
      </c>
      <c r="L652" t="inlineStr">
        <is>
          <t>2026-08-08</t>
        </is>
      </c>
      <c r="N652" t="inlineStr">
        <is>
          <t>IN_SCOPE_FINAL; SOURCE_CFG=IA-ST-CFG-0113; MARKET=GS; STATUS=IN OEM / EU PACKAGE</t>
        </is>
      </c>
      <c r="O652" t="inlineStr">
        <is>
          <t>2026-08-10T19:29:54Z</t>
        </is>
      </c>
      <c r="P652" t="inlineStr">
        <is>
          <t>2026-08-10T19:29:54Z</t>
        </is>
      </c>
    </row>
    <row r="653">
      <c r="A653" s="19" t="inlineStr">
        <is>
          <t>652</t>
        </is>
      </c>
      <c r="B653" s="19" t="inlineStr">
        <is>
          <t>SC-1012657-ST-048-EUR-07</t>
        </is>
      </c>
      <c r="C653" t="inlineStr">
        <is>
          <t>1012657 → ST-048-EUR-07</t>
        </is>
      </c>
      <c r="D653" s="19" t="inlineStr">
        <is>
          <t>2</t>
        </is>
      </c>
      <c r="E653" s="19" t="inlineStr">
        <is>
          <t>734</t>
        </is>
      </c>
      <c r="F653" s="19" t="inlineStr">
        <is>
          <t>92</t>
        </is>
      </c>
      <c r="G653" s="19" t="n"/>
      <c r="H653" s="19" t="inlineStr">
        <is>
          <t>2</t>
        </is>
      </c>
      <c r="I653" s="19" t="n"/>
      <c r="J653" s="19" t="n"/>
      <c r="K653" s="19" t="inlineStr">
        <is>
          <t>2</t>
        </is>
      </c>
      <c r="L653" t="inlineStr">
        <is>
          <t>2026-08-08</t>
        </is>
      </c>
      <c r="N653" t="inlineStr">
        <is>
          <t>IN_SCOPE_FINAL; SOURCE_CFG=IA-ST-CFG-0113; MARKET=PSA (Yurt Dışı); STATUS=IN OEM / EU PACKAGE</t>
        </is>
      </c>
      <c r="O653" t="inlineStr">
        <is>
          <t>2026-08-10T19:29:54Z</t>
        </is>
      </c>
      <c r="P653" t="inlineStr">
        <is>
          <t>2026-08-10T19:29:54Z</t>
        </is>
      </c>
    </row>
    <row r="654">
      <c r="A654" s="19" t="inlineStr">
        <is>
          <t>653</t>
        </is>
      </c>
      <c r="B654" s="19" t="inlineStr">
        <is>
          <t>SC-1012685-ST-048-EUR-07</t>
        </is>
      </c>
      <c r="C654" t="inlineStr">
        <is>
          <t>1012685 → ST-048-EUR-07</t>
        </is>
      </c>
      <c r="D654" s="19" t="inlineStr">
        <is>
          <t>2</t>
        </is>
      </c>
      <c r="E654" s="19" t="inlineStr">
        <is>
          <t>749</t>
        </is>
      </c>
      <c r="F654" s="19" t="inlineStr">
        <is>
          <t>92</t>
        </is>
      </c>
      <c r="G654" s="19" t="n"/>
      <c r="H654" s="19" t="inlineStr">
        <is>
          <t>2</t>
        </is>
      </c>
      <c r="I654" s="19" t="n"/>
      <c r="J654" s="19" t="n"/>
      <c r="K654" s="19" t="inlineStr">
        <is>
          <t>2</t>
        </is>
      </c>
      <c r="L654" t="inlineStr">
        <is>
          <t>2026-08-08</t>
        </is>
      </c>
      <c r="N654" t="inlineStr">
        <is>
          <t>IN_SCOPE_FINAL; SOURCE_CFG=IA-ST-CFG-0113; MARKET=PSA (Yurt Dışı); STATUS=IN OEM / EU PACKAGE</t>
        </is>
      </c>
      <c r="O654" t="inlineStr">
        <is>
          <t>2026-08-10T19:29:54Z</t>
        </is>
      </c>
      <c r="P654" t="inlineStr">
        <is>
          <t>2026-08-10T19:29:54Z</t>
        </is>
      </c>
    </row>
    <row r="655">
      <c r="A655" s="19" t="inlineStr">
        <is>
          <t>654</t>
        </is>
      </c>
      <c r="B655" s="19" t="inlineStr">
        <is>
          <t>SC-1014667-ST-048-EUR-08</t>
        </is>
      </c>
      <c r="C655" t="inlineStr">
        <is>
          <t>1014667 → ST-048-EUR-08</t>
        </is>
      </c>
      <c r="D655" s="19" t="inlineStr">
        <is>
          <t>2</t>
        </is>
      </c>
      <c r="E655" s="19" t="inlineStr">
        <is>
          <t>1525</t>
        </is>
      </c>
      <c r="F655" s="19" t="inlineStr">
        <is>
          <t>93</t>
        </is>
      </c>
      <c r="G655" s="19" t="n"/>
      <c r="H655" s="19" t="inlineStr">
        <is>
          <t>2</t>
        </is>
      </c>
      <c r="I655" s="19" t="n"/>
      <c r="J655" s="19" t="n"/>
      <c r="K655" s="19" t="inlineStr">
        <is>
          <t>2</t>
        </is>
      </c>
      <c r="L655" t="inlineStr">
        <is>
          <t>2026-08-08</t>
        </is>
      </c>
      <c r="N655" t="inlineStr">
        <is>
          <t>IN_SCOPE_FINAL; SOURCE_CFG=IA-ST-CFG-0114; MARKET=SKG İTALYA; STATUS=IN OEM / EU PACKAGE</t>
        </is>
      </c>
      <c r="O655" t="inlineStr">
        <is>
          <t>2026-08-10T19:29:54Z</t>
        </is>
      </c>
      <c r="P655" t="inlineStr">
        <is>
          <t>2026-08-10T19:29:54Z</t>
        </is>
      </c>
    </row>
    <row r="656">
      <c r="A656" s="19" t="inlineStr">
        <is>
          <t>655</t>
        </is>
      </c>
      <c r="B656" s="19" t="inlineStr">
        <is>
          <t>SC-1014662-ST-048-EUR-08</t>
        </is>
      </c>
      <c r="C656" t="inlineStr">
        <is>
          <t>1014662 → ST-048-EUR-08</t>
        </is>
      </c>
      <c r="D656" s="19" t="inlineStr">
        <is>
          <t>2</t>
        </is>
      </c>
      <c r="E656" s="19" t="inlineStr">
        <is>
          <t>1520</t>
        </is>
      </c>
      <c r="F656" s="19" t="inlineStr">
        <is>
          <t>93</t>
        </is>
      </c>
      <c r="G656" s="19" t="n"/>
      <c r="H656" s="19" t="inlineStr">
        <is>
          <t>2</t>
        </is>
      </c>
      <c r="I656" s="19" t="n"/>
      <c r="J656" s="19" t="n"/>
      <c r="K656" s="19" t="inlineStr">
        <is>
          <t>2</t>
        </is>
      </c>
      <c r="L656" t="inlineStr">
        <is>
          <t>2026-08-08</t>
        </is>
      </c>
      <c r="N656" t="inlineStr">
        <is>
          <t>IN_SCOPE_FINAL; SOURCE_CFG=IA-ST-CFG-0114; MARKET=SKG İTALYA; STATUS=IN OEM / EU PACKAGE</t>
        </is>
      </c>
      <c r="O656" t="inlineStr">
        <is>
          <t>2026-08-10T19:29:54Z</t>
        </is>
      </c>
      <c r="P656" t="inlineStr">
        <is>
          <t>2026-08-10T19:29:54Z</t>
        </is>
      </c>
    </row>
    <row r="657">
      <c r="A657" s="19" t="inlineStr">
        <is>
          <t>656</t>
        </is>
      </c>
      <c r="B657" s="19" t="inlineStr">
        <is>
          <t>SC-1015032-ST-048-EUR-08</t>
        </is>
      </c>
      <c r="C657" t="inlineStr">
        <is>
          <t>1015032 → ST-048-EUR-08</t>
        </is>
      </c>
      <c r="D657" s="19" t="inlineStr">
        <is>
          <t>2</t>
        </is>
      </c>
      <c r="E657" s="19" t="inlineStr">
        <is>
          <t>1792</t>
        </is>
      </c>
      <c r="F657" s="19" t="inlineStr">
        <is>
          <t>93</t>
        </is>
      </c>
      <c r="G657" s="19" t="n"/>
      <c r="H657" s="19" t="inlineStr">
        <is>
          <t>2</t>
        </is>
      </c>
      <c r="I657" s="19" t="n"/>
      <c r="J657" s="19" t="n"/>
      <c r="K657" s="19" t="inlineStr">
        <is>
          <t>2</t>
        </is>
      </c>
      <c r="L657" t="inlineStr">
        <is>
          <t>2026-08-08</t>
        </is>
      </c>
      <c r="N657" t="inlineStr">
        <is>
          <t>IN_SCOPE_FINAL; SOURCE_CFG=IA-ST-CFG-0114; MARKET=SKG İTALYA; STATUS=IN OEM / EU PACKAGE</t>
        </is>
      </c>
      <c r="O657" t="inlineStr">
        <is>
          <t>2026-08-10T19:29:54Z</t>
        </is>
      </c>
      <c r="P657" t="inlineStr">
        <is>
          <t>2026-08-10T19:29:54Z</t>
        </is>
      </c>
    </row>
    <row r="658">
      <c r="A658" s="19" t="inlineStr">
        <is>
          <t>657</t>
        </is>
      </c>
      <c r="B658" s="19" t="inlineStr">
        <is>
          <t>SC-1015104-ST-048-EUR-08</t>
        </is>
      </c>
      <c r="C658" t="inlineStr">
        <is>
          <t>1015104 → ST-048-EUR-08</t>
        </is>
      </c>
      <c r="D658" s="19" t="inlineStr">
        <is>
          <t>2</t>
        </is>
      </c>
      <c r="E658" s="19" t="inlineStr">
        <is>
          <t>1857</t>
        </is>
      </c>
      <c r="F658" s="19" t="inlineStr">
        <is>
          <t>93</t>
        </is>
      </c>
      <c r="G658" s="19" t="n"/>
      <c r="H658" s="19" t="inlineStr">
        <is>
          <t>2</t>
        </is>
      </c>
      <c r="I658" s="19" t="n"/>
      <c r="J658" s="19" t="n"/>
      <c r="K658" s="19" t="inlineStr">
        <is>
          <t>2</t>
        </is>
      </c>
      <c r="L658" t="inlineStr">
        <is>
          <t>2026-08-08</t>
        </is>
      </c>
      <c r="N658" t="inlineStr">
        <is>
          <t>IN_SCOPE_FINAL; SOURCE_CFG=IA-ST-CFG-0114; MARKET=SKG İTALYA; STATUS=IN OEM / EU PACKAGE</t>
        </is>
      </c>
      <c r="O658" t="inlineStr">
        <is>
          <t>2026-08-10T19:29:54Z</t>
        </is>
      </c>
      <c r="P658" t="inlineStr">
        <is>
          <t>2026-08-10T19:29:54Z</t>
        </is>
      </c>
    </row>
    <row r="659">
      <c r="A659" s="19" t="inlineStr">
        <is>
          <t>658</t>
        </is>
      </c>
      <c r="B659" s="19" t="inlineStr">
        <is>
          <t>SC-1015276-ST-048-EUR-08</t>
        </is>
      </c>
      <c r="C659" t="inlineStr">
        <is>
          <t>1015276 → ST-048-EUR-08</t>
        </is>
      </c>
      <c r="D659" s="19" t="inlineStr">
        <is>
          <t>2</t>
        </is>
      </c>
      <c r="E659" s="19" t="inlineStr">
        <is>
          <t>2009</t>
        </is>
      </c>
      <c r="F659" s="19" t="inlineStr">
        <is>
          <t>93</t>
        </is>
      </c>
      <c r="G659" s="19" t="n"/>
      <c r="H659" s="19" t="inlineStr">
        <is>
          <t>2</t>
        </is>
      </c>
      <c r="I659" s="19" t="n"/>
      <c r="J659" s="19" t="n"/>
      <c r="K659" s="19" t="inlineStr">
        <is>
          <t>2</t>
        </is>
      </c>
      <c r="L659" t="inlineStr">
        <is>
          <t>2026-08-08</t>
        </is>
      </c>
      <c r="N659" t="inlineStr">
        <is>
          <t>IN_SCOPE_FINAL; SOURCE_CFG=IA-ST-CFG-0114; MARKET=SKG İTALYA; STATUS=IN OEM / EU PACKAGE</t>
        </is>
      </c>
      <c r="O659" t="inlineStr">
        <is>
          <t>2026-08-10T19:29:54Z</t>
        </is>
      </c>
      <c r="P659" t="inlineStr">
        <is>
          <t>2026-08-10T19:29:54Z</t>
        </is>
      </c>
    </row>
    <row r="660">
      <c r="A660" s="19" t="inlineStr">
        <is>
          <t>659</t>
        </is>
      </c>
      <c r="B660" s="19" t="inlineStr">
        <is>
          <t>SC-1011330-ST-048-EUR-09</t>
        </is>
      </c>
      <c r="C660" t="inlineStr">
        <is>
          <t>1011330 → ST-048-EUR-09</t>
        </is>
      </c>
      <c r="D660" s="19" t="inlineStr">
        <is>
          <t>2</t>
        </is>
      </c>
      <c r="E660" s="19" t="inlineStr">
        <is>
          <t>296</t>
        </is>
      </c>
      <c r="F660" s="19" t="inlineStr">
        <is>
          <t>94</t>
        </is>
      </c>
      <c r="G660" s="19" t="n"/>
      <c r="H660" s="19" t="inlineStr">
        <is>
          <t>2</t>
        </is>
      </c>
      <c r="I660" s="19" t="n"/>
      <c r="J660" s="19" t="n"/>
      <c r="K660" s="19" t="inlineStr">
        <is>
          <t>2</t>
        </is>
      </c>
      <c r="L660" t="inlineStr">
        <is>
          <t>2026-08-08</t>
        </is>
      </c>
      <c r="N660" t="inlineStr">
        <is>
          <t>IN_SCOPE_FINAL; SOURCE_CFG=IA-ST-CFG-0115; MARKET=FQS BATTERY İSPANYA; STATUS=IN OEM / EU PACKAGE</t>
        </is>
      </c>
      <c r="O660" t="inlineStr">
        <is>
          <t>2026-08-10T19:29:54Z</t>
        </is>
      </c>
      <c r="P660" t="inlineStr">
        <is>
          <t>2026-08-10T19:29:54Z</t>
        </is>
      </c>
    </row>
    <row r="661">
      <c r="A661" s="19" t="inlineStr">
        <is>
          <t>660</t>
        </is>
      </c>
      <c r="B661" s="19" t="inlineStr">
        <is>
          <t>SC-1011332-ST-048-EUR-09</t>
        </is>
      </c>
      <c r="C661" t="inlineStr">
        <is>
          <t>1011332 → ST-048-EUR-09</t>
        </is>
      </c>
      <c r="D661" s="19" t="inlineStr">
        <is>
          <t>2</t>
        </is>
      </c>
      <c r="E661" s="19" t="inlineStr">
        <is>
          <t>297</t>
        </is>
      </c>
      <c r="F661" s="19" t="inlineStr">
        <is>
          <t>94</t>
        </is>
      </c>
      <c r="G661" s="19" t="n"/>
      <c r="H661" s="19" t="inlineStr">
        <is>
          <t>2</t>
        </is>
      </c>
      <c r="I661" s="19" t="n"/>
      <c r="J661" s="19" t="n"/>
      <c r="K661" s="19" t="inlineStr">
        <is>
          <t>2</t>
        </is>
      </c>
      <c r="L661" t="inlineStr">
        <is>
          <t>2026-08-08</t>
        </is>
      </c>
      <c r="N661" t="inlineStr">
        <is>
          <t>IN_SCOPE_FINAL; SOURCE_CFG=IA-ST-CFG-0115; MARKET=FQS BATTERY İSPANYA; STATUS=IN OEM / EU PACKAGE</t>
        </is>
      </c>
      <c r="O661" t="inlineStr">
        <is>
          <t>2026-08-10T19:29:54Z</t>
        </is>
      </c>
      <c r="P661" t="inlineStr">
        <is>
          <t>2026-08-10T19:29:54Z</t>
        </is>
      </c>
    </row>
    <row r="662">
      <c r="A662" s="19" t="inlineStr">
        <is>
          <t>661</t>
        </is>
      </c>
      <c r="B662" s="19" t="inlineStr">
        <is>
          <t>SC-1009938-ST-048-EUR-09</t>
        </is>
      </c>
      <c r="C662" t="inlineStr">
        <is>
          <t>1009938 → ST-048-EUR-09</t>
        </is>
      </c>
      <c r="D662" s="19" t="inlineStr">
        <is>
          <t>2</t>
        </is>
      </c>
      <c r="E662" s="19" t="inlineStr">
        <is>
          <t>127</t>
        </is>
      </c>
      <c r="F662" s="19" t="inlineStr">
        <is>
          <t>94</t>
        </is>
      </c>
      <c r="G662" s="19" t="n"/>
      <c r="H662" s="19" t="inlineStr">
        <is>
          <t>2</t>
        </is>
      </c>
      <c r="I662" s="19" t="n"/>
      <c r="J662" s="19" t="n"/>
      <c r="K662" s="19" t="inlineStr">
        <is>
          <t>2</t>
        </is>
      </c>
      <c r="L662" t="inlineStr">
        <is>
          <t>2026-08-08</t>
        </is>
      </c>
      <c r="N662" t="inlineStr">
        <is>
          <t>IN_SCOPE_FINAL; SOURCE_CFG=IA-ST-CFG-0115; MARKET=BOOSTER; STATUS=IN OEM / EU PACKAGE</t>
        </is>
      </c>
      <c r="O662" t="inlineStr">
        <is>
          <t>2026-08-10T19:29:54Z</t>
        </is>
      </c>
      <c r="P662" t="inlineStr">
        <is>
          <t>2026-08-10T19:29:54Z</t>
        </is>
      </c>
    </row>
    <row r="663">
      <c r="A663" s="19" t="inlineStr">
        <is>
          <t>662</t>
        </is>
      </c>
      <c r="B663" s="19" t="inlineStr">
        <is>
          <t>SC-1009939-ST-048-EUR-09</t>
        </is>
      </c>
      <c r="C663" t="inlineStr">
        <is>
          <t>1009939 → ST-048-EUR-09</t>
        </is>
      </c>
      <c r="D663" s="19" t="inlineStr">
        <is>
          <t>2</t>
        </is>
      </c>
      <c r="E663" s="19" t="inlineStr">
        <is>
          <t>128</t>
        </is>
      </c>
      <c r="F663" s="19" t="inlineStr">
        <is>
          <t>94</t>
        </is>
      </c>
      <c r="G663" s="19" t="n"/>
      <c r="H663" s="19" t="inlineStr">
        <is>
          <t>2</t>
        </is>
      </c>
      <c r="I663" s="19" t="n"/>
      <c r="J663" s="19" t="n"/>
      <c r="K663" s="19" t="inlineStr">
        <is>
          <t>2</t>
        </is>
      </c>
      <c r="L663" t="inlineStr">
        <is>
          <t>2026-08-08</t>
        </is>
      </c>
      <c r="N663" t="inlineStr">
        <is>
          <t>IN_SCOPE_FINAL; SOURCE_CFG=IA-ST-CFG-0115; MARKET=BOOSTER; STATUS=IN OEM / EU PACKAGE</t>
        </is>
      </c>
      <c r="O663" t="inlineStr">
        <is>
          <t>2026-08-10T19:29:54Z</t>
        </is>
      </c>
      <c r="P663" t="inlineStr">
        <is>
          <t>2026-08-10T19:29:54Z</t>
        </is>
      </c>
    </row>
    <row r="664">
      <c r="A664" s="19" t="inlineStr">
        <is>
          <t>663</t>
        </is>
      </c>
      <c r="B664" s="19" t="inlineStr">
        <is>
          <t>SC-1011584-ST-048-EUR-09</t>
        </is>
      </c>
      <c r="C664" t="inlineStr">
        <is>
          <t>1011584 → ST-048-EUR-09</t>
        </is>
      </c>
      <c r="D664" s="19" t="inlineStr">
        <is>
          <t>2</t>
        </is>
      </c>
      <c r="E664" s="19" t="inlineStr">
        <is>
          <t>321</t>
        </is>
      </c>
      <c r="F664" s="19" t="inlineStr">
        <is>
          <t>94</t>
        </is>
      </c>
      <c r="G664" s="19" t="n"/>
      <c r="H664" s="19" t="inlineStr">
        <is>
          <t>2</t>
        </is>
      </c>
      <c r="I664" s="19" t="n"/>
      <c r="J664" s="19" t="n"/>
      <c r="K664" s="19" t="inlineStr">
        <is>
          <t>2</t>
        </is>
      </c>
      <c r="L664" t="inlineStr">
        <is>
          <t>2026-08-08</t>
        </is>
      </c>
      <c r="N664" t="inlineStr">
        <is>
          <t>IN_SCOPE_FINAL; SOURCE_CFG=IA-ST-CFG-0115; MARKET=CANARIBAT İSPANYA; STATUS=IN OEM / EU PACKAGE</t>
        </is>
      </c>
      <c r="O664" t="inlineStr">
        <is>
          <t>2026-08-10T19:29:54Z</t>
        </is>
      </c>
      <c r="P664" t="inlineStr">
        <is>
          <t>2026-08-10T19:29:54Z</t>
        </is>
      </c>
    </row>
    <row r="665">
      <c r="A665" s="19" t="inlineStr">
        <is>
          <t>664</t>
        </is>
      </c>
      <c r="B665" s="19" t="inlineStr">
        <is>
          <t>SC-1011585-ST-048-EUR-09</t>
        </is>
      </c>
      <c r="C665" t="inlineStr">
        <is>
          <t>1011585 → ST-048-EUR-09</t>
        </is>
      </c>
      <c r="D665" s="19" t="inlineStr">
        <is>
          <t>2</t>
        </is>
      </c>
      <c r="E665" s="19" t="inlineStr">
        <is>
          <t>322</t>
        </is>
      </c>
      <c r="F665" s="19" t="inlineStr">
        <is>
          <t>94</t>
        </is>
      </c>
      <c r="G665" s="19" t="n"/>
      <c r="H665" s="19" t="inlineStr">
        <is>
          <t>2</t>
        </is>
      </c>
      <c r="I665" s="19" t="n"/>
      <c r="J665" s="19" t="n"/>
      <c r="K665" s="19" t="inlineStr">
        <is>
          <t>2</t>
        </is>
      </c>
      <c r="L665" t="inlineStr">
        <is>
          <t>2026-08-08</t>
        </is>
      </c>
      <c r="N665" t="inlineStr">
        <is>
          <t>IN_SCOPE_FINAL; SOURCE_CFG=IA-ST-CFG-0115; MARKET=CANARIBAT İSPANYA; STATUS=IN OEM / EU PACKAGE</t>
        </is>
      </c>
      <c r="O665" t="inlineStr">
        <is>
          <t>2026-08-10T19:29:54Z</t>
        </is>
      </c>
      <c r="P665" t="inlineStr">
        <is>
          <t>2026-08-10T19:29:54Z</t>
        </is>
      </c>
    </row>
    <row r="666">
      <c r="A666" s="19" t="inlineStr">
        <is>
          <t>665</t>
        </is>
      </c>
      <c r="B666" s="19" t="inlineStr">
        <is>
          <t>SC-1012987-ST-048-EUR-09</t>
        </is>
      </c>
      <c r="C666" t="inlineStr">
        <is>
          <t>1012987 → ST-048-EUR-09</t>
        </is>
      </c>
      <c r="D666" s="19" t="inlineStr">
        <is>
          <t>2</t>
        </is>
      </c>
      <c r="E666" s="19" t="inlineStr">
        <is>
          <t>898</t>
        </is>
      </c>
      <c r="F666" s="19" t="inlineStr">
        <is>
          <t>94</t>
        </is>
      </c>
      <c r="G666" s="19" t="n"/>
      <c r="H666" s="19" t="inlineStr">
        <is>
          <t>2</t>
        </is>
      </c>
      <c r="I666" s="19" t="n"/>
      <c r="J666" s="19" t="n"/>
      <c r="K666" s="19" t="inlineStr">
        <is>
          <t>2</t>
        </is>
      </c>
      <c r="L666" t="inlineStr">
        <is>
          <t>2026-08-08</t>
        </is>
      </c>
      <c r="N666" t="inlineStr">
        <is>
          <t>IN_SCOPE_FINAL; SOURCE_CFG=IA-ST-CFG-0115; MARKET=BOOSTER; STATUS=IN OEM / EU PACKAGE</t>
        </is>
      </c>
      <c r="O666" t="inlineStr">
        <is>
          <t>2026-08-10T19:29:54Z</t>
        </is>
      </c>
      <c r="P666" t="inlineStr">
        <is>
          <t>2026-08-10T19:29:54Z</t>
        </is>
      </c>
    </row>
    <row r="667">
      <c r="A667" s="19" t="inlineStr">
        <is>
          <t>666</t>
        </is>
      </c>
      <c r="B667" s="19" t="inlineStr">
        <is>
          <t>SC-1012988-ST-048-EUR-09</t>
        </is>
      </c>
      <c r="C667" t="inlineStr">
        <is>
          <t>1012988 → ST-048-EUR-09</t>
        </is>
      </c>
      <c r="D667" s="19" t="inlineStr">
        <is>
          <t>2</t>
        </is>
      </c>
      <c r="E667" s="19" t="inlineStr">
        <is>
          <t>899</t>
        </is>
      </c>
      <c r="F667" s="19" t="inlineStr">
        <is>
          <t>94</t>
        </is>
      </c>
      <c r="G667" s="19" t="n"/>
      <c r="H667" s="19" t="inlineStr">
        <is>
          <t>2</t>
        </is>
      </c>
      <c r="I667" s="19" t="n"/>
      <c r="J667" s="19" t="n"/>
      <c r="K667" s="19" t="inlineStr">
        <is>
          <t>2</t>
        </is>
      </c>
      <c r="L667" t="inlineStr">
        <is>
          <t>2026-08-08</t>
        </is>
      </c>
      <c r="N667" t="inlineStr">
        <is>
          <t>IN_SCOPE_FINAL; SOURCE_CFG=IA-ST-CFG-0115; MARKET=BOOSTER; STATUS=IN OEM / EU PACKAGE</t>
        </is>
      </c>
      <c r="O667" t="inlineStr">
        <is>
          <t>2026-08-10T19:29:54Z</t>
        </is>
      </c>
      <c r="P667" t="inlineStr">
        <is>
          <t>2026-08-10T19:29:54Z</t>
        </is>
      </c>
    </row>
    <row r="668">
      <c r="A668" s="19" t="inlineStr">
        <is>
          <t>667</t>
        </is>
      </c>
      <c r="B668" s="19" t="inlineStr">
        <is>
          <t>SC-1013576-ST-048-EUR-09</t>
        </is>
      </c>
      <c r="C668" t="inlineStr">
        <is>
          <t>1013576 → ST-048-EUR-09</t>
        </is>
      </c>
      <c r="D668" s="19" t="inlineStr">
        <is>
          <t>2</t>
        </is>
      </c>
      <c r="E668" s="19" t="inlineStr">
        <is>
          <t>1040</t>
        </is>
      </c>
      <c r="F668" s="19" t="inlineStr">
        <is>
          <t>94</t>
        </is>
      </c>
      <c r="G668" s="19" t="n"/>
      <c r="H668" s="19" t="inlineStr">
        <is>
          <t>2</t>
        </is>
      </c>
      <c r="I668" s="19" t="n"/>
      <c r="J668" s="19" t="n"/>
      <c r="K668" s="19" t="inlineStr">
        <is>
          <t>2</t>
        </is>
      </c>
      <c r="L668" t="inlineStr">
        <is>
          <t>2026-08-08</t>
        </is>
      </c>
      <c r="N668" t="inlineStr">
        <is>
          <t>IN_SCOPE_FINAL; SOURCE_CFG=IA-ST-CFG-0115; MARKET=None; STATUS=IN OEM / EU PACKAGE</t>
        </is>
      </c>
      <c r="O668" t="inlineStr">
        <is>
          <t>2026-08-10T19:29:54Z</t>
        </is>
      </c>
      <c r="P668" t="inlineStr">
        <is>
          <t>2026-08-10T19:29:54Z</t>
        </is>
      </c>
    </row>
    <row r="669">
      <c r="A669" s="19" t="inlineStr">
        <is>
          <t>668</t>
        </is>
      </c>
      <c r="B669" s="19" t="inlineStr">
        <is>
          <t>SC-1013749-ST-048-EUR-09</t>
        </is>
      </c>
      <c r="C669" t="inlineStr">
        <is>
          <t>1013749 → ST-048-EUR-09</t>
        </is>
      </c>
      <c r="D669" s="19" t="inlineStr">
        <is>
          <t>2</t>
        </is>
      </c>
      <c r="E669" s="19" t="inlineStr">
        <is>
          <t>1089</t>
        </is>
      </c>
      <c r="F669" s="19" t="inlineStr">
        <is>
          <t>94</t>
        </is>
      </c>
      <c r="G669" s="19" t="n"/>
      <c r="H669" s="19" t="inlineStr">
        <is>
          <t>2</t>
        </is>
      </c>
      <c r="I669" s="19" t="n"/>
      <c r="J669" s="19" t="n"/>
      <c r="K669" s="19" t="inlineStr">
        <is>
          <t>2</t>
        </is>
      </c>
      <c r="L669" t="inlineStr">
        <is>
          <t>2026-08-08</t>
        </is>
      </c>
      <c r="N669" t="inlineStr">
        <is>
          <t>IN_SCOPE_FINAL; SOURCE_CFG=IA-ST-CFG-0115; MARKET=None; STATUS=IN OEM / EU PACKAGE</t>
        </is>
      </c>
      <c r="O669" t="inlineStr">
        <is>
          <t>2026-08-10T19:29:54Z</t>
        </is>
      </c>
      <c r="P669" t="inlineStr">
        <is>
          <t>2026-08-10T19:29:54Z</t>
        </is>
      </c>
    </row>
    <row r="670">
      <c r="A670" s="19" t="inlineStr">
        <is>
          <t>669</t>
        </is>
      </c>
      <c r="B670" s="19" t="inlineStr">
        <is>
          <t>SC-1013840-ST-048-EUR-09</t>
        </is>
      </c>
      <c r="C670" t="inlineStr">
        <is>
          <t>1013840 → ST-048-EUR-09</t>
        </is>
      </c>
      <c r="D670" s="19" t="inlineStr">
        <is>
          <t>2</t>
        </is>
      </c>
      <c r="E670" s="19" t="inlineStr">
        <is>
          <t>1105</t>
        </is>
      </c>
      <c r="F670" s="19" t="inlineStr">
        <is>
          <t>94</t>
        </is>
      </c>
      <c r="G670" s="19" t="n"/>
      <c r="H670" s="19" t="inlineStr">
        <is>
          <t>2</t>
        </is>
      </c>
      <c r="I670" s="19" t="n"/>
      <c r="J670" s="19" t="n"/>
      <c r="K670" s="19" t="inlineStr">
        <is>
          <t>2</t>
        </is>
      </c>
      <c r="L670" t="inlineStr">
        <is>
          <t>2026-08-08</t>
        </is>
      </c>
      <c r="N670" t="inlineStr">
        <is>
          <t>IN_SCOPE_FINAL; SOURCE_CFG=IA-ST-CFG-0115; MARKET=None; STATUS=IN OEM / EU PACKAGE</t>
        </is>
      </c>
      <c r="O670" t="inlineStr">
        <is>
          <t>2026-08-10T19:29:54Z</t>
        </is>
      </c>
      <c r="P670" t="inlineStr">
        <is>
          <t>2026-08-10T19:29:54Z</t>
        </is>
      </c>
    </row>
    <row r="671">
      <c r="A671" s="19" t="inlineStr">
        <is>
          <t>670</t>
        </is>
      </c>
      <c r="B671" s="19" t="inlineStr">
        <is>
          <t>SC-1013851-ST-048-EUR-09</t>
        </is>
      </c>
      <c r="C671" t="inlineStr">
        <is>
          <t>1013851 → ST-048-EUR-09</t>
        </is>
      </c>
      <c r="D671" s="19" t="inlineStr">
        <is>
          <t>2</t>
        </is>
      </c>
      <c r="E671" s="19" t="inlineStr">
        <is>
          <t>1108</t>
        </is>
      </c>
      <c r="F671" s="19" t="inlineStr">
        <is>
          <t>94</t>
        </is>
      </c>
      <c r="G671" s="19" t="n"/>
      <c r="H671" s="19" t="inlineStr">
        <is>
          <t>2</t>
        </is>
      </c>
      <c r="I671" s="19" t="n"/>
      <c r="J671" s="19" t="n"/>
      <c r="K671" s="19" t="inlineStr">
        <is>
          <t>2</t>
        </is>
      </c>
      <c r="L671" t="inlineStr">
        <is>
          <t>2026-08-08</t>
        </is>
      </c>
      <c r="N671" t="inlineStr">
        <is>
          <t>IN_SCOPE_FINAL; SOURCE_CFG=IA-ST-CFG-0115; MARKET=None; STATUS=IN OEM / EU PACKAGE</t>
        </is>
      </c>
      <c r="O671" t="inlineStr">
        <is>
          <t>2026-08-10T19:29:54Z</t>
        </is>
      </c>
      <c r="P671" t="inlineStr">
        <is>
          <t>2026-08-10T19:29:54Z</t>
        </is>
      </c>
    </row>
    <row r="672">
      <c r="A672" s="19" t="inlineStr">
        <is>
          <t>671</t>
        </is>
      </c>
      <c r="B672" s="19" t="inlineStr">
        <is>
          <t>SC-1013852-ST-048-EUR-09</t>
        </is>
      </c>
      <c r="C672" t="inlineStr">
        <is>
          <t>1013852 → ST-048-EUR-09</t>
        </is>
      </c>
      <c r="D672" s="19" t="inlineStr">
        <is>
          <t>2</t>
        </is>
      </c>
      <c r="E672" s="19" t="inlineStr">
        <is>
          <t>1109</t>
        </is>
      </c>
      <c r="F672" s="19" t="inlineStr">
        <is>
          <t>94</t>
        </is>
      </c>
      <c r="G672" s="19" t="n"/>
      <c r="H672" s="19" t="inlineStr">
        <is>
          <t>2</t>
        </is>
      </c>
      <c r="I672" s="19" t="n"/>
      <c r="J672" s="19" t="n"/>
      <c r="K672" s="19" t="inlineStr">
        <is>
          <t>2</t>
        </is>
      </c>
      <c r="L672" t="inlineStr">
        <is>
          <t>2026-08-08</t>
        </is>
      </c>
      <c r="N672" t="inlineStr">
        <is>
          <t>IN_SCOPE_FINAL; SOURCE_CFG=IA-ST-CFG-0115; MARKET=None; STATUS=IN OEM / EU PACKAGE</t>
        </is>
      </c>
      <c r="O672" t="inlineStr">
        <is>
          <t>2026-08-10T19:29:54Z</t>
        </is>
      </c>
      <c r="P672" t="inlineStr">
        <is>
          <t>2026-08-10T19:29:54Z</t>
        </is>
      </c>
    </row>
    <row r="673">
      <c r="A673" s="19" t="inlineStr">
        <is>
          <t>672</t>
        </is>
      </c>
      <c r="B673" s="19" t="inlineStr">
        <is>
          <t>SC-1014145-ST-048-EUR-09</t>
        </is>
      </c>
      <c r="C673" t="inlineStr">
        <is>
          <t>1014145 → ST-048-EUR-09</t>
        </is>
      </c>
      <c r="D673" s="19" t="inlineStr">
        <is>
          <t>2</t>
        </is>
      </c>
      <c r="E673" s="19" t="inlineStr">
        <is>
          <t>1233</t>
        </is>
      </c>
      <c r="F673" s="19" t="inlineStr">
        <is>
          <t>94</t>
        </is>
      </c>
      <c r="G673" s="19" t="n"/>
      <c r="H673" s="19" t="inlineStr">
        <is>
          <t>2</t>
        </is>
      </c>
      <c r="I673" s="19" t="n"/>
      <c r="J673" s="19" t="n"/>
      <c r="K673" s="19" t="inlineStr">
        <is>
          <t>2</t>
        </is>
      </c>
      <c r="L673" t="inlineStr">
        <is>
          <t>2026-08-08</t>
        </is>
      </c>
      <c r="N673" t="inlineStr">
        <is>
          <t>IN_SCOPE_FINAL; SOURCE_CFG=IA-ST-CFG-0115; MARKET=BOOSTER; STATUS=IN OEM / EU PACKAGE</t>
        </is>
      </c>
      <c r="O673" t="inlineStr">
        <is>
          <t>2026-08-10T19:29:54Z</t>
        </is>
      </c>
      <c r="P673" t="inlineStr">
        <is>
          <t>2026-08-10T19:29:54Z</t>
        </is>
      </c>
    </row>
    <row r="674">
      <c r="A674" s="19" t="inlineStr">
        <is>
          <t>673</t>
        </is>
      </c>
      <c r="B674" s="19" t="inlineStr">
        <is>
          <t>SC-1014146-ST-048-EUR-09</t>
        </is>
      </c>
      <c r="C674" t="inlineStr">
        <is>
          <t>1014146 → ST-048-EUR-09</t>
        </is>
      </c>
      <c r="D674" s="19" t="inlineStr">
        <is>
          <t>2</t>
        </is>
      </c>
      <c r="E674" s="19" t="inlineStr">
        <is>
          <t>1234</t>
        </is>
      </c>
      <c r="F674" s="19" t="inlineStr">
        <is>
          <t>94</t>
        </is>
      </c>
      <c r="G674" s="19" t="n"/>
      <c r="H674" s="19" t="inlineStr">
        <is>
          <t>2</t>
        </is>
      </c>
      <c r="I674" s="19" t="n"/>
      <c r="J674" s="19" t="n"/>
      <c r="K674" s="19" t="inlineStr">
        <is>
          <t>2</t>
        </is>
      </c>
      <c r="L674" t="inlineStr">
        <is>
          <t>2026-08-08</t>
        </is>
      </c>
      <c r="N674" t="inlineStr">
        <is>
          <t>IN_SCOPE_FINAL; SOURCE_CFG=IA-ST-CFG-0115; MARKET=BOOSTER; STATUS=IN OEM / EU PACKAGE</t>
        </is>
      </c>
      <c r="O674" t="inlineStr">
        <is>
          <t>2026-08-10T19:29:54Z</t>
        </is>
      </c>
      <c r="P674" t="inlineStr">
        <is>
          <t>2026-08-10T19:29:54Z</t>
        </is>
      </c>
    </row>
    <row r="675">
      <c r="A675" s="19" t="inlineStr">
        <is>
          <t>674</t>
        </is>
      </c>
      <c r="B675" s="19" t="inlineStr">
        <is>
          <t>SC-1014649-ST-048-EUR-09</t>
        </is>
      </c>
      <c r="C675" t="inlineStr">
        <is>
          <t>1014649 → ST-048-EUR-09</t>
        </is>
      </c>
      <c r="D675" s="19" t="inlineStr">
        <is>
          <t>2</t>
        </is>
      </c>
      <c r="E675" s="19" t="inlineStr">
        <is>
          <t>1508</t>
        </is>
      </c>
      <c r="F675" s="19" t="inlineStr">
        <is>
          <t>94</t>
        </is>
      </c>
      <c r="G675" s="19" t="n"/>
      <c r="H675" s="19" t="inlineStr">
        <is>
          <t>2</t>
        </is>
      </c>
      <c r="I675" s="19" t="n"/>
      <c r="J675" s="19" t="n"/>
      <c r="K675" s="19" t="inlineStr">
        <is>
          <t>2</t>
        </is>
      </c>
      <c r="L675" t="inlineStr">
        <is>
          <t>2026-08-08</t>
        </is>
      </c>
      <c r="N675" t="inlineStr">
        <is>
          <t>IN_SCOPE_FINAL; SOURCE_CFG=IA-ST-CFG-0115; MARKET=None; STATUS=IN OEM / EU PACKAGE</t>
        </is>
      </c>
      <c r="O675" t="inlineStr">
        <is>
          <t>2026-08-10T19:29:54Z</t>
        </is>
      </c>
      <c r="P675" t="inlineStr">
        <is>
          <t>2026-08-10T19:29:54Z</t>
        </is>
      </c>
    </row>
    <row r="676">
      <c r="A676" s="19" t="inlineStr">
        <is>
          <t>675</t>
        </is>
      </c>
      <c r="B676" s="19" t="inlineStr">
        <is>
          <t>SC-1014853-ST-048-EUR-09</t>
        </is>
      </c>
      <c r="C676" t="inlineStr">
        <is>
          <t>1014853 → ST-048-EUR-09</t>
        </is>
      </c>
      <c r="D676" s="19" t="inlineStr">
        <is>
          <t>2</t>
        </is>
      </c>
      <c r="E676" s="19" t="inlineStr">
        <is>
          <t>1636</t>
        </is>
      </c>
      <c r="F676" s="19" t="inlineStr">
        <is>
          <t>94</t>
        </is>
      </c>
      <c r="G676" s="19" t="n"/>
      <c r="H676" s="19" t="inlineStr">
        <is>
          <t>2</t>
        </is>
      </c>
      <c r="I676" s="19" t="n"/>
      <c r="J676" s="19" t="n"/>
      <c r="K676" s="19" t="inlineStr">
        <is>
          <t>2</t>
        </is>
      </c>
      <c r="L676" t="inlineStr">
        <is>
          <t>2026-08-08</t>
        </is>
      </c>
      <c r="N676" t="inlineStr">
        <is>
          <t>IN_SCOPE_FINAL; SOURCE_CFG=IA-ST-CFG-0115; MARKET=ALEX ARABATZIS BSA(YUNANİSTAN); STATUS=IN OEM / EU PACKAGE</t>
        </is>
      </c>
      <c r="O676" t="inlineStr">
        <is>
          <t>2026-08-10T19:29:54Z</t>
        </is>
      </c>
      <c r="P676" t="inlineStr">
        <is>
          <t>2026-08-10T19:29:54Z</t>
        </is>
      </c>
    </row>
    <row r="677">
      <c r="A677" s="19" t="inlineStr">
        <is>
          <t>676</t>
        </is>
      </c>
      <c r="B677" s="19" t="inlineStr">
        <is>
          <t>SC-1014854-ST-048-EUR-09</t>
        </is>
      </c>
      <c r="C677" t="inlineStr">
        <is>
          <t>1014854 → ST-048-EUR-09</t>
        </is>
      </c>
      <c r="D677" s="19" t="inlineStr">
        <is>
          <t>2</t>
        </is>
      </c>
      <c r="E677" s="19" t="inlineStr">
        <is>
          <t>1637</t>
        </is>
      </c>
      <c r="F677" s="19" t="inlineStr">
        <is>
          <t>94</t>
        </is>
      </c>
      <c r="G677" s="19" t="n"/>
      <c r="H677" s="19" t="inlineStr">
        <is>
          <t>2</t>
        </is>
      </c>
      <c r="I677" s="19" t="n"/>
      <c r="J677" s="19" t="n"/>
      <c r="K677" s="19" t="inlineStr">
        <is>
          <t>2</t>
        </is>
      </c>
      <c r="L677" t="inlineStr">
        <is>
          <t>2026-08-08</t>
        </is>
      </c>
      <c r="N677" t="inlineStr">
        <is>
          <t>IN_SCOPE_FINAL; SOURCE_CFG=IA-ST-CFG-0115; MARKET=ALEX ARABATZIS BSA(YUNANİSTAN); STATUS=IN OEM / EU PACKAGE</t>
        </is>
      </c>
      <c r="O677" t="inlineStr">
        <is>
          <t>2026-08-10T19:29:54Z</t>
        </is>
      </c>
      <c r="P677" t="inlineStr">
        <is>
          <t>2026-08-10T19:29:54Z</t>
        </is>
      </c>
    </row>
    <row r="678">
      <c r="A678" s="19" t="inlineStr">
        <is>
          <t>677</t>
        </is>
      </c>
      <c r="B678" s="19" t="inlineStr">
        <is>
          <t>SC-1015079-ST-048-EUR-09</t>
        </is>
      </c>
      <c r="C678" t="inlineStr">
        <is>
          <t>1015079 → ST-048-EUR-09</t>
        </is>
      </c>
      <c r="D678" s="19" t="inlineStr">
        <is>
          <t>2</t>
        </is>
      </c>
      <c r="E678" s="19" t="inlineStr">
        <is>
          <t>1835</t>
        </is>
      </c>
      <c r="F678" s="19" t="inlineStr">
        <is>
          <t>94</t>
        </is>
      </c>
      <c r="G678" s="19" t="n"/>
      <c r="H678" s="19" t="inlineStr">
        <is>
          <t>2</t>
        </is>
      </c>
      <c r="I678" s="19" t="n"/>
      <c r="J678" s="19" t="n"/>
      <c r="K678" s="19" t="inlineStr">
        <is>
          <t>2</t>
        </is>
      </c>
      <c r="L678" t="inlineStr">
        <is>
          <t>2026-08-08</t>
        </is>
      </c>
      <c r="N678" t="inlineStr">
        <is>
          <t>IN_SCOPE_FINAL; SOURCE_CFG=IA-ST-CFG-0115; MARKET=None; STATUS=IN OEM / EU PACKAGE</t>
        </is>
      </c>
      <c r="O678" t="inlineStr">
        <is>
          <t>2026-08-10T19:29:54Z</t>
        </is>
      </c>
      <c r="P678" t="inlineStr">
        <is>
          <t>2026-08-10T19:29:54Z</t>
        </is>
      </c>
    </row>
    <row r="679">
      <c r="A679" s="19" t="inlineStr">
        <is>
          <t>678</t>
        </is>
      </c>
      <c r="B679" s="19" t="inlineStr">
        <is>
          <t>SC-1015317-ST-048-EUR-09</t>
        </is>
      </c>
      <c r="C679" t="inlineStr">
        <is>
          <t>1015317 → ST-048-EUR-09</t>
        </is>
      </c>
      <c r="D679" s="19" t="inlineStr">
        <is>
          <t>2</t>
        </is>
      </c>
      <c r="E679" s="19" t="inlineStr">
        <is>
          <t>2038</t>
        </is>
      </c>
      <c r="F679" s="19" t="inlineStr">
        <is>
          <t>94</t>
        </is>
      </c>
      <c r="G679" s="19" t="n"/>
      <c r="H679" s="19" t="inlineStr">
        <is>
          <t>2</t>
        </is>
      </c>
      <c r="I679" s="19" t="n"/>
      <c r="J679" s="19" t="n"/>
      <c r="K679" s="19" t="inlineStr">
        <is>
          <t>2</t>
        </is>
      </c>
      <c r="L679" t="inlineStr">
        <is>
          <t>2026-08-08</t>
        </is>
      </c>
      <c r="N679" t="inlineStr">
        <is>
          <t>IN_SCOPE_FINAL; SOURCE_CFG=IA-ST-CFG-0115; MARKET=LAMPA ITALY İTALYA; STATUS=IN OEM / EU PACKAGE</t>
        </is>
      </c>
      <c r="O679" t="inlineStr">
        <is>
          <t>2026-08-10T19:29:54Z</t>
        </is>
      </c>
      <c r="P679" t="inlineStr">
        <is>
          <t>2026-08-10T19:29:54Z</t>
        </is>
      </c>
    </row>
    <row r="680">
      <c r="A680" s="19" t="inlineStr">
        <is>
          <t>679</t>
        </is>
      </c>
      <c r="B680" s="19" t="inlineStr">
        <is>
          <t>SC-1015318-ST-048-EUR-09</t>
        </is>
      </c>
      <c r="C680" t="inlineStr">
        <is>
          <t>1015318 → ST-048-EUR-09</t>
        </is>
      </c>
      <c r="D680" s="19" t="inlineStr">
        <is>
          <t>2</t>
        </is>
      </c>
      <c r="E680" s="19" t="inlineStr">
        <is>
          <t>2039</t>
        </is>
      </c>
      <c r="F680" s="19" t="inlineStr">
        <is>
          <t>94</t>
        </is>
      </c>
      <c r="G680" s="19" t="n"/>
      <c r="H680" s="19" t="inlineStr">
        <is>
          <t>2</t>
        </is>
      </c>
      <c r="I680" s="19" t="n"/>
      <c r="J680" s="19" t="n"/>
      <c r="K680" s="19" t="inlineStr">
        <is>
          <t>2</t>
        </is>
      </c>
      <c r="L680" t="inlineStr">
        <is>
          <t>2026-08-08</t>
        </is>
      </c>
      <c r="N680" t="inlineStr">
        <is>
          <t>IN_SCOPE_FINAL; SOURCE_CFG=IA-ST-CFG-0115; MARKET=LAMPA ITALY İTALYA; STATUS=IN OEM / EU PACKAGE</t>
        </is>
      </c>
      <c r="O680" t="inlineStr">
        <is>
          <t>2026-08-10T19:29:54Z</t>
        </is>
      </c>
      <c r="P680" t="inlineStr">
        <is>
          <t>2026-08-10T19:29:54Z</t>
        </is>
      </c>
    </row>
    <row r="681">
      <c r="A681" s="19" t="inlineStr">
        <is>
          <t>680</t>
        </is>
      </c>
      <c r="B681" s="19" t="inlineStr">
        <is>
          <t>SC-1012790-ST-048-EUR-09</t>
        </is>
      </c>
      <c r="C681" t="inlineStr">
        <is>
          <t>1012790 → ST-048-EUR-09</t>
        </is>
      </c>
      <c r="D681" s="19" t="inlineStr">
        <is>
          <t>2</t>
        </is>
      </c>
      <c r="E681" s="19" t="inlineStr">
        <is>
          <t>790</t>
        </is>
      </c>
      <c r="F681" s="19" t="inlineStr">
        <is>
          <t>94</t>
        </is>
      </c>
      <c r="G681" s="19" t="n"/>
      <c r="H681" s="19" t="inlineStr">
        <is>
          <t>2</t>
        </is>
      </c>
      <c r="I681" s="19" t="n"/>
      <c r="J681" s="19" t="n"/>
      <c r="K681" s="19" t="inlineStr">
        <is>
          <t>2</t>
        </is>
      </c>
      <c r="L681" t="inlineStr">
        <is>
          <t>2026-08-08</t>
        </is>
      </c>
      <c r="N681" t="inlineStr">
        <is>
          <t>IN_SCOPE_FINAL; SOURCE_CFG=IA-ST-CFG-0115; MARKET=START TRADING BULGARİSTAN; STATUS=IN OEM / EU PACKAGE</t>
        </is>
      </c>
      <c r="O681" t="inlineStr">
        <is>
          <t>2026-08-10T19:29:54Z</t>
        </is>
      </c>
      <c r="P681" t="inlineStr">
        <is>
          <t>2026-08-10T19:29:54Z</t>
        </is>
      </c>
    </row>
    <row r="682">
      <c r="A682" s="19" t="inlineStr">
        <is>
          <t>681</t>
        </is>
      </c>
      <c r="B682" s="19" t="inlineStr">
        <is>
          <t>SC-1012791-ST-048-EUR-09</t>
        </is>
      </c>
      <c r="C682" t="inlineStr">
        <is>
          <t>1012791 → ST-048-EUR-09</t>
        </is>
      </c>
      <c r="D682" s="19" t="inlineStr">
        <is>
          <t>2</t>
        </is>
      </c>
      <c r="E682" s="19" t="inlineStr">
        <is>
          <t>791</t>
        </is>
      </c>
      <c r="F682" s="19" t="inlineStr">
        <is>
          <t>94</t>
        </is>
      </c>
      <c r="G682" s="19" t="n"/>
      <c r="H682" s="19" t="inlineStr">
        <is>
          <t>2</t>
        </is>
      </c>
      <c r="I682" s="19" t="n"/>
      <c r="J682" s="19" t="n"/>
      <c r="K682" s="19" t="inlineStr">
        <is>
          <t>2</t>
        </is>
      </c>
      <c r="L682" t="inlineStr">
        <is>
          <t>2026-08-08</t>
        </is>
      </c>
      <c r="N682" t="inlineStr">
        <is>
          <t>IN_SCOPE_FINAL; SOURCE_CFG=IA-ST-CFG-0115; MARKET=START TRADING BULGARİSTAN; STATUS=IN OEM / EU PACKAGE</t>
        </is>
      </c>
      <c r="O682" t="inlineStr">
        <is>
          <t>2026-08-10T19:29:54Z</t>
        </is>
      </c>
      <c r="P682" t="inlineStr">
        <is>
          <t>2026-08-10T19:29:54Z</t>
        </is>
      </c>
    </row>
    <row r="683">
      <c r="A683" s="19" t="inlineStr">
        <is>
          <t>682</t>
        </is>
      </c>
      <c r="B683" s="19" t="inlineStr">
        <is>
          <t>SC-1010441-ST-048-EUR-10</t>
        </is>
      </c>
      <c r="C683" t="inlineStr">
        <is>
          <t>1010441 → ST-048-EUR-10</t>
        </is>
      </c>
      <c r="D683" s="19" t="inlineStr">
        <is>
          <t>2</t>
        </is>
      </c>
      <c r="E683" s="19" t="inlineStr">
        <is>
          <t>189</t>
        </is>
      </c>
      <c r="F683" s="19" t="inlineStr">
        <is>
          <t>95</t>
        </is>
      </c>
      <c r="G683" s="19" t="n"/>
      <c r="H683" s="19" t="inlineStr">
        <is>
          <t>2</t>
        </is>
      </c>
      <c r="I683" s="19" t="n"/>
      <c r="J683" s="19" t="n"/>
      <c r="K683" s="19" t="inlineStr">
        <is>
          <t>2</t>
        </is>
      </c>
      <c r="L683" t="inlineStr">
        <is>
          <t>2026-08-08</t>
        </is>
      </c>
      <c r="N683" t="inlineStr">
        <is>
          <t>IN_SCOPE_FINAL; SOURCE_CFG=IA-ST-CFG-0116; MARKET=None; STATUS=IN OEM / EU PACKAGE</t>
        </is>
      </c>
      <c r="O683" t="inlineStr">
        <is>
          <t>2026-08-10T19:29:54Z</t>
        </is>
      </c>
      <c r="P683" t="inlineStr">
        <is>
          <t>2026-08-10T19:29:54Z</t>
        </is>
      </c>
    </row>
    <row r="684">
      <c r="A684" s="19" t="inlineStr">
        <is>
          <t>683</t>
        </is>
      </c>
      <c r="B684" s="19" t="inlineStr">
        <is>
          <t>SC-1014794-ST-048-EUR-10</t>
        </is>
      </c>
      <c r="C684" t="inlineStr">
        <is>
          <t>1014794 → ST-048-EUR-10</t>
        </is>
      </c>
      <c r="D684" s="19" t="inlineStr">
        <is>
          <t>2</t>
        </is>
      </c>
      <c r="E684" s="19" t="inlineStr">
        <is>
          <t>1612</t>
        </is>
      </c>
      <c r="F684" s="19" t="inlineStr">
        <is>
          <t>95</t>
        </is>
      </c>
      <c r="G684" s="19" t="n"/>
      <c r="H684" s="19" t="inlineStr">
        <is>
          <t>2</t>
        </is>
      </c>
      <c r="I684" s="19" t="n"/>
      <c r="J684" s="19" t="n"/>
      <c r="K684" s="19" t="inlineStr">
        <is>
          <t>2</t>
        </is>
      </c>
      <c r="L684" t="inlineStr">
        <is>
          <t>2026-08-08</t>
        </is>
      </c>
      <c r="N684" t="inlineStr">
        <is>
          <t>IN_SCOPE_FINAL; SOURCE_CFG=IA-ST-CFG-0116; MARKET=None; STATUS=IN OEM / EU PACKAGE</t>
        </is>
      </c>
      <c r="O684" t="inlineStr">
        <is>
          <t>2026-08-10T19:29:54Z</t>
        </is>
      </c>
      <c r="P684" t="inlineStr">
        <is>
          <t>2026-08-10T19:29:54Z</t>
        </is>
      </c>
    </row>
    <row r="685">
      <c r="A685" s="19" t="inlineStr">
        <is>
          <t>684</t>
        </is>
      </c>
      <c r="B685" s="19" t="inlineStr">
        <is>
          <t>SC-1008524-ST-048-EUR-10</t>
        </is>
      </c>
      <c r="C685" t="inlineStr">
        <is>
          <t>1008524 → ST-048-EUR-10</t>
        </is>
      </c>
      <c r="D685" s="19" t="inlineStr">
        <is>
          <t>2</t>
        </is>
      </c>
      <c r="E685" s="19" t="inlineStr">
        <is>
          <t>88</t>
        </is>
      </c>
      <c r="F685" s="19" t="inlineStr">
        <is>
          <t>95</t>
        </is>
      </c>
      <c r="G685" s="19" t="n"/>
      <c r="H685" s="19" t="inlineStr">
        <is>
          <t>2</t>
        </is>
      </c>
      <c r="I685" s="19" t="n"/>
      <c r="J685" s="19" t="n"/>
      <c r="K685" s="19" t="inlineStr">
        <is>
          <t>2</t>
        </is>
      </c>
      <c r="L685" t="inlineStr">
        <is>
          <t>2026-08-08</t>
        </is>
      </c>
      <c r="N685" t="inlineStr">
        <is>
          <t>IN_SCOPE_FINAL; SOURCE_CFG=IA-ST-CFG-0116; MARKET=None; STATUS=IN OEM / EU PACKAGE</t>
        </is>
      </c>
      <c r="O685" t="inlineStr">
        <is>
          <t>2026-08-10T19:29:54Z</t>
        </is>
      </c>
      <c r="P685" t="inlineStr">
        <is>
          <t>2026-08-10T19:29:54Z</t>
        </is>
      </c>
    </row>
    <row r="686">
      <c r="A686" s="19" t="inlineStr">
        <is>
          <t>685</t>
        </is>
      </c>
      <c r="B686" s="19" t="inlineStr">
        <is>
          <t>SC-1009937-ST-048-EUR-10</t>
        </is>
      </c>
      <c r="C686" t="inlineStr">
        <is>
          <t>1009937 → ST-048-EUR-10</t>
        </is>
      </c>
      <c r="D686" s="19" t="inlineStr">
        <is>
          <t>2</t>
        </is>
      </c>
      <c r="E686" s="19" t="inlineStr">
        <is>
          <t>126</t>
        </is>
      </c>
      <c r="F686" s="19" t="inlineStr">
        <is>
          <t>95</t>
        </is>
      </c>
      <c r="G686" s="19" t="n"/>
      <c r="H686" s="19" t="inlineStr">
        <is>
          <t>2</t>
        </is>
      </c>
      <c r="I686" s="19" t="n"/>
      <c r="J686" s="19" t="n"/>
      <c r="K686" s="19" t="inlineStr">
        <is>
          <t>2</t>
        </is>
      </c>
      <c r="L686" t="inlineStr">
        <is>
          <t>2026-08-08</t>
        </is>
      </c>
      <c r="N686" t="inlineStr">
        <is>
          <t>IN_SCOPE_FINAL; SOURCE_CFG=IA-ST-CFG-0116; MARKET=BOOSTER; STATUS=IN OEM / EU PACKAGE</t>
        </is>
      </c>
      <c r="O686" t="inlineStr">
        <is>
          <t>2026-08-10T19:29:54Z</t>
        </is>
      </c>
      <c r="P686" t="inlineStr">
        <is>
          <t>2026-08-10T19:29:54Z</t>
        </is>
      </c>
    </row>
    <row r="687">
      <c r="A687" s="19" t="inlineStr">
        <is>
          <t>686</t>
        </is>
      </c>
      <c r="B687" s="19" t="inlineStr">
        <is>
          <t>SC-1013286-ST-048-EUR-10</t>
        </is>
      </c>
      <c r="C687" t="inlineStr">
        <is>
          <t>1013286 → ST-048-EUR-10</t>
        </is>
      </c>
      <c r="D687" s="19" t="inlineStr">
        <is>
          <t>2</t>
        </is>
      </c>
      <c r="E687" s="19" t="inlineStr">
        <is>
          <t>970</t>
        </is>
      </c>
      <c r="F687" s="19" t="inlineStr">
        <is>
          <t>95</t>
        </is>
      </c>
      <c r="G687" s="19" t="n"/>
      <c r="H687" s="19" t="inlineStr">
        <is>
          <t>2</t>
        </is>
      </c>
      <c r="I687" s="19" t="n"/>
      <c r="J687" s="19" t="n"/>
      <c r="K687" s="19" t="inlineStr">
        <is>
          <t>2</t>
        </is>
      </c>
      <c r="L687" t="inlineStr">
        <is>
          <t>2026-08-08</t>
        </is>
      </c>
      <c r="N687" t="inlineStr">
        <is>
          <t>IN_SCOPE_FINAL; SOURCE_CFG=IA-ST-CFG-0116; MARKET=None; STATUS=IN OEM / EU PACKAGE</t>
        </is>
      </c>
      <c r="O687" t="inlineStr">
        <is>
          <t>2026-08-10T19:29:54Z</t>
        </is>
      </c>
      <c r="P687" t="inlineStr">
        <is>
          <t>2026-08-10T19:29:54Z</t>
        </is>
      </c>
    </row>
    <row r="688">
      <c r="A688" s="19" t="inlineStr">
        <is>
          <t>687</t>
        </is>
      </c>
      <c r="B688" s="19" t="inlineStr">
        <is>
          <t>SC-1013184-ST-048-EUR-10</t>
        </is>
      </c>
      <c r="C688" t="inlineStr">
        <is>
          <t>1013184 → ST-048-EUR-10</t>
        </is>
      </c>
      <c r="D688" s="19" t="inlineStr">
        <is>
          <t>2</t>
        </is>
      </c>
      <c r="E688" s="19" t="inlineStr">
        <is>
          <t>936</t>
        </is>
      </c>
      <c r="F688" s="19" t="inlineStr">
        <is>
          <t>95</t>
        </is>
      </c>
      <c r="G688" s="19" t="n"/>
      <c r="H688" s="19" t="inlineStr">
        <is>
          <t>2</t>
        </is>
      </c>
      <c r="I688" s="19" t="n"/>
      <c r="J688" s="19" t="n"/>
      <c r="K688" s="19" t="inlineStr">
        <is>
          <t>2</t>
        </is>
      </c>
      <c r="L688" t="inlineStr">
        <is>
          <t>2026-08-08</t>
        </is>
      </c>
      <c r="N688" t="inlineStr">
        <is>
          <t>IN_SCOPE_FINAL; SOURCE_CFG=IA-ST-CFG-0116; MARKET=LAMPA ITALY İTALYA; STATUS=IN OEM / EU PACKAGE</t>
        </is>
      </c>
      <c r="O688" t="inlineStr">
        <is>
          <t>2026-08-10T19:29:54Z</t>
        </is>
      </c>
      <c r="P688" t="inlineStr">
        <is>
          <t>2026-08-10T19:29:54Z</t>
        </is>
      </c>
    </row>
    <row r="689">
      <c r="A689" s="19" t="inlineStr">
        <is>
          <t>688</t>
        </is>
      </c>
      <c r="B689" s="19" t="inlineStr">
        <is>
          <t>SC-1014643-ST-048-EUR-10</t>
        </is>
      </c>
      <c r="C689" t="inlineStr">
        <is>
          <t>1014643 → ST-048-EUR-10</t>
        </is>
      </c>
      <c r="D689" s="19" t="inlineStr">
        <is>
          <t>2</t>
        </is>
      </c>
      <c r="E689" s="19" t="inlineStr">
        <is>
          <t>1502</t>
        </is>
      </c>
      <c r="F689" s="19" t="inlineStr">
        <is>
          <t>95</t>
        </is>
      </c>
      <c r="G689" s="19" t="n"/>
      <c r="H689" s="19" t="inlineStr">
        <is>
          <t>2</t>
        </is>
      </c>
      <c r="I689" s="19" t="n"/>
      <c r="J689" s="19" t="n"/>
      <c r="K689" s="19" t="inlineStr">
        <is>
          <t>2</t>
        </is>
      </c>
      <c r="L689" t="inlineStr">
        <is>
          <t>2026-08-08</t>
        </is>
      </c>
      <c r="N689" t="inlineStr">
        <is>
          <t>IN_SCOPE_FINAL; SOURCE_CFG=IA-ST-CFG-0116; MARKET=None; STATUS=IN OEM / EU PACKAGE</t>
        </is>
      </c>
      <c r="O689" t="inlineStr">
        <is>
          <t>2026-08-10T19:29:54Z</t>
        </is>
      </c>
      <c r="P689" t="inlineStr">
        <is>
          <t>2026-08-10T19:29:54Z</t>
        </is>
      </c>
    </row>
    <row r="690">
      <c r="A690" s="19" t="inlineStr">
        <is>
          <t>689</t>
        </is>
      </c>
      <c r="B690" s="19" t="inlineStr">
        <is>
          <t>SC-1011579-ST-048-EUR-10</t>
        </is>
      </c>
      <c r="C690" t="inlineStr">
        <is>
          <t>1011579 → ST-048-EUR-10</t>
        </is>
      </c>
      <c r="D690" s="19" t="inlineStr">
        <is>
          <t>2</t>
        </is>
      </c>
      <c r="E690" s="19" t="inlineStr">
        <is>
          <t>317</t>
        </is>
      </c>
      <c r="F690" s="19" t="inlineStr">
        <is>
          <t>95</t>
        </is>
      </c>
      <c r="G690" s="19" t="n"/>
      <c r="H690" s="19" t="inlineStr">
        <is>
          <t>2</t>
        </is>
      </c>
      <c r="I690" s="19" t="n"/>
      <c r="J690" s="19" t="n"/>
      <c r="K690" s="19" t="inlineStr">
        <is>
          <t>2</t>
        </is>
      </c>
      <c r="L690" t="inlineStr">
        <is>
          <t>2026-08-08</t>
        </is>
      </c>
      <c r="N690" t="inlineStr">
        <is>
          <t>IN_SCOPE_FINAL; SOURCE_CFG=IA-ST-CFG-0116; MARKET=CANARIBAT İSPANYA; STATUS=IN OEM / EU PACKAGE</t>
        </is>
      </c>
      <c r="O690" t="inlineStr">
        <is>
          <t>2026-08-10T19:29:54Z</t>
        </is>
      </c>
      <c r="P690" t="inlineStr">
        <is>
          <t>2026-08-10T19:29:54Z</t>
        </is>
      </c>
    </row>
    <row r="691">
      <c r="A691" s="19" t="inlineStr">
        <is>
          <t>690</t>
        </is>
      </c>
      <c r="B691" s="19" t="inlineStr">
        <is>
          <t>SC-1014498-ST-048-EUR-10</t>
        </is>
      </c>
      <c r="C691" t="inlineStr">
        <is>
          <t>1014498 → ST-048-EUR-10</t>
        </is>
      </c>
      <c r="D691" s="19" t="inlineStr">
        <is>
          <t>2</t>
        </is>
      </c>
      <c r="E691" s="19" t="inlineStr">
        <is>
          <t>1422</t>
        </is>
      </c>
      <c r="F691" s="19" t="inlineStr">
        <is>
          <t>95</t>
        </is>
      </c>
      <c r="G691" s="19" t="n"/>
      <c r="H691" s="19" t="inlineStr">
        <is>
          <t>2</t>
        </is>
      </c>
      <c r="I691" s="19" t="n"/>
      <c r="J691" s="19" t="n"/>
      <c r="K691" s="19" t="inlineStr">
        <is>
          <t>2</t>
        </is>
      </c>
      <c r="L691" t="inlineStr">
        <is>
          <t>2026-08-08</t>
        </is>
      </c>
      <c r="N691" t="inlineStr">
        <is>
          <t>IN_SCOPE_FINAL; SOURCE_CFG=IA-ST-CFG-0116; MARKET=None; STATUS=IN OEM / EU PACKAGE</t>
        </is>
      </c>
      <c r="O691" t="inlineStr">
        <is>
          <t>2026-08-10T19:29:54Z</t>
        </is>
      </c>
      <c r="P691" t="inlineStr">
        <is>
          <t>2026-08-10T19:29:54Z</t>
        </is>
      </c>
    </row>
    <row r="692">
      <c r="A692" s="19" t="inlineStr">
        <is>
          <t>691</t>
        </is>
      </c>
      <c r="B692" s="19" t="inlineStr">
        <is>
          <t>SC-1012857-ST-048-EUR-10</t>
        </is>
      </c>
      <c r="C692" t="inlineStr">
        <is>
          <t>1012857 → ST-048-EUR-10</t>
        </is>
      </c>
      <c r="D692" s="19" t="inlineStr">
        <is>
          <t>2</t>
        </is>
      </c>
      <c r="E692" s="19" t="inlineStr">
        <is>
          <t>824</t>
        </is>
      </c>
      <c r="F692" s="19" t="inlineStr">
        <is>
          <t>95</t>
        </is>
      </c>
      <c r="G692" s="19" t="n"/>
      <c r="H692" s="19" t="inlineStr">
        <is>
          <t>2</t>
        </is>
      </c>
      <c r="I692" s="19" t="n"/>
      <c r="J692" s="19" t="n"/>
      <c r="K692" s="19" t="inlineStr">
        <is>
          <t>2</t>
        </is>
      </c>
      <c r="L692" t="inlineStr">
        <is>
          <t>2026-08-08</t>
        </is>
      </c>
      <c r="N692" t="inlineStr">
        <is>
          <t>IN_SCOPE_FINAL; SOURCE_CFG=IA-ST-CFG-0116; MARKET=None; STATUS=IN OEM / EU PACKAGE</t>
        </is>
      </c>
      <c r="O692" t="inlineStr">
        <is>
          <t>2026-08-10T19:29:54Z</t>
        </is>
      </c>
      <c r="P692" t="inlineStr">
        <is>
          <t>2026-08-10T19:29:54Z</t>
        </is>
      </c>
    </row>
    <row r="693">
      <c r="A693" s="19" t="inlineStr">
        <is>
          <t>692</t>
        </is>
      </c>
      <c r="B693" s="19" t="inlineStr">
        <is>
          <t>SC-1014795-ST-048-EUR-10</t>
        </is>
      </c>
      <c r="C693" t="inlineStr">
        <is>
          <t>1014795 → ST-048-EUR-10</t>
        </is>
      </c>
      <c r="D693" s="19" t="inlineStr">
        <is>
          <t>2</t>
        </is>
      </c>
      <c r="E693" s="19" t="inlineStr">
        <is>
          <t>1613</t>
        </is>
      </c>
      <c r="F693" s="19" t="inlineStr">
        <is>
          <t>95</t>
        </is>
      </c>
      <c r="G693" s="19" t="n"/>
      <c r="H693" s="19" t="inlineStr">
        <is>
          <t>2</t>
        </is>
      </c>
      <c r="I693" s="19" t="n"/>
      <c r="J693" s="19" t="n"/>
      <c r="K693" s="19" t="inlineStr">
        <is>
          <t>2</t>
        </is>
      </c>
      <c r="L693" t="inlineStr">
        <is>
          <t>2026-08-08</t>
        </is>
      </c>
      <c r="N693" t="inlineStr">
        <is>
          <t>IN_SCOPE_FINAL; SOURCE_CFG=IA-ST-CFG-0116; MARKET=None; STATUS=IN OEM / EU PACKAGE</t>
        </is>
      </c>
      <c r="O693" t="inlineStr">
        <is>
          <t>2026-08-10T19:29:54Z</t>
        </is>
      </c>
      <c r="P693" t="inlineStr">
        <is>
          <t>2026-08-10T19:29:54Z</t>
        </is>
      </c>
    </row>
    <row r="694">
      <c r="A694" s="19" t="inlineStr">
        <is>
          <t>693</t>
        </is>
      </c>
      <c r="B694" s="19" t="inlineStr">
        <is>
          <t>SC-1013863-ST-048-EUR-10</t>
        </is>
      </c>
      <c r="C694" t="inlineStr">
        <is>
          <t>1013863 → ST-048-EUR-10</t>
        </is>
      </c>
      <c r="D694" s="19" t="inlineStr">
        <is>
          <t>2</t>
        </is>
      </c>
      <c r="E694" s="19" t="inlineStr">
        <is>
          <t>1114</t>
        </is>
      </c>
      <c r="F694" s="19" t="inlineStr">
        <is>
          <t>95</t>
        </is>
      </c>
      <c r="G694" s="19" t="n"/>
      <c r="H694" s="19" t="inlineStr">
        <is>
          <t>2</t>
        </is>
      </c>
      <c r="I694" s="19" t="n"/>
      <c r="J694" s="19" t="n"/>
      <c r="K694" s="19" t="inlineStr">
        <is>
          <t>2</t>
        </is>
      </c>
      <c r="L694" t="inlineStr">
        <is>
          <t>2026-08-08</t>
        </is>
      </c>
      <c r="N694" t="inlineStr">
        <is>
          <t>IN_SCOPE_FINAL; SOURCE_CFG=IA-ST-CFG-0116; MARKET=None; STATUS=IN OEM / EU PACKAGE</t>
        </is>
      </c>
      <c r="O694" t="inlineStr">
        <is>
          <t>2026-08-10T19:29:54Z</t>
        </is>
      </c>
      <c r="P694" t="inlineStr">
        <is>
          <t>2026-08-10T19:29:54Z</t>
        </is>
      </c>
    </row>
    <row r="695">
      <c r="A695" s="19" t="inlineStr">
        <is>
          <t>694</t>
        </is>
      </c>
      <c r="B695" s="19" t="inlineStr">
        <is>
          <t>SC-1014144-ST-048-EUR-10</t>
        </is>
      </c>
      <c r="C695" t="inlineStr">
        <is>
          <t>1014144 → ST-048-EUR-10</t>
        </is>
      </c>
      <c r="D695" s="19" t="inlineStr">
        <is>
          <t>2</t>
        </is>
      </c>
      <c r="E695" s="19" t="inlineStr">
        <is>
          <t>1232</t>
        </is>
      </c>
      <c r="F695" s="19" t="inlineStr">
        <is>
          <t>95</t>
        </is>
      </c>
      <c r="G695" s="19" t="n"/>
      <c r="H695" s="19" t="inlineStr">
        <is>
          <t>2</t>
        </is>
      </c>
      <c r="I695" s="19" t="n"/>
      <c r="J695" s="19" t="n"/>
      <c r="K695" s="19" t="inlineStr">
        <is>
          <t>2</t>
        </is>
      </c>
      <c r="L695" t="inlineStr">
        <is>
          <t>2026-08-08</t>
        </is>
      </c>
      <c r="N695" t="inlineStr">
        <is>
          <t>IN_SCOPE_FINAL; SOURCE_CFG=IA-ST-CFG-0116; MARKET=BOOSTER; STATUS=IN OEM / EU PACKAGE</t>
        </is>
      </c>
      <c r="O695" t="inlineStr">
        <is>
          <t>2026-08-10T19:29:54Z</t>
        </is>
      </c>
      <c r="P695" t="inlineStr">
        <is>
          <t>2026-08-10T19:29:54Z</t>
        </is>
      </c>
    </row>
    <row r="696">
      <c r="A696" s="19" t="inlineStr">
        <is>
          <t>695</t>
        </is>
      </c>
      <c r="B696" s="19" t="inlineStr">
        <is>
          <t>SC-1011583-ST-048-EUR-10</t>
        </is>
      </c>
      <c r="C696" t="inlineStr">
        <is>
          <t>1011583 → ST-048-EUR-10</t>
        </is>
      </c>
      <c r="D696" s="19" t="inlineStr">
        <is>
          <t>2</t>
        </is>
      </c>
      <c r="E696" s="19" t="inlineStr">
        <is>
          <t>320</t>
        </is>
      </c>
      <c r="F696" s="19" t="inlineStr">
        <is>
          <t>95</t>
        </is>
      </c>
      <c r="G696" s="19" t="n"/>
      <c r="H696" s="19" t="inlineStr">
        <is>
          <t>2</t>
        </is>
      </c>
      <c r="I696" s="19" t="n"/>
      <c r="J696" s="19" t="n"/>
      <c r="K696" s="19" t="inlineStr">
        <is>
          <t>2</t>
        </is>
      </c>
      <c r="L696" t="inlineStr">
        <is>
          <t>2026-08-08</t>
        </is>
      </c>
      <c r="N696" t="inlineStr">
        <is>
          <t>IN_SCOPE_FINAL; SOURCE_CFG=IA-ST-CFG-0116; MARKET=CANARIBAT İSPANYA; STATUS=IN OEM / EU PACKAGE</t>
        </is>
      </c>
      <c r="O696" t="inlineStr">
        <is>
          <t>2026-08-10T19:29:54Z</t>
        </is>
      </c>
      <c r="P696" t="inlineStr">
        <is>
          <t>2026-08-10T19:29:54Z</t>
        </is>
      </c>
    </row>
    <row r="697">
      <c r="A697" s="19" t="inlineStr">
        <is>
          <t>696</t>
        </is>
      </c>
      <c r="B697" s="19" t="inlineStr">
        <is>
          <t>SC-1012526-ST-048-EUR-10</t>
        </is>
      </c>
      <c r="C697" t="inlineStr">
        <is>
          <t>1012526 → ST-048-EUR-10</t>
        </is>
      </c>
      <c r="D697" s="19" t="inlineStr">
        <is>
          <t>2</t>
        </is>
      </c>
      <c r="E697" s="19" t="inlineStr">
        <is>
          <t>685</t>
        </is>
      </c>
      <c r="F697" s="19" t="inlineStr">
        <is>
          <t>95</t>
        </is>
      </c>
      <c r="G697" s="19" t="n"/>
      <c r="H697" s="19" t="inlineStr">
        <is>
          <t>2</t>
        </is>
      </c>
      <c r="I697" s="19" t="n"/>
      <c r="J697" s="19" t="n"/>
      <c r="K697" s="19" t="inlineStr">
        <is>
          <t>2</t>
        </is>
      </c>
      <c r="L697" t="inlineStr">
        <is>
          <t>2026-08-08</t>
        </is>
      </c>
      <c r="N697" t="inlineStr">
        <is>
          <t>IN_SCOPE_FINAL; SOURCE_CFG=IA-ST-CFG-0116; MARKET=None; STATUS=IN OEM / EU PACKAGE</t>
        </is>
      </c>
      <c r="O697" t="inlineStr">
        <is>
          <t>2026-08-10T19:29:54Z</t>
        </is>
      </c>
      <c r="P697" t="inlineStr">
        <is>
          <t>2026-08-10T19:29:54Z</t>
        </is>
      </c>
    </row>
    <row r="698">
      <c r="A698" s="19" t="inlineStr">
        <is>
          <t>697</t>
        </is>
      </c>
      <c r="B698" s="19" t="inlineStr">
        <is>
          <t>SC-1012874-ST-048-EUR-10</t>
        </is>
      </c>
      <c r="C698" t="inlineStr">
        <is>
          <t>1012874 → ST-048-EUR-10</t>
        </is>
      </c>
      <c r="D698" s="19" t="inlineStr">
        <is>
          <t>2</t>
        </is>
      </c>
      <c r="E698" s="19" t="inlineStr">
        <is>
          <t>831</t>
        </is>
      </c>
      <c r="F698" s="19" t="inlineStr">
        <is>
          <t>95</t>
        </is>
      </c>
      <c r="G698" s="19" t="n"/>
      <c r="H698" s="19" t="inlineStr">
        <is>
          <t>2</t>
        </is>
      </c>
      <c r="I698" s="19" t="n"/>
      <c r="J698" s="19" t="n"/>
      <c r="K698" s="19" t="inlineStr">
        <is>
          <t>2</t>
        </is>
      </c>
      <c r="L698" t="inlineStr">
        <is>
          <t>2026-08-08</t>
        </is>
      </c>
      <c r="N698" t="inlineStr">
        <is>
          <t>IN_SCOPE_FINAL; SOURCE_CFG=IA-ST-CFG-0116; MARKET=LAMPA ITALY İTALYA; STATUS=IN OEM / EU PACKAGE</t>
        </is>
      </c>
      <c r="O698" t="inlineStr">
        <is>
          <t>2026-08-10T19:29:54Z</t>
        </is>
      </c>
      <c r="P698" t="inlineStr">
        <is>
          <t>2026-08-10T19:29:54Z</t>
        </is>
      </c>
    </row>
    <row r="699">
      <c r="A699" s="19" t="inlineStr">
        <is>
          <t>698</t>
        </is>
      </c>
      <c r="B699" s="19" t="inlineStr">
        <is>
          <t>SC-1012875-ST-048-EUR-10</t>
        </is>
      </c>
      <c r="C699" t="inlineStr">
        <is>
          <t>1012875 → ST-048-EUR-10</t>
        </is>
      </c>
      <c r="D699" s="19" t="inlineStr">
        <is>
          <t>2</t>
        </is>
      </c>
      <c r="E699" s="19" t="inlineStr">
        <is>
          <t>832</t>
        </is>
      </c>
      <c r="F699" s="19" t="inlineStr">
        <is>
          <t>95</t>
        </is>
      </c>
      <c r="G699" s="19" t="n"/>
      <c r="H699" s="19" t="inlineStr">
        <is>
          <t>2</t>
        </is>
      </c>
      <c r="I699" s="19" t="n"/>
      <c r="J699" s="19" t="n"/>
      <c r="K699" s="19" t="inlineStr">
        <is>
          <t>2</t>
        </is>
      </c>
      <c r="L699" t="inlineStr">
        <is>
          <t>2026-08-08</t>
        </is>
      </c>
      <c r="N699" t="inlineStr">
        <is>
          <t>IN_SCOPE_FINAL; SOURCE_CFG=IA-ST-CFG-0116; MARKET=LAMPA ITALY İTALYA; STATUS=IN OEM / EU PACKAGE</t>
        </is>
      </c>
      <c r="O699" t="inlineStr">
        <is>
          <t>2026-08-10T19:29:54Z</t>
        </is>
      </c>
      <c r="P699" t="inlineStr">
        <is>
          <t>2026-08-10T19:29:54Z</t>
        </is>
      </c>
    </row>
    <row r="700">
      <c r="A700" s="19" t="inlineStr">
        <is>
          <t>699</t>
        </is>
      </c>
      <c r="B700" s="19" t="inlineStr">
        <is>
          <t>SC-1012895-ST-048-EUR-10</t>
        </is>
      </c>
      <c r="C700" t="inlineStr">
        <is>
          <t>1012895 → ST-048-EUR-10</t>
        </is>
      </c>
      <c r="D700" s="19" t="inlineStr">
        <is>
          <t>2</t>
        </is>
      </c>
      <c r="E700" s="19" t="inlineStr">
        <is>
          <t>848</t>
        </is>
      </c>
      <c r="F700" s="19" t="inlineStr">
        <is>
          <t>95</t>
        </is>
      </c>
      <c r="G700" s="19" t="n"/>
      <c r="H700" s="19" t="inlineStr">
        <is>
          <t>2</t>
        </is>
      </c>
      <c r="I700" s="19" t="n"/>
      <c r="J700" s="19" t="n"/>
      <c r="K700" s="19" t="inlineStr">
        <is>
          <t>2</t>
        </is>
      </c>
      <c r="L700" t="inlineStr">
        <is>
          <t>2026-08-08</t>
        </is>
      </c>
      <c r="N700" t="inlineStr">
        <is>
          <t>IN_SCOPE_FINAL; SOURCE_CFG=IA-ST-CFG-0116; MARKET=LAMPA ITALY İTALYA; STATUS=IN OEM / EU PACKAGE</t>
        </is>
      </c>
      <c r="O700" t="inlineStr">
        <is>
          <t>2026-08-10T19:29:54Z</t>
        </is>
      </c>
      <c r="P700" t="inlineStr">
        <is>
          <t>2026-08-10T19:29:54Z</t>
        </is>
      </c>
    </row>
    <row r="701">
      <c r="A701" s="19" t="inlineStr">
        <is>
          <t>700</t>
        </is>
      </c>
      <c r="B701" s="19" t="inlineStr">
        <is>
          <t>SC-1012896-ST-048-EUR-10</t>
        </is>
      </c>
      <c r="C701" t="inlineStr">
        <is>
          <t>1012896 → ST-048-EUR-10</t>
        </is>
      </c>
      <c r="D701" s="19" t="inlineStr">
        <is>
          <t>2</t>
        </is>
      </c>
      <c r="E701" s="19" t="inlineStr">
        <is>
          <t>849</t>
        </is>
      </c>
      <c r="F701" s="19" t="inlineStr">
        <is>
          <t>95</t>
        </is>
      </c>
      <c r="G701" s="19" t="n"/>
      <c r="H701" s="19" t="inlineStr">
        <is>
          <t>2</t>
        </is>
      </c>
      <c r="I701" s="19" t="n"/>
      <c r="J701" s="19" t="n"/>
      <c r="K701" s="19" t="inlineStr">
        <is>
          <t>2</t>
        </is>
      </c>
      <c r="L701" t="inlineStr">
        <is>
          <t>2026-08-08</t>
        </is>
      </c>
      <c r="N701" t="inlineStr">
        <is>
          <t>IN_SCOPE_FINAL; SOURCE_CFG=IA-ST-CFG-0116; MARKET=LAMPA ITALY İTALYA; STATUS=IN OEM / EU PACKAGE</t>
        </is>
      </c>
      <c r="O701" t="inlineStr">
        <is>
          <t>2026-08-10T19:29:54Z</t>
        </is>
      </c>
      <c r="P701" t="inlineStr">
        <is>
          <t>2026-08-10T19:29:54Z</t>
        </is>
      </c>
    </row>
    <row r="702">
      <c r="A702" s="19" t="inlineStr">
        <is>
          <t>701</t>
        </is>
      </c>
      <c r="B702" s="19" t="inlineStr">
        <is>
          <t>SC-1012897-ST-048-EUR-10</t>
        </is>
      </c>
      <c r="C702" t="inlineStr">
        <is>
          <t>1012897 → ST-048-EUR-10</t>
        </is>
      </c>
      <c r="D702" s="19" t="inlineStr">
        <is>
          <t>2</t>
        </is>
      </c>
      <c r="E702" s="19" t="inlineStr">
        <is>
          <t>850</t>
        </is>
      </c>
      <c r="F702" s="19" t="inlineStr">
        <is>
          <t>95</t>
        </is>
      </c>
      <c r="G702" s="19" t="n"/>
      <c r="H702" s="19" t="inlineStr">
        <is>
          <t>2</t>
        </is>
      </c>
      <c r="I702" s="19" t="n"/>
      <c r="J702" s="19" t="n"/>
      <c r="K702" s="19" t="inlineStr">
        <is>
          <t>2</t>
        </is>
      </c>
      <c r="L702" t="inlineStr">
        <is>
          <t>2026-08-08</t>
        </is>
      </c>
      <c r="N702" t="inlineStr">
        <is>
          <t>IN_SCOPE_FINAL; SOURCE_CFG=IA-ST-CFG-0116; MARKET=LAMPA ITALY İTALYA; STATUS=IN OEM / EU PACKAGE</t>
        </is>
      </c>
      <c r="O702" t="inlineStr">
        <is>
          <t>2026-08-10T19:29:54Z</t>
        </is>
      </c>
      <c r="P702" t="inlineStr">
        <is>
          <t>2026-08-10T19:29:54Z</t>
        </is>
      </c>
    </row>
    <row r="703">
      <c r="A703" s="19" t="inlineStr">
        <is>
          <t>702</t>
        </is>
      </c>
      <c r="B703" s="19" t="inlineStr">
        <is>
          <t>SC-1012986-ST-048-EUR-10</t>
        </is>
      </c>
      <c r="C703" t="inlineStr">
        <is>
          <t>1012986 → ST-048-EUR-10</t>
        </is>
      </c>
      <c r="D703" s="19" t="inlineStr">
        <is>
          <t>2</t>
        </is>
      </c>
      <c r="E703" s="19" t="inlineStr">
        <is>
          <t>897</t>
        </is>
      </c>
      <c r="F703" s="19" t="inlineStr">
        <is>
          <t>95</t>
        </is>
      </c>
      <c r="G703" s="19" t="n"/>
      <c r="H703" s="19" t="inlineStr">
        <is>
          <t>2</t>
        </is>
      </c>
      <c r="I703" s="19" t="n"/>
      <c r="J703" s="19" t="n"/>
      <c r="K703" s="19" t="inlineStr">
        <is>
          <t>2</t>
        </is>
      </c>
      <c r="L703" t="inlineStr">
        <is>
          <t>2026-08-08</t>
        </is>
      </c>
      <c r="N703" t="inlineStr">
        <is>
          <t>IN_SCOPE_FINAL; SOURCE_CFG=IA-ST-CFG-0116; MARKET=BOOSTER; STATUS=IN OEM / EU PACKAGE</t>
        </is>
      </c>
      <c r="O703" t="inlineStr">
        <is>
          <t>2026-08-10T19:29:54Z</t>
        </is>
      </c>
      <c r="P703" t="inlineStr">
        <is>
          <t>2026-08-10T19:29:54Z</t>
        </is>
      </c>
    </row>
    <row r="704">
      <c r="A704" s="19" t="inlineStr">
        <is>
          <t>703</t>
        </is>
      </c>
      <c r="B704" s="19" t="inlineStr">
        <is>
          <t>SC-1013196-ST-048-EUR-10</t>
        </is>
      </c>
      <c r="C704" t="inlineStr">
        <is>
          <t>1013196 → ST-048-EUR-10</t>
        </is>
      </c>
      <c r="D704" s="19" t="inlineStr">
        <is>
          <t>2</t>
        </is>
      </c>
      <c r="E704" s="19" t="inlineStr">
        <is>
          <t>943</t>
        </is>
      </c>
      <c r="F704" s="19" t="inlineStr">
        <is>
          <t>95</t>
        </is>
      </c>
      <c r="G704" s="19" t="n"/>
      <c r="H704" s="19" t="inlineStr">
        <is>
          <t>2</t>
        </is>
      </c>
      <c r="I704" s="19" t="n"/>
      <c r="J704" s="19" t="n"/>
      <c r="K704" s="19" t="inlineStr">
        <is>
          <t>2</t>
        </is>
      </c>
      <c r="L704" t="inlineStr">
        <is>
          <t>2026-08-08</t>
        </is>
      </c>
      <c r="N704" t="inlineStr">
        <is>
          <t>IN_SCOPE_FINAL; SOURCE_CFG=IA-ST-CFG-0116; MARKET=LAMPA ITALY İTALYA; STATUS=IN OEM / EU PACKAGE</t>
        </is>
      </c>
      <c r="O704" t="inlineStr">
        <is>
          <t>2026-08-10T19:29:54Z</t>
        </is>
      </c>
      <c r="P704" t="inlineStr">
        <is>
          <t>2026-08-10T19:29:54Z</t>
        </is>
      </c>
    </row>
    <row r="705">
      <c r="A705" s="19" t="inlineStr">
        <is>
          <t>704</t>
        </is>
      </c>
      <c r="B705" s="19" t="inlineStr">
        <is>
          <t>SC-1013443-ST-048-EUR-10</t>
        </is>
      </c>
      <c r="C705" t="inlineStr">
        <is>
          <t>1013443 → ST-048-EUR-10</t>
        </is>
      </c>
      <c r="D705" s="19" t="inlineStr">
        <is>
          <t>2</t>
        </is>
      </c>
      <c r="E705" s="19" t="inlineStr">
        <is>
          <t>1000</t>
        </is>
      </c>
      <c r="F705" s="19" t="inlineStr">
        <is>
          <t>95</t>
        </is>
      </c>
      <c r="G705" s="19" t="n"/>
      <c r="H705" s="19" t="inlineStr">
        <is>
          <t>2</t>
        </is>
      </c>
      <c r="I705" s="19" t="n"/>
      <c r="J705" s="19" t="n"/>
      <c r="K705" s="19" t="inlineStr">
        <is>
          <t>2</t>
        </is>
      </c>
      <c r="L705" t="inlineStr">
        <is>
          <t>2026-08-08</t>
        </is>
      </c>
      <c r="N705" t="inlineStr">
        <is>
          <t>IN_SCOPE_FINAL; SOURCE_CFG=IA-ST-CFG-0116; MARKET=None; STATUS=IN OEM / EU PACKAGE</t>
        </is>
      </c>
      <c r="O705" t="inlineStr">
        <is>
          <t>2026-08-10T19:29:54Z</t>
        </is>
      </c>
      <c r="P705" t="inlineStr">
        <is>
          <t>2026-08-10T19:29:54Z</t>
        </is>
      </c>
    </row>
    <row r="706">
      <c r="A706" s="19" t="inlineStr">
        <is>
          <t>705</t>
        </is>
      </c>
      <c r="B706" s="19" t="inlineStr">
        <is>
          <t>SC-1013467-ST-048-EUR-10</t>
        </is>
      </c>
      <c r="C706" t="inlineStr">
        <is>
          <t>1013467 → ST-048-EUR-10</t>
        </is>
      </c>
      <c r="D706" s="19" t="inlineStr">
        <is>
          <t>2</t>
        </is>
      </c>
      <c r="E706" s="19" t="inlineStr">
        <is>
          <t>1011</t>
        </is>
      </c>
      <c r="F706" s="19" t="inlineStr">
        <is>
          <t>95</t>
        </is>
      </c>
      <c r="G706" s="19" t="n"/>
      <c r="H706" s="19" t="inlineStr">
        <is>
          <t>2</t>
        </is>
      </c>
      <c r="I706" s="19" t="n"/>
      <c r="J706" s="19" t="n"/>
      <c r="K706" s="19" t="inlineStr">
        <is>
          <t>2</t>
        </is>
      </c>
      <c r="L706" t="inlineStr">
        <is>
          <t>2026-08-08</t>
        </is>
      </c>
      <c r="N706" t="inlineStr">
        <is>
          <t>IN_SCOPE_FINAL; SOURCE_CFG=IA-ST-CFG-0116; MARKET=None; STATUS=IN OEM / EU PACKAGE</t>
        </is>
      </c>
      <c r="O706" t="inlineStr">
        <is>
          <t>2026-08-10T19:29:54Z</t>
        </is>
      </c>
      <c r="P706" t="inlineStr">
        <is>
          <t>2026-08-10T19:29:54Z</t>
        </is>
      </c>
    </row>
    <row r="707">
      <c r="A707" s="19" t="inlineStr">
        <is>
          <t>706</t>
        </is>
      </c>
      <c r="B707" s="19" t="inlineStr">
        <is>
          <t>SC-1013540-ST-048-EUR-10</t>
        </is>
      </c>
      <c r="C707" t="inlineStr">
        <is>
          <t>1013540 → ST-048-EUR-10</t>
        </is>
      </c>
      <c r="D707" s="19" t="inlineStr">
        <is>
          <t>2</t>
        </is>
      </c>
      <c r="E707" s="19" t="inlineStr">
        <is>
          <t>1027</t>
        </is>
      </c>
      <c r="F707" s="19" t="inlineStr">
        <is>
          <t>95</t>
        </is>
      </c>
      <c r="G707" s="19" t="n"/>
      <c r="H707" s="19" t="inlineStr">
        <is>
          <t>2</t>
        </is>
      </c>
      <c r="I707" s="19" t="n"/>
      <c r="J707" s="19" t="n"/>
      <c r="K707" s="19" t="inlineStr">
        <is>
          <t>2</t>
        </is>
      </c>
      <c r="L707" t="inlineStr">
        <is>
          <t>2026-08-08</t>
        </is>
      </c>
      <c r="N707" t="inlineStr">
        <is>
          <t>IN_SCOPE_FINAL; SOURCE_CFG=IA-ST-CFG-0116; MARKET=None; STATUS=IN OEM / EU PACKAGE</t>
        </is>
      </c>
      <c r="O707" t="inlineStr">
        <is>
          <t>2026-08-10T19:29:54Z</t>
        </is>
      </c>
      <c r="P707" t="inlineStr">
        <is>
          <t>2026-08-10T19:29:54Z</t>
        </is>
      </c>
    </row>
    <row r="708">
      <c r="A708" s="19" t="inlineStr">
        <is>
          <t>707</t>
        </is>
      </c>
      <c r="B708" s="19" t="inlineStr">
        <is>
          <t>SC-1013718-ST-048-EUR-10</t>
        </is>
      </c>
      <c r="C708" t="inlineStr">
        <is>
          <t>1013718 → ST-048-EUR-10</t>
        </is>
      </c>
      <c r="D708" s="19" t="inlineStr">
        <is>
          <t>2</t>
        </is>
      </c>
      <c r="E708" s="19" t="inlineStr">
        <is>
          <t>1070</t>
        </is>
      </c>
      <c r="F708" s="19" t="inlineStr">
        <is>
          <t>95</t>
        </is>
      </c>
      <c r="G708" s="19" t="n"/>
      <c r="H708" s="19" t="inlineStr">
        <is>
          <t>2</t>
        </is>
      </c>
      <c r="I708" s="19" t="n"/>
      <c r="J708" s="19" t="n"/>
      <c r="K708" s="19" t="inlineStr">
        <is>
          <t>2</t>
        </is>
      </c>
      <c r="L708" t="inlineStr">
        <is>
          <t>2026-08-08</t>
        </is>
      </c>
      <c r="N708" t="inlineStr">
        <is>
          <t>IN_SCOPE_FINAL; SOURCE_CFG=IA-ST-CFG-0116; MARKET=None; STATUS=IN OEM / EU PACKAGE</t>
        </is>
      </c>
      <c r="O708" t="inlineStr">
        <is>
          <t>2026-08-10T19:29:54Z</t>
        </is>
      </c>
      <c r="P708" t="inlineStr">
        <is>
          <t>2026-08-10T19:29:54Z</t>
        </is>
      </c>
    </row>
    <row r="709">
      <c r="A709" s="19" t="inlineStr">
        <is>
          <t>708</t>
        </is>
      </c>
      <c r="B709" s="19" t="inlineStr">
        <is>
          <t>SC-1014646-ST-048-EUR-10</t>
        </is>
      </c>
      <c r="C709" t="inlineStr">
        <is>
          <t>1014646 → ST-048-EUR-10</t>
        </is>
      </c>
      <c r="D709" s="19" t="inlineStr">
        <is>
          <t>2</t>
        </is>
      </c>
      <c r="E709" s="19" t="inlineStr">
        <is>
          <t>1505</t>
        </is>
      </c>
      <c r="F709" s="19" t="inlineStr">
        <is>
          <t>95</t>
        </is>
      </c>
      <c r="G709" s="19" t="n"/>
      <c r="H709" s="19" t="inlineStr">
        <is>
          <t>2</t>
        </is>
      </c>
      <c r="I709" s="19" t="n"/>
      <c r="J709" s="19" t="n"/>
      <c r="K709" s="19" t="inlineStr">
        <is>
          <t>2</t>
        </is>
      </c>
      <c r="L709" t="inlineStr">
        <is>
          <t>2026-08-08</t>
        </is>
      </c>
      <c r="N709" t="inlineStr">
        <is>
          <t>IN_SCOPE_FINAL; SOURCE_CFG=IA-ST-CFG-0116; MARKET=None; STATUS=IN OEM / EU PACKAGE</t>
        </is>
      </c>
      <c r="O709" t="inlineStr">
        <is>
          <t>2026-08-10T19:29:54Z</t>
        </is>
      </c>
      <c r="P709" t="inlineStr">
        <is>
          <t>2026-08-10T19:29:54Z</t>
        </is>
      </c>
    </row>
    <row r="710">
      <c r="A710" s="19" t="inlineStr">
        <is>
          <t>709</t>
        </is>
      </c>
      <c r="B710" s="19" t="inlineStr">
        <is>
          <t>SC-1014860-ST-048-EUR-10</t>
        </is>
      </c>
      <c r="C710" t="inlineStr">
        <is>
          <t>1014860 → ST-048-EUR-10</t>
        </is>
      </c>
      <c r="D710" s="19" t="inlineStr">
        <is>
          <t>2</t>
        </is>
      </c>
      <c r="E710" s="19" t="inlineStr">
        <is>
          <t>1643</t>
        </is>
      </c>
      <c r="F710" s="19" t="inlineStr">
        <is>
          <t>95</t>
        </is>
      </c>
      <c r="G710" s="19" t="n"/>
      <c r="H710" s="19" t="inlineStr">
        <is>
          <t>2</t>
        </is>
      </c>
      <c r="I710" s="19" t="n"/>
      <c r="J710" s="19" t="n"/>
      <c r="K710" s="19" t="inlineStr">
        <is>
          <t>2</t>
        </is>
      </c>
      <c r="L710" t="inlineStr">
        <is>
          <t>2026-08-08</t>
        </is>
      </c>
      <c r="N710" t="inlineStr">
        <is>
          <t>IN_SCOPE_FINAL; SOURCE_CFG=IA-ST-CFG-0116; MARKET=ALEX ARABATZIS BSA(YUNANİSTAN); STATUS=IN OEM / EU PACKAGE</t>
        </is>
      </c>
      <c r="O710" t="inlineStr">
        <is>
          <t>2026-08-10T19:29:54Z</t>
        </is>
      </c>
      <c r="P710" t="inlineStr">
        <is>
          <t>2026-08-10T19:29:54Z</t>
        </is>
      </c>
    </row>
    <row r="711">
      <c r="A711" s="19" t="inlineStr">
        <is>
          <t>710</t>
        </is>
      </c>
      <c r="B711" s="19" t="inlineStr">
        <is>
          <t>SC-1014527-ST-048-EUR-11</t>
        </is>
      </c>
      <c r="C711" t="inlineStr">
        <is>
          <t>1014527 → ST-048-EUR-11</t>
        </is>
      </c>
      <c r="D711" s="19" t="inlineStr">
        <is>
          <t>2</t>
        </is>
      </c>
      <c r="E711" s="19" t="inlineStr">
        <is>
          <t>1427</t>
        </is>
      </c>
      <c r="F711" s="19" t="inlineStr">
        <is>
          <t>96</t>
        </is>
      </c>
      <c r="G711" s="19" t="n"/>
      <c r="H711" s="19" t="inlineStr">
        <is>
          <t>2</t>
        </is>
      </c>
      <c r="I711" s="19" t="n"/>
      <c r="J711" s="19" t="n"/>
      <c r="K711" s="19" t="inlineStr">
        <is>
          <t>2</t>
        </is>
      </c>
      <c r="L711" t="inlineStr">
        <is>
          <t>2026-08-08</t>
        </is>
      </c>
      <c r="N711" t="inlineStr">
        <is>
          <t>IN_SCOPE_FINAL; SOURCE_CFG=IA-ST-CFG-0117; MARKET=None; STATUS=IN OEM / EU PACKAGE</t>
        </is>
      </c>
      <c r="O711" t="inlineStr">
        <is>
          <t>2026-08-10T19:29:54Z</t>
        </is>
      </c>
      <c r="P711" t="inlineStr">
        <is>
          <t>2026-08-10T19:29:54Z</t>
        </is>
      </c>
    </row>
    <row r="712">
      <c r="A712" s="19" t="inlineStr">
        <is>
          <t>711</t>
        </is>
      </c>
      <c r="B712" s="19" t="inlineStr">
        <is>
          <t>SC-1006658-ST-048-EUR-12</t>
        </is>
      </c>
      <c r="C712" t="inlineStr">
        <is>
          <t>1006658 → ST-048-EUR-12</t>
        </is>
      </c>
      <c r="D712" s="19" t="inlineStr">
        <is>
          <t>2</t>
        </is>
      </c>
      <c r="E712" s="19" t="inlineStr">
        <is>
          <t>65</t>
        </is>
      </c>
      <c r="F712" s="19" t="inlineStr">
        <is>
          <t>97</t>
        </is>
      </c>
      <c r="G712" s="19" t="n"/>
      <c r="H712" s="19" t="inlineStr">
        <is>
          <t>2</t>
        </is>
      </c>
      <c r="I712" s="19" t="n"/>
      <c r="J712" s="19" t="n"/>
      <c r="K712" s="19" t="inlineStr">
        <is>
          <t>2</t>
        </is>
      </c>
      <c r="L712" t="inlineStr">
        <is>
          <t>2026-08-08</t>
        </is>
      </c>
      <c r="N712" t="inlineStr">
        <is>
          <t>IN_SCOPE_FINAL; SOURCE_CFG=IA-ST-CFG-0118; MARKET=DORFELT ALMANYA; STATUS=IN OEM / EU PACKAGE</t>
        </is>
      </c>
      <c r="O712" t="inlineStr">
        <is>
          <t>2026-08-10T19:29:54Z</t>
        </is>
      </c>
      <c r="P712" t="inlineStr">
        <is>
          <t>2026-08-10T19:29:54Z</t>
        </is>
      </c>
    </row>
    <row r="713">
      <c r="A713" s="19" t="inlineStr">
        <is>
          <t>712</t>
        </is>
      </c>
      <c r="B713" s="19" t="inlineStr">
        <is>
          <t>SC-1014922-ST-048-EUR-12</t>
        </is>
      </c>
      <c r="C713" t="inlineStr">
        <is>
          <t>1014922 → ST-048-EUR-12</t>
        </is>
      </c>
      <c r="D713" s="19" t="inlineStr">
        <is>
          <t>2</t>
        </is>
      </c>
      <c r="E713" s="19" t="inlineStr">
        <is>
          <t>1690</t>
        </is>
      </c>
      <c r="F713" s="19" t="inlineStr">
        <is>
          <t>97</t>
        </is>
      </c>
      <c r="G713" s="19" t="n"/>
      <c r="H713" s="19" t="inlineStr">
        <is>
          <t>2</t>
        </is>
      </c>
      <c r="I713" s="19" t="n"/>
      <c r="J713" s="19" t="n"/>
      <c r="K713" s="19" t="inlineStr">
        <is>
          <t>2</t>
        </is>
      </c>
      <c r="L713" t="inlineStr">
        <is>
          <t>2026-08-08</t>
        </is>
      </c>
      <c r="N713" t="inlineStr">
        <is>
          <t>IN_SCOPE_FINAL; SOURCE_CFG=IA-ST-CFG-0118; MARKET=DORFELT ALMANYA; STATUS=IN OEM / EU PACKAGE</t>
        </is>
      </c>
      <c r="O713" t="inlineStr">
        <is>
          <t>2026-08-10T19:29:54Z</t>
        </is>
      </c>
      <c r="P713" t="inlineStr">
        <is>
          <t>2026-08-10T19:29:54Z</t>
        </is>
      </c>
    </row>
    <row r="714">
      <c r="A714" s="19" t="inlineStr">
        <is>
          <t>713</t>
        </is>
      </c>
      <c r="B714" s="19" t="inlineStr">
        <is>
          <t>SC-1014779-ST-048-EUR-12</t>
        </is>
      </c>
      <c r="C714" t="inlineStr">
        <is>
          <t>1014779 → ST-048-EUR-12</t>
        </is>
      </c>
      <c r="D714" s="19" t="inlineStr">
        <is>
          <t>2</t>
        </is>
      </c>
      <c r="E714" s="19" t="inlineStr">
        <is>
          <t>1602</t>
        </is>
      </c>
      <c r="F714" s="19" t="inlineStr">
        <is>
          <t>97</t>
        </is>
      </c>
      <c r="G714" s="19" t="n"/>
      <c r="H714" s="19" t="inlineStr">
        <is>
          <t>2</t>
        </is>
      </c>
      <c r="I714" s="19" t="n"/>
      <c r="J714" s="19" t="n"/>
      <c r="K714" s="19" t="inlineStr">
        <is>
          <t>2</t>
        </is>
      </c>
      <c r="L714" t="inlineStr">
        <is>
          <t>2026-08-08</t>
        </is>
      </c>
      <c r="N714" t="inlineStr">
        <is>
          <t>IN_SCOPE_FINAL; SOURCE_CFG=IA-ST-CFG-0118; MARKET=CAR PARTS DISTRIBUZIONE İTALYA; STATUS=IN OEM / EU PACKAGE</t>
        </is>
      </c>
      <c r="O714" t="inlineStr">
        <is>
          <t>2026-08-10T19:29:54Z</t>
        </is>
      </c>
      <c r="P714" t="inlineStr">
        <is>
          <t>2026-08-10T19:29:54Z</t>
        </is>
      </c>
    </row>
    <row r="715">
      <c r="A715" s="19" t="inlineStr">
        <is>
          <t>714</t>
        </is>
      </c>
      <c r="B715" s="19" t="inlineStr">
        <is>
          <t>SC-1014780-ST-048-EUR-12</t>
        </is>
      </c>
      <c r="C715" t="inlineStr">
        <is>
          <t>1014780 → ST-048-EUR-12</t>
        </is>
      </c>
      <c r="D715" s="19" t="inlineStr">
        <is>
          <t>2</t>
        </is>
      </c>
      <c r="E715" s="19" t="inlineStr">
        <is>
          <t>1603</t>
        </is>
      </c>
      <c r="F715" s="19" t="inlineStr">
        <is>
          <t>97</t>
        </is>
      </c>
      <c r="G715" s="19" t="n"/>
      <c r="H715" s="19" t="inlineStr">
        <is>
          <t>2</t>
        </is>
      </c>
      <c r="I715" s="19" t="n"/>
      <c r="J715" s="19" t="n"/>
      <c r="K715" s="19" t="inlineStr">
        <is>
          <t>2</t>
        </is>
      </c>
      <c r="L715" t="inlineStr">
        <is>
          <t>2026-08-08</t>
        </is>
      </c>
      <c r="N715" t="inlineStr">
        <is>
          <t>IN_SCOPE_FINAL; SOURCE_CFG=IA-ST-CFG-0118; MARKET=CAR PARTS DISTRIBUZIONE İTALYA; STATUS=IN OEM / EU PACKAGE</t>
        </is>
      </c>
      <c r="O715" t="inlineStr">
        <is>
          <t>2026-08-10T19:29:54Z</t>
        </is>
      </c>
      <c r="P715" t="inlineStr">
        <is>
          <t>2026-08-10T19:29:54Z</t>
        </is>
      </c>
    </row>
    <row r="716">
      <c r="A716" s="19" t="inlineStr">
        <is>
          <t>715</t>
        </is>
      </c>
      <c r="B716" s="19" t="inlineStr">
        <is>
          <t>SC-1014930-ST-048-EUR-12</t>
        </is>
      </c>
      <c r="C716" t="inlineStr">
        <is>
          <t>1014930 → ST-048-EUR-12</t>
        </is>
      </c>
      <c r="D716" s="19" t="inlineStr">
        <is>
          <t>2</t>
        </is>
      </c>
      <c r="E716" s="19" t="inlineStr">
        <is>
          <t>1698</t>
        </is>
      </c>
      <c r="F716" s="19" t="inlineStr">
        <is>
          <t>97</t>
        </is>
      </c>
      <c r="G716" s="19" t="n"/>
      <c r="H716" s="19" t="inlineStr">
        <is>
          <t>2</t>
        </is>
      </c>
      <c r="I716" s="19" t="n"/>
      <c r="J716" s="19" t="n"/>
      <c r="K716" s="19" t="inlineStr">
        <is>
          <t>2</t>
        </is>
      </c>
      <c r="L716" t="inlineStr">
        <is>
          <t>2026-08-08</t>
        </is>
      </c>
      <c r="N716" t="inlineStr">
        <is>
          <t>IN_SCOPE_FINAL; SOURCE_CFG=IA-ST-CFG-0118; MARKET=CAR PARTS DISTRIBUZIONE İTALYA; STATUS=IN OEM / EU PACKAGE</t>
        </is>
      </c>
      <c r="O716" t="inlineStr">
        <is>
          <t>2026-08-10T19:29:54Z</t>
        </is>
      </c>
      <c r="P716" t="inlineStr">
        <is>
          <t>2026-08-10T19:29:54Z</t>
        </is>
      </c>
    </row>
    <row r="717">
      <c r="A717" s="19" t="inlineStr">
        <is>
          <t>716</t>
        </is>
      </c>
      <c r="B717" s="19" t="inlineStr">
        <is>
          <t>SC-1011935-ST-051-STD-01</t>
        </is>
      </c>
      <c r="C717" t="inlineStr">
        <is>
          <t>1011935 → ST-051-STD-01</t>
        </is>
      </c>
      <c r="D717" s="19" t="inlineStr">
        <is>
          <t>2</t>
        </is>
      </c>
      <c r="E717" s="19" t="inlineStr">
        <is>
          <t>425</t>
        </is>
      </c>
      <c r="F717" s="19" t="inlineStr">
        <is>
          <t>104</t>
        </is>
      </c>
      <c r="G717" s="19" t="n"/>
      <c r="H717" s="19" t="inlineStr">
        <is>
          <t>2</t>
        </is>
      </c>
      <c r="I717" s="19" t="n"/>
      <c r="J717" s="19" t="n"/>
      <c r="K717" s="19" t="inlineStr">
        <is>
          <t>2</t>
        </is>
      </c>
      <c r="L717" t="inlineStr">
        <is>
          <t>2026-08-08</t>
        </is>
      </c>
      <c r="N717" t="inlineStr">
        <is>
          <t>IN_SCOPE_FINAL; SOURCE_CFG=IA-ST-CFG-0122; MARKET=MISIR ATWAN; STATUS=IN OEM / EU PACKAGE</t>
        </is>
      </c>
      <c r="O717" t="inlineStr">
        <is>
          <t>2026-08-10T19:29:54Z</t>
        </is>
      </c>
      <c r="P717" t="inlineStr">
        <is>
          <t>2026-08-10T19:29:54Z</t>
        </is>
      </c>
    </row>
    <row r="718">
      <c r="A718" s="19" t="inlineStr">
        <is>
          <t>717</t>
        </is>
      </c>
      <c r="B718" s="19" t="inlineStr">
        <is>
          <t>SC-1011936-ST-051-STD-01</t>
        </is>
      </c>
      <c r="C718" t="inlineStr">
        <is>
          <t>1011936 → ST-051-STD-01</t>
        </is>
      </c>
      <c r="D718" s="19" t="inlineStr">
        <is>
          <t>2</t>
        </is>
      </c>
      <c r="E718" s="19" t="inlineStr">
        <is>
          <t>426</t>
        </is>
      </c>
      <c r="F718" s="19" t="inlineStr">
        <is>
          <t>104</t>
        </is>
      </c>
      <c r="G718" s="19" t="n"/>
      <c r="H718" s="19" t="inlineStr">
        <is>
          <t>2</t>
        </is>
      </c>
      <c r="I718" s="19" t="n"/>
      <c r="J718" s="19" t="n"/>
      <c r="K718" s="19" t="inlineStr">
        <is>
          <t>2</t>
        </is>
      </c>
      <c r="L718" t="inlineStr">
        <is>
          <t>2026-08-08</t>
        </is>
      </c>
      <c r="N718" t="inlineStr">
        <is>
          <t>IN_SCOPE_FINAL; SOURCE_CFG=IA-ST-CFG-0122; MARKET=MISIR ATWAN; STATUS=IN OEM / EU PACKAGE</t>
        </is>
      </c>
      <c r="O718" t="inlineStr">
        <is>
          <t>2026-08-10T19:29:54Z</t>
        </is>
      </c>
      <c r="P718" t="inlineStr">
        <is>
          <t>2026-08-10T19:29:54Z</t>
        </is>
      </c>
    </row>
    <row r="719">
      <c r="A719" s="19" t="inlineStr">
        <is>
          <t>718</t>
        </is>
      </c>
      <c r="B719" s="19" t="inlineStr">
        <is>
          <t>SC-1011939-ST-051-STD-01</t>
        </is>
      </c>
      <c r="C719" t="inlineStr">
        <is>
          <t>1011939 → ST-051-STD-01</t>
        </is>
      </c>
      <c r="D719" s="19" t="inlineStr">
        <is>
          <t>2</t>
        </is>
      </c>
      <c r="E719" s="19" t="inlineStr">
        <is>
          <t>429</t>
        </is>
      </c>
      <c r="F719" s="19" t="inlineStr">
        <is>
          <t>104</t>
        </is>
      </c>
      <c r="G719" s="19" t="n"/>
      <c r="H719" s="19" t="inlineStr">
        <is>
          <t>2</t>
        </is>
      </c>
      <c r="I719" s="19" t="n"/>
      <c r="J719" s="19" t="n"/>
      <c r="K719" s="19" t="inlineStr">
        <is>
          <t>2</t>
        </is>
      </c>
      <c r="L719" t="inlineStr">
        <is>
          <t>2026-08-08</t>
        </is>
      </c>
      <c r="N719" t="inlineStr">
        <is>
          <t>IN_SCOPE_FINAL; SOURCE_CFG=IA-ST-CFG-0122; MARKET=MISIR ATWAN; STATUS=IN OEM / EU PACKAGE</t>
        </is>
      </c>
      <c r="O719" t="inlineStr">
        <is>
          <t>2026-08-10T19:29:54Z</t>
        </is>
      </c>
      <c r="P719" t="inlineStr">
        <is>
          <t>2026-08-10T19:29:54Z</t>
        </is>
      </c>
    </row>
    <row r="720">
      <c r="A720" s="19" t="inlineStr">
        <is>
          <t>719</t>
        </is>
      </c>
      <c r="B720" s="19" t="inlineStr">
        <is>
          <t>SC-1013795-ST-051-STD-02</t>
        </is>
      </c>
      <c r="C720" t="inlineStr">
        <is>
          <t>1013795 → ST-051-STD-02</t>
        </is>
      </c>
      <c r="D720" s="19" t="inlineStr">
        <is>
          <t>2</t>
        </is>
      </c>
      <c r="E720" s="19" t="inlineStr">
        <is>
          <t>1100</t>
        </is>
      </c>
      <c r="F720" s="19" t="inlineStr">
        <is>
          <t>105</t>
        </is>
      </c>
      <c r="G720" s="19" t="n"/>
      <c r="H720" s="19" t="inlineStr">
        <is>
          <t>2</t>
        </is>
      </c>
      <c r="I720" s="19" t="n"/>
      <c r="J720" s="19" t="n"/>
      <c r="K720" s="19" t="inlineStr">
        <is>
          <t>2</t>
        </is>
      </c>
      <c r="L720" t="inlineStr">
        <is>
          <t>2026-08-08</t>
        </is>
      </c>
      <c r="N720" t="inlineStr">
        <is>
          <t>IN_SCOPE_FINAL; SOURCE_CFG=IA-ST-CFG-0123; MARKET=SHAWKAT; STATUS=IN OEM / EU PACKAGE</t>
        </is>
      </c>
      <c r="O720" t="inlineStr">
        <is>
          <t>2026-08-10T19:29:54Z</t>
        </is>
      </c>
      <c r="P720" t="inlineStr">
        <is>
          <t>2026-08-10T19:29:54Z</t>
        </is>
      </c>
    </row>
    <row r="721">
      <c r="A721" s="19" t="inlineStr">
        <is>
          <t>720</t>
        </is>
      </c>
      <c r="B721" s="19" t="inlineStr">
        <is>
          <t>SC-1013347-ST-051-STD-03</t>
        </is>
      </c>
      <c r="C721" t="inlineStr">
        <is>
          <t>1013347 → ST-051-STD-03</t>
        </is>
      </c>
      <c r="D721" s="19" t="inlineStr">
        <is>
          <t>2</t>
        </is>
      </c>
      <c r="E721" s="19" t="inlineStr">
        <is>
          <t>978</t>
        </is>
      </c>
      <c r="F721" s="19" t="inlineStr">
        <is>
          <t>106</t>
        </is>
      </c>
      <c r="G721" s="19" t="n"/>
      <c r="H721" s="19" t="inlineStr">
        <is>
          <t>2</t>
        </is>
      </c>
      <c r="I721" s="19" t="n"/>
      <c r="J721" s="19" t="n"/>
      <c r="K721" s="19" t="inlineStr">
        <is>
          <t>2</t>
        </is>
      </c>
      <c r="L721" t="inlineStr">
        <is>
          <t>2026-08-08</t>
        </is>
      </c>
      <c r="N721" t="inlineStr">
        <is>
          <t>IN_SCOPE_FINAL; SOURCE_CFG=IA-ST-CFG-0124; MARKET=YUASA 3000 EXPORT; STATUS=IN OEM / EU PACKAGE</t>
        </is>
      </c>
      <c r="O721" t="inlineStr">
        <is>
          <t>2026-08-10T19:29:54Z</t>
        </is>
      </c>
      <c r="P721" t="inlineStr">
        <is>
          <t>2026-08-10T19:29:54Z</t>
        </is>
      </c>
    </row>
    <row r="722">
      <c r="A722" s="19" t="inlineStr">
        <is>
          <t>721</t>
        </is>
      </c>
      <c r="B722" s="19" t="inlineStr">
        <is>
          <t>SC-1014173-ST-051-STD-04</t>
        </is>
      </c>
      <c r="C722" t="inlineStr">
        <is>
          <t>1014173 → ST-051-STD-04</t>
        </is>
      </c>
      <c r="D722" s="19" t="inlineStr">
        <is>
          <t>2</t>
        </is>
      </c>
      <c r="E722" s="19" t="inlineStr">
        <is>
          <t>1252</t>
        </is>
      </c>
      <c r="F722" s="19" t="inlineStr">
        <is>
          <t>107</t>
        </is>
      </c>
      <c r="G722" s="19" t="n"/>
      <c r="H722" s="19" t="inlineStr">
        <is>
          <t>2</t>
        </is>
      </c>
      <c r="I722" s="19" t="n"/>
      <c r="J722" s="19" t="n"/>
      <c r="K722" s="19" t="inlineStr">
        <is>
          <t>2</t>
        </is>
      </c>
      <c r="L722" t="inlineStr">
        <is>
          <t>2026-08-08</t>
        </is>
      </c>
      <c r="N722" t="inlineStr">
        <is>
          <t>IN_SCOPE_FINAL; SOURCE_CFG=IA-ST-CFG-0125; MARKET=MISIR ATWAN; STATUS=IN OEM / EU PACKAGE</t>
        </is>
      </c>
      <c r="O722" t="inlineStr">
        <is>
          <t>2026-08-10T19:29:54Z</t>
        </is>
      </c>
      <c r="P722" t="inlineStr">
        <is>
          <t>2026-08-10T19:29:54Z</t>
        </is>
      </c>
    </row>
    <row r="723">
      <c r="A723" s="19" t="inlineStr">
        <is>
          <t>722</t>
        </is>
      </c>
      <c r="B723" s="19" t="inlineStr">
        <is>
          <t>SC-1011930-ST-051-STD-05</t>
        </is>
      </c>
      <c r="C723" t="inlineStr">
        <is>
          <t>1011930 → ST-051-STD-05</t>
        </is>
      </c>
      <c r="D723" s="19" t="inlineStr">
        <is>
          <t>2</t>
        </is>
      </c>
      <c r="E723" s="19" t="inlineStr">
        <is>
          <t>420</t>
        </is>
      </c>
      <c r="F723" s="19" t="inlineStr">
        <is>
          <t>108</t>
        </is>
      </c>
      <c r="G723" s="19" t="n"/>
      <c r="H723" s="19" t="inlineStr">
        <is>
          <t>2</t>
        </is>
      </c>
      <c r="I723" s="19" t="n"/>
      <c r="J723" s="19" t="n"/>
      <c r="K723" s="19" t="inlineStr">
        <is>
          <t>2</t>
        </is>
      </c>
      <c r="L723" t="inlineStr">
        <is>
          <t>2026-08-08</t>
        </is>
      </c>
      <c r="N723" t="inlineStr">
        <is>
          <t>IN_SCOPE_FINAL; SOURCE_CFG=IA-ST-CFG-0126; MARKET=MISIR AL AMAN; STATUS=IN OEM / EU PACKAGE</t>
        </is>
      </c>
      <c r="O723" t="inlineStr">
        <is>
          <t>2026-08-10T19:29:54Z</t>
        </is>
      </c>
      <c r="P723" t="inlineStr">
        <is>
          <t>2026-08-10T19:29:54Z</t>
        </is>
      </c>
    </row>
    <row r="724">
      <c r="A724" s="19" t="inlineStr">
        <is>
          <t>723</t>
        </is>
      </c>
      <c r="B724" s="19" t="inlineStr">
        <is>
          <t>SC-1011931-ST-051-STD-05</t>
        </is>
      </c>
      <c r="C724" t="inlineStr">
        <is>
          <t>1011931 → ST-051-STD-05</t>
        </is>
      </c>
      <c r="D724" s="19" t="inlineStr">
        <is>
          <t>2</t>
        </is>
      </c>
      <c r="E724" s="19" t="inlineStr">
        <is>
          <t>421</t>
        </is>
      </c>
      <c r="F724" s="19" t="inlineStr">
        <is>
          <t>108</t>
        </is>
      </c>
      <c r="G724" s="19" t="n"/>
      <c r="H724" s="19" t="inlineStr">
        <is>
          <t>2</t>
        </is>
      </c>
      <c r="I724" s="19" t="n"/>
      <c r="J724" s="19" t="n"/>
      <c r="K724" s="19" t="inlineStr">
        <is>
          <t>2</t>
        </is>
      </c>
      <c r="L724" t="inlineStr">
        <is>
          <t>2026-08-08</t>
        </is>
      </c>
      <c r="N724" t="inlineStr">
        <is>
          <t>IN_SCOPE_FINAL; SOURCE_CFG=IA-ST-CFG-0126; MARKET=MISIR AL AMAN; STATUS=IN OEM / EU PACKAGE</t>
        </is>
      </c>
      <c r="O724" t="inlineStr">
        <is>
          <t>2026-08-10T19:29:54Z</t>
        </is>
      </c>
      <c r="P724" t="inlineStr">
        <is>
          <t>2026-08-10T19:29:54Z</t>
        </is>
      </c>
    </row>
    <row r="725">
      <c r="A725" s="19" t="inlineStr">
        <is>
          <t>724</t>
        </is>
      </c>
      <c r="B725" s="19" t="inlineStr">
        <is>
          <t>SC-1011933-ST-051-STD-05</t>
        </is>
      </c>
      <c r="C725" t="inlineStr">
        <is>
          <t>1011933 → ST-051-STD-05</t>
        </is>
      </c>
      <c r="D725" s="19" t="inlineStr">
        <is>
          <t>2</t>
        </is>
      </c>
      <c r="E725" s="19" t="inlineStr">
        <is>
          <t>423</t>
        </is>
      </c>
      <c r="F725" s="19" t="inlineStr">
        <is>
          <t>108</t>
        </is>
      </c>
      <c r="G725" s="19" t="n"/>
      <c r="H725" s="19" t="inlineStr">
        <is>
          <t>2</t>
        </is>
      </c>
      <c r="I725" s="19" t="n"/>
      <c r="J725" s="19" t="n"/>
      <c r="K725" s="19" t="inlineStr">
        <is>
          <t>2</t>
        </is>
      </c>
      <c r="L725" t="inlineStr">
        <is>
          <t>2026-08-08</t>
        </is>
      </c>
      <c r="N725" t="inlineStr">
        <is>
          <t>IN_SCOPE_FINAL; SOURCE_CFG=IA-ST-CFG-0126; MARKET=MISIR AL AMAN; STATUS=IN OEM / EU PACKAGE</t>
        </is>
      </c>
      <c r="O725" t="inlineStr">
        <is>
          <t>2026-08-10T19:29:54Z</t>
        </is>
      </c>
      <c r="P725" t="inlineStr">
        <is>
          <t>2026-08-10T19:29:54Z</t>
        </is>
      </c>
    </row>
    <row r="726">
      <c r="A726" s="19" t="inlineStr">
        <is>
          <t>725</t>
        </is>
      </c>
      <c r="B726" s="19" t="inlineStr">
        <is>
          <t>SC-1011934-ST-051-STD-05</t>
        </is>
      </c>
      <c r="C726" t="inlineStr">
        <is>
          <t>1011934 → ST-051-STD-05</t>
        </is>
      </c>
      <c r="D726" s="19" t="inlineStr">
        <is>
          <t>2</t>
        </is>
      </c>
      <c r="E726" s="19" t="inlineStr">
        <is>
          <t>424</t>
        </is>
      </c>
      <c r="F726" s="19" t="inlineStr">
        <is>
          <t>108</t>
        </is>
      </c>
      <c r="G726" s="19" t="n"/>
      <c r="H726" s="19" t="inlineStr">
        <is>
          <t>2</t>
        </is>
      </c>
      <c r="I726" s="19" t="n"/>
      <c r="J726" s="19" t="n"/>
      <c r="K726" s="19" t="inlineStr">
        <is>
          <t>2</t>
        </is>
      </c>
      <c r="L726" t="inlineStr">
        <is>
          <t>2026-08-08</t>
        </is>
      </c>
      <c r="N726" t="inlineStr">
        <is>
          <t>IN_SCOPE_FINAL; SOURCE_CFG=IA-ST-CFG-0126; MARKET=MISIR AL AMAN; STATUS=IN OEM / EU PACKAGE</t>
        </is>
      </c>
      <c r="O726" t="inlineStr">
        <is>
          <t>2026-08-10T19:29:54Z</t>
        </is>
      </c>
      <c r="P726" t="inlineStr">
        <is>
          <t>2026-08-10T19:29:54Z</t>
        </is>
      </c>
    </row>
    <row r="727">
      <c r="A727" s="19" t="inlineStr">
        <is>
          <t>726</t>
        </is>
      </c>
      <c r="B727" s="19" t="inlineStr">
        <is>
          <t>SC-1015082-ST-051-STD-05</t>
        </is>
      </c>
      <c r="C727" t="inlineStr">
        <is>
          <t>1015082 → ST-051-STD-05</t>
        </is>
      </c>
      <c r="D727" s="19" t="inlineStr">
        <is>
          <t>2</t>
        </is>
      </c>
      <c r="E727" s="19" t="inlineStr">
        <is>
          <t>1837</t>
        </is>
      </c>
      <c r="F727" s="19" t="inlineStr">
        <is>
          <t>108</t>
        </is>
      </c>
      <c r="G727" s="19" t="n"/>
      <c r="H727" s="19" t="inlineStr">
        <is>
          <t>2</t>
        </is>
      </c>
      <c r="I727" s="19" t="n"/>
      <c r="J727" s="19" t="n"/>
      <c r="K727" s="19" t="inlineStr">
        <is>
          <t>2</t>
        </is>
      </c>
      <c r="L727" t="inlineStr">
        <is>
          <t>2026-08-08</t>
        </is>
      </c>
      <c r="N727" t="inlineStr">
        <is>
          <t>IN_SCOPE_FINAL; SOURCE_CFG=IA-ST-CFG-0126; MARKET=MISIR AL AMAN; STATUS=IN OEM / EU PACKAGE</t>
        </is>
      </c>
      <c r="O727" t="inlineStr">
        <is>
          <t>2026-08-10T19:29:54Z</t>
        </is>
      </c>
      <c r="P727" t="inlineStr">
        <is>
          <t>2026-08-10T19:29:54Z</t>
        </is>
      </c>
    </row>
    <row r="728">
      <c r="A728" s="19" t="inlineStr">
        <is>
          <t>727</t>
        </is>
      </c>
      <c r="B728" s="19" t="inlineStr">
        <is>
          <t>SC-1013991-ST-051-STD-06</t>
        </is>
      </c>
      <c r="C728" t="inlineStr">
        <is>
          <t>1013991 → ST-051-STD-06</t>
        </is>
      </c>
      <c r="D728" s="19" t="inlineStr">
        <is>
          <t>2</t>
        </is>
      </c>
      <c r="E728" s="19" t="inlineStr">
        <is>
          <t>1162</t>
        </is>
      </c>
      <c r="F728" s="19" t="inlineStr">
        <is>
          <t>109</t>
        </is>
      </c>
      <c r="G728" s="19" t="n"/>
      <c r="H728" s="19" t="inlineStr">
        <is>
          <t>2</t>
        </is>
      </c>
      <c r="I728" s="19" t="n"/>
      <c r="J728" s="19" t="n"/>
      <c r="K728" s="19" t="inlineStr">
        <is>
          <t>2</t>
        </is>
      </c>
      <c r="L728" t="inlineStr">
        <is>
          <t>2026-08-08</t>
        </is>
      </c>
      <c r="N728" t="inlineStr">
        <is>
          <t>IN_SCOPE_FINAL; SOURCE_CFG=IA-ST-CFG-0127; MARKET=YURT İÇİ AFM; STATUS=IN OEM / EU PACKAGE</t>
        </is>
      </c>
      <c r="O728" t="inlineStr">
        <is>
          <t>2026-08-10T19:29:54Z</t>
        </is>
      </c>
      <c r="P728" t="inlineStr">
        <is>
          <t>2026-08-10T19:29:54Z</t>
        </is>
      </c>
    </row>
    <row r="729">
      <c r="A729" s="19" t="inlineStr">
        <is>
          <t>728</t>
        </is>
      </c>
      <c r="B729" s="19" t="inlineStr">
        <is>
          <t>SC-1011913-ST-051-STD-07</t>
        </is>
      </c>
      <c r="C729" t="inlineStr">
        <is>
          <t>1011913 → ST-051-STD-07</t>
        </is>
      </c>
      <c r="D729" s="19" t="inlineStr">
        <is>
          <t>2</t>
        </is>
      </c>
      <c r="E729" s="19" t="inlineStr">
        <is>
          <t>410</t>
        </is>
      </c>
      <c r="F729" s="19" t="inlineStr">
        <is>
          <t>110</t>
        </is>
      </c>
      <c r="G729" s="19" t="n"/>
      <c r="H729" s="19" t="inlineStr">
        <is>
          <t>2</t>
        </is>
      </c>
      <c r="I729" s="19" t="n"/>
      <c r="J729" s="19" t="n"/>
      <c r="K729" s="19" t="inlineStr">
        <is>
          <t>2</t>
        </is>
      </c>
      <c r="L729" t="inlineStr">
        <is>
          <t>2026-08-08</t>
        </is>
      </c>
      <c r="N729" t="inlineStr">
        <is>
          <t>IN_SCOPE_FINAL; SOURCE_CFG=IA-ST-CFG-0128; MARKET=MISIR EEC; STATUS=IN OEM / EU PACKAGE</t>
        </is>
      </c>
      <c r="O729" t="inlineStr">
        <is>
          <t>2026-08-10T19:29:54Z</t>
        </is>
      </c>
      <c r="P729" t="inlineStr">
        <is>
          <t>2026-08-10T19:29:54Z</t>
        </is>
      </c>
    </row>
    <row r="730">
      <c r="A730" s="19" t="inlineStr">
        <is>
          <t>729</t>
        </is>
      </c>
      <c r="B730" s="19" t="inlineStr">
        <is>
          <t>SC-1011940-ST-051-STD-07</t>
        </is>
      </c>
      <c r="C730" t="inlineStr">
        <is>
          <t>1011940 → ST-051-STD-07</t>
        </is>
      </c>
      <c r="D730" s="19" t="inlineStr">
        <is>
          <t>2</t>
        </is>
      </c>
      <c r="E730" s="19" t="inlineStr">
        <is>
          <t>430</t>
        </is>
      </c>
      <c r="F730" s="19" t="inlineStr">
        <is>
          <t>110</t>
        </is>
      </c>
      <c r="G730" s="19" t="n"/>
      <c r="H730" s="19" t="inlineStr">
        <is>
          <t>2</t>
        </is>
      </c>
      <c r="I730" s="19" t="n"/>
      <c r="J730" s="19" t="n"/>
      <c r="K730" s="19" t="inlineStr">
        <is>
          <t>2</t>
        </is>
      </c>
      <c r="L730" t="inlineStr">
        <is>
          <t>2026-08-08</t>
        </is>
      </c>
      <c r="N730" t="inlineStr">
        <is>
          <t>IN_SCOPE_FINAL; SOURCE_CFG=IA-ST-CFG-0128; MARKET=MISIR EEC; STATUS=IN OEM / EU PACKAGE</t>
        </is>
      </c>
      <c r="O730" t="inlineStr">
        <is>
          <t>2026-08-10T19:29:54Z</t>
        </is>
      </c>
      <c r="P730" t="inlineStr">
        <is>
          <t>2026-08-10T19:29:54Z</t>
        </is>
      </c>
    </row>
    <row r="731">
      <c r="A731" s="19" t="inlineStr">
        <is>
          <t>730</t>
        </is>
      </c>
      <c r="B731" s="19" t="inlineStr">
        <is>
          <t>SC-1011941-ST-051-STD-07</t>
        </is>
      </c>
      <c r="C731" t="inlineStr">
        <is>
          <t>1011941 → ST-051-STD-07</t>
        </is>
      </c>
      <c r="D731" s="19" t="inlineStr">
        <is>
          <t>2</t>
        </is>
      </c>
      <c r="E731" s="19" t="inlineStr">
        <is>
          <t>431</t>
        </is>
      </c>
      <c r="F731" s="19" t="inlineStr">
        <is>
          <t>110</t>
        </is>
      </c>
      <c r="G731" s="19" t="n"/>
      <c r="H731" s="19" t="inlineStr">
        <is>
          <t>2</t>
        </is>
      </c>
      <c r="I731" s="19" t="n"/>
      <c r="J731" s="19" t="n"/>
      <c r="K731" s="19" t="inlineStr">
        <is>
          <t>2</t>
        </is>
      </c>
      <c r="L731" t="inlineStr">
        <is>
          <t>2026-08-08</t>
        </is>
      </c>
      <c r="N731" t="inlineStr">
        <is>
          <t>IN_SCOPE_FINAL; SOURCE_CFG=IA-ST-CFG-0128; MARKET=MISIR EEC; STATUS=IN OEM / EU PACKAGE</t>
        </is>
      </c>
      <c r="O731" t="inlineStr">
        <is>
          <t>2026-08-10T19:29:54Z</t>
        </is>
      </c>
      <c r="P731" t="inlineStr">
        <is>
          <t>2026-08-10T19:29:54Z</t>
        </is>
      </c>
    </row>
    <row r="732">
      <c r="A732" s="19" t="inlineStr">
        <is>
          <t>731</t>
        </is>
      </c>
      <c r="B732" s="19" t="inlineStr">
        <is>
          <t>SC-1013966-ST-051-STD-07</t>
        </is>
      </c>
      <c r="C732" t="inlineStr">
        <is>
          <t>1013966 → ST-051-STD-07</t>
        </is>
      </c>
      <c r="D732" s="19" t="inlineStr">
        <is>
          <t>2</t>
        </is>
      </c>
      <c r="E732" s="19" t="inlineStr">
        <is>
          <t>1146</t>
        </is>
      </c>
      <c r="F732" s="19" t="inlineStr">
        <is>
          <t>110</t>
        </is>
      </c>
      <c r="G732" s="19" t="n"/>
      <c r="H732" s="19" t="inlineStr">
        <is>
          <t>2</t>
        </is>
      </c>
      <c r="I732" s="19" t="n"/>
      <c r="J732" s="19" t="n"/>
      <c r="K732" s="19" t="inlineStr">
        <is>
          <t>2</t>
        </is>
      </c>
      <c r="L732" t="inlineStr">
        <is>
          <t>2026-08-08</t>
        </is>
      </c>
      <c r="N732" t="inlineStr">
        <is>
          <t>IN_SCOPE_FINAL; SOURCE_CFG=IA-ST-CFG-0128; MARKET=REDMAY URUGUAY; STATUS=IN OEM / EU PACKAGE</t>
        </is>
      </c>
      <c r="O732" t="inlineStr">
        <is>
          <t>2026-08-10T19:29:54Z</t>
        </is>
      </c>
      <c r="P732" t="inlineStr">
        <is>
          <t>2026-08-10T19:29:54Z</t>
        </is>
      </c>
    </row>
    <row r="733">
      <c r="A733" s="19" t="inlineStr">
        <is>
          <t>732</t>
        </is>
      </c>
      <c r="B733" s="19" t="inlineStr">
        <is>
          <t>SC-1014490-ST-051-STD-08</t>
        </is>
      </c>
      <c r="C733" t="inlineStr">
        <is>
          <t>1014490 → ST-051-STD-08</t>
        </is>
      </c>
      <c r="D733" s="19" t="inlineStr">
        <is>
          <t>2</t>
        </is>
      </c>
      <c r="E733" s="19" t="inlineStr">
        <is>
          <t>1414</t>
        </is>
      </c>
      <c r="F733" s="19" t="inlineStr">
        <is>
          <t>111</t>
        </is>
      </c>
      <c r="G733" s="19" t="n"/>
      <c r="H733" s="19" t="inlineStr">
        <is>
          <t>2</t>
        </is>
      </c>
      <c r="I733" s="19" t="n"/>
      <c r="J733" s="19" t="n"/>
      <c r="K733" s="19" t="inlineStr">
        <is>
          <t>2</t>
        </is>
      </c>
      <c r="L733" t="inlineStr">
        <is>
          <t>2026-08-08</t>
        </is>
      </c>
      <c r="N733" t="inlineStr">
        <is>
          <t>IN_SCOPE_FINAL; SOURCE_CFG=IA-ST-CFG-0129; MARKET=None; STATUS=IN OEM / EU PACKAGE</t>
        </is>
      </c>
      <c r="O733" t="inlineStr">
        <is>
          <t>2026-08-10T19:29:54Z</t>
        </is>
      </c>
      <c r="P733" t="inlineStr">
        <is>
          <t>2026-08-10T19:29:54Z</t>
        </is>
      </c>
    </row>
    <row r="734">
      <c r="A734" s="19" t="inlineStr">
        <is>
          <t>733</t>
        </is>
      </c>
      <c r="B734" s="19" t="inlineStr">
        <is>
          <t>SC-1014425-ST-051-EUR-01</t>
        </is>
      </c>
      <c r="C734" t="inlineStr">
        <is>
          <t>1014425 → ST-051-EUR-01</t>
        </is>
      </c>
      <c r="D734" s="19" t="inlineStr">
        <is>
          <t>2</t>
        </is>
      </c>
      <c r="E734" s="19" t="inlineStr">
        <is>
          <t>1368</t>
        </is>
      </c>
      <c r="F734" s="19" t="inlineStr">
        <is>
          <t>100</t>
        </is>
      </c>
      <c r="G734" s="19" t="n"/>
      <c r="H734" s="19" t="inlineStr">
        <is>
          <t>2</t>
        </is>
      </c>
      <c r="I734" s="19" t="n"/>
      <c r="J734" s="19" t="n"/>
      <c r="K734" s="19" t="inlineStr">
        <is>
          <t>2</t>
        </is>
      </c>
      <c r="L734" t="inlineStr">
        <is>
          <t>2026-08-08</t>
        </is>
      </c>
      <c r="N734" t="inlineStr">
        <is>
          <t>IN_SCOPE_FINAL; SOURCE_CFG=IA-ST-CFG-0132; MARKET=GY EUR; STATUS=IN OEM / EU PACKAGE</t>
        </is>
      </c>
      <c r="O734" t="inlineStr">
        <is>
          <t>2026-08-10T19:29:54Z</t>
        </is>
      </c>
      <c r="P734" t="inlineStr">
        <is>
          <t>2026-08-10T19:29:54Z</t>
        </is>
      </c>
    </row>
    <row r="735">
      <c r="A735" s="19" t="inlineStr">
        <is>
          <t>734</t>
        </is>
      </c>
      <c r="B735" s="19" t="inlineStr">
        <is>
          <t>SC-1014454-ST-051-EUR-01</t>
        </is>
      </c>
      <c r="C735" t="inlineStr">
        <is>
          <t>1014454 → ST-051-EUR-01</t>
        </is>
      </c>
      <c r="D735" s="19" t="inlineStr">
        <is>
          <t>2</t>
        </is>
      </c>
      <c r="E735" s="19" t="inlineStr">
        <is>
          <t>1395</t>
        </is>
      </c>
      <c r="F735" s="19" t="inlineStr">
        <is>
          <t>100</t>
        </is>
      </c>
      <c r="G735" s="19" t="n"/>
      <c r="H735" s="19" t="inlineStr">
        <is>
          <t>2</t>
        </is>
      </c>
      <c r="I735" s="19" t="n"/>
      <c r="J735" s="19" t="n"/>
      <c r="K735" s="19" t="inlineStr">
        <is>
          <t>2</t>
        </is>
      </c>
      <c r="L735" t="inlineStr">
        <is>
          <t>2026-08-08</t>
        </is>
      </c>
      <c r="N735" t="inlineStr">
        <is>
          <t>IN_SCOPE_FINAL; SOURCE_CFG=IA-ST-CFG-0132; MARKET=GY EUR; STATUS=IN OEM / EU PACKAGE</t>
        </is>
      </c>
      <c r="O735" t="inlineStr">
        <is>
          <t>2026-08-10T19:29:54Z</t>
        </is>
      </c>
      <c r="P735" t="inlineStr">
        <is>
          <t>2026-08-10T19:29:54Z</t>
        </is>
      </c>
    </row>
    <row r="736">
      <c r="A736" s="19" t="inlineStr">
        <is>
          <t>735</t>
        </is>
      </c>
      <c r="B736" s="19" t="inlineStr">
        <is>
          <t>SC-1014535-ST-051-EUR-01</t>
        </is>
      </c>
      <c r="C736" t="inlineStr">
        <is>
          <t>1014535 → ST-051-EUR-01</t>
        </is>
      </c>
      <c r="D736" s="19" t="inlineStr">
        <is>
          <t>2</t>
        </is>
      </c>
      <c r="E736" s="19" t="inlineStr">
        <is>
          <t>1429</t>
        </is>
      </c>
      <c r="F736" s="19" t="inlineStr">
        <is>
          <t>100</t>
        </is>
      </c>
      <c r="G736" s="19" t="n"/>
      <c r="H736" s="19" t="inlineStr">
        <is>
          <t>2</t>
        </is>
      </c>
      <c r="I736" s="19" t="n"/>
      <c r="J736" s="19" t="n"/>
      <c r="K736" s="19" t="inlineStr">
        <is>
          <t>2</t>
        </is>
      </c>
      <c r="L736" t="inlineStr">
        <is>
          <t>2026-08-08</t>
        </is>
      </c>
      <c r="N736" t="inlineStr">
        <is>
          <t>IN_SCOPE_FINAL; SOURCE_CFG=IA-ST-CFG-0132; MARKET=GY EUR; STATUS=IN OEM / EU PACKAGE</t>
        </is>
      </c>
      <c r="O736" t="inlineStr">
        <is>
          <t>2026-08-10T19:29:54Z</t>
        </is>
      </c>
      <c r="P736" t="inlineStr">
        <is>
          <t>2026-08-10T19:29:54Z</t>
        </is>
      </c>
    </row>
    <row r="737">
      <c r="A737" s="19" t="inlineStr">
        <is>
          <t>736</t>
        </is>
      </c>
      <c r="B737" s="19" t="inlineStr">
        <is>
          <t>SC-1014753-ST-051-EUR-01</t>
        </is>
      </c>
      <c r="C737" t="inlineStr">
        <is>
          <t>1014753 → ST-051-EUR-01</t>
        </is>
      </c>
      <c r="D737" s="19" t="inlineStr">
        <is>
          <t>2</t>
        </is>
      </c>
      <c r="E737" s="19" t="inlineStr">
        <is>
          <t>1580</t>
        </is>
      </c>
      <c r="F737" s="19" t="inlineStr">
        <is>
          <t>100</t>
        </is>
      </c>
      <c r="G737" s="19" t="n"/>
      <c r="H737" s="19" t="inlineStr">
        <is>
          <t>2</t>
        </is>
      </c>
      <c r="I737" s="19" t="n"/>
      <c r="J737" s="19" t="n"/>
      <c r="K737" s="19" t="inlineStr">
        <is>
          <t>2</t>
        </is>
      </c>
      <c r="L737" t="inlineStr">
        <is>
          <t>2026-08-08</t>
        </is>
      </c>
      <c r="N737" t="inlineStr">
        <is>
          <t>IN_SCOPE_FINAL; SOURCE_CFG=IA-ST-CFG-0132; MARKET=GS STARTAX FINLAND OY; STATUS=IN OEM / EU PACKAGE</t>
        </is>
      </c>
      <c r="O737" t="inlineStr">
        <is>
          <t>2026-08-10T19:29:54Z</t>
        </is>
      </c>
      <c r="P737" t="inlineStr">
        <is>
          <t>2026-08-10T19:29:54Z</t>
        </is>
      </c>
    </row>
    <row r="738">
      <c r="A738" s="19" t="inlineStr">
        <is>
          <t>737</t>
        </is>
      </c>
      <c r="B738" s="19" t="inlineStr">
        <is>
          <t>SC-1015090-ST-051-EUR-01</t>
        </is>
      </c>
      <c r="C738" t="inlineStr">
        <is>
          <t>1015090 → ST-051-EUR-01</t>
        </is>
      </c>
      <c r="D738" s="19" t="inlineStr">
        <is>
          <t>2</t>
        </is>
      </c>
      <c r="E738" s="19" t="inlineStr">
        <is>
          <t>1844</t>
        </is>
      </c>
      <c r="F738" s="19" t="inlineStr">
        <is>
          <t>100</t>
        </is>
      </c>
      <c r="G738" s="19" t="n"/>
      <c r="H738" s="19" t="inlineStr">
        <is>
          <t>2</t>
        </is>
      </c>
      <c r="I738" s="19" t="n"/>
      <c r="J738" s="19" t="n"/>
      <c r="K738" s="19" t="inlineStr">
        <is>
          <t>2</t>
        </is>
      </c>
      <c r="L738" t="inlineStr">
        <is>
          <t>2026-08-08</t>
        </is>
      </c>
      <c r="N738" t="inlineStr">
        <is>
          <t>IN_SCOPE_FINAL; SOURCE_CFG=IA-ST-CFG-0132; MARKET=GY NRD (ADN BALTIC NORDIC); STATUS=IN OEM / EU PACKAGE</t>
        </is>
      </c>
      <c r="O738" t="inlineStr">
        <is>
          <t>2026-08-10T19:29:54Z</t>
        </is>
      </c>
      <c r="P738" t="inlineStr">
        <is>
          <t>2026-08-10T19:29:54Z</t>
        </is>
      </c>
    </row>
    <row r="739">
      <c r="A739" s="19" t="inlineStr">
        <is>
          <t>738</t>
        </is>
      </c>
      <c r="B739" s="19" t="inlineStr">
        <is>
          <t>SC-1015173-ST-051-EUR-01</t>
        </is>
      </c>
      <c r="C739" t="inlineStr">
        <is>
          <t>1015173 → ST-051-EUR-01</t>
        </is>
      </c>
      <c r="D739" s="19" t="inlineStr">
        <is>
          <t>2</t>
        </is>
      </c>
      <c r="E739" s="19" t="inlineStr">
        <is>
          <t>1918</t>
        </is>
      </c>
      <c r="F739" s="19" t="inlineStr">
        <is>
          <t>100</t>
        </is>
      </c>
      <c r="G739" s="19" t="n"/>
      <c r="H739" s="19" t="inlineStr">
        <is>
          <t>2</t>
        </is>
      </c>
      <c r="I739" s="19" t="n"/>
      <c r="J739" s="19" t="n"/>
      <c r="K739" s="19" t="inlineStr">
        <is>
          <t>2</t>
        </is>
      </c>
      <c r="L739" t="inlineStr">
        <is>
          <t>2026-08-08</t>
        </is>
      </c>
      <c r="N739" t="inlineStr">
        <is>
          <t>IN_SCOPE_FINAL; SOURCE_CFG=IA-ST-CFG-0132; MARKET=GY EUR; STATUS=IN OEM / EU PACKAGE</t>
        </is>
      </c>
      <c r="O739" t="inlineStr">
        <is>
          <t>2026-08-10T19:29:54Z</t>
        </is>
      </c>
      <c r="P739" t="inlineStr">
        <is>
          <t>2026-08-10T19:29:54Z</t>
        </is>
      </c>
    </row>
    <row r="740">
      <c r="A740" s="19" t="inlineStr">
        <is>
          <t>739</t>
        </is>
      </c>
      <c r="B740" s="19" t="inlineStr">
        <is>
          <t>SC-1014405-ST-051-EUR-01</t>
        </is>
      </c>
      <c r="C740" t="inlineStr">
        <is>
          <t>1014405 → ST-051-EUR-01</t>
        </is>
      </c>
      <c r="D740" s="19" t="inlineStr">
        <is>
          <t>2</t>
        </is>
      </c>
      <c r="E740" s="19" t="inlineStr">
        <is>
          <t>1353</t>
        </is>
      </c>
      <c r="F740" s="19" t="inlineStr">
        <is>
          <t>100</t>
        </is>
      </c>
      <c r="G740" s="19" t="n"/>
      <c r="H740" s="19" t="inlineStr">
        <is>
          <t>2</t>
        </is>
      </c>
      <c r="I740" s="19" t="n"/>
      <c r="J740" s="19" t="n"/>
      <c r="K740" s="19" t="inlineStr">
        <is>
          <t>2</t>
        </is>
      </c>
      <c r="L740" t="inlineStr">
        <is>
          <t>2026-08-08</t>
        </is>
      </c>
      <c r="N740" t="inlineStr">
        <is>
          <t>IN_SCOPE_FINAL; SOURCE_CFG=IA-ST-CFG-0132; MARKET=GY EUR; STATUS=IN OEM / EU PACKAGE</t>
        </is>
      </c>
      <c r="O740" t="inlineStr">
        <is>
          <t>2026-08-10T19:29:54Z</t>
        </is>
      </c>
      <c r="P740" t="inlineStr">
        <is>
          <t>2026-08-10T19:29:54Z</t>
        </is>
      </c>
    </row>
    <row r="741">
      <c r="A741" s="19" t="inlineStr">
        <is>
          <t>740</t>
        </is>
      </c>
      <c r="B741" s="19" t="inlineStr">
        <is>
          <t>SC-1014416-ST-051-EUR-01</t>
        </is>
      </c>
      <c r="C741" t="inlineStr">
        <is>
          <t>1014416 → ST-051-EUR-01</t>
        </is>
      </c>
      <c r="D741" s="19" t="inlineStr">
        <is>
          <t>2</t>
        </is>
      </c>
      <c r="E741" s="19" t="inlineStr">
        <is>
          <t>1362</t>
        </is>
      </c>
      <c r="F741" s="19" t="inlineStr">
        <is>
          <t>100</t>
        </is>
      </c>
      <c r="G741" s="19" t="n"/>
      <c r="H741" s="19" t="inlineStr">
        <is>
          <t>2</t>
        </is>
      </c>
      <c r="I741" s="19" t="n"/>
      <c r="J741" s="19" t="n"/>
      <c r="K741" s="19" t="inlineStr">
        <is>
          <t>2</t>
        </is>
      </c>
      <c r="L741" t="inlineStr">
        <is>
          <t>2026-08-08</t>
        </is>
      </c>
      <c r="N741" t="inlineStr">
        <is>
          <t>IN_SCOPE_FINAL; SOURCE_CFG=IA-ST-CFG-0132; MARKET=GY EUR; STATUS=IN OEM / EU PACKAGE</t>
        </is>
      </c>
      <c r="O741" t="inlineStr">
        <is>
          <t>2026-08-10T19:29:54Z</t>
        </is>
      </c>
      <c r="P741" t="inlineStr">
        <is>
          <t>2026-08-10T19:29:54Z</t>
        </is>
      </c>
    </row>
    <row r="742">
      <c r="A742" s="19" t="inlineStr">
        <is>
          <t>741</t>
        </is>
      </c>
      <c r="B742" s="19" t="inlineStr">
        <is>
          <t>SC-1015220-ST-051-EUR-01</t>
        </is>
      </c>
      <c r="C742" t="inlineStr">
        <is>
          <t>1015220 → ST-051-EUR-01</t>
        </is>
      </c>
      <c r="D742" s="19" t="inlineStr">
        <is>
          <t>2</t>
        </is>
      </c>
      <c r="E742" s="19" t="inlineStr">
        <is>
          <t>1958</t>
        </is>
      </c>
      <c r="F742" s="19" t="inlineStr">
        <is>
          <t>100</t>
        </is>
      </c>
      <c r="G742" s="19" t="n"/>
      <c r="H742" s="19" t="inlineStr">
        <is>
          <t>2</t>
        </is>
      </c>
      <c r="I742" s="19" t="n"/>
      <c r="J742" s="19" t="n"/>
      <c r="K742" s="19" t="inlineStr">
        <is>
          <t>2</t>
        </is>
      </c>
      <c r="L742" t="inlineStr">
        <is>
          <t>2026-08-08</t>
        </is>
      </c>
      <c r="N742" t="inlineStr">
        <is>
          <t>IN_SCOPE_FINAL; SOURCE_CFG=IA-ST-CFG-0132; MARKET=GY EUR; STATUS=IN OEM / EU PACKAGE</t>
        </is>
      </c>
      <c r="O742" t="inlineStr">
        <is>
          <t>2026-08-10T19:29:54Z</t>
        </is>
      </c>
      <c r="P742" t="inlineStr">
        <is>
          <t>2026-08-10T19:29:54Z</t>
        </is>
      </c>
    </row>
    <row r="743">
      <c r="A743" s="19" t="inlineStr">
        <is>
          <t>742</t>
        </is>
      </c>
      <c r="B743" s="19" t="inlineStr">
        <is>
          <t>SC-1015222-ST-051-EUR-01</t>
        </is>
      </c>
      <c r="C743" t="inlineStr">
        <is>
          <t>1015222 → ST-051-EUR-01</t>
        </is>
      </c>
      <c r="D743" s="19" t="inlineStr">
        <is>
          <t>2</t>
        </is>
      </c>
      <c r="E743" s="19" t="inlineStr">
        <is>
          <t>1960</t>
        </is>
      </c>
      <c r="F743" s="19" t="inlineStr">
        <is>
          <t>100</t>
        </is>
      </c>
      <c r="G743" s="19" t="n"/>
      <c r="H743" s="19" t="inlineStr">
        <is>
          <t>2</t>
        </is>
      </c>
      <c r="I743" s="19" t="n"/>
      <c r="J743" s="19" t="n"/>
      <c r="K743" s="19" t="inlineStr">
        <is>
          <t>2</t>
        </is>
      </c>
      <c r="L743" t="inlineStr">
        <is>
          <t>2026-08-08</t>
        </is>
      </c>
      <c r="N743" t="inlineStr">
        <is>
          <t>IN_SCOPE_FINAL; SOURCE_CFG=IA-ST-CFG-0132; MARKET=GY EUR; STATUS=IN OEM / EU PACKAGE</t>
        </is>
      </c>
      <c r="O743" t="inlineStr">
        <is>
          <t>2026-08-10T19:29:54Z</t>
        </is>
      </c>
      <c r="P743" t="inlineStr">
        <is>
          <t>2026-08-10T19:29:54Z</t>
        </is>
      </c>
    </row>
    <row r="744">
      <c r="A744" s="19" t="inlineStr">
        <is>
          <t>743</t>
        </is>
      </c>
      <c r="B744" s="19" t="inlineStr">
        <is>
          <t>SC-1015278-ST-051-EUR-01</t>
        </is>
      </c>
      <c r="C744" t="inlineStr">
        <is>
          <t>1015278 → ST-051-EUR-01</t>
        </is>
      </c>
      <c r="D744" s="19" t="inlineStr">
        <is>
          <t>2</t>
        </is>
      </c>
      <c r="E744" s="19" t="inlineStr">
        <is>
          <t>2011</t>
        </is>
      </c>
      <c r="F744" s="19" t="inlineStr">
        <is>
          <t>100</t>
        </is>
      </c>
      <c r="G744" s="19" t="n"/>
      <c r="H744" s="19" t="inlineStr">
        <is>
          <t>2</t>
        </is>
      </c>
      <c r="I744" s="19" t="n"/>
      <c r="J744" s="19" t="n"/>
      <c r="K744" s="19" t="inlineStr">
        <is>
          <t>2</t>
        </is>
      </c>
      <c r="L744" t="inlineStr">
        <is>
          <t>2026-08-08</t>
        </is>
      </c>
      <c r="N744" t="inlineStr">
        <is>
          <t>IN_SCOPE_FINAL; SOURCE_CFG=IA-ST-CFG-0132; MARKET=GY NRD (ADN BALTIC NORDIC); STATUS=IN OEM / EU PACKAGE</t>
        </is>
      </c>
      <c r="O744" t="inlineStr">
        <is>
          <t>2026-08-10T19:29:54Z</t>
        </is>
      </c>
      <c r="P744" t="inlineStr">
        <is>
          <t>2026-08-10T19:29:54Z</t>
        </is>
      </c>
    </row>
    <row r="745">
      <c r="A745" s="19" t="inlineStr">
        <is>
          <t>744</t>
        </is>
      </c>
      <c r="B745" s="19" t="inlineStr">
        <is>
          <t>SC-1011614-ST-051-EUR-01</t>
        </is>
      </c>
      <c r="C745" t="inlineStr">
        <is>
          <t>1011614 → ST-051-EUR-01</t>
        </is>
      </c>
      <c r="D745" s="19" t="inlineStr">
        <is>
          <t>2</t>
        </is>
      </c>
      <c r="E745" s="19" t="inlineStr">
        <is>
          <t>324</t>
        </is>
      </c>
      <c r="F745" s="19" t="inlineStr">
        <is>
          <t>100</t>
        </is>
      </c>
      <c r="G745" s="19" t="n"/>
      <c r="H745" s="19" t="inlineStr">
        <is>
          <t>2</t>
        </is>
      </c>
      <c r="I745" s="19" t="n"/>
      <c r="J745" s="19" t="n"/>
      <c r="K745" s="19" t="inlineStr">
        <is>
          <t>2</t>
        </is>
      </c>
      <c r="L745" t="inlineStr">
        <is>
          <t>2026-08-08</t>
        </is>
      </c>
      <c r="N745" t="inlineStr">
        <is>
          <t>IN_SCOPE_FINAL; SOURCE_CFG=IA-ST-CFG-0132; MARKET=GY EUR; STATUS=IN OEM / EU PACKAGE</t>
        </is>
      </c>
      <c r="O745" t="inlineStr">
        <is>
          <t>2026-08-10T19:29:54Z</t>
        </is>
      </c>
      <c r="P745" t="inlineStr">
        <is>
          <t>2026-08-10T19:29:54Z</t>
        </is>
      </c>
    </row>
    <row r="746">
      <c r="A746" s="19" t="inlineStr">
        <is>
          <t>745</t>
        </is>
      </c>
      <c r="B746" s="19" t="inlineStr">
        <is>
          <t>SC-1011637-ST-051-EUR-01</t>
        </is>
      </c>
      <c r="C746" t="inlineStr">
        <is>
          <t>1011637 → ST-051-EUR-01</t>
        </is>
      </c>
      <c r="D746" s="19" t="inlineStr">
        <is>
          <t>2</t>
        </is>
      </c>
      <c r="E746" s="19" t="inlineStr">
        <is>
          <t>327</t>
        </is>
      </c>
      <c r="F746" s="19" t="inlineStr">
        <is>
          <t>100</t>
        </is>
      </c>
      <c r="G746" s="19" t="n"/>
      <c r="H746" s="19" t="inlineStr">
        <is>
          <t>2</t>
        </is>
      </c>
      <c r="I746" s="19" t="n"/>
      <c r="J746" s="19" t="n"/>
      <c r="K746" s="19" t="inlineStr">
        <is>
          <t>2</t>
        </is>
      </c>
      <c r="L746" t="inlineStr">
        <is>
          <t>2026-08-08</t>
        </is>
      </c>
      <c r="N746" t="inlineStr">
        <is>
          <t>IN_SCOPE_FINAL; SOURCE_CFG=IA-ST-CFG-0132; MARKET=GY EUR; STATUS=IN OEM / EU PACKAGE</t>
        </is>
      </c>
      <c r="O746" t="inlineStr">
        <is>
          <t>2026-08-10T19:29:54Z</t>
        </is>
      </c>
      <c r="P746" t="inlineStr">
        <is>
          <t>2026-08-10T19:29:54Z</t>
        </is>
      </c>
    </row>
    <row r="747">
      <c r="A747" s="19" t="inlineStr">
        <is>
          <t>746</t>
        </is>
      </c>
      <c r="B747" s="19" t="inlineStr">
        <is>
          <t>SC-1012123-ST-051-EUR-01</t>
        </is>
      </c>
      <c r="C747" t="inlineStr">
        <is>
          <t>1012123 → ST-051-EUR-01</t>
        </is>
      </c>
      <c r="D747" s="19" t="inlineStr">
        <is>
          <t>2</t>
        </is>
      </c>
      <c r="E747" s="19" t="inlineStr">
        <is>
          <t>534</t>
        </is>
      </c>
      <c r="F747" s="19" t="inlineStr">
        <is>
          <t>100</t>
        </is>
      </c>
      <c r="G747" s="19" t="n"/>
      <c r="H747" s="19" t="inlineStr">
        <is>
          <t>2</t>
        </is>
      </c>
      <c r="I747" s="19" t="n"/>
      <c r="J747" s="19" t="n"/>
      <c r="K747" s="19" t="inlineStr">
        <is>
          <t>2</t>
        </is>
      </c>
      <c r="L747" t="inlineStr">
        <is>
          <t>2026-08-08</t>
        </is>
      </c>
      <c r="N747" t="inlineStr">
        <is>
          <t>IN_SCOPE_FINAL; SOURCE_CFG=IA-ST-CFG-0132; MARKET=GY EUR; STATUS=IN OEM / EU PACKAGE</t>
        </is>
      </c>
      <c r="O747" t="inlineStr">
        <is>
          <t>2026-08-10T19:29:54Z</t>
        </is>
      </c>
      <c r="P747" t="inlineStr">
        <is>
          <t>2026-08-10T19:29:54Z</t>
        </is>
      </c>
    </row>
    <row r="748">
      <c r="A748" s="19" t="inlineStr">
        <is>
          <t>747</t>
        </is>
      </c>
      <c r="B748" s="19" t="inlineStr">
        <is>
          <t>SC-1014415-ST-051-EUR-01</t>
        </is>
      </c>
      <c r="C748" t="inlineStr">
        <is>
          <t>1014415 → ST-051-EUR-01</t>
        </is>
      </c>
      <c r="D748" s="19" t="inlineStr">
        <is>
          <t>2</t>
        </is>
      </c>
      <c r="E748" s="19" t="inlineStr">
        <is>
          <t>1361</t>
        </is>
      </c>
      <c r="F748" s="19" t="inlineStr">
        <is>
          <t>100</t>
        </is>
      </c>
      <c r="G748" s="19" t="n"/>
      <c r="H748" s="19" t="inlineStr">
        <is>
          <t>2</t>
        </is>
      </c>
      <c r="I748" s="19" t="n"/>
      <c r="J748" s="19" t="n"/>
      <c r="K748" s="19" t="inlineStr">
        <is>
          <t>2</t>
        </is>
      </c>
      <c r="L748" t="inlineStr">
        <is>
          <t>2026-08-08</t>
        </is>
      </c>
      <c r="N748" t="inlineStr">
        <is>
          <t>IN_SCOPE_FINAL; SOURCE_CFG=IA-ST-CFG-0132; MARKET=GY EUR; STATUS=IN OEM / EU PACKAGE</t>
        </is>
      </c>
      <c r="O748" t="inlineStr">
        <is>
          <t>2026-08-10T19:29:54Z</t>
        </is>
      </c>
      <c r="P748" t="inlineStr">
        <is>
          <t>2026-08-10T19:29:54Z</t>
        </is>
      </c>
    </row>
    <row r="749">
      <c r="A749" s="19" t="inlineStr">
        <is>
          <t>748</t>
        </is>
      </c>
      <c r="B749" s="19" t="inlineStr">
        <is>
          <t>SC-1014424-ST-051-EUR-01</t>
        </is>
      </c>
      <c r="C749" t="inlineStr">
        <is>
          <t>1014424 → ST-051-EUR-01</t>
        </is>
      </c>
      <c r="D749" s="19" t="inlineStr">
        <is>
          <t>2</t>
        </is>
      </c>
      <c r="E749" s="19" t="inlineStr">
        <is>
          <t>1367</t>
        </is>
      </c>
      <c r="F749" s="19" t="inlineStr">
        <is>
          <t>100</t>
        </is>
      </c>
      <c r="G749" s="19" t="n"/>
      <c r="H749" s="19" t="inlineStr">
        <is>
          <t>2</t>
        </is>
      </c>
      <c r="I749" s="19" t="n"/>
      <c r="J749" s="19" t="n"/>
      <c r="K749" s="19" t="inlineStr">
        <is>
          <t>2</t>
        </is>
      </c>
      <c r="L749" t="inlineStr">
        <is>
          <t>2026-08-08</t>
        </is>
      </c>
      <c r="N749" t="inlineStr">
        <is>
          <t>IN_SCOPE_FINAL; SOURCE_CFG=IA-ST-CFG-0132; MARKET=GY EUR; STATUS=IN OEM / EU PACKAGE</t>
        </is>
      </c>
      <c r="O749" t="inlineStr">
        <is>
          <t>2026-08-10T19:29:54Z</t>
        </is>
      </c>
      <c r="P749" t="inlineStr">
        <is>
          <t>2026-08-10T19:29:54Z</t>
        </is>
      </c>
    </row>
    <row r="750">
      <c r="A750" s="19" t="inlineStr">
        <is>
          <t>749</t>
        </is>
      </c>
      <c r="B750" s="19" t="inlineStr">
        <is>
          <t>SC-1014444-ST-051-EUR-01</t>
        </is>
      </c>
      <c r="C750" t="inlineStr">
        <is>
          <t>1014444 → ST-051-EUR-01</t>
        </is>
      </c>
      <c r="D750" s="19" t="inlineStr">
        <is>
          <t>2</t>
        </is>
      </c>
      <c r="E750" s="19" t="inlineStr">
        <is>
          <t>1386</t>
        </is>
      </c>
      <c r="F750" s="19" t="inlineStr">
        <is>
          <t>100</t>
        </is>
      </c>
      <c r="G750" s="19" t="n"/>
      <c r="H750" s="19" t="inlineStr">
        <is>
          <t>2</t>
        </is>
      </c>
      <c r="I750" s="19" t="n"/>
      <c r="J750" s="19" t="n"/>
      <c r="K750" s="19" t="inlineStr">
        <is>
          <t>2</t>
        </is>
      </c>
      <c r="L750" t="inlineStr">
        <is>
          <t>2026-08-08</t>
        </is>
      </c>
      <c r="N750" t="inlineStr">
        <is>
          <t>IN_SCOPE_FINAL; SOURCE_CFG=IA-ST-CFG-0132; MARKET=GY EUR; STATUS=IN OEM / EU PACKAGE</t>
        </is>
      </c>
      <c r="O750" t="inlineStr">
        <is>
          <t>2026-08-10T19:29:54Z</t>
        </is>
      </c>
      <c r="P750" t="inlineStr">
        <is>
          <t>2026-08-10T19:29:54Z</t>
        </is>
      </c>
    </row>
    <row r="751">
      <c r="A751" s="19" t="inlineStr">
        <is>
          <t>750</t>
        </is>
      </c>
      <c r="B751" s="19" t="inlineStr">
        <is>
          <t>SC-1014445-ST-051-EUR-01</t>
        </is>
      </c>
      <c r="C751" t="inlineStr">
        <is>
          <t>1014445 → ST-051-EUR-01</t>
        </is>
      </c>
      <c r="D751" s="19" t="inlineStr">
        <is>
          <t>2</t>
        </is>
      </c>
      <c r="E751" s="19" t="inlineStr">
        <is>
          <t>1387</t>
        </is>
      </c>
      <c r="F751" s="19" t="inlineStr">
        <is>
          <t>100</t>
        </is>
      </c>
      <c r="G751" s="19" t="n"/>
      <c r="H751" s="19" t="inlineStr">
        <is>
          <t>2</t>
        </is>
      </c>
      <c r="I751" s="19" t="n"/>
      <c r="J751" s="19" t="n"/>
      <c r="K751" s="19" t="inlineStr">
        <is>
          <t>2</t>
        </is>
      </c>
      <c r="L751" t="inlineStr">
        <is>
          <t>2026-08-08</t>
        </is>
      </c>
      <c r="N751" t="inlineStr">
        <is>
          <t>IN_SCOPE_FINAL; SOURCE_CFG=IA-ST-CFG-0132; MARKET=GY EUR; STATUS=IN OEM / EU PACKAGE</t>
        </is>
      </c>
      <c r="O751" t="inlineStr">
        <is>
          <t>2026-08-10T19:29:54Z</t>
        </is>
      </c>
      <c r="P751" t="inlineStr">
        <is>
          <t>2026-08-10T19:29:54Z</t>
        </is>
      </c>
    </row>
    <row r="752">
      <c r="A752" s="19" t="inlineStr">
        <is>
          <t>751</t>
        </is>
      </c>
      <c r="B752" s="19" t="inlineStr">
        <is>
          <t>SC-1014446-ST-051-EUR-01</t>
        </is>
      </c>
      <c r="C752" t="inlineStr">
        <is>
          <t>1014446 → ST-051-EUR-01</t>
        </is>
      </c>
      <c r="D752" s="19" t="inlineStr">
        <is>
          <t>2</t>
        </is>
      </c>
      <c r="E752" s="19" t="inlineStr">
        <is>
          <t>1388</t>
        </is>
      </c>
      <c r="F752" s="19" t="inlineStr">
        <is>
          <t>100</t>
        </is>
      </c>
      <c r="G752" s="19" t="n"/>
      <c r="H752" s="19" t="inlineStr">
        <is>
          <t>2</t>
        </is>
      </c>
      <c r="I752" s="19" t="n"/>
      <c r="J752" s="19" t="n"/>
      <c r="K752" s="19" t="inlineStr">
        <is>
          <t>2</t>
        </is>
      </c>
      <c r="L752" t="inlineStr">
        <is>
          <t>2026-08-08</t>
        </is>
      </c>
      <c r="N752" t="inlineStr">
        <is>
          <t>IN_SCOPE_FINAL; SOURCE_CFG=IA-ST-CFG-0132; MARKET=GY EUR; STATUS=IN OEM / EU PACKAGE</t>
        </is>
      </c>
      <c r="O752" t="inlineStr">
        <is>
          <t>2026-08-10T19:29:54Z</t>
        </is>
      </c>
      <c r="P752" t="inlineStr">
        <is>
          <t>2026-08-10T19:29:54Z</t>
        </is>
      </c>
    </row>
    <row r="753">
      <c r="A753" s="19" t="inlineStr">
        <is>
          <t>752</t>
        </is>
      </c>
      <c r="B753" s="19" t="inlineStr">
        <is>
          <t>SC-1014447-ST-051-EUR-01</t>
        </is>
      </c>
      <c r="C753" t="inlineStr">
        <is>
          <t>1014447 → ST-051-EUR-01</t>
        </is>
      </c>
      <c r="D753" s="19" t="inlineStr">
        <is>
          <t>2</t>
        </is>
      </c>
      <c r="E753" s="19" t="inlineStr">
        <is>
          <t>1389</t>
        </is>
      </c>
      <c r="F753" s="19" t="inlineStr">
        <is>
          <t>100</t>
        </is>
      </c>
      <c r="G753" s="19" t="n"/>
      <c r="H753" s="19" t="inlineStr">
        <is>
          <t>2</t>
        </is>
      </c>
      <c r="I753" s="19" t="n"/>
      <c r="J753" s="19" t="n"/>
      <c r="K753" s="19" t="inlineStr">
        <is>
          <t>2</t>
        </is>
      </c>
      <c r="L753" t="inlineStr">
        <is>
          <t>2026-08-08</t>
        </is>
      </c>
      <c r="N753" t="inlineStr">
        <is>
          <t>IN_SCOPE_FINAL; SOURCE_CFG=IA-ST-CFG-0132; MARKET=GY EUR; STATUS=IN OEM / EU PACKAGE</t>
        </is>
      </c>
      <c r="O753" t="inlineStr">
        <is>
          <t>2026-08-10T19:29:54Z</t>
        </is>
      </c>
      <c r="P753" t="inlineStr">
        <is>
          <t>2026-08-10T19:29:54Z</t>
        </is>
      </c>
    </row>
    <row r="754">
      <c r="A754" s="19" t="inlineStr">
        <is>
          <t>753</t>
        </is>
      </c>
      <c r="B754" s="19" t="inlineStr">
        <is>
          <t>SC-1014752-ST-051-EUR-01</t>
        </is>
      </c>
      <c r="C754" t="inlineStr">
        <is>
          <t>1014752 → ST-051-EUR-01</t>
        </is>
      </c>
      <c r="D754" s="19" t="inlineStr">
        <is>
          <t>2</t>
        </is>
      </c>
      <c r="E754" s="19" t="inlineStr">
        <is>
          <t>1579</t>
        </is>
      </c>
      <c r="F754" s="19" t="inlineStr">
        <is>
          <t>100</t>
        </is>
      </c>
      <c r="G754" s="19" t="n"/>
      <c r="H754" s="19" t="inlineStr">
        <is>
          <t>2</t>
        </is>
      </c>
      <c r="I754" s="19" t="n"/>
      <c r="J754" s="19" t="n"/>
      <c r="K754" s="19" t="inlineStr">
        <is>
          <t>2</t>
        </is>
      </c>
      <c r="L754" t="inlineStr">
        <is>
          <t>2026-08-08</t>
        </is>
      </c>
      <c r="N754" t="inlineStr">
        <is>
          <t>IN_SCOPE_FINAL; SOURCE_CFG=IA-ST-CFG-0132; MARKET=GS STARTAX FINLAND OY; STATUS=IN OEM / EU PACKAGE</t>
        </is>
      </c>
      <c r="O754" t="inlineStr">
        <is>
          <t>2026-08-10T19:29:54Z</t>
        </is>
      </c>
      <c r="P754" t="inlineStr">
        <is>
          <t>2026-08-10T19:29:54Z</t>
        </is>
      </c>
    </row>
    <row r="755">
      <c r="A755" s="19" t="inlineStr">
        <is>
          <t>754</t>
        </is>
      </c>
      <c r="B755" s="19" t="inlineStr">
        <is>
          <t>SC-1015091-ST-051-EUR-01</t>
        </is>
      </c>
      <c r="C755" t="inlineStr">
        <is>
          <t>1015091 → ST-051-EUR-01</t>
        </is>
      </c>
      <c r="D755" s="19" t="inlineStr">
        <is>
          <t>2</t>
        </is>
      </c>
      <c r="E755" s="19" t="inlineStr">
        <is>
          <t>1845</t>
        </is>
      </c>
      <c r="F755" s="19" t="inlineStr">
        <is>
          <t>100</t>
        </is>
      </c>
      <c r="G755" s="19" t="n"/>
      <c r="H755" s="19" t="inlineStr">
        <is>
          <t>2</t>
        </is>
      </c>
      <c r="I755" s="19" t="n"/>
      <c r="J755" s="19" t="n"/>
      <c r="K755" s="19" t="inlineStr">
        <is>
          <t>2</t>
        </is>
      </c>
      <c r="L755" t="inlineStr">
        <is>
          <t>2026-08-08</t>
        </is>
      </c>
      <c r="N755" t="inlineStr">
        <is>
          <t>IN_SCOPE_FINAL; SOURCE_CFG=IA-ST-CFG-0132; MARKET=GY NRD (ADN BALTIC NORDIC); STATUS=IN OEM / EU PACKAGE</t>
        </is>
      </c>
      <c r="O755" t="inlineStr">
        <is>
          <t>2026-08-10T19:29:54Z</t>
        </is>
      </c>
      <c r="P755" t="inlineStr">
        <is>
          <t>2026-08-10T19:29:54Z</t>
        </is>
      </c>
    </row>
    <row r="756">
      <c r="A756" s="19" t="inlineStr">
        <is>
          <t>755</t>
        </is>
      </c>
      <c r="B756" s="19" t="inlineStr">
        <is>
          <t>SC-1015172-ST-051-EUR-01</t>
        </is>
      </c>
      <c r="C756" t="inlineStr">
        <is>
          <t>1015172 → ST-051-EUR-01</t>
        </is>
      </c>
      <c r="D756" s="19" t="inlineStr">
        <is>
          <t>2</t>
        </is>
      </c>
      <c r="E756" s="19" t="inlineStr">
        <is>
          <t>1917</t>
        </is>
      </c>
      <c r="F756" s="19" t="inlineStr">
        <is>
          <t>100</t>
        </is>
      </c>
      <c r="G756" s="19" t="n"/>
      <c r="H756" s="19" t="inlineStr">
        <is>
          <t>2</t>
        </is>
      </c>
      <c r="I756" s="19" t="n"/>
      <c r="J756" s="19" t="n"/>
      <c r="K756" s="19" t="inlineStr">
        <is>
          <t>2</t>
        </is>
      </c>
      <c r="L756" t="inlineStr">
        <is>
          <t>2026-08-08</t>
        </is>
      </c>
      <c r="N756" t="inlineStr">
        <is>
          <t>IN_SCOPE_FINAL; SOURCE_CFG=IA-ST-CFG-0132; MARKET=GY EUR; STATUS=IN OEM / EU PACKAGE</t>
        </is>
      </c>
      <c r="O756" t="inlineStr">
        <is>
          <t>2026-08-10T19:29:54Z</t>
        </is>
      </c>
      <c r="P756" t="inlineStr">
        <is>
          <t>2026-08-10T19:29:54Z</t>
        </is>
      </c>
    </row>
    <row r="757">
      <c r="A757" s="19" t="inlineStr">
        <is>
          <t>756</t>
        </is>
      </c>
      <c r="B757" s="19" t="inlineStr">
        <is>
          <t>SC-1015221-ST-051-EUR-01</t>
        </is>
      </c>
      <c r="C757" t="inlineStr">
        <is>
          <t>1015221 → ST-051-EUR-01</t>
        </is>
      </c>
      <c r="D757" s="19" t="inlineStr">
        <is>
          <t>2</t>
        </is>
      </c>
      <c r="E757" s="19" t="inlineStr">
        <is>
          <t>1959</t>
        </is>
      </c>
      <c r="F757" s="19" t="inlineStr">
        <is>
          <t>100</t>
        </is>
      </c>
      <c r="G757" s="19" t="n"/>
      <c r="H757" s="19" t="inlineStr">
        <is>
          <t>2</t>
        </is>
      </c>
      <c r="I757" s="19" t="n"/>
      <c r="J757" s="19" t="n"/>
      <c r="K757" s="19" t="inlineStr">
        <is>
          <t>2</t>
        </is>
      </c>
      <c r="L757" t="inlineStr">
        <is>
          <t>2026-08-08</t>
        </is>
      </c>
      <c r="N757" t="inlineStr">
        <is>
          <t>IN_SCOPE_FINAL; SOURCE_CFG=IA-ST-CFG-0132; MARKET=GY EUR; STATUS=IN OEM / EU PACKAGE</t>
        </is>
      </c>
      <c r="O757" t="inlineStr">
        <is>
          <t>2026-08-10T19:29:54Z</t>
        </is>
      </c>
      <c r="P757" t="inlineStr">
        <is>
          <t>2026-08-10T19:29:54Z</t>
        </is>
      </c>
    </row>
    <row r="758">
      <c r="A758" s="19" t="inlineStr">
        <is>
          <t>757</t>
        </is>
      </c>
      <c r="B758" s="19" t="inlineStr">
        <is>
          <t>SC-1015238-ST-051-EUR-01</t>
        </is>
      </c>
      <c r="C758" t="inlineStr">
        <is>
          <t>1015238 → ST-051-EUR-01</t>
        </is>
      </c>
      <c r="D758" s="19" t="inlineStr">
        <is>
          <t>2</t>
        </is>
      </c>
      <c r="E758" s="19" t="inlineStr">
        <is>
          <t>1976</t>
        </is>
      </c>
      <c r="F758" s="19" t="inlineStr">
        <is>
          <t>100</t>
        </is>
      </c>
      <c r="G758" s="19" t="n"/>
      <c r="H758" s="19" t="inlineStr">
        <is>
          <t>2</t>
        </is>
      </c>
      <c r="I758" s="19" t="n"/>
      <c r="J758" s="19" t="n"/>
      <c r="K758" s="19" t="inlineStr">
        <is>
          <t>2</t>
        </is>
      </c>
      <c r="L758" t="inlineStr">
        <is>
          <t>2026-08-08</t>
        </is>
      </c>
      <c r="N758" t="inlineStr">
        <is>
          <t>IN_SCOPE_FINAL; SOURCE_CFG=IA-ST-CFG-0132; MARKET=GY EUR; STATUS=IN OEM / EU PACKAGE</t>
        </is>
      </c>
      <c r="O758" t="inlineStr">
        <is>
          <t>2026-08-10T19:29:54Z</t>
        </is>
      </c>
      <c r="P758" t="inlineStr">
        <is>
          <t>2026-08-10T19:29:54Z</t>
        </is>
      </c>
    </row>
    <row r="759">
      <c r="A759" s="19" t="inlineStr">
        <is>
          <t>758</t>
        </is>
      </c>
      <c r="B759" s="19" t="inlineStr">
        <is>
          <t>SC-1015239-ST-051-EUR-01</t>
        </is>
      </c>
      <c r="C759" t="inlineStr">
        <is>
          <t>1015239 → ST-051-EUR-01</t>
        </is>
      </c>
      <c r="D759" s="19" t="inlineStr">
        <is>
          <t>2</t>
        </is>
      </c>
      <c r="E759" s="19" t="inlineStr">
        <is>
          <t>1977</t>
        </is>
      </c>
      <c r="F759" s="19" t="inlineStr">
        <is>
          <t>100</t>
        </is>
      </c>
      <c r="G759" s="19" t="n"/>
      <c r="H759" s="19" t="inlineStr">
        <is>
          <t>2</t>
        </is>
      </c>
      <c r="I759" s="19" t="n"/>
      <c r="J759" s="19" t="n"/>
      <c r="K759" s="19" t="inlineStr">
        <is>
          <t>2</t>
        </is>
      </c>
      <c r="L759" t="inlineStr">
        <is>
          <t>2026-08-08</t>
        </is>
      </c>
      <c r="N759" t="inlineStr">
        <is>
          <t>IN_SCOPE_FINAL; SOURCE_CFG=IA-ST-CFG-0132; MARKET=GY EUR; STATUS=IN OEM / EU PACKAGE</t>
        </is>
      </c>
      <c r="O759" t="inlineStr">
        <is>
          <t>2026-08-10T19:29:54Z</t>
        </is>
      </c>
      <c r="P759" t="inlineStr">
        <is>
          <t>2026-08-10T19:29:54Z</t>
        </is>
      </c>
    </row>
    <row r="760">
      <c r="A760" s="19" t="inlineStr">
        <is>
          <t>759</t>
        </is>
      </c>
      <c r="B760" s="19" t="inlineStr">
        <is>
          <t>SC-1015240-ST-051-EUR-01</t>
        </is>
      </c>
      <c r="C760" t="inlineStr">
        <is>
          <t>1015240 → ST-051-EUR-01</t>
        </is>
      </c>
      <c r="D760" s="19" t="inlineStr">
        <is>
          <t>2</t>
        </is>
      </c>
      <c r="E760" s="19" t="inlineStr">
        <is>
          <t>1978</t>
        </is>
      </c>
      <c r="F760" s="19" t="inlineStr">
        <is>
          <t>100</t>
        </is>
      </c>
      <c r="G760" s="19" t="n"/>
      <c r="H760" s="19" t="inlineStr">
        <is>
          <t>2</t>
        </is>
      </c>
      <c r="I760" s="19" t="n"/>
      <c r="J760" s="19" t="n"/>
      <c r="K760" s="19" t="inlineStr">
        <is>
          <t>2</t>
        </is>
      </c>
      <c r="L760" t="inlineStr">
        <is>
          <t>2026-08-08</t>
        </is>
      </c>
      <c r="N760" t="inlineStr">
        <is>
          <t>IN_SCOPE_FINAL; SOURCE_CFG=IA-ST-CFG-0132; MARKET=GY EUR; STATUS=IN OEM / EU PACKAGE</t>
        </is>
      </c>
      <c r="O760" t="inlineStr">
        <is>
          <t>2026-08-10T19:29:54Z</t>
        </is>
      </c>
      <c r="P760" t="inlineStr">
        <is>
          <t>2026-08-10T19:29:54Z</t>
        </is>
      </c>
    </row>
    <row r="761">
      <c r="A761" s="19" t="inlineStr">
        <is>
          <t>760</t>
        </is>
      </c>
      <c r="B761" s="19" t="inlineStr">
        <is>
          <t>SC-1014450-ST-051-EUR-01</t>
        </is>
      </c>
      <c r="C761" t="inlineStr">
        <is>
          <t>1014450 → ST-051-EUR-01</t>
        </is>
      </c>
      <c r="D761" s="19" t="inlineStr">
        <is>
          <t>2</t>
        </is>
      </c>
      <c r="E761" s="19" t="inlineStr">
        <is>
          <t>1391</t>
        </is>
      </c>
      <c r="F761" s="19" t="inlineStr">
        <is>
          <t>100</t>
        </is>
      </c>
      <c r="G761" s="19" t="n"/>
      <c r="H761" s="19" t="inlineStr">
        <is>
          <t>2</t>
        </is>
      </c>
      <c r="I761" s="19" t="n"/>
      <c r="J761" s="19" t="n"/>
      <c r="K761" s="19" t="inlineStr">
        <is>
          <t>2</t>
        </is>
      </c>
      <c r="L761" t="inlineStr">
        <is>
          <t>2026-08-08</t>
        </is>
      </c>
      <c r="N761" t="inlineStr">
        <is>
          <t>IN_SCOPE_FINAL; SOURCE_CFG=IA-ST-CFG-0132; MARKET=GY EUR; STATUS=IN OEM / EU PACKAGE</t>
        </is>
      </c>
      <c r="O761" t="inlineStr">
        <is>
          <t>2026-08-10T19:29:54Z</t>
        </is>
      </c>
      <c r="P761" t="inlineStr">
        <is>
          <t>2026-08-10T19:29:54Z</t>
        </is>
      </c>
    </row>
    <row r="762">
      <c r="A762" s="19" t="inlineStr">
        <is>
          <t>761</t>
        </is>
      </c>
      <c r="B762" s="19" t="inlineStr">
        <is>
          <t>SC-1014452-ST-051-EUR-01</t>
        </is>
      </c>
      <c r="C762" t="inlineStr">
        <is>
          <t>1014452 → ST-051-EUR-01</t>
        </is>
      </c>
      <c r="D762" s="19" t="inlineStr">
        <is>
          <t>2</t>
        </is>
      </c>
      <c r="E762" s="19" t="inlineStr">
        <is>
          <t>1393</t>
        </is>
      </c>
      <c r="F762" s="19" t="inlineStr">
        <is>
          <t>100</t>
        </is>
      </c>
      <c r="G762" s="19" t="n"/>
      <c r="H762" s="19" t="inlineStr">
        <is>
          <t>2</t>
        </is>
      </c>
      <c r="I762" s="19" t="n"/>
      <c r="J762" s="19" t="n"/>
      <c r="K762" s="19" t="inlineStr">
        <is>
          <t>2</t>
        </is>
      </c>
      <c r="L762" t="inlineStr">
        <is>
          <t>2026-08-08</t>
        </is>
      </c>
      <c r="N762" t="inlineStr">
        <is>
          <t>IN_SCOPE_FINAL; SOURCE_CFG=IA-ST-CFG-0132; MARKET=YUASA 3000 EXPORT; STATUS=IN OEM / EU PACKAGE</t>
        </is>
      </c>
      <c r="O762" t="inlineStr">
        <is>
          <t>2026-08-10T19:29:54Z</t>
        </is>
      </c>
      <c r="P762" t="inlineStr">
        <is>
          <t>2026-08-10T19:29:54Z</t>
        </is>
      </c>
    </row>
    <row r="763">
      <c r="A763" s="19" t="inlineStr">
        <is>
          <t>762</t>
        </is>
      </c>
      <c r="B763" s="19" t="inlineStr">
        <is>
          <t>SC-1014453-ST-051-EUR-01</t>
        </is>
      </c>
      <c r="C763" t="inlineStr">
        <is>
          <t>1014453 → ST-051-EUR-01</t>
        </is>
      </c>
      <c r="D763" s="19" t="inlineStr">
        <is>
          <t>2</t>
        </is>
      </c>
      <c r="E763" s="19" t="inlineStr">
        <is>
          <t>1394</t>
        </is>
      </c>
      <c r="F763" s="19" t="inlineStr">
        <is>
          <t>100</t>
        </is>
      </c>
      <c r="G763" s="19" t="n"/>
      <c r="H763" s="19" t="inlineStr">
        <is>
          <t>2</t>
        </is>
      </c>
      <c r="I763" s="19" t="n"/>
      <c r="J763" s="19" t="n"/>
      <c r="K763" s="19" t="inlineStr">
        <is>
          <t>2</t>
        </is>
      </c>
      <c r="L763" t="inlineStr">
        <is>
          <t>2026-08-08</t>
        </is>
      </c>
      <c r="N763" t="inlineStr">
        <is>
          <t>IN_SCOPE_FINAL; SOURCE_CFG=IA-ST-CFG-0132; MARKET=GY EUR; STATUS=IN OEM / EU PACKAGE</t>
        </is>
      </c>
      <c r="O763" t="inlineStr">
        <is>
          <t>2026-08-10T19:29:54Z</t>
        </is>
      </c>
      <c r="P763" t="inlineStr">
        <is>
          <t>2026-08-10T19:29:54Z</t>
        </is>
      </c>
    </row>
    <row r="764">
      <c r="A764" s="19" t="inlineStr">
        <is>
          <t>763</t>
        </is>
      </c>
      <c r="B764" s="19" t="inlineStr">
        <is>
          <t>SC-1014456-ST-051-EUR-01</t>
        </is>
      </c>
      <c r="C764" t="inlineStr">
        <is>
          <t>1014456 → ST-051-EUR-01</t>
        </is>
      </c>
      <c r="D764" s="19" t="inlineStr">
        <is>
          <t>2</t>
        </is>
      </c>
      <c r="E764" s="19" t="inlineStr">
        <is>
          <t>1396</t>
        </is>
      </c>
      <c r="F764" s="19" t="inlineStr">
        <is>
          <t>100</t>
        </is>
      </c>
      <c r="G764" s="19" t="n"/>
      <c r="H764" s="19" t="inlineStr">
        <is>
          <t>2</t>
        </is>
      </c>
      <c r="I764" s="19" t="n"/>
      <c r="J764" s="19" t="n"/>
      <c r="K764" s="19" t="inlineStr">
        <is>
          <t>2</t>
        </is>
      </c>
      <c r="L764" t="inlineStr">
        <is>
          <t>2026-08-08</t>
        </is>
      </c>
      <c r="N764" t="inlineStr">
        <is>
          <t>IN_SCOPE_FINAL; SOURCE_CFG=IA-ST-CFG-0132; MARKET=YUASA 3000 EXPORT; STATUS=IN OEM / EU PACKAGE</t>
        </is>
      </c>
      <c r="O764" t="inlineStr">
        <is>
          <t>2026-08-10T19:29:54Z</t>
        </is>
      </c>
      <c r="P764" t="inlineStr">
        <is>
          <t>2026-08-10T19:29:54Z</t>
        </is>
      </c>
    </row>
    <row r="765">
      <c r="A765" s="19" t="inlineStr">
        <is>
          <t>764</t>
        </is>
      </c>
      <c r="B765" s="19" t="inlineStr">
        <is>
          <t>SC-1012101-ST-051-EUR-01</t>
        </is>
      </c>
      <c r="C765" t="inlineStr">
        <is>
          <t>1012101 → ST-051-EUR-01</t>
        </is>
      </c>
      <c r="D765" s="19" t="inlineStr">
        <is>
          <t>2</t>
        </is>
      </c>
      <c r="E765" s="19" t="inlineStr">
        <is>
          <t>522</t>
        </is>
      </c>
      <c r="F765" s="19" t="inlineStr">
        <is>
          <t>100</t>
        </is>
      </c>
      <c r="G765" s="19" t="n"/>
      <c r="H765" s="19" t="inlineStr">
        <is>
          <t>2</t>
        </is>
      </c>
      <c r="I765" s="19" t="n"/>
      <c r="J765" s="19" t="n"/>
      <c r="K765" s="19" t="inlineStr">
        <is>
          <t>2</t>
        </is>
      </c>
      <c r="L765" t="inlineStr">
        <is>
          <t>2026-08-08</t>
        </is>
      </c>
      <c r="N765" t="inlineStr">
        <is>
          <t>IN_SCOPE_FINAL; SOURCE_CFG=IA-ST-CFG-0132; MARKET=PSA (Yurt Dışı); STATUS=IN OEM / EU PACKAGE</t>
        </is>
      </c>
      <c r="O765" t="inlineStr">
        <is>
          <t>2026-08-10T19:29:54Z</t>
        </is>
      </c>
      <c r="P765" t="inlineStr">
        <is>
          <t>2026-08-10T19:29:54Z</t>
        </is>
      </c>
    </row>
    <row r="766">
      <c r="A766" s="19" t="inlineStr">
        <is>
          <t>765</t>
        </is>
      </c>
      <c r="B766" s="19" t="inlineStr">
        <is>
          <t>SC-1012102-ST-051-EUR-01</t>
        </is>
      </c>
      <c r="C766" t="inlineStr">
        <is>
          <t>1012102 → ST-051-EUR-01</t>
        </is>
      </c>
      <c r="D766" s="19" t="inlineStr">
        <is>
          <t>2</t>
        </is>
      </c>
      <c r="E766" s="19" t="inlineStr">
        <is>
          <t>523</t>
        </is>
      </c>
      <c r="F766" s="19" t="inlineStr">
        <is>
          <t>100</t>
        </is>
      </c>
      <c r="G766" s="19" t="n"/>
      <c r="H766" s="19" t="inlineStr">
        <is>
          <t>2</t>
        </is>
      </c>
      <c r="I766" s="19" t="n"/>
      <c r="J766" s="19" t="n"/>
      <c r="K766" s="19" t="inlineStr">
        <is>
          <t>2</t>
        </is>
      </c>
      <c r="L766" t="inlineStr">
        <is>
          <t>2026-08-08</t>
        </is>
      </c>
      <c r="N766" t="inlineStr">
        <is>
          <t>IN_SCOPE_FINAL; SOURCE_CFG=IA-ST-CFG-0132; MARKET=PSA (Yurt Dışı); STATUS=IN OEM / EU PACKAGE</t>
        </is>
      </c>
      <c r="O766" t="inlineStr">
        <is>
          <t>2026-08-10T19:29:54Z</t>
        </is>
      </c>
      <c r="P766" t="inlineStr">
        <is>
          <t>2026-08-10T19:29:54Z</t>
        </is>
      </c>
    </row>
    <row r="767">
      <c r="A767" s="19" t="inlineStr">
        <is>
          <t>766</t>
        </is>
      </c>
      <c r="B767" s="19" t="inlineStr">
        <is>
          <t>SC-1012103-ST-051-EUR-01</t>
        </is>
      </c>
      <c r="C767" t="inlineStr">
        <is>
          <t>1012103 → ST-051-EUR-01</t>
        </is>
      </c>
      <c r="D767" s="19" t="inlineStr">
        <is>
          <t>2</t>
        </is>
      </c>
      <c r="E767" s="19" t="inlineStr">
        <is>
          <t>524</t>
        </is>
      </c>
      <c r="F767" s="19" t="inlineStr">
        <is>
          <t>100</t>
        </is>
      </c>
      <c r="G767" s="19" t="n"/>
      <c r="H767" s="19" t="inlineStr">
        <is>
          <t>2</t>
        </is>
      </c>
      <c r="I767" s="19" t="n"/>
      <c r="J767" s="19" t="n"/>
      <c r="K767" s="19" t="inlineStr">
        <is>
          <t>2</t>
        </is>
      </c>
      <c r="L767" t="inlineStr">
        <is>
          <t>2026-08-08</t>
        </is>
      </c>
      <c r="N767" t="inlineStr">
        <is>
          <t>IN_SCOPE_FINAL; SOURCE_CFG=IA-ST-CFG-0132; MARKET=PSA (Yurt Dışı); STATUS=IN OEM / EU PACKAGE</t>
        </is>
      </c>
      <c r="O767" t="inlineStr">
        <is>
          <t>2026-08-10T19:29:54Z</t>
        </is>
      </c>
      <c r="P767" t="inlineStr">
        <is>
          <t>2026-08-10T19:29:54Z</t>
        </is>
      </c>
    </row>
    <row r="768">
      <c r="A768" s="19" t="inlineStr">
        <is>
          <t>767</t>
        </is>
      </c>
      <c r="B768" s="19" t="inlineStr">
        <is>
          <t>SC-1012104-ST-051-EUR-01</t>
        </is>
      </c>
      <c r="C768" t="inlineStr">
        <is>
          <t>1012104 → ST-051-EUR-01</t>
        </is>
      </c>
      <c r="D768" s="19" t="inlineStr">
        <is>
          <t>2</t>
        </is>
      </c>
      <c r="E768" s="19" t="inlineStr">
        <is>
          <t>525</t>
        </is>
      </c>
      <c r="F768" s="19" t="inlineStr">
        <is>
          <t>100</t>
        </is>
      </c>
      <c r="G768" s="19" t="n"/>
      <c r="H768" s="19" t="inlineStr">
        <is>
          <t>2</t>
        </is>
      </c>
      <c r="I768" s="19" t="n"/>
      <c r="J768" s="19" t="n"/>
      <c r="K768" s="19" t="inlineStr">
        <is>
          <t>2</t>
        </is>
      </c>
      <c r="L768" t="inlineStr">
        <is>
          <t>2026-08-08</t>
        </is>
      </c>
      <c r="N768" t="inlineStr">
        <is>
          <t>IN_SCOPE_FINAL; SOURCE_CFG=IA-ST-CFG-0132; MARKET=PSA (Yurt Dışı); STATUS=IN OEM / EU PACKAGE</t>
        </is>
      </c>
      <c r="O768" t="inlineStr">
        <is>
          <t>2026-08-10T19:29:54Z</t>
        </is>
      </c>
      <c r="P768" t="inlineStr">
        <is>
          <t>2026-08-10T19:29:54Z</t>
        </is>
      </c>
    </row>
    <row r="769">
      <c r="A769" s="19" t="inlineStr">
        <is>
          <t>768</t>
        </is>
      </c>
      <c r="B769" s="19" t="inlineStr">
        <is>
          <t>SC-1012109-ST-051-EUR-01</t>
        </is>
      </c>
      <c r="C769" t="inlineStr">
        <is>
          <t>1012109 → ST-051-EUR-01</t>
        </is>
      </c>
      <c r="D769" s="19" t="inlineStr">
        <is>
          <t>2</t>
        </is>
      </c>
      <c r="E769" s="19" t="inlineStr">
        <is>
          <t>529</t>
        </is>
      </c>
      <c r="F769" s="19" t="inlineStr">
        <is>
          <t>100</t>
        </is>
      </c>
      <c r="G769" s="19" t="n"/>
      <c r="H769" s="19" t="inlineStr">
        <is>
          <t>2</t>
        </is>
      </c>
      <c r="I769" s="19" t="n"/>
      <c r="J769" s="19" t="n"/>
      <c r="K769" s="19" t="inlineStr">
        <is>
          <t>2</t>
        </is>
      </c>
      <c r="L769" t="inlineStr">
        <is>
          <t>2026-08-08</t>
        </is>
      </c>
      <c r="N769" t="inlineStr">
        <is>
          <t>IN_SCOPE_FINAL; SOURCE_CFG=IA-ST-CFG-0132; MARKET=PSA (Yurt Dışı); STATUS=IN OEM / EU PACKAGE</t>
        </is>
      </c>
      <c r="O769" t="inlineStr">
        <is>
          <t>2026-08-10T19:29:54Z</t>
        </is>
      </c>
      <c r="P769" t="inlineStr">
        <is>
          <t>2026-08-10T19:29:54Z</t>
        </is>
      </c>
    </row>
    <row r="770">
      <c r="A770" s="19" t="inlineStr">
        <is>
          <t>769</t>
        </is>
      </c>
      <c r="B770" s="19" t="inlineStr">
        <is>
          <t>SC-1012110-ST-051-EUR-01</t>
        </is>
      </c>
      <c r="C770" t="inlineStr">
        <is>
          <t>1012110 → ST-051-EUR-01</t>
        </is>
      </c>
      <c r="D770" s="19" t="inlineStr">
        <is>
          <t>2</t>
        </is>
      </c>
      <c r="E770" s="19" t="inlineStr">
        <is>
          <t>530</t>
        </is>
      </c>
      <c r="F770" s="19" t="inlineStr">
        <is>
          <t>100</t>
        </is>
      </c>
      <c r="G770" s="19" t="n"/>
      <c r="H770" s="19" t="inlineStr">
        <is>
          <t>2</t>
        </is>
      </c>
      <c r="I770" s="19" t="n"/>
      <c r="J770" s="19" t="n"/>
      <c r="K770" s="19" t="inlineStr">
        <is>
          <t>2</t>
        </is>
      </c>
      <c r="L770" t="inlineStr">
        <is>
          <t>2026-08-08</t>
        </is>
      </c>
      <c r="N770" t="inlineStr">
        <is>
          <t>IN_SCOPE_FINAL; SOURCE_CFG=IA-ST-CFG-0132; MARKET=PSA (Yurt Dışı); STATUS=IN OEM / EU PACKAGE</t>
        </is>
      </c>
      <c r="O770" t="inlineStr">
        <is>
          <t>2026-08-10T19:29:54Z</t>
        </is>
      </c>
      <c r="P770" t="inlineStr">
        <is>
          <t>2026-08-10T19:29:54Z</t>
        </is>
      </c>
    </row>
    <row r="771">
      <c r="A771" s="19" t="inlineStr">
        <is>
          <t>770</t>
        </is>
      </c>
      <c r="B771" s="19" t="inlineStr">
        <is>
          <t>SC-1013413-ST-051-EUR-01</t>
        </is>
      </c>
      <c r="C771" t="inlineStr">
        <is>
          <t>1013413 → ST-051-EUR-01</t>
        </is>
      </c>
      <c r="D771" s="19" t="inlineStr">
        <is>
          <t>2</t>
        </is>
      </c>
      <c r="E771" s="19" t="inlineStr">
        <is>
          <t>992</t>
        </is>
      </c>
      <c r="F771" s="19" t="inlineStr">
        <is>
          <t>100</t>
        </is>
      </c>
      <c r="G771" s="19" t="n"/>
      <c r="H771" s="19" t="inlineStr">
        <is>
          <t>2</t>
        </is>
      </c>
      <c r="I771" s="19" t="n"/>
      <c r="J771" s="19" t="n"/>
      <c r="K771" s="19" t="inlineStr">
        <is>
          <t>2</t>
        </is>
      </c>
      <c r="L771" t="inlineStr">
        <is>
          <t>2026-08-08</t>
        </is>
      </c>
      <c r="N771" t="inlineStr">
        <is>
          <t>IN_SCOPE_FINAL; SOURCE_CFG=IA-ST-CFG-0132; MARKET=FCA OES (Yurt Dışı); STATUS=IN OEM / EU PACKAGE</t>
        </is>
      </c>
      <c r="O771" t="inlineStr">
        <is>
          <t>2026-08-10T19:29:54Z</t>
        </is>
      </c>
      <c r="P771" t="inlineStr">
        <is>
          <t>2026-08-10T19:29:54Z</t>
        </is>
      </c>
    </row>
    <row r="772">
      <c r="A772" s="19" t="inlineStr">
        <is>
          <t>771</t>
        </is>
      </c>
      <c r="B772" s="19" t="inlineStr">
        <is>
          <t>SC-1012659-ST-051-EUR-01</t>
        </is>
      </c>
      <c r="C772" t="inlineStr">
        <is>
          <t>1012659 → ST-051-EUR-01</t>
        </is>
      </c>
      <c r="D772" s="19" t="inlineStr">
        <is>
          <t>2</t>
        </is>
      </c>
      <c r="E772" s="19" t="inlineStr">
        <is>
          <t>736</t>
        </is>
      </c>
      <c r="F772" s="19" t="inlineStr">
        <is>
          <t>100</t>
        </is>
      </c>
      <c r="G772" s="19" t="n"/>
      <c r="H772" s="19" t="inlineStr">
        <is>
          <t>2</t>
        </is>
      </c>
      <c r="I772" s="19" t="n"/>
      <c r="J772" s="19" t="n"/>
      <c r="K772" s="19" t="inlineStr">
        <is>
          <t>2</t>
        </is>
      </c>
      <c r="L772" t="inlineStr">
        <is>
          <t>2026-08-08</t>
        </is>
      </c>
      <c r="N772" t="inlineStr">
        <is>
          <t>IN_SCOPE_FINAL; SOURCE_CFG=IA-ST-CFG-0132; MARKET=PSA (Yurt Dışı); STATUS=IN OEM / EU PACKAGE</t>
        </is>
      </c>
      <c r="O772" t="inlineStr">
        <is>
          <t>2026-08-10T19:29:54Z</t>
        </is>
      </c>
      <c r="P772" t="inlineStr">
        <is>
          <t>2026-08-10T19:29:54Z</t>
        </is>
      </c>
    </row>
    <row r="773">
      <c r="A773" s="19" t="inlineStr">
        <is>
          <t>772</t>
        </is>
      </c>
      <c r="B773" s="19" t="inlineStr">
        <is>
          <t>SC-1014431-ST-051-EUR-01</t>
        </is>
      </c>
      <c r="C773" t="inlineStr">
        <is>
          <t>1014431 → ST-051-EUR-01</t>
        </is>
      </c>
      <c r="D773" s="19" t="inlineStr">
        <is>
          <t>2</t>
        </is>
      </c>
      <c r="E773" s="19" t="inlineStr">
        <is>
          <t>1374</t>
        </is>
      </c>
      <c r="F773" s="19" t="inlineStr">
        <is>
          <t>100</t>
        </is>
      </c>
      <c r="G773" s="19" t="n"/>
      <c r="H773" s="19" t="inlineStr">
        <is>
          <t>2</t>
        </is>
      </c>
      <c r="I773" s="19" t="n"/>
      <c r="J773" s="19" t="n"/>
      <c r="K773" s="19" t="inlineStr">
        <is>
          <t>2</t>
        </is>
      </c>
      <c r="L773" t="inlineStr">
        <is>
          <t>2026-08-08</t>
        </is>
      </c>
      <c r="N773" t="inlineStr">
        <is>
          <t>IN_SCOPE_FINAL; SOURCE_CFG=IA-ST-CFG-0132; MARKET=GS; STATUS=IN OEM / EU PACKAGE</t>
        </is>
      </c>
      <c r="O773" t="inlineStr">
        <is>
          <t>2026-08-10T19:29:54Z</t>
        </is>
      </c>
      <c r="P773" t="inlineStr">
        <is>
          <t>2026-08-10T19:29:54Z</t>
        </is>
      </c>
    </row>
    <row r="774">
      <c r="A774" s="19" t="inlineStr">
        <is>
          <t>773</t>
        </is>
      </c>
      <c r="B774" s="19" t="inlineStr">
        <is>
          <t>SC-1015180-ST-051-EUR-01</t>
        </is>
      </c>
      <c r="C774" t="inlineStr">
        <is>
          <t>1015180 → ST-051-EUR-01</t>
        </is>
      </c>
      <c r="D774" s="19" t="inlineStr">
        <is>
          <t>2</t>
        </is>
      </c>
      <c r="E774" s="19" t="inlineStr">
        <is>
          <t>1925</t>
        </is>
      </c>
      <c r="F774" s="19" t="inlineStr">
        <is>
          <t>100</t>
        </is>
      </c>
      <c r="G774" s="19" t="n"/>
      <c r="H774" s="19" t="inlineStr">
        <is>
          <t>2</t>
        </is>
      </c>
      <c r="I774" s="19" t="n"/>
      <c r="J774" s="19" t="n"/>
      <c r="K774" s="19" t="inlineStr">
        <is>
          <t>2</t>
        </is>
      </c>
      <c r="L774" t="inlineStr">
        <is>
          <t>2026-08-08</t>
        </is>
      </c>
      <c r="N774" t="inlineStr">
        <is>
          <t>IN_SCOPE_FINAL; SOURCE_CFG=IA-ST-CFG-0132; MARKET=GY NRD (ADN BALTIC NORDIC); STATUS=IN OEM / EU PACKAGE</t>
        </is>
      </c>
      <c r="O774" t="inlineStr">
        <is>
          <t>2026-08-10T19:29:54Z</t>
        </is>
      </c>
      <c r="P774" t="inlineStr">
        <is>
          <t>2026-08-10T19:29:54Z</t>
        </is>
      </c>
    </row>
    <row r="775">
      <c r="A775" s="19" t="inlineStr">
        <is>
          <t>774</t>
        </is>
      </c>
      <c r="B775" s="19" t="inlineStr">
        <is>
          <t>SC-1014429-ST-051-EUR-01</t>
        </is>
      </c>
      <c r="C775" t="inlineStr">
        <is>
          <t>1014429 → ST-051-EUR-01</t>
        </is>
      </c>
      <c r="D775" s="19" t="inlineStr">
        <is>
          <t>2</t>
        </is>
      </c>
      <c r="E775" s="19" t="inlineStr">
        <is>
          <t>1372</t>
        </is>
      </c>
      <c r="F775" s="19" t="inlineStr">
        <is>
          <t>100</t>
        </is>
      </c>
      <c r="G775" s="19" t="n"/>
      <c r="H775" s="19" t="inlineStr">
        <is>
          <t>2</t>
        </is>
      </c>
      <c r="I775" s="19" t="n"/>
      <c r="J775" s="19" t="n"/>
      <c r="K775" s="19" t="inlineStr">
        <is>
          <t>2</t>
        </is>
      </c>
      <c r="L775" t="inlineStr">
        <is>
          <t>2026-08-08</t>
        </is>
      </c>
      <c r="N775" t="inlineStr">
        <is>
          <t>IN_SCOPE_FINAL; SOURCE_CFG=IA-ST-CFG-0132; MARKET=GS; STATUS=IN OEM / EU PACKAGE</t>
        </is>
      </c>
      <c r="O775" t="inlineStr">
        <is>
          <t>2026-08-10T19:29:54Z</t>
        </is>
      </c>
      <c r="P775" t="inlineStr">
        <is>
          <t>2026-08-10T19:29:54Z</t>
        </is>
      </c>
    </row>
    <row r="776">
      <c r="A776" s="19" t="inlineStr">
        <is>
          <t>775</t>
        </is>
      </c>
      <c r="B776" s="19" t="inlineStr">
        <is>
          <t>SC-1014961-ST-051-EUR-01</t>
        </is>
      </c>
      <c r="C776" t="inlineStr">
        <is>
          <t>1014961 → ST-051-EUR-01</t>
        </is>
      </c>
      <c r="D776" s="19" t="inlineStr">
        <is>
          <t>2</t>
        </is>
      </c>
      <c r="E776" s="19" t="inlineStr">
        <is>
          <t>1727</t>
        </is>
      </c>
      <c r="F776" s="19" t="inlineStr">
        <is>
          <t>100</t>
        </is>
      </c>
      <c r="G776" s="19" t="n"/>
      <c r="H776" s="19" t="inlineStr">
        <is>
          <t>2</t>
        </is>
      </c>
      <c r="I776" s="19" t="n"/>
      <c r="J776" s="19" t="n"/>
      <c r="K776" s="19" t="inlineStr">
        <is>
          <t>2</t>
        </is>
      </c>
      <c r="L776" t="inlineStr">
        <is>
          <t>2026-08-08</t>
        </is>
      </c>
      <c r="N776" t="inlineStr">
        <is>
          <t>IN_SCOPE_FINAL; SOURCE_CFG=IA-ST-CFG-0132; MARKET=GY EUR; STATUS=IN OEM / EU PACKAGE</t>
        </is>
      </c>
      <c r="O776" t="inlineStr">
        <is>
          <t>2026-08-10T19:29:54Z</t>
        </is>
      </c>
      <c r="P776" t="inlineStr">
        <is>
          <t>2026-08-10T19:29:54Z</t>
        </is>
      </c>
    </row>
    <row r="777">
      <c r="A777" s="19" t="inlineStr">
        <is>
          <t>776</t>
        </is>
      </c>
      <c r="B777" s="19" t="inlineStr">
        <is>
          <t>SC-1015181-ST-051-EUR-01</t>
        </is>
      </c>
      <c r="C777" t="inlineStr">
        <is>
          <t>1015181 → ST-051-EUR-01</t>
        </is>
      </c>
      <c r="D777" s="19" t="inlineStr">
        <is>
          <t>2</t>
        </is>
      </c>
      <c r="E777" s="19" t="inlineStr">
        <is>
          <t>1926</t>
        </is>
      </c>
      <c r="F777" s="19" t="inlineStr">
        <is>
          <t>100</t>
        </is>
      </c>
      <c r="G777" s="19" t="n"/>
      <c r="H777" s="19" t="inlineStr">
        <is>
          <t>2</t>
        </is>
      </c>
      <c r="I777" s="19" t="n"/>
      <c r="J777" s="19" t="n"/>
      <c r="K777" s="19" t="inlineStr">
        <is>
          <t>2</t>
        </is>
      </c>
      <c r="L777" t="inlineStr">
        <is>
          <t>2026-08-08</t>
        </is>
      </c>
      <c r="N777" t="inlineStr">
        <is>
          <t>IN_SCOPE_FINAL; SOURCE_CFG=IA-ST-CFG-0132; MARKET=GY NRD (ADN BALTIC NORDIC); STATUS=IN OEM / EU PACKAGE</t>
        </is>
      </c>
      <c r="O777" t="inlineStr">
        <is>
          <t>2026-08-10T19:29:54Z</t>
        </is>
      </c>
      <c r="P777" t="inlineStr">
        <is>
          <t>2026-08-10T19:29:54Z</t>
        </is>
      </c>
    </row>
    <row r="778">
      <c r="A778" s="19" t="inlineStr">
        <is>
          <t>777</t>
        </is>
      </c>
      <c r="B778" s="19" t="inlineStr">
        <is>
          <t>SC-1014430-ST-051-EUR-01</t>
        </is>
      </c>
      <c r="C778" t="inlineStr">
        <is>
          <t>1014430 → ST-051-EUR-01</t>
        </is>
      </c>
      <c r="D778" s="19" t="inlineStr">
        <is>
          <t>2</t>
        </is>
      </c>
      <c r="E778" s="19" t="inlineStr">
        <is>
          <t>1373</t>
        </is>
      </c>
      <c r="F778" s="19" t="inlineStr">
        <is>
          <t>100</t>
        </is>
      </c>
      <c r="G778" s="19" t="n"/>
      <c r="H778" s="19" t="inlineStr">
        <is>
          <t>2</t>
        </is>
      </c>
      <c r="I778" s="19" t="n"/>
      <c r="J778" s="19" t="n"/>
      <c r="K778" s="19" t="inlineStr">
        <is>
          <t>2</t>
        </is>
      </c>
      <c r="L778" t="inlineStr">
        <is>
          <t>2026-08-08</t>
        </is>
      </c>
      <c r="N778" t="inlineStr">
        <is>
          <t>IN_SCOPE_FINAL; SOURCE_CFG=IA-ST-CFG-0132; MARKET=GS; STATUS=IN OEM / EU PACKAGE</t>
        </is>
      </c>
      <c r="O778" t="inlineStr">
        <is>
          <t>2026-08-10T19:29:54Z</t>
        </is>
      </c>
      <c r="P778" t="inlineStr">
        <is>
          <t>2026-08-10T19:29:54Z</t>
        </is>
      </c>
    </row>
    <row r="779">
      <c r="A779" s="19" t="inlineStr">
        <is>
          <t>778</t>
        </is>
      </c>
      <c r="B779" s="19" t="inlineStr">
        <is>
          <t>SC-1012985-ST-051-EUR-01</t>
        </is>
      </c>
      <c r="C779" t="inlineStr">
        <is>
          <t>1012985 → ST-051-EUR-01</t>
        </is>
      </c>
      <c r="D779" s="19" t="inlineStr">
        <is>
          <t>2</t>
        </is>
      </c>
      <c r="E779" s="19" t="inlineStr">
        <is>
          <t>896</t>
        </is>
      </c>
      <c r="F779" s="19" t="inlineStr">
        <is>
          <t>100</t>
        </is>
      </c>
      <c r="G779" s="19" t="n"/>
      <c r="H779" s="19" t="inlineStr">
        <is>
          <t>2</t>
        </is>
      </c>
      <c r="I779" s="19" t="n"/>
      <c r="J779" s="19" t="n"/>
      <c r="K779" s="19" t="inlineStr">
        <is>
          <t>2</t>
        </is>
      </c>
      <c r="L779" t="inlineStr">
        <is>
          <t>2026-08-08</t>
        </is>
      </c>
      <c r="N779" t="inlineStr">
        <is>
          <t>IN_SCOPE_FINAL; SOURCE_CFG=IA-ST-CFG-0132; MARKET=TOFAŞ (Yurt Dışı); STATUS=IN OEM / EU PACKAGE</t>
        </is>
      </c>
      <c r="O779" t="inlineStr">
        <is>
          <t>2026-08-10T19:29:54Z</t>
        </is>
      </c>
      <c r="P779" t="inlineStr">
        <is>
          <t>2026-08-10T19:29:54Z</t>
        </is>
      </c>
    </row>
    <row r="780">
      <c r="A780" s="19" t="inlineStr">
        <is>
          <t>779</t>
        </is>
      </c>
      <c r="B780" s="19" t="inlineStr">
        <is>
          <t>SC-1014994-ST-051-EUR-02</t>
        </is>
      </c>
      <c r="C780" t="inlineStr">
        <is>
          <t>1014994 → ST-051-EUR-02</t>
        </is>
      </c>
      <c r="D780" s="19" t="inlineStr">
        <is>
          <t>2</t>
        </is>
      </c>
      <c r="E780" s="19" t="inlineStr">
        <is>
          <t>1755</t>
        </is>
      </c>
      <c r="F780" s="19" t="inlineStr">
        <is>
          <t>101</t>
        </is>
      </c>
      <c r="G780" s="19" t="n"/>
      <c r="H780" s="19" t="inlineStr">
        <is>
          <t>2</t>
        </is>
      </c>
      <c r="I780" s="19" t="n"/>
      <c r="J780" s="19" t="n"/>
      <c r="K780" s="19" t="inlineStr">
        <is>
          <t>2</t>
        </is>
      </c>
      <c r="L780" t="inlineStr">
        <is>
          <t>2026-08-08</t>
        </is>
      </c>
      <c r="N780" t="inlineStr">
        <is>
          <t>IN_SCOPE_FINAL; SOURCE_CFG=IA-ST-CFG-0133; MARKET=CONEX ROMANYA; STATUS=IN OEM / EU PACKAGE</t>
        </is>
      </c>
      <c r="O780" t="inlineStr">
        <is>
          <t>2026-08-10T19:29:54Z</t>
        </is>
      </c>
      <c r="P780" t="inlineStr">
        <is>
          <t>2026-08-10T19:29:54Z</t>
        </is>
      </c>
    </row>
    <row r="781">
      <c r="A781" s="19" t="inlineStr">
        <is>
          <t>780</t>
        </is>
      </c>
      <c r="B781" s="19" t="inlineStr">
        <is>
          <t>SC-1014199-ST-051-EUR-03</t>
        </is>
      </c>
      <c r="C781" t="inlineStr">
        <is>
          <t>1014199 → ST-051-EUR-03</t>
        </is>
      </c>
      <c r="D781" s="19" t="inlineStr">
        <is>
          <t>2</t>
        </is>
      </c>
      <c r="E781" s="19" t="inlineStr">
        <is>
          <t>1266</t>
        </is>
      </c>
      <c r="F781" s="19" t="inlineStr">
        <is>
          <t>102</t>
        </is>
      </c>
      <c r="G781" s="19" t="n"/>
      <c r="H781" s="19" t="inlineStr">
        <is>
          <t>2</t>
        </is>
      </c>
      <c r="I781" s="19" t="n"/>
      <c r="J781" s="19" t="n"/>
      <c r="K781" s="19" t="inlineStr">
        <is>
          <t>2</t>
        </is>
      </c>
      <c r="L781" t="inlineStr">
        <is>
          <t>2026-08-08</t>
        </is>
      </c>
      <c r="N781" t="inlineStr">
        <is>
          <t>IN_SCOPE_FINAL; SOURCE_CFG=IA-ST-CFG-0134; MARKET=BOOSTER; STATUS=IN OEM / EU PACKAGE</t>
        </is>
      </c>
      <c r="O781" t="inlineStr">
        <is>
          <t>2026-08-10T19:29:54Z</t>
        </is>
      </c>
      <c r="P781" t="inlineStr">
        <is>
          <t>2026-08-10T19:29:54Z</t>
        </is>
      </c>
    </row>
    <row r="782">
      <c r="A782" s="19" t="inlineStr">
        <is>
          <t>781</t>
        </is>
      </c>
      <c r="B782" s="19" t="inlineStr">
        <is>
          <t>SC-1014201-ST-051-EUR-03</t>
        </is>
      </c>
      <c r="C782" t="inlineStr">
        <is>
          <t>1014201 → ST-051-EUR-03</t>
        </is>
      </c>
      <c r="D782" s="19" t="inlineStr">
        <is>
          <t>2</t>
        </is>
      </c>
      <c r="E782" s="19" t="inlineStr">
        <is>
          <t>1268</t>
        </is>
      </c>
      <c r="F782" s="19" t="inlineStr">
        <is>
          <t>102</t>
        </is>
      </c>
      <c r="G782" s="19" t="n"/>
      <c r="H782" s="19" t="inlineStr">
        <is>
          <t>2</t>
        </is>
      </c>
      <c r="I782" s="19" t="n"/>
      <c r="J782" s="19" t="n"/>
      <c r="K782" s="19" t="inlineStr">
        <is>
          <t>2</t>
        </is>
      </c>
      <c r="L782" t="inlineStr">
        <is>
          <t>2026-08-08</t>
        </is>
      </c>
      <c r="N782" t="inlineStr">
        <is>
          <t>IN_SCOPE_FINAL; SOURCE_CFG=IA-ST-CFG-0134; MARKET=BOOSTER; STATUS=IN OEM / EU PACKAGE</t>
        </is>
      </c>
      <c r="O782" t="inlineStr">
        <is>
          <t>2026-08-10T19:29:54Z</t>
        </is>
      </c>
      <c r="P782" t="inlineStr">
        <is>
          <t>2026-08-10T19:29:54Z</t>
        </is>
      </c>
    </row>
    <row r="783">
      <c r="A783" s="19" t="inlineStr">
        <is>
          <t>782</t>
        </is>
      </c>
      <c r="B783" s="19" t="inlineStr">
        <is>
          <t>SC-1014995-ST-051-EUR-03</t>
        </is>
      </c>
      <c r="C783" t="inlineStr">
        <is>
          <t>1014995 → ST-051-EUR-03</t>
        </is>
      </c>
      <c r="D783" s="19" t="inlineStr">
        <is>
          <t>2</t>
        </is>
      </c>
      <c r="E783" s="19" t="inlineStr">
        <is>
          <t>1756</t>
        </is>
      </c>
      <c r="F783" s="19" t="inlineStr">
        <is>
          <t>102</t>
        </is>
      </c>
      <c r="G783" s="19" t="n"/>
      <c r="H783" s="19" t="inlineStr">
        <is>
          <t>2</t>
        </is>
      </c>
      <c r="I783" s="19" t="n"/>
      <c r="J783" s="19" t="n"/>
      <c r="K783" s="19" t="inlineStr">
        <is>
          <t>2</t>
        </is>
      </c>
      <c r="L783" t="inlineStr">
        <is>
          <t>2026-08-08</t>
        </is>
      </c>
      <c r="N783" t="inlineStr">
        <is>
          <t>IN_SCOPE_FINAL; SOURCE_CFG=IA-ST-CFG-0134; MARKET=CONEX ROMANYA; STATUS=IN OEM / EU PACKAGE</t>
        </is>
      </c>
      <c r="O783" t="inlineStr">
        <is>
          <t>2026-08-10T19:29:54Z</t>
        </is>
      </c>
      <c r="P783" t="inlineStr">
        <is>
          <t>2026-08-10T19:29:54Z</t>
        </is>
      </c>
    </row>
    <row r="784">
      <c r="A784" s="19" t="inlineStr">
        <is>
          <t>783</t>
        </is>
      </c>
      <c r="B784" s="19" t="inlineStr">
        <is>
          <t>SC-1015313-ST-051-EUR-03</t>
        </is>
      </c>
      <c r="C784" t="inlineStr">
        <is>
          <t>1015313 → ST-051-EUR-03</t>
        </is>
      </c>
      <c r="D784" s="19" t="inlineStr">
        <is>
          <t>2</t>
        </is>
      </c>
      <c r="E784" s="19" t="inlineStr">
        <is>
          <t>2034</t>
        </is>
      </c>
      <c r="F784" s="19" t="inlineStr">
        <is>
          <t>102</t>
        </is>
      </c>
      <c r="G784" s="19" t="n"/>
      <c r="H784" s="19" t="inlineStr">
        <is>
          <t>2</t>
        </is>
      </c>
      <c r="I784" s="19" t="n"/>
      <c r="J784" s="19" t="n"/>
      <c r="K784" s="19" t="inlineStr">
        <is>
          <t>2</t>
        </is>
      </c>
      <c r="L784" t="inlineStr">
        <is>
          <t>2026-08-08</t>
        </is>
      </c>
      <c r="N784" t="inlineStr">
        <is>
          <t>IN_SCOPE_FINAL; SOURCE_CFG=IA-ST-CFG-0134; MARKET=None; STATUS=IN OEM / EU PACKAGE</t>
        </is>
      </c>
      <c r="O784" t="inlineStr">
        <is>
          <t>2026-08-10T19:29:54Z</t>
        </is>
      </c>
      <c r="P784" t="inlineStr">
        <is>
          <t>2026-08-10T19:29:54Z</t>
        </is>
      </c>
    </row>
    <row r="785">
      <c r="A785" s="19" t="inlineStr">
        <is>
          <t>784</t>
        </is>
      </c>
      <c r="B785" s="19" t="inlineStr">
        <is>
          <t>SC-1012613-ST-051-EUR-03</t>
        </is>
      </c>
      <c r="C785" t="inlineStr">
        <is>
          <t>1012613 → ST-051-EUR-03</t>
        </is>
      </c>
      <c r="D785" s="19" t="inlineStr">
        <is>
          <t>2</t>
        </is>
      </c>
      <c r="E785" s="19" t="inlineStr">
        <is>
          <t>714</t>
        </is>
      </c>
      <c r="F785" s="19" t="inlineStr">
        <is>
          <t>102</t>
        </is>
      </c>
      <c r="G785" s="19" t="n"/>
      <c r="H785" s="19" t="inlineStr">
        <is>
          <t>2</t>
        </is>
      </c>
      <c r="I785" s="19" t="n"/>
      <c r="J785" s="19" t="n"/>
      <c r="K785" s="19" t="inlineStr">
        <is>
          <t>2</t>
        </is>
      </c>
      <c r="L785" t="inlineStr">
        <is>
          <t>2026-08-08</t>
        </is>
      </c>
      <c r="N785" t="inlineStr">
        <is>
          <t>IN_SCOPE_FINAL; SOURCE_CFG=IA-ST-CFG-0134; MARKET=START TRADING BULGARİSTAN; STATUS=IN OEM / EU PACKAGE</t>
        </is>
      </c>
      <c r="O785" t="inlineStr">
        <is>
          <t>2026-08-10T19:29:54Z</t>
        </is>
      </c>
      <c r="P785" t="inlineStr">
        <is>
          <t>2026-08-10T19:29:54Z</t>
        </is>
      </c>
    </row>
    <row r="786">
      <c r="A786" s="19" t="inlineStr">
        <is>
          <t>785</t>
        </is>
      </c>
      <c r="B786" s="19" t="inlineStr">
        <is>
          <t>SC-1012618-ST-051-EUR-03</t>
        </is>
      </c>
      <c r="C786" t="inlineStr">
        <is>
          <t>1012618 → ST-051-EUR-03</t>
        </is>
      </c>
      <c r="D786" s="19" t="inlineStr">
        <is>
          <t>2</t>
        </is>
      </c>
      <c r="E786" s="19" t="inlineStr">
        <is>
          <t>717</t>
        </is>
      </c>
      <c r="F786" s="19" t="inlineStr">
        <is>
          <t>102</t>
        </is>
      </c>
      <c r="G786" s="19" t="n"/>
      <c r="H786" s="19" t="inlineStr">
        <is>
          <t>2</t>
        </is>
      </c>
      <c r="I786" s="19" t="n"/>
      <c r="J786" s="19" t="n"/>
      <c r="K786" s="19" t="inlineStr">
        <is>
          <t>2</t>
        </is>
      </c>
      <c r="L786" t="inlineStr">
        <is>
          <t>2026-08-08</t>
        </is>
      </c>
      <c r="N786" t="inlineStr">
        <is>
          <t>IN_SCOPE_FINAL; SOURCE_CFG=IA-ST-CFG-0134; MARKET=START TRADING BULGARİSTAN; STATUS=IN OEM / EU PACKAGE</t>
        </is>
      </c>
      <c r="O786" t="inlineStr">
        <is>
          <t>2026-08-10T19:29:54Z</t>
        </is>
      </c>
      <c r="P786" t="inlineStr">
        <is>
          <t>2026-08-10T19:29:54Z</t>
        </is>
      </c>
    </row>
    <row r="787">
      <c r="A787" s="19" t="inlineStr">
        <is>
          <t>786</t>
        </is>
      </c>
      <c r="B787" s="19" t="inlineStr">
        <is>
          <t>SC-1012738-ST-051-EUR-04</t>
        </is>
      </c>
      <c r="C787" t="inlineStr">
        <is>
          <t>1012738 → ST-051-EUR-04</t>
        </is>
      </c>
      <c r="D787" s="19" t="inlineStr">
        <is>
          <t>2</t>
        </is>
      </c>
      <c r="E787" s="19" t="inlineStr">
        <is>
          <t>773</t>
        </is>
      </c>
      <c r="F787" s="19" t="inlineStr">
        <is>
          <t>103</t>
        </is>
      </c>
      <c r="G787" s="19" t="n"/>
      <c r="H787" s="19" t="inlineStr">
        <is>
          <t>2</t>
        </is>
      </c>
      <c r="I787" s="19" t="n"/>
      <c r="J787" s="19" t="n"/>
      <c r="K787" s="19" t="inlineStr">
        <is>
          <t>2</t>
        </is>
      </c>
      <c r="L787" t="inlineStr">
        <is>
          <t>2026-08-08</t>
        </is>
      </c>
      <c r="N787" t="inlineStr">
        <is>
          <t>IN_SCOPE_FINAL; SOURCE_CFG=IA-ST-CFG-0135; MARKET=BATERIE PRZEMYSLOWE POLONYA; STATUS=IN OEM / EU PACKAGE</t>
        </is>
      </c>
      <c r="O787" t="inlineStr">
        <is>
          <t>2026-08-10T19:29:54Z</t>
        </is>
      </c>
      <c r="P787" t="inlineStr">
        <is>
          <t>2026-08-10T19:29:54Z</t>
        </is>
      </c>
    </row>
    <row r="788">
      <c r="A788" s="19" t="inlineStr">
        <is>
          <t>787</t>
        </is>
      </c>
      <c r="B788" s="19" t="inlineStr">
        <is>
          <t>SC-1012739-ST-051-EUR-04</t>
        </is>
      </c>
      <c r="C788" t="inlineStr">
        <is>
          <t>1012739 → ST-051-EUR-04</t>
        </is>
      </c>
      <c r="D788" s="19" t="inlineStr">
        <is>
          <t>2</t>
        </is>
      </c>
      <c r="E788" s="19" t="inlineStr">
        <is>
          <t>774</t>
        </is>
      </c>
      <c r="F788" s="19" t="inlineStr">
        <is>
          <t>103</t>
        </is>
      </c>
      <c r="G788" s="19" t="n"/>
      <c r="H788" s="19" t="inlineStr">
        <is>
          <t>2</t>
        </is>
      </c>
      <c r="I788" s="19" t="n"/>
      <c r="J788" s="19" t="n"/>
      <c r="K788" s="19" t="inlineStr">
        <is>
          <t>2</t>
        </is>
      </c>
      <c r="L788" t="inlineStr">
        <is>
          <t>2026-08-08</t>
        </is>
      </c>
      <c r="N788" t="inlineStr">
        <is>
          <t>IN_SCOPE_FINAL; SOURCE_CFG=IA-ST-CFG-0135; MARKET=BATERIE PRZEMYSLOWE POLONYA; STATUS=IN OEM / EU PACKAGE</t>
        </is>
      </c>
      <c r="O788" t="inlineStr">
        <is>
          <t>2026-08-10T19:29:54Z</t>
        </is>
      </c>
      <c r="P788" t="inlineStr">
        <is>
          <t>2026-08-10T19:29:54Z</t>
        </is>
      </c>
    </row>
    <row r="789">
      <c r="A789" s="19" t="inlineStr">
        <is>
          <t>788</t>
        </is>
      </c>
      <c r="B789" s="19" t="inlineStr">
        <is>
          <t>SC-1014559-ST-051-EUR-04</t>
        </is>
      </c>
      <c r="C789" t="inlineStr">
        <is>
          <t>1014559 → ST-051-EUR-04</t>
        </is>
      </c>
      <c r="D789" s="19" t="inlineStr">
        <is>
          <t>2</t>
        </is>
      </c>
      <c r="E789" s="19" t="inlineStr">
        <is>
          <t>1448</t>
        </is>
      </c>
      <c r="F789" s="19" t="inlineStr">
        <is>
          <t>103</t>
        </is>
      </c>
      <c r="G789" s="19" t="n"/>
      <c r="H789" s="19" t="inlineStr">
        <is>
          <t>2</t>
        </is>
      </c>
      <c r="I789" s="19" t="n"/>
      <c r="J789" s="19" t="n"/>
      <c r="K789" s="19" t="inlineStr">
        <is>
          <t>2</t>
        </is>
      </c>
      <c r="L789" t="inlineStr">
        <is>
          <t>2026-08-08</t>
        </is>
      </c>
      <c r="N789" t="inlineStr">
        <is>
          <t>IN_SCOPE_FINAL; SOURCE_CFG=IA-ST-CFG-0135; MARKET=BATERIE PRZEMYSLOWE POLONYA; STATUS=IN OEM / EU PACKAGE</t>
        </is>
      </c>
      <c r="O789" t="inlineStr">
        <is>
          <t>2026-08-10T19:29:54Z</t>
        </is>
      </c>
      <c r="P789" t="inlineStr">
        <is>
          <t>2026-08-10T19:29:54Z</t>
        </is>
      </c>
    </row>
    <row r="790">
      <c r="A790" s="19" t="inlineStr">
        <is>
          <t>789</t>
        </is>
      </c>
      <c r="B790" s="19" t="inlineStr">
        <is>
          <t>SC-1014560-ST-051-EUR-04</t>
        </is>
      </c>
      <c r="C790" t="inlineStr">
        <is>
          <t>1014560 → ST-051-EUR-04</t>
        </is>
      </c>
      <c r="D790" s="19" t="inlineStr">
        <is>
          <t>2</t>
        </is>
      </c>
      <c r="E790" s="19" t="inlineStr">
        <is>
          <t>1449</t>
        </is>
      </c>
      <c r="F790" s="19" t="inlineStr">
        <is>
          <t>103</t>
        </is>
      </c>
      <c r="G790" s="19" t="n"/>
      <c r="H790" s="19" t="inlineStr">
        <is>
          <t>2</t>
        </is>
      </c>
      <c r="I790" s="19" t="n"/>
      <c r="J790" s="19" t="n"/>
      <c r="K790" s="19" t="inlineStr">
        <is>
          <t>2</t>
        </is>
      </c>
      <c r="L790" t="inlineStr">
        <is>
          <t>2026-08-08</t>
        </is>
      </c>
      <c r="N790" t="inlineStr">
        <is>
          <t>IN_SCOPE_FINAL; SOURCE_CFG=IA-ST-CFG-0135; MARKET=BATERIE PRZEMYSLOWE POLONYA; STATUS=IN OEM / EU PACKAGE</t>
        </is>
      </c>
      <c r="O790" t="inlineStr">
        <is>
          <t>2026-08-10T19:29:54Z</t>
        </is>
      </c>
      <c r="P790" t="inlineStr">
        <is>
          <t>2026-08-10T19:29:54Z</t>
        </is>
      </c>
    </row>
    <row r="791">
      <c r="A791" s="19" t="inlineStr">
        <is>
          <t>790</t>
        </is>
      </c>
      <c r="B791" s="19" t="inlineStr">
        <is>
          <t>SC-1015114-ST-051-EUR-04</t>
        </is>
      </c>
      <c r="C791" t="inlineStr">
        <is>
          <t>1015114 → ST-051-EUR-04</t>
        </is>
      </c>
      <c r="D791" s="19" t="inlineStr">
        <is>
          <t>2</t>
        </is>
      </c>
      <c r="E791" s="19" t="inlineStr">
        <is>
          <t>1867</t>
        </is>
      </c>
      <c r="F791" s="19" t="inlineStr">
        <is>
          <t>103</t>
        </is>
      </c>
      <c r="G791" s="19" t="n"/>
      <c r="H791" s="19" t="inlineStr">
        <is>
          <t>2</t>
        </is>
      </c>
      <c r="I791" s="19" t="n"/>
      <c r="J791" s="19" t="n"/>
      <c r="K791" s="19" t="inlineStr">
        <is>
          <t>2</t>
        </is>
      </c>
      <c r="L791" t="inlineStr">
        <is>
          <t>2026-08-08</t>
        </is>
      </c>
      <c r="N791" t="inlineStr">
        <is>
          <t>IN_SCOPE_FINAL; SOURCE_CFG=IA-ST-CFG-0135; MARKET=BATERIE PRZEMYSLOWE POLONYA; STATUS=IN OEM / EU PACKAGE</t>
        </is>
      </c>
      <c r="O791" t="inlineStr">
        <is>
          <t>2026-08-10T19:29:54Z</t>
        </is>
      </c>
      <c r="P791" t="inlineStr">
        <is>
          <t>2026-08-10T19:29:54Z</t>
        </is>
      </c>
    </row>
    <row r="792">
      <c r="A792" s="19" t="inlineStr">
        <is>
          <t>791</t>
        </is>
      </c>
      <c r="B792" s="19" t="inlineStr">
        <is>
          <t>SC-1015115-ST-051-EUR-04</t>
        </is>
      </c>
      <c r="C792" t="inlineStr">
        <is>
          <t>1015115 → ST-051-EUR-04</t>
        </is>
      </c>
      <c r="D792" s="19" t="inlineStr">
        <is>
          <t>2</t>
        </is>
      </c>
      <c r="E792" s="19" t="inlineStr">
        <is>
          <t>1868</t>
        </is>
      </c>
      <c r="F792" s="19" t="inlineStr">
        <is>
          <t>103</t>
        </is>
      </c>
      <c r="G792" s="19" t="n"/>
      <c r="H792" s="19" t="inlineStr">
        <is>
          <t>2</t>
        </is>
      </c>
      <c r="I792" s="19" t="n"/>
      <c r="J792" s="19" t="n"/>
      <c r="K792" s="19" t="inlineStr">
        <is>
          <t>2</t>
        </is>
      </c>
      <c r="L792" t="inlineStr">
        <is>
          <t>2026-08-08</t>
        </is>
      </c>
      <c r="N792" t="inlineStr">
        <is>
          <t>IN_SCOPE_FINAL; SOURCE_CFG=IA-ST-CFG-0135; MARKET=BATERIE PRZEMYSLOWE POLONYA; STATUS=IN OEM / EU PACKAGE</t>
        </is>
      </c>
      <c r="O792" t="inlineStr">
        <is>
          <t>2026-08-10T19:29:54Z</t>
        </is>
      </c>
      <c r="P792" t="inlineStr">
        <is>
          <t>2026-08-10T19:29:54Z</t>
        </is>
      </c>
    </row>
    <row r="793">
      <c r="A793" s="19" t="inlineStr">
        <is>
          <t>792</t>
        </is>
      </c>
      <c r="B793" s="19" t="inlineStr">
        <is>
          <t>SC-1015264-ST-051-EUR-04</t>
        </is>
      </c>
      <c r="C793" t="inlineStr">
        <is>
          <t>1015264 → ST-051-EUR-04</t>
        </is>
      </c>
      <c r="D793" s="19" t="inlineStr">
        <is>
          <t>2</t>
        </is>
      </c>
      <c r="E793" s="19" t="inlineStr">
        <is>
          <t>1997</t>
        </is>
      </c>
      <c r="F793" s="19" t="inlineStr">
        <is>
          <t>103</t>
        </is>
      </c>
      <c r="G793" s="19" t="n"/>
      <c r="H793" s="19" t="inlineStr">
        <is>
          <t>2</t>
        </is>
      </c>
      <c r="I793" s="19" t="n"/>
      <c r="J793" s="19" t="n"/>
      <c r="K793" s="19" t="inlineStr">
        <is>
          <t>2</t>
        </is>
      </c>
      <c r="L793" t="inlineStr">
        <is>
          <t>2026-08-08</t>
        </is>
      </c>
      <c r="N793" t="inlineStr">
        <is>
          <t>IN_SCOPE_FINAL; SOURCE_CFG=IA-ST-CFG-0135; MARKET=BATERIE PRZEMYSLOWE POLONYA; STATUS=IN OEM / EU PACKAGE</t>
        </is>
      </c>
      <c r="O793" t="inlineStr">
        <is>
          <t>2026-08-10T19:29:54Z</t>
        </is>
      </c>
      <c r="P793" t="inlineStr">
        <is>
          <t>2026-08-10T19:29:54Z</t>
        </is>
      </c>
    </row>
    <row r="794">
      <c r="A794" s="19" t="inlineStr">
        <is>
          <t>793</t>
        </is>
      </c>
      <c r="B794" s="19" t="inlineStr">
        <is>
          <t>SC-1015265-ST-051-EUR-04</t>
        </is>
      </c>
      <c r="C794" t="inlineStr">
        <is>
          <t>1015265 → ST-051-EUR-04</t>
        </is>
      </c>
      <c r="D794" s="19" t="inlineStr">
        <is>
          <t>2</t>
        </is>
      </c>
      <c r="E794" s="19" t="inlineStr">
        <is>
          <t>1998</t>
        </is>
      </c>
      <c r="F794" s="19" t="inlineStr">
        <is>
          <t>103</t>
        </is>
      </c>
      <c r="G794" s="19" t="n"/>
      <c r="H794" s="19" t="inlineStr">
        <is>
          <t>2</t>
        </is>
      </c>
      <c r="I794" s="19" t="n"/>
      <c r="J794" s="19" t="n"/>
      <c r="K794" s="19" t="inlineStr">
        <is>
          <t>2</t>
        </is>
      </c>
      <c r="L794" t="inlineStr">
        <is>
          <t>2026-08-08</t>
        </is>
      </c>
      <c r="N794" t="inlineStr">
        <is>
          <t>IN_SCOPE_FINAL; SOURCE_CFG=IA-ST-CFG-0135; MARKET=BATERIE PRZEMYSLOWE POLONYA; STATUS=IN OEM / EU PACKAGE</t>
        </is>
      </c>
      <c r="O794" t="inlineStr">
        <is>
          <t>2026-08-10T19:29:54Z</t>
        </is>
      </c>
      <c r="P794" t="inlineStr">
        <is>
          <t>2026-08-10T19:29:54Z</t>
        </is>
      </c>
    </row>
    <row r="795">
      <c r="A795" s="19" t="inlineStr">
        <is>
          <t>794</t>
        </is>
      </c>
      <c r="B795" s="19" t="inlineStr">
        <is>
          <t>SC-1014041-ST-051-EUR-04</t>
        </is>
      </c>
      <c r="C795" t="inlineStr">
        <is>
          <t>1014041 → ST-051-EUR-04</t>
        </is>
      </c>
      <c r="D795" s="19" t="inlineStr">
        <is>
          <t>2</t>
        </is>
      </c>
      <c r="E795" s="19" t="inlineStr">
        <is>
          <t>1193</t>
        </is>
      </c>
      <c r="F795" s="19" t="inlineStr">
        <is>
          <t>103</t>
        </is>
      </c>
      <c r="G795" s="19" t="n"/>
      <c r="H795" s="19" t="inlineStr">
        <is>
          <t>2</t>
        </is>
      </c>
      <c r="I795" s="19" t="n"/>
      <c r="J795" s="19" t="n"/>
      <c r="K795" s="19" t="inlineStr">
        <is>
          <t>2</t>
        </is>
      </c>
      <c r="L795" t="inlineStr">
        <is>
          <t>2026-08-08</t>
        </is>
      </c>
      <c r="N795" t="inlineStr">
        <is>
          <t>IN_SCOPE_FINAL; SOURCE_CFG=IA-ST-CFG-0135; MARKET=CARANDA ROMANYA; STATUS=IN OEM / EU PACKAGE</t>
        </is>
      </c>
      <c r="O795" t="inlineStr">
        <is>
          <t>2026-08-10T19:29:54Z</t>
        </is>
      </c>
      <c r="P795" t="inlineStr">
        <is>
          <t>2026-08-10T19:29:54Z</t>
        </is>
      </c>
    </row>
    <row r="796">
      <c r="A796" s="19" t="inlineStr">
        <is>
          <t>795</t>
        </is>
      </c>
      <c r="B796" s="19" t="inlineStr">
        <is>
          <t>SC-1014042-ST-051-EUR-04</t>
        </is>
      </c>
      <c r="C796" t="inlineStr">
        <is>
          <t>1014042 → ST-051-EUR-04</t>
        </is>
      </c>
      <c r="D796" s="19" t="inlineStr">
        <is>
          <t>2</t>
        </is>
      </c>
      <c r="E796" s="19" t="inlineStr">
        <is>
          <t>1194</t>
        </is>
      </c>
      <c r="F796" s="19" t="inlineStr">
        <is>
          <t>103</t>
        </is>
      </c>
      <c r="G796" s="19" t="n"/>
      <c r="H796" s="19" t="inlineStr">
        <is>
          <t>2</t>
        </is>
      </c>
      <c r="I796" s="19" t="n"/>
      <c r="J796" s="19" t="n"/>
      <c r="K796" s="19" t="inlineStr">
        <is>
          <t>2</t>
        </is>
      </c>
      <c r="L796" t="inlineStr">
        <is>
          <t>2026-08-08</t>
        </is>
      </c>
      <c r="N796" t="inlineStr">
        <is>
          <t>IN_SCOPE_FINAL; SOURCE_CFG=IA-ST-CFG-0135; MARKET=CARANDA ROMANYA; STATUS=IN OEM / EU PACKAGE</t>
        </is>
      </c>
      <c r="O796" t="inlineStr">
        <is>
          <t>2026-08-10T19:29:54Z</t>
        </is>
      </c>
      <c r="P796" t="inlineStr">
        <is>
          <t>2026-08-10T19:29:54Z</t>
        </is>
      </c>
    </row>
    <row r="797">
      <c r="A797" s="19" t="inlineStr">
        <is>
          <t>796</t>
        </is>
      </c>
      <c r="B797" s="19" t="inlineStr">
        <is>
          <t>SC-1014050-ST-051-EUR-04</t>
        </is>
      </c>
      <c r="C797" t="inlineStr">
        <is>
          <t>1014050 → ST-051-EUR-04</t>
        </is>
      </c>
      <c r="D797" s="19" t="inlineStr">
        <is>
          <t>2</t>
        </is>
      </c>
      <c r="E797" s="19" t="inlineStr">
        <is>
          <t>1198</t>
        </is>
      </c>
      <c r="F797" s="19" t="inlineStr">
        <is>
          <t>103</t>
        </is>
      </c>
      <c r="G797" s="19" t="n"/>
      <c r="H797" s="19" t="inlineStr">
        <is>
          <t>2</t>
        </is>
      </c>
      <c r="I797" s="19" t="n"/>
      <c r="J797" s="19" t="n"/>
      <c r="K797" s="19" t="inlineStr">
        <is>
          <t>2</t>
        </is>
      </c>
      <c r="L797" t="inlineStr">
        <is>
          <t>2026-08-08</t>
        </is>
      </c>
      <c r="N797" t="inlineStr">
        <is>
          <t>IN_SCOPE_FINAL; SOURCE_CFG=IA-ST-CFG-0135; MARKET=CARANDA ROMANYA; STATUS=IN OEM / EU PACKAGE</t>
        </is>
      </c>
      <c r="O797" t="inlineStr">
        <is>
          <t>2026-08-10T19:29:54Z</t>
        </is>
      </c>
      <c r="P797" t="inlineStr">
        <is>
          <t>2026-08-10T19:29:54Z</t>
        </is>
      </c>
    </row>
    <row r="798">
      <c r="A798" s="19" t="inlineStr">
        <is>
          <t>797</t>
        </is>
      </c>
      <c r="B798" s="19" t="inlineStr">
        <is>
          <t>SC-1014451-ST-054-STD-01</t>
        </is>
      </c>
      <c r="C798" t="inlineStr">
        <is>
          <t>1014451 → ST-054-STD-01</t>
        </is>
      </c>
      <c r="D798" s="19" t="inlineStr">
        <is>
          <t>2</t>
        </is>
      </c>
      <c r="E798" s="19" t="inlineStr">
        <is>
          <t>1392</t>
        </is>
      </c>
      <c r="F798" s="19" t="inlineStr">
        <is>
          <t>113</t>
        </is>
      </c>
      <c r="G798" s="19" t="n"/>
      <c r="H798" s="19" t="inlineStr">
        <is>
          <t>2</t>
        </is>
      </c>
      <c r="I798" s="19" t="n"/>
      <c r="J798" s="19" t="n"/>
      <c r="K798" s="19" t="inlineStr">
        <is>
          <t>2</t>
        </is>
      </c>
      <c r="L798" t="inlineStr">
        <is>
          <t>2026-08-08</t>
        </is>
      </c>
      <c r="N798" t="inlineStr">
        <is>
          <t>IN_SCOPE_FINAL; SOURCE_CFG=IA-ST-CFG-0137; MARKET=YUASA 3000 EXPORT; STATUS=IN OEM / EU PACKAGE</t>
        </is>
      </c>
      <c r="O798" t="inlineStr">
        <is>
          <t>2026-08-10T19:29:54Z</t>
        </is>
      </c>
      <c r="P798" t="inlineStr">
        <is>
          <t>2026-08-10T19:29:54Z</t>
        </is>
      </c>
    </row>
    <row r="799">
      <c r="A799" s="19" t="inlineStr">
        <is>
          <t>798</t>
        </is>
      </c>
      <c r="B799" s="19" t="inlineStr">
        <is>
          <t>SC-1013381-ST-054-STD-02</t>
        </is>
      </c>
      <c r="C799" t="inlineStr">
        <is>
          <t>1013381 → ST-054-STD-02</t>
        </is>
      </c>
      <c r="D799" s="19" t="inlineStr">
        <is>
          <t>2</t>
        </is>
      </c>
      <c r="E799" s="19" t="inlineStr">
        <is>
          <t>980</t>
        </is>
      </c>
      <c r="F799" s="19" t="inlineStr">
        <is>
          <t>114</t>
        </is>
      </c>
      <c r="G799" s="19" t="n"/>
      <c r="H799" s="19" t="inlineStr">
        <is>
          <t>2</t>
        </is>
      </c>
      <c r="I799" s="19" t="n"/>
      <c r="J799" s="19" t="n"/>
      <c r="K799" s="19" t="inlineStr">
        <is>
          <t>2</t>
        </is>
      </c>
      <c r="L799" t="inlineStr">
        <is>
          <t>2026-08-08</t>
        </is>
      </c>
      <c r="N799" t="inlineStr">
        <is>
          <t>IN_SCOPE_FINAL; SOURCE_CFG=IA-ST-CFG-0138; MARKET=None; STATUS=IN OEM / EU PACKAGE</t>
        </is>
      </c>
      <c r="O799" t="inlineStr">
        <is>
          <t>2026-08-10T19:29:54Z</t>
        </is>
      </c>
      <c r="P799" t="inlineStr">
        <is>
          <t>2026-08-10T19:29:54Z</t>
        </is>
      </c>
    </row>
    <row r="800">
      <c r="A800" s="19" t="inlineStr">
        <is>
          <t>799</t>
        </is>
      </c>
      <c r="B800" s="19" t="inlineStr">
        <is>
          <t>SC-1013990-ST-054-STD-03</t>
        </is>
      </c>
      <c r="C800" t="inlineStr">
        <is>
          <t>1013990 → ST-054-STD-03</t>
        </is>
      </c>
      <c r="D800" s="19" t="inlineStr">
        <is>
          <t>2</t>
        </is>
      </c>
      <c r="E800" s="19" t="inlineStr">
        <is>
          <t>1161</t>
        </is>
      </c>
      <c r="F800" s="19" t="inlineStr">
        <is>
          <t>115</t>
        </is>
      </c>
      <c r="G800" s="19" t="n"/>
      <c r="H800" s="19" t="inlineStr">
        <is>
          <t>2</t>
        </is>
      </c>
      <c r="I800" s="19" t="n"/>
      <c r="J800" s="19" t="n"/>
      <c r="K800" s="19" t="inlineStr">
        <is>
          <t>2</t>
        </is>
      </c>
      <c r="L800" t="inlineStr">
        <is>
          <t>2026-08-08</t>
        </is>
      </c>
      <c r="N800" t="inlineStr">
        <is>
          <t>IN_SCOPE_FINAL; SOURCE_CFG=IA-ST-CFG-0139; MARKET=YURT İÇİ AFM; STATUS=IN OEM / EU PACKAGE</t>
        </is>
      </c>
      <c r="O800" t="inlineStr">
        <is>
          <t>2026-08-10T19:29:54Z</t>
        </is>
      </c>
      <c r="P800" t="inlineStr">
        <is>
          <t>2026-08-10T19:29:54Z</t>
        </is>
      </c>
    </row>
    <row r="801">
      <c r="A801" s="19" t="inlineStr">
        <is>
          <t>800</t>
        </is>
      </c>
      <c r="B801" s="19" t="inlineStr">
        <is>
          <t>SC-1013172-ST-054-STD-04</t>
        </is>
      </c>
      <c r="C801" t="inlineStr">
        <is>
          <t>1013172 → ST-054-STD-04</t>
        </is>
      </c>
      <c r="D801" s="19" t="inlineStr">
        <is>
          <t>2</t>
        </is>
      </c>
      <c r="E801" s="19" t="inlineStr">
        <is>
          <t>934</t>
        </is>
      </c>
      <c r="F801" s="19" t="inlineStr">
        <is>
          <t>116</t>
        </is>
      </c>
      <c r="G801" s="19" t="n"/>
      <c r="H801" s="19" t="inlineStr">
        <is>
          <t>2</t>
        </is>
      </c>
      <c r="I801" s="19" t="n"/>
      <c r="J801" s="19" t="n"/>
      <c r="K801" s="19" t="inlineStr">
        <is>
          <t>2</t>
        </is>
      </c>
      <c r="L801" t="inlineStr">
        <is>
          <t>2026-08-08</t>
        </is>
      </c>
      <c r="N801" t="inlineStr">
        <is>
          <t>IN_SCOPE_FINAL; SOURCE_CFG=IA-ST-CFG-0140; MARKET=YUASA AMERICA; STATUS=IN OEM / EU PACKAGE</t>
        </is>
      </c>
      <c r="O801" t="inlineStr">
        <is>
          <t>2026-08-10T19:29:54Z</t>
        </is>
      </c>
      <c r="P801" t="inlineStr">
        <is>
          <t>2026-08-10T19:29:54Z</t>
        </is>
      </c>
    </row>
    <row r="802">
      <c r="A802" s="19" t="inlineStr">
        <is>
          <t>801</t>
        </is>
      </c>
      <c r="B802" s="19" t="inlineStr">
        <is>
          <t>SC-1014373-ST-054-STD-05</t>
        </is>
      </c>
      <c r="C802" t="inlineStr">
        <is>
          <t>1014373 → ST-054-STD-05</t>
        </is>
      </c>
      <c r="D802" s="19" t="inlineStr">
        <is>
          <t>2</t>
        </is>
      </c>
      <c r="E802" s="19" t="inlineStr">
        <is>
          <t>1329</t>
        </is>
      </c>
      <c r="F802" s="19" t="inlineStr">
        <is>
          <t>117</t>
        </is>
      </c>
      <c r="G802" s="19" t="n"/>
      <c r="H802" s="19" t="inlineStr">
        <is>
          <t>2</t>
        </is>
      </c>
      <c r="I802" s="19" t="n"/>
      <c r="J802" s="19" t="n"/>
      <c r="K802" s="19" t="inlineStr">
        <is>
          <t>2</t>
        </is>
      </c>
      <c r="L802" t="inlineStr">
        <is>
          <t>2026-08-08</t>
        </is>
      </c>
      <c r="N802" t="inlineStr">
        <is>
          <t>IN_SCOPE_FINAL; SOURCE_CFG=IA-ST-CFG-0141; MARKET=YURT İÇİ AFM; STATUS=IN OEM / EU PACKAGE</t>
        </is>
      </c>
      <c r="O802" t="inlineStr">
        <is>
          <t>2026-08-10T19:29:54Z</t>
        </is>
      </c>
      <c r="P802" t="inlineStr">
        <is>
          <t>2026-08-10T19:29:54Z</t>
        </is>
      </c>
    </row>
    <row r="803">
      <c r="A803" s="19" t="inlineStr">
        <is>
          <t>802</t>
        </is>
      </c>
      <c r="B803" s="19" t="inlineStr">
        <is>
          <t>SC-1015039-ST-054-STD-05</t>
        </is>
      </c>
      <c r="C803" t="inlineStr">
        <is>
          <t>1015039 → ST-054-STD-05</t>
        </is>
      </c>
      <c r="D803" s="19" t="inlineStr">
        <is>
          <t>2</t>
        </is>
      </c>
      <c r="E803" s="19" t="inlineStr">
        <is>
          <t>1799</t>
        </is>
      </c>
      <c r="F803" s="19" t="inlineStr">
        <is>
          <t>117</t>
        </is>
      </c>
      <c r="G803" s="19" t="n"/>
      <c r="H803" s="19" t="inlineStr">
        <is>
          <t>2</t>
        </is>
      </c>
      <c r="I803" s="19" t="n"/>
      <c r="J803" s="19" t="n"/>
      <c r="K803" s="19" t="inlineStr">
        <is>
          <t>2</t>
        </is>
      </c>
      <c r="L803" t="inlineStr">
        <is>
          <t>2026-08-08</t>
        </is>
      </c>
      <c r="N803" t="inlineStr">
        <is>
          <t>IN_SCOPE_FINAL; SOURCE_CFG=IA-ST-CFG-0141; MARKET=REDMAY URUGUAY; STATUS=IN OEM / EU PACKAGE</t>
        </is>
      </c>
      <c r="O803" t="inlineStr">
        <is>
          <t>2026-08-10T19:29:54Z</t>
        </is>
      </c>
      <c r="P803" t="inlineStr">
        <is>
          <t>2026-08-10T19:29:54Z</t>
        </is>
      </c>
    </row>
    <row r="804">
      <c r="A804" s="19" t="inlineStr">
        <is>
          <t>803</t>
        </is>
      </c>
      <c r="B804" s="19" t="inlineStr">
        <is>
          <t>SC-1013898-ST-054-STD-06</t>
        </is>
      </c>
      <c r="C804" t="inlineStr">
        <is>
          <t>1013898 → ST-054-STD-06</t>
        </is>
      </c>
      <c r="D804" s="19" t="inlineStr">
        <is>
          <t>2</t>
        </is>
      </c>
      <c r="E804" s="19" t="inlineStr">
        <is>
          <t>1124</t>
        </is>
      </c>
      <c r="F804" s="19" t="inlineStr">
        <is>
          <t>118</t>
        </is>
      </c>
      <c r="G804" s="19" t="n"/>
      <c r="H804" s="19" t="inlineStr">
        <is>
          <t>2</t>
        </is>
      </c>
      <c r="I804" s="19" t="n"/>
      <c r="J804" s="19" t="n"/>
      <c r="K804" s="19" t="inlineStr">
        <is>
          <t>2</t>
        </is>
      </c>
      <c r="L804" t="inlineStr">
        <is>
          <t>2026-08-08</t>
        </is>
      </c>
      <c r="N804" t="inlineStr">
        <is>
          <t>IN_SCOPE_FINAL; SOURCE_CFG=IA-ST-CFG-0142; MARKET=None; STATUS=IN OEM / EU PACKAGE</t>
        </is>
      </c>
      <c r="O804" t="inlineStr">
        <is>
          <t>2026-08-10T19:29:54Z</t>
        </is>
      </c>
      <c r="P804" t="inlineStr">
        <is>
          <t>2026-08-10T19:29:54Z</t>
        </is>
      </c>
    </row>
    <row r="805">
      <c r="A805" s="19" t="inlineStr">
        <is>
          <t>804</t>
        </is>
      </c>
      <c r="B805" s="19" t="inlineStr">
        <is>
          <t>SC-1014957-ST-054-STD-06</t>
        </is>
      </c>
      <c r="C805" t="inlineStr">
        <is>
          <t>1014957 → ST-054-STD-06</t>
        </is>
      </c>
      <c r="D805" s="19" t="inlineStr">
        <is>
          <t>2</t>
        </is>
      </c>
      <c r="E805" s="19" t="inlineStr">
        <is>
          <t>1723</t>
        </is>
      </c>
      <c r="F805" s="19" t="inlineStr">
        <is>
          <t>118</t>
        </is>
      </c>
      <c r="G805" s="19" t="n"/>
      <c r="H805" s="19" t="inlineStr">
        <is>
          <t>2</t>
        </is>
      </c>
      <c r="I805" s="19" t="n"/>
      <c r="J805" s="19" t="n"/>
      <c r="K805" s="19" t="inlineStr">
        <is>
          <t>2</t>
        </is>
      </c>
      <c r="L805" t="inlineStr">
        <is>
          <t>2026-08-08</t>
        </is>
      </c>
      <c r="N805" t="inlineStr">
        <is>
          <t>IN_SCOPE_FINAL; SOURCE_CFG=IA-ST-CFG-0142; MARKET=SHAWKAT; STATUS=IN OEM / EU PACKAGE</t>
        </is>
      </c>
      <c r="O805" t="inlineStr">
        <is>
          <t>2026-08-10T19:29:54Z</t>
        </is>
      </c>
      <c r="P805" t="inlineStr">
        <is>
          <t>2026-08-10T19:29:54Z</t>
        </is>
      </c>
    </row>
    <row r="806">
      <c r="A806" s="19" t="inlineStr">
        <is>
          <t>805</t>
        </is>
      </c>
      <c r="B806" s="19" t="inlineStr">
        <is>
          <t>SC-1014482-ST-054-STD-06</t>
        </is>
      </c>
      <c r="C806" t="inlineStr">
        <is>
          <t>1014482 → ST-054-STD-06</t>
        </is>
      </c>
      <c r="D806" s="19" t="inlineStr">
        <is>
          <t>2</t>
        </is>
      </c>
      <c r="E806" s="19" t="inlineStr">
        <is>
          <t>1412</t>
        </is>
      </c>
      <c r="F806" s="19" t="inlineStr">
        <is>
          <t>118</t>
        </is>
      </c>
      <c r="G806" s="19" t="n"/>
      <c r="H806" s="19" t="inlineStr">
        <is>
          <t>2</t>
        </is>
      </c>
      <c r="I806" s="19" t="n"/>
      <c r="J806" s="19" t="n"/>
      <c r="K806" s="19" t="inlineStr">
        <is>
          <t>2</t>
        </is>
      </c>
      <c r="L806" t="inlineStr">
        <is>
          <t>2026-08-08</t>
        </is>
      </c>
      <c r="N806" t="inlineStr">
        <is>
          <t>IN_SCOPE_FINAL; SOURCE_CFG=IA-ST-CFG-0142; MARKET=JANENE İSRAİL; STATUS=IN OEM / EU PACKAGE</t>
        </is>
      </c>
      <c r="O806" t="inlineStr">
        <is>
          <t>2026-08-10T19:29:54Z</t>
        </is>
      </c>
      <c r="P806" t="inlineStr">
        <is>
          <t>2026-08-10T19:29:54Z</t>
        </is>
      </c>
    </row>
    <row r="807">
      <c r="A807" s="19" t="inlineStr">
        <is>
          <t>806</t>
        </is>
      </c>
      <c r="B807" s="19" t="inlineStr">
        <is>
          <t>SC-1013483-ST-054-STD-06</t>
        </is>
      </c>
      <c r="C807" t="inlineStr">
        <is>
          <t>1013483 → ST-054-STD-06</t>
        </is>
      </c>
      <c r="D807" s="19" t="inlineStr">
        <is>
          <t>2</t>
        </is>
      </c>
      <c r="E807" s="19" t="inlineStr">
        <is>
          <t>1014</t>
        </is>
      </c>
      <c r="F807" s="19" t="inlineStr">
        <is>
          <t>118</t>
        </is>
      </c>
      <c r="G807" s="19" t="n"/>
      <c r="H807" s="19" t="inlineStr">
        <is>
          <t>2</t>
        </is>
      </c>
      <c r="I807" s="19" t="n"/>
      <c r="J807" s="19" t="n"/>
      <c r="K807" s="19" t="inlineStr">
        <is>
          <t>2</t>
        </is>
      </c>
      <c r="L807" t="inlineStr">
        <is>
          <t>2026-08-08</t>
        </is>
      </c>
      <c r="N807" t="inlineStr">
        <is>
          <t>IN_SCOPE_FINAL; SOURCE_CFG=IA-ST-CFG-0142; MARKET=None; STATUS=IN OEM / EU PACKAGE</t>
        </is>
      </c>
      <c r="O807" t="inlineStr">
        <is>
          <t>2026-08-10T19:29:54Z</t>
        </is>
      </c>
      <c r="P807" t="inlineStr">
        <is>
          <t>2026-08-10T19:29:54Z</t>
        </is>
      </c>
    </row>
    <row r="808">
      <c r="A808" s="19" t="inlineStr">
        <is>
          <t>807</t>
        </is>
      </c>
      <c r="B808" s="19" t="inlineStr">
        <is>
          <t>SC-1014271-ST-054-STD-06</t>
        </is>
      </c>
      <c r="C808" t="inlineStr">
        <is>
          <t>1014271 → ST-054-STD-06</t>
        </is>
      </c>
      <c r="D808" s="19" t="inlineStr">
        <is>
          <t>2</t>
        </is>
      </c>
      <c r="E808" s="19" t="inlineStr">
        <is>
          <t>1287</t>
        </is>
      </c>
      <c r="F808" s="19" t="inlineStr">
        <is>
          <t>118</t>
        </is>
      </c>
      <c r="G808" s="19" t="n"/>
      <c r="H808" s="19" t="inlineStr">
        <is>
          <t>2</t>
        </is>
      </c>
      <c r="I808" s="19" t="n"/>
      <c r="J808" s="19" t="n"/>
      <c r="K808" s="19" t="inlineStr">
        <is>
          <t>2</t>
        </is>
      </c>
      <c r="L808" t="inlineStr">
        <is>
          <t>2026-08-08</t>
        </is>
      </c>
      <c r="N808" t="inlineStr">
        <is>
          <t>IN_SCOPE_FINAL; SOURCE_CFG=IA-ST-CFG-0142; MARKET=None; STATUS=IN OEM / EU PACKAGE</t>
        </is>
      </c>
      <c r="O808" t="inlineStr">
        <is>
          <t>2026-08-10T19:29:54Z</t>
        </is>
      </c>
      <c r="P808" t="inlineStr">
        <is>
          <t>2026-08-10T19:29:54Z</t>
        </is>
      </c>
    </row>
    <row r="809">
      <c r="A809" s="19" t="inlineStr">
        <is>
          <t>808</t>
        </is>
      </c>
      <c r="B809" s="19" t="inlineStr">
        <is>
          <t>SC-1014550-ST-054-STD-06</t>
        </is>
      </c>
      <c r="C809" t="inlineStr">
        <is>
          <t>1014550 → ST-054-STD-06</t>
        </is>
      </c>
      <c r="D809" s="19" t="inlineStr">
        <is>
          <t>2</t>
        </is>
      </c>
      <c r="E809" s="19" t="inlineStr">
        <is>
          <t>1439</t>
        </is>
      </c>
      <c r="F809" s="19" t="inlineStr">
        <is>
          <t>118</t>
        </is>
      </c>
      <c r="G809" s="19" t="n"/>
      <c r="H809" s="19" t="inlineStr">
        <is>
          <t>2</t>
        </is>
      </c>
      <c r="I809" s="19" t="n"/>
      <c r="J809" s="19" t="n"/>
      <c r="K809" s="19" t="inlineStr">
        <is>
          <t>2</t>
        </is>
      </c>
      <c r="L809" t="inlineStr">
        <is>
          <t>2026-08-08</t>
        </is>
      </c>
      <c r="N809" t="inlineStr">
        <is>
          <t>IN_SCOPE_FINAL; SOURCE_CFG=IA-ST-CFG-0142; MARKET=MISIR NACITA; STATUS=IN OEM / EU PACKAGE</t>
        </is>
      </c>
      <c r="O809" t="inlineStr">
        <is>
          <t>2026-08-10T19:29:54Z</t>
        </is>
      </c>
      <c r="P809" t="inlineStr">
        <is>
          <t>2026-08-10T19:29:54Z</t>
        </is>
      </c>
    </row>
    <row r="810">
      <c r="A810" s="19" t="inlineStr">
        <is>
          <t>809</t>
        </is>
      </c>
      <c r="B810" s="19" t="inlineStr">
        <is>
          <t>SC-1014895-ST-054-STD-06</t>
        </is>
      </c>
      <c r="C810" t="inlineStr">
        <is>
          <t>1014895 → ST-054-STD-06</t>
        </is>
      </c>
      <c r="D810" s="19" t="inlineStr">
        <is>
          <t>2</t>
        </is>
      </c>
      <c r="E810" s="19" t="inlineStr">
        <is>
          <t>1664</t>
        </is>
      </c>
      <c r="F810" s="19" t="inlineStr">
        <is>
          <t>118</t>
        </is>
      </c>
      <c r="G810" s="19" t="n"/>
      <c r="H810" s="19" t="inlineStr">
        <is>
          <t>2</t>
        </is>
      </c>
      <c r="I810" s="19" t="n"/>
      <c r="J810" s="19" t="n"/>
      <c r="K810" s="19" t="inlineStr">
        <is>
          <t>2</t>
        </is>
      </c>
      <c r="L810" t="inlineStr">
        <is>
          <t>2026-08-08</t>
        </is>
      </c>
      <c r="N810" t="inlineStr">
        <is>
          <t>IN_SCOPE_FINAL; SOURCE_CFG=IA-ST-CFG-0142; MARKET=REY &amp; LENFERNA LUCAS; STATUS=IN OEM / EU PACKAGE</t>
        </is>
      </c>
      <c r="O810" t="inlineStr">
        <is>
          <t>2026-08-10T19:29:54Z</t>
        </is>
      </c>
      <c r="P810" t="inlineStr">
        <is>
          <t>2026-08-10T19:29:54Z</t>
        </is>
      </c>
    </row>
    <row r="811">
      <c r="A811" s="19" t="inlineStr">
        <is>
          <t>810</t>
        </is>
      </c>
      <c r="B811" s="19" t="inlineStr">
        <is>
          <t>SC-1015152-ST-054-STD-06</t>
        </is>
      </c>
      <c r="C811" t="inlineStr">
        <is>
          <t>1015152 → ST-054-STD-06</t>
        </is>
      </c>
      <c r="D811" s="19" t="inlineStr">
        <is>
          <t>2</t>
        </is>
      </c>
      <c r="E811" s="19" t="inlineStr">
        <is>
          <t>1901</t>
        </is>
      </c>
      <c r="F811" s="19" t="inlineStr">
        <is>
          <t>118</t>
        </is>
      </c>
      <c r="G811" s="19" t="n"/>
      <c r="H811" s="19" t="inlineStr">
        <is>
          <t>2</t>
        </is>
      </c>
      <c r="I811" s="19" t="n"/>
      <c r="J811" s="19" t="n"/>
      <c r="K811" s="19" t="inlineStr">
        <is>
          <t>2</t>
        </is>
      </c>
      <c r="L811" t="inlineStr">
        <is>
          <t>2026-08-08</t>
        </is>
      </c>
      <c r="N811" t="inlineStr">
        <is>
          <t>IN_SCOPE_FINAL; SOURCE_CFG=IA-ST-CFG-0142; MARKET=MISIR AL AMAN; STATUS=IN OEM / EU PACKAGE</t>
        </is>
      </c>
      <c r="O811" t="inlineStr">
        <is>
          <t>2026-08-10T19:29:54Z</t>
        </is>
      </c>
      <c r="P811" t="inlineStr">
        <is>
          <t>2026-08-10T19:29:54Z</t>
        </is>
      </c>
    </row>
    <row r="812">
      <c r="A812" s="19" t="inlineStr">
        <is>
          <t>811</t>
        </is>
      </c>
      <c r="B812" s="19" t="inlineStr">
        <is>
          <t>SC-1015284-ST-054-STD-06</t>
        </is>
      </c>
      <c r="C812" t="inlineStr">
        <is>
          <t>1015284 → ST-054-STD-06</t>
        </is>
      </c>
      <c r="D812" s="19" t="inlineStr">
        <is>
          <t>2</t>
        </is>
      </c>
      <c r="E812" s="19" t="inlineStr">
        <is>
          <t>2017</t>
        </is>
      </c>
      <c r="F812" s="19" t="inlineStr">
        <is>
          <t>118</t>
        </is>
      </c>
      <c r="G812" s="19" t="n"/>
      <c r="H812" s="19" t="inlineStr">
        <is>
          <t>2</t>
        </is>
      </c>
      <c r="I812" s="19" t="n"/>
      <c r="J812" s="19" t="n"/>
      <c r="K812" s="19" t="inlineStr">
        <is>
          <t>2</t>
        </is>
      </c>
      <c r="L812" t="inlineStr">
        <is>
          <t>2026-08-08</t>
        </is>
      </c>
      <c r="N812" t="inlineStr">
        <is>
          <t>IN_SCOPE_FINAL; SOURCE_CFG=IA-ST-CFG-0142; MARKET=MISIR ATWAN; STATUS=IN OEM / EU PACKAGE</t>
        </is>
      </c>
      <c r="O812" t="inlineStr">
        <is>
          <t>2026-08-10T19:29:54Z</t>
        </is>
      </c>
      <c r="P812" t="inlineStr">
        <is>
          <t>2026-08-10T19:29:54Z</t>
        </is>
      </c>
    </row>
    <row r="813">
      <c r="A813" s="19" t="inlineStr">
        <is>
          <t>812</t>
        </is>
      </c>
      <c r="B813" s="19" t="inlineStr">
        <is>
          <t>SC-1015157-ST-054-STD-06</t>
        </is>
      </c>
      <c r="C813" t="inlineStr">
        <is>
          <t>1015157 → ST-054-STD-06</t>
        </is>
      </c>
      <c r="D813" s="19" t="inlineStr">
        <is>
          <t>2</t>
        </is>
      </c>
      <c r="E813" s="19" t="inlineStr">
        <is>
          <t>1904</t>
        </is>
      </c>
      <c r="F813" s="19" t="inlineStr">
        <is>
          <t>118</t>
        </is>
      </c>
      <c r="G813" s="19" t="n"/>
      <c r="H813" s="19" t="inlineStr">
        <is>
          <t>2</t>
        </is>
      </c>
      <c r="I813" s="19" t="n"/>
      <c r="J813" s="19" t="n"/>
      <c r="K813" s="19" t="inlineStr">
        <is>
          <t>2</t>
        </is>
      </c>
      <c r="L813" t="inlineStr">
        <is>
          <t>2026-08-08</t>
        </is>
      </c>
      <c r="N813" t="inlineStr">
        <is>
          <t>IN_SCOPE_FINAL; SOURCE_CFG=IA-ST-CFG-0142; MARKET=FORD (Yurt İçi); STATUS=IN OEM / EU PACKAGE</t>
        </is>
      </c>
      <c r="O813" t="inlineStr">
        <is>
          <t>2026-08-10T19:29:54Z</t>
        </is>
      </c>
      <c r="P813" t="inlineStr">
        <is>
          <t>2026-08-10T19:29:54Z</t>
        </is>
      </c>
    </row>
    <row r="814">
      <c r="A814" s="19" t="inlineStr">
        <is>
          <t>813</t>
        </is>
      </c>
      <c r="B814" s="19" t="inlineStr">
        <is>
          <t>SC-1014937-ST-054-STD-06</t>
        </is>
      </c>
      <c r="C814" t="inlineStr">
        <is>
          <t>1014937 → ST-054-STD-06</t>
        </is>
      </c>
      <c r="D814" s="19" t="inlineStr">
        <is>
          <t>2</t>
        </is>
      </c>
      <c r="E814" s="19" t="inlineStr">
        <is>
          <t>1705</t>
        </is>
      </c>
      <c r="F814" s="19" t="inlineStr">
        <is>
          <t>118</t>
        </is>
      </c>
      <c r="G814" s="19" t="n"/>
      <c r="H814" s="19" t="inlineStr">
        <is>
          <t>2</t>
        </is>
      </c>
      <c r="I814" s="19" t="n"/>
      <c r="J814" s="19" t="n"/>
      <c r="K814" s="19" t="inlineStr">
        <is>
          <t>2</t>
        </is>
      </c>
      <c r="L814" t="inlineStr">
        <is>
          <t>2026-08-08</t>
        </is>
      </c>
      <c r="N814" t="inlineStr">
        <is>
          <t>IN_SCOPE_FINAL; SOURCE_CFG=IA-ST-CFG-0142; MARKET=MISIR NACITA; STATUS=IN OEM / EU PACKAGE</t>
        </is>
      </c>
      <c r="O814" t="inlineStr">
        <is>
          <t>2026-08-10T19:29:54Z</t>
        </is>
      </c>
      <c r="P814" t="inlineStr">
        <is>
          <t>2026-08-10T19:29:54Z</t>
        </is>
      </c>
    </row>
    <row r="815">
      <c r="A815" s="19" t="inlineStr">
        <is>
          <t>814</t>
        </is>
      </c>
      <c r="B815" s="19" t="inlineStr">
        <is>
          <t>SC-1011854-ST-054-STD-06</t>
        </is>
      </c>
      <c r="C815" t="inlineStr">
        <is>
          <t>1011854 → ST-054-STD-06</t>
        </is>
      </c>
      <c r="D815" s="19" t="inlineStr">
        <is>
          <t>2</t>
        </is>
      </c>
      <c r="E815" s="19" t="inlineStr">
        <is>
          <t>376</t>
        </is>
      </c>
      <c r="F815" s="19" t="inlineStr">
        <is>
          <t>118</t>
        </is>
      </c>
      <c r="G815" s="19" t="n"/>
      <c r="H815" s="19" t="inlineStr">
        <is>
          <t>2</t>
        </is>
      </c>
      <c r="I815" s="19" t="n"/>
      <c r="J815" s="19" t="n"/>
      <c r="K815" s="19" t="inlineStr">
        <is>
          <t>2</t>
        </is>
      </c>
      <c r="L815" t="inlineStr">
        <is>
          <t>2026-08-08</t>
        </is>
      </c>
      <c r="N815" t="inlineStr">
        <is>
          <t>IN_SCOPE_FINAL; SOURCE_CFG=IA-ST-CFG-0142; MARKET=None; STATUS=IN OEM / EU PACKAGE</t>
        </is>
      </c>
      <c r="O815" t="inlineStr">
        <is>
          <t>2026-08-10T19:29:54Z</t>
        </is>
      </c>
      <c r="P815" t="inlineStr">
        <is>
          <t>2026-08-10T19:29:54Z</t>
        </is>
      </c>
    </row>
    <row r="816">
      <c r="A816" s="19" t="inlineStr">
        <is>
          <t>815</t>
        </is>
      </c>
      <c r="B816" s="19" t="inlineStr">
        <is>
          <t>SC-1011999-ST-054-STD-06</t>
        </is>
      </c>
      <c r="C816" t="inlineStr">
        <is>
          <t>1011999 → ST-054-STD-06</t>
        </is>
      </c>
      <c r="D816" s="19" t="inlineStr">
        <is>
          <t>2</t>
        </is>
      </c>
      <c r="E816" s="19" t="inlineStr">
        <is>
          <t>461</t>
        </is>
      </c>
      <c r="F816" s="19" t="inlineStr">
        <is>
          <t>118</t>
        </is>
      </c>
      <c r="G816" s="19" t="n"/>
      <c r="H816" s="19" t="inlineStr">
        <is>
          <t>2</t>
        </is>
      </c>
      <c r="I816" s="19" t="n"/>
      <c r="J816" s="19" t="n"/>
      <c r="K816" s="19" t="inlineStr">
        <is>
          <t>2</t>
        </is>
      </c>
      <c r="L816" t="inlineStr">
        <is>
          <t>2026-08-08</t>
        </is>
      </c>
      <c r="N816" t="inlineStr">
        <is>
          <t>IN_SCOPE_FINAL; SOURCE_CFG=IA-ST-CFG-0142; MARKET=None; STATUS=IN OEM / EU PACKAGE</t>
        </is>
      </c>
      <c r="O816" t="inlineStr">
        <is>
          <t>2026-08-10T19:29:54Z</t>
        </is>
      </c>
      <c r="P816" t="inlineStr">
        <is>
          <t>2026-08-10T19:29:54Z</t>
        </is>
      </c>
    </row>
    <row r="817">
      <c r="A817" s="19" t="inlineStr">
        <is>
          <t>816</t>
        </is>
      </c>
      <c r="B817" s="19" t="inlineStr">
        <is>
          <t>SC-1013923-ST-054-STD-06</t>
        </is>
      </c>
      <c r="C817" t="inlineStr">
        <is>
          <t>1013923 → ST-054-STD-06</t>
        </is>
      </c>
      <c r="D817" s="19" t="inlineStr">
        <is>
          <t>2</t>
        </is>
      </c>
      <c r="E817" s="19" t="inlineStr">
        <is>
          <t>1135</t>
        </is>
      </c>
      <c r="F817" s="19" t="inlineStr">
        <is>
          <t>118</t>
        </is>
      </c>
      <c r="G817" s="19" t="n"/>
      <c r="H817" s="19" t="inlineStr">
        <is>
          <t>2</t>
        </is>
      </c>
      <c r="I817" s="19" t="n"/>
      <c r="J817" s="19" t="n"/>
      <c r="K817" s="19" t="inlineStr">
        <is>
          <t>2</t>
        </is>
      </c>
      <c r="L817" t="inlineStr">
        <is>
          <t>2026-08-08</t>
        </is>
      </c>
      <c r="N817" t="inlineStr">
        <is>
          <t>IN_SCOPE_FINAL; SOURCE_CFG=IA-ST-CFG-0142; MARKET=SHAWKAT; STATUS=IN OEM / EU PACKAGE</t>
        </is>
      </c>
      <c r="O817" t="inlineStr">
        <is>
          <t>2026-08-10T19:29:54Z</t>
        </is>
      </c>
      <c r="P817" t="inlineStr">
        <is>
          <t>2026-08-10T19:29:54Z</t>
        </is>
      </c>
    </row>
    <row r="818">
      <c r="A818" s="19" t="inlineStr">
        <is>
          <t>817</t>
        </is>
      </c>
      <c r="B818" s="19" t="inlineStr">
        <is>
          <t>SC-1012147-ST-054-STD-06</t>
        </is>
      </c>
      <c r="C818" t="inlineStr">
        <is>
          <t>1012147 → ST-054-STD-06</t>
        </is>
      </c>
      <c r="D818" s="19" t="inlineStr">
        <is>
          <t>2</t>
        </is>
      </c>
      <c r="E818" s="19" t="inlineStr">
        <is>
          <t>545</t>
        </is>
      </c>
      <c r="F818" s="19" t="inlineStr">
        <is>
          <t>118</t>
        </is>
      </c>
      <c r="G818" s="19" t="n"/>
      <c r="H818" s="19" t="inlineStr">
        <is>
          <t>2</t>
        </is>
      </c>
      <c r="I818" s="19" t="n"/>
      <c r="J818" s="19" t="n"/>
      <c r="K818" s="19" t="inlineStr">
        <is>
          <t>2</t>
        </is>
      </c>
      <c r="L818" t="inlineStr">
        <is>
          <t>2026-08-08</t>
        </is>
      </c>
      <c r="N818" t="inlineStr">
        <is>
          <t>IN_SCOPE_FINAL; SOURCE_CFG=IA-ST-CFG-0142; MARKET=JANENE İSRAİL; STATUS=IN OEM / EU PACKAGE</t>
        </is>
      </c>
      <c r="O818" t="inlineStr">
        <is>
          <t>2026-08-10T19:29:54Z</t>
        </is>
      </c>
      <c r="P818" t="inlineStr">
        <is>
          <t>2026-08-10T19:29:54Z</t>
        </is>
      </c>
    </row>
    <row r="819">
      <c r="A819" s="19" t="inlineStr">
        <is>
          <t>818</t>
        </is>
      </c>
      <c r="B819" s="19" t="inlineStr">
        <is>
          <t>SC-1012688-ST-054-STD-06</t>
        </is>
      </c>
      <c r="C819" t="inlineStr">
        <is>
          <t>1012688 → ST-054-STD-06</t>
        </is>
      </c>
      <c r="D819" s="19" t="inlineStr">
        <is>
          <t>2</t>
        </is>
      </c>
      <c r="E819" s="19" t="inlineStr">
        <is>
          <t>752</t>
        </is>
      </c>
      <c r="F819" s="19" t="inlineStr">
        <is>
          <t>118</t>
        </is>
      </c>
      <c r="G819" s="19" t="n"/>
      <c r="H819" s="19" t="inlineStr">
        <is>
          <t>2</t>
        </is>
      </c>
      <c r="I819" s="19" t="n"/>
      <c r="J819" s="19" t="n"/>
      <c r="K819" s="19" t="inlineStr">
        <is>
          <t>2</t>
        </is>
      </c>
      <c r="L819" t="inlineStr">
        <is>
          <t>2026-08-08</t>
        </is>
      </c>
      <c r="N819" t="inlineStr">
        <is>
          <t>IN_SCOPE_FINAL; SOURCE_CFG=IA-ST-CFG-0142; MARKET=None; STATUS=IN OEM / EU PACKAGE</t>
        </is>
      </c>
      <c r="O819" t="inlineStr">
        <is>
          <t>2026-08-10T19:29:54Z</t>
        </is>
      </c>
      <c r="P819" t="inlineStr">
        <is>
          <t>2026-08-10T19:29:54Z</t>
        </is>
      </c>
    </row>
    <row r="820">
      <c r="A820" s="19" t="inlineStr">
        <is>
          <t>819</t>
        </is>
      </c>
      <c r="B820" s="19" t="inlineStr">
        <is>
          <t>SC-1012692-ST-054-STD-06</t>
        </is>
      </c>
      <c r="C820" t="inlineStr">
        <is>
          <t>1012692 → ST-054-STD-06</t>
        </is>
      </c>
      <c r="D820" s="19" t="inlineStr">
        <is>
          <t>2</t>
        </is>
      </c>
      <c r="E820" s="19" t="inlineStr">
        <is>
          <t>755</t>
        </is>
      </c>
      <c r="F820" s="19" t="inlineStr">
        <is>
          <t>118</t>
        </is>
      </c>
      <c r="G820" s="19" t="n"/>
      <c r="H820" s="19" t="inlineStr">
        <is>
          <t>2</t>
        </is>
      </c>
      <c r="I820" s="19" t="n"/>
      <c r="J820" s="19" t="n"/>
      <c r="K820" s="19" t="inlineStr">
        <is>
          <t>2</t>
        </is>
      </c>
      <c r="L820" t="inlineStr">
        <is>
          <t>2026-08-08</t>
        </is>
      </c>
      <c r="N820" t="inlineStr">
        <is>
          <t>IN_SCOPE_FINAL; SOURCE_CFG=IA-ST-CFG-0142; MARKET=None; STATUS=IN OEM / EU PACKAGE</t>
        </is>
      </c>
      <c r="O820" t="inlineStr">
        <is>
          <t>2026-08-10T19:29:54Z</t>
        </is>
      </c>
      <c r="P820" t="inlineStr">
        <is>
          <t>2026-08-10T19:29:54Z</t>
        </is>
      </c>
    </row>
    <row r="821">
      <c r="A821" s="19" t="inlineStr">
        <is>
          <t>820</t>
        </is>
      </c>
      <c r="B821" s="19" t="inlineStr">
        <is>
          <t>SC-1014204-ST-054-STD-06</t>
        </is>
      </c>
      <c r="C821" t="inlineStr">
        <is>
          <t>1014204 → ST-054-STD-06</t>
        </is>
      </c>
      <c r="D821" s="19" t="inlineStr">
        <is>
          <t>2</t>
        </is>
      </c>
      <c r="E821" s="19" t="inlineStr">
        <is>
          <t>1271</t>
        </is>
      </c>
      <c r="F821" s="19" t="inlineStr">
        <is>
          <t>118</t>
        </is>
      </c>
      <c r="G821" s="19" t="n"/>
      <c r="H821" s="19" t="inlineStr">
        <is>
          <t>2</t>
        </is>
      </c>
      <c r="I821" s="19" t="n"/>
      <c r="J821" s="19" t="n"/>
      <c r="K821" s="19" t="inlineStr">
        <is>
          <t>2</t>
        </is>
      </c>
      <c r="L821" t="inlineStr">
        <is>
          <t>2026-08-08</t>
        </is>
      </c>
      <c r="N821" t="inlineStr">
        <is>
          <t>IN_SCOPE_FINAL; SOURCE_CFG=IA-ST-CFG-0142; MARKET=REY &amp; LENFERNA LUCAS; STATUS=IN OEM / EU PACKAGE</t>
        </is>
      </c>
      <c r="O821" t="inlineStr">
        <is>
          <t>2026-08-10T19:29:54Z</t>
        </is>
      </c>
      <c r="P821" t="inlineStr">
        <is>
          <t>2026-08-10T19:29:54Z</t>
        </is>
      </c>
    </row>
    <row r="822">
      <c r="A822" s="19" t="inlineStr">
        <is>
          <t>821</t>
        </is>
      </c>
      <c r="B822" s="19" t="inlineStr">
        <is>
          <t>SC-1014554-ST-054-STD-06</t>
        </is>
      </c>
      <c r="C822" t="inlineStr">
        <is>
          <t>1014554 → ST-054-STD-06</t>
        </is>
      </c>
      <c r="D822" s="19" t="inlineStr">
        <is>
          <t>2</t>
        </is>
      </c>
      <c r="E822" s="19" t="inlineStr">
        <is>
          <t>1443</t>
        </is>
      </c>
      <c r="F822" s="19" t="inlineStr">
        <is>
          <t>118</t>
        </is>
      </c>
      <c r="G822" s="19" t="n"/>
      <c r="H822" s="19" t="inlineStr">
        <is>
          <t>2</t>
        </is>
      </c>
      <c r="I822" s="19" t="n"/>
      <c r="J822" s="19" t="n"/>
      <c r="K822" s="19" t="inlineStr">
        <is>
          <t>2</t>
        </is>
      </c>
      <c r="L822" t="inlineStr">
        <is>
          <t>2026-08-08</t>
        </is>
      </c>
      <c r="N822" t="inlineStr">
        <is>
          <t>IN_SCOPE_FINAL; SOURCE_CFG=IA-ST-CFG-0142; MARKET=MISIR NACITA; STATUS=IN OEM / EU PACKAGE</t>
        </is>
      </c>
      <c r="O822" t="inlineStr">
        <is>
          <t>2026-08-10T19:29:54Z</t>
        </is>
      </c>
      <c r="P822" t="inlineStr">
        <is>
          <t>2026-08-10T19:29:54Z</t>
        </is>
      </c>
    </row>
    <row r="823">
      <c r="A823" s="19" t="inlineStr">
        <is>
          <t>822</t>
        </is>
      </c>
      <c r="B823" s="19" t="inlineStr">
        <is>
          <t>SC-1014892-ST-054-STD-06</t>
        </is>
      </c>
      <c r="C823" t="inlineStr">
        <is>
          <t>1014892 → ST-054-STD-06</t>
        </is>
      </c>
      <c r="D823" s="19" t="inlineStr">
        <is>
          <t>2</t>
        </is>
      </c>
      <c r="E823" s="19" t="inlineStr">
        <is>
          <t>1661</t>
        </is>
      </c>
      <c r="F823" s="19" t="inlineStr">
        <is>
          <t>118</t>
        </is>
      </c>
      <c r="G823" s="19" t="n"/>
      <c r="H823" s="19" t="inlineStr">
        <is>
          <t>2</t>
        </is>
      </c>
      <c r="I823" s="19" t="n"/>
      <c r="J823" s="19" t="n"/>
      <c r="K823" s="19" t="inlineStr">
        <is>
          <t>2</t>
        </is>
      </c>
      <c r="L823" t="inlineStr">
        <is>
          <t>2026-08-08</t>
        </is>
      </c>
      <c r="N823" t="inlineStr">
        <is>
          <t>IN_SCOPE_FINAL; SOURCE_CFG=IA-ST-CFG-0142; MARKET=REY &amp; LENFERNA LUCAS; STATUS=IN OEM / EU PACKAGE</t>
        </is>
      </c>
      <c r="O823" t="inlineStr">
        <is>
          <t>2026-08-10T19:29:54Z</t>
        </is>
      </c>
      <c r="P823" t="inlineStr">
        <is>
          <t>2026-08-10T19:29:54Z</t>
        </is>
      </c>
    </row>
    <row r="824">
      <c r="A824" s="19" t="inlineStr">
        <is>
          <t>823</t>
        </is>
      </c>
      <c r="B824" s="19" t="inlineStr">
        <is>
          <t>SC-1012709-ST-054-STD-06</t>
        </is>
      </c>
      <c r="C824" t="inlineStr">
        <is>
          <t>1012709 → ST-054-STD-06</t>
        </is>
      </c>
      <c r="D824" s="19" t="inlineStr">
        <is>
          <t>2</t>
        </is>
      </c>
      <c r="E824" s="19" t="inlineStr">
        <is>
          <t>766</t>
        </is>
      </c>
      <c r="F824" s="19" t="inlineStr">
        <is>
          <t>118</t>
        </is>
      </c>
      <c r="G824" s="19" t="n"/>
      <c r="H824" s="19" t="inlineStr">
        <is>
          <t>2</t>
        </is>
      </c>
      <c r="I824" s="19" t="n"/>
      <c r="J824" s="19" t="n"/>
      <c r="K824" s="19" t="inlineStr">
        <is>
          <t>2</t>
        </is>
      </c>
      <c r="L824" t="inlineStr">
        <is>
          <t>2026-08-08</t>
        </is>
      </c>
      <c r="N824" t="inlineStr">
        <is>
          <t>IN_SCOPE_FINAL; SOURCE_CFG=IA-ST-CFG-0142; MARKET=FORD (Yurt İçi); STATUS=IN OEM / EU PACKAGE</t>
        </is>
      </c>
      <c r="O824" t="inlineStr">
        <is>
          <t>2026-08-10T19:29:54Z</t>
        </is>
      </c>
      <c r="P824" t="inlineStr">
        <is>
          <t>2026-08-10T19:29:54Z</t>
        </is>
      </c>
    </row>
    <row r="825">
      <c r="A825" s="19" t="inlineStr">
        <is>
          <t>824</t>
        </is>
      </c>
      <c r="B825" s="19" t="inlineStr">
        <is>
          <t>SC-1015161-ST-054-STD-06</t>
        </is>
      </c>
      <c r="C825" t="inlineStr">
        <is>
          <t>1015161 → ST-054-STD-06</t>
        </is>
      </c>
      <c r="D825" s="19" t="inlineStr">
        <is>
          <t>2</t>
        </is>
      </c>
      <c r="E825" s="19" t="inlineStr">
        <is>
          <t>1907</t>
        </is>
      </c>
      <c r="F825" s="19" t="inlineStr">
        <is>
          <t>118</t>
        </is>
      </c>
      <c r="G825" s="19" t="n"/>
      <c r="H825" s="19" t="inlineStr">
        <is>
          <t>2</t>
        </is>
      </c>
      <c r="I825" s="19" t="n"/>
      <c r="J825" s="19" t="n"/>
      <c r="K825" s="19" t="inlineStr">
        <is>
          <t>2</t>
        </is>
      </c>
      <c r="L825" t="inlineStr">
        <is>
          <t>2026-08-08</t>
        </is>
      </c>
      <c r="N825" t="inlineStr">
        <is>
          <t>IN_SCOPE_FINAL; SOURCE_CFG=IA-ST-CFG-0142; MARKET=FORD (Yurt İçi); STATUS=IN OEM / EU PACKAGE</t>
        </is>
      </c>
      <c r="O825" t="inlineStr">
        <is>
          <t>2026-08-10T19:29:54Z</t>
        </is>
      </c>
      <c r="P825" t="inlineStr">
        <is>
          <t>2026-08-10T19:29:54Z</t>
        </is>
      </c>
    </row>
    <row r="826">
      <c r="A826" s="19" t="inlineStr">
        <is>
          <t>825</t>
        </is>
      </c>
      <c r="B826" s="19" t="inlineStr">
        <is>
          <t>SC-1015164-ST-054-STD-06</t>
        </is>
      </c>
      <c r="C826" t="inlineStr">
        <is>
          <t>1015164 → ST-054-STD-06</t>
        </is>
      </c>
      <c r="D826" s="19" t="inlineStr">
        <is>
          <t>2</t>
        </is>
      </c>
      <c r="E826" s="19" t="inlineStr">
        <is>
          <t>1910</t>
        </is>
      </c>
      <c r="F826" s="19" t="inlineStr">
        <is>
          <t>118</t>
        </is>
      </c>
      <c r="G826" s="19" t="n"/>
      <c r="H826" s="19" t="inlineStr">
        <is>
          <t>2</t>
        </is>
      </c>
      <c r="I826" s="19" t="n"/>
      <c r="J826" s="19" t="n"/>
      <c r="K826" s="19" t="inlineStr">
        <is>
          <t>2</t>
        </is>
      </c>
      <c r="L826" t="inlineStr">
        <is>
          <t>2026-08-08</t>
        </is>
      </c>
      <c r="N826" t="inlineStr">
        <is>
          <t>IN_SCOPE_FINAL; SOURCE_CFG=IA-ST-CFG-0142; MARKET=FORD (Yurt İçi); STATUS=IN OEM / EU PACKAGE</t>
        </is>
      </c>
      <c r="O826" t="inlineStr">
        <is>
          <t>2026-08-10T19:29:54Z</t>
        </is>
      </c>
      <c r="P826" t="inlineStr">
        <is>
          <t>2026-08-10T19:29:54Z</t>
        </is>
      </c>
    </row>
    <row r="827">
      <c r="A827" s="19" t="inlineStr">
        <is>
          <t>826</t>
        </is>
      </c>
      <c r="B827" s="19" t="inlineStr">
        <is>
          <t>SC-1013333-ST-054-STD-07</t>
        </is>
      </c>
      <c r="C827" t="inlineStr">
        <is>
          <t>1013333 → ST-054-STD-07</t>
        </is>
      </c>
      <c r="D827" s="19" t="inlineStr">
        <is>
          <t>2</t>
        </is>
      </c>
      <c r="E827" s="19" t="inlineStr">
        <is>
          <t>977</t>
        </is>
      </c>
      <c r="F827" s="19" t="inlineStr">
        <is>
          <t>119</t>
        </is>
      </c>
      <c r="G827" s="19" t="n"/>
      <c r="H827" s="19" t="inlineStr">
        <is>
          <t>2</t>
        </is>
      </c>
      <c r="I827" s="19" t="n"/>
      <c r="J827" s="19" t="n"/>
      <c r="K827" s="19" t="inlineStr">
        <is>
          <t>2</t>
        </is>
      </c>
      <c r="L827" t="inlineStr">
        <is>
          <t>2026-08-08</t>
        </is>
      </c>
      <c r="N827" t="inlineStr">
        <is>
          <t>IN_SCOPE_FINAL; SOURCE_CFG=IA-ST-CFG-0143; MARKET=YUASA 3000 EXPORT; STATUS=IN OEM / EU PACKAGE</t>
        </is>
      </c>
      <c r="O827" t="inlineStr">
        <is>
          <t>2026-08-10T19:29:54Z</t>
        </is>
      </c>
      <c r="P827" t="inlineStr">
        <is>
          <t>2026-08-10T19:29:54Z</t>
        </is>
      </c>
    </row>
    <row r="828">
      <c r="A828" s="19" t="inlineStr">
        <is>
          <t>827</t>
        </is>
      </c>
      <c r="B828" s="19" t="inlineStr">
        <is>
          <t>SC-1009975-ST-054-STD-07</t>
        </is>
      </c>
      <c r="C828" t="inlineStr">
        <is>
          <t>1009975 → ST-054-STD-07</t>
        </is>
      </c>
      <c r="D828" s="19" t="inlineStr">
        <is>
          <t>2</t>
        </is>
      </c>
      <c r="E828" s="19" t="inlineStr">
        <is>
          <t>131</t>
        </is>
      </c>
      <c r="F828" s="19" t="inlineStr">
        <is>
          <t>119</t>
        </is>
      </c>
      <c r="G828" s="19" t="n"/>
      <c r="H828" s="19" t="inlineStr">
        <is>
          <t>2</t>
        </is>
      </c>
      <c r="I828" s="19" t="n"/>
      <c r="J828" s="19" t="n"/>
      <c r="K828" s="19" t="inlineStr">
        <is>
          <t>2</t>
        </is>
      </c>
      <c r="L828" t="inlineStr">
        <is>
          <t>2026-08-08</t>
        </is>
      </c>
      <c r="N828" t="inlineStr">
        <is>
          <t>IN_SCOPE_FINAL; SOURCE_CFG=IA-ST-CFG-0143; MARKET=REY &amp; LENFERNA LUCAS; STATUS=IN OEM / EU PACKAGE</t>
        </is>
      </c>
      <c r="O828" t="inlineStr">
        <is>
          <t>2026-08-10T19:29:54Z</t>
        </is>
      </c>
      <c r="P828" t="inlineStr">
        <is>
          <t>2026-08-10T19:29:54Z</t>
        </is>
      </c>
    </row>
    <row r="829">
      <c r="A829" s="19" t="inlineStr">
        <is>
          <t>828</t>
        </is>
      </c>
      <c r="B829" s="19" t="inlineStr">
        <is>
          <t>SC-1009977-ST-054-STD-07</t>
        </is>
      </c>
      <c r="C829" t="inlineStr">
        <is>
          <t>1009977 → ST-054-STD-07</t>
        </is>
      </c>
      <c r="D829" s="19" t="inlineStr">
        <is>
          <t>2</t>
        </is>
      </c>
      <c r="E829" s="19" t="inlineStr">
        <is>
          <t>133</t>
        </is>
      </c>
      <c r="F829" s="19" t="inlineStr">
        <is>
          <t>119</t>
        </is>
      </c>
      <c r="G829" s="19" t="n"/>
      <c r="H829" s="19" t="inlineStr">
        <is>
          <t>2</t>
        </is>
      </c>
      <c r="I829" s="19" t="n"/>
      <c r="J829" s="19" t="n"/>
      <c r="K829" s="19" t="inlineStr">
        <is>
          <t>2</t>
        </is>
      </c>
      <c r="L829" t="inlineStr">
        <is>
          <t>2026-08-08</t>
        </is>
      </c>
      <c r="N829" t="inlineStr">
        <is>
          <t>IN_SCOPE_FINAL; SOURCE_CFG=IA-ST-CFG-0143; MARKET=REY &amp; LENFERNA LUCAS; STATUS=IN OEM / EU PACKAGE</t>
        </is>
      </c>
      <c r="O829" t="inlineStr">
        <is>
          <t>2026-08-10T19:29:54Z</t>
        </is>
      </c>
      <c r="P829" t="inlineStr">
        <is>
          <t>2026-08-10T19:29:54Z</t>
        </is>
      </c>
    </row>
    <row r="830">
      <c r="A830" s="19" t="inlineStr">
        <is>
          <t>829</t>
        </is>
      </c>
      <c r="B830" s="19" t="inlineStr">
        <is>
          <t>SC-1009978-ST-054-STD-07</t>
        </is>
      </c>
      <c r="C830" t="inlineStr">
        <is>
          <t>1009978 → ST-054-STD-07</t>
        </is>
      </c>
      <c r="D830" s="19" t="inlineStr">
        <is>
          <t>2</t>
        </is>
      </c>
      <c r="E830" s="19" t="inlineStr">
        <is>
          <t>134</t>
        </is>
      </c>
      <c r="F830" s="19" t="inlineStr">
        <is>
          <t>119</t>
        </is>
      </c>
      <c r="G830" s="19" t="n"/>
      <c r="H830" s="19" t="inlineStr">
        <is>
          <t>2</t>
        </is>
      </c>
      <c r="I830" s="19" t="n"/>
      <c r="J830" s="19" t="n"/>
      <c r="K830" s="19" t="inlineStr">
        <is>
          <t>2</t>
        </is>
      </c>
      <c r="L830" t="inlineStr">
        <is>
          <t>2026-08-08</t>
        </is>
      </c>
      <c r="N830" t="inlineStr">
        <is>
          <t>IN_SCOPE_FINAL; SOURCE_CFG=IA-ST-CFG-0143; MARKET=REY &amp; LENFERNA LUCAS; STATUS=IN OEM / EU PACKAGE</t>
        </is>
      </c>
      <c r="O830" t="inlineStr">
        <is>
          <t>2026-08-10T19:29:54Z</t>
        </is>
      </c>
      <c r="P830" t="inlineStr">
        <is>
          <t>2026-08-10T19:29:54Z</t>
        </is>
      </c>
    </row>
    <row r="831">
      <c r="A831" s="19" t="inlineStr">
        <is>
          <t>830</t>
        </is>
      </c>
      <c r="B831" s="19" t="inlineStr">
        <is>
          <t>SC-1010043-ST-054-STD-07</t>
        </is>
      </c>
      <c r="C831" t="inlineStr">
        <is>
          <t>1010043 → ST-054-STD-07</t>
        </is>
      </c>
      <c r="D831" s="19" t="inlineStr">
        <is>
          <t>2</t>
        </is>
      </c>
      <c r="E831" s="19" t="inlineStr">
        <is>
          <t>150</t>
        </is>
      </c>
      <c r="F831" s="19" t="inlineStr">
        <is>
          <t>119</t>
        </is>
      </c>
      <c r="G831" s="19" t="n"/>
      <c r="H831" s="19" t="inlineStr">
        <is>
          <t>2</t>
        </is>
      </c>
      <c r="I831" s="19" t="n"/>
      <c r="J831" s="19" t="n"/>
      <c r="K831" s="19" t="inlineStr">
        <is>
          <t>2</t>
        </is>
      </c>
      <c r="L831" t="inlineStr">
        <is>
          <t>2026-08-08</t>
        </is>
      </c>
      <c r="N831" t="inlineStr">
        <is>
          <t>IN_SCOPE_FINAL; SOURCE_CFG=IA-ST-CFG-0143; MARKET=REY &amp; LENFERNA LUCAS; STATUS=IN OEM / EU PACKAGE</t>
        </is>
      </c>
      <c r="O831" t="inlineStr">
        <is>
          <t>2026-08-10T19:29:54Z</t>
        </is>
      </c>
      <c r="P831" t="inlineStr">
        <is>
          <t>2026-08-10T19:29:54Z</t>
        </is>
      </c>
    </row>
    <row r="832">
      <c r="A832" s="19" t="inlineStr">
        <is>
          <t>831</t>
        </is>
      </c>
      <c r="B832" s="19" t="inlineStr">
        <is>
          <t>SC-1010052-ST-054-STD-07</t>
        </is>
      </c>
      <c r="C832" t="inlineStr">
        <is>
          <t>1010052 → ST-054-STD-07</t>
        </is>
      </c>
      <c r="D832" s="19" t="inlineStr">
        <is>
          <t>2</t>
        </is>
      </c>
      <c r="E832" s="19" t="inlineStr">
        <is>
          <t>153</t>
        </is>
      </c>
      <c r="F832" s="19" t="inlineStr">
        <is>
          <t>119</t>
        </is>
      </c>
      <c r="G832" s="19" t="n"/>
      <c r="H832" s="19" t="inlineStr">
        <is>
          <t>2</t>
        </is>
      </c>
      <c r="I832" s="19" t="n"/>
      <c r="J832" s="19" t="n"/>
      <c r="K832" s="19" t="inlineStr">
        <is>
          <t>2</t>
        </is>
      </c>
      <c r="L832" t="inlineStr">
        <is>
          <t>2026-08-08</t>
        </is>
      </c>
      <c r="N832" t="inlineStr">
        <is>
          <t>IN_SCOPE_FINAL; SOURCE_CFG=IA-ST-CFG-0143; MARKET=REY &amp; LENFERNA LUCAS; STATUS=IN OEM / EU PACKAGE</t>
        </is>
      </c>
      <c r="O832" t="inlineStr">
        <is>
          <t>2026-08-10T19:29:54Z</t>
        </is>
      </c>
      <c r="P832" t="inlineStr">
        <is>
          <t>2026-08-10T19:29:54Z</t>
        </is>
      </c>
    </row>
    <row r="833">
      <c r="A833" s="19" t="inlineStr">
        <is>
          <t>832</t>
        </is>
      </c>
      <c r="B833" s="19" t="inlineStr">
        <is>
          <t>SC-1010902-ST-054-STD-07</t>
        </is>
      </c>
      <c r="C833" t="inlineStr">
        <is>
          <t>1010902 → ST-054-STD-07</t>
        </is>
      </c>
      <c r="D833" s="19" t="inlineStr">
        <is>
          <t>2</t>
        </is>
      </c>
      <c r="E833" s="19" t="inlineStr">
        <is>
          <t>212</t>
        </is>
      </c>
      <c r="F833" s="19" t="inlineStr">
        <is>
          <t>119</t>
        </is>
      </c>
      <c r="G833" s="19" t="n"/>
      <c r="H833" s="19" t="inlineStr">
        <is>
          <t>2</t>
        </is>
      </c>
      <c r="I833" s="19" t="n"/>
      <c r="J833" s="19" t="n"/>
      <c r="K833" s="19" t="inlineStr">
        <is>
          <t>2</t>
        </is>
      </c>
      <c r="L833" t="inlineStr">
        <is>
          <t>2026-08-08</t>
        </is>
      </c>
      <c r="N833" t="inlineStr">
        <is>
          <t>IN_SCOPE_FINAL; SOURCE_CFG=IA-ST-CFG-0143; MARKET=ARCOBALENO-GANA; STATUS=IN OEM / EU PACKAGE</t>
        </is>
      </c>
      <c r="O833" t="inlineStr">
        <is>
          <t>2026-08-10T19:29:54Z</t>
        </is>
      </c>
      <c r="P833" t="inlineStr">
        <is>
          <t>2026-08-10T19:29:54Z</t>
        </is>
      </c>
    </row>
    <row r="834">
      <c r="A834" s="19" t="inlineStr">
        <is>
          <t>833</t>
        </is>
      </c>
      <c r="B834" s="19" t="inlineStr">
        <is>
          <t>SC-1010906-ST-054-STD-07</t>
        </is>
      </c>
      <c r="C834" t="inlineStr">
        <is>
          <t>1010906 → ST-054-STD-07</t>
        </is>
      </c>
      <c r="D834" s="19" t="inlineStr">
        <is>
          <t>2</t>
        </is>
      </c>
      <c r="E834" s="19" t="inlineStr">
        <is>
          <t>213</t>
        </is>
      </c>
      <c r="F834" s="19" t="inlineStr">
        <is>
          <t>119</t>
        </is>
      </c>
      <c r="G834" s="19" t="n"/>
      <c r="H834" s="19" t="inlineStr">
        <is>
          <t>2</t>
        </is>
      </c>
      <c r="I834" s="19" t="n"/>
      <c r="J834" s="19" t="n"/>
      <c r="K834" s="19" t="inlineStr">
        <is>
          <t>2</t>
        </is>
      </c>
      <c r="L834" t="inlineStr">
        <is>
          <t>2026-08-08</t>
        </is>
      </c>
      <c r="N834" t="inlineStr">
        <is>
          <t>IN_SCOPE_FINAL; SOURCE_CFG=IA-ST-CFG-0143; MARKET=ARCOBALENO-GANA; STATUS=IN OEM / EU PACKAGE</t>
        </is>
      </c>
      <c r="O834" t="inlineStr">
        <is>
          <t>2026-08-10T19:29:54Z</t>
        </is>
      </c>
      <c r="P834" t="inlineStr">
        <is>
          <t>2026-08-10T19:29:54Z</t>
        </is>
      </c>
    </row>
    <row r="835">
      <c r="A835" s="19" t="inlineStr">
        <is>
          <t>834</t>
        </is>
      </c>
      <c r="B835" s="19" t="inlineStr">
        <is>
          <t>SC-1011909-ST-054-STD-07</t>
        </is>
      </c>
      <c r="C835" t="inlineStr">
        <is>
          <t>1011909 → ST-054-STD-07</t>
        </is>
      </c>
      <c r="D835" s="19" t="inlineStr">
        <is>
          <t>2</t>
        </is>
      </c>
      <c r="E835" s="19" t="inlineStr">
        <is>
          <t>406</t>
        </is>
      </c>
      <c r="F835" s="19" t="inlineStr">
        <is>
          <t>119</t>
        </is>
      </c>
      <c r="G835" s="19" t="n"/>
      <c r="H835" s="19" t="inlineStr">
        <is>
          <t>2</t>
        </is>
      </c>
      <c r="I835" s="19" t="n"/>
      <c r="J835" s="19" t="n"/>
      <c r="K835" s="19" t="inlineStr">
        <is>
          <t>2</t>
        </is>
      </c>
      <c r="L835" t="inlineStr">
        <is>
          <t>2026-08-08</t>
        </is>
      </c>
      <c r="N835" t="inlineStr">
        <is>
          <t>IN_SCOPE_FINAL; SOURCE_CFG=IA-ST-CFG-0143; MARKET=None; STATUS=IN OEM / EU PACKAGE</t>
        </is>
      </c>
      <c r="O835" t="inlineStr">
        <is>
          <t>2026-08-10T19:29:54Z</t>
        </is>
      </c>
      <c r="P835" t="inlineStr">
        <is>
          <t>2026-08-10T19:29:54Z</t>
        </is>
      </c>
    </row>
    <row r="836">
      <c r="A836" s="19" t="inlineStr">
        <is>
          <t>835</t>
        </is>
      </c>
      <c r="B836" s="19" t="inlineStr">
        <is>
          <t>SC-1011910-ST-054-STD-07</t>
        </is>
      </c>
      <c r="C836" t="inlineStr">
        <is>
          <t>1011910 → ST-054-STD-07</t>
        </is>
      </c>
      <c r="D836" s="19" t="inlineStr">
        <is>
          <t>2</t>
        </is>
      </c>
      <c r="E836" s="19" t="inlineStr">
        <is>
          <t>407</t>
        </is>
      </c>
      <c r="F836" s="19" t="inlineStr">
        <is>
          <t>119</t>
        </is>
      </c>
      <c r="G836" s="19" t="n"/>
      <c r="H836" s="19" t="inlineStr">
        <is>
          <t>2</t>
        </is>
      </c>
      <c r="I836" s="19" t="n"/>
      <c r="J836" s="19" t="n"/>
      <c r="K836" s="19" t="inlineStr">
        <is>
          <t>2</t>
        </is>
      </c>
      <c r="L836" t="inlineStr">
        <is>
          <t>2026-08-08</t>
        </is>
      </c>
      <c r="N836" t="inlineStr">
        <is>
          <t>IN_SCOPE_FINAL; SOURCE_CFG=IA-ST-CFG-0143; MARKET=None; STATUS=IN OEM / EU PACKAGE</t>
        </is>
      </c>
      <c r="O836" t="inlineStr">
        <is>
          <t>2026-08-10T19:29:54Z</t>
        </is>
      </c>
      <c r="P836" t="inlineStr">
        <is>
          <t>2026-08-10T19:29:54Z</t>
        </is>
      </c>
    </row>
    <row r="837">
      <c r="A837" s="19" t="inlineStr">
        <is>
          <t>836</t>
        </is>
      </c>
      <c r="B837" s="19" t="inlineStr">
        <is>
          <t>SC-1011911-ST-054-STD-07</t>
        </is>
      </c>
      <c r="C837" t="inlineStr">
        <is>
          <t>1011911 → ST-054-STD-07</t>
        </is>
      </c>
      <c r="D837" s="19" t="inlineStr">
        <is>
          <t>2</t>
        </is>
      </c>
      <c r="E837" s="19" t="inlineStr">
        <is>
          <t>408</t>
        </is>
      </c>
      <c r="F837" s="19" t="inlineStr">
        <is>
          <t>119</t>
        </is>
      </c>
      <c r="G837" s="19" t="n"/>
      <c r="H837" s="19" t="inlineStr">
        <is>
          <t>2</t>
        </is>
      </c>
      <c r="I837" s="19" t="n"/>
      <c r="J837" s="19" t="n"/>
      <c r="K837" s="19" t="inlineStr">
        <is>
          <t>2</t>
        </is>
      </c>
      <c r="L837" t="inlineStr">
        <is>
          <t>2026-08-08</t>
        </is>
      </c>
      <c r="N837" t="inlineStr">
        <is>
          <t>IN_SCOPE_FINAL; SOURCE_CFG=IA-ST-CFG-0143; MARKET=None; STATUS=IN OEM / EU PACKAGE</t>
        </is>
      </c>
      <c r="O837" t="inlineStr">
        <is>
          <t>2026-08-10T19:29:54Z</t>
        </is>
      </c>
      <c r="P837" t="inlineStr">
        <is>
          <t>2026-08-10T19:29:54Z</t>
        </is>
      </c>
    </row>
    <row r="838">
      <c r="A838" s="19" t="inlineStr">
        <is>
          <t>837</t>
        </is>
      </c>
      <c r="B838" s="19" t="inlineStr">
        <is>
          <t>SC-1011912-ST-054-STD-07</t>
        </is>
      </c>
      <c r="C838" t="inlineStr">
        <is>
          <t>1011912 → ST-054-STD-07</t>
        </is>
      </c>
      <c r="D838" s="19" t="inlineStr">
        <is>
          <t>2</t>
        </is>
      </c>
      <c r="E838" s="19" t="inlineStr">
        <is>
          <t>409</t>
        </is>
      </c>
      <c r="F838" s="19" t="inlineStr">
        <is>
          <t>119</t>
        </is>
      </c>
      <c r="G838" s="19" t="n"/>
      <c r="H838" s="19" t="inlineStr">
        <is>
          <t>2</t>
        </is>
      </c>
      <c r="I838" s="19" t="n"/>
      <c r="J838" s="19" t="n"/>
      <c r="K838" s="19" t="inlineStr">
        <is>
          <t>2</t>
        </is>
      </c>
      <c r="L838" t="inlineStr">
        <is>
          <t>2026-08-08</t>
        </is>
      </c>
      <c r="N838" t="inlineStr">
        <is>
          <t>IN_SCOPE_FINAL; SOURCE_CFG=IA-ST-CFG-0143; MARKET=None; STATUS=IN OEM / EU PACKAGE</t>
        </is>
      </c>
      <c r="O838" t="inlineStr">
        <is>
          <t>2026-08-10T19:29:54Z</t>
        </is>
      </c>
      <c r="P838" t="inlineStr">
        <is>
          <t>2026-08-10T19:29:54Z</t>
        </is>
      </c>
    </row>
    <row r="839">
      <c r="A839" s="19" t="inlineStr">
        <is>
          <t>838</t>
        </is>
      </c>
      <c r="B839" s="19" t="inlineStr">
        <is>
          <t>SC-1011914-ST-054-STD-07</t>
        </is>
      </c>
      <c r="C839" t="inlineStr">
        <is>
          <t>1011914 → ST-054-STD-07</t>
        </is>
      </c>
      <c r="D839" s="19" t="inlineStr">
        <is>
          <t>2</t>
        </is>
      </c>
      <c r="E839" s="19" t="inlineStr">
        <is>
          <t>411</t>
        </is>
      </c>
      <c r="F839" s="19" t="inlineStr">
        <is>
          <t>119</t>
        </is>
      </c>
      <c r="G839" s="19" t="n"/>
      <c r="H839" s="19" t="inlineStr">
        <is>
          <t>2</t>
        </is>
      </c>
      <c r="I839" s="19" t="n"/>
      <c r="J839" s="19" t="n"/>
      <c r="K839" s="19" t="inlineStr">
        <is>
          <t>2</t>
        </is>
      </c>
      <c r="L839" t="inlineStr">
        <is>
          <t>2026-08-08</t>
        </is>
      </c>
      <c r="N839" t="inlineStr">
        <is>
          <t>IN_SCOPE_FINAL; SOURCE_CFG=IA-ST-CFG-0143; MARKET=None; STATUS=IN OEM / EU PACKAGE</t>
        </is>
      </c>
      <c r="O839" t="inlineStr">
        <is>
          <t>2026-08-10T19:29:54Z</t>
        </is>
      </c>
      <c r="P839" t="inlineStr">
        <is>
          <t>2026-08-10T19:29:54Z</t>
        </is>
      </c>
    </row>
    <row r="840">
      <c r="A840" s="19" t="inlineStr">
        <is>
          <t>839</t>
        </is>
      </c>
      <c r="B840" s="19" t="inlineStr">
        <is>
          <t>SC-1011915-ST-054-STD-07</t>
        </is>
      </c>
      <c r="C840" t="inlineStr">
        <is>
          <t>1011915 → ST-054-STD-07</t>
        </is>
      </c>
      <c r="D840" s="19" t="inlineStr">
        <is>
          <t>2</t>
        </is>
      </c>
      <c r="E840" s="19" t="inlineStr">
        <is>
          <t>412</t>
        </is>
      </c>
      <c r="F840" s="19" t="inlineStr">
        <is>
          <t>119</t>
        </is>
      </c>
      <c r="G840" s="19" t="n"/>
      <c r="H840" s="19" t="inlineStr">
        <is>
          <t>2</t>
        </is>
      </c>
      <c r="I840" s="19" t="n"/>
      <c r="J840" s="19" t="n"/>
      <c r="K840" s="19" t="inlineStr">
        <is>
          <t>2</t>
        </is>
      </c>
      <c r="L840" t="inlineStr">
        <is>
          <t>2026-08-08</t>
        </is>
      </c>
      <c r="N840" t="inlineStr">
        <is>
          <t>IN_SCOPE_FINAL; SOURCE_CFG=IA-ST-CFG-0143; MARKET=None; STATUS=IN OEM / EU PACKAGE</t>
        </is>
      </c>
      <c r="O840" t="inlineStr">
        <is>
          <t>2026-08-10T19:29:54Z</t>
        </is>
      </c>
      <c r="P840" t="inlineStr">
        <is>
          <t>2026-08-10T19:29:54Z</t>
        </is>
      </c>
    </row>
    <row r="841">
      <c r="A841" s="19" t="inlineStr">
        <is>
          <t>840</t>
        </is>
      </c>
      <c r="B841" s="19" t="inlineStr">
        <is>
          <t>SC-1011916-ST-054-STD-07</t>
        </is>
      </c>
      <c r="C841" t="inlineStr">
        <is>
          <t>1011916 → ST-054-STD-07</t>
        </is>
      </c>
      <c r="D841" s="19" t="inlineStr">
        <is>
          <t>2</t>
        </is>
      </c>
      <c r="E841" s="19" t="inlineStr">
        <is>
          <t>413</t>
        </is>
      </c>
      <c r="F841" s="19" t="inlineStr">
        <is>
          <t>119</t>
        </is>
      </c>
      <c r="G841" s="19" t="n"/>
      <c r="H841" s="19" t="inlineStr">
        <is>
          <t>2</t>
        </is>
      </c>
      <c r="I841" s="19" t="n"/>
      <c r="J841" s="19" t="n"/>
      <c r="K841" s="19" t="inlineStr">
        <is>
          <t>2</t>
        </is>
      </c>
      <c r="L841" t="inlineStr">
        <is>
          <t>2026-08-08</t>
        </is>
      </c>
      <c r="N841" t="inlineStr">
        <is>
          <t>IN_SCOPE_FINAL; SOURCE_CFG=IA-ST-CFG-0143; MARKET=JANENE İSRAİL; STATUS=IN OEM / EU PACKAGE</t>
        </is>
      </c>
      <c r="O841" t="inlineStr">
        <is>
          <t>2026-08-10T19:29:54Z</t>
        </is>
      </c>
      <c r="P841" t="inlineStr">
        <is>
          <t>2026-08-10T19:29:54Z</t>
        </is>
      </c>
    </row>
    <row r="842">
      <c r="A842" s="19" t="inlineStr">
        <is>
          <t>841</t>
        </is>
      </c>
      <c r="B842" s="19" t="inlineStr">
        <is>
          <t>SC-1011918-ST-054-STD-07</t>
        </is>
      </c>
      <c r="C842" t="inlineStr">
        <is>
          <t>1011918 → ST-054-STD-07</t>
        </is>
      </c>
      <c r="D842" s="19" t="inlineStr">
        <is>
          <t>2</t>
        </is>
      </c>
      <c r="E842" s="19" t="inlineStr">
        <is>
          <t>414</t>
        </is>
      </c>
      <c r="F842" s="19" t="inlineStr">
        <is>
          <t>119</t>
        </is>
      </c>
      <c r="G842" s="19" t="n"/>
      <c r="H842" s="19" t="inlineStr">
        <is>
          <t>2</t>
        </is>
      </c>
      <c r="I842" s="19" t="n"/>
      <c r="J842" s="19" t="n"/>
      <c r="K842" s="19" t="inlineStr">
        <is>
          <t>2</t>
        </is>
      </c>
      <c r="L842" t="inlineStr">
        <is>
          <t>2026-08-08</t>
        </is>
      </c>
      <c r="N842" t="inlineStr">
        <is>
          <t>IN_SCOPE_FINAL; SOURCE_CFG=IA-ST-CFG-0143; MARKET=JANENE İSRAİL; STATUS=IN OEM / EU PACKAGE</t>
        </is>
      </c>
      <c r="O842" t="inlineStr">
        <is>
          <t>2026-08-10T19:29:54Z</t>
        </is>
      </c>
      <c r="P842" t="inlineStr">
        <is>
          <t>2026-08-10T19:29:54Z</t>
        </is>
      </c>
    </row>
    <row r="843">
      <c r="A843" s="19" t="inlineStr">
        <is>
          <t>842</t>
        </is>
      </c>
      <c r="B843" s="19" t="inlineStr">
        <is>
          <t>SC-1011919-ST-054-STD-07</t>
        </is>
      </c>
      <c r="C843" t="inlineStr">
        <is>
          <t>1011919 → ST-054-STD-07</t>
        </is>
      </c>
      <c r="D843" s="19" t="inlineStr">
        <is>
          <t>2</t>
        </is>
      </c>
      <c r="E843" s="19" t="inlineStr">
        <is>
          <t>415</t>
        </is>
      </c>
      <c r="F843" s="19" t="inlineStr">
        <is>
          <t>119</t>
        </is>
      </c>
      <c r="G843" s="19" t="n"/>
      <c r="H843" s="19" t="inlineStr">
        <is>
          <t>2</t>
        </is>
      </c>
      <c r="I843" s="19" t="n"/>
      <c r="J843" s="19" t="n"/>
      <c r="K843" s="19" t="inlineStr">
        <is>
          <t>2</t>
        </is>
      </c>
      <c r="L843" t="inlineStr">
        <is>
          <t>2026-08-08</t>
        </is>
      </c>
      <c r="N843" t="inlineStr">
        <is>
          <t>IN_SCOPE_FINAL; SOURCE_CFG=IA-ST-CFG-0143; MARKET=None; STATUS=IN OEM / EU PACKAGE</t>
        </is>
      </c>
      <c r="O843" t="inlineStr">
        <is>
          <t>2026-08-10T19:29:54Z</t>
        </is>
      </c>
      <c r="P843" t="inlineStr">
        <is>
          <t>2026-08-10T19:29:54Z</t>
        </is>
      </c>
    </row>
    <row r="844">
      <c r="A844" s="19" t="inlineStr">
        <is>
          <t>843</t>
        </is>
      </c>
      <c r="B844" s="19" t="inlineStr">
        <is>
          <t>SC-1011920-ST-054-STD-07</t>
        </is>
      </c>
      <c r="C844" t="inlineStr">
        <is>
          <t>1011920 → ST-054-STD-07</t>
        </is>
      </c>
      <c r="D844" s="19" t="inlineStr">
        <is>
          <t>2</t>
        </is>
      </c>
      <c r="E844" s="19" t="inlineStr">
        <is>
          <t>416</t>
        </is>
      </c>
      <c r="F844" s="19" t="inlineStr">
        <is>
          <t>119</t>
        </is>
      </c>
      <c r="G844" s="19" t="n"/>
      <c r="H844" s="19" t="inlineStr">
        <is>
          <t>2</t>
        </is>
      </c>
      <c r="I844" s="19" t="n"/>
      <c r="J844" s="19" t="n"/>
      <c r="K844" s="19" t="inlineStr">
        <is>
          <t>2</t>
        </is>
      </c>
      <c r="L844" t="inlineStr">
        <is>
          <t>2026-08-08</t>
        </is>
      </c>
      <c r="N844" t="inlineStr">
        <is>
          <t>IN_SCOPE_FINAL; SOURCE_CFG=IA-ST-CFG-0143; MARKET=None; STATUS=IN OEM / EU PACKAGE</t>
        </is>
      </c>
      <c r="O844" t="inlineStr">
        <is>
          <t>2026-08-10T19:29:54Z</t>
        </is>
      </c>
      <c r="P844" t="inlineStr">
        <is>
          <t>2026-08-10T19:29:54Z</t>
        </is>
      </c>
    </row>
    <row r="845">
      <c r="A845" s="19" t="inlineStr">
        <is>
          <t>844</t>
        </is>
      </c>
      <c r="B845" s="19" t="inlineStr">
        <is>
          <t>SC-1011925-ST-054-STD-07</t>
        </is>
      </c>
      <c r="C845" t="inlineStr">
        <is>
          <t>1011925 → ST-054-STD-07</t>
        </is>
      </c>
      <c r="D845" s="19" t="inlineStr">
        <is>
          <t>2</t>
        </is>
      </c>
      <c r="E845" s="19" t="inlineStr">
        <is>
          <t>417</t>
        </is>
      </c>
      <c r="F845" s="19" t="inlineStr">
        <is>
          <t>119</t>
        </is>
      </c>
      <c r="G845" s="19" t="n"/>
      <c r="H845" s="19" t="inlineStr">
        <is>
          <t>2</t>
        </is>
      </c>
      <c r="I845" s="19" t="n"/>
      <c r="J845" s="19" t="n"/>
      <c r="K845" s="19" t="inlineStr">
        <is>
          <t>2</t>
        </is>
      </c>
      <c r="L845" t="inlineStr">
        <is>
          <t>2026-08-08</t>
        </is>
      </c>
      <c r="N845" t="inlineStr">
        <is>
          <t>IN_SCOPE_FINAL; SOURCE_CFG=IA-ST-CFG-0143; MARKET=MISIR NACITA; STATUS=IN OEM / EU PACKAGE</t>
        </is>
      </c>
      <c r="O845" t="inlineStr">
        <is>
          <t>2026-08-10T19:29:54Z</t>
        </is>
      </c>
      <c r="P845" t="inlineStr">
        <is>
          <t>2026-08-10T19:29:54Z</t>
        </is>
      </c>
    </row>
    <row r="846">
      <c r="A846" s="19" t="inlineStr">
        <is>
          <t>845</t>
        </is>
      </c>
      <c r="B846" s="19" t="inlineStr">
        <is>
          <t>SC-1011926-ST-054-STD-07</t>
        </is>
      </c>
      <c r="C846" t="inlineStr">
        <is>
          <t>1011926 → ST-054-STD-07</t>
        </is>
      </c>
      <c r="D846" s="19" t="inlineStr">
        <is>
          <t>2</t>
        </is>
      </c>
      <c r="E846" s="19" t="inlineStr">
        <is>
          <t>418</t>
        </is>
      </c>
      <c r="F846" s="19" t="inlineStr">
        <is>
          <t>119</t>
        </is>
      </c>
      <c r="G846" s="19" t="n"/>
      <c r="H846" s="19" t="inlineStr">
        <is>
          <t>2</t>
        </is>
      </c>
      <c r="I846" s="19" t="n"/>
      <c r="J846" s="19" t="n"/>
      <c r="K846" s="19" t="inlineStr">
        <is>
          <t>2</t>
        </is>
      </c>
      <c r="L846" t="inlineStr">
        <is>
          <t>2026-08-08</t>
        </is>
      </c>
      <c r="N846" t="inlineStr">
        <is>
          <t>IN_SCOPE_FINAL; SOURCE_CFG=IA-ST-CFG-0143; MARKET=MISIR NACITA; STATUS=IN OEM / EU PACKAGE</t>
        </is>
      </c>
      <c r="O846" t="inlineStr">
        <is>
          <t>2026-08-10T19:29:54Z</t>
        </is>
      </c>
      <c r="P846" t="inlineStr">
        <is>
          <t>2026-08-10T19:29:54Z</t>
        </is>
      </c>
    </row>
    <row r="847">
      <c r="A847" s="19" t="inlineStr">
        <is>
          <t>846</t>
        </is>
      </c>
      <c r="B847" s="19" t="inlineStr">
        <is>
          <t>SC-1011927-ST-054-STD-07</t>
        </is>
      </c>
      <c r="C847" t="inlineStr">
        <is>
          <t>1011927 → ST-054-STD-07</t>
        </is>
      </c>
      <c r="D847" s="19" t="inlineStr">
        <is>
          <t>2</t>
        </is>
      </c>
      <c r="E847" s="19" t="inlineStr">
        <is>
          <t>419</t>
        </is>
      </c>
      <c r="F847" s="19" t="inlineStr">
        <is>
          <t>119</t>
        </is>
      </c>
      <c r="G847" s="19" t="n"/>
      <c r="H847" s="19" t="inlineStr">
        <is>
          <t>2</t>
        </is>
      </c>
      <c r="I847" s="19" t="n"/>
      <c r="J847" s="19" t="n"/>
      <c r="K847" s="19" t="inlineStr">
        <is>
          <t>2</t>
        </is>
      </c>
      <c r="L847" t="inlineStr">
        <is>
          <t>2026-08-08</t>
        </is>
      </c>
      <c r="N847" t="inlineStr">
        <is>
          <t>IN_SCOPE_FINAL; SOURCE_CFG=IA-ST-CFG-0143; MARKET=MISIR NACITA; STATUS=IN OEM / EU PACKAGE</t>
        </is>
      </c>
      <c r="O847" t="inlineStr">
        <is>
          <t>2026-08-10T19:29:54Z</t>
        </is>
      </c>
      <c r="P847" t="inlineStr">
        <is>
          <t>2026-08-10T19:29:54Z</t>
        </is>
      </c>
    </row>
    <row r="848">
      <c r="A848" s="19" t="inlineStr">
        <is>
          <t>847</t>
        </is>
      </c>
      <c r="B848" s="19" t="inlineStr">
        <is>
          <t>SC-1011932-ST-054-STD-07</t>
        </is>
      </c>
      <c r="C848" t="inlineStr">
        <is>
          <t>1011932 → ST-054-STD-07</t>
        </is>
      </c>
      <c r="D848" s="19" t="inlineStr">
        <is>
          <t>2</t>
        </is>
      </c>
      <c r="E848" s="19" t="inlineStr">
        <is>
          <t>422</t>
        </is>
      </c>
      <c r="F848" s="19" t="inlineStr">
        <is>
          <t>119</t>
        </is>
      </c>
      <c r="G848" s="19" t="n"/>
      <c r="H848" s="19" t="inlineStr">
        <is>
          <t>2</t>
        </is>
      </c>
      <c r="I848" s="19" t="n"/>
      <c r="J848" s="19" t="n"/>
      <c r="K848" s="19" t="inlineStr">
        <is>
          <t>2</t>
        </is>
      </c>
      <c r="L848" t="inlineStr">
        <is>
          <t>2026-08-08</t>
        </is>
      </c>
      <c r="N848" t="inlineStr">
        <is>
          <t>IN_SCOPE_FINAL; SOURCE_CFG=IA-ST-CFG-0143; MARKET=None; STATUS=IN OEM / EU PACKAGE</t>
        </is>
      </c>
      <c r="O848" t="inlineStr">
        <is>
          <t>2026-08-10T19:29:54Z</t>
        </is>
      </c>
      <c r="P848" t="inlineStr">
        <is>
          <t>2026-08-10T19:29:54Z</t>
        </is>
      </c>
    </row>
    <row r="849">
      <c r="A849" s="19" t="inlineStr">
        <is>
          <t>848</t>
        </is>
      </c>
      <c r="B849" s="19" t="inlineStr">
        <is>
          <t>SC-1011937-ST-054-STD-07</t>
        </is>
      </c>
      <c r="C849" t="inlineStr">
        <is>
          <t>1011937 → ST-054-STD-07</t>
        </is>
      </c>
      <c r="D849" s="19" t="inlineStr">
        <is>
          <t>2</t>
        </is>
      </c>
      <c r="E849" s="19" t="inlineStr">
        <is>
          <t>427</t>
        </is>
      </c>
      <c r="F849" s="19" t="inlineStr">
        <is>
          <t>119</t>
        </is>
      </c>
      <c r="G849" s="19" t="n"/>
      <c r="H849" s="19" t="inlineStr">
        <is>
          <t>2</t>
        </is>
      </c>
      <c r="I849" s="19" t="n"/>
      <c r="J849" s="19" t="n"/>
      <c r="K849" s="19" t="inlineStr">
        <is>
          <t>2</t>
        </is>
      </c>
      <c r="L849" t="inlineStr">
        <is>
          <t>2026-08-08</t>
        </is>
      </c>
      <c r="N849" t="inlineStr">
        <is>
          <t>IN_SCOPE_FINAL; SOURCE_CFG=IA-ST-CFG-0143; MARKET=NASA; STATUS=IN OEM / EU PACKAGE</t>
        </is>
      </c>
      <c r="O849" t="inlineStr">
        <is>
          <t>2026-08-10T19:29:54Z</t>
        </is>
      </c>
      <c r="P849" t="inlineStr">
        <is>
          <t>2026-08-10T19:29:54Z</t>
        </is>
      </c>
    </row>
    <row r="850">
      <c r="A850" s="19" t="inlineStr">
        <is>
          <t>849</t>
        </is>
      </c>
      <c r="B850" s="19" t="inlineStr">
        <is>
          <t>SC-1011938-ST-054-STD-07</t>
        </is>
      </c>
      <c r="C850" t="inlineStr">
        <is>
          <t>1011938 → ST-054-STD-07</t>
        </is>
      </c>
      <c r="D850" s="19" t="inlineStr">
        <is>
          <t>2</t>
        </is>
      </c>
      <c r="E850" s="19" t="inlineStr">
        <is>
          <t>428</t>
        </is>
      </c>
      <c r="F850" s="19" t="inlineStr">
        <is>
          <t>119</t>
        </is>
      </c>
      <c r="G850" s="19" t="n"/>
      <c r="H850" s="19" t="inlineStr">
        <is>
          <t>2</t>
        </is>
      </c>
      <c r="I850" s="19" t="n"/>
      <c r="J850" s="19" t="n"/>
      <c r="K850" s="19" t="inlineStr">
        <is>
          <t>2</t>
        </is>
      </c>
      <c r="L850" t="inlineStr">
        <is>
          <t>2026-08-08</t>
        </is>
      </c>
      <c r="N850" t="inlineStr">
        <is>
          <t>IN_SCOPE_FINAL; SOURCE_CFG=IA-ST-CFG-0143; MARKET=NASA; STATUS=IN OEM / EU PACKAGE</t>
        </is>
      </c>
      <c r="O850" t="inlineStr">
        <is>
          <t>2026-08-10T19:29:54Z</t>
        </is>
      </c>
      <c r="P850" t="inlineStr">
        <is>
          <t>2026-08-10T19:29:54Z</t>
        </is>
      </c>
    </row>
    <row r="851">
      <c r="A851" s="19" t="inlineStr">
        <is>
          <t>850</t>
        </is>
      </c>
      <c r="B851" s="19" t="inlineStr">
        <is>
          <t>SC-1011945-ST-054-STD-07</t>
        </is>
      </c>
      <c r="C851" t="inlineStr">
        <is>
          <t>1011945 → ST-054-STD-07</t>
        </is>
      </c>
      <c r="D851" s="19" t="inlineStr">
        <is>
          <t>2</t>
        </is>
      </c>
      <c r="E851" s="19" t="inlineStr">
        <is>
          <t>432</t>
        </is>
      </c>
      <c r="F851" s="19" t="inlineStr">
        <is>
          <t>119</t>
        </is>
      </c>
      <c r="G851" s="19" t="n"/>
      <c r="H851" s="19" t="inlineStr">
        <is>
          <t>2</t>
        </is>
      </c>
      <c r="I851" s="19" t="n"/>
      <c r="J851" s="19" t="n"/>
      <c r="K851" s="19" t="inlineStr">
        <is>
          <t>2</t>
        </is>
      </c>
      <c r="L851" t="inlineStr">
        <is>
          <t>2026-08-08</t>
        </is>
      </c>
      <c r="N851" t="inlineStr">
        <is>
          <t>IN_SCOPE_FINAL; SOURCE_CFG=IA-ST-CFG-0143; MARKET=MISIR NACITA; STATUS=IN OEM / EU PACKAGE</t>
        </is>
      </c>
      <c r="O851" t="inlineStr">
        <is>
          <t>2026-08-10T19:29:54Z</t>
        </is>
      </c>
      <c r="P851" t="inlineStr">
        <is>
          <t>2026-08-10T19:29:54Z</t>
        </is>
      </c>
    </row>
    <row r="852">
      <c r="A852" s="19" t="inlineStr">
        <is>
          <t>851</t>
        </is>
      </c>
      <c r="B852" s="19" t="inlineStr">
        <is>
          <t>SC-1011946-ST-054-STD-07</t>
        </is>
      </c>
      <c r="C852" t="inlineStr">
        <is>
          <t>1011946 → ST-054-STD-07</t>
        </is>
      </c>
      <c r="D852" s="19" t="inlineStr">
        <is>
          <t>2</t>
        </is>
      </c>
      <c r="E852" s="19" t="inlineStr">
        <is>
          <t>433</t>
        </is>
      </c>
      <c r="F852" s="19" t="inlineStr">
        <is>
          <t>119</t>
        </is>
      </c>
      <c r="G852" s="19" t="n"/>
      <c r="H852" s="19" t="inlineStr">
        <is>
          <t>2</t>
        </is>
      </c>
      <c r="I852" s="19" t="n"/>
      <c r="J852" s="19" t="n"/>
      <c r="K852" s="19" t="inlineStr">
        <is>
          <t>2</t>
        </is>
      </c>
      <c r="L852" t="inlineStr">
        <is>
          <t>2026-08-08</t>
        </is>
      </c>
      <c r="N852" t="inlineStr">
        <is>
          <t>IN_SCOPE_FINAL; SOURCE_CFG=IA-ST-CFG-0143; MARKET=None; STATUS=IN OEM / EU PACKAGE</t>
        </is>
      </c>
      <c r="O852" t="inlineStr">
        <is>
          <t>2026-08-10T19:29:54Z</t>
        </is>
      </c>
      <c r="P852" t="inlineStr">
        <is>
          <t>2026-08-10T19:29:54Z</t>
        </is>
      </c>
    </row>
    <row r="853">
      <c r="A853" s="19" t="inlineStr">
        <is>
          <t>852</t>
        </is>
      </c>
      <c r="B853" s="19" t="inlineStr">
        <is>
          <t>SC-1011948-ST-054-STD-07</t>
        </is>
      </c>
      <c r="C853" t="inlineStr">
        <is>
          <t>1011948 → ST-054-STD-07</t>
        </is>
      </c>
      <c r="D853" s="19" t="inlineStr">
        <is>
          <t>2</t>
        </is>
      </c>
      <c r="E853" s="19" t="inlineStr">
        <is>
          <t>434</t>
        </is>
      </c>
      <c r="F853" s="19" t="inlineStr">
        <is>
          <t>119</t>
        </is>
      </c>
      <c r="G853" s="19" t="n"/>
      <c r="H853" s="19" t="inlineStr">
        <is>
          <t>2</t>
        </is>
      </c>
      <c r="I853" s="19" t="n"/>
      <c r="J853" s="19" t="n"/>
      <c r="K853" s="19" t="inlineStr">
        <is>
          <t>2</t>
        </is>
      </c>
      <c r="L853" t="inlineStr">
        <is>
          <t>2026-08-08</t>
        </is>
      </c>
      <c r="N853" t="inlineStr">
        <is>
          <t>IN_SCOPE_FINAL; SOURCE_CFG=IA-ST-CFG-0143; MARKET=None; STATUS=IN OEM / EU PACKAGE</t>
        </is>
      </c>
      <c r="O853" t="inlineStr">
        <is>
          <t>2026-08-10T19:29:54Z</t>
        </is>
      </c>
      <c r="P853" t="inlineStr">
        <is>
          <t>2026-08-10T19:29:54Z</t>
        </is>
      </c>
    </row>
    <row r="854">
      <c r="A854" s="19" t="inlineStr">
        <is>
          <t>853</t>
        </is>
      </c>
      <c r="B854" s="19" t="inlineStr">
        <is>
          <t>SC-1011950-ST-054-STD-07</t>
        </is>
      </c>
      <c r="C854" t="inlineStr">
        <is>
          <t>1011950 → ST-054-STD-07</t>
        </is>
      </c>
      <c r="D854" s="19" t="inlineStr">
        <is>
          <t>2</t>
        </is>
      </c>
      <c r="E854" s="19" t="inlineStr">
        <is>
          <t>435</t>
        </is>
      </c>
      <c r="F854" s="19" t="inlineStr">
        <is>
          <t>119</t>
        </is>
      </c>
      <c r="G854" s="19" t="n"/>
      <c r="H854" s="19" t="inlineStr">
        <is>
          <t>2</t>
        </is>
      </c>
      <c r="I854" s="19" t="n"/>
      <c r="J854" s="19" t="n"/>
      <c r="K854" s="19" t="inlineStr">
        <is>
          <t>2</t>
        </is>
      </c>
      <c r="L854" t="inlineStr">
        <is>
          <t>2026-08-08</t>
        </is>
      </c>
      <c r="N854" t="inlineStr">
        <is>
          <t>IN_SCOPE_FINAL; SOURCE_CFG=IA-ST-CFG-0143; MARKET=None; STATUS=IN OEM / EU PACKAGE</t>
        </is>
      </c>
      <c r="O854" t="inlineStr">
        <is>
          <t>2026-08-10T19:29:54Z</t>
        </is>
      </c>
      <c r="P854" t="inlineStr">
        <is>
          <t>2026-08-10T19:29:54Z</t>
        </is>
      </c>
    </row>
    <row r="855">
      <c r="A855" s="19" t="inlineStr">
        <is>
          <t>854</t>
        </is>
      </c>
      <c r="B855" s="19" t="inlineStr">
        <is>
          <t>SC-1011952-ST-054-STD-07</t>
        </is>
      </c>
      <c r="C855" t="inlineStr">
        <is>
          <t>1011952 → ST-054-STD-07</t>
        </is>
      </c>
      <c r="D855" s="19" t="inlineStr">
        <is>
          <t>2</t>
        </is>
      </c>
      <c r="E855" s="19" t="inlineStr">
        <is>
          <t>436</t>
        </is>
      </c>
      <c r="F855" s="19" t="inlineStr">
        <is>
          <t>119</t>
        </is>
      </c>
      <c r="G855" s="19" t="n"/>
      <c r="H855" s="19" t="inlineStr">
        <is>
          <t>2</t>
        </is>
      </c>
      <c r="I855" s="19" t="n"/>
      <c r="J855" s="19" t="n"/>
      <c r="K855" s="19" t="inlineStr">
        <is>
          <t>2</t>
        </is>
      </c>
      <c r="L855" t="inlineStr">
        <is>
          <t>2026-08-08</t>
        </is>
      </c>
      <c r="N855" t="inlineStr">
        <is>
          <t>IN_SCOPE_FINAL; SOURCE_CFG=IA-ST-CFG-0143; MARKET=None; STATUS=IN OEM / EU PACKAGE</t>
        </is>
      </c>
      <c r="O855" t="inlineStr">
        <is>
          <t>2026-08-10T19:29:54Z</t>
        </is>
      </c>
      <c r="P855" t="inlineStr">
        <is>
          <t>2026-08-10T19:29:54Z</t>
        </is>
      </c>
    </row>
    <row r="856">
      <c r="A856" s="19" t="inlineStr">
        <is>
          <t>855</t>
        </is>
      </c>
      <c r="B856" s="19" t="inlineStr">
        <is>
          <t>SC-1011956-ST-054-STD-07</t>
        </is>
      </c>
      <c r="C856" t="inlineStr">
        <is>
          <t>1011956 → ST-054-STD-07</t>
        </is>
      </c>
      <c r="D856" s="19" t="inlineStr">
        <is>
          <t>2</t>
        </is>
      </c>
      <c r="E856" s="19" t="inlineStr">
        <is>
          <t>437</t>
        </is>
      </c>
      <c r="F856" s="19" t="inlineStr">
        <is>
          <t>119</t>
        </is>
      </c>
      <c r="G856" s="19" t="n"/>
      <c r="H856" s="19" t="inlineStr">
        <is>
          <t>2</t>
        </is>
      </c>
      <c r="I856" s="19" t="n"/>
      <c r="J856" s="19" t="n"/>
      <c r="K856" s="19" t="inlineStr">
        <is>
          <t>2</t>
        </is>
      </c>
      <c r="L856" t="inlineStr">
        <is>
          <t>2026-08-08</t>
        </is>
      </c>
      <c r="N856" t="inlineStr">
        <is>
          <t>IN_SCOPE_FINAL; SOURCE_CFG=IA-ST-CFG-0143; MARKET=MISIR ATWAN; STATUS=IN OEM / EU PACKAGE</t>
        </is>
      </c>
      <c r="O856" t="inlineStr">
        <is>
          <t>2026-08-10T19:29:54Z</t>
        </is>
      </c>
      <c r="P856" t="inlineStr">
        <is>
          <t>2026-08-10T19:29:54Z</t>
        </is>
      </c>
    </row>
    <row r="857">
      <c r="A857" s="19" t="inlineStr">
        <is>
          <t>856</t>
        </is>
      </c>
      <c r="B857" s="19" t="inlineStr">
        <is>
          <t>SC-1012085-ST-054-STD-07</t>
        </is>
      </c>
      <c r="C857" t="inlineStr">
        <is>
          <t>1012085 → ST-054-STD-07</t>
        </is>
      </c>
      <c r="D857" s="19" t="inlineStr">
        <is>
          <t>2</t>
        </is>
      </c>
      <c r="E857" s="19" t="inlineStr">
        <is>
          <t>509</t>
        </is>
      </c>
      <c r="F857" s="19" t="inlineStr">
        <is>
          <t>119</t>
        </is>
      </c>
      <c r="G857" s="19" t="n"/>
      <c r="H857" s="19" t="inlineStr">
        <is>
          <t>2</t>
        </is>
      </c>
      <c r="I857" s="19" t="n"/>
      <c r="J857" s="19" t="n"/>
      <c r="K857" s="19" t="inlineStr">
        <is>
          <t>2</t>
        </is>
      </c>
      <c r="L857" t="inlineStr">
        <is>
          <t>2026-08-08</t>
        </is>
      </c>
      <c r="N857" t="inlineStr">
        <is>
          <t>IN_SCOPE_FINAL; SOURCE_CFG=IA-ST-CFG-0143; MARKET=MISIR NACITA; STATUS=IN OEM / EU PACKAGE</t>
        </is>
      </c>
      <c r="O857" t="inlineStr">
        <is>
          <t>2026-08-10T19:29:54Z</t>
        </is>
      </c>
      <c r="P857" t="inlineStr">
        <is>
          <t>2026-08-10T19:29:54Z</t>
        </is>
      </c>
    </row>
    <row r="858">
      <c r="A858" s="19" t="inlineStr">
        <is>
          <t>857</t>
        </is>
      </c>
      <c r="B858" s="19" t="inlineStr">
        <is>
          <t>SC-1012246-ST-054-STD-07</t>
        </is>
      </c>
      <c r="C858" t="inlineStr">
        <is>
          <t>1012246 → ST-054-STD-07</t>
        </is>
      </c>
      <c r="D858" s="19" t="inlineStr">
        <is>
          <t>2</t>
        </is>
      </c>
      <c r="E858" s="19" t="inlineStr">
        <is>
          <t>569</t>
        </is>
      </c>
      <c r="F858" s="19" t="inlineStr">
        <is>
          <t>119</t>
        </is>
      </c>
      <c r="G858" s="19" t="n"/>
      <c r="H858" s="19" t="inlineStr">
        <is>
          <t>2</t>
        </is>
      </c>
      <c r="I858" s="19" t="n"/>
      <c r="J858" s="19" t="n"/>
      <c r="K858" s="19" t="inlineStr">
        <is>
          <t>2</t>
        </is>
      </c>
      <c r="L858" t="inlineStr">
        <is>
          <t>2026-08-08</t>
        </is>
      </c>
      <c r="N858" t="inlineStr">
        <is>
          <t>IN_SCOPE_FINAL; SOURCE_CFG=IA-ST-CFG-0143; MARKET=None; STATUS=IN OEM / EU PACKAGE</t>
        </is>
      </c>
      <c r="O858" t="inlineStr">
        <is>
          <t>2026-08-10T19:29:54Z</t>
        </is>
      </c>
      <c r="P858" t="inlineStr">
        <is>
          <t>2026-08-10T19:29:54Z</t>
        </is>
      </c>
    </row>
    <row r="859">
      <c r="A859" s="19" t="inlineStr">
        <is>
          <t>858</t>
        </is>
      </c>
      <c r="B859" s="19" t="inlineStr">
        <is>
          <t>SC-1012248-ST-054-STD-07</t>
        </is>
      </c>
      <c r="C859" t="inlineStr">
        <is>
          <t>1012248 → ST-054-STD-07</t>
        </is>
      </c>
      <c r="D859" s="19" t="inlineStr">
        <is>
          <t>2</t>
        </is>
      </c>
      <c r="E859" s="19" t="inlineStr">
        <is>
          <t>570</t>
        </is>
      </c>
      <c r="F859" s="19" t="inlineStr">
        <is>
          <t>119</t>
        </is>
      </c>
      <c r="G859" s="19" t="n"/>
      <c r="H859" s="19" t="inlineStr">
        <is>
          <t>2</t>
        </is>
      </c>
      <c r="I859" s="19" t="n"/>
      <c r="J859" s="19" t="n"/>
      <c r="K859" s="19" t="inlineStr">
        <is>
          <t>2</t>
        </is>
      </c>
      <c r="L859" t="inlineStr">
        <is>
          <t>2026-08-08</t>
        </is>
      </c>
      <c r="N859" t="inlineStr">
        <is>
          <t>IN_SCOPE_FINAL; SOURCE_CFG=IA-ST-CFG-0143; MARKET=None; STATUS=IN OEM / EU PACKAGE</t>
        </is>
      </c>
      <c r="O859" t="inlineStr">
        <is>
          <t>2026-08-10T19:29:54Z</t>
        </is>
      </c>
      <c r="P859" t="inlineStr">
        <is>
          <t>2026-08-10T19:29:54Z</t>
        </is>
      </c>
    </row>
    <row r="860">
      <c r="A860" s="19" t="inlineStr">
        <is>
          <t>859</t>
        </is>
      </c>
      <c r="B860" s="19" t="inlineStr">
        <is>
          <t>SC-1012477-ST-054-STD-07</t>
        </is>
      </c>
      <c r="C860" t="inlineStr">
        <is>
          <t>1012477 → ST-054-STD-07</t>
        </is>
      </c>
      <c r="D860" s="19" t="inlineStr">
        <is>
          <t>2</t>
        </is>
      </c>
      <c r="E860" s="19" t="inlineStr">
        <is>
          <t>666</t>
        </is>
      </c>
      <c r="F860" s="19" t="inlineStr">
        <is>
          <t>119</t>
        </is>
      </c>
      <c r="G860" s="19" t="n"/>
      <c r="H860" s="19" t="inlineStr">
        <is>
          <t>2</t>
        </is>
      </c>
      <c r="I860" s="19" t="n"/>
      <c r="J860" s="19" t="n"/>
      <c r="K860" s="19" t="inlineStr">
        <is>
          <t>2</t>
        </is>
      </c>
      <c r="L860" t="inlineStr">
        <is>
          <t>2026-08-08</t>
        </is>
      </c>
      <c r="N860" t="inlineStr">
        <is>
          <t>IN_SCOPE_FINAL; SOURCE_CFG=IA-ST-CFG-0143; MARKET=None; STATUS=IN OEM / EU PACKAGE</t>
        </is>
      </c>
      <c r="O860" t="inlineStr">
        <is>
          <t>2026-08-10T19:29:54Z</t>
        </is>
      </c>
      <c r="P860" t="inlineStr">
        <is>
          <t>2026-08-10T19:29:54Z</t>
        </is>
      </c>
    </row>
    <row r="861">
      <c r="A861" s="19" t="inlineStr">
        <is>
          <t>860</t>
        </is>
      </c>
      <c r="B861" s="19" t="inlineStr">
        <is>
          <t>SC-1012479-ST-054-STD-07</t>
        </is>
      </c>
      <c r="C861" t="inlineStr">
        <is>
          <t>1012479 → ST-054-STD-07</t>
        </is>
      </c>
      <c r="D861" s="19" t="inlineStr">
        <is>
          <t>2</t>
        </is>
      </c>
      <c r="E861" s="19" t="inlineStr">
        <is>
          <t>667</t>
        </is>
      </c>
      <c r="F861" s="19" t="inlineStr">
        <is>
          <t>119</t>
        </is>
      </c>
      <c r="G861" s="19" t="n"/>
      <c r="H861" s="19" t="inlineStr">
        <is>
          <t>2</t>
        </is>
      </c>
      <c r="I861" s="19" t="n"/>
      <c r="J861" s="19" t="n"/>
      <c r="K861" s="19" t="inlineStr">
        <is>
          <t>2</t>
        </is>
      </c>
      <c r="L861" t="inlineStr">
        <is>
          <t>2026-08-08</t>
        </is>
      </c>
      <c r="N861" t="inlineStr">
        <is>
          <t>IN_SCOPE_FINAL; SOURCE_CFG=IA-ST-CFG-0143; MARKET=None; STATUS=IN OEM / EU PACKAGE</t>
        </is>
      </c>
      <c r="O861" t="inlineStr">
        <is>
          <t>2026-08-10T19:29:54Z</t>
        </is>
      </c>
      <c r="P861" t="inlineStr">
        <is>
          <t>2026-08-10T19:29:54Z</t>
        </is>
      </c>
    </row>
    <row r="862">
      <c r="A862" s="19" t="inlineStr">
        <is>
          <t>861</t>
        </is>
      </c>
      <c r="B862" s="19" t="inlineStr">
        <is>
          <t>SC-1012480-ST-054-STD-07</t>
        </is>
      </c>
      <c r="C862" t="inlineStr">
        <is>
          <t>1012480 → ST-054-STD-07</t>
        </is>
      </c>
      <c r="D862" s="19" t="inlineStr">
        <is>
          <t>2</t>
        </is>
      </c>
      <c r="E862" s="19" t="inlineStr">
        <is>
          <t>668</t>
        </is>
      </c>
      <c r="F862" s="19" t="inlineStr">
        <is>
          <t>119</t>
        </is>
      </c>
      <c r="G862" s="19" t="n"/>
      <c r="H862" s="19" t="inlineStr">
        <is>
          <t>2</t>
        </is>
      </c>
      <c r="I862" s="19" t="n"/>
      <c r="J862" s="19" t="n"/>
      <c r="K862" s="19" t="inlineStr">
        <is>
          <t>2</t>
        </is>
      </c>
      <c r="L862" t="inlineStr">
        <is>
          <t>2026-08-08</t>
        </is>
      </c>
      <c r="N862" t="inlineStr">
        <is>
          <t>IN_SCOPE_FINAL; SOURCE_CFG=IA-ST-CFG-0143; MARKET=None; STATUS=IN OEM / EU PACKAGE</t>
        </is>
      </c>
      <c r="O862" t="inlineStr">
        <is>
          <t>2026-08-10T19:29:54Z</t>
        </is>
      </c>
      <c r="P862" t="inlineStr">
        <is>
          <t>2026-08-10T19:29:54Z</t>
        </is>
      </c>
    </row>
    <row r="863">
      <c r="A863" s="19" t="inlineStr">
        <is>
          <t>862</t>
        </is>
      </c>
      <c r="B863" s="19" t="inlineStr">
        <is>
          <t>SC-1012541-ST-054-STD-07</t>
        </is>
      </c>
      <c r="C863" t="inlineStr">
        <is>
          <t>1012541 → ST-054-STD-07</t>
        </is>
      </c>
      <c r="D863" s="19" t="inlineStr">
        <is>
          <t>2</t>
        </is>
      </c>
      <c r="E863" s="19" t="inlineStr">
        <is>
          <t>690</t>
        </is>
      </c>
      <c r="F863" s="19" t="inlineStr">
        <is>
          <t>119</t>
        </is>
      </c>
      <c r="G863" s="19" t="n"/>
      <c r="H863" s="19" t="inlineStr">
        <is>
          <t>2</t>
        </is>
      </c>
      <c r="I863" s="19" t="n"/>
      <c r="J863" s="19" t="n"/>
      <c r="K863" s="19" t="inlineStr">
        <is>
          <t>2</t>
        </is>
      </c>
      <c r="L863" t="inlineStr">
        <is>
          <t>2026-08-08</t>
        </is>
      </c>
      <c r="N863" t="inlineStr">
        <is>
          <t>IN_SCOPE_FINAL; SOURCE_CFG=IA-ST-CFG-0143; MARKET=None; STATUS=IN OEM / EU PACKAGE</t>
        </is>
      </c>
      <c r="O863" t="inlineStr">
        <is>
          <t>2026-08-10T19:29:54Z</t>
        </is>
      </c>
      <c r="P863" t="inlineStr">
        <is>
          <t>2026-08-10T19:29:54Z</t>
        </is>
      </c>
    </row>
    <row r="864">
      <c r="A864" s="19" t="inlineStr">
        <is>
          <t>863</t>
        </is>
      </c>
      <c r="B864" s="19" t="inlineStr">
        <is>
          <t>SC-1012550-ST-054-STD-07</t>
        </is>
      </c>
      <c r="C864" t="inlineStr">
        <is>
          <t>1012550 → ST-054-STD-07</t>
        </is>
      </c>
      <c r="D864" s="19" t="inlineStr">
        <is>
          <t>2</t>
        </is>
      </c>
      <c r="E864" s="19" t="inlineStr">
        <is>
          <t>693</t>
        </is>
      </c>
      <c r="F864" s="19" t="inlineStr">
        <is>
          <t>119</t>
        </is>
      </c>
      <c r="G864" s="19" t="n"/>
      <c r="H864" s="19" t="inlineStr">
        <is>
          <t>2</t>
        </is>
      </c>
      <c r="I864" s="19" t="n"/>
      <c r="J864" s="19" t="n"/>
      <c r="K864" s="19" t="inlineStr">
        <is>
          <t>2</t>
        </is>
      </c>
      <c r="L864" t="inlineStr">
        <is>
          <t>2026-08-08</t>
        </is>
      </c>
      <c r="N864" t="inlineStr">
        <is>
          <t>IN_SCOPE_FINAL; SOURCE_CFG=IA-ST-CFG-0143; MARKET=None; STATUS=IN OEM / EU PACKAGE</t>
        </is>
      </c>
      <c r="O864" t="inlineStr">
        <is>
          <t>2026-08-10T19:29:54Z</t>
        </is>
      </c>
      <c r="P864" t="inlineStr">
        <is>
          <t>2026-08-10T19:29:54Z</t>
        </is>
      </c>
    </row>
    <row r="865">
      <c r="A865" s="19" t="inlineStr">
        <is>
          <t>864</t>
        </is>
      </c>
      <c r="B865" s="19" t="inlineStr">
        <is>
          <t>SC-1012551-ST-054-STD-07</t>
        </is>
      </c>
      <c r="C865" t="inlineStr">
        <is>
          <t>1012551 → ST-054-STD-07</t>
        </is>
      </c>
      <c r="D865" s="19" t="inlineStr">
        <is>
          <t>2</t>
        </is>
      </c>
      <c r="E865" s="19" t="inlineStr">
        <is>
          <t>694</t>
        </is>
      </c>
      <c r="F865" s="19" t="inlineStr">
        <is>
          <t>119</t>
        </is>
      </c>
      <c r="G865" s="19" t="n"/>
      <c r="H865" s="19" t="inlineStr">
        <is>
          <t>2</t>
        </is>
      </c>
      <c r="I865" s="19" t="n"/>
      <c r="J865" s="19" t="n"/>
      <c r="K865" s="19" t="inlineStr">
        <is>
          <t>2</t>
        </is>
      </c>
      <c r="L865" t="inlineStr">
        <is>
          <t>2026-08-08</t>
        </is>
      </c>
      <c r="N865" t="inlineStr">
        <is>
          <t>IN_SCOPE_FINAL; SOURCE_CFG=IA-ST-CFG-0143; MARKET=None; STATUS=IN OEM / EU PACKAGE</t>
        </is>
      </c>
      <c r="O865" t="inlineStr">
        <is>
          <t>2026-08-10T19:29:54Z</t>
        </is>
      </c>
      <c r="P865" t="inlineStr">
        <is>
          <t>2026-08-10T19:29:54Z</t>
        </is>
      </c>
    </row>
    <row r="866">
      <c r="A866" s="19" t="inlineStr">
        <is>
          <t>865</t>
        </is>
      </c>
      <c r="B866" s="19" t="inlineStr">
        <is>
          <t>SC-1012578-ST-054-STD-07</t>
        </is>
      </c>
      <c r="C866" t="inlineStr">
        <is>
          <t>1012578 → ST-054-STD-07</t>
        </is>
      </c>
      <c r="D866" s="19" t="inlineStr">
        <is>
          <t>2</t>
        </is>
      </c>
      <c r="E866" s="19" t="inlineStr">
        <is>
          <t>704</t>
        </is>
      </c>
      <c r="F866" s="19" t="inlineStr">
        <is>
          <t>119</t>
        </is>
      </c>
      <c r="G866" s="19" t="n"/>
      <c r="H866" s="19" t="inlineStr">
        <is>
          <t>2</t>
        </is>
      </c>
      <c r="I866" s="19" t="n"/>
      <c r="J866" s="19" t="n"/>
      <c r="K866" s="19" t="inlineStr">
        <is>
          <t>2</t>
        </is>
      </c>
      <c r="L866" t="inlineStr">
        <is>
          <t>2026-08-08</t>
        </is>
      </c>
      <c r="N866" t="inlineStr">
        <is>
          <t>IN_SCOPE_FINAL; SOURCE_CFG=IA-ST-CFG-0143; MARKET=None; STATUS=IN OEM / EU PACKAGE</t>
        </is>
      </c>
      <c r="O866" t="inlineStr">
        <is>
          <t>2026-08-10T19:29:54Z</t>
        </is>
      </c>
      <c r="P866" t="inlineStr">
        <is>
          <t>2026-08-10T19:29:54Z</t>
        </is>
      </c>
    </row>
    <row r="867">
      <c r="A867" s="19" t="inlineStr">
        <is>
          <t>866</t>
        </is>
      </c>
      <c r="B867" s="19" t="inlineStr">
        <is>
          <t>SC-1012768-ST-054-STD-07</t>
        </is>
      </c>
      <c r="C867" t="inlineStr">
        <is>
          <t>1012768 → ST-054-STD-07</t>
        </is>
      </c>
      <c r="D867" s="19" t="inlineStr">
        <is>
          <t>2</t>
        </is>
      </c>
      <c r="E867" s="19" t="inlineStr">
        <is>
          <t>781</t>
        </is>
      </c>
      <c r="F867" s="19" t="inlineStr">
        <is>
          <t>119</t>
        </is>
      </c>
      <c r="G867" s="19" t="n"/>
      <c r="H867" s="19" t="inlineStr">
        <is>
          <t>2</t>
        </is>
      </c>
      <c r="I867" s="19" t="n"/>
      <c r="J867" s="19" t="n"/>
      <c r="K867" s="19" t="inlineStr">
        <is>
          <t>2</t>
        </is>
      </c>
      <c r="L867" t="inlineStr">
        <is>
          <t>2026-08-08</t>
        </is>
      </c>
      <c r="N867" t="inlineStr">
        <is>
          <t>IN_SCOPE_FINAL; SOURCE_CFG=IA-ST-CFG-0143; MARKET=None; STATUS=IN OEM / EU PACKAGE</t>
        </is>
      </c>
      <c r="O867" t="inlineStr">
        <is>
          <t>2026-08-10T19:29:54Z</t>
        </is>
      </c>
      <c r="P867" t="inlineStr">
        <is>
          <t>2026-08-10T19:29:54Z</t>
        </is>
      </c>
    </row>
    <row r="868">
      <c r="A868" s="19" t="inlineStr">
        <is>
          <t>867</t>
        </is>
      </c>
      <c r="B868" s="19" t="inlineStr">
        <is>
          <t>SC-1012899-ST-054-STD-07</t>
        </is>
      </c>
      <c r="C868" t="inlineStr">
        <is>
          <t>1012899 → ST-054-STD-07</t>
        </is>
      </c>
      <c r="D868" s="19" t="inlineStr">
        <is>
          <t>2</t>
        </is>
      </c>
      <c r="E868" s="19" t="inlineStr">
        <is>
          <t>852</t>
        </is>
      </c>
      <c r="F868" s="19" t="inlineStr">
        <is>
          <t>119</t>
        </is>
      </c>
      <c r="G868" s="19" t="n"/>
      <c r="H868" s="19" t="inlineStr">
        <is>
          <t>2</t>
        </is>
      </c>
      <c r="I868" s="19" t="n"/>
      <c r="J868" s="19" t="n"/>
      <c r="K868" s="19" t="inlineStr">
        <is>
          <t>2</t>
        </is>
      </c>
      <c r="L868" t="inlineStr">
        <is>
          <t>2026-08-08</t>
        </is>
      </c>
      <c r="N868" t="inlineStr">
        <is>
          <t>IN_SCOPE_FINAL; SOURCE_CFG=IA-ST-CFG-0143; MARKET=SHAWKAT; STATUS=IN OEM / EU PACKAGE</t>
        </is>
      </c>
      <c r="O868" t="inlineStr">
        <is>
          <t>2026-08-10T19:29:54Z</t>
        </is>
      </c>
      <c r="P868" t="inlineStr">
        <is>
          <t>2026-08-10T19:29:54Z</t>
        </is>
      </c>
    </row>
    <row r="869">
      <c r="A869" s="19" t="inlineStr">
        <is>
          <t>868</t>
        </is>
      </c>
      <c r="B869" s="19" t="inlineStr">
        <is>
          <t>SC-1012907-ST-054-STD-07</t>
        </is>
      </c>
      <c r="C869" t="inlineStr">
        <is>
          <t>1012907 → ST-054-STD-07</t>
        </is>
      </c>
      <c r="D869" s="19" t="inlineStr">
        <is>
          <t>2</t>
        </is>
      </c>
      <c r="E869" s="19" t="inlineStr">
        <is>
          <t>857</t>
        </is>
      </c>
      <c r="F869" s="19" t="inlineStr">
        <is>
          <t>119</t>
        </is>
      </c>
      <c r="G869" s="19" t="n"/>
      <c r="H869" s="19" t="inlineStr">
        <is>
          <t>2</t>
        </is>
      </c>
      <c r="I869" s="19" t="n"/>
      <c r="J869" s="19" t="n"/>
      <c r="K869" s="19" t="inlineStr">
        <is>
          <t>2</t>
        </is>
      </c>
      <c r="L869" t="inlineStr">
        <is>
          <t>2026-08-08</t>
        </is>
      </c>
      <c r="N869" t="inlineStr">
        <is>
          <t>IN_SCOPE_FINAL; SOURCE_CFG=IA-ST-CFG-0143; MARKET=SHAWKAT; STATUS=IN OEM / EU PACKAGE</t>
        </is>
      </c>
      <c r="O869" t="inlineStr">
        <is>
          <t>2026-08-10T19:29:54Z</t>
        </is>
      </c>
      <c r="P869" t="inlineStr">
        <is>
          <t>2026-08-10T19:29:54Z</t>
        </is>
      </c>
    </row>
    <row r="870">
      <c r="A870" s="19" t="inlineStr">
        <is>
          <t>869</t>
        </is>
      </c>
      <c r="B870" s="19" t="inlineStr">
        <is>
          <t>SC-1012912-ST-054-STD-07</t>
        </is>
      </c>
      <c r="C870" t="inlineStr">
        <is>
          <t>1012912 → ST-054-STD-07</t>
        </is>
      </c>
      <c r="D870" s="19" t="inlineStr">
        <is>
          <t>2</t>
        </is>
      </c>
      <c r="E870" s="19" t="inlineStr">
        <is>
          <t>862</t>
        </is>
      </c>
      <c r="F870" s="19" t="inlineStr">
        <is>
          <t>119</t>
        </is>
      </c>
      <c r="G870" s="19" t="n"/>
      <c r="H870" s="19" t="inlineStr">
        <is>
          <t>2</t>
        </is>
      </c>
      <c r="I870" s="19" t="n"/>
      <c r="J870" s="19" t="n"/>
      <c r="K870" s="19" t="inlineStr">
        <is>
          <t>2</t>
        </is>
      </c>
      <c r="L870" t="inlineStr">
        <is>
          <t>2026-08-08</t>
        </is>
      </c>
      <c r="N870" t="inlineStr">
        <is>
          <t>IN_SCOPE_FINAL; SOURCE_CFG=IA-ST-CFG-0143; MARKET=SHAWKAT; STATUS=IN OEM / EU PACKAGE</t>
        </is>
      </c>
      <c r="O870" t="inlineStr">
        <is>
          <t>2026-08-10T19:29:54Z</t>
        </is>
      </c>
      <c r="P870" t="inlineStr">
        <is>
          <t>2026-08-10T19:29:54Z</t>
        </is>
      </c>
    </row>
    <row r="871">
      <c r="A871" s="19" t="inlineStr">
        <is>
          <t>870</t>
        </is>
      </c>
      <c r="B871" s="19" t="inlineStr">
        <is>
          <t>SC-1012916-ST-054-STD-07</t>
        </is>
      </c>
      <c r="C871" t="inlineStr">
        <is>
          <t>1012916 → ST-054-STD-07</t>
        </is>
      </c>
      <c r="D871" s="19" t="inlineStr">
        <is>
          <t>2</t>
        </is>
      </c>
      <c r="E871" s="19" t="inlineStr">
        <is>
          <t>866</t>
        </is>
      </c>
      <c r="F871" s="19" t="inlineStr">
        <is>
          <t>119</t>
        </is>
      </c>
      <c r="G871" s="19" t="n"/>
      <c r="H871" s="19" t="inlineStr">
        <is>
          <t>2</t>
        </is>
      </c>
      <c r="I871" s="19" t="n"/>
      <c r="J871" s="19" t="n"/>
      <c r="K871" s="19" t="inlineStr">
        <is>
          <t>2</t>
        </is>
      </c>
      <c r="L871" t="inlineStr">
        <is>
          <t>2026-08-08</t>
        </is>
      </c>
      <c r="N871" t="inlineStr">
        <is>
          <t>IN_SCOPE_FINAL; SOURCE_CFG=IA-ST-CFG-0143; MARKET=SHAWKAT; STATUS=IN OEM / EU PACKAGE</t>
        </is>
      </c>
      <c r="O871" t="inlineStr">
        <is>
          <t>2026-08-10T19:29:54Z</t>
        </is>
      </c>
      <c r="P871" t="inlineStr">
        <is>
          <t>2026-08-10T19:29:54Z</t>
        </is>
      </c>
    </row>
    <row r="872">
      <c r="A872" s="19" t="inlineStr">
        <is>
          <t>871</t>
        </is>
      </c>
      <c r="B872" s="19" t="inlineStr">
        <is>
          <t>SC-1012917-ST-054-STD-07</t>
        </is>
      </c>
      <c r="C872" t="inlineStr">
        <is>
          <t>1012917 → ST-054-STD-07</t>
        </is>
      </c>
      <c r="D872" s="19" t="inlineStr">
        <is>
          <t>2</t>
        </is>
      </c>
      <c r="E872" s="19" t="inlineStr">
        <is>
          <t>867</t>
        </is>
      </c>
      <c r="F872" s="19" t="inlineStr">
        <is>
          <t>119</t>
        </is>
      </c>
      <c r="G872" s="19" t="n"/>
      <c r="H872" s="19" t="inlineStr">
        <is>
          <t>2</t>
        </is>
      </c>
      <c r="I872" s="19" t="n"/>
      <c r="J872" s="19" t="n"/>
      <c r="K872" s="19" t="inlineStr">
        <is>
          <t>2</t>
        </is>
      </c>
      <c r="L872" t="inlineStr">
        <is>
          <t>2026-08-08</t>
        </is>
      </c>
      <c r="N872" t="inlineStr">
        <is>
          <t>IN_SCOPE_FINAL; SOURCE_CFG=IA-ST-CFG-0143; MARKET=SHAWKAT; STATUS=IN OEM / EU PACKAGE</t>
        </is>
      </c>
      <c r="O872" t="inlineStr">
        <is>
          <t>2026-08-10T19:29:54Z</t>
        </is>
      </c>
      <c r="P872" t="inlineStr">
        <is>
          <t>2026-08-10T19:29:54Z</t>
        </is>
      </c>
    </row>
    <row r="873">
      <c r="A873" s="19" t="inlineStr">
        <is>
          <t>872</t>
        </is>
      </c>
      <c r="B873" s="19" t="inlineStr">
        <is>
          <t>SC-1012930-ST-054-STD-07</t>
        </is>
      </c>
      <c r="C873" t="inlineStr">
        <is>
          <t>1012930 → ST-054-STD-07</t>
        </is>
      </c>
      <c r="D873" s="19" t="inlineStr">
        <is>
          <t>2</t>
        </is>
      </c>
      <c r="E873" s="19" t="inlineStr">
        <is>
          <t>871</t>
        </is>
      </c>
      <c r="F873" s="19" t="inlineStr">
        <is>
          <t>119</t>
        </is>
      </c>
      <c r="G873" s="19" t="n"/>
      <c r="H873" s="19" t="inlineStr">
        <is>
          <t>2</t>
        </is>
      </c>
      <c r="I873" s="19" t="n"/>
      <c r="J873" s="19" t="n"/>
      <c r="K873" s="19" t="inlineStr">
        <is>
          <t>2</t>
        </is>
      </c>
      <c r="L873" t="inlineStr">
        <is>
          <t>2026-08-08</t>
        </is>
      </c>
      <c r="N873" t="inlineStr">
        <is>
          <t>IN_SCOPE_FINAL; SOURCE_CFG=IA-ST-CFG-0143; MARKET=SHAWKAT; STATUS=IN OEM / EU PACKAGE</t>
        </is>
      </c>
      <c r="O873" t="inlineStr">
        <is>
          <t>2026-08-10T19:29:54Z</t>
        </is>
      </c>
      <c r="P873" t="inlineStr">
        <is>
          <t>2026-08-10T19:29:54Z</t>
        </is>
      </c>
    </row>
    <row r="874">
      <c r="A874" s="19" t="inlineStr">
        <is>
          <t>873</t>
        </is>
      </c>
      <c r="B874" s="19" t="inlineStr">
        <is>
          <t>SC-1013000-ST-054-STD-07</t>
        </is>
      </c>
      <c r="C874" t="inlineStr">
        <is>
          <t>1013000 → ST-054-STD-07</t>
        </is>
      </c>
      <c r="D874" s="19" t="inlineStr">
        <is>
          <t>2</t>
        </is>
      </c>
      <c r="E874" s="19" t="inlineStr">
        <is>
          <t>900</t>
        </is>
      </c>
      <c r="F874" s="19" t="inlineStr">
        <is>
          <t>119</t>
        </is>
      </c>
      <c r="G874" s="19" t="n"/>
      <c r="H874" s="19" t="inlineStr">
        <is>
          <t>2</t>
        </is>
      </c>
      <c r="I874" s="19" t="n"/>
      <c r="J874" s="19" t="n"/>
      <c r="K874" s="19" t="inlineStr">
        <is>
          <t>2</t>
        </is>
      </c>
      <c r="L874" t="inlineStr">
        <is>
          <t>2026-08-08</t>
        </is>
      </c>
      <c r="N874" t="inlineStr">
        <is>
          <t>IN_SCOPE_FINAL; SOURCE_CFG=IA-ST-CFG-0143; MARKET=None; STATUS=IN OEM / EU PACKAGE</t>
        </is>
      </c>
      <c r="O874" t="inlineStr">
        <is>
          <t>2026-08-10T19:29:54Z</t>
        </is>
      </c>
      <c r="P874" t="inlineStr">
        <is>
          <t>2026-08-10T19:29:54Z</t>
        </is>
      </c>
    </row>
    <row r="875">
      <c r="A875" s="19" t="inlineStr">
        <is>
          <t>874</t>
        </is>
      </c>
      <c r="B875" s="19" t="inlineStr">
        <is>
          <t>SC-1013563-ST-054-STD-07</t>
        </is>
      </c>
      <c r="C875" t="inlineStr">
        <is>
          <t>1013563 → ST-054-STD-07</t>
        </is>
      </c>
      <c r="D875" s="19" t="inlineStr">
        <is>
          <t>2</t>
        </is>
      </c>
      <c r="E875" s="19" t="inlineStr">
        <is>
          <t>1033</t>
        </is>
      </c>
      <c r="F875" s="19" t="inlineStr">
        <is>
          <t>119</t>
        </is>
      </c>
      <c r="G875" s="19" t="n"/>
      <c r="H875" s="19" t="inlineStr">
        <is>
          <t>2</t>
        </is>
      </c>
      <c r="I875" s="19" t="n"/>
      <c r="J875" s="19" t="n"/>
      <c r="K875" s="19" t="inlineStr">
        <is>
          <t>2</t>
        </is>
      </c>
      <c r="L875" t="inlineStr">
        <is>
          <t>2026-08-08</t>
        </is>
      </c>
      <c r="N875" t="inlineStr">
        <is>
          <t>IN_SCOPE_FINAL; SOURCE_CFG=IA-ST-CFG-0143; MARKET=DOMİNİK CUM.PERFORMANCE BATT.; STATUS=IN OEM / EU PACKAGE</t>
        </is>
      </c>
      <c r="O875" t="inlineStr">
        <is>
          <t>2026-08-10T19:29:54Z</t>
        </is>
      </c>
      <c r="P875" t="inlineStr">
        <is>
          <t>2026-08-10T19:29:54Z</t>
        </is>
      </c>
    </row>
    <row r="876">
      <c r="A876" s="19" t="inlineStr">
        <is>
          <t>875</t>
        </is>
      </c>
      <c r="B876" s="19" t="inlineStr">
        <is>
          <t>SC-1014117-ST-054-STD-07</t>
        </is>
      </c>
      <c r="C876" t="inlineStr">
        <is>
          <t>1014117 → ST-054-STD-07</t>
        </is>
      </c>
      <c r="D876" s="19" t="inlineStr">
        <is>
          <t>2</t>
        </is>
      </c>
      <c r="E876" s="19" t="inlineStr">
        <is>
          <t>1224</t>
        </is>
      </c>
      <c r="F876" s="19" t="inlineStr">
        <is>
          <t>119</t>
        </is>
      </c>
      <c r="G876" s="19" t="n"/>
      <c r="H876" s="19" t="inlineStr">
        <is>
          <t>2</t>
        </is>
      </c>
      <c r="I876" s="19" t="n"/>
      <c r="J876" s="19" t="n"/>
      <c r="K876" s="19" t="inlineStr">
        <is>
          <t>2</t>
        </is>
      </c>
      <c r="L876" t="inlineStr">
        <is>
          <t>2026-08-08</t>
        </is>
      </c>
      <c r="N876" t="inlineStr">
        <is>
          <t>IN_SCOPE_FINAL; SOURCE_CFG=IA-ST-CFG-0143; MARKET=None; STATUS=IN OEM / EU PACKAGE</t>
        </is>
      </c>
      <c r="O876" t="inlineStr">
        <is>
          <t>2026-08-10T19:29:54Z</t>
        </is>
      </c>
      <c r="P876" t="inlineStr">
        <is>
          <t>2026-08-10T19:29:54Z</t>
        </is>
      </c>
    </row>
    <row r="877">
      <c r="A877" s="19" t="inlineStr">
        <is>
          <t>876</t>
        </is>
      </c>
      <c r="B877" s="19" t="inlineStr">
        <is>
          <t>SC-1014345-ST-054-STD-07</t>
        </is>
      </c>
      <c r="C877" t="inlineStr">
        <is>
          <t>1014345 → ST-054-STD-07</t>
        </is>
      </c>
      <c r="D877" s="19" t="inlineStr">
        <is>
          <t>2</t>
        </is>
      </c>
      <c r="E877" s="19" t="inlineStr">
        <is>
          <t>1313</t>
        </is>
      </c>
      <c r="F877" s="19" t="inlineStr">
        <is>
          <t>119</t>
        </is>
      </c>
      <c r="G877" s="19" t="n"/>
      <c r="H877" s="19" t="inlineStr">
        <is>
          <t>2</t>
        </is>
      </c>
      <c r="I877" s="19" t="n"/>
      <c r="J877" s="19" t="n"/>
      <c r="K877" s="19" t="inlineStr">
        <is>
          <t>2</t>
        </is>
      </c>
      <c r="L877" t="inlineStr">
        <is>
          <t>2026-08-08</t>
        </is>
      </c>
      <c r="N877" t="inlineStr">
        <is>
          <t>IN_SCOPE_FINAL; SOURCE_CFG=IA-ST-CFG-0143; MARKET=MISIR ALSAFA; STATUS=IN OEM / EU PACKAGE</t>
        </is>
      </c>
      <c r="O877" t="inlineStr">
        <is>
          <t>2026-08-10T19:29:54Z</t>
        </is>
      </c>
      <c r="P877" t="inlineStr">
        <is>
          <t>2026-08-10T19:29:54Z</t>
        </is>
      </c>
    </row>
    <row r="878">
      <c r="A878" s="19" t="inlineStr">
        <is>
          <t>877</t>
        </is>
      </c>
      <c r="B878" s="19" t="inlineStr">
        <is>
          <t>SC-1014614-ST-054-STD-07</t>
        </is>
      </c>
      <c r="C878" t="inlineStr">
        <is>
          <t>1014614 → ST-054-STD-07</t>
        </is>
      </c>
      <c r="D878" s="19" t="inlineStr">
        <is>
          <t>2</t>
        </is>
      </c>
      <c r="E878" s="19" t="inlineStr">
        <is>
          <t>1490</t>
        </is>
      </c>
      <c r="F878" s="19" t="inlineStr">
        <is>
          <t>119</t>
        </is>
      </c>
      <c r="G878" s="19" t="n"/>
      <c r="H878" s="19" t="inlineStr">
        <is>
          <t>2</t>
        </is>
      </c>
      <c r="I878" s="19" t="n"/>
      <c r="J878" s="19" t="n"/>
      <c r="K878" s="19" t="inlineStr">
        <is>
          <t>2</t>
        </is>
      </c>
      <c r="L878" t="inlineStr">
        <is>
          <t>2026-08-08</t>
        </is>
      </c>
      <c r="N878" t="inlineStr">
        <is>
          <t>IN_SCOPE_FINAL; SOURCE_CFG=IA-ST-CFG-0143; MARKET=MISIR ALSAFA; STATUS=IN OEM / EU PACKAGE</t>
        </is>
      </c>
      <c r="O878" t="inlineStr">
        <is>
          <t>2026-08-10T19:29:54Z</t>
        </is>
      </c>
      <c r="P878" t="inlineStr">
        <is>
          <t>2026-08-10T19:29:54Z</t>
        </is>
      </c>
    </row>
    <row r="879">
      <c r="A879" s="19" t="inlineStr">
        <is>
          <t>878</t>
        </is>
      </c>
      <c r="B879" s="19" t="inlineStr">
        <is>
          <t>SC-1014729-ST-054-STD-07</t>
        </is>
      </c>
      <c r="C879" t="inlineStr">
        <is>
          <t>1014729 → ST-054-STD-07</t>
        </is>
      </c>
      <c r="D879" s="19" t="inlineStr">
        <is>
          <t>2</t>
        </is>
      </c>
      <c r="E879" s="19" t="inlineStr">
        <is>
          <t>1568</t>
        </is>
      </c>
      <c r="F879" s="19" t="inlineStr">
        <is>
          <t>119</t>
        </is>
      </c>
      <c r="G879" s="19" t="n"/>
      <c r="H879" s="19" t="inlineStr">
        <is>
          <t>2</t>
        </is>
      </c>
      <c r="I879" s="19" t="n"/>
      <c r="J879" s="19" t="n"/>
      <c r="K879" s="19" t="inlineStr">
        <is>
          <t>2</t>
        </is>
      </c>
      <c r="L879" t="inlineStr">
        <is>
          <t>2026-08-08</t>
        </is>
      </c>
      <c r="N879" t="inlineStr">
        <is>
          <t>IN_SCOPE_FINAL; SOURCE_CFG=IA-ST-CFG-0143; MARKET=None; STATUS=IN OEM / EU PACKAGE</t>
        </is>
      </c>
      <c r="O879" t="inlineStr">
        <is>
          <t>2026-08-10T19:29:54Z</t>
        </is>
      </c>
      <c r="P879" t="inlineStr">
        <is>
          <t>2026-08-10T19:29:54Z</t>
        </is>
      </c>
    </row>
    <row r="880">
      <c r="A880" s="19" t="inlineStr">
        <is>
          <t>879</t>
        </is>
      </c>
      <c r="B880" s="19" t="inlineStr">
        <is>
          <t>SC-1014741-ST-054-STD-07</t>
        </is>
      </c>
      <c r="C880" t="inlineStr">
        <is>
          <t>1014741 → ST-054-STD-07</t>
        </is>
      </c>
      <c r="D880" s="19" t="inlineStr">
        <is>
          <t>2</t>
        </is>
      </c>
      <c r="E880" s="19" t="inlineStr">
        <is>
          <t>1575</t>
        </is>
      </c>
      <c r="F880" s="19" t="inlineStr">
        <is>
          <t>119</t>
        </is>
      </c>
      <c r="G880" s="19" t="n"/>
      <c r="H880" s="19" t="inlineStr">
        <is>
          <t>2</t>
        </is>
      </c>
      <c r="I880" s="19" t="n"/>
      <c r="J880" s="19" t="n"/>
      <c r="K880" s="19" t="inlineStr">
        <is>
          <t>2</t>
        </is>
      </c>
      <c r="L880" t="inlineStr">
        <is>
          <t>2026-08-08</t>
        </is>
      </c>
      <c r="N880" t="inlineStr">
        <is>
          <t>IN_SCOPE_FINAL; SOURCE_CFG=IA-ST-CFG-0143; MARKET=ARCOBALENO-GANA; STATUS=IN OEM / EU PACKAGE</t>
        </is>
      </c>
      <c r="O880" t="inlineStr">
        <is>
          <t>2026-08-10T19:29:54Z</t>
        </is>
      </c>
      <c r="P880" t="inlineStr">
        <is>
          <t>2026-08-10T19:29:54Z</t>
        </is>
      </c>
    </row>
    <row r="881">
      <c r="A881" s="19" t="inlineStr">
        <is>
          <t>880</t>
        </is>
      </c>
      <c r="B881" s="19" t="inlineStr">
        <is>
          <t>SC-1014803-ST-054-STD-07</t>
        </is>
      </c>
      <c r="C881" t="inlineStr">
        <is>
          <t>1014803 → ST-054-STD-07</t>
        </is>
      </c>
      <c r="D881" s="19" t="inlineStr">
        <is>
          <t>2</t>
        </is>
      </c>
      <c r="E881" s="19" t="inlineStr">
        <is>
          <t>1618</t>
        </is>
      </c>
      <c r="F881" s="19" t="inlineStr">
        <is>
          <t>119</t>
        </is>
      </c>
      <c r="G881" s="19" t="n"/>
      <c r="H881" s="19" t="inlineStr">
        <is>
          <t>2</t>
        </is>
      </c>
      <c r="I881" s="19" t="n"/>
      <c r="J881" s="19" t="n"/>
      <c r="K881" s="19" t="inlineStr">
        <is>
          <t>2</t>
        </is>
      </c>
      <c r="L881" t="inlineStr">
        <is>
          <t>2026-08-08</t>
        </is>
      </c>
      <c r="N881" t="inlineStr">
        <is>
          <t>IN_SCOPE_FINAL; SOURCE_CFG=IA-ST-CFG-0143; MARKET=ALONSA ELEC.GULF FZCO (DUBAI); STATUS=IN OEM / EU PACKAGE</t>
        </is>
      </c>
      <c r="O881" t="inlineStr">
        <is>
          <t>2026-08-10T19:29:54Z</t>
        </is>
      </c>
      <c r="P881" t="inlineStr">
        <is>
          <t>2026-08-10T19:29:54Z</t>
        </is>
      </c>
    </row>
    <row r="882">
      <c r="A882" s="19" t="inlineStr">
        <is>
          <t>881</t>
        </is>
      </c>
      <c r="B882" s="19" t="inlineStr">
        <is>
          <t>SC-1014917-ST-054-STD-07</t>
        </is>
      </c>
      <c r="C882" t="inlineStr">
        <is>
          <t>1014917 → ST-054-STD-07</t>
        </is>
      </c>
      <c r="D882" s="19" t="inlineStr">
        <is>
          <t>2</t>
        </is>
      </c>
      <c r="E882" s="19" t="inlineStr">
        <is>
          <t>1685</t>
        </is>
      </c>
      <c r="F882" s="19" t="inlineStr">
        <is>
          <t>119</t>
        </is>
      </c>
      <c r="G882" s="19" t="n"/>
      <c r="H882" s="19" t="inlineStr">
        <is>
          <t>2</t>
        </is>
      </c>
      <c r="I882" s="19" t="n"/>
      <c r="J882" s="19" t="n"/>
      <c r="K882" s="19" t="inlineStr">
        <is>
          <t>2</t>
        </is>
      </c>
      <c r="L882" t="inlineStr">
        <is>
          <t>2026-08-08</t>
        </is>
      </c>
      <c r="N882" t="inlineStr">
        <is>
          <t>IN_SCOPE_FINAL; SOURCE_CFG=IA-ST-CFG-0143; MARKET=ARCOBALENO-GANA; STATUS=IN OEM / EU PACKAGE</t>
        </is>
      </c>
      <c r="O882" t="inlineStr">
        <is>
          <t>2026-08-10T19:29:54Z</t>
        </is>
      </c>
      <c r="P882" t="inlineStr">
        <is>
          <t>2026-08-10T19:29:54Z</t>
        </is>
      </c>
    </row>
    <row r="883">
      <c r="A883" s="19" t="inlineStr">
        <is>
          <t>882</t>
        </is>
      </c>
      <c r="B883" s="19" t="inlineStr">
        <is>
          <t>SC-1014940-ST-054-STD-07</t>
        </is>
      </c>
      <c r="C883" t="inlineStr">
        <is>
          <t>1014940 → ST-054-STD-07</t>
        </is>
      </c>
      <c r="D883" s="19" t="inlineStr">
        <is>
          <t>2</t>
        </is>
      </c>
      <c r="E883" s="19" t="inlineStr">
        <is>
          <t>1708</t>
        </is>
      </c>
      <c r="F883" s="19" t="inlineStr">
        <is>
          <t>119</t>
        </is>
      </c>
      <c r="G883" s="19" t="n"/>
      <c r="H883" s="19" t="inlineStr">
        <is>
          <t>2</t>
        </is>
      </c>
      <c r="I883" s="19" t="n"/>
      <c r="J883" s="19" t="n"/>
      <c r="K883" s="19" t="inlineStr">
        <is>
          <t>2</t>
        </is>
      </c>
      <c r="L883" t="inlineStr">
        <is>
          <t>2026-08-08</t>
        </is>
      </c>
      <c r="N883" t="inlineStr">
        <is>
          <t>IN_SCOPE_FINAL; SOURCE_CFG=IA-ST-CFG-0143; MARKET=MULTISERVICIOSGOODWHEVENEZUELA; STATUS=IN OEM / EU PACKAGE</t>
        </is>
      </c>
      <c r="O883" t="inlineStr">
        <is>
          <t>2026-08-10T19:29:54Z</t>
        </is>
      </c>
      <c r="P883" t="inlineStr">
        <is>
          <t>2026-08-10T19:29:54Z</t>
        </is>
      </c>
    </row>
    <row r="884">
      <c r="A884" s="19" t="inlineStr">
        <is>
          <t>883</t>
        </is>
      </c>
      <c r="B884" s="19" t="inlineStr">
        <is>
          <t>SC-1015017-ST-054-STD-07</t>
        </is>
      </c>
      <c r="C884" t="inlineStr">
        <is>
          <t>1015017 → ST-054-STD-07</t>
        </is>
      </c>
      <c r="D884" s="19" t="inlineStr">
        <is>
          <t>2</t>
        </is>
      </c>
      <c r="E884" s="19" t="inlineStr">
        <is>
          <t>1777</t>
        </is>
      </c>
      <c r="F884" s="19" t="inlineStr">
        <is>
          <t>119</t>
        </is>
      </c>
      <c r="G884" s="19" t="n"/>
      <c r="H884" s="19" t="inlineStr">
        <is>
          <t>2</t>
        </is>
      </c>
      <c r="I884" s="19" t="n"/>
      <c r="J884" s="19" t="n"/>
      <c r="K884" s="19" t="inlineStr">
        <is>
          <t>2</t>
        </is>
      </c>
      <c r="L884" t="inlineStr">
        <is>
          <t>2026-08-08</t>
        </is>
      </c>
      <c r="N884" t="inlineStr">
        <is>
          <t>IN_SCOPE_FINAL; SOURCE_CFG=IA-ST-CFG-0143; MARKET=TÜRKMENİSTAN; STATUS=IN OEM / EU PACKAGE</t>
        </is>
      </c>
      <c r="O884" t="inlineStr">
        <is>
          <t>2026-08-10T19:29:54Z</t>
        </is>
      </c>
      <c r="P884" t="inlineStr">
        <is>
          <t>2026-08-10T19:29:54Z</t>
        </is>
      </c>
    </row>
    <row r="885">
      <c r="A885" s="19" t="inlineStr">
        <is>
          <t>884</t>
        </is>
      </c>
      <c r="B885" s="19" t="inlineStr">
        <is>
          <t>SC-1015021-ST-054-STD-07</t>
        </is>
      </c>
      <c r="C885" t="inlineStr">
        <is>
          <t>1015021 → ST-054-STD-07</t>
        </is>
      </c>
      <c r="D885" s="19" t="inlineStr">
        <is>
          <t>2</t>
        </is>
      </c>
      <c r="E885" s="19" t="inlineStr">
        <is>
          <t>1781</t>
        </is>
      </c>
      <c r="F885" s="19" t="inlineStr">
        <is>
          <t>119</t>
        </is>
      </c>
      <c r="G885" s="19" t="n"/>
      <c r="H885" s="19" t="inlineStr">
        <is>
          <t>2</t>
        </is>
      </c>
      <c r="I885" s="19" t="n"/>
      <c r="J885" s="19" t="n"/>
      <c r="K885" s="19" t="inlineStr">
        <is>
          <t>2</t>
        </is>
      </c>
      <c r="L885" t="inlineStr">
        <is>
          <t>2026-08-08</t>
        </is>
      </c>
      <c r="N885" t="inlineStr">
        <is>
          <t>IN_SCOPE_FINAL; SOURCE_CFG=IA-ST-CFG-0143; MARKET=TÜRKMENİSTAN; STATUS=IN OEM / EU PACKAGE</t>
        </is>
      </c>
      <c r="O885" t="inlineStr">
        <is>
          <t>2026-08-10T19:29:54Z</t>
        </is>
      </c>
      <c r="P885" t="inlineStr">
        <is>
          <t>2026-08-10T19:29:54Z</t>
        </is>
      </c>
    </row>
    <row r="886">
      <c r="A886" s="19" t="inlineStr">
        <is>
          <t>885</t>
        </is>
      </c>
      <c r="B886" s="19" t="inlineStr">
        <is>
          <t>SC-1015128-ST-054-STD-07</t>
        </is>
      </c>
      <c r="C886" t="inlineStr">
        <is>
          <t>1015128 → ST-054-STD-07</t>
        </is>
      </c>
      <c r="D886" s="19" t="inlineStr">
        <is>
          <t>2</t>
        </is>
      </c>
      <c r="E886" s="19" t="inlineStr">
        <is>
          <t>1877</t>
        </is>
      </c>
      <c r="F886" s="19" t="inlineStr">
        <is>
          <t>119</t>
        </is>
      </c>
      <c r="G886" s="19" t="n"/>
      <c r="H886" s="19" t="inlineStr">
        <is>
          <t>2</t>
        </is>
      </c>
      <c r="I886" s="19" t="n"/>
      <c r="J886" s="19" t="n"/>
      <c r="K886" s="19" t="inlineStr">
        <is>
          <t>2</t>
        </is>
      </c>
      <c r="L886" t="inlineStr">
        <is>
          <t>2026-08-08</t>
        </is>
      </c>
      <c r="N886" t="inlineStr">
        <is>
          <t>IN_SCOPE_FINAL; SOURCE_CFG=IA-ST-CFG-0143; MARKET=AWAEL S.A.R.L. (LÜBNAN); STATUS=IN OEM / EU PACKAGE</t>
        </is>
      </c>
      <c r="O886" t="inlineStr">
        <is>
          <t>2026-08-10T19:29:54Z</t>
        </is>
      </c>
      <c r="P886" t="inlineStr">
        <is>
          <t>2026-08-10T19:29:54Z</t>
        </is>
      </c>
    </row>
    <row r="887">
      <c r="A887" s="19" t="inlineStr">
        <is>
          <t>886</t>
        </is>
      </c>
      <c r="B887" s="19" t="inlineStr">
        <is>
          <t>SC-1015142-ST-054-STD-07</t>
        </is>
      </c>
      <c r="C887" t="inlineStr">
        <is>
          <t>1015142 → ST-054-STD-07</t>
        </is>
      </c>
      <c r="D887" s="19" t="inlineStr">
        <is>
          <t>2</t>
        </is>
      </c>
      <c r="E887" s="19" t="inlineStr">
        <is>
          <t>1891</t>
        </is>
      </c>
      <c r="F887" s="19" t="inlineStr">
        <is>
          <t>119</t>
        </is>
      </c>
      <c r="G887" s="19" t="n"/>
      <c r="H887" s="19" t="inlineStr">
        <is>
          <t>2</t>
        </is>
      </c>
      <c r="I887" s="19" t="n"/>
      <c r="J887" s="19" t="n"/>
      <c r="K887" s="19" t="inlineStr">
        <is>
          <t>2</t>
        </is>
      </c>
      <c r="L887" t="inlineStr">
        <is>
          <t>2026-08-08</t>
        </is>
      </c>
      <c r="N887" t="inlineStr">
        <is>
          <t>IN_SCOPE_FINAL; SOURCE_CFG=IA-ST-CFG-0143; MARKET=None; STATUS=IN OEM / EU PACKAGE</t>
        </is>
      </c>
      <c r="O887" t="inlineStr">
        <is>
          <t>2026-08-10T19:29:54Z</t>
        </is>
      </c>
      <c r="P887" t="inlineStr">
        <is>
          <t>2026-08-10T19:29:54Z</t>
        </is>
      </c>
    </row>
    <row r="888">
      <c r="A888" s="19" t="inlineStr">
        <is>
          <t>887</t>
        </is>
      </c>
      <c r="B888" s="19" t="inlineStr">
        <is>
          <t>SC-1015143-ST-054-STD-07</t>
        </is>
      </c>
      <c r="C888" t="inlineStr">
        <is>
          <t>1015143 → ST-054-STD-07</t>
        </is>
      </c>
      <c r="D888" s="19" t="inlineStr">
        <is>
          <t>2</t>
        </is>
      </c>
      <c r="E888" s="19" t="inlineStr">
        <is>
          <t>1892</t>
        </is>
      </c>
      <c r="F888" s="19" t="inlineStr">
        <is>
          <t>119</t>
        </is>
      </c>
      <c r="G888" s="19" t="n"/>
      <c r="H888" s="19" t="inlineStr">
        <is>
          <t>2</t>
        </is>
      </c>
      <c r="I888" s="19" t="n"/>
      <c r="J888" s="19" t="n"/>
      <c r="K888" s="19" t="inlineStr">
        <is>
          <t>2</t>
        </is>
      </c>
      <c r="L888" t="inlineStr">
        <is>
          <t>2026-08-08</t>
        </is>
      </c>
      <c r="N888" t="inlineStr">
        <is>
          <t>IN_SCOPE_FINAL; SOURCE_CFG=IA-ST-CFG-0143; MARKET=None; STATUS=IN OEM / EU PACKAGE</t>
        </is>
      </c>
      <c r="O888" t="inlineStr">
        <is>
          <t>2026-08-10T19:29:54Z</t>
        </is>
      </c>
      <c r="P888" t="inlineStr">
        <is>
          <t>2026-08-10T19:29:54Z</t>
        </is>
      </c>
    </row>
    <row r="889">
      <c r="A889" s="19" t="inlineStr">
        <is>
          <t>888</t>
        </is>
      </c>
      <c r="B889" s="19" t="inlineStr">
        <is>
          <t>SC-1015144-ST-054-STD-07</t>
        </is>
      </c>
      <c r="C889" t="inlineStr">
        <is>
          <t>1015144 → ST-054-STD-07</t>
        </is>
      </c>
      <c r="D889" s="19" t="inlineStr">
        <is>
          <t>2</t>
        </is>
      </c>
      <c r="E889" s="19" t="inlineStr">
        <is>
          <t>1893</t>
        </is>
      </c>
      <c r="F889" s="19" t="inlineStr">
        <is>
          <t>119</t>
        </is>
      </c>
      <c r="G889" s="19" t="n"/>
      <c r="H889" s="19" t="inlineStr">
        <is>
          <t>2</t>
        </is>
      </c>
      <c r="I889" s="19" t="n"/>
      <c r="J889" s="19" t="n"/>
      <c r="K889" s="19" t="inlineStr">
        <is>
          <t>2</t>
        </is>
      </c>
      <c r="L889" t="inlineStr">
        <is>
          <t>2026-08-08</t>
        </is>
      </c>
      <c r="N889" t="inlineStr">
        <is>
          <t>IN_SCOPE_FINAL; SOURCE_CFG=IA-ST-CFG-0143; MARKET=None; STATUS=IN OEM / EU PACKAGE</t>
        </is>
      </c>
      <c r="O889" t="inlineStr">
        <is>
          <t>2026-08-10T19:29:54Z</t>
        </is>
      </c>
      <c r="P889" t="inlineStr">
        <is>
          <t>2026-08-10T19:29:54Z</t>
        </is>
      </c>
    </row>
    <row r="890">
      <c r="A890" s="19" t="inlineStr">
        <is>
          <t>889</t>
        </is>
      </c>
      <c r="B890" s="19" t="inlineStr">
        <is>
          <t>SC-1015272-ST-054-STD-07</t>
        </is>
      </c>
      <c r="C890" t="inlineStr">
        <is>
          <t>1015272 → ST-054-STD-07</t>
        </is>
      </c>
      <c r="D890" s="19" t="inlineStr">
        <is>
          <t>2</t>
        </is>
      </c>
      <c r="E890" s="19" t="inlineStr">
        <is>
          <t>2005</t>
        </is>
      </c>
      <c r="F890" s="19" t="inlineStr">
        <is>
          <t>119</t>
        </is>
      </c>
      <c r="G890" s="19" t="n"/>
      <c r="H890" s="19" t="inlineStr">
        <is>
          <t>2</t>
        </is>
      </c>
      <c r="I890" s="19" t="n"/>
      <c r="J890" s="19" t="n"/>
      <c r="K890" s="19" t="inlineStr">
        <is>
          <t>2</t>
        </is>
      </c>
      <c r="L890" t="inlineStr">
        <is>
          <t>2026-08-08</t>
        </is>
      </c>
      <c r="N890" t="inlineStr">
        <is>
          <t>IN_SCOPE_FINAL; SOURCE_CFG=IA-ST-CFG-0143; MARKET=REDMAY URUGUAY; STATUS=IN OEM / EU PACKAGE</t>
        </is>
      </c>
      <c r="O890" t="inlineStr">
        <is>
          <t>2026-08-10T19:29:54Z</t>
        </is>
      </c>
      <c r="P890" t="inlineStr">
        <is>
          <t>2026-08-10T19:29:54Z</t>
        </is>
      </c>
    </row>
    <row r="891">
      <c r="A891" s="19" t="inlineStr">
        <is>
          <t>890</t>
        </is>
      </c>
      <c r="B891" s="19" t="inlineStr">
        <is>
          <t>SC-1015282-ST-054-STD-07</t>
        </is>
      </c>
      <c r="C891" t="inlineStr">
        <is>
          <t>1015282 → ST-054-STD-07</t>
        </is>
      </c>
      <c r="D891" s="19" t="inlineStr">
        <is>
          <t>2</t>
        </is>
      </c>
      <c r="E891" s="19" t="inlineStr">
        <is>
          <t>2015</t>
        </is>
      </c>
      <c r="F891" s="19" t="inlineStr">
        <is>
          <t>119</t>
        </is>
      </c>
      <c r="G891" s="19" t="n"/>
      <c r="H891" s="19" t="inlineStr">
        <is>
          <t>2</t>
        </is>
      </c>
      <c r="I891" s="19" t="n"/>
      <c r="J891" s="19" t="n"/>
      <c r="K891" s="19" t="inlineStr">
        <is>
          <t>2</t>
        </is>
      </c>
      <c r="L891" t="inlineStr">
        <is>
          <t>2026-08-08</t>
        </is>
      </c>
      <c r="N891" t="inlineStr">
        <is>
          <t>IN_SCOPE_FINAL; SOURCE_CFG=IA-ST-CFG-0143; MARKET=TÜRKMENİSTAN; STATUS=IN OEM / EU PACKAGE</t>
        </is>
      </c>
      <c r="O891" t="inlineStr">
        <is>
          <t>2026-08-10T19:29:54Z</t>
        </is>
      </c>
      <c r="P891" t="inlineStr">
        <is>
          <t>2026-08-10T19:29:54Z</t>
        </is>
      </c>
    </row>
    <row r="892">
      <c r="A892" s="19" t="inlineStr">
        <is>
          <t>891</t>
        </is>
      </c>
      <c r="B892" s="19" t="inlineStr">
        <is>
          <t>SC-1015283-ST-054-STD-07</t>
        </is>
      </c>
      <c r="C892" t="inlineStr">
        <is>
          <t>1015283 → ST-054-STD-07</t>
        </is>
      </c>
      <c r="D892" s="19" t="inlineStr">
        <is>
          <t>2</t>
        </is>
      </c>
      <c r="E892" s="19" t="inlineStr">
        <is>
          <t>2016</t>
        </is>
      </c>
      <c r="F892" s="19" t="inlineStr">
        <is>
          <t>119</t>
        </is>
      </c>
      <c r="G892" s="19" t="n"/>
      <c r="H892" s="19" t="inlineStr">
        <is>
          <t>2</t>
        </is>
      </c>
      <c r="I892" s="19" t="n"/>
      <c r="J892" s="19" t="n"/>
      <c r="K892" s="19" t="inlineStr">
        <is>
          <t>2</t>
        </is>
      </c>
      <c r="L892" t="inlineStr">
        <is>
          <t>2026-08-08</t>
        </is>
      </c>
      <c r="N892" t="inlineStr">
        <is>
          <t>IN_SCOPE_FINAL; SOURCE_CFG=IA-ST-CFG-0143; MARKET=TÜRKMENİSTAN; STATUS=IN OEM / EU PACKAGE</t>
        </is>
      </c>
      <c r="O892" t="inlineStr">
        <is>
          <t>2026-08-10T19:29:54Z</t>
        </is>
      </c>
      <c r="P892" t="inlineStr">
        <is>
          <t>2026-08-10T19:29:54Z</t>
        </is>
      </c>
    </row>
    <row r="893">
      <c r="A893" s="19" t="inlineStr">
        <is>
          <t>892</t>
        </is>
      </c>
      <c r="B893" s="19" t="inlineStr">
        <is>
          <t>SC-1015321-ST-054-STD-07</t>
        </is>
      </c>
      <c r="C893" t="inlineStr">
        <is>
          <t>1015321 → ST-054-STD-07</t>
        </is>
      </c>
      <c r="D893" s="19" t="inlineStr">
        <is>
          <t>2</t>
        </is>
      </c>
      <c r="E893" s="19" t="inlineStr">
        <is>
          <t>2042</t>
        </is>
      </c>
      <c r="F893" s="19" t="inlineStr">
        <is>
          <t>119</t>
        </is>
      </c>
      <c r="G893" s="19" t="n"/>
      <c r="H893" s="19" t="inlineStr">
        <is>
          <t>2</t>
        </is>
      </c>
      <c r="I893" s="19" t="n"/>
      <c r="J893" s="19" t="n"/>
      <c r="K893" s="19" t="inlineStr">
        <is>
          <t>2</t>
        </is>
      </c>
      <c r="L893" t="inlineStr">
        <is>
          <t>2026-08-08</t>
        </is>
      </c>
      <c r="N893" t="inlineStr">
        <is>
          <t>IN_SCOPE_FINAL; SOURCE_CFG=IA-ST-CFG-0143; MARKET=TÜRKMENİSTAN; STATUS=IN OEM / EU PACKAGE</t>
        </is>
      </c>
      <c r="O893" t="inlineStr">
        <is>
          <t>2026-08-10T19:29:54Z</t>
        </is>
      </c>
      <c r="P893" t="inlineStr">
        <is>
          <t>2026-08-10T19:29:54Z</t>
        </is>
      </c>
    </row>
    <row r="894">
      <c r="A894" s="19" t="inlineStr">
        <is>
          <t>893</t>
        </is>
      </c>
      <c r="B894" s="19" t="inlineStr">
        <is>
          <t>SC-1012787-ST-054-STD-07</t>
        </is>
      </c>
      <c r="C894" t="inlineStr">
        <is>
          <t>1012787 → ST-054-STD-07</t>
        </is>
      </c>
      <c r="D894" s="19" t="inlineStr">
        <is>
          <t>2</t>
        </is>
      </c>
      <c r="E894" s="19" t="inlineStr">
        <is>
          <t>787</t>
        </is>
      </c>
      <c r="F894" s="19" t="inlineStr">
        <is>
          <t>119</t>
        </is>
      </c>
      <c r="G894" s="19" t="n"/>
      <c r="H894" s="19" t="inlineStr">
        <is>
          <t>2</t>
        </is>
      </c>
      <c r="I894" s="19" t="n"/>
      <c r="J894" s="19" t="n"/>
      <c r="K894" s="19" t="inlineStr">
        <is>
          <t>2</t>
        </is>
      </c>
      <c r="L894" t="inlineStr">
        <is>
          <t>2026-08-08</t>
        </is>
      </c>
      <c r="N894" t="inlineStr">
        <is>
          <t>IN_SCOPE_FINAL; SOURCE_CFG=IA-ST-CFG-0143; MARKET=HATTAT (Yurt İçi); STATUS=IN OEM / EU PACKAGE</t>
        </is>
      </c>
      <c r="O894" t="inlineStr">
        <is>
          <t>2026-08-10T19:29:54Z</t>
        </is>
      </c>
      <c r="P894" t="inlineStr">
        <is>
          <t>2026-08-10T19:29:54Z</t>
        </is>
      </c>
    </row>
    <row r="895">
      <c r="A895" s="19" t="inlineStr">
        <is>
          <t>894</t>
        </is>
      </c>
      <c r="B895" s="19" t="inlineStr">
        <is>
          <t>SC-1012822-ST-054-STD-07</t>
        </is>
      </c>
      <c r="C895" t="inlineStr">
        <is>
          <t>1012822 → ST-054-STD-07</t>
        </is>
      </c>
      <c r="D895" s="19" t="inlineStr">
        <is>
          <t>2</t>
        </is>
      </c>
      <c r="E895" s="19" t="inlineStr">
        <is>
          <t>797</t>
        </is>
      </c>
      <c r="F895" s="19" t="inlineStr">
        <is>
          <t>119</t>
        </is>
      </c>
      <c r="G895" s="19" t="n"/>
      <c r="H895" s="19" t="inlineStr">
        <is>
          <t>2</t>
        </is>
      </c>
      <c r="I895" s="19" t="n"/>
      <c r="J895" s="19" t="n"/>
      <c r="K895" s="19" t="inlineStr">
        <is>
          <t>2</t>
        </is>
      </c>
      <c r="L895" t="inlineStr">
        <is>
          <t>2026-08-08</t>
        </is>
      </c>
      <c r="N895" t="inlineStr">
        <is>
          <t>IN_SCOPE_FINAL; SOURCE_CFG=IA-ST-CFG-0143; MARKET=ISUZU (Yurt İçi); STATUS=IN OEM / EU PACKAGE</t>
        </is>
      </c>
      <c r="O895" t="inlineStr">
        <is>
          <t>2026-08-10T19:29:54Z</t>
        </is>
      </c>
      <c r="P895" t="inlineStr">
        <is>
          <t>2026-08-10T19:29:54Z</t>
        </is>
      </c>
    </row>
    <row r="896">
      <c r="A896" s="19" t="inlineStr">
        <is>
          <t>895</t>
        </is>
      </c>
      <c r="B896" s="19" t="inlineStr">
        <is>
          <t>SC-1014918-ST-054-STD-07</t>
        </is>
      </c>
      <c r="C896" t="inlineStr">
        <is>
          <t>1014918 → ST-054-STD-07</t>
        </is>
      </c>
      <c r="D896" s="19" t="inlineStr">
        <is>
          <t>2</t>
        </is>
      </c>
      <c r="E896" s="19" t="inlineStr">
        <is>
          <t>1686</t>
        </is>
      </c>
      <c r="F896" s="19" t="inlineStr">
        <is>
          <t>119</t>
        </is>
      </c>
      <c r="G896" s="19" t="n"/>
      <c r="H896" s="19" t="inlineStr">
        <is>
          <t>2</t>
        </is>
      </c>
      <c r="I896" s="19" t="n"/>
      <c r="J896" s="19" t="n"/>
      <c r="K896" s="19" t="inlineStr">
        <is>
          <t>2</t>
        </is>
      </c>
      <c r="L896" t="inlineStr">
        <is>
          <t>2026-08-08</t>
        </is>
      </c>
      <c r="N896" t="inlineStr">
        <is>
          <t>IN_SCOPE_FINAL; SOURCE_CFG=IA-ST-CFG-0143; MARKET=CEYTECH İŞ MAKİNALARI OEM (Yurt İçi); STATUS=IN OEM / EU PACKAGE</t>
        </is>
      </c>
      <c r="O896" t="inlineStr">
        <is>
          <t>2026-08-10T19:29:54Z</t>
        </is>
      </c>
      <c r="P896" t="inlineStr">
        <is>
          <t>2026-08-10T19:29:54Z</t>
        </is>
      </c>
    </row>
    <row r="897">
      <c r="A897" s="19" t="inlineStr">
        <is>
          <t>896</t>
        </is>
      </c>
      <c r="B897" s="19" t="inlineStr">
        <is>
          <t>SC-1013775-ST-054-STD-08</t>
        </is>
      </c>
      <c r="C897" t="inlineStr">
        <is>
          <t>1013775 → ST-054-STD-08</t>
        </is>
      </c>
      <c r="D897" s="19" t="inlineStr">
        <is>
          <t>2</t>
        </is>
      </c>
      <c r="E897" s="19" t="inlineStr">
        <is>
          <t>1094</t>
        </is>
      </c>
      <c r="F897" s="19" t="inlineStr">
        <is>
          <t>120</t>
        </is>
      </c>
      <c r="G897" s="19" t="n"/>
      <c r="H897" s="19" t="inlineStr">
        <is>
          <t>2</t>
        </is>
      </c>
      <c r="I897" s="19" t="n"/>
      <c r="J897" s="19" t="n"/>
      <c r="K897" s="19" t="inlineStr">
        <is>
          <t>2</t>
        </is>
      </c>
      <c r="L897" t="inlineStr">
        <is>
          <t>2026-08-08</t>
        </is>
      </c>
      <c r="N897" t="inlineStr">
        <is>
          <t>IN_SCOPE_FINAL; SOURCE_CFG=IA-ST-CFG-0144; MARKET=YURT İÇİ AFM; STATUS=IN OEM / EU PACKAGE</t>
        </is>
      </c>
      <c r="O897" t="inlineStr">
        <is>
          <t>2026-08-10T19:29:54Z</t>
        </is>
      </c>
      <c r="P897" t="inlineStr">
        <is>
          <t>2026-08-10T19:29:54Z</t>
        </is>
      </c>
    </row>
    <row r="898">
      <c r="A898" s="19" t="inlineStr">
        <is>
          <t>897</t>
        </is>
      </c>
      <c r="B898" s="19" t="inlineStr">
        <is>
          <t>SC-1011762-ST-054-STD-08</t>
        </is>
      </c>
      <c r="C898" t="inlineStr">
        <is>
          <t>1011762 → ST-054-STD-08</t>
        </is>
      </c>
      <c r="D898" s="19" t="inlineStr">
        <is>
          <t>2</t>
        </is>
      </c>
      <c r="E898" s="19" t="inlineStr">
        <is>
          <t>337</t>
        </is>
      </c>
      <c r="F898" s="19" t="inlineStr">
        <is>
          <t>120</t>
        </is>
      </c>
      <c r="G898" s="19" t="n"/>
      <c r="H898" s="19" t="inlineStr">
        <is>
          <t>2</t>
        </is>
      </c>
      <c r="I898" s="19" t="n"/>
      <c r="J898" s="19" t="n"/>
      <c r="K898" s="19" t="inlineStr">
        <is>
          <t>2</t>
        </is>
      </c>
      <c r="L898" t="inlineStr">
        <is>
          <t>2026-08-08</t>
        </is>
      </c>
      <c r="N898" t="inlineStr">
        <is>
          <t>IN_SCOPE_FINAL; SOURCE_CFG=IA-ST-CFG-0144; MARKET=YURT İÇİ AFM; STATUS=IN OEM / EU PACKAGE</t>
        </is>
      </c>
      <c r="O898" t="inlineStr">
        <is>
          <t>2026-08-10T19:29:54Z</t>
        </is>
      </c>
      <c r="P898" t="inlineStr">
        <is>
          <t>2026-08-10T19:29:54Z</t>
        </is>
      </c>
    </row>
    <row r="899">
      <c r="A899" s="19" t="inlineStr">
        <is>
          <t>898</t>
        </is>
      </c>
      <c r="B899" s="19" t="inlineStr">
        <is>
          <t>SC-1011764-ST-054-STD-08</t>
        </is>
      </c>
      <c r="C899" t="inlineStr">
        <is>
          <t>1011764 → ST-054-STD-08</t>
        </is>
      </c>
      <c r="D899" s="19" t="inlineStr">
        <is>
          <t>2</t>
        </is>
      </c>
      <c r="E899" s="19" t="inlineStr">
        <is>
          <t>339</t>
        </is>
      </c>
      <c r="F899" s="19" t="inlineStr">
        <is>
          <t>120</t>
        </is>
      </c>
      <c r="G899" s="19" t="n"/>
      <c r="H899" s="19" t="inlineStr">
        <is>
          <t>2</t>
        </is>
      </c>
      <c r="I899" s="19" t="n"/>
      <c r="J899" s="19" t="n"/>
      <c r="K899" s="19" t="inlineStr">
        <is>
          <t>2</t>
        </is>
      </c>
      <c r="L899" t="inlineStr">
        <is>
          <t>2026-08-08</t>
        </is>
      </c>
      <c r="N899" t="inlineStr">
        <is>
          <t>IN_SCOPE_FINAL; SOURCE_CFG=IA-ST-CFG-0144; MARKET=YURT İÇİ AFM; STATUS=IN OEM / EU PACKAGE</t>
        </is>
      </c>
      <c r="O899" t="inlineStr">
        <is>
          <t>2026-08-10T19:29:54Z</t>
        </is>
      </c>
      <c r="P899" t="inlineStr">
        <is>
          <t>2026-08-10T19:29:54Z</t>
        </is>
      </c>
    </row>
    <row r="900">
      <c r="A900" s="19" t="inlineStr">
        <is>
          <t>899</t>
        </is>
      </c>
      <c r="B900" s="19" t="inlineStr">
        <is>
          <t>SC-1013995-ST-054-STD-08</t>
        </is>
      </c>
      <c r="C900" t="inlineStr">
        <is>
          <t>1013995 → ST-054-STD-08</t>
        </is>
      </c>
      <c r="D900" s="19" t="inlineStr">
        <is>
          <t>2</t>
        </is>
      </c>
      <c r="E900" s="19" t="inlineStr">
        <is>
          <t>1166</t>
        </is>
      </c>
      <c r="F900" s="19" t="inlineStr">
        <is>
          <t>120</t>
        </is>
      </c>
      <c r="G900" s="19" t="n"/>
      <c r="H900" s="19" t="inlineStr">
        <is>
          <t>2</t>
        </is>
      </c>
      <c r="I900" s="19" t="n"/>
      <c r="J900" s="19" t="n"/>
      <c r="K900" s="19" t="inlineStr">
        <is>
          <t>2</t>
        </is>
      </c>
      <c r="L900" t="inlineStr">
        <is>
          <t>2026-08-08</t>
        </is>
      </c>
      <c r="N900" t="inlineStr">
        <is>
          <t>IN_SCOPE_FINAL; SOURCE_CFG=IA-ST-CFG-0144; MARKET=YURT İÇİ AFM; STATUS=IN OEM / EU PACKAGE</t>
        </is>
      </c>
      <c r="O900" t="inlineStr">
        <is>
          <t>2026-08-10T19:29:54Z</t>
        </is>
      </c>
      <c r="P900" t="inlineStr">
        <is>
          <t>2026-08-10T19:29:54Z</t>
        </is>
      </c>
    </row>
    <row r="901">
      <c r="A901" s="19" t="inlineStr">
        <is>
          <t>900</t>
        </is>
      </c>
      <c r="B901" s="19" t="inlineStr">
        <is>
          <t>SC-1013996-ST-054-STD-08</t>
        </is>
      </c>
      <c r="C901" t="inlineStr">
        <is>
          <t>1013996 → ST-054-STD-08</t>
        </is>
      </c>
      <c r="D901" s="19" t="inlineStr">
        <is>
          <t>2</t>
        </is>
      </c>
      <c r="E901" s="19" t="inlineStr">
        <is>
          <t>1167</t>
        </is>
      </c>
      <c r="F901" s="19" t="inlineStr">
        <is>
          <t>120</t>
        </is>
      </c>
      <c r="G901" s="19" t="n"/>
      <c r="H901" s="19" t="inlineStr">
        <is>
          <t>2</t>
        </is>
      </c>
      <c r="I901" s="19" t="n"/>
      <c r="J901" s="19" t="n"/>
      <c r="K901" s="19" t="inlineStr">
        <is>
          <t>2</t>
        </is>
      </c>
      <c r="L901" t="inlineStr">
        <is>
          <t>2026-08-08</t>
        </is>
      </c>
      <c r="N901" t="inlineStr">
        <is>
          <t>IN_SCOPE_FINAL; SOURCE_CFG=IA-ST-CFG-0144; MARKET=YURT İÇİ AFM; STATUS=IN OEM / EU PACKAGE</t>
        </is>
      </c>
      <c r="O901" t="inlineStr">
        <is>
          <t>2026-08-10T19:29:54Z</t>
        </is>
      </c>
      <c r="P901" t="inlineStr">
        <is>
          <t>2026-08-10T19:29:54Z</t>
        </is>
      </c>
    </row>
    <row r="902">
      <c r="A902" s="19" t="inlineStr">
        <is>
          <t>901</t>
        </is>
      </c>
      <c r="B902" s="19" t="inlineStr">
        <is>
          <t>SC-1012686-ST-054-STD-09</t>
        </is>
      </c>
      <c r="C902" t="inlineStr">
        <is>
          <t>1012686 → ST-054-STD-09</t>
        </is>
      </c>
      <c r="D902" s="19" t="inlineStr">
        <is>
          <t>2</t>
        </is>
      </c>
      <c r="E902" s="19" t="inlineStr">
        <is>
          <t>750</t>
        </is>
      </c>
      <c r="F902" s="19" t="inlineStr">
        <is>
          <t>121</t>
        </is>
      </c>
      <c r="G902" s="19" t="n"/>
      <c r="H902" s="19" t="inlineStr">
        <is>
          <t>2</t>
        </is>
      </c>
      <c r="I902" s="19" t="n"/>
      <c r="J902" s="19" t="n"/>
      <c r="K902" s="19" t="inlineStr">
        <is>
          <t>2</t>
        </is>
      </c>
      <c r="L902" t="inlineStr">
        <is>
          <t>2026-08-08</t>
        </is>
      </c>
      <c r="N902" t="inlineStr">
        <is>
          <t>IN_SCOPE_FINAL; SOURCE_CFG=IA-ST-CFG-0145; MARKET=SDF (Yurt İçi); STATUS=IN OEM / EU PACKAGE</t>
        </is>
      </c>
      <c r="O902" t="inlineStr">
        <is>
          <t>2026-08-10T19:29:54Z</t>
        </is>
      </c>
      <c r="P902" t="inlineStr">
        <is>
          <t>2026-08-10T19:29:54Z</t>
        </is>
      </c>
    </row>
    <row r="903">
      <c r="A903" s="19" t="inlineStr">
        <is>
          <t>902</t>
        </is>
      </c>
      <c r="B903" s="19" t="inlineStr">
        <is>
          <t>SC-1015042-ST-054-STD-09</t>
        </is>
      </c>
      <c r="C903" t="inlineStr">
        <is>
          <t>1015042 → ST-054-STD-09</t>
        </is>
      </c>
      <c r="D903" s="19" t="inlineStr">
        <is>
          <t>2</t>
        </is>
      </c>
      <c r="E903" s="19" t="inlineStr">
        <is>
          <t>1802</t>
        </is>
      </c>
      <c r="F903" s="19" t="inlineStr">
        <is>
          <t>121</t>
        </is>
      </c>
      <c r="G903" s="19" t="n"/>
      <c r="H903" s="19" t="inlineStr">
        <is>
          <t>2</t>
        </is>
      </c>
      <c r="I903" s="19" t="n"/>
      <c r="J903" s="19" t="n"/>
      <c r="K903" s="19" t="inlineStr">
        <is>
          <t>2</t>
        </is>
      </c>
      <c r="L903" t="inlineStr">
        <is>
          <t>2026-08-08</t>
        </is>
      </c>
      <c r="N903" t="inlineStr">
        <is>
          <t>IN_SCOPE_FINAL; SOURCE_CFG=IA-ST-CFG-0145; MARKET=SDF (Yurt İçi); STATUS=IN OEM / EU PACKAGE</t>
        </is>
      </c>
      <c r="O903" t="inlineStr">
        <is>
          <t>2026-08-10T19:29:54Z</t>
        </is>
      </c>
      <c r="P903" t="inlineStr">
        <is>
          <t>2026-08-10T19:29:54Z</t>
        </is>
      </c>
    </row>
    <row r="904">
      <c r="A904" s="19" t="inlineStr">
        <is>
          <t>903</t>
        </is>
      </c>
      <c r="B904" s="19" t="inlineStr">
        <is>
          <t>SC-1011154-ST-054-STD-09</t>
        </is>
      </c>
      <c r="C904" t="inlineStr">
        <is>
          <t>1011154 → ST-054-STD-09</t>
        </is>
      </c>
      <c r="D904" s="19" t="inlineStr">
        <is>
          <t>2</t>
        </is>
      </c>
      <c r="E904" s="19" t="inlineStr">
        <is>
          <t>231</t>
        </is>
      </c>
      <c r="F904" s="19" t="inlineStr">
        <is>
          <t>121</t>
        </is>
      </c>
      <c r="G904" s="19" t="n"/>
      <c r="H904" s="19" t="inlineStr">
        <is>
          <t>2</t>
        </is>
      </c>
      <c r="I904" s="19" t="n"/>
      <c r="J904" s="19" t="n"/>
      <c r="K904" s="19" t="inlineStr">
        <is>
          <t>2</t>
        </is>
      </c>
      <c r="L904" t="inlineStr">
        <is>
          <t>2026-08-08</t>
        </is>
      </c>
      <c r="N904" t="inlineStr">
        <is>
          <t>IN_SCOPE_FINAL; SOURCE_CFG=IA-ST-CFG-0145; MARKET=YURT İÇİ AFM; STATUS=IN OEM / EU PACKAGE</t>
        </is>
      </c>
      <c r="O904" t="inlineStr">
        <is>
          <t>2026-08-10T19:29:54Z</t>
        </is>
      </c>
      <c r="P904" t="inlineStr">
        <is>
          <t>2026-08-10T19:29:54Z</t>
        </is>
      </c>
    </row>
    <row r="905">
      <c r="A905" s="19" t="inlineStr">
        <is>
          <t>904</t>
        </is>
      </c>
      <c r="B905" s="19" t="inlineStr">
        <is>
          <t>SC-1011155-ST-054-STD-09</t>
        </is>
      </c>
      <c r="C905" t="inlineStr">
        <is>
          <t>1011155 → ST-054-STD-09</t>
        </is>
      </c>
      <c r="D905" s="19" t="inlineStr">
        <is>
          <t>2</t>
        </is>
      </c>
      <c r="E905" s="19" t="inlineStr">
        <is>
          <t>232</t>
        </is>
      </c>
      <c r="F905" s="19" t="inlineStr">
        <is>
          <t>121</t>
        </is>
      </c>
      <c r="G905" s="19" t="n"/>
      <c r="H905" s="19" t="inlineStr">
        <is>
          <t>2</t>
        </is>
      </c>
      <c r="I905" s="19" t="n"/>
      <c r="J905" s="19" t="n"/>
      <c r="K905" s="19" t="inlineStr">
        <is>
          <t>2</t>
        </is>
      </c>
      <c r="L905" t="inlineStr">
        <is>
          <t>2026-08-08</t>
        </is>
      </c>
      <c r="N905" t="inlineStr">
        <is>
          <t>IN_SCOPE_FINAL; SOURCE_CFG=IA-ST-CFG-0145; MARKET=YURT İÇİ AFM; STATUS=IN OEM / EU PACKAGE</t>
        </is>
      </c>
      <c r="O905" t="inlineStr">
        <is>
          <t>2026-08-10T19:29:54Z</t>
        </is>
      </c>
      <c r="P905" t="inlineStr">
        <is>
          <t>2026-08-10T19:29:54Z</t>
        </is>
      </c>
    </row>
    <row r="906">
      <c r="A906" s="19" t="inlineStr">
        <is>
          <t>905</t>
        </is>
      </c>
      <c r="B906" s="19" t="inlineStr">
        <is>
          <t>SC-1011169-ST-054-STD-09</t>
        </is>
      </c>
      <c r="C906" t="inlineStr">
        <is>
          <t>1011169 → ST-054-STD-09</t>
        </is>
      </c>
      <c r="D906" s="19" t="inlineStr">
        <is>
          <t>2</t>
        </is>
      </c>
      <c r="E906" s="19" t="inlineStr">
        <is>
          <t>245</t>
        </is>
      </c>
      <c r="F906" s="19" t="inlineStr">
        <is>
          <t>121</t>
        </is>
      </c>
      <c r="G906" s="19" t="n"/>
      <c r="H906" s="19" t="inlineStr">
        <is>
          <t>2</t>
        </is>
      </c>
      <c r="I906" s="19" t="n"/>
      <c r="J906" s="19" t="n"/>
      <c r="K906" s="19" t="inlineStr">
        <is>
          <t>2</t>
        </is>
      </c>
      <c r="L906" t="inlineStr">
        <is>
          <t>2026-08-08</t>
        </is>
      </c>
      <c r="N906" t="inlineStr">
        <is>
          <t>IN_SCOPE_FINAL; SOURCE_CFG=IA-ST-CFG-0145; MARKET=YURT İÇİ AFM; STATUS=IN OEM / EU PACKAGE</t>
        </is>
      </c>
      <c r="O906" t="inlineStr">
        <is>
          <t>2026-08-10T19:29:54Z</t>
        </is>
      </c>
      <c r="P906" t="inlineStr">
        <is>
          <t>2026-08-10T19:29:54Z</t>
        </is>
      </c>
    </row>
    <row r="907">
      <c r="A907" s="19" t="inlineStr">
        <is>
          <t>906</t>
        </is>
      </c>
      <c r="B907" s="19" t="inlineStr">
        <is>
          <t>SC-1011196-ST-054-STD-09</t>
        </is>
      </c>
      <c r="C907" t="inlineStr">
        <is>
          <t>1011196 → ST-054-STD-09</t>
        </is>
      </c>
      <c r="D907" s="19" t="inlineStr">
        <is>
          <t>2</t>
        </is>
      </c>
      <c r="E907" s="19" t="inlineStr">
        <is>
          <t>267</t>
        </is>
      </c>
      <c r="F907" s="19" t="inlineStr">
        <is>
          <t>121</t>
        </is>
      </c>
      <c r="G907" s="19" t="n"/>
      <c r="H907" s="19" t="inlineStr">
        <is>
          <t>2</t>
        </is>
      </c>
      <c r="I907" s="19" t="n"/>
      <c r="J907" s="19" t="n"/>
      <c r="K907" s="19" t="inlineStr">
        <is>
          <t>2</t>
        </is>
      </c>
      <c r="L907" t="inlineStr">
        <is>
          <t>2026-08-08</t>
        </is>
      </c>
      <c r="N907" t="inlineStr">
        <is>
          <t>IN_SCOPE_FINAL; SOURCE_CFG=IA-ST-CFG-0145; MARKET=YURT İÇİ AFM; STATUS=IN OEM / EU PACKAGE</t>
        </is>
      </c>
      <c r="O907" t="inlineStr">
        <is>
          <t>2026-08-10T19:29:54Z</t>
        </is>
      </c>
      <c r="P907" t="inlineStr">
        <is>
          <t>2026-08-10T19:29:54Z</t>
        </is>
      </c>
    </row>
    <row r="908">
      <c r="A908" s="19" t="inlineStr">
        <is>
          <t>907</t>
        </is>
      </c>
      <c r="B908" s="19" t="inlineStr">
        <is>
          <t>SC-1011197-ST-054-STD-09</t>
        </is>
      </c>
      <c r="C908" t="inlineStr">
        <is>
          <t>1011197 → ST-054-STD-09</t>
        </is>
      </c>
      <c r="D908" s="19" t="inlineStr">
        <is>
          <t>2</t>
        </is>
      </c>
      <c r="E908" s="19" t="inlineStr">
        <is>
          <t>268</t>
        </is>
      </c>
      <c r="F908" s="19" t="inlineStr">
        <is>
          <t>121</t>
        </is>
      </c>
      <c r="G908" s="19" t="n"/>
      <c r="H908" s="19" t="inlineStr">
        <is>
          <t>2</t>
        </is>
      </c>
      <c r="I908" s="19" t="n"/>
      <c r="J908" s="19" t="n"/>
      <c r="K908" s="19" t="inlineStr">
        <is>
          <t>2</t>
        </is>
      </c>
      <c r="L908" t="inlineStr">
        <is>
          <t>2026-08-08</t>
        </is>
      </c>
      <c r="N908" t="inlineStr">
        <is>
          <t>IN_SCOPE_FINAL; SOURCE_CFG=IA-ST-CFG-0145; MARKET=YURT İÇİ AFM; STATUS=IN OEM / EU PACKAGE</t>
        </is>
      </c>
      <c r="O908" t="inlineStr">
        <is>
          <t>2026-08-10T19:29:54Z</t>
        </is>
      </c>
      <c r="P908" t="inlineStr">
        <is>
          <t>2026-08-10T19:29:54Z</t>
        </is>
      </c>
    </row>
    <row r="909">
      <c r="A909" s="19" t="inlineStr">
        <is>
          <t>908</t>
        </is>
      </c>
      <c r="B909" s="19" t="inlineStr">
        <is>
          <t>SC-1011218-ST-054-STD-09</t>
        </is>
      </c>
      <c r="C909" t="inlineStr">
        <is>
          <t>1011218 → ST-054-STD-09</t>
        </is>
      </c>
      <c r="D909" s="19" t="inlineStr">
        <is>
          <t>2</t>
        </is>
      </c>
      <c r="E909" s="19" t="inlineStr">
        <is>
          <t>280</t>
        </is>
      </c>
      <c r="F909" s="19" t="inlineStr">
        <is>
          <t>121</t>
        </is>
      </c>
      <c r="G909" s="19" t="n"/>
      <c r="H909" s="19" t="inlineStr">
        <is>
          <t>2</t>
        </is>
      </c>
      <c r="I909" s="19" t="n"/>
      <c r="J909" s="19" t="n"/>
      <c r="K909" s="19" t="inlineStr">
        <is>
          <t>2</t>
        </is>
      </c>
      <c r="L909" t="inlineStr">
        <is>
          <t>2026-08-08</t>
        </is>
      </c>
      <c r="N909" t="inlineStr">
        <is>
          <t>IN_SCOPE_FINAL; SOURCE_CFG=IA-ST-CFG-0145; MARKET=YURT İÇİ AFM; STATUS=IN OEM / EU PACKAGE</t>
        </is>
      </c>
      <c r="O909" t="inlineStr">
        <is>
          <t>2026-08-10T19:29:54Z</t>
        </is>
      </c>
      <c r="P909" t="inlineStr">
        <is>
          <t>2026-08-10T19:29:54Z</t>
        </is>
      </c>
    </row>
    <row r="910">
      <c r="A910" s="19" t="inlineStr">
        <is>
          <t>909</t>
        </is>
      </c>
      <c r="B910" s="19" t="inlineStr">
        <is>
          <t>SC-1011232-ST-054-STD-09</t>
        </is>
      </c>
      <c r="C910" t="inlineStr">
        <is>
          <t>1011232 → ST-054-STD-09</t>
        </is>
      </c>
      <c r="D910" s="19" t="inlineStr">
        <is>
          <t>2</t>
        </is>
      </c>
      <c r="E910" s="19" t="inlineStr">
        <is>
          <t>287</t>
        </is>
      </c>
      <c r="F910" s="19" t="inlineStr">
        <is>
          <t>121</t>
        </is>
      </c>
      <c r="G910" s="19" t="n"/>
      <c r="H910" s="19" t="inlineStr">
        <is>
          <t>2</t>
        </is>
      </c>
      <c r="I910" s="19" t="n"/>
      <c r="J910" s="19" t="n"/>
      <c r="K910" s="19" t="inlineStr">
        <is>
          <t>2</t>
        </is>
      </c>
      <c r="L910" t="inlineStr">
        <is>
          <t>2026-08-08</t>
        </is>
      </c>
      <c r="N910" t="inlineStr">
        <is>
          <t>IN_SCOPE_FINAL; SOURCE_CFG=IA-ST-CFG-0145; MARKET=OTOPRATİK (Yurt İçi); STATUS=IN OEM / EU PACKAGE</t>
        </is>
      </c>
      <c r="O910" t="inlineStr">
        <is>
          <t>2026-08-10T19:29:54Z</t>
        </is>
      </c>
      <c r="P910" t="inlineStr">
        <is>
          <t>2026-08-10T19:29:54Z</t>
        </is>
      </c>
    </row>
    <row r="911">
      <c r="A911" s="19" t="inlineStr">
        <is>
          <t>910</t>
        </is>
      </c>
      <c r="B911" s="19" t="inlineStr">
        <is>
          <t>SC-1012179-ST-054-STD-09</t>
        </is>
      </c>
      <c r="C911" t="inlineStr">
        <is>
          <t>1012179 → ST-054-STD-09</t>
        </is>
      </c>
      <c r="D911" s="19" t="inlineStr">
        <is>
          <t>2</t>
        </is>
      </c>
      <c r="E911" s="19" t="inlineStr">
        <is>
          <t>557</t>
        </is>
      </c>
      <c r="F911" s="19" t="inlineStr">
        <is>
          <t>121</t>
        </is>
      </c>
      <c r="G911" s="19" t="n"/>
      <c r="H911" s="19" t="inlineStr">
        <is>
          <t>2</t>
        </is>
      </c>
      <c r="I911" s="19" t="n"/>
      <c r="J911" s="19" t="n"/>
      <c r="K911" s="19" t="inlineStr">
        <is>
          <t>2</t>
        </is>
      </c>
      <c r="L911" t="inlineStr">
        <is>
          <t>2026-08-08</t>
        </is>
      </c>
      <c r="N911" t="inlineStr">
        <is>
          <t>IN_SCOPE_FINAL; SOURCE_CFG=IA-ST-CFG-0145; MARKET=YURT İÇİ AFM; STATUS=IN OEM / EU PACKAGE</t>
        </is>
      </c>
      <c r="O911" t="inlineStr">
        <is>
          <t>2026-08-10T19:29:54Z</t>
        </is>
      </c>
      <c r="P911" t="inlineStr">
        <is>
          <t>2026-08-10T19:29:54Z</t>
        </is>
      </c>
    </row>
    <row r="912">
      <c r="A912" s="19" t="inlineStr">
        <is>
          <t>911</t>
        </is>
      </c>
      <c r="B912" s="19" t="inlineStr">
        <is>
          <t>SC-1012976-ST-054-STD-09</t>
        </is>
      </c>
      <c r="C912" t="inlineStr">
        <is>
          <t>1012976 → ST-054-STD-09</t>
        </is>
      </c>
      <c r="D912" s="19" t="inlineStr">
        <is>
          <t>2</t>
        </is>
      </c>
      <c r="E912" s="19" t="inlineStr">
        <is>
          <t>893</t>
        </is>
      </c>
      <c r="F912" s="19" t="inlineStr">
        <is>
          <t>121</t>
        </is>
      </c>
      <c r="G912" s="19" t="n"/>
      <c r="H912" s="19" t="inlineStr">
        <is>
          <t>2</t>
        </is>
      </c>
      <c r="I912" s="19" t="n"/>
      <c r="J912" s="19" t="n"/>
      <c r="K912" s="19" t="inlineStr">
        <is>
          <t>2</t>
        </is>
      </c>
      <c r="L912" t="inlineStr">
        <is>
          <t>2026-08-08</t>
        </is>
      </c>
      <c r="N912" t="inlineStr">
        <is>
          <t>IN_SCOPE_FINAL; SOURCE_CFG=IA-ST-CFG-0145; MARKET=YANMAR OEM (SOLİS) (Yurt İçi); STATUS=IN OEM / EU PACKAGE</t>
        </is>
      </c>
      <c r="O912" t="inlineStr">
        <is>
          <t>2026-08-10T19:29:54Z</t>
        </is>
      </c>
      <c r="P912" t="inlineStr">
        <is>
          <t>2026-08-10T19:29:54Z</t>
        </is>
      </c>
    </row>
    <row r="913">
      <c r="A913" s="19" t="inlineStr">
        <is>
          <t>912</t>
        </is>
      </c>
      <c r="B913" s="19" t="inlineStr">
        <is>
          <t>SC-1013081-ST-054-STD-09</t>
        </is>
      </c>
      <c r="C913" t="inlineStr">
        <is>
          <t>1013081 → ST-054-STD-09</t>
        </is>
      </c>
      <c r="D913" s="19" t="inlineStr">
        <is>
          <t>2</t>
        </is>
      </c>
      <c r="E913" s="19" t="inlineStr">
        <is>
          <t>916</t>
        </is>
      </c>
      <c r="F913" s="19" t="inlineStr">
        <is>
          <t>121</t>
        </is>
      </c>
      <c r="G913" s="19" t="n"/>
      <c r="H913" s="19" t="inlineStr">
        <is>
          <t>2</t>
        </is>
      </c>
      <c r="I913" s="19" t="n"/>
      <c r="J913" s="19" t="n"/>
      <c r="K913" s="19" t="inlineStr">
        <is>
          <t>2</t>
        </is>
      </c>
      <c r="L913" t="inlineStr">
        <is>
          <t>2026-08-08</t>
        </is>
      </c>
      <c r="N913" t="inlineStr">
        <is>
          <t>IN_SCOPE_FINAL; SOURCE_CFG=IA-ST-CFG-0145; MARKET=TEMSA (Yurt İçi); STATUS=IN OEM / EU PACKAGE</t>
        </is>
      </c>
      <c r="O913" t="inlineStr">
        <is>
          <t>2026-08-10T19:29:54Z</t>
        </is>
      </c>
      <c r="P913" t="inlineStr">
        <is>
          <t>2026-08-10T19:29:54Z</t>
        </is>
      </c>
    </row>
    <row r="914">
      <c r="A914" s="19" t="inlineStr">
        <is>
          <t>913</t>
        </is>
      </c>
      <c r="B914" s="19" t="inlineStr">
        <is>
          <t>SC-1014012-ST-054-STD-09</t>
        </is>
      </c>
      <c r="C914" t="inlineStr">
        <is>
          <t>1014012 → ST-054-STD-09</t>
        </is>
      </c>
      <c r="D914" s="19" t="inlineStr">
        <is>
          <t>2</t>
        </is>
      </c>
      <c r="E914" s="19" t="inlineStr">
        <is>
          <t>1180</t>
        </is>
      </c>
      <c r="F914" s="19" t="inlineStr">
        <is>
          <t>121</t>
        </is>
      </c>
      <c r="G914" s="19" t="n"/>
      <c r="H914" s="19" t="inlineStr">
        <is>
          <t>2</t>
        </is>
      </c>
      <c r="I914" s="19" t="n"/>
      <c r="J914" s="19" t="n"/>
      <c r="K914" s="19" t="inlineStr">
        <is>
          <t>2</t>
        </is>
      </c>
      <c r="L914" t="inlineStr">
        <is>
          <t>2026-08-08</t>
        </is>
      </c>
      <c r="N914" t="inlineStr">
        <is>
          <t>IN_SCOPE_FINAL; SOURCE_CFG=IA-ST-CFG-0145; MARKET=YURT İÇİ AFM; STATUS=IN OEM / EU PACKAGE</t>
        </is>
      </c>
      <c r="O914" t="inlineStr">
        <is>
          <t>2026-08-10T19:29:54Z</t>
        </is>
      </c>
      <c r="P914" t="inlineStr">
        <is>
          <t>2026-08-10T19:29:54Z</t>
        </is>
      </c>
    </row>
    <row r="915">
      <c r="A915" s="19" t="inlineStr">
        <is>
          <t>914</t>
        </is>
      </c>
      <c r="B915" s="19" t="inlineStr">
        <is>
          <t>SC-1014579-ST-054-STD-09</t>
        </is>
      </c>
      <c r="C915" t="inlineStr">
        <is>
          <t>1014579 → ST-054-STD-09</t>
        </is>
      </c>
      <c r="D915" s="19" t="inlineStr">
        <is>
          <t>2</t>
        </is>
      </c>
      <c r="E915" s="19" t="inlineStr">
        <is>
          <t>1465</t>
        </is>
      </c>
      <c r="F915" s="19" t="inlineStr">
        <is>
          <t>121</t>
        </is>
      </c>
      <c r="G915" s="19" t="n"/>
      <c r="H915" s="19" t="inlineStr">
        <is>
          <t>2</t>
        </is>
      </c>
      <c r="I915" s="19" t="n"/>
      <c r="J915" s="19" t="n"/>
      <c r="K915" s="19" t="inlineStr">
        <is>
          <t>2</t>
        </is>
      </c>
      <c r="L915" t="inlineStr">
        <is>
          <t>2026-08-08</t>
        </is>
      </c>
      <c r="N915" t="inlineStr">
        <is>
          <t>IN_SCOPE_FINAL; SOURCE_CFG=IA-ST-CFG-0145; MARKET=YURT İÇİ AFM; STATUS=IN OEM / EU PACKAGE</t>
        </is>
      </c>
      <c r="O915" t="inlineStr">
        <is>
          <t>2026-08-10T19:29:54Z</t>
        </is>
      </c>
      <c r="P915" t="inlineStr">
        <is>
          <t>2026-08-10T19:29:54Z</t>
        </is>
      </c>
    </row>
    <row r="916">
      <c r="A916" s="19" t="inlineStr">
        <is>
          <t>915</t>
        </is>
      </c>
      <c r="B916" s="19" t="inlineStr">
        <is>
          <t>SC-1014589-ST-054-STD-09</t>
        </is>
      </c>
      <c r="C916" t="inlineStr">
        <is>
          <t>1014589 → ST-054-STD-09</t>
        </is>
      </c>
      <c r="D916" s="19" t="inlineStr">
        <is>
          <t>2</t>
        </is>
      </c>
      <c r="E916" s="19" t="inlineStr">
        <is>
          <t>1475</t>
        </is>
      </c>
      <c r="F916" s="19" t="inlineStr">
        <is>
          <t>121</t>
        </is>
      </c>
      <c r="G916" s="19" t="n"/>
      <c r="H916" s="19" t="inlineStr">
        <is>
          <t>2</t>
        </is>
      </c>
      <c r="I916" s="19" t="n"/>
      <c r="J916" s="19" t="n"/>
      <c r="K916" s="19" t="inlineStr">
        <is>
          <t>2</t>
        </is>
      </c>
      <c r="L916" t="inlineStr">
        <is>
          <t>2026-08-08</t>
        </is>
      </c>
      <c r="N916" t="inlineStr">
        <is>
          <t>IN_SCOPE_FINAL; SOURCE_CFG=IA-ST-CFG-0145; MARKET=YURT İÇİ AFM; STATUS=IN OEM / EU PACKAGE</t>
        </is>
      </c>
      <c r="O916" t="inlineStr">
        <is>
          <t>2026-08-10T19:29:54Z</t>
        </is>
      </c>
      <c r="P916" t="inlineStr">
        <is>
          <t>2026-08-10T19:29:54Z</t>
        </is>
      </c>
    </row>
    <row r="917">
      <c r="A917" s="19" t="inlineStr">
        <is>
          <t>916</t>
        </is>
      </c>
      <c r="B917" s="19" t="inlineStr">
        <is>
          <t>SC-1014921-ST-054-STD-09</t>
        </is>
      </c>
      <c r="C917" t="inlineStr">
        <is>
          <t>1014921 → ST-054-STD-09</t>
        </is>
      </c>
      <c r="D917" s="19" t="inlineStr">
        <is>
          <t>2</t>
        </is>
      </c>
      <c r="E917" s="19" t="inlineStr">
        <is>
          <t>1689</t>
        </is>
      </c>
      <c r="F917" s="19" t="inlineStr">
        <is>
          <t>121</t>
        </is>
      </c>
      <c r="G917" s="19" t="n"/>
      <c r="H917" s="19" t="inlineStr">
        <is>
          <t>2</t>
        </is>
      </c>
      <c r="I917" s="19" t="n"/>
      <c r="J917" s="19" t="n"/>
      <c r="K917" s="19" t="inlineStr">
        <is>
          <t>2</t>
        </is>
      </c>
      <c r="L917" t="inlineStr">
        <is>
          <t>2026-08-08</t>
        </is>
      </c>
      <c r="N917" t="inlineStr">
        <is>
          <t>IN_SCOPE_FINAL; SOURCE_CFG=IA-ST-CFG-0145; MARKET=YANMAR OEM (SOLİS) (Yurt İçi); STATUS=IN OEM / EU PACKAGE</t>
        </is>
      </c>
      <c r="O917" t="inlineStr">
        <is>
          <t>2026-08-10T19:29:54Z</t>
        </is>
      </c>
      <c r="P917" t="inlineStr">
        <is>
          <t>2026-08-10T19:29:54Z</t>
        </is>
      </c>
    </row>
    <row r="918">
      <c r="A918" s="19" t="inlineStr">
        <is>
          <t>917</t>
        </is>
      </c>
      <c r="B918" s="19" t="inlineStr">
        <is>
          <t>SC-1014939-ST-054-STD-09</t>
        </is>
      </c>
      <c r="C918" t="inlineStr">
        <is>
          <t>1014939 → ST-054-STD-09</t>
        </is>
      </c>
      <c r="D918" s="19" t="inlineStr">
        <is>
          <t>2</t>
        </is>
      </c>
      <c r="E918" s="19" t="inlineStr">
        <is>
          <t>1707</t>
        </is>
      </c>
      <c r="F918" s="19" t="inlineStr">
        <is>
          <t>121</t>
        </is>
      </c>
      <c r="G918" s="19" t="n"/>
      <c r="H918" s="19" t="inlineStr">
        <is>
          <t>2</t>
        </is>
      </c>
      <c r="I918" s="19" t="n"/>
      <c r="J918" s="19" t="n"/>
      <c r="K918" s="19" t="inlineStr">
        <is>
          <t>2</t>
        </is>
      </c>
      <c r="L918" t="inlineStr">
        <is>
          <t>2026-08-08</t>
        </is>
      </c>
      <c r="N918" t="inlineStr">
        <is>
          <t>IN_SCOPE_FINAL; SOURCE_CFG=IA-ST-CFG-0145; MARKET=YANMAR OEM (SOLİS) (Yurt İçi); STATUS=IN OEM / EU PACKAGE</t>
        </is>
      </c>
      <c r="O918" t="inlineStr">
        <is>
          <t>2026-08-10T19:29:54Z</t>
        </is>
      </c>
      <c r="P918" t="inlineStr">
        <is>
          <t>2026-08-10T19:29:54Z</t>
        </is>
      </c>
    </row>
    <row r="919">
      <c r="A919" s="19" t="inlineStr">
        <is>
          <t>918</t>
        </is>
      </c>
      <c r="B919" s="19" t="inlineStr">
        <is>
          <t>SC-1012249-ST-054-STD-10</t>
        </is>
      </c>
      <c r="C919" t="inlineStr">
        <is>
          <t>1012249 → ST-054-STD-10</t>
        </is>
      </c>
      <c r="D919" s="19" t="inlineStr">
        <is>
          <t>2</t>
        </is>
      </c>
      <c r="E919" s="19" t="inlineStr">
        <is>
          <t>571</t>
        </is>
      </c>
      <c r="F919" s="19" t="inlineStr">
        <is>
          <t>122</t>
        </is>
      </c>
      <c r="G919" s="19" t="n"/>
      <c r="H919" s="19" t="inlineStr">
        <is>
          <t>2</t>
        </is>
      </c>
      <c r="I919" s="19" t="n"/>
      <c r="J919" s="19" t="n"/>
      <c r="K919" s="19" t="inlineStr">
        <is>
          <t>2</t>
        </is>
      </c>
      <c r="L919" t="inlineStr">
        <is>
          <t>2026-08-08</t>
        </is>
      </c>
      <c r="N919" t="inlineStr">
        <is>
          <t>IN_SCOPE_FINAL; SOURCE_CFG=IA-ST-CFG-0146; MARKET=SCHNAPP; STATUS=IN OEM / EU PACKAGE</t>
        </is>
      </c>
      <c r="O919" t="inlineStr">
        <is>
          <t>2026-08-10T19:29:54Z</t>
        </is>
      </c>
      <c r="P919" t="inlineStr">
        <is>
          <t>2026-08-10T19:29:54Z</t>
        </is>
      </c>
    </row>
    <row r="920">
      <c r="A920" s="19" t="inlineStr">
        <is>
          <t>919</t>
        </is>
      </c>
      <c r="B920" s="19" t="inlineStr">
        <is>
          <t>SC-1012250-ST-054-STD-10</t>
        </is>
      </c>
      <c r="C920" t="inlineStr">
        <is>
          <t>1012250 → ST-054-STD-10</t>
        </is>
      </c>
      <c r="D920" s="19" t="inlineStr">
        <is>
          <t>2</t>
        </is>
      </c>
      <c r="E920" s="19" t="inlineStr">
        <is>
          <t>572</t>
        </is>
      </c>
      <c r="F920" s="19" t="inlineStr">
        <is>
          <t>122</t>
        </is>
      </c>
      <c r="G920" s="19" t="n"/>
      <c r="H920" s="19" t="inlineStr">
        <is>
          <t>2</t>
        </is>
      </c>
      <c r="I920" s="19" t="n"/>
      <c r="J920" s="19" t="n"/>
      <c r="K920" s="19" t="inlineStr">
        <is>
          <t>2</t>
        </is>
      </c>
      <c r="L920" t="inlineStr">
        <is>
          <t>2026-08-08</t>
        </is>
      </c>
      <c r="N920" t="inlineStr">
        <is>
          <t>IN_SCOPE_FINAL; SOURCE_CFG=IA-ST-CFG-0146; MARKET=SCHNAPP; STATUS=IN OEM / EU PACKAGE</t>
        </is>
      </c>
      <c r="O920" t="inlineStr">
        <is>
          <t>2026-08-10T19:29:54Z</t>
        </is>
      </c>
      <c r="P920" t="inlineStr">
        <is>
          <t>2026-08-10T19:29:54Z</t>
        </is>
      </c>
    </row>
    <row r="921">
      <c r="A921" s="19" t="inlineStr">
        <is>
          <t>920</t>
        </is>
      </c>
      <c r="B921" s="19" t="inlineStr">
        <is>
          <t>SC-1012251-ST-054-STD-10</t>
        </is>
      </c>
      <c r="C921" t="inlineStr">
        <is>
          <t>1012251 → ST-054-STD-10</t>
        </is>
      </c>
      <c r="D921" s="19" t="inlineStr">
        <is>
          <t>2</t>
        </is>
      </c>
      <c r="E921" s="19" t="inlineStr">
        <is>
          <t>573</t>
        </is>
      </c>
      <c r="F921" s="19" t="inlineStr">
        <is>
          <t>122</t>
        </is>
      </c>
      <c r="G921" s="19" t="n"/>
      <c r="H921" s="19" t="inlineStr">
        <is>
          <t>2</t>
        </is>
      </c>
      <c r="I921" s="19" t="n"/>
      <c r="J921" s="19" t="n"/>
      <c r="K921" s="19" t="inlineStr">
        <is>
          <t>2</t>
        </is>
      </c>
      <c r="L921" t="inlineStr">
        <is>
          <t>2026-08-08</t>
        </is>
      </c>
      <c r="N921" t="inlineStr">
        <is>
          <t>IN_SCOPE_FINAL; SOURCE_CFG=IA-ST-CFG-0146; MARKET=SCHNAPP; STATUS=IN OEM / EU PACKAGE</t>
        </is>
      </c>
      <c r="O921" t="inlineStr">
        <is>
          <t>2026-08-10T19:29:54Z</t>
        </is>
      </c>
      <c r="P921" t="inlineStr">
        <is>
          <t>2026-08-10T19:29:54Z</t>
        </is>
      </c>
    </row>
    <row r="922">
      <c r="A922" s="19" t="inlineStr">
        <is>
          <t>921</t>
        </is>
      </c>
      <c r="B922" s="19" t="inlineStr">
        <is>
          <t>SC-1012364-ST-054-STD-10</t>
        </is>
      </c>
      <c r="C922" t="inlineStr">
        <is>
          <t>1012364 → ST-054-STD-10</t>
        </is>
      </c>
      <c r="D922" s="19" t="inlineStr">
        <is>
          <t>2</t>
        </is>
      </c>
      <c r="E922" s="19" t="inlineStr">
        <is>
          <t>615</t>
        </is>
      </c>
      <c r="F922" s="19" t="inlineStr">
        <is>
          <t>122</t>
        </is>
      </c>
      <c r="G922" s="19" t="n"/>
      <c r="H922" s="19" t="inlineStr">
        <is>
          <t>2</t>
        </is>
      </c>
      <c r="I922" s="19" t="n"/>
      <c r="J922" s="19" t="n"/>
      <c r="K922" s="19" t="inlineStr">
        <is>
          <t>2</t>
        </is>
      </c>
      <c r="L922" t="inlineStr">
        <is>
          <t>2026-08-08</t>
        </is>
      </c>
      <c r="N922" t="inlineStr">
        <is>
          <t>IN_SCOPE_FINAL; SOURCE_CFG=IA-ST-CFG-0146; MARKET=SCHNAPP; STATUS=IN OEM / EU PACKAGE</t>
        </is>
      </c>
      <c r="O922" t="inlineStr">
        <is>
          <t>2026-08-10T19:29:54Z</t>
        </is>
      </c>
      <c r="P922" t="inlineStr">
        <is>
          <t>2026-08-10T19:29:54Z</t>
        </is>
      </c>
    </row>
    <row r="923">
      <c r="A923" s="19" t="inlineStr">
        <is>
          <t>922</t>
        </is>
      </c>
      <c r="B923" s="19" t="inlineStr">
        <is>
          <t>SC-1013981-ST-054-STD-11</t>
        </is>
      </c>
      <c r="C923" t="inlineStr">
        <is>
          <t>1013981 → ST-054-STD-11</t>
        </is>
      </c>
      <c r="D923" s="19" t="inlineStr">
        <is>
          <t>2</t>
        </is>
      </c>
      <c r="E923" s="19" t="inlineStr">
        <is>
          <t>1155</t>
        </is>
      </c>
      <c r="F923" s="19" t="inlineStr">
        <is>
          <t>123</t>
        </is>
      </c>
      <c r="G923" s="19" t="n"/>
      <c r="H923" s="19" t="inlineStr">
        <is>
          <t>2</t>
        </is>
      </c>
      <c r="I923" s="19" t="n"/>
      <c r="J923" s="19" t="n"/>
      <c r="K923" s="19" t="inlineStr">
        <is>
          <t>2</t>
        </is>
      </c>
      <c r="L923" t="inlineStr">
        <is>
          <t>2026-08-08</t>
        </is>
      </c>
      <c r="N923" t="inlineStr">
        <is>
          <t>IN_SCOPE_FINAL; SOURCE_CFG=IA-ST-CFG-0147; MARKET=SCHNAPP; STATUS=IN OEM / EU PACKAGE</t>
        </is>
      </c>
      <c r="O923" t="inlineStr">
        <is>
          <t>2026-08-10T19:29:54Z</t>
        </is>
      </c>
      <c r="P923" t="inlineStr">
        <is>
          <t>2026-08-10T19:29:54Z</t>
        </is>
      </c>
    </row>
    <row r="924">
      <c r="A924" s="19" t="inlineStr">
        <is>
          <t>923</t>
        </is>
      </c>
      <c r="B924" s="19" t="inlineStr">
        <is>
          <t>SC-1012349-ST-054-STD-12</t>
        </is>
      </c>
      <c r="C924" t="inlineStr">
        <is>
          <t>1012349 → ST-054-STD-12</t>
        </is>
      </c>
      <c r="D924" s="19" t="inlineStr">
        <is>
          <t>2</t>
        </is>
      </c>
      <c r="E924" s="19" t="inlineStr">
        <is>
          <t>613</t>
        </is>
      </c>
      <c r="F924" s="19" t="inlineStr">
        <is>
          <t>124</t>
        </is>
      </c>
      <c r="G924" s="19" t="n"/>
      <c r="H924" s="19" t="inlineStr">
        <is>
          <t>2</t>
        </is>
      </c>
      <c r="I924" s="19" t="n"/>
      <c r="J924" s="19" t="n"/>
      <c r="K924" s="19" t="inlineStr">
        <is>
          <t>2</t>
        </is>
      </c>
      <c r="L924" t="inlineStr">
        <is>
          <t>2026-08-08</t>
        </is>
      </c>
      <c r="N924" t="inlineStr">
        <is>
          <t>IN_SCOPE_FINAL; SOURCE_CFG=IA-ST-CFG-0148; MARKET=SCHNAPP; STATUS=IN OEM / EU PACKAGE</t>
        </is>
      </c>
      <c r="O924" t="inlineStr">
        <is>
          <t>2026-08-10T19:29:54Z</t>
        </is>
      </c>
      <c r="P924" t="inlineStr">
        <is>
          <t>2026-08-10T19:29:54Z</t>
        </is>
      </c>
    </row>
    <row r="925">
      <c r="A925" s="19" t="inlineStr">
        <is>
          <t>924</t>
        </is>
      </c>
      <c r="B925" s="19" t="inlineStr">
        <is>
          <t>SC-1013734-ST-054-EUR-01</t>
        </is>
      </c>
      <c r="C925" t="inlineStr">
        <is>
          <t>1013734 → ST-054-EUR-01</t>
        </is>
      </c>
      <c r="D925" s="19" t="inlineStr">
        <is>
          <t>2</t>
        </is>
      </c>
      <c r="E925" s="19" t="inlineStr">
        <is>
          <t>1075</t>
        </is>
      </c>
      <c r="F925" s="19" t="inlineStr">
        <is>
          <t>112</t>
        </is>
      </c>
      <c r="G925" s="19" t="n"/>
      <c r="H925" s="19" t="inlineStr">
        <is>
          <t>2</t>
        </is>
      </c>
      <c r="I925" s="19" t="n"/>
      <c r="J925" s="19" t="n"/>
      <c r="K925" s="19" t="inlineStr">
        <is>
          <t>2</t>
        </is>
      </c>
      <c r="L925" t="inlineStr">
        <is>
          <t>2026-08-08</t>
        </is>
      </c>
      <c r="N925" t="inlineStr">
        <is>
          <t>IN_SCOPE_FINAL; SOURCE_CFG=IA-ST-CFG-0149; MARKET=GY EUR; STATUS=IN OEM / EU PACKAGE</t>
        </is>
      </c>
      <c r="O925" t="inlineStr">
        <is>
          <t>2026-08-10T19:29:54Z</t>
        </is>
      </c>
      <c r="P925" t="inlineStr">
        <is>
          <t>2026-08-10T19:29:54Z</t>
        </is>
      </c>
    </row>
    <row r="926">
      <c r="A926" s="19" t="inlineStr">
        <is>
          <t>925</t>
        </is>
      </c>
      <c r="B926" s="19" t="inlineStr">
        <is>
          <t>SC-1014542-ST-054-EUR-01</t>
        </is>
      </c>
      <c r="C926" t="inlineStr">
        <is>
          <t>1014542 → ST-054-EUR-01</t>
        </is>
      </c>
      <c r="D926" s="19" t="inlineStr">
        <is>
          <t>2</t>
        </is>
      </c>
      <c r="E926" s="19" t="inlineStr">
        <is>
          <t>1432</t>
        </is>
      </c>
      <c r="F926" s="19" t="inlineStr">
        <is>
          <t>112</t>
        </is>
      </c>
      <c r="G926" s="19" t="n"/>
      <c r="H926" s="19" t="inlineStr">
        <is>
          <t>2</t>
        </is>
      </c>
      <c r="I926" s="19" t="n"/>
      <c r="J926" s="19" t="n"/>
      <c r="K926" s="19" t="inlineStr">
        <is>
          <t>2</t>
        </is>
      </c>
      <c r="L926" t="inlineStr">
        <is>
          <t>2026-08-08</t>
        </is>
      </c>
      <c r="N926" t="inlineStr">
        <is>
          <t>IN_SCOPE_FINAL; SOURCE_CFG=IA-ST-CFG-0149; MARKET=GY EUR; STATUS=IN OEM / EU PACKAGE</t>
        </is>
      </c>
      <c r="O926" t="inlineStr">
        <is>
          <t>2026-08-10T19:29:54Z</t>
        </is>
      </c>
      <c r="P926" t="inlineStr">
        <is>
          <t>2026-08-10T19:29:54Z</t>
        </is>
      </c>
    </row>
    <row r="927">
      <c r="A927" s="19" t="inlineStr">
        <is>
          <t>926</t>
        </is>
      </c>
      <c r="B927" s="19" t="inlineStr">
        <is>
          <t>SC-1012433-ST-056-EUR-01</t>
        </is>
      </c>
      <c r="C927" t="inlineStr">
        <is>
          <t>1012433 → ST-056-EUR-01</t>
        </is>
      </c>
      <c r="D927" s="19" t="inlineStr">
        <is>
          <t>2</t>
        </is>
      </c>
      <c r="E927" s="19" t="inlineStr">
        <is>
          <t>642</t>
        </is>
      </c>
      <c r="F927" s="19" t="inlineStr">
        <is>
          <t>125</t>
        </is>
      </c>
      <c r="G927" s="19" t="n"/>
      <c r="H927" s="19" t="inlineStr">
        <is>
          <t>2</t>
        </is>
      </c>
      <c r="I927" s="19" t="n"/>
      <c r="J927" s="19" t="n"/>
      <c r="K927" s="19" t="inlineStr">
        <is>
          <t>2</t>
        </is>
      </c>
      <c r="L927" t="inlineStr">
        <is>
          <t>2026-08-08</t>
        </is>
      </c>
      <c r="N927" t="inlineStr">
        <is>
          <t>IN_SCOPE_FINAL; SOURCE_CFG=IA-ST-CFG-0150; MARKET=YURT İÇİ AFM; STATUS=IN OEM / EU PACKAGE</t>
        </is>
      </c>
      <c r="O927" t="inlineStr">
        <is>
          <t>2026-08-10T19:29:54Z</t>
        </is>
      </c>
      <c r="P927" t="inlineStr">
        <is>
          <t>2026-08-10T19:29:54Z</t>
        </is>
      </c>
    </row>
    <row r="928">
      <c r="A928" s="19" t="inlineStr">
        <is>
          <t>927</t>
        </is>
      </c>
      <c r="B928" s="19" t="inlineStr">
        <is>
          <t>SC-1014670-ST-056-EUR-02</t>
        </is>
      </c>
      <c r="C928" t="inlineStr">
        <is>
          <t>1014670 → ST-056-EUR-02</t>
        </is>
      </c>
      <c r="D928" s="19" t="inlineStr">
        <is>
          <t>2</t>
        </is>
      </c>
      <c r="E928" s="19" t="inlineStr">
        <is>
          <t>1528</t>
        </is>
      </c>
      <c r="F928" s="19" t="inlineStr">
        <is>
          <t>126</t>
        </is>
      </c>
      <c r="G928" s="19" t="n"/>
      <c r="H928" s="19" t="inlineStr">
        <is>
          <t>2</t>
        </is>
      </c>
      <c r="I928" s="19" t="n"/>
      <c r="J928" s="19" t="n"/>
      <c r="K928" s="19" t="inlineStr">
        <is>
          <t>2</t>
        </is>
      </c>
      <c r="L928" t="inlineStr">
        <is>
          <t>2026-08-08</t>
        </is>
      </c>
      <c r="N928" t="inlineStr">
        <is>
          <t>IN_SCOPE_FINAL; SOURCE_CFG=IA-ST-CFG-0151; MARKET=SKG İTALYA; STATUS=IN OEM / EU PACKAGE</t>
        </is>
      </c>
      <c r="O928" t="inlineStr">
        <is>
          <t>2026-08-10T19:29:54Z</t>
        </is>
      </c>
      <c r="P928" t="inlineStr">
        <is>
          <t>2026-08-10T19:29:54Z</t>
        </is>
      </c>
    </row>
    <row r="929">
      <c r="A929" s="19" t="inlineStr">
        <is>
          <t>928</t>
        </is>
      </c>
      <c r="B929" s="19" t="inlineStr">
        <is>
          <t>SC-1013920-ST-056-EUR-02</t>
        </is>
      </c>
      <c r="C929" t="inlineStr">
        <is>
          <t>1013920 → ST-056-EUR-02</t>
        </is>
      </c>
      <c r="D929" s="19" t="inlineStr">
        <is>
          <t>2</t>
        </is>
      </c>
      <c r="E929" s="19" t="inlineStr">
        <is>
          <t>1132</t>
        </is>
      </c>
      <c r="F929" s="19" t="inlineStr">
        <is>
          <t>126</t>
        </is>
      </c>
      <c r="G929" s="19" t="n"/>
      <c r="H929" s="19" t="inlineStr">
        <is>
          <t>2</t>
        </is>
      </c>
      <c r="I929" s="19" t="n"/>
      <c r="J929" s="19" t="n"/>
      <c r="K929" s="19" t="inlineStr">
        <is>
          <t>2</t>
        </is>
      </c>
      <c r="L929" t="inlineStr">
        <is>
          <t>2026-08-08</t>
        </is>
      </c>
      <c r="N929" t="inlineStr">
        <is>
          <t>IN_SCOPE_FINAL; SOURCE_CFG=IA-ST-CFG-0151; MARKET=SKG İTALYA; STATUS=IN OEM / EU PACKAGE</t>
        </is>
      </c>
      <c r="O929" t="inlineStr">
        <is>
          <t>2026-08-10T19:29:54Z</t>
        </is>
      </c>
      <c r="P929" t="inlineStr">
        <is>
          <t>2026-08-10T19:29:54Z</t>
        </is>
      </c>
    </row>
    <row r="930">
      <c r="A930" s="19" t="inlineStr">
        <is>
          <t>929</t>
        </is>
      </c>
      <c r="B930" s="19" t="inlineStr">
        <is>
          <t>SC-1014661-ST-056-EUR-02</t>
        </is>
      </c>
      <c r="C930" t="inlineStr">
        <is>
          <t>1014661 → ST-056-EUR-02</t>
        </is>
      </c>
      <c r="D930" s="19" t="inlineStr">
        <is>
          <t>2</t>
        </is>
      </c>
      <c r="E930" s="19" t="inlineStr">
        <is>
          <t>1519</t>
        </is>
      </c>
      <c r="F930" s="19" t="inlineStr">
        <is>
          <t>126</t>
        </is>
      </c>
      <c r="G930" s="19" t="n"/>
      <c r="H930" s="19" t="inlineStr">
        <is>
          <t>2</t>
        </is>
      </c>
      <c r="I930" s="19" t="n"/>
      <c r="J930" s="19" t="n"/>
      <c r="K930" s="19" t="inlineStr">
        <is>
          <t>2</t>
        </is>
      </c>
      <c r="L930" t="inlineStr">
        <is>
          <t>2026-08-08</t>
        </is>
      </c>
      <c r="N930" t="inlineStr">
        <is>
          <t>IN_SCOPE_FINAL; SOURCE_CFG=IA-ST-CFG-0151; MARKET=SKG İTALYA; STATUS=IN OEM / EU PACKAGE</t>
        </is>
      </c>
      <c r="O930" t="inlineStr">
        <is>
          <t>2026-08-10T19:29:54Z</t>
        </is>
      </c>
      <c r="P930" t="inlineStr">
        <is>
          <t>2026-08-10T19:29:54Z</t>
        </is>
      </c>
    </row>
    <row r="931">
      <c r="A931" s="19" t="inlineStr">
        <is>
          <t>930</t>
        </is>
      </c>
      <c r="B931" s="19" t="inlineStr">
        <is>
          <t>SC-1014666-ST-056-EUR-02</t>
        </is>
      </c>
      <c r="C931" t="inlineStr">
        <is>
          <t>1014666 → ST-056-EUR-02</t>
        </is>
      </c>
      <c r="D931" s="19" t="inlineStr">
        <is>
          <t>2</t>
        </is>
      </c>
      <c r="E931" s="19" t="inlineStr">
        <is>
          <t>1524</t>
        </is>
      </c>
      <c r="F931" s="19" t="inlineStr">
        <is>
          <t>126</t>
        </is>
      </c>
      <c r="G931" s="19" t="n"/>
      <c r="H931" s="19" t="inlineStr">
        <is>
          <t>2</t>
        </is>
      </c>
      <c r="I931" s="19" t="n"/>
      <c r="J931" s="19" t="n"/>
      <c r="K931" s="19" t="inlineStr">
        <is>
          <t>2</t>
        </is>
      </c>
      <c r="L931" t="inlineStr">
        <is>
          <t>2026-08-08</t>
        </is>
      </c>
      <c r="N931" t="inlineStr">
        <is>
          <t>IN_SCOPE_FINAL; SOURCE_CFG=IA-ST-CFG-0151; MARKET=SKG İTALYA; STATUS=IN OEM / EU PACKAGE</t>
        </is>
      </c>
      <c r="O931" t="inlineStr">
        <is>
          <t>2026-08-10T19:29:54Z</t>
        </is>
      </c>
      <c r="P931" t="inlineStr">
        <is>
          <t>2026-08-10T19:29:54Z</t>
        </is>
      </c>
    </row>
    <row r="932">
      <c r="A932" s="19" t="inlineStr">
        <is>
          <t>931</t>
        </is>
      </c>
      <c r="B932" s="19" t="inlineStr">
        <is>
          <t>SC-1015030-ST-056-EUR-02</t>
        </is>
      </c>
      <c r="C932" t="inlineStr">
        <is>
          <t>1015030 → ST-056-EUR-02</t>
        </is>
      </c>
      <c r="D932" s="19" t="inlineStr">
        <is>
          <t>2</t>
        </is>
      </c>
      <c r="E932" s="19" t="inlineStr">
        <is>
          <t>1790</t>
        </is>
      </c>
      <c r="F932" s="19" t="inlineStr">
        <is>
          <t>126</t>
        </is>
      </c>
      <c r="G932" s="19" t="n"/>
      <c r="H932" s="19" t="inlineStr">
        <is>
          <t>2</t>
        </is>
      </c>
      <c r="I932" s="19" t="n"/>
      <c r="J932" s="19" t="n"/>
      <c r="K932" s="19" t="inlineStr">
        <is>
          <t>2</t>
        </is>
      </c>
      <c r="L932" t="inlineStr">
        <is>
          <t>2026-08-08</t>
        </is>
      </c>
      <c r="N932" t="inlineStr">
        <is>
          <t>IN_SCOPE_FINAL; SOURCE_CFG=IA-ST-CFG-0151; MARKET=SKG İTALYA; STATUS=IN OEM / EU PACKAGE</t>
        </is>
      </c>
      <c r="O932" t="inlineStr">
        <is>
          <t>2026-08-10T19:29:54Z</t>
        </is>
      </c>
      <c r="P932" t="inlineStr">
        <is>
          <t>2026-08-10T19:29:54Z</t>
        </is>
      </c>
    </row>
    <row r="933">
      <c r="A933" s="19" t="inlineStr">
        <is>
          <t>932</t>
        </is>
      </c>
      <c r="B933" s="19" t="inlineStr">
        <is>
          <t>SC-1015031-ST-056-EUR-02</t>
        </is>
      </c>
      <c r="C933" t="inlineStr">
        <is>
          <t>1015031 → ST-056-EUR-02</t>
        </is>
      </c>
      <c r="D933" s="19" t="inlineStr">
        <is>
          <t>2</t>
        </is>
      </c>
      <c r="E933" s="19" t="inlineStr">
        <is>
          <t>1791</t>
        </is>
      </c>
      <c r="F933" s="19" t="inlineStr">
        <is>
          <t>126</t>
        </is>
      </c>
      <c r="G933" s="19" t="n"/>
      <c r="H933" s="19" t="inlineStr">
        <is>
          <t>2</t>
        </is>
      </c>
      <c r="I933" s="19" t="n"/>
      <c r="J933" s="19" t="n"/>
      <c r="K933" s="19" t="inlineStr">
        <is>
          <t>2</t>
        </is>
      </c>
      <c r="L933" t="inlineStr">
        <is>
          <t>2026-08-08</t>
        </is>
      </c>
      <c r="N933" t="inlineStr">
        <is>
          <t>IN_SCOPE_FINAL; SOURCE_CFG=IA-ST-CFG-0151; MARKET=SKG İTALYA; STATUS=IN OEM / EU PACKAGE</t>
        </is>
      </c>
      <c r="O933" t="inlineStr">
        <is>
          <t>2026-08-10T19:29:54Z</t>
        </is>
      </c>
      <c r="P933" t="inlineStr">
        <is>
          <t>2026-08-10T19:29:54Z</t>
        </is>
      </c>
    </row>
    <row r="934">
      <c r="A934" s="19" t="inlineStr">
        <is>
          <t>933</t>
        </is>
      </c>
      <c r="B934" s="19" t="inlineStr">
        <is>
          <t>SC-1015103-ST-056-EUR-02</t>
        </is>
      </c>
      <c r="C934" t="inlineStr">
        <is>
          <t>1015103 → ST-056-EUR-02</t>
        </is>
      </c>
      <c r="D934" s="19" t="inlineStr">
        <is>
          <t>2</t>
        </is>
      </c>
      <c r="E934" s="19" t="inlineStr">
        <is>
          <t>1856</t>
        </is>
      </c>
      <c r="F934" s="19" t="inlineStr">
        <is>
          <t>126</t>
        </is>
      </c>
      <c r="G934" s="19" t="n"/>
      <c r="H934" s="19" t="inlineStr">
        <is>
          <t>2</t>
        </is>
      </c>
      <c r="I934" s="19" t="n"/>
      <c r="J934" s="19" t="n"/>
      <c r="K934" s="19" t="inlineStr">
        <is>
          <t>2</t>
        </is>
      </c>
      <c r="L934" t="inlineStr">
        <is>
          <t>2026-08-08</t>
        </is>
      </c>
      <c r="N934" t="inlineStr">
        <is>
          <t>IN_SCOPE_FINAL; SOURCE_CFG=IA-ST-CFG-0151; MARKET=SKG İTALYA; STATUS=IN OEM / EU PACKAGE</t>
        </is>
      </c>
      <c r="O934" t="inlineStr">
        <is>
          <t>2026-08-10T19:29:54Z</t>
        </is>
      </c>
      <c r="P934" t="inlineStr">
        <is>
          <t>2026-08-10T19:29:54Z</t>
        </is>
      </c>
    </row>
    <row r="935">
      <c r="A935" s="19" t="inlineStr">
        <is>
          <t>934</t>
        </is>
      </c>
      <c r="B935" s="19" t="inlineStr">
        <is>
          <t>SC-1015275-ST-056-EUR-02</t>
        </is>
      </c>
      <c r="C935" t="inlineStr">
        <is>
          <t>1015275 → ST-056-EUR-02</t>
        </is>
      </c>
      <c r="D935" s="19" t="inlineStr">
        <is>
          <t>2</t>
        </is>
      </c>
      <c r="E935" s="19" t="inlineStr">
        <is>
          <t>2008</t>
        </is>
      </c>
      <c r="F935" s="19" t="inlineStr">
        <is>
          <t>126</t>
        </is>
      </c>
      <c r="G935" s="19" t="n"/>
      <c r="H935" s="19" t="inlineStr">
        <is>
          <t>2</t>
        </is>
      </c>
      <c r="I935" s="19" t="n"/>
      <c r="J935" s="19" t="n"/>
      <c r="K935" s="19" t="inlineStr">
        <is>
          <t>2</t>
        </is>
      </c>
      <c r="L935" t="inlineStr">
        <is>
          <t>2026-08-08</t>
        </is>
      </c>
      <c r="N935" t="inlineStr">
        <is>
          <t>IN_SCOPE_FINAL; SOURCE_CFG=IA-ST-CFG-0151; MARKET=SKG İTALYA; STATUS=IN OEM / EU PACKAGE</t>
        </is>
      </c>
      <c r="O935" t="inlineStr">
        <is>
          <t>2026-08-10T19:29:54Z</t>
        </is>
      </c>
      <c r="P935" t="inlineStr">
        <is>
          <t>2026-08-10T19:29:54Z</t>
        </is>
      </c>
    </row>
    <row r="936">
      <c r="A936" s="19" t="inlineStr">
        <is>
          <t>935</t>
        </is>
      </c>
      <c r="B936" s="19" t="inlineStr">
        <is>
          <t>SC-1013847-ST-056-EUR-03</t>
        </is>
      </c>
      <c r="C936" t="inlineStr">
        <is>
          <t>1013847 → ST-056-EUR-03</t>
        </is>
      </c>
      <c r="D936" s="19" t="inlineStr">
        <is>
          <t>2</t>
        </is>
      </c>
      <c r="E936" s="19" t="inlineStr">
        <is>
          <t>1107</t>
        </is>
      </c>
      <c r="F936" s="19" t="inlineStr">
        <is>
          <t>127</t>
        </is>
      </c>
      <c r="G936" s="19" t="n"/>
      <c r="H936" s="19" t="inlineStr">
        <is>
          <t>2</t>
        </is>
      </c>
      <c r="I936" s="19" t="n"/>
      <c r="J936" s="19" t="n"/>
      <c r="K936" s="19" t="inlineStr">
        <is>
          <t>2</t>
        </is>
      </c>
      <c r="L936" t="inlineStr">
        <is>
          <t>2026-08-08</t>
        </is>
      </c>
      <c r="N936" t="inlineStr">
        <is>
          <t>IN_SCOPE_FINAL; SOURCE_CFG=IA-ST-CFG-0152; MARKET=None; STATUS=IN OEM / EU PACKAGE</t>
        </is>
      </c>
      <c r="O936" t="inlineStr">
        <is>
          <t>2026-08-10T19:29:54Z</t>
        </is>
      </c>
      <c r="P936" t="inlineStr">
        <is>
          <t>2026-08-10T19:29:54Z</t>
        </is>
      </c>
    </row>
    <row r="937">
      <c r="A937" s="19" t="inlineStr">
        <is>
          <t>936</t>
        </is>
      </c>
      <c r="B937" s="19" t="inlineStr">
        <is>
          <t>SC-1009950-ST-056-EUR-03</t>
        </is>
      </c>
      <c r="C937" t="inlineStr">
        <is>
          <t>1009950 → ST-056-EUR-03</t>
        </is>
      </c>
      <c r="D937" s="19" t="inlineStr">
        <is>
          <t>2</t>
        </is>
      </c>
      <c r="E937" s="19" t="inlineStr">
        <is>
          <t>129</t>
        </is>
      </c>
      <c r="F937" s="19" t="inlineStr">
        <is>
          <t>127</t>
        </is>
      </c>
      <c r="G937" s="19" t="n"/>
      <c r="H937" s="19" t="inlineStr">
        <is>
          <t>2</t>
        </is>
      </c>
      <c r="I937" s="19" t="n"/>
      <c r="J937" s="19" t="n"/>
      <c r="K937" s="19" t="inlineStr">
        <is>
          <t>2</t>
        </is>
      </c>
      <c r="L937" t="inlineStr">
        <is>
          <t>2026-08-08</t>
        </is>
      </c>
      <c r="N937" t="inlineStr">
        <is>
          <t>IN_SCOPE_FINAL; SOURCE_CFG=IA-ST-CFG-0152; MARKET=BOOSTER; STATUS=IN OEM / EU PACKAGE</t>
        </is>
      </c>
      <c r="O937" t="inlineStr">
        <is>
          <t>2026-08-10T19:29:54Z</t>
        </is>
      </c>
      <c r="P937" t="inlineStr">
        <is>
          <t>2026-08-10T19:29:54Z</t>
        </is>
      </c>
    </row>
    <row r="938">
      <c r="A938" s="19" t="inlineStr">
        <is>
          <t>937</t>
        </is>
      </c>
      <c r="B938" s="19" t="inlineStr">
        <is>
          <t>SC-1011687-ST-056-EUR-03</t>
        </is>
      </c>
      <c r="C938" t="inlineStr">
        <is>
          <t>1011687 → ST-056-EUR-03</t>
        </is>
      </c>
      <c r="D938" s="19" t="inlineStr">
        <is>
          <t>2</t>
        </is>
      </c>
      <c r="E938" s="19" t="inlineStr">
        <is>
          <t>331</t>
        </is>
      </c>
      <c r="F938" s="19" t="inlineStr">
        <is>
          <t>127</t>
        </is>
      </c>
      <c r="G938" s="19" t="n"/>
      <c r="H938" s="19" t="inlineStr">
        <is>
          <t>2</t>
        </is>
      </c>
      <c r="I938" s="19" t="n"/>
      <c r="J938" s="19" t="n"/>
      <c r="K938" s="19" t="inlineStr">
        <is>
          <t>2</t>
        </is>
      </c>
      <c r="L938" t="inlineStr">
        <is>
          <t>2026-08-08</t>
        </is>
      </c>
      <c r="N938" t="inlineStr">
        <is>
          <t>IN_SCOPE_FINAL; SOURCE_CFG=IA-ST-CFG-0152; MARKET=BOOSTER; STATUS=IN OEM / EU PACKAGE</t>
        </is>
      </c>
      <c r="O938" t="inlineStr">
        <is>
          <t>2026-08-10T19:29:54Z</t>
        </is>
      </c>
      <c r="P938" t="inlineStr">
        <is>
          <t>2026-08-10T19:29:54Z</t>
        </is>
      </c>
    </row>
    <row r="939">
      <c r="A939" s="19" t="inlineStr">
        <is>
          <t>938</t>
        </is>
      </c>
      <c r="B939" s="19" t="inlineStr">
        <is>
          <t>SC-1012873-ST-056-EUR-03</t>
        </is>
      </c>
      <c r="C939" t="inlineStr">
        <is>
          <t>1012873 → ST-056-EUR-03</t>
        </is>
      </c>
      <c r="D939" s="19" t="inlineStr">
        <is>
          <t>2</t>
        </is>
      </c>
      <c r="E939" s="19" t="inlineStr">
        <is>
          <t>830</t>
        </is>
      </c>
      <c r="F939" s="19" t="inlineStr">
        <is>
          <t>127</t>
        </is>
      </c>
      <c r="G939" s="19" t="n"/>
      <c r="H939" s="19" t="inlineStr">
        <is>
          <t>2</t>
        </is>
      </c>
      <c r="I939" s="19" t="n"/>
      <c r="J939" s="19" t="n"/>
      <c r="K939" s="19" t="inlineStr">
        <is>
          <t>2</t>
        </is>
      </c>
      <c r="L939" t="inlineStr">
        <is>
          <t>2026-08-08</t>
        </is>
      </c>
      <c r="N939" t="inlineStr">
        <is>
          <t>IN_SCOPE_FINAL; SOURCE_CFG=IA-ST-CFG-0152; MARKET=LAMPA ITALY İTALYA; STATUS=IN OEM / EU PACKAGE</t>
        </is>
      </c>
      <c r="O939" t="inlineStr">
        <is>
          <t>2026-08-10T19:29:54Z</t>
        </is>
      </c>
      <c r="P939" t="inlineStr">
        <is>
          <t>2026-08-10T19:29:54Z</t>
        </is>
      </c>
    </row>
    <row r="940">
      <c r="A940" s="19" t="inlineStr">
        <is>
          <t>939</t>
        </is>
      </c>
      <c r="B940" s="19" t="inlineStr">
        <is>
          <t>SC-1012878-ST-056-EUR-03</t>
        </is>
      </c>
      <c r="C940" t="inlineStr">
        <is>
          <t>1012878 → ST-056-EUR-03</t>
        </is>
      </c>
      <c r="D940" s="19" t="inlineStr">
        <is>
          <t>2</t>
        </is>
      </c>
      <c r="E940" s="19" t="inlineStr">
        <is>
          <t>835</t>
        </is>
      </c>
      <c r="F940" s="19" t="inlineStr">
        <is>
          <t>127</t>
        </is>
      </c>
      <c r="G940" s="19" t="n"/>
      <c r="H940" s="19" t="inlineStr">
        <is>
          <t>2</t>
        </is>
      </c>
      <c r="I940" s="19" t="n"/>
      <c r="J940" s="19" t="n"/>
      <c r="K940" s="19" t="inlineStr">
        <is>
          <t>2</t>
        </is>
      </c>
      <c r="L940" t="inlineStr">
        <is>
          <t>2026-08-08</t>
        </is>
      </c>
      <c r="N940" t="inlineStr">
        <is>
          <t>IN_SCOPE_FINAL; SOURCE_CFG=IA-ST-CFG-0152; MARKET=LAMPA ITALY İTALYA; STATUS=IN OEM / EU PACKAGE</t>
        </is>
      </c>
      <c r="O940" t="inlineStr">
        <is>
          <t>2026-08-10T19:29:54Z</t>
        </is>
      </c>
      <c r="P940" t="inlineStr">
        <is>
          <t>2026-08-10T19:29:54Z</t>
        </is>
      </c>
    </row>
    <row r="941">
      <c r="A941" s="19" t="inlineStr">
        <is>
          <t>940</t>
        </is>
      </c>
      <c r="B941" s="19" t="inlineStr">
        <is>
          <t>SC-1012894-ST-056-EUR-03</t>
        </is>
      </c>
      <c r="C941" t="inlineStr">
        <is>
          <t>1012894 → ST-056-EUR-03</t>
        </is>
      </c>
      <c r="D941" s="19" t="inlineStr">
        <is>
          <t>2</t>
        </is>
      </c>
      <c r="E941" s="19" t="inlineStr">
        <is>
          <t>847</t>
        </is>
      </c>
      <c r="F941" s="19" t="inlineStr">
        <is>
          <t>127</t>
        </is>
      </c>
      <c r="G941" s="19" t="n"/>
      <c r="H941" s="19" t="inlineStr">
        <is>
          <t>2</t>
        </is>
      </c>
      <c r="I941" s="19" t="n"/>
      <c r="J941" s="19" t="n"/>
      <c r="K941" s="19" t="inlineStr">
        <is>
          <t>2</t>
        </is>
      </c>
      <c r="L941" t="inlineStr">
        <is>
          <t>2026-08-08</t>
        </is>
      </c>
      <c r="N941" t="inlineStr">
        <is>
          <t>IN_SCOPE_FINAL; SOURCE_CFG=IA-ST-CFG-0152; MARKET=LAMPA ITALY İTALYA; STATUS=IN OEM / EU PACKAGE</t>
        </is>
      </c>
      <c r="O941" t="inlineStr">
        <is>
          <t>2026-08-10T19:29:54Z</t>
        </is>
      </c>
      <c r="P941" t="inlineStr">
        <is>
          <t>2026-08-10T19:29:54Z</t>
        </is>
      </c>
    </row>
    <row r="942">
      <c r="A942" s="19" t="inlineStr">
        <is>
          <t>941</t>
        </is>
      </c>
      <c r="B942" s="19" t="inlineStr">
        <is>
          <t>SC-1012898-ST-056-EUR-03</t>
        </is>
      </c>
      <c r="C942" t="inlineStr">
        <is>
          <t>1012898 → ST-056-EUR-03</t>
        </is>
      </c>
      <c r="D942" s="19" t="inlineStr">
        <is>
          <t>2</t>
        </is>
      </c>
      <c r="E942" s="19" t="inlineStr">
        <is>
          <t>851</t>
        </is>
      </c>
      <c r="F942" s="19" t="inlineStr">
        <is>
          <t>127</t>
        </is>
      </c>
      <c r="G942" s="19" t="n"/>
      <c r="H942" s="19" t="inlineStr">
        <is>
          <t>2</t>
        </is>
      </c>
      <c r="I942" s="19" t="n"/>
      <c r="J942" s="19" t="n"/>
      <c r="K942" s="19" t="inlineStr">
        <is>
          <t>2</t>
        </is>
      </c>
      <c r="L942" t="inlineStr">
        <is>
          <t>2026-08-08</t>
        </is>
      </c>
      <c r="N942" t="inlineStr">
        <is>
          <t>IN_SCOPE_FINAL; SOURCE_CFG=IA-ST-CFG-0152; MARKET=LAMPA ITALY İTALYA; STATUS=IN OEM / EU PACKAGE</t>
        </is>
      </c>
      <c r="O942" t="inlineStr">
        <is>
          <t>2026-08-10T19:29:54Z</t>
        </is>
      </c>
      <c r="P942" t="inlineStr">
        <is>
          <t>2026-08-10T19:29:54Z</t>
        </is>
      </c>
    </row>
    <row r="943">
      <c r="A943" s="19" t="inlineStr">
        <is>
          <t>942</t>
        </is>
      </c>
      <c r="B943" s="19" t="inlineStr">
        <is>
          <t>SC-1013194-ST-056-EUR-03</t>
        </is>
      </c>
      <c r="C943" t="inlineStr">
        <is>
          <t>1013194 → ST-056-EUR-03</t>
        </is>
      </c>
      <c r="D943" s="19" t="inlineStr">
        <is>
          <t>2</t>
        </is>
      </c>
      <c r="E943" s="19" t="inlineStr">
        <is>
          <t>941</t>
        </is>
      </c>
      <c r="F943" s="19" t="inlineStr">
        <is>
          <t>127</t>
        </is>
      </c>
      <c r="G943" s="19" t="n"/>
      <c r="H943" s="19" t="inlineStr">
        <is>
          <t>2</t>
        </is>
      </c>
      <c r="I943" s="19" t="n"/>
      <c r="J943" s="19" t="n"/>
      <c r="K943" s="19" t="inlineStr">
        <is>
          <t>2</t>
        </is>
      </c>
      <c r="L943" t="inlineStr">
        <is>
          <t>2026-08-08</t>
        </is>
      </c>
      <c r="N943" t="inlineStr">
        <is>
          <t>IN_SCOPE_FINAL; SOURCE_CFG=IA-ST-CFG-0152; MARKET=LAMPA ITALY İTALYA; STATUS=IN OEM / EU PACKAGE</t>
        </is>
      </c>
      <c r="O943" t="inlineStr">
        <is>
          <t>2026-08-10T19:29:54Z</t>
        </is>
      </c>
      <c r="P943" t="inlineStr">
        <is>
          <t>2026-08-10T19:29:54Z</t>
        </is>
      </c>
    </row>
    <row r="944">
      <c r="A944" s="19" t="inlineStr">
        <is>
          <t>943</t>
        </is>
      </c>
      <c r="B944" s="19" t="inlineStr">
        <is>
          <t>SC-1013572-ST-056-EUR-03</t>
        </is>
      </c>
      <c r="C944" t="inlineStr">
        <is>
          <t>1013572 → ST-056-EUR-03</t>
        </is>
      </c>
      <c r="D944" s="19" t="inlineStr">
        <is>
          <t>2</t>
        </is>
      </c>
      <c r="E944" s="19" t="inlineStr">
        <is>
          <t>1037</t>
        </is>
      </c>
      <c r="F944" s="19" t="inlineStr">
        <is>
          <t>127</t>
        </is>
      </c>
      <c r="G944" s="19" t="n"/>
      <c r="H944" s="19" t="inlineStr">
        <is>
          <t>2</t>
        </is>
      </c>
      <c r="I944" s="19" t="n"/>
      <c r="J944" s="19" t="n"/>
      <c r="K944" s="19" t="inlineStr">
        <is>
          <t>2</t>
        </is>
      </c>
      <c r="L944" t="inlineStr">
        <is>
          <t>2026-08-08</t>
        </is>
      </c>
      <c r="N944" t="inlineStr">
        <is>
          <t>IN_SCOPE_FINAL; SOURCE_CFG=IA-ST-CFG-0152; MARKET=None; STATUS=IN OEM / EU PACKAGE</t>
        </is>
      </c>
      <c r="O944" t="inlineStr">
        <is>
          <t>2026-08-10T19:29:54Z</t>
        </is>
      </c>
      <c r="P944" t="inlineStr">
        <is>
          <t>2026-08-10T19:29:54Z</t>
        </is>
      </c>
    </row>
    <row r="945">
      <c r="A945" s="19" t="inlineStr">
        <is>
          <t>944</t>
        </is>
      </c>
      <c r="B945" s="19" t="inlineStr">
        <is>
          <t>SC-1013717-ST-056-EUR-03</t>
        </is>
      </c>
      <c r="C945" t="inlineStr">
        <is>
          <t>1013717 → ST-056-EUR-03</t>
        </is>
      </c>
      <c r="D945" s="19" t="inlineStr">
        <is>
          <t>2</t>
        </is>
      </c>
      <c r="E945" s="19" t="inlineStr">
        <is>
          <t>1069</t>
        </is>
      </c>
      <c r="F945" s="19" t="inlineStr">
        <is>
          <t>127</t>
        </is>
      </c>
      <c r="G945" s="19" t="n"/>
      <c r="H945" s="19" t="inlineStr">
        <is>
          <t>2</t>
        </is>
      </c>
      <c r="I945" s="19" t="n"/>
      <c r="J945" s="19" t="n"/>
      <c r="K945" s="19" t="inlineStr">
        <is>
          <t>2</t>
        </is>
      </c>
      <c r="L945" t="inlineStr">
        <is>
          <t>2026-08-08</t>
        </is>
      </c>
      <c r="N945" t="inlineStr">
        <is>
          <t>IN_SCOPE_FINAL; SOURCE_CFG=IA-ST-CFG-0152; MARKET=None; STATUS=IN OEM / EU PACKAGE</t>
        </is>
      </c>
      <c r="O945" t="inlineStr">
        <is>
          <t>2026-08-10T19:29:54Z</t>
        </is>
      </c>
      <c r="P945" t="inlineStr">
        <is>
          <t>2026-08-10T19:29:54Z</t>
        </is>
      </c>
    </row>
    <row r="946">
      <c r="A946" s="19" t="inlineStr">
        <is>
          <t>945</t>
        </is>
      </c>
      <c r="B946" s="19" t="inlineStr">
        <is>
          <t>SC-1013744-ST-056-EUR-03</t>
        </is>
      </c>
      <c r="C946" t="inlineStr">
        <is>
          <t>1013744 → ST-056-EUR-03</t>
        </is>
      </c>
      <c r="D946" s="19" t="inlineStr">
        <is>
          <t>2</t>
        </is>
      </c>
      <c r="E946" s="19" t="inlineStr">
        <is>
          <t>1084</t>
        </is>
      </c>
      <c r="F946" s="19" t="inlineStr">
        <is>
          <t>127</t>
        </is>
      </c>
      <c r="G946" s="19" t="n"/>
      <c r="H946" s="19" t="inlineStr">
        <is>
          <t>2</t>
        </is>
      </c>
      <c r="I946" s="19" t="n"/>
      <c r="J946" s="19" t="n"/>
      <c r="K946" s="19" t="inlineStr">
        <is>
          <t>2</t>
        </is>
      </c>
      <c r="L946" t="inlineStr">
        <is>
          <t>2026-08-08</t>
        </is>
      </c>
      <c r="N946" t="inlineStr">
        <is>
          <t>IN_SCOPE_FINAL; SOURCE_CFG=IA-ST-CFG-0152; MARKET=None; STATUS=IN OEM / EU PACKAGE</t>
        </is>
      </c>
      <c r="O946" t="inlineStr">
        <is>
          <t>2026-08-10T19:29:54Z</t>
        </is>
      </c>
      <c r="P946" t="inlineStr">
        <is>
          <t>2026-08-10T19:29:54Z</t>
        </is>
      </c>
    </row>
    <row r="947">
      <c r="A947" s="19" t="inlineStr">
        <is>
          <t>946</t>
        </is>
      </c>
      <c r="B947" s="19" t="inlineStr">
        <is>
          <t>SC-1013745-ST-056-EUR-03</t>
        </is>
      </c>
      <c r="C947" t="inlineStr">
        <is>
          <t>1013745 → ST-056-EUR-03</t>
        </is>
      </c>
      <c r="D947" s="19" t="inlineStr">
        <is>
          <t>2</t>
        </is>
      </c>
      <c r="E947" s="19" t="inlineStr">
        <is>
          <t>1085</t>
        </is>
      </c>
      <c r="F947" s="19" t="inlineStr">
        <is>
          <t>127</t>
        </is>
      </c>
      <c r="G947" s="19" t="n"/>
      <c r="H947" s="19" t="inlineStr">
        <is>
          <t>2</t>
        </is>
      </c>
      <c r="I947" s="19" t="n"/>
      <c r="J947" s="19" t="n"/>
      <c r="K947" s="19" t="inlineStr">
        <is>
          <t>2</t>
        </is>
      </c>
      <c r="L947" t="inlineStr">
        <is>
          <t>2026-08-08</t>
        </is>
      </c>
      <c r="N947" t="inlineStr">
        <is>
          <t>IN_SCOPE_FINAL; SOURCE_CFG=IA-ST-CFG-0152; MARKET=None; STATUS=IN OEM / EU PACKAGE</t>
        </is>
      </c>
      <c r="O947" t="inlineStr">
        <is>
          <t>2026-08-10T19:29:54Z</t>
        </is>
      </c>
      <c r="P947" t="inlineStr">
        <is>
          <t>2026-08-10T19:29:54Z</t>
        </is>
      </c>
    </row>
    <row r="948">
      <c r="A948" s="19" t="inlineStr">
        <is>
          <t>947</t>
        </is>
      </c>
      <c r="B948" s="19" t="inlineStr">
        <is>
          <t>SC-1014168-ST-056-EUR-03</t>
        </is>
      </c>
      <c r="C948" t="inlineStr">
        <is>
          <t>1014168 → ST-056-EUR-03</t>
        </is>
      </c>
      <c r="D948" s="19" t="inlineStr">
        <is>
          <t>2</t>
        </is>
      </c>
      <c r="E948" s="19" t="inlineStr">
        <is>
          <t>1250</t>
        </is>
      </c>
      <c r="F948" s="19" t="inlineStr">
        <is>
          <t>127</t>
        </is>
      </c>
      <c r="G948" s="19" t="n"/>
      <c r="H948" s="19" t="inlineStr">
        <is>
          <t>2</t>
        </is>
      </c>
      <c r="I948" s="19" t="n"/>
      <c r="J948" s="19" t="n"/>
      <c r="K948" s="19" t="inlineStr">
        <is>
          <t>2</t>
        </is>
      </c>
      <c r="L948" t="inlineStr">
        <is>
          <t>2026-08-08</t>
        </is>
      </c>
      <c r="N948" t="inlineStr">
        <is>
          <t>IN_SCOPE_FINAL; SOURCE_CFG=IA-ST-CFG-0152; MARKET=None; STATUS=IN OEM / EU PACKAGE</t>
        </is>
      </c>
      <c r="O948" t="inlineStr">
        <is>
          <t>2026-08-10T19:29:54Z</t>
        </is>
      </c>
      <c r="P948" t="inlineStr">
        <is>
          <t>2026-08-10T19:29:54Z</t>
        </is>
      </c>
    </row>
    <row r="949">
      <c r="A949" s="19" t="inlineStr">
        <is>
          <t>948</t>
        </is>
      </c>
      <c r="B949" s="19" t="inlineStr">
        <is>
          <t>SC-1014620-ST-056-EUR-03</t>
        </is>
      </c>
      <c r="C949" t="inlineStr">
        <is>
          <t>1014620 → ST-056-EUR-03</t>
        </is>
      </c>
      <c r="D949" s="19" t="inlineStr">
        <is>
          <t>2</t>
        </is>
      </c>
      <c r="E949" s="19" t="inlineStr">
        <is>
          <t>1495</t>
        </is>
      </c>
      <c r="F949" s="19" t="inlineStr">
        <is>
          <t>127</t>
        </is>
      </c>
      <c r="G949" s="19" t="n"/>
      <c r="H949" s="19" t="inlineStr">
        <is>
          <t>2</t>
        </is>
      </c>
      <c r="I949" s="19" t="n"/>
      <c r="J949" s="19" t="n"/>
      <c r="K949" s="19" t="inlineStr">
        <is>
          <t>2</t>
        </is>
      </c>
      <c r="L949" t="inlineStr">
        <is>
          <t>2026-08-08</t>
        </is>
      </c>
      <c r="N949" t="inlineStr">
        <is>
          <t>IN_SCOPE_FINAL; SOURCE_CFG=IA-ST-CFG-0152; MARKET=LAMPA ITALY İTALYA; STATUS=IN OEM / EU PACKAGE</t>
        </is>
      </c>
      <c r="O949" t="inlineStr">
        <is>
          <t>2026-08-10T19:29:54Z</t>
        </is>
      </c>
      <c r="P949" t="inlineStr">
        <is>
          <t>2026-08-10T19:29:54Z</t>
        </is>
      </c>
    </row>
    <row r="950">
      <c r="A950" s="19" t="inlineStr">
        <is>
          <t>949</t>
        </is>
      </c>
      <c r="B950" s="19" t="inlineStr">
        <is>
          <t>SC-1014645-ST-056-EUR-03</t>
        </is>
      </c>
      <c r="C950" t="inlineStr">
        <is>
          <t>1014645 → ST-056-EUR-03</t>
        </is>
      </c>
      <c r="D950" s="19" t="inlineStr">
        <is>
          <t>2</t>
        </is>
      </c>
      <c r="E950" s="19" t="inlineStr">
        <is>
          <t>1504</t>
        </is>
      </c>
      <c r="F950" s="19" t="inlineStr">
        <is>
          <t>127</t>
        </is>
      </c>
      <c r="G950" s="19" t="n"/>
      <c r="H950" s="19" t="inlineStr">
        <is>
          <t>2</t>
        </is>
      </c>
      <c r="I950" s="19" t="n"/>
      <c r="J950" s="19" t="n"/>
      <c r="K950" s="19" t="inlineStr">
        <is>
          <t>2</t>
        </is>
      </c>
      <c r="L950" t="inlineStr">
        <is>
          <t>2026-08-08</t>
        </is>
      </c>
      <c r="N950" t="inlineStr">
        <is>
          <t>IN_SCOPE_FINAL; SOURCE_CFG=IA-ST-CFG-0152; MARKET=None; STATUS=IN OEM / EU PACKAGE</t>
        </is>
      </c>
      <c r="O950" t="inlineStr">
        <is>
          <t>2026-08-10T19:29:54Z</t>
        </is>
      </c>
      <c r="P950" t="inlineStr">
        <is>
          <t>2026-08-10T19:29:54Z</t>
        </is>
      </c>
    </row>
    <row r="951">
      <c r="A951" s="19" t="inlineStr">
        <is>
          <t>950</t>
        </is>
      </c>
      <c r="B951" s="19" t="inlineStr">
        <is>
          <t>SC-1014771-ST-056-EUR-03</t>
        </is>
      </c>
      <c r="C951" t="inlineStr">
        <is>
          <t>1014771 → ST-056-EUR-03</t>
        </is>
      </c>
      <c r="D951" s="19" t="inlineStr">
        <is>
          <t>2</t>
        </is>
      </c>
      <c r="E951" s="19" t="inlineStr">
        <is>
          <t>1596</t>
        </is>
      </c>
      <c r="F951" s="19" t="inlineStr">
        <is>
          <t>127</t>
        </is>
      </c>
      <c r="G951" s="19" t="n"/>
      <c r="H951" s="19" t="inlineStr">
        <is>
          <t>2</t>
        </is>
      </c>
      <c r="I951" s="19" t="n"/>
      <c r="J951" s="19" t="n"/>
      <c r="K951" s="19" t="inlineStr">
        <is>
          <t>2</t>
        </is>
      </c>
      <c r="L951" t="inlineStr">
        <is>
          <t>2026-08-08</t>
        </is>
      </c>
      <c r="N951" t="inlineStr">
        <is>
          <t>IN_SCOPE_FINAL; SOURCE_CFG=IA-ST-CFG-0152; MARKET=None; STATUS=IN OEM / EU PACKAGE</t>
        </is>
      </c>
      <c r="O951" t="inlineStr">
        <is>
          <t>2026-08-10T19:29:54Z</t>
        </is>
      </c>
      <c r="P951" t="inlineStr">
        <is>
          <t>2026-08-10T19:29:54Z</t>
        </is>
      </c>
    </row>
    <row r="952">
      <c r="A952" s="19" t="inlineStr">
        <is>
          <t>951</t>
        </is>
      </c>
      <c r="B952" s="19" t="inlineStr">
        <is>
          <t>SC-1013195-ST-056-EUR-03</t>
        </is>
      </c>
      <c r="C952" t="inlineStr">
        <is>
          <t>1013195 → ST-056-EUR-03</t>
        </is>
      </c>
      <c r="D952" s="19" t="inlineStr">
        <is>
          <t>2</t>
        </is>
      </c>
      <c r="E952" s="19" t="inlineStr">
        <is>
          <t>942</t>
        </is>
      </c>
      <c r="F952" s="19" t="inlineStr">
        <is>
          <t>127</t>
        </is>
      </c>
      <c r="G952" s="19" t="n"/>
      <c r="H952" s="19" t="inlineStr">
        <is>
          <t>2</t>
        </is>
      </c>
      <c r="I952" s="19" t="n"/>
      <c r="J952" s="19" t="n"/>
      <c r="K952" s="19" t="inlineStr">
        <is>
          <t>2</t>
        </is>
      </c>
      <c r="L952" t="inlineStr">
        <is>
          <t>2026-08-08</t>
        </is>
      </c>
      <c r="N952" t="inlineStr">
        <is>
          <t>IN_SCOPE_FINAL; SOURCE_CFG=IA-ST-CFG-0152; MARKET=LAMPA ITALY İTALYA; STATUS=IN OEM / EU PACKAGE</t>
        </is>
      </c>
      <c r="O952" t="inlineStr">
        <is>
          <t>2026-08-10T19:29:54Z</t>
        </is>
      </c>
      <c r="P952" t="inlineStr">
        <is>
          <t>2026-08-10T19:29:54Z</t>
        </is>
      </c>
    </row>
    <row r="953">
      <c r="A953" s="19" t="inlineStr">
        <is>
          <t>952</t>
        </is>
      </c>
      <c r="B953" s="19" t="inlineStr">
        <is>
          <t>SC-1012600-ST-056-EUR-03</t>
        </is>
      </c>
      <c r="C953" t="inlineStr">
        <is>
          <t>1012600 → ST-056-EUR-03</t>
        </is>
      </c>
      <c r="D953" s="19" t="inlineStr">
        <is>
          <t>2</t>
        </is>
      </c>
      <c r="E953" s="19" t="inlineStr">
        <is>
          <t>712</t>
        </is>
      </c>
      <c r="F953" s="19" t="inlineStr">
        <is>
          <t>127</t>
        </is>
      </c>
      <c r="G953" s="19" t="n"/>
      <c r="H953" s="19" t="inlineStr">
        <is>
          <t>2</t>
        </is>
      </c>
      <c r="I953" s="19" t="n"/>
      <c r="J953" s="19" t="n"/>
      <c r="K953" s="19" t="inlineStr">
        <is>
          <t>2</t>
        </is>
      </c>
      <c r="L953" t="inlineStr">
        <is>
          <t>2026-08-08</t>
        </is>
      </c>
      <c r="N953" t="inlineStr">
        <is>
          <t>IN_SCOPE_FINAL; SOURCE_CFG=IA-ST-CFG-0152; MARKET=ATHLANTIC SUHI; STATUS=IN OEM / EU PACKAGE</t>
        </is>
      </c>
      <c r="O953" t="inlineStr">
        <is>
          <t>2026-08-10T19:29:54Z</t>
        </is>
      </c>
      <c r="P953" t="inlineStr">
        <is>
          <t>2026-08-10T19:29:54Z</t>
        </is>
      </c>
    </row>
    <row r="954">
      <c r="A954" s="19" t="inlineStr">
        <is>
          <t>953</t>
        </is>
      </c>
      <c r="B954" s="19" t="inlineStr">
        <is>
          <t>SC-1008311-ST-056-EUR-04</t>
        </is>
      </c>
      <c r="C954" t="inlineStr">
        <is>
          <t>1008311 → ST-056-EUR-04</t>
        </is>
      </c>
      <c r="D954" s="19" t="inlineStr">
        <is>
          <t>2</t>
        </is>
      </c>
      <c r="E954" s="19" t="inlineStr">
        <is>
          <t>84</t>
        </is>
      </c>
      <c r="F954" s="19" t="inlineStr">
        <is>
          <t>128</t>
        </is>
      </c>
      <c r="G954" s="19" t="n"/>
      <c r="H954" s="19" t="inlineStr">
        <is>
          <t>2</t>
        </is>
      </c>
      <c r="I954" s="19" t="n"/>
      <c r="J954" s="19" t="n"/>
      <c r="K954" s="19" t="inlineStr">
        <is>
          <t>2</t>
        </is>
      </c>
      <c r="L954" t="inlineStr">
        <is>
          <t>2026-08-08</t>
        </is>
      </c>
      <c r="N954" t="inlineStr">
        <is>
          <t>IN_SCOPE_FINAL; SOURCE_CFG=IA-ST-CFG-0153; MARKET=DORFELT ALMANYA; STATUS=IN OEM / EU PACKAGE</t>
        </is>
      </c>
      <c r="O954" t="inlineStr">
        <is>
          <t>2026-08-10T19:29:54Z</t>
        </is>
      </c>
      <c r="P954" t="inlineStr">
        <is>
          <t>2026-08-10T19:29:54Z</t>
        </is>
      </c>
    </row>
    <row r="955">
      <c r="A955" s="19" t="inlineStr">
        <is>
          <t>954</t>
        </is>
      </c>
      <c r="B955" s="19" t="inlineStr">
        <is>
          <t>SC-1013638-ST-056-EUR-04</t>
        </is>
      </c>
      <c r="C955" t="inlineStr">
        <is>
          <t>1013638 → ST-056-EUR-04</t>
        </is>
      </c>
      <c r="D955" s="19" t="inlineStr">
        <is>
          <t>2</t>
        </is>
      </c>
      <c r="E955" s="19" t="inlineStr">
        <is>
          <t>1054</t>
        </is>
      </c>
      <c r="F955" s="19" t="inlineStr">
        <is>
          <t>128</t>
        </is>
      </c>
      <c r="G955" s="19" t="n"/>
      <c r="H955" s="19" t="inlineStr">
        <is>
          <t>2</t>
        </is>
      </c>
      <c r="I955" s="19" t="n"/>
      <c r="J955" s="19" t="n"/>
      <c r="K955" s="19" t="inlineStr">
        <is>
          <t>2</t>
        </is>
      </c>
      <c r="L955" t="inlineStr">
        <is>
          <t>2026-08-08</t>
        </is>
      </c>
      <c r="N955" t="inlineStr">
        <is>
          <t>IN_SCOPE_FINAL; SOURCE_CFG=IA-ST-CFG-0153; MARKET=CAR PARTS DISTRIBUZIONE İTALYA; STATUS=IN OEM / EU PACKAGE</t>
        </is>
      </c>
      <c r="O955" t="inlineStr">
        <is>
          <t>2026-08-10T19:29:54Z</t>
        </is>
      </c>
      <c r="P955" t="inlineStr">
        <is>
          <t>2026-08-10T19:29:54Z</t>
        </is>
      </c>
    </row>
    <row r="956">
      <c r="A956" s="19" t="inlineStr">
        <is>
          <t>955</t>
        </is>
      </c>
      <c r="B956" s="19" t="inlineStr">
        <is>
          <t>SC-1013639-ST-056-EUR-04</t>
        </is>
      </c>
      <c r="C956" t="inlineStr">
        <is>
          <t>1013639 → ST-056-EUR-04</t>
        </is>
      </c>
      <c r="D956" s="19" t="inlineStr">
        <is>
          <t>2</t>
        </is>
      </c>
      <c r="E956" s="19" t="inlineStr">
        <is>
          <t>1055</t>
        </is>
      </c>
      <c r="F956" s="19" t="inlineStr">
        <is>
          <t>128</t>
        </is>
      </c>
      <c r="G956" s="19" t="n"/>
      <c r="H956" s="19" t="inlineStr">
        <is>
          <t>2</t>
        </is>
      </c>
      <c r="I956" s="19" t="n"/>
      <c r="J956" s="19" t="n"/>
      <c r="K956" s="19" t="inlineStr">
        <is>
          <t>2</t>
        </is>
      </c>
      <c r="L956" t="inlineStr">
        <is>
          <t>2026-08-08</t>
        </is>
      </c>
      <c r="N956" t="inlineStr">
        <is>
          <t>IN_SCOPE_FINAL; SOURCE_CFG=IA-ST-CFG-0153; MARKET=CAR PARTS DISTRIBUZIONE İTALYA; STATUS=IN OEM / EU PACKAGE</t>
        </is>
      </c>
      <c r="O956" t="inlineStr">
        <is>
          <t>2026-08-10T19:29:54Z</t>
        </is>
      </c>
      <c r="P956" t="inlineStr">
        <is>
          <t>2026-08-10T19:29:54Z</t>
        </is>
      </c>
    </row>
    <row r="957">
      <c r="A957" s="19" t="inlineStr">
        <is>
          <t>956</t>
        </is>
      </c>
      <c r="B957" s="19" t="inlineStr">
        <is>
          <t>SC-1013722-ST-056-EUR-04</t>
        </is>
      </c>
      <c r="C957" t="inlineStr">
        <is>
          <t>1013722 → ST-056-EUR-04</t>
        </is>
      </c>
      <c r="D957" s="19" t="inlineStr">
        <is>
          <t>2</t>
        </is>
      </c>
      <c r="E957" s="19" t="inlineStr">
        <is>
          <t>1072</t>
        </is>
      </c>
      <c r="F957" s="19" t="inlineStr">
        <is>
          <t>128</t>
        </is>
      </c>
      <c r="G957" s="19" t="n"/>
      <c r="H957" s="19" t="inlineStr">
        <is>
          <t>2</t>
        </is>
      </c>
      <c r="I957" s="19" t="n"/>
      <c r="J957" s="19" t="n"/>
      <c r="K957" s="19" t="inlineStr">
        <is>
          <t>2</t>
        </is>
      </c>
      <c r="L957" t="inlineStr">
        <is>
          <t>2026-08-08</t>
        </is>
      </c>
      <c r="N957" t="inlineStr">
        <is>
          <t>IN_SCOPE_FINAL; SOURCE_CFG=IA-ST-CFG-0153; MARKET=CAR PARTS DISTRIBUZIONE İTALYA; STATUS=IN OEM / EU PACKAGE</t>
        </is>
      </c>
      <c r="O957" t="inlineStr">
        <is>
          <t>2026-08-10T19:29:54Z</t>
        </is>
      </c>
      <c r="P957" t="inlineStr">
        <is>
          <t>2026-08-10T19:29:54Z</t>
        </is>
      </c>
    </row>
    <row r="958">
      <c r="A958" s="19" t="inlineStr">
        <is>
          <t>957</t>
        </is>
      </c>
      <c r="B958" s="19" t="inlineStr">
        <is>
          <t>SC-1013834-ST-056-EUR-04</t>
        </is>
      </c>
      <c r="C958" t="inlineStr">
        <is>
          <t>1013834 → ST-056-EUR-04</t>
        </is>
      </c>
      <c r="D958" s="19" t="inlineStr">
        <is>
          <t>2</t>
        </is>
      </c>
      <c r="E958" s="19" t="inlineStr">
        <is>
          <t>1103</t>
        </is>
      </c>
      <c r="F958" s="19" t="inlineStr">
        <is>
          <t>128</t>
        </is>
      </c>
      <c r="G958" s="19" t="n"/>
      <c r="H958" s="19" t="inlineStr">
        <is>
          <t>2</t>
        </is>
      </c>
      <c r="I958" s="19" t="n"/>
      <c r="J958" s="19" t="n"/>
      <c r="K958" s="19" t="inlineStr">
        <is>
          <t>2</t>
        </is>
      </c>
      <c r="L958" t="inlineStr">
        <is>
          <t>2026-08-08</t>
        </is>
      </c>
      <c r="N958" t="inlineStr">
        <is>
          <t>IN_SCOPE_FINAL; SOURCE_CFG=IA-ST-CFG-0153; MARKET=CAR PARTS DISTRIBUZIONE İTALYA; STATUS=IN OEM / EU PACKAGE</t>
        </is>
      </c>
      <c r="O958" t="inlineStr">
        <is>
          <t>2026-08-10T19:29:54Z</t>
        </is>
      </c>
      <c r="P958" t="inlineStr">
        <is>
          <t>2026-08-10T19:29:54Z</t>
        </is>
      </c>
    </row>
    <row r="959">
      <c r="A959" s="19" t="inlineStr">
        <is>
          <t>958</t>
        </is>
      </c>
      <c r="B959" s="19" t="inlineStr">
        <is>
          <t>SC-1011017-ST-057-STD-01</t>
        </is>
      </c>
      <c r="C959" t="inlineStr">
        <is>
          <t>1011017 → ST-057-STD-01</t>
        </is>
      </c>
      <c r="D959" s="19" t="inlineStr">
        <is>
          <t>2</t>
        </is>
      </c>
      <c r="E959" s="19" t="inlineStr">
        <is>
          <t>223</t>
        </is>
      </c>
      <c r="F959" s="19" t="inlineStr">
        <is>
          <t>134</t>
        </is>
      </c>
      <c r="G959" s="19" t="n"/>
      <c r="H959" s="19" t="inlineStr">
        <is>
          <t>2</t>
        </is>
      </c>
      <c r="I959" s="19" t="n"/>
      <c r="J959" s="19" t="n"/>
      <c r="K959" s="19" t="inlineStr">
        <is>
          <t>2</t>
        </is>
      </c>
      <c r="L959" t="inlineStr">
        <is>
          <t>2026-08-08</t>
        </is>
      </c>
      <c r="N959" t="inlineStr">
        <is>
          <t>IN_SCOPE_FINAL; SOURCE_CFG=IA-ST-CFG-0155; MARKET=YURT İÇİ AFM; STATUS=IN OEM / EU PACKAGE</t>
        </is>
      </c>
      <c r="O959" t="inlineStr">
        <is>
          <t>2026-08-10T19:29:54Z</t>
        </is>
      </c>
      <c r="P959" t="inlineStr">
        <is>
          <t>2026-08-10T19:29:54Z</t>
        </is>
      </c>
    </row>
    <row r="960">
      <c r="A960" s="19" t="inlineStr">
        <is>
          <t>959</t>
        </is>
      </c>
      <c r="B960" s="19" t="inlineStr">
        <is>
          <t>SC-1012156-ST-057-STD-02</t>
        </is>
      </c>
      <c r="C960" t="inlineStr">
        <is>
          <t>1012156 → ST-057-STD-02</t>
        </is>
      </c>
      <c r="D960" s="19" t="inlineStr">
        <is>
          <t>2</t>
        </is>
      </c>
      <c r="E960" s="19" t="inlineStr">
        <is>
          <t>549</t>
        </is>
      </c>
      <c r="F960" s="19" t="inlineStr">
        <is>
          <t>135</t>
        </is>
      </c>
      <c r="G960" s="19" t="n"/>
      <c r="H960" s="19" t="inlineStr">
        <is>
          <t>2</t>
        </is>
      </c>
      <c r="I960" s="19" t="n"/>
      <c r="J960" s="19" t="n"/>
      <c r="K960" s="19" t="inlineStr">
        <is>
          <t>2</t>
        </is>
      </c>
      <c r="L960" t="inlineStr">
        <is>
          <t>2026-08-08</t>
        </is>
      </c>
      <c r="N960" t="inlineStr">
        <is>
          <t>IN_SCOPE_FINAL; SOURCE_CFG=IA-ST-CFG-0156; MARKET=MISIR ATWAN; STATUS=IN OEM / EU PACKAGE</t>
        </is>
      </c>
      <c r="O960" t="inlineStr">
        <is>
          <t>2026-08-10T19:29:54Z</t>
        </is>
      </c>
      <c r="P960" t="inlineStr">
        <is>
          <t>2026-08-10T19:29:54Z</t>
        </is>
      </c>
    </row>
    <row r="961">
      <c r="A961" s="19" t="inlineStr">
        <is>
          <t>960</t>
        </is>
      </c>
      <c r="B961" s="19" t="inlineStr">
        <is>
          <t>SC-1013321-ST-057-STD-03</t>
        </is>
      </c>
      <c r="C961" t="inlineStr">
        <is>
          <t>1013321 → ST-057-STD-03</t>
        </is>
      </c>
      <c r="D961" s="19" t="inlineStr">
        <is>
          <t>2</t>
        </is>
      </c>
      <c r="E961" s="19" t="inlineStr">
        <is>
          <t>976</t>
        </is>
      </c>
      <c r="F961" s="19" t="inlineStr">
        <is>
          <t>136</t>
        </is>
      </c>
      <c r="G961" s="19" t="n"/>
      <c r="H961" s="19" t="inlineStr">
        <is>
          <t>2</t>
        </is>
      </c>
      <c r="I961" s="19" t="n"/>
      <c r="J961" s="19" t="n"/>
      <c r="K961" s="19" t="inlineStr">
        <is>
          <t>2</t>
        </is>
      </c>
      <c r="L961" t="inlineStr">
        <is>
          <t>2026-08-08</t>
        </is>
      </c>
      <c r="N961" t="inlineStr">
        <is>
          <t>IN_SCOPE_FINAL; SOURCE_CFG=IA-ST-CFG-0157; MARKET=YUASA 3000 EXPORT; STATUS=IN OEM / EU PACKAGE</t>
        </is>
      </c>
      <c r="O961" t="inlineStr">
        <is>
          <t>2026-08-10T19:29:54Z</t>
        </is>
      </c>
      <c r="P961" t="inlineStr">
        <is>
          <t>2026-08-10T19:29:54Z</t>
        </is>
      </c>
    </row>
    <row r="962">
      <c r="A962" s="19" t="inlineStr">
        <is>
          <t>961</t>
        </is>
      </c>
      <c r="B962" s="19" t="inlineStr">
        <is>
          <t>SC-1013791-ST-057-STD-03</t>
        </is>
      </c>
      <c r="C962" t="inlineStr">
        <is>
          <t>1013791 → ST-057-STD-03</t>
        </is>
      </c>
      <c r="D962" s="19" t="inlineStr">
        <is>
          <t>2</t>
        </is>
      </c>
      <c r="E962" s="19" t="inlineStr">
        <is>
          <t>1098</t>
        </is>
      </c>
      <c r="F962" s="19" t="inlineStr">
        <is>
          <t>136</t>
        </is>
      </c>
      <c r="G962" s="19" t="n"/>
      <c r="H962" s="19" t="inlineStr">
        <is>
          <t>2</t>
        </is>
      </c>
      <c r="I962" s="19" t="n"/>
      <c r="J962" s="19" t="n"/>
      <c r="K962" s="19" t="inlineStr">
        <is>
          <t>2</t>
        </is>
      </c>
      <c r="L962" t="inlineStr">
        <is>
          <t>2026-08-08</t>
        </is>
      </c>
      <c r="N962" t="inlineStr">
        <is>
          <t>IN_SCOPE_FINAL; SOURCE_CFG=IA-ST-CFG-0157; MARKET=SHAWKAT; STATUS=IN OEM / EU PACKAGE</t>
        </is>
      </c>
      <c r="O962" t="inlineStr">
        <is>
          <t>2026-08-10T19:29:54Z</t>
        </is>
      </c>
      <c r="P962" t="inlineStr">
        <is>
          <t>2026-08-10T19:29:54Z</t>
        </is>
      </c>
    </row>
    <row r="963">
      <c r="A963" s="19" t="inlineStr">
        <is>
          <t>962</t>
        </is>
      </c>
      <c r="B963" s="19" t="inlineStr">
        <is>
          <t>SC-1013222-ST-057-EUR-01</t>
        </is>
      </c>
      <c r="C963" t="inlineStr">
        <is>
          <t>1013222 → ST-057-EUR-01</t>
        </is>
      </c>
      <c r="D963" s="19" t="inlineStr">
        <is>
          <t>2</t>
        </is>
      </c>
      <c r="E963" s="19" t="inlineStr">
        <is>
          <t>949</t>
        </is>
      </c>
      <c r="F963" s="19" t="inlineStr">
        <is>
          <t>129</t>
        </is>
      </c>
      <c r="G963" s="19" t="n"/>
      <c r="H963" s="19" t="inlineStr">
        <is>
          <t>2</t>
        </is>
      </c>
      <c r="I963" s="19" t="n"/>
      <c r="J963" s="19" t="n"/>
      <c r="K963" s="19" t="inlineStr">
        <is>
          <t>2</t>
        </is>
      </c>
      <c r="L963" t="inlineStr">
        <is>
          <t>2026-08-08</t>
        </is>
      </c>
      <c r="N963" t="inlineStr">
        <is>
          <t>IN_SCOPE_FINAL; SOURCE_CFG=IA-ST-CFG-0160; MARKET=GY EUR; STATUS=IN OEM / EU PACKAGE</t>
        </is>
      </c>
      <c r="O963" t="inlineStr">
        <is>
          <t>2026-08-10T19:29:54Z</t>
        </is>
      </c>
      <c r="P963" t="inlineStr">
        <is>
          <t>2026-08-10T19:29:54Z</t>
        </is>
      </c>
    </row>
    <row r="964">
      <c r="A964" s="19" t="inlineStr">
        <is>
          <t>963</t>
        </is>
      </c>
      <c r="B964" s="19" t="inlineStr">
        <is>
          <t>SC-1012972-ST-057-EUR-01</t>
        </is>
      </c>
      <c r="C964" t="inlineStr">
        <is>
          <t>1012972 → ST-057-EUR-01</t>
        </is>
      </c>
      <c r="D964" s="19" t="inlineStr">
        <is>
          <t>2</t>
        </is>
      </c>
      <c r="E964" s="19" t="inlineStr">
        <is>
          <t>889</t>
        </is>
      </c>
      <c r="F964" s="19" t="inlineStr">
        <is>
          <t>129</t>
        </is>
      </c>
      <c r="G964" s="19" t="n"/>
      <c r="H964" s="19" t="inlineStr">
        <is>
          <t>2</t>
        </is>
      </c>
      <c r="I964" s="19" t="n"/>
      <c r="J964" s="19" t="n"/>
      <c r="K964" s="19" t="inlineStr">
        <is>
          <t>2</t>
        </is>
      </c>
      <c r="L964" t="inlineStr">
        <is>
          <t>2026-08-08</t>
        </is>
      </c>
      <c r="N964" t="inlineStr">
        <is>
          <t>IN_SCOPE_FINAL; SOURCE_CFG=IA-ST-CFG-0160; MARKET=GS; STATUS=IN OEM / EU PACKAGE</t>
        </is>
      </c>
      <c r="O964" t="inlineStr">
        <is>
          <t>2026-08-10T19:29:54Z</t>
        </is>
      </c>
      <c r="P964" t="inlineStr">
        <is>
          <t>2026-08-10T19:29:54Z</t>
        </is>
      </c>
    </row>
    <row r="965">
      <c r="A965" s="19" t="inlineStr">
        <is>
          <t>964</t>
        </is>
      </c>
      <c r="B965" s="19" t="inlineStr">
        <is>
          <t>SC-1012973-ST-057-EUR-01</t>
        </is>
      </c>
      <c r="C965" t="inlineStr">
        <is>
          <t>1012973 → ST-057-EUR-01</t>
        </is>
      </c>
      <c r="D965" s="19" t="inlineStr">
        <is>
          <t>2</t>
        </is>
      </c>
      <c r="E965" s="19" t="inlineStr">
        <is>
          <t>890</t>
        </is>
      </c>
      <c r="F965" s="19" t="inlineStr">
        <is>
          <t>129</t>
        </is>
      </c>
      <c r="G965" s="19" t="n"/>
      <c r="H965" s="19" t="inlineStr">
        <is>
          <t>2</t>
        </is>
      </c>
      <c r="I965" s="19" t="n"/>
      <c r="J965" s="19" t="n"/>
      <c r="K965" s="19" t="inlineStr">
        <is>
          <t>2</t>
        </is>
      </c>
      <c r="L965" t="inlineStr">
        <is>
          <t>2026-08-08</t>
        </is>
      </c>
      <c r="N965" t="inlineStr">
        <is>
          <t>IN_SCOPE_FINAL; SOURCE_CFG=IA-ST-CFG-0160; MARKET=GS; STATUS=IN OEM / EU PACKAGE</t>
        </is>
      </c>
      <c r="O965" t="inlineStr">
        <is>
          <t>2026-08-10T19:29:54Z</t>
        </is>
      </c>
      <c r="P965" t="inlineStr">
        <is>
          <t>2026-08-10T19:29:54Z</t>
        </is>
      </c>
    </row>
    <row r="966">
      <c r="A966" s="19" t="inlineStr">
        <is>
          <t>965</t>
        </is>
      </c>
      <c r="B966" s="19" t="inlineStr">
        <is>
          <t>SC-1015004-ST-057-EUR-01</t>
        </is>
      </c>
      <c r="C966" t="inlineStr">
        <is>
          <t>1015004 → ST-057-EUR-01</t>
        </is>
      </c>
      <c r="D966" s="19" t="inlineStr">
        <is>
          <t>2</t>
        </is>
      </c>
      <c r="E966" s="19" t="inlineStr">
        <is>
          <t>1765</t>
        </is>
      </c>
      <c r="F966" s="19" t="inlineStr">
        <is>
          <t>129</t>
        </is>
      </c>
      <c r="G966" s="19" t="n"/>
      <c r="H966" s="19" t="inlineStr">
        <is>
          <t>2</t>
        </is>
      </c>
      <c r="I966" s="19" t="n"/>
      <c r="J966" s="19" t="n"/>
      <c r="K966" s="19" t="inlineStr">
        <is>
          <t>2</t>
        </is>
      </c>
      <c r="L966" t="inlineStr">
        <is>
          <t>2026-08-08</t>
        </is>
      </c>
      <c r="N966" t="inlineStr">
        <is>
          <t>IN_SCOPE_FINAL; SOURCE_CFG=IA-ST-CFG-0160; MARKET=GS; STATUS=IN OEM / EU PACKAGE</t>
        </is>
      </c>
      <c r="O966" t="inlineStr">
        <is>
          <t>2026-08-10T19:29:54Z</t>
        </is>
      </c>
      <c r="P966" t="inlineStr">
        <is>
          <t>2026-08-10T19:29:54Z</t>
        </is>
      </c>
    </row>
    <row r="967">
      <c r="A967" s="19" t="inlineStr">
        <is>
          <t>966</t>
        </is>
      </c>
      <c r="B967" s="19" t="inlineStr">
        <is>
          <t>SC-1015005-ST-057-EUR-01</t>
        </is>
      </c>
      <c r="C967" t="inlineStr">
        <is>
          <t>1015005 → ST-057-EUR-01</t>
        </is>
      </c>
      <c r="D967" s="19" t="inlineStr">
        <is>
          <t>2</t>
        </is>
      </c>
      <c r="E967" s="19" t="inlineStr">
        <is>
          <t>1766</t>
        </is>
      </c>
      <c r="F967" s="19" t="inlineStr">
        <is>
          <t>129</t>
        </is>
      </c>
      <c r="G967" s="19" t="n"/>
      <c r="H967" s="19" t="inlineStr">
        <is>
          <t>2</t>
        </is>
      </c>
      <c r="I967" s="19" t="n"/>
      <c r="J967" s="19" t="n"/>
      <c r="K967" s="19" t="inlineStr">
        <is>
          <t>2</t>
        </is>
      </c>
      <c r="L967" t="inlineStr">
        <is>
          <t>2026-08-08</t>
        </is>
      </c>
      <c r="N967" t="inlineStr">
        <is>
          <t>IN_SCOPE_FINAL; SOURCE_CFG=IA-ST-CFG-0160; MARKET=GS; STATUS=IN OEM / EU PACKAGE</t>
        </is>
      </c>
      <c r="O967" t="inlineStr">
        <is>
          <t>2026-08-10T19:29:54Z</t>
        </is>
      </c>
      <c r="P967" t="inlineStr">
        <is>
          <t>2026-08-10T19:29:54Z</t>
        </is>
      </c>
    </row>
    <row r="968">
      <c r="A968" s="19" t="inlineStr">
        <is>
          <t>967</t>
        </is>
      </c>
      <c r="B968" s="19" t="inlineStr">
        <is>
          <t>SC-1015178-ST-057-EUR-01</t>
        </is>
      </c>
      <c r="C968" t="inlineStr">
        <is>
          <t>1015178 → ST-057-EUR-01</t>
        </is>
      </c>
      <c r="D968" s="19" t="inlineStr">
        <is>
          <t>2</t>
        </is>
      </c>
      <c r="E968" s="19" t="inlineStr">
        <is>
          <t>1923</t>
        </is>
      </c>
      <c r="F968" s="19" t="inlineStr">
        <is>
          <t>129</t>
        </is>
      </c>
      <c r="G968" s="19" t="n"/>
      <c r="H968" s="19" t="inlineStr">
        <is>
          <t>2</t>
        </is>
      </c>
      <c r="I968" s="19" t="n"/>
      <c r="J968" s="19" t="n"/>
      <c r="K968" s="19" t="inlineStr">
        <is>
          <t>2</t>
        </is>
      </c>
      <c r="L968" t="inlineStr">
        <is>
          <t>2026-08-08</t>
        </is>
      </c>
      <c r="N968" t="inlineStr">
        <is>
          <t>IN_SCOPE_FINAL; SOURCE_CFG=IA-ST-CFG-0160; MARKET=GY NRD (ADN BALTIC NORDIC); STATUS=IN OEM / EU PACKAGE</t>
        </is>
      </c>
      <c r="O968" t="inlineStr">
        <is>
          <t>2026-08-10T19:29:54Z</t>
        </is>
      </c>
      <c r="P968" t="inlineStr">
        <is>
          <t>2026-08-10T19:29:54Z</t>
        </is>
      </c>
    </row>
    <row r="969">
      <c r="A969" s="19" t="inlineStr">
        <is>
          <t>968</t>
        </is>
      </c>
      <c r="B969" s="19" t="inlineStr">
        <is>
          <t>SC-1015179-ST-057-EUR-01</t>
        </is>
      </c>
      <c r="C969" t="inlineStr">
        <is>
          <t>1015179 → ST-057-EUR-01</t>
        </is>
      </c>
      <c r="D969" s="19" t="inlineStr">
        <is>
          <t>2</t>
        </is>
      </c>
      <c r="E969" s="19" t="inlineStr">
        <is>
          <t>1924</t>
        </is>
      </c>
      <c r="F969" s="19" t="inlineStr">
        <is>
          <t>129</t>
        </is>
      </c>
      <c r="G969" s="19" t="n"/>
      <c r="H969" s="19" t="inlineStr">
        <is>
          <t>2</t>
        </is>
      </c>
      <c r="I969" s="19" t="n"/>
      <c r="J969" s="19" t="n"/>
      <c r="K969" s="19" t="inlineStr">
        <is>
          <t>2</t>
        </is>
      </c>
      <c r="L969" t="inlineStr">
        <is>
          <t>2026-08-08</t>
        </is>
      </c>
      <c r="N969" t="inlineStr">
        <is>
          <t>IN_SCOPE_FINAL; SOURCE_CFG=IA-ST-CFG-0160; MARKET=GY NRD (ADN BALTIC NORDIC); STATUS=IN OEM / EU PACKAGE</t>
        </is>
      </c>
      <c r="O969" t="inlineStr">
        <is>
          <t>2026-08-10T19:29:54Z</t>
        </is>
      </c>
      <c r="P969" t="inlineStr">
        <is>
          <t>2026-08-10T19:29:54Z</t>
        </is>
      </c>
    </row>
    <row r="970">
      <c r="A970" s="19" t="inlineStr">
        <is>
          <t>969</t>
        </is>
      </c>
      <c r="B970" s="19" t="inlineStr">
        <is>
          <t>SC-1014714-ST-057-EUR-02</t>
        </is>
      </c>
      <c r="C970" t="inlineStr">
        <is>
          <t>1014714 → ST-057-EUR-02</t>
        </is>
      </c>
      <c r="D970" s="19" t="inlineStr">
        <is>
          <t>2</t>
        </is>
      </c>
      <c r="E970" s="19" t="inlineStr">
        <is>
          <t>1560</t>
        </is>
      </c>
      <c r="F970" s="19" t="inlineStr">
        <is>
          <t>130</t>
        </is>
      </c>
      <c r="G970" s="19" t="n"/>
      <c r="H970" s="19" t="inlineStr">
        <is>
          <t>2</t>
        </is>
      </c>
      <c r="I970" s="19" t="n"/>
      <c r="J970" s="19" t="n"/>
      <c r="K970" s="19" t="inlineStr">
        <is>
          <t>2</t>
        </is>
      </c>
      <c r="L970" t="inlineStr">
        <is>
          <t>2026-08-08</t>
        </is>
      </c>
      <c r="N970" t="inlineStr">
        <is>
          <t>IN_SCOPE_FINAL; SOURCE_CFG=IA-ST-CFG-0161; MARKET=BATERIE PRZEMYSLOWE POLONYA; STATUS=IN OEM / EU PACKAGE</t>
        </is>
      </c>
      <c r="O970" t="inlineStr">
        <is>
          <t>2026-08-10T19:29:54Z</t>
        </is>
      </c>
      <c r="P970" t="inlineStr">
        <is>
          <t>2026-08-10T19:29:54Z</t>
        </is>
      </c>
    </row>
    <row r="971">
      <c r="A971" s="19" t="inlineStr">
        <is>
          <t>970</t>
        </is>
      </c>
      <c r="B971" s="19" t="inlineStr">
        <is>
          <t>SC-1014932-ST-057-EUR-02</t>
        </is>
      </c>
      <c r="C971" t="inlineStr">
        <is>
          <t>1014932 → ST-057-EUR-02</t>
        </is>
      </c>
      <c r="D971" s="19" t="inlineStr">
        <is>
          <t>2</t>
        </is>
      </c>
      <c r="E971" s="19" t="inlineStr">
        <is>
          <t>1700</t>
        </is>
      </c>
      <c r="F971" s="19" t="inlineStr">
        <is>
          <t>130</t>
        </is>
      </c>
      <c r="G971" s="19" t="n"/>
      <c r="H971" s="19" t="inlineStr">
        <is>
          <t>2</t>
        </is>
      </c>
      <c r="I971" s="19" t="n"/>
      <c r="J971" s="19" t="n"/>
      <c r="K971" s="19" t="inlineStr">
        <is>
          <t>2</t>
        </is>
      </c>
      <c r="L971" t="inlineStr">
        <is>
          <t>2026-08-08</t>
        </is>
      </c>
      <c r="N971" t="inlineStr">
        <is>
          <t>IN_SCOPE_FINAL; SOURCE_CFG=IA-ST-CFG-0161; MARKET=CAR PARTS DISTRIBUZIONE İTALYA; STATUS=IN OEM / EU PACKAGE</t>
        </is>
      </c>
      <c r="O971" t="inlineStr">
        <is>
          <t>2026-08-10T19:29:54Z</t>
        </is>
      </c>
      <c r="P971" t="inlineStr">
        <is>
          <t>2026-08-10T19:29:54Z</t>
        </is>
      </c>
    </row>
    <row r="972">
      <c r="A972" s="19" t="inlineStr">
        <is>
          <t>971</t>
        </is>
      </c>
      <c r="B972" s="19" t="inlineStr">
        <is>
          <t>SC-1014403-ST-057-EUR-03</t>
        </is>
      </c>
      <c r="C972" t="inlineStr">
        <is>
          <t>1014403 → ST-057-EUR-03</t>
        </is>
      </c>
      <c r="D972" s="19" t="inlineStr">
        <is>
          <t>2</t>
        </is>
      </c>
      <c r="E972" s="19" t="inlineStr">
        <is>
          <t>1351</t>
        </is>
      </c>
      <c r="F972" s="19" t="inlineStr">
        <is>
          <t>131</t>
        </is>
      </c>
      <c r="G972" s="19" t="n"/>
      <c r="H972" s="19" t="inlineStr">
        <is>
          <t>2</t>
        </is>
      </c>
      <c r="I972" s="19" t="n"/>
      <c r="J972" s="19" t="n"/>
      <c r="K972" s="19" t="inlineStr">
        <is>
          <t>2</t>
        </is>
      </c>
      <c r="L972" t="inlineStr">
        <is>
          <t>2026-08-08</t>
        </is>
      </c>
      <c r="N972" t="inlineStr">
        <is>
          <t>IN_SCOPE_FINAL; SOURCE_CFG=IA-ST-CFG-0162; MARKET=GY EUR; STATUS=IN OEM / EU PACKAGE</t>
        </is>
      </c>
      <c r="O972" t="inlineStr">
        <is>
          <t>2026-08-10T19:29:54Z</t>
        </is>
      </c>
      <c r="P972" t="inlineStr">
        <is>
          <t>2026-08-10T19:29:54Z</t>
        </is>
      </c>
    </row>
    <row r="973">
      <c r="A973" s="19" t="inlineStr">
        <is>
          <t>972</t>
        </is>
      </c>
      <c r="B973" s="19" t="inlineStr">
        <is>
          <t>SC-1014409-ST-057-EUR-03</t>
        </is>
      </c>
      <c r="C973" t="inlineStr">
        <is>
          <t>1014409 → ST-057-EUR-03</t>
        </is>
      </c>
      <c r="D973" s="19" t="inlineStr">
        <is>
          <t>2</t>
        </is>
      </c>
      <c r="E973" s="19" t="inlineStr">
        <is>
          <t>1357</t>
        </is>
      </c>
      <c r="F973" s="19" t="inlineStr">
        <is>
          <t>131</t>
        </is>
      </c>
      <c r="G973" s="19" t="n"/>
      <c r="H973" s="19" t="inlineStr">
        <is>
          <t>2</t>
        </is>
      </c>
      <c r="I973" s="19" t="n"/>
      <c r="J973" s="19" t="n"/>
      <c r="K973" s="19" t="inlineStr">
        <is>
          <t>2</t>
        </is>
      </c>
      <c r="L973" t="inlineStr">
        <is>
          <t>2026-08-08</t>
        </is>
      </c>
      <c r="N973" t="inlineStr">
        <is>
          <t>IN_SCOPE_FINAL; SOURCE_CFG=IA-ST-CFG-0162; MARKET=GY EUR; STATUS=IN OEM / EU PACKAGE</t>
        </is>
      </c>
      <c r="O973" t="inlineStr">
        <is>
          <t>2026-08-10T19:29:54Z</t>
        </is>
      </c>
      <c r="P973" t="inlineStr">
        <is>
          <t>2026-08-10T19:29:54Z</t>
        </is>
      </c>
    </row>
    <row r="974">
      <c r="A974" s="19" t="inlineStr">
        <is>
          <t>973</t>
        </is>
      </c>
      <c r="B974" s="19" t="inlineStr">
        <is>
          <t>SC-1015089-ST-057-EUR-03</t>
        </is>
      </c>
      <c r="C974" t="inlineStr">
        <is>
          <t>1015089 → ST-057-EUR-03</t>
        </is>
      </c>
      <c r="D974" s="19" t="inlineStr">
        <is>
          <t>2</t>
        </is>
      </c>
      <c r="E974" s="19" t="inlineStr">
        <is>
          <t>1843</t>
        </is>
      </c>
      <c r="F974" s="19" t="inlineStr">
        <is>
          <t>131</t>
        </is>
      </c>
      <c r="G974" s="19" t="n"/>
      <c r="H974" s="19" t="inlineStr">
        <is>
          <t>2</t>
        </is>
      </c>
      <c r="I974" s="19" t="n"/>
      <c r="J974" s="19" t="n"/>
      <c r="K974" s="19" t="inlineStr">
        <is>
          <t>2</t>
        </is>
      </c>
      <c r="L974" t="inlineStr">
        <is>
          <t>2026-08-08</t>
        </is>
      </c>
      <c r="N974" t="inlineStr">
        <is>
          <t>IN_SCOPE_FINAL; SOURCE_CFG=IA-ST-CFG-0162; MARKET=GY NRD (ADN BALTIC NORDIC); STATUS=IN OEM / EU PACKAGE</t>
        </is>
      </c>
      <c r="O974" t="inlineStr">
        <is>
          <t>2026-08-10T19:29:54Z</t>
        </is>
      </c>
      <c r="P974" t="inlineStr">
        <is>
          <t>2026-08-10T19:29:54Z</t>
        </is>
      </c>
    </row>
    <row r="975">
      <c r="A975" s="19" t="inlineStr">
        <is>
          <t>974</t>
        </is>
      </c>
      <c r="B975" s="19" t="inlineStr">
        <is>
          <t>SC-1015212-ST-057-EUR-03</t>
        </is>
      </c>
      <c r="C975" t="inlineStr">
        <is>
          <t>1015212 → ST-057-EUR-03</t>
        </is>
      </c>
      <c r="D975" s="19" t="inlineStr">
        <is>
          <t>2</t>
        </is>
      </c>
      <c r="E975" s="19" t="inlineStr">
        <is>
          <t>1950</t>
        </is>
      </c>
      <c r="F975" s="19" t="inlineStr">
        <is>
          <t>131</t>
        </is>
      </c>
      <c r="G975" s="19" t="n"/>
      <c r="H975" s="19" t="inlineStr">
        <is>
          <t>2</t>
        </is>
      </c>
      <c r="I975" s="19" t="n"/>
      <c r="J975" s="19" t="n"/>
      <c r="K975" s="19" t="inlineStr">
        <is>
          <t>2</t>
        </is>
      </c>
      <c r="L975" t="inlineStr">
        <is>
          <t>2026-08-08</t>
        </is>
      </c>
      <c r="N975" t="inlineStr">
        <is>
          <t>IN_SCOPE_FINAL; SOURCE_CFG=IA-ST-CFG-0162; MARKET=GY EUR; STATUS=IN OEM / EU PACKAGE</t>
        </is>
      </c>
      <c r="O975" t="inlineStr">
        <is>
          <t>2026-08-10T19:29:54Z</t>
        </is>
      </c>
      <c r="P975" t="inlineStr">
        <is>
          <t>2026-08-10T19:29:54Z</t>
        </is>
      </c>
    </row>
    <row r="976">
      <c r="A976" s="19" t="inlineStr">
        <is>
          <t>975</t>
        </is>
      </c>
      <c r="B976" s="19" t="inlineStr">
        <is>
          <t>SC-1015213-ST-057-EUR-03</t>
        </is>
      </c>
      <c r="C976" t="inlineStr">
        <is>
          <t>1015213 → ST-057-EUR-03</t>
        </is>
      </c>
      <c r="D976" s="19" t="inlineStr">
        <is>
          <t>2</t>
        </is>
      </c>
      <c r="E976" s="19" t="inlineStr">
        <is>
          <t>1951</t>
        </is>
      </c>
      <c r="F976" s="19" t="inlineStr">
        <is>
          <t>131</t>
        </is>
      </c>
      <c r="G976" s="19" t="n"/>
      <c r="H976" s="19" t="inlineStr">
        <is>
          <t>2</t>
        </is>
      </c>
      <c r="I976" s="19" t="n"/>
      <c r="J976" s="19" t="n"/>
      <c r="K976" s="19" t="inlineStr">
        <is>
          <t>2</t>
        </is>
      </c>
      <c r="L976" t="inlineStr">
        <is>
          <t>2026-08-08</t>
        </is>
      </c>
      <c r="N976" t="inlineStr">
        <is>
          <t>IN_SCOPE_FINAL; SOURCE_CFG=IA-ST-CFG-0162; MARKET=GY EUR; STATUS=IN OEM / EU PACKAGE</t>
        </is>
      </c>
      <c r="O976" t="inlineStr">
        <is>
          <t>2026-08-10T19:29:54Z</t>
        </is>
      </c>
      <c r="P976" t="inlineStr">
        <is>
          <t>2026-08-10T19:29:54Z</t>
        </is>
      </c>
    </row>
    <row r="977">
      <c r="A977" s="19" t="inlineStr">
        <is>
          <t>976</t>
        </is>
      </c>
      <c r="B977" s="19" t="inlineStr">
        <is>
          <t>SC-1015215-ST-057-EUR-03</t>
        </is>
      </c>
      <c r="C977" t="inlineStr">
        <is>
          <t>1015215 → ST-057-EUR-03</t>
        </is>
      </c>
      <c r="D977" s="19" t="inlineStr">
        <is>
          <t>2</t>
        </is>
      </c>
      <c r="E977" s="19" t="inlineStr">
        <is>
          <t>1953</t>
        </is>
      </c>
      <c r="F977" s="19" t="inlineStr">
        <is>
          <t>131</t>
        </is>
      </c>
      <c r="G977" s="19" t="n"/>
      <c r="H977" s="19" t="inlineStr">
        <is>
          <t>2</t>
        </is>
      </c>
      <c r="I977" s="19" t="n"/>
      <c r="J977" s="19" t="n"/>
      <c r="K977" s="19" t="inlineStr">
        <is>
          <t>2</t>
        </is>
      </c>
      <c r="L977" t="inlineStr">
        <is>
          <t>2026-08-08</t>
        </is>
      </c>
      <c r="N977" t="inlineStr">
        <is>
          <t>IN_SCOPE_FINAL; SOURCE_CFG=IA-ST-CFG-0162; MARKET=GY NRD (ADN BALTIC NORDIC); STATUS=IN OEM / EU PACKAGE</t>
        </is>
      </c>
      <c r="O977" t="inlineStr">
        <is>
          <t>2026-08-10T19:29:54Z</t>
        </is>
      </c>
      <c r="P977" t="inlineStr">
        <is>
          <t>2026-08-10T19:29:54Z</t>
        </is>
      </c>
    </row>
    <row r="978">
      <c r="A978" s="19" t="inlineStr">
        <is>
          <t>977</t>
        </is>
      </c>
      <c r="B978" s="19" t="inlineStr">
        <is>
          <t>SC-1013223-ST-057-EUR-03</t>
        </is>
      </c>
      <c r="C978" t="inlineStr">
        <is>
          <t>1013223 → ST-057-EUR-03</t>
        </is>
      </c>
      <c r="D978" s="19" t="inlineStr">
        <is>
          <t>2</t>
        </is>
      </c>
      <c r="E978" s="19" t="inlineStr">
        <is>
          <t>950</t>
        </is>
      </c>
      <c r="F978" s="19" t="inlineStr">
        <is>
          <t>131</t>
        </is>
      </c>
      <c r="G978" s="19" t="n"/>
      <c r="H978" s="19" t="inlineStr">
        <is>
          <t>2</t>
        </is>
      </c>
      <c r="I978" s="19" t="n"/>
      <c r="J978" s="19" t="n"/>
      <c r="K978" s="19" t="inlineStr">
        <is>
          <t>2</t>
        </is>
      </c>
      <c r="L978" t="inlineStr">
        <is>
          <t>2026-08-08</t>
        </is>
      </c>
      <c r="N978" t="inlineStr">
        <is>
          <t>IN_SCOPE_FINAL; SOURCE_CFG=IA-ST-CFG-0162; MARKET=GY EUR; STATUS=IN OEM / EU PACKAGE</t>
        </is>
      </c>
      <c r="O978" t="inlineStr">
        <is>
          <t>2026-08-10T19:29:54Z</t>
        </is>
      </c>
      <c r="P978" t="inlineStr">
        <is>
          <t>2026-08-10T19:29:54Z</t>
        </is>
      </c>
    </row>
    <row r="979">
      <c r="A979" s="19" t="inlineStr">
        <is>
          <t>978</t>
        </is>
      </c>
      <c r="B979" s="19" t="inlineStr">
        <is>
          <t>SC-1013987-ST-057-EUR-03</t>
        </is>
      </c>
      <c r="C979" t="inlineStr">
        <is>
          <t>1013987 → ST-057-EUR-03</t>
        </is>
      </c>
      <c r="D979" s="19" t="inlineStr">
        <is>
          <t>2</t>
        </is>
      </c>
      <c r="E979" s="19" t="inlineStr">
        <is>
          <t>1159</t>
        </is>
      </c>
      <c r="F979" s="19" t="inlineStr">
        <is>
          <t>131</t>
        </is>
      </c>
      <c r="G979" s="19" t="n"/>
      <c r="H979" s="19" t="inlineStr">
        <is>
          <t>2</t>
        </is>
      </c>
      <c r="I979" s="19" t="n"/>
      <c r="J979" s="19" t="n"/>
      <c r="K979" s="19" t="inlineStr">
        <is>
          <t>2</t>
        </is>
      </c>
      <c r="L979" t="inlineStr">
        <is>
          <t>2026-08-08</t>
        </is>
      </c>
      <c r="N979" t="inlineStr">
        <is>
          <t>IN_SCOPE_FINAL; SOURCE_CFG=IA-ST-CFG-0162; MARKET=GY EUR; STATUS=IN OEM / EU PACKAGE</t>
        </is>
      </c>
      <c r="O979" t="inlineStr">
        <is>
          <t>2026-08-10T19:29:54Z</t>
        </is>
      </c>
      <c r="P979" t="inlineStr">
        <is>
          <t>2026-08-10T19:29:54Z</t>
        </is>
      </c>
    </row>
    <row r="980">
      <c r="A980" s="19" t="inlineStr">
        <is>
          <t>979</t>
        </is>
      </c>
      <c r="B980" s="19" t="inlineStr">
        <is>
          <t>SC-1014036-ST-057-EUR-03</t>
        </is>
      </c>
      <c r="C980" t="inlineStr">
        <is>
          <t>1014036 → ST-057-EUR-03</t>
        </is>
      </c>
      <c r="D980" s="19" t="inlineStr">
        <is>
          <t>2</t>
        </is>
      </c>
      <c r="E980" s="19" t="inlineStr">
        <is>
          <t>1191</t>
        </is>
      </c>
      <c r="F980" s="19" t="inlineStr">
        <is>
          <t>131</t>
        </is>
      </c>
      <c r="G980" s="19" t="n"/>
      <c r="H980" s="19" t="inlineStr">
        <is>
          <t>2</t>
        </is>
      </c>
      <c r="I980" s="19" t="n"/>
      <c r="J980" s="19" t="n"/>
      <c r="K980" s="19" t="inlineStr">
        <is>
          <t>2</t>
        </is>
      </c>
      <c r="L980" t="inlineStr">
        <is>
          <t>2026-08-08</t>
        </is>
      </c>
      <c r="N980" t="inlineStr">
        <is>
          <t>IN_SCOPE_FINAL; SOURCE_CFG=IA-ST-CFG-0162; MARKET=GY EUR; STATUS=IN OEM / EU PACKAGE</t>
        </is>
      </c>
      <c r="O980" t="inlineStr">
        <is>
          <t>2026-08-10T19:29:54Z</t>
        </is>
      </c>
      <c r="P980" t="inlineStr">
        <is>
          <t>2026-08-10T19:29:54Z</t>
        </is>
      </c>
    </row>
    <row r="981">
      <c r="A981" s="19" t="inlineStr">
        <is>
          <t>980</t>
        </is>
      </c>
      <c r="B981" s="19" t="inlineStr">
        <is>
          <t>SC-1014383-ST-057-EUR-03</t>
        </is>
      </c>
      <c r="C981" t="inlineStr">
        <is>
          <t>1014383 → ST-057-EUR-03</t>
        </is>
      </c>
      <c r="D981" s="19" t="inlineStr">
        <is>
          <t>2</t>
        </is>
      </c>
      <c r="E981" s="19" t="inlineStr">
        <is>
          <t>1338</t>
        </is>
      </c>
      <c r="F981" s="19" t="inlineStr">
        <is>
          <t>131</t>
        </is>
      </c>
      <c r="G981" s="19" t="n"/>
      <c r="H981" s="19" t="inlineStr">
        <is>
          <t>2</t>
        </is>
      </c>
      <c r="I981" s="19" t="n"/>
      <c r="J981" s="19" t="n"/>
      <c r="K981" s="19" t="inlineStr">
        <is>
          <t>2</t>
        </is>
      </c>
      <c r="L981" t="inlineStr">
        <is>
          <t>2026-08-08</t>
        </is>
      </c>
      <c r="N981" t="inlineStr">
        <is>
          <t>IN_SCOPE_FINAL; SOURCE_CFG=IA-ST-CFG-0162; MARKET=GY EUR; STATUS=IN OEM / EU PACKAGE</t>
        </is>
      </c>
      <c r="O981" t="inlineStr">
        <is>
          <t>2026-08-10T19:29:54Z</t>
        </is>
      </c>
      <c r="P981" t="inlineStr">
        <is>
          <t>2026-08-10T19:29:54Z</t>
        </is>
      </c>
    </row>
    <row r="982">
      <c r="A982" s="19" t="inlineStr">
        <is>
          <t>981</t>
        </is>
      </c>
      <c r="B982" s="19" t="inlineStr">
        <is>
          <t>SC-1014410-ST-057-EUR-03</t>
        </is>
      </c>
      <c r="C982" t="inlineStr">
        <is>
          <t>1014410 → ST-057-EUR-03</t>
        </is>
      </c>
      <c r="D982" s="19" t="inlineStr">
        <is>
          <t>2</t>
        </is>
      </c>
      <c r="E982" s="19" t="inlineStr">
        <is>
          <t>1358</t>
        </is>
      </c>
      <c r="F982" s="19" t="inlineStr">
        <is>
          <t>131</t>
        </is>
      </c>
      <c r="G982" s="19" t="n"/>
      <c r="H982" s="19" t="inlineStr">
        <is>
          <t>2</t>
        </is>
      </c>
      <c r="I982" s="19" t="n"/>
      <c r="J982" s="19" t="n"/>
      <c r="K982" s="19" t="inlineStr">
        <is>
          <t>2</t>
        </is>
      </c>
      <c r="L982" t="inlineStr">
        <is>
          <t>2026-08-08</t>
        </is>
      </c>
      <c r="N982" t="inlineStr">
        <is>
          <t>IN_SCOPE_FINAL; SOURCE_CFG=IA-ST-CFG-0162; MARKET=GY EUR; STATUS=IN OEM / EU PACKAGE</t>
        </is>
      </c>
      <c r="O982" t="inlineStr">
        <is>
          <t>2026-08-10T19:29:54Z</t>
        </is>
      </c>
      <c r="P982" t="inlineStr">
        <is>
          <t>2026-08-10T19:29:54Z</t>
        </is>
      </c>
    </row>
    <row r="983">
      <c r="A983" s="19" t="inlineStr">
        <is>
          <t>982</t>
        </is>
      </c>
      <c r="B983" s="19" t="inlineStr">
        <is>
          <t>SC-1014423-ST-057-EUR-03</t>
        </is>
      </c>
      <c r="C983" t="inlineStr">
        <is>
          <t>1014423 → ST-057-EUR-03</t>
        </is>
      </c>
      <c r="D983" s="19" t="inlineStr">
        <is>
          <t>2</t>
        </is>
      </c>
      <c r="E983" s="19" t="inlineStr">
        <is>
          <t>1366</t>
        </is>
      </c>
      <c r="F983" s="19" t="inlineStr">
        <is>
          <t>131</t>
        </is>
      </c>
      <c r="G983" s="19" t="n"/>
      <c r="H983" s="19" t="inlineStr">
        <is>
          <t>2</t>
        </is>
      </c>
      <c r="I983" s="19" t="n"/>
      <c r="J983" s="19" t="n"/>
      <c r="K983" s="19" t="inlineStr">
        <is>
          <t>2</t>
        </is>
      </c>
      <c r="L983" t="inlineStr">
        <is>
          <t>2026-08-08</t>
        </is>
      </c>
      <c r="N983" t="inlineStr">
        <is>
          <t>IN_SCOPE_FINAL; SOURCE_CFG=IA-ST-CFG-0162; MARKET=GY EUR; STATUS=IN OEM / EU PACKAGE</t>
        </is>
      </c>
      <c r="O983" t="inlineStr">
        <is>
          <t>2026-08-10T19:29:54Z</t>
        </is>
      </c>
      <c r="P983" t="inlineStr">
        <is>
          <t>2026-08-10T19:29:54Z</t>
        </is>
      </c>
    </row>
    <row r="984">
      <c r="A984" s="19" t="inlineStr">
        <is>
          <t>983</t>
        </is>
      </c>
      <c r="B984" s="19" t="inlineStr">
        <is>
          <t>SC-1014433-ST-057-EUR-03</t>
        </is>
      </c>
      <c r="C984" t="inlineStr">
        <is>
          <t>1014433 → ST-057-EUR-03</t>
        </is>
      </c>
      <c r="D984" s="19" t="inlineStr">
        <is>
          <t>2</t>
        </is>
      </c>
      <c r="E984" s="19" t="inlineStr">
        <is>
          <t>1376</t>
        </is>
      </c>
      <c r="F984" s="19" t="inlineStr">
        <is>
          <t>131</t>
        </is>
      </c>
      <c r="G984" s="19" t="n"/>
      <c r="H984" s="19" t="inlineStr">
        <is>
          <t>2</t>
        </is>
      </c>
      <c r="I984" s="19" t="n"/>
      <c r="J984" s="19" t="n"/>
      <c r="K984" s="19" t="inlineStr">
        <is>
          <t>2</t>
        </is>
      </c>
      <c r="L984" t="inlineStr">
        <is>
          <t>2026-08-08</t>
        </is>
      </c>
      <c r="N984" t="inlineStr">
        <is>
          <t>IN_SCOPE_FINAL; SOURCE_CFG=IA-ST-CFG-0162; MARKET=GY EUR; STATUS=IN OEM / EU PACKAGE</t>
        </is>
      </c>
      <c r="O984" t="inlineStr">
        <is>
          <t>2026-08-10T19:29:54Z</t>
        </is>
      </c>
      <c r="P984" t="inlineStr">
        <is>
          <t>2026-08-10T19:29:54Z</t>
        </is>
      </c>
    </row>
    <row r="985">
      <c r="A985" s="19" t="inlineStr">
        <is>
          <t>984</t>
        </is>
      </c>
      <c r="B985" s="19" t="inlineStr">
        <is>
          <t>SC-1014437-ST-057-EUR-03</t>
        </is>
      </c>
      <c r="C985" t="inlineStr">
        <is>
          <t>1014437 → ST-057-EUR-03</t>
        </is>
      </c>
      <c r="D985" s="19" t="inlineStr">
        <is>
          <t>2</t>
        </is>
      </c>
      <c r="E985" s="19" t="inlineStr">
        <is>
          <t>1380</t>
        </is>
      </c>
      <c r="F985" s="19" t="inlineStr">
        <is>
          <t>131</t>
        </is>
      </c>
      <c r="G985" s="19" t="n"/>
      <c r="H985" s="19" t="inlineStr">
        <is>
          <t>2</t>
        </is>
      </c>
      <c r="I985" s="19" t="n"/>
      <c r="J985" s="19" t="n"/>
      <c r="K985" s="19" t="inlineStr">
        <is>
          <t>2</t>
        </is>
      </c>
      <c r="L985" t="inlineStr">
        <is>
          <t>2026-08-08</t>
        </is>
      </c>
      <c r="N985" t="inlineStr">
        <is>
          <t>IN_SCOPE_FINAL; SOURCE_CFG=IA-ST-CFG-0162; MARKET=GY EUR; STATUS=IN OEM / EU PACKAGE</t>
        </is>
      </c>
      <c r="O985" t="inlineStr">
        <is>
          <t>2026-08-10T19:29:54Z</t>
        </is>
      </c>
      <c r="P985" t="inlineStr">
        <is>
          <t>2026-08-10T19:29:54Z</t>
        </is>
      </c>
    </row>
    <row r="986">
      <c r="A986" s="19" t="inlineStr">
        <is>
          <t>985</t>
        </is>
      </c>
      <c r="B986" s="19" t="inlineStr">
        <is>
          <t>SC-1014439-ST-057-EUR-03</t>
        </is>
      </c>
      <c r="C986" t="inlineStr">
        <is>
          <t>1014439 → ST-057-EUR-03</t>
        </is>
      </c>
      <c r="D986" s="19" t="inlineStr">
        <is>
          <t>2</t>
        </is>
      </c>
      <c r="E986" s="19" t="inlineStr">
        <is>
          <t>1381</t>
        </is>
      </c>
      <c r="F986" s="19" t="inlineStr">
        <is>
          <t>131</t>
        </is>
      </c>
      <c r="G986" s="19" t="n"/>
      <c r="H986" s="19" t="inlineStr">
        <is>
          <t>2</t>
        </is>
      </c>
      <c r="I986" s="19" t="n"/>
      <c r="J986" s="19" t="n"/>
      <c r="K986" s="19" t="inlineStr">
        <is>
          <t>2</t>
        </is>
      </c>
      <c r="L986" t="inlineStr">
        <is>
          <t>2026-08-08</t>
        </is>
      </c>
      <c r="N986" t="inlineStr">
        <is>
          <t>IN_SCOPE_FINAL; SOURCE_CFG=IA-ST-CFG-0162; MARKET=GY EUR; STATUS=IN OEM / EU PACKAGE</t>
        </is>
      </c>
      <c r="O986" t="inlineStr">
        <is>
          <t>2026-08-10T19:29:54Z</t>
        </is>
      </c>
      <c r="P986" t="inlineStr">
        <is>
          <t>2026-08-10T19:29:54Z</t>
        </is>
      </c>
    </row>
    <row r="987">
      <c r="A987" s="19" t="inlineStr">
        <is>
          <t>986</t>
        </is>
      </c>
      <c r="B987" s="19" t="inlineStr">
        <is>
          <t>SC-1014652-ST-057-EUR-03</t>
        </is>
      </c>
      <c r="C987" t="inlineStr">
        <is>
          <t>1014652 → ST-057-EUR-03</t>
        </is>
      </c>
      <c r="D987" s="19" t="inlineStr">
        <is>
          <t>2</t>
        </is>
      </c>
      <c r="E987" s="19" t="inlineStr">
        <is>
          <t>1510</t>
        </is>
      </c>
      <c r="F987" s="19" t="inlineStr">
        <is>
          <t>131</t>
        </is>
      </c>
      <c r="G987" s="19" t="n"/>
      <c r="H987" s="19" t="inlineStr">
        <is>
          <t>2</t>
        </is>
      </c>
      <c r="I987" s="19" t="n"/>
      <c r="J987" s="19" t="n"/>
      <c r="K987" s="19" t="inlineStr">
        <is>
          <t>2</t>
        </is>
      </c>
      <c r="L987" t="inlineStr">
        <is>
          <t>2026-08-08</t>
        </is>
      </c>
      <c r="N987" t="inlineStr">
        <is>
          <t>IN_SCOPE_FINAL; SOURCE_CFG=IA-ST-CFG-0162; MARKET=GY EUR; STATUS=IN OEM / EU PACKAGE</t>
        </is>
      </c>
      <c r="O987" t="inlineStr">
        <is>
          <t>2026-08-10T19:29:54Z</t>
        </is>
      </c>
      <c r="P987" t="inlineStr">
        <is>
          <t>2026-08-10T19:29:54Z</t>
        </is>
      </c>
    </row>
    <row r="988">
      <c r="A988" s="19" t="inlineStr">
        <is>
          <t>987</t>
        </is>
      </c>
      <c r="B988" s="19" t="inlineStr">
        <is>
          <t>SC-1014750-ST-057-EUR-03</t>
        </is>
      </c>
      <c r="C988" t="inlineStr">
        <is>
          <t>1014750 → ST-057-EUR-03</t>
        </is>
      </c>
      <c r="D988" s="19" t="inlineStr">
        <is>
          <t>2</t>
        </is>
      </c>
      <c r="E988" s="19" t="inlineStr">
        <is>
          <t>1578</t>
        </is>
      </c>
      <c r="F988" s="19" t="inlineStr">
        <is>
          <t>131</t>
        </is>
      </c>
      <c r="G988" s="19" t="n"/>
      <c r="H988" s="19" t="inlineStr">
        <is>
          <t>2</t>
        </is>
      </c>
      <c r="I988" s="19" t="n"/>
      <c r="J988" s="19" t="n"/>
      <c r="K988" s="19" t="inlineStr">
        <is>
          <t>2</t>
        </is>
      </c>
      <c r="L988" t="inlineStr">
        <is>
          <t>2026-08-08</t>
        </is>
      </c>
      <c r="N988" t="inlineStr">
        <is>
          <t>IN_SCOPE_FINAL; SOURCE_CFG=IA-ST-CFG-0162; MARKET=GS STARTAX FINLAND OY; STATUS=IN OEM / EU PACKAGE</t>
        </is>
      </c>
      <c r="O988" t="inlineStr">
        <is>
          <t>2026-08-10T19:29:54Z</t>
        </is>
      </c>
      <c r="P988" t="inlineStr">
        <is>
          <t>2026-08-10T19:29:54Z</t>
        </is>
      </c>
    </row>
    <row r="989">
      <c r="A989" s="19" t="inlineStr">
        <is>
          <t>988</t>
        </is>
      </c>
      <c r="B989" s="19" t="inlineStr">
        <is>
          <t>SC-1015088-ST-057-EUR-03</t>
        </is>
      </c>
      <c r="C989" t="inlineStr">
        <is>
          <t>1015088 → ST-057-EUR-03</t>
        </is>
      </c>
      <c r="D989" s="19" t="inlineStr">
        <is>
          <t>2</t>
        </is>
      </c>
      <c r="E989" s="19" t="inlineStr">
        <is>
          <t>1842</t>
        </is>
      </c>
      <c r="F989" s="19" t="inlineStr">
        <is>
          <t>131</t>
        </is>
      </c>
      <c r="G989" s="19" t="n"/>
      <c r="H989" s="19" t="inlineStr">
        <is>
          <t>2</t>
        </is>
      </c>
      <c r="I989" s="19" t="n"/>
      <c r="J989" s="19" t="n"/>
      <c r="K989" s="19" t="inlineStr">
        <is>
          <t>2</t>
        </is>
      </c>
      <c r="L989" t="inlineStr">
        <is>
          <t>2026-08-08</t>
        </is>
      </c>
      <c r="N989" t="inlineStr">
        <is>
          <t>IN_SCOPE_FINAL; SOURCE_CFG=IA-ST-CFG-0162; MARKET=GY NRD (ADN BALTIC NORDIC); STATUS=IN OEM / EU PACKAGE</t>
        </is>
      </c>
      <c r="O989" t="inlineStr">
        <is>
          <t>2026-08-10T19:29:54Z</t>
        </is>
      </c>
      <c r="P989" t="inlineStr">
        <is>
          <t>2026-08-10T19:29:54Z</t>
        </is>
      </c>
    </row>
    <row r="990">
      <c r="A990" s="19" t="inlineStr">
        <is>
          <t>989</t>
        </is>
      </c>
      <c r="B990" s="19" t="inlineStr">
        <is>
          <t>SC-1015214-ST-057-EUR-03</t>
        </is>
      </c>
      <c r="C990" t="inlineStr">
        <is>
          <t>1015214 → ST-057-EUR-03</t>
        </is>
      </c>
      <c r="D990" s="19" t="inlineStr">
        <is>
          <t>2</t>
        </is>
      </c>
      <c r="E990" s="19" t="inlineStr">
        <is>
          <t>1952</t>
        </is>
      </c>
      <c r="F990" s="19" t="inlineStr">
        <is>
          <t>131</t>
        </is>
      </c>
      <c r="G990" s="19" t="n"/>
      <c r="H990" s="19" t="inlineStr">
        <is>
          <t>2</t>
        </is>
      </c>
      <c r="I990" s="19" t="n"/>
      <c r="J990" s="19" t="n"/>
      <c r="K990" s="19" t="inlineStr">
        <is>
          <t>2</t>
        </is>
      </c>
      <c r="L990" t="inlineStr">
        <is>
          <t>2026-08-08</t>
        </is>
      </c>
      <c r="N990" t="inlineStr">
        <is>
          <t>IN_SCOPE_FINAL; SOURCE_CFG=IA-ST-CFG-0162; MARKET=GY EUR; STATUS=IN OEM / EU PACKAGE</t>
        </is>
      </c>
      <c r="O990" t="inlineStr">
        <is>
          <t>2026-08-10T19:29:54Z</t>
        </is>
      </c>
      <c r="P990" t="inlineStr">
        <is>
          <t>2026-08-10T19:29:54Z</t>
        </is>
      </c>
    </row>
    <row r="991">
      <c r="A991" s="19" t="inlineStr">
        <is>
          <t>990</t>
        </is>
      </c>
      <c r="B991" s="19" t="inlineStr">
        <is>
          <t>SC-1015232-ST-057-EUR-03</t>
        </is>
      </c>
      <c r="C991" t="inlineStr">
        <is>
          <t>1015232 → ST-057-EUR-03</t>
        </is>
      </c>
      <c r="D991" s="19" t="inlineStr">
        <is>
          <t>2</t>
        </is>
      </c>
      <c r="E991" s="19" t="inlineStr">
        <is>
          <t>1970</t>
        </is>
      </c>
      <c r="F991" s="19" t="inlineStr">
        <is>
          <t>131</t>
        </is>
      </c>
      <c r="G991" s="19" t="n"/>
      <c r="H991" s="19" t="inlineStr">
        <is>
          <t>2</t>
        </is>
      </c>
      <c r="I991" s="19" t="n"/>
      <c r="J991" s="19" t="n"/>
      <c r="K991" s="19" t="inlineStr">
        <is>
          <t>2</t>
        </is>
      </c>
      <c r="L991" t="inlineStr">
        <is>
          <t>2026-08-08</t>
        </is>
      </c>
      <c r="N991" t="inlineStr">
        <is>
          <t>IN_SCOPE_FINAL; SOURCE_CFG=IA-ST-CFG-0162; MARKET=GY EUR; STATUS=IN OEM / EU PACKAGE</t>
        </is>
      </c>
      <c r="O991" t="inlineStr">
        <is>
          <t>2026-08-10T19:29:54Z</t>
        </is>
      </c>
      <c r="P991" t="inlineStr">
        <is>
          <t>2026-08-10T19:29:54Z</t>
        </is>
      </c>
    </row>
    <row r="992">
      <c r="A992" s="19" t="inlineStr">
        <is>
          <t>991</t>
        </is>
      </c>
      <c r="B992" s="19" t="inlineStr">
        <is>
          <t>SC-1015233-ST-057-EUR-03</t>
        </is>
      </c>
      <c r="C992" t="inlineStr">
        <is>
          <t>1015233 → ST-057-EUR-03</t>
        </is>
      </c>
      <c r="D992" s="19" t="inlineStr">
        <is>
          <t>2</t>
        </is>
      </c>
      <c r="E992" s="19" t="inlineStr">
        <is>
          <t>1971</t>
        </is>
      </c>
      <c r="F992" s="19" t="inlineStr">
        <is>
          <t>131</t>
        </is>
      </c>
      <c r="G992" s="19" t="n"/>
      <c r="H992" s="19" t="inlineStr">
        <is>
          <t>2</t>
        </is>
      </c>
      <c r="I992" s="19" t="n"/>
      <c r="J992" s="19" t="n"/>
      <c r="K992" s="19" t="inlineStr">
        <is>
          <t>2</t>
        </is>
      </c>
      <c r="L992" t="inlineStr">
        <is>
          <t>2026-08-08</t>
        </is>
      </c>
      <c r="N992" t="inlineStr">
        <is>
          <t>IN_SCOPE_FINAL; SOURCE_CFG=IA-ST-CFG-0162; MARKET=GY EUR; STATUS=IN OEM / EU PACKAGE</t>
        </is>
      </c>
      <c r="O992" t="inlineStr">
        <is>
          <t>2026-08-10T19:29:54Z</t>
        </is>
      </c>
      <c r="P992" t="inlineStr">
        <is>
          <t>2026-08-10T19:29:54Z</t>
        </is>
      </c>
    </row>
    <row r="993">
      <c r="A993" s="19" t="inlineStr">
        <is>
          <t>992</t>
        </is>
      </c>
      <c r="B993" s="19" t="inlineStr">
        <is>
          <t>SC-1015234-ST-057-EUR-03</t>
        </is>
      </c>
      <c r="C993" t="inlineStr">
        <is>
          <t>1015234 → ST-057-EUR-03</t>
        </is>
      </c>
      <c r="D993" s="19" t="inlineStr">
        <is>
          <t>2</t>
        </is>
      </c>
      <c r="E993" s="19" t="inlineStr">
        <is>
          <t>1972</t>
        </is>
      </c>
      <c r="F993" s="19" t="inlineStr">
        <is>
          <t>131</t>
        </is>
      </c>
      <c r="G993" s="19" t="n"/>
      <c r="H993" s="19" t="inlineStr">
        <is>
          <t>2</t>
        </is>
      </c>
      <c r="I993" s="19" t="n"/>
      <c r="J993" s="19" t="n"/>
      <c r="K993" s="19" t="inlineStr">
        <is>
          <t>2</t>
        </is>
      </c>
      <c r="L993" t="inlineStr">
        <is>
          <t>2026-08-08</t>
        </is>
      </c>
      <c r="N993" t="inlineStr">
        <is>
          <t>IN_SCOPE_FINAL; SOURCE_CFG=IA-ST-CFG-0162; MARKET=GY EUR; STATUS=IN OEM / EU PACKAGE</t>
        </is>
      </c>
      <c r="O993" t="inlineStr">
        <is>
          <t>2026-08-10T19:29:54Z</t>
        </is>
      </c>
      <c r="P993" t="inlineStr">
        <is>
          <t>2026-08-10T19:29:54Z</t>
        </is>
      </c>
    </row>
    <row r="994">
      <c r="A994" s="19" t="inlineStr">
        <is>
          <t>993</t>
        </is>
      </c>
      <c r="B994" s="19" t="inlineStr">
        <is>
          <t>SC-1014436-ST-057-EUR-03</t>
        </is>
      </c>
      <c r="C994" t="inlineStr">
        <is>
          <t>1014436 → ST-057-EUR-03</t>
        </is>
      </c>
      <c r="D994" s="19" t="inlineStr">
        <is>
          <t>2</t>
        </is>
      </c>
      <c r="E994" s="19" t="inlineStr">
        <is>
          <t>1379</t>
        </is>
      </c>
      <c r="F994" s="19" t="inlineStr">
        <is>
          <t>131</t>
        </is>
      </c>
      <c r="G994" s="19" t="n"/>
      <c r="H994" s="19" t="inlineStr">
        <is>
          <t>2</t>
        </is>
      </c>
      <c r="I994" s="19" t="n"/>
      <c r="J994" s="19" t="n"/>
      <c r="K994" s="19" t="inlineStr">
        <is>
          <t>2</t>
        </is>
      </c>
      <c r="L994" t="inlineStr">
        <is>
          <t>2026-08-08</t>
        </is>
      </c>
      <c r="N994" t="inlineStr">
        <is>
          <t>IN_SCOPE_FINAL; SOURCE_CFG=IA-ST-CFG-0162; MARKET=YUASA 3000 EXPORT; STATUS=IN OEM / EU PACKAGE</t>
        </is>
      </c>
      <c r="O994" t="inlineStr">
        <is>
          <t>2026-08-10T19:29:54Z</t>
        </is>
      </c>
      <c r="P994" t="inlineStr">
        <is>
          <t>2026-08-10T19:29:54Z</t>
        </is>
      </c>
    </row>
    <row r="995">
      <c r="A995" s="19" t="inlineStr">
        <is>
          <t>994</t>
        </is>
      </c>
      <c r="B995" s="19" t="inlineStr">
        <is>
          <t>SC-1014442-ST-057-EUR-03</t>
        </is>
      </c>
      <c r="C995" t="inlineStr">
        <is>
          <t>1014442 → ST-057-EUR-03</t>
        </is>
      </c>
      <c r="D995" s="19" t="inlineStr">
        <is>
          <t>2</t>
        </is>
      </c>
      <c r="E995" s="19" t="inlineStr">
        <is>
          <t>1384</t>
        </is>
      </c>
      <c r="F995" s="19" t="inlineStr">
        <is>
          <t>131</t>
        </is>
      </c>
      <c r="G995" s="19" t="n"/>
      <c r="H995" s="19" t="inlineStr">
        <is>
          <t>2</t>
        </is>
      </c>
      <c r="I995" s="19" t="n"/>
      <c r="J995" s="19" t="n"/>
      <c r="K995" s="19" t="inlineStr">
        <is>
          <t>2</t>
        </is>
      </c>
      <c r="L995" t="inlineStr">
        <is>
          <t>2026-08-08</t>
        </is>
      </c>
      <c r="N995" t="inlineStr">
        <is>
          <t>IN_SCOPE_FINAL; SOURCE_CFG=IA-ST-CFG-0162; MARKET=YUASA 3000 EXPORT; STATUS=IN OEM / EU PACKAGE</t>
        </is>
      </c>
      <c r="O995" t="inlineStr">
        <is>
          <t>2026-08-10T19:29:54Z</t>
        </is>
      </c>
      <c r="P995" t="inlineStr">
        <is>
          <t>2026-08-10T19:29:54Z</t>
        </is>
      </c>
    </row>
    <row r="996">
      <c r="A996" s="19" t="inlineStr">
        <is>
          <t>995</t>
        </is>
      </c>
      <c r="B996" s="19" t="inlineStr">
        <is>
          <t>SC-1012097-ST-057-EUR-03</t>
        </is>
      </c>
      <c r="C996" t="inlineStr">
        <is>
          <t>1012097 → ST-057-EUR-03</t>
        </is>
      </c>
      <c r="D996" s="19" t="inlineStr">
        <is>
          <t>2</t>
        </is>
      </c>
      <c r="E996" s="19" t="inlineStr">
        <is>
          <t>518</t>
        </is>
      </c>
      <c r="F996" s="19" t="inlineStr">
        <is>
          <t>131</t>
        </is>
      </c>
      <c r="G996" s="19" t="n"/>
      <c r="H996" s="19" t="inlineStr">
        <is>
          <t>2</t>
        </is>
      </c>
      <c r="I996" s="19" t="n"/>
      <c r="J996" s="19" t="n"/>
      <c r="K996" s="19" t="inlineStr">
        <is>
          <t>2</t>
        </is>
      </c>
      <c r="L996" t="inlineStr">
        <is>
          <t>2026-08-08</t>
        </is>
      </c>
      <c r="N996" t="inlineStr">
        <is>
          <t>IN_SCOPE_FINAL; SOURCE_CFG=IA-ST-CFG-0162; MARKET=PSA (Yurt Dışı); STATUS=IN OEM / EU PACKAGE</t>
        </is>
      </c>
      <c r="O996" t="inlineStr">
        <is>
          <t>2026-08-10T19:29:54Z</t>
        </is>
      </c>
      <c r="P996" t="inlineStr">
        <is>
          <t>2026-08-10T19:29:54Z</t>
        </is>
      </c>
    </row>
    <row r="997">
      <c r="A997" s="19" t="inlineStr">
        <is>
          <t>996</t>
        </is>
      </c>
      <c r="B997" s="19" t="inlineStr">
        <is>
          <t>SC-1012098-ST-057-EUR-03</t>
        </is>
      </c>
      <c r="C997" t="inlineStr">
        <is>
          <t>1012098 → ST-057-EUR-03</t>
        </is>
      </c>
      <c r="D997" s="19" t="inlineStr">
        <is>
          <t>2</t>
        </is>
      </c>
      <c r="E997" s="19" t="inlineStr">
        <is>
          <t>519</t>
        </is>
      </c>
      <c r="F997" s="19" t="inlineStr">
        <is>
          <t>131</t>
        </is>
      </c>
      <c r="G997" s="19" t="n"/>
      <c r="H997" s="19" t="inlineStr">
        <is>
          <t>2</t>
        </is>
      </c>
      <c r="I997" s="19" t="n"/>
      <c r="J997" s="19" t="n"/>
      <c r="K997" s="19" t="inlineStr">
        <is>
          <t>2</t>
        </is>
      </c>
      <c r="L997" t="inlineStr">
        <is>
          <t>2026-08-08</t>
        </is>
      </c>
      <c r="N997" t="inlineStr">
        <is>
          <t>IN_SCOPE_FINAL; SOURCE_CFG=IA-ST-CFG-0162; MARKET=PSA (Yurt Dışı); STATUS=IN OEM / EU PACKAGE</t>
        </is>
      </c>
      <c r="O997" t="inlineStr">
        <is>
          <t>2026-08-10T19:29:54Z</t>
        </is>
      </c>
      <c r="P997" t="inlineStr">
        <is>
          <t>2026-08-10T19:29:54Z</t>
        </is>
      </c>
    </row>
    <row r="998">
      <c r="A998" s="19" t="inlineStr">
        <is>
          <t>997</t>
        </is>
      </c>
      <c r="B998" s="19" t="inlineStr">
        <is>
          <t>SC-1012105-ST-057-EUR-03</t>
        </is>
      </c>
      <c r="C998" t="inlineStr">
        <is>
          <t>1012105 → ST-057-EUR-03</t>
        </is>
      </c>
      <c r="D998" s="19" t="inlineStr">
        <is>
          <t>2</t>
        </is>
      </c>
      <c r="E998" s="19" t="inlineStr">
        <is>
          <t>526</t>
        </is>
      </c>
      <c r="F998" s="19" t="inlineStr">
        <is>
          <t>131</t>
        </is>
      </c>
      <c r="G998" s="19" t="n"/>
      <c r="H998" s="19" t="inlineStr">
        <is>
          <t>2</t>
        </is>
      </c>
      <c r="I998" s="19" t="n"/>
      <c r="J998" s="19" t="n"/>
      <c r="K998" s="19" t="inlineStr">
        <is>
          <t>2</t>
        </is>
      </c>
      <c r="L998" t="inlineStr">
        <is>
          <t>2026-08-08</t>
        </is>
      </c>
      <c r="N998" t="inlineStr">
        <is>
          <t>IN_SCOPE_FINAL; SOURCE_CFG=IA-ST-CFG-0162; MARKET=PSA (Yurt Dışı); STATUS=IN OEM / EU PACKAGE</t>
        </is>
      </c>
      <c r="O998" t="inlineStr">
        <is>
          <t>2026-08-10T19:29:54Z</t>
        </is>
      </c>
      <c r="P998" t="inlineStr">
        <is>
          <t>2026-08-10T19:29:54Z</t>
        </is>
      </c>
    </row>
    <row r="999">
      <c r="A999" s="19" t="inlineStr">
        <is>
          <t>998</t>
        </is>
      </c>
      <c r="B999" s="19" t="inlineStr">
        <is>
          <t>SC-1012106-ST-057-EUR-03</t>
        </is>
      </c>
      <c r="C999" t="inlineStr">
        <is>
          <t>1012106 → ST-057-EUR-03</t>
        </is>
      </c>
      <c r="D999" s="19" t="inlineStr">
        <is>
          <t>2</t>
        </is>
      </c>
      <c r="E999" s="19" t="inlineStr">
        <is>
          <t>527</t>
        </is>
      </c>
      <c r="F999" s="19" t="inlineStr">
        <is>
          <t>131</t>
        </is>
      </c>
      <c r="G999" s="19" t="n"/>
      <c r="H999" s="19" t="inlineStr">
        <is>
          <t>2</t>
        </is>
      </c>
      <c r="I999" s="19" t="n"/>
      <c r="J999" s="19" t="n"/>
      <c r="K999" s="19" t="inlineStr">
        <is>
          <t>2</t>
        </is>
      </c>
      <c r="L999" t="inlineStr">
        <is>
          <t>2026-08-08</t>
        </is>
      </c>
      <c r="N999" t="inlineStr">
        <is>
          <t>IN_SCOPE_FINAL; SOURCE_CFG=IA-ST-CFG-0162; MARKET=PSA (Yurt Dışı); STATUS=IN OEM / EU PACKAGE</t>
        </is>
      </c>
      <c r="O999" t="inlineStr">
        <is>
          <t>2026-08-10T19:29:54Z</t>
        </is>
      </c>
      <c r="P999" t="inlineStr">
        <is>
          <t>2026-08-10T19:29:54Z</t>
        </is>
      </c>
    </row>
    <row r="1000">
      <c r="A1000" s="19" t="inlineStr">
        <is>
          <t>999</t>
        </is>
      </c>
      <c r="B1000" s="19" t="inlineStr">
        <is>
          <t>SC-1012108-ST-057-EUR-03</t>
        </is>
      </c>
      <c r="C1000" t="inlineStr">
        <is>
          <t>1012108 → ST-057-EUR-03</t>
        </is>
      </c>
      <c r="D1000" s="19" t="inlineStr">
        <is>
          <t>2</t>
        </is>
      </c>
      <c r="E1000" s="19" t="inlineStr">
        <is>
          <t>528</t>
        </is>
      </c>
      <c r="F1000" s="19" t="inlineStr">
        <is>
          <t>131</t>
        </is>
      </c>
      <c r="G1000" s="19" t="n"/>
      <c r="H1000" s="19" t="inlineStr">
        <is>
          <t>2</t>
        </is>
      </c>
      <c r="I1000" s="19" t="n"/>
      <c r="J1000" s="19" t="n"/>
      <c r="K1000" s="19" t="inlineStr">
        <is>
          <t>2</t>
        </is>
      </c>
      <c r="L1000" t="inlineStr">
        <is>
          <t>2026-08-08</t>
        </is>
      </c>
      <c r="N1000" t="inlineStr">
        <is>
          <t>IN_SCOPE_FINAL; SOURCE_CFG=IA-ST-CFG-0162; MARKET=PSA (Yurt Dışı); STATUS=IN OEM / EU PACKAGE</t>
        </is>
      </c>
      <c r="O1000" t="inlineStr">
        <is>
          <t>2026-08-10T19:29:54Z</t>
        </is>
      </c>
      <c r="P1000" t="inlineStr">
        <is>
          <t>2026-08-10T19:29:54Z</t>
        </is>
      </c>
    </row>
    <row r="1001">
      <c r="A1001" s="19" t="inlineStr">
        <is>
          <t>1000</t>
        </is>
      </c>
      <c r="B1001" s="19" t="inlineStr">
        <is>
          <t>SC-1013412-ST-057-EUR-03</t>
        </is>
      </c>
      <c r="C1001" t="inlineStr">
        <is>
          <t>1013412 → ST-057-EUR-03</t>
        </is>
      </c>
      <c r="D1001" s="19" t="inlineStr">
        <is>
          <t>2</t>
        </is>
      </c>
      <c r="E1001" s="19" t="inlineStr">
        <is>
          <t>991</t>
        </is>
      </c>
      <c r="F1001" s="19" t="inlineStr">
        <is>
          <t>131</t>
        </is>
      </c>
      <c r="G1001" s="19" t="n"/>
      <c r="H1001" s="19" t="inlineStr">
        <is>
          <t>2</t>
        </is>
      </c>
      <c r="I1001" s="19" t="n"/>
      <c r="J1001" s="19" t="n"/>
      <c r="K1001" s="19" t="inlineStr">
        <is>
          <t>2</t>
        </is>
      </c>
      <c r="L1001" t="inlineStr">
        <is>
          <t>2026-08-08</t>
        </is>
      </c>
      <c r="N1001" t="inlineStr">
        <is>
          <t>IN_SCOPE_FINAL; SOURCE_CFG=IA-ST-CFG-0162; MARKET=FCA OES (Yurt Dışı); STATUS=IN OEM / EU PACKAGE</t>
        </is>
      </c>
      <c r="O1001" t="inlineStr">
        <is>
          <t>2026-08-10T19:29:54Z</t>
        </is>
      </c>
      <c r="P1001" t="inlineStr">
        <is>
          <t>2026-08-10T19:29:54Z</t>
        </is>
      </c>
    </row>
    <row r="1002">
      <c r="A1002" s="19" t="inlineStr">
        <is>
          <t>1001</t>
        </is>
      </c>
      <c r="B1002" s="19" t="inlineStr">
        <is>
          <t>SC-1012658-ST-057-EUR-03</t>
        </is>
      </c>
      <c r="C1002" t="inlineStr">
        <is>
          <t>1012658 → ST-057-EUR-03</t>
        </is>
      </c>
      <c r="D1002" s="19" t="inlineStr">
        <is>
          <t>2</t>
        </is>
      </c>
      <c r="E1002" s="19" t="inlineStr">
        <is>
          <t>735</t>
        </is>
      </c>
      <c r="F1002" s="19" t="inlineStr">
        <is>
          <t>131</t>
        </is>
      </c>
      <c r="G1002" s="19" t="n"/>
      <c r="H1002" s="19" t="inlineStr">
        <is>
          <t>2</t>
        </is>
      </c>
      <c r="I1002" s="19" t="n"/>
      <c r="J1002" s="19" t="n"/>
      <c r="K1002" s="19" t="inlineStr">
        <is>
          <t>2</t>
        </is>
      </c>
      <c r="L1002" t="inlineStr">
        <is>
          <t>2026-08-08</t>
        </is>
      </c>
      <c r="N1002" t="inlineStr">
        <is>
          <t>IN_SCOPE_FINAL; SOURCE_CFG=IA-ST-CFG-0162; MARKET=PSA (Yurt Dışı); STATUS=IN OEM / EU PACKAGE</t>
        </is>
      </c>
      <c r="O1002" t="inlineStr">
        <is>
          <t>2026-08-10T19:29:54Z</t>
        </is>
      </c>
      <c r="P1002" t="inlineStr">
        <is>
          <t>2026-08-10T19:29:54Z</t>
        </is>
      </c>
    </row>
    <row r="1003">
      <c r="A1003" s="19" t="inlineStr">
        <is>
          <t>1002</t>
        </is>
      </c>
      <c r="B1003" s="19" t="inlineStr">
        <is>
          <t>SC-1012962-ST-057-EUR-03</t>
        </is>
      </c>
      <c r="C1003" t="inlineStr">
        <is>
          <t>1012962 → ST-057-EUR-03</t>
        </is>
      </c>
      <c r="D1003" s="19" t="inlineStr">
        <is>
          <t>2</t>
        </is>
      </c>
      <c r="E1003" s="19" t="inlineStr">
        <is>
          <t>883</t>
        </is>
      </c>
      <c r="F1003" s="19" t="inlineStr">
        <is>
          <t>131</t>
        </is>
      </c>
      <c r="G1003" s="19" t="n"/>
      <c r="H1003" s="19" t="inlineStr">
        <is>
          <t>2</t>
        </is>
      </c>
      <c r="I1003" s="19" t="n"/>
      <c r="J1003" s="19" t="n"/>
      <c r="K1003" s="19" t="inlineStr">
        <is>
          <t>2</t>
        </is>
      </c>
      <c r="L1003" t="inlineStr">
        <is>
          <t>2026-08-08</t>
        </is>
      </c>
      <c r="N1003" t="inlineStr">
        <is>
          <t>IN_SCOPE_FINAL; SOURCE_CFG=IA-ST-CFG-0162; MARKET=GS; STATUS=IN OEM / EU PACKAGE</t>
        </is>
      </c>
      <c r="O1003" t="inlineStr">
        <is>
          <t>2026-08-10T19:29:54Z</t>
        </is>
      </c>
      <c r="P1003" t="inlineStr">
        <is>
          <t>2026-08-10T19:29:54Z</t>
        </is>
      </c>
    </row>
    <row r="1004">
      <c r="A1004" s="19" t="inlineStr">
        <is>
          <t>1003</t>
        </is>
      </c>
      <c r="B1004" s="19" t="inlineStr">
        <is>
          <t>SC-1014427-ST-057-EUR-03</t>
        </is>
      </c>
      <c r="C1004" t="inlineStr">
        <is>
          <t>1014427 → ST-057-EUR-03</t>
        </is>
      </c>
      <c r="D1004" s="19" t="inlineStr">
        <is>
          <t>2</t>
        </is>
      </c>
      <c r="E1004" s="19" t="inlineStr">
        <is>
          <t>1370</t>
        </is>
      </c>
      <c r="F1004" s="19" t="inlineStr">
        <is>
          <t>131</t>
        </is>
      </c>
      <c r="G1004" s="19" t="n"/>
      <c r="H1004" s="19" t="inlineStr">
        <is>
          <t>2</t>
        </is>
      </c>
      <c r="I1004" s="19" t="n"/>
      <c r="J1004" s="19" t="n"/>
      <c r="K1004" s="19" t="inlineStr">
        <is>
          <t>2</t>
        </is>
      </c>
      <c r="L1004" t="inlineStr">
        <is>
          <t>2026-08-08</t>
        </is>
      </c>
      <c r="N1004" t="inlineStr">
        <is>
          <t>IN_SCOPE_FINAL; SOURCE_CFG=IA-ST-CFG-0162; MARKET=GS; STATUS=IN OEM / EU PACKAGE</t>
        </is>
      </c>
      <c r="O1004" t="inlineStr">
        <is>
          <t>2026-08-10T19:29:54Z</t>
        </is>
      </c>
      <c r="P1004" t="inlineStr">
        <is>
          <t>2026-08-10T19:29:54Z</t>
        </is>
      </c>
    </row>
    <row r="1005">
      <c r="A1005" s="19" t="inlineStr">
        <is>
          <t>1004</t>
        </is>
      </c>
      <c r="B1005" s="19" t="inlineStr">
        <is>
          <t>SC-1014960-ST-057-EUR-03</t>
        </is>
      </c>
      <c r="C1005" t="inlineStr">
        <is>
          <t>1014960 → ST-057-EUR-03</t>
        </is>
      </c>
      <c r="D1005" s="19" t="inlineStr">
        <is>
          <t>2</t>
        </is>
      </c>
      <c r="E1005" s="19" t="inlineStr">
        <is>
          <t>1726</t>
        </is>
      </c>
      <c r="F1005" s="19" t="inlineStr">
        <is>
          <t>131</t>
        </is>
      </c>
      <c r="G1005" s="19" t="n"/>
      <c r="H1005" s="19" t="inlineStr">
        <is>
          <t>2</t>
        </is>
      </c>
      <c r="I1005" s="19" t="n"/>
      <c r="J1005" s="19" t="n"/>
      <c r="K1005" s="19" t="inlineStr">
        <is>
          <t>2</t>
        </is>
      </c>
      <c r="L1005" t="inlineStr">
        <is>
          <t>2026-08-08</t>
        </is>
      </c>
      <c r="N1005" t="inlineStr">
        <is>
          <t>IN_SCOPE_FINAL; SOURCE_CFG=IA-ST-CFG-0162; MARKET=GY EUR; STATUS=IN OEM / EU PACKAGE</t>
        </is>
      </c>
      <c r="O1005" t="inlineStr">
        <is>
          <t>2026-08-10T19:29:54Z</t>
        </is>
      </c>
      <c r="P1005" t="inlineStr">
        <is>
          <t>2026-08-10T19:29:54Z</t>
        </is>
      </c>
    </row>
    <row r="1006">
      <c r="A1006" s="19" t="inlineStr">
        <is>
          <t>1005</t>
        </is>
      </c>
      <c r="B1006" s="19" t="inlineStr">
        <is>
          <t>SC-1014977-ST-057-EUR-03</t>
        </is>
      </c>
      <c r="C1006" t="inlineStr">
        <is>
          <t>1014977 → ST-057-EUR-03</t>
        </is>
      </c>
      <c r="D1006" s="19" t="inlineStr">
        <is>
          <t>2</t>
        </is>
      </c>
      <c r="E1006" s="19" t="inlineStr">
        <is>
          <t>1743</t>
        </is>
      </c>
      <c r="F1006" s="19" t="inlineStr">
        <is>
          <t>131</t>
        </is>
      </c>
      <c r="G1006" s="19" t="n"/>
      <c r="H1006" s="19" t="inlineStr">
        <is>
          <t>2</t>
        </is>
      </c>
      <c r="I1006" s="19" t="n"/>
      <c r="J1006" s="19" t="n"/>
      <c r="K1006" s="19" t="inlineStr">
        <is>
          <t>2</t>
        </is>
      </c>
      <c r="L1006" t="inlineStr">
        <is>
          <t>2026-08-08</t>
        </is>
      </c>
      <c r="N1006" t="inlineStr">
        <is>
          <t>IN_SCOPE_FINAL; SOURCE_CFG=IA-ST-CFG-0162; MARKET=GS; STATUS=IN OEM / EU PACKAGE</t>
        </is>
      </c>
      <c r="O1006" t="inlineStr">
        <is>
          <t>2026-08-10T19:29:54Z</t>
        </is>
      </c>
      <c r="P1006" t="inlineStr">
        <is>
          <t>2026-08-10T19:29:54Z</t>
        </is>
      </c>
    </row>
    <row r="1007">
      <c r="A1007" s="19" t="inlineStr">
        <is>
          <t>1006</t>
        </is>
      </c>
      <c r="B1007" s="19" t="inlineStr">
        <is>
          <t>SC-1015176-ST-057-EUR-03</t>
        </is>
      </c>
      <c r="C1007" t="inlineStr">
        <is>
          <t>1015176 → ST-057-EUR-03</t>
        </is>
      </c>
      <c r="D1007" s="19" t="inlineStr">
        <is>
          <t>2</t>
        </is>
      </c>
      <c r="E1007" s="19" t="inlineStr">
        <is>
          <t>1921</t>
        </is>
      </c>
      <c r="F1007" s="19" t="inlineStr">
        <is>
          <t>131</t>
        </is>
      </c>
      <c r="G1007" s="19" t="n"/>
      <c r="H1007" s="19" t="inlineStr">
        <is>
          <t>2</t>
        </is>
      </c>
      <c r="I1007" s="19" t="n"/>
      <c r="J1007" s="19" t="n"/>
      <c r="K1007" s="19" t="inlineStr">
        <is>
          <t>2</t>
        </is>
      </c>
      <c r="L1007" t="inlineStr">
        <is>
          <t>2026-08-08</t>
        </is>
      </c>
      <c r="N1007" t="inlineStr">
        <is>
          <t>IN_SCOPE_FINAL; SOURCE_CFG=IA-ST-CFG-0162; MARKET=GY NRD (ADN BALTIC NORDIC); STATUS=IN OEM / EU PACKAGE</t>
        </is>
      </c>
      <c r="O1007" t="inlineStr">
        <is>
          <t>2026-08-10T19:29:54Z</t>
        </is>
      </c>
      <c r="P1007" t="inlineStr">
        <is>
          <t>2026-08-10T19:29:54Z</t>
        </is>
      </c>
    </row>
    <row r="1008">
      <c r="A1008" s="19" t="inlineStr">
        <is>
          <t>1007</t>
        </is>
      </c>
      <c r="B1008" s="19" t="inlineStr">
        <is>
          <t>SC-1014428-ST-057-EUR-03</t>
        </is>
      </c>
      <c r="C1008" t="inlineStr">
        <is>
          <t>1014428 → ST-057-EUR-03</t>
        </is>
      </c>
      <c r="D1008" s="19" t="inlineStr">
        <is>
          <t>2</t>
        </is>
      </c>
      <c r="E1008" s="19" t="inlineStr">
        <is>
          <t>1371</t>
        </is>
      </c>
      <c r="F1008" s="19" t="inlineStr">
        <is>
          <t>131</t>
        </is>
      </c>
      <c r="G1008" s="19" t="n"/>
      <c r="H1008" s="19" t="inlineStr">
        <is>
          <t>2</t>
        </is>
      </c>
      <c r="I1008" s="19" t="n"/>
      <c r="J1008" s="19" t="n"/>
      <c r="K1008" s="19" t="inlineStr">
        <is>
          <t>2</t>
        </is>
      </c>
      <c r="L1008" t="inlineStr">
        <is>
          <t>2026-08-08</t>
        </is>
      </c>
      <c r="N1008" t="inlineStr">
        <is>
          <t>IN_SCOPE_FINAL; SOURCE_CFG=IA-ST-CFG-0162; MARKET=GS; STATUS=IN OEM / EU PACKAGE</t>
        </is>
      </c>
      <c r="O1008" t="inlineStr">
        <is>
          <t>2026-08-10T19:29:54Z</t>
        </is>
      </c>
      <c r="P1008" t="inlineStr">
        <is>
          <t>2026-08-10T19:29:54Z</t>
        </is>
      </c>
    </row>
    <row r="1009">
      <c r="A1009" s="19" t="inlineStr">
        <is>
          <t>1008</t>
        </is>
      </c>
      <c r="B1009" s="19" t="inlineStr">
        <is>
          <t>SC-1012984-ST-057-EUR-03</t>
        </is>
      </c>
      <c r="C1009" t="inlineStr">
        <is>
          <t>1012984 → ST-057-EUR-03</t>
        </is>
      </c>
      <c r="D1009" s="19" t="inlineStr">
        <is>
          <t>2</t>
        </is>
      </c>
      <c r="E1009" s="19" t="inlineStr">
        <is>
          <t>895</t>
        </is>
      </c>
      <c r="F1009" s="19" t="inlineStr">
        <is>
          <t>131</t>
        </is>
      </c>
      <c r="G1009" s="19" t="n"/>
      <c r="H1009" s="19" t="inlineStr">
        <is>
          <t>2</t>
        </is>
      </c>
      <c r="I1009" s="19" t="n"/>
      <c r="J1009" s="19" t="n"/>
      <c r="K1009" s="19" t="inlineStr">
        <is>
          <t>2</t>
        </is>
      </c>
      <c r="L1009" t="inlineStr">
        <is>
          <t>2026-08-08</t>
        </is>
      </c>
      <c r="N1009" t="inlineStr">
        <is>
          <t>IN_SCOPE_FINAL; SOURCE_CFG=IA-ST-CFG-0162; MARKET=TOFAŞ (Yurt Dışı); STATUS=IN OEM / EU PACKAGE</t>
        </is>
      </c>
      <c r="O1009" t="inlineStr">
        <is>
          <t>2026-08-10T19:29:54Z</t>
        </is>
      </c>
      <c r="P1009" t="inlineStr">
        <is>
          <t>2026-08-10T19:29:54Z</t>
        </is>
      </c>
    </row>
    <row r="1010">
      <c r="A1010" s="19" t="inlineStr">
        <is>
          <t>1009</t>
        </is>
      </c>
      <c r="B1010" s="19" t="inlineStr">
        <is>
          <t>SC-1014198-ST-057-EUR-04</t>
        </is>
      </c>
      <c r="C1010" t="inlineStr">
        <is>
          <t>1014198 → ST-057-EUR-04</t>
        </is>
      </c>
      <c r="D1010" s="19" t="inlineStr">
        <is>
          <t>2</t>
        </is>
      </c>
      <c r="E1010" s="19" t="inlineStr">
        <is>
          <t>1265</t>
        </is>
      </c>
      <c r="F1010" s="19" t="inlineStr">
        <is>
          <t>132</t>
        </is>
      </c>
      <c r="G1010" s="19" t="n"/>
      <c r="H1010" s="19" t="inlineStr">
        <is>
          <t>2</t>
        </is>
      </c>
      <c r="I1010" s="19" t="n"/>
      <c r="J1010" s="19" t="n"/>
      <c r="K1010" s="19" t="inlineStr">
        <is>
          <t>2</t>
        </is>
      </c>
      <c r="L1010" t="inlineStr">
        <is>
          <t>2026-08-08</t>
        </is>
      </c>
      <c r="N1010" t="inlineStr">
        <is>
          <t>IN_SCOPE_FINAL; SOURCE_CFG=IA-ST-CFG-0163; MARKET=BOOSTER; STATUS=IN OEM / EU PACKAGE</t>
        </is>
      </c>
      <c r="O1010" t="inlineStr">
        <is>
          <t>2026-08-10T19:29:54Z</t>
        </is>
      </c>
      <c r="P1010" t="inlineStr">
        <is>
          <t>2026-08-10T19:29:54Z</t>
        </is>
      </c>
    </row>
    <row r="1011">
      <c r="A1011" s="19" t="inlineStr">
        <is>
          <t>1010</t>
        </is>
      </c>
      <c r="B1011" s="19" t="inlineStr">
        <is>
          <t>SC-1014210-ST-057-EUR-04</t>
        </is>
      </c>
      <c r="C1011" t="inlineStr">
        <is>
          <t>1014210 → ST-057-EUR-04</t>
        </is>
      </c>
      <c r="D1011" s="19" t="inlineStr">
        <is>
          <t>2</t>
        </is>
      </c>
      <c r="E1011" s="19" t="inlineStr">
        <is>
          <t>1273</t>
        </is>
      </c>
      <c r="F1011" s="19" t="inlineStr">
        <is>
          <t>132</t>
        </is>
      </c>
      <c r="G1011" s="19" t="n"/>
      <c r="H1011" s="19" t="inlineStr">
        <is>
          <t>2</t>
        </is>
      </c>
      <c r="I1011" s="19" t="n"/>
      <c r="J1011" s="19" t="n"/>
      <c r="K1011" s="19" t="inlineStr">
        <is>
          <t>2</t>
        </is>
      </c>
      <c r="L1011" t="inlineStr">
        <is>
          <t>2026-08-08</t>
        </is>
      </c>
      <c r="N1011" t="inlineStr">
        <is>
          <t>IN_SCOPE_FINAL; SOURCE_CFG=IA-ST-CFG-0163; MARKET=None; STATUS=IN OEM / EU PACKAGE</t>
        </is>
      </c>
      <c r="O1011" t="inlineStr">
        <is>
          <t>2026-08-10T19:29:54Z</t>
        </is>
      </c>
      <c r="P1011" t="inlineStr">
        <is>
          <t>2026-08-10T19:29:54Z</t>
        </is>
      </c>
    </row>
    <row r="1012">
      <c r="A1012" s="19" t="inlineStr">
        <is>
          <t>1011</t>
        </is>
      </c>
      <c r="B1012" s="19" t="inlineStr">
        <is>
          <t>SC-1014991-ST-057-EUR-04</t>
        </is>
      </c>
      <c r="C1012" t="inlineStr">
        <is>
          <t>1014991 → ST-057-EUR-04</t>
        </is>
      </c>
      <c r="D1012" s="19" t="inlineStr">
        <is>
          <t>2</t>
        </is>
      </c>
      <c r="E1012" s="19" t="inlineStr">
        <is>
          <t>1752</t>
        </is>
      </c>
      <c r="F1012" s="19" t="inlineStr">
        <is>
          <t>132</t>
        </is>
      </c>
      <c r="G1012" s="19" t="n"/>
      <c r="H1012" s="19" t="inlineStr">
        <is>
          <t>2</t>
        </is>
      </c>
      <c r="I1012" s="19" t="n"/>
      <c r="J1012" s="19" t="n"/>
      <c r="K1012" s="19" t="inlineStr">
        <is>
          <t>2</t>
        </is>
      </c>
      <c r="L1012" t="inlineStr">
        <is>
          <t>2026-08-08</t>
        </is>
      </c>
      <c r="N1012" t="inlineStr">
        <is>
          <t>IN_SCOPE_FINAL; SOURCE_CFG=IA-ST-CFG-0163; MARKET=CONEX ROMANYA; STATUS=IN OEM / EU PACKAGE</t>
        </is>
      </c>
      <c r="O1012" t="inlineStr">
        <is>
          <t>2026-08-10T19:29:54Z</t>
        </is>
      </c>
      <c r="P1012" t="inlineStr">
        <is>
          <t>2026-08-10T19:29:54Z</t>
        </is>
      </c>
    </row>
    <row r="1013">
      <c r="A1013" s="19" t="inlineStr">
        <is>
          <t>1012</t>
        </is>
      </c>
      <c r="B1013" s="19" t="inlineStr">
        <is>
          <t>SC-1014992-ST-057-EUR-04</t>
        </is>
      </c>
      <c r="C1013" t="inlineStr">
        <is>
          <t>1014992 → ST-057-EUR-04</t>
        </is>
      </c>
      <c r="D1013" s="19" t="inlineStr">
        <is>
          <t>2</t>
        </is>
      </c>
      <c r="E1013" s="19" t="inlineStr">
        <is>
          <t>1753</t>
        </is>
      </c>
      <c r="F1013" s="19" t="inlineStr">
        <is>
          <t>132</t>
        </is>
      </c>
      <c r="G1013" s="19" t="n"/>
      <c r="H1013" s="19" t="inlineStr">
        <is>
          <t>2</t>
        </is>
      </c>
      <c r="I1013" s="19" t="n"/>
      <c r="J1013" s="19" t="n"/>
      <c r="K1013" s="19" t="inlineStr">
        <is>
          <t>2</t>
        </is>
      </c>
      <c r="L1013" t="inlineStr">
        <is>
          <t>2026-08-08</t>
        </is>
      </c>
      <c r="N1013" t="inlineStr">
        <is>
          <t>IN_SCOPE_FINAL; SOURCE_CFG=IA-ST-CFG-0163; MARKET=CONEX ROMANYA; STATUS=IN OEM / EU PACKAGE</t>
        </is>
      </c>
      <c r="O1013" t="inlineStr">
        <is>
          <t>2026-08-10T19:29:54Z</t>
        </is>
      </c>
      <c r="P1013" t="inlineStr">
        <is>
          <t>2026-08-10T19:29:54Z</t>
        </is>
      </c>
    </row>
    <row r="1014">
      <c r="A1014" s="19" t="inlineStr">
        <is>
          <t>1013</t>
        </is>
      </c>
      <c r="B1014" s="19" t="inlineStr">
        <is>
          <t>SC-1014993-ST-057-EUR-04</t>
        </is>
      </c>
      <c r="C1014" t="inlineStr">
        <is>
          <t>1014993 → ST-057-EUR-04</t>
        </is>
      </c>
      <c r="D1014" s="19" t="inlineStr">
        <is>
          <t>2</t>
        </is>
      </c>
      <c r="E1014" s="19" t="inlineStr">
        <is>
          <t>1754</t>
        </is>
      </c>
      <c r="F1014" s="19" t="inlineStr">
        <is>
          <t>132</t>
        </is>
      </c>
      <c r="G1014" s="19" t="n"/>
      <c r="H1014" s="19" t="inlineStr">
        <is>
          <t>2</t>
        </is>
      </c>
      <c r="I1014" s="19" t="n"/>
      <c r="J1014" s="19" t="n"/>
      <c r="K1014" s="19" t="inlineStr">
        <is>
          <t>2</t>
        </is>
      </c>
      <c r="L1014" t="inlineStr">
        <is>
          <t>2026-08-08</t>
        </is>
      </c>
      <c r="N1014" t="inlineStr">
        <is>
          <t>IN_SCOPE_FINAL; SOURCE_CFG=IA-ST-CFG-0163; MARKET=CONEX ROMANYA; STATUS=IN OEM / EU PACKAGE</t>
        </is>
      </c>
      <c r="O1014" t="inlineStr">
        <is>
          <t>2026-08-10T19:29:54Z</t>
        </is>
      </c>
      <c r="P1014" t="inlineStr">
        <is>
          <t>2026-08-10T19:29:54Z</t>
        </is>
      </c>
    </row>
    <row r="1015">
      <c r="A1015" s="19" t="inlineStr">
        <is>
          <t>1014</t>
        </is>
      </c>
      <c r="B1015" s="19" t="inlineStr">
        <is>
          <t>SC-1012612-ST-057-EUR-04</t>
        </is>
      </c>
      <c r="C1015" t="inlineStr">
        <is>
          <t>1012612 → ST-057-EUR-04</t>
        </is>
      </c>
      <c r="D1015" s="19" t="inlineStr">
        <is>
          <t>2</t>
        </is>
      </c>
      <c r="E1015" s="19" t="inlineStr">
        <is>
          <t>713</t>
        </is>
      </c>
      <c r="F1015" s="19" t="inlineStr">
        <is>
          <t>132</t>
        </is>
      </c>
      <c r="G1015" s="19" t="n"/>
      <c r="H1015" s="19" t="inlineStr">
        <is>
          <t>2</t>
        </is>
      </c>
      <c r="I1015" s="19" t="n"/>
      <c r="J1015" s="19" t="n"/>
      <c r="K1015" s="19" t="inlineStr">
        <is>
          <t>2</t>
        </is>
      </c>
      <c r="L1015" t="inlineStr">
        <is>
          <t>2026-08-08</t>
        </is>
      </c>
      <c r="N1015" t="inlineStr">
        <is>
          <t>IN_SCOPE_FINAL; SOURCE_CFG=IA-ST-CFG-0163; MARKET=START TRADING BULGARİSTAN; STATUS=IN OEM / EU PACKAGE</t>
        </is>
      </c>
      <c r="O1015" t="inlineStr">
        <is>
          <t>2026-08-10T19:29:54Z</t>
        </is>
      </c>
      <c r="P1015" t="inlineStr">
        <is>
          <t>2026-08-10T19:29:54Z</t>
        </is>
      </c>
    </row>
    <row r="1016">
      <c r="A1016" s="19" t="inlineStr">
        <is>
          <t>1015</t>
        </is>
      </c>
      <c r="B1016" s="19" t="inlineStr">
        <is>
          <t>SC-1012631-ST-057-EUR-04</t>
        </is>
      </c>
      <c r="C1016" t="inlineStr">
        <is>
          <t>1012631 → ST-057-EUR-04</t>
        </is>
      </c>
      <c r="D1016" s="19" t="inlineStr">
        <is>
          <t>2</t>
        </is>
      </c>
      <c r="E1016" s="19" t="inlineStr">
        <is>
          <t>724</t>
        </is>
      </c>
      <c r="F1016" s="19" t="inlineStr">
        <is>
          <t>132</t>
        </is>
      </c>
      <c r="G1016" s="19" t="n"/>
      <c r="H1016" s="19" t="inlineStr">
        <is>
          <t>2</t>
        </is>
      </c>
      <c r="I1016" s="19" t="n"/>
      <c r="J1016" s="19" t="n"/>
      <c r="K1016" s="19" t="inlineStr">
        <is>
          <t>2</t>
        </is>
      </c>
      <c r="L1016" t="inlineStr">
        <is>
          <t>2026-08-08</t>
        </is>
      </c>
      <c r="N1016" t="inlineStr">
        <is>
          <t>IN_SCOPE_FINAL; SOURCE_CFG=IA-ST-CFG-0163; MARKET=START TRADING BULGARİSTAN; STATUS=IN OEM / EU PACKAGE</t>
        </is>
      </c>
      <c r="O1016" t="inlineStr">
        <is>
          <t>2026-08-10T19:29:54Z</t>
        </is>
      </c>
      <c r="P1016" t="inlineStr">
        <is>
          <t>2026-08-10T19:29:54Z</t>
        </is>
      </c>
    </row>
    <row r="1017">
      <c r="A1017" s="19" t="inlineStr">
        <is>
          <t>1016</t>
        </is>
      </c>
      <c r="B1017" s="19" t="inlineStr">
        <is>
          <t>SC-1012699-ST-057-EUR-04</t>
        </is>
      </c>
      <c r="C1017" t="inlineStr">
        <is>
          <t>1012699 → ST-057-EUR-04</t>
        </is>
      </c>
      <c r="D1017" s="19" t="inlineStr">
        <is>
          <t>2</t>
        </is>
      </c>
      <c r="E1017" s="19" t="inlineStr">
        <is>
          <t>759</t>
        </is>
      </c>
      <c r="F1017" s="19" t="inlineStr">
        <is>
          <t>132</t>
        </is>
      </c>
      <c r="G1017" s="19" t="n"/>
      <c r="H1017" s="19" t="inlineStr">
        <is>
          <t>2</t>
        </is>
      </c>
      <c r="I1017" s="19" t="n"/>
      <c r="J1017" s="19" t="n"/>
      <c r="K1017" s="19" t="inlineStr">
        <is>
          <t>2</t>
        </is>
      </c>
      <c r="L1017" t="inlineStr">
        <is>
          <t>2026-08-08</t>
        </is>
      </c>
      <c r="N1017" t="inlineStr">
        <is>
          <t>IN_SCOPE_FINAL; SOURCE_CFG=IA-ST-CFG-0163; MARKET=START TRADING BULGARİSTAN; STATUS=IN OEM / EU PACKAGE</t>
        </is>
      </c>
      <c r="O1017" t="inlineStr">
        <is>
          <t>2026-08-10T19:29:54Z</t>
        </is>
      </c>
      <c r="P1017" t="inlineStr">
        <is>
          <t>2026-08-10T19:29:54Z</t>
        </is>
      </c>
    </row>
    <row r="1018">
      <c r="A1018" s="19" t="inlineStr">
        <is>
          <t>1017</t>
        </is>
      </c>
      <c r="B1018" s="19" t="inlineStr">
        <is>
          <t>SC-1012632-ST-057-EUR-04</t>
        </is>
      </c>
      <c r="C1018" t="inlineStr">
        <is>
          <t>1012632 → ST-057-EUR-04</t>
        </is>
      </c>
      <c r="D1018" s="19" t="inlineStr">
        <is>
          <t>2</t>
        </is>
      </c>
      <c r="E1018" s="19" t="inlineStr">
        <is>
          <t>725</t>
        </is>
      </c>
      <c r="F1018" s="19" t="inlineStr">
        <is>
          <t>132</t>
        </is>
      </c>
      <c r="G1018" s="19" t="n"/>
      <c r="H1018" s="19" t="inlineStr">
        <is>
          <t>2</t>
        </is>
      </c>
      <c r="I1018" s="19" t="n"/>
      <c r="J1018" s="19" t="n"/>
      <c r="K1018" s="19" t="inlineStr">
        <is>
          <t>2</t>
        </is>
      </c>
      <c r="L1018" t="inlineStr">
        <is>
          <t>2026-08-08</t>
        </is>
      </c>
      <c r="N1018" t="inlineStr">
        <is>
          <t>IN_SCOPE_FINAL; SOURCE_CFG=IA-ST-CFG-0163; MARKET=START TRADING BULGARİSTAN; STATUS=IN OEM / EU PACKAGE</t>
        </is>
      </c>
      <c r="O1018" t="inlineStr">
        <is>
          <t>2026-08-10T19:29:54Z</t>
        </is>
      </c>
      <c r="P1018" t="inlineStr">
        <is>
          <t>2026-08-10T19:29:54Z</t>
        </is>
      </c>
    </row>
    <row r="1019">
      <c r="A1019" s="19" t="inlineStr">
        <is>
          <t>1018</t>
        </is>
      </c>
      <c r="B1019" s="19" t="inlineStr">
        <is>
          <t>SC-1011398-ST-057-EUR-05</t>
        </is>
      </c>
      <c r="C1019" t="inlineStr">
        <is>
          <t>1011398 → ST-057-EUR-05</t>
        </is>
      </c>
      <c r="D1019" s="19" t="inlineStr">
        <is>
          <t>2</t>
        </is>
      </c>
      <c r="E1019" s="19" t="inlineStr">
        <is>
          <t>300</t>
        </is>
      </c>
      <c r="F1019" s="19" t="inlineStr">
        <is>
          <t>133</t>
        </is>
      </c>
      <c r="G1019" s="19" t="n"/>
      <c r="H1019" s="19" t="inlineStr">
        <is>
          <t>2</t>
        </is>
      </c>
      <c r="I1019" s="19" t="n"/>
      <c r="J1019" s="19" t="n"/>
      <c r="K1019" s="19" t="inlineStr">
        <is>
          <t>2</t>
        </is>
      </c>
      <c r="L1019" t="inlineStr">
        <is>
          <t>2026-08-08</t>
        </is>
      </c>
      <c r="N1019" t="inlineStr">
        <is>
          <t>IN_SCOPE_FINAL; SOURCE_CFG=IA-ST-CFG-0164; MARKET=BATERIE PRZEMYSLOWE POLONYA; STATUS=IN OEM / EU PACKAGE</t>
        </is>
      </c>
      <c r="O1019" t="inlineStr">
        <is>
          <t>2026-08-10T19:29:54Z</t>
        </is>
      </c>
      <c r="P1019" t="inlineStr">
        <is>
          <t>2026-08-10T19:29:54Z</t>
        </is>
      </c>
    </row>
    <row r="1020">
      <c r="A1020" s="19" t="inlineStr">
        <is>
          <t>1019</t>
        </is>
      </c>
      <c r="B1020" s="19" t="inlineStr">
        <is>
          <t>SC-1012743-ST-057-EUR-05</t>
        </is>
      </c>
      <c r="C1020" t="inlineStr">
        <is>
          <t>1012743 → ST-057-EUR-05</t>
        </is>
      </c>
      <c r="D1020" s="19" t="inlineStr">
        <is>
          <t>2</t>
        </is>
      </c>
      <c r="E1020" s="19" t="inlineStr">
        <is>
          <t>778</t>
        </is>
      </c>
      <c r="F1020" s="19" t="inlineStr">
        <is>
          <t>133</t>
        </is>
      </c>
      <c r="G1020" s="19" t="n"/>
      <c r="H1020" s="19" t="inlineStr">
        <is>
          <t>2</t>
        </is>
      </c>
      <c r="I1020" s="19" t="n"/>
      <c r="J1020" s="19" t="n"/>
      <c r="K1020" s="19" t="inlineStr">
        <is>
          <t>2</t>
        </is>
      </c>
      <c r="L1020" t="inlineStr">
        <is>
          <t>2026-08-08</t>
        </is>
      </c>
      <c r="N1020" t="inlineStr">
        <is>
          <t>IN_SCOPE_FINAL; SOURCE_CFG=IA-ST-CFG-0164; MARKET=BATERIE PRZEMYSLOWE POLONYA; STATUS=IN OEM / EU PACKAGE</t>
        </is>
      </c>
      <c r="O1020" t="inlineStr">
        <is>
          <t>2026-08-10T19:29:54Z</t>
        </is>
      </c>
      <c r="P1020" t="inlineStr">
        <is>
          <t>2026-08-10T19:29:54Z</t>
        </is>
      </c>
    </row>
    <row r="1021">
      <c r="A1021" s="19" t="inlineStr">
        <is>
          <t>1020</t>
        </is>
      </c>
      <c r="B1021" s="19" t="inlineStr">
        <is>
          <t>SC-1012744-ST-057-EUR-05</t>
        </is>
      </c>
      <c r="C1021" t="inlineStr">
        <is>
          <t>1012744 → ST-057-EUR-05</t>
        </is>
      </c>
      <c r="D1021" s="19" t="inlineStr">
        <is>
          <t>2</t>
        </is>
      </c>
      <c r="E1021" s="19" t="inlineStr">
        <is>
          <t>779</t>
        </is>
      </c>
      <c r="F1021" s="19" t="inlineStr">
        <is>
          <t>133</t>
        </is>
      </c>
      <c r="G1021" s="19" t="n"/>
      <c r="H1021" s="19" t="inlineStr">
        <is>
          <t>2</t>
        </is>
      </c>
      <c r="I1021" s="19" t="n"/>
      <c r="J1021" s="19" t="n"/>
      <c r="K1021" s="19" t="inlineStr">
        <is>
          <t>2</t>
        </is>
      </c>
      <c r="L1021" t="inlineStr">
        <is>
          <t>2026-08-08</t>
        </is>
      </c>
      <c r="N1021" t="inlineStr">
        <is>
          <t>IN_SCOPE_FINAL; SOURCE_CFG=IA-ST-CFG-0164; MARKET=BATERIE PRZEMYSLOWE POLONYA; STATUS=IN OEM / EU PACKAGE</t>
        </is>
      </c>
      <c r="O1021" t="inlineStr">
        <is>
          <t>2026-08-10T19:29:54Z</t>
        </is>
      </c>
      <c r="P1021" t="inlineStr">
        <is>
          <t>2026-08-10T19:29:54Z</t>
        </is>
      </c>
    </row>
    <row r="1022">
      <c r="A1022" s="19" t="inlineStr">
        <is>
          <t>1021</t>
        </is>
      </c>
      <c r="B1022" s="19" t="inlineStr">
        <is>
          <t>SC-1014653-ST-057-EUR-05</t>
        </is>
      </c>
      <c r="C1022" t="inlineStr">
        <is>
          <t>1014653 → ST-057-EUR-05</t>
        </is>
      </c>
      <c r="D1022" s="19" t="inlineStr">
        <is>
          <t>2</t>
        </is>
      </c>
      <c r="E1022" s="19" t="inlineStr">
        <is>
          <t>1511</t>
        </is>
      </c>
      <c r="F1022" s="19" t="inlineStr">
        <is>
          <t>133</t>
        </is>
      </c>
      <c r="G1022" s="19" t="n"/>
      <c r="H1022" s="19" t="inlineStr">
        <is>
          <t>2</t>
        </is>
      </c>
      <c r="I1022" s="19" t="n"/>
      <c r="J1022" s="19" t="n"/>
      <c r="K1022" s="19" t="inlineStr">
        <is>
          <t>2</t>
        </is>
      </c>
      <c r="L1022" t="inlineStr">
        <is>
          <t>2026-08-08</t>
        </is>
      </c>
      <c r="N1022" t="inlineStr">
        <is>
          <t>IN_SCOPE_FINAL; SOURCE_CFG=IA-ST-CFG-0164; MARKET=BATERIE PRZEMYSLOWE POLONYA; STATUS=IN OEM / EU PACKAGE</t>
        </is>
      </c>
      <c r="O1022" t="inlineStr">
        <is>
          <t>2026-08-10T19:29:54Z</t>
        </is>
      </c>
      <c r="P1022" t="inlineStr">
        <is>
          <t>2026-08-10T19:29:54Z</t>
        </is>
      </c>
    </row>
    <row r="1023">
      <c r="A1023" s="19" t="inlineStr">
        <is>
          <t>1022</t>
        </is>
      </c>
      <c r="B1023" s="19" t="inlineStr">
        <is>
          <t>SC-1014654-ST-057-EUR-05</t>
        </is>
      </c>
      <c r="C1023" t="inlineStr">
        <is>
          <t>1014654 → ST-057-EUR-05</t>
        </is>
      </c>
      <c r="D1023" s="19" t="inlineStr">
        <is>
          <t>2</t>
        </is>
      </c>
      <c r="E1023" s="19" t="inlineStr">
        <is>
          <t>1512</t>
        </is>
      </c>
      <c r="F1023" s="19" t="inlineStr">
        <is>
          <t>133</t>
        </is>
      </c>
      <c r="G1023" s="19" t="n"/>
      <c r="H1023" s="19" t="inlineStr">
        <is>
          <t>2</t>
        </is>
      </c>
      <c r="I1023" s="19" t="n"/>
      <c r="J1023" s="19" t="n"/>
      <c r="K1023" s="19" t="inlineStr">
        <is>
          <t>2</t>
        </is>
      </c>
      <c r="L1023" t="inlineStr">
        <is>
          <t>2026-08-08</t>
        </is>
      </c>
      <c r="N1023" t="inlineStr">
        <is>
          <t>IN_SCOPE_FINAL; SOURCE_CFG=IA-ST-CFG-0164; MARKET=BATERIE PRZEMYSLOWE POLONYA; STATUS=IN OEM / EU PACKAGE</t>
        </is>
      </c>
      <c r="O1023" t="inlineStr">
        <is>
          <t>2026-08-10T19:29:54Z</t>
        </is>
      </c>
      <c r="P1023" t="inlineStr">
        <is>
          <t>2026-08-10T19:29:54Z</t>
        </is>
      </c>
    </row>
    <row r="1024">
      <c r="A1024" s="19" t="inlineStr">
        <is>
          <t>1023</t>
        </is>
      </c>
      <c r="B1024" s="19" t="inlineStr">
        <is>
          <t>SC-1015112-ST-057-EUR-05</t>
        </is>
      </c>
      <c r="C1024" t="inlineStr">
        <is>
          <t>1015112 → ST-057-EUR-05</t>
        </is>
      </c>
      <c r="D1024" s="19" t="inlineStr">
        <is>
          <t>2</t>
        </is>
      </c>
      <c r="E1024" s="19" t="inlineStr">
        <is>
          <t>1865</t>
        </is>
      </c>
      <c r="F1024" s="19" t="inlineStr">
        <is>
          <t>133</t>
        </is>
      </c>
      <c r="G1024" s="19" t="n"/>
      <c r="H1024" s="19" t="inlineStr">
        <is>
          <t>2</t>
        </is>
      </c>
      <c r="I1024" s="19" t="n"/>
      <c r="J1024" s="19" t="n"/>
      <c r="K1024" s="19" t="inlineStr">
        <is>
          <t>2</t>
        </is>
      </c>
      <c r="L1024" t="inlineStr">
        <is>
          <t>2026-08-08</t>
        </is>
      </c>
      <c r="N1024" t="inlineStr">
        <is>
          <t>IN_SCOPE_FINAL; SOURCE_CFG=IA-ST-CFG-0164; MARKET=BATERIE PRZEMYSLOWE POLONYA; STATUS=IN OEM / EU PACKAGE</t>
        </is>
      </c>
      <c r="O1024" t="inlineStr">
        <is>
          <t>2026-08-10T19:29:54Z</t>
        </is>
      </c>
      <c r="P1024" t="inlineStr">
        <is>
          <t>2026-08-10T19:29:54Z</t>
        </is>
      </c>
    </row>
    <row r="1025">
      <c r="A1025" s="19" t="inlineStr">
        <is>
          <t>1024</t>
        </is>
      </c>
      <c r="B1025" s="19" t="inlineStr">
        <is>
          <t>SC-1015113-ST-057-EUR-05</t>
        </is>
      </c>
      <c r="C1025" t="inlineStr">
        <is>
          <t>1015113 → ST-057-EUR-05</t>
        </is>
      </c>
      <c r="D1025" s="19" t="inlineStr">
        <is>
          <t>2</t>
        </is>
      </c>
      <c r="E1025" s="19" t="inlineStr">
        <is>
          <t>1866</t>
        </is>
      </c>
      <c r="F1025" s="19" t="inlineStr">
        <is>
          <t>133</t>
        </is>
      </c>
      <c r="G1025" s="19" t="n"/>
      <c r="H1025" s="19" t="inlineStr">
        <is>
          <t>2</t>
        </is>
      </c>
      <c r="I1025" s="19" t="n"/>
      <c r="J1025" s="19" t="n"/>
      <c r="K1025" s="19" t="inlineStr">
        <is>
          <t>2</t>
        </is>
      </c>
      <c r="L1025" t="inlineStr">
        <is>
          <t>2026-08-08</t>
        </is>
      </c>
      <c r="N1025" t="inlineStr">
        <is>
          <t>IN_SCOPE_FINAL; SOURCE_CFG=IA-ST-CFG-0164; MARKET=BATERIE PRZEMYSLOWE POLONYA; STATUS=IN OEM / EU PACKAGE</t>
        </is>
      </c>
      <c r="O1025" t="inlineStr">
        <is>
          <t>2026-08-10T19:29:54Z</t>
        </is>
      </c>
      <c r="P1025" t="inlineStr">
        <is>
          <t>2026-08-10T19:29:54Z</t>
        </is>
      </c>
    </row>
    <row r="1026">
      <c r="A1026" s="19" t="inlineStr">
        <is>
          <t>1025</t>
        </is>
      </c>
      <c r="B1026" s="19" t="inlineStr">
        <is>
          <t>SC-1015263-ST-057-EUR-05</t>
        </is>
      </c>
      <c r="C1026" t="inlineStr">
        <is>
          <t>1015263 → ST-057-EUR-05</t>
        </is>
      </c>
      <c r="D1026" s="19" t="inlineStr">
        <is>
          <t>2</t>
        </is>
      </c>
      <c r="E1026" s="19" t="inlineStr">
        <is>
          <t>1996</t>
        </is>
      </c>
      <c r="F1026" s="19" t="inlineStr">
        <is>
          <t>133</t>
        </is>
      </c>
      <c r="G1026" s="19" t="n"/>
      <c r="H1026" s="19" t="inlineStr">
        <is>
          <t>2</t>
        </is>
      </c>
      <c r="I1026" s="19" t="n"/>
      <c r="J1026" s="19" t="n"/>
      <c r="K1026" s="19" t="inlineStr">
        <is>
          <t>2</t>
        </is>
      </c>
      <c r="L1026" t="inlineStr">
        <is>
          <t>2026-08-08</t>
        </is>
      </c>
      <c r="N1026" t="inlineStr">
        <is>
          <t>IN_SCOPE_FINAL; SOURCE_CFG=IA-ST-CFG-0164; MARKET=BATERIE PRZEMYSLOWE POLONYA; STATUS=IN OEM / EU PACKAGE</t>
        </is>
      </c>
      <c r="O1026" t="inlineStr">
        <is>
          <t>2026-08-10T19:29:54Z</t>
        </is>
      </c>
      <c r="P1026" t="inlineStr">
        <is>
          <t>2026-08-10T19:29:54Z</t>
        </is>
      </c>
    </row>
    <row r="1027">
      <c r="A1027" s="19" t="inlineStr">
        <is>
          <t>1026</t>
        </is>
      </c>
      <c r="B1027" s="19" t="inlineStr">
        <is>
          <t>SC-1014039-ST-057-EUR-05</t>
        </is>
      </c>
      <c r="C1027" t="inlineStr">
        <is>
          <t>1014039 → ST-057-EUR-05</t>
        </is>
      </c>
      <c r="D1027" s="19" t="inlineStr">
        <is>
          <t>2</t>
        </is>
      </c>
      <c r="E1027" s="19" t="inlineStr">
        <is>
          <t>1192</t>
        </is>
      </c>
      <c r="F1027" s="19" t="inlineStr">
        <is>
          <t>133</t>
        </is>
      </c>
      <c r="G1027" s="19" t="n"/>
      <c r="H1027" s="19" t="inlineStr">
        <is>
          <t>2</t>
        </is>
      </c>
      <c r="I1027" s="19" t="n"/>
      <c r="J1027" s="19" t="n"/>
      <c r="K1027" s="19" t="inlineStr">
        <is>
          <t>2</t>
        </is>
      </c>
      <c r="L1027" t="inlineStr">
        <is>
          <t>2026-08-08</t>
        </is>
      </c>
      <c r="N1027" t="inlineStr">
        <is>
          <t>IN_SCOPE_FINAL; SOURCE_CFG=IA-ST-CFG-0164; MARKET=CARANDA ROMANYA; STATUS=IN OEM / EU PACKAGE</t>
        </is>
      </c>
      <c r="O1027" t="inlineStr">
        <is>
          <t>2026-08-10T19:29:54Z</t>
        </is>
      </c>
      <c r="P1027" t="inlineStr">
        <is>
          <t>2026-08-10T19:29:54Z</t>
        </is>
      </c>
    </row>
    <row r="1028">
      <c r="A1028" s="19" t="inlineStr">
        <is>
          <t>1027</t>
        </is>
      </c>
      <c r="B1028" s="19" t="inlineStr">
        <is>
          <t>SC-1014049-ST-057-EUR-05</t>
        </is>
      </c>
      <c r="C1028" t="inlineStr">
        <is>
          <t>1014049 → ST-057-EUR-05</t>
        </is>
      </c>
      <c r="D1028" s="19" t="inlineStr">
        <is>
          <t>2</t>
        </is>
      </c>
      <c r="E1028" s="19" t="inlineStr">
        <is>
          <t>1197</t>
        </is>
      </c>
      <c r="F1028" s="19" t="inlineStr">
        <is>
          <t>133</t>
        </is>
      </c>
      <c r="G1028" s="19" t="n"/>
      <c r="H1028" s="19" t="inlineStr">
        <is>
          <t>2</t>
        </is>
      </c>
      <c r="I1028" s="19" t="n"/>
      <c r="J1028" s="19" t="n"/>
      <c r="K1028" s="19" t="inlineStr">
        <is>
          <t>2</t>
        </is>
      </c>
      <c r="L1028" t="inlineStr">
        <is>
          <t>2026-08-08</t>
        </is>
      </c>
      <c r="N1028" t="inlineStr">
        <is>
          <t>IN_SCOPE_FINAL; SOURCE_CFG=IA-ST-CFG-0164; MARKET=CARANDA ROMANYA; STATUS=IN OEM / EU PACKAGE</t>
        </is>
      </c>
      <c r="O1028" t="inlineStr">
        <is>
          <t>2026-08-10T19:29:54Z</t>
        </is>
      </c>
      <c r="P1028" t="inlineStr">
        <is>
          <t>2026-08-10T19:29:54Z</t>
        </is>
      </c>
    </row>
    <row r="1029">
      <c r="A1029" s="19" t="inlineStr">
        <is>
          <t>1028</t>
        </is>
      </c>
      <c r="B1029" s="19" t="inlineStr">
        <is>
          <t>SC-1011971-ST-060-STD-01</t>
        </is>
      </c>
      <c r="C1029" t="inlineStr">
        <is>
          <t>1011971 → ST-060-STD-01</t>
        </is>
      </c>
      <c r="D1029" s="19" t="inlineStr">
        <is>
          <t>2</t>
        </is>
      </c>
      <c r="E1029" s="19" t="inlineStr">
        <is>
          <t>446</t>
        </is>
      </c>
      <c r="F1029" s="19" t="inlineStr">
        <is>
          <t>139</t>
        </is>
      </c>
      <c r="G1029" s="19" t="n"/>
      <c r="H1029" s="19" t="inlineStr">
        <is>
          <t>2</t>
        </is>
      </c>
      <c r="I1029" s="19" t="n"/>
      <c r="J1029" s="19" t="n"/>
      <c r="K1029" s="19" t="inlineStr">
        <is>
          <t>2</t>
        </is>
      </c>
      <c r="L1029" t="inlineStr">
        <is>
          <t>2026-08-08</t>
        </is>
      </c>
      <c r="N1029" t="inlineStr">
        <is>
          <t>IN_SCOPE_FINAL; SOURCE_CFG=IA-ST-CFG-0165; MARKET=MISIR ATWAN; STATUS=IN OEM / EU PACKAGE</t>
        </is>
      </c>
      <c r="O1029" t="inlineStr">
        <is>
          <t>2026-08-10T19:29:54Z</t>
        </is>
      </c>
      <c r="P1029" t="inlineStr">
        <is>
          <t>2026-08-10T19:29:54Z</t>
        </is>
      </c>
    </row>
    <row r="1030">
      <c r="A1030" s="19" t="inlineStr">
        <is>
          <t>1029</t>
        </is>
      </c>
      <c r="B1030" s="19" t="inlineStr">
        <is>
          <t>SC-1012160-ST-060-STD-01</t>
        </is>
      </c>
      <c r="C1030" t="inlineStr">
        <is>
          <t>1012160 → ST-060-STD-01</t>
        </is>
      </c>
      <c r="D1030" s="19" t="inlineStr">
        <is>
          <t>2</t>
        </is>
      </c>
      <c r="E1030" s="19" t="inlineStr">
        <is>
          <t>550</t>
        </is>
      </c>
      <c r="F1030" s="19" t="inlineStr">
        <is>
          <t>139</t>
        </is>
      </c>
      <c r="G1030" s="19" t="n"/>
      <c r="H1030" s="19" t="inlineStr">
        <is>
          <t>2</t>
        </is>
      </c>
      <c r="I1030" s="19" t="n"/>
      <c r="J1030" s="19" t="n"/>
      <c r="K1030" s="19" t="inlineStr">
        <is>
          <t>2</t>
        </is>
      </c>
      <c r="L1030" t="inlineStr">
        <is>
          <t>2026-08-08</t>
        </is>
      </c>
      <c r="N1030" t="inlineStr">
        <is>
          <t>IN_SCOPE_FINAL; SOURCE_CFG=IA-ST-CFG-0165; MARKET=MISIR ATWAN; STATUS=IN OEM / EU PACKAGE</t>
        </is>
      </c>
      <c r="O1030" t="inlineStr">
        <is>
          <t>2026-08-10T19:29:54Z</t>
        </is>
      </c>
      <c r="P1030" t="inlineStr">
        <is>
          <t>2026-08-10T19:29:54Z</t>
        </is>
      </c>
    </row>
    <row r="1031">
      <c r="A1031" s="19" t="inlineStr">
        <is>
          <t>1030</t>
        </is>
      </c>
      <c r="B1031" s="19" t="inlineStr">
        <is>
          <t>SC-1014465-ST-060-STD-02</t>
        </is>
      </c>
      <c r="C1031" t="inlineStr">
        <is>
          <t>1014465 → ST-060-STD-02</t>
        </is>
      </c>
      <c r="D1031" s="19" t="inlineStr">
        <is>
          <t>2</t>
        </is>
      </c>
      <c r="E1031" s="19" t="inlineStr">
        <is>
          <t>1403</t>
        </is>
      </c>
      <c r="F1031" s="19" t="inlineStr">
        <is>
          <t>140</t>
        </is>
      </c>
      <c r="G1031" s="19" t="n"/>
      <c r="H1031" s="19" t="inlineStr">
        <is>
          <t>2</t>
        </is>
      </c>
      <c r="I1031" s="19" t="n"/>
      <c r="J1031" s="19" t="n"/>
      <c r="K1031" s="19" t="inlineStr">
        <is>
          <t>2</t>
        </is>
      </c>
      <c r="L1031" t="inlineStr">
        <is>
          <t>2026-08-08</t>
        </is>
      </c>
      <c r="N1031" t="inlineStr">
        <is>
          <t>IN_SCOPE_FINAL; SOURCE_CFG=IA-ST-CFG-0166; MARKET=SHAWKAT; STATUS=IN OEM / EU PACKAGE</t>
        </is>
      </c>
      <c r="O1031" t="inlineStr">
        <is>
          <t>2026-08-10T19:29:54Z</t>
        </is>
      </c>
      <c r="P1031" t="inlineStr">
        <is>
          <t>2026-08-10T19:29:54Z</t>
        </is>
      </c>
    </row>
    <row r="1032">
      <c r="A1032" s="19" t="inlineStr">
        <is>
          <t>1031</t>
        </is>
      </c>
      <c r="B1032" s="19" t="inlineStr">
        <is>
          <t>SC-1014461-ST-060-STD-02</t>
        </is>
      </c>
      <c r="C1032" t="inlineStr">
        <is>
          <t>1014461 → ST-060-STD-02</t>
        </is>
      </c>
      <c r="D1032" s="19" t="inlineStr">
        <is>
          <t>2</t>
        </is>
      </c>
      <c r="E1032" s="19" t="inlineStr">
        <is>
          <t>1399</t>
        </is>
      </c>
      <c r="F1032" s="19" t="inlineStr">
        <is>
          <t>140</t>
        </is>
      </c>
      <c r="G1032" s="19" t="n"/>
      <c r="H1032" s="19" t="inlineStr">
        <is>
          <t>2</t>
        </is>
      </c>
      <c r="I1032" s="19" t="n"/>
      <c r="J1032" s="19" t="n"/>
      <c r="K1032" s="19" t="inlineStr">
        <is>
          <t>2</t>
        </is>
      </c>
      <c r="L1032" t="inlineStr">
        <is>
          <t>2026-08-08</t>
        </is>
      </c>
      <c r="N1032" t="inlineStr">
        <is>
          <t>IN_SCOPE_FINAL; SOURCE_CFG=IA-ST-CFG-0166; MARKET=MISIR NACITA; STATUS=IN OEM / EU PACKAGE</t>
        </is>
      </c>
      <c r="O1032" t="inlineStr">
        <is>
          <t>2026-08-10T19:29:54Z</t>
        </is>
      </c>
      <c r="P1032" t="inlineStr">
        <is>
          <t>2026-08-10T19:29:54Z</t>
        </is>
      </c>
    </row>
    <row r="1033">
      <c r="A1033" s="19" t="inlineStr">
        <is>
          <t>1032</t>
        </is>
      </c>
      <c r="B1033" s="19" t="inlineStr">
        <is>
          <t>SC-1011014-ST-060-STD-03</t>
        </is>
      </c>
      <c r="C1033" t="inlineStr">
        <is>
          <t>1011014 → ST-060-STD-03</t>
        </is>
      </c>
      <c r="D1033" s="19" t="inlineStr">
        <is>
          <t>2</t>
        </is>
      </c>
      <c r="E1033" s="19" t="inlineStr">
        <is>
          <t>220</t>
        </is>
      </c>
      <c r="F1033" s="19" t="inlineStr">
        <is>
          <t>141</t>
        </is>
      </c>
      <c r="G1033" s="19" t="n"/>
      <c r="H1033" s="19" t="inlineStr">
        <is>
          <t>2</t>
        </is>
      </c>
      <c r="I1033" s="19" t="n"/>
      <c r="J1033" s="19" t="n"/>
      <c r="K1033" s="19" t="inlineStr">
        <is>
          <t>2</t>
        </is>
      </c>
      <c r="L1033" t="inlineStr">
        <is>
          <t>2026-08-08</t>
        </is>
      </c>
      <c r="N1033" t="inlineStr">
        <is>
          <t>IN_SCOPE_FINAL; SOURCE_CFG=IA-ST-CFG-0167; MARKET=YURT İÇİ AFM; STATUS=IN OEM / EU PACKAGE</t>
        </is>
      </c>
      <c r="O1033" t="inlineStr">
        <is>
          <t>2026-08-10T19:29:54Z</t>
        </is>
      </c>
      <c r="P1033" t="inlineStr">
        <is>
          <t>2026-08-10T19:29:54Z</t>
        </is>
      </c>
    </row>
    <row r="1034">
      <c r="A1034" s="19" t="inlineStr">
        <is>
          <t>1033</t>
        </is>
      </c>
      <c r="B1034" s="19" t="inlineStr">
        <is>
          <t>SC-1011191-ST-060-STD-04</t>
        </is>
      </c>
      <c r="C1034" t="inlineStr">
        <is>
          <t>1011191 → ST-060-STD-04</t>
        </is>
      </c>
      <c r="D1034" s="19" t="inlineStr">
        <is>
          <t>2</t>
        </is>
      </c>
      <c r="E1034" s="19" t="inlineStr">
        <is>
          <t>262</t>
        </is>
      </c>
      <c r="F1034" s="19" t="inlineStr">
        <is>
          <t>142</t>
        </is>
      </c>
      <c r="G1034" s="19" t="n"/>
      <c r="H1034" s="19" t="inlineStr">
        <is>
          <t>2</t>
        </is>
      </c>
      <c r="I1034" s="19" t="n"/>
      <c r="J1034" s="19" t="n"/>
      <c r="K1034" s="19" t="inlineStr">
        <is>
          <t>2</t>
        </is>
      </c>
      <c r="L1034" t="inlineStr">
        <is>
          <t>2026-08-08</t>
        </is>
      </c>
      <c r="N1034" t="inlineStr">
        <is>
          <t>IN_SCOPE_FINAL; SOURCE_CFG=IA-ST-CFG-0168; MARKET=YURT İÇİ AFM; STATUS=IN OEM / EU PACKAGE</t>
        </is>
      </c>
      <c r="O1034" t="inlineStr">
        <is>
          <t>2026-08-10T19:29:54Z</t>
        </is>
      </c>
      <c r="P1034" t="inlineStr">
        <is>
          <t>2026-08-10T19:29:54Z</t>
        </is>
      </c>
    </row>
    <row r="1035">
      <c r="A1035" s="19" t="inlineStr">
        <is>
          <t>1034</t>
        </is>
      </c>
      <c r="B1035" s="19" t="inlineStr">
        <is>
          <t>SC-1013120-ST-060-STD-05</t>
        </is>
      </c>
      <c r="C1035" t="inlineStr">
        <is>
          <t>1013120 → ST-060-STD-05</t>
        </is>
      </c>
      <c r="D1035" s="19" t="inlineStr">
        <is>
          <t>2</t>
        </is>
      </c>
      <c r="E1035" s="19" t="inlineStr">
        <is>
          <t>922</t>
        </is>
      </c>
      <c r="F1035" s="19" t="inlineStr">
        <is>
          <t>143</t>
        </is>
      </c>
      <c r="G1035" s="19" t="n"/>
      <c r="H1035" s="19" t="inlineStr">
        <is>
          <t>2</t>
        </is>
      </c>
      <c r="I1035" s="19" t="n"/>
      <c r="J1035" s="19" t="n"/>
      <c r="K1035" s="19" t="inlineStr">
        <is>
          <t>2</t>
        </is>
      </c>
      <c r="L1035" t="inlineStr">
        <is>
          <t>2026-08-08</t>
        </is>
      </c>
      <c r="N1035" t="inlineStr">
        <is>
          <t>IN_SCOPE_FINAL; SOURCE_CFG=IA-ST-CFG-0169; MARKET=REDMAY URUGUAY; STATUS=IN OEM / EU PACKAGE</t>
        </is>
      </c>
      <c r="O1035" t="inlineStr">
        <is>
          <t>2026-08-10T19:29:54Z</t>
        </is>
      </c>
      <c r="P1035" t="inlineStr">
        <is>
          <t>2026-08-10T19:29:54Z</t>
        </is>
      </c>
    </row>
    <row r="1036">
      <c r="A1036" s="19" t="inlineStr">
        <is>
          <t>1035</t>
        </is>
      </c>
      <c r="B1036" s="19" t="inlineStr">
        <is>
          <t>SC-1014926-ST-060-EUR-01</t>
        </is>
      </c>
      <c r="C1036" t="inlineStr">
        <is>
          <t>1014926 → ST-060-EUR-01</t>
        </is>
      </c>
      <c r="D1036" s="19" t="inlineStr">
        <is>
          <t>2</t>
        </is>
      </c>
      <c r="E1036" s="19" t="inlineStr">
        <is>
          <t>1694</t>
        </is>
      </c>
      <c r="F1036" s="19" t="inlineStr">
        <is>
          <t>137</t>
        </is>
      </c>
      <c r="G1036" s="19" t="n"/>
      <c r="H1036" s="19" t="inlineStr">
        <is>
          <t>2</t>
        </is>
      </c>
      <c r="I1036" s="19" t="n"/>
      <c r="J1036" s="19" t="n"/>
      <c r="K1036" s="19" t="inlineStr">
        <is>
          <t>2</t>
        </is>
      </c>
      <c r="L1036" t="inlineStr">
        <is>
          <t>2026-08-08</t>
        </is>
      </c>
      <c r="N1036" t="inlineStr">
        <is>
          <t>IN_SCOPE_FINAL; SOURCE_CFG=IA-ST-CFG-0170; MARKET=YUASA 3000 EXPORT; STATUS=IN OEM / EU PACKAGE</t>
        </is>
      </c>
      <c r="O1036" t="inlineStr">
        <is>
          <t>2026-08-10T19:29:54Z</t>
        </is>
      </c>
      <c r="P1036" t="inlineStr">
        <is>
          <t>2026-08-10T19:29:54Z</t>
        </is>
      </c>
    </row>
    <row r="1037">
      <c r="A1037" s="19" t="inlineStr">
        <is>
          <t>1036</t>
        </is>
      </c>
      <c r="B1037" s="19" t="inlineStr">
        <is>
          <t>SC-1009931-ST-060-EUR-02</t>
        </is>
      </c>
      <c r="C1037" t="inlineStr">
        <is>
          <t>1009931 → ST-060-EUR-02</t>
        </is>
      </c>
      <c r="D1037" s="19" t="inlineStr">
        <is>
          <t>2</t>
        </is>
      </c>
      <c r="E1037" s="19" t="inlineStr">
        <is>
          <t>125</t>
        </is>
      </c>
      <c r="F1037" s="19" t="inlineStr">
        <is>
          <t>138</t>
        </is>
      </c>
      <c r="G1037" s="19" t="n"/>
      <c r="H1037" s="19" t="inlineStr">
        <is>
          <t>2</t>
        </is>
      </c>
      <c r="I1037" s="19" t="n"/>
      <c r="J1037" s="19" t="n"/>
      <c r="K1037" s="19" t="inlineStr">
        <is>
          <t>2</t>
        </is>
      </c>
      <c r="L1037" t="inlineStr">
        <is>
          <t>2026-08-08</t>
        </is>
      </c>
      <c r="N1037" t="inlineStr">
        <is>
          <t>IN_SCOPE_FINAL; SOURCE_CFG=IA-ST-CFG-0171; MARKET=BOOSTER; STATUS=IN OEM / EU PACKAGE</t>
        </is>
      </c>
      <c r="O1037" t="inlineStr">
        <is>
          <t>2026-08-10T19:29:54Z</t>
        </is>
      </c>
      <c r="P1037" t="inlineStr">
        <is>
          <t>2026-08-10T19:29:54Z</t>
        </is>
      </c>
    </row>
    <row r="1038">
      <c r="A1038" s="19" t="inlineStr">
        <is>
          <t>1037</t>
        </is>
      </c>
      <c r="B1038" s="19" t="inlineStr">
        <is>
          <t>SC-1012507-ST-060-EUR-02</t>
        </is>
      </c>
      <c r="C1038" t="inlineStr">
        <is>
          <t>1012507 → ST-060-EUR-02</t>
        </is>
      </c>
      <c r="D1038" s="19" t="inlineStr">
        <is>
          <t>2</t>
        </is>
      </c>
      <c r="E1038" s="19" t="inlineStr">
        <is>
          <t>679</t>
        </is>
      </c>
      <c r="F1038" s="19" t="inlineStr">
        <is>
          <t>138</t>
        </is>
      </c>
      <c r="G1038" s="19" t="n"/>
      <c r="H1038" s="19" t="inlineStr">
        <is>
          <t>2</t>
        </is>
      </c>
      <c r="I1038" s="19" t="n"/>
      <c r="J1038" s="19" t="n"/>
      <c r="K1038" s="19" t="inlineStr">
        <is>
          <t>2</t>
        </is>
      </c>
      <c r="L1038" t="inlineStr">
        <is>
          <t>2026-08-08</t>
        </is>
      </c>
      <c r="N1038" t="inlineStr">
        <is>
          <t>IN_SCOPE_FINAL; SOURCE_CFG=IA-ST-CFG-0171; MARKET=ATHLANTIC SUHI; STATUS=IN OEM / EU PACKAGE</t>
        </is>
      </c>
      <c r="O1038" t="inlineStr">
        <is>
          <t>2026-08-10T19:29:54Z</t>
        </is>
      </c>
      <c r="P1038" t="inlineStr">
        <is>
          <t>2026-08-10T19:29:54Z</t>
        </is>
      </c>
    </row>
    <row r="1039">
      <c r="A1039" s="19" t="inlineStr">
        <is>
          <t>1038</t>
        </is>
      </c>
      <c r="B1039" s="19" t="inlineStr">
        <is>
          <t>SC-1013429-ST-060-EUR-02</t>
        </is>
      </c>
      <c r="C1039" t="inlineStr">
        <is>
          <t>1013429 → ST-060-EUR-02</t>
        </is>
      </c>
      <c r="D1039" s="19" t="inlineStr">
        <is>
          <t>2</t>
        </is>
      </c>
      <c r="E1039" s="19" t="inlineStr">
        <is>
          <t>996</t>
        </is>
      </c>
      <c r="F1039" s="19" t="inlineStr">
        <is>
          <t>138</t>
        </is>
      </c>
      <c r="G1039" s="19" t="n"/>
      <c r="H1039" s="19" t="inlineStr">
        <is>
          <t>2</t>
        </is>
      </c>
      <c r="I1039" s="19" t="n"/>
      <c r="J1039" s="19" t="n"/>
      <c r="K1039" s="19" t="inlineStr">
        <is>
          <t>2</t>
        </is>
      </c>
      <c r="L1039" t="inlineStr">
        <is>
          <t>2026-08-08</t>
        </is>
      </c>
      <c r="N1039" t="inlineStr">
        <is>
          <t>IN_SCOPE_FINAL; SOURCE_CFG=IA-ST-CFG-0171; MARKET=None; STATUS=IN OEM / EU PACKAGE</t>
        </is>
      </c>
      <c r="O1039" t="inlineStr">
        <is>
          <t>2026-08-10T19:29:54Z</t>
        </is>
      </c>
      <c r="P1039" t="inlineStr">
        <is>
          <t>2026-08-10T19:29:54Z</t>
        </is>
      </c>
    </row>
    <row r="1040">
      <c r="A1040" s="19" t="inlineStr">
        <is>
          <t>1039</t>
        </is>
      </c>
      <c r="B1040" s="19" t="inlineStr">
        <is>
          <t>SC-1013574-ST-060-EUR-02</t>
        </is>
      </c>
      <c r="C1040" t="inlineStr">
        <is>
          <t>1013574 → ST-060-EUR-02</t>
        </is>
      </c>
      <c r="D1040" s="19" t="inlineStr">
        <is>
          <t>2</t>
        </is>
      </c>
      <c r="E1040" s="19" t="inlineStr">
        <is>
          <t>1038</t>
        </is>
      </c>
      <c r="F1040" s="19" t="inlineStr">
        <is>
          <t>138</t>
        </is>
      </c>
      <c r="G1040" s="19" t="n"/>
      <c r="H1040" s="19" t="inlineStr">
        <is>
          <t>2</t>
        </is>
      </c>
      <c r="I1040" s="19" t="n"/>
      <c r="J1040" s="19" t="n"/>
      <c r="K1040" s="19" t="inlineStr">
        <is>
          <t>2</t>
        </is>
      </c>
      <c r="L1040" t="inlineStr">
        <is>
          <t>2026-08-08</t>
        </is>
      </c>
      <c r="N1040" t="inlineStr">
        <is>
          <t>IN_SCOPE_FINAL; SOURCE_CFG=IA-ST-CFG-0171; MARKET=None; STATUS=IN OEM / EU PACKAGE</t>
        </is>
      </c>
      <c r="O1040" t="inlineStr">
        <is>
          <t>2026-08-10T19:29:54Z</t>
        </is>
      </c>
      <c r="P1040" t="inlineStr">
        <is>
          <t>2026-08-10T19:29:54Z</t>
        </is>
      </c>
    </row>
    <row r="1041">
      <c r="A1041" s="19" t="inlineStr">
        <is>
          <t>1040</t>
        </is>
      </c>
      <c r="B1041" s="19" t="inlineStr">
        <is>
          <t>SC-1013575-ST-060-EUR-02</t>
        </is>
      </c>
      <c r="C1041" t="inlineStr">
        <is>
          <t>1013575 → ST-060-EUR-02</t>
        </is>
      </c>
      <c r="D1041" s="19" t="inlineStr">
        <is>
          <t>2</t>
        </is>
      </c>
      <c r="E1041" s="19" t="inlineStr">
        <is>
          <t>1039</t>
        </is>
      </c>
      <c r="F1041" s="19" t="inlineStr">
        <is>
          <t>138</t>
        </is>
      </c>
      <c r="G1041" s="19" t="n"/>
      <c r="H1041" s="19" t="inlineStr">
        <is>
          <t>2</t>
        </is>
      </c>
      <c r="I1041" s="19" t="n"/>
      <c r="J1041" s="19" t="n"/>
      <c r="K1041" s="19" t="inlineStr">
        <is>
          <t>2</t>
        </is>
      </c>
      <c r="L1041" t="inlineStr">
        <is>
          <t>2026-08-08</t>
        </is>
      </c>
      <c r="N1041" t="inlineStr">
        <is>
          <t>IN_SCOPE_FINAL; SOURCE_CFG=IA-ST-CFG-0171; MARKET=None; STATUS=IN OEM / EU PACKAGE</t>
        </is>
      </c>
      <c r="O1041" t="inlineStr">
        <is>
          <t>2026-08-10T19:29:54Z</t>
        </is>
      </c>
      <c r="P1041" t="inlineStr">
        <is>
          <t>2026-08-10T19:29:54Z</t>
        </is>
      </c>
    </row>
    <row r="1042">
      <c r="A1042" s="19" t="inlineStr">
        <is>
          <t>1041</t>
        </is>
      </c>
      <c r="B1042" s="19" t="inlineStr">
        <is>
          <t>SC-1013747-ST-060-EUR-02</t>
        </is>
      </c>
      <c r="C1042" t="inlineStr">
        <is>
          <t>1013747 → ST-060-EUR-02</t>
        </is>
      </c>
      <c r="D1042" s="19" t="inlineStr">
        <is>
          <t>2</t>
        </is>
      </c>
      <c r="E1042" s="19" t="inlineStr">
        <is>
          <t>1087</t>
        </is>
      </c>
      <c r="F1042" s="19" t="inlineStr">
        <is>
          <t>138</t>
        </is>
      </c>
      <c r="G1042" s="19" t="n"/>
      <c r="H1042" s="19" t="inlineStr">
        <is>
          <t>2</t>
        </is>
      </c>
      <c r="I1042" s="19" t="n"/>
      <c r="J1042" s="19" t="n"/>
      <c r="K1042" s="19" t="inlineStr">
        <is>
          <t>2</t>
        </is>
      </c>
      <c r="L1042" t="inlineStr">
        <is>
          <t>2026-08-08</t>
        </is>
      </c>
      <c r="N1042" t="inlineStr">
        <is>
          <t>IN_SCOPE_FINAL; SOURCE_CFG=IA-ST-CFG-0171; MARKET=None; STATUS=IN OEM / EU PACKAGE</t>
        </is>
      </c>
      <c r="O1042" t="inlineStr">
        <is>
          <t>2026-08-10T19:29:54Z</t>
        </is>
      </c>
      <c r="P1042" t="inlineStr">
        <is>
          <t>2026-08-10T19:29:54Z</t>
        </is>
      </c>
    </row>
    <row r="1043">
      <c r="A1043" s="19" t="inlineStr">
        <is>
          <t>1042</t>
        </is>
      </c>
      <c r="B1043" s="19" t="inlineStr">
        <is>
          <t>SC-1014189-ST-060-EUR-02</t>
        </is>
      </c>
      <c r="C1043" t="inlineStr">
        <is>
          <t>1014189 → ST-060-EUR-02</t>
        </is>
      </c>
      <c r="D1043" s="19" t="inlineStr">
        <is>
          <t>2</t>
        </is>
      </c>
      <c r="E1043" s="19" t="inlineStr">
        <is>
          <t>1260</t>
        </is>
      </c>
      <c r="F1043" s="19" t="inlineStr">
        <is>
          <t>138</t>
        </is>
      </c>
      <c r="G1043" s="19" t="n"/>
      <c r="H1043" s="19" t="inlineStr">
        <is>
          <t>2</t>
        </is>
      </c>
      <c r="I1043" s="19" t="n"/>
      <c r="J1043" s="19" t="n"/>
      <c r="K1043" s="19" t="inlineStr">
        <is>
          <t>2</t>
        </is>
      </c>
      <c r="L1043" t="inlineStr">
        <is>
          <t>2026-08-08</t>
        </is>
      </c>
      <c r="N1043" t="inlineStr">
        <is>
          <t>IN_SCOPE_FINAL; SOURCE_CFG=IA-ST-CFG-0171; MARKET=None; STATUS=IN OEM / EU PACKAGE</t>
        </is>
      </c>
      <c r="O1043" t="inlineStr">
        <is>
          <t>2026-08-10T19:29:54Z</t>
        </is>
      </c>
      <c r="P1043" t="inlineStr">
        <is>
          <t>2026-08-10T19:29:54Z</t>
        </is>
      </c>
    </row>
    <row r="1044">
      <c r="A1044" s="19" t="inlineStr">
        <is>
          <t>1043</t>
        </is>
      </c>
      <c r="B1044" s="19" t="inlineStr">
        <is>
          <t>SC-1014213-ST-060-EUR-02</t>
        </is>
      </c>
      <c r="C1044" t="inlineStr">
        <is>
          <t>1014213 → ST-060-EUR-02</t>
        </is>
      </c>
      <c r="D1044" s="19" t="inlineStr">
        <is>
          <t>2</t>
        </is>
      </c>
      <c r="E1044" s="19" t="inlineStr">
        <is>
          <t>1274</t>
        </is>
      </c>
      <c r="F1044" s="19" t="inlineStr">
        <is>
          <t>138</t>
        </is>
      </c>
      <c r="G1044" s="19" t="n"/>
      <c r="H1044" s="19" t="inlineStr">
        <is>
          <t>2</t>
        </is>
      </c>
      <c r="I1044" s="19" t="n"/>
      <c r="J1044" s="19" t="n"/>
      <c r="K1044" s="19" t="inlineStr">
        <is>
          <t>2</t>
        </is>
      </c>
      <c r="L1044" t="inlineStr">
        <is>
          <t>2026-08-08</t>
        </is>
      </c>
      <c r="N1044" t="inlineStr">
        <is>
          <t>IN_SCOPE_FINAL; SOURCE_CFG=IA-ST-CFG-0171; MARKET=None; STATUS=IN OEM / EU PACKAGE</t>
        </is>
      </c>
      <c r="O1044" t="inlineStr">
        <is>
          <t>2026-08-10T19:29:54Z</t>
        </is>
      </c>
      <c r="P1044" t="inlineStr">
        <is>
          <t>2026-08-10T19:29:54Z</t>
        </is>
      </c>
    </row>
    <row r="1045">
      <c r="A1045" s="19" t="inlineStr">
        <is>
          <t>1044</t>
        </is>
      </c>
      <c r="B1045" s="19" t="inlineStr">
        <is>
          <t>SC-1014647-ST-060-EUR-02</t>
        </is>
      </c>
      <c r="C1045" t="inlineStr">
        <is>
          <t>1014647 → ST-060-EUR-02</t>
        </is>
      </c>
      <c r="D1045" s="19" t="inlineStr">
        <is>
          <t>2</t>
        </is>
      </c>
      <c r="E1045" s="19" t="inlineStr">
        <is>
          <t>1506</t>
        </is>
      </c>
      <c r="F1045" s="19" t="inlineStr">
        <is>
          <t>138</t>
        </is>
      </c>
      <c r="G1045" s="19" t="n"/>
      <c r="H1045" s="19" t="inlineStr">
        <is>
          <t>2</t>
        </is>
      </c>
      <c r="I1045" s="19" t="n"/>
      <c r="J1045" s="19" t="n"/>
      <c r="K1045" s="19" t="inlineStr">
        <is>
          <t>2</t>
        </is>
      </c>
      <c r="L1045" t="inlineStr">
        <is>
          <t>2026-08-08</t>
        </is>
      </c>
      <c r="N1045" t="inlineStr">
        <is>
          <t>IN_SCOPE_FINAL; SOURCE_CFG=IA-ST-CFG-0171; MARKET=None; STATUS=IN OEM / EU PACKAGE</t>
        </is>
      </c>
      <c r="O1045" t="inlineStr">
        <is>
          <t>2026-08-10T19:29:54Z</t>
        </is>
      </c>
      <c r="P1045" t="inlineStr">
        <is>
          <t>2026-08-10T19:29:54Z</t>
        </is>
      </c>
    </row>
    <row r="1046">
      <c r="A1046" s="19" t="inlineStr">
        <is>
          <t>1045</t>
        </is>
      </c>
      <c r="B1046" s="19" t="inlineStr">
        <is>
          <t>SC-1014772-ST-060-EUR-02</t>
        </is>
      </c>
      <c r="C1046" t="inlineStr">
        <is>
          <t>1014772 → ST-060-EUR-02</t>
        </is>
      </c>
      <c r="D1046" s="19" t="inlineStr">
        <is>
          <t>2</t>
        </is>
      </c>
      <c r="E1046" s="19" t="inlineStr">
        <is>
          <t>1597</t>
        </is>
      </c>
      <c r="F1046" s="19" t="inlineStr">
        <is>
          <t>138</t>
        </is>
      </c>
      <c r="G1046" s="19" t="n"/>
      <c r="H1046" s="19" t="inlineStr">
        <is>
          <t>2</t>
        </is>
      </c>
      <c r="I1046" s="19" t="n"/>
      <c r="J1046" s="19" t="n"/>
      <c r="K1046" s="19" t="inlineStr">
        <is>
          <t>2</t>
        </is>
      </c>
      <c r="L1046" t="inlineStr">
        <is>
          <t>2026-08-08</t>
        </is>
      </c>
      <c r="N1046" t="inlineStr">
        <is>
          <t>IN_SCOPE_FINAL; SOURCE_CFG=IA-ST-CFG-0171; MARKET=None; STATUS=IN OEM / EU PACKAGE</t>
        </is>
      </c>
      <c r="O1046" t="inlineStr">
        <is>
          <t>2026-08-10T19:29:54Z</t>
        </is>
      </c>
      <c r="P1046" t="inlineStr">
        <is>
          <t>2026-08-10T19:29:54Z</t>
        </is>
      </c>
    </row>
    <row r="1047">
      <c r="A1047" s="19" t="inlineStr">
        <is>
          <t>1046</t>
        </is>
      </c>
      <c r="B1047" s="19" t="inlineStr">
        <is>
          <t>SC-1014852-ST-060-EUR-02</t>
        </is>
      </c>
      <c r="C1047" t="inlineStr">
        <is>
          <t>1014852 → ST-060-EUR-02</t>
        </is>
      </c>
      <c r="D1047" s="19" t="inlineStr">
        <is>
          <t>2</t>
        </is>
      </c>
      <c r="E1047" s="19" t="inlineStr">
        <is>
          <t>1635</t>
        </is>
      </c>
      <c r="F1047" s="19" t="inlineStr">
        <is>
          <t>138</t>
        </is>
      </c>
      <c r="G1047" s="19" t="n"/>
      <c r="H1047" s="19" t="inlineStr">
        <is>
          <t>2</t>
        </is>
      </c>
      <c r="I1047" s="19" t="n"/>
      <c r="J1047" s="19" t="n"/>
      <c r="K1047" s="19" t="inlineStr">
        <is>
          <t>2</t>
        </is>
      </c>
      <c r="L1047" t="inlineStr">
        <is>
          <t>2026-08-08</t>
        </is>
      </c>
      <c r="N1047" t="inlineStr">
        <is>
          <t>IN_SCOPE_FINAL; SOURCE_CFG=IA-ST-CFG-0171; MARKET=ALEX ARABATZIS BSA(YUNANİSTAN); STATUS=IN OEM / EU PACKAGE</t>
        </is>
      </c>
      <c r="O1047" t="inlineStr">
        <is>
          <t>2026-08-10T19:29:54Z</t>
        </is>
      </c>
      <c r="P1047" t="inlineStr">
        <is>
          <t>2026-08-10T19:29:54Z</t>
        </is>
      </c>
    </row>
    <row r="1048">
      <c r="A1048" s="19" t="inlineStr">
        <is>
          <t>1047</t>
        </is>
      </c>
      <c r="B1048" s="19" t="inlineStr">
        <is>
          <t>SC-1015106-ST-060-EUR-02</t>
        </is>
      </c>
      <c r="C1048" t="inlineStr">
        <is>
          <t>1015106 → ST-060-EUR-02</t>
        </is>
      </c>
      <c r="D1048" s="19" t="inlineStr">
        <is>
          <t>2</t>
        </is>
      </c>
      <c r="E1048" s="19" t="inlineStr">
        <is>
          <t>1859</t>
        </is>
      </c>
      <c r="F1048" s="19" t="inlineStr">
        <is>
          <t>138</t>
        </is>
      </c>
      <c r="G1048" s="19" t="n"/>
      <c r="H1048" s="19" t="inlineStr">
        <is>
          <t>2</t>
        </is>
      </c>
      <c r="I1048" s="19" t="n"/>
      <c r="J1048" s="19" t="n"/>
      <c r="K1048" s="19" t="inlineStr">
        <is>
          <t>2</t>
        </is>
      </c>
      <c r="L1048" t="inlineStr">
        <is>
          <t>2026-08-08</t>
        </is>
      </c>
      <c r="N1048" t="inlineStr">
        <is>
          <t>IN_SCOPE_FINAL; SOURCE_CFG=IA-ST-CFG-0171; MARKET=BOOSTER; STATUS=IN OEM / EU PACKAGE</t>
        </is>
      </c>
      <c r="O1048" t="inlineStr">
        <is>
          <t>2026-08-10T19:29:54Z</t>
        </is>
      </c>
      <c r="P1048" t="inlineStr">
        <is>
          <t>2026-08-10T19:29:54Z</t>
        </is>
      </c>
    </row>
    <row r="1049">
      <c r="A1049" s="19" t="inlineStr">
        <is>
          <t>1048</t>
        </is>
      </c>
      <c r="B1049" s="19" t="inlineStr">
        <is>
          <t>SC-1015315-ST-060-EUR-02</t>
        </is>
      </c>
      <c r="C1049" t="inlineStr">
        <is>
          <t>1015315 → ST-060-EUR-02</t>
        </is>
      </c>
      <c r="D1049" s="19" t="inlineStr">
        <is>
          <t>2</t>
        </is>
      </c>
      <c r="E1049" s="19" t="inlineStr">
        <is>
          <t>2036</t>
        </is>
      </c>
      <c r="F1049" s="19" t="inlineStr">
        <is>
          <t>138</t>
        </is>
      </c>
      <c r="G1049" s="19" t="n"/>
      <c r="H1049" s="19" t="inlineStr">
        <is>
          <t>2</t>
        </is>
      </c>
      <c r="I1049" s="19" t="n"/>
      <c r="J1049" s="19" t="n"/>
      <c r="K1049" s="19" t="inlineStr">
        <is>
          <t>2</t>
        </is>
      </c>
      <c r="L1049" t="inlineStr">
        <is>
          <t>2026-08-08</t>
        </is>
      </c>
      <c r="N1049" t="inlineStr">
        <is>
          <t>IN_SCOPE_FINAL; SOURCE_CFG=IA-ST-CFG-0171; MARKET=LAMPA ITALY İTALYA; STATUS=IN OEM / EU PACKAGE</t>
        </is>
      </c>
      <c r="O1049" t="inlineStr">
        <is>
          <t>2026-08-10T19:29:54Z</t>
        </is>
      </c>
      <c r="P1049" t="inlineStr">
        <is>
          <t>2026-08-10T19:29:54Z</t>
        </is>
      </c>
    </row>
    <row r="1050">
      <c r="A1050" s="19" t="inlineStr">
        <is>
          <t>1049</t>
        </is>
      </c>
      <c r="B1050" s="19" t="inlineStr">
        <is>
          <t>SC-1011016-ST-063-STD-01</t>
        </is>
      </c>
      <c r="C1050" t="inlineStr">
        <is>
          <t>1011016 → ST-063-STD-01</t>
        </is>
      </c>
      <c r="D1050" s="19" t="inlineStr">
        <is>
          <t>2</t>
        </is>
      </c>
      <c r="E1050" s="19" t="inlineStr">
        <is>
          <t>222</t>
        </is>
      </c>
      <c r="F1050" s="19" t="inlineStr">
        <is>
          <t>146</t>
        </is>
      </c>
      <c r="G1050" s="19" t="n"/>
      <c r="H1050" s="19" t="inlineStr">
        <is>
          <t>2</t>
        </is>
      </c>
      <c r="I1050" s="19" t="n"/>
      <c r="J1050" s="19" t="n"/>
      <c r="K1050" s="19" t="inlineStr">
        <is>
          <t>2</t>
        </is>
      </c>
      <c r="L1050" t="inlineStr">
        <is>
          <t>2026-08-08</t>
        </is>
      </c>
      <c r="N1050" t="inlineStr">
        <is>
          <t>IN_SCOPE_FINAL; SOURCE_CFG=IA-ST-CFG-0172; MARKET=YURT İÇİ AFM; STATUS=IN OEM / EU PACKAGE</t>
        </is>
      </c>
      <c r="O1050" t="inlineStr">
        <is>
          <t>2026-08-10T19:29:54Z</t>
        </is>
      </c>
      <c r="P1050" t="inlineStr">
        <is>
          <t>2026-08-10T19:29:54Z</t>
        </is>
      </c>
    </row>
    <row r="1051">
      <c r="A1051" s="19" t="inlineStr">
        <is>
          <t>1050</t>
        </is>
      </c>
      <c r="B1051" s="19" t="inlineStr">
        <is>
          <t>SC-1013397-ST-063-STD-02</t>
        </is>
      </c>
      <c r="C1051" t="inlineStr">
        <is>
          <t>1013397 → ST-063-STD-02</t>
        </is>
      </c>
      <c r="D1051" s="19" t="inlineStr">
        <is>
          <t>2</t>
        </is>
      </c>
      <c r="E1051" s="19" t="inlineStr">
        <is>
          <t>985</t>
        </is>
      </c>
      <c r="F1051" s="19" t="inlineStr">
        <is>
          <t>147</t>
        </is>
      </c>
      <c r="G1051" s="19" t="n"/>
      <c r="H1051" s="19" t="inlineStr">
        <is>
          <t>2</t>
        </is>
      </c>
      <c r="I1051" s="19" t="n"/>
      <c r="J1051" s="19" t="n"/>
      <c r="K1051" s="19" t="inlineStr">
        <is>
          <t>2</t>
        </is>
      </c>
      <c r="L1051" t="inlineStr">
        <is>
          <t>2026-08-08</t>
        </is>
      </c>
      <c r="N1051" t="inlineStr">
        <is>
          <t>IN_SCOPE_FINAL; SOURCE_CFG=IA-ST-CFG-0173; MARKET=None; STATUS=IN OEM / EU PACKAGE</t>
        </is>
      </c>
      <c r="O1051" t="inlineStr">
        <is>
          <t>2026-08-10T19:29:54Z</t>
        </is>
      </c>
      <c r="P1051" t="inlineStr">
        <is>
          <t>2026-08-10T19:29:54Z</t>
        </is>
      </c>
    </row>
    <row r="1052">
      <c r="A1052" s="19" t="inlineStr">
        <is>
          <t>1051</t>
        </is>
      </c>
      <c r="B1052" s="19" t="inlineStr">
        <is>
          <t>SC-1015268-ST-063-STD-02</t>
        </is>
      </c>
      <c r="C1052" t="inlineStr">
        <is>
          <t>1015268 → ST-063-STD-02</t>
        </is>
      </c>
      <c r="D1052" s="19" t="inlineStr">
        <is>
          <t>2</t>
        </is>
      </c>
      <c r="E1052" s="19" t="inlineStr">
        <is>
          <t>2001</t>
        </is>
      </c>
      <c r="F1052" s="19" t="inlineStr">
        <is>
          <t>147</t>
        </is>
      </c>
      <c r="G1052" s="19" t="n"/>
      <c r="H1052" s="19" t="inlineStr">
        <is>
          <t>2</t>
        </is>
      </c>
      <c r="I1052" s="19" t="n"/>
      <c r="J1052" s="19" t="n"/>
      <c r="K1052" s="19" t="inlineStr">
        <is>
          <t>2</t>
        </is>
      </c>
      <c r="L1052" t="inlineStr">
        <is>
          <t>2026-08-08</t>
        </is>
      </c>
      <c r="N1052" t="inlineStr">
        <is>
          <t>IN_SCOPE_FINAL; SOURCE_CFG=IA-ST-CFG-0173; MARKET=CONTINENTAL USA; STATUS=IN OEM / EU PACKAGE</t>
        </is>
      </c>
      <c r="O1052" t="inlineStr">
        <is>
          <t>2026-08-10T19:29:54Z</t>
        </is>
      </c>
      <c r="P1052" t="inlineStr">
        <is>
          <t>2026-08-10T19:29:54Z</t>
        </is>
      </c>
    </row>
    <row r="1053">
      <c r="A1053" s="19" t="inlineStr">
        <is>
          <t>1052</t>
        </is>
      </c>
      <c r="B1053" s="19" t="inlineStr">
        <is>
          <t>SC-1013556-ST-063-STD-03</t>
        </is>
      </c>
      <c r="C1053" t="inlineStr">
        <is>
          <t>1013556 → ST-063-STD-03</t>
        </is>
      </c>
      <c r="D1053" s="19" t="inlineStr">
        <is>
          <t>2</t>
        </is>
      </c>
      <c r="E1053" s="19" t="inlineStr">
        <is>
          <t>1031</t>
        </is>
      </c>
      <c r="F1053" s="19" t="inlineStr">
        <is>
          <t>148</t>
        </is>
      </c>
      <c r="G1053" s="19" t="n"/>
      <c r="H1053" s="19" t="inlineStr">
        <is>
          <t>2</t>
        </is>
      </c>
      <c r="I1053" s="19" t="n"/>
      <c r="J1053" s="19" t="n"/>
      <c r="K1053" s="19" t="inlineStr">
        <is>
          <t>2</t>
        </is>
      </c>
      <c r="L1053" t="inlineStr">
        <is>
          <t>2026-08-08</t>
        </is>
      </c>
      <c r="N1053" t="inlineStr">
        <is>
          <t>IN_SCOPE_FINAL; SOURCE_CFG=IA-ST-CFG-0174; MARKET=YUASA 3000 EXPORT TÜRKMENİSTAN; STATUS=IN OEM / EU PACKAGE</t>
        </is>
      </c>
      <c r="O1053" t="inlineStr">
        <is>
          <t>2026-08-10T19:29:54Z</t>
        </is>
      </c>
      <c r="P1053" t="inlineStr">
        <is>
          <t>2026-08-10T19:29:54Z</t>
        </is>
      </c>
    </row>
    <row r="1054">
      <c r="A1054" s="19" t="inlineStr">
        <is>
          <t>1053</t>
        </is>
      </c>
      <c r="B1054" s="19" t="inlineStr">
        <is>
          <t>SC-1014332-ST-063-STD-04</t>
        </is>
      </c>
      <c r="C1054" t="inlineStr">
        <is>
          <t>1014332 → ST-063-STD-04</t>
        </is>
      </c>
      <c r="D1054" s="19" t="inlineStr">
        <is>
          <t>2</t>
        </is>
      </c>
      <c r="E1054" s="19" t="inlineStr">
        <is>
          <t>1309</t>
        </is>
      </c>
      <c r="F1054" s="19" t="inlineStr">
        <is>
          <t>149</t>
        </is>
      </c>
      <c r="G1054" s="19" t="n"/>
      <c r="H1054" s="19" t="inlineStr">
        <is>
          <t>2</t>
        </is>
      </c>
      <c r="I1054" s="19" t="n"/>
      <c r="J1054" s="19" t="n"/>
      <c r="K1054" s="19" t="inlineStr">
        <is>
          <t>2</t>
        </is>
      </c>
      <c r="L1054" t="inlineStr">
        <is>
          <t>2026-08-08</t>
        </is>
      </c>
      <c r="N1054" t="inlineStr">
        <is>
          <t>IN_SCOPE_FINAL; SOURCE_CFG=IA-ST-CFG-0175; MARKET=RAYA ENERGY INC. KANADA; STATUS=IN OEM / EU PACKAGE</t>
        </is>
      </c>
      <c r="O1054" t="inlineStr">
        <is>
          <t>2026-08-10T19:29:54Z</t>
        </is>
      </c>
      <c r="P1054" t="inlineStr">
        <is>
          <t>2026-08-10T19:29:54Z</t>
        </is>
      </c>
    </row>
    <row r="1055">
      <c r="A1055" s="19" t="inlineStr">
        <is>
          <t>1054</t>
        </is>
      </c>
      <c r="B1055" s="19" t="inlineStr">
        <is>
          <t>SC-1014600-ST-063-STD-04</t>
        </is>
      </c>
      <c r="C1055" t="inlineStr">
        <is>
          <t>1014600 → ST-063-STD-04</t>
        </is>
      </c>
      <c r="D1055" s="19" t="inlineStr">
        <is>
          <t>2</t>
        </is>
      </c>
      <c r="E1055" s="19" t="inlineStr">
        <is>
          <t>1484</t>
        </is>
      </c>
      <c r="F1055" s="19" t="inlineStr">
        <is>
          <t>149</t>
        </is>
      </c>
      <c r="G1055" s="19" t="n"/>
      <c r="H1055" s="19" t="inlineStr">
        <is>
          <t>2</t>
        </is>
      </c>
      <c r="I1055" s="19" t="n"/>
      <c r="J1055" s="19" t="n"/>
      <c r="K1055" s="19" t="inlineStr">
        <is>
          <t>2</t>
        </is>
      </c>
      <c r="L1055" t="inlineStr">
        <is>
          <t>2026-08-08</t>
        </is>
      </c>
      <c r="N1055" t="inlineStr">
        <is>
          <t>IN_SCOPE_FINAL; SOURCE_CFG=IA-ST-CFG-0175; MARKET=RAYA ENERGY INC. KANADA; STATUS=IN OEM / EU PACKAGE</t>
        </is>
      </c>
      <c r="O1055" t="inlineStr">
        <is>
          <t>2026-08-10T19:29:54Z</t>
        </is>
      </c>
      <c r="P1055" t="inlineStr">
        <is>
          <t>2026-08-10T19:29:54Z</t>
        </is>
      </c>
    </row>
    <row r="1056">
      <c r="A1056" s="19" t="inlineStr">
        <is>
          <t>1055</t>
        </is>
      </c>
      <c r="B1056" s="19" t="inlineStr">
        <is>
          <t>SC-1015034-ST-063-STD-04</t>
        </is>
      </c>
      <c r="C1056" t="inlineStr">
        <is>
          <t>1015034 → ST-063-STD-04</t>
        </is>
      </c>
      <c r="D1056" s="19" t="inlineStr">
        <is>
          <t>2</t>
        </is>
      </c>
      <c r="E1056" s="19" t="inlineStr">
        <is>
          <t>1794</t>
        </is>
      </c>
      <c r="F1056" s="19" t="inlineStr">
        <is>
          <t>149</t>
        </is>
      </c>
      <c r="G1056" s="19" t="n"/>
      <c r="H1056" s="19" t="inlineStr">
        <is>
          <t>2</t>
        </is>
      </c>
      <c r="I1056" s="19" t="n"/>
      <c r="J1056" s="19" t="n"/>
      <c r="K1056" s="19" t="inlineStr">
        <is>
          <t>2</t>
        </is>
      </c>
      <c r="L1056" t="inlineStr">
        <is>
          <t>2026-08-08</t>
        </is>
      </c>
      <c r="N1056" t="inlineStr">
        <is>
          <t>IN_SCOPE_FINAL; SOURCE_CFG=IA-ST-CFG-0175; MARKET=RAYA ENERGY INC. KANADA; STATUS=IN OEM / EU PACKAGE</t>
        </is>
      </c>
      <c r="O1056" t="inlineStr">
        <is>
          <t>2026-08-10T19:29:54Z</t>
        </is>
      </c>
      <c r="P1056" t="inlineStr">
        <is>
          <t>2026-08-10T19:29:54Z</t>
        </is>
      </c>
    </row>
    <row r="1057">
      <c r="A1057" s="19" t="inlineStr">
        <is>
          <t>1056</t>
        </is>
      </c>
      <c r="B1057" s="19" t="inlineStr">
        <is>
          <t>SC-1011253-ST-063-STD-04</t>
        </is>
      </c>
      <c r="C1057" t="inlineStr">
        <is>
          <t>1011253 → ST-063-STD-04</t>
        </is>
      </c>
      <c r="D1057" s="19" t="inlineStr">
        <is>
          <t>2</t>
        </is>
      </c>
      <c r="E1057" s="19" t="inlineStr">
        <is>
          <t>288</t>
        </is>
      </c>
      <c r="F1057" s="19" t="inlineStr">
        <is>
          <t>149</t>
        </is>
      </c>
      <c r="G1057" s="19" t="n"/>
      <c r="H1057" s="19" t="inlineStr">
        <is>
          <t>2</t>
        </is>
      </c>
      <c r="I1057" s="19" t="n"/>
      <c r="J1057" s="19" t="n"/>
      <c r="K1057" s="19" t="inlineStr">
        <is>
          <t>2</t>
        </is>
      </c>
      <c r="L1057" t="inlineStr">
        <is>
          <t>2026-08-08</t>
        </is>
      </c>
      <c r="N1057" t="inlineStr">
        <is>
          <t>IN_SCOPE_FINAL; SOURCE_CFG=IA-ST-CFG-0175; MARKET=ARCOBALENO-GANA; STATUS=IN OEM / EU PACKAGE</t>
        </is>
      </c>
      <c r="O1057" t="inlineStr">
        <is>
          <t>2026-08-10T19:29:54Z</t>
        </is>
      </c>
      <c r="P1057" t="inlineStr">
        <is>
          <t>2026-08-10T19:29:54Z</t>
        </is>
      </c>
    </row>
    <row r="1058">
      <c r="A1058" s="19" t="inlineStr">
        <is>
          <t>1057</t>
        </is>
      </c>
      <c r="B1058" s="19" t="inlineStr">
        <is>
          <t>SC-1011269-ST-063-STD-04</t>
        </is>
      </c>
      <c r="C1058" t="inlineStr">
        <is>
          <t>1011269 → ST-063-STD-04</t>
        </is>
      </c>
      <c r="D1058" s="19" t="inlineStr">
        <is>
          <t>2</t>
        </is>
      </c>
      <c r="E1058" s="19" t="inlineStr">
        <is>
          <t>289</t>
        </is>
      </c>
      <c r="F1058" s="19" t="inlineStr">
        <is>
          <t>149</t>
        </is>
      </c>
      <c r="G1058" s="19" t="n"/>
      <c r="H1058" s="19" t="inlineStr">
        <is>
          <t>2</t>
        </is>
      </c>
      <c r="I1058" s="19" t="n"/>
      <c r="J1058" s="19" t="n"/>
      <c r="K1058" s="19" t="inlineStr">
        <is>
          <t>2</t>
        </is>
      </c>
      <c r="L1058" t="inlineStr">
        <is>
          <t>2026-08-08</t>
        </is>
      </c>
      <c r="N1058" t="inlineStr">
        <is>
          <t>IN_SCOPE_FINAL; SOURCE_CFG=IA-ST-CFG-0175; MARKET=REY &amp; LENFERNA LUCAS; STATUS=IN OEM / EU PACKAGE</t>
        </is>
      </c>
      <c r="O1058" t="inlineStr">
        <is>
          <t>2026-08-10T19:29:54Z</t>
        </is>
      </c>
      <c r="P1058" t="inlineStr">
        <is>
          <t>2026-08-10T19:29:54Z</t>
        </is>
      </c>
    </row>
    <row r="1059">
      <c r="A1059" s="19" t="inlineStr">
        <is>
          <t>1058</t>
        </is>
      </c>
      <c r="B1059" s="19" t="inlineStr">
        <is>
          <t>SC-1011270-ST-063-STD-04</t>
        </is>
      </c>
      <c r="C1059" t="inlineStr">
        <is>
          <t>1011270 → ST-063-STD-04</t>
        </is>
      </c>
      <c r="D1059" s="19" t="inlineStr">
        <is>
          <t>2</t>
        </is>
      </c>
      <c r="E1059" s="19" t="inlineStr">
        <is>
          <t>290</t>
        </is>
      </c>
      <c r="F1059" s="19" t="inlineStr">
        <is>
          <t>149</t>
        </is>
      </c>
      <c r="G1059" s="19" t="n"/>
      <c r="H1059" s="19" t="inlineStr">
        <is>
          <t>2</t>
        </is>
      </c>
      <c r="I1059" s="19" t="n"/>
      <c r="J1059" s="19" t="n"/>
      <c r="K1059" s="19" t="inlineStr">
        <is>
          <t>2</t>
        </is>
      </c>
      <c r="L1059" t="inlineStr">
        <is>
          <t>2026-08-08</t>
        </is>
      </c>
      <c r="N1059" t="inlineStr">
        <is>
          <t>IN_SCOPE_FINAL; SOURCE_CFG=IA-ST-CFG-0175; MARKET=REY &amp; LENFERNA LUCAS; STATUS=IN OEM / EU PACKAGE</t>
        </is>
      </c>
      <c r="O1059" t="inlineStr">
        <is>
          <t>2026-08-10T19:29:54Z</t>
        </is>
      </c>
      <c r="P1059" t="inlineStr">
        <is>
          <t>2026-08-10T19:29:54Z</t>
        </is>
      </c>
    </row>
    <row r="1060">
      <c r="A1060" s="19" t="inlineStr">
        <is>
          <t>1059</t>
        </is>
      </c>
      <c r="B1060" s="19" t="inlineStr">
        <is>
          <t>SC-1011549-ST-063-STD-04</t>
        </is>
      </c>
      <c r="C1060" t="inlineStr">
        <is>
          <t>1011549 → ST-063-STD-04</t>
        </is>
      </c>
      <c r="D1060" s="19" t="inlineStr">
        <is>
          <t>2</t>
        </is>
      </c>
      <c r="E1060" s="19" t="inlineStr">
        <is>
          <t>307</t>
        </is>
      </c>
      <c r="F1060" s="19" t="inlineStr">
        <is>
          <t>149</t>
        </is>
      </c>
      <c r="G1060" s="19" t="n"/>
      <c r="H1060" s="19" t="inlineStr">
        <is>
          <t>2</t>
        </is>
      </c>
      <c r="I1060" s="19" t="n"/>
      <c r="J1060" s="19" t="n"/>
      <c r="K1060" s="19" t="inlineStr">
        <is>
          <t>2</t>
        </is>
      </c>
      <c r="L1060" t="inlineStr">
        <is>
          <t>2026-08-08</t>
        </is>
      </c>
      <c r="N1060" t="inlineStr">
        <is>
          <t>IN_SCOPE_FINAL; SOURCE_CFG=IA-ST-CFG-0175; MARKET=None; STATUS=IN OEM / EU PACKAGE</t>
        </is>
      </c>
      <c r="O1060" t="inlineStr">
        <is>
          <t>2026-08-10T19:29:54Z</t>
        </is>
      </c>
      <c r="P1060" t="inlineStr">
        <is>
          <t>2026-08-10T19:29:54Z</t>
        </is>
      </c>
    </row>
    <row r="1061">
      <c r="A1061" s="19" t="inlineStr">
        <is>
          <t>1060</t>
        </is>
      </c>
      <c r="B1061" s="19" t="inlineStr">
        <is>
          <t>SC-1011881-ST-063-STD-04</t>
        </is>
      </c>
      <c r="C1061" t="inlineStr">
        <is>
          <t>1011881 → ST-063-STD-04</t>
        </is>
      </c>
      <c r="D1061" s="19" t="inlineStr">
        <is>
          <t>2</t>
        </is>
      </c>
      <c r="E1061" s="19" t="inlineStr">
        <is>
          <t>386</t>
        </is>
      </c>
      <c r="F1061" s="19" t="inlineStr">
        <is>
          <t>149</t>
        </is>
      </c>
      <c r="G1061" s="19" t="n"/>
      <c r="H1061" s="19" t="inlineStr">
        <is>
          <t>2</t>
        </is>
      </c>
      <c r="I1061" s="19" t="n"/>
      <c r="J1061" s="19" t="n"/>
      <c r="K1061" s="19" t="inlineStr">
        <is>
          <t>2</t>
        </is>
      </c>
      <c r="L1061" t="inlineStr">
        <is>
          <t>2026-08-08</t>
        </is>
      </c>
      <c r="N1061" t="inlineStr">
        <is>
          <t>IN_SCOPE_FINAL; SOURCE_CFG=IA-ST-CFG-0175; MARKET=JANENE İSRAİL; STATUS=IN OEM / EU PACKAGE</t>
        </is>
      </c>
      <c r="O1061" t="inlineStr">
        <is>
          <t>2026-08-10T19:29:54Z</t>
        </is>
      </c>
      <c r="P1061" t="inlineStr">
        <is>
          <t>2026-08-10T19:29:54Z</t>
        </is>
      </c>
    </row>
    <row r="1062">
      <c r="A1062" s="19" t="inlineStr">
        <is>
          <t>1061</t>
        </is>
      </c>
      <c r="B1062" s="19" t="inlineStr">
        <is>
          <t>SC-1011882-ST-063-STD-04</t>
        </is>
      </c>
      <c r="C1062" t="inlineStr">
        <is>
          <t>1011882 → ST-063-STD-04</t>
        </is>
      </c>
      <c r="D1062" s="19" t="inlineStr">
        <is>
          <t>2</t>
        </is>
      </c>
      <c r="E1062" s="19" t="inlineStr">
        <is>
          <t>387</t>
        </is>
      </c>
      <c r="F1062" s="19" t="inlineStr">
        <is>
          <t>149</t>
        </is>
      </c>
      <c r="G1062" s="19" t="n"/>
      <c r="H1062" s="19" t="inlineStr">
        <is>
          <t>2</t>
        </is>
      </c>
      <c r="I1062" s="19" t="n"/>
      <c r="J1062" s="19" t="n"/>
      <c r="K1062" s="19" t="inlineStr">
        <is>
          <t>2</t>
        </is>
      </c>
      <c r="L1062" t="inlineStr">
        <is>
          <t>2026-08-08</t>
        </is>
      </c>
      <c r="N1062" t="inlineStr">
        <is>
          <t>IN_SCOPE_FINAL; SOURCE_CFG=IA-ST-CFG-0175; MARKET=JANENE İSRAİL; STATUS=IN OEM / EU PACKAGE</t>
        </is>
      </c>
      <c r="O1062" t="inlineStr">
        <is>
          <t>2026-08-10T19:29:54Z</t>
        </is>
      </c>
      <c r="P1062" t="inlineStr">
        <is>
          <t>2026-08-10T19:29:54Z</t>
        </is>
      </c>
    </row>
    <row r="1063">
      <c r="A1063" s="19" t="inlineStr">
        <is>
          <t>1062</t>
        </is>
      </c>
      <c r="B1063" s="19" t="inlineStr">
        <is>
          <t>SC-1011883-ST-063-STD-04</t>
        </is>
      </c>
      <c r="C1063" t="inlineStr">
        <is>
          <t>1011883 → ST-063-STD-04</t>
        </is>
      </c>
      <c r="D1063" s="19" t="inlineStr">
        <is>
          <t>2</t>
        </is>
      </c>
      <c r="E1063" s="19" t="inlineStr">
        <is>
          <t>388</t>
        </is>
      </c>
      <c r="F1063" s="19" t="inlineStr">
        <is>
          <t>149</t>
        </is>
      </c>
      <c r="G1063" s="19" t="n"/>
      <c r="H1063" s="19" t="inlineStr">
        <is>
          <t>2</t>
        </is>
      </c>
      <c r="I1063" s="19" t="n"/>
      <c r="J1063" s="19" t="n"/>
      <c r="K1063" s="19" t="inlineStr">
        <is>
          <t>2</t>
        </is>
      </c>
      <c r="L1063" t="inlineStr">
        <is>
          <t>2026-08-08</t>
        </is>
      </c>
      <c r="N1063" t="inlineStr">
        <is>
          <t>IN_SCOPE_FINAL; SOURCE_CFG=IA-ST-CFG-0175; MARKET=None; STATUS=IN OEM / EU PACKAGE</t>
        </is>
      </c>
      <c r="O1063" t="inlineStr">
        <is>
          <t>2026-08-10T19:29:54Z</t>
        </is>
      </c>
      <c r="P1063" t="inlineStr">
        <is>
          <t>2026-08-10T19:29:54Z</t>
        </is>
      </c>
    </row>
    <row r="1064">
      <c r="A1064" s="19" t="inlineStr">
        <is>
          <t>1063</t>
        </is>
      </c>
      <c r="B1064" s="19" t="inlineStr">
        <is>
          <t>SC-1011887-ST-063-STD-04</t>
        </is>
      </c>
      <c r="C1064" t="inlineStr">
        <is>
          <t>1011887 → ST-063-STD-04</t>
        </is>
      </c>
      <c r="D1064" s="19" t="inlineStr">
        <is>
          <t>2</t>
        </is>
      </c>
      <c r="E1064" s="19" t="inlineStr">
        <is>
          <t>389</t>
        </is>
      </c>
      <c r="F1064" s="19" t="inlineStr">
        <is>
          <t>149</t>
        </is>
      </c>
      <c r="G1064" s="19" t="n"/>
      <c r="H1064" s="19" t="inlineStr">
        <is>
          <t>2</t>
        </is>
      </c>
      <c r="I1064" s="19" t="n"/>
      <c r="J1064" s="19" t="n"/>
      <c r="K1064" s="19" t="inlineStr">
        <is>
          <t>2</t>
        </is>
      </c>
      <c r="L1064" t="inlineStr">
        <is>
          <t>2026-08-08</t>
        </is>
      </c>
      <c r="N1064" t="inlineStr">
        <is>
          <t>IN_SCOPE_FINAL; SOURCE_CFG=IA-ST-CFG-0175; MARKET=MISIR NACITA; STATUS=IN OEM / EU PACKAGE</t>
        </is>
      </c>
      <c r="O1064" t="inlineStr">
        <is>
          <t>2026-08-10T19:29:54Z</t>
        </is>
      </c>
      <c r="P1064" t="inlineStr">
        <is>
          <t>2026-08-10T19:29:54Z</t>
        </is>
      </c>
    </row>
    <row r="1065">
      <c r="A1065" s="19" t="inlineStr">
        <is>
          <t>1064</t>
        </is>
      </c>
      <c r="B1065" s="19" t="inlineStr">
        <is>
          <t>SC-1011888-ST-063-STD-04</t>
        </is>
      </c>
      <c r="C1065" t="inlineStr">
        <is>
          <t>1011888 → ST-063-STD-04</t>
        </is>
      </c>
      <c r="D1065" s="19" t="inlineStr">
        <is>
          <t>2</t>
        </is>
      </c>
      <c r="E1065" s="19" t="inlineStr">
        <is>
          <t>390</t>
        </is>
      </c>
      <c r="F1065" s="19" t="inlineStr">
        <is>
          <t>149</t>
        </is>
      </c>
      <c r="G1065" s="19" t="n"/>
      <c r="H1065" s="19" t="inlineStr">
        <is>
          <t>2</t>
        </is>
      </c>
      <c r="I1065" s="19" t="n"/>
      <c r="J1065" s="19" t="n"/>
      <c r="K1065" s="19" t="inlineStr">
        <is>
          <t>2</t>
        </is>
      </c>
      <c r="L1065" t="inlineStr">
        <is>
          <t>2026-08-08</t>
        </is>
      </c>
      <c r="N1065" t="inlineStr">
        <is>
          <t>IN_SCOPE_FINAL; SOURCE_CFG=IA-ST-CFG-0175; MARKET=MISIR NACITA; STATUS=IN OEM / EU PACKAGE</t>
        </is>
      </c>
      <c r="O1065" t="inlineStr">
        <is>
          <t>2026-08-10T19:29:54Z</t>
        </is>
      </c>
      <c r="P1065" t="inlineStr">
        <is>
          <t>2026-08-10T19:29:54Z</t>
        </is>
      </c>
    </row>
    <row r="1066">
      <c r="A1066" s="19" t="inlineStr">
        <is>
          <t>1065</t>
        </is>
      </c>
      <c r="B1066" s="19" t="inlineStr">
        <is>
          <t>SC-1011890-ST-063-STD-04</t>
        </is>
      </c>
      <c r="C1066" t="inlineStr">
        <is>
          <t>1011890 → ST-063-STD-04</t>
        </is>
      </c>
      <c r="D1066" s="19" t="inlineStr">
        <is>
          <t>2</t>
        </is>
      </c>
      <c r="E1066" s="19" t="inlineStr">
        <is>
          <t>391</t>
        </is>
      </c>
      <c r="F1066" s="19" t="inlineStr">
        <is>
          <t>149</t>
        </is>
      </c>
      <c r="G1066" s="19" t="n"/>
      <c r="H1066" s="19" t="inlineStr">
        <is>
          <t>2</t>
        </is>
      </c>
      <c r="I1066" s="19" t="n"/>
      <c r="J1066" s="19" t="n"/>
      <c r="K1066" s="19" t="inlineStr">
        <is>
          <t>2</t>
        </is>
      </c>
      <c r="L1066" t="inlineStr">
        <is>
          <t>2026-08-08</t>
        </is>
      </c>
      <c r="N1066" t="inlineStr">
        <is>
          <t>IN_SCOPE_FINAL; SOURCE_CFG=IA-ST-CFG-0175; MARKET=SHAWKAT; STATUS=IN OEM / EU PACKAGE</t>
        </is>
      </c>
      <c r="O1066" t="inlineStr">
        <is>
          <t>2026-08-10T19:29:54Z</t>
        </is>
      </c>
      <c r="P1066" t="inlineStr">
        <is>
          <t>2026-08-10T19:29:54Z</t>
        </is>
      </c>
    </row>
    <row r="1067">
      <c r="A1067" s="19" t="inlineStr">
        <is>
          <t>1066</t>
        </is>
      </c>
      <c r="B1067" s="19" t="inlineStr">
        <is>
          <t>SC-1011896-ST-063-STD-04</t>
        </is>
      </c>
      <c r="C1067" t="inlineStr">
        <is>
          <t>1011896 → ST-063-STD-04</t>
        </is>
      </c>
      <c r="D1067" s="19" t="inlineStr">
        <is>
          <t>2</t>
        </is>
      </c>
      <c r="E1067" s="19" t="inlineStr">
        <is>
          <t>395</t>
        </is>
      </c>
      <c r="F1067" s="19" t="inlineStr">
        <is>
          <t>149</t>
        </is>
      </c>
      <c r="G1067" s="19" t="n"/>
      <c r="H1067" s="19" t="inlineStr">
        <is>
          <t>2</t>
        </is>
      </c>
      <c r="I1067" s="19" t="n"/>
      <c r="J1067" s="19" t="n"/>
      <c r="K1067" s="19" t="inlineStr">
        <is>
          <t>2</t>
        </is>
      </c>
      <c r="L1067" t="inlineStr">
        <is>
          <t>2026-08-08</t>
        </is>
      </c>
      <c r="N1067" t="inlineStr">
        <is>
          <t>IN_SCOPE_FINAL; SOURCE_CFG=IA-ST-CFG-0175; MARKET=NASA; STATUS=IN OEM / EU PACKAGE</t>
        </is>
      </c>
      <c r="O1067" t="inlineStr">
        <is>
          <t>2026-08-10T19:29:54Z</t>
        </is>
      </c>
      <c r="P1067" t="inlineStr">
        <is>
          <t>2026-08-10T19:29:54Z</t>
        </is>
      </c>
    </row>
    <row r="1068">
      <c r="A1068" s="19" t="inlineStr">
        <is>
          <t>1067</t>
        </is>
      </c>
      <c r="B1068" s="19" t="inlineStr">
        <is>
          <t>SC-1011898-ST-063-STD-04</t>
        </is>
      </c>
      <c r="C1068" t="inlineStr">
        <is>
          <t>1011898 → ST-063-STD-04</t>
        </is>
      </c>
      <c r="D1068" s="19" t="inlineStr">
        <is>
          <t>2</t>
        </is>
      </c>
      <c r="E1068" s="19" t="inlineStr">
        <is>
          <t>397</t>
        </is>
      </c>
      <c r="F1068" s="19" t="inlineStr">
        <is>
          <t>149</t>
        </is>
      </c>
      <c r="G1068" s="19" t="n"/>
      <c r="H1068" s="19" t="inlineStr">
        <is>
          <t>2</t>
        </is>
      </c>
      <c r="I1068" s="19" t="n"/>
      <c r="J1068" s="19" t="n"/>
      <c r="K1068" s="19" t="inlineStr">
        <is>
          <t>2</t>
        </is>
      </c>
      <c r="L1068" t="inlineStr">
        <is>
          <t>2026-08-08</t>
        </is>
      </c>
      <c r="N1068" t="inlineStr">
        <is>
          <t>IN_SCOPE_FINAL; SOURCE_CFG=IA-ST-CFG-0175; MARKET=NASA; STATUS=IN OEM / EU PACKAGE</t>
        </is>
      </c>
      <c r="O1068" t="inlineStr">
        <is>
          <t>2026-08-10T19:29:54Z</t>
        </is>
      </c>
      <c r="P1068" t="inlineStr">
        <is>
          <t>2026-08-10T19:29:54Z</t>
        </is>
      </c>
    </row>
    <row r="1069">
      <c r="A1069" s="19" t="inlineStr">
        <is>
          <t>1068</t>
        </is>
      </c>
      <c r="B1069" s="19" t="inlineStr">
        <is>
          <t>SC-1011900-ST-063-STD-04</t>
        </is>
      </c>
      <c r="C1069" t="inlineStr">
        <is>
          <t>1011900 → ST-063-STD-04</t>
        </is>
      </c>
      <c r="D1069" s="19" t="inlineStr">
        <is>
          <t>2</t>
        </is>
      </c>
      <c r="E1069" s="19" t="inlineStr">
        <is>
          <t>399</t>
        </is>
      </c>
      <c r="F1069" s="19" t="inlineStr">
        <is>
          <t>149</t>
        </is>
      </c>
      <c r="G1069" s="19" t="n"/>
      <c r="H1069" s="19" t="inlineStr">
        <is>
          <t>2</t>
        </is>
      </c>
      <c r="I1069" s="19" t="n"/>
      <c r="J1069" s="19" t="n"/>
      <c r="K1069" s="19" t="inlineStr">
        <is>
          <t>2</t>
        </is>
      </c>
      <c r="L1069" t="inlineStr">
        <is>
          <t>2026-08-08</t>
        </is>
      </c>
      <c r="N1069" t="inlineStr">
        <is>
          <t>IN_SCOPE_FINAL; SOURCE_CFG=IA-ST-CFG-0175; MARKET=None; STATUS=IN OEM / EU PACKAGE</t>
        </is>
      </c>
      <c r="O1069" t="inlineStr">
        <is>
          <t>2026-08-10T19:29:54Z</t>
        </is>
      </c>
      <c r="P1069" t="inlineStr">
        <is>
          <t>2026-08-10T19:29:54Z</t>
        </is>
      </c>
    </row>
    <row r="1070">
      <c r="A1070" s="19" t="inlineStr">
        <is>
          <t>1069</t>
        </is>
      </c>
      <c r="B1070" s="19" t="inlineStr">
        <is>
          <t>SC-1011903-ST-063-STD-04</t>
        </is>
      </c>
      <c r="C1070" t="inlineStr">
        <is>
          <t>1011903 → ST-063-STD-04</t>
        </is>
      </c>
      <c r="D1070" s="19" t="inlineStr">
        <is>
          <t>2</t>
        </is>
      </c>
      <c r="E1070" s="19" t="inlineStr">
        <is>
          <t>401</t>
        </is>
      </c>
      <c r="F1070" s="19" t="inlineStr">
        <is>
          <t>149</t>
        </is>
      </c>
      <c r="G1070" s="19" t="n"/>
      <c r="H1070" s="19" t="inlineStr">
        <is>
          <t>2</t>
        </is>
      </c>
      <c r="I1070" s="19" t="n"/>
      <c r="J1070" s="19" t="n"/>
      <c r="K1070" s="19" t="inlineStr">
        <is>
          <t>2</t>
        </is>
      </c>
      <c r="L1070" t="inlineStr">
        <is>
          <t>2026-08-08</t>
        </is>
      </c>
      <c r="N1070" t="inlineStr">
        <is>
          <t>IN_SCOPE_FINAL; SOURCE_CFG=IA-ST-CFG-0175; MARKET=SHAWKAT; STATUS=IN OEM / EU PACKAGE</t>
        </is>
      </c>
      <c r="O1070" t="inlineStr">
        <is>
          <t>2026-08-10T19:29:54Z</t>
        </is>
      </c>
      <c r="P1070" t="inlineStr">
        <is>
          <t>2026-08-10T19:29:54Z</t>
        </is>
      </c>
    </row>
    <row r="1071">
      <c r="A1071" s="19" t="inlineStr">
        <is>
          <t>1070</t>
        </is>
      </c>
      <c r="B1071" s="19" t="inlineStr">
        <is>
          <t>SC-1011904-ST-063-STD-04</t>
        </is>
      </c>
      <c r="C1071" t="inlineStr">
        <is>
          <t>1011904 → ST-063-STD-04</t>
        </is>
      </c>
      <c r="D1071" s="19" t="inlineStr">
        <is>
          <t>2</t>
        </is>
      </c>
      <c r="E1071" s="19" t="inlineStr">
        <is>
          <t>402</t>
        </is>
      </c>
      <c r="F1071" s="19" t="inlineStr">
        <is>
          <t>149</t>
        </is>
      </c>
      <c r="G1071" s="19" t="n"/>
      <c r="H1071" s="19" t="inlineStr">
        <is>
          <t>2</t>
        </is>
      </c>
      <c r="I1071" s="19" t="n"/>
      <c r="J1071" s="19" t="n"/>
      <c r="K1071" s="19" t="inlineStr">
        <is>
          <t>2</t>
        </is>
      </c>
      <c r="L1071" t="inlineStr">
        <is>
          <t>2026-08-08</t>
        </is>
      </c>
      <c r="N1071" t="inlineStr">
        <is>
          <t>IN_SCOPE_FINAL; SOURCE_CFG=IA-ST-CFG-0175; MARKET=None; STATUS=IN OEM / EU PACKAGE</t>
        </is>
      </c>
      <c r="O1071" t="inlineStr">
        <is>
          <t>2026-08-10T19:29:54Z</t>
        </is>
      </c>
      <c r="P1071" t="inlineStr">
        <is>
          <t>2026-08-10T19:29:54Z</t>
        </is>
      </c>
    </row>
    <row r="1072">
      <c r="A1072" s="19" t="inlineStr">
        <is>
          <t>1071</t>
        </is>
      </c>
      <c r="B1072" s="19" t="inlineStr">
        <is>
          <t>SC-1011906-ST-063-STD-04</t>
        </is>
      </c>
      <c r="C1072" t="inlineStr">
        <is>
          <t>1011906 → ST-063-STD-04</t>
        </is>
      </c>
      <c r="D1072" s="19" t="inlineStr">
        <is>
          <t>2</t>
        </is>
      </c>
      <c r="E1072" s="19" t="inlineStr">
        <is>
          <t>403</t>
        </is>
      </c>
      <c r="F1072" s="19" t="inlineStr">
        <is>
          <t>149</t>
        </is>
      </c>
      <c r="G1072" s="19" t="n"/>
      <c r="H1072" s="19" t="inlineStr">
        <is>
          <t>2</t>
        </is>
      </c>
      <c r="I1072" s="19" t="n"/>
      <c r="J1072" s="19" t="n"/>
      <c r="K1072" s="19" t="inlineStr">
        <is>
          <t>2</t>
        </is>
      </c>
      <c r="L1072" t="inlineStr">
        <is>
          <t>2026-08-08</t>
        </is>
      </c>
      <c r="N1072" t="inlineStr">
        <is>
          <t>IN_SCOPE_FINAL; SOURCE_CFG=IA-ST-CFG-0175; MARKET=None; STATUS=IN OEM / EU PACKAGE</t>
        </is>
      </c>
      <c r="O1072" t="inlineStr">
        <is>
          <t>2026-08-10T19:29:54Z</t>
        </is>
      </c>
      <c r="P1072" t="inlineStr">
        <is>
          <t>2026-08-10T19:29:54Z</t>
        </is>
      </c>
    </row>
    <row r="1073">
      <c r="A1073" s="19" t="inlineStr">
        <is>
          <t>1072</t>
        </is>
      </c>
      <c r="B1073" s="19" t="inlineStr">
        <is>
          <t>SC-1011907-ST-063-STD-04</t>
        </is>
      </c>
      <c r="C1073" t="inlineStr">
        <is>
          <t>1011907 → ST-063-STD-04</t>
        </is>
      </c>
      <c r="D1073" s="19" t="inlineStr">
        <is>
          <t>2</t>
        </is>
      </c>
      <c r="E1073" s="19" t="inlineStr">
        <is>
          <t>404</t>
        </is>
      </c>
      <c r="F1073" s="19" t="inlineStr">
        <is>
          <t>149</t>
        </is>
      </c>
      <c r="G1073" s="19" t="n"/>
      <c r="H1073" s="19" t="inlineStr">
        <is>
          <t>2</t>
        </is>
      </c>
      <c r="I1073" s="19" t="n"/>
      <c r="J1073" s="19" t="n"/>
      <c r="K1073" s="19" t="inlineStr">
        <is>
          <t>2</t>
        </is>
      </c>
      <c r="L1073" t="inlineStr">
        <is>
          <t>2026-08-08</t>
        </is>
      </c>
      <c r="N1073" t="inlineStr">
        <is>
          <t>IN_SCOPE_FINAL; SOURCE_CFG=IA-ST-CFG-0175; MARKET=None; STATUS=IN OEM / EU PACKAGE</t>
        </is>
      </c>
      <c r="O1073" t="inlineStr">
        <is>
          <t>2026-08-10T19:29:54Z</t>
        </is>
      </c>
      <c r="P1073" t="inlineStr">
        <is>
          <t>2026-08-10T19:29:54Z</t>
        </is>
      </c>
    </row>
    <row r="1074">
      <c r="A1074" s="19" t="inlineStr">
        <is>
          <t>1073</t>
        </is>
      </c>
      <c r="B1074" s="19" t="inlineStr">
        <is>
          <t>SC-1011908-ST-063-STD-04</t>
        </is>
      </c>
      <c r="C1074" t="inlineStr">
        <is>
          <t>1011908 → ST-063-STD-04</t>
        </is>
      </c>
      <c r="D1074" s="19" t="inlineStr">
        <is>
          <t>2</t>
        </is>
      </c>
      <c r="E1074" s="19" t="inlineStr">
        <is>
          <t>405</t>
        </is>
      </c>
      <c r="F1074" s="19" t="inlineStr">
        <is>
          <t>149</t>
        </is>
      </c>
      <c r="G1074" s="19" t="n"/>
      <c r="H1074" s="19" t="inlineStr">
        <is>
          <t>2</t>
        </is>
      </c>
      <c r="I1074" s="19" t="n"/>
      <c r="J1074" s="19" t="n"/>
      <c r="K1074" s="19" t="inlineStr">
        <is>
          <t>2</t>
        </is>
      </c>
      <c r="L1074" t="inlineStr">
        <is>
          <t>2026-08-08</t>
        </is>
      </c>
      <c r="N1074" t="inlineStr">
        <is>
          <t>IN_SCOPE_FINAL; SOURCE_CFG=IA-ST-CFG-0175; MARKET=MISIR AL AMAN; STATUS=IN OEM / EU PACKAGE</t>
        </is>
      </c>
      <c r="O1074" t="inlineStr">
        <is>
          <t>2026-08-10T19:29:54Z</t>
        </is>
      </c>
      <c r="P1074" t="inlineStr">
        <is>
          <t>2026-08-10T19:29:54Z</t>
        </is>
      </c>
    </row>
    <row r="1075">
      <c r="A1075" s="19" t="inlineStr">
        <is>
          <t>1074</t>
        </is>
      </c>
      <c r="B1075" s="19" t="inlineStr">
        <is>
          <t>SC-1012150-ST-063-STD-04</t>
        </is>
      </c>
      <c r="C1075" t="inlineStr">
        <is>
          <t>1012150 → ST-063-STD-04</t>
        </is>
      </c>
      <c r="D1075" s="19" t="inlineStr">
        <is>
          <t>2</t>
        </is>
      </c>
      <c r="E1075" s="19" t="inlineStr">
        <is>
          <t>547</t>
        </is>
      </c>
      <c r="F1075" s="19" t="inlineStr">
        <is>
          <t>149</t>
        </is>
      </c>
      <c r="G1075" s="19" t="n"/>
      <c r="H1075" s="19" t="inlineStr">
        <is>
          <t>2</t>
        </is>
      </c>
      <c r="I1075" s="19" t="n"/>
      <c r="J1075" s="19" t="n"/>
      <c r="K1075" s="19" t="inlineStr">
        <is>
          <t>2</t>
        </is>
      </c>
      <c r="L1075" t="inlineStr">
        <is>
          <t>2026-08-08</t>
        </is>
      </c>
      <c r="N1075" t="inlineStr">
        <is>
          <t>IN_SCOPE_FINAL; SOURCE_CFG=IA-ST-CFG-0175; MARKET=None; STATUS=IN OEM / EU PACKAGE</t>
        </is>
      </c>
      <c r="O1075" t="inlineStr">
        <is>
          <t>2026-08-10T19:29:54Z</t>
        </is>
      </c>
      <c r="P1075" t="inlineStr">
        <is>
          <t>2026-08-10T19:29:54Z</t>
        </is>
      </c>
    </row>
    <row r="1076">
      <c r="A1076" s="19" t="inlineStr">
        <is>
          <t>1075</t>
        </is>
      </c>
      <c r="B1076" s="19" t="inlineStr">
        <is>
          <t>SC-1012155-ST-063-STD-04</t>
        </is>
      </c>
      <c r="C1076" t="inlineStr">
        <is>
          <t>1012155 → ST-063-STD-04</t>
        </is>
      </c>
      <c r="D1076" s="19" t="inlineStr">
        <is>
          <t>2</t>
        </is>
      </c>
      <c r="E1076" s="19" t="inlineStr">
        <is>
          <t>548</t>
        </is>
      </c>
      <c r="F1076" s="19" t="inlineStr">
        <is>
          <t>149</t>
        </is>
      </c>
      <c r="G1076" s="19" t="n"/>
      <c r="H1076" s="19" t="inlineStr">
        <is>
          <t>2</t>
        </is>
      </c>
      <c r="I1076" s="19" t="n"/>
      <c r="J1076" s="19" t="n"/>
      <c r="K1076" s="19" t="inlineStr">
        <is>
          <t>2</t>
        </is>
      </c>
      <c r="L1076" t="inlineStr">
        <is>
          <t>2026-08-08</t>
        </is>
      </c>
      <c r="N1076" t="inlineStr">
        <is>
          <t>IN_SCOPE_FINAL; SOURCE_CFG=IA-ST-CFG-0175; MARKET=MISIR AL AMAN; STATUS=IN OEM / EU PACKAGE</t>
        </is>
      </c>
      <c r="O1076" t="inlineStr">
        <is>
          <t>2026-08-10T19:29:54Z</t>
        </is>
      </c>
      <c r="P1076" t="inlineStr">
        <is>
          <t>2026-08-10T19:29:54Z</t>
        </is>
      </c>
    </row>
    <row r="1077">
      <c r="A1077" s="19" t="inlineStr">
        <is>
          <t>1076</t>
        </is>
      </c>
      <c r="B1077" s="19" t="inlineStr">
        <is>
          <t>SC-1012166-ST-063-STD-04</t>
        </is>
      </c>
      <c r="C1077" t="inlineStr">
        <is>
          <t>1012166 → ST-063-STD-04</t>
        </is>
      </c>
      <c r="D1077" s="19" t="inlineStr">
        <is>
          <t>2</t>
        </is>
      </c>
      <c r="E1077" s="19" t="inlineStr">
        <is>
          <t>553</t>
        </is>
      </c>
      <c r="F1077" s="19" t="inlineStr">
        <is>
          <t>149</t>
        </is>
      </c>
      <c r="G1077" s="19" t="n"/>
      <c r="H1077" s="19" t="inlineStr">
        <is>
          <t>2</t>
        </is>
      </c>
      <c r="I1077" s="19" t="n"/>
      <c r="J1077" s="19" t="n"/>
      <c r="K1077" s="19" t="inlineStr">
        <is>
          <t>2</t>
        </is>
      </c>
      <c r="L1077" t="inlineStr">
        <is>
          <t>2026-08-08</t>
        </is>
      </c>
      <c r="N1077" t="inlineStr">
        <is>
          <t>IN_SCOPE_FINAL; SOURCE_CFG=IA-ST-CFG-0175; MARKET=None; STATUS=IN OEM / EU PACKAGE</t>
        </is>
      </c>
      <c r="O1077" t="inlineStr">
        <is>
          <t>2026-08-10T19:29:54Z</t>
        </is>
      </c>
      <c r="P1077" t="inlineStr">
        <is>
          <t>2026-08-10T19:29:54Z</t>
        </is>
      </c>
    </row>
    <row r="1078">
      <c r="A1078" s="19" t="inlineStr">
        <is>
          <t>1077</t>
        </is>
      </c>
      <c r="B1078" s="19" t="inlineStr">
        <is>
          <t>SC-1012274-ST-063-STD-04</t>
        </is>
      </c>
      <c r="C1078" t="inlineStr">
        <is>
          <t>1012274 → ST-063-STD-04</t>
        </is>
      </c>
      <c r="D1078" s="19" t="inlineStr">
        <is>
          <t>2</t>
        </is>
      </c>
      <c r="E1078" s="19" t="inlineStr">
        <is>
          <t>580</t>
        </is>
      </c>
      <c r="F1078" s="19" t="inlineStr">
        <is>
          <t>149</t>
        </is>
      </c>
      <c r="G1078" s="19" t="n"/>
      <c r="H1078" s="19" t="inlineStr">
        <is>
          <t>2</t>
        </is>
      </c>
      <c r="I1078" s="19" t="n"/>
      <c r="J1078" s="19" t="n"/>
      <c r="K1078" s="19" t="inlineStr">
        <is>
          <t>2</t>
        </is>
      </c>
      <c r="L1078" t="inlineStr">
        <is>
          <t>2026-08-08</t>
        </is>
      </c>
      <c r="N1078" t="inlineStr">
        <is>
          <t>IN_SCOPE_FINAL; SOURCE_CFG=IA-ST-CFG-0175; MARKET=None; STATUS=IN OEM / EU PACKAGE</t>
        </is>
      </c>
      <c r="O1078" t="inlineStr">
        <is>
          <t>2026-08-10T19:29:54Z</t>
        </is>
      </c>
      <c r="P1078" t="inlineStr">
        <is>
          <t>2026-08-10T19:29:54Z</t>
        </is>
      </c>
    </row>
    <row r="1079">
      <c r="A1079" s="19" t="inlineStr">
        <is>
          <t>1078</t>
        </is>
      </c>
      <c r="B1079" s="19" t="inlineStr">
        <is>
          <t>SC-1012275-ST-063-STD-04</t>
        </is>
      </c>
      <c r="C1079" t="inlineStr">
        <is>
          <t>1012275 → ST-063-STD-04</t>
        </is>
      </c>
      <c r="D1079" s="19" t="inlineStr">
        <is>
          <t>2</t>
        </is>
      </c>
      <c r="E1079" s="19" t="inlineStr">
        <is>
          <t>581</t>
        </is>
      </c>
      <c r="F1079" s="19" t="inlineStr">
        <is>
          <t>149</t>
        </is>
      </c>
      <c r="G1079" s="19" t="n"/>
      <c r="H1079" s="19" t="inlineStr">
        <is>
          <t>2</t>
        </is>
      </c>
      <c r="I1079" s="19" t="n"/>
      <c r="J1079" s="19" t="n"/>
      <c r="K1079" s="19" t="inlineStr">
        <is>
          <t>2</t>
        </is>
      </c>
      <c r="L1079" t="inlineStr">
        <is>
          <t>2026-08-08</t>
        </is>
      </c>
      <c r="N1079" t="inlineStr">
        <is>
          <t>IN_SCOPE_FINAL; SOURCE_CFG=IA-ST-CFG-0175; MARKET=None; STATUS=IN OEM / EU PACKAGE</t>
        </is>
      </c>
      <c r="O1079" t="inlineStr">
        <is>
          <t>2026-08-10T19:29:54Z</t>
        </is>
      </c>
      <c r="P1079" t="inlineStr">
        <is>
          <t>2026-08-10T19:29:54Z</t>
        </is>
      </c>
    </row>
    <row r="1080">
      <c r="A1080" s="19" t="inlineStr">
        <is>
          <t>1079</t>
        </is>
      </c>
      <c r="B1080" s="19" t="inlineStr">
        <is>
          <t>SC-1012320-ST-063-STD-04</t>
        </is>
      </c>
      <c r="C1080" t="inlineStr">
        <is>
          <t>1012320 → ST-063-STD-04</t>
        </is>
      </c>
      <c r="D1080" s="19" t="inlineStr">
        <is>
          <t>2</t>
        </is>
      </c>
      <c r="E1080" s="19" t="inlineStr">
        <is>
          <t>599</t>
        </is>
      </c>
      <c r="F1080" s="19" t="inlineStr">
        <is>
          <t>149</t>
        </is>
      </c>
      <c r="G1080" s="19" t="n"/>
      <c r="H1080" s="19" t="inlineStr">
        <is>
          <t>2</t>
        </is>
      </c>
      <c r="I1080" s="19" t="n"/>
      <c r="J1080" s="19" t="n"/>
      <c r="K1080" s="19" t="inlineStr">
        <is>
          <t>2</t>
        </is>
      </c>
      <c r="L1080" t="inlineStr">
        <is>
          <t>2026-08-08</t>
        </is>
      </c>
      <c r="N1080" t="inlineStr">
        <is>
          <t>IN_SCOPE_FINAL; SOURCE_CFG=IA-ST-CFG-0175; MARKET=MISIR EEC; STATUS=IN OEM / EU PACKAGE</t>
        </is>
      </c>
      <c r="O1080" t="inlineStr">
        <is>
          <t>2026-08-10T19:29:54Z</t>
        </is>
      </c>
      <c r="P1080" t="inlineStr">
        <is>
          <t>2026-08-10T19:29:54Z</t>
        </is>
      </c>
    </row>
    <row r="1081">
      <c r="A1081" s="19" t="inlineStr">
        <is>
          <t>1080</t>
        </is>
      </c>
      <c r="B1081" s="19" t="inlineStr">
        <is>
          <t>SC-1012469-ST-063-STD-04</t>
        </is>
      </c>
      <c r="C1081" t="inlineStr">
        <is>
          <t>1012469 → ST-063-STD-04</t>
        </is>
      </c>
      <c r="D1081" s="19" t="inlineStr">
        <is>
          <t>2</t>
        </is>
      </c>
      <c r="E1081" s="19" t="inlineStr">
        <is>
          <t>660</t>
        </is>
      </c>
      <c r="F1081" s="19" t="inlineStr">
        <is>
          <t>149</t>
        </is>
      </c>
      <c r="G1081" s="19" t="n"/>
      <c r="H1081" s="19" t="inlineStr">
        <is>
          <t>2</t>
        </is>
      </c>
      <c r="I1081" s="19" t="n"/>
      <c r="J1081" s="19" t="n"/>
      <c r="K1081" s="19" t="inlineStr">
        <is>
          <t>2</t>
        </is>
      </c>
      <c r="L1081" t="inlineStr">
        <is>
          <t>2026-08-08</t>
        </is>
      </c>
      <c r="N1081" t="inlineStr">
        <is>
          <t>IN_SCOPE_FINAL; SOURCE_CFG=IA-ST-CFG-0175; MARKET=None; STATUS=IN OEM / EU PACKAGE</t>
        </is>
      </c>
      <c r="O1081" t="inlineStr">
        <is>
          <t>2026-08-10T19:29:54Z</t>
        </is>
      </c>
      <c r="P1081" t="inlineStr">
        <is>
          <t>2026-08-10T19:29:54Z</t>
        </is>
      </c>
    </row>
    <row r="1082">
      <c r="A1082" s="19" t="inlineStr">
        <is>
          <t>1081</t>
        </is>
      </c>
      <c r="B1082" s="19" t="inlineStr">
        <is>
          <t>SC-1012568-ST-063-STD-04</t>
        </is>
      </c>
      <c r="C1082" t="inlineStr">
        <is>
          <t>1012568 → ST-063-STD-04</t>
        </is>
      </c>
      <c r="D1082" s="19" t="inlineStr">
        <is>
          <t>2</t>
        </is>
      </c>
      <c r="E1082" s="19" t="inlineStr">
        <is>
          <t>701</t>
        </is>
      </c>
      <c r="F1082" s="19" t="inlineStr">
        <is>
          <t>149</t>
        </is>
      </c>
      <c r="G1082" s="19" t="n"/>
      <c r="H1082" s="19" t="inlineStr">
        <is>
          <t>2</t>
        </is>
      </c>
      <c r="I1082" s="19" t="n"/>
      <c r="J1082" s="19" t="n"/>
      <c r="K1082" s="19" t="inlineStr">
        <is>
          <t>2</t>
        </is>
      </c>
      <c r="L1082" t="inlineStr">
        <is>
          <t>2026-08-08</t>
        </is>
      </c>
      <c r="N1082" t="inlineStr">
        <is>
          <t>IN_SCOPE_FINAL; SOURCE_CFG=IA-ST-CFG-0175; MARKET=None; STATUS=IN OEM / EU PACKAGE</t>
        </is>
      </c>
      <c r="O1082" t="inlineStr">
        <is>
          <t>2026-08-10T19:29:54Z</t>
        </is>
      </c>
      <c r="P1082" t="inlineStr">
        <is>
          <t>2026-08-10T19:29:54Z</t>
        </is>
      </c>
    </row>
    <row r="1083">
      <c r="A1083" s="19" t="inlineStr">
        <is>
          <t>1082</t>
        </is>
      </c>
      <c r="B1083" s="19" t="inlineStr">
        <is>
          <t>SC-1012868-ST-063-STD-04</t>
        </is>
      </c>
      <c r="C1083" t="inlineStr">
        <is>
          <t>1012868 → ST-063-STD-04</t>
        </is>
      </c>
      <c r="D1083" s="19" t="inlineStr">
        <is>
          <t>2</t>
        </is>
      </c>
      <c r="E1083" s="19" t="inlineStr">
        <is>
          <t>826</t>
        </is>
      </c>
      <c r="F1083" s="19" t="inlineStr">
        <is>
          <t>149</t>
        </is>
      </c>
      <c r="G1083" s="19" t="n"/>
      <c r="H1083" s="19" t="inlineStr">
        <is>
          <t>2</t>
        </is>
      </c>
      <c r="I1083" s="19" t="n"/>
      <c r="J1083" s="19" t="n"/>
      <c r="K1083" s="19" t="inlineStr">
        <is>
          <t>2</t>
        </is>
      </c>
      <c r="L1083" t="inlineStr">
        <is>
          <t>2026-08-08</t>
        </is>
      </c>
      <c r="N1083" t="inlineStr">
        <is>
          <t>IN_SCOPE_FINAL; SOURCE_CFG=IA-ST-CFG-0175; MARKET=SHAWKAT; STATUS=IN OEM / EU PACKAGE</t>
        </is>
      </c>
      <c r="O1083" t="inlineStr">
        <is>
          <t>2026-08-10T19:29:54Z</t>
        </is>
      </c>
      <c r="P1083" t="inlineStr">
        <is>
          <t>2026-08-10T19:29:54Z</t>
        </is>
      </c>
    </row>
    <row r="1084">
      <c r="A1084" s="19" t="inlineStr">
        <is>
          <t>1083</t>
        </is>
      </c>
      <c r="B1084" s="19" t="inlineStr">
        <is>
          <t>SC-1012908-ST-063-STD-04</t>
        </is>
      </c>
      <c r="C1084" t="inlineStr">
        <is>
          <t>1012908 → ST-063-STD-04</t>
        </is>
      </c>
      <c r="D1084" s="19" t="inlineStr">
        <is>
          <t>2</t>
        </is>
      </c>
      <c r="E1084" s="19" t="inlineStr">
        <is>
          <t>858</t>
        </is>
      </c>
      <c r="F1084" s="19" t="inlineStr">
        <is>
          <t>149</t>
        </is>
      </c>
      <c r="G1084" s="19" t="n"/>
      <c r="H1084" s="19" t="inlineStr">
        <is>
          <t>2</t>
        </is>
      </c>
      <c r="I1084" s="19" t="n"/>
      <c r="J1084" s="19" t="n"/>
      <c r="K1084" s="19" t="inlineStr">
        <is>
          <t>2</t>
        </is>
      </c>
      <c r="L1084" t="inlineStr">
        <is>
          <t>2026-08-08</t>
        </is>
      </c>
      <c r="N1084" t="inlineStr">
        <is>
          <t>IN_SCOPE_FINAL; SOURCE_CFG=IA-ST-CFG-0175; MARKET=SHAWKAT; STATUS=IN OEM / EU PACKAGE</t>
        </is>
      </c>
      <c r="O1084" t="inlineStr">
        <is>
          <t>2026-08-10T19:29:54Z</t>
        </is>
      </c>
      <c r="P1084" t="inlineStr">
        <is>
          <t>2026-08-10T19:29:54Z</t>
        </is>
      </c>
    </row>
    <row r="1085">
      <c r="A1085" s="19" t="inlineStr">
        <is>
          <t>1084</t>
        </is>
      </c>
      <c r="B1085" s="19" t="inlineStr">
        <is>
          <t>SC-1012943-ST-063-STD-04</t>
        </is>
      </c>
      <c r="C1085" t="inlineStr">
        <is>
          <t>1012943 → ST-063-STD-04</t>
        </is>
      </c>
      <c r="D1085" s="19" t="inlineStr">
        <is>
          <t>2</t>
        </is>
      </c>
      <c r="E1085" s="19" t="inlineStr">
        <is>
          <t>876</t>
        </is>
      </c>
      <c r="F1085" s="19" t="inlineStr">
        <is>
          <t>149</t>
        </is>
      </c>
      <c r="G1085" s="19" t="n"/>
      <c r="H1085" s="19" t="inlineStr">
        <is>
          <t>2</t>
        </is>
      </c>
      <c r="I1085" s="19" t="n"/>
      <c r="J1085" s="19" t="n"/>
      <c r="K1085" s="19" t="inlineStr">
        <is>
          <t>2</t>
        </is>
      </c>
      <c r="L1085" t="inlineStr">
        <is>
          <t>2026-08-08</t>
        </is>
      </c>
      <c r="N1085" t="inlineStr">
        <is>
          <t>IN_SCOPE_FINAL; SOURCE_CFG=IA-ST-CFG-0175; MARKET=SHAWKAT; STATUS=IN OEM / EU PACKAGE</t>
        </is>
      </c>
      <c r="O1085" t="inlineStr">
        <is>
          <t>2026-08-10T19:29:54Z</t>
        </is>
      </c>
      <c r="P1085" t="inlineStr">
        <is>
          <t>2026-08-10T19:29:54Z</t>
        </is>
      </c>
    </row>
    <row r="1086">
      <c r="A1086" s="19" t="inlineStr">
        <is>
          <t>1085</t>
        </is>
      </c>
      <c r="B1086" s="19" t="inlineStr">
        <is>
          <t>SC-1012946-ST-063-STD-04</t>
        </is>
      </c>
      <c r="C1086" t="inlineStr">
        <is>
          <t>1012946 → ST-063-STD-04</t>
        </is>
      </c>
      <c r="D1086" s="19" t="inlineStr">
        <is>
          <t>2</t>
        </is>
      </c>
      <c r="E1086" s="19" t="inlineStr">
        <is>
          <t>877</t>
        </is>
      </c>
      <c r="F1086" s="19" t="inlineStr">
        <is>
          <t>149</t>
        </is>
      </c>
      <c r="G1086" s="19" t="n"/>
      <c r="H1086" s="19" t="inlineStr">
        <is>
          <t>2</t>
        </is>
      </c>
      <c r="I1086" s="19" t="n"/>
      <c r="J1086" s="19" t="n"/>
      <c r="K1086" s="19" t="inlineStr">
        <is>
          <t>2</t>
        </is>
      </c>
      <c r="L1086" t="inlineStr">
        <is>
          <t>2026-08-08</t>
        </is>
      </c>
      <c r="N1086" t="inlineStr">
        <is>
          <t>IN_SCOPE_FINAL; SOURCE_CFG=IA-ST-CFG-0175; MARKET=SHAWKAT; STATUS=IN OEM / EU PACKAGE</t>
        </is>
      </c>
      <c r="O1086" t="inlineStr">
        <is>
          <t>2026-08-10T19:29:54Z</t>
        </is>
      </c>
      <c r="P1086" t="inlineStr">
        <is>
          <t>2026-08-10T19:29:54Z</t>
        </is>
      </c>
    </row>
    <row r="1087">
      <c r="A1087" s="19" t="inlineStr">
        <is>
          <t>1086</t>
        </is>
      </c>
      <c r="B1087" s="19" t="inlineStr">
        <is>
          <t>SC-1013050-ST-063-STD-04</t>
        </is>
      </c>
      <c r="C1087" t="inlineStr">
        <is>
          <t>1013050 → ST-063-STD-04</t>
        </is>
      </c>
      <c r="D1087" s="19" t="inlineStr">
        <is>
          <t>2</t>
        </is>
      </c>
      <c r="E1087" s="19" t="inlineStr">
        <is>
          <t>905</t>
        </is>
      </c>
      <c r="F1087" s="19" t="inlineStr">
        <is>
          <t>149</t>
        </is>
      </c>
      <c r="G1087" s="19" t="n"/>
      <c r="H1087" s="19" t="inlineStr">
        <is>
          <t>2</t>
        </is>
      </c>
      <c r="I1087" s="19" t="n"/>
      <c r="J1087" s="19" t="n"/>
      <c r="K1087" s="19" t="inlineStr">
        <is>
          <t>2</t>
        </is>
      </c>
      <c r="L1087" t="inlineStr">
        <is>
          <t>2026-08-08</t>
        </is>
      </c>
      <c r="N1087" t="inlineStr">
        <is>
          <t>IN_SCOPE_FINAL; SOURCE_CFG=IA-ST-CFG-0175; MARKET=None; STATUS=IN OEM / EU PACKAGE</t>
        </is>
      </c>
      <c r="O1087" t="inlineStr">
        <is>
          <t>2026-08-10T19:29:54Z</t>
        </is>
      </c>
      <c r="P1087" t="inlineStr">
        <is>
          <t>2026-08-10T19:29:54Z</t>
        </is>
      </c>
    </row>
    <row r="1088">
      <c r="A1088" s="19" t="inlineStr">
        <is>
          <t>1087</t>
        </is>
      </c>
      <c r="B1088" s="19" t="inlineStr">
        <is>
          <t>SC-1013079-ST-063-STD-04</t>
        </is>
      </c>
      <c r="C1088" t="inlineStr">
        <is>
          <t>1013079 → ST-063-STD-04</t>
        </is>
      </c>
      <c r="D1088" s="19" t="inlineStr">
        <is>
          <t>2</t>
        </is>
      </c>
      <c r="E1088" s="19" t="inlineStr">
        <is>
          <t>915</t>
        </is>
      </c>
      <c r="F1088" s="19" t="inlineStr">
        <is>
          <t>149</t>
        </is>
      </c>
      <c r="G1088" s="19" t="n"/>
      <c r="H1088" s="19" t="inlineStr">
        <is>
          <t>2</t>
        </is>
      </c>
      <c r="I1088" s="19" t="n"/>
      <c r="J1088" s="19" t="n"/>
      <c r="K1088" s="19" t="inlineStr">
        <is>
          <t>2</t>
        </is>
      </c>
      <c r="L1088" t="inlineStr">
        <is>
          <t>2026-08-08</t>
        </is>
      </c>
      <c r="N1088" t="inlineStr">
        <is>
          <t>IN_SCOPE_FINAL; SOURCE_CFG=IA-ST-CFG-0175; MARKET=SHAWKAT; STATUS=IN OEM / EU PACKAGE</t>
        </is>
      </c>
      <c r="O1088" t="inlineStr">
        <is>
          <t>2026-08-10T19:29:54Z</t>
        </is>
      </c>
      <c r="P1088" t="inlineStr">
        <is>
          <t>2026-08-10T19:29:54Z</t>
        </is>
      </c>
    </row>
    <row r="1089">
      <c r="A1089" s="19" t="inlineStr">
        <is>
          <t>1088</t>
        </is>
      </c>
      <c r="B1089" s="19" t="inlineStr">
        <is>
          <t>SC-1013154-ST-063-STD-04</t>
        </is>
      </c>
      <c r="C1089" t="inlineStr">
        <is>
          <t>1013154 → ST-063-STD-04</t>
        </is>
      </c>
      <c r="D1089" s="19" t="inlineStr">
        <is>
          <t>2</t>
        </is>
      </c>
      <c r="E1089" s="19" t="inlineStr">
        <is>
          <t>933</t>
        </is>
      </c>
      <c r="F1089" s="19" t="inlineStr">
        <is>
          <t>149</t>
        </is>
      </c>
      <c r="G1089" s="19" t="n"/>
      <c r="H1089" s="19" t="inlineStr">
        <is>
          <t>2</t>
        </is>
      </c>
      <c r="I1089" s="19" t="n"/>
      <c r="J1089" s="19" t="n"/>
      <c r="K1089" s="19" t="inlineStr">
        <is>
          <t>2</t>
        </is>
      </c>
      <c r="L1089" t="inlineStr">
        <is>
          <t>2026-08-08</t>
        </is>
      </c>
      <c r="N1089" t="inlineStr">
        <is>
          <t>IN_SCOPE_FINAL; SOURCE_CFG=IA-ST-CFG-0175; MARKET=MISIR NACITA; STATUS=IN OEM / EU PACKAGE</t>
        </is>
      </c>
      <c r="O1089" t="inlineStr">
        <is>
          <t>2026-08-10T19:29:54Z</t>
        </is>
      </c>
      <c r="P1089" t="inlineStr">
        <is>
          <t>2026-08-10T19:29:54Z</t>
        </is>
      </c>
    </row>
    <row r="1090">
      <c r="A1090" s="19" t="inlineStr">
        <is>
          <t>1089</t>
        </is>
      </c>
      <c r="B1090" s="19" t="inlineStr">
        <is>
          <t>SC-1013480-ST-063-STD-04</t>
        </is>
      </c>
      <c r="C1090" t="inlineStr">
        <is>
          <t>1013480 → ST-063-STD-04</t>
        </is>
      </c>
      <c r="D1090" s="19" t="inlineStr">
        <is>
          <t>2</t>
        </is>
      </c>
      <c r="E1090" s="19" t="inlineStr">
        <is>
          <t>1013</t>
        </is>
      </c>
      <c r="F1090" s="19" t="inlineStr">
        <is>
          <t>149</t>
        </is>
      </c>
      <c r="G1090" s="19" t="n"/>
      <c r="H1090" s="19" t="inlineStr">
        <is>
          <t>2</t>
        </is>
      </c>
      <c r="I1090" s="19" t="n"/>
      <c r="J1090" s="19" t="n"/>
      <c r="K1090" s="19" t="inlineStr">
        <is>
          <t>2</t>
        </is>
      </c>
      <c r="L1090" t="inlineStr">
        <is>
          <t>2026-08-08</t>
        </is>
      </c>
      <c r="N1090" t="inlineStr">
        <is>
          <t>IN_SCOPE_FINAL; SOURCE_CFG=IA-ST-CFG-0175; MARKET=None; STATUS=IN OEM / EU PACKAGE</t>
        </is>
      </c>
      <c r="O1090" t="inlineStr">
        <is>
          <t>2026-08-10T19:29:54Z</t>
        </is>
      </c>
      <c r="P1090" t="inlineStr">
        <is>
          <t>2026-08-10T19:29:54Z</t>
        </is>
      </c>
    </row>
    <row r="1091">
      <c r="A1091" s="19" t="inlineStr">
        <is>
          <t>1090</t>
        </is>
      </c>
      <c r="B1091" s="19" t="inlineStr">
        <is>
          <t>SC-1013496-ST-063-STD-04</t>
        </is>
      </c>
      <c r="C1091" t="inlineStr">
        <is>
          <t>1013496 → ST-063-STD-04</t>
        </is>
      </c>
      <c r="D1091" s="19" t="inlineStr">
        <is>
          <t>2</t>
        </is>
      </c>
      <c r="E1091" s="19" t="inlineStr">
        <is>
          <t>1019</t>
        </is>
      </c>
      <c r="F1091" s="19" t="inlineStr">
        <is>
          <t>149</t>
        </is>
      </c>
      <c r="G1091" s="19" t="n"/>
      <c r="H1091" s="19" t="inlineStr">
        <is>
          <t>2</t>
        </is>
      </c>
      <c r="I1091" s="19" t="n"/>
      <c r="J1091" s="19" t="n"/>
      <c r="K1091" s="19" t="inlineStr">
        <is>
          <t>2</t>
        </is>
      </c>
      <c r="L1091" t="inlineStr">
        <is>
          <t>2026-08-08</t>
        </is>
      </c>
      <c r="N1091" t="inlineStr">
        <is>
          <t>IN_SCOPE_FINAL; SOURCE_CFG=IA-ST-CFG-0175; MARKET=None; STATUS=IN OEM / EU PACKAGE</t>
        </is>
      </c>
      <c r="O1091" t="inlineStr">
        <is>
          <t>2026-08-10T19:29:54Z</t>
        </is>
      </c>
      <c r="P1091" t="inlineStr">
        <is>
          <t>2026-08-10T19:29:54Z</t>
        </is>
      </c>
    </row>
    <row r="1092">
      <c r="A1092" s="19" t="inlineStr">
        <is>
          <t>1091</t>
        </is>
      </c>
      <c r="B1092" s="19" t="inlineStr">
        <is>
          <t>SC-1013888-ST-063-STD-04</t>
        </is>
      </c>
      <c r="C1092" t="inlineStr">
        <is>
          <t>1013888 → ST-063-STD-04</t>
        </is>
      </c>
      <c r="D1092" s="19" t="inlineStr">
        <is>
          <t>2</t>
        </is>
      </c>
      <c r="E1092" s="19" t="inlineStr">
        <is>
          <t>1121</t>
        </is>
      </c>
      <c r="F1092" s="19" t="inlineStr">
        <is>
          <t>149</t>
        </is>
      </c>
      <c r="G1092" s="19" t="n"/>
      <c r="H1092" s="19" t="inlineStr">
        <is>
          <t>2</t>
        </is>
      </c>
      <c r="I1092" s="19" t="n"/>
      <c r="J1092" s="19" t="n"/>
      <c r="K1092" s="19" t="inlineStr">
        <is>
          <t>2</t>
        </is>
      </c>
      <c r="L1092" t="inlineStr">
        <is>
          <t>2026-08-08</t>
        </is>
      </c>
      <c r="N1092" t="inlineStr">
        <is>
          <t>IN_SCOPE_FINAL; SOURCE_CFG=IA-ST-CFG-0175; MARKET=TÜRKMENİSTAN; STATUS=IN OEM / EU PACKAGE</t>
        </is>
      </c>
      <c r="O1092" t="inlineStr">
        <is>
          <t>2026-08-10T19:29:54Z</t>
        </is>
      </c>
      <c r="P1092" t="inlineStr">
        <is>
          <t>2026-08-10T19:29:54Z</t>
        </is>
      </c>
    </row>
    <row r="1093">
      <c r="A1093" s="19" t="inlineStr">
        <is>
          <t>1092</t>
        </is>
      </c>
      <c r="B1093" s="19" t="inlineStr">
        <is>
          <t>SC-1013902-ST-063-STD-04</t>
        </is>
      </c>
      <c r="C1093" t="inlineStr">
        <is>
          <t>1013902 → ST-063-STD-04</t>
        </is>
      </c>
      <c r="D1093" s="19" t="inlineStr">
        <is>
          <t>2</t>
        </is>
      </c>
      <c r="E1093" s="19" t="inlineStr">
        <is>
          <t>1127</t>
        </is>
      </c>
      <c r="F1093" s="19" t="inlineStr">
        <is>
          <t>149</t>
        </is>
      </c>
      <c r="G1093" s="19" t="n"/>
      <c r="H1093" s="19" t="inlineStr">
        <is>
          <t>2</t>
        </is>
      </c>
      <c r="I1093" s="19" t="n"/>
      <c r="J1093" s="19" t="n"/>
      <c r="K1093" s="19" t="inlineStr">
        <is>
          <t>2</t>
        </is>
      </c>
      <c r="L1093" t="inlineStr">
        <is>
          <t>2026-08-08</t>
        </is>
      </c>
      <c r="N1093" t="inlineStr">
        <is>
          <t>IN_SCOPE_FINAL; SOURCE_CFG=IA-ST-CFG-0175; MARKET=None; STATUS=IN OEM / EU PACKAGE</t>
        </is>
      </c>
      <c r="O1093" t="inlineStr">
        <is>
          <t>2026-08-10T19:29:54Z</t>
        </is>
      </c>
      <c r="P1093" t="inlineStr">
        <is>
          <t>2026-08-10T19:29:54Z</t>
        </is>
      </c>
    </row>
    <row r="1094">
      <c r="A1094" s="19" t="inlineStr">
        <is>
          <t>1093</t>
        </is>
      </c>
      <c r="B1094" s="19" t="inlineStr">
        <is>
          <t>SC-1014285-ST-063-STD-04</t>
        </is>
      </c>
      <c r="C1094" t="inlineStr">
        <is>
          <t>1014285 → ST-063-STD-04</t>
        </is>
      </c>
      <c r="D1094" s="19" t="inlineStr">
        <is>
          <t>2</t>
        </is>
      </c>
      <c r="E1094" s="19" t="inlineStr">
        <is>
          <t>1296</t>
        </is>
      </c>
      <c r="F1094" s="19" t="inlineStr">
        <is>
          <t>149</t>
        </is>
      </c>
      <c r="G1094" s="19" t="n"/>
      <c r="H1094" s="19" t="inlineStr">
        <is>
          <t>2</t>
        </is>
      </c>
      <c r="I1094" s="19" t="n"/>
      <c r="J1094" s="19" t="n"/>
      <c r="K1094" s="19" t="inlineStr">
        <is>
          <t>2</t>
        </is>
      </c>
      <c r="L1094" t="inlineStr">
        <is>
          <t>2026-08-08</t>
        </is>
      </c>
      <c r="N1094" t="inlineStr">
        <is>
          <t>IN_SCOPE_FINAL; SOURCE_CFG=IA-ST-CFG-0175; MARKET=None; STATUS=IN OEM / EU PACKAGE</t>
        </is>
      </c>
      <c r="O1094" t="inlineStr">
        <is>
          <t>2026-08-10T19:29:54Z</t>
        </is>
      </c>
      <c r="P1094" t="inlineStr">
        <is>
          <t>2026-08-10T19:29:54Z</t>
        </is>
      </c>
    </row>
    <row r="1095">
      <c r="A1095" s="19" t="inlineStr">
        <is>
          <t>1094</t>
        </is>
      </c>
      <c r="B1095" s="19" t="inlineStr">
        <is>
          <t>SC-1014342-ST-063-STD-04</t>
        </is>
      </c>
      <c r="C1095" t="inlineStr">
        <is>
          <t>1014342 → ST-063-STD-04</t>
        </is>
      </c>
      <c r="D1095" s="19" t="inlineStr">
        <is>
          <t>2</t>
        </is>
      </c>
      <c r="E1095" s="19" t="inlineStr">
        <is>
          <t>1311</t>
        </is>
      </c>
      <c r="F1095" s="19" t="inlineStr">
        <is>
          <t>149</t>
        </is>
      </c>
      <c r="G1095" s="19" t="n"/>
      <c r="H1095" s="19" t="inlineStr">
        <is>
          <t>2</t>
        </is>
      </c>
      <c r="I1095" s="19" t="n"/>
      <c r="J1095" s="19" t="n"/>
      <c r="K1095" s="19" t="inlineStr">
        <is>
          <t>2</t>
        </is>
      </c>
      <c r="L1095" t="inlineStr">
        <is>
          <t>2026-08-08</t>
        </is>
      </c>
      <c r="N1095" t="inlineStr">
        <is>
          <t>IN_SCOPE_FINAL; SOURCE_CFG=IA-ST-CFG-0175; MARKET=None; STATUS=IN OEM / EU PACKAGE</t>
        </is>
      </c>
      <c r="O1095" t="inlineStr">
        <is>
          <t>2026-08-10T19:29:54Z</t>
        </is>
      </c>
      <c r="P1095" t="inlineStr">
        <is>
          <t>2026-08-10T19:29:54Z</t>
        </is>
      </c>
    </row>
    <row r="1096">
      <c r="A1096" s="19" t="inlineStr">
        <is>
          <t>1095</t>
        </is>
      </c>
      <c r="B1096" s="19" t="inlineStr">
        <is>
          <t>SC-1014698-ST-063-STD-04</t>
        </is>
      </c>
      <c r="C1096" t="inlineStr">
        <is>
          <t>1014698 → ST-063-STD-04</t>
        </is>
      </c>
      <c r="D1096" s="19" t="inlineStr">
        <is>
          <t>2</t>
        </is>
      </c>
      <c r="E1096" s="19" t="inlineStr">
        <is>
          <t>1550</t>
        </is>
      </c>
      <c r="F1096" s="19" t="inlineStr">
        <is>
          <t>149</t>
        </is>
      </c>
      <c r="G1096" s="19" t="n"/>
      <c r="H1096" s="19" t="inlineStr">
        <is>
          <t>2</t>
        </is>
      </c>
      <c r="I1096" s="19" t="n"/>
      <c r="J1096" s="19" t="n"/>
      <c r="K1096" s="19" t="inlineStr">
        <is>
          <t>2</t>
        </is>
      </c>
      <c r="L1096" t="inlineStr">
        <is>
          <t>2026-08-08</t>
        </is>
      </c>
      <c r="N1096" t="inlineStr">
        <is>
          <t>IN_SCOPE_FINAL; SOURCE_CFG=IA-ST-CFG-0175; MARKET=TÜRKMENİSTAN; STATUS=IN OEM / EU PACKAGE</t>
        </is>
      </c>
      <c r="O1096" t="inlineStr">
        <is>
          <t>2026-08-10T19:29:54Z</t>
        </is>
      </c>
      <c r="P1096" t="inlineStr">
        <is>
          <t>2026-08-10T19:29:54Z</t>
        </is>
      </c>
    </row>
    <row r="1097">
      <c r="A1097" s="19" t="inlineStr">
        <is>
          <t>1096</t>
        </is>
      </c>
      <c r="B1097" s="19" t="inlineStr">
        <is>
          <t>SC-1014887-ST-063-STD-04</t>
        </is>
      </c>
      <c r="C1097" t="inlineStr">
        <is>
          <t>1014887 → ST-063-STD-04</t>
        </is>
      </c>
      <c r="D1097" s="19" t="inlineStr">
        <is>
          <t>2</t>
        </is>
      </c>
      <c r="E1097" s="19" t="inlineStr">
        <is>
          <t>1659</t>
        </is>
      </c>
      <c r="F1097" s="19" t="inlineStr">
        <is>
          <t>149</t>
        </is>
      </c>
      <c r="G1097" s="19" t="n"/>
      <c r="H1097" s="19" t="inlineStr">
        <is>
          <t>2</t>
        </is>
      </c>
      <c r="I1097" s="19" t="n"/>
      <c r="J1097" s="19" t="n"/>
      <c r="K1097" s="19" t="inlineStr">
        <is>
          <t>2</t>
        </is>
      </c>
      <c r="L1097" t="inlineStr">
        <is>
          <t>2026-08-08</t>
        </is>
      </c>
      <c r="N1097" t="inlineStr">
        <is>
          <t>IN_SCOPE_FINAL; SOURCE_CFG=IA-ST-CFG-0175; MARKET=MULTISERVICIOSGOODWHEVENEZUELA; STATUS=IN OEM / EU PACKAGE</t>
        </is>
      </c>
      <c r="O1097" t="inlineStr">
        <is>
          <t>2026-08-10T19:29:54Z</t>
        </is>
      </c>
      <c r="P1097" t="inlineStr">
        <is>
          <t>2026-08-10T19:29:54Z</t>
        </is>
      </c>
    </row>
    <row r="1098">
      <c r="A1098" s="19" t="inlineStr">
        <is>
          <t>1097</t>
        </is>
      </c>
      <c r="B1098" s="19" t="inlineStr">
        <is>
          <t>SC-1015019-ST-063-STD-04</t>
        </is>
      </c>
      <c r="C1098" t="inlineStr">
        <is>
          <t>1015019 → ST-063-STD-04</t>
        </is>
      </c>
      <c r="D1098" s="19" t="inlineStr">
        <is>
          <t>2</t>
        </is>
      </c>
      <c r="E1098" s="19" t="inlineStr">
        <is>
          <t>1779</t>
        </is>
      </c>
      <c r="F1098" s="19" t="inlineStr">
        <is>
          <t>149</t>
        </is>
      </c>
      <c r="G1098" s="19" t="n"/>
      <c r="H1098" s="19" t="inlineStr">
        <is>
          <t>2</t>
        </is>
      </c>
      <c r="I1098" s="19" t="n"/>
      <c r="J1098" s="19" t="n"/>
      <c r="K1098" s="19" t="inlineStr">
        <is>
          <t>2</t>
        </is>
      </c>
      <c r="L1098" t="inlineStr">
        <is>
          <t>2026-08-08</t>
        </is>
      </c>
      <c r="N1098" t="inlineStr">
        <is>
          <t>IN_SCOPE_FINAL; SOURCE_CFG=IA-ST-CFG-0175; MARKET=TÜRKMENİSTAN; STATUS=IN OEM / EU PACKAGE</t>
        </is>
      </c>
      <c r="O1098" t="inlineStr">
        <is>
          <t>2026-08-10T19:29:54Z</t>
        </is>
      </c>
      <c r="P1098" t="inlineStr">
        <is>
          <t>2026-08-10T19:29:54Z</t>
        </is>
      </c>
    </row>
    <row r="1099">
      <c r="A1099" s="19" t="inlineStr">
        <is>
          <t>1098</t>
        </is>
      </c>
      <c r="B1099" s="19" t="inlineStr">
        <is>
          <t>SC-1015127-ST-063-STD-04</t>
        </is>
      </c>
      <c r="C1099" t="inlineStr">
        <is>
          <t>1015127 → ST-063-STD-04</t>
        </is>
      </c>
      <c r="D1099" s="19" t="inlineStr">
        <is>
          <t>2</t>
        </is>
      </c>
      <c r="E1099" s="19" t="inlineStr">
        <is>
          <t>1876</t>
        </is>
      </c>
      <c r="F1099" s="19" t="inlineStr">
        <is>
          <t>149</t>
        </is>
      </c>
      <c r="G1099" s="19" t="n"/>
      <c r="H1099" s="19" t="inlineStr">
        <is>
          <t>2</t>
        </is>
      </c>
      <c r="I1099" s="19" t="n"/>
      <c r="J1099" s="19" t="n"/>
      <c r="K1099" s="19" t="inlineStr">
        <is>
          <t>2</t>
        </is>
      </c>
      <c r="L1099" t="inlineStr">
        <is>
          <t>2026-08-08</t>
        </is>
      </c>
      <c r="N1099" t="inlineStr">
        <is>
          <t>IN_SCOPE_FINAL; SOURCE_CFG=IA-ST-CFG-0175; MARKET=AWAEL S.A.R.L. (LÜBNAN); STATUS=IN OEM / EU PACKAGE</t>
        </is>
      </c>
      <c r="O1099" t="inlineStr">
        <is>
          <t>2026-08-10T19:29:54Z</t>
        </is>
      </c>
      <c r="P1099" t="inlineStr">
        <is>
          <t>2026-08-10T19:29:54Z</t>
        </is>
      </c>
    </row>
    <row r="1100">
      <c r="A1100" s="19" t="inlineStr">
        <is>
          <t>1099</t>
        </is>
      </c>
      <c r="B1100" s="19" t="inlineStr">
        <is>
          <t>SC-1015140-ST-063-STD-04</t>
        </is>
      </c>
      <c r="C1100" t="inlineStr">
        <is>
          <t>1015140 → ST-063-STD-04</t>
        </is>
      </c>
      <c r="D1100" s="19" t="inlineStr">
        <is>
          <t>2</t>
        </is>
      </c>
      <c r="E1100" s="19" t="inlineStr">
        <is>
          <t>1889</t>
        </is>
      </c>
      <c r="F1100" s="19" t="inlineStr">
        <is>
          <t>149</t>
        </is>
      </c>
      <c r="G1100" s="19" t="n"/>
      <c r="H1100" s="19" t="inlineStr">
        <is>
          <t>2</t>
        </is>
      </c>
      <c r="I1100" s="19" t="n"/>
      <c r="J1100" s="19" t="n"/>
      <c r="K1100" s="19" t="inlineStr">
        <is>
          <t>2</t>
        </is>
      </c>
      <c r="L1100" t="inlineStr">
        <is>
          <t>2026-08-08</t>
        </is>
      </c>
      <c r="N1100" t="inlineStr">
        <is>
          <t>IN_SCOPE_FINAL; SOURCE_CFG=IA-ST-CFG-0175; MARKET=None; STATUS=IN OEM / EU PACKAGE</t>
        </is>
      </c>
      <c r="O1100" t="inlineStr">
        <is>
          <t>2026-08-10T19:29:54Z</t>
        </is>
      </c>
      <c r="P1100" t="inlineStr">
        <is>
          <t>2026-08-10T19:29:54Z</t>
        </is>
      </c>
    </row>
    <row r="1101">
      <c r="A1101" s="19" t="inlineStr">
        <is>
          <t>1100</t>
        </is>
      </c>
      <c r="B1101" s="19" t="inlineStr">
        <is>
          <t>SC-1015141-ST-063-STD-04</t>
        </is>
      </c>
      <c r="C1101" t="inlineStr">
        <is>
          <t>1015141 → ST-063-STD-04</t>
        </is>
      </c>
      <c r="D1101" s="19" t="inlineStr">
        <is>
          <t>2</t>
        </is>
      </c>
      <c r="E1101" s="19" t="inlineStr">
        <is>
          <t>1890</t>
        </is>
      </c>
      <c r="F1101" s="19" t="inlineStr">
        <is>
          <t>149</t>
        </is>
      </c>
      <c r="G1101" s="19" t="n"/>
      <c r="H1101" s="19" t="inlineStr">
        <is>
          <t>2</t>
        </is>
      </c>
      <c r="I1101" s="19" t="n"/>
      <c r="J1101" s="19" t="n"/>
      <c r="K1101" s="19" t="inlineStr">
        <is>
          <t>2</t>
        </is>
      </c>
      <c r="L1101" t="inlineStr">
        <is>
          <t>2026-08-08</t>
        </is>
      </c>
      <c r="N1101" t="inlineStr">
        <is>
          <t>IN_SCOPE_FINAL; SOURCE_CFG=IA-ST-CFG-0175; MARKET=None; STATUS=IN OEM / EU PACKAGE</t>
        </is>
      </c>
      <c r="O1101" t="inlineStr">
        <is>
          <t>2026-08-10T19:29:54Z</t>
        </is>
      </c>
      <c r="P1101" t="inlineStr">
        <is>
          <t>2026-08-10T19:29:54Z</t>
        </is>
      </c>
    </row>
    <row r="1102">
      <c r="A1102" s="19" t="inlineStr">
        <is>
          <t>1101</t>
        </is>
      </c>
      <c r="B1102" s="19" t="inlineStr">
        <is>
          <t>SC-1015281-ST-063-STD-04</t>
        </is>
      </c>
      <c r="C1102" t="inlineStr">
        <is>
          <t>1015281 → ST-063-STD-04</t>
        </is>
      </c>
      <c r="D1102" s="19" t="inlineStr">
        <is>
          <t>2</t>
        </is>
      </c>
      <c r="E1102" s="19" t="inlineStr">
        <is>
          <t>2014</t>
        </is>
      </c>
      <c r="F1102" s="19" t="inlineStr">
        <is>
          <t>149</t>
        </is>
      </c>
      <c r="G1102" s="19" t="n"/>
      <c r="H1102" s="19" t="inlineStr">
        <is>
          <t>2</t>
        </is>
      </c>
      <c r="I1102" s="19" t="n"/>
      <c r="J1102" s="19" t="n"/>
      <c r="K1102" s="19" t="inlineStr">
        <is>
          <t>2</t>
        </is>
      </c>
      <c r="L1102" t="inlineStr">
        <is>
          <t>2026-08-08</t>
        </is>
      </c>
      <c r="N1102" t="inlineStr">
        <is>
          <t>IN_SCOPE_FINAL; SOURCE_CFG=IA-ST-CFG-0175; MARKET=TÜRKMENİSTAN; STATUS=IN OEM / EU PACKAGE</t>
        </is>
      </c>
      <c r="O1102" t="inlineStr">
        <is>
          <t>2026-08-10T19:29:54Z</t>
        </is>
      </c>
      <c r="P1102" t="inlineStr">
        <is>
          <t>2026-08-10T19:29:54Z</t>
        </is>
      </c>
    </row>
    <row r="1103">
      <c r="A1103" s="19" t="inlineStr">
        <is>
          <t>1102</t>
        </is>
      </c>
      <c r="B1103" s="19" t="inlineStr">
        <is>
          <t>SC-1012850-ST-063-STD-04</t>
        </is>
      </c>
      <c r="C1103" t="inlineStr">
        <is>
          <t>1012850 → ST-063-STD-04</t>
        </is>
      </c>
      <c r="D1103" s="19" t="inlineStr">
        <is>
          <t>2</t>
        </is>
      </c>
      <c r="E1103" s="19" t="inlineStr">
        <is>
          <t>821</t>
        </is>
      </c>
      <c r="F1103" s="19" t="inlineStr">
        <is>
          <t>149</t>
        </is>
      </c>
      <c r="G1103" s="19" t="n"/>
      <c r="H1103" s="19" t="inlineStr">
        <is>
          <t>2</t>
        </is>
      </c>
      <c r="I1103" s="19" t="n"/>
      <c r="J1103" s="19" t="n"/>
      <c r="K1103" s="19" t="inlineStr">
        <is>
          <t>2</t>
        </is>
      </c>
      <c r="L1103" t="inlineStr">
        <is>
          <t>2026-08-08</t>
        </is>
      </c>
      <c r="N1103" t="inlineStr">
        <is>
          <t>IN_SCOPE_FINAL; SOURCE_CFG=IA-ST-CFG-0175; MARKET=ISUZU (Yurt İçi); STATUS=IN OEM / EU PACKAGE</t>
        </is>
      </c>
      <c r="O1103" t="inlineStr">
        <is>
          <t>2026-08-10T19:29:54Z</t>
        </is>
      </c>
      <c r="P1103" t="inlineStr">
        <is>
          <t>2026-08-10T19:29:54Z</t>
        </is>
      </c>
    </row>
    <row r="1104">
      <c r="A1104" s="19" t="inlineStr">
        <is>
          <t>1103</t>
        </is>
      </c>
      <c r="B1104" s="19" t="inlineStr">
        <is>
          <t>SC-1012852-ST-063-STD-04</t>
        </is>
      </c>
      <c r="C1104" t="inlineStr">
        <is>
          <t>1012852 → ST-063-STD-04</t>
        </is>
      </c>
      <c r="D1104" s="19" t="inlineStr">
        <is>
          <t>2</t>
        </is>
      </c>
      <c r="E1104" s="19" t="inlineStr">
        <is>
          <t>823</t>
        </is>
      </c>
      <c r="F1104" s="19" t="inlineStr">
        <is>
          <t>149</t>
        </is>
      </c>
      <c r="G1104" s="19" t="n"/>
      <c r="H1104" s="19" t="inlineStr">
        <is>
          <t>2</t>
        </is>
      </c>
      <c r="I1104" s="19" t="n"/>
      <c r="J1104" s="19" t="n"/>
      <c r="K1104" s="19" t="inlineStr">
        <is>
          <t>2</t>
        </is>
      </c>
      <c r="L1104" t="inlineStr">
        <is>
          <t>2026-08-08</t>
        </is>
      </c>
      <c r="N1104" t="inlineStr">
        <is>
          <t>IN_SCOPE_FINAL; SOURCE_CFG=IA-ST-CFG-0175; MARKET=ISUZU (Yurt İçi); STATUS=IN OEM / EU PACKAGE</t>
        </is>
      </c>
      <c r="O1104" t="inlineStr">
        <is>
          <t>2026-08-10T19:29:54Z</t>
        </is>
      </c>
      <c r="P1104" t="inlineStr">
        <is>
          <t>2026-08-10T19:29:54Z</t>
        </is>
      </c>
    </row>
    <row r="1105">
      <c r="A1105" s="19" t="inlineStr">
        <is>
          <t>1104</t>
        </is>
      </c>
      <c r="B1105" s="19" t="inlineStr">
        <is>
          <t>SC-1014764-ST-063-STD-04</t>
        </is>
      </c>
      <c r="C1105" t="inlineStr">
        <is>
          <t>1014764 → ST-063-STD-04</t>
        </is>
      </c>
      <c r="D1105" s="19" t="inlineStr">
        <is>
          <t>2</t>
        </is>
      </c>
      <c r="E1105" s="19" t="inlineStr">
        <is>
          <t>1589</t>
        </is>
      </c>
      <c r="F1105" s="19" t="inlineStr">
        <is>
          <t>149</t>
        </is>
      </c>
      <c r="G1105" s="19" t="n"/>
      <c r="H1105" s="19" t="inlineStr">
        <is>
          <t>2</t>
        </is>
      </c>
      <c r="I1105" s="19" t="n"/>
      <c r="J1105" s="19" t="n"/>
      <c r="K1105" s="19" t="inlineStr">
        <is>
          <t>2</t>
        </is>
      </c>
      <c r="L1105" t="inlineStr">
        <is>
          <t>2026-08-08</t>
        </is>
      </c>
      <c r="N1105" t="inlineStr">
        <is>
          <t>IN_SCOPE_FINAL; SOURCE_CFG=IA-ST-CFG-0175; MARKET=TÜRKMENİSTAN; STATUS=IN OEM / EU PACKAGE</t>
        </is>
      </c>
      <c r="O1105" t="inlineStr">
        <is>
          <t>2026-08-10T19:29:54Z</t>
        </is>
      </c>
      <c r="P1105" t="inlineStr">
        <is>
          <t>2026-08-10T19:29:54Z</t>
        </is>
      </c>
    </row>
    <row r="1106">
      <c r="A1106" s="19" t="inlineStr">
        <is>
          <t>1105</t>
        </is>
      </c>
      <c r="B1106" s="19" t="inlineStr">
        <is>
          <t>SC-1014765-ST-063-STD-04</t>
        </is>
      </c>
      <c r="C1106" t="inlineStr">
        <is>
          <t>1014765 → ST-063-STD-04</t>
        </is>
      </c>
      <c r="D1106" s="19" t="inlineStr">
        <is>
          <t>2</t>
        </is>
      </c>
      <c r="E1106" s="19" t="inlineStr">
        <is>
          <t>1590</t>
        </is>
      </c>
      <c r="F1106" s="19" t="inlineStr">
        <is>
          <t>149</t>
        </is>
      </c>
      <c r="G1106" s="19" t="n"/>
      <c r="H1106" s="19" t="inlineStr">
        <is>
          <t>2</t>
        </is>
      </c>
      <c r="I1106" s="19" t="n"/>
      <c r="J1106" s="19" t="n"/>
      <c r="K1106" s="19" t="inlineStr">
        <is>
          <t>2</t>
        </is>
      </c>
      <c r="L1106" t="inlineStr">
        <is>
          <t>2026-08-08</t>
        </is>
      </c>
      <c r="N1106" t="inlineStr">
        <is>
          <t>IN_SCOPE_FINAL; SOURCE_CFG=IA-ST-CFG-0175; MARKET=TÜRKMENİSTAN; STATUS=IN OEM / EU PACKAGE</t>
        </is>
      </c>
      <c r="O1106" t="inlineStr">
        <is>
          <t>2026-08-10T19:29:54Z</t>
        </is>
      </c>
      <c r="P1106" t="inlineStr">
        <is>
          <t>2026-08-10T19:29:54Z</t>
        </is>
      </c>
    </row>
    <row r="1107">
      <c r="A1107" s="19" t="inlineStr">
        <is>
          <t>1106</t>
        </is>
      </c>
      <c r="B1107" s="19" t="inlineStr">
        <is>
          <t>SC-1014769-ST-063-STD-04</t>
        </is>
      </c>
      <c r="C1107" t="inlineStr">
        <is>
          <t>1014769 → ST-063-STD-04</t>
        </is>
      </c>
      <c r="D1107" s="19" t="inlineStr">
        <is>
          <t>2</t>
        </is>
      </c>
      <c r="E1107" s="19" t="inlineStr">
        <is>
          <t>1594</t>
        </is>
      </c>
      <c r="F1107" s="19" t="inlineStr">
        <is>
          <t>149</t>
        </is>
      </c>
      <c r="G1107" s="19" t="n"/>
      <c r="H1107" s="19" t="inlineStr">
        <is>
          <t>2</t>
        </is>
      </c>
      <c r="I1107" s="19" t="n"/>
      <c r="J1107" s="19" t="n"/>
      <c r="K1107" s="19" t="inlineStr">
        <is>
          <t>2</t>
        </is>
      </c>
      <c r="L1107" t="inlineStr">
        <is>
          <t>2026-08-08</t>
        </is>
      </c>
      <c r="N1107" t="inlineStr">
        <is>
          <t>IN_SCOPE_FINAL; SOURCE_CFG=IA-ST-CFG-0175; MARKET=TÜRKMENİSTAN; STATUS=IN OEM / EU PACKAGE</t>
        </is>
      </c>
      <c r="O1107" t="inlineStr">
        <is>
          <t>2026-08-10T19:29:54Z</t>
        </is>
      </c>
      <c r="P1107" t="inlineStr">
        <is>
          <t>2026-08-10T19:29:54Z</t>
        </is>
      </c>
    </row>
    <row r="1108">
      <c r="A1108" s="19" t="inlineStr">
        <is>
          <t>1107</t>
        </is>
      </c>
      <c r="B1108" s="19" t="inlineStr">
        <is>
          <t>SC-1011152-ST-063-STD-05</t>
        </is>
      </c>
      <c r="C1108" t="inlineStr">
        <is>
          <t>1011152 → ST-063-STD-05</t>
        </is>
      </c>
      <c r="D1108" s="19" t="inlineStr">
        <is>
          <t>2</t>
        </is>
      </c>
      <c r="E1108" s="19" t="inlineStr">
        <is>
          <t>229</t>
        </is>
      </c>
      <c r="F1108" s="19" t="inlineStr">
        <is>
          <t>150</t>
        </is>
      </c>
      <c r="G1108" s="19" t="n"/>
      <c r="H1108" s="19" t="inlineStr">
        <is>
          <t>2</t>
        </is>
      </c>
      <c r="I1108" s="19" t="n"/>
      <c r="J1108" s="19" t="n"/>
      <c r="K1108" s="19" t="inlineStr">
        <is>
          <t>2</t>
        </is>
      </c>
      <c r="L1108" t="inlineStr">
        <is>
          <t>2026-08-08</t>
        </is>
      </c>
      <c r="N1108" t="inlineStr">
        <is>
          <t>IN_SCOPE_FINAL; SOURCE_CFG=IA-ST-CFG-0176; MARKET=YURT İÇİ AFM; STATUS=IN OEM / EU PACKAGE</t>
        </is>
      </c>
      <c r="O1108" t="inlineStr">
        <is>
          <t>2026-08-10T19:29:54Z</t>
        </is>
      </c>
      <c r="P1108" t="inlineStr">
        <is>
          <t>2026-08-10T19:29:54Z</t>
        </is>
      </c>
    </row>
    <row r="1109">
      <c r="A1109" s="19" t="inlineStr">
        <is>
          <t>1108</t>
        </is>
      </c>
      <c r="B1109" s="19" t="inlineStr">
        <is>
          <t>SC-1011153-ST-063-STD-05</t>
        </is>
      </c>
      <c r="C1109" t="inlineStr">
        <is>
          <t>1011153 → ST-063-STD-05</t>
        </is>
      </c>
      <c r="D1109" s="19" t="inlineStr">
        <is>
          <t>2</t>
        </is>
      </c>
      <c r="E1109" s="19" t="inlineStr">
        <is>
          <t>230</t>
        </is>
      </c>
      <c r="F1109" s="19" t="inlineStr">
        <is>
          <t>150</t>
        </is>
      </c>
      <c r="G1109" s="19" t="n"/>
      <c r="H1109" s="19" t="inlineStr">
        <is>
          <t>2</t>
        </is>
      </c>
      <c r="I1109" s="19" t="n"/>
      <c r="J1109" s="19" t="n"/>
      <c r="K1109" s="19" t="inlineStr">
        <is>
          <t>2</t>
        </is>
      </c>
      <c r="L1109" t="inlineStr">
        <is>
          <t>2026-08-08</t>
        </is>
      </c>
      <c r="N1109" t="inlineStr">
        <is>
          <t>IN_SCOPE_FINAL; SOURCE_CFG=IA-ST-CFG-0176; MARKET=YURT İÇİ AFM; STATUS=IN OEM / EU PACKAGE</t>
        </is>
      </c>
      <c r="O1109" t="inlineStr">
        <is>
          <t>2026-08-10T19:29:54Z</t>
        </is>
      </c>
      <c r="P1109" t="inlineStr">
        <is>
          <t>2026-08-10T19:29:54Z</t>
        </is>
      </c>
    </row>
    <row r="1110">
      <c r="A1110" s="19" t="inlineStr">
        <is>
          <t>1109</t>
        </is>
      </c>
      <c r="B1110" s="19" t="inlineStr">
        <is>
          <t>SC-1011168-ST-063-STD-05</t>
        </is>
      </c>
      <c r="C1110" t="inlineStr">
        <is>
          <t>1011168 → ST-063-STD-05</t>
        </is>
      </c>
      <c r="D1110" s="19" t="inlineStr">
        <is>
          <t>2</t>
        </is>
      </c>
      <c r="E1110" s="19" t="inlineStr">
        <is>
          <t>244</t>
        </is>
      </c>
      <c r="F1110" s="19" t="inlineStr">
        <is>
          <t>150</t>
        </is>
      </c>
      <c r="G1110" s="19" t="n"/>
      <c r="H1110" s="19" t="inlineStr">
        <is>
          <t>2</t>
        </is>
      </c>
      <c r="I1110" s="19" t="n"/>
      <c r="J1110" s="19" t="n"/>
      <c r="K1110" s="19" t="inlineStr">
        <is>
          <t>2</t>
        </is>
      </c>
      <c r="L1110" t="inlineStr">
        <is>
          <t>2026-08-08</t>
        </is>
      </c>
      <c r="N1110" t="inlineStr">
        <is>
          <t>IN_SCOPE_FINAL; SOURCE_CFG=IA-ST-CFG-0176; MARKET=YURT İÇİ AFM; STATUS=IN OEM / EU PACKAGE</t>
        </is>
      </c>
      <c r="O1110" t="inlineStr">
        <is>
          <t>2026-08-10T19:29:54Z</t>
        </is>
      </c>
      <c r="P1110" t="inlineStr">
        <is>
          <t>2026-08-10T19:29:54Z</t>
        </is>
      </c>
    </row>
    <row r="1111">
      <c r="A1111" s="19" t="inlineStr">
        <is>
          <t>1110</t>
        </is>
      </c>
      <c r="B1111" s="19" t="inlineStr">
        <is>
          <t>SC-1011195-ST-063-STD-05</t>
        </is>
      </c>
      <c r="C1111" t="inlineStr">
        <is>
          <t>1011195 → ST-063-STD-05</t>
        </is>
      </c>
      <c r="D1111" s="19" t="inlineStr">
        <is>
          <t>2</t>
        </is>
      </c>
      <c r="E1111" s="19" t="inlineStr">
        <is>
          <t>266</t>
        </is>
      </c>
      <c r="F1111" s="19" t="inlineStr">
        <is>
          <t>150</t>
        </is>
      </c>
      <c r="G1111" s="19" t="n"/>
      <c r="H1111" s="19" t="inlineStr">
        <is>
          <t>2</t>
        </is>
      </c>
      <c r="I1111" s="19" t="n"/>
      <c r="J1111" s="19" t="n"/>
      <c r="K1111" s="19" t="inlineStr">
        <is>
          <t>2</t>
        </is>
      </c>
      <c r="L1111" t="inlineStr">
        <is>
          <t>2026-08-08</t>
        </is>
      </c>
      <c r="N1111" t="inlineStr">
        <is>
          <t>IN_SCOPE_FINAL; SOURCE_CFG=IA-ST-CFG-0176; MARKET=YURT İÇİ AFM; STATUS=IN OEM / EU PACKAGE</t>
        </is>
      </c>
      <c r="O1111" t="inlineStr">
        <is>
          <t>2026-08-10T19:29:54Z</t>
        </is>
      </c>
      <c r="P1111" t="inlineStr">
        <is>
          <t>2026-08-10T19:29:54Z</t>
        </is>
      </c>
    </row>
    <row r="1112">
      <c r="A1112" s="19" t="inlineStr">
        <is>
          <t>1111</t>
        </is>
      </c>
      <c r="B1112" s="19" t="inlineStr">
        <is>
          <t>SC-1012096-ST-063-STD-05</t>
        </is>
      </c>
      <c r="C1112" t="inlineStr">
        <is>
          <t>1012096 → ST-063-STD-05</t>
        </is>
      </c>
      <c r="D1112" s="19" t="inlineStr">
        <is>
          <t>2</t>
        </is>
      </c>
      <c r="E1112" s="19" t="inlineStr">
        <is>
          <t>517</t>
        </is>
      </c>
      <c r="F1112" s="19" t="inlineStr">
        <is>
          <t>150</t>
        </is>
      </c>
      <c r="G1112" s="19" t="n"/>
      <c r="H1112" s="19" t="inlineStr">
        <is>
          <t>2</t>
        </is>
      </c>
      <c r="I1112" s="19" t="n"/>
      <c r="J1112" s="19" t="n"/>
      <c r="K1112" s="19" t="inlineStr">
        <is>
          <t>2</t>
        </is>
      </c>
      <c r="L1112" t="inlineStr">
        <is>
          <t>2026-08-08</t>
        </is>
      </c>
      <c r="N1112" t="inlineStr">
        <is>
          <t>IN_SCOPE_FINAL; SOURCE_CFG=IA-ST-CFG-0176; MARKET=TEMSA (Yurt İçi); STATUS=IN OEM / EU PACKAGE</t>
        </is>
      </c>
      <c r="O1112" t="inlineStr">
        <is>
          <t>2026-08-10T19:29:54Z</t>
        </is>
      </c>
      <c r="P1112" t="inlineStr">
        <is>
          <t>2026-08-10T19:29:54Z</t>
        </is>
      </c>
    </row>
    <row r="1113">
      <c r="A1113" s="19" t="inlineStr">
        <is>
          <t>1112</t>
        </is>
      </c>
      <c r="B1113" s="19" t="inlineStr">
        <is>
          <t>SC-1013999-ST-063-STD-05</t>
        </is>
      </c>
      <c r="C1113" t="inlineStr">
        <is>
          <t>1013999 → ST-063-STD-05</t>
        </is>
      </c>
      <c r="D1113" s="19" t="inlineStr">
        <is>
          <t>2</t>
        </is>
      </c>
      <c r="E1113" s="19" t="inlineStr">
        <is>
          <t>1170</t>
        </is>
      </c>
      <c r="F1113" s="19" t="inlineStr">
        <is>
          <t>150</t>
        </is>
      </c>
      <c r="G1113" s="19" t="n"/>
      <c r="H1113" s="19" t="inlineStr">
        <is>
          <t>2</t>
        </is>
      </c>
      <c r="I1113" s="19" t="n"/>
      <c r="J1113" s="19" t="n"/>
      <c r="K1113" s="19" t="inlineStr">
        <is>
          <t>2</t>
        </is>
      </c>
      <c r="L1113" t="inlineStr">
        <is>
          <t>2026-08-08</t>
        </is>
      </c>
      <c r="N1113" t="inlineStr">
        <is>
          <t>IN_SCOPE_FINAL; SOURCE_CFG=IA-ST-CFG-0176; MARKET=YURT İÇİ AFM; STATUS=IN OEM / EU PACKAGE</t>
        </is>
      </c>
      <c r="O1113" t="inlineStr">
        <is>
          <t>2026-08-10T19:29:54Z</t>
        </is>
      </c>
      <c r="P1113" t="inlineStr">
        <is>
          <t>2026-08-10T19:29:54Z</t>
        </is>
      </c>
    </row>
    <row r="1114">
      <c r="A1114" s="19" t="inlineStr">
        <is>
          <t>1113</t>
        </is>
      </c>
      <c r="B1114" s="19" t="inlineStr">
        <is>
          <t>SC-1014596-ST-063-STD-05</t>
        </is>
      </c>
      <c r="C1114" t="inlineStr">
        <is>
          <t>1014596 → ST-063-STD-05</t>
        </is>
      </c>
      <c r="D1114" s="19" t="inlineStr">
        <is>
          <t>2</t>
        </is>
      </c>
      <c r="E1114" s="19" t="inlineStr">
        <is>
          <t>1481</t>
        </is>
      </c>
      <c r="F1114" s="19" t="inlineStr">
        <is>
          <t>150</t>
        </is>
      </c>
      <c r="G1114" s="19" t="n"/>
      <c r="H1114" s="19" t="inlineStr">
        <is>
          <t>2</t>
        </is>
      </c>
      <c r="I1114" s="19" t="n"/>
      <c r="J1114" s="19" t="n"/>
      <c r="K1114" s="19" t="inlineStr">
        <is>
          <t>2</t>
        </is>
      </c>
      <c r="L1114" t="inlineStr">
        <is>
          <t>2026-08-08</t>
        </is>
      </c>
      <c r="N1114" t="inlineStr">
        <is>
          <t>IN_SCOPE_FINAL; SOURCE_CFG=IA-ST-CFG-0176; MARKET=YURT İÇİ AFM; STATUS=IN OEM / EU PACKAGE</t>
        </is>
      </c>
      <c r="O1114" t="inlineStr">
        <is>
          <t>2026-08-10T19:29:54Z</t>
        </is>
      </c>
      <c r="P1114" t="inlineStr">
        <is>
          <t>2026-08-10T19:29:54Z</t>
        </is>
      </c>
    </row>
    <row r="1115">
      <c r="A1115" s="19" t="inlineStr">
        <is>
          <t>1114</t>
        </is>
      </c>
      <c r="B1115" s="19" t="inlineStr">
        <is>
          <t>SC-1014941-ST-063-STD-05</t>
        </is>
      </c>
      <c r="C1115" t="inlineStr">
        <is>
          <t>1014941 → ST-063-STD-05</t>
        </is>
      </c>
      <c r="D1115" s="19" t="inlineStr">
        <is>
          <t>2</t>
        </is>
      </c>
      <c r="E1115" s="19" t="inlineStr">
        <is>
          <t>1709</t>
        </is>
      </c>
      <c r="F1115" s="19" t="inlineStr">
        <is>
          <t>150</t>
        </is>
      </c>
      <c r="G1115" s="19" t="n"/>
      <c r="H1115" s="19" t="inlineStr">
        <is>
          <t>2</t>
        </is>
      </c>
      <c r="I1115" s="19" t="n"/>
      <c r="J1115" s="19" t="n"/>
      <c r="K1115" s="19" t="inlineStr">
        <is>
          <t>2</t>
        </is>
      </c>
      <c r="L1115" t="inlineStr">
        <is>
          <t>2026-08-08</t>
        </is>
      </c>
      <c r="N1115" t="inlineStr">
        <is>
          <t>IN_SCOPE_FINAL; SOURCE_CFG=IA-ST-CFG-0176; MARKET=YANMAR OEM (SOLİS) (Yurt İçi); STATUS=IN OEM / EU PACKAGE</t>
        </is>
      </c>
      <c r="O1115" t="inlineStr">
        <is>
          <t>2026-08-10T19:29:54Z</t>
        </is>
      </c>
      <c r="P1115" t="inlineStr">
        <is>
          <t>2026-08-10T19:29:54Z</t>
        </is>
      </c>
    </row>
    <row r="1116">
      <c r="A1116" s="19" t="inlineStr">
        <is>
          <t>1115</t>
        </is>
      </c>
      <c r="B1116" s="19" t="inlineStr">
        <is>
          <t>SC-1015266-ST-063-STD-06</t>
        </is>
      </c>
      <c r="C1116" t="inlineStr">
        <is>
          <t>1015266 → ST-063-STD-06</t>
        </is>
      </c>
      <c r="D1116" s="19" t="inlineStr">
        <is>
          <t>2</t>
        </is>
      </c>
      <c r="E1116" s="19" t="inlineStr">
        <is>
          <t>1999</t>
        </is>
      </c>
      <c r="F1116" s="19" t="inlineStr">
        <is>
          <t>151</t>
        </is>
      </c>
      <c r="G1116" s="19" t="n"/>
      <c r="H1116" s="19" t="inlineStr">
        <is>
          <t>2</t>
        </is>
      </c>
      <c r="I1116" s="19" t="n"/>
      <c r="J1116" s="19" t="n"/>
      <c r="K1116" s="19" t="inlineStr">
        <is>
          <t>2</t>
        </is>
      </c>
      <c r="L1116" t="inlineStr">
        <is>
          <t>2026-08-08</t>
        </is>
      </c>
      <c r="N1116" t="inlineStr">
        <is>
          <t>IN_SCOPE_FINAL; SOURCE_CFG=IA-ST-CFG-0177; MARKET=CONTINENTAL USA; STATUS=IN OEM / EU PACKAGE</t>
        </is>
      </c>
      <c r="O1116" t="inlineStr">
        <is>
          <t>2026-08-10T19:29:54Z</t>
        </is>
      </c>
      <c r="P1116" t="inlineStr">
        <is>
          <t>2026-08-10T19:29:54Z</t>
        </is>
      </c>
    </row>
    <row r="1117">
      <c r="A1117" s="19" t="inlineStr">
        <is>
          <t>1116</t>
        </is>
      </c>
      <c r="B1117" s="19" t="inlineStr">
        <is>
          <t>SC-1011867-ST-063-STD-07</t>
        </is>
      </c>
      <c r="C1117" t="inlineStr">
        <is>
          <t>1011867 → ST-063-STD-07</t>
        </is>
      </c>
      <c r="D1117" s="19" t="inlineStr">
        <is>
          <t>2</t>
        </is>
      </c>
      <c r="E1117" s="19" t="inlineStr">
        <is>
          <t>381</t>
        </is>
      </c>
      <c r="F1117" s="19" t="inlineStr">
        <is>
          <t>152</t>
        </is>
      </c>
      <c r="G1117" s="19" t="n"/>
      <c r="H1117" s="19" t="inlineStr">
        <is>
          <t>2</t>
        </is>
      </c>
      <c r="I1117" s="19" t="n"/>
      <c r="J1117" s="19" t="n"/>
      <c r="K1117" s="19" t="inlineStr">
        <is>
          <t>2</t>
        </is>
      </c>
      <c r="L1117" t="inlineStr">
        <is>
          <t>2026-08-08</t>
        </is>
      </c>
      <c r="N1117" t="inlineStr">
        <is>
          <t>IN_SCOPE_FINAL; SOURCE_CFG=IA-ST-CFG-0178; MARKET=NASA; STATUS=IN OEM / EU PACKAGE</t>
        </is>
      </c>
      <c r="O1117" t="inlineStr">
        <is>
          <t>2026-08-10T19:29:54Z</t>
        </is>
      </c>
      <c r="P1117" t="inlineStr">
        <is>
          <t>2026-08-10T19:29:54Z</t>
        </is>
      </c>
    </row>
    <row r="1118">
      <c r="A1118" s="19" t="inlineStr">
        <is>
          <t>1117</t>
        </is>
      </c>
      <c r="B1118" s="19" t="inlineStr">
        <is>
          <t>SC-1011868-ST-063-STD-07</t>
        </is>
      </c>
      <c r="C1118" t="inlineStr">
        <is>
          <t>1011868 → ST-063-STD-07</t>
        </is>
      </c>
      <c r="D1118" s="19" t="inlineStr">
        <is>
          <t>2</t>
        </is>
      </c>
      <c r="E1118" s="19" t="inlineStr">
        <is>
          <t>382</t>
        </is>
      </c>
      <c r="F1118" s="19" t="inlineStr">
        <is>
          <t>152</t>
        </is>
      </c>
      <c r="G1118" s="19" t="n"/>
      <c r="H1118" s="19" t="inlineStr">
        <is>
          <t>2</t>
        </is>
      </c>
      <c r="I1118" s="19" t="n"/>
      <c r="J1118" s="19" t="n"/>
      <c r="K1118" s="19" t="inlineStr">
        <is>
          <t>2</t>
        </is>
      </c>
      <c r="L1118" t="inlineStr">
        <is>
          <t>2026-08-08</t>
        </is>
      </c>
      <c r="N1118" t="inlineStr">
        <is>
          <t>IN_SCOPE_FINAL; SOURCE_CFG=IA-ST-CFG-0178; MARKET=None; STATUS=IN OEM / EU PACKAGE</t>
        </is>
      </c>
      <c r="O1118" t="inlineStr">
        <is>
          <t>2026-08-10T19:29:54Z</t>
        </is>
      </c>
      <c r="P1118" t="inlineStr">
        <is>
          <t>2026-08-10T19:29:54Z</t>
        </is>
      </c>
    </row>
    <row r="1119">
      <c r="A1119" s="19" t="inlineStr">
        <is>
          <t>1118</t>
        </is>
      </c>
      <c r="B1119" s="19" t="inlineStr">
        <is>
          <t>SC-1012333-ST-063-STD-07</t>
        </is>
      </c>
      <c r="C1119" t="inlineStr">
        <is>
          <t>1012333 → ST-063-STD-07</t>
        </is>
      </c>
      <c r="D1119" s="19" t="inlineStr">
        <is>
          <t>2</t>
        </is>
      </c>
      <c r="E1119" s="19" t="inlineStr">
        <is>
          <t>601</t>
        </is>
      </c>
      <c r="F1119" s="19" t="inlineStr">
        <is>
          <t>152</t>
        </is>
      </c>
      <c r="G1119" s="19" t="n"/>
      <c r="H1119" s="19" t="inlineStr">
        <is>
          <t>2</t>
        </is>
      </c>
      <c r="I1119" s="19" t="n"/>
      <c r="J1119" s="19" t="n"/>
      <c r="K1119" s="19" t="inlineStr">
        <is>
          <t>2</t>
        </is>
      </c>
      <c r="L1119" t="inlineStr">
        <is>
          <t>2026-08-08</t>
        </is>
      </c>
      <c r="N1119" t="inlineStr">
        <is>
          <t>IN_SCOPE_FINAL; SOURCE_CFG=IA-ST-CFG-0178; MARKET=None; STATUS=IN OEM / EU PACKAGE</t>
        </is>
      </c>
      <c r="O1119" t="inlineStr">
        <is>
          <t>2026-08-10T19:29:54Z</t>
        </is>
      </c>
      <c r="P1119" t="inlineStr">
        <is>
          <t>2026-08-10T19:29:54Z</t>
        </is>
      </c>
    </row>
    <row r="1120">
      <c r="A1120" s="19" t="inlineStr">
        <is>
          <t>1119</t>
        </is>
      </c>
      <c r="B1120" s="19" t="inlineStr">
        <is>
          <t>SC-1012334-ST-063-STD-07</t>
        </is>
      </c>
      <c r="C1120" t="inlineStr">
        <is>
          <t>1012334 → ST-063-STD-07</t>
        </is>
      </c>
      <c r="D1120" s="19" t="inlineStr">
        <is>
          <t>2</t>
        </is>
      </c>
      <c r="E1120" s="19" t="inlineStr">
        <is>
          <t>602</t>
        </is>
      </c>
      <c r="F1120" s="19" t="inlineStr">
        <is>
          <t>152</t>
        </is>
      </c>
      <c r="G1120" s="19" t="n"/>
      <c r="H1120" s="19" t="inlineStr">
        <is>
          <t>2</t>
        </is>
      </c>
      <c r="I1120" s="19" t="n"/>
      <c r="J1120" s="19" t="n"/>
      <c r="K1120" s="19" t="inlineStr">
        <is>
          <t>2</t>
        </is>
      </c>
      <c r="L1120" t="inlineStr">
        <is>
          <t>2026-08-08</t>
        </is>
      </c>
      <c r="N1120" t="inlineStr">
        <is>
          <t>IN_SCOPE_FINAL; SOURCE_CFG=IA-ST-CFG-0178; MARKET=None; STATUS=IN OEM / EU PACKAGE</t>
        </is>
      </c>
      <c r="O1120" t="inlineStr">
        <is>
          <t>2026-08-10T19:29:54Z</t>
        </is>
      </c>
      <c r="P1120" t="inlineStr">
        <is>
          <t>2026-08-10T19:29:54Z</t>
        </is>
      </c>
    </row>
    <row r="1121">
      <c r="A1121" s="19" t="inlineStr">
        <is>
          <t>1120</t>
        </is>
      </c>
      <c r="B1121" s="19" t="inlineStr">
        <is>
          <t>SC-1012335-ST-063-STD-07</t>
        </is>
      </c>
      <c r="C1121" t="inlineStr">
        <is>
          <t>1012335 → ST-063-STD-07</t>
        </is>
      </c>
      <c r="D1121" s="19" t="inlineStr">
        <is>
          <t>2</t>
        </is>
      </c>
      <c r="E1121" s="19" t="inlineStr">
        <is>
          <t>603</t>
        </is>
      </c>
      <c r="F1121" s="19" t="inlineStr">
        <is>
          <t>152</t>
        </is>
      </c>
      <c r="G1121" s="19" t="n"/>
      <c r="H1121" s="19" t="inlineStr">
        <is>
          <t>2</t>
        </is>
      </c>
      <c r="I1121" s="19" t="n"/>
      <c r="J1121" s="19" t="n"/>
      <c r="K1121" s="19" t="inlineStr">
        <is>
          <t>2</t>
        </is>
      </c>
      <c r="L1121" t="inlineStr">
        <is>
          <t>2026-08-08</t>
        </is>
      </c>
      <c r="N1121" t="inlineStr">
        <is>
          <t>IN_SCOPE_FINAL; SOURCE_CFG=IA-ST-CFG-0178; MARKET=MISIR EEC; STATUS=IN OEM / EU PACKAGE</t>
        </is>
      </c>
      <c r="O1121" t="inlineStr">
        <is>
          <t>2026-08-10T19:29:54Z</t>
        </is>
      </c>
      <c r="P1121" t="inlineStr">
        <is>
          <t>2026-08-10T19:29:54Z</t>
        </is>
      </c>
    </row>
    <row r="1122">
      <c r="A1122" s="19" t="inlineStr">
        <is>
          <t>1121</t>
        </is>
      </c>
      <c r="B1122" s="19" t="inlineStr">
        <is>
          <t>SC-1012586-ST-063-STD-07</t>
        </is>
      </c>
      <c r="C1122" t="inlineStr">
        <is>
          <t>1012586 → ST-063-STD-07</t>
        </is>
      </c>
      <c r="D1122" s="19" t="inlineStr">
        <is>
          <t>2</t>
        </is>
      </c>
      <c r="E1122" s="19" t="inlineStr">
        <is>
          <t>707</t>
        </is>
      </c>
      <c r="F1122" s="19" t="inlineStr">
        <is>
          <t>152</t>
        </is>
      </c>
      <c r="G1122" s="19" t="n"/>
      <c r="H1122" s="19" t="inlineStr">
        <is>
          <t>2</t>
        </is>
      </c>
      <c r="I1122" s="19" t="n"/>
      <c r="J1122" s="19" t="n"/>
      <c r="K1122" s="19" t="inlineStr">
        <is>
          <t>2</t>
        </is>
      </c>
      <c r="L1122" t="inlineStr">
        <is>
          <t>2026-08-08</t>
        </is>
      </c>
      <c r="N1122" t="inlineStr">
        <is>
          <t>IN_SCOPE_FINAL; SOURCE_CFG=IA-ST-CFG-0178; MARKET=None; STATUS=IN OEM / EU PACKAGE</t>
        </is>
      </c>
      <c r="O1122" t="inlineStr">
        <is>
          <t>2026-08-10T19:29:54Z</t>
        </is>
      </c>
      <c r="P1122" t="inlineStr">
        <is>
          <t>2026-08-10T19:29:54Z</t>
        </is>
      </c>
    </row>
    <row r="1123">
      <c r="A1123" s="19" t="inlineStr">
        <is>
          <t>1122</t>
        </is>
      </c>
      <c r="B1123" s="19" t="inlineStr">
        <is>
          <t>SC-1014397-ST-063-STD-07</t>
        </is>
      </c>
      <c r="C1123" t="inlineStr">
        <is>
          <t>1014397 → ST-063-STD-07</t>
        </is>
      </c>
      <c r="D1123" s="19" t="inlineStr">
        <is>
          <t>2</t>
        </is>
      </c>
      <c r="E1123" s="19" t="inlineStr">
        <is>
          <t>1347</t>
        </is>
      </c>
      <c r="F1123" s="19" t="inlineStr">
        <is>
          <t>152</t>
        </is>
      </c>
      <c r="G1123" s="19" t="n"/>
      <c r="H1123" s="19" t="inlineStr">
        <is>
          <t>2</t>
        </is>
      </c>
      <c r="I1123" s="19" t="n"/>
      <c r="J1123" s="19" t="n"/>
      <c r="K1123" s="19" t="inlineStr">
        <is>
          <t>2</t>
        </is>
      </c>
      <c r="L1123" t="inlineStr">
        <is>
          <t>2026-08-08</t>
        </is>
      </c>
      <c r="N1123" t="inlineStr">
        <is>
          <t>IN_SCOPE_FINAL; SOURCE_CFG=IA-ST-CFG-0178; MARKET=REDMAY URUGUAY; STATUS=IN OEM / EU PACKAGE</t>
        </is>
      </c>
      <c r="O1123" t="inlineStr">
        <is>
          <t>2026-08-10T19:29:54Z</t>
        </is>
      </c>
      <c r="P1123" t="inlineStr">
        <is>
          <t>2026-08-10T19:29:54Z</t>
        </is>
      </c>
    </row>
    <row r="1124">
      <c r="A1124" s="19" t="inlineStr">
        <is>
          <t>1123</t>
        </is>
      </c>
      <c r="B1124" s="19" t="inlineStr">
        <is>
          <t>SC-1014986-ST-063-STD-07</t>
        </is>
      </c>
      <c r="C1124" t="inlineStr">
        <is>
          <t>1014986 → ST-063-STD-07</t>
        </is>
      </c>
      <c r="D1124" s="19" t="inlineStr">
        <is>
          <t>2</t>
        </is>
      </c>
      <c r="E1124" s="19" t="inlineStr">
        <is>
          <t>1747</t>
        </is>
      </c>
      <c r="F1124" s="19" t="inlineStr">
        <is>
          <t>152</t>
        </is>
      </c>
      <c r="G1124" s="19" t="n"/>
      <c r="H1124" s="19" t="inlineStr">
        <is>
          <t>2</t>
        </is>
      </c>
      <c r="I1124" s="19" t="n"/>
      <c r="J1124" s="19" t="n"/>
      <c r="K1124" s="19" t="inlineStr">
        <is>
          <t>2</t>
        </is>
      </c>
      <c r="L1124" t="inlineStr">
        <is>
          <t>2026-08-08</t>
        </is>
      </c>
      <c r="N1124" t="inlineStr">
        <is>
          <t>IN_SCOPE_FINAL; SOURCE_CFG=IA-ST-CFG-0178; MARKET=MISIR ALSAFA; STATUS=IN OEM / EU PACKAGE</t>
        </is>
      </c>
      <c r="O1124" t="inlineStr">
        <is>
          <t>2026-08-10T19:29:54Z</t>
        </is>
      </c>
      <c r="P1124" t="inlineStr">
        <is>
          <t>2026-08-10T19:29:54Z</t>
        </is>
      </c>
    </row>
    <row r="1125">
      <c r="A1125" s="19" t="inlineStr">
        <is>
          <t>1124</t>
        </is>
      </c>
      <c r="B1125" s="19" t="inlineStr">
        <is>
          <t>SC-1011861-ST-063-STD-07</t>
        </is>
      </c>
      <c r="C1125" t="inlineStr">
        <is>
          <t>1011861 → ST-063-STD-07</t>
        </is>
      </c>
      <c r="D1125" s="19" t="inlineStr">
        <is>
          <t>2</t>
        </is>
      </c>
      <c r="E1125" s="19" t="inlineStr">
        <is>
          <t>378</t>
        </is>
      </c>
      <c r="F1125" s="19" t="inlineStr">
        <is>
          <t>152</t>
        </is>
      </c>
      <c r="G1125" s="19" t="n"/>
      <c r="H1125" s="19" t="inlineStr">
        <is>
          <t>2</t>
        </is>
      </c>
      <c r="I1125" s="19" t="n"/>
      <c r="J1125" s="19" t="n"/>
      <c r="K1125" s="19" t="inlineStr">
        <is>
          <t>2</t>
        </is>
      </c>
      <c r="L1125" t="inlineStr">
        <is>
          <t>2026-08-08</t>
        </is>
      </c>
      <c r="N1125" t="inlineStr">
        <is>
          <t>IN_SCOPE_FINAL; SOURCE_CFG=IA-ST-CFG-0178; MARKET=None; STATUS=IN OEM / EU PACKAGE</t>
        </is>
      </c>
      <c r="O1125" t="inlineStr">
        <is>
          <t>2026-08-10T19:29:54Z</t>
        </is>
      </c>
      <c r="P1125" t="inlineStr">
        <is>
          <t>2026-08-10T19:29:54Z</t>
        </is>
      </c>
    </row>
    <row r="1126">
      <c r="A1126" s="19" t="inlineStr">
        <is>
          <t>1125</t>
        </is>
      </c>
      <c r="B1126" s="19" t="inlineStr">
        <is>
          <t>SC-1010899-ST-063-STD-07</t>
        </is>
      </c>
      <c r="C1126" t="inlineStr">
        <is>
          <t>1010899 → ST-063-STD-07</t>
        </is>
      </c>
      <c r="D1126" s="19" t="inlineStr">
        <is>
          <t>2</t>
        </is>
      </c>
      <c r="E1126" s="19" t="inlineStr">
        <is>
          <t>211</t>
        </is>
      </c>
      <c r="F1126" s="19" t="inlineStr">
        <is>
          <t>152</t>
        </is>
      </c>
      <c r="G1126" s="19" t="n"/>
      <c r="H1126" s="19" t="inlineStr">
        <is>
          <t>2</t>
        </is>
      </c>
      <c r="I1126" s="19" t="n"/>
      <c r="J1126" s="19" t="n"/>
      <c r="K1126" s="19" t="inlineStr">
        <is>
          <t>2</t>
        </is>
      </c>
      <c r="L1126" t="inlineStr">
        <is>
          <t>2026-08-08</t>
        </is>
      </c>
      <c r="N1126" t="inlineStr">
        <is>
          <t>IN_SCOPE_FINAL; SOURCE_CFG=IA-ST-CFG-0178; MARKET=ARCOBALENO-GANA; STATUS=IN OEM / EU PACKAGE</t>
        </is>
      </c>
      <c r="O1126" t="inlineStr">
        <is>
          <t>2026-08-10T19:29:54Z</t>
        </is>
      </c>
      <c r="P1126" t="inlineStr">
        <is>
          <t>2026-08-10T19:29:54Z</t>
        </is>
      </c>
    </row>
    <row r="1127">
      <c r="A1127" s="19" t="inlineStr">
        <is>
          <t>1126</t>
        </is>
      </c>
      <c r="B1127" s="19" t="inlineStr">
        <is>
          <t>SC-1011862-ST-063-STD-07</t>
        </is>
      </c>
      <c r="C1127" t="inlineStr">
        <is>
          <t>1011862 → ST-063-STD-07</t>
        </is>
      </c>
      <c r="D1127" s="19" t="inlineStr">
        <is>
          <t>2</t>
        </is>
      </c>
      <c r="E1127" s="19" t="inlineStr">
        <is>
          <t>379</t>
        </is>
      </c>
      <c r="F1127" s="19" t="inlineStr">
        <is>
          <t>152</t>
        </is>
      </c>
      <c r="G1127" s="19" t="n"/>
      <c r="H1127" s="19" t="inlineStr">
        <is>
          <t>2</t>
        </is>
      </c>
      <c r="I1127" s="19" t="n"/>
      <c r="J1127" s="19" t="n"/>
      <c r="K1127" s="19" t="inlineStr">
        <is>
          <t>2</t>
        </is>
      </c>
      <c r="L1127" t="inlineStr">
        <is>
          <t>2026-08-08</t>
        </is>
      </c>
      <c r="N1127" t="inlineStr">
        <is>
          <t>IN_SCOPE_FINAL; SOURCE_CFG=IA-ST-CFG-0178; MARKET=NASA; STATUS=IN OEM / EU PACKAGE</t>
        </is>
      </c>
      <c r="O1127" t="inlineStr">
        <is>
          <t>2026-08-10T19:29:54Z</t>
        </is>
      </c>
      <c r="P1127" t="inlineStr">
        <is>
          <t>2026-08-10T19:29:54Z</t>
        </is>
      </c>
    </row>
    <row r="1128">
      <c r="A1128" s="19" t="inlineStr">
        <is>
          <t>1127</t>
        </is>
      </c>
      <c r="B1128" s="19" t="inlineStr">
        <is>
          <t>SC-1011863-ST-063-STD-07</t>
        </is>
      </c>
      <c r="C1128" t="inlineStr">
        <is>
          <t>1011863 → ST-063-STD-07</t>
        </is>
      </c>
      <c r="D1128" s="19" t="inlineStr">
        <is>
          <t>2</t>
        </is>
      </c>
      <c r="E1128" s="19" t="inlineStr">
        <is>
          <t>380</t>
        </is>
      </c>
      <c r="F1128" s="19" t="inlineStr">
        <is>
          <t>152</t>
        </is>
      </c>
      <c r="G1128" s="19" t="n"/>
      <c r="H1128" s="19" t="inlineStr">
        <is>
          <t>2</t>
        </is>
      </c>
      <c r="I1128" s="19" t="n"/>
      <c r="J1128" s="19" t="n"/>
      <c r="K1128" s="19" t="inlineStr">
        <is>
          <t>2</t>
        </is>
      </c>
      <c r="L1128" t="inlineStr">
        <is>
          <t>2026-08-08</t>
        </is>
      </c>
      <c r="N1128" t="inlineStr">
        <is>
          <t>IN_SCOPE_FINAL; SOURCE_CFG=IA-ST-CFG-0178; MARKET=MISIR AL AMAN; STATUS=IN OEM / EU PACKAGE</t>
        </is>
      </c>
      <c r="O1128" t="inlineStr">
        <is>
          <t>2026-08-10T19:29:54Z</t>
        </is>
      </c>
      <c r="P1128" t="inlineStr">
        <is>
          <t>2026-08-10T19:29:54Z</t>
        </is>
      </c>
    </row>
    <row r="1129">
      <c r="A1129" s="19" t="inlineStr">
        <is>
          <t>1128</t>
        </is>
      </c>
      <c r="B1129" s="19" t="inlineStr">
        <is>
          <t>SC-1012137-ST-063-STD-07</t>
        </is>
      </c>
      <c r="C1129" t="inlineStr">
        <is>
          <t>1012137 → ST-063-STD-07</t>
        </is>
      </c>
      <c r="D1129" s="19" t="inlineStr">
        <is>
          <t>2</t>
        </is>
      </c>
      <c r="E1129" s="19" t="inlineStr">
        <is>
          <t>539</t>
        </is>
      </c>
      <c r="F1129" s="19" t="inlineStr">
        <is>
          <t>152</t>
        </is>
      </c>
      <c r="G1129" s="19" t="n"/>
      <c r="H1129" s="19" t="inlineStr">
        <is>
          <t>2</t>
        </is>
      </c>
      <c r="I1129" s="19" t="n"/>
      <c r="J1129" s="19" t="n"/>
      <c r="K1129" s="19" t="inlineStr">
        <is>
          <t>2</t>
        </is>
      </c>
      <c r="L1129" t="inlineStr">
        <is>
          <t>2026-08-08</t>
        </is>
      </c>
      <c r="N1129" t="inlineStr">
        <is>
          <t>IN_SCOPE_FINAL; SOURCE_CFG=IA-ST-CFG-0178; MARKET=None; STATUS=IN OEM / EU PACKAGE</t>
        </is>
      </c>
      <c r="O1129" t="inlineStr">
        <is>
          <t>2026-08-10T19:29:54Z</t>
        </is>
      </c>
      <c r="P1129" t="inlineStr">
        <is>
          <t>2026-08-10T19:29:54Z</t>
        </is>
      </c>
    </row>
    <row r="1130">
      <c r="A1130" s="19" t="inlineStr">
        <is>
          <t>1129</t>
        </is>
      </c>
      <c r="B1130" s="19" t="inlineStr">
        <is>
          <t>SC-1012139-ST-063-STD-07</t>
        </is>
      </c>
      <c r="C1130" t="inlineStr">
        <is>
          <t>1012139 → ST-063-STD-07</t>
        </is>
      </c>
      <c r="D1130" s="19" t="inlineStr">
        <is>
          <t>2</t>
        </is>
      </c>
      <c r="E1130" s="19" t="inlineStr">
        <is>
          <t>541</t>
        </is>
      </c>
      <c r="F1130" s="19" t="inlineStr">
        <is>
          <t>152</t>
        </is>
      </c>
      <c r="G1130" s="19" t="n"/>
      <c r="H1130" s="19" t="inlineStr">
        <is>
          <t>2</t>
        </is>
      </c>
      <c r="I1130" s="19" t="n"/>
      <c r="J1130" s="19" t="n"/>
      <c r="K1130" s="19" t="inlineStr">
        <is>
          <t>2</t>
        </is>
      </c>
      <c r="L1130" t="inlineStr">
        <is>
          <t>2026-08-08</t>
        </is>
      </c>
      <c r="N1130" t="inlineStr">
        <is>
          <t>IN_SCOPE_FINAL; SOURCE_CFG=IA-ST-CFG-0178; MARKET=None; STATUS=IN OEM / EU PACKAGE</t>
        </is>
      </c>
      <c r="O1130" t="inlineStr">
        <is>
          <t>2026-08-10T19:29:54Z</t>
        </is>
      </c>
      <c r="P1130" t="inlineStr">
        <is>
          <t>2026-08-10T19:29:54Z</t>
        </is>
      </c>
    </row>
    <row r="1131">
      <c r="A1131" s="19" t="inlineStr">
        <is>
          <t>1130</t>
        </is>
      </c>
      <c r="B1131" s="19" t="inlineStr">
        <is>
          <t>SC-1012471-ST-063-STD-07</t>
        </is>
      </c>
      <c r="C1131" t="inlineStr">
        <is>
          <t>1012471 → ST-063-STD-07</t>
        </is>
      </c>
      <c r="D1131" s="19" t="inlineStr">
        <is>
          <t>2</t>
        </is>
      </c>
      <c r="E1131" s="19" t="inlineStr">
        <is>
          <t>662</t>
        </is>
      </c>
      <c r="F1131" s="19" t="inlineStr">
        <is>
          <t>152</t>
        </is>
      </c>
      <c r="G1131" s="19" t="n"/>
      <c r="H1131" s="19" t="inlineStr">
        <is>
          <t>2</t>
        </is>
      </c>
      <c r="I1131" s="19" t="n"/>
      <c r="J1131" s="19" t="n"/>
      <c r="K1131" s="19" t="inlineStr">
        <is>
          <t>2</t>
        </is>
      </c>
      <c r="L1131" t="inlineStr">
        <is>
          <t>2026-08-08</t>
        </is>
      </c>
      <c r="N1131" t="inlineStr">
        <is>
          <t>IN_SCOPE_FINAL; SOURCE_CFG=IA-ST-CFG-0178; MARKET=None; STATUS=IN OEM / EU PACKAGE</t>
        </is>
      </c>
      <c r="O1131" t="inlineStr">
        <is>
          <t>2026-08-10T19:29:54Z</t>
        </is>
      </c>
      <c r="P1131" t="inlineStr">
        <is>
          <t>2026-08-10T19:29:54Z</t>
        </is>
      </c>
    </row>
    <row r="1132">
      <c r="A1132" s="19" t="inlineStr">
        <is>
          <t>1131</t>
        </is>
      </c>
      <c r="B1132" s="19" t="inlineStr">
        <is>
          <t>SC-1014203-ST-063-STD-07</t>
        </is>
      </c>
      <c r="C1132" t="inlineStr">
        <is>
          <t>1014203 → ST-063-STD-07</t>
        </is>
      </c>
      <c r="D1132" s="19" t="inlineStr">
        <is>
          <t>2</t>
        </is>
      </c>
      <c r="E1132" s="19" t="inlineStr">
        <is>
          <t>1270</t>
        </is>
      </c>
      <c r="F1132" s="19" t="inlineStr">
        <is>
          <t>152</t>
        </is>
      </c>
      <c r="G1132" s="19" t="n"/>
      <c r="H1132" s="19" t="inlineStr">
        <is>
          <t>2</t>
        </is>
      </c>
      <c r="I1132" s="19" t="n"/>
      <c r="J1132" s="19" t="n"/>
      <c r="K1132" s="19" t="inlineStr">
        <is>
          <t>2</t>
        </is>
      </c>
      <c r="L1132" t="inlineStr">
        <is>
          <t>2026-08-08</t>
        </is>
      </c>
      <c r="N1132" t="inlineStr">
        <is>
          <t>IN_SCOPE_FINAL; SOURCE_CFG=IA-ST-CFG-0178; MARKET=REY &amp; LENFERNA LUCAS; STATUS=IN OEM / EU PACKAGE</t>
        </is>
      </c>
      <c r="O1132" t="inlineStr">
        <is>
          <t>2026-08-10T19:29:54Z</t>
        </is>
      </c>
      <c r="P1132" t="inlineStr">
        <is>
          <t>2026-08-10T19:29:54Z</t>
        </is>
      </c>
    </row>
    <row r="1133">
      <c r="A1133" s="19" t="inlineStr">
        <is>
          <t>1132</t>
        </is>
      </c>
      <c r="B1133" s="19" t="inlineStr">
        <is>
          <t>SC-1014223-ST-063-STD-07</t>
        </is>
      </c>
      <c r="C1133" t="inlineStr">
        <is>
          <t>1014223 → ST-063-STD-07</t>
        </is>
      </c>
      <c r="D1133" s="19" t="inlineStr">
        <is>
          <t>2</t>
        </is>
      </c>
      <c r="E1133" s="19" t="inlineStr">
        <is>
          <t>1278</t>
        </is>
      </c>
      <c r="F1133" s="19" t="inlineStr">
        <is>
          <t>152</t>
        </is>
      </c>
      <c r="G1133" s="19" t="n"/>
      <c r="H1133" s="19" t="inlineStr">
        <is>
          <t>2</t>
        </is>
      </c>
      <c r="I1133" s="19" t="n"/>
      <c r="J1133" s="19" t="n"/>
      <c r="K1133" s="19" t="inlineStr">
        <is>
          <t>2</t>
        </is>
      </c>
      <c r="L1133" t="inlineStr">
        <is>
          <t>2026-08-08</t>
        </is>
      </c>
      <c r="N1133" t="inlineStr">
        <is>
          <t>IN_SCOPE_FINAL; SOURCE_CFG=IA-ST-CFG-0178; MARKET=None; STATUS=IN OEM / EU PACKAGE</t>
        </is>
      </c>
      <c r="O1133" t="inlineStr">
        <is>
          <t>2026-08-10T19:29:54Z</t>
        </is>
      </c>
      <c r="P1133" t="inlineStr">
        <is>
          <t>2026-08-10T19:29:54Z</t>
        </is>
      </c>
    </row>
    <row r="1134">
      <c r="A1134" s="19" t="inlineStr">
        <is>
          <t>1133</t>
        </is>
      </c>
      <c r="B1134" s="19" t="inlineStr">
        <is>
          <t>SC-1014622-ST-063-STD-07</t>
        </is>
      </c>
      <c r="C1134" t="inlineStr">
        <is>
          <t>1014622 → ST-063-STD-07</t>
        </is>
      </c>
      <c r="D1134" s="19" t="inlineStr">
        <is>
          <t>2</t>
        </is>
      </c>
      <c r="E1134" s="19" t="inlineStr">
        <is>
          <t>1497</t>
        </is>
      </c>
      <c r="F1134" s="19" t="inlineStr">
        <is>
          <t>152</t>
        </is>
      </c>
      <c r="G1134" s="19" t="n"/>
      <c r="H1134" s="19" t="inlineStr">
        <is>
          <t>2</t>
        </is>
      </c>
      <c r="I1134" s="19" t="n"/>
      <c r="J1134" s="19" t="n"/>
      <c r="K1134" s="19" t="inlineStr">
        <is>
          <t>2</t>
        </is>
      </c>
      <c r="L1134" t="inlineStr">
        <is>
          <t>2026-08-08</t>
        </is>
      </c>
      <c r="N1134" t="inlineStr">
        <is>
          <t>IN_SCOPE_FINAL; SOURCE_CFG=IA-ST-CFG-0178; MARKET=MISIR NACITA; STATUS=IN OEM / EU PACKAGE</t>
        </is>
      </c>
      <c r="O1134" t="inlineStr">
        <is>
          <t>2026-08-10T19:29:54Z</t>
        </is>
      </c>
      <c r="P1134" t="inlineStr">
        <is>
          <t>2026-08-10T19:29:54Z</t>
        </is>
      </c>
    </row>
    <row r="1135">
      <c r="A1135" s="19" t="inlineStr">
        <is>
          <t>1134</t>
        </is>
      </c>
      <c r="B1135" s="19" t="inlineStr">
        <is>
          <t>SC-1014820-ST-063-STD-07</t>
        </is>
      </c>
      <c r="C1135" t="inlineStr">
        <is>
          <t>1014820 → ST-063-STD-07</t>
        </is>
      </c>
      <c r="D1135" s="19" t="inlineStr">
        <is>
          <t>2</t>
        </is>
      </c>
      <c r="E1135" s="19" t="inlineStr">
        <is>
          <t>1625</t>
        </is>
      </c>
      <c r="F1135" s="19" t="inlineStr">
        <is>
          <t>152</t>
        </is>
      </c>
      <c r="G1135" s="19" t="n"/>
      <c r="H1135" s="19" t="inlineStr">
        <is>
          <t>2</t>
        </is>
      </c>
      <c r="I1135" s="19" t="n"/>
      <c r="J1135" s="19" t="n"/>
      <c r="K1135" s="19" t="inlineStr">
        <is>
          <t>2</t>
        </is>
      </c>
      <c r="L1135" t="inlineStr">
        <is>
          <t>2026-08-08</t>
        </is>
      </c>
      <c r="N1135" t="inlineStr">
        <is>
          <t>IN_SCOPE_FINAL; SOURCE_CFG=IA-ST-CFG-0178; MARKET=REDMAY URUGUAY; STATUS=IN OEM / EU PACKAGE</t>
        </is>
      </c>
      <c r="O1135" t="inlineStr">
        <is>
          <t>2026-08-10T19:29:54Z</t>
        </is>
      </c>
      <c r="P1135" t="inlineStr">
        <is>
          <t>2026-08-10T19:29:54Z</t>
        </is>
      </c>
    </row>
    <row r="1136">
      <c r="A1136" s="19" t="inlineStr">
        <is>
          <t>1135</t>
        </is>
      </c>
      <c r="B1136" s="19" t="inlineStr">
        <is>
          <t>SC-1015193-ST-063-STD-07</t>
        </is>
      </c>
      <c r="C1136" t="inlineStr">
        <is>
          <t>1015193 → ST-063-STD-07</t>
        </is>
      </c>
      <c r="D1136" s="19" t="inlineStr">
        <is>
          <t>2</t>
        </is>
      </c>
      <c r="E1136" s="19" t="inlineStr">
        <is>
          <t>1934</t>
        </is>
      </c>
      <c r="F1136" s="19" t="inlineStr">
        <is>
          <t>152</t>
        </is>
      </c>
      <c r="G1136" s="19" t="n"/>
      <c r="H1136" s="19" t="inlineStr">
        <is>
          <t>2</t>
        </is>
      </c>
      <c r="I1136" s="19" t="n"/>
      <c r="J1136" s="19" t="n"/>
      <c r="K1136" s="19" t="inlineStr">
        <is>
          <t>2</t>
        </is>
      </c>
      <c r="L1136" t="inlineStr">
        <is>
          <t>2026-08-08</t>
        </is>
      </c>
      <c r="N1136" t="inlineStr">
        <is>
          <t>IN_SCOPE_FINAL; SOURCE_CFG=IA-ST-CFG-0178; MARKET=REDMAY URUGUAY; STATUS=IN OEM / EU PACKAGE</t>
        </is>
      </c>
      <c r="O1136" t="inlineStr">
        <is>
          <t>2026-08-10T19:29:54Z</t>
        </is>
      </c>
      <c r="P1136" t="inlineStr">
        <is>
          <t>2026-08-10T19:29:54Z</t>
        </is>
      </c>
    </row>
    <row r="1137">
      <c r="A1137" s="19" t="inlineStr">
        <is>
          <t>1136</t>
        </is>
      </c>
      <c r="B1137" s="19" t="inlineStr">
        <is>
          <t>SC-1012703-ST-063-STD-07</t>
        </is>
      </c>
      <c r="C1137" t="inlineStr">
        <is>
          <t>1012703 → ST-063-STD-07</t>
        </is>
      </c>
      <c r="D1137" s="19" t="inlineStr">
        <is>
          <t>2</t>
        </is>
      </c>
      <c r="E1137" s="19" t="inlineStr">
        <is>
          <t>761</t>
        </is>
      </c>
      <c r="F1137" s="19" t="inlineStr">
        <is>
          <t>152</t>
        </is>
      </c>
      <c r="G1137" s="19" t="n"/>
      <c r="H1137" s="19" t="inlineStr">
        <is>
          <t>2</t>
        </is>
      </c>
      <c r="I1137" s="19" t="n"/>
      <c r="J1137" s="19" t="n"/>
      <c r="K1137" s="19" t="inlineStr">
        <is>
          <t>2</t>
        </is>
      </c>
      <c r="L1137" t="inlineStr">
        <is>
          <t>2026-08-08</t>
        </is>
      </c>
      <c r="N1137" t="inlineStr">
        <is>
          <t>IN_SCOPE_FINAL; SOURCE_CFG=IA-ST-CFG-0178; MARKET=FORD (Yurt İçi); STATUS=IN OEM / EU PACKAGE</t>
        </is>
      </c>
      <c r="O1137" t="inlineStr">
        <is>
          <t>2026-08-10T19:29:54Z</t>
        </is>
      </c>
      <c r="P1137" t="inlineStr">
        <is>
          <t>2026-08-10T19:29:54Z</t>
        </is>
      </c>
    </row>
    <row r="1138">
      <c r="A1138" s="19" t="inlineStr">
        <is>
          <t>1137</t>
        </is>
      </c>
      <c r="B1138" s="19" t="inlineStr">
        <is>
          <t>SC-1012707-ST-063-STD-07</t>
        </is>
      </c>
      <c r="C1138" t="inlineStr">
        <is>
          <t>1012707 → ST-063-STD-07</t>
        </is>
      </c>
      <c r="D1138" s="19" t="inlineStr">
        <is>
          <t>2</t>
        </is>
      </c>
      <c r="E1138" s="19" t="inlineStr">
        <is>
          <t>765</t>
        </is>
      </c>
      <c r="F1138" s="19" t="inlineStr">
        <is>
          <t>152</t>
        </is>
      </c>
      <c r="G1138" s="19" t="n"/>
      <c r="H1138" s="19" t="inlineStr">
        <is>
          <t>2</t>
        </is>
      </c>
      <c r="I1138" s="19" t="n"/>
      <c r="J1138" s="19" t="n"/>
      <c r="K1138" s="19" t="inlineStr">
        <is>
          <t>2</t>
        </is>
      </c>
      <c r="L1138" t="inlineStr">
        <is>
          <t>2026-08-08</t>
        </is>
      </c>
      <c r="N1138" t="inlineStr">
        <is>
          <t>IN_SCOPE_FINAL; SOURCE_CFG=IA-ST-CFG-0178; MARKET=FORD (Yurt İçi); STATUS=IN OEM / EU PACKAGE</t>
        </is>
      </c>
      <c r="O1138" t="inlineStr">
        <is>
          <t>2026-08-10T19:29:54Z</t>
        </is>
      </c>
      <c r="P1138" t="inlineStr">
        <is>
          <t>2026-08-10T19:29:54Z</t>
        </is>
      </c>
    </row>
    <row r="1139">
      <c r="A1139" s="19" t="inlineStr">
        <is>
          <t>1138</t>
        </is>
      </c>
      <c r="B1139" s="19" t="inlineStr">
        <is>
          <t>SC-1012710-ST-063-STD-07</t>
        </is>
      </c>
      <c r="C1139" t="inlineStr">
        <is>
          <t>1012710 → ST-063-STD-07</t>
        </is>
      </c>
      <c r="D1139" s="19" t="inlineStr">
        <is>
          <t>2</t>
        </is>
      </c>
      <c r="E1139" s="19" t="inlineStr">
        <is>
          <t>767</t>
        </is>
      </c>
      <c r="F1139" s="19" t="inlineStr">
        <is>
          <t>152</t>
        </is>
      </c>
      <c r="G1139" s="19" t="n"/>
      <c r="H1139" s="19" t="inlineStr">
        <is>
          <t>2</t>
        </is>
      </c>
      <c r="I1139" s="19" t="n"/>
      <c r="J1139" s="19" t="n"/>
      <c r="K1139" s="19" t="inlineStr">
        <is>
          <t>2</t>
        </is>
      </c>
      <c r="L1139" t="inlineStr">
        <is>
          <t>2026-08-08</t>
        </is>
      </c>
      <c r="N1139" t="inlineStr">
        <is>
          <t>IN_SCOPE_FINAL; SOURCE_CFG=IA-ST-CFG-0178; MARKET=FORD (Yurt İçi); STATUS=IN OEM / EU PACKAGE</t>
        </is>
      </c>
      <c r="O1139" t="inlineStr">
        <is>
          <t>2026-08-10T19:29:54Z</t>
        </is>
      </c>
      <c r="P1139" t="inlineStr">
        <is>
          <t>2026-08-10T19:29:54Z</t>
        </is>
      </c>
    </row>
    <row r="1140">
      <c r="A1140" s="19" t="inlineStr">
        <is>
          <t>1139</t>
        </is>
      </c>
      <c r="B1140" s="19" t="inlineStr">
        <is>
          <t>SC-1015159-ST-063-STD-07</t>
        </is>
      </c>
      <c r="C1140" t="inlineStr">
        <is>
          <t>1015159 → ST-063-STD-07</t>
        </is>
      </c>
      <c r="D1140" s="19" t="inlineStr">
        <is>
          <t>2</t>
        </is>
      </c>
      <c r="E1140" s="19" t="inlineStr">
        <is>
          <t>1906</t>
        </is>
      </c>
      <c r="F1140" s="19" t="inlineStr">
        <is>
          <t>152</t>
        </is>
      </c>
      <c r="G1140" s="19" t="n"/>
      <c r="H1140" s="19" t="inlineStr">
        <is>
          <t>2</t>
        </is>
      </c>
      <c r="I1140" s="19" t="n"/>
      <c r="J1140" s="19" t="n"/>
      <c r="K1140" s="19" t="inlineStr">
        <is>
          <t>2</t>
        </is>
      </c>
      <c r="L1140" t="inlineStr">
        <is>
          <t>2026-08-08</t>
        </is>
      </c>
      <c r="N1140" t="inlineStr">
        <is>
          <t>IN_SCOPE_FINAL; SOURCE_CFG=IA-ST-CFG-0178; MARKET=FORD (Yurt İçi); STATUS=IN OEM / EU PACKAGE</t>
        </is>
      </c>
      <c r="O1140" t="inlineStr">
        <is>
          <t>2026-08-10T19:29:54Z</t>
        </is>
      </c>
      <c r="P1140" t="inlineStr">
        <is>
          <t>2026-08-10T19:29:54Z</t>
        </is>
      </c>
    </row>
    <row r="1141">
      <c r="A1141" s="19" t="inlineStr">
        <is>
          <t>1140</t>
        </is>
      </c>
      <c r="B1141" s="19" t="inlineStr">
        <is>
          <t>SC-1015163-ST-063-STD-07</t>
        </is>
      </c>
      <c r="C1141" t="inlineStr">
        <is>
          <t>1015163 → ST-063-STD-07</t>
        </is>
      </c>
      <c r="D1141" s="19" t="inlineStr">
        <is>
          <t>2</t>
        </is>
      </c>
      <c r="E1141" s="19" t="inlineStr">
        <is>
          <t>1909</t>
        </is>
      </c>
      <c r="F1141" s="19" t="inlineStr">
        <is>
          <t>152</t>
        </is>
      </c>
      <c r="G1141" s="19" t="n"/>
      <c r="H1141" s="19" t="inlineStr">
        <is>
          <t>2</t>
        </is>
      </c>
      <c r="I1141" s="19" t="n"/>
      <c r="J1141" s="19" t="n"/>
      <c r="K1141" s="19" t="inlineStr">
        <is>
          <t>2</t>
        </is>
      </c>
      <c r="L1141" t="inlineStr">
        <is>
          <t>2026-08-08</t>
        </is>
      </c>
      <c r="N1141" t="inlineStr">
        <is>
          <t>IN_SCOPE_FINAL; SOURCE_CFG=IA-ST-CFG-0178; MARKET=FORD (Yurt İçi); STATUS=IN OEM / EU PACKAGE</t>
        </is>
      </c>
      <c r="O1141" t="inlineStr">
        <is>
          <t>2026-08-10T19:29:54Z</t>
        </is>
      </c>
      <c r="P1141" t="inlineStr">
        <is>
          <t>2026-08-10T19:29:54Z</t>
        </is>
      </c>
    </row>
    <row r="1142">
      <c r="A1142" s="19" t="inlineStr">
        <is>
          <t>1141</t>
        </is>
      </c>
      <c r="B1142" s="19" t="inlineStr">
        <is>
          <t>SC-1012089-ST-063-STD-08</t>
        </is>
      </c>
      <c r="C1142" t="inlineStr">
        <is>
          <t>1012089 → ST-063-STD-08</t>
        </is>
      </c>
      <c r="D1142" s="19" t="inlineStr">
        <is>
          <t>2</t>
        </is>
      </c>
      <c r="E1142" s="19" t="inlineStr">
        <is>
          <t>510</t>
        </is>
      </c>
      <c r="F1142" s="19" t="inlineStr">
        <is>
          <t>153</t>
        </is>
      </c>
      <c r="G1142" s="19" t="n"/>
      <c r="H1142" s="19" t="inlineStr">
        <is>
          <t>2</t>
        </is>
      </c>
      <c r="I1142" s="19" t="n"/>
      <c r="J1142" s="19" t="n"/>
      <c r="K1142" s="19" t="inlineStr">
        <is>
          <t>2</t>
        </is>
      </c>
      <c r="L1142" t="inlineStr">
        <is>
          <t>2026-08-08</t>
        </is>
      </c>
      <c r="N1142" t="inlineStr">
        <is>
          <t>IN_SCOPE_FINAL; SOURCE_CFG=IA-ST-CFG-0179; MARKET=NOYPA-NISSAN (Yurt İçi); STATUS=IN OEM / EU PACKAGE</t>
        </is>
      </c>
      <c r="O1142" t="inlineStr">
        <is>
          <t>2026-08-10T19:29:54Z</t>
        </is>
      </c>
      <c r="P1142" t="inlineStr">
        <is>
          <t>2026-08-10T19:29:54Z</t>
        </is>
      </c>
    </row>
    <row r="1143">
      <c r="A1143" s="19" t="inlineStr">
        <is>
          <t>1142</t>
        </is>
      </c>
      <c r="B1143" s="19" t="inlineStr">
        <is>
          <t>SC-1012093-ST-063-STD-08</t>
        </is>
      </c>
      <c r="C1143" t="inlineStr">
        <is>
          <t>1012093 → ST-063-STD-08</t>
        </is>
      </c>
      <c r="D1143" s="19" t="inlineStr">
        <is>
          <t>2</t>
        </is>
      </c>
      <c r="E1143" s="19" t="inlineStr">
        <is>
          <t>514</t>
        </is>
      </c>
      <c r="F1143" s="19" t="inlineStr">
        <is>
          <t>153</t>
        </is>
      </c>
      <c r="G1143" s="19" t="n"/>
      <c r="H1143" s="19" t="inlineStr">
        <is>
          <t>2</t>
        </is>
      </c>
      <c r="I1143" s="19" t="n"/>
      <c r="J1143" s="19" t="n"/>
      <c r="K1143" s="19" t="inlineStr">
        <is>
          <t>2</t>
        </is>
      </c>
      <c r="L1143" t="inlineStr">
        <is>
          <t>2026-08-08</t>
        </is>
      </c>
      <c r="N1143" t="inlineStr">
        <is>
          <t>IN_SCOPE_FINAL; SOURCE_CFG=IA-ST-CFG-0179; MARKET=NOYPA-NISSAN (Yurt İçi); STATUS=IN OEM / EU PACKAGE</t>
        </is>
      </c>
      <c r="O1143" t="inlineStr">
        <is>
          <t>2026-08-10T19:29:54Z</t>
        </is>
      </c>
      <c r="P1143" t="inlineStr">
        <is>
          <t>2026-08-10T19:29:54Z</t>
        </is>
      </c>
    </row>
    <row r="1144">
      <c r="A1144" s="19" t="inlineStr">
        <is>
          <t>1143</t>
        </is>
      </c>
      <c r="B1144" s="19" t="inlineStr">
        <is>
          <t>SC-1010110-ST-063-STD-08</t>
        </is>
      </c>
      <c r="C1144" t="inlineStr">
        <is>
          <t>1010110 → ST-063-STD-08</t>
        </is>
      </c>
      <c r="D1144" s="19" t="inlineStr">
        <is>
          <t>2</t>
        </is>
      </c>
      <c r="E1144" s="19" t="inlineStr">
        <is>
          <t>160</t>
        </is>
      </c>
      <c r="F1144" s="19" t="inlineStr">
        <is>
          <t>153</t>
        </is>
      </c>
      <c r="G1144" s="19" t="n"/>
      <c r="H1144" s="19" t="inlineStr">
        <is>
          <t>2</t>
        </is>
      </c>
      <c r="I1144" s="19" t="n"/>
      <c r="J1144" s="19" t="n"/>
      <c r="K1144" s="19" t="inlineStr">
        <is>
          <t>2</t>
        </is>
      </c>
      <c r="L1144" t="inlineStr">
        <is>
          <t>2026-08-08</t>
        </is>
      </c>
      <c r="N1144" t="inlineStr">
        <is>
          <t>IN_SCOPE_FINAL; SOURCE_CFG=IA-ST-CFG-0179; MARKET=JANENE İSRAİL; STATUS=IN OEM / EU PACKAGE</t>
        </is>
      </c>
      <c r="O1144" t="inlineStr">
        <is>
          <t>2026-08-10T19:29:54Z</t>
        </is>
      </c>
      <c r="P1144" t="inlineStr">
        <is>
          <t>2026-08-10T19:29:54Z</t>
        </is>
      </c>
    </row>
    <row r="1145">
      <c r="A1145" s="19" t="inlineStr">
        <is>
          <t>1144</t>
        </is>
      </c>
      <c r="B1145" s="19" t="inlineStr">
        <is>
          <t>SC-1011300-ST-063-STD-08</t>
        </is>
      </c>
      <c r="C1145" t="inlineStr">
        <is>
          <t>1011300 → ST-063-STD-08</t>
        </is>
      </c>
      <c r="D1145" s="19" t="inlineStr">
        <is>
          <t>2</t>
        </is>
      </c>
      <c r="E1145" s="19" t="inlineStr">
        <is>
          <t>292</t>
        </is>
      </c>
      <c r="F1145" s="19" t="inlineStr">
        <is>
          <t>153</t>
        </is>
      </c>
      <c r="G1145" s="19" t="n"/>
      <c r="H1145" s="19" t="inlineStr">
        <is>
          <t>2</t>
        </is>
      </c>
      <c r="I1145" s="19" t="n"/>
      <c r="J1145" s="19" t="n"/>
      <c r="K1145" s="19" t="inlineStr">
        <is>
          <t>2</t>
        </is>
      </c>
      <c r="L1145" t="inlineStr">
        <is>
          <t>2026-08-08</t>
        </is>
      </c>
      <c r="N1145" t="inlineStr">
        <is>
          <t>IN_SCOPE_FINAL; SOURCE_CFG=IA-ST-CFG-0179; MARKET=None; STATUS=IN OEM / EU PACKAGE</t>
        </is>
      </c>
      <c r="O1145" t="inlineStr">
        <is>
          <t>2026-08-10T19:29:54Z</t>
        </is>
      </c>
      <c r="P1145" t="inlineStr">
        <is>
          <t>2026-08-10T19:29:54Z</t>
        </is>
      </c>
    </row>
    <row r="1146">
      <c r="A1146" s="19" t="inlineStr">
        <is>
          <t>1145</t>
        </is>
      </c>
      <c r="B1146" s="19" t="inlineStr">
        <is>
          <t>SC-1013150-ST-063-STD-08</t>
        </is>
      </c>
      <c r="C1146" t="inlineStr">
        <is>
          <t>1013150 → ST-063-STD-08</t>
        </is>
      </c>
      <c r="D1146" s="19" t="inlineStr">
        <is>
          <t>2</t>
        </is>
      </c>
      <c r="E1146" s="19" t="inlineStr">
        <is>
          <t>929</t>
        </is>
      </c>
      <c r="F1146" s="19" t="inlineStr">
        <is>
          <t>153</t>
        </is>
      </c>
      <c r="G1146" s="19" t="n"/>
      <c r="H1146" s="19" t="inlineStr">
        <is>
          <t>2</t>
        </is>
      </c>
      <c r="I1146" s="19" t="n"/>
      <c r="J1146" s="19" t="n"/>
      <c r="K1146" s="19" t="inlineStr">
        <is>
          <t>2</t>
        </is>
      </c>
      <c r="L1146" t="inlineStr">
        <is>
          <t>2026-08-08</t>
        </is>
      </c>
      <c r="N1146" t="inlineStr">
        <is>
          <t>IN_SCOPE_FINAL; SOURCE_CFG=IA-ST-CFG-0179; MARKET=MISIR NACITA; STATUS=IN OEM / EU PACKAGE</t>
        </is>
      </c>
      <c r="O1146" t="inlineStr">
        <is>
          <t>2026-08-10T19:29:54Z</t>
        </is>
      </c>
      <c r="P1146" t="inlineStr">
        <is>
          <t>2026-08-10T19:29:54Z</t>
        </is>
      </c>
    </row>
    <row r="1147">
      <c r="A1147" s="19" t="inlineStr">
        <is>
          <t>1146</t>
        </is>
      </c>
      <c r="B1147" s="19" t="inlineStr">
        <is>
          <t>SC-1014270-ST-063-STD-08</t>
        </is>
      </c>
      <c r="C1147" t="inlineStr">
        <is>
          <t>1014270 → ST-063-STD-08</t>
        </is>
      </c>
      <c r="D1147" s="19" t="inlineStr">
        <is>
          <t>2</t>
        </is>
      </c>
      <c r="E1147" s="19" t="inlineStr">
        <is>
          <t>1286</t>
        </is>
      </c>
      <c r="F1147" s="19" t="inlineStr">
        <is>
          <t>153</t>
        </is>
      </c>
      <c r="G1147" s="19" t="n"/>
      <c r="H1147" s="19" t="inlineStr">
        <is>
          <t>2</t>
        </is>
      </c>
      <c r="I1147" s="19" t="n"/>
      <c r="J1147" s="19" t="n"/>
      <c r="K1147" s="19" t="inlineStr">
        <is>
          <t>2</t>
        </is>
      </c>
      <c r="L1147" t="inlineStr">
        <is>
          <t>2026-08-08</t>
        </is>
      </c>
      <c r="N1147" t="inlineStr">
        <is>
          <t>IN_SCOPE_FINAL; SOURCE_CFG=IA-ST-CFG-0179; MARKET=None; STATUS=IN OEM / EU PACKAGE</t>
        </is>
      </c>
      <c r="O1147" t="inlineStr">
        <is>
          <t>2026-08-10T19:29:54Z</t>
        </is>
      </c>
      <c r="P1147" t="inlineStr">
        <is>
          <t>2026-08-10T19:29:54Z</t>
        </is>
      </c>
    </row>
    <row r="1148">
      <c r="A1148" s="19" t="inlineStr">
        <is>
          <t>1147</t>
        </is>
      </c>
      <c r="B1148" s="19" t="inlineStr">
        <is>
          <t>SC-1014718-ST-063-STD-08</t>
        </is>
      </c>
      <c r="C1148" t="inlineStr">
        <is>
          <t>1014718 → ST-063-STD-08</t>
        </is>
      </c>
      <c r="D1148" s="19" t="inlineStr">
        <is>
          <t>2</t>
        </is>
      </c>
      <c r="E1148" s="19" t="inlineStr">
        <is>
          <t>1563</t>
        </is>
      </c>
      <c r="F1148" s="19" t="inlineStr">
        <is>
          <t>153</t>
        </is>
      </c>
      <c r="G1148" s="19" t="n"/>
      <c r="H1148" s="19" t="inlineStr">
        <is>
          <t>2</t>
        </is>
      </c>
      <c r="I1148" s="19" t="n"/>
      <c r="J1148" s="19" t="n"/>
      <c r="K1148" s="19" t="inlineStr">
        <is>
          <t>2</t>
        </is>
      </c>
      <c r="L1148" t="inlineStr">
        <is>
          <t>2026-08-08</t>
        </is>
      </c>
      <c r="N1148" t="inlineStr">
        <is>
          <t>IN_SCOPE_FINAL; SOURCE_CFG=IA-ST-CFG-0179; MARKET=MISIR ATWAN; STATUS=IN OEM / EU PACKAGE</t>
        </is>
      </c>
      <c r="O1148" t="inlineStr">
        <is>
          <t>2026-08-10T19:29:54Z</t>
        </is>
      </c>
      <c r="P1148" t="inlineStr">
        <is>
          <t>2026-08-10T19:29:54Z</t>
        </is>
      </c>
    </row>
    <row r="1149">
      <c r="A1149" s="19" t="inlineStr">
        <is>
          <t>1148</t>
        </is>
      </c>
      <c r="B1149" s="19" t="inlineStr">
        <is>
          <t>SC-1014792-ST-063-STD-08</t>
        </is>
      </c>
      <c r="C1149" t="inlineStr">
        <is>
          <t>1014792 → ST-063-STD-08</t>
        </is>
      </c>
      <c r="D1149" s="19" t="inlineStr">
        <is>
          <t>2</t>
        </is>
      </c>
      <c r="E1149" s="19" t="inlineStr">
        <is>
          <t>1610</t>
        </is>
      </c>
      <c r="F1149" s="19" t="inlineStr">
        <is>
          <t>153</t>
        </is>
      </c>
      <c r="G1149" s="19" t="n"/>
      <c r="H1149" s="19" t="inlineStr">
        <is>
          <t>2</t>
        </is>
      </c>
      <c r="I1149" s="19" t="n"/>
      <c r="J1149" s="19" t="n"/>
      <c r="K1149" s="19" t="inlineStr">
        <is>
          <t>2</t>
        </is>
      </c>
      <c r="L1149" t="inlineStr">
        <is>
          <t>2026-08-08</t>
        </is>
      </c>
      <c r="N1149" t="inlineStr">
        <is>
          <t>IN_SCOPE_FINAL; SOURCE_CFG=IA-ST-CFG-0179; MARKET=MISIR AL AMAN; STATUS=IN OEM / EU PACKAGE</t>
        </is>
      </c>
      <c r="O1149" t="inlineStr">
        <is>
          <t>2026-08-10T19:29:54Z</t>
        </is>
      </c>
      <c r="P1149" t="inlineStr">
        <is>
          <t>2026-08-10T19:29:54Z</t>
        </is>
      </c>
    </row>
    <row r="1150">
      <c r="A1150" s="19" t="inlineStr">
        <is>
          <t>1149</t>
        </is>
      </c>
      <c r="B1150" s="19" t="inlineStr">
        <is>
          <t>SC-1014894-ST-063-STD-08</t>
        </is>
      </c>
      <c r="C1150" t="inlineStr">
        <is>
          <t>1014894 → ST-063-STD-08</t>
        </is>
      </c>
      <c r="D1150" s="19" t="inlineStr">
        <is>
          <t>2</t>
        </is>
      </c>
      <c r="E1150" s="19" t="inlineStr">
        <is>
          <t>1663</t>
        </is>
      </c>
      <c r="F1150" s="19" t="inlineStr">
        <is>
          <t>153</t>
        </is>
      </c>
      <c r="G1150" s="19" t="n"/>
      <c r="H1150" s="19" t="inlineStr">
        <is>
          <t>2</t>
        </is>
      </c>
      <c r="I1150" s="19" t="n"/>
      <c r="J1150" s="19" t="n"/>
      <c r="K1150" s="19" t="inlineStr">
        <is>
          <t>2</t>
        </is>
      </c>
      <c r="L1150" t="inlineStr">
        <is>
          <t>2026-08-08</t>
        </is>
      </c>
      <c r="N1150" t="inlineStr">
        <is>
          <t>IN_SCOPE_FINAL; SOURCE_CFG=IA-ST-CFG-0179; MARKET=REY &amp; LENFERNA LUCAS; STATUS=IN OEM / EU PACKAGE</t>
        </is>
      </c>
      <c r="O1150" t="inlineStr">
        <is>
          <t>2026-08-10T19:29:54Z</t>
        </is>
      </c>
      <c r="P1150" t="inlineStr">
        <is>
          <t>2026-08-10T19:29:54Z</t>
        </is>
      </c>
    </row>
    <row r="1151">
      <c r="A1151" s="19" t="inlineStr">
        <is>
          <t>1150</t>
        </is>
      </c>
      <c r="B1151" s="19" t="inlineStr">
        <is>
          <t>SC-1010038-ST-063-STD-08</t>
        </is>
      </c>
      <c r="C1151" t="inlineStr">
        <is>
          <t>1010038 → ST-063-STD-08</t>
        </is>
      </c>
      <c r="D1151" s="19" t="inlineStr">
        <is>
          <t>2</t>
        </is>
      </c>
      <c r="E1151" s="19" t="inlineStr">
        <is>
          <t>149</t>
        </is>
      </c>
      <c r="F1151" s="19" t="inlineStr">
        <is>
          <t>153</t>
        </is>
      </c>
      <c r="G1151" s="19" t="n"/>
      <c r="H1151" s="19" t="inlineStr">
        <is>
          <t>2</t>
        </is>
      </c>
      <c r="I1151" s="19" t="n"/>
      <c r="J1151" s="19" t="n"/>
      <c r="K1151" s="19" t="inlineStr">
        <is>
          <t>2</t>
        </is>
      </c>
      <c r="L1151" t="inlineStr">
        <is>
          <t>2026-08-08</t>
        </is>
      </c>
      <c r="N1151" t="inlineStr">
        <is>
          <t>IN_SCOPE_FINAL; SOURCE_CFG=IA-ST-CFG-0179; MARKET=FORD (Yurt İçi); STATUS=IN OEM / EU PACKAGE</t>
        </is>
      </c>
      <c r="O1151" t="inlineStr">
        <is>
          <t>2026-08-10T19:29:54Z</t>
        </is>
      </c>
      <c r="P1151" t="inlineStr">
        <is>
          <t>2026-08-10T19:29:54Z</t>
        </is>
      </c>
    </row>
    <row r="1152">
      <c r="A1152" s="19" t="inlineStr">
        <is>
          <t>1151</t>
        </is>
      </c>
      <c r="B1152" s="19" t="inlineStr">
        <is>
          <t>SC-1014372-ST-063-STD-08</t>
        </is>
      </c>
      <c r="C1152" t="inlineStr">
        <is>
          <t>1014372 → ST-063-STD-08</t>
        </is>
      </c>
      <c r="D1152" s="19" t="inlineStr">
        <is>
          <t>2</t>
        </is>
      </c>
      <c r="E1152" s="19" t="inlineStr">
        <is>
          <t>1328</t>
        </is>
      </c>
      <c r="F1152" s="19" t="inlineStr">
        <is>
          <t>153</t>
        </is>
      </c>
      <c r="G1152" s="19" t="n"/>
      <c r="H1152" s="19" t="inlineStr">
        <is>
          <t>2</t>
        </is>
      </c>
      <c r="I1152" s="19" t="n"/>
      <c r="J1152" s="19" t="n"/>
      <c r="K1152" s="19" t="inlineStr">
        <is>
          <t>2</t>
        </is>
      </c>
      <c r="L1152" t="inlineStr">
        <is>
          <t>2026-08-08</t>
        </is>
      </c>
      <c r="N1152" t="inlineStr">
        <is>
          <t>IN_SCOPE_FINAL; SOURCE_CFG=IA-ST-CFG-0179; MARKET=YURT İÇİ AFM; STATUS=IN OEM / EU PACKAGE</t>
        </is>
      </c>
      <c r="O1152" t="inlineStr">
        <is>
          <t>2026-08-10T19:29:54Z</t>
        </is>
      </c>
      <c r="P1152" t="inlineStr">
        <is>
          <t>2026-08-10T19:29:54Z</t>
        </is>
      </c>
    </row>
    <row r="1153">
      <c r="A1153" s="19" t="inlineStr">
        <is>
          <t>1152</t>
        </is>
      </c>
      <c r="B1153" s="19" t="inlineStr">
        <is>
          <t>SC-1014936-ST-063-STD-08</t>
        </is>
      </c>
      <c r="C1153" t="inlineStr">
        <is>
          <t>1014936 → ST-063-STD-08</t>
        </is>
      </c>
      <c r="D1153" s="19" t="inlineStr">
        <is>
          <t>2</t>
        </is>
      </c>
      <c r="E1153" s="19" t="inlineStr">
        <is>
          <t>1704</t>
        </is>
      </c>
      <c r="F1153" s="19" t="inlineStr">
        <is>
          <t>153</t>
        </is>
      </c>
      <c r="G1153" s="19" t="n"/>
      <c r="H1153" s="19" t="inlineStr">
        <is>
          <t>2</t>
        </is>
      </c>
      <c r="I1153" s="19" t="n"/>
      <c r="J1153" s="19" t="n"/>
      <c r="K1153" s="19" t="inlineStr">
        <is>
          <t>2</t>
        </is>
      </c>
      <c r="L1153" t="inlineStr">
        <is>
          <t>2026-08-08</t>
        </is>
      </c>
      <c r="N1153" t="inlineStr">
        <is>
          <t>IN_SCOPE_FINAL; SOURCE_CFG=IA-ST-CFG-0179; MARKET=MISIR NACITA; STATUS=IN OEM / EU PACKAGE</t>
        </is>
      </c>
      <c r="O1153" t="inlineStr">
        <is>
          <t>2026-08-10T19:29:54Z</t>
        </is>
      </c>
      <c r="P1153" t="inlineStr">
        <is>
          <t>2026-08-10T19:29:54Z</t>
        </is>
      </c>
    </row>
    <row r="1154">
      <c r="A1154" s="19" t="inlineStr">
        <is>
          <t>1153</t>
        </is>
      </c>
      <c r="B1154" s="19" t="inlineStr">
        <is>
          <t>SC-1013560-ST-063-STD-08</t>
        </is>
      </c>
      <c r="C1154" t="inlineStr">
        <is>
          <t>1013560 → ST-063-STD-08</t>
        </is>
      </c>
      <c r="D1154" s="19" t="inlineStr">
        <is>
          <t>2</t>
        </is>
      </c>
      <c r="E1154" s="19" t="inlineStr">
        <is>
          <t>1032</t>
        </is>
      </c>
      <c r="F1154" s="19" t="inlineStr">
        <is>
          <t>153</t>
        </is>
      </c>
      <c r="G1154" s="19" t="n"/>
      <c r="H1154" s="19" t="inlineStr">
        <is>
          <t>2</t>
        </is>
      </c>
      <c r="I1154" s="19" t="n"/>
      <c r="J1154" s="19" t="n"/>
      <c r="K1154" s="19" t="inlineStr">
        <is>
          <t>2</t>
        </is>
      </c>
      <c r="L1154" t="inlineStr">
        <is>
          <t>2026-08-08</t>
        </is>
      </c>
      <c r="N1154" t="inlineStr">
        <is>
          <t>IN_SCOPE_FINAL; SOURCE_CFG=IA-ST-CFG-0179; MARKET=YUASA 3000 EXPORT; STATUS=IN OEM / EU PACKAGE</t>
        </is>
      </c>
      <c r="O1154" t="inlineStr">
        <is>
          <t>2026-08-10T19:29:54Z</t>
        </is>
      </c>
      <c r="P1154" t="inlineStr">
        <is>
          <t>2026-08-10T19:29:54Z</t>
        </is>
      </c>
    </row>
    <row r="1155">
      <c r="A1155" s="19" t="inlineStr">
        <is>
          <t>1154</t>
        </is>
      </c>
      <c r="B1155" s="19" t="inlineStr">
        <is>
          <t>SC-1014329-ST-063-STD-08</t>
        </is>
      </c>
      <c r="C1155" t="inlineStr">
        <is>
          <t>1014329 → ST-063-STD-08</t>
        </is>
      </c>
      <c r="D1155" s="19" t="inlineStr">
        <is>
          <t>2</t>
        </is>
      </c>
      <c r="E1155" s="19" t="inlineStr">
        <is>
          <t>1307</t>
        </is>
      </c>
      <c r="F1155" s="19" t="inlineStr">
        <is>
          <t>153</t>
        </is>
      </c>
      <c r="G1155" s="19" t="n"/>
      <c r="H1155" s="19" t="inlineStr">
        <is>
          <t>2</t>
        </is>
      </c>
      <c r="I1155" s="19" t="n"/>
      <c r="J1155" s="19" t="n"/>
      <c r="K1155" s="19" t="inlineStr">
        <is>
          <t>2</t>
        </is>
      </c>
      <c r="L1155" t="inlineStr">
        <is>
          <t>2026-08-08</t>
        </is>
      </c>
      <c r="N1155" t="inlineStr">
        <is>
          <t>IN_SCOPE_FINAL; SOURCE_CFG=IA-ST-CFG-0179; MARKET=RAYA ENERGY INC. KANADA; STATUS=IN OEM / EU PACKAGE</t>
        </is>
      </c>
      <c r="O1155" t="inlineStr">
        <is>
          <t>2026-08-10T19:29:54Z</t>
        </is>
      </c>
      <c r="P1155" t="inlineStr">
        <is>
          <t>2026-08-10T19:29:54Z</t>
        </is>
      </c>
    </row>
    <row r="1156">
      <c r="A1156" s="19" t="inlineStr">
        <is>
          <t>1155</t>
        </is>
      </c>
      <c r="B1156" s="19" t="inlineStr">
        <is>
          <t>SC-1015011-ST-063-STD-08</t>
        </is>
      </c>
      <c r="C1156" t="inlineStr">
        <is>
          <t>1015011 → ST-063-STD-08</t>
        </is>
      </c>
      <c r="D1156" s="19" t="inlineStr">
        <is>
          <t>2</t>
        </is>
      </c>
      <c r="E1156" s="19" t="inlineStr">
        <is>
          <t>1771</t>
        </is>
      </c>
      <c r="F1156" s="19" t="inlineStr">
        <is>
          <t>153</t>
        </is>
      </c>
      <c r="G1156" s="19" t="n"/>
      <c r="H1156" s="19" t="inlineStr">
        <is>
          <t>2</t>
        </is>
      </c>
      <c r="I1156" s="19" t="n"/>
      <c r="J1156" s="19" t="n"/>
      <c r="K1156" s="19" t="inlineStr">
        <is>
          <t>2</t>
        </is>
      </c>
      <c r="L1156" t="inlineStr">
        <is>
          <t>2026-08-08</t>
        </is>
      </c>
      <c r="N1156" t="inlineStr">
        <is>
          <t>IN_SCOPE_FINAL; SOURCE_CFG=IA-ST-CFG-0179; MARKET=RAYA ENERGY INC. KANADA; STATUS=IN OEM / EU PACKAGE</t>
        </is>
      </c>
      <c r="O1156" t="inlineStr">
        <is>
          <t>2026-08-10T19:29:54Z</t>
        </is>
      </c>
      <c r="P1156" t="inlineStr">
        <is>
          <t>2026-08-10T19:29:54Z</t>
        </is>
      </c>
    </row>
    <row r="1157">
      <c r="A1157" s="19" t="inlineStr">
        <is>
          <t>1156</t>
        </is>
      </c>
      <c r="B1157" s="19" t="inlineStr">
        <is>
          <t>SC-1014605-ST-063-STD-08</t>
        </is>
      </c>
      <c r="C1157" t="inlineStr">
        <is>
          <t>1014605 → ST-063-STD-08</t>
        </is>
      </c>
      <c r="D1157" s="19" t="inlineStr">
        <is>
          <t>2</t>
        </is>
      </c>
      <c r="E1157" s="19" t="inlineStr">
        <is>
          <t>1487</t>
        </is>
      </c>
      <c r="F1157" s="19" t="inlineStr">
        <is>
          <t>153</t>
        </is>
      </c>
      <c r="G1157" s="19" t="n"/>
      <c r="H1157" s="19" t="inlineStr">
        <is>
          <t>2</t>
        </is>
      </c>
      <c r="I1157" s="19" t="n"/>
      <c r="J1157" s="19" t="n"/>
      <c r="K1157" s="19" t="inlineStr">
        <is>
          <t>2</t>
        </is>
      </c>
      <c r="L1157" t="inlineStr">
        <is>
          <t>2026-08-08</t>
        </is>
      </c>
      <c r="N1157" t="inlineStr">
        <is>
          <t>IN_SCOPE_FINAL; SOURCE_CFG=IA-ST-CFG-0179; MARKET=RAYA ENERGY INC. KANADA; STATUS=IN OEM / EU PACKAGE</t>
        </is>
      </c>
      <c r="O1157" t="inlineStr">
        <is>
          <t>2026-08-10T19:29:54Z</t>
        </is>
      </c>
      <c r="P1157" t="inlineStr">
        <is>
          <t>2026-08-10T19:29:54Z</t>
        </is>
      </c>
    </row>
    <row r="1158">
      <c r="A1158" s="19" t="inlineStr">
        <is>
          <t>1157</t>
        </is>
      </c>
      <c r="B1158" s="19" t="inlineStr">
        <is>
          <t>SC-1012025-ST-063-STD-08</t>
        </is>
      </c>
      <c r="C1158" t="inlineStr">
        <is>
          <t>1012025 → ST-063-STD-08</t>
        </is>
      </c>
      <c r="D1158" s="19" t="inlineStr">
        <is>
          <t>2</t>
        </is>
      </c>
      <c r="E1158" s="19" t="inlineStr">
        <is>
          <t>480</t>
        </is>
      </c>
      <c r="F1158" s="19" t="inlineStr">
        <is>
          <t>153</t>
        </is>
      </c>
      <c r="G1158" s="19" t="n"/>
      <c r="H1158" s="19" t="inlineStr">
        <is>
          <t>2</t>
        </is>
      </c>
      <c r="I1158" s="19" t="n"/>
      <c r="J1158" s="19" t="n"/>
      <c r="K1158" s="19" t="inlineStr">
        <is>
          <t>2</t>
        </is>
      </c>
      <c r="L1158" t="inlineStr">
        <is>
          <t>2026-08-08</t>
        </is>
      </c>
      <c r="N1158" t="inlineStr">
        <is>
          <t>IN_SCOPE_FINAL; SOURCE_CFG=IA-ST-CFG-0179; MARKET=MISIR EEC; STATUS=IN OEM / EU PACKAGE</t>
        </is>
      </c>
      <c r="O1158" t="inlineStr">
        <is>
          <t>2026-08-10T19:29:54Z</t>
        </is>
      </c>
      <c r="P1158" t="inlineStr">
        <is>
          <t>2026-08-10T19:29:54Z</t>
        </is>
      </c>
    </row>
    <row r="1159">
      <c r="A1159" s="19" t="inlineStr">
        <is>
          <t>1158</t>
        </is>
      </c>
      <c r="B1159" s="19" t="inlineStr">
        <is>
          <t>SC-1012040-ST-063-STD-08</t>
        </is>
      </c>
      <c r="C1159" t="inlineStr">
        <is>
          <t>1012040 → ST-063-STD-08</t>
        </is>
      </c>
      <c r="D1159" s="19" t="inlineStr">
        <is>
          <t>2</t>
        </is>
      </c>
      <c r="E1159" s="19" t="inlineStr">
        <is>
          <t>490</t>
        </is>
      </c>
      <c r="F1159" s="19" t="inlineStr">
        <is>
          <t>153</t>
        </is>
      </c>
      <c r="G1159" s="19" t="n"/>
      <c r="H1159" s="19" t="inlineStr">
        <is>
          <t>2</t>
        </is>
      </c>
      <c r="I1159" s="19" t="n"/>
      <c r="J1159" s="19" t="n"/>
      <c r="K1159" s="19" t="inlineStr">
        <is>
          <t>2</t>
        </is>
      </c>
      <c r="L1159" t="inlineStr">
        <is>
          <t>2026-08-08</t>
        </is>
      </c>
      <c r="N1159" t="inlineStr">
        <is>
          <t>IN_SCOPE_FINAL; SOURCE_CFG=IA-ST-CFG-0179; MARKET=MIRKAZ İSRAİL; STATUS=IN OEM / EU PACKAGE</t>
        </is>
      </c>
      <c r="O1159" t="inlineStr">
        <is>
          <t>2026-08-10T19:29:54Z</t>
        </is>
      </c>
      <c r="P1159" t="inlineStr">
        <is>
          <t>2026-08-10T19:29:54Z</t>
        </is>
      </c>
    </row>
    <row r="1160">
      <c r="A1160" s="19" t="inlineStr">
        <is>
          <t>1159</t>
        </is>
      </c>
      <c r="B1160" s="19" t="inlineStr">
        <is>
          <t>SC-1012063-ST-063-STD-08</t>
        </is>
      </c>
      <c r="C1160" t="inlineStr">
        <is>
          <t>1012063 → ST-063-STD-08</t>
        </is>
      </c>
      <c r="D1160" s="19" t="inlineStr">
        <is>
          <t>2</t>
        </is>
      </c>
      <c r="E1160" s="19" t="inlineStr">
        <is>
          <t>507</t>
        </is>
      </c>
      <c r="F1160" s="19" t="inlineStr">
        <is>
          <t>153</t>
        </is>
      </c>
      <c r="G1160" s="19" t="n"/>
      <c r="H1160" s="19" t="inlineStr">
        <is>
          <t>2</t>
        </is>
      </c>
      <c r="I1160" s="19" t="n"/>
      <c r="J1160" s="19" t="n"/>
      <c r="K1160" s="19" t="inlineStr">
        <is>
          <t>2</t>
        </is>
      </c>
      <c r="L1160" t="inlineStr">
        <is>
          <t>2026-08-08</t>
        </is>
      </c>
      <c r="N1160" t="inlineStr">
        <is>
          <t>IN_SCOPE_FINAL; SOURCE_CFG=IA-ST-CFG-0179; MARKET=None; STATUS=IN OEM / EU PACKAGE</t>
        </is>
      </c>
      <c r="O1160" t="inlineStr">
        <is>
          <t>2026-08-10T19:29:54Z</t>
        </is>
      </c>
      <c r="P1160" t="inlineStr">
        <is>
          <t>2026-08-10T19:29:54Z</t>
        </is>
      </c>
    </row>
    <row r="1161">
      <c r="A1161" s="19" t="inlineStr">
        <is>
          <t>1160</t>
        </is>
      </c>
      <c r="B1161" s="19" t="inlineStr">
        <is>
          <t>SC-1012067-ST-063-STD-08</t>
        </is>
      </c>
      <c r="C1161" t="inlineStr">
        <is>
          <t>1012067 → ST-063-STD-08</t>
        </is>
      </c>
      <c r="D1161" s="19" t="inlineStr">
        <is>
          <t>2</t>
        </is>
      </c>
      <c r="E1161" s="19" t="inlineStr">
        <is>
          <t>508</t>
        </is>
      </c>
      <c r="F1161" s="19" t="inlineStr">
        <is>
          <t>153</t>
        </is>
      </c>
      <c r="G1161" s="19" t="n"/>
      <c r="H1161" s="19" t="inlineStr">
        <is>
          <t>2</t>
        </is>
      </c>
      <c r="I1161" s="19" t="n"/>
      <c r="J1161" s="19" t="n"/>
      <c r="K1161" s="19" t="inlineStr">
        <is>
          <t>2</t>
        </is>
      </c>
      <c r="L1161" t="inlineStr">
        <is>
          <t>2026-08-08</t>
        </is>
      </c>
      <c r="N1161" t="inlineStr">
        <is>
          <t>IN_SCOPE_FINAL; SOURCE_CFG=IA-ST-CFG-0179; MARKET=None; STATUS=IN OEM / EU PACKAGE</t>
        </is>
      </c>
      <c r="O1161" t="inlineStr">
        <is>
          <t>2026-08-10T19:29:54Z</t>
        </is>
      </c>
      <c r="P1161" t="inlineStr">
        <is>
          <t>2026-08-10T19:29:54Z</t>
        </is>
      </c>
    </row>
    <row r="1162">
      <c r="A1162" s="19" t="inlineStr">
        <is>
          <t>1161</t>
        </is>
      </c>
      <c r="B1162" s="19" t="inlineStr">
        <is>
          <t>SC-1012413-ST-063-STD-08</t>
        </is>
      </c>
      <c r="C1162" t="inlineStr">
        <is>
          <t>1012413 → ST-063-STD-08</t>
        </is>
      </c>
      <c r="D1162" s="19" t="inlineStr">
        <is>
          <t>2</t>
        </is>
      </c>
      <c r="E1162" s="19" t="inlineStr">
        <is>
          <t>631</t>
        </is>
      </c>
      <c r="F1162" s="19" t="inlineStr">
        <is>
          <t>153</t>
        </is>
      </c>
      <c r="G1162" s="19" t="n"/>
      <c r="H1162" s="19" t="inlineStr">
        <is>
          <t>2</t>
        </is>
      </c>
      <c r="I1162" s="19" t="n"/>
      <c r="J1162" s="19" t="n"/>
      <c r="K1162" s="19" t="inlineStr">
        <is>
          <t>2</t>
        </is>
      </c>
      <c r="L1162" t="inlineStr">
        <is>
          <t>2026-08-08</t>
        </is>
      </c>
      <c r="N1162" t="inlineStr">
        <is>
          <t>IN_SCOPE_FINAL; SOURCE_CFG=IA-ST-CFG-0179; MARKET=None; STATUS=IN OEM / EU PACKAGE</t>
        </is>
      </c>
      <c r="O1162" t="inlineStr">
        <is>
          <t>2026-08-10T19:29:54Z</t>
        </is>
      </c>
      <c r="P1162" t="inlineStr">
        <is>
          <t>2026-08-10T19:29:54Z</t>
        </is>
      </c>
    </row>
    <row r="1163">
      <c r="A1163" s="19" t="inlineStr">
        <is>
          <t>1162</t>
        </is>
      </c>
      <c r="B1163" s="19" t="inlineStr">
        <is>
          <t>SC-1012416-ST-063-STD-08</t>
        </is>
      </c>
      <c r="C1163" t="inlineStr">
        <is>
          <t>1012416 → ST-063-STD-08</t>
        </is>
      </c>
      <c r="D1163" s="19" t="inlineStr">
        <is>
          <t>2</t>
        </is>
      </c>
      <c r="E1163" s="19" t="inlineStr">
        <is>
          <t>633</t>
        </is>
      </c>
      <c r="F1163" s="19" t="inlineStr">
        <is>
          <t>153</t>
        </is>
      </c>
      <c r="G1163" s="19" t="n"/>
      <c r="H1163" s="19" t="inlineStr">
        <is>
          <t>2</t>
        </is>
      </c>
      <c r="I1163" s="19" t="n"/>
      <c r="J1163" s="19" t="n"/>
      <c r="K1163" s="19" t="inlineStr">
        <is>
          <t>2</t>
        </is>
      </c>
      <c r="L1163" t="inlineStr">
        <is>
          <t>2026-08-08</t>
        </is>
      </c>
      <c r="N1163" t="inlineStr">
        <is>
          <t>IN_SCOPE_FINAL; SOURCE_CFG=IA-ST-CFG-0179; MARKET=None; STATUS=IN OEM / EU PACKAGE</t>
        </is>
      </c>
      <c r="O1163" t="inlineStr">
        <is>
          <t>2026-08-10T19:29:54Z</t>
        </is>
      </c>
      <c r="P1163" t="inlineStr">
        <is>
          <t>2026-08-10T19:29:54Z</t>
        </is>
      </c>
    </row>
    <row r="1164">
      <c r="A1164" s="19" t="inlineStr">
        <is>
          <t>1163</t>
        </is>
      </c>
      <c r="B1164" s="19" t="inlineStr">
        <is>
          <t>SC-1012418-ST-063-STD-08</t>
        </is>
      </c>
      <c r="C1164" t="inlineStr">
        <is>
          <t>1012418 → ST-063-STD-08</t>
        </is>
      </c>
      <c r="D1164" s="19" t="inlineStr">
        <is>
          <t>2</t>
        </is>
      </c>
      <c r="E1164" s="19" t="inlineStr">
        <is>
          <t>635</t>
        </is>
      </c>
      <c r="F1164" s="19" t="inlineStr">
        <is>
          <t>153</t>
        </is>
      </c>
      <c r="G1164" s="19" t="n"/>
      <c r="H1164" s="19" t="inlineStr">
        <is>
          <t>2</t>
        </is>
      </c>
      <c r="I1164" s="19" t="n"/>
      <c r="J1164" s="19" t="n"/>
      <c r="K1164" s="19" t="inlineStr">
        <is>
          <t>2</t>
        </is>
      </c>
      <c r="L1164" t="inlineStr">
        <is>
          <t>2026-08-08</t>
        </is>
      </c>
      <c r="N1164" t="inlineStr">
        <is>
          <t>IN_SCOPE_FINAL; SOURCE_CFG=IA-ST-CFG-0179; MARKET=None; STATUS=IN OEM / EU PACKAGE</t>
        </is>
      </c>
      <c r="O1164" t="inlineStr">
        <is>
          <t>2026-08-10T19:29:54Z</t>
        </is>
      </c>
      <c r="P1164" t="inlineStr">
        <is>
          <t>2026-08-10T19:29:54Z</t>
        </is>
      </c>
    </row>
    <row r="1165">
      <c r="A1165" s="19" t="inlineStr">
        <is>
          <t>1164</t>
        </is>
      </c>
      <c r="B1165" s="19" t="inlineStr">
        <is>
          <t>SC-1012695-ST-063-STD-08</t>
        </is>
      </c>
      <c r="C1165" t="inlineStr">
        <is>
          <t>1012695 → ST-063-STD-08</t>
        </is>
      </c>
      <c r="D1165" s="19" t="inlineStr">
        <is>
          <t>2</t>
        </is>
      </c>
      <c r="E1165" s="19" t="inlineStr">
        <is>
          <t>757</t>
        </is>
      </c>
      <c r="F1165" s="19" t="inlineStr">
        <is>
          <t>153</t>
        </is>
      </c>
      <c r="G1165" s="19" t="n"/>
      <c r="H1165" s="19" t="inlineStr">
        <is>
          <t>2</t>
        </is>
      </c>
      <c r="I1165" s="19" t="n"/>
      <c r="J1165" s="19" t="n"/>
      <c r="K1165" s="19" t="inlineStr">
        <is>
          <t>2</t>
        </is>
      </c>
      <c r="L1165" t="inlineStr">
        <is>
          <t>2026-08-08</t>
        </is>
      </c>
      <c r="N1165" t="inlineStr">
        <is>
          <t>IN_SCOPE_FINAL; SOURCE_CFG=IA-ST-CFG-0179; MARKET=None; STATUS=IN OEM / EU PACKAGE</t>
        </is>
      </c>
      <c r="O1165" t="inlineStr">
        <is>
          <t>2026-08-10T19:29:54Z</t>
        </is>
      </c>
      <c r="P1165" t="inlineStr">
        <is>
          <t>2026-08-10T19:29:54Z</t>
        </is>
      </c>
    </row>
    <row r="1166">
      <c r="A1166" s="19" t="inlineStr">
        <is>
          <t>1165</t>
        </is>
      </c>
      <c r="B1166" s="19" t="inlineStr">
        <is>
          <t>SC-1012811-ST-063-STD-08</t>
        </is>
      </c>
      <c r="C1166" t="inlineStr">
        <is>
          <t>1012811 → ST-063-STD-08</t>
        </is>
      </c>
      <c r="D1166" s="19" t="inlineStr">
        <is>
          <t>2</t>
        </is>
      </c>
      <c r="E1166" s="19" t="inlineStr">
        <is>
          <t>794</t>
        </is>
      </c>
      <c r="F1166" s="19" t="inlineStr">
        <is>
          <t>153</t>
        </is>
      </c>
      <c r="G1166" s="19" t="n"/>
      <c r="H1166" s="19" t="inlineStr">
        <is>
          <t>2</t>
        </is>
      </c>
      <c r="I1166" s="19" t="n"/>
      <c r="J1166" s="19" t="n"/>
      <c r="K1166" s="19" t="inlineStr">
        <is>
          <t>2</t>
        </is>
      </c>
      <c r="L1166" t="inlineStr">
        <is>
          <t>2026-08-08</t>
        </is>
      </c>
      <c r="N1166" t="inlineStr">
        <is>
          <t>IN_SCOPE_FINAL; SOURCE_CFG=IA-ST-CFG-0179; MARKET=None; STATUS=IN OEM / EU PACKAGE</t>
        </is>
      </c>
      <c r="O1166" t="inlineStr">
        <is>
          <t>2026-08-10T19:29:54Z</t>
        </is>
      </c>
      <c r="P1166" t="inlineStr">
        <is>
          <t>2026-08-10T19:29:54Z</t>
        </is>
      </c>
    </row>
    <row r="1167">
      <c r="A1167" s="19" t="inlineStr">
        <is>
          <t>1166</t>
        </is>
      </c>
      <c r="B1167" s="19" t="inlineStr">
        <is>
          <t>SC-1012913-ST-063-STD-08</t>
        </is>
      </c>
      <c r="C1167" t="inlineStr">
        <is>
          <t>1012913 → ST-063-STD-08</t>
        </is>
      </c>
      <c r="D1167" s="19" t="inlineStr">
        <is>
          <t>2</t>
        </is>
      </c>
      <c r="E1167" s="19" t="inlineStr">
        <is>
          <t>863</t>
        </is>
      </c>
      <c r="F1167" s="19" t="inlineStr">
        <is>
          <t>153</t>
        </is>
      </c>
      <c r="G1167" s="19" t="n"/>
      <c r="H1167" s="19" t="inlineStr">
        <is>
          <t>2</t>
        </is>
      </c>
      <c r="I1167" s="19" t="n"/>
      <c r="J1167" s="19" t="n"/>
      <c r="K1167" s="19" t="inlineStr">
        <is>
          <t>2</t>
        </is>
      </c>
      <c r="L1167" t="inlineStr">
        <is>
          <t>2026-08-08</t>
        </is>
      </c>
      <c r="N1167" t="inlineStr">
        <is>
          <t>IN_SCOPE_FINAL; SOURCE_CFG=IA-ST-CFG-0179; MARKET=SHAWKAT; STATUS=IN OEM / EU PACKAGE</t>
        </is>
      </c>
      <c r="O1167" t="inlineStr">
        <is>
          <t>2026-08-10T19:29:54Z</t>
        </is>
      </c>
      <c r="P1167" t="inlineStr">
        <is>
          <t>2026-08-10T19:29:54Z</t>
        </is>
      </c>
    </row>
    <row r="1168">
      <c r="A1168" s="19" t="inlineStr">
        <is>
          <t>1167</t>
        </is>
      </c>
      <c r="B1168" s="19" t="inlineStr">
        <is>
          <t>SC-1013040-ST-063-STD-08</t>
        </is>
      </c>
      <c r="C1168" t="inlineStr">
        <is>
          <t>1013040 → ST-063-STD-08</t>
        </is>
      </c>
      <c r="D1168" s="19" t="inlineStr">
        <is>
          <t>2</t>
        </is>
      </c>
      <c r="E1168" s="19" t="inlineStr">
        <is>
          <t>902</t>
        </is>
      </c>
      <c r="F1168" s="19" t="inlineStr">
        <is>
          <t>153</t>
        </is>
      </c>
      <c r="G1168" s="19" t="n"/>
      <c r="H1168" s="19" t="inlineStr">
        <is>
          <t>2</t>
        </is>
      </c>
      <c r="I1168" s="19" t="n"/>
      <c r="J1168" s="19" t="n"/>
      <c r="K1168" s="19" t="inlineStr">
        <is>
          <t>2</t>
        </is>
      </c>
      <c r="L1168" t="inlineStr">
        <is>
          <t>2026-08-08</t>
        </is>
      </c>
      <c r="N1168" t="inlineStr">
        <is>
          <t>IN_SCOPE_FINAL; SOURCE_CFG=IA-ST-CFG-0179; MARKET=None; STATUS=IN OEM / EU PACKAGE</t>
        </is>
      </c>
      <c r="O1168" t="inlineStr">
        <is>
          <t>2026-08-10T19:29:54Z</t>
        </is>
      </c>
      <c r="P1168" t="inlineStr">
        <is>
          <t>2026-08-10T19:29:54Z</t>
        </is>
      </c>
    </row>
    <row r="1169">
      <c r="A1169" s="19" t="inlineStr">
        <is>
          <t>1168</t>
        </is>
      </c>
      <c r="B1169" s="19" t="inlineStr">
        <is>
          <t>SC-1013922-ST-063-STD-08</t>
        </is>
      </c>
      <c r="C1169" t="inlineStr">
        <is>
          <t>1013922 → ST-063-STD-08</t>
        </is>
      </c>
      <c r="D1169" s="19" t="inlineStr">
        <is>
          <t>2</t>
        </is>
      </c>
      <c r="E1169" s="19" t="inlineStr">
        <is>
          <t>1134</t>
        </is>
      </c>
      <c r="F1169" s="19" t="inlineStr">
        <is>
          <t>153</t>
        </is>
      </c>
      <c r="G1169" s="19" t="n"/>
      <c r="H1169" s="19" t="inlineStr">
        <is>
          <t>2</t>
        </is>
      </c>
      <c r="I1169" s="19" t="n"/>
      <c r="J1169" s="19" t="n"/>
      <c r="K1169" s="19" t="inlineStr">
        <is>
          <t>2</t>
        </is>
      </c>
      <c r="L1169" t="inlineStr">
        <is>
          <t>2026-08-08</t>
        </is>
      </c>
      <c r="N1169" t="inlineStr">
        <is>
          <t>IN_SCOPE_FINAL; SOURCE_CFG=IA-ST-CFG-0179; MARKET=SHAWKAT; STATUS=IN OEM / EU PACKAGE</t>
        </is>
      </c>
      <c r="O1169" t="inlineStr">
        <is>
          <t>2026-08-10T19:29:54Z</t>
        </is>
      </c>
      <c r="P1169" t="inlineStr">
        <is>
          <t>2026-08-10T19:29:54Z</t>
        </is>
      </c>
    </row>
    <row r="1170">
      <c r="A1170" s="19" t="inlineStr">
        <is>
          <t>1169</t>
        </is>
      </c>
      <c r="B1170" s="19" t="inlineStr">
        <is>
          <t>SC-1014350-ST-063-STD-08</t>
        </is>
      </c>
      <c r="C1170" t="inlineStr">
        <is>
          <t>1014350 → ST-063-STD-08</t>
        </is>
      </c>
      <c r="D1170" s="19" t="inlineStr">
        <is>
          <t>2</t>
        </is>
      </c>
      <c r="E1170" s="19" t="inlineStr">
        <is>
          <t>1317</t>
        </is>
      </c>
      <c r="F1170" s="19" t="inlineStr">
        <is>
          <t>153</t>
        </is>
      </c>
      <c r="G1170" s="19" t="n"/>
      <c r="H1170" s="19" t="inlineStr">
        <is>
          <t>2</t>
        </is>
      </c>
      <c r="I1170" s="19" t="n"/>
      <c r="J1170" s="19" t="n"/>
      <c r="K1170" s="19" t="inlineStr">
        <is>
          <t>2</t>
        </is>
      </c>
      <c r="L1170" t="inlineStr">
        <is>
          <t>2026-08-08</t>
        </is>
      </c>
      <c r="N1170" t="inlineStr">
        <is>
          <t>IN_SCOPE_FINAL; SOURCE_CFG=IA-ST-CFG-0179; MARKET=MISIR ALSAFA; STATUS=IN OEM / EU PACKAGE</t>
        </is>
      </c>
      <c r="O1170" t="inlineStr">
        <is>
          <t>2026-08-10T19:29:54Z</t>
        </is>
      </c>
      <c r="P1170" t="inlineStr">
        <is>
          <t>2026-08-10T19:29:54Z</t>
        </is>
      </c>
    </row>
    <row r="1171">
      <c r="A1171" s="19" t="inlineStr">
        <is>
          <t>1170</t>
        </is>
      </c>
      <c r="B1171" s="19" t="inlineStr">
        <is>
          <t>SC-1014694-ST-063-STD-08</t>
        </is>
      </c>
      <c r="C1171" t="inlineStr">
        <is>
          <t>1014694 → ST-063-STD-08</t>
        </is>
      </c>
      <c r="D1171" s="19" t="inlineStr">
        <is>
          <t>2</t>
        </is>
      </c>
      <c r="E1171" s="19" t="inlineStr">
        <is>
          <t>1546</t>
        </is>
      </c>
      <c r="F1171" s="19" t="inlineStr">
        <is>
          <t>153</t>
        </is>
      </c>
      <c r="G1171" s="19" t="n"/>
      <c r="H1171" s="19" t="inlineStr">
        <is>
          <t>2</t>
        </is>
      </c>
      <c r="I1171" s="19" t="n"/>
      <c r="J1171" s="19" t="n"/>
      <c r="K1171" s="19" t="inlineStr">
        <is>
          <t>2</t>
        </is>
      </c>
      <c r="L1171" t="inlineStr">
        <is>
          <t>2026-08-08</t>
        </is>
      </c>
      <c r="N1171" t="inlineStr">
        <is>
          <t>IN_SCOPE_FINAL; SOURCE_CFG=IA-ST-CFG-0179; MARKET=TÜRKMENİSTAN; STATUS=IN OEM / EU PACKAGE</t>
        </is>
      </c>
      <c r="O1171" t="inlineStr">
        <is>
          <t>2026-08-10T19:29:54Z</t>
        </is>
      </c>
      <c r="P1171" t="inlineStr">
        <is>
          <t>2026-08-10T19:29:54Z</t>
        </is>
      </c>
    </row>
    <row r="1172">
      <c r="A1172" s="19" t="inlineStr">
        <is>
          <t>1171</t>
        </is>
      </c>
      <c r="B1172" s="19" t="inlineStr">
        <is>
          <t>SC-1012013-ST-063-STD-08</t>
        </is>
      </c>
      <c r="C1172" t="inlineStr">
        <is>
          <t>1012013 → ST-063-STD-08</t>
        </is>
      </c>
      <c r="D1172" s="19" t="inlineStr">
        <is>
          <t>2</t>
        </is>
      </c>
      <c r="E1172" s="19" t="inlineStr">
        <is>
          <t>470</t>
        </is>
      </c>
      <c r="F1172" s="19" t="inlineStr">
        <is>
          <t>153</t>
        </is>
      </c>
      <c r="G1172" s="19" t="n"/>
      <c r="H1172" s="19" t="inlineStr">
        <is>
          <t>2</t>
        </is>
      </c>
      <c r="I1172" s="19" t="n"/>
      <c r="J1172" s="19" t="n"/>
      <c r="K1172" s="19" t="inlineStr">
        <is>
          <t>2</t>
        </is>
      </c>
      <c r="L1172" t="inlineStr">
        <is>
          <t>2026-08-08</t>
        </is>
      </c>
      <c r="N1172" t="inlineStr">
        <is>
          <t>IN_SCOPE_FINAL; SOURCE_CFG=IA-ST-CFG-0179; MARKET=NASA; STATUS=IN OEM / EU PACKAGE</t>
        </is>
      </c>
      <c r="O1172" t="inlineStr">
        <is>
          <t>2026-08-10T19:29:54Z</t>
        </is>
      </c>
      <c r="P1172" t="inlineStr">
        <is>
          <t>2026-08-10T19:29:54Z</t>
        </is>
      </c>
    </row>
    <row r="1173">
      <c r="A1173" s="19" t="inlineStr">
        <is>
          <t>1172</t>
        </is>
      </c>
      <c r="B1173" s="19" t="inlineStr">
        <is>
          <t>SC-1012016-ST-063-STD-08</t>
        </is>
      </c>
      <c r="C1173" t="inlineStr">
        <is>
          <t>1012016 → ST-063-STD-08</t>
        </is>
      </c>
      <c r="D1173" s="19" t="inlineStr">
        <is>
          <t>2</t>
        </is>
      </c>
      <c r="E1173" s="19" t="inlineStr">
        <is>
          <t>473</t>
        </is>
      </c>
      <c r="F1173" s="19" t="inlineStr">
        <is>
          <t>153</t>
        </is>
      </c>
      <c r="G1173" s="19" t="n"/>
      <c r="H1173" s="19" t="inlineStr">
        <is>
          <t>2</t>
        </is>
      </c>
      <c r="I1173" s="19" t="n"/>
      <c r="J1173" s="19" t="n"/>
      <c r="K1173" s="19" t="inlineStr">
        <is>
          <t>2</t>
        </is>
      </c>
      <c r="L1173" t="inlineStr">
        <is>
          <t>2026-08-08</t>
        </is>
      </c>
      <c r="N1173" t="inlineStr">
        <is>
          <t>IN_SCOPE_FINAL; SOURCE_CFG=IA-ST-CFG-0179; MARKET=None; STATUS=IN OEM / EU PACKAGE</t>
        </is>
      </c>
      <c r="O1173" t="inlineStr">
        <is>
          <t>2026-08-10T19:29:54Z</t>
        </is>
      </c>
      <c r="P1173" t="inlineStr">
        <is>
          <t>2026-08-10T19:29:54Z</t>
        </is>
      </c>
    </row>
    <row r="1174">
      <c r="A1174" s="19" t="inlineStr">
        <is>
          <t>1173</t>
        </is>
      </c>
      <c r="B1174" s="19" t="inlineStr">
        <is>
          <t>SC-1012020-ST-063-STD-08</t>
        </is>
      </c>
      <c r="C1174" t="inlineStr">
        <is>
          <t>1012020 → ST-063-STD-08</t>
        </is>
      </c>
      <c r="D1174" s="19" t="inlineStr">
        <is>
          <t>2</t>
        </is>
      </c>
      <c r="E1174" s="19" t="inlineStr">
        <is>
          <t>476</t>
        </is>
      </c>
      <c r="F1174" s="19" t="inlineStr">
        <is>
          <t>153</t>
        </is>
      </c>
      <c r="G1174" s="19" t="n"/>
      <c r="H1174" s="19" t="inlineStr">
        <is>
          <t>2</t>
        </is>
      </c>
      <c r="I1174" s="19" t="n"/>
      <c r="J1174" s="19" t="n"/>
      <c r="K1174" s="19" t="inlineStr">
        <is>
          <t>2</t>
        </is>
      </c>
      <c r="L1174" t="inlineStr">
        <is>
          <t>2026-08-08</t>
        </is>
      </c>
      <c r="N1174" t="inlineStr">
        <is>
          <t>IN_SCOPE_FINAL; SOURCE_CFG=IA-ST-CFG-0179; MARKET=None; STATUS=IN OEM / EU PACKAGE</t>
        </is>
      </c>
      <c r="O1174" t="inlineStr">
        <is>
          <t>2026-08-10T19:29:54Z</t>
        </is>
      </c>
      <c r="P1174" t="inlineStr">
        <is>
          <t>2026-08-10T19:29:54Z</t>
        </is>
      </c>
    </row>
    <row r="1175">
      <c r="A1175" s="19" t="inlineStr">
        <is>
          <t>1174</t>
        </is>
      </c>
      <c r="B1175" s="19" t="inlineStr">
        <is>
          <t>SC-1012037-ST-063-STD-08</t>
        </is>
      </c>
      <c r="C1175" t="inlineStr">
        <is>
          <t>1012037 → ST-063-STD-08</t>
        </is>
      </c>
      <c r="D1175" s="19" t="inlineStr">
        <is>
          <t>2</t>
        </is>
      </c>
      <c r="E1175" s="19" t="inlineStr">
        <is>
          <t>488</t>
        </is>
      </c>
      <c r="F1175" s="19" t="inlineStr">
        <is>
          <t>153</t>
        </is>
      </c>
      <c r="G1175" s="19" t="n"/>
      <c r="H1175" s="19" t="inlineStr">
        <is>
          <t>2</t>
        </is>
      </c>
      <c r="I1175" s="19" t="n"/>
      <c r="J1175" s="19" t="n"/>
      <c r="K1175" s="19" t="inlineStr">
        <is>
          <t>2</t>
        </is>
      </c>
      <c r="L1175" t="inlineStr">
        <is>
          <t>2026-08-08</t>
        </is>
      </c>
      <c r="N1175" t="inlineStr">
        <is>
          <t>IN_SCOPE_FINAL; SOURCE_CFG=IA-ST-CFG-0179; MARKET=None; STATUS=IN OEM / EU PACKAGE</t>
        </is>
      </c>
      <c r="O1175" t="inlineStr">
        <is>
          <t>2026-08-10T19:29:54Z</t>
        </is>
      </c>
      <c r="P1175" t="inlineStr">
        <is>
          <t>2026-08-10T19:29:54Z</t>
        </is>
      </c>
    </row>
    <row r="1176">
      <c r="A1176" s="19" t="inlineStr">
        <is>
          <t>1175</t>
        </is>
      </c>
      <c r="B1176" s="19" t="inlineStr">
        <is>
          <t>SC-1012414-ST-063-STD-08</t>
        </is>
      </c>
      <c r="C1176" t="inlineStr">
        <is>
          <t>1012414 → ST-063-STD-08</t>
        </is>
      </c>
      <c r="D1176" s="19" t="inlineStr">
        <is>
          <t>2</t>
        </is>
      </c>
      <c r="E1176" s="19" t="inlineStr">
        <is>
          <t>632</t>
        </is>
      </c>
      <c r="F1176" s="19" t="inlineStr">
        <is>
          <t>153</t>
        </is>
      </c>
      <c r="G1176" s="19" t="n"/>
      <c r="H1176" s="19" t="inlineStr">
        <is>
          <t>2</t>
        </is>
      </c>
      <c r="I1176" s="19" t="n"/>
      <c r="J1176" s="19" t="n"/>
      <c r="K1176" s="19" t="inlineStr">
        <is>
          <t>2</t>
        </is>
      </c>
      <c r="L1176" t="inlineStr">
        <is>
          <t>2026-08-08</t>
        </is>
      </c>
      <c r="N1176" t="inlineStr">
        <is>
          <t>IN_SCOPE_FINAL; SOURCE_CFG=IA-ST-CFG-0179; MARKET=None; STATUS=IN OEM / EU PACKAGE</t>
        </is>
      </c>
      <c r="O1176" t="inlineStr">
        <is>
          <t>2026-08-10T19:29:54Z</t>
        </is>
      </c>
      <c r="P1176" t="inlineStr">
        <is>
          <t>2026-08-10T19:29:54Z</t>
        </is>
      </c>
    </row>
    <row r="1177">
      <c r="A1177" s="19" t="inlineStr">
        <is>
          <t>1176</t>
        </is>
      </c>
      <c r="B1177" s="19" t="inlineStr">
        <is>
          <t>SC-1012537-ST-063-STD-08</t>
        </is>
      </c>
      <c r="C1177" t="inlineStr">
        <is>
          <t>1012537 → ST-063-STD-08</t>
        </is>
      </c>
      <c r="D1177" s="19" t="inlineStr">
        <is>
          <t>2</t>
        </is>
      </c>
      <c r="E1177" s="19" t="inlineStr">
        <is>
          <t>689</t>
        </is>
      </c>
      <c r="F1177" s="19" t="inlineStr">
        <is>
          <t>153</t>
        </is>
      </c>
      <c r="G1177" s="19" t="n"/>
      <c r="H1177" s="19" t="inlineStr">
        <is>
          <t>2</t>
        </is>
      </c>
      <c r="I1177" s="19" t="n"/>
      <c r="J1177" s="19" t="n"/>
      <c r="K1177" s="19" t="inlineStr">
        <is>
          <t>2</t>
        </is>
      </c>
      <c r="L1177" t="inlineStr">
        <is>
          <t>2026-08-08</t>
        </is>
      </c>
      <c r="N1177" t="inlineStr">
        <is>
          <t>IN_SCOPE_FINAL; SOURCE_CFG=IA-ST-CFG-0179; MARKET=None; STATUS=IN OEM / EU PACKAGE</t>
        </is>
      </c>
      <c r="O1177" t="inlineStr">
        <is>
          <t>2026-08-10T19:29:54Z</t>
        </is>
      </c>
      <c r="P1177" t="inlineStr">
        <is>
          <t>2026-08-10T19:29:54Z</t>
        </is>
      </c>
    </row>
    <row r="1178">
      <c r="A1178" s="19" t="inlineStr">
        <is>
          <t>1177</t>
        </is>
      </c>
      <c r="B1178" s="19" t="inlineStr">
        <is>
          <t>SC-1012929-ST-063-STD-08</t>
        </is>
      </c>
      <c r="C1178" t="inlineStr">
        <is>
          <t>1012929 → ST-063-STD-08</t>
        </is>
      </c>
      <c r="D1178" s="19" t="inlineStr">
        <is>
          <t>2</t>
        </is>
      </c>
      <c r="E1178" s="19" t="inlineStr">
        <is>
          <t>870</t>
        </is>
      </c>
      <c r="F1178" s="19" t="inlineStr">
        <is>
          <t>153</t>
        </is>
      </c>
      <c r="G1178" s="19" t="n"/>
      <c r="H1178" s="19" t="inlineStr">
        <is>
          <t>2</t>
        </is>
      </c>
      <c r="I1178" s="19" t="n"/>
      <c r="J1178" s="19" t="n"/>
      <c r="K1178" s="19" t="inlineStr">
        <is>
          <t>2</t>
        </is>
      </c>
      <c r="L1178" t="inlineStr">
        <is>
          <t>2026-08-08</t>
        </is>
      </c>
      <c r="N1178" t="inlineStr">
        <is>
          <t>IN_SCOPE_FINAL; SOURCE_CFG=IA-ST-CFG-0179; MARKET=SHAWKAT; STATUS=IN OEM / EU PACKAGE</t>
        </is>
      </c>
      <c r="O1178" t="inlineStr">
        <is>
          <t>2026-08-10T19:29:54Z</t>
        </is>
      </c>
      <c r="P1178" t="inlineStr">
        <is>
          <t>2026-08-10T19:29:54Z</t>
        </is>
      </c>
    </row>
    <row r="1179">
      <c r="A1179" s="19" t="inlineStr">
        <is>
          <t>1178</t>
        </is>
      </c>
      <c r="B1179" s="19" t="inlineStr">
        <is>
          <t>SC-1013306-ST-063-STD-08</t>
        </is>
      </c>
      <c r="C1179" t="inlineStr">
        <is>
          <t>1013306 → ST-063-STD-08</t>
        </is>
      </c>
      <c r="D1179" s="19" t="inlineStr">
        <is>
          <t>2</t>
        </is>
      </c>
      <c r="E1179" s="19" t="inlineStr">
        <is>
          <t>972</t>
        </is>
      </c>
      <c r="F1179" s="19" t="inlineStr">
        <is>
          <t>153</t>
        </is>
      </c>
      <c r="G1179" s="19" t="n"/>
      <c r="H1179" s="19" t="inlineStr">
        <is>
          <t>2</t>
        </is>
      </c>
      <c r="I1179" s="19" t="n"/>
      <c r="J1179" s="19" t="n"/>
      <c r="K1179" s="19" t="inlineStr">
        <is>
          <t>2</t>
        </is>
      </c>
      <c r="L1179" t="inlineStr">
        <is>
          <t>2026-08-08</t>
        </is>
      </c>
      <c r="N1179" t="inlineStr">
        <is>
          <t>IN_SCOPE_FINAL; SOURCE_CFG=IA-ST-CFG-0179; MARKET=MISIR NACITA; STATUS=IN OEM / EU PACKAGE</t>
        </is>
      </c>
      <c r="O1179" t="inlineStr">
        <is>
          <t>2026-08-10T19:29:54Z</t>
        </is>
      </c>
      <c r="P1179" t="inlineStr">
        <is>
          <t>2026-08-10T19:29:54Z</t>
        </is>
      </c>
    </row>
    <row r="1180">
      <c r="A1180" s="19" t="inlineStr">
        <is>
          <t>1179</t>
        </is>
      </c>
      <c r="B1180" s="19" t="inlineStr">
        <is>
          <t>SC-1014220-ST-063-STD-08</t>
        </is>
      </c>
      <c r="C1180" t="inlineStr">
        <is>
          <t>1014220 → ST-063-STD-08</t>
        </is>
      </c>
      <c r="D1180" s="19" t="inlineStr">
        <is>
          <t>2</t>
        </is>
      </c>
      <c r="E1180" s="19" t="inlineStr">
        <is>
          <t>1275</t>
        </is>
      </c>
      <c r="F1180" s="19" t="inlineStr">
        <is>
          <t>153</t>
        </is>
      </c>
      <c r="G1180" s="19" t="n"/>
      <c r="H1180" s="19" t="inlineStr">
        <is>
          <t>2</t>
        </is>
      </c>
      <c r="I1180" s="19" t="n"/>
      <c r="J1180" s="19" t="n"/>
      <c r="K1180" s="19" t="inlineStr">
        <is>
          <t>2</t>
        </is>
      </c>
      <c r="L1180" t="inlineStr">
        <is>
          <t>2026-08-08</t>
        </is>
      </c>
      <c r="N1180" t="inlineStr">
        <is>
          <t>IN_SCOPE_FINAL; SOURCE_CFG=IA-ST-CFG-0179; MARKET=TÜRKMENİSTAN; STATUS=IN OEM / EU PACKAGE</t>
        </is>
      </c>
      <c r="O1180" t="inlineStr">
        <is>
          <t>2026-08-10T19:29:54Z</t>
        </is>
      </c>
      <c r="P1180" t="inlineStr">
        <is>
          <t>2026-08-10T19:29:54Z</t>
        </is>
      </c>
    </row>
    <row r="1181">
      <c r="A1181" s="19" t="inlineStr">
        <is>
          <t>1180</t>
        </is>
      </c>
      <c r="B1181" s="19" t="inlineStr">
        <is>
          <t>SC-1014738-ST-063-STD-08</t>
        </is>
      </c>
      <c r="C1181" t="inlineStr">
        <is>
          <t>1014738 → ST-063-STD-08</t>
        </is>
      </c>
      <c r="D1181" s="19" t="inlineStr">
        <is>
          <t>2</t>
        </is>
      </c>
      <c r="E1181" s="19" t="inlineStr">
        <is>
          <t>1572</t>
        </is>
      </c>
      <c r="F1181" s="19" t="inlineStr">
        <is>
          <t>153</t>
        </is>
      </c>
      <c r="G1181" s="19" t="n"/>
      <c r="H1181" s="19" t="inlineStr">
        <is>
          <t>2</t>
        </is>
      </c>
      <c r="I1181" s="19" t="n"/>
      <c r="J1181" s="19" t="n"/>
      <c r="K1181" s="19" t="inlineStr">
        <is>
          <t>2</t>
        </is>
      </c>
      <c r="L1181" t="inlineStr">
        <is>
          <t>2026-08-08</t>
        </is>
      </c>
      <c r="N1181" t="inlineStr">
        <is>
          <t>IN_SCOPE_FINAL; SOURCE_CFG=IA-ST-CFG-0179; MARKET=TÜRKMENİSTAN; STATUS=IN OEM / EU PACKAGE</t>
        </is>
      </c>
      <c r="O1181" t="inlineStr">
        <is>
          <t>2026-08-10T19:29:54Z</t>
        </is>
      </c>
      <c r="P1181" t="inlineStr">
        <is>
          <t>2026-08-10T19:29:54Z</t>
        </is>
      </c>
    </row>
    <row r="1182">
      <c r="A1182" s="19" t="inlineStr">
        <is>
          <t>1181</t>
        </is>
      </c>
      <c r="B1182" s="19" t="inlineStr">
        <is>
          <t>SC-1015020-ST-063-STD-08</t>
        </is>
      </c>
      <c r="C1182" t="inlineStr">
        <is>
          <t>1015020 → ST-063-STD-08</t>
        </is>
      </c>
      <c r="D1182" s="19" t="inlineStr">
        <is>
          <t>2</t>
        </is>
      </c>
      <c r="E1182" s="19" t="inlineStr">
        <is>
          <t>1780</t>
        </is>
      </c>
      <c r="F1182" s="19" t="inlineStr">
        <is>
          <t>153</t>
        </is>
      </c>
      <c r="G1182" s="19" t="n"/>
      <c r="H1182" s="19" t="inlineStr">
        <is>
          <t>2</t>
        </is>
      </c>
      <c r="I1182" s="19" t="n"/>
      <c r="J1182" s="19" t="n"/>
      <c r="K1182" s="19" t="inlineStr">
        <is>
          <t>2</t>
        </is>
      </c>
      <c r="L1182" t="inlineStr">
        <is>
          <t>2026-08-08</t>
        </is>
      </c>
      <c r="N1182" t="inlineStr">
        <is>
          <t>IN_SCOPE_FINAL; SOURCE_CFG=IA-ST-CFG-0179; MARKET=TÜRKMENİSTAN; STATUS=IN OEM / EU PACKAGE</t>
        </is>
      </c>
      <c r="O1182" t="inlineStr">
        <is>
          <t>2026-08-10T19:29:54Z</t>
        </is>
      </c>
      <c r="P1182" t="inlineStr">
        <is>
          <t>2026-08-10T19:29:54Z</t>
        </is>
      </c>
    </row>
    <row r="1183">
      <c r="A1183" s="19" t="inlineStr">
        <is>
          <t>1182</t>
        </is>
      </c>
      <c r="B1183" s="19" t="inlineStr">
        <is>
          <t>SC-1015099-ST-063-STD-08</t>
        </is>
      </c>
      <c r="C1183" t="inlineStr">
        <is>
          <t>1015099 → ST-063-STD-08</t>
        </is>
      </c>
      <c r="D1183" s="19" t="inlineStr">
        <is>
          <t>2</t>
        </is>
      </c>
      <c r="E1183" s="19" t="inlineStr">
        <is>
          <t>1852</t>
        </is>
      </c>
      <c r="F1183" s="19" t="inlineStr">
        <is>
          <t>153</t>
        </is>
      </c>
      <c r="G1183" s="19" t="n"/>
      <c r="H1183" s="19" t="inlineStr">
        <is>
          <t>2</t>
        </is>
      </c>
      <c r="I1183" s="19" t="n"/>
      <c r="J1183" s="19" t="n"/>
      <c r="K1183" s="19" t="inlineStr">
        <is>
          <t>2</t>
        </is>
      </c>
      <c r="L1183" t="inlineStr">
        <is>
          <t>2026-08-08</t>
        </is>
      </c>
      <c r="N1183" t="inlineStr">
        <is>
          <t>IN_SCOPE_FINAL; SOURCE_CFG=IA-ST-CFG-0179; MARKET=TÜRKMENİSTAN; STATUS=IN OEM / EU PACKAGE</t>
        </is>
      </c>
      <c r="O1183" t="inlineStr">
        <is>
          <t>2026-08-10T19:29:54Z</t>
        </is>
      </c>
      <c r="P1183" t="inlineStr">
        <is>
          <t>2026-08-10T19:29:54Z</t>
        </is>
      </c>
    </row>
    <row r="1184">
      <c r="A1184" s="19" t="inlineStr">
        <is>
          <t>1183</t>
        </is>
      </c>
      <c r="B1184" s="19" t="inlineStr">
        <is>
          <t>SC-1015126-ST-063-STD-08</t>
        </is>
      </c>
      <c r="C1184" t="inlineStr">
        <is>
          <t>1015126 → ST-063-STD-08</t>
        </is>
      </c>
      <c r="D1184" s="19" t="inlineStr">
        <is>
          <t>2</t>
        </is>
      </c>
      <c r="E1184" s="19" t="inlineStr">
        <is>
          <t>1875</t>
        </is>
      </c>
      <c r="F1184" s="19" t="inlineStr">
        <is>
          <t>153</t>
        </is>
      </c>
      <c r="G1184" s="19" t="n"/>
      <c r="H1184" s="19" t="inlineStr">
        <is>
          <t>2</t>
        </is>
      </c>
      <c r="I1184" s="19" t="n"/>
      <c r="J1184" s="19" t="n"/>
      <c r="K1184" s="19" t="inlineStr">
        <is>
          <t>2</t>
        </is>
      </c>
      <c r="L1184" t="inlineStr">
        <is>
          <t>2026-08-08</t>
        </is>
      </c>
      <c r="N1184" t="inlineStr">
        <is>
          <t>IN_SCOPE_FINAL; SOURCE_CFG=IA-ST-CFG-0179; MARKET=AWAEL S.A.R.L. (LÜBNAN); STATUS=IN OEM / EU PACKAGE</t>
        </is>
      </c>
      <c r="O1184" t="inlineStr">
        <is>
          <t>2026-08-10T19:29:54Z</t>
        </is>
      </c>
      <c r="P1184" t="inlineStr">
        <is>
          <t>2026-08-10T19:29:54Z</t>
        </is>
      </c>
    </row>
    <row r="1185">
      <c r="A1185" s="19" t="inlineStr">
        <is>
          <t>1184</t>
        </is>
      </c>
      <c r="B1185" s="19" t="inlineStr">
        <is>
          <t>SC-1012060-ST-063-STD-08</t>
        </is>
      </c>
      <c r="C1185" t="inlineStr">
        <is>
          <t>1012060 → ST-063-STD-08</t>
        </is>
      </c>
      <c r="D1185" s="19" t="inlineStr">
        <is>
          <t>2</t>
        </is>
      </c>
      <c r="E1185" s="19" t="inlineStr">
        <is>
          <t>505</t>
        </is>
      </c>
      <c r="F1185" s="19" t="inlineStr">
        <is>
          <t>153</t>
        </is>
      </c>
      <c r="G1185" s="19" t="n"/>
      <c r="H1185" s="19" t="inlineStr">
        <is>
          <t>2</t>
        </is>
      </c>
      <c r="I1185" s="19" t="n"/>
      <c r="J1185" s="19" t="n"/>
      <c r="K1185" s="19" t="inlineStr">
        <is>
          <t>2</t>
        </is>
      </c>
      <c r="L1185" t="inlineStr">
        <is>
          <t>2026-08-08</t>
        </is>
      </c>
      <c r="N1185" t="inlineStr">
        <is>
          <t>IN_SCOPE_FINAL; SOURCE_CFG=IA-ST-CFG-0179; MARKET=None; STATUS=IN OEM / EU PACKAGE</t>
        </is>
      </c>
      <c r="O1185" t="inlineStr">
        <is>
          <t>2026-08-10T19:29:54Z</t>
        </is>
      </c>
      <c r="P1185" t="inlineStr">
        <is>
          <t>2026-08-10T19:29:54Z</t>
        </is>
      </c>
    </row>
    <row r="1186">
      <c r="A1186" s="19" t="inlineStr">
        <is>
          <t>1185</t>
        </is>
      </c>
      <c r="B1186" s="19" t="inlineStr">
        <is>
          <t>SC-1012417-ST-063-STD-08</t>
        </is>
      </c>
      <c r="C1186" t="inlineStr">
        <is>
          <t>1012417 → ST-063-STD-08</t>
        </is>
      </c>
      <c r="D1186" s="19" t="inlineStr">
        <is>
          <t>2</t>
        </is>
      </c>
      <c r="E1186" s="19" t="inlineStr">
        <is>
          <t>634</t>
        </is>
      </c>
      <c r="F1186" s="19" t="inlineStr">
        <is>
          <t>153</t>
        </is>
      </c>
      <c r="G1186" s="19" t="n"/>
      <c r="H1186" s="19" t="inlineStr">
        <is>
          <t>2</t>
        </is>
      </c>
      <c r="I1186" s="19" t="n"/>
      <c r="J1186" s="19" t="n"/>
      <c r="K1186" s="19" t="inlineStr">
        <is>
          <t>2</t>
        </is>
      </c>
      <c r="L1186" t="inlineStr">
        <is>
          <t>2026-08-08</t>
        </is>
      </c>
      <c r="N1186" t="inlineStr">
        <is>
          <t>IN_SCOPE_FINAL; SOURCE_CFG=IA-ST-CFG-0179; MARKET=None; STATUS=IN OEM / EU PACKAGE</t>
        </is>
      </c>
      <c r="O1186" t="inlineStr">
        <is>
          <t>2026-08-10T19:29:54Z</t>
        </is>
      </c>
      <c r="P1186" t="inlineStr">
        <is>
          <t>2026-08-10T19:29:54Z</t>
        </is>
      </c>
    </row>
    <row r="1187">
      <c r="A1187" s="19" t="inlineStr">
        <is>
          <t>1186</t>
        </is>
      </c>
      <c r="B1187" s="19" t="inlineStr">
        <is>
          <t>SC-1012911-ST-063-STD-08</t>
        </is>
      </c>
      <c r="C1187" t="inlineStr">
        <is>
          <t>1012911 → ST-063-STD-08</t>
        </is>
      </c>
      <c r="D1187" s="19" t="inlineStr">
        <is>
          <t>2</t>
        </is>
      </c>
      <c r="E1187" s="19" t="inlineStr">
        <is>
          <t>861</t>
        </is>
      </c>
      <c r="F1187" s="19" t="inlineStr">
        <is>
          <t>153</t>
        </is>
      </c>
      <c r="G1187" s="19" t="n"/>
      <c r="H1187" s="19" t="inlineStr">
        <is>
          <t>2</t>
        </is>
      </c>
      <c r="I1187" s="19" t="n"/>
      <c r="J1187" s="19" t="n"/>
      <c r="K1187" s="19" t="inlineStr">
        <is>
          <t>2</t>
        </is>
      </c>
      <c r="L1187" t="inlineStr">
        <is>
          <t>2026-08-08</t>
        </is>
      </c>
      <c r="N1187" t="inlineStr">
        <is>
          <t>IN_SCOPE_FINAL; SOURCE_CFG=IA-ST-CFG-0179; MARKET=SHAWKAT; STATUS=IN OEM / EU PACKAGE</t>
        </is>
      </c>
      <c r="O1187" t="inlineStr">
        <is>
          <t>2026-08-10T19:29:54Z</t>
        </is>
      </c>
      <c r="P1187" t="inlineStr">
        <is>
          <t>2026-08-10T19:29:54Z</t>
        </is>
      </c>
    </row>
    <row r="1188">
      <c r="A1188" s="19" t="inlineStr">
        <is>
          <t>1187</t>
        </is>
      </c>
      <c r="B1188" s="19" t="inlineStr">
        <is>
          <t>SC-1014743-ST-063-STD-08</t>
        </is>
      </c>
      <c r="C1188" t="inlineStr">
        <is>
          <t>1014743 → ST-063-STD-08</t>
        </is>
      </c>
      <c r="D1188" s="19" t="inlineStr">
        <is>
          <t>2</t>
        </is>
      </c>
      <c r="E1188" s="19" t="inlineStr">
        <is>
          <t>1577</t>
        </is>
      </c>
      <c r="F1188" s="19" t="inlineStr">
        <is>
          <t>153</t>
        </is>
      </c>
      <c r="G1188" s="19" t="n"/>
      <c r="H1188" s="19" t="inlineStr">
        <is>
          <t>2</t>
        </is>
      </c>
      <c r="I1188" s="19" t="n"/>
      <c r="J1188" s="19" t="n"/>
      <c r="K1188" s="19" t="inlineStr">
        <is>
          <t>2</t>
        </is>
      </c>
      <c r="L1188" t="inlineStr">
        <is>
          <t>2026-08-08</t>
        </is>
      </c>
      <c r="N1188" t="inlineStr">
        <is>
          <t>IN_SCOPE_FINAL; SOURCE_CFG=IA-ST-CFG-0179; MARKET=None; STATUS=IN OEM / EU PACKAGE</t>
        </is>
      </c>
      <c r="O1188" t="inlineStr">
        <is>
          <t>2026-08-10T19:29:54Z</t>
        </is>
      </c>
      <c r="P1188" t="inlineStr">
        <is>
          <t>2026-08-10T19:29:54Z</t>
        </is>
      </c>
    </row>
    <row r="1189">
      <c r="A1189" s="19" t="inlineStr">
        <is>
          <t>1188</t>
        </is>
      </c>
      <c r="B1189" s="19" t="inlineStr">
        <is>
          <t>SC-1013956-ST-063-STD-08</t>
        </is>
      </c>
      <c r="C1189" t="inlineStr">
        <is>
          <t>1013956 → ST-063-STD-08</t>
        </is>
      </c>
      <c r="D1189" s="19" t="inlineStr">
        <is>
          <t>2</t>
        </is>
      </c>
      <c r="E1189" s="19" t="inlineStr">
        <is>
          <t>1143</t>
        </is>
      </c>
      <c r="F1189" s="19" t="inlineStr">
        <is>
          <t>153</t>
        </is>
      </c>
      <c r="G1189" s="19" t="n"/>
      <c r="H1189" s="19" t="inlineStr">
        <is>
          <t>2</t>
        </is>
      </c>
      <c r="I1189" s="19" t="n"/>
      <c r="J1189" s="19" t="n"/>
      <c r="K1189" s="19" t="inlineStr">
        <is>
          <t>2</t>
        </is>
      </c>
      <c r="L1189" t="inlineStr">
        <is>
          <t>2026-08-08</t>
        </is>
      </c>
      <c r="N1189" t="inlineStr">
        <is>
          <t>IN_SCOPE_FINAL; SOURCE_CFG=IA-ST-CFG-0179; MARKET=None; STATUS=IN OEM / EU PACKAGE</t>
        </is>
      </c>
      <c r="O1189" t="inlineStr">
        <is>
          <t>2026-08-10T19:29:54Z</t>
        </is>
      </c>
      <c r="P1189" t="inlineStr">
        <is>
          <t>2026-08-10T19:29:54Z</t>
        </is>
      </c>
    </row>
    <row r="1190">
      <c r="A1190" s="19" t="inlineStr">
        <is>
          <t>1189</t>
        </is>
      </c>
      <c r="B1190" s="19" t="inlineStr">
        <is>
          <t>SC-1009981-ST-063-STD-08</t>
        </is>
      </c>
      <c r="C1190" t="inlineStr">
        <is>
          <t>1009981 → ST-063-STD-08</t>
        </is>
      </c>
      <c r="D1190" s="19" t="inlineStr">
        <is>
          <t>2</t>
        </is>
      </c>
      <c r="E1190" s="19" t="inlineStr">
        <is>
          <t>137</t>
        </is>
      </c>
      <c r="F1190" s="19" t="inlineStr">
        <is>
          <t>153</t>
        </is>
      </c>
      <c r="G1190" s="19" t="n"/>
      <c r="H1190" s="19" t="inlineStr">
        <is>
          <t>2</t>
        </is>
      </c>
      <c r="I1190" s="19" t="n"/>
      <c r="J1190" s="19" t="n"/>
      <c r="K1190" s="19" t="inlineStr">
        <is>
          <t>2</t>
        </is>
      </c>
      <c r="L1190" t="inlineStr">
        <is>
          <t>2026-08-08</t>
        </is>
      </c>
      <c r="N1190" t="inlineStr">
        <is>
          <t>IN_SCOPE_FINAL; SOURCE_CFG=IA-ST-CFG-0179; MARKET=REY &amp; LENFERNA LUCAS; STATUS=IN OEM / EU PACKAGE</t>
        </is>
      </c>
      <c r="O1190" t="inlineStr">
        <is>
          <t>2026-08-10T19:29:54Z</t>
        </is>
      </c>
      <c r="P1190" t="inlineStr">
        <is>
          <t>2026-08-10T19:29:54Z</t>
        </is>
      </c>
    </row>
    <row r="1191">
      <c r="A1191" s="19" t="inlineStr">
        <is>
          <t>1190</t>
        </is>
      </c>
      <c r="B1191" s="19" t="inlineStr">
        <is>
          <t>SC-1012014-ST-063-STD-08</t>
        </is>
      </c>
      <c r="C1191" t="inlineStr">
        <is>
          <t>1012014 → ST-063-STD-08</t>
        </is>
      </c>
      <c r="D1191" s="19" t="inlineStr">
        <is>
          <t>2</t>
        </is>
      </c>
      <c r="E1191" s="19" t="inlineStr">
        <is>
          <t>471</t>
        </is>
      </c>
      <c r="F1191" s="19" t="inlineStr">
        <is>
          <t>153</t>
        </is>
      </c>
      <c r="G1191" s="19" t="n"/>
      <c r="H1191" s="19" t="inlineStr">
        <is>
          <t>2</t>
        </is>
      </c>
      <c r="I1191" s="19" t="n"/>
      <c r="J1191" s="19" t="n"/>
      <c r="K1191" s="19" t="inlineStr">
        <is>
          <t>2</t>
        </is>
      </c>
      <c r="L1191" t="inlineStr">
        <is>
          <t>2026-08-08</t>
        </is>
      </c>
      <c r="N1191" t="inlineStr">
        <is>
          <t>IN_SCOPE_FINAL; SOURCE_CFG=IA-ST-CFG-0179; MARKET=None; STATUS=IN OEM / EU PACKAGE</t>
        </is>
      </c>
      <c r="O1191" t="inlineStr">
        <is>
          <t>2026-08-10T19:29:54Z</t>
        </is>
      </c>
      <c r="P1191" t="inlineStr">
        <is>
          <t>2026-08-10T19:29:54Z</t>
        </is>
      </c>
    </row>
    <row r="1192">
      <c r="A1192" s="19" t="inlineStr">
        <is>
          <t>1191</t>
        </is>
      </c>
      <c r="B1192" s="19" t="inlineStr">
        <is>
          <t>SC-1012015-ST-063-STD-08</t>
        </is>
      </c>
      <c r="C1192" t="inlineStr">
        <is>
          <t>1012015 → ST-063-STD-08</t>
        </is>
      </c>
      <c r="D1192" s="19" t="inlineStr">
        <is>
          <t>2</t>
        </is>
      </c>
      <c r="E1192" s="19" t="inlineStr">
        <is>
          <t>472</t>
        </is>
      </c>
      <c r="F1192" s="19" t="inlineStr">
        <is>
          <t>153</t>
        </is>
      </c>
      <c r="G1192" s="19" t="n"/>
      <c r="H1192" s="19" t="inlineStr">
        <is>
          <t>2</t>
        </is>
      </c>
      <c r="I1192" s="19" t="n"/>
      <c r="J1192" s="19" t="n"/>
      <c r="K1192" s="19" t="inlineStr">
        <is>
          <t>2</t>
        </is>
      </c>
      <c r="L1192" t="inlineStr">
        <is>
          <t>2026-08-08</t>
        </is>
      </c>
      <c r="N1192" t="inlineStr">
        <is>
          <t>IN_SCOPE_FINAL; SOURCE_CFG=IA-ST-CFG-0179; MARKET=None; STATUS=IN OEM / EU PACKAGE</t>
        </is>
      </c>
      <c r="O1192" t="inlineStr">
        <is>
          <t>2026-08-10T19:29:54Z</t>
        </is>
      </c>
      <c r="P1192" t="inlineStr">
        <is>
          <t>2026-08-10T19:29:54Z</t>
        </is>
      </c>
    </row>
    <row r="1193">
      <c r="A1193" s="19" t="inlineStr">
        <is>
          <t>1192</t>
        </is>
      </c>
      <c r="B1193" s="19" t="inlineStr">
        <is>
          <t>SC-1012022-ST-063-STD-08</t>
        </is>
      </c>
      <c r="C1193" t="inlineStr">
        <is>
          <t>1012022 → ST-063-STD-08</t>
        </is>
      </c>
      <c r="D1193" s="19" t="inlineStr">
        <is>
          <t>2</t>
        </is>
      </c>
      <c r="E1193" s="19" t="inlineStr">
        <is>
          <t>477</t>
        </is>
      </c>
      <c r="F1193" s="19" t="inlineStr">
        <is>
          <t>153</t>
        </is>
      </c>
      <c r="G1193" s="19" t="n"/>
      <c r="H1193" s="19" t="inlineStr">
        <is>
          <t>2</t>
        </is>
      </c>
      <c r="I1193" s="19" t="n"/>
      <c r="J1193" s="19" t="n"/>
      <c r="K1193" s="19" t="inlineStr">
        <is>
          <t>2</t>
        </is>
      </c>
      <c r="L1193" t="inlineStr">
        <is>
          <t>2026-08-08</t>
        </is>
      </c>
      <c r="N1193" t="inlineStr">
        <is>
          <t>IN_SCOPE_FINAL; SOURCE_CFG=IA-ST-CFG-0179; MARKET=None; STATUS=IN OEM / EU PACKAGE</t>
        </is>
      </c>
      <c r="O1193" t="inlineStr">
        <is>
          <t>2026-08-10T19:29:54Z</t>
        </is>
      </c>
      <c r="P1193" t="inlineStr">
        <is>
          <t>2026-08-10T19:29:54Z</t>
        </is>
      </c>
    </row>
    <row r="1194">
      <c r="A1194" s="19" t="inlineStr">
        <is>
          <t>1193</t>
        </is>
      </c>
      <c r="B1194" s="19" t="inlineStr">
        <is>
          <t>SC-1012024-ST-063-STD-08</t>
        </is>
      </c>
      <c r="C1194" t="inlineStr">
        <is>
          <t>1012024 → ST-063-STD-08</t>
        </is>
      </c>
      <c r="D1194" s="19" t="inlineStr">
        <is>
          <t>2</t>
        </is>
      </c>
      <c r="E1194" s="19" t="inlineStr">
        <is>
          <t>479</t>
        </is>
      </c>
      <c r="F1194" s="19" t="inlineStr">
        <is>
          <t>153</t>
        </is>
      </c>
      <c r="G1194" s="19" t="n"/>
      <c r="H1194" s="19" t="inlineStr">
        <is>
          <t>2</t>
        </is>
      </c>
      <c r="I1194" s="19" t="n"/>
      <c r="J1194" s="19" t="n"/>
      <c r="K1194" s="19" t="inlineStr">
        <is>
          <t>2</t>
        </is>
      </c>
      <c r="L1194" t="inlineStr">
        <is>
          <t>2026-08-08</t>
        </is>
      </c>
      <c r="N1194" t="inlineStr">
        <is>
          <t>IN_SCOPE_FINAL; SOURCE_CFG=IA-ST-CFG-0179; MARKET=JANENE İSRAİL; STATUS=IN OEM / EU PACKAGE</t>
        </is>
      </c>
      <c r="O1194" t="inlineStr">
        <is>
          <t>2026-08-10T19:29:54Z</t>
        </is>
      </c>
      <c r="P1194" t="inlineStr">
        <is>
          <t>2026-08-10T19:29:54Z</t>
        </is>
      </c>
    </row>
    <row r="1195">
      <c r="A1195" s="19" t="inlineStr">
        <is>
          <t>1194</t>
        </is>
      </c>
      <c r="B1195" s="19" t="inlineStr">
        <is>
          <t>SC-1012027-ST-063-STD-08</t>
        </is>
      </c>
      <c r="C1195" t="inlineStr">
        <is>
          <t>1012027 → ST-063-STD-08</t>
        </is>
      </c>
      <c r="D1195" s="19" t="inlineStr">
        <is>
          <t>2</t>
        </is>
      </c>
      <c r="E1195" s="19" t="inlineStr">
        <is>
          <t>481</t>
        </is>
      </c>
      <c r="F1195" s="19" t="inlineStr">
        <is>
          <t>153</t>
        </is>
      </c>
      <c r="G1195" s="19" t="n"/>
      <c r="H1195" s="19" t="inlineStr">
        <is>
          <t>2</t>
        </is>
      </c>
      <c r="I1195" s="19" t="n"/>
      <c r="J1195" s="19" t="n"/>
      <c r="K1195" s="19" t="inlineStr">
        <is>
          <t>2</t>
        </is>
      </c>
      <c r="L1195" t="inlineStr">
        <is>
          <t>2026-08-08</t>
        </is>
      </c>
      <c r="N1195" t="inlineStr">
        <is>
          <t>IN_SCOPE_FINAL; SOURCE_CFG=IA-ST-CFG-0179; MARKET=None; STATUS=IN OEM / EU PACKAGE</t>
        </is>
      </c>
      <c r="O1195" t="inlineStr">
        <is>
          <t>2026-08-10T19:29:54Z</t>
        </is>
      </c>
      <c r="P1195" t="inlineStr">
        <is>
          <t>2026-08-10T19:29:54Z</t>
        </is>
      </c>
    </row>
    <row r="1196">
      <c r="A1196" s="19" t="inlineStr">
        <is>
          <t>1195</t>
        </is>
      </c>
      <c r="B1196" s="19" t="inlineStr">
        <is>
          <t>SC-1012032-ST-063-STD-08</t>
        </is>
      </c>
      <c r="C1196" t="inlineStr">
        <is>
          <t>1012032 → ST-063-STD-08</t>
        </is>
      </c>
      <c r="D1196" s="19" t="inlineStr">
        <is>
          <t>2</t>
        </is>
      </c>
      <c r="E1196" s="19" t="inlineStr">
        <is>
          <t>484</t>
        </is>
      </c>
      <c r="F1196" s="19" t="inlineStr">
        <is>
          <t>153</t>
        </is>
      </c>
      <c r="G1196" s="19" t="n"/>
      <c r="H1196" s="19" t="inlineStr">
        <is>
          <t>2</t>
        </is>
      </c>
      <c r="I1196" s="19" t="n"/>
      <c r="J1196" s="19" t="n"/>
      <c r="K1196" s="19" t="inlineStr">
        <is>
          <t>2</t>
        </is>
      </c>
      <c r="L1196" t="inlineStr">
        <is>
          <t>2026-08-08</t>
        </is>
      </c>
      <c r="N1196" t="inlineStr">
        <is>
          <t>IN_SCOPE_FINAL; SOURCE_CFG=IA-ST-CFG-0179; MARKET=None; STATUS=IN OEM / EU PACKAGE</t>
        </is>
      </c>
      <c r="O1196" t="inlineStr">
        <is>
          <t>2026-08-10T19:29:54Z</t>
        </is>
      </c>
      <c r="P1196" t="inlineStr">
        <is>
          <t>2026-08-10T19:29:54Z</t>
        </is>
      </c>
    </row>
    <row r="1197">
      <c r="A1197" s="19" t="inlineStr">
        <is>
          <t>1196</t>
        </is>
      </c>
      <c r="B1197" s="19" t="inlineStr">
        <is>
          <t>SC-1012043-ST-063-STD-08</t>
        </is>
      </c>
      <c r="C1197" t="inlineStr">
        <is>
          <t>1012043 → ST-063-STD-08</t>
        </is>
      </c>
      <c r="D1197" s="19" t="inlineStr">
        <is>
          <t>2</t>
        </is>
      </c>
      <c r="E1197" s="19" t="inlineStr">
        <is>
          <t>493</t>
        </is>
      </c>
      <c r="F1197" s="19" t="inlineStr">
        <is>
          <t>153</t>
        </is>
      </c>
      <c r="G1197" s="19" t="n"/>
      <c r="H1197" s="19" t="inlineStr">
        <is>
          <t>2</t>
        </is>
      </c>
      <c r="I1197" s="19" t="n"/>
      <c r="J1197" s="19" t="n"/>
      <c r="K1197" s="19" t="inlineStr">
        <is>
          <t>2</t>
        </is>
      </c>
      <c r="L1197" t="inlineStr">
        <is>
          <t>2026-08-08</t>
        </is>
      </c>
      <c r="N1197" t="inlineStr">
        <is>
          <t>IN_SCOPE_FINAL; SOURCE_CFG=IA-ST-CFG-0179; MARKET=None; STATUS=IN OEM / EU PACKAGE</t>
        </is>
      </c>
      <c r="O1197" t="inlineStr">
        <is>
          <t>2026-08-10T19:29:54Z</t>
        </is>
      </c>
      <c r="P1197" t="inlineStr">
        <is>
          <t>2026-08-10T19:29:54Z</t>
        </is>
      </c>
    </row>
    <row r="1198">
      <c r="A1198" s="19" t="inlineStr">
        <is>
          <t>1197</t>
        </is>
      </c>
      <c r="B1198" s="19" t="inlineStr">
        <is>
          <t>SC-1012046-ST-063-STD-08</t>
        </is>
      </c>
      <c r="C1198" t="inlineStr">
        <is>
          <t>1012046 → ST-063-STD-08</t>
        </is>
      </c>
      <c r="D1198" s="19" t="inlineStr">
        <is>
          <t>2</t>
        </is>
      </c>
      <c r="E1198" s="19" t="inlineStr">
        <is>
          <t>494</t>
        </is>
      </c>
      <c r="F1198" s="19" t="inlineStr">
        <is>
          <t>153</t>
        </is>
      </c>
      <c r="G1198" s="19" t="n"/>
      <c r="H1198" s="19" t="inlineStr">
        <is>
          <t>2</t>
        </is>
      </c>
      <c r="I1198" s="19" t="n"/>
      <c r="J1198" s="19" t="n"/>
      <c r="K1198" s="19" t="inlineStr">
        <is>
          <t>2</t>
        </is>
      </c>
      <c r="L1198" t="inlineStr">
        <is>
          <t>2026-08-08</t>
        </is>
      </c>
      <c r="N1198" t="inlineStr">
        <is>
          <t>IN_SCOPE_FINAL; SOURCE_CFG=IA-ST-CFG-0179; MARKET=NASA; STATUS=IN OEM / EU PACKAGE</t>
        </is>
      </c>
      <c r="O1198" t="inlineStr">
        <is>
          <t>2026-08-10T19:29:54Z</t>
        </is>
      </c>
      <c r="P1198" t="inlineStr">
        <is>
          <t>2026-08-10T19:29:54Z</t>
        </is>
      </c>
    </row>
    <row r="1199">
      <c r="A1199" s="19" t="inlineStr">
        <is>
          <t>1198</t>
        </is>
      </c>
      <c r="B1199" s="19" t="inlineStr">
        <is>
          <t>SC-1012048-ST-063-STD-08</t>
        </is>
      </c>
      <c r="C1199" t="inlineStr">
        <is>
          <t>1012048 → ST-063-STD-08</t>
        </is>
      </c>
      <c r="D1199" s="19" t="inlineStr">
        <is>
          <t>2</t>
        </is>
      </c>
      <c r="E1199" s="19" t="inlineStr">
        <is>
          <t>495</t>
        </is>
      </c>
      <c r="F1199" s="19" t="inlineStr">
        <is>
          <t>153</t>
        </is>
      </c>
      <c r="G1199" s="19" t="n"/>
      <c r="H1199" s="19" t="inlineStr">
        <is>
          <t>2</t>
        </is>
      </c>
      <c r="I1199" s="19" t="n"/>
      <c r="J1199" s="19" t="n"/>
      <c r="K1199" s="19" t="inlineStr">
        <is>
          <t>2</t>
        </is>
      </c>
      <c r="L1199" t="inlineStr">
        <is>
          <t>2026-08-08</t>
        </is>
      </c>
      <c r="N1199" t="inlineStr">
        <is>
          <t>IN_SCOPE_FINAL; SOURCE_CFG=IA-ST-CFG-0179; MARKET=MISIR NACITA; STATUS=IN OEM / EU PACKAGE</t>
        </is>
      </c>
      <c r="O1199" t="inlineStr">
        <is>
          <t>2026-08-10T19:29:54Z</t>
        </is>
      </c>
      <c r="P1199" t="inlineStr">
        <is>
          <t>2026-08-10T19:29:54Z</t>
        </is>
      </c>
    </row>
    <row r="1200">
      <c r="A1200" s="19" t="inlineStr">
        <is>
          <t>1199</t>
        </is>
      </c>
      <c r="B1200" s="19" t="inlineStr">
        <is>
          <t>SC-1012050-ST-063-STD-08</t>
        </is>
      </c>
      <c r="C1200" t="inlineStr">
        <is>
          <t>1012050 → ST-063-STD-08</t>
        </is>
      </c>
      <c r="D1200" s="19" t="inlineStr">
        <is>
          <t>2</t>
        </is>
      </c>
      <c r="E1200" s="19" t="inlineStr">
        <is>
          <t>496</t>
        </is>
      </c>
      <c r="F1200" s="19" t="inlineStr">
        <is>
          <t>153</t>
        </is>
      </c>
      <c r="G1200" s="19" t="n"/>
      <c r="H1200" s="19" t="inlineStr">
        <is>
          <t>2</t>
        </is>
      </c>
      <c r="I1200" s="19" t="n"/>
      <c r="J1200" s="19" t="n"/>
      <c r="K1200" s="19" t="inlineStr">
        <is>
          <t>2</t>
        </is>
      </c>
      <c r="L1200" t="inlineStr">
        <is>
          <t>2026-08-08</t>
        </is>
      </c>
      <c r="N1200" t="inlineStr">
        <is>
          <t>IN_SCOPE_FINAL; SOURCE_CFG=IA-ST-CFG-0179; MARKET=MISIR AL AMAN; STATUS=IN OEM / EU PACKAGE</t>
        </is>
      </c>
      <c r="O1200" t="inlineStr">
        <is>
          <t>2026-08-10T19:29:54Z</t>
        </is>
      </c>
      <c r="P1200" t="inlineStr">
        <is>
          <t>2026-08-10T19:29:54Z</t>
        </is>
      </c>
    </row>
    <row r="1201">
      <c r="A1201" s="19" t="inlineStr">
        <is>
          <t>1200</t>
        </is>
      </c>
      <c r="B1201" s="19" t="inlineStr">
        <is>
          <t>SC-1012053-ST-063-STD-08</t>
        </is>
      </c>
      <c r="C1201" t="inlineStr">
        <is>
          <t>1012053 → ST-063-STD-08</t>
        </is>
      </c>
      <c r="D1201" s="19" t="inlineStr">
        <is>
          <t>2</t>
        </is>
      </c>
      <c r="E1201" s="19" t="inlineStr">
        <is>
          <t>499</t>
        </is>
      </c>
      <c r="F1201" s="19" t="inlineStr">
        <is>
          <t>153</t>
        </is>
      </c>
      <c r="G1201" s="19" t="n"/>
      <c r="H1201" s="19" t="inlineStr">
        <is>
          <t>2</t>
        </is>
      </c>
      <c r="I1201" s="19" t="n"/>
      <c r="J1201" s="19" t="n"/>
      <c r="K1201" s="19" t="inlineStr">
        <is>
          <t>2</t>
        </is>
      </c>
      <c r="L1201" t="inlineStr">
        <is>
          <t>2026-08-08</t>
        </is>
      </c>
      <c r="N1201" t="inlineStr">
        <is>
          <t>IN_SCOPE_FINAL; SOURCE_CFG=IA-ST-CFG-0179; MARKET=MISIR NACITA; STATUS=IN OEM / EU PACKAGE</t>
        </is>
      </c>
      <c r="O1201" t="inlineStr">
        <is>
          <t>2026-08-10T19:29:54Z</t>
        </is>
      </c>
      <c r="P1201" t="inlineStr">
        <is>
          <t>2026-08-10T19:29:54Z</t>
        </is>
      </c>
    </row>
    <row r="1202">
      <c r="A1202" s="19" t="inlineStr">
        <is>
          <t>1201</t>
        </is>
      </c>
      <c r="B1202" s="19" t="inlineStr">
        <is>
          <t>SC-1012141-ST-063-STD-08</t>
        </is>
      </c>
      <c r="C1202" t="inlineStr">
        <is>
          <t>1012141 → ST-063-STD-08</t>
        </is>
      </c>
      <c r="D1202" s="19" t="inlineStr">
        <is>
          <t>2</t>
        </is>
      </c>
      <c r="E1202" s="19" t="inlineStr">
        <is>
          <t>542</t>
        </is>
      </c>
      <c r="F1202" s="19" t="inlineStr">
        <is>
          <t>153</t>
        </is>
      </c>
      <c r="G1202" s="19" t="n"/>
      <c r="H1202" s="19" t="inlineStr">
        <is>
          <t>2</t>
        </is>
      </c>
      <c r="I1202" s="19" t="n"/>
      <c r="J1202" s="19" t="n"/>
      <c r="K1202" s="19" t="inlineStr">
        <is>
          <t>2</t>
        </is>
      </c>
      <c r="L1202" t="inlineStr">
        <is>
          <t>2026-08-08</t>
        </is>
      </c>
      <c r="N1202" t="inlineStr">
        <is>
          <t>IN_SCOPE_FINAL; SOURCE_CFG=IA-ST-CFG-0179; MARKET=JANENE İSRAİL; STATUS=IN OEM / EU PACKAGE</t>
        </is>
      </c>
      <c r="O1202" t="inlineStr">
        <is>
          <t>2026-08-10T19:29:54Z</t>
        </is>
      </c>
      <c r="P1202" t="inlineStr">
        <is>
          <t>2026-08-10T19:29:54Z</t>
        </is>
      </c>
    </row>
    <row r="1203">
      <c r="A1203" s="19" t="inlineStr">
        <is>
          <t>1202</t>
        </is>
      </c>
      <c r="B1203" s="19" t="inlineStr">
        <is>
          <t>SC-1012504-ST-063-STD-08</t>
        </is>
      </c>
      <c r="C1203" t="inlineStr">
        <is>
          <t>1012504 → ST-063-STD-08</t>
        </is>
      </c>
      <c r="D1203" s="19" t="inlineStr">
        <is>
          <t>2</t>
        </is>
      </c>
      <c r="E1203" s="19" t="inlineStr">
        <is>
          <t>677</t>
        </is>
      </c>
      <c r="F1203" s="19" t="inlineStr">
        <is>
          <t>153</t>
        </is>
      </c>
      <c r="G1203" s="19" t="n"/>
      <c r="H1203" s="19" t="inlineStr">
        <is>
          <t>2</t>
        </is>
      </c>
      <c r="I1203" s="19" t="n"/>
      <c r="J1203" s="19" t="n"/>
      <c r="K1203" s="19" t="inlineStr">
        <is>
          <t>2</t>
        </is>
      </c>
      <c r="L1203" t="inlineStr">
        <is>
          <t>2026-08-08</t>
        </is>
      </c>
      <c r="N1203" t="inlineStr">
        <is>
          <t>IN_SCOPE_FINAL; SOURCE_CFG=IA-ST-CFG-0179; MARKET=None; STATUS=IN OEM / EU PACKAGE</t>
        </is>
      </c>
      <c r="O1203" t="inlineStr">
        <is>
          <t>2026-08-10T19:29:54Z</t>
        </is>
      </c>
      <c r="P1203" t="inlineStr">
        <is>
          <t>2026-08-10T19:29:54Z</t>
        </is>
      </c>
    </row>
    <row r="1204">
      <c r="A1204" s="19" t="inlineStr">
        <is>
          <t>1203</t>
        </is>
      </c>
      <c r="B1204" s="19" t="inlineStr">
        <is>
          <t>SC-1012549-ST-063-STD-08</t>
        </is>
      </c>
      <c r="C1204" t="inlineStr">
        <is>
          <t>1012549 → ST-063-STD-08</t>
        </is>
      </c>
      <c r="D1204" s="19" t="inlineStr">
        <is>
          <t>2</t>
        </is>
      </c>
      <c r="E1204" s="19" t="inlineStr">
        <is>
          <t>692</t>
        </is>
      </c>
      <c r="F1204" s="19" t="inlineStr">
        <is>
          <t>153</t>
        </is>
      </c>
      <c r="G1204" s="19" t="n"/>
      <c r="H1204" s="19" t="inlineStr">
        <is>
          <t>2</t>
        </is>
      </c>
      <c r="I1204" s="19" t="n"/>
      <c r="J1204" s="19" t="n"/>
      <c r="K1204" s="19" t="inlineStr">
        <is>
          <t>2</t>
        </is>
      </c>
      <c r="L1204" t="inlineStr">
        <is>
          <t>2026-08-08</t>
        </is>
      </c>
      <c r="N1204" t="inlineStr">
        <is>
          <t>IN_SCOPE_FINAL; SOURCE_CFG=IA-ST-CFG-0179; MARKET=None; STATUS=IN OEM / EU PACKAGE</t>
        </is>
      </c>
      <c r="O1204" t="inlineStr">
        <is>
          <t>2026-08-10T19:29:54Z</t>
        </is>
      </c>
      <c r="P1204" t="inlineStr">
        <is>
          <t>2026-08-10T19:29:54Z</t>
        </is>
      </c>
    </row>
    <row r="1205">
      <c r="A1205" s="19" t="inlineStr">
        <is>
          <t>1204</t>
        </is>
      </c>
      <c r="B1205" s="19" t="inlineStr">
        <is>
          <t>SC-1012765-ST-063-STD-08</t>
        </is>
      </c>
      <c r="C1205" t="inlineStr">
        <is>
          <t>1012765 → ST-063-STD-08</t>
        </is>
      </c>
      <c r="D1205" s="19" t="inlineStr">
        <is>
          <t>2</t>
        </is>
      </c>
      <c r="E1205" s="19" t="inlineStr">
        <is>
          <t>780</t>
        </is>
      </c>
      <c r="F1205" s="19" t="inlineStr">
        <is>
          <t>153</t>
        </is>
      </c>
      <c r="G1205" s="19" t="n"/>
      <c r="H1205" s="19" t="inlineStr">
        <is>
          <t>2</t>
        </is>
      </c>
      <c r="I1205" s="19" t="n"/>
      <c r="J1205" s="19" t="n"/>
      <c r="K1205" s="19" t="inlineStr">
        <is>
          <t>2</t>
        </is>
      </c>
      <c r="L1205" t="inlineStr">
        <is>
          <t>2026-08-08</t>
        </is>
      </c>
      <c r="N1205" t="inlineStr">
        <is>
          <t>IN_SCOPE_FINAL; SOURCE_CFG=IA-ST-CFG-0179; MARKET=None; STATUS=IN OEM / EU PACKAGE</t>
        </is>
      </c>
      <c r="O1205" t="inlineStr">
        <is>
          <t>2026-08-10T19:29:54Z</t>
        </is>
      </c>
      <c r="P1205" t="inlineStr">
        <is>
          <t>2026-08-10T19:29:54Z</t>
        </is>
      </c>
    </row>
    <row r="1206">
      <c r="A1206" s="19" t="inlineStr">
        <is>
          <t>1205</t>
        </is>
      </c>
      <c r="B1206" s="19" t="inlineStr">
        <is>
          <t>SC-1012906-ST-063-STD-08</t>
        </is>
      </c>
      <c r="C1206" t="inlineStr">
        <is>
          <t>1012906 → ST-063-STD-08</t>
        </is>
      </c>
      <c r="D1206" s="19" t="inlineStr">
        <is>
          <t>2</t>
        </is>
      </c>
      <c r="E1206" s="19" t="inlineStr">
        <is>
          <t>856</t>
        </is>
      </c>
      <c r="F1206" s="19" t="inlineStr">
        <is>
          <t>153</t>
        </is>
      </c>
      <c r="G1206" s="19" t="n"/>
      <c r="H1206" s="19" t="inlineStr">
        <is>
          <t>2</t>
        </is>
      </c>
      <c r="I1206" s="19" t="n"/>
      <c r="J1206" s="19" t="n"/>
      <c r="K1206" s="19" t="inlineStr">
        <is>
          <t>2</t>
        </is>
      </c>
      <c r="L1206" t="inlineStr">
        <is>
          <t>2026-08-08</t>
        </is>
      </c>
      <c r="N1206" t="inlineStr">
        <is>
          <t>IN_SCOPE_FINAL; SOURCE_CFG=IA-ST-CFG-0179; MARKET=SHAWKAT; STATUS=IN OEM / EU PACKAGE</t>
        </is>
      </c>
      <c r="O1206" t="inlineStr">
        <is>
          <t>2026-08-10T19:29:54Z</t>
        </is>
      </c>
      <c r="P1206" t="inlineStr">
        <is>
          <t>2026-08-10T19:29:54Z</t>
        </is>
      </c>
    </row>
    <row r="1207">
      <c r="A1207" s="19" t="inlineStr">
        <is>
          <t>1206</t>
        </is>
      </c>
      <c r="B1207" s="19" t="inlineStr">
        <is>
          <t>SC-1013132-ST-063-STD-08</t>
        </is>
      </c>
      <c r="C1207" t="inlineStr">
        <is>
          <t>1013132 → ST-063-STD-08</t>
        </is>
      </c>
      <c r="D1207" s="19" t="inlineStr">
        <is>
          <t>2</t>
        </is>
      </c>
      <c r="E1207" s="19" t="inlineStr">
        <is>
          <t>925</t>
        </is>
      </c>
      <c r="F1207" s="19" t="inlineStr">
        <is>
          <t>153</t>
        </is>
      </c>
      <c r="G1207" s="19" t="n"/>
      <c r="H1207" s="19" t="inlineStr">
        <is>
          <t>2</t>
        </is>
      </c>
      <c r="I1207" s="19" t="n"/>
      <c r="J1207" s="19" t="n"/>
      <c r="K1207" s="19" t="inlineStr">
        <is>
          <t>2</t>
        </is>
      </c>
      <c r="L1207" t="inlineStr">
        <is>
          <t>2026-08-08</t>
        </is>
      </c>
      <c r="N1207" t="inlineStr">
        <is>
          <t>IN_SCOPE_FINAL; SOURCE_CFG=IA-ST-CFG-0179; MARKET=None; STATUS=IN OEM / EU PACKAGE</t>
        </is>
      </c>
      <c r="O1207" t="inlineStr">
        <is>
          <t>2026-08-10T19:29:54Z</t>
        </is>
      </c>
      <c r="P1207" t="inlineStr">
        <is>
          <t>2026-08-10T19:29:54Z</t>
        </is>
      </c>
    </row>
    <row r="1208">
      <c r="A1208" s="19" t="inlineStr">
        <is>
          <t>1207</t>
        </is>
      </c>
      <c r="B1208" s="19" t="inlineStr">
        <is>
          <t>SC-1013144-ST-063-STD-08</t>
        </is>
      </c>
      <c r="C1208" t="inlineStr">
        <is>
          <t>1013144 → ST-063-STD-08</t>
        </is>
      </c>
      <c r="D1208" s="19" t="inlineStr">
        <is>
          <t>2</t>
        </is>
      </c>
      <c r="E1208" s="19" t="inlineStr">
        <is>
          <t>928</t>
        </is>
      </c>
      <c r="F1208" s="19" t="inlineStr">
        <is>
          <t>153</t>
        </is>
      </c>
      <c r="G1208" s="19" t="n"/>
      <c r="H1208" s="19" t="inlineStr">
        <is>
          <t>2</t>
        </is>
      </c>
      <c r="I1208" s="19" t="n"/>
      <c r="J1208" s="19" t="n"/>
      <c r="K1208" s="19" t="inlineStr">
        <is>
          <t>2</t>
        </is>
      </c>
      <c r="L1208" t="inlineStr">
        <is>
          <t>2026-08-08</t>
        </is>
      </c>
      <c r="N1208" t="inlineStr">
        <is>
          <t>IN_SCOPE_FINAL; SOURCE_CFG=IA-ST-CFG-0179; MARKET=TÜRKMENİSTAN; STATUS=IN OEM / EU PACKAGE</t>
        </is>
      </c>
      <c r="O1208" t="inlineStr">
        <is>
          <t>2026-08-10T19:29:54Z</t>
        </is>
      </c>
      <c r="P1208" t="inlineStr">
        <is>
          <t>2026-08-10T19:29:54Z</t>
        </is>
      </c>
    </row>
    <row r="1209">
      <c r="A1209" s="19" t="inlineStr">
        <is>
          <t>1208</t>
        </is>
      </c>
      <c r="B1209" s="19" t="inlineStr">
        <is>
          <t>SC-1013675-ST-063-STD-08</t>
        </is>
      </c>
      <c r="C1209" t="inlineStr">
        <is>
          <t>1013675 → ST-063-STD-08</t>
        </is>
      </c>
      <c r="D1209" s="19" t="inlineStr">
        <is>
          <t>2</t>
        </is>
      </c>
      <c r="E1209" s="19" t="inlineStr">
        <is>
          <t>1062</t>
        </is>
      </c>
      <c r="F1209" s="19" t="inlineStr">
        <is>
          <t>153</t>
        </is>
      </c>
      <c r="G1209" s="19" t="n"/>
      <c r="H1209" s="19" t="inlineStr">
        <is>
          <t>2</t>
        </is>
      </c>
      <c r="I1209" s="19" t="n"/>
      <c r="J1209" s="19" t="n"/>
      <c r="K1209" s="19" t="inlineStr">
        <is>
          <t>2</t>
        </is>
      </c>
      <c r="L1209" t="inlineStr">
        <is>
          <t>2026-08-08</t>
        </is>
      </c>
      <c r="N1209" t="inlineStr">
        <is>
          <t>IN_SCOPE_FINAL; SOURCE_CFG=IA-ST-CFG-0179; MARKET=None; STATUS=IN OEM / EU PACKAGE</t>
        </is>
      </c>
      <c r="O1209" t="inlineStr">
        <is>
          <t>2026-08-10T19:29:54Z</t>
        </is>
      </c>
      <c r="P1209" t="inlineStr">
        <is>
          <t>2026-08-10T19:29:54Z</t>
        </is>
      </c>
    </row>
    <row r="1210">
      <c r="A1210" s="19" t="inlineStr">
        <is>
          <t>1209</t>
        </is>
      </c>
      <c r="B1210" s="19" t="inlineStr">
        <is>
          <t>SC-1013696-ST-063-STD-08</t>
        </is>
      </c>
      <c r="C1210" t="inlineStr">
        <is>
          <t>1013696 → ST-063-STD-08</t>
        </is>
      </c>
      <c r="D1210" s="19" t="inlineStr">
        <is>
          <t>2</t>
        </is>
      </c>
      <c r="E1210" s="19" t="inlineStr">
        <is>
          <t>1066</t>
        </is>
      </c>
      <c r="F1210" s="19" t="inlineStr">
        <is>
          <t>153</t>
        </is>
      </c>
      <c r="G1210" s="19" t="n"/>
      <c r="H1210" s="19" t="inlineStr">
        <is>
          <t>2</t>
        </is>
      </c>
      <c r="I1210" s="19" t="n"/>
      <c r="J1210" s="19" t="n"/>
      <c r="K1210" s="19" t="inlineStr">
        <is>
          <t>2</t>
        </is>
      </c>
      <c r="L1210" t="inlineStr">
        <is>
          <t>2026-08-08</t>
        </is>
      </c>
      <c r="N1210" t="inlineStr">
        <is>
          <t>IN_SCOPE_FINAL; SOURCE_CFG=IA-ST-CFG-0179; MARKET=None; STATUS=IN OEM / EU PACKAGE</t>
        </is>
      </c>
      <c r="O1210" t="inlineStr">
        <is>
          <t>2026-08-10T19:29:54Z</t>
        </is>
      </c>
      <c r="P1210" t="inlineStr">
        <is>
          <t>2026-08-10T19:29:54Z</t>
        </is>
      </c>
    </row>
    <row r="1211">
      <c r="A1211" s="19" t="inlineStr">
        <is>
          <t>1210</t>
        </is>
      </c>
      <c r="B1211" s="19" t="inlineStr">
        <is>
          <t>SC-1013943-ST-063-STD-08</t>
        </is>
      </c>
      <c r="C1211" t="inlineStr">
        <is>
          <t>1013943 → ST-063-STD-08</t>
        </is>
      </c>
      <c r="D1211" s="19" t="inlineStr">
        <is>
          <t>2</t>
        </is>
      </c>
      <c r="E1211" s="19" t="inlineStr">
        <is>
          <t>1139</t>
        </is>
      </c>
      <c r="F1211" s="19" t="inlineStr">
        <is>
          <t>153</t>
        </is>
      </c>
      <c r="G1211" s="19" t="n"/>
      <c r="H1211" s="19" t="inlineStr">
        <is>
          <t>2</t>
        </is>
      </c>
      <c r="I1211" s="19" t="n"/>
      <c r="J1211" s="19" t="n"/>
      <c r="K1211" s="19" t="inlineStr">
        <is>
          <t>2</t>
        </is>
      </c>
      <c r="L1211" t="inlineStr">
        <is>
          <t>2026-08-08</t>
        </is>
      </c>
      <c r="N1211" t="inlineStr">
        <is>
          <t>IN_SCOPE_FINAL; SOURCE_CFG=IA-ST-CFG-0179; MARKET=None; STATUS=IN OEM / EU PACKAGE</t>
        </is>
      </c>
      <c r="O1211" t="inlineStr">
        <is>
          <t>2026-08-10T19:29:54Z</t>
        </is>
      </c>
      <c r="P1211" t="inlineStr">
        <is>
          <t>2026-08-10T19:29:54Z</t>
        </is>
      </c>
    </row>
    <row r="1212">
      <c r="A1212" s="19" t="inlineStr">
        <is>
          <t>1211</t>
        </is>
      </c>
      <c r="B1212" s="19" t="inlineStr">
        <is>
          <t>SC-1014276-ST-063-STD-08</t>
        </is>
      </c>
      <c r="C1212" t="inlineStr">
        <is>
          <t>1014276 → ST-063-STD-08</t>
        </is>
      </c>
      <c r="D1212" s="19" t="inlineStr">
        <is>
          <t>2</t>
        </is>
      </c>
      <c r="E1212" s="19" t="inlineStr">
        <is>
          <t>1290</t>
        </is>
      </c>
      <c r="F1212" s="19" t="inlineStr">
        <is>
          <t>153</t>
        </is>
      </c>
      <c r="G1212" s="19" t="n"/>
      <c r="H1212" s="19" t="inlineStr">
        <is>
          <t>2</t>
        </is>
      </c>
      <c r="I1212" s="19" t="n"/>
      <c r="J1212" s="19" t="n"/>
      <c r="K1212" s="19" t="inlineStr">
        <is>
          <t>2</t>
        </is>
      </c>
      <c r="L1212" t="inlineStr">
        <is>
          <t>2026-08-08</t>
        </is>
      </c>
      <c r="N1212" t="inlineStr">
        <is>
          <t>IN_SCOPE_FINAL; SOURCE_CFG=IA-ST-CFG-0179; MARKET=None; STATUS=IN OEM / EU PACKAGE</t>
        </is>
      </c>
      <c r="O1212" t="inlineStr">
        <is>
          <t>2026-08-10T19:29:54Z</t>
        </is>
      </c>
      <c r="P1212" t="inlineStr">
        <is>
          <t>2026-08-10T19:29:54Z</t>
        </is>
      </c>
    </row>
    <row r="1213">
      <c r="A1213" s="19" t="inlineStr">
        <is>
          <t>1212</t>
        </is>
      </c>
      <c r="B1213" s="19" t="inlineStr">
        <is>
          <t>SC-1014280-ST-063-STD-08</t>
        </is>
      </c>
      <c r="C1213" t="inlineStr">
        <is>
          <t>1014280 → ST-063-STD-08</t>
        </is>
      </c>
      <c r="D1213" s="19" t="inlineStr">
        <is>
          <t>2</t>
        </is>
      </c>
      <c r="E1213" s="19" t="inlineStr">
        <is>
          <t>1293</t>
        </is>
      </c>
      <c r="F1213" s="19" t="inlineStr">
        <is>
          <t>153</t>
        </is>
      </c>
      <c r="G1213" s="19" t="n"/>
      <c r="H1213" s="19" t="inlineStr">
        <is>
          <t>2</t>
        </is>
      </c>
      <c r="I1213" s="19" t="n"/>
      <c r="J1213" s="19" t="n"/>
      <c r="K1213" s="19" t="inlineStr">
        <is>
          <t>2</t>
        </is>
      </c>
      <c r="L1213" t="inlineStr">
        <is>
          <t>2026-08-08</t>
        </is>
      </c>
      <c r="N1213" t="inlineStr">
        <is>
          <t>IN_SCOPE_FINAL; SOURCE_CFG=IA-ST-CFG-0179; MARKET=None; STATUS=IN OEM / EU PACKAGE</t>
        </is>
      </c>
      <c r="O1213" t="inlineStr">
        <is>
          <t>2026-08-10T19:29:54Z</t>
        </is>
      </c>
      <c r="P1213" t="inlineStr">
        <is>
          <t>2026-08-10T19:29:54Z</t>
        </is>
      </c>
    </row>
    <row r="1214">
      <c r="A1214" s="19" t="inlineStr">
        <is>
          <t>1213</t>
        </is>
      </c>
      <c r="B1214" s="19" t="inlineStr">
        <is>
          <t>SC-1014516-ST-063-STD-08</t>
        </is>
      </c>
      <c r="C1214" t="inlineStr">
        <is>
          <t>1014516 → ST-063-STD-08</t>
        </is>
      </c>
      <c r="D1214" s="19" t="inlineStr">
        <is>
          <t>2</t>
        </is>
      </c>
      <c r="E1214" s="19" t="inlineStr">
        <is>
          <t>1426</t>
        </is>
      </c>
      <c r="F1214" s="19" t="inlineStr">
        <is>
          <t>153</t>
        </is>
      </c>
      <c r="G1214" s="19" t="n"/>
      <c r="H1214" s="19" t="inlineStr">
        <is>
          <t>2</t>
        </is>
      </c>
      <c r="I1214" s="19" t="n"/>
      <c r="J1214" s="19" t="n"/>
      <c r="K1214" s="19" t="inlineStr">
        <is>
          <t>2</t>
        </is>
      </c>
      <c r="L1214" t="inlineStr">
        <is>
          <t>2026-08-08</t>
        </is>
      </c>
      <c r="N1214" t="inlineStr">
        <is>
          <t>IN_SCOPE_FINAL; SOURCE_CFG=IA-ST-CFG-0179; MARKET=TÜRKMENİSTAN; STATUS=IN OEM / EU PACKAGE</t>
        </is>
      </c>
      <c r="O1214" t="inlineStr">
        <is>
          <t>2026-08-10T19:29:54Z</t>
        </is>
      </c>
      <c r="P1214" t="inlineStr">
        <is>
          <t>2026-08-10T19:29:54Z</t>
        </is>
      </c>
    </row>
    <row r="1215">
      <c r="A1215" s="19" t="inlineStr">
        <is>
          <t>1214</t>
        </is>
      </c>
      <c r="B1215" s="19" t="inlineStr">
        <is>
          <t>SC-1014553-ST-063-STD-08</t>
        </is>
      </c>
      <c r="C1215" t="inlineStr">
        <is>
          <t>1014553 → ST-063-STD-08</t>
        </is>
      </c>
      <c r="D1215" s="19" t="inlineStr">
        <is>
          <t>2</t>
        </is>
      </c>
      <c r="E1215" s="19" t="inlineStr">
        <is>
          <t>1442</t>
        </is>
      </c>
      <c r="F1215" s="19" t="inlineStr">
        <is>
          <t>153</t>
        </is>
      </c>
      <c r="G1215" s="19" t="n"/>
      <c r="H1215" s="19" t="inlineStr">
        <is>
          <t>2</t>
        </is>
      </c>
      <c r="I1215" s="19" t="n"/>
      <c r="J1215" s="19" t="n"/>
      <c r="K1215" s="19" t="inlineStr">
        <is>
          <t>2</t>
        </is>
      </c>
      <c r="L1215" t="inlineStr">
        <is>
          <t>2026-08-08</t>
        </is>
      </c>
      <c r="N1215" t="inlineStr">
        <is>
          <t>IN_SCOPE_FINAL; SOURCE_CFG=IA-ST-CFG-0179; MARKET=MISIR NACITA; STATUS=IN OEM / EU PACKAGE</t>
        </is>
      </c>
      <c r="O1215" t="inlineStr">
        <is>
          <t>2026-08-10T19:29:54Z</t>
        </is>
      </c>
      <c r="P1215" t="inlineStr">
        <is>
          <t>2026-08-10T19:29:54Z</t>
        </is>
      </c>
    </row>
    <row r="1216">
      <c r="A1216" s="19" t="inlineStr">
        <is>
          <t>1215</t>
        </is>
      </c>
      <c r="B1216" s="19" t="inlineStr">
        <is>
          <t>SC-1014595-ST-063-STD-08</t>
        </is>
      </c>
      <c r="C1216" t="inlineStr">
        <is>
          <t>1014595 → ST-063-STD-08</t>
        </is>
      </c>
      <c r="D1216" s="19" t="inlineStr">
        <is>
          <t>2</t>
        </is>
      </c>
      <c r="E1216" s="19" t="inlineStr">
        <is>
          <t>1480</t>
        </is>
      </c>
      <c r="F1216" s="19" t="inlineStr">
        <is>
          <t>153</t>
        </is>
      </c>
      <c r="G1216" s="19" t="n"/>
      <c r="H1216" s="19" t="inlineStr">
        <is>
          <t>2</t>
        </is>
      </c>
      <c r="I1216" s="19" t="n"/>
      <c r="J1216" s="19" t="n"/>
      <c r="K1216" s="19" t="inlineStr">
        <is>
          <t>2</t>
        </is>
      </c>
      <c r="L1216" t="inlineStr">
        <is>
          <t>2026-08-08</t>
        </is>
      </c>
      <c r="N1216" t="inlineStr">
        <is>
          <t>IN_SCOPE_FINAL; SOURCE_CFG=IA-ST-CFG-0179; MARKET=TÜRKMENİSTAN; STATUS=IN OEM / EU PACKAGE</t>
        </is>
      </c>
      <c r="O1216" t="inlineStr">
        <is>
          <t>2026-08-10T19:29:54Z</t>
        </is>
      </c>
      <c r="P1216" t="inlineStr">
        <is>
          <t>2026-08-10T19:29:54Z</t>
        </is>
      </c>
    </row>
    <row r="1217">
      <c r="A1217" s="19" t="inlineStr">
        <is>
          <t>1216</t>
        </is>
      </c>
      <c r="B1217" s="19" t="inlineStr">
        <is>
          <t>SC-1014693-ST-063-STD-08</t>
        </is>
      </c>
      <c r="C1217" t="inlineStr">
        <is>
          <t>1014693 → ST-063-STD-08</t>
        </is>
      </c>
      <c r="D1217" s="19" t="inlineStr">
        <is>
          <t>2</t>
        </is>
      </c>
      <c r="E1217" s="19" t="inlineStr">
        <is>
          <t>1545</t>
        </is>
      </c>
      <c r="F1217" s="19" t="inlineStr">
        <is>
          <t>153</t>
        </is>
      </c>
      <c r="G1217" s="19" t="n"/>
      <c r="H1217" s="19" t="inlineStr">
        <is>
          <t>2</t>
        </is>
      </c>
      <c r="I1217" s="19" t="n"/>
      <c r="J1217" s="19" t="n"/>
      <c r="K1217" s="19" t="inlineStr">
        <is>
          <t>2</t>
        </is>
      </c>
      <c r="L1217" t="inlineStr">
        <is>
          <t>2026-08-08</t>
        </is>
      </c>
      <c r="N1217" t="inlineStr">
        <is>
          <t>IN_SCOPE_FINAL; SOURCE_CFG=IA-ST-CFG-0179; MARKET=TÜRKMENİSTAN; STATUS=IN OEM / EU PACKAGE</t>
        </is>
      </c>
      <c r="O1217" t="inlineStr">
        <is>
          <t>2026-08-10T19:29:54Z</t>
        </is>
      </c>
      <c r="P1217" t="inlineStr">
        <is>
          <t>2026-08-10T19:29:54Z</t>
        </is>
      </c>
    </row>
    <row r="1218">
      <c r="A1218" s="19" t="inlineStr">
        <is>
          <t>1217</t>
        </is>
      </c>
      <c r="B1218" s="19" t="inlineStr">
        <is>
          <t>SC-1014697-ST-063-STD-08</t>
        </is>
      </c>
      <c r="C1218" t="inlineStr">
        <is>
          <t>1014697 → ST-063-STD-08</t>
        </is>
      </c>
      <c r="D1218" s="19" t="inlineStr">
        <is>
          <t>2</t>
        </is>
      </c>
      <c r="E1218" s="19" t="inlineStr">
        <is>
          <t>1549</t>
        </is>
      </c>
      <c r="F1218" s="19" t="inlineStr">
        <is>
          <t>153</t>
        </is>
      </c>
      <c r="G1218" s="19" t="n"/>
      <c r="H1218" s="19" t="inlineStr">
        <is>
          <t>2</t>
        </is>
      </c>
      <c r="I1218" s="19" t="n"/>
      <c r="J1218" s="19" t="n"/>
      <c r="K1218" s="19" t="inlineStr">
        <is>
          <t>2</t>
        </is>
      </c>
      <c r="L1218" t="inlineStr">
        <is>
          <t>2026-08-08</t>
        </is>
      </c>
      <c r="N1218" t="inlineStr">
        <is>
          <t>IN_SCOPE_FINAL; SOURCE_CFG=IA-ST-CFG-0179; MARKET=TÜRKMENİSTAN; STATUS=IN OEM / EU PACKAGE</t>
        </is>
      </c>
      <c r="O1218" t="inlineStr">
        <is>
          <t>2026-08-10T19:29:54Z</t>
        </is>
      </c>
      <c r="P1218" t="inlineStr">
        <is>
          <t>2026-08-10T19:29:54Z</t>
        </is>
      </c>
    </row>
    <row r="1219">
      <c r="A1219" s="19" t="inlineStr">
        <is>
          <t>1218</t>
        </is>
      </c>
      <c r="B1219" s="19" t="inlineStr">
        <is>
          <t>SC-1014699-ST-063-STD-08</t>
        </is>
      </c>
      <c r="C1219" t="inlineStr">
        <is>
          <t>1014699 → ST-063-STD-08</t>
        </is>
      </c>
      <c r="D1219" s="19" t="inlineStr">
        <is>
          <t>2</t>
        </is>
      </c>
      <c r="E1219" s="19" t="inlineStr">
        <is>
          <t>1551</t>
        </is>
      </c>
      <c r="F1219" s="19" t="inlineStr">
        <is>
          <t>153</t>
        </is>
      </c>
      <c r="G1219" s="19" t="n"/>
      <c r="H1219" s="19" t="inlineStr">
        <is>
          <t>2</t>
        </is>
      </c>
      <c r="I1219" s="19" t="n"/>
      <c r="J1219" s="19" t="n"/>
      <c r="K1219" s="19" t="inlineStr">
        <is>
          <t>2</t>
        </is>
      </c>
      <c r="L1219" t="inlineStr">
        <is>
          <t>2026-08-08</t>
        </is>
      </c>
      <c r="N1219" t="inlineStr">
        <is>
          <t>IN_SCOPE_FINAL; SOURCE_CFG=IA-ST-CFG-0179; MARKET=TÜRKMENİSTAN; STATUS=IN OEM / EU PACKAGE</t>
        </is>
      </c>
      <c r="O1219" t="inlineStr">
        <is>
          <t>2026-08-10T19:29:54Z</t>
        </is>
      </c>
      <c r="P1219" t="inlineStr">
        <is>
          <t>2026-08-10T19:29:54Z</t>
        </is>
      </c>
    </row>
    <row r="1220">
      <c r="A1220" s="19" t="inlineStr">
        <is>
          <t>1219</t>
        </is>
      </c>
      <c r="B1220" s="19" t="inlineStr">
        <is>
          <t>SC-1014709-ST-063-STD-08</t>
        </is>
      </c>
      <c r="C1220" t="inlineStr">
        <is>
          <t>1014709 → ST-063-STD-08</t>
        </is>
      </c>
      <c r="D1220" s="19" t="inlineStr">
        <is>
          <t>2</t>
        </is>
      </c>
      <c r="E1220" s="19" t="inlineStr">
        <is>
          <t>1555</t>
        </is>
      </c>
      <c r="F1220" s="19" t="inlineStr">
        <is>
          <t>153</t>
        </is>
      </c>
      <c r="G1220" s="19" t="n"/>
      <c r="H1220" s="19" t="inlineStr">
        <is>
          <t>2</t>
        </is>
      </c>
      <c r="I1220" s="19" t="n"/>
      <c r="J1220" s="19" t="n"/>
      <c r="K1220" s="19" t="inlineStr">
        <is>
          <t>2</t>
        </is>
      </c>
      <c r="L1220" t="inlineStr">
        <is>
          <t>2026-08-08</t>
        </is>
      </c>
      <c r="N1220" t="inlineStr">
        <is>
          <t>IN_SCOPE_FINAL; SOURCE_CFG=IA-ST-CFG-0179; MARKET=TÜRKMENİSTAN; STATUS=IN OEM / EU PACKAGE</t>
        </is>
      </c>
      <c r="O1220" t="inlineStr">
        <is>
          <t>2026-08-10T19:29:54Z</t>
        </is>
      </c>
      <c r="P1220" t="inlineStr">
        <is>
          <t>2026-08-10T19:29:54Z</t>
        </is>
      </c>
    </row>
    <row r="1221">
      <c r="A1221" s="19" t="inlineStr">
        <is>
          <t>1220</t>
        </is>
      </c>
      <c r="B1221" s="19" t="inlineStr">
        <is>
          <t>SC-1014740-ST-063-STD-08</t>
        </is>
      </c>
      <c r="C1221" t="inlineStr">
        <is>
          <t>1014740 → ST-063-STD-08</t>
        </is>
      </c>
      <c r="D1221" s="19" t="inlineStr">
        <is>
          <t>2</t>
        </is>
      </c>
      <c r="E1221" s="19" t="inlineStr">
        <is>
          <t>1574</t>
        </is>
      </c>
      <c r="F1221" s="19" t="inlineStr">
        <is>
          <t>153</t>
        </is>
      </c>
      <c r="G1221" s="19" t="n"/>
      <c r="H1221" s="19" t="inlineStr">
        <is>
          <t>2</t>
        </is>
      </c>
      <c r="I1221" s="19" t="n"/>
      <c r="J1221" s="19" t="n"/>
      <c r="K1221" s="19" t="inlineStr">
        <is>
          <t>2</t>
        </is>
      </c>
      <c r="L1221" t="inlineStr">
        <is>
          <t>2026-08-08</t>
        </is>
      </c>
      <c r="N1221" t="inlineStr">
        <is>
          <t>IN_SCOPE_FINAL; SOURCE_CFG=IA-ST-CFG-0179; MARKET=ARCOBALENO-GANA; STATUS=IN OEM / EU PACKAGE</t>
        </is>
      </c>
      <c r="O1221" t="inlineStr">
        <is>
          <t>2026-08-10T19:29:54Z</t>
        </is>
      </c>
      <c r="P1221" t="inlineStr">
        <is>
          <t>2026-08-10T19:29:54Z</t>
        </is>
      </c>
    </row>
    <row r="1222">
      <c r="A1222" s="19" t="inlineStr">
        <is>
          <t>1221</t>
        </is>
      </c>
      <c r="B1222" s="19" t="inlineStr">
        <is>
          <t>SC-1014884-ST-063-STD-08</t>
        </is>
      </c>
      <c r="C1222" t="inlineStr">
        <is>
          <t>1014884 → ST-063-STD-08</t>
        </is>
      </c>
      <c r="D1222" s="19" t="inlineStr">
        <is>
          <t>2</t>
        </is>
      </c>
      <c r="E1222" s="19" t="inlineStr">
        <is>
          <t>1656</t>
        </is>
      </c>
      <c r="F1222" s="19" t="inlineStr">
        <is>
          <t>153</t>
        </is>
      </c>
      <c r="G1222" s="19" t="n"/>
      <c r="H1222" s="19" t="inlineStr">
        <is>
          <t>2</t>
        </is>
      </c>
      <c r="I1222" s="19" t="n"/>
      <c r="J1222" s="19" t="n"/>
      <c r="K1222" s="19" t="inlineStr">
        <is>
          <t>2</t>
        </is>
      </c>
      <c r="L1222" t="inlineStr">
        <is>
          <t>2026-08-08</t>
        </is>
      </c>
      <c r="N1222" t="inlineStr">
        <is>
          <t>IN_SCOPE_FINAL; SOURCE_CFG=IA-ST-CFG-0179; MARKET=MULTISERVICIOSGOODWHEVENEZUELA; STATUS=IN OEM / EU PACKAGE</t>
        </is>
      </c>
      <c r="O1222" t="inlineStr">
        <is>
          <t>2026-08-10T19:29:54Z</t>
        </is>
      </c>
      <c r="P1222" t="inlineStr">
        <is>
          <t>2026-08-10T19:29:54Z</t>
        </is>
      </c>
    </row>
    <row r="1223">
      <c r="A1223" s="19" t="inlineStr">
        <is>
          <t>1222</t>
        </is>
      </c>
      <c r="B1223" s="19" t="inlineStr">
        <is>
          <t>SC-1014891-ST-063-STD-08</t>
        </is>
      </c>
      <c r="C1223" t="inlineStr">
        <is>
          <t>1014891 → ST-063-STD-08</t>
        </is>
      </c>
      <c r="D1223" s="19" t="inlineStr">
        <is>
          <t>2</t>
        </is>
      </c>
      <c r="E1223" s="19" t="inlineStr">
        <is>
          <t>1660</t>
        </is>
      </c>
      <c r="F1223" s="19" t="inlineStr">
        <is>
          <t>153</t>
        </is>
      </c>
      <c r="G1223" s="19" t="n"/>
      <c r="H1223" s="19" t="inlineStr">
        <is>
          <t>2</t>
        </is>
      </c>
      <c r="I1223" s="19" t="n"/>
      <c r="J1223" s="19" t="n"/>
      <c r="K1223" s="19" t="inlineStr">
        <is>
          <t>2</t>
        </is>
      </c>
      <c r="L1223" t="inlineStr">
        <is>
          <t>2026-08-08</t>
        </is>
      </c>
      <c r="N1223" t="inlineStr">
        <is>
          <t>IN_SCOPE_FINAL; SOURCE_CFG=IA-ST-CFG-0179; MARKET=REY &amp; LENFERNA LUCAS; STATUS=IN OEM / EU PACKAGE</t>
        </is>
      </c>
      <c r="O1223" t="inlineStr">
        <is>
          <t>2026-08-10T19:29:54Z</t>
        </is>
      </c>
      <c r="P1223" t="inlineStr">
        <is>
          <t>2026-08-10T19:29:54Z</t>
        </is>
      </c>
    </row>
    <row r="1224">
      <c r="A1224" s="19" t="inlineStr">
        <is>
          <t>1223</t>
        </is>
      </c>
      <c r="B1224" s="19" t="inlineStr">
        <is>
          <t>SC-1015023-ST-063-STD-08</t>
        </is>
      </c>
      <c r="C1224" t="inlineStr">
        <is>
          <t>1015023 → ST-063-STD-08</t>
        </is>
      </c>
      <c r="D1224" s="19" t="inlineStr">
        <is>
          <t>2</t>
        </is>
      </c>
      <c r="E1224" s="19" t="inlineStr">
        <is>
          <t>1783</t>
        </is>
      </c>
      <c r="F1224" s="19" t="inlineStr">
        <is>
          <t>153</t>
        </is>
      </c>
      <c r="G1224" s="19" t="n"/>
      <c r="H1224" s="19" t="inlineStr">
        <is>
          <t>2</t>
        </is>
      </c>
      <c r="I1224" s="19" t="n"/>
      <c r="J1224" s="19" t="n"/>
      <c r="K1224" s="19" t="inlineStr">
        <is>
          <t>2</t>
        </is>
      </c>
      <c r="L1224" t="inlineStr">
        <is>
          <t>2026-08-08</t>
        </is>
      </c>
      <c r="N1224" t="inlineStr">
        <is>
          <t>IN_SCOPE_FINAL; SOURCE_CFG=IA-ST-CFG-0179; MARKET=TÜRKMENİSTAN; STATUS=IN OEM / EU PACKAGE</t>
        </is>
      </c>
      <c r="O1224" t="inlineStr">
        <is>
          <t>2026-08-10T19:29:54Z</t>
        </is>
      </c>
      <c r="P1224" t="inlineStr">
        <is>
          <t>2026-08-10T19:29:54Z</t>
        </is>
      </c>
    </row>
    <row r="1225">
      <c r="A1225" s="19" t="inlineStr">
        <is>
          <t>1224</t>
        </is>
      </c>
      <c r="B1225" s="19" t="inlineStr">
        <is>
          <t>SC-1015306-ST-063-STD-08</t>
        </is>
      </c>
      <c r="C1225" t="inlineStr">
        <is>
          <t>1015306 → ST-063-STD-08</t>
        </is>
      </c>
      <c r="D1225" s="19" t="inlineStr">
        <is>
          <t>2</t>
        </is>
      </c>
      <c r="E1225" s="19" t="inlineStr">
        <is>
          <t>2030</t>
        </is>
      </c>
      <c r="F1225" s="19" t="inlineStr">
        <is>
          <t>153</t>
        </is>
      </c>
      <c r="G1225" s="19" t="n"/>
      <c r="H1225" s="19" t="inlineStr">
        <is>
          <t>2</t>
        </is>
      </c>
      <c r="I1225" s="19" t="n"/>
      <c r="J1225" s="19" t="n"/>
      <c r="K1225" s="19" t="inlineStr">
        <is>
          <t>2</t>
        </is>
      </c>
      <c r="L1225" t="inlineStr">
        <is>
          <t>2026-08-08</t>
        </is>
      </c>
      <c r="N1225" t="inlineStr">
        <is>
          <t>IN_SCOPE_FINAL; SOURCE_CFG=IA-ST-CFG-0179; MARKET=MISIR AL AMAN; STATUS=IN OEM / EU PACKAGE</t>
        </is>
      </c>
      <c r="O1225" t="inlineStr">
        <is>
          <t>2026-08-10T19:29:54Z</t>
        </is>
      </c>
      <c r="P1225" t="inlineStr">
        <is>
          <t>2026-08-10T19:29:54Z</t>
        </is>
      </c>
    </row>
    <row r="1226">
      <c r="A1226" s="19" t="inlineStr">
        <is>
          <t>1225</t>
        </is>
      </c>
      <c r="B1226" s="19" t="inlineStr">
        <is>
          <t>SC-1012017-ST-063-STD-08</t>
        </is>
      </c>
      <c r="C1226" t="inlineStr">
        <is>
          <t>1012017 → ST-063-STD-08</t>
        </is>
      </c>
      <c r="D1226" s="19" t="inlineStr">
        <is>
          <t>2</t>
        </is>
      </c>
      <c r="E1226" s="19" t="inlineStr">
        <is>
          <t>474</t>
        </is>
      </c>
      <c r="F1226" s="19" t="inlineStr">
        <is>
          <t>153</t>
        </is>
      </c>
      <c r="G1226" s="19" t="n"/>
      <c r="H1226" s="19" t="inlineStr">
        <is>
          <t>2</t>
        </is>
      </c>
      <c r="I1226" s="19" t="n"/>
      <c r="J1226" s="19" t="n"/>
      <c r="K1226" s="19" t="inlineStr">
        <is>
          <t>2</t>
        </is>
      </c>
      <c r="L1226" t="inlineStr">
        <is>
          <t>2026-08-08</t>
        </is>
      </c>
      <c r="N1226" t="inlineStr">
        <is>
          <t>IN_SCOPE_FINAL; SOURCE_CFG=IA-ST-CFG-0179; MARKET=None; STATUS=IN OEM / EU PACKAGE</t>
        </is>
      </c>
      <c r="O1226" t="inlineStr">
        <is>
          <t>2026-08-10T19:29:54Z</t>
        </is>
      </c>
      <c r="P1226" t="inlineStr">
        <is>
          <t>2026-08-10T19:29:54Z</t>
        </is>
      </c>
    </row>
    <row r="1227">
      <c r="A1227" s="19" t="inlineStr">
        <is>
          <t>1226</t>
        </is>
      </c>
      <c r="B1227" s="19" t="inlineStr">
        <is>
          <t>SC-1012940-ST-063-STD-08</t>
        </is>
      </c>
      <c r="C1227" t="inlineStr">
        <is>
          <t>1012940 → ST-063-STD-08</t>
        </is>
      </c>
      <c r="D1227" s="19" t="inlineStr">
        <is>
          <t>2</t>
        </is>
      </c>
      <c r="E1227" s="19" t="inlineStr">
        <is>
          <t>875</t>
        </is>
      </c>
      <c r="F1227" s="19" t="inlineStr">
        <is>
          <t>153</t>
        </is>
      </c>
      <c r="G1227" s="19" t="n"/>
      <c r="H1227" s="19" t="inlineStr">
        <is>
          <t>2</t>
        </is>
      </c>
      <c r="I1227" s="19" t="n"/>
      <c r="J1227" s="19" t="n"/>
      <c r="K1227" s="19" t="inlineStr">
        <is>
          <t>2</t>
        </is>
      </c>
      <c r="L1227" t="inlineStr">
        <is>
          <t>2026-08-08</t>
        </is>
      </c>
      <c r="N1227" t="inlineStr">
        <is>
          <t>IN_SCOPE_FINAL; SOURCE_CFG=IA-ST-CFG-0179; MARKET=SHAWKAT; STATUS=IN OEM / EU PACKAGE</t>
        </is>
      </c>
      <c r="O1227" t="inlineStr">
        <is>
          <t>2026-08-10T19:29:54Z</t>
        </is>
      </c>
      <c r="P1227" t="inlineStr">
        <is>
          <t>2026-08-10T19:29:54Z</t>
        </is>
      </c>
    </row>
    <row r="1228">
      <c r="A1228" s="19" t="inlineStr">
        <is>
          <t>1227</t>
        </is>
      </c>
      <c r="B1228" s="19" t="inlineStr">
        <is>
          <t>SC-1014621-ST-063-STD-08</t>
        </is>
      </c>
      <c r="C1228" t="inlineStr">
        <is>
          <t>1014621 → ST-063-STD-08</t>
        </is>
      </c>
      <c r="D1228" s="19" t="inlineStr">
        <is>
          <t>2</t>
        </is>
      </c>
      <c r="E1228" s="19" t="inlineStr">
        <is>
          <t>1496</t>
        </is>
      </c>
      <c r="F1228" s="19" t="inlineStr">
        <is>
          <t>153</t>
        </is>
      </c>
      <c r="G1228" s="19" t="n"/>
      <c r="H1228" s="19" t="inlineStr">
        <is>
          <t>2</t>
        </is>
      </c>
      <c r="I1228" s="19" t="n"/>
      <c r="J1228" s="19" t="n"/>
      <c r="K1228" s="19" t="inlineStr">
        <is>
          <t>2</t>
        </is>
      </c>
      <c r="L1228" t="inlineStr">
        <is>
          <t>2026-08-08</t>
        </is>
      </c>
      <c r="N1228" t="inlineStr">
        <is>
          <t>IN_SCOPE_FINAL; SOURCE_CFG=IA-ST-CFG-0179; MARKET=MISIR NACITA; STATUS=IN OEM / EU PACKAGE</t>
        </is>
      </c>
      <c r="O1228" t="inlineStr">
        <is>
          <t>2026-08-10T19:29:54Z</t>
        </is>
      </c>
      <c r="P1228" t="inlineStr">
        <is>
          <t>2026-08-10T19:29:54Z</t>
        </is>
      </c>
    </row>
    <row r="1229">
      <c r="A1229" s="19" t="inlineStr">
        <is>
          <t>1228</t>
        </is>
      </c>
      <c r="B1229" s="19" t="inlineStr">
        <is>
          <t>SC-1015070-ST-063-STD-08</t>
        </is>
      </c>
      <c r="C1229" t="inlineStr">
        <is>
          <t>1015070 → ST-063-STD-08</t>
        </is>
      </c>
      <c r="D1229" s="19" t="inlineStr">
        <is>
          <t>2</t>
        </is>
      </c>
      <c r="E1229" s="19" t="inlineStr">
        <is>
          <t>1828</t>
        </is>
      </c>
      <c r="F1229" s="19" t="inlineStr">
        <is>
          <t>153</t>
        </is>
      </c>
      <c r="G1229" s="19" t="n"/>
      <c r="H1229" s="19" t="inlineStr">
        <is>
          <t>2</t>
        </is>
      </c>
      <c r="I1229" s="19" t="n"/>
      <c r="J1229" s="19" t="n"/>
      <c r="K1229" s="19" t="inlineStr">
        <is>
          <t>2</t>
        </is>
      </c>
      <c r="L1229" t="inlineStr">
        <is>
          <t>2026-08-08</t>
        </is>
      </c>
      <c r="N1229" t="inlineStr">
        <is>
          <t>IN_SCOPE_FINAL; SOURCE_CFG=IA-ST-CFG-0179; MARKET=MULTISERVICIOSGOODWHEVENEZUELA; STATUS=IN OEM / EU PACKAGE</t>
        </is>
      </c>
      <c r="O1229" t="inlineStr">
        <is>
          <t>2026-08-10T19:29:54Z</t>
        </is>
      </c>
      <c r="P1229" t="inlineStr">
        <is>
          <t>2026-08-10T19:29:54Z</t>
        </is>
      </c>
    </row>
    <row r="1230">
      <c r="A1230" s="19" t="inlineStr">
        <is>
          <t>1229</t>
        </is>
      </c>
      <c r="B1230" s="19" t="inlineStr">
        <is>
          <t>SC-1012712-ST-063-STD-08</t>
        </is>
      </c>
      <c r="C1230" t="inlineStr">
        <is>
          <t>1012712 → ST-063-STD-08</t>
        </is>
      </c>
      <c r="D1230" s="19" t="inlineStr">
        <is>
          <t>2</t>
        </is>
      </c>
      <c r="E1230" s="19" t="inlineStr">
        <is>
          <t>768</t>
        </is>
      </c>
      <c r="F1230" s="19" t="inlineStr">
        <is>
          <t>153</t>
        </is>
      </c>
      <c r="G1230" s="19" t="n"/>
      <c r="H1230" s="19" t="inlineStr">
        <is>
          <t>2</t>
        </is>
      </c>
      <c r="I1230" s="19" t="n"/>
      <c r="J1230" s="19" t="n"/>
      <c r="K1230" s="19" t="inlineStr">
        <is>
          <t>2</t>
        </is>
      </c>
      <c r="L1230" t="inlineStr">
        <is>
          <t>2026-08-08</t>
        </is>
      </c>
      <c r="N1230" t="inlineStr">
        <is>
          <t>IN_SCOPE_FINAL; SOURCE_CFG=IA-ST-CFG-0179; MARKET=FORD (Yurt İçi); STATUS=IN OEM / EU PACKAGE</t>
        </is>
      </c>
      <c r="O1230" t="inlineStr">
        <is>
          <t>2026-08-10T19:29:54Z</t>
        </is>
      </c>
      <c r="P1230" t="inlineStr">
        <is>
          <t>2026-08-10T19:29:54Z</t>
        </is>
      </c>
    </row>
    <row r="1231">
      <c r="A1231" s="19" t="inlineStr">
        <is>
          <t>1230</t>
        </is>
      </c>
      <c r="B1231" s="19" t="inlineStr">
        <is>
          <t>SC-1015155-ST-063-STD-08</t>
        </is>
      </c>
      <c r="C1231" t="inlineStr">
        <is>
          <t>1015155 → ST-063-STD-08</t>
        </is>
      </c>
      <c r="D1231" s="19" t="inlineStr">
        <is>
          <t>2</t>
        </is>
      </c>
      <c r="E1231" s="19" t="inlineStr">
        <is>
          <t>1902</t>
        </is>
      </c>
      <c r="F1231" s="19" t="inlineStr">
        <is>
          <t>153</t>
        </is>
      </c>
      <c r="G1231" s="19" t="n"/>
      <c r="H1231" s="19" t="inlineStr">
        <is>
          <t>2</t>
        </is>
      </c>
      <c r="I1231" s="19" t="n"/>
      <c r="J1231" s="19" t="n"/>
      <c r="K1231" s="19" t="inlineStr">
        <is>
          <t>2</t>
        </is>
      </c>
      <c r="L1231" t="inlineStr">
        <is>
          <t>2026-08-08</t>
        </is>
      </c>
      <c r="N1231" t="inlineStr">
        <is>
          <t>IN_SCOPE_FINAL; SOURCE_CFG=IA-ST-CFG-0179; MARKET=FULL JENERATÖR OEM (Yurt İçi); STATUS=IN OEM / EU PACKAGE</t>
        </is>
      </c>
      <c r="O1231" t="inlineStr">
        <is>
          <t>2026-08-10T19:29:54Z</t>
        </is>
      </c>
      <c r="P1231" t="inlineStr">
        <is>
          <t>2026-08-10T19:29:54Z</t>
        </is>
      </c>
    </row>
    <row r="1232">
      <c r="A1232" s="19" t="inlineStr">
        <is>
          <t>1231</t>
        </is>
      </c>
      <c r="B1232" s="19" t="inlineStr">
        <is>
          <t>SC-1015158-ST-063-STD-08</t>
        </is>
      </c>
      <c r="C1232" t="inlineStr">
        <is>
          <t>1015158 → ST-063-STD-08</t>
        </is>
      </c>
      <c r="D1232" s="19" t="inlineStr">
        <is>
          <t>2</t>
        </is>
      </c>
      <c r="E1232" s="19" t="inlineStr">
        <is>
          <t>1905</t>
        </is>
      </c>
      <c r="F1232" s="19" t="inlineStr">
        <is>
          <t>153</t>
        </is>
      </c>
      <c r="G1232" s="19" t="n"/>
      <c r="H1232" s="19" t="inlineStr">
        <is>
          <t>2</t>
        </is>
      </c>
      <c r="I1232" s="19" t="n"/>
      <c r="J1232" s="19" t="n"/>
      <c r="K1232" s="19" t="inlineStr">
        <is>
          <t>2</t>
        </is>
      </c>
      <c r="L1232" t="inlineStr">
        <is>
          <t>2026-08-08</t>
        </is>
      </c>
      <c r="N1232" t="inlineStr">
        <is>
          <t>IN_SCOPE_FINAL; SOURCE_CFG=IA-ST-CFG-0179; MARKET=FORD (Yurt İçi); STATUS=IN OEM / EU PACKAGE</t>
        </is>
      </c>
      <c r="O1232" t="inlineStr">
        <is>
          <t>2026-08-10T19:29:54Z</t>
        </is>
      </c>
      <c r="P1232" t="inlineStr">
        <is>
          <t>2026-08-10T19:29:54Z</t>
        </is>
      </c>
    </row>
    <row r="1233">
      <c r="A1233" s="19" t="inlineStr">
        <is>
          <t>1232</t>
        </is>
      </c>
      <c r="B1233" s="19" t="inlineStr">
        <is>
          <t>SC-1011103-ST-063-STD-08</t>
        </is>
      </c>
      <c r="C1233" t="inlineStr">
        <is>
          <t>1011103 → ST-063-STD-08</t>
        </is>
      </c>
      <c r="D1233" s="19" t="inlineStr">
        <is>
          <t>2</t>
        </is>
      </c>
      <c r="E1233" s="19" t="inlineStr">
        <is>
          <t>227</t>
        </is>
      </c>
      <c r="F1233" s="19" t="inlineStr">
        <is>
          <t>153</t>
        </is>
      </c>
      <c r="G1233" s="19" t="n"/>
      <c r="H1233" s="19" t="inlineStr">
        <is>
          <t>2</t>
        </is>
      </c>
      <c r="I1233" s="19" t="n"/>
      <c r="J1233" s="19" t="n"/>
      <c r="K1233" s="19" t="inlineStr">
        <is>
          <t>2</t>
        </is>
      </c>
      <c r="L1233" t="inlineStr">
        <is>
          <t>2026-08-08</t>
        </is>
      </c>
      <c r="N1233" t="inlineStr">
        <is>
          <t>IN_SCOPE_FINAL; SOURCE_CFG=IA-ST-CFG-0179; MARKET=TÜRKMENİSTAN; STATUS=IN OEM / EU PACKAGE</t>
        </is>
      </c>
      <c r="O1233" t="inlineStr">
        <is>
          <t>2026-08-10T19:29:54Z</t>
        </is>
      </c>
      <c r="P1233" t="inlineStr">
        <is>
          <t>2026-08-10T19:29:54Z</t>
        </is>
      </c>
    </row>
    <row r="1234">
      <c r="A1234" s="19" t="inlineStr">
        <is>
          <t>1233</t>
        </is>
      </c>
      <c r="B1234" s="19" t="inlineStr">
        <is>
          <t>SC-1014766-ST-063-STD-08</t>
        </is>
      </c>
      <c r="C1234" t="inlineStr">
        <is>
          <t>1014766 → ST-063-STD-08</t>
        </is>
      </c>
      <c r="D1234" s="19" t="inlineStr">
        <is>
          <t>2</t>
        </is>
      </c>
      <c r="E1234" s="19" t="inlineStr">
        <is>
          <t>1591</t>
        </is>
      </c>
      <c r="F1234" s="19" t="inlineStr">
        <is>
          <t>153</t>
        </is>
      </c>
      <c r="G1234" s="19" t="n"/>
      <c r="H1234" s="19" t="inlineStr">
        <is>
          <t>2</t>
        </is>
      </c>
      <c r="I1234" s="19" t="n"/>
      <c r="J1234" s="19" t="n"/>
      <c r="K1234" s="19" t="inlineStr">
        <is>
          <t>2</t>
        </is>
      </c>
      <c r="L1234" t="inlineStr">
        <is>
          <t>2026-08-08</t>
        </is>
      </c>
      <c r="N1234" t="inlineStr">
        <is>
          <t>IN_SCOPE_FINAL; SOURCE_CFG=IA-ST-CFG-0179; MARKET=TÜRKMENİSTAN; STATUS=IN OEM / EU PACKAGE</t>
        </is>
      </c>
      <c r="O1234" t="inlineStr">
        <is>
          <t>2026-08-10T19:29:54Z</t>
        </is>
      </c>
      <c r="P1234" t="inlineStr">
        <is>
          <t>2026-08-10T19:29:54Z</t>
        </is>
      </c>
    </row>
    <row r="1235">
      <c r="A1235" s="19" t="inlineStr">
        <is>
          <t>1234</t>
        </is>
      </c>
      <c r="B1235" s="19" t="inlineStr">
        <is>
          <t>SC-1014768-ST-063-STD-08</t>
        </is>
      </c>
      <c r="C1235" t="inlineStr">
        <is>
          <t>1014768 → ST-063-STD-08</t>
        </is>
      </c>
      <c r="D1235" s="19" t="inlineStr">
        <is>
          <t>2</t>
        </is>
      </c>
      <c r="E1235" s="19" t="inlineStr">
        <is>
          <t>1593</t>
        </is>
      </c>
      <c r="F1235" s="19" t="inlineStr">
        <is>
          <t>153</t>
        </is>
      </c>
      <c r="G1235" s="19" t="n"/>
      <c r="H1235" s="19" t="inlineStr">
        <is>
          <t>2</t>
        </is>
      </c>
      <c r="I1235" s="19" t="n"/>
      <c r="J1235" s="19" t="n"/>
      <c r="K1235" s="19" t="inlineStr">
        <is>
          <t>2</t>
        </is>
      </c>
      <c r="L1235" t="inlineStr">
        <is>
          <t>2026-08-08</t>
        </is>
      </c>
      <c r="N1235" t="inlineStr">
        <is>
          <t>IN_SCOPE_FINAL; SOURCE_CFG=IA-ST-CFG-0179; MARKET=TÜRKMENİSTAN; STATUS=IN OEM / EU PACKAGE</t>
        </is>
      </c>
      <c r="O1235" t="inlineStr">
        <is>
          <t>2026-08-10T19:29:54Z</t>
        </is>
      </c>
      <c r="P1235" t="inlineStr">
        <is>
          <t>2026-08-10T19:29:54Z</t>
        </is>
      </c>
    </row>
    <row r="1236">
      <c r="A1236" s="19" t="inlineStr">
        <is>
          <t>1235</t>
        </is>
      </c>
      <c r="B1236" s="19" t="inlineStr">
        <is>
          <t>SC-1012839-ST-063-STD-08</t>
        </is>
      </c>
      <c r="C1236" t="inlineStr">
        <is>
          <t>1012839 → ST-063-STD-08</t>
        </is>
      </c>
      <c r="D1236" s="19" t="inlineStr">
        <is>
          <t>2</t>
        </is>
      </c>
      <c r="E1236" s="19" t="inlineStr">
        <is>
          <t>810</t>
        </is>
      </c>
      <c r="F1236" s="19" t="inlineStr">
        <is>
          <t>153</t>
        </is>
      </c>
      <c r="G1236" s="19" t="n"/>
      <c r="H1236" s="19" t="inlineStr">
        <is>
          <t>2</t>
        </is>
      </c>
      <c r="I1236" s="19" t="n"/>
      <c r="J1236" s="19" t="n"/>
      <c r="K1236" s="19" t="inlineStr">
        <is>
          <t>2</t>
        </is>
      </c>
      <c r="L1236" t="inlineStr">
        <is>
          <t>2026-08-08</t>
        </is>
      </c>
      <c r="N1236" t="inlineStr">
        <is>
          <t>IN_SCOPE_FINAL; SOURCE_CFG=IA-ST-CFG-0179; MARKET=ISUZU (Yurt İçi); STATUS=IN OEM / EU PACKAGE</t>
        </is>
      </c>
      <c r="O1236" t="inlineStr">
        <is>
          <t>2026-08-10T19:29:54Z</t>
        </is>
      </c>
      <c r="P1236" t="inlineStr">
        <is>
          <t>2026-08-10T19:29:54Z</t>
        </is>
      </c>
    </row>
    <row r="1237">
      <c r="A1237" s="19" t="inlineStr">
        <is>
          <t>1236</t>
        </is>
      </c>
      <c r="B1237" s="19" t="inlineStr">
        <is>
          <t>SC-1014478-ST-063-STD-09</t>
        </is>
      </c>
      <c r="C1237" t="inlineStr">
        <is>
          <t>1014478 → ST-063-STD-09</t>
        </is>
      </c>
      <c r="D1237" s="19" t="inlineStr">
        <is>
          <t>2</t>
        </is>
      </c>
      <c r="E1237" s="19" t="inlineStr">
        <is>
          <t>1408</t>
        </is>
      </c>
      <c r="F1237" s="19" t="inlineStr">
        <is>
          <t>154</t>
        </is>
      </c>
      <c r="G1237" s="19" t="n"/>
      <c r="H1237" s="19" t="inlineStr">
        <is>
          <t>2</t>
        </is>
      </c>
      <c r="I1237" s="19" t="n"/>
      <c r="J1237" s="19" t="n"/>
      <c r="K1237" s="19" t="inlineStr">
        <is>
          <t>2</t>
        </is>
      </c>
      <c r="L1237" t="inlineStr">
        <is>
          <t>2026-08-08</t>
        </is>
      </c>
      <c r="N1237" t="inlineStr">
        <is>
          <t>IN_SCOPE_FINAL; SOURCE_CFG=IA-ST-CFG-0180; MARKET=REDMAY URUGUAY; STATUS=IN OEM / EU PACKAGE</t>
        </is>
      </c>
      <c r="O1237" t="inlineStr">
        <is>
          <t>2026-08-10T19:29:54Z</t>
        </is>
      </c>
      <c r="P1237" t="inlineStr">
        <is>
          <t>2026-08-10T19:29:54Z</t>
        </is>
      </c>
    </row>
    <row r="1238">
      <c r="A1238" s="19" t="inlineStr">
        <is>
          <t>1237</t>
        </is>
      </c>
      <c r="B1238" s="19" t="inlineStr">
        <is>
          <t>SC-1011763-ST-063-STD-10</t>
        </is>
      </c>
      <c r="C1238" t="inlineStr">
        <is>
          <t>1011763 → ST-063-STD-10</t>
        </is>
      </c>
      <c r="D1238" s="19" t="inlineStr">
        <is>
          <t>2</t>
        </is>
      </c>
      <c r="E1238" s="19" t="inlineStr">
        <is>
          <t>338</t>
        </is>
      </c>
      <c r="F1238" s="19" t="inlineStr">
        <is>
          <t>155</t>
        </is>
      </c>
      <c r="G1238" s="19" t="n"/>
      <c r="H1238" s="19" t="inlineStr">
        <is>
          <t>2</t>
        </is>
      </c>
      <c r="I1238" s="19" t="n"/>
      <c r="J1238" s="19" t="n"/>
      <c r="K1238" s="19" t="inlineStr">
        <is>
          <t>2</t>
        </is>
      </c>
      <c r="L1238" t="inlineStr">
        <is>
          <t>2026-08-08</t>
        </is>
      </c>
      <c r="N1238" t="inlineStr">
        <is>
          <t>IN_SCOPE_FINAL; SOURCE_CFG=IA-ST-CFG-0181; MARKET=YURT İÇİ AFM; STATUS=IN OEM / EU PACKAGE</t>
        </is>
      </c>
      <c r="O1238" t="inlineStr">
        <is>
          <t>2026-08-10T19:29:54Z</t>
        </is>
      </c>
      <c r="P1238" t="inlineStr">
        <is>
          <t>2026-08-10T19:29:54Z</t>
        </is>
      </c>
    </row>
    <row r="1239">
      <c r="A1239" s="19" t="inlineStr">
        <is>
          <t>1238</t>
        </is>
      </c>
      <c r="B1239" s="19" t="inlineStr">
        <is>
          <t>SC-1011163-ST-063-STD-10</t>
        </is>
      </c>
      <c r="C1239" t="inlineStr">
        <is>
          <t>1011163 → ST-063-STD-10</t>
        </is>
      </c>
      <c r="D1239" s="19" t="inlineStr">
        <is>
          <t>2</t>
        </is>
      </c>
      <c r="E1239" s="19" t="inlineStr">
        <is>
          <t>239</t>
        </is>
      </c>
      <c r="F1239" s="19" t="inlineStr">
        <is>
          <t>155</t>
        </is>
      </c>
      <c r="G1239" s="19" t="n"/>
      <c r="H1239" s="19" t="inlineStr">
        <is>
          <t>2</t>
        </is>
      </c>
      <c r="I1239" s="19" t="n"/>
      <c r="J1239" s="19" t="n"/>
      <c r="K1239" s="19" t="inlineStr">
        <is>
          <t>2</t>
        </is>
      </c>
      <c r="L1239" t="inlineStr">
        <is>
          <t>2026-08-08</t>
        </is>
      </c>
      <c r="N1239" t="inlineStr">
        <is>
          <t>IN_SCOPE_FINAL; SOURCE_CFG=IA-ST-CFG-0181; MARKET=YURT İÇİ AFM; STATUS=IN OEM / EU PACKAGE</t>
        </is>
      </c>
      <c r="O1239" t="inlineStr">
        <is>
          <t>2026-08-10T19:29:54Z</t>
        </is>
      </c>
      <c r="P1239" t="inlineStr">
        <is>
          <t>2026-08-10T19:29:54Z</t>
        </is>
      </c>
    </row>
    <row r="1240">
      <c r="A1240" s="19" t="inlineStr">
        <is>
          <t>1239</t>
        </is>
      </c>
      <c r="B1240" s="19" t="inlineStr">
        <is>
          <t>SC-1011176-ST-063-STD-10</t>
        </is>
      </c>
      <c r="C1240" t="inlineStr">
        <is>
          <t>1011176 → ST-063-STD-10</t>
        </is>
      </c>
      <c r="D1240" s="19" t="inlineStr">
        <is>
          <t>2</t>
        </is>
      </c>
      <c r="E1240" s="19" t="inlineStr">
        <is>
          <t>252</t>
        </is>
      </c>
      <c r="F1240" s="19" t="inlineStr">
        <is>
          <t>155</t>
        </is>
      </c>
      <c r="G1240" s="19" t="n"/>
      <c r="H1240" s="19" t="inlineStr">
        <is>
          <t>2</t>
        </is>
      </c>
      <c r="I1240" s="19" t="n"/>
      <c r="J1240" s="19" t="n"/>
      <c r="K1240" s="19" t="inlineStr">
        <is>
          <t>2</t>
        </is>
      </c>
      <c r="L1240" t="inlineStr">
        <is>
          <t>2026-08-08</t>
        </is>
      </c>
      <c r="N1240" t="inlineStr">
        <is>
          <t>IN_SCOPE_FINAL; SOURCE_CFG=IA-ST-CFG-0181; MARKET=YURT İÇİ AFM; STATUS=IN OEM / EU PACKAGE</t>
        </is>
      </c>
      <c r="O1240" t="inlineStr">
        <is>
          <t>2026-08-10T19:29:54Z</t>
        </is>
      </c>
      <c r="P1240" t="inlineStr">
        <is>
          <t>2026-08-10T19:29:54Z</t>
        </is>
      </c>
    </row>
    <row r="1241">
      <c r="A1241" s="19" t="inlineStr">
        <is>
          <t>1240</t>
        </is>
      </c>
      <c r="B1241" s="19" t="inlineStr">
        <is>
          <t>SC-1014755-ST-063-STD-10</t>
        </is>
      </c>
      <c r="C1241" t="inlineStr">
        <is>
          <t>1014755 → ST-063-STD-10</t>
        </is>
      </c>
      <c r="D1241" s="19" t="inlineStr">
        <is>
          <t>2</t>
        </is>
      </c>
      <c r="E1241" s="19" t="inlineStr">
        <is>
          <t>1582</t>
        </is>
      </c>
      <c r="F1241" s="19" t="inlineStr">
        <is>
          <t>155</t>
        </is>
      </c>
      <c r="G1241" s="19" t="n"/>
      <c r="H1241" s="19" t="inlineStr">
        <is>
          <t>2</t>
        </is>
      </c>
      <c r="I1241" s="19" t="n"/>
      <c r="J1241" s="19" t="n"/>
      <c r="K1241" s="19" t="inlineStr">
        <is>
          <t>2</t>
        </is>
      </c>
      <c r="L1241" t="inlineStr">
        <is>
          <t>2026-08-08</t>
        </is>
      </c>
      <c r="N1241" t="inlineStr">
        <is>
          <t>IN_SCOPE_FINAL; SOURCE_CFG=IA-ST-CFG-0181; MARKET=YURT İÇİ AFM; STATUS=IN OEM / EU PACKAGE</t>
        </is>
      </c>
      <c r="O1241" t="inlineStr">
        <is>
          <t>2026-08-10T19:29:54Z</t>
        </is>
      </c>
      <c r="P1241" t="inlineStr">
        <is>
          <t>2026-08-10T19:29:54Z</t>
        </is>
      </c>
    </row>
    <row r="1242">
      <c r="A1242" s="19" t="inlineStr">
        <is>
          <t>1241</t>
        </is>
      </c>
      <c r="B1242" s="19" t="inlineStr">
        <is>
          <t>SC-1014757-ST-063-STD-10</t>
        </is>
      </c>
      <c r="C1242" t="inlineStr">
        <is>
          <t>1014757 → ST-063-STD-10</t>
        </is>
      </c>
      <c r="D1242" s="19" t="inlineStr">
        <is>
          <t>2</t>
        </is>
      </c>
      <c r="E1242" s="19" t="inlineStr">
        <is>
          <t>1584</t>
        </is>
      </c>
      <c r="F1242" s="19" t="inlineStr">
        <is>
          <t>155</t>
        </is>
      </c>
      <c r="G1242" s="19" t="n"/>
      <c r="H1242" s="19" t="inlineStr">
        <is>
          <t>2</t>
        </is>
      </c>
      <c r="I1242" s="19" t="n"/>
      <c r="J1242" s="19" t="n"/>
      <c r="K1242" s="19" t="inlineStr">
        <is>
          <t>2</t>
        </is>
      </c>
      <c r="L1242" t="inlineStr">
        <is>
          <t>2026-08-08</t>
        </is>
      </c>
      <c r="N1242" t="inlineStr">
        <is>
          <t>IN_SCOPE_FINAL; SOURCE_CFG=IA-ST-CFG-0181; MARKET=YURT İÇİ AFM; STATUS=IN OEM / EU PACKAGE</t>
        </is>
      </c>
      <c r="O1242" t="inlineStr">
        <is>
          <t>2026-08-10T19:29:54Z</t>
        </is>
      </c>
      <c r="P1242" t="inlineStr">
        <is>
          <t>2026-08-10T19:29:54Z</t>
        </is>
      </c>
    </row>
    <row r="1243">
      <c r="A1243" s="19" t="inlineStr">
        <is>
          <t>1242</t>
        </is>
      </c>
      <c r="B1243" s="19" t="inlineStr">
        <is>
          <t>SC-1014569-ST-063-STD-10</t>
        </is>
      </c>
      <c r="C1243" t="inlineStr">
        <is>
          <t>1014569 → ST-063-STD-10</t>
        </is>
      </c>
      <c r="D1243" s="19" t="inlineStr">
        <is>
          <t>2</t>
        </is>
      </c>
      <c r="E1243" s="19" t="inlineStr">
        <is>
          <t>1457</t>
        </is>
      </c>
      <c r="F1243" s="19" t="inlineStr">
        <is>
          <t>155</t>
        </is>
      </c>
      <c r="G1243" s="19" t="n"/>
      <c r="H1243" s="19" t="inlineStr">
        <is>
          <t>2</t>
        </is>
      </c>
      <c r="I1243" s="19" t="n"/>
      <c r="J1243" s="19" t="n"/>
      <c r="K1243" s="19" t="inlineStr">
        <is>
          <t>2</t>
        </is>
      </c>
      <c r="L1243" t="inlineStr">
        <is>
          <t>2026-08-08</t>
        </is>
      </c>
      <c r="N1243" t="inlineStr">
        <is>
          <t>IN_SCOPE_FINAL; SOURCE_CFG=IA-ST-CFG-0181; MARKET=YURT İÇİ AFM; STATUS=IN OEM / EU PACKAGE</t>
        </is>
      </c>
      <c r="O1243" t="inlineStr">
        <is>
          <t>2026-08-10T19:29:54Z</t>
        </is>
      </c>
      <c r="P1243" t="inlineStr">
        <is>
          <t>2026-08-10T19:29:54Z</t>
        </is>
      </c>
    </row>
    <row r="1244">
      <c r="A1244" s="19" t="inlineStr">
        <is>
          <t>1243</t>
        </is>
      </c>
      <c r="B1244" s="19" t="inlineStr">
        <is>
          <t>SC-1014578-ST-063-STD-10</t>
        </is>
      </c>
      <c r="C1244" t="inlineStr">
        <is>
          <t>1014578 → ST-063-STD-10</t>
        </is>
      </c>
      <c r="D1244" s="19" t="inlineStr">
        <is>
          <t>2</t>
        </is>
      </c>
      <c r="E1244" s="19" t="inlineStr">
        <is>
          <t>1464</t>
        </is>
      </c>
      <c r="F1244" s="19" t="inlineStr">
        <is>
          <t>155</t>
        </is>
      </c>
      <c r="G1244" s="19" t="n"/>
      <c r="H1244" s="19" t="inlineStr">
        <is>
          <t>2</t>
        </is>
      </c>
      <c r="I1244" s="19" t="n"/>
      <c r="J1244" s="19" t="n"/>
      <c r="K1244" s="19" t="inlineStr">
        <is>
          <t>2</t>
        </is>
      </c>
      <c r="L1244" t="inlineStr">
        <is>
          <t>2026-08-08</t>
        </is>
      </c>
      <c r="N1244" t="inlineStr">
        <is>
          <t>IN_SCOPE_FINAL; SOURCE_CFG=IA-ST-CFG-0181; MARKET=YURT İÇİ AFM; STATUS=IN OEM / EU PACKAGE</t>
        </is>
      </c>
      <c r="O1244" t="inlineStr">
        <is>
          <t>2026-08-10T19:29:54Z</t>
        </is>
      </c>
      <c r="P1244" t="inlineStr">
        <is>
          <t>2026-08-10T19:29:54Z</t>
        </is>
      </c>
    </row>
    <row r="1245">
      <c r="A1245" s="19" t="inlineStr">
        <is>
          <t>1244</t>
        </is>
      </c>
      <c r="B1245" s="19" t="inlineStr">
        <is>
          <t>SC-1014588-ST-063-STD-10</t>
        </is>
      </c>
      <c r="C1245" t="inlineStr">
        <is>
          <t>1014588 → ST-063-STD-10</t>
        </is>
      </c>
      <c r="D1245" s="19" t="inlineStr">
        <is>
          <t>2</t>
        </is>
      </c>
      <c r="E1245" s="19" t="inlineStr">
        <is>
          <t>1474</t>
        </is>
      </c>
      <c r="F1245" s="19" t="inlineStr">
        <is>
          <t>155</t>
        </is>
      </c>
      <c r="G1245" s="19" t="n"/>
      <c r="H1245" s="19" t="inlineStr">
        <is>
          <t>2</t>
        </is>
      </c>
      <c r="I1245" s="19" t="n"/>
      <c r="J1245" s="19" t="n"/>
      <c r="K1245" s="19" t="inlineStr">
        <is>
          <t>2</t>
        </is>
      </c>
      <c r="L1245" t="inlineStr">
        <is>
          <t>2026-08-08</t>
        </is>
      </c>
      <c r="N1245" t="inlineStr">
        <is>
          <t>IN_SCOPE_FINAL; SOURCE_CFG=IA-ST-CFG-0181; MARKET=YURT İÇİ AFM; STATUS=IN OEM / EU PACKAGE</t>
        </is>
      </c>
      <c r="O1245" t="inlineStr">
        <is>
          <t>2026-08-10T19:29:54Z</t>
        </is>
      </c>
      <c r="P1245" t="inlineStr">
        <is>
          <t>2026-08-10T19:29:54Z</t>
        </is>
      </c>
    </row>
    <row r="1246">
      <c r="A1246" s="19" t="inlineStr">
        <is>
          <t>1245</t>
        </is>
      </c>
      <c r="B1246" s="19" t="inlineStr">
        <is>
          <t>SC-1011203-ST-063-STD-10</t>
        </is>
      </c>
      <c r="C1246" t="inlineStr">
        <is>
          <t>1011203 → ST-063-STD-10</t>
        </is>
      </c>
      <c r="D1246" s="19" t="inlineStr">
        <is>
          <t>2</t>
        </is>
      </c>
      <c r="E1246" s="19" t="inlineStr">
        <is>
          <t>271</t>
        </is>
      </c>
      <c r="F1246" s="19" t="inlineStr">
        <is>
          <t>155</t>
        </is>
      </c>
      <c r="G1246" s="19" t="n"/>
      <c r="H1246" s="19" t="inlineStr">
        <is>
          <t>2</t>
        </is>
      </c>
      <c r="I1246" s="19" t="n"/>
      <c r="J1246" s="19" t="n"/>
      <c r="K1246" s="19" t="inlineStr">
        <is>
          <t>2</t>
        </is>
      </c>
      <c r="L1246" t="inlineStr">
        <is>
          <t>2026-08-08</t>
        </is>
      </c>
      <c r="N1246" t="inlineStr">
        <is>
          <t>IN_SCOPE_FINAL; SOURCE_CFG=IA-ST-CFG-0181; MARKET=YURT İÇİ AFM; STATUS=IN OEM / EU PACKAGE</t>
        </is>
      </c>
      <c r="O1246" t="inlineStr">
        <is>
          <t>2026-08-10T19:29:54Z</t>
        </is>
      </c>
      <c r="P1246" t="inlineStr">
        <is>
          <t>2026-08-10T19:29:54Z</t>
        </is>
      </c>
    </row>
    <row r="1247">
      <c r="A1247" s="19" t="inlineStr">
        <is>
          <t>1246</t>
        </is>
      </c>
      <c r="B1247" s="19" t="inlineStr">
        <is>
          <t>SC-1013994-ST-063-STD-10</t>
        </is>
      </c>
      <c r="C1247" t="inlineStr">
        <is>
          <t>1013994 → ST-063-STD-10</t>
        </is>
      </c>
      <c r="D1247" s="19" t="inlineStr">
        <is>
          <t>2</t>
        </is>
      </c>
      <c r="E1247" s="19" t="inlineStr">
        <is>
          <t>1165</t>
        </is>
      </c>
      <c r="F1247" s="19" t="inlineStr">
        <is>
          <t>155</t>
        </is>
      </c>
      <c r="G1247" s="19" t="n"/>
      <c r="H1247" s="19" t="inlineStr">
        <is>
          <t>2</t>
        </is>
      </c>
      <c r="I1247" s="19" t="n"/>
      <c r="J1247" s="19" t="n"/>
      <c r="K1247" s="19" t="inlineStr">
        <is>
          <t>2</t>
        </is>
      </c>
      <c r="L1247" t="inlineStr">
        <is>
          <t>2026-08-08</t>
        </is>
      </c>
      <c r="N1247" t="inlineStr">
        <is>
          <t>IN_SCOPE_FINAL; SOURCE_CFG=IA-ST-CFG-0181; MARKET=YURT İÇİ AFM; STATUS=IN OEM / EU PACKAGE</t>
        </is>
      </c>
      <c r="O1247" t="inlineStr">
        <is>
          <t>2026-08-10T19:29:54Z</t>
        </is>
      </c>
      <c r="P1247" t="inlineStr">
        <is>
          <t>2026-08-10T19:29:54Z</t>
        </is>
      </c>
    </row>
    <row r="1248">
      <c r="A1248" s="19" t="inlineStr">
        <is>
          <t>1247</t>
        </is>
      </c>
      <c r="B1248" s="19" t="inlineStr">
        <is>
          <t>SC-1014756-ST-063-STD-10</t>
        </is>
      </c>
      <c r="C1248" t="inlineStr">
        <is>
          <t>1014756 → ST-063-STD-10</t>
        </is>
      </c>
      <c r="D1248" s="19" t="inlineStr">
        <is>
          <t>2</t>
        </is>
      </c>
      <c r="E1248" s="19" t="inlineStr">
        <is>
          <t>1583</t>
        </is>
      </c>
      <c r="F1248" s="19" t="inlineStr">
        <is>
          <t>155</t>
        </is>
      </c>
      <c r="G1248" s="19" t="n"/>
      <c r="H1248" s="19" t="inlineStr">
        <is>
          <t>2</t>
        </is>
      </c>
      <c r="I1248" s="19" t="n"/>
      <c r="J1248" s="19" t="n"/>
      <c r="K1248" s="19" t="inlineStr">
        <is>
          <t>2</t>
        </is>
      </c>
      <c r="L1248" t="inlineStr">
        <is>
          <t>2026-08-08</t>
        </is>
      </c>
      <c r="N1248" t="inlineStr">
        <is>
          <t>IN_SCOPE_FINAL; SOURCE_CFG=IA-ST-CFG-0181; MARKET=YURT İÇİ AFM; STATUS=IN OEM / EU PACKAGE</t>
        </is>
      </c>
      <c r="O1248" t="inlineStr">
        <is>
          <t>2026-08-10T19:29:54Z</t>
        </is>
      </c>
      <c r="P1248" t="inlineStr">
        <is>
          <t>2026-08-10T19:29:54Z</t>
        </is>
      </c>
    </row>
    <row r="1249">
      <c r="A1249" s="19" t="inlineStr">
        <is>
          <t>1248</t>
        </is>
      </c>
      <c r="B1249" s="19" t="inlineStr">
        <is>
          <t>SC-1014758-ST-063-STD-10</t>
        </is>
      </c>
      <c r="C1249" t="inlineStr">
        <is>
          <t>1014758 → ST-063-STD-10</t>
        </is>
      </c>
      <c r="D1249" s="19" t="inlineStr">
        <is>
          <t>2</t>
        </is>
      </c>
      <c r="E1249" s="19" t="inlineStr">
        <is>
          <t>1585</t>
        </is>
      </c>
      <c r="F1249" s="19" t="inlineStr">
        <is>
          <t>155</t>
        </is>
      </c>
      <c r="G1249" s="19" t="n"/>
      <c r="H1249" s="19" t="inlineStr">
        <is>
          <t>2</t>
        </is>
      </c>
      <c r="I1249" s="19" t="n"/>
      <c r="J1249" s="19" t="n"/>
      <c r="K1249" s="19" t="inlineStr">
        <is>
          <t>2</t>
        </is>
      </c>
      <c r="L1249" t="inlineStr">
        <is>
          <t>2026-08-08</t>
        </is>
      </c>
      <c r="N1249" t="inlineStr">
        <is>
          <t>IN_SCOPE_FINAL; SOURCE_CFG=IA-ST-CFG-0181; MARKET=YURT İÇİ AFM; STATUS=IN OEM / EU PACKAGE</t>
        </is>
      </c>
      <c r="O1249" t="inlineStr">
        <is>
          <t>2026-08-10T19:29:54Z</t>
        </is>
      </c>
      <c r="P1249" t="inlineStr">
        <is>
          <t>2026-08-10T19:29:54Z</t>
        </is>
      </c>
    </row>
    <row r="1250">
      <c r="A1250" s="19" t="inlineStr">
        <is>
          <t>1249</t>
        </is>
      </c>
      <c r="B1250" s="19" t="inlineStr">
        <is>
          <t>SC-1013774-ST-063-STD-11</t>
        </is>
      </c>
      <c r="C1250" t="inlineStr">
        <is>
          <t>1013774 → ST-063-STD-11</t>
        </is>
      </c>
      <c r="D1250" s="19" t="inlineStr">
        <is>
          <t>2</t>
        </is>
      </c>
      <c r="E1250" s="19" t="inlineStr">
        <is>
          <t>1093</t>
        </is>
      </c>
      <c r="F1250" s="19" t="inlineStr">
        <is>
          <t>156</t>
        </is>
      </c>
      <c r="G1250" s="19" t="n"/>
      <c r="H1250" s="19" t="inlineStr">
        <is>
          <t>2</t>
        </is>
      </c>
      <c r="I1250" s="19" t="n"/>
      <c r="J1250" s="19" t="n"/>
      <c r="K1250" s="19" t="inlineStr">
        <is>
          <t>2</t>
        </is>
      </c>
      <c r="L1250" t="inlineStr">
        <is>
          <t>2026-08-08</t>
        </is>
      </c>
      <c r="N1250" t="inlineStr">
        <is>
          <t>IN_SCOPE_FINAL; SOURCE_CFG=IA-ST-CFG-0182; MARKET=YURT İÇİ AFM; STATUS=IN OEM / EU PACKAGE</t>
        </is>
      </c>
      <c r="O1250" t="inlineStr">
        <is>
          <t>2026-08-10T19:29:54Z</t>
        </is>
      </c>
      <c r="P1250" t="inlineStr">
        <is>
          <t>2026-08-10T19:29:54Z</t>
        </is>
      </c>
    </row>
    <row r="1251">
      <c r="A1251" s="19" t="inlineStr">
        <is>
          <t>1250</t>
        </is>
      </c>
      <c r="B1251" s="19" t="inlineStr">
        <is>
          <t>SC-1011761-ST-063-STD-11</t>
        </is>
      </c>
      <c r="C1251" t="inlineStr">
        <is>
          <t>1011761 → ST-063-STD-11</t>
        </is>
      </c>
      <c r="D1251" s="19" t="inlineStr">
        <is>
          <t>2</t>
        </is>
      </c>
      <c r="E1251" s="19" t="inlineStr">
        <is>
          <t>336</t>
        </is>
      </c>
      <c r="F1251" s="19" t="inlineStr">
        <is>
          <t>156</t>
        </is>
      </c>
      <c r="G1251" s="19" t="n"/>
      <c r="H1251" s="19" t="inlineStr">
        <is>
          <t>2</t>
        </is>
      </c>
      <c r="I1251" s="19" t="n"/>
      <c r="J1251" s="19" t="n"/>
      <c r="K1251" s="19" t="inlineStr">
        <is>
          <t>2</t>
        </is>
      </c>
      <c r="L1251" t="inlineStr">
        <is>
          <t>2026-08-08</t>
        </is>
      </c>
      <c r="N1251" t="inlineStr">
        <is>
          <t>IN_SCOPE_FINAL; SOURCE_CFG=IA-ST-CFG-0182; MARKET=YURT İÇİ AFM; STATUS=IN OEM / EU PACKAGE</t>
        </is>
      </c>
      <c r="O1251" t="inlineStr">
        <is>
          <t>2026-08-10T19:29:54Z</t>
        </is>
      </c>
      <c r="P1251" t="inlineStr">
        <is>
          <t>2026-08-10T19:29:54Z</t>
        </is>
      </c>
    </row>
    <row r="1252">
      <c r="A1252" s="19" t="inlineStr">
        <is>
          <t>1251</t>
        </is>
      </c>
      <c r="B1252" s="19" t="inlineStr">
        <is>
          <t>SC-1011013-ST-063-STD-11</t>
        </is>
      </c>
      <c r="C1252" t="inlineStr">
        <is>
          <t>1011013 → ST-063-STD-11</t>
        </is>
      </c>
      <c r="D1252" s="19" t="inlineStr">
        <is>
          <t>2</t>
        </is>
      </c>
      <c r="E1252" s="19" t="inlineStr">
        <is>
          <t>219</t>
        </is>
      </c>
      <c r="F1252" s="19" t="inlineStr">
        <is>
          <t>156</t>
        </is>
      </c>
      <c r="G1252" s="19" t="n"/>
      <c r="H1252" s="19" t="inlineStr">
        <is>
          <t>2</t>
        </is>
      </c>
      <c r="I1252" s="19" t="n"/>
      <c r="J1252" s="19" t="n"/>
      <c r="K1252" s="19" t="inlineStr">
        <is>
          <t>2</t>
        </is>
      </c>
      <c r="L1252" t="inlineStr">
        <is>
          <t>2026-08-08</t>
        </is>
      </c>
      <c r="N1252" t="inlineStr">
        <is>
          <t>IN_SCOPE_FINAL; SOURCE_CFG=IA-ST-CFG-0182; MARKET=YURT İÇİ AFM; STATUS=IN OEM / EU PACKAGE</t>
        </is>
      </c>
      <c r="O1252" t="inlineStr">
        <is>
          <t>2026-08-10T19:29:54Z</t>
        </is>
      </c>
      <c r="P1252" t="inlineStr">
        <is>
          <t>2026-08-10T19:29:54Z</t>
        </is>
      </c>
    </row>
    <row r="1253">
      <c r="A1253" s="19" t="inlineStr">
        <is>
          <t>1252</t>
        </is>
      </c>
      <c r="B1253" s="19" t="inlineStr">
        <is>
          <t>SC-1011157-ST-063-STD-11</t>
        </is>
      </c>
      <c r="C1253" t="inlineStr">
        <is>
          <t>1011157 → ST-063-STD-11</t>
        </is>
      </c>
      <c r="D1253" s="19" t="inlineStr">
        <is>
          <t>2</t>
        </is>
      </c>
      <c r="E1253" s="19" t="inlineStr">
        <is>
          <t>234</t>
        </is>
      </c>
      <c r="F1253" s="19" t="inlineStr">
        <is>
          <t>156</t>
        </is>
      </c>
      <c r="G1253" s="19" t="n"/>
      <c r="H1253" s="19" t="inlineStr">
        <is>
          <t>2</t>
        </is>
      </c>
      <c r="I1253" s="19" t="n"/>
      <c r="J1253" s="19" t="n"/>
      <c r="K1253" s="19" t="inlineStr">
        <is>
          <t>2</t>
        </is>
      </c>
      <c r="L1253" t="inlineStr">
        <is>
          <t>2026-08-08</t>
        </is>
      </c>
      <c r="N1253" t="inlineStr">
        <is>
          <t>IN_SCOPE_FINAL; SOURCE_CFG=IA-ST-CFG-0182; MARKET=YURT İÇİ AFM; STATUS=IN OEM / EU PACKAGE</t>
        </is>
      </c>
      <c r="O1253" t="inlineStr">
        <is>
          <t>2026-08-10T19:29:54Z</t>
        </is>
      </c>
      <c r="P1253" t="inlineStr">
        <is>
          <t>2026-08-10T19:29:54Z</t>
        </is>
      </c>
    </row>
    <row r="1254">
      <c r="A1254" s="19" t="inlineStr">
        <is>
          <t>1253</t>
        </is>
      </c>
      <c r="B1254" s="19" t="inlineStr">
        <is>
          <t>SC-1011158-ST-063-STD-11</t>
        </is>
      </c>
      <c r="C1254" t="inlineStr">
        <is>
          <t>1011158 → ST-063-STD-11</t>
        </is>
      </c>
      <c r="D1254" s="19" t="inlineStr">
        <is>
          <t>2</t>
        </is>
      </c>
      <c r="E1254" s="19" t="inlineStr">
        <is>
          <t>235</t>
        </is>
      </c>
      <c r="F1254" s="19" t="inlineStr">
        <is>
          <t>156</t>
        </is>
      </c>
      <c r="G1254" s="19" t="n"/>
      <c r="H1254" s="19" t="inlineStr">
        <is>
          <t>2</t>
        </is>
      </c>
      <c r="I1254" s="19" t="n"/>
      <c r="J1254" s="19" t="n"/>
      <c r="K1254" s="19" t="inlineStr">
        <is>
          <t>2</t>
        </is>
      </c>
      <c r="L1254" t="inlineStr">
        <is>
          <t>2026-08-08</t>
        </is>
      </c>
      <c r="N1254" t="inlineStr">
        <is>
          <t>IN_SCOPE_FINAL; SOURCE_CFG=IA-ST-CFG-0182; MARKET=YURT İÇİ AFM; STATUS=IN OEM / EU PACKAGE</t>
        </is>
      </c>
      <c r="O1254" t="inlineStr">
        <is>
          <t>2026-08-10T19:29:54Z</t>
        </is>
      </c>
      <c r="P1254" t="inlineStr">
        <is>
          <t>2026-08-10T19:29:54Z</t>
        </is>
      </c>
    </row>
    <row r="1255">
      <c r="A1255" s="19" t="inlineStr">
        <is>
          <t>1254</t>
        </is>
      </c>
      <c r="B1255" s="19" t="inlineStr">
        <is>
          <t>SC-1011174-ST-063-STD-11</t>
        </is>
      </c>
      <c r="C1255" t="inlineStr">
        <is>
          <t>1011174 → ST-063-STD-11</t>
        </is>
      </c>
      <c r="D1255" s="19" t="inlineStr">
        <is>
          <t>2</t>
        </is>
      </c>
      <c r="E1255" s="19" t="inlineStr">
        <is>
          <t>250</t>
        </is>
      </c>
      <c r="F1255" s="19" t="inlineStr">
        <is>
          <t>156</t>
        </is>
      </c>
      <c r="G1255" s="19" t="n"/>
      <c r="H1255" s="19" t="inlineStr">
        <is>
          <t>2</t>
        </is>
      </c>
      <c r="I1255" s="19" t="n"/>
      <c r="J1255" s="19" t="n"/>
      <c r="K1255" s="19" t="inlineStr">
        <is>
          <t>2</t>
        </is>
      </c>
      <c r="L1255" t="inlineStr">
        <is>
          <t>2026-08-08</t>
        </is>
      </c>
      <c r="N1255" t="inlineStr">
        <is>
          <t>IN_SCOPE_FINAL; SOURCE_CFG=IA-ST-CFG-0182; MARKET=YURT İÇİ AFM; STATUS=IN OEM / EU PACKAGE</t>
        </is>
      </c>
      <c r="O1255" t="inlineStr">
        <is>
          <t>2026-08-10T19:29:54Z</t>
        </is>
      </c>
      <c r="P1255" t="inlineStr">
        <is>
          <t>2026-08-10T19:29:54Z</t>
        </is>
      </c>
    </row>
    <row r="1256">
      <c r="A1256" s="19" t="inlineStr">
        <is>
          <t>1255</t>
        </is>
      </c>
      <c r="B1256" s="19" t="inlineStr">
        <is>
          <t>SC-1011175-ST-063-STD-11</t>
        </is>
      </c>
      <c r="C1256" t="inlineStr">
        <is>
          <t>1011175 → ST-063-STD-11</t>
        </is>
      </c>
      <c r="D1256" s="19" t="inlineStr">
        <is>
          <t>2</t>
        </is>
      </c>
      <c r="E1256" s="19" t="inlineStr">
        <is>
          <t>251</t>
        </is>
      </c>
      <c r="F1256" s="19" t="inlineStr">
        <is>
          <t>156</t>
        </is>
      </c>
      <c r="G1256" s="19" t="n"/>
      <c r="H1256" s="19" t="inlineStr">
        <is>
          <t>2</t>
        </is>
      </c>
      <c r="I1256" s="19" t="n"/>
      <c r="J1256" s="19" t="n"/>
      <c r="K1256" s="19" t="inlineStr">
        <is>
          <t>2</t>
        </is>
      </c>
      <c r="L1256" t="inlineStr">
        <is>
          <t>2026-08-08</t>
        </is>
      </c>
      <c r="N1256" t="inlineStr">
        <is>
          <t>IN_SCOPE_FINAL; SOURCE_CFG=IA-ST-CFG-0182; MARKET=YURT İÇİ AFM; STATUS=IN OEM / EU PACKAGE</t>
        </is>
      </c>
      <c r="O1256" t="inlineStr">
        <is>
          <t>2026-08-10T19:29:54Z</t>
        </is>
      </c>
      <c r="P1256" t="inlineStr">
        <is>
          <t>2026-08-10T19:29:54Z</t>
        </is>
      </c>
    </row>
    <row r="1257">
      <c r="A1257" s="19" t="inlineStr">
        <is>
          <t>1256</t>
        </is>
      </c>
      <c r="B1257" s="19" t="inlineStr">
        <is>
          <t>SC-1014631-ST-063-STD-11</t>
        </is>
      </c>
      <c r="C1257" t="inlineStr">
        <is>
          <t>1014631 → ST-063-STD-11</t>
        </is>
      </c>
      <c r="D1257" s="19" t="inlineStr">
        <is>
          <t>2</t>
        </is>
      </c>
      <c r="E1257" s="19" t="inlineStr">
        <is>
          <t>1499</t>
        </is>
      </c>
      <c r="F1257" s="19" t="inlineStr">
        <is>
          <t>156</t>
        </is>
      </c>
      <c r="G1257" s="19" t="n"/>
      <c r="H1257" s="19" t="inlineStr">
        <is>
          <t>2</t>
        </is>
      </c>
      <c r="I1257" s="19" t="n"/>
      <c r="J1257" s="19" t="n"/>
      <c r="K1257" s="19" t="inlineStr">
        <is>
          <t>2</t>
        </is>
      </c>
      <c r="L1257" t="inlineStr">
        <is>
          <t>2026-08-08</t>
        </is>
      </c>
      <c r="N1257" t="inlineStr">
        <is>
          <t>IN_SCOPE_FINAL; SOURCE_CFG=IA-ST-CFG-0182; MARKET=TENAX OEM (Yurt İçi); STATUS=IN OEM / EU PACKAGE</t>
        </is>
      </c>
      <c r="O1257" t="inlineStr">
        <is>
          <t>2026-08-10T19:29:54Z</t>
        </is>
      </c>
      <c r="P1257" t="inlineStr">
        <is>
          <t>2026-08-10T19:29:54Z</t>
        </is>
      </c>
    </row>
    <row r="1258">
      <c r="A1258" s="19" t="inlineStr">
        <is>
          <t>1257</t>
        </is>
      </c>
      <c r="B1258" s="19" t="inlineStr">
        <is>
          <t>SC-1015302-ST-063-STD-11</t>
        </is>
      </c>
      <c r="C1258" t="inlineStr">
        <is>
          <t>1015302 → ST-063-STD-11</t>
        </is>
      </c>
      <c r="D1258" s="19" t="inlineStr">
        <is>
          <t>2</t>
        </is>
      </c>
      <c r="E1258" s="19" t="inlineStr">
        <is>
          <t>2026</t>
        </is>
      </c>
      <c r="F1258" s="19" t="inlineStr">
        <is>
          <t>156</t>
        </is>
      </c>
      <c r="G1258" s="19" t="n"/>
      <c r="H1258" s="19" t="inlineStr">
        <is>
          <t>2</t>
        </is>
      </c>
      <c r="I1258" s="19" t="n"/>
      <c r="J1258" s="19" t="n"/>
      <c r="K1258" s="19" t="inlineStr">
        <is>
          <t>2</t>
        </is>
      </c>
      <c r="L1258" t="inlineStr">
        <is>
          <t>2026-08-08</t>
        </is>
      </c>
      <c r="N1258" t="inlineStr">
        <is>
          <t>IN_SCOPE_FINAL; SOURCE_CFG=IA-ST-CFG-0182; MARKET=YURT İÇİ AFM; STATUS=IN OEM / EU PACKAGE</t>
        </is>
      </c>
      <c r="O1258" t="inlineStr">
        <is>
          <t>2026-08-10T19:29:54Z</t>
        </is>
      </c>
      <c r="P1258" t="inlineStr">
        <is>
          <t>2026-08-10T19:29:54Z</t>
        </is>
      </c>
    </row>
    <row r="1259">
      <c r="A1259" s="19" t="inlineStr">
        <is>
          <t>1258</t>
        </is>
      </c>
      <c r="B1259" s="19" t="inlineStr">
        <is>
          <t>SC-1011048-ST-063-STD-11</t>
        </is>
      </c>
      <c r="C1259" t="inlineStr">
        <is>
          <t>1011048 → ST-063-STD-11</t>
        </is>
      </c>
      <c r="D1259" s="19" t="inlineStr">
        <is>
          <t>2</t>
        </is>
      </c>
      <c r="E1259" s="19" t="inlineStr">
        <is>
          <t>226</t>
        </is>
      </c>
      <c r="F1259" s="19" t="inlineStr">
        <is>
          <t>156</t>
        </is>
      </c>
      <c r="G1259" s="19" t="n"/>
      <c r="H1259" s="19" t="inlineStr">
        <is>
          <t>2</t>
        </is>
      </c>
      <c r="I1259" s="19" t="n"/>
      <c r="J1259" s="19" t="n"/>
      <c r="K1259" s="19" t="inlineStr">
        <is>
          <t>2</t>
        </is>
      </c>
      <c r="L1259" t="inlineStr">
        <is>
          <t>2026-08-08</t>
        </is>
      </c>
      <c r="N1259" t="inlineStr">
        <is>
          <t>IN_SCOPE_FINAL; SOURCE_CFG=IA-ST-CFG-0182; MARKET=YURT İÇİ AFM; STATUS=IN OEM / EU PACKAGE</t>
        </is>
      </c>
      <c r="O1259" t="inlineStr">
        <is>
          <t>2026-08-10T19:29:54Z</t>
        </is>
      </c>
      <c r="P1259" t="inlineStr">
        <is>
          <t>2026-08-10T19:29:54Z</t>
        </is>
      </c>
    </row>
    <row r="1260">
      <c r="A1260" s="19" t="inlineStr">
        <is>
          <t>1259</t>
        </is>
      </c>
      <c r="B1260" s="19" t="inlineStr">
        <is>
          <t>SC-1011225-ST-063-STD-11</t>
        </is>
      </c>
      <c r="C1260" t="inlineStr">
        <is>
          <t>1011225 → ST-063-STD-11</t>
        </is>
      </c>
      <c r="D1260" s="19" t="inlineStr">
        <is>
          <t>2</t>
        </is>
      </c>
      <c r="E1260" s="19" t="inlineStr">
        <is>
          <t>283</t>
        </is>
      </c>
      <c r="F1260" s="19" t="inlineStr">
        <is>
          <t>156</t>
        </is>
      </c>
      <c r="G1260" s="19" t="n"/>
      <c r="H1260" s="19" t="inlineStr">
        <is>
          <t>2</t>
        </is>
      </c>
      <c r="I1260" s="19" t="n"/>
      <c r="J1260" s="19" t="n"/>
      <c r="K1260" s="19" t="inlineStr">
        <is>
          <t>2</t>
        </is>
      </c>
      <c r="L1260" t="inlineStr">
        <is>
          <t>2026-08-08</t>
        </is>
      </c>
      <c r="N1260" t="inlineStr">
        <is>
          <t>IN_SCOPE_FINAL; SOURCE_CFG=IA-ST-CFG-0182; MARKET=YURT İÇİ AFM; STATUS=IN OEM / EU PACKAGE</t>
        </is>
      </c>
      <c r="O1260" t="inlineStr">
        <is>
          <t>2026-08-10T19:29:54Z</t>
        </is>
      </c>
      <c r="P1260" t="inlineStr">
        <is>
          <t>2026-08-10T19:29:54Z</t>
        </is>
      </c>
    </row>
    <row r="1261">
      <c r="A1261" s="19" t="inlineStr">
        <is>
          <t>1260</t>
        </is>
      </c>
      <c r="B1261" s="19" t="inlineStr">
        <is>
          <t>SC-1011231-ST-063-STD-11</t>
        </is>
      </c>
      <c r="C1261" t="inlineStr">
        <is>
          <t>1011231 → ST-063-STD-11</t>
        </is>
      </c>
      <c r="D1261" s="19" t="inlineStr">
        <is>
          <t>2</t>
        </is>
      </c>
      <c r="E1261" s="19" t="inlineStr">
        <is>
          <t>286</t>
        </is>
      </c>
      <c r="F1261" s="19" t="inlineStr">
        <is>
          <t>156</t>
        </is>
      </c>
      <c r="G1261" s="19" t="n"/>
      <c r="H1261" s="19" t="inlineStr">
        <is>
          <t>2</t>
        </is>
      </c>
      <c r="I1261" s="19" t="n"/>
      <c r="J1261" s="19" t="n"/>
      <c r="K1261" s="19" t="inlineStr">
        <is>
          <t>2</t>
        </is>
      </c>
      <c r="L1261" t="inlineStr">
        <is>
          <t>2026-08-08</t>
        </is>
      </c>
      <c r="N1261" t="inlineStr">
        <is>
          <t>IN_SCOPE_FINAL; SOURCE_CFG=IA-ST-CFG-0182; MARKET=OTOPRATİK (Yurt İçi); STATUS=IN OEM / EU PACKAGE</t>
        </is>
      </c>
      <c r="O1261" t="inlineStr">
        <is>
          <t>2026-08-10T19:29:54Z</t>
        </is>
      </c>
      <c r="P1261" t="inlineStr">
        <is>
          <t>2026-08-10T19:29:54Z</t>
        </is>
      </c>
    </row>
    <row r="1262">
      <c r="A1262" s="19" t="inlineStr">
        <is>
          <t>1261</t>
        </is>
      </c>
      <c r="B1262" s="19" t="inlineStr">
        <is>
          <t>SC-1011685-ST-063-STD-11</t>
        </is>
      </c>
      <c r="C1262" t="inlineStr">
        <is>
          <t>1011685 → ST-063-STD-11</t>
        </is>
      </c>
      <c r="D1262" s="19" t="inlineStr">
        <is>
          <t>2</t>
        </is>
      </c>
      <c r="E1262" s="19" t="inlineStr">
        <is>
          <t>330</t>
        </is>
      </c>
      <c r="F1262" s="19" t="inlineStr">
        <is>
          <t>156</t>
        </is>
      </c>
      <c r="G1262" s="19" t="n"/>
      <c r="H1262" s="19" t="inlineStr">
        <is>
          <t>2</t>
        </is>
      </c>
      <c r="I1262" s="19" t="n"/>
      <c r="J1262" s="19" t="n"/>
      <c r="K1262" s="19" t="inlineStr">
        <is>
          <t>2</t>
        </is>
      </c>
      <c r="L1262" t="inlineStr">
        <is>
          <t>2026-08-08</t>
        </is>
      </c>
      <c r="N1262" t="inlineStr">
        <is>
          <t>IN_SCOPE_FINAL; SOURCE_CFG=IA-ST-CFG-0182; MARKET=YURT İÇİ AFM; STATUS=IN OEM / EU PACKAGE</t>
        </is>
      </c>
      <c r="O1262" t="inlineStr">
        <is>
          <t>2026-08-10T19:29:54Z</t>
        </is>
      </c>
      <c r="P1262" t="inlineStr">
        <is>
          <t>2026-08-10T19:29:54Z</t>
        </is>
      </c>
    </row>
    <row r="1263">
      <c r="A1263" s="19" t="inlineStr">
        <is>
          <t>1262</t>
        </is>
      </c>
      <c r="B1263" s="19" t="inlineStr">
        <is>
          <t>SC-1014564-ST-063-STD-11</t>
        </is>
      </c>
      <c r="C1263" t="inlineStr">
        <is>
          <t>1014564 → ST-063-STD-11</t>
        </is>
      </c>
      <c r="D1263" s="19" t="inlineStr">
        <is>
          <t>2</t>
        </is>
      </c>
      <c r="E1263" s="19" t="inlineStr">
        <is>
          <t>1453</t>
        </is>
      </c>
      <c r="F1263" s="19" t="inlineStr">
        <is>
          <t>156</t>
        </is>
      </c>
      <c r="G1263" s="19" t="n"/>
      <c r="H1263" s="19" t="inlineStr">
        <is>
          <t>2</t>
        </is>
      </c>
      <c r="I1263" s="19" t="n"/>
      <c r="J1263" s="19" t="n"/>
      <c r="K1263" s="19" t="inlineStr">
        <is>
          <t>2</t>
        </is>
      </c>
      <c r="L1263" t="inlineStr">
        <is>
          <t>2026-08-08</t>
        </is>
      </c>
      <c r="N1263" t="inlineStr">
        <is>
          <t>IN_SCOPE_FINAL; SOURCE_CFG=IA-ST-CFG-0182; MARKET=YURT İÇİ AFM; STATUS=IN OEM / EU PACKAGE</t>
        </is>
      </c>
      <c r="O1263" t="inlineStr">
        <is>
          <t>2026-08-10T19:29:54Z</t>
        </is>
      </c>
      <c r="P1263" t="inlineStr">
        <is>
          <t>2026-08-10T19:29:54Z</t>
        </is>
      </c>
    </row>
    <row r="1264">
      <c r="A1264" s="19" t="inlineStr">
        <is>
          <t>1263</t>
        </is>
      </c>
      <c r="B1264" s="19" t="inlineStr">
        <is>
          <t>SC-1014565-ST-063-STD-11</t>
        </is>
      </c>
      <c r="C1264" t="inlineStr">
        <is>
          <t>1014565 → ST-063-STD-11</t>
        </is>
      </c>
      <c r="D1264" s="19" t="inlineStr">
        <is>
          <t>2</t>
        </is>
      </c>
      <c r="E1264" s="19" t="inlineStr">
        <is>
          <t>1454</t>
        </is>
      </c>
      <c r="F1264" s="19" t="inlineStr">
        <is>
          <t>156</t>
        </is>
      </c>
      <c r="G1264" s="19" t="n"/>
      <c r="H1264" s="19" t="inlineStr">
        <is>
          <t>2</t>
        </is>
      </c>
      <c r="I1264" s="19" t="n"/>
      <c r="J1264" s="19" t="n"/>
      <c r="K1264" s="19" t="inlineStr">
        <is>
          <t>2</t>
        </is>
      </c>
      <c r="L1264" t="inlineStr">
        <is>
          <t>2026-08-08</t>
        </is>
      </c>
      <c r="N1264" t="inlineStr">
        <is>
          <t>IN_SCOPE_FINAL; SOURCE_CFG=IA-ST-CFG-0182; MARKET=YURT İÇİ AFM; STATUS=IN OEM / EU PACKAGE</t>
        </is>
      </c>
      <c r="O1264" t="inlineStr">
        <is>
          <t>2026-08-10T19:29:54Z</t>
        </is>
      </c>
      <c r="P1264" t="inlineStr">
        <is>
          <t>2026-08-10T19:29:54Z</t>
        </is>
      </c>
    </row>
    <row r="1265">
      <c r="A1265" s="19" t="inlineStr">
        <is>
          <t>1264</t>
        </is>
      </c>
      <c r="B1265" s="19" t="inlineStr">
        <is>
          <t>SC-1014575-ST-063-STD-11</t>
        </is>
      </c>
      <c r="C1265" t="inlineStr">
        <is>
          <t>1014575 → ST-063-STD-11</t>
        </is>
      </c>
      <c r="D1265" s="19" t="inlineStr">
        <is>
          <t>2</t>
        </is>
      </c>
      <c r="E1265" s="19" t="inlineStr">
        <is>
          <t>1461</t>
        </is>
      </c>
      <c r="F1265" s="19" t="inlineStr">
        <is>
          <t>156</t>
        </is>
      </c>
      <c r="G1265" s="19" t="n"/>
      <c r="H1265" s="19" t="inlineStr">
        <is>
          <t>2</t>
        </is>
      </c>
      <c r="I1265" s="19" t="n"/>
      <c r="J1265" s="19" t="n"/>
      <c r="K1265" s="19" t="inlineStr">
        <is>
          <t>2</t>
        </is>
      </c>
      <c r="L1265" t="inlineStr">
        <is>
          <t>2026-08-08</t>
        </is>
      </c>
      <c r="N1265" t="inlineStr">
        <is>
          <t>IN_SCOPE_FINAL; SOURCE_CFG=IA-ST-CFG-0182; MARKET=YURT İÇİ AFM; STATUS=IN OEM / EU PACKAGE</t>
        </is>
      </c>
      <c r="O1265" t="inlineStr">
        <is>
          <t>2026-08-10T19:29:54Z</t>
        </is>
      </c>
      <c r="P1265" t="inlineStr">
        <is>
          <t>2026-08-10T19:29:54Z</t>
        </is>
      </c>
    </row>
    <row r="1266">
      <c r="A1266" s="19" t="inlineStr">
        <is>
          <t>1265</t>
        </is>
      </c>
      <c r="B1266" s="19" t="inlineStr">
        <is>
          <t>SC-1014576-ST-063-STD-11</t>
        </is>
      </c>
      <c r="C1266" t="inlineStr">
        <is>
          <t>1014576 → ST-063-STD-11</t>
        </is>
      </c>
      <c r="D1266" s="19" t="inlineStr">
        <is>
          <t>2</t>
        </is>
      </c>
      <c r="E1266" s="19" t="inlineStr">
        <is>
          <t>1462</t>
        </is>
      </c>
      <c r="F1266" s="19" t="inlineStr">
        <is>
          <t>156</t>
        </is>
      </c>
      <c r="G1266" s="19" t="n"/>
      <c r="H1266" s="19" t="inlineStr">
        <is>
          <t>2</t>
        </is>
      </c>
      <c r="I1266" s="19" t="n"/>
      <c r="J1266" s="19" t="n"/>
      <c r="K1266" s="19" t="inlineStr">
        <is>
          <t>2</t>
        </is>
      </c>
      <c r="L1266" t="inlineStr">
        <is>
          <t>2026-08-08</t>
        </is>
      </c>
      <c r="N1266" t="inlineStr">
        <is>
          <t>IN_SCOPE_FINAL; SOURCE_CFG=IA-ST-CFG-0182; MARKET=YURT İÇİ AFM; STATUS=IN OEM / EU PACKAGE</t>
        </is>
      </c>
      <c r="O1266" t="inlineStr">
        <is>
          <t>2026-08-10T19:29:54Z</t>
        </is>
      </c>
      <c r="P1266" t="inlineStr">
        <is>
          <t>2026-08-10T19:29:54Z</t>
        </is>
      </c>
    </row>
    <row r="1267">
      <c r="A1267" s="19" t="inlineStr">
        <is>
          <t>1266</t>
        </is>
      </c>
      <c r="B1267" s="19" t="inlineStr">
        <is>
          <t>SC-1014585-ST-063-STD-11</t>
        </is>
      </c>
      <c r="C1267" t="inlineStr">
        <is>
          <t>1014585 → ST-063-STD-11</t>
        </is>
      </c>
      <c r="D1267" s="19" t="inlineStr">
        <is>
          <t>2</t>
        </is>
      </c>
      <c r="E1267" s="19" t="inlineStr">
        <is>
          <t>1471</t>
        </is>
      </c>
      <c r="F1267" s="19" t="inlineStr">
        <is>
          <t>156</t>
        </is>
      </c>
      <c r="G1267" s="19" t="n"/>
      <c r="H1267" s="19" t="inlineStr">
        <is>
          <t>2</t>
        </is>
      </c>
      <c r="I1267" s="19" t="n"/>
      <c r="J1267" s="19" t="n"/>
      <c r="K1267" s="19" t="inlineStr">
        <is>
          <t>2</t>
        </is>
      </c>
      <c r="L1267" t="inlineStr">
        <is>
          <t>2026-08-08</t>
        </is>
      </c>
      <c r="N1267" t="inlineStr">
        <is>
          <t>IN_SCOPE_FINAL; SOURCE_CFG=IA-ST-CFG-0182; MARKET=YURT İÇİ AFM; STATUS=IN OEM / EU PACKAGE</t>
        </is>
      </c>
      <c r="O1267" t="inlineStr">
        <is>
          <t>2026-08-10T19:29:54Z</t>
        </is>
      </c>
      <c r="P1267" t="inlineStr">
        <is>
          <t>2026-08-10T19:29:54Z</t>
        </is>
      </c>
    </row>
    <row r="1268">
      <c r="A1268" s="19" t="inlineStr">
        <is>
          <t>1267</t>
        </is>
      </c>
      <c r="B1268" s="19" t="inlineStr">
        <is>
          <t>SC-1014586-ST-063-STD-11</t>
        </is>
      </c>
      <c r="C1268" t="inlineStr">
        <is>
          <t>1014586 → ST-063-STD-11</t>
        </is>
      </c>
      <c r="D1268" s="19" t="inlineStr">
        <is>
          <t>2</t>
        </is>
      </c>
      <c r="E1268" s="19" t="inlineStr">
        <is>
          <t>1472</t>
        </is>
      </c>
      <c r="F1268" s="19" t="inlineStr">
        <is>
          <t>156</t>
        </is>
      </c>
      <c r="G1268" s="19" t="n"/>
      <c r="H1268" s="19" t="inlineStr">
        <is>
          <t>2</t>
        </is>
      </c>
      <c r="I1268" s="19" t="n"/>
      <c r="J1268" s="19" t="n"/>
      <c r="K1268" s="19" t="inlineStr">
        <is>
          <t>2</t>
        </is>
      </c>
      <c r="L1268" t="inlineStr">
        <is>
          <t>2026-08-08</t>
        </is>
      </c>
      <c r="N1268" t="inlineStr">
        <is>
          <t>IN_SCOPE_FINAL; SOURCE_CFG=IA-ST-CFG-0182; MARKET=YURT İÇİ AFM; STATUS=IN OEM / EU PACKAGE</t>
        </is>
      </c>
      <c r="O1268" t="inlineStr">
        <is>
          <t>2026-08-10T19:29:54Z</t>
        </is>
      </c>
      <c r="P1268" t="inlineStr">
        <is>
          <t>2026-08-10T19:29:54Z</t>
        </is>
      </c>
    </row>
    <row r="1269">
      <c r="A1269" s="19" t="inlineStr">
        <is>
          <t>1268</t>
        </is>
      </c>
      <c r="B1269" s="19" t="inlineStr">
        <is>
          <t>SC-1011159-ST-063-STD-11</t>
        </is>
      </c>
      <c r="C1269" t="inlineStr">
        <is>
          <t>1011159 → ST-063-STD-11</t>
        </is>
      </c>
      <c r="D1269" s="19" t="inlineStr">
        <is>
          <t>2</t>
        </is>
      </c>
      <c r="E1269" s="19" t="inlineStr">
        <is>
          <t>236</t>
        </is>
      </c>
      <c r="F1269" s="19" t="inlineStr">
        <is>
          <t>156</t>
        </is>
      </c>
      <c r="G1269" s="19" t="n"/>
      <c r="H1269" s="19" t="inlineStr">
        <is>
          <t>2</t>
        </is>
      </c>
      <c r="I1269" s="19" t="n"/>
      <c r="J1269" s="19" t="n"/>
      <c r="K1269" s="19" t="inlineStr">
        <is>
          <t>2</t>
        </is>
      </c>
      <c r="L1269" t="inlineStr">
        <is>
          <t>2026-08-08</t>
        </is>
      </c>
      <c r="N1269" t="inlineStr">
        <is>
          <t>IN_SCOPE_FINAL; SOURCE_CFG=IA-ST-CFG-0182; MARKET=YURT İÇİ AFM; STATUS=IN OEM / EU PACKAGE</t>
        </is>
      </c>
      <c r="O1269" t="inlineStr">
        <is>
          <t>2026-08-10T19:29:54Z</t>
        </is>
      </c>
      <c r="P1269" t="inlineStr">
        <is>
          <t>2026-08-10T19:29:54Z</t>
        </is>
      </c>
    </row>
    <row r="1270">
      <c r="A1270" s="19" t="inlineStr">
        <is>
          <t>1269</t>
        </is>
      </c>
      <c r="B1270" s="19" t="inlineStr">
        <is>
          <t>SC-1011204-ST-063-STD-11</t>
        </is>
      </c>
      <c r="C1270" t="inlineStr">
        <is>
          <t>1011204 → ST-063-STD-11</t>
        </is>
      </c>
      <c r="D1270" s="19" t="inlineStr">
        <is>
          <t>2</t>
        </is>
      </c>
      <c r="E1270" s="19" t="inlineStr">
        <is>
          <t>272</t>
        </is>
      </c>
      <c r="F1270" s="19" t="inlineStr">
        <is>
          <t>156</t>
        </is>
      </c>
      <c r="G1270" s="19" t="n"/>
      <c r="H1270" s="19" t="inlineStr">
        <is>
          <t>2</t>
        </is>
      </c>
      <c r="I1270" s="19" t="n"/>
      <c r="J1270" s="19" t="n"/>
      <c r="K1270" s="19" t="inlineStr">
        <is>
          <t>2</t>
        </is>
      </c>
      <c r="L1270" t="inlineStr">
        <is>
          <t>2026-08-08</t>
        </is>
      </c>
      <c r="N1270" t="inlineStr">
        <is>
          <t>IN_SCOPE_FINAL; SOURCE_CFG=IA-ST-CFG-0182; MARKET=YURT İÇİ AFM; STATUS=IN OEM / EU PACKAGE</t>
        </is>
      </c>
      <c r="O1270" t="inlineStr">
        <is>
          <t>2026-08-10T19:29:54Z</t>
        </is>
      </c>
      <c r="P1270" t="inlineStr">
        <is>
          <t>2026-08-10T19:29:54Z</t>
        </is>
      </c>
    </row>
    <row r="1271">
      <c r="A1271" s="19" t="inlineStr">
        <is>
          <t>1270</t>
        </is>
      </c>
      <c r="B1271" s="19" t="inlineStr">
        <is>
          <t>SC-1011205-ST-063-STD-11</t>
        </is>
      </c>
      <c r="C1271" t="inlineStr">
        <is>
          <t>1011205 → ST-063-STD-11</t>
        </is>
      </c>
      <c r="D1271" s="19" t="inlineStr">
        <is>
          <t>2</t>
        </is>
      </c>
      <c r="E1271" s="19" t="inlineStr">
        <is>
          <t>273</t>
        </is>
      </c>
      <c r="F1271" s="19" t="inlineStr">
        <is>
          <t>156</t>
        </is>
      </c>
      <c r="G1271" s="19" t="n"/>
      <c r="H1271" s="19" t="inlineStr">
        <is>
          <t>2</t>
        </is>
      </c>
      <c r="I1271" s="19" t="n"/>
      <c r="J1271" s="19" t="n"/>
      <c r="K1271" s="19" t="inlineStr">
        <is>
          <t>2</t>
        </is>
      </c>
      <c r="L1271" t="inlineStr">
        <is>
          <t>2026-08-08</t>
        </is>
      </c>
      <c r="N1271" t="inlineStr">
        <is>
          <t>IN_SCOPE_FINAL; SOURCE_CFG=IA-ST-CFG-0182; MARKET=YURT İÇİ AFM; STATUS=IN OEM / EU PACKAGE</t>
        </is>
      </c>
      <c r="O1271" t="inlineStr">
        <is>
          <t>2026-08-10T19:29:54Z</t>
        </is>
      </c>
      <c r="P1271" t="inlineStr">
        <is>
          <t>2026-08-10T19:29:54Z</t>
        </is>
      </c>
    </row>
    <row r="1272">
      <c r="A1272" s="19" t="inlineStr">
        <is>
          <t>1271</t>
        </is>
      </c>
      <c r="B1272" s="19" t="inlineStr">
        <is>
          <t>SC-1011216-ST-063-STD-11</t>
        </is>
      </c>
      <c r="C1272" t="inlineStr">
        <is>
          <t>1011216 → ST-063-STD-11</t>
        </is>
      </c>
      <c r="D1272" s="19" t="inlineStr">
        <is>
          <t>2</t>
        </is>
      </c>
      <c r="E1272" s="19" t="inlineStr">
        <is>
          <t>279</t>
        </is>
      </c>
      <c r="F1272" s="19" t="inlineStr">
        <is>
          <t>156</t>
        </is>
      </c>
      <c r="G1272" s="19" t="n"/>
      <c r="H1272" s="19" t="inlineStr">
        <is>
          <t>2</t>
        </is>
      </c>
      <c r="I1272" s="19" t="n"/>
      <c r="J1272" s="19" t="n"/>
      <c r="K1272" s="19" t="inlineStr">
        <is>
          <t>2</t>
        </is>
      </c>
      <c r="L1272" t="inlineStr">
        <is>
          <t>2026-08-08</t>
        </is>
      </c>
      <c r="N1272" t="inlineStr">
        <is>
          <t>IN_SCOPE_FINAL; SOURCE_CFG=IA-ST-CFG-0182; MARKET=YURT İÇİ AFM; STATUS=IN OEM / EU PACKAGE</t>
        </is>
      </c>
      <c r="O1272" t="inlineStr">
        <is>
          <t>2026-08-10T19:29:54Z</t>
        </is>
      </c>
      <c r="P1272" t="inlineStr">
        <is>
          <t>2026-08-10T19:29:54Z</t>
        </is>
      </c>
    </row>
    <row r="1273">
      <c r="A1273" s="19" t="inlineStr">
        <is>
          <t>1272</t>
        </is>
      </c>
      <c r="B1273" s="19" t="inlineStr">
        <is>
          <t>SC-1014002-ST-063-STD-11</t>
        </is>
      </c>
      <c r="C1273" t="inlineStr">
        <is>
          <t>1014002 → ST-063-STD-11</t>
        </is>
      </c>
      <c r="D1273" s="19" t="inlineStr">
        <is>
          <t>2</t>
        </is>
      </c>
      <c r="E1273" s="19" t="inlineStr">
        <is>
          <t>1173</t>
        </is>
      </c>
      <c r="F1273" s="19" t="inlineStr">
        <is>
          <t>156</t>
        </is>
      </c>
      <c r="G1273" s="19" t="n"/>
      <c r="H1273" s="19" t="inlineStr">
        <is>
          <t>2</t>
        </is>
      </c>
      <c r="I1273" s="19" t="n"/>
      <c r="J1273" s="19" t="n"/>
      <c r="K1273" s="19" t="inlineStr">
        <is>
          <t>2</t>
        </is>
      </c>
      <c r="L1273" t="inlineStr">
        <is>
          <t>2026-08-08</t>
        </is>
      </c>
      <c r="N1273" t="inlineStr">
        <is>
          <t>IN_SCOPE_FINAL; SOURCE_CFG=IA-ST-CFG-0182; MARKET=YURT İÇİ AFM; STATUS=IN OEM / EU PACKAGE</t>
        </is>
      </c>
      <c r="O1273" t="inlineStr">
        <is>
          <t>2026-08-10T19:29:54Z</t>
        </is>
      </c>
      <c r="P1273" t="inlineStr">
        <is>
          <t>2026-08-10T19:29:54Z</t>
        </is>
      </c>
    </row>
    <row r="1274">
      <c r="A1274" s="19" t="inlineStr">
        <is>
          <t>1273</t>
        </is>
      </c>
      <c r="B1274" s="19" t="inlineStr">
        <is>
          <t>SC-1014003-ST-063-STD-11</t>
        </is>
      </c>
      <c r="C1274" t="inlineStr">
        <is>
          <t>1014003 → ST-063-STD-11</t>
        </is>
      </c>
      <c r="D1274" s="19" t="inlineStr">
        <is>
          <t>2</t>
        </is>
      </c>
      <c r="E1274" s="19" t="inlineStr">
        <is>
          <t>1174</t>
        </is>
      </c>
      <c r="F1274" s="19" t="inlineStr">
        <is>
          <t>156</t>
        </is>
      </c>
      <c r="G1274" s="19" t="n"/>
      <c r="H1274" s="19" t="inlineStr">
        <is>
          <t>2</t>
        </is>
      </c>
      <c r="I1274" s="19" t="n"/>
      <c r="J1274" s="19" t="n"/>
      <c r="K1274" s="19" t="inlineStr">
        <is>
          <t>2</t>
        </is>
      </c>
      <c r="L1274" t="inlineStr">
        <is>
          <t>2026-08-08</t>
        </is>
      </c>
      <c r="N1274" t="inlineStr">
        <is>
          <t>IN_SCOPE_FINAL; SOURCE_CFG=IA-ST-CFG-0182; MARKET=YURT İÇİ AFM; STATUS=IN OEM / EU PACKAGE</t>
        </is>
      </c>
      <c r="O1274" t="inlineStr">
        <is>
          <t>2026-08-10T19:29:54Z</t>
        </is>
      </c>
      <c r="P1274" t="inlineStr">
        <is>
          <t>2026-08-10T19:29:54Z</t>
        </is>
      </c>
    </row>
    <row r="1275">
      <c r="A1275" s="19" t="inlineStr">
        <is>
          <t>1274</t>
        </is>
      </c>
      <c r="B1275" s="19" t="inlineStr">
        <is>
          <t>SC-1011194-ST-063-STD-11</t>
        </is>
      </c>
      <c r="C1275" t="inlineStr">
        <is>
          <t>1011194 → ST-063-STD-11</t>
        </is>
      </c>
      <c r="D1275" s="19" t="inlineStr">
        <is>
          <t>2</t>
        </is>
      </c>
      <c r="E1275" s="19" t="inlineStr">
        <is>
          <t>265</t>
        </is>
      </c>
      <c r="F1275" s="19" t="inlineStr">
        <is>
          <t>156</t>
        </is>
      </c>
      <c r="G1275" s="19" t="n"/>
      <c r="H1275" s="19" t="inlineStr">
        <is>
          <t>2</t>
        </is>
      </c>
      <c r="I1275" s="19" t="n"/>
      <c r="J1275" s="19" t="n"/>
      <c r="K1275" s="19" t="inlineStr">
        <is>
          <t>2</t>
        </is>
      </c>
      <c r="L1275" t="inlineStr">
        <is>
          <t>2026-08-08</t>
        </is>
      </c>
      <c r="N1275" t="inlineStr">
        <is>
          <t>IN_SCOPE_FINAL; SOURCE_CFG=IA-ST-CFG-0182; MARKET=YURT İÇİ AFM; STATUS=IN OEM / EU PACKAGE</t>
        </is>
      </c>
      <c r="O1275" t="inlineStr">
        <is>
          <t>2026-08-10T19:29:54Z</t>
        </is>
      </c>
      <c r="P1275" t="inlineStr">
        <is>
          <t>2026-08-10T19:29:54Z</t>
        </is>
      </c>
    </row>
    <row r="1276">
      <c r="A1276" s="19" t="inlineStr">
        <is>
          <t>1275</t>
        </is>
      </c>
      <c r="B1276" s="19" t="inlineStr">
        <is>
          <t>SC-1012276-ST-063-STD-12</t>
        </is>
      </c>
      <c r="C1276" t="inlineStr">
        <is>
          <t>1012276 → ST-063-STD-12</t>
        </is>
      </c>
      <c r="D1276" s="19" t="inlineStr">
        <is>
          <t>2</t>
        </is>
      </c>
      <c r="E1276" s="19" t="inlineStr">
        <is>
          <t>582</t>
        </is>
      </c>
      <c r="F1276" s="19" t="inlineStr">
        <is>
          <t>157</t>
        </is>
      </c>
      <c r="G1276" s="19" t="n"/>
      <c r="H1276" s="19" t="inlineStr">
        <is>
          <t>2</t>
        </is>
      </c>
      <c r="I1276" s="19" t="n"/>
      <c r="J1276" s="19" t="n"/>
      <c r="K1276" s="19" t="inlineStr">
        <is>
          <t>2</t>
        </is>
      </c>
      <c r="L1276" t="inlineStr">
        <is>
          <t>2026-08-08</t>
        </is>
      </c>
      <c r="N1276" t="inlineStr">
        <is>
          <t>IN_SCOPE_FINAL; SOURCE_CFG=IA-ST-CFG-0183; MARKET=SCHNAPP; STATUS=IN OEM / EU PACKAGE</t>
        </is>
      </c>
      <c r="O1276" t="inlineStr">
        <is>
          <t>2026-08-10T19:29:54Z</t>
        </is>
      </c>
      <c r="P1276" t="inlineStr">
        <is>
          <t>2026-08-10T19:29:54Z</t>
        </is>
      </c>
    </row>
    <row r="1277">
      <c r="A1277" s="19" t="inlineStr">
        <is>
          <t>1276</t>
        </is>
      </c>
      <c r="B1277" s="19" t="inlineStr">
        <is>
          <t>SC-1012277-ST-063-STD-12</t>
        </is>
      </c>
      <c r="C1277" t="inlineStr">
        <is>
          <t>1012277 → ST-063-STD-12</t>
        </is>
      </c>
      <c r="D1277" s="19" t="inlineStr">
        <is>
          <t>2</t>
        </is>
      </c>
      <c r="E1277" s="19" t="inlineStr">
        <is>
          <t>583</t>
        </is>
      </c>
      <c r="F1277" s="19" t="inlineStr">
        <is>
          <t>157</t>
        </is>
      </c>
      <c r="G1277" s="19" t="n"/>
      <c r="H1277" s="19" t="inlineStr">
        <is>
          <t>2</t>
        </is>
      </c>
      <c r="I1277" s="19" t="n"/>
      <c r="J1277" s="19" t="n"/>
      <c r="K1277" s="19" t="inlineStr">
        <is>
          <t>2</t>
        </is>
      </c>
      <c r="L1277" t="inlineStr">
        <is>
          <t>2026-08-08</t>
        </is>
      </c>
      <c r="N1277" t="inlineStr">
        <is>
          <t>IN_SCOPE_FINAL; SOURCE_CFG=IA-ST-CFG-0183; MARKET=SCHNAPP; STATUS=IN OEM / EU PACKAGE</t>
        </is>
      </c>
      <c r="O1277" t="inlineStr">
        <is>
          <t>2026-08-10T19:29:54Z</t>
        </is>
      </c>
      <c r="P1277" t="inlineStr">
        <is>
          <t>2026-08-10T19:29:54Z</t>
        </is>
      </c>
    </row>
    <row r="1278">
      <c r="A1278" s="19" t="inlineStr">
        <is>
          <t>1277</t>
        </is>
      </c>
      <c r="B1278" s="19" t="inlineStr">
        <is>
          <t>SC-1012279-ST-063-STD-12</t>
        </is>
      </c>
      <c r="C1278" t="inlineStr">
        <is>
          <t>1012279 → ST-063-STD-12</t>
        </is>
      </c>
      <c r="D1278" s="19" t="inlineStr">
        <is>
          <t>2</t>
        </is>
      </c>
      <c r="E1278" s="19" t="inlineStr">
        <is>
          <t>584</t>
        </is>
      </c>
      <c r="F1278" s="19" t="inlineStr">
        <is>
          <t>157</t>
        </is>
      </c>
      <c r="G1278" s="19" t="n"/>
      <c r="H1278" s="19" t="inlineStr">
        <is>
          <t>2</t>
        </is>
      </c>
      <c r="I1278" s="19" t="n"/>
      <c r="J1278" s="19" t="n"/>
      <c r="K1278" s="19" t="inlineStr">
        <is>
          <t>2</t>
        </is>
      </c>
      <c r="L1278" t="inlineStr">
        <is>
          <t>2026-08-08</t>
        </is>
      </c>
      <c r="N1278" t="inlineStr">
        <is>
          <t>IN_SCOPE_FINAL; SOURCE_CFG=IA-ST-CFG-0183; MARKET=SCHNAPP; STATUS=IN OEM / EU PACKAGE</t>
        </is>
      </c>
      <c r="O1278" t="inlineStr">
        <is>
          <t>2026-08-10T19:29:54Z</t>
        </is>
      </c>
      <c r="P1278" t="inlineStr">
        <is>
          <t>2026-08-10T19:29:54Z</t>
        </is>
      </c>
    </row>
    <row r="1279">
      <c r="A1279" s="19" t="inlineStr">
        <is>
          <t>1278</t>
        </is>
      </c>
      <c r="B1279" s="19" t="inlineStr">
        <is>
          <t>SC-1012280-ST-063-STD-12</t>
        </is>
      </c>
      <c r="C1279" t="inlineStr">
        <is>
          <t>1012280 → ST-063-STD-12</t>
        </is>
      </c>
      <c r="D1279" s="19" t="inlineStr">
        <is>
          <t>2</t>
        </is>
      </c>
      <c r="E1279" s="19" t="inlineStr">
        <is>
          <t>585</t>
        </is>
      </c>
      <c r="F1279" s="19" t="inlineStr">
        <is>
          <t>157</t>
        </is>
      </c>
      <c r="G1279" s="19" t="n"/>
      <c r="H1279" s="19" t="inlineStr">
        <is>
          <t>2</t>
        </is>
      </c>
      <c r="I1279" s="19" t="n"/>
      <c r="J1279" s="19" t="n"/>
      <c r="K1279" s="19" t="inlineStr">
        <is>
          <t>2</t>
        </is>
      </c>
      <c r="L1279" t="inlineStr">
        <is>
          <t>2026-08-08</t>
        </is>
      </c>
      <c r="N1279" t="inlineStr">
        <is>
          <t>IN_SCOPE_FINAL; SOURCE_CFG=IA-ST-CFG-0183; MARKET=SCHNAPP; STATUS=IN OEM / EU PACKAGE</t>
        </is>
      </c>
      <c r="O1279" t="inlineStr">
        <is>
          <t>2026-08-10T19:29:54Z</t>
        </is>
      </c>
      <c r="P1279" t="inlineStr">
        <is>
          <t>2026-08-10T19:29:54Z</t>
        </is>
      </c>
    </row>
    <row r="1280">
      <c r="A1280" s="19" t="inlineStr">
        <is>
          <t>1279</t>
        </is>
      </c>
      <c r="B1280" s="19" t="inlineStr">
        <is>
          <t>SC-1012306-ST-063-STD-12</t>
        </is>
      </c>
      <c r="C1280" t="inlineStr">
        <is>
          <t>1012306 → ST-063-STD-12</t>
        </is>
      </c>
      <c r="D1280" s="19" t="inlineStr">
        <is>
          <t>2</t>
        </is>
      </c>
      <c r="E1280" s="19" t="inlineStr">
        <is>
          <t>594</t>
        </is>
      </c>
      <c r="F1280" s="19" t="inlineStr">
        <is>
          <t>157</t>
        </is>
      </c>
      <c r="G1280" s="19" t="n"/>
      <c r="H1280" s="19" t="inlineStr">
        <is>
          <t>2</t>
        </is>
      </c>
      <c r="I1280" s="19" t="n"/>
      <c r="J1280" s="19" t="n"/>
      <c r="K1280" s="19" t="inlineStr">
        <is>
          <t>2</t>
        </is>
      </c>
      <c r="L1280" t="inlineStr">
        <is>
          <t>2026-08-08</t>
        </is>
      </c>
      <c r="N1280" t="inlineStr">
        <is>
          <t>IN_SCOPE_FINAL; SOURCE_CFG=IA-ST-CFG-0183; MARKET=SCHNAPP; STATUS=IN OEM / EU PACKAGE</t>
        </is>
      </c>
      <c r="O1280" t="inlineStr">
        <is>
          <t>2026-08-10T19:29:54Z</t>
        </is>
      </c>
      <c r="P1280" t="inlineStr">
        <is>
          <t>2026-08-10T19:29:54Z</t>
        </is>
      </c>
    </row>
    <row r="1281">
      <c r="A1281" s="19" t="inlineStr">
        <is>
          <t>1280</t>
        </is>
      </c>
      <c r="B1281" s="19" t="inlineStr">
        <is>
          <t>SC-1012309-ST-063-STD-12</t>
        </is>
      </c>
      <c r="C1281" t="inlineStr">
        <is>
          <t>1012309 → ST-063-STD-12</t>
        </is>
      </c>
      <c r="D1281" s="19" t="inlineStr">
        <is>
          <t>2</t>
        </is>
      </c>
      <c r="E1281" s="19" t="inlineStr">
        <is>
          <t>596</t>
        </is>
      </c>
      <c r="F1281" s="19" t="inlineStr">
        <is>
          <t>157</t>
        </is>
      </c>
      <c r="G1281" s="19" t="n"/>
      <c r="H1281" s="19" t="inlineStr">
        <is>
          <t>2</t>
        </is>
      </c>
      <c r="I1281" s="19" t="n"/>
      <c r="J1281" s="19" t="n"/>
      <c r="K1281" s="19" t="inlineStr">
        <is>
          <t>2</t>
        </is>
      </c>
      <c r="L1281" t="inlineStr">
        <is>
          <t>2026-08-08</t>
        </is>
      </c>
      <c r="N1281" t="inlineStr">
        <is>
          <t>IN_SCOPE_FINAL; SOURCE_CFG=IA-ST-CFG-0183; MARKET=SCHNAPP; STATUS=IN OEM / EU PACKAGE</t>
        </is>
      </c>
      <c r="O1281" t="inlineStr">
        <is>
          <t>2026-08-10T19:29:54Z</t>
        </is>
      </c>
      <c r="P1281" t="inlineStr">
        <is>
          <t>2026-08-10T19:29:54Z</t>
        </is>
      </c>
    </row>
    <row r="1282">
      <c r="A1282" s="19" t="inlineStr">
        <is>
          <t>1281</t>
        </is>
      </c>
      <c r="B1282" s="19" t="inlineStr">
        <is>
          <t>SC-1013414-ST-063-STD-12</t>
        </is>
      </c>
      <c r="C1282" t="inlineStr">
        <is>
          <t>1013414 → ST-063-STD-12</t>
        </is>
      </c>
      <c r="D1282" s="19" t="inlineStr">
        <is>
          <t>2</t>
        </is>
      </c>
      <c r="E1282" s="19" t="inlineStr">
        <is>
          <t>993</t>
        </is>
      </c>
      <c r="F1282" s="19" t="inlineStr">
        <is>
          <t>157</t>
        </is>
      </c>
      <c r="G1282" s="19" t="n"/>
      <c r="H1282" s="19" t="inlineStr">
        <is>
          <t>2</t>
        </is>
      </c>
      <c r="I1282" s="19" t="n"/>
      <c r="J1282" s="19" t="n"/>
      <c r="K1282" s="19" t="inlineStr">
        <is>
          <t>2</t>
        </is>
      </c>
      <c r="L1282" t="inlineStr">
        <is>
          <t>2026-08-08</t>
        </is>
      </c>
      <c r="N1282" t="inlineStr">
        <is>
          <t>IN_SCOPE_FINAL; SOURCE_CFG=IA-ST-CFG-0183; MARKET=SCHNAPP; STATUS=IN OEM / EU PACKAGE</t>
        </is>
      </c>
      <c r="O1282" t="inlineStr">
        <is>
          <t>2026-08-10T19:29:54Z</t>
        </is>
      </c>
      <c r="P1282" t="inlineStr">
        <is>
          <t>2026-08-10T19:29:54Z</t>
        </is>
      </c>
    </row>
    <row r="1283">
      <c r="A1283" s="19" t="inlineStr">
        <is>
          <t>1282</t>
        </is>
      </c>
      <c r="B1283" s="19" t="inlineStr">
        <is>
          <t>SC-1013979-ST-063-STD-13</t>
        </is>
      </c>
      <c r="C1283" t="inlineStr">
        <is>
          <t>1013979 → ST-063-STD-13</t>
        </is>
      </c>
      <c r="D1283" s="19" t="inlineStr">
        <is>
          <t>2</t>
        </is>
      </c>
      <c r="E1283" s="19" t="inlineStr">
        <is>
          <t>1153</t>
        </is>
      </c>
      <c r="F1283" s="19" t="inlineStr">
        <is>
          <t>158</t>
        </is>
      </c>
      <c r="G1283" s="19" t="n"/>
      <c r="H1283" s="19" t="inlineStr">
        <is>
          <t>2</t>
        </is>
      </c>
      <c r="I1283" s="19" t="n"/>
      <c r="J1283" s="19" t="n"/>
      <c r="K1283" s="19" t="inlineStr">
        <is>
          <t>2</t>
        </is>
      </c>
      <c r="L1283" t="inlineStr">
        <is>
          <t>2026-08-08</t>
        </is>
      </c>
      <c r="N1283" t="inlineStr">
        <is>
          <t>IN_SCOPE_FINAL; SOURCE_CFG=IA-ST-CFG-0184; MARKET=SCHNAPP; STATUS=IN OEM / EU PACKAGE</t>
        </is>
      </c>
      <c r="O1283" t="inlineStr">
        <is>
          <t>2026-08-10T19:29:54Z</t>
        </is>
      </c>
      <c r="P1283" t="inlineStr">
        <is>
          <t>2026-08-10T19:29:54Z</t>
        </is>
      </c>
    </row>
    <row r="1284">
      <c r="A1284" s="19" t="inlineStr">
        <is>
          <t>1283</t>
        </is>
      </c>
      <c r="B1284" s="19" t="inlineStr">
        <is>
          <t>SC-1012337-ST-063-STD-14</t>
        </is>
      </c>
      <c r="C1284" t="inlineStr">
        <is>
          <t>1012337 → ST-063-STD-14</t>
        </is>
      </c>
      <c r="D1284" s="19" t="inlineStr">
        <is>
          <t>2</t>
        </is>
      </c>
      <c r="E1284" s="19" t="inlineStr">
        <is>
          <t>605</t>
        </is>
      </c>
      <c r="F1284" s="19" t="inlineStr">
        <is>
          <t>159</t>
        </is>
      </c>
      <c r="G1284" s="19" t="n"/>
      <c r="H1284" s="19" t="inlineStr">
        <is>
          <t>2</t>
        </is>
      </c>
      <c r="I1284" s="19" t="n"/>
      <c r="J1284" s="19" t="n"/>
      <c r="K1284" s="19" t="inlineStr">
        <is>
          <t>2</t>
        </is>
      </c>
      <c r="L1284" t="inlineStr">
        <is>
          <t>2026-08-08</t>
        </is>
      </c>
      <c r="N1284" t="inlineStr">
        <is>
          <t>IN_SCOPE_FINAL; SOURCE_CFG=IA-ST-CFG-0185; MARKET=SCHNAPP; STATUS=IN OEM / EU PACKAGE</t>
        </is>
      </c>
      <c r="O1284" t="inlineStr">
        <is>
          <t>2026-08-10T19:29:54Z</t>
        </is>
      </c>
      <c r="P1284" t="inlineStr">
        <is>
          <t>2026-08-10T19:29:54Z</t>
        </is>
      </c>
    </row>
    <row r="1285">
      <c r="A1285" s="19" t="inlineStr">
        <is>
          <t>1284</t>
        </is>
      </c>
      <c r="B1285" s="19" t="inlineStr">
        <is>
          <t>SC-1012340-ST-063-STD-14</t>
        </is>
      </c>
      <c r="C1285" t="inlineStr">
        <is>
          <t>1012340 → ST-063-STD-14</t>
        </is>
      </c>
      <c r="D1285" s="19" t="inlineStr">
        <is>
          <t>2</t>
        </is>
      </c>
      <c r="E1285" s="19" t="inlineStr">
        <is>
          <t>607</t>
        </is>
      </c>
      <c r="F1285" s="19" t="inlineStr">
        <is>
          <t>159</t>
        </is>
      </c>
      <c r="G1285" s="19" t="n"/>
      <c r="H1285" s="19" t="inlineStr">
        <is>
          <t>2</t>
        </is>
      </c>
      <c r="I1285" s="19" t="n"/>
      <c r="J1285" s="19" t="n"/>
      <c r="K1285" s="19" t="inlineStr">
        <is>
          <t>2</t>
        </is>
      </c>
      <c r="L1285" t="inlineStr">
        <is>
          <t>2026-08-08</t>
        </is>
      </c>
      <c r="N1285" t="inlineStr">
        <is>
          <t>IN_SCOPE_FINAL; SOURCE_CFG=IA-ST-CFG-0185; MARKET=SCHNAPP; STATUS=IN OEM / EU PACKAGE</t>
        </is>
      </c>
      <c r="O1285" t="inlineStr">
        <is>
          <t>2026-08-10T19:29:54Z</t>
        </is>
      </c>
      <c r="P1285" t="inlineStr">
        <is>
          <t>2026-08-10T19:29:54Z</t>
        </is>
      </c>
    </row>
    <row r="1286">
      <c r="A1286" s="19" t="inlineStr">
        <is>
          <t>1285</t>
        </is>
      </c>
      <c r="B1286" s="19" t="inlineStr">
        <is>
          <t>SC-1012425-ST-063-STD-14</t>
        </is>
      </c>
      <c r="C1286" t="inlineStr">
        <is>
          <t>1012425 → ST-063-STD-14</t>
        </is>
      </c>
      <c r="D1286" s="19" t="inlineStr">
        <is>
          <t>2</t>
        </is>
      </c>
      <c r="E1286" s="19" t="inlineStr">
        <is>
          <t>636</t>
        </is>
      </c>
      <c r="F1286" s="19" t="inlineStr">
        <is>
          <t>159</t>
        </is>
      </c>
      <c r="G1286" s="19" t="n"/>
      <c r="H1286" s="19" t="inlineStr">
        <is>
          <t>2</t>
        </is>
      </c>
      <c r="I1286" s="19" t="n"/>
      <c r="J1286" s="19" t="n"/>
      <c r="K1286" s="19" t="inlineStr">
        <is>
          <t>2</t>
        </is>
      </c>
      <c r="L1286" t="inlineStr">
        <is>
          <t>2026-08-08</t>
        </is>
      </c>
      <c r="N1286" t="inlineStr">
        <is>
          <t>IN_SCOPE_FINAL; SOURCE_CFG=IA-ST-CFG-0185; MARKET=SCHNAPP; STATUS=IN OEM / EU PACKAGE</t>
        </is>
      </c>
      <c r="O1286" t="inlineStr">
        <is>
          <t>2026-08-10T19:29:54Z</t>
        </is>
      </c>
      <c r="P1286" t="inlineStr">
        <is>
          <t>2026-08-10T19:29:54Z</t>
        </is>
      </c>
    </row>
    <row r="1287">
      <c r="A1287" s="19" t="inlineStr">
        <is>
          <t>1286</t>
        </is>
      </c>
      <c r="B1287" s="19" t="inlineStr">
        <is>
          <t>SC-1012426-ST-063-STD-14</t>
        </is>
      </c>
      <c r="C1287" t="inlineStr">
        <is>
          <t>1012426 → ST-063-STD-14</t>
        </is>
      </c>
      <c r="D1287" s="19" t="inlineStr">
        <is>
          <t>2</t>
        </is>
      </c>
      <c r="E1287" s="19" t="inlineStr">
        <is>
          <t>637</t>
        </is>
      </c>
      <c r="F1287" s="19" t="inlineStr">
        <is>
          <t>159</t>
        </is>
      </c>
      <c r="G1287" s="19" t="n"/>
      <c r="H1287" s="19" t="inlineStr">
        <is>
          <t>2</t>
        </is>
      </c>
      <c r="I1287" s="19" t="n"/>
      <c r="J1287" s="19" t="n"/>
      <c r="K1287" s="19" t="inlineStr">
        <is>
          <t>2</t>
        </is>
      </c>
      <c r="L1287" t="inlineStr">
        <is>
          <t>2026-08-08</t>
        </is>
      </c>
      <c r="N1287" t="inlineStr">
        <is>
          <t>IN_SCOPE_FINAL; SOURCE_CFG=IA-ST-CFG-0185; MARKET=SCHNAPP; STATUS=IN OEM / EU PACKAGE</t>
        </is>
      </c>
      <c r="O1287" t="inlineStr">
        <is>
          <t>2026-08-10T19:29:54Z</t>
        </is>
      </c>
      <c r="P1287" t="inlineStr">
        <is>
          <t>2026-08-10T19:29:54Z</t>
        </is>
      </c>
    </row>
    <row r="1288">
      <c r="A1288" s="19" t="inlineStr">
        <is>
          <t>1287</t>
        </is>
      </c>
      <c r="B1288" s="19" t="inlineStr">
        <is>
          <t>SC-1012428-ST-063-STD-14</t>
        </is>
      </c>
      <c r="C1288" t="inlineStr">
        <is>
          <t>1012428 → ST-063-STD-14</t>
        </is>
      </c>
      <c r="D1288" s="19" t="inlineStr">
        <is>
          <t>2</t>
        </is>
      </c>
      <c r="E1288" s="19" t="inlineStr">
        <is>
          <t>638</t>
        </is>
      </c>
      <c r="F1288" s="19" t="inlineStr">
        <is>
          <t>159</t>
        </is>
      </c>
      <c r="G1288" s="19" t="n"/>
      <c r="H1288" s="19" t="inlineStr">
        <is>
          <t>2</t>
        </is>
      </c>
      <c r="I1288" s="19" t="n"/>
      <c r="J1288" s="19" t="n"/>
      <c r="K1288" s="19" t="inlineStr">
        <is>
          <t>2</t>
        </is>
      </c>
      <c r="L1288" t="inlineStr">
        <is>
          <t>2026-08-08</t>
        </is>
      </c>
      <c r="N1288" t="inlineStr">
        <is>
          <t>IN_SCOPE_FINAL; SOURCE_CFG=IA-ST-CFG-0185; MARKET=SCHNAPP; STATUS=IN OEM / EU PACKAGE</t>
        </is>
      </c>
      <c r="O1288" t="inlineStr">
        <is>
          <t>2026-08-10T19:29:54Z</t>
        </is>
      </c>
      <c r="P1288" t="inlineStr">
        <is>
          <t>2026-08-10T19:29:54Z</t>
        </is>
      </c>
    </row>
    <row r="1289">
      <c r="A1289" s="19" t="inlineStr">
        <is>
          <t>1288</t>
        </is>
      </c>
      <c r="B1289" s="19" t="inlineStr">
        <is>
          <t>SC-1012429-ST-063-STD-14</t>
        </is>
      </c>
      <c r="C1289" t="inlineStr">
        <is>
          <t>1012429 → ST-063-STD-14</t>
        </is>
      </c>
      <c r="D1289" s="19" t="inlineStr">
        <is>
          <t>2</t>
        </is>
      </c>
      <c r="E1289" s="19" t="inlineStr">
        <is>
          <t>639</t>
        </is>
      </c>
      <c r="F1289" s="19" t="inlineStr">
        <is>
          <t>159</t>
        </is>
      </c>
      <c r="G1289" s="19" t="n"/>
      <c r="H1289" s="19" t="inlineStr">
        <is>
          <t>2</t>
        </is>
      </c>
      <c r="I1289" s="19" t="n"/>
      <c r="J1289" s="19" t="n"/>
      <c r="K1289" s="19" t="inlineStr">
        <is>
          <t>2</t>
        </is>
      </c>
      <c r="L1289" t="inlineStr">
        <is>
          <t>2026-08-08</t>
        </is>
      </c>
      <c r="N1289" t="inlineStr">
        <is>
          <t>IN_SCOPE_FINAL; SOURCE_CFG=IA-ST-CFG-0185; MARKET=SCHNAPP; STATUS=IN OEM / EU PACKAGE</t>
        </is>
      </c>
      <c r="O1289" t="inlineStr">
        <is>
          <t>2026-08-10T19:29:54Z</t>
        </is>
      </c>
      <c r="P1289" t="inlineStr">
        <is>
          <t>2026-08-10T19:29:54Z</t>
        </is>
      </c>
    </row>
    <row r="1290">
      <c r="A1290" s="19" t="inlineStr">
        <is>
          <t>1289</t>
        </is>
      </c>
      <c r="B1290" s="19" t="inlineStr">
        <is>
          <t>SC-1012956-ST-063-STD-14</t>
        </is>
      </c>
      <c r="C1290" t="inlineStr">
        <is>
          <t>1012956 → ST-063-STD-14</t>
        </is>
      </c>
      <c r="D1290" s="19" t="inlineStr">
        <is>
          <t>2</t>
        </is>
      </c>
      <c r="E1290" s="19" t="inlineStr">
        <is>
          <t>879</t>
        </is>
      </c>
      <c r="F1290" s="19" t="inlineStr">
        <is>
          <t>159</t>
        </is>
      </c>
      <c r="G1290" s="19" t="n"/>
      <c r="H1290" s="19" t="inlineStr">
        <is>
          <t>2</t>
        </is>
      </c>
      <c r="I1290" s="19" t="n"/>
      <c r="J1290" s="19" t="n"/>
      <c r="K1290" s="19" t="inlineStr">
        <is>
          <t>2</t>
        </is>
      </c>
      <c r="L1290" t="inlineStr">
        <is>
          <t>2026-08-08</t>
        </is>
      </c>
      <c r="N1290" t="inlineStr">
        <is>
          <t>IN_SCOPE_FINAL; SOURCE_CFG=IA-ST-CFG-0185; MARKET=SCHNAPP; STATUS=IN OEM / EU PACKAGE</t>
        </is>
      </c>
      <c r="O1290" t="inlineStr">
        <is>
          <t>2026-08-10T19:29:54Z</t>
        </is>
      </c>
      <c r="P1290" t="inlineStr">
        <is>
          <t>2026-08-10T19:29:54Z</t>
        </is>
      </c>
    </row>
    <row r="1291">
      <c r="A1291" s="19" t="inlineStr">
        <is>
          <t>1290</t>
        </is>
      </c>
      <c r="B1291" s="19" t="inlineStr">
        <is>
          <t>SC-1014095-ST-063-STD-14</t>
        </is>
      </c>
      <c r="C1291" t="inlineStr">
        <is>
          <t>1014095 → ST-063-STD-14</t>
        </is>
      </c>
      <c r="D1291" s="19" t="inlineStr">
        <is>
          <t>2</t>
        </is>
      </c>
      <c r="E1291" s="19" t="inlineStr">
        <is>
          <t>1222</t>
        </is>
      </c>
      <c r="F1291" s="19" t="inlineStr">
        <is>
          <t>159</t>
        </is>
      </c>
      <c r="G1291" s="19" t="n"/>
      <c r="H1291" s="19" t="inlineStr">
        <is>
          <t>2</t>
        </is>
      </c>
      <c r="I1291" s="19" t="n"/>
      <c r="J1291" s="19" t="n"/>
      <c r="K1291" s="19" t="inlineStr">
        <is>
          <t>2</t>
        </is>
      </c>
      <c r="L1291" t="inlineStr">
        <is>
          <t>2026-08-08</t>
        </is>
      </c>
      <c r="N1291" t="inlineStr">
        <is>
          <t>IN_SCOPE_FINAL; SOURCE_CFG=IA-ST-CFG-0185; MARKET=SCHNAPP; STATUS=IN OEM / EU PACKAGE</t>
        </is>
      </c>
      <c r="O1291" t="inlineStr">
        <is>
          <t>2026-08-10T19:29:54Z</t>
        </is>
      </c>
      <c r="P1291" t="inlineStr">
        <is>
          <t>2026-08-10T19:29:54Z</t>
        </is>
      </c>
    </row>
    <row r="1292">
      <c r="A1292" s="19" t="inlineStr">
        <is>
          <t>1291</t>
        </is>
      </c>
      <c r="B1292" s="19" t="inlineStr">
        <is>
          <t>SC-1010991-ST-063-STD-15</t>
        </is>
      </c>
      <c r="C1292" t="inlineStr">
        <is>
          <t>1010991 → ST-063-STD-15</t>
        </is>
      </c>
      <c r="D1292" s="19" t="inlineStr">
        <is>
          <t>2</t>
        </is>
      </c>
      <c r="E1292" s="19" t="inlineStr">
        <is>
          <t>216</t>
        </is>
      </c>
      <c r="F1292" s="19" t="inlineStr">
        <is>
          <t>160</t>
        </is>
      </c>
      <c r="G1292" s="19" t="n"/>
      <c r="H1292" s="19" t="inlineStr">
        <is>
          <t>2</t>
        </is>
      </c>
      <c r="I1292" s="19" t="n"/>
      <c r="J1292" s="19" t="n"/>
      <c r="K1292" s="19" t="inlineStr">
        <is>
          <t>2</t>
        </is>
      </c>
      <c r="L1292" t="inlineStr">
        <is>
          <t>2026-08-08</t>
        </is>
      </c>
      <c r="N1292" t="inlineStr">
        <is>
          <t>IN_SCOPE_FINAL; SOURCE_CFG=IA-ST-CFG-0186; MARKET=None; STATUS=IN OEM / EU PACKAGE</t>
        </is>
      </c>
      <c r="O1292" t="inlineStr">
        <is>
          <t>2026-08-10T19:29:54Z</t>
        </is>
      </c>
      <c r="P1292" t="inlineStr">
        <is>
          <t>2026-08-10T19:29:54Z</t>
        </is>
      </c>
    </row>
    <row r="1293">
      <c r="A1293" s="19" t="inlineStr">
        <is>
          <t>1292</t>
        </is>
      </c>
      <c r="B1293" s="19" t="inlineStr">
        <is>
          <t>SC-1014956-ST-063-STD-15</t>
        </is>
      </c>
      <c r="C1293" t="inlineStr">
        <is>
          <t>1014956 → ST-063-STD-15</t>
        </is>
      </c>
      <c r="D1293" s="19" t="inlineStr">
        <is>
          <t>2</t>
        </is>
      </c>
      <c r="E1293" s="19" t="inlineStr">
        <is>
          <t>1722</t>
        </is>
      </c>
      <c r="F1293" s="19" t="inlineStr">
        <is>
          <t>160</t>
        </is>
      </c>
      <c r="G1293" s="19" t="n"/>
      <c r="H1293" s="19" t="inlineStr">
        <is>
          <t>2</t>
        </is>
      </c>
      <c r="I1293" s="19" t="n"/>
      <c r="J1293" s="19" t="n"/>
      <c r="K1293" s="19" t="inlineStr">
        <is>
          <t>2</t>
        </is>
      </c>
      <c r="L1293" t="inlineStr">
        <is>
          <t>2026-08-08</t>
        </is>
      </c>
      <c r="N1293" t="inlineStr">
        <is>
          <t>IN_SCOPE_FINAL; SOURCE_CFG=IA-ST-CFG-0186; MARKET=SHAWKAT; STATUS=IN OEM / EU PACKAGE</t>
        </is>
      </c>
      <c r="O1293" t="inlineStr">
        <is>
          <t>2026-08-10T19:29:54Z</t>
        </is>
      </c>
      <c r="P1293" t="inlineStr">
        <is>
          <t>2026-08-10T19:29:54Z</t>
        </is>
      </c>
    </row>
    <row r="1294">
      <c r="A1294" s="19" t="inlineStr">
        <is>
          <t>1293</t>
        </is>
      </c>
      <c r="B1294" s="19" t="inlineStr">
        <is>
          <t>SC-1014379-ST-063-EUR-01</t>
        </is>
      </c>
      <c r="C1294" t="inlineStr">
        <is>
          <t>1014379 → ST-063-EUR-01</t>
        </is>
      </c>
      <c r="D1294" s="19" t="inlineStr">
        <is>
          <t>2</t>
        </is>
      </c>
      <c r="E1294" s="19" t="inlineStr">
        <is>
          <t>1334</t>
        </is>
      </c>
      <c r="F1294" s="19" t="inlineStr">
        <is>
          <t>144</t>
        </is>
      </c>
      <c r="G1294" s="19" t="n"/>
      <c r="H1294" s="19" t="inlineStr">
        <is>
          <t>2</t>
        </is>
      </c>
      <c r="I1294" s="19" t="n"/>
      <c r="J1294" s="19" t="n"/>
      <c r="K1294" s="19" t="inlineStr">
        <is>
          <t>2</t>
        </is>
      </c>
      <c r="L1294" t="inlineStr">
        <is>
          <t>2026-08-08</t>
        </is>
      </c>
      <c r="N1294" t="inlineStr">
        <is>
          <t>IN_SCOPE_FINAL; SOURCE_CFG=IA-ST-CFG-0188; MARKET=GY EUR; STATUS=IN OEM / EU PACKAGE</t>
        </is>
      </c>
      <c r="O1294" t="inlineStr">
        <is>
          <t>2026-08-10T19:29:54Z</t>
        </is>
      </c>
      <c r="P1294" t="inlineStr">
        <is>
          <t>2026-08-10T19:29:54Z</t>
        </is>
      </c>
    </row>
    <row r="1295">
      <c r="A1295" s="19" t="inlineStr">
        <is>
          <t>1294</t>
        </is>
      </c>
      <c r="B1295" s="19" t="inlineStr">
        <is>
          <t>SC-1014368-ST-063-EUR-01</t>
        </is>
      </c>
      <c r="C1295" t="inlineStr">
        <is>
          <t>1014368 → ST-063-EUR-01</t>
        </is>
      </c>
      <c r="D1295" s="19" t="inlineStr">
        <is>
          <t>2</t>
        </is>
      </c>
      <c r="E1295" s="19" t="inlineStr">
        <is>
          <t>1324</t>
        </is>
      </c>
      <c r="F1295" s="19" t="inlineStr">
        <is>
          <t>144</t>
        </is>
      </c>
      <c r="G1295" s="19" t="n"/>
      <c r="H1295" s="19" t="inlineStr">
        <is>
          <t>2</t>
        </is>
      </c>
      <c r="I1295" s="19" t="n"/>
      <c r="J1295" s="19" t="n"/>
      <c r="K1295" s="19" t="inlineStr">
        <is>
          <t>2</t>
        </is>
      </c>
      <c r="L1295" t="inlineStr">
        <is>
          <t>2026-08-08</t>
        </is>
      </c>
      <c r="N1295" t="inlineStr">
        <is>
          <t>IN_SCOPE_FINAL; SOURCE_CFG=IA-ST-CFG-0188; MARKET=GY EUR; STATUS=IN OEM / EU PACKAGE</t>
        </is>
      </c>
      <c r="O1295" t="inlineStr">
        <is>
          <t>2026-08-10T19:29:54Z</t>
        </is>
      </c>
      <c r="P1295" t="inlineStr">
        <is>
          <t>2026-08-10T19:29:54Z</t>
        </is>
      </c>
    </row>
    <row r="1296">
      <c r="A1296" s="19" t="inlineStr">
        <is>
          <t>1295</t>
        </is>
      </c>
      <c r="B1296" s="19" t="inlineStr">
        <is>
          <t>SC-1012970-ST-063-EUR-01</t>
        </is>
      </c>
      <c r="C1296" t="inlineStr">
        <is>
          <t>1012970 → ST-063-EUR-01</t>
        </is>
      </c>
      <c r="D1296" s="19" t="inlineStr">
        <is>
          <t>2</t>
        </is>
      </c>
      <c r="E1296" s="19" t="inlineStr">
        <is>
          <t>887</t>
        </is>
      </c>
      <c r="F1296" s="19" t="inlineStr">
        <is>
          <t>144</t>
        </is>
      </c>
      <c r="G1296" s="19" t="n"/>
      <c r="H1296" s="19" t="inlineStr">
        <is>
          <t>2</t>
        </is>
      </c>
      <c r="I1296" s="19" t="n"/>
      <c r="J1296" s="19" t="n"/>
      <c r="K1296" s="19" t="inlineStr">
        <is>
          <t>2</t>
        </is>
      </c>
      <c r="L1296" t="inlineStr">
        <is>
          <t>2026-08-08</t>
        </is>
      </c>
      <c r="N1296" t="inlineStr">
        <is>
          <t>IN_SCOPE_FINAL; SOURCE_CFG=IA-ST-CFG-0188; MARKET=GS; STATUS=IN OEM / EU PACKAGE</t>
        </is>
      </c>
      <c r="O1296" t="inlineStr">
        <is>
          <t>2026-08-10T19:29:54Z</t>
        </is>
      </c>
      <c r="P1296" t="inlineStr">
        <is>
          <t>2026-08-10T19:29:54Z</t>
        </is>
      </c>
    </row>
    <row r="1297">
      <c r="A1297" s="19" t="inlineStr">
        <is>
          <t>1296</t>
        </is>
      </c>
      <c r="B1297" s="19" t="inlineStr">
        <is>
          <t>SC-1012971-ST-063-EUR-01</t>
        </is>
      </c>
      <c r="C1297" t="inlineStr">
        <is>
          <t>1012971 → ST-063-EUR-01</t>
        </is>
      </c>
      <c r="D1297" s="19" t="inlineStr">
        <is>
          <t>2</t>
        </is>
      </c>
      <c r="E1297" s="19" t="inlineStr">
        <is>
          <t>888</t>
        </is>
      </c>
      <c r="F1297" s="19" t="inlineStr">
        <is>
          <t>144</t>
        </is>
      </c>
      <c r="G1297" s="19" t="n"/>
      <c r="H1297" s="19" t="inlineStr">
        <is>
          <t>2</t>
        </is>
      </c>
      <c r="I1297" s="19" t="n"/>
      <c r="J1297" s="19" t="n"/>
      <c r="K1297" s="19" t="inlineStr">
        <is>
          <t>2</t>
        </is>
      </c>
      <c r="L1297" t="inlineStr">
        <is>
          <t>2026-08-08</t>
        </is>
      </c>
      <c r="N1297" t="inlineStr">
        <is>
          <t>IN_SCOPE_FINAL; SOURCE_CFG=IA-ST-CFG-0188; MARKET=GS; STATUS=IN OEM / EU PACKAGE</t>
        </is>
      </c>
      <c r="O1297" t="inlineStr">
        <is>
          <t>2026-08-10T19:29:54Z</t>
        </is>
      </c>
      <c r="P1297" t="inlineStr">
        <is>
          <t>2026-08-10T19:29:54Z</t>
        </is>
      </c>
    </row>
    <row r="1298">
      <c r="A1298" s="19" t="inlineStr">
        <is>
          <t>1297</t>
        </is>
      </c>
      <c r="B1298" s="19" t="inlineStr">
        <is>
          <t>SC-1015002-ST-063-EUR-01</t>
        </is>
      </c>
      <c r="C1298" t="inlineStr">
        <is>
          <t>1015002 → ST-063-EUR-01</t>
        </is>
      </c>
      <c r="D1298" s="19" t="inlineStr">
        <is>
          <t>2</t>
        </is>
      </c>
      <c r="E1298" s="19" t="inlineStr">
        <is>
          <t>1763</t>
        </is>
      </c>
      <c r="F1298" s="19" t="inlineStr">
        <is>
          <t>144</t>
        </is>
      </c>
      <c r="G1298" s="19" t="n"/>
      <c r="H1298" s="19" t="inlineStr">
        <is>
          <t>2</t>
        </is>
      </c>
      <c r="I1298" s="19" t="n"/>
      <c r="J1298" s="19" t="n"/>
      <c r="K1298" s="19" t="inlineStr">
        <is>
          <t>2</t>
        </is>
      </c>
      <c r="L1298" t="inlineStr">
        <is>
          <t>2026-08-08</t>
        </is>
      </c>
      <c r="N1298" t="inlineStr">
        <is>
          <t>IN_SCOPE_FINAL; SOURCE_CFG=IA-ST-CFG-0188; MARKET=GS; STATUS=IN OEM / EU PACKAGE</t>
        </is>
      </c>
      <c r="O1298" t="inlineStr">
        <is>
          <t>2026-08-10T19:29:54Z</t>
        </is>
      </c>
      <c r="P1298" t="inlineStr">
        <is>
          <t>2026-08-10T19:29:54Z</t>
        </is>
      </c>
    </row>
    <row r="1299">
      <c r="A1299" s="19" t="inlineStr">
        <is>
          <t>1298</t>
        </is>
      </c>
      <c r="B1299" s="19" t="inlineStr">
        <is>
          <t>SC-1015003-ST-063-EUR-01</t>
        </is>
      </c>
      <c r="C1299" t="inlineStr">
        <is>
          <t>1015003 → ST-063-EUR-01</t>
        </is>
      </c>
      <c r="D1299" s="19" t="inlineStr">
        <is>
          <t>2</t>
        </is>
      </c>
      <c r="E1299" s="19" t="inlineStr">
        <is>
          <t>1764</t>
        </is>
      </c>
      <c r="F1299" s="19" t="inlineStr">
        <is>
          <t>144</t>
        </is>
      </c>
      <c r="G1299" s="19" t="n"/>
      <c r="H1299" s="19" t="inlineStr">
        <is>
          <t>2</t>
        </is>
      </c>
      <c r="I1299" s="19" t="n"/>
      <c r="J1299" s="19" t="n"/>
      <c r="K1299" s="19" t="inlineStr">
        <is>
          <t>2</t>
        </is>
      </c>
      <c r="L1299" t="inlineStr">
        <is>
          <t>2026-08-08</t>
        </is>
      </c>
      <c r="N1299" t="inlineStr">
        <is>
          <t>IN_SCOPE_FINAL; SOURCE_CFG=IA-ST-CFG-0188; MARKET=GS; STATUS=IN OEM / EU PACKAGE</t>
        </is>
      </c>
      <c r="O1299" t="inlineStr">
        <is>
          <t>2026-08-10T19:29:54Z</t>
        </is>
      </c>
      <c r="P1299" t="inlineStr">
        <is>
          <t>2026-08-10T19:29:54Z</t>
        </is>
      </c>
    </row>
    <row r="1300">
      <c r="A1300" s="19" t="inlineStr">
        <is>
          <t>1299</t>
        </is>
      </c>
      <c r="B1300" s="19" t="inlineStr">
        <is>
          <t>SC-1015177-ST-063-EUR-01</t>
        </is>
      </c>
      <c r="C1300" t="inlineStr">
        <is>
          <t>1015177 → ST-063-EUR-01</t>
        </is>
      </c>
      <c r="D1300" s="19" t="inlineStr">
        <is>
          <t>2</t>
        </is>
      </c>
      <c r="E1300" s="19" t="inlineStr">
        <is>
          <t>1922</t>
        </is>
      </c>
      <c r="F1300" s="19" t="inlineStr">
        <is>
          <t>144</t>
        </is>
      </c>
      <c r="G1300" s="19" t="n"/>
      <c r="H1300" s="19" t="inlineStr">
        <is>
          <t>2</t>
        </is>
      </c>
      <c r="I1300" s="19" t="n"/>
      <c r="J1300" s="19" t="n"/>
      <c r="K1300" s="19" t="inlineStr">
        <is>
          <t>2</t>
        </is>
      </c>
      <c r="L1300" t="inlineStr">
        <is>
          <t>2026-08-08</t>
        </is>
      </c>
      <c r="N1300" t="inlineStr">
        <is>
          <t>IN_SCOPE_FINAL; SOURCE_CFG=IA-ST-CFG-0188; MARKET=GY NRD (ADN BALTIC NORDIC); STATUS=IN OEM / EU PACKAGE</t>
        </is>
      </c>
      <c r="O1300" t="inlineStr">
        <is>
          <t>2026-08-10T19:29:54Z</t>
        </is>
      </c>
      <c r="P1300" t="inlineStr">
        <is>
          <t>2026-08-10T19:29:54Z</t>
        </is>
      </c>
    </row>
    <row r="1301">
      <c r="A1301" s="19" t="inlineStr">
        <is>
          <t>1300</t>
        </is>
      </c>
      <c r="B1301" s="19" t="inlineStr">
        <is>
          <t>SC-1014715-ST-063-EUR-02</t>
        </is>
      </c>
      <c r="C1301" t="inlineStr">
        <is>
          <t>1014715 → ST-063-EUR-02</t>
        </is>
      </c>
      <c r="D1301" s="19" t="inlineStr">
        <is>
          <t>2</t>
        </is>
      </c>
      <c r="E1301" s="19" t="inlineStr">
        <is>
          <t>1561</t>
        </is>
      </c>
      <c r="F1301" s="19" t="inlineStr">
        <is>
          <t>145</t>
        </is>
      </c>
      <c r="G1301" s="19" t="n"/>
      <c r="H1301" s="19" t="inlineStr">
        <is>
          <t>2</t>
        </is>
      </c>
      <c r="I1301" s="19" t="n"/>
      <c r="J1301" s="19" t="n"/>
      <c r="K1301" s="19" t="inlineStr">
        <is>
          <t>2</t>
        </is>
      </c>
      <c r="L1301" t="inlineStr">
        <is>
          <t>2026-08-08</t>
        </is>
      </c>
      <c r="N1301" t="inlineStr">
        <is>
          <t>IN_SCOPE_FINAL; SOURCE_CFG=IA-ST-CFG-0189; MARKET=BATERIE PRZEMYSLOWE POLONYA; STATUS=IN OEM / EU PACKAGE</t>
        </is>
      </c>
      <c r="O1301" t="inlineStr">
        <is>
          <t>2026-08-10T19:29:54Z</t>
        </is>
      </c>
      <c r="P1301" t="inlineStr">
        <is>
          <t>2026-08-10T19:29:54Z</t>
        </is>
      </c>
    </row>
    <row r="1302">
      <c r="A1302" s="19" t="inlineStr">
        <is>
          <t>1301</t>
        </is>
      </c>
      <c r="B1302" s="19" t="inlineStr">
        <is>
          <t>SC-1014716-ST-063-EUR-02</t>
        </is>
      </c>
      <c r="C1302" t="inlineStr">
        <is>
          <t>1014716 → ST-063-EUR-02</t>
        </is>
      </c>
      <c r="D1302" s="19" t="inlineStr">
        <is>
          <t>2</t>
        </is>
      </c>
      <c r="E1302" s="19" t="inlineStr">
        <is>
          <t>1562</t>
        </is>
      </c>
      <c r="F1302" s="19" t="inlineStr">
        <is>
          <t>145</t>
        </is>
      </c>
      <c r="G1302" s="19" t="n"/>
      <c r="H1302" s="19" t="inlineStr">
        <is>
          <t>2</t>
        </is>
      </c>
      <c r="I1302" s="19" t="n"/>
      <c r="J1302" s="19" t="n"/>
      <c r="K1302" s="19" t="inlineStr">
        <is>
          <t>2</t>
        </is>
      </c>
      <c r="L1302" t="inlineStr">
        <is>
          <t>2026-08-08</t>
        </is>
      </c>
      <c r="N1302" t="inlineStr">
        <is>
          <t>IN_SCOPE_FINAL; SOURCE_CFG=IA-ST-CFG-0189; MARKET=BATERIE PRZEMYSLOWE POLONYA; STATUS=IN OEM / EU PACKAGE</t>
        </is>
      </c>
      <c r="O1302" t="inlineStr">
        <is>
          <t>2026-08-10T19:29:54Z</t>
        </is>
      </c>
      <c r="P1302" t="inlineStr">
        <is>
          <t>2026-08-10T19:29:54Z</t>
        </is>
      </c>
    </row>
    <row r="1303">
      <c r="A1303" s="19" t="inlineStr">
        <is>
          <t>1302</t>
        </is>
      </c>
      <c r="B1303" s="19" t="inlineStr">
        <is>
          <t>SC-1014931-ST-063-EUR-02</t>
        </is>
      </c>
      <c r="C1303" t="inlineStr">
        <is>
          <t>1014931 → ST-063-EUR-02</t>
        </is>
      </c>
      <c r="D1303" s="19" t="inlineStr">
        <is>
          <t>2</t>
        </is>
      </c>
      <c r="E1303" s="19" t="inlineStr">
        <is>
          <t>1699</t>
        </is>
      </c>
      <c r="F1303" s="19" t="inlineStr">
        <is>
          <t>145</t>
        </is>
      </c>
      <c r="G1303" s="19" t="n"/>
      <c r="H1303" s="19" t="inlineStr">
        <is>
          <t>2</t>
        </is>
      </c>
      <c r="I1303" s="19" t="n"/>
      <c r="J1303" s="19" t="n"/>
      <c r="K1303" s="19" t="inlineStr">
        <is>
          <t>2</t>
        </is>
      </c>
      <c r="L1303" t="inlineStr">
        <is>
          <t>2026-08-08</t>
        </is>
      </c>
      <c r="N1303" t="inlineStr">
        <is>
          <t>IN_SCOPE_FINAL; SOURCE_CFG=IA-ST-CFG-0189; MARKET=CAR PARTS DISTRIBUZIONE İTALYA; STATUS=IN OEM / EU PACKAGE</t>
        </is>
      </c>
      <c r="O1303" t="inlineStr">
        <is>
          <t>2026-08-10T19:29:54Z</t>
        </is>
      </c>
      <c r="P1303" t="inlineStr">
        <is>
          <t>2026-08-10T19:29:54Z</t>
        </is>
      </c>
    </row>
    <row r="1304">
      <c r="A1304" s="19" t="inlineStr">
        <is>
          <t>1303</t>
        </is>
      </c>
      <c r="B1304" s="19" t="inlineStr">
        <is>
          <t>SC-1010192-ST-064-EUR-01</t>
        </is>
      </c>
      <c r="C1304" t="inlineStr">
        <is>
          <t>1010192 → ST-064-EUR-01</t>
        </is>
      </c>
      <c r="D1304" s="19" t="inlineStr">
        <is>
          <t>2</t>
        </is>
      </c>
      <c r="E1304" s="19" t="inlineStr">
        <is>
          <t>168</t>
        </is>
      </c>
      <c r="F1304" s="19" t="inlineStr">
        <is>
          <t>161</t>
        </is>
      </c>
      <c r="G1304" s="19" t="n"/>
      <c r="H1304" s="19" t="inlineStr">
        <is>
          <t>2</t>
        </is>
      </c>
      <c r="I1304" s="19" t="n"/>
      <c r="J1304" s="19" t="n"/>
      <c r="K1304" s="19" t="inlineStr">
        <is>
          <t>2</t>
        </is>
      </c>
      <c r="L1304" t="inlineStr">
        <is>
          <t>2026-08-08</t>
        </is>
      </c>
      <c r="N1304" t="inlineStr">
        <is>
          <t>IN_SCOPE_FINAL; SOURCE_CFG=IA-ST-CFG-0190; MARKET=YURT İÇİ AFM; STATUS=IN OEM / EU PACKAGE</t>
        </is>
      </c>
      <c r="O1304" t="inlineStr">
        <is>
          <t>2026-08-10T19:29:54Z</t>
        </is>
      </c>
      <c r="P1304" t="inlineStr">
        <is>
          <t>2026-08-10T19:29:54Z</t>
        </is>
      </c>
    </row>
    <row r="1305">
      <c r="A1305" s="19" t="inlineStr">
        <is>
          <t>1304</t>
        </is>
      </c>
      <c r="B1305" s="19" t="inlineStr">
        <is>
          <t>SC-1014441-ST-066-STD-01</t>
        </is>
      </c>
      <c r="C1305" t="inlineStr">
        <is>
          <t>1014441 → ST-066-STD-01</t>
        </is>
      </c>
      <c r="D1305" s="19" t="inlineStr">
        <is>
          <t>2</t>
        </is>
      </c>
      <c r="E1305" s="19" t="inlineStr">
        <is>
          <t>1383</t>
        </is>
      </c>
      <c r="F1305" s="19" t="inlineStr">
        <is>
          <t>162</t>
        </is>
      </c>
      <c r="G1305" s="19" t="n"/>
      <c r="H1305" s="19" t="inlineStr">
        <is>
          <t>2</t>
        </is>
      </c>
      <c r="I1305" s="19" t="n"/>
      <c r="J1305" s="19" t="n"/>
      <c r="K1305" s="19" t="inlineStr">
        <is>
          <t>2</t>
        </is>
      </c>
      <c r="L1305" t="inlineStr">
        <is>
          <t>2026-08-08</t>
        </is>
      </c>
      <c r="N1305" t="inlineStr">
        <is>
          <t>IN_SCOPE_FINAL; SOURCE_CFG=IA-ST-CFG-0191; MARKET=YUASA 3000 EXPORT; STATUS=IN OEM / EU PACKAGE</t>
        </is>
      </c>
      <c r="O1305" t="inlineStr">
        <is>
          <t>2026-08-10T19:29:54Z</t>
        </is>
      </c>
      <c r="P1305" t="inlineStr">
        <is>
          <t>2026-08-10T19:29:54Z</t>
        </is>
      </c>
    </row>
    <row r="1306">
      <c r="A1306" s="19" t="inlineStr">
        <is>
          <t>1305</t>
        </is>
      </c>
      <c r="B1306" s="19" t="inlineStr">
        <is>
          <t>SC-1013380-ST-066-STD-02</t>
        </is>
      </c>
      <c r="C1306" t="inlineStr">
        <is>
          <t>1013380 → ST-066-STD-02</t>
        </is>
      </c>
      <c r="D1306" s="19" t="inlineStr">
        <is>
          <t>2</t>
        </is>
      </c>
      <c r="E1306" s="19" t="inlineStr">
        <is>
          <t>979</t>
        </is>
      </c>
      <c r="F1306" s="19" t="inlineStr">
        <is>
          <t>163</t>
        </is>
      </c>
      <c r="G1306" s="19" t="n"/>
      <c r="H1306" s="19" t="inlineStr">
        <is>
          <t>2</t>
        </is>
      </c>
      <c r="I1306" s="19" t="n"/>
      <c r="J1306" s="19" t="n"/>
      <c r="K1306" s="19" t="inlineStr">
        <is>
          <t>2</t>
        </is>
      </c>
      <c r="L1306" t="inlineStr">
        <is>
          <t>2026-08-08</t>
        </is>
      </c>
      <c r="N1306" t="inlineStr">
        <is>
          <t>IN_SCOPE_FINAL; SOURCE_CFG=IA-ST-CFG-0192; MARKET=None; STATUS=IN OEM / EU PACKAGE</t>
        </is>
      </c>
      <c r="O1306" t="inlineStr">
        <is>
          <t>2026-08-10T19:29:54Z</t>
        </is>
      </c>
      <c r="P1306" t="inlineStr">
        <is>
          <t>2026-08-10T19:29:54Z</t>
        </is>
      </c>
    </row>
    <row r="1307">
      <c r="A1307" s="19" t="inlineStr">
        <is>
          <t>1306</t>
        </is>
      </c>
      <c r="B1307" s="19" t="inlineStr">
        <is>
          <t>SC-1013989-ST-066-STD-03</t>
        </is>
      </c>
      <c r="C1307" t="inlineStr">
        <is>
          <t>1013989 → ST-066-STD-03</t>
        </is>
      </c>
      <c r="D1307" s="19" t="inlineStr">
        <is>
          <t>2</t>
        </is>
      </c>
      <c r="E1307" s="19" t="inlineStr">
        <is>
          <t>1160</t>
        </is>
      </c>
      <c r="F1307" s="19" t="inlineStr">
        <is>
          <t>164</t>
        </is>
      </c>
      <c r="G1307" s="19" t="n"/>
      <c r="H1307" s="19" t="inlineStr">
        <is>
          <t>2</t>
        </is>
      </c>
      <c r="I1307" s="19" t="n"/>
      <c r="J1307" s="19" t="n"/>
      <c r="K1307" s="19" t="inlineStr">
        <is>
          <t>2</t>
        </is>
      </c>
      <c r="L1307" t="inlineStr">
        <is>
          <t>2026-08-08</t>
        </is>
      </c>
      <c r="N1307" t="inlineStr">
        <is>
          <t>IN_SCOPE_FINAL; SOURCE_CFG=IA-ST-CFG-0193; MARKET=YURT İÇİ AFM; STATUS=IN OEM / EU PACKAGE</t>
        </is>
      </c>
      <c r="O1307" t="inlineStr">
        <is>
          <t>2026-08-10T19:29:54Z</t>
        </is>
      </c>
      <c r="P1307" t="inlineStr">
        <is>
          <t>2026-08-10T19:29:54Z</t>
        </is>
      </c>
    </row>
    <row r="1308">
      <c r="A1308" s="19" t="inlineStr">
        <is>
          <t>1307</t>
        </is>
      </c>
      <c r="B1308" s="19" t="inlineStr">
        <is>
          <t>SC-1013794-ST-068-STD-01</t>
        </is>
      </c>
      <c r="C1308" t="inlineStr">
        <is>
          <t>1013794 → ST-068-STD-01</t>
        </is>
      </c>
      <c r="D1308" s="19" t="inlineStr">
        <is>
          <t>2</t>
        </is>
      </c>
      <c r="E1308" s="19" t="inlineStr">
        <is>
          <t>1099</t>
        </is>
      </c>
      <c r="F1308" s="19" t="inlineStr">
        <is>
          <t>169</t>
        </is>
      </c>
      <c r="G1308" s="19" t="n"/>
      <c r="H1308" s="19" t="inlineStr">
        <is>
          <t>2</t>
        </is>
      </c>
      <c r="I1308" s="19" t="n"/>
      <c r="J1308" s="19" t="n"/>
      <c r="K1308" s="19" t="inlineStr">
        <is>
          <t>2</t>
        </is>
      </c>
      <c r="L1308" t="inlineStr">
        <is>
          <t>2026-08-08</t>
        </is>
      </c>
      <c r="N1308" t="inlineStr">
        <is>
          <t>IN_SCOPE_FINAL; SOURCE_CFG=IA-ST-CFG-0194; MARKET=SHAWKAT; STATUS=IN OEM / EU PACKAGE</t>
        </is>
      </c>
      <c r="O1308" t="inlineStr">
        <is>
          <t>2026-08-10T19:29:54Z</t>
        </is>
      </c>
      <c r="P1308" t="inlineStr">
        <is>
          <t>2026-08-10T19:29:54Z</t>
        </is>
      </c>
    </row>
    <row r="1309">
      <c r="A1309" s="19" t="inlineStr">
        <is>
          <t>1308</t>
        </is>
      </c>
      <c r="B1309" s="19" t="inlineStr">
        <is>
          <t>SC-1011015-ST-068-STD-02</t>
        </is>
      </c>
      <c r="C1309" t="inlineStr">
        <is>
          <t>1011015 → ST-068-STD-02</t>
        </is>
      </c>
      <c r="D1309" s="19" t="inlineStr">
        <is>
          <t>2</t>
        </is>
      </c>
      <c r="E1309" s="19" t="inlineStr">
        <is>
          <t>221</t>
        </is>
      </c>
      <c r="F1309" s="19" t="inlineStr">
        <is>
          <t>170</t>
        </is>
      </c>
      <c r="G1309" s="19" t="n"/>
      <c r="H1309" s="19" t="inlineStr">
        <is>
          <t>2</t>
        </is>
      </c>
      <c r="I1309" s="19" t="n"/>
      <c r="J1309" s="19" t="n"/>
      <c r="K1309" s="19" t="inlineStr">
        <is>
          <t>2</t>
        </is>
      </c>
      <c r="L1309" t="inlineStr">
        <is>
          <t>2026-08-08</t>
        </is>
      </c>
      <c r="N1309" t="inlineStr">
        <is>
          <t>IN_SCOPE_FINAL; SOURCE_CFG=IA-ST-CFG-0195; MARKET=YURT İÇİ AFM; STATUS=IN OEM / EU PACKAGE</t>
        </is>
      </c>
      <c r="O1309" t="inlineStr">
        <is>
          <t>2026-08-10T19:29:54Z</t>
        </is>
      </c>
      <c r="P1309" t="inlineStr">
        <is>
          <t>2026-08-10T19:29:54Z</t>
        </is>
      </c>
    </row>
    <row r="1310">
      <c r="A1310" s="19" t="inlineStr">
        <is>
          <t>1309</t>
        </is>
      </c>
      <c r="B1310" s="19" t="inlineStr">
        <is>
          <t>SC-1011188-ST-068-STD-03</t>
        </is>
      </c>
      <c r="C1310" t="inlineStr">
        <is>
          <t>1011188 → ST-068-STD-03</t>
        </is>
      </c>
      <c r="D1310" s="19" t="inlineStr">
        <is>
          <t>2</t>
        </is>
      </c>
      <c r="E1310" s="19" t="inlineStr">
        <is>
          <t>260</t>
        </is>
      </c>
      <c r="F1310" s="19" t="inlineStr">
        <is>
          <t>171</t>
        </is>
      </c>
      <c r="G1310" s="19" t="n"/>
      <c r="H1310" s="19" t="inlineStr">
        <is>
          <t>2</t>
        </is>
      </c>
      <c r="I1310" s="19" t="n"/>
      <c r="J1310" s="19" t="n"/>
      <c r="K1310" s="19" t="inlineStr">
        <is>
          <t>2</t>
        </is>
      </c>
      <c r="L1310" t="inlineStr">
        <is>
          <t>2026-08-08</t>
        </is>
      </c>
      <c r="N1310" t="inlineStr">
        <is>
          <t>IN_SCOPE_FINAL; SOURCE_CFG=IA-ST-CFG-0196; MARKET=YURT İÇİ AFM; STATUS=IN OEM / EU PACKAGE</t>
        </is>
      </c>
      <c r="O1310" t="inlineStr">
        <is>
          <t>2026-08-10T19:29:54Z</t>
        </is>
      </c>
      <c r="P1310" t="inlineStr">
        <is>
          <t>2026-08-10T19:29:54Z</t>
        </is>
      </c>
    </row>
    <row r="1311">
      <c r="A1311" s="19" t="inlineStr">
        <is>
          <t>1310</t>
        </is>
      </c>
      <c r="B1311" s="19" t="inlineStr">
        <is>
          <t>SC-1011189-ST-068-STD-04</t>
        </is>
      </c>
      <c r="C1311" t="inlineStr">
        <is>
          <t>1011189 → ST-068-STD-04</t>
        </is>
      </c>
      <c r="D1311" s="19" t="inlineStr">
        <is>
          <t>2</t>
        </is>
      </c>
      <c r="E1311" s="19" t="inlineStr">
        <is>
          <t>261</t>
        </is>
      </c>
      <c r="F1311" s="19" t="inlineStr">
        <is>
          <t>172</t>
        </is>
      </c>
      <c r="G1311" s="19" t="n"/>
      <c r="H1311" s="19" t="inlineStr">
        <is>
          <t>2</t>
        </is>
      </c>
      <c r="I1311" s="19" t="n"/>
      <c r="J1311" s="19" t="n"/>
      <c r="K1311" s="19" t="inlineStr">
        <is>
          <t>2</t>
        </is>
      </c>
      <c r="L1311" t="inlineStr">
        <is>
          <t>2026-08-08</t>
        </is>
      </c>
      <c r="N1311" t="inlineStr">
        <is>
          <t>IN_SCOPE_FINAL; SOURCE_CFG=IA-ST-CFG-0197; MARKET=YURT İÇİ AFM; STATUS=IN OEM / EU PACKAGE</t>
        </is>
      </c>
      <c r="O1311" t="inlineStr">
        <is>
          <t>2026-08-10T19:29:54Z</t>
        </is>
      </c>
      <c r="P1311" t="inlineStr">
        <is>
          <t>2026-08-10T19:29:54Z</t>
        </is>
      </c>
    </row>
    <row r="1312">
      <c r="A1312" s="19" t="inlineStr">
        <is>
          <t>1311</t>
        </is>
      </c>
      <c r="B1312" s="19" t="inlineStr">
        <is>
          <t>SC-1014669-ST-068-EUR-01</t>
        </is>
      </c>
      <c r="C1312" t="inlineStr">
        <is>
          <t>1014669 → ST-068-EUR-01</t>
        </is>
      </c>
      <c r="D1312" s="19" t="inlineStr">
        <is>
          <t>2</t>
        </is>
      </c>
      <c r="E1312" s="19" t="inlineStr">
        <is>
          <t>1527</t>
        </is>
      </c>
      <c r="F1312" s="19" t="inlineStr">
        <is>
          <t>165</t>
        </is>
      </c>
      <c r="G1312" s="19" t="n"/>
      <c r="H1312" s="19" t="inlineStr">
        <is>
          <t>2</t>
        </is>
      </c>
      <c r="I1312" s="19" t="n"/>
      <c r="J1312" s="19" t="n"/>
      <c r="K1312" s="19" t="inlineStr">
        <is>
          <t>2</t>
        </is>
      </c>
      <c r="L1312" t="inlineStr">
        <is>
          <t>2026-08-08</t>
        </is>
      </c>
      <c r="N1312" t="inlineStr">
        <is>
          <t>IN_SCOPE_FINAL; SOURCE_CFG=IA-ST-CFG-0198; MARKET=SKG İTALYA; STATUS=IN OEM / EU PACKAGE</t>
        </is>
      </c>
      <c r="O1312" t="inlineStr">
        <is>
          <t>2026-08-10T19:29:54Z</t>
        </is>
      </c>
      <c r="P1312" t="inlineStr">
        <is>
          <t>2026-08-10T19:29:54Z</t>
        </is>
      </c>
    </row>
    <row r="1313">
      <c r="A1313" s="19" t="inlineStr">
        <is>
          <t>1312</t>
        </is>
      </c>
      <c r="B1313" s="19" t="inlineStr">
        <is>
          <t>SC-1013537-ST-068-EUR-01</t>
        </is>
      </c>
      <c r="C1313" t="inlineStr">
        <is>
          <t>1013537 → ST-068-EUR-01</t>
        </is>
      </c>
      <c r="D1313" s="19" t="inlineStr">
        <is>
          <t>2</t>
        </is>
      </c>
      <c r="E1313" s="19" t="inlineStr">
        <is>
          <t>1025</t>
        </is>
      </c>
      <c r="F1313" s="19" t="inlineStr">
        <is>
          <t>165</t>
        </is>
      </c>
      <c r="G1313" s="19" t="n"/>
      <c r="H1313" s="19" t="inlineStr">
        <is>
          <t>2</t>
        </is>
      </c>
      <c r="I1313" s="19" t="n"/>
      <c r="J1313" s="19" t="n"/>
      <c r="K1313" s="19" t="inlineStr">
        <is>
          <t>2</t>
        </is>
      </c>
      <c r="L1313" t="inlineStr">
        <is>
          <t>2026-08-08</t>
        </is>
      </c>
      <c r="N1313" t="inlineStr">
        <is>
          <t>IN_SCOPE_FINAL; SOURCE_CFG=IA-ST-CFG-0198; MARKET=SKG İTALYA; STATUS=IN OEM / EU PACKAGE</t>
        </is>
      </c>
      <c r="O1313" t="inlineStr">
        <is>
          <t>2026-08-10T19:29:54Z</t>
        </is>
      </c>
      <c r="P1313" t="inlineStr">
        <is>
          <t>2026-08-10T19:29:54Z</t>
        </is>
      </c>
    </row>
    <row r="1314">
      <c r="A1314" s="19" t="inlineStr">
        <is>
          <t>1313</t>
        </is>
      </c>
      <c r="B1314" s="19" t="inlineStr">
        <is>
          <t>SC-1014659-ST-068-EUR-01</t>
        </is>
      </c>
      <c r="C1314" t="inlineStr">
        <is>
          <t>1014659 → ST-068-EUR-01</t>
        </is>
      </c>
      <c r="D1314" s="19" t="inlineStr">
        <is>
          <t>2</t>
        </is>
      </c>
      <c r="E1314" s="19" t="inlineStr">
        <is>
          <t>1517</t>
        </is>
      </c>
      <c r="F1314" s="19" t="inlineStr">
        <is>
          <t>165</t>
        </is>
      </c>
      <c r="G1314" s="19" t="n"/>
      <c r="H1314" s="19" t="inlineStr">
        <is>
          <t>2</t>
        </is>
      </c>
      <c r="I1314" s="19" t="n"/>
      <c r="J1314" s="19" t="n"/>
      <c r="K1314" s="19" t="inlineStr">
        <is>
          <t>2</t>
        </is>
      </c>
      <c r="L1314" t="inlineStr">
        <is>
          <t>2026-08-08</t>
        </is>
      </c>
      <c r="N1314" t="inlineStr">
        <is>
          <t>IN_SCOPE_FINAL; SOURCE_CFG=IA-ST-CFG-0198; MARKET=SKG İTALYA; STATUS=IN OEM / EU PACKAGE</t>
        </is>
      </c>
      <c r="O1314" t="inlineStr">
        <is>
          <t>2026-08-10T19:29:54Z</t>
        </is>
      </c>
      <c r="P1314" t="inlineStr">
        <is>
          <t>2026-08-10T19:29:54Z</t>
        </is>
      </c>
    </row>
    <row r="1315">
      <c r="A1315" s="19" t="inlineStr">
        <is>
          <t>1314</t>
        </is>
      </c>
      <c r="B1315" s="19" t="inlineStr">
        <is>
          <t>SC-1014660-ST-068-EUR-01</t>
        </is>
      </c>
      <c r="C1315" t="inlineStr">
        <is>
          <t>1014660 → ST-068-EUR-01</t>
        </is>
      </c>
      <c r="D1315" s="19" t="inlineStr">
        <is>
          <t>2</t>
        </is>
      </c>
      <c r="E1315" s="19" t="inlineStr">
        <is>
          <t>1518</t>
        </is>
      </c>
      <c r="F1315" s="19" t="inlineStr">
        <is>
          <t>165</t>
        </is>
      </c>
      <c r="G1315" s="19" t="n"/>
      <c r="H1315" s="19" t="inlineStr">
        <is>
          <t>2</t>
        </is>
      </c>
      <c r="I1315" s="19" t="n"/>
      <c r="J1315" s="19" t="n"/>
      <c r="K1315" s="19" t="inlineStr">
        <is>
          <t>2</t>
        </is>
      </c>
      <c r="L1315" t="inlineStr">
        <is>
          <t>2026-08-08</t>
        </is>
      </c>
      <c r="N1315" t="inlineStr">
        <is>
          <t>IN_SCOPE_FINAL; SOURCE_CFG=IA-ST-CFG-0198; MARKET=SKG İTALYA; STATUS=IN OEM / EU PACKAGE</t>
        </is>
      </c>
      <c r="O1315" t="inlineStr">
        <is>
          <t>2026-08-10T19:29:54Z</t>
        </is>
      </c>
      <c r="P1315" t="inlineStr">
        <is>
          <t>2026-08-10T19:29:54Z</t>
        </is>
      </c>
    </row>
    <row r="1316">
      <c r="A1316" s="19" t="inlineStr">
        <is>
          <t>1315</t>
        </is>
      </c>
      <c r="B1316" s="19" t="inlineStr">
        <is>
          <t>SC-1014664-ST-068-EUR-01</t>
        </is>
      </c>
      <c r="C1316" t="inlineStr">
        <is>
          <t>1014664 → ST-068-EUR-01</t>
        </is>
      </c>
      <c r="D1316" s="19" t="inlineStr">
        <is>
          <t>2</t>
        </is>
      </c>
      <c r="E1316" s="19" t="inlineStr">
        <is>
          <t>1522</t>
        </is>
      </c>
      <c r="F1316" s="19" t="inlineStr">
        <is>
          <t>165</t>
        </is>
      </c>
      <c r="G1316" s="19" t="n"/>
      <c r="H1316" s="19" t="inlineStr">
        <is>
          <t>2</t>
        </is>
      </c>
      <c r="I1316" s="19" t="n"/>
      <c r="J1316" s="19" t="n"/>
      <c r="K1316" s="19" t="inlineStr">
        <is>
          <t>2</t>
        </is>
      </c>
      <c r="L1316" t="inlineStr">
        <is>
          <t>2026-08-08</t>
        </is>
      </c>
      <c r="N1316" t="inlineStr">
        <is>
          <t>IN_SCOPE_FINAL; SOURCE_CFG=IA-ST-CFG-0198; MARKET=SKG İTALYA; STATUS=IN OEM / EU PACKAGE</t>
        </is>
      </c>
      <c r="O1316" t="inlineStr">
        <is>
          <t>2026-08-10T19:29:54Z</t>
        </is>
      </c>
      <c r="P1316" t="inlineStr">
        <is>
          <t>2026-08-10T19:29:54Z</t>
        </is>
      </c>
    </row>
    <row r="1317">
      <c r="A1317" s="19" t="inlineStr">
        <is>
          <t>1316</t>
        </is>
      </c>
      <c r="B1317" s="19" t="inlineStr">
        <is>
          <t>SC-1014665-ST-068-EUR-01</t>
        </is>
      </c>
      <c r="C1317" t="inlineStr">
        <is>
          <t>1014665 → ST-068-EUR-01</t>
        </is>
      </c>
      <c r="D1317" s="19" t="inlineStr">
        <is>
          <t>2</t>
        </is>
      </c>
      <c r="E1317" s="19" t="inlineStr">
        <is>
          <t>1523</t>
        </is>
      </c>
      <c r="F1317" s="19" t="inlineStr">
        <is>
          <t>165</t>
        </is>
      </c>
      <c r="G1317" s="19" t="n"/>
      <c r="H1317" s="19" t="inlineStr">
        <is>
          <t>2</t>
        </is>
      </c>
      <c r="I1317" s="19" t="n"/>
      <c r="J1317" s="19" t="n"/>
      <c r="K1317" s="19" t="inlineStr">
        <is>
          <t>2</t>
        </is>
      </c>
      <c r="L1317" t="inlineStr">
        <is>
          <t>2026-08-08</t>
        </is>
      </c>
      <c r="N1317" t="inlineStr">
        <is>
          <t>IN_SCOPE_FINAL; SOURCE_CFG=IA-ST-CFG-0198; MARKET=SKG İTALYA; STATUS=IN OEM / EU PACKAGE</t>
        </is>
      </c>
      <c r="O1317" t="inlineStr">
        <is>
          <t>2026-08-10T19:29:54Z</t>
        </is>
      </c>
      <c r="P1317" t="inlineStr">
        <is>
          <t>2026-08-10T19:29:54Z</t>
        </is>
      </c>
    </row>
    <row r="1318">
      <c r="A1318" s="19" t="inlineStr">
        <is>
          <t>1317</t>
        </is>
      </c>
      <c r="B1318" s="19" t="inlineStr">
        <is>
          <t>SC-1015028-ST-068-EUR-01</t>
        </is>
      </c>
      <c r="C1318" t="inlineStr">
        <is>
          <t>1015028 → ST-068-EUR-01</t>
        </is>
      </c>
      <c r="D1318" s="19" t="inlineStr">
        <is>
          <t>2</t>
        </is>
      </c>
      <c r="E1318" s="19" t="inlineStr">
        <is>
          <t>1788</t>
        </is>
      </c>
      <c r="F1318" s="19" t="inlineStr">
        <is>
          <t>165</t>
        </is>
      </c>
      <c r="G1318" s="19" t="n"/>
      <c r="H1318" s="19" t="inlineStr">
        <is>
          <t>2</t>
        </is>
      </c>
      <c r="I1318" s="19" t="n"/>
      <c r="J1318" s="19" t="n"/>
      <c r="K1318" s="19" t="inlineStr">
        <is>
          <t>2</t>
        </is>
      </c>
      <c r="L1318" t="inlineStr">
        <is>
          <t>2026-08-08</t>
        </is>
      </c>
      <c r="N1318" t="inlineStr">
        <is>
          <t>IN_SCOPE_FINAL; SOURCE_CFG=IA-ST-CFG-0198; MARKET=SKG İTALYA; STATUS=IN OEM / EU PACKAGE</t>
        </is>
      </c>
      <c r="O1318" t="inlineStr">
        <is>
          <t>2026-08-10T19:29:54Z</t>
        </is>
      </c>
      <c r="P1318" t="inlineStr">
        <is>
          <t>2026-08-10T19:29:54Z</t>
        </is>
      </c>
    </row>
    <row r="1319">
      <c r="A1319" s="19" t="inlineStr">
        <is>
          <t>1318</t>
        </is>
      </c>
      <c r="B1319" s="19" t="inlineStr">
        <is>
          <t>SC-1015029-ST-068-EUR-01</t>
        </is>
      </c>
      <c r="C1319" t="inlineStr">
        <is>
          <t>1015029 → ST-068-EUR-01</t>
        </is>
      </c>
      <c r="D1319" s="19" t="inlineStr">
        <is>
          <t>2</t>
        </is>
      </c>
      <c r="E1319" s="19" t="inlineStr">
        <is>
          <t>1789</t>
        </is>
      </c>
      <c r="F1319" s="19" t="inlineStr">
        <is>
          <t>165</t>
        </is>
      </c>
      <c r="G1319" s="19" t="n"/>
      <c r="H1319" s="19" t="inlineStr">
        <is>
          <t>2</t>
        </is>
      </c>
      <c r="I1319" s="19" t="n"/>
      <c r="J1319" s="19" t="n"/>
      <c r="K1319" s="19" t="inlineStr">
        <is>
          <t>2</t>
        </is>
      </c>
      <c r="L1319" t="inlineStr">
        <is>
          <t>2026-08-08</t>
        </is>
      </c>
      <c r="N1319" t="inlineStr">
        <is>
          <t>IN_SCOPE_FINAL; SOURCE_CFG=IA-ST-CFG-0198; MARKET=SKG İTALYA; STATUS=IN OEM / EU PACKAGE</t>
        </is>
      </c>
      <c r="O1319" t="inlineStr">
        <is>
          <t>2026-08-10T19:29:54Z</t>
        </is>
      </c>
      <c r="P1319" t="inlineStr">
        <is>
          <t>2026-08-10T19:29:54Z</t>
        </is>
      </c>
    </row>
    <row r="1320">
      <c r="A1320" s="19" t="inlineStr">
        <is>
          <t>1319</t>
        </is>
      </c>
      <c r="B1320" s="19" t="inlineStr">
        <is>
          <t>SC-1015102-ST-068-EUR-01</t>
        </is>
      </c>
      <c r="C1320" t="inlineStr">
        <is>
          <t>1015102 → ST-068-EUR-01</t>
        </is>
      </c>
      <c r="D1320" s="19" t="inlineStr">
        <is>
          <t>2</t>
        </is>
      </c>
      <c r="E1320" s="19" t="inlineStr">
        <is>
          <t>1855</t>
        </is>
      </c>
      <c r="F1320" s="19" t="inlineStr">
        <is>
          <t>165</t>
        </is>
      </c>
      <c r="G1320" s="19" t="n"/>
      <c r="H1320" s="19" t="inlineStr">
        <is>
          <t>2</t>
        </is>
      </c>
      <c r="I1320" s="19" t="n"/>
      <c r="J1320" s="19" t="n"/>
      <c r="K1320" s="19" t="inlineStr">
        <is>
          <t>2</t>
        </is>
      </c>
      <c r="L1320" t="inlineStr">
        <is>
          <t>2026-08-08</t>
        </is>
      </c>
      <c r="N1320" t="inlineStr">
        <is>
          <t>IN_SCOPE_FINAL; SOURCE_CFG=IA-ST-CFG-0198; MARKET=SKG İTALYA; STATUS=IN OEM / EU PACKAGE</t>
        </is>
      </c>
      <c r="O1320" t="inlineStr">
        <is>
          <t>2026-08-10T19:29:54Z</t>
        </is>
      </c>
      <c r="P1320" t="inlineStr">
        <is>
          <t>2026-08-10T19:29:54Z</t>
        </is>
      </c>
    </row>
    <row r="1321">
      <c r="A1321" s="19" t="inlineStr">
        <is>
          <t>1320</t>
        </is>
      </c>
      <c r="B1321" s="19" t="inlineStr">
        <is>
          <t>SC-1015274-ST-068-EUR-01</t>
        </is>
      </c>
      <c r="C1321" t="inlineStr">
        <is>
          <t>1015274 → ST-068-EUR-01</t>
        </is>
      </c>
      <c r="D1321" s="19" t="inlineStr">
        <is>
          <t>2</t>
        </is>
      </c>
      <c r="E1321" s="19" t="inlineStr">
        <is>
          <t>2007</t>
        </is>
      </c>
      <c r="F1321" s="19" t="inlineStr">
        <is>
          <t>165</t>
        </is>
      </c>
      <c r="G1321" s="19" t="n"/>
      <c r="H1321" s="19" t="inlineStr">
        <is>
          <t>2</t>
        </is>
      </c>
      <c r="I1321" s="19" t="n"/>
      <c r="J1321" s="19" t="n"/>
      <c r="K1321" s="19" t="inlineStr">
        <is>
          <t>2</t>
        </is>
      </c>
      <c r="L1321" t="inlineStr">
        <is>
          <t>2026-08-08</t>
        </is>
      </c>
      <c r="N1321" t="inlineStr">
        <is>
          <t>IN_SCOPE_FINAL; SOURCE_CFG=IA-ST-CFG-0198; MARKET=SKG İTALYA; STATUS=IN OEM / EU PACKAGE</t>
        </is>
      </c>
      <c r="O1321" t="inlineStr">
        <is>
          <t>2026-08-10T19:29:54Z</t>
        </is>
      </c>
      <c r="P1321" t="inlineStr">
        <is>
          <t>2026-08-10T19:29:54Z</t>
        </is>
      </c>
    </row>
    <row r="1322">
      <c r="A1322" s="19" t="inlineStr">
        <is>
          <t>1321</t>
        </is>
      </c>
      <c r="B1322" s="19" t="inlineStr">
        <is>
          <t>SC-1012563-ST-068-EUR-02</t>
        </is>
      </c>
      <c r="C1322" t="inlineStr">
        <is>
          <t>1012563 → ST-068-EUR-02</t>
        </is>
      </c>
      <c r="D1322" s="19" t="inlineStr">
        <is>
          <t>2</t>
        </is>
      </c>
      <c r="E1322" s="19" t="inlineStr">
        <is>
          <t>700</t>
        </is>
      </c>
      <c r="F1322" s="19" t="inlineStr">
        <is>
          <t>166</t>
        </is>
      </c>
      <c r="G1322" s="19" t="n"/>
      <c r="H1322" s="19" t="inlineStr">
        <is>
          <t>2</t>
        </is>
      </c>
      <c r="I1322" s="19" t="n"/>
      <c r="J1322" s="19" t="n"/>
      <c r="K1322" s="19" t="inlineStr">
        <is>
          <t>2</t>
        </is>
      </c>
      <c r="L1322" t="inlineStr">
        <is>
          <t>2026-08-08</t>
        </is>
      </c>
      <c r="N1322" t="inlineStr">
        <is>
          <t>IN_SCOPE_FINAL; SOURCE_CFG=IA-ST-CFG-0199; MARKET=None; STATUS=IN OEM / EU PACKAGE</t>
        </is>
      </c>
      <c r="O1322" t="inlineStr">
        <is>
          <t>2026-08-10T19:29:54Z</t>
        </is>
      </c>
      <c r="P1322" t="inlineStr">
        <is>
          <t>2026-08-10T19:29:54Z</t>
        </is>
      </c>
    </row>
    <row r="1323">
      <c r="A1323" s="19" t="inlineStr">
        <is>
          <t>1322</t>
        </is>
      </c>
      <c r="B1323" s="19" t="inlineStr">
        <is>
          <t>SC-1014142-ST-068-EUR-02</t>
        </is>
      </c>
      <c r="C1323" t="inlineStr">
        <is>
          <t>1014142 → ST-068-EUR-02</t>
        </is>
      </c>
      <c r="D1323" s="19" t="inlineStr">
        <is>
          <t>2</t>
        </is>
      </c>
      <c r="E1323" s="19" t="inlineStr">
        <is>
          <t>1230</t>
        </is>
      </c>
      <c r="F1323" s="19" t="inlineStr">
        <is>
          <t>166</t>
        </is>
      </c>
      <c r="G1323" s="19" t="n"/>
      <c r="H1323" s="19" t="inlineStr">
        <is>
          <t>2</t>
        </is>
      </c>
      <c r="I1323" s="19" t="n"/>
      <c r="J1323" s="19" t="n"/>
      <c r="K1323" s="19" t="inlineStr">
        <is>
          <t>2</t>
        </is>
      </c>
      <c r="L1323" t="inlineStr">
        <is>
          <t>2026-08-08</t>
        </is>
      </c>
      <c r="N1323" t="inlineStr">
        <is>
          <t>IN_SCOPE_FINAL; SOURCE_CFG=IA-ST-CFG-0199; MARKET=BOOSTER; STATUS=IN OEM / EU PACKAGE</t>
        </is>
      </c>
      <c r="O1323" t="inlineStr">
        <is>
          <t>2026-08-10T19:29:54Z</t>
        </is>
      </c>
      <c r="P1323" t="inlineStr">
        <is>
          <t>2026-08-10T19:29:54Z</t>
        </is>
      </c>
    </row>
    <row r="1324">
      <c r="A1324" s="19" t="inlineStr">
        <is>
          <t>1323</t>
        </is>
      </c>
      <c r="B1324" s="19" t="inlineStr">
        <is>
          <t>SC-1011560-ST-068-EUR-02</t>
        </is>
      </c>
      <c r="C1324" t="inlineStr">
        <is>
          <t>1011560 → ST-068-EUR-02</t>
        </is>
      </c>
      <c r="D1324" s="19" t="inlineStr">
        <is>
          <t>2</t>
        </is>
      </c>
      <c r="E1324" s="19" t="inlineStr">
        <is>
          <t>310</t>
        </is>
      </c>
      <c r="F1324" s="19" t="inlineStr">
        <is>
          <t>166</t>
        </is>
      </c>
      <c r="G1324" s="19" t="n"/>
      <c r="H1324" s="19" t="inlineStr">
        <is>
          <t>2</t>
        </is>
      </c>
      <c r="I1324" s="19" t="n"/>
      <c r="J1324" s="19" t="n"/>
      <c r="K1324" s="19" t="inlineStr">
        <is>
          <t>2</t>
        </is>
      </c>
      <c r="L1324" t="inlineStr">
        <is>
          <t>2026-08-08</t>
        </is>
      </c>
      <c r="N1324" t="inlineStr">
        <is>
          <t>IN_SCOPE_FINAL; SOURCE_CFG=IA-ST-CFG-0199; MARKET=CANARIBAT İSPANYA; STATUS=IN OEM / EU PACKAGE</t>
        </is>
      </c>
      <c r="O1324" t="inlineStr">
        <is>
          <t>2026-08-10T19:29:54Z</t>
        </is>
      </c>
      <c r="P1324" t="inlineStr">
        <is>
          <t>2026-08-10T19:29:54Z</t>
        </is>
      </c>
    </row>
    <row r="1325">
      <c r="A1325" s="19" t="inlineStr">
        <is>
          <t>1324</t>
        </is>
      </c>
      <c r="B1325" s="19" t="inlineStr">
        <is>
          <t>SC-1011575-ST-068-EUR-02</t>
        </is>
      </c>
      <c r="C1325" t="inlineStr">
        <is>
          <t>1011575 → ST-068-EUR-02</t>
        </is>
      </c>
      <c r="D1325" s="19" t="inlineStr">
        <is>
          <t>2</t>
        </is>
      </c>
      <c r="E1325" s="19" t="inlineStr">
        <is>
          <t>314</t>
        </is>
      </c>
      <c r="F1325" s="19" t="inlineStr">
        <is>
          <t>166</t>
        </is>
      </c>
      <c r="G1325" s="19" t="n"/>
      <c r="H1325" s="19" t="inlineStr">
        <is>
          <t>2</t>
        </is>
      </c>
      <c r="I1325" s="19" t="n"/>
      <c r="J1325" s="19" t="n"/>
      <c r="K1325" s="19" t="inlineStr">
        <is>
          <t>2</t>
        </is>
      </c>
      <c r="L1325" t="inlineStr">
        <is>
          <t>2026-08-08</t>
        </is>
      </c>
      <c r="N1325" t="inlineStr">
        <is>
          <t>IN_SCOPE_FINAL; SOURCE_CFG=IA-ST-CFG-0199; MARKET=CANARIBAT İSPANYA; STATUS=IN OEM / EU PACKAGE</t>
        </is>
      </c>
      <c r="O1325" t="inlineStr">
        <is>
          <t>2026-08-10T19:29:54Z</t>
        </is>
      </c>
      <c r="P1325" t="inlineStr">
        <is>
          <t>2026-08-10T19:29:54Z</t>
        </is>
      </c>
    </row>
    <row r="1326">
      <c r="A1326" s="19" t="inlineStr">
        <is>
          <t>1325</t>
        </is>
      </c>
      <c r="B1326" s="19" t="inlineStr">
        <is>
          <t>SC-1011582-ST-068-EUR-02</t>
        </is>
      </c>
      <c r="C1326" t="inlineStr">
        <is>
          <t>1011582 → ST-068-EUR-02</t>
        </is>
      </c>
      <c r="D1326" s="19" t="inlineStr">
        <is>
          <t>2</t>
        </is>
      </c>
      <c r="E1326" s="19" t="inlineStr">
        <is>
          <t>319</t>
        </is>
      </c>
      <c r="F1326" s="19" t="inlineStr">
        <is>
          <t>166</t>
        </is>
      </c>
      <c r="G1326" s="19" t="n"/>
      <c r="H1326" s="19" t="inlineStr">
        <is>
          <t>2</t>
        </is>
      </c>
      <c r="I1326" s="19" t="n"/>
      <c r="J1326" s="19" t="n"/>
      <c r="K1326" s="19" t="inlineStr">
        <is>
          <t>2</t>
        </is>
      </c>
      <c r="L1326" t="inlineStr">
        <is>
          <t>2026-08-08</t>
        </is>
      </c>
      <c r="N1326" t="inlineStr">
        <is>
          <t>IN_SCOPE_FINAL; SOURCE_CFG=IA-ST-CFG-0199; MARKET=CANARIBAT İSPANYA; STATUS=IN OEM / EU PACKAGE</t>
        </is>
      </c>
      <c r="O1326" t="inlineStr">
        <is>
          <t>2026-08-10T19:29:54Z</t>
        </is>
      </c>
      <c r="P1326" t="inlineStr">
        <is>
          <t>2026-08-10T19:29:54Z</t>
        </is>
      </c>
    </row>
    <row r="1327">
      <c r="A1327" s="19" t="inlineStr">
        <is>
          <t>1326</t>
        </is>
      </c>
      <c r="B1327" s="19" t="inlineStr">
        <is>
          <t>SC-1012487-ST-068-EUR-02</t>
        </is>
      </c>
      <c r="C1327" t="inlineStr">
        <is>
          <t>1012487 → ST-068-EUR-02</t>
        </is>
      </c>
      <c r="D1327" s="19" t="inlineStr">
        <is>
          <t>2</t>
        </is>
      </c>
      <c r="E1327" s="19" t="inlineStr">
        <is>
          <t>672</t>
        </is>
      </c>
      <c r="F1327" s="19" t="inlineStr">
        <is>
          <t>166</t>
        </is>
      </c>
      <c r="G1327" s="19" t="n"/>
      <c r="H1327" s="19" t="inlineStr">
        <is>
          <t>2</t>
        </is>
      </c>
      <c r="I1327" s="19" t="n"/>
      <c r="J1327" s="19" t="n"/>
      <c r="K1327" s="19" t="inlineStr">
        <is>
          <t>2</t>
        </is>
      </c>
      <c r="L1327" t="inlineStr">
        <is>
          <t>2026-08-08</t>
        </is>
      </c>
      <c r="N1327" t="inlineStr">
        <is>
          <t>IN_SCOPE_FINAL; SOURCE_CFG=IA-ST-CFG-0199; MARKET=None; STATUS=IN OEM / EU PACKAGE</t>
        </is>
      </c>
      <c r="O1327" t="inlineStr">
        <is>
          <t>2026-08-10T19:29:54Z</t>
        </is>
      </c>
      <c r="P1327" t="inlineStr">
        <is>
          <t>2026-08-10T19:29:54Z</t>
        </is>
      </c>
    </row>
    <row r="1328">
      <c r="A1328" s="19" t="inlineStr">
        <is>
          <t>1327</t>
        </is>
      </c>
      <c r="B1328" s="19" t="inlineStr">
        <is>
          <t>SC-1012877-ST-068-EUR-02</t>
        </is>
      </c>
      <c r="C1328" t="inlineStr">
        <is>
          <t>1012877 → ST-068-EUR-02</t>
        </is>
      </c>
      <c r="D1328" s="19" t="inlineStr">
        <is>
          <t>2</t>
        </is>
      </c>
      <c r="E1328" s="19" t="inlineStr">
        <is>
          <t>834</t>
        </is>
      </c>
      <c r="F1328" s="19" t="inlineStr">
        <is>
          <t>166</t>
        </is>
      </c>
      <c r="G1328" s="19" t="n"/>
      <c r="H1328" s="19" t="inlineStr">
        <is>
          <t>2</t>
        </is>
      </c>
      <c r="I1328" s="19" t="n"/>
      <c r="J1328" s="19" t="n"/>
      <c r="K1328" s="19" t="inlineStr">
        <is>
          <t>2</t>
        </is>
      </c>
      <c r="L1328" t="inlineStr">
        <is>
          <t>2026-08-08</t>
        </is>
      </c>
      <c r="N1328" t="inlineStr">
        <is>
          <t>IN_SCOPE_FINAL; SOURCE_CFG=IA-ST-CFG-0199; MARKET=LAMPA ITALY İTALYA; STATUS=IN OEM / EU PACKAGE</t>
        </is>
      </c>
      <c r="O1328" t="inlineStr">
        <is>
          <t>2026-08-10T19:29:54Z</t>
        </is>
      </c>
      <c r="P1328" t="inlineStr">
        <is>
          <t>2026-08-10T19:29:54Z</t>
        </is>
      </c>
    </row>
    <row r="1329">
      <c r="A1329" s="19" t="inlineStr">
        <is>
          <t>1328</t>
        </is>
      </c>
      <c r="B1329" s="19" t="inlineStr">
        <is>
          <t>SC-1012891-ST-068-EUR-02</t>
        </is>
      </c>
      <c r="C1329" t="inlineStr">
        <is>
          <t>1012891 → ST-068-EUR-02</t>
        </is>
      </c>
      <c r="D1329" s="19" t="inlineStr">
        <is>
          <t>2</t>
        </is>
      </c>
      <c r="E1329" s="19" t="inlineStr">
        <is>
          <t>845</t>
        </is>
      </c>
      <c r="F1329" s="19" t="inlineStr">
        <is>
          <t>166</t>
        </is>
      </c>
      <c r="G1329" s="19" t="n"/>
      <c r="H1329" s="19" t="inlineStr">
        <is>
          <t>2</t>
        </is>
      </c>
      <c r="I1329" s="19" t="n"/>
      <c r="J1329" s="19" t="n"/>
      <c r="K1329" s="19" t="inlineStr">
        <is>
          <t>2</t>
        </is>
      </c>
      <c r="L1329" t="inlineStr">
        <is>
          <t>2026-08-08</t>
        </is>
      </c>
      <c r="N1329" t="inlineStr">
        <is>
          <t>IN_SCOPE_FINAL; SOURCE_CFG=IA-ST-CFG-0199; MARKET=LAMPA ITALY İTALYA; STATUS=IN OEM / EU PACKAGE</t>
        </is>
      </c>
      <c r="O1329" t="inlineStr">
        <is>
          <t>2026-08-10T19:29:54Z</t>
        </is>
      </c>
      <c r="P1329" t="inlineStr">
        <is>
          <t>2026-08-10T19:29:54Z</t>
        </is>
      </c>
    </row>
    <row r="1330">
      <c r="A1330" s="19" t="inlineStr">
        <is>
          <t>1329</t>
        </is>
      </c>
      <c r="B1330" s="19" t="inlineStr">
        <is>
          <t>SC-1012892-ST-068-EUR-02</t>
        </is>
      </c>
      <c r="C1330" t="inlineStr">
        <is>
          <t>1012892 → ST-068-EUR-02</t>
        </is>
      </c>
      <c r="D1330" s="19" t="inlineStr">
        <is>
          <t>2</t>
        </is>
      </c>
      <c r="E1330" s="19" t="inlineStr">
        <is>
          <t>846</t>
        </is>
      </c>
      <c r="F1330" s="19" t="inlineStr">
        <is>
          <t>166</t>
        </is>
      </c>
      <c r="G1330" s="19" t="n"/>
      <c r="H1330" s="19" t="inlineStr">
        <is>
          <t>2</t>
        </is>
      </c>
      <c r="I1330" s="19" t="n"/>
      <c r="J1330" s="19" t="n"/>
      <c r="K1330" s="19" t="inlineStr">
        <is>
          <t>2</t>
        </is>
      </c>
      <c r="L1330" t="inlineStr">
        <is>
          <t>2026-08-08</t>
        </is>
      </c>
      <c r="N1330" t="inlineStr">
        <is>
          <t>IN_SCOPE_FINAL; SOURCE_CFG=IA-ST-CFG-0199; MARKET=LAMPA ITALY İTALYA; STATUS=IN OEM / EU PACKAGE</t>
        </is>
      </c>
      <c r="O1330" t="inlineStr">
        <is>
          <t>2026-08-10T19:29:54Z</t>
        </is>
      </c>
      <c r="P1330" t="inlineStr">
        <is>
          <t>2026-08-10T19:29:54Z</t>
        </is>
      </c>
    </row>
    <row r="1331">
      <c r="A1331" s="19" t="inlineStr">
        <is>
          <t>1330</t>
        </is>
      </c>
      <c r="B1331" s="19" t="inlineStr">
        <is>
          <t>SC-1013423-ST-068-EUR-02</t>
        </is>
      </c>
      <c r="C1331" t="inlineStr">
        <is>
          <t>1013423 → ST-068-EUR-02</t>
        </is>
      </c>
      <c r="D1331" s="19" t="inlineStr">
        <is>
          <t>2</t>
        </is>
      </c>
      <c r="E1331" s="19" t="inlineStr">
        <is>
          <t>995</t>
        </is>
      </c>
      <c r="F1331" s="19" t="inlineStr">
        <is>
          <t>166</t>
        </is>
      </c>
      <c r="G1331" s="19" t="n"/>
      <c r="H1331" s="19" t="inlineStr">
        <is>
          <t>2</t>
        </is>
      </c>
      <c r="I1331" s="19" t="n"/>
      <c r="J1331" s="19" t="n"/>
      <c r="K1331" s="19" t="inlineStr">
        <is>
          <t>2</t>
        </is>
      </c>
      <c r="L1331" t="inlineStr">
        <is>
          <t>2026-08-08</t>
        </is>
      </c>
      <c r="N1331" t="inlineStr">
        <is>
          <t>IN_SCOPE_FINAL; SOURCE_CFG=IA-ST-CFG-0199; MARKET=None; STATUS=IN OEM / EU PACKAGE</t>
        </is>
      </c>
      <c r="O1331" t="inlineStr">
        <is>
          <t>2026-08-10T19:29:54Z</t>
        </is>
      </c>
      <c r="P1331" t="inlineStr">
        <is>
          <t>2026-08-10T19:29:54Z</t>
        </is>
      </c>
    </row>
    <row r="1332">
      <c r="A1332" s="19" t="inlineStr">
        <is>
          <t>1331</t>
        </is>
      </c>
      <c r="B1332" s="19" t="inlineStr">
        <is>
          <t>SC-1013464-ST-068-EUR-02</t>
        </is>
      </c>
      <c r="C1332" t="inlineStr">
        <is>
          <t>1013464 → ST-068-EUR-02</t>
        </is>
      </c>
      <c r="D1332" s="19" t="inlineStr">
        <is>
          <t>2</t>
        </is>
      </c>
      <c r="E1332" s="19" t="inlineStr">
        <is>
          <t>1009</t>
        </is>
      </c>
      <c r="F1332" s="19" t="inlineStr">
        <is>
          <t>166</t>
        </is>
      </c>
      <c r="G1332" s="19" t="n"/>
      <c r="H1332" s="19" t="inlineStr">
        <is>
          <t>2</t>
        </is>
      </c>
      <c r="I1332" s="19" t="n"/>
      <c r="J1332" s="19" t="n"/>
      <c r="K1332" s="19" t="inlineStr">
        <is>
          <t>2</t>
        </is>
      </c>
      <c r="L1332" t="inlineStr">
        <is>
          <t>2026-08-08</t>
        </is>
      </c>
      <c r="N1332" t="inlineStr">
        <is>
          <t>IN_SCOPE_FINAL; SOURCE_CFG=IA-ST-CFG-0199; MARKET=None; STATUS=IN OEM / EU PACKAGE</t>
        </is>
      </c>
      <c r="O1332" t="inlineStr">
        <is>
          <t>2026-08-10T19:29:54Z</t>
        </is>
      </c>
      <c r="P1332" t="inlineStr">
        <is>
          <t>2026-08-10T19:29:54Z</t>
        </is>
      </c>
    </row>
    <row r="1333">
      <c r="A1333" s="19" t="inlineStr">
        <is>
          <t>1332</t>
        </is>
      </c>
      <c r="B1333" s="19" t="inlineStr">
        <is>
          <t>SC-1014644-ST-068-EUR-02</t>
        </is>
      </c>
      <c r="C1333" t="inlineStr">
        <is>
          <t>1014644 → ST-068-EUR-02</t>
        </is>
      </c>
      <c r="D1333" s="19" t="inlineStr">
        <is>
          <t>2</t>
        </is>
      </c>
      <c r="E1333" s="19" t="inlineStr">
        <is>
          <t>1503</t>
        </is>
      </c>
      <c r="F1333" s="19" t="inlineStr">
        <is>
          <t>166</t>
        </is>
      </c>
      <c r="G1333" s="19" t="n"/>
      <c r="H1333" s="19" t="inlineStr">
        <is>
          <t>2</t>
        </is>
      </c>
      <c r="I1333" s="19" t="n"/>
      <c r="J1333" s="19" t="n"/>
      <c r="K1333" s="19" t="inlineStr">
        <is>
          <t>2</t>
        </is>
      </c>
      <c r="L1333" t="inlineStr">
        <is>
          <t>2026-08-08</t>
        </is>
      </c>
      <c r="N1333" t="inlineStr">
        <is>
          <t>IN_SCOPE_FINAL; SOURCE_CFG=IA-ST-CFG-0199; MARKET=None; STATUS=IN OEM / EU PACKAGE</t>
        </is>
      </c>
      <c r="O1333" t="inlineStr">
        <is>
          <t>2026-08-10T19:29:54Z</t>
        </is>
      </c>
      <c r="P1333" t="inlineStr">
        <is>
          <t>2026-08-10T19:29:54Z</t>
        </is>
      </c>
    </row>
    <row r="1334">
      <c r="A1334" s="19" t="inlineStr">
        <is>
          <t>1333</t>
        </is>
      </c>
      <c r="B1334" s="19" t="inlineStr">
        <is>
          <t>SC-1014858-ST-068-EUR-02</t>
        </is>
      </c>
      <c r="C1334" t="inlineStr">
        <is>
          <t>1014858 → ST-068-EUR-02</t>
        </is>
      </c>
      <c r="D1334" s="19" t="inlineStr">
        <is>
          <t>2</t>
        </is>
      </c>
      <c r="E1334" s="19" t="inlineStr">
        <is>
          <t>1641</t>
        </is>
      </c>
      <c r="F1334" s="19" t="inlineStr">
        <is>
          <t>166</t>
        </is>
      </c>
      <c r="G1334" s="19" t="n"/>
      <c r="H1334" s="19" t="inlineStr">
        <is>
          <t>2</t>
        </is>
      </c>
      <c r="I1334" s="19" t="n"/>
      <c r="J1334" s="19" t="n"/>
      <c r="K1334" s="19" t="inlineStr">
        <is>
          <t>2</t>
        </is>
      </c>
      <c r="L1334" t="inlineStr">
        <is>
          <t>2026-08-08</t>
        </is>
      </c>
      <c r="N1334" t="inlineStr">
        <is>
          <t>IN_SCOPE_FINAL; SOURCE_CFG=IA-ST-CFG-0199; MARKET=ALEX ARABATZIS BSA(YUNANİSTAN); STATUS=IN OEM / EU PACKAGE</t>
        </is>
      </c>
      <c r="O1334" t="inlineStr">
        <is>
          <t>2026-08-10T19:29:54Z</t>
        </is>
      </c>
      <c r="P1334" t="inlineStr">
        <is>
          <t>2026-08-10T19:29:54Z</t>
        </is>
      </c>
    </row>
    <row r="1335">
      <c r="A1335" s="19" t="inlineStr">
        <is>
          <t>1334</t>
        </is>
      </c>
      <c r="B1335" s="19" t="inlineStr">
        <is>
          <t>SC-1011738-ST-068-EUR-03</t>
        </is>
      </c>
      <c r="C1335" t="inlineStr">
        <is>
          <t>1011738 → ST-068-EUR-03</t>
        </is>
      </c>
      <c r="D1335" s="19" t="inlineStr">
        <is>
          <t>2</t>
        </is>
      </c>
      <c r="E1335" s="19" t="inlineStr">
        <is>
          <t>333</t>
        </is>
      </c>
      <c r="F1335" s="19" t="inlineStr">
        <is>
          <t>167</t>
        </is>
      </c>
      <c r="G1335" s="19" t="n"/>
      <c r="H1335" s="19" t="inlineStr">
        <is>
          <t>2</t>
        </is>
      </c>
      <c r="I1335" s="19" t="n"/>
      <c r="J1335" s="19" t="n"/>
      <c r="K1335" s="19" t="inlineStr">
        <is>
          <t>2</t>
        </is>
      </c>
      <c r="L1335" t="inlineStr">
        <is>
          <t>2026-08-08</t>
        </is>
      </c>
      <c r="N1335" t="inlineStr">
        <is>
          <t>IN_SCOPE_FINAL; SOURCE_CFG=IA-ST-CFG-0200; MARKET=None; STATUS=IN OEM / EU PACKAGE</t>
        </is>
      </c>
      <c r="O1335" t="inlineStr">
        <is>
          <t>2026-08-10T19:29:54Z</t>
        </is>
      </c>
      <c r="P1335" t="inlineStr">
        <is>
          <t>2026-08-10T19:29:54Z</t>
        </is>
      </c>
    </row>
    <row r="1336">
      <c r="A1336" s="19" t="inlineStr">
        <is>
          <t>1335</t>
        </is>
      </c>
      <c r="B1336" s="19" t="inlineStr">
        <is>
          <t>SC-1008522-ST-068-EUR-03</t>
        </is>
      </c>
      <c r="C1336" t="inlineStr">
        <is>
          <t>1008522 → ST-068-EUR-03</t>
        </is>
      </c>
      <c r="D1336" s="19" t="inlineStr">
        <is>
          <t>2</t>
        </is>
      </c>
      <c r="E1336" s="19" t="inlineStr">
        <is>
          <t>87</t>
        </is>
      </c>
      <c r="F1336" s="19" t="inlineStr">
        <is>
          <t>167</t>
        </is>
      </c>
      <c r="G1336" s="19" t="n"/>
      <c r="H1336" s="19" t="inlineStr">
        <is>
          <t>2</t>
        </is>
      </c>
      <c r="I1336" s="19" t="n"/>
      <c r="J1336" s="19" t="n"/>
      <c r="K1336" s="19" t="inlineStr">
        <is>
          <t>2</t>
        </is>
      </c>
      <c r="L1336" t="inlineStr">
        <is>
          <t>2026-08-08</t>
        </is>
      </c>
      <c r="N1336" t="inlineStr">
        <is>
          <t>IN_SCOPE_FINAL; SOURCE_CFG=IA-ST-CFG-0200; MARKET=None; STATUS=IN OEM / EU PACKAGE</t>
        </is>
      </c>
      <c r="O1336" t="inlineStr">
        <is>
          <t>2026-08-10T19:29:54Z</t>
        </is>
      </c>
      <c r="P1336" t="inlineStr">
        <is>
          <t>2026-08-10T19:29:54Z</t>
        </is>
      </c>
    </row>
    <row r="1337">
      <c r="A1337" s="19" t="inlineStr">
        <is>
          <t>1336</t>
        </is>
      </c>
      <c r="B1337" s="19" t="inlineStr">
        <is>
          <t>SC-1013460-ST-068-EUR-03</t>
        </is>
      </c>
      <c r="C1337" t="inlineStr">
        <is>
          <t>1013460 → ST-068-EUR-03</t>
        </is>
      </c>
      <c r="D1337" s="19" t="inlineStr">
        <is>
          <t>2</t>
        </is>
      </c>
      <c r="E1337" s="19" t="inlineStr">
        <is>
          <t>1005</t>
        </is>
      </c>
      <c r="F1337" s="19" t="inlineStr">
        <is>
          <t>167</t>
        </is>
      </c>
      <c r="G1337" s="19" t="n"/>
      <c r="H1337" s="19" t="inlineStr">
        <is>
          <t>2</t>
        </is>
      </c>
      <c r="I1337" s="19" t="n"/>
      <c r="J1337" s="19" t="n"/>
      <c r="K1337" s="19" t="inlineStr">
        <is>
          <t>2</t>
        </is>
      </c>
      <c r="L1337" t="inlineStr">
        <is>
          <t>2026-08-08</t>
        </is>
      </c>
      <c r="N1337" t="inlineStr">
        <is>
          <t>IN_SCOPE_FINAL; SOURCE_CFG=IA-ST-CFG-0200; MARKET=None; STATUS=IN OEM / EU PACKAGE</t>
        </is>
      </c>
      <c r="O1337" t="inlineStr">
        <is>
          <t>2026-08-10T19:29:54Z</t>
        </is>
      </c>
      <c r="P1337" t="inlineStr">
        <is>
          <t>2026-08-10T19:29:54Z</t>
        </is>
      </c>
    </row>
    <row r="1338">
      <c r="A1338" s="19" t="inlineStr">
        <is>
          <t>1337</t>
        </is>
      </c>
      <c r="B1338" s="19" t="inlineStr">
        <is>
          <t>SC-1013285-ST-068-EUR-03</t>
        </is>
      </c>
      <c r="C1338" t="inlineStr">
        <is>
          <t>1013285 → ST-068-EUR-03</t>
        </is>
      </c>
      <c r="D1338" s="19" t="inlineStr">
        <is>
          <t>2</t>
        </is>
      </c>
      <c r="E1338" s="19" t="inlineStr">
        <is>
          <t>969</t>
        </is>
      </c>
      <c r="F1338" s="19" t="inlineStr">
        <is>
          <t>167</t>
        </is>
      </c>
      <c r="G1338" s="19" t="n"/>
      <c r="H1338" s="19" t="inlineStr">
        <is>
          <t>2</t>
        </is>
      </c>
      <c r="I1338" s="19" t="n"/>
      <c r="J1338" s="19" t="n"/>
      <c r="K1338" s="19" t="inlineStr">
        <is>
          <t>2</t>
        </is>
      </c>
      <c r="L1338" t="inlineStr">
        <is>
          <t>2026-08-08</t>
        </is>
      </c>
      <c r="N1338" t="inlineStr">
        <is>
          <t>IN_SCOPE_FINAL; SOURCE_CFG=IA-ST-CFG-0200; MARKET=None; STATUS=IN OEM / EU PACKAGE</t>
        </is>
      </c>
      <c r="O1338" t="inlineStr">
        <is>
          <t>2026-08-10T19:29:54Z</t>
        </is>
      </c>
      <c r="P1338" t="inlineStr">
        <is>
          <t>2026-08-10T19:29:54Z</t>
        </is>
      </c>
    </row>
    <row r="1339">
      <c r="A1339" s="19" t="inlineStr">
        <is>
          <t>1338</t>
        </is>
      </c>
      <c r="B1339" s="19" t="inlineStr">
        <is>
          <t>SC-1013183-ST-068-EUR-03</t>
        </is>
      </c>
      <c r="C1339" t="inlineStr">
        <is>
          <t>1013183 → ST-068-EUR-03</t>
        </is>
      </c>
      <c r="D1339" s="19" t="inlineStr">
        <is>
          <t>2</t>
        </is>
      </c>
      <c r="E1339" s="19" t="inlineStr">
        <is>
          <t>935</t>
        </is>
      </c>
      <c r="F1339" s="19" t="inlineStr">
        <is>
          <t>167</t>
        </is>
      </c>
      <c r="G1339" s="19" t="n"/>
      <c r="H1339" s="19" t="inlineStr">
        <is>
          <t>2</t>
        </is>
      </c>
      <c r="I1339" s="19" t="n"/>
      <c r="J1339" s="19" t="n"/>
      <c r="K1339" s="19" t="inlineStr">
        <is>
          <t>2</t>
        </is>
      </c>
      <c r="L1339" t="inlineStr">
        <is>
          <t>2026-08-08</t>
        </is>
      </c>
      <c r="N1339" t="inlineStr">
        <is>
          <t>IN_SCOPE_FINAL; SOURCE_CFG=IA-ST-CFG-0200; MARKET=LAMPA ITALY İTALYA; STATUS=IN OEM / EU PACKAGE</t>
        </is>
      </c>
      <c r="O1339" t="inlineStr">
        <is>
          <t>2026-08-10T19:29:54Z</t>
        </is>
      </c>
      <c r="P1339" t="inlineStr">
        <is>
          <t>2026-08-10T19:29:54Z</t>
        </is>
      </c>
    </row>
    <row r="1340">
      <c r="A1340" s="19" t="inlineStr">
        <is>
          <t>1339</t>
        </is>
      </c>
      <c r="B1340" s="19" t="inlineStr">
        <is>
          <t>SC-1014642-ST-068-EUR-03</t>
        </is>
      </c>
      <c r="C1340" t="inlineStr">
        <is>
          <t>1014642 → ST-068-EUR-03</t>
        </is>
      </c>
      <c r="D1340" s="19" t="inlineStr">
        <is>
          <t>2</t>
        </is>
      </c>
      <c r="E1340" s="19" t="inlineStr">
        <is>
          <t>1501</t>
        </is>
      </c>
      <c r="F1340" s="19" t="inlineStr">
        <is>
          <t>167</t>
        </is>
      </c>
      <c r="G1340" s="19" t="n"/>
      <c r="H1340" s="19" t="inlineStr">
        <is>
          <t>2</t>
        </is>
      </c>
      <c r="I1340" s="19" t="n"/>
      <c r="J1340" s="19" t="n"/>
      <c r="K1340" s="19" t="inlineStr">
        <is>
          <t>2</t>
        </is>
      </c>
      <c r="L1340" t="inlineStr">
        <is>
          <t>2026-08-08</t>
        </is>
      </c>
      <c r="N1340" t="inlineStr">
        <is>
          <t>IN_SCOPE_FINAL; SOURCE_CFG=IA-ST-CFG-0200; MARKET=None; STATUS=IN OEM / EU PACKAGE</t>
        </is>
      </c>
      <c r="O1340" t="inlineStr">
        <is>
          <t>2026-08-10T19:29:54Z</t>
        </is>
      </c>
      <c r="P1340" t="inlineStr">
        <is>
          <t>2026-08-10T19:29:54Z</t>
        </is>
      </c>
    </row>
    <row r="1341">
      <c r="A1341" s="19" t="inlineStr">
        <is>
          <t>1340</t>
        </is>
      </c>
      <c r="B1341" s="19" t="inlineStr">
        <is>
          <t>SC-1011578-ST-068-EUR-03</t>
        </is>
      </c>
      <c r="C1341" t="inlineStr">
        <is>
          <t>1011578 → ST-068-EUR-03</t>
        </is>
      </c>
      <c r="D1341" s="19" t="inlineStr">
        <is>
          <t>2</t>
        </is>
      </c>
      <c r="E1341" s="19" t="inlineStr">
        <is>
          <t>316</t>
        </is>
      </c>
      <c r="F1341" s="19" t="inlineStr">
        <is>
          <t>167</t>
        </is>
      </c>
      <c r="G1341" s="19" t="n"/>
      <c r="H1341" s="19" t="inlineStr">
        <is>
          <t>2</t>
        </is>
      </c>
      <c r="I1341" s="19" t="n"/>
      <c r="J1341" s="19" t="n"/>
      <c r="K1341" s="19" t="inlineStr">
        <is>
          <t>2</t>
        </is>
      </c>
      <c r="L1341" t="inlineStr">
        <is>
          <t>2026-08-08</t>
        </is>
      </c>
      <c r="N1341" t="inlineStr">
        <is>
          <t>IN_SCOPE_FINAL; SOURCE_CFG=IA-ST-CFG-0200; MARKET=CANARIBAT İSPANYA; STATUS=IN OEM / EU PACKAGE</t>
        </is>
      </c>
      <c r="O1341" t="inlineStr">
        <is>
          <t>2026-08-10T19:29:54Z</t>
        </is>
      </c>
      <c r="P1341" t="inlineStr">
        <is>
          <t>2026-08-10T19:29:54Z</t>
        </is>
      </c>
    </row>
    <row r="1342">
      <c r="A1342" s="19" t="inlineStr">
        <is>
          <t>1341</t>
        </is>
      </c>
      <c r="B1342" s="19" t="inlineStr">
        <is>
          <t>SC-1009874-ST-068-EUR-03</t>
        </is>
      </c>
      <c r="C1342" t="inlineStr">
        <is>
          <t>1009874 → ST-068-EUR-03</t>
        </is>
      </c>
      <c r="D1342" s="19" t="inlineStr">
        <is>
          <t>2</t>
        </is>
      </c>
      <c r="E1342" s="19" t="inlineStr">
        <is>
          <t>119</t>
        </is>
      </c>
      <c r="F1342" s="19" t="inlineStr">
        <is>
          <t>167</t>
        </is>
      </c>
      <c r="G1342" s="19" t="n"/>
      <c r="H1342" s="19" t="inlineStr">
        <is>
          <t>2</t>
        </is>
      </c>
      <c r="I1342" s="19" t="n"/>
      <c r="J1342" s="19" t="n"/>
      <c r="K1342" s="19" t="inlineStr">
        <is>
          <t>2</t>
        </is>
      </c>
      <c r="L1342" t="inlineStr">
        <is>
          <t>2026-08-08</t>
        </is>
      </c>
      <c r="N1342" t="inlineStr">
        <is>
          <t>IN_SCOPE_FINAL; SOURCE_CFG=IA-ST-CFG-0200; MARKET=BOOSTER; STATUS=IN OEM / EU PACKAGE</t>
        </is>
      </c>
      <c r="O1342" t="inlineStr">
        <is>
          <t>2026-08-10T19:29:54Z</t>
        </is>
      </c>
      <c r="P1342" t="inlineStr">
        <is>
          <t>2026-08-10T19:29:54Z</t>
        </is>
      </c>
    </row>
    <row r="1343">
      <c r="A1343" s="19" t="inlineStr">
        <is>
          <t>1342</t>
        </is>
      </c>
      <c r="B1343" s="19" t="inlineStr">
        <is>
          <t>SC-1014143-ST-068-EUR-03</t>
        </is>
      </c>
      <c r="C1343" t="inlineStr">
        <is>
          <t>1014143 → ST-068-EUR-03</t>
        </is>
      </c>
      <c r="D1343" s="19" t="inlineStr">
        <is>
          <t>2</t>
        </is>
      </c>
      <c r="E1343" s="19" t="inlineStr">
        <is>
          <t>1231</t>
        </is>
      </c>
      <c r="F1343" s="19" t="inlineStr">
        <is>
          <t>167</t>
        </is>
      </c>
      <c r="G1343" s="19" t="n"/>
      <c r="H1343" s="19" t="inlineStr">
        <is>
          <t>2</t>
        </is>
      </c>
      <c r="I1343" s="19" t="n"/>
      <c r="J1343" s="19" t="n"/>
      <c r="K1343" s="19" t="inlineStr">
        <is>
          <t>2</t>
        </is>
      </c>
      <c r="L1343" t="inlineStr">
        <is>
          <t>2026-08-08</t>
        </is>
      </c>
      <c r="N1343" t="inlineStr">
        <is>
          <t>IN_SCOPE_FINAL; SOURCE_CFG=IA-ST-CFG-0200; MARKET=BOOSTER; STATUS=IN OEM / EU PACKAGE</t>
        </is>
      </c>
      <c r="O1343" t="inlineStr">
        <is>
          <t>2026-08-10T19:29:54Z</t>
        </is>
      </c>
      <c r="P1343" t="inlineStr">
        <is>
          <t>2026-08-10T19:29:54Z</t>
        </is>
      </c>
    </row>
    <row r="1344">
      <c r="A1344" s="19" t="inlineStr">
        <is>
          <t>1343</t>
        </is>
      </c>
      <c r="B1344" s="19" t="inlineStr">
        <is>
          <t>SC-1014688-ST-068-EUR-03</t>
        </is>
      </c>
      <c r="C1344" t="inlineStr">
        <is>
          <t>1014688 → ST-068-EUR-03</t>
        </is>
      </c>
      <c r="D1344" s="19" t="inlineStr">
        <is>
          <t>2</t>
        </is>
      </c>
      <c r="E1344" s="19" t="inlineStr">
        <is>
          <t>1540</t>
        </is>
      </c>
      <c r="F1344" s="19" t="inlineStr">
        <is>
          <t>167</t>
        </is>
      </c>
      <c r="G1344" s="19" t="n"/>
      <c r="H1344" s="19" t="inlineStr">
        <is>
          <t>2</t>
        </is>
      </c>
      <c r="I1344" s="19" t="n"/>
      <c r="J1344" s="19" t="n"/>
      <c r="K1344" s="19" t="inlineStr">
        <is>
          <t>2</t>
        </is>
      </c>
      <c r="L1344" t="inlineStr">
        <is>
          <t>2026-08-08</t>
        </is>
      </c>
      <c r="N1344" t="inlineStr">
        <is>
          <t>IN_SCOPE_FINAL; SOURCE_CFG=IA-ST-CFG-0200; MARKET=None; STATUS=IN OEM / EU PACKAGE</t>
        </is>
      </c>
      <c r="O1344" t="inlineStr">
        <is>
          <t>2026-08-10T19:29:54Z</t>
        </is>
      </c>
      <c r="P1344" t="inlineStr">
        <is>
          <t>2026-08-10T19:29:54Z</t>
        </is>
      </c>
    </row>
    <row r="1345">
      <c r="A1345" s="19" t="inlineStr">
        <is>
          <t>1344</t>
        </is>
      </c>
      <c r="B1345" s="19" t="inlineStr">
        <is>
          <t>SC-1011561-ST-068-EUR-03</t>
        </is>
      </c>
      <c r="C1345" t="inlineStr">
        <is>
          <t>1011561 → ST-068-EUR-03</t>
        </is>
      </c>
      <c r="D1345" s="19" t="inlineStr">
        <is>
          <t>2</t>
        </is>
      </c>
      <c r="E1345" s="19" t="inlineStr">
        <is>
          <t>311</t>
        </is>
      </c>
      <c r="F1345" s="19" t="inlineStr">
        <is>
          <t>167</t>
        </is>
      </c>
      <c r="G1345" s="19" t="n"/>
      <c r="H1345" s="19" t="inlineStr">
        <is>
          <t>2</t>
        </is>
      </c>
      <c r="I1345" s="19" t="n"/>
      <c r="J1345" s="19" t="n"/>
      <c r="K1345" s="19" t="inlineStr">
        <is>
          <t>2</t>
        </is>
      </c>
      <c r="L1345" t="inlineStr">
        <is>
          <t>2026-08-08</t>
        </is>
      </c>
      <c r="N1345" t="inlineStr">
        <is>
          <t>IN_SCOPE_FINAL; SOURCE_CFG=IA-ST-CFG-0200; MARKET=CANARIBAT İSPANYA; STATUS=IN OEM / EU PACKAGE</t>
        </is>
      </c>
      <c r="O1345" t="inlineStr">
        <is>
          <t>2026-08-10T19:29:54Z</t>
        </is>
      </c>
      <c r="P1345" t="inlineStr">
        <is>
          <t>2026-08-10T19:29:54Z</t>
        </is>
      </c>
    </row>
    <row r="1346">
      <c r="A1346" s="19" t="inlineStr">
        <is>
          <t>1345</t>
        </is>
      </c>
      <c r="B1346" s="19" t="inlineStr">
        <is>
          <t>SC-1011576-ST-068-EUR-03</t>
        </is>
      </c>
      <c r="C1346" t="inlineStr">
        <is>
          <t>1011576 → ST-068-EUR-03</t>
        </is>
      </c>
      <c r="D1346" s="19" t="inlineStr">
        <is>
          <t>2</t>
        </is>
      </c>
      <c r="E1346" s="19" t="inlineStr">
        <is>
          <t>315</t>
        </is>
      </c>
      <c r="F1346" s="19" t="inlineStr">
        <is>
          <t>167</t>
        </is>
      </c>
      <c r="G1346" s="19" t="n"/>
      <c r="H1346" s="19" t="inlineStr">
        <is>
          <t>2</t>
        </is>
      </c>
      <c r="I1346" s="19" t="n"/>
      <c r="J1346" s="19" t="n"/>
      <c r="K1346" s="19" t="inlineStr">
        <is>
          <t>2</t>
        </is>
      </c>
      <c r="L1346" t="inlineStr">
        <is>
          <t>2026-08-08</t>
        </is>
      </c>
      <c r="N1346" t="inlineStr">
        <is>
          <t>IN_SCOPE_FINAL; SOURCE_CFG=IA-ST-CFG-0200; MARKET=CANARIBAT İSPANYA; STATUS=IN OEM / EU PACKAGE</t>
        </is>
      </c>
      <c r="O1346" t="inlineStr">
        <is>
          <t>2026-08-10T19:29:54Z</t>
        </is>
      </c>
      <c r="P1346" t="inlineStr">
        <is>
          <t>2026-08-10T19:29:54Z</t>
        </is>
      </c>
    </row>
    <row r="1347">
      <c r="A1347" s="19" t="inlineStr">
        <is>
          <t>1346</t>
        </is>
      </c>
      <c r="B1347" s="19" t="inlineStr">
        <is>
          <t>SC-1012485-ST-068-EUR-03</t>
        </is>
      </c>
      <c r="C1347" t="inlineStr">
        <is>
          <t>1012485 → ST-068-EUR-03</t>
        </is>
      </c>
      <c r="D1347" s="19" t="inlineStr">
        <is>
          <t>2</t>
        </is>
      </c>
      <c r="E1347" s="19" t="inlineStr">
        <is>
          <t>670</t>
        </is>
      </c>
      <c r="F1347" s="19" t="inlineStr">
        <is>
          <t>167</t>
        </is>
      </c>
      <c r="G1347" s="19" t="n"/>
      <c r="H1347" s="19" t="inlineStr">
        <is>
          <t>2</t>
        </is>
      </c>
      <c r="I1347" s="19" t="n"/>
      <c r="J1347" s="19" t="n"/>
      <c r="K1347" s="19" t="inlineStr">
        <is>
          <t>2</t>
        </is>
      </c>
      <c r="L1347" t="inlineStr">
        <is>
          <t>2026-08-08</t>
        </is>
      </c>
      <c r="N1347" t="inlineStr">
        <is>
          <t>IN_SCOPE_FINAL; SOURCE_CFG=IA-ST-CFG-0200; MARKET=None; STATUS=IN OEM / EU PACKAGE</t>
        </is>
      </c>
      <c r="O1347" t="inlineStr">
        <is>
          <t>2026-08-10T19:29:54Z</t>
        </is>
      </c>
      <c r="P1347" t="inlineStr">
        <is>
          <t>2026-08-10T19:29:54Z</t>
        </is>
      </c>
    </row>
    <row r="1348">
      <c r="A1348" s="19" t="inlineStr">
        <is>
          <t>1347</t>
        </is>
      </c>
      <c r="B1348" s="19" t="inlineStr">
        <is>
          <t>SC-1012520-ST-068-EUR-03</t>
        </is>
      </c>
      <c r="C1348" t="inlineStr">
        <is>
          <t>1012520 → ST-068-EUR-03</t>
        </is>
      </c>
      <c r="D1348" s="19" t="inlineStr">
        <is>
          <t>2</t>
        </is>
      </c>
      <c r="E1348" s="19" t="inlineStr">
        <is>
          <t>683</t>
        </is>
      </c>
      <c r="F1348" s="19" t="inlineStr">
        <is>
          <t>167</t>
        </is>
      </c>
      <c r="G1348" s="19" t="n"/>
      <c r="H1348" s="19" t="inlineStr">
        <is>
          <t>2</t>
        </is>
      </c>
      <c r="I1348" s="19" t="n"/>
      <c r="J1348" s="19" t="n"/>
      <c r="K1348" s="19" t="inlineStr">
        <is>
          <t>2</t>
        </is>
      </c>
      <c r="L1348" t="inlineStr">
        <is>
          <t>2026-08-08</t>
        </is>
      </c>
      <c r="N1348" t="inlineStr">
        <is>
          <t>IN_SCOPE_FINAL; SOURCE_CFG=IA-ST-CFG-0200; MARKET=None; STATUS=IN OEM / EU PACKAGE</t>
        </is>
      </c>
      <c r="O1348" t="inlineStr">
        <is>
          <t>2026-08-10T19:29:54Z</t>
        </is>
      </c>
      <c r="P1348" t="inlineStr">
        <is>
          <t>2026-08-10T19:29:54Z</t>
        </is>
      </c>
    </row>
    <row r="1349">
      <c r="A1349" s="19" t="inlineStr">
        <is>
          <t>1348</t>
        </is>
      </c>
      <c r="B1349" s="19" t="inlineStr">
        <is>
          <t>SC-1012528-ST-068-EUR-03</t>
        </is>
      </c>
      <c r="C1349" t="inlineStr">
        <is>
          <t>1012528 → ST-068-EUR-03</t>
        </is>
      </c>
      <c r="D1349" s="19" t="inlineStr">
        <is>
          <t>2</t>
        </is>
      </c>
      <c r="E1349" s="19" t="inlineStr">
        <is>
          <t>686</t>
        </is>
      </c>
      <c r="F1349" s="19" t="inlineStr">
        <is>
          <t>167</t>
        </is>
      </c>
      <c r="G1349" s="19" t="n"/>
      <c r="H1349" s="19" t="inlineStr">
        <is>
          <t>2</t>
        </is>
      </c>
      <c r="I1349" s="19" t="n"/>
      <c r="J1349" s="19" t="n"/>
      <c r="K1349" s="19" t="inlineStr">
        <is>
          <t>2</t>
        </is>
      </c>
      <c r="L1349" t="inlineStr">
        <is>
          <t>2026-08-08</t>
        </is>
      </c>
      <c r="N1349" t="inlineStr">
        <is>
          <t>IN_SCOPE_FINAL; SOURCE_CFG=IA-ST-CFG-0200; MARKET=None; STATUS=IN OEM / EU PACKAGE</t>
        </is>
      </c>
      <c r="O1349" t="inlineStr">
        <is>
          <t>2026-08-10T19:29:54Z</t>
        </is>
      </c>
      <c r="P1349" t="inlineStr">
        <is>
          <t>2026-08-10T19:29:54Z</t>
        </is>
      </c>
    </row>
    <row r="1350">
      <c r="A1350" s="19" t="inlineStr">
        <is>
          <t>1349</t>
        </is>
      </c>
      <c r="B1350" s="19" t="inlineStr">
        <is>
          <t>SC-1012872-ST-068-EUR-03</t>
        </is>
      </c>
      <c r="C1350" t="inlineStr">
        <is>
          <t>1012872 → ST-068-EUR-03</t>
        </is>
      </c>
      <c r="D1350" s="19" t="inlineStr">
        <is>
          <t>2</t>
        </is>
      </c>
      <c r="E1350" s="19" t="inlineStr">
        <is>
          <t>829</t>
        </is>
      </c>
      <c r="F1350" s="19" t="inlineStr">
        <is>
          <t>167</t>
        </is>
      </c>
      <c r="G1350" s="19" t="n"/>
      <c r="H1350" s="19" t="inlineStr">
        <is>
          <t>2</t>
        </is>
      </c>
      <c r="I1350" s="19" t="n"/>
      <c r="J1350" s="19" t="n"/>
      <c r="K1350" s="19" t="inlineStr">
        <is>
          <t>2</t>
        </is>
      </c>
      <c r="L1350" t="inlineStr">
        <is>
          <t>2026-08-08</t>
        </is>
      </c>
      <c r="N1350" t="inlineStr">
        <is>
          <t>IN_SCOPE_FINAL; SOURCE_CFG=IA-ST-CFG-0200; MARKET=LAMPA ITALY İTALYA; STATUS=IN OEM / EU PACKAGE</t>
        </is>
      </c>
      <c r="O1350" t="inlineStr">
        <is>
          <t>2026-08-10T19:29:54Z</t>
        </is>
      </c>
      <c r="P1350" t="inlineStr">
        <is>
          <t>2026-08-10T19:29:54Z</t>
        </is>
      </c>
    </row>
    <row r="1351">
      <c r="A1351" s="19" t="inlineStr">
        <is>
          <t>1350</t>
        </is>
      </c>
      <c r="B1351" s="19" t="inlineStr">
        <is>
          <t>SC-1012889-ST-068-EUR-03</t>
        </is>
      </c>
      <c r="C1351" t="inlineStr">
        <is>
          <t>1012889 → ST-068-EUR-03</t>
        </is>
      </c>
      <c r="D1351" s="19" t="inlineStr">
        <is>
          <t>2</t>
        </is>
      </c>
      <c r="E1351" s="19" t="inlineStr">
        <is>
          <t>843</t>
        </is>
      </c>
      <c r="F1351" s="19" t="inlineStr">
        <is>
          <t>167</t>
        </is>
      </c>
      <c r="G1351" s="19" t="n"/>
      <c r="H1351" s="19" t="inlineStr">
        <is>
          <t>2</t>
        </is>
      </c>
      <c r="I1351" s="19" t="n"/>
      <c r="J1351" s="19" t="n"/>
      <c r="K1351" s="19" t="inlineStr">
        <is>
          <t>2</t>
        </is>
      </c>
      <c r="L1351" t="inlineStr">
        <is>
          <t>2026-08-08</t>
        </is>
      </c>
      <c r="N1351" t="inlineStr">
        <is>
          <t>IN_SCOPE_FINAL; SOURCE_CFG=IA-ST-CFG-0200; MARKET=LAMPA ITALY İTALYA; STATUS=IN OEM / EU PACKAGE</t>
        </is>
      </c>
      <c r="O1351" t="inlineStr">
        <is>
          <t>2026-08-10T19:29:54Z</t>
        </is>
      </c>
      <c r="P1351" t="inlineStr">
        <is>
          <t>2026-08-10T19:29:54Z</t>
        </is>
      </c>
    </row>
    <row r="1352">
      <c r="A1352" s="19" t="inlineStr">
        <is>
          <t>1351</t>
        </is>
      </c>
      <c r="B1352" s="19" t="inlineStr">
        <is>
          <t>SC-1013465-ST-068-EUR-03</t>
        </is>
      </c>
      <c r="C1352" t="inlineStr">
        <is>
          <t>1013465 → ST-068-EUR-03</t>
        </is>
      </c>
      <c r="D1352" s="19" t="inlineStr">
        <is>
          <t>2</t>
        </is>
      </c>
      <c r="E1352" s="19" t="inlineStr">
        <is>
          <t>1010</t>
        </is>
      </c>
      <c r="F1352" s="19" t="inlineStr">
        <is>
          <t>167</t>
        </is>
      </c>
      <c r="G1352" s="19" t="n"/>
      <c r="H1352" s="19" t="inlineStr">
        <is>
          <t>2</t>
        </is>
      </c>
      <c r="I1352" s="19" t="n"/>
      <c r="J1352" s="19" t="n"/>
      <c r="K1352" s="19" t="inlineStr">
        <is>
          <t>2</t>
        </is>
      </c>
      <c r="L1352" t="inlineStr">
        <is>
          <t>2026-08-08</t>
        </is>
      </c>
      <c r="N1352" t="inlineStr">
        <is>
          <t>IN_SCOPE_FINAL; SOURCE_CFG=IA-ST-CFG-0200; MARKET=None; STATUS=IN OEM / EU PACKAGE</t>
        </is>
      </c>
      <c r="O1352" t="inlineStr">
        <is>
          <t>2026-08-10T19:29:54Z</t>
        </is>
      </c>
      <c r="P1352" t="inlineStr">
        <is>
          <t>2026-08-10T19:29:54Z</t>
        </is>
      </c>
    </row>
    <row r="1353">
      <c r="A1353" s="19" t="inlineStr">
        <is>
          <t>1352</t>
        </is>
      </c>
      <c r="B1353" s="19" t="inlineStr">
        <is>
          <t>SC-1013500-ST-068-EUR-03</t>
        </is>
      </c>
      <c r="C1353" t="inlineStr">
        <is>
          <t>1013500 → ST-068-EUR-03</t>
        </is>
      </c>
      <c r="D1353" s="19" t="inlineStr">
        <is>
          <t>2</t>
        </is>
      </c>
      <c r="E1353" s="19" t="inlineStr">
        <is>
          <t>1020</t>
        </is>
      </c>
      <c r="F1353" s="19" t="inlineStr">
        <is>
          <t>167</t>
        </is>
      </c>
      <c r="G1353" s="19" t="n"/>
      <c r="H1353" s="19" t="inlineStr">
        <is>
          <t>2</t>
        </is>
      </c>
      <c r="I1353" s="19" t="n"/>
      <c r="J1353" s="19" t="n"/>
      <c r="K1353" s="19" t="inlineStr">
        <is>
          <t>2</t>
        </is>
      </c>
      <c r="L1353" t="inlineStr">
        <is>
          <t>2026-08-08</t>
        </is>
      </c>
      <c r="N1353" t="inlineStr">
        <is>
          <t>IN_SCOPE_FINAL; SOURCE_CFG=IA-ST-CFG-0200; MARKET=CANARIBAT İSPANYA; STATUS=IN OEM / EU PACKAGE</t>
        </is>
      </c>
      <c r="O1353" t="inlineStr">
        <is>
          <t>2026-08-10T19:29:54Z</t>
        </is>
      </c>
      <c r="P1353" t="inlineStr">
        <is>
          <t>2026-08-10T19:29:54Z</t>
        </is>
      </c>
    </row>
    <row r="1354">
      <c r="A1354" s="19" t="inlineStr">
        <is>
          <t>1353</t>
        </is>
      </c>
      <c r="B1354" s="19" t="inlineStr">
        <is>
          <t>SC-1013743-ST-068-EUR-03</t>
        </is>
      </c>
      <c r="C1354" t="inlineStr">
        <is>
          <t>1013743 → ST-068-EUR-03</t>
        </is>
      </c>
      <c r="D1354" s="19" t="inlineStr">
        <is>
          <t>2</t>
        </is>
      </c>
      <c r="E1354" s="19" t="inlineStr">
        <is>
          <t>1083</t>
        </is>
      </c>
      <c r="F1354" s="19" t="inlineStr">
        <is>
          <t>167</t>
        </is>
      </c>
      <c r="G1354" s="19" t="n"/>
      <c r="H1354" s="19" t="inlineStr">
        <is>
          <t>2</t>
        </is>
      </c>
      <c r="I1354" s="19" t="n"/>
      <c r="J1354" s="19" t="n"/>
      <c r="K1354" s="19" t="inlineStr">
        <is>
          <t>2</t>
        </is>
      </c>
      <c r="L1354" t="inlineStr">
        <is>
          <t>2026-08-08</t>
        </is>
      </c>
      <c r="N1354" t="inlineStr">
        <is>
          <t>IN_SCOPE_FINAL; SOURCE_CFG=IA-ST-CFG-0200; MARKET=None; STATUS=IN OEM / EU PACKAGE</t>
        </is>
      </c>
      <c r="O1354" t="inlineStr">
        <is>
          <t>2026-08-10T19:29:54Z</t>
        </is>
      </c>
      <c r="P1354" t="inlineStr">
        <is>
          <t>2026-08-10T19:29:54Z</t>
        </is>
      </c>
    </row>
    <row r="1355">
      <c r="A1355" s="19" t="inlineStr">
        <is>
          <t>1354</t>
        </is>
      </c>
      <c r="B1355" s="19" t="inlineStr">
        <is>
          <t>SC-1013970-ST-068-EUR-03</t>
        </is>
      </c>
      <c r="C1355" t="inlineStr">
        <is>
          <t>1013970 → ST-068-EUR-03</t>
        </is>
      </c>
      <c r="D1355" s="19" t="inlineStr">
        <is>
          <t>2</t>
        </is>
      </c>
      <c r="E1355" s="19" t="inlineStr">
        <is>
          <t>1149</t>
        </is>
      </c>
      <c r="F1355" s="19" t="inlineStr">
        <is>
          <t>167</t>
        </is>
      </c>
      <c r="G1355" s="19" t="n"/>
      <c r="H1355" s="19" t="inlineStr">
        <is>
          <t>2</t>
        </is>
      </c>
      <c r="I1355" s="19" t="n"/>
      <c r="J1355" s="19" t="n"/>
      <c r="K1355" s="19" t="inlineStr">
        <is>
          <t>2</t>
        </is>
      </c>
      <c r="L1355" t="inlineStr">
        <is>
          <t>2026-08-08</t>
        </is>
      </c>
      <c r="N1355" t="inlineStr">
        <is>
          <t>IN_SCOPE_FINAL; SOURCE_CFG=IA-ST-CFG-0200; MARKET=None; STATUS=IN OEM / EU PACKAGE</t>
        </is>
      </c>
      <c r="O1355" t="inlineStr">
        <is>
          <t>2026-08-10T19:29:54Z</t>
        </is>
      </c>
      <c r="P1355" t="inlineStr">
        <is>
          <t>2026-08-10T19:29:54Z</t>
        </is>
      </c>
    </row>
    <row r="1356">
      <c r="A1356" s="19" t="inlineStr">
        <is>
          <t>1355</t>
        </is>
      </c>
      <c r="B1356" s="19" t="inlineStr">
        <is>
          <t>SC-1014619-ST-068-EUR-03</t>
        </is>
      </c>
      <c r="C1356" t="inlineStr">
        <is>
          <t>1014619 → ST-068-EUR-03</t>
        </is>
      </c>
      <c r="D1356" s="19" t="inlineStr">
        <is>
          <t>2</t>
        </is>
      </c>
      <c r="E1356" s="19" t="inlineStr">
        <is>
          <t>1494</t>
        </is>
      </c>
      <c r="F1356" s="19" t="inlineStr">
        <is>
          <t>167</t>
        </is>
      </c>
      <c r="G1356" s="19" t="n"/>
      <c r="H1356" s="19" t="inlineStr">
        <is>
          <t>2</t>
        </is>
      </c>
      <c r="I1356" s="19" t="n"/>
      <c r="J1356" s="19" t="n"/>
      <c r="K1356" s="19" t="inlineStr">
        <is>
          <t>2</t>
        </is>
      </c>
      <c r="L1356" t="inlineStr">
        <is>
          <t>2026-08-08</t>
        </is>
      </c>
      <c r="N1356" t="inlineStr">
        <is>
          <t>IN_SCOPE_FINAL; SOURCE_CFG=IA-ST-CFG-0200; MARKET=LAMPA ITALY İTALYA; STATUS=IN OEM / EU PACKAGE</t>
        </is>
      </c>
      <c r="O1356" t="inlineStr">
        <is>
          <t>2026-08-10T19:29:54Z</t>
        </is>
      </c>
      <c r="P1356" t="inlineStr">
        <is>
          <t>2026-08-10T19:29:54Z</t>
        </is>
      </c>
    </row>
    <row r="1357">
      <c r="A1357" s="19" t="inlineStr">
        <is>
          <t>1356</t>
        </is>
      </c>
      <c r="B1357" s="19" t="inlineStr">
        <is>
          <t>SC-1014859-ST-068-EUR-03</t>
        </is>
      </c>
      <c r="C1357" t="inlineStr">
        <is>
          <t>1014859 → ST-068-EUR-03</t>
        </is>
      </c>
      <c r="D1357" s="19" t="inlineStr">
        <is>
          <t>2</t>
        </is>
      </c>
      <c r="E1357" s="19" t="inlineStr">
        <is>
          <t>1642</t>
        </is>
      </c>
      <c r="F1357" s="19" t="inlineStr">
        <is>
          <t>167</t>
        </is>
      </c>
      <c r="G1357" s="19" t="n"/>
      <c r="H1357" s="19" t="inlineStr">
        <is>
          <t>2</t>
        </is>
      </c>
      <c r="I1357" s="19" t="n"/>
      <c r="J1357" s="19" t="n"/>
      <c r="K1357" s="19" t="inlineStr">
        <is>
          <t>2</t>
        </is>
      </c>
      <c r="L1357" t="inlineStr">
        <is>
          <t>2026-08-08</t>
        </is>
      </c>
      <c r="N1357" t="inlineStr">
        <is>
          <t>IN_SCOPE_FINAL; SOURCE_CFG=IA-ST-CFG-0200; MARKET=ALEX ARABATZIS BSA(YUNANİSTAN); STATUS=IN OEM / EU PACKAGE</t>
        </is>
      </c>
      <c r="O1357" t="inlineStr">
        <is>
          <t>2026-08-10T19:29:54Z</t>
        </is>
      </c>
      <c r="P1357" t="inlineStr">
        <is>
          <t>2026-08-10T19:29:54Z</t>
        </is>
      </c>
    </row>
    <row r="1358">
      <c r="A1358" s="19" t="inlineStr">
        <is>
          <t>1357</t>
        </is>
      </c>
      <c r="B1358" s="19" t="inlineStr">
        <is>
          <t>SC-1012890-ST-068-EUR-03</t>
        </is>
      </c>
      <c r="C1358" t="inlineStr">
        <is>
          <t>1012890 → ST-068-EUR-03</t>
        </is>
      </c>
      <c r="D1358" s="19" t="inlineStr">
        <is>
          <t>2</t>
        </is>
      </c>
      <c r="E1358" s="19" t="inlineStr">
        <is>
          <t>844</t>
        </is>
      </c>
      <c r="F1358" s="19" t="inlineStr">
        <is>
          <t>167</t>
        </is>
      </c>
      <c r="G1358" s="19" t="n"/>
      <c r="H1358" s="19" t="inlineStr">
        <is>
          <t>2</t>
        </is>
      </c>
      <c r="I1358" s="19" t="n"/>
      <c r="J1358" s="19" t="n"/>
      <c r="K1358" s="19" t="inlineStr">
        <is>
          <t>2</t>
        </is>
      </c>
      <c r="L1358" t="inlineStr">
        <is>
          <t>2026-08-08</t>
        </is>
      </c>
      <c r="N1358" t="inlineStr">
        <is>
          <t>IN_SCOPE_FINAL; SOURCE_CFG=IA-ST-CFG-0200; MARKET=LAMPA ITALY İTALYA; STATUS=IN OEM / EU PACKAGE</t>
        </is>
      </c>
      <c r="O1358" t="inlineStr">
        <is>
          <t>2026-08-10T19:29:54Z</t>
        </is>
      </c>
      <c r="P1358" t="inlineStr">
        <is>
          <t>2026-08-10T19:29:54Z</t>
        </is>
      </c>
    </row>
    <row r="1359">
      <c r="A1359" s="19" t="inlineStr">
        <is>
          <t>1358</t>
        </is>
      </c>
      <c r="B1359" s="19" t="inlineStr">
        <is>
          <t>SC-1013984-ST-068-EUR-03</t>
        </is>
      </c>
      <c r="C1359" t="inlineStr">
        <is>
          <t>1013984 → ST-068-EUR-03</t>
        </is>
      </c>
      <c r="D1359" s="19" t="inlineStr">
        <is>
          <t>2</t>
        </is>
      </c>
      <c r="E1359" s="19" t="inlineStr">
        <is>
          <t>1157</t>
        </is>
      </c>
      <c r="F1359" s="19" t="inlineStr">
        <is>
          <t>167</t>
        </is>
      </c>
      <c r="G1359" s="19" t="n"/>
      <c r="H1359" s="19" t="inlineStr">
        <is>
          <t>2</t>
        </is>
      </c>
      <c r="I1359" s="19" t="n"/>
      <c r="J1359" s="19" t="n"/>
      <c r="K1359" s="19" t="inlineStr">
        <is>
          <t>2</t>
        </is>
      </c>
      <c r="L1359" t="inlineStr">
        <is>
          <t>2026-08-08</t>
        </is>
      </c>
      <c r="N1359" t="inlineStr">
        <is>
          <t>IN_SCOPE_FINAL; SOURCE_CFG=IA-ST-CFG-0200; MARKET=None; STATUS=IN OEM / EU PACKAGE</t>
        </is>
      </c>
      <c r="O1359" t="inlineStr">
        <is>
          <t>2026-08-10T19:29:54Z</t>
        </is>
      </c>
      <c r="P1359" t="inlineStr">
        <is>
          <t>2026-08-10T19:29:54Z</t>
        </is>
      </c>
    </row>
    <row r="1360">
      <c r="A1360" s="19" t="inlineStr">
        <is>
          <t>1359</t>
        </is>
      </c>
      <c r="B1360" s="19" t="inlineStr">
        <is>
          <t>SC-1006654-ST-068-EUR-04</t>
        </is>
      </c>
      <c r="C1360" t="inlineStr">
        <is>
          <t>1006654 → ST-068-EUR-04</t>
        </is>
      </c>
      <c r="D1360" s="19" t="inlineStr">
        <is>
          <t>2</t>
        </is>
      </c>
      <c r="E1360" s="19" t="inlineStr">
        <is>
          <t>64</t>
        </is>
      </c>
      <c r="F1360" s="19" t="inlineStr">
        <is>
          <t>168</t>
        </is>
      </c>
      <c r="G1360" s="19" t="n"/>
      <c r="H1360" s="19" t="inlineStr">
        <is>
          <t>2</t>
        </is>
      </c>
      <c r="I1360" s="19" t="n"/>
      <c r="J1360" s="19" t="n"/>
      <c r="K1360" s="19" t="inlineStr">
        <is>
          <t>2</t>
        </is>
      </c>
      <c r="L1360" t="inlineStr">
        <is>
          <t>2026-08-08</t>
        </is>
      </c>
      <c r="N1360" t="inlineStr">
        <is>
          <t>IN_SCOPE_FINAL; SOURCE_CFG=IA-ST-CFG-0201; MARKET=DORFELT ALMANYA; STATUS=IN OEM / EU PACKAGE</t>
        </is>
      </c>
      <c r="O1360" t="inlineStr">
        <is>
          <t>2026-08-10T19:29:54Z</t>
        </is>
      </c>
      <c r="P1360" t="inlineStr">
        <is>
          <t>2026-08-10T19:29:54Z</t>
        </is>
      </c>
    </row>
    <row r="1361">
      <c r="A1361" s="19" t="inlineStr">
        <is>
          <t>1360</t>
        </is>
      </c>
      <c r="B1361" s="19" t="inlineStr">
        <is>
          <t>SC-1013625-ST-068-EUR-04</t>
        </is>
      </c>
      <c r="C1361" t="inlineStr">
        <is>
          <t>1013625 → ST-068-EUR-04</t>
        </is>
      </c>
      <c r="D1361" s="19" t="inlineStr">
        <is>
          <t>2</t>
        </is>
      </c>
      <c r="E1361" s="19" t="inlineStr">
        <is>
          <t>1046</t>
        </is>
      </c>
      <c r="F1361" s="19" t="inlineStr">
        <is>
          <t>168</t>
        </is>
      </c>
      <c r="G1361" s="19" t="n"/>
      <c r="H1361" s="19" t="inlineStr">
        <is>
          <t>2</t>
        </is>
      </c>
      <c r="I1361" s="19" t="n"/>
      <c r="J1361" s="19" t="n"/>
      <c r="K1361" s="19" t="inlineStr">
        <is>
          <t>2</t>
        </is>
      </c>
      <c r="L1361" t="inlineStr">
        <is>
          <t>2026-08-08</t>
        </is>
      </c>
      <c r="N1361" t="inlineStr">
        <is>
          <t>IN_SCOPE_FINAL; SOURCE_CFG=IA-ST-CFG-0201; MARKET=CAR PARTS DISTRIBUZIONE İTALYA; STATUS=IN OEM / EU PACKAGE</t>
        </is>
      </c>
      <c r="O1361" t="inlineStr">
        <is>
          <t>2026-08-10T19:29:54Z</t>
        </is>
      </c>
      <c r="P1361" t="inlineStr">
        <is>
          <t>2026-08-10T19:29:54Z</t>
        </is>
      </c>
    </row>
    <row r="1362">
      <c r="A1362" s="19" t="inlineStr">
        <is>
          <t>1361</t>
        </is>
      </c>
      <c r="B1362" s="19" t="inlineStr">
        <is>
          <t>SC-1013626-ST-068-EUR-04</t>
        </is>
      </c>
      <c r="C1362" t="inlineStr">
        <is>
          <t>1013626 → ST-068-EUR-04</t>
        </is>
      </c>
      <c r="D1362" s="19" t="inlineStr">
        <is>
          <t>2</t>
        </is>
      </c>
      <c r="E1362" s="19" t="inlineStr">
        <is>
          <t>1047</t>
        </is>
      </c>
      <c r="F1362" s="19" t="inlineStr">
        <is>
          <t>168</t>
        </is>
      </c>
      <c r="G1362" s="19" t="n"/>
      <c r="H1362" s="19" t="inlineStr">
        <is>
          <t>2</t>
        </is>
      </c>
      <c r="I1362" s="19" t="n"/>
      <c r="J1362" s="19" t="n"/>
      <c r="K1362" s="19" t="inlineStr">
        <is>
          <t>2</t>
        </is>
      </c>
      <c r="L1362" t="inlineStr">
        <is>
          <t>2026-08-08</t>
        </is>
      </c>
      <c r="N1362" t="inlineStr">
        <is>
          <t>IN_SCOPE_FINAL; SOURCE_CFG=IA-ST-CFG-0201; MARKET=CAR PARTS DISTRIBUZIONE İTALYA; STATUS=IN OEM / EU PACKAGE</t>
        </is>
      </c>
      <c r="O1362" t="inlineStr">
        <is>
          <t>2026-08-10T19:29:54Z</t>
        </is>
      </c>
      <c r="P1362" t="inlineStr">
        <is>
          <t>2026-08-10T19:29:54Z</t>
        </is>
      </c>
    </row>
    <row r="1363">
      <c r="A1363" s="19" t="inlineStr">
        <is>
          <t>1362</t>
        </is>
      </c>
      <c r="B1363" s="19" t="inlineStr">
        <is>
          <t>SC-1013632-ST-068-EUR-04</t>
        </is>
      </c>
      <c r="C1363" t="inlineStr">
        <is>
          <t>1013632 → ST-068-EUR-04</t>
        </is>
      </c>
      <c r="D1363" s="19" t="inlineStr">
        <is>
          <t>2</t>
        </is>
      </c>
      <c r="E1363" s="19" t="inlineStr">
        <is>
          <t>1050</t>
        </is>
      </c>
      <c r="F1363" s="19" t="inlineStr">
        <is>
          <t>168</t>
        </is>
      </c>
      <c r="G1363" s="19" t="n"/>
      <c r="H1363" s="19" t="inlineStr">
        <is>
          <t>2</t>
        </is>
      </c>
      <c r="I1363" s="19" t="n"/>
      <c r="J1363" s="19" t="n"/>
      <c r="K1363" s="19" t="inlineStr">
        <is>
          <t>2</t>
        </is>
      </c>
      <c r="L1363" t="inlineStr">
        <is>
          <t>2026-08-08</t>
        </is>
      </c>
      <c r="N1363" t="inlineStr">
        <is>
          <t>IN_SCOPE_FINAL; SOURCE_CFG=IA-ST-CFG-0201; MARKET=CAR PARTS DISTRIBUZIONE İTALYA; STATUS=IN OEM / EU PACKAGE</t>
        </is>
      </c>
      <c r="O1363" t="inlineStr">
        <is>
          <t>2026-08-10T19:29:54Z</t>
        </is>
      </c>
      <c r="P1363" t="inlineStr">
        <is>
          <t>2026-08-10T19:29:54Z</t>
        </is>
      </c>
    </row>
    <row r="1364">
      <c r="A1364" s="19" t="inlineStr">
        <is>
          <t>1363</t>
        </is>
      </c>
      <c r="B1364" s="19" t="inlineStr">
        <is>
          <t>SC-1013633-ST-068-EUR-04</t>
        </is>
      </c>
      <c r="C1364" t="inlineStr">
        <is>
          <t>1013633 → ST-068-EUR-04</t>
        </is>
      </c>
      <c r="D1364" s="19" t="inlineStr">
        <is>
          <t>2</t>
        </is>
      </c>
      <c r="E1364" s="19" t="inlineStr">
        <is>
          <t>1051</t>
        </is>
      </c>
      <c r="F1364" s="19" t="inlineStr">
        <is>
          <t>168</t>
        </is>
      </c>
      <c r="G1364" s="19" t="n"/>
      <c r="H1364" s="19" t="inlineStr">
        <is>
          <t>2</t>
        </is>
      </c>
      <c r="I1364" s="19" t="n"/>
      <c r="J1364" s="19" t="n"/>
      <c r="K1364" s="19" t="inlineStr">
        <is>
          <t>2</t>
        </is>
      </c>
      <c r="L1364" t="inlineStr">
        <is>
          <t>2026-08-08</t>
        </is>
      </c>
      <c r="N1364" t="inlineStr">
        <is>
          <t>IN_SCOPE_FINAL; SOURCE_CFG=IA-ST-CFG-0201; MARKET=CAR PARTS DISTRIBUZIONE İTALYA; STATUS=IN OEM / EU PACKAGE</t>
        </is>
      </c>
      <c r="O1364" t="inlineStr">
        <is>
          <t>2026-08-10T19:29:54Z</t>
        </is>
      </c>
      <c r="P1364" t="inlineStr">
        <is>
          <t>2026-08-10T19:29:54Z</t>
        </is>
      </c>
    </row>
    <row r="1365">
      <c r="A1365" s="19" t="inlineStr">
        <is>
          <t>1364</t>
        </is>
      </c>
      <c r="B1365" s="19" t="inlineStr">
        <is>
          <t>SC-1013635-ST-068-EUR-04</t>
        </is>
      </c>
      <c r="C1365" t="inlineStr">
        <is>
          <t>1013635 → ST-068-EUR-04</t>
        </is>
      </c>
      <c r="D1365" s="19" t="inlineStr">
        <is>
          <t>2</t>
        </is>
      </c>
      <c r="E1365" s="19" t="inlineStr">
        <is>
          <t>1052</t>
        </is>
      </c>
      <c r="F1365" s="19" t="inlineStr">
        <is>
          <t>168</t>
        </is>
      </c>
      <c r="G1365" s="19" t="n"/>
      <c r="H1365" s="19" t="inlineStr">
        <is>
          <t>2</t>
        </is>
      </c>
      <c r="I1365" s="19" t="n"/>
      <c r="J1365" s="19" t="n"/>
      <c r="K1365" s="19" t="inlineStr">
        <is>
          <t>2</t>
        </is>
      </c>
      <c r="L1365" t="inlineStr">
        <is>
          <t>2026-08-08</t>
        </is>
      </c>
      <c r="N1365" t="inlineStr">
        <is>
          <t>IN_SCOPE_FINAL; SOURCE_CFG=IA-ST-CFG-0201; MARKET=CAR PARTS DISTRIBUZIONE İTALYA; STATUS=IN OEM / EU PACKAGE</t>
        </is>
      </c>
      <c r="O1365" t="inlineStr">
        <is>
          <t>2026-08-10T19:29:54Z</t>
        </is>
      </c>
      <c r="P1365" t="inlineStr">
        <is>
          <t>2026-08-10T19:29:54Z</t>
        </is>
      </c>
    </row>
    <row r="1366">
      <c r="A1366" s="19" t="inlineStr">
        <is>
          <t>1365</t>
        </is>
      </c>
      <c r="B1366" s="19" t="inlineStr">
        <is>
          <t>SC-1013637-ST-068-EUR-04</t>
        </is>
      </c>
      <c r="C1366" t="inlineStr">
        <is>
          <t>1013637 → ST-068-EUR-04</t>
        </is>
      </c>
      <c r="D1366" s="19" t="inlineStr">
        <is>
          <t>2</t>
        </is>
      </c>
      <c r="E1366" s="19" t="inlineStr">
        <is>
          <t>1053</t>
        </is>
      </c>
      <c r="F1366" s="19" t="inlineStr">
        <is>
          <t>168</t>
        </is>
      </c>
      <c r="G1366" s="19" t="n"/>
      <c r="H1366" s="19" t="inlineStr">
        <is>
          <t>2</t>
        </is>
      </c>
      <c r="I1366" s="19" t="n"/>
      <c r="J1366" s="19" t="n"/>
      <c r="K1366" s="19" t="inlineStr">
        <is>
          <t>2</t>
        </is>
      </c>
      <c r="L1366" t="inlineStr">
        <is>
          <t>2026-08-08</t>
        </is>
      </c>
      <c r="N1366" t="inlineStr">
        <is>
          <t>IN_SCOPE_FINAL; SOURCE_CFG=IA-ST-CFG-0201; MARKET=CAR PARTS DISTRIBUZIONE İTALYA; STATUS=IN OEM / EU PACKAGE</t>
        </is>
      </c>
      <c r="O1366" t="inlineStr">
        <is>
          <t>2026-08-10T19:29:54Z</t>
        </is>
      </c>
      <c r="P1366" t="inlineStr">
        <is>
          <t>2026-08-10T19:29:54Z</t>
        </is>
      </c>
    </row>
    <row r="1367">
      <c r="A1367" s="19" t="inlineStr">
        <is>
          <t>1366</t>
        </is>
      </c>
      <c r="B1367" s="19" t="inlineStr">
        <is>
          <t>SC-1012624-ST-072-EUR-01</t>
        </is>
      </c>
      <c r="C1367" t="inlineStr">
        <is>
          <t>1012624 → ST-072-EUR-01</t>
        </is>
      </c>
      <c r="D1367" s="19" t="inlineStr">
        <is>
          <t>2</t>
        </is>
      </c>
      <c r="E1367" s="19" t="inlineStr">
        <is>
          <t>720</t>
        </is>
      </c>
      <c r="F1367" s="19" t="inlineStr">
        <is>
          <t>173</t>
        </is>
      </c>
      <c r="G1367" s="19" t="n"/>
      <c r="H1367" s="19" t="inlineStr">
        <is>
          <t>2</t>
        </is>
      </c>
      <c r="I1367" s="19" t="n"/>
      <c r="J1367" s="19" t="n"/>
      <c r="K1367" s="19" t="inlineStr">
        <is>
          <t>2</t>
        </is>
      </c>
      <c r="L1367" t="inlineStr">
        <is>
          <t>2026-08-08</t>
        </is>
      </c>
      <c r="N1367" t="inlineStr">
        <is>
          <t>IN_SCOPE_FINAL; SOURCE_CFG=IA-ST-CFG-0204; MARKET=START TRADING BULGARİSTAN; STATUS=IN OEM / EU PACKAGE</t>
        </is>
      </c>
      <c r="O1367" t="inlineStr">
        <is>
          <t>2026-08-10T19:29:54Z</t>
        </is>
      </c>
      <c r="P1367" t="inlineStr">
        <is>
          <t>2026-08-10T19:29:54Z</t>
        </is>
      </c>
    </row>
    <row r="1368">
      <c r="A1368" s="19" t="inlineStr">
        <is>
          <t>1367</t>
        </is>
      </c>
      <c r="B1368" s="19" t="inlineStr">
        <is>
          <t>SC-1012629-ST-072-EUR-01</t>
        </is>
      </c>
      <c r="C1368" t="inlineStr">
        <is>
          <t>1012629 → ST-072-EUR-01</t>
        </is>
      </c>
      <c r="D1368" s="19" t="inlineStr">
        <is>
          <t>2</t>
        </is>
      </c>
      <c r="E1368" s="19" t="inlineStr">
        <is>
          <t>722</t>
        </is>
      </c>
      <c r="F1368" s="19" t="inlineStr">
        <is>
          <t>173</t>
        </is>
      </c>
      <c r="G1368" s="19" t="n"/>
      <c r="H1368" s="19" t="inlineStr">
        <is>
          <t>2</t>
        </is>
      </c>
      <c r="I1368" s="19" t="n"/>
      <c r="J1368" s="19" t="n"/>
      <c r="K1368" s="19" t="inlineStr">
        <is>
          <t>2</t>
        </is>
      </c>
      <c r="L1368" t="inlineStr">
        <is>
          <t>2026-08-08</t>
        </is>
      </c>
      <c r="N1368" t="inlineStr">
        <is>
          <t>IN_SCOPE_FINAL; SOURCE_CFG=IA-ST-CFG-0204; MARKET=START TRADING BULGARİSTAN; STATUS=IN OEM / EU PACKAGE</t>
        </is>
      </c>
      <c r="O1368" t="inlineStr">
        <is>
          <t>2026-08-10T19:29:54Z</t>
        </is>
      </c>
      <c r="P1368" t="inlineStr">
        <is>
          <t>2026-08-10T19:29:54Z</t>
        </is>
      </c>
    </row>
    <row r="1369">
      <c r="A1369" s="19" t="inlineStr">
        <is>
          <t>1368</t>
        </is>
      </c>
      <c r="B1369" s="19" t="inlineStr">
        <is>
          <t>SC-1012697-ST-072-EUR-02</t>
        </is>
      </c>
      <c r="C1369" t="inlineStr">
        <is>
          <t>1012697 → ST-072-EUR-02</t>
        </is>
      </c>
      <c r="D1369" s="19" t="inlineStr">
        <is>
          <t>2</t>
        </is>
      </c>
      <c r="E1369" s="19" t="inlineStr">
        <is>
          <t>758</t>
        </is>
      </c>
      <c r="F1369" s="19" t="inlineStr">
        <is>
          <t>174</t>
        </is>
      </c>
      <c r="G1369" s="19" t="n"/>
      <c r="H1369" s="19" t="inlineStr">
        <is>
          <t>2</t>
        </is>
      </c>
      <c r="I1369" s="19" t="n"/>
      <c r="J1369" s="19" t="n"/>
      <c r="K1369" s="19" t="inlineStr">
        <is>
          <t>2</t>
        </is>
      </c>
      <c r="L1369" t="inlineStr">
        <is>
          <t>2026-08-08</t>
        </is>
      </c>
      <c r="N1369" t="inlineStr">
        <is>
          <t>IN_SCOPE_FINAL; SOURCE_CFG=IA-ST-CFG-0205; MARKET=START TRADING BULGARİSTAN; STATUS=IN OEM / EU PACKAGE</t>
        </is>
      </c>
      <c r="O1369" t="inlineStr">
        <is>
          <t>2026-08-10T19:29:54Z</t>
        </is>
      </c>
      <c r="P1369" t="inlineStr">
        <is>
          <t>2026-08-10T19:29:54Z</t>
        </is>
      </c>
    </row>
    <row r="1370">
      <c r="A1370" s="19" t="inlineStr">
        <is>
          <t>1369</t>
        </is>
      </c>
      <c r="B1370" s="19" t="inlineStr">
        <is>
          <t>SC-1012741-ST-072-EUR-03</t>
        </is>
      </c>
      <c r="C1370" t="inlineStr">
        <is>
          <t>1012741 → ST-072-EUR-03</t>
        </is>
      </c>
      <c r="D1370" s="19" t="inlineStr">
        <is>
          <t>2</t>
        </is>
      </c>
      <c r="E1370" s="19" t="inlineStr">
        <is>
          <t>776</t>
        </is>
      </c>
      <c r="F1370" s="19" t="inlineStr">
        <is>
          <t>175</t>
        </is>
      </c>
      <c r="G1370" s="19" t="n"/>
      <c r="H1370" s="19" t="inlineStr">
        <is>
          <t>2</t>
        </is>
      </c>
      <c r="I1370" s="19" t="n"/>
      <c r="J1370" s="19" t="n"/>
      <c r="K1370" s="19" t="inlineStr">
        <is>
          <t>2</t>
        </is>
      </c>
      <c r="L1370" t="inlineStr">
        <is>
          <t>2026-08-08</t>
        </is>
      </c>
      <c r="N1370" t="inlineStr">
        <is>
          <t>IN_SCOPE_FINAL; SOURCE_CFG=IA-ST-CFG-0206; MARKET=BATERIE PRZEMYSLOWE POLONYA; STATUS=IN OEM / EU PACKAGE</t>
        </is>
      </c>
      <c r="O1370" t="inlineStr">
        <is>
          <t>2026-08-10T19:29:54Z</t>
        </is>
      </c>
      <c r="P1370" t="inlineStr">
        <is>
          <t>2026-08-10T19:29:54Z</t>
        </is>
      </c>
    </row>
    <row r="1371">
      <c r="A1371" s="19" t="inlineStr">
        <is>
          <t>1370</t>
        </is>
      </c>
      <c r="B1371" s="19" t="inlineStr">
        <is>
          <t>SC-1012742-ST-072-EUR-03</t>
        </is>
      </c>
      <c r="C1371" t="inlineStr">
        <is>
          <t>1012742 → ST-072-EUR-03</t>
        </is>
      </c>
      <c r="D1371" s="19" t="inlineStr">
        <is>
          <t>2</t>
        </is>
      </c>
      <c r="E1371" s="19" t="inlineStr">
        <is>
          <t>777</t>
        </is>
      </c>
      <c r="F1371" s="19" t="inlineStr">
        <is>
          <t>175</t>
        </is>
      </c>
      <c r="G1371" s="19" t="n"/>
      <c r="H1371" s="19" t="inlineStr">
        <is>
          <t>2</t>
        </is>
      </c>
      <c r="I1371" s="19" t="n"/>
      <c r="J1371" s="19" t="n"/>
      <c r="K1371" s="19" t="inlineStr">
        <is>
          <t>2</t>
        </is>
      </c>
      <c r="L1371" t="inlineStr">
        <is>
          <t>2026-08-08</t>
        </is>
      </c>
      <c r="N1371" t="inlineStr">
        <is>
          <t>IN_SCOPE_FINAL; SOURCE_CFG=IA-ST-CFG-0206; MARKET=BATERIE PRZEMYSLOWE POLONYA; STATUS=IN OEM / EU PACKAGE</t>
        </is>
      </c>
      <c r="O1371" t="inlineStr">
        <is>
          <t>2026-08-10T19:29:54Z</t>
        </is>
      </c>
      <c r="P1371" t="inlineStr">
        <is>
          <t>2026-08-10T19:29:54Z</t>
        </is>
      </c>
    </row>
    <row r="1372">
      <c r="A1372" s="19" t="inlineStr">
        <is>
          <t>1371</t>
        </is>
      </c>
      <c r="B1372" s="19" t="inlineStr">
        <is>
          <t>SC-1014556-ST-072-EUR-03</t>
        </is>
      </c>
      <c r="C1372" t="inlineStr">
        <is>
          <t>1014556 → ST-072-EUR-03</t>
        </is>
      </c>
      <c r="D1372" s="19" t="inlineStr">
        <is>
          <t>2</t>
        </is>
      </c>
      <c r="E1372" s="19" t="inlineStr">
        <is>
          <t>1445</t>
        </is>
      </c>
      <c r="F1372" s="19" t="inlineStr">
        <is>
          <t>175</t>
        </is>
      </c>
      <c r="G1372" s="19" t="n"/>
      <c r="H1372" s="19" t="inlineStr">
        <is>
          <t>2</t>
        </is>
      </c>
      <c r="I1372" s="19" t="n"/>
      <c r="J1372" s="19" t="n"/>
      <c r="K1372" s="19" t="inlineStr">
        <is>
          <t>2</t>
        </is>
      </c>
      <c r="L1372" t="inlineStr">
        <is>
          <t>2026-08-08</t>
        </is>
      </c>
      <c r="N1372" t="inlineStr">
        <is>
          <t>IN_SCOPE_FINAL; SOURCE_CFG=IA-ST-CFG-0206; MARKET=BATERIE PRZEMYSLOWE POLONYA; STATUS=IN OEM / EU PACKAGE</t>
        </is>
      </c>
      <c r="O1372" t="inlineStr">
        <is>
          <t>2026-08-10T19:29:54Z</t>
        </is>
      </c>
      <c r="P1372" t="inlineStr">
        <is>
          <t>2026-08-10T19:29:54Z</t>
        </is>
      </c>
    </row>
    <row r="1373">
      <c r="A1373" s="19" t="inlineStr">
        <is>
          <t>1372</t>
        </is>
      </c>
      <c r="B1373" s="19" t="inlineStr">
        <is>
          <t>SC-1014557-ST-072-EUR-03</t>
        </is>
      </c>
      <c r="C1373" t="inlineStr">
        <is>
          <t>1014557 → ST-072-EUR-03</t>
        </is>
      </c>
      <c r="D1373" s="19" t="inlineStr">
        <is>
          <t>2</t>
        </is>
      </c>
      <c r="E1373" s="19" t="inlineStr">
        <is>
          <t>1446</t>
        </is>
      </c>
      <c r="F1373" s="19" t="inlineStr">
        <is>
          <t>175</t>
        </is>
      </c>
      <c r="G1373" s="19" t="n"/>
      <c r="H1373" s="19" t="inlineStr">
        <is>
          <t>2</t>
        </is>
      </c>
      <c r="I1373" s="19" t="n"/>
      <c r="J1373" s="19" t="n"/>
      <c r="K1373" s="19" t="inlineStr">
        <is>
          <t>2</t>
        </is>
      </c>
      <c r="L1373" t="inlineStr">
        <is>
          <t>2026-08-08</t>
        </is>
      </c>
      <c r="N1373" t="inlineStr">
        <is>
          <t>IN_SCOPE_FINAL; SOURCE_CFG=IA-ST-CFG-0206; MARKET=BATERIE PRZEMYSLOWE POLONYA; STATUS=IN OEM / EU PACKAGE</t>
        </is>
      </c>
      <c r="O1373" t="inlineStr">
        <is>
          <t>2026-08-10T19:29:54Z</t>
        </is>
      </c>
      <c r="P1373" t="inlineStr">
        <is>
          <t>2026-08-10T19:29:54Z</t>
        </is>
      </c>
    </row>
    <row r="1374">
      <c r="A1374" s="19" t="inlineStr">
        <is>
          <t>1373</t>
        </is>
      </c>
      <c r="B1374" s="19" t="inlineStr">
        <is>
          <t>SC-1015109-ST-072-EUR-03</t>
        </is>
      </c>
      <c r="C1374" t="inlineStr">
        <is>
          <t>1015109 → ST-072-EUR-03</t>
        </is>
      </c>
      <c r="D1374" s="19" t="inlineStr">
        <is>
          <t>2</t>
        </is>
      </c>
      <c r="E1374" s="19" t="inlineStr">
        <is>
          <t>1862</t>
        </is>
      </c>
      <c r="F1374" s="19" t="inlineStr">
        <is>
          <t>175</t>
        </is>
      </c>
      <c r="G1374" s="19" t="n"/>
      <c r="H1374" s="19" t="inlineStr">
        <is>
          <t>2</t>
        </is>
      </c>
      <c r="I1374" s="19" t="n"/>
      <c r="J1374" s="19" t="n"/>
      <c r="K1374" s="19" t="inlineStr">
        <is>
          <t>2</t>
        </is>
      </c>
      <c r="L1374" t="inlineStr">
        <is>
          <t>2026-08-08</t>
        </is>
      </c>
      <c r="N1374" t="inlineStr">
        <is>
          <t>IN_SCOPE_FINAL; SOURCE_CFG=IA-ST-CFG-0206; MARKET=BATERIE PRZEMYSLOWE POLONYA; STATUS=IN OEM / EU PACKAGE</t>
        </is>
      </c>
      <c r="O1374" t="inlineStr">
        <is>
          <t>2026-08-10T19:29:54Z</t>
        </is>
      </c>
      <c r="P1374" t="inlineStr">
        <is>
          <t>2026-08-10T19:29:54Z</t>
        </is>
      </c>
    </row>
    <row r="1375">
      <c r="A1375" s="19" t="inlineStr">
        <is>
          <t>1374</t>
        </is>
      </c>
      <c r="B1375" s="19" t="inlineStr">
        <is>
          <t>SC-1015110-ST-072-EUR-03</t>
        </is>
      </c>
      <c r="C1375" t="inlineStr">
        <is>
          <t>1015110 → ST-072-EUR-03</t>
        </is>
      </c>
      <c r="D1375" s="19" t="inlineStr">
        <is>
          <t>2</t>
        </is>
      </c>
      <c r="E1375" s="19" t="inlineStr">
        <is>
          <t>1863</t>
        </is>
      </c>
      <c r="F1375" s="19" t="inlineStr">
        <is>
          <t>175</t>
        </is>
      </c>
      <c r="G1375" s="19" t="n"/>
      <c r="H1375" s="19" t="inlineStr">
        <is>
          <t>2</t>
        </is>
      </c>
      <c r="I1375" s="19" t="n"/>
      <c r="J1375" s="19" t="n"/>
      <c r="K1375" s="19" t="inlineStr">
        <is>
          <t>2</t>
        </is>
      </c>
      <c r="L1375" t="inlineStr">
        <is>
          <t>2026-08-08</t>
        </is>
      </c>
      <c r="N1375" t="inlineStr">
        <is>
          <t>IN_SCOPE_FINAL; SOURCE_CFG=IA-ST-CFG-0206; MARKET=BATERIE PRZEMYSLOWE POLONYA; STATUS=IN OEM / EU PACKAGE</t>
        </is>
      </c>
      <c r="O1375" t="inlineStr">
        <is>
          <t>2026-08-10T19:29:54Z</t>
        </is>
      </c>
      <c r="P1375" t="inlineStr">
        <is>
          <t>2026-08-10T19:29:54Z</t>
        </is>
      </c>
    </row>
    <row r="1376">
      <c r="A1376" s="19" t="inlineStr">
        <is>
          <t>1375</t>
        </is>
      </c>
      <c r="B1376" s="19" t="inlineStr">
        <is>
          <t>SC-1015111-ST-072-EUR-03</t>
        </is>
      </c>
      <c r="C1376" t="inlineStr">
        <is>
          <t>1015111 → ST-072-EUR-03</t>
        </is>
      </c>
      <c r="D1376" s="19" t="inlineStr">
        <is>
          <t>2</t>
        </is>
      </c>
      <c r="E1376" s="19" t="inlineStr">
        <is>
          <t>1864</t>
        </is>
      </c>
      <c r="F1376" s="19" t="inlineStr">
        <is>
          <t>175</t>
        </is>
      </c>
      <c r="G1376" s="19" t="n"/>
      <c r="H1376" s="19" t="inlineStr">
        <is>
          <t>2</t>
        </is>
      </c>
      <c r="I1376" s="19" t="n"/>
      <c r="J1376" s="19" t="n"/>
      <c r="K1376" s="19" t="inlineStr">
        <is>
          <t>2</t>
        </is>
      </c>
      <c r="L1376" t="inlineStr">
        <is>
          <t>2026-08-08</t>
        </is>
      </c>
      <c r="N1376" t="inlineStr">
        <is>
          <t>IN_SCOPE_FINAL; SOURCE_CFG=IA-ST-CFG-0206; MARKET=BATERIE PRZEMYSLOWE POLONYA; STATUS=IN OEM / EU PACKAGE</t>
        </is>
      </c>
      <c r="O1376" t="inlineStr">
        <is>
          <t>2026-08-10T19:29:54Z</t>
        </is>
      </c>
      <c r="P1376" t="inlineStr">
        <is>
          <t>2026-08-10T19:29:54Z</t>
        </is>
      </c>
    </row>
    <row r="1377">
      <c r="A1377" s="19" t="inlineStr">
        <is>
          <t>1376</t>
        </is>
      </c>
      <c r="B1377" s="19" t="inlineStr">
        <is>
          <t>SC-1015262-ST-072-EUR-03</t>
        </is>
      </c>
      <c r="C1377" t="inlineStr">
        <is>
          <t>1015262 → ST-072-EUR-03</t>
        </is>
      </c>
      <c r="D1377" s="19" t="inlineStr">
        <is>
          <t>2</t>
        </is>
      </c>
      <c r="E1377" s="19" t="inlineStr">
        <is>
          <t>1995</t>
        </is>
      </c>
      <c r="F1377" s="19" t="inlineStr">
        <is>
          <t>175</t>
        </is>
      </c>
      <c r="G1377" s="19" t="n"/>
      <c r="H1377" s="19" t="inlineStr">
        <is>
          <t>2</t>
        </is>
      </c>
      <c r="I1377" s="19" t="n"/>
      <c r="J1377" s="19" t="n"/>
      <c r="K1377" s="19" t="inlineStr">
        <is>
          <t>2</t>
        </is>
      </c>
      <c r="L1377" t="inlineStr">
        <is>
          <t>2026-08-08</t>
        </is>
      </c>
      <c r="N1377" t="inlineStr">
        <is>
          <t>IN_SCOPE_FINAL; SOURCE_CFG=IA-ST-CFG-0206; MARKET=BATERIE PRZEMYSLOWE POLONYA; STATUS=IN OEM / EU PACKAGE</t>
        </is>
      </c>
      <c r="O1377" t="inlineStr">
        <is>
          <t>2026-08-10T19:29:54Z</t>
        </is>
      </c>
      <c r="P1377" t="inlineStr">
        <is>
          <t>2026-08-10T19:29:54Z</t>
        </is>
      </c>
    </row>
    <row r="1378">
      <c r="A1378" s="19" t="inlineStr">
        <is>
          <t>1377</t>
        </is>
      </c>
      <c r="B1378" s="19" t="inlineStr">
        <is>
          <t>SC-1013217-ST-072-EUR-04</t>
        </is>
      </c>
      <c r="C1378" t="inlineStr">
        <is>
          <t>1013217 → ST-072-EUR-04</t>
        </is>
      </c>
      <c r="D1378" s="19" t="inlineStr">
        <is>
          <t>2</t>
        </is>
      </c>
      <c r="E1378" s="19" t="inlineStr">
        <is>
          <t>945</t>
        </is>
      </c>
      <c r="F1378" s="19" t="inlineStr">
        <is>
          <t>176</t>
        </is>
      </c>
      <c r="G1378" s="19" t="n"/>
      <c r="H1378" s="19" t="inlineStr">
        <is>
          <t>2</t>
        </is>
      </c>
      <c r="I1378" s="19" t="n"/>
      <c r="J1378" s="19" t="n"/>
      <c r="K1378" s="19" t="inlineStr">
        <is>
          <t>2</t>
        </is>
      </c>
      <c r="L1378" t="inlineStr">
        <is>
          <t>2026-08-08</t>
        </is>
      </c>
      <c r="N1378" t="inlineStr">
        <is>
          <t>IN_SCOPE_FINAL; SOURCE_CFG=IA-ST-CFG-0209; MARKET=GY EUR; STATUS=IN OEM / EU PACKAGE</t>
        </is>
      </c>
      <c r="O1378" t="inlineStr">
        <is>
          <t>2026-08-10T19:29:54Z</t>
        </is>
      </c>
      <c r="P1378" t="inlineStr">
        <is>
          <t>2026-08-10T19:29:54Z</t>
        </is>
      </c>
    </row>
    <row r="1379">
      <c r="A1379" s="19" t="inlineStr">
        <is>
          <t>1378</t>
        </is>
      </c>
      <c r="B1379" s="19" t="inlineStr">
        <is>
          <t>SC-1013224-ST-072-EUR-04</t>
        </is>
      </c>
      <c r="C1379" t="inlineStr">
        <is>
          <t>1013224 → ST-072-EUR-04</t>
        </is>
      </c>
      <c r="D1379" s="19" t="inlineStr">
        <is>
          <t>2</t>
        </is>
      </c>
      <c r="E1379" s="19" t="inlineStr">
        <is>
          <t>951</t>
        </is>
      </c>
      <c r="F1379" s="19" t="inlineStr">
        <is>
          <t>176</t>
        </is>
      </c>
      <c r="G1379" s="19" t="n"/>
      <c r="H1379" s="19" t="inlineStr">
        <is>
          <t>2</t>
        </is>
      </c>
      <c r="I1379" s="19" t="n"/>
      <c r="J1379" s="19" t="n"/>
      <c r="K1379" s="19" t="inlineStr">
        <is>
          <t>2</t>
        </is>
      </c>
      <c r="L1379" t="inlineStr">
        <is>
          <t>2026-08-08</t>
        </is>
      </c>
      <c r="N1379" t="inlineStr">
        <is>
          <t>IN_SCOPE_FINAL; SOURCE_CFG=IA-ST-CFG-0209; MARKET=GY EUR; STATUS=IN OEM / EU PACKAGE</t>
        </is>
      </c>
      <c r="O1379" t="inlineStr">
        <is>
          <t>2026-08-10T19:29:54Z</t>
        </is>
      </c>
      <c r="P1379" t="inlineStr">
        <is>
          <t>2026-08-10T19:29:54Z</t>
        </is>
      </c>
    </row>
    <row r="1380">
      <c r="A1380" s="19" t="inlineStr">
        <is>
          <t>1379</t>
        </is>
      </c>
      <c r="B1380" s="19" t="inlineStr">
        <is>
          <t>SC-1015254-ST-072-EUR-04</t>
        </is>
      </c>
      <c r="C1380" t="inlineStr">
        <is>
          <t>1015254 → ST-072-EUR-04</t>
        </is>
      </c>
      <c r="D1380" s="19" t="inlineStr">
        <is>
          <t>2</t>
        </is>
      </c>
      <c r="E1380" s="19" t="inlineStr">
        <is>
          <t>1990</t>
        </is>
      </c>
      <c r="F1380" s="19" t="inlineStr">
        <is>
          <t>176</t>
        </is>
      </c>
      <c r="G1380" s="19" t="n"/>
      <c r="H1380" s="19" t="inlineStr">
        <is>
          <t>2</t>
        </is>
      </c>
      <c r="I1380" s="19" t="n"/>
      <c r="J1380" s="19" t="n"/>
      <c r="K1380" s="19" t="inlineStr">
        <is>
          <t>2</t>
        </is>
      </c>
      <c r="L1380" t="inlineStr">
        <is>
          <t>2026-08-08</t>
        </is>
      </c>
      <c r="N1380" t="inlineStr">
        <is>
          <t>IN_SCOPE_FINAL; SOURCE_CFG=IA-ST-CFG-0209; MARKET=GY EUR; STATUS=IN OEM / EU PACKAGE</t>
        </is>
      </c>
      <c r="O1380" t="inlineStr">
        <is>
          <t>2026-08-10T19:29:54Z</t>
        </is>
      </c>
      <c r="P1380" t="inlineStr">
        <is>
          <t>2026-08-10T19:29:54Z</t>
        </is>
      </c>
    </row>
    <row r="1381">
      <c r="A1381" s="19" t="inlineStr">
        <is>
          <t>1380</t>
        </is>
      </c>
      <c r="B1381" s="19" t="inlineStr">
        <is>
          <t>SC-1011486-ST-072-EUR-04</t>
        </is>
      </c>
      <c r="C1381" t="inlineStr">
        <is>
          <t>1011486 → ST-072-EUR-04</t>
        </is>
      </c>
      <c r="D1381" s="19" t="inlineStr">
        <is>
          <t>2</t>
        </is>
      </c>
      <c r="E1381" s="19" t="inlineStr">
        <is>
          <t>302</t>
        </is>
      </c>
      <c r="F1381" s="19" t="inlineStr">
        <is>
          <t>176</t>
        </is>
      </c>
      <c r="G1381" s="19" t="n"/>
      <c r="H1381" s="19" t="inlineStr">
        <is>
          <t>2</t>
        </is>
      </c>
      <c r="I1381" s="19" t="n"/>
      <c r="J1381" s="19" t="n"/>
      <c r="K1381" s="19" t="inlineStr">
        <is>
          <t>2</t>
        </is>
      </c>
      <c r="L1381" t="inlineStr">
        <is>
          <t>2026-08-08</t>
        </is>
      </c>
      <c r="N1381" t="inlineStr">
        <is>
          <t>IN_SCOPE_FINAL; SOURCE_CFG=IA-ST-CFG-0209; MARKET=GY EUR; STATUS=IN OEM / EU PACKAGE</t>
        </is>
      </c>
      <c r="O1381" t="inlineStr">
        <is>
          <t>2026-08-10T19:29:54Z</t>
        </is>
      </c>
      <c r="P1381" t="inlineStr">
        <is>
          <t>2026-08-10T19:29:54Z</t>
        </is>
      </c>
    </row>
    <row r="1382">
      <c r="A1382" s="19" t="inlineStr">
        <is>
          <t>1381</t>
        </is>
      </c>
      <c r="B1382" s="19" t="inlineStr">
        <is>
          <t>SC-1012125-ST-072-EUR-04</t>
        </is>
      </c>
      <c r="C1382" t="inlineStr">
        <is>
          <t>1012125 → ST-072-EUR-04</t>
        </is>
      </c>
      <c r="D1382" s="19" t="inlineStr">
        <is>
          <t>2</t>
        </is>
      </c>
      <c r="E1382" s="19" t="inlineStr">
        <is>
          <t>536</t>
        </is>
      </c>
      <c r="F1382" s="19" t="inlineStr">
        <is>
          <t>176</t>
        </is>
      </c>
      <c r="G1382" s="19" t="n"/>
      <c r="H1382" s="19" t="inlineStr">
        <is>
          <t>2</t>
        </is>
      </c>
      <c r="I1382" s="19" t="n"/>
      <c r="J1382" s="19" t="n"/>
      <c r="K1382" s="19" t="inlineStr">
        <is>
          <t>2</t>
        </is>
      </c>
      <c r="L1382" t="inlineStr">
        <is>
          <t>2026-08-08</t>
        </is>
      </c>
      <c r="N1382" t="inlineStr">
        <is>
          <t>IN_SCOPE_FINAL; SOURCE_CFG=IA-ST-CFG-0209; MARKET=GY EUR; STATUS=IN OEM / EU PACKAGE</t>
        </is>
      </c>
      <c r="O1382" t="inlineStr">
        <is>
          <t>2026-08-10T19:29:54Z</t>
        </is>
      </c>
      <c r="P1382" t="inlineStr">
        <is>
          <t>2026-08-10T19:29:54Z</t>
        </is>
      </c>
    </row>
    <row r="1383">
      <c r="A1383" s="19" t="inlineStr">
        <is>
          <t>1382</t>
        </is>
      </c>
      <c r="B1383" s="19" t="inlineStr">
        <is>
          <t>SC-1013043-ST-072-EUR-04</t>
        </is>
      </c>
      <c r="C1383" t="inlineStr">
        <is>
          <t>1013043 → ST-072-EUR-04</t>
        </is>
      </c>
      <c r="D1383" s="19" t="inlineStr">
        <is>
          <t>2</t>
        </is>
      </c>
      <c r="E1383" s="19" t="inlineStr">
        <is>
          <t>903</t>
        </is>
      </c>
      <c r="F1383" s="19" t="inlineStr">
        <is>
          <t>176</t>
        </is>
      </c>
      <c r="G1383" s="19" t="n"/>
      <c r="H1383" s="19" t="inlineStr">
        <is>
          <t>2</t>
        </is>
      </c>
      <c r="I1383" s="19" t="n"/>
      <c r="J1383" s="19" t="n"/>
      <c r="K1383" s="19" t="inlineStr">
        <is>
          <t>2</t>
        </is>
      </c>
      <c r="L1383" t="inlineStr">
        <is>
          <t>2026-08-08</t>
        </is>
      </c>
      <c r="N1383" t="inlineStr">
        <is>
          <t>IN_SCOPE_FINAL; SOURCE_CFG=IA-ST-CFG-0209; MARKET=GY EUR; STATUS=IN OEM / EU PACKAGE</t>
        </is>
      </c>
      <c r="O1383" t="inlineStr">
        <is>
          <t>2026-08-10T19:29:54Z</t>
        </is>
      </c>
      <c r="P1383" t="inlineStr">
        <is>
          <t>2026-08-10T19:29:54Z</t>
        </is>
      </c>
    </row>
    <row r="1384">
      <c r="A1384" s="19" t="inlineStr">
        <is>
          <t>1383</t>
        </is>
      </c>
      <c r="B1384" s="19" t="inlineStr">
        <is>
          <t>SC-1015209-ST-072-EUR-04</t>
        </is>
      </c>
      <c r="C1384" t="inlineStr">
        <is>
          <t>1015209 → ST-072-EUR-04</t>
        </is>
      </c>
      <c r="D1384" s="19" t="inlineStr">
        <is>
          <t>2</t>
        </is>
      </c>
      <c r="E1384" s="19" t="inlineStr">
        <is>
          <t>1947</t>
        </is>
      </c>
      <c r="F1384" s="19" t="inlineStr">
        <is>
          <t>176</t>
        </is>
      </c>
      <c r="G1384" s="19" t="n"/>
      <c r="H1384" s="19" t="inlineStr">
        <is>
          <t>2</t>
        </is>
      </c>
      <c r="I1384" s="19" t="n"/>
      <c r="J1384" s="19" t="n"/>
      <c r="K1384" s="19" t="inlineStr">
        <is>
          <t>2</t>
        </is>
      </c>
      <c r="L1384" t="inlineStr">
        <is>
          <t>2026-08-08</t>
        </is>
      </c>
      <c r="N1384" t="inlineStr">
        <is>
          <t>IN_SCOPE_FINAL; SOURCE_CFG=IA-ST-CFG-0209; MARKET=GY EUR; STATUS=IN OEM / EU PACKAGE</t>
        </is>
      </c>
      <c r="O1384" t="inlineStr">
        <is>
          <t>2026-08-10T19:29:54Z</t>
        </is>
      </c>
      <c r="P1384" t="inlineStr">
        <is>
          <t>2026-08-10T19:29:54Z</t>
        </is>
      </c>
    </row>
    <row r="1385">
      <c r="A1385" s="19" t="inlineStr">
        <is>
          <t>1384</t>
        </is>
      </c>
      <c r="B1385" s="19" t="inlineStr">
        <is>
          <t>SC-1015210-ST-072-EUR-04</t>
        </is>
      </c>
      <c r="C1385" t="inlineStr">
        <is>
          <t>1015210 → ST-072-EUR-04</t>
        </is>
      </c>
      <c r="D1385" s="19" t="inlineStr">
        <is>
          <t>2</t>
        </is>
      </c>
      <c r="E1385" s="19" t="inlineStr">
        <is>
          <t>1948</t>
        </is>
      </c>
      <c r="F1385" s="19" t="inlineStr">
        <is>
          <t>176</t>
        </is>
      </c>
      <c r="G1385" s="19" t="n"/>
      <c r="H1385" s="19" t="inlineStr">
        <is>
          <t>2</t>
        </is>
      </c>
      <c r="I1385" s="19" t="n"/>
      <c r="J1385" s="19" t="n"/>
      <c r="K1385" s="19" t="inlineStr">
        <is>
          <t>2</t>
        </is>
      </c>
      <c r="L1385" t="inlineStr">
        <is>
          <t>2026-08-08</t>
        </is>
      </c>
      <c r="N1385" t="inlineStr">
        <is>
          <t>IN_SCOPE_FINAL; SOURCE_CFG=IA-ST-CFG-0209; MARKET=GY EUR; STATUS=IN OEM / EU PACKAGE</t>
        </is>
      </c>
      <c r="O1385" t="inlineStr">
        <is>
          <t>2026-08-10T19:29:54Z</t>
        </is>
      </c>
      <c r="P1385" t="inlineStr">
        <is>
          <t>2026-08-10T19:29:54Z</t>
        </is>
      </c>
    </row>
    <row r="1386">
      <c r="A1386" s="19" t="inlineStr">
        <is>
          <t>1385</t>
        </is>
      </c>
      <c r="B1386" s="19" t="inlineStr">
        <is>
          <t>SC-1015211-ST-072-EUR-04</t>
        </is>
      </c>
      <c r="C1386" t="inlineStr">
        <is>
          <t>1015211 → ST-072-EUR-04</t>
        </is>
      </c>
      <c r="D1386" s="19" t="inlineStr">
        <is>
          <t>2</t>
        </is>
      </c>
      <c r="E1386" s="19" t="inlineStr">
        <is>
          <t>1949</t>
        </is>
      </c>
      <c r="F1386" s="19" t="inlineStr">
        <is>
          <t>176</t>
        </is>
      </c>
      <c r="G1386" s="19" t="n"/>
      <c r="H1386" s="19" t="inlineStr">
        <is>
          <t>2</t>
        </is>
      </c>
      <c r="I1386" s="19" t="n"/>
      <c r="J1386" s="19" t="n"/>
      <c r="K1386" s="19" t="inlineStr">
        <is>
          <t>2</t>
        </is>
      </c>
      <c r="L1386" t="inlineStr">
        <is>
          <t>2026-08-08</t>
        </is>
      </c>
      <c r="N1386" t="inlineStr">
        <is>
          <t>IN_SCOPE_FINAL; SOURCE_CFG=IA-ST-CFG-0209; MARKET=GY EUR; STATUS=IN OEM / EU PACKAGE</t>
        </is>
      </c>
      <c r="O1386" t="inlineStr">
        <is>
          <t>2026-08-10T19:29:54Z</t>
        </is>
      </c>
      <c r="P1386" t="inlineStr">
        <is>
          <t>2026-08-10T19:29:54Z</t>
        </is>
      </c>
    </row>
    <row r="1387">
      <c r="A1387" s="19" t="inlineStr">
        <is>
          <t>1386</t>
        </is>
      </c>
      <c r="B1387" s="19" t="inlineStr">
        <is>
          <t>SC-1013218-ST-072-EUR-04</t>
        </is>
      </c>
      <c r="C1387" t="inlineStr">
        <is>
          <t>1013218 → ST-072-EUR-04</t>
        </is>
      </c>
      <c r="D1387" s="19" t="inlineStr">
        <is>
          <t>2</t>
        </is>
      </c>
      <c r="E1387" s="19" t="inlineStr">
        <is>
          <t>946</t>
        </is>
      </c>
      <c r="F1387" s="19" t="inlineStr">
        <is>
          <t>176</t>
        </is>
      </c>
      <c r="G1387" s="19" t="n"/>
      <c r="H1387" s="19" t="inlineStr">
        <is>
          <t>2</t>
        </is>
      </c>
      <c r="I1387" s="19" t="n"/>
      <c r="J1387" s="19" t="n"/>
      <c r="K1387" s="19" t="inlineStr">
        <is>
          <t>2</t>
        </is>
      </c>
      <c r="L1387" t="inlineStr">
        <is>
          <t>2026-08-08</t>
        </is>
      </c>
      <c r="N1387" t="inlineStr">
        <is>
          <t>IN_SCOPE_FINAL; SOURCE_CFG=IA-ST-CFG-0209; MARKET=GY EUR; STATUS=IN OEM / EU PACKAGE</t>
        </is>
      </c>
      <c r="O1387" t="inlineStr">
        <is>
          <t>2026-08-10T19:29:54Z</t>
        </is>
      </c>
      <c r="P1387" t="inlineStr">
        <is>
          <t>2026-08-10T19:29:54Z</t>
        </is>
      </c>
    </row>
    <row r="1388">
      <c r="A1388" s="19" t="inlineStr">
        <is>
          <t>1387</t>
        </is>
      </c>
      <c r="B1388" s="19" t="inlineStr">
        <is>
          <t>SC-1012099-ST-072-EUR-04</t>
        </is>
      </c>
      <c r="C1388" t="inlineStr">
        <is>
          <t>1012099 → ST-072-EUR-04</t>
        </is>
      </c>
      <c r="D1388" s="19" t="inlineStr">
        <is>
          <t>2</t>
        </is>
      </c>
      <c r="E1388" s="19" t="inlineStr">
        <is>
          <t>520</t>
        </is>
      </c>
      <c r="F1388" s="19" t="inlineStr">
        <is>
          <t>176</t>
        </is>
      </c>
      <c r="G1388" s="19" t="n"/>
      <c r="H1388" s="19" t="inlineStr">
        <is>
          <t>2</t>
        </is>
      </c>
      <c r="I1388" s="19" t="n"/>
      <c r="J1388" s="19" t="n"/>
      <c r="K1388" s="19" t="inlineStr">
        <is>
          <t>2</t>
        </is>
      </c>
      <c r="L1388" t="inlineStr">
        <is>
          <t>2026-08-08</t>
        </is>
      </c>
      <c r="N1388" t="inlineStr">
        <is>
          <t>IN_SCOPE_FINAL; SOURCE_CFG=IA-ST-CFG-0209; MARKET=PSA (Yurt Dışı); STATUS=IN OEM / EU PACKAGE</t>
        </is>
      </c>
      <c r="O1388" t="inlineStr">
        <is>
          <t>2026-08-10T19:29:54Z</t>
        </is>
      </c>
      <c r="P1388" t="inlineStr">
        <is>
          <t>2026-08-10T19:29:54Z</t>
        </is>
      </c>
    </row>
    <row r="1389">
      <c r="A1389" s="19" t="inlineStr">
        <is>
          <t>1388</t>
        </is>
      </c>
      <c r="B1389" s="19" t="inlineStr">
        <is>
          <t>SC-1012111-ST-072-EUR-04</t>
        </is>
      </c>
      <c r="C1389" t="inlineStr">
        <is>
          <t>1012111 → ST-072-EUR-04</t>
        </is>
      </c>
      <c r="D1389" s="19" t="inlineStr">
        <is>
          <t>2</t>
        </is>
      </c>
      <c r="E1389" s="19" t="inlineStr">
        <is>
          <t>531</t>
        </is>
      </c>
      <c r="F1389" s="19" t="inlineStr">
        <is>
          <t>176</t>
        </is>
      </c>
      <c r="G1389" s="19" t="n"/>
      <c r="H1389" s="19" t="inlineStr">
        <is>
          <t>2</t>
        </is>
      </c>
      <c r="I1389" s="19" t="n"/>
      <c r="J1389" s="19" t="n"/>
      <c r="K1389" s="19" t="inlineStr">
        <is>
          <t>2</t>
        </is>
      </c>
      <c r="L1389" t="inlineStr">
        <is>
          <t>2026-08-08</t>
        </is>
      </c>
      <c r="N1389" t="inlineStr">
        <is>
          <t>IN_SCOPE_FINAL; SOURCE_CFG=IA-ST-CFG-0209; MARKET=PSA (Yurt Dışı); STATUS=IN OEM / EU PACKAGE</t>
        </is>
      </c>
      <c r="O1389" t="inlineStr">
        <is>
          <t>2026-08-10T19:29:54Z</t>
        </is>
      </c>
      <c r="P1389" t="inlineStr">
        <is>
          <t>2026-08-10T19:29:54Z</t>
        </is>
      </c>
    </row>
    <row r="1390">
      <c r="A1390" s="19" t="inlineStr">
        <is>
          <t>1389</t>
        </is>
      </c>
      <c r="B1390" s="19" t="inlineStr">
        <is>
          <t>SC-1012959-ST-072-EUR-04</t>
        </is>
      </c>
      <c r="C1390" t="inlineStr">
        <is>
          <t>1012959 → ST-072-EUR-04</t>
        </is>
      </c>
      <c r="D1390" s="19" t="inlineStr">
        <is>
          <t>2</t>
        </is>
      </c>
      <c r="E1390" s="19" t="inlineStr">
        <is>
          <t>882</t>
        </is>
      </c>
      <c r="F1390" s="19" t="inlineStr">
        <is>
          <t>176</t>
        </is>
      </c>
      <c r="G1390" s="19" t="n"/>
      <c r="H1390" s="19" t="inlineStr">
        <is>
          <t>2</t>
        </is>
      </c>
      <c r="I1390" s="19" t="n"/>
      <c r="J1390" s="19" t="n"/>
      <c r="K1390" s="19" t="inlineStr">
        <is>
          <t>2</t>
        </is>
      </c>
      <c r="L1390" t="inlineStr">
        <is>
          <t>2026-08-08</t>
        </is>
      </c>
      <c r="N1390" t="inlineStr">
        <is>
          <t>IN_SCOPE_FINAL; SOURCE_CFG=IA-ST-CFG-0209; MARKET=GS; STATUS=IN OEM / EU PACKAGE</t>
        </is>
      </c>
      <c r="O1390" t="inlineStr">
        <is>
          <t>2026-08-10T19:29:54Z</t>
        </is>
      </c>
      <c r="P1390" t="inlineStr">
        <is>
          <t>2026-08-10T19:29:54Z</t>
        </is>
      </c>
    </row>
    <row r="1391">
      <c r="A1391" s="19" t="inlineStr">
        <is>
          <t>1390</t>
        </is>
      </c>
      <c r="B1391" s="19" t="inlineStr">
        <is>
          <t>SC-1014976-ST-072-EUR-04</t>
        </is>
      </c>
      <c r="C1391" t="inlineStr">
        <is>
          <t>1014976 → ST-072-EUR-04</t>
        </is>
      </c>
      <c r="D1391" s="19" t="inlineStr">
        <is>
          <t>2</t>
        </is>
      </c>
      <c r="E1391" s="19" t="inlineStr">
        <is>
          <t>1742</t>
        </is>
      </c>
      <c r="F1391" s="19" t="inlineStr">
        <is>
          <t>176</t>
        </is>
      </c>
      <c r="G1391" s="19" t="n"/>
      <c r="H1391" s="19" t="inlineStr">
        <is>
          <t>2</t>
        </is>
      </c>
      <c r="I1391" s="19" t="n"/>
      <c r="J1391" s="19" t="n"/>
      <c r="K1391" s="19" t="inlineStr">
        <is>
          <t>2</t>
        </is>
      </c>
      <c r="L1391" t="inlineStr">
        <is>
          <t>2026-08-08</t>
        </is>
      </c>
      <c r="N1391" t="inlineStr">
        <is>
          <t>IN_SCOPE_FINAL; SOURCE_CFG=IA-ST-CFG-0209; MARKET=GS; STATUS=IN OEM / EU PACKAGE</t>
        </is>
      </c>
      <c r="O1391" t="inlineStr">
        <is>
          <t>2026-08-10T19:29:54Z</t>
        </is>
      </c>
      <c r="P1391" t="inlineStr">
        <is>
          <t>2026-08-10T19:29:54Z</t>
        </is>
      </c>
    </row>
    <row r="1392">
      <c r="A1392" s="19" t="inlineStr">
        <is>
          <t>1391</t>
        </is>
      </c>
      <c r="B1392" s="19" t="inlineStr">
        <is>
          <t>SC-1015174-ST-072-EUR-04</t>
        </is>
      </c>
      <c r="C1392" t="inlineStr">
        <is>
          <t>1015174 → ST-072-EUR-04</t>
        </is>
      </c>
      <c r="D1392" s="19" t="inlineStr">
        <is>
          <t>2</t>
        </is>
      </c>
      <c r="E1392" s="19" t="inlineStr">
        <is>
          <t>1919</t>
        </is>
      </c>
      <c r="F1392" s="19" t="inlineStr">
        <is>
          <t>176</t>
        </is>
      </c>
      <c r="G1392" s="19" t="n"/>
      <c r="H1392" s="19" t="inlineStr">
        <is>
          <t>2</t>
        </is>
      </c>
      <c r="I1392" s="19" t="n"/>
      <c r="J1392" s="19" t="n"/>
      <c r="K1392" s="19" t="inlineStr">
        <is>
          <t>2</t>
        </is>
      </c>
      <c r="L1392" t="inlineStr">
        <is>
          <t>2026-08-08</t>
        </is>
      </c>
      <c r="N1392" t="inlineStr">
        <is>
          <t>IN_SCOPE_FINAL; SOURCE_CFG=IA-ST-CFG-0209; MARKET=GY NRD (ADN BALTIC NORDIC); STATUS=IN OEM / EU PACKAGE</t>
        </is>
      </c>
      <c r="O1392" t="inlineStr">
        <is>
          <t>2026-08-10T19:29:54Z</t>
        </is>
      </c>
      <c r="P1392" t="inlineStr">
        <is>
          <t>2026-08-10T19:29:54Z</t>
        </is>
      </c>
    </row>
    <row r="1393">
      <c r="A1393" s="19" t="inlineStr">
        <is>
          <t>1392</t>
        </is>
      </c>
      <c r="B1393" s="19" t="inlineStr">
        <is>
          <t>SC-1012958-ST-072-EUR-04</t>
        </is>
      </c>
      <c r="C1393" t="inlineStr">
        <is>
          <t>1012958 → ST-072-EUR-04</t>
        </is>
      </c>
      <c r="D1393" s="19" t="inlineStr">
        <is>
          <t>2</t>
        </is>
      </c>
      <c r="E1393" s="19" t="inlineStr">
        <is>
          <t>881</t>
        </is>
      </c>
      <c r="F1393" s="19" t="inlineStr">
        <is>
          <t>176</t>
        </is>
      </c>
      <c r="G1393" s="19" t="n"/>
      <c r="H1393" s="19" t="inlineStr">
        <is>
          <t>2</t>
        </is>
      </c>
      <c r="I1393" s="19" t="n"/>
      <c r="J1393" s="19" t="n"/>
      <c r="K1393" s="19" t="inlineStr">
        <is>
          <t>2</t>
        </is>
      </c>
      <c r="L1393" t="inlineStr">
        <is>
          <t>2026-08-08</t>
        </is>
      </c>
      <c r="N1393" t="inlineStr">
        <is>
          <t>IN_SCOPE_FINAL; SOURCE_CFG=IA-ST-CFG-0209; MARKET=GS; STATUS=IN OEM / EU PACKAGE</t>
        </is>
      </c>
      <c r="O1393" t="inlineStr">
        <is>
          <t>2026-08-10T19:29:54Z</t>
        </is>
      </c>
      <c r="P1393" t="inlineStr">
        <is>
          <t>2026-08-10T19:29:54Z</t>
        </is>
      </c>
    </row>
    <row r="1394">
      <c r="A1394" s="19" t="inlineStr">
        <is>
          <t>1393</t>
        </is>
      </c>
      <c r="B1394" s="19" t="inlineStr">
        <is>
          <t>SC-1014975-ST-072-EUR-04</t>
        </is>
      </c>
      <c r="C1394" t="inlineStr">
        <is>
          <t>1014975 → ST-072-EUR-04</t>
        </is>
      </c>
      <c r="D1394" s="19" t="inlineStr">
        <is>
          <t>2</t>
        </is>
      </c>
      <c r="E1394" s="19" t="inlineStr">
        <is>
          <t>1741</t>
        </is>
      </c>
      <c r="F1394" s="19" t="inlineStr">
        <is>
          <t>176</t>
        </is>
      </c>
      <c r="G1394" s="19" t="n"/>
      <c r="H1394" s="19" t="inlineStr">
        <is>
          <t>2</t>
        </is>
      </c>
      <c r="I1394" s="19" t="n"/>
      <c r="J1394" s="19" t="n"/>
      <c r="K1394" s="19" t="inlineStr">
        <is>
          <t>2</t>
        </is>
      </c>
      <c r="L1394" t="inlineStr">
        <is>
          <t>2026-08-08</t>
        </is>
      </c>
      <c r="N1394" t="inlineStr">
        <is>
          <t>IN_SCOPE_FINAL; SOURCE_CFG=IA-ST-CFG-0209; MARKET=GS; STATUS=IN OEM / EU PACKAGE</t>
        </is>
      </c>
      <c r="O1394" t="inlineStr">
        <is>
          <t>2026-08-10T19:29:54Z</t>
        </is>
      </c>
      <c r="P1394" t="inlineStr">
        <is>
          <t>2026-08-10T19:29:54Z</t>
        </is>
      </c>
    </row>
    <row r="1395">
      <c r="A1395" s="19" t="inlineStr">
        <is>
          <t>1394</t>
        </is>
      </c>
      <c r="B1395" s="19" t="inlineStr">
        <is>
          <t>SC-1015175-ST-072-EUR-04</t>
        </is>
      </c>
      <c r="C1395" t="inlineStr">
        <is>
          <t>1015175 → ST-072-EUR-04</t>
        </is>
      </c>
      <c r="D1395" s="19" t="inlineStr">
        <is>
          <t>2</t>
        </is>
      </c>
      <c r="E1395" s="19" t="inlineStr">
        <is>
          <t>1920</t>
        </is>
      </c>
      <c r="F1395" s="19" t="inlineStr">
        <is>
          <t>176</t>
        </is>
      </c>
      <c r="G1395" s="19" t="n"/>
      <c r="H1395" s="19" t="inlineStr">
        <is>
          <t>2</t>
        </is>
      </c>
      <c r="I1395" s="19" t="n"/>
      <c r="J1395" s="19" t="n"/>
      <c r="K1395" s="19" t="inlineStr">
        <is>
          <t>2</t>
        </is>
      </c>
      <c r="L1395" t="inlineStr">
        <is>
          <t>2026-08-08</t>
        </is>
      </c>
      <c r="N1395" t="inlineStr">
        <is>
          <t>IN_SCOPE_FINAL; SOURCE_CFG=IA-ST-CFG-0209; MARKET=GY NRD (ADN BALTIC NORDIC); STATUS=IN OEM / EU PACKAGE</t>
        </is>
      </c>
      <c r="O1395" t="inlineStr">
        <is>
          <t>2026-08-10T19:29:54Z</t>
        </is>
      </c>
      <c r="P1395" t="inlineStr">
        <is>
          <t>2026-08-10T19:29:54Z</t>
        </is>
      </c>
    </row>
    <row r="1396">
      <c r="A1396" s="19" t="inlineStr">
        <is>
          <t>1395</t>
        </is>
      </c>
      <c r="B1396" s="19" t="inlineStr">
        <is>
          <t>SC-1012957-ST-072-EUR-04</t>
        </is>
      </c>
      <c r="C1396" t="inlineStr">
        <is>
          <t>1012957 → ST-072-EUR-04</t>
        </is>
      </c>
      <c r="D1396" s="19" t="inlineStr">
        <is>
          <t>2</t>
        </is>
      </c>
      <c r="E1396" s="19" t="inlineStr">
        <is>
          <t>880</t>
        </is>
      </c>
      <c r="F1396" s="19" t="inlineStr">
        <is>
          <t>176</t>
        </is>
      </c>
      <c r="G1396" s="19" t="n"/>
      <c r="H1396" s="19" t="inlineStr">
        <is>
          <t>2</t>
        </is>
      </c>
      <c r="I1396" s="19" t="n"/>
      <c r="J1396" s="19" t="n"/>
      <c r="K1396" s="19" t="inlineStr">
        <is>
          <t>2</t>
        </is>
      </c>
      <c r="L1396" t="inlineStr">
        <is>
          <t>2026-08-08</t>
        </is>
      </c>
      <c r="N1396" t="inlineStr">
        <is>
          <t>IN_SCOPE_FINAL; SOURCE_CFG=IA-ST-CFG-0209; MARKET=GS; STATUS=IN OEM / EU PACKAGE</t>
        </is>
      </c>
      <c r="O1396" t="inlineStr">
        <is>
          <t>2026-08-10T19:29:54Z</t>
        </is>
      </c>
      <c r="P1396" t="inlineStr">
        <is>
          <t>2026-08-10T19:29:54Z</t>
        </is>
      </c>
    </row>
    <row r="1397">
      <c r="A1397" s="19" t="inlineStr">
        <is>
          <t>1396</t>
        </is>
      </c>
      <c r="B1397" s="19" t="inlineStr">
        <is>
          <t>SC-1014974-ST-072-EUR-04</t>
        </is>
      </c>
      <c r="C1397" t="inlineStr">
        <is>
          <t>1014974 → ST-072-EUR-04</t>
        </is>
      </c>
      <c r="D1397" s="19" t="inlineStr">
        <is>
          <t>2</t>
        </is>
      </c>
      <c r="E1397" s="19" t="inlineStr">
        <is>
          <t>1740</t>
        </is>
      </c>
      <c r="F1397" s="19" t="inlineStr">
        <is>
          <t>176</t>
        </is>
      </c>
      <c r="G1397" s="19" t="n"/>
      <c r="H1397" s="19" t="inlineStr">
        <is>
          <t>2</t>
        </is>
      </c>
      <c r="I1397" s="19" t="n"/>
      <c r="J1397" s="19" t="n"/>
      <c r="K1397" s="19" t="inlineStr">
        <is>
          <t>2</t>
        </is>
      </c>
      <c r="L1397" t="inlineStr">
        <is>
          <t>2026-08-08</t>
        </is>
      </c>
      <c r="N1397" t="inlineStr">
        <is>
          <t>IN_SCOPE_FINAL; SOURCE_CFG=IA-ST-CFG-0209; MARKET=GS; STATUS=IN OEM / EU PACKAGE</t>
        </is>
      </c>
      <c r="O1397" t="inlineStr">
        <is>
          <t>2026-08-10T19:29:54Z</t>
        </is>
      </c>
      <c r="P1397" t="inlineStr">
        <is>
          <t>2026-08-10T19:29:54Z</t>
        </is>
      </c>
    </row>
    <row r="1398">
      <c r="A1398" s="19" t="inlineStr">
        <is>
          <t>1397</t>
        </is>
      </c>
      <c r="B1398" s="19" t="inlineStr">
        <is>
          <t>SC-1014367-ST-072-EUR-04</t>
        </is>
      </c>
      <c r="C1398" t="inlineStr">
        <is>
          <t>1014367 → ST-072-EUR-04</t>
        </is>
      </c>
      <c r="D1398" s="19" t="inlineStr">
        <is>
          <t>2</t>
        </is>
      </c>
      <c r="E1398" s="19" t="inlineStr">
        <is>
          <t>1323</t>
        </is>
      </c>
      <c r="F1398" s="19" t="inlineStr">
        <is>
          <t>176</t>
        </is>
      </c>
      <c r="G1398" s="19" t="n"/>
      <c r="H1398" s="19" t="inlineStr">
        <is>
          <t>2</t>
        </is>
      </c>
      <c r="I1398" s="19" t="n"/>
      <c r="J1398" s="19" t="n"/>
      <c r="K1398" s="19" t="inlineStr">
        <is>
          <t>2</t>
        </is>
      </c>
      <c r="L1398" t="inlineStr">
        <is>
          <t>2026-08-08</t>
        </is>
      </c>
      <c r="N1398" t="inlineStr">
        <is>
          <t>IN_SCOPE_FINAL; SOURCE_CFG=IA-ST-CFG-0209; MARKET=GY EUR; STATUS=IN OEM / EU PACKAGE</t>
        </is>
      </c>
      <c r="O1398" t="inlineStr">
        <is>
          <t>2026-08-10T19:29:54Z</t>
        </is>
      </c>
      <c r="P1398" t="inlineStr">
        <is>
          <t>2026-08-10T19:29:54Z</t>
        </is>
      </c>
    </row>
    <row r="1399">
      <c r="A1399" s="19" t="inlineStr">
        <is>
          <t>1398</t>
        </is>
      </c>
      <c r="B1399" s="19" t="inlineStr">
        <is>
          <t>SC-1012055-ST-072-STD-01</t>
        </is>
      </c>
      <c r="C1399" t="inlineStr">
        <is>
          <t>1012055 → ST-072-STD-01</t>
        </is>
      </c>
      <c r="D1399" s="19" t="inlineStr">
        <is>
          <t>2</t>
        </is>
      </c>
      <c r="E1399" s="19" t="inlineStr">
        <is>
          <t>501</t>
        </is>
      </c>
      <c r="F1399" s="19" t="inlineStr">
        <is>
          <t>179</t>
        </is>
      </c>
      <c r="G1399" s="19" t="n"/>
      <c r="H1399" s="19" t="inlineStr">
        <is>
          <t>2</t>
        </is>
      </c>
      <c r="I1399" s="19" t="n"/>
      <c r="J1399" s="19" t="n"/>
      <c r="K1399" s="19" t="inlineStr">
        <is>
          <t>2</t>
        </is>
      </c>
      <c r="L1399" t="inlineStr">
        <is>
          <t>2026-08-08</t>
        </is>
      </c>
      <c r="N1399" t="inlineStr">
        <is>
          <t>IN_SCOPE_FINAL; SOURCE_CFG=IA-ST-CFG-0210; MARKET=MISIR ATWAN; STATUS=IN OEM / EU PACKAGE</t>
        </is>
      </c>
      <c r="O1399" t="inlineStr">
        <is>
          <t>2026-08-10T19:29:54Z</t>
        </is>
      </c>
      <c r="P1399" t="inlineStr">
        <is>
          <t>2026-08-10T19:29:54Z</t>
        </is>
      </c>
    </row>
    <row r="1400">
      <c r="A1400" s="19" t="inlineStr">
        <is>
          <t>1399</t>
        </is>
      </c>
      <c r="B1400" s="19" t="inlineStr">
        <is>
          <t>SC-1012057-ST-072-STD-01</t>
        </is>
      </c>
      <c r="C1400" t="inlineStr">
        <is>
          <t>1012057 → ST-072-STD-01</t>
        </is>
      </c>
      <c r="D1400" s="19" t="inlineStr">
        <is>
          <t>2</t>
        </is>
      </c>
      <c r="E1400" s="19" t="inlineStr">
        <is>
          <t>503</t>
        </is>
      </c>
      <c r="F1400" s="19" t="inlineStr">
        <is>
          <t>179</t>
        </is>
      </c>
      <c r="G1400" s="19" t="n"/>
      <c r="H1400" s="19" t="inlineStr">
        <is>
          <t>2</t>
        </is>
      </c>
      <c r="I1400" s="19" t="n"/>
      <c r="J1400" s="19" t="n"/>
      <c r="K1400" s="19" t="inlineStr">
        <is>
          <t>2</t>
        </is>
      </c>
      <c r="L1400" t="inlineStr">
        <is>
          <t>2026-08-08</t>
        </is>
      </c>
      <c r="N1400" t="inlineStr">
        <is>
          <t>IN_SCOPE_FINAL; SOURCE_CFG=IA-ST-CFG-0210; MARKET=MISIR ATWAN; STATUS=IN OEM / EU PACKAGE</t>
        </is>
      </c>
      <c r="O1400" t="inlineStr">
        <is>
          <t>2026-08-10T19:29:54Z</t>
        </is>
      </c>
      <c r="P1400" t="inlineStr">
        <is>
          <t>2026-08-10T19:29:54Z</t>
        </is>
      </c>
    </row>
    <row r="1401">
      <c r="A1401" s="19" t="inlineStr">
        <is>
          <t>1400</t>
        </is>
      </c>
      <c r="B1401" s="19" t="inlineStr">
        <is>
          <t>SC-1011186-ST-072-STD-02</t>
        </is>
      </c>
      <c r="C1401" t="inlineStr">
        <is>
          <t>1011186 → ST-072-STD-02</t>
        </is>
      </c>
      <c r="D1401" s="19" t="inlineStr">
        <is>
          <t>2</t>
        </is>
      </c>
      <c r="E1401" s="19" t="inlineStr">
        <is>
          <t>258</t>
        </is>
      </c>
      <c r="F1401" s="19" t="inlineStr">
        <is>
          <t>180</t>
        </is>
      </c>
      <c r="G1401" s="19" t="n"/>
      <c r="H1401" s="19" t="inlineStr">
        <is>
          <t>2</t>
        </is>
      </c>
      <c r="I1401" s="19" t="n"/>
      <c r="J1401" s="19" t="n"/>
      <c r="K1401" s="19" t="inlineStr">
        <is>
          <t>2</t>
        </is>
      </c>
      <c r="L1401" t="inlineStr">
        <is>
          <t>2026-08-08</t>
        </is>
      </c>
      <c r="N1401" t="inlineStr">
        <is>
          <t>IN_SCOPE_FINAL; SOURCE_CFG=IA-ST-CFG-0211; MARKET=YURT İÇİ AFM; STATUS=IN OEM / EU PACKAGE</t>
        </is>
      </c>
      <c r="O1401" t="inlineStr">
        <is>
          <t>2026-08-10T19:29:54Z</t>
        </is>
      </c>
      <c r="P1401" t="inlineStr">
        <is>
          <t>2026-08-10T19:29:54Z</t>
        </is>
      </c>
    </row>
    <row r="1402">
      <c r="A1402" s="19" t="inlineStr">
        <is>
          <t>1401</t>
        </is>
      </c>
      <c r="B1402" s="19" t="inlineStr">
        <is>
          <t>SC-1011187-ST-072-STD-03</t>
        </is>
      </c>
      <c r="C1402" t="inlineStr">
        <is>
          <t>1011187 → ST-072-STD-03</t>
        </is>
      </c>
      <c r="D1402" s="19" t="inlineStr">
        <is>
          <t>2</t>
        </is>
      </c>
      <c r="E1402" s="19" t="inlineStr">
        <is>
          <t>259</t>
        </is>
      </c>
      <c r="F1402" s="19" t="inlineStr">
        <is>
          <t>181</t>
        </is>
      </c>
      <c r="G1402" s="19" t="n"/>
      <c r="H1402" s="19" t="inlineStr">
        <is>
          <t>2</t>
        </is>
      </c>
      <c r="I1402" s="19" t="n"/>
      <c r="J1402" s="19" t="n"/>
      <c r="K1402" s="19" t="inlineStr">
        <is>
          <t>2</t>
        </is>
      </c>
      <c r="L1402" t="inlineStr">
        <is>
          <t>2026-08-08</t>
        </is>
      </c>
      <c r="N1402" t="inlineStr">
        <is>
          <t>IN_SCOPE_FINAL; SOURCE_CFG=IA-ST-CFG-0212; MARKET=YURT İÇİ AFM; STATUS=IN OEM / EU PACKAGE</t>
        </is>
      </c>
      <c r="O1402" t="inlineStr">
        <is>
          <t>2026-08-10T19:29:54Z</t>
        </is>
      </c>
      <c r="P1402" t="inlineStr">
        <is>
          <t>2026-08-10T19:29:54Z</t>
        </is>
      </c>
    </row>
    <row r="1403">
      <c r="A1403" s="19" t="inlineStr">
        <is>
          <t>1402</t>
        </is>
      </c>
      <c r="B1403" s="19" t="inlineStr">
        <is>
          <t>SC-1014797-ST-072-STD-04</t>
        </is>
      </c>
      <c r="C1403" t="inlineStr">
        <is>
          <t>1014797 → ST-072-STD-04</t>
        </is>
      </c>
      <c r="D1403" s="19" t="inlineStr">
        <is>
          <t>2</t>
        </is>
      </c>
      <c r="E1403" s="19" t="inlineStr">
        <is>
          <t>1615</t>
        </is>
      </c>
      <c r="F1403" s="19" t="inlineStr">
        <is>
          <t>182</t>
        </is>
      </c>
      <c r="G1403" s="19" t="n"/>
      <c r="H1403" s="19" t="inlineStr">
        <is>
          <t>2</t>
        </is>
      </c>
      <c r="I1403" s="19" t="n"/>
      <c r="J1403" s="19" t="n"/>
      <c r="K1403" s="19" t="inlineStr">
        <is>
          <t>2</t>
        </is>
      </c>
      <c r="L1403" t="inlineStr">
        <is>
          <t>2026-08-08</t>
        </is>
      </c>
      <c r="N1403" t="inlineStr">
        <is>
          <t>IN_SCOPE_FINAL; SOURCE_CFG=IA-ST-CFG-0213; MARKET=YURT İÇİ AFM; STATUS=IN OEM / EU PACKAGE</t>
        </is>
      </c>
      <c r="O1403" t="inlineStr">
        <is>
          <t>2026-08-10T19:29:54Z</t>
        </is>
      </c>
      <c r="P1403" t="inlineStr">
        <is>
          <t>2026-08-10T19:29:54Z</t>
        </is>
      </c>
    </row>
    <row r="1404">
      <c r="A1404" s="19" t="inlineStr">
        <is>
          <t>1403</t>
        </is>
      </c>
      <c r="B1404" s="19" t="inlineStr">
        <is>
          <t>SC-1014400-ST-072-STD-05</t>
        </is>
      </c>
      <c r="C1404" t="inlineStr">
        <is>
          <t>1014400 → ST-072-STD-05</t>
        </is>
      </c>
      <c r="D1404" s="19" t="inlineStr">
        <is>
          <t>2</t>
        </is>
      </c>
      <c r="E1404" s="19" t="inlineStr">
        <is>
          <t>1349</t>
        </is>
      </c>
      <c r="F1404" s="19" t="inlineStr">
        <is>
          <t>183</t>
        </is>
      </c>
      <c r="G1404" s="19" t="n"/>
      <c r="H1404" s="19" t="inlineStr">
        <is>
          <t>2</t>
        </is>
      </c>
      <c r="I1404" s="19" t="n"/>
      <c r="J1404" s="19" t="n"/>
      <c r="K1404" s="19" t="inlineStr">
        <is>
          <t>2</t>
        </is>
      </c>
      <c r="L1404" t="inlineStr">
        <is>
          <t>2026-08-08</t>
        </is>
      </c>
      <c r="N1404" t="inlineStr">
        <is>
          <t>IN_SCOPE_FINAL; SOURCE_CFG=IA-ST-CFG-0214; MARKET=YURT İÇİ AFM; STATUS=IN OEM / EU PACKAGE</t>
        </is>
      </c>
      <c r="O1404" t="inlineStr">
        <is>
          <t>2026-08-10T19:29:54Z</t>
        </is>
      </c>
      <c r="P1404" t="inlineStr">
        <is>
          <t>2026-08-10T19:29:54Z</t>
        </is>
      </c>
    </row>
    <row r="1405">
      <c r="A1405" s="19" t="inlineStr">
        <is>
          <t>1404</t>
        </is>
      </c>
      <c r="B1405" s="19" t="inlineStr">
        <is>
          <t>SC-1014650-ST-072-STD-06</t>
        </is>
      </c>
      <c r="C1405" t="inlineStr">
        <is>
          <t>1014650 → ST-072-STD-06</t>
        </is>
      </c>
      <c r="D1405" s="19" t="inlineStr">
        <is>
          <t>2</t>
        </is>
      </c>
      <c r="E1405" s="19" t="inlineStr">
        <is>
          <t>1509</t>
        </is>
      </c>
      <c r="F1405" s="19" t="inlineStr">
        <is>
          <t>184</t>
        </is>
      </c>
      <c r="G1405" s="19" t="n"/>
      <c r="H1405" s="19" t="inlineStr">
        <is>
          <t>2</t>
        </is>
      </c>
      <c r="I1405" s="19" t="n"/>
      <c r="J1405" s="19" t="n"/>
      <c r="K1405" s="19" t="inlineStr">
        <is>
          <t>2</t>
        </is>
      </c>
      <c r="L1405" t="inlineStr">
        <is>
          <t>2026-08-08</t>
        </is>
      </c>
      <c r="N1405" t="inlineStr">
        <is>
          <t>IN_SCOPE_FINAL; SOURCE_CFG=IA-ST-CFG-0215; MARKET=None; STATUS=IN OEM / EU PACKAGE</t>
        </is>
      </c>
      <c r="O1405" t="inlineStr">
        <is>
          <t>2026-08-10T19:29:54Z</t>
        </is>
      </c>
      <c r="P1405" t="inlineStr">
        <is>
          <t>2026-08-10T19:29:54Z</t>
        </is>
      </c>
    </row>
    <row r="1406">
      <c r="A1406" s="19" t="inlineStr">
        <is>
          <t>1405</t>
        </is>
      </c>
      <c r="B1406" s="19" t="inlineStr">
        <is>
          <t>SC-1013965-ST-072-STD-07</t>
        </is>
      </c>
      <c r="C1406" t="inlineStr">
        <is>
          <t>1013965 → ST-072-STD-07</t>
        </is>
      </c>
      <c r="D1406" s="19" t="inlineStr">
        <is>
          <t>2</t>
        </is>
      </c>
      <c r="E1406" s="19" t="inlineStr">
        <is>
          <t>1145</t>
        </is>
      </c>
      <c r="F1406" s="19" t="inlineStr">
        <is>
          <t>185</t>
        </is>
      </c>
      <c r="G1406" s="19" t="n"/>
      <c r="H1406" s="19" t="inlineStr">
        <is>
          <t>2</t>
        </is>
      </c>
      <c r="I1406" s="19" t="n"/>
      <c r="J1406" s="19" t="n"/>
      <c r="K1406" s="19" t="inlineStr">
        <is>
          <t>2</t>
        </is>
      </c>
      <c r="L1406" t="inlineStr">
        <is>
          <t>2026-08-08</t>
        </is>
      </c>
      <c r="N1406" t="inlineStr">
        <is>
          <t>IN_SCOPE_FINAL; SOURCE_CFG=IA-ST-CFG-0216; MARKET=REDMAY URUGUAY; STATUS=IN OEM / EU PACKAGE</t>
        </is>
      </c>
      <c r="O1406" t="inlineStr">
        <is>
          <t>2026-08-10T19:29:54Z</t>
        </is>
      </c>
      <c r="P1406" t="inlineStr">
        <is>
          <t>2026-08-10T19:29:54Z</t>
        </is>
      </c>
    </row>
    <row r="1407">
      <c r="A1407" s="19" t="inlineStr">
        <is>
          <t>1406</t>
        </is>
      </c>
      <c r="B1407" s="19" t="inlineStr">
        <is>
          <t>SC-1015267-ST-072-STD-08</t>
        </is>
      </c>
      <c r="C1407" t="inlineStr">
        <is>
          <t>1015267 → ST-072-STD-08</t>
        </is>
      </c>
      <c r="D1407" s="19" t="inlineStr">
        <is>
          <t>2</t>
        </is>
      </c>
      <c r="E1407" s="19" t="inlineStr">
        <is>
          <t>2000</t>
        </is>
      </c>
      <c r="F1407" s="19" t="inlineStr">
        <is>
          <t>186</t>
        </is>
      </c>
      <c r="G1407" s="19" t="n"/>
      <c r="H1407" s="19" t="inlineStr">
        <is>
          <t>2</t>
        </is>
      </c>
      <c r="I1407" s="19" t="n"/>
      <c r="J1407" s="19" t="n"/>
      <c r="K1407" s="19" t="inlineStr">
        <is>
          <t>2</t>
        </is>
      </c>
      <c r="L1407" t="inlineStr">
        <is>
          <t>2026-08-08</t>
        </is>
      </c>
      <c r="N1407" t="inlineStr">
        <is>
          <t>IN_SCOPE_FINAL; SOURCE_CFG=IA-ST-CFG-0217; MARKET=CONTINENTAL USA; STATUS=IN OEM / EU PACKAGE</t>
        </is>
      </c>
      <c r="O1407" t="inlineStr">
        <is>
          <t>2026-08-10T19:29:54Z</t>
        </is>
      </c>
      <c r="P1407" t="inlineStr">
        <is>
          <t>2026-08-10T19:29:54Z</t>
        </is>
      </c>
    </row>
    <row r="1408">
      <c r="A1408" s="19" t="inlineStr">
        <is>
          <t>1407</t>
        </is>
      </c>
      <c r="B1408" s="19" t="inlineStr">
        <is>
          <t>SC-1014443-ST-072-STD-09</t>
        </is>
      </c>
      <c r="C1408" t="inlineStr">
        <is>
          <t>1014443 → ST-072-STD-09</t>
        </is>
      </c>
      <c r="D1408" s="19" t="inlineStr">
        <is>
          <t>2</t>
        </is>
      </c>
      <c r="E1408" s="19" t="inlineStr">
        <is>
          <t>1385</t>
        </is>
      </c>
      <c r="F1408" s="19" t="inlineStr">
        <is>
          <t>187</t>
        </is>
      </c>
      <c r="G1408" s="19" t="n"/>
      <c r="H1408" s="19" t="inlineStr">
        <is>
          <t>2</t>
        </is>
      </c>
      <c r="I1408" s="19" t="n"/>
      <c r="J1408" s="19" t="n"/>
      <c r="K1408" s="19" t="inlineStr">
        <is>
          <t>2</t>
        </is>
      </c>
      <c r="L1408" t="inlineStr">
        <is>
          <t>2026-08-08</t>
        </is>
      </c>
      <c r="N1408" t="inlineStr">
        <is>
          <t>IN_SCOPE_FINAL; SOURCE_CFG=IA-ST-CFG-0218; MARKET=YUASA 3000 EXPORT TÜRKMENİSTAN; STATUS=IN OEM / EU PACKAGE</t>
        </is>
      </c>
      <c r="O1408" t="inlineStr">
        <is>
          <t>2026-08-10T19:29:54Z</t>
        </is>
      </c>
      <c r="P1408" t="inlineStr">
        <is>
          <t>2026-08-10T19:29:54Z</t>
        </is>
      </c>
    </row>
    <row r="1409">
      <c r="A1409" s="19" t="inlineStr">
        <is>
          <t>1408</t>
        </is>
      </c>
      <c r="B1409" s="19" t="inlineStr">
        <is>
          <t>SC-1013319-ST-072-STD-10</t>
        </is>
      </c>
      <c r="C1409" t="inlineStr">
        <is>
          <t>1013319 → ST-072-STD-10</t>
        </is>
      </c>
      <c r="D1409" s="19" t="inlineStr">
        <is>
          <t>2</t>
        </is>
      </c>
      <c r="E1409" s="19" t="inlineStr">
        <is>
          <t>975</t>
        </is>
      </c>
      <c r="F1409" s="19" t="inlineStr">
        <is>
          <t>188</t>
        </is>
      </c>
      <c r="G1409" s="19" t="n"/>
      <c r="H1409" s="19" t="inlineStr">
        <is>
          <t>2</t>
        </is>
      </c>
      <c r="I1409" s="19" t="n"/>
      <c r="J1409" s="19" t="n"/>
      <c r="K1409" s="19" t="inlineStr">
        <is>
          <t>2</t>
        </is>
      </c>
      <c r="L1409" t="inlineStr">
        <is>
          <t>2026-08-08</t>
        </is>
      </c>
      <c r="N1409" t="inlineStr">
        <is>
          <t>IN_SCOPE_FINAL; SOURCE_CFG=IA-ST-CFG-0219; MARKET=YUASA 3000 EXPORT; STATUS=IN OEM / EU PACKAGE</t>
        </is>
      </c>
      <c r="O1409" t="inlineStr">
        <is>
          <t>2026-08-10T19:29:54Z</t>
        </is>
      </c>
      <c r="P1409" t="inlineStr">
        <is>
          <t>2026-08-10T19:29:54Z</t>
        </is>
      </c>
    </row>
    <row r="1410">
      <c r="A1410" s="19" t="inlineStr">
        <is>
          <t>1409</t>
        </is>
      </c>
      <c r="B1410" s="19" t="inlineStr">
        <is>
          <t>SC-1014327-ST-072-STD-10</t>
        </is>
      </c>
      <c r="C1410" t="inlineStr">
        <is>
          <t>1014327 → ST-072-STD-10</t>
        </is>
      </c>
      <c r="D1410" s="19" t="inlineStr">
        <is>
          <t>2</t>
        </is>
      </c>
      <c r="E1410" s="19" t="inlineStr">
        <is>
          <t>1305</t>
        </is>
      </c>
      <c r="F1410" s="19" t="inlineStr">
        <is>
          <t>188</t>
        </is>
      </c>
      <c r="G1410" s="19" t="n"/>
      <c r="H1410" s="19" t="inlineStr">
        <is>
          <t>2</t>
        </is>
      </c>
      <c r="I1410" s="19" t="n"/>
      <c r="J1410" s="19" t="n"/>
      <c r="K1410" s="19" t="inlineStr">
        <is>
          <t>2</t>
        </is>
      </c>
      <c r="L1410" t="inlineStr">
        <is>
          <t>2026-08-08</t>
        </is>
      </c>
      <c r="N1410" t="inlineStr">
        <is>
          <t>IN_SCOPE_FINAL; SOURCE_CFG=IA-ST-CFG-0219; MARKET=RAYA ENERGY INC. KANADA; STATUS=IN OEM / EU PACKAGE</t>
        </is>
      </c>
      <c r="O1410" t="inlineStr">
        <is>
          <t>2026-08-10T19:29:54Z</t>
        </is>
      </c>
      <c r="P1410" t="inlineStr">
        <is>
          <t>2026-08-10T19:29:54Z</t>
        </is>
      </c>
    </row>
    <row r="1411">
      <c r="A1411" s="19" t="inlineStr">
        <is>
          <t>1410</t>
        </is>
      </c>
      <c r="B1411" s="19" t="inlineStr">
        <is>
          <t>SC-1014597-ST-072-STD-10</t>
        </is>
      </c>
      <c r="C1411" t="inlineStr">
        <is>
          <t>1014597 → ST-072-STD-10</t>
        </is>
      </c>
      <c r="D1411" s="19" t="inlineStr">
        <is>
          <t>2</t>
        </is>
      </c>
      <c r="E1411" s="19" t="inlineStr">
        <is>
          <t>1482</t>
        </is>
      </c>
      <c r="F1411" s="19" t="inlineStr">
        <is>
          <t>188</t>
        </is>
      </c>
      <c r="G1411" s="19" t="n"/>
      <c r="H1411" s="19" t="inlineStr">
        <is>
          <t>2</t>
        </is>
      </c>
      <c r="I1411" s="19" t="n"/>
      <c r="J1411" s="19" t="n"/>
      <c r="K1411" s="19" t="inlineStr">
        <is>
          <t>2</t>
        </is>
      </c>
      <c r="L1411" t="inlineStr">
        <is>
          <t>2026-08-08</t>
        </is>
      </c>
      <c r="N1411" t="inlineStr">
        <is>
          <t>IN_SCOPE_FINAL; SOURCE_CFG=IA-ST-CFG-0219; MARKET=RAYA ENERGY INC. KANADA; STATUS=IN OEM / EU PACKAGE</t>
        </is>
      </c>
      <c r="O1411" t="inlineStr">
        <is>
          <t>2026-08-10T19:29:54Z</t>
        </is>
      </c>
      <c r="P1411" t="inlineStr">
        <is>
          <t>2026-08-10T19:29:54Z</t>
        </is>
      </c>
    </row>
    <row r="1412">
      <c r="A1412" s="19" t="inlineStr">
        <is>
          <t>1411</t>
        </is>
      </c>
      <c r="B1412" s="19" t="inlineStr">
        <is>
          <t>SC-1014598-ST-072-STD-10</t>
        </is>
      </c>
      <c r="C1412" t="inlineStr">
        <is>
          <t>1014598 → ST-072-STD-10</t>
        </is>
      </c>
      <c r="D1412" s="19" t="inlineStr">
        <is>
          <t>2</t>
        </is>
      </c>
      <c r="E1412" s="19" t="inlineStr">
        <is>
          <t>1483</t>
        </is>
      </c>
      <c r="F1412" s="19" t="inlineStr">
        <is>
          <t>188</t>
        </is>
      </c>
      <c r="G1412" s="19" t="n"/>
      <c r="H1412" s="19" t="inlineStr">
        <is>
          <t>2</t>
        </is>
      </c>
      <c r="I1412" s="19" t="n"/>
      <c r="J1412" s="19" t="n"/>
      <c r="K1412" s="19" t="inlineStr">
        <is>
          <t>2</t>
        </is>
      </c>
      <c r="L1412" t="inlineStr">
        <is>
          <t>2026-08-08</t>
        </is>
      </c>
      <c r="N1412" t="inlineStr">
        <is>
          <t>IN_SCOPE_FINAL; SOURCE_CFG=IA-ST-CFG-0219; MARKET=RAYA ENERGY INC. KANADA; STATUS=IN OEM / EU PACKAGE</t>
        </is>
      </c>
      <c r="O1412" t="inlineStr">
        <is>
          <t>2026-08-10T19:29:54Z</t>
        </is>
      </c>
      <c r="P1412" t="inlineStr">
        <is>
          <t>2026-08-10T19:29:54Z</t>
        </is>
      </c>
    </row>
    <row r="1413">
      <c r="A1413" s="19" t="inlineStr">
        <is>
          <t>1412</t>
        </is>
      </c>
      <c r="B1413" s="19" t="inlineStr">
        <is>
          <t>SC-1009980-ST-072-STD-10</t>
        </is>
      </c>
      <c r="C1413" t="inlineStr">
        <is>
          <t>1009980 → ST-072-STD-10</t>
        </is>
      </c>
      <c r="D1413" s="19" t="inlineStr">
        <is>
          <t>2</t>
        </is>
      </c>
      <c r="E1413" s="19" t="inlineStr">
        <is>
          <t>136</t>
        </is>
      </c>
      <c r="F1413" s="19" t="inlineStr">
        <is>
          <t>188</t>
        </is>
      </c>
      <c r="G1413" s="19" t="n"/>
      <c r="H1413" s="19" t="inlineStr">
        <is>
          <t>2</t>
        </is>
      </c>
      <c r="I1413" s="19" t="n"/>
      <c r="J1413" s="19" t="n"/>
      <c r="K1413" s="19" t="inlineStr">
        <is>
          <t>2</t>
        </is>
      </c>
      <c r="L1413" t="inlineStr">
        <is>
          <t>2026-08-08</t>
        </is>
      </c>
      <c r="N1413" t="inlineStr">
        <is>
          <t>IN_SCOPE_FINAL; SOURCE_CFG=IA-ST-CFG-0219; MARKET=REY &amp; LENFERNA LUCAS; STATUS=IN OEM / EU PACKAGE</t>
        </is>
      </c>
      <c r="O1413" t="inlineStr">
        <is>
          <t>2026-08-10T19:29:54Z</t>
        </is>
      </c>
      <c r="P1413" t="inlineStr">
        <is>
          <t>2026-08-10T19:29:54Z</t>
        </is>
      </c>
    </row>
    <row r="1414">
      <c r="A1414" s="19" t="inlineStr">
        <is>
          <t>1413</t>
        </is>
      </c>
      <c r="B1414" s="19" t="inlineStr">
        <is>
          <t>SC-1011548-ST-072-STD-10</t>
        </is>
      </c>
      <c r="C1414" t="inlineStr">
        <is>
          <t>1011548 → ST-072-STD-10</t>
        </is>
      </c>
      <c r="D1414" s="19" t="inlineStr">
        <is>
          <t>2</t>
        </is>
      </c>
      <c r="E1414" s="19" t="inlineStr">
        <is>
          <t>306</t>
        </is>
      </c>
      <c r="F1414" s="19" t="inlineStr">
        <is>
          <t>188</t>
        </is>
      </c>
      <c r="G1414" s="19" t="n"/>
      <c r="H1414" s="19" t="inlineStr">
        <is>
          <t>2</t>
        </is>
      </c>
      <c r="I1414" s="19" t="n"/>
      <c r="J1414" s="19" t="n"/>
      <c r="K1414" s="19" t="inlineStr">
        <is>
          <t>2</t>
        </is>
      </c>
      <c r="L1414" t="inlineStr">
        <is>
          <t>2026-08-08</t>
        </is>
      </c>
      <c r="N1414" t="inlineStr">
        <is>
          <t>IN_SCOPE_FINAL; SOURCE_CFG=IA-ST-CFG-0219; MARKET=None; STATUS=IN OEM / EU PACKAGE</t>
        </is>
      </c>
      <c r="O1414" t="inlineStr">
        <is>
          <t>2026-08-10T19:29:54Z</t>
        </is>
      </c>
      <c r="P1414" t="inlineStr">
        <is>
          <t>2026-08-10T19:29:54Z</t>
        </is>
      </c>
    </row>
    <row r="1415">
      <c r="A1415" s="19" t="inlineStr">
        <is>
          <t>1414</t>
        </is>
      </c>
      <c r="B1415" s="19" t="inlineStr">
        <is>
          <t>SC-1011632-ST-072-STD-10</t>
        </is>
      </c>
      <c r="C1415" t="inlineStr">
        <is>
          <t>1011632 → ST-072-STD-10</t>
        </is>
      </c>
      <c r="D1415" s="19" t="inlineStr">
        <is>
          <t>2</t>
        </is>
      </c>
      <c r="E1415" s="19" t="inlineStr">
        <is>
          <t>326</t>
        </is>
      </c>
      <c r="F1415" s="19" t="inlineStr">
        <is>
          <t>188</t>
        </is>
      </c>
      <c r="G1415" s="19" t="n"/>
      <c r="H1415" s="19" t="inlineStr">
        <is>
          <t>2</t>
        </is>
      </c>
      <c r="I1415" s="19" t="n"/>
      <c r="J1415" s="19" t="n"/>
      <c r="K1415" s="19" t="inlineStr">
        <is>
          <t>2</t>
        </is>
      </c>
      <c r="L1415" t="inlineStr">
        <is>
          <t>2026-08-08</t>
        </is>
      </c>
      <c r="N1415" t="inlineStr">
        <is>
          <t>IN_SCOPE_FINAL; SOURCE_CFG=IA-ST-CFG-0219; MARKET=NASA; STATUS=IN OEM / EU PACKAGE</t>
        </is>
      </c>
      <c r="O1415" t="inlineStr">
        <is>
          <t>2026-08-10T19:29:54Z</t>
        </is>
      </c>
      <c r="P1415" t="inlineStr">
        <is>
          <t>2026-08-10T19:29:54Z</t>
        </is>
      </c>
    </row>
    <row r="1416">
      <c r="A1416" s="19" t="inlineStr">
        <is>
          <t>1415</t>
        </is>
      </c>
      <c r="B1416" s="19" t="inlineStr">
        <is>
          <t>SC-1011785-ST-072-STD-10</t>
        </is>
      </c>
      <c r="C1416" t="inlineStr">
        <is>
          <t>1011785 → ST-072-STD-10</t>
        </is>
      </c>
      <c r="D1416" s="19" t="inlineStr">
        <is>
          <t>2</t>
        </is>
      </c>
      <c r="E1416" s="19" t="inlineStr">
        <is>
          <t>340</t>
        </is>
      </c>
      <c r="F1416" s="19" t="inlineStr">
        <is>
          <t>188</t>
        </is>
      </c>
      <c r="G1416" s="19" t="n"/>
      <c r="H1416" s="19" t="inlineStr">
        <is>
          <t>2</t>
        </is>
      </c>
      <c r="I1416" s="19" t="n"/>
      <c r="J1416" s="19" t="n"/>
      <c r="K1416" s="19" t="inlineStr">
        <is>
          <t>2</t>
        </is>
      </c>
      <c r="L1416" t="inlineStr">
        <is>
          <t>2026-08-08</t>
        </is>
      </c>
      <c r="N1416" t="inlineStr">
        <is>
          <t>IN_SCOPE_FINAL; SOURCE_CFG=IA-ST-CFG-0219; MARKET=NASA; STATUS=IN OEM / EU PACKAGE</t>
        </is>
      </c>
      <c r="O1416" t="inlineStr">
        <is>
          <t>2026-08-10T19:29:54Z</t>
        </is>
      </c>
      <c r="P1416" t="inlineStr">
        <is>
          <t>2026-08-10T19:29:54Z</t>
        </is>
      </c>
    </row>
    <row r="1417">
      <c r="A1417" s="19" t="inlineStr">
        <is>
          <t>1416</t>
        </is>
      </c>
      <c r="B1417" s="19" t="inlineStr">
        <is>
          <t>SC-1011786-ST-072-STD-10</t>
        </is>
      </c>
      <c r="C1417" t="inlineStr">
        <is>
          <t>1011786 → ST-072-STD-10</t>
        </is>
      </c>
      <c r="D1417" s="19" t="inlineStr">
        <is>
          <t>2</t>
        </is>
      </c>
      <c r="E1417" s="19" t="inlineStr">
        <is>
          <t>341</t>
        </is>
      </c>
      <c r="F1417" s="19" t="inlineStr">
        <is>
          <t>188</t>
        </is>
      </c>
      <c r="G1417" s="19" t="n"/>
      <c r="H1417" s="19" t="inlineStr">
        <is>
          <t>2</t>
        </is>
      </c>
      <c r="I1417" s="19" t="n"/>
      <c r="J1417" s="19" t="n"/>
      <c r="K1417" s="19" t="inlineStr">
        <is>
          <t>2</t>
        </is>
      </c>
      <c r="L1417" t="inlineStr">
        <is>
          <t>2026-08-08</t>
        </is>
      </c>
      <c r="N1417" t="inlineStr">
        <is>
          <t>IN_SCOPE_FINAL; SOURCE_CFG=IA-ST-CFG-0219; MARKET=None; STATUS=IN OEM / EU PACKAGE</t>
        </is>
      </c>
      <c r="O1417" t="inlineStr">
        <is>
          <t>2026-08-10T19:29:54Z</t>
        </is>
      </c>
      <c r="P1417" t="inlineStr">
        <is>
          <t>2026-08-10T19:29:54Z</t>
        </is>
      </c>
    </row>
    <row r="1418">
      <c r="A1418" s="19" t="inlineStr">
        <is>
          <t>1417</t>
        </is>
      </c>
      <c r="B1418" s="19" t="inlineStr">
        <is>
          <t>SC-1011787-ST-072-STD-10</t>
        </is>
      </c>
      <c r="C1418" t="inlineStr">
        <is>
          <t>1011787 → ST-072-STD-10</t>
        </is>
      </c>
      <c r="D1418" s="19" t="inlineStr">
        <is>
          <t>2</t>
        </is>
      </c>
      <c r="E1418" s="19" t="inlineStr">
        <is>
          <t>342</t>
        </is>
      </c>
      <c r="F1418" s="19" t="inlineStr">
        <is>
          <t>188</t>
        </is>
      </c>
      <c r="G1418" s="19" t="n"/>
      <c r="H1418" s="19" t="inlineStr">
        <is>
          <t>2</t>
        </is>
      </c>
      <c r="I1418" s="19" t="n"/>
      <c r="J1418" s="19" t="n"/>
      <c r="K1418" s="19" t="inlineStr">
        <is>
          <t>2</t>
        </is>
      </c>
      <c r="L1418" t="inlineStr">
        <is>
          <t>2026-08-08</t>
        </is>
      </c>
      <c r="N1418" t="inlineStr">
        <is>
          <t>IN_SCOPE_FINAL; SOURCE_CFG=IA-ST-CFG-0219; MARKET=None; STATUS=IN OEM / EU PACKAGE</t>
        </is>
      </c>
      <c r="O1418" t="inlineStr">
        <is>
          <t>2026-08-10T19:29:54Z</t>
        </is>
      </c>
      <c r="P1418" t="inlineStr">
        <is>
          <t>2026-08-10T19:29:54Z</t>
        </is>
      </c>
    </row>
    <row r="1419">
      <c r="A1419" s="19" t="inlineStr">
        <is>
          <t>1418</t>
        </is>
      </c>
      <c r="B1419" s="19" t="inlineStr">
        <is>
          <t>SC-1011788-ST-072-STD-10</t>
        </is>
      </c>
      <c r="C1419" t="inlineStr">
        <is>
          <t>1011788 → ST-072-STD-10</t>
        </is>
      </c>
      <c r="D1419" s="19" t="inlineStr">
        <is>
          <t>2</t>
        </is>
      </c>
      <c r="E1419" s="19" t="inlineStr">
        <is>
          <t>343</t>
        </is>
      </c>
      <c r="F1419" s="19" t="inlineStr">
        <is>
          <t>188</t>
        </is>
      </c>
      <c r="G1419" s="19" t="n"/>
      <c r="H1419" s="19" t="inlineStr">
        <is>
          <t>2</t>
        </is>
      </c>
      <c r="I1419" s="19" t="n"/>
      <c r="J1419" s="19" t="n"/>
      <c r="K1419" s="19" t="inlineStr">
        <is>
          <t>2</t>
        </is>
      </c>
      <c r="L1419" t="inlineStr">
        <is>
          <t>2026-08-08</t>
        </is>
      </c>
      <c r="N1419" t="inlineStr">
        <is>
          <t>IN_SCOPE_FINAL; SOURCE_CFG=IA-ST-CFG-0219; MARKET=JANENE İSRAİL; STATUS=IN OEM / EU PACKAGE</t>
        </is>
      </c>
      <c r="O1419" t="inlineStr">
        <is>
          <t>2026-08-10T19:29:54Z</t>
        </is>
      </c>
      <c r="P1419" t="inlineStr">
        <is>
          <t>2026-08-10T19:29:54Z</t>
        </is>
      </c>
    </row>
    <row r="1420">
      <c r="A1420" s="19" t="inlineStr">
        <is>
          <t>1419</t>
        </is>
      </c>
      <c r="B1420" s="19" t="inlineStr">
        <is>
          <t>SC-1011790-ST-072-STD-10</t>
        </is>
      </c>
      <c r="C1420" t="inlineStr">
        <is>
          <t>1011790 → ST-072-STD-10</t>
        </is>
      </c>
      <c r="D1420" s="19" t="inlineStr">
        <is>
          <t>2</t>
        </is>
      </c>
      <c r="E1420" s="19" t="inlineStr">
        <is>
          <t>344</t>
        </is>
      </c>
      <c r="F1420" s="19" t="inlineStr">
        <is>
          <t>188</t>
        </is>
      </c>
      <c r="G1420" s="19" t="n"/>
      <c r="H1420" s="19" t="inlineStr">
        <is>
          <t>2</t>
        </is>
      </c>
      <c r="I1420" s="19" t="n"/>
      <c r="J1420" s="19" t="n"/>
      <c r="K1420" s="19" t="inlineStr">
        <is>
          <t>2</t>
        </is>
      </c>
      <c r="L1420" t="inlineStr">
        <is>
          <t>2026-08-08</t>
        </is>
      </c>
      <c r="N1420" t="inlineStr">
        <is>
          <t>IN_SCOPE_FINAL; SOURCE_CFG=IA-ST-CFG-0219; MARKET=None; STATUS=IN OEM / EU PACKAGE</t>
        </is>
      </c>
      <c r="O1420" t="inlineStr">
        <is>
          <t>2026-08-10T19:29:54Z</t>
        </is>
      </c>
      <c r="P1420" t="inlineStr">
        <is>
          <t>2026-08-10T19:29:54Z</t>
        </is>
      </c>
    </row>
    <row r="1421">
      <c r="A1421" s="19" t="inlineStr">
        <is>
          <t>1420</t>
        </is>
      </c>
      <c r="B1421" s="19" t="inlineStr">
        <is>
          <t>SC-1011791-ST-072-STD-10</t>
        </is>
      </c>
      <c r="C1421" t="inlineStr">
        <is>
          <t>1011791 → ST-072-STD-10</t>
        </is>
      </c>
      <c r="D1421" s="19" t="inlineStr">
        <is>
          <t>2</t>
        </is>
      </c>
      <c r="E1421" s="19" t="inlineStr">
        <is>
          <t>345</t>
        </is>
      </c>
      <c r="F1421" s="19" t="inlineStr">
        <is>
          <t>188</t>
        </is>
      </c>
      <c r="G1421" s="19" t="n"/>
      <c r="H1421" s="19" t="inlineStr">
        <is>
          <t>2</t>
        </is>
      </c>
      <c r="I1421" s="19" t="n"/>
      <c r="J1421" s="19" t="n"/>
      <c r="K1421" s="19" t="inlineStr">
        <is>
          <t>2</t>
        </is>
      </c>
      <c r="L1421" t="inlineStr">
        <is>
          <t>2026-08-08</t>
        </is>
      </c>
      <c r="N1421" t="inlineStr">
        <is>
          <t>IN_SCOPE_FINAL; SOURCE_CFG=IA-ST-CFG-0219; MARKET=None; STATUS=IN OEM / EU PACKAGE</t>
        </is>
      </c>
      <c r="O1421" t="inlineStr">
        <is>
          <t>2026-08-10T19:29:54Z</t>
        </is>
      </c>
      <c r="P1421" t="inlineStr">
        <is>
          <t>2026-08-10T19:29:54Z</t>
        </is>
      </c>
    </row>
    <row r="1422">
      <c r="A1422" s="19" t="inlineStr">
        <is>
          <t>1421</t>
        </is>
      </c>
      <c r="B1422" s="19" t="inlineStr">
        <is>
          <t>SC-1011792-ST-072-STD-10</t>
        </is>
      </c>
      <c r="C1422" t="inlineStr">
        <is>
          <t>1011792 → ST-072-STD-10</t>
        </is>
      </c>
      <c r="D1422" s="19" t="inlineStr">
        <is>
          <t>2</t>
        </is>
      </c>
      <c r="E1422" s="19" t="inlineStr">
        <is>
          <t>346</t>
        </is>
      </c>
      <c r="F1422" s="19" t="inlineStr">
        <is>
          <t>188</t>
        </is>
      </c>
      <c r="G1422" s="19" t="n"/>
      <c r="H1422" s="19" t="inlineStr">
        <is>
          <t>2</t>
        </is>
      </c>
      <c r="I1422" s="19" t="n"/>
      <c r="J1422" s="19" t="n"/>
      <c r="K1422" s="19" t="inlineStr">
        <is>
          <t>2</t>
        </is>
      </c>
      <c r="L1422" t="inlineStr">
        <is>
          <t>2026-08-08</t>
        </is>
      </c>
      <c r="N1422" t="inlineStr">
        <is>
          <t>IN_SCOPE_FINAL; SOURCE_CFG=IA-ST-CFG-0219; MARKET=MISIR AL AMAN; STATUS=IN OEM / EU PACKAGE</t>
        </is>
      </c>
      <c r="O1422" t="inlineStr">
        <is>
          <t>2026-08-10T19:29:54Z</t>
        </is>
      </c>
      <c r="P1422" t="inlineStr">
        <is>
          <t>2026-08-10T19:29:54Z</t>
        </is>
      </c>
    </row>
    <row r="1423">
      <c r="A1423" s="19" t="inlineStr">
        <is>
          <t>1422</t>
        </is>
      </c>
      <c r="B1423" s="19" t="inlineStr">
        <is>
          <t>SC-1011795-ST-072-STD-10</t>
        </is>
      </c>
      <c r="C1423" t="inlineStr">
        <is>
          <t>1011795 → ST-072-STD-10</t>
        </is>
      </c>
      <c r="D1423" s="19" t="inlineStr">
        <is>
          <t>2</t>
        </is>
      </c>
      <c r="E1423" s="19" t="inlineStr">
        <is>
          <t>347</t>
        </is>
      </c>
      <c r="F1423" s="19" t="inlineStr">
        <is>
          <t>188</t>
        </is>
      </c>
      <c r="G1423" s="19" t="n"/>
      <c r="H1423" s="19" t="inlineStr">
        <is>
          <t>2</t>
        </is>
      </c>
      <c r="I1423" s="19" t="n"/>
      <c r="J1423" s="19" t="n"/>
      <c r="K1423" s="19" t="inlineStr">
        <is>
          <t>2</t>
        </is>
      </c>
      <c r="L1423" t="inlineStr">
        <is>
          <t>2026-08-08</t>
        </is>
      </c>
      <c r="N1423" t="inlineStr">
        <is>
          <t>IN_SCOPE_FINAL; SOURCE_CFG=IA-ST-CFG-0219; MARKET=None; STATUS=IN OEM / EU PACKAGE</t>
        </is>
      </c>
      <c r="O1423" t="inlineStr">
        <is>
          <t>2026-08-10T19:29:54Z</t>
        </is>
      </c>
      <c r="P1423" t="inlineStr">
        <is>
          <t>2026-08-10T19:29:54Z</t>
        </is>
      </c>
    </row>
    <row r="1424">
      <c r="A1424" s="19" t="inlineStr">
        <is>
          <t>1423</t>
        </is>
      </c>
      <c r="B1424" s="19" t="inlineStr">
        <is>
          <t>SC-1011843-ST-072-STD-10</t>
        </is>
      </c>
      <c r="C1424" t="inlineStr">
        <is>
          <t>1011843 → ST-072-STD-10</t>
        </is>
      </c>
      <c r="D1424" s="19" t="inlineStr">
        <is>
          <t>2</t>
        </is>
      </c>
      <c r="E1424" s="19" t="inlineStr">
        <is>
          <t>372</t>
        </is>
      </c>
      <c r="F1424" s="19" t="inlineStr">
        <is>
          <t>188</t>
        </is>
      </c>
      <c r="G1424" s="19" t="n"/>
      <c r="H1424" s="19" t="inlineStr">
        <is>
          <t>2</t>
        </is>
      </c>
      <c r="I1424" s="19" t="n"/>
      <c r="J1424" s="19" t="n"/>
      <c r="K1424" s="19" t="inlineStr">
        <is>
          <t>2</t>
        </is>
      </c>
      <c r="L1424" t="inlineStr">
        <is>
          <t>2026-08-08</t>
        </is>
      </c>
      <c r="N1424" t="inlineStr">
        <is>
          <t>IN_SCOPE_FINAL; SOURCE_CFG=IA-ST-CFG-0219; MARKET=None; STATUS=IN OEM / EU PACKAGE</t>
        </is>
      </c>
      <c r="O1424" t="inlineStr">
        <is>
          <t>2026-08-10T19:29:54Z</t>
        </is>
      </c>
      <c r="P1424" t="inlineStr">
        <is>
          <t>2026-08-10T19:29:54Z</t>
        </is>
      </c>
    </row>
    <row r="1425">
      <c r="A1425" s="19" t="inlineStr">
        <is>
          <t>1424</t>
        </is>
      </c>
      <c r="B1425" s="19" t="inlineStr">
        <is>
          <t>SC-1011845-ST-072-STD-10</t>
        </is>
      </c>
      <c r="C1425" t="inlineStr">
        <is>
          <t>1011845 → ST-072-STD-10</t>
        </is>
      </c>
      <c r="D1425" s="19" t="inlineStr">
        <is>
          <t>2</t>
        </is>
      </c>
      <c r="E1425" s="19" t="inlineStr">
        <is>
          <t>373</t>
        </is>
      </c>
      <c r="F1425" s="19" t="inlineStr">
        <is>
          <t>188</t>
        </is>
      </c>
      <c r="G1425" s="19" t="n"/>
      <c r="H1425" s="19" t="inlineStr">
        <is>
          <t>2</t>
        </is>
      </c>
      <c r="I1425" s="19" t="n"/>
      <c r="J1425" s="19" t="n"/>
      <c r="K1425" s="19" t="inlineStr">
        <is>
          <t>2</t>
        </is>
      </c>
      <c r="L1425" t="inlineStr">
        <is>
          <t>2026-08-08</t>
        </is>
      </c>
      <c r="N1425" t="inlineStr">
        <is>
          <t>IN_SCOPE_FINAL; SOURCE_CFG=IA-ST-CFG-0219; MARKET=MISIR NACITA; STATUS=IN OEM / EU PACKAGE</t>
        </is>
      </c>
      <c r="O1425" t="inlineStr">
        <is>
          <t>2026-08-10T19:29:54Z</t>
        </is>
      </c>
      <c r="P1425" t="inlineStr">
        <is>
          <t>2026-08-10T19:29:54Z</t>
        </is>
      </c>
    </row>
    <row r="1426">
      <c r="A1426" s="19" t="inlineStr">
        <is>
          <t>1425</t>
        </is>
      </c>
      <c r="B1426" s="19" t="inlineStr">
        <is>
          <t>SC-1011852-ST-072-STD-10</t>
        </is>
      </c>
      <c r="C1426" t="inlineStr">
        <is>
          <t>1011852 → ST-072-STD-10</t>
        </is>
      </c>
      <c r="D1426" s="19" t="inlineStr">
        <is>
          <t>2</t>
        </is>
      </c>
      <c r="E1426" s="19" t="inlineStr">
        <is>
          <t>374</t>
        </is>
      </c>
      <c r="F1426" s="19" t="inlineStr">
        <is>
          <t>188</t>
        </is>
      </c>
      <c r="G1426" s="19" t="n"/>
      <c r="H1426" s="19" t="inlineStr">
        <is>
          <t>2</t>
        </is>
      </c>
      <c r="I1426" s="19" t="n"/>
      <c r="J1426" s="19" t="n"/>
      <c r="K1426" s="19" t="inlineStr">
        <is>
          <t>2</t>
        </is>
      </c>
      <c r="L1426" t="inlineStr">
        <is>
          <t>2026-08-08</t>
        </is>
      </c>
      <c r="N1426" t="inlineStr">
        <is>
          <t>IN_SCOPE_FINAL; SOURCE_CFG=IA-ST-CFG-0219; MARKET=None; STATUS=IN OEM / EU PACKAGE</t>
        </is>
      </c>
      <c r="O1426" t="inlineStr">
        <is>
          <t>2026-08-10T19:29:54Z</t>
        </is>
      </c>
      <c r="P1426" t="inlineStr">
        <is>
          <t>2026-08-10T19:29:54Z</t>
        </is>
      </c>
    </row>
    <row r="1427">
      <c r="A1427" s="19" t="inlineStr">
        <is>
          <t>1426</t>
        </is>
      </c>
      <c r="B1427" s="19" t="inlineStr">
        <is>
          <t>SC-1011853-ST-072-STD-10</t>
        </is>
      </c>
      <c r="C1427" t="inlineStr">
        <is>
          <t>1011853 → ST-072-STD-10</t>
        </is>
      </c>
      <c r="D1427" s="19" t="inlineStr">
        <is>
          <t>2</t>
        </is>
      </c>
      <c r="E1427" s="19" t="inlineStr">
        <is>
          <t>375</t>
        </is>
      </c>
      <c r="F1427" s="19" t="inlineStr">
        <is>
          <t>188</t>
        </is>
      </c>
      <c r="G1427" s="19" t="n"/>
      <c r="H1427" s="19" t="inlineStr">
        <is>
          <t>2</t>
        </is>
      </c>
      <c r="I1427" s="19" t="n"/>
      <c r="J1427" s="19" t="n"/>
      <c r="K1427" s="19" t="inlineStr">
        <is>
          <t>2</t>
        </is>
      </c>
      <c r="L1427" t="inlineStr">
        <is>
          <t>2026-08-08</t>
        </is>
      </c>
      <c r="N1427" t="inlineStr">
        <is>
          <t>IN_SCOPE_FINAL; SOURCE_CFG=IA-ST-CFG-0219; MARKET=None; STATUS=IN OEM / EU PACKAGE</t>
        </is>
      </c>
      <c r="O1427" t="inlineStr">
        <is>
          <t>2026-08-10T19:29:54Z</t>
        </is>
      </c>
      <c r="P1427" t="inlineStr">
        <is>
          <t>2026-08-10T19:29:54Z</t>
        </is>
      </c>
    </row>
    <row r="1428">
      <c r="A1428" s="19" t="inlineStr">
        <is>
          <t>1427</t>
        </is>
      </c>
      <c r="B1428" s="19" t="inlineStr">
        <is>
          <t>SC-1011855-ST-072-STD-10</t>
        </is>
      </c>
      <c r="C1428" t="inlineStr">
        <is>
          <t>1011855 → ST-072-STD-10</t>
        </is>
      </c>
      <c r="D1428" s="19" t="inlineStr">
        <is>
          <t>2</t>
        </is>
      </c>
      <c r="E1428" s="19" t="inlineStr">
        <is>
          <t>377</t>
        </is>
      </c>
      <c r="F1428" s="19" t="inlineStr">
        <is>
          <t>188</t>
        </is>
      </c>
      <c r="G1428" s="19" t="n"/>
      <c r="H1428" s="19" t="inlineStr">
        <is>
          <t>2</t>
        </is>
      </c>
      <c r="I1428" s="19" t="n"/>
      <c r="J1428" s="19" t="n"/>
      <c r="K1428" s="19" t="inlineStr">
        <is>
          <t>2</t>
        </is>
      </c>
      <c r="L1428" t="inlineStr">
        <is>
          <t>2026-08-08</t>
        </is>
      </c>
      <c r="N1428" t="inlineStr">
        <is>
          <t>IN_SCOPE_FINAL; SOURCE_CFG=IA-ST-CFG-0219; MARKET=MISIR ATWAN; STATUS=IN OEM / EU PACKAGE</t>
        </is>
      </c>
      <c r="O1428" t="inlineStr">
        <is>
          <t>2026-08-10T19:29:54Z</t>
        </is>
      </c>
      <c r="P1428" t="inlineStr">
        <is>
          <t>2026-08-10T19:29:54Z</t>
        </is>
      </c>
    </row>
    <row r="1429">
      <c r="A1429" s="19" t="inlineStr">
        <is>
          <t>1428</t>
        </is>
      </c>
      <c r="B1429" s="19" t="inlineStr">
        <is>
          <t>SC-1012287-ST-072-STD-10</t>
        </is>
      </c>
      <c r="C1429" t="inlineStr">
        <is>
          <t>1012287 → ST-072-STD-10</t>
        </is>
      </c>
      <c r="D1429" s="19" t="inlineStr">
        <is>
          <t>2</t>
        </is>
      </c>
      <c r="E1429" s="19" t="inlineStr">
        <is>
          <t>587</t>
        </is>
      </c>
      <c r="F1429" s="19" t="inlineStr">
        <is>
          <t>188</t>
        </is>
      </c>
      <c r="G1429" s="19" t="n"/>
      <c r="H1429" s="19" t="inlineStr">
        <is>
          <t>2</t>
        </is>
      </c>
      <c r="I1429" s="19" t="n"/>
      <c r="J1429" s="19" t="n"/>
      <c r="K1429" s="19" t="inlineStr">
        <is>
          <t>2</t>
        </is>
      </c>
      <c r="L1429" t="inlineStr">
        <is>
          <t>2026-08-08</t>
        </is>
      </c>
      <c r="N1429" t="inlineStr">
        <is>
          <t>IN_SCOPE_FINAL; SOURCE_CFG=IA-ST-CFG-0219; MARKET=None; STATUS=IN OEM / EU PACKAGE</t>
        </is>
      </c>
      <c r="O1429" t="inlineStr">
        <is>
          <t>2026-08-10T19:29:54Z</t>
        </is>
      </c>
      <c r="P1429" t="inlineStr">
        <is>
          <t>2026-08-10T19:29:54Z</t>
        </is>
      </c>
    </row>
    <row r="1430">
      <c r="A1430" s="19" t="inlineStr">
        <is>
          <t>1429</t>
        </is>
      </c>
      <c r="B1430" s="19" t="inlineStr">
        <is>
          <t>SC-1012289-ST-072-STD-10</t>
        </is>
      </c>
      <c r="C1430" t="inlineStr">
        <is>
          <t>1012289 → ST-072-STD-10</t>
        </is>
      </c>
      <c r="D1430" s="19" t="inlineStr">
        <is>
          <t>2</t>
        </is>
      </c>
      <c r="E1430" s="19" t="inlineStr">
        <is>
          <t>589</t>
        </is>
      </c>
      <c r="F1430" s="19" t="inlineStr">
        <is>
          <t>188</t>
        </is>
      </c>
      <c r="G1430" s="19" t="n"/>
      <c r="H1430" s="19" t="inlineStr">
        <is>
          <t>2</t>
        </is>
      </c>
      <c r="I1430" s="19" t="n"/>
      <c r="J1430" s="19" t="n"/>
      <c r="K1430" s="19" t="inlineStr">
        <is>
          <t>2</t>
        </is>
      </c>
      <c r="L1430" t="inlineStr">
        <is>
          <t>2026-08-08</t>
        </is>
      </c>
      <c r="N1430" t="inlineStr">
        <is>
          <t>IN_SCOPE_FINAL; SOURCE_CFG=IA-ST-CFG-0219; MARKET=SHAWKAT; STATUS=IN OEM / EU PACKAGE</t>
        </is>
      </c>
      <c r="O1430" t="inlineStr">
        <is>
          <t>2026-08-10T19:29:54Z</t>
        </is>
      </c>
      <c r="P1430" t="inlineStr">
        <is>
          <t>2026-08-10T19:29:54Z</t>
        </is>
      </c>
    </row>
    <row r="1431">
      <c r="A1431" s="19" t="inlineStr">
        <is>
          <t>1430</t>
        </is>
      </c>
      <c r="B1431" s="19" t="inlineStr">
        <is>
          <t>SC-1012292-ST-072-STD-10</t>
        </is>
      </c>
      <c r="C1431" t="inlineStr">
        <is>
          <t>1012292 → ST-072-STD-10</t>
        </is>
      </c>
      <c r="D1431" s="19" t="inlineStr">
        <is>
          <t>2</t>
        </is>
      </c>
      <c r="E1431" s="19" t="inlineStr">
        <is>
          <t>590</t>
        </is>
      </c>
      <c r="F1431" s="19" t="inlineStr">
        <is>
          <t>188</t>
        </is>
      </c>
      <c r="G1431" s="19" t="n"/>
      <c r="H1431" s="19" t="inlineStr">
        <is>
          <t>2</t>
        </is>
      </c>
      <c r="I1431" s="19" t="n"/>
      <c r="J1431" s="19" t="n"/>
      <c r="K1431" s="19" t="inlineStr">
        <is>
          <t>2</t>
        </is>
      </c>
      <c r="L1431" t="inlineStr">
        <is>
          <t>2026-08-08</t>
        </is>
      </c>
      <c r="N1431" t="inlineStr">
        <is>
          <t>IN_SCOPE_FINAL; SOURCE_CFG=IA-ST-CFG-0219; MARKET=None; STATUS=IN OEM / EU PACKAGE</t>
        </is>
      </c>
      <c r="O1431" t="inlineStr">
        <is>
          <t>2026-08-10T19:29:54Z</t>
        </is>
      </c>
      <c r="P1431" t="inlineStr">
        <is>
          <t>2026-08-10T19:29:54Z</t>
        </is>
      </c>
    </row>
    <row r="1432">
      <c r="A1432" s="19" t="inlineStr">
        <is>
          <t>1431</t>
        </is>
      </c>
      <c r="B1432" s="19" t="inlineStr">
        <is>
          <t>SC-1012296-ST-072-STD-10</t>
        </is>
      </c>
      <c r="C1432" t="inlineStr">
        <is>
          <t>1012296 → ST-072-STD-10</t>
        </is>
      </c>
      <c r="D1432" s="19" t="inlineStr">
        <is>
          <t>2</t>
        </is>
      </c>
      <c r="E1432" s="19" t="inlineStr">
        <is>
          <t>591</t>
        </is>
      </c>
      <c r="F1432" s="19" t="inlineStr">
        <is>
          <t>188</t>
        </is>
      </c>
      <c r="G1432" s="19" t="n"/>
      <c r="H1432" s="19" t="inlineStr">
        <is>
          <t>2</t>
        </is>
      </c>
      <c r="I1432" s="19" t="n"/>
      <c r="J1432" s="19" t="n"/>
      <c r="K1432" s="19" t="inlineStr">
        <is>
          <t>2</t>
        </is>
      </c>
      <c r="L1432" t="inlineStr">
        <is>
          <t>2026-08-08</t>
        </is>
      </c>
      <c r="N1432" t="inlineStr">
        <is>
          <t>IN_SCOPE_FINAL; SOURCE_CFG=IA-ST-CFG-0219; MARKET=None; STATUS=IN OEM / EU PACKAGE</t>
        </is>
      </c>
      <c r="O1432" t="inlineStr">
        <is>
          <t>2026-08-10T19:29:54Z</t>
        </is>
      </c>
      <c r="P1432" t="inlineStr">
        <is>
          <t>2026-08-10T19:29:54Z</t>
        </is>
      </c>
    </row>
    <row r="1433">
      <c r="A1433" s="19" t="inlineStr">
        <is>
          <t>1432</t>
        </is>
      </c>
      <c r="B1433" s="19" t="inlineStr">
        <is>
          <t>SC-1012298-ST-072-STD-10</t>
        </is>
      </c>
      <c r="C1433" t="inlineStr">
        <is>
          <t>1012298 → ST-072-STD-10</t>
        </is>
      </c>
      <c r="D1433" s="19" t="inlineStr">
        <is>
          <t>2</t>
        </is>
      </c>
      <c r="E1433" s="19" t="inlineStr">
        <is>
          <t>592</t>
        </is>
      </c>
      <c r="F1433" s="19" t="inlineStr">
        <is>
          <t>188</t>
        </is>
      </c>
      <c r="G1433" s="19" t="n"/>
      <c r="H1433" s="19" t="inlineStr">
        <is>
          <t>2</t>
        </is>
      </c>
      <c r="I1433" s="19" t="n"/>
      <c r="J1433" s="19" t="n"/>
      <c r="K1433" s="19" t="inlineStr">
        <is>
          <t>2</t>
        </is>
      </c>
      <c r="L1433" t="inlineStr">
        <is>
          <t>2026-08-08</t>
        </is>
      </c>
      <c r="N1433" t="inlineStr">
        <is>
          <t>IN_SCOPE_FINAL; SOURCE_CFG=IA-ST-CFG-0219; MARKET=MISIR EEC; STATUS=IN OEM / EU PACKAGE</t>
        </is>
      </c>
      <c r="O1433" t="inlineStr">
        <is>
          <t>2026-08-10T19:29:54Z</t>
        </is>
      </c>
      <c r="P1433" t="inlineStr">
        <is>
          <t>2026-08-10T19:29:54Z</t>
        </is>
      </c>
    </row>
    <row r="1434">
      <c r="A1434" s="19" t="inlineStr">
        <is>
          <t>1433</t>
        </is>
      </c>
      <c r="B1434" s="19" t="inlineStr">
        <is>
          <t>SC-1012543-ST-072-STD-10</t>
        </is>
      </c>
      <c r="C1434" t="inlineStr">
        <is>
          <t>1012543 → ST-072-STD-10</t>
        </is>
      </c>
      <c r="D1434" s="19" t="inlineStr">
        <is>
          <t>2</t>
        </is>
      </c>
      <c r="E1434" s="19" t="inlineStr">
        <is>
          <t>691</t>
        </is>
      </c>
      <c r="F1434" s="19" t="inlineStr">
        <is>
          <t>188</t>
        </is>
      </c>
      <c r="G1434" s="19" t="n"/>
      <c r="H1434" s="19" t="inlineStr">
        <is>
          <t>2</t>
        </is>
      </c>
      <c r="I1434" s="19" t="n"/>
      <c r="J1434" s="19" t="n"/>
      <c r="K1434" s="19" t="inlineStr">
        <is>
          <t>2</t>
        </is>
      </c>
      <c r="L1434" t="inlineStr">
        <is>
          <t>2026-08-08</t>
        </is>
      </c>
      <c r="N1434" t="inlineStr">
        <is>
          <t>IN_SCOPE_FINAL; SOURCE_CFG=IA-ST-CFG-0219; MARKET=None; STATUS=IN OEM / EU PACKAGE</t>
        </is>
      </c>
      <c r="O1434" t="inlineStr">
        <is>
          <t>2026-08-10T19:29:54Z</t>
        </is>
      </c>
      <c r="P1434" t="inlineStr">
        <is>
          <t>2026-08-10T19:29:54Z</t>
        </is>
      </c>
    </row>
    <row r="1435">
      <c r="A1435" s="19" t="inlineStr">
        <is>
          <t>1434</t>
        </is>
      </c>
      <c r="B1435" s="19" t="inlineStr">
        <is>
          <t>SC-1012702-ST-072-STD-10</t>
        </is>
      </c>
      <c r="C1435" t="inlineStr">
        <is>
          <t>1012702 → ST-072-STD-10</t>
        </is>
      </c>
      <c r="D1435" s="19" t="inlineStr">
        <is>
          <t>2</t>
        </is>
      </c>
      <c r="E1435" s="19" t="inlineStr">
        <is>
          <t>760</t>
        </is>
      </c>
      <c r="F1435" s="19" t="inlineStr">
        <is>
          <t>188</t>
        </is>
      </c>
      <c r="G1435" s="19" t="n"/>
      <c r="H1435" s="19" t="inlineStr">
        <is>
          <t>2</t>
        </is>
      </c>
      <c r="I1435" s="19" t="n"/>
      <c r="J1435" s="19" t="n"/>
      <c r="K1435" s="19" t="inlineStr">
        <is>
          <t>2</t>
        </is>
      </c>
      <c r="L1435" t="inlineStr">
        <is>
          <t>2026-08-08</t>
        </is>
      </c>
      <c r="N1435" t="inlineStr">
        <is>
          <t>IN_SCOPE_FINAL; SOURCE_CFG=IA-ST-CFG-0219; MARKET=None; STATUS=IN OEM / EU PACKAGE</t>
        </is>
      </c>
      <c r="O1435" t="inlineStr">
        <is>
          <t>2026-08-10T19:29:54Z</t>
        </is>
      </c>
      <c r="P1435" t="inlineStr">
        <is>
          <t>2026-08-10T19:29:54Z</t>
        </is>
      </c>
    </row>
    <row r="1436">
      <c r="A1436" s="19" t="inlineStr">
        <is>
          <t>1435</t>
        </is>
      </c>
      <c r="B1436" s="19" t="inlineStr">
        <is>
          <t>SC-1012914-ST-072-STD-10</t>
        </is>
      </c>
      <c r="C1436" t="inlineStr">
        <is>
          <t>1012914 → ST-072-STD-10</t>
        </is>
      </c>
      <c r="D1436" s="19" t="inlineStr">
        <is>
          <t>2</t>
        </is>
      </c>
      <c r="E1436" s="19" t="inlineStr">
        <is>
          <t>864</t>
        </is>
      </c>
      <c r="F1436" s="19" t="inlineStr">
        <is>
          <t>188</t>
        </is>
      </c>
      <c r="G1436" s="19" t="n"/>
      <c r="H1436" s="19" t="inlineStr">
        <is>
          <t>2</t>
        </is>
      </c>
      <c r="I1436" s="19" t="n"/>
      <c r="J1436" s="19" t="n"/>
      <c r="K1436" s="19" t="inlineStr">
        <is>
          <t>2</t>
        </is>
      </c>
      <c r="L1436" t="inlineStr">
        <is>
          <t>2026-08-08</t>
        </is>
      </c>
      <c r="N1436" t="inlineStr">
        <is>
          <t>IN_SCOPE_FINAL; SOURCE_CFG=IA-ST-CFG-0219; MARKET=SHAWKAT; STATUS=IN OEM / EU PACKAGE</t>
        </is>
      </c>
      <c r="O1436" t="inlineStr">
        <is>
          <t>2026-08-10T19:29:54Z</t>
        </is>
      </c>
      <c r="P1436" t="inlineStr">
        <is>
          <t>2026-08-10T19:29:54Z</t>
        </is>
      </c>
    </row>
    <row r="1437">
      <c r="A1437" s="19" t="inlineStr">
        <is>
          <t>1436</t>
        </is>
      </c>
      <c r="B1437" s="19" t="inlineStr">
        <is>
          <t>SC-1012937-ST-072-STD-10</t>
        </is>
      </c>
      <c r="C1437" t="inlineStr">
        <is>
          <t>1012937 → ST-072-STD-10</t>
        </is>
      </c>
      <c r="D1437" s="19" t="inlineStr">
        <is>
          <t>2</t>
        </is>
      </c>
      <c r="E1437" s="19" t="inlineStr">
        <is>
          <t>873</t>
        </is>
      </c>
      <c r="F1437" s="19" t="inlineStr">
        <is>
          <t>188</t>
        </is>
      </c>
      <c r="G1437" s="19" t="n"/>
      <c r="H1437" s="19" t="inlineStr">
        <is>
          <t>2</t>
        </is>
      </c>
      <c r="I1437" s="19" t="n"/>
      <c r="J1437" s="19" t="n"/>
      <c r="K1437" s="19" t="inlineStr">
        <is>
          <t>2</t>
        </is>
      </c>
      <c r="L1437" t="inlineStr">
        <is>
          <t>2026-08-08</t>
        </is>
      </c>
      <c r="N1437" t="inlineStr">
        <is>
          <t>IN_SCOPE_FINAL; SOURCE_CFG=IA-ST-CFG-0219; MARKET=SHAWKAT; STATUS=IN OEM / EU PACKAGE</t>
        </is>
      </c>
      <c r="O1437" t="inlineStr">
        <is>
          <t>2026-08-10T19:29:54Z</t>
        </is>
      </c>
      <c r="P1437" t="inlineStr">
        <is>
          <t>2026-08-10T19:29:54Z</t>
        </is>
      </c>
    </row>
    <row r="1438">
      <c r="A1438" s="19" t="inlineStr">
        <is>
          <t>1437</t>
        </is>
      </c>
      <c r="B1438" s="19" t="inlineStr">
        <is>
          <t>SC-1012939-ST-072-STD-10</t>
        </is>
      </c>
      <c r="C1438" t="inlineStr">
        <is>
          <t>1012939 → ST-072-STD-10</t>
        </is>
      </c>
      <c r="D1438" s="19" t="inlineStr">
        <is>
          <t>2</t>
        </is>
      </c>
      <c r="E1438" s="19" t="inlineStr">
        <is>
          <t>874</t>
        </is>
      </c>
      <c r="F1438" s="19" t="inlineStr">
        <is>
          <t>188</t>
        </is>
      </c>
      <c r="G1438" s="19" t="n"/>
      <c r="H1438" s="19" t="inlineStr">
        <is>
          <t>2</t>
        </is>
      </c>
      <c r="I1438" s="19" t="n"/>
      <c r="J1438" s="19" t="n"/>
      <c r="K1438" s="19" t="inlineStr">
        <is>
          <t>2</t>
        </is>
      </c>
      <c r="L1438" t="inlineStr">
        <is>
          <t>2026-08-08</t>
        </is>
      </c>
      <c r="N1438" t="inlineStr">
        <is>
          <t>IN_SCOPE_FINAL; SOURCE_CFG=IA-ST-CFG-0219; MARKET=SHAWKAT; STATUS=IN OEM / EU PACKAGE</t>
        </is>
      </c>
      <c r="O1438" t="inlineStr">
        <is>
          <t>2026-08-10T19:29:54Z</t>
        </is>
      </c>
      <c r="P1438" t="inlineStr">
        <is>
          <t>2026-08-10T19:29:54Z</t>
        </is>
      </c>
    </row>
    <row r="1439">
      <c r="A1439" s="19" t="inlineStr">
        <is>
          <t>1438</t>
        </is>
      </c>
      <c r="B1439" s="19" t="inlineStr">
        <is>
          <t>SC-1013409-ST-072-STD-10</t>
        </is>
      </c>
      <c r="C1439" t="inlineStr">
        <is>
          <t>1013409 → ST-072-STD-10</t>
        </is>
      </c>
      <c r="D1439" s="19" t="inlineStr">
        <is>
          <t>2</t>
        </is>
      </c>
      <c r="E1439" s="19" t="inlineStr">
        <is>
          <t>990</t>
        </is>
      </c>
      <c r="F1439" s="19" t="inlineStr">
        <is>
          <t>188</t>
        </is>
      </c>
      <c r="G1439" s="19" t="n"/>
      <c r="H1439" s="19" t="inlineStr">
        <is>
          <t>2</t>
        </is>
      </c>
      <c r="I1439" s="19" t="n"/>
      <c r="J1439" s="19" t="n"/>
      <c r="K1439" s="19" t="inlineStr">
        <is>
          <t>2</t>
        </is>
      </c>
      <c r="L1439" t="inlineStr">
        <is>
          <t>2026-08-08</t>
        </is>
      </c>
      <c r="N1439" t="inlineStr">
        <is>
          <t>IN_SCOPE_FINAL; SOURCE_CFG=IA-ST-CFG-0219; MARKET=None; STATUS=IN OEM / EU PACKAGE</t>
        </is>
      </c>
      <c r="O1439" t="inlineStr">
        <is>
          <t>2026-08-10T19:29:54Z</t>
        </is>
      </c>
      <c r="P1439" t="inlineStr">
        <is>
          <t>2026-08-10T19:29:54Z</t>
        </is>
      </c>
    </row>
    <row r="1440">
      <c r="A1440" s="19" t="inlineStr">
        <is>
          <t>1439</t>
        </is>
      </c>
      <c r="B1440" s="19" t="inlineStr">
        <is>
          <t>SC-1013901-ST-072-STD-10</t>
        </is>
      </c>
      <c r="C1440" t="inlineStr">
        <is>
          <t>1013901 → ST-072-STD-10</t>
        </is>
      </c>
      <c r="D1440" s="19" t="inlineStr">
        <is>
          <t>2</t>
        </is>
      </c>
      <c r="E1440" s="19" t="inlineStr">
        <is>
          <t>1126</t>
        </is>
      </c>
      <c r="F1440" s="19" t="inlineStr">
        <is>
          <t>188</t>
        </is>
      </c>
      <c r="G1440" s="19" t="n"/>
      <c r="H1440" s="19" t="inlineStr">
        <is>
          <t>2</t>
        </is>
      </c>
      <c r="I1440" s="19" t="n"/>
      <c r="J1440" s="19" t="n"/>
      <c r="K1440" s="19" t="inlineStr">
        <is>
          <t>2</t>
        </is>
      </c>
      <c r="L1440" t="inlineStr">
        <is>
          <t>2026-08-08</t>
        </is>
      </c>
      <c r="N1440" t="inlineStr">
        <is>
          <t>IN_SCOPE_FINAL; SOURCE_CFG=IA-ST-CFG-0219; MARKET=None; STATUS=IN OEM / EU PACKAGE</t>
        </is>
      </c>
      <c r="O1440" t="inlineStr">
        <is>
          <t>2026-08-10T19:29:54Z</t>
        </is>
      </c>
      <c r="P1440" t="inlineStr">
        <is>
          <t>2026-08-10T19:29:54Z</t>
        </is>
      </c>
    </row>
    <row r="1441">
      <c r="A1441" s="19" t="inlineStr">
        <is>
          <t>1440</t>
        </is>
      </c>
      <c r="B1441" s="19" t="inlineStr">
        <is>
          <t>SC-1014113-ST-072-STD-10</t>
        </is>
      </c>
      <c r="C1441" t="inlineStr">
        <is>
          <t>1014113 → ST-072-STD-10</t>
        </is>
      </c>
      <c r="D1441" s="19" t="inlineStr">
        <is>
          <t>2</t>
        </is>
      </c>
      <c r="E1441" s="19" t="inlineStr">
        <is>
          <t>1223</t>
        </is>
      </c>
      <c r="F1441" s="19" t="inlineStr">
        <is>
          <t>188</t>
        </is>
      </c>
      <c r="G1441" s="19" t="n"/>
      <c r="H1441" s="19" t="inlineStr">
        <is>
          <t>2</t>
        </is>
      </c>
      <c r="I1441" s="19" t="n"/>
      <c r="J1441" s="19" t="n"/>
      <c r="K1441" s="19" t="inlineStr">
        <is>
          <t>2</t>
        </is>
      </c>
      <c r="L1441" t="inlineStr">
        <is>
          <t>2026-08-08</t>
        </is>
      </c>
      <c r="N1441" t="inlineStr">
        <is>
          <t>IN_SCOPE_FINAL; SOURCE_CFG=IA-ST-CFG-0219; MARKET=None; STATUS=IN OEM / EU PACKAGE</t>
        </is>
      </c>
      <c r="O1441" t="inlineStr">
        <is>
          <t>2026-08-10T19:29:54Z</t>
        </is>
      </c>
      <c r="P1441" t="inlineStr">
        <is>
          <t>2026-08-10T19:29:54Z</t>
        </is>
      </c>
    </row>
    <row r="1442">
      <c r="A1442" s="19" t="inlineStr">
        <is>
          <t>1441</t>
        </is>
      </c>
      <c r="B1442" s="19" t="inlineStr">
        <is>
          <t>SC-1014147-ST-072-STD-10</t>
        </is>
      </c>
      <c r="C1442" t="inlineStr">
        <is>
          <t>1014147 → ST-072-STD-10</t>
        </is>
      </c>
      <c r="D1442" s="19" t="inlineStr">
        <is>
          <t>2</t>
        </is>
      </c>
      <c r="E1442" s="19" t="inlineStr">
        <is>
          <t>1235</t>
        </is>
      </c>
      <c r="F1442" s="19" t="inlineStr">
        <is>
          <t>188</t>
        </is>
      </c>
      <c r="G1442" s="19" t="n"/>
      <c r="H1442" s="19" t="inlineStr">
        <is>
          <t>2</t>
        </is>
      </c>
      <c r="I1442" s="19" t="n"/>
      <c r="J1442" s="19" t="n"/>
      <c r="K1442" s="19" t="inlineStr">
        <is>
          <t>2</t>
        </is>
      </c>
      <c r="L1442" t="inlineStr">
        <is>
          <t>2026-08-08</t>
        </is>
      </c>
      <c r="N1442" t="inlineStr">
        <is>
          <t>IN_SCOPE_FINAL; SOURCE_CFG=IA-ST-CFG-0219; MARKET=None; STATUS=IN OEM / EU PACKAGE</t>
        </is>
      </c>
      <c r="O1442" t="inlineStr">
        <is>
          <t>2026-08-10T19:29:54Z</t>
        </is>
      </c>
      <c r="P1442" t="inlineStr">
        <is>
          <t>2026-08-10T19:29:54Z</t>
        </is>
      </c>
    </row>
    <row r="1443">
      <c r="A1443" s="19" t="inlineStr">
        <is>
          <t>1442</t>
        </is>
      </c>
      <c r="B1443" s="19" t="inlineStr">
        <is>
          <t>SC-1014357-ST-072-STD-10</t>
        </is>
      </c>
      <c r="C1443" t="inlineStr">
        <is>
          <t>1014357 → ST-072-STD-10</t>
        </is>
      </c>
      <c r="D1443" s="19" t="inlineStr">
        <is>
          <t>2</t>
        </is>
      </c>
      <c r="E1443" s="19" t="inlineStr">
        <is>
          <t>1320</t>
        </is>
      </c>
      <c r="F1443" s="19" t="inlineStr">
        <is>
          <t>188</t>
        </is>
      </c>
      <c r="G1443" s="19" t="n"/>
      <c r="H1443" s="19" t="inlineStr">
        <is>
          <t>2</t>
        </is>
      </c>
      <c r="I1443" s="19" t="n"/>
      <c r="J1443" s="19" t="n"/>
      <c r="K1443" s="19" t="inlineStr">
        <is>
          <t>2</t>
        </is>
      </c>
      <c r="L1443" t="inlineStr">
        <is>
          <t>2026-08-08</t>
        </is>
      </c>
      <c r="N1443" t="inlineStr">
        <is>
          <t>IN_SCOPE_FINAL; SOURCE_CFG=IA-ST-CFG-0219; MARKET=MISIR ALSAFA; STATUS=IN OEM / EU PACKAGE</t>
        </is>
      </c>
      <c r="O1443" t="inlineStr">
        <is>
          <t>2026-08-10T19:29:54Z</t>
        </is>
      </c>
      <c r="P1443" t="inlineStr">
        <is>
          <t>2026-08-10T19:29:54Z</t>
        </is>
      </c>
    </row>
    <row r="1444">
      <c r="A1444" s="19" t="inlineStr">
        <is>
          <t>1443</t>
        </is>
      </c>
      <c r="B1444" s="19" t="inlineStr">
        <is>
          <t>SC-1014486-ST-072-STD-10</t>
        </is>
      </c>
      <c r="C1444" t="inlineStr">
        <is>
          <t>1014486 → ST-072-STD-10</t>
        </is>
      </c>
      <c r="D1444" s="19" t="inlineStr">
        <is>
          <t>2</t>
        </is>
      </c>
      <c r="E1444" s="19" t="inlineStr">
        <is>
          <t>1413</t>
        </is>
      </c>
      <c r="F1444" s="19" t="inlineStr">
        <is>
          <t>188</t>
        </is>
      </c>
      <c r="G1444" s="19" t="n"/>
      <c r="H1444" s="19" t="inlineStr">
        <is>
          <t>2</t>
        </is>
      </c>
      <c r="I1444" s="19" t="n"/>
      <c r="J1444" s="19" t="n"/>
      <c r="K1444" s="19" t="inlineStr">
        <is>
          <t>2</t>
        </is>
      </c>
      <c r="L1444" t="inlineStr">
        <is>
          <t>2026-08-08</t>
        </is>
      </c>
      <c r="N1444" t="inlineStr">
        <is>
          <t>IN_SCOPE_FINAL; SOURCE_CFG=IA-ST-CFG-0219; MARKET=MISIR AL AMAN; STATUS=IN OEM / EU PACKAGE</t>
        </is>
      </c>
      <c r="O1444" t="inlineStr">
        <is>
          <t>2026-08-10T19:29:54Z</t>
        </is>
      </c>
      <c r="P1444" t="inlineStr">
        <is>
          <t>2026-08-10T19:29:54Z</t>
        </is>
      </c>
    </row>
    <row r="1445">
      <c r="A1445" s="19" t="inlineStr">
        <is>
          <t>1444</t>
        </is>
      </c>
      <c r="B1445" s="19" t="inlineStr">
        <is>
          <t>SC-1014534-ST-072-STD-10</t>
        </is>
      </c>
      <c r="C1445" t="inlineStr">
        <is>
          <t>1014534 → ST-072-STD-10</t>
        </is>
      </c>
      <c r="D1445" s="19" t="inlineStr">
        <is>
          <t>2</t>
        </is>
      </c>
      <c r="E1445" s="19" t="inlineStr">
        <is>
          <t>1428</t>
        </is>
      </c>
      <c r="F1445" s="19" t="inlineStr">
        <is>
          <t>188</t>
        </is>
      </c>
      <c r="G1445" s="19" t="n"/>
      <c r="H1445" s="19" t="inlineStr">
        <is>
          <t>2</t>
        </is>
      </c>
      <c r="I1445" s="19" t="n"/>
      <c r="J1445" s="19" t="n"/>
      <c r="K1445" s="19" t="inlineStr">
        <is>
          <t>2</t>
        </is>
      </c>
      <c r="L1445" t="inlineStr">
        <is>
          <t>2026-08-08</t>
        </is>
      </c>
      <c r="N1445" t="inlineStr">
        <is>
          <t>IN_SCOPE_FINAL; SOURCE_CFG=IA-ST-CFG-0219; MARKET=None; STATUS=IN OEM / EU PACKAGE</t>
        </is>
      </c>
      <c r="O1445" t="inlineStr">
        <is>
          <t>2026-08-10T19:29:54Z</t>
        </is>
      </c>
      <c r="P1445" t="inlineStr">
        <is>
          <t>2026-08-10T19:29:54Z</t>
        </is>
      </c>
    </row>
    <row r="1446">
      <c r="A1446" s="19" t="inlineStr">
        <is>
          <t>1445</t>
        </is>
      </c>
      <c r="B1446" s="19" t="inlineStr">
        <is>
          <t>SC-1014801-ST-072-STD-10</t>
        </is>
      </c>
      <c r="C1446" t="inlineStr">
        <is>
          <t>1014801 → ST-072-STD-10</t>
        </is>
      </c>
      <c r="D1446" s="19" t="inlineStr">
        <is>
          <t>2</t>
        </is>
      </c>
      <c r="E1446" s="19" t="inlineStr">
        <is>
          <t>1617</t>
        </is>
      </c>
      <c r="F1446" s="19" t="inlineStr">
        <is>
          <t>188</t>
        </is>
      </c>
      <c r="G1446" s="19" t="n"/>
      <c r="H1446" s="19" t="inlineStr">
        <is>
          <t>2</t>
        </is>
      </c>
      <c r="I1446" s="19" t="n"/>
      <c r="J1446" s="19" t="n"/>
      <c r="K1446" s="19" t="inlineStr">
        <is>
          <t>2</t>
        </is>
      </c>
      <c r="L1446" t="inlineStr">
        <is>
          <t>2026-08-08</t>
        </is>
      </c>
      <c r="N1446" t="inlineStr">
        <is>
          <t>IN_SCOPE_FINAL; SOURCE_CFG=IA-ST-CFG-0219; MARKET=ALONSA ELEC.GULF FZCO (DUBAI); STATUS=IN OEM / EU PACKAGE</t>
        </is>
      </c>
      <c r="O1446" t="inlineStr">
        <is>
          <t>2026-08-10T19:29:54Z</t>
        </is>
      </c>
      <c r="P1446" t="inlineStr">
        <is>
          <t>2026-08-10T19:29:54Z</t>
        </is>
      </c>
    </row>
    <row r="1447">
      <c r="A1447" s="19" t="inlineStr">
        <is>
          <t>1446</t>
        </is>
      </c>
      <c r="B1447" s="19" t="inlineStr">
        <is>
          <t>SC-1015085-ST-072-STD-10</t>
        </is>
      </c>
      <c r="C1447" t="inlineStr">
        <is>
          <t>1015085 → ST-072-STD-10</t>
        </is>
      </c>
      <c r="D1447" s="19" t="inlineStr">
        <is>
          <t>2</t>
        </is>
      </c>
      <c r="E1447" s="19" t="inlineStr">
        <is>
          <t>1840</t>
        </is>
      </c>
      <c r="F1447" s="19" t="inlineStr">
        <is>
          <t>188</t>
        </is>
      </c>
      <c r="G1447" s="19" t="n"/>
      <c r="H1447" s="19" t="inlineStr">
        <is>
          <t>2</t>
        </is>
      </c>
      <c r="I1447" s="19" t="n"/>
      <c r="J1447" s="19" t="n"/>
      <c r="K1447" s="19" t="inlineStr">
        <is>
          <t>2</t>
        </is>
      </c>
      <c r="L1447" t="inlineStr">
        <is>
          <t>2026-08-08</t>
        </is>
      </c>
      <c r="N1447" t="inlineStr">
        <is>
          <t>IN_SCOPE_FINAL; SOURCE_CFG=IA-ST-CFG-0219; MARKET=MISIR EEC; STATUS=IN OEM / EU PACKAGE</t>
        </is>
      </c>
      <c r="O1447" t="inlineStr">
        <is>
          <t>2026-08-10T19:29:54Z</t>
        </is>
      </c>
      <c r="P1447" t="inlineStr">
        <is>
          <t>2026-08-10T19:29:54Z</t>
        </is>
      </c>
    </row>
    <row r="1448">
      <c r="A1448" s="19" t="inlineStr">
        <is>
          <t>1447</t>
        </is>
      </c>
      <c r="B1448" s="19" t="inlineStr">
        <is>
          <t>SC-1015139-ST-072-STD-10</t>
        </is>
      </c>
      <c r="C1448" t="inlineStr">
        <is>
          <t>1015139 → ST-072-STD-10</t>
        </is>
      </c>
      <c r="D1448" s="19" t="inlineStr">
        <is>
          <t>2</t>
        </is>
      </c>
      <c r="E1448" s="19" t="inlineStr">
        <is>
          <t>1888</t>
        </is>
      </c>
      <c r="F1448" s="19" t="inlineStr">
        <is>
          <t>188</t>
        </is>
      </c>
      <c r="G1448" s="19" t="n"/>
      <c r="H1448" s="19" t="inlineStr">
        <is>
          <t>2</t>
        </is>
      </c>
      <c r="I1448" s="19" t="n"/>
      <c r="J1448" s="19" t="n"/>
      <c r="K1448" s="19" t="inlineStr">
        <is>
          <t>2</t>
        </is>
      </c>
      <c r="L1448" t="inlineStr">
        <is>
          <t>2026-08-08</t>
        </is>
      </c>
      <c r="N1448" t="inlineStr">
        <is>
          <t>IN_SCOPE_FINAL; SOURCE_CFG=IA-ST-CFG-0219; MARKET=None; STATUS=IN OEM / EU PACKAGE</t>
        </is>
      </c>
      <c r="O1448" t="inlineStr">
        <is>
          <t>2026-08-10T19:29:54Z</t>
        </is>
      </c>
      <c r="P1448" t="inlineStr">
        <is>
          <t>2026-08-10T19:29:54Z</t>
        </is>
      </c>
    </row>
    <row r="1449">
      <c r="A1449" s="19" t="inlineStr">
        <is>
          <t>1448</t>
        </is>
      </c>
      <c r="B1449" s="19" t="inlineStr">
        <is>
          <t>SC-1015146-ST-072-STD-10</t>
        </is>
      </c>
      <c r="C1449" t="inlineStr">
        <is>
          <t>1015146 → ST-072-STD-10</t>
        </is>
      </c>
      <c r="D1449" s="19" t="inlineStr">
        <is>
          <t>2</t>
        </is>
      </c>
      <c r="E1449" s="19" t="inlineStr">
        <is>
          <t>1895</t>
        </is>
      </c>
      <c r="F1449" s="19" t="inlineStr">
        <is>
          <t>188</t>
        </is>
      </c>
      <c r="G1449" s="19" t="n"/>
      <c r="H1449" s="19" t="inlineStr">
        <is>
          <t>2</t>
        </is>
      </c>
      <c r="I1449" s="19" t="n"/>
      <c r="J1449" s="19" t="n"/>
      <c r="K1449" s="19" t="inlineStr">
        <is>
          <t>2</t>
        </is>
      </c>
      <c r="L1449" t="inlineStr">
        <is>
          <t>2026-08-08</t>
        </is>
      </c>
      <c r="N1449" t="inlineStr">
        <is>
          <t>IN_SCOPE_FINAL; SOURCE_CFG=IA-ST-CFG-0219; MARKET=None; STATUS=IN OEM / EU PACKAGE</t>
        </is>
      </c>
      <c r="O1449" t="inlineStr">
        <is>
          <t>2026-08-10T19:29:54Z</t>
        </is>
      </c>
      <c r="P1449" t="inlineStr">
        <is>
          <t>2026-08-10T19:29:54Z</t>
        </is>
      </c>
    </row>
    <row r="1450">
      <c r="A1450" s="19" t="inlineStr">
        <is>
          <t>1449</t>
        </is>
      </c>
      <c r="B1450" s="19" t="inlineStr">
        <is>
          <t>SC-1015270-ST-072-STD-10</t>
        </is>
      </c>
      <c r="C1450" t="inlineStr">
        <is>
          <t>1015270 → ST-072-STD-10</t>
        </is>
      </c>
      <c r="D1450" s="19" t="inlineStr">
        <is>
          <t>2</t>
        </is>
      </c>
      <c r="E1450" s="19" t="inlineStr">
        <is>
          <t>2003</t>
        </is>
      </c>
      <c r="F1450" s="19" t="inlineStr">
        <is>
          <t>188</t>
        </is>
      </c>
      <c r="G1450" s="19" t="n"/>
      <c r="H1450" s="19" t="inlineStr">
        <is>
          <t>2</t>
        </is>
      </c>
      <c r="I1450" s="19" t="n"/>
      <c r="J1450" s="19" t="n"/>
      <c r="K1450" s="19" t="inlineStr">
        <is>
          <t>2</t>
        </is>
      </c>
      <c r="L1450" t="inlineStr">
        <is>
          <t>2026-08-08</t>
        </is>
      </c>
      <c r="N1450" t="inlineStr">
        <is>
          <t>IN_SCOPE_FINAL; SOURCE_CFG=IA-ST-CFG-0219; MARKET=None; STATUS=IN OEM / EU PACKAGE</t>
        </is>
      </c>
      <c r="O1450" t="inlineStr">
        <is>
          <t>2026-08-10T19:29:54Z</t>
        </is>
      </c>
      <c r="P1450" t="inlineStr">
        <is>
          <t>2026-08-10T19:29:54Z</t>
        </is>
      </c>
    </row>
    <row r="1451">
      <c r="A1451" s="19" t="inlineStr">
        <is>
          <t>1450</t>
        </is>
      </c>
      <c r="B1451" s="19" t="inlineStr">
        <is>
          <t>SC-1015285-ST-072-STD-10</t>
        </is>
      </c>
      <c r="C1451" t="inlineStr">
        <is>
          <t>1015285 → ST-072-STD-10</t>
        </is>
      </c>
      <c r="D1451" s="19" t="inlineStr">
        <is>
          <t>2</t>
        </is>
      </c>
      <c r="E1451" s="19" t="inlineStr">
        <is>
          <t>2018</t>
        </is>
      </c>
      <c r="F1451" s="19" t="inlineStr">
        <is>
          <t>188</t>
        </is>
      </c>
      <c r="G1451" s="19" t="n"/>
      <c r="H1451" s="19" t="inlineStr">
        <is>
          <t>2</t>
        </is>
      </c>
      <c r="I1451" s="19" t="n"/>
      <c r="J1451" s="19" t="n"/>
      <c r="K1451" s="19" t="inlineStr">
        <is>
          <t>2</t>
        </is>
      </c>
      <c r="L1451" t="inlineStr">
        <is>
          <t>2026-08-08</t>
        </is>
      </c>
      <c r="N1451" t="inlineStr">
        <is>
          <t>IN_SCOPE_FINAL; SOURCE_CFG=IA-ST-CFG-0219; MARKET=SHAWKAT; STATUS=IN OEM / EU PACKAGE</t>
        </is>
      </c>
      <c r="O1451" t="inlineStr">
        <is>
          <t>2026-08-10T19:29:54Z</t>
        </is>
      </c>
      <c r="P1451" t="inlineStr">
        <is>
          <t>2026-08-10T19:29:54Z</t>
        </is>
      </c>
    </row>
    <row r="1452">
      <c r="A1452" s="19" t="inlineStr">
        <is>
          <t>1451</t>
        </is>
      </c>
      <c r="B1452" s="19" t="inlineStr">
        <is>
          <t>SC-1014324-ST-072-STD-11</t>
        </is>
      </c>
      <c r="C1452" t="inlineStr">
        <is>
          <t>1014324 → ST-072-STD-11</t>
        </is>
      </c>
      <c r="D1452" s="19" t="inlineStr">
        <is>
          <t>2</t>
        </is>
      </c>
      <c r="E1452" s="19" t="inlineStr">
        <is>
          <t>1304</t>
        </is>
      </c>
      <c r="F1452" s="19" t="inlineStr">
        <is>
          <t>189</t>
        </is>
      </c>
      <c r="G1452" s="19" t="n"/>
      <c r="H1452" s="19" t="inlineStr">
        <is>
          <t>2</t>
        </is>
      </c>
      <c r="I1452" s="19" t="n"/>
      <c r="J1452" s="19" t="n"/>
      <c r="K1452" s="19" t="inlineStr">
        <is>
          <t>2</t>
        </is>
      </c>
      <c r="L1452" t="inlineStr">
        <is>
          <t>2026-08-08</t>
        </is>
      </c>
      <c r="N1452" t="inlineStr">
        <is>
          <t>IN_SCOPE_FINAL; SOURCE_CFG=IA-ST-CFG-0220; MARKET=RAYA ENERGY INC. KANADA; STATUS=IN OEM / EU PACKAGE</t>
        </is>
      </c>
      <c r="O1452" t="inlineStr">
        <is>
          <t>2026-08-10T19:29:54Z</t>
        </is>
      </c>
      <c r="P1452" t="inlineStr">
        <is>
          <t>2026-08-10T19:29:54Z</t>
        </is>
      </c>
    </row>
    <row r="1453">
      <c r="A1453" s="19" t="inlineStr">
        <is>
          <t>1452</t>
        </is>
      </c>
      <c r="B1453" s="19" t="inlineStr">
        <is>
          <t>SC-1010265-ST-072-STD-11</t>
        </is>
      </c>
      <c r="C1453" t="inlineStr">
        <is>
          <t>1010265 → ST-072-STD-11</t>
        </is>
      </c>
      <c r="D1453" s="19" t="inlineStr">
        <is>
          <t>2</t>
        </is>
      </c>
      <c r="E1453" s="19" t="inlineStr">
        <is>
          <t>182</t>
        </is>
      </c>
      <c r="F1453" s="19" t="inlineStr">
        <is>
          <t>189</t>
        </is>
      </c>
      <c r="G1453" s="19" t="n"/>
      <c r="H1453" s="19" t="inlineStr">
        <is>
          <t>2</t>
        </is>
      </c>
      <c r="I1453" s="19" t="n"/>
      <c r="J1453" s="19" t="n"/>
      <c r="K1453" s="19" t="inlineStr">
        <is>
          <t>2</t>
        </is>
      </c>
      <c r="L1453" t="inlineStr">
        <is>
          <t>2026-08-08</t>
        </is>
      </c>
      <c r="N1453" t="inlineStr">
        <is>
          <t>IN_SCOPE_FINAL; SOURCE_CFG=IA-ST-CFG-0220; MARKET=None; STATUS=IN OEM / EU PACKAGE</t>
        </is>
      </c>
      <c r="O1453" t="inlineStr">
        <is>
          <t>2026-08-10T19:29:54Z</t>
        </is>
      </c>
      <c r="P1453" t="inlineStr">
        <is>
          <t>2026-08-10T19:29:54Z</t>
        </is>
      </c>
    </row>
    <row r="1454">
      <c r="A1454" s="19" t="inlineStr">
        <is>
          <t>1453</t>
        </is>
      </c>
      <c r="B1454" s="19" t="inlineStr">
        <is>
          <t>SC-1015012-ST-072-STD-12</t>
        </is>
      </c>
      <c r="C1454" t="inlineStr">
        <is>
          <t>1015012 → ST-072-STD-12</t>
        </is>
      </c>
      <c r="D1454" s="19" t="inlineStr">
        <is>
          <t>2</t>
        </is>
      </c>
      <c r="E1454" s="19" t="inlineStr">
        <is>
          <t>1772</t>
        </is>
      </c>
      <c r="F1454" s="19" t="inlineStr">
        <is>
          <t>190</t>
        </is>
      </c>
      <c r="G1454" s="19" t="n"/>
      <c r="H1454" s="19" t="inlineStr">
        <is>
          <t>2</t>
        </is>
      </c>
      <c r="I1454" s="19" t="n"/>
      <c r="J1454" s="19" t="n"/>
      <c r="K1454" s="19" t="inlineStr">
        <is>
          <t>2</t>
        </is>
      </c>
      <c r="L1454" t="inlineStr">
        <is>
          <t>2026-08-08</t>
        </is>
      </c>
      <c r="N1454" t="inlineStr">
        <is>
          <t>IN_SCOPE_FINAL; SOURCE_CFG=IA-ST-CFG-0221; MARKET=RAYA ENERGY INC. KANADA; STATUS=IN OEM / EU PACKAGE</t>
        </is>
      </c>
      <c r="O1454" t="inlineStr">
        <is>
          <t>2026-08-10T19:29:54Z</t>
        </is>
      </c>
      <c r="P1454" t="inlineStr">
        <is>
          <t>2026-08-10T19:29:54Z</t>
        </is>
      </c>
    </row>
    <row r="1455">
      <c r="A1455" s="19" t="inlineStr">
        <is>
          <t>1454</t>
        </is>
      </c>
      <c r="B1455" s="19" t="inlineStr">
        <is>
          <t>SC-1013713-ST-072-STD-12</t>
        </is>
      </c>
      <c r="C1455" t="inlineStr">
        <is>
          <t>1013713 → ST-072-STD-12</t>
        </is>
      </c>
      <c r="D1455" s="19" t="inlineStr">
        <is>
          <t>2</t>
        </is>
      </c>
      <c r="E1455" s="19" t="inlineStr">
        <is>
          <t>1068</t>
        </is>
      </c>
      <c r="F1455" s="19" t="inlineStr">
        <is>
          <t>190</t>
        </is>
      </c>
      <c r="G1455" s="19" t="n"/>
      <c r="H1455" s="19" t="inlineStr">
        <is>
          <t>2</t>
        </is>
      </c>
      <c r="I1455" s="19" t="n"/>
      <c r="J1455" s="19" t="n"/>
      <c r="K1455" s="19" t="inlineStr">
        <is>
          <t>2</t>
        </is>
      </c>
      <c r="L1455" t="inlineStr">
        <is>
          <t>2026-08-08</t>
        </is>
      </c>
      <c r="N1455" t="inlineStr">
        <is>
          <t>IN_SCOPE_FINAL; SOURCE_CFG=IA-ST-CFG-0221; MARKET=TÜRKMENİSTAN; STATUS=IN OEM / EU PACKAGE</t>
        </is>
      </c>
      <c r="O1455" t="inlineStr">
        <is>
          <t>2026-08-10T19:29:54Z</t>
        </is>
      </c>
      <c r="P1455" t="inlineStr">
        <is>
          <t>2026-08-10T19:29:54Z</t>
        </is>
      </c>
    </row>
    <row r="1456">
      <c r="A1456" s="19" t="inlineStr">
        <is>
          <t>1455</t>
        </is>
      </c>
      <c r="B1456" s="19" t="inlineStr">
        <is>
          <t>SC-1015018-ST-072-STD-12</t>
        </is>
      </c>
      <c r="C1456" t="inlineStr">
        <is>
          <t>1015018 → ST-072-STD-12</t>
        </is>
      </c>
      <c r="D1456" s="19" t="inlineStr">
        <is>
          <t>2</t>
        </is>
      </c>
      <c r="E1456" s="19" t="inlineStr">
        <is>
          <t>1778</t>
        </is>
      </c>
      <c r="F1456" s="19" t="inlineStr">
        <is>
          <t>190</t>
        </is>
      </c>
      <c r="G1456" s="19" t="n"/>
      <c r="H1456" s="19" t="inlineStr">
        <is>
          <t>2</t>
        </is>
      </c>
      <c r="I1456" s="19" t="n"/>
      <c r="J1456" s="19" t="n"/>
      <c r="K1456" s="19" t="inlineStr">
        <is>
          <t>2</t>
        </is>
      </c>
      <c r="L1456" t="inlineStr">
        <is>
          <t>2026-08-08</t>
        </is>
      </c>
      <c r="N1456" t="inlineStr">
        <is>
          <t>IN_SCOPE_FINAL; SOURCE_CFG=IA-ST-CFG-0221; MARKET=TÜRKMENİSTAN; STATUS=IN OEM / EU PACKAGE</t>
        </is>
      </c>
      <c r="O1456" t="inlineStr">
        <is>
          <t>2026-08-10T19:29:54Z</t>
        </is>
      </c>
      <c r="P1456" t="inlineStr">
        <is>
          <t>2026-08-10T19:29:54Z</t>
        </is>
      </c>
    </row>
    <row r="1457">
      <c r="A1457" s="19" t="inlineStr">
        <is>
          <t>1456</t>
        </is>
      </c>
      <c r="B1457" s="19" t="inlineStr">
        <is>
          <t>SC-1015022-ST-072-STD-12</t>
        </is>
      </c>
      <c r="C1457" t="inlineStr">
        <is>
          <t>1015022 → ST-072-STD-12</t>
        </is>
      </c>
      <c r="D1457" s="19" t="inlineStr">
        <is>
          <t>2</t>
        </is>
      </c>
      <c r="E1457" s="19" t="inlineStr">
        <is>
          <t>1782</t>
        </is>
      </c>
      <c r="F1457" s="19" t="inlineStr">
        <is>
          <t>190</t>
        </is>
      </c>
      <c r="G1457" s="19" t="n"/>
      <c r="H1457" s="19" t="inlineStr">
        <is>
          <t>2</t>
        </is>
      </c>
      <c r="I1457" s="19" t="n"/>
      <c r="J1457" s="19" t="n"/>
      <c r="K1457" s="19" t="inlineStr">
        <is>
          <t>2</t>
        </is>
      </c>
      <c r="L1457" t="inlineStr">
        <is>
          <t>2026-08-08</t>
        </is>
      </c>
      <c r="N1457" t="inlineStr">
        <is>
          <t>IN_SCOPE_FINAL; SOURCE_CFG=IA-ST-CFG-0221; MARKET=TÜRKMENİSTAN; STATUS=IN OEM / EU PACKAGE</t>
        </is>
      </c>
      <c r="O1457" t="inlineStr">
        <is>
          <t>2026-08-10T19:29:54Z</t>
        </is>
      </c>
      <c r="P1457" t="inlineStr">
        <is>
          <t>2026-08-10T19:29:54Z</t>
        </is>
      </c>
    </row>
    <row r="1458">
      <c r="A1458" s="19" t="inlineStr">
        <is>
          <t>1457</t>
        </is>
      </c>
      <c r="B1458" s="19" t="inlineStr">
        <is>
          <t>SC-1012090-ST-072-STD-13</t>
        </is>
      </c>
      <c r="C1458" t="inlineStr">
        <is>
          <t>1012090 → ST-072-STD-13</t>
        </is>
      </c>
      <c r="D1458" s="19" t="inlineStr">
        <is>
          <t>2</t>
        </is>
      </c>
      <c r="E1458" s="19" t="inlineStr">
        <is>
          <t>511</t>
        </is>
      </c>
      <c r="F1458" s="19" t="inlineStr">
        <is>
          <t>191</t>
        </is>
      </c>
      <c r="G1458" s="19" t="n"/>
      <c r="H1458" s="19" t="inlineStr">
        <is>
          <t>2</t>
        </is>
      </c>
      <c r="I1458" s="19" t="n"/>
      <c r="J1458" s="19" t="n"/>
      <c r="K1458" s="19" t="inlineStr">
        <is>
          <t>2</t>
        </is>
      </c>
      <c r="L1458" t="inlineStr">
        <is>
          <t>2026-08-08</t>
        </is>
      </c>
      <c r="N1458" t="inlineStr">
        <is>
          <t>IN_SCOPE_FINAL; SOURCE_CFG=IA-ST-CFG-0222; MARKET=NOYPA-NISSAN (Yurt İçi); STATUS=IN OEM / EU PACKAGE</t>
        </is>
      </c>
      <c r="O1458" t="inlineStr">
        <is>
          <t>2026-08-10T19:29:54Z</t>
        </is>
      </c>
      <c r="P1458" t="inlineStr">
        <is>
          <t>2026-08-10T19:29:54Z</t>
        </is>
      </c>
    </row>
    <row r="1459">
      <c r="A1459" s="19" t="inlineStr">
        <is>
          <t>1458</t>
        </is>
      </c>
      <c r="B1459" s="19" t="inlineStr">
        <is>
          <t>SC-1012092-ST-072-STD-13</t>
        </is>
      </c>
      <c r="C1459" t="inlineStr">
        <is>
          <t>1012092 → ST-072-STD-13</t>
        </is>
      </c>
      <c r="D1459" s="19" t="inlineStr">
        <is>
          <t>2</t>
        </is>
      </c>
      <c r="E1459" s="19" t="inlineStr">
        <is>
          <t>513</t>
        </is>
      </c>
      <c r="F1459" s="19" t="inlineStr">
        <is>
          <t>191</t>
        </is>
      </c>
      <c r="G1459" s="19" t="n"/>
      <c r="H1459" s="19" t="inlineStr">
        <is>
          <t>2</t>
        </is>
      </c>
      <c r="I1459" s="19" t="n"/>
      <c r="J1459" s="19" t="n"/>
      <c r="K1459" s="19" t="inlineStr">
        <is>
          <t>2</t>
        </is>
      </c>
      <c r="L1459" t="inlineStr">
        <is>
          <t>2026-08-08</t>
        </is>
      </c>
      <c r="N1459" t="inlineStr">
        <is>
          <t>IN_SCOPE_FINAL; SOURCE_CFG=IA-ST-CFG-0222; MARKET=NOYPA-NISSAN (Yurt İçi); STATUS=IN OEM / EU PACKAGE</t>
        </is>
      </c>
      <c r="O1459" t="inlineStr">
        <is>
          <t>2026-08-10T19:29:54Z</t>
        </is>
      </c>
      <c r="P1459" t="inlineStr">
        <is>
          <t>2026-08-10T19:29:54Z</t>
        </is>
      </c>
    </row>
    <row r="1460">
      <c r="A1460" s="19" t="inlineStr">
        <is>
          <t>1459</t>
        </is>
      </c>
      <c r="B1460" s="19" t="inlineStr">
        <is>
          <t>SC-1013897-ST-072-STD-13</t>
        </is>
      </c>
      <c r="C1460" t="inlineStr">
        <is>
          <t>1013897 → ST-072-STD-13</t>
        </is>
      </c>
      <c r="D1460" s="19" t="inlineStr">
        <is>
          <t>2</t>
        </is>
      </c>
      <c r="E1460" s="19" t="inlineStr">
        <is>
          <t>1123</t>
        </is>
      </c>
      <c r="F1460" s="19" t="inlineStr">
        <is>
          <t>191</t>
        </is>
      </c>
      <c r="G1460" s="19" t="n"/>
      <c r="H1460" s="19" t="inlineStr">
        <is>
          <t>2</t>
        </is>
      </c>
      <c r="I1460" s="19" t="n"/>
      <c r="J1460" s="19" t="n"/>
      <c r="K1460" s="19" t="inlineStr">
        <is>
          <t>2</t>
        </is>
      </c>
      <c r="L1460" t="inlineStr">
        <is>
          <t>2026-08-08</t>
        </is>
      </c>
      <c r="N1460" t="inlineStr">
        <is>
          <t>IN_SCOPE_FINAL; SOURCE_CFG=IA-ST-CFG-0222; MARKET=None; STATUS=IN OEM / EU PACKAGE</t>
        </is>
      </c>
      <c r="O1460" t="inlineStr">
        <is>
          <t>2026-08-10T19:29:54Z</t>
        </is>
      </c>
      <c r="P1460" t="inlineStr">
        <is>
          <t>2026-08-10T19:29:54Z</t>
        </is>
      </c>
    </row>
    <row r="1461">
      <c r="A1461" s="19" t="inlineStr">
        <is>
          <t>1460</t>
        </is>
      </c>
      <c r="B1461" s="19" t="inlineStr">
        <is>
          <t>SC-1014955-ST-072-STD-13</t>
        </is>
      </c>
      <c r="C1461" t="inlineStr">
        <is>
          <t>1014955 → ST-072-STD-13</t>
        </is>
      </c>
      <c r="D1461" s="19" t="inlineStr">
        <is>
          <t>2</t>
        </is>
      </c>
      <c r="E1461" s="19" t="inlineStr">
        <is>
          <t>1721</t>
        </is>
      </c>
      <c r="F1461" s="19" t="inlineStr">
        <is>
          <t>191</t>
        </is>
      </c>
      <c r="G1461" s="19" t="n"/>
      <c r="H1461" s="19" t="inlineStr">
        <is>
          <t>2</t>
        </is>
      </c>
      <c r="I1461" s="19" t="n"/>
      <c r="J1461" s="19" t="n"/>
      <c r="K1461" s="19" t="inlineStr">
        <is>
          <t>2</t>
        </is>
      </c>
      <c r="L1461" t="inlineStr">
        <is>
          <t>2026-08-08</t>
        </is>
      </c>
      <c r="N1461" t="inlineStr">
        <is>
          <t>IN_SCOPE_FINAL; SOURCE_CFG=IA-ST-CFG-0222; MARKET=SHAWKAT; STATUS=IN OEM / EU PACKAGE</t>
        </is>
      </c>
      <c r="O1461" t="inlineStr">
        <is>
          <t>2026-08-10T19:29:54Z</t>
        </is>
      </c>
      <c r="P1461" t="inlineStr">
        <is>
          <t>2026-08-10T19:29:54Z</t>
        </is>
      </c>
    </row>
    <row r="1462">
      <c r="A1462" s="19" t="inlineStr">
        <is>
          <t>1461</t>
        </is>
      </c>
      <c r="B1462" s="19" t="inlineStr">
        <is>
          <t>SC-1015271-ST-072-STD-13</t>
        </is>
      </c>
      <c r="C1462" t="inlineStr">
        <is>
          <t>1015271 → ST-072-STD-13</t>
        </is>
      </c>
      <c r="D1462" s="19" t="inlineStr">
        <is>
          <t>2</t>
        </is>
      </c>
      <c r="E1462" s="19" t="inlineStr">
        <is>
          <t>2004</t>
        </is>
      </c>
      <c r="F1462" s="19" t="inlineStr">
        <is>
          <t>191</t>
        </is>
      </c>
      <c r="G1462" s="19" t="n"/>
      <c r="H1462" s="19" t="inlineStr">
        <is>
          <t>2</t>
        </is>
      </c>
      <c r="I1462" s="19" t="n"/>
      <c r="J1462" s="19" t="n"/>
      <c r="K1462" s="19" t="inlineStr">
        <is>
          <t>2</t>
        </is>
      </c>
      <c r="L1462" t="inlineStr">
        <is>
          <t>2026-08-08</t>
        </is>
      </c>
      <c r="N1462" t="inlineStr">
        <is>
          <t>IN_SCOPE_FINAL; SOURCE_CFG=IA-ST-CFG-0222; MARKET=REDMAY URUGUAY; STATUS=IN OEM / EU PACKAGE</t>
        </is>
      </c>
      <c r="O1462" t="inlineStr">
        <is>
          <t>2026-08-10T19:29:54Z</t>
        </is>
      </c>
      <c r="P1462" t="inlineStr">
        <is>
          <t>2026-08-10T19:29:54Z</t>
        </is>
      </c>
    </row>
    <row r="1463">
      <c r="A1463" s="19" t="inlineStr">
        <is>
          <t>1462</t>
        </is>
      </c>
      <c r="B1463" s="19" t="inlineStr">
        <is>
          <t>SC-1014481-ST-072-STD-13</t>
        </is>
      </c>
      <c r="C1463" t="inlineStr">
        <is>
          <t>1014481 → ST-072-STD-13</t>
        </is>
      </c>
      <c r="D1463" s="19" t="inlineStr">
        <is>
          <t>2</t>
        </is>
      </c>
      <c r="E1463" s="19" t="inlineStr">
        <is>
          <t>1411</t>
        </is>
      </c>
      <c r="F1463" s="19" t="inlineStr">
        <is>
          <t>191</t>
        </is>
      </c>
      <c r="G1463" s="19" t="n"/>
      <c r="H1463" s="19" t="inlineStr">
        <is>
          <t>2</t>
        </is>
      </c>
      <c r="I1463" s="19" t="n"/>
      <c r="J1463" s="19" t="n"/>
      <c r="K1463" s="19" t="inlineStr">
        <is>
          <t>2</t>
        </is>
      </c>
      <c r="L1463" t="inlineStr">
        <is>
          <t>2026-08-08</t>
        </is>
      </c>
      <c r="N1463" t="inlineStr">
        <is>
          <t>IN_SCOPE_FINAL; SOURCE_CFG=IA-ST-CFG-0222; MARKET=JANENE İSRAİL; STATUS=IN OEM / EU PACKAGE</t>
        </is>
      </c>
      <c r="O1463" t="inlineStr">
        <is>
          <t>2026-08-10T19:29:54Z</t>
        </is>
      </c>
      <c r="P1463" t="inlineStr">
        <is>
          <t>2026-08-10T19:29:54Z</t>
        </is>
      </c>
    </row>
    <row r="1464">
      <c r="A1464" s="19" t="inlineStr">
        <is>
          <t>1463</t>
        </is>
      </c>
      <c r="B1464" s="19" t="inlineStr">
        <is>
          <t>SC-1013899-ST-072-STD-13</t>
        </is>
      </c>
      <c r="C1464" t="inlineStr">
        <is>
          <t>1013899 → ST-072-STD-13</t>
        </is>
      </c>
      <c r="D1464" s="19" t="inlineStr">
        <is>
          <t>2</t>
        </is>
      </c>
      <c r="E1464" s="19" t="inlineStr">
        <is>
          <t>1125</t>
        </is>
      </c>
      <c r="F1464" s="19" t="inlineStr">
        <is>
          <t>191</t>
        </is>
      </c>
      <c r="G1464" s="19" t="n"/>
      <c r="H1464" s="19" t="inlineStr">
        <is>
          <t>2</t>
        </is>
      </c>
      <c r="I1464" s="19" t="n"/>
      <c r="J1464" s="19" t="n"/>
      <c r="K1464" s="19" t="inlineStr">
        <is>
          <t>2</t>
        </is>
      </c>
      <c r="L1464" t="inlineStr">
        <is>
          <t>2026-08-08</t>
        </is>
      </c>
      <c r="N1464" t="inlineStr">
        <is>
          <t>IN_SCOPE_FINAL; SOURCE_CFG=IA-ST-CFG-0222; MARKET=None; STATUS=IN OEM / EU PACKAGE</t>
        </is>
      </c>
      <c r="O1464" t="inlineStr">
        <is>
          <t>2026-08-10T19:29:54Z</t>
        </is>
      </c>
      <c r="P1464" t="inlineStr">
        <is>
          <t>2026-08-10T19:29:54Z</t>
        </is>
      </c>
    </row>
    <row r="1465">
      <c r="A1465" s="19" t="inlineStr">
        <is>
          <t>1464</t>
        </is>
      </c>
      <c r="B1465" s="19" t="inlineStr">
        <is>
          <t>SC-1014269-ST-072-STD-13</t>
        </is>
      </c>
      <c r="C1465" t="inlineStr">
        <is>
          <t>1014269 → ST-072-STD-13</t>
        </is>
      </c>
      <c r="D1465" s="19" t="inlineStr">
        <is>
          <t>2</t>
        </is>
      </c>
      <c r="E1465" s="19" t="inlineStr">
        <is>
          <t>1285</t>
        </is>
      </c>
      <c r="F1465" s="19" t="inlineStr">
        <is>
          <t>191</t>
        </is>
      </c>
      <c r="G1465" s="19" t="n"/>
      <c r="H1465" s="19" t="inlineStr">
        <is>
          <t>2</t>
        </is>
      </c>
      <c r="I1465" s="19" t="n"/>
      <c r="J1465" s="19" t="n"/>
      <c r="K1465" s="19" t="inlineStr">
        <is>
          <t>2</t>
        </is>
      </c>
      <c r="L1465" t="inlineStr">
        <is>
          <t>2026-08-08</t>
        </is>
      </c>
      <c r="N1465" t="inlineStr">
        <is>
          <t>IN_SCOPE_FINAL; SOURCE_CFG=IA-ST-CFG-0222; MARKET=None; STATUS=IN OEM / EU PACKAGE</t>
        </is>
      </c>
      <c r="O1465" t="inlineStr">
        <is>
          <t>2026-08-10T19:29:54Z</t>
        </is>
      </c>
      <c r="P1465" t="inlineStr">
        <is>
          <t>2026-08-10T19:29:54Z</t>
        </is>
      </c>
    </row>
    <row r="1466">
      <c r="A1466" s="19" t="inlineStr">
        <is>
          <t>1465</t>
        </is>
      </c>
      <c r="B1466" s="19" t="inlineStr">
        <is>
          <t>SC-1014549-ST-072-STD-13</t>
        </is>
      </c>
      <c r="C1466" t="inlineStr">
        <is>
          <t>1014549 → ST-072-STD-13</t>
        </is>
      </c>
      <c r="D1466" s="19" t="inlineStr">
        <is>
          <t>2</t>
        </is>
      </c>
      <c r="E1466" s="19" t="inlineStr">
        <is>
          <t>1438</t>
        </is>
      </c>
      <c r="F1466" s="19" t="inlineStr">
        <is>
          <t>191</t>
        </is>
      </c>
      <c r="G1466" s="19" t="n"/>
      <c r="H1466" s="19" t="inlineStr">
        <is>
          <t>2</t>
        </is>
      </c>
      <c r="I1466" s="19" t="n"/>
      <c r="J1466" s="19" t="n"/>
      <c r="K1466" s="19" t="inlineStr">
        <is>
          <t>2</t>
        </is>
      </c>
      <c r="L1466" t="inlineStr">
        <is>
          <t>2026-08-08</t>
        </is>
      </c>
      <c r="N1466" t="inlineStr">
        <is>
          <t>IN_SCOPE_FINAL; SOURCE_CFG=IA-ST-CFG-0222; MARKET=MISIR NACITA; STATUS=IN OEM / EU PACKAGE</t>
        </is>
      </c>
      <c r="O1466" t="inlineStr">
        <is>
          <t>2026-08-10T19:29:54Z</t>
        </is>
      </c>
      <c r="P1466" t="inlineStr">
        <is>
          <t>2026-08-10T19:29:54Z</t>
        </is>
      </c>
    </row>
    <row r="1467">
      <c r="A1467" s="19" t="inlineStr">
        <is>
          <t>1466</t>
        </is>
      </c>
      <c r="B1467" s="19" t="inlineStr">
        <is>
          <t>SC-1014893-ST-072-STD-13</t>
        </is>
      </c>
      <c r="C1467" t="inlineStr">
        <is>
          <t>1014893 → ST-072-STD-13</t>
        </is>
      </c>
      <c r="D1467" s="19" t="inlineStr">
        <is>
          <t>2</t>
        </is>
      </c>
      <c r="E1467" s="19" t="inlineStr">
        <is>
          <t>1662</t>
        </is>
      </c>
      <c r="F1467" s="19" t="inlineStr">
        <is>
          <t>191</t>
        </is>
      </c>
      <c r="G1467" s="19" t="n"/>
      <c r="H1467" s="19" t="inlineStr">
        <is>
          <t>2</t>
        </is>
      </c>
      <c r="I1467" s="19" t="n"/>
      <c r="J1467" s="19" t="n"/>
      <c r="K1467" s="19" t="inlineStr">
        <is>
          <t>2</t>
        </is>
      </c>
      <c r="L1467" t="inlineStr">
        <is>
          <t>2026-08-08</t>
        </is>
      </c>
      <c r="N1467" t="inlineStr">
        <is>
          <t>IN_SCOPE_FINAL; SOURCE_CFG=IA-ST-CFG-0222; MARKET=REY &amp; LENFERNA LUCAS; STATUS=IN OEM / EU PACKAGE</t>
        </is>
      </c>
      <c r="O1467" t="inlineStr">
        <is>
          <t>2026-08-10T19:29:54Z</t>
        </is>
      </c>
      <c r="P1467" t="inlineStr">
        <is>
          <t>2026-08-10T19:29:54Z</t>
        </is>
      </c>
    </row>
    <row r="1468">
      <c r="A1468" s="19" t="inlineStr">
        <is>
          <t>1467</t>
        </is>
      </c>
      <c r="B1468" s="19" t="inlineStr">
        <is>
          <t>SC-1014370-ST-072-STD-13</t>
        </is>
      </c>
      <c r="C1468" t="inlineStr">
        <is>
          <t>1014370 → ST-072-STD-13</t>
        </is>
      </c>
      <c r="D1468" s="19" t="inlineStr">
        <is>
          <t>2</t>
        </is>
      </c>
      <c r="E1468" s="19" t="inlineStr">
        <is>
          <t>1326</t>
        </is>
      </c>
      <c r="F1468" s="19" t="inlineStr">
        <is>
          <t>191</t>
        </is>
      </c>
      <c r="G1468" s="19" t="n"/>
      <c r="H1468" s="19" t="inlineStr">
        <is>
          <t>2</t>
        </is>
      </c>
      <c r="I1468" s="19" t="n"/>
      <c r="J1468" s="19" t="n"/>
      <c r="K1468" s="19" t="inlineStr">
        <is>
          <t>2</t>
        </is>
      </c>
      <c r="L1468" t="inlineStr">
        <is>
          <t>2026-08-08</t>
        </is>
      </c>
      <c r="N1468" t="inlineStr">
        <is>
          <t>IN_SCOPE_FINAL; SOURCE_CFG=IA-ST-CFG-0222; MARKET=YURT İÇİ AFM; STATUS=IN OEM / EU PACKAGE</t>
        </is>
      </c>
      <c r="O1468" t="inlineStr">
        <is>
          <t>2026-08-10T19:29:54Z</t>
        </is>
      </c>
      <c r="P1468" t="inlineStr">
        <is>
          <t>2026-08-10T19:29:54Z</t>
        </is>
      </c>
    </row>
    <row r="1469">
      <c r="A1469" s="19" t="inlineStr">
        <is>
          <t>1468</t>
        </is>
      </c>
      <c r="B1469" s="19" t="inlineStr">
        <is>
          <t>SC-1012918-ST-072-STD-13</t>
        </is>
      </c>
      <c r="C1469" t="inlineStr">
        <is>
          <t>1012918 → ST-072-STD-13</t>
        </is>
      </c>
      <c r="D1469" s="19" t="inlineStr">
        <is>
          <t>2</t>
        </is>
      </c>
      <c r="E1469" s="19" t="inlineStr">
        <is>
          <t>868</t>
        </is>
      </c>
      <c r="F1469" s="19" t="inlineStr">
        <is>
          <t>191</t>
        </is>
      </c>
      <c r="G1469" s="19" t="n"/>
      <c r="H1469" s="19" t="inlineStr">
        <is>
          <t>2</t>
        </is>
      </c>
      <c r="I1469" s="19" t="n"/>
      <c r="J1469" s="19" t="n"/>
      <c r="K1469" s="19" t="inlineStr">
        <is>
          <t>2</t>
        </is>
      </c>
      <c r="L1469" t="inlineStr">
        <is>
          <t>2026-08-08</t>
        </is>
      </c>
      <c r="N1469" t="inlineStr">
        <is>
          <t>IN_SCOPE_FINAL; SOURCE_CFG=IA-ST-CFG-0222; MARKET=SHAWKAT; STATUS=IN OEM / EU PACKAGE</t>
        </is>
      </c>
      <c r="O1469" t="inlineStr">
        <is>
          <t>2026-08-10T19:29:54Z</t>
        </is>
      </c>
      <c r="P1469" t="inlineStr">
        <is>
          <t>2026-08-10T19:29:54Z</t>
        </is>
      </c>
    </row>
    <row r="1470">
      <c r="A1470" s="19" t="inlineStr">
        <is>
          <t>1469</t>
        </is>
      </c>
      <c r="B1470" s="19" t="inlineStr">
        <is>
          <t>SC-1012922-ST-072-STD-13</t>
        </is>
      </c>
      <c r="C1470" t="inlineStr">
        <is>
          <t>1012922 → ST-072-STD-13</t>
        </is>
      </c>
      <c r="D1470" s="19" t="inlineStr">
        <is>
          <t>2</t>
        </is>
      </c>
      <c r="E1470" s="19" t="inlineStr">
        <is>
          <t>869</t>
        </is>
      </c>
      <c r="F1470" s="19" t="inlineStr">
        <is>
          <t>191</t>
        </is>
      </c>
      <c r="G1470" s="19" t="n"/>
      <c r="H1470" s="19" t="inlineStr">
        <is>
          <t>2</t>
        </is>
      </c>
      <c r="I1470" s="19" t="n"/>
      <c r="J1470" s="19" t="n"/>
      <c r="K1470" s="19" t="inlineStr">
        <is>
          <t>2</t>
        </is>
      </c>
      <c r="L1470" t="inlineStr">
        <is>
          <t>2026-08-08</t>
        </is>
      </c>
      <c r="N1470" t="inlineStr">
        <is>
          <t>IN_SCOPE_FINAL; SOURCE_CFG=IA-ST-CFG-0222; MARKET=SHAWKAT; STATUS=IN OEM / EU PACKAGE</t>
        </is>
      </c>
      <c r="O1470" t="inlineStr">
        <is>
          <t>2026-08-10T19:29:54Z</t>
        </is>
      </c>
      <c r="P1470" t="inlineStr">
        <is>
          <t>2026-08-10T19:29:54Z</t>
        </is>
      </c>
    </row>
    <row r="1471">
      <c r="A1471" s="19" t="inlineStr">
        <is>
          <t>1470</t>
        </is>
      </c>
      <c r="B1471" s="19" t="inlineStr">
        <is>
          <t>SC-1014935-ST-072-STD-13</t>
        </is>
      </c>
      <c r="C1471" t="inlineStr">
        <is>
          <t>1014935 → ST-072-STD-13</t>
        </is>
      </c>
      <c r="D1471" s="19" t="inlineStr">
        <is>
          <t>2</t>
        </is>
      </c>
      <c r="E1471" s="19" t="inlineStr">
        <is>
          <t>1703</t>
        </is>
      </c>
      <c r="F1471" s="19" t="inlineStr">
        <is>
          <t>191</t>
        </is>
      </c>
      <c r="G1471" s="19" t="n"/>
      <c r="H1471" s="19" t="inlineStr">
        <is>
          <t>2</t>
        </is>
      </c>
      <c r="I1471" s="19" t="n"/>
      <c r="J1471" s="19" t="n"/>
      <c r="K1471" s="19" t="inlineStr">
        <is>
          <t>2</t>
        </is>
      </c>
      <c r="L1471" t="inlineStr">
        <is>
          <t>2026-08-08</t>
        </is>
      </c>
      <c r="N1471" t="inlineStr">
        <is>
          <t>IN_SCOPE_FINAL; SOURCE_CFG=IA-ST-CFG-0222; MARKET=MISIR NACITA; STATUS=IN OEM / EU PACKAGE</t>
        </is>
      </c>
      <c r="O1471" t="inlineStr">
        <is>
          <t>2026-08-10T19:29:54Z</t>
        </is>
      </c>
      <c r="P1471" t="inlineStr">
        <is>
          <t>2026-08-10T19:29:54Z</t>
        </is>
      </c>
    </row>
    <row r="1472">
      <c r="A1472" s="19" t="inlineStr">
        <is>
          <t>1471</t>
        </is>
      </c>
      <c r="B1472" s="19" t="inlineStr">
        <is>
          <t>SC-1013569-ST-072-STD-13</t>
        </is>
      </c>
      <c r="C1472" t="inlineStr">
        <is>
          <t>1013569 → ST-072-STD-13</t>
        </is>
      </c>
      <c r="D1472" s="19" t="inlineStr">
        <is>
          <t>2</t>
        </is>
      </c>
      <c r="E1472" s="19" t="inlineStr">
        <is>
          <t>1036</t>
        </is>
      </c>
      <c r="F1472" s="19" t="inlineStr">
        <is>
          <t>191</t>
        </is>
      </c>
      <c r="G1472" s="19" t="n"/>
      <c r="H1472" s="19" t="inlineStr">
        <is>
          <t>2</t>
        </is>
      </c>
      <c r="I1472" s="19" t="n"/>
      <c r="J1472" s="19" t="n"/>
      <c r="K1472" s="19" t="inlineStr">
        <is>
          <t>2</t>
        </is>
      </c>
      <c r="L1472" t="inlineStr">
        <is>
          <t>2026-08-08</t>
        </is>
      </c>
      <c r="N1472" t="inlineStr">
        <is>
          <t>IN_SCOPE_FINAL; SOURCE_CFG=IA-ST-CFG-0222; MARKET=YUASA 3000 EXPORT; STATUS=IN OEM / EU PACKAGE</t>
        </is>
      </c>
      <c r="O1472" t="inlineStr">
        <is>
          <t>2026-08-10T19:29:54Z</t>
        </is>
      </c>
      <c r="P1472" t="inlineStr">
        <is>
          <t>2026-08-10T19:29:54Z</t>
        </is>
      </c>
    </row>
    <row r="1473">
      <c r="A1473" s="19" t="inlineStr">
        <is>
          <t>1472</t>
        </is>
      </c>
      <c r="B1473" s="19" t="inlineStr">
        <is>
          <t>SC-1015010-ST-072-STD-13</t>
        </is>
      </c>
      <c r="C1473" t="inlineStr">
        <is>
          <t>1015010 → ST-072-STD-13</t>
        </is>
      </c>
      <c r="D1473" s="19" t="inlineStr">
        <is>
          <t>2</t>
        </is>
      </c>
      <c r="E1473" s="19" t="inlineStr">
        <is>
          <t>1770</t>
        </is>
      </c>
      <c r="F1473" s="19" t="inlineStr">
        <is>
          <t>191</t>
        </is>
      </c>
      <c r="G1473" s="19" t="n"/>
      <c r="H1473" s="19" t="inlineStr">
        <is>
          <t>2</t>
        </is>
      </c>
      <c r="I1473" s="19" t="n"/>
      <c r="J1473" s="19" t="n"/>
      <c r="K1473" s="19" t="inlineStr">
        <is>
          <t>2</t>
        </is>
      </c>
      <c r="L1473" t="inlineStr">
        <is>
          <t>2026-08-08</t>
        </is>
      </c>
      <c r="N1473" t="inlineStr">
        <is>
          <t>IN_SCOPE_FINAL; SOURCE_CFG=IA-ST-CFG-0222; MARKET=RAYA ENERGY INC. KANADA; STATUS=IN OEM / EU PACKAGE</t>
        </is>
      </c>
      <c r="O1473" t="inlineStr">
        <is>
          <t>2026-08-10T19:29:54Z</t>
        </is>
      </c>
      <c r="P1473" t="inlineStr">
        <is>
          <t>2026-08-10T19:29:54Z</t>
        </is>
      </c>
    </row>
    <row r="1474">
      <c r="A1474" s="19" t="inlineStr">
        <is>
          <t>1473</t>
        </is>
      </c>
      <c r="B1474" s="19" t="inlineStr">
        <is>
          <t>SC-1014602-ST-072-STD-13</t>
        </is>
      </c>
      <c r="C1474" t="inlineStr">
        <is>
          <t>1014602 → ST-072-STD-13</t>
        </is>
      </c>
      <c r="D1474" s="19" t="inlineStr">
        <is>
          <t>2</t>
        </is>
      </c>
      <c r="E1474" s="19" t="inlineStr">
        <is>
          <t>1485</t>
        </is>
      </c>
      <c r="F1474" s="19" t="inlineStr">
        <is>
          <t>191</t>
        </is>
      </c>
      <c r="G1474" s="19" t="n"/>
      <c r="H1474" s="19" t="inlineStr">
        <is>
          <t>2</t>
        </is>
      </c>
      <c r="I1474" s="19" t="n"/>
      <c r="J1474" s="19" t="n"/>
      <c r="K1474" s="19" t="inlineStr">
        <is>
          <t>2</t>
        </is>
      </c>
      <c r="L1474" t="inlineStr">
        <is>
          <t>2026-08-08</t>
        </is>
      </c>
      <c r="N1474" t="inlineStr">
        <is>
          <t>IN_SCOPE_FINAL; SOURCE_CFG=IA-ST-CFG-0222; MARKET=RAYA ENERGY INC. KANADA; STATUS=IN OEM / EU PACKAGE</t>
        </is>
      </c>
      <c r="O1474" t="inlineStr">
        <is>
          <t>2026-08-10T19:29:54Z</t>
        </is>
      </c>
      <c r="P1474" t="inlineStr">
        <is>
          <t>2026-08-10T19:29:54Z</t>
        </is>
      </c>
    </row>
    <row r="1475">
      <c r="A1475" s="19" t="inlineStr">
        <is>
          <t>1474</t>
        </is>
      </c>
      <c r="B1475" s="19" t="inlineStr">
        <is>
          <t>SC-1014604-ST-072-STD-13</t>
        </is>
      </c>
      <c r="C1475" t="inlineStr">
        <is>
          <t>1014604 → ST-072-STD-13</t>
        </is>
      </c>
      <c r="D1475" s="19" t="inlineStr">
        <is>
          <t>2</t>
        </is>
      </c>
      <c r="E1475" s="19" t="inlineStr">
        <is>
          <t>1486</t>
        </is>
      </c>
      <c r="F1475" s="19" t="inlineStr">
        <is>
          <t>191</t>
        </is>
      </c>
      <c r="G1475" s="19" t="n"/>
      <c r="H1475" s="19" t="inlineStr">
        <is>
          <t>2</t>
        </is>
      </c>
      <c r="I1475" s="19" t="n"/>
      <c r="J1475" s="19" t="n"/>
      <c r="K1475" s="19" t="inlineStr">
        <is>
          <t>2</t>
        </is>
      </c>
      <c r="L1475" t="inlineStr">
        <is>
          <t>2026-08-08</t>
        </is>
      </c>
      <c r="N1475" t="inlineStr">
        <is>
          <t>IN_SCOPE_FINAL; SOURCE_CFG=IA-ST-CFG-0222; MARKET=RAYA ENERGY INC. KANADA; STATUS=IN OEM / EU PACKAGE</t>
        </is>
      </c>
      <c r="O1475" t="inlineStr">
        <is>
          <t>2026-08-10T19:29:54Z</t>
        </is>
      </c>
      <c r="P1475" t="inlineStr">
        <is>
          <t>2026-08-10T19:29:54Z</t>
        </is>
      </c>
    </row>
    <row r="1476">
      <c r="A1476" s="19" t="inlineStr">
        <is>
          <t>1475</t>
        </is>
      </c>
      <c r="B1476" s="19" t="inlineStr">
        <is>
          <t>SC-1011875-ST-072-STD-13</t>
        </is>
      </c>
      <c r="C1476" t="inlineStr">
        <is>
          <t>1011875 → ST-072-STD-13</t>
        </is>
      </c>
      <c r="D1476" s="19" t="inlineStr">
        <is>
          <t>2</t>
        </is>
      </c>
      <c r="E1476" s="19" t="inlineStr">
        <is>
          <t>383</t>
        </is>
      </c>
      <c r="F1476" s="19" t="inlineStr">
        <is>
          <t>191</t>
        </is>
      </c>
      <c r="G1476" s="19" t="n"/>
      <c r="H1476" s="19" t="inlineStr">
        <is>
          <t>2</t>
        </is>
      </c>
      <c r="I1476" s="19" t="n"/>
      <c r="J1476" s="19" t="n"/>
      <c r="K1476" s="19" t="inlineStr">
        <is>
          <t>2</t>
        </is>
      </c>
      <c r="L1476" t="inlineStr">
        <is>
          <t>2026-08-08</t>
        </is>
      </c>
      <c r="N1476" t="inlineStr">
        <is>
          <t>IN_SCOPE_FINAL; SOURCE_CFG=IA-ST-CFG-0222; MARKET=None; STATUS=IN OEM / EU PACKAGE</t>
        </is>
      </c>
      <c r="O1476" t="inlineStr">
        <is>
          <t>2026-08-10T19:29:54Z</t>
        </is>
      </c>
      <c r="P1476" t="inlineStr">
        <is>
          <t>2026-08-10T19:29:54Z</t>
        </is>
      </c>
    </row>
    <row r="1477">
      <c r="A1477" s="19" t="inlineStr">
        <is>
          <t>1476</t>
        </is>
      </c>
      <c r="B1477" s="19" t="inlineStr">
        <is>
          <t>SC-1012023-ST-072-STD-13</t>
        </is>
      </c>
      <c r="C1477" t="inlineStr">
        <is>
          <t>1012023 → ST-072-STD-13</t>
        </is>
      </c>
      <c r="D1477" s="19" t="inlineStr">
        <is>
          <t>2</t>
        </is>
      </c>
      <c r="E1477" s="19" t="inlineStr">
        <is>
          <t>478</t>
        </is>
      </c>
      <c r="F1477" s="19" t="inlineStr">
        <is>
          <t>191</t>
        </is>
      </c>
      <c r="G1477" s="19" t="n"/>
      <c r="H1477" s="19" t="inlineStr">
        <is>
          <t>2</t>
        </is>
      </c>
      <c r="I1477" s="19" t="n"/>
      <c r="J1477" s="19" t="n"/>
      <c r="K1477" s="19" t="inlineStr">
        <is>
          <t>2</t>
        </is>
      </c>
      <c r="L1477" t="inlineStr">
        <is>
          <t>2026-08-08</t>
        </is>
      </c>
      <c r="N1477" t="inlineStr">
        <is>
          <t>IN_SCOPE_FINAL; SOURCE_CFG=IA-ST-CFG-0222; MARKET=MIRKAZ İSRAİL; STATUS=IN OEM / EU PACKAGE</t>
        </is>
      </c>
      <c r="O1477" t="inlineStr">
        <is>
          <t>2026-08-10T19:29:54Z</t>
        </is>
      </c>
      <c r="P1477" t="inlineStr">
        <is>
          <t>2026-08-10T19:29:54Z</t>
        </is>
      </c>
    </row>
    <row r="1478">
      <c r="A1478" s="19" t="inlineStr">
        <is>
          <t>1477</t>
        </is>
      </c>
      <c r="B1478" s="19" t="inlineStr">
        <is>
          <t>SC-1012052-ST-072-STD-13</t>
        </is>
      </c>
      <c r="C1478" t="inlineStr">
        <is>
          <t>1012052 → ST-072-STD-13</t>
        </is>
      </c>
      <c r="D1478" s="19" t="inlineStr">
        <is>
          <t>2</t>
        </is>
      </c>
      <c r="E1478" s="19" t="inlineStr">
        <is>
          <t>498</t>
        </is>
      </c>
      <c r="F1478" s="19" t="inlineStr">
        <is>
          <t>191</t>
        </is>
      </c>
      <c r="G1478" s="19" t="n"/>
      <c r="H1478" s="19" t="inlineStr">
        <is>
          <t>2</t>
        </is>
      </c>
      <c r="I1478" s="19" t="n"/>
      <c r="J1478" s="19" t="n"/>
      <c r="K1478" s="19" t="inlineStr">
        <is>
          <t>2</t>
        </is>
      </c>
      <c r="L1478" t="inlineStr">
        <is>
          <t>2026-08-08</t>
        </is>
      </c>
      <c r="N1478" t="inlineStr">
        <is>
          <t>IN_SCOPE_FINAL; SOURCE_CFG=IA-ST-CFG-0222; MARKET=None; STATUS=IN OEM / EU PACKAGE</t>
        </is>
      </c>
      <c r="O1478" t="inlineStr">
        <is>
          <t>2026-08-10T19:29:54Z</t>
        </is>
      </c>
      <c r="P1478" t="inlineStr">
        <is>
          <t>2026-08-10T19:29:54Z</t>
        </is>
      </c>
    </row>
    <row r="1479">
      <c r="A1479" s="19" t="inlineStr">
        <is>
          <t>1478</t>
        </is>
      </c>
      <c r="B1479" s="19" t="inlineStr">
        <is>
          <t>SC-1012054-ST-072-STD-13</t>
        </is>
      </c>
      <c r="C1479" t="inlineStr">
        <is>
          <t>1012054 → ST-072-STD-13</t>
        </is>
      </c>
      <c r="D1479" s="19" t="inlineStr">
        <is>
          <t>2</t>
        </is>
      </c>
      <c r="E1479" s="19" t="inlineStr">
        <is>
          <t>500</t>
        </is>
      </c>
      <c r="F1479" s="19" t="inlineStr">
        <is>
          <t>191</t>
        </is>
      </c>
      <c r="G1479" s="19" t="n"/>
      <c r="H1479" s="19" t="inlineStr">
        <is>
          <t>2</t>
        </is>
      </c>
      <c r="I1479" s="19" t="n"/>
      <c r="J1479" s="19" t="n"/>
      <c r="K1479" s="19" t="inlineStr">
        <is>
          <t>2</t>
        </is>
      </c>
      <c r="L1479" t="inlineStr">
        <is>
          <t>2026-08-08</t>
        </is>
      </c>
      <c r="N1479" t="inlineStr">
        <is>
          <t>IN_SCOPE_FINAL; SOURCE_CFG=IA-ST-CFG-0222; MARKET=None; STATUS=IN OEM / EU PACKAGE</t>
        </is>
      </c>
      <c r="O1479" t="inlineStr">
        <is>
          <t>2026-08-10T19:29:54Z</t>
        </is>
      </c>
      <c r="P1479" t="inlineStr">
        <is>
          <t>2026-08-10T19:29:54Z</t>
        </is>
      </c>
    </row>
    <row r="1480">
      <c r="A1480" s="19" t="inlineStr">
        <is>
          <t>1479</t>
        </is>
      </c>
      <c r="B1480" s="19" t="inlineStr">
        <is>
          <t>SC-1012056-ST-072-STD-13</t>
        </is>
      </c>
      <c r="C1480" t="inlineStr">
        <is>
          <t>1012056 → ST-072-STD-13</t>
        </is>
      </c>
      <c r="D1480" s="19" t="inlineStr">
        <is>
          <t>2</t>
        </is>
      </c>
      <c r="E1480" s="19" t="inlineStr">
        <is>
          <t>502</t>
        </is>
      </c>
      <c r="F1480" s="19" t="inlineStr">
        <is>
          <t>191</t>
        </is>
      </c>
      <c r="G1480" s="19" t="n"/>
      <c r="H1480" s="19" t="inlineStr">
        <is>
          <t>2</t>
        </is>
      </c>
      <c r="I1480" s="19" t="n"/>
      <c r="J1480" s="19" t="n"/>
      <c r="K1480" s="19" t="inlineStr">
        <is>
          <t>2</t>
        </is>
      </c>
      <c r="L1480" t="inlineStr">
        <is>
          <t>2026-08-08</t>
        </is>
      </c>
      <c r="N1480" t="inlineStr">
        <is>
          <t>IN_SCOPE_FINAL; SOURCE_CFG=IA-ST-CFG-0222; MARKET=None; STATUS=IN OEM / EU PACKAGE</t>
        </is>
      </c>
      <c r="O1480" t="inlineStr">
        <is>
          <t>2026-08-10T19:29:54Z</t>
        </is>
      </c>
      <c r="P1480" t="inlineStr">
        <is>
          <t>2026-08-10T19:29:54Z</t>
        </is>
      </c>
    </row>
    <row r="1481">
      <c r="A1481" s="19" t="inlineStr">
        <is>
          <t>1480</t>
        </is>
      </c>
      <c r="B1481" s="19" t="inlineStr">
        <is>
          <t>SC-1012058-ST-072-STD-13</t>
        </is>
      </c>
      <c r="C1481" t="inlineStr">
        <is>
          <t>1012058 → ST-072-STD-13</t>
        </is>
      </c>
      <c r="D1481" s="19" t="inlineStr">
        <is>
          <t>2</t>
        </is>
      </c>
      <c r="E1481" s="19" t="inlineStr">
        <is>
          <t>504</t>
        </is>
      </c>
      <c r="F1481" s="19" t="inlineStr">
        <is>
          <t>191</t>
        </is>
      </c>
      <c r="G1481" s="19" t="n"/>
      <c r="H1481" s="19" t="inlineStr">
        <is>
          <t>2</t>
        </is>
      </c>
      <c r="I1481" s="19" t="n"/>
      <c r="J1481" s="19" t="n"/>
      <c r="K1481" s="19" t="inlineStr">
        <is>
          <t>2</t>
        </is>
      </c>
      <c r="L1481" t="inlineStr">
        <is>
          <t>2026-08-08</t>
        </is>
      </c>
      <c r="N1481" t="inlineStr">
        <is>
          <t>IN_SCOPE_FINAL; SOURCE_CFG=IA-ST-CFG-0222; MARKET=None; STATUS=IN OEM / EU PACKAGE</t>
        </is>
      </c>
      <c r="O1481" t="inlineStr">
        <is>
          <t>2026-08-10T19:29:54Z</t>
        </is>
      </c>
      <c r="P1481" t="inlineStr">
        <is>
          <t>2026-08-10T19:29:54Z</t>
        </is>
      </c>
    </row>
    <row r="1482">
      <c r="A1482" s="19" t="inlineStr">
        <is>
          <t>1481</t>
        </is>
      </c>
      <c r="B1482" s="19" t="inlineStr">
        <is>
          <t>SC-1012146-ST-072-STD-13</t>
        </is>
      </c>
      <c r="C1482" t="inlineStr">
        <is>
          <t>1012146 → ST-072-STD-13</t>
        </is>
      </c>
      <c r="D1482" s="19" t="inlineStr">
        <is>
          <t>2</t>
        </is>
      </c>
      <c r="E1482" s="19" t="inlineStr">
        <is>
          <t>544</t>
        </is>
      </c>
      <c r="F1482" s="19" t="inlineStr">
        <is>
          <t>191</t>
        </is>
      </c>
      <c r="G1482" s="19" t="n"/>
      <c r="H1482" s="19" t="inlineStr">
        <is>
          <t>2</t>
        </is>
      </c>
      <c r="I1482" s="19" t="n"/>
      <c r="J1482" s="19" t="n"/>
      <c r="K1482" s="19" t="inlineStr">
        <is>
          <t>2</t>
        </is>
      </c>
      <c r="L1482" t="inlineStr">
        <is>
          <t>2026-08-08</t>
        </is>
      </c>
      <c r="N1482" t="inlineStr">
        <is>
          <t>IN_SCOPE_FINAL; SOURCE_CFG=IA-ST-CFG-0222; MARKET=CEZAİR SARL CIMA; STATUS=IN OEM / EU PACKAGE</t>
        </is>
      </c>
      <c r="O1482" t="inlineStr">
        <is>
          <t>2026-08-10T19:29:54Z</t>
        </is>
      </c>
      <c r="P1482" t="inlineStr">
        <is>
          <t>2026-08-10T19:29:54Z</t>
        </is>
      </c>
    </row>
    <row r="1483">
      <c r="A1483" s="19" t="inlineStr">
        <is>
          <t>1482</t>
        </is>
      </c>
      <c r="B1483" s="19" t="inlineStr">
        <is>
          <t>SC-1012165-ST-072-STD-13</t>
        </is>
      </c>
      <c r="C1483" t="inlineStr">
        <is>
          <t>1012165 → ST-072-STD-13</t>
        </is>
      </c>
      <c r="D1483" s="19" t="inlineStr">
        <is>
          <t>2</t>
        </is>
      </c>
      <c r="E1483" s="19" t="inlineStr">
        <is>
          <t>552</t>
        </is>
      </c>
      <c r="F1483" s="19" t="inlineStr">
        <is>
          <t>191</t>
        </is>
      </c>
      <c r="G1483" s="19" t="n"/>
      <c r="H1483" s="19" t="inlineStr">
        <is>
          <t>2</t>
        </is>
      </c>
      <c r="I1483" s="19" t="n"/>
      <c r="J1483" s="19" t="n"/>
      <c r="K1483" s="19" t="inlineStr">
        <is>
          <t>2</t>
        </is>
      </c>
      <c r="L1483" t="inlineStr">
        <is>
          <t>2026-08-08</t>
        </is>
      </c>
      <c r="N1483" t="inlineStr">
        <is>
          <t>IN_SCOPE_FINAL; SOURCE_CFG=IA-ST-CFG-0222; MARKET=None; STATUS=IN OEM / EU PACKAGE</t>
        </is>
      </c>
      <c r="O1483" t="inlineStr">
        <is>
          <t>2026-08-10T19:29:54Z</t>
        </is>
      </c>
      <c r="P1483" t="inlineStr">
        <is>
          <t>2026-08-10T19:29:54Z</t>
        </is>
      </c>
    </row>
    <row r="1484">
      <c r="A1484" s="19" t="inlineStr">
        <is>
          <t>1483</t>
        </is>
      </c>
      <c r="B1484" s="19" t="inlineStr">
        <is>
          <t>SC-1012190-ST-072-STD-13</t>
        </is>
      </c>
      <c r="C1484" t="inlineStr">
        <is>
          <t>1012190 → ST-072-STD-13</t>
        </is>
      </c>
      <c r="D1484" s="19" t="inlineStr">
        <is>
          <t>2</t>
        </is>
      </c>
      <c r="E1484" s="19" t="inlineStr">
        <is>
          <t>563</t>
        </is>
      </c>
      <c r="F1484" s="19" t="inlineStr">
        <is>
          <t>191</t>
        </is>
      </c>
      <c r="G1484" s="19" t="n"/>
      <c r="H1484" s="19" t="inlineStr">
        <is>
          <t>2</t>
        </is>
      </c>
      <c r="I1484" s="19" t="n"/>
      <c r="J1484" s="19" t="n"/>
      <c r="K1484" s="19" t="inlineStr">
        <is>
          <t>2</t>
        </is>
      </c>
      <c r="L1484" t="inlineStr">
        <is>
          <t>2026-08-08</t>
        </is>
      </c>
      <c r="N1484" t="inlineStr">
        <is>
          <t>IN_SCOPE_FINAL; SOURCE_CFG=IA-ST-CFG-0222; MARKET=None; STATUS=IN OEM / EU PACKAGE</t>
        </is>
      </c>
      <c r="O1484" t="inlineStr">
        <is>
          <t>2026-08-10T19:29:54Z</t>
        </is>
      </c>
      <c r="P1484" t="inlineStr">
        <is>
          <t>2026-08-10T19:29:54Z</t>
        </is>
      </c>
    </row>
    <row r="1485">
      <c r="A1485" s="19" t="inlineStr">
        <is>
          <t>1484</t>
        </is>
      </c>
      <c r="B1485" s="19" t="inlineStr">
        <is>
          <t>SC-1012191-ST-072-STD-13</t>
        </is>
      </c>
      <c r="C1485" t="inlineStr">
        <is>
          <t>1012191 → ST-072-STD-13</t>
        </is>
      </c>
      <c r="D1485" s="19" t="inlineStr">
        <is>
          <t>2</t>
        </is>
      </c>
      <c r="E1485" s="19" t="inlineStr">
        <is>
          <t>564</t>
        </is>
      </c>
      <c r="F1485" s="19" t="inlineStr">
        <is>
          <t>191</t>
        </is>
      </c>
      <c r="G1485" s="19" t="n"/>
      <c r="H1485" s="19" t="inlineStr">
        <is>
          <t>2</t>
        </is>
      </c>
      <c r="I1485" s="19" t="n"/>
      <c r="J1485" s="19" t="n"/>
      <c r="K1485" s="19" t="inlineStr">
        <is>
          <t>2</t>
        </is>
      </c>
      <c r="L1485" t="inlineStr">
        <is>
          <t>2026-08-08</t>
        </is>
      </c>
      <c r="N1485" t="inlineStr">
        <is>
          <t>IN_SCOPE_FINAL; SOURCE_CFG=IA-ST-CFG-0222; MARKET=None; STATUS=IN OEM / EU PACKAGE</t>
        </is>
      </c>
      <c r="O1485" t="inlineStr">
        <is>
          <t>2026-08-10T19:29:54Z</t>
        </is>
      </c>
      <c r="P1485" t="inlineStr">
        <is>
          <t>2026-08-10T19:29:54Z</t>
        </is>
      </c>
    </row>
    <row r="1486">
      <c r="A1486" s="19" t="inlineStr">
        <is>
          <t>1485</t>
        </is>
      </c>
      <c r="B1486" s="19" t="inlineStr">
        <is>
          <t>SC-1012307-ST-072-STD-13</t>
        </is>
      </c>
      <c r="C1486" t="inlineStr">
        <is>
          <t>1012307 → ST-072-STD-13</t>
        </is>
      </c>
      <c r="D1486" s="19" t="inlineStr">
        <is>
          <t>2</t>
        </is>
      </c>
      <c r="E1486" s="19" t="inlineStr">
        <is>
          <t>595</t>
        </is>
      </c>
      <c r="F1486" s="19" t="inlineStr">
        <is>
          <t>191</t>
        </is>
      </c>
      <c r="G1486" s="19" t="n"/>
      <c r="H1486" s="19" t="inlineStr">
        <is>
          <t>2</t>
        </is>
      </c>
      <c r="I1486" s="19" t="n"/>
      <c r="J1486" s="19" t="n"/>
      <c r="K1486" s="19" t="inlineStr">
        <is>
          <t>2</t>
        </is>
      </c>
      <c r="L1486" t="inlineStr">
        <is>
          <t>2026-08-08</t>
        </is>
      </c>
      <c r="N1486" t="inlineStr">
        <is>
          <t>IN_SCOPE_FINAL; SOURCE_CFG=IA-ST-CFG-0222; MARKET=None; STATUS=IN OEM / EU PACKAGE</t>
        </is>
      </c>
      <c r="O1486" t="inlineStr">
        <is>
          <t>2026-08-10T19:29:54Z</t>
        </is>
      </c>
      <c r="P1486" t="inlineStr">
        <is>
          <t>2026-08-10T19:29:54Z</t>
        </is>
      </c>
    </row>
    <row r="1487">
      <c r="A1487" s="19" t="inlineStr">
        <is>
          <t>1486</t>
        </is>
      </c>
      <c r="B1487" s="19" t="inlineStr">
        <is>
          <t>SC-1012313-ST-072-STD-13</t>
        </is>
      </c>
      <c r="C1487" t="inlineStr">
        <is>
          <t>1012313 → ST-072-STD-13</t>
        </is>
      </c>
      <c r="D1487" s="19" t="inlineStr">
        <is>
          <t>2</t>
        </is>
      </c>
      <c r="E1487" s="19" t="inlineStr">
        <is>
          <t>597</t>
        </is>
      </c>
      <c r="F1487" s="19" t="inlineStr">
        <is>
          <t>191</t>
        </is>
      </c>
      <c r="G1487" s="19" t="n"/>
      <c r="H1487" s="19" t="inlineStr">
        <is>
          <t>2</t>
        </is>
      </c>
      <c r="I1487" s="19" t="n"/>
      <c r="J1487" s="19" t="n"/>
      <c r="K1487" s="19" t="inlineStr">
        <is>
          <t>2</t>
        </is>
      </c>
      <c r="L1487" t="inlineStr">
        <is>
          <t>2026-08-08</t>
        </is>
      </c>
      <c r="N1487" t="inlineStr">
        <is>
          <t>IN_SCOPE_FINAL; SOURCE_CFG=IA-ST-CFG-0222; MARKET=None; STATUS=IN OEM / EU PACKAGE</t>
        </is>
      </c>
      <c r="O1487" t="inlineStr">
        <is>
          <t>2026-08-10T19:29:54Z</t>
        </is>
      </c>
      <c r="P1487" t="inlineStr">
        <is>
          <t>2026-08-10T19:29:54Z</t>
        </is>
      </c>
    </row>
    <row r="1488">
      <c r="A1488" s="19" t="inlineStr">
        <is>
          <t>1487</t>
        </is>
      </c>
      <c r="B1488" s="19" t="inlineStr">
        <is>
          <t>SC-1012314-ST-072-STD-13</t>
        </is>
      </c>
      <c r="C1488" t="inlineStr">
        <is>
          <t>1012314 → ST-072-STD-13</t>
        </is>
      </c>
      <c r="D1488" s="19" t="inlineStr">
        <is>
          <t>2</t>
        </is>
      </c>
      <c r="E1488" s="19" t="inlineStr">
        <is>
          <t>598</t>
        </is>
      </c>
      <c r="F1488" s="19" t="inlineStr">
        <is>
          <t>191</t>
        </is>
      </c>
      <c r="G1488" s="19" t="n"/>
      <c r="H1488" s="19" t="inlineStr">
        <is>
          <t>2</t>
        </is>
      </c>
      <c r="I1488" s="19" t="n"/>
      <c r="J1488" s="19" t="n"/>
      <c r="K1488" s="19" t="inlineStr">
        <is>
          <t>2</t>
        </is>
      </c>
      <c r="L1488" t="inlineStr">
        <is>
          <t>2026-08-08</t>
        </is>
      </c>
      <c r="N1488" t="inlineStr">
        <is>
          <t>IN_SCOPE_FINAL; SOURCE_CFG=IA-ST-CFG-0222; MARKET=None; STATUS=IN OEM / EU PACKAGE</t>
        </is>
      </c>
      <c r="O1488" t="inlineStr">
        <is>
          <t>2026-08-10T19:29:54Z</t>
        </is>
      </c>
      <c r="P1488" t="inlineStr">
        <is>
          <t>2026-08-10T19:29:54Z</t>
        </is>
      </c>
    </row>
    <row r="1489">
      <c r="A1489" s="19" t="inlineStr">
        <is>
          <t>1488</t>
        </is>
      </c>
      <c r="B1489" s="19" t="inlineStr">
        <is>
          <t>SC-1012372-ST-072-STD-13</t>
        </is>
      </c>
      <c r="C1489" t="inlineStr">
        <is>
          <t>1012372 → ST-072-STD-13</t>
        </is>
      </c>
      <c r="D1489" s="19" t="inlineStr">
        <is>
          <t>2</t>
        </is>
      </c>
      <c r="E1489" s="19" t="inlineStr">
        <is>
          <t>617</t>
        </is>
      </c>
      <c r="F1489" s="19" t="inlineStr">
        <is>
          <t>191</t>
        </is>
      </c>
      <c r="G1489" s="19" t="n"/>
      <c r="H1489" s="19" t="inlineStr">
        <is>
          <t>2</t>
        </is>
      </c>
      <c r="I1489" s="19" t="n"/>
      <c r="J1489" s="19" t="n"/>
      <c r="K1489" s="19" t="inlineStr">
        <is>
          <t>2</t>
        </is>
      </c>
      <c r="L1489" t="inlineStr">
        <is>
          <t>2026-08-08</t>
        </is>
      </c>
      <c r="N1489" t="inlineStr">
        <is>
          <t>IN_SCOPE_FINAL; SOURCE_CFG=IA-ST-CFG-0222; MARKET=None; STATUS=IN OEM / EU PACKAGE</t>
        </is>
      </c>
      <c r="O1489" t="inlineStr">
        <is>
          <t>2026-08-10T19:29:54Z</t>
        </is>
      </c>
      <c r="P1489" t="inlineStr">
        <is>
          <t>2026-08-10T19:29:54Z</t>
        </is>
      </c>
    </row>
    <row r="1490">
      <c r="A1490" s="19" t="inlineStr">
        <is>
          <t>1489</t>
        </is>
      </c>
      <c r="B1490" s="19" t="inlineStr">
        <is>
          <t>SC-1012488-ST-072-STD-13</t>
        </is>
      </c>
      <c r="C1490" t="inlineStr">
        <is>
          <t>1012488 → ST-072-STD-13</t>
        </is>
      </c>
      <c r="D1490" s="19" t="inlineStr">
        <is>
          <t>2</t>
        </is>
      </c>
      <c r="E1490" s="19" t="inlineStr">
        <is>
          <t>673</t>
        </is>
      </c>
      <c r="F1490" s="19" t="inlineStr">
        <is>
          <t>191</t>
        </is>
      </c>
      <c r="G1490" s="19" t="n"/>
      <c r="H1490" s="19" t="inlineStr">
        <is>
          <t>2</t>
        </is>
      </c>
      <c r="I1490" s="19" t="n"/>
      <c r="J1490" s="19" t="n"/>
      <c r="K1490" s="19" t="inlineStr">
        <is>
          <t>2</t>
        </is>
      </c>
      <c r="L1490" t="inlineStr">
        <is>
          <t>2026-08-08</t>
        </is>
      </c>
      <c r="N1490" t="inlineStr">
        <is>
          <t>IN_SCOPE_FINAL; SOURCE_CFG=IA-ST-CFG-0222; MARKET=None; STATUS=IN OEM / EU PACKAGE</t>
        </is>
      </c>
      <c r="O1490" t="inlineStr">
        <is>
          <t>2026-08-10T19:29:54Z</t>
        </is>
      </c>
      <c r="P1490" t="inlineStr">
        <is>
          <t>2026-08-10T19:29:54Z</t>
        </is>
      </c>
    </row>
    <row r="1491">
      <c r="A1491" s="19" t="inlineStr">
        <is>
          <t>1490</t>
        </is>
      </c>
      <c r="B1491" s="19" t="inlineStr">
        <is>
          <t>SC-1012587-ST-072-STD-13</t>
        </is>
      </c>
      <c r="C1491" t="inlineStr">
        <is>
          <t>1012587 → ST-072-STD-13</t>
        </is>
      </c>
      <c r="D1491" s="19" t="inlineStr">
        <is>
          <t>2</t>
        </is>
      </c>
      <c r="E1491" s="19" t="inlineStr">
        <is>
          <t>708</t>
        </is>
      </c>
      <c r="F1491" s="19" t="inlineStr">
        <is>
          <t>191</t>
        </is>
      </c>
      <c r="G1491" s="19" t="n"/>
      <c r="H1491" s="19" t="inlineStr">
        <is>
          <t>2</t>
        </is>
      </c>
      <c r="I1491" s="19" t="n"/>
      <c r="J1491" s="19" t="n"/>
      <c r="K1491" s="19" t="inlineStr">
        <is>
          <t>2</t>
        </is>
      </c>
      <c r="L1491" t="inlineStr">
        <is>
          <t>2026-08-08</t>
        </is>
      </c>
      <c r="N1491" t="inlineStr">
        <is>
          <t>IN_SCOPE_FINAL; SOURCE_CFG=IA-ST-CFG-0222; MARKET=None; STATUS=IN OEM / EU PACKAGE</t>
        </is>
      </c>
      <c r="O1491" t="inlineStr">
        <is>
          <t>2026-08-10T19:29:54Z</t>
        </is>
      </c>
      <c r="P1491" t="inlineStr">
        <is>
          <t>2026-08-10T19:29:54Z</t>
        </is>
      </c>
    </row>
    <row r="1492">
      <c r="A1492" s="19" t="inlineStr">
        <is>
          <t>1491</t>
        </is>
      </c>
      <c r="B1492" s="19" t="inlineStr">
        <is>
          <t>SC-1012810-ST-072-STD-13</t>
        </is>
      </c>
      <c r="C1492" t="inlineStr">
        <is>
          <t>1012810 → ST-072-STD-13</t>
        </is>
      </c>
      <c r="D1492" s="19" t="inlineStr">
        <is>
          <t>2</t>
        </is>
      </c>
      <c r="E1492" s="19" t="inlineStr">
        <is>
          <t>793</t>
        </is>
      </c>
      <c r="F1492" s="19" t="inlineStr">
        <is>
          <t>191</t>
        </is>
      </c>
      <c r="G1492" s="19" t="n"/>
      <c r="H1492" s="19" t="inlineStr">
        <is>
          <t>2</t>
        </is>
      </c>
      <c r="I1492" s="19" t="n"/>
      <c r="J1492" s="19" t="n"/>
      <c r="K1492" s="19" t="inlineStr">
        <is>
          <t>2</t>
        </is>
      </c>
      <c r="L1492" t="inlineStr">
        <is>
          <t>2026-08-08</t>
        </is>
      </c>
      <c r="N1492" t="inlineStr">
        <is>
          <t>IN_SCOPE_FINAL; SOURCE_CFG=IA-ST-CFG-0222; MARKET=None; STATUS=IN OEM / EU PACKAGE</t>
        </is>
      </c>
      <c r="O1492" t="inlineStr">
        <is>
          <t>2026-08-10T19:29:54Z</t>
        </is>
      </c>
      <c r="P1492" t="inlineStr">
        <is>
          <t>2026-08-10T19:29:54Z</t>
        </is>
      </c>
    </row>
    <row r="1493">
      <c r="A1493" s="19" t="inlineStr">
        <is>
          <t>1492</t>
        </is>
      </c>
      <c r="B1493" s="19" t="inlineStr">
        <is>
          <t>SC-1012915-ST-072-STD-13</t>
        </is>
      </c>
      <c r="C1493" t="inlineStr">
        <is>
          <t>1012915 → ST-072-STD-13</t>
        </is>
      </c>
      <c r="D1493" s="19" t="inlineStr">
        <is>
          <t>2</t>
        </is>
      </c>
      <c r="E1493" s="19" t="inlineStr">
        <is>
          <t>865</t>
        </is>
      </c>
      <c r="F1493" s="19" t="inlineStr">
        <is>
          <t>191</t>
        </is>
      </c>
      <c r="G1493" s="19" t="n"/>
      <c r="H1493" s="19" t="inlineStr">
        <is>
          <t>2</t>
        </is>
      </c>
      <c r="I1493" s="19" t="n"/>
      <c r="J1493" s="19" t="n"/>
      <c r="K1493" s="19" t="inlineStr">
        <is>
          <t>2</t>
        </is>
      </c>
      <c r="L1493" t="inlineStr">
        <is>
          <t>2026-08-08</t>
        </is>
      </c>
      <c r="N1493" t="inlineStr">
        <is>
          <t>IN_SCOPE_FINAL; SOURCE_CFG=IA-ST-CFG-0222; MARKET=SHAWKAT; STATUS=IN OEM / EU PACKAGE</t>
        </is>
      </c>
      <c r="O1493" t="inlineStr">
        <is>
          <t>2026-08-10T19:29:54Z</t>
        </is>
      </c>
      <c r="P1493" t="inlineStr">
        <is>
          <t>2026-08-10T19:29:54Z</t>
        </is>
      </c>
    </row>
    <row r="1494">
      <c r="A1494" s="19" t="inlineStr">
        <is>
          <t>1493</t>
        </is>
      </c>
      <c r="B1494" s="19" t="inlineStr">
        <is>
          <t>SC-1013097-ST-072-STD-13</t>
        </is>
      </c>
      <c r="C1494" t="inlineStr">
        <is>
          <t>1013097 → ST-072-STD-13</t>
        </is>
      </c>
      <c r="D1494" s="19" t="inlineStr">
        <is>
          <t>2</t>
        </is>
      </c>
      <c r="E1494" s="19" t="inlineStr">
        <is>
          <t>919</t>
        </is>
      </c>
      <c r="F1494" s="19" t="inlineStr">
        <is>
          <t>191</t>
        </is>
      </c>
      <c r="G1494" s="19" t="n"/>
      <c r="H1494" s="19" t="inlineStr">
        <is>
          <t>2</t>
        </is>
      </c>
      <c r="I1494" s="19" t="n"/>
      <c r="J1494" s="19" t="n"/>
      <c r="K1494" s="19" t="inlineStr">
        <is>
          <t>2</t>
        </is>
      </c>
      <c r="L1494" t="inlineStr">
        <is>
          <t>2026-08-08</t>
        </is>
      </c>
      <c r="N1494" t="inlineStr">
        <is>
          <t>IN_SCOPE_FINAL; SOURCE_CFG=IA-ST-CFG-0222; MARKET=None; STATUS=IN OEM / EU PACKAGE</t>
        </is>
      </c>
      <c r="O1494" t="inlineStr">
        <is>
          <t>2026-08-10T19:29:54Z</t>
        </is>
      </c>
      <c r="P1494" t="inlineStr">
        <is>
          <t>2026-08-10T19:29:54Z</t>
        </is>
      </c>
    </row>
    <row r="1495">
      <c r="A1495" s="19" t="inlineStr">
        <is>
          <t>1494</t>
        </is>
      </c>
      <c r="B1495" s="19" t="inlineStr">
        <is>
          <t>SC-1014347-ST-072-STD-13</t>
        </is>
      </c>
      <c r="C1495" t="inlineStr">
        <is>
          <t>1014347 → ST-072-STD-13</t>
        </is>
      </c>
      <c r="D1495" s="19" t="inlineStr">
        <is>
          <t>2</t>
        </is>
      </c>
      <c r="E1495" s="19" t="inlineStr">
        <is>
          <t>1314</t>
        </is>
      </c>
      <c r="F1495" s="19" t="inlineStr">
        <is>
          <t>191</t>
        </is>
      </c>
      <c r="G1495" s="19" t="n"/>
      <c r="H1495" s="19" t="inlineStr">
        <is>
          <t>2</t>
        </is>
      </c>
      <c r="I1495" s="19" t="n"/>
      <c r="J1495" s="19" t="n"/>
      <c r="K1495" s="19" t="inlineStr">
        <is>
          <t>2</t>
        </is>
      </c>
      <c r="L1495" t="inlineStr">
        <is>
          <t>2026-08-08</t>
        </is>
      </c>
      <c r="N1495" t="inlineStr">
        <is>
          <t>IN_SCOPE_FINAL; SOURCE_CFG=IA-ST-CFG-0222; MARKET=MISIR ALSAFA; STATUS=IN OEM / EU PACKAGE</t>
        </is>
      </c>
      <c r="O1495" t="inlineStr">
        <is>
          <t>2026-08-10T19:29:54Z</t>
        </is>
      </c>
      <c r="P1495" t="inlineStr">
        <is>
          <t>2026-08-10T19:29:54Z</t>
        </is>
      </c>
    </row>
    <row r="1496">
      <c r="A1496" s="19" t="inlineStr">
        <is>
          <t>1495</t>
        </is>
      </c>
      <c r="B1496" s="19" t="inlineStr">
        <is>
          <t>SC-1014394-ST-072-STD-13</t>
        </is>
      </c>
      <c r="C1496" t="inlineStr">
        <is>
          <t>1014394 → ST-072-STD-13</t>
        </is>
      </c>
      <c r="D1496" s="19" t="inlineStr">
        <is>
          <t>2</t>
        </is>
      </c>
      <c r="E1496" s="19" t="inlineStr">
        <is>
          <t>1344</t>
        </is>
      </c>
      <c r="F1496" s="19" t="inlineStr">
        <is>
          <t>191</t>
        </is>
      </c>
      <c r="G1496" s="19" t="n"/>
      <c r="H1496" s="19" t="inlineStr">
        <is>
          <t>2</t>
        </is>
      </c>
      <c r="I1496" s="19" t="n"/>
      <c r="J1496" s="19" t="n"/>
      <c r="K1496" s="19" t="inlineStr">
        <is>
          <t>2</t>
        </is>
      </c>
      <c r="L1496" t="inlineStr">
        <is>
          <t>2026-08-08</t>
        </is>
      </c>
      <c r="N1496" t="inlineStr">
        <is>
          <t>IN_SCOPE_FINAL; SOURCE_CFG=IA-ST-CFG-0222; MARKET=REDMAY URUGUAY; STATUS=IN OEM / EU PACKAGE</t>
        </is>
      </c>
      <c r="O1496" t="inlineStr">
        <is>
          <t>2026-08-10T19:29:54Z</t>
        </is>
      </c>
      <c r="P1496" t="inlineStr">
        <is>
          <t>2026-08-10T19:29:54Z</t>
        </is>
      </c>
    </row>
    <row r="1497">
      <c r="A1497" s="19" t="inlineStr">
        <is>
          <t>1496</t>
        </is>
      </c>
      <c r="B1497" s="19" t="inlineStr">
        <is>
          <t>SC-1014396-ST-072-STD-13</t>
        </is>
      </c>
      <c r="C1497" t="inlineStr">
        <is>
          <t>1014396 → ST-072-STD-13</t>
        </is>
      </c>
      <c r="D1497" s="19" t="inlineStr">
        <is>
          <t>2</t>
        </is>
      </c>
      <c r="E1497" s="19" t="inlineStr">
        <is>
          <t>1346</t>
        </is>
      </c>
      <c r="F1497" s="19" t="inlineStr">
        <is>
          <t>191</t>
        </is>
      </c>
      <c r="G1497" s="19" t="n"/>
      <c r="H1497" s="19" t="inlineStr">
        <is>
          <t>2</t>
        </is>
      </c>
      <c r="I1497" s="19" t="n"/>
      <c r="J1497" s="19" t="n"/>
      <c r="K1497" s="19" t="inlineStr">
        <is>
          <t>2</t>
        </is>
      </c>
      <c r="L1497" t="inlineStr">
        <is>
          <t>2026-08-08</t>
        </is>
      </c>
      <c r="N1497" t="inlineStr">
        <is>
          <t>IN_SCOPE_FINAL; SOURCE_CFG=IA-ST-CFG-0222; MARKET=REDMAY URUGUAY; STATUS=IN OEM / EU PACKAGE</t>
        </is>
      </c>
      <c r="O1497" t="inlineStr">
        <is>
          <t>2026-08-10T19:29:54Z</t>
        </is>
      </c>
      <c r="P1497" t="inlineStr">
        <is>
          <t>2026-08-10T19:29:54Z</t>
        </is>
      </c>
    </row>
    <row r="1498">
      <c r="A1498" s="19" t="inlineStr">
        <is>
          <t>1497</t>
        </is>
      </c>
      <c r="B1498" s="19" t="inlineStr">
        <is>
          <t>SC-1014999-ST-072-STD-13</t>
        </is>
      </c>
      <c r="C1498" t="inlineStr">
        <is>
          <t>1014999 → ST-072-STD-13</t>
        </is>
      </c>
      <c r="D1498" s="19" t="inlineStr">
        <is>
          <t>2</t>
        </is>
      </c>
      <c r="E1498" s="19" t="inlineStr">
        <is>
          <t>1760</t>
        </is>
      </c>
      <c r="F1498" s="19" t="inlineStr">
        <is>
          <t>191</t>
        </is>
      </c>
      <c r="G1498" s="19" t="n"/>
      <c r="H1498" s="19" t="inlineStr">
        <is>
          <t>2</t>
        </is>
      </c>
      <c r="I1498" s="19" t="n"/>
      <c r="J1498" s="19" t="n"/>
      <c r="K1498" s="19" t="inlineStr">
        <is>
          <t>2</t>
        </is>
      </c>
      <c r="L1498" t="inlineStr">
        <is>
          <t>2026-08-08</t>
        </is>
      </c>
      <c r="N1498" t="inlineStr">
        <is>
          <t>IN_SCOPE_FINAL; SOURCE_CFG=IA-ST-CFG-0222; MARKET=REDMAY URUGUAY; STATUS=IN OEM / EU PACKAGE</t>
        </is>
      </c>
      <c r="O1498" t="inlineStr">
        <is>
          <t>2026-08-10T19:29:54Z</t>
        </is>
      </c>
      <c r="P1498" t="inlineStr">
        <is>
          <t>2026-08-10T19:29:54Z</t>
        </is>
      </c>
    </row>
    <row r="1499">
      <c r="A1499" s="19" t="inlineStr">
        <is>
          <t>1498</t>
        </is>
      </c>
      <c r="B1499" s="19" t="inlineStr">
        <is>
          <t>SC-1015292-ST-072-STD-13</t>
        </is>
      </c>
      <c r="C1499" t="inlineStr">
        <is>
          <t>1015292 → ST-072-STD-13</t>
        </is>
      </c>
      <c r="D1499" s="19" t="inlineStr">
        <is>
          <t>2</t>
        </is>
      </c>
      <c r="E1499" s="19" t="inlineStr">
        <is>
          <t>2025</t>
        </is>
      </c>
      <c r="F1499" s="19" t="inlineStr">
        <is>
          <t>191</t>
        </is>
      </c>
      <c r="G1499" s="19" t="n"/>
      <c r="H1499" s="19" t="inlineStr">
        <is>
          <t>2</t>
        </is>
      </c>
      <c r="I1499" s="19" t="n"/>
      <c r="J1499" s="19" t="n"/>
      <c r="K1499" s="19" t="inlineStr">
        <is>
          <t>2</t>
        </is>
      </c>
      <c r="L1499" t="inlineStr">
        <is>
          <t>2026-08-08</t>
        </is>
      </c>
      <c r="N1499" t="inlineStr">
        <is>
          <t>IN_SCOPE_FINAL; SOURCE_CFG=IA-ST-CFG-0222; MARKET=SHAWKAT; STATUS=IN OEM / EU PACKAGE</t>
        </is>
      </c>
      <c r="O1499" t="inlineStr">
        <is>
          <t>2026-08-10T19:29:54Z</t>
        </is>
      </c>
      <c r="P1499" t="inlineStr">
        <is>
          <t>2026-08-10T19:29:54Z</t>
        </is>
      </c>
    </row>
    <row r="1500">
      <c r="A1500" s="19" t="inlineStr">
        <is>
          <t>1499</t>
        </is>
      </c>
      <c r="B1500" s="19" t="inlineStr">
        <is>
          <t>SC-1012006-ST-072-STD-13</t>
        </is>
      </c>
      <c r="C1500" t="inlineStr">
        <is>
          <t>1012006 → ST-072-STD-13</t>
        </is>
      </c>
      <c r="D1500" s="19" t="inlineStr">
        <is>
          <t>2</t>
        </is>
      </c>
      <c r="E1500" s="19" t="inlineStr">
        <is>
          <t>465</t>
        </is>
      </c>
      <c r="F1500" s="19" t="inlineStr">
        <is>
          <t>191</t>
        </is>
      </c>
      <c r="G1500" s="19" t="n"/>
      <c r="H1500" s="19" t="inlineStr">
        <is>
          <t>2</t>
        </is>
      </c>
      <c r="I1500" s="19" t="n"/>
      <c r="J1500" s="19" t="n"/>
      <c r="K1500" s="19" t="inlineStr">
        <is>
          <t>2</t>
        </is>
      </c>
      <c r="L1500" t="inlineStr">
        <is>
          <t>2026-08-08</t>
        </is>
      </c>
      <c r="N1500" t="inlineStr">
        <is>
          <t>IN_SCOPE_FINAL; SOURCE_CFG=IA-ST-CFG-0222; MARKET=None; STATUS=IN OEM / EU PACKAGE</t>
        </is>
      </c>
      <c r="O1500" t="inlineStr">
        <is>
          <t>2026-08-10T19:29:54Z</t>
        </is>
      </c>
      <c r="P1500" t="inlineStr">
        <is>
          <t>2026-08-10T19:29:54Z</t>
        </is>
      </c>
    </row>
    <row r="1501">
      <c r="A1501" s="19" t="inlineStr">
        <is>
          <t>1500</t>
        </is>
      </c>
      <c r="B1501" s="19" t="inlineStr">
        <is>
          <t>SC-1012007-ST-072-STD-13</t>
        </is>
      </c>
      <c r="C1501" t="inlineStr">
        <is>
          <t>1012007 → ST-072-STD-13</t>
        </is>
      </c>
      <c r="D1501" s="19" t="inlineStr">
        <is>
          <t>2</t>
        </is>
      </c>
      <c r="E1501" s="19" t="inlineStr">
        <is>
          <t>466</t>
        </is>
      </c>
      <c r="F1501" s="19" t="inlineStr">
        <is>
          <t>191</t>
        </is>
      </c>
      <c r="G1501" s="19" t="n"/>
      <c r="H1501" s="19" t="inlineStr">
        <is>
          <t>2</t>
        </is>
      </c>
      <c r="I1501" s="19" t="n"/>
      <c r="J1501" s="19" t="n"/>
      <c r="K1501" s="19" t="inlineStr">
        <is>
          <t>2</t>
        </is>
      </c>
      <c r="L1501" t="inlineStr">
        <is>
          <t>2026-08-08</t>
        </is>
      </c>
      <c r="N1501" t="inlineStr">
        <is>
          <t>IN_SCOPE_FINAL; SOURCE_CFG=IA-ST-CFG-0222; MARKET=None; STATUS=IN OEM / EU PACKAGE</t>
        </is>
      </c>
      <c r="O1501" t="inlineStr">
        <is>
          <t>2026-08-10T19:29:54Z</t>
        </is>
      </c>
      <c r="P1501" t="inlineStr">
        <is>
          <t>2026-08-10T19:29:54Z</t>
        </is>
      </c>
    </row>
    <row r="1502">
      <c r="A1502" s="19" t="inlineStr">
        <is>
          <t>1501</t>
        </is>
      </c>
      <c r="B1502" s="19" t="inlineStr">
        <is>
          <t>SC-1012010-ST-072-STD-13</t>
        </is>
      </c>
      <c r="C1502" t="inlineStr">
        <is>
          <t>1012010 → ST-072-STD-13</t>
        </is>
      </c>
      <c r="D1502" s="19" t="inlineStr">
        <is>
          <t>2</t>
        </is>
      </c>
      <c r="E1502" s="19" t="inlineStr">
        <is>
          <t>468</t>
        </is>
      </c>
      <c r="F1502" s="19" t="inlineStr">
        <is>
          <t>191</t>
        </is>
      </c>
      <c r="G1502" s="19" t="n"/>
      <c r="H1502" s="19" t="inlineStr">
        <is>
          <t>2</t>
        </is>
      </c>
      <c r="I1502" s="19" t="n"/>
      <c r="J1502" s="19" t="n"/>
      <c r="K1502" s="19" t="inlineStr">
        <is>
          <t>2</t>
        </is>
      </c>
      <c r="L1502" t="inlineStr">
        <is>
          <t>2026-08-08</t>
        </is>
      </c>
      <c r="N1502" t="inlineStr">
        <is>
          <t>IN_SCOPE_FINAL; SOURCE_CFG=IA-ST-CFG-0222; MARKET=JANENE İSRAİL; STATUS=IN OEM / EU PACKAGE</t>
        </is>
      </c>
      <c r="O1502" t="inlineStr">
        <is>
          <t>2026-08-10T19:29:54Z</t>
        </is>
      </c>
      <c r="P1502" t="inlineStr">
        <is>
          <t>2026-08-10T19:29:54Z</t>
        </is>
      </c>
    </row>
    <row r="1503">
      <c r="A1503" s="19" t="inlineStr">
        <is>
          <t>1502</t>
        </is>
      </c>
      <c r="B1503" s="19" t="inlineStr">
        <is>
          <t>SC-1012185-ST-072-STD-13</t>
        </is>
      </c>
      <c r="C1503" t="inlineStr">
        <is>
          <t>1012185 → ST-072-STD-13</t>
        </is>
      </c>
      <c r="D1503" s="19" t="inlineStr">
        <is>
          <t>2</t>
        </is>
      </c>
      <c r="E1503" s="19" t="inlineStr">
        <is>
          <t>560</t>
        </is>
      </c>
      <c r="F1503" s="19" t="inlineStr">
        <is>
          <t>191</t>
        </is>
      </c>
      <c r="G1503" s="19" t="n"/>
      <c r="H1503" s="19" t="inlineStr">
        <is>
          <t>2</t>
        </is>
      </c>
      <c r="I1503" s="19" t="n"/>
      <c r="J1503" s="19" t="n"/>
      <c r="K1503" s="19" t="inlineStr">
        <is>
          <t>2</t>
        </is>
      </c>
      <c r="L1503" t="inlineStr">
        <is>
          <t>2026-08-08</t>
        </is>
      </c>
      <c r="N1503" t="inlineStr">
        <is>
          <t>IN_SCOPE_FINAL; SOURCE_CFG=IA-ST-CFG-0222; MARKET=None; STATUS=IN OEM / EU PACKAGE</t>
        </is>
      </c>
      <c r="O1503" t="inlineStr">
        <is>
          <t>2026-08-10T19:29:54Z</t>
        </is>
      </c>
      <c r="P1503" t="inlineStr">
        <is>
          <t>2026-08-10T19:29:54Z</t>
        </is>
      </c>
    </row>
    <row r="1504">
      <c r="A1504" s="19" t="inlineStr">
        <is>
          <t>1503</t>
        </is>
      </c>
      <c r="B1504" s="19" t="inlineStr">
        <is>
          <t>SC-1012690-ST-072-STD-13</t>
        </is>
      </c>
      <c r="C1504" t="inlineStr">
        <is>
          <t>1012690 → ST-072-STD-13</t>
        </is>
      </c>
      <c r="D1504" s="19" t="inlineStr">
        <is>
          <t>2</t>
        </is>
      </c>
      <c r="E1504" s="19" t="inlineStr">
        <is>
          <t>754</t>
        </is>
      </c>
      <c r="F1504" s="19" t="inlineStr">
        <is>
          <t>191</t>
        </is>
      </c>
      <c r="G1504" s="19" t="n"/>
      <c r="H1504" s="19" t="inlineStr">
        <is>
          <t>2</t>
        </is>
      </c>
      <c r="I1504" s="19" t="n"/>
      <c r="J1504" s="19" t="n"/>
      <c r="K1504" s="19" t="inlineStr">
        <is>
          <t>2</t>
        </is>
      </c>
      <c r="L1504" t="inlineStr">
        <is>
          <t>2026-08-08</t>
        </is>
      </c>
      <c r="N1504" t="inlineStr">
        <is>
          <t>IN_SCOPE_FINAL; SOURCE_CFG=IA-ST-CFG-0222; MARKET=None; STATUS=IN OEM / EU PACKAGE</t>
        </is>
      </c>
      <c r="O1504" t="inlineStr">
        <is>
          <t>2026-08-10T19:29:54Z</t>
        </is>
      </c>
      <c r="P1504" t="inlineStr">
        <is>
          <t>2026-08-10T19:29:54Z</t>
        </is>
      </c>
    </row>
    <row r="1505">
      <c r="A1505" s="19" t="inlineStr">
        <is>
          <t>1504</t>
        </is>
      </c>
      <c r="B1505" s="19" t="inlineStr">
        <is>
          <t>SC-1013238-ST-072-STD-13</t>
        </is>
      </c>
      <c r="C1505" t="inlineStr">
        <is>
          <t>1013238 → ST-072-STD-13</t>
        </is>
      </c>
      <c r="D1505" s="19" t="inlineStr">
        <is>
          <t>2</t>
        </is>
      </c>
      <c r="E1505" s="19" t="inlineStr">
        <is>
          <t>953</t>
        </is>
      </c>
      <c r="F1505" s="19" t="inlineStr">
        <is>
          <t>191</t>
        </is>
      </c>
      <c r="G1505" s="19" t="n"/>
      <c r="H1505" s="19" t="inlineStr">
        <is>
          <t>2</t>
        </is>
      </c>
      <c r="I1505" s="19" t="n"/>
      <c r="J1505" s="19" t="n"/>
      <c r="K1505" s="19" t="inlineStr">
        <is>
          <t>2</t>
        </is>
      </c>
      <c r="L1505" t="inlineStr">
        <is>
          <t>2026-08-08</t>
        </is>
      </c>
      <c r="N1505" t="inlineStr">
        <is>
          <t>IN_SCOPE_FINAL; SOURCE_CFG=IA-ST-CFG-0222; MARKET=SHAWKAT; STATUS=IN OEM / EU PACKAGE</t>
        </is>
      </c>
      <c r="O1505" t="inlineStr">
        <is>
          <t>2026-08-10T19:29:54Z</t>
        </is>
      </c>
      <c r="P1505" t="inlineStr">
        <is>
          <t>2026-08-10T19:29:54Z</t>
        </is>
      </c>
    </row>
    <row r="1506">
      <c r="A1506" s="19" t="inlineStr">
        <is>
          <t>1505</t>
        </is>
      </c>
      <c r="B1506" s="19" t="inlineStr">
        <is>
          <t>SC-1013493-ST-072-STD-13</t>
        </is>
      </c>
      <c r="C1506" t="inlineStr">
        <is>
          <t>1013493 → ST-072-STD-13</t>
        </is>
      </c>
      <c r="D1506" s="19" t="inlineStr">
        <is>
          <t>2</t>
        </is>
      </c>
      <c r="E1506" s="19" t="inlineStr">
        <is>
          <t>1018</t>
        </is>
      </c>
      <c r="F1506" s="19" t="inlineStr">
        <is>
          <t>191</t>
        </is>
      </c>
      <c r="G1506" s="19" t="n"/>
      <c r="H1506" s="19" t="inlineStr">
        <is>
          <t>2</t>
        </is>
      </c>
      <c r="I1506" s="19" t="n"/>
      <c r="J1506" s="19" t="n"/>
      <c r="K1506" s="19" t="inlineStr">
        <is>
          <t>2</t>
        </is>
      </c>
      <c r="L1506" t="inlineStr">
        <is>
          <t>2026-08-08</t>
        </is>
      </c>
      <c r="N1506" t="inlineStr">
        <is>
          <t>IN_SCOPE_FINAL; SOURCE_CFG=IA-ST-CFG-0222; MARKET=TÜRKMENİSTAN; STATUS=IN OEM / EU PACKAGE</t>
        </is>
      </c>
      <c r="O1506" t="inlineStr">
        <is>
          <t>2026-08-10T19:29:54Z</t>
        </is>
      </c>
      <c r="P1506" t="inlineStr">
        <is>
          <t>2026-08-10T19:29:54Z</t>
        </is>
      </c>
    </row>
    <row r="1507">
      <c r="A1507" s="19" t="inlineStr">
        <is>
          <t>1506</t>
        </is>
      </c>
      <c r="B1507" s="19" t="inlineStr">
        <is>
          <t>SC-1014160-ST-072-STD-13</t>
        </is>
      </c>
      <c r="C1507" t="inlineStr">
        <is>
          <t>1014160 → ST-072-STD-13</t>
        </is>
      </c>
      <c r="D1507" s="19" t="inlineStr">
        <is>
          <t>2</t>
        </is>
      </c>
      <c r="E1507" s="19" t="inlineStr">
        <is>
          <t>1244</t>
        </is>
      </c>
      <c r="F1507" s="19" t="inlineStr">
        <is>
          <t>191</t>
        </is>
      </c>
      <c r="G1507" s="19" t="n"/>
      <c r="H1507" s="19" t="inlineStr">
        <is>
          <t>2</t>
        </is>
      </c>
      <c r="I1507" s="19" t="n"/>
      <c r="J1507" s="19" t="n"/>
      <c r="K1507" s="19" t="inlineStr">
        <is>
          <t>2</t>
        </is>
      </c>
      <c r="L1507" t="inlineStr">
        <is>
          <t>2026-08-08</t>
        </is>
      </c>
      <c r="N1507" t="inlineStr">
        <is>
          <t>IN_SCOPE_FINAL; SOURCE_CFG=IA-ST-CFG-0222; MARKET=None; STATUS=IN OEM / EU PACKAGE</t>
        </is>
      </c>
      <c r="O1507" t="inlineStr">
        <is>
          <t>2026-08-10T19:29:54Z</t>
        </is>
      </c>
      <c r="P1507" t="inlineStr">
        <is>
          <t>2026-08-10T19:29:54Z</t>
        </is>
      </c>
    </row>
    <row r="1508">
      <c r="A1508" s="19" t="inlineStr">
        <is>
          <t>1507</t>
        </is>
      </c>
      <c r="B1508" s="19" t="inlineStr">
        <is>
          <t>SC-1014183-ST-072-STD-13</t>
        </is>
      </c>
      <c r="C1508" t="inlineStr">
        <is>
          <t>1014183 → ST-072-STD-13</t>
        </is>
      </c>
      <c r="D1508" s="19" t="inlineStr">
        <is>
          <t>2</t>
        </is>
      </c>
      <c r="E1508" s="19" t="inlineStr">
        <is>
          <t>1259</t>
        </is>
      </c>
      <c r="F1508" s="19" t="inlineStr">
        <is>
          <t>191</t>
        </is>
      </c>
      <c r="G1508" s="19" t="n"/>
      <c r="H1508" s="19" t="inlineStr">
        <is>
          <t>2</t>
        </is>
      </c>
      <c r="I1508" s="19" t="n"/>
      <c r="J1508" s="19" t="n"/>
      <c r="K1508" s="19" t="inlineStr">
        <is>
          <t>2</t>
        </is>
      </c>
      <c r="L1508" t="inlineStr">
        <is>
          <t>2026-08-08</t>
        </is>
      </c>
      <c r="N1508" t="inlineStr">
        <is>
          <t>IN_SCOPE_FINAL; SOURCE_CFG=IA-ST-CFG-0222; MARKET=DOMİNİK CUM.PERFORMANCE BATT.; STATUS=IN OEM / EU PACKAGE</t>
        </is>
      </c>
      <c r="O1508" t="inlineStr">
        <is>
          <t>2026-08-10T19:29:54Z</t>
        </is>
      </c>
      <c r="P1508" t="inlineStr">
        <is>
          <t>2026-08-10T19:29:54Z</t>
        </is>
      </c>
    </row>
    <row r="1509">
      <c r="A1509" s="19" t="inlineStr">
        <is>
          <t>1508</t>
        </is>
      </c>
      <c r="B1509" s="19" t="inlineStr">
        <is>
          <t>SC-1014739-ST-072-STD-13</t>
        </is>
      </c>
      <c r="C1509" t="inlineStr">
        <is>
          <t>1014739 → ST-072-STD-13</t>
        </is>
      </c>
      <c r="D1509" s="19" t="inlineStr">
        <is>
          <t>2</t>
        </is>
      </c>
      <c r="E1509" s="19" t="inlineStr">
        <is>
          <t>1573</t>
        </is>
      </c>
      <c r="F1509" s="19" t="inlineStr">
        <is>
          <t>191</t>
        </is>
      </c>
      <c r="G1509" s="19" t="n"/>
      <c r="H1509" s="19" t="inlineStr">
        <is>
          <t>2</t>
        </is>
      </c>
      <c r="I1509" s="19" t="n"/>
      <c r="J1509" s="19" t="n"/>
      <c r="K1509" s="19" t="inlineStr">
        <is>
          <t>2</t>
        </is>
      </c>
      <c r="L1509" t="inlineStr">
        <is>
          <t>2026-08-08</t>
        </is>
      </c>
      <c r="N1509" t="inlineStr">
        <is>
          <t>IN_SCOPE_FINAL; SOURCE_CFG=IA-ST-CFG-0222; MARKET=TÜRKMENİSTAN; STATUS=IN OEM / EU PACKAGE</t>
        </is>
      </c>
      <c r="O1509" t="inlineStr">
        <is>
          <t>2026-08-10T19:29:54Z</t>
        </is>
      </c>
      <c r="P1509" t="inlineStr">
        <is>
          <t>2026-08-10T19:29:54Z</t>
        </is>
      </c>
    </row>
    <row r="1510">
      <c r="A1510" s="19" t="inlineStr">
        <is>
          <t>1509</t>
        </is>
      </c>
      <c r="B1510" s="19" t="inlineStr">
        <is>
          <t>SC-1015100-ST-072-STD-13</t>
        </is>
      </c>
      <c r="C1510" t="inlineStr">
        <is>
          <t>1015100 → ST-072-STD-13</t>
        </is>
      </c>
      <c r="D1510" s="19" t="inlineStr">
        <is>
          <t>2</t>
        </is>
      </c>
      <c r="E1510" s="19" t="inlineStr">
        <is>
          <t>1853</t>
        </is>
      </c>
      <c r="F1510" s="19" t="inlineStr">
        <is>
          <t>191</t>
        </is>
      </c>
      <c r="G1510" s="19" t="n"/>
      <c r="H1510" s="19" t="inlineStr">
        <is>
          <t>2</t>
        </is>
      </c>
      <c r="I1510" s="19" t="n"/>
      <c r="J1510" s="19" t="n"/>
      <c r="K1510" s="19" t="inlineStr">
        <is>
          <t>2</t>
        </is>
      </c>
      <c r="L1510" t="inlineStr">
        <is>
          <t>2026-08-08</t>
        </is>
      </c>
      <c r="N1510" t="inlineStr">
        <is>
          <t>IN_SCOPE_FINAL; SOURCE_CFG=IA-ST-CFG-0222; MARKET=TÜRKMENİSTAN; STATUS=IN OEM / EU PACKAGE</t>
        </is>
      </c>
      <c r="O1510" t="inlineStr">
        <is>
          <t>2026-08-10T19:29:54Z</t>
        </is>
      </c>
      <c r="P1510" t="inlineStr">
        <is>
          <t>2026-08-10T19:29:54Z</t>
        </is>
      </c>
    </row>
    <row r="1511">
      <c r="A1511" s="19" t="inlineStr">
        <is>
          <t>1510</t>
        </is>
      </c>
      <c r="B1511" s="19" t="inlineStr">
        <is>
          <t>SC-1012051-ST-072-STD-13</t>
        </is>
      </c>
      <c r="C1511" t="inlineStr">
        <is>
          <t>1012051 → ST-072-STD-13</t>
        </is>
      </c>
      <c r="D1511" s="19" t="inlineStr">
        <is>
          <t>2</t>
        </is>
      </c>
      <c r="E1511" s="19" t="inlineStr">
        <is>
          <t>497</t>
        </is>
      </c>
      <c r="F1511" s="19" t="inlineStr">
        <is>
          <t>191</t>
        </is>
      </c>
      <c r="G1511" s="19" t="n"/>
      <c r="H1511" s="19" t="inlineStr">
        <is>
          <t>2</t>
        </is>
      </c>
      <c r="I1511" s="19" t="n"/>
      <c r="J1511" s="19" t="n"/>
      <c r="K1511" s="19" t="inlineStr">
        <is>
          <t>2</t>
        </is>
      </c>
      <c r="L1511" t="inlineStr">
        <is>
          <t>2026-08-08</t>
        </is>
      </c>
      <c r="N1511" t="inlineStr">
        <is>
          <t>IN_SCOPE_FINAL; SOURCE_CFG=IA-ST-CFG-0222; MARKET=None; STATUS=IN OEM / EU PACKAGE</t>
        </is>
      </c>
      <c r="O1511" t="inlineStr">
        <is>
          <t>2026-08-10T19:29:54Z</t>
        </is>
      </c>
      <c r="P1511" t="inlineStr">
        <is>
          <t>2026-08-10T19:29:54Z</t>
        </is>
      </c>
    </row>
    <row r="1512">
      <c r="A1512" s="19" t="inlineStr">
        <is>
          <t>1511</t>
        </is>
      </c>
      <c r="B1512" s="19" t="inlineStr">
        <is>
          <t>SC-1012192-ST-072-STD-13</t>
        </is>
      </c>
      <c r="C1512" t="inlineStr">
        <is>
          <t>1012192 → ST-072-STD-13</t>
        </is>
      </c>
      <c r="D1512" s="19" t="inlineStr">
        <is>
          <t>2</t>
        </is>
      </c>
      <c r="E1512" s="19" t="inlineStr">
        <is>
          <t>565</t>
        </is>
      </c>
      <c r="F1512" s="19" t="inlineStr">
        <is>
          <t>191</t>
        </is>
      </c>
      <c r="G1512" s="19" t="n"/>
      <c r="H1512" s="19" t="inlineStr">
        <is>
          <t>2</t>
        </is>
      </c>
      <c r="I1512" s="19" t="n"/>
      <c r="J1512" s="19" t="n"/>
      <c r="K1512" s="19" t="inlineStr">
        <is>
          <t>2</t>
        </is>
      </c>
      <c r="L1512" t="inlineStr">
        <is>
          <t>2026-08-08</t>
        </is>
      </c>
      <c r="N1512" t="inlineStr">
        <is>
          <t>IN_SCOPE_FINAL; SOURCE_CFG=IA-ST-CFG-0222; MARKET=None; STATUS=IN OEM / EU PACKAGE</t>
        </is>
      </c>
      <c r="O1512" t="inlineStr">
        <is>
          <t>2026-08-10T19:29:54Z</t>
        </is>
      </c>
      <c r="P1512" t="inlineStr">
        <is>
          <t>2026-08-10T19:29:54Z</t>
        </is>
      </c>
    </row>
    <row r="1513">
      <c r="A1513" s="19" t="inlineStr">
        <is>
          <t>1512</t>
        </is>
      </c>
      <c r="B1513" s="19" t="inlineStr">
        <is>
          <t>SC-1012193-ST-072-STD-13</t>
        </is>
      </c>
      <c r="C1513" t="inlineStr">
        <is>
          <t>1012193 → ST-072-STD-13</t>
        </is>
      </c>
      <c r="D1513" s="19" t="inlineStr">
        <is>
          <t>2</t>
        </is>
      </c>
      <c r="E1513" s="19" t="inlineStr">
        <is>
          <t>566</t>
        </is>
      </c>
      <c r="F1513" s="19" t="inlineStr">
        <is>
          <t>191</t>
        </is>
      </c>
      <c r="G1513" s="19" t="n"/>
      <c r="H1513" s="19" t="inlineStr">
        <is>
          <t>2</t>
        </is>
      </c>
      <c r="I1513" s="19" t="n"/>
      <c r="J1513" s="19" t="n"/>
      <c r="K1513" s="19" t="inlineStr">
        <is>
          <t>2</t>
        </is>
      </c>
      <c r="L1513" t="inlineStr">
        <is>
          <t>2026-08-08</t>
        </is>
      </c>
      <c r="N1513" t="inlineStr">
        <is>
          <t>IN_SCOPE_FINAL; SOURCE_CFG=IA-ST-CFG-0222; MARKET=None; STATUS=IN OEM / EU PACKAGE</t>
        </is>
      </c>
      <c r="O1513" t="inlineStr">
        <is>
          <t>2026-08-10T19:29:54Z</t>
        </is>
      </c>
      <c r="P1513" t="inlineStr">
        <is>
          <t>2026-08-10T19:29:54Z</t>
        </is>
      </c>
    </row>
    <row r="1514">
      <c r="A1514" s="19" t="inlineStr">
        <is>
          <t>1513</t>
        </is>
      </c>
      <c r="B1514" s="19" t="inlineStr">
        <is>
          <t>SC-1012560-ST-072-STD-13</t>
        </is>
      </c>
      <c r="C1514" t="inlineStr">
        <is>
          <t>1012560 → ST-072-STD-13</t>
        </is>
      </c>
      <c r="D1514" s="19" t="inlineStr">
        <is>
          <t>2</t>
        </is>
      </c>
      <c r="E1514" s="19" t="inlineStr">
        <is>
          <t>698</t>
        </is>
      </c>
      <c r="F1514" s="19" t="inlineStr">
        <is>
          <t>191</t>
        </is>
      </c>
      <c r="G1514" s="19" t="n"/>
      <c r="H1514" s="19" t="inlineStr">
        <is>
          <t>2</t>
        </is>
      </c>
      <c r="I1514" s="19" t="n"/>
      <c r="J1514" s="19" t="n"/>
      <c r="K1514" s="19" t="inlineStr">
        <is>
          <t>2</t>
        </is>
      </c>
      <c r="L1514" t="inlineStr">
        <is>
          <t>2026-08-08</t>
        </is>
      </c>
      <c r="N1514" t="inlineStr">
        <is>
          <t>IN_SCOPE_FINAL; SOURCE_CFG=IA-ST-CFG-0222; MARKET=None; STATUS=IN OEM / EU PACKAGE</t>
        </is>
      </c>
      <c r="O1514" t="inlineStr">
        <is>
          <t>2026-08-10T19:29:54Z</t>
        </is>
      </c>
      <c r="P1514" t="inlineStr">
        <is>
          <t>2026-08-10T19:29:54Z</t>
        </is>
      </c>
    </row>
    <row r="1515">
      <c r="A1515" s="19" t="inlineStr">
        <is>
          <t>1514</t>
        </is>
      </c>
      <c r="B1515" s="19" t="inlineStr">
        <is>
          <t>SC-1012584-ST-072-STD-13</t>
        </is>
      </c>
      <c r="C1515" t="inlineStr">
        <is>
          <t>1012584 → ST-072-STD-13</t>
        </is>
      </c>
      <c r="D1515" s="19" t="inlineStr">
        <is>
          <t>2</t>
        </is>
      </c>
      <c r="E1515" s="19" t="inlineStr">
        <is>
          <t>706</t>
        </is>
      </c>
      <c r="F1515" s="19" t="inlineStr">
        <is>
          <t>191</t>
        </is>
      </c>
      <c r="G1515" s="19" t="n"/>
      <c r="H1515" s="19" t="inlineStr">
        <is>
          <t>2</t>
        </is>
      </c>
      <c r="I1515" s="19" t="n"/>
      <c r="J1515" s="19" t="n"/>
      <c r="K1515" s="19" t="inlineStr">
        <is>
          <t>2</t>
        </is>
      </c>
      <c r="L1515" t="inlineStr">
        <is>
          <t>2026-08-08</t>
        </is>
      </c>
      <c r="N1515" t="inlineStr">
        <is>
          <t>IN_SCOPE_FINAL; SOURCE_CFG=IA-ST-CFG-0222; MARKET=None; STATUS=IN OEM / EU PACKAGE</t>
        </is>
      </c>
      <c r="O1515" t="inlineStr">
        <is>
          <t>2026-08-10T19:29:54Z</t>
        </is>
      </c>
      <c r="P1515" t="inlineStr">
        <is>
          <t>2026-08-10T19:29:54Z</t>
        </is>
      </c>
    </row>
    <row r="1516">
      <c r="A1516" s="19" t="inlineStr">
        <is>
          <t>1515</t>
        </is>
      </c>
      <c r="B1516" s="19" t="inlineStr">
        <is>
          <t>SC-1012772-ST-072-STD-13</t>
        </is>
      </c>
      <c r="C1516" t="inlineStr">
        <is>
          <t>1012772 → ST-072-STD-13</t>
        </is>
      </c>
      <c r="D1516" s="19" t="inlineStr">
        <is>
          <t>2</t>
        </is>
      </c>
      <c r="E1516" s="19" t="inlineStr">
        <is>
          <t>784</t>
        </is>
      </c>
      <c r="F1516" s="19" t="inlineStr">
        <is>
          <t>191</t>
        </is>
      </c>
      <c r="G1516" s="19" t="n"/>
      <c r="H1516" s="19" t="inlineStr">
        <is>
          <t>2</t>
        </is>
      </c>
      <c r="I1516" s="19" t="n"/>
      <c r="J1516" s="19" t="n"/>
      <c r="K1516" s="19" t="inlineStr">
        <is>
          <t>2</t>
        </is>
      </c>
      <c r="L1516" t="inlineStr">
        <is>
          <t>2026-08-08</t>
        </is>
      </c>
      <c r="N1516" t="inlineStr">
        <is>
          <t>IN_SCOPE_FINAL; SOURCE_CFG=IA-ST-CFG-0222; MARKET=None; STATUS=IN OEM / EU PACKAGE</t>
        </is>
      </c>
      <c r="O1516" t="inlineStr">
        <is>
          <t>2026-08-10T19:29:54Z</t>
        </is>
      </c>
      <c r="P1516" t="inlineStr">
        <is>
          <t>2026-08-10T19:29:54Z</t>
        </is>
      </c>
    </row>
    <row r="1517">
      <c r="A1517" s="19" t="inlineStr">
        <is>
          <t>1516</t>
        </is>
      </c>
      <c r="B1517" s="19" t="inlineStr">
        <is>
          <t>SC-1012910-ST-072-STD-13</t>
        </is>
      </c>
      <c r="C1517" t="inlineStr">
        <is>
          <t>1012910 → ST-072-STD-13</t>
        </is>
      </c>
      <c r="D1517" s="19" t="inlineStr">
        <is>
          <t>2</t>
        </is>
      </c>
      <c r="E1517" s="19" t="inlineStr">
        <is>
          <t>860</t>
        </is>
      </c>
      <c r="F1517" s="19" t="inlineStr">
        <is>
          <t>191</t>
        </is>
      </c>
      <c r="G1517" s="19" t="n"/>
      <c r="H1517" s="19" t="inlineStr">
        <is>
          <t>2</t>
        </is>
      </c>
      <c r="I1517" s="19" t="n"/>
      <c r="J1517" s="19" t="n"/>
      <c r="K1517" s="19" t="inlineStr">
        <is>
          <t>2</t>
        </is>
      </c>
      <c r="L1517" t="inlineStr">
        <is>
          <t>2026-08-08</t>
        </is>
      </c>
      <c r="N1517" t="inlineStr">
        <is>
          <t>IN_SCOPE_FINAL; SOURCE_CFG=IA-ST-CFG-0222; MARKET=SHAWKAT; STATUS=IN OEM / EU PACKAGE</t>
        </is>
      </c>
      <c r="O1517" t="inlineStr">
        <is>
          <t>2026-08-10T19:29:54Z</t>
        </is>
      </c>
      <c r="P1517" t="inlineStr">
        <is>
          <t>2026-08-10T19:29:54Z</t>
        </is>
      </c>
    </row>
    <row r="1518">
      <c r="A1518" s="19" t="inlineStr">
        <is>
          <t>1517</t>
        </is>
      </c>
      <c r="B1518" s="19" t="inlineStr">
        <is>
          <t>SC-1014348-ST-072-STD-13</t>
        </is>
      </c>
      <c r="C1518" t="inlineStr">
        <is>
          <t>1014348 → ST-072-STD-13</t>
        </is>
      </c>
      <c r="D1518" s="19" t="inlineStr">
        <is>
          <t>2</t>
        </is>
      </c>
      <c r="E1518" s="19" t="inlineStr">
        <is>
          <t>1315</t>
        </is>
      </c>
      <c r="F1518" s="19" t="inlineStr">
        <is>
          <t>191</t>
        </is>
      </c>
      <c r="G1518" s="19" t="n"/>
      <c r="H1518" s="19" t="inlineStr">
        <is>
          <t>2</t>
        </is>
      </c>
      <c r="I1518" s="19" t="n"/>
      <c r="J1518" s="19" t="n"/>
      <c r="K1518" s="19" t="inlineStr">
        <is>
          <t>2</t>
        </is>
      </c>
      <c r="L1518" t="inlineStr">
        <is>
          <t>2026-08-08</t>
        </is>
      </c>
      <c r="N1518" t="inlineStr">
        <is>
          <t>IN_SCOPE_FINAL; SOURCE_CFG=IA-ST-CFG-0222; MARKET=MISIR ALSAFA; STATUS=IN OEM / EU PACKAGE</t>
        </is>
      </c>
      <c r="O1518" t="inlineStr">
        <is>
          <t>2026-08-10T19:29:54Z</t>
        </is>
      </c>
      <c r="P1518" t="inlineStr">
        <is>
          <t>2026-08-10T19:29:54Z</t>
        </is>
      </c>
    </row>
    <row r="1519">
      <c r="A1519" s="19" t="inlineStr">
        <is>
          <t>1518</t>
        </is>
      </c>
      <c r="B1519" s="19" t="inlineStr">
        <is>
          <t>SC-1012187-ST-072-STD-13</t>
        </is>
      </c>
      <c r="C1519" t="inlineStr">
        <is>
          <t>1012187 → ST-072-STD-13</t>
        </is>
      </c>
      <c r="D1519" s="19" t="inlineStr">
        <is>
          <t>2</t>
        </is>
      </c>
      <c r="E1519" s="19" t="inlineStr">
        <is>
          <t>561</t>
        </is>
      </c>
      <c r="F1519" s="19" t="inlineStr">
        <is>
          <t>191</t>
        </is>
      </c>
      <c r="G1519" s="19" t="n"/>
      <c r="H1519" s="19" t="inlineStr">
        <is>
          <t>2</t>
        </is>
      </c>
      <c r="I1519" s="19" t="n"/>
      <c r="J1519" s="19" t="n"/>
      <c r="K1519" s="19" t="inlineStr">
        <is>
          <t>2</t>
        </is>
      </c>
      <c r="L1519" t="inlineStr">
        <is>
          <t>2026-08-08</t>
        </is>
      </c>
      <c r="N1519" t="inlineStr">
        <is>
          <t>IN_SCOPE_FINAL; SOURCE_CFG=IA-ST-CFG-0222; MARKET=None; STATUS=IN OEM / EU PACKAGE</t>
        </is>
      </c>
      <c r="O1519" t="inlineStr">
        <is>
          <t>2026-08-10T19:29:54Z</t>
        </is>
      </c>
      <c r="P1519" t="inlineStr">
        <is>
          <t>2026-08-10T19:29:54Z</t>
        </is>
      </c>
    </row>
    <row r="1520">
      <c r="A1520" s="19" t="inlineStr">
        <is>
          <t>1519</t>
        </is>
      </c>
      <c r="B1520" s="19" t="inlineStr">
        <is>
          <t>SC-1012188-ST-072-STD-13</t>
        </is>
      </c>
      <c r="C1520" t="inlineStr">
        <is>
          <t>1012188 → ST-072-STD-13</t>
        </is>
      </c>
      <c r="D1520" s="19" t="inlineStr">
        <is>
          <t>2</t>
        </is>
      </c>
      <c r="E1520" s="19" t="inlineStr">
        <is>
          <t>562</t>
        </is>
      </c>
      <c r="F1520" s="19" t="inlineStr">
        <is>
          <t>191</t>
        </is>
      </c>
      <c r="G1520" s="19" t="n"/>
      <c r="H1520" s="19" t="inlineStr">
        <is>
          <t>2</t>
        </is>
      </c>
      <c r="I1520" s="19" t="n"/>
      <c r="J1520" s="19" t="n"/>
      <c r="K1520" s="19" t="inlineStr">
        <is>
          <t>2</t>
        </is>
      </c>
      <c r="L1520" t="inlineStr">
        <is>
          <t>2026-08-08</t>
        </is>
      </c>
      <c r="N1520" t="inlineStr">
        <is>
          <t>IN_SCOPE_FINAL; SOURCE_CFG=IA-ST-CFG-0222; MARKET=None; STATUS=IN OEM / EU PACKAGE</t>
        </is>
      </c>
      <c r="O1520" t="inlineStr">
        <is>
          <t>2026-08-10T19:29:54Z</t>
        </is>
      </c>
      <c r="P1520" t="inlineStr">
        <is>
          <t>2026-08-10T19:29:54Z</t>
        </is>
      </c>
    </row>
    <row r="1521">
      <c r="A1521" s="19" t="inlineStr">
        <is>
          <t>1520</t>
        </is>
      </c>
      <c r="B1521" s="19" t="inlineStr">
        <is>
          <t>SC-1009986-ST-072-STD-13</t>
        </is>
      </c>
      <c r="C1521" t="inlineStr">
        <is>
          <t>1009986 → ST-072-STD-13</t>
        </is>
      </c>
      <c r="D1521" s="19" t="inlineStr">
        <is>
          <t>2</t>
        </is>
      </c>
      <c r="E1521" s="19" t="inlineStr">
        <is>
          <t>142</t>
        </is>
      </c>
      <c r="F1521" s="19" t="inlineStr">
        <is>
          <t>191</t>
        </is>
      </c>
      <c r="G1521" s="19" t="n"/>
      <c r="H1521" s="19" t="inlineStr">
        <is>
          <t>2</t>
        </is>
      </c>
      <c r="I1521" s="19" t="n"/>
      <c r="J1521" s="19" t="n"/>
      <c r="K1521" s="19" t="inlineStr">
        <is>
          <t>2</t>
        </is>
      </c>
      <c r="L1521" t="inlineStr">
        <is>
          <t>2026-08-08</t>
        </is>
      </c>
      <c r="N1521" t="inlineStr">
        <is>
          <t>IN_SCOPE_FINAL; SOURCE_CFG=IA-ST-CFG-0222; MARKET=REY &amp; LENFERNA LUCAS; STATUS=IN OEM / EU PACKAGE</t>
        </is>
      </c>
      <c r="O1521" t="inlineStr">
        <is>
          <t>2026-08-10T19:29:54Z</t>
        </is>
      </c>
      <c r="P1521" t="inlineStr">
        <is>
          <t>2026-08-10T19:29:54Z</t>
        </is>
      </c>
    </row>
    <row r="1522">
      <c r="A1522" s="19" t="inlineStr">
        <is>
          <t>1521</t>
        </is>
      </c>
      <c r="B1522" s="19" t="inlineStr">
        <is>
          <t>SC-1012003-ST-072-STD-13</t>
        </is>
      </c>
      <c r="C1522" t="inlineStr">
        <is>
          <t>1012003 → ST-072-STD-13</t>
        </is>
      </c>
      <c r="D1522" s="19" t="inlineStr">
        <is>
          <t>2</t>
        </is>
      </c>
      <c r="E1522" s="19" t="inlineStr">
        <is>
          <t>463</t>
        </is>
      </c>
      <c r="F1522" s="19" t="inlineStr">
        <is>
          <t>191</t>
        </is>
      </c>
      <c r="G1522" s="19" t="n"/>
      <c r="H1522" s="19" t="inlineStr">
        <is>
          <t>2</t>
        </is>
      </c>
      <c r="I1522" s="19" t="n"/>
      <c r="J1522" s="19" t="n"/>
      <c r="K1522" s="19" t="inlineStr">
        <is>
          <t>2</t>
        </is>
      </c>
      <c r="L1522" t="inlineStr">
        <is>
          <t>2026-08-08</t>
        </is>
      </c>
      <c r="N1522" t="inlineStr">
        <is>
          <t>IN_SCOPE_FINAL; SOURCE_CFG=IA-ST-CFG-0222; MARKET=NASA; STATUS=IN OEM / EU PACKAGE</t>
        </is>
      </c>
      <c r="O1522" t="inlineStr">
        <is>
          <t>2026-08-10T19:29:54Z</t>
        </is>
      </c>
      <c r="P1522" t="inlineStr">
        <is>
          <t>2026-08-10T19:29:54Z</t>
        </is>
      </c>
    </row>
    <row r="1523">
      <c r="A1523" s="19" t="inlineStr">
        <is>
          <t>1522</t>
        </is>
      </c>
      <c r="B1523" s="19" t="inlineStr">
        <is>
          <t>SC-1012004-ST-072-STD-13</t>
        </is>
      </c>
      <c r="C1523" t="inlineStr">
        <is>
          <t>1012004 → ST-072-STD-13</t>
        </is>
      </c>
      <c r="D1523" s="19" t="inlineStr">
        <is>
          <t>2</t>
        </is>
      </c>
      <c r="E1523" s="19" t="inlineStr">
        <is>
          <t>464</t>
        </is>
      </c>
      <c r="F1523" s="19" t="inlineStr">
        <is>
          <t>191</t>
        </is>
      </c>
      <c r="G1523" s="19" t="n"/>
      <c r="H1523" s="19" t="inlineStr">
        <is>
          <t>2</t>
        </is>
      </c>
      <c r="I1523" s="19" t="n"/>
      <c r="J1523" s="19" t="n"/>
      <c r="K1523" s="19" t="inlineStr">
        <is>
          <t>2</t>
        </is>
      </c>
      <c r="L1523" t="inlineStr">
        <is>
          <t>2026-08-08</t>
        </is>
      </c>
      <c r="N1523" t="inlineStr">
        <is>
          <t>IN_SCOPE_FINAL; SOURCE_CFG=IA-ST-CFG-0222; MARKET=None; STATUS=IN OEM / EU PACKAGE</t>
        </is>
      </c>
      <c r="O1523" t="inlineStr">
        <is>
          <t>2026-08-10T19:29:54Z</t>
        </is>
      </c>
      <c r="P1523" t="inlineStr">
        <is>
          <t>2026-08-10T19:29:54Z</t>
        </is>
      </c>
    </row>
    <row r="1524">
      <c r="A1524" s="19" t="inlineStr">
        <is>
          <t>1523</t>
        </is>
      </c>
      <c r="B1524" s="19" t="inlineStr">
        <is>
          <t>SC-1012009-ST-072-STD-13</t>
        </is>
      </c>
      <c r="C1524" t="inlineStr">
        <is>
          <t>1012009 → ST-072-STD-13</t>
        </is>
      </c>
      <c r="D1524" s="19" t="inlineStr">
        <is>
          <t>2</t>
        </is>
      </c>
      <c r="E1524" s="19" t="inlineStr">
        <is>
          <t>467</t>
        </is>
      </c>
      <c r="F1524" s="19" t="inlineStr">
        <is>
          <t>191</t>
        </is>
      </c>
      <c r="G1524" s="19" t="n"/>
      <c r="H1524" s="19" t="inlineStr">
        <is>
          <t>2</t>
        </is>
      </c>
      <c r="I1524" s="19" t="n"/>
      <c r="J1524" s="19" t="n"/>
      <c r="K1524" s="19" t="inlineStr">
        <is>
          <t>2</t>
        </is>
      </c>
      <c r="L1524" t="inlineStr">
        <is>
          <t>2026-08-08</t>
        </is>
      </c>
      <c r="N1524" t="inlineStr">
        <is>
          <t>IN_SCOPE_FINAL; SOURCE_CFG=IA-ST-CFG-0222; MARKET=JANENE İSRAİL; STATUS=IN OEM / EU PACKAGE</t>
        </is>
      </c>
      <c r="O1524" t="inlineStr">
        <is>
          <t>2026-08-10T19:29:54Z</t>
        </is>
      </c>
      <c r="P1524" t="inlineStr">
        <is>
          <t>2026-08-10T19:29:54Z</t>
        </is>
      </c>
    </row>
    <row r="1525">
      <c r="A1525" s="19" t="inlineStr">
        <is>
          <t>1524</t>
        </is>
      </c>
      <c r="B1525" s="19" t="inlineStr">
        <is>
          <t>SC-1012019-ST-072-STD-13</t>
        </is>
      </c>
      <c r="C1525" t="inlineStr">
        <is>
          <t>1012019 → ST-072-STD-13</t>
        </is>
      </c>
      <c r="D1525" s="19" t="inlineStr">
        <is>
          <t>2</t>
        </is>
      </c>
      <c r="E1525" s="19" t="inlineStr">
        <is>
          <t>475</t>
        </is>
      </c>
      <c r="F1525" s="19" t="inlineStr">
        <is>
          <t>191</t>
        </is>
      </c>
      <c r="G1525" s="19" t="n"/>
      <c r="H1525" s="19" t="inlineStr">
        <is>
          <t>2</t>
        </is>
      </c>
      <c r="I1525" s="19" t="n"/>
      <c r="J1525" s="19" t="n"/>
      <c r="K1525" s="19" t="inlineStr">
        <is>
          <t>2</t>
        </is>
      </c>
      <c r="L1525" t="inlineStr">
        <is>
          <t>2026-08-08</t>
        </is>
      </c>
      <c r="N1525" t="inlineStr">
        <is>
          <t>IN_SCOPE_FINAL; SOURCE_CFG=IA-ST-CFG-0222; MARKET=None; STATUS=IN OEM / EU PACKAGE</t>
        </is>
      </c>
      <c r="O1525" t="inlineStr">
        <is>
          <t>2026-08-10T19:29:54Z</t>
        </is>
      </c>
      <c r="P1525" t="inlineStr">
        <is>
          <t>2026-08-10T19:29:54Z</t>
        </is>
      </c>
    </row>
    <row r="1526">
      <c r="A1526" s="19" t="inlineStr">
        <is>
          <t>1525</t>
        </is>
      </c>
      <c r="B1526" s="19" t="inlineStr">
        <is>
          <t>SC-1012030-ST-072-STD-13</t>
        </is>
      </c>
      <c r="C1526" t="inlineStr">
        <is>
          <t>1012030 → ST-072-STD-13</t>
        </is>
      </c>
      <c r="D1526" s="19" t="inlineStr">
        <is>
          <t>2</t>
        </is>
      </c>
      <c r="E1526" s="19" t="inlineStr">
        <is>
          <t>482</t>
        </is>
      </c>
      <c r="F1526" s="19" t="inlineStr">
        <is>
          <t>191</t>
        </is>
      </c>
      <c r="G1526" s="19" t="n"/>
      <c r="H1526" s="19" t="inlineStr">
        <is>
          <t>2</t>
        </is>
      </c>
      <c r="I1526" s="19" t="n"/>
      <c r="J1526" s="19" t="n"/>
      <c r="K1526" s="19" t="inlineStr">
        <is>
          <t>2</t>
        </is>
      </c>
      <c r="L1526" t="inlineStr">
        <is>
          <t>2026-08-08</t>
        </is>
      </c>
      <c r="N1526" t="inlineStr">
        <is>
          <t>IN_SCOPE_FINAL; SOURCE_CFG=IA-ST-CFG-0222; MARKET=MISIR NACITA; STATUS=IN OEM / EU PACKAGE</t>
        </is>
      </c>
      <c r="O1526" t="inlineStr">
        <is>
          <t>2026-08-10T19:29:54Z</t>
        </is>
      </c>
      <c r="P1526" t="inlineStr">
        <is>
          <t>2026-08-10T19:29:54Z</t>
        </is>
      </c>
    </row>
    <row r="1527">
      <c r="A1527" s="19" t="inlineStr">
        <is>
          <t>1526</t>
        </is>
      </c>
      <c r="B1527" s="19" t="inlineStr">
        <is>
          <t>SC-1012036-ST-072-STD-13</t>
        </is>
      </c>
      <c r="C1527" t="inlineStr">
        <is>
          <t>1012036 → ST-072-STD-13</t>
        </is>
      </c>
      <c r="D1527" s="19" t="inlineStr">
        <is>
          <t>2</t>
        </is>
      </c>
      <c r="E1527" s="19" t="inlineStr">
        <is>
          <t>487</t>
        </is>
      </c>
      <c r="F1527" s="19" t="inlineStr">
        <is>
          <t>191</t>
        </is>
      </c>
      <c r="G1527" s="19" t="n"/>
      <c r="H1527" s="19" t="inlineStr">
        <is>
          <t>2</t>
        </is>
      </c>
      <c r="I1527" s="19" t="n"/>
      <c r="J1527" s="19" t="n"/>
      <c r="K1527" s="19" t="inlineStr">
        <is>
          <t>2</t>
        </is>
      </c>
      <c r="L1527" t="inlineStr">
        <is>
          <t>2026-08-08</t>
        </is>
      </c>
      <c r="N1527" t="inlineStr">
        <is>
          <t>IN_SCOPE_FINAL; SOURCE_CFG=IA-ST-CFG-0222; MARKET=None; STATUS=IN OEM / EU PACKAGE</t>
        </is>
      </c>
      <c r="O1527" t="inlineStr">
        <is>
          <t>2026-08-10T19:29:54Z</t>
        </is>
      </c>
      <c r="P1527" t="inlineStr">
        <is>
          <t>2026-08-10T19:29:54Z</t>
        </is>
      </c>
    </row>
    <row r="1528">
      <c r="A1528" s="19" t="inlineStr">
        <is>
          <t>1527</t>
        </is>
      </c>
      <c r="B1528" s="19" t="inlineStr">
        <is>
          <t>SC-1012038-ST-072-STD-13</t>
        </is>
      </c>
      <c r="C1528" t="inlineStr">
        <is>
          <t>1012038 → ST-072-STD-13</t>
        </is>
      </c>
      <c r="D1528" s="19" t="inlineStr">
        <is>
          <t>2</t>
        </is>
      </c>
      <c r="E1528" s="19" t="inlineStr">
        <is>
          <t>489</t>
        </is>
      </c>
      <c r="F1528" s="19" t="inlineStr">
        <is>
          <t>191</t>
        </is>
      </c>
      <c r="G1528" s="19" t="n"/>
      <c r="H1528" s="19" t="inlineStr">
        <is>
          <t>2</t>
        </is>
      </c>
      <c r="I1528" s="19" t="n"/>
      <c r="J1528" s="19" t="n"/>
      <c r="K1528" s="19" t="inlineStr">
        <is>
          <t>2</t>
        </is>
      </c>
      <c r="L1528" t="inlineStr">
        <is>
          <t>2026-08-08</t>
        </is>
      </c>
      <c r="N1528" t="inlineStr">
        <is>
          <t>IN_SCOPE_FINAL; SOURCE_CFG=IA-ST-CFG-0222; MARKET=NASA; STATUS=IN OEM / EU PACKAGE</t>
        </is>
      </c>
      <c r="O1528" t="inlineStr">
        <is>
          <t>2026-08-10T19:29:54Z</t>
        </is>
      </c>
      <c r="P1528" t="inlineStr">
        <is>
          <t>2026-08-10T19:29:54Z</t>
        </is>
      </c>
    </row>
    <row r="1529">
      <c r="A1529" s="19" t="inlineStr">
        <is>
          <t>1528</t>
        </is>
      </c>
      <c r="B1529" s="19" t="inlineStr">
        <is>
          <t>SC-1012136-ST-072-STD-13</t>
        </is>
      </c>
      <c r="C1529" t="inlineStr">
        <is>
          <t>1012136 → ST-072-STD-13</t>
        </is>
      </c>
      <c r="D1529" s="19" t="inlineStr">
        <is>
          <t>2</t>
        </is>
      </c>
      <c r="E1529" s="19" t="inlineStr">
        <is>
          <t>538</t>
        </is>
      </c>
      <c r="F1529" s="19" t="inlineStr">
        <is>
          <t>191</t>
        </is>
      </c>
      <c r="G1529" s="19" t="n"/>
      <c r="H1529" s="19" t="inlineStr">
        <is>
          <t>2</t>
        </is>
      </c>
      <c r="I1529" s="19" t="n"/>
      <c r="J1529" s="19" t="n"/>
      <c r="K1529" s="19" t="inlineStr">
        <is>
          <t>2</t>
        </is>
      </c>
      <c r="L1529" t="inlineStr">
        <is>
          <t>2026-08-08</t>
        </is>
      </c>
      <c r="N1529" t="inlineStr">
        <is>
          <t>IN_SCOPE_FINAL; SOURCE_CFG=IA-ST-CFG-0222; MARKET=None; STATUS=IN OEM / EU PACKAGE</t>
        </is>
      </c>
      <c r="O1529" t="inlineStr">
        <is>
          <t>2026-08-10T19:29:54Z</t>
        </is>
      </c>
      <c r="P1529" t="inlineStr">
        <is>
          <t>2026-08-10T19:29:54Z</t>
        </is>
      </c>
    </row>
    <row r="1530">
      <c r="A1530" s="19" t="inlineStr">
        <is>
          <t>1529</t>
        </is>
      </c>
      <c r="B1530" s="19" t="inlineStr">
        <is>
          <t>SC-1012183-ST-072-STD-13</t>
        </is>
      </c>
      <c r="C1530" t="inlineStr">
        <is>
          <t>1012183 → ST-072-STD-13</t>
        </is>
      </c>
      <c r="D1530" s="19" t="inlineStr">
        <is>
          <t>2</t>
        </is>
      </c>
      <c r="E1530" s="19" t="inlineStr">
        <is>
          <t>559</t>
        </is>
      </c>
      <c r="F1530" s="19" t="inlineStr">
        <is>
          <t>191</t>
        </is>
      </c>
      <c r="G1530" s="19" t="n"/>
      <c r="H1530" s="19" t="inlineStr">
        <is>
          <t>2</t>
        </is>
      </c>
      <c r="I1530" s="19" t="n"/>
      <c r="J1530" s="19" t="n"/>
      <c r="K1530" s="19" t="inlineStr">
        <is>
          <t>2</t>
        </is>
      </c>
      <c r="L1530" t="inlineStr">
        <is>
          <t>2026-08-08</t>
        </is>
      </c>
      <c r="N1530" t="inlineStr">
        <is>
          <t>IN_SCOPE_FINAL; SOURCE_CFG=IA-ST-CFG-0222; MARKET=None; STATUS=IN OEM / EU PACKAGE</t>
        </is>
      </c>
      <c r="O1530" t="inlineStr">
        <is>
          <t>2026-08-10T19:29:54Z</t>
        </is>
      </c>
      <c r="P1530" t="inlineStr">
        <is>
          <t>2026-08-10T19:29:54Z</t>
        </is>
      </c>
    </row>
    <row r="1531">
      <c r="A1531" s="19" t="inlineStr">
        <is>
          <t>1530</t>
        </is>
      </c>
      <c r="B1531" s="19" t="inlineStr">
        <is>
          <t>SC-1012472-ST-072-STD-13</t>
        </is>
      </c>
      <c r="C1531" t="inlineStr">
        <is>
          <t>1012472 → ST-072-STD-13</t>
        </is>
      </c>
      <c r="D1531" s="19" t="inlineStr">
        <is>
          <t>2</t>
        </is>
      </c>
      <c r="E1531" s="19" t="inlineStr">
        <is>
          <t>663</t>
        </is>
      </c>
      <c r="F1531" s="19" t="inlineStr">
        <is>
          <t>191</t>
        </is>
      </c>
      <c r="G1531" s="19" t="n"/>
      <c r="H1531" s="19" t="inlineStr">
        <is>
          <t>2</t>
        </is>
      </c>
      <c r="I1531" s="19" t="n"/>
      <c r="J1531" s="19" t="n"/>
      <c r="K1531" s="19" t="inlineStr">
        <is>
          <t>2</t>
        </is>
      </c>
      <c r="L1531" t="inlineStr">
        <is>
          <t>2026-08-08</t>
        </is>
      </c>
      <c r="N1531" t="inlineStr">
        <is>
          <t>IN_SCOPE_FINAL; SOURCE_CFG=IA-ST-CFG-0222; MARKET=None; STATUS=IN OEM / EU PACKAGE</t>
        </is>
      </c>
      <c r="O1531" t="inlineStr">
        <is>
          <t>2026-08-10T19:29:54Z</t>
        </is>
      </c>
      <c r="P1531" t="inlineStr">
        <is>
          <t>2026-08-10T19:29:54Z</t>
        </is>
      </c>
    </row>
    <row r="1532">
      <c r="A1532" s="19" t="inlineStr">
        <is>
          <t>1531</t>
        </is>
      </c>
      <c r="B1532" s="19" t="inlineStr">
        <is>
          <t>SC-1012473-ST-072-STD-13</t>
        </is>
      </c>
      <c r="C1532" t="inlineStr">
        <is>
          <t>1012473 → ST-072-STD-13</t>
        </is>
      </c>
      <c r="D1532" s="19" t="inlineStr">
        <is>
          <t>2</t>
        </is>
      </c>
      <c r="E1532" s="19" t="inlineStr">
        <is>
          <t>664</t>
        </is>
      </c>
      <c r="F1532" s="19" t="inlineStr">
        <is>
          <t>191</t>
        </is>
      </c>
      <c r="G1532" s="19" t="n"/>
      <c r="H1532" s="19" t="inlineStr">
        <is>
          <t>2</t>
        </is>
      </c>
      <c r="I1532" s="19" t="n"/>
      <c r="J1532" s="19" t="n"/>
      <c r="K1532" s="19" t="inlineStr">
        <is>
          <t>2</t>
        </is>
      </c>
      <c r="L1532" t="inlineStr">
        <is>
          <t>2026-08-08</t>
        </is>
      </c>
      <c r="N1532" t="inlineStr">
        <is>
          <t>IN_SCOPE_FINAL; SOURCE_CFG=IA-ST-CFG-0222; MARKET=None; STATUS=IN OEM / EU PACKAGE</t>
        </is>
      </c>
      <c r="O1532" t="inlineStr">
        <is>
          <t>2026-08-10T19:29:54Z</t>
        </is>
      </c>
      <c r="P1532" t="inlineStr">
        <is>
          <t>2026-08-10T19:29:54Z</t>
        </is>
      </c>
    </row>
    <row r="1533">
      <c r="A1533" s="19" t="inlineStr">
        <is>
          <t>1532</t>
        </is>
      </c>
      <c r="B1533" s="19" t="inlineStr">
        <is>
          <t>SC-1012486-ST-072-STD-13</t>
        </is>
      </c>
      <c r="C1533" t="inlineStr">
        <is>
          <t>1012486 → ST-072-STD-13</t>
        </is>
      </c>
      <c r="D1533" s="19" t="inlineStr">
        <is>
          <t>2</t>
        </is>
      </c>
      <c r="E1533" s="19" t="inlineStr">
        <is>
          <t>671</t>
        </is>
      </c>
      <c r="F1533" s="19" t="inlineStr">
        <is>
          <t>191</t>
        </is>
      </c>
      <c r="G1533" s="19" t="n"/>
      <c r="H1533" s="19" t="inlineStr">
        <is>
          <t>2</t>
        </is>
      </c>
      <c r="I1533" s="19" t="n"/>
      <c r="J1533" s="19" t="n"/>
      <c r="K1533" s="19" t="inlineStr">
        <is>
          <t>2</t>
        </is>
      </c>
      <c r="L1533" t="inlineStr">
        <is>
          <t>2026-08-08</t>
        </is>
      </c>
      <c r="N1533" t="inlineStr">
        <is>
          <t>IN_SCOPE_FINAL; SOURCE_CFG=IA-ST-CFG-0222; MARKET=None; STATUS=IN OEM / EU PACKAGE</t>
        </is>
      </c>
      <c r="O1533" t="inlineStr">
        <is>
          <t>2026-08-10T19:29:54Z</t>
        </is>
      </c>
      <c r="P1533" t="inlineStr">
        <is>
          <t>2026-08-10T19:29:54Z</t>
        </is>
      </c>
    </row>
    <row r="1534">
      <c r="A1534" s="19" t="inlineStr">
        <is>
          <t>1533</t>
        </is>
      </c>
      <c r="B1534" s="19" t="inlineStr">
        <is>
          <t>SC-1012534-ST-072-STD-13</t>
        </is>
      </c>
      <c r="C1534" t="inlineStr">
        <is>
          <t>1012534 → ST-072-STD-13</t>
        </is>
      </c>
      <c r="D1534" s="19" t="inlineStr">
        <is>
          <t>2</t>
        </is>
      </c>
      <c r="E1534" s="19" t="inlineStr">
        <is>
          <t>687</t>
        </is>
      </c>
      <c r="F1534" s="19" t="inlineStr">
        <is>
          <t>191</t>
        </is>
      </c>
      <c r="G1534" s="19" t="n"/>
      <c r="H1534" s="19" t="inlineStr">
        <is>
          <t>2</t>
        </is>
      </c>
      <c r="I1534" s="19" t="n"/>
      <c r="J1534" s="19" t="n"/>
      <c r="K1534" s="19" t="inlineStr">
        <is>
          <t>2</t>
        </is>
      </c>
      <c r="L1534" t="inlineStr">
        <is>
          <t>2026-08-08</t>
        </is>
      </c>
      <c r="N1534" t="inlineStr">
        <is>
          <t>IN_SCOPE_FINAL; SOURCE_CFG=IA-ST-CFG-0222; MARKET=None; STATUS=IN OEM / EU PACKAGE</t>
        </is>
      </c>
      <c r="O1534" t="inlineStr">
        <is>
          <t>2026-08-10T19:29:54Z</t>
        </is>
      </c>
      <c r="P1534" t="inlineStr">
        <is>
          <t>2026-08-10T19:29:54Z</t>
        </is>
      </c>
    </row>
    <row r="1535">
      <c r="A1535" s="19" t="inlineStr">
        <is>
          <t>1534</t>
        </is>
      </c>
      <c r="B1535" s="19" t="inlineStr">
        <is>
          <t>SC-1012597-ST-072-STD-13</t>
        </is>
      </c>
      <c r="C1535" t="inlineStr">
        <is>
          <t>1012597 → ST-072-STD-13</t>
        </is>
      </c>
      <c r="D1535" s="19" t="inlineStr">
        <is>
          <t>2</t>
        </is>
      </c>
      <c r="E1535" s="19" t="inlineStr">
        <is>
          <t>710</t>
        </is>
      </c>
      <c r="F1535" s="19" t="inlineStr">
        <is>
          <t>191</t>
        </is>
      </c>
      <c r="G1535" s="19" t="n"/>
      <c r="H1535" s="19" t="inlineStr">
        <is>
          <t>2</t>
        </is>
      </c>
      <c r="I1535" s="19" t="n"/>
      <c r="J1535" s="19" t="n"/>
      <c r="K1535" s="19" t="inlineStr">
        <is>
          <t>2</t>
        </is>
      </c>
      <c r="L1535" t="inlineStr">
        <is>
          <t>2026-08-08</t>
        </is>
      </c>
      <c r="N1535" t="inlineStr">
        <is>
          <t>IN_SCOPE_FINAL; SOURCE_CFG=IA-ST-CFG-0222; MARKET=JANENE İSRAİL; STATUS=IN OEM / EU PACKAGE</t>
        </is>
      </c>
      <c r="O1535" t="inlineStr">
        <is>
          <t>2026-08-10T19:29:54Z</t>
        </is>
      </c>
      <c r="P1535" t="inlineStr">
        <is>
          <t>2026-08-10T19:29:54Z</t>
        </is>
      </c>
    </row>
    <row r="1536">
      <c r="A1536" s="19" t="inlineStr">
        <is>
          <t>1535</t>
        </is>
      </c>
      <c r="B1536" s="19" t="inlineStr">
        <is>
          <t>SC-1012630-ST-072-STD-13</t>
        </is>
      </c>
      <c r="C1536" t="inlineStr">
        <is>
          <t>1012630 → ST-072-STD-13</t>
        </is>
      </c>
      <c r="D1536" s="19" t="inlineStr">
        <is>
          <t>2</t>
        </is>
      </c>
      <c r="E1536" s="19" t="inlineStr">
        <is>
          <t>723</t>
        </is>
      </c>
      <c r="F1536" s="19" t="inlineStr">
        <is>
          <t>191</t>
        </is>
      </c>
      <c r="G1536" s="19" t="n"/>
      <c r="H1536" s="19" t="inlineStr">
        <is>
          <t>2</t>
        </is>
      </c>
      <c r="I1536" s="19" t="n"/>
      <c r="J1536" s="19" t="n"/>
      <c r="K1536" s="19" t="inlineStr">
        <is>
          <t>2</t>
        </is>
      </c>
      <c r="L1536" t="inlineStr">
        <is>
          <t>2026-08-08</t>
        </is>
      </c>
      <c r="N1536" t="inlineStr">
        <is>
          <t>IN_SCOPE_FINAL; SOURCE_CFG=IA-ST-CFG-0222; MARKET=None; STATUS=IN OEM / EU PACKAGE</t>
        </is>
      </c>
      <c r="O1536" t="inlineStr">
        <is>
          <t>2026-08-10T19:29:54Z</t>
        </is>
      </c>
      <c r="P1536" t="inlineStr">
        <is>
          <t>2026-08-10T19:29:54Z</t>
        </is>
      </c>
    </row>
    <row r="1537">
      <c r="A1537" s="19" t="inlineStr">
        <is>
          <t>1536</t>
        </is>
      </c>
      <c r="B1537" s="19" t="inlineStr">
        <is>
          <t>SC-1012689-ST-072-STD-13</t>
        </is>
      </c>
      <c r="C1537" t="inlineStr">
        <is>
          <t>1012689 → ST-072-STD-13</t>
        </is>
      </c>
      <c r="D1537" s="19" t="inlineStr">
        <is>
          <t>2</t>
        </is>
      </c>
      <c r="E1537" s="19" t="inlineStr">
        <is>
          <t>753</t>
        </is>
      </c>
      <c r="F1537" s="19" t="inlineStr">
        <is>
          <t>191</t>
        </is>
      </c>
      <c r="G1537" s="19" t="n"/>
      <c r="H1537" s="19" t="inlineStr">
        <is>
          <t>2</t>
        </is>
      </c>
      <c r="I1537" s="19" t="n"/>
      <c r="J1537" s="19" t="n"/>
      <c r="K1537" s="19" t="inlineStr">
        <is>
          <t>2</t>
        </is>
      </c>
      <c r="L1537" t="inlineStr">
        <is>
          <t>2026-08-08</t>
        </is>
      </c>
      <c r="N1537" t="inlineStr">
        <is>
          <t>IN_SCOPE_FINAL; SOURCE_CFG=IA-ST-CFG-0222; MARKET=None; STATUS=IN OEM / EU PACKAGE</t>
        </is>
      </c>
      <c r="O1537" t="inlineStr">
        <is>
          <t>2026-08-10T19:29:54Z</t>
        </is>
      </c>
      <c r="P1537" t="inlineStr">
        <is>
          <t>2026-08-10T19:29:54Z</t>
        </is>
      </c>
    </row>
    <row r="1538">
      <c r="A1538" s="19" t="inlineStr">
        <is>
          <t>1537</t>
        </is>
      </c>
      <c r="B1538" s="19" t="inlineStr">
        <is>
          <t>SC-1013077-ST-072-STD-13</t>
        </is>
      </c>
      <c r="C1538" t="inlineStr">
        <is>
          <t>1013077 → ST-072-STD-13</t>
        </is>
      </c>
      <c r="D1538" s="19" t="inlineStr">
        <is>
          <t>2</t>
        </is>
      </c>
      <c r="E1538" s="19" t="inlineStr">
        <is>
          <t>914</t>
        </is>
      </c>
      <c r="F1538" s="19" t="inlineStr">
        <is>
          <t>191</t>
        </is>
      </c>
      <c r="G1538" s="19" t="n"/>
      <c r="H1538" s="19" t="inlineStr">
        <is>
          <t>2</t>
        </is>
      </c>
      <c r="I1538" s="19" t="n"/>
      <c r="J1538" s="19" t="n"/>
      <c r="K1538" s="19" t="inlineStr">
        <is>
          <t>2</t>
        </is>
      </c>
      <c r="L1538" t="inlineStr">
        <is>
          <t>2026-08-08</t>
        </is>
      </c>
      <c r="N1538" t="inlineStr">
        <is>
          <t>IN_SCOPE_FINAL; SOURCE_CFG=IA-ST-CFG-0222; MARKET=SHAWKAT; STATUS=IN OEM / EU PACKAGE</t>
        </is>
      </c>
      <c r="O1538" t="inlineStr">
        <is>
          <t>2026-08-10T19:29:54Z</t>
        </is>
      </c>
      <c r="P1538" t="inlineStr">
        <is>
          <t>2026-08-10T19:29:54Z</t>
        </is>
      </c>
    </row>
    <row r="1539">
      <c r="A1539" s="19" t="inlineStr">
        <is>
          <t>1538</t>
        </is>
      </c>
      <c r="B1539" s="19" t="inlineStr">
        <is>
          <t>SC-1013402-ST-072-STD-13</t>
        </is>
      </c>
      <c r="C1539" t="inlineStr">
        <is>
          <t>1013402 → ST-072-STD-13</t>
        </is>
      </c>
      <c r="D1539" s="19" t="inlineStr">
        <is>
          <t>2</t>
        </is>
      </c>
      <c r="E1539" s="19" t="inlineStr">
        <is>
          <t>986</t>
        </is>
      </c>
      <c r="F1539" s="19" t="inlineStr">
        <is>
          <t>191</t>
        </is>
      </c>
      <c r="G1539" s="19" t="n"/>
      <c r="H1539" s="19" t="inlineStr">
        <is>
          <t>2</t>
        </is>
      </c>
      <c r="I1539" s="19" t="n"/>
      <c r="J1539" s="19" t="n"/>
      <c r="K1539" s="19" t="inlineStr">
        <is>
          <t>2</t>
        </is>
      </c>
      <c r="L1539" t="inlineStr">
        <is>
          <t>2026-08-08</t>
        </is>
      </c>
      <c r="N1539" t="inlineStr">
        <is>
          <t>IN_SCOPE_FINAL; SOURCE_CFG=IA-ST-CFG-0222; MARKET=None; STATUS=IN OEM / EU PACKAGE</t>
        </is>
      </c>
      <c r="O1539" t="inlineStr">
        <is>
          <t>2026-08-10T19:29:54Z</t>
        </is>
      </c>
      <c r="P1539" t="inlineStr">
        <is>
          <t>2026-08-10T19:29:54Z</t>
        </is>
      </c>
    </row>
    <row r="1540">
      <c r="A1540" s="19" t="inlineStr">
        <is>
          <t>1539</t>
        </is>
      </c>
      <c r="B1540" s="19" t="inlineStr">
        <is>
          <t>SC-1013484-ST-072-STD-13</t>
        </is>
      </c>
      <c r="C1540" t="inlineStr">
        <is>
          <t>1013484 → ST-072-STD-13</t>
        </is>
      </c>
      <c r="D1540" s="19" t="inlineStr">
        <is>
          <t>2</t>
        </is>
      </c>
      <c r="E1540" s="19" t="inlineStr">
        <is>
          <t>1015</t>
        </is>
      </c>
      <c r="F1540" s="19" t="inlineStr">
        <is>
          <t>191</t>
        </is>
      </c>
      <c r="G1540" s="19" t="n"/>
      <c r="H1540" s="19" t="inlineStr">
        <is>
          <t>2</t>
        </is>
      </c>
      <c r="I1540" s="19" t="n"/>
      <c r="J1540" s="19" t="n"/>
      <c r="K1540" s="19" t="inlineStr">
        <is>
          <t>2</t>
        </is>
      </c>
      <c r="L1540" t="inlineStr">
        <is>
          <t>2026-08-08</t>
        </is>
      </c>
      <c r="N1540" t="inlineStr">
        <is>
          <t>IN_SCOPE_FINAL; SOURCE_CFG=IA-ST-CFG-0222; MARKET=None; STATUS=IN OEM / EU PACKAGE</t>
        </is>
      </c>
      <c r="O1540" t="inlineStr">
        <is>
          <t>2026-08-10T19:29:54Z</t>
        </is>
      </c>
      <c r="P1540" t="inlineStr">
        <is>
          <t>2026-08-10T19:29:54Z</t>
        </is>
      </c>
    </row>
    <row r="1541">
      <c r="A1541" s="19" t="inlineStr">
        <is>
          <t>1540</t>
        </is>
      </c>
      <c r="B1541" s="19" t="inlineStr">
        <is>
          <t>SC-1013671-ST-072-STD-13</t>
        </is>
      </c>
      <c r="C1541" t="inlineStr">
        <is>
          <t>1013671 → ST-072-STD-13</t>
        </is>
      </c>
      <c r="D1541" s="19" t="inlineStr">
        <is>
          <t>2</t>
        </is>
      </c>
      <c r="E1541" s="19" t="inlineStr">
        <is>
          <t>1061</t>
        </is>
      </c>
      <c r="F1541" s="19" t="inlineStr">
        <is>
          <t>191</t>
        </is>
      </c>
      <c r="G1541" s="19" t="n"/>
      <c r="H1541" s="19" t="inlineStr">
        <is>
          <t>2</t>
        </is>
      </c>
      <c r="I1541" s="19" t="n"/>
      <c r="J1541" s="19" t="n"/>
      <c r="K1541" s="19" t="inlineStr">
        <is>
          <t>2</t>
        </is>
      </c>
      <c r="L1541" t="inlineStr">
        <is>
          <t>2026-08-08</t>
        </is>
      </c>
      <c r="N1541" t="inlineStr">
        <is>
          <t>IN_SCOPE_FINAL; SOURCE_CFG=IA-ST-CFG-0222; MARKET=None; STATUS=IN OEM / EU PACKAGE</t>
        </is>
      </c>
      <c r="O1541" t="inlineStr">
        <is>
          <t>2026-08-10T19:29:54Z</t>
        </is>
      </c>
      <c r="P1541" t="inlineStr">
        <is>
          <t>2026-08-10T19:29:54Z</t>
        </is>
      </c>
    </row>
    <row r="1542">
      <c r="A1542" s="19" t="inlineStr">
        <is>
          <t>1541</t>
        </is>
      </c>
      <c r="B1542" s="19" t="inlineStr">
        <is>
          <t>SC-1013692-ST-072-STD-13</t>
        </is>
      </c>
      <c r="C1542" t="inlineStr">
        <is>
          <t>1013692 → ST-072-STD-13</t>
        </is>
      </c>
      <c r="D1542" s="19" t="inlineStr">
        <is>
          <t>2</t>
        </is>
      </c>
      <c r="E1542" s="19" t="inlineStr">
        <is>
          <t>1065</t>
        </is>
      </c>
      <c r="F1542" s="19" t="inlineStr">
        <is>
          <t>191</t>
        </is>
      </c>
      <c r="G1542" s="19" t="n"/>
      <c r="H1542" s="19" t="inlineStr">
        <is>
          <t>2</t>
        </is>
      </c>
      <c r="I1542" s="19" t="n"/>
      <c r="J1542" s="19" t="n"/>
      <c r="K1542" s="19" t="inlineStr">
        <is>
          <t>2</t>
        </is>
      </c>
      <c r="L1542" t="inlineStr">
        <is>
          <t>2026-08-08</t>
        </is>
      </c>
      <c r="N1542" t="inlineStr">
        <is>
          <t>IN_SCOPE_FINAL; SOURCE_CFG=IA-ST-CFG-0222; MARKET=None; STATUS=IN OEM / EU PACKAGE</t>
        </is>
      </c>
      <c r="O1542" t="inlineStr">
        <is>
          <t>2026-08-10T19:29:54Z</t>
        </is>
      </c>
      <c r="P1542" t="inlineStr">
        <is>
          <t>2026-08-10T19:29:54Z</t>
        </is>
      </c>
    </row>
    <row r="1543">
      <c r="A1543" s="19" t="inlineStr">
        <is>
          <t>1542</t>
        </is>
      </c>
      <c r="B1543" s="19" t="inlineStr">
        <is>
          <t>SC-1014202-ST-072-STD-13</t>
        </is>
      </c>
      <c r="C1543" t="inlineStr">
        <is>
          <t>1014202 → ST-072-STD-13</t>
        </is>
      </c>
      <c r="D1543" s="19" t="inlineStr">
        <is>
          <t>2</t>
        </is>
      </c>
      <c r="E1543" s="19" t="inlineStr">
        <is>
          <t>1269</t>
        </is>
      </c>
      <c r="F1543" s="19" t="inlineStr">
        <is>
          <t>191</t>
        </is>
      </c>
      <c r="G1543" s="19" t="n"/>
      <c r="H1543" s="19" t="inlineStr">
        <is>
          <t>2</t>
        </is>
      </c>
      <c r="I1543" s="19" t="n"/>
      <c r="J1543" s="19" t="n"/>
      <c r="K1543" s="19" t="inlineStr">
        <is>
          <t>2</t>
        </is>
      </c>
      <c r="L1543" t="inlineStr">
        <is>
          <t>2026-08-08</t>
        </is>
      </c>
      <c r="N1543" t="inlineStr">
        <is>
          <t>IN_SCOPE_FINAL; SOURCE_CFG=IA-ST-CFG-0222; MARKET=REY &amp; LENFERNA LUCAS; STATUS=IN OEM / EU PACKAGE</t>
        </is>
      </c>
      <c r="O1543" t="inlineStr">
        <is>
          <t>2026-08-10T19:29:54Z</t>
        </is>
      </c>
      <c r="P1543" t="inlineStr">
        <is>
          <t>2026-08-10T19:29:54Z</t>
        </is>
      </c>
    </row>
    <row r="1544">
      <c r="A1544" s="19" t="inlineStr">
        <is>
          <t>1543</t>
        </is>
      </c>
      <c r="B1544" s="19" t="inlineStr">
        <is>
          <t>SC-1014221-ST-072-STD-13</t>
        </is>
      </c>
      <c r="C1544" t="inlineStr">
        <is>
          <t>1014221 → ST-072-STD-13</t>
        </is>
      </c>
      <c r="D1544" s="19" t="inlineStr">
        <is>
          <t>2</t>
        </is>
      </c>
      <c r="E1544" s="19" t="inlineStr">
        <is>
          <t>1276</t>
        </is>
      </c>
      <c r="F1544" s="19" t="inlineStr">
        <is>
          <t>191</t>
        </is>
      </c>
      <c r="G1544" s="19" t="n"/>
      <c r="H1544" s="19" t="inlineStr">
        <is>
          <t>2</t>
        </is>
      </c>
      <c r="I1544" s="19" t="n"/>
      <c r="J1544" s="19" t="n"/>
      <c r="K1544" s="19" t="inlineStr">
        <is>
          <t>2</t>
        </is>
      </c>
      <c r="L1544" t="inlineStr">
        <is>
          <t>2026-08-08</t>
        </is>
      </c>
      <c r="N1544" t="inlineStr">
        <is>
          <t>IN_SCOPE_FINAL; SOURCE_CFG=IA-ST-CFG-0222; MARKET=TÜRKMENİSTAN; STATUS=IN OEM / EU PACKAGE</t>
        </is>
      </c>
      <c r="O1544" t="inlineStr">
        <is>
          <t>2026-08-10T19:29:54Z</t>
        </is>
      </c>
      <c r="P1544" t="inlineStr">
        <is>
          <t>2026-08-10T19:29:54Z</t>
        </is>
      </c>
    </row>
    <row r="1545">
      <c r="A1545" s="19" t="inlineStr">
        <is>
          <t>1544</t>
        </is>
      </c>
      <c r="B1545" s="19" t="inlineStr">
        <is>
          <t>SC-1014275-ST-072-STD-13</t>
        </is>
      </c>
      <c r="C1545" t="inlineStr">
        <is>
          <t>1014275 → ST-072-STD-13</t>
        </is>
      </c>
      <c r="D1545" s="19" t="inlineStr">
        <is>
          <t>2</t>
        </is>
      </c>
      <c r="E1545" s="19" t="inlineStr">
        <is>
          <t>1289</t>
        </is>
      </c>
      <c r="F1545" s="19" t="inlineStr">
        <is>
          <t>191</t>
        </is>
      </c>
      <c r="G1545" s="19" t="n"/>
      <c r="H1545" s="19" t="inlineStr">
        <is>
          <t>2</t>
        </is>
      </c>
      <c r="I1545" s="19" t="n"/>
      <c r="J1545" s="19" t="n"/>
      <c r="K1545" s="19" t="inlineStr">
        <is>
          <t>2</t>
        </is>
      </c>
      <c r="L1545" t="inlineStr">
        <is>
          <t>2026-08-08</t>
        </is>
      </c>
      <c r="N1545" t="inlineStr">
        <is>
          <t>IN_SCOPE_FINAL; SOURCE_CFG=IA-ST-CFG-0222; MARKET=None; STATUS=IN OEM / EU PACKAGE</t>
        </is>
      </c>
      <c r="O1545" t="inlineStr">
        <is>
          <t>2026-08-10T19:29:54Z</t>
        </is>
      </c>
      <c r="P1545" t="inlineStr">
        <is>
          <t>2026-08-10T19:29:54Z</t>
        </is>
      </c>
    </row>
    <row r="1546">
      <c r="A1546" s="19" t="inlineStr">
        <is>
          <t>1545</t>
        </is>
      </c>
      <c r="B1546" s="19" t="inlineStr">
        <is>
          <t>SC-1014278-ST-072-STD-13</t>
        </is>
      </c>
      <c r="C1546" t="inlineStr">
        <is>
          <t>1014278 → ST-072-STD-13</t>
        </is>
      </c>
      <c r="D1546" s="19" t="inlineStr">
        <is>
          <t>2</t>
        </is>
      </c>
      <c r="E1546" s="19" t="inlineStr">
        <is>
          <t>1292</t>
        </is>
      </c>
      <c r="F1546" s="19" t="inlineStr">
        <is>
          <t>191</t>
        </is>
      </c>
      <c r="G1546" s="19" t="n"/>
      <c r="H1546" s="19" t="inlineStr">
        <is>
          <t>2</t>
        </is>
      </c>
      <c r="I1546" s="19" t="n"/>
      <c r="J1546" s="19" t="n"/>
      <c r="K1546" s="19" t="inlineStr">
        <is>
          <t>2</t>
        </is>
      </c>
      <c r="L1546" t="inlineStr">
        <is>
          <t>2026-08-08</t>
        </is>
      </c>
      <c r="N1546" t="inlineStr">
        <is>
          <t>IN_SCOPE_FINAL; SOURCE_CFG=IA-ST-CFG-0222; MARKET=None; STATUS=IN OEM / EU PACKAGE</t>
        </is>
      </c>
      <c r="O1546" t="inlineStr">
        <is>
          <t>2026-08-10T19:29:54Z</t>
        </is>
      </c>
      <c r="P1546" t="inlineStr">
        <is>
          <t>2026-08-10T19:29:54Z</t>
        </is>
      </c>
    </row>
    <row r="1547">
      <c r="A1547" s="19" t="inlineStr">
        <is>
          <t>1546</t>
        </is>
      </c>
      <c r="B1547" s="19" t="inlineStr">
        <is>
          <t>SC-1014552-ST-072-STD-13</t>
        </is>
      </c>
      <c r="C1547" t="inlineStr">
        <is>
          <t>1014552 → ST-072-STD-13</t>
        </is>
      </c>
      <c r="D1547" s="19" t="inlineStr">
        <is>
          <t>2</t>
        </is>
      </c>
      <c r="E1547" s="19" t="inlineStr">
        <is>
          <t>1441</t>
        </is>
      </c>
      <c r="F1547" s="19" t="inlineStr">
        <is>
          <t>191</t>
        </is>
      </c>
      <c r="G1547" s="19" t="n"/>
      <c r="H1547" s="19" t="inlineStr">
        <is>
          <t>2</t>
        </is>
      </c>
      <c r="I1547" s="19" t="n"/>
      <c r="J1547" s="19" t="n"/>
      <c r="K1547" s="19" t="inlineStr">
        <is>
          <t>2</t>
        </is>
      </c>
      <c r="L1547" t="inlineStr">
        <is>
          <t>2026-08-08</t>
        </is>
      </c>
      <c r="N1547" t="inlineStr">
        <is>
          <t>IN_SCOPE_FINAL; SOURCE_CFG=IA-ST-CFG-0222; MARKET=MISIR NACITA; STATUS=IN OEM / EU PACKAGE</t>
        </is>
      </c>
      <c r="O1547" t="inlineStr">
        <is>
          <t>2026-08-10T19:29:54Z</t>
        </is>
      </c>
      <c r="P1547" t="inlineStr">
        <is>
          <t>2026-08-10T19:29:54Z</t>
        </is>
      </c>
    </row>
    <row r="1548">
      <c r="A1548" s="19" t="inlineStr">
        <is>
          <t>1547</t>
        </is>
      </c>
      <c r="B1548" s="19" t="inlineStr">
        <is>
          <t>SC-1014691-ST-072-STD-13</t>
        </is>
      </c>
      <c r="C1548" t="inlineStr">
        <is>
          <t>1014691 → ST-072-STD-13</t>
        </is>
      </c>
      <c r="D1548" s="19" t="inlineStr">
        <is>
          <t>2</t>
        </is>
      </c>
      <c r="E1548" s="19" t="inlineStr">
        <is>
          <t>1543</t>
        </is>
      </c>
      <c r="F1548" s="19" t="inlineStr">
        <is>
          <t>191</t>
        </is>
      </c>
      <c r="G1548" s="19" t="n"/>
      <c r="H1548" s="19" t="inlineStr">
        <is>
          <t>2</t>
        </is>
      </c>
      <c r="I1548" s="19" t="n"/>
      <c r="J1548" s="19" t="n"/>
      <c r="K1548" s="19" t="inlineStr">
        <is>
          <t>2</t>
        </is>
      </c>
      <c r="L1548" t="inlineStr">
        <is>
          <t>2026-08-08</t>
        </is>
      </c>
      <c r="N1548" t="inlineStr">
        <is>
          <t>IN_SCOPE_FINAL; SOURCE_CFG=IA-ST-CFG-0222; MARKET=TÜRKMENİSTAN; STATUS=IN OEM / EU PACKAGE</t>
        </is>
      </c>
      <c r="O1548" t="inlineStr">
        <is>
          <t>2026-08-10T19:29:54Z</t>
        </is>
      </c>
      <c r="P1548" t="inlineStr">
        <is>
          <t>2026-08-10T19:29:54Z</t>
        </is>
      </c>
    </row>
    <row r="1549">
      <c r="A1549" s="19" t="inlineStr">
        <is>
          <t>1548</t>
        </is>
      </c>
      <c r="B1549" s="19" t="inlineStr">
        <is>
          <t>SC-1014692-ST-072-STD-13</t>
        </is>
      </c>
      <c r="C1549" t="inlineStr">
        <is>
          <t>1014692 → ST-072-STD-13</t>
        </is>
      </c>
      <c r="D1549" s="19" t="inlineStr">
        <is>
          <t>2</t>
        </is>
      </c>
      <c r="E1549" s="19" t="inlineStr">
        <is>
          <t>1544</t>
        </is>
      </c>
      <c r="F1549" s="19" t="inlineStr">
        <is>
          <t>191</t>
        </is>
      </c>
      <c r="G1549" s="19" t="n"/>
      <c r="H1549" s="19" t="inlineStr">
        <is>
          <t>2</t>
        </is>
      </c>
      <c r="I1549" s="19" t="n"/>
      <c r="J1549" s="19" t="n"/>
      <c r="K1549" s="19" t="inlineStr">
        <is>
          <t>2</t>
        </is>
      </c>
      <c r="L1549" t="inlineStr">
        <is>
          <t>2026-08-08</t>
        </is>
      </c>
      <c r="N1549" t="inlineStr">
        <is>
          <t>IN_SCOPE_FINAL; SOURCE_CFG=IA-ST-CFG-0222; MARKET=TÜRKMENİSTAN; STATUS=IN OEM / EU PACKAGE</t>
        </is>
      </c>
      <c r="O1549" t="inlineStr">
        <is>
          <t>2026-08-10T19:29:54Z</t>
        </is>
      </c>
      <c r="P1549" t="inlineStr">
        <is>
          <t>2026-08-10T19:29:54Z</t>
        </is>
      </c>
    </row>
    <row r="1550">
      <c r="A1550" s="19" t="inlineStr">
        <is>
          <t>1549</t>
        </is>
      </c>
      <c r="B1550" s="19" t="inlineStr">
        <is>
          <t>SC-1014819-ST-072-STD-13</t>
        </is>
      </c>
      <c r="C1550" t="inlineStr">
        <is>
          <t>1014819 → ST-072-STD-13</t>
        </is>
      </c>
      <c r="D1550" s="19" t="inlineStr">
        <is>
          <t>2</t>
        </is>
      </c>
      <c r="E1550" s="19" t="inlineStr">
        <is>
          <t>1624</t>
        </is>
      </c>
      <c r="F1550" s="19" t="inlineStr">
        <is>
          <t>191</t>
        </is>
      </c>
      <c r="G1550" s="19" t="n"/>
      <c r="H1550" s="19" t="inlineStr">
        <is>
          <t>2</t>
        </is>
      </c>
      <c r="I1550" s="19" t="n"/>
      <c r="J1550" s="19" t="n"/>
      <c r="K1550" s="19" t="inlineStr">
        <is>
          <t>2</t>
        </is>
      </c>
      <c r="L1550" t="inlineStr">
        <is>
          <t>2026-08-08</t>
        </is>
      </c>
      <c r="N1550" t="inlineStr">
        <is>
          <t>IN_SCOPE_FINAL; SOURCE_CFG=IA-ST-CFG-0222; MARKET=REDMAY URUGUAY; STATUS=IN OEM / EU PACKAGE</t>
        </is>
      </c>
      <c r="O1550" t="inlineStr">
        <is>
          <t>2026-08-10T19:29:54Z</t>
        </is>
      </c>
      <c r="P1550" t="inlineStr">
        <is>
          <t>2026-08-10T19:29:54Z</t>
        </is>
      </c>
    </row>
    <row r="1551">
      <c r="A1551" s="19" t="inlineStr">
        <is>
          <t>1550</t>
        </is>
      </c>
      <c r="B1551" s="19" t="inlineStr">
        <is>
          <t>SC-1014867-ST-072-STD-13</t>
        </is>
      </c>
      <c r="C1551" t="inlineStr">
        <is>
          <t>1014867 → ST-072-STD-13</t>
        </is>
      </c>
      <c r="D1551" s="19" t="inlineStr">
        <is>
          <t>2</t>
        </is>
      </c>
      <c r="E1551" s="19" t="inlineStr">
        <is>
          <t>1650</t>
        </is>
      </c>
      <c r="F1551" s="19" t="inlineStr">
        <is>
          <t>191</t>
        </is>
      </c>
      <c r="G1551" s="19" t="n"/>
      <c r="H1551" s="19" t="inlineStr">
        <is>
          <t>2</t>
        </is>
      </c>
      <c r="I1551" s="19" t="n"/>
      <c r="J1551" s="19" t="n"/>
      <c r="K1551" s="19" t="inlineStr">
        <is>
          <t>2</t>
        </is>
      </c>
      <c r="L1551" t="inlineStr">
        <is>
          <t>2026-08-08</t>
        </is>
      </c>
      <c r="N1551" t="inlineStr">
        <is>
          <t>IN_SCOPE_FINAL; SOURCE_CFG=IA-ST-CFG-0222; MARKET=TÜRKMENİSTAN; STATUS=IN OEM / EU PACKAGE</t>
        </is>
      </c>
      <c r="O1551" t="inlineStr">
        <is>
          <t>2026-08-10T19:29:54Z</t>
        </is>
      </c>
      <c r="P1551" t="inlineStr">
        <is>
          <t>2026-08-10T19:29:54Z</t>
        </is>
      </c>
    </row>
    <row r="1552">
      <c r="A1552" s="19" t="inlineStr">
        <is>
          <t>1551</t>
        </is>
      </c>
      <c r="B1552" s="19" t="inlineStr">
        <is>
          <t>SC-1014880-ST-072-STD-13</t>
        </is>
      </c>
      <c r="C1552" t="inlineStr">
        <is>
          <t>1014880 → ST-072-STD-13</t>
        </is>
      </c>
      <c r="D1552" s="19" t="inlineStr">
        <is>
          <t>2</t>
        </is>
      </c>
      <c r="E1552" s="19" t="inlineStr">
        <is>
          <t>1652</t>
        </is>
      </c>
      <c r="F1552" s="19" t="inlineStr">
        <is>
          <t>191</t>
        </is>
      </c>
      <c r="G1552" s="19" t="n"/>
      <c r="H1552" s="19" t="inlineStr">
        <is>
          <t>2</t>
        </is>
      </c>
      <c r="I1552" s="19" t="n"/>
      <c r="J1552" s="19" t="n"/>
      <c r="K1552" s="19" t="inlineStr">
        <is>
          <t>2</t>
        </is>
      </c>
      <c r="L1552" t="inlineStr">
        <is>
          <t>2026-08-08</t>
        </is>
      </c>
      <c r="N1552" t="inlineStr">
        <is>
          <t>IN_SCOPE_FINAL; SOURCE_CFG=IA-ST-CFG-0222; MARKET=MULTISERVICIOSGOODWHEVENEZUELA; STATUS=IN OEM / EU PACKAGE</t>
        </is>
      </c>
      <c r="O1552" t="inlineStr">
        <is>
          <t>2026-08-10T19:29:54Z</t>
        </is>
      </c>
      <c r="P1552" t="inlineStr">
        <is>
          <t>2026-08-10T19:29:54Z</t>
        </is>
      </c>
    </row>
    <row r="1553">
      <c r="A1553" s="19" t="inlineStr">
        <is>
          <t>1552</t>
        </is>
      </c>
      <c r="B1553" s="19" t="inlineStr">
        <is>
          <t>SC-1014881-ST-072-STD-13</t>
        </is>
      </c>
      <c r="C1553" t="inlineStr">
        <is>
          <t>1014881 → ST-072-STD-13</t>
        </is>
      </c>
      <c r="D1553" s="19" t="inlineStr">
        <is>
          <t>2</t>
        </is>
      </c>
      <c r="E1553" s="19" t="inlineStr">
        <is>
          <t>1653</t>
        </is>
      </c>
      <c r="F1553" s="19" t="inlineStr">
        <is>
          <t>191</t>
        </is>
      </c>
      <c r="G1553" s="19" t="n"/>
      <c r="H1553" s="19" t="inlineStr">
        <is>
          <t>2</t>
        </is>
      </c>
      <c r="I1553" s="19" t="n"/>
      <c r="J1553" s="19" t="n"/>
      <c r="K1553" s="19" t="inlineStr">
        <is>
          <t>2</t>
        </is>
      </c>
      <c r="L1553" t="inlineStr">
        <is>
          <t>2026-08-08</t>
        </is>
      </c>
      <c r="N1553" t="inlineStr">
        <is>
          <t>IN_SCOPE_FINAL; SOURCE_CFG=IA-ST-CFG-0222; MARKET=MULTISERVICIOSGOODWHEVENEZUELA; STATUS=IN OEM / EU PACKAGE</t>
        </is>
      </c>
      <c r="O1553" t="inlineStr">
        <is>
          <t>2026-08-10T19:29:54Z</t>
        </is>
      </c>
      <c r="P1553" t="inlineStr">
        <is>
          <t>2026-08-10T19:29:54Z</t>
        </is>
      </c>
    </row>
    <row r="1554">
      <c r="A1554" s="19" t="inlineStr">
        <is>
          <t>1553</t>
        </is>
      </c>
      <c r="B1554" s="19" t="inlineStr">
        <is>
          <t>SC-1015073-ST-072-STD-13</t>
        </is>
      </c>
      <c r="C1554" t="inlineStr">
        <is>
          <t>1015073 → ST-072-STD-13</t>
        </is>
      </c>
      <c r="D1554" s="19" t="inlineStr">
        <is>
          <t>2</t>
        </is>
      </c>
      <c r="E1554" s="19" t="inlineStr">
        <is>
          <t>1830</t>
        </is>
      </c>
      <c r="F1554" s="19" t="inlineStr">
        <is>
          <t>191</t>
        </is>
      </c>
      <c r="G1554" s="19" t="n"/>
      <c r="H1554" s="19" t="inlineStr">
        <is>
          <t>2</t>
        </is>
      </c>
      <c r="I1554" s="19" t="n"/>
      <c r="J1554" s="19" t="n"/>
      <c r="K1554" s="19" t="inlineStr">
        <is>
          <t>2</t>
        </is>
      </c>
      <c r="L1554" t="inlineStr">
        <is>
          <t>2026-08-08</t>
        </is>
      </c>
      <c r="N1554" t="inlineStr">
        <is>
          <t>IN_SCOPE_FINAL; SOURCE_CFG=IA-ST-CFG-0222; MARKET=SHAWKAT; STATUS=IN OEM / EU PACKAGE</t>
        </is>
      </c>
      <c r="O1554" t="inlineStr">
        <is>
          <t>2026-08-10T19:29:54Z</t>
        </is>
      </c>
      <c r="P1554" t="inlineStr">
        <is>
          <t>2026-08-10T19:29:54Z</t>
        </is>
      </c>
    </row>
    <row r="1555">
      <c r="A1555" s="19" t="inlineStr">
        <is>
          <t>1554</t>
        </is>
      </c>
      <c r="B1555" s="19" t="inlineStr">
        <is>
          <t>SC-1015096-ST-072-STD-13</t>
        </is>
      </c>
      <c r="C1555" t="inlineStr">
        <is>
          <t>1015096 → ST-072-STD-13</t>
        </is>
      </c>
      <c r="D1555" s="19" t="inlineStr">
        <is>
          <t>2</t>
        </is>
      </c>
      <c r="E1555" s="19" t="inlineStr">
        <is>
          <t>1850</t>
        </is>
      </c>
      <c r="F1555" s="19" t="inlineStr">
        <is>
          <t>191</t>
        </is>
      </c>
      <c r="G1555" s="19" t="n"/>
      <c r="H1555" s="19" t="inlineStr">
        <is>
          <t>2</t>
        </is>
      </c>
      <c r="I1555" s="19" t="n"/>
      <c r="J1555" s="19" t="n"/>
      <c r="K1555" s="19" t="inlineStr">
        <is>
          <t>2</t>
        </is>
      </c>
      <c r="L1555" t="inlineStr">
        <is>
          <t>2026-08-08</t>
        </is>
      </c>
      <c r="N1555" t="inlineStr">
        <is>
          <t>IN_SCOPE_FINAL; SOURCE_CFG=IA-ST-CFG-0222; MARKET=None; STATUS=IN OEM / EU PACKAGE</t>
        </is>
      </c>
      <c r="O1555" t="inlineStr">
        <is>
          <t>2026-08-10T19:29:54Z</t>
        </is>
      </c>
      <c r="P1555" t="inlineStr">
        <is>
          <t>2026-08-10T19:29:54Z</t>
        </is>
      </c>
    </row>
    <row r="1556">
      <c r="A1556" s="19" t="inlineStr">
        <is>
          <t>1555</t>
        </is>
      </c>
      <c r="B1556" s="19" t="inlineStr">
        <is>
          <t>SC-1015098-ST-072-STD-13</t>
        </is>
      </c>
      <c r="C1556" t="inlineStr">
        <is>
          <t>1015098 → ST-072-STD-13</t>
        </is>
      </c>
      <c r="D1556" s="19" t="inlineStr">
        <is>
          <t>2</t>
        </is>
      </c>
      <c r="E1556" s="19" t="inlineStr">
        <is>
          <t>1851</t>
        </is>
      </c>
      <c r="F1556" s="19" t="inlineStr">
        <is>
          <t>191</t>
        </is>
      </c>
      <c r="G1556" s="19" t="n"/>
      <c r="H1556" s="19" t="inlineStr">
        <is>
          <t>2</t>
        </is>
      </c>
      <c r="I1556" s="19" t="n"/>
      <c r="J1556" s="19" t="n"/>
      <c r="K1556" s="19" t="inlineStr">
        <is>
          <t>2</t>
        </is>
      </c>
      <c r="L1556" t="inlineStr">
        <is>
          <t>2026-08-08</t>
        </is>
      </c>
      <c r="N1556" t="inlineStr">
        <is>
          <t>IN_SCOPE_FINAL; SOURCE_CFG=IA-ST-CFG-0222; MARKET=TÜRKMENİSTAN; STATUS=IN OEM / EU PACKAGE</t>
        </is>
      </c>
      <c r="O1556" t="inlineStr">
        <is>
          <t>2026-08-10T19:29:54Z</t>
        </is>
      </c>
      <c r="P1556" t="inlineStr">
        <is>
          <t>2026-08-10T19:29:54Z</t>
        </is>
      </c>
    </row>
    <row r="1557">
      <c r="A1557" s="19" t="inlineStr">
        <is>
          <t>1556</t>
        </is>
      </c>
      <c r="B1557" s="19" t="inlineStr">
        <is>
          <t>SC-1015125-ST-072-STD-13</t>
        </is>
      </c>
      <c r="C1557" t="inlineStr">
        <is>
          <t>1015125 → ST-072-STD-13</t>
        </is>
      </c>
      <c r="D1557" s="19" t="inlineStr">
        <is>
          <t>2</t>
        </is>
      </c>
      <c r="E1557" s="19" t="inlineStr">
        <is>
          <t>1874</t>
        </is>
      </c>
      <c r="F1557" s="19" t="inlineStr">
        <is>
          <t>191</t>
        </is>
      </c>
      <c r="G1557" s="19" t="n"/>
      <c r="H1557" s="19" t="inlineStr">
        <is>
          <t>2</t>
        </is>
      </c>
      <c r="I1557" s="19" t="n"/>
      <c r="J1557" s="19" t="n"/>
      <c r="K1557" s="19" t="inlineStr">
        <is>
          <t>2</t>
        </is>
      </c>
      <c r="L1557" t="inlineStr">
        <is>
          <t>2026-08-08</t>
        </is>
      </c>
      <c r="N1557" t="inlineStr">
        <is>
          <t>IN_SCOPE_FINAL; SOURCE_CFG=IA-ST-CFG-0222; MARKET=AWAEL S.A.R.L. (LÜBNAN); STATUS=IN OEM / EU PACKAGE</t>
        </is>
      </c>
      <c r="O1557" t="inlineStr">
        <is>
          <t>2026-08-10T19:29:54Z</t>
        </is>
      </c>
      <c r="P1557" t="inlineStr">
        <is>
          <t>2026-08-10T19:29:54Z</t>
        </is>
      </c>
    </row>
    <row r="1558">
      <c r="A1558" s="19" t="inlineStr">
        <is>
          <t>1557</t>
        </is>
      </c>
      <c r="B1558" s="19" t="inlineStr">
        <is>
          <t>SC-1015192-ST-072-STD-13</t>
        </is>
      </c>
      <c r="C1558" t="inlineStr">
        <is>
          <t>1015192 → ST-072-STD-13</t>
        </is>
      </c>
      <c r="D1558" s="19" t="inlineStr">
        <is>
          <t>2</t>
        </is>
      </c>
      <c r="E1558" s="19" t="inlineStr">
        <is>
          <t>1933</t>
        </is>
      </c>
      <c r="F1558" s="19" t="inlineStr">
        <is>
          <t>191</t>
        </is>
      </c>
      <c r="G1558" s="19" t="n"/>
      <c r="H1558" s="19" t="inlineStr">
        <is>
          <t>2</t>
        </is>
      </c>
      <c r="I1558" s="19" t="n"/>
      <c r="J1558" s="19" t="n"/>
      <c r="K1558" s="19" t="inlineStr">
        <is>
          <t>2</t>
        </is>
      </c>
      <c r="L1558" t="inlineStr">
        <is>
          <t>2026-08-08</t>
        </is>
      </c>
      <c r="N1558" t="inlineStr">
        <is>
          <t>IN_SCOPE_FINAL; SOURCE_CFG=IA-ST-CFG-0222; MARKET=REDMAY URUGUAY; STATUS=IN OEM / EU PACKAGE</t>
        </is>
      </c>
      <c r="O1558" t="inlineStr">
        <is>
          <t>2026-08-10T19:29:54Z</t>
        </is>
      </c>
      <c r="P1558" t="inlineStr">
        <is>
          <t>2026-08-10T19:29:54Z</t>
        </is>
      </c>
    </row>
    <row r="1559">
      <c r="A1559" s="19" t="inlineStr">
        <is>
          <t>1558</t>
        </is>
      </c>
      <c r="B1559" s="19" t="inlineStr">
        <is>
          <t>SC-1015251-ST-072-STD-13</t>
        </is>
      </c>
      <c r="C1559" t="inlineStr">
        <is>
          <t>1015251 → ST-072-STD-13</t>
        </is>
      </c>
      <c r="D1559" s="19" t="inlineStr">
        <is>
          <t>2</t>
        </is>
      </c>
      <c r="E1559" s="19" t="inlineStr">
        <is>
          <t>1987</t>
        </is>
      </c>
      <c r="F1559" s="19" t="inlineStr">
        <is>
          <t>191</t>
        </is>
      </c>
      <c r="G1559" s="19" t="n"/>
      <c r="H1559" s="19" t="inlineStr">
        <is>
          <t>2</t>
        </is>
      </c>
      <c r="I1559" s="19" t="n"/>
      <c r="J1559" s="19" t="n"/>
      <c r="K1559" s="19" t="inlineStr">
        <is>
          <t>2</t>
        </is>
      </c>
      <c r="L1559" t="inlineStr">
        <is>
          <t>2026-08-08</t>
        </is>
      </c>
      <c r="N1559" t="inlineStr">
        <is>
          <t>IN_SCOPE_FINAL; SOURCE_CFG=IA-ST-CFG-0222; MARKET=MISIR AL AMAN; STATUS=IN OEM / EU PACKAGE</t>
        </is>
      </c>
      <c r="O1559" t="inlineStr">
        <is>
          <t>2026-08-10T19:29:54Z</t>
        </is>
      </c>
      <c r="P1559" t="inlineStr">
        <is>
          <t>2026-08-10T19:29:54Z</t>
        </is>
      </c>
    </row>
    <row r="1560">
      <c r="A1560" s="19" t="inlineStr">
        <is>
          <t>1559</t>
        </is>
      </c>
      <c r="B1560" s="19" t="inlineStr">
        <is>
          <t>SC-1015305-ST-072-STD-13</t>
        </is>
      </c>
      <c r="C1560" t="inlineStr">
        <is>
          <t>1015305 → ST-072-STD-13</t>
        </is>
      </c>
      <c r="D1560" s="19" t="inlineStr">
        <is>
          <t>2</t>
        </is>
      </c>
      <c r="E1560" s="19" t="inlineStr">
        <is>
          <t>2029</t>
        </is>
      </c>
      <c r="F1560" s="19" t="inlineStr">
        <is>
          <t>191</t>
        </is>
      </c>
      <c r="G1560" s="19" t="n"/>
      <c r="H1560" s="19" t="inlineStr">
        <is>
          <t>2</t>
        </is>
      </c>
      <c r="I1560" s="19" t="n"/>
      <c r="J1560" s="19" t="n"/>
      <c r="K1560" s="19" t="inlineStr">
        <is>
          <t>2</t>
        </is>
      </c>
      <c r="L1560" t="inlineStr">
        <is>
          <t>2026-08-08</t>
        </is>
      </c>
      <c r="N1560" t="inlineStr">
        <is>
          <t>IN_SCOPE_FINAL; SOURCE_CFG=IA-ST-CFG-0222; MARKET=MISIR AL AMAN; STATUS=IN OEM / EU PACKAGE</t>
        </is>
      </c>
      <c r="O1560" t="inlineStr">
        <is>
          <t>2026-08-10T19:29:54Z</t>
        </is>
      </c>
      <c r="P1560" t="inlineStr">
        <is>
          <t>2026-08-10T19:29:54Z</t>
        </is>
      </c>
    </row>
    <row r="1561">
      <c r="A1561" s="19" t="inlineStr">
        <is>
          <t>1560</t>
        </is>
      </c>
      <c r="B1561" s="19" t="inlineStr">
        <is>
          <t>SC-1012031-ST-072-STD-13</t>
        </is>
      </c>
      <c r="C1561" t="inlineStr">
        <is>
          <t>1012031 → ST-072-STD-13</t>
        </is>
      </c>
      <c r="D1561" s="19" t="inlineStr">
        <is>
          <t>2</t>
        </is>
      </c>
      <c r="E1561" s="19" t="inlineStr">
        <is>
          <t>483</t>
        </is>
      </c>
      <c r="F1561" s="19" t="inlineStr">
        <is>
          <t>191</t>
        </is>
      </c>
      <c r="G1561" s="19" t="n"/>
      <c r="H1561" s="19" t="inlineStr">
        <is>
          <t>2</t>
        </is>
      </c>
      <c r="I1561" s="19" t="n"/>
      <c r="J1561" s="19" t="n"/>
      <c r="K1561" s="19" t="inlineStr">
        <is>
          <t>2</t>
        </is>
      </c>
      <c r="L1561" t="inlineStr">
        <is>
          <t>2026-08-08</t>
        </is>
      </c>
      <c r="N1561" t="inlineStr">
        <is>
          <t>IN_SCOPE_FINAL; SOURCE_CFG=IA-ST-CFG-0222; MARKET=MISIR NACITA; STATUS=IN OEM / EU PACKAGE</t>
        </is>
      </c>
      <c r="O1561" t="inlineStr">
        <is>
          <t>2026-08-10T19:29:54Z</t>
        </is>
      </c>
      <c r="P1561" t="inlineStr">
        <is>
          <t>2026-08-10T19:29:54Z</t>
        </is>
      </c>
    </row>
    <row r="1562">
      <c r="A1562" s="19" t="inlineStr">
        <is>
          <t>1561</t>
        </is>
      </c>
      <c r="B1562" s="19" t="inlineStr">
        <is>
          <t>SC-1013455-ST-072-STD-13</t>
        </is>
      </c>
      <c r="C1562" t="inlineStr">
        <is>
          <t>1013455 → ST-072-STD-13</t>
        </is>
      </c>
      <c r="D1562" s="19" t="inlineStr">
        <is>
          <t>2</t>
        </is>
      </c>
      <c r="E1562" s="19" t="inlineStr">
        <is>
          <t>1003</t>
        </is>
      </c>
      <c r="F1562" s="19" t="inlineStr">
        <is>
          <t>191</t>
        </is>
      </c>
      <c r="G1562" s="19" t="n"/>
      <c r="H1562" s="19" t="inlineStr">
        <is>
          <t>2</t>
        </is>
      </c>
      <c r="I1562" s="19" t="n"/>
      <c r="J1562" s="19" t="n"/>
      <c r="K1562" s="19" t="inlineStr">
        <is>
          <t>2</t>
        </is>
      </c>
      <c r="L1562" t="inlineStr">
        <is>
          <t>2026-08-08</t>
        </is>
      </c>
      <c r="N1562" t="inlineStr">
        <is>
          <t>IN_SCOPE_FINAL; SOURCE_CFG=IA-ST-CFG-0222; MARKET=SHAWKAT; STATUS=IN OEM / EU PACKAGE</t>
        </is>
      </c>
      <c r="O1562" t="inlineStr">
        <is>
          <t>2026-08-10T19:29:54Z</t>
        </is>
      </c>
      <c r="P1562" t="inlineStr">
        <is>
          <t>2026-08-10T19:29:54Z</t>
        </is>
      </c>
    </row>
    <row r="1563">
      <c r="A1563" s="19" t="inlineStr">
        <is>
          <t>1562</t>
        </is>
      </c>
      <c r="B1563" s="19" t="inlineStr">
        <is>
          <t>SC-1013456-ST-072-STD-13</t>
        </is>
      </c>
      <c r="C1563" t="inlineStr">
        <is>
          <t>1013456 → ST-072-STD-13</t>
        </is>
      </c>
      <c r="D1563" s="19" t="inlineStr">
        <is>
          <t>2</t>
        </is>
      </c>
      <c r="E1563" s="19" t="inlineStr">
        <is>
          <t>1004</t>
        </is>
      </c>
      <c r="F1563" s="19" t="inlineStr">
        <is>
          <t>191</t>
        </is>
      </c>
      <c r="G1563" s="19" t="n"/>
      <c r="H1563" s="19" t="inlineStr">
        <is>
          <t>2</t>
        </is>
      </c>
      <c r="I1563" s="19" t="n"/>
      <c r="J1563" s="19" t="n"/>
      <c r="K1563" s="19" t="inlineStr">
        <is>
          <t>2</t>
        </is>
      </c>
      <c r="L1563" t="inlineStr">
        <is>
          <t>2026-08-08</t>
        </is>
      </c>
      <c r="N1563" t="inlineStr">
        <is>
          <t>IN_SCOPE_FINAL; SOURCE_CFG=IA-ST-CFG-0222; MARKET=SHAWKAT; STATUS=IN OEM / EU PACKAGE</t>
        </is>
      </c>
      <c r="O1563" t="inlineStr">
        <is>
          <t>2026-08-10T19:29:54Z</t>
        </is>
      </c>
      <c r="P1563" t="inlineStr">
        <is>
          <t>2026-08-10T19:29:54Z</t>
        </is>
      </c>
    </row>
    <row r="1564">
      <c r="A1564" s="19" t="inlineStr">
        <is>
          <t>1563</t>
        </is>
      </c>
      <c r="B1564" s="19" t="inlineStr">
        <is>
          <t>SC-1013940-ST-072-STD-13</t>
        </is>
      </c>
      <c r="C1564" t="inlineStr">
        <is>
          <t>1013940 → ST-072-STD-13</t>
        </is>
      </c>
      <c r="D1564" s="19" t="inlineStr">
        <is>
          <t>2</t>
        </is>
      </c>
      <c r="E1564" s="19" t="inlineStr">
        <is>
          <t>1138</t>
        </is>
      </c>
      <c r="F1564" s="19" t="inlineStr">
        <is>
          <t>191</t>
        </is>
      </c>
      <c r="G1564" s="19" t="n"/>
      <c r="H1564" s="19" t="inlineStr">
        <is>
          <t>2</t>
        </is>
      </c>
      <c r="I1564" s="19" t="n"/>
      <c r="J1564" s="19" t="n"/>
      <c r="K1564" s="19" t="inlineStr">
        <is>
          <t>2</t>
        </is>
      </c>
      <c r="L1564" t="inlineStr">
        <is>
          <t>2026-08-08</t>
        </is>
      </c>
      <c r="N1564" t="inlineStr">
        <is>
          <t>IN_SCOPE_FINAL; SOURCE_CFG=IA-ST-CFG-0222; MARKET=None; STATUS=IN OEM / EU PACKAGE</t>
        </is>
      </c>
      <c r="O1564" t="inlineStr">
        <is>
          <t>2026-08-10T19:29:54Z</t>
        </is>
      </c>
      <c r="P1564" t="inlineStr">
        <is>
          <t>2026-08-10T19:29:54Z</t>
        </is>
      </c>
    </row>
    <row r="1565">
      <c r="A1565" s="19" t="inlineStr">
        <is>
          <t>1564</t>
        </is>
      </c>
      <c r="B1565" s="19" t="inlineStr">
        <is>
          <t>SC-1014268-ST-072-STD-13</t>
        </is>
      </c>
      <c r="C1565" t="inlineStr">
        <is>
          <t>1014268 → ST-072-STD-13</t>
        </is>
      </c>
      <c r="D1565" s="19" t="inlineStr">
        <is>
          <t>2</t>
        </is>
      </c>
      <c r="E1565" s="19" t="inlineStr">
        <is>
          <t>1284</t>
        </is>
      </c>
      <c r="F1565" s="19" t="inlineStr">
        <is>
          <t>191</t>
        </is>
      </c>
      <c r="G1565" s="19" t="n"/>
      <c r="H1565" s="19" t="inlineStr">
        <is>
          <t>2</t>
        </is>
      </c>
      <c r="I1565" s="19" t="n"/>
      <c r="J1565" s="19" t="n"/>
      <c r="K1565" s="19" t="inlineStr">
        <is>
          <t>2</t>
        </is>
      </c>
      <c r="L1565" t="inlineStr">
        <is>
          <t>2026-08-08</t>
        </is>
      </c>
      <c r="N1565" t="inlineStr">
        <is>
          <t>IN_SCOPE_FINAL; SOURCE_CFG=IA-ST-CFG-0222; MARKET=JANENE İSRAİL; STATUS=IN OEM / EU PACKAGE</t>
        </is>
      </c>
      <c r="O1565" t="inlineStr">
        <is>
          <t>2026-08-10T19:29:54Z</t>
        </is>
      </c>
      <c r="P1565" t="inlineStr">
        <is>
          <t>2026-08-10T19:29:54Z</t>
        </is>
      </c>
    </row>
    <row r="1566">
      <c r="A1566" s="19" t="inlineStr">
        <is>
          <t>1565</t>
        </is>
      </c>
      <c r="B1566" s="19" t="inlineStr">
        <is>
          <t>SC-1014882-ST-072-STD-13</t>
        </is>
      </c>
      <c r="C1566" t="inlineStr">
        <is>
          <t>1014882 → ST-072-STD-13</t>
        </is>
      </c>
      <c r="D1566" s="19" t="inlineStr">
        <is>
          <t>2</t>
        </is>
      </c>
      <c r="E1566" s="19" t="inlineStr">
        <is>
          <t>1654</t>
        </is>
      </c>
      <c r="F1566" s="19" t="inlineStr">
        <is>
          <t>191</t>
        </is>
      </c>
      <c r="G1566" s="19" t="n"/>
      <c r="H1566" s="19" t="inlineStr">
        <is>
          <t>2</t>
        </is>
      </c>
      <c r="I1566" s="19" t="n"/>
      <c r="J1566" s="19" t="n"/>
      <c r="K1566" s="19" t="inlineStr">
        <is>
          <t>2</t>
        </is>
      </c>
      <c r="L1566" t="inlineStr">
        <is>
          <t>2026-08-08</t>
        </is>
      </c>
      <c r="N1566" t="inlineStr">
        <is>
          <t>IN_SCOPE_FINAL; SOURCE_CFG=IA-ST-CFG-0222; MARKET=MULTISERVICIOSGOODWHEVENEZUELA; STATUS=IN OEM / EU PACKAGE</t>
        </is>
      </c>
      <c r="O1566" t="inlineStr">
        <is>
          <t>2026-08-10T19:29:54Z</t>
        </is>
      </c>
      <c r="P1566" t="inlineStr">
        <is>
          <t>2026-08-10T19:29:54Z</t>
        </is>
      </c>
    </row>
    <row r="1567">
      <c r="A1567" s="19" t="inlineStr">
        <is>
          <t>1566</t>
        </is>
      </c>
      <c r="B1567" s="19" t="inlineStr">
        <is>
          <t>SC-1014883-ST-072-STD-13</t>
        </is>
      </c>
      <c r="C1567" t="inlineStr">
        <is>
          <t>1014883 → ST-072-STD-13</t>
        </is>
      </c>
      <c r="D1567" s="19" t="inlineStr">
        <is>
          <t>2</t>
        </is>
      </c>
      <c r="E1567" s="19" t="inlineStr">
        <is>
          <t>1655</t>
        </is>
      </c>
      <c r="F1567" s="19" t="inlineStr">
        <is>
          <t>191</t>
        </is>
      </c>
      <c r="G1567" s="19" t="n"/>
      <c r="H1567" s="19" t="inlineStr">
        <is>
          <t>2</t>
        </is>
      </c>
      <c r="I1567" s="19" t="n"/>
      <c r="J1567" s="19" t="n"/>
      <c r="K1567" s="19" t="inlineStr">
        <is>
          <t>2</t>
        </is>
      </c>
      <c r="L1567" t="inlineStr">
        <is>
          <t>2026-08-08</t>
        </is>
      </c>
      <c r="N1567" t="inlineStr">
        <is>
          <t>IN_SCOPE_FINAL; SOURCE_CFG=IA-ST-CFG-0222; MARKET=MULTISERVICIOSGOODWHEVENEZUELA; STATUS=IN OEM / EU PACKAGE</t>
        </is>
      </c>
      <c r="O1567" t="inlineStr">
        <is>
          <t>2026-08-10T19:29:54Z</t>
        </is>
      </c>
      <c r="P1567" t="inlineStr">
        <is>
          <t>2026-08-10T19:29:54Z</t>
        </is>
      </c>
    </row>
    <row r="1568">
      <c r="A1568" s="19" t="inlineStr">
        <is>
          <t>1567</t>
        </is>
      </c>
      <c r="B1568" s="19" t="inlineStr">
        <is>
          <t>SC-1015133-ST-072-STD-13</t>
        </is>
      </c>
      <c r="C1568" t="inlineStr">
        <is>
          <t>1015133 → ST-072-STD-13</t>
        </is>
      </c>
      <c r="D1568" s="19" t="inlineStr">
        <is>
          <t>2</t>
        </is>
      </c>
      <c r="E1568" s="19" t="inlineStr">
        <is>
          <t>1882</t>
        </is>
      </c>
      <c r="F1568" s="19" t="inlineStr">
        <is>
          <t>191</t>
        </is>
      </c>
      <c r="G1568" s="19" t="n"/>
      <c r="H1568" s="19" t="inlineStr">
        <is>
          <t>2</t>
        </is>
      </c>
      <c r="I1568" s="19" t="n"/>
      <c r="J1568" s="19" t="n"/>
      <c r="K1568" s="19" t="inlineStr">
        <is>
          <t>2</t>
        </is>
      </c>
      <c r="L1568" t="inlineStr">
        <is>
          <t>2026-08-08</t>
        </is>
      </c>
      <c r="N1568" t="inlineStr">
        <is>
          <t>IN_SCOPE_FINAL; SOURCE_CFG=IA-ST-CFG-0222; MARKET=None; STATUS=IN OEM / EU PACKAGE</t>
        </is>
      </c>
      <c r="O1568" t="inlineStr">
        <is>
          <t>2026-08-10T19:29:54Z</t>
        </is>
      </c>
      <c r="P1568" t="inlineStr">
        <is>
          <t>2026-08-10T19:29:54Z</t>
        </is>
      </c>
    </row>
    <row r="1569">
      <c r="A1569" s="19" t="inlineStr">
        <is>
          <t>1568</t>
        </is>
      </c>
      <c r="B1569" s="19" t="inlineStr">
        <is>
          <t>SC-1012706-ST-072-STD-13</t>
        </is>
      </c>
      <c r="C1569" t="inlineStr">
        <is>
          <t>1012706 → ST-072-STD-13</t>
        </is>
      </c>
      <c r="D1569" s="19" t="inlineStr">
        <is>
          <t>2</t>
        </is>
      </c>
      <c r="E1569" s="19" t="inlineStr">
        <is>
          <t>764</t>
        </is>
      </c>
      <c r="F1569" s="19" t="inlineStr">
        <is>
          <t>191</t>
        </is>
      </c>
      <c r="G1569" s="19" t="n"/>
      <c r="H1569" s="19" t="inlineStr">
        <is>
          <t>2</t>
        </is>
      </c>
      <c r="I1569" s="19" t="n"/>
      <c r="J1569" s="19" t="n"/>
      <c r="K1569" s="19" t="inlineStr">
        <is>
          <t>2</t>
        </is>
      </c>
      <c r="L1569" t="inlineStr">
        <is>
          <t>2026-08-08</t>
        </is>
      </c>
      <c r="N1569" t="inlineStr">
        <is>
          <t>IN_SCOPE_FINAL; SOURCE_CFG=IA-ST-CFG-0222; MARKET=FORD (Yurt İçi); STATUS=IN OEM / EU PACKAGE</t>
        </is>
      </c>
      <c r="O1569" t="inlineStr">
        <is>
          <t>2026-08-10T19:29:54Z</t>
        </is>
      </c>
      <c r="P1569" t="inlineStr">
        <is>
          <t>2026-08-10T19:29:54Z</t>
        </is>
      </c>
    </row>
    <row r="1570">
      <c r="A1570" s="19" t="inlineStr">
        <is>
          <t>1569</t>
        </is>
      </c>
      <c r="B1570" s="19" t="inlineStr">
        <is>
          <t>SC-1013126-ST-072-STD-13</t>
        </is>
      </c>
      <c r="C1570" t="inlineStr">
        <is>
          <t>1013126 → ST-072-STD-13</t>
        </is>
      </c>
      <c r="D1570" s="19" t="inlineStr">
        <is>
          <t>2</t>
        </is>
      </c>
      <c r="E1570" s="19" t="inlineStr">
        <is>
          <t>924</t>
        </is>
      </c>
      <c r="F1570" s="19" t="inlineStr">
        <is>
          <t>191</t>
        </is>
      </c>
      <c r="G1570" s="19" t="n"/>
      <c r="H1570" s="19" t="inlineStr">
        <is>
          <t>2</t>
        </is>
      </c>
      <c r="I1570" s="19" t="n"/>
      <c r="J1570" s="19" t="n"/>
      <c r="K1570" s="19" t="inlineStr">
        <is>
          <t>2</t>
        </is>
      </c>
      <c r="L1570" t="inlineStr">
        <is>
          <t>2026-08-08</t>
        </is>
      </c>
      <c r="N1570" t="inlineStr">
        <is>
          <t>IN_SCOPE_FINAL; SOURCE_CFG=IA-ST-CFG-0222; MARKET=FORD (Yurt İçi); STATUS=IN OEM / EU PACKAGE</t>
        </is>
      </c>
      <c r="O1570" t="inlineStr">
        <is>
          <t>2026-08-10T19:29:54Z</t>
        </is>
      </c>
      <c r="P1570" t="inlineStr">
        <is>
          <t>2026-08-10T19:29:54Z</t>
        </is>
      </c>
    </row>
    <row r="1571">
      <c r="A1571" s="19" t="inlineStr">
        <is>
          <t>1570</t>
        </is>
      </c>
      <c r="B1571" s="19" t="inlineStr">
        <is>
          <t>SC-1013921-ST-072-STD-13</t>
        </is>
      </c>
      <c r="C1571" t="inlineStr">
        <is>
          <t>1013921 → ST-072-STD-13</t>
        </is>
      </c>
      <c r="D1571" s="19" t="inlineStr">
        <is>
          <t>2</t>
        </is>
      </c>
      <c r="E1571" s="19" t="inlineStr">
        <is>
          <t>1133</t>
        </is>
      </c>
      <c r="F1571" s="19" t="inlineStr">
        <is>
          <t>191</t>
        </is>
      </c>
      <c r="G1571" s="19" t="n"/>
      <c r="H1571" s="19" t="inlineStr">
        <is>
          <t>2</t>
        </is>
      </c>
      <c r="I1571" s="19" t="n"/>
      <c r="J1571" s="19" t="n"/>
      <c r="K1571" s="19" t="inlineStr">
        <is>
          <t>2</t>
        </is>
      </c>
      <c r="L1571" t="inlineStr">
        <is>
          <t>2026-08-08</t>
        </is>
      </c>
      <c r="N1571" t="inlineStr">
        <is>
          <t>IN_SCOPE_FINAL; SOURCE_CFG=IA-ST-CFG-0222; MARKET=TÜRKMENİSTAN; STATUS=IN OEM / EU PACKAGE</t>
        </is>
      </c>
      <c r="O1571" t="inlineStr">
        <is>
          <t>2026-08-10T19:29:54Z</t>
        </is>
      </c>
      <c r="P1571" t="inlineStr">
        <is>
          <t>2026-08-10T19:29:54Z</t>
        </is>
      </c>
    </row>
    <row r="1572">
      <c r="A1572" s="19" t="inlineStr">
        <is>
          <t>1571</t>
        </is>
      </c>
      <c r="B1572" s="19" t="inlineStr">
        <is>
          <t>SC-1014678-ST-072-STD-13</t>
        </is>
      </c>
      <c r="C1572" t="inlineStr">
        <is>
          <t>1014678 → ST-072-STD-13</t>
        </is>
      </c>
      <c r="D1572" s="19" t="inlineStr">
        <is>
          <t>2</t>
        </is>
      </c>
      <c r="E1572" s="19" t="inlineStr">
        <is>
          <t>1533</t>
        </is>
      </c>
      <c r="F1572" s="19" t="inlineStr">
        <is>
          <t>191</t>
        </is>
      </c>
      <c r="G1572" s="19" t="n"/>
      <c r="H1572" s="19" t="inlineStr">
        <is>
          <t>2</t>
        </is>
      </c>
      <c r="I1572" s="19" t="n"/>
      <c r="J1572" s="19" t="n"/>
      <c r="K1572" s="19" t="inlineStr">
        <is>
          <t>2</t>
        </is>
      </c>
      <c r="L1572" t="inlineStr">
        <is>
          <t>2026-08-08</t>
        </is>
      </c>
      <c r="N1572" t="inlineStr">
        <is>
          <t>IN_SCOPE_FINAL; SOURCE_CFG=IA-ST-CFG-0222; MARKET=HONDA OES (Yurt İçi); STATUS=IN OEM / EU PACKAGE</t>
        </is>
      </c>
      <c r="O1572" t="inlineStr">
        <is>
          <t>2026-08-10T19:29:54Z</t>
        </is>
      </c>
      <c r="P1572" t="inlineStr">
        <is>
          <t>2026-08-10T19:29:54Z</t>
        </is>
      </c>
    </row>
    <row r="1573">
      <c r="A1573" s="19" t="inlineStr">
        <is>
          <t>1572</t>
        </is>
      </c>
      <c r="B1573" s="19" t="inlineStr">
        <is>
          <t>SC-1014695-ST-072-STD-13</t>
        </is>
      </c>
      <c r="C1573" t="inlineStr">
        <is>
          <t>1014695 → ST-072-STD-13</t>
        </is>
      </c>
      <c r="D1573" s="19" t="inlineStr">
        <is>
          <t>2</t>
        </is>
      </c>
      <c r="E1573" s="19" t="inlineStr">
        <is>
          <t>1547</t>
        </is>
      </c>
      <c r="F1573" s="19" t="inlineStr">
        <is>
          <t>191</t>
        </is>
      </c>
      <c r="G1573" s="19" t="n"/>
      <c r="H1573" s="19" t="inlineStr">
        <is>
          <t>2</t>
        </is>
      </c>
      <c r="I1573" s="19" t="n"/>
      <c r="J1573" s="19" t="n"/>
      <c r="K1573" s="19" t="inlineStr">
        <is>
          <t>2</t>
        </is>
      </c>
      <c r="L1573" t="inlineStr">
        <is>
          <t>2026-08-08</t>
        </is>
      </c>
      <c r="N1573" t="inlineStr">
        <is>
          <t>IN_SCOPE_FINAL; SOURCE_CFG=IA-ST-CFG-0222; MARKET=TÜRKMENİSTAN; STATUS=IN OEM / EU PACKAGE</t>
        </is>
      </c>
      <c r="O1573" t="inlineStr">
        <is>
          <t>2026-08-10T19:29:54Z</t>
        </is>
      </c>
      <c r="P1573" t="inlineStr">
        <is>
          <t>2026-08-10T19:29:54Z</t>
        </is>
      </c>
    </row>
    <row r="1574">
      <c r="A1574" s="19" t="inlineStr">
        <is>
          <t>1573</t>
        </is>
      </c>
      <c r="B1574" s="19" t="inlineStr">
        <is>
          <t>SC-1014767-ST-072-STD-13</t>
        </is>
      </c>
      <c r="C1574" t="inlineStr">
        <is>
          <t>1014767 → ST-072-STD-13</t>
        </is>
      </c>
      <c r="D1574" s="19" t="inlineStr">
        <is>
          <t>2</t>
        </is>
      </c>
      <c r="E1574" s="19" t="inlineStr">
        <is>
          <t>1592</t>
        </is>
      </c>
      <c r="F1574" s="19" t="inlineStr">
        <is>
          <t>191</t>
        </is>
      </c>
      <c r="G1574" s="19" t="n"/>
      <c r="H1574" s="19" t="inlineStr">
        <is>
          <t>2</t>
        </is>
      </c>
      <c r="I1574" s="19" t="n"/>
      <c r="J1574" s="19" t="n"/>
      <c r="K1574" s="19" t="inlineStr">
        <is>
          <t>2</t>
        </is>
      </c>
      <c r="L1574" t="inlineStr">
        <is>
          <t>2026-08-08</t>
        </is>
      </c>
      <c r="N1574" t="inlineStr">
        <is>
          <t>IN_SCOPE_FINAL; SOURCE_CFG=IA-ST-CFG-0222; MARKET=TÜRKMENİSTAN; STATUS=IN OEM / EU PACKAGE</t>
        </is>
      </c>
      <c r="O1574" t="inlineStr">
        <is>
          <t>2026-08-10T19:29:54Z</t>
        </is>
      </c>
      <c r="P1574" t="inlineStr">
        <is>
          <t>2026-08-10T19:29:54Z</t>
        </is>
      </c>
    </row>
    <row r="1575">
      <c r="A1575" s="19" t="inlineStr">
        <is>
          <t>1574</t>
        </is>
      </c>
      <c r="B1575" s="19" t="inlineStr">
        <is>
          <t>SC-1012599-ST-072-STD-13</t>
        </is>
      </c>
      <c r="C1575" t="inlineStr">
        <is>
          <t>1012599 → ST-072-STD-13</t>
        </is>
      </c>
      <c r="D1575" s="19" t="inlineStr">
        <is>
          <t>2</t>
        </is>
      </c>
      <c r="E1575" s="19" t="inlineStr">
        <is>
          <t>711</t>
        </is>
      </c>
      <c r="F1575" s="19" t="inlineStr">
        <is>
          <t>191</t>
        </is>
      </c>
      <c r="G1575" s="19" t="n"/>
      <c r="H1575" s="19" t="inlineStr">
        <is>
          <t>2</t>
        </is>
      </c>
      <c r="I1575" s="19" t="n"/>
      <c r="J1575" s="19" t="n"/>
      <c r="K1575" s="19" t="inlineStr">
        <is>
          <t>2</t>
        </is>
      </c>
      <c r="L1575" t="inlineStr">
        <is>
          <t>2026-08-08</t>
        </is>
      </c>
      <c r="N1575" t="inlineStr">
        <is>
          <t>IN_SCOPE_FINAL; SOURCE_CFG=IA-ST-CFG-0222; MARKET=TÜRKMENİSTAN; STATUS=IN OEM / EU PACKAGE</t>
        </is>
      </c>
      <c r="O1575" t="inlineStr">
        <is>
          <t>2026-08-10T19:29:54Z</t>
        </is>
      </c>
      <c r="P1575" t="inlineStr">
        <is>
          <t>2026-08-10T19:29:54Z</t>
        </is>
      </c>
    </row>
    <row r="1576">
      <c r="A1576" s="19" t="inlineStr">
        <is>
          <t>1575</t>
        </is>
      </c>
      <c r="B1576" s="19" t="inlineStr">
        <is>
          <t>SC-1014118-ST-072-STD-13</t>
        </is>
      </c>
      <c r="C1576" t="inlineStr">
        <is>
          <t>1014118 → ST-072-STD-13</t>
        </is>
      </c>
      <c r="D1576" s="19" t="inlineStr">
        <is>
          <t>2</t>
        </is>
      </c>
      <c r="E1576" s="19" t="inlineStr">
        <is>
          <t>1225</t>
        </is>
      </c>
      <c r="F1576" s="19" t="inlineStr">
        <is>
          <t>191</t>
        </is>
      </c>
      <c r="G1576" s="19" t="n"/>
      <c r="H1576" s="19" t="inlineStr">
        <is>
          <t>2</t>
        </is>
      </c>
      <c r="I1576" s="19" t="n"/>
      <c r="J1576" s="19" t="n"/>
      <c r="K1576" s="19" t="inlineStr">
        <is>
          <t>2</t>
        </is>
      </c>
      <c r="L1576" t="inlineStr">
        <is>
          <t>2026-08-08</t>
        </is>
      </c>
      <c r="N1576" t="inlineStr">
        <is>
          <t>IN_SCOPE_FINAL; SOURCE_CFG=IA-ST-CFG-0222; MARKET=TÜRKMENİSTAN; STATUS=IN OEM / EU PACKAGE</t>
        </is>
      </c>
      <c r="O1576" t="inlineStr">
        <is>
          <t>2026-08-10T19:29:54Z</t>
        </is>
      </c>
      <c r="P1576" t="inlineStr">
        <is>
          <t>2026-08-10T19:29:54Z</t>
        </is>
      </c>
    </row>
    <row r="1577">
      <c r="A1577" s="19" t="inlineStr">
        <is>
          <t>1576</t>
        </is>
      </c>
      <c r="B1577" s="19" t="inlineStr">
        <is>
          <t>SC-1014119-ST-072-STD-13</t>
        </is>
      </c>
      <c r="C1577" t="inlineStr">
        <is>
          <t>1014119 → ST-072-STD-13</t>
        </is>
      </c>
      <c r="D1577" s="19" t="inlineStr">
        <is>
          <t>2</t>
        </is>
      </c>
      <c r="E1577" s="19" t="inlineStr">
        <is>
          <t>1226</t>
        </is>
      </c>
      <c r="F1577" s="19" t="inlineStr">
        <is>
          <t>191</t>
        </is>
      </c>
      <c r="G1577" s="19" t="n"/>
      <c r="H1577" s="19" t="inlineStr">
        <is>
          <t>2</t>
        </is>
      </c>
      <c r="I1577" s="19" t="n"/>
      <c r="J1577" s="19" t="n"/>
      <c r="K1577" s="19" t="inlineStr">
        <is>
          <t>2</t>
        </is>
      </c>
      <c r="L1577" t="inlineStr">
        <is>
          <t>2026-08-08</t>
        </is>
      </c>
      <c r="N1577" t="inlineStr">
        <is>
          <t>IN_SCOPE_FINAL; SOURCE_CFG=IA-ST-CFG-0222; MARKET=TÜRKMENİSTAN; STATUS=IN OEM / EU PACKAGE</t>
        </is>
      </c>
      <c r="O1577" t="inlineStr">
        <is>
          <t>2026-08-10T19:29:54Z</t>
        </is>
      </c>
      <c r="P1577" t="inlineStr">
        <is>
          <t>2026-08-10T19:29:54Z</t>
        </is>
      </c>
    </row>
    <row r="1578">
      <c r="A1578" s="19" t="inlineStr">
        <is>
          <t>1577</t>
        </is>
      </c>
      <c r="B1578" s="19" t="inlineStr">
        <is>
          <t>SC-1014344-ST-072-STD-13</t>
        </is>
      </c>
      <c r="C1578" t="inlineStr">
        <is>
          <t>1014344 → ST-072-STD-13</t>
        </is>
      </c>
      <c r="D1578" s="19" t="inlineStr">
        <is>
          <t>2</t>
        </is>
      </c>
      <c r="E1578" s="19" t="inlineStr">
        <is>
          <t>1312</t>
        </is>
      </c>
      <c r="F1578" s="19" t="inlineStr">
        <is>
          <t>191</t>
        </is>
      </c>
      <c r="G1578" s="19" t="n"/>
      <c r="H1578" s="19" t="inlineStr">
        <is>
          <t>2</t>
        </is>
      </c>
      <c r="I1578" s="19" t="n"/>
      <c r="J1578" s="19" t="n"/>
      <c r="K1578" s="19" t="inlineStr">
        <is>
          <t>2</t>
        </is>
      </c>
      <c r="L1578" t="inlineStr">
        <is>
          <t>2026-08-08</t>
        </is>
      </c>
      <c r="N1578" t="inlineStr">
        <is>
          <t>IN_SCOPE_FINAL; SOURCE_CFG=IA-ST-CFG-0222; MARKET=TÜRKMENİSTAN; STATUS=IN OEM / EU PACKAGE</t>
        </is>
      </c>
      <c r="O1578" t="inlineStr">
        <is>
          <t>2026-08-10T19:29:54Z</t>
        </is>
      </c>
      <c r="P1578" t="inlineStr">
        <is>
          <t>2026-08-10T19:29:54Z</t>
        </is>
      </c>
    </row>
    <row r="1579">
      <c r="A1579" s="19" t="inlineStr">
        <is>
          <t>1578</t>
        </is>
      </c>
      <c r="B1579" s="19" t="inlineStr">
        <is>
          <t>SC-1014696-ST-072-STD-13</t>
        </is>
      </c>
      <c r="C1579" t="inlineStr">
        <is>
          <t>1014696 → ST-072-STD-13</t>
        </is>
      </c>
      <c r="D1579" s="19" t="inlineStr">
        <is>
          <t>2</t>
        </is>
      </c>
      <c r="E1579" s="19" t="inlineStr">
        <is>
          <t>1548</t>
        </is>
      </c>
      <c r="F1579" s="19" t="inlineStr">
        <is>
          <t>191</t>
        </is>
      </c>
      <c r="G1579" s="19" t="n"/>
      <c r="H1579" s="19" t="inlineStr">
        <is>
          <t>2</t>
        </is>
      </c>
      <c r="I1579" s="19" t="n"/>
      <c r="J1579" s="19" t="n"/>
      <c r="K1579" s="19" t="inlineStr">
        <is>
          <t>2</t>
        </is>
      </c>
      <c r="L1579" t="inlineStr">
        <is>
          <t>2026-08-08</t>
        </is>
      </c>
      <c r="N1579" t="inlineStr">
        <is>
          <t>IN_SCOPE_FINAL; SOURCE_CFG=IA-ST-CFG-0222; MARKET=TÜRKMENİSTAN; STATUS=IN OEM / EU PACKAGE</t>
        </is>
      </c>
      <c r="O1579" t="inlineStr">
        <is>
          <t>2026-08-10T19:29:54Z</t>
        </is>
      </c>
      <c r="P1579" t="inlineStr">
        <is>
          <t>2026-08-10T19:29:54Z</t>
        </is>
      </c>
    </row>
    <row r="1580">
      <c r="A1580" s="19" t="inlineStr">
        <is>
          <t>1579</t>
        </is>
      </c>
      <c r="B1580" s="19" t="inlineStr">
        <is>
          <t>SC-1014700-ST-072-STD-13</t>
        </is>
      </c>
      <c r="C1580" t="inlineStr">
        <is>
          <t>1014700 → ST-072-STD-13</t>
        </is>
      </c>
      <c r="D1580" s="19" t="inlineStr">
        <is>
          <t>2</t>
        </is>
      </c>
      <c r="E1580" s="19" t="inlineStr">
        <is>
          <t>1552</t>
        </is>
      </c>
      <c r="F1580" s="19" t="inlineStr">
        <is>
          <t>191</t>
        </is>
      </c>
      <c r="G1580" s="19" t="n"/>
      <c r="H1580" s="19" t="inlineStr">
        <is>
          <t>2</t>
        </is>
      </c>
      <c r="I1580" s="19" t="n"/>
      <c r="J1580" s="19" t="n"/>
      <c r="K1580" s="19" t="inlineStr">
        <is>
          <t>2</t>
        </is>
      </c>
      <c r="L1580" t="inlineStr">
        <is>
          <t>2026-08-08</t>
        </is>
      </c>
      <c r="N1580" t="inlineStr">
        <is>
          <t>IN_SCOPE_FINAL; SOURCE_CFG=IA-ST-CFG-0222; MARKET=TÜRKMENİSTAN; STATUS=IN OEM / EU PACKAGE</t>
        </is>
      </c>
      <c r="O1580" t="inlineStr">
        <is>
          <t>2026-08-10T19:29:54Z</t>
        </is>
      </c>
      <c r="P1580" t="inlineStr">
        <is>
          <t>2026-08-10T19:29:54Z</t>
        </is>
      </c>
    </row>
    <row r="1581">
      <c r="A1581" s="19" t="inlineStr">
        <is>
          <t>1580</t>
        </is>
      </c>
      <c r="B1581" s="19" t="inlineStr">
        <is>
          <t>SC-1014701-ST-072-STD-13</t>
        </is>
      </c>
      <c r="C1581" t="inlineStr">
        <is>
          <t>1014701 → ST-072-STD-13</t>
        </is>
      </c>
      <c r="D1581" s="19" t="inlineStr">
        <is>
          <t>2</t>
        </is>
      </c>
      <c r="E1581" s="19" t="inlineStr">
        <is>
          <t>1553</t>
        </is>
      </c>
      <c r="F1581" s="19" t="inlineStr">
        <is>
          <t>191</t>
        </is>
      </c>
      <c r="G1581" s="19" t="n"/>
      <c r="H1581" s="19" t="inlineStr">
        <is>
          <t>2</t>
        </is>
      </c>
      <c r="I1581" s="19" t="n"/>
      <c r="J1581" s="19" t="n"/>
      <c r="K1581" s="19" t="inlineStr">
        <is>
          <t>2</t>
        </is>
      </c>
      <c r="L1581" t="inlineStr">
        <is>
          <t>2026-08-08</t>
        </is>
      </c>
      <c r="N1581" t="inlineStr">
        <is>
          <t>IN_SCOPE_FINAL; SOURCE_CFG=IA-ST-CFG-0222; MARKET=TÜRKMENİSTAN; STATUS=IN OEM / EU PACKAGE</t>
        </is>
      </c>
      <c r="O1581" t="inlineStr">
        <is>
          <t>2026-08-10T19:29:54Z</t>
        </is>
      </c>
      <c r="P1581" t="inlineStr">
        <is>
          <t>2026-08-10T19:29:54Z</t>
        </is>
      </c>
    </row>
    <row r="1582">
      <c r="A1582" s="19" t="inlineStr">
        <is>
          <t>1581</t>
        </is>
      </c>
      <c r="B1582" s="19" t="inlineStr">
        <is>
          <t>SC-1014770-ST-072-STD-13</t>
        </is>
      </c>
      <c r="C1582" t="inlineStr">
        <is>
          <t>1014770 → ST-072-STD-13</t>
        </is>
      </c>
      <c r="D1582" s="19" t="inlineStr">
        <is>
          <t>2</t>
        </is>
      </c>
      <c r="E1582" s="19" t="inlineStr">
        <is>
          <t>1595</t>
        </is>
      </c>
      <c r="F1582" s="19" t="inlineStr">
        <is>
          <t>191</t>
        </is>
      </c>
      <c r="G1582" s="19" t="n"/>
      <c r="H1582" s="19" t="inlineStr">
        <is>
          <t>2</t>
        </is>
      </c>
      <c r="I1582" s="19" t="n"/>
      <c r="J1582" s="19" t="n"/>
      <c r="K1582" s="19" t="inlineStr">
        <is>
          <t>2</t>
        </is>
      </c>
      <c r="L1582" t="inlineStr">
        <is>
          <t>2026-08-08</t>
        </is>
      </c>
      <c r="N1582" t="inlineStr">
        <is>
          <t>IN_SCOPE_FINAL; SOURCE_CFG=IA-ST-CFG-0222; MARKET=TÜRKMENİSTAN; STATUS=IN OEM / EU PACKAGE</t>
        </is>
      </c>
      <c r="O1582" t="inlineStr">
        <is>
          <t>2026-08-10T19:29:54Z</t>
        </is>
      </c>
      <c r="P1582" t="inlineStr">
        <is>
          <t>2026-08-10T19:29:54Z</t>
        </is>
      </c>
    </row>
    <row r="1583">
      <c r="A1583" s="19" t="inlineStr">
        <is>
          <t>1582</t>
        </is>
      </c>
      <c r="B1583" s="19" t="inlineStr">
        <is>
          <t>SC-1014477-ST-072-STD-14</t>
        </is>
      </c>
      <c r="C1583" t="inlineStr">
        <is>
          <t>1014477 → ST-072-STD-14</t>
        </is>
      </c>
      <c r="D1583" s="19" t="inlineStr">
        <is>
          <t>2</t>
        </is>
      </c>
      <c r="E1583" s="19" t="inlineStr">
        <is>
          <t>1407</t>
        </is>
      </c>
      <c r="F1583" s="19" t="inlineStr">
        <is>
          <t>192</t>
        </is>
      </c>
      <c r="G1583" s="19" t="n"/>
      <c r="H1583" s="19" t="inlineStr">
        <is>
          <t>2</t>
        </is>
      </c>
      <c r="I1583" s="19" t="n"/>
      <c r="J1583" s="19" t="n"/>
      <c r="K1583" s="19" t="inlineStr">
        <is>
          <t>2</t>
        </is>
      </c>
      <c r="L1583" t="inlineStr">
        <is>
          <t>2026-08-08</t>
        </is>
      </c>
      <c r="N1583" t="inlineStr">
        <is>
          <t>IN_SCOPE_FINAL; SOURCE_CFG=IA-ST-CFG-0223; MARKET=REDMAY URUGUAY; STATUS=IN OEM / EU PACKAGE</t>
        </is>
      </c>
      <c r="O1583" t="inlineStr">
        <is>
          <t>2026-08-10T19:29:54Z</t>
        </is>
      </c>
      <c r="P1583" t="inlineStr">
        <is>
          <t>2026-08-10T19:29:54Z</t>
        </is>
      </c>
    </row>
    <row r="1584">
      <c r="A1584" s="19" t="inlineStr">
        <is>
          <t>1583</t>
        </is>
      </c>
      <c r="B1584" s="19" t="inlineStr">
        <is>
          <t>SC-1015087-ST-072-STD-14</t>
        </is>
      </c>
      <c r="C1584" t="inlineStr">
        <is>
          <t>1015087 → ST-072-STD-14</t>
        </is>
      </c>
      <c r="D1584" s="19" t="inlineStr">
        <is>
          <t>2</t>
        </is>
      </c>
      <c r="E1584" s="19" t="inlineStr">
        <is>
          <t>1841</t>
        </is>
      </c>
      <c r="F1584" s="19" t="inlineStr">
        <is>
          <t>192</t>
        </is>
      </c>
      <c r="G1584" s="19" t="n"/>
      <c r="H1584" s="19" t="inlineStr">
        <is>
          <t>2</t>
        </is>
      </c>
      <c r="I1584" s="19" t="n"/>
      <c r="J1584" s="19" t="n"/>
      <c r="K1584" s="19" t="inlineStr">
        <is>
          <t>2</t>
        </is>
      </c>
      <c r="L1584" t="inlineStr">
        <is>
          <t>2026-08-08</t>
        </is>
      </c>
      <c r="N1584" t="inlineStr">
        <is>
          <t>IN_SCOPE_FINAL; SOURCE_CFG=IA-ST-CFG-0223; MARKET=URZAT OTOMOTİV OEM (Yurt İçi); STATUS=IN OEM / EU PACKAGE</t>
        </is>
      </c>
      <c r="O1584" t="inlineStr">
        <is>
          <t>2026-08-10T19:29:54Z</t>
        </is>
      </c>
      <c r="P1584" t="inlineStr">
        <is>
          <t>2026-08-10T19:29:54Z</t>
        </is>
      </c>
    </row>
    <row r="1585">
      <c r="A1585" s="19" t="inlineStr">
        <is>
          <t>1584</t>
        </is>
      </c>
      <c r="B1585" s="19" t="inlineStr">
        <is>
          <t>SC-1011167-ST-072-STD-15</t>
        </is>
      </c>
      <c r="C1585" t="inlineStr">
        <is>
          <t>1011167 → ST-072-STD-15</t>
        </is>
      </c>
      <c r="D1585" s="19" t="inlineStr">
        <is>
          <t>2</t>
        </is>
      </c>
      <c r="E1585" s="19" t="inlineStr">
        <is>
          <t>243</t>
        </is>
      </c>
      <c r="F1585" s="19" t="inlineStr">
        <is>
          <t>193</t>
        </is>
      </c>
      <c r="G1585" s="19" t="n"/>
      <c r="H1585" s="19" t="inlineStr">
        <is>
          <t>2</t>
        </is>
      </c>
      <c r="I1585" s="19" t="n"/>
      <c r="J1585" s="19" t="n"/>
      <c r="K1585" s="19" t="inlineStr">
        <is>
          <t>2</t>
        </is>
      </c>
      <c r="L1585" t="inlineStr">
        <is>
          <t>2026-08-08</t>
        </is>
      </c>
      <c r="N1585" t="inlineStr">
        <is>
          <t>IN_SCOPE_FINAL; SOURCE_CFG=IA-ST-CFG-0224; MARKET=YURT İÇİ AFM; STATUS=IN OEM / EU PACKAGE</t>
        </is>
      </c>
      <c r="O1585" t="inlineStr">
        <is>
          <t>2026-08-10T19:29:54Z</t>
        </is>
      </c>
      <c r="P1585" t="inlineStr">
        <is>
          <t>2026-08-10T19:29:54Z</t>
        </is>
      </c>
    </row>
    <row r="1586">
      <c r="A1586" s="19" t="inlineStr">
        <is>
          <t>1585</t>
        </is>
      </c>
      <c r="B1586" s="19" t="inlineStr">
        <is>
          <t>SC-1012977-ST-072-STD-15</t>
        </is>
      </c>
      <c r="C1586" t="inlineStr">
        <is>
          <t>1012977 → ST-072-STD-15</t>
        </is>
      </c>
      <c r="D1586" s="19" t="inlineStr">
        <is>
          <t>2</t>
        </is>
      </c>
      <c r="E1586" s="19" t="inlineStr">
        <is>
          <t>894</t>
        </is>
      </c>
      <c r="F1586" s="19" t="inlineStr">
        <is>
          <t>193</t>
        </is>
      </c>
      <c r="G1586" s="19" t="n"/>
      <c r="H1586" s="19" t="inlineStr">
        <is>
          <t>2</t>
        </is>
      </c>
      <c r="I1586" s="19" t="n"/>
      <c r="J1586" s="19" t="n"/>
      <c r="K1586" s="19" t="inlineStr">
        <is>
          <t>2</t>
        </is>
      </c>
      <c r="L1586" t="inlineStr">
        <is>
          <t>2026-08-08</t>
        </is>
      </c>
      <c r="N1586" t="inlineStr">
        <is>
          <t>IN_SCOPE_FINAL; SOURCE_CFG=IA-ST-CFG-0224; MARKET=YANMAR OEM (SOLİS) (Yurt İçi); STATUS=IN OEM / EU PACKAGE</t>
        </is>
      </c>
      <c r="O1586" t="inlineStr">
        <is>
          <t>2026-08-10T19:29:54Z</t>
        </is>
      </c>
      <c r="P1586" t="inlineStr">
        <is>
          <t>2026-08-10T19:29:54Z</t>
        </is>
      </c>
    </row>
    <row r="1587">
      <c r="A1587" s="19" t="inlineStr">
        <is>
          <t>1586</t>
        </is>
      </c>
      <c r="B1587" s="19" t="inlineStr">
        <is>
          <t>SC-1013998-ST-072-STD-15</t>
        </is>
      </c>
      <c r="C1587" t="inlineStr">
        <is>
          <t>1013998 → ST-072-STD-15</t>
        </is>
      </c>
      <c r="D1587" s="19" t="inlineStr">
        <is>
          <t>2</t>
        </is>
      </c>
      <c r="E1587" s="19" t="inlineStr">
        <is>
          <t>1169</t>
        </is>
      </c>
      <c r="F1587" s="19" t="inlineStr">
        <is>
          <t>193</t>
        </is>
      </c>
      <c r="G1587" s="19" t="n"/>
      <c r="H1587" s="19" t="inlineStr">
        <is>
          <t>2</t>
        </is>
      </c>
      <c r="I1587" s="19" t="n"/>
      <c r="J1587" s="19" t="n"/>
      <c r="K1587" s="19" t="inlineStr">
        <is>
          <t>2</t>
        </is>
      </c>
      <c r="L1587" t="inlineStr">
        <is>
          <t>2026-08-08</t>
        </is>
      </c>
      <c r="N1587" t="inlineStr">
        <is>
          <t>IN_SCOPE_FINAL; SOURCE_CFG=IA-ST-CFG-0224; MARKET=YURT İÇİ AFM; STATUS=IN OEM / EU PACKAGE</t>
        </is>
      </c>
      <c r="O1587" t="inlineStr">
        <is>
          <t>2026-08-10T19:29:54Z</t>
        </is>
      </c>
      <c r="P1587" t="inlineStr">
        <is>
          <t>2026-08-10T19:29:54Z</t>
        </is>
      </c>
    </row>
    <row r="1588">
      <c r="A1588" s="19" t="inlineStr">
        <is>
          <t>1587</t>
        </is>
      </c>
      <c r="B1588" s="19" t="inlineStr">
        <is>
          <t>SC-1014011-ST-072-STD-15</t>
        </is>
      </c>
      <c r="C1588" t="inlineStr">
        <is>
          <t>1014011 → ST-072-STD-15</t>
        </is>
      </c>
      <c r="D1588" s="19" t="inlineStr">
        <is>
          <t>2</t>
        </is>
      </c>
      <c r="E1588" s="19" t="inlineStr">
        <is>
          <t>1179</t>
        </is>
      </c>
      <c r="F1588" s="19" t="inlineStr">
        <is>
          <t>193</t>
        </is>
      </c>
      <c r="G1588" s="19" t="n"/>
      <c r="H1588" s="19" t="inlineStr">
        <is>
          <t>2</t>
        </is>
      </c>
      <c r="I1588" s="19" t="n"/>
      <c r="J1588" s="19" t="n"/>
      <c r="K1588" s="19" t="inlineStr">
        <is>
          <t>2</t>
        </is>
      </c>
      <c r="L1588" t="inlineStr">
        <is>
          <t>2026-08-08</t>
        </is>
      </c>
      <c r="N1588" t="inlineStr">
        <is>
          <t>IN_SCOPE_FINAL; SOURCE_CFG=IA-ST-CFG-0224; MARKET=YURT İÇİ AFM; STATUS=IN OEM / EU PACKAGE</t>
        </is>
      </c>
      <c r="O1588" t="inlineStr">
        <is>
          <t>2026-08-10T19:29:54Z</t>
        </is>
      </c>
      <c r="P1588" t="inlineStr">
        <is>
          <t>2026-08-10T19:29:54Z</t>
        </is>
      </c>
    </row>
    <row r="1589">
      <c r="A1589" s="19" t="inlineStr">
        <is>
          <t>1588</t>
        </is>
      </c>
      <c r="B1589" s="19" t="inlineStr">
        <is>
          <t>SC-1014572-ST-072-STD-15</t>
        </is>
      </c>
      <c r="C1589" t="inlineStr">
        <is>
          <t>1014572 → ST-072-STD-15</t>
        </is>
      </c>
      <c r="D1589" s="19" t="inlineStr">
        <is>
          <t>2</t>
        </is>
      </c>
      <c r="E1589" s="19" t="inlineStr">
        <is>
          <t>1458</t>
        </is>
      </c>
      <c r="F1589" s="19" t="inlineStr">
        <is>
          <t>193</t>
        </is>
      </c>
      <c r="G1589" s="19" t="n"/>
      <c r="H1589" s="19" t="inlineStr">
        <is>
          <t>2</t>
        </is>
      </c>
      <c r="I1589" s="19" t="n"/>
      <c r="J1589" s="19" t="n"/>
      <c r="K1589" s="19" t="inlineStr">
        <is>
          <t>2</t>
        </is>
      </c>
      <c r="L1589" t="inlineStr">
        <is>
          <t>2026-08-08</t>
        </is>
      </c>
      <c r="N1589" t="inlineStr">
        <is>
          <t>IN_SCOPE_FINAL; SOURCE_CFG=IA-ST-CFG-0224; MARKET=YURT İÇİ AFM; STATUS=IN OEM / EU PACKAGE</t>
        </is>
      </c>
      <c r="O1589" t="inlineStr">
        <is>
          <t>2026-08-10T19:29:54Z</t>
        </is>
      </c>
      <c r="P1589" t="inlineStr">
        <is>
          <t>2026-08-10T19:29:54Z</t>
        </is>
      </c>
    </row>
    <row r="1590">
      <c r="A1590" s="19" t="inlineStr">
        <is>
          <t>1589</t>
        </is>
      </c>
      <c r="B1590" s="19" t="inlineStr">
        <is>
          <t>SC-1010160-ST-072-STD-16</t>
        </is>
      </c>
      <c r="C1590" t="inlineStr">
        <is>
          <t>1010160 → ST-072-STD-16</t>
        </is>
      </c>
      <c r="D1590" s="19" t="inlineStr">
        <is>
          <t>2</t>
        </is>
      </c>
      <c r="E1590" s="19" t="inlineStr">
        <is>
          <t>162</t>
        </is>
      </c>
      <c r="F1590" s="19" t="inlineStr">
        <is>
          <t>194</t>
        </is>
      </c>
      <c r="G1590" s="19" t="n"/>
      <c r="H1590" s="19" t="inlineStr">
        <is>
          <t>2</t>
        </is>
      </c>
      <c r="I1590" s="19" t="n"/>
      <c r="J1590" s="19" t="n"/>
      <c r="K1590" s="19" t="inlineStr">
        <is>
          <t>2</t>
        </is>
      </c>
      <c r="L1590" t="inlineStr">
        <is>
          <t>2026-08-08</t>
        </is>
      </c>
      <c r="N1590" t="inlineStr">
        <is>
          <t>IN_SCOPE_FINAL; SOURCE_CFG=IA-ST-CFG-0225; MARKET=YURT İÇİ AFM; STATUS=IN OEM / EU PACKAGE</t>
        </is>
      </c>
      <c r="O1590" t="inlineStr">
        <is>
          <t>2026-08-10T19:29:54Z</t>
        </is>
      </c>
      <c r="P1590" t="inlineStr">
        <is>
          <t>2026-08-10T19:29:54Z</t>
        </is>
      </c>
    </row>
    <row r="1591">
      <c r="A1591" s="19" t="inlineStr">
        <is>
          <t>1590</t>
        </is>
      </c>
      <c r="B1591" s="19" t="inlineStr">
        <is>
          <t>SC-1010161-ST-072-STD-16</t>
        </is>
      </c>
      <c r="C1591" t="inlineStr">
        <is>
          <t>1010161 → ST-072-STD-16</t>
        </is>
      </c>
      <c r="D1591" s="19" t="inlineStr">
        <is>
          <t>2</t>
        </is>
      </c>
      <c r="E1591" s="19" t="inlineStr">
        <is>
          <t>163</t>
        </is>
      </c>
      <c r="F1591" s="19" t="inlineStr">
        <is>
          <t>194</t>
        </is>
      </c>
      <c r="G1591" s="19" t="n"/>
      <c r="H1591" s="19" t="inlineStr">
        <is>
          <t>2</t>
        </is>
      </c>
      <c r="I1591" s="19" t="n"/>
      <c r="J1591" s="19" t="n"/>
      <c r="K1591" s="19" t="inlineStr">
        <is>
          <t>2</t>
        </is>
      </c>
      <c r="L1591" t="inlineStr">
        <is>
          <t>2026-08-08</t>
        </is>
      </c>
      <c r="N1591" t="inlineStr">
        <is>
          <t>IN_SCOPE_FINAL; SOURCE_CFG=IA-ST-CFG-0225; MARKET=YURT İÇİ AFM; STATUS=IN OEM / EU PACKAGE</t>
        </is>
      </c>
      <c r="O1591" t="inlineStr">
        <is>
          <t>2026-08-10T19:29:54Z</t>
        </is>
      </c>
      <c r="P1591" t="inlineStr">
        <is>
          <t>2026-08-10T19:29:54Z</t>
        </is>
      </c>
    </row>
    <row r="1592">
      <c r="A1592" s="19" t="inlineStr">
        <is>
          <t>1591</t>
        </is>
      </c>
      <c r="B1592" s="19" t="inlineStr">
        <is>
          <t>SC-1014008-ST-072-STD-16</t>
        </is>
      </c>
      <c r="C1592" t="inlineStr">
        <is>
          <t>1014008 → ST-072-STD-16</t>
        </is>
      </c>
      <c r="D1592" s="19" t="inlineStr">
        <is>
          <t>2</t>
        </is>
      </c>
      <c r="E1592" s="19" t="inlineStr">
        <is>
          <t>1177</t>
        </is>
      </c>
      <c r="F1592" s="19" t="inlineStr">
        <is>
          <t>194</t>
        </is>
      </c>
      <c r="G1592" s="19" t="n"/>
      <c r="H1592" s="19" t="inlineStr">
        <is>
          <t>2</t>
        </is>
      </c>
      <c r="I1592" s="19" t="n"/>
      <c r="J1592" s="19" t="n"/>
      <c r="K1592" s="19" t="inlineStr">
        <is>
          <t>2</t>
        </is>
      </c>
      <c r="L1592" t="inlineStr">
        <is>
          <t>2026-08-08</t>
        </is>
      </c>
      <c r="N1592" t="inlineStr">
        <is>
          <t>IN_SCOPE_FINAL; SOURCE_CFG=IA-ST-CFG-0225; MARKET=YURT İÇİ AFM; STATUS=IN OEM / EU PACKAGE</t>
        </is>
      </c>
      <c r="O1592" t="inlineStr">
        <is>
          <t>2026-08-10T19:29:54Z</t>
        </is>
      </c>
      <c r="P1592" t="inlineStr">
        <is>
          <t>2026-08-10T19:29:54Z</t>
        </is>
      </c>
    </row>
    <row r="1593">
      <c r="A1593" s="19" t="inlineStr">
        <is>
          <t>1592</t>
        </is>
      </c>
      <c r="B1593" s="19" t="inlineStr">
        <is>
          <t>SC-1014009-ST-072-STD-16</t>
        </is>
      </c>
      <c r="C1593" t="inlineStr">
        <is>
          <t>1014009 → ST-072-STD-16</t>
        </is>
      </c>
      <c r="D1593" s="19" t="inlineStr">
        <is>
          <t>2</t>
        </is>
      </c>
      <c r="E1593" s="19" t="inlineStr">
        <is>
          <t>1178</t>
        </is>
      </c>
      <c r="F1593" s="19" t="inlineStr">
        <is>
          <t>194</t>
        </is>
      </c>
      <c r="G1593" s="19" t="n"/>
      <c r="H1593" s="19" t="inlineStr">
        <is>
          <t>2</t>
        </is>
      </c>
      <c r="I1593" s="19" t="n"/>
      <c r="J1593" s="19" t="n"/>
      <c r="K1593" s="19" t="inlineStr">
        <is>
          <t>2</t>
        </is>
      </c>
      <c r="L1593" t="inlineStr">
        <is>
          <t>2026-08-08</t>
        </is>
      </c>
      <c r="N1593" t="inlineStr">
        <is>
          <t>IN_SCOPE_FINAL; SOURCE_CFG=IA-ST-CFG-0225; MARKET=YURT İÇİ AFM; STATUS=IN OEM / EU PACKAGE</t>
        </is>
      </c>
      <c r="O1593" t="inlineStr">
        <is>
          <t>2026-08-10T19:29:54Z</t>
        </is>
      </c>
      <c r="P1593" t="inlineStr">
        <is>
          <t>2026-08-10T19:29:54Z</t>
        </is>
      </c>
    </row>
    <row r="1594">
      <c r="A1594" s="19" t="inlineStr">
        <is>
          <t>1593</t>
        </is>
      </c>
      <c r="B1594" s="19" t="inlineStr">
        <is>
          <t>SC-1014938-ST-072-STD-16</t>
        </is>
      </c>
      <c r="C1594" t="inlineStr">
        <is>
          <t>1014938 → ST-072-STD-16</t>
        </is>
      </c>
      <c r="D1594" s="19" t="inlineStr">
        <is>
          <t>2</t>
        </is>
      </c>
      <c r="E1594" s="19" t="inlineStr">
        <is>
          <t>1706</t>
        </is>
      </c>
      <c r="F1594" s="19" t="inlineStr">
        <is>
          <t>194</t>
        </is>
      </c>
      <c r="G1594" s="19" t="n"/>
      <c r="H1594" s="19" t="inlineStr">
        <is>
          <t>2</t>
        </is>
      </c>
      <c r="I1594" s="19" t="n"/>
      <c r="J1594" s="19" t="n"/>
      <c r="K1594" s="19" t="inlineStr">
        <is>
          <t>2</t>
        </is>
      </c>
      <c r="L1594" t="inlineStr">
        <is>
          <t>2026-08-08</t>
        </is>
      </c>
      <c r="N1594" t="inlineStr">
        <is>
          <t>IN_SCOPE_FINAL; SOURCE_CFG=IA-ST-CFG-0225; MARKET=YANMAR OEM (SOLİS) (Yurt İçi); STATUS=IN OEM / EU PACKAGE</t>
        </is>
      </c>
      <c r="O1594" t="inlineStr">
        <is>
          <t>2026-08-10T19:29:54Z</t>
        </is>
      </c>
      <c r="P1594" t="inlineStr">
        <is>
          <t>2026-08-10T19:29:54Z</t>
        </is>
      </c>
    </row>
    <row r="1595">
      <c r="A1595" s="19" t="inlineStr">
        <is>
          <t>1594</t>
        </is>
      </c>
      <c r="B1595" s="19" t="inlineStr">
        <is>
          <t>SC-1012172-ST-072-STD-17</t>
        </is>
      </c>
      <c r="C1595" t="inlineStr">
        <is>
          <t>1012172 → ST-072-STD-17</t>
        </is>
      </c>
      <c r="D1595" s="19" t="inlineStr">
        <is>
          <t>2</t>
        </is>
      </c>
      <c r="E1595" s="19" t="inlineStr">
        <is>
          <t>555</t>
        </is>
      </c>
      <c r="F1595" s="19" t="inlineStr">
        <is>
          <t>195</t>
        </is>
      </c>
      <c r="G1595" s="19" t="n"/>
      <c r="H1595" s="19" t="inlineStr">
        <is>
          <t>2</t>
        </is>
      </c>
      <c r="I1595" s="19" t="n"/>
      <c r="J1595" s="19" t="n"/>
      <c r="K1595" s="19" t="inlineStr">
        <is>
          <t>2</t>
        </is>
      </c>
      <c r="L1595" t="inlineStr">
        <is>
          <t>2026-08-08</t>
        </is>
      </c>
      <c r="N1595" t="inlineStr">
        <is>
          <t>IN_SCOPE_FINAL; SOURCE_CFG=IA-ST-CFG-0226; MARKET=YURT İÇİ AFM; STATUS=IN OEM / EU PACKAGE</t>
        </is>
      </c>
      <c r="O1595" t="inlineStr">
        <is>
          <t>2026-08-10T19:29:54Z</t>
        </is>
      </c>
      <c r="P1595" t="inlineStr">
        <is>
          <t>2026-08-10T19:29:54Z</t>
        </is>
      </c>
    </row>
    <row r="1596">
      <c r="A1596" s="19" t="inlineStr">
        <is>
          <t>1595</t>
        </is>
      </c>
      <c r="B1596" s="19" t="inlineStr">
        <is>
          <t>SC-1013773-ST-072-STD-18</t>
        </is>
      </c>
      <c r="C1596" t="inlineStr">
        <is>
          <t>1013773 → ST-072-STD-18</t>
        </is>
      </c>
      <c r="D1596" s="19" t="inlineStr">
        <is>
          <t>2</t>
        </is>
      </c>
      <c r="E1596" s="19" t="inlineStr">
        <is>
          <t>1092</t>
        </is>
      </c>
      <c r="F1596" s="19" t="inlineStr">
        <is>
          <t>196</t>
        </is>
      </c>
      <c r="G1596" s="19" t="n"/>
      <c r="H1596" s="19" t="inlineStr">
        <is>
          <t>2</t>
        </is>
      </c>
      <c r="I1596" s="19" t="n"/>
      <c r="J1596" s="19" t="n"/>
      <c r="K1596" s="19" t="inlineStr">
        <is>
          <t>2</t>
        </is>
      </c>
      <c r="L1596" t="inlineStr">
        <is>
          <t>2026-08-08</t>
        </is>
      </c>
      <c r="N1596" t="inlineStr">
        <is>
          <t>IN_SCOPE_FINAL; SOURCE_CFG=IA-ST-CFG-0227; MARKET=YURT İÇİ AFM; STATUS=IN OEM / EU PACKAGE</t>
        </is>
      </c>
      <c r="O1596" t="inlineStr">
        <is>
          <t>2026-08-10T19:29:54Z</t>
        </is>
      </c>
      <c r="P1596" t="inlineStr">
        <is>
          <t>2026-08-10T19:29:54Z</t>
        </is>
      </c>
    </row>
    <row r="1597">
      <c r="A1597" s="19" t="inlineStr">
        <is>
          <t>1596</t>
        </is>
      </c>
      <c r="B1597" s="19" t="inlineStr">
        <is>
          <t>SC-1011760-ST-072-STD-18</t>
        </is>
      </c>
      <c r="C1597" t="inlineStr">
        <is>
          <t>1011760 → ST-072-STD-18</t>
        </is>
      </c>
      <c r="D1597" s="19" t="inlineStr">
        <is>
          <t>2</t>
        </is>
      </c>
      <c r="E1597" s="19" t="inlineStr">
        <is>
          <t>335</t>
        </is>
      </c>
      <c r="F1597" s="19" t="inlineStr">
        <is>
          <t>196</t>
        </is>
      </c>
      <c r="G1597" s="19" t="n"/>
      <c r="H1597" s="19" t="inlineStr">
        <is>
          <t>2</t>
        </is>
      </c>
      <c r="I1597" s="19" t="n"/>
      <c r="J1597" s="19" t="n"/>
      <c r="K1597" s="19" t="inlineStr">
        <is>
          <t>2</t>
        </is>
      </c>
      <c r="L1597" t="inlineStr">
        <is>
          <t>2026-08-08</t>
        </is>
      </c>
      <c r="N1597" t="inlineStr">
        <is>
          <t>IN_SCOPE_FINAL; SOURCE_CFG=IA-ST-CFG-0227; MARKET=YURT İÇİ AFM; STATUS=IN OEM / EU PACKAGE</t>
        </is>
      </c>
      <c r="O1597" t="inlineStr">
        <is>
          <t>2026-08-10T19:29:54Z</t>
        </is>
      </c>
      <c r="P1597" t="inlineStr">
        <is>
          <t>2026-08-10T19:29:54Z</t>
        </is>
      </c>
    </row>
    <row r="1598">
      <c r="A1598" s="19" t="inlineStr">
        <is>
          <t>1597</t>
        </is>
      </c>
      <c r="B1598" s="19" t="inlineStr">
        <is>
          <t>SC-1011156-ST-072-STD-18</t>
        </is>
      </c>
      <c r="C1598" t="inlineStr">
        <is>
          <t>1011156 → ST-072-STD-18</t>
        </is>
      </c>
      <c r="D1598" s="19" t="inlineStr">
        <is>
          <t>2</t>
        </is>
      </c>
      <c r="E1598" s="19" t="inlineStr">
        <is>
          <t>233</t>
        </is>
      </c>
      <c r="F1598" s="19" t="inlineStr">
        <is>
          <t>196</t>
        </is>
      </c>
      <c r="G1598" s="19" t="n"/>
      <c r="H1598" s="19" t="inlineStr">
        <is>
          <t>2</t>
        </is>
      </c>
      <c r="I1598" s="19" t="n"/>
      <c r="J1598" s="19" t="n"/>
      <c r="K1598" s="19" t="inlineStr">
        <is>
          <t>2</t>
        </is>
      </c>
      <c r="L1598" t="inlineStr">
        <is>
          <t>2026-08-08</t>
        </is>
      </c>
      <c r="N1598" t="inlineStr">
        <is>
          <t>IN_SCOPE_FINAL; SOURCE_CFG=IA-ST-CFG-0227; MARKET=YURT İÇİ AFM; STATUS=IN OEM / EU PACKAGE</t>
        </is>
      </c>
      <c r="O1598" t="inlineStr">
        <is>
          <t>2026-08-10T19:29:54Z</t>
        </is>
      </c>
      <c r="P1598" t="inlineStr">
        <is>
          <t>2026-08-10T19:29:54Z</t>
        </is>
      </c>
    </row>
    <row r="1599">
      <c r="A1599" s="19" t="inlineStr">
        <is>
          <t>1598</t>
        </is>
      </c>
      <c r="B1599" s="19" t="inlineStr">
        <is>
          <t>SC-1011172-ST-072-STD-18</t>
        </is>
      </c>
      <c r="C1599" t="inlineStr">
        <is>
          <t>1011172 → ST-072-STD-18</t>
        </is>
      </c>
      <c r="D1599" s="19" t="inlineStr">
        <is>
          <t>2</t>
        </is>
      </c>
      <c r="E1599" s="19" t="inlineStr">
        <is>
          <t>248</t>
        </is>
      </c>
      <c r="F1599" s="19" t="inlineStr">
        <is>
          <t>196</t>
        </is>
      </c>
      <c r="G1599" s="19" t="n"/>
      <c r="H1599" s="19" t="inlineStr">
        <is>
          <t>2</t>
        </is>
      </c>
      <c r="I1599" s="19" t="n"/>
      <c r="J1599" s="19" t="n"/>
      <c r="K1599" s="19" t="inlineStr">
        <is>
          <t>2</t>
        </is>
      </c>
      <c r="L1599" t="inlineStr">
        <is>
          <t>2026-08-08</t>
        </is>
      </c>
      <c r="N1599" t="inlineStr">
        <is>
          <t>IN_SCOPE_FINAL; SOURCE_CFG=IA-ST-CFG-0227; MARKET=YURT İÇİ AFM; STATUS=IN OEM / EU PACKAGE</t>
        </is>
      </c>
      <c r="O1599" t="inlineStr">
        <is>
          <t>2026-08-10T19:29:54Z</t>
        </is>
      </c>
      <c r="P1599" t="inlineStr">
        <is>
          <t>2026-08-10T19:29:54Z</t>
        </is>
      </c>
    </row>
    <row r="1600">
      <c r="A1600" s="19" t="inlineStr">
        <is>
          <t>1599</t>
        </is>
      </c>
      <c r="B1600" s="19" t="inlineStr">
        <is>
          <t>SC-1011173-ST-072-STD-18</t>
        </is>
      </c>
      <c r="C1600" t="inlineStr">
        <is>
          <t>1011173 → ST-072-STD-18</t>
        </is>
      </c>
      <c r="D1600" s="19" t="inlineStr">
        <is>
          <t>2</t>
        </is>
      </c>
      <c r="E1600" s="19" t="inlineStr">
        <is>
          <t>249</t>
        </is>
      </c>
      <c r="F1600" s="19" t="inlineStr">
        <is>
          <t>196</t>
        </is>
      </c>
      <c r="G1600" s="19" t="n"/>
      <c r="H1600" s="19" t="inlineStr">
        <is>
          <t>2</t>
        </is>
      </c>
      <c r="I1600" s="19" t="n"/>
      <c r="J1600" s="19" t="n"/>
      <c r="K1600" s="19" t="inlineStr">
        <is>
          <t>2</t>
        </is>
      </c>
      <c r="L1600" t="inlineStr">
        <is>
          <t>2026-08-08</t>
        </is>
      </c>
      <c r="N1600" t="inlineStr">
        <is>
          <t>IN_SCOPE_FINAL; SOURCE_CFG=IA-ST-CFG-0227; MARKET=YURT İÇİ AFM; STATUS=IN OEM / EU PACKAGE</t>
        </is>
      </c>
      <c r="O1600" t="inlineStr">
        <is>
          <t>2026-08-10T19:29:54Z</t>
        </is>
      </c>
      <c r="P1600" t="inlineStr">
        <is>
          <t>2026-08-10T19:29:54Z</t>
        </is>
      </c>
    </row>
    <row r="1601">
      <c r="A1601" s="19" t="inlineStr">
        <is>
          <t>1600</t>
        </is>
      </c>
      <c r="B1601" s="19" t="inlineStr">
        <is>
          <t>SC-1011223-ST-072-STD-18</t>
        </is>
      </c>
      <c r="C1601" t="inlineStr">
        <is>
          <t>1011223 → ST-072-STD-18</t>
        </is>
      </c>
      <c r="D1601" s="19" t="inlineStr">
        <is>
          <t>2</t>
        </is>
      </c>
      <c r="E1601" s="19" t="inlineStr">
        <is>
          <t>281</t>
        </is>
      </c>
      <c r="F1601" s="19" t="inlineStr">
        <is>
          <t>196</t>
        </is>
      </c>
      <c r="G1601" s="19" t="n"/>
      <c r="H1601" s="19" t="inlineStr">
        <is>
          <t>2</t>
        </is>
      </c>
      <c r="I1601" s="19" t="n"/>
      <c r="J1601" s="19" t="n"/>
      <c r="K1601" s="19" t="inlineStr">
        <is>
          <t>2</t>
        </is>
      </c>
      <c r="L1601" t="inlineStr">
        <is>
          <t>2026-08-08</t>
        </is>
      </c>
      <c r="N1601" t="inlineStr">
        <is>
          <t>IN_SCOPE_FINAL; SOURCE_CFG=IA-ST-CFG-0227; MARKET=YURT İÇİ AFM; STATUS=IN OEM / EU PACKAGE</t>
        </is>
      </c>
      <c r="O1601" t="inlineStr">
        <is>
          <t>2026-08-10T19:29:54Z</t>
        </is>
      </c>
      <c r="P1601" t="inlineStr">
        <is>
          <t>2026-08-10T19:29:54Z</t>
        </is>
      </c>
    </row>
    <row r="1602">
      <c r="A1602" s="19" t="inlineStr">
        <is>
          <t>1601</t>
        </is>
      </c>
      <c r="B1602" s="19" t="inlineStr">
        <is>
          <t>SC-1011230-ST-072-STD-18</t>
        </is>
      </c>
      <c r="C1602" t="inlineStr">
        <is>
          <t>1011230 → ST-072-STD-18</t>
        </is>
      </c>
      <c r="D1602" s="19" t="inlineStr">
        <is>
          <t>2</t>
        </is>
      </c>
      <c r="E1602" s="19" t="inlineStr">
        <is>
          <t>285</t>
        </is>
      </c>
      <c r="F1602" s="19" t="inlineStr">
        <is>
          <t>196</t>
        </is>
      </c>
      <c r="G1602" s="19" t="n"/>
      <c r="H1602" s="19" t="inlineStr">
        <is>
          <t>2</t>
        </is>
      </c>
      <c r="I1602" s="19" t="n"/>
      <c r="J1602" s="19" t="n"/>
      <c r="K1602" s="19" t="inlineStr">
        <is>
          <t>2</t>
        </is>
      </c>
      <c r="L1602" t="inlineStr">
        <is>
          <t>2026-08-08</t>
        </is>
      </c>
      <c r="N1602" t="inlineStr">
        <is>
          <t>IN_SCOPE_FINAL; SOURCE_CFG=IA-ST-CFG-0227; MARKET=OTOPRATİK (Yurt İçi); STATUS=IN OEM / EU PACKAGE</t>
        </is>
      </c>
      <c r="O1602" t="inlineStr">
        <is>
          <t>2026-08-10T19:29:54Z</t>
        </is>
      </c>
      <c r="P1602" t="inlineStr">
        <is>
          <t>2026-08-10T19:29:54Z</t>
        </is>
      </c>
    </row>
    <row r="1603">
      <c r="A1603" s="19" t="inlineStr">
        <is>
          <t>1602</t>
        </is>
      </c>
      <c r="B1603" s="19" t="inlineStr">
        <is>
          <t>SC-1014563-ST-072-STD-18</t>
        </is>
      </c>
      <c r="C1603" t="inlineStr">
        <is>
          <t>1014563 → ST-072-STD-18</t>
        </is>
      </c>
      <c r="D1603" s="19" t="inlineStr">
        <is>
          <t>2</t>
        </is>
      </c>
      <c r="E1603" s="19" t="inlineStr">
        <is>
          <t>1452</t>
        </is>
      </c>
      <c r="F1603" s="19" t="inlineStr">
        <is>
          <t>196</t>
        </is>
      </c>
      <c r="G1603" s="19" t="n"/>
      <c r="H1603" s="19" t="inlineStr">
        <is>
          <t>2</t>
        </is>
      </c>
      <c r="I1603" s="19" t="n"/>
      <c r="J1603" s="19" t="n"/>
      <c r="K1603" s="19" t="inlineStr">
        <is>
          <t>2</t>
        </is>
      </c>
      <c r="L1603" t="inlineStr">
        <is>
          <t>2026-08-08</t>
        </is>
      </c>
      <c r="N1603" t="inlineStr">
        <is>
          <t>IN_SCOPE_FINAL; SOURCE_CFG=IA-ST-CFG-0227; MARKET=YURT İÇİ AFM; STATUS=IN OEM / EU PACKAGE</t>
        </is>
      </c>
      <c r="O1603" t="inlineStr">
        <is>
          <t>2026-08-10T19:29:54Z</t>
        </is>
      </c>
      <c r="P1603" t="inlineStr">
        <is>
          <t>2026-08-10T19:29:54Z</t>
        </is>
      </c>
    </row>
    <row r="1604">
      <c r="A1604" s="19" t="inlineStr">
        <is>
          <t>1603</t>
        </is>
      </c>
      <c r="B1604" s="19" t="inlineStr">
        <is>
          <t>SC-1014574-ST-072-STD-18</t>
        </is>
      </c>
      <c r="C1604" t="inlineStr">
        <is>
          <t>1014574 → ST-072-STD-18</t>
        </is>
      </c>
      <c r="D1604" s="19" t="inlineStr">
        <is>
          <t>2</t>
        </is>
      </c>
      <c r="E1604" s="19" t="inlineStr">
        <is>
          <t>1460</t>
        </is>
      </c>
      <c r="F1604" s="19" t="inlineStr">
        <is>
          <t>196</t>
        </is>
      </c>
      <c r="G1604" s="19" t="n"/>
      <c r="H1604" s="19" t="inlineStr">
        <is>
          <t>2</t>
        </is>
      </c>
      <c r="I1604" s="19" t="n"/>
      <c r="J1604" s="19" t="n"/>
      <c r="K1604" s="19" t="inlineStr">
        <is>
          <t>2</t>
        </is>
      </c>
      <c r="L1604" t="inlineStr">
        <is>
          <t>2026-08-08</t>
        </is>
      </c>
      <c r="N1604" t="inlineStr">
        <is>
          <t>IN_SCOPE_FINAL; SOURCE_CFG=IA-ST-CFG-0227; MARKET=YURT İÇİ AFM; STATUS=IN OEM / EU PACKAGE</t>
        </is>
      </c>
      <c r="O1604" t="inlineStr">
        <is>
          <t>2026-08-10T19:29:54Z</t>
        </is>
      </c>
      <c r="P1604" t="inlineStr">
        <is>
          <t>2026-08-10T19:29:54Z</t>
        </is>
      </c>
    </row>
    <row r="1605">
      <c r="A1605" s="19" t="inlineStr">
        <is>
          <t>1604</t>
        </is>
      </c>
      <c r="B1605" s="19" t="inlineStr">
        <is>
          <t>SC-1014584-ST-072-STD-18</t>
        </is>
      </c>
      <c r="C1605" t="inlineStr">
        <is>
          <t>1014584 → ST-072-STD-18</t>
        </is>
      </c>
      <c r="D1605" s="19" t="inlineStr">
        <is>
          <t>2</t>
        </is>
      </c>
      <c r="E1605" s="19" t="inlineStr">
        <is>
          <t>1470</t>
        </is>
      </c>
      <c r="F1605" s="19" t="inlineStr">
        <is>
          <t>196</t>
        </is>
      </c>
      <c r="G1605" s="19" t="n"/>
      <c r="H1605" s="19" t="inlineStr">
        <is>
          <t>2</t>
        </is>
      </c>
      <c r="I1605" s="19" t="n"/>
      <c r="J1605" s="19" t="n"/>
      <c r="K1605" s="19" t="inlineStr">
        <is>
          <t>2</t>
        </is>
      </c>
      <c r="L1605" t="inlineStr">
        <is>
          <t>2026-08-08</t>
        </is>
      </c>
      <c r="N1605" t="inlineStr">
        <is>
          <t>IN_SCOPE_FINAL; SOURCE_CFG=IA-ST-CFG-0227; MARKET=YURT İÇİ AFM; STATUS=IN OEM / EU PACKAGE</t>
        </is>
      </c>
      <c r="O1605" t="inlineStr">
        <is>
          <t>2026-08-10T19:29:54Z</t>
        </is>
      </c>
      <c r="P1605" t="inlineStr">
        <is>
          <t>2026-08-10T19:29:54Z</t>
        </is>
      </c>
    </row>
    <row r="1606">
      <c r="A1606" s="19" t="inlineStr">
        <is>
          <t>1605</t>
        </is>
      </c>
      <c r="B1606" s="19" t="inlineStr">
        <is>
          <t>SC-1011200-ST-072-STD-18</t>
        </is>
      </c>
      <c r="C1606" t="inlineStr">
        <is>
          <t>1011200 → ST-072-STD-18</t>
        </is>
      </c>
      <c r="D1606" s="19" t="inlineStr">
        <is>
          <t>2</t>
        </is>
      </c>
      <c r="E1606" s="19" t="inlineStr">
        <is>
          <t>270</t>
        </is>
      </c>
      <c r="F1606" s="19" t="inlineStr">
        <is>
          <t>196</t>
        </is>
      </c>
      <c r="G1606" s="19" t="n"/>
      <c r="H1606" s="19" t="inlineStr">
        <is>
          <t>2</t>
        </is>
      </c>
      <c r="I1606" s="19" t="n"/>
      <c r="J1606" s="19" t="n"/>
      <c r="K1606" s="19" t="inlineStr">
        <is>
          <t>2</t>
        </is>
      </c>
      <c r="L1606" t="inlineStr">
        <is>
          <t>2026-08-08</t>
        </is>
      </c>
      <c r="N1606" t="inlineStr">
        <is>
          <t>IN_SCOPE_FINAL; SOURCE_CFG=IA-ST-CFG-0227; MARKET=YURT İÇİ AFM; STATUS=IN OEM / EU PACKAGE</t>
        </is>
      </c>
      <c r="O1606" t="inlineStr">
        <is>
          <t>2026-08-10T19:29:54Z</t>
        </is>
      </c>
      <c r="P1606" t="inlineStr">
        <is>
          <t>2026-08-10T19:29:54Z</t>
        </is>
      </c>
    </row>
    <row r="1607">
      <c r="A1607" s="19" t="inlineStr">
        <is>
          <t>1606</t>
        </is>
      </c>
      <c r="B1607" s="19" t="inlineStr">
        <is>
          <t>SC-1011215-ST-072-STD-18</t>
        </is>
      </c>
      <c r="C1607" t="inlineStr">
        <is>
          <t>1011215 → ST-072-STD-18</t>
        </is>
      </c>
      <c r="D1607" s="19" t="inlineStr">
        <is>
          <t>2</t>
        </is>
      </c>
      <c r="E1607" s="19" t="inlineStr">
        <is>
          <t>278</t>
        </is>
      </c>
      <c r="F1607" s="19" t="inlineStr">
        <is>
          <t>196</t>
        </is>
      </c>
      <c r="G1607" s="19" t="n"/>
      <c r="H1607" s="19" t="inlineStr">
        <is>
          <t>2</t>
        </is>
      </c>
      <c r="I1607" s="19" t="n"/>
      <c r="J1607" s="19" t="n"/>
      <c r="K1607" s="19" t="inlineStr">
        <is>
          <t>2</t>
        </is>
      </c>
      <c r="L1607" t="inlineStr">
        <is>
          <t>2026-08-08</t>
        </is>
      </c>
      <c r="N1607" t="inlineStr">
        <is>
          <t>IN_SCOPE_FINAL; SOURCE_CFG=IA-ST-CFG-0227; MARKET=YURT İÇİ AFM; STATUS=IN OEM / EU PACKAGE</t>
        </is>
      </c>
      <c r="O1607" t="inlineStr">
        <is>
          <t>2026-08-10T19:29:54Z</t>
        </is>
      </c>
      <c r="P1607" t="inlineStr">
        <is>
          <t>2026-08-10T19:29:54Z</t>
        </is>
      </c>
    </row>
    <row r="1608">
      <c r="A1608" s="19" t="inlineStr">
        <is>
          <t>1607</t>
        </is>
      </c>
      <c r="B1608" s="19" t="inlineStr">
        <is>
          <t>SC-1011224-ST-072-STD-18</t>
        </is>
      </c>
      <c r="C1608" t="inlineStr">
        <is>
          <t>1011224 → ST-072-STD-18</t>
        </is>
      </c>
      <c r="D1608" s="19" t="inlineStr">
        <is>
          <t>2</t>
        </is>
      </c>
      <c r="E1608" s="19" t="inlineStr">
        <is>
          <t>282</t>
        </is>
      </c>
      <c r="F1608" s="19" t="inlineStr">
        <is>
          <t>196</t>
        </is>
      </c>
      <c r="G1608" s="19" t="n"/>
      <c r="H1608" s="19" t="inlineStr">
        <is>
          <t>2</t>
        </is>
      </c>
      <c r="I1608" s="19" t="n"/>
      <c r="J1608" s="19" t="n"/>
      <c r="K1608" s="19" t="inlineStr">
        <is>
          <t>2</t>
        </is>
      </c>
      <c r="L1608" t="inlineStr">
        <is>
          <t>2026-08-08</t>
        </is>
      </c>
      <c r="N1608" t="inlineStr">
        <is>
          <t>IN_SCOPE_FINAL; SOURCE_CFG=IA-ST-CFG-0227; MARKET=YURT İÇİ AFM; STATUS=IN OEM / EU PACKAGE</t>
        </is>
      </c>
      <c r="O1608" t="inlineStr">
        <is>
          <t>2026-08-10T19:29:54Z</t>
        </is>
      </c>
      <c r="P1608" t="inlineStr">
        <is>
          <t>2026-08-10T19:29:54Z</t>
        </is>
      </c>
    </row>
    <row r="1609">
      <c r="A1609" s="19" t="inlineStr">
        <is>
          <t>1608</t>
        </is>
      </c>
      <c r="B1609" s="19" t="inlineStr">
        <is>
          <t>SC-1012094-ST-072-STD-18</t>
        </is>
      </c>
      <c r="C1609" t="inlineStr">
        <is>
          <t>1012094 → ST-072-STD-18</t>
        </is>
      </c>
      <c r="D1609" s="19" t="inlineStr">
        <is>
          <t>2</t>
        </is>
      </c>
      <c r="E1609" s="19" t="inlineStr">
        <is>
          <t>515</t>
        </is>
      </c>
      <c r="F1609" s="19" t="inlineStr">
        <is>
          <t>196</t>
        </is>
      </c>
      <c r="G1609" s="19" t="n"/>
      <c r="H1609" s="19" t="inlineStr">
        <is>
          <t>2</t>
        </is>
      </c>
      <c r="I1609" s="19" t="n"/>
      <c r="J1609" s="19" t="n"/>
      <c r="K1609" s="19" t="inlineStr">
        <is>
          <t>2</t>
        </is>
      </c>
      <c r="L1609" t="inlineStr">
        <is>
          <t>2026-08-08</t>
        </is>
      </c>
      <c r="N1609" t="inlineStr">
        <is>
          <t>IN_SCOPE_FINAL; SOURCE_CFG=IA-ST-CFG-0227; MARKET=TEMSA (Yurt İçi); STATUS=IN OEM / EU PACKAGE</t>
        </is>
      </c>
      <c r="O1609" t="inlineStr">
        <is>
          <t>2026-08-10T19:29:54Z</t>
        </is>
      </c>
      <c r="P1609" t="inlineStr">
        <is>
          <t>2026-08-10T19:29:54Z</t>
        </is>
      </c>
    </row>
    <row r="1610">
      <c r="A1610" s="19" t="inlineStr">
        <is>
          <t>1609</t>
        </is>
      </c>
      <c r="B1610" s="19" t="inlineStr">
        <is>
          <t>SC-1012095-ST-072-STD-18</t>
        </is>
      </c>
      <c r="C1610" t="inlineStr">
        <is>
          <t>1012095 → ST-072-STD-18</t>
        </is>
      </c>
      <c r="D1610" s="19" t="inlineStr">
        <is>
          <t>2</t>
        </is>
      </c>
      <c r="E1610" s="19" t="inlineStr">
        <is>
          <t>516</t>
        </is>
      </c>
      <c r="F1610" s="19" t="inlineStr">
        <is>
          <t>196</t>
        </is>
      </c>
      <c r="G1610" s="19" t="n"/>
      <c r="H1610" s="19" t="inlineStr">
        <is>
          <t>2</t>
        </is>
      </c>
      <c r="I1610" s="19" t="n"/>
      <c r="J1610" s="19" t="n"/>
      <c r="K1610" s="19" t="inlineStr">
        <is>
          <t>2</t>
        </is>
      </c>
      <c r="L1610" t="inlineStr">
        <is>
          <t>2026-08-08</t>
        </is>
      </c>
      <c r="N1610" t="inlineStr">
        <is>
          <t>IN_SCOPE_FINAL; SOURCE_CFG=IA-ST-CFG-0227; MARKET=TEMSA (Yurt İçi); STATUS=IN OEM / EU PACKAGE</t>
        </is>
      </c>
      <c r="O1610" t="inlineStr">
        <is>
          <t>2026-08-10T19:29:54Z</t>
        </is>
      </c>
      <c r="P1610" t="inlineStr">
        <is>
          <t>2026-08-10T19:29:54Z</t>
        </is>
      </c>
    </row>
    <row r="1611">
      <c r="A1611" s="19" t="inlineStr">
        <is>
          <t>1610</t>
        </is>
      </c>
      <c r="B1611" s="19" t="inlineStr">
        <is>
          <t>SC-1014000-ST-072-STD-18</t>
        </is>
      </c>
      <c r="C1611" t="inlineStr">
        <is>
          <t>1014000 → ST-072-STD-18</t>
        </is>
      </c>
      <c r="D1611" s="19" t="inlineStr">
        <is>
          <t>2</t>
        </is>
      </c>
      <c r="E1611" s="19" t="inlineStr">
        <is>
          <t>1171</t>
        </is>
      </c>
      <c r="F1611" s="19" t="inlineStr">
        <is>
          <t>196</t>
        </is>
      </c>
      <c r="G1611" s="19" t="n"/>
      <c r="H1611" s="19" t="inlineStr">
        <is>
          <t>2</t>
        </is>
      </c>
      <c r="I1611" s="19" t="n"/>
      <c r="J1611" s="19" t="n"/>
      <c r="K1611" s="19" t="inlineStr">
        <is>
          <t>2</t>
        </is>
      </c>
      <c r="L1611" t="inlineStr">
        <is>
          <t>2026-08-08</t>
        </is>
      </c>
      <c r="N1611" t="inlineStr">
        <is>
          <t>IN_SCOPE_FINAL; SOURCE_CFG=IA-ST-CFG-0227; MARKET=YURT İÇİ AFM; STATUS=IN OEM / EU PACKAGE</t>
        </is>
      </c>
      <c r="O1611" t="inlineStr">
        <is>
          <t>2026-08-10T19:29:54Z</t>
        </is>
      </c>
      <c r="P1611" t="inlineStr">
        <is>
          <t>2026-08-10T19:29:54Z</t>
        </is>
      </c>
    </row>
    <row r="1612">
      <c r="A1612" s="19" t="inlineStr">
        <is>
          <t>1611</t>
        </is>
      </c>
      <c r="B1612" s="19" t="inlineStr">
        <is>
          <t>SC-1014001-ST-072-STD-18</t>
        </is>
      </c>
      <c r="C1612" t="inlineStr">
        <is>
          <t>1014001 → ST-072-STD-18</t>
        </is>
      </c>
      <c r="D1612" s="19" t="inlineStr">
        <is>
          <t>2</t>
        </is>
      </c>
      <c r="E1612" s="19" t="inlineStr">
        <is>
          <t>1172</t>
        </is>
      </c>
      <c r="F1612" s="19" t="inlineStr">
        <is>
          <t>196</t>
        </is>
      </c>
      <c r="G1612" s="19" t="n"/>
      <c r="H1612" s="19" t="inlineStr">
        <is>
          <t>2</t>
        </is>
      </c>
      <c r="I1612" s="19" t="n"/>
      <c r="J1612" s="19" t="n"/>
      <c r="K1612" s="19" t="inlineStr">
        <is>
          <t>2</t>
        </is>
      </c>
      <c r="L1612" t="inlineStr">
        <is>
          <t>2026-08-08</t>
        </is>
      </c>
      <c r="N1612" t="inlineStr">
        <is>
          <t>IN_SCOPE_FINAL; SOURCE_CFG=IA-ST-CFG-0227; MARKET=YURT İÇİ AFM; STATUS=IN OEM / EU PACKAGE</t>
        </is>
      </c>
      <c r="O1612" t="inlineStr">
        <is>
          <t>2026-08-10T19:29:54Z</t>
        </is>
      </c>
      <c r="P1612" t="inlineStr">
        <is>
          <t>2026-08-10T19:29:54Z</t>
        </is>
      </c>
    </row>
    <row r="1613">
      <c r="A1613" s="19" t="inlineStr">
        <is>
          <t>1612</t>
        </is>
      </c>
      <c r="B1613" s="19" t="inlineStr">
        <is>
          <t>SC-1011193-ST-072-STD-18</t>
        </is>
      </c>
      <c r="C1613" t="inlineStr">
        <is>
          <t>1011193 → ST-072-STD-18</t>
        </is>
      </c>
      <c r="D1613" s="19" t="inlineStr">
        <is>
          <t>2</t>
        </is>
      </c>
      <c r="E1613" s="19" t="inlineStr">
        <is>
          <t>264</t>
        </is>
      </c>
      <c r="F1613" s="19" t="inlineStr">
        <is>
          <t>196</t>
        </is>
      </c>
      <c r="G1613" s="19" t="n"/>
      <c r="H1613" s="19" t="inlineStr">
        <is>
          <t>2</t>
        </is>
      </c>
      <c r="I1613" s="19" t="n"/>
      <c r="J1613" s="19" t="n"/>
      <c r="K1613" s="19" t="inlineStr">
        <is>
          <t>2</t>
        </is>
      </c>
      <c r="L1613" t="inlineStr">
        <is>
          <t>2026-08-08</t>
        </is>
      </c>
      <c r="N1613" t="inlineStr">
        <is>
          <t>IN_SCOPE_FINAL; SOURCE_CFG=IA-ST-CFG-0227; MARKET=YURT İÇİ AFM; STATUS=IN OEM / EU PACKAGE</t>
        </is>
      </c>
      <c r="O1613" t="inlineStr">
        <is>
          <t>2026-08-10T19:29:54Z</t>
        </is>
      </c>
      <c r="P1613" t="inlineStr">
        <is>
          <t>2026-08-10T19:29:54Z</t>
        </is>
      </c>
    </row>
    <row r="1614">
      <c r="A1614" s="19" t="inlineStr">
        <is>
          <t>1613</t>
        </is>
      </c>
      <c r="B1614" s="19" t="inlineStr">
        <is>
          <t>SC-1012286-ST-072-STD-19</t>
        </is>
      </c>
      <c r="C1614" t="inlineStr">
        <is>
          <t>1012286 → ST-072-STD-19</t>
        </is>
      </c>
      <c r="D1614" s="19" t="inlineStr">
        <is>
          <t>2</t>
        </is>
      </c>
      <c r="E1614" s="19" t="inlineStr">
        <is>
          <t>586</t>
        </is>
      </c>
      <c r="F1614" s="19" t="inlineStr">
        <is>
          <t>197</t>
        </is>
      </c>
      <c r="G1614" s="19" t="n"/>
      <c r="H1614" s="19" t="inlineStr">
        <is>
          <t>2</t>
        </is>
      </c>
      <c r="I1614" s="19" t="n"/>
      <c r="J1614" s="19" t="n"/>
      <c r="K1614" s="19" t="inlineStr">
        <is>
          <t>2</t>
        </is>
      </c>
      <c r="L1614" t="inlineStr">
        <is>
          <t>2026-08-08</t>
        </is>
      </c>
      <c r="N1614" t="inlineStr">
        <is>
          <t>IN_SCOPE_FINAL; SOURCE_CFG=IA-ST-CFG-0228; MARKET=SCHNAPP; STATUS=IN OEM / EU PACKAGE</t>
        </is>
      </c>
      <c r="O1614" t="inlineStr">
        <is>
          <t>2026-08-10T19:29:54Z</t>
        </is>
      </c>
      <c r="P1614" t="inlineStr">
        <is>
          <t>2026-08-10T19:29:54Z</t>
        </is>
      </c>
    </row>
    <row r="1615">
      <c r="A1615" s="19" t="inlineStr">
        <is>
          <t>1614</t>
        </is>
      </c>
      <c r="B1615" s="19" t="inlineStr">
        <is>
          <t>SC-1012288-ST-072-STD-19</t>
        </is>
      </c>
      <c r="C1615" t="inlineStr">
        <is>
          <t>1012288 → ST-072-STD-19</t>
        </is>
      </c>
      <c r="D1615" s="19" t="inlineStr">
        <is>
          <t>2</t>
        </is>
      </c>
      <c r="E1615" s="19" t="inlineStr">
        <is>
          <t>588</t>
        </is>
      </c>
      <c r="F1615" s="19" t="inlineStr">
        <is>
          <t>197</t>
        </is>
      </c>
      <c r="G1615" s="19" t="n"/>
      <c r="H1615" s="19" t="inlineStr">
        <is>
          <t>2</t>
        </is>
      </c>
      <c r="I1615" s="19" t="n"/>
      <c r="J1615" s="19" t="n"/>
      <c r="K1615" s="19" t="inlineStr">
        <is>
          <t>2</t>
        </is>
      </c>
      <c r="L1615" t="inlineStr">
        <is>
          <t>2026-08-08</t>
        </is>
      </c>
      <c r="N1615" t="inlineStr">
        <is>
          <t>IN_SCOPE_FINAL; SOURCE_CFG=IA-ST-CFG-0228; MARKET=SCHNAPP; STATUS=IN OEM / EU PACKAGE</t>
        </is>
      </c>
      <c r="O1615" t="inlineStr">
        <is>
          <t>2026-08-10T19:29:54Z</t>
        </is>
      </c>
      <c r="P1615" t="inlineStr">
        <is>
          <t>2026-08-10T19:29:54Z</t>
        </is>
      </c>
    </row>
    <row r="1616">
      <c r="A1616" s="19" t="inlineStr">
        <is>
          <t>1615</t>
        </is>
      </c>
      <c r="B1616" s="19" t="inlineStr">
        <is>
          <t>SC-1012515-ST-072-STD-19</t>
        </is>
      </c>
      <c r="C1616" t="inlineStr">
        <is>
          <t>1012515 → ST-072-STD-19</t>
        </is>
      </c>
      <c r="D1616" s="19" t="inlineStr">
        <is>
          <t>2</t>
        </is>
      </c>
      <c r="E1616" s="19" t="inlineStr">
        <is>
          <t>681</t>
        </is>
      </c>
      <c r="F1616" s="19" t="inlineStr">
        <is>
          <t>197</t>
        </is>
      </c>
      <c r="G1616" s="19" t="n"/>
      <c r="H1616" s="19" t="inlineStr">
        <is>
          <t>2</t>
        </is>
      </c>
      <c r="I1616" s="19" t="n"/>
      <c r="J1616" s="19" t="n"/>
      <c r="K1616" s="19" t="inlineStr">
        <is>
          <t>2</t>
        </is>
      </c>
      <c r="L1616" t="inlineStr">
        <is>
          <t>2026-08-08</t>
        </is>
      </c>
      <c r="N1616" t="inlineStr">
        <is>
          <t>IN_SCOPE_FINAL; SOURCE_CFG=IA-ST-CFG-0228; MARKET=SCHNAPP; STATUS=IN OEM / EU PACKAGE</t>
        </is>
      </c>
      <c r="O1616" t="inlineStr">
        <is>
          <t>2026-08-10T19:29:54Z</t>
        </is>
      </c>
      <c r="P1616" t="inlineStr">
        <is>
          <t>2026-08-10T19:29:54Z</t>
        </is>
      </c>
    </row>
    <row r="1617">
      <c r="A1617" s="19" t="inlineStr">
        <is>
          <t>1616</t>
        </is>
      </c>
      <c r="B1617" s="19" t="inlineStr">
        <is>
          <t>SC-1013980-ST-072-STD-20</t>
        </is>
      </c>
      <c r="C1617" t="inlineStr">
        <is>
          <t>1013980 → ST-072-STD-20</t>
        </is>
      </c>
      <c r="D1617" s="19" t="inlineStr">
        <is>
          <t>2</t>
        </is>
      </c>
      <c r="E1617" s="19" t="inlineStr">
        <is>
          <t>1154</t>
        </is>
      </c>
      <c r="F1617" s="19" t="inlineStr">
        <is>
          <t>198</t>
        </is>
      </c>
      <c r="G1617" s="19" t="n"/>
      <c r="H1617" s="19" t="inlineStr">
        <is>
          <t>2</t>
        </is>
      </c>
      <c r="I1617" s="19" t="n"/>
      <c r="J1617" s="19" t="n"/>
      <c r="K1617" s="19" t="inlineStr">
        <is>
          <t>2</t>
        </is>
      </c>
      <c r="L1617" t="inlineStr">
        <is>
          <t>2026-08-08</t>
        </is>
      </c>
      <c r="N1617" t="inlineStr">
        <is>
          <t>IN_SCOPE_FINAL; SOURCE_CFG=IA-ST-CFG-0229; MARKET=SCHNAPP; STATUS=IN OEM / EU PACKAGE</t>
        </is>
      </c>
      <c r="O1617" t="inlineStr">
        <is>
          <t>2026-08-10T19:29:54Z</t>
        </is>
      </c>
      <c r="P1617" t="inlineStr">
        <is>
          <t>2026-08-10T19:29:54Z</t>
        </is>
      </c>
    </row>
    <row r="1618">
      <c r="A1618" s="19" t="inlineStr">
        <is>
          <t>1617</t>
        </is>
      </c>
      <c r="B1618" s="19" t="inlineStr">
        <is>
          <t>SC-1012379-ST-072-STD-21</t>
        </is>
      </c>
      <c r="C1618" t="inlineStr">
        <is>
          <t>1012379 → ST-072-STD-21</t>
        </is>
      </c>
      <c r="D1618" s="19" t="inlineStr">
        <is>
          <t>2</t>
        </is>
      </c>
      <c r="E1618" s="19" t="inlineStr">
        <is>
          <t>618</t>
        </is>
      </c>
      <c r="F1618" s="19" t="inlineStr">
        <is>
          <t>199</t>
        </is>
      </c>
      <c r="G1618" s="19" t="n"/>
      <c r="H1618" s="19" t="inlineStr">
        <is>
          <t>2</t>
        </is>
      </c>
      <c r="I1618" s="19" t="n"/>
      <c r="J1618" s="19" t="n"/>
      <c r="K1618" s="19" t="inlineStr">
        <is>
          <t>2</t>
        </is>
      </c>
      <c r="L1618" t="inlineStr">
        <is>
          <t>2026-08-08</t>
        </is>
      </c>
      <c r="N1618" t="inlineStr">
        <is>
          <t>IN_SCOPE_FINAL; SOURCE_CFG=IA-ST-CFG-0230; MARKET=SCHNAPP; STATUS=IN OEM / EU PACKAGE</t>
        </is>
      </c>
      <c r="O1618" t="inlineStr">
        <is>
          <t>2026-08-10T19:29:54Z</t>
        </is>
      </c>
      <c r="P1618" t="inlineStr">
        <is>
          <t>2026-08-10T19:29:54Z</t>
        </is>
      </c>
    </row>
    <row r="1619">
      <c r="A1619" s="19" t="inlineStr">
        <is>
          <t>1618</t>
        </is>
      </c>
      <c r="B1619" s="19" t="inlineStr">
        <is>
          <t>SC-1012382-ST-072-STD-21</t>
        </is>
      </c>
      <c r="C1619" t="inlineStr">
        <is>
          <t>1012382 → ST-072-STD-21</t>
        </is>
      </c>
      <c r="D1619" s="19" t="inlineStr">
        <is>
          <t>2</t>
        </is>
      </c>
      <c r="E1619" s="19" t="inlineStr">
        <is>
          <t>619</t>
        </is>
      </c>
      <c r="F1619" s="19" t="inlineStr">
        <is>
          <t>199</t>
        </is>
      </c>
      <c r="G1619" s="19" t="n"/>
      <c r="H1619" s="19" t="inlineStr">
        <is>
          <t>2</t>
        </is>
      </c>
      <c r="I1619" s="19" t="n"/>
      <c r="J1619" s="19" t="n"/>
      <c r="K1619" s="19" t="inlineStr">
        <is>
          <t>2</t>
        </is>
      </c>
      <c r="L1619" t="inlineStr">
        <is>
          <t>2026-08-08</t>
        </is>
      </c>
      <c r="N1619" t="inlineStr">
        <is>
          <t>IN_SCOPE_FINAL; SOURCE_CFG=IA-ST-CFG-0230; MARKET=SCHNAPP; STATUS=IN OEM / EU PACKAGE</t>
        </is>
      </c>
      <c r="O1619" t="inlineStr">
        <is>
          <t>2026-08-10T19:29:54Z</t>
        </is>
      </c>
      <c r="P1619" t="inlineStr">
        <is>
          <t>2026-08-10T19:29:54Z</t>
        </is>
      </c>
    </row>
    <row r="1620">
      <c r="A1620" s="19" t="inlineStr">
        <is>
          <t>1619</t>
        </is>
      </c>
      <c r="B1620" s="19" t="inlineStr">
        <is>
          <t>SC-1012383-ST-072-STD-21</t>
        </is>
      </c>
      <c r="C1620" t="inlineStr">
        <is>
          <t>1012383 → ST-072-STD-21</t>
        </is>
      </c>
      <c r="D1620" s="19" t="inlineStr">
        <is>
          <t>2</t>
        </is>
      </c>
      <c r="E1620" s="19" t="inlineStr">
        <is>
          <t>620</t>
        </is>
      </c>
      <c r="F1620" s="19" t="inlineStr">
        <is>
          <t>199</t>
        </is>
      </c>
      <c r="G1620" s="19" t="n"/>
      <c r="H1620" s="19" t="inlineStr">
        <is>
          <t>2</t>
        </is>
      </c>
      <c r="I1620" s="19" t="n"/>
      <c r="J1620" s="19" t="n"/>
      <c r="K1620" s="19" t="inlineStr">
        <is>
          <t>2</t>
        </is>
      </c>
      <c r="L1620" t="inlineStr">
        <is>
          <t>2026-08-08</t>
        </is>
      </c>
      <c r="N1620" t="inlineStr">
        <is>
          <t>IN_SCOPE_FINAL; SOURCE_CFG=IA-ST-CFG-0230; MARKET=SCHNAPP; STATUS=IN OEM / EU PACKAGE</t>
        </is>
      </c>
      <c r="O1620" t="inlineStr">
        <is>
          <t>2026-08-10T19:29:54Z</t>
        </is>
      </c>
      <c r="P1620" t="inlineStr">
        <is>
          <t>2026-08-10T19:29:54Z</t>
        </is>
      </c>
    </row>
    <row r="1621">
      <c r="A1621" s="19" t="inlineStr">
        <is>
          <t>1620</t>
        </is>
      </c>
      <c r="B1621" s="19" t="inlineStr">
        <is>
          <t>SC-1012386-ST-072-STD-21</t>
        </is>
      </c>
      <c r="C1621" t="inlineStr">
        <is>
          <t>1012386 → ST-072-STD-21</t>
        </is>
      </c>
      <c r="D1621" s="19" t="inlineStr">
        <is>
          <t>2</t>
        </is>
      </c>
      <c r="E1621" s="19" t="inlineStr">
        <is>
          <t>621</t>
        </is>
      </c>
      <c r="F1621" s="19" t="inlineStr">
        <is>
          <t>199</t>
        </is>
      </c>
      <c r="G1621" s="19" t="n"/>
      <c r="H1621" s="19" t="inlineStr">
        <is>
          <t>2</t>
        </is>
      </c>
      <c r="I1621" s="19" t="n"/>
      <c r="J1621" s="19" t="n"/>
      <c r="K1621" s="19" t="inlineStr">
        <is>
          <t>2</t>
        </is>
      </c>
      <c r="L1621" t="inlineStr">
        <is>
          <t>2026-08-08</t>
        </is>
      </c>
      <c r="N1621" t="inlineStr">
        <is>
          <t>IN_SCOPE_FINAL; SOURCE_CFG=IA-ST-CFG-0230; MARKET=SCHNAPP; STATUS=IN OEM / EU PACKAGE</t>
        </is>
      </c>
      <c r="O1621" t="inlineStr">
        <is>
          <t>2026-08-10T19:29:54Z</t>
        </is>
      </c>
      <c r="P1621" t="inlineStr">
        <is>
          <t>2026-08-10T19:29:54Z</t>
        </is>
      </c>
    </row>
    <row r="1622">
      <c r="A1622" s="19" t="inlineStr">
        <is>
          <t>1621</t>
        </is>
      </c>
      <c r="B1622" s="19" t="inlineStr">
        <is>
          <t>SC-1012389-ST-072-STD-21</t>
        </is>
      </c>
      <c r="C1622" t="inlineStr">
        <is>
          <t>1012389 → ST-072-STD-21</t>
        </is>
      </c>
      <c r="D1622" s="19" t="inlineStr">
        <is>
          <t>2</t>
        </is>
      </c>
      <c r="E1622" s="19" t="inlineStr">
        <is>
          <t>622</t>
        </is>
      </c>
      <c r="F1622" s="19" t="inlineStr">
        <is>
          <t>199</t>
        </is>
      </c>
      <c r="G1622" s="19" t="n"/>
      <c r="H1622" s="19" t="inlineStr">
        <is>
          <t>2</t>
        </is>
      </c>
      <c r="I1622" s="19" t="n"/>
      <c r="J1622" s="19" t="n"/>
      <c r="K1622" s="19" t="inlineStr">
        <is>
          <t>2</t>
        </is>
      </c>
      <c r="L1622" t="inlineStr">
        <is>
          <t>2026-08-08</t>
        </is>
      </c>
      <c r="N1622" t="inlineStr">
        <is>
          <t>IN_SCOPE_FINAL; SOURCE_CFG=IA-ST-CFG-0230; MARKET=SCHNAPP; STATUS=IN OEM / EU PACKAGE</t>
        </is>
      </c>
      <c r="O1622" t="inlineStr">
        <is>
          <t>2026-08-10T19:29:54Z</t>
        </is>
      </c>
      <c r="P1622" t="inlineStr">
        <is>
          <t>2026-08-10T19:29:54Z</t>
        </is>
      </c>
    </row>
    <row r="1623">
      <c r="A1623" s="19" t="inlineStr">
        <is>
          <t>1622</t>
        </is>
      </c>
      <c r="B1623" s="19" t="inlineStr">
        <is>
          <t>SC-1012391-ST-072-STD-21</t>
        </is>
      </c>
      <c r="C1623" t="inlineStr">
        <is>
          <t>1012391 → ST-072-STD-21</t>
        </is>
      </c>
      <c r="D1623" s="19" t="inlineStr">
        <is>
          <t>2</t>
        </is>
      </c>
      <c r="E1623" s="19" t="inlineStr">
        <is>
          <t>623</t>
        </is>
      </c>
      <c r="F1623" s="19" t="inlineStr">
        <is>
          <t>199</t>
        </is>
      </c>
      <c r="G1623" s="19" t="n"/>
      <c r="H1623" s="19" t="inlineStr">
        <is>
          <t>2</t>
        </is>
      </c>
      <c r="I1623" s="19" t="n"/>
      <c r="J1623" s="19" t="n"/>
      <c r="K1623" s="19" t="inlineStr">
        <is>
          <t>2</t>
        </is>
      </c>
      <c r="L1623" t="inlineStr">
        <is>
          <t>2026-08-08</t>
        </is>
      </c>
      <c r="N1623" t="inlineStr">
        <is>
          <t>IN_SCOPE_FINAL; SOURCE_CFG=IA-ST-CFG-0230; MARKET=SCHNAPP; STATUS=IN OEM / EU PACKAGE</t>
        </is>
      </c>
      <c r="O1623" t="inlineStr">
        <is>
          <t>2026-08-10T19:29:54Z</t>
        </is>
      </c>
      <c r="P1623" t="inlineStr">
        <is>
          <t>2026-08-10T19:29:54Z</t>
        </is>
      </c>
    </row>
    <row r="1624">
      <c r="A1624" s="19" t="inlineStr">
        <is>
          <t>1623</t>
        </is>
      </c>
      <c r="B1624" s="19" t="inlineStr">
        <is>
          <t>SC-1012392-ST-072-STD-21</t>
        </is>
      </c>
      <c r="C1624" t="inlineStr">
        <is>
          <t>1012392 → ST-072-STD-21</t>
        </is>
      </c>
      <c r="D1624" s="19" t="inlineStr">
        <is>
          <t>2</t>
        </is>
      </c>
      <c r="E1624" s="19" t="inlineStr">
        <is>
          <t>624</t>
        </is>
      </c>
      <c r="F1624" s="19" t="inlineStr">
        <is>
          <t>199</t>
        </is>
      </c>
      <c r="G1624" s="19" t="n"/>
      <c r="H1624" s="19" t="inlineStr">
        <is>
          <t>2</t>
        </is>
      </c>
      <c r="I1624" s="19" t="n"/>
      <c r="J1624" s="19" t="n"/>
      <c r="K1624" s="19" t="inlineStr">
        <is>
          <t>2</t>
        </is>
      </c>
      <c r="L1624" t="inlineStr">
        <is>
          <t>2026-08-08</t>
        </is>
      </c>
      <c r="N1624" t="inlineStr">
        <is>
          <t>IN_SCOPE_FINAL; SOURCE_CFG=IA-ST-CFG-0230; MARKET=SCHNAPP; STATUS=IN OEM / EU PACKAGE</t>
        </is>
      </c>
      <c r="O1624" t="inlineStr">
        <is>
          <t>2026-08-10T19:29:54Z</t>
        </is>
      </c>
      <c r="P1624" t="inlineStr">
        <is>
          <t>2026-08-10T19:29:54Z</t>
        </is>
      </c>
    </row>
    <row r="1625">
      <c r="A1625" s="19" t="inlineStr">
        <is>
          <t>1624</t>
        </is>
      </c>
      <c r="B1625" s="19" t="inlineStr">
        <is>
          <t>SC-1012394-ST-072-STD-21</t>
        </is>
      </c>
      <c r="C1625" t="inlineStr">
        <is>
          <t>1012394 → ST-072-STD-21</t>
        </is>
      </c>
      <c r="D1625" s="19" t="inlineStr">
        <is>
          <t>2</t>
        </is>
      </c>
      <c r="E1625" s="19" t="inlineStr">
        <is>
          <t>625</t>
        </is>
      </c>
      <c r="F1625" s="19" t="inlineStr">
        <is>
          <t>199</t>
        </is>
      </c>
      <c r="G1625" s="19" t="n"/>
      <c r="H1625" s="19" t="inlineStr">
        <is>
          <t>2</t>
        </is>
      </c>
      <c r="I1625" s="19" t="n"/>
      <c r="J1625" s="19" t="n"/>
      <c r="K1625" s="19" t="inlineStr">
        <is>
          <t>2</t>
        </is>
      </c>
      <c r="L1625" t="inlineStr">
        <is>
          <t>2026-08-08</t>
        </is>
      </c>
      <c r="N1625" t="inlineStr">
        <is>
          <t>IN_SCOPE_FINAL; SOURCE_CFG=IA-ST-CFG-0230; MARKET=SCHNAPP; STATUS=IN OEM / EU PACKAGE</t>
        </is>
      </c>
      <c r="O1625" t="inlineStr">
        <is>
          <t>2026-08-10T19:29:54Z</t>
        </is>
      </c>
      <c r="P1625" t="inlineStr">
        <is>
          <t>2026-08-10T19:29:54Z</t>
        </is>
      </c>
    </row>
    <row r="1626">
      <c r="A1626" s="19" t="inlineStr">
        <is>
          <t>1625</t>
        </is>
      </c>
      <c r="B1626" s="19" t="inlineStr">
        <is>
          <t>SC-1013610-ST-072-STD-21</t>
        </is>
      </c>
      <c r="C1626" t="inlineStr">
        <is>
          <t>1013610 → ST-072-STD-21</t>
        </is>
      </c>
      <c r="D1626" s="19" t="inlineStr">
        <is>
          <t>2</t>
        </is>
      </c>
      <c r="E1626" s="19" t="inlineStr">
        <is>
          <t>1042</t>
        </is>
      </c>
      <c r="F1626" s="19" t="inlineStr">
        <is>
          <t>199</t>
        </is>
      </c>
      <c r="G1626" s="19" t="n"/>
      <c r="H1626" s="19" t="inlineStr">
        <is>
          <t>2</t>
        </is>
      </c>
      <c r="I1626" s="19" t="n"/>
      <c r="J1626" s="19" t="n"/>
      <c r="K1626" s="19" t="inlineStr">
        <is>
          <t>2</t>
        </is>
      </c>
      <c r="L1626" t="inlineStr">
        <is>
          <t>2026-08-08</t>
        </is>
      </c>
      <c r="N1626" t="inlineStr">
        <is>
          <t>IN_SCOPE_FINAL; SOURCE_CFG=IA-ST-CFG-0230; MARKET=SCHNAPP; STATUS=IN OEM / EU PACKAGE</t>
        </is>
      </c>
      <c r="O1626" t="inlineStr">
        <is>
          <t>2026-08-10T19:29:54Z</t>
        </is>
      </c>
      <c r="P1626" t="inlineStr">
        <is>
          <t>2026-08-10T19:29:54Z</t>
        </is>
      </c>
    </row>
    <row r="1627">
      <c r="A1627" s="19" t="inlineStr">
        <is>
          <t>1626</t>
        </is>
      </c>
      <c r="B1627" s="19" t="inlineStr">
        <is>
          <t>SC-1014328-ST-072-STD-22</t>
        </is>
      </c>
      <c r="C1627" t="inlineStr">
        <is>
          <t>1014328 → ST-072-STD-22</t>
        </is>
      </c>
      <c r="D1627" s="19" t="inlineStr">
        <is>
          <t>2</t>
        </is>
      </c>
      <c r="E1627" s="19" t="inlineStr">
        <is>
          <t>1306</t>
        </is>
      </c>
      <c r="F1627" s="19" t="inlineStr">
        <is>
          <t>200</t>
        </is>
      </c>
      <c r="G1627" s="19" t="n"/>
      <c r="H1627" s="19" t="inlineStr">
        <is>
          <t>2</t>
        </is>
      </c>
      <c r="I1627" s="19" t="n"/>
      <c r="J1627" s="19" t="n"/>
      <c r="K1627" s="19" t="inlineStr">
        <is>
          <t>2</t>
        </is>
      </c>
      <c r="L1627" t="inlineStr">
        <is>
          <t>2026-08-08</t>
        </is>
      </c>
      <c r="N1627" t="inlineStr">
        <is>
          <t>IN_SCOPE_FINAL; SOURCE_CFG=IA-ST-CFG-0231; MARKET=RAYA ENERGY INC. KANADA; STATUS=IN OEM / EU PACKAGE</t>
        </is>
      </c>
      <c r="O1627" t="inlineStr">
        <is>
          <t>2026-08-10T19:29:54Z</t>
        </is>
      </c>
      <c r="P1627" t="inlineStr">
        <is>
          <t>2026-08-10T19:29:54Z</t>
        </is>
      </c>
    </row>
    <row r="1628">
      <c r="A1628" s="19" t="inlineStr">
        <is>
          <t>1627</t>
        </is>
      </c>
      <c r="B1628" s="19" t="inlineStr">
        <is>
          <t>SC-1012001-ST-072-STD-22</t>
        </is>
      </c>
      <c r="C1628" t="inlineStr">
        <is>
          <t>1012001 → ST-072-STD-22</t>
        </is>
      </c>
      <c r="D1628" s="19" t="inlineStr">
        <is>
          <t>2</t>
        </is>
      </c>
      <c r="E1628" s="19" t="inlineStr">
        <is>
          <t>462</t>
        </is>
      </c>
      <c r="F1628" s="19" t="inlineStr">
        <is>
          <t>200</t>
        </is>
      </c>
      <c r="G1628" s="19" t="n"/>
      <c r="H1628" s="19" t="inlineStr">
        <is>
          <t>2</t>
        </is>
      </c>
      <c r="I1628" s="19" t="n"/>
      <c r="J1628" s="19" t="n"/>
      <c r="K1628" s="19" t="inlineStr">
        <is>
          <t>2</t>
        </is>
      </c>
      <c r="L1628" t="inlineStr">
        <is>
          <t>2026-08-08</t>
        </is>
      </c>
      <c r="N1628" t="inlineStr">
        <is>
          <t>IN_SCOPE_FINAL; SOURCE_CFG=IA-ST-CFG-0231; MARKET=None; STATUS=IN OEM / EU PACKAGE</t>
        </is>
      </c>
      <c r="O1628" t="inlineStr">
        <is>
          <t>2026-08-10T19:29:54Z</t>
        </is>
      </c>
      <c r="P1628" t="inlineStr">
        <is>
          <t>2026-08-10T19:29:54Z</t>
        </is>
      </c>
    </row>
    <row r="1629">
      <c r="A1629" s="19" t="inlineStr">
        <is>
          <t>1628</t>
        </is>
      </c>
      <c r="B1629" s="19" t="inlineStr">
        <is>
          <t>SC-1012341-ST-072-STD-22</t>
        </is>
      </c>
      <c r="C1629" t="inlineStr">
        <is>
          <t>1012341 → ST-072-STD-22</t>
        </is>
      </c>
      <c r="D1629" s="19" t="inlineStr">
        <is>
          <t>2</t>
        </is>
      </c>
      <c r="E1629" s="19" t="inlineStr">
        <is>
          <t>608</t>
        </is>
      </c>
      <c r="F1629" s="19" t="inlineStr">
        <is>
          <t>200</t>
        </is>
      </c>
      <c r="G1629" s="19" t="n"/>
      <c r="H1629" s="19" t="inlineStr">
        <is>
          <t>2</t>
        </is>
      </c>
      <c r="I1629" s="19" t="n"/>
      <c r="J1629" s="19" t="n"/>
      <c r="K1629" s="19" t="inlineStr">
        <is>
          <t>2</t>
        </is>
      </c>
      <c r="L1629" t="inlineStr">
        <is>
          <t>2026-08-08</t>
        </is>
      </c>
      <c r="N1629" t="inlineStr">
        <is>
          <t>IN_SCOPE_FINAL; SOURCE_CFG=IA-ST-CFG-0231; MARKET=None; STATUS=IN OEM / EU PACKAGE</t>
        </is>
      </c>
      <c r="O1629" t="inlineStr">
        <is>
          <t>2026-08-10T19:29:54Z</t>
        </is>
      </c>
      <c r="P1629" t="inlineStr">
        <is>
          <t>2026-08-10T19:29:54Z</t>
        </is>
      </c>
    </row>
    <row r="1630">
      <c r="A1630" s="19" t="inlineStr">
        <is>
          <t>1629</t>
        </is>
      </c>
      <c r="B1630" s="19" t="inlineStr">
        <is>
          <t>SC-1012345-ST-072-STD-22</t>
        </is>
      </c>
      <c r="C1630" t="inlineStr">
        <is>
          <t>1012345 → ST-072-STD-22</t>
        </is>
      </c>
      <c r="D1630" s="19" t="inlineStr">
        <is>
          <t>2</t>
        </is>
      </c>
      <c r="E1630" s="19" t="inlineStr">
        <is>
          <t>610</t>
        </is>
      </c>
      <c r="F1630" s="19" t="inlineStr">
        <is>
          <t>200</t>
        </is>
      </c>
      <c r="G1630" s="19" t="n"/>
      <c r="H1630" s="19" t="inlineStr">
        <is>
          <t>2</t>
        </is>
      </c>
      <c r="I1630" s="19" t="n"/>
      <c r="J1630" s="19" t="n"/>
      <c r="K1630" s="19" t="inlineStr">
        <is>
          <t>2</t>
        </is>
      </c>
      <c r="L1630" t="inlineStr">
        <is>
          <t>2026-08-08</t>
        </is>
      </c>
      <c r="N1630" t="inlineStr">
        <is>
          <t>IN_SCOPE_FINAL; SOURCE_CFG=IA-ST-CFG-0231; MARKET=None; STATUS=IN OEM / EU PACKAGE</t>
        </is>
      </c>
      <c r="O1630" t="inlineStr">
        <is>
          <t>2026-08-10T19:29:54Z</t>
        </is>
      </c>
      <c r="P1630" t="inlineStr">
        <is>
          <t>2026-08-10T19:29:54Z</t>
        </is>
      </c>
    </row>
    <row r="1631">
      <c r="A1631" s="19" t="inlineStr">
        <is>
          <t>1630</t>
        </is>
      </c>
      <c r="B1631" s="19" t="inlineStr">
        <is>
          <t>SC-1012346-ST-072-STD-22</t>
        </is>
      </c>
      <c r="C1631" t="inlineStr">
        <is>
          <t>1012346 → ST-072-STD-22</t>
        </is>
      </c>
      <c r="D1631" s="19" t="inlineStr">
        <is>
          <t>2</t>
        </is>
      </c>
      <c r="E1631" s="19" t="inlineStr">
        <is>
          <t>611</t>
        </is>
      </c>
      <c r="F1631" s="19" t="inlineStr">
        <is>
          <t>200</t>
        </is>
      </c>
      <c r="G1631" s="19" t="n"/>
      <c r="H1631" s="19" t="inlineStr">
        <is>
          <t>2</t>
        </is>
      </c>
      <c r="I1631" s="19" t="n"/>
      <c r="J1631" s="19" t="n"/>
      <c r="K1631" s="19" t="inlineStr">
        <is>
          <t>2</t>
        </is>
      </c>
      <c r="L1631" t="inlineStr">
        <is>
          <t>2026-08-08</t>
        </is>
      </c>
      <c r="N1631" t="inlineStr">
        <is>
          <t>IN_SCOPE_FINAL; SOURCE_CFG=IA-ST-CFG-0231; MARKET=None; STATUS=IN OEM / EU PACKAGE</t>
        </is>
      </c>
      <c r="O1631" t="inlineStr">
        <is>
          <t>2026-08-10T19:29:54Z</t>
        </is>
      </c>
      <c r="P1631" t="inlineStr">
        <is>
          <t>2026-08-10T19:29:54Z</t>
        </is>
      </c>
    </row>
    <row r="1632">
      <c r="A1632" s="19" t="inlineStr">
        <is>
          <t>1631</t>
        </is>
      </c>
      <c r="B1632" s="19" t="inlineStr">
        <is>
          <t>SC-1012431-ST-072-STD-22</t>
        </is>
      </c>
      <c r="C1632" t="inlineStr">
        <is>
          <t>1012431 → ST-072-STD-22</t>
        </is>
      </c>
      <c r="D1632" s="19" t="inlineStr">
        <is>
          <t>2</t>
        </is>
      </c>
      <c r="E1632" s="19" t="inlineStr">
        <is>
          <t>640</t>
        </is>
      </c>
      <c r="F1632" s="19" t="inlineStr">
        <is>
          <t>200</t>
        </is>
      </c>
      <c r="G1632" s="19" t="n"/>
      <c r="H1632" s="19" t="inlineStr">
        <is>
          <t>2</t>
        </is>
      </c>
      <c r="I1632" s="19" t="n"/>
      <c r="J1632" s="19" t="n"/>
      <c r="K1632" s="19" t="inlineStr">
        <is>
          <t>2</t>
        </is>
      </c>
      <c r="L1632" t="inlineStr">
        <is>
          <t>2026-08-08</t>
        </is>
      </c>
      <c r="N1632" t="inlineStr">
        <is>
          <t>IN_SCOPE_FINAL; SOURCE_CFG=IA-ST-CFG-0231; MARKET=None; STATUS=IN OEM / EU PACKAGE</t>
        </is>
      </c>
      <c r="O1632" t="inlineStr">
        <is>
          <t>2026-08-10T19:29:54Z</t>
        </is>
      </c>
      <c r="P1632" t="inlineStr">
        <is>
          <t>2026-08-10T19:29:54Z</t>
        </is>
      </c>
    </row>
    <row r="1633">
      <c r="A1633" s="19" t="inlineStr">
        <is>
          <t>1632</t>
        </is>
      </c>
      <c r="B1633" s="19" t="inlineStr">
        <is>
          <t>SC-1012904-ST-072-STD-22</t>
        </is>
      </c>
      <c r="C1633" t="inlineStr">
        <is>
          <t>1012904 → ST-072-STD-22</t>
        </is>
      </c>
      <c r="D1633" s="19" t="inlineStr">
        <is>
          <t>2</t>
        </is>
      </c>
      <c r="E1633" s="19" t="inlineStr">
        <is>
          <t>854</t>
        </is>
      </c>
      <c r="F1633" s="19" t="inlineStr">
        <is>
          <t>200</t>
        </is>
      </c>
      <c r="G1633" s="19" t="n"/>
      <c r="H1633" s="19" t="inlineStr">
        <is>
          <t>2</t>
        </is>
      </c>
      <c r="I1633" s="19" t="n"/>
      <c r="J1633" s="19" t="n"/>
      <c r="K1633" s="19" t="inlineStr">
        <is>
          <t>2</t>
        </is>
      </c>
      <c r="L1633" t="inlineStr">
        <is>
          <t>2026-08-08</t>
        </is>
      </c>
      <c r="N1633" t="inlineStr">
        <is>
          <t>IN_SCOPE_FINAL; SOURCE_CFG=IA-ST-CFG-0231; MARKET=SHAWKAT; STATUS=IN OEM / EU PACKAGE</t>
        </is>
      </c>
      <c r="O1633" t="inlineStr">
        <is>
          <t>2026-08-10T19:29:54Z</t>
        </is>
      </c>
      <c r="P1633" t="inlineStr">
        <is>
          <t>2026-08-10T19:29:54Z</t>
        </is>
      </c>
    </row>
    <row r="1634">
      <c r="A1634" s="19" t="inlineStr">
        <is>
          <t>1633</t>
        </is>
      </c>
      <c r="B1634" s="19" t="inlineStr">
        <is>
          <t>SC-1013523-ST-072-STD-22</t>
        </is>
      </c>
      <c r="C1634" t="inlineStr">
        <is>
          <t>1013523 → ST-072-STD-22</t>
        </is>
      </c>
      <c r="D1634" s="19" t="inlineStr">
        <is>
          <t>2</t>
        </is>
      </c>
      <c r="E1634" s="19" t="inlineStr">
        <is>
          <t>1021</t>
        </is>
      </c>
      <c r="F1634" s="19" t="inlineStr">
        <is>
          <t>200</t>
        </is>
      </c>
      <c r="G1634" s="19" t="n"/>
      <c r="H1634" s="19" t="inlineStr">
        <is>
          <t>2</t>
        </is>
      </c>
      <c r="I1634" s="19" t="n"/>
      <c r="J1634" s="19" t="n"/>
      <c r="K1634" s="19" t="inlineStr">
        <is>
          <t>2</t>
        </is>
      </c>
      <c r="L1634" t="inlineStr">
        <is>
          <t>2026-08-08</t>
        </is>
      </c>
      <c r="N1634" t="inlineStr">
        <is>
          <t>IN_SCOPE_FINAL; SOURCE_CFG=IA-ST-CFG-0231; MARKET=None; STATUS=IN OEM / EU PACKAGE</t>
        </is>
      </c>
      <c r="O1634" t="inlineStr">
        <is>
          <t>2026-08-10T19:29:54Z</t>
        </is>
      </c>
      <c r="P1634" t="inlineStr">
        <is>
          <t>2026-08-10T19:29:54Z</t>
        </is>
      </c>
    </row>
    <row r="1635">
      <c r="A1635" s="19" t="inlineStr">
        <is>
          <t>1634</t>
        </is>
      </c>
      <c r="B1635" s="19" t="inlineStr">
        <is>
          <t>SC-1014154-ST-072-STD-22</t>
        </is>
      </c>
      <c r="C1635" t="inlineStr">
        <is>
          <t>1014154 → ST-072-STD-22</t>
        </is>
      </c>
      <c r="D1635" s="19" t="inlineStr">
        <is>
          <t>2</t>
        </is>
      </c>
      <c r="E1635" s="19" t="inlineStr">
        <is>
          <t>1240</t>
        </is>
      </c>
      <c r="F1635" s="19" t="inlineStr">
        <is>
          <t>200</t>
        </is>
      </c>
      <c r="G1635" s="19" t="n"/>
      <c r="H1635" s="19" t="inlineStr">
        <is>
          <t>2</t>
        </is>
      </c>
      <c r="I1635" s="19" t="n"/>
      <c r="J1635" s="19" t="n"/>
      <c r="K1635" s="19" t="inlineStr">
        <is>
          <t>2</t>
        </is>
      </c>
      <c r="L1635" t="inlineStr">
        <is>
          <t>2026-08-08</t>
        </is>
      </c>
      <c r="N1635" t="inlineStr">
        <is>
          <t>IN_SCOPE_FINAL; SOURCE_CFG=IA-ST-CFG-0231; MARKET=None; STATUS=IN OEM / EU PACKAGE</t>
        </is>
      </c>
      <c r="O1635" t="inlineStr">
        <is>
          <t>2026-08-10T19:29:54Z</t>
        </is>
      </c>
      <c r="P1635" t="inlineStr">
        <is>
          <t>2026-08-10T19:29:54Z</t>
        </is>
      </c>
    </row>
    <row r="1636">
      <c r="A1636" s="19" t="inlineStr">
        <is>
          <t>1635</t>
        </is>
      </c>
      <c r="B1636" s="19" t="inlineStr">
        <is>
          <t>SC-1014987-ST-072-STD-22</t>
        </is>
      </c>
      <c r="C1636" t="inlineStr">
        <is>
          <t>1014987 → ST-072-STD-22</t>
        </is>
      </c>
      <c r="D1636" s="19" t="inlineStr">
        <is>
          <t>2</t>
        </is>
      </c>
      <c r="E1636" s="19" t="inlineStr">
        <is>
          <t>1748</t>
        </is>
      </c>
      <c r="F1636" s="19" t="inlineStr">
        <is>
          <t>200</t>
        </is>
      </c>
      <c r="G1636" s="19" t="n"/>
      <c r="H1636" s="19" t="inlineStr">
        <is>
          <t>2</t>
        </is>
      </c>
      <c r="I1636" s="19" t="n"/>
      <c r="J1636" s="19" t="n"/>
      <c r="K1636" s="19" t="inlineStr">
        <is>
          <t>2</t>
        </is>
      </c>
      <c r="L1636" t="inlineStr">
        <is>
          <t>2026-08-08</t>
        </is>
      </c>
      <c r="N1636" t="inlineStr">
        <is>
          <t>IN_SCOPE_FINAL; SOURCE_CFG=IA-ST-CFG-0231; MARKET=MISIR ALSAFA; STATUS=IN OEM / EU PACKAGE</t>
        </is>
      </c>
      <c r="O1636" t="inlineStr">
        <is>
          <t>2026-08-10T19:29:54Z</t>
        </is>
      </c>
      <c r="P1636" t="inlineStr">
        <is>
          <t>2026-08-10T19:29:54Z</t>
        </is>
      </c>
    </row>
    <row r="1637">
      <c r="A1637" s="19" t="inlineStr">
        <is>
          <t>1636</t>
        </is>
      </c>
      <c r="B1637" s="19" t="inlineStr">
        <is>
          <t>SC-1012474-ST-072-STD-22</t>
        </is>
      </c>
      <c r="C1637" t="inlineStr">
        <is>
          <t>1012474 → ST-072-STD-22</t>
        </is>
      </c>
      <c r="D1637" s="19" t="inlineStr">
        <is>
          <t>2</t>
        </is>
      </c>
      <c r="E1637" s="19" t="inlineStr">
        <is>
          <t>665</t>
        </is>
      </c>
      <c r="F1637" s="19" t="inlineStr">
        <is>
          <t>200</t>
        </is>
      </c>
      <c r="G1637" s="19" t="n"/>
      <c r="H1637" s="19" t="inlineStr">
        <is>
          <t>2</t>
        </is>
      </c>
      <c r="I1637" s="19" t="n"/>
      <c r="J1637" s="19" t="n"/>
      <c r="K1637" s="19" t="inlineStr">
        <is>
          <t>2</t>
        </is>
      </c>
      <c r="L1637" t="inlineStr">
        <is>
          <t>2026-08-08</t>
        </is>
      </c>
      <c r="N1637" t="inlineStr">
        <is>
          <t>IN_SCOPE_FINAL; SOURCE_CFG=IA-ST-CFG-0231; MARKET=None; STATUS=IN OEM / EU PACKAGE</t>
        </is>
      </c>
      <c r="O1637" t="inlineStr">
        <is>
          <t>2026-08-10T19:29:54Z</t>
        </is>
      </c>
      <c r="P1637" t="inlineStr">
        <is>
          <t>2026-08-10T19:29:54Z</t>
        </is>
      </c>
    </row>
    <row r="1638">
      <c r="A1638" s="19" t="inlineStr">
        <is>
          <t>1637</t>
        </is>
      </c>
      <c r="B1638" s="19" t="inlineStr">
        <is>
          <t>SC-1014180-ST-072-STD-22</t>
        </is>
      </c>
      <c r="C1638" t="inlineStr">
        <is>
          <t>1014180 → ST-072-STD-22</t>
        </is>
      </c>
      <c r="D1638" s="19" t="inlineStr">
        <is>
          <t>2</t>
        </is>
      </c>
      <c r="E1638" s="19" t="inlineStr">
        <is>
          <t>1257</t>
        </is>
      </c>
      <c r="F1638" s="19" t="inlineStr">
        <is>
          <t>200</t>
        </is>
      </c>
      <c r="G1638" s="19" t="n"/>
      <c r="H1638" s="19" t="inlineStr">
        <is>
          <t>2</t>
        </is>
      </c>
      <c r="I1638" s="19" t="n"/>
      <c r="J1638" s="19" t="n"/>
      <c r="K1638" s="19" t="inlineStr">
        <is>
          <t>2</t>
        </is>
      </c>
      <c r="L1638" t="inlineStr">
        <is>
          <t>2026-08-08</t>
        </is>
      </c>
      <c r="N1638" t="inlineStr">
        <is>
          <t>IN_SCOPE_FINAL; SOURCE_CFG=IA-ST-CFG-0231; MARKET=DOMİNİK CUM.PERFORMANCE BATT.; STATUS=IN OEM / EU PACKAGE</t>
        </is>
      </c>
      <c r="O1638" t="inlineStr">
        <is>
          <t>2026-08-10T19:29:54Z</t>
        </is>
      </c>
      <c r="P1638" t="inlineStr">
        <is>
          <t>2026-08-10T19:29:54Z</t>
        </is>
      </c>
    </row>
    <row r="1639">
      <c r="A1639" s="19" t="inlineStr">
        <is>
          <t>1638</t>
        </is>
      </c>
      <c r="B1639" s="19" t="inlineStr">
        <is>
          <t>SC-1011982-ST-072-STD-22</t>
        </is>
      </c>
      <c r="C1639" t="inlineStr">
        <is>
          <t>1011982 → ST-072-STD-22</t>
        </is>
      </c>
      <c r="D1639" s="19" t="inlineStr">
        <is>
          <t>2</t>
        </is>
      </c>
      <c r="E1639" s="19" t="inlineStr">
        <is>
          <t>451</t>
        </is>
      </c>
      <c r="F1639" s="19" t="inlineStr">
        <is>
          <t>200</t>
        </is>
      </c>
      <c r="G1639" s="19" t="n"/>
      <c r="H1639" s="19" t="inlineStr">
        <is>
          <t>2</t>
        </is>
      </c>
      <c r="I1639" s="19" t="n"/>
      <c r="J1639" s="19" t="n"/>
      <c r="K1639" s="19" t="inlineStr">
        <is>
          <t>2</t>
        </is>
      </c>
      <c r="L1639" t="inlineStr">
        <is>
          <t>2026-08-08</t>
        </is>
      </c>
      <c r="N1639" t="inlineStr">
        <is>
          <t>IN_SCOPE_FINAL; SOURCE_CFG=IA-ST-CFG-0231; MARKET=None; STATUS=IN OEM / EU PACKAGE</t>
        </is>
      </c>
      <c r="O1639" t="inlineStr">
        <is>
          <t>2026-08-10T19:29:54Z</t>
        </is>
      </c>
      <c r="P1639" t="inlineStr">
        <is>
          <t>2026-08-10T19:29:54Z</t>
        </is>
      </c>
    </row>
    <row r="1640">
      <c r="A1640" s="19" t="inlineStr">
        <is>
          <t>1639</t>
        </is>
      </c>
      <c r="B1640" s="19" t="inlineStr">
        <is>
          <t>SC-1011983-ST-072-STD-22</t>
        </is>
      </c>
      <c r="C1640" t="inlineStr">
        <is>
          <t>1011983 → ST-072-STD-22</t>
        </is>
      </c>
      <c r="D1640" s="19" t="inlineStr">
        <is>
          <t>2</t>
        </is>
      </c>
      <c r="E1640" s="19" t="inlineStr">
        <is>
          <t>452</t>
        </is>
      </c>
      <c r="F1640" s="19" t="inlineStr">
        <is>
          <t>200</t>
        </is>
      </c>
      <c r="G1640" s="19" t="n"/>
      <c r="H1640" s="19" t="inlineStr">
        <is>
          <t>2</t>
        </is>
      </c>
      <c r="I1640" s="19" t="n"/>
      <c r="J1640" s="19" t="n"/>
      <c r="K1640" s="19" t="inlineStr">
        <is>
          <t>2</t>
        </is>
      </c>
      <c r="L1640" t="inlineStr">
        <is>
          <t>2026-08-08</t>
        </is>
      </c>
      <c r="N1640" t="inlineStr">
        <is>
          <t>IN_SCOPE_FINAL; SOURCE_CFG=IA-ST-CFG-0231; MARKET=JANENE İSRAİL; STATUS=IN OEM / EU PACKAGE</t>
        </is>
      </c>
      <c r="O1640" t="inlineStr">
        <is>
          <t>2026-08-10T19:29:54Z</t>
        </is>
      </c>
      <c r="P1640" t="inlineStr">
        <is>
          <t>2026-08-10T19:29:54Z</t>
        </is>
      </c>
    </row>
    <row r="1641">
      <c r="A1641" s="19" t="inlineStr">
        <is>
          <t>1640</t>
        </is>
      </c>
      <c r="B1641" s="19" t="inlineStr">
        <is>
          <t>SC-1012138-ST-072-STD-22</t>
        </is>
      </c>
      <c r="C1641" t="inlineStr">
        <is>
          <t>1012138 → ST-072-STD-22</t>
        </is>
      </c>
      <c r="D1641" s="19" t="inlineStr">
        <is>
          <t>2</t>
        </is>
      </c>
      <c r="E1641" s="19" t="inlineStr">
        <is>
          <t>540</t>
        </is>
      </c>
      <c r="F1641" s="19" t="inlineStr">
        <is>
          <t>200</t>
        </is>
      </c>
      <c r="G1641" s="19" t="n"/>
      <c r="H1641" s="19" t="inlineStr">
        <is>
          <t>2</t>
        </is>
      </c>
      <c r="I1641" s="19" t="n"/>
      <c r="J1641" s="19" t="n"/>
      <c r="K1641" s="19" t="inlineStr">
        <is>
          <t>2</t>
        </is>
      </c>
      <c r="L1641" t="inlineStr">
        <is>
          <t>2026-08-08</t>
        </is>
      </c>
      <c r="N1641" t="inlineStr">
        <is>
          <t>IN_SCOPE_FINAL; SOURCE_CFG=IA-ST-CFG-0231; MARKET=None; STATUS=IN OEM / EU PACKAGE</t>
        </is>
      </c>
      <c r="O1641" t="inlineStr">
        <is>
          <t>2026-08-10T19:29:54Z</t>
        </is>
      </c>
      <c r="P1641" t="inlineStr">
        <is>
          <t>2026-08-10T19:29:54Z</t>
        </is>
      </c>
    </row>
    <row r="1642">
      <c r="A1642" s="19" t="inlineStr">
        <is>
          <t>1641</t>
        </is>
      </c>
      <c r="B1642" s="19" t="inlineStr">
        <is>
          <t>SC-1012342-ST-072-STD-22</t>
        </is>
      </c>
      <c r="C1642" t="inlineStr">
        <is>
          <t>1012342 → ST-072-STD-22</t>
        </is>
      </c>
      <c r="D1642" s="19" t="inlineStr">
        <is>
          <t>2</t>
        </is>
      </c>
      <c r="E1642" s="19" t="inlineStr">
        <is>
          <t>609</t>
        </is>
      </c>
      <c r="F1642" s="19" t="inlineStr">
        <is>
          <t>200</t>
        </is>
      </c>
      <c r="G1642" s="19" t="n"/>
      <c r="H1642" s="19" t="inlineStr">
        <is>
          <t>2</t>
        </is>
      </c>
      <c r="I1642" s="19" t="n"/>
      <c r="J1642" s="19" t="n"/>
      <c r="K1642" s="19" t="inlineStr">
        <is>
          <t>2</t>
        </is>
      </c>
      <c r="L1642" t="inlineStr">
        <is>
          <t>2026-08-08</t>
        </is>
      </c>
      <c r="N1642" t="inlineStr">
        <is>
          <t>IN_SCOPE_FINAL; SOURCE_CFG=IA-ST-CFG-0231; MARKET=None; STATUS=IN OEM / EU PACKAGE</t>
        </is>
      </c>
      <c r="O1642" t="inlineStr">
        <is>
          <t>2026-08-10T19:29:54Z</t>
        </is>
      </c>
      <c r="P1642" t="inlineStr">
        <is>
          <t>2026-08-10T19:29:54Z</t>
        </is>
      </c>
    </row>
    <row r="1643">
      <c r="A1643" s="19" t="inlineStr">
        <is>
          <t>1642</t>
        </is>
      </c>
      <c r="B1643" s="19" t="inlineStr">
        <is>
          <t>SC-1012870-ST-072-STD-22</t>
        </is>
      </c>
      <c r="C1643" t="inlineStr">
        <is>
          <t>1012870 → ST-072-STD-22</t>
        </is>
      </c>
      <c r="D1643" s="19" t="inlineStr">
        <is>
          <t>2</t>
        </is>
      </c>
      <c r="E1643" s="19" t="inlineStr">
        <is>
          <t>827</t>
        </is>
      </c>
      <c r="F1643" s="19" t="inlineStr">
        <is>
          <t>200</t>
        </is>
      </c>
      <c r="G1643" s="19" t="n"/>
      <c r="H1643" s="19" t="inlineStr">
        <is>
          <t>2</t>
        </is>
      </c>
      <c r="I1643" s="19" t="n"/>
      <c r="J1643" s="19" t="n"/>
      <c r="K1643" s="19" t="inlineStr">
        <is>
          <t>2</t>
        </is>
      </c>
      <c r="L1643" t="inlineStr">
        <is>
          <t>2026-08-08</t>
        </is>
      </c>
      <c r="N1643" t="inlineStr">
        <is>
          <t>IN_SCOPE_FINAL; SOURCE_CFG=IA-ST-CFG-0231; MARKET=SHAWKAT; STATUS=IN OEM / EU PACKAGE</t>
        </is>
      </c>
      <c r="O1643" t="inlineStr">
        <is>
          <t>2026-08-10T19:29:54Z</t>
        </is>
      </c>
      <c r="P1643" t="inlineStr">
        <is>
          <t>2026-08-10T19:29:54Z</t>
        </is>
      </c>
    </row>
    <row r="1644">
      <c r="A1644" s="19" t="inlineStr">
        <is>
          <t>1643</t>
        </is>
      </c>
      <c r="B1644" s="19" t="inlineStr">
        <is>
          <t>SC-1013946-ST-072-STD-22</t>
        </is>
      </c>
      <c r="C1644" t="inlineStr">
        <is>
          <t>1013946 → ST-072-STD-22</t>
        </is>
      </c>
      <c r="D1644" s="19" t="inlineStr">
        <is>
          <t>2</t>
        </is>
      </c>
      <c r="E1644" s="19" t="inlineStr">
        <is>
          <t>1140</t>
        </is>
      </c>
      <c r="F1644" s="19" t="inlineStr">
        <is>
          <t>200</t>
        </is>
      </c>
      <c r="G1644" s="19" t="n"/>
      <c r="H1644" s="19" t="inlineStr">
        <is>
          <t>2</t>
        </is>
      </c>
      <c r="I1644" s="19" t="n"/>
      <c r="J1644" s="19" t="n"/>
      <c r="K1644" s="19" t="inlineStr">
        <is>
          <t>2</t>
        </is>
      </c>
      <c r="L1644" t="inlineStr">
        <is>
          <t>2026-08-08</t>
        </is>
      </c>
      <c r="N1644" t="inlineStr">
        <is>
          <t>IN_SCOPE_FINAL; SOURCE_CFG=IA-ST-CFG-0231; MARKET=None; STATUS=IN OEM / EU PACKAGE</t>
        </is>
      </c>
      <c r="O1644" t="inlineStr">
        <is>
          <t>2026-08-10T19:29:54Z</t>
        </is>
      </c>
      <c r="P1644" t="inlineStr">
        <is>
          <t>2026-08-10T19:29:54Z</t>
        </is>
      </c>
    </row>
    <row r="1645">
      <c r="A1645" s="19" t="inlineStr">
        <is>
          <t>1644</t>
        </is>
      </c>
      <c r="B1645" s="19" t="inlineStr">
        <is>
          <t>SC-1014548-ST-072-STD-22</t>
        </is>
      </c>
      <c r="C1645" t="inlineStr">
        <is>
          <t>1014548 → ST-072-STD-22</t>
        </is>
      </c>
      <c r="D1645" s="19" t="inlineStr">
        <is>
          <t>2</t>
        </is>
      </c>
      <c r="E1645" s="19" t="inlineStr">
        <is>
          <t>1437</t>
        </is>
      </c>
      <c r="F1645" s="19" t="inlineStr">
        <is>
          <t>200</t>
        </is>
      </c>
      <c r="G1645" s="19" t="n"/>
      <c r="H1645" s="19" t="inlineStr">
        <is>
          <t>2</t>
        </is>
      </c>
      <c r="I1645" s="19" t="n"/>
      <c r="J1645" s="19" t="n"/>
      <c r="K1645" s="19" t="inlineStr">
        <is>
          <t>2</t>
        </is>
      </c>
      <c r="L1645" t="inlineStr">
        <is>
          <t>2026-08-08</t>
        </is>
      </c>
      <c r="N1645" t="inlineStr">
        <is>
          <t>IN_SCOPE_FINAL; SOURCE_CFG=IA-ST-CFG-0231; MARKET=MISIR NACITA; STATUS=IN OEM / EU PACKAGE</t>
        </is>
      </c>
      <c r="O1645" t="inlineStr">
        <is>
          <t>2026-08-10T19:29:54Z</t>
        </is>
      </c>
      <c r="P1645" t="inlineStr">
        <is>
          <t>2026-08-10T19:29:54Z</t>
        </is>
      </c>
    </row>
    <row r="1646">
      <c r="A1646" s="19" t="inlineStr">
        <is>
          <t>1645</t>
        </is>
      </c>
      <c r="B1646" s="19" t="inlineStr">
        <is>
          <t>SC-1015083-ST-072-STD-22</t>
        </is>
      </c>
      <c r="C1646" t="inlineStr">
        <is>
          <t>1015083 → ST-072-STD-22</t>
        </is>
      </c>
      <c r="D1646" s="19" t="inlineStr">
        <is>
          <t>2</t>
        </is>
      </c>
      <c r="E1646" s="19" t="inlineStr">
        <is>
          <t>1838</t>
        </is>
      </c>
      <c r="F1646" s="19" t="inlineStr">
        <is>
          <t>200</t>
        </is>
      </c>
      <c r="G1646" s="19" t="n"/>
      <c r="H1646" s="19" t="inlineStr">
        <is>
          <t>2</t>
        </is>
      </c>
      <c r="I1646" s="19" t="n"/>
      <c r="J1646" s="19" t="n"/>
      <c r="K1646" s="19" t="inlineStr">
        <is>
          <t>2</t>
        </is>
      </c>
      <c r="L1646" t="inlineStr">
        <is>
          <t>2026-08-08</t>
        </is>
      </c>
      <c r="N1646" t="inlineStr">
        <is>
          <t>IN_SCOPE_FINAL; SOURCE_CFG=IA-ST-CFG-0231; MARKET=MISIR ATWAN; STATUS=IN OEM / EU PACKAGE</t>
        </is>
      </c>
      <c r="O1646" t="inlineStr">
        <is>
          <t>2026-08-10T19:29:54Z</t>
        </is>
      </c>
      <c r="P1646" t="inlineStr">
        <is>
          <t>2026-08-10T19:29:54Z</t>
        </is>
      </c>
    </row>
    <row r="1647">
      <c r="A1647" s="19" t="inlineStr">
        <is>
          <t>1646</t>
        </is>
      </c>
      <c r="B1647" s="19" t="inlineStr">
        <is>
          <t>SC-1015084-ST-072-STD-22</t>
        </is>
      </c>
      <c r="C1647" t="inlineStr">
        <is>
          <t>1015084 → ST-072-STD-22</t>
        </is>
      </c>
      <c r="D1647" s="19" t="inlineStr">
        <is>
          <t>2</t>
        </is>
      </c>
      <c r="E1647" s="19" t="inlineStr">
        <is>
          <t>1839</t>
        </is>
      </c>
      <c r="F1647" s="19" t="inlineStr">
        <is>
          <t>200</t>
        </is>
      </c>
      <c r="G1647" s="19" t="n"/>
      <c r="H1647" s="19" t="inlineStr">
        <is>
          <t>2</t>
        </is>
      </c>
      <c r="I1647" s="19" t="n"/>
      <c r="J1647" s="19" t="n"/>
      <c r="K1647" s="19" t="inlineStr">
        <is>
          <t>2</t>
        </is>
      </c>
      <c r="L1647" t="inlineStr">
        <is>
          <t>2026-08-08</t>
        </is>
      </c>
      <c r="N1647" t="inlineStr">
        <is>
          <t>IN_SCOPE_FINAL; SOURCE_CFG=IA-ST-CFG-0231; MARKET=MULTISERVICIOSGOODWHEVENEZUELA; STATUS=IN OEM / EU PACKAGE</t>
        </is>
      </c>
      <c r="O1647" t="inlineStr">
        <is>
          <t>2026-08-10T19:29:54Z</t>
        </is>
      </c>
      <c r="P1647" t="inlineStr">
        <is>
          <t>2026-08-10T19:29:54Z</t>
        </is>
      </c>
    </row>
    <row r="1648">
      <c r="A1648" s="19" t="inlineStr">
        <is>
          <t>1647</t>
        </is>
      </c>
      <c r="B1648" s="19" t="inlineStr">
        <is>
          <t>SC-1012396-ST-072-STD-23</t>
        </is>
      </c>
      <c r="C1648" t="inlineStr">
        <is>
          <t>1012396 → ST-072-STD-23</t>
        </is>
      </c>
      <c r="D1648" s="19" t="inlineStr">
        <is>
          <t>2</t>
        </is>
      </c>
      <c r="E1648" s="19" t="inlineStr">
        <is>
          <t>626</t>
        </is>
      </c>
      <c r="F1648" s="19" t="inlineStr">
        <is>
          <t>201</t>
        </is>
      </c>
      <c r="G1648" s="19" t="n"/>
      <c r="H1648" s="19" t="inlineStr">
        <is>
          <t>2</t>
        </is>
      </c>
      <c r="I1648" s="19" t="n"/>
      <c r="J1648" s="19" t="n"/>
      <c r="K1648" s="19" t="inlineStr">
        <is>
          <t>2</t>
        </is>
      </c>
      <c r="L1648" t="inlineStr">
        <is>
          <t>2026-08-08</t>
        </is>
      </c>
      <c r="N1648" t="inlineStr">
        <is>
          <t>IN_SCOPE_FINAL; SOURCE_CFG=IA-ST-CFG-0232; MARKET=HYTEC AUTO AMERİKA; STATUS=IN OEM / EU PACKAGE</t>
        </is>
      </c>
      <c r="O1648" t="inlineStr">
        <is>
          <t>2026-08-10T19:29:54Z</t>
        </is>
      </c>
      <c r="P1648" t="inlineStr">
        <is>
          <t>2026-08-10T19:29:54Z</t>
        </is>
      </c>
    </row>
    <row r="1649">
      <c r="A1649" s="19" t="inlineStr">
        <is>
          <t>1648</t>
        </is>
      </c>
      <c r="B1649" s="19" t="inlineStr">
        <is>
          <t>SC-1015041-ST-072-STD-24</t>
        </is>
      </c>
      <c r="C1649" t="inlineStr">
        <is>
          <t>1015041 → ST-072-STD-24</t>
        </is>
      </c>
      <c r="D1649" s="19" t="inlineStr">
        <is>
          <t>2</t>
        </is>
      </c>
      <c r="E1649" s="19" t="inlineStr">
        <is>
          <t>1801</t>
        </is>
      </c>
      <c r="F1649" s="19" t="inlineStr">
        <is>
          <t>202</t>
        </is>
      </c>
      <c r="G1649" s="19" t="n"/>
      <c r="H1649" s="19" t="inlineStr">
        <is>
          <t>2</t>
        </is>
      </c>
      <c r="I1649" s="19" t="n"/>
      <c r="J1649" s="19" t="n"/>
      <c r="K1649" s="19" t="inlineStr">
        <is>
          <t>2</t>
        </is>
      </c>
      <c r="L1649" t="inlineStr">
        <is>
          <t>2026-08-08</t>
        </is>
      </c>
      <c r="N1649" t="inlineStr">
        <is>
          <t>IN_SCOPE_FINAL; SOURCE_CFG=IA-ST-CFG-0233; MARKET=SDF (Yurt İçi); STATUS=IN OEM / EU PACKAGE</t>
        </is>
      </c>
      <c r="O1649" t="inlineStr">
        <is>
          <t>2026-08-10T19:29:54Z</t>
        </is>
      </c>
      <c r="P1649" t="inlineStr">
        <is>
          <t>2026-08-10T19:29:54Z</t>
        </is>
      </c>
    </row>
    <row r="1650">
      <c r="A1650" s="19" t="inlineStr">
        <is>
          <t>1649</t>
        </is>
      </c>
      <c r="B1650" s="19" t="inlineStr">
        <is>
          <t>SC-1011164-ST-072-STD-24</t>
        </is>
      </c>
      <c r="C1650" t="inlineStr">
        <is>
          <t>1011164 → ST-072-STD-24</t>
        </is>
      </c>
      <c r="D1650" s="19" t="inlineStr">
        <is>
          <t>2</t>
        </is>
      </c>
      <c r="E1650" s="19" t="inlineStr">
        <is>
          <t>240</t>
        </is>
      </c>
      <c r="F1650" s="19" t="inlineStr">
        <is>
          <t>202</t>
        </is>
      </c>
      <c r="G1650" s="19" t="n"/>
      <c r="H1650" s="19" t="inlineStr">
        <is>
          <t>2</t>
        </is>
      </c>
      <c r="I1650" s="19" t="n"/>
      <c r="J1650" s="19" t="n"/>
      <c r="K1650" s="19" t="inlineStr">
        <is>
          <t>2</t>
        </is>
      </c>
      <c r="L1650" t="inlineStr">
        <is>
          <t>2026-08-08</t>
        </is>
      </c>
      <c r="N1650" t="inlineStr">
        <is>
          <t>IN_SCOPE_FINAL; SOURCE_CFG=IA-ST-CFG-0233; MARKET=YURT İÇİ AFM; STATUS=IN OEM / EU PACKAGE</t>
        </is>
      </c>
      <c r="O1650" t="inlineStr">
        <is>
          <t>2026-08-10T19:29:54Z</t>
        </is>
      </c>
      <c r="P1650" t="inlineStr">
        <is>
          <t>2026-08-10T19:29:54Z</t>
        </is>
      </c>
    </row>
    <row r="1651">
      <c r="A1651" s="19" t="inlineStr">
        <is>
          <t>1650</t>
        </is>
      </c>
      <c r="B1651" s="19" t="inlineStr">
        <is>
          <t>SC-1011178-ST-072-STD-24</t>
        </is>
      </c>
      <c r="C1651" t="inlineStr">
        <is>
          <t>1011178 → ST-072-STD-24</t>
        </is>
      </c>
      <c r="D1651" s="19" t="inlineStr">
        <is>
          <t>2</t>
        </is>
      </c>
      <c r="E1651" s="19" t="inlineStr">
        <is>
          <t>254</t>
        </is>
      </c>
      <c r="F1651" s="19" t="inlineStr">
        <is>
          <t>202</t>
        </is>
      </c>
      <c r="G1651" s="19" t="n"/>
      <c r="H1651" s="19" t="inlineStr">
        <is>
          <t>2</t>
        </is>
      </c>
      <c r="I1651" s="19" t="n"/>
      <c r="J1651" s="19" t="n"/>
      <c r="K1651" s="19" t="inlineStr">
        <is>
          <t>2</t>
        </is>
      </c>
      <c r="L1651" t="inlineStr">
        <is>
          <t>2026-08-08</t>
        </is>
      </c>
      <c r="N1651" t="inlineStr">
        <is>
          <t>IN_SCOPE_FINAL; SOURCE_CFG=IA-ST-CFG-0233; MARKET=YURT İÇİ AFM; STATUS=IN OEM / EU PACKAGE</t>
        </is>
      </c>
      <c r="O1651" t="inlineStr">
        <is>
          <t>2026-08-10T19:29:54Z</t>
        </is>
      </c>
      <c r="P1651" t="inlineStr">
        <is>
          <t>2026-08-10T19:29:54Z</t>
        </is>
      </c>
    </row>
    <row r="1652">
      <c r="A1652" s="19" t="inlineStr">
        <is>
          <t>1651</t>
        </is>
      </c>
      <c r="B1652" s="19" t="inlineStr">
        <is>
          <t>SC-1015303-ST-072-STD-24</t>
        </is>
      </c>
      <c r="C1652" t="inlineStr">
        <is>
          <t>1015303 → ST-072-STD-24</t>
        </is>
      </c>
      <c r="D1652" s="19" t="inlineStr">
        <is>
          <t>2</t>
        </is>
      </c>
      <c r="E1652" s="19" t="inlineStr">
        <is>
          <t>2027</t>
        </is>
      </c>
      <c r="F1652" s="19" t="inlineStr">
        <is>
          <t>202</t>
        </is>
      </c>
      <c r="G1652" s="19" t="n"/>
      <c r="H1652" s="19" t="inlineStr">
        <is>
          <t>2</t>
        </is>
      </c>
      <c r="I1652" s="19" t="n"/>
      <c r="J1652" s="19" t="n"/>
      <c r="K1652" s="19" t="inlineStr">
        <is>
          <t>2</t>
        </is>
      </c>
      <c r="L1652" t="inlineStr">
        <is>
          <t>2026-08-08</t>
        </is>
      </c>
      <c r="N1652" t="inlineStr">
        <is>
          <t>IN_SCOPE_FINAL; SOURCE_CFG=IA-ST-CFG-0233; MARKET=YURT İÇİ AFM; STATUS=IN OEM / EU PACKAGE</t>
        </is>
      </c>
      <c r="O1652" t="inlineStr">
        <is>
          <t>2026-08-10T19:29:54Z</t>
        </is>
      </c>
      <c r="P1652" t="inlineStr">
        <is>
          <t>2026-08-10T19:29:54Z</t>
        </is>
      </c>
    </row>
    <row r="1653">
      <c r="A1653" s="19" t="inlineStr">
        <is>
          <t>1652</t>
        </is>
      </c>
      <c r="B1653" s="19" t="inlineStr">
        <is>
          <t>SC-1014623-ST-072-STD-24</t>
        </is>
      </c>
      <c r="C1653" t="inlineStr">
        <is>
          <t>1014623 → ST-072-STD-24</t>
        </is>
      </c>
      <c r="D1653" s="19" t="inlineStr">
        <is>
          <t>2</t>
        </is>
      </c>
      <c r="E1653" s="19" t="inlineStr">
        <is>
          <t>1498</t>
        </is>
      </c>
      <c r="F1653" s="19" t="inlineStr">
        <is>
          <t>202</t>
        </is>
      </c>
      <c r="G1653" s="19" t="n"/>
      <c r="H1653" s="19" t="inlineStr">
        <is>
          <t>2</t>
        </is>
      </c>
      <c r="I1653" s="19" t="n"/>
      <c r="J1653" s="19" t="n"/>
      <c r="K1653" s="19" t="inlineStr">
        <is>
          <t>2</t>
        </is>
      </c>
      <c r="L1653" t="inlineStr">
        <is>
          <t>2026-08-08</t>
        </is>
      </c>
      <c r="N1653" t="inlineStr">
        <is>
          <t>IN_SCOPE_FINAL; SOURCE_CFG=IA-ST-CFG-0233; MARKET=YURT İÇİ AFM; STATUS=IN OEM / EU PACKAGE</t>
        </is>
      </c>
      <c r="O1653" t="inlineStr">
        <is>
          <t>2026-08-10T19:29:54Z</t>
        </is>
      </c>
      <c r="P1653" t="inlineStr">
        <is>
          <t>2026-08-10T19:29:54Z</t>
        </is>
      </c>
    </row>
    <row r="1654">
      <c r="A1654" s="19" t="inlineStr">
        <is>
          <t>1653</t>
        </is>
      </c>
      <c r="B1654" s="19" t="inlineStr">
        <is>
          <t>SC-1011177-ST-072-STD-24</t>
        </is>
      </c>
      <c r="C1654" t="inlineStr">
        <is>
          <t>1011177 → ST-072-STD-24</t>
        </is>
      </c>
      <c r="D1654" s="19" t="inlineStr">
        <is>
          <t>2</t>
        </is>
      </c>
      <c r="E1654" s="19" t="inlineStr">
        <is>
          <t>253</t>
        </is>
      </c>
      <c r="F1654" s="19" t="inlineStr">
        <is>
          <t>202</t>
        </is>
      </c>
      <c r="G1654" s="19" t="n"/>
      <c r="H1654" s="19" t="inlineStr">
        <is>
          <t>2</t>
        </is>
      </c>
      <c r="I1654" s="19" t="n"/>
      <c r="J1654" s="19" t="n"/>
      <c r="K1654" s="19" t="inlineStr">
        <is>
          <t>2</t>
        </is>
      </c>
      <c r="L1654" t="inlineStr">
        <is>
          <t>2026-08-08</t>
        </is>
      </c>
      <c r="N1654" t="inlineStr">
        <is>
          <t>IN_SCOPE_FINAL; SOURCE_CFG=IA-ST-CFG-0233; MARKET=YURT İÇİ AFM; STATUS=IN OEM / EU PACKAGE</t>
        </is>
      </c>
      <c r="O1654" t="inlineStr">
        <is>
          <t>2026-08-10T19:29:54Z</t>
        </is>
      </c>
      <c r="P1654" t="inlineStr">
        <is>
          <t>2026-08-10T19:29:54Z</t>
        </is>
      </c>
    </row>
    <row r="1655">
      <c r="A1655" s="19" t="inlineStr">
        <is>
          <t>1654</t>
        </is>
      </c>
      <c r="B1655" s="19" t="inlineStr">
        <is>
          <t>SC-1011209-ST-072-STD-24</t>
        </is>
      </c>
      <c r="C1655" t="inlineStr">
        <is>
          <t>1011209 → ST-072-STD-24</t>
        </is>
      </c>
      <c r="D1655" s="19" t="inlineStr">
        <is>
          <t>2</t>
        </is>
      </c>
      <c r="E1655" s="19" t="inlineStr">
        <is>
          <t>275</t>
        </is>
      </c>
      <c r="F1655" s="19" t="inlineStr">
        <is>
          <t>202</t>
        </is>
      </c>
      <c r="G1655" s="19" t="n"/>
      <c r="H1655" s="19" t="inlineStr">
        <is>
          <t>2</t>
        </is>
      </c>
      <c r="I1655" s="19" t="n"/>
      <c r="J1655" s="19" t="n"/>
      <c r="K1655" s="19" t="inlineStr">
        <is>
          <t>2</t>
        </is>
      </c>
      <c r="L1655" t="inlineStr">
        <is>
          <t>2026-08-08</t>
        </is>
      </c>
      <c r="N1655" t="inlineStr">
        <is>
          <t>IN_SCOPE_FINAL; SOURCE_CFG=IA-ST-CFG-0233; MARKET=YURT İÇİ AFM; STATUS=IN OEM / EU PACKAGE</t>
        </is>
      </c>
      <c r="O1655" t="inlineStr">
        <is>
          <t>2026-08-10T19:29:54Z</t>
        </is>
      </c>
      <c r="P1655" t="inlineStr">
        <is>
          <t>2026-08-10T19:29:54Z</t>
        </is>
      </c>
    </row>
    <row r="1656">
      <c r="A1656" s="19" t="inlineStr">
        <is>
          <t>1655</t>
        </is>
      </c>
      <c r="B1656" s="19" t="inlineStr">
        <is>
          <t>SC-1012348-ST-072-STD-25</t>
        </is>
      </c>
      <c r="C1656" t="inlineStr">
        <is>
          <t>1012348 → ST-072-STD-25</t>
        </is>
      </c>
      <c r="D1656" s="19" t="inlineStr">
        <is>
          <t>2</t>
        </is>
      </c>
      <c r="E1656" s="19" t="inlineStr">
        <is>
          <t>612</t>
        </is>
      </c>
      <c r="F1656" s="19" t="inlineStr">
        <is>
          <t>203</t>
        </is>
      </c>
      <c r="G1656" s="19" t="n"/>
      <c r="H1656" s="19" t="inlineStr">
        <is>
          <t>2</t>
        </is>
      </c>
      <c r="I1656" s="19" t="n"/>
      <c r="J1656" s="19" t="n"/>
      <c r="K1656" s="19" t="inlineStr">
        <is>
          <t>2</t>
        </is>
      </c>
      <c r="L1656" t="inlineStr">
        <is>
          <t>2026-08-08</t>
        </is>
      </c>
      <c r="N1656" t="inlineStr">
        <is>
          <t>IN_SCOPE_FINAL; SOURCE_CFG=IA-ST-CFG-0234; MARKET=SCHNAPP; STATUS=IN OEM / EU PACKAGE</t>
        </is>
      </c>
      <c r="O1656" t="inlineStr">
        <is>
          <t>2026-08-10T19:29:54Z</t>
        </is>
      </c>
      <c r="P1656" t="inlineStr">
        <is>
          <t>2026-08-10T19:29:54Z</t>
        </is>
      </c>
    </row>
    <row r="1657">
      <c r="A1657" s="19" t="inlineStr">
        <is>
          <t>1656</t>
        </is>
      </c>
      <c r="B1657" s="19" t="inlineStr">
        <is>
          <t>SC-1012497-ST-072-EUR-05</t>
        </is>
      </c>
      <c r="C1657" t="inlineStr">
        <is>
          <t>1012497 → ST-072-EUR-05</t>
        </is>
      </c>
      <c r="D1657" s="19" t="inlineStr">
        <is>
          <t>2</t>
        </is>
      </c>
      <c r="E1657" s="19" t="inlineStr">
        <is>
          <t>676</t>
        </is>
      </c>
      <c r="F1657" s="19" t="inlineStr">
        <is>
          <t>177</t>
        </is>
      </c>
      <c r="G1657" s="19" t="n"/>
      <c r="H1657" s="19" t="inlineStr">
        <is>
          <t>2</t>
        </is>
      </c>
      <c r="I1657" s="19" t="n"/>
      <c r="J1657" s="19" t="n"/>
      <c r="K1657" s="19" t="inlineStr">
        <is>
          <t>2</t>
        </is>
      </c>
      <c r="L1657" t="inlineStr">
        <is>
          <t>2026-08-08</t>
        </is>
      </c>
      <c r="N1657" t="inlineStr">
        <is>
          <t>IN_SCOPE_FINAL; SOURCE_CFG=IA-ST-CFG-0235; MARKET=ATHLANTIC SUHI; STATUS=IN OEM / EU PACKAGE</t>
        </is>
      </c>
      <c r="O1657" t="inlineStr">
        <is>
          <t>2026-08-10T19:29:54Z</t>
        </is>
      </c>
      <c r="P1657" t="inlineStr">
        <is>
          <t>2026-08-10T19:29:54Z</t>
        </is>
      </c>
    </row>
    <row r="1658">
      <c r="A1658" s="19" t="inlineStr">
        <is>
          <t>1657</t>
        </is>
      </c>
      <c r="B1658" s="19" t="inlineStr">
        <is>
          <t>SC-1012508-ST-072-EUR-05</t>
        </is>
      </c>
      <c r="C1658" t="inlineStr">
        <is>
          <t>1012508 → ST-072-EUR-05</t>
        </is>
      </c>
      <c r="D1658" s="19" t="inlineStr">
        <is>
          <t>2</t>
        </is>
      </c>
      <c r="E1658" s="19" t="inlineStr">
        <is>
          <t>680</t>
        </is>
      </c>
      <c r="F1658" s="19" t="inlineStr">
        <is>
          <t>177</t>
        </is>
      </c>
      <c r="G1658" s="19" t="n"/>
      <c r="H1658" s="19" t="inlineStr">
        <is>
          <t>2</t>
        </is>
      </c>
      <c r="I1658" s="19" t="n"/>
      <c r="J1658" s="19" t="n"/>
      <c r="K1658" s="19" t="inlineStr">
        <is>
          <t>2</t>
        </is>
      </c>
      <c r="L1658" t="inlineStr">
        <is>
          <t>2026-08-08</t>
        </is>
      </c>
      <c r="N1658" t="inlineStr">
        <is>
          <t>IN_SCOPE_FINAL; SOURCE_CFG=IA-ST-CFG-0235; MARKET=None; STATUS=IN OEM / EU PACKAGE</t>
        </is>
      </c>
      <c r="O1658" t="inlineStr">
        <is>
          <t>2026-08-10T19:29:54Z</t>
        </is>
      </c>
      <c r="P1658" t="inlineStr">
        <is>
          <t>2026-08-10T19:29:54Z</t>
        </is>
      </c>
    </row>
    <row r="1659">
      <c r="A1659" s="19" t="inlineStr">
        <is>
          <t>1658</t>
        </is>
      </c>
      <c r="B1659" s="19" t="inlineStr">
        <is>
          <t>SC-1013444-ST-072-EUR-05</t>
        </is>
      </c>
      <c r="C1659" t="inlineStr">
        <is>
          <t>1013444 → ST-072-EUR-05</t>
        </is>
      </c>
      <c r="D1659" s="19" t="inlineStr">
        <is>
          <t>2</t>
        </is>
      </c>
      <c r="E1659" s="19" t="inlineStr">
        <is>
          <t>1001</t>
        </is>
      </c>
      <c r="F1659" s="19" t="inlineStr">
        <is>
          <t>177</t>
        </is>
      </c>
      <c r="G1659" s="19" t="n"/>
      <c r="H1659" s="19" t="inlineStr">
        <is>
          <t>2</t>
        </is>
      </c>
      <c r="I1659" s="19" t="n"/>
      <c r="J1659" s="19" t="n"/>
      <c r="K1659" s="19" t="inlineStr">
        <is>
          <t>2</t>
        </is>
      </c>
      <c r="L1659" t="inlineStr">
        <is>
          <t>2026-08-08</t>
        </is>
      </c>
      <c r="N1659" t="inlineStr">
        <is>
          <t>IN_SCOPE_FINAL; SOURCE_CFG=IA-ST-CFG-0235; MARKET=None; STATUS=IN OEM / EU PACKAGE</t>
        </is>
      </c>
      <c r="O1659" t="inlineStr">
        <is>
          <t>2026-08-10T19:29:54Z</t>
        </is>
      </c>
      <c r="P1659" t="inlineStr">
        <is>
          <t>2026-08-10T19:29:54Z</t>
        </is>
      </c>
    </row>
    <row r="1660">
      <c r="A1660" s="19" t="inlineStr">
        <is>
          <t>1659</t>
        </is>
      </c>
      <c r="B1660" s="19" t="inlineStr">
        <is>
          <t>SC-1013445-ST-072-EUR-05</t>
        </is>
      </c>
      <c r="C1660" t="inlineStr">
        <is>
          <t>1013445 → ST-072-EUR-05</t>
        </is>
      </c>
      <c r="D1660" s="19" t="inlineStr">
        <is>
          <t>2</t>
        </is>
      </c>
      <c r="E1660" s="19" t="inlineStr">
        <is>
          <t>1002</t>
        </is>
      </c>
      <c r="F1660" s="19" t="inlineStr">
        <is>
          <t>177</t>
        </is>
      </c>
      <c r="G1660" s="19" t="n"/>
      <c r="H1660" s="19" t="inlineStr">
        <is>
          <t>2</t>
        </is>
      </c>
      <c r="I1660" s="19" t="n"/>
      <c r="J1660" s="19" t="n"/>
      <c r="K1660" s="19" t="inlineStr">
        <is>
          <t>2</t>
        </is>
      </c>
      <c r="L1660" t="inlineStr">
        <is>
          <t>2026-08-08</t>
        </is>
      </c>
      <c r="N1660" t="inlineStr">
        <is>
          <t>IN_SCOPE_FINAL; SOURCE_CFG=IA-ST-CFG-0235; MARKET=None; STATUS=IN OEM / EU PACKAGE</t>
        </is>
      </c>
      <c r="O1660" t="inlineStr">
        <is>
          <t>2026-08-10T19:29:54Z</t>
        </is>
      </c>
      <c r="P1660" t="inlineStr">
        <is>
          <t>2026-08-10T19:29:54Z</t>
        </is>
      </c>
    </row>
    <row r="1661">
      <c r="A1661" s="19" t="inlineStr">
        <is>
          <t>1660</t>
        </is>
      </c>
      <c r="B1661" s="19" t="inlineStr">
        <is>
          <t>SC-1013746-ST-072-EUR-05</t>
        </is>
      </c>
      <c r="C1661" t="inlineStr">
        <is>
          <t>1013746 → ST-072-EUR-05</t>
        </is>
      </c>
      <c r="D1661" s="19" t="inlineStr">
        <is>
          <t>2</t>
        </is>
      </c>
      <c r="E1661" s="19" t="inlineStr">
        <is>
          <t>1086</t>
        </is>
      </c>
      <c r="F1661" s="19" t="inlineStr">
        <is>
          <t>177</t>
        </is>
      </c>
      <c r="G1661" s="19" t="n"/>
      <c r="H1661" s="19" t="inlineStr">
        <is>
          <t>2</t>
        </is>
      </c>
      <c r="I1661" s="19" t="n"/>
      <c r="J1661" s="19" t="n"/>
      <c r="K1661" s="19" t="inlineStr">
        <is>
          <t>2</t>
        </is>
      </c>
      <c r="L1661" t="inlineStr">
        <is>
          <t>2026-08-08</t>
        </is>
      </c>
      <c r="N1661" t="inlineStr">
        <is>
          <t>IN_SCOPE_FINAL; SOURCE_CFG=IA-ST-CFG-0235; MARKET=None; STATUS=IN OEM / EU PACKAGE</t>
        </is>
      </c>
      <c r="O1661" t="inlineStr">
        <is>
          <t>2026-08-10T19:29:54Z</t>
        </is>
      </c>
      <c r="P1661" t="inlineStr">
        <is>
          <t>2026-08-10T19:29:54Z</t>
        </is>
      </c>
    </row>
    <row r="1662">
      <c r="A1662" s="19" t="inlineStr">
        <is>
          <t>1661</t>
        </is>
      </c>
      <c r="B1662" s="19" t="inlineStr">
        <is>
          <t>SC-1013860-ST-072-EUR-05</t>
        </is>
      </c>
      <c r="C1662" t="inlineStr">
        <is>
          <t>1013860 → ST-072-EUR-05</t>
        </is>
      </c>
      <c r="D1662" s="19" t="inlineStr">
        <is>
          <t>2</t>
        </is>
      </c>
      <c r="E1662" s="19" t="inlineStr">
        <is>
          <t>1112</t>
        </is>
      </c>
      <c r="F1662" s="19" t="inlineStr">
        <is>
          <t>177</t>
        </is>
      </c>
      <c r="G1662" s="19" t="n"/>
      <c r="H1662" s="19" t="inlineStr">
        <is>
          <t>2</t>
        </is>
      </c>
      <c r="I1662" s="19" t="n"/>
      <c r="J1662" s="19" t="n"/>
      <c r="K1662" s="19" t="inlineStr">
        <is>
          <t>2</t>
        </is>
      </c>
      <c r="L1662" t="inlineStr">
        <is>
          <t>2026-08-08</t>
        </is>
      </c>
      <c r="N1662" t="inlineStr">
        <is>
          <t>IN_SCOPE_FINAL; SOURCE_CFG=IA-ST-CFG-0235; MARKET=None; STATUS=IN OEM / EU PACKAGE</t>
        </is>
      </c>
      <c r="O1662" t="inlineStr">
        <is>
          <t>2026-08-10T19:29:54Z</t>
        </is>
      </c>
      <c r="P1662" t="inlineStr">
        <is>
          <t>2026-08-10T19:29:54Z</t>
        </is>
      </c>
    </row>
    <row r="1663">
      <c r="A1663" s="19" t="inlineStr">
        <is>
          <t>1662</t>
        </is>
      </c>
      <c r="B1663" s="19" t="inlineStr">
        <is>
          <t>SC-1013873-ST-072-EUR-05</t>
        </is>
      </c>
      <c r="C1663" t="inlineStr">
        <is>
          <t>1013873 → ST-072-EUR-05</t>
        </is>
      </c>
      <c r="D1663" s="19" t="inlineStr">
        <is>
          <t>2</t>
        </is>
      </c>
      <c r="E1663" s="19" t="inlineStr">
        <is>
          <t>1120</t>
        </is>
      </c>
      <c r="F1663" s="19" t="inlineStr">
        <is>
          <t>177</t>
        </is>
      </c>
      <c r="G1663" s="19" t="n"/>
      <c r="H1663" s="19" t="inlineStr">
        <is>
          <t>2</t>
        </is>
      </c>
      <c r="I1663" s="19" t="n"/>
      <c r="J1663" s="19" t="n"/>
      <c r="K1663" s="19" t="inlineStr">
        <is>
          <t>2</t>
        </is>
      </c>
      <c r="L1663" t="inlineStr">
        <is>
          <t>2026-08-08</t>
        </is>
      </c>
      <c r="N1663" t="inlineStr">
        <is>
          <t>IN_SCOPE_FINAL; SOURCE_CFG=IA-ST-CFG-0235; MARKET=None; STATUS=IN OEM / EU PACKAGE</t>
        </is>
      </c>
      <c r="O1663" t="inlineStr">
        <is>
          <t>2026-08-10T19:29:54Z</t>
        </is>
      </c>
      <c r="P1663" t="inlineStr">
        <is>
          <t>2026-08-10T19:29:54Z</t>
        </is>
      </c>
    </row>
    <row r="1664">
      <c r="A1664" s="19" t="inlineStr">
        <is>
          <t>1663</t>
        </is>
      </c>
      <c r="B1664" s="19" t="inlineStr">
        <is>
          <t>SC-1015107-ST-072-EUR-05</t>
        </is>
      </c>
      <c r="C1664" t="inlineStr">
        <is>
          <t>1015107 → ST-072-EUR-05</t>
        </is>
      </c>
      <c r="D1664" s="19" t="inlineStr">
        <is>
          <t>2</t>
        </is>
      </c>
      <c r="E1664" s="19" t="inlineStr">
        <is>
          <t>1860</t>
        </is>
      </c>
      <c r="F1664" s="19" t="inlineStr">
        <is>
          <t>177</t>
        </is>
      </c>
      <c r="G1664" s="19" t="n"/>
      <c r="H1664" s="19" t="inlineStr">
        <is>
          <t>2</t>
        </is>
      </c>
      <c r="I1664" s="19" t="n"/>
      <c r="J1664" s="19" t="n"/>
      <c r="K1664" s="19" t="inlineStr">
        <is>
          <t>2</t>
        </is>
      </c>
      <c r="L1664" t="inlineStr">
        <is>
          <t>2026-08-08</t>
        </is>
      </c>
      <c r="N1664" t="inlineStr">
        <is>
          <t>IN_SCOPE_FINAL; SOURCE_CFG=IA-ST-CFG-0235; MARKET=BOOSTER; STATUS=IN OEM / EU PACKAGE</t>
        </is>
      </c>
      <c r="O1664" t="inlineStr">
        <is>
          <t>2026-08-10T19:29:54Z</t>
        </is>
      </c>
      <c r="P1664" t="inlineStr">
        <is>
          <t>2026-08-10T19:29:54Z</t>
        </is>
      </c>
    </row>
    <row r="1665">
      <c r="A1665" s="19" t="inlineStr">
        <is>
          <t>1664</t>
        </is>
      </c>
      <c r="B1665" s="19" t="inlineStr">
        <is>
          <t>SC-1015108-ST-072-EUR-05</t>
        </is>
      </c>
      <c r="C1665" t="inlineStr">
        <is>
          <t>1015108 → ST-072-EUR-05</t>
        </is>
      </c>
      <c r="D1665" s="19" t="inlineStr">
        <is>
          <t>2</t>
        </is>
      </c>
      <c r="E1665" s="19" t="inlineStr">
        <is>
          <t>1861</t>
        </is>
      </c>
      <c r="F1665" s="19" t="inlineStr">
        <is>
          <t>177</t>
        </is>
      </c>
      <c r="G1665" s="19" t="n"/>
      <c r="H1665" s="19" t="inlineStr">
        <is>
          <t>2</t>
        </is>
      </c>
      <c r="I1665" s="19" t="n"/>
      <c r="J1665" s="19" t="n"/>
      <c r="K1665" s="19" t="inlineStr">
        <is>
          <t>2</t>
        </is>
      </c>
      <c r="L1665" t="inlineStr">
        <is>
          <t>2026-08-08</t>
        </is>
      </c>
      <c r="N1665" t="inlineStr">
        <is>
          <t>IN_SCOPE_FINAL; SOURCE_CFG=IA-ST-CFG-0235; MARKET=BOOSTER; STATUS=IN OEM / EU PACKAGE</t>
        </is>
      </c>
      <c r="O1665" t="inlineStr">
        <is>
          <t>2026-08-10T19:29:54Z</t>
        </is>
      </c>
      <c r="P1665" t="inlineStr">
        <is>
          <t>2026-08-10T19:29:54Z</t>
        </is>
      </c>
    </row>
    <row r="1666">
      <c r="A1666" s="19" t="inlineStr">
        <is>
          <t>1665</t>
        </is>
      </c>
      <c r="B1666" s="19" t="inlineStr">
        <is>
          <t>SC-1015314-ST-072-EUR-05</t>
        </is>
      </c>
      <c r="C1666" t="inlineStr">
        <is>
          <t>1015314 → ST-072-EUR-05</t>
        </is>
      </c>
      <c r="D1666" s="19" t="inlineStr">
        <is>
          <t>2</t>
        </is>
      </c>
      <c r="E1666" s="19" t="inlineStr">
        <is>
          <t>2035</t>
        </is>
      </c>
      <c r="F1666" s="19" t="inlineStr">
        <is>
          <t>177</t>
        </is>
      </c>
      <c r="G1666" s="19" t="n"/>
      <c r="H1666" s="19" t="inlineStr">
        <is>
          <t>2</t>
        </is>
      </c>
      <c r="I1666" s="19" t="n"/>
      <c r="J1666" s="19" t="n"/>
      <c r="K1666" s="19" t="inlineStr">
        <is>
          <t>2</t>
        </is>
      </c>
      <c r="L1666" t="inlineStr">
        <is>
          <t>2026-08-08</t>
        </is>
      </c>
      <c r="N1666" t="inlineStr">
        <is>
          <t>IN_SCOPE_FINAL; SOURCE_CFG=IA-ST-CFG-0235; MARKET=LAMPA ITALY İTALYA; STATUS=IN OEM / EU PACKAGE</t>
        </is>
      </c>
      <c r="O1666" t="inlineStr">
        <is>
          <t>2026-08-10T19:29:54Z</t>
        </is>
      </c>
      <c r="P1666" t="inlineStr">
        <is>
          <t>2026-08-10T19:29:54Z</t>
        </is>
      </c>
    </row>
    <row r="1667">
      <c r="A1667" s="19" t="inlineStr">
        <is>
          <t>1666</t>
        </is>
      </c>
      <c r="B1667" s="19" t="inlineStr">
        <is>
          <t>SC-1012789-ST-072-EUR-05</t>
        </is>
      </c>
      <c r="C1667" t="inlineStr">
        <is>
          <t>1012789 → ST-072-EUR-05</t>
        </is>
      </c>
      <c r="D1667" s="19" t="inlineStr">
        <is>
          <t>2</t>
        </is>
      </c>
      <c r="E1667" s="19" t="inlineStr">
        <is>
          <t>789</t>
        </is>
      </c>
      <c r="F1667" s="19" t="inlineStr">
        <is>
          <t>177</t>
        </is>
      </c>
      <c r="G1667" s="19" t="n"/>
      <c r="H1667" s="19" t="inlineStr">
        <is>
          <t>2</t>
        </is>
      </c>
      <c r="I1667" s="19" t="n"/>
      <c r="J1667" s="19" t="n"/>
      <c r="K1667" s="19" t="inlineStr">
        <is>
          <t>2</t>
        </is>
      </c>
      <c r="L1667" t="inlineStr">
        <is>
          <t>2026-08-08</t>
        </is>
      </c>
      <c r="N1667" t="inlineStr">
        <is>
          <t>IN_SCOPE_FINAL; SOURCE_CFG=IA-ST-CFG-0235; MARKET=START TRADING BULGARİSTAN; STATUS=IN OEM / EU PACKAGE</t>
        </is>
      </c>
      <c r="O1667" t="inlineStr">
        <is>
          <t>2026-08-10T19:29:54Z</t>
        </is>
      </c>
      <c r="P1667" t="inlineStr">
        <is>
          <t>2026-08-10T19:29:54Z</t>
        </is>
      </c>
    </row>
    <row r="1668">
      <c r="A1668" s="19" t="inlineStr">
        <is>
          <t>1667</t>
        </is>
      </c>
      <c r="B1668" s="19" t="inlineStr">
        <is>
          <t>SC-1009483-ST-072-EUR-06</t>
        </is>
      </c>
      <c r="C1668" t="inlineStr">
        <is>
          <t>1009483 → ST-072-EUR-06</t>
        </is>
      </c>
      <c r="D1668" s="19" t="inlineStr">
        <is>
          <t>2</t>
        </is>
      </c>
      <c r="E1668" s="19" t="inlineStr">
        <is>
          <t>114</t>
        </is>
      </c>
      <c r="F1668" s="19" t="inlineStr">
        <is>
          <t>178</t>
        </is>
      </c>
      <c r="G1668" s="19" t="n"/>
      <c r="H1668" s="19" t="inlineStr">
        <is>
          <t>2</t>
        </is>
      </c>
      <c r="I1668" s="19" t="n"/>
      <c r="J1668" s="19" t="n"/>
      <c r="K1668" s="19" t="inlineStr">
        <is>
          <t>2</t>
        </is>
      </c>
      <c r="L1668" t="inlineStr">
        <is>
          <t>2026-08-08</t>
        </is>
      </c>
      <c r="N1668" t="inlineStr">
        <is>
          <t>IN_SCOPE_FINAL; SOURCE_CFG=IA-ST-CFG-0236; MARKET=GS; STATUS=IN OEM / EU PACKAGE</t>
        </is>
      </c>
      <c r="O1668" t="inlineStr">
        <is>
          <t>2026-08-10T19:29:54Z</t>
        </is>
      </c>
      <c r="P1668" t="inlineStr">
        <is>
          <t>2026-08-10T19:29:54Z</t>
        </is>
      </c>
    </row>
    <row r="1669">
      <c r="A1669" s="19" t="inlineStr">
        <is>
          <t>1668</t>
        </is>
      </c>
      <c r="B1669" s="19" t="inlineStr">
        <is>
          <t>SC-1014963-ST-072-EUR-06</t>
        </is>
      </c>
      <c r="C1669" t="inlineStr">
        <is>
          <t>1014963 → ST-072-EUR-06</t>
        </is>
      </c>
      <c r="D1669" s="19" t="inlineStr">
        <is>
          <t>2</t>
        </is>
      </c>
      <c r="E1669" s="19" t="inlineStr">
        <is>
          <t>1729</t>
        </is>
      </c>
      <c r="F1669" s="19" t="inlineStr">
        <is>
          <t>178</t>
        </is>
      </c>
      <c r="G1669" s="19" t="n"/>
      <c r="H1669" s="19" t="inlineStr">
        <is>
          <t>2</t>
        </is>
      </c>
      <c r="I1669" s="19" t="n"/>
      <c r="J1669" s="19" t="n"/>
      <c r="K1669" s="19" t="inlineStr">
        <is>
          <t>2</t>
        </is>
      </c>
      <c r="L1669" t="inlineStr">
        <is>
          <t>2026-08-08</t>
        </is>
      </c>
      <c r="N1669" t="inlineStr">
        <is>
          <t>IN_SCOPE_FINAL; SOURCE_CFG=IA-ST-CFG-0236; MARKET=GS; STATUS=IN OEM / EU PACKAGE</t>
        </is>
      </c>
      <c r="O1669" t="inlineStr">
        <is>
          <t>2026-08-10T19:29:54Z</t>
        </is>
      </c>
      <c r="P1669" t="inlineStr">
        <is>
          <t>2026-08-10T19:29:54Z</t>
        </is>
      </c>
    </row>
    <row r="1670">
      <c r="A1670" s="19" t="inlineStr">
        <is>
          <t>1669</t>
        </is>
      </c>
      <c r="B1670" s="19" t="inlineStr">
        <is>
          <t>SC-1012432-ST-076-EUR-01</t>
        </is>
      </c>
      <c r="C1670" t="inlineStr">
        <is>
          <t>1012432 → ST-076-EUR-01</t>
        </is>
      </c>
      <c r="D1670" s="19" t="inlineStr">
        <is>
          <t>2</t>
        </is>
      </c>
      <c r="E1670" s="19" t="inlineStr">
        <is>
          <t>641</t>
        </is>
      </c>
      <c r="F1670" s="19" t="inlineStr">
        <is>
          <t>204</t>
        </is>
      </c>
      <c r="G1670" s="19" t="n"/>
      <c r="H1670" s="19" t="inlineStr">
        <is>
          <t>2</t>
        </is>
      </c>
      <c r="I1670" s="19" t="n"/>
      <c r="J1670" s="19" t="n"/>
      <c r="K1670" s="19" t="inlineStr">
        <is>
          <t>2</t>
        </is>
      </c>
      <c r="L1670" t="inlineStr">
        <is>
          <t>2026-08-08</t>
        </is>
      </c>
      <c r="N1670" t="inlineStr">
        <is>
          <t>IN_SCOPE_FINAL; SOURCE_CFG=IA-ST-CFG-0238; MARKET=YURT İÇİ AFM; STATUS=IN OEM / EU PACKAGE</t>
        </is>
      </c>
      <c r="O1670" t="inlineStr">
        <is>
          <t>2026-08-10T19:29:54Z</t>
        </is>
      </c>
      <c r="P1670" t="inlineStr">
        <is>
          <t>2026-08-10T19:29:54Z</t>
        </is>
      </c>
    </row>
    <row r="1671">
      <c r="A1671" s="19" t="inlineStr">
        <is>
          <t>1670</t>
        </is>
      </c>
      <c r="B1671" s="19" t="inlineStr">
        <is>
          <t>SC-1014668-ST-076-EUR-02</t>
        </is>
      </c>
      <c r="C1671" t="inlineStr">
        <is>
          <t>1014668 → ST-076-EUR-02</t>
        </is>
      </c>
      <c r="D1671" s="19" t="inlineStr">
        <is>
          <t>2</t>
        </is>
      </c>
      <c r="E1671" s="19" t="inlineStr">
        <is>
          <t>1526</t>
        </is>
      </c>
      <c r="F1671" s="19" t="inlineStr">
        <is>
          <t>205</t>
        </is>
      </c>
      <c r="G1671" s="19" t="n"/>
      <c r="H1671" s="19" t="inlineStr">
        <is>
          <t>2</t>
        </is>
      </c>
      <c r="I1671" s="19" t="n"/>
      <c r="J1671" s="19" t="n"/>
      <c r="K1671" s="19" t="inlineStr">
        <is>
          <t>2</t>
        </is>
      </c>
      <c r="L1671" t="inlineStr">
        <is>
          <t>2026-08-08</t>
        </is>
      </c>
      <c r="N1671" t="inlineStr">
        <is>
          <t>IN_SCOPE_FINAL; SOURCE_CFG=IA-ST-CFG-0239; MARKET=SKG İTALYA; STATUS=IN OEM / EU PACKAGE</t>
        </is>
      </c>
      <c r="O1671" t="inlineStr">
        <is>
          <t>2026-08-10T19:29:54Z</t>
        </is>
      </c>
      <c r="P1671" t="inlineStr">
        <is>
          <t>2026-08-10T19:29:54Z</t>
        </is>
      </c>
    </row>
    <row r="1672">
      <c r="A1672" s="19" t="inlineStr">
        <is>
          <t>1671</t>
        </is>
      </c>
      <c r="B1672" s="19" t="inlineStr">
        <is>
          <t>SC-1013535-ST-076-EUR-02</t>
        </is>
      </c>
      <c r="C1672" t="inlineStr">
        <is>
          <t>1013535 → ST-076-EUR-02</t>
        </is>
      </c>
      <c r="D1672" s="19" t="inlineStr">
        <is>
          <t>2</t>
        </is>
      </c>
      <c r="E1672" s="19" t="inlineStr">
        <is>
          <t>1024</t>
        </is>
      </c>
      <c r="F1672" s="19" t="inlineStr">
        <is>
          <t>205</t>
        </is>
      </c>
      <c r="G1672" s="19" t="n"/>
      <c r="H1672" s="19" t="inlineStr">
        <is>
          <t>2</t>
        </is>
      </c>
      <c r="I1672" s="19" t="n"/>
      <c r="J1672" s="19" t="n"/>
      <c r="K1672" s="19" t="inlineStr">
        <is>
          <t>2</t>
        </is>
      </c>
      <c r="L1672" t="inlineStr">
        <is>
          <t>2026-08-08</t>
        </is>
      </c>
      <c r="N1672" t="inlineStr">
        <is>
          <t>IN_SCOPE_FINAL; SOURCE_CFG=IA-ST-CFG-0239; MARKET=SKG İTALYA; STATUS=IN OEM / EU PACKAGE</t>
        </is>
      </c>
      <c r="O1672" t="inlineStr">
        <is>
          <t>2026-08-10T19:29:54Z</t>
        </is>
      </c>
      <c r="P1672" t="inlineStr">
        <is>
          <t>2026-08-10T19:29:54Z</t>
        </is>
      </c>
    </row>
    <row r="1673">
      <c r="A1673" s="19" t="inlineStr">
        <is>
          <t>1672</t>
        </is>
      </c>
      <c r="B1673" s="19" t="inlineStr">
        <is>
          <t>SC-1014657-ST-076-EUR-02</t>
        </is>
      </c>
      <c r="C1673" t="inlineStr">
        <is>
          <t>1014657 → ST-076-EUR-02</t>
        </is>
      </c>
      <c r="D1673" s="19" t="inlineStr">
        <is>
          <t>2</t>
        </is>
      </c>
      <c r="E1673" s="19" t="inlineStr">
        <is>
          <t>1515</t>
        </is>
      </c>
      <c r="F1673" s="19" t="inlineStr">
        <is>
          <t>205</t>
        </is>
      </c>
      <c r="G1673" s="19" t="n"/>
      <c r="H1673" s="19" t="inlineStr">
        <is>
          <t>2</t>
        </is>
      </c>
      <c r="I1673" s="19" t="n"/>
      <c r="J1673" s="19" t="n"/>
      <c r="K1673" s="19" t="inlineStr">
        <is>
          <t>2</t>
        </is>
      </c>
      <c r="L1673" t="inlineStr">
        <is>
          <t>2026-08-08</t>
        </is>
      </c>
      <c r="N1673" t="inlineStr">
        <is>
          <t>IN_SCOPE_FINAL; SOURCE_CFG=IA-ST-CFG-0239; MARKET=SKG İTALYA; STATUS=IN OEM / EU PACKAGE</t>
        </is>
      </c>
      <c r="O1673" t="inlineStr">
        <is>
          <t>2026-08-10T19:29:54Z</t>
        </is>
      </c>
      <c r="P1673" t="inlineStr">
        <is>
          <t>2026-08-10T19:29:54Z</t>
        </is>
      </c>
    </row>
    <row r="1674">
      <c r="A1674" s="19" t="inlineStr">
        <is>
          <t>1673</t>
        </is>
      </c>
      <c r="B1674" s="19" t="inlineStr">
        <is>
          <t>SC-1014658-ST-076-EUR-02</t>
        </is>
      </c>
      <c r="C1674" t="inlineStr">
        <is>
          <t>1014658 → ST-076-EUR-02</t>
        </is>
      </c>
      <c r="D1674" s="19" t="inlineStr">
        <is>
          <t>2</t>
        </is>
      </c>
      <c r="E1674" s="19" t="inlineStr">
        <is>
          <t>1516</t>
        </is>
      </c>
      <c r="F1674" s="19" t="inlineStr">
        <is>
          <t>205</t>
        </is>
      </c>
      <c r="G1674" s="19" t="n"/>
      <c r="H1674" s="19" t="inlineStr">
        <is>
          <t>2</t>
        </is>
      </c>
      <c r="I1674" s="19" t="n"/>
      <c r="J1674" s="19" t="n"/>
      <c r="K1674" s="19" t="inlineStr">
        <is>
          <t>2</t>
        </is>
      </c>
      <c r="L1674" t="inlineStr">
        <is>
          <t>2026-08-08</t>
        </is>
      </c>
      <c r="N1674" t="inlineStr">
        <is>
          <t>IN_SCOPE_FINAL; SOURCE_CFG=IA-ST-CFG-0239; MARKET=SKG İTALYA; STATUS=IN OEM / EU PACKAGE</t>
        </is>
      </c>
      <c r="O1674" t="inlineStr">
        <is>
          <t>2026-08-10T19:29:54Z</t>
        </is>
      </c>
      <c r="P1674" t="inlineStr">
        <is>
          <t>2026-08-10T19:29:54Z</t>
        </is>
      </c>
    </row>
    <row r="1675">
      <c r="A1675" s="19" t="inlineStr">
        <is>
          <t>1674</t>
        </is>
      </c>
      <c r="B1675" s="19" t="inlineStr">
        <is>
          <t>SC-1014663-ST-076-EUR-02</t>
        </is>
      </c>
      <c r="C1675" t="inlineStr">
        <is>
          <t>1014663 → ST-076-EUR-02</t>
        </is>
      </c>
      <c r="D1675" s="19" t="inlineStr">
        <is>
          <t>2</t>
        </is>
      </c>
      <c r="E1675" s="19" t="inlineStr">
        <is>
          <t>1521</t>
        </is>
      </c>
      <c r="F1675" s="19" t="inlineStr">
        <is>
          <t>205</t>
        </is>
      </c>
      <c r="G1675" s="19" t="n"/>
      <c r="H1675" s="19" t="inlineStr">
        <is>
          <t>2</t>
        </is>
      </c>
      <c r="I1675" s="19" t="n"/>
      <c r="J1675" s="19" t="n"/>
      <c r="K1675" s="19" t="inlineStr">
        <is>
          <t>2</t>
        </is>
      </c>
      <c r="L1675" t="inlineStr">
        <is>
          <t>2026-08-08</t>
        </is>
      </c>
      <c r="N1675" t="inlineStr">
        <is>
          <t>IN_SCOPE_FINAL; SOURCE_CFG=IA-ST-CFG-0239; MARKET=SKG İTALYA; STATUS=IN OEM / EU PACKAGE</t>
        </is>
      </c>
      <c r="O1675" t="inlineStr">
        <is>
          <t>2026-08-10T19:29:54Z</t>
        </is>
      </c>
      <c r="P1675" t="inlineStr">
        <is>
          <t>2026-08-10T19:29:54Z</t>
        </is>
      </c>
    </row>
    <row r="1676">
      <c r="A1676" s="19" t="inlineStr">
        <is>
          <t>1675</t>
        </is>
      </c>
      <c r="B1676" s="19" t="inlineStr">
        <is>
          <t>SC-1015026-ST-076-EUR-02</t>
        </is>
      </c>
      <c r="C1676" t="inlineStr">
        <is>
          <t>1015026 → ST-076-EUR-02</t>
        </is>
      </c>
      <c r="D1676" s="19" t="inlineStr">
        <is>
          <t>2</t>
        </is>
      </c>
      <c r="E1676" s="19" t="inlineStr">
        <is>
          <t>1786</t>
        </is>
      </c>
      <c r="F1676" s="19" t="inlineStr">
        <is>
          <t>205</t>
        </is>
      </c>
      <c r="G1676" s="19" t="n"/>
      <c r="H1676" s="19" t="inlineStr">
        <is>
          <t>2</t>
        </is>
      </c>
      <c r="I1676" s="19" t="n"/>
      <c r="J1676" s="19" t="n"/>
      <c r="K1676" s="19" t="inlineStr">
        <is>
          <t>2</t>
        </is>
      </c>
      <c r="L1676" t="inlineStr">
        <is>
          <t>2026-08-08</t>
        </is>
      </c>
      <c r="N1676" t="inlineStr">
        <is>
          <t>IN_SCOPE_FINAL; SOURCE_CFG=IA-ST-CFG-0239; MARKET=SKG İTALYA; STATUS=IN OEM / EU PACKAGE</t>
        </is>
      </c>
      <c r="O1676" t="inlineStr">
        <is>
          <t>2026-08-10T19:29:54Z</t>
        </is>
      </c>
      <c r="P1676" t="inlineStr">
        <is>
          <t>2026-08-10T19:29:54Z</t>
        </is>
      </c>
    </row>
    <row r="1677">
      <c r="A1677" s="19" t="inlineStr">
        <is>
          <t>1676</t>
        </is>
      </c>
      <c r="B1677" s="19" t="inlineStr">
        <is>
          <t>SC-1015027-ST-076-EUR-02</t>
        </is>
      </c>
      <c r="C1677" t="inlineStr">
        <is>
          <t>1015027 → ST-076-EUR-02</t>
        </is>
      </c>
      <c r="D1677" s="19" t="inlineStr">
        <is>
          <t>2</t>
        </is>
      </c>
      <c r="E1677" s="19" t="inlineStr">
        <is>
          <t>1787</t>
        </is>
      </c>
      <c r="F1677" s="19" t="inlineStr">
        <is>
          <t>205</t>
        </is>
      </c>
      <c r="G1677" s="19" t="n"/>
      <c r="H1677" s="19" t="inlineStr">
        <is>
          <t>2</t>
        </is>
      </c>
      <c r="I1677" s="19" t="n"/>
      <c r="J1677" s="19" t="n"/>
      <c r="K1677" s="19" t="inlineStr">
        <is>
          <t>2</t>
        </is>
      </c>
      <c r="L1677" t="inlineStr">
        <is>
          <t>2026-08-08</t>
        </is>
      </c>
      <c r="N1677" t="inlineStr">
        <is>
          <t>IN_SCOPE_FINAL; SOURCE_CFG=IA-ST-CFG-0239; MARKET=SKG İTALYA; STATUS=IN OEM / EU PACKAGE</t>
        </is>
      </c>
      <c r="O1677" t="inlineStr">
        <is>
          <t>2026-08-10T19:29:54Z</t>
        </is>
      </c>
      <c r="P1677" t="inlineStr">
        <is>
          <t>2026-08-10T19:29:54Z</t>
        </is>
      </c>
    </row>
    <row r="1678">
      <c r="A1678" s="19" t="inlineStr">
        <is>
          <t>1677</t>
        </is>
      </c>
      <c r="B1678" s="19" t="inlineStr">
        <is>
          <t>SC-1015101-ST-076-EUR-02</t>
        </is>
      </c>
      <c r="C1678" t="inlineStr">
        <is>
          <t>1015101 → ST-076-EUR-02</t>
        </is>
      </c>
      <c r="D1678" s="19" t="inlineStr">
        <is>
          <t>2</t>
        </is>
      </c>
      <c r="E1678" s="19" t="inlineStr">
        <is>
          <t>1854</t>
        </is>
      </c>
      <c r="F1678" s="19" t="inlineStr">
        <is>
          <t>205</t>
        </is>
      </c>
      <c r="G1678" s="19" t="n"/>
      <c r="H1678" s="19" t="inlineStr">
        <is>
          <t>2</t>
        </is>
      </c>
      <c r="I1678" s="19" t="n"/>
      <c r="J1678" s="19" t="n"/>
      <c r="K1678" s="19" t="inlineStr">
        <is>
          <t>2</t>
        </is>
      </c>
      <c r="L1678" t="inlineStr">
        <is>
          <t>2026-08-08</t>
        </is>
      </c>
      <c r="N1678" t="inlineStr">
        <is>
          <t>IN_SCOPE_FINAL; SOURCE_CFG=IA-ST-CFG-0239; MARKET=SKG İTALYA; STATUS=IN OEM / EU PACKAGE</t>
        </is>
      </c>
      <c r="O1678" t="inlineStr">
        <is>
          <t>2026-08-10T19:29:54Z</t>
        </is>
      </c>
      <c r="P1678" t="inlineStr">
        <is>
          <t>2026-08-10T19:29:54Z</t>
        </is>
      </c>
    </row>
    <row r="1679">
      <c r="A1679" s="19" t="inlineStr">
        <is>
          <t>1678</t>
        </is>
      </c>
      <c r="B1679" s="19" t="inlineStr">
        <is>
          <t>SC-1015273-ST-076-EUR-02</t>
        </is>
      </c>
      <c r="C1679" t="inlineStr">
        <is>
          <t>1015273 → ST-076-EUR-02</t>
        </is>
      </c>
      <c r="D1679" s="19" t="inlineStr">
        <is>
          <t>2</t>
        </is>
      </c>
      <c r="E1679" s="19" t="inlineStr">
        <is>
          <t>2006</t>
        </is>
      </c>
      <c r="F1679" s="19" t="inlineStr">
        <is>
          <t>205</t>
        </is>
      </c>
      <c r="G1679" s="19" t="n"/>
      <c r="H1679" s="19" t="inlineStr">
        <is>
          <t>2</t>
        </is>
      </c>
      <c r="I1679" s="19" t="n"/>
      <c r="J1679" s="19" t="n"/>
      <c r="K1679" s="19" t="inlineStr">
        <is>
          <t>2</t>
        </is>
      </c>
      <c r="L1679" t="inlineStr">
        <is>
          <t>2026-08-08</t>
        </is>
      </c>
      <c r="N1679" t="inlineStr">
        <is>
          <t>IN_SCOPE_FINAL; SOURCE_CFG=IA-ST-CFG-0239; MARKET=SKG İTALYA; STATUS=IN OEM / EU PACKAGE</t>
        </is>
      </c>
      <c r="O1679" t="inlineStr">
        <is>
          <t>2026-08-10T19:29:54Z</t>
        </is>
      </c>
      <c r="P1679" t="inlineStr">
        <is>
          <t>2026-08-10T19:29:54Z</t>
        </is>
      </c>
    </row>
    <row r="1680">
      <c r="A1680" s="19" t="inlineStr">
        <is>
          <t>1679</t>
        </is>
      </c>
      <c r="B1680" s="19" t="inlineStr">
        <is>
          <t>SC-1013871-ST-076-EUR-03</t>
        </is>
      </c>
      <c r="C1680" t="inlineStr">
        <is>
          <t>1013871 → ST-076-EUR-03</t>
        </is>
      </c>
      <c r="D1680" s="19" t="inlineStr">
        <is>
          <t>2</t>
        </is>
      </c>
      <c r="E1680" s="19" t="inlineStr">
        <is>
          <t>1118</t>
        </is>
      </c>
      <c r="F1680" s="19" t="inlineStr">
        <is>
          <t>206</t>
        </is>
      </c>
      <c r="G1680" s="19" t="n"/>
      <c r="H1680" s="19" t="inlineStr">
        <is>
          <t>2</t>
        </is>
      </c>
      <c r="I1680" s="19" t="n"/>
      <c r="J1680" s="19" t="n"/>
      <c r="K1680" s="19" t="inlineStr">
        <is>
          <t>2</t>
        </is>
      </c>
      <c r="L1680" t="inlineStr">
        <is>
          <t>2026-08-08</t>
        </is>
      </c>
      <c r="N1680" t="inlineStr">
        <is>
          <t>IN_SCOPE_FINAL; SOURCE_CFG=IA-ST-CFG-0240; MARKET=None; STATUS=IN OEM / EU PACKAGE</t>
        </is>
      </c>
      <c r="O1680" t="inlineStr">
        <is>
          <t>2026-08-10T19:29:54Z</t>
        </is>
      </c>
      <c r="P1680" t="inlineStr">
        <is>
          <t>2026-08-10T19:29:54Z</t>
        </is>
      </c>
    </row>
    <row r="1681">
      <c r="A1681" s="19" t="inlineStr">
        <is>
          <t>1680</t>
        </is>
      </c>
      <c r="B1681" s="19" t="inlineStr">
        <is>
          <t>SC-1014054-ST-076-EUR-03</t>
        </is>
      </c>
      <c r="C1681" t="inlineStr">
        <is>
          <t>1014054 → ST-076-EUR-03</t>
        </is>
      </c>
      <c r="D1681" s="19" t="inlineStr">
        <is>
          <t>2</t>
        </is>
      </c>
      <c r="E1681" s="19" t="inlineStr">
        <is>
          <t>1202</t>
        </is>
      </c>
      <c r="F1681" s="19" t="inlineStr">
        <is>
          <t>206</t>
        </is>
      </c>
      <c r="G1681" s="19" t="n"/>
      <c r="H1681" s="19" t="inlineStr">
        <is>
          <t>2</t>
        </is>
      </c>
      <c r="I1681" s="19" t="n"/>
      <c r="J1681" s="19" t="n"/>
      <c r="K1681" s="19" t="inlineStr">
        <is>
          <t>2</t>
        </is>
      </c>
      <c r="L1681" t="inlineStr">
        <is>
          <t>2026-08-08</t>
        </is>
      </c>
      <c r="N1681" t="inlineStr">
        <is>
          <t>IN_SCOPE_FINAL; SOURCE_CFG=IA-ST-CFG-0240; MARKET=None; STATUS=IN OEM / EU PACKAGE</t>
        </is>
      </c>
      <c r="O1681" t="inlineStr">
        <is>
          <t>2026-08-10T19:29:54Z</t>
        </is>
      </c>
      <c r="P1681" t="inlineStr">
        <is>
          <t>2026-08-10T19:29:54Z</t>
        </is>
      </c>
    </row>
    <row r="1682">
      <c r="A1682" s="19" t="inlineStr">
        <is>
          <t>1681</t>
        </is>
      </c>
      <c r="B1682" s="19" t="inlineStr">
        <is>
          <t>SC-1013803-ST-076-EUR-03</t>
        </is>
      </c>
      <c r="C1682" t="inlineStr">
        <is>
          <t>1013803 → ST-076-EUR-03</t>
        </is>
      </c>
      <c r="D1682" s="19" t="inlineStr">
        <is>
          <t>2</t>
        </is>
      </c>
      <c r="E1682" s="19" t="inlineStr">
        <is>
          <t>1101</t>
        </is>
      </c>
      <c r="F1682" s="19" t="inlineStr">
        <is>
          <t>206</t>
        </is>
      </c>
      <c r="G1682" s="19" t="n"/>
      <c r="H1682" s="19" t="inlineStr">
        <is>
          <t>2</t>
        </is>
      </c>
      <c r="I1682" s="19" t="n"/>
      <c r="J1682" s="19" t="n"/>
      <c r="K1682" s="19" t="inlineStr">
        <is>
          <t>2</t>
        </is>
      </c>
      <c r="L1682" t="inlineStr">
        <is>
          <t>2026-08-08</t>
        </is>
      </c>
      <c r="N1682" t="inlineStr">
        <is>
          <t>IN_SCOPE_FINAL; SOURCE_CFG=IA-ST-CFG-0240; MARKET=CANARIBAT İSPANYA; STATUS=IN OEM / EU PACKAGE</t>
        </is>
      </c>
      <c r="O1682" t="inlineStr">
        <is>
          <t>2026-08-10T19:29:54Z</t>
        </is>
      </c>
      <c r="P1682" t="inlineStr">
        <is>
          <t>2026-08-10T19:29:54Z</t>
        </is>
      </c>
    </row>
    <row r="1683">
      <c r="A1683" s="19" t="inlineStr">
        <is>
          <t>1682</t>
        </is>
      </c>
      <c r="B1683" s="19" t="inlineStr">
        <is>
          <t>SC-1014496-ST-076-EUR-03</t>
        </is>
      </c>
      <c r="C1683" t="inlineStr">
        <is>
          <t>1014496 → ST-076-EUR-03</t>
        </is>
      </c>
      <c r="D1683" s="19" t="inlineStr">
        <is>
          <t>2</t>
        </is>
      </c>
      <c r="E1683" s="19" t="inlineStr">
        <is>
          <t>1420</t>
        </is>
      </c>
      <c r="F1683" s="19" t="inlineStr">
        <is>
          <t>206</t>
        </is>
      </c>
      <c r="G1683" s="19" t="n"/>
      <c r="H1683" s="19" t="inlineStr">
        <is>
          <t>2</t>
        </is>
      </c>
      <c r="I1683" s="19" t="n"/>
      <c r="J1683" s="19" t="n"/>
      <c r="K1683" s="19" t="inlineStr">
        <is>
          <t>2</t>
        </is>
      </c>
      <c r="L1683" t="inlineStr">
        <is>
          <t>2026-08-08</t>
        </is>
      </c>
      <c r="N1683" t="inlineStr">
        <is>
          <t>IN_SCOPE_FINAL; SOURCE_CFG=IA-ST-CFG-0240; MARKET=None; STATUS=IN OEM / EU PACKAGE</t>
        </is>
      </c>
      <c r="O1683" t="inlineStr">
        <is>
          <t>2026-08-10T19:29:54Z</t>
        </is>
      </c>
      <c r="P1683" t="inlineStr">
        <is>
          <t>2026-08-10T19:29:54Z</t>
        </is>
      </c>
    </row>
    <row r="1684">
      <c r="A1684" s="19" t="inlineStr">
        <is>
          <t>1683</t>
        </is>
      </c>
      <c r="B1684" s="19" t="inlineStr">
        <is>
          <t>SC-1012570-ST-076-EUR-03</t>
        </is>
      </c>
      <c r="C1684" t="inlineStr">
        <is>
          <t>1012570 → ST-076-EUR-03</t>
        </is>
      </c>
      <c r="D1684" s="19" t="inlineStr">
        <is>
          <t>2</t>
        </is>
      </c>
      <c r="E1684" s="19" t="inlineStr">
        <is>
          <t>702</t>
        </is>
      </c>
      <c r="F1684" s="19" t="inlineStr">
        <is>
          <t>206</t>
        </is>
      </c>
      <c r="G1684" s="19" t="n"/>
      <c r="H1684" s="19" t="inlineStr">
        <is>
          <t>2</t>
        </is>
      </c>
      <c r="I1684" s="19" t="n"/>
      <c r="J1684" s="19" t="n"/>
      <c r="K1684" s="19" t="inlineStr">
        <is>
          <t>2</t>
        </is>
      </c>
      <c r="L1684" t="inlineStr">
        <is>
          <t>2026-08-08</t>
        </is>
      </c>
      <c r="N1684" t="inlineStr">
        <is>
          <t>IN_SCOPE_FINAL; SOURCE_CFG=IA-ST-CFG-0240; MARKET=None; STATUS=IN OEM / EU PACKAGE</t>
        </is>
      </c>
      <c r="O1684" t="inlineStr">
        <is>
          <t>2026-08-10T19:29:54Z</t>
        </is>
      </c>
      <c r="P1684" t="inlineStr">
        <is>
          <t>2026-08-10T19:29:54Z</t>
        </is>
      </c>
    </row>
    <row r="1685">
      <c r="A1685" s="19" t="inlineStr">
        <is>
          <t>1684</t>
        </is>
      </c>
      <c r="B1685" s="19" t="inlineStr">
        <is>
          <t>SC-1014141-ST-076-EUR-03</t>
        </is>
      </c>
      <c r="C1685" t="inlineStr">
        <is>
          <t>1014141 → ST-076-EUR-03</t>
        </is>
      </c>
      <c r="D1685" s="19" t="inlineStr">
        <is>
          <t>2</t>
        </is>
      </c>
      <c r="E1685" s="19" t="inlineStr">
        <is>
          <t>1229</t>
        </is>
      </c>
      <c r="F1685" s="19" t="inlineStr">
        <is>
          <t>206</t>
        </is>
      </c>
      <c r="G1685" s="19" t="n"/>
      <c r="H1685" s="19" t="inlineStr">
        <is>
          <t>2</t>
        </is>
      </c>
      <c r="I1685" s="19" t="n"/>
      <c r="J1685" s="19" t="n"/>
      <c r="K1685" s="19" t="inlineStr">
        <is>
          <t>2</t>
        </is>
      </c>
      <c r="L1685" t="inlineStr">
        <is>
          <t>2026-08-08</t>
        </is>
      </c>
      <c r="N1685" t="inlineStr">
        <is>
          <t>IN_SCOPE_FINAL; SOURCE_CFG=IA-ST-CFG-0240; MARKET=BOOSTER; STATUS=IN OEM / EU PACKAGE</t>
        </is>
      </c>
      <c r="O1685" t="inlineStr">
        <is>
          <t>2026-08-10T19:29:54Z</t>
        </is>
      </c>
      <c r="P1685" t="inlineStr">
        <is>
          <t>2026-08-10T19:29:54Z</t>
        </is>
      </c>
    </row>
    <row r="1686">
      <c r="A1686" s="19" t="inlineStr">
        <is>
          <t>1685</t>
        </is>
      </c>
      <c r="B1686" s="19" t="inlineStr">
        <is>
          <t>SC-1014689-ST-076-EUR-03</t>
        </is>
      </c>
      <c r="C1686" t="inlineStr">
        <is>
          <t>1014689 → ST-076-EUR-03</t>
        </is>
      </c>
      <c r="D1686" s="19" t="inlineStr">
        <is>
          <t>2</t>
        </is>
      </c>
      <c r="E1686" s="19" t="inlineStr">
        <is>
          <t>1541</t>
        </is>
      </c>
      <c r="F1686" s="19" t="inlineStr">
        <is>
          <t>206</t>
        </is>
      </c>
      <c r="G1686" s="19" t="n"/>
      <c r="H1686" s="19" t="inlineStr">
        <is>
          <t>2</t>
        </is>
      </c>
      <c r="I1686" s="19" t="n"/>
      <c r="J1686" s="19" t="n"/>
      <c r="K1686" s="19" t="inlineStr">
        <is>
          <t>2</t>
        </is>
      </c>
      <c r="L1686" t="inlineStr">
        <is>
          <t>2026-08-08</t>
        </is>
      </c>
      <c r="N1686" t="inlineStr">
        <is>
          <t>IN_SCOPE_FINAL; SOURCE_CFG=IA-ST-CFG-0240; MARKET=None; STATUS=IN OEM / EU PACKAGE</t>
        </is>
      </c>
      <c r="O1686" t="inlineStr">
        <is>
          <t>2026-08-10T19:29:54Z</t>
        </is>
      </c>
      <c r="P1686" t="inlineStr">
        <is>
          <t>2026-08-10T19:29:54Z</t>
        </is>
      </c>
    </row>
    <row r="1687">
      <c r="A1687" s="19" t="inlineStr">
        <is>
          <t>1686</t>
        </is>
      </c>
      <c r="B1687" s="19" t="inlineStr">
        <is>
          <t>SC-1009997-ST-076-EUR-03</t>
        </is>
      </c>
      <c r="C1687" t="inlineStr">
        <is>
          <t>1009997 → ST-076-EUR-03</t>
        </is>
      </c>
      <c r="D1687" s="19" t="inlineStr">
        <is>
          <t>2</t>
        </is>
      </c>
      <c r="E1687" s="19" t="inlineStr">
        <is>
          <t>143</t>
        </is>
      </c>
      <c r="F1687" s="19" t="inlineStr">
        <is>
          <t>206</t>
        </is>
      </c>
      <c r="G1687" s="19" t="n"/>
      <c r="H1687" s="19" t="inlineStr">
        <is>
          <t>2</t>
        </is>
      </c>
      <c r="I1687" s="19" t="n"/>
      <c r="J1687" s="19" t="n"/>
      <c r="K1687" s="19" t="inlineStr">
        <is>
          <t>2</t>
        </is>
      </c>
      <c r="L1687" t="inlineStr">
        <is>
          <t>2026-08-08</t>
        </is>
      </c>
      <c r="N1687" t="inlineStr">
        <is>
          <t>IN_SCOPE_FINAL; SOURCE_CFG=IA-ST-CFG-0240; MARKET=BOOSTER; STATUS=IN OEM / EU PACKAGE</t>
        </is>
      </c>
      <c r="O1687" t="inlineStr">
        <is>
          <t>2026-08-10T19:29:54Z</t>
        </is>
      </c>
      <c r="P1687" t="inlineStr">
        <is>
          <t>2026-08-10T19:29:54Z</t>
        </is>
      </c>
    </row>
    <row r="1688">
      <c r="A1688" s="19" t="inlineStr">
        <is>
          <t>1687</t>
        </is>
      </c>
      <c r="B1688" s="19" t="inlineStr">
        <is>
          <t>SC-1011558-ST-076-EUR-03</t>
        </is>
      </c>
      <c r="C1688" t="inlineStr">
        <is>
          <t>1011558 → ST-076-EUR-03</t>
        </is>
      </c>
      <c r="D1688" s="19" t="inlineStr">
        <is>
          <t>2</t>
        </is>
      </c>
      <c r="E1688" s="19" t="inlineStr">
        <is>
          <t>308</t>
        </is>
      </c>
      <c r="F1688" s="19" t="inlineStr">
        <is>
          <t>206</t>
        </is>
      </c>
      <c r="G1688" s="19" t="n"/>
      <c r="H1688" s="19" t="inlineStr">
        <is>
          <t>2</t>
        </is>
      </c>
      <c r="I1688" s="19" t="n"/>
      <c r="J1688" s="19" t="n"/>
      <c r="K1688" s="19" t="inlineStr">
        <is>
          <t>2</t>
        </is>
      </c>
      <c r="L1688" t="inlineStr">
        <is>
          <t>2026-08-08</t>
        </is>
      </c>
      <c r="N1688" t="inlineStr">
        <is>
          <t>IN_SCOPE_FINAL; SOURCE_CFG=IA-ST-CFG-0240; MARKET=CANARIBAT İSPANYA; STATUS=IN OEM / EU PACKAGE</t>
        </is>
      </c>
      <c r="O1688" t="inlineStr">
        <is>
          <t>2026-08-10T19:29:54Z</t>
        </is>
      </c>
      <c r="P1688" t="inlineStr">
        <is>
          <t>2026-08-10T19:29:54Z</t>
        </is>
      </c>
    </row>
    <row r="1689">
      <c r="A1689" s="19" t="inlineStr">
        <is>
          <t>1688</t>
        </is>
      </c>
      <c r="B1689" s="19" t="inlineStr">
        <is>
          <t>SC-1011559-ST-076-EUR-03</t>
        </is>
      </c>
      <c r="C1689" t="inlineStr">
        <is>
          <t>1011559 → ST-076-EUR-03</t>
        </is>
      </c>
      <c r="D1689" s="19" t="inlineStr">
        <is>
          <t>2</t>
        </is>
      </c>
      <c r="E1689" s="19" t="inlineStr">
        <is>
          <t>309</t>
        </is>
      </c>
      <c r="F1689" s="19" t="inlineStr">
        <is>
          <t>206</t>
        </is>
      </c>
      <c r="G1689" s="19" t="n"/>
      <c r="H1689" s="19" t="inlineStr">
        <is>
          <t>2</t>
        </is>
      </c>
      <c r="I1689" s="19" t="n"/>
      <c r="J1689" s="19" t="n"/>
      <c r="K1689" s="19" t="inlineStr">
        <is>
          <t>2</t>
        </is>
      </c>
      <c r="L1689" t="inlineStr">
        <is>
          <t>2026-08-08</t>
        </is>
      </c>
      <c r="N1689" t="inlineStr">
        <is>
          <t>IN_SCOPE_FINAL; SOURCE_CFG=IA-ST-CFG-0240; MARKET=CANARIBAT İSPANYA; STATUS=IN OEM / EU PACKAGE</t>
        </is>
      </c>
      <c r="O1689" t="inlineStr">
        <is>
          <t>2026-08-10T19:29:54Z</t>
        </is>
      </c>
      <c r="P1689" t="inlineStr">
        <is>
          <t>2026-08-10T19:29:54Z</t>
        </is>
      </c>
    </row>
    <row r="1690">
      <c r="A1690" s="19" t="inlineStr">
        <is>
          <t>1689</t>
        </is>
      </c>
      <c r="B1690" s="19" t="inlineStr">
        <is>
          <t>SC-1011573-ST-076-EUR-03</t>
        </is>
      </c>
      <c r="C1690" t="inlineStr">
        <is>
          <t>1011573 → ST-076-EUR-03</t>
        </is>
      </c>
      <c r="D1690" s="19" t="inlineStr">
        <is>
          <t>2</t>
        </is>
      </c>
      <c r="E1690" s="19" t="inlineStr">
        <is>
          <t>312</t>
        </is>
      </c>
      <c r="F1690" s="19" t="inlineStr">
        <is>
          <t>206</t>
        </is>
      </c>
      <c r="G1690" s="19" t="n"/>
      <c r="H1690" s="19" t="inlineStr">
        <is>
          <t>2</t>
        </is>
      </c>
      <c r="I1690" s="19" t="n"/>
      <c r="J1690" s="19" t="n"/>
      <c r="K1690" s="19" t="inlineStr">
        <is>
          <t>2</t>
        </is>
      </c>
      <c r="L1690" t="inlineStr">
        <is>
          <t>2026-08-08</t>
        </is>
      </c>
      <c r="N1690" t="inlineStr">
        <is>
          <t>IN_SCOPE_FINAL; SOURCE_CFG=IA-ST-CFG-0240; MARKET=CANARIBAT İSPANYA; STATUS=IN OEM / EU PACKAGE</t>
        </is>
      </c>
      <c r="O1690" t="inlineStr">
        <is>
          <t>2026-08-10T19:29:54Z</t>
        </is>
      </c>
      <c r="P1690" t="inlineStr">
        <is>
          <t>2026-08-10T19:29:54Z</t>
        </is>
      </c>
    </row>
    <row r="1691">
      <c r="A1691" s="19" t="inlineStr">
        <is>
          <t>1690</t>
        </is>
      </c>
      <c r="B1691" s="19" t="inlineStr">
        <is>
          <t>SC-1011574-ST-076-EUR-03</t>
        </is>
      </c>
      <c r="C1691" t="inlineStr">
        <is>
          <t>1011574 → ST-076-EUR-03</t>
        </is>
      </c>
      <c r="D1691" s="19" t="inlineStr">
        <is>
          <t>2</t>
        </is>
      </c>
      <c r="E1691" s="19" t="inlineStr">
        <is>
          <t>313</t>
        </is>
      </c>
      <c r="F1691" s="19" t="inlineStr">
        <is>
          <t>206</t>
        </is>
      </c>
      <c r="G1691" s="19" t="n"/>
      <c r="H1691" s="19" t="inlineStr">
        <is>
          <t>2</t>
        </is>
      </c>
      <c r="I1691" s="19" t="n"/>
      <c r="J1691" s="19" t="n"/>
      <c r="K1691" s="19" t="inlineStr">
        <is>
          <t>2</t>
        </is>
      </c>
      <c r="L1691" t="inlineStr">
        <is>
          <t>2026-08-08</t>
        </is>
      </c>
      <c r="N1691" t="inlineStr">
        <is>
          <t>IN_SCOPE_FINAL; SOURCE_CFG=IA-ST-CFG-0240; MARKET=CANARIBAT İSPANYA; STATUS=IN OEM / EU PACKAGE</t>
        </is>
      </c>
      <c r="O1691" t="inlineStr">
        <is>
          <t>2026-08-10T19:29:54Z</t>
        </is>
      </c>
      <c r="P1691" t="inlineStr">
        <is>
          <t>2026-08-10T19:29:54Z</t>
        </is>
      </c>
    </row>
    <row r="1692">
      <c r="A1692" s="19" t="inlineStr">
        <is>
          <t>1691</t>
        </is>
      </c>
      <c r="B1692" s="19" t="inlineStr">
        <is>
          <t>SC-1012484-ST-076-EUR-03</t>
        </is>
      </c>
      <c r="C1692" t="inlineStr">
        <is>
          <t>1012484 → ST-076-EUR-03</t>
        </is>
      </c>
      <c r="D1692" s="19" t="inlineStr">
        <is>
          <t>2</t>
        </is>
      </c>
      <c r="E1692" s="19" t="inlineStr">
        <is>
          <t>669</t>
        </is>
      </c>
      <c r="F1692" s="19" t="inlineStr">
        <is>
          <t>206</t>
        </is>
      </c>
      <c r="G1692" s="19" t="n"/>
      <c r="H1692" s="19" t="inlineStr">
        <is>
          <t>2</t>
        </is>
      </c>
      <c r="I1692" s="19" t="n"/>
      <c r="J1692" s="19" t="n"/>
      <c r="K1692" s="19" t="inlineStr">
        <is>
          <t>2</t>
        </is>
      </c>
      <c r="L1692" t="inlineStr">
        <is>
          <t>2026-08-08</t>
        </is>
      </c>
      <c r="N1692" t="inlineStr">
        <is>
          <t>IN_SCOPE_FINAL; SOURCE_CFG=IA-ST-CFG-0240; MARKET=None; STATUS=IN OEM / EU PACKAGE</t>
        </is>
      </c>
      <c r="O1692" t="inlineStr">
        <is>
          <t>2026-08-10T19:29:54Z</t>
        </is>
      </c>
      <c r="P1692" t="inlineStr">
        <is>
          <t>2026-08-10T19:29:54Z</t>
        </is>
      </c>
    </row>
    <row r="1693">
      <c r="A1693" s="19" t="inlineStr">
        <is>
          <t>1692</t>
        </is>
      </c>
      <c r="B1693" s="19" t="inlineStr">
        <is>
          <t>SC-1012524-ST-076-EUR-03</t>
        </is>
      </c>
      <c r="C1693" t="inlineStr">
        <is>
          <t>1012524 → ST-076-EUR-03</t>
        </is>
      </c>
      <c r="D1693" s="19" t="inlineStr">
        <is>
          <t>2</t>
        </is>
      </c>
      <c r="E1693" s="19" t="inlineStr">
        <is>
          <t>684</t>
        </is>
      </c>
      <c r="F1693" s="19" t="inlineStr">
        <is>
          <t>206</t>
        </is>
      </c>
      <c r="G1693" s="19" t="n"/>
      <c r="H1693" s="19" t="inlineStr">
        <is>
          <t>2</t>
        </is>
      </c>
      <c r="I1693" s="19" t="n"/>
      <c r="J1693" s="19" t="n"/>
      <c r="K1693" s="19" t="inlineStr">
        <is>
          <t>2</t>
        </is>
      </c>
      <c r="L1693" t="inlineStr">
        <is>
          <t>2026-08-08</t>
        </is>
      </c>
      <c r="N1693" t="inlineStr">
        <is>
          <t>IN_SCOPE_FINAL; SOURCE_CFG=IA-ST-CFG-0240; MARKET=None; STATUS=IN OEM / EU PACKAGE</t>
        </is>
      </c>
      <c r="O1693" t="inlineStr">
        <is>
          <t>2026-08-10T19:29:54Z</t>
        </is>
      </c>
      <c r="P1693" t="inlineStr">
        <is>
          <t>2026-08-10T19:29:54Z</t>
        </is>
      </c>
    </row>
    <row r="1694">
      <c r="A1694" s="19" t="inlineStr">
        <is>
          <t>1693</t>
        </is>
      </c>
      <c r="B1694" s="19" t="inlineStr">
        <is>
          <t>SC-1012871-ST-076-EUR-03</t>
        </is>
      </c>
      <c r="C1694" t="inlineStr">
        <is>
          <t>1012871 → ST-076-EUR-03</t>
        </is>
      </c>
      <c r="D1694" s="19" t="inlineStr">
        <is>
          <t>2</t>
        </is>
      </c>
      <c r="E1694" s="19" t="inlineStr">
        <is>
          <t>828</t>
        </is>
      </c>
      <c r="F1694" s="19" t="inlineStr">
        <is>
          <t>206</t>
        </is>
      </c>
      <c r="G1694" s="19" t="n"/>
      <c r="H1694" s="19" t="inlineStr">
        <is>
          <t>2</t>
        </is>
      </c>
      <c r="I1694" s="19" t="n"/>
      <c r="J1694" s="19" t="n"/>
      <c r="K1694" s="19" t="inlineStr">
        <is>
          <t>2</t>
        </is>
      </c>
      <c r="L1694" t="inlineStr">
        <is>
          <t>2026-08-08</t>
        </is>
      </c>
      <c r="N1694" t="inlineStr">
        <is>
          <t>IN_SCOPE_FINAL; SOURCE_CFG=IA-ST-CFG-0240; MARKET=LAMPA ITALY İTALYA; STATUS=IN OEM / EU PACKAGE</t>
        </is>
      </c>
      <c r="O1694" t="inlineStr">
        <is>
          <t>2026-08-10T19:29:54Z</t>
        </is>
      </c>
      <c r="P1694" t="inlineStr">
        <is>
          <t>2026-08-10T19:29:54Z</t>
        </is>
      </c>
    </row>
    <row r="1695">
      <c r="A1695" s="19" t="inlineStr">
        <is>
          <t>1694</t>
        </is>
      </c>
      <c r="B1695" s="19" t="inlineStr">
        <is>
          <t>SC-1012876-ST-076-EUR-03</t>
        </is>
      </c>
      <c r="C1695" t="inlineStr">
        <is>
          <t>1012876 → ST-076-EUR-03</t>
        </is>
      </c>
      <c r="D1695" s="19" t="inlineStr">
        <is>
          <t>2</t>
        </is>
      </c>
      <c r="E1695" s="19" t="inlineStr">
        <is>
          <t>833</t>
        </is>
      </c>
      <c r="F1695" s="19" t="inlineStr">
        <is>
          <t>206</t>
        </is>
      </c>
      <c r="G1695" s="19" t="n"/>
      <c r="H1695" s="19" t="inlineStr">
        <is>
          <t>2</t>
        </is>
      </c>
      <c r="I1695" s="19" t="n"/>
      <c r="J1695" s="19" t="n"/>
      <c r="K1695" s="19" t="inlineStr">
        <is>
          <t>2</t>
        </is>
      </c>
      <c r="L1695" t="inlineStr">
        <is>
          <t>2026-08-08</t>
        </is>
      </c>
      <c r="N1695" t="inlineStr">
        <is>
          <t>IN_SCOPE_FINAL; SOURCE_CFG=IA-ST-CFG-0240; MARKET=LAMPA ITALY İTALYA; STATUS=IN OEM / EU PACKAGE</t>
        </is>
      </c>
      <c r="O1695" t="inlineStr">
        <is>
          <t>2026-08-10T19:29:54Z</t>
        </is>
      </c>
      <c r="P1695" t="inlineStr">
        <is>
          <t>2026-08-10T19:29:54Z</t>
        </is>
      </c>
    </row>
    <row r="1696">
      <c r="A1696" s="19" t="inlineStr">
        <is>
          <t>1695</t>
        </is>
      </c>
      <c r="B1696" s="19" t="inlineStr">
        <is>
          <t>SC-1012885-ST-076-EUR-03</t>
        </is>
      </c>
      <c r="C1696" t="inlineStr">
        <is>
          <t>1012885 → ST-076-EUR-03</t>
        </is>
      </c>
      <c r="D1696" s="19" t="inlineStr">
        <is>
          <t>2</t>
        </is>
      </c>
      <c r="E1696" s="19" t="inlineStr">
        <is>
          <t>840</t>
        </is>
      </c>
      <c r="F1696" s="19" t="inlineStr">
        <is>
          <t>206</t>
        </is>
      </c>
      <c r="G1696" s="19" t="n"/>
      <c r="H1696" s="19" t="inlineStr">
        <is>
          <t>2</t>
        </is>
      </c>
      <c r="I1696" s="19" t="n"/>
      <c r="J1696" s="19" t="n"/>
      <c r="K1696" s="19" t="inlineStr">
        <is>
          <t>2</t>
        </is>
      </c>
      <c r="L1696" t="inlineStr">
        <is>
          <t>2026-08-08</t>
        </is>
      </c>
      <c r="N1696" t="inlineStr">
        <is>
          <t>IN_SCOPE_FINAL; SOURCE_CFG=IA-ST-CFG-0240; MARKET=LAMPA ITALY İTALYA; STATUS=IN OEM / EU PACKAGE</t>
        </is>
      </c>
      <c r="O1696" t="inlineStr">
        <is>
          <t>2026-08-10T19:29:54Z</t>
        </is>
      </c>
      <c r="P1696" t="inlineStr">
        <is>
          <t>2026-08-10T19:29:54Z</t>
        </is>
      </c>
    </row>
    <row r="1697">
      <c r="A1697" s="19" t="inlineStr">
        <is>
          <t>1696</t>
        </is>
      </c>
      <c r="B1697" s="19" t="inlineStr">
        <is>
          <t>SC-1012887-ST-076-EUR-03</t>
        </is>
      </c>
      <c r="C1697" t="inlineStr">
        <is>
          <t>1012887 → ST-076-EUR-03</t>
        </is>
      </c>
      <c r="D1697" s="19" t="inlineStr">
        <is>
          <t>2</t>
        </is>
      </c>
      <c r="E1697" s="19" t="inlineStr">
        <is>
          <t>842</t>
        </is>
      </c>
      <c r="F1697" s="19" t="inlineStr">
        <is>
          <t>206</t>
        </is>
      </c>
      <c r="G1697" s="19" t="n"/>
      <c r="H1697" s="19" t="inlineStr">
        <is>
          <t>2</t>
        </is>
      </c>
      <c r="I1697" s="19" t="n"/>
      <c r="J1697" s="19" t="n"/>
      <c r="K1697" s="19" t="inlineStr">
        <is>
          <t>2</t>
        </is>
      </c>
      <c r="L1697" t="inlineStr">
        <is>
          <t>2026-08-08</t>
        </is>
      </c>
      <c r="N1697" t="inlineStr">
        <is>
          <t>IN_SCOPE_FINAL; SOURCE_CFG=IA-ST-CFG-0240; MARKET=LAMPA ITALY İTALYA; STATUS=IN OEM / EU PACKAGE</t>
        </is>
      </c>
      <c r="O1697" t="inlineStr">
        <is>
          <t>2026-08-10T19:29:54Z</t>
        </is>
      </c>
      <c r="P1697" t="inlineStr">
        <is>
          <t>2026-08-10T19:29:54Z</t>
        </is>
      </c>
    </row>
    <row r="1698">
      <c r="A1698" s="19" t="inlineStr">
        <is>
          <t>1697</t>
        </is>
      </c>
      <c r="B1698" s="19" t="inlineStr">
        <is>
          <t>SC-1013189-ST-076-EUR-03</t>
        </is>
      </c>
      <c r="C1698" t="inlineStr">
        <is>
          <t>1013189 → ST-076-EUR-03</t>
        </is>
      </c>
      <c r="D1698" s="19" t="inlineStr">
        <is>
          <t>2</t>
        </is>
      </c>
      <c r="E1698" s="19" t="inlineStr">
        <is>
          <t>938</t>
        </is>
      </c>
      <c r="F1698" s="19" t="inlineStr">
        <is>
          <t>206</t>
        </is>
      </c>
      <c r="G1698" s="19" t="n"/>
      <c r="H1698" s="19" t="inlineStr">
        <is>
          <t>2</t>
        </is>
      </c>
      <c r="I1698" s="19" t="n"/>
      <c r="J1698" s="19" t="n"/>
      <c r="K1698" s="19" t="inlineStr">
        <is>
          <t>2</t>
        </is>
      </c>
      <c r="L1698" t="inlineStr">
        <is>
          <t>2026-08-08</t>
        </is>
      </c>
      <c r="N1698" t="inlineStr">
        <is>
          <t>IN_SCOPE_FINAL; SOURCE_CFG=IA-ST-CFG-0240; MARKET=LAMPA ITALY İTALYA; STATUS=IN OEM / EU PACKAGE</t>
        </is>
      </c>
      <c r="O1698" t="inlineStr">
        <is>
          <t>2026-08-10T19:29:54Z</t>
        </is>
      </c>
      <c r="P1698" t="inlineStr">
        <is>
          <t>2026-08-10T19:29:54Z</t>
        </is>
      </c>
    </row>
    <row r="1699">
      <c r="A1699" s="19" t="inlineStr">
        <is>
          <t>1698</t>
        </is>
      </c>
      <c r="B1699" s="19" t="inlineStr">
        <is>
          <t>SC-1013191-ST-076-EUR-03</t>
        </is>
      </c>
      <c r="C1699" t="inlineStr">
        <is>
          <t>1013191 → ST-076-EUR-03</t>
        </is>
      </c>
      <c r="D1699" s="19" t="inlineStr">
        <is>
          <t>2</t>
        </is>
      </c>
      <c r="E1699" s="19" t="inlineStr">
        <is>
          <t>939</t>
        </is>
      </c>
      <c r="F1699" s="19" t="inlineStr">
        <is>
          <t>206</t>
        </is>
      </c>
      <c r="G1699" s="19" t="n"/>
      <c r="H1699" s="19" t="inlineStr">
        <is>
          <t>2</t>
        </is>
      </c>
      <c r="I1699" s="19" t="n"/>
      <c r="J1699" s="19" t="n"/>
      <c r="K1699" s="19" t="inlineStr">
        <is>
          <t>2</t>
        </is>
      </c>
      <c r="L1699" t="inlineStr">
        <is>
          <t>2026-08-08</t>
        </is>
      </c>
      <c r="N1699" t="inlineStr">
        <is>
          <t>IN_SCOPE_FINAL; SOURCE_CFG=IA-ST-CFG-0240; MARKET=LAMPA ITALY İTALYA; STATUS=IN OEM / EU PACKAGE</t>
        </is>
      </c>
      <c r="O1699" t="inlineStr">
        <is>
          <t>2026-08-10T19:29:54Z</t>
        </is>
      </c>
      <c r="P1699" t="inlineStr">
        <is>
          <t>2026-08-10T19:29:54Z</t>
        </is>
      </c>
    </row>
    <row r="1700">
      <c r="A1700" s="19" t="inlineStr">
        <is>
          <t>1699</t>
        </is>
      </c>
      <c r="B1700" s="19" t="inlineStr">
        <is>
          <t>SC-1013193-ST-076-EUR-03</t>
        </is>
      </c>
      <c r="C1700" t="inlineStr">
        <is>
          <t>1013193 → ST-076-EUR-03</t>
        </is>
      </c>
      <c r="D1700" s="19" t="inlineStr">
        <is>
          <t>2</t>
        </is>
      </c>
      <c r="E1700" s="19" t="inlineStr">
        <is>
          <t>940</t>
        </is>
      </c>
      <c r="F1700" s="19" t="inlineStr">
        <is>
          <t>206</t>
        </is>
      </c>
      <c r="G1700" s="19" t="n"/>
      <c r="H1700" s="19" t="inlineStr">
        <is>
          <t>2</t>
        </is>
      </c>
      <c r="I1700" s="19" t="n"/>
      <c r="J1700" s="19" t="n"/>
      <c r="K1700" s="19" t="inlineStr">
        <is>
          <t>2</t>
        </is>
      </c>
      <c r="L1700" t="inlineStr">
        <is>
          <t>2026-08-08</t>
        </is>
      </c>
      <c r="N1700" t="inlineStr">
        <is>
          <t>IN_SCOPE_FINAL; SOURCE_CFG=IA-ST-CFG-0240; MARKET=LAMPA ITALY İTALYA; STATUS=IN OEM / EU PACKAGE</t>
        </is>
      </c>
      <c r="O1700" t="inlineStr">
        <is>
          <t>2026-08-10T19:29:54Z</t>
        </is>
      </c>
      <c r="P1700" t="inlineStr">
        <is>
          <t>2026-08-10T19:29:54Z</t>
        </is>
      </c>
    </row>
    <row r="1701">
      <c r="A1701" s="19" t="inlineStr">
        <is>
          <t>1700</t>
        </is>
      </c>
      <c r="B1701" s="19" t="inlineStr">
        <is>
          <t>SC-1013198-ST-076-EUR-03</t>
        </is>
      </c>
      <c r="C1701" t="inlineStr">
        <is>
          <t>1013198 → ST-076-EUR-03</t>
        </is>
      </c>
      <c r="D1701" s="19" t="inlineStr">
        <is>
          <t>2</t>
        </is>
      </c>
      <c r="E1701" s="19" t="inlineStr">
        <is>
          <t>944</t>
        </is>
      </c>
      <c r="F1701" s="19" t="inlineStr">
        <is>
          <t>206</t>
        </is>
      </c>
      <c r="G1701" s="19" t="n"/>
      <c r="H1701" s="19" t="inlineStr">
        <is>
          <t>2</t>
        </is>
      </c>
      <c r="I1701" s="19" t="n"/>
      <c r="J1701" s="19" t="n"/>
      <c r="K1701" s="19" t="inlineStr">
        <is>
          <t>2</t>
        </is>
      </c>
      <c r="L1701" t="inlineStr">
        <is>
          <t>2026-08-08</t>
        </is>
      </c>
      <c r="N1701" t="inlineStr">
        <is>
          <t>IN_SCOPE_FINAL; SOURCE_CFG=IA-ST-CFG-0240; MARKET=LAMPA ITALY İTALYA; STATUS=IN OEM / EU PACKAGE</t>
        </is>
      </c>
      <c r="O1701" t="inlineStr">
        <is>
          <t>2026-08-10T19:29:54Z</t>
        </is>
      </c>
      <c r="P1701" t="inlineStr">
        <is>
          <t>2026-08-10T19:29:54Z</t>
        </is>
      </c>
    </row>
    <row r="1702">
      <c r="A1702" s="19" t="inlineStr">
        <is>
          <t>1701</t>
        </is>
      </c>
      <c r="B1702" s="19" t="inlineStr">
        <is>
          <t>SC-1013311-ST-076-EUR-03</t>
        </is>
      </c>
      <c r="C1702" t="inlineStr">
        <is>
          <t>1013311 → ST-076-EUR-03</t>
        </is>
      </c>
      <c r="D1702" s="19" t="inlineStr">
        <is>
          <t>2</t>
        </is>
      </c>
      <c r="E1702" s="19" t="inlineStr">
        <is>
          <t>973</t>
        </is>
      </c>
      <c r="F1702" s="19" t="inlineStr">
        <is>
          <t>206</t>
        </is>
      </c>
      <c r="G1702" s="19" t="n"/>
      <c r="H1702" s="19" t="inlineStr">
        <is>
          <t>2</t>
        </is>
      </c>
      <c r="I1702" s="19" t="n"/>
      <c r="J1702" s="19" t="n"/>
      <c r="K1702" s="19" t="inlineStr">
        <is>
          <t>2</t>
        </is>
      </c>
      <c r="L1702" t="inlineStr">
        <is>
          <t>2026-08-08</t>
        </is>
      </c>
      <c r="N1702" t="inlineStr">
        <is>
          <t>IN_SCOPE_FINAL; SOURCE_CFG=IA-ST-CFG-0240; MARKET=CANARIBAT İSPANYA; STATUS=IN OEM / EU PACKAGE</t>
        </is>
      </c>
      <c r="O1702" t="inlineStr">
        <is>
          <t>2026-08-10T19:29:54Z</t>
        </is>
      </c>
      <c r="P1702" t="inlineStr">
        <is>
          <t>2026-08-10T19:29:54Z</t>
        </is>
      </c>
    </row>
    <row r="1703">
      <c r="A1703" s="19" t="inlineStr">
        <is>
          <t>1702</t>
        </is>
      </c>
      <c r="B1703" s="19" t="inlineStr">
        <is>
          <t>SC-1013462-ST-076-EUR-03</t>
        </is>
      </c>
      <c r="C1703" t="inlineStr">
        <is>
          <t>1013462 → ST-076-EUR-03</t>
        </is>
      </c>
      <c r="D1703" s="19" t="inlineStr">
        <is>
          <t>2</t>
        </is>
      </c>
      <c r="E1703" s="19" t="inlineStr">
        <is>
          <t>1007</t>
        </is>
      </c>
      <c r="F1703" s="19" t="inlineStr">
        <is>
          <t>206</t>
        </is>
      </c>
      <c r="G1703" s="19" t="n"/>
      <c r="H1703" s="19" t="inlineStr">
        <is>
          <t>2</t>
        </is>
      </c>
      <c r="I1703" s="19" t="n"/>
      <c r="J1703" s="19" t="n"/>
      <c r="K1703" s="19" t="inlineStr">
        <is>
          <t>2</t>
        </is>
      </c>
      <c r="L1703" t="inlineStr">
        <is>
          <t>2026-08-08</t>
        </is>
      </c>
      <c r="N1703" t="inlineStr">
        <is>
          <t>IN_SCOPE_FINAL; SOURCE_CFG=IA-ST-CFG-0240; MARKET=None; STATUS=IN OEM / EU PACKAGE</t>
        </is>
      </c>
      <c r="O1703" t="inlineStr">
        <is>
          <t>2026-08-10T19:29:54Z</t>
        </is>
      </c>
      <c r="P1703" t="inlineStr">
        <is>
          <t>2026-08-10T19:29:54Z</t>
        </is>
      </c>
    </row>
    <row r="1704">
      <c r="A1704" s="19" t="inlineStr">
        <is>
          <t>1703</t>
        </is>
      </c>
      <c r="B1704" s="19" t="inlineStr">
        <is>
          <t>SC-1013463-ST-076-EUR-03</t>
        </is>
      </c>
      <c r="C1704" t="inlineStr">
        <is>
          <t>1013463 → ST-076-EUR-03</t>
        </is>
      </c>
      <c r="D1704" s="19" t="inlineStr">
        <is>
          <t>2</t>
        </is>
      </c>
      <c r="E1704" s="19" t="inlineStr">
        <is>
          <t>1008</t>
        </is>
      </c>
      <c r="F1704" s="19" t="inlineStr">
        <is>
          <t>206</t>
        </is>
      </c>
      <c r="G1704" s="19" t="n"/>
      <c r="H1704" s="19" t="inlineStr">
        <is>
          <t>2</t>
        </is>
      </c>
      <c r="I1704" s="19" t="n"/>
      <c r="J1704" s="19" t="n"/>
      <c r="K1704" s="19" t="inlineStr">
        <is>
          <t>2</t>
        </is>
      </c>
      <c r="L1704" t="inlineStr">
        <is>
          <t>2026-08-08</t>
        </is>
      </c>
      <c r="N1704" t="inlineStr">
        <is>
          <t>IN_SCOPE_FINAL; SOURCE_CFG=IA-ST-CFG-0240; MARKET=None; STATUS=IN OEM / EU PACKAGE</t>
        </is>
      </c>
      <c r="O1704" t="inlineStr">
        <is>
          <t>2026-08-10T19:29:54Z</t>
        </is>
      </c>
      <c r="P1704" t="inlineStr">
        <is>
          <t>2026-08-10T19:29:54Z</t>
        </is>
      </c>
    </row>
    <row r="1705">
      <c r="A1705" s="19" t="inlineStr">
        <is>
          <t>1704</t>
        </is>
      </c>
      <c r="B1705" s="19" t="inlineStr">
        <is>
          <t>SC-1013742-ST-076-EUR-03</t>
        </is>
      </c>
      <c r="C1705" t="inlineStr">
        <is>
          <t>1013742 → ST-076-EUR-03</t>
        </is>
      </c>
      <c r="D1705" s="19" t="inlineStr">
        <is>
          <t>2</t>
        </is>
      </c>
      <c r="E1705" s="19" t="inlineStr">
        <is>
          <t>1082</t>
        </is>
      </c>
      <c r="F1705" s="19" t="inlineStr">
        <is>
          <t>206</t>
        </is>
      </c>
      <c r="G1705" s="19" t="n"/>
      <c r="H1705" s="19" t="inlineStr">
        <is>
          <t>2</t>
        </is>
      </c>
      <c r="I1705" s="19" t="n"/>
      <c r="J1705" s="19" t="n"/>
      <c r="K1705" s="19" t="inlineStr">
        <is>
          <t>2</t>
        </is>
      </c>
      <c r="L1705" t="inlineStr">
        <is>
          <t>2026-08-08</t>
        </is>
      </c>
      <c r="N1705" t="inlineStr">
        <is>
          <t>IN_SCOPE_FINAL; SOURCE_CFG=IA-ST-CFG-0240; MARKET=None; STATUS=IN OEM / EU PACKAGE</t>
        </is>
      </c>
      <c r="O1705" t="inlineStr">
        <is>
          <t>2026-08-10T19:29:54Z</t>
        </is>
      </c>
      <c r="P1705" t="inlineStr">
        <is>
          <t>2026-08-10T19:29:54Z</t>
        </is>
      </c>
    </row>
    <row r="1706">
      <c r="A1706" s="19" t="inlineStr">
        <is>
          <t>1705</t>
        </is>
      </c>
      <c r="B1706" s="19" t="inlineStr">
        <is>
          <t>SC-1013974-ST-076-EUR-03</t>
        </is>
      </c>
      <c r="C1706" t="inlineStr">
        <is>
          <t>1013974 → ST-076-EUR-03</t>
        </is>
      </c>
      <c r="D1706" s="19" t="inlineStr">
        <is>
          <t>2</t>
        </is>
      </c>
      <c r="E1706" s="19" t="inlineStr">
        <is>
          <t>1151</t>
        </is>
      </c>
      <c r="F1706" s="19" t="inlineStr">
        <is>
          <t>206</t>
        </is>
      </c>
      <c r="G1706" s="19" t="n"/>
      <c r="H1706" s="19" t="inlineStr">
        <is>
          <t>2</t>
        </is>
      </c>
      <c r="I1706" s="19" t="n"/>
      <c r="J1706" s="19" t="n"/>
      <c r="K1706" s="19" t="inlineStr">
        <is>
          <t>2</t>
        </is>
      </c>
      <c r="L1706" t="inlineStr">
        <is>
          <t>2026-08-08</t>
        </is>
      </c>
      <c r="N1706" t="inlineStr">
        <is>
          <t>IN_SCOPE_FINAL; SOURCE_CFG=IA-ST-CFG-0240; MARKET=None; STATUS=IN OEM / EU PACKAGE</t>
        </is>
      </c>
      <c r="O1706" t="inlineStr">
        <is>
          <t>2026-08-10T19:29:54Z</t>
        </is>
      </c>
      <c r="P1706" t="inlineStr">
        <is>
          <t>2026-08-10T19:29:54Z</t>
        </is>
      </c>
    </row>
    <row r="1707">
      <c r="A1707" s="19" t="inlineStr">
        <is>
          <t>1706</t>
        </is>
      </c>
      <c r="B1707" s="19" t="inlineStr">
        <is>
          <t>SC-1014618-ST-076-EUR-03</t>
        </is>
      </c>
      <c r="C1707" t="inlineStr">
        <is>
          <t>1014618 → ST-076-EUR-03</t>
        </is>
      </c>
      <c r="D1707" s="19" t="inlineStr">
        <is>
          <t>2</t>
        </is>
      </c>
      <c r="E1707" s="19" t="inlineStr">
        <is>
          <t>1493</t>
        </is>
      </c>
      <c r="F1707" s="19" t="inlineStr">
        <is>
          <t>206</t>
        </is>
      </c>
      <c r="G1707" s="19" t="n"/>
      <c r="H1707" s="19" t="inlineStr">
        <is>
          <t>2</t>
        </is>
      </c>
      <c r="I1707" s="19" t="n"/>
      <c r="J1707" s="19" t="n"/>
      <c r="K1707" s="19" t="inlineStr">
        <is>
          <t>2</t>
        </is>
      </c>
      <c r="L1707" t="inlineStr">
        <is>
          <t>2026-08-08</t>
        </is>
      </c>
      <c r="N1707" t="inlineStr">
        <is>
          <t>IN_SCOPE_FINAL; SOURCE_CFG=IA-ST-CFG-0240; MARKET=LAMPA ITALY İTALYA; STATUS=IN OEM / EU PACKAGE</t>
        </is>
      </c>
      <c r="O1707" t="inlineStr">
        <is>
          <t>2026-08-10T19:29:54Z</t>
        </is>
      </c>
      <c r="P1707" t="inlineStr">
        <is>
          <t>2026-08-10T19:29:54Z</t>
        </is>
      </c>
    </row>
    <row r="1708">
      <c r="A1708" s="19" t="inlineStr">
        <is>
          <t>1707</t>
        </is>
      </c>
      <c r="B1708" s="19" t="inlineStr">
        <is>
          <t>SC-1014856-ST-076-EUR-03</t>
        </is>
      </c>
      <c r="C1708" t="inlineStr">
        <is>
          <t>1014856 → ST-076-EUR-03</t>
        </is>
      </c>
      <c r="D1708" s="19" t="inlineStr">
        <is>
          <t>2</t>
        </is>
      </c>
      <c r="E1708" s="19" t="inlineStr">
        <is>
          <t>1639</t>
        </is>
      </c>
      <c r="F1708" s="19" t="inlineStr">
        <is>
          <t>206</t>
        </is>
      </c>
      <c r="G1708" s="19" t="n"/>
      <c r="H1708" s="19" t="inlineStr">
        <is>
          <t>2</t>
        </is>
      </c>
      <c r="I1708" s="19" t="n"/>
      <c r="J1708" s="19" t="n"/>
      <c r="K1708" s="19" t="inlineStr">
        <is>
          <t>2</t>
        </is>
      </c>
      <c r="L1708" t="inlineStr">
        <is>
          <t>2026-08-08</t>
        </is>
      </c>
      <c r="N1708" t="inlineStr">
        <is>
          <t>IN_SCOPE_FINAL; SOURCE_CFG=IA-ST-CFG-0240; MARKET=ALEX ARABATZIS BSA(YUNANİSTAN); STATUS=IN OEM / EU PACKAGE</t>
        </is>
      </c>
      <c r="O1708" t="inlineStr">
        <is>
          <t>2026-08-10T19:29:54Z</t>
        </is>
      </c>
      <c r="P1708" t="inlineStr">
        <is>
          <t>2026-08-10T19:29:54Z</t>
        </is>
      </c>
    </row>
    <row r="1709">
      <c r="A1709" s="19" t="inlineStr">
        <is>
          <t>1708</t>
        </is>
      </c>
      <c r="B1709" s="19" t="inlineStr">
        <is>
          <t>SC-1014857-ST-076-EUR-03</t>
        </is>
      </c>
      <c r="C1709" t="inlineStr">
        <is>
          <t>1014857 → ST-076-EUR-03</t>
        </is>
      </c>
      <c r="D1709" s="19" t="inlineStr">
        <is>
          <t>2</t>
        </is>
      </c>
      <c r="E1709" s="19" t="inlineStr">
        <is>
          <t>1640</t>
        </is>
      </c>
      <c r="F1709" s="19" t="inlineStr">
        <is>
          <t>206</t>
        </is>
      </c>
      <c r="G1709" s="19" t="n"/>
      <c r="H1709" s="19" t="inlineStr">
        <is>
          <t>2</t>
        </is>
      </c>
      <c r="I1709" s="19" t="n"/>
      <c r="J1709" s="19" t="n"/>
      <c r="K1709" s="19" t="inlineStr">
        <is>
          <t>2</t>
        </is>
      </c>
      <c r="L1709" t="inlineStr">
        <is>
          <t>2026-08-08</t>
        </is>
      </c>
      <c r="N1709" t="inlineStr">
        <is>
          <t>IN_SCOPE_FINAL; SOURCE_CFG=IA-ST-CFG-0240; MARKET=ALEX ARABATZIS BSA(YUNANİSTAN); STATUS=IN OEM / EU PACKAGE</t>
        </is>
      </c>
      <c r="O1709" t="inlineStr">
        <is>
          <t>2026-08-10T19:29:54Z</t>
        </is>
      </c>
      <c r="P1709" t="inlineStr">
        <is>
          <t>2026-08-10T19:29:54Z</t>
        </is>
      </c>
    </row>
    <row r="1710">
      <c r="A1710" s="19" t="inlineStr">
        <is>
          <t>1709</t>
        </is>
      </c>
      <c r="B1710" s="19" t="inlineStr">
        <is>
          <t>SC-1014914-ST-076-EUR-03</t>
        </is>
      </c>
      <c r="C1710" t="inlineStr">
        <is>
          <t>1014914 → ST-076-EUR-03</t>
        </is>
      </c>
      <c r="D1710" s="19" t="inlineStr">
        <is>
          <t>2</t>
        </is>
      </c>
      <c r="E1710" s="19" t="inlineStr">
        <is>
          <t>1682</t>
        </is>
      </c>
      <c r="F1710" s="19" t="inlineStr">
        <is>
          <t>206</t>
        </is>
      </c>
      <c r="G1710" s="19" t="n"/>
      <c r="H1710" s="19" t="inlineStr">
        <is>
          <t>2</t>
        </is>
      </c>
      <c r="I1710" s="19" t="n"/>
      <c r="J1710" s="19" t="n"/>
      <c r="K1710" s="19" t="inlineStr">
        <is>
          <t>2</t>
        </is>
      </c>
      <c r="L1710" t="inlineStr">
        <is>
          <t>2026-08-08</t>
        </is>
      </c>
      <c r="N1710" t="inlineStr">
        <is>
          <t>IN_SCOPE_FINAL; SOURCE_CFG=IA-ST-CFG-0240; MARKET=ALEX ARABATZIS BSA(YUNANİSTAN); STATUS=IN OEM / EU PACKAGE</t>
        </is>
      </c>
      <c r="O1710" t="inlineStr">
        <is>
          <t>2026-08-10T19:29:54Z</t>
        </is>
      </c>
      <c r="P1710" t="inlineStr">
        <is>
          <t>2026-08-10T19:29:54Z</t>
        </is>
      </c>
    </row>
    <row r="1711">
      <c r="A1711" s="19" t="inlineStr">
        <is>
          <t>1710</t>
        </is>
      </c>
      <c r="B1711" s="19" t="inlineStr">
        <is>
          <t>SC-1014943-ST-076-EUR-03</t>
        </is>
      </c>
      <c r="C1711" t="inlineStr">
        <is>
          <t>1014943 → ST-076-EUR-03</t>
        </is>
      </c>
      <c r="D1711" s="19" t="inlineStr">
        <is>
          <t>2</t>
        </is>
      </c>
      <c r="E1711" s="19" t="inlineStr">
        <is>
          <t>1710</t>
        </is>
      </c>
      <c r="F1711" s="19" t="inlineStr">
        <is>
          <t>206</t>
        </is>
      </c>
      <c r="G1711" s="19" t="n"/>
      <c r="H1711" s="19" t="inlineStr">
        <is>
          <t>2</t>
        </is>
      </c>
      <c r="I1711" s="19" t="n"/>
      <c r="J1711" s="19" t="n"/>
      <c r="K1711" s="19" t="inlineStr">
        <is>
          <t>2</t>
        </is>
      </c>
      <c r="L1711" t="inlineStr">
        <is>
          <t>2026-08-08</t>
        </is>
      </c>
      <c r="N1711" t="inlineStr">
        <is>
          <t>IN_SCOPE_FINAL; SOURCE_CFG=IA-ST-CFG-0240; MARKET=ALEX ARABATZIS BSA(YUNANİSTAN); STATUS=IN OEM / EU PACKAGE</t>
        </is>
      </c>
      <c r="O1711" t="inlineStr">
        <is>
          <t>2026-08-10T19:29:54Z</t>
        </is>
      </c>
      <c r="P1711" t="inlineStr">
        <is>
          <t>2026-08-10T19:29:54Z</t>
        </is>
      </c>
    </row>
    <row r="1712">
      <c r="A1712" s="19" t="inlineStr">
        <is>
          <t>1711</t>
        </is>
      </c>
      <c r="B1712" s="19" t="inlineStr">
        <is>
          <t>SC-1012886-ST-076-EUR-03</t>
        </is>
      </c>
      <c r="C1712" t="inlineStr">
        <is>
          <t>1012886 → ST-076-EUR-03</t>
        </is>
      </c>
      <c r="D1712" s="19" t="inlineStr">
        <is>
          <t>2</t>
        </is>
      </c>
      <c r="E1712" s="19" t="inlineStr">
        <is>
          <t>841</t>
        </is>
      </c>
      <c r="F1712" s="19" t="inlineStr">
        <is>
          <t>206</t>
        </is>
      </c>
      <c r="G1712" s="19" t="n"/>
      <c r="H1712" s="19" t="inlineStr">
        <is>
          <t>2</t>
        </is>
      </c>
      <c r="I1712" s="19" t="n"/>
      <c r="J1712" s="19" t="n"/>
      <c r="K1712" s="19" t="inlineStr">
        <is>
          <t>2</t>
        </is>
      </c>
      <c r="L1712" t="inlineStr">
        <is>
          <t>2026-08-08</t>
        </is>
      </c>
      <c r="N1712" t="inlineStr">
        <is>
          <t>IN_SCOPE_FINAL; SOURCE_CFG=IA-ST-CFG-0240; MARKET=LAMPA ITALY İTALYA; STATUS=IN OEM / EU PACKAGE</t>
        </is>
      </c>
      <c r="O1712" t="inlineStr">
        <is>
          <t>2026-08-10T19:29:54Z</t>
        </is>
      </c>
      <c r="P1712" t="inlineStr">
        <is>
          <t>2026-08-10T19:29:54Z</t>
        </is>
      </c>
    </row>
    <row r="1713">
      <c r="A1713" s="19" t="inlineStr">
        <is>
          <t>1712</t>
        </is>
      </c>
      <c r="B1713" s="19" t="inlineStr">
        <is>
          <t>SC-1013838-ST-076-EUR-03</t>
        </is>
      </c>
      <c r="C1713" t="inlineStr">
        <is>
          <t>1013838 → ST-076-EUR-03</t>
        </is>
      </c>
      <c r="D1713" s="19" t="inlineStr">
        <is>
          <t>2</t>
        </is>
      </c>
      <c r="E1713" s="19" t="inlineStr">
        <is>
          <t>1104</t>
        </is>
      </c>
      <c r="F1713" s="19" t="inlineStr">
        <is>
          <t>206</t>
        </is>
      </c>
      <c r="G1713" s="19" t="n"/>
      <c r="H1713" s="19" t="inlineStr">
        <is>
          <t>2</t>
        </is>
      </c>
      <c r="I1713" s="19" t="n"/>
      <c r="J1713" s="19" t="n"/>
      <c r="K1713" s="19" t="inlineStr">
        <is>
          <t>2</t>
        </is>
      </c>
      <c r="L1713" t="inlineStr">
        <is>
          <t>2026-08-08</t>
        </is>
      </c>
      <c r="N1713" t="inlineStr">
        <is>
          <t>IN_SCOPE_FINAL; SOURCE_CFG=IA-ST-CFG-0240; MARKET=None; STATUS=IN OEM / EU PACKAGE</t>
        </is>
      </c>
      <c r="O1713" t="inlineStr">
        <is>
          <t>2026-08-10T19:29:54Z</t>
        </is>
      </c>
      <c r="P1713" t="inlineStr">
        <is>
          <t>2026-08-10T19:29:54Z</t>
        </is>
      </c>
    </row>
    <row r="1714">
      <c r="A1714" s="19" t="inlineStr">
        <is>
          <t>1713</t>
        </is>
      </c>
      <c r="B1714" s="19" t="inlineStr">
        <is>
          <t>SC-1014176-ST-076-EUR-03</t>
        </is>
      </c>
      <c r="C1714" t="inlineStr">
        <is>
          <t>1014176 → ST-076-EUR-03</t>
        </is>
      </c>
      <c r="D1714" s="19" t="inlineStr">
        <is>
          <t>2</t>
        </is>
      </c>
      <c r="E1714" s="19" t="inlineStr">
        <is>
          <t>1255</t>
        </is>
      </c>
      <c r="F1714" s="19" t="inlineStr">
        <is>
          <t>206</t>
        </is>
      </c>
      <c r="G1714" s="19" t="n"/>
      <c r="H1714" s="19" t="inlineStr">
        <is>
          <t>2</t>
        </is>
      </c>
      <c r="I1714" s="19" t="n"/>
      <c r="J1714" s="19" t="n"/>
      <c r="K1714" s="19" t="inlineStr">
        <is>
          <t>2</t>
        </is>
      </c>
      <c r="L1714" t="inlineStr">
        <is>
          <t>2026-08-08</t>
        </is>
      </c>
      <c r="N1714" t="inlineStr">
        <is>
          <t>IN_SCOPE_FINAL; SOURCE_CFG=IA-ST-CFG-0240; MARKET=None; STATUS=IN OEM / EU PACKAGE</t>
        </is>
      </c>
      <c r="O1714" t="inlineStr">
        <is>
          <t>2026-08-10T19:29:54Z</t>
        </is>
      </c>
      <c r="P1714" t="inlineStr">
        <is>
          <t>2026-08-10T19:29:54Z</t>
        </is>
      </c>
    </row>
    <row r="1715">
      <c r="A1715" s="19" t="inlineStr">
        <is>
          <t>1714</t>
        </is>
      </c>
      <c r="B1715" s="19" t="inlineStr">
        <is>
          <t>SC-1014915-ST-076-EUR-03</t>
        </is>
      </c>
      <c r="C1715" t="inlineStr">
        <is>
          <t>1014915 → ST-076-EUR-03</t>
        </is>
      </c>
      <c r="D1715" s="19" t="inlineStr">
        <is>
          <t>2</t>
        </is>
      </c>
      <c r="E1715" s="19" t="inlineStr">
        <is>
          <t>1683</t>
        </is>
      </c>
      <c r="F1715" s="19" t="inlineStr">
        <is>
          <t>206</t>
        </is>
      </c>
      <c r="G1715" s="19" t="n"/>
      <c r="H1715" s="19" t="inlineStr">
        <is>
          <t>2</t>
        </is>
      </c>
      <c r="I1715" s="19" t="n"/>
      <c r="J1715" s="19" t="n"/>
      <c r="K1715" s="19" t="inlineStr">
        <is>
          <t>2</t>
        </is>
      </c>
      <c r="L1715" t="inlineStr">
        <is>
          <t>2026-08-08</t>
        </is>
      </c>
      <c r="N1715" t="inlineStr">
        <is>
          <t>IN_SCOPE_FINAL; SOURCE_CFG=IA-ST-CFG-0240; MARKET=ALEX ARABATZIS BSA(YUNANİSTAN); STATUS=IN OEM / EU PACKAGE</t>
        </is>
      </c>
      <c r="O1715" t="inlineStr">
        <is>
          <t>2026-08-10T19:29:54Z</t>
        </is>
      </c>
      <c r="P1715" t="inlineStr">
        <is>
          <t>2026-08-10T19:29:54Z</t>
        </is>
      </c>
    </row>
    <row r="1716">
      <c r="A1716" s="19" t="inlineStr">
        <is>
          <t>1715</t>
        </is>
      </c>
      <c r="B1716" s="19" t="inlineStr">
        <is>
          <t>SC-1006652-ST-076-EUR-04</t>
        </is>
      </c>
      <c r="C1716" t="inlineStr">
        <is>
          <t>1006652 → ST-076-EUR-04</t>
        </is>
      </c>
      <c r="D1716" s="19" t="inlineStr">
        <is>
          <t>2</t>
        </is>
      </c>
      <c r="E1716" s="19" t="inlineStr">
        <is>
          <t>63</t>
        </is>
      </c>
      <c r="F1716" s="19" t="inlineStr">
        <is>
          <t>207</t>
        </is>
      </c>
      <c r="G1716" s="19" t="n"/>
      <c r="H1716" s="19" t="inlineStr">
        <is>
          <t>2</t>
        </is>
      </c>
      <c r="I1716" s="19" t="n"/>
      <c r="J1716" s="19" t="n"/>
      <c r="K1716" s="19" t="inlineStr">
        <is>
          <t>2</t>
        </is>
      </c>
      <c r="L1716" t="inlineStr">
        <is>
          <t>2026-08-08</t>
        </is>
      </c>
      <c r="N1716" t="inlineStr">
        <is>
          <t>IN_SCOPE_FINAL; SOURCE_CFG=IA-ST-CFG-0241; MARKET=DORFELT ALMANYA; STATUS=IN OEM / EU PACKAGE</t>
        </is>
      </c>
      <c r="O1716" t="inlineStr">
        <is>
          <t>2026-08-10T19:29:54Z</t>
        </is>
      </c>
      <c r="P1716" t="inlineStr">
        <is>
          <t>2026-08-10T19:29:54Z</t>
        </is>
      </c>
    </row>
    <row r="1717">
      <c r="A1717" s="19" t="inlineStr">
        <is>
          <t>1716</t>
        </is>
      </c>
      <c r="B1717" s="19" t="inlineStr">
        <is>
          <t>SC-1013624-ST-076-EUR-04</t>
        </is>
      </c>
      <c r="C1717" t="inlineStr">
        <is>
          <t>1013624 → ST-076-EUR-04</t>
        </is>
      </c>
      <c r="D1717" s="19" t="inlineStr">
        <is>
          <t>2</t>
        </is>
      </c>
      <c r="E1717" s="19" t="inlineStr">
        <is>
          <t>1045</t>
        </is>
      </c>
      <c r="F1717" s="19" t="inlineStr">
        <is>
          <t>207</t>
        </is>
      </c>
      <c r="G1717" s="19" t="n"/>
      <c r="H1717" s="19" t="inlineStr">
        <is>
          <t>2</t>
        </is>
      </c>
      <c r="I1717" s="19" t="n"/>
      <c r="J1717" s="19" t="n"/>
      <c r="K1717" s="19" t="inlineStr">
        <is>
          <t>2</t>
        </is>
      </c>
      <c r="L1717" t="inlineStr">
        <is>
          <t>2026-08-08</t>
        </is>
      </c>
      <c r="N1717" t="inlineStr">
        <is>
          <t>IN_SCOPE_FINAL; SOURCE_CFG=IA-ST-CFG-0241; MARKET=CAR PARTS DISTRIBUZIONE İTALYA; STATUS=IN OEM / EU PACKAGE</t>
        </is>
      </c>
      <c r="O1717" t="inlineStr">
        <is>
          <t>2026-08-10T19:29:54Z</t>
        </is>
      </c>
      <c r="P1717" t="inlineStr">
        <is>
          <t>2026-08-10T19:29:54Z</t>
        </is>
      </c>
    </row>
    <row r="1718">
      <c r="A1718" s="19" t="inlineStr">
        <is>
          <t>1717</t>
        </is>
      </c>
      <c r="B1718" s="19" t="inlineStr">
        <is>
          <t>SC-1013628-ST-076-EUR-04</t>
        </is>
      </c>
      <c r="C1718" t="inlineStr">
        <is>
          <t>1013628 → ST-076-EUR-04</t>
        </is>
      </c>
      <c r="D1718" s="19" t="inlineStr">
        <is>
          <t>2</t>
        </is>
      </c>
      <c r="E1718" s="19" t="inlineStr">
        <is>
          <t>1048</t>
        </is>
      </c>
      <c r="F1718" s="19" t="inlineStr">
        <is>
          <t>207</t>
        </is>
      </c>
      <c r="G1718" s="19" t="n"/>
      <c r="H1718" s="19" t="inlineStr">
        <is>
          <t>2</t>
        </is>
      </c>
      <c r="I1718" s="19" t="n"/>
      <c r="J1718" s="19" t="n"/>
      <c r="K1718" s="19" t="inlineStr">
        <is>
          <t>2</t>
        </is>
      </c>
      <c r="L1718" t="inlineStr">
        <is>
          <t>2026-08-08</t>
        </is>
      </c>
      <c r="N1718" t="inlineStr">
        <is>
          <t>IN_SCOPE_FINAL; SOURCE_CFG=IA-ST-CFG-0241; MARKET=CAR PARTS DISTRIBUZIONE İTALYA; STATUS=IN OEM / EU PACKAGE</t>
        </is>
      </c>
      <c r="O1718" t="inlineStr">
        <is>
          <t>2026-08-10T19:29:54Z</t>
        </is>
      </c>
      <c r="P1718" t="inlineStr">
        <is>
          <t>2026-08-10T19:29:54Z</t>
        </is>
      </c>
    </row>
    <row r="1719">
      <c r="A1719" s="19" t="inlineStr">
        <is>
          <t>1718</t>
        </is>
      </c>
      <c r="B1719" s="19" t="inlineStr">
        <is>
          <t>SC-1013629-ST-076-EUR-04</t>
        </is>
      </c>
      <c r="C1719" t="inlineStr">
        <is>
          <t>1013629 → ST-076-EUR-04</t>
        </is>
      </c>
      <c r="D1719" s="19" t="inlineStr">
        <is>
          <t>2</t>
        </is>
      </c>
      <c r="E1719" s="19" t="inlineStr">
        <is>
          <t>1049</t>
        </is>
      </c>
      <c r="F1719" s="19" t="inlineStr">
        <is>
          <t>207</t>
        </is>
      </c>
      <c r="G1719" s="19" t="n"/>
      <c r="H1719" s="19" t="inlineStr">
        <is>
          <t>2</t>
        </is>
      </c>
      <c r="I1719" s="19" t="n"/>
      <c r="J1719" s="19" t="n"/>
      <c r="K1719" s="19" t="inlineStr">
        <is>
          <t>2</t>
        </is>
      </c>
      <c r="L1719" t="inlineStr">
        <is>
          <t>2026-08-08</t>
        </is>
      </c>
      <c r="N1719" t="inlineStr">
        <is>
          <t>IN_SCOPE_FINAL; SOURCE_CFG=IA-ST-CFG-0241; MARKET=CAR PARTS DISTRIBUZIONE İTALYA; STATUS=IN OEM / EU PACKAGE</t>
        </is>
      </c>
      <c r="O1719" t="inlineStr">
        <is>
          <t>2026-08-10T19:29:54Z</t>
        </is>
      </c>
      <c r="P1719" t="inlineStr">
        <is>
          <t>2026-08-10T19:29:54Z</t>
        </is>
      </c>
    </row>
    <row r="1720">
      <c r="A1720" s="19" t="inlineStr">
        <is>
          <t>1719</t>
        </is>
      </c>
      <c r="B1720" s="19" t="inlineStr">
        <is>
          <t>SC-1014814-ST-076-EUR-04</t>
        </is>
      </c>
      <c r="C1720" t="inlineStr">
        <is>
          <t>1014814 → ST-076-EUR-04</t>
        </is>
      </c>
      <c r="D1720" s="19" t="inlineStr">
        <is>
          <t>2</t>
        </is>
      </c>
      <c r="E1720" s="19" t="inlineStr">
        <is>
          <t>1619</t>
        </is>
      </c>
      <c r="F1720" s="19" t="inlineStr">
        <is>
          <t>207</t>
        </is>
      </c>
      <c r="G1720" s="19" t="n"/>
      <c r="H1720" s="19" t="inlineStr">
        <is>
          <t>2</t>
        </is>
      </c>
      <c r="I1720" s="19" t="n"/>
      <c r="J1720" s="19" t="n"/>
      <c r="K1720" s="19" t="inlineStr">
        <is>
          <t>2</t>
        </is>
      </c>
      <c r="L1720" t="inlineStr">
        <is>
          <t>2026-08-08</t>
        </is>
      </c>
      <c r="N1720" t="inlineStr">
        <is>
          <t>IN_SCOPE_FINAL; SOURCE_CFG=IA-ST-CFG-0241; MARKET=CAR PARTS DISTRIBUZIONE İTALYA; STATUS=IN OEM / EU PACKAGE</t>
        </is>
      </c>
      <c r="O1720" t="inlineStr">
        <is>
          <t>2026-08-10T19:29:54Z</t>
        </is>
      </c>
      <c r="P1720" t="inlineStr">
        <is>
          <t>2026-08-10T19:29:54Z</t>
        </is>
      </c>
    </row>
    <row r="1721">
      <c r="A1721" s="19" t="inlineStr">
        <is>
          <t>1720</t>
        </is>
      </c>
      <c r="B1721" s="19" t="inlineStr">
        <is>
          <t>SC-1014399-ST-080-EUR-01</t>
        </is>
      </c>
      <c r="C1721" t="inlineStr">
        <is>
          <t>1014399 → ST-080-EUR-01</t>
        </is>
      </c>
      <c r="D1721" s="19" t="inlineStr">
        <is>
          <t>2</t>
        </is>
      </c>
      <c r="E1721" s="19" t="inlineStr">
        <is>
          <t>1348</t>
        </is>
      </c>
      <c r="F1721" s="19" t="inlineStr">
        <is>
          <t>208</t>
        </is>
      </c>
      <c r="G1721" s="19" t="n"/>
      <c r="H1721" s="19" t="inlineStr">
        <is>
          <t>2</t>
        </is>
      </c>
      <c r="I1721" s="19" t="n"/>
      <c r="J1721" s="19" t="n"/>
      <c r="K1721" s="19" t="inlineStr">
        <is>
          <t>2</t>
        </is>
      </c>
      <c r="L1721" t="inlineStr">
        <is>
          <t>2026-08-08</t>
        </is>
      </c>
      <c r="N1721" t="inlineStr">
        <is>
          <t>IN_SCOPE_FINAL; SOURCE_CFG=IA-ST-CFG-0243; MARKET=YURT İÇİ AFM; STATUS=IN OEM / EU PACKAGE</t>
        </is>
      </c>
      <c r="O1721" t="inlineStr">
        <is>
          <t>2026-08-10T19:29:54Z</t>
        </is>
      </c>
      <c r="P1721" t="inlineStr">
        <is>
          <t>2026-08-10T19:29:54Z</t>
        </is>
      </c>
    </row>
    <row r="1722">
      <c r="A1722" s="19" t="inlineStr">
        <is>
          <t>1721</t>
        </is>
      </c>
      <c r="B1722" s="19" t="inlineStr">
        <is>
          <t>SC-1013225-ST-081-EUR-01</t>
        </is>
      </c>
      <c r="C1722" t="inlineStr">
        <is>
          <t>1013225 → ST-081-EUR-01</t>
        </is>
      </c>
      <c r="D1722" s="19" t="inlineStr">
        <is>
          <t>2</t>
        </is>
      </c>
      <c r="E1722" s="19" t="inlineStr">
        <is>
          <t>952</t>
        </is>
      </c>
      <c r="F1722" s="19" t="inlineStr">
        <is>
          <t>209</t>
        </is>
      </c>
      <c r="G1722" s="19" t="n"/>
      <c r="H1722" s="19" t="inlineStr">
        <is>
          <t>2</t>
        </is>
      </c>
      <c r="I1722" s="19" t="n"/>
      <c r="J1722" s="19" t="n"/>
      <c r="K1722" s="19" t="inlineStr">
        <is>
          <t>2</t>
        </is>
      </c>
      <c r="L1722" t="inlineStr">
        <is>
          <t>2026-08-08</t>
        </is>
      </c>
      <c r="N1722" t="inlineStr">
        <is>
          <t>IN_SCOPE_FINAL; SOURCE_CFG=IA-ST-CFG-0245; MARKET=GY EUR; STATUS=IN OEM / EU PACKAGE</t>
        </is>
      </c>
      <c r="O1722" t="inlineStr">
        <is>
          <t>2026-08-10T19:29:54Z</t>
        </is>
      </c>
      <c r="P1722" t="inlineStr">
        <is>
          <t>2026-08-10T19:29:54Z</t>
        </is>
      </c>
    </row>
    <row r="1723">
      <c r="A1723" s="19" t="inlineStr">
        <is>
          <t>1722</t>
        </is>
      </c>
      <c r="B1723" s="19" t="inlineStr">
        <is>
          <t>SC-1014476-ST-087-STD-01</t>
        </is>
      </c>
      <c r="C1723" t="inlineStr">
        <is>
          <t>1014476 → ST-087-STD-01</t>
        </is>
      </c>
      <c r="D1723" s="19" t="inlineStr">
        <is>
          <t>2</t>
        </is>
      </c>
      <c r="E1723" s="19" t="inlineStr">
        <is>
          <t>1406</t>
        </is>
      </c>
      <c r="F1723" s="19" t="inlineStr">
        <is>
          <t>211</t>
        </is>
      </c>
      <c r="G1723" s="19" t="n"/>
      <c r="H1723" s="19" t="inlineStr">
        <is>
          <t>2</t>
        </is>
      </c>
      <c r="I1723" s="19" t="n"/>
      <c r="J1723" s="19" t="n"/>
      <c r="K1723" s="19" t="inlineStr">
        <is>
          <t>2</t>
        </is>
      </c>
      <c r="L1723" t="inlineStr">
        <is>
          <t>2026-08-08</t>
        </is>
      </c>
      <c r="N1723" t="inlineStr">
        <is>
          <t>IN_SCOPE_FINAL; SOURCE_CFG=IA-ST-CFG-0246; MARKET=REDMAY URUGUAY; STATUS=IN OEM / EU PACKAGE</t>
        </is>
      </c>
      <c r="O1723" t="inlineStr">
        <is>
          <t>2026-08-10T19:29:54Z</t>
        </is>
      </c>
      <c r="P1723" t="inlineStr">
        <is>
          <t>2026-08-10T19:29:54Z</t>
        </is>
      </c>
    </row>
    <row r="1724">
      <c r="A1724" s="19" t="inlineStr">
        <is>
          <t>1723</t>
        </is>
      </c>
      <c r="B1724" s="19" t="inlineStr">
        <is>
          <t>SC-1014721-ST-087-STD-01</t>
        </is>
      </c>
      <c r="C1724" t="inlineStr">
        <is>
          <t>1014721 → ST-087-STD-01</t>
        </is>
      </c>
      <c r="D1724" s="19" t="inlineStr">
        <is>
          <t>2</t>
        </is>
      </c>
      <c r="E1724" s="19" t="inlineStr">
        <is>
          <t>1564</t>
        </is>
      </c>
      <c r="F1724" s="19" t="inlineStr">
        <is>
          <t>211</t>
        </is>
      </c>
      <c r="G1724" s="19" t="n"/>
      <c r="H1724" s="19" t="inlineStr">
        <is>
          <t>2</t>
        </is>
      </c>
      <c r="I1724" s="19" t="n"/>
      <c r="J1724" s="19" t="n"/>
      <c r="K1724" s="19" t="inlineStr">
        <is>
          <t>2</t>
        </is>
      </c>
      <c r="L1724" t="inlineStr">
        <is>
          <t>2026-08-08</t>
        </is>
      </c>
      <c r="N1724" t="inlineStr">
        <is>
          <t>IN_SCOPE_FINAL; SOURCE_CFG=IA-ST-CFG-0246; MARKET=None; STATUS=IN OEM / EU PACKAGE</t>
        </is>
      </c>
      <c r="O1724" t="inlineStr">
        <is>
          <t>2026-08-10T19:29:54Z</t>
        </is>
      </c>
      <c r="P1724" t="inlineStr">
        <is>
          <t>2026-08-10T19:29:54Z</t>
        </is>
      </c>
    </row>
    <row r="1725">
      <c r="A1725" s="19" t="inlineStr">
        <is>
          <t>1724</t>
        </is>
      </c>
      <c r="B1725" s="19" t="inlineStr">
        <is>
          <t>SC-1011878-ST-087-STD-02</t>
        </is>
      </c>
      <c r="C1725" t="inlineStr">
        <is>
          <t>1011878 → ST-087-STD-02</t>
        </is>
      </c>
      <c r="D1725" s="19" t="inlineStr">
        <is>
          <t>2</t>
        </is>
      </c>
      <c r="E1725" s="19" t="inlineStr">
        <is>
          <t>385</t>
        </is>
      </c>
      <c r="F1725" s="19" t="inlineStr">
        <is>
          <t>212</t>
        </is>
      </c>
      <c r="G1725" s="19" t="n"/>
      <c r="H1725" s="19" t="inlineStr">
        <is>
          <t>2</t>
        </is>
      </c>
      <c r="I1725" s="19" t="n"/>
      <c r="J1725" s="19" t="n"/>
      <c r="K1725" s="19" t="inlineStr">
        <is>
          <t>2</t>
        </is>
      </c>
      <c r="L1725" t="inlineStr">
        <is>
          <t>2026-08-08</t>
        </is>
      </c>
      <c r="N1725" t="inlineStr">
        <is>
          <t>IN_SCOPE_FINAL; SOURCE_CFG=IA-ST-CFG-0247; MARKET=None; STATUS=IN OEM / EU PACKAGE</t>
        </is>
      </c>
      <c r="O1725" t="inlineStr">
        <is>
          <t>2026-08-10T19:29:54Z</t>
        </is>
      </c>
      <c r="P1725" t="inlineStr">
        <is>
          <t>2026-08-10T19:29:54Z</t>
        </is>
      </c>
    </row>
    <row r="1726">
      <c r="A1726" s="19" t="inlineStr">
        <is>
          <t>1725</t>
        </is>
      </c>
      <c r="B1726" s="19" t="inlineStr">
        <is>
          <t>SC-1012559-ST-087-STD-02</t>
        </is>
      </c>
      <c r="C1726" t="inlineStr">
        <is>
          <t>1012559 → ST-087-STD-02</t>
        </is>
      </c>
      <c r="D1726" s="19" t="inlineStr">
        <is>
          <t>2</t>
        </is>
      </c>
      <c r="E1726" s="19" t="inlineStr">
        <is>
          <t>697</t>
        </is>
      </c>
      <c r="F1726" s="19" t="inlineStr">
        <is>
          <t>212</t>
        </is>
      </c>
      <c r="G1726" s="19" t="n"/>
      <c r="H1726" s="19" t="inlineStr">
        <is>
          <t>2</t>
        </is>
      </c>
      <c r="I1726" s="19" t="n"/>
      <c r="J1726" s="19" t="n"/>
      <c r="K1726" s="19" t="inlineStr">
        <is>
          <t>2</t>
        </is>
      </c>
      <c r="L1726" t="inlineStr">
        <is>
          <t>2026-08-08</t>
        </is>
      </c>
      <c r="N1726" t="inlineStr">
        <is>
          <t>IN_SCOPE_FINAL; SOURCE_CFG=IA-ST-CFG-0247; MARKET=None; STATUS=IN OEM / EU PACKAGE</t>
        </is>
      </c>
      <c r="O1726" t="inlineStr">
        <is>
          <t>2026-08-10T19:29:54Z</t>
        </is>
      </c>
      <c r="P1726" t="inlineStr">
        <is>
          <t>2026-08-10T19:29:54Z</t>
        </is>
      </c>
    </row>
    <row r="1727">
      <c r="A1727" s="19" t="inlineStr">
        <is>
          <t>1726</t>
        </is>
      </c>
      <c r="B1727" s="19" t="inlineStr">
        <is>
          <t>SC-1011877-ST-087-STD-02</t>
        </is>
      </c>
      <c r="C1727" t="inlineStr">
        <is>
          <t>1011877 → ST-087-STD-02</t>
        </is>
      </c>
      <c r="D1727" s="19" t="inlineStr">
        <is>
          <t>2</t>
        </is>
      </c>
      <c r="E1727" s="19" t="inlineStr">
        <is>
          <t>384</t>
        </is>
      </c>
      <c r="F1727" s="19" t="inlineStr">
        <is>
          <t>212</t>
        </is>
      </c>
      <c r="G1727" s="19" t="n"/>
      <c r="H1727" s="19" t="inlineStr">
        <is>
          <t>2</t>
        </is>
      </c>
      <c r="I1727" s="19" t="n"/>
      <c r="J1727" s="19" t="n"/>
      <c r="K1727" s="19" t="inlineStr">
        <is>
          <t>2</t>
        </is>
      </c>
      <c r="L1727" t="inlineStr">
        <is>
          <t>2026-08-08</t>
        </is>
      </c>
      <c r="N1727" t="inlineStr">
        <is>
          <t>IN_SCOPE_FINAL; SOURCE_CFG=IA-ST-CFG-0247; MARKET=None; STATUS=IN OEM / EU PACKAGE</t>
        </is>
      </c>
      <c r="O1727" t="inlineStr">
        <is>
          <t>2026-08-10T19:29:54Z</t>
        </is>
      </c>
      <c r="P1727" t="inlineStr">
        <is>
          <t>2026-08-10T19:29:54Z</t>
        </is>
      </c>
    </row>
    <row r="1728">
      <c r="A1728" s="19" t="inlineStr">
        <is>
          <t>1727</t>
        </is>
      </c>
      <c r="B1728" s="19" t="inlineStr">
        <is>
          <t>SC-1012144-ST-087-STD-02</t>
        </is>
      </c>
      <c r="C1728" t="inlineStr">
        <is>
          <t>1012144 → ST-087-STD-02</t>
        </is>
      </c>
      <c r="D1728" s="19" t="inlineStr">
        <is>
          <t>2</t>
        </is>
      </c>
      <c r="E1728" s="19" t="inlineStr">
        <is>
          <t>543</t>
        </is>
      </c>
      <c r="F1728" s="19" t="inlineStr">
        <is>
          <t>212</t>
        </is>
      </c>
      <c r="G1728" s="19" t="n"/>
      <c r="H1728" s="19" t="inlineStr">
        <is>
          <t>2</t>
        </is>
      </c>
      <c r="I1728" s="19" t="n"/>
      <c r="J1728" s="19" t="n"/>
      <c r="K1728" s="19" t="inlineStr">
        <is>
          <t>2</t>
        </is>
      </c>
      <c r="L1728" t="inlineStr">
        <is>
          <t>2026-08-08</t>
        </is>
      </c>
      <c r="N1728" t="inlineStr">
        <is>
          <t>IN_SCOPE_FINAL; SOURCE_CFG=IA-ST-CFG-0247; MARKET=None; STATUS=IN OEM / EU PACKAGE</t>
        </is>
      </c>
      <c r="O1728" t="inlineStr">
        <is>
          <t>2026-08-10T19:29:54Z</t>
        </is>
      </c>
      <c r="P1728" t="inlineStr">
        <is>
          <t>2026-08-10T19:29:54Z</t>
        </is>
      </c>
    </row>
    <row r="1729">
      <c r="A1729" s="19" t="inlineStr">
        <is>
          <t>1728</t>
        </is>
      </c>
      <c r="B1729" s="19" t="inlineStr">
        <is>
          <t>SC-1012491-ST-087-STD-02</t>
        </is>
      </c>
      <c r="C1729" t="inlineStr">
        <is>
          <t>1012491 → ST-087-STD-02</t>
        </is>
      </c>
      <c r="D1729" s="19" t="inlineStr">
        <is>
          <t>2</t>
        </is>
      </c>
      <c r="E1729" s="19" t="inlineStr">
        <is>
          <t>675</t>
        </is>
      </c>
      <c r="F1729" s="19" t="inlineStr">
        <is>
          <t>212</t>
        </is>
      </c>
      <c r="G1729" s="19" t="n"/>
      <c r="H1729" s="19" t="inlineStr">
        <is>
          <t>2</t>
        </is>
      </c>
      <c r="I1729" s="19" t="n"/>
      <c r="J1729" s="19" t="n"/>
      <c r="K1729" s="19" t="inlineStr">
        <is>
          <t>2</t>
        </is>
      </c>
      <c r="L1729" t="inlineStr">
        <is>
          <t>2026-08-08</t>
        </is>
      </c>
      <c r="N1729" t="inlineStr">
        <is>
          <t>IN_SCOPE_FINAL; SOURCE_CFG=IA-ST-CFG-0247; MARKET=None; STATUS=IN OEM / EU PACKAGE</t>
        </is>
      </c>
      <c r="O1729" t="inlineStr">
        <is>
          <t>2026-08-10T19:29:54Z</t>
        </is>
      </c>
      <c r="P1729" t="inlineStr">
        <is>
          <t>2026-08-10T19:29:54Z</t>
        </is>
      </c>
    </row>
    <row r="1730">
      <c r="A1730" s="19" t="inlineStr">
        <is>
          <t>1729</t>
        </is>
      </c>
      <c r="B1730" s="19" t="inlineStr">
        <is>
          <t>SC-1012535-ST-087-STD-02</t>
        </is>
      </c>
      <c r="C1730" t="inlineStr">
        <is>
          <t>1012535 → ST-087-STD-02</t>
        </is>
      </c>
      <c r="D1730" s="19" t="inlineStr">
        <is>
          <t>2</t>
        </is>
      </c>
      <c r="E1730" s="19" t="inlineStr">
        <is>
          <t>688</t>
        </is>
      </c>
      <c r="F1730" s="19" t="inlineStr">
        <is>
          <t>212</t>
        </is>
      </c>
      <c r="G1730" s="19" t="n"/>
      <c r="H1730" s="19" t="inlineStr">
        <is>
          <t>2</t>
        </is>
      </c>
      <c r="I1730" s="19" t="n"/>
      <c r="J1730" s="19" t="n"/>
      <c r="K1730" s="19" t="inlineStr">
        <is>
          <t>2</t>
        </is>
      </c>
      <c r="L1730" t="inlineStr">
        <is>
          <t>2026-08-08</t>
        </is>
      </c>
      <c r="N1730" t="inlineStr">
        <is>
          <t>IN_SCOPE_FINAL; SOURCE_CFG=IA-ST-CFG-0247; MARKET=None; STATUS=IN OEM / EU PACKAGE</t>
        </is>
      </c>
      <c r="O1730" t="inlineStr">
        <is>
          <t>2026-08-10T19:29:54Z</t>
        </is>
      </c>
      <c r="P1730" t="inlineStr">
        <is>
          <t>2026-08-10T19:29:54Z</t>
        </is>
      </c>
    </row>
    <row r="1731">
      <c r="A1731" s="19" t="inlineStr">
        <is>
          <t>1730</t>
        </is>
      </c>
      <c r="B1731" s="19" t="inlineStr">
        <is>
          <t>SC-1014879-ST-087-STD-02</t>
        </is>
      </c>
      <c r="C1731" t="inlineStr">
        <is>
          <t>1014879 → ST-087-STD-02</t>
        </is>
      </c>
      <c r="D1731" s="19" t="inlineStr">
        <is>
          <t>2</t>
        </is>
      </c>
      <c r="E1731" s="19" t="inlineStr">
        <is>
          <t>1651</t>
        </is>
      </c>
      <c r="F1731" s="19" t="inlineStr">
        <is>
          <t>212</t>
        </is>
      </c>
      <c r="G1731" s="19" t="n"/>
      <c r="H1731" s="19" t="inlineStr">
        <is>
          <t>2</t>
        </is>
      </c>
      <c r="I1731" s="19" t="n"/>
      <c r="J1731" s="19" t="n"/>
      <c r="K1731" s="19" t="inlineStr">
        <is>
          <t>2</t>
        </is>
      </c>
      <c r="L1731" t="inlineStr">
        <is>
          <t>2026-08-08</t>
        </is>
      </c>
      <c r="N1731" t="inlineStr">
        <is>
          <t>IN_SCOPE_FINAL; SOURCE_CFG=IA-ST-CFG-0247; MARKET=MULTISERVICIOSGOODWHEVENEZUELA; STATUS=IN OEM / EU PACKAGE</t>
        </is>
      </c>
      <c r="O1731" t="inlineStr">
        <is>
          <t>2026-08-10T19:29:54Z</t>
        </is>
      </c>
      <c r="P1731" t="inlineStr">
        <is>
          <t>2026-08-10T19:29:54Z</t>
        </is>
      </c>
    </row>
    <row r="1732">
      <c r="A1732" s="19" t="inlineStr">
        <is>
          <t>1731</t>
        </is>
      </c>
      <c r="B1732" s="19" t="inlineStr">
        <is>
          <t>SC-1015000-ST-087-STD-02</t>
        </is>
      </c>
      <c r="C1732" t="inlineStr">
        <is>
          <t>1015000 → ST-087-STD-02</t>
        </is>
      </c>
      <c r="D1732" s="19" t="inlineStr">
        <is>
          <t>2</t>
        </is>
      </c>
      <c r="E1732" s="19" t="inlineStr">
        <is>
          <t>1761</t>
        </is>
      </c>
      <c r="F1732" s="19" t="inlineStr">
        <is>
          <t>212</t>
        </is>
      </c>
      <c r="G1732" s="19" t="n"/>
      <c r="H1732" s="19" t="inlineStr">
        <is>
          <t>2</t>
        </is>
      </c>
      <c r="I1732" s="19" t="n"/>
      <c r="J1732" s="19" t="n"/>
      <c r="K1732" s="19" t="inlineStr">
        <is>
          <t>2</t>
        </is>
      </c>
      <c r="L1732" t="inlineStr">
        <is>
          <t>2026-08-08</t>
        </is>
      </c>
      <c r="N1732" t="inlineStr">
        <is>
          <t>IN_SCOPE_FINAL; SOURCE_CFG=IA-ST-CFG-0247; MARKET=REDMAY URUGUAY; STATUS=IN OEM / EU PACKAGE</t>
        </is>
      </c>
      <c r="O1732" t="inlineStr">
        <is>
          <t>2026-08-10T19:29:54Z</t>
        </is>
      </c>
      <c r="P1732" t="inlineStr">
        <is>
          <t>2026-08-10T19:29:54Z</t>
        </is>
      </c>
    </row>
    <row r="1733">
      <c r="A1733" s="19" t="inlineStr">
        <is>
          <t>1732</t>
        </is>
      </c>
      <c r="B1733" s="19" t="inlineStr">
        <is>
          <t>SC-1015191-ST-087-STD-02</t>
        </is>
      </c>
      <c r="C1733" t="inlineStr">
        <is>
          <t>1015191 → ST-087-STD-02</t>
        </is>
      </c>
      <c r="D1733" s="19" t="inlineStr">
        <is>
          <t>2</t>
        </is>
      </c>
      <c r="E1733" s="19" t="inlineStr">
        <is>
          <t>1932</t>
        </is>
      </c>
      <c r="F1733" s="19" t="inlineStr">
        <is>
          <t>212</t>
        </is>
      </c>
      <c r="G1733" s="19" t="n"/>
      <c r="H1733" s="19" t="inlineStr">
        <is>
          <t>2</t>
        </is>
      </c>
      <c r="I1733" s="19" t="n"/>
      <c r="J1733" s="19" t="n"/>
      <c r="K1733" s="19" t="inlineStr">
        <is>
          <t>2</t>
        </is>
      </c>
      <c r="L1733" t="inlineStr">
        <is>
          <t>2026-08-08</t>
        </is>
      </c>
      <c r="N1733" t="inlineStr">
        <is>
          <t>IN_SCOPE_FINAL; SOURCE_CFG=IA-ST-CFG-0247; MARKET=REDMAY URUGUAY; STATUS=IN OEM / EU PACKAGE</t>
        </is>
      </c>
      <c r="O1733" t="inlineStr">
        <is>
          <t>2026-08-10T19:29:54Z</t>
        </is>
      </c>
      <c r="P1733" t="inlineStr">
        <is>
          <t>2026-08-10T19:29:54Z</t>
        </is>
      </c>
    </row>
    <row r="1734">
      <c r="A1734" s="19" t="inlineStr">
        <is>
          <t>1733</t>
        </is>
      </c>
      <c r="B1734" s="19" t="inlineStr">
        <is>
          <t>SC-1012704-ST-087-STD-02</t>
        </is>
      </c>
      <c r="C1734" t="inlineStr">
        <is>
          <t>1012704 → ST-087-STD-02</t>
        </is>
      </c>
      <c r="D1734" s="19" t="inlineStr">
        <is>
          <t>2</t>
        </is>
      </c>
      <c r="E1734" s="19" t="inlineStr">
        <is>
          <t>762</t>
        </is>
      </c>
      <c r="F1734" s="19" t="inlineStr">
        <is>
          <t>212</t>
        </is>
      </c>
      <c r="G1734" s="19" t="n"/>
      <c r="H1734" s="19" t="inlineStr">
        <is>
          <t>2</t>
        </is>
      </c>
      <c r="I1734" s="19" t="n"/>
      <c r="J1734" s="19" t="n"/>
      <c r="K1734" s="19" t="inlineStr">
        <is>
          <t>2</t>
        </is>
      </c>
      <c r="L1734" t="inlineStr">
        <is>
          <t>2026-08-08</t>
        </is>
      </c>
      <c r="N1734" t="inlineStr">
        <is>
          <t>IN_SCOPE_FINAL; SOURCE_CFG=IA-ST-CFG-0247; MARKET=FORD (Yurt İçi); STATUS=IN OEM / EU PACKAGE</t>
        </is>
      </c>
      <c r="O1734" t="inlineStr">
        <is>
          <t>2026-08-10T19:29:54Z</t>
        </is>
      </c>
      <c r="P1734" t="inlineStr">
        <is>
          <t>2026-08-10T19:29:54Z</t>
        </is>
      </c>
    </row>
    <row r="1735">
      <c r="A1735" s="19" t="inlineStr">
        <is>
          <t>1734</t>
        </is>
      </c>
      <c r="B1735" s="19" t="inlineStr">
        <is>
          <t>SC-1015162-ST-087-STD-02</t>
        </is>
      </c>
      <c r="C1735" t="inlineStr">
        <is>
          <t>1015162 → ST-087-STD-02</t>
        </is>
      </c>
      <c r="D1735" s="19" t="inlineStr">
        <is>
          <t>2</t>
        </is>
      </c>
      <c r="E1735" s="19" t="inlineStr">
        <is>
          <t>1908</t>
        </is>
      </c>
      <c r="F1735" s="19" t="inlineStr">
        <is>
          <t>212</t>
        </is>
      </c>
      <c r="G1735" s="19" t="n"/>
      <c r="H1735" s="19" t="inlineStr">
        <is>
          <t>2</t>
        </is>
      </c>
      <c r="I1735" s="19" t="n"/>
      <c r="J1735" s="19" t="n"/>
      <c r="K1735" s="19" t="inlineStr">
        <is>
          <t>2</t>
        </is>
      </c>
      <c r="L1735" t="inlineStr">
        <is>
          <t>2026-08-08</t>
        </is>
      </c>
      <c r="N1735" t="inlineStr">
        <is>
          <t>IN_SCOPE_FINAL; SOURCE_CFG=IA-ST-CFG-0247; MARKET=FORD (Yurt İçi); STATUS=IN OEM / EU PACKAGE</t>
        </is>
      </c>
      <c r="O1735" t="inlineStr">
        <is>
          <t>2026-08-10T19:29:54Z</t>
        </is>
      </c>
      <c r="P1735" t="inlineStr">
        <is>
          <t>2026-08-10T19:29:54Z</t>
        </is>
      </c>
    </row>
    <row r="1736">
      <c r="A1736" s="19" t="inlineStr">
        <is>
          <t>1735</t>
        </is>
      </c>
      <c r="B1736" s="19" t="inlineStr">
        <is>
          <t>SC-1015076-ST-087-STD-02</t>
        </is>
      </c>
      <c r="C1736" t="inlineStr">
        <is>
          <t>1015076 → ST-087-STD-02</t>
        </is>
      </c>
      <c r="D1736" s="19" t="inlineStr">
        <is>
          <t>2</t>
        </is>
      </c>
      <c r="E1736" s="19" t="inlineStr">
        <is>
          <t>1833</t>
        </is>
      </c>
      <c r="F1736" s="19" t="inlineStr">
        <is>
          <t>212</t>
        </is>
      </c>
      <c r="G1736" s="19" t="n"/>
      <c r="H1736" s="19" t="inlineStr">
        <is>
          <t>2</t>
        </is>
      </c>
      <c r="I1736" s="19" t="n"/>
      <c r="J1736" s="19" t="n"/>
      <c r="K1736" s="19" t="inlineStr">
        <is>
          <t>2</t>
        </is>
      </c>
      <c r="L1736" t="inlineStr">
        <is>
          <t>2026-08-08</t>
        </is>
      </c>
      <c r="N1736" t="inlineStr">
        <is>
          <t>IN_SCOPE_FINAL; SOURCE_CFG=IA-ST-CFG-0247; MARKET=İŞBİR JENERATÖR OEM (Yurt İçi); STATUS=IN OEM / EU PACKAGE</t>
        </is>
      </c>
      <c r="O1736" t="inlineStr">
        <is>
          <t>2026-08-10T19:29:54Z</t>
        </is>
      </c>
      <c r="P1736" t="inlineStr">
        <is>
          <t>2026-08-10T19:29:54Z</t>
        </is>
      </c>
    </row>
    <row r="1737">
      <c r="A1737" s="19" t="inlineStr">
        <is>
          <t>1736</t>
        </is>
      </c>
      <c r="B1737" s="19" t="inlineStr">
        <is>
          <t>SC-1012091-ST-087-STD-03</t>
        </is>
      </c>
      <c r="C1737" t="inlineStr">
        <is>
          <t>1012091 → ST-087-STD-03</t>
        </is>
      </c>
      <c r="D1737" s="19" t="inlineStr">
        <is>
          <t>2</t>
        </is>
      </c>
      <c r="E1737" s="19" t="inlineStr">
        <is>
          <t>512</t>
        </is>
      </c>
      <c r="F1737" s="19" t="inlineStr">
        <is>
          <t>213</t>
        </is>
      </c>
      <c r="G1737" s="19" t="n"/>
      <c r="H1737" s="19" t="inlineStr">
        <is>
          <t>2</t>
        </is>
      </c>
      <c r="I1737" s="19" t="n"/>
      <c r="J1737" s="19" t="n"/>
      <c r="K1737" s="19" t="inlineStr">
        <is>
          <t>2</t>
        </is>
      </c>
      <c r="L1737" t="inlineStr">
        <is>
          <t>2026-08-08</t>
        </is>
      </c>
      <c r="N1737" t="inlineStr">
        <is>
          <t>IN_SCOPE_FINAL; SOURCE_CFG=IA-ST-CFG-0248; MARKET=NOYPA-NISSAN (Yurt İçi); STATUS=IN OEM / EU PACKAGE</t>
        </is>
      </c>
      <c r="O1737" t="inlineStr">
        <is>
          <t>2026-08-10T19:29:54Z</t>
        </is>
      </c>
      <c r="P1737" t="inlineStr">
        <is>
          <t>2026-08-10T19:29:54Z</t>
        </is>
      </c>
    </row>
    <row r="1738">
      <c r="A1738" s="19" t="inlineStr">
        <is>
          <t>1737</t>
        </is>
      </c>
      <c r="B1738" s="19" t="inlineStr">
        <is>
          <t>SC-1014331-ST-087-STD-03</t>
        </is>
      </c>
      <c r="C1738" t="inlineStr">
        <is>
          <t>1014331 → ST-087-STD-03</t>
        </is>
      </c>
      <c r="D1738" s="19" t="inlineStr">
        <is>
          <t>2</t>
        </is>
      </c>
      <c r="E1738" s="19" t="inlineStr">
        <is>
          <t>1308</t>
        </is>
      </c>
      <c r="F1738" s="19" t="inlineStr">
        <is>
          <t>213</t>
        </is>
      </c>
      <c r="G1738" s="19" t="n"/>
      <c r="H1738" s="19" t="inlineStr">
        <is>
          <t>2</t>
        </is>
      </c>
      <c r="I1738" s="19" t="n"/>
      <c r="J1738" s="19" t="n"/>
      <c r="K1738" s="19" t="inlineStr">
        <is>
          <t>2</t>
        </is>
      </c>
      <c r="L1738" t="inlineStr">
        <is>
          <t>2026-08-08</t>
        </is>
      </c>
      <c r="N1738" t="inlineStr">
        <is>
          <t>IN_SCOPE_FINAL; SOURCE_CFG=IA-ST-CFG-0248; MARKET=RAYA ENERGY INC. KANADA; STATUS=IN OEM / EU PACKAGE</t>
        </is>
      </c>
      <c r="O1738" t="inlineStr">
        <is>
          <t>2026-08-10T19:29:54Z</t>
        </is>
      </c>
      <c r="P1738" t="inlineStr">
        <is>
          <t>2026-08-10T19:29:54Z</t>
        </is>
      </c>
    </row>
    <row r="1739">
      <c r="A1739" s="19" t="inlineStr">
        <is>
          <t>1738</t>
        </is>
      </c>
      <c r="B1739" s="19" t="inlineStr">
        <is>
          <t>SC-1011991-ST-087-STD-03</t>
        </is>
      </c>
      <c r="C1739" t="inlineStr">
        <is>
          <t>1011991 → ST-087-STD-03</t>
        </is>
      </c>
      <c r="D1739" s="19" t="inlineStr">
        <is>
          <t>2</t>
        </is>
      </c>
      <c r="E1739" s="19" t="inlineStr">
        <is>
          <t>459</t>
        </is>
      </c>
      <c r="F1739" s="19" t="inlineStr">
        <is>
          <t>213</t>
        </is>
      </c>
      <c r="G1739" s="19" t="n"/>
      <c r="H1739" s="19" t="inlineStr">
        <is>
          <t>2</t>
        </is>
      </c>
      <c r="I1739" s="19" t="n"/>
      <c r="J1739" s="19" t="n"/>
      <c r="K1739" s="19" t="inlineStr">
        <is>
          <t>2</t>
        </is>
      </c>
      <c r="L1739" t="inlineStr">
        <is>
          <t>2026-08-08</t>
        </is>
      </c>
      <c r="N1739" t="inlineStr">
        <is>
          <t>IN_SCOPE_FINAL; SOURCE_CFG=IA-ST-CFG-0248; MARKET=None; STATUS=IN OEM / EU PACKAGE</t>
        </is>
      </c>
      <c r="O1739" t="inlineStr">
        <is>
          <t>2026-08-10T19:29:54Z</t>
        </is>
      </c>
      <c r="P1739" t="inlineStr">
        <is>
          <t>2026-08-10T19:29:54Z</t>
        </is>
      </c>
    </row>
    <row r="1740">
      <c r="A1740" s="19" t="inlineStr">
        <is>
          <t>1739</t>
        </is>
      </c>
      <c r="B1740" s="19" t="inlineStr">
        <is>
          <t>SC-1011992-ST-087-STD-03</t>
        </is>
      </c>
      <c r="C1740" t="inlineStr">
        <is>
          <t>1011992 → ST-087-STD-03</t>
        </is>
      </c>
      <c r="D1740" s="19" t="inlineStr">
        <is>
          <t>2</t>
        </is>
      </c>
      <c r="E1740" s="19" t="inlineStr">
        <is>
          <t>460</t>
        </is>
      </c>
      <c r="F1740" s="19" t="inlineStr">
        <is>
          <t>213</t>
        </is>
      </c>
      <c r="G1740" s="19" t="n"/>
      <c r="H1740" s="19" t="inlineStr">
        <is>
          <t>2</t>
        </is>
      </c>
      <c r="I1740" s="19" t="n"/>
      <c r="J1740" s="19" t="n"/>
      <c r="K1740" s="19" t="inlineStr">
        <is>
          <t>2</t>
        </is>
      </c>
      <c r="L1740" t="inlineStr">
        <is>
          <t>2026-08-08</t>
        </is>
      </c>
      <c r="N1740" t="inlineStr">
        <is>
          <t>IN_SCOPE_FINAL; SOURCE_CFG=IA-ST-CFG-0248; MARKET=None; STATUS=IN OEM / EU PACKAGE</t>
        </is>
      </c>
      <c r="O1740" t="inlineStr">
        <is>
          <t>2026-08-10T19:29:54Z</t>
        </is>
      </c>
      <c r="P1740" t="inlineStr">
        <is>
          <t>2026-08-10T19:29:54Z</t>
        </is>
      </c>
    </row>
    <row r="1741">
      <c r="A1741" s="19" t="inlineStr">
        <is>
          <t>1740</t>
        </is>
      </c>
      <c r="B1741" s="19" t="inlineStr">
        <is>
          <t>SC-1012238-ST-087-STD-03</t>
        </is>
      </c>
      <c r="C1741" t="inlineStr">
        <is>
          <t>1012238 → ST-087-STD-03</t>
        </is>
      </c>
      <c r="D1741" s="19" t="inlineStr">
        <is>
          <t>2</t>
        </is>
      </c>
      <c r="E1741" s="19" t="inlineStr">
        <is>
          <t>567</t>
        </is>
      </c>
      <c r="F1741" s="19" t="inlineStr">
        <is>
          <t>213</t>
        </is>
      </c>
      <c r="G1741" s="19" t="n"/>
      <c r="H1741" s="19" t="inlineStr">
        <is>
          <t>2</t>
        </is>
      </c>
      <c r="I1741" s="19" t="n"/>
      <c r="J1741" s="19" t="n"/>
      <c r="K1741" s="19" t="inlineStr">
        <is>
          <t>2</t>
        </is>
      </c>
      <c r="L1741" t="inlineStr">
        <is>
          <t>2026-08-08</t>
        </is>
      </c>
      <c r="N1741" t="inlineStr">
        <is>
          <t>IN_SCOPE_FINAL; SOURCE_CFG=IA-ST-CFG-0248; MARKET=None; STATUS=IN OEM / EU PACKAGE</t>
        </is>
      </c>
      <c r="O1741" t="inlineStr">
        <is>
          <t>2026-08-10T19:29:54Z</t>
        </is>
      </c>
      <c r="P1741" t="inlineStr">
        <is>
          <t>2026-08-10T19:29:54Z</t>
        </is>
      </c>
    </row>
    <row r="1742">
      <c r="A1742" s="19" t="inlineStr">
        <is>
          <t>1741</t>
        </is>
      </c>
      <c r="B1742" s="19" t="inlineStr">
        <is>
          <t>SC-1012239-ST-087-STD-03</t>
        </is>
      </c>
      <c r="C1742" t="inlineStr">
        <is>
          <t>1012239 → ST-087-STD-03</t>
        </is>
      </c>
      <c r="D1742" s="19" t="inlineStr">
        <is>
          <t>2</t>
        </is>
      </c>
      <c r="E1742" s="19" t="inlineStr">
        <is>
          <t>568</t>
        </is>
      </c>
      <c r="F1742" s="19" t="inlineStr">
        <is>
          <t>213</t>
        </is>
      </c>
      <c r="G1742" s="19" t="n"/>
      <c r="H1742" s="19" t="inlineStr">
        <is>
          <t>2</t>
        </is>
      </c>
      <c r="I1742" s="19" t="n"/>
      <c r="J1742" s="19" t="n"/>
      <c r="K1742" s="19" t="inlineStr">
        <is>
          <t>2</t>
        </is>
      </c>
      <c r="L1742" t="inlineStr">
        <is>
          <t>2026-08-08</t>
        </is>
      </c>
      <c r="N1742" t="inlineStr">
        <is>
          <t>IN_SCOPE_FINAL; SOURCE_CFG=IA-ST-CFG-0248; MARKET=None; STATUS=IN OEM / EU PACKAGE</t>
        </is>
      </c>
      <c r="O1742" t="inlineStr">
        <is>
          <t>2026-08-10T19:29:54Z</t>
        </is>
      </c>
      <c r="P1742" t="inlineStr">
        <is>
          <t>2026-08-10T19:29:54Z</t>
        </is>
      </c>
    </row>
    <row r="1743">
      <c r="A1743" s="19" t="inlineStr">
        <is>
          <t>1742</t>
        </is>
      </c>
      <c r="B1743" s="19" t="inlineStr">
        <is>
          <t>SC-1012694-ST-087-STD-03</t>
        </is>
      </c>
      <c r="C1743" t="inlineStr">
        <is>
          <t>1012694 → ST-087-STD-03</t>
        </is>
      </c>
      <c r="D1743" s="19" t="inlineStr">
        <is>
          <t>2</t>
        </is>
      </c>
      <c r="E1743" s="19" t="inlineStr">
        <is>
          <t>756</t>
        </is>
      </c>
      <c r="F1743" s="19" t="inlineStr">
        <is>
          <t>213</t>
        </is>
      </c>
      <c r="G1743" s="19" t="n"/>
      <c r="H1743" s="19" t="inlineStr">
        <is>
          <t>2</t>
        </is>
      </c>
      <c r="I1743" s="19" t="n"/>
      <c r="J1743" s="19" t="n"/>
      <c r="K1743" s="19" t="inlineStr">
        <is>
          <t>2</t>
        </is>
      </c>
      <c r="L1743" t="inlineStr">
        <is>
          <t>2026-08-08</t>
        </is>
      </c>
      <c r="N1743" t="inlineStr">
        <is>
          <t>IN_SCOPE_FINAL; SOURCE_CFG=IA-ST-CFG-0248; MARKET=None; STATUS=IN OEM / EU PACKAGE</t>
        </is>
      </c>
      <c r="O1743" t="inlineStr">
        <is>
          <t>2026-08-10T19:29:54Z</t>
        </is>
      </c>
      <c r="P1743" t="inlineStr">
        <is>
          <t>2026-08-10T19:29:54Z</t>
        </is>
      </c>
    </row>
    <row r="1744">
      <c r="A1744" s="19" t="inlineStr">
        <is>
          <t>1743</t>
        </is>
      </c>
      <c r="B1744" s="19" t="inlineStr">
        <is>
          <t>SC-1013059-ST-087-STD-03</t>
        </is>
      </c>
      <c r="C1744" t="inlineStr">
        <is>
          <t>1013059 → ST-087-STD-03</t>
        </is>
      </c>
      <c r="D1744" s="19" t="inlineStr">
        <is>
          <t>2</t>
        </is>
      </c>
      <c r="E1744" s="19" t="inlineStr">
        <is>
          <t>909</t>
        </is>
      </c>
      <c r="F1744" s="19" t="inlineStr">
        <is>
          <t>213</t>
        </is>
      </c>
      <c r="G1744" s="19" t="n"/>
      <c r="H1744" s="19" t="inlineStr">
        <is>
          <t>2</t>
        </is>
      </c>
      <c r="I1744" s="19" t="n"/>
      <c r="J1744" s="19" t="n"/>
      <c r="K1744" s="19" t="inlineStr">
        <is>
          <t>2</t>
        </is>
      </c>
      <c r="L1744" t="inlineStr">
        <is>
          <t>2026-08-08</t>
        </is>
      </c>
      <c r="N1744" t="inlineStr">
        <is>
          <t>IN_SCOPE_FINAL; SOURCE_CFG=IA-ST-CFG-0248; MARKET=MISIR EEC; STATUS=IN OEM / EU PACKAGE</t>
        </is>
      </c>
      <c r="O1744" t="inlineStr">
        <is>
          <t>2026-08-10T19:29:54Z</t>
        </is>
      </c>
      <c r="P1744" t="inlineStr">
        <is>
          <t>2026-08-10T19:29:54Z</t>
        </is>
      </c>
    </row>
    <row r="1745">
      <c r="A1745" s="19" t="inlineStr">
        <is>
          <t>1744</t>
        </is>
      </c>
      <c r="B1745" s="19" t="inlineStr">
        <is>
          <t>SC-1013076-ST-087-STD-03</t>
        </is>
      </c>
      <c r="C1745" t="inlineStr">
        <is>
          <t>1013076 → ST-087-STD-03</t>
        </is>
      </c>
      <c r="D1745" s="19" t="inlineStr">
        <is>
          <t>2</t>
        </is>
      </c>
      <c r="E1745" s="19" t="inlineStr">
        <is>
          <t>913</t>
        </is>
      </c>
      <c r="F1745" s="19" t="inlineStr">
        <is>
          <t>213</t>
        </is>
      </c>
      <c r="G1745" s="19" t="n"/>
      <c r="H1745" s="19" t="inlineStr">
        <is>
          <t>2</t>
        </is>
      </c>
      <c r="I1745" s="19" t="n"/>
      <c r="J1745" s="19" t="n"/>
      <c r="K1745" s="19" t="inlineStr">
        <is>
          <t>2</t>
        </is>
      </c>
      <c r="L1745" t="inlineStr">
        <is>
          <t>2026-08-08</t>
        </is>
      </c>
      <c r="N1745" t="inlineStr">
        <is>
          <t>IN_SCOPE_FINAL; SOURCE_CFG=IA-ST-CFG-0248; MARKET=SHAWKAT; STATUS=IN OEM / EU PACKAGE</t>
        </is>
      </c>
      <c r="O1745" t="inlineStr">
        <is>
          <t>2026-08-10T19:29:54Z</t>
        </is>
      </c>
      <c r="P1745" t="inlineStr">
        <is>
          <t>2026-08-10T19:29:54Z</t>
        </is>
      </c>
    </row>
    <row r="1746">
      <c r="A1746" s="19" t="inlineStr">
        <is>
          <t>1745</t>
        </is>
      </c>
      <c r="B1746" s="19" t="inlineStr">
        <is>
          <t>SC-1014395-ST-087-STD-03</t>
        </is>
      </c>
      <c r="C1746" t="inlineStr">
        <is>
          <t>1014395 → ST-087-STD-03</t>
        </is>
      </c>
      <c r="D1746" s="19" t="inlineStr">
        <is>
          <t>2</t>
        </is>
      </c>
      <c r="E1746" s="19" t="inlineStr">
        <is>
          <t>1345</t>
        </is>
      </c>
      <c r="F1746" s="19" t="inlineStr">
        <is>
          <t>213</t>
        </is>
      </c>
      <c r="G1746" s="19" t="n"/>
      <c r="H1746" s="19" t="inlineStr">
        <is>
          <t>2</t>
        </is>
      </c>
      <c r="I1746" s="19" t="n"/>
      <c r="J1746" s="19" t="n"/>
      <c r="K1746" s="19" t="inlineStr">
        <is>
          <t>2</t>
        </is>
      </c>
      <c r="L1746" t="inlineStr">
        <is>
          <t>2026-08-08</t>
        </is>
      </c>
      <c r="N1746" t="inlineStr">
        <is>
          <t>IN_SCOPE_FINAL; SOURCE_CFG=IA-ST-CFG-0248; MARKET=REDMAY URUGUAY; STATUS=IN OEM / EU PACKAGE</t>
        </is>
      </c>
      <c r="O1746" t="inlineStr">
        <is>
          <t>2026-08-10T19:29:54Z</t>
        </is>
      </c>
      <c r="P1746" t="inlineStr">
        <is>
          <t>2026-08-10T19:29:54Z</t>
        </is>
      </c>
    </row>
    <row r="1747">
      <c r="A1747" s="19" t="inlineStr">
        <is>
          <t>1746</t>
        </is>
      </c>
      <c r="B1747" s="19" t="inlineStr">
        <is>
          <t>SC-1011985-ST-087-STD-03</t>
        </is>
      </c>
      <c r="C1747" t="inlineStr">
        <is>
          <t>1011985 → ST-087-STD-03</t>
        </is>
      </c>
      <c r="D1747" s="19" t="inlineStr">
        <is>
          <t>2</t>
        </is>
      </c>
      <c r="E1747" s="19" t="inlineStr">
        <is>
          <t>453</t>
        </is>
      </c>
      <c r="F1747" s="19" t="inlineStr">
        <is>
          <t>213</t>
        </is>
      </c>
      <c r="G1747" s="19" t="n"/>
      <c r="H1747" s="19" t="inlineStr">
        <is>
          <t>2</t>
        </is>
      </c>
      <c r="I1747" s="19" t="n"/>
      <c r="J1747" s="19" t="n"/>
      <c r="K1747" s="19" t="inlineStr">
        <is>
          <t>2</t>
        </is>
      </c>
      <c r="L1747" t="inlineStr">
        <is>
          <t>2026-08-08</t>
        </is>
      </c>
      <c r="N1747" t="inlineStr">
        <is>
          <t>IN_SCOPE_FINAL; SOURCE_CFG=IA-ST-CFG-0248; MARKET=NASA; STATUS=IN OEM / EU PACKAGE</t>
        </is>
      </c>
      <c r="O1747" t="inlineStr">
        <is>
          <t>2026-08-10T19:29:54Z</t>
        </is>
      </c>
      <c r="P1747" t="inlineStr">
        <is>
          <t>2026-08-10T19:29:54Z</t>
        </is>
      </c>
    </row>
    <row r="1748">
      <c r="A1748" s="19" t="inlineStr">
        <is>
          <t>1747</t>
        </is>
      </c>
      <c r="B1748" s="19" t="inlineStr">
        <is>
          <t>SC-1011986-ST-087-STD-03</t>
        </is>
      </c>
      <c r="C1748" t="inlineStr">
        <is>
          <t>1011986 → ST-087-STD-03</t>
        </is>
      </c>
      <c r="D1748" s="19" t="inlineStr">
        <is>
          <t>2</t>
        </is>
      </c>
      <c r="E1748" s="19" t="inlineStr">
        <is>
          <t>454</t>
        </is>
      </c>
      <c r="F1748" s="19" t="inlineStr">
        <is>
          <t>213</t>
        </is>
      </c>
      <c r="G1748" s="19" t="n"/>
      <c r="H1748" s="19" t="inlineStr">
        <is>
          <t>2</t>
        </is>
      </c>
      <c r="I1748" s="19" t="n"/>
      <c r="J1748" s="19" t="n"/>
      <c r="K1748" s="19" t="inlineStr">
        <is>
          <t>2</t>
        </is>
      </c>
      <c r="L1748" t="inlineStr">
        <is>
          <t>2026-08-08</t>
        </is>
      </c>
      <c r="N1748" t="inlineStr">
        <is>
          <t>IN_SCOPE_FINAL; SOURCE_CFG=IA-ST-CFG-0248; MARKET=None; STATUS=IN OEM / EU PACKAGE</t>
        </is>
      </c>
      <c r="O1748" t="inlineStr">
        <is>
          <t>2026-08-10T19:29:54Z</t>
        </is>
      </c>
      <c r="P1748" t="inlineStr">
        <is>
          <t>2026-08-10T19:29:54Z</t>
        </is>
      </c>
    </row>
    <row r="1749">
      <c r="A1749" s="19" t="inlineStr">
        <is>
          <t>1748</t>
        </is>
      </c>
      <c r="B1749" s="19" t="inlineStr">
        <is>
          <t>SC-1014182-ST-087-STD-03</t>
        </is>
      </c>
      <c r="C1749" t="inlineStr">
        <is>
          <t>1014182 → ST-087-STD-03</t>
        </is>
      </c>
      <c r="D1749" s="19" t="inlineStr">
        <is>
          <t>2</t>
        </is>
      </c>
      <c r="E1749" s="19" t="inlineStr">
        <is>
          <t>1258</t>
        </is>
      </c>
      <c r="F1749" s="19" t="inlineStr">
        <is>
          <t>213</t>
        </is>
      </c>
      <c r="G1749" s="19" t="n"/>
      <c r="H1749" s="19" t="inlineStr">
        <is>
          <t>2</t>
        </is>
      </c>
      <c r="I1749" s="19" t="n"/>
      <c r="J1749" s="19" t="n"/>
      <c r="K1749" s="19" t="inlineStr">
        <is>
          <t>2</t>
        </is>
      </c>
      <c r="L1749" t="inlineStr">
        <is>
          <t>2026-08-08</t>
        </is>
      </c>
      <c r="N1749" t="inlineStr">
        <is>
          <t>IN_SCOPE_FINAL; SOURCE_CFG=IA-ST-CFG-0248; MARKET=DOMİNİK CUM.PERFORMANCE BATT.; STATUS=IN OEM / EU PACKAGE</t>
        </is>
      </c>
      <c r="O1749" t="inlineStr">
        <is>
          <t>2026-08-10T19:29:54Z</t>
        </is>
      </c>
      <c r="P1749" t="inlineStr">
        <is>
          <t>2026-08-10T19:29:54Z</t>
        </is>
      </c>
    </row>
    <row r="1750">
      <c r="A1750" s="19" t="inlineStr">
        <is>
          <t>1749</t>
        </is>
      </c>
      <c r="B1750" s="19" t="inlineStr">
        <is>
          <t>SC-1009985-ST-087-STD-03</t>
        </is>
      </c>
      <c r="C1750" t="inlineStr">
        <is>
          <t>1009985 → ST-087-STD-03</t>
        </is>
      </c>
      <c r="D1750" s="19" t="inlineStr">
        <is>
          <t>2</t>
        </is>
      </c>
      <c r="E1750" s="19" t="inlineStr">
        <is>
          <t>141</t>
        </is>
      </c>
      <c r="F1750" s="19" t="inlineStr">
        <is>
          <t>213</t>
        </is>
      </c>
      <c r="G1750" s="19" t="n"/>
      <c r="H1750" s="19" t="inlineStr">
        <is>
          <t>2</t>
        </is>
      </c>
      <c r="I1750" s="19" t="n"/>
      <c r="J1750" s="19" t="n"/>
      <c r="K1750" s="19" t="inlineStr">
        <is>
          <t>2</t>
        </is>
      </c>
      <c r="L1750" t="inlineStr">
        <is>
          <t>2026-08-08</t>
        </is>
      </c>
      <c r="N1750" t="inlineStr">
        <is>
          <t>IN_SCOPE_FINAL; SOURCE_CFG=IA-ST-CFG-0248; MARKET=REY &amp; LENFERNA LUCAS; STATUS=IN OEM / EU PACKAGE</t>
        </is>
      </c>
      <c r="O1750" t="inlineStr">
        <is>
          <t>2026-08-10T19:29:54Z</t>
        </is>
      </c>
      <c r="P1750" t="inlineStr">
        <is>
          <t>2026-08-10T19:29:54Z</t>
        </is>
      </c>
    </row>
    <row r="1751">
      <c r="A1751" s="19" t="inlineStr">
        <is>
          <t>1750</t>
        </is>
      </c>
      <c r="B1751" s="19" t="inlineStr">
        <is>
          <t>SC-1011987-ST-087-STD-03</t>
        </is>
      </c>
      <c r="C1751" t="inlineStr">
        <is>
          <t>1011987 → ST-087-STD-03</t>
        </is>
      </c>
      <c r="D1751" s="19" t="inlineStr">
        <is>
          <t>2</t>
        </is>
      </c>
      <c r="E1751" s="19" t="inlineStr">
        <is>
          <t>455</t>
        </is>
      </c>
      <c r="F1751" s="19" t="inlineStr">
        <is>
          <t>213</t>
        </is>
      </c>
      <c r="G1751" s="19" t="n"/>
      <c r="H1751" s="19" t="inlineStr">
        <is>
          <t>2</t>
        </is>
      </c>
      <c r="I1751" s="19" t="n"/>
      <c r="J1751" s="19" t="n"/>
      <c r="K1751" s="19" t="inlineStr">
        <is>
          <t>2</t>
        </is>
      </c>
      <c r="L1751" t="inlineStr">
        <is>
          <t>2026-08-08</t>
        </is>
      </c>
      <c r="N1751" t="inlineStr">
        <is>
          <t>IN_SCOPE_FINAL; SOURCE_CFG=IA-ST-CFG-0248; MARKET=JANENE İSRAİL; STATUS=IN OEM / EU PACKAGE</t>
        </is>
      </c>
      <c r="O1751" t="inlineStr">
        <is>
          <t>2026-08-10T19:29:54Z</t>
        </is>
      </c>
      <c r="P1751" t="inlineStr">
        <is>
          <t>2026-08-10T19:29:54Z</t>
        </is>
      </c>
    </row>
    <row r="1752">
      <c r="A1752" s="19" t="inlineStr">
        <is>
          <t>1751</t>
        </is>
      </c>
      <c r="B1752" s="19" t="inlineStr">
        <is>
          <t>SC-1011988-ST-087-STD-03</t>
        </is>
      </c>
      <c r="C1752" t="inlineStr">
        <is>
          <t>1011988 → ST-087-STD-03</t>
        </is>
      </c>
      <c r="D1752" s="19" t="inlineStr">
        <is>
          <t>2</t>
        </is>
      </c>
      <c r="E1752" s="19" t="inlineStr">
        <is>
          <t>456</t>
        </is>
      </c>
      <c r="F1752" s="19" t="inlineStr">
        <is>
          <t>213</t>
        </is>
      </c>
      <c r="G1752" s="19" t="n"/>
      <c r="H1752" s="19" t="inlineStr">
        <is>
          <t>2</t>
        </is>
      </c>
      <c r="I1752" s="19" t="n"/>
      <c r="J1752" s="19" t="n"/>
      <c r="K1752" s="19" t="inlineStr">
        <is>
          <t>2</t>
        </is>
      </c>
      <c r="L1752" t="inlineStr">
        <is>
          <t>2026-08-08</t>
        </is>
      </c>
      <c r="N1752" t="inlineStr">
        <is>
          <t>IN_SCOPE_FINAL; SOURCE_CFG=IA-ST-CFG-0248; MARKET=MISIR NACITA; STATUS=IN OEM / EU PACKAGE</t>
        </is>
      </c>
      <c r="O1752" t="inlineStr">
        <is>
          <t>2026-08-10T19:29:54Z</t>
        </is>
      </c>
      <c r="P1752" t="inlineStr">
        <is>
          <t>2026-08-10T19:29:54Z</t>
        </is>
      </c>
    </row>
    <row r="1753">
      <c r="A1753" s="19" t="inlineStr">
        <is>
          <t>1752</t>
        </is>
      </c>
      <c r="B1753" s="19" t="inlineStr">
        <is>
          <t>SC-1011989-ST-087-STD-03</t>
        </is>
      </c>
      <c r="C1753" t="inlineStr">
        <is>
          <t>1011989 → ST-087-STD-03</t>
        </is>
      </c>
      <c r="D1753" s="19" t="inlineStr">
        <is>
          <t>2</t>
        </is>
      </c>
      <c r="E1753" s="19" t="inlineStr">
        <is>
          <t>457</t>
        </is>
      </c>
      <c r="F1753" s="19" t="inlineStr">
        <is>
          <t>213</t>
        </is>
      </c>
      <c r="G1753" s="19" t="n"/>
      <c r="H1753" s="19" t="inlineStr">
        <is>
          <t>2</t>
        </is>
      </c>
      <c r="I1753" s="19" t="n"/>
      <c r="J1753" s="19" t="n"/>
      <c r="K1753" s="19" t="inlineStr">
        <is>
          <t>2</t>
        </is>
      </c>
      <c r="L1753" t="inlineStr">
        <is>
          <t>2026-08-08</t>
        </is>
      </c>
      <c r="N1753" t="inlineStr">
        <is>
          <t>IN_SCOPE_FINAL; SOURCE_CFG=IA-ST-CFG-0248; MARKET=MISIR AL AMAN; STATUS=IN OEM / EU PACKAGE</t>
        </is>
      </c>
      <c r="O1753" t="inlineStr">
        <is>
          <t>2026-08-10T19:29:54Z</t>
        </is>
      </c>
      <c r="P1753" t="inlineStr">
        <is>
          <t>2026-08-10T19:29:54Z</t>
        </is>
      </c>
    </row>
    <row r="1754">
      <c r="A1754" s="19" t="inlineStr">
        <is>
          <t>1753</t>
        </is>
      </c>
      <c r="B1754" s="19" t="inlineStr">
        <is>
          <t>SC-1011990-ST-087-STD-03</t>
        </is>
      </c>
      <c r="C1754" t="inlineStr">
        <is>
          <t>1011990 → ST-087-STD-03</t>
        </is>
      </c>
      <c r="D1754" s="19" t="inlineStr">
        <is>
          <t>2</t>
        </is>
      </c>
      <c r="E1754" s="19" t="inlineStr">
        <is>
          <t>458</t>
        </is>
      </c>
      <c r="F1754" s="19" t="inlineStr">
        <is>
          <t>213</t>
        </is>
      </c>
      <c r="G1754" s="19" t="n"/>
      <c r="H1754" s="19" t="inlineStr">
        <is>
          <t>2</t>
        </is>
      </c>
      <c r="I1754" s="19" t="n"/>
      <c r="J1754" s="19" t="n"/>
      <c r="K1754" s="19" t="inlineStr">
        <is>
          <t>2</t>
        </is>
      </c>
      <c r="L1754" t="inlineStr">
        <is>
          <t>2026-08-08</t>
        </is>
      </c>
      <c r="N1754" t="inlineStr">
        <is>
          <t>IN_SCOPE_FINAL; SOURCE_CFG=IA-ST-CFG-0248; MARKET=GULF; STATUS=IN OEM / EU PACKAGE</t>
        </is>
      </c>
      <c r="O1754" t="inlineStr">
        <is>
          <t>2026-08-10T19:29:54Z</t>
        </is>
      </c>
      <c r="P1754" t="inlineStr">
        <is>
          <t>2026-08-10T19:29:54Z</t>
        </is>
      </c>
    </row>
    <row r="1755">
      <c r="A1755" s="19" t="inlineStr">
        <is>
          <t>1754</t>
        </is>
      </c>
      <c r="B1755" s="19" t="inlineStr">
        <is>
          <t>SC-1012470-ST-087-STD-03</t>
        </is>
      </c>
      <c r="C1755" t="inlineStr">
        <is>
          <t>1012470 → ST-087-STD-03</t>
        </is>
      </c>
      <c r="D1755" s="19" t="inlineStr">
        <is>
          <t>2</t>
        </is>
      </c>
      <c r="E1755" s="19" t="inlineStr">
        <is>
          <t>661</t>
        </is>
      </c>
      <c r="F1755" s="19" t="inlineStr">
        <is>
          <t>213</t>
        </is>
      </c>
      <c r="G1755" s="19" t="n"/>
      <c r="H1755" s="19" t="inlineStr">
        <is>
          <t>2</t>
        </is>
      </c>
      <c r="I1755" s="19" t="n"/>
      <c r="J1755" s="19" t="n"/>
      <c r="K1755" s="19" t="inlineStr">
        <is>
          <t>2</t>
        </is>
      </c>
      <c r="L1755" t="inlineStr">
        <is>
          <t>2026-08-08</t>
        </is>
      </c>
      <c r="N1755" t="inlineStr">
        <is>
          <t>IN_SCOPE_FINAL; SOURCE_CFG=IA-ST-CFG-0248; MARKET=None; STATUS=IN OEM / EU PACKAGE</t>
        </is>
      </c>
      <c r="O1755" t="inlineStr">
        <is>
          <t>2026-08-10T19:29:54Z</t>
        </is>
      </c>
      <c r="P1755" t="inlineStr">
        <is>
          <t>2026-08-10T19:29:54Z</t>
        </is>
      </c>
    </row>
    <row r="1756">
      <c r="A1756" s="19" t="inlineStr">
        <is>
          <t>1755</t>
        </is>
      </c>
      <c r="B1756" s="19" t="inlineStr">
        <is>
          <t>SC-1012490-ST-087-STD-03</t>
        </is>
      </c>
      <c r="C1756" t="inlineStr">
        <is>
          <t>1012490 → ST-087-STD-03</t>
        </is>
      </c>
      <c r="D1756" s="19" t="inlineStr">
        <is>
          <t>2</t>
        </is>
      </c>
      <c r="E1756" s="19" t="inlineStr">
        <is>
          <t>674</t>
        </is>
      </c>
      <c r="F1756" s="19" t="inlineStr">
        <is>
          <t>213</t>
        </is>
      </c>
      <c r="G1756" s="19" t="n"/>
      <c r="H1756" s="19" t="inlineStr">
        <is>
          <t>2</t>
        </is>
      </c>
      <c r="I1756" s="19" t="n"/>
      <c r="J1756" s="19" t="n"/>
      <c r="K1756" s="19" t="inlineStr">
        <is>
          <t>2</t>
        </is>
      </c>
      <c r="L1756" t="inlineStr">
        <is>
          <t>2026-08-08</t>
        </is>
      </c>
      <c r="N1756" t="inlineStr">
        <is>
          <t>IN_SCOPE_FINAL; SOURCE_CFG=IA-ST-CFG-0248; MARKET=None; STATUS=IN OEM / EU PACKAGE</t>
        </is>
      </c>
      <c r="O1756" t="inlineStr">
        <is>
          <t>2026-08-10T19:29:54Z</t>
        </is>
      </c>
      <c r="P1756" t="inlineStr">
        <is>
          <t>2026-08-10T19:29:54Z</t>
        </is>
      </c>
    </row>
    <row r="1757">
      <c r="A1757" s="19" t="inlineStr">
        <is>
          <t>1756</t>
        </is>
      </c>
      <c r="B1757" s="19" t="inlineStr">
        <is>
          <t>SC-1013056-ST-087-STD-03</t>
        </is>
      </c>
      <c r="C1757" t="inlineStr">
        <is>
          <t>1013056 → ST-087-STD-03</t>
        </is>
      </c>
      <c r="D1757" s="19" t="inlineStr">
        <is>
          <t>2</t>
        </is>
      </c>
      <c r="E1757" s="19" t="inlineStr">
        <is>
          <t>907</t>
        </is>
      </c>
      <c r="F1757" s="19" t="inlineStr">
        <is>
          <t>213</t>
        </is>
      </c>
      <c r="G1757" s="19" t="n"/>
      <c r="H1757" s="19" t="inlineStr">
        <is>
          <t>2</t>
        </is>
      </c>
      <c r="I1757" s="19" t="n"/>
      <c r="J1757" s="19" t="n"/>
      <c r="K1757" s="19" t="inlineStr">
        <is>
          <t>2</t>
        </is>
      </c>
      <c r="L1757" t="inlineStr">
        <is>
          <t>2026-08-08</t>
        </is>
      </c>
      <c r="N1757" t="inlineStr">
        <is>
          <t>IN_SCOPE_FINAL; SOURCE_CFG=IA-ST-CFG-0248; MARKET=None; STATUS=IN OEM / EU PACKAGE</t>
        </is>
      </c>
      <c r="O1757" t="inlineStr">
        <is>
          <t>2026-08-10T19:29:54Z</t>
        </is>
      </c>
      <c r="P1757" t="inlineStr">
        <is>
          <t>2026-08-10T19:29:54Z</t>
        </is>
      </c>
    </row>
    <row r="1758">
      <c r="A1758" s="19" t="inlineStr">
        <is>
          <t>1757</t>
        </is>
      </c>
      <c r="B1758" s="19" t="inlineStr">
        <is>
          <t>SC-1013300-ST-087-STD-03</t>
        </is>
      </c>
      <c r="C1758" t="inlineStr">
        <is>
          <t>1013300 → ST-087-STD-03</t>
        </is>
      </c>
      <c r="D1758" s="19" t="inlineStr">
        <is>
          <t>2</t>
        </is>
      </c>
      <c r="E1758" s="19" t="inlineStr">
        <is>
          <t>971</t>
        </is>
      </c>
      <c r="F1758" s="19" t="inlineStr">
        <is>
          <t>213</t>
        </is>
      </c>
      <c r="G1758" s="19" t="n"/>
      <c r="H1758" s="19" t="inlineStr">
        <is>
          <t>2</t>
        </is>
      </c>
      <c r="I1758" s="19" t="n"/>
      <c r="J1758" s="19" t="n"/>
      <c r="K1758" s="19" t="inlineStr">
        <is>
          <t>2</t>
        </is>
      </c>
      <c r="L1758" t="inlineStr">
        <is>
          <t>2026-08-08</t>
        </is>
      </c>
      <c r="N1758" t="inlineStr">
        <is>
          <t>IN_SCOPE_FINAL; SOURCE_CFG=IA-ST-CFG-0248; MARKET=None; STATUS=IN OEM / EU PACKAGE</t>
        </is>
      </c>
      <c r="O1758" t="inlineStr">
        <is>
          <t>2026-08-10T19:29:54Z</t>
        </is>
      </c>
      <c r="P1758" t="inlineStr">
        <is>
          <t>2026-08-10T19:29:54Z</t>
        </is>
      </c>
    </row>
    <row r="1759">
      <c r="A1759" s="19" t="inlineStr">
        <is>
          <t>1758</t>
        </is>
      </c>
      <c r="B1759" s="19" t="inlineStr">
        <is>
          <t>SC-1014091-ST-087-STD-03</t>
        </is>
      </c>
      <c r="C1759" t="inlineStr">
        <is>
          <t>1014091 → ST-087-STD-03</t>
        </is>
      </c>
      <c r="D1759" s="19" t="inlineStr">
        <is>
          <t>2</t>
        </is>
      </c>
      <c r="E1759" s="19" t="inlineStr">
        <is>
          <t>1220</t>
        </is>
      </c>
      <c r="F1759" s="19" t="inlineStr">
        <is>
          <t>213</t>
        </is>
      </c>
      <c r="G1759" s="19" t="n"/>
      <c r="H1759" s="19" t="inlineStr">
        <is>
          <t>2</t>
        </is>
      </c>
      <c r="I1759" s="19" t="n"/>
      <c r="J1759" s="19" t="n"/>
      <c r="K1759" s="19" t="inlineStr">
        <is>
          <t>2</t>
        </is>
      </c>
      <c r="L1759" t="inlineStr">
        <is>
          <t>2026-08-08</t>
        </is>
      </c>
      <c r="N1759" t="inlineStr">
        <is>
          <t>IN_SCOPE_FINAL; SOURCE_CFG=IA-ST-CFG-0248; MARKET=SHAWKAT; STATUS=IN OEM / EU PACKAGE</t>
        </is>
      </c>
      <c r="O1759" t="inlineStr">
        <is>
          <t>2026-08-10T19:29:54Z</t>
        </is>
      </c>
      <c r="P1759" t="inlineStr">
        <is>
          <t>2026-08-10T19:29:54Z</t>
        </is>
      </c>
    </row>
    <row r="1760">
      <c r="A1760" s="19" t="inlineStr">
        <is>
          <t>1759</t>
        </is>
      </c>
      <c r="B1760" s="19" t="inlineStr">
        <is>
          <t>SC-1014818-ST-087-STD-03</t>
        </is>
      </c>
      <c r="C1760" t="inlineStr">
        <is>
          <t>1014818 → ST-087-STD-03</t>
        </is>
      </c>
      <c r="D1760" s="19" t="inlineStr">
        <is>
          <t>2</t>
        </is>
      </c>
      <c r="E1760" s="19" t="inlineStr">
        <is>
          <t>1623</t>
        </is>
      </c>
      <c r="F1760" s="19" t="inlineStr">
        <is>
          <t>213</t>
        </is>
      </c>
      <c r="G1760" s="19" t="n"/>
      <c r="H1760" s="19" t="inlineStr">
        <is>
          <t>2</t>
        </is>
      </c>
      <c r="I1760" s="19" t="n"/>
      <c r="J1760" s="19" t="n"/>
      <c r="K1760" s="19" t="inlineStr">
        <is>
          <t>2</t>
        </is>
      </c>
      <c r="L1760" t="inlineStr">
        <is>
          <t>2026-08-08</t>
        </is>
      </c>
      <c r="N1760" t="inlineStr">
        <is>
          <t>IN_SCOPE_FINAL; SOURCE_CFG=IA-ST-CFG-0248; MARKET=REDMAY URUGUAY; STATUS=IN OEM / EU PACKAGE</t>
        </is>
      </c>
      <c r="O1760" t="inlineStr">
        <is>
          <t>2026-08-10T19:29:54Z</t>
        </is>
      </c>
      <c r="P1760" t="inlineStr">
        <is>
          <t>2026-08-10T19:29:54Z</t>
        </is>
      </c>
    </row>
    <row r="1761">
      <c r="A1761" s="19" t="inlineStr">
        <is>
          <t>1760</t>
        </is>
      </c>
      <c r="B1761" s="19" t="inlineStr">
        <is>
          <t>SC-1015202-ST-087-STD-03</t>
        </is>
      </c>
      <c r="C1761" t="inlineStr">
        <is>
          <t>1015202 → ST-087-STD-03</t>
        </is>
      </c>
      <c r="D1761" s="19" t="inlineStr">
        <is>
          <t>2</t>
        </is>
      </c>
      <c r="E1761" s="19" t="inlineStr">
        <is>
          <t>1943</t>
        </is>
      </c>
      <c r="F1761" s="19" t="inlineStr">
        <is>
          <t>213</t>
        </is>
      </c>
      <c r="G1761" s="19" t="n"/>
      <c r="H1761" s="19" t="inlineStr">
        <is>
          <t>2</t>
        </is>
      </c>
      <c r="I1761" s="19" t="n"/>
      <c r="J1761" s="19" t="n"/>
      <c r="K1761" s="19" t="inlineStr">
        <is>
          <t>2</t>
        </is>
      </c>
      <c r="L1761" t="inlineStr">
        <is>
          <t>2026-08-08</t>
        </is>
      </c>
      <c r="N1761" t="inlineStr">
        <is>
          <t>IN_SCOPE_FINAL; SOURCE_CFG=IA-ST-CFG-0248; MARKET=None; STATUS=IN OEM / EU PACKAGE</t>
        </is>
      </c>
      <c r="O1761" t="inlineStr">
        <is>
          <t>2026-08-10T19:29:54Z</t>
        </is>
      </c>
      <c r="P1761" t="inlineStr">
        <is>
          <t>2026-08-10T19:29:54Z</t>
        </is>
      </c>
    </row>
    <row r="1762">
      <c r="A1762" s="19" t="inlineStr">
        <is>
          <t>1761</t>
        </is>
      </c>
      <c r="B1762" s="19" t="inlineStr">
        <is>
          <t>SC-1015250-ST-087-STD-03</t>
        </is>
      </c>
      <c r="C1762" t="inlineStr">
        <is>
          <t>1015250 → ST-087-STD-03</t>
        </is>
      </c>
      <c r="D1762" s="19" t="inlineStr">
        <is>
          <t>2</t>
        </is>
      </c>
      <c r="E1762" s="19" t="inlineStr">
        <is>
          <t>1986</t>
        </is>
      </c>
      <c r="F1762" s="19" t="inlineStr">
        <is>
          <t>213</t>
        </is>
      </c>
      <c r="G1762" s="19" t="n"/>
      <c r="H1762" s="19" t="inlineStr">
        <is>
          <t>2</t>
        </is>
      </c>
      <c r="I1762" s="19" t="n"/>
      <c r="J1762" s="19" t="n"/>
      <c r="K1762" s="19" t="inlineStr">
        <is>
          <t>2</t>
        </is>
      </c>
      <c r="L1762" t="inlineStr">
        <is>
          <t>2026-08-08</t>
        </is>
      </c>
      <c r="N1762" t="inlineStr">
        <is>
          <t>IN_SCOPE_FINAL; SOURCE_CFG=IA-ST-CFG-0248; MARKET=MISIR AL AMAN; STATUS=IN OEM / EU PACKAGE</t>
        </is>
      </c>
      <c r="O1762" t="inlineStr">
        <is>
          <t>2026-08-10T19:29:54Z</t>
        </is>
      </c>
      <c r="P1762" t="inlineStr">
        <is>
          <t>2026-08-10T19:29:54Z</t>
        </is>
      </c>
    </row>
    <row r="1763">
      <c r="A1763" s="19" t="inlineStr">
        <is>
          <t>1762</t>
        </is>
      </c>
      <c r="B1763" s="19" t="inlineStr">
        <is>
          <t>SC-1012705-ST-087-STD-03</t>
        </is>
      </c>
      <c r="C1763" t="inlineStr">
        <is>
          <t>1012705 → ST-087-STD-03</t>
        </is>
      </c>
      <c r="D1763" s="19" t="inlineStr">
        <is>
          <t>2</t>
        </is>
      </c>
      <c r="E1763" s="19" t="inlineStr">
        <is>
          <t>763</t>
        </is>
      </c>
      <c r="F1763" s="19" t="inlineStr">
        <is>
          <t>213</t>
        </is>
      </c>
      <c r="G1763" s="19" t="n"/>
      <c r="H1763" s="19" t="inlineStr">
        <is>
          <t>2</t>
        </is>
      </c>
      <c r="I1763" s="19" t="n"/>
      <c r="J1763" s="19" t="n"/>
      <c r="K1763" s="19" t="inlineStr">
        <is>
          <t>2</t>
        </is>
      </c>
      <c r="L1763" t="inlineStr">
        <is>
          <t>2026-08-08</t>
        </is>
      </c>
      <c r="N1763" t="inlineStr">
        <is>
          <t>IN_SCOPE_FINAL; SOURCE_CFG=IA-ST-CFG-0248; MARKET=FORD (Yurt İçi); STATUS=IN OEM / EU PACKAGE</t>
        </is>
      </c>
      <c r="O1763" t="inlineStr">
        <is>
          <t>2026-08-10T19:29:54Z</t>
        </is>
      </c>
      <c r="P1763" t="inlineStr">
        <is>
          <t>2026-08-10T19:29:54Z</t>
        </is>
      </c>
    </row>
    <row r="1764">
      <c r="A1764" s="19" t="inlineStr">
        <is>
          <t>1763</t>
        </is>
      </c>
      <c r="B1764" s="19" t="inlineStr">
        <is>
          <t>SC-1012304-ST-087-STD-04</t>
        </is>
      </c>
      <c r="C1764" t="inlineStr">
        <is>
          <t>1012304 → ST-087-STD-04</t>
        </is>
      </c>
      <c r="D1764" s="19" t="inlineStr">
        <is>
          <t>2</t>
        </is>
      </c>
      <c r="E1764" s="19" t="inlineStr">
        <is>
          <t>593</t>
        </is>
      </c>
      <c r="F1764" s="19" t="inlineStr">
        <is>
          <t>214</t>
        </is>
      </c>
      <c r="G1764" s="19" t="n"/>
      <c r="H1764" s="19" t="inlineStr">
        <is>
          <t>2</t>
        </is>
      </c>
      <c r="I1764" s="19" t="n"/>
      <c r="J1764" s="19" t="n"/>
      <c r="K1764" s="19" t="inlineStr">
        <is>
          <t>2</t>
        </is>
      </c>
      <c r="L1764" t="inlineStr">
        <is>
          <t>2026-08-08</t>
        </is>
      </c>
      <c r="N1764" t="inlineStr">
        <is>
          <t>IN_SCOPE_FINAL; SOURCE_CFG=IA-ST-CFG-0249; MARKET=SCHNAPP; STATUS=IN OEM / EU PACKAGE</t>
        </is>
      </c>
      <c r="O1764" t="inlineStr">
        <is>
          <t>2026-08-10T19:29:54Z</t>
        </is>
      </c>
      <c r="P1764" t="inlineStr">
        <is>
          <t>2026-08-10T19:29:54Z</t>
        </is>
      </c>
    </row>
    <row r="1765">
      <c r="A1765" s="19" t="inlineStr">
        <is>
          <t>1764</t>
        </is>
      </c>
      <c r="B1765" s="19" t="inlineStr">
        <is>
          <t>SC-1012332-ST-087-STD-04</t>
        </is>
      </c>
      <c r="C1765" t="inlineStr">
        <is>
          <t>1012332 → ST-087-STD-04</t>
        </is>
      </c>
      <c r="D1765" s="19" t="inlineStr">
        <is>
          <t>2</t>
        </is>
      </c>
      <c r="E1765" s="19" t="inlineStr">
        <is>
          <t>600</t>
        </is>
      </c>
      <c r="F1765" s="19" t="inlineStr">
        <is>
          <t>214</t>
        </is>
      </c>
      <c r="G1765" s="19" t="n"/>
      <c r="H1765" s="19" t="inlineStr">
        <is>
          <t>2</t>
        </is>
      </c>
      <c r="I1765" s="19" t="n"/>
      <c r="J1765" s="19" t="n"/>
      <c r="K1765" s="19" t="inlineStr">
        <is>
          <t>2</t>
        </is>
      </c>
      <c r="L1765" t="inlineStr">
        <is>
          <t>2026-08-08</t>
        </is>
      </c>
      <c r="N1765" t="inlineStr">
        <is>
          <t>IN_SCOPE_FINAL; SOURCE_CFG=IA-ST-CFG-0249; MARKET=SCHNAPP; STATUS=IN OEM / EU PACKAGE</t>
        </is>
      </c>
      <c r="O1765" t="inlineStr">
        <is>
          <t>2026-08-10T19:29:54Z</t>
        </is>
      </c>
      <c r="P1765" t="inlineStr">
        <is>
          <t>2026-08-10T19:29:54Z</t>
        </is>
      </c>
    </row>
    <row r="1766">
      <c r="A1766" s="19" t="inlineStr">
        <is>
          <t>1765</t>
        </is>
      </c>
      <c r="B1766" s="19" t="inlineStr">
        <is>
          <t>SC-1012336-ST-087-STD-04</t>
        </is>
      </c>
      <c r="C1766" t="inlineStr">
        <is>
          <t>1012336 → ST-087-STD-04</t>
        </is>
      </c>
      <c r="D1766" s="19" t="inlineStr">
        <is>
          <t>2</t>
        </is>
      </c>
      <c r="E1766" s="19" t="inlineStr">
        <is>
          <t>604</t>
        </is>
      </c>
      <c r="F1766" s="19" t="inlineStr">
        <is>
          <t>214</t>
        </is>
      </c>
      <c r="G1766" s="19" t="n"/>
      <c r="H1766" s="19" t="inlineStr">
        <is>
          <t>2</t>
        </is>
      </c>
      <c r="I1766" s="19" t="n"/>
      <c r="J1766" s="19" t="n"/>
      <c r="K1766" s="19" t="inlineStr">
        <is>
          <t>2</t>
        </is>
      </c>
      <c r="L1766" t="inlineStr">
        <is>
          <t>2026-08-08</t>
        </is>
      </c>
      <c r="N1766" t="inlineStr">
        <is>
          <t>IN_SCOPE_FINAL; SOURCE_CFG=IA-ST-CFG-0249; MARKET=SCHNAPP; STATUS=IN OEM / EU PACKAGE</t>
        </is>
      </c>
      <c r="O1766" t="inlineStr">
        <is>
          <t>2026-08-10T19:29:54Z</t>
        </is>
      </c>
      <c r="P1766" t="inlineStr">
        <is>
          <t>2026-08-10T19:29:54Z</t>
        </is>
      </c>
    </row>
    <row r="1767">
      <c r="A1767" s="19" t="inlineStr">
        <is>
          <t>1766</t>
        </is>
      </c>
      <c r="B1767" s="19" t="inlineStr">
        <is>
          <t>SC-1012339-ST-087-STD-04</t>
        </is>
      </c>
      <c r="C1767" t="inlineStr">
        <is>
          <t>1012339 → ST-087-STD-04</t>
        </is>
      </c>
      <c r="D1767" s="19" t="inlineStr">
        <is>
          <t>2</t>
        </is>
      </c>
      <c r="E1767" s="19" t="inlineStr">
        <is>
          <t>606</t>
        </is>
      </c>
      <c r="F1767" s="19" t="inlineStr">
        <is>
          <t>214</t>
        </is>
      </c>
      <c r="G1767" s="19" t="n"/>
      <c r="H1767" s="19" t="inlineStr">
        <is>
          <t>2</t>
        </is>
      </c>
      <c r="I1767" s="19" t="n"/>
      <c r="J1767" s="19" t="n"/>
      <c r="K1767" s="19" t="inlineStr">
        <is>
          <t>2</t>
        </is>
      </c>
      <c r="L1767" t="inlineStr">
        <is>
          <t>2026-08-08</t>
        </is>
      </c>
      <c r="N1767" t="inlineStr">
        <is>
          <t>IN_SCOPE_FINAL; SOURCE_CFG=IA-ST-CFG-0249; MARKET=SCHNAPP; STATUS=IN OEM / EU PACKAGE</t>
        </is>
      </c>
      <c r="O1767" t="inlineStr">
        <is>
          <t>2026-08-10T19:29:54Z</t>
        </is>
      </c>
      <c r="P1767" t="inlineStr">
        <is>
          <t>2026-08-10T19:29:54Z</t>
        </is>
      </c>
    </row>
    <row r="1768">
      <c r="A1768" s="19" t="inlineStr">
        <is>
          <t>1767</t>
        </is>
      </c>
      <c r="B1768" s="19" t="inlineStr">
        <is>
          <t>SC-1012355-ST-087-STD-04</t>
        </is>
      </c>
      <c r="C1768" t="inlineStr">
        <is>
          <t>1012355 → ST-087-STD-04</t>
        </is>
      </c>
      <c r="D1768" s="19" t="inlineStr">
        <is>
          <t>2</t>
        </is>
      </c>
      <c r="E1768" s="19" t="inlineStr">
        <is>
          <t>614</t>
        </is>
      </c>
      <c r="F1768" s="19" t="inlineStr">
        <is>
          <t>214</t>
        </is>
      </c>
      <c r="G1768" s="19" t="n"/>
      <c r="H1768" s="19" t="inlineStr">
        <is>
          <t>2</t>
        </is>
      </c>
      <c r="I1768" s="19" t="n"/>
      <c r="J1768" s="19" t="n"/>
      <c r="K1768" s="19" t="inlineStr">
        <is>
          <t>2</t>
        </is>
      </c>
      <c r="L1768" t="inlineStr">
        <is>
          <t>2026-08-08</t>
        </is>
      </c>
      <c r="N1768" t="inlineStr">
        <is>
          <t>IN_SCOPE_FINAL; SOURCE_CFG=IA-ST-CFG-0249; MARKET=SCHNAPP; STATUS=IN OEM / EU PACKAGE</t>
        </is>
      </c>
      <c r="O1768" t="inlineStr">
        <is>
          <t>2026-08-10T19:29:54Z</t>
        </is>
      </c>
      <c r="P1768" t="inlineStr">
        <is>
          <t>2026-08-10T19:29:54Z</t>
        </is>
      </c>
    </row>
    <row r="1769">
      <c r="A1769" s="19" t="inlineStr">
        <is>
          <t>1768</t>
        </is>
      </c>
      <c r="B1769" s="19" t="inlineStr">
        <is>
          <t>SC-1011813-ST-087-STD-05</t>
        </is>
      </c>
      <c r="C1769" t="inlineStr">
        <is>
          <t>1011813 → ST-087-STD-05</t>
        </is>
      </c>
      <c r="D1769" s="19" t="inlineStr">
        <is>
          <t>2</t>
        </is>
      </c>
      <c r="E1769" s="19" t="inlineStr">
        <is>
          <t>357</t>
        </is>
      </c>
      <c r="F1769" s="19" t="inlineStr">
        <is>
          <t>215</t>
        </is>
      </c>
      <c r="G1769" s="19" t="n"/>
      <c r="H1769" s="19" t="inlineStr">
        <is>
          <t>2</t>
        </is>
      </c>
      <c r="I1769" s="19" t="n"/>
      <c r="J1769" s="19" t="n"/>
      <c r="K1769" s="19" t="inlineStr">
        <is>
          <t>2</t>
        </is>
      </c>
      <c r="L1769" t="inlineStr">
        <is>
          <t>2026-08-08</t>
        </is>
      </c>
      <c r="N1769" t="inlineStr">
        <is>
          <t>IN_SCOPE_FINAL; SOURCE_CFG=IA-ST-CFG-0250; MARKET=MISIR ATWAN; STATUS=IN OEM / EU PACKAGE</t>
        </is>
      </c>
      <c r="O1769" t="inlineStr">
        <is>
          <t>2026-08-10T19:29:54Z</t>
        </is>
      </c>
      <c r="P1769" t="inlineStr">
        <is>
          <t>2026-08-10T19:29:54Z</t>
        </is>
      </c>
    </row>
    <row r="1770">
      <c r="A1770" s="19" t="inlineStr">
        <is>
          <t>1769</t>
        </is>
      </c>
      <c r="B1770" s="19" t="inlineStr">
        <is>
          <t>SC-1011161-ST-087-STD-06</t>
        </is>
      </c>
      <c r="C1770" t="inlineStr">
        <is>
          <t>1011161 → ST-087-STD-06</t>
        </is>
      </c>
      <c r="D1770" s="19" t="inlineStr">
        <is>
          <t>2</t>
        </is>
      </c>
      <c r="E1770" s="19" t="inlineStr">
        <is>
          <t>238</t>
        </is>
      </c>
      <c r="F1770" s="19" t="inlineStr">
        <is>
          <t>216</t>
        </is>
      </c>
      <c r="G1770" s="19" t="n"/>
      <c r="H1770" s="19" t="inlineStr">
        <is>
          <t>2</t>
        </is>
      </c>
      <c r="I1770" s="19" t="n"/>
      <c r="J1770" s="19" t="n"/>
      <c r="K1770" s="19" t="inlineStr">
        <is>
          <t>2</t>
        </is>
      </c>
      <c r="L1770" t="inlineStr">
        <is>
          <t>2026-08-08</t>
        </is>
      </c>
      <c r="N1770" t="inlineStr">
        <is>
          <t>IN_SCOPE_FINAL; SOURCE_CFG=IA-ST-CFG-0251; MARKET=YURT İÇİ AFM; STATUS=IN OEM / EU PACKAGE</t>
        </is>
      </c>
      <c r="O1770" t="inlineStr">
        <is>
          <t>2026-08-10T19:29:54Z</t>
        </is>
      </c>
      <c r="P1770" t="inlineStr">
        <is>
          <t>2026-08-10T19:29:54Z</t>
        </is>
      </c>
    </row>
    <row r="1771">
      <c r="A1771" s="19" t="inlineStr">
        <is>
          <t>1770</t>
        </is>
      </c>
      <c r="B1771" s="19" t="inlineStr">
        <is>
          <t>SC-1012170-ST-087-STD-06</t>
        </is>
      </c>
      <c r="C1771" t="inlineStr">
        <is>
          <t>1012170 → ST-087-STD-06</t>
        </is>
      </c>
      <c r="D1771" s="19" t="inlineStr">
        <is>
          <t>2</t>
        </is>
      </c>
      <c r="E1771" s="19" t="inlineStr">
        <is>
          <t>554</t>
        </is>
      </c>
      <c r="F1771" s="19" t="inlineStr">
        <is>
          <t>216</t>
        </is>
      </c>
      <c r="G1771" s="19" t="n"/>
      <c r="H1771" s="19" t="inlineStr">
        <is>
          <t>2</t>
        </is>
      </c>
      <c r="I1771" s="19" t="n"/>
      <c r="J1771" s="19" t="n"/>
      <c r="K1771" s="19" t="inlineStr">
        <is>
          <t>2</t>
        </is>
      </c>
      <c r="L1771" t="inlineStr">
        <is>
          <t>2026-08-08</t>
        </is>
      </c>
      <c r="N1771" t="inlineStr">
        <is>
          <t>IN_SCOPE_FINAL; SOURCE_CFG=IA-ST-CFG-0251; MARKET=YURT İÇİ AFM; STATUS=IN OEM / EU PACKAGE</t>
        </is>
      </c>
      <c r="O1771" t="inlineStr">
        <is>
          <t>2026-08-10T19:29:54Z</t>
        </is>
      </c>
      <c r="P1771" t="inlineStr">
        <is>
          <t>2026-08-10T19:29:54Z</t>
        </is>
      </c>
    </row>
    <row r="1772">
      <c r="A1772" s="19" t="inlineStr">
        <is>
          <t>1771</t>
        </is>
      </c>
      <c r="B1772" s="19" t="inlineStr">
        <is>
          <t>SC-1014567-ST-087-STD-06</t>
        </is>
      </c>
      <c r="C1772" t="inlineStr">
        <is>
          <t>1014567 → ST-087-STD-06</t>
        </is>
      </c>
      <c r="D1772" s="19" t="inlineStr">
        <is>
          <t>2</t>
        </is>
      </c>
      <c r="E1772" s="19" t="inlineStr">
        <is>
          <t>1456</t>
        </is>
      </c>
      <c r="F1772" s="19" t="inlineStr">
        <is>
          <t>216</t>
        </is>
      </c>
      <c r="G1772" s="19" t="n"/>
      <c r="H1772" s="19" t="inlineStr">
        <is>
          <t>2</t>
        </is>
      </c>
      <c r="I1772" s="19" t="n"/>
      <c r="J1772" s="19" t="n"/>
      <c r="K1772" s="19" t="inlineStr">
        <is>
          <t>2</t>
        </is>
      </c>
      <c r="L1772" t="inlineStr">
        <is>
          <t>2026-08-08</t>
        </is>
      </c>
      <c r="N1772" t="inlineStr">
        <is>
          <t>IN_SCOPE_FINAL; SOURCE_CFG=IA-ST-CFG-0251; MARKET=YURT İÇİ AFM; STATUS=IN OEM / EU PACKAGE</t>
        </is>
      </c>
      <c r="O1772" t="inlineStr">
        <is>
          <t>2026-08-10T19:29:54Z</t>
        </is>
      </c>
      <c r="P1772" t="inlineStr">
        <is>
          <t>2026-08-10T19:29:54Z</t>
        </is>
      </c>
    </row>
    <row r="1773">
      <c r="A1773" s="19" t="inlineStr">
        <is>
          <t>1772</t>
        </is>
      </c>
      <c r="B1773" s="19" t="inlineStr">
        <is>
          <t>SC-1011199-ST-087-STD-06</t>
        </is>
      </c>
      <c r="C1773" t="inlineStr">
        <is>
          <t>1011199 → ST-087-STD-06</t>
        </is>
      </c>
      <c r="D1773" s="19" t="inlineStr">
        <is>
          <t>2</t>
        </is>
      </c>
      <c r="E1773" s="19" t="inlineStr">
        <is>
          <t>269</t>
        </is>
      </c>
      <c r="F1773" s="19" t="inlineStr">
        <is>
          <t>216</t>
        </is>
      </c>
      <c r="G1773" s="19" t="n"/>
      <c r="H1773" s="19" t="inlineStr">
        <is>
          <t>2</t>
        </is>
      </c>
      <c r="I1773" s="19" t="n"/>
      <c r="J1773" s="19" t="n"/>
      <c r="K1773" s="19" t="inlineStr">
        <is>
          <t>2</t>
        </is>
      </c>
      <c r="L1773" t="inlineStr">
        <is>
          <t>2026-08-08</t>
        </is>
      </c>
      <c r="N1773" t="inlineStr">
        <is>
          <t>IN_SCOPE_FINAL; SOURCE_CFG=IA-ST-CFG-0251; MARKET=YURT İÇİ AFM; STATUS=IN OEM / EU PACKAGE</t>
        </is>
      </c>
      <c r="O1773" t="inlineStr">
        <is>
          <t>2026-08-10T19:29:54Z</t>
        </is>
      </c>
      <c r="P1773" t="inlineStr">
        <is>
          <t>2026-08-10T19:29:54Z</t>
        </is>
      </c>
    </row>
    <row r="1774">
      <c r="A1774" s="19" t="inlineStr">
        <is>
          <t>1773</t>
        </is>
      </c>
      <c r="B1774" s="19" t="inlineStr">
        <is>
          <t>SC-1011170-ST-087-STD-07</t>
        </is>
      </c>
      <c r="C1774" t="inlineStr">
        <is>
          <t>1011170 → ST-087-STD-07</t>
        </is>
      </c>
      <c r="D1774" s="19" t="inlineStr">
        <is>
          <t>2</t>
        </is>
      </c>
      <c r="E1774" s="19" t="inlineStr">
        <is>
          <t>246</t>
        </is>
      </c>
      <c r="F1774" s="19" t="inlineStr">
        <is>
          <t>217</t>
        </is>
      </c>
      <c r="G1774" s="19" t="n"/>
      <c r="H1774" s="19" t="inlineStr">
        <is>
          <t>2</t>
        </is>
      </c>
      <c r="I1774" s="19" t="n"/>
      <c r="J1774" s="19" t="n"/>
      <c r="K1774" s="19" t="inlineStr">
        <is>
          <t>2</t>
        </is>
      </c>
      <c r="L1774" t="inlineStr">
        <is>
          <t>2026-08-08</t>
        </is>
      </c>
      <c r="N1774" t="inlineStr">
        <is>
          <t>IN_SCOPE_FINAL; SOURCE_CFG=IA-ST-CFG-0252; MARKET=YURT İÇİ AFM; STATUS=IN OEM / EU PACKAGE</t>
        </is>
      </c>
      <c r="O1774" t="inlineStr">
        <is>
          <t>2026-08-10T19:29:54Z</t>
        </is>
      </c>
      <c r="P1774" t="inlineStr">
        <is>
          <t>2026-08-10T19:29:54Z</t>
        </is>
      </c>
    </row>
    <row r="1775">
      <c r="A1775" s="19" t="inlineStr">
        <is>
          <t>1774</t>
        </is>
      </c>
      <c r="B1775" s="19" t="inlineStr">
        <is>
          <t>SC-1011171-ST-087-STD-07</t>
        </is>
      </c>
      <c r="C1775" t="inlineStr">
        <is>
          <t>1011171 → ST-087-STD-07</t>
        </is>
      </c>
      <c r="D1775" s="19" t="inlineStr">
        <is>
          <t>2</t>
        </is>
      </c>
      <c r="E1775" s="19" t="inlineStr">
        <is>
          <t>247</t>
        </is>
      </c>
      <c r="F1775" s="19" t="inlineStr">
        <is>
          <t>217</t>
        </is>
      </c>
      <c r="G1775" s="19" t="n"/>
      <c r="H1775" s="19" t="inlineStr">
        <is>
          <t>2</t>
        </is>
      </c>
      <c r="I1775" s="19" t="n"/>
      <c r="J1775" s="19" t="n"/>
      <c r="K1775" s="19" t="inlineStr">
        <is>
          <t>2</t>
        </is>
      </c>
      <c r="L1775" t="inlineStr">
        <is>
          <t>2026-08-08</t>
        </is>
      </c>
      <c r="N1775" t="inlineStr">
        <is>
          <t>IN_SCOPE_FINAL; SOURCE_CFG=IA-ST-CFG-0252; MARKET=YURT İÇİ AFM; STATUS=IN OEM / EU PACKAGE</t>
        </is>
      </c>
      <c r="O1775" t="inlineStr">
        <is>
          <t>2026-08-10T19:29:54Z</t>
        </is>
      </c>
      <c r="P1775" t="inlineStr">
        <is>
          <t>2026-08-10T19:29:54Z</t>
        </is>
      </c>
    </row>
    <row r="1776">
      <c r="A1776" s="19" t="inlineStr">
        <is>
          <t>1775</t>
        </is>
      </c>
      <c r="B1776" s="19" t="inlineStr">
        <is>
          <t>SC-1013599-ST-087-EUR-01</t>
        </is>
      </c>
      <c r="C1776" t="inlineStr">
        <is>
          <t>1013599 → ST-087-EUR-01</t>
        </is>
      </c>
      <c r="D1776" s="19" t="inlineStr">
        <is>
          <t>2</t>
        </is>
      </c>
      <c r="E1776" s="19" t="inlineStr">
        <is>
          <t>1041</t>
        </is>
      </c>
      <c r="F1776" s="19" t="inlineStr">
        <is>
          <t>210</t>
        </is>
      </c>
      <c r="G1776" s="19" t="n"/>
      <c r="H1776" s="19" t="inlineStr">
        <is>
          <t>2</t>
        </is>
      </c>
      <c r="I1776" s="19" t="n"/>
      <c r="J1776" s="19" t="n"/>
      <c r="K1776" s="19" t="inlineStr">
        <is>
          <t>2</t>
        </is>
      </c>
      <c r="L1776" t="inlineStr">
        <is>
          <t>2026-08-08</t>
        </is>
      </c>
      <c r="N1776" t="inlineStr">
        <is>
          <t>IN_SCOPE_FINAL; SOURCE_CFG=IA-ST-CFG-0253; MARKET=None; STATUS=IN OEM / EU PACKAGE</t>
        </is>
      </c>
      <c r="O1776" t="inlineStr">
        <is>
          <t>2026-08-10T19:29:54Z</t>
        </is>
      </c>
      <c r="P1776" t="inlineStr">
        <is>
          <t>2026-08-10T19:29:54Z</t>
        </is>
      </c>
    </row>
    <row r="1777">
      <c r="A1777" s="19" t="inlineStr">
        <is>
          <t>1776</t>
        </is>
      </c>
      <c r="B1777" s="19" t="inlineStr">
        <is>
          <t>SC-1015008-ST-087-EUR-01</t>
        </is>
      </c>
      <c r="C1777" t="inlineStr">
        <is>
          <t>1015008 → ST-087-EUR-01</t>
        </is>
      </c>
      <c r="D1777" s="19" t="inlineStr">
        <is>
          <t>2</t>
        </is>
      </c>
      <c r="E1777" s="19" t="inlineStr">
        <is>
          <t>1769</t>
        </is>
      </c>
      <c r="F1777" s="19" t="inlineStr">
        <is>
          <t>210</t>
        </is>
      </c>
      <c r="G1777" s="19" t="n"/>
      <c r="H1777" s="19" t="inlineStr">
        <is>
          <t>2</t>
        </is>
      </c>
      <c r="I1777" s="19" t="n"/>
      <c r="J1777" s="19" t="n"/>
      <c r="K1777" s="19" t="inlineStr">
        <is>
          <t>2</t>
        </is>
      </c>
      <c r="L1777" t="inlineStr">
        <is>
          <t>2026-08-08</t>
        </is>
      </c>
      <c r="N1777" t="inlineStr">
        <is>
          <t>IN_SCOPE_FINAL; SOURCE_CFG=IA-ST-CFG-0253; MARKET=None; STATUS=IN OEM / EU PACKAGE</t>
        </is>
      </c>
      <c r="O1777" t="inlineStr">
        <is>
          <t>2026-08-10T19:29:54Z</t>
        </is>
      </c>
      <c r="P1777" t="inlineStr">
        <is>
          <t>2026-08-10T19:29:54Z</t>
        </is>
      </c>
    </row>
    <row r="1778">
      <c r="A1778" s="19" t="inlineStr">
        <is>
          <t>1777</t>
        </is>
      </c>
      <c r="B1778" s="19" t="inlineStr">
        <is>
          <t>SC-1012506-ST-087-EUR-01</t>
        </is>
      </c>
      <c r="C1778" t="inlineStr">
        <is>
          <t>1012506 → ST-087-EUR-01</t>
        </is>
      </c>
      <c r="D1778" s="19" t="inlineStr">
        <is>
          <t>2</t>
        </is>
      </c>
      <c r="E1778" s="19" t="inlineStr">
        <is>
          <t>678</t>
        </is>
      </c>
      <c r="F1778" s="19" t="inlineStr">
        <is>
          <t>210</t>
        </is>
      </c>
      <c r="G1778" s="19" t="n"/>
      <c r="H1778" s="19" t="inlineStr">
        <is>
          <t>2</t>
        </is>
      </c>
      <c r="I1778" s="19" t="n"/>
      <c r="J1778" s="19" t="n"/>
      <c r="K1778" s="19" t="inlineStr">
        <is>
          <t>2</t>
        </is>
      </c>
      <c r="L1778" t="inlineStr">
        <is>
          <t>2026-08-08</t>
        </is>
      </c>
      <c r="N1778" t="inlineStr">
        <is>
          <t>IN_SCOPE_FINAL; SOURCE_CFG=IA-ST-CFG-0253; MARKET=ATHLANTIC SUHI; STATUS=IN OEM / EU PACKAGE</t>
        </is>
      </c>
      <c r="O1778" t="inlineStr">
        <is>
          <t>2026-08-10T19:29:54Z</t>
        </is>
      </c>
      <c r="P1778" t="inlineStr">
        <is>
          <t>2026-08-10T19:29:54Z</t>
        </is>
      </c>
    </row>
    <row r="1779">
      <c r="A1779" s="19" t="inlineStr">
        <is>
          <t>1778</t>
        </is>
      </c>
      <c r="B1779" s="19" t="inlineStr">
        <is>
          <t>SC-1012041-ST-088-STD-01</t>
        </is>
      </c>
      <c r="C1779" t="inlineStr">
        <is>
          <t>1012041 → ST-088-STD-01</t>
        </is>
      </c>
      <c r="D1779" s="19" t="inlineStr">
        <is>
          <t>2</t>
        </is>
      </c>
      <c r="E1779" s="19" t="inlineStr">
        <is>
          <t>491</t>
        </is>
      </c>
      <c r="F1779" s="19" t="inlineStr">
        <is>
          <t>218</t>
        </is>
      </c>
      <c r="G1779" s="19" t="n"/>
      <c r="H1779" s="19" t="inlineStr">
        <is>
          <t>2</t>
        </is>
      </c>
      <c r="I1779" s="19" t="n"/>
      <c r="J1779" s="19" t="n"/>
      <c r="K1779" s="19" t="inlineStr">
        <is>
          <t>2</t>
        </is>
      </c>
      <c r="L1779" t="inlineStr">
        <is>
          <t>2026-08-08</t>
        </is>
      </c>
      <c r="N1779" t="inlineStr">
        <is>
          <t>IN_SCOPE_FINAL; SOURCE_CFG=IA-ST-CFG-0254; MARKET=MISIR ATWAN; STATUS=IN OEM / EU PACKAGE</t>
        </is>
      </c>
      <c r="O1779" t="inlineStr">
        <is>
          <t>2026-08-10T19:29:54Z</t>
        </is>
      </c>
      <c r="P1779" t="inlineStr">
        <is>
          <t>2026-08-10T19:29:54Z</t>
        </is>
      </c>
    </row>
    <row r="1780">
      <c r="A1780" s="19" t="inlineStr">
        <is>
          <t>1779</t>
        </is>
      </c>
      <c r="B1780" s="19" t="inlineStr">
        <is>
          <t>SC-1012577-ST-088-STD-01</t>
        </is>
      </c>
      <c r="C1780" t="inlineStr">
        <is>
          <t>1012577 → ST-088-STD-01</t>
        </is>
      </c>
      <c r="D1780" s="19" t="inlineStr">
        <is>
          <t>2</t>
        </is>
      </c>
      <c r="E1780" s="19" t="inlineStr">
        <is>
          <t>703</t>
        </is>
      </c>
      <c r="F1780" s="19" t="inlineStr">
        <is>
          <t>218</t>
        </is>
      </c>
      <c r="G1780" s="19" t="n"/>
      <c r="H1780" s="19" t="inlineStr">
        <is>
          <t>2</t>
        </is>
      </c>
      <c r="I1780" s="19" t="n"/>
      <c r="J1780" s="19" t="n"/>
      <c r="K1780" s="19" t="inlineStr">
        <is>
          <t>2</t>
        </is>
      </c>
      <c r="L1780" t="inlineStr">
        <is>
          <t>2026-08-08</t>
        </is>
      </c>
      <c r="N1780" t="inlineStr">
        <is>
          <t>IN_SCOPE_FINAL; SOURCE_CFG=IA-ST-CFG-0254; MARKET=MISIR ATWAN; STATUS=IN OEM / EU PACKAGE</t>
        </is>
      </c>
      <c r="O1780" t="inlineStr">
        <is>
          <t>2026-08-10T19:29:54Z</t>
        </is>
      </c>
      <c r="P1780" t="inlineStr">
        <is>
          <t>2026-08-10T19:29:54Z</t>
        </is>
      </c>
    </row>
    <row r="1781">
      <c r="A1781" s="19" t="inlineStr">
        <is>
          <t>1780</t>
        </is>
      </c>
      <c r="B1781" s="19" t="inlineStr">
        <is>
          <t>SC-1012042-ST-088-STD-01</t>
        </is>
      </c>
      <c r="C1781" t="inlineStr">
        <is>
          <t>1012042 → ST-088-STD-01</t>
        </is>
      </c>
      <c r="D1781" s="19" t="inlineStr">
        <is>
          <t>2</t>
        </is>
      </c>
      <c r="E1781" s="19" t="inlineStr">
        <is>
          <t>492</t>
        </is>
      </c>
      <c r="F1781" s="19" t="inlineStr">
        <is>
          <t>218</t>
        </is>
      </c>
      <c r="G1781" s="19" t="n"/>
      <c r="H1781" s="19" t="inlineStr">
        <is>
          <t>2</t>
        </is>
      </c>
      <c r="I1781" s="19" t="n"/>
      <c r="J1781" s="19" t="n"/>
      <c r="K1781" s="19" t="inlineStr">
        <is>
          <t>2</t>
        </is>
      </c>
      <c r="L1781" t="inlineStr">
        <is>
          <t>2026-08-08</t>
        </is>
      </c>
      <c r="N1781" t="inlineStr">
        <is>
          <t>IN_SCOPE_FINAL; SOURCE_CFG=IA-ST-CFG-0254; MARKET=MISIR ATWAN; STATUS=IN OEM / EU PACKAGE</t>
        </is>
      </c>
      <c r="O1781" t="inlineStr">
        <is>
          <t>2026-08-10T19:29:54Z</t>
        </is>
      </c>
      <c r="P1781" t="inlineStr">
        <is>
          <t>2026-08-10T19:29:54Z</t>
        </is>
      </c>
    </row>
    <row r="1782">
      <c r="A1782" s="19" t="inlineStr">
        <is>
          <t>1781</t>
        </is>
      </c>
      <c r="B1782" s="19" t="inlineStr">
        <is>
          <t>SC-1014440-ST-088-STD-02</t>
        </is>
      </c>
      <c r="C1782" t="inlineStr">
        <is>
          <t>1014440 → ST-088-STD-02</t>
        </is>
      </c>
      <c r="D1782" s="19" t="inlineStr">
        <is>
          <t>2</t>
        </is>
      </c>
      <c r="E1782" s="19" t="inlineStr">
        <is>
          <t>1382</t>
        </is>
      </c>
      <c r="F1782" s="19" t="inlineStr">
        <is>
          <t>219</t>
        </is>
      </c>
      <c r="G1782" s="19" t="n"/>
      <c r="H1782" s="19" t="inlineStr">
        <is>
          <t>2</t>
        </is>
      </c>
      <c r="I1782" s="19" t="n"/>
      <c r="J1782" s="19" t="n"/>
      <c r="K1782" s="19" t="inlineStr">
        <is>
          <t>2</t>
        </is>
      </c>
      <c r="L1782" t="inlineStr">
        <is>
          <t>2026-08-08</t>
        </is>
      </c>
      <c r="N1782" t="inlineStr">
        <is>
          <t>IN_SCOPE_FINAL; SOURCE_CFG=IA-ST-CFG-0255; MARKET=MISIR NACITA; STATUS=IN OEM / EU PACKAGE</t>
        </is>
      </c>
      <c r="O1782" t="inlineStr">
        <is>
          <t>2026-08-10T19:29:54Z</t>
        </is>
      </c>
      <c r="P1782" t="inlineStr">
        <is>
          <t>2026-08-10T19:29:54Z</t>
        </is>
      </c>
    </row>
    <row r="1783">
      <c r="A1783" s="19" t="inlineStr">
        <is>
          <t>1782</t>
        </is>
      </c>
      <c r="B1783" s="19" t="inlineStr">
        <is>
          <t>SC-1014435-ST-088-STD-02</t>
        </is>
      </c>
      <c r="C1783" t="inlineStr">
        <is>
          <t>1014435 → ST-088-STD-02</t>
        </is>
      </c>
      <c r="D1783" s="19" t="inlineStr">
        <is>
          <t>2</t>
        </is>
      </c>
      <c r="E1783" s="19" t="inlineStr">
        <is>
          <t>1378</t>
        </is>
      </c>
      <c r="F1783" s="19" t="inlineStr">
        <is>
          <t>219</t>
        </is>
      </c>
      <c r="G1783" s="19" t="n"/>
      <c r="H1783" s="19" t="inlineStr">
        <is>
          <t>2</t>
        </is>
      </c>
      <c r="I1783" s="19" t="n"/>
      <c r="J1783" s="19" t="n"/>
      <c r="K1783" s="19" t="inlineStr">
        <is>
          <t>2</t>
        </is>
      </c>
      <c r="L1783" t="inlineStr">
        <is>
          <t>2026-08-08</t>
        </is>
      </c>
      <c r="N1783" t="inlineStr">
        <is>
          <t>IN_SCOPE_FINAL; SOURCE_CFG=IA-ST-CFG-0255; MARKET=MISIR NACITA; STATUS=IN OEM / EU PACKAGE</t>
        </is>
      </c>
      <c r="O1783" t="inlineStr">
        <is>
          <t>2026-08-10T19:29:54Z</t>
        </is>
      </c>
      <c r="P1783" t="inlineStr">
        <is>
          <t>2026-08-10T19:29:54Z</t>
        </is>
      </c>
    </row>
    <row r="1784">
      <c r="A1784" s="19" t="inlineStr">
        <is>
          <t>1783</t>
        </is>
      </c>
      <c r="B1784" s="19" t="inlineStr">
        <is>
          <t>SC-1011012-ST-088-STD-03</t>
        </is>
      </c>
      <c r="C1784" t="inlineStr">
        <is>
          <t>1011012 → ST-088-STD-03</t>
        </is>
      </c>
      <c r="D1784" s="19" t="inlineStr">
        <is>
          <t>2</t>
        </is>
      </c>
      <c r="E1784" s="19" t="inlineStr">
        <is>
          <t>218</t>
        </is>
      </c>
      <c r="F1784" s="19" t="inlineStr">
        <is>
          <t>220</t>
        </is>
      </c>
      <c r="G1784" s="19" t="n"/>
      <c r="H1784" s="19" t="inlineStr">
        <is>
          <t>2</t>
        </is>
      </c>
      <c r="I1784" s="19" t="n"/>
      <c r="J1784" s="19" t="n"/>
      <c r="K1784" s="19" t="inlineStr">
        <is>
          <t>2</t>
        </is>
      </c>
      <c r="L1784" t="inlineStr">
        <is>
          <t>2026-08-08</t>
        </is>
      </c>
      <c r="N1784" t="inlineStr">
        <is>
          <t>IN_SCOPE_FINAL; SOURCE_CFG=IA-ST-CFG-0256; MARKET=YURT İÇİ AFM; STATUS=IN OEM / EU PACKAGE</t>
        </is>
      </c>
      <c r="O1784" t="inlineStr">
        <is>
          <t>2026-08-10T19:29:54Z</t>
        </is>
      </c>
      <c r="P1784" t="inlineStr">
        <is>
          <t>2026-08-10T19:29:54Z</t>
        </is>
      </c>
    </row>
    <row r="1785">
      <c r="A1785" s="19" t="inlineStr">
        <is>
          <t>1784</t>
        </is>
      </c>
      <c r="B1785" s="19" t="inlineStr">
        <is>
          <t>SC-1011184-ST-088-STD-04</t>
        </is>
      </c>
      <c r="C1785" t="inlineStr">
        <is>
          <t>1011184 → ST-088-STD-04</t>
        </is>
      </c>
      <c r="D1785" s="19" t="inlineStr">
        <is>
          <t>2</t>
        </is>
      </c>
      <c r="E1785" s="19" t="inlineStr">
        <is>
          <t>257</t>
        </is>
      </c>
      <c r="F1785" s="19" t="inlineStr">
        <is>
          <t>221</t>
        </is>
      </c>
      <c r="G1785" s="19" t="n"/>
      <c r="H1785" s="19" t="inlineStr">
        <is>
          <t>2</t>
        </is>
      </c>
      <c r="I1785" s="19" t="n"/>
      <c r="J1785" s="19" t="n"/>
      <c r="K1785" s="19" t="inlineStr">
        <is>
          <t>2</t>
        </is>
      </c>
      <c r="L1785" t="inlineStr">
        <is>
          <t>2026-08-08</t>
        </is>
      </c>
      <c r="N1785" t="inlineStr">
        <is>
          <t>IN_SCOPE_FINAL; SOURCE_CFG=IA-ST-CFG-0257; MARKET=YURT İÇİ AFM; STATUS=IN OEM / EU PACKAGE</t>
        </is>
      </c>
      <c r="O1785" t="inlineStr">
        <is>
          <t>2026-08-10T19:29:54Z</t>
        </is>
      </c>
      <c r="P1785" t="inlineStr">
        <is>
          <t>2026-08-10T19:29:54Z</t>
        </is>
      </c>
    </row>
    <row r="1786">
      <c r="A1786" s="19" t="inlineStr">
        <is>
          <t>1785</t>
        </is>
      </c>
      <c r="B1786" s="19" t="inlineStr">
        <is>
          <t>SC-1014796-ST-088-STD-05</t>
        </is>
      </c>
      <c r="C1786" t="inlineStr">
        <is>
          <t>1014796 → ST-088-STD-05</t>
        </is>
      </c>
      <c r="D1786" s="19" t="inlineStr">
        <is>
          <t>2</t>
        </is>
      </c>
      <c r="E1786" s="19" t="inlineStr">
        <is>
          <t>1614</t>
        </is>
      </c>
      <c r="F1786" s="19" t="inlineStr">
        <is>
          <t>222</t>
        </is>
      </c>
      <c r="G1786" s="19" t="n"/>
      <c r="H1786" s="19" t="inlineStr">
        <is>
          <t>2</t>
        </is>
      </c>
      <c r="I1786" s="19" t="n"/>
      <c r="J1786" s="19" t="n"/>
      <c r="K1786" s="19" t="inlineStr">
        <is>
          <t>2</t>
        </is>
      </c>
      <c r="L1786" t="inlineStr">
        <is>
          <t>2026-08-08</t>
        </is>
      </c>
      <c r="N1786" t="inlineStr">
        <is>
          <t>IN_SCOPE_FINAL; SOURCE_CFG=IA-ST-CFG-0258; MARKET=YURT İÇİ AFM; STATUS=IN OEM / EU PACKAGE</t>
        </is>
      </c>
      <c r="O1786" t="inlineStr">
        <is>
          <t>2026-08-10T19:29:54Z</t>
        </is>
      </c>
      <c r="P1786" t="inlineStr">
        <is>
          <t>2026-08-10T19:29:54Z</t>
        </is>
      </c>
    </row>
    <row r="1787">
      <c r="A1787" s="19" t="inlineStr">
        <is>
          <t>1786</t>
        </is>
      </c>
      <c r="B1787" s="19" t="inlineStr">
        <is>
          <t>SC-1012034-ST-088-STD-06</t>
        </is>
      </c>
      <c r="C1787" t="inlineStr">
        <is>
          <t>1012034 → ST-088-STD-06</t>
        </is>
      </c>
      <c r="D1787" s="19" t="inlineStr">
        <is>
          <t>2</t>
        </is>
      </c>
      <c r="E1787" s="19" t="inlineStr">
        <is>
          <t>485</t>
        </is>
      </c>
      <c r="F1787" s="19" t="inlineStr">
        <is>
          <t>223</t>
        </is>
      </c>
      <c r="G1787" s="19" t="n"/>
      <c r="H1787" s="19" t="inlineStr">
        <is>
          <t>2</t>
        </is>
      </c>
      <c r="I1787" s="19" t="n"/>
      <c r="J1787" s="19" t="n"/>
      <c r="K1787" s="19" t="inlineStr">
        <is>
          <t>2</t>
        </is>
      </c>
      <c r="L1787" t="inlineStr">
        <is>
          <t>2026-08-08</t>
        </is>
      </c>
      <c r="N1787" t="inlineStr">
        <is>
          <t>IN_SCOPE_FINAL; SOURCE_CFG=IA-ST-CFG-0259; MARKET=MISIR AL AMAN; STATUS=IN OEM / EU PACKAGE</t>
        </is>
      </c>
      <c r="O1787" t="inlineStr">
        <is>
          <t>2026-08-10T19:29:54Z</t>
        </is>
      </c>
      <c r="P1787" t="inlineStr">
        <is>
          <t>2026-08-10T19:29:54Z</t>
        </is>
      </c>
    </row>
    <row r="1788">
      <c r="A1788" s="19" t="inlineStr">
        <is>
          <t>1787</t>
        </is>
      </c>
      <c r="B1788" s="19" t="inlineStr">
        <is>
          <t>SC-1012035-ST-088-STD-06</t>
        </is>
      </c>
      <c r="C1788" t="inlineStr">
        <is>
          <t>1012035 → ST-088-STD-06</t>
        </is>
      </c>
      <c r="D1788" s="19" t="inlineStr">
        <is>
          <t>2</t>
        </is>
      </c>
      <c r="E1788" s="19" t="inlineStr">
        <is>
          <t>486</t>
        </is>
      </c>
      <c r="F1788" s="19" t="inlineStr">
        <is>
          <t>223</t>
        </is>
      </c>
      <c r="G1788" s="19" t="n"/>
      <c r="H1788" s="19" t="inlineStr">
        <is>
          <t>2</t>
        </is>
      </c>
      <c r="I1788" s="19" t="n"/>
      <c r="J1788" s="19" t="n"/>
      <c r="K1788" s="19" t="inlineStr">
        <is>
          <t>2</t>
        </is>
      </c>
      <c r="L1788" t="inlineStr">
        <is>
          <t>2026-08-08</t>
        </is>
      </c>
      <c r="N1788" t="inlineStr">
        <is>
          <t>IN_SCOPE_FINAL; SOURCE_CFG=IA-ST-CFG-0259; MARKET=MISIR AL AMAN; STATUS=IN OEM / EU PACKAGE</t>
        </is>
      </c>
      <c r="O1788" t="inlineStr">
        <is>
          <t>2026-08-10T19:29:54Z</t>
        </is>
      </c>
      <c r="P1788" t="inlineStr">
        <is>
          <t>2026-08-10T19:29:54Z</t>
        </is>
      </c>
    </row>
    <row r="1789">
      <c r="A1789" s="19" t="inlineStr">
        <is>
          <t>1788</t>
        </is>
      </c>
      <c r="B1789" s="19" t="inlineStr">
        <is>
          <t>SC-1013119-ST-088-STD-07</t>
        </is>
      </c>
      <c r="C1789" t="inlineStr">
        <is>
          <t>1013119 → ST-088-STD-07</t>
        </is>
      </c>
      <c r="D1789" s="19" t="inlineStr">
        <is>
          <t>2</t>
        </is>
      </c>
      <c r="E1789" s="19" t="inlineStr">
        <is>
          <t>921</t>
        </is>
      </c>
      <c r="F1789" s="19" t="inlineStr">
        <is>
          <t>224</t>
        </is>
      </c>
      <c r="G1789" s="19" t="n"/>
      <c r="H1789" s="19" t="inlineStr">
        <is>
          <t>2</t>
        </is>
      </c>
      <c r="I1789" s="19" t="n"/>
      <c r="J1789" s="19" t="n"/>
      <c r="K1789" s="19" t="inlineStr">
        <is>
          <t>2</t>
        </is>
      </c>
      <c r="L1789" t="inlineStr">
        <is>
          <t>2026-08-08</t>
        </is>
      </c>
      <c r="N1789" t="inlineStr">
        <is>
          <t>IN_SCOPE_FINAL; SOURCE_CFG=IA-ST-CFG-0260; MARKET=REDMAY URUGUAY; STATUS=IN OEM / EU PACKAGE</t>
        </is>
      </c>
      <c r="O1789" t="inlineStr">
        <is>
          <t>2026-08-10T19:29:54Z</t>
        </is>
      </c>
      <c r="P1789" t="inlineStr">
        <is>
          <t>2026-08-10T19:29:54Z</t>
        </is>
      </c>
    </row>
    <row r="1790">
      <c r="A1790" s="19" t="inlineStr">
        <is>
          <t>1789</t>
        </is>
      </c>
      <c r="B1790" s="19" t="inlineStr">
        <is>
          <t>SC-1012011-ST-088-STD-08</t>
        </is>
      </c>
      <c r="C1790" t="inlineStr">
        <is>
          <t>1012011 → ST-088-STD-08</t>
        </is>
      </c>
      <c r="D1790" s="19" t="inlineStr">
        <is>
          <t>2</t>
        </is>
      </c>
      <c r="E1790" s="19" t="inlineStr">
        <is>
          <t>469</t>
        </is>
      </c>
      <c r="F1790" s="19" t="inlineStr">
        <is>
          <t>225</t>
        </is>
      </c>
      <c r="G1790" s="19" t="n"/>
      <c r="H1790" s="19" t="inlineStr">
        <is>
          <t>2</t>
        </is>
      </c>
      <c r="I1790" s="19" t="n"/>
      <c r="J1790" s="19" t="n"/>
      <c r="K1790" s="19" t="inlineStr">
        <is>
          <t>2</t>
        </is>
      </c>
      <c r="L1790" t="inlineStr">
        <is>
          <t>2026-08-08</t>
        </is>
      </c>
      <c r="N1790" t="inlineStr">
        <is>
          <t>IN_SCOPE_FINAL; SOURCE_CFG=IA-ST-CFG-0261; MARKET=MISIR EEC; STATUS=IN OEM / EU PACKAGE</t>
        </is>
      </c>
      <c r="O1790" t="inlineStr">
        <is>
          <t>2026-08-10T19:29:54Z</t>
        </is>
      </c>
      <c r="P1790" t="inlineStr">
        <is>
          <t>2026-08-10T19:29:54Z</t>
        </is>
      </c>
    </row>
    <row r="1791">
      <c r="A1791" s="19" t="inlineStr">
        <is>
          <t>1790</t>
        </is>
      </c>
      <c r="B1791" s="19" t="inlineStr">
        <is>
          <t>SC-1012062-ST-088-STD-08</t>
        </is>
      </c>
      <c r="C1791" t="inlineStr">
        <is>
          <t>1012062 → ST-088-STD-08</t>
        </is>
      </c>
      <c r="D1791" s="19" t="inlineStr">
        <is>
          <t>2</t>
        </is>
      </c>
      <c r="E1791" s="19" t="inlineStr">
        <is>
          <t>506</t>
        </is>
      </c>
      <c r="F1791" s="19" t="inlineStr">
        <is>
          <t>225</t>
        </is>
      </c>
      <c r="G1791" s="19" t="n"/>
      <c r="H1791" s="19" t="inlineStr">
        <is>
          <t>2</t>
        </is>
      </c>
      <c r="I1791" s="19" t="n"/>
      <c r="J1791" s="19" t="n"/>
      <c r="K1791" s="19" t="inlineStr">
        <is>
          <t>2</t>
        </is>
      </c>
      <c r="L1791" t="inlineStr">
        <is>
          <t>2026-08-08</t>
        </is>
      </c>
      <c r="N1791" t="inlineStr">
        <is>
          <t>IN_SCOPE_FINAL; SOURCE_CFG=IA-ST-CFG-0261; MARKET=MISIR EEC; STATUS=IN OEM / EU PACKAGE</t>
        </is>
      </c>
      <c r="O1791" t="inlineStr">
        <is>
          <t>2026-08-10T19:29:54Z</t>
        </is>
      </c>
      <c r="P1791" t="inlineStr">
        <is>
          <t>2026-08-10T19:29:54Z</t>
        </is>
      </c>
    </row>
    <row r="1792">
      <c r="A1792" s="19" t="inlineStr">
        <is>
          <t>1791</t>
        </is>
      </c>
      <c r="B1792" s="19" t="inlineStr">
        <is>
          <t>SC-1013818-ST-090-STD-01</t>
        </is>
      </c>
      <c r="C1792" t="inlineStr">
        <is>
          <t>1013818 → ST-090-STD-01</t>
        </is>
      </c>
      <c r="D1792" s="19" t="inlineStr">
        <is>
          <t>2</t>
        </is>
      </c>
      <c r="E1792" s="19" t="inlineStr">
        <is>
          <t>1102</t>
        </is>
      </c>
      <c r="F1792" s="19" t="inlineStr">
        <is>
          <t>226</t>
        </is>
      </c>
      <c r="G1792" s="19" t="n"/>
      <c r="H1792" s="19" t="inlineStr">
        <is>
          <t>2</t>
        </is>
      </c>
      <c r="I1792" s="19" t="n"/>
      <c r="J1792" s="19" t="n"/>
      <c r="K1792" s="19" t="inlineStr">
        <is>
          <t>2</t>
        </is>
      </c>
      <c r="L1792" t="inlineStr">
        <is>
          <t>2026-08-08</t>
        </is>
      </c>
      <c r="N1792" t="inlineStr">
        <is>
          <t>IN_SCOPE_FINAL; SOURCE_CFG=IA-ST-CFG-0262; MARKET=None; STATUS=IN OEM / EU PACKAGE</t>
        </is>
      </c>
      <c r="O1792" t="inlineStr">
        <is>
          <t>2026-08-10T19:29:54Z</t>
        </is>
      </c>
      <c r="P1792" t="inlineStr">
        <is>
          <t>2026-08-10T19:29:54Z</t>
        </is>
      </c>
    </row>
    <row r="1793">
      <c r="A1793" s="19" t="inlineStr">
        <is>
          <t>1792</t>
        </is>
      </c>
      <c r="B1793" s="19" t="inlineStr">
        <is>
          <t>SC-1014949-ST-090-STD-01</t>
        </is>
      </c>
      <c r="C1793" t="inlineStr">
        <is>
          <t>1014949 → ST-090-STD-01</t>
        </is>
      </c>
      <c r="D1793" s="19" t="inlineStr">
        <is>
          <t>2</t>
        </is>
      </c>
      <c r="E1793" s="19" t="inlineStr">
        <is>
          <t>1715</t>
        </is>
      </c>
      <c r="F1793" s="19" t="inlineStr">
        <is>
          <t>226</t>
        </is>
      </c>
      <c r="G1793" s="19" t="n"/>
      <c r="H1793" s="19" t="inlineStr">
        <is>
          <t>2</t>
        </is>
      </c>
      <c r="I1793" s="19" t="n"/>
      <c r="J1793" s="19" t="n"/>
      <c r="K1793" s="19" t="inlineStr">
        <is>
          <t>2</t>
        </is>
      </c>
      <c r="L1793" t="inlineStr">
        <is>
          <t>2026-08-08</t>
        </is>
      </c>
      <c r="N1793" t="inlineStr">
        <is>
          <t>IN_SCOPE_FINAL; SOURCE_CFG=IA-ST-CFG-0262; MARKET=SHAWKAT; STATUS=IN OEM / EU PACKAGE</t>
        </is>
      </c>
      <c r="O1793" t="inlineStr">
        <is>
          <t>2026-08-10T19:29:54Z</t>
        </is>
      </c>
      <c r="P1793" t="inlineStr">
        <is>
          <t>2026-08-10T19:29:54Z</t>
        </is>
      </c>
    </row>
    <row r="1794">
      <c r="A1794" s="19" t="inlineStr">
        <is>
          <t>1793</t>
        </is>
      </c>
      <c r="B1794" s="19" t="inlineStr">
        <is>
          <t>SC-1015312-ST-090-STD-01</t>
        </is>
      </c>
      <c r="C1794" t="inlineStr">
        <is>
          <t>1015312 → ST-090-STD-01</t>
        </is>
      </c>
      <c r="D1794" s="19" t="inlineStr">
        <is>
          <t>2</t>
        </is>
      </c>
      <c r="E1794" s="19" t="inlineStr">
        <is>
          <t>2033</t>
        </is>
      </c>
      <c r="F1794" s="19" t="inlineStr">
        <is>
          <t>226</t>
        </is>
      </c>
      <c r="G1794" s="19" t="n"/>
      <c r="H1794" s="19" t="inlineStr">
        <is>
          <t>2</t>
        </is>
      </c>
      <c r="I1794" s="19" t="n"/>
      <c r="J1794" s="19" t="n"/>
      <c r="K1794" s="19" t="inlineStr">
        <is>
          <t>2</t>
        </is>
      </c>
      <c r="L1794" t="inlineStr">
        <is>
          <t>2026-08-08</t>
        </is>
      </c>
      <c r="N1794" t="inlineStr">
        <is>
          <t>IN_SCOPE_FINAL; SOURCE_CFG=IA-ST-CFG-0262; MARKET=REY &amp; LENFERNA LUCAS; STATUS=IN OEM / EU PACKAGE</t>
        </is>
      </c>
      <c r="O1794" t="inlineStr">
        <is>
          <t>2026-08-10T19:29:54Z</t>
        </is>
      </c>
      <c r="P1794" t="inlineStr">
        <is>
          <t>2026-08-10T19:29:54Z</t>
        </is>
      </c>
    </row>
    <row r="1795">
      <c r="A1795" s="19" t="inlineStr">
        <is>
          <t>1794</t>
        </is>
      </c>
      <c r="B1795" s="19" t="inlineStr">
        <is>
          <t>SC-1013403-ST-090-STD-02</t>
        </is>
      </c>
      <c r="C1795" t="inlineStr">
        <is>
          <t>1013403 → ST-090-STD-02</t>
        </is>
      </c>
      <c r="D1795" s="19" t="inlineStr">
        <is>
          <t>2</t>
        </is>
      </c>
      <c r="E1795" s="19" t="inlineStr">
        <is>
          <t>987</t>
        </is>
      </c>
      <c r="F1795" s="19" t="inlineStr">
        <is>
          <t>227</t>
        </is>
      </c>
      <c r="G1795" s="19" t="n"/>
      <c r="H1795" s="19" t="inlineStr">
        <is>
          <t>2</t>
        </is>
      </c>
      <c r="I1795" s="19" t="n"/>
      <c r="J1795" s="19" t="n"/>
      <c r="K1795" s="19" t="inlineStr">
        <is>
          <t>2</t>
        </is>
      </c>
      <c r="L1795" t="inlineStr">
        <is>
          <t>2026-08-08</t>
        </is>
      </c>
      <c r="N1795" t="inlineStr">
        <is>
          <t>IN_SCOPE_FINAL; SOURCE_CFG=IA-ST-CFG-0263; MARKET=SCHNAPP; STATUS=IN OEM / EU PACKAGE</t>
        </is>
      </c>
      <c r="O1795" t="inlineStr">
        <is>
          <t>2026-08-10T19:29:54Z</t>
        </is>
      </c>
      <c r="P1795" t="inlineStr">
        <is>
          <t>2026-08-10T19:29:54Z</t>
        </is>
      </c>
    </row>
    <row r="1796">
      <c r="A1796" s="19" t="inlineStr">
        <is>
          <t>1795</t>
        </is>
      </c>
      <c r="B1796" s="19" t="inlineStr">
        <is>
          <t>SC-1013926-ST-090-STD-02</t>
        </is>
      </c>
      <c r="C1796" t="inlineStr">
        <is>
          <t>1013926 → ST-090-STD-02</t>
        </is>
      </c>
      <c r="D1796" s="19" t="inlineStr">
        <is>
          <t>2</t>
        </is>
      </c>
      <c r="E1796" s="19" t="inlineStr">
        <is>
          <t>1137</t>
        </is>
      </c>
      <c r="F1796" s="19" t="inlineStr">
        <is>
          <t>227</t>
        </is>
      </c>
      <c r="G1796" s="19" t="n"/>
      <c r="H1796" s="19" t="inlineStr">
        <is>
          <t>2</t>
        </is>
      </c>
      <c r="I1796" s="19" t="n"/>
      <c r="J1796" s="19" t="n"/>
      <c r="K1796" s="19" t="inlineStr">
        <is>
          <t>2</t>
        </is>
      </c>
      <c r="L1796" t="inlineStr">
        <is>
          <t>2026-08-08</t>
        </is>
      </c>
      <c r="N1796" t="inlineStr">
        <is>
          <t>IN_SCOPE_FINAL; SOURCE_CFG=IA-ST-CFG-0263; MARKET=SCHNAPP; STATUS=IN OEM / EU PACKAGE</t>
        </is>
      </c>
      <c r="O1796" t="inlineStr">
        <is>
          <t>2026-08-10T19:29:54Z</t>
        </is>
      </c>
      <c r="P1796" t="inlineStr">
        <is>
          <t>2026-08-10T19:29:54Z</t>
        </is>
      </c>
    </row>
    <row r="1797">
      <c r="A1797" s="19" t="inlineStr">
        <is>
          <t>1796</t>
        </is>
      </c>
      <c r="B1797" s="19" t="inlineStr">
        <is>
          <t>SC-1014140-ST-090-STD-02</t>
        </is>
      </c>
      <c r="C1797" t="inlineStr">
        <is>
          <t>1014140 → ST-090-STD-02</t>
        </is>
      </c>
      <c r="D1797" s="19" t="inlineStr">
        <is>
          <t>2</t>
        </is>
      </c>
      <c r="E1797" s="19" t="inlineStr">
        <is>
          <t>1228</t>
        </is>
      </c>
      <c r="F1797" s="19" t="inlineStr">
        <is>
          <t>227</t>
        </is>
      </c>
      <c r="G1797" s="19" t="n"/>
      <c r="H1797" s="19" t="inlineStr">
        <is>
          <t>2</t>
        </is>
      </c>
      <c r="I1797" s="19" t="n"/>
      <c r="J1797" s="19" t="n"/>
      <c r="K1797" s="19" t="inlineStr">
        <is>
          <t>2</t>
        </is>
      </c>
      <c r="L1797" t="inlineStr">
        <is>
          <t>2026-08-08</t>
        </is>
      </c>
      <c r="N1797" t="inlineStr">
        <is>
          <t>IN_SCOPE_FINAL; SOURCE_CFG=IA-ST-CFG-0263; MARKET=SCHNAPP; STATUS=IN OEM / EU PACKAGE</t>
        </is>
      </c>
      <c r="O1797" t="inlineStr">
        <is>
          <t>2026-08-10T19:29:54Z</t>
        </is>
      </c>
      <c r="P1797" t="inlineStr">
        <is>
          <t>2026-08-10T19:29:54Z</t>
        </is>
      </c>
    </row>
    <row r="1798">
      <c r="A1798" s="19" t="inlineStr">
        <is>
          <t>1797</t>
        </is>
      </c>
      <c r="B1798" s="19" t="inlineStr">
        <is>
          <t>SC-1011580-ST-096-EUR-01</t>
        </is>
      </c>
      <c r="C1798" t="inlineStr">
        <is>
          <t>1011580 → ST-096-EUR-01</t>
        </is>
      </c>
      <c r="D1798" s="19" t="inlineStr">
        <is>
          <t>2</t>
        </is>
      </c>
      <c r="E1798" s="19" t="inlineStr">
        <is>
          <t>318</t>
        </is>
      </c>
      <c r="F1798" s="19" t="inlineStr">
        <is>
          <t>228</t>
        </is>
      </c>
      <c r="G1798" s="19" t="n"/>
      <c r="H1798" s="19" t="inlineStr">
        <is>
          <t>2</t>
        </is>
      </c>
      <c r="I1798" s="19" t="n"/>
      <c r="J1798" s="19" t="n"/>
      <c r="K1798" s="19" t="inlineStr">
        <is>
          <t>2</t>
        </is>
      </c>
      <c r="L1798" t="inlineStr">
        <is>
          <t>2026-08-08</t>
        </is>
      </c>
      <c r="N1798" t="inlineStr">
        <is>
          <t>IN_SCOPE_FINAL; SOURCE_CFG=IA-ST-CFG-0264; MARKET=CANARIBAT İSPANYA; STATUS=IN OEM / EU PACKAGE</t>
        </is>
      </c>
      <c r="O1798" t="inlineStr">
        <is>
          <t>2026-08-10T19:29:54Z</t>
        </is>
      </c>
      <c r="P1798" t="inlineStr">
        <is>
          <t>2026-08-10T19:29:54Z</t>
        </is>
      </c>
    </row>
    <row r="1799">
      <c r="A1799" s="19" t="inlineStr">
        <is>
          <t>1798</t>
        </is>
      </c>
      <c r="B1799" s="19" t="inlineStr">
        <is>
          <t>SC-1012884-ST-096-EUR-01</t>
        </is>
      </c>
      <c r="C1799" t="inlineStr">
        <is>
          <t>1012884 → ST-096-EUR-01</t>
        </is>
      </c>
      <c r="D1799" s="19" t="inlineStr">
        <is>
          <t>2</t>
        </is>
      </c>
      <c r="E1799" s="19" t="inlineStr">
        <is>
          <t>839</t>
        </is>
      </c>
      <c r="F1799" s="19" t="inlineStr">
        <is>
          <t>228</t>
        </is>
      </c>
      <c r="G1799" s="19" t="n"/>
      <c r="H1799" s="19" t="inlineStr">
        <is>
          <t>2</t>
        </is>
      </c>
      <c r="I1799" s="19" t="n"/>
      <c r="J1799" s="19" t="n"/>
      <c r="K1799" s="19" t="inlineStr">
        <is>
          <t>2</t>
        </is>
      </c>
      <c r="L1799" t="inlineStr">
        <is>
          <t>2026-08-08</t>
        </is>
      </c>
      <c r="N1799" t="inlineStr">
        <is>
          <t>IN_SCOPE_FINAL; SOURCE_CFG=IA-ST-CFG-0264; MARKET=LAMPA ITALY İTALYA; STATUS=IN OEM / EU PACKAGE</t>
        </is>
      </c>
      <c r="O1799" t="inlineStr">
        <is>
          <t>2026-08-10T19:29:54Z</t>
        </is>
      </c>
      <c r="P1799" t="inlineStr">
        <is>
          <t>2026-08-10T19:29:54Z</t>
        </is>
      </c>
    </row>
    <row r="1800">
      <c r="A1800" s="19" t="inlineStr">
        <is>
          <t>1799</t>
        </is>
      </c>
      <c r="B1800" s="19" t="inlineStr">
        <is>
          <t>SC-1013740-ST-096-EUR-01</t>
        </is>
      </c>
      <c r="C1800" t="inlineStr">
        <is>
          <t>1013740 → ST-096-EUR-01</t>
        </is>
      </c>
      <c r="D1800" s="19" t="inlineStr">
        <is>
          <t>2</t>
        </is>
      </c>
      <c r="E1800" s="19" t="inlineStr">
        <is>
          <t>1081</t>
        </is>
      </c>
      <c r="F1800" s="19" t="inlineStr">
        <is>
          <t>228</t>
        </is>
      </c>
      <c r="G1800" s="19" t="n"/>
      <c r="H1800" s="19" t="inlineStr">
        <is>
          <t>2</t>
        </is>
      </c>
      <c r="I1800" s="19" t="n"/>
      <c r="J1800" s="19" t="n"/>
      <c r="K1800" s="19" t="inlineStr">
        <is>
          <t>2</t>
        </is>
      </c>
      <c r="L1800" t="inlineStr">
        <is>
          <t>2026-08-08</t>
        </is>
      </c>
      <c r="N1800" t="inlineStr">
        <is>
          <t>IN_SCOPE_FINAL; SOURCE_CFG=IA-ST-CFG-0264; MARKET=None; STATUS=IN OEM / EU PACKAGE</t>
        </is>
      </c>
      <c r="O1800" t="inlineStr">
        <is>
          <t>2026-08-10T19:29:54Z</t>
        </is>
      </c>
      <c r="P1800" t="inlineStr">
        <is>
          <t>2026-08-10T19:29:54Z</t>
        </is>
      </c>
    </row>
    <row r="1801">
      <c r="A1801" s="19" t="inlineStr">
        <is>
          <t>1800</t>
        </is>
      </c>
      <c r="B1801" s="19" t="inlineStr">
        <is>
          <t>SC-1013983-ST-096-EUR-01</t>
        </is>
      </c>
      <c r="C1801" t="inlineStr">
        <is>
          <t>1013983 → ST-096-EUR-01</t>
        </is>
      </c>
      <c r="D1801" s="19" t="inlineStr">
        <is>
          <t>2</t>
        </is>
      </c>
      <c r="E1801" s="19" t="inlineStr">
        <is>
          <t>1156</t>
        </is>
      </c>
      <c r="F1801" s="19" t="inlineStr">
        <is>
          <t>228</t>
        </is>
      </c>
      <c r="G1801" s="19" t="n"/>
      <c r="H1801" s="19" t="inlineStr">
        <is>
          <t>2</t>
        </is>
      </c>
      <c r="I1801" s="19" t="n"/>
      <c r="J1801" s="19" t="n"/>
      <c r="K1801" s="19" t="inlineStr">
        <is>
          <t>2</t>
        </is>
      </c>
      <c r="L1801" t="inlineStr">
        <is>
          <t>2026-08-08</t>
        </is>
      </c>
      <c r="N1801" t="inlineStr">
        <is>
          <t>IN_SCOPE_FINAL; SOURCE_CFG=IA-ST-CFG-0264; MARKET=None; STATUS=IN OEM / EU PACKAGE</t>
        </is>
      </c>
      <c r="O1801" t="inlineStr">
        <is>
          <t>2026-08-10T19:29:54Z</t>
        </is>
      </c>
      <c r="P1801" t="inlineStr">
        <is>
          <t>2026-08-10T19:29:54Z</t>
        </is>
      </c>
    </row>
    <row r="1802">
      <c r="A1802" s="19" t="inlineStr">
        <is>
          <t>1801</t>
        </is>
      </c>
      <c r="B1802" s="19" t="inlineStr">
        <is>
          <t>SC-1014617-ST-096-EUR-01</t>
        </is>
      </c>
      <c r="C1802" t="inlineStr">
        <is>
          <t>1014617 → ST-096-EUR-01</t>
        </is>
      </c>
      <c r="D1802" s="19" t="inlineStr">
        <is>
          <t>2</t>
        </is>
      </c>
      <c r="E1802" s="19" t="inlineStr">
        <is>
          <t>1492</t>
        </is>
      </c>
      <c r="F1802" s="19" t="inlineStr">
        <is>
          <t>228</t>
        </is>
      </c>
      <c r="G1802" s="19" t="n"/>
      <c r="H1802" s="19" t="inlineStr">
        <is>
          <t>2</t>
        </is>
      </c>
      <c r="I1802" s="19" t="n"/>
      <c r="J1802" s="19" t="n"/>
      <c r="K1802" s="19" t="inlineStr">
        <is>
          <t>2</t>
        </is>
      </c>
      <c r="L1802" t="inlineStr">
        <is>
          <t>2026-08-08</t>
        </is>
      </c>
      <c r="N1802" t="inlineStr">
        <is>
          <t>IN_SCOPE_FINAL; SOURCE_CFG=IA-ST-CFG-0264; MARKET=LAMPA ITALY İTALYA; STATUS=IN OEM / EU PACKAGE</t>
        </is>
      </c>
      <c r="O1802" t="inlineStr">
        <is>
          <t>2026-08-10T19:29:54Z</t>
        </is>
      </c>
      <c r="P1802" t="inlineStr">
        <is>
          <t>2026-08-10T19:29:54Z</t>
        </is>
      </c>
    </row>
    <row r="1803">
      <c r="A1803" s="19" t="inlineStr">
        <is>
          <t>1802</t>
        </is>
      </c>
      <c r="B1803" s="19" t="inlineStr">
        <is>
          <t>SC-1012770-ST-096-EUR-01</t>
        </is>
      </c>
      <c r="C1803" t="inlineStr">
        <is>
          <t>1012770 → ST-096-EUR-01</t>
        </is>
      </c>
      <c r="D1803" s="19" t="inlineStr">
        <is>
          <t>2</t>
        </is>
      </c>
      <c r="E1803" s="19" t="inlineStr">
        <is>
          <t>783</t>
        </is>
      </c>
      <c r="F1803" s="19" t="inlineStr">
        <is>
          <t>228</t>
        </is>
      </c>
      <c r="G1803" s="19" t="n"/>
      <c r="H1803" s="19" t="inlineStr">
        <is>
          <t>2</t>
        </is>
      </c>
      <c r="I1803" s="19" t="n"/>
      <c r="J1803" s="19" t="n"/>
      <c r="K1803" s="19" t="inlineStr">
        <is>
          <t>2</t>
        </is>
      </c>
      <c r="L1803" t="inlineStr">
        <is>
          <t>2026-08-08</t>
        </is>
      </c>
      <c r="N1803" t="inlineStr">
        <is>
          <t>IN_SCOPE_FINAL; SOURCE_CFG=IA-ST-CFG-0264; MARKET=ATHLANTIC SUHI; STATUS=IN OEM / EU PACKAGE</t>
        </is>
      </c>
      <c r="O1803" t="inlineStr">
        <is>
          <t>2026-08-10T19:29:54Z</t>
        </is>
      </c>
      <c r="P1803" t="inlineStr">
        <is>
          <t>2026-08-10T19:29:54Z</t>
        </is>
      </c>
    </row>
    <row r="1804">
      <c r="A1804" s="19" t="inlineStr">
        <is>
          <t>1803</t>
        </is>
      </c>
      <c r="B1804" s="19" t="inlineStr">
        <is>
          <t>SC-1012628-ST-096-EUR-02</t>
        </is>
      </c>
      <c r="C1804" t="inlineStr">
        <is>
          <t>1012628 → ST-096-EUR-02</t>
        </is>
      </c>
      <c r="D1804" s="19" t="inlineStr">
        <is>
          <t>2</t>
        </is>
      </c>
      <c r="E1804" s="19" t="inlineStr">
        <is>
          <t>721</t>
        </is>
      </c>
      <c r="F1804" s="19" t="inlineStr">
        <is>
          <t>229</t>
        </is>
      </c>
      <c r="G1804" s="19" t="n"/>
      <c r="H1804" s="19" t="inlineStr">
        <is>
          <t>2</t>
        </is>
      </c>
      <c r="I1804" s="19" t="n"/>
      <c r="J1804" s="19" t="n"/>
      <c r="K1804" s="19" t="inlineStr">
        <is>
          <t>2</t>
        </is>
      </c>
      <c r="L1804" t="inlineStr">
        <is>
          <t>2026-08-08</t>
        </is>
      </c>
      <c r="N1804" t="inlineStr">
        <is>
          <t>IN_SCOPE_FINAL; SOURCE_CFG=IA-ST-CFG-0265; MARKET=None; STATUS=IN OEM / EU PACKAGE</t>
        </is>
      </c>
      <c r="O1804" t="inlineStr">
        <is>
          <t>2026-08-10T19:29:54Z</t>
        </is>
      </c>
      <c r="P1804" t="inlineStr">
        <is>
          <t>2026-08-10T19:29:54Z</t>
        </is>
      </c>
    </row>
    <row r="1805">
      <c r="A1805" s="19" t="inlineStr">
        <is>
          <t>1804</t>
        </is>
      </c>
      <c r="B1805" s="19" t="inlineStr">
        <is>
          <t>SC-1014925-ST-096-EUR-03</t>
        </is>
      </c>
      <c r="C1805" t="inlineStr">
        <is>
          <t>1014925 → ST-096-EUR-03</t>
        </is>
      </c>
      <c r="D1805" s="19" t="inlineStr">
        <is>
          <t>2</t>
        </is>
      </c>
      <c r="E1805" s="19" t="inlineStr">
        <is>
          <t>1693</t>
        </is>
      </c>
      <c r="F1805" s="19" t="inlineStr">
        <is>
          <t>230</t>
        </is>
      </c>
      <c r="G1805" s="19" t="n"/>
      <c r="H1805" s="19" t="inlineStr">
        <is>
          <t>2</t>
        </is>
      </c>
      <c r="I1805" s="19" t="n"/>
      <c r="J1805" s="19" t="n"/>
      <c r="K1805" s="19" t="inlineStr">
        <is>
          <t>2</t>
        </is>
      </c>
      <c r="L1805" t="inlineStr">
        <is>
          <t>2026-08-08</t>
        </is>
      </c>
      <c r="N1805" t="inlineStr">
        <is>
          <t>IN_SCOPE_FINAL; SOURCE_CFG=IA-ST-CFG-0266; MARKET=LAMPA ITALY İTALYA; STATUS=IN OEM / EU PACKAGE</t>
        </is>
      </c>
      <c r="O1805" t="inlineStr">
        <is>
          <t>2026-08-10T19:29:54Z</t>
        </is>
      </c>
      <c r="P1805" t="inlineStr">
        <is>
          <t>2026-08-10T19:29:54Z</t>
        </is>
      </c>
    </row>
    <row r="1806">
      <c r="A1806" s="19" t="inlineStr">
        <is>
          <t>1805</t>
        </is>
      </c>
      <c r="B1806" s="19" t="inlineStr">
        <is>
          <t>SC-1014708-ST-096-EUR-03</t>
        </is>
      </c>
      <c r="C1806" t="inlineStr">
        <is>
          <t>1014708 → ST-096-EUR-03</t>
        </is>
      </c>
      <c r="D1806" s="19" t="inlineStr">
        <is>
          <t>2</t>
        </is>
      </c>
      <c r="E1806" s="19" t="inlineStr">
        <is>
          <t>1554</t>
        </is>
      </c>
      <c r="F1806" s="19" t="inlineStr">
        <is>
          <t>230</t>
        </is>
      </c>
      <c r="G1806" s="19" t="n"/>
      <c r="H1806" s="19" t="inlineStr">
        <is>
          <t>2</t>
        </is>
      </c>
      <c r="I1806" s="19" t="n"/>
      <c r="J1806" s="19" t="n"/>
      <c r="K1806" s="19" t="inlineStr">
        <is>
          <t>2</t>
        </is>
      </c>
      <c r="L1806" t="inlineStr">
        <is>
          <t>2026-08-08</t>
        </is>
      </c>
      <c r="N1806" t="inlineStr">
        <is>
          <t>IN_SCOPE_FINAL; SOURCE_CFG=IA-ST-CFG-0266; MARKET=None; STATUS=IN OEM / EU PACKAGE</t>
        </is>
      </c>
      <c r="O1806" t="inlineStr">
        <is>
          <t>2026-08-10T19:29:54Z</t>
        </is>
      </c>
      <c r="P1806" t="inlineStr">
        <is>
          <t>2026-08-10T19:29:54Z</t>
        </is>
      </c>
    </row>
    <row r="1807">
      <c r="A1807" s="19" t="inlineStr">
        <is>
          <t>1806</t>
        </is>
      </c>
      <c r="B1807" s="19" t="inlineStr">
        <is>
          <t>SC-1014055-ST-096-EUR-03</t>
        </is>
      </c>
      <c r="C1807" t="inlineStr">
        <is>
          <t>1014055 → ST-096-EUR-03</t>
        </is>
      </c>
      <c r="D1807" s="19" t="inlineStr">
        <is>
          <t>2</t>
        </is>
      </c>
      <c r="E1807" s="19" t="inlineStr">
        <is>
          <t>1203</t>
        </is>
      </c>
      <c r="F1807" s="19" t="inlineStr">
        <is>
          <t>230</t>
        </is>
      </c>
      <c r="G1807" s="19" t="n"/>
      <c r="H1807" s="19" t="inlineStr">
        <is>
          <t>2</t>
        </is>
      </c>
      <c r="I1807" s="19" t="n"/>
      <c r="J1807" s="19" t="n"/>
      <c r="K1807" s="19" t="inlineStr">
        <is>
          <t>2</t>
        </is>
      </c>
      <c r="L1807" t="inlineStr">
        <is>
          <t>2026-08-08</t>
        </is>
      </c>
      <c r="N1807" t="inlineStr">
        <is>
          <t>IN_SCOPE_FINAL; SOURCE_CFG=IA-ST-CFG-0266; MARKET=None; STATUS=IN OEM / EU PACKAGE</t>
        </is>
      </c>
      <c r="O1807" t="inlineStr">
        <is>
          <t>2026-08-10T19:29:54Z</t>
        </is>
      </c>
      <c r="P1807" t="inlineStr">
        <is>
          <t>2026-08-10T19:29:54Z</t>
        </is>
      </c>
    </row>
    <row r="1808">
      <c r="A1808" s="19" t="inlineStr">
        <is>
          <t>1807</t>
        </is>
      </c>
      <c r="B1808" s="19" t="inlineStr">
        <is>
          <t>SC-1012880-ST-096-EUR-03</t>
        </is>
      </c>
      <c r="C1808" t="inlineStr">
        <is>
          <t>1012880 → ST-096-EUR-03</t>
        </is>
      </c>
      <c r="D1808" s="19" t="inlineStr">
        <is>
          <t>2</t>
        </is>
      </c>
      <c r="E1808" s="19" t="inlineStr">
        <is>
          <t>837</t>
        </is>
      </c>
      <c r="F1808" s="19" t="inlineStr">
        <is>
          <t>230</t>
        </is>
      </c>
      <c r="G1808" s="19" t="n"/>
      <c r="H1808" s="19" t="inlineStr">
        <is>
          <t>2</t>
        </is>
      </c>
      <c r="I1808" s="19" t="n"/>
      <c r="J1808" s="19" t="n"/>
      <c r="K1808" s="19" t="inlineStr">
        <is>
          <t>2</t>
        </is>
      </c>
      <c r="L1808" t="inlineStr">
        <is>
          <t>2026-08-08</t>
        </is>
      </c>
      <c r="N1808" t="inlineStr">
        <is>
          <t>IN_SCOPE_FINAL; SOURCE_CFG=IA-ST-CFG-0266; MARKET=LAMPA ITALY İTALYA; STATUS=IN OEM / EU PACKAGE</t>
        </is>
      </c>
      <c r="O1808" t="inlineStr">
        <is>
          <t>2026-08-10T19:29:54Z</t>
        </is>
      </c>
      <c r="P1808" t="inlineStr">
        <is>
          <t>2026-08-10T19:29:54Z</t>
        </is>
      </c>
    </row>
    <row r="1809">
      <c r="A1809" s="19" t="inlineStr">
        <is>
          <t>1808</t>
        </is>
      </c>
      <c r="B1809" s="19" t="inlineStr">
        <is>
          <t>SC-1012881-ST-096-EUR-03</t>
        </is>
      </c>
      <c r="C1809" t="inlineStr">
        <is>
          <t>1012881 → ST-096-EUR-03</t>
        </is>
      </c>
      <c r="D1809" s="19" t="inlineStr">
        <is>
          <t>2</t>
        </is>
      </c>
      <c r="E1809" s="19" t="inlineStr">
        <is>
          <t>838</t>
        </is>
      </c>
      <c r="F1809" s="19" t="inlineStr">
        <is>
          <t>230</t>
        </is>
      </c>
      <c r="G1809" s="19" t="n"/>
      <c r="H1809" s="19" t="inlineStr">
        <is>
          <t>2</t>
        </is>
      </c>
      <c r="I1809" s="19" t="n"/>
      <c r="J1809" s="19" t="n"/>
      <c r="K1809" s="19" t="inlineStr">
        <is>
          <t>2</t>
        </is>
      </c>
      <c r="L1809" t="inlineStr">
        <is>
          <t>2026-08-08</t>
        </is>
      </c>
      <c r="N1809" t="inlineStr">
        <is>
          <t>IN_SCOPE_FINAL; SOURCE_CFG=IA-ST-CFG-0266; MARKET=LAMPA ITALY İTALYA; STATUS=IN OEM / EU PACKAGE</t>
        </is>
      </c>
      <c r="O1809" t="inlineStr">
        <is>
          <t>2026-08-10T19:29:54Z</t>
        </is>
      </c>
      <c r="P1809" t="inlineStr">
        <is>
          <t>2026-08-10T19:29:54Z</t>
        </is>
      </c>
    </row>
    <row r="1810">
      <c r="A1810" s="19" t="inlineStr">
        <is>
          <t>1809</t>
        </is>
      </c>
      <c r="B1810" s="19" t="inlineStr">
        <is>
          <t>SC-1013739-ST-096-EUR-03</t>
        </is>
      </c>
      <c r="C1810" t="inlineStr">
        <is>
          <t>1013739 → ST-096-EUR-03</t>
        </is>
      </c>
      <c r="D1810" s="19" t="inlineStr">
        <is>
          <t>2</t>
        </is>
      </c>
      <c r="E1810" s="19" t="inlineStr">
        <is>
          <t>1080</t>
        </is>
      </c>
      <c r="F1810" s="19" t="inlineStr">
        <is>
          <t>230</t>
        </is>
      </c>
      <c r="G1810" s="19" t="n"/>
      <c r="H1810" s="19" t="inlineStr">
        <is>
          <t>2</t>
        </is>
      </c>
      <c r="I1810" s="19" t="n"/>
      <c r="J1810" s="19" t="n"/>
      <c r="K1810" s="19" t="inlineStr">
        <is>
          <t>2</t>
        </is>
      </c>
      <c r="L1810" t="inlineStr">
        <is>
          <t>2026-08-08</t>
        </is>
      </c>
      <c r="N1810" t="inlineStr">
        <is>
          <t>IN_SCOPE_FINAL; SOURCE_CFG=IA-ST-CFG-0266; MARKET=None; STATUS=IN OEM / EU PACKAGE</t>
        </is>
      </c>
      <c r="O1810" t="inlineStr">
        <is>
          <t>2026-08-10T19:29:54Z</t>
        </is>
      </c>
      <c r="P1810" t="inlineStr">
        <is>
          <t>2026-08-10T19:29:54Z</t>
        </is>
      </c>
    </row>
    <row r="1811">
      <c r="A1811" s="19" t="inlineStr">
        <is>
          <t>1810</t>
        </is>
      </c>
      <c r="B1811" s="19" t="inlineStr">
        <is>
          <t>SC-1013973-ST-096-EUR-03</t>
        </is>
      </c>
      <c r="C1811" t="inlineStr">
        <is>
          <t>1013973 → ST-096-EUR-03</t>
        </is>
      </c>
      <c r="D1811" s="19" t="inlineStr">
        <is>
          <t>2</t>
        </is>
      </c>
      <c r="E1811" s="19" t="inlineStr">
        <is>
          <t>1150</t>
        </is>
      </c>
      <c r="F1811" s="19" t="inlineStr">
        <is>
          <t>230</t>
        </is>
      </c>
      <c r="G1811" s="19" t="n"/>
      <c r="H1811" s="19" t="inlineStr">
        <is>
          <t>2</t>
        </is>
      </c>
      <c r="I1811" s="19" t="n"/>
      <c r="J1811" s="19" t="n"/>
      <c r="K1811" s="19" t="inlineStr">
        <is>
          <t>2</t>
        </is>
      </c>
      <c r="L1811" t="inlineStr">
        <is>
          <t>2026-08-08</t>
        </is>
      </c>
      <c r="N1811" t="inlineStr">
        <is>
          <t>IN_SCOPE_FINAL; SOURCE_CFG=IA-ST-CFG-0266; MARKET=None; STATUS=IN OEM / EU PACKAGE</t>
        </is>
      </c>
      <c r="O1811" t="inlineStr">
        <is>
          <t>2026-08-10T19:29:54Z</t>
        </is>
      </c>
      <c r="P1811" t="inlineStr">
        <is>
          <t>2026-08-10T19:29:54Z</t>
        </is>
      </c>
    </row>
    <row r="1812">
      <c r="A1812" s="19" t="inlineStr">
        <is>
          <t>1811</t>
        </is>
      </c>
      <c r="B1812" s="19" t="inlineStr">
        <is>
          <t>SC-1014616-ST-096-EUR-03</t>
        </is>
      </c>
      <c r="C1812" t="inlineStr">
        <is>
          <t>1014616 → ST-096-EUR-03</t>
        </is>
      </c>
      <c r="D1812" s="19" t="inlineStr">
        <is>
          <t>2</t>
        </is>
      </c>
      <c r="E1812" s="19" t="inlineStr">
        <is>
          <t>1491</t>
        </is>
      </c>
      <c r="F1812" s="19" t="inlineStr">
        <is>
          <t>230</t>
        </is>
      </c>
      <c r="G1812" s="19" t="n"/>
      <c r="H1812" s="19" t="inlineStr">
        <is>
          <t>2</t>
        </is>
      </c>
      <c r="I1812" s="19" t="n"/>
      <c r="J1812" s="19" t="n"/>
      <c r="K1812" s="19" t="inlineStr">
        <is>
          <t>2</t>
        </is>
      </c>
      <c r="L1812" t="inlineStr">
        <is>
          <t>2026-08-08</t>
        </is>
      </c>
      <c r="N1812" t="inlineStr">
        <is>
          <t>IN_SCOPE_FINAL; SOURCE_CFG=IA-ST-CFG-0266; MARKET=LAMPA ITALY İTALYA; STATUS=IN OEM / EU PACKAGE</t>
        </is>
      </c>
      <c r="O1812" t="inlineStr">
        <is>
          <t>2026-08-10T19:29:54Z</t>
        </is>
      </c>
      <c r="P1812" t="inlineStr">
        <is>
          <t>2026-08-10T19:29:54Z</t>
        </is>
      </c>
    </row>
    <row r="1813">
      <c r="A1813" s="19" t="inlineStr">
        <is>
          <t>1812</t>
        </is>
      </c>
      <c r="B1813" s="19" t="inlineStr">
        <is>
          <t>SC-1014855-ST-096-EUR-03</t>
        </is>
      </c>
      <c r="C1813" t="inlineStr">
        <is>
          <t>1014855 → ST-096-EUR-03</t>
        </is>
      </c>
      <c r="D1813" s="19" t="inlineStr">
        <is>
          <t>2</t>
        </is>
      </c>
      <c r="E1813" s="19" t="inlineStr">
        <is>
          <t>1638</t>
        </is>
      </c>
      <c r="F1813" s="19" t="inlineStr">
        <is>
          <t>230</t>
        </is>
      </c>
      <c r="G1813" s="19" t="n"/>
      <c r="H1813" s="19" t="inlineStr">
        <is>
          <t>2</t>
        </is>
      </c>
      <c r="I1813" s="19" t="n"/>
      <c r="J1813" s="19" t="n"/>
      <c r="K1813" s="19" t="inlineStr">
        <is>
          <t>2</t>
        </is>
      </c>
      <c r="L1813" t="inlineStr">
        <is>
          <t>2026-08-08</t>
        </is>
      </c>
      <c r="N1813" t="inlineStr">
        <is>
          <t>IN_SCOPE_FINAL; SOURCE_CFG=IA-ST-CFG-0266; MARKET=ALEX ARABATZIS BSA(YUNANİSTAN); STATUS=IN OEM / EU PACKAGE</t>
        </is>
      </c>
      <c r="O1813" t="inlineStr">
        <is>
          <t>2026-08-10T19:29:54Z</t>
        </is>
      </c>
      <c r="P1813" t="inlineStr">
        <is>
          <t>2026-08-10T19:29:54Z</t>
        </is>
      </c>
    </row>
    <row r="1814">
      <c r="A1814" s="19" t="inlineStr">
        <is>
          <t>1813</t>
        </is>
      </c>
      <c r="B1814" s="19" t="inlineStr">
        <is>
          <t>SC-1015168-ST-096-EUR-03</t>
        </is>
      </c>
      <c r="C1814" t="inlineStr">
        <is>
          <t>1015168 → ST-096-EUR-03</t>
        </is>
      </c>
      <c r="D1814" s="19" t="inlineStr">
        <is>
          <t>2</t>
        </is>
      </c>
      <c r="E1814" s="19" t="inlineStr">
        <is>
          <t>1914</t>
        </is>
      </c>
      <c r="F1814" s="19" t="inlineStr">
        <is>
          <t>230</t>
        </is>
      </c>
      <c r="G1814" s="19" t="n"/>
      <c r="H1814" s="19" t="inlineStr">
        <is>
          <t>2</t>
        </is>
      </c>
      <c r="I1814" s="19" t="n"/>
      <c r="J1814" s="19" t="n"/>
      <c r="K1814" s="19" t="inlineStr">
        <is>
          <t>2</t>
        </is>
      </c>
      <c r="L1814" t="inlineStr">
        <is>
          <t>2026-08-08</t>
        </is>
      </c>
      <c r="N1814" t="inlineStr">
        <is>
          <t>IN_SCOPE_FINAL; SOURCE_CFG=IA-ST-CFG-0266; MARKET=ALEX ARABATZIS BSA(YUNANİSTAN); STATUS=IN OEM / EU PACKAGE</t>
        </is>
      </c>
      <c r="O1814" t="inlineStr">
        <is>
          <t>2026-08-10T19:29:54Z</t>
        </is>
      </c>
      <c r="P1814" t="inlineStr">
        <is>
          <t>2026-08-10T19:29:54Z</t>
        </is>
      </c>
    </row>
    <row r="1815">
      <c r="A1815" s="19" t="inlineStr">
        <is>
          <t>1814</t>
        </is>
      </c>
      <c r="B1815" s="19" t="inlineStr">
        <is>
          <t>SC-1014500-ST-096-EUR-04</t>
        </is>
      </c>
      <c r="C1815" t="inlineStr">
        <is>
          <t>1014500 → ST-096-EUR-04</t>
        </is>
      </c>
      <c r="D1815" s="19" t="inlineStr">
        <is>
          <t>2</t>
        </is>
      </c>
      <c r="E1815" s="19" t="inlineStr">
        <is>
          <t>1424</t>
        </is>
      </c>
      <c r="F1815" s="19" t="inlineStr">
        <is>
          <t>231</t>
        </is>
      </c>
      <c r="G1815" s="19" t="n"/>
      <c r="H1815" s="19" t="inlineStr">
        <is>
          <t>2</t>
        </is>
      </c>
      <c r="I1815" s="19" t="n"/>
      <c r="J1815" s="19" t="n"/>
      <c r="K1815" s="19" t="inlineStr">
        <is>
          <t>2</t>
        </is>
      </c>
      <c r="L1815" t="inlineStr">
        <is>
          <t>2026-08-08</t>
        </is>
      </c>
      <c r="N1815" t="inlineStr">
        <is>
          <t>IN_SCOPE_FINAL; SOURCE_CFG=IA-ST-CFG-0267; MARKET=None; STATUS=IN OEM / EU PACKAGE</t>
        </is>
      </c>
      <c r="O1815" t="inlineStr">
        <is>
          <t>2026-08-10T19:29:54Z</t>
        </is>
      </c>
      <c r="P1815" t="inlineStr">
        <is>
          <t>2026-08-10T19:29:54Z</t>
        </is>
      </c>
    </row>
    <row r="1816">
      <c r="A1816" s="19" t="inlineStr">
        <is>
          <t>1815</t>
        </is>
      </c>
      <c r="B1816" s="19" t="inlineStr">
        <is>
          <t>SC-1009849-ST-096-EUR-05</t>
        </is>
      </c>
      <c r="C1816" t="inlineStr">
        <is>
          <t>1009849 → ST-096-EUR-05</t>
        </is>
      </c>
      <c r="D1816" s="19" t="inlineStr">
        <is>
          <t>2</t>
        </is>
      </c>
      <c r="E1816" s="19" t="inlineStr">
        <is>
          <t>116</t>
        </is>
      </c>
      <c r="F1816" s="19" t="inlineStr">
        <is>
          <t>232</t>
        </is>
      </c>
      <c r="G1816" s="19" t="n"/>
      <c r="H1816" s="19" t="inlineStr">
        <is>
          <t>2</t>
        </is>
      </c>
      <c r="I1816" s="19" t="n"/>
      <c r="J1816" s="19" t="n"/>
      <c r="K1816" s="19" t="inlineStr">
        <is>
          <t>2</t>
        </is>
      </c>
      <c r="L1816" t="inlineStr">
        <is>
          <t>2026-08-08</t>
        </is>
      </c>
      <c r="N1816" t="inlineStr">
        <is>
          <t>IN_SCOPE_FINAL; SOURCE_CFG=IA-ST-CFG-0268; MARKET=DORFELT ALMANYA; STATUS=IN OEM / EU PACKAGE</t>
        </is>
      </c>
      <c r="O1816" t="inlineStr">
        <is>
          <t>2026-08-10T19:29:54Z</t>
        </is>
      </c>
      <c r="P1816" t="inlineStr">
        <is>
          <t>2026-08-10T19:29:54Z</t>
        </is>
      </c>
    </row>
    <row r="1817">
      <c r="A1817" s="19" t="inlineStr">
        <is>
          <t>1816</t>
        </is>
      </c>
      <c r="B1817" s="19" t="inlineStr">
        <is>
          <t>SC-1013533-ST-096-EUR-06</t>
        </is>
      </c>
      <c r="C1817" t="inlineStr">
        <is>
          <t>1013533 → ST-096-EUR-06</t>
        </is>
      </c>
      <c r="D1817" s="19" t="inlineStr">
        <is>
          <t>2</t>
        </is>
      </c>
      <c r="E1817" s="19" t="inlineStr">
        <is>
          <t>1023</t>
        </is>
      </c>
      <c r="F1817" s="19" t="inlineStr">
        <is>
          <t>233</t>
        </is>
      </c>
      <c r="G1817" s="19" t="n"/>
      <c r="H1817" s="19" t="inlineStr">
        <is>
          <t>2</t>
        </is>
      </c>
      <c r="I1817" s="19" t="n"/>
      <c r="J1817" s="19" t="n"/>
      <c r="K1817" s="19" t="inlineStr">
        <is>
          <t>2</t>
        </is>
      </c>
      <c r="L1817" t="inlineStr">
        <is>
          <t>2026-08-08</t>
        </is>
      </c>
      <c r="N1817" t="inlineStr">
        <is>
          <t>IN_SCOPE_FINAL; SOURCE_CFG=IA-ST-CFG-0269; MARKET=SKG İTALYA; STATUS=IN OEM / EU PACKAGE</t>
        </is>
      </c>
      <c r="O1817" t="inlineStr">
        <is>
          <t>2026-08-10T19:29:54Z</t>
        </is>
      </c>
      <c r="P1817" t="inlineStr">
        <is>
          <t>2026-08-10T19:29:54Z</t>
        </is>
      </c>
    </row>
    <row r="1818">
      <c r="A1818" s="19" t="inlineStr">
        <is>
          <t>1817</t>
        </is>
      </c>
      <c r="B1818" s="19" t="inlineStr">
        <is>
          <t>SC-1014656-ST-096-EUR-06</t>
        </is>
      </c>
      <c r="C1818" t="inlineStr">
        <is>
          <t>1014656 → ST-096-EUR-06</t>
        </is>
      </c>
      <c r="D1818" s="19" t="inlineStr">
        <is>
          <t>2</t>
        </is>
      </c>
      <c r="E1818" s="19" t="inlineStr">
        <is>
          <t>1514</t>
        </is>
      </c>
      <c r="F1818" s="19" t="inlineStr">
        <is>
          <t>233</t>
        </is>
      </c>
      <c r="G1818" s="19" t="n"/>
      <c r="H1818" s="19" t="inlineStr">
        <is>
          <t>2</t>
        </is>
      </c>
      <c r="I1818" s="19" t="n"/>
      <c r="J1818" s="19" t="n"/>
      <c r="K1818" s="19" t="inlineStr">
        <is>
          <t>2</t>
        </is>
      </c>
      <c r="L1818" t="inlineStr">
        <is>
          <t>2026-08-08</t>
        </is>
      </c>
      <c r="N1818" t="inlineStr">
        <is>
          <t>IN_SCOPE_FINAL; SOURCE_CFG=IA-ST-CFG-0269; MARKET=SKG İTALYA; STATUS=IN OEM / EU PACKAGE</t>
        </is>
      </c>
      <c r="O1818" t="inlineStr">
        <is>
          <t>2026-08-10T19:29:54Z</t>
        </is>
      </c>
      <c r="P1818" t="inlineStr">
        <is>
          <t>2026-08-10T19:29:54Z</t>
        </is>
      </c>
    </row>
    <row r="1819">
      <c r="A1819" s="19" t="inlineStr">
        <is>
          <t>1818</t>
        </is>
      </c>
      <c r="B1819" s="19" t="inlineStr">
        <is>
          <t>SC-1015024-ST-096-EUR-06</t>
        </is>
      </c>
      <c r="C1819" t="inlineStr">
        <is>
          <t>1015024 → ST-096-EUR-06</t>
        </is>
      </c>
      <c r="D1819" s="19" t="inlineStr">
        <is>
          <t>2</t>
        </is>
      </c>
      <c r="E1819" s="19" t="inlineStr">
        <is>
          <t>1784</t>
        </is>
      </c>
      <c r="F1819" s="19" t="inlineStr">
        <is>
          <t>233</t>
        </is>
      </c>
      <c r="G1819" s="19" t="n"/>
      <c r="H1819" s="19" t="inlineStr">
        <is>
          <t>2</t>
        </is>
      </c>
      <c r="I1819" s="19" t="n"/>
      <c r="J1819" s="19" t="n"/>
      <c r="K1819" s="19" t="inlineStr">
        <is>
          <t>2</t>
        </is>
      </c>
      <c r="L1819" t="inlineStr">
        <is>
          <t>2026-08-08</t>
        </is>
      </c>
      <c r="N1819" t="inlineStr">
        <is>
          <t>IN_SCOPE_FINAL; SOURCE_CFG=IA-ST-CFG-0269; MARKET=SKG İTALYA; STATUS=IN OEM / EU PACKAGE</t>
        </is>
      </c>
      <c r="O1819" t="inlineStr">
        <is>
          <t>2026-08-10T19:29:54Z</t>
        </is>
      </c>
      <c r="P1819" t="inlineStr">
        <is>
          <t>2026-08-10T19:29:54Z</t>
        </is>
      </c>
    </row>
    <row r="1820">
      <c r="A1820" s="19" t="inlineStr">
        <is>
          <t>1819</t>
        </is>
      </c>
      <c r="B1820" s="19" t="inlineStr">
        <is>
          <t>SC-1015025-ST-096-EUR-06</t>
        </is>
      </c>
      <c r="C1820" t="inlineStr">
        <is>
          <t>1015025 → ST-096-EUR-06</t>
        </is>
      </c>
      <c r="D1820" s="19" t="inlineStr">
        <is>
          <t>2</t>
        </is>
      </c>
      <c r="E1820" s="19" t="inlineStr">
        <is>
          <t>1785</t>
        </is>
      </c>
      <c r="F1820" s="19" t="inlineStr">
        <is>
          <t>233</t>
        </is>
      </c>
      <c r="G1820" s="19" t="n"/>
      <c r="H1820" s="19" t="inlineStr">
        <is>
          <t>2</t>
        </is>
      </c>
      <c r="I1820" s="19" t="n"/>
      <c r="J1820" s="19" t="n"/>
      <c r="K1820" s="19" t="inlineStr">
        <is>
          <t>2</t>
        </is>
      </c>
      <c r="L1820" t="inlineStr">
        <is>
          <t>2026-08-08</t>
        </is>
      </c>
      <c r="N1820" t="inlineStr">
        <is>
          <t>IN_SCOPE_FINAL; SOURCE_CFG=IA-ST-CFG-0269; MARKET=SKG İTALYA; STATUS=IN OEM / EU PACKAGE</t>
        </is>
      </c>
      <c r="O1820" t="inlineStr">
        <is>
          <t>2026-08-10T19:29:54Z</t>
        </is>
      </c>
      <c r="P1820" t="inlineStr">
        <is>
          <t>2026-08-10T19:29:54Z</t>
        </is>
      </c>
    </row>
    <row r="1821">
      <c r="A1821" s="19" t="inlineStr">
        <is>
          <t>1820</t>
        </is>
      </c>
      <c r="B1821" s="19" t="inlineStr">
        <is>
          <t>SC-1012162-ST-096-STD-01</t>
        </is>
      </c>
      <c r="C1821" t="inlineStr">
        <is>
          <t>1012162 → ST-096-STD-01</t>
        </is>
      </c>
      <c r="D1821" s="19" t="inlineStr">
        <is>
          <t>2</t>
        </is>
      </c>
      <c r="E1821" s="19" t="inlineStr">
        <is>
          <t>551</t>
        </is>
      </c>
      <c r="F1821" s="19" t="inlineStr">
        <is>
          <t>238</t>
        </is>
      </c>
      <c r="G1821" s="19" t="n"/>
      <c r="H1821" s="19" t="inlineStr">
        <is>
          <t>2</t>
        </is>
      </c>
      <c r="I1821" s="19" t="n"/>
      <c r="J1821" s="19" t="n"/>
      <c r="K1821" s="19" t="inlineStr">
        <is>
          <t>2</t>
        </is>
      </c>
      <c r="L1821" t="inlineStr">
        <is>
          <t>2026-08-08</t>
        </is>
      </c>
      <c r="N1821" t="inlineStr">
        <is>
          <t>IN_SCOPE_FINAL; SOURCE_CFG=IA-ST-CFG-0270; MARKET=MISIR ATWAN; STATUS=IN OEM / EU PACKAGE</t>
        </is>
      </c>
      <c r="O1821" t="inlineStr">
        <is>
          <t>2026-08-10T19:29:54Z</t>
        </is>
      </c>
      <c r="P1821" t="inlineStr">
        <is>
          <t>2026-08-10T19:29:54Z</t>
        </is>
      </c>
    </row>
    <row r="1822">
      <c r="A1822" s="19" t="inlineStr">
        <is>
          <t>1821</t>
        </is>
      </c>
      <c r="B1822" s="19" t="inlineStr">
        <is>
          <t>SC-1013118-ST-096-STD-02</t>
        </is>
      </c>
      <c r="C1822" t="inlineStr">
        <is>
          <t>1013118 → ST-096-STD-02</t>
        </is>
      </c>
      <c r="D1822" s="19" t="inlineStr">
        <is>
          <t>2</t>
        </is>
      </c>
      <c r="E1822" s="19" t="inlineStr">
        <is>
          <t>920</t>
        </is>
      </c>
      <c r="F1822" s="19" t="inlineStr">
        <is>
          <t>239</t>
        </is>
      </c>
      <c r="G1822" s="19" t="n"/>
      <c r="H1822" s="19" t="inlineStr">
        <is>
          <t>2</t>
        </is>
      </c>
      <c r="I1822" s="19" t="n"/>
      <c r="J1822" s="19" t="n"/>
      <c r="K1822" s="19" t="inlineStr">
        <is>
          <t>2</t>
        </is>
      </c>
      <c r="L1822" t="inlineStr">
        <is>
          <t>2026-08-08</t>
        </is>
      </c>
      <c r="N1822" t="inlineStr">
        <is>
          <t>IN_SCOPE_FINAL; SOURCE_CFG=IA-ST-CFG-0271; MARKET=REDMAY URUGUAY; STATUS=IN OEM / EU PACKAGE</t>
        </is>
      </c>
      <c r="O1822" t="inlineStr">
        <is>
          <t>2026-08-10T19:29:54Z</t>
        </is>
      </c>
      <c r="P1822" t="inlineStr">
        <is>
          <t>2026-08-10T19:29:54Z</t>
        </is>
      </c>
    </row>
    <row r="1823">
      <c r="A1823" s="19" t="inlineStr">
        <is>
          <t>1822</t>
        </is>
      </c>
      <c r="B1823" s="19" t="inlineStr">
        <is>
          <t>SC-1014333-ST-096-STD-03</t>
        </is>
      </c>
      <c r="C1823" t="inlineStr">
        <is>
          <t>1014333 → ST-096-STD-03</t>
        </is>
      </c>
      <c r="D1823" s="19" t="inlineStr">
        <is>
          <t>2</t>
        </is>
      </c>
      <c r="E1823" s="19" t="inlineStr">
        <is>
          <t>1310</t>
        </is>
      </c>
      <c r="F1823" s="19" t="inlineStr">
        <is>
          <t>240</t>
        </is>
      </c>
      <c r="G1823" s="19" t="n"/>
      <c r="H1823" s="19" t="inlineStr">
        <is>
          <t>2</t>
        </is>
      </c>
      <c r="I1823" s="19" t="n"/>
      <c r="J1823" s="19" t="n"/>
      <c r="K1823" s="19" t="inlineStr">
        <is>
          <t>2</t>
        </is>
      </c>
      <c r="L1823" t="inlineStr">
        <is>
          <t>2026-08-08</t>
        </is>
      </c>
      <c r="N1823" t="inlineStr">
        <is>
          <t>IN_SCOPE_FINAL; SOURCE_CFG=IA-ST-CFG-0272; MARKET=RAYA ENERGY INC. KANADA; STATUS=IN OEM / EU PACKAGE</t>
        </is>
      </c>
      <c r="O1823" t="inlineStr">
        <is>
          <t>2026-08-10T19:29:54Z</t>
        </is>
      </c>
      <c r="P1823" t="inlineStr">
        <is>
          <t>2026-08-10T19:29:54Z</t>
        </is>
      </c>
    </row>
    <row r="1824">
      <c r="A1824" s="19" t="inlineStr">
        <is>
          <t>1823</t>
        </is>
      </c>
      <c r="B1824" s="19" t="inlineStr">
        <is>
          <t>SC-1009973-ST-096-STD-03</t>
        </is>
      </c>
      <c r="C1824" t="inlineStr">
        <is>
          <t>1009973 → ST-096-STD-03</t>
        </is>
      </c>
      <c r="D1824" s="19" t="inlineStr">
        <is>
          <t>2</t>
        </is>
      </c>
      <c r="E1824" s="19" t="inlineStr">
        <is>
          <t>130</t>
        </is>
      </c>
      <c r="F1824" s="19" t="inlineStr">
        <is>
          <t>240</t>
        </is>
      </c>
      <c r="G1824" s="19" t="n"/>
      <c r="H1824" s="19" t="inlineStr">
        <is>
          <t>2</t>
        </is>
      </c>
      <c r="I1824" s="19" t="n"/>
      <c r="J1824" s="19" t="n"/>
      <c r="K1824" s="19" t="inlineStr">
        <is>
          <t>2</t>
        </is>
      </c>
      <c r="L1824" t="inlineStr">
        <is>
          <t>2026-08-08</t>
        </is>
      </c>
      <c r="N1824" t="inlineStr">
        <is>
          <t>IN_SCOPE_FINAL; SOURCE_CFG=IA-ST-CFG-0272; MARKET=REY &amp; LENFERNA LUCAS; STATUS=IN OEM / EU PACKAGE</t>
        </is>
      </c>
      <c r="O1824" t="inlineStr">
        <is>
          <t>2026-08-10T19:29:54Z</t>
        </is>
      </c>
      <c r="P1824" t="inlineStr">
        <is>
          <t>2026-08-10T19:29:54Z</t>
        </is>
      </c>
    </row>
    <row r="1825">
      <c r="A1825" s="19" t="inlineStr">
        <is>
          <t>1824</t>
        </is>
      </c>
      <c r="B1825" s="19" t="inlineStr">
        <is>
          <t>SC-1011798-ST-096-STD-03</t>
        </is>
      </c>
      <c r="C1825" t="inlineStr">
        <is>
          <t>1011798 → ST-096-STD-03</t>
        </is>
      </c>
      <c r="D1825" s="19" t="inlineStr">
        <is>
          <t>2</t>
        </is>
      </c>
      <c r="E1825" s="19" t="inlineStr">
        <is>
          <t>348</t>
        </is>
      </c>
      <c r="F1825" s="19" t="inlineStr">
        <is>
          <t>240</t>
        </is>
      </c>
      <c r="G1825" s="19" t="n"/>
      <c r="H1825" s="19" t="inlineStr">
        <is>
          <t>2</t>
        </is>
      </c>
      <c r="I1825" s="19" t="n"/>
      <c r="J1825" s="19" t="n"/>
      <c r="K1825" s="19" t="inlineStr">
        <is>
          <t>2</t>
        </is>
      </c>
      <c r="L1825" t="inlineStr">
        <is>
          <t>2026-08-08</t>
        </is>
      </c>
      <c r="N1825" t="inlineStr">
        <is>
          <t>IN_SCOPE_FINAL; SOURCE_CFG=IA-ST-CFG-0272; MARKET=None; STATUS=IN OEM / EU PACKAGE</t>
        </is>
      </c>
      <c r="O1825" t="inlineStr">
        <is>
          <t>2026-08-10T19:29:54Z</t>
        </is>
      </c>
      <c r="P1825" t="inlineStr">
        <is>
          <t>2026-08-10T19:29:54Z</t>
        </is>
      </c>
    </row>
    <row r="1826">
      <c r="A1826" s="19" t="inlineStr">
        <is>
          <t>1825</t>
        </is>
      </c>
      <c r="B1826" s="19" t="inlineStr">
        <is>
          <t>SC-1011799-ST-096-STD-03</t>
        </is>
      </c>
      <c r="C1826" t="inlineStr">
        <is>
          <t>1011799 → ST-096-STD-03</t>
        </is>
      </c>
      <c r="D1826" s="19" t="inlineStr">
        <is>
          <t>2</t>
        </is>
      </c>
      <c r="E1826" s="19" t="inlineStr">
        <is>
          <t>349</t>
        </is>
      </c>
      <c r="F1826" s="19" t="inlineStr">
        <is>
          <t>240</t>
        </is>
      </c>
      <c r="G1826" s="19" t="n"/>
      <c r="H1826" s="19" t="inlineStr">
        <is>
          <t>2</t>
        </is>
      </c>
      <c r="I1826" s="19" t="n"/>
      <c r="J1826" s="19" t="n"/>
      <c r="K1826" s="19" t="inlineStr">
        <is>
          <t>2</t>
        </is>
      </c>
      <c r="L1826" t="inlineStr">
        <is>
          <t>2026-08-08</t>
        </is>
      </c>
      <c r="N1826" t="inlineStr">
        <is>
          <t>IN_SCOPE_FINAL; SOURCE_CFG=IA-ST-CFG-0272; MARKET=None; STATUS=IN OEM / EU PACKAGE</t>
        </is>
      </c>
      <c r="O1826" t="inlineStr">
        <is>
          <t>2026-08-10T19:29:54Z</t>
        </is>
      </c>
      <c r="P1826" t="inlineStr">
        <is>
          <t>2026-08-10T19:29:54Z</t>
        </is>
      </c>
    </row>
    <row r="1827">
      <c r="A1827" s="19" t="inlineStr">
        <is>
          <t>1826</t>
        </is>
      </c>
      <c r="B1827" s="19" t="inlineStr">
        <is>
          <t>SC-1011801-ST-096-STD-03</t>
        </is>
      </c>
      <c r="C1827" t="inlineStr">
        <is>
          <t>1011801 → ST-096-STD-03</t>
        </is>
      </c>
      <c r="D1827" s="19" t="inlineStr">
        <is>
          <t>2</t>
        </is>
      </c>
      <c r="E1827" s="19" t="inlineStr">
        <is>
          <t>350</t>
        </is>
      </c>
      <c r="F1827" s="19" t="inlineStr">
        <is>
          <t>240</t>
        </is>
      </c>
      <c r="G1827" s="19" t="n"/>
      <c r="H1827" s="19" t="inlineStr">
        <is>
          <t>2</t>
        </is>
      </c>
      <c r="I1827" s="19" t="n"/>
      <c r="J1827" s="19" t="n"/>
      <c r="K1827" s="19" t="inlineStr">
        <is>
          <t>2</t>
        </is>
      </c>
      <c r="L1827" t="inlineStr">
        <is>
          <t>2026-08-08</t>
        </is>
      </c>
      <c r="N1827" t="inlineStr">
        <is>
          <t>IN_SCOPE_FINAL; SOURCE_CFG=IA-ST-CFG-0272; MARKET=NASA; STATUS=IN OEM / EU PACKAGE</t>
        </is>
      </c>
      <c r="O1827" t="inlineStr">
        <is>
          <t>2026-08-10T19:29:54Z</t>
        </is>
      </c>
      <c r="P1827" t="inlineStr">
        <is>
          <t>2026-08-10T19:29:54Z</t>
        </is>
      </c>
    </row>
    <row r="1828">
      <c r="A1828" s="19" t="inlineStr">
        <is>
          <t>1827</t>
        </is>
      </c>
      <c r="B1828" s="19" t="inlineStr">
        <is>
          <t>SC-1011805-ST-096-STD-03</t>
        </is>
      </c>
      <c r="C1828" t="inlineStr">
        <is>
          <t>1011805 → ST-096-STD-03</t>
        </is>
      </c>
      <c r="D1828" s="19" t="inlineStr">
        <is>
          <t>2</t>
        </is>
      </c>
      <c r="E1828" s="19" t="inlineStr">
        <is>
          <t>351</t>
        </is>
      </c>
      <c r="F1828" s="19" t="inlineStr">
        <is>
          <t>240</t>
        </is>
      </c>
      <c r="G1828" s="19" t="n"/>
      <c r="H1828" s="19" t="inlineStr">
        <is>
          <t>2</t>
        </is>
      </c>
      <c r="I1828" s="19" t="n"/>
      <c r="J1828" s="19" t="n"/>
      <c r="K1828" s="19" t="inlineStr">
        <is>
          <t>2</t>
        </is>
      </c>
      <c r="L1828" t="inlineStr">
        <is>
          <t>2026-08-08</t>
        </is>
      </c>
      <c r="N1828" t="inlineStr">
        <is>
          <t>IN_SCOPE_FINAL; SOURCE_CFG=IA-ST-CFG-0272; MARKET=None; STATUS=IN OEM / EU PACKAGE</t>
        </is>
      </c>
      <c r="O1828" t="inlineStr">
        <is>
          <t>2026-08-10T19:29:54Z</t>
        </is>
      </c>
      <c r="P1828" t="inlineStr">
        <is>
          <t>2026-08-10T19:29:54Z</t>
        </is>
      </c>
    </row>
    <row r="1829">
      <c r="A1829" s="19" t="inlineStr">
        <is>
          <t>1828</t>
        </is>
      </c>
      <c r="B1829" s="19" t="inlineStr">
        <is>
          <t>SC-1011806-ST-096-STD-03</t>
        </is>
      </c>
      <c r="C1829" t="inlineStr">
        <is>
          <t>1011806 → ST-096-STD-03</t>
        </is>
      </c>
      <c r="D1829" s="19" t="inlineStr">
        <is>
          <t>2</t>
        </is>
      </c>
      <c r="E1829" s="19" t="inlineStr">
        <is>
          <t>352</t>
        </is>
      </c>
      <c r="F1829" s="19" t="inlineStr">
        <is>
          <t>240</t>
        </is>
      </c>
      <c r="G1829" s="19" t="n"/>
      <c r="H1829" s="19" t="inlineStr">
        <is>
          <t>2</t>
        </is>
      </c>
      <c r="I1829" s="19" t="n"/>
      <c r="J1829" s="19" t="n"/>
      <c r="K1829" s="19" t="inlineStr">
        <is>
          <t>2</t>
        </is>
      </c>
      <c r="L1829" t="inlineStr">
        <is>
          <t>2026-08-08</t>
        </is>
      </c>
      <c r="N1829" t="inlineStr">
        <is>
          <t>IN_SCOPE_FINAL; SOURCE_CFG=IA-ST-CFG-0272; MARKET=None; STATUS=IN OEM / EU PACKAGE</t>
        </is>
      </c>
      <c r="O1829" t="inlineStr">
        <is>
          <t>2026-08-10T19:29:54Z</t>
        </is>
      </c>
      <c r="P1829" t="inlineStr">
        <is>
          <t>2026-08-10T19:29:54Z</t>
        </is>
      </c>
    </row>
    <row r="1830">
      <c r="A1830" s="19" t="inlineStr">
        <is>
          <t>1829</t>
        </is>
      </c>
      <c r="B1830" s="19" t="inlineStr">
        <is>
          <t>SC-1011808-ST-096-STD-03</t>
        </is>
      </c>
      <c r="C1830" t="inlineStr">
        <is>
          <t>1011808 → ST-096-STD-03</t>
        </is>
      </c>
      <c r="D1830" s="19" t="inlineStr">
        <is>
          <t>2</t>
        </is>
      </c>
      <c r="E1830" s="19" t="inlineStr">
        <is>
          <t>353</t>
        </is>
      </c>
      <c r="F1830" s="19" t="inlineStr">
        <is>
          <t>240</t>
        </is>
      </c>
      <c r="G1830" s="19" t="n"/>
      <c r="H1830" s="19" t="inlineStr">
        <is>
          <t>2</t>
        </is>
      </c>
      <c r="I1830" s="19" t="n"/>
      <c r="J1830" s="19" t="n"/>
      <c r="K1830" s="19" t="inlineStr">
        <is>
          <t>2</t>
        </is>
      </c>
      <c r="L1830" t="inlineStr">
        <is>
          <t>2026-08-08</t>
        </is>
      </c>
      <c r="N1830" t="inlineStr">
        <is>
          <t>IN_SCOPE_FINAL; SOURCE_CFG=IA-ST-CFG-0272; MARKET=MISIR NACITA; STATUS=IN OEM / EU PACKAGE</t>
        </is>
      </c>
      <c r="O1830" t="inlineStr">
        <is>
          <t>2026-08-10T19:29:54Z</t>
        </is>
      </c>
      <c r="P1830" t="inlineStr">
        <is>
          <t>2026-08-10T19:29:54Z</t>
        </is>
      </c>
    </row>
    <row r="1831">
      <c r="A1831" s="19" t="inlineStr">
        <is>
          <t>1830</t>
        </is>
      </c>
      <c r="B1831" s="19" t="inlineStr">
        <is>
          <t>SC-1011810-ST-096-STD-03</t>
        </is>
      </c>
      <c r="C1831" t="inlineStr">
        <is>
          <t>1011810 → ST-096-STD-03</t>
        </is>
      </c>
      <c r="D1831" s="19" t="inlineStr">
        <is>
          <t>2</t>
        </is>
      </c>
      <c r="E1831" s="19" t="inlineStr">
        <is>
          <t>354</t>
        </is>
      </c>
      <c r="F1831" s="19" t="inlineStr">
        <is>
          <t>240</t>
        </is>
      </c>
      <c r="G1831" s="19" t="n"/>
      <c r="H1831" s="19" t="inlineStr">
        <is>
          <t>2</t>
        </is>
      </c>
      <c r="I1831" s="19" t="n"/>
      <c r="J1831" s="19" t="n"/>
      <c r="K1831" s="19" t="inlineStr">
        <is>
          <t>2</t>
        </is>
      </c>
      <c r="L1831" t="inlineStr">
        <is>
          <t>2026-08-08</t>
        </is>
      </c>
      <c r="N1831" t="inlineStr">
        <is>
          <t>IN_SCOPE_FINAL; SOURCE_CFG=IA-ST-CFG-0272; MARKET=MISIR AL AMAN; STATUS=IN OEM / EU PACKAGE</t>
        </is>
      </c>
      <c r="O1831" t="inlineStr">
        <is>
          <t>2026-08-10T19:29:54Z</t>
        </is>
      </c>
      <c r="P1831" t="inlineStr">
        <is>
          <t>2026-08-10T19:29:54Z</t>
        </is>
      </c>
    </row>
    <row r="1832">
      <c r="A1832" s="19" t="inlineStr">
        <is>
          <t>1831</t>
        </is>
      </c>
      <c r="B1832" s="19" t="inlineStr">
        <is>
          <t>SC-1011811-ST-096-STD-03</t>
        </is>
      </c>
      <c r="C1832" t="inlineStr">
        <is>
          <t>1011811 → ST-096-STD-03</t>
        </is>
      </c>
      <c r="D1832" s="19" t="inlineStr">
        <is>
          <t>2</t>
        </is>
      </c>
      <c r="E1832" s="19" t="inlineStr">
        <is>
          <t>355</t>
        </is>
      </c>
      <c r="F1832" s="19" t="inlineStr">
        <is>
          <t>240</t>
        </is>
      </c>
      <c r="G1832" s="19" t="n"/>
      <c r="H1832" s="19" t="inlineStr">
        <is>
          <t>2</t>
        </is>
      </c>
      <c r="I1832" s="19" t="n"/>
      <c r="J1832" s="19" t="n"/>
      <c r="K1832" s="19" t="inlineStr">
        <is>
          <t>2</t>
        </is>
      </c>
      <c r="L1832" t="inlineStr">
        <is>
          <t>2026-08-08</t>
        </is>
      </c>
      <c r="N1832" t="inlineStr">
        <is>
          <t>IN_SCOPE_FINAL; SOURCE_CFG=IA-ST-CFG-0272; MARKET=MISIR NACITA; STATUS=IN OEM / EU PACKAGE</t>
        </is>
      </c>
      <c r="O1832" t="inlineStr">
        <is>
          <t>2026-08-10T19:29:54Z</t>
        </is>
      </c>
      <c r="P1832" t="inlineStr">
        <is>
          <t>2026-08-10T19:29:54Z</t>
        </is>
      </c>
    </row>
    <row r="1833">
      <c r="A1833" s="19" t="inlineStr">
        <is>
          <t>1832</t>
        </is>
      </c>
      <c r="B1833" s="19" t="inlineStr">
        <is>
          <t>SC-1011812-ST-096-STD-03</t>
        </is>
      </c>
      <c r="C1833" t="inlineStr">
        <is>
          <t>1011812 → ST-096-STD-03</t>
        </is>
      </c>
      <c r="D1833" s="19" t="inlineStr">
        <is>
          <t>2</t>
        </is>
      </c>
      <c r="E1833" s="19" t="inlineStr">
        <is>
          <t>356</t>
        </is>
      </c>
      <c r="F1833" s="19" t="inlineStr">
        <is>
          <t>240</t>
        </is>
      </c>
      <c r="G1833" s="19" t="n"/>
      <c r="H1833" s="19" t="inlineStr">
        <is>
          <t>2</t>
        </is>
      </c>
      <c r="I1833" s="19" t="n"/>
      <c r="J1833" s="19" t="n"/>
      <c r="K1833" s="19" t="inlineStr">
        <is>
          <t>2</t>
        </is>
      </c>
      <c r="L1833" t="inlineStr">
        <is>
          <t>2026-08-08</t>
        </is>
      </c>
      <c r="N1833" t="inlineStr">
        <is>
          <t>IN_SCOPE_FINAL; SOURCE_CFG=IA-ST-CFG-0272; MARKET=MISIR AL AMAN; STATUS=IN OEM / EU PACKAGE</t>
        </is>
      </c>
      <c r="O1833" t="inlineStr">
        <is>
          <t>2026-08-10T19:29:54Z</t>
        </is>
      </c>
      <c r="P1833" t="inlineStr">
        <is>
          <t>2026-08-10T19:29:54Z</t>
        </is>
      </c>
    </row>
    <row r="1834">
      <c r="A1834" s="19" t="inlineStr">
        <is>
          <t>1833</t>
        </is>
      </c>
      <c r="B1834" s="19" t="inlineStr">
        <is>
          <t>SC-1011814-ST-096-STD-03</t>
        </is>
      </c>
      <c r="C1834" t="inlineStr">
        <is>
          <t>1011814 → ST-096-STD-03</t>
        </is>
      </c>
      <c r="D1834" s="19" t="inlineStr">
        <is>
          <t>2</t>
        </is>
      </c>
      <c r="E1834" s="19" t="inlineStr">
        <is>
          <t>358</t>
        </is>
      </c>
      <c r="F1834" s="19" t="inlineStr">
        <is>
          <t>240</t>
        </is>
      </c>
      <c r="G1834" s="19" t="n"/>
      <c r="H1834" s="19" t="inlineStr">
        <is>
          <t>2</t>
        </is>
      </c>
      <c r="I1834" s="19" t="n"/>
      <c r="J1834" s="19" t="n"/>
      <c r="K1834" s="19" t="inlineStr">
        <is>
          <t>2</t>
        </is>
      </c>
      <c r="L1834" t="inlineStr">
        <is>
          <t>2026-08-08</t>
        </is>
      </c>
      <c r="N1834" t="inlineStr">
        <is>
          <t>IN_SCOPE_FINAL; SOURCE_CFG=IA-ST-CFG-0272; MARKET=MISIR EEC; STATUS=IN OEM / EU PACKAGE</t>
        </is>
      </c>
      <c r="O1834" t="inlineStr">
        <is>
          <t>2026-08-10T19:29:54Z</t>
        </is>
      </c>
      <c r="P1834" t="inlineStr">
        <is>
          <t>2026-08-10T19:29:54Z</t>
        </is>
      </c>
    </row>
    <row r="1835">
      <c r="A1835" s="19" t="inlineStr">
        <is>
          <t>1834</t>
        </is>
      </c>
      <c r="B1835" s="19" t="inlineStr">
        <is>
          <t>SC-1011815-ST-096-STD-03</t>
        </is>
      </c>
      <c r="C1835" t="inlineStr">
        <is>
          <t>1011815 → ST-096-STD-03</t>
        </is>
      </c>
      <c r="D1835" s="19" t="inlineStr">
        <is>
          <t>2</t>
        </is>
      </c>
      <c r="E1835" s="19" t="inlineStr">
        <is>
          <t>359</t>
        </is>
      </c>
      <c r="F1835" s="19" t="inlineStr">
        <is>
          <t>240</t>
        </is>
      </c>
      <c r="G1835" s="19" t="n"/>
      <c r="H1835" s="19" t="inlineStr">
        <is>
          <t>2</t>
        </is>
      </c>
      <c r="I1835" s="19" t="n"/>
      <c r="J1835" s="19" t="n"/>
      <c r="K1835" s="19" t="inlineStr">
        <is>
          <t>2</t>
        </is>
      </c>
      <c r="L1835" t="inlineStr">
        <is>
          <t>2026-08-08</t>
        </is>
      </c>
      <c r="N1835" t="inlineStr">
        <is>
          <t>IN_SCOPE_FINAL; SOURCE_CFG=IA-ST-CFG-0272; MARKET=None; STATUS=IN OEM / EU PACKAGE</t>
        </is>
      </c>
      <c r="O1835" t="inlineStr">
        <is>
          <t>2026-08-10T19:29:54Z</t>
        </is>
      </c>
      <c r="P1835" t="inlineStr">
        <is>
          <t>2026-08-10T19:29:54Z</t>
        </is>
      </c>
    </row>
    <row r="1836">
      <c r="A1836" s="19" t="inlineStr">
        <is>
          <t>1835</t>
        </is>
      </c>
      <c r="B1836" s="19" t="inlineStr">
        <is>
          <t>SC-1011816-ST-096-STD-03</t>
        </is>
      </c>
      <c r="C1836" t="inlineStr">
        <is>
          <t>1011816 → ST-096-STD-03</t>
        </is>
      </c>
      <c r="D1836" s="19" t="inlineStr">
        <is>
          <t>2</t>
        </is>
      </c>
      <c r="E1836" s="19" t="inlineStr">
        <is>
          <t>360</t>
        </is>
      </c>
      <c r="F1836" s="19" t="inlineStr">
        <is>
          <t>240</t>
        </is>
      </c>
      <c r="G1836" s="19" t="n"/>
      <c r="H1836" s="19" t="inlineStr">
        <is>
          <t>2</t>
        </is>
      </c>
      <c r="I1836" s="19" t="n"/>
      <c r="J1836" s="19" t="n"/>
      <c r="K1836" s="19" t="inlineStr">
        <is>
          <t>2</t>
        </is>
      </c>
      <c r="L1836" t="inlineStr">
        <is>
          <t>2026-08-08</t>
        </is>
      </c>
      <c r="N1836" t="inlineStr">
        <is>
          <t>IN_SCOPE_FINAL; SOURCE_CFG=IA-ST-CFG-0272; MARKET=None; STATUS=IN OEM / EU PACKAGE</t>
        </is>
      </c>
      <c r="O1836" t="inlineStr">
        <is>
          <t>2026-08-10T19:29:54Z</t>
        </is>
      </c>
      <c r="P1836" t="inlineStr">
        <is>
          <t>2026-08-10T19:29:54Z</t>
        </is>
      </c>
    </row>
    <row r="1837">
      <c r="A1837" s="19" t="inlineStr">
        <is>
          <t>1836</t>
        </is>
      </c>
      <c r="B1837" s="19" t="inlineStr">
        <is>
          <t>SC-1011817-ST-096-STD-03</t>
        </is>
      </c>
      <c r="C1837" t="inlineStr">
        <is>
          <t>1011817 → ST-096-STD-03</t>
        </is>
      </c>
      <c r="D1837" s="19" t="inlineStr">
        <is>
          <t>2</t>
        </is>
      </c>
      <c r="E1837" s="19" t="inlineStr">
        <is>
          <t>361</t>
        </is>
      </c>
      <c r="F1837" s="19" t="inlineStr">
        <is>
          <t>240</t>
        </is>
      </c>
      <c r="G1837" s="19" t="n"/>
      <c r="H1837" s="19" t="inlineStr">
        <is>
          <t>2</t>
        </is>
      </c>
      <c r="I1837" s="19" t="n"/>
      <c r="J1837" s="19" t="n"/>
      <c r="K1837" s="19" t="inlineStr">
        <is>
          <t>2</t>
        </is>
      </c>
      <c r="L1837" t="inlineStr">
        <is>
          <t>2026-08-08</t>
        </is>
      </c>
      <c r="N1837" t="inlineStr">
        <is>
          <t>IN_SCOPE_FINAL; SOURCE_CFG=IA-ST-CFG-0272; MARKET=JANENE İSRAİL; STATUS=IN OEM / EU PACKAGE</t>
        </is>
      </c>
      <c r="O1837" t="inlineStr">
        <is>
          <t>2026-08-10T19:29:54Z</t>
        </is>
      </c>
      <c r="P1837" t="inlineStr">
        <is>
          <t>2026-08-10T19:29:54Z</t>
        </is>
      </c>
    </row>
    <row r="1838">
      <c r="A1838" s="19" t="inlineStr">
        <is>
          <t>1837</t>
        </is>
      </c>
      <c r="B1838" s="19" t="inlineStr">
        <is>
          <t>SC-1012149-ST-096-STD-03</t>
        </is>
      </c>
      <c r="C1838" t="inlineStr">
        <is>
          <t>1012149 → ST-096-STD-03</t>
        </is>
      </c>
      <c r="D1838" s="19" t="inlineStr">
        <is>
          <t>2</t>
        </is>
      </c>
      <c r="E1838" s="19" t="inlineStr">
        <is>
          <t>546</t>
        </is>
      </c>
      <c r="F1838" s="19" t="inlineStr">
        <is>
          <t>240</t>
        </is>
      </c>
      <c r="G1838" s="19" t="n"/>
      <c r="H1838" s="19" t="inlineStr">
        <is>
          <t>2</t>
        </is>
      </c>
      <c r="I1838" s="19" t="n"/>
      <c r="J1838" s="19" t="n"/>
      <c r="K1838" s="19" t="inlineStr">
        <is>
          <t>2</t>
        </is>
      </c>
      <c r="L1838" t="inlineStr">
        <is>
          <t>2026-08-08</t>
        </is>
      </c>
      <c r="N1838" t="inlineStr">
        <is>
          <t>IN_SCOPE_FINAL; SOURCE_CFG=IA-ST-CFG-0272; MARKET=None; STATUS=IN OEM / EU PACKAGE</t>
        </is>
      </c>
      <c r="O1838" t="inlineStr">
        <is>
          <t>2026-08-10T19:29:54Z</t>
        </is>
      </c>
      <c r="P1838" t="inlineStr">
        <is>
          <t>2026-08-10T19:29:54Z</t>
        </is>
      </c>
    </row>
    <row r="1839">
      <c r="A1839" s="19" t="inlineStr">
        <is>
          <t>1838</t>
        </is>
      </c>
      <c r="B1839" s="19" t="inlineStr">
        <is>
          <t>SC-1012435-ST-096-STD-03</t>
        </is>
      </c>
      <c r="C1839" t="inlineStr">
        <is>
          <t>1012435 → ST-096-STD-03</t>
        </is>
      </c>
      <c r="D1839" s="19" t="inlineStr">
        <is>
          <t>2</t>
        </is>
      </c>
      <c r="E1839" s="19" t="inlineStr">
        <is>
          <t>643</t>
        </is>
      </c>
      <c r="F1839" s="19" t="inlineStr">
        <is>
          <t>240</t>
        </is>
      </c>
      <c r="G1839" s="19" t="n"/>
      <c r="H1839" s="19" t="inlineStr">
        <is>
          <t>2</t>
        </is>
      </c>
      <c r="I1839" s="19" t="n"/>
      <c r="J1839" s="19" t="n"/>
      <c r="K1839" s="19" t="inlineStr">
        <is>
          <t>2</t>
        </is>
      </c>
      <c r="L1839" t="inlineStr">
        <is>
          <t>2026-08-08</t>
        </is>
      </c>
      <c r="N1839" t="inlineStr">
        <is>
          <t>IN_SCOPE_FINAL; SOURCE_CFG=IA-ST-CFG-0272; MARKET=None; STATUS=IN OEM / EU PACKAGE</t>
        </is>
      </c>
      <c r="O1839" t="inlineStr">
        <is>
          <t>2026-08-10T19:29:54Z</t>
        </is>
      </c>
      <c r="P1839" t="inlineStr">
        <is>
          <t>2026-08-10T19:29:54Z</t>
        </is>
      </c>
    </row>
    <row r="1840">
      <c r="A1840" s="19" t="inlineStr">
        <is>
          <t>1839</t>
        </is>
      </c>
      <c r="B1840" s="19" t="inlineStr">
        <is>
          <t>SC-1012437-ST-096-STD-03</t>
        </is>
      </c>
      <c r="C1840" t="inlineStr">
        <is>
          <t>1012437 → ST-096-STD-03</t>
        </is>
      </c>
      <c r="D1840" s="19" t="inlineStr">
        <is>
          <t>2</t>
        </is>
      </c>
      <c r="E1840" s="19" t="inlineStr">
        <is>
          <t>644</t>
        </is>
      </c>
      <c r="F1840" s="19" t="inlineStr">
        <is>
          <t>240</t>
        </is>
      </c>
      <c r="G1840" s="19" t="n"/>
      <c r="H1840" s="19" t="inlineStr">
        <is>
          <t>2</t>
        </is>
      </c>
      <c r="I1840" s="19" t="n"/>
      <c r="J1840" s="19" t="n"/>
      <c r="K1840" s="19" t="inlineStr">
        <is>
          <t>2</t>
        </is>
      </c>
      <c r="L1840" t="inlineStr">
        <is>
          <t>2026-08-08</t>
        </is>
      </c>
      <c r="N1840" t="inlineStr">
        <is>
          <t>IN_SCOPE_FINAL; SOURCE_CFG=IA-ST-CFG-0272; MARKET=None; STATUS=IN OEM / EU PACKAGE</t>
        </is>
      </c>
      <c r="O1840" t="inlineStr">
        <is>
          <t>2026-08-10T19:29:54Z</t>
        </is>
      </c>
      <c r="P1840" t="inlineStr">
        <is>
          <t>2026-08-10T19:29:54Z</t>
        </is>
      </c>
    </row>
    <row r="1841">
      <c r="A1841" s="19" t="inlineStr">
        <is>
          <t>1840</t>
        </is>
      </c>
      <c r="B1841" s="19" t="inlineStr">
        <is>
          <t>SC-1012451-ST-096-STD-03</t>
        </is>
      </c>
      <c r="C1841" t="inlineStr">
        <is>
          <t>1012451 → ST-096-STD-03</t>
        </is>
      </c>
      <c r="D1841" s="19" t="inlineStr">
        <is>
          <t>2</t>
        </is>
      </c>
      <c r="E1841" s="19" t="inlineStr">
        <is>
          <t>651</t>
        </is>
      </c>
      <c r="F1841" s="19" t="inlineStr">
        <is>
          <t>240</t>
        </is>
      </c>
      <c r="G1841" s="19" t="n"/>
      <c r="H1841" s="19" t="inlineStr">
        <is>
          <t>2</t>
        </is>
      </c>
      <c r="I1841" s="19" t="n"/>
      <c r="J1841" s="19" t="n"/>
      <c r="K1841" s="19" t="inlineStr">
        <is>
          <t>2</t>
        </is>
      </c>
      <c r="L1841" t="inlineStr">
        <is>
          <t>2026-08-08</t>
        </is>
      </c>
      <c r="N1841" t="inlineStr">
        <is>
          <t>IN_SCOPE_FINAL; SOURCE_CFG=IA-ST-CFG-0272; MARKET=None; STATUS=IN OEM / EU PACKAGE</t>
        </is>
      </c>
      <c r="O1841" t="inlineStr">
        <is>
          <t>2026-08-10T19:29:54Z</t>
        </is>
      </c>
      <c r="P1841" t="inlineStr">
        <is>
          <t>2026-08-10T19:29:54Z</t>
        </is>
      </c>
    </row>
    <row r="1842">
      <c r="A1842" s="19" t="inlineStr">
        <is>
          <t>1841</t>
        </is>
      </c>
      <c r="B1842" s="19" t="inlineStr">
        <is>
          <t>SC-1012467-ST-096-STD-03</t>
        </is>
      </c>
      <c r="C1842" t="inlineStr">
        <is>
          <t>1012467 → ST-096-STD-03</t>
        </is>
      </c>
      <c r="D1842" s="19" t="inlineStr">
        <is>
          <t>2</t>
        </is>
      </c>
      <c r="E1842" s="19" t="inlineStr">
        <is>
          <t>658</t>
        </is>
      </c>
      <c r="F1842" s="19" t="inlineStr">
        <is>
          <t>240</t>
        </is>
      </c>
      <c r="G1842" s="19" t="n"/>
      <c r="H1842" s="19" t="inlineStr">
        <is>
          <t>2</t>
        </is>
      </c>
      <c r="I1842" s="19" t="n"/>
      <c r="J1842" s="19" t="n"/>
      <c r="K1842" s="19" t="inlineStr">
        <is>
          <t>2</t>
        </is>
      </c>
      <c r="L1842" t="inlineStr">
        <is>
          <t>2026-08-08</t>
        </is>
      </c>
      <c r="N1842" t="inlineStr">
        <is>
          <t>IN_SCOPE_FINAL; SOURCE_CFG=IA-ST-CFG-0272; MARKET=MISIR EEC; STATUS=IN OEM / EU PACKAGE</t>
        </is>
      </c>
      <c r="O1842" t="inlineStr">
        <is>
          <t>2026-08-10T19:29:54Z</t>
        </is>
      </c>
      <c r="P1842" t="inlineStr">
        <is>
          <t>2026-08-10T19:29:54Z</t>
        </is>
      </c>
    </row>
    <row r="1843">
      <c r="A1843" s="19" t="inlineStr">
        <is>
          <t>1842</t>
        </is>
      </c>
      <c r="B1843" s="19" t="inlineStr">
        <is>
          <t>SC-1012553-ST-096-STD-03</t>
        </is>
      </c>
      <c r="C1843" t="inlineStr">
        <is>
          <t>1012553 → ST-096-STD-03</t>
        </is>
      </c>
      <c r="D1843" s="19" t="inlineStr">
        <is>
          <t>2</t>
        </is>
      </c>
      <c r="E1843" s="19" t="inlineStr">
        <is>
          <t>695</t>
        </is>
      </c>
      <c r="F1843" s="19" t="inlineStr">
        <is>
          <t>240</t>
        </is>
      </c>
      <c r="G1843" s="19" t="n"/>
      <c r="H1843" s="19" t="inlineStr">
        <is>
          <t>2</t>
        </is>
      </c>
      <c r="I1843" s="19" t="n"/>
      <c r="J1843" s="19" t="n"/>
      <c r="K1843" s="19" t="inlineStr">
        <is>
          <t>2</t>
        </is>
      </c>
      <c r="L1843" t="inlineStr">
        <is>
          <t>2026-08-08</t>
        </is>
      </c>
      <c r="N1843" t="inlineStr">
        <is>
          <t>IN_SCOPE_FINAL; SOURCE_CFG=IA-ST-CFG-0272; MARKET=None; STATUS=IN OEM / EU PACKAGE</t>
        </is>
      </c>
      <c r="O1843" t="inlineStr">
        <is>
          <t>2026-08-10T19:29:54Z</t>
        </is>
      </c>
      <c r="P1843" t="inlineStr">
        <is>
          <t>2026-08-10T19:29:54Z</t>
        </is>
      </c>
    </row>
    <row r="1844">
      <c r="A1844" s="19" t="inlineStr">
        <is>
          <t>1843</t>
        </is>
      </c>
      <c r="B1844" s="19" t="inlineStr">
        <is>
          <t>SC-1012583-ST-096-STD-03</t>
        </is>
      </c>
      <c r="C1844" t="inlineStr">
        <is>
          <t>1012583 → ST-096-STD-03</t>
        </is>
      </c>
      <c r="D1844" s="19" t="inlineStr">
        <is>
          <t>2</t>
        </is>
      </c>
      <c r="E1844" s="19" t="inlineStr">
        <is>
          <t>705</t>
        </is>
      </c>
      <c r="F1844" s="19" t="inlineStr">
        <is>
          <t>240</t>
        </is>
      </c>
      <c r="G1844" s="19" t="n"/>
      <c r="H1844" s="19" t="inlineStr">
        <is>
          <t>2</t>
        </is>
      </c>
      <c r="I1844" s="19" t="n"/>
      <c r="J1844" s="19" t="n"/>
      <c r="K1844" s="19" t="inlineStr">
        <is>
          <t>2</t>
        </is>
      </c>
      <c r="L1844" t="inlineStr">
        <is>
          <t>2026-08-08</t>
        </is>
      </c>
      <c r="N1844" t="inlineStr">
        <is>
          <t>IN_SCOPE_FINAL; SOURCE_CFG=IA-ST-CFG-0272; MARKET=None; STATUS=IN OEM / EU PACKAGE</t>
        </is>
      </c>
      <c r="O1844" t="inlineStr">
        <is>
          <t>2026-08-10T19:29:54Z</t>
        </is>
      </c>
      <c r="P1844" t="inlineStr">
        <is>
          <t>2026-08-10T19:29:54Z</t>
        </is>
      </c>
    </row>
    <row r="1845">
      <c r="A1845" s="19" t="inlineStr">
        <is>
          <t>1844</t>
        </is>
      </c>
      <c r="B1845" s="19" t="inlineStr">
        <is>
          <t>SC-1012687-ST-096-STD-03</t>
        </is>
      </c>
      <c r="C1845" t="inlineStr">
        <is>
          <t>1012687 → ST-096-STD-03</t>
        </is>
      </c>
      <c r="D1845" s="19" t="inlineStr">
        <is>
          <t>2</t>
        </is>
      </c>
      <c r="E1845" s="19" t="inlineStr">
        <is>
          <t>751</t>
        </is>
      </c>
      <c r="F1845" s="19" t="inlineStr">
        <is>
          <t>240</t>
        </is>
      </c>
      <c r="G1845" s="19" t="n"/>
      <c r="H1845" s="19" t="inlineStr">
        <is>
          <t>2</t>
        </is>
      </c>
      <c r="I1845" s="19" t="n"/>
      <c r="J1845" s="19" t="n"/>
      <c r="K1845" s="19" t="inlineStr">
        <is>
          <t>2</t>
        </is>
      </c>
      <c r="L1845" t="inlineStr">
        <is>
          <t>2026-08-08</t>
        </is>
      </c>
      <c r="N1845" t="inlineStr">
        <is>
          <t>IN_SCOPE_FINAL; SOURCE_CFG=IA-ST-CFG-0272; MARKET=None; STATUS=IN OEM / EU PACKAGE</t>
        </is>
      </c>
      <c r="O1845" t="inlineStr">
        <is>
          <t>2026-08-10T19:29:54Z</t>
        </is>
      </c>
      <c r="P1845" t="inlineStr">
        <is>
          <t>2026-08-10T19:29:54Z</t>
        </is>
      </c>
    </row>
    <row r="1846">
      <c r="A1846" s="19" t="inlineStr">
        <is>
          <t>1845</t>
        </is>
      </c>
      <c r="B1846" s="19" t="inlineStr">
        <is>
          <t>SC-1012862-ST-096-STD-03</t>
        </is>
      </c>
      <c r="C1846" t="inlineStr">
        <is>
          <t>1012862 → ST-096-STD-03</t>
        </is>
      </c>
      <c r="D1846" s="19" t="inlineStr">
        <is>
          <t>2</t>
        </is>
      </c>
      <c r="E1846" s="19" t="inlineStr">
        <is>
          <t>825</t>
        </is>
      </c>
      <c r="F1846" s="19" t="inlineStr">
        <is>
          <t>240</t>
        </is>
      </c>
      <c r="G1846" s="19" t="n"/>
      <c r="H1846" s="19" t="inlineStr">
        <is>
          <t>2</t>
        </is>
      </c>
      <c r="I1846" s="19" t="n"/>
      <c r="J1846" s="19" t="n"/>
      <c r="K1846" s="19" t="inlineStr">
        <is>
          <t>2</t>
        </is>
      </c>
      <c r="L1846" t="inlineStr">
        <is>
          <t>2026-08-08</t>
        </is>
      </c>
      <c r="N1846" t="inlineStr">
        <is>
          <t>IN_SCOPE_FINAL; SOURCE_CFG=IA-ST-CFG-0272; MARKET=SHAWKAT; STATUS=IN OEM / EU PACKAGE</t>
        </is>
      </c>
      <c r="O1846" t="inlineStr">
        <is>
          <t>2026-08-10T19:29:54Z</t>
        </is>
      </c>
      <c r="P1846" t="inlineStr">
        <is>
          <t>2026-08-10T19:29:54Z</t>
        </is>
      </c>
    </row>
    <row r="1847">
      <c r="A1847" s="19" t="inlineStr">
        <is>
          <t>1846</t>
        </is>
      </c>
      <c r="B1847" s="19" t="inlineStr">
        <is>
          <t>SC-1012932-ST-096-STD-03</t>
        </is>
      </c>
      <c r="C1847" t="inlineStr">
        <is>
          <t>1012932 → ST-096-STD-03</t>
        </is>
      </c>
      <c r="D1847" s="19" t="inlineStr">
        <is>
          <t>2</t>
        </is>
      </c>
      <c r="E1847" s="19" t="inlineStr">
        <is>
          <t>872</t>
        </is>
      </c>
      <c r="F1847" s="19" t="inlineStr">
        <is>
          <t>240</t>
        </is>
      </c>
      <c r="G1847" s="19" t="n"/>
      <c r="H1847" s="19" t="inlineStr">
        <is>
          <t>2</t>
        </is>
      </c>
      <c r="I1847" s="19" t="n"/>
      <c r="J1847" s="19" t="n"/>
      <c r="K1847" s="19" t="inlineStr">
        <is>
          <t>2</t>
        </is>
      </c>
      <c r="L1847" t="inlineStr">
        <is>
          <t>2026-08-08</t>
        </is>
      </c>
      <c r="N1847" t="inlineStr">
        <is>
          <t>IN_SCOPE_FINAL; SOURCE_CFG=IA-ST-CFG-0272; MARKET=SHAWKAT; STATUS=IN OEM / EU PACKAGE</t>
        </is>
      </c>
      <c r="O1847" t="inlineStr">
        <is>
          <t>2026-08-10T19:29:54Z</t>
        </is>
      </c>
      <c r="P1847" t="inlineStr">
        <is>
          <t>2026-08-10T19:29:54Z</t>
        </is>
      </c>
    </row>
    <row r="1848">
      <c r="A1848" s="19" t="inlineStr">
        <is>
          <t>1847</t>
        </is>
      </c>
      <c r="B1848" s="19" t="inlineStr">
        <is>
          <t>SC-1012949-ST-096-STD-03</t>
        </is>
      </c>
      <c r="C1848" t="inlineStr">
        <is>
          <t>1012949 → ST-096-STD-03</t>
        </is>
      </c>
      <c r="D1848" s="19" t="inlineStr">
        <is>
          <t>2</t>
        </is>
      </c>
      <c r="E1848" s="19" t="inlineStr">
        <is>
          <t>878</t>
        </is>
      </c>
      <c r="F1848" s="19" t="inlineStr">
        <is>
          <t>240</t>
        </is>
      </c>
      <c r="G1848" s="19" t="n"/>
      <c r="H1848" s="19" t="inlineStr">
        <is>
          <t>2</t>
        </is>
      </c>
      <c r="I1848" s="19" t="n"/>
      <c r="J1848" s="19" t="n"/>
      <c r="K1848" s="19" t="inlineStr">
        <is>
          <t>2</t>
        </is>
      </c>
      <c r="L1848" t="inlineStr">
        <is>
          <t>2026-08-08</t>
        </is>
      </c>
      <c r="N1848" t="inlineStr">
        <is>
          <t>IN_SCOPE_FINAL; SOURCE_CFG=IA-ST-CFG-0272; MARKET=SHAWKAT; STATUS=IN OEM / EU PACKAGE</t>
        </is>
      </c>
      <c r="O1848" t="inlineStr">
        <is>
          <t>2026-08-10T19:29:54Z</t>
        </is>
      </c>
      <c r="P1848" t="inlineStr">
        <is>
          <t>2026-08-10T19:29:54Z</t>
        </is>
      </c>
    </row>
    <row r="1849">
      <c r="A1849" s="19" t="inlineStr">
        <is>
          <t>1848</t>
        </is>
      </c>
      <c r="B1849" s="19" t="inlineStr">
        <is>
          <t>SC-1013007-ST-096-STD-03</t>
        </is>
      </c>
      <c r="C1849" t="inlineStr">
        <is>
          <t>1013007 → ST-096-STD-03</t>
        </is>
      </c>
      <c r="D1849" s="19" t="inlineStr">
        <is>
          <t>2</t>
        </is>
      </c>
      <c r="E1849" s="19" t="inlineStr">
        <is>
          <t>901</t>
        </is>
      </c>
      <c r="F1849" s="19" t="inlineStr">
        <is>
          <t>240</t>
        </is>
      </c>
      <c r="G1849" s="19" t="n"/>
      <c r="H1849" s="19" t="inlineStr">
        <is>
          <t>2</t>
        </is>
      </c>
      <c r="I1849" s="19" t="n"/>
      <c r="J1849" s="19" t="n"/>
      <c r="K1849" s="19" t="inlineStr">
        <is>
          <t>2</t>
        </is>
      </c>
      <c r="L1849" t="inlineStr">
        <is>
          <t>2026-08-08</t>
        </is>
      </c>
      <c r="N1849" t="inlineStr">
        <is>
          <t>IN_SCOPE_FINAL; SOURCE_CFG=IA-ST-CFG-0272; MARKET=None; STATUS=IN OEM / EU PACKAGE</t>
        </is>
      </c>
      <c r="O1849" t="inlineStr">
        <is>
          <t>2026-08-10T19:29:54Z</t>
        </is>
      </c>
      <c r="P1849" t="inlineStr">
        <is>
          <t>2026-08-10T19:29:54Z</t>
        </is>
      </c>
    </row>
    <row r="1850">
      <c r="A1850" s="19" t="inlineStr">
        <is>
          <t>1849</t>
        </is>
      </c>
      <c r="B1850" s="19" t="inlineStr">
        <is>
          <t>SC-1013058-ST-096-STD-03</t>
        </is>
      </c>
      <c r="C1850" t="inlineStr">
        <is>
          <t>1013058 → ST-096-STD-03</t>
        </is>
      </c>
      <c r="D1850" s="19" t="inlineStr">
        <is>
          <t>2</t>
        </is>
      </c>
      <c r="E1850" s="19" t="inlineStr">
        <is>
          <t>908</t>
        </is>
      </c>
      <c r="F1850" s="19" t="inlineStr">
        <is>
          <t>240</t>
        </is>
      </c>
      <c r="G1850" s="19" t="n"/>
      <c r="H1850" s="19" t="inlineStr">
        <is>
          <t>2</t>
        </is>
      </c>
      <c r="I1850" s="19" t="n"/>
      <c r="J1850" s="19" t="n"/>
      <c r="K1850" s="19" t="inlineStr">
        <is>
          <t>2</t>
        </is>
      </c>
      <c r="L1850" t="inlineStr">
        <is>
          <t>2026-08-08</t>
        </is>
      </c>
      <c r="N1850" t="inlineStr">
        <is>
          <t>IN_SCOPE_FINAL; SOURCE_CFG=IA-ST-CFG-0272; MARKET=None; STATUS=IN OEM / EU PACKAGE</t>
        </is>
      </c>
      <c r="O1850" t="inlineStr">
        <is>
          <t>2026-08-10T19:29:54Z</t>
        </is>
      </c>
      <c r="P1850" t="inlineStr">
        <is>
          <t>2026-08-10T19:29:54Z</t>
        </is>
      </c>
    </row>
    <row r="1851">
      <c r="A1851" s="19" t="inlineStr">
        <is>
          <t>1850</t>
        </is>
      </c>
      <c r="B1851" s="19" t="inlineStr">
        <is>
          <t>SC-1013565-ST-096-STD-03</t>
        </is>
      </c>
      <c r="C1851" t="inlineStr">
        <is>
          <t>1013565 → ST-096-STD-03</t>
        </is>
      </c>
      <c r="D1851" s="19" t="inlineStr">
        <is>
          <t>2</t>
        </is>
      </c>
      <c r="E1851" s="19" t="inlineStr">
        <is>
          <t>1034</t>
        </is>
      </c>
      <c r="F1851" s="19" t="inlineStr">
        <is>
          <t>240</t>
        </is>
      </c>
      <c r="G1851" s="19" t="n"/>
      <c r="H1851" s="19" t="inlineStr">
        <is>
          <t>2</t>
        </is>
      </c>
      <c r="I1851" s="19" t="n"/>
      <c r="J1851" s="19" t="n"/>
      <c r="K1851" s="19" t="inlineStr">
        <is>
          <t>2</t>
        </is>
      </c>
      <c r="L1851" t="inlineStr">
        <is>
          <t>2026-08-08</t>
        </is>
      </c>
      <c r="N1851" t="inlineStr">
        <is>
          <t>IN_SCOPE_FINAL; SOURCE_CFG=IA-ST-CFG-0272; MARKET=DOMİNİK CUM.PERFORMANCE BATT.; STATUS=IN OEM / EU PACKAGE</t>
        </is>
      </c>
      <c r="O1851" t="inlineStr">
        <is>
          <t>2026-08-10T19:29:54Z</t>
        </is>
      </c>
      <c r="P1851" t="inlineStr">
        <is>
          <t>2026-08-10T19:29:54Z</t>
        </is>
      </c>
    </row>
    <row r="1852">
      <c r="A1852" s="19" t="inlineStr">
        <is>
          <t>1851</t>
        </is>
      </c>
      <c r="B1852" s="19" t="inlineStr">
        <is>
          <t>SC-1013948-ST-096-STD-03</t>
        </is>
      </c>
      <c r="C1852" t="inlineStr">
        <is>
          <t>1013948 → ST-096-STD-03</t>
        </is>
      </c>
      <c r="D1852" s="19" t="inlineStr">
        <is>
          <t>2</t>
        </is>
      </c>
      <c r="E1852" s="19" t="inlineStr">
        <is>
          <t>1141</t>
        </is>
      </c>
      <c r="F1852" s="19" t="inlineStr">
        <is>
          <t>240</t>
        </is>
      </c>
      <c r="G1852" s="19" t="n"/>
      <c r="H1852" s="19" t="inlineStr">
        <is>
          <t>2</t>
        </is>
      </c>
      <c r="I1852" s="19" t="n"/>
      <c r="J1852" s="19" t="n"/>
      <c r="K1852" s="19" t="inlineStr">
        <is>
          <t>2</t>
        </is>
      </c>
      <c r="L1852" t="inlineStr">
        <is>
          <t>2026-08-08</t>
        </is>
      </c>
      <c r="N1852" t="inlineStr">
        <is>
          <t>IN_SCOPE_FINAL; SOURCE_CFG=IA-ST-CFG-0272; MARKET=None; STATUS=IN OEM / EU PACKAGE</t>
        </is>
      </c>
      <c r="O1852" t="inlineStr">
        <is>
          <t>2026-08-10T19:29:54Z</t>
        </is>
      </c>
      <c r="P1852" t="inlineStr">
        <is>
          <t>2026-08-10T19:29:54Z</t>
        </is>
      </c>
    </row>
    <row r="1853">
      <c r="A1853" s="19" t="inlineStr">
        <is>
          <t>1852</t>
        </is>
      </c>
      <c r="B1853" s="19" t="inlineStr">
        <is>
          <t>SC-1014283-ST-096-STD-03</t>
        </is>
      </c>
      <c r="C1853" t="inlineStr">
        <is>
          <t>1014283 → ST-096-STD-03</t>
        </is>
      </c>
      <c r="D1853" s="19" t="inlineStr">
        <is>
          <t>2</t>
        </is>
      </c>
      <c r="E1853" s="19" t="inlineStr">
        <is>
          <t>1295</t>
        </is>
      </c>
      <c r="F1853" s="19" t="inlineStr">
        <is>
          <t>240</t>
        </is>
      </c>
      <c r="G1853" s="19" t="n"/>
      <c r="H1853" s="19" t="inlineStr">
        <is>
          <t>2</t>
        </is>
      </c>
      <c r="I1853" s="19" t="n"/>
      <c r="J1853" s="19" t="n"/>
      <c r="K1853" s="19" t="inlineStr">
        <is>
          <t>2</t>
        </is>
      </c>
      <c r="L1853" t="inlineStr">
        <is>
          <t>2026-08-08</t>
        </is>
      </c>
      <c r="N1853" t="inlineStr">
        <is>
          <t>IN_SCOPE_FINAL; SOURCE_CFG=IA-ST-CFG-0272; MARKET=None; STATUS=IN OEM / EU PACKAGE</t>
        </is>
      </c>
      <c r="O1853" t="inlineStr">
        <is>
          <t>2026-08-10T19:29:54Z</t>
        </is>
      </c>
      <c r="P1853" t="inlineStr">
        <is>
          <t>2026-08-10T19:29:54Z</t>
        </is>
      </c>
    </row>
    <row r="1854">
      <c r="A1854" s="19" t="inlineStr">
        <is>
          <t>1853</t>
        </is>
      </c>
      <c r="B1854" s="19" t="inlineStr">
        <is>
          <t>SC-1014349-ST-096-STD-03</t>
        </is>
      </c>
      <c r="C1854" t="inlineStr">
        <is>
          <t>1014349 → ST-096-STD-03</t>
        </is>
      </c>
      <c r="D1854" s="19" t="inlineStr">
        <is>
          <t>2</t>
        </is>
      </c>
      <c r="E1854" s="19" t="inlineStr">
        <is>
          <t>1316</t>
        </is>
      </c>
      <c r="F1854" s="19" t="inlineStr">
        <is>
          <t>240</t>
        </is>
      </c>
      <c r="G1854" s="19" t="n"/>
      <c r="H1854" s="19" t="inlineStr">
        <is>
          <t>2</t>
        </is>
      </c>
      <c r="I1854" s="19" t="n"/>
      <c r="J1854" s="19" t="n"/>
      <c r="K1854" s="19" t="inlineStr">
        <is>
          <t>2</t>
        </is>
      </c>
      <c r="L1854" t="inlineStr">
        <is>
          <t>2026-08-08</t>
        </is>
      </c>
      <c r="N1854" t="inlineStr">
        <is>
          <t>IN_SCOPE_FINAL; SOURCE_CFG=IA-ST-CFG-0272; MARKET=MISIR ALSAFA; STATUS=IN OEM / EU PACKAGE</t>
        </is>
      </c>
      <c r="O1854" t="inlineStr">
        <is>
          <t>2026-08-10T19:29:54Z</t>
        </is>
      </c>
      <c r="P1854" t="inlineStr">
        <is>
          <t>2026-08-10T19:29:54Z</t>
        </is>
      </c>
    </row>
    <row r="1855">
      <c r="A1855" s="19" t="inlineStr">
        <is>
          <t>1854</t>
        </is>
      </c>
      <c r="B1855" s="19" t="inlineStr">
        <is>
          <t>SC-1014501-ST-096-STD-03</t>
        </is>
      </c>
      <c r="C1855" t="inlineStr">
        <is>
          <t>1014501 → ST-096-STD-03</t>
        </is>
      </c>
      <c r="D1855" s="19" t="inlineStr">
        <is>
          <t>2</t>
        </is>
      </c>
      <c r="E1855" s="19" t="inlineStr">
        <is>
          <t>1425</t>
        </is>
      </c>
      <c r="F1855" s="19" t="inlineStr">
        <is>
          <t>240</t>
        </is>
      </c>
      <c r="G1855" s="19" t="n"/>
      <c r="H1855" s="19" t="inlineStr">
        <is>
          <t>2</t>
        </is>
      </c>
      <c r="I1855" s="19" t="n"/>
      <c r="J1855" s="19" t="n"/>
      <c r="K1855" s="19" t="inlineStr">
        <is>
          <t>2</t>
        </is>
      </c>
      <c r="L1855" t="inlineStr">
        <is>
          <t>2026-08-08</t>
        </is>
      </c>
      <c r="N1855" t="inlineStr">
        <is>
          <t>IN_SCOPE_FINAL; SOURCE_CFG=IA-ST-CFG-0272; MARKET=DOMİNİK CUM.PERFORMANCE BATT.; STATUS=IN OEM / EU PACKAGE</t>
        </is>
      </c>
      <c r="O1855" t="inlineStr">
        <is>
          <t>2026-08-10T19:29:54Z</t>
        </is>
      </c>
      <c r="P1855" t="inlineStr">
        <is>
          <t>2026-08-10T19:29:54Z</t>
        </is>
      </c>
    </row>
    <row r="1856">
      <c r="A1856" s="19" t="inlineStr">
        <is>
          <t>1855</t>
        </is>
      </c>
      <c r="B1856" s="19" t="inlineStr">
        <is>
          <t>SC-1014886-ST-096-STD-03</t>
        </is>
      </c>
      <c r="C1856" t="inlineStr">
        <is>
          <t>1014886 → ST-096-STD-03</t>
        </is>
      </c>
      <c r="D1856" s="19" t="inlineStr">
        <is>
          <t>2</t>
        </is>
      </c>
      <c r="E1856" s="19" t="inlineStr">
        <is>
          <t>1658</t>
        </is>
      </c>
      <c r="F1856" s="19" t="inlineStr">
        <is>
          <t>240</t>
        </is>
      </c>
      <c r="G1856" s="19" t="n"/>
      <c r="H1856" s="19" t="inlineStr">
        <is>
          <t>2</t>
        </is>
      </c>
      <c r="I1856" s="19" t="n"/>
      <c r="J1856" s="19" t="n"/>
      <c r="K1856" s="19" t="inlineStr">
        <is>
          <t>2</t>
        </is>
      </c>
      <c r="L1856" t="inlineStr">
        <is>
          <t>2026-08-08</t>
        </is>
      </c>
      <c r="N1856" t="inlineStr">
        <is>
          <t>IN_SCOPE_FINAL; SOURCE_CFG=IA-ST-CFG-0272; MARKET=MULTISERVICIOSGOODWHEVENEZUELA; STATUS=IN OEM / EU PACKAGE</t>
        </is>
      </c>
      <c r="O1856" t="inlineStr">
        <is>
          <t>2026-08-10T19:29:54Z</t>
        </is>
      </c>
      <c r="P1856" t="inlineStr">
        <is>
          <t>2026-08-10T19:29:54Z</t>
        </is>
      </c>
    </row>
    <row r="1857">
      <c r="A1857" s="19" t="inlineStr">
        <is>
          <t>1856</t>
        </is>
      </c>
      <c r="B1857" s="19" t="inlineStr">
        <is>
          <t>SC-1015124-ST-096-STD-03</t>
        </is>
      </c>
      <c r="C1857" t="inlineStr">
        <is>
          <t>1015124 → ST-096-STD-03</t>
        </is>
      </c>
      <c r="D1857" s="19" t="inlineStr">
        <is>
          <t>2</t>
        </is>
      </c>
      <c r="E1857" s="19" t="inlineStr">
        <is>
          <t>1873</t>
        </is>
      </c>
      <c r="F1857" s="19" t="inlineStr">
        <is>
          <t>240</t>
        </is>
      </c>
      <c r="G1857" s="19" t="n"/>
      <c r="H1857" s="19" t="inlineStr">
        <is>
          <t>2</t>
        </is>
      </c>
      <c r="I1857" s="19" t="n"/>
      <c r="J1857" s="19" t="n"/>
      <c r="K1857" s="19" t="inlineStr">
        <is>
          <t>2</t>
        </is>
      </c>
      <c r="L1857" t="inlineStr">
        <is>
          <t>2026-08-08</t>
        </is>
      </c>
      <c r="N1857" t="inlineStr">
        <is>
          <t>IN_SCOPE_FINAL; SOURCE_CFG=IA-ST-CFG-0272; MARKET=AWAEL S.A.R.L. (LÜBNAN); STATUS=IN OEM / EU PACKAGE</t>
        </is>
      </c>
      <c r="O1857" t="inlineStr">
        <is>
          <t>2026-08-10T19:29:54Z</t>
        </is>
      </c>
      <c r="P1857" t="inlineStr">
        <is>
          <t>2026-08-10T19:29:54Z</t>
        </is>
      </c>
    </row>
    <row r="1858">
      <c r="A1858" s="19" t="inlineStr">
        <is>
          <t>1857</t>
        </is>
      </c>
      <c r="B1858" s="19" t="inlineStr">
        <is>
          <t>SC-1015137-ST-096-STD-03</t>
        </is>
      </c>
      <c r="C1858" t="inlineStr">
        <is>
          <t>1015137 → ST-096-STD-03</t>
        </is>
      </c>
      <c r="D1858" s="19" t="inlineStr">
        <is>
          <t>2</t>
        </is>
      </c>
      <c r="E1858" s="19" t="inlineStr">
        <is>
          <t>1886</t>
        </is>
      </c>
      <c r="F1858" s="19" t="inlineStr">
        <is>
          <t>240</t>
        </is>
      </c>
      <c r="G1858" s="19" t="n"/>
      <c r="H1858" s="19" t="inlineStr">
        <is>
          <t>2</t>
        </is>
      </c>
      <c r="I1858" s="19" t="n"/>
      <c r="J1858" s="19" t="n"/>
      <c r="K1858" s="19" t="inlineStr">
        <is>
          <t>2</t>
        </is>
      </c>
      <c r="L1858" t="inlineStr">
        <is>
          <t>2026-08-08</t>
        </is>
      </c>
      <c r="N1858" t="inlineStr">
        <is>
          <t>IN_SCOPE_FINAL; SOURCE_CFG=IA-ST-CFG-0272; MARKET=None; STATUS=IN OEM / EU PACKAGE</t>
        </is>
      </c>
      <c r="O1858" t="inlineStr">
        <is>
          <t>2026-08-10T19:29:54Z</t>
        </is>
      </c>
      <c r="P1858" t="inlineStr">
        <is>
          <t>2026-08-10T19:29:54Z</t>
        </is>
      </c>
    </row>
    <row r="1859">
      <c r="A1859" s="19" t="inlineStr">
        <is>
          <t>1858</t>
        </is>
      </c>
      <c r="B1859" s="19" t="inlineStr">
        <is>
          <t>SC-1015138-ST-096-STD-03</t>
        </is>
      </c>
      <c r="C1859" t="inlineStr">
        <is>
          <t>1015138 → ST-096-STD-03</t>
        </is>
      </c>
      <c r="D1859" s="19" t="inlineStr">
        <is>
          <t>2</t>
        </is>
      </c>
      <c r="E1859" s="19" t="inlineStr">
        <is>
          <t>1887</t>
        </is>
      </c>
      <c r="F1859" s="19" t="inlineStr">
        <is>
          <t>240</t>
        </is>
      </c>
      <c r="G1859" s="19" t="n"/>
      <c r="H1859" s="19" t="inlineStr">
        <is>
          <t>2</t>
        </is>
      </c>
      <c r="I1859" s="19" t="n"/>
      <c r="J1859" s="19" t="n"/>
      <c r="K1859" s="19" t="inlineStr">
        <is>
          <t>2</t>
        </is>
      </c>
      <c r="L1859" t="inlineStr">
        <is>
          <t>2026-08-08</t>
        </is>
      </c>
      <c r="N1859" t="inlineStr">
        <is>
          <t>IN_SCOPE_FINAL; SOURCE_CFG=IA-ST-CFG-0272; MARKET=None; STATUS=IN OEM / EU PACKAGE</t>
        </is>
      </c>
      <c r="O1859" t="inlineStr">
        <is>
          <t>2026-08-10T19:29:54Z</t>
        </is>
      </c>
      <c r="P1859" t="inlineStr">
        <is>
          <t>2026-08-10T19:29:54Z</t>
        </is>
      </c>
    </row>
    <row r="1860">
      <c r="A1860" s="19" t="inlineStr">
        <is>
          <t>1859</t>
        </is>
      </c>
      <c r="B1860" s="19" t="inlineStr">
        <is>
          <t>SC-1015319-ST-096-STD-03</t>
        </is>
      </c>
      <c r="C1860" t="inlineStr">
        <is>
          <t>1015319 → ST-096-STD-03</t>
        </is>
      </c>
      <c r="D1860" s="19" t="inlineStr">
        <is>
          <t>2</t>
        </is>
      </c>
      <c r="E1860" s="19" t="inlineStr">
        <is>
          <t>2040</t>
        </is>
      </c>
      <c r="F1860" s="19" t="inlineStr">
        <is>
          <t>240</t>
        </is>
      </c>
      <c r="G1860" s="19" t="n"/>
      <c r="H1860" s="19" t="inlineStr">
        <is>
          <t>2</t>
        </is>
      </c>
      <c r="I1860" s="19" t="n"/>
      <c r="J1860" s="19" t="n"/>
      <c r="K1860" s="19" t="inlineStr">
        <is>
          <t>2</t>
        </is>
      </c>
      <c r="L1860" t="inlineStr">
        <is>
          <t>2026-08-08</t>
        </is>
      </c>
      <c r="N1860" t="inlineStr">
        <is>
          <t>IN_SCOPE_FINAL; SOURCE_CFG=IA-ST-CFG-0272; MARKET=SHAWKAT; STATUS=IN OEM / EU PACKAGE</t>
        </is>
      </c>
      <c r="O1860" t="inlineStr">
        <is>
          <t>2026-08-10T19:29:54Z</t>
        </is>
      </c>
      <c r="P1860" t="inlineStr">
        <is>
          <t>2026-08-10T19:29:54Z</t>
        </is>
      </c>
    </row>
    <row r="1861">
      <c r="A1861" s="19" t="inlineStr">
        <is>
          <t>1860</t>
        </is>
      </c>
      <c r="B1861" s="19" t="inlineStr">
        <is>
          <t>SC-1011165-ST-096-STD-04</t>
        </is>
      </c>
      <c r="C1861" t="inlineStr">
        <is>
          <t>1011165 → ST-096-STD-04</t>
        </is>
      </c>
      <c r="D1861" s="19" t="inlineStr">
        <is>
          <t>2</t>
        </is>
      </c>
      <c r="E1861" s="19" t="inlineStr">
        <is>
          <t>241</t>
        </is>
      </c>
      <c r="F1861" s="19" t="inlineStr">
        <is>
          <t>241</t>
        </is>
      </c>
      <c r="G1861" s="19" t="n"/>
      <c r="H1861" s="19" t="inlineStr">
        <is>
          <t>2</t>
        </is>
      </c>
      <c r="I1861" s="19" t="n"/>
      <c r="J1861" s="19" t="n"/>
      <c r="K1861" s="19" t="inlineStr">
        <is>
          <t>2</t>
        </is>
      </c>
      <c r="L1861" t="inlineStr">
        <is>
          <t>2026-08-08</t>
        </is>
      </c>
      <c r="N1861" t="inlineStr">
        <is>
          <t>IN_SCOPE_FINAL; SOURCE_CFG=IA-ST-CFG-0273; MARKET=YURT İÇİ AFM; STATUS=IN OEM / EU PACKAGE</t>
        </is>
      </c>
      <c r="O1861" t="inlineStr">
        <is>
          <t>2026-08-10T19:29:54Z</t>
        </is>
      </c>
      <c r="P1861" t="inlineStr">
        <is>
          <t>2026-08-10T19:29:54Z</t>
        </is>
      </c>
    </row>
    <row r="1862">
      <c r="A1862" s="19" t="inlineStr">
        <is>
          <t>1861</t>
        </is>
      </c>
      <c r="B1862" s="19" t="inlineStr">
        <is>
          <t>SC-1011166-ST-096-STD-04</t>
        </is>
      </c>
      <c r="C1862" t="inlineStr">
        <is>
          <t>1011166 → ST-096-STD-04</t>
        </is>
      </c>
      <c r="D1862" s="19" t="inlineStr">
        <is>
          <t>2</t>
        </is>
      </c>
      <c r="E1862" s="19" t="inlineStr">
        <is>
          <t>242</t>
        </is>
      </c>
      <c r="F1862" s="19" t="inlineStr">
        <is>
          <t>241</t>
        </is>
      </c>
      <c r="G1862" s="19" t="n"/>
      <c r="H1862" s="19" t="inlineStr">
        <is>
          <t>2</t>
        </is>
      </c>
      <c r="I1862" s="19" t="n"/>
      <c r="J1862" s="19" t="n"/>
      <c r="K1862" s="19" t="inlineStr">
        <is>
          <t>2</t>
        </is>
      </c>
      <c r="L1862" t="inlineStr">
        <is>
          <t>2026-08-08</t>
        </is>
      </c>
      <c r="N1862" t="inlineStr">
        <is>
          <t>IN_SCOPE_FINAL; SOURCE_CFG=IA-ST-CFG-0273; MARKET=YURT İÇİ AFM; STATUS=IN OEM / EU PACKAGE</t>
        </is>
      </c>
      <c r="O1862" t="inlineStr">
        <is>
          <t>2026-08-10T19:29:54Z</t>
        </is>
      </c>
      <c r="P1862" t="inlineStr">
        <is>
          <t>2026-08-10T19:29:54Z</t>
        </is>
      </c>
    </row>
    <row r="1863">
      <c r="A1863" s="19" t="inlineStr">
        <is>
          <t>1862</t>
        </is>
      </c>
      <c r="B1863" s="19" t="inlineStr">
        <is>
          <t>SC-1011181-ST-096-STD-04</t>
        </is>
      </c>
      <c r="C1863" t="inlineStr">
        <is>
          <t>1011181 → ST-096-STD-04</t>
        </is>
      </c>
      <c r="D1863" s="19" t="inlineStr">
        <is>
          <t>2</t>
        </is>
      </c>
      <c r="E1863" s="19" t="inlineStr">
        <is>
          <t>256</t>
        </is>
      </c>
      <c r="F1863" s="19" t="inlineStr">
        <is>
          <t>241</t>
        </is>
      </c>
      <c r="G1863" s="19" t="n"/>
      <c r="H1863" s="19" t="inlineStr">
        <is>
          <t>2</t>
        </is>
      </c>
      <c r="I1863" s="19" t="n"/>
      <c r="J1863" s="19" t="n"/>
      <c r="K1863" s="19" t="inlineStr">
        <is>
          <t>2</t>
        </is>
      </c>
      <c r="L1863" t="inlineStr">
        <is>
          <t>2026-08-08</t>
        </is>
      </c>
      <c r="N1863" t="inlineStr">
        <is>
          <t>IN_SCOPE_FINAL; SOURCE_CFG=IA-ST-CFG-0273; MARKET=YURT İÇİ AFM; STATUS=IN OEM / EU PACKAGE</t>
        </is>
      </c>
      <c r="O1863" t="inlineStr">
        <is>
          <t>2026-08-10T19:29:54Z</t>
        </is>
      </c>
      <c r="P1863" t="inlineStr">
        <is>
          <t>2026-08-10T19:29:54Z</t>
        </is>
      </c>
    </row>
    <row r="1864">
      <c r="A1864" s="19" t="inlineStr">
        <is>
          <t>1863</t>
        </is>
      </c>
      <c r="B1864" s="19" t="inlineStr">
        <is>
          <t>SC-1011211-ST-096-STD-04</t>
        </is>
      </c>
      <c r="C1864" t="inlineStr">
        <is>
          <t>1011211 → ST-096-STD-04</t>
        </is>
      </c>
      <c r="D1864" s="19" t="inlineStr">
        <is>
          <t>2</t>
        </is>
      </c>
      <c r="E1864" s="19" t="inlineStr">
        <is>
          <t>276</t>
        </is>
      </c>
      <c r="F1864" s="19" t="inlineStr">
        <is>
          <t>241</t>
        </is>
      </c>
      <c r="G1864" s="19" t="n"/>
      <c r="H1864" s="19" t="inlineStr">
        <is>
          <t>2</t>
        </is>
      </c>
      <c r="I1864" s="19" t="n"/>
      <c r="J1864" s="19" t="n"/>
      <c r="K1864" s="19" t="inlineStr">
        <is>
          <t>2</t>
        </is>
      </c>
      <c r="L1864" t="inlineStr">
        <is>
          <t>2026-08-08</t>
        </is>
      </c>
      <c r="N1864" t="inlineStr">
        <is>
          <t>IN_SCOPE_FINAL; SOURCE_CFG=IA-ST-CFG-0273; MARKET=YURT İÇİ AFM; STATUS=IN OEM / EU PACKAGE</t>
        </is>
      </c>
      <c r="O1864" t="inlineStr">
        <is>
          <t>2026-08-10T19:29:54Z</t>
        </is>
      </c>
      <c r="P1864" t="inlineStr">
        <is>
          <t>2026-08-10T19:29:54Z</t>
        </is>
      </c>
    </row>
    <row r="1865">
      <c r="A1865" s="19" t="inlineStr">
        <is>
          <t>1864</t>
        </is>
      </c>
      <c r="B1865" s="19" t="inlineStr">
        <is>
          <t>SC-1011212-ST-096-STD-04</t>
        </is>
      </c>
      <c r="C1865" t="inlineStr">
        <is>
          <t>1011212 → ST-096-STD-04</t>
        </is>
      </c>
      <c r="D1865" s="19" t="inlineStr">
        <is>
          <t>2</t>
        </is>
      </c>
      <c r="E1865" s="19" t="inlineStr">
        <is>
          <t>277</t>
        </is>
      </c>
      <c r="F1865" s="19" t="inlineStr">
        <is>
          <t>241</t>
        </is>
      </c>
      <c r="G1865" s="19" t="n"/>
      <c r="H1865" s="19" t="inlineStr">
        <is>
          <t>2</t>
        </is>
      </c>
      <c r="I1865" s="19" t="n"/>
      <c r="J1865" s="19" t="n"/>
      <c r="K1865" s="19" t="inlineStr">
        <is>
          <t>2</t>
        </is>
      </c>
      <c r="L1865" t="inlineStr">
        <is>
          <t>2026-08-08</t>
        </is>
      </c>
      <c r="N1865" t="inlineStr">
        <is>
          <t>IN_SCOPE_FINAL; SOURCE_CFG=IA-ST-CFG-0273; MARKET=YURT İÇİ AFM; STATUS=IN OEM / EU PACKAGE</t>
        </is>
      </c>
      <c r="O1865" t="inlineStr">
        <is>
          <t>2026-08-10T19:29:54Z</t>
        </is>
      </c>
      <c r="P1865" t="inlineStr">
        <is>
          <t>2026-08-10T19:29:54Z</t>
        </is>
      </c>
    </row>
    <row r="1866">
      <c r="A1866" s="19" t="inlineStr">
        <is>
          <t>1865</t>
        </is>
      </c>
      <c r="B1866" s="19" t="inlineStr">
        <is>
          <t>SC-1014007-ST-096-STD-04</t>
        </is>
      </c>
      <c r="C1866" t="inlineStr">
        <is>
          <t>1014007 → ST-096-STD-04</t>
        </is>
      </c>
      <c r="D1866" s="19" t="inlineStr">
        <is>
          <t>2</t>
        </is>
      </c>
      <c r="E1866" s="19" t="inlineStr">
        <is>
          <t>1176</t>
        </is>
      </c>
      <c r="F1866" s="19" t="inlineStr">
        <is>
          <t>241</t>
        </is>
      </c>
      <c r="G1866" s="19" t="n"/>
      <c r="H1866" s="19" t="inlineStr">
        <is>
          <t>2</t>
        </is>
      </c>
      <c r="I1866" s="19" t="n"/>
      <c r="J1866" s="19" t="n"/>
      <c r="K1866" s="19" t="inlineStr">
        <is>
          <t>2</t>
        </is>
      </c>
      <c r="L1866" t="inlineStr">
        <is>
          <t>2026-08-08</t>
        </is>
      </c>
      <c r="N1866" t="inlineStr">
        <is>
          <t>IN_SCOPE_FINAL; SOURCE_CFG=IA-ST-CFG-0273; MARKET=YURT İÇİ AFM; STATUS=IN OEM / EU PACKAGE</t>
        </is>
      </c>
      <c r="O1866" t="inlineStr">
        <is>
          <t>2026-08-10T19:29:54Z</t>
        </is>
      </c>
      <c r="P1866" t="inlineStr">
        <is>
          <t>2026-08-10T19:29:54Z</t>
        </is>
      </c>
    </row>
    <row r="1867">
      <c r="A1867" s="19" t="inlineStr">
        <is>
          <t>1866</t>
        </is>
      </c>
      <c r="B1867" s="19" t="inlineStr">
        <is>
          <t>SC-1014197-ST-096-STD-04</t>
        </is>
      </c>
      <c r="C1867" t="inlineStr">
        <is>
          <t>1014197 → ST-096-STD-04</t>
        </is>
      </c>
      <c r="D1867" s="19" t="inlineStr">
        <is>
          <t>2</t>
        </is>
      </c>
      <c r="E1867" s="19" t="inlineStr">
        <is>
          <t>1264</t>
        </is>
      </c>
      <c r="F1867" s="19" t="inlineStr">
        <is>
          <t>241</t>
        </is>
      </c>
      <c r="G1867" s="19" t="n"/>
      <c r="H1867" s="19" t="inlineStr">
        <is>
          <t>2</t>
        </is>
      </c>
      <c r="I1867" s="19" t="n"/>
      <c r="J1867" s="19" t="n"/>
      <c r="K1867" s="19" t="inlineStr">
        <is>
          <t>2</t>
        </is>
      </c>
      <c r="L1867" t="inlineStr">
        <is>
          <t>2026-08-08</t>
        </is>
      </c>
      <c r="N1867" t="inlineStr">
        <is>
          <t>IN_SCOPE_FINAL; SOURCE_CFG=IA-ST-CFG-0273; MARKET=YURT İÇİ AFM; STATUS=IN OEM / EU PACKAGE</t>
        </is>
      </c>
      <c r="O1867" t="inlineStr">
        <is>
          <t>2026-08-10T19:29:54Z</t>
        </is>
      </c>
      <c r="P1867" t="inlineStr">
        <is>
          <t>2026-08-10T19:29:54Z</t>
        </is>
      </c>
    </row>
    <row r="1868">
      <c r="A1868" s="19" t="inlineStr">
        <is>
          <t>1867</t>
        </is>
      </c>
      <c r="B1868" s="19" t="inlineStr">
        <is>
          <t>SC-1014378-ST-096-STD-04</t>
        </is>
      </c>
      <c r="C1868" t="inlineStr">
        <is>
          <t>1014378 → ST-096-STD-04</t>
        </is>
      </c>
      <c r="D1868" s="19" t="inlineStr">
        <is>
          <t>2</t>
        </is>
      </c>
      <c r="E1868" s="19" t="inlineStr">
        <is>
          <t>1333</t>
        </is>
      </c>
      <c r="F1868" s="19" t="inlineStr">
        <is>
          <t>241</t>
        </is>
      </c>
      <c r="G1868" s="19" t="n"/>
      <c r="H1868" s="19" t="inlineStr">
        <is>
          <t>2</t>
        </is>
      </c>
      <c r="I1868" s="19" t="n"/>
      <c r="J1868" s="19" t="n"/>
      <c r="K1868" s="19" t="inlineStr">
        <is>
          <t>2</t>
        </is>
      </c>
      <c r="L1868" t="inlineStr">
        <is>
          <t>2026-08-08</t>
        </is>
      </c>
      <c r="N1868" t="inlineStr">
        <is>
          <t>IN_SCOPE_FINAL; SOURCE_CFG=IA-ST-CFG-0273; MARKET=YURT İÇİ AFM; STATUS=IN OEM / EU PACKAGE</t>
        </is>
      </c>
      <c r="O1868" t="inlineStr">
        <is>
          <t>2026-08-10T19:29:54Z</t>
        </is>
      </c>
      <c r="P1868" t="inlineStr">
        <is>
          <t>2026-08-10T19:29:54Z</t>
        </is>
      </c>
    </row>
    <row r="1869">
      <c r="A1869" s="19" t="inlineStr">
        <is>
          <t>1868</t>
        </is>
      </c>
      <c r="B1869" s="19" t="inlineStr">
        <is>
          <t>SC-1012443-ST-096-STD-05</t>
        </is>
      </c>
      <c r="C1869" t="inlineStr">
        <is>
          <t>1012443 → ST-096-STD-05</t>
        </is>
      </c>
      <c r="D1869" s="19" t="inlineStr">
        <is>
          <t>2</t>
        </is>
      </c>
      <c r="E1869" s="19" t="inlineStr">
        <is>
          <t>645</t>
        </is>
      </c>
      <c r="F1869" s="19" t="inlineStr">
        <is>
          <t>242</t>
        </is>
      </c>
      <c r="G1869" s="19" t="n"/>
      <c r="H1869" s="19" t="inlineStr">
        <is>
          <t>2</t>
        </is>
      </c>
      <c r="I1869" s="19" t="n"/>
      <c r="J1869" s="19" t="n"/>
      <c r="K1869" s="19" t="inlineStr">
        <is>
          <t>2</t>
        </is>
      </c>
      <c r="L1869" t="inlineStr">
        <is>
          <t>2026-08-08</t>
        </is>
      </c>
      <c r="N1869" t="inlineStr">
        <is>
          <t>IN_SCOPE_FINAL; SOURCE_CFG=IA-ST-CFG-0274; MARKET=SCHNAPP; STATUS=IN OEM / EU PACKAGE</t>
        </is>
      </c>
      <c r="O1869" t="inlineStr">
        <is>
          <t>2026-08-10T19:29:54Z</t>
        </is>
      </c>
      <c r="P1869" t="inlineStr">
        <is>
          <t>2026-08-10T19:29:54Z</t>
        </is>
      </c>
    </row>
    <row r="1870">
      <c r="A1870" s="19" t="inlineStr">
        <is>
          <t>1869</t>
        </is>
      </c>
      <c r="B1870" s="19" t="inlineStr">
        <is>
          <t>SC-1012444-ST-096-STD-05</t>
        </is>
      </c>
      <c r="C1870" t="inlineStr">
        <is>
          <t>1012444 → ST-096-STD-05</t>
        </is>
      </c>
      <c r="D1870" s="19" t="inlineStr">
        <is>
          <t>2</t>
        </is>
      </c>
      <c r="E1870" s="19" t="inlineStr">
        <is>
          <t>646</t>
        </is>
      </c>
      <c r="F1870" s="19" t="inlineStr">
        <is>
          <t>242</t>
        </is>
      </c>
      <c r="G1870" s="19" t="n"/>
      <c r="H1870" s="19" t="inlineStr">
        <is>
          <t>2</t>
        </is>
      </c>
      <c r="I1870" s="19" t="n"/>
      <c r="J1870" s="19" t="n"/>
      <c r="K1870" s="19" t="inlineStr">
        <is>
          <t>2</t>
        </is>
      </c>
      <c r="L1870" t="inlineStr">
        <is>
          <t>2026-08-08</t>
        </is>
      </c>
      <c r="N1870" t="inlineStr">
        <is>
          <t>IN_SCOPE_FINAL; SOURCE_CFG=IA-ST-CFG-0274; MARKET=SCHNAPP; STATUS=IN OEM / EU PACKAGE</t>
        </is>
      </c>
      <c r="O1870" t="inlineStr">
        <is>
          <t>2026-08-10T19:29:54Z</t>
        </is>
      </c>
      <c r="P1870" t="inlineStr">
        <is>
          <t>2026-08-10T19:29:54Z</t>
        </is>
      </c>
    </row>
    <row r="1871">
      <c r="A1871" s="19" t="inlineStr">
        <is>
          <t>1870</t>
        </is>
      </c>
      <c r="B1871" s="19" t="inlineStr">
        <is>
          <t>SC-1012457-ST-096-STD-05</t>
        </is>
      </c>
      <c r="C1871" t="inlineStr">
        <is>
          <t>1012457 → ST-096-STD-05</t>
        </is>
      </c>
      <c r="D1871" s="19" t="inlineStr">
        <is>
          <t>2</t>
        </is>
      </c>
      <c r="E1871" s="19" t="inlineStr">
        <is>
          <t>654</t>
        </is>
      </c>
      <c r="F1871" s="19" t="inlineStr">
        <is>
          <t>242</t>
        </is>
      </c>
      <c r="G1871" s="19" t="n"/>
      <c r="H1871" s="19" t="inlineStr">
        <is>
          <t>2</t>
        </is>
      </c>
      <c r="I1871" s="19" t="n"/>
      <c r="J1871" s="19" t="n"/>
      <c r="K1871" s="19" t="inlineStr">
        <is>
          <t>2</t>
        </is>
      </c>
      <c r="L1871" t="inlineStr">
        <is>
          <t>2026-08-08</t>
        </is>
      </c>
      <c r="N1871" t="inlineStr">
        <is>
          <t>IN_SCOPE_FINAL; SOURCE_CFG=IA-ST-CFG-0274; MARKET=SCHNAPP; STATUS=IN OEM / EU PACKAGE</t>
        </is>
      </c>
      <c r="O1871" t="inlineStr">
        <is>
          <t>2026-08-10T19:29:54Z</t>
        </is>
      </c>
      <c r="P1871" t="inlineStr">
        <is>
          <t>2026-08-10T19:29:54Z</t>
        </is>
      </c>
    </row>
    <row r="1872">
      <c r="A1872" s="19" t="inlineStr">
        <is>
          <t>1871</t>
        </is>
      </c>
      <c r="B1872" s="19" t="inlineStr">
        <is>
          <t>SC-1012458-ST-096-STD-05</t>
        </is>
      </c>
      <c r="C1872" t="inlineStr">
        <is>
          <t>1012458 → ST-096-STD-05</t>
        </is>
      </c>
      <c r="D1872" s="19" t="inlineStr">
        <is>
          <t>2</t>
        </is>
      </c>
      <c r="E1872" s="19" t="inlineStr">
        <is>
          <t>655</t>
        </is>
      </c>
      <c r="F1872" s="19" t="inlineStr">
        <is>
          <t>242</t>
        </is>
      </c>
      <c r="G1872" s="19" t="n"/>
      <c r="H1872" s="19" t="inlineStr">
        <is>
          <t>2</t>
        </is>
      </c>
      <c r="I1872" s="19" t="n"/>
      <c r="J1872" s="19" t="n"/>
      <c r="K1872" s="19" t="inlineStr">
        <is>
          <t>2</t>
        </is>
      </c>
      <c r="L1872" t="inlineStr">
        <is>
          <t>2026-08-08</t>
        </is>
      </c>
      <c r="N1872" t="inlineStr">
        <is>
          <t>IN_SCOPE_FINAL; SOURCE_CFG=IA-ST-CFG-0274; MARKET=SCHNAPP; STATUS=IN OEM / EU PACKAGE</t>
        </is>
      </c>
      <c r="O1872" t="inlineStr">
        <is>
          <t>2026-08-10T19:29:54Z</t>
        </is>
      </c>
      <c r="P1872" t="inlineStr">
        <is>
          <t>2026-08-10T19:29:54Z</t>
        </is>
      </c>
    </row>
    <row r="1873">
      <c r="A1873" s="19" t="inlineStr">
        <is>
          <t>1872</t>
        </is>
      </c>
      <c r="B1873" s="19" t="inlineStr">
        <is>
          <t>SC-1012464-ST-096-STD-05</t>
        </is>
      </c>
      <c r="C1873" t="inlineStr">
        <is>
          <t>1012464 → ST-096-STD-05</t>
        </is>
      </c>
      <c r="D1873" s="19" t="inlineStr">
        <is>
          <t>2</t>
        </is>
      </c>
      <c r="E1873" s="19" t="inlineStr">
        <is>
          <t>656</t>
        </is>
      </c>
      <c r="F1873" s="19" t="inlineStr">
        <is>
          <t>242</t>
        </is>
      </c>
      <c r="G1873" s="19" t="n"/>
      <c r="H1873" s="19" t="inlineStr">
        <is>
          <t>2</t>
        </is>
      </c>
      <c r="I1873" s="19" t="n"/>
      <c r="J1873" s="19" t="n"/>
      <c r="K1873" s="19" t="inlineStr">
        <is>
          <t>2</t>
        </is>
      </c>
      <c r="L1873" t="inlineStr">
        <is>
          <t>2026-08-08</t>
        </is>
      </c>
      <c r="N1873" t="inlineStr">
        <is>
          <t>IN_SCOPE_FINAL; SOURCE_CFG=IA-ST-CFG-0274; MARKET=SCHNAPP; STATUS=IN OEM / EU PACKAGE</t>
        </is>
      </c>
      <c r="O1873" t="inlineStr">
        <is>
          <t>2026-08-10T19:29:54Z</t>
        </is>
      </c>
      <c r="P1873" t="inlineStr">
        <is>
          <t>2026-08-10T19:29:54Z</t>
        </is>
      </c>
    </row>
    <row r="1874">
      <c r="A1874" s="19" t="inlineStr">
        <is>
          <t>1873</t>
        </is>
      </c>
      <c r="B1874" s="19" t="inlineStr">
        <is>
          <t>SC-1012465-ST-096-STD-05</t>
        </is>
      </c>
      <c r="C1874" t="inlineStr">
        <is>
          <t>1012465 → ST-096-STD-05</t>
        </is>
      </c>
      <c r="D1874" s="19" t="inlineStr">
        <is>
          <t>2</t>
        </is>
      </c>
      <c r="E1874" s="19" t="inlineStr">
        <is>
          <t>657</t>
        </is>
      </c>
      <c r="F1874" s="19" t="inlineStr">
        <is>
          <t>242</t>
        </is>
      </c>
      <c r="G1874" s="19" t="n"/>
      <c r="H1874" s="19" t="inlineStr">
        <is>
          <t>2</t>
        </is>
      </c>
      <c r="I1874" s="19" t="n"/>
      <c r="J1874" s="19" t="n"/>
      <c r="K1874" s="19" t="inlineStr">
        <is>
          <t>2</t>
        </is>
      </c>
      <c r="L1874" t="inlineStr">
        <is>
          <t>2026-08-08</t>
        </is>
      </c>
      <c r="N1874" t="inlineStr">
        <is>
          <t>IN_SCOPE_FINAL; SOURCE_CFG=IA-ST-CFG-0274; MARKET=SCHNAPP; STATUS=IN OEM / EU PACKAGE</t>
        </is>
      </c>
      <c r="O1874" t="inlineStr">
        <is>
          <t>2026-08-10T19:29:54Z</t>
        </is>
      </c>
      <c r="P1874" t="inlineStr">
        <is>
          <t>2026-08-10T19:29:54Z</t>
        </is>
      </c>
    </row>
    <row r="1875">
      <c r="A1875" s="19" t="inlineStr">
        <is>
          <t>1874</t>
        </is>
      </c>
      <c r="B1875" s="19" t="inlineStr">
        <is>
          <t>SC-1013531-ST-096-EUR-07</t>
        </is>
      </c>
      <c r="C1875" t="inlineStr">
        <is>
          <t>1013531 → ST-096-EUR-07</t>
        </is>
      </c>
      <c r="D1875" s="19" t="inlineStr">
        <is>
          <t>2</t>
        </is>
      </c>
      <c r="E1875" s="19" t="inlineStr">
        <is>
          <t>1022</t>
        </is>
      </c>
      <c r="F1875" s="19" t="inlineStr">
        <is>
          <t>234</t>
        </is>
      </c>
      <c r="G1875" s="19" t="n"/>
      <c r="H1875" s="19" t="inlineStr">
        <is>
          <t>2</t>
        </is>
      </c>
      <c r="I1875" s="19" t="n"/>
      <c r="J1875" s="19" t="n"/>
      <c r="K1875" s="19" t="inlineStr">
        <is>
          <t>2</t>
        </is>
      </c>
      <c r="L1875" t="inlineStr">
        <is>
          <t>2026-08-08</t>
        </is>
      </c>
      <c r="N1875" t="inlineStr">
        <is>
          <t>IN_SCOPE_FINAL; SOURCE_CFG=IA-ST-CFG-0275; MARKET=SKG İTALYA; STATUS=IN OEM / EU PACKAGE</t>
        </is>
      </c>
      <c r="O1875" t="inlineStr">
        <is>
          <t>2026-08-10T19:29:54Z</t>
        </is>
      </c>
      <c r="P1875" t="inlineStr">
        <is>
          <t>2026-08-10T19:29:54Z</t>
        </is>
      </c>
    </row>
    <row r="1876">
      <c r="A1876" s="19" t="inlineStr">
        <is>
          <t>1875</t>
        </is>
      </c>
      <c r="B1876" s="19" t="inlineStr">
        <is>
          <t>SC-1015167-ST-096-EUR-07</t>
        </is>
      </c>
      <c r="C1876" t="inlineStr">
        <is>
          <t>1015167 → ST-096-EUR-07</t>
        </is>
      </c>
      <c r="D1876" s="19" t="inlineStr">
        <is>
          <t>2</t>
        </is>
      </c>
      <c r="E1876" s="19" t="inlineStr">
        <is>
          <t>1913</t>
        </is>
      </c>
      <c r="F1876" s="19" t="inlineStr">
        <is>
          <t>234</t>
        </is>
      </c>
      <c r="G1876" s="19" t="n"/>
      <c r="H1876" s="19" t="inlineStr">
        <is>
          <t>2</t>
        </is>
      </c>
      <c r="I1876" s="19" t="n"/>
      <c r="J1876" s="19" t="n"/>
      <c r="K1876" s="19" t="inlineStr">
        <is>
          <t>2</t>
        </is>
      </c>
      <c r="L1876" t="inlineStr">
        <is>
          <t>2026-08-08</t>
        </is>
      </c>
      <c r="N1876" t="inlineStr">
        <is>
          <t>IN_SCOPE_FINAL; SOURCE_CFG=IA-ST-CFG-0275; MARKET=SKG İTALYA; STATUS=IN OEM / EU PACKAGE</t>
        </is>
      </c>
      <c r="O1876" t="inlineStr">
        <is>
          <t>2026-08-10T19:29:54Z</t>
        </is>
      </c>
      <c r="P1876" t="inlineStr">
        <is>
          <t>2026-08-10T19:29:54Z</t>
        </is>
      </c>
    </row>
    <row r="1877">
      <c r="A1877" s="19" t="inlineStr">
        <is>
          <t>1876</t>
        </is>
      </c>
      <c r="B1877" s="19" t="inlineStr">
        <is>
          <t>SC-1013440-ST-096-EUR-08</t>
        </is>
      </c>
      <c r="C1877" t="inlineStr">
        <is>
          <t>1013440 → ST-096-EUR-08</t>
        </is>
      </c>
      <c r="D1877" s="19" t="inlineStr">
        <is>
          <t>2</t>
        </is>
      </c>
      <c r="E1877" s="19" t="inlineStr">
        <is>
          <t>998</t>
        </is>
      </c>
      <c r="F1877" s="19" t="inlineStr">
        <is>
          <t>235</t>
        </is>
      </c>
      <c r="G1877" s="19" t="n"/>
      <c r="H1877" s="19" t="inlineStr">
        <is>
          <t>2</t>
        </is>
      </c>
      <c r="I1877" s="19" t="n"/>
      <c r="J1877" s="19" t="n"/>
      <c r="K1877" s="19" t="inlineStr">
        <is>
          <t>2</t>
        </is>
      </c>
      <c r="L1877" t="inlineStr">
        <is>
          <t>2026-08-08</t>
        </is>
      </c>
      <c r="N1877" t="inlineStr">
        <is>
          <t>IN_SCOPE_FINAL; SOURCE_CFG=IA-ST-CFG-0276; MARKET=None; STATUS=IN OEM / EU PACKAGE</t>
        </is>
      </c>
      <c r="O1877" t="inlineStr">
        <is>
          <t>2026-08-10T19:29:54Z</t>
        </is>
      </c>
      <c r="P1877" t="inlineStr">
        <is>
          <t>2026-08-10T19:29:54Z</t>
        </is>
      </c>
    </row>
    <row r="1878">
      <c r="A1878" s="19" t="inlineStr">
        <is>
          <t>1877</t>
        </is>
      </c>
      <c r="B1878" s="19" t="inlineStr">
        <is>
          <t>SC-1014390-ST-096-EUR-08</t>
        </is>
      </c>
      <c r="C1878" t="inlineStr">
        <is>
          <t>1014390 → ST-096-EUR-08</t>
        </is>
      </c>
      <c r="D1878" s="19" t="inlineStr">
        <is>
          <t>2</t>
        </is>
      </c>
      <c r="E1878" s="19" t="inlineStr">
        <is>
          <t>1340</t>
        </is>
      </c>
      <c r="F1878" s="19" t="inlineStr">
        <is>
          <t>235</t>
        </is>
      </c>
      <c r="G1878" s="19" t="n"/>
      <c r="H1878" s="19" t="inlineStr">
        <is>
          <t>2</t>
        </is>
      </c>
      <c r="I1878" s="19" t="n"/>
      <c r="J1878" s="19" t="n"/>
      <c r="K1878" s="19" t="inlineStr">
        <is>
          <t>2</t>
        </is>
      </c>
      <c r="L1878" t="inlineStr">
        <is>
          <t>2026-08-08</t>
        </is>
      </c>
      <c r="N1878" t="inlineStr">
        <is>
          <t>IN_SCOPE_FINAL; SOURCE_CFG=IA-ST-CFG-0276; MARKET=None; STATUS=IN OEM / EU PACKAGE</t>
        </is>
      </c>
      <c r="O1878" t="inlineStr">
        <is>
          <t>2026-08-10T19:29:54Z</t>
        </is>
      </c>
      <c r="P1878" t="inlineStr">
        <is>
          <t>2026-08-10T19:29:54Z</t>
        </is>
      </c>
    </row>
    <row r="1879">
      <c r="A1879" s="19" t="inlineStr">
        <is>
          <t>1878</t>
        </is>
      </c>
      <c r="B1879" s="19" t="inlineStr">
        <is>
          <t>SC-1012879-ST-096-EUR-09</t>
        </is>
      </c>
      <c r="C1879" t="inlineStr">
        <is>
          <t>1012879 → ST-096-EUR-09</t>
        </is>
      </c>
      <c r="D1879" s="19" t="inlineStr">
        <is>
          <t>2</t>
        </is>
      </c>
      <c r="E1879" s="19" t="inlineStr">
        <is>
          <t>836</t>
        </is>
      </c>
      <c r="F1879" s="19" t="inlineStr">
        <is>
          <t>236</t>
        </is>
      </c>
      <c r="G1879" s="19" t="n"/>
      <c r="H1879" s="19" t="inlineStr">
        <is>
          <t>2</t>
        </is>
      </c>
      <c r="I1879" s="19" t="n"/>
      <c r="J1879" s="19" t="n"/>
      <c r="K1879" s="19" t="inlineStr">
        <is>
          <t>2</t>
        </is>
      </c>
      <c r="L1879" t="inlineStr">
        <is>
          <t>2026-08-08</t>
        </is>
      </c>
      <c r="N1879" t="inlineStr">
        <is>
          <t>IN_SCOPE_FINAL; SOURCE_CFG=IA-ST-CFG-0277; MARKET=LAMPA ITALY İTALYA; STATUS=IN OEM / EU PACKAGE</t>
        </is>
      </c>
      <c r="O1879" t="inlineStr">
        <is>
          <t>2026-08-10T19:29:54Z</t>
        </is>
      </c>
      <c r="P1879" t="inlineStr">
        <is>
          <t>2026-08-10T19:29:54Z</t>
        </is>
      </c>
    </row>
    <row r="1880">
      <c r="A1880" s="19" t="inlineStr">
        <is>
          <t>1879</t>
        </is>
      </c>
      <c r="B1880" s="19" t="inlineStr">
        <is>
          <t>SC-1014815-ST-096-EUR-10</t>
        </is>
      </c>
      <c r="C1880" t="inlineStr">
        <is>
          <t>1014815 → ST-096-EUR-10</t>
        </is>
      </c>
      <c r="D1880" s="19" t="inlineStr">
        <is>
          <t>2</t>
        </is>
      </c>
      <c r="E1880" s="19" t="inlineStr">
        <is>
          <t>1620</t>
        </is>
      </c>
      <c r="F1880" s="19" t="inlineStr">
        <is>
          <t>237</t>
        </is>
      </c>
      <c r="G1880" s="19" t="n"/>
      <c r="H1880" s="19" t="inlineStr">
        <is>
          <t>2</t>
        </is>
      </c>
      <c r="I1880" s="19" t="n"/>
      <c r="J1880" s="19" t="n"/>
      <c r="K1880" s="19" t="inlineStr">
        <is>
          <t>2</t>
        </is>
      </c>
      <c r="L1880" t="inlineStr">
        <is>
          <t>2026-08-08</t>
        </is>
      </c>
      <c r="N1880" t="inlineStr">
        <is>
          <t>IN_SCOPE_FINAL; SOURCE_CFG=IA-ST-CFG-0278; MARKET=CAR PARTS DISTRIBUZIONE İTALYA; STATUS=IN OEM / EU PACKAGE</t>
        </is>
      </c>
      <c r="O1880" t="inlineStr">
        <is>
          <t>2026-08-10T19:29:54Z</t>
        </is>
      </c>
      <c r="P1880" t="inlineStr">
        <is>
          <t>2026-08-10T19:29:54Z</t>
        </is>
      </c>
    </row>
    <row r="1881">
      <c r="A1881" s="19" t="inlineStr">
        <is>
          <t>1880</t>
        </is>
      </c>
      <c r="B1881" s="19" t="inlineStr">
        <is>
          <t>SC-1011830-ST-105-STD-01</t>
        </is>
      </c>
      <c r="C1881" t="inlineStr">
        <is>
          <t>1011830 → ST-105-STD-01</t>
        </is>
      </c>
      <c r="D1881" s="19" t="inlineStr">
        <is>
          <t>2</t>
        </is>
      </c>
      <c r="E1881" s="19" t="inlineStr">
        <is>
          <t>365</t>
        </is>
      </c>
      <c r="F1881" s="19" t="inlineStr">
        <is>
          <t>243</t>
        </is>
      </c>
      <c r="G1881" s="19" t="n"/>
      <c r="H1881" s="19" t="inlineStr">
        <is>
          <t>2</t>
        </is>
      </c>
      <c r="I1881" s="19" t="n"/>
      <c r="J1881" s="19" t="n"/>
      <c r="K1881" s="19" t="inlineStr">
        <is>
          <t>2</t>
        </is>
      </c>
      <c r="L1881" t="inlineStr">
        <is>
          <t>2026-08-08</t>
        </is>
      </c>
      <c r="N1881" t="inlineStr">
        <is>
          <t>IN_SCOPE_FINAL; SOURCE_CFG=IA-ST-CFG-0282; MARKET=MISIR ATWAN; STATUS=IN OEM / EU PACKAGE</t>
        </is>
      </c>
      <c r="O1881" t="inlineStr">
        <is>
          <t>2026-08-10T19:29:54Z</t>
        </is>
      </c>
      <c r="P1881" t="inlineStr">
        <is>
          <t>2026-08-10T19:29:54Z</t>
        </is>
      </c>
    </row>
    <row r="1882">
      <c r="A1882" s="19" t="inlineStr">
        <is>
          <t>1881</t>
        </is>
      </c>
      <c r="B1882" s="19" t="inlineStr">
        <is>
          <t>SC-1013123-ST-105-STD-02</t>
        </is>
      </c>
      <c r="C1882" t="inlineStr">
        <is>
          <t>1013123 → ST-105-STD-02</t>
        </is>
      </c>
      <c r="D1882" s="19" t="inlineStr">
        <is>
          <t>2</t>
        </is>
      </c>
      <c r="E1882" s="19" t="inlineStr">
        <is>
          <t>923</t>
        </is>
      </c>
      <c r="F1882" s="19" t="inlineStr">
        <is>
          <t>244</t>
        </is>
      </c>
      <c r="G1882" s="19" t="n"/>
      <c r="H1882" s="19" t="inlineStr">
        <is>
          <t>2</t>
        </is>
      </c>
      <c r="I1882" s="19" t="n"/>
      <c r="J1882" s="19" t="n"/>
      <c r="K1882" s="19" t="inlineStr">
        <is>
          <t>2</t>
        </is>
      </c>
      <c r="L1882" t="inlineStr">
        <is>
          <t>2026-08-08</t>
        </is>
      </c>
      <c r="N1882" t="inlineStr">
        <is>
          <t>IN_SCOPE_FINAL; SOURCE_CFG=IA-ST-CFG-0283; MARKET=REDMAY URUGUAY; STATUS=IN OEM / EU PACKAGE</t>
        </is>
      </c>
      <c r="O1882" t="inlineStr">
        <is>
          <t>2026-08-10T19:29:54Z</t>
        </is>
      </c>
      <c r="P1882" t="inlineStr">
        <is>
          <t>2026-08-10T19:29:54Z</t>
        </is>
      </c>
    </row>
    <row r="1883">
      <c r="A1883" s="19" t="inlineStr">
        <is>
          <t>1882</t>
        </is>
      </c>
      <c r="B1883" s="19" t="inlineStr">
        <is>
          <t>SC-1011832-ST-120-STD-01</t>
        </is>
      </c>
      <c r="C1883" t="inlineStr">
        <is>
          <t>1011832 → ST-120-STD-01</t>
        </is>
      </c>
      <c r="D1883" s="19" t="inlineStr">
        <is>
          <t>2</t>
        </is>
      </c>
      <c r="E1883" s="19" t="inlineStr">
        <is>
          <t>367</t>
        </is>
      </c>
      <c r="F1883" s="19" t="inlineStr">
        <is>
          <t>245</t>
        </is>
      </c>
      <c r="G1883" s="19" t="n"/>
      <c r="H1883" s="19" t="inlineStr">
        <is>
          <t>2</t>
        </is>
      </c>
      <c r="I1883" s="19" t="n"/>
      <c r="J1883" s="19" t="n"/>
      <c r="K1883" s="19" t="inlineStr">
        <is>
          <t>2</t>
        </is>
      </c>
      <c r="L1883" t="inlineStr">
        <is>
          <t>2026-08-08</t>
        </is>
      </c>
      <c r="N1883" t="inlineStr">
        <is>
          <t>IN_SCOPE_FINAL; SOURCE_CFG=IA-ST-CFG-0284; MARKET=None; STATUS=IN OEM / EU PACKAGE</t>
        </is>
      </c>
      <c r="O1883" t="inlineStr">
        <is>
          <t>2026-08-10T19:29:54Z</t>
        </is>
      </c>
      <c r="P1883" t="inlineStr">
        <is>
          <t>2026-08-10T19:29:54Z</t>
        </is>
      </c>
    </row>
    <row r="1884">
      <c r="A1884" s="19" t="inlineStr">
        <is>
          <t>1883</t>
        </is>
      </c>
      <c r="B1884" s="19" t="inlineStr">
        <is>
          <t>SC-1014817-ST-120-STD-01</t>
        </is>
      </c>
      <c r="C1884" t="inlineStr">
        <is>
          <t>1014817 → ST-120-STD-01</t>
        </is>
      </c>
      <c r="D1884" s="19" t="inlineStr">
        <is>
          <t>2</t>
        </is>
      </c>
      <c r="E1884" s="19" t="inlineStr">
        <is>
          <t>1622</t>
        </is>
      </c>
      <c r="F1884" s="19" t="inlineStr">
        <is>
          <t>245</t>
        </is>
      </c>
      <c r="G1884" s="19" t="n"/>
      <c r="H1884" s="19" t="inlineStr">
        <is>
          <t>2</t>
        </is>
      </c>
      <c r="I1884" s="19" t="n"/>
      <c r="J1884" s="19" t="n"/>
      <c r="K1884" s="19" t="inlineStr">
        <is>
          <t>2</t>
        </is>
      </c>
      <c r="L1884" t="inlineStr">
        <is>
          <t>2026-08-08</t>
        </is>
      </c>
      <c r="N1884" t="inlineStr">
        <is>
          <t>IN_SCOPE_FINAL; SOURCE_CFG=IA-ST-CFG-0284; MARKET=REDMAY URUGUAY; STATUS=IN OEM / EU PACKAGE</t>
        </is>
      </c>
      <c r="O1884" t="inlineStr">
        <is>
          <t>2026-08-10T19:29:54Z</t>
        </is>
      </c>
      <c r="P1884" t="inlineStr">
        <is>
          <t>2026-08-10T19:29:54Z</t>
        </is>
      </c>
    </row>
    <row r="1885">
      <c r="A1885" s="19" t="inlineStr">
        <is>
          <t>1884</t>
        </is>
      </c>
      <c r="B1885" s="19" t="inlineStr">
        <is>
          <t>SC-1014821-ST-120-STD-01</t>
        </is>
      </c>
      <c r="C1885" t="inlineStr">
        <is>
          <t>1014821 → ST-120-STD-01</t>
        </is>
      </c>
      <c r="D1885" s="19" t="inlineStr">
        <is>
          <t>2</t>
        </is>
      </c>
      <c r="E1885" s="19" t="inlineStr">
        <is>
          <t>1626</t>
        </is>
      </c>
      <c r="F1885" s="19" t="inlineStr">
        <is>
          <t>245</t>
        </is>
      </c>
      <c r="G1885" s="19" t="n"/>
      <c r="H1885" s="19" t="inlineStr">
        <is>
          <t>2</t>
        </is>
      </c>
      <c r="I1885" s="19" t="n"/>
      <c r="J1885" s="19" t="n"/>
      <c r="K1885" s="19" t="inlineStr">
        <is>
          <t>2</t>
        </is>
      </c>
      <c r="L1885" t="inlineStr">
        <is>
          <t>2026-08-08</t>
        </is>
      </c>
      <c r="N1885" t="inlineStr">
        <is>
          <t>IN_SCOPE_FINAL; SOURCE_CFG=IA-ST-CFG-0284; MARKET=None; STATUS=IN OEM / EU PACKAGE</t>
        </is>
      </c>
      <c r="O1885" t="inlineStr">
        <is>
          <t>2026-08-10T19:29:54Z</t>
        </is>
      </c>
      <c r="P1885" t="inlineStr">
        <is>
          <t>2026-08-10T19:29:54Z</t>
        </is>
      </c>
    </row>
    <row r="1886">
      <c r="A1886" s="19" t="inlineStr">
        <is>
          <t>1885</t>
        </is>
      </c>
      <c r="B1886" s="19" t="inlineStr">
        <is>
          <t>SC-1014989-ST-120-STD-01</t>
        </is>
      </c>
      <c r="C1886" t="inlineStr">
        <is>
          <t>1014989 → ST-120-STD-01</t>
        </is>
      </c>
      <c r="D1886" s="19" t="inlineStr">
        <is>
          <t>2</t>
        </is>
      </c>
      <c r="E1886" s="19" t="inlineStr">
        <is>
          <t>1750</t>
        </is>
      </c>
      <c r="F1886" s="19" t="inlineStr">
        <is>
          <t>245</t>
        </is>
      </c>
      <c r="G1886" s="19" t="n"/>
      <c r="H1886" s="19" t="inlineStr">
        <is>
          <t>2</t>
        </is>
      </c>
      <c r="I1886" s="19" t="n"/>
      <c r="J1886" s="19" t="n"/>
      <c r="K1886" s="19" t="inlineStr">
        <is>
          <t>2</t>
        </is>
      </c>
      <c r="L1886" t="inlineStr">
        <is>
          <t>2026-08-08</t>
        </is>
      </c>
      <c r="N1886" t="inlineStr">
        <is>
          <t>IN_SCOPE_FINAL; SOURCE_CFG=IA-ST-CFG-0284; MARKET=None; STATUS=IN OEM / EU PACKAGE</t>
        </is>
      </c>
      <c r="O1886" t="inlineStr">
        <is>
          <t>2026-08-10T19:29:54Z</t>
        </is>
      </c>
      <c r="P1886" t="inlineStr">
        <is>
          <t>2026-08-10T19:29:54Z</t>
        </is>
      </c>
    </row>
    <row r="1887">
      <c r="A1887" s="19" t="inlineStr">
        <is>
          <t>1886</t>
        </is>
      </c>
      <c r="B1887" s="19" t="inlineStr">
        <is>
          <t>SC-1015134-ST-120-STD-01</t>
        </is>
      </c>
      <c r="C1887" t="inlineStr">
        <is>
          <t>1015134 → ST-120-STD-01</t>
        </is>
      </c>
      <c r="D1887" s="19" t="inlineStr">
        <is>
          <t>2</t>
        </is>
      </c>
      <c r="E1887" s="19" t="inlineStr">
        <is>
          <t>1883</t>
        </is>
      </c>
      <c r="F1887" s="19" t="inlineStr">
        <is>
          <t>245</t>
        </is>
      </c>
      <c r="G1887" s="19" t="n"/>
      <c r="H1887" s="19" t="inlineStr">
        <is>
          <t>2</t>
        </is>
      </c>
      <c r="I1887" s="19" t="n"/>
      <c r="J1887" s="19" t="n"/>
      <c r="K1887" s="19" t="inlineStr">
        <is>
          <t>2</t>
        </is>
      </c>
      <c r="L1887" t="inlineStr">
        <is>
          <t>2026-08-08</t>
        </is>
      </c>
      <c r="N1887" t="inlineStr">
        <is>
          <t>IN_SCOPE_FINAL; SOURCE_CFG=IA-ST-CFG-0284; MARKET=None; STATUS=IN OEM / EU PACKAGE</t>
        </is>
      </c>
      <c r="O1887" t="inlineStr">
        <is>
          <t>2026-08-10T19:29:54Z</t>
        </is>
      </c>
      <c r="P1887" t="inlineStr">
        <is>
          <t>2026-08-10T19:29:54Z</t>
        </is>
      </c>
    </row>
    <row r="1888">
      <c r="A1888" s="19" t="inlineStr">
        <is>
          <t>1887</t>
        </is>
      </c>
      <c r="B1888" s="19" t="inlineStr">
        <is>
          <t>SC-1015135-ST-120-STD-01</t>
        </is>
      </c>
      <c r="C1888" t="inlineStr">
        <is>
          <t>1015135 → ST-120-STD-01</t>
        </is>
      </c>
      <c r="D1888" s="19" t="inlineStr">
        <is>
          <t>2</t>
        </is>
      </c>
      <c r="E1888" s="19" t="inlineStr">
        <is>
          <t>1884</t>
        </is>
      </c>
      <c r="F1888" s="19" t="inlineStr">
        <is>
          <t>245</t>
        </is>
      </c>
      <c r="G1888" s="19" t="n"/>
      <c r="H1888" s="19" t="inlineStr">
        <is>
          <t>2</t>
        </is>
      </c>
      <c r="I1888" s="19" t="n"/>
      <c r="J1888" s="19" t="n"/>
      <c r="K1888" s="19" t="inlineStr">
        <is>
          <t>2</t>
        </is>
      </c>
      <c r="L1888" t="inlineStr">
        <is>
          <t>2026-08-08</t>
        </is>
      </c>
      <c r="N1888" t="inlineStr">
        <is>
          <t>IN_SCOPE_FINAL; SOURCE_CFG=IA-ST-CFG-0284; MARKET=None; STATUS=IN OEM / EU PACKAGE</t>
        </is>
      </c>
      <c r="O1888" t="inlineStr">
        <is>
          <t>2026-08-10T19:29:54Z</t>
        </is>
      </c>
      <c r="P1888" t="inlineStr">
        <is>
          <t>2026-08-10T19:29:54Z</t>
        </is>
      </c>
    </row>
    <row r="1889">
      <c r="A1889" s="19" t="inlineStr">
        <is>
          <t>1888</t>
        </is>
      </c>
      <c r="B1889" s="19" t="inlineStr">
        <is>
          <t>SC-1015136-ST-120-STD-01</t>
        </is>
      </c>
      <c r="C1889" t="inlineStr">
        <is>
          <t>1015136 → ST-120-STD-01</t>
        </is>
      </c>
      <c r="D1889" s="19" t="inlineStr">
        <is>
          <t>2</t>
        </is>
      </c>
      <c r="E1889" s="19" t="inlineStr">
        <is>
          <t>1885</t>
        </is>
      </c>
      <c r="F1889" s="19" t="inlineStr">
        <is>
          <t>245</t>
        </is>
      </c>
      <c r="G1889" s="19" t="n"/>
      <c r="H1889" s="19" t="inlineStr">
        <is>
          <t>2</t>
        </is>
      </c>
      <c r="I1889" s="19" t="n"/>
      <c r="J1889" s="19" t="n"/>
      <c r="K1889" s="19" t="inlineStr">
        <is>
          <t>2</t>
        </is>
      </c>
      <c r="L1889" t="inlineStr">
        <is>
          <t>2026-08-08</t>
        </is>
      </c>
      <c r="N1889" t="inlineStr">
        <is>
          <t>IN_SCOPE_FINAL; SOURCE_CFG=IA-ST-CFG-0284; MARKET=None; STATUS=IN OEM / EU PACKAGE</t>
        </is>
      </c>
      <c r="O1889" t="inlineStr">
        <is>
          <t>2026-08-10T19:29:54Z</t>
        </is>
      </c>
      <c r="P1889" t="inlineStr">
        <is>
          <t>2026-08-10T19:29:54Z</t>
        </is>
      </c>
    </row>
    <row r="1890">
      <c r="A1890" s="19" t="inlineStr">
        <is>
          <t>1889</t>
        </is>
      </c>
      <c r="B1890" s="19" t="inlineStr">
        <is>
          <t>SC-1015190-ST-120-STD-01</t>
        </is>
      </c>
      <c r="C1890" t="inlineStr">
        <is>
          <t>1015190 → ST-120-STD-01</t>
        </is>
      </c>
      <c r="D1890" s="19" t="inlineStr">
        <is>
          <t>2</t>
        </is>
      </c>
      <c r="E1890" s="19" t="inlineStr">
        <is>
          <t>1931</t>
        </is>
      </c>
      <c r="F1890" s="19" t="inlineStr">
        <is>
          <t>245</t>
        </is>
      </c>
      <c r="G1890" s="19" t="n"/>
      <c r="H1890" s="19" t="inlineStr">
        <is>
          <t>2</t>
        </is>
      </c>
      <c r="I1890" s="19" t="n"/>
      <c r="J1890" s="19" t="n"/>
      <c r="K1890" s="19" t="inlineStr">
        <is>
          <t>2</t>
        </is>
      </c>
      <c r="L1890" t="inlineStr">
        <is>
          <t>2026-08-08</t>
        </is>
      </c>
      <c r="N1890" t="inlineStr">
        <is>
          <t>IN_SCOPE_FINAL; SOURCE_CFG=IA-ST-CFG-0284; MARKET=REDMAY URUGUAY; STATUS=IN OEM / EU PACKAGE</t>
        </is>
      </c>
      <c r="O1890" t="inlineStr">
        <is>
          <t>2026-08-10T19:29:54Z</t>
        </is>
      </c>
      <c r="P1890" t="inlineStr">
        <is>
          <t>2026-08-10T19:29:54Z</t>
        </is>
      </c>
    </row>
    <row r="1891">
      <c r="A1891" s="19" t="inlineStr">
        <is>
          <t>1890</t>
        </is>
      </c>
      <c r="B1891" s="19" t="inlineStr">
        <is>
          <t>SC-1014369-ST-120-STD-01</t>
        </is>
      </c>
      <c r="C1891" t="inlineStr">
        <is>
          <t>1014369 → ST-120-STD-01</t>
        </is>
      </c>
      <c r="D1891" s="19" t="inlineStr">
        <is>
          <t>2</t>
        </is>
      </c>
      <c r="E1891" s="19" t="inlineStr">
        <is>
          <t>1325</t>
        </is>
      </c>
      <c r="F1891" s="19" t="inlineStr">
        <is>
          <t>245</t>
        </is>
      </c>
      <c r="G1891" s="19" t="n"/>
      <c r="H1891" s="19" t="inlineStr">
        <is>
          <t>2</t>
        </is>
      </c>
      <c r="I1891" s="19" t="n"/>
      <c r="J1891" s="19" t="n"/>
      <c r="K1891" s="19" t="inlineStr">
        <is>
          <t>2</t>
        </is>
      </c>
      <c r="L1891" t="inlineStr">
        <is>
          <t>2026-08-08</t>
        </is>
      </c>
      <c r="N1891" t="inlineStr">
        <is>
          <t>IN_SCOPE_FINAL; SOURCE_CFG=IA-ST-CFG-0284; MARKET=YURT İÇİ AFM; STATUS=IN OEM / EU PACKAGE</t>
        </is>
      </c>
      <c r="O1891" t="inlineStr">
        <is>
          <t>2026-08-10T19:29:54Z</t>
        </is>
      </c>
      <c r="P1891" t="inlineStr">
        <is>
          <t>2026-08-10T19:29:54Z</t>
        </is>
      </c>
    </row>
    <row r="1892">
      <c r="A1892" s="19" t="inlineStr">
        <is>
          <t>1891</t>
        </is>
      </c>
      <c r="B1892" s="19" t="inlineStr">
        <is>
          <t>SC-1009976-ST-120-STD-01</t>
        </is>
      </c>
      <c r="C1892" t="inlineStr">
        <is>
          <t>1009976 → ST-120-STD-01</t>
        </is>
      </c>
      <c r="D1892" s="19" t="inlineStr">
        <is>
          <t>2</t>
        </is>
      </c>
      <c r="E1892" s="19" t="inlineStr">
        <is>
          <t>132</t>
        </is>
      </c>
      <c r="F1892" s="19" t="inlineStr">
        <is>
          <t>245</t>
        </is>
      </c>
      <c r="G1892" s="19" t="n"/>
      <c r="H1892" s="19" t="inlineStr">
        <is>
          <t>2</t>
        </is>
      </c>
      <c r="I1892" s="19" t="n"/>
      <c r="J1892" s="19" t="n"/>
      <c r="K1892" s="19" t="inlineStr">
        <is>
          <t>2</t>
        </is>
      </c>
      <c r="L1892" t="inlineStr">
        <is>
          <t>2026-08-08</t>
        </is>
      </c>
      <c r="N1892" t="inlineStr">
        <is>
          <t>IN_SCOPE_FINAL; SOURCE_CFG=IA-ST-CFG-0284; MARKET=REY &amp; LENFERNA LUCAS; STATUS=IN OEM / EU PACKAGE</t>
        </is>
      </c>
      <c r="O1892" t="inlineStr">
        <is>
          <t>2026-08-10T19:29:54Z</t>
        </is>
      </c>
      <c r="P1892" t="inlineStr">
        <is>
          <t>2026-08-10T19:29:54Z</t>
        </is>
      </c>
    </row>
    <row r="1893">
      <c r="A1893" s="19" t="inlineStr">
        <is>
          <t>1892</t>
        </is>
      </c>
      <c r="B1893" s="19" t="inlineStr">
        <is>
          <t>SC-1011827-ST-120-STD-01</t>
        </is>
      </c>
      <c r="C1893" t="inlineStr">
        <is>
          <t>1011827 → ST-120-STD-01</t>
        </is>
      </c>
      <c r="D1893" s="19" t="inlineStr">
        <is>
          <t>2</t>
        </is>
      </c>
      <c r="E1893" s="19" t="inlineStr">
        <is>
          <t>362</t>
        </is>
      </c>
      <c r="F1893" s="19" t="inlineStr">
        <is>
          <t>245</t>
        </is>
      </c>
      <c r="G1893" s="19" t="n"/>
      <c r="H1893" s="19" t="inlineStr">
        <is>
          <t>2</t>
        </is>
      </c>
      <c r="I1893" s="19" t="n"/>
      <c r="J1893" s="19" t="n"/>
      <c r="K1893" s="19" t="inlineStr">
        <is>
          <t>2</t>
        </is>
      </c>
      <c r="L1893" t="inlineStr">
        <is>
          <t>2026-08-08</t>
        </is>
      </c>
      <c r="N1893" t="inlineStr">
        <is>
          <t>IN_SCOPE_FINAL; SOURCE_CFG=IA-ST-CFG-0284; MARKET=NASA; STATUS=IN OEM / EU PACKAGE</t>
        </is>
      </c>
      <c r="O1893" t="inlineStr">
        <is>
          <t>2026-08-10T19:29:54Z</t>
        </is>
      </c>
      <c r="P1893" t="inlineStr">
        <is>
          <t>2026-08-10T19:29:54Z</t>
        </is>
      </c>
    </row>
    <row r="1894">
      <c r="A1894" s="19" t="inlineStr">
        <is>
          <t>1893</t>
        </is>
      </c>
      <c r="B1894" s="19" t="inlineStr">
        <is>
          <t>SC-1011828-ST-120-STD-01</t>
        </is>
      </c>
      <c r="C1894" t="inlineStr">
        <is>
          <t>1011828 → ST-120-STD-01</t>
        </is>
      </c>
      <c r="D1894" s="19" t="inlineStr">
        <is>
          <t>2</t>
        </is>
      </c>
      <c r="E1894" s="19" t="inlineStr">
        <is>
          <t>363</t>
        </is>
      </c>
      <c r="F1894" s="19" t="inlineStr">
        <is>
          <t>245</t>
        </is>
      </c>
      <c r="G1894" s="19" t="n"/>
      <c r="H1894" s="19" t="inlineStr">
        <is>
          <t>2</t>
        </is>
      </c>
      <c r="I1894" s="19" t="n"/>
      <c r="J1894" s="19" t="n"/>
      <c r="K1894" s="19" t="inlineStr">
        <is>
          <t>2</t>
        </is>
      </c>
      <c r="L1894" t="inlineStr">
        <is>
          <t>2026-08-08</t>
        </is>
      </c>
      <c r="N1894" t="inlineStr">
        <is>
          <t>IN_SCOPE_FINAL; SOURCE_CFG=IA-ST-CFG-0284; MARKET=MISIR AL AMAN; STATUS=IN OEM / EU PACKAGE</t>
        </is>
      </c>
      <c r="O1894" t="inlineStr">
        <is>
          <t>2026-08-10T19:29:54Z</t>
        </is>
      </c>
      <c r="P1894" t="inlineStr">
        <is>
          <t>2026-08-10T19:29:54Z</t>
        </is>
      </c>
    </row>
    <row r="1895">
      <c r="A1895" s="19" t="inlineStr">
        <is>
          <t>1894</t>
        </is>
      </c>
      <c r="B1895" s="19" t="inlineStr">
        <is>
          <t>SC-1011829-ST-120-STD-01</t>
        </is>
      </c>
      <c r="C1895" t="inlineStr">
        <is>
          <t>1011829 → ST-120-STD-01</t>
        </is>
      </c>
      <c r="D1895" s="19" t="inlineStr">
        <is>
          <t>2</t>
        </is>
      </c>
      <c r="E1895" s="19" t="inlineStr">
        <is>
          <t>364</t>
        </is>
      </c>
      <c r="F1895" s="19" t="inlineStr">
        <is>
          <t>245</t>
        </is>
      </c>
      <c r="G1895" s="19" t="n"/>
      <c r="H1895" s="19" t="inlineStr">
        <is>
          <t>2</t>
        </is>
      </c>
      <c r="I1895" s="19" t="n"/>
      <c r="J1895" s="19" t="n"/>
      <c r="K1895" s="19" t="inlineStr">
        <is>
          <t>2</t>
        </is>
      </c>
      <c r="L1895" t="inlineStr">
        <is>
          <t>2026-08-08</t>
        </is>
      </c>
      <c r="N1895" t="inlineStr">
        <is>
          <t>IN_SCOPE_FINAL; SOURCE_CFG=IA-ST-CFG-0284; MARKET=MISIR NACITA; STATUS=IN OEM / EU PACKAGE</t>
        </is>
      </c>
      <c r="O1895" t="inlineStr">
        <is>
          <t>2026-08-10T19:29:54Z</t>
        </is>
      </c>
      <c r="P1895" t="inlineStr">
        <is>
          <t>2026-08-10T19:29:54Z</t>
        </is>
      </c>
    </row>
    <row r="1896">
      <c r="A1896" s="19" t="inlineStr">
        <is>
          <t>1895</t>
        </is>
      </c>
      <c r="B1896" s="19" t="inlineStr">
        <is>
          <t>SC-1011831-ST-120-STD-01</t>
        </is>
      </c>
      <c r="C1896" t="inlineStr">
        <is>
          <t>1011831 → ST-120-STD-01</t>
        </is>
      </c>
      <c r="D1896" s="19" t="inlineStr">
        <is>
          <t>2</t>
        </is>
      </c>
      <c r="E1896" s="19" t="inlineStr">
        <is>
          <t>366</t>
        </is>
      </c>
      <c r="F1896" s="19" t="inlineStr">
        <is>
          <t>245</t>
        </is>
      </c>
      <c r="G1896" s="19" t="n"/>
      <c r="H1896" s="19" t="inlineStr">
        <is>
          <t>2</t>
        </is>
      </c>
      <c r="I1896" s="19" t="n"/>
      <c r="J1896" s="19" t="n"/>
      <c r="K1896" s="19" t="inlineStr">
        <is>
          <t>2</t>
        </is>
      </c>
      <c r="L1896" t="inlineStr">
        <is>
          <t>2026-08-08</t>
        </is>
      </c>
      <c r="N1896" t="inlineStr">
        <is>
          <t>IN_SCOPE_FINAL; SOURCE_CFG=IA-ST-CFG-0284; MARKET=MISIR EEC; STATUS=IN OEM / EU PACKAGE</t>
        </is>
      </c>
      <c r="O1896" t="inlineStr">
        <is>
          <t>2026-08-10T19:29:54Z</t>
        </is>
      </c>
      <c r="P1896" t="inlineStr">
        <is>
          <t>2026-08-10T19:29:54Z</t>
        </is>
      </c>
    </row>
    <row r="1897">
      <c r="A1897" s="19" t="inlineStr">
        <is>
          <t>1896</t>
        </is>
      </c>
      <c r="B1897" s="19" t="inlineStr">
        <is>
          <t>SC-1011834-ST-120-STD-01</t>
        </is>
      </c>
      <c r="C1897" t="inlineStr">
        <is>
          <t>1011834 → ST-120-STD-01</t>
        </is>
      </c>
      <c r="D1897" s="19" t="inlineStr">
        <is>
          <t>2</t>
        </is>
      </c>
      <c r="E1897" s="19" t="inlineStr">
        <is>
          <t>368</t>
        </is>
      </c>
      <c r="F1897" s="19" t="inlineStr">
        <is>
          <t>245</t>
        </is>
      </c>
      <c r="G1897" s="19" t="n"/>
      <c r="H1897" s="19" t="inlineStr">
        <is>
          <t>2</t>
        </is>
      </c>
      <c r="I1897" s="19" t="n"/>
      <c r="J1897" s="19" t="n"/>
      <c r="K1897" s="19" t="inlineStr">
        <is>
          <t>2</t>
        </is>
      </c>
      <c r="L1897" t="inlineStr">
        <is>
          <t>2026-08-08</t>
        </is>
      </c>
      <c r="N1897" t="inlineStr">
        <is>
          <t>IN_SCOPE_FINAL; SOURCE_CFG=IA-ST-CFG-0284; MARKET=JANENE İSRAİL; STATUS=IN OEM / EU PACKAGE</t>
        </is>
      </c>
      <c r="O1897" t="inlineStr">
        <is>
          <t>2026-08-10T19:29:54Z</t>
        </is>
      </c>
      <c r="P1897" t="inlineStr">
        <is>
          <t>2026-08-10T19:29:54Z</t>
        </is>
      </c>
    </row>
    <row r="1898">
      <c r="A1898" s="19" t="inlineStr">
        <is>
          <t>1897</t>
        </is>
      </c>
      <c r="B1898" s="19" t="inlineStr">
        <is>
          <t>SC-1011835-ST-120-STD-01</t>
        </is>
      </c>
      <c r="C1898" t="inlineStr">
        <is>
          <t>1011835 → ST-120-STD-01</t>
        </is>
      </c>
      <c r="D1898" s="19" t="inlineStr">
        <is>
          <t>2</t>
        </is>
      </c>
      <c r="E1898" s="19" t="inlineStr">
        <is>
          <t>369</t>
        </is>
      </c>
      <c r="F1898" s="19" t="inlineStr">
        <is>
          <t>245</t>
        </is>
      </c>
      <c r="G1898" s="19" t="n"/>
      <c r="H1898" s="19" t="inlineStr">
        <is>
          <t>2</t>
        </is>
      </c>
      <c r="I1898" s="19" t="n"/>
      <c r="J1898" s="19" t="n"/>
      <c r="K1898" s="19" t="inlineStr">
        <is>
          <t>2</t>
        </is>
      </c>
      <c r="L1898" t="inlineStr">
        <is>
          <t>2026-08-08</t>
        </is>
      </c>
      <c r="N1898" t="inlineStr">
        <is>
          <t>IN_SCOPE_FINAL; SOURCE_CFG=IA-ST-CFG-0284; MARKET=MISIR ATWAN; STATUS=IN OEM / EU PACKAGE</t>
        </is>
      </c>
      <c r="O1898" t="inlineStr">
        <is>
          <t>2026-08-10T19:29:54Z</t>
        </is>
      </c>
      <c r="P1898" t="inlineStr">
        <is>
          <t>2026-08-10T19:29:54Z</t>
        </is>
      </c>
    </row>
    <row r="1899">
      <c r="A1899" s="19" t="inlineStr">
        <is>
          <t>1898</t>
        </is>
      </c>
      <c r="B1899" s="19" t="inlineStr">
        <is>
          <t>SC-1011836-ST-120-STD-01</t>
        </is>
      </c>
      <c r="C1899" t="inlineStr">
        <is>
          <t>1011836 → ST-120-STD-01</t>
        </is>
      </c>
      <c r="D1899" s="19" t="inlineStr">
        <is>
          <t>2</t>
        </is>
      </c>
      <c r="E1899" s="19" t="inlineStr">
        <is>
          <t>370</t>
        </is>
      </c>
      <c r="F1899" s="19" t="inlineStr">
        <is>
          <t>245</t>
        </is>
      </c>
      <c r="G1899" s="19" t="n"/>
      <c r="H1899" s="19" t="inlineStr">
        <is>
          <t>2</t>
        </is>
      </c>
      <c r="I1899" s="19" t="n"/>
      <c r="J1899" s="19" t="n"/>
      <c r="K1899" s="19" t="inlineStr">
        <is>
          <t>2</t>
        </is>
      </c>
      <c r="L1899" t="inlineStr">
        <is>
          <t>2026-08-08</t>
        </is>
      </c>
      <c r="N1899" t="inlineStr">
        <is>
          <t>IN_SCOPE_FINAL; SOURCE_CFG=IA-ST-CFG-0284; MARKET=MISIR NACITA; STATUS=IN OEM / EU PACKAGE</t>
        </is>
      </c>
      <c r="O1899" t="inlineStr">
        <is>
          <t>2026-08-10T19:29:54Z</t>
        </is>
      </c>
      <c r="P1899" t="inlineStr">
        <is>
          <t>2026-08-10T19:29:54Z</t>
        </is>
      </c>
    </row>
    <row r="1900">
      <c r="A1900" s="19" t="inlineStr">
        <is>
          <t>1899</t>
        </is>
      </c>
      <c r="B1900" s="19" t="inlineStr">
        <is>
          <t>SC-1011838-ST-120-STD-01</t>
        </is>
      </c>
      <c r="C1900" t="inlineStr">
        <is>
          <t>1011838 → ST-120-STD-01</t>
        </is>
      </c>
      <c r="D1900" s="19" t="inlineStr">
        <is>
          <t>2</t>
        </is>
      </c>
      <c r="E1900" s="19" t="inlineStr">
        <is>
          <t>371</t>
        </is>
      </c>
      <c r="F1900" s="19" t="inlineStr">
        <is>
          <t>245</t>
        </is>
      </c>
      <c r="G1900" s="19" t="n"/>
      <c r="H1900" s="19" t="inlineStr">
        <is>
          <t>2</t>
        </is>
      </c>
      <c r="I1900" s="19" t="n"/>
      <c r="J1900" s="19" t="n"/>
      <c r="K1900" s="19" t="inlineStr">
        <is>
          <t>2</t>
        </is>
      </c>
      <c r="L1900" t="inlineStr">
        <is>
          <t>2026-08-08</t>
        </is>
      </c>
      <c r="N1900" t="inlineStr">
        <is>
          <t>IN_SCOPE_FINAL; SOURCE_CFG=IA-ST-CFG-0284; MARKET=JANENE İSRAİL; STATUS=IN OEM / EU PACKAGE</t>
        </is>
      </c>
      <c r="O1900" t="inlineStr">
        <is>
          <t>2026-08-10T19:29:54Z</t>
        </is>
      </c>
      <c r="P1900" t="inlineStr">
        <is>
          <t>2026-08-10T19:29:54Z</t>
        </is>
      </c>
    </row>
    <row r="1901">
      <c r="A1901" s="19" t="inlineStr">
        <is>
          <t>1900</t>
        </is>
      </c>
      <c r="B1901" s="19" t="inlineStr">
        <is>
          <t>SC-1012365-ST-120-STD-01</t>
        </is>
      </c>
      <c r="C1901" t="inlineStr">
        <is>
          <t>1012365 → ST-120-STD-01</t>
        </is>
      </c>
      <c r="D1901" s="19" t="inlineStr">
        <is>
          <t>2</t>
        </is>
      </c>
      <c r="E1901" s="19" t="inlineStr">
        <is>
          <t>616</t>
        </is>
      </c>
      <c r="F1901" s="19" t="inlineStr">
        <is>
          <t>245</t>
        </is>
      </c>
      <c r="G1901" s="19" t="n"/>
      <c r="H1901" s="19" t="inlineStr">
        <is>
          <t>2</t>
        </is>
      </c>
      <c r="I1901" s="19" t="n"/>
      <c r="J1901" s="19" t="n"/>
      <c r="K1901" s="19" t="inlineStr">
        <is>
          <t>2</t>
        </is>
      </c>
      <c r="L1901" t="inlineStr">
        <is>
          <t>2026-08-08</t>
        </is>
      </c>
      <c r="N1901" t="inlineStr">
        <is>
          <t>IN_SCOPE_FINAL; SOURCE_CFG=IA-ST-CFG-0284; MARKET=None; STATUS=IN OEM / EU PACKAGE</t>
        </is>
      </c>
      <c r="O1901" t="inlineStr">
        <is>
          <t>2026-08-10T19:29:54Z</t>
        </is>
      </c>
      <c r="P1901" t="inlineStr">
        <is>
          <t>2026-08-10T19:29:54Z</t>
        </is>
      </c>
    </row>
    <row r="1902">
      <c r="A1902" s="19" t="inlineStr">
        <is>
          <t>1901</t>
        </is>
      </c>
      <c r="B1902" s="19" t="inlineStr">
        <is>
          <t>SC-1012452-ST-120-STD-01</t>
        </is>
      </c>
      <c r="C1902" t="inlineStr">
        <is>
          <t>1012452 → ST-120-STD-01</t>
        </is>
      </c>
      <c r="D1902" s="19" t="inlineStr">
        <is>
          <t>2</t>
        </is>
      </c>
      <c r="E1902" s="19" t="inlineStr">
        <is>
          <t>652</t>
        </is>
      </c>
      <c r="F1902" s="19" t="inlineStr">
        <is>
          <t>245</t>
        </is>
      </c>
      <c r="G1902" s="19" t="n"/>
      <c r="H1902" s="19" t="inlineStr">
        <is>
          <t>2</t>
        </is>
      </c>
      <c r="I1902" s="19" t="n"/>
      <c r="J1902" s="19" t="n"/>
      <c r="K1902" s="19" t="inlineStr">
        <is>
          <t>2</t>
        </is>
      </c>
      <c r="L1902" t="inlineStr">
        <is>
          <t>2026-08-08</t>
        </is>
      </c>
      <c r="N1902" t="inlineStr">
        <is>
          <t>IN_SCOPE_FINAL; SOURCE_CFG=IA-ST-CFG-0284; MARKET=None; STATUS=IN OEM / EU PACKAGE</t>
        </is>
      </c>
      <c r="O1902" t="inlineStr">
        <is>
          <t>2026-08-10T19:29:54Z</t>
        </is>
      </c>
      <c r="P1902" t="inlineStr">
        <is>
          <t>2026-08-10T19:29:54Z</t>
        </is>
      </c>
    </row>
    <row r="1903">
      <c r="A1903" s="19" t="inlineStr">
        <is>
          <t>1902</t>
        </is>
      </c>
      <c r="B1903" s="19" t="inlineStr">
        <is>
          <t>SC-1012453-ST-120-STD-01</t>
        </is>
      </c>
      <c r="C1903" t="inlineStr">
        <is>
          <t>1012453 → ST-120-STD-01</t>
        </is>
      </c>
      <c r="D1903" s="19" t="inlineStr">
        <is>
          <t>2</t>
        </is>
      </c>
      <c r="E1903" s="19" t="inlineStr">
        <is>
          <t>653</t>
        </is>
      </c>
      <c r="F1903" s="19" t="inlineStr">
        <is>
          <t>245</t>
        </is>
      </c>
      <c r="G1903" s="19" t="n"/>
      <c r="H1903" s="19" t="inlineStr">
        <is>
          <t>2</t>
        </is>
      </c>
      <c r="I1903" s="19" t="n"/>
      <c r="J1903" s="19" t="n"/>
      <c r="K1903" s="19" t="inlineStr">
        <is>
          <t>2</t>
        </is>
      </c>
      <c r="L1903" t="inlineStr">
        <is>
          <t>2026-08-08</t>
        </is>
      </c>
      <c r="N1903" t="inlineStr">
        <is>
          <t>IN_SCOPE_FINAL; SOURCE_CFG=IA-ST-CFG-0284; MARKET=None; STATUS=IN OEM / EU PACKAGE</t>
        </is>
      </c>
      <c r="O1903" t="inlineStr">
        <is>
          <t>2026-08-10T19:29:54Z</t>
        </is>
      </c>
      <c r="P1903" t="inlineStr">
        <is>
          <t>2026-08-10T19:29:54Z</t>
        </is>
      </c>
    </row>
    <row r="1904">
      <c r="A1904" s="19" t="inlineStr">
        <is>
          <t>1903</t>
        </is>
      </c>
      <c r="B1904" s="19" t="inlineStr">
        <is>
          <t>SC-1012555-ST-120-STD-01</t>
        </is>
      </c>
      <c r="C1904" t="inlineStr">
        <is>
          <t>1012555 → ST-120-STD-01</t>
        </is>
      </c>
      <c r="D1904" s="19" t="inlineStr">
        <is>
          <t>2</t>
        </is>
      </c>
      <c r="E1904" s="19" t="inlineStr">
        <is>
          <t>696</t>
        </is>
      </c>
      <c r="F1904" s="19" t="inlineStr">
        <is>
          <t>245</t>
        </is>
      </c>
      <c r="G1904" s="19" t="n"/>
      <c r="H1904" s="19" t="inlineStr">
        <is>
          <t>2</t>
        </is>
      </c>
      <c r="I1904" s="19" t="n"/>
      <c r="J1904" s="19" t="n"/>
      <c r="K1904" s="19" t="inlineStr">
        <is>
          <t>2</t>
        </is>
      </c>
      <c r="L1904" t="inlineStr">
        <is>
          <t>2026-08-08</t>
        </is>
      </c>
      <c r="N1904" t="inlineStr">
        <is>
          <t>IN_SCOPE_FINAL; SOURCE_CFG=IA-ST-CFG-0284; MARKET=None; STATUS=IN OEM / EU PACKAGE</t>
        </is>
      </c>
      <c r="O1904" t="inlineStr">
        <is>
          <t>2026-08-10T19:29:54Z</t>
        </is>
      </c>
      <c r="P1904" t="inlineStr">
        <is>
          <t>2026-08-10T19:29:54Z</t>
        </is>
      </c>
    </row>
    <row r="1905">
      <c r="A1905" s="19" t="inlineStr">
        <is>
          <t>1904</t>
        </is>
      </c>
      <c r="B1905" s="19" t="inlineStr">
        <is>
          <t>SC-1012792-ST-120-STD-01</t>
        </is>
      </c>
      <c r="C1905" t="inlineStr">
        <is>
          <t>1012792 → ST-120-STD-01</t>
        </is>
      </c>
      <c r="D1905" s="19" t="inlineStr">
        <is>
          <t>2</t>
        </is>
      </c>
      <c r="E1905" s="19" t="inlineStr">
        <is>
          <t>792</t>
        </is>
      </c>
      <c r="F1905" s="19" t="inlineStr">
        <is>
          <t>245</t>
        </is>
      </c>
      <c r="G1905" s="19" t="n"/>
      <c r="H1905" s="19" t="inlineStr">
        <is>
          <t>2</t>
        </is>
      </c>
      <c r="I1905" s="19" t="n"/>
      <c r="J1905" s="19" t="n"/>
      <c r="K1905" s="19" t="inlineStr">
        <is>
          <t>2</t>
        </is>
      </c>
      <c r="L1905" t="inlineStr">
        <is>
          <t>2026-08-08</t>
        </is>
      </c>
      <c r="N1905" t="inlineStr">
        <is>
          <t>IN_SCOPE_FINAL; SOURCE_CFG=IA-ST-CFG-0284; MARKET=None; STATUS=IN OEM / EU PACKAGE</t>
        </is>
      </c>
      <c r="O1905" t="inlineStr">
        <is>
          <t>2026-08-10T19:29:54Z</t>
        </is>
      </c>
      <c r="P1905" t="inlineStr">
        <is>
          <t>2026-08-10T19:29:54Z</t>
        </is>
      </c>
    </row>
    <row r="1906">
      <c r="A1906" s="19" t="inlineStr">
        <is>
          <t>1905</t>
        </is>
      </c>
      <c r="B1906" s="19" t="inlineStr">
        <is>
          <t>SC-1013566-ST-120-STD-01</t>
        </is>
      </c>
      <c r="C1906" t="inlineStr">
        <is>
          <t>1013566 → ST-120-STD-01</t>
        </is>
      </c>
      <c r="D1906" s="19" t="inlineStr">
        <is>
          <t>2</t>
        </is>
      </c>
      <c r="E1906" s="19" t="inlineStr">
        <is>
          <t>1035</t>
        </is>
      </c>
      <c r="F1906" s="19" t="inlineStr">
        <is>
          <t>245</t>
        </is>
      </c>
      <c r="G1906" s="19" t="n"/>
      <c r="H1906" s="19" t="inlineStr">
        <is>
          <t>2</t>
        </is>
      </c>
      <c r="I1906" s="19" t="n"/>
      <c r="J1906" s="19" t="n"/>
      <c r="K1906" s="19" t="inlineStr">
        <is>
          <t>2</t>
        </is>
      </c>
      <c r="L1906" t="inlineStr">
        <is>
          <t>2026-08-08</t>
        </is>
      </c>
      <c r="N1906" t="inlineStr">
        <is>
          <t>IN_SCOPE_FINAL; SOURCE_CFG=IA-ST-CFG-0284; MARKET=DOMİNİK CUM.PERFORMANCE BATT.; STATUS=IN OEM / EU PACKAGE</t>
        </is>
      </c>
      <c r="O1906" t="inlineStr">
        <is>
          <t>2026-08-10T19:29:54Z</t>
        </is>
      </c>
      <c r="P1906" t="inlineStr">
        <is>
          <t>2026-08-10T19:29:54Z</t>
        </is>
      </c>
    </row>
    <row r="1907">
      <c r="A1907" s="19" t="inlineStr">
        <is>
          <t>1906</t>
        </is>
      </c>
      <c r="B1907" s="19" t="inlineStr">
        <is>
          <t>SC-1014831-ST-120-STD-01</t>
        </is>
      </c>
      <c r="C1907" t="inlineStr">
        <is>
          <t>1014831 → ST-120-STD-01</t>
        </is>
      </c>
      <c r="D1907" s="19" t="inlineStr">
        <is>
          <t>2</t>
        </is>
      </c>
      <c r="E1907" s="19" t="inlineStr">
        <is>
          <t>1628</t>
        </is>
      </c>
      <c r="F1907" s="19" t="inlineStr">
        <is>
          <t>245</t>
        </is>
      </c>
      <c r="G1907" s="19" t="n"/>
      <c r="H1907" s="19" t="inlineStr">
        <is>
          <t>2</t>
        </is>
      </c>
      <c r="I1907" s="19" t="n"/>
      <c r="J1907" s="19" t="n"/>
      <c r="K1907" s="19" t="inlineStr">
        <is>
          <t>2</t>
        </is>
      </c>
      <c r="L1907" t="inlineStr">
        <is>
          <t>2026-08-08</t>
        </is>
      </c>
      <c r="N1907" t="inlineStr">
        <is>
          <t>IN_SCOPE_FINAL; SOURCE_CFG=IA-ST-CFG-0284; MARKET=None; STATUS=IN OEM / EU PACKAGE</t>
        </is>
      </c>
      <c r="O1907" t="inlineStr">
        <is>
          <t>2026-08-10T19:29:54Z</t>
        </is>
      </c>
      <c r="P1907" t="inlineStr">
        <is>
          <t>2026-08-10T19:29:54Z</t>
        </is>
      </c>
    </row>
    <row r="1908">
      <c r="A1908" s="19" t="inlineStr">
        <is>
          <t>1907</t>
        </is>
      </c>
      <c r="B1908" s="19" t="inlineStr">
        <is>
          <t>SC-1014832-ST-120-STD-01</t>
        </is>
      </c>
      <c r="C1908" t="inlineStr">
        <is>
          <t>1014832 → ST-120-STD-01</t>
        </is>
      </c>
      <c r="D1908" s="19" t="inlineStr">
        <is>
          <t>2</t>
        </is>
      </c>
      <c r="E1908" s="19" t="inlineStr">
        <is>
          <t>1629</t>
        </is>
      </c>
      <c r="F1908" s="19" t="inlineStr">
        <is>
          <t>245</t>
        </is>
      </c>
      <c r="G1908" s="19" t="n"/>
      <c r="H1908" s="19" t="inlineStr">
        <is>
          <t>2</t>
        </is>
      </c>
      <c r="I1908" s="19" t="n"/>
      <c r="J1908" s="19" t="n"/>
      <c r="K1908" s="19" t="inlineStr">
        <is>
          <t>2</t>
        </is>
      </c>
      <c r="L1908" t="inlineStr">
        <is>
          <t>2026-08-08</t>
        </is>
      </c>
      <c r="N1908" t="inlineStr">
        <is>
          <t>IN_SCOPE_FINAL; SOURCE_CFG=IA-ST-CFG-0284; MARKET=None; STATUS=IN OEM / EU PACKAGE</t>
        </is>
      </c>
      <c r="O1908" t="inlineStr">
        <is>
          <t>2026-08-10T19:29:54Z</t>
        </is>
      </c>
      <c r="P1908" t="inlineStr">
        <is>
          <t>2026-08-10T19:29:54Z</t>
        </is>
      </c>
    </row>
    <row r="1909">
      <c r="A1909" s="19" t="inlineStr">
        <is>
          <t>1908</t>
        </is>
      </c>
      <c r="B1909" s="19" t="inlineStr">
        <is>
          <t>SC-1014844-ST-120-STD-01</t>
        </is>
      </c>
      <c r="C1909" t="inlineStr">
        <is>
          <t>1014844 → ST-120-STD-01</t>
        </is>
      </c>
      <c r="D1909" s="19" t="inlineStr">
        <is>
          <t>2</t>
        </is>
      </c>
      <c r="E1909" s="19" t="inlineStr">
        <is>
          <t>1630</t>
        </is>
      </c>
      <c r="F1909" s="19" t="inlineStr">
        <is>
          <t>245</t>
        </is>
      </c>
      <c r="G1909" s="19" t="n"/>
      <c r="H1909" s="19" t="inlineStr">
        <is>
          <t>2</t>
        </is>
      </c>
      <c r="I1909" s="19" t="n"/>
      <c r="J1909" s="19" t="n"/>
      <c r="K1909" s="19" t="inlineStr">
        <is>
          <t>2</t>
        </is>
      </c>
      <c r="L1909" t="inlineStr">
        <is>
          <t>2026-08-08</t>
        </is>
      </c>
      <c r="N1909" t="inlineStr">
        <is>
          <t>IN_SCOPE_FINAL; SOURCE_CFG=IA-ST-CFG-0284; MARKET=None; STATUS=IN OEM / EU PACKAGE</t>
        </is>
      </c>
      <c r="O1909" t="inlineStr">
        <is>
          <t>2026-08-10T19:29:54Z</t>
        </is>
      </c>
      <c r="P1909" t="inlineStr">
        <is>
          <t>2026-08-10T19:29:54Z</t>
        </is>
      </c>
    </row>
    <row r="1910">
      <c r="A1910" s="19" t="inlineStr">
        <is>
          <t>1909</t>
        </is>
      </c>
      <c r="B1910" s="19" t="inlineStr">
        <is>
          <t>SC-1014885-ST-120-STD-01</t>
        </is>
      </c>
      <c r="C1910" t="inlineStr">
        <is>
          <t>1014885 → ST-120-STD-01</t>
        </is>
      </c>
      <c r="D1910" s="19" t="inlineStr">
        <is>
          <t>2</t>
        </is>
      </c>
      <c r="E1910" s="19" t="inlineStr">
        <is>
          <t>1657</t>
        </is>
      </c>
      <c r="F1910" s="19" t="inlineStr">
        <is>
          <t>245</t>
        </is>
      </c>
      <c r="G1910" s="19" t="n"/>
      <c r="H1910" s="19" t="inlineStr">
        <is>
          <t>2</t>
        </is>
      </c>
      <c r="I1910" s="19" t="n"/>
      <c r="J1910" s="19" t="n"/>
      <c r="K1910" s="19" t="inlineStr">
        <is>
          <t>2</t>
        </is>
      </c>
      <c r="L1910" t="inlineStr">
        <is>
          <t>2026-08-08</t>
        </is>
      </c>
      <c r="N1910" t="inlineStr">
        <is>
          <t>IN_SCOPE_FINAL; SOURCE_CFG=IA-ST-CFG-0284; MARKET=MULTISERVICIOSGOODWHEVENEZUELA; STATUS=IN OEM / EU PACKAGE</t>
        </is>
      </c>
      <c r="O1910" t="inlineStr">
        <is>
          <t>2026-08-10T19:29:54Z</t>
        </is>
      </c>
      <c r="P1910" t="inlineStr">
        <is>
          <t>2026-08-10T19:29:54Z</t>
        </is>
      </c>
    </row>
    <row r="1911">
      <c r="A1911" s="19" t="inlineStr">
        <is>
          <t>1910</t>
        </is>
      </c>
      <c r="B1911" s="19" t="inlineStr">
        <is>
          <t>SC-1015123-ST-120-STD-01</t>
        </is>
      </c>
      <c r="C1911" t="inlineStr">
        <is>
          <t>1015123 → ST-120-STD-01</t>
        </is>
      </c>
      <c r="D1911" s="19" t="inlineStr">
        <is>
          <t>2</t>
        </is>
      </c>
      <c r="E1911" s="19" t="inlineStr">
        <is>
          <t>1872</t>
        </is>
      </c>
      <c r="F1911" s="19" t="inlineStr">
        <is>
          <t>245</t>
        </is>
      </c>
      <c r="G1911" s="19" t="n"/>
      <c r="H1911" s="19" t="inlineStr">
        <is>
          <t>2</t>
        </is>
      </c>
      <c r="I1911" s="19" t="n"/>
      <c r="J1911" s="19" t="n"/>
      <c r="K1911" s="19" t="inlineStr">
        <is>
          <t>2</t>
        </is>
      </c>
      <c r="L1911" t="inlineStr">
        <is>
          <t>2026-08-08</t>
        </is>
      </c>
      <c r="N1911" t="inlineStr">
        <is>
          <t>IN_SCOPE_FINAL; SOURCE_CFG=IA-ST-CFG-0284; MARKET=AWAEL S.A.R.L. (LÜBNAN); STATUS=IN OEM / EU PACKAGE</t>
        </is>
      </c>
      <c r="O1911" t="inlineStr">
        <is>
          <t>2026-08-10T19:29:54Z</t>
        </is>
      </c>
      <c r="P1911" t="inlineStr">
        <is>
          <t>2026-08-10T19:29:54Z</t>
        </is>
      </c>
    </row>
    <row r="1912">
      <c r="A1912" s="19" t="inlineStr">
        <is>
          <t>1911</t>
        </is>
      </c>
      <c r="B1912" s="19" t="inlineStr">
        <is>
          <t>SC-1015081-ST-120-STD-01</t>
        </is>
      </c>
      <c r="C1912" t="inlineStr">
        <is>
          <t>1015081 → ST-120-STD-01</t>
        </is>
      </c>
      <c r="D1912" s="19" t="inlineStr">
        <is>
          <t>2</t>
        </is>
      </c>
      <c r="E1912" s="19" t="inlineStr">
        <is>
          <t>1836</t>
        </is>
      </c>
      <c r="F1912" s="19" t="inlineStr">
        <is>
          <t>245</t>
        </is>
      </c>
      <c r="G1912" s="19" t="n"/>
      <c r="H1912" s="19" t="inlineStr">
        <is>
          <t>2</t>
        </is>
      </c>
      <c r="I1912" s="19" t="n"/>
      <c r="J1912" s="19" t="n"/>
      <c r="K1912" s="19" t="inlineStr">
        <is>
          <t>2</t>
        </is>
      </c>
      <c r="L1912" t="inlineStr">
        <is>
          <t>2026-08-08</t>
        </is>
      </c>
      <c r="N1912" t="inlineStr">
        <is>
          <t>IN_SCOPE_FINAL; SOURCE_CFG=IA-ST-CFG-0284; MARKET=HONDA OES (Yurt İçi); STATUS=IN OEM / EU PACKAGE</t>
        </is>
      </c>
      <c r="O1912" t="inlineStr">
        <is>
          <t>2026-08-10T19:29:54Z</t>
        </is>
      </c>
      <c r="P1912" t="inlineStr">
        <is>
          <t>2026-08-10T19:29:54Z</t>
        </is>
      </c>
    </row>
    <row r="1913">
      <c r="A1913" s="19" t="inlineStr">
        <is>
          <t>1912</t>
        </is>
      </c>
      <c r="B1913" s="19" t="inlineStr">
        <is>
          <t>SC-1011180-ST-120-STD-02</t>
        </is>
      </c>
      <c r="C1913" t="inlineStr">
        <is>
          <t>1011180 → ST-120-STD-02</t>
        </is>
      </c>
      <c r="D1913" s="19" t="inlineStr">
        <is>
          <t>2</t>
        </is>
      </c>
      <c r="E1913" s="19" t="inlineStr">
        <is>
          <t>255</t>
        </is>
      </c>
      <c r="F1913" s="19" t="inlineStr">
        <is>
          <t>246</t>
        </is>
      </c>
      <c r="G1913" s="19" t="n"/>
      <c r="H1913" s="19" t="inlineStr">
        <is>
          <t>2</t>
        </is>
      </c>
      <c r="I1913" s="19" t="n"/>
      <c r="J1913" s="19" t="n"/>
      <c r="K1913" s="19" t="inlineStr">
        <is>
          <t>2</t>
        </is>
      </c>
      <c r="L1913" t="inlineStr">
        <is>
          <t>2026-08-08</t>
        </is>
      </c>
      <c r="N1913" t="inlineStr">
        <is>
          <t>IN_SCOPE_FINAL; SOURCE_CFG=IA-ST-CFG-0285; MARKET=YURT İÇİ AFM; STATUS=IN OEM / EU PACKAGE</t>
        </is>
      </c>
      <c r="O1913" t="inlineStr">
        <is>
          <t>2026-08-10T19:29:54Z</t>
        </is>
      </c>
      <c r="P1913" t="inlineStr">
        <is>
          <t>2026-08-10T19:29:54Z</t>
        </is>
      </c>
    </row>
    <row r="1914">
      <c r="A1914" s="19" t="inlineStr">
        <is>
          <t>1913</t>
        </is>
      </c>
      <c r="B1914" s="19" t="inlineStr">
        <is>
          <t>SC-1014006-ST-120-STD-02</t>
        </is>
      </c>
      <c r="C1914" t="inlineStr">
        <is>
          <t>1014006 → ST-120-STD-02</t>
        </is>
      </c>
      <c r="D1914" s="19" t="inlineStr">
        <is>
          <t>2</t>
        </is>
      </c>
      <c r="E1914" s="19" t="inlineStr">
        <is>
          <t>1175</t>
        </is>
      </c>
      <c r="F1914" s="19" t="inlineStr">
        <is>
          <t>246</t>
        </is>
      </c>
      <c r="G1914" s="19" t="n"/>
      <c r="H1914" s="19" t="inlineStr">
        <is>
          <t>2</t>
        </is>
      </c>
      <c r="I1914" s="19" t="n"/>
      <c r="J1914" s="19" t="n"/>
      <c r="K1914" s="19" t="inlineStr">
        <is>
          <t>2</t>
        </is>
      </c>
      <c r="L1914" t="inlineStr">
        <is>
          <t>2026-08-08</t>
        </is>
      </c>
      <c r="N1914" t="inlineStr">
        <is>
          <t>IN_SCOPE_FINAL; SOURCE_CFG=IA-ST-CFG-0285; MARKET=YURT İÇİ AFM; STATUS=IN OEM / EU PACKAGE</t>
        </is>
      </c>
      <c r="O1914" t="inlineStr">
        <is>
          <t>2026-08-10T19:29:54Z</t>
        </is>
      </c>
      <c r="P1914" t="inlineStr">
        <is>
          <t>2026-08-10T19:29:54Z</t>
        </is>
      </c>
    </row>
    <row r="1915">
      <c r="A1915" s="19" t="inlineStr">
        <is>
          <t>1914</t>
        </is>
      </c>
      <c r="B1915" s="19" t="inlineStr">
        <is>
          <t>SC-1012446-ST-120-STD-03</t>
        </is>
      </c>
      <c r="C1915" t="inlineStr">
        <is>
          <t>1012446 → ST-120-STD-03</t>
        </is>
      </c>
      <c r="D1915" s="19" t="inlineStr">
        <is>
          <t>2</t>
        </is>
      </c>
      <c r="E1915" s="19" t="inlineStr">
        <is>
          <t>647</t>
        </is>
      </c>
      <c r="F1915" s="19" t="inlineStr">
        <is>
          <t>247</t>
        </is>
      </c>
      <c r="G1915" s="19" t="n"/>
      <c r="H1915" s="19" t="inlineStr">
        <is>
          <t>2</t>
        </is>
      </c>
      <c r="I1915" s="19" t="n"/>
      <c r="J1915" s="19" t="n"/>
      <c r="K1915" s="19" t="inlineStr">
        <is>
          <t>2</t>
        </is>
      </c>
      <c r="L1915" t="inlineStr">
        <is>
          <t>2026-08-08</t>
        </is>
      </c>
      <c r="N1915" t="inlineStr">
        <is>
          <t>IN_SCOPE_FINAL; SOURCE_CFG=IA-ST-CFG-0286; MARKET=SCHNAPP; STATUS=IN OEM / EU PACKAGE</t>
        </is>
      </c>
      <c r="O1915" t="inlineStr">
        <is>
          <t>2026-08-10T19:29:54Z</t>
        </is>
      </c>
      <c r="P1915" t="inlineStr">
        <is>
          <t>2026-08-10T19:29:54Z</t>
        </is>
      </c>
    </row>
    <row r="1916">
      <c r="A1916" s="19" t="inlineStr">
        <is>
          <t>1915</t>
        </is>
      </c>
      <c r="B1916" s="19" t="inlineStr">
        <is>
          <t>SC-1012447-ST-120-STD-03</t>
        </is>
      </c>
      <c r="C1916" t="inlineStr">
        <is>
          <t>1012447 → ST-120-STD-03</t>
        </is>
      </c>
      <c r="D1916" s="19" t="inlineStr">
        <is>
          <t>2</t>
        </is>
      </c>
      <c r="E1916" s="19" t="inlineStr">
        <is>
          <t>648</t>
        </is>
      </c>
      <c r="F1916" s="19" t="inlineStr">
        <is>
          <t>247</t>
        </is>
      </c>
      <c r="G1916" s="19" t="n"/>
      <c r="H1916" s="19" t="inlineStr">
        <is>
          <t>2</t>
        </is>
      </c>
      <c r="I1916" s="19" t="n"/>
      <c r="J1916" s="19" t="n"/>
      <c r="K1916" s="19" t="inlineStr">
        <is>
          <t>2</t>
        </is>
      </c>
      <c r="L1916" t="inlineStr">
        <is>
          <t>2026-08-08</t>
        </is>
      </c>
      <c r="N1916" t="inlineStr">
        <is>
          <t>IN_SCOPE_FINAL; SOURCE_CFG=IA-ST-CFG-0286; MARKET=SCHNAPP; STATUS=IN OEM / EU PACKAGE</t>
        </is>
      </c>
      <c r="O1916" t="inlineStr">
        <is>
          <t>2026-08-10T19:29:54Z</t>
        </is>
      </c>
      <c r="P1916" t="inlineStr">
        <is>
          <t>2026-08-10T19:29:54Z</t>
        </is>
      </c>
    </row>
    <row r="1917">
      <c r="A1917" s="19" t="inlineStr">
        <is>
          <t>1916</t>
        </is>
      </c>
      <c r="B1917" s="19" t="inlineStr">
        <is>
          <t>SC-1012448-ST-120-STD-03</t>
        </is>
      </c>
      <c r="C1917" t="inlineStr">
        <is>
          <t>1012448 → ST-120-STD-03</t>
        </is>
      </c>
      <c r="D1917" s="19" t="inlineStr">
        <is>
          <t>2</t>
        </is>
      </c>
      <c r="E1917" s="19" t="inlineStr">
        <is>
          <t>649</t>
        </is>
      </c>
      <c r="F1917" s="19" t="inlineStr">
        <is>
          <t>247</t>
        </is>
      </c>
      <c r="G1917" s="19" t="n"/>
      <c r="H1917" s="19" t="inlineStr">
        <is>
          <t>2</t>
        </is>
      </c>
      <c r="I1917" s="19" t="n"/>
      <c r="J1917" s="19" t="n"/>
      <c r="K1917" s="19" t="inlineStr">
        <is>
          <t>2</t>
        </is>
      </c>
      <c r="L1917" t="inlineStr">
        <is>
          <t>2026-08-08</t>
        </is>
      </c>
      <c r="N1917" t="inlineStr">
        <is>
          <t>IN_SCOPE_FINAL; SOURCE_CFG=IA-ST-CFG-0286; MARKET=SCHNAPP; STATUS=IN OEM / EU PACKAGE</t>
        </is>
      </c>
      <c r="O1917" t="inlineStr">
        <is>
          <t>2026-08-10T19:29:54Z</t>
        </is>
      </c>
      <c r="P1917" t="inlineStr">
        <is>
          <t>2026-08-10T19:29:54Z</t>
        </is>
      </c>
    </row>
    <row r="1918">
      <c r="A1918" s="19" t="inlineStr">
        <is>
          <t>1917</t>
        </is>
      </c>
      <c r="B1918" s="19" t="inlineStr">
        <is>
          <t>SC-1012449-ST-120-STD-03</t>
        </is>
      </c>
      <c r="C1918" t="inlineStr">
        <is>
          <t>1012449 → ST-120-STD-03</t>
        </is>
      </c>
      <c r="D1918" s="19" t="inlineStr">
        <is>
          <t>2</t>
        </is>
      </c>
      <c r="E1918" s="19" t="inlineStr">
        <is>
          <t>650</t>
        </is>
      </c>
      <c r="F1918" s="19" t="inlineStr">
        <is>
          <t>247</t>
        </is>
      </c>
      <c r="G1918" s="19" t="n"/>
      <c r="H1918" s="19" t="inlineStr">
        <is>
          <t>2</t>
        </is>
      </c>
      <c r="I1918" s="19" t="n"/>
      <c r="J1918" s="19" t="n"/>
      <c r="K1918" s="19" t="inlineStr">
        <is>
          <t>2</t>
        </is>
      </c>
      <c r="L1918" t="inlineStr">
        <is>
          <t>2026-08-08</t>
        </is>
      </c>
      <c r="N1918" t="inlineStr">
        <is>
          <t>IN_SCOPE_FINAL; SOURCE_CFG=IA-ST-CFG-0286; MARKET=SCHNAPP; STATUS=IN OEM / EU PACKAGE</t>
        </is>
      </c>
      <c r="O1918" t="inlineStr">
        <is>
          <t>2026-08-10T19:29:54Z</t>
        </is>
      </c>
      <c r="P1918" t="inlineStr">
        <is>
          <t>2026-08-10T19:29:54Z</t>
        </is>
      </c>
    </row>
  </sheetData>
  <dataValidations count="6">
    <dataValidation sqref="D2:D5000" showDropDown="0" showInputMessage="0" showErrorMessage="1" allowBlank="1" errorTitle="Lookup FK" error="Value must exist in LKP_SCENARIO_TYPE" type="list">
      <formula1>NR_SCENARIO_TYPE_ID</formula1>
    </dataValidation>
    <dataValidation sqref="H2:H5000" showDropDown="0" showInputMessage="0" showErrorMessage="1" allowBlank="1" errorTitle="Lookup FK" error="Value must exist in LKP_COUNTRY" type="list">
      <formula1>NR_COUNTRY_ID</formula1>
    </dataValidation>
    <dataValidation sqref="I2:I5000" showDropDown="0" showInputMessage="0" showErrorMessage="1" allowBlank="1" errorTitle="Lookup FK" error="Value must exist in LKP_INCOTERM" type="list">
      <formula1>NR_INCOTERM_ID</formula1>
    </dataValidation>
    <dataValidation sqref="J2:J5000" showDropDown="0" showInputMessage="0" showErrorMessage="1" allowBlank="1" errorTitle="Lookup FK" error="Value must exist in LKP_TRANSPORT_MODE" type="list">
      <formula1>NR_TRANSPORT_MODE_ID</formula1>
    </dataValidation>
    <dataValidation sqref="K2:K5000" showDropDown="0" showInputMessage="0" showErrorMessage="1" allowBlank="1" errorTitle="Lookup FK" error="Value must exist in LKP_STATUS" type="list">
      <formula1>NR_STATUS_ID</formula1>
    </dataValidation>
    <dataValidation sqref="L2:M5000" showDropDown="0" showInputMessage="0" showErrorMessage="1" allowBlank="1" errorTitle="Date" error="Enter a valid date (DD.MM.YYYY)" type="date" operator="greaterThan">
      <formula1>DATE(2000,1,1)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2" customWidth="1" min="3" max="3"/>
    <col width="14" customWidth="1" min="4" max="4"/>
    <col width="12" customWidth="1" min="5" max="5"/>
    <col width="19" customWidth="1" min="6" max="6"/>
    <col width="22" customWidth="1" min="7" max="9"/>
    <col width="19" customWidth="1" min="10" max="10"/>
    <col width="14" customWidth="1" min="11" max="12"/>
    <col width="36" customWidth="1" min="13" max="13"/>
    <col width="14" customWidth="1" min="14" max="14"/>
    <col width="12" customWidth="1" min="15" max="16"/>
  </cols>
  <sheetData>
    <row r="1" ht="27.95" customHeight="1">
      <c r="A1" s="6" t="inlineStr">
        <is>
          <t>SHIPMENT_ID</t>
        </is>
      </c>
      <c r="B1" s="6" t="inlineStr">
        <is>
          <t>SHIPMENT_NUMBER</t>
        </is>
      </c>
      <c r="C1" s="6" t="inlineStr">
        <is>
          <t>COMMERCIAL_SCENARIO_ID</t>
        </is>
      </c>
      <c r="D1" s="6" t="inlineStr">
        <is>
          <t>PLANT_ID</t>
        </is>
      </c>
      <c r="E1" s="6" t="inlineStr">
        <is>
          <t>SHIP_DATE</t>
        </is>
      </c>
      <c r="F1" s="6" t="inlineStr">
        <is>
          <t>QTY_PRODUCT_UNITS</t>
        </is>
      </c>
      <c r="G1" s="6" t="inlineStr">
        <is>
          <t>PACKAGING_CONFIGURATION_ID</t>
        </is>
      </c>
      <c r="H1" s="6" t="inlineStr">
        <is>
          <t>TRANSPORT_CONFIGURATION_ID</t>
        </is>
      </c>
      <c r="I1" s="6" t="inlineStr">
        <is>
          <t>DESTINATION_COUNTRY_ID</t>
        </is>
      </c>
      <c r="J1" s="6" t="inlineStr">
        <is>
          <t>TRANSPORT_MODE_ID</t>
        </is>
      </c>
      <c r="K1" s="6" t="inlineStr">
        <is>
          <t>STATUS_ID</t>
        </is>
      </c>
      <c r="L1" s="6" t="inlineStr">
        <is>
          <t>EXTERNAL_REF</t>
        </is>
      </c>
      <c r="M1" s="6" t="inlineStr">
        <is>
          <t>NOTES</t>
        </is>
      </c>
      <c r="N1" s="6" t="inlineStr">
        <is>
          <t>CONFIRMED_AT</t>
        </is>
      </c>
      <c r="O1" s="6" t="inlineStr">
        <is>
          <t>CREATED_AT</t>
        </is>
      </c>
      <c r="P1" s="6" t="inlineStr">
        <is>
          <t>UPDATED_AT</t>
        </is>
      </c>
    </row>
    <row r="2">
      <c r="A2" s="7" t="n"/>
      <c r="B2" s="10" t="n"/>
      <c r="C2" s="12" t="n"/>
      <c r="D2" s="12" t="n"/>
      <c r="E2" s="14" t="n"/>
      <c r="F2" s="13" t="n"/>
      <c r="G2" s="12" t="n"/>
      <c r="H2" s="12" t="n"/>
      <c r="I2" s="12" t="n"/>
      <c r="J2" s="12" t="n"/>
      <c r="K2" s="12" t="n"/>
      <c r="L2" s="10" t="n"/>
      <c r="M2" s="8" t="n"/>
      <c r="N2" s="9" t="n"/>
      <c r="O2" s="9" t="n"/>
      <c r="P2" s="9" t="n"/>
    </row>
  </sheetData>
  <dataValidations count="4">
    <dataValidation sqref="E2:E5000" showDropDown="0" showInputMessage="0" showErrorMessage="1" allowBlank="1" errorTitle="Date" error="Enter a valid date (DD.MM.YYYY)" type="date" operator="greaterThan">
      <formula1>DATE(2000,1,1)</formula1>
    </dataValidation>
    <dataValidation sqref="I2:I5000" showDropDown="0" showInputMessage="0" showErrorMessage="1" allowBlank="1" errorTitle="Lookup FK" error="Value must exist in LKP_COUNTRY" type="list">
      <formula1>NR_COUNTRY_ID</formula1>
    </dataValidation>
    <dataValidation sqref="J2:J5000" showDropDown="0" showInputMessage="0" showErrorMessage="1" allowBlank="1" errorTitle="Lookup FK" error="Value must exist in LKP_TRANSPORT_MODE" type="list">
      <formula1>NR_TRANSPORT_MODE_ID</formula1>
    </dataValidation>
    <dataValidation sqref="K2:K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4"/>
    <col width="20" customWidth="1" min="5" max="5"/>
    <col width="22" customWidth="1" min="6" max="6"/>
    <col width="19" customWidth="1" min="7" max="7"/>
    <col width="15" customWidth="1" min="8" max="8"/>
    <col width="12" customWidth="1" min="9" max="9"/>
    <col width="22" customWidth="1" min="10" max="10"/>
    <col width="14" customWidth="1" min="11" max="11"/>
    <col width="36" customWidth="1" min="12" max="12"/>
  </cols>
  <sheetData>
    <row r="1" ht="27.95" customHeight="1">
      <c r="A1" s="6" t="inlineStr">
        <is>
          <t>SHIPMENT_LINE_ID</t>
        </is>
      </c>
      <c r="B1" s="6" t="inlineStr">
        <is>
          <t>SHIPMENT_ID</t>
        </is>
      </c>
      <c r="C1" s="6" t="inlineStr">
        <is>
          <t>COMPONENT_ID</t>
        </is>
      </c>
      <c r="D1" s="6" t="inlineStr">
        <is>
          <t>MATERIAL_ID</t>
        </is>
      </c>
      <c r="E1" s="6" t="inlineStr">
        <is>
          <t>PACKAGING_LEVEL_ID</t>
        </is>
      </c>
      <c r="F1" s="6" t="inlineStr">
        <is>
          <t>PACKAGING_FUNCTION_ID</t>
        </is>
      </c>
      <c r="G1" s="6" t="inlineStr">
        <is>
          <t>OWNERSHIP_TYPE_ID</t>
        </is>
      </c>
      <c r="H1" s="6" t="inlineStr">
        <is>
          <t>COMPONENT_QTY</t>
        </is>
      </c>
      <c r="I1" s="6" t="inlineStr">
        <is>
          <t>WEIGHT_G</t>
        </is>
      </c>
      <c r="J1" s="6" t="inlineStr">
        <is>
          <t>RECYCLED_CONTENT_PCT</t>
        </is>
      </c>
      <c r="K1" s="6" t="inlineStr">
        <is>
          <t>SOURCE_LAYER</t>
        </is>
      </c>
      <c r="L1" s="6" t="inlineStr">
        <is>
          <t>NOTES</t>
        </is>
      </c>
    </row>
    <row r="2">
      <c r="A2" s="7" t="n"/>
      <c r="B2" s="12" t="n"/>
      <c r="C2" s="12" t="n"/>
      <c r="D2" s="12" t="n"/>
      <c r="E2" s="12" t="n"/>
      <c r="F2" s="12" t="n"/>
      <c r="G2" s="12" t="n"/>
      <c r="H2" s="13" t="n"/>
      <c r="I2" s="13" t="n"/>
      <c r="J2" s="13" t="n"/>
      <c r="K2" s="8" t="n"/>
      <c r="L2" s="8" t="n"/>
    </row>
  </sheetData>
  <dataValidations count="4">
    <dataValidation sqref="D2:D5000" showDropDown="0" showInputMessage="0" showErrorMessage="1" allowBlank="1" errorTitle="Lookup FK" error="Value must exist in LKP_MATERIAL" type="list">
      <formula1>NR_MATERIAL_ID</formula1>
    </dataValidation>
    <dataValidation sqref="E2:E5000" showDropDown="0" showInputMessage="0" showErrorMessage="1" allowBlank="1" errorTitle="Lookup FK" error="Value must exist in LKP_PACKAGING_LEVEL" type="list">
      <formula1>NR_PACKAGING_LEVEL_ID</formula1>
    </dataValidation>
    <dataValidation sqref="F2:F5000" showDropDown="0" showInputMessage="0" showErrorMessage="1" allowBlank="1" errorTitle="Lookup FK" error="Value must exist in LKP_PACKAGING_FUNCTION" type="list">
      <formula1>NR_PACKAGING_FUNCTION_ID</formula1>
    </dataValidation>
    <dataValidation sqref="G2:G5000" showDropDown="0" showInputMessage="0" showErrorMessage="1" allowBlank="1" errorTitle="Lookup FK" error="Value must exist in LKP_OWNERSHIP_TYPE" type="list">
      <formula1>NR_OWNERSHIP_TYPE_ID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R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12" customWidth="1" min="3" max="3"/>
    <col width="14" customWidth="1" min="4" max="4"/>
    <col width="22" customWidth="1" min="5" max="6"/>
    <col width="13" customWidth="1" min="7" max="7"/>
    <col width="17" customWidth="1" min="8" max="8"/>
    <col width="28" customWidth="1" min="9" max="11"/>
    <col width="17" customWidth="1" min="12" max="12"/>
    <col width="14" customWidth="1" min="13" max="13"/>
    <col width="16" customWidth="1" min="14" max="14"/>
    <col width="14" customWidth="1" min="15" max="15"/>
    <col width="36" customWidth="1" min="16" max="16"/>
    <col width="12" customWidth="1" min="17" max="18"/>
  </cols>
  <sheetData>
    <row r="1" ht="27.95" customHeight="1">
      <c r="A1" s="6" t="inlineStr">
        <is>
          <t>TECHNICAL_FILE_ID</t>
        </is>
      </c>
      <c r="B1" s="6" t="inlineStr">
        <is>
          <t>TECHNICAL_FILE_CODE</t>
        </is>
      </c>
      <c r="C1" s="6" t="inlineStr">
        <is>
          <t>TITLE</t>
        </is>
      </c>
      <c r="D1" s="6" t="inlineStr">
        <is>
          <t>COMPONENT_ID</t>
        </is>
      </c>
      <c r="E1" s="6" t="inlineStr">
        <is>
          <t>PACKAGING_CONFIGURATION_ID</t>
        </is>
      </c>
      <c r="F1" s="6" t="inlineStr">
        <is>
          <t>TRANSPORT_CONFIGURATION_ID</t>
        </is>
      </c>
      <c r="G1" s="6" t="inlineStr">
        <is>
          <t>REVISION_NO</t>
        </is>
      </c>
      <c r="H1" s="6" t="inlineStr">
        <is>
          <t>ASSESSMENT_DATE</t>
        </is>
      </c>
      <c r="I1" s="6" t="inlineStr">
        <is>
          <t>RECYCLABILITY_SUMMARY</t>
        </is>
      </c>
      <c r="J1" s="6" t="inlineStr">
        <is>
          <t>SUBSTANCE_OF_CONCERN_NOTES</t>
        </is>
      </c>
      <c r="K1" s="6" t="inlineStr">
        <is>
          <t>DESIGN_FOR_RECYCLING_NOTES</t>
        </is>
      </c>
      <c r="L1" s="6" t="inlineStr">
        <is>
          <t>OWNER_PERSON_ID</t>
        </is>
      </c>
      <c r="M1" s="6" t="inlineStr">
        <is>
          <t>STATUS_ID</t>
        </is>
      </c>
      <c r="N1" s="6" t="inlineStr">
        <is>
          <t>EFFECTIVE_FROM</t>
        </is>
      </c>
      <c r="O1" s="6" t="inlineStr">
        <is>
          <t>EFFECTIVE_TO</t>
        </is>
      </c>
      <c r="P1" s="6" t="inlineStr">
        <is>
          <t>NOTES</t>
        </is>
      </c>
      <c r="Q1" s="6" t="inlineStr">
        <is>
          <t>CREATED_AT</t>
        </is>
      </c>
      <c r="R1" s="6" t="inlineStr">
        <is>
          <t>UPDATED_AT</t>
        </is>
      </c>
    </row>
    <row r="2">
      <c r="A2" s="19" t="inlineStr">
        <is>
          <t>1</t>
        </is>
      </c>
      <c r="B2" s="19" t="inlineStr">
        <is>
          <t>IA-PPWR-TF-ST-012-EUR-01-R00</t>
        </is>
      </c>
      <c r="C2" t="inlineStr">
        <is>
          <t>Technical File — ST-012-EUR-01</t>
        </is>
      </c>
      <c r="D2" s="19" t="n"/>
      <c r="E2" s="19" t="inlineStr">
        <is>
          <t>1</t>
        </is>
      </c>
      <c r="F2" s="19" t="n"/>
      <c r="G2" t="n">
        <v>0</v>
      </c>
      <c r="J2" t="inlineStr">
        <is>
          <t>REV00 CURRENT EVIDENCE BASIS — ARTICLE 5 ASSESSMENT BASIS</t>
        </is>
      </c>
      <c r="K2" t="inlineStr">
        <is>
          <t>PENDING – DRAWINGS / PHOTOGRAPHS</t>
        </is>
      </c>
      <c r="L2" s="19" t="inlineStr">
        <is>
          <t>1</t>
        </is>
      </c>
      <c r="M2" s="19" t="inlineStr">
        <is>
          <t>2</t>
        </is>
      </c>
      <c r="N2" t="inlineStr">
        <is>
          <t>2026-08-08</t>
        </is>
      </c>
      <c r="P2" t="inlineStr">
        <is>
          <t>Rev.00 Word technical file generated — see DOCUMENT_LIBRARY.FILE_URI; drawings/photos may remain PENDING</t>
        </is>
      </c>
      <c r="Q2" t="inlineStr">
        <is>
          <t>2026-08-10T19:29:54Z</t>
        </is>
      </c>
      <c r="R2" t="inlineStr">
        <is>
          <t>2026-08-10T19:29:54Z</t>
        </is>
      </c>
    </row>
    <row r="3">
      <c r="A3" s="19" t="inlineStr">
        <is>
          <t>2</t>
        </is>
      </c>
      <c r="B3" s="19" t="inlineStr">
        <is>
          <t>IA-PPWR-TF-ST-012-EUR-02-R00</t>
        </is>
      </c>
      <c r="C3" t="inlineStr">
        <is>
          <t>Technical File — ST-012-EUR-02</t>
        </is>
      </c>
      <c r="D3" s="19" t="n"/>
      <c r="E3" s="19" t="inlineStr">
        <is>
          <t>2</t>
        </is>
      </c>
      <c r="F3" s="19" t="n"/>
      <c r="G3" t="n">
        <v>0</v>
      </c>
      <c r="J3" t="inlineStr">
        <is>
          <t>REV00 CURRENT EVIDENCE BASIS — ARTICLE 5 ASSESSMENT BASIS</t>
        </is>
      </c>
      <c r="K3" t="inlineStr">
        <is>
          <t>PENDING – DRAWINGS / PHOTOGRAPHS</t>
        </is>
      </c>
      <c r="L3" s="19" t="inlineStr">
        <is>
          <t>1</t>
        </is>
      </c>
      <c r="M3" s="19" t="inlineStr">
        <is>
          <t>2</t>
        </is>
      </c>
      <c r="N3" t="inlineStr">
        <is>
          <t>2026-08-08</t>
        </is>
      </c>
      <c r="P3" t="inlineStr">
        <is>
          <t>Rev.00 Word technical file generated — see DOCUMENT_LIBRARY.FILE_URI; drawings/photos may remain PENDING</t>
        </is>
      </c>
      <c r="Q3" t="inlineStr">
        <is>
          <t>2026-08-10T19:29:54Z</t>
        </is>
      </c>
      <c r="R3" t="inlineStr">
        <is>
          <t>2026-08-10T19:29:54Z</t>
        </is>
      </c>
    </row>
    <row r="4">
      <c r="A4" s="19" t="inlineStr">
        <is>
          <t>3</t>
        </is>
      </c>
      <c r="B4" s="19" t="inlineStr">
        <is>
          <t>IA-PPWR-TF-ST-012-EUR-03-R00</t>
        </is>
      </c>
      <c r="C4" t="inlineStr">
        <is>
          <t>Technical File — ST-012-EUR-03</t>
        </is>
      </c>
      <c r="D4" s="19" t="n"/>
      <c r="E4" s="19" t="inlineStr">
        <is>
          <t>3</t>
        </is>
      </c>
      <c r="F4" s="19" t="n"/>
      <c r="G4" t="n">
        <v>0</v>
      </c>
      <c r="J4" t="inlineStr">
        <is>
          <t>REV00 CURRENT EVIDENCE BASIS — ARTICLE 5 ASSESSMENT BASIS</t>
        </is>
      </c>
      <c r="K4" t="inlineStr">
        <is>
          <t>PENDING – DRAWINGS / PHOTOGRAPHS</t>
        </is>
      </c>
      <c r="L4" s="19" t="inlineStr">
        <is>
          <t>1</t>
        </is>
      </c>
      <c r="M4" s="19" t="inlineStr">
        <is>
          <t>2</t>
        </is>
      </c>
      <c r="N4" t="inlineStr">
        <is>
          <t>2026-08-08</t>
        </is>
      </c>
      <c r="P4" t="inlineStr">
        <is>
          <t>Rev.00 Word technical file generated — see DOCUMENT_LIBRARY.FILE_URI; drawings/photos may remain PENDING</t>
        </is>
      </c>
      <c r="Q4" t="inlineStr">
        <is>
          <t>2026-08-10T19:29:54Z</t>
        </is>
      </c>
      <c r="R4" t="inlineStr">
        <is>
          <t>2026-08-10T19:29:54Z</t>
        </is>
      </c>
    </row>
    <row r="5">
      <c r="A5" s="19" t="inlineStr">
        <is>
          <t>4</t>
        </is>
      </c>
      <c r="B5" s="19" t="inlineStr">
        <is>
          <t>IA-PPWR-TF-ST-018-EUR-01-R00</t>
        </is>
      </c>
      <c r="C5" t="inlineStr">
        <is>
          <t>Technical File — ST-018-EUR-01</t>
        </is>
      </c>
      <c r="D5" s="19" t="n"/>
      <c r="E5" s="19" t="inlineStr">
        <is>
          <t>4</t>
        </is>
      </c>
      <c r="F5" s="19" t="n"/>
      <c r="G5" t="n">
        <v>0</v>
      </c>
      <c r="J5" t="inlineStr">
        <is>
          <t>REV00 CURRENT EVIDENCE BASIS — ARTICLE 5 ASSESSMENT BASIS</t>
        </is>
      </c>
      <c r="K5" t="inlineStr">
        <is>
          <t>PENDING – DRAWINGS / PHOTOGRAPHS</t>
        </is>
      </c>
      <c r="L5" s="19" t="inlineStr">
        <is>
          <t>1</t>
        </is>
      </c>
      <c r="M5" s="19" t="inlineStr">
        <is>
          <t>2</t>
        </is>
      </c>
      <c r="N5" t="inlineStr">
        <is>
          <t>2026-08-08</t>
        </is>
      </c>
      <c r="P5" t="inlineStr">
        <is>
          <t>Rev.00 Word technical file generated — see DOCUMENT_LIBRARY.FILE_URI; drawings/photos may remain PENDING</t>
        </is>
      </c>
      <c r="Q5" t="inlineStr">
        <is>
          <t>2026-08-10T19:29:54Z</t>
        </is>
      </c>
      <c r="R5" t="inlineStr">
        <is>
          <t>2026-08-10T19:29:54Z</t>
        </is>
      </c>
    </row>
    <row r="6">
      <c r="A6" s="19" t="inlineStr">
        <is>
          <t>5</t>
        </is>
      </c>
      <c r="B6" s="19" t="inlineStr">
        <is>
          <t>IA-PPWR-TF-ST-018-EUR-02-R00</t>
        </is>
      </c>
      <c r="C6" t="inlineStr">
        <is>
          <t>Technical File — ST-018-EUR-02</t>
        </is>
      </c>
      <c r="D6" s="19" t="n"/>
      <c r="E6" s="19" t="inlineStr">
        <is>
          <t>5</t>
        </is>
      </c>
      <c r="F6" s="19" t="n"/>
      <c r="G6" t="n">
        <v>0</v>
      </c>
      <c r="J6" t="inlineStr">
        <is>
          <t>REV00 CURRENT EVIDENCE BASIS — ARTICLE 5 ASSESSMENT BASIS</t>
        </is>
      </c>
      <c r="K6" t="inlineStr">
        <is>
          <t>PENDING – DRAWINGS / PHOTOGRAPHS</t>
        </is>
      </c>
      <c r="L6" s="19" t="inlineStr">
        <is>
          <t>1</t>
        </is>
      </c>
      <c r="M6" s="19" t="inlineStr">
        <is>
          <t>2</t>
        </is>
      </c>
      <c r="N6" t="inlineStr">
        <is>
          <t>2026-08-08</t>
        </is>
      </c>
      <c r="P6" t="inlineStr">
        <is>
          <t>Rev.00 Word technical file generated — see DOCUMENT_LIBRARY.FILE_URI; drawings/photos may remain PENDING</t>
        </is>
      </c>
      <c r="Q6" t="inlineStr">
        <is>
          <t>2026-08-10T19:29:54Z</t>
        </is>
      </c>
      <c r="R6" t="inlineStr">
        <is>
          <t>2026-08-10T19:29:54Z</t>
        </is>
      </c>
    </row>
    <row r="7">
      <c r="A7" s="19" t="inlineStr">
        <is>
          <t>6</t>
        </is>
      </c>
      <c r="B7" s="19" t="inlineStr">
        <is>
          <t>IA-PPWR-TF-ST-018-EUR-03-R00</t>
        </is>
      </c>
      <c r="C7" t="inlineStr">
        <is>
          <t>Technical File — ST-018-EUR-03</t>
        </is>
      </c>
      <c r="D7" s="19" t="n"/>
      <c r="E7" s="19" t="inlineStr">
        <is>
          <t>6</t>
        </is>
      </c>
      <c r="F7" s="19" t="n"/>
      <c r="G7" t="n">
        <v>0</v>
      </c>
      <c r="J7" t="inlineStr">
        <is>
          <t>REV00 CURRENT EVIDENCE BASIS — ARTICLE 5 ASSESSMENT BASIS</t>
        </is>
      </c>
      <c r="K7" t="inlineStr">
        <is>
          <t>PENDING – DRAWINGS / PHOTOGRAPHS</t>
        </is>
      </c>
      <c r="L7" s="19" t="inlineStr">
        <is>
          <t>1</t>
        </is>
      </c>
      <c r="M7" s="19" t="inlineStr">
        <is>
          <t>2</t>
        </is>
      </c>
      <c r="N7" t="inlineStr">
        <is>
          <t>2026-08-08</t>
        </is>
      </c>
      <c r="P7" t="inlineStr">
        <is>
          <t>Rev.00 Word technical file generated — see DOCUMENT_LIBRARY.FILE_URI; drawings/photos may remain PENDING</t>
        </is>
      </c>
      <c r="Q7" t="inlineStr">
        <is>
          <t>2026-08-10T19:29:54Z</t>
        </is>
      </c>
      <c r="R7" t="inlineStr">
        <is>
          <t>2026-08-10T19:29:54Z</t>
        </is>
      </c>
    </row>
    <row r="8">
      <c r="A8" s="19" t="inlineStr">
        <is>
          <t>7</t>
        </is>
      </c>
      <c r="B8" s="19" t="inlineStr">
        <is>
          <t>IA-PPWR-TF-ST-018-EUR-04-R00</t>
        </is>
      </c>
      <c r="C8" t="inlineStr">
        <is>
          <t>Technical File — ST-018-EUR-04</t>
        </is>
      </c>
      <c r="D8" s="19" t="n"/>
      <c r="E8" s="19" t="inlineStr">
        <is>
          <t>7</t>
        </is>
      </c>
      <c r="F8" s="19" t="n"/>
      <c r="G8" t="n">
        <v>0</v>
      </c>
      <c r="J8" t="inlineStr">
        <is>
          <t>REV00 CURRENT EVIDENCE BASIS — ARTICLE 5 ASSESSMENT BASIS</t>
        </is>
      </c>
      <c r="K8" t="inlineStr">
        <is>
          <t>PENDING – DRAWINGS / PHOTOGRAPHS</t>
        </is>
      </c>
      <c r="L8" s="19" t="inlineStr">
        <is>
          <t>1</t>
        </is>
      </c>
      <c r="M8" s="19" t="inlineStr">
        <is>
          <t>2</t>
        </is>
      </c>
      <c r="N8" t="inlineStr">
        <is>
          <t>2026-08-08</t>
        </is>
      </c>
      <c r="P8" t="inlineStr">
        <is>
          <t>Rev.00 Word technical file generated — see DOCUMENT_LIBRARY.FILE_URI; drawings/photos may remain PENDING</t>
        </is>
      </c>
      <c r="Q8" t="inlineStr">
        <is>
          <t>2026-08-10T19:29:54Z</t>
        </is>
      </c>
      <c r="R8" t="inlineStr">
        <is>
          <t>2026-08-10T19:29:54Z</t>
        </is>
      </c>
    </row>
    <row r="9">
      <c r="A9" s="19" t="inlineStr">
        <is>
          <t>8</t>
        </is>
      </c>
      <c r="B9" s="19" t="inlineStr">
        <is>
          <t>IA-PPWR-TF-ST-018-EUR-05-R00</t>
        </is>
      </c>
      <c r="C9" t="inlineStr">
        <is>
          <t>Technical File — ST-018-EUR-05</t>
        </is>
      </c>
      <c r="D9" s="19" t="n"/>
      <c r="E9" s="19" t="inlineStr">
        <is>
          <t>8</t>
        </is>
      </c>
      <c r="F9" s="19" t="n"/>
      <c r="G9" t="n">
        <v>0</v>
      </c>
      <c r="J9" t="inlineStr">
        <is>
          <t>REV00 CURRENT EVIDENCE BASIS — ARTICLE 5 ASSESSMENT BASIS</t>
        </is>
      </c>
      <c r="K9" t="inlineStr">
        <is>
          <t>PENDING – DRAWINGS / PHOTOGRAPHS</t>
        </is>
      </c>
      <c r="L9" s="19" t="inlineStr">
        <is>
          <t>1</t>
        </is>
      </c>
      <c r="M9" s="19" t="inlineStr">
        <is>
          <t>2</t>
        </is>
      </c>
      <c r="N9" t="inlineStr">
        <is>
          <t>2026-08-08</t>
        </is>
      </c>
      <c r="P9" t="inlineStr">
        <is>
          <t>Rev.00 Word technical file generated — see DOCUMENT_LIBRARY.FILE_URI; drawings/photos may remain PENDING</t>
        </is>
      </c>
      <c r="Q9" t="inlineStr">
        <is>
          <t>2026-08-10T19:29:54Z</t>
        </is>
      </c>
      <c r="R9" t="inlineStr">
        <is>
          <t>2026-08-10T19:29:54Z</t>
        </is>
      </c>
    </row>
    <row r="10">
      <c r="A10" s="19" t="inlineStr">
        <is>
          <t>9</t>
        </is>
      </c>
      <c r="B10" s="19" t="inlineStr">
        <is>
          <t>IA-PPWR-TF-ST-021-EUR-01-R00</t>
        </is>
      </c>
      <c r="C10" t="inlineStr">
        <is>
          <t>Technical File — ST-021-EUR-01</t>
        </is>
      </c>
      <c r="D10" s="19" t="n"/>
      <c r="E10" s="19" t="inlineStr">
        <is>
          <t>9</t>
        </is>
      </c>
      <c r="F10" s="19" t="n"/>
      <c r="G10" t="n">
        <v>0</v>
      </c>
      <c r="J10" t="inlineStr">
        <is>
          <t>REV00 CURRENT EVIDENCE BASIS — ARTICLE 5 ASSESSMENT BASIS</t>
        </is>
      </c>
      <c r="K10" t="inlineStr">
        <is>
          <t>PENDING – DRAWINGS / PHOTOGRAPHS</t>
        </is>
      </c>
      <c r="L10" s="19" t="inlineStr">
        <is>
          <t>1</t>
        </is>
      </c>
      <c r="M10" s="19" t="inlineStr">
        <is>
          <t>2</t>
        </is>
      </c>
      <c r="N10" t="inlineStr">
        <is>
          <t>2026-08-08</t>
        </is>
      </c>
      <c r="P10" t="inlineStr">
        <is>
          <t>Rev.00 Word technical file generated — see DOCUMENT_LIBRARY.FILE_URI; drawings/photos may remain PENDING</t>
        </is>
      </c>
      <c r="Q10" t="inlineStr">
        <is>
          <t>2026-08-10T19:29:54Z</t>
        </is>
      </c>
      <c r="R10" t="inlineStr">
        <is>
          <t>2026-08-10T19:29:54Z</t>
        </is>
      </c>
    </row>
    <row r="11">
      <c r="A11" s="19" t="inlineStr">
        <is>
          <t>10</t>
        </is>
      </c>
      <c r="B11" s="19" t="inlineStr">
        <is>
          <t>IA-PPWR-TF-ST-021-EUR-02-R00</t>
        </is>
      </c>
      <c r="C11" t="inlineStr">
        <is>
          <t>Technical File — ST-021-EUR-02</t>
        </is>
      </c>
      <c r="D11" s="19" t="n"/>
      <c r="E11" s="19" t="inlineStr">
        <is>
          <t>10</t>
        </is>
      </c>
      <c r="F11" s="19" t="n"/>
      <c r="G11" t="n">
        <v>0</v>
      </c>
      <c r="J11" t="inlineStr">
        <is>
          <t>REV00 CURRENT EVIDENCE BASIS — ARTICLE 5 ASSESSMENT BASIS</t>
        </is>
      </c>
      <c r="K11" t="inlineStr">
        <is>
          <t>PENDING – DRAWINGS / PHOTOGRAPHS</t>
        </is>
      </c>
      <c r="L11" s="19" t="inlineStr">
        <is>
          <t>1</t>
        </is>
      </c>
      <c r="M11" s="19" t="inlineStr">
        <is>
          <t>2</t>
        </is>
      </c>
      <c r="N11" t="inlineStr">
        <is>
          <t>2026-08-08</t>
        </is>
      </c>
      <c r="P11" t="inlineStr">
        <is>
          <t>Rev.00 Word technical file generated — see DOCUMENT_LIBRARY.FILE_URI; drawings/photos may remain PENDING</t>
        </is>
      </c>
      <c r="Q11" t="inlineStr">
        <is>
          <t>2026-08-10T19:29:54Z</t>
        </is>
      </c>
      <c r="R11" t="inlineStr">
        <is>
          <t>2026-08-10T19:29:54Z</t>
        </is>
      </c>
    </row>
    <row r="12">
      <c r="A12" s="19" t="inlineStr">
        <is>
          <t>11</t>
        </is>
      </c>
      <c r="B12" s="19" t="inlineStr">
        <is>
          <t>IA-PPWR-TF-ST-021-EUR-03-R00</t>
        </is>
      </c>
      <c r="C12" t="inlineStr">
        <is>
          <t>Technical File — ST-021-EUR-03</t>
        </is>
      </c>
      <c r="D12" s="19" t="n"/>
      <c r="E12" s="19" t="inlineStr">
        <is>
          <t>11</t>
        </is>
      </c>
      <c r="F12" s="19" t="n"/>
      <c r="G12" t="n">
        <v>0</v>
      </c>
      <c r="J12" t="inlineStr">
        <is>
          <t>REV00 CURRENT EVIDENCE BASIS — ARTICLE 5 ASSESSMENT BASIS</t>
        </is>
      </c>
      <c r="K12" t="inlineStr">
        <is>
          <t>PENDING – DRAWINGS / PHOTOGRAPHS</t>
        </is>
      </c>
      <c r="L12" s="19" t="inlineStr">
        <is>
          <t>1</t>
        </is>
      </c>
      <c r="M12" s="19" t="inlineStr">
        <is>
          <t>2</t>
        </is>
      </c>
      <c r="N12" t="inlineStr">
        <is>
          <t>2026-08-08</t>
        </is>
      </c>
      <c r="P12" t="inlineStr">
        <is>
          <t>Rev.00 Word technical file generated — see DOCUMENT_LIBRARY.FILE_URI; drawings/photos may remain PENDING</t>
        </is>
      </c>
      <c r="Q12" t="inlineStr">
        <is>
          <t>2026-08-10T19:29:54Z</t>
        </is>
      </c>
      <c r="R12" t="inlineStr">
        <is>
          <t>2026-08-10T19:29:54Z</t>
        </is>
      </c>
    </row>
    <row r="13">
      <c r="A13" s="19" t="inlineStr">
        <is>
          <t>12</t>
        </is>
      </c>
      <c r="B13" s="19" t="inlineStr">
        <is>
          <t>IA-PPWR-TF-ST-021-EUR-04-R00</t>
        </is>
      </c>
      <c r="C13" t="inlineStr">
        <is>
          <t>Technical File — ST-021-EUR-04</t>
        </is>
      </c>
      <c r="D13" s="19" t="n"/>
      <c r="E13" s="19" t="inlineStr">
        <is>
          <t>12</t>
        </is>
      </c>
      <c r="F13" s="19" t="n"/>
      <c r="G13" t="n">
        <v>0</v>
      </c>
      <c r="J13" t="inlineStr">
        <is>
          <t>REV00 CURRENT EVIDENCE BASIS — ARTICLE 5 ASSESSMENT BASIS</t>
        </is>
      </c>
      <c r="K13" t="inlineStr">
        <is>
          <t>PENDING – DRAWINGS / PHOTOGRAPHS</t>
        </is>
      </c>
      <c r="L13" s="19" t="inlineStr">
        <is>
          <t>1</t>
        </is>
      </c>
      <c r="M13" s="19" t="inlineStr">
        <is>
          <t>2</t>
        </is>
      </c>
      <c r="N13" t="inlineStr">
        <is>
          <t>2026-08-08</t>
        </is>
      </c>
      <c r="P13" t="inlineStr">
        <is>
          <t>Rev.00 Word technical file generated — see DOCUMENT_LIBRARY.FILE_URI; drawings/photos may remain PENDING</t>
        </is>
      </c>
      <c r="Q13" t="inlineStr">
        <is>
          <t>2026-08-10T19:29:54Z</t>
        </is>
      </c>
      <c r="R13" t="inlineStr">
        <is>
          <t>2026-08-10T19:29:54Z</t>
        </is>
      </c>
    </row>
    <row r="14">
      <c r="A14" s="19" t="inlineStr">
        <is>
          <t>13</t>
        </is>
      </c>
      <c r="B14" s="19" t="inlineStr">
        <is>
          <t>IA-PPWR-TF-ST-021-EUR-05-R00</t>
        </is>
      </c>
      <c r="C14" t="inlineStr">
        <is>
          <t>Technical File — ST-021-EUR-05</t>
        </is>
      </c>
      <c r="D14" s="19" t="n"/>
      <c r="E14" s="19" t="inlineStr">
        <is>
          <t>13</t>
        </is>
      </c>
      <c r="F14" s="19" t="n"/>
      <c r="G14" t="n">
        <v>0</v>
      </c>
      <c r="J14" t="inlineStr">
        <is>
          <t>REV00 CURRENT EVIDENCE BASIS — ARTICLE 5 ASSESSMENT BASIS</t>
        </is>
      </c>
      <c r="K14" t="inlineStr">
        <is>
          <t>PENDING – DRAWINGS / PHOTOGRAPHS</t>
        </is>
      </c>
      <c r="L14" s="19" t="inlineStr">
        <is>
          <t>1</t>
        </is>
      </c>
      <c r="M14" s="19" t="inlineStr">
        <is>
          <t>2</t>
        </is>
      </c>
      <c r="N14" t="inlineStr">
        <is>
          <t>2026-08-08</t>
        </is>
      </c>
      <c r="P14" t="inlineStr">
        <is>
          <t>Rev.00 Word technical file generated — see DOCUMENT_LIBRARY.FILE_URI; drawings/photos may remain PENDING</t>
        </is>
      </c>
      <c r="Q14" t="inlineStr">
        <is>
          <t>2026-08-10T19:29:54Z</t>
        </is>
      </c>
      <c r="R14" t="inlineStr">
        <is>
          <t>2026-08-10T19:29:54Z</t>
        </is>
      </c>
    </row>
    <row r="15">
      <c r="A15" s="19" t="inlineStr">
        <is>
          <t>14</t>
        </is>
      </c>
      <c r="B15" s="19" t="inlineStr">
        <is>
          <t>IA-PPWR-TF-ST-021-STD-01-R00</t>
        </is>
      </c>
      <c r="C15" t="inlineStr">
        <is>
          <t>Technical File — ST-021-STD-01</t>
        </is>
      </c>
      <c r="D15" s="19" t="n"/>
      <c r="E15" s="19" t="inlineStr">
        <is>
          <t>14</t>
        </is>
      </c>
      <c r="F15" s="19" t="n"/>
      <c r="G15" t="n">
        <v>0</v>
      </c>
      <c r="J15" t="inlineStr">
        <is>
          <t>REV00 CURRENT EVIDENCE BASIS — ARTICLE 5 ASSESSMENT BASIS</t>
        </is>
      </c>
      <c r="K15" t="inlineStr">
        <is>
          <t>PENDING – DRAWINGS / PHOTOGRAPHS</t>
        </is>
      </c>
      <c r="L15" s="19" t="inlineStr">
        <is>
          <t>1</t>
        </is>
      </c>
      <c r="M15" s="19" t="inlineStr">
        <is>
          <t>2</t>
        </is>
      </c>
      <c r="N15" t="inlineStr">
        <is>
          <t>2026-08-08</t>
        </is>
      </c>
      <c r="P15" t="inlineStr">
        <is>
          <t>Rev.00 Word technical file generated — see DOCUMENT_LIBRARY.FILE_URI; drawings/photos may remain PENDING</t>
        </is>
      </c>
      <c r="Q15" t="inlineStr">
        <is>
          <t>2026-08-10T19:29:54Z</t>
        </is>
      </c>
      <c r="R15" t="inlineStr">
        <is>
          <t>2026-08-10T19:29:54Z</t>
        </is>
      </c>
    </row>
    <row r="16">
      <c r="A16" s="19" t="inlineStr">
        <is>
          <t>15</t>
        </is>
      </c>
      <c r="B16" s="19" t="inlineStr">
        <is>
          <t>IA-PPWR-TF-ST-021-STD-02-R00</t>
        </is>
      </c>
      <c r="C16" t="inlineStr">
        <is>
          <t>Technical File — ST-021-STD-02</t>
        </is>
      </c>
      <c r="D16" s="19" t="n"/>
      <c r="E16" s="19" t="inlineStr">
        <is>
          <t>15</t>
        </is>
      </c>
      <c r="F16" s="19" t="n"/>
      <c r="G16" t="n">
        <v>0</v>
      </c>
      <c r="J16" t="inlineStr">
        <is>
          <t>REV00 CURRENT EVIDENCE BASIS — ARTICLE 5 ASSESSMENT BASIS</t>
        </is>
      </c>
      <c r="K16" t="inlineStr">
        <is>
          <t>PENDING – DRAWINGS / PHOTOGRAPHS</t>
        </is>
      </c>
      <c r="L16" s="19" t="inlineStr">
        <is>
          <t>1</t>
        </is>
      </c>
      <c r="M16" s="19" t="inlineStr">
        <is>
          <t>2</t>
        </is>
      </c>
      <c r="N16" t="inlineStr">
        <is>
          <t>2026-08-08</t>
        </is>
      </c>
      <c r="P16" t="inlineStr">
        <is>
          <t>Rev.00 Word technical file generated — see DOCUMENT_LIBRARY.FILE_URI; drawings/photos may remain PENDING</t>
        </is>
      </c>
      <c r="Q16" t="inlineStr">
        <is>
          <t>2026-08-10T19:29:54Z</t>
        </is>
      </c>
      <c r="R16" t="inlineStr">
        <is>
          <t>2026-08-10T19:29:54Z</t>
        </is>
      </c>
    </row>
    <row r="17">
      <c r="A17" s="19" t="inlineStr">
        <is>
          <t>16</t>
        </is>
      </c>
      <c r="B17" s="19" t="inlineStr">
        <is>
          <t>IA-PPWR-TF-ST-021-STD-03-R00</t>
        </is>
      </c>
      <c r="C17" t="inlineStr">
        <is>
          <t>Technical File — ST-021-STD-03</t>
        </is>
      </c>
      <c r="D17" s="19" t="n"/>
      <c r="E17" s="19" t="inlineStr">
        <is>
          <t>16</t>
        </is>
      </c>
      <c r="F17" s="19" t="n"/>
      <c r="G17" t="n">
        <v>0</v>
      </c>
      <c r="J17" t="inlineStr">
        <is>
          <t>REV00 CURRENT EVIDENCE BASIS — ARTICLE 5 ASSESSMENT BASIS</t>
        </is>
      </c>
      <c r="K17" t="inlineStr">
        <is>
          <t>PENDING – DRAWINGS / PHOTOGRAPHS</t>
        </is>
      </c>
      <c r="L17" s="19" t="inlineStr">
        <is>
          <t>1</t>
        </is>
      </c>
      <c r="M17" s="19" t="inlineStr">
        <is>
          <t>2</t>
        </is>
      </c>
      <c r="N17" t="inlineStr">
        <is>
          <t>2026-08-08</t>
        </is>
      </c>
      <c r="P17" t="inlineStr">
        <is>
          <t>Rev.00 Word technical file generated — see DOCUMENT_LIBRARY.FILE_URI; drawings/photos may remain PENDING</t>
        </is>
      </c>
      <c r="Q17" t="inlineStr">
        <is>
          <t>2026-08-10T19:29:54Z</t>
        </is>
      </c>
      <c r="R17" t="inlineStr">
        <is>
          <t>2026-08-10T19:29:54Z</t>
        </is>
      </c>
    </row>
    <row r="18">
      <c r="A18" s="19" t="inlineStr">
        <is>
          <t>17</t>
        </is>
      </c>
      <c r="B18" s="19" t="inlineStr">
        <is>
          <t>IA-PPWR-TF-ST-021-STD-04-R00</t>
        </is>
      </c>
      <c r="C18" t="inlineStr">
        <is>
          <t>Technical File — ST-021-STD-04</t>
        </is>
      </c>
      <c r="D18" s="19" t="n"/>
      <c r="E18" s="19" t="inlineStr">
        <is>
          <t>17</t>
        </is>
      </c>
      <c r="F18" s="19" t="n"/>
      <c r="G18" t="n">
        <v>0</v>
      </c>
      <c r="J18" t="inlineStr">
        <is>
          <t>REV00 CURRENT EVIDENCE BASIS — ARTICLE 5 ASSESSMENT BASIS</t>
        </is>
      </c>
      <c r="K18" t="inlineStr">
        <is>
          <t>PENDING – DRAWINGS / PHOTOGRAPHS</t>
        </is>
      </c>
      <c r="L18" s="19" t="inlineStr">
        <is>
          <t>1</t>
        </is>
      </c>
      <c r="M18" s="19" t="inlineStr">
        <is>
          <t>2</t>
        </is>
      </c>
      <c r="N18" t="inlineStr">
        <is>
          <t>2026-08-08</t>
        </is>
      </c>
      <c r="P18" t="inlineStr">
        <is>
          <t>Rev.00 Word technical file generated — see DOCUMENT_LIBRARY.FILE_URI; drawings/photos may remain PENDING</t>
        </is>
      </c>
      <c r="Q18" t="inlineStr">
        <is>
          <t>2026-08-10T19:29:54Z</t>
        </is>
      </c>
      <c r="R18" t="inlineStr">
        <is>
          <t>2026-08-10T19:29:54Z</t>
        </is>
      </c>
    </row>
    <row r="19">
      <c r="A19" s="19" t="inlineStr">
        <is>
          <t>18</t>
        </is>
      </c>
      <c r="B19" s="19" t="inlineStr">
        <is>
          <t>IA-PPWR-TF-ST-021-STD-05-R00</t>
        </is>
      </c>
      <c r="C19" t="inlineStr">
        <is>
          <t>Technical File — ST-021-STD-05</t>
        </is>
      </c>
      <c r="D19" s="19" t="n"/>
      <c r="E19" s="19" t="inlineStr">
        <is>
          <t>18</t>
        </is>
      </c>
      <c r="F19" s="19" t="n"/>
      <c r="G19" t="n">
        <v>0</v>
      </c>
      <c r="J19" t="inlineStr">
        <is>
          <t>REV00 CURRENT EVIDENCE BASIS — ARTICLE 5 ASSESSMENT BASIS</t>
        </is>
      </c>
      <c r="K19" t="inlineStr">
        <is>
          <t>PENDING – DRAWINGS / PHOTOGRAPHS</t>
        </is>
      </c>
      <c r="L19" s="19" t="inlineStr">
        <is>
          <t>1</t>
        </is>
      </c>
      <c r="M19" s="19" t="inlineStr">
        <is>
          <t>2</t>
        </is>
      </c>
      <c r="N19" t="inlineStr">
        <is>
          <t>2026-08-08</t>
        </is>
      </c>
      <c r="P19" t="inlineStr">
        <is>
          <t>Rev.00 Word technical file generated — see DOCUMENT_LIBRARY.FILE_URI; drawings/photos may remain PENDING</t>
        </is>
      </c>
      <c r="Q19" t="inlineStr">
        <is>
          <t>2026-08-10T19:29:54Z</t>
        </is>
      </c>
      <c r="R19" t="inlineStr">
        <is>
          <t>2026-08-10T19:29:54Z</t>
        </is>
      </c>
    </row>
    <row r="20">
      <c r="A20" s="19" t="inlineStr">
        <is>
          <t>19</t>
        </is>
      </c>
      <c r="B20" s="19" t="inlineStr">
        <is>
          <t>IA-PPWR-TF-ST-024-EUR-01-R00</t>
        </is>
      </c>
      <c r="C20" t="inlineStr">
        <is>
          <t>Technical File — ST-024-EUR-01</t>
        </is>
      </c>
      <c r="D20" s="19" t="n"/>
      <c r="E20" s="19" t="inlineStr">
        <is>
          <t>19</t>
        </is>
      </c>
      <c r="F20" s="19" t="n"/>
      <c r="G20" t="n">
        <v>0</v>
      </c>
      <c r="J20" t="inlineStr">
        <is>
          <t>REV00 CURRENT EVIDENCE BASIS — ARTICLE 5 ASSESSMENT BASIS</t>
        </is>
      </c>
      <c r="K20" t="inlineStr">
        <is>
          <t>PENDING – DRAWINGS / PHOTOGRAPHS</t>
        </is>
      </c>
      <c r="L20" s="19" t="inlineStr">
        <is>
          <t>1</t>
        </is>
      </c>
      <c r="M20" s="19" t="inlineStr">
        <is>
          <t>2</t>
        </is>
      </c>
      <c r="N20" t="inlineStr">
        <is>
          <t>2026-08-08</t>
        </is>
      </c>
      <c r="P20" t="inlineStr">
        <is>
          <t>Rev.00 Word technical file generated — see DOCUMENT_LIBRARY.FILE_URI; drawings/photos may remain PENDING</t>
        </is>
      </c>
      <c r="Q20" t="inlineStr">
        <is>
          <t>2026-08-10T19:29:54Z</t>
        </is>
      </c>
      <c r="R20" t="inlineStr">
        <is>
          <t>2026-08-10T19:29:54Z</t>
        </is>
      </c>
    </row>
    <row r="21">
      <c r="A21" s="19" t="inlineStr">
        <is>
          <t>20</t>
        </is>
      </c>
      <c r="B21" s="19" t="inlineStr">
        <is>
          <t>IA-PPWR-TF-ST-024-EUR-02-R00</t>
        </is>
      </c>
      <c r="C21" t="inlineStr">
        <is>
          <t>Technical File — ST-024-EUR-02</t>
        </is>
      </c>
      <c r="D21" s="19" t="n"/>
      <c r="E21" s="19" t="inlineStr">
        <is>
          <t>20</t>
        </is>
      </c>
      <c r="F21" s="19" t="n"/>
      <c r="G21" t="n">
        <v>0</v>
      </c>
      <c r="J21" t="inlineStr">
        <is>
          <t>REV00 CURRENT EVIDENCE BASIS — ARTICLE 5 ASSESSMENT BASIS</t>
        </is>
      </c>
      <c r="K21" t="inlineStr">
        <is>
          <t>PENDING – DRAWINGS / PHOTOGRAPHS</t>
        </is>
      </c>
      <c r="L21" s="19" t="inlineStr">
        <is>
          <t>1</t>
        </is>
      </c>
      <c r="M21" s="19" t="inlineStr">
        <is>
          <t>2</t>
        </is>
      </c>
      <c r="N21" t="inlineStr">
        <is>
          <t>2026-08-08</t>
        </is>
      </c>
      <c r="P21" t="inlineStr">
        <is>
          <t>Rev.00 Word technical file generated — see DOCUMENT_LIBRARY.FILE_URI; drawings/photos may remain PENDING</t>
        </is>
      </c>
      <c r="Q21" t="inlineStr">
        <is>
          <t>2026-08-10T19:29:54Z</t>
        </is>
      </c>
      <c r="R21" t="inlineStr">
        <is>
          <t>2026-08-10T19:29:54Z</t>
        </is>
      </c>
    </row>
    <row r="22">
      <c r="A22" s="19" t="inlineStr">
        <is>
          <t>21</t>
        </is>
      </c>
      <c r="B22" s="19" t="inlineStr">
        <is>
          <t>IA-PPWR-TF-ST-024-EUR-03-R00</t>
        </is>
      </c>
      <c r="C22" t="inlineStr">
        <is>
          <t>Technical File — ST-024-EUR-03</t>
        </is>
      </c>
      <c r="D22" s="19" t="n"/>
      <c r="E22" s="19" t="inlineStr">
        <is>
          <t>21</t>
        </is>
      </c>
      <c r="F22" s="19" t="n"/>
      <c r="G22" t="n">
        <v>0</v>
      </c>
      <c r="J22" t="inlineStr">
        <is>
          <t>REV00 CURRENT EVIDENCE BASIS — ARTICLE 5 ASSESSMENT BASIS</t>
        </is>
      </c>
      <c r="K22" t="inlineStr">
        <is>
          <t>PENDING – DRAWINGS / PHOTOGRAPHS</t>
        </is>
      </c>
      <c r="L22" s="19" t="inlineStr">
        <is>
          <t>1</t>
        </is>
      </c>
      <c r="M22" s="19" t="inlineStr">
        <is>
          <t>2</t>
        </is>
      </c>
      <c r="N22" t="inlineStr">
        <is>
          <t>2026-08-08</t>
        </is>
      </c>
      <c r="P22" t="inlineStr">
        <is>
          <t>Rev.00 Word technical file generated — see DOCUMENT_LIBRARY.FILE_URI; drawings/photos may remain PENDING</t>
        </is>
      </c>
      <c r="Q22" t="inlineStr">
        <is>
          <t>2026-08-10T19:29:54Z</t>
        </is>
      </c>
      <c r="R22" t="inlineStr">
        <is>
          <t>2026-08-10T19:29:54Z</t>
        </is>
      </c>
    </row>
    <row r="23">
      <c r="A23" s="19" t="inlineStr">
        <is>
          <t>22</t>
        </is>
      </c>
      <c r="B23" s="19" t="inlineStr">
        <is>
          <t>IA-PPWR-TF-ST-024-EUR-04-R00</t>
        </is>
      </c>
      <c r="C23" t="inlineStr">
        <is>
          <t>Technical File — ST-024-EUR-04</t>
        </is>
      </c>
      <c r="D23" s="19" t="n"/>
      <c r="E23" s="19" t="inlineStr">
        <is>
          <t>22</t>
        </is>
      </c>
      <c r="F23" s="19" t="n"/>
      <c r="G23" t="n">
        <v>0</v>
      </c>
      <c r="J23" t="inlineStr">
        <is>
          <t>REV00 CURRENT EVIDENCE BASIS — ARTICLE 5 ASSESSMENT BASIS</t>
        </is>
      </c>
      <c r="K23" t="inlineStr">
        <is>
          <t>PENDING – DRAWINGS / PHOTOGRAPHS</t>
        </is>
      </c>
      <c r="L23" s="19" t="inlineStr">
        <is>
          <t>1</t>
        </is>
      </c>
      <c r="M23" s="19" t="inlineStr">
        <is>
          <t>2</t>
        </is>
      </c>
      <c r="N23" t="inlineStr">
        <is>
          <t>2026-08-08</t>
        </is>
      </c>
      <c r="P23" t="inlineStr">
        <is>
          <t>Rev.00 Word technical file generated — see DOCUMENT_LIBRARY.FILE_URI; drawings/photos may remain PENDING</t>
        </is>
      </c>
      <c r="Q23" t="inlineStr">
        <is>
          <t>2026-08-10T19:29:54Z</t>
        </is>
      </c>
      <c r="R23" t="inlineStr">
        <is>
          <t>2026-08-10T19:29:54Z</t>
        </is>
      </c>
    </row>
    <row r="24">
      <c r="A24" s="19" t="inlineStr">
        <is>
          <t>23</t>
        </is>
      </c>
      <c r="B24" s="19" t="inlineStr">
        <is>
          <t>IA-PPWR-TF-ST-024-STD-01-R00</t>
        </is>
      </c>
      <c r="C24" t="inlineStr">
        <is>
          <t>Technical File — ST-024-STD-01</t>
        </is>
      </c>
      <c r="D24" s="19" t="n"/>
      <c r="E24" s="19" t="inlineStr">
        <is>
          <t>23</t>
        </is>
      </c>
      <c r="F24" s="19" t="n"/>
      <c r="G24" t="n">
        <v>0</v>
      </c>
      <c r="J24" t="inlineStr">
        <is>
          <t>REV00 CURRENT EVIDENCE BASIS — ARTICLE 5 ASSESSMENT BASIS</t>
        </is>
      </c>
      <c r="K24" t="inlineStr">
        <is>
          <t>PENDING – DRAWINGS / PHOTOGRAPHS</t>
        </is>
      </c>
      <c r="L24" s="19" t="inlineStr">
        <is>
          <t>1</t>
        </is>
      </c>
      <c r="M24" s="19" t="inlineStr">
        <is>
          <t>2</t>
        </is>
      </c>
      <c r="N24" t="inlineStr">
        <is>
          <t>2026-08-08</t>
        </is>
      </c>
      <c r="P24" t="inlineStr">
        <is>
          <t>Rev.00 Word technical file generated — see DOCUMENT_LIBRARY.FILE_URI; drawings/photos may remain PENDING</t>
        </is>
      </c>
      <c r="Q24" t="inlineStr">
        <is>
          <t>2026-08-10T19:29:54Z</t>
        </is>
      </c>
      <c r="R24" t="inlineStr">
        <is>
          <t>2026-08-10T19:29:54Z</t>
        </is>
      </c>
    </row>
    <row r="25">
      <c r="A25" s="19" t="inlineStr">
        <is>
          <t>24</t>
        </is>
      </c>
      <c r="B25" s="19" t="inlineStr">
        <is>
          <t>IA-PPWR-TF-ST-027-STD90-01-R00</t>
        </is>
      </c>
      <c r="C25" t="inlineStr">
        <is>
          <t>Technical File — ST-027-STD90-01</t>
        </is>
      </c>
      <c r="D25" s="19" t="n"/>
      <c r="E25" s="19" t="inlineStr">
        <is>
          <t>24</t>
        </is>
      </c>
      <c r="F25" s="19" t="n"/>
      <c r="G25" t="n">
        <v>0</v>
      </c>
      <c r="J25" t="inlineStr">
        <is>
          <t>REV00 CURRENT EVIDENCE BASIS — ARTICLE 5 ASSESSMENT BASIS</t>
        </is>
      </c>
      <c r="K25" t="inlineStr">
        <is>
          <t>PENDING – DRAWINGS / PHOTOGRAPHS</t>
        </is>
      </c>
      <c r="L25" s="19" t="inlineStr">
        <is>
          <t>1</t>
        </is>
      </c>
      <c r="M25" s="19" t="inlineStr">
        <is>
          <t>2</t>
        </is>
      </c>
      <c r="N25" t="inlineStr">
        <is>
          <t>2026-08-08</t>
        </is>
      </c>
      <c r="P25" t="inlineStr">
        <is>
          <t>Rev.00 Word technical file generated — see DOCUMENT_LIBRARY.FILE_URI; drawings/photos may remain PENDING</t>
        </is>
      </c>
      <c r="Q25" t="inlineStr">
        <is>
          <t>2026-08-10T19:29:54Z</t>
        </is>
      </c>
      <c r="R25" t="inlineStr">
        <is>
          <t>2026-08-10T19:29:54Z</t>
        </is>
      </c>
    </row>
    <row r="26">
      <c r="A26" s="19" t="inlineStr">
        <is>
          <t>25</t>
        </is>
      </c>
      <c r="B26" s="19" t="inlineStr">
        <is>
          <t>IA-PPWR-TF-ST-027-STD90-02-R00</t>
        </is>
      </c>
      <c r="C26" t="inlineStr">
        <is>
          <t>Technical File — ST-027-STD90-02</t>
        </is>
      </c>
      <c r="D26" s="19" t="n"/>
      <c r="E26" s="19" t="inlineStr">
        <is>
          <t>25</t>
        </is>
      </c>
      <c r="F26" s="19" t="n"/>
      <c r="G26" t="n">
        <v>0</v>
      </c>
      <c r="J26" t="inlineStr">
        <is>
          <t>REV00 CURRENT EVIDENCE BASIS — ARTICLE 5 ASSESSMENT BASIS</t>
        </is>
      </c>
      <c r="K26" t="inlineStr">
        <is>
          <t>PENDING – DRAWINGS / PHOTOGRAPHS</t>
        </is>
      </c>
      <c r="L26" s="19" t="inlineStr">
        <is>
          <t>1</t>
        </is>
      </c>
      <c r="M26" s="19" t="inlineStr">
        <is>
          <t>2</t>
        </is>
      </c>
      <c r="N26" t="inlineStr">
        <is>
          <t>2026-08-08</t>
        </is>
      </c>
      <c r="P26" t="inlineStr">
        <is>
          <t>Rev.00 Word technical file generated — see DOCUMENT_LIBRARY.FILE_URI; drawings/photos may remain PENDING</t>
        </is>
      </c>
      <c r="Q26" t="inlineStr">
        <is>
          <t>2026-08-10T19:29:54Z</t>
        </is>
      </c>
      <c r="R26" t="inlineStr">
        <is>
          <t>2026-08-10T19:29:54Z</t>
        </is>
      </c>
    </row>
    <row r="27">
      <c r="A27" s="19" t="inlineStr">
        <is>
          <t>26</t>
        </is>
      </c>
      <c r="B27" s="19" t="inlineStr">
        <is>
          <t>IA-PPWR-TF-ST-028-STD-01-R00</t>
        </is>
      </c>
      <c r="C27" t="inlineStr">
        <is>
          <t>Technical File — ST-028-STD-01</t>
        </is>
      </c>
      <c r="D27" s="19" t="n"/>
      <c r="E27" s="19" t="inlineStr">
        <is>
          <t>26</t>
        </is>
      </c>
      <c r="F27" s="19" t="n"/>
      <c r="G27" t="n">
        <v>0</v>
      </c>
      <c r="J27" t="inlineStr">
        <is>
          <t>REV00 CURRENT EVIDENCE BASIS — ARTICLE 5 ASSESSMENT BASIS</t>
        </is>
      </c>
      <c r="K27" t="inlineStr">
        <is>
          <t>PENDING – DRAWINGS / PHOTOGRAPHS</t>
        </is>
      </c>
      <c r="L27" s="19" t="inlineStr">
        <is>
          <t>1</t>
        </is>
      </c>
      <c r="M27" s="19" t="inlineStr">
        <is>
          <t>2</t>
        </is>
      </c>
      <c r="N27" t="inlineStr">
        <is>
          <t>2026-08-08</t>
        </is>
      </c>
      <c r="P27" t="inlineStr">
        <is>
          <t>Rev.00 Word technical file generated — see DOCUMENT_LIBRARY.FILE_URI; drawings/photos may remain PENDING</t>
        </is>
      </c>
      <c r="Q27" t="inlineStr">
        <is>
          <t>2026-08-10T19:29:54Z</t>
        </is>
      </c>
      <c r="R27" t="inlineStr">
        <is>
          <t>2026-08-10T19:29:54Z</t>
        </is>
      </c>
    </row>
    <row r="28">
      <c r="A28" s="19" t="inlineStr">
        <is>
          <t>27</t>
        </is>
      </c>
      <c r="B28" s="19" t="inlineStr">
        <is>
          <t>IA-PPWR-TF-ST-030-STD-01-R00</t>
        </is>
      </c>
      <c r="C28" t="inlineStr">
        <is>
          <t>Technical File — ST-030-STD-01</t>
        </is>
      </c>
      <c r="D28" s="19" t="n"/>
      <c r="E28" s="19" t="inlineStr">
        <is>
          <t>27</t>
        </is>
      </c>
      <c r="F28" s="19" t="n"/>
      <c r="G28" t="n">
        <v>0</v>
      </c>
      <c r="J28" t="inlineStr">
        <is>
          <t>REV00 CURRENT EVIDENCE BASIS — ARTICLE 5 ASSESSMENT BASIS</t>
        </is>
      </c>
      <c r="K28" t="inlineStr">
        <is>
          <t>PENDING – DRAWINGS / PHOTOGRAPHS</t>
        </is>
      </c>
      <c r="L28" s="19" t="inlineStr">
        <is>
          <t>1</t>
        </is>
      </c>
      <c r="M28" s="19" t="inlineStr">
        <is>
          <t>2</t>
        </is>
      </c>
      <c r="N28" t="inlineStr">
        <is>
          <t>2026-08-08</t>
        </is>
      </c>
      <c r="P28" t="inlineStr">
        <is>
          <t>Rev.00 Word technical file generated — see DOCUMENT_LIBRARY.FILE_URI; drawings/photos may remain PENDING</t>
        </is>
      </c>
      <c r="Q28" t="inlineStr">
        <is>
          <t>2026-08-10T19:29:54Z</t>
        </is>
      </c>
      <c r="R28" t="inlineStr">
        <is>
          <t>2026-08-10T19:29:54Z</t>
        </is>
      </c>
    </row>
    <row r="29">
      <c r="A29" s="19" t="inlineStr">
        <is>
          <t>28</t>
        </is>
      </c>
      <c r="B29" s="19" t="inlineStr">
        <is>
          <t>IA-PPWR-TF-ST-030-STD-02-R00</t>
        </is>
      </c>
      <c r="C29" t="inlineStr">
        <is>
          <t>Technical File — ST-030-STD-02</t>
        </is>
      </c>
      <c r="D29" s="19" t="n"/>
      <c r="E29" s="19" t="inlineStr">
        <is>
          <t>28</t>
        </is>
      </c>
      <c r="F29" s="19" t="n"/>
      <c r="G29" t="n">
        <v>0</v>
      </c>
      <c r="J29" t="inlineStr">
        <is>
          <t>REV00 CURRENT EVIDENCE BASIS — ARTICLE 5 ASSESSMENT BASIS</t>
        </is>
      </c>
      <c r="K29" t="inlineStr">
        <is>
          <t>PENDING – DRAWINGS / PHOTOGRAPHS</t>
        </is>
      </c>
      <c r="L29" s="19" t="inlineStr">
        <is>
          <t>1</t>
        </is>
      </c>
      <c r="M29" s="19" t="inlineStr">
        <is>
          <t>2</t>
        </is>
      </c>
      <c r="N29" t="inlineStr">
        <is>
          <t>2026-08-08</t>
        </is>
      </c>
      <c r="P29" t="inlineStr">
        <is>
          <t>Rev.00 Word technical file generated — see DOCUMENT_LIBRARY.FILE_URI; drawings/photos may remain PENDING</t>
        </is>
      </c>
      <c r="Q29" t="inlineStr">
        <is>
          <t>2026-08-10T19:29:54Z</t>
        </is>
      </c>
      <c r="R29" t="inlineStr">
        <is>
          <t>2026-08-10T19:29:54Z</t>
        </is>
      </c>
    </row>
    <row r="30">
      <c r="A30" s="19" t="inlineStr">
        <is>
          <t>29</t>
        </is>
      </c>
      <c r="B30" s="19" t="inlineStr">
        <is>
          <t>IA-PPWR-TF-ST-030-STD-03-R00</t>
        </is>
      </c>
      <c r="C30" t="inlineStr">
        <is>
          <t>Technical File — ST-030-STD-03</t>
        </is>
      </c>
      <c r="D30" s="19" t="n"/>
      <c r="E30" s="19" t="inlineStr">
        <is>
          <t>29</t>
        </is>
      </c>
      <c r="F30" s="19" t="n"/>
      <c r="G30" t="n">
        <v>0</v>
      </c>
      <c r="J30" t="inlineStr">
        <is>
          <t>REV00 CURRENT EVIDENCE BASIS — ARTICLE 5 ASSESSMENT BASIS</t>
        </is>
      </c>
      <c r="K30" t="inlineStr">
        <is>
          <t>PENDING – DRAWINGS / PHOTOGRAPHS</t>
        </is>
      </c>
      <c r="L30" s="19" t="inlineStr">
        <is>
          <t>1</t>
        </is>
      </c>
      <c r="M30" s="19" t="inlineStr">
        <is>
          <t>2</t>
        </is>
      </c>
      <c r="N30" t="inlineStr">
        <is>
          <t>2026-08-08</t>
        </is>
      </c>
      <c r="P30" t="inlineStr">
        <is>
          <t>Rev.00 Word technical file generated — see DOCUMENT_LIBRARY.FILE_URI; drawings/photos may remain PENDING</t>
        </is>
      </c>
      <c r="Q30" t="inlineStr">
        <is>
          <t>2026-08-10T19:29:54Z</t>
        </is>
      </c>
      <c r="R30" t="inlineStr">
        <is>
          <t>2026-08-10T19:29:54Z</t>
        </is>
      </c>
    </row>
    <row r="31">
      <c r="A31" s="19" t="inlineStr">
        <is>
          <t>30</t>
        </is>
      </c>
      <c r="B31" s="19" t="inlineStr">
        <is>
          <t>IA-PPWR-TF-ST-030-STD-04-R00</t>
        </is>
      </c>
      <c r="C31" t="inlineStr">
        <is>
          <t>Technical File — ST-030-STD-04</t>
        </is>
      </c>
      <c r="D31" s="19" t="n"/>
      <c r="E31" s="19" t="inlineStr">
        <is>
          <t>30</t>
        </is>
      </c>
      <c r="F31" s="19" t="n"/>
      <c r="G31" t="n">
        <v>0</v>
      </c>
      <c r="J31" t="inlineStr">
        <is>
          <t>REV00 CURRENT EVIDENCE BASIS — ARTICLE 5 ASSESSMENT BASIS</t>
        </is>
      </c>
      <c r="K31" t="inlineStr">
        <is>
          <t>PENDING – DRAWINGS / PHOTOGRAPHS</t>
        </is>
      </c>
      <c r="L31" s="19" t="inlineStr">
        <is>
          <t>1</t>
        </is>
      </c>
      <c r="M31" s="19" t="inlineStr">
        <is>
          <t>2</t>
        </is>
      </c>
      <c r="N31" t="inlineStr">
        <is>
          <t>2026-08-08</t>
        </is>
      </c>
      <c r="P31" t="inlineStr">
        <is>
          <t>Rev.00 Word technical file generated — see DOCUMENT_LIBRARY.FILE_URI; drawings/photos may remain PENDING</t>
        </is>
      </c>
      <c r="Q31" t="inlineStr">
        <is>
          <t>2026-08-10T19:29:54Z</t>
        </is>
      </c>
      <c r="R31" t="inlineStr">
        <is>
          <t>2026-08-10T19:29:54Z</t>
        </is>
      </c>
    </row>
    <row r="32">
      <c r="A32" s="19" t="inlineStr">
        <is>
          <t>31</t>
        </is>
      </c>
      <c r="B32" s="19" t="inlineStr">
        <is>
          <t>IA-PPWR-TF-ST-030-STD-05-R00</t>
        </is>
      </c>
      <c r="C32" t="inlineStr">
        <is>
          <t>Technical File — ST-030-STD-05</t>
        </is>
      </c>
      <c r="D32" s="19" t="n"/>
      <c r="E32" s="19" t="inlineStr">
        <is>
          <t>31</t>
        </is>
      </c>
      <c r="F32" s="19" t="n"/>
      <c r="G32" t="n">
        <v>0</v>
      </c>
      <c r="J32" t="inlineStr">
        <is>
          <t>REV00 CURRENT EVIDENCE BASIS — ARTICLE 5 ASSESSMENT BASIS</t>
        </is>
      </c>
      <c r="K32" t="inlineStr">
        <is>
          <t>PENDING – DRAWINGS / PHOTOGRAPHS</t>
        </is>
      </c>
      <c r="L32" s="19" t="inlineStr">
        <is>
          <t>1</t>
        </is>
      </c>
      <c r="M32" s="19" t="inlineStr">
        <is>
          <t>2</t>
        </is>
      </c>
      <c r="N32" t="inlineStr">
        <is>
          <t>2026-08-08</t>
        </is>
      </c>
      <c r="P32" t="inlineStr">
        <is>
          <t>Rev.00 Word technical file generated — see DOCUMENT_LIBRARY.FILE_URI; drawings/photos may remain PENDING</t>
        </is>
      </c>
      <c r="Q32" t="inlineStr">
        <is>
          <t>2026-08-10T19:29:54Z</t>
        </is>
      </c>
      <c r="R32" t="inlineStr">
        <is>
          <t>2026-08-10T19:29:54Z</t>
        </is>
      </c>
    </row>
    <row r="33">
      <c r="A33" s="19" t="inlineStr">
        <is>
          <t>32</t>
        </is>
      </c>
      <c r="B33" s="19" t="inlineStr">
        <is>
          <t>IA-PPWR-TF-ST-030-STD-06-R00</t>
        </is>
      </c>
      <c r="C33" t="inlineStr">
        <is>
          <t>Technical File — ST-030-STD-06</t>
        </is>
      </c>
      <c r="D33" s="19" t="n"/>
      <c r="E33" s="19" t="inlineStr">
        <is>
          <t>32</t>
        </is>
      </c>
      <c r="F33" s="19" t="n"/>
      <c r="G33" t="n">
        <v>0</v>
      </c>
      <c r="J33" t="inlineStr">
        <is>
          <t>REV00 CURRENT EVIDENCE BASIS — ARTICLE 5 ASSESSMENT BASIS</t>
        </is>
      </c>
      <c r="K33" t="inlineStr">
        <is>
          <t>PENDING – DRAWINGS / PHOTOGRAPHS</t>
        </is>
      </c>
      <c r="L33" s="19" t="inlineStr">
        <is>
          <t>1</t>
        </is>
      </c>
      <c r="M33" s="19" t="inlineStr">
        <is>
          <t>2</t>
        </is>
      </c>
      <c r="N33" t="inlineStr">
        <is>
          <t>2026-08-08</t>
        </is>
      </c>
      <c r="P33" t="inlineStr">
        <is>
          <t>Rev.00 Word technical file generated — see DOCUMENT_LIBRARY.FILE_URI; drawings/photos may remain PENDING</t>
        </is>
      </c>
      <c r="Q33" t="inlineStr">
        <is>
          <t>2026-08-10T19:29:54Z</t>
        </is>
      </c>
      <c r="R33" t="inlineStr">
        <is>
          <t>2026-08-10T19:29:54Z</t>
        </is>
      </c>
    </row>
    <row r="34">
      <c r="A34" s="19" t="inlineStr">
        <is>
          <t>33</t>
        </is>
      </c>
      <c r="B34" s="19" t="inlineStr">
        <is>
          <t>IA-PPWR-TF-ST-030-STD-07-R00</t>
        </is>
      </c>
      <c r="C34" t="inlineStr">
        <is>
          <t>Technical File — ST-030-STD-07</t>
        </is>
      </c>
      <c r="D34" s="19" t="n"/>
      <c r="E34" s="19" t="inlineStr">
        <is>
          <t>33</t>
        </is>
      </c>
      <c r="F34" s="19" t="n"/>
      <c r="G34" t="n">
        <v>0</v>
      </c>
      <c r="J34" t="inlineStr">
        <is>
          <t>REV00 CURRENT EVIDENCE BASIS — ARTICLE 5 ASSESSMENT BASIS</t>
        </is>
      </c>
      <c r="K34" t="inlineStr">
        <is>
          <t>PENDING – DRAWINGS / PHOTOGRAPHS</t>
        </is>
      </c>
      <c r="L34" s="19" t="inlineStr">
        <is>
          <t>1</t>
        </is>
      </c>
      <c r="M34" s="19" t="inlineStr">
        <is>
          <t>2</t>
        </is>
      </c>
      <c r="N34" t="inlineStr">
        <is>
          <t>2026-08-08</t>
        </is>
      </c>
      <c r="P34" t="inlineStr">
        <is>
          <t>Rev.00 Word technical file generated — see DOCUMENT_LIBRARY.FILE_URI; drawings/photos may remain PENDING</t>
        </is>
      </c>
      <c r="Q34" t="inlineStr">
        <is>
          <t>2026-08-10T19:29:54Z</t>
        </is>
      </c>
      <c r="R34" t="inlineStr">
        <is>
          <t>2026-08-10T19:29:54Z</t>
        </is>
      </c>
    </row>
    <row r="35">
      <c r="A35" s="19" t="inlineStr">
        <is>
          <t>34</t>
        </is>
      </c>
      <c r="B35" s="19" t="inlineStr">
        <is>
          <t>IA-PPWR-TF-ST-030-STD-08-R00</t>
        </is>
      </c>
      <c r="C35" t="inlineStr">
        <is>
          <t>Technical File — ST-030-STD-08</t>
        </is>
      </c>
      <c r="D35" s="19" t="n"/>
      <c r="E35" s="19" t="inlineStr">
        <is>
          <t>34</t>
        </is>
      </c>
      <c r="F35" s="19" t="n"/>
      <c r="G35" t="n">
        <v>0</v>
      </c>
      <c r="J35" t="inlineStr">
        <is>
          <t>REV00 CURRENT EVIDENCE BASIS — ARTICLE 5 ASSESSMENT BASIS</t>
        </is>
      </c>
      <c r="K35" t="inlineStr">
        <is>
          <t>PENDING – DRAWINGS / PHOTOGRAPHS</t>
        </is>
      </c>
      <c r="L35" s="19" t="inlineStr">
        <is>
          <t>1</t>
        </is>
      </c>
      <c r="M35" s="19" t="inlineStr">
        <is>
          <t>2</t>
        </is>
      </c>
      <c r="N35" t="inlineStr">
        <is>
          <t>2026-08-08</t>
        </is>
      </c>
      <c r="P35" t="inlineStr">
        <is>
          <t>Rev.00 Word technical file generated — see DOCUMENT_LIBRARY.FILE_URI; drawings/photos may remain PENDING</t>
        </is>
      </c>
      <c r="Q35" t="inlineStr">
        <is>
          <t>2026-08-10T19:29:54Z</t>
        </is>
      </c>
      <c r="R35" t="inlineStr">
        <is>
          <t>2026-08-10T19:29:54Z</t>
        </is>
      </c>
    </row>
    <row r="36">
      <c r="A36" s="19" t="inlineStr">
        <is>
          <t>35</t>
        </is>
      </c>
      <c r="B36" s="19" t="inlineStr">
        <is>
          <t>IA-PPWR-TF-ST-030-STD-09-R00</t>
        </is>
      </c>
      <c r="C36" t="inlineStr">
        <is>
          <t>Technical File — ST-030-STD-09</t>
        </is>
      </c>
      <c r="D36" s="19" t="n"/>
      <c r="E36" s="19" t="inlineStr">
        <is>
          <t>35</t>
        </is>
      </c>
      <c r="F36" s="19" t="n"/>
      <c r="G36" t="n">
        <v>0</v>
      </c>
      <c r="J36" t="inlineStr">
        <is>
          <t>REV00 CURRENT EVIDENCE BASIS — ARTICLE 5 ASSESSMENT BASIS</t>
        </is>
      </c>
      <c r="K36" t="inlineStr">
        <is>
          <t>PENDING – DRAWINGS / PHOTOGRAPHS</t>
        </is>
      </c>
      <c r="L36" s="19" t="inlineStr">
        <is>
          <t>1</t>
        </is>
      </c>
      <c r="M36" s="19" t="inlineStr">
        <is>
          <t>2</t>
        </is>
      </c>
      <c r="N36" t="inlineStr">
        <is>
          <t>2026-08-08</t>
        </is>
      </c>
      <c r="P36" t="inlineStr">
        <is>
          <t>Rev.00 Word technical file generated — see DOCUMENT_LIBRARY.FILE_URI; drawings/photos may remain PENDING</t>
        </is>
      </c>
      <c r="Q36" t="inlineStr">
        <is>
          <t>2026-08-10T19:29:54Z</t>
        </is>
      </c>
      <c r="R36" t="inlineStr">
        <is>
          <t>2026-08-10T19:29:54Z</t>
        </is>
      </c>
    </row>
    <row r="37">
      <c r="A37" s="19" t="inlineStr">
        <is>
          <t>36</t>
        </is>
      </c>
      <c r="B37" s="19" t="inlineStr">
        <is>
          <t>IA-PPWR-TF-ST-030-STD-10-R00</t>
        </is>
      </c>
      <c r="C37" t="inlineStr">
        <is>
          <t>Technical File — ST-030-STD-10</t>
        </is>
      </c>
      <c r="D37" s="19" t="n"/>
      <c r="E37" s="19" t="inlineStr">
        <is>
          <t>36</t>
        </is>
      </c>
      <c r="F37" s="19" t="n"/>
      <c r="G37" t="n">
        <v>0</v>
      </c>
      <c r="J37" t="inlineStr">
        <is>
          <t>REV00 CURRENT EVIDENCE BASIS — ARTICLE 5 ASSESSMENT BASIS</t>
        </is>
      </c>
      <c r="K37" t="inlineStr">
        <is>
          <t>PENDING – DRAWINGS / PHOTOGRAPHS</t>
        </is>
      </c>
      <c r="L37" s="19" t="inlineStr">
        <is>
          <t>1</t>
        </is>
      </c>
      <c r="M37" s="19" t="inlineStr">
        <is>
          <t>2</t>
        </is>
      </c>
      <c r="N37" t="inlineStr">
        <is>
          <t>2026-08-08</t>
        </is>
      </c>
      <c r="P37" t="inlineStr">
        <is>
          <t>Rev.00 Word technical file generated — see DOCUMENT_LIBRARY.FILE_URI; drawings/photos may remain PENDING</t>
        </is>
      </c>
      <c r="Q37" t="inlineStr">
        <is>
          <t>2026-08-10T19:29:54Z</t>
        </is>
      </c>
      <c r="R37" t="inlineStr">
        <is>
          <t>2026-08-10T19:29:54Z</t>
        </is>
      </c>
    </row>
    <row r="38">
      <c r="A38" s="19" t="inlineStr">
        <is>
          <t>37</t>
        </is>
      </c>
      <c r="B38" s="19" t="inlineStr">
        <is>
          <t>IA-PPWR-TF-ST-030-STD-11-R00</t>
        </is>
      </c>
      <c r="C38" t="inlineStr">
        <is>
          <t>Technical File — ST-030-STD-11</t>
        </is>
      </c>
      <c r="D38" s="19" t="n"/>
      <c r="E38" s="19" t="inlineStr">
        <is>
          <t>37</t>
        </is>
      </c>
      <c r="F38" s="19" t="n"/>
      <c r="G38" t="n">
        <v>0</v>
      </c>
      <c r="J38" t="inlineStr">
        <is>
          <t>REV00 CURRENT EVIDENCE BASIS — ARTICLE 5 ASSESSMENT BASIS</t>
        </is>
      </c>
      <c r="K38" t="inlineStr">
        <is>
          <t>PENDING – DRAWINGS / PHOTOGRAPHS</t>
        </is>
      </c>
      <c r="L38" s="19" t="inlineStr">
        <is>
          <t>1</t>
        </is>
      </c>
      <c r="M38" s="19" t="inlineStr">
        <is>
          <t>2</t>
        </is>
      </c>
      <c r="N38" t="inlineStr">
        <is>
          <t>2026-08-08</t>
        </is>
      </c>
      <c r="P38" t="inlineStr">
        <is>
          <t>Rev.00 Word technical file generated — see DOCUMENT_LIBRARY.FILE_URI; drawings/photos may remain PENDING</t>
        </is>
      </c>
      <c r="Q38" t="inlineStr">
        <is>
          <t>2026-08-10T19:29:54Z</t>
        </is>
      </c>
      <c r="R38" t="inlineStr">
        <is>
          <t>2026-08-10T19:29:54Z</t>
        </is>
      </c>
    </row>
    <row r="39">
      <c r="A39" s="19" t="inlineStr">
        <is>
          <t>38</t>
        </is>
      </c>
      <c r="B39" s="19" t="inlineStr">
        <is>
          <t>IA-PPWR-TF-ST-033-EUR-01-R00</t>
        </is>
      </c>
      <c r="C39" t="inlineStr">
        <is>
          <t>Technical File — ST-033-EUR-01</t>
        </is>
      </c>
      <c r="D39" s="19" t="n"/>
      <c r="E39" s="19" t="inlineStr">
        <is>
          <t>38</t>
        </is>
      </c>
      <c r="F39" s="19" t="n"/>
      <c r="G39" t="n">
        <v>0</v>
      </c>
      <c r="J39" t="inlineStr">
        <is>
          <t>REV00 CURRENT EVIDENCE BASIS — ARTICLE 5 ASSESSMENT BASIS</t>
        </is>
      </c>
      <c r="K39" t="inlineStr">
        <is>
          <t>PENDING – DRAWINGS / PHOTOGRAPHS</t>
        </is>
      </c>
      <c r="L39" s="19" t="inlineStr">
        <is>
          <t>1</t>
        </is>
      </c>
      <c r="M39" s="19" t="inlineStr">
        <is>
          <t>2</t>
        </is>
      </c>
      <c r="N39" t="inlineStr">
        <is>
          <t>2026-08-08</t>
        </is>
      </c>
      <c r="P39" t="inlineStr">
        <is>
          <t>Rev.00 Word technical file generated — see DOCUMENT_LIBRARY.FILE_URI; drawings/photos may remain PENDING</t>
        </is>
      </c>
      <c r="Q39" t="inlineStr">
        <is>
          <t>2026-08-10T19:29:54Z</t>
        </is>
      </c>
      <c r="R39" t="inlineStr">
        <is>
          <t>2026-08-10T19:29:54Z</t>
        </is>
      </c>
    </row>
    <row r="40">
      <c r="A40" s="19" t="inlineStr">
        <is>
          <t>39</t>
        </is>
      </c>
      <c r="B40" s="19" t="inlineStr">
        <is>
          <t>IA-PPWR-TF-ST-034-STD-01-R00</t>
        </is>
      </c>
      <c r="C40" t="inlineStr">
        <is>
          <t>Technical File — ST-034-STD-01</t>
        </is>
      </c>
      <c r="D40" s="19" t="n"/>
      <c r="E40" s="19" t="inlineStr">
        <is>
          <t>39</t>
        </is>
      </c>
      <c r="F40" s="19" t="n"/>
      <c r="G40" t="n">
        <v>0</v>
      </c>
      <c r="J40" t="inlineStr">
        <is>
          <t>REV00 CURRENT EVIDENCE BASIS — ARTICLE 5 ASSESSMENT BASIS</t>
        </is>
      </c>
      <c r="K40" t="inlineStr">
        <is>
          <t>PENDING – DRAWINGS / PHOTOGRAPHS</t>
        </is>
      </c>
      <c r="L40" s="19" t="inlineStr">
        <is>
          <t>1</t>
        </is>
      </c>
      <c r="M40" s="19" t="inlineStr">
        <is>
          <t>2</t>
        </is>
      </c>
      <c r="N40" t="inlineStr">
        <is>
          <t>2026-08-08</t>
        </is>
      </c>
      <c r="P40" t="inlineStr">
        <is>
          <t>Rev.00 Word technical file generated — see DOCUMENT_LIBRARY.FILE_URI; drawings/photos may remain PENDING</t>
        </is>
      </c>
      <c r="Q40" t="inlineStr">
        <is>
          <t>2026-08-10T19:29:54Z</t>
        </is>
      </c>
      <c r="R40" t="inlineStr">
        <is>
          <t>2026-08-10T19:29:54Z</t>
        </is>
      </c>
    </row>
    <row r="41">
      <c r="A41" s="19" t="inlineStr">
        <is>
          <t>40</t>
        </is>
      </c>
      <c r="B41" s="19" t="inlineStr">
        <is>
          <t>IA-PPWR-TF-ST-034-STD-02-R00</t>
        </is>
      </c>
      <c r="C41" t="inlineStr">
        <is>
          <t>Technical File — ST-034-STD-02</t>
        </is>
      </c>
      <c r="D41" s="19" t="n"/>
      <c r="E41" s="19" t="inlineStr">
        <is>
          <t>40</t>
        </is>
      </c>
      <c r="F41" s="19" t="n"/>
      <c r="G41" t="n">
        <v>0</v>
      </c>
      <c r="J41" t="inlineStr">
        <is>
          <t>REV00 CURRENT EVIDENCE BASIS — ARTICLE 5 ASSESSMENT BASIS</t>
        </is>
      </c>
      <c r="K41" t="inlineStr">
        <is>
          <t>PENDING – DRAWINGS / PHOTOGRAPHS</t>
        </is>
      </c>
      <c r="L41" s="19" t="inlineStr">
        <is>
          <t>1</t>
        </is>
      </c>
      <c r="M41" s="19" t="inlineStr">
        <is>
          <t>2</t>
        </is>
      </c>
      <c r="N41" t="inlineStr">
        <is>
          <t>2026-08-08</t>
        </is>
      </c>
      <c r="P41" t="inlineStr">
        <is>
          <t>Rev.00 Word technical file generated — see DOCUMENT_LIBRARY.FILE_URI; drawings/photos may remain PENDING</t>
        </is>
      </c>
      <c r="Q41" t="inlineStr">
        <is>
          <t>2026-08-10T19:29:54Z</t>
        </is>
      </c>
      <c r="R41" t="inlineStr">
        <is>
          <t>2026-08-10T19:29:54Z</t>
        </is>
      </c>
    </row>
    <row r="42">
      <c r="A42" s="19" t="inlineStr">
        <is>
          <t>41</t>
        </is>
      </c>
      <c r="B42" s="19" t="inlineStr">
        <is>
          <t>IA-PPWR-TF-ST-036-EUR-01-R00</t>
        </is>
      </c>
      <c r="C42" t="inlineStr">
        <is>
          <t>Technical File — ST-036-EUR-01</t>
        </is>
      </c>
      <c r="D42" s="19" t="n"/>
      <c r="E42" s="19" t="inlineStr">
        <is>
          <t>41</t>
        </is>
      </c>
      <c r="F42" s="19" t="n"/>
      <c r="G42" t="n">
        <v>0</v>
      </c>
      <c r="J42" t="inlineStr">
        <is>
          <t>REV00 CURRENT EVIDENCE BASIS — ARTICLE 5 ASSESSMENT BASIS</t>
        </is>
      </c>
      <c r="K42" t="inlineStr">
        <is>
          <t>PENDING – DRAWINGS / PHOTOGRAPHS</t>
        </is>
      </c>
      <c r="L42" s="19" t="inlineStr">
        <is>
          <t>1</t>
        </is>
      </c>
      <c r="M42" s="19" t="inlineStr">
        <is>
          <t>2</t>
        </is>
      </c>
      <c r="N42" t="inlineStr">
        <is>
          <t>2026-08-08</t>
        </is>
      </c>
      <c r="P42" t="inlineStr">
        <is>
          <t>Rev.00 Word technical file generated — see DOCUMENT_LIBRARY.FILE_URI; drawings/photos may remain PENDING</t>
        </is>
      </c>
      <c r="Q42" t="inlineStr">
        <is>
          <t>2026-08-10T19:29:54Z</t>
        </is>
      </c>
      <c r="R42" t="inlineStr">
        <is>
          <t>2026-08-10T19:29:54Z</t>
        </is>
      </c>
    </row>
    <row r="43">
      <c r="A43" s="19" t="inlineStr">
        <is>
          <t>42</t>
        </is>
      </c>
      <c r="B43" s="19" t="inlineStr">
        <is>
          <t>IA-PPWR-TF-ST-036-EUR-02-R00</t>
        </is>
      </c>
      <c r="C43" t="inlineStr">
        <is>
          <t>Technical File — ST-036-EUR-02</t>
        </is>
      </c>
      <c r="D43" s="19" t="n"/>
      <c r="E43" s="19" t="inlineStr">
        <is>
          <t>42</t>
        </is>
      </c>
      <c r="F43" s="19" t="n"/>
      <c r="G43" t="n">
        <v>0</v>
      </c>
      <c r="J43" t="inlineStr">
        <is>
          <t>REV00 CURRENT EVIDENCE BASIS — ARTICLE 5 ASSESSMENT BASIS</t>
        </is>
      </c>
      <c r="K43" t="inlineStr">
        <is>
          <t>PENDING – DRAWINGS / PHOTOGRAPHS</t>
        </is>
      </c>
      <c r="L43" s="19" t="inlineStr">
        <is>
          <t>1</t>
        </is>
      </c>
      <c r="M43" s="19" t="inlineStr">
        <is>
          <t>2</t>
        </is>
      </c>
      <c r="N43" t="inlineStr">
        <is>
          <t>2026-08-08</t>
        </is>
      </c>
      <c r="P43" t="inlineStr">
        <is>
          <t>Rev.00 Word technical file generated — see DOCUMENT_LIBRARY.FILE_URI; drawings/photos may remain PENDING</t>
        </is>
      </c>
      <c r="Q43" t="inlineStr">
        <is>
          <t>2026-08-10T19:29:54Z</t>
        </is>
      </c>
      <c r="R43" t="inlineStr">
        <is>
          <t>2026-08-10T19:29:54Z</t>
        </is>
      </c>
    </row>
    <row r="44">
      <c r="A44" s="19" t="inlineStr">
        <is>
          <t>43</t>
        </is>
      </c>
      <c r="B44" s="19" t="inlineStr">
        <is>
          <t>IA-PPWR-TF-ST-036-EUR-03-R00</t>
        </is>
      </c>
      <c r="C44" t="inlineStr">
        <is>
          <t>Technical File — ST-036-EUR-03</t>
        </is>
      </c>
      <c r="D44" s="19" t="n"/>
      <c r="E44" s="19" t="inlineStr">
        <is>
          <t>43</t>
        </is>
      </c>
      <c r="F44" s="19" t="n"/>
      <c r="G44" t="n">
        <v>0</v>
      </c>
      <c r="J44" t="inlineStr">
        <is>
          <t>REV00 CURRENT EVIDENCE BASIS — ARTICLE 5 ASSESSMENT BASIS</t>
        </is>
      </c>
      <c r="K44" t="inlineStr">
        <is>
          <t>PENDING – DRAWINGS / PHOTOGRAPHS</t>
        </is>
      </c>
      <c r="L44" s="19" t="inlineStr">
        <is>
          <t>1</t>
        </is>
      </c>
      <c r="M44" s="19" t="inlineStr">
        <is>
          <t>2</t>
        </is>
      </c>
      <c r="N44" t="inlineStr">
        <is>
          <t>2026-08-08</t>
        </is>
      </c>
      <c r="P44" t="inlineStr">
        <is>
          <t>Rev.00 Word technical file generated — see DOCUMENT_LIBRARY.FILE_URI; drawings/photos may remain PENDING</t>
        </is>
      </c>
      <c r="Q44" t="inlineStr">
        <is>
          <t>2026-08-10T19:29:54Z</t>
        </is>
      </c>
      <c r="R44" t="inlineStr">
        <is>
          <t>2026-08-10T19:29:54Z</t>
        </is>
      </c>
    </row>
    <row r="45">
      <c r="A45" s="19" t="inlineStr">
        <is>
          <t>44</t>
        </is>
      </c>
      <c r="B45" s="19" t="inlineStr">
        <is>
          <t>IA-PPWR-TF-ST-036-EUR-04-R00</t>
        </is>
      </c>
      <c r="C45" t="inlineStr">
        <is>
          <t>Technical File — ST-036-EUR-04</t>
        </is>
      </c>
      <c r="D45" s="19" t="n"/>
      <c r="E45" s="19" t="inlineStr">
        <is>
          <t>44</t>
        </is>
      </c>
      <c r="F45" s="19" t="n"/>
      <c r="G45" t="n">
        <v>0</v>
      </c>
      <c r="J45" t="inlineStr">
        <is>
          <t>REV00 CURRENT EVIDENCE BASIS — ARTICLE 5 ASSESSMENT BASIS</t>
        </is>
      </c>
      <c r="K45" t="inlineStr">
        <is>
          <t>PENDING – DRAWINGS / PHOTOGRAPHS</t>
        </is>
      </c>
      <c r="L45" s="19" t="inlineStr">
        <is>
          <t>1</t>
        </is>
      </c>
      <c r="M45" s="19" t="inlineStr">
        <is>
          <t>2</t>
        </is>
      </c>
      <c r="N45" t="inlineStr">
        <is>
          <t>2026-08-08</t>
        </is>
      </c>
      <c r="P45" t="inlineStr">
        <is>
          <t>Rev.00 Word technical file generated — see DOCUMENT_LIBRARY.FILE_URI; drawings/photos may remain PENDING</t>
        </is>
      </c>
      <c r="Q45" t="inlineStr">
        <is>
          <t>2026-08-10T19:29:54Z</t>
        </is>
      </c>
      <c r="R45" t="inlineStr">
        <is>
          <t>2026-08-10T19:29:54Z</t>
        </is>
      </c>
    </row>
    <row r="46">
      <c r="A46" s="19" t="inlineStr">
        <is>
          <t>45</t>
        </is>
      </c>
      <c r="B46" s="19" t="inlineStr">
        <is>
          <t>IA-PPWR-TF-ST-036-EUR-05-R00</t>
        </is>
      </c>
      <c r="C46" t="inlineStr">
        <is>
          <t>Technical File — ST-036-EUR-05</t>
        </is>
      </c>
      <c r="D46" s="19" t="n"/>
      <c r="E46" s="19" t="inlineStr">
        <is>
          <t>45</t>
        </is>
      </c>
      <c r="F46" s="19" t="n"/>
      <c r="G46" t="n">
        <v>0</v>
      </c>
      <c r="J46" t="inlineStr">
        <is>
          <t>REV00 CURRENT EVIDENCE BASIS — ARTICLE 5 ASSESSMENT BASIS</t>
        </is>
      </c>
      <c r="K46" t="inlineStr">
        <is>
          <t>PENDING – DRAWINGS / PHOTOGRAPHS</t>
        </is>
      </c>
      <c r="L46" s="19" t="inlineStr">
        <is>
          <t>1</t>
        </is>
      </c>
      <c r="M46" s="19" t="inlineStr">
        <is>
          <t>2</t>
        </is>
      </c>
      <c r="N46" t="inlineStr">
        <is>
          <t>2026-08-08</t>
        </is>
      </c>
      <c r="P46" t="inlineStr">
        <is>
          <t>Rev.00 Word technical file generated — see DOCUMENT_LIBRARY.FILE_URI; drawings/photos may remain PENDING</t>
        </is>
      </c>
      <c r="Q46" t="inlineStr">
        <is>
          <t>2026-08-10T19:29:54Z</t>
        </is>
      </c>
      <c r="R46" t="inlineStr">
        <is>
          <t>2026-08-10T19:29:54Z</t>
        </is>
      </c>
    </row>
    <row r="47">
      <c r="A47" s="19" t="inlineStr">
        <is>
          <t>46</t>
        </is>
      </c>
      <c r="B47" s="19" t="inlineStr">
        <is>
          <t>IA-PPWR-TF-ST-036-EUR-06-R00</t>
        </is>
      </c>
      <c r="C47" t="inlineStr">
        <is>
          <t>Technical File — ST-036-EUR-06</t>
        </is>
      </c>
      <c r="D47" s="19" t="n"/>
      <c r="E47" s="19" t="inlineStr">
        <is>
          <t>46</t>
        </is>
      </c>
      <c r="F47" s="19" t="n"/>
      <c r="G47" t="n">
        <v>0</v>
      </c>
      <c r="J47" t="inlineStr">
        <is>
          <t>REV00 CURRENT EVIDENCE BASIS — ARTICLE 5 ASSESSMENT BASIS</t>
        </is>
      </c>
      <c r="K47" t="inlineStr">
        <is>
          <t>PENDING – DRAWINGS / PHOTOGRAPHS</t>
        </is>
      </c>
      <c r="L47" s="19" t="inlineStr">
        <is>
          <t>1</t>
        </is>
      </c>
      <c r="M47" s="19" t="inlineStr">
        <is>
          <t>2</t>
        </is>
      </c>
      <c r="N47" t="inlineStr">
        <is>
          <t>2026-08-08</t>
        </is>
      </c>
      <c r="P47" t="inlineStr">
        <is>
          <t>Rev.00 Word technical file generated — see DOCUMENT_LIBRARY.FILE_URI; drawings/photos may remain PENDING</t>
        </is>
      </c>
      <c r="Q47" t="inlineStr">
        <is>
          <t>2026-08-10T19:29:54Z</t>
        </is>
      </c>
      <c r="R47" t="inlineStr">
        <is>
          <t>2026-08-10T19:29:54Z</t>
        </is>
      </c>
    </row>
    <row r="48">
      <c r="A48" s="19" t="inlineStr">
        <is>
          <t>47</t>
        </is>
      </c>
      <c r="B48" s="19" t="inlineStr">
        <is>
          <t>IA-PPWR-TF-ST-036-EUR-07-R00</t>
        </is>
      </c>
      <c r="C48" t="inlineStr">
        <is>
          <t>Technical File — ST-036-EUR-07</t>
        </is>
      </c>
      <c r="D48" s="19" t="n"/>
      <c r="E48" s="19" t="inlineStr">
        <is>
          <t>47</t>
        </is>
      </c>
      <c r="F48" s="19" t="n"/>
      <c r="G48" t="n">
        <v>0</v>
      </c>
      <c r="J48" t="inlineStr">
        <is>
          <t>REV00 CURRENT EVIDENCE BASIS — ARTICLE 5 ASSESSMENT BASIS</t>
        </is>
      </c>
      <c r="K48" t="inlineStr">
        <is>
          <t>PENDING – DRAWINGS / PHOTOGRAPHS</t>
        </is>
      </c>
      <c r="L48" s="19" t="inlineStr">
        <is>
          <t>1</t>
        </is>
      </c>
      <c r="M48" s="19" t="inlineStr">
        <is>
          <t>2</t>
        </is>
      </c>
      <c r="N48" t="inlineStr">
        <is>
          <t>2026-08-08</t>
        </is>
      </c>
      <c r="P48" t="inlineStr">
        <is>
          <t>Rev.00 Word technical file generated — see DOCUMENT_LIBRARY.FILE_URI; drawings/photos may remain PENDING</t>
        </is>
      </c>
      <c r="Q48" t="inlineStr">
        <is>
          <t>2026-08-10T19:29:54Z</t>
        </is>
      </c>
      <c r="R48" t="inlineStr">
        <is>
          <t>2026-08-10T19:29:54Z</t>
        </is>
      </c>
    </row>
    <row r="49">
      <c r="A49" s="19" t="inlineStr">
        <is>
          <t>48</t>
        </is>
      </c>
      <c r="B49" s="19" t="inlineStr">
        <is>
          <t>IA-PPWR-TF-ST-036-STD-01-R00</t>
        </is>
      </c>
      <c r="C49" t="inlineStr">
        <is>
          <t>Technical File — ST-036-STD-01</t>
        </is>
      </c>
      <c r="D49" s="19" t="n"/>
      <c r="E49" s="19" t="inlineStr">
        <is>
          <t>48</t>
        </is>
      </c>
      <c r="F49" s="19" t="n"/>
      <c r="G49" t="n">
        <v>0</v>
      </c>
      <c r="J49" t="inlineStr">
        <is>
          <t>REV00 CURRENT EVIDENCE BASIS — ARTICLE 5 ASSESSMENT BASIS</t>
        </is>
      </c>
      <c r="K49" t="inlineStr">
        <is>
          <t>PENDING – DRAWINGS / PHOTOGRAPHS</t>
        </is>
      </c>
      <c r="L49" s="19" t="inlineStr">
        <is>
          <t>1</t>
        </is>
      </c>
      <c r="M49" s="19" t="inlineStr">
        <is>
          <t>2</t>
        </is>
      </c>
      <c r="N49" t="inlineStr">
        <is>
          <t>2026-08-08</t>
        </is>
      </c>
      <c r="P49" t="inlineStr">
        <is>
          <t>Rev.00 Word technical file generated — see DOCUMENT_LIBRARY.FILE_URI; drawings/photos may remain PENDING</t>
        </is>
      </c>
      <c r="Q49" t="inlineStr">
        <is>
          <t>2026-08-10T19:29:54Z</t>
        </is>
      </c>
      <c r="R49" t="inlineStr">
        <is>
          <t>2026-08-10T19:29:54Z</t>
        </is>
      </c>
    </row>
    <row r="50">
      <c r="A50" s="19" t="inlineStr">
        <is>
          <t>49</t>
        </is>
      </c>
      <c r="B50" s="19" t="inlineStr">
        <is>
          <t>IA-PPWR-TF-ST-036-STD-02-R00</t>
        </is>
      </c>
      <c r="C50" t="inlineStr">
        <is>
          <t>Technical File — ST-036-STD-02</t>
        </is>
      </c>
      <c r="D50" s="19" t="n"/>
      <c r="E50" s="19" t="inlineStr">
        <is>
          <t>49</t>
        </is>
      </c>
      <c r="F50" s="19" t="n"/>
      <c r="G50" t="n">
        <v>0</v>
      </c>
      <c r="J50" t="inlineStr">
        <is>
          <t>REV00 CURRENT EVIDENCE BASIS — ARTICLE 5 ASSESSMENT BASIS</t>
        </is>
      </c>
      <c r="K50" t="inlineStr">
        <is>
          <t>PENDING – DRAWINGS / PHOTOGRAPHS</t>
        </is>
      </c>
      <c r="L50" s="19" t="inlineStr">
        <is>
          <t>1</t>
        </is>
      </c>
      <c r="M50" s="19" t="inlineStr">
        <is>
          <t>2</t>
        </is>
      </c>
      <c r="N50" t="inlineStr">
        <is>
          <t>2026-08-08</t>
        </is>
      </c>
      <c r="P50" t="inlineStr">
        <is>
          <t>Rev.00 Word technical file generated — see DOCUMENT_LIBRARY.FILE_URI; drawings/photos may remain PENDING</t>
        </is>
      </c>
      <c r="Q50" t="inlineStr">
        <is>
          <t>2026-08-10T19:29:54Z</t>
        </is>
      </c>
      <c r="R50" t="inlineStr">
        <is>
          <t>2026-08-10T19:29:54Z</t>
        </is>
      </c>
    </row>
    <row r="51">
      <c r="A51" s="19" t="inlineStr">
        <is>
          <t>50</t>
        </is>
      </c>
      <c r="B51" s="19" t="inlineStr">
        <is>
          <t>IA-PPWR-TF-ST-036-STD-03-R00</t>
        </is>
      </c>
      <c r="C51" t="inlineStr">
        <is>
          <t>Technical File — ST-036-STD-03</t>
        </is>
      </c>
      <c r="D51" s="19" t="n"/>
      <c r="E51" s="19" t="inlineStr">
        <is>
          <t>50</t>
        </is>
      </c>
      <c r="F51" s="19" t="n"/>
      <c r="G51" t="n">
        <v>0</v>
      </c>
      <c r="J51" t="inlineStr">
        <is>
          <t>REV00 CURRENT EVIDENCE BASIS — ARTICLE 5 ASSESSMENT BASIS</t>
        </is>
      </c>
      <c r="K51" t="inlineStr">
        <is>
          <t>PENDING – DRAWINGS / PHOTOGRAPHS</t>
        </is>
      </c>
      <c r="L51" s="19" t="inlineStr">
        <is>
          <t>1</t>
        </is>
      </c>
      <c r="M51" s="19" t="inlineStr">
        <is>
          <t>2</t>
        </is>
      </c>
      <c r="N51" t="inlineStr">
        <is>
          <t>2026-08-08</t>
        </is>
      </c>
      <c r="P51" t="inlineStr">
        <is>
          <t>Rev.00 Word technical file generated — see DOCUMENT_LIBRARY.FILE_URI; drawings/photos may remain PENDING</t>
        </is>
      </c>
      <c r="Q51" t="inlineStr">
        <is>
          <t>2026-08-10T19:29:54Z</t>
        </is>
      </c>
      <c r="R51" t="inlineStr">
        <is>
          <t>2026-08-10T19:29:54Z</t>
        </is>
      </c>
    </row>
    <row r="52">
      <c r="A52" s="19" t="inlineStr">
        <is>
          <t>51</t>
        </is>
      </c>
      <c r="B52" s="19" t="inlineStr">
        <is>
          <t>IA-PPWR-TF-ST-042-EUR-01-R00</t>
        </is>
      </c>
      <c r="C52" t="inlineStr">
        <is>
          <t>Technical File — ST-042-EUR-01</t>
        </is>
      </c>
      <c r="D52" s="19" t="n"/>
      <c r="E52" s="19" t="inlineStr">
        <is>
          <t>51</t>
        </is>
      </c>
      <c r="F52" s="19" t="n"/>
      <c r="G52" t="n">
        <v>0</v>
      </c>
      <c r="J52" t="inlineStr">
        <is>
          <t>REV00 CURRENT EVIDENCE BASIS — ARTICLE 5 ASSESSMENT BASIS</t>
        </is>
      </c>
      <c r="K52" t="inlineStr">
        <is>
          <t>PENDING – DRAWINGS / PHOTOGRAPHS</t>
        </is>
      </c>
      <c r="L52" s="19" t="inlineStr">
        <is>
          <t>1</t>
        </is>
      </c>
      <c r="M52" s="19" t="inlineStr">
        <is>
          <t>2</t>
        </is>
      </c>
      <c r="N52" t="inlineStr">
        <is>
          <t>2026-08-08</t>
        </is>
      </c>
      <c r="P52" t="inlineStr">
        <is>
          <t>Rev.00 Word technical file generated — see DOCUMENT_LIBRARY.FILE_URI; drawings/photos may remain PENDING</t>
        </is>
      </c>
      <c r="Q52" t="inlineStr">
        <is>
          <t>2026-08-10T19:29:54Z</t>
        </is>
      </c>
      <c r="R52" t="inlineStr">
        <is>
          <t>2026-08-10T19:29:54Z</t>
        </is>
      </c>
    </row>
    <row r="53">
      <c r="A53" s="19" t="inlineStr">
        <is>
          <t>52</t>
        </is>
      </c>
      <c r="B53" s="19" t="inlineStr">
        <is>
          <t>IA-PPWR-TF-ST-042-EUR-02-R00</t>
        </is>
      </c>
      <c r="C53" t="inlineStr">
        <is>
          <t>Technical File — ST-042-EUR-02</t>
        </is>
      </c>
      <c r="D53" s="19" t="n"/>
      <c r="E53" s="19" t="inlineStr">
        <is>
          <t>52</t>
        </is>
      </c>
      <c r="F53" s="19" t="n"/>
      <c r="G53" t="n">
        <v>0</v>
      </c>
      <c r="J53" t="inlineStr">
        <is>
          <t>REV00 CURRENT EVIDENCE BASIS — ARTICLE 5 ASSESSMENT BASIS</t>
        </is>
      </c>
      <c r="K53" t="inlineStr">
        <is>
          <t>PENDING – DRAWINGS / PHOTOGRAPHS</t>
        </is>
      </c>
      <c r="L53" s="19" t="inlineStr">
        <is>
          <t>1</t>
        </is>
      </c>
      <c r="M53" s="19" t="inlineStr">
        <is>
          <t>2</t>
        </is>
      </c>
      <c r="N53" t="inlineStr">
        <is>
          <t>2026-08-08</t>
        </is>
      </c>
      <c r="P53" t="inlineStr">
        <is>
          <t>Rev.00 Word technical file generated — see DOCUMENT_LIBRARY.FILE_URI; drawings/photos may remain PENDING</t>
        </is>
      </c>
      <c r="Q53" t="inlineStr">
        <is>
          <t>2026-08-10T19:29:54Z</t>
        </is>
      </c>
      <c r="R53" t="inlineStr">
        <is>
          <t>2026-08-10T19:29:54Z</t>
        </is>
      </c>
    </row>
    <row r="54">
      <c r="A54" s="19" t="inlineStr">
        <is>
          <t>53</t>
        </is>
      </c>
      <c r="B54" s="19" t="inlineStr">
        <is>
          <t>IA-PPWR-TF-ST-042-EUR-03-R00</t>
        </is>
      </c>
      <c r="C54" t="inlineStr">
        <is>
          <t>Technical File — ST-042-EUR-03</t>
        </is>
      </c>
      <c r="D54" s="19" t="n"/>
      <c r="E54" s="19" t="inlineStr">
        <is>
          <t>53</t>
        </is>
      </c>
      <c r="F54" s="19" t="n"/>
      <c r="G54" t="n">
        <v>0</v>
      </c>
      <c r="J54" t="inlineStr">
        <is>
          <t>REV00 CURRENT EVIDENCE BASIS — ARTICLE 5 ASSESSMENT BASIS</t>
        </is>
      </c>
      <c r="K54" t="inlineStr">
        <is>
          <t>PENDING – DRAWINGS / PHOTOGRAPHS</t>
        </is>
      </c>
      <c r="L54" s="19" t="inlineStr">
        <is>
          <t>1</t>
        </is>
      </c>
      <c r="M54" s="19" t="inlineStr">
        <is>
          <t>2</t>
        </is>
      </c>
      <c r="N54" t="inlineStr">
        <is>
          <t>2026-08-08</t>
        </is>
      </c>
      <c r="P54" t="inlineStr">
        <is>
          <t>Rev.00 Word technical file generated — see DOCUMENT_LIBRARY.FILE_URI; drawings/photos may remain PENDING</t>
        </is>
      </c>
      <c r="Q54" t="inlineStr">
        <is>
          <t>2026-08-10T19:29:54Z</t>
        </is>
      </c>
      <c r="R54" t="inlineStr">
        <is>
          <t>2026-08-10T19:29:54Z</t>
        </is>
      </c>
    </row>
    <row r="55">
      <c r="A55" s="19" t="inlineStr">
        <is>
          <t>54</t>
        </is>
      </c>
      <c r="B55" s="19" t="inlineStr">
        <is>
          <t>IA-PPWR-TF-ST-042-EUR-04-R00</t>
        </is>
      </c>
      <c r="C55" t="inlineStr">
        <is>
          <t>Technical File — ST-042-EUR-04</t>
        </is>
      </c>
      <c r="D55" s="19" t="n"/>
      <c r="E55" s="19" t="inlineStr">
        <is>
          <t>54</t>
        </is>
      </c>
      <c r="F55" s="19" t="n"/>
      <c r="G55" t="n">
        <v>0</v>
      </c>
      <c r="J55" t="inlineStr">
        <is>
          <t>REV00 CURRENT EVIDENCE BASIS — ARTICLE 5 ASSESSMENT BASIS</t>
        </is>
      </c>
      <c r="K55" t="inlineStr">
        <is>
          <t>PENDING – DRAWINGS / PHOTOGRAPHS</t>
        </is>
      </c>
      <c r="L55" s="19" t="inlineStr">
        <is>
          <t>1</t>
        </is>
      </c>
      <c r="M55" s="19" t="inlineStr">
        <is>
          <t>2</t>
        </is>
      </c>
      <c r="N55" t="inlineStr">
        <is>
          <t>2026-08-08</t>
        </is>
      </c>
      <c r="P55" t="inlineStr">
        <is>
          <t>Rev.00 Word technical file generated — see DOCUMENT_LIBRARY.FILE_URI; drawings/photos may remain PENDING</t>
        </is>
      </c>
      <c r="Q55" t="inlineStr">
        <is>
          <t>2026-08-10T19:29:54Z</t>
        </is>
      </c>
      <c r="R55" t="inlineStr">
        <is>
          <t>2026-08-10T19:29:54Z</t>
        </is>
      </c>
    </row>
    <row r="56">
      <c r="A56" s="19" t="inlineStr">
        <is>
          <t>55</t>
        </is>
      </c>
      <c r="B56" s="19" t="inlineStr">
        <is>
          <t>IA-PPWR-TF-ST-042-STD-01-R00</t>
        </is>
      </c>
      <c r="C56" t="inlineStr">
        <is>
          <t>Technical File — ST-042-STD-01</t>
        </is>
      </c>
      <c r="D56" s="19" t="n"/>
      <c r="E56" s="19" t="inlineStr">
        <is>
          <t>55</t>
        </is>
      </c>
      <c r="F56" s="19" t="n"/>
      <c r="G56" t="n">
        <v>0</v>
      </c>
      <c r="J56" t="inlineStr">
        <is>
          <t>REV00 CURRENT EVIDENCE BASIS — ARTICLE 5 ASSESSMENT BASIS</t>
        </is>
      </c>
      <c r="K56" t="inlineStr">
        <is>
          <t>PENDING – DRAWINGS / PHOTOGRAPHS</t>
        </is>
      </c>
      <c r="L56" s="19" t="inlineStr">
        <is>
          <t>1</t>
        </is>
      </c>
      <c r="M56" s="19" t="inlineStr">
        <is>
          <t>2</t>
        </is>
      </c>
      <c r="N56" t="inlineStr">
        <is>
          <t>2026-08-08</t>
        </is>
      </c>
      <c r="P56" t="inlineStr">
        <is>
          <t>Rev.00 Word technical file generated — see DOCUMENT_LIBRARY.FILE_URI; drawings/photos may remain PENDING</t>
        </is>
      </c>
      <c r="Q56" t="inlineStr">
        <is>
          <t>2026-08-10T19:29:54Z</t>
        </is>
      </c>
      <c r="R56" t="inlineStr">
        <is>
          <t>2026-08-10T19:29:54Z</t>
        </is>
      </c>
    </row>
    <row r="57">
      <c r="A57" s="19" t="inlineStr">
        <is>
          <t>56</t>
        </is>
      </c>
      <c r="B57" s="19" t="inlineStr">
        <is>
          <t>IA-PPWR-TF-ST-042-STD-02-R00</t>
        </is>
      </c>
      <c r="C57" t="inlineStr">
        <is>
          <t>Technical File — ST-042-STD-02</t>
        </is>
      </c>
      <c r="D57" s="19" t="n"/>
      <c r="E57" s="19" t="inlineStr">
        <is>
          <t>56</t>
        </is>
      </c>
      <c r="F57" s="19" t="n"/>
      <c r="G57" t="n">
        <v>0</v>
      </c>
      <c r="J57" t="inlineStr">
        <is>
          <t>REV00 CURRENT EVIDENCE BASIS — ARTICLE 5 ASSESSMENT BASIS</t>
        </is>
      </c>
      <c r="K57" t="inlineStr">
        <is>
          <t>PENDING – DRAWINGS / PHOTOGRAPHS</t>
        </is>
      </c>
      <c r="L57" s="19" t="inlineStr">
        <is>
          <t>1</t>
        </is>
      </c>
      <c r="M57" s="19" t="inlineStr">
        <is>
          <t>2</t>
        </is>
      </c>
      <c r="N57" t="inlineStr">
        <is>
          <t>2026-08-08</t>
        </is>
      </c>
      <c r="P57" t="inlineStr">
        <is>
          <t>Rev.00 Word technical file generated — see DOCUMENT_LIBRARY.FILE_URI; drawings/photos may remain PENDING</t>
        </is>
      </c>
      <c r="Q57" t="inlineStr">
        <is>
          <t>2026-08-10T19:29:54Z</t>
        </is>
      </c>
      <c r="R57" t="inlineStr">
        <is>
          <t>2026-08-10T19:29:54Z</t>
        </is>
      </c>
    </row>
    <row r="58">
      <c r="A58" s="19" t="inlineStr">
        <is>
          <t>57</t>
        </is>
      </c>
      <c r="B58" s="19" t="inlineStr">
        <is>
          <t>IA-PPWR-TF-ST-042-STD-03-R00</t>
        </is>
      </c>
      <c r="C58" t="inlineStr">
        <is>
          <t>Technical File — ST-042-STD-03</t>
        </is>
      </c>
      <c r="D58" s="19" t="n"/>
      <c r="E58" s="19" t="inlineStr">
        <is>
          <t>57</t>
        </is>
      </c>
      <c r="F58" s="19" t="n"/>
      <c r="G58" t="n">
        <v>0</v>
      </c>
      <c r="J58" t="inlineStr">
        <is>
          <t>REV00 CURRENT EVIDENCE BASIS — ARTICLE 5 ASSESSMENT BASIS</t>
        </is>
      </c>
      <c r="K58" t="inlineStr">
        <is>
          <t>PENDING – DRAWINGS / PHOTOGRAPHS</t>
        </is>
      </c>
      <c r="L58" s="19" t="inlineStr">
        <is>
          <t>1</t>
        </is>
      </c>
      <c r="M58" s="19" t="inlineStr">
        <is>
          <t>2</t>
        </is>
      </c>
      <c r="N58" t="inlineStr">
        <is>
          <t>2026-08-08</t>
        </is>
      </c>
      <c r="P58" t="inlineStr">
        <is>
          <t>Rev.00 Word technical file generated — see DOCUMENT_LIBRARY.FILE_URI; drawings/photos may remain PENDING</t>
        </is>
      </c>
      <c r="Q58" t="inlineStr">
        <is>
          <t>2026-08-10T19:29:54Z</t>
        </is>
      </c>
      <c r="R58" t="inlineStr">
        <is>
          <t>2026-08-10T19:29:54Z</t>
        </is>
      </c>
    </row>
    <row r="59">
      <c r="A59" s="19" t="inlineStr">
        <is>
          <t>58</t>
        </is>
      </c>
      <c r="B59" s="19" t="inlineStr">
        <is>
          <t>IA-PPWR-TF-ST-042-STD-04-R00</t>
        </is>
      </c>
      <c r="C59" t="inlineStr">
        <is>
          <t>Technical File — ST-042-STD-04</t>
        </is>
      </c>
      <c r="D59" s="19" t="n"/>
      <c r="E59" s="19" t="inlineStr">
        <is>
          <t>58</t>
        </is>
      </c>
      <c r="F59" s="19" t="n"/>
      <c r="G59" t="n">
        <v>0</v>
      </c>
      <c r="J59" t="inlineStr">
        <is>
          <t>REV00 CURRENT EVIDENCE BASIS — ARTICLE 5 ASSESSMENT BASIS</t>
        </is>
      </c>
      <c r="K59" t="inlineStr">
        <is>
          <t>PENDING – DRAWINGS / PHOTOGRAPHS</t>
        </is>
      </c>
      <c r="L59" s="19" t="inlineStr">
        <is>
          <t>1</t>
        </is>
      </c>
      <c r="M59" s="19" t="inlineStr">
        <is>
          <t>2</t>
        </is>
      </c>
      <c r="N59" t="inlineStr">
        <is>
          <t>2026-08-08</t>
        </is>
      </c>
      <c r="P59" t="inlineStr">
        <is>
          <t>Rev.00 Word technical file generated — see DOCUMENT_LIBRARY.FILE_URI; drawings/photos may remain PENDING</t>
        </is>
      </c>
      <c r="Q59" t="inlineStr">
        <is>
          <t>2026-08-10T19:29:54Z</t>
        </is>
      </c>
      <c r="R59" t="inlineStr">
        <is>
          <t>2026-08-10T19:29:54Z</t>
        </is>
      </c>
    </row>
    <row r="60">
      <c r="A60" s="19" t="inlineStr">
        <is>
          <t>59</t>
        </is>
      </c>
      <c r="B60" s="19" t="inlineStr">
        <is>
          <t>IA-PPWR-TF-ST-042-STD-05-R00</t>
        </is>
      </c>
      <c r="C60" t="inlineStr">
        <is>
          <t>Technical File — ST-042-STD-05</t>
        </is>
      </c>
      <c r="D60" s="19" t="n"/>
      <c r="E60" s="19" t="inlineStr">
        <is>
          <t>59</t>
        </is>
      </c>
      <c r="F60" s="19" t="n"/>
      <c r="G60" t="n">
        <v>0</v>
      </c>
      <c r="J60" t="inlineStr">
        <is>
          <t>REV00 CURRENT EVIDENCE BASIS — ARTICLE 5 ASSESSMENT BASIS</t>
        </is>
      </c>
      <c r="K60" t="inlineStr">
        <is>
          <t>PENDING – DRAWINGS / PHOTOGRAPHS</t>
        </is>
      </c>
      <c r="L60" s="19" t="inlineStr">
        <is>
          <t>1</t>
        </is>
      </c>
      <c r="M60" s="19" t="inlineStr">
        <is>
          <t>2</t>
        </is>
      </c>
      <c r="N60" t="inlineStr">
        <is>
          <t>2026-08-08</t>
        </is>
      </c>
      <c r="P60" t="inlineStr">
        <is>
          <t>Rev.00 Word technical file generated — see DOCUMENT_LIBRARY.FILE_URI; drawings/photos may remain PENDING</t>
        </is>
      </c>
      <c r="Q60" t="inlineStr">
        <is>
          <t>2026-08-10T19:29:54Z</t>
        </is>
      </c>
      <c r="R60" t="inlineStr">
        <is>
          <t>2026-08-10T19:29:54Z</t>
        </is>
      </c>
    </row>
    <row r="61">
      <c r="A61" s="19" t="inlineStr">
        <is>
          <t>60</t>
        </is>
      </c>
      <c r="B61" s="19" t="inlineStr">
        <is>
          <t>IA-PPWR-TF-ST-042-STD-06-R00</t>
        </is>
      </c>
      <c r="C61" t="inlineStr">
        <is>
          <t>Technical File — ST-042-STD-06</t>
        </is>
      </c>
      <c r="D61" s="19" t="n"/>
      <c r="E61" s="19" t="inlineStr">
        <is>
          <t>60</t>
        </is>
      </c>
      <c r="F61" s="19" t="n"/>
      <c r="G61" t="n">
        <v>0</v>
      </c>
      <c r="J61" t="inlineStr">
        <is>
          <t>REV00 CURRENT EVIDENCE BASIS — ARTICLE 5 ASSESSMENT BASIS</t>
        </is>
      </c>
      <c r="K61" t="inlineStr">
        <is>
          <t>PENDING – DRAWINGS / PHOTOGRAPHS</t>
        </is>
      </c>
      <c r="L61" s="19" t="inlineStr">
        <is>
          <t>1</t>
        </is>
      </c>
      <c r="M61" s="19" t="inlineStr">
        <is>
          <t>2</t>
        </is>
      </c>
      <c r="N61" t="inlineStr">
        <is>
          <t>2026-08-08</t>
        </is>
      </c>
      <c r="P61" t="inlineStr">
        <is>
          <t>Rev.00 Word technical file generated — see DOCUMENT_LIBRARY.FILE_URI; drawings/photos may remain PENDING</t>
        </is>
      </c>
      <c r="Q61" t="inlineStr">
        <is>
          <t>2026-08-10T19:29:54Z</t>
        </is>
      </c>
      <c r="R61" t="inlineStr">
        <is>
          <t>2026-08-10T19:29:54Z</t>
        </is>
      </c>
    </row>
    <row r="62">
      <c r="A62" s="19" t="inlineStr">
        <is>
          <t>61</t>
        </is>
      </c>
      <c r="B62" s="19" t="inlineStr">
        <is>
          <t>IA-PPWR-TF-ST-042-STD-07-R00</t>
        </is>
      </c>
      <c r="C62" t="inlineStr">
        <is>
          <t>Technical File — ST-042-STD-07</t>
        </is>
      </c>
      <c r="D62" s="19" t="n"/>
      <c r="E62" s="19" t="inlineStr">
        <is>
          <t>61</t>
        </is>
      </c>
      <c r="F62" s="19" t="n"/>
      <c r="G62" t="n">
        <v>0</v>
      </c>
      <c r="J62" t="inlineStr">
        <is>
          <t>REV00 CURRENT EVIDENCE BASIS — ARTICLE 5 ASSESSMENT BASIS</t>
        </is>
      </c>
      <c r="K62" t="inlineStr">
        <is>
          <t>PENDING – DRAWINGS / PHOTOGRAPHS</t>
        </is>
      </c>
      <c r="L62" s="19" t="inlineStr">
        <is>
          <t>1</t>
        </is>
      </c>
      <c r="M62" s="19" t="inlineStr">
        <is>
          <t>2</t>
        </is>
      </c>
      <c r="N62" t="inlineStr">
        <is>
          <t>2026-08-08</t>
        </is>
      </c>
      <c r="P62" t="inlineStr">
        <is>
          <t>Rev.00 Word technical file generated — see DOCUMENT_LIBRARY.FILE_URI; drawings/photos may remain PENDING</t>
        </is>
      </c>
      <c r="Q62" t="inlineStr">
        <is>
          <t>2026-08-10T19:29:54Z</t>
        </is>
      </c>
      <c r="R62" t="inlineStr">
        <is>
          <t>2026-08-10T19:29:54Z</t>
        </is>
      </c>
    </row>
    <row r="63">
      <c r="A63" s="19" t="inlineStr">
        <is>
          <t>62</t>
        </is>
      </c>
      <c r="B63" s="19" t="inlineStr">
        <is>
          <t>IA-PPWR-TF-ST-042-STD-08-R00</t>
        </is>
      </c>
      <c r="C63" t="inlineStr">
        <is>
          <t>Technical File — ST-042-STD-08</t>
        </is>
      </c>
      <c r="D63" s="19" t="n"/>
      <c r="E63" s="19" t="inlineStr">
        <is>
          <t>62</t>
        </is>
      </c>
      <c r="F63" s="19" t="n"/>
      <c r="G63" t="n">
        <v>0</v>
      </c>
      <c r="J63" t="inlineStr">
        <is>
          <t>REV00 CURRENT EVIDENCE BASIS — ARTICLE 5 ASSESSMENT BASIS</t>
        </is>
      </c>
      <c r="K63" t="inlineStr">
        <is>
          <t>PENDING – DRAWINGS / PHOTOGRAPHS</t>
        </is>
      </c>
      <c r="L63" s="19" t="inlineStr">
        <is>
          <t>1</t>
        </is>
      </c>
      <c r="M63" s="19" t="inlineStr">
        <is>
          <t>2</t>
        </is>
      </c>
      <c r="N63" t="inlineStr">
        <is>
          <t>2026-08-08</t>
        </is>
      </c>
      <c r="P63" t="inlineStr">
        <is>
          <t>Rev.00 Word technical file generated — see DOCUMENT_LIBRARY.FILE_URI; drawings/photos may remain PENDING</t>
        </is>
      </c>
      <c r="Q63" t="inlineStr">
        <is>
          <t>2026-08-10T19:29:54Z</t>
        </is>
      </c>
      <c r="R63" t="inlineStr">
        <is>
          <t>2026-08-10T19:29:54Z</t>
        </is>
      </c>
    </row>
    <row r="64">
      <c r="A64" s="19" t="inlineStr">
        <is>
          <t>63</t>
        </is>
      </c>
      <c r="B64" s="19" t="inlineStr">
        <is>
          <t>IA-PPWR-TF-ST-044-STD-01-R00</t>
        </is>
      </c>
      <c r="C64" t="inlineStr">
        <is>
          <t>Technical File — ST-044-STD-01</t>
        </is>
      </c>
      <c r="D64" s="19" t="n"/>
      <c r="E64" s="19" t="inlineStr">
        <is>
          <t>63</t>
        </is>
      </c>
      <c r="F64" s="19" t="n"/>
      <c r="G64" t="n">
        <v>0</v>
      </c>
      <c r="J64" t="inlineStr">
        <is>
          <t>REV00 CURRENT EVIDENCE BASIS — ARTICLE 5 ASSESSMENT BASIS</t>
        </is>
      </c>
      <c r="K64" t="inlineStr">
        <is>
          <t>PENDING – DRAWINGS / PHOTOGRAPHS</t>
        </is>
      </c>
      <c r="L64" s="19" t="inlineStr">
        <is>
          <t>1</t>
        </is>
      </c>
      <c r="M64" s="19" t="inlineStr">
        <is>
          <t>2</t>
        </is>
      </c>
      <c r="N64" t="inlineStr">
        <is>
          <t>2026-08-08</t>
        </is>
      </c>
      <c r="P64" t="inlineStr">
        <is>
          <t>Rev.00 Word technical file generated — see DOCUMENT_LIBRARY.FILE_URI; drawings/photos may remain PENDING</t>
        </is>
      </c>
      <c r="Q64" t="inlineStr">
        <is>
          <t>2026-08-10T19:29:54Z</t>
        </is>
      </c>
      <c r="R64" t="inlineStr">
        <is>
          <t>2026-08-10T19:29:54Z</t>
        </is>
      </c>
    </row>
    <row r="65">
      <c r="A65" s="19" t="inlineStr">
        <is>
          <t>64</t>
        </is>
      </c>
      <c r="B65" s="19" t="inlineStr">
        <is>
          <t>IA-PPWR-TF-ST-045-EUR-01-R00</t>
        </is>
      </c>
      <c r="C65" t="inlineStr">
        <is>
          <t>Technical File — ST-045-EUR-01</t>
        </is>
      </c>
      <c r="D65" s="19" t="n"/>
      <c r="E65" s="19" t="inlineStr">
        <is>
          <t>64</t>
        </is>
      </c>
      <c r="F65" s="19" t="n"/>
      <c r="G65" t="n">
        <v>0</v>
      </c>
      <c r="J65" t="inlineStr">
        <is>
          <t>REV00 CURRENT EVIDENCE BASIS — ARTICLE 5 ASSESSMENT BASIS</t>
        </is>
      </c>
      <c r="K65" t="inlineStr">
        <is>
          <t>PENDING – DRAWINGS / PHOTOGRAPHS</t>
        </is>
      </c>
      <c r="L65" s="19" t="inlineStr">
        <is>
          <t>1</t>
        </is>
      </c>
      <c r="M65" s="19" t="inlineStr">
        <is>
          <t>2</t>
        </is>
      </c>
      <c r="N65" t="inlineStr">
        <is>
          <t>2026-08-08</t>
        </is>
      </c>
      <c r="P65" t="inlineStr">
        <is>
          <t>Rev.00 Word technical file generated — see DOCUMENT_LIBRARY.FILE_URI; drawings/photos may remain PENDING</t>
        </is>
      </c>
      <c r="Q65" t="inlineStr">
        <is>
          <t>2026-08-10T19:29:54Z</t>
        </is>
      </c>
      <c r="R65" t="inlineStr">
        <is>
          <t>2026-08-10T19:29:54Z</t>
        </is>
      </c>
    </row>
    <row r="66">
      <c r="A66" s="19" t="inlineStr">
        <is>
          <t>65</t>
        </is>
      </c>
      <c r="B66" s="19" t="inlineStr">
        <is>
          <t>IA-PPWR-TF-ST-045-STD-01-R00</t>
        </is>
      </c>
      <c r="C66" t="inlineStr">
        <is>
          <t>Technical File — ST-045-STD-01</t>
        </is>
      </c>
      <c r="D66" s="19" t="n"/>
      <c r="E66" s="19" t="inlineStr">
        <is>
          <t>65</t>
        </is>
      </c>
      <c r="F66" s="19" t="n"/>
      <c r="G66" t="n">
        <v>0</v>
      </c>
      <c r="J66" t="inlineStr">
        <is>
          <t>REV00 CURRENT EVIDENCE BASIS — ARTICLE 5 ASSESSMENT BASIS</t>
        </is>
      </c>
      <c r="K66" t="inlineStr">
        <is>
          <t>PENDING – DRAWINGS / PHOTOGRAPHS</t>
        </is>
      </c>
      <c r="L66" s="19" t="inlineStr">
        <is>
          <t>1</t>
        </is>
      </c>
      <c r="M66" s="19" t="inlineStr">
        <is>
          <t>2</t>
        </is>
      </c>
      <c r="N66" t="inlineStr">
        <is>
          <t>2026-08-08</t>
        </is>
      </c>
      <c r="P66" t="inlineStr">
        <is>
          <t>Rev.00 Word technical file generated — see DOCUMENT_LIBRARY.FILE_URI; drawings/photos may remain PENDING</t>
        </is>
      </c>
      <c r="Q66" t="inlineStr">
        <is>
          <t>2026-08-10T19:29:54Z</t>
        </is>
      </c>
      <c r="R66" t="inlineStr">
        <is>
          <t>2026-08-10T19:29:54Z</t>
        </is>
      </c>
    </row>
    <row r="67">
      <c r="A67" s="19" t="inlineStr">
        <is>
          <t>66</t>
        </is>
      </c>
      <c r="B67" s="19" t="inlineStr">
        <is>
          <t>IA-PPWR-TF-ST-045-STD-02-R00</t>
        </is>
      </c>
      <c r="C67" t="inlineStr">
        <is>
          <t>Technical File — ST-045-STD-02</t>
        </is>
      </c>
      <c r="D67" s="19" t="n"/>
      <c r="E67" s="19" t="inlineStr">
        <is>
          <t>66</t>
        </is>
      </c>
      <c r="F67" s="19" t="n"/>
      <c r="G67" t="n">
        <v>0</v>
      </c>
      <c r="J67" t="inlineStr">
        <is>
          <t>REV00 CURRENT EVIDENCE BASIS — ARTICLE 5 ASSESSMENT BASIS</t>
        </is>
      </c>
      <c r="K67" t="inlineStr">
        <is>
          <t>PENDING – DRAWINGS / PHOTOGRAPHS</t>
        </is>
      </c>
      <c r="L67" s="19" t="inlineStr">
        <is>
          <t>1</t>
        </is>
      </c>
      <c r="M67" s="19" t="inlineStr">
        <is>
          <t>2</t>
        </is>
      </c>
      <c r="N67" t="inlineStr">
        <is>
          <t>2026-08-08</t>
        </is>
      </c>
      <c r="P67" t="inlineStr">
        <is>
          <t>Rev.00 Word technical file generated — see DOCUMENT_LIBRARY.FILE_URI; drawings/photos may remain PENDING</t>
        </is>
      </c>
      <c r="Q67" t="inlineStr">
        <is>
          <t>2026-08-10T19:29:54Z</t>
        </is>
      </c>
      <c r="R67" t="inlineStr">
        <is>
          <t>2026-08-10T19:29:54Z</t>
        </is>
      </c>
    </row>
    <row r="68">
      <c r="A68" s="19" t="inlineStr">
        <is>
          <t>67</t>
        </is>
      </c>
      <c r="B68" s="19" t="inlineStr">
        <is>
          <t>IA-PPWR-TF-ST-045-STD-03-R00</t>
        </is>
      </c>
      <c r="C68" t="inlineStr">
        <is>
          <t>Technical File — ST-045-STD-03</t>
        </is>
      </c>
      <c r="D68" s="19" t="n"/>
      <c r="E68" s="19" t="inlineStr">
        <is>
          <t>67</t>
        </is>
      </c>
      <c r="F68" s="19" t="n"/>
      <c r="G68" t="n">
        <v>0</v>
      </c>
      <c r="J68" t="inlineStr">
        <is>
          <t>REV00 CURRENT EVIDENCE BASIS — ARTICLE 5 ASSESSMENT BASIS</t>
        </is>
      </c>
      <c r="K68" t="inlineStr">
        <is>
          <t>PENDING – DRAWINGS / PHOTOGRAPHS</t>
        </is>
      </c>
      <c r="L68" s="19" t="inlineStr">
        <is>
          <t>1</t>
        </is>
      </c>
      <c r="M68" s="19" t="inlineStr">
        <is>
          <t>2</t>
        </is>
      </c>
      <c r="N68" t="inlineStr">
        <is>
          <t>2026-08-08</t>
        </is>
      </c>
      <c r="P68" t="inlineStr">
        <is>
          <t>Rev.00 Word technical file generated — see DOCUMENT_LIBRARY.FILE_URI; drawings/photos may remain PENDING</t>
        </is>
      </c>
      <c r="Q68" t="inlineStr">
        <is>
          <t>2026-08-10T19:29:54Z</t>
        </is>
      </c>
      <c r="R68" t="inlineStr">
        <is>
          <t>2026-08-10T19:29:54Z</t>
        </is>
      </c>
    </row>
    <row r="69">
      <c r="A69" s="19" t="inlineStr">
        <is>
          <t>68</t>
        </is>
      </c>
      <c r="B69" s="19" t="inlineStr">
        <is>
          <t>IA-PPWR-TF-ST-045-STD-04-R00</t>
        </is>
      </c>
      <c r="C69" t="inlineStr">
        <is>
          <t>Technical File — ST-045-STD-04</t>
        </is>
      </c>
      <c r="D69" s="19" t="n"/>
      <c r="E69" s="19" t="inlineStr">
        <is>
          <t>68</t>
        </is>
      </c>
      <c r="F69" s="19" t="n"/>
      <c r="G69" t="n">
        <v>0</v>
      </c>
      <c r="J69" t="inlineStr">
        <is>
          <t>REV00 CURRENT EVIDENCE BASIS — ARTICLE 5 ASSESSMENT BASIS</t>
        </is>
      </c>
      <c r="K69" t="inlineStr">
        <is>
          <t>PENDING – DRAWINGS / PHOTOGRAPHS</t>
        </is>
      </c>
      <c r="L69" s="19" t="inlineStr">
        <is>
          <t>1</t>
        </is>
      </c>
      <c r="M69" s="19" t="inlineStr">
        <is>
          <t>2</t>
        </is>
      </c>
      <c r="N69" t="inlineStr">
        <is>
          <t>2026-08-08</t>
        </is>
      </c>
      <c r="P69" t="inlineStr">
        <is>
          <t>Rev.00 Word technical file generated — see DOCUMENT_LIBRARY.FILE_URI; drawings/photos may remain PENDING</t>
        </is>
      </c>
      <c r="Q69" t="inlineStr">
        <is>
          <t>2026-08-10T19:29:54Z</t>
        </is>
      </c>
      <c r="R69" t="inlineStr">
        <is>
          <t>2026-08-10T19:29:54Z</t>
        </is>
      </c>
    </row>
    <row r="70">
      <c r="A70" s="19" t="inlineStr">
        <is>
          <t>69</t>
        </is>
      </c>
      <c r="B70" s="19" t="inlineStr">
        <is>
          <t>IA-PPWR-TF-ST-045-STD-05-R00</t>
        </is>
      </c>
      <c r="C70" t="inlineStr">
        <is>
          <t>Technical File — ST-045-STD-05</t>
        </is>
      </c>
      <c r="D70" s="19" t="n"/>
      <c r="E70" s="19" t="inlineStr">
        <is>
          <t>69</t>
        </is>
      </c>
      <c r="F70" s="19" t="n"/>
      <c r="G70" t="n">
        <v>0</v>
      </c>
      <c r="J70" t="inlineStr">
        <is>
          <t>REV00 CURRENT EVIDENCE BASIS — ARTICLE 5 ASSESSMENT BASIS</t>
        </is>
      </c>
      <c r="K70" t="inlineStr">
        <is>
          <t>PENDING – DRAWINGS / PHOTOGRAPHS</t>
        </is>
      </c>
      <c r="L70" s="19" t="inlineStr">
        <is>
          <t>1</t>
        </is>
      </c>
      <c r="M70" s="19" t="inlineStr">
        <is>
          <t>2</t>
        </is>
      </c>
      <c r="N70" t="inlineStr">
        <is>
          <t>2026-08-08</t>
        </is>
      </c>
      <c r="P70" t="inlineStr">
        <is>
          <t>Rev.00 Word technical file generated — see DOCUMENT_LIBRARY.FILE_URI; drawings/photos may remain PENDING</t>
        </is>
      </c>
      <c r="Q70" t="inlineStr">
        <is>
          <t>2026-08-10T19:29:54Z</t>
        </is>
      </c>
      <c r="R70" t="inlineStr">
        <is>
          <t>2026-08-10T19:29:54Z</t>
        </is>
      </c>
    </row>
    <row r="71">
      <c r="A71" s="19" t="inlineStr">
        <is>
          <t>70</t>
        </is>
      </c>
      <c r="B71" s="19" t="inlineStr">
        <is>
          <t>IA-PPWR-TF-ST-045-STD-06-R00</t>
        </is>
      </c>
      <c r="C71" t="inlineStr">
        <is>
          <t>Technical File — ST-045-STD-06</t>
        </is>
      </c>
      <c r="D71" s="19" t="n"/>
      <c r="E71" s="19" t="inlineStr">
        <is>
          <t>70</t>
        </is>
      </c>
      <c r="F71" s="19" t="n"/>
      <c r="G71" t="n">
        <v>0</v>
      </c>
      <c r="J71" t="inlineStr">
        <is>
          <t>REV00 CURRENT EVIDENCE BASIS — ARTICLE 5 ASSESSMENT BASIS</t>
        </is>
      </c>
      <c r="K71" t="inlineStr">
        <is>
          <t>PENDING – DRAWINGS / PHOTOGRAPHS</t>
        </is>
      </c>
      <c r="L71" s="19" t="inlineStr">
        <is>
          <t>1</t>
        </is>
      </c>
      <c r="M71" s="19" t="inlineStr">
        <is>
          <t>2</t>
        </is>
      </c>
      <c r="N71" t="inlineStr">
        <is>
          <t>2026-08-08</t>
        </is>
      </c>
      <c r="P71" t="inlineStr">
        <is>
          <t>Rev.00 Word technical file generated — see DOCUMENT_LIBRARY.FILE_URI; drawings/photos may remain PENDING</t>
        </is>
      </c>
      <c r="Q71" t="inlineStr">
        <is>
          <t>2026-08-10T19:29:54Z</t>
        </is>
      </c>
      <c r="R71" t="inlineStr">
        <is>
          <t>2026-08-10T19:29:54Z</t>
        </is>
      </c>
    </row>
    <row r="72">
      <c r="A72" s="19" t="inlineStr">
        <is>
          <t>71</t>
        </is>
      </c>
      <c r="B72" s="19" t="inlineStr">
        <is>
          <t>IA-PPWR-TF-ST-045-STD-07-R00</t>
        </is>
      </c>
      <c r="C72" t="inlineStr">
        <is>
          <t>Technical File — ST-045-STD-07</t>
        </is>
      </c>
      <c r="D72" s="19" t="n"/>
      <c r="E72" s="19" t="inlineStr">
        <is>
          <t>71</t>
        </is>
      </c>
      <c r="F72" s="19" t="n"/>
      <c r="G72" t="n">
        <v>0</v>
      </c>
      <c r="J72" t="inlineStr">
        <is>
          <t>REV00 CURRENT EVIDENCE BASIS — ARTICLE 5 ASSESSMENT BASIS</t>
        </is>
      </c>
      <c r="K72" t="inlineStr">
        <is>
          <t>PENDING – DRAWINGS / PHOTOGRAPHS</t>
        </is>
      </c>
      <c r="L72" s="19" t="inlineStr">
        <is>
          <t>1</t>
        </is>
      </c>
      <c r="M72" s="19" t="inlineStr">
        <is>
          <t>2</t>
        </is>
      </c>
      <c r="N72" t="inlineStr">
        <is>
          <t>2026-08-08</t>
        </is>
      </c>
      <c r="P72" t="inlineStr">
        <is>
          <t>Rev.00 Word technical file generated — see DOCUMENT_LIBRARY.FILE_URI; drawings/photos may remain PENDING</t>
        </is>
      </c>
      <c r="Q72" t="inlineStr">
        <is>
          <t>2026-08-10T19:29:54Z</t>
        </is>
      </c>
      <c r="R72" t="inlineStr">
        <is>
          <t>2026-08-10T19:29:54Z</t>
        </is>
      </c>
    </row>
    <row r="73">
      <c r="A73" s="19" t="inlineStr">
        <is>
          <t>72</t>
        </is>
      </c>
      <c r="B73" s="19" t="inlineStr">
        <is>
          <t>IA-PPWR-TF-ST-045-STD-08-R00</t>
        </is>
      </c>
      <c r="C73" t="inlineStr">
        <is>
          <t>Technical File — ST-045-STD-08</t>
        </is>
      </c>
      <c r="D73" s="19" t="n"/>
      <c r="E73" s="19" t="inlineStr">
        <is>
          <t>72</t>
        </is>
      </c>
      <c r="F73" s="19" t="n"/>
      <c r="G73" t="n">
        <v>0</v>
      </c>
      <c r="J73" t="inlineStr">
        <is>
          <t>REV00 CURRENT EVIDENCE BASIS — ARTICLE 5 ASSESSMENT BASIS</t>
        </is>
      </c>
      <c r="K73" t="inlineStr">
        <is>
          <t>PENDING – DRAWINGS / PHOTOGRAPHS</t>
        </is>
      </c>
      <c r="L73" s="19" t="inlineStr">
        <is>
          <t>1</t>
        </is>
      </c>
      <c r="M73" s="19" t="inlineStr">
        <is>
          <t>2</t>
        </is>
      </c>
      <c r="N73" t="inlineStr">
        <is>
          <t>2026-08-08</t>
        </is>
      </c>
      <c r="P73" t="inlineStr">
        <is>
          <t>Rev.00 Word technical file generated — see DOCUMENT_LIBRARY.FILE_URI; drawings/photos may remain PENDING</t>
        </is>
      </c>
      <c r="Q73" t="inlineStr">
        <is>
          <t>2026-08-10T19:29:54Z</t>
        </is>
      </c>
      <c r="R73" t="inlineStr">
        <is>
          <t>2026-08-10T19:29:54Z</t>
        </is>
      </c>
    </row>
    <row r="74">
      <c r="A74" s="19" t="inlineStr">
        <is>
          <t>73</t>
        </is>
      </c>
      <c r="B74" s="19" t="inlineStr">
        <is>
          <t>IA-PPWR-TF-ST-045-STD-09-R00</t>
        </is>
      </c>
      <c r="C74" t="inlineStr">
        <is>
          <t>Technical File — ST-045-STD-09</t>
        </is>
      </c>
      <c r="D74" s="19" t="n"/>
      <c r="E74" s="19" t="inlineStr">
        <is>
          <t>73</t>
        </is>
      </c>
      <c r="F74" s="19" t="n"/>
      <c r="G74" t="n">
        <v>0</v>
      </c>
      <c r="J74" t="inlineStr">
        <is>
          <t>REV00 CURRENT EVIDENCE BASIS — ARTICLE 5 ASSESSMENT BASIS</t>
        </is>
      </c>
      <c r="K74" t="inlineStr">
        <is>
          <t>PENDING – DRAWINGS / PHOTOGRAPHS</t>
        </is>
      </c>
      <c r="L74" s="19" t="inlineStr">
        <is>
          <t>1</t>
        </is>
      </c>
      <c r="M74" s="19" t="inlineStr">
        <is>
          <t>2</t>
        </is>
      </c>
      <c r="N74" t="inlineStr">
        <is>
          <t>2026-08-08</t>
        </is>
      </c>
      <c r="P74" t="inlineStr">
        <is>
          <t>Rev.00 Word technical file generated — see DOCUMENT_LIBRARY.FILE_URI; drawings/photos may remain PENDING</t>
        </is>
      </c>
      <c r="Q74" t="inlineStr">
        <is>
          <t>2026-08-10T19:29:54Z</t>
        </is>
      </c>
      <c r="R74" t="inlineStr">
        <is>
          <t>2026-08-10T19:29:54Z</t>
        </is>
      </c>
    </row>
    <row r="75">
      <c r="A75" s="19" t="inlineStr">
        <is>
          <t>74</t>
        </is>
      </c>
      <c r="B75" s="19" t="inlineStr">
        <is>
          <t>IA-PPWR-TF-ST-045-STD-10-R00</t>
        </is>
      </c>
      <c r="C75" t="inlineStr">
        <is>
          <t>Technical File — ST-045-STD-10</t>
        </is>
      </c>
      <c r="D75" s="19" t="n"/>
      <c r="E75" s="19" t="inlineStr">
        <is>
          <t>74</t>
        </is>
      </c>
      <c r="F75" s="19" t="n"/>
      <c r="G75" t="n">
        <v>0</v>
      </c>
      <c r="J75" t="inlineStr">
        <is>
          <t>REV00 CURRENT EVIDENCE BASIS — ARTICLE 5 ASSESSMENT BASIS</t>
        </is>
      </c>
      <c r="K75" t="inlineStr">
        <is>
          <t>PENDING – DRAWINGS / PHOTOGRAPHS</t>
        </is>
      </c>
      <c r="L75" s="19" t="inlineStr">
        <is>
          <t>1</t>
        </is>
      </c>
      <c r="M75" s="19" t="inlineStr">
        <is>
          <t>2</t>
        </is>
      </c>
      <c r="N75" t="inlineStr">
        <is>
          <t>2026-08-08</t>
        </is>
      </c>
      <c r="P75" t="inlineStr">
        <is>
          <t>Rev.00 Word technical file generated — see DOCUMENT_LIBRARY.FILE_URI; drawings/photos may remain PENDING</t>
        </is>
      </c>
      <c r="Q75" t="inlineStr">
        <is>
          <t>2026-08-10T19:29:54Z</t>
        </is>
      </c>
      <c r="R75" t="inlineStr">
        <is>
          <t>2026-08-10T19:29:54Z</t>
        </is>
      </c>
    </row>
    <row r="76">
      <c r="A76" s="19" t="inlineStr">
        <is>
          <t>75</t>
        </is>
      </c>
      <c r="B76" s="19" t="inlineStr">
        <is>
          <t>IA-PPWR-TF-ST-045-STD-11-R00</t>
        </is>
      </c>
      <c r="C76" t="inlineStr">
        <is>
          <t>Technical File — ST-045-STD-11</t>
        </is>
      </c>
      <c r="D76" s="19" t="n"/>
      <c r="E76" s="19" t="inlineStr">
        <is>
          <t>75</t>
        </is>
      </c>
      <c r="F76" s="19" t="n"/>
      <c r="G76" t="n">
        <v>0</v>
      </c>
      <c r="J76" t="inlineStr">
        <is>
          <t>REV00 CURRENT EVIDENCE BASIS — ARTICLE 5 ASSESSMENT BASIS</t>
        </is>
      </c>
      <c r="K76" t="inlineStr">
        <is>
          <t>PENDING – DRAWINGS / PHOTOGRAPHS</t>
        </is>
      </c>
      <c r="L76" s="19" t="inlineStr">
        <is>
          <t>1</t>
        </is>
      </c>
      <c r="M76" s="19" t="inlineStr">
        <is>
          <t>2</t>
        </is>
      </c>
      <c r="N76" t="inlineStr">
        <is>
          <t>2026-08-08</t>
        </is>
      </c>
      <c r="P76" t="inlineStr">
        <is>
          <t>Rev.00 Word technical file generated — see DOCUMENT_LIBRARY.FILE_URI; drawings/photos may remain PENDING</t>
        </is>
      </c>
      <c r="Q76" t="inlineStr">
        <is>
          <t>2026-08-10T19:29:54Z</t>
        </is>
      </c>
      <c r="R76" t="inlineStr">
        <is>
          <t>2026-08-10T19:29:54Z</t>
        </is>
      </c>
    </row>
    <row r="77">
      <c r="A77" s="19" t="inlineStr">
        <is>
          <t>76</t>
        </is>
      </c>
      <c r="B77" s="19" t="inlineStr">
        <is>
          <t>IA-PPWR-TF-ST-045-STD-12-R00</t>
        </is>
      </c>
      <c r="C77" t="inlineStr">
        <is>
          <t>Technical File — ST-045-STD-12</t>
        </is>
      </c>
      <c r="D77" s="19" t="n"/>
      <c r="E77" s="19" t="inlineStr">
        <is>
          <t>76</t>
        </is>
      </c>
      <c r="F77" s="19" t="n"/>
      <c r="G77" t="n">
        <v>0</v>
      </c>
      <c r="J77" t="inlineStr">
        <is>
          <t>REV00 CURRENT EVIDENCE BASIS — ARTICLE 5 ASSESSMENT BASIS</t>
        </is>
      </c>
      <c r="K77" t="inlineStr">
        <is>
          <t>PENDING – DRAWINGS / PHOTOGRAPHS</t>
        </is>
      </c>
      <c r="L77" s="19" t="inlineStr">
        <is>
          <t>1</t>
        </is>
      </c>
      <c r="M77" s="19" t="inlineStr">
        <is>
          <t>2</t>
        </is>
      </c>
      <c r="N77" t="inlineStr">
        <is>
          <t>2026-08-08</t>
        </is>
      </c>
      <c r="P77" t="inlineStr">
        <is>
          <t>Rev.00 Word technical file generated — see DOCUMENT_LIBRARY.FILE_URI; drawings/photos may remain PENDING</t>
        </is>
      </c>
      <c r="Q77" t="inlineStr">
        <is>
          <t>2026-08-10T19:29:54Z</t>
        </is>
      </c>
      <c r="R77" t="inlineStr">
        <is>
          <t>2026-08-10T19:29:54Z</t>
        </is>
      </c>
    </row>
    <row r="78">
      <c r="A78" s="19" t="inlineStr">
        <is>
          <t>77</t>
        </is>
      </c>
      <c r="B78" s="19" t="inlineStr">
        <is>
          <t>IA-PPWR-TF-ST-045-STD-13-R00</t>
        </is>
      </c>
      <c r="C78" t="inlineStr">
        <is>
          <t>Technical File — ST-045-STD-13</t>
        </is>
      </c>
      <c r="D78" s="19" t="n"/>
      <c r="E78" s="19" t="inlineStr">
        <is>
          <t>77</t>
        </is>
      </c>
      <c r="F78" s="19" t="n"/>
      <c r="G78" t="n">
        <v>0</v>
      </c>
      <c r="J78" t="inlineStr">
        <is>
          <t>REV00 CURRENT EVIDENCE BASIS — ARTICLE 5 ASSESSMENT BASIS</t>
        </is>
      </c>
      <c r="K78" t="inlineStr">
        <is>
          <t>PENDING – DRAWINGS / PHOTOGRAPHS</t>
        </is>
      </c>
      <c r="L78" s="19" t="inlineStr">
        <is>
          <t>1</t>
        </is>
      </c>
      <c r="M78" s="19" t="inlineStr">
        <is>
          <t>2</t>
        </is>
      </c>
      <c r="N78" t="inlineStr">
        <is>
          <t>2026-08-08</t>
        </is>
      </c>
      <c r="P78" t="inlineStr">
        <is>
          <t>Rev.00 Word technical file generated — see DOCUMENT_LIBRARY.FILE_URI; drawings/photos may remain PENDING</t>
        </is>
      </c>
      <c r="Q78" t="inlineStr">
        <is>
          <t>2026-08-10T19:29:54Z</t>
        </is>
      </c>
      <c r="R78" t="inlineStr">
        <is>
          <t>2026-08-10T19:29:54Z</t>
        </is>
      </c>
    </row>
    <row r="79">
      <c r="A79" s="19" t="inlineStr">
        <is>
          <t>78</t>
        </is>
      </c>
      <c r="B79" s="19" t="inlineStr">
        <is>
          <t>IA-PPWR-TF-ST-045-STD-14-R00</t>
        </is>
      </c>
      <c r="C79" t="inlineStr">
        <is>
          <t>Technical File — ST-045-STD-14</t>
        </is>
      </c>
      <c r="D79" s="19" t="n"/>
      <c r="E79" s="19" t="inlineStr">
        <is>
          <t>78</t>
        </is>
      </c>
      <c r="F79" s="19" t="n"/>
      <c r="G79" t="n">
        <v>0</v>
      </c>
      <c r="J79" t="inlineStr">
        <is>
          <t>REV00 CURRENT EVIDENCE BASIS — ARTICLE 5 ASSESSMENT BASIS</t>
        </is>
      </c>
      <c r="K79" t="inlineStr">
        <is>
          <t>PENDING – DRAWINGS / PHOTOGRAPHS</t>
        </is>
      </c>
      <c r="L79" s="19" t="inlineStr">
        <is>
          <t>1</t>
        </is>
      </c>
      <c r="M79" s="19" t="inlineStr">
        <is>
          <t>2</t>
        </is>
      </c>
      <c r="N79" t="inlineStr">
        <is>
          <t>2026-08-08</t>
        </is>
      </c>
      <c r="P79" t="inlineStr">
        <is>
          <t>Rev.00 Word technical file generated — see DOCUMENT_LIBRARY.FILE_URI; drawings/photos may remain PENDING</t>
        </is>
      </c>
      <c r="Q79" t="inlineStr">
        <is>
          <t>2026-08-10T19:29:54Z</t>
        </is>
      </c>
      <c r="R79" t="inlineStr">
        <is>
          <t>2026-08-10T19:29:54Z</t>
        </is>
      </c>
    </row>
    <row r="80">
      <c r="A80" s="19" t="inlineStr">
        <is>
          <t>79</t>
        </is>
      </c>
      <c r="B80" s="19" t="inlineStr">
        <is>
          <t>IA-PPWR-TF-ST-048-EUR-01-R00</t>
        </is>
      </c>
      <c r="C80" t="inlineStr">
        <is>
          <t>Technical File — ST-048-EUR-01</t>
        </is>
      </c>
      <c r="D80" s="19" t="n"/>
      <c r="E80" s="19" t="inlineStr">
        <is>
          <t>79</t>
        </is>
      </c>
      <c r="F80" s="19" t="n"/>
      <c r="G80" t="n">
        <v>0</v>
      </c>
      <c r="J80" t="inlineStr">
        <is>
          <t>REV00 CURRENT EVIDENCE BASIS — ARTICLE 5 ASSESSMENT BASIS</t>
        </is>
      </c>
      <c r="K80" t="inlineStr">
        <is>
          <t>PENDING – DRAWINGS / PHOTOGRAPHS</t>
        </is>
      </c>
      <c r="L80" s="19" t="inlineStr">
        <is>
          <t>1</t>
        </is>
      </c>
      <c r="M80" s="19" t="inlineStr">
        <is>
          <t>2</t>
        </is>
      </c>
      <c r="N80" t="inlineStr">
        <is>
          <t>2026-08-08</t>
        </is>
      </c>
      <c r="P80" t="inlineStr">
        <is>
          <t>Rev.00 Word technical file generated — see DOCUMENT_LIBRARY.FILE_URI; drawings/photos may remain PENDING</t>
        </is>
      </c>
      <c r="Q80" t="inlineStr">
        <is>
          <t>2026-08-10T19:29:54Z</t>
        </is>
      </c>
      <c r="R80" t="inlineStr">
        <is>
          <t>2026-08-10T19:29:54Z</t>
        </is>
      </c>
    </row>
    <row r="81">
      <c r="A81" s="19" t="inlineStr">
        <is>
          <t>80</t>
        </is>
      </c>
      <c r="B81" s="19" t="inlineStr">
        <is>
          <t>IA-PPWR-TF-ST-048-EUR-02-R00</t>
        </is>
      </c>
      <c r="C81" t="inlineStr">
        <is>
          <t>Technical File — ST-048-EUR-02</t>
        </is>
      </c>
      <c r="D81" s="19" t="n"/>
      <c r="E81" s="19" t="inlineStr">
        <is>
          <t>80</t>
        </is>
      </c>
      <c r="F81" s="19" t="n"/>
      <c r="G81" t="n">
        <v>0</v>
      </c>
      <c r="J81" t="inlineStr">
        <is>
          <t>REV00 CURRENT EVIDENCE BASIS — ARTICLE 5 ASSESSMENT BASIS</t>
        </is>
      </c>
      <c r="K81" t="inlineStr">
        <is>
          <t>PENDING – DRAWINGS / PHOTOGRAPHS</t>
        </is>
      </c>
      <c r="L81" s="19" t="inlineStr">
        <is>
          <t>1</t>
        </is>
      </c>
      <c r="M81" s="19" t="inlineStr">
        <is>
          <t>2</t>
        </is>
      </c>
      <c r="N81" t="inlineStr">
        <is>
          <t>2026-08-08</t>
        </is>
      </c>
      <c r="P81" t="inlineStr">
        <is>
          <t>Rev.00 Word technical file generated — see DOCUMENT_LIBRARY.FILE_URI; drawings/photos may remain PENDING</t>
        </is>
      </c>
      <c r="Q81" t="inlineStr">
        <is>
          <t>2026-08-10T19:29:54Z</t>
        </is>
      </c>
      <c r="R81" t="inlineStr">
        <is>
          <t>2026-08-10T19:29:54Z</t>
        </is>
      </c>
    </row>
    <row r="82">
      <c r="A82" s="19" t="inlineStr">
        <is>
          <t>81</t>
        </is>
      </c>
      <c r="B82" s="19" t="inlineStr">
        <is>
          <t>IA-PPWR-TF-ST-048-EUR-03-R00</t>
        </is>
      </c>
      <c r="C82" t="inlineStr">
        <is>
          <t>Technical File — ST-048-EUR-03</t>
        </is>
      </c>
      <c r="D82" s="19" t="n"/>
      <c r="E82" s="19" t="inlineStr">
        <is>
          <t>81</t>
        </is>
      </c>
      <c r="F82" s="19" t="n"/>
      <c r="G82" t="n">
        <v>0</v>
      </c>
      <c r="J82" t="inlineStr">
        <is>
          <t>REV00 CURRENT EVIDENCE BASIS — ARTICLE 5 ASSESSMENT BASIS</t>
        </is>
      </c>
      <c r="K82" t="inlineStr">
        <is>
          <t>PENDING – DRAWINGS / PHOTOGRAPHS</t>
        </is>
      </c>
      <c r="L82" s="19" t="inlineStr">
        <is>
          <t>1</t>
        </is>
      </c>
      <c r="M82" s="19" t="inlineStr">
        <is>
          <t>2</t>
        </is>
      </c>
      <c r="N82" t="inlineStr">
        <is>
          <t>2026-08-08</t>
        </is>
      </c>
      <c r="P82" t="inlineStr">
        <is>
          <t>Rev.00 Word technical file generated — see DOCUMENT_LIBRARY.FILE_URI; drawings/photos may remain PENDING</t>
        </is>
      </c>
      <c r="Q82" t="inlineStr">
        <is>
          <t>2026-08-10T19:29:54Z</t>
        </is>
      </c>
      <c r="R82" t="inlineStr">
        <is>
          <t>2026-08-10T19:29:54Z</t>
        </is>
      </c>
    </row>
    <row r="83">
      <c r="A83" s="19" t="inlineStr">
        <is>
          <t>82</t>
        </is>
      </c>
      <c r="B83" s="19" t="inlineStr">
        <is>
          <t>IA-PPWR-TF-ST-048-EUR-04-R00</t>
        </is>
      </c>
      <c r="C83" t="inlineStr">
        <is>
          <t>Technical File — ST-048-EUR-04</t>
        </is>
      </c>
      <c r="D83" s="19" t="n"/>
      <c r="E83" s="19" t="inlineStr">
        <is>
          <t>82</t>
        </is>
      </c>
      <c r="F83" s="19" t="n"/>
      <c r="G83" t="n">
        <v>0</v>
      </c>
      <c r="J83" t="inlineStr">
        <is>
          <t>REV00 CURRENT EVIDENCE BASIS — ARTICLE 5 ASSESSMENT BASIS</t>
        </is>
      </c>
      <c r="K83" t="inlineStr">
        <is>
          <t>PENDING – DRAWINGS / PHOTOGRAPHS</t>
        </is>
      </c>
      <c r="L83" s="19" t="inlineStr">
        <is>
          <t>1</t>
        </is>
      </c>
      <c r="M83" s="19" t="inlineStr">
        <is>
          <t>2</t>
        </is>
      </c>
      <c r="N83" t="inlineStr">
        <is>
          <t>2026-08-08</t>
        </is>
      </c>
      <c r="P83" t="inlineStr">
        <is>
          <t>Rev.00 Word technical file generated — see DOCUMENT_LIBRARY.FILE_URI; drawings/photos may remain PENDING</t>
        </is>
      </c>
      <c r="Q83" t="inlineStr">
        <is>
          <t>2026-08-10T19:29:54Z</t>
        </is>
      </c>
      <c r="R83" t="inlineStr">
        <is>
          <t>2026-08-10T19:29:54Z</t>
        </is>
      </c>
    </row>
    <row r="84">
      <c r="A84" s="19" t="inlineStr">
        <is>
          <t>83</t>
        </is>
      </c>
      <c r="B84" s="19" t="inlineStr">
        <is>
          <t>IA-PPWR-TF-ST-048-EUR-05-R00</t>
        </is>
      </c>
      <c r="C84" t="inlineStr">
        <is>
          <t>Technical File — ST-048-EUR-05</t>
        </is>
      </c>
      <c r="D84" s="19" t="n"/>
      <c r="E84" s="19" t="inlineStr">
        <is>
          <t>83</t>
        </is>
      </c>
      <c r="F84" s="19" t="n"/>
      <c r="G84" t="n">
        <v>0</v>
      </c>
      <c r="J84" t="inlineStr">
        <is>
          <t>REV00 CURRENT EVIDENCE BASIS — ARTICLE 5 ASSESSMENT BASIS</t>
        </is>
      </c>
      <c r="K84" t="inlineStr">
        <is>
          <t>PENDING – DRAWINGS / PHOTOGRAPHS</t>
        </is>
      </c>
      <c r="L84" s="19" t="inlineStr">
        <is>
          <t>1</t>
        </is>
      </c>
      <c r="M84" s="19" t="inlineStr">
        <is>
          <t>2</t>
        </is>
      </c>
      <c r="N84" t="inlineStr">
        <is>
          <t>2026-08-08</t>
        </is>
      </c>
      <c r="P84" t="inlineStr">
        <is>
          <t>Rev.00 Word technical file generated — see DOCUMENT_LIBRARY.FILE_URI; drawings/photos may remain PENDING</t>
        </is>
      </c>
      <c r="Q84" t="inlineStr">
        <is>
          <t>2026-08-10T19:29:54Z</t>
        </is>
      </c>
      <c r="R84" t="inlineStr">
        <is>
          <t>2026-08-10T19:29:54Z</t>
        </is>
      </c>
    </row>
    <row r="85">
      <c r="A85" s="19" t="inlineStr">
        <is>
          <t>84</t>
        </is>
      </c>
      <c r="B85" s="19" t="inlineStr">
        <is>
          <t>IA-PPWR-TF-ST-048-EUR-06-R00</t>
        </is>
      </c>
      <c r="C85" t="inlineStr">
        <is>
          <t>Technical File — ST-048-EUR-06</t>
        </is>
      </c>
      <c r="D85" s="19" t="n"/>
      <c r="E85" s="19" t="inlineStr">
        <is>
          <t>84</t>
        </is>
      </c>
      <c r="F85" s="19" t="n"/>
      <c r="G85" t="n">
        <v>0</v>
      </c>
      <c r="J85" t="inlineStr">
        <is>
          <t>REV00 CURRENT EVIDENCE BASIS — ARTICLE 5 ASSESSMENT BASIS</t>
        </is>
      </c>
      <c r="K85" t="inlineStr">
        <is>
          <t>PENDING – DRAWINGS / PHOTOGRAPHS</t>
        </is>
      </c>
      <c r="L85" s="19" t="inlineStr">
        <is>
          <t>1</t>
        </is>
      </c>
      <c r="M85" s="19" t="inlineStr">
        <is>
          <t>2</t>
        </is>
      </c>
      <c r="N85" t="inlineStr">
        <is>
          <t>2026-08-08</t>
        </is>
      </c>
      <c r="P85" t="inlineStr">
        <is>
          <t>Rev.00 Word technical file generated — see DOCUMENT_LIBRARY.FILE_URI; drawings/photos may remain PENDING</t>
        </is>
      </c>
      <c r="Q85" t="inlineStr">
        <is>
          <t>2026-08-10T19:29:54Z</t>
        </is>
      </c>
      <c r="R85" t="inlineStr">
        <is>
          <t>2026-08-10T19:29:54Z</t>
        </is>
      </c>
    </row>
    <row r="86">
      <c r="A86" s="19" t="inlineStr">
        <is>
          <t>85</t>
        </is>
      </c>
      <c r="B86" s="19" t="inlineStr">
        <is>
          <t>IA-PPWR-TF-ST-048-EUR-07-R00</t>
        </is>
      </c>
      <c r="C86" t="inlineStr">
        <is>
          <t>Technical File — ST-048-EUR-07</t>
        </is>
      </c>
      <c r="D86" s="19" t="n"/>
      <c r="E86" s="19" t="inlineStr">
        <is>
          <t>85</t>
        </is>
      </c>
      <c r="F86" s="19" t="n"/>
      <c r="G86" t="n">
        <v>0</v>
      </c>
      <c r="J86" t="inlineStr">
        <is>
          <t>REV00 CURRENT EVIDENCE BASIS — ARTICLE 5 ASSESSMENT BASIS</t>
        </is>
      </c>
      <c r="K86" t="inlineStr">
        <is>
          <t>PENDING – DRAWINGS / PHOTOGRAPHS</t>
        </is>
      </c>
      <c r="L86" s="19" t="inlineStr">
        <is>
          <t>1</t>
        </is>
      </c>
      <c r="M86" s="19" t="inlineStr">
        <is>
          <t>2</t>
        </is>
      </c>
      <c r="N86" t="inlineStr">
        <is>
          <t>2026-08-08</t>
        </is>
      </c>
      <c r="P86" t="inlineStr">
        <is>
          <t>Rev.00 Word technical file generated — see DOCUMENT_LIBRARY.FILE_URI; drawings/photos may remain PENDING</t>
        </is>
      </c>
      <c r="Q86" t="inlineStr">
        <is>
          <t>2026-08-10T19:29:54Z</t>
        </is>
      </c>
      <c r="R86" t="inlineStr">
        <is>
          <t>2026-08-10T19:29:54Z</t>
        </is>
      </c>
    </row>
    <row r="87">
      <c r="A87" s="19" t="inlineStr">
        <is>
          <t>86</t>
        </is>
      </c>
      <c r="B87" s="19" t="inlineStr">
        <is>
          <t>IA-PPWR-TF-ST-048-EUR-08-R00</t>
        </is>
      </c>
      <c r="C87" t="inlineStr">
        <is>
          <t>Technical File — ST-048-EUR-08</t>
        </is>
      </c>
      <c r="D87" s="19" t="n"/>
      <c r="E87" s="19" t="inlineStr">
        <is>
          <t>86</t>
        </is>
      </c>
      <c r="F87" s="19" t="n"/>
      <c r="G87" t="n">
        <v>0</v>
      </c>
      <c r="J87" t="inlineStr">
        <is>
          <t>REV00 CURRENT EVIDENCE BASIS — ARTICLE 5 ASSESSMENT BASIS</t>
        </is>
      </c>
      <c r="K87" t="inlineStr">
        <is>
          <t>PENDING – DRAWINGS / PHOTOGRAPHS</t>
        </is>
      </c>
      <c r="L87" s="19" t="inlineStr">
        <is>
          <t>1</t>
        </is>
      </c>
      <c r="M87" s="19" t="inlineStr">
        <is>
          <t>2</t>
        </is>
      </c>
      <c r="N87" t="inlineStr">
        <is>
          <t>2026-08-08</t>
        </is>
      </c>
      <c r="P87" t="inlineStr">
        <is>
          <t>Rev.00 Word technical file generated — see DOCUMENT_LIBRARY.FILE_URI; drawings/photos may remain PENDING</t>
        </is>
      </c>
      <c r="Q87" t="inlineStr">
        <is>
          <t>2026-08-10T19:29:54Z</t>
        </is>
      </c>
      <c r="R87" t="inlineStr">
        <is>
          <t>2026-08-10T19:29:54Z</t>
        </is>
      </c>
    </row>
    <row r="88">
      <c r="A88" s="19" t="inlineStr">
        <is>
          <t>87</t>
        </is>
      </c>
      <c r="B88" s="19" t="inlineStr">
        <is>
          <t>IA-PPWR-TF-ST-048-EUR-09-R00</t>
        </is>
      </c>
      <c r="C88" t="inlineStr">
        <is>
          <t>Technical File — ST-048-EUR-09</t>
        </is>
      </c>
      <c r="D88" s="19" t="n"/>
      <c r="E88" s="19" t="inlineStr">
        <is>
          <t>87</t>
        </is>
      </c>
      <c r="F88" s="19" t="n"/>
      <c r="G88" t="n">
        <v>0</v>
      </c>
      <c r="J88" t="inlineStr">
        <is>
          <t>REV00 CURRENT EVIDENCE BASIS — ARTICLE 5 ASSESSMENT BASIS</t>
        </is>
      </c>
      <c r="K88" t="inlineStr">
        <is>
          <t>PENDING – DRAWINGS / PHOTOGRAPHS</t>
        </is>
      </c>
      <c r="L88" s="19" t="inlineStr">
        <is>
          <t>1</t>
        </is>
      </c>
      <c r="M88" s="19" t="inlineStr">
        <is>
          <t>2</t>
        </is>
      </c>
      <c r="N88" t="inlineStr">
        <is>
          <t>2026-08-08</t>
        </is>
      </c>
      <c r="P88" t="inlineStr">
        <is>
          <t>Rev.00 Word technical file generated — see DOCUMENT_LIBRARY.FILE_URI; drawings/photos may remain PENDING</t>
        </is>
      </c>
      <c r="Q88" t="inlineStr">
        <is>
          <t>2026-08-10T19:29:54Z</t>
        </is>
      </c>
      <c r="R88" t="inlineStr">
        <is>
          <t>2026-08-10T19:29:54Z</t>
        </is>
      </c>
    </row>
    <row r="89">
      <c r="A89" s="19" t="inlineStr">
        <is>
          <t>88</t>
        </is>
      </c>
      <c r="B89" s="19" t="inlineStr">
        <is>
          <t>IA-PPWR-TF-ST-048-EUR-10-R00</t>
        </is>
      </c>
      <c r="C89" t="inlineStr">
        <is>
          <t>Technical File — ST-048-EUR-10</t>
        </is>
      </c>
      <c r="D89" s="19" t="n"/>
      <c r="E89" s="19" t="inlineStr">
        <is>
          <t>88</t>
        </is>
      </c>
      <c r="F89" s="19" t="n"/>
      <c r="G89" t="n">
        <v>0</v>
      </c>
      <c r="J89" t="inlineStr">
        <is>
          <t>REV00 CURRENT EVIDENCE BASIS — ARTICLE 5 ASSESSMENT BASIS</t>
        </is>
      </c>
      <c r="K89" t="inlineStr">
        <is>
          <t>PENDING – DRAWINGS / PHOTOGRAPHS</t>
        </is>
      </c>
      <c r="L89" s="19" t="inlineStr">
        <is>
          <t>1</t>
        </is>
      </c>
      <c r="M89" s="19" t="inlineStr">
        <is>
          <t>2</t>
        </is>
      </c>
      <c r="N89" t="inlineStr">
        <is>
          <t>2026-08-08</t>
        </is>
      </c>
      <c r="P89" t="inlineStr">
        <is>
          <t>Rev.00 Word technical file generated — see DOCUMENT_LIBRARY.FILE_URI; drawings/photos may remain PENDING</t>
        </is>
      </c>
      <c r="Q89" t="inlineStr">
        <is>
          <t>2026-08-10T19:29:54Z</t>
        </is>
      </c>
      <c r="R89" t="inlineStr">
        <is>
          <t>2026-08-10T19:29:54Z</t>
        </is>
      </c>
    </row>
    <row r="90">
      <c r="A90" s="19" t="inlineStr">
        <is>
          <t>89</t>
        </is>
      </c>
      <c r="B90" s="19" t="inlineStr">
        <is>
          <t>IA-PPWR-TF-ST-048-EUR-11-R00</t>
        </is>
      </c>
      <c r="C90" t="inlineStr">
        <is>
          <t>Technical File — ST-048-EUR-11</t>
        </is>
      </c>
      <c r="D90" s="19" t="n"/>
      <c r="E90" s="19" t="inlineStr">
        <is>
          <t>89</t>
        </is>
      </c>
      <c r="F90" s="19" t="n"/>
      <c r="G90" t="n">
        <v>0</v>
      </c>
      <c r="J90" t="inlineStr">
        <is>
          <t>REV00 CURRENT EVIDENCE BASIS — ARTICLE 5 ASSESSMENT BASIS</t>
        </is>
      </c>
      <c r="K90" t="inlineStr">
        <is>
          <t>PENDING – DRAWINGS / PHOTOGRAPHS</t>
        </is>
      </c>
      <c r="L90" s="19" t="inlineStr">
        <is>
          <t>1</t>
        </is>
      </c>
      <c r="M90" s="19" t="inlineStr">
        <is>
          <t>2</t>
        </is>
      </c>
      <c r="N90" t="inlineStr">
        <is>
          <t>2026-08-08</t>
        </is>
      </c>
      <c r="P90" t="inlineStr">
        <is>
          <t>Rev.00 Word technical file generated — see DOCUMENT_LIBRARY.FILE_URI; drawings/photos may remain PENDING</t>
        </is>
      </c>
      <c r="Q90" t="inlineStr">
        <is>
          <t>2026-08-10T19:29:54Z</t>
        </is>
      </c>
      <c r="R90" t="inlineStr">
        <is>
          <t>2026-08-10T19:29:54Z</t>
        </is>
      </c>
    </row>
    <row r="91">
      <c r="A91" s="19" t="inlineStr">
        <is>
          <t>90</t>
        </is>
      </c>
      <c r="B91" s="19" t="inlineStr">
        <is>
          <t>IA-PPWR-TF-ST-048-EUR-12-R00</t>
        </is>
      </c>
      <c r="C91" t="inlineStr">
        <is>
          <t>Technical File — ST-048-EUR-12</t>
        </is>
      </c>
      <c r="D91" s="19" t="n"/>
      <c r="E91" s="19" t="inlineStr">
        <is>
          <t>90</t>
        </is>
      </c>
      <c r="F91" s="19" t="n"/>
      <c r="G91" t="n">
        <v>0</v>
      </c>
      <c r="J91" t="inlineStr">
        <is>
          <t>REV00 CURRENT EVIDENCE BASIS — ARTICLE 5 ASSESSMENT BASIS</t>
        </is>
      </c>
      <c r="K91" t="inlineStr">
        <is>
          <t>PENDING – DRAWINGS / PHOTOGRAPHS</t>
        </is>
      </c>
      <c r="L91" s="19" t="inlineStr">
        <is>
          <t>1</t>
        </is>
      </c>
      <c r="M91" s="19" t="inlineStr">
        <is>
          <t>2</t>
        </is>
      </c>
      <c r="N91" t="inlineStr">
        <is>
          <t>2026-08-08</t>
        </is>
      </c>
      <c r="P91" t="inlineStr">
        <is>
          <t>Rev.00 Word technical file generated — see DOCUMENT_LIBRARY.FILE_URI; drawings/photos may remain PENDING</t>
        </is>
      </c>
      <c r="Q91" t="inlineStr">
        <is>
          <t>2026-08-10T19:29:54Z</t>
        </is>
      </c>
      <c r="R91" t="inlineStr">
        <is>
          <t>2026-08-10T19:29:54Z</t>
        </is>
      </c>
    </row>
    <row r="92">
      <c r="A92" s="19" t="inlineStr">
        <is>
          <t>91</t>
        </is>
      </c>
      <c r="B92" s="19" t="inlineStr">
        <is>
          <t>IA-PPWR-TF-ST-048-STD-01-R00</t>
        </is>
      </c>
      <c r="C92" t="inlineStr">
        <is>
          <t>Technical File — ST-048-STD-01</t>
        </is>
      </c>
      <c r="D92" s="19" t="n"/>
      <c r="E92" s="19" t="inlineStr">
        <is>
          <t>91</t>
        </is>
      </c>
      <c r="F92" s="19" t="n"/>
      <c r="G92" t="n">
        <v>0</v>
      </c>
      <c r="J92" t="inlineStr">
        <is>
          <t>REV00 CURRENT EVIDENCE BASIS — ARTICLE 5 ASSESSMENT BASIS</t>
        </is>
      </c>
      <c r="K92" t="inlineStr">
        <is>
          <t>PENDING – DRAWINGS / PHOTOGRAPHS</t>
        </is>
      </c>
      <c r="L92" s="19" t="inlineStr">
        <is>
          <t>1</t>
        </is>
      </c>
      <c r="M92" s="19" t="inlineStr">
        <is>
          <t>2</t>
        </is>
      </c>
      <c r="N92" t="inlineStr">
        <is>
          <t>2026-08-08</t>
        </is>
      </c>
      <c r="P92" t="inlineStr">
        <is>
          <t>Rev.00 Word technical file generated — see DOCUMENT_LIBRARY.FILE_URI; drawings/photos may remain PENDING</t>
        </is>
      </c>
      <c r="Q92" t="inlineStr">
        <is>
          <t>2026-08-10T19:29:54Z</t>
        </is>
      </c>
      <c r="R92" t="inlineStr">
        <is>
          <t>2026-08-10T19:29:54Z</t>
        </is>
      </c>
    </row>
    <row r="93">
      <c r="A93" s="19" t="inlineStr">
        <is>
          <t>92</t>
        </is>
      </c>
      <c r="B93" s="19" t="inlineStr">
        <is>
          <t>IA-PPWR-TF-ST-048-STD-02-R00</t>
        </is>
      </c>
      <c r="C93" t="inlineStr">
        <is>
          <t>Technical File — ST-048-STD-02</t>
        </is>
      </c>
      <c r="D93" s="19" t="n"/>
      <c r="E93" s="19" t="inlineStr">
        <is>
          <t>92</t>
        </is>
      </c>
      <c r="F93" s="19" t="n"/>
      <c r="G93" t="n">
        <v>0</v>
      </c>
      <c r="J93" t="inlineStr">
        <is>
          <t>REV00 CURRENT EVIDENCE BASIS — ARTICLE 5 ASSESSMENT BASIS</t>
        </is>
      </c>
      <c r="K93" t="inlineStr">
        <is>
          <t>PENDING – DRAWINGS / PHOTOGRAPHS</t>
        </is>
      </c>
      <c r="L93" s="19" t="inlineStr">
        <is>
          <t>1</t>
        </is>
      </c>
      <c r="M93" s="19" t="inlineStr">
        <is>
          <t>2</t>
        </is>
      </c>
      <c r="N93" t="inlineStr">
        <is>
          <t>2026-08-08</t>
        </is>
      </c>
      <c r="P93" t="inlineStr">
        <is>
          <t>Rev.00 Word technical file generated — see DOCUMENT_LIBRARY.FILE_URI; drawings/photos may remain PENDING</t>
        </is>
      </c>
      <c r="Q93" t="inlineStr">
        <is>
          <t>2026-08-10T19:29:54Z</t>
        </is>
      </c>
      <c r="R93" t="inlineStr">
        <is>
          <t>2026-08-10T19:29:54Z</t>
        </is>
      </c>
    </row>
    <row r="94">
      <c r="A94" s="19" t="inlineStr">
        <is>
          <t>93</t>
        </is>
      </c>
      <c r="B94" s="19" t="inlineStr">
        <is>
          <t>IA-PPWR-TF-ST-051-EUR-01-R00</t>
        </is>
      </c>
      <c r="C94" t="inlineStr">
        <is>
          <t>Technical File — ST-051-EUR-01</t>
        </is>
      </c>
      <c r="D94" s="19" t="n"/>
      <c r="E94" s="19" t="inlineStr">
        <is>
          <t>93</t>
        </is>
      </c>
      <c r="F94" s="19" t="n"/>
      <c r="G94" t="n">
        <v>0</v>
      </c>
      <c r="J94" t="inlineStr">
        <is>
          <t>REV00 CURRENT EVIDENCE BASIS — ARTICLE 5 ASSESSMENT BASIS</t>
        </is>
      </c>
      <c r="K94" t="inlineStr">
        <is>
          <t>PENDING – DRAWINGS / PHOTOGRAPHS</t>
        </is>
      </c>
      <c r="L94" s="19" t="inlineStr">
        <is>
          <t>1</t>
        </is>
      </c>
      <c r="M94" s="19" t="inlineStr">
        <is>
          <t>2</t>
        </is>
      </c>
      <c r="N94" t="inlineStr">
        <is>
          <t>2026-08-08</t>
        </is>
      </c>
      <c r="P94" t="inlineStr">
        <is>
          <t>Rev.00 Word technical file generated — see DOCUMENT_LIBRARY.FILE_URI; drawings/photos may remain PENDING</t>
        </is>
      </c>
      <c r="Q94" t="inlineStr">
        <is>
          <t>2026-08-10T19:29:54Z</t>
        </is>
      </c>
      <c r="R94" t="inlineStr">
        <is>
          <t>2026-08-10T19:29:54Z</t>
        </is>
      </c>
    </row>
    <row r="95">
      <c r="A95" s="19" t="inlineStr">
        <is>
          <t>94</t>
        </is>
      </c>
      <c r="B95" s="19" t="inlineStr">
        <is>
          <t>IA-PPWR-TF-ST-051-EUR-02-R00</t>
        </is>
      </c>
      <c r="C95" t="inlineStr">
        <is>
          <t>Technical File — ST-051-EUR-02</t>
        </is>
      </c>
      <c r="D95" s="19" t="n"/>
      <c r="E95" s="19" t="inlineStr">
        <is>
          <t>94</t>
        </is>
      </c>
      <c r="F95" s="19" t="n"/>
      <c r="G95" t="n">
        <v>0</v>
      </c>
      <c r="J95" t="inlineStr">
        <is>
          <t>REV00 CURRENT EVIDENCE BASIS — ARTICLE 5 ASSESSMENT BASIS</t>
        </is>
      </c>
      <c r="K95" t="inlineStr">
        <is>
          <t>PENDING – DRAWINGS / PHOTOGRAPHS</t>
        </is>
      </c>
      <c r="L95" s="19" t="inlineStr">
        <is>
          <t>1</t>
        </is>
      </c>
      <c r="M95" s="19" t="inlineStr">
        <is>
          <t>2</t>
        </is>
      </c>
      <c r="N95" t="inlineStr">
        <is>
          <t>2026-08-08</t>
        </is>
      </c>
      <c r="P95" t="inlineStr">
        <is>
          <t>Rev.00 Word technical file generated — see DOCUMENT_LIBRARY.FILE_URI; drawings/photos may remain PENDING</t>
        </is>
      </c>
      <c r="Q95" t="inlineStr">
        <is>
          <t>2026-08-10T19:29:54Z</t>
        </is>
      </c>
      <c r="R95" t="inlineStr">
        <is>
          <t>2026-08-10T19:29:54Z</t>
        </is>
      </c>
    </row>
    <row r="96">
      <c r="A96" s="19" t="inlineStr">
        <is>
          <t>95</t>
        </is>
      </c>
      <c r="B96" s="19" t="inlineStr">
        <is>
          <t>IA-PPWR-TF-ST-051-EUR-03-R00</t>
        </is>
      </c>
      <c r="C96" t="inlineStr">
        <is>
          <t>Technical File — ST-051-EUR-03</t>
        </is>
      </c>
      <c r="D96" s="19" t="n"/>
      <c r="E96" s="19" t="inlineStr">
        <is>
          <t>95</t>
        </is>
      </c>
      <c r="F96" s="19" t="n"/>
      <c r="G96" t="n">
        <v>0</v>
      </c>
      <c r="J96" t="inlineStr">
        <is>
          <t>REV00 CURRENT EVIDENCE BASIS — ARTICLE 5 ASSESSMENT BASIS</t>
        </is>
      </c>
      <c r="K96" t="inlineStr">
        <is>
          <t>PENDING – DRAWINGS / PHOTOGRAPHS</t>
        </is>
      </c>
      <c r="L96" s="19" t="inlineStr">
        <is>
          <t>1</t>
        </is>
      </c>
      <c r="M96" s="19" t="inlineStr">
        <is>
          <t>2</t>
        </is>
      </c>
      <c r="N96" t="inlineStr">
        <is>
          <t>2026-08-08</t>
        </is>
      </c>
      <c r="P96" t="inlineStr">
        <is>
          <t>Rev.00 Word technical file generated — see DOCUMENT_LIBRARY.FILE_URI; drawings/photos may remain PENDING</t>
        </is>
      </c>
      <c r="Q96" t="inlineStr">
        <is>
          <t>2026-08-10T19:29:54Z</t>
        </is>
      </c>
      <c r="R96" t="inlineStr">
        <is>
          <t>2026-08-10T19:29:54Z</t>
        </is>
      </c>
    </row>
    <row r="97">
      <c r="A97" s="19" t="inlineStr">
        <is>
          <t>96</t>
        </is>
      </c>
      <c r="B97" s="19" t="inlineStr">
        <is>
          <t>IA-PPWR-TF-ST-051-EUR-04-R00</t>
        </is>
      </c>
      <c r="C97" t="inlineStr">
        <is>
          <t>Technical File — ST-051-EUR-04</t>
        </is>
      </c>
      <c r="D97" s="19" t="n"/>
      <c r="E97" s="19" t="inlineStr">
        <is>
          <t>96</t>
        </is>
      </c>
      <c r="F97" s="19" t="n"/>
      <c r="G97" t="n">
        <v>0</v>
      </c>
      <c r="J97" t="inlineStr">
        <is>
          <t>REV00 CURRENT EVIDENCE BASIS — ARTICLE 5 ASSESSMENT BASIS</t>
        </is>
      </c>
      <c r="K97" t="inlineStr">
        <is>
          <t>PENDING – DRAWINGS / PHOTOGRAPHS</t>
        </is>
      </c>
      <c r="L97" s="19" t="inlineStr">
        <is>
          <t>1</t>
        </is>
      </c>
      <c r="M97" s="19" t="inlineStr">
        <is>
          <t>2</t>
        </is>
      </c>
      <c r="N97" t="inlineStr">
        <is>
          <t>2026-08-08</t>
        </is>
      </c>
      <c r="P97" t="inlineStr">
        <is>
          <t>Rev.00 Word technical file generated — see DOCUMENT_LIBRARY.FILE_URI; drawings/photos may remain PENDING</t>
        </is>
      </c>
      <c r="Q97" t="inlineStr">
        <is>
          <t>2026-08-10T19:29:54Z</t>
        </is>
      </c>
      <c r="R97" t="inlineStr">
        <is>
          <t>2026-08-10T19:29:54Z</t>
        </is>
      </c>
    </row>
    <row r="98">
      <c r="A98" s="19" t="inlineStr">
        <is>
          <t>97</t>
        </is>
      </c>
      <c r="B98" s="19" t="inlineStr">
        <is>
          <t>IA-PPWR-TF-ST-051-STD-01-R00</t>
        </is>
      </c>
      <c r="C98" t="inlineStr">
        <is>
          <t>Technical File — ST-051-STD-01</t>
        </is>
      </c>
      <c r="D98" s="19" t="n"/>
      <c r="E98" s="19" t="inlineStr">
        <is>
          <t>97</t>
        </is>
      </c>
      <c r="F98" s="19" t="n"/>
      <c r="G98" t="n">
        <v>0</v>
      </c>
      <c r="J98" t="inlineStr">
        <is>
          <t>REV00 CURRENT EVIDENCE BASIS — ARTICLE 5 ASSESSMENT BASIS</t>
        </is>
      </c>
      <c r="K98" t="inlineStr">
        <is>
          <t>PENDING – DRAWINGS / PHOTOGRAPHS</t>
        </is>
      </c>
      <c r="L98" s="19" t="inlineStr">
        <is>
          <t>1</t>
        </is>
      </c>
      <c r="M98" s="19" t="inlineStr">
        <is>
          <t>2</t>
        </is>
      </c>
      <c r="N98" t="inlineStr">
        <is>
          <t>2026-08-08</t>
        </is>
      </c>
      <c r="P98" t="inlineStr">
        <is>
          <t>Rev.00 Word technical file generated — see DOCUMENT_LIBRARY.FILE_URI; drawings/photos may remain PENDING</t>
        </is>
      </c>
      <c r="Q98" t="inlineStr">
        <is>
          <t>2026-08-10T19:29:54Z</t>
        </is>
      </c>
      <c r="R98" t="inlineStr">
        <is>
          <t>2026-08-10T19:29:54Z</t>
        </is>
      </c>
    </row>
    <row r="99">
      <c r="A99" s="19" t="inlineStr">
        <is>
          <t>98</t>
        </is>
      </c>
      <c r="B99" s="19" t="inlineStr">
        <is>
          <t>IA-PPWR-TF-ST-051-STD-02-R00</t>
        </is>
      </c>
      <c r="C99" t="inlineStr">
        <is>
          <t>Technical File — ST-051-STD-02</t>
        </is>
      </c>
      <c r="D99" s="19" t="n"/>
      <c r="E99" s="19" t="inlineStr">
        <is>
          <t>98</t>
        </is>
      </c>
      <c r="F99" s="19" t="n"/>
      <c r="G99" t="n">
        <v>0</v>
      </c>
      <c r="J99" t="inlineStr">
        <is>
          <t>REV00 CURRENT EVIDENCE BASIS — ARTICLE 5 ASSESSMENT BASIS</t>
        </is>
      </c>
      <c r="K99" t="inlineStr">
        <is>
          <t>PENDING – DRAWINGS / PHOTOGRAPHS</t>
        </is>
      </c>
      <c r="L99" s="19" t="inlineStr">
        <is>
          <t>1</t>
        </is>
      </c>
      <c r="M99" s="19" t="inlineStr">
        <is>
          <t>2</t>
        </is>
      </c>
      <c r="N99" t="inlineStr">
        <is>
          <t>2026-08-08</t>
        </is>
      </c>
      <c r="P99" t="inlineStr">
        <is>
          <t>Rev.00 Word technical file generated — see DOCUMENT_LIBRARY.FILE_URI; drawings/photos may remain PENDING</t>
        </is>
      </c>
      <c r="Q99" t="inlineStr">
        <is>
          <t>2026-08-10T19:29:54Z</t>
        </is>
      </c>
      <c r="R99" t="inlineStr">
        <is>
          <t>2026-08-10T19:29:54Z</t>
        </is>
      </c>
    </row>
    <row r="100">
      <c r="A100" s="19" t="inlineStr">
        <is>
          <t>99</t>
        </is>
      </c>
      <c r="B100" s="19" t="inlineStr">
        <is>
          <t>IA-PPWR-TF-ST-051-STD-03-R00</t>
        </is>
      </c>
      <c r="C100" t="inlineStr">
        <is>
          <t>Technical File — ST-051-STD-03</t>
        </is>
      </c>
      <c r="D100" s="19" t="n"/>
      <c r="E100" s="19" t="inlineStr">
        <is>
          <t>99</t>
        </is>
      </c>
      <c r="F100" s="19" t="n"/>
      <c r="G100" t="n">
        <v>0</v>
      </c>
      <c r="J100" t="inlineStr">
        <is>
          <t>REV00 CURRENT EVIDENCE BASIS — ARTICLE 5 ASSESSMENT BASIS</t>
        </is>
      </c>
      <c r="K100" t="inlineStr">
        <is>
          <t>PENDING – DRAWINGS / PHOTOGRAPHS</t>
        </is>
      </c>
      <c r="L100" s="19" t="inlineStr">
        <is>
          <t>1</t>
        </is>
      </c>
      <c r="M100" s="19" t="inlineStr">
        <is>
          <t>2</t>
        </is>
      </c>
      <c r="N100" t="inlineStr">
        <is>
          <t>2026-08-08</t>
        </is>
      </c>
      <c r="P100" t="inlineStr">
        <is>
          <t>Rev.00 Word technical file generated — see DOCUMENT_LIBRARY.FILE_URI; drawings/photos may remain PENDING</t>
        </is>
      </c>
      <c r="Q100" t="inlineStr">
        <is>
          <t>2026-08-10T19:29:54Z</t>
        </is>
      </c>
      <c r="R100" t="inlineStr">
        <is>
          <t>2026-08-10T19:29:54Z</t>
        </is>
      </c>
    </row>
    <row r="101">
      <c r="A101" s="19" t="inlineStr">
        <is>
          <t>100</t>
        </is>
      </c>
      <c r="B101" s="19" t="inlineStr">
        <is>
          <t>IA-PPWR-TF-ST-051-STD-04-R00</t>
        </is>
      </c>
      <c r="C101" t="inlineStr">
        <is>
          <t>Technical File — ST-051-STD-04</t>
        </is>
      </c>
      <c r="D101" s="19" t="n"/>
      <c r="E101" s="19" t="inlineStr">
        <is>
          <t>100</t>
        </is>
      </c>
      <c r="F101" s="19" t="n"/>
      <c r="G101" t="n">
        <v>0</v>
      </c>
      <c r="J101" t="inlineStr">
        <is>
          <t>REV00 CURRENT EVIDENCE BASIS — ARTICLE 5 ASSESSMENT BASIS</t>
        </is>
      </c>
      <c r="K101" t="inlineStr">
        <is>
          <t>PENDING – DRAWINGS / PHOTOGRAPHS</t>
        </is>
      </c>
      <c r="L101" s="19" t="inlineStr">
        <is>
          <t>1</t>
        </is>
      </c>
      <c r="M101" s="19" t="inlineStr">
        <is>
          <t>2</t>
        </is>
      </c>
      <c r="N101" t="inlineStr">
        <is>
          <t>2026-08-08</t>
        </is>
      </c>
      <c r="P101" t="inlineStr">
        <is>
          <t>Rev.00 Word technical file generated — see DOCUMENT_LIBRARY.FILE_URI; drawings/photos may remain PENDING</t>
        </is>
      </c>
      <c r="Q101" t="inlineStr">
        <is>
          <t>2026-08-10T19:29:54Z</t>
        </is>
      </c>
      <c r="R101" t="inlineStr">
        <is>
          <t>2026-08-10T19:29:54Z</t>
        </is>
      </c>
    </row>
    <row r="102">
      <c r="A102" s="19" t="inlineStr">
        <is>
          <t>101</t>
        </is>
      </c>
      <c r="B102" s="19" t="inlineStr">
        <is>
          <t>IA-PPWR-TF-ST-051-STD-05-R00</t>
        </is>
      </c>
      <c r="C102" t="inlineStr">
        <is>
          <t>Technical File — ST-051-STD-05</t>
        </is>
      </c>
      <c r="D102" s="19" t="n"/>
      <c r="E102" s="19" t="inlineStr">
        <is>
          <t>101</t>
        </is>
      </c>
      <c r="F102" s="19" t="n"/>
      <c r="G102" t="n">
        <v>0</v>
      </c>
      <c r="J102" t="inlineStr">
        <is>
          <t>REV00 CURRENT EVIDENCE BASIS — ARTICLE 5 ASSESSMENT BASIS</t>
        </is>
      </c>
      <c r="K102" t="inlineStr">
        <is>
          <t>PENDING – DRAWINGS / PHOTOGRAPHS</t>
        </is>
      </c>
      <c r="L102" s="19" t="inlineStr">
        <is>
          <t>1</t>
        </is>
      </c>
      <c r="M102" s="19" t="inlineStr">
        <is>
          <t>2</t>
        </is>
      </c>
      <c r="N102" t="inlineStr">
        <is>
          <t>2026-08-08</t>
        </is>
      </c>
      <c r="P102" t="inlineStr">
        <is>
          <t>Rev.00 Word technical file generated — see DOCUMENT_LIBRARY.FILE_URI; drawings/photos may remain PENDING</t>
        </is>
      </c>
      <c r="Q102" t="inlineStr">
        <is>
          <t>2026-08-10T19:29:54Z</t>
        </is>
      </c>
      <c r="R102" t="inlineStr">
        <is>
          <t>2026-08-10T19:29:54Z</t>
        </is>
      </c>
    </row>
    <row r="103">
      <c r="A103" s="19" t="inlineStr">
        <is>
          <t>102</t>
        </is>
      </c>
      <c r="B103" s="19" t="inlineStr">
        <is>
          <t>IA-PPWR-TF-ST-051-STD-06-R00</t>
        </is>
      </c>
      <c r="C103" t="inlineStr">
        <is>
          <t>Technical File — ST-051-STD-06</t>
        </is>
      </c>
      <c r="D103" s="19" t="n"/>
      <c r="E103" s="19" t="inlineStr">
        <is>
          <t>102</t>
        </is>
      </c>
      <c r="F103" s="19" t="n"/>
      <c r="G103" t="n">
        <v>0</v>
      </c>
      <c r="J103" t="inlineStr">
        <is>
          <t>REV00 CURRENT EVIDENCE BASIS — ARTICLE 5 ASSESSMENT BASIS</t>
        </is>
      </c>
      <c r="K103" t="inlineStr">
        <is>
          <t>PENDING – DRAWINGS / PHOTOGRAPHS</t>
        </is>
      </c>
      <c r="L103" s="19" t="inlineStr">
        <is>
          <t>1</t>
        </is>
      </c>
      <c r="M103" s="19" t="inlineStr">
        <is>
          <t>2</t>
        </is>
      </c>
      <c r="N103" t="inlineStr">
        <is>
          <t>2026-08-08</t>
        </is>
      </c>
      <c r="P103" t="inlineStr">
        <is>
          <t>Rev.00 Word technical file generated — see DOCUMENT_LIBRARY.FILE_URI; drawings/photos may remain PENDING</t>
        </is>
      </c>
      <c r="Q103" t="inlineStr">
        <is>
          <t>2026-08-10T19:29:54Z</t>
        </is>
      </c>
      <c r="R103" t="inlineStr">
        <is>
          <t>2026-08-10T19:29:54Z</t>
        </is>
      </c>
    </row>
    <row r="104">
      <c r="A104" s="19" t="inlineStr">
        <is>
          <t>103</t>
        </is>
      </c>
      <c r="B104" s="19" t="inlineStr">
        <is>
          <t>IA-PPWR-TF-ST-051-STD-07-R00</t>
        </is>
      </c>
      <c r="C104" t="inlineStr">
        <is>
          <t>Technical File — ST-051-STD-07</t>
        </is>
      </c>
      <c r="D104" s="19" t="n"/>
      <c r="E104" s="19" t="inlineStr">
        <is>
          <t>103</t>
        </is>
      </c>
      <c r="F104" s="19" t="n"/>
      <c r="G104" t="n">
        <v>0</v>
      </c>
      <c r="J104" t="inlineStr">
        <is>
          <t>REV00 CURRENT EVIDENCE BASIS — ARTICLE 5 ASSESSMENT BASIS</t>
        </is>
      </c>
      <c r="K104" t="inlineStr">
        <is>
          <t>PENDING – DRAWINGS / PHOTOGRAPHS</t>
        </is>
      </c>
      <c r="L104" s="19" t="inlineStr">
        <is>
          <t>1</t>
        </is>
      </c>
      <c r="M104" s="19" t="inlineStr">
        <is>
          <t>2</t>
        </is>
      </c>
      <c r="N104" t="inlineStr">
        <is>
          <t>2026-08-08</t>
        </is>
      </c>
      <c r="P104" t="inlineStr">
        <is>
          <t>Rev.00 Word technical file generated — see DOCUMENT_LIBRARY.FILE_URI; drawings/photos may remain PENDING</t>
        </is>
      </c>
      <c r="Q104" t="inlineStr">
        <is>
          <t>2026-08-10T19:29:54Z</t>
        </is>
      </c>
      <c r="R104" t="inlineStr">
        <is>
          <t>2026-08-10T19:29:54Z</t>
        </is>
      </c>
    </row>
    <row r="105">
      <c r="A105" s="19" t="inlineStr">
        <is>
          <t>104</t>
        </is>
      </c>
      <c r="B105" s="19" t="inlineStr">
        <is>
          <t>IA-PPWR-TF-ST-051-STD-08-R00</t>
        </is>
      </c>
      <c r="C105" t="inlineStr">
        <is>
          <t>Technical File — ST-051-STD-08</t>
        </is>
      </c>
      <c r="D105" s="19" t="n"/>
      <c r="E105" s="19" t="inlineStr">
        <is>
          <t>104</t>
        </is>
      </c>
      <c r="F105" s="19" t="n"/>
      <c r="G105" t="n">
        <v>0</v>
      </c>
      <c r="J105" t="inlineStr">
        <is>
          <t>REV00 CURRENT EVIDENCE BASIS — ARTICLE 5 ASSESSMENT BASIS</t>
        </is>
      </c>
      <c r="K105" t="inlineStr">
        <is>
          <t>PENDING – DRAWINGS / PHOTOGRAPHS</t>
        </is>
      </c>
      <c r="L105" s="19" t="inlineStr">
        <is>
          <t>1</t>
        </is>
      </c>
      <c r="M105" s="19" t="inlineStr">
        <is>
          <t>2</t>
        </is>
      </c>
      <c r="N105" t="inlineStr">
        <is>
          <t>2026-08-08</t>
        </is>
      </c>
      <c r="P105" t="inlineStr">
        <is>
          <t>Rev.00 Word technical file generated — see DOCUMENT_LIBRARY.FILE_URI; drawings/photos may remain PENDING</t>
        </is>
      </c>
      <c r="Q105" t="inlineStr">
        <is>
          <t>2026-08-10T19:29:54Z</t>
        </is>
      </c>
      <c r="R105" t="inlineStr">
        <is>
          <t>2026-08-10T19:29:54Z</t>
        </is>
      </c>
    </row>
    <row r="106">
      <c r="A106" s="19" t="inlineStr">
        <is>
          <t>105</t>
        </is>
      </c>
      <c r="B106" s="19" t="inlineStr">
        <is>
          <t>IA-PPWR-TF-ST-054-EUR-01-R00</t>
        </is>
      </c>
      <c r="C106" t="inlineStr">
        <is>
          <t>Technical File — ST-054-EUR-01</t>
        </is>
      </c>
      <c r="D106" s="19" t="n"/>
      <c r="E106" s="19" t="inlineStr">
        <is>
          <t>105</t>
        </is>
      </c>
      <c r="F106" s="19" t="n"/>
      <c r="G106" t="n">
        <v>0</v>
      </c>
      <c r="J106" t="inlineStr">
        <is>
          <t>REV00 CURRENT EVIDENCE BASIS — ARTICLE 5 ASSESSMENT BASIS</t>
        </is>
      </c>
      <c r="K106" t="inlineStr">
        <is>
          <t>PENDING – DRAWINGS / PHOTOGRAPHS</t>
        </is>
      </c>
      <c r="L106" s="19" t="inlineStr">
        <is>
          <t>1</t>
        </is>
      </c>
      <c r="M106" s="19" t="inlineStr">
        <is>
          <t>2</t>
        </is>
      </c>
      <c r="N106" t="inlineStr">
        <is>
          <t>2026-08-08</t>
        </is>
      </c>
      <c r="P106" t="inlineStr">
        <is>
          <t>Rev.00 Word technical file generated — see DOCUMENT_LIBRARY.FILE_URI; drawings/photos may remain PENDING</t>
        </is>
      </c>
      <c r="Q106" t="inlineStr">
        <is>
          <t>2026-08-10T19:29:54Z</t>
        </is>
      </c>
      <c r="R106" t="inlineStr">
        <is>
          <t>2026-08-10T19:29:54Z</t>
        </is>
      </c>
    </row>
    <row r="107">
      <c r="A107" s="19" t="inlineStr">
        <is>
          <t>106</t>
        </is>
      </c>
      <c r="B107" s="19" t="inlineStr">
        <is>
          <t>IA-PPWR-TF-ST-054-STD-01-R00</t>
        </is>
      </c>
      <c r="C107" t="inlineStr">
        <is>
          <t>Technical File — ST-054-STD-01</t>
        </is>
      </c>
      <c r="D107" s="19" t="n"/>
      <c r="E107" s="19" t="inlineStr">
        <is>
          <t>106</t>
        </is>
      </c>
      <c r="F107" s="19" t="n"/>
      <c r="G107" t="n">
        <v>0</v>
      </c>
      <c r="J107" t="inlineStr">
        <is>
          <t>REV00 CURRENT EVIDENCE BASIS — ARTICLE 5 ASSESSMENT BASIS</t>
        </is>
      </c>
      <c r="K107" t="inlineStr">
        <is>
          <t>PENDING – DRAWINGS / PHOTOGRAPHS</t>
        </is>
      </c>
      <c r="L107" s="19" t="inlineStr">
        <is>
          <t>1</t>
        </is>
      </c>
      <c r="M107" s="19" t="inlineStr">
        <is>
          <t>2</t>
        </is>
      </c>
      <c r="N107" t="inlineStr">
        <is>
          <t>2026-08-08</t>
        </is>
      </c>
      <c r="P107" t="inlineStr">
        <is>
          <t>Rev.00 Word technical file generated — see DOCUMENT_LIBRARY.FILE_URI; drawings/photos may remain PENDING</t>
        </is>
      </c>
      <c r="Q107" t="inlineStr">
        <is>
          <t>2026-08-10T19:29:54Z</t>
        </is>
      </c>
      <c r="R107" t="inlineStr">
        <is>
          <t>2026-08-10T19:29:54Z</t>
        </is>
      </c>
    </row>
    <row r="108">
      <c r="A108" s="19" t="inlineStr">
        <is>
          <t>107</t>
        </is>
      </c>
      <c r="B108" s="19" t="inlineStr">
        <is>
          <t>IA-PPWR-TF-ST-054-STD-02-R00</t>
        </is>
      </c>
      <c r="C108" t="inlineStr">
        <is>
          <t>Technical File — ST-054-STD-02</t>
        </is>
      </c>
      <c r="D108" s="19" t="n"/>
      <c r="E108" s="19" t="inlineStr">
        <is>
          <t>107</t>
        </is>
      </c>
      <c r="F108" s="19" t="n"/>
      <c r="G108" t="n">
        <v>0</v>
      </c>
      <c r="J108" t="inlineStr">
        <is>
          <t>REV00 CURRENT EVIDENCE BASIS — ARTICLE 5 ASSESSMENT BASIS</t>
        </is>
      </c>
      <c r="K108" t="inlineStr">
        <is>
          <t>PENDING – DRAWINGS / PHOTOGRAPHS</t>
        </is>
      </c>
      <c r="L108" s="19" t="inlineStr">
        <is>
          <t>1</t>
        </is>
      </c>
      <c r="M108" s="19" t="inlineStr">
        <is>
          <t>2</t>
        </is>
      </c>
      <c r="N108" t="inlineStr">
        <is>
          <t>2026-08-08</t>
        </is>
      </c>
      <c r="P108" t="inlineStr">
        <is>
          <t>Rev.00 Word technical file generated — see DOCUMENT_LIBRARY.FILE_URI; drawings/photos may remain PENDING</t>
        </is>
      </c>
      <c r="Q108" t="inlineStr">
        <is>
          <t>2026-08-10T19:29:54Z</t>
        </is>
      </c>
      <c r="R108" t="inlineStr">
        <is>
          <t>2026-08-10T19:29:54Z</t>
        </is>
      </c>
    </row>
    <row r="109">
      <c r="A109" s="19" t="inlineStr">
        <is>
          <t>108</t>
        </is>
      </c>
      <c r="B109" s="19" t="inlineStr">
        <is>
          <t>IA-PPWR-TF-ST-054-STD-03-R00</t>
        </is>
      </c>
      <c r="C109" t="inlineStr">
        <is>
          <t>Technical File — ST-054-STD-03</t>
        </is>
      </c>
      <c r="D109" s="19" t="n"/>
      <c r="E109" s="19" t="inlineStr">
        <is>
          <t>108</t>
        </is>
      </c>
      <c r="F109" s="19" t="n"/>
      <c r="G109" t="n">
        <v>0</v>
      </c>
      <c r="J109" t="inlineStr">
        <is>
          <t>REV00 CURRENT EVIDENCE BASIS — ARTICLE 5 ASSESSMENT BASIS</t>
        </is>
      </c>
      <c r="K109" t="inlineStr">
        <is>
          <t>PENDING – DRAWINGS / PHOTOGRAPHS</t>
        </is>
      </c>
      <c r="L109" s="19" t="inlineStr">
        <is>
          <t>1</t>
        </is>
      </c>
      <c r="M109" s="19" t="inlineStr">
        <is>
          <t>2</t>
        </is>
      </c>
      <c r="N109" t="inlineStr">
        <is>
          <t>2026-08-08</t>
        </is>
      </c>
      <c r="P109" t="inlineStr">
        <is>
          <t>Rev.00 Word technical file generated — see DOCUMENT_LIBRARY.FILE_URI; drawings/photos may remain PENDING</t>
        </is>
      </c>
      <c r="Q109" t="inlineStr">
        <is>
          <t>2026-08-10T19:29:54Z</t>
        </is>
      </c>
      <c r="R109" t="inlineStr">
        <is>
          <t>2026-08-10T19:29:54Z</t>
        </is>
      </c>
    </row>
    <row r="110">
      <c r="A110" s="19" t="inlineStr">
        <is>
          <t>109</t>
        </is>
      </c>
      <c r="B110" s="19" t="inlineStr">
        <is>
          <t>IA-PPWR-TF-ST-054-STD-04-R00</t>
        </is>
      </c>
      <c r="C110" t="inlineStr">
        <is>
          <t>Technical File — ST-054-STD-04</t>
        </is>
      </c>
      <c r="D110" s="19" t="n"/>
      <c r="E110" s="19" t="inlineStr">
        <is>
          <t>109</t>
        </is>
      </c>
      <c r="F110" s="19" t="n"/>
      <c r="G110" t="n">
        <v>0</v>
      </c>
      <c r="J110" t="inlineStr">
        <is>
          <t>REV00 CURRENT EVIDENCE BASIS — ARTICLE 5 ASSESSMENT BASIS</t>
        </is>
      </c>
      <c r="K110" t="inlineStr">
        <is>
          <t>PENDING – DRAWINGS / PHOTOGRAPHS</t>
        </is>
      </c>
      <c r="L110" s="19" t="inlineStr">
        <is>
          <t>1</t>
        </is>
      </c>
      <c r="M110" s="19" t="inlineStr">
        <is>
          <t>2</t>
        </is>
      </c>
      <c r="N110" t="inlineStr">
        <is>
          <t>2026-08-08</t>
        </is>
      </c>
      <c r="P110" t="inlineStr">
        <is>
          <t>Rev.00 Word technical file generated — see DOCUMENT_LIBRARY.FILE_URI; drawings/photos may remain PENDING</t>
        </is>
      </c>
      <c r="Q110" t="inlineStr">
        <is>
          <t>2026-08-10T19:29:54Z</t>
        </is>
      </c>
      <c r="R110" t="inlineStr">
        <is>
          <t>2026-08-10T19:29:54Z</t>
        </is>
      </c>
    </row>
    <row r="111">
      <c r="A111" s="19" t="inlineStr">
        <is>
          <t>110</t>
        </is>
      </c>
      <c r="B111" s="19" t="inlineStr">
        <is>
          <t>IA-PPWR-TF-ST-054-STD-05-R00</t>
        </is>
      </c>
      <c r="C111" t="inlineStr">
        <is>
          <t>Technical File — ST-054-STD-05</t>
        </is>
      </c>
      <c r="D111" s="19" t="n"/>
      <c r="E111" s="19" t="inlineStr">
        <is>
          <t>110</t>
        </is>
      </c>
      <c r="F111" s="19" t="n"/>
      <c r="G111" t="n">
        <v>0</v>
      </c>
      <c r="J111" t="inlineStr">
        <is>
          <t>REV00 CURRENT EVIDENCE BASIS — ARTICLE 5 ASSESSMENT BASIS</t>
        </is>
      </c>
      <c r="K111" t="inlineStr">
        <is>
          <t>PENDING – DRAWINGS / PHOTOGRAPHS</t>
        </is>
      </c>
      <c r="L111" s="19" t="inlineStr">
        <is>
          <t>1</t>
        </is>
      </c>
      <c r="M111" s="19" t="inlineStr">
        <is>
          <t>2</t>
        </is>
      </c>
      <c r="N111" t="inlineStr">
        <is>
          <t>2026-08-08</t>
        </is>
      </c>
      <c r="P111" t="inlineStr">
        <is>
          <t>Rev.00 Word technical file generated — see DOCUMENT_LIBRARY.FILE_URI; drawings/photos may remain PENDING</t>
        </is>
      </c>
      <c r="Q111" t="inlineStr">
        <is>
          <t>2026-08-10T19:29:54Z</t>
        </is>
      </c>
      <c r="R111" t="inlineStr">
        <is>
          <t>2026-08-10T19:29:54Z</t>
        </is>
      </c>
    </row>
    <row r="112">
      <c r="A112" s="19" t="inlineStr">
        <is>
          <t>111</t>
        </is>
      </c>
      <c r="B112" s="19" t="inlineStr">
        <is>
          <t>IA-PPWR-TF-ST-054-STD-06-R00</t>
        </is>
      </c>
      <c r="C112" t="inlineStr">
        <is>
          <t>Technical File — ST-054-STD-06</t>
        </is>
      </c>
      <c r="D112" s="19" t="n"/>
      <c r="E112" s="19" t="inlineStr">
        <is>
          <t>111</t>
        </is>
      </c>
      <c r="F112" s="19" t="n"/>
      <c r="G112" t="n">
        <v>0</v>
      </c>
      <c r="J112" t="inlineStr">
        <is>
          <t>REV00 CURRENT EVIDENCE BASIS — ARTICLE 5 ASSESSMENT BASIS</t>
        </is>
      </c>
      <c r="K112" t="inlineStr">
        <is>
          <t>PENDING – DRAWINGS / PHOTOGRAPHS</t>
        </is>
      </c>
      <c r="L112" s="19" t="inlineStr">
        <is>
          <t>1</t>
        </is>
      </c>
      <c r="M112" s="19" t="inlineStr">
        <is>
          <t>2</t>
        </is>
      </c>
      <c r="N112" t="inlineStr">
        <is>
          <t>2026-08-08</t>
        </is>
      </c>
      <c r="P112" t="inlineStr">
        <is>
          <t>Rev.00 Word technical file generated — see DOCUMENT_LIBRARY.FILE_URI; drawings/photos may remain PENDING</t>
        </is>
      </c>
      <c r="Q112" t="inlineStr">
        <is>
          <t>2026-08-10T19:29:54Z</t>
        </is>
      </c>
      <c r="R112" t="inlineStr">
        <is>
          <t>2026-08-10T19:29:54Z</t>
        </is>
      </c>
    </row>
    <row r="113">
      <c r="A113" s="19" t="inlineStr">
        <is>
          <t>112</t>
        </is>
      </c>
      <c r="B113" s="19" t="inlineStr">
        <is>
          <t>IA-PPWR-TF-ST-054-STD-07-R00</t>
        </is>
      </c>
      <c r="C113" t="inlineStr">
        <is>
          <t>Technical File — ST-054-STD-07</t>
        </is>
      </c>
      <c r="D113" s="19" t="n"/>
      <c r="E113" s="19" t="inlineStr">
        <is>
          <t>112</t>
        </is>
      </c>
      <c r="F113" s="19" t="n"/>
      <c r="G113" t="n">
        <v>0</v>
      </c>
      <c r="J113" t="inlineStr">
        <is>
          <t>REV00 CURRENT EVIDENCE BASIS — ARTICLE 5 ASSESSMENT BASIS</t>
        </is>
      </c>
      <c r="K113" t="inlineStr">
        <is>
          <t>PENDING – DRAWINGS / PHOTOGRAPHS</t>
        </is>
      </c>
      <c r="L113" s="19" t="inlineStr">
        <is>
          <t>1</t>
        </is>
      </c>
      <c r="M113" s="19" t="inlineStr">
        <is>
          <t>2</t>
        </is>
      </c>
      <c r="N113" t="inlineStr">
        <is>
          <t>2026-08-08</t>
        </is>
      </c>
      <c r="P113" t="inlineStr">
        <is>
          <t>Rev.00 Word technical file generated — see DOCUMENT_LIBRARY.FILE_URI; drawings/photos may remain PENDING</t>
        </is>
      </c>
      <c r="Q113" t="inlineStr">
        <is>
          <t>2026-08-10T19:29:54Z</t>
        </is>
      </c>
      <c r="R113" t="inlineStr">
        <is>
          <t>2026-08-10T19:29:54Z</t>
        </is>
      </c>
    </row>
    <row r="114">
      <c r="A114" s="19" t="inlineStr">
        <is>
          <t>113</t>
        </is>
      </c>
      <c r="B114" s="19" t="inlineStr">
        <is>
          <t>IA-PPWR-TF-ST-054-STD-08-R00</t>
        </is>
      </c>
      <c r="C114" t="inlineStr">
        <is>
          <t>Technical File — ST-054-STD-08</t>
        </is>
      </c>
      <c r="D114" s="19" t="n"/>
      <c r="E114" s="19" t="inlineStr">
        <is>
          <t>113</t>
        </is>
      </c>
      <c r="F114" s="19" t="n"/>
      <c r="G114" t="n">
        <v>0</v>
      </c>
      <c r="J114" t="inlineStr">
        <is>
          <t>REV00 CURRENT EVIDENCE BASIS — ARTICLE 5 ASSESSMENT BASIS</t>
        </is>
      </c>
      <c r="K114" t="inlineStr">
        <is>
          <t>PENDING – DRAWINGS / PHOTOGRAPHS</t>
        </is>
      </c>
      <c r="L114" s="19" t="inlineStr">
        <is>
          <t>1</t>
        </is>
      </c>
      <c r="M114" s="19" t="inlineStr">
        <is>
          <t>2</t>
        </is>
      </c>
      <c r="N114" t="inlineStr">
        <is>
          <t>2026-08-08</t>
        </is>
      </c>
      <c r="P114" t="inlineStr">
        <is>
          <t>Rev.00 Word technical file generated — see DOCUMENT_LIBRARY.FILE_URI; drawings/photos may remain PENDING</t>
        </is>
      </c>
      <c r="Q114" t="inlineStr">
        <is>
          <t>2026-08-10T19:29:54Z</t>
        </is>
      </c>
      <c r="R114" t="inlineStr">
        <is>
          <t>2026-08-10T19:29:54Z</t>
        </is>
      </c>
    </row>
    <row r="115">
      <c r="A115" s="19" t="inlineStr">
        <is>
          <t>114</t>
        </is>
      </c>
      <c r="B115" s="19" t="inlineStr">
        <is>
          <t>IA-PPWR-TF-ST-054-STD-09-R00</t>
        </is>
      </c>
      <c r="C115" t="inlineStr">
        <is>
          <t>Technical File — ST-054-STD-09</t>
        </is>
      </c>
      <c r="D115" s="19" t="n"/>
      <c r="E115" s="19" t="inlineStr">
        <is>
          <t>114</t>
        </is>
      </c>
      <c r="F115" s="19" t="n"/>
      <c r="G115" t="n">
        <v>0</v>
      </c>
      <c r="J115" t="inlineStr">
        <is>
          <t>REV00 CURRENT EVIDENCE BASIS — ARTICLE 5 ASSESSMENT BASIS</t>
        </is>
      </c>
      <c r="K115" t="inlineStr">
        <is>
          <t>PENDING – DRAWINGS / PHOTOGRAPHS</t>
        </is>
      </c>
      <c r="L115" s="19" t="inlineStr">
        <is>
          <t>1</t>
        </is>
      </c>
      <c r="M115" s="19" t="inlineStr">
        <is>
          <t>2</t>
        </is>
      </c>
      <c r="N115" t="inlineStr">
        <is>
          <t>2026-08-08</t>
        </is>
      </c>
      <c r="P115" t="inlineStr">
        <is>
          <t>Rev.00 Word technical file generated — see DOCUMENT_LIBRARY.FILE_URI; drawings/photos may remain PENDING</t>
        </is>
      </c>
      <c r="Q115" t="inlineStr">
        <is>
          <t>2026-08-10T19:29:54Z</t>
        </is>
      </c>
      <c r="R115" t="inlineStr">
        <is>
          <t>2026-08-10T19:29:54Z</t>
        </is>
      </c>
    </row>
    <row r="116">
      <c r="A116" s="19" t="inlineStr">
        <is>
          <t>115</t>
        </is>
      </c>
      <c r="B116" s="19" t="inlineStr">
        <is>
          <t>IA-PPWR-TF-ST-054-STD-10-R00</t>
        </is>
      </c>
      <c r="C116" t="inlineStr">
        <is>
          <t>Technical File — ST-054-STD-10</t>
        </is>
      </c>
      <c r="D116" s="19" t="n"/>
      <c r="E116" s="19" t="inlineStr">
        <is>
          <t>115</t>
        </is>
      </c>
      <c r="F116" s="19" t="n"/>
      <c r="G116" t="n">
        <v>0</v>
      </c>
      <c r="J116" t="inlineStr">
        <is>
          <t>REV00 CURRENT EVIDENCE BASIS — ARTICLE 5 ASSESSMENT BASIS</t>
        </is>
      </c>
      <c r="K116" t="inlineStr">
        <is>
          <t>PENDING – DRAWINGS / PHOTOGRAPHS</t>
        </is>
      </c>
      <c r="L116" s="19" t="inlineStr">
        <is>
          <t>1</t>
        </is>
      </c>
      <c r="M116" s="19" t="inlineStr">
        <is>
          <t>2</t>
        </is>
      </c>
      <c r="N116" t="inlineStr">
        <is>
          <t>2026-08-08</t>
        </is>
      </c>
      <c r="P116" t="inlineStr">
        <is>
          <t>Rev.00 Word technical file generated — see DOCUMENT_LIBRARY.FILE_URI; drawings/photos may remain PENDING</t>
        </is>
      </c>
      <c r="Q116" t="inlineStr">
        <is>
          <t>2026-08-10T19:29:54Z</t>
        </is>
      </c>
      <c r="R116" t="inlineStr">
        <is>
          <t>2026-08-10T19:29:54Z</t>
        </is>
      </c>
    </row>
    <row r="117">
      <c r="A117" s="19" t="inlineStr">
        <is>
          <t>116</t>
        </is>
      </c>
      <c r="B117" s="19" t="inlineStr">
        <is>
          <t>IA-PPWR-TF-ST-054-STD-11-R00</t>
        </is>
      </c>
      <c r="C117" t="inlineStr">
        <is>
          <t>Technical File — ST-054-STD-11</t>
        </is>
      </c>
      <c r="D117" s="19" t="n"/>
      <c r="E117" s="19" t="inlineStr">
        <is>
          <t>116</t>
        </is>
      </c>
      <c r="F117" s="19" t="n"/>
      <c r="G117" t="n">
        <v>0</v>
      </c>
      <c r="J117" t="inlineStr">
        <is>
          <t>REV00 CURRENT EVIDENCE BASIS — ARTICLE 5 ASSESSMENT BASIS</t>
        </is>
      </c>
      <c r="K117" t="inlineStr">
        <is>
          <t>PENDING – DRAWINGS / PHOTOGRAPHS</t>
        </is>
      </c>
      <c r="L117" s="19" t="inlineStr">
        <is>
          <t>1</t>
        </is>
      </c>
      <c r="M117" s="19" t="inlineStr">
        <is>
          <t>2</t>
        </is>
      </c>
      <c r="N117" t="inlineStr">
        <is>
          <t>2026-08-08</t>
        </is>
      </c>
      <c r="P117" t="inlineStr">
        <is>
          <t>Rev.00 Word technical file generated — see DOCUMENT_LIBRARY.FILE_URI; drawings/photos may remain PENDING</t>
        </is>
      </c>
      <c r="Q117" t="inlineStr">
        <is>
          <t>2026-08-10T19:29:54Z</t>
        </is>
      </c>
      <c r="R117" t="inlineStr">
        <is>
          <t>2026-08-10T19:29:54Z</t>
        </is>
      </c>
    </row>
    <row r="118">
      <c r="A118" s="19" t="inlineStr">
        <is>
          <t>117</t>
        </is>
      </c>
      <c r="B118" s="19" t="inlineStr">
        <is>
          <t>IA-PPWR-TF-ST-054-STD-12-R00</t>
        </is>
      </c>
      <c r="C118" t="inlineStr">
        <is>
          <t>Technical File — ST-054-STD-12</t>
        </is>
      </c>
      <c r="D118" s="19" t="n"/>
      <c r="E118" s="19" t="inlineStr">
        <is>
          <t>117</t>
        </is>
      </c>
      <c r="F118" s="19" t="n"/>
      <c r="G118" t="n">
        <v>0</v>
      </c>
      <c r="J118" t="inlineStr">
        <is>
          <t>REV00 CURRENT EVIDENCE BASIS — ARTICLE 5 ASSESSMENT BASIS</t>
        </is>
      </c>
      <c r="K118" t="inlineStr">
        <is>
          <t>PENDING – DRAWINGS / PHOTOGRAPHS</t>
        </is>
      </c>
      <c r="L118" s="19" t="inlineStr">
        <is>
          <t>1</t>
        </is>
      </c>
      <c r="M118" s="19" t="inlineStr">
        <is>
          <t>2</t>
        </is>
      </c>
      <c r="N118" t="inlineStr">
        <is>
          <t>2026-08-08</t>
        </is>
      </c>
      <c r="P118" t="inlineStr">
        <is>
          <t>Rev.00 Word technical file generated — see DOCUMENT_LIBRARY.FILE_URI; drawings/photos may remain PENDING</t>
        </is>
      </c>
      <c r="Q118" t="inlineStr">
        <is>
          <t>2026-08-10T19:29:54Z</t>
        </is>
      </c>
      <c r="R118" t="inlineStr">
        <is>
          <t>2026-08-10T19:29:54Z</t>
        </is>
      </c>
    </row>
    <row r="119">
      <c r="A119" s="19" t="inlineStr">
        <is>
          <t>118</t>
        </is>
      </c>
      <c r="B119" s="19" t="inlineStr">
        <is>
          <t>IA-PPWR-TF-ST-056-EUR-01-R00</t>
        </is>
      </c>
      <c r="C119" t="inlineStr">
        <is>
          <t>Technical File — ST-056-EUR-01</t>
        </is>
      </c>
      <c r="D119" s="19" t="n"/>
      <c r="E119" s="19" t="inlineStr">
        <is>
          <t>118</t>
        </is>
      </c>
      <c r="F119" s="19" t="n"/>
      <c r="G119" t="n">
        <v>0</v>
      </c>
      <c r="J119" t="inlineStr">
        <is>
          <t>REV00 CURRENT EVIDENCE BASIS — ARTICLE 5 ASSESSMENT BASIS</t>
        </is>
      </c>
      <c r="K119" t="inlineStr">
        <is>
          <t>PENDING – DRAWINGS / PHOTOGRAPHS</t>
        </is>
      </c>
      <c r="L119" s="19" t="inlineStr">
        <is>
          <t>1</t>
        </is>
      </c>
      <c r="M119" s="19" t="inlineStr">
        <is>
          <t>2</t>
        </is>
      </c>
      <c r="N119" t="inlineStr">
        <is>
          <t>2026-08-08</t>
        </is>
      </c>
      <c r="P119" t="inlineStr">
        <is>
          <t>Rev.00 Word technical file generated — see DOCUMENT_LIBRARY.FILE_URI; drawings/photos may remain PENDING</t>
        </is>
      </c>
      <c r="Q119" t="inlineStr">
        <is>
          <t>2026-08-10T19:29:54Z</t>
        </is>
      </c>
      <c r="R119" t="inlineStr">
        <is>
          <t>2026-08-10T19:29:54Z</t>
        </is>
      </c>
    </row>
    <row r="120">
      <c r="A120" s="19" t="inlineStr">
        <is>
          <t>119</t>
        </is>
      </c>
      <c r="B120" s="19" t="inlineStr">
        <is>
          <t>IA-PPWR-TF-ST-056-EUR-02-R00</t>
        </is>
      </c>
      <c r="C120" t="inlineStr">
        <is>
          <t>Technical File — ST-056-EUR-02</t>
        </is>
      </c>
      <c r="D120" s="19" t="n"/>
      <c r="E120" s="19" t="inlineStr">
        <is>
          <t>119</t>
        </is>
      </c>
      <c r="F120" s="19" t="n"/>
      <c r="G120" t="n">
        <v>0</v>
      </c>
      <c r="J120" t="inlineStr">
        <is>
          <t>REV00 CURRENT EVIDENCE BASIS — ARTICLE 5 ASSESSMENT BASIS</t>
        </is>
      </c>
      <c r="K120" t="inlineStr">
        <is>
          <t>PENDING – DRAWINGS / PHOTOGRAPHS</t>
        </is>
      </c>
      <c r="L120" s="19" t="inlineStr">
        <is>
          <t>1</t>
        </is>
      </c>
      <c r="M120" s="19" t="inlineStr">
        <is>
          <t>2</t>
        </is>
      </c>
      <c r="N120" t="inlineStr">
        <is>
          <t>2026-08-08</t>
        </is>
      </c>
      <c r="P120" t="inlineStr">
        <is>
          <t>Rev.00 Word technical file generated — see DOCUMENT_LIBRARY.FILE_URI; drawings/photos may remain PENDING</t>
        </is>
      </c>
      <c r="Q120" t="inlineStr">
        <is>
          <t>2026-08-10T19:29:54Z</t>
        </is>
      </c>
      <c r="R120" t="inlineStr">
        <is>
          <t>2026-08-10T19:29:54Z</t>
        </is>
      </c>
    </row>
    <row r="121">
      <c r="A121" s="19" t="inlineStr">
        <is>
          <t>120</t>
        </is>
      </c>
      <c r="B121" s="19" t="inlineStr">
        <is>
          <t>IA-PPWR-TF-ST-056-EUR-03-R00</t>
        </is>
      </c>
      <c r="C121" t="inlineStr">
        <is>
          <t>Technical File — ST-056-EUR-03</t>
        </is>
      </c>
      <c r="D121" s="19" t="n"/>
      <c r="E121" s="19" t="inlineStr">
        <is>
          <t>120</t>
        </is>
      </c>
      <c r="F121" s="19" t="n"/>
      <c r="G121" t="n">
        <v>0</v>
      </c>
      <c r="J121" t="inlineStr">
        <is>
          <t>REV00 CURRENT EVIDENCE BASIS — ARTICLE 5 ASSESSMENT BASIS</t>
        </is>
      </c>
      <c r="K121" t="inlineStr">
        <is>
          <t>PENDING – DRAWINGS / PHOTOGRAPHS</t>
        </is>
      </c>
      <c r="L121" s="19" t="inlineStr">
        <is>
          <t>1</t>
        </is>
      </c>
      <c r="M121" s="19" t="inlineStr">
        <is>
          <t>2</t>
        </is>
      </c>
      <c r="N121" t="inlineStr">
        <is>
          <t>2026-08-08</t>
        </is>
      </c>
      <c r="P121" t="inlineStr">
        <is>
          <t>Rev.00 Word technical file generated — see DOCUMENT_LIBRARY.FILE_URI; drawings/photos may remain PENDING</t>
        </is>
      </c>
      <c r="Q121" t="inlineStr">
        <is>
          <t>2026-08-10T19:29:54Z</t>
        </is>
      </c>
      <c r="R121" t="inlineStr">
        <is>
          <t>2026-08-10T19:29:54Z</t>
        </is>
      </c>
    </row>
    <row r="122">
      <c r="A122" s="19" t="inlineStr">
        <is>
          <t>121</t>
        </is>
      </c>
      <c r="B122" s="19" t="inlineStr">
        <is>
          <t>IA-PPWR-TF-ST-056-EUR-04-R00</t>
        </is>
      </c>
      <c r="C122" t="inlineStr">
        <is>
          <t>Technical File — ST-056-EUR-04</t>
        </is>
      </c>
      <c r="D122" s="19" t="n"/>
      <c r="E122" s="19" t="inlineStr">
        <is>
          <t>121</t>
        </is>
      </c>
      <c r="F122" s="19" t="n"/>
      <c r="G122" t="n">
        <v>0</v>
      </c>
      <c r="J122" t="inlineStr">
        <is>
          <t>REV00 CURRENT EVIDENCE BASIS — ARTICLE 5 ASSESSMENT BASIS</t>
        </is>
      </c>
      <c r="K122" t="inlineStr">
        <is>
          <t>PENDING – DRAWINGS / PHOTOGRAPHS</t>
        </is>
      </c>
      <c r="L122" s="19" t="inlineStr">
        <is>
          <t>1</t>
        </is>
      </c>
      <c r="M122" s="19" t="inlineStr">
        <is>
          <t>2</t>
        </is>
      </c>
      <c r="N122" t="inlineStr">
        <is>
          <t>2026-08-08</t>
        </is>
      </c>
      <c r="P122" t="inlineStr">
        <is>
          <t>Rev.00 Word technical file generated — see DOCUMENT_LIBRARY.FILE_URI; drawings/photos may remain PENDING</t>
        </is>
      </c>
      <c r="Q122" t="inlineStr">
        <is>
          <t>2026-08-10T19:29:54Z</t>
        </is>
      </c>
      <c r="R122" t="inlineStr">
        <is>
          <t>2026-08-10T19:29:54Z</t>
        </is>
      </c>
    </row>
    <row r="123">
      <c r="A123" s="19" t="inlineStr">
        <is>
          <t>122</t>
        </is>
      </c>
      <c r="B123" s="19" t="inlineStr">
        <is>
          <t>IA-PPWR-TF-ST-057-EUR-01-R00</t>
        </is>
      </c>
      <c r="C123" t="inlineStr">
        <is>
          <t>Technical File — ST-057-EUR-01</t>
        </is>
      </c>
      <c r="D123" s="19" t="n"/>
      <c r="E123" s="19" t="inlineStr">
        <is>
          <t>122</t>
        </is>
      </c>
      <c r="F123" s="19" t="n"/>
      <c r="G123" t="n">
        <v>0</v>
      </c>
      <c r="J123" t="inlineStr">
        <is>
          <t>REV00 CURRENT EVIDENCE BASIS — ARTICLE 5 ASSESSMENT BASIS</t>
        </is>
      </c>
      <c r="K123" t="inlineStr">
        <is>
          <t>PENDING – DRAWINGS / PHOTOGRAPHS</t>
        </is>
      </c>
      <c r="L123" s="19" t="inlineStr">
        <is>
          <t>1</t>
        </is>
      </c>
      <c r="M123" s="19" t="inlineStr">
        <is>
          <t>2</t>
        </is>
      </c>
      <c r="N123" t="inlineStr">
        <is>
          <t>2026-08-08</t>
        </is>
      </c>
      <c r="P123" t="inlineStr">
        <is>
          <t>Rev.00 Word technical file generated — see DOCUMENT_LIBRARY.FILE_URI; drawings/photos may remain PENDING</t>
        </is>
      </c>
      <c r="Q123" t="inlineStr">
        <is>
          <t>2026-08-10T19:29:54Z</t>
        </is>
      </c>
      <c r="R123" t="inlineStr">
        <is>
          <t>2026-08-10T19:29:54Z</t>
        </is>
      </c>
    </row>
    <row r="124">
      <c r="A124" s="19" t="inlineStr">
        <is>
          <t>123</t>
        </is>
      </c>
      <c r="B124" s="19" t="inlineStr">
        <is>
          <t>IA-PPWR-TF-ST-057-EUR-02-R00</t>
        </is>
      </c>
      <c r="C124" t="inlineStr">
        <is>
          <t>Technical File — ST-057-EUR-02</t>
        </is>
      </c>
      <c r="D124" s="19" t="n"/>
      <c r="E124" s="19" t="inlineStr">
        <is>
          <t>123</t>
        </is>
      </c>
      <c r="F124" s="19" t="n"/>
      <c r="G124" t="n">
        <v>0</v>
      </c>
      <c r="J124" t="inlineStr">
        <is>
          <t>REV00 CURRENT EVIDENCE BASIS — ARTICLE 5 ASSESSMENT BASIS</t>
        </is>
      </c>
      <c r="K124" t="inlineStr">
        <is>
          <t>PENDING – DRAWINGS / PHOTOGRAPHS</t>
        </is>
      </c>
      <c r="L124" s="19" t="inlineStr">
        <is>
          <t>1</t>
        </is>
      </c>
      <c r="M124" s="19" t="inlineStr">
        <is>
          <t>2</t>
        </is>
      </c>
      <c r="N124" t="inlineStr">
        <is>
          <t>2026-08-08</t>
        </is>
      </c>
      <c r="P124" t="inlineStr">
        <is>
          <t>Rev.00 Word technical file generated — see DOCUMENT_LIBRARY.FILE_URI; drawings/photos may remain PENDING</t>
        </is>
      </c>
      <c r="Q124" t="inlineStr">
        <is>
          <t>2026-08-10T19:29:54Z</t>
        </is>
      </c>
      <c r="R124" t="inlineStr">
        <is>
          <t>2026-08-10T19:29:54Z</t>
        </is>
      </c>
    </row>
    <row r="125">
      <c r="A125" s="19" t="inlineStr">
        <is>
          <t>124</t>
        </is>
      </c>
      <c r="B125" s="19" t="inlineStr">
        <is>
          <t>IA-PPWR-TF-ST-057-EUR-03-R00</t>
        </is>
      </c>
      <c r="C125" t="inlineStr">
        <is>
          <t>Technical File — ST-057-EUR-03</t>
        </is>
      </c>
      <c r="D125" s="19" t="n"/>
      <c r="E125" s="19" t="inlineStr">
        <is>
          <t>124</t>
        </is>
      </c>
      <c r="F125" s="19" t="n"/>
      <c r="G125" t="n">
        <v>0</v>
      </c>
      <c r="J125" t="inlineStr">
        <is>
          <t>REV00 CURRENT EVIDENCE BASIS — ARTICLE 5 ASSESSMENT BASIS</t>
        </is>
      </c>
      <c r="K125" t="inlineStr">
        <is>
          <t>PENDING – DRAWINGS / PHOTOGRAPHS</t>
        </is>
      </c>
      <c r="L125" s="19" t="inlineStr">
        <is>
          <t>1</t>
        </is>
      </c>
      <c r="M125" s="19" t="inlineStr">
        <is>
          <t>2</t>
        </is>
      </c>
      <c r="N125" t="inlineStr">
        <is>
          <t>2026-08-08</t>
        </is>
      </c>
      <c r="P125" t="inlineStr">
        <is>
          <t>Rev.00 Word technical file generated — see DOCUMENT_LIBRARY.FILE_URI; drawings/photos may remain PENDING</t>
        </is>
      </c>
      <c r="Q125" t="inlineStr">
        <is>
          <t>2026-08-10T19:29:54Z</t>
        </is>
      </c>
      <c r="R125" t="inlineStr">
        <is>
          <t>2026-08-10T19:29:54Z</t>
        </is>
      </c>
    </row>
    <row r="126">
      <c r="A126" s="19" t="inlineStr">
        <is>
          <t>125</t>
        </is>
      </c>
      <c r="B126" s="19" t="inlineStr">
        <is>
          <t>IA-PPWR-TF-ST-057-EUR-04-R00</t>
        </is>
      </c>
      <c r="C126" t="inlineStr">
        <is>
          <t>Technical File — ST-057-EUR-04</t>
        </is>
      </c>
      <c r="D126" s="19" t="n"/>
      <c r="E126" s="19" t="inlineStr">
        <is>
          <t>125</t>
        </is>
      </c>
      <c r="F126" s="19" t="n"/>
      <c r="G126" t="n">
        <v>0</v>
      </c>
      <c r="J126" t="inlineStr">
        <is>
          <t>REV00 CURRENT EVIDENCE BASIS — ARTICLE 5 ASSESSMENT BASIS</t>
        </is>
      </c>
      <c r="K126" t="inlineStr">
        <is>
          <t>PENDING – DRAWINGS / PHOTOGRAPHS</t>
        </is>
      </c>
      <c r="L126" s="19" t="inlineStr">
        <is>
          <t>1</t>
        </is>
      </c>
      <c r="M126" s="19" t="inlineStr">
        <is>
          <t>2</t>
        </is>
      </c>
      <c r="N126" t="inlineStr">
        <is>
          <t>2026-08-08</t>
        </is>
      </c>
      <c r="P126" t="inlineStr">
        <is>
          <t>Rev.00 Word technical file generated — see DOCUMENT_LIBRARY.FILE_URI; drawings/photos may remain PENDING</t>
        </is>
      </c>
      <c r="Q126" t="inlineStr">
        <is>
          <t>2026-08-10T19:29:54Z</t>
        </is>
      </c>
      <c r="R126" t="inlineStr">
        <is>
          <t>2026-08-10T19:29:54Z</t>
        </is>
      </c>
    </row>
    <row r="127">
      <c r="A127" s="19" t="inlineStr">
        <is>
          <t>126</t>
        </is>
      </c>
      <c r="B127" s="19" t="inlineStr">
        <is>
          <t>IA-PPWR-TF-ST-057-EUR-05-R00</t>
        </is>
      </c>
      <c r="C127" t="inlineStr">
        <is>
          <t>Technical File — ST-057-EUR-05</t>
        </is>
      </c>
      <c r="D127" s="19" t="n"/>
      <c r="E127" s="19" t="inlineStr">
        <is>
          <t>126</t>
        </is>
      </c>
      <c r="F127" s="19" t="n"/>
      <c r="G127" t="n">
        <v>0</v>
      </c>
      <c r="J127" t="inlineStr">
        <is>
          <t>REV00 CURRENT EVIDENCE BASIS — ARTICLE 5 ASSESSMENT BASIS</t>
        </is>
      </c>
      <c r="K127" t="inlineStr">
        <is>
          <t>PENDING – DRAWINGS / PHOTOGRAPHS</t>
        </is>
      </c>
      <c r="L127" s="19" t="inlineStr">
        <is>
          <t>1</t>
        </is>
      </c>
      <c r="M127" s="19" t="inlineStr">
        <is>
          <t>2</t>
        </is>
      </c>
      <c r="N127" t="inlineStr">
        <is>
          <t>2026-08-08</t>
        </is>
      </c>
      <c r="P127" t="inlineStr">
        <is>
          <t>Rev.00 Word technical file generated — see DOCUMENT_LIBRARY.FILE_URI; drawings/photos may remain PENDING</t>
        </is>
      </c>
      <c r="Q127" t="inlineStr">
        <is>
          <t>2026-08-10T19:29:54Z</t>
        </is>
      </c>
      <c r="R127" t="inlineStr">
        <is>
          <t>2026-08-10T19:29:54Z</t>
        </is>
      </c>
    </row>
    <row r="128">
      <c r="A128" s="19" t="inlineStr">
        <is>
          <t>127</t>
        </is>
      </c>
      <c r="B128" s="19" t="inlineStr">
        <is>
          <t>IA-PPWR-TF-ST-057-STD-01-R00</t>
        </is>
      </c>
      <c r="C128" t="inlineStr">
        <is>
          <t>Technical File — ST-057-STD-01</t>
        </is>
      </c>
      <c r="D128" s="19" t="n"/>
      <c r="E128" s="19" t="inlineStr">
        <is>
          <t>127</t>
        </is>
      </c>
      <c r="F128" s="19" t="n"/>
      <c r="G128" t="n">
        <v>0</v>
      </c>
      <c r="J128" t="inlineStr">
        <is>
          <t>REV00 CURRENT EVIDENCE BASIS — ARTICLE 5 ASSESSMENT BASIS</t>
        </is>
      </c>
      <c r="K128" t="inlineStr">
        <is>
          <t>PENDING – DRAWINGS / PHOTOGRAPHS</t>
        </is>
      </c>
      <c r="L128" s="19" t="inlineStr">
        <is>
          <t>1</t>
        </is>
      </c>
      <c r="M128" s="19" t="inlineStr">
        <is>
          <t>2</t>
        </is>
      </c>
      <c r="N128" t="inlineStr">
        <is>
          <t>2026-08-08</t>
        </is>
      </c>
      <c r="P128" t="inlineStr">
        <is>
          <t>Rev.00 Word technical file generated — see DOCUMENT_LIBRARY.FILE_URI; drawings/photos may remain PENDING</t>
        </is>
      </c>
      <c r="Q128" t="inlineStr">
        <is>
          <t>2026-08-10T19:29:54Z</t>
        </is>
      </c>
      <c r="R128" t="inlineStr">
        <is>
          <t>2026-08-10T19:29:54Z</t>
        </is>
      </c>
    </row>
    <row r="129">
      <c r="A129" s="19" t="inlineStr">
        <is>
          <t>128</t>
        </is>
      </c>
      <c r="B129" s="19" t="inlineStr">
        <is>
          <t>IA-PPWR-TF-ST-057-STD-02-R00</t>
        </is>
      </c>
      <c r="C129" t="inlineStr">
        <is>
          <t>Technical File — ST-057-STD-02</t>
        </is>
      </c>
      <c r="D129" s="19" t="n"/>
      <c r="E129" s="19" t="inlineStr">
        <is>
          <t>128</t>
        </is>
      </c>
      <c r="F129" s="19" t="n"/>
      <c r="G129" t="n">
        <v>0</v>
      </c>
      <c r="J129" t="inlineStr">
        <is>
          <t>REV00 CURRENT EVIDENCE BASIS — ARTICLE 5 ASSESSMENT BASIS</t>
        </is>
      </c>
      <c r="K129" t="inlineStr">
        <is>
          <t>PENDING – DRAWINGS / PHOTOGRAPHS</t>
        </is>
      </c>
      <c r="L129" s="19" t="inlineStr">
        <is>
          <t>1</t>
        </is>
      </c>
      <c r="M129" s="19" t="inlineStr">
        <is>
          <t>2</t>
        </is>
      </c>
      <c r="N129" t="inlineStr">
        <is>
          <t>2026-08-08</t>
        </is>
      </c>
      <c r="P129" t="inlineStr">
        <is>
          <t>Rev.00 Word technical file generated — see DOCUMENT_LIBRARY.FILE_URI; drawings/photos may remain PENDING</t>
        </is>
      </c>
      <c r="Q129" t="inlineStr">
        <is>
          <t>2026-08-10T19:29:54Z</t>
        </is>
      </c>
      <c r="R129" t="inlineStr">
        <is>
          <t>2026-08-10T19:29:54Z</t>
        </is>
      </c>
    </row>
    <row r="130">
      <c r="A130" s="19" t="inlineStr">
        <is>
          <t>129</t>
        </is>
      </c>
      <c r="B130" s="19" t="inlineStr">
        <is>
          <t>IA-PPWR-TF-ST-057-STD-03-R00</t>
        </is>
      </c>
      <c r="C130" t="inlineStr">
        <is>
          <t>Technical File — ST-057-STD-03</t>
        </is>
      </c>
      <c r="D130" s="19" t="n"/>
      <c r="E130" s="19" t="inlineStr">
        <is>
          <t>129</t>
        </is>
      </c>
      <c r="F130" s="19" t="n"/>
      <c r="G130" t="n">
        <v>0</v>
      </c>
      <c r="J130" t="inlineStr">
        <is>
          <t>REV00 CURRENT EVIDENCE BASIS — ARTICLE 5 ASSESSMENT BASIS</t>
        </is>
      </c>
      <c r="K130" t="inlineStr">
        <is>
          <t>PENDING – DRAWINGS / PHOTOGRAPHS</t>
        </is>
      </c>
      <c r="L130" s="19" t="inlineStr">
        <is>
          <t>1</t>
        </is>
      </c>
      <c r="M130" s="19" t="inlineStr">
        <is>
          <t>2</t>
        </is>
      </c>
      <c r="N130" t="inlineStr">
        <is>
          <t>2026-08-08</t>
        </is>
      </c>
      <c r="P130" t="inlineStr">
        <is>
          <t>Rev.00 Word technical file generated — see DOCUMENT_LIBRARY.FILE_URI; drawings/photos may remain PENDING</t>
        </is>
      </c>
      <c r="Q130" t="inlineStr">
        <is>
          <t>2026-08-10T19:29:54Z</t>
        </is>
      </c>
      <c r="R130" t="inlineStr">
        <is>
          <t>2026-08-10T19:29:54Z</t>
        </is>
      </c>
    </row>
    <row r="131">
      <c r="A131" s="19" t="inlineStr">
        <is>
          <t>130</t>
        </is>
      </c>
      <c r="B131" s="19" t="inlineStr">
        <is>
          <t>IA-PPWR-TF-ST-060-EUR-01-R00</t>
        </is>
      </c>
      <c r="C131" t="inlineStr">
        <is>
          <t>Technical File — ST-060-EUR-01</t>
        </is>
      </c>
      <c r="D131" s="19" t="n"/>
      <c r="E131" s="19" t="inlineStr">
        <is>
          <t>130</t>
        </is>
      </c>
      <c r="F131" s="19" t="n"/>
      <c r="G131" t="n">
        <v>0</v>
      </c>
      <c r="J131" t="inlineStr">
        <is>
          <t>REV00 CURRENT EVIDENCE BASIS — ARTICLE 5 ASSESSMENT BASIS</t>
        </is>
      </c>
      <c r="K131" t="inlineStr">
        <is>
          <t>PENDING – DRAWINGS / PHOTOGRAPHS</t>
        </is>
      </c>
      <c r="L131" s="19" t="inlineStr">
        <is>
          <t>1</t>
        </is>
      </c>
      <c r="M131" s="19" t="inlineStr">
        <is>
          <t>2</t>
        </is>
      </c>
      <c r="N131" t="inlineStr">
        <is>
          <t>2026-08-08</t>
        </is>
      </c>
      <c r="P131" t="inlineStr">
        <is>
          <t>Rev.00 Word technical file generated — see DOCUMENT_LIBRARY.FILE_URI; drawings/photos may remain PENDING</t>
        </is>
      </c>
      <c r="Q131" t="inlineStr">
        <is>
          <t>2026-08-10T19:29:54Z</t>
        </is>
      </c>
      <c r="R131" t="inlineStr">
        <is>
          <t>2026-08-10T19:29:54Z</t>
        </is>
      </c>
    </row>
    <row r="132">
      <c r="A132" s="19" t="inlineStr">
        <is>
          <t>131</t>
        </is>
      </c>
      <c r="B132" s="19" t="inlineStr">
        <is>
          <t>IA-PPWR-TF-ST-060-EUR-02-R00</t>
        </is>
      </c>
      <c r="C132" t="inlineStr">
        <is>
          <t>Technical File — ST-060-EUR-02</t>
        </is>
      </c>
      <c r="D132" s="19" t="n"/>
      <c r="E132" s="19" t="inlineStr">
        <is>
          <t>131</t>
        </is>
      </c>
      <c r="F132" s="19" t="n"/>
      <c r="G132" t="n">
        <v>0</v>
      </c>
      <c r="J132" t="inlineStr">
        <is>
          <t>REV00 CURRENT EVIDENCE BASIS — ARTICLE 5 ASSESSMENT BASIS</t>
        </is>
      </c>
      <c r="K132" t="inlineStr">
        <is>
          <t>PENDING – DRAWINGS / PHOTOGRAPHS</t>
        </is>
      </c>
      <c r="L132" s="19" t="inlineStr">
        <is>
          <t>1</t>
        </is>
      </c>
      <c r="M132" s="19" t="inlineStr">
        <is>
          <t>2</t>
        </is>
      </c>
      <c r="N132" t="inlineStr">
        <is>
          <t>2026-08-08</t>
        </is>
      </c>
      <c r="P132" t="inlineStr">
        <is>
          <t>Rev.00 Word technical file generated — see DOCUMENT_LIBRARY.FILE_URI; drawings/photos may remain PENDING</t>
        </is>
      </c>
      <c r="Q132" t="inlineStr">
        <is>
          <t>2026-08-10T19:29:54Z</t>
        </is>
      </c>
      <c r="R132" t="inlineStr">
        <is>
          <t>2026-08-10T19:29:54Z</t>
        </is>
      </c>
    </row>
    <row r="133">
      <c r="A133" s="19" t="inlineStr">
        <is>
          <t>132</t>
        </is>
      </c>
      <c r="B133" s="19" t="inlineStr">
        <is>
          <t>IA-PPWR-TF-ST-060-STD-01-R00</t>
        </is>
      </c>
      <c r="C133" t="inlineStr">
        <is>
          <t>Technical File — ST-060-STD-01</t>
        </is>
      </c>
      <c r="D133" s="19" t="n"/>
      <c r="E133" s="19" t="inlineStr">
        <is>
          <t>132</t>
        </is>
      </c>
      <c r="F133" s="19" t="n"/>
      <c r="G133" t="n">
        <v>0</v>
      </c>
      <c r="J133" t="inlineStr">
        <is>
          <t>REV00 CURRENT EVIDENCE BASIS — ARTICLE 5 ASSESSMENT BASIS</t>
        </is>
      </c>
      <c r="K133" t="inlineStr">
        <is>
          <t>PENDING – DRAWINGS / PHOTOGRAPHS</t>
        </is>
      </c>
      <c r="L133" s="19" t="inlineStr">
        <is>
          <t>1</t>
        </is>
      </c>
      <c r="M133" s="19" t="inlineStr">
        <is>
          <t>2</t>
        </is>
      </c>
      <c r="N133" t="inlineStr">
        <is>
          <t>2026-08-08</t>
        </is>
      </c>
      <c r="P133" t="inlineStr">
        <is>
          <t>Rev.00 Word technical file generated — see DOCUMENT_LIBRARY.FILE_URI; drawings/photos may remain PENDING</t>
        </is>
      </c>
      <c r="Q133" t="inlineStr">
        <is>
          <t>2026-08-10T19:29:54Z</t>
        </is>
      </c>
      <c r="R133" t="inlineStr">
        <is>
          <t>2026-08-10T19:29:54Z</t>
        </is>
      </c>
    </row>
    <row r="134">
      <c r="A134" s="19" t="inlineStr">
        <is>
          <t>133</t>
        </is>
      </c>
      <c r="B134" s="19" t="inlineStr">
        <is>
          <t>IA-PPWR-TF-ST-060-STD-02-R00</t>
        </is>
      </c>
      <c r="C134" t="inlineStr">
        <is>
          <t>Technical File — ST-060-STD-02</t>
        </is>
      </c>
      <c r="D134" s="19" t="n"/>
      <c r="E134" s="19" t="inlineStr">
        <is>
          <t>133</t>
        </is>
      </c>
      <c r="F134" s="19" t="n"/>
      <c r="G134" t="n">
        <v>0</v>
      </c>
      <c r="J134" t="inlineStr">
        <is>
          <t>REV00 CURRENT EVIDENCE BASIS — ARTICLE 5 ASSESSMENT BASIS</t>
        </is>
      </c>
      <c r="K134" t="inlineStr">
        <is>
          <t>PENDING – DRAWINGS / PHOTOGRAPHS</t>
        </is>
      </c>
      <c r="L134" s="19" t="inlineStr">
        <is>
          <t>1</t>
        </is>
      </c>
      <c r="M134" s="19" t="inlineStr">
        <is>
          <t>2</t>
        </is>
      </c>
      <c r="N134" t="inlineStr">
        <is>
          <t>2026-08-08</t>
        </is>
      </c>
      <c r="P134" t="inlineStr">
        <is>
          <t>Rev.00 Word technical file generated — see DOCUMENT_LIBRARY.FILE_URI; drawings/photos may remain PENDING</t>
        </is>
      </c>
      <c r="Q134" t="inlineStr">
        <is>
          <t>2026-08-10T19:29:54Z</t>
        </is>
      </c>
      <c r="R134" t="inlineStr">
        <is>
          <t>2026-08-10T19:29:54Z</t>
        </is>
      </c>
    </row>
    <row r="135">
      <c r="A135" s="19" t="inlineStr">
        <is>
          <t>134</t>
        </is>
      </c>
      <c r="B135" s="19" t="inlineStr">
        <is>
          <t>IA-PPWR-TF-ST-060-STD-03-R00</t>
        </is>
      </c>
      <c r="C135" t="inlineStr">
        <is>
          <t>Technical File — ST-060-STD-03</t>
        </is>
      </c>
      <c r="D135" s="19" t="n"/>
      <c r="E135" s="19" t="inlineStr">
        <is>
          <t>134</t>
        </is>
      </c>
      <c r="F135" s="19" t="n"/>
      <c r="G135" t="n">
        <v>0</v>
      </c>
      <c r="J135" t="inlineStr">
        <is>
          <t>REV00 CURRENT EVIDENCE BASIS — ARTICLE 5 ASSESSMENT BASIS</t>
        </is>
      </c>
      <c r="K135" t="inlineStr">
        <is>
          <t>PENDING – DRAWINGS / PHOTOGRAPHS</t>
        </is>
      </c>
      <c r="L135" s="19" t="inlineStr">
        <is>
          <t>1</t>
        </is>
      </c>
      <c r="M135" s="19" t="inlineStr">
        <is>
          <t>2</t>
        </is>
      </c>
      <c r="N135" t="inlineStr">
        <is>
          <t>2026-08-08</t>
        </is>
      </c>
      <c r="P135" t="inlineStr">
        <is>
          <t>Rev.00 Word technical file generated — see DOCUMENT_LIBRARY.FILE_URI; drawings/photos may remain PENDING</t>
        </is>
      </c>
      <c r="Q135" t="inlineStr">
        <is>
          <t>2026-08-10T19:29:54Z</t>
        </is>
      </c>
      <c r="R135" t="inlineStr">
        <is>
          <t>2026-08-10T19:29:54Z</t>
        </is>
      </c>
    </row>
    <row r="136">
      <c r="A136" s="19" t="inlineStr">
        <is>
          <t>135</t>
        </is>
      </c>
      <c r="B136" s="19" t="inlineStr">
        <is>
          <t>IA-PPWR-TF-ST-060-STD-04-R00</t>
        </is>
      </c>
      <c r="C136" t="inlineStr">
        <is>
          <t>Technical File — ST-060-STD-04</t>
        </is>
      </c>
      <c r="D136" s="19" t="n"/>
      <c r="E136" s="19" t="inlineStr">
        <is>
          <t>135</t>
        </is>
      </c>
      <c r="F136" s="19" t="n"/>
      <c r="G136" t="n">
        <v>0</v>
      </c>
      <c r="J136" t="inlineStr">
        <is>
          <t>REV00 CURRENT EVIDENCE BASIS — ARTICLE 5 ASSESSMENT BASIS</t>
        </is>
      </c>
      <c r="K136" t="inlineStr">
        <is>
          <t>PENDING – DRAWINGS / PHOTOGRAPHS</t>
        </is>
      </c>
      <c r="L136" s="19" t="inlineStr">
        <is>
          <t>1</t>
        </is>
      </c>
      <c r="M136" s="19" t="inlineStr">
        <is>
          <t>2</t>
        </is>
      </c>
      <c r="N136" t="inlineStr">
        <is>
          <t>2026-08-08</t>
        </is>
      </c>
      <c r="P136" t="inlineStr">
        <is>
          <t>Rev.00 Word technical file generated — see DOCUMENT_LIBRARY.FILE_URI; drawings/photos may remain PENDING</t>
        </is>
      </c>
      <c r="Q136" t="inlineStr">
        <is>
          <t>2026-08-10T19:29:54Z</t>
        </is>
      </c>
      <c r="R136" t="inlineStr">
        <is>
          <t>2026-08-10T19:29:54Z</t>
        </is>
      </c>
    </row>
    <row r="137">
      <c r="A137" s="19" t="inlineStr">
        <is>
          <t>136</t>
        </is>
      </c>
      <c r="B137" s="19" t="inlineStr">
        <is>
          <t>IA-PPWR-TF-ST-060-STD-05-R00</t>
        </is>
      </c>
      <c r="C137" t="inlineStr">
        <is>
          <t>Technical File — ST-060-STD-05</t>
        </is>
      </c>
      <c r="D137" s="19" t="n"/>
      <c r="E137" s="19" t="inlineStr">
        <is>
          <t>136</t>
        </is>
      </c>
      <c r="F137" s="19" t="n"/>
      <c r="G137" t="n">
        <v>0</v>
      </c>
      <c r="J137" t="inlineStr">
        <is>
          <t>REV00 CURRENT EVIDENCE BASIS — ARTICLE 5 ASSESSMENT BASIS</t>
        </is>
      </c>
      <c r="K137" t="inlineStr">
        <is>
          <t>PENDING – DRAWINGS / PHOTOGRAPHS</t>
        </is>
      </c>
      <c r="L137" s="19" t="inlineStr">
        <is>
          <t>1</t>
        </is>
      </c>
      <c r="M137" s="19" t="inlineStr">
        <is>
          <t>2</t>
        </is>
      </c>
      <c r="N137" t="inlineStr">
        <is>
          <t>2026-08-08</t>
        </is>
      </c>
      <c r="P137" t="inlineStr">
        <is>
          <t>Rev.00 Word technical file generated — see DOCUMENT_LIBRARY.FILE_URI; drawings/photos may remain PENDING</t>
        </is>
      </c>
      <c r="Q137" t="inlineStr">
        <is>
          <t>2026-08-10T19:29:54Z</t>
        </is>
      </c>
      <c r="R137" t="inlineStr">
        <is>
          <t>2026-08-10T19:29:54Z</t>
        </is>
      </c>
    </row>
    <row r="138">
      <c r="A138" s="19" t="inlineStr">
        <is>
          <t>137</t>
        </is>
      </c>
      <c r="B138" s="19" t="inlineStr">
        <is>
          <t>IA-PPWR-TF-ST-063-EUR-01-R00</t>
        </is>
      </c>
      <c r="C138" t="inlineStr">
        <is>
          <t>Technical File — ST-063-EUR-01</t>
        </is>
      </c>
      <c r="D138" s="19" t="n"/>
      <c r="E138" s="19" t="inlineStr">
        <is>
          <t>137</t>
        </is>
      </c>
      <c r="F138" s="19" t="n"/>
      <c r="G138" t="n">
        <v>0</v>
      </c>
      <c r="J138" t="inlineStr">
        <is>
          <t>REV00 CURRENT EVIDENCE BASIS — ARTICLE 5 ASSESSMENT BASIS</t>
        </is>
      </c>
      <c r="K138" t="inlineStr">
        <is>
          <t>PENDING – DRAWINGS / PHOTOGRAPHS</t>
        </is>
      </c>
      <c r="L138" s="19" t="inlineStr">
        <is>
          <t>1</t>
        </is>
      </c>
      <c r="M138" s="19" t="inlineStr">
        <is>
          <t>2</t>
        </is>
      </c>
      <c r="N138" t="inlineStr">
        <is>
          <t>2026-08-08</t>
        </is>
      </c>
      <c r="P138" t="inlineStr">
        <is>
          <t>Rev.00 Word technical file generated — see DOCUMENT_LIBRARY.FILE_URI; drawings/photos may remain PENDING</t>
        </is>
      </c>
      <c r="Q138" t="inlineStr">
        <is>
          <t>2026-08-10T19:29:54Z</t>
        </is>
      </c>
      <c r="R138" t="inlineStr">
        <is>
          <t>2026-08-10T19:29:54Z</t>
        </is>
      </c>
    </row>
    <row r="139">
      <c r="A139" s="19" t="inlineStr">
        <is>
          <t>138</t>
        </is>
      </c>
      <c r="B139" s="19" t="inlineStr">
        <is>
          <t>IA-PPWR-TF-ST-063-EUR-02-R00</t>
        </is>
      </c>
      <c r="C139" t="inlineStr">
        <is>
          <t>Technical File — ST-063-EUR-02</t>
        </is>
      </c>
      <c r="D139" s="19" t="n"/>
      <c r="E139" s="19" t="inlineStr">
        <is>
          <t>138</t>
        </is>
      </c>
      <c r="F139" s="19" t="n"/>
      <c r="G139" t="n">
        <v>0</v>
      </c>
      <c r="J139" t="inlineStr">
        <is>
          <t>REV00 CURRENT EVIDENCE BASIS — ARTICLE 5 ASSESSMENT BASIS</t>
        </is>
      </c>
      <c r="K139" t="inlineStr">
        <is>
          <t>PENDING – DRAWINGS / PHOTOGRAPHS</t>
        </is>
      </c>
      <c r="L139" s="19" t="inlineStr">
        <is>
          <t>1</t>
        </is>
      </c>
      <c r="M139" s="19" t="inlineStr">
        <is>
          <t>2</t>
        </is>
      </c>
      <c r="N139" t="inlineStr">
        <is>
          <t>2026-08-08</t>
        </is>
      </c>
      <c r="P139" t="inlineStr">
        <is>
          <t>Rev.00 Word technical file generated — see DOCUMENT_LIBRARY.FILE_URI; drawings/photos may remain PENDING</t>
        </is>
      </c>
      <c r="Q139" t="inlineStr">
        <is>
          <t>2026-08-10T19:29:54Z</t>
        </is>
      </c>
      <c r="R139" t="inlineStr">
        <is>
          <t>2026-08-10T19:29:54Z</t>
        </is>
      </c>
    </row>
    <row r="140">
      <c r="A140" s="19" t="inlineStr">
        <is>
          <t>139</t>
        </is>
      </c>
      <c r="B140" s="19" t="inlineStr">
        <is>
          <t>IA-PPWR-TF-ST-063-STD-01-R00</t>
        </is>
      </c>
      <c r="C140" t="inlineStr">
        <is>
          <t>Technical File — ST-063-STD-01</t>
        </is>
      </c>
      <c r="D140" s="19" t="n"/>
      <c r="E140" s="19" t="inlineStr">
        <is>
          <t>139</t>
        </is>
      </c>
      <c r="F140" s="19" t="n"/>
      <c r="G140" t="n">
        <v>0</v>
      </c>
      <c r="J140" t="inlineStr">
        <is>
          <t>REV00 CURRENT EVIDENCE BASIS — ARTICLE 5 ASSESSMENT BASIS</t>
        </is>
      </c>
      <c r="K140" t="inlineStr">
        <is>
          <t>PENDING – DRAWINGS / PHOTOGRAPHS</t>
        </is>
      </c>
      <c r="L140" s="19" t="inlineStr">
        <is>
          <t>1</t>
        </is>
      </c>
      <c r="M140" s="19" t="inlineStr">
        <is>
          <t>2</t>
        </is>
      </c>
      <c r="N140" t="inlineStr">
        <is>
          <t>2026-08-08</t>
        </is>
      </c>
      <c r="P140" t="inlineStr">
        <is>
          <t>Rev.00 Word technical file generated — see DOCUMENT_LIBRARY.FILE_URI; drawings/photos may remain PENDING</t>
        </is>
      </c>
      <c r="Q140" t="inlineStr">
        <is>
          <t>2026-08-10T19:29:54Z</t>
        </is>
      </c>
      <c r="R140" t="inlineStr">
        <is>
          <t>2026-08-10T19:29:54Z</t>
        </is>
      </c>
    </row>
    <row r="141">
      <c r="A141" s="19" t="inlineStr">
        <is>
          <t>140</t>
        </is>
      </c>
      <c r="B141" s="19" t="inlineStr">
        <is>
          <t>IA-PPWR-TF-ST-063-STD-02-R00</t>
        </is>
      </c>
      <c r="C141" t="inlineStr">
        <is>
          <t>Technical File — ST-063-STD-02</t>
        </is>
      </c>
      <c r="D141" s="19" t="n"/>
      <c r="E141" s="19" t="inlineStr">
        <is>
          <t>140</t>
        </is>
      </c>
      <c r="F141" s="19" t="n"/>
      <c r="G141" t="n">
        <v>0</v>
      </c>
      <c r="J141" t="inlineStr">
        <is>
          <t>REV00 CURRENT EVIDENCE BASIS — ARTICLE 5 ASSESSMENT BASIS</t>
        </is>
      </c>
      <c r="K141" t="inlineStr">
        <is>
          <t>PENDING – DRAWINGS / PHOTOGRAPHS</t>
        </is>
      </c>
      <c r="L141" s="19" t="inlineStr">
        <is>
          <t>1</t>
        </is>
      </c>
      <c r="M141" s="19" t="inlineStr">
        <is>
          <t>2</t>
        </is>
      </c>
      <c r="N141" t="inlineStr">
        <is>
          <t>2026-08-08</t>
        </is>
      </c>
      <c r="P141" t="inlineStr">
        <is>
          <t>Rev.00 Word technical file generated — see DOCUMENT_LIBRARY.FILE_URI; drawings/photos may remain PENDING</t>
        </is>
      </c>
      <c r="Q141" t="inlineStr">
        <is>
          <t>2026-08-10T19:29:54Z</t>
        </is>
      </c>
      <c r="R141" t="inlineStr">
        <is>
          <t>2026-08-10T19:29:54Z</t>
        </is>
      </c>
    </row>
    <row r="142">
      <c r="A142" s="19" t="inlineStr">
        <is>
          <t>141</t>
        </is>
      </c>
      <c r="B142" s="19" t="inlineStr">
        <is>
          <t>IA-PPWR-TF-ST-063-STD-03-R00</t>
        </is>
      </c>
      <c r="C142" t="inlineStr">
        <is>
          <t>Technical File — ST-063-STD-03</t>
        </is>
      </c>
      <c r="D142" s="19" t="n"/>
      <c r="E142" s="19" t="inlineStr">
        <is>
          <t>141</t>
        </is>
      </c>
      <c r="F142" s="19" t="n"/>
      <c r="G142" t="n">
        <v>0</v>
      </c>
      <c r="J142" t="inlineStr">
        <is>
          <t>REV00 CURRENT EVIDENCE BASIS — ARTICLE 5 ASSESSMENT BASIS</t>
        </is>
      </c>
      <c r="K142" t="inlineStr">
        <is>
          <t>PENDING – DRAWINGS / PHOTOGRAPHS</t>
        </is>
      </c>
      <c r="L142" s="19" t="inlineStr">
        <is>
          <t>1</t>
        </is>
      </c>
      <c r="M142" s="19" t="inlineStr">
        <is>
          <t>2</t>
        </is>
      </c>
      <c r="N142" t="inlineStr">
        <is>
          <t>2026-08-08</t>
        </is>
      </c>
      <c r="P142" t="inlineStr">
        <is>
          <t>Rev.00 Word technical file generated — see DOCUMENT_LIBRARY.FILE_URI; drawings/photos may remain PENDING</t>
        </is>
      </c>
      <c r="Q142" t="inlineStr">
        <is>
          <t>2026-08-10T19:29:54Z</t>
        </is>
      </c>
      <c r="R142" t="inlineStr">
        <is>
          <t>2026-08-10T19:29:54Z</t>
        </is>
      </c>
    </row>
    <row r="143">
      <c r="A143" s="19" t="inlineStr">
        <is>
          <t>142</t>
        </is>
      </c>
      <c r="B143" s="19" t="inlineStr">
        <is>
          <t>IA-PPWR-TF-ST-063-STD-04-R00</t>
        </is>
      </c>
      <c r="C143" t="inlineStr">
        <is>
          <t>Technical File — ST-063-STD-04</t>
        </is>
      </c>
      <c r="D143" s="19" t="n"/>
      <c r="E143" s="19" t="inlineStr">
        <is>
          <t>142</t>
        </is>
      </c>
      <c r="F143" s="19" t="n"/>
      <c r="G143" t="n">
        <v>0</v>
      </c>
      <c r="J143" t="inlineStr">
        <is>
          <t>REV00 CURRENT EVIDENCE BASIS — ARTICLE 5 ASSESSMENT BASIS</t>
        </is>
      </c>
      <c r="K143" t="inlineStr">
        <is>
          <t>PENDING – DRAWINGS / PHOTOGRAPHS</t>
        </is>
      </c>
      <c r="L143" s="19" t="inlineStr">
        <is>
          <t>1</t>
        </is>
      </c>
      <c r="M143" s="19" t="inlineStr">
        <is>
          <t>2</t>
        </is>
      </c>
      <c r="N143" t="inlineStr">
        <is>
          <t>2026-08-08</t>
        </is>
      </c>
      <c r="P143" t="inlineStr">
        <is>
          <t>Rev.00 Word technical file generated — see DOCUMENT_LIBRARY.FILE_URI; drawings/photos may remain PENDING</t>
        </is>
      </c>
      <c r="Q143" t="inlineStr">
        <is>
          <t>2026-08-10T19:29:54Z</t>
        </is>
      </c>
      <c r="R143" t="inlineStr">
        <is>
          <t>2026-08-10T19:29:54Z</t>
        </is>
      </c>
    </row>
    <row r="144">
      <c r="A144" s="19" t="inlineStr">
        <is>
          <t>143</t>
        </is>
      </c>
      <c r="B144" s="19" t="inlineStr">
        <is>
          <t>IA-PPWR-TF-ST-063-STD-05-R00</t>
        </is>
      </c>
      <c r="C144" t="inlineStr">
        <is>
          <t>Technical File — ST-063-STD-05</t>
        </is>
      </c>
      <c r="D144" s="19" t="n"/>
      <c r="E144" s="19" t="inlineStr">
        <is>
          <t>143</t>
        </is>
      </c>
      <c r="F144" s="19" t="n"/>
      <c r="G144" t="n">
        <v>0</v>
      </c>
      <c r="J144" t="inlineStr">
        <is>
          <t>REV00 CURRENT EVIDENCE BASIS — ARTICLE 5 ASSESSMENT BASIS</t>
        </is>
      </c>
      <c r="K144" t="inlineStr">
        <is>
          <t>PENDING – DRAWINGS / PHOTOGRAPHS</t>
        </is>
      </c>
      <c r="L144" s="19" t="inlineStr">
        <is>
          <t>1</t>
        </is>
      </c>
      <c r="M144" s="19" t="inlineStr">
        <is>
          <t>2</t>
        </is>
      </c>
      <c r="N144" t="inlineStr">
        <is>
          <t>2026-08-08</t>
        </is>
      </c>
      <c r="P144" t="inlineStr">
        <is>
          <t>Rev.00 Word technical file generated — see DOCUMENT_LIBRARY.FILE_URI; drawings/photos may remain PENDING</t>
        </is>
      </c>
      <c r="Q144" t="inlineStr">
        <is>
          <t>2026-08-10T19:29:54Z</t>
        </is>
      </c>
      <c r="R144" t="inlineStr">
        <is>
          <t>2026-08-10T19:29:54Z</t>
        </is>
      </c>
    </row>
    <row r="145">
      <c r="A145" s="19" t="inlineStr">
        <is>
          <t>144</t>
        </is>
      </c>
      <c r="B145" s="19" t="inlineStr">
        <is>
          <t>IA-PPWR-TF-ST-063-STD-06-R00</t>
        </is>
      </c>
      <c r="C145" t="inlineStr">
        <is>
          <t>Technical File — ST-063-STD-06</t>
        </is>
      </c>
      <c r="D145" s="19" t="n"/>
      <c r="E145" s="19" t="inlineStr">
        <is>
          <t>144</t>
        </is>
      </c>
      <c r="F145" s="19" t="n"/>
      <c r="G145" t="n">
        <v>0</v>
      </c>
      <c r="J145" t="inlineStr">
        <is>
          <t>REV00 CURRENT EVIDENCE BASIS — ARTICLE 5 ASSESSMENT BASIS</t>
        </is>
      </c>
      <c r="K145" t="inlineStr">
        <is>
          <t>PENDING – DRAWINGS / PHOTOGRAPHS</t>
        </is>
      </c>
      <c r="L145" s="19" t="inlineStr">
        <is>
          <t>1</t>
        </is>
      </c>
      <c r="M145" s="19" t="inlineStr">
        <is>
          <t>2</t>
        </is>
      </c>
      <c r="N145" t="inlineStr">
        <is>
          <t>2026-08-08</t>
        </is>
      </c>
      <c r="P145" t="inlineStr">
        <is>
          <t>Rev.00 Word technical file generated — see DOCUMENT_LIBRARY.FILE_URI; drawings/photos may remain PENDING</t>
        </is>
      </c>
      <c r="Q145" t="inlineStr">
        <is>
          <t>2026-08-10T19:29:54Z</t>
        </is>
      </c>
      <c r="R145" t="inlineStr">
        <is>
          <t>2026-08-10T19:29:54Z</t>
        </is>
      </c>
    </row>
    <row r="146">
      <c r="A146" s="19" t="inlineStr">
        <is>
          <t>145</t>
        </is>
      </c>
      <c r="B146" s="19" t="inlineStr">
        <is>
          <t>IA-PPWR-TF-ST-063-STD-07-R00</t>
        </is>
      </c>
      <c r="C146" t="inlineStr">
        <is>
          <t>Technical File — ST-063-STD-07</t>
        </is>
      </c>
      <c r="D146" s="19" t="n"/>
      <c r="E146" s="19" t="inlineStr">
        <is>
          <t>145</t>
        </is>
      </c>
      <c r="F146" s="19" t="n"/>
      <c r="G146" t="n">
        <v>0</v>
      </c>
      <c r="J146" t="inlineStr">
        <is>
          <t>REV00 CURRENT EVIDENCE BASIS — ARTICLE 5 ASSESSMENT BASIS</t>
        </is>
      </c>
      <c r="K146" t="inlineStr">
        <is>
          <t>PENDING – DRAWINGS / PHOTOGRAPHS</t>
        </is>
      </c>
      <c r="L146" s="19" t="inlineStr">
        <is>
          <t>1</t>
        </is>
      </c>
      <c r="M146" s="19" t="inlineStr">
        <is>
          <t>2</t>
        </is>
      </c>
      <c r="N146" t="inlineStr">
        <is>
          <t>2026-08-08</t>
        </is>
      </c>
      <c r="P146" t="inlineStr">
        <is>
          <t>Rev.00 Word technical file generated — see DOCUMENT_LIBRARY.FILE_URI; drawings/photos may remain PENDING</t>
        </is>
      </c>
      <c r="Q146" t="inlineStr">
        <is>
          <t>2026-08-10T19:29:54Z</t>
        </is>
      </c>
      <c r="R146" t="inlineStr">
        <is>
          <t>2026-08-10T19:29:54Z</t>
        </is>
      </c>
    </row>
    <row r="147">
      <c r="A147" s="19" t="inlineStr">
        <is>
          <t>146</t>
        </is>
      </c>
      <c r="B147" s="19" t="inlineStr">
        <is>
          <t>IA-PPWR-TF-ST-063-STD-08-R00</t>
        </is>
      </c>
      <c r="C147" t="inlineStr">
        <is>
          <t>Technical File — ST-063-STD-08</t>
        </is>
      </c>
      <c r="D147" s="19" t="n"/>
      <c r="E147" s="19" t="inlineStr">
        <is>
          <t>146</t>
        </is>
      </c>
      <c r="F147" s="19" t="n"/>
      <c r="G147" t="n">
        <v>0</v>
      </c>
      <c r="J147" t="inlineStr">
        <is>
          <t>REV00 CURRENT EVIDENCE BASIS — ARTICLE 5 ASSESSMENT BASIS</t>
        </is>
      </c>
      <c r="K147" t="inlineStr">
        <is>
          <t>PENDING – DRAWINGS / PHOTOGRAPHS</t>
        </is>
      </c>
      <c r="L147" s="19" t="inlineStr">
        <is>
          <t>1</t>
        </is>
      </c>
      <c r="M147" s="19" t="inlineStr">
        <is>
          <t>2</t>
        </is>
      </c>
      <c r="N147" t="inlineStr">
        <is>
          <t>2026-08-08</t>
        </is>
      </c>
      <c r="P147" t="inlineStr">
        <is>
          <t>Rev.00 Word technical file generated — see DOCUMENT_LIBRARY.FILE_URI; drawings/photos may remain PENDING</t>
        </is>
      </c>
      <c r="Q147" t="inlineStr">
        <is>
          <t>2026-08-10T19:29:54Z</t>
        </is>
      </c>
      <c r="R147" t="inlineStr">
        <is>
          <t>2026-08-10T19:29:54Z</t>
        </is>
      </c>
    </row>
    <row r="148">
      <c r="A148" s="19" t="inlineStr">
        <is>
          <t>147</t>
        </is>
      </c>
      <c r="B148" s="19" t="inlineStr">
        <is>
          <t>IA-PPWR-TF-ST-063-STD-09-R00</t>
        </is>
      </c>
      <c r="C148" t="inlineStr">
        <is>
          <t>Technical File — ST-063-STD-09</t>
        </is>
      </c>
      <c r="D148" s="19" t="n"/>
      <c r="E148" s="19" t="inlineStr">
        <is>
          <t>147</t>
        </is>
      </c>
      <c r="F148" s="19" t="n"/>
      <c r="G148" t="n">
        <v>0</v>
      </c>
      <c r="J148" t="inlineStr">
        <is>
          <t>REV00 CURRENT EVIDENCE BASIS — ARTICLE 5 ASSESSMENT BASIS</t>
        </is>
      </c>
      <c r="K148" t="inlineStr">
        <is>
          <t>PENDING – DRAWINGS / PHOTOGRAPHS</t>
        </is>
      </c>
      <c r="L148" s="19" t="inlineStr">
        <is>
          <t>1</t>
        </is>
      </c>
      <c r="M148" s="19" t="inlineStr">
        <is>
          <t>2</t>
        </is>
      </c>
      <c r="N148" t="inlineStr">
        <is>
          <t>2026-08-08</t>
        </is>
      </c>
      <c r="P148" t="inlineStr">
        <is>
          <t>Rev.00 Word technical file generated — see DOCUMENT_LIBRARY.FILE_URI; drawings/photos may remain PENDING</t>
        </is>
      </c>
      <c r="Q148" t="inlineStr">
        <is>
          <t>2026-08-10T19:29:54Z</t>
        </is>
      </c>
      <c r="R148" t="inlineStr">
        <is>
          <t>2026-08-10T19:29:54Z</t>
        </is>
      </c>
    </row>
    <row r="149">
      <c r="A149" s="19" t="inlineStr">
        <is>
          <t>148</t>
        </is>
      </c>
      <c r="B149" s="19" t="inlineStr">
        <is>
          <t>IA-PPWR-TF-ST-063-STD-10-R00</t>
        </is>
      </c>
      <c r="C149" t="inlineStr">
        <is>
          <t>Technical File — ST-063-STD-10</t>
        </is>
      </c>
      <c r="D149" s="19" t="n"/>
      <c r="E149" s="19" t="inlineStr">
        <is>
          <t>148</t>
        </is>
      </c>
      <c r="F149" s="19" t="n"/>
      <c r="G149" t="n">
        <v>0</v>
      </c>
      <c r="J149" t="inlineStr">
        <is>
          <t>REV00 CURRENT EVIDENCE BASIS — ARTICLE 5 ASSESSMENT BASIS</t>
        </is>
      </c>
      <c r="K149" t="inlineStr">
        <is>
          <t>PENDING – DRAWINGS / PHOTOGRAPHS</t>
        </is>
      </c>
      <c r="L149" s="19" t="inlineStr">
        <is>
          <t>1</t>
        </is>
      </c>
      <c r="M149" s="19" t="inlineStr">
        <is>
          <t>2</t>
        </is>
      </c>
      <c r="N149" t="inlineStr">
        <is>
          <t>2026-08-08</t>
        </is>
      </c>
      <c r="P149" t="inlineStr">
        <is>
          <t>Rev.00 Word technical file generated — see DOCUMENT_LIBRARY.FILE_URI; drawings/photos may remain PENDING</t>
        </is>
      </c>
      <c r="Q149" t="inlineStr">
        <is>
          <t>2026-08-10T19:29:54Z</t>
        </is>
      </c>
      <c r="R149" t="inlineStr">
        <is>
          <t>2026-08-10T19:29:54Z</t>
        </is>
      </c>
    </row>
    <row r="150">
      <c r="A150" s="19" t="inlineStr">
        <is>
          <t>149</t>
        </is>
      </c>
      <c r="B150" s="19" t="inlineStr">
        <is>
          <t>IA-PPWR-TF-ST-063-STD-11-R00</t>
        </is>
      </c>
      <c r="C150" t="inlineStr">
        <is>
          <t>Technical File — ST-063-STD-11</t>
        </is>
      </c>
      <c r="D150" s="19" t="n"/>
      <c r="E150" s="19" t="inlineStr">
        <is>
          <t>149</t>
        </is>
      </c>
      <c r="F150" s="19" t="n"/>
      <c r="G150" t="n">
        <v>0</v>
      </c>
      <c r="J150" t="inlineStr">
        <is>
          <t>REV00 CURRENT EVIDENCE BASIS — ARTICLE 5 ASSESSMENT BASIS</t>
        </is>
      </c>
      <c r="K150" t="inlineStr">
        <is>
          <t>PENDING – DRAWINGS / PHOTOGRAPHS</t>
        </is>
      </c>
      <c r="L150" s="19" t="inlineStr">
        <is>
          <t>1</t>
        </is>
      </c>
      <c r="M150" s="19" t="inlineStr">
        <is>
          <t>2</t>
        </is>
      </c>
      <c r="N150" t="inlineStr">
        <is>
          <t>2026-08-08</t>
        </is>
      </c>
      <c r="P150" t="inlineStr">
        <is>
          <t>Rev.00 Word technical file generated — see DOCUMENT_LIBRARY.FILE_URI; drawings/photos may remain PENDING</t>
        </is>
      </c>
      <c r="Q150" t="inlineStr">
        <is>
          <t>2026-08-10T19:29:54Z</t>
        </is>
      </c>
      <c r="R150" t="inlineStr">
        <is>
          <t>2026-08-10T19:29:54Z</t>
        </is>
      </c>
    </row>
    <row r="151">
      <c r="A151" s="19" t="inlineStr">
        <is>
          <t>150</t>
        </is>
      </c>
      <c r="B151" s="19" t="inlineStr">
        <is>
          <t>IA-PPWR-TF-ST-063-STD-12-R00</t>
        </is>
      </c>
      <c r="C151" t="inlineStr">
        <is>
          <t>Technical File — ST-063-STD-12</t>
        </is>
      </c>
      <c r="D151" s="19" t="n"/>
      <c r="E151" s="19" t="inlineStr">
        <is>
          <t>150</t>
        </is>
      </c>
      <c r="F151" s="19" t="n"/>
      <c r="G151" t="n">
        <v>0</v>
      </c>
      <c r="J151" t="inlineStr">
        <is>
          <t>REV00 CURRENT EVIDENCE BASIS — ARTICLE 5 ASSESSMENT BASIS</t>
        </is>
      </c>
      <c r="K151" t="inlineStr">
        <is>
          <t>PENDING – DRAWINGS / PHOTOGRAPHS</t>
        </is>
      </c>
      <c r="L151" s="19" t="inlineStr">
        <is>
          <t>1</t>
        </is>
      </c>
      <c r="M151" s="19" t="inlineStr">
        <is>
          <t>2</t>
        </is>
      </c>
      <c r="N151" t="inlineStr">
        <is>
          <t>2026-08-08</t>
        </is>
      </c>
      <c r="P151" t="inlineStr">
        <is>
          <t>Rev.00 Word technical file generated — see DOCUMENT_LIBRARY.FILE_URI; drawings/photos may remain PENDING</t>
        </is>
      </c>
      <c r="Q151" t="inlineStr">
        <is>
          <t>2026-08-10T19:29:54Z</t>
        </is>
      </c>
      <c r="R151" t="inlineStr">
        <is>
          <t>2026-08-10T19:29:54Z</t>
        </is>
      </c>
    </row>
    <row r="152">
      <c r="A152" s="19" t="inlineStr">
        <is>
          <t>151</t>
        </is>
      </c>
      <c r="B152" s="19" t="inlineStr">
        <is>
          <t>IA-PPWR-TF-ST-063-STD-13-R00</t>
        </is>
      </c>
      <c r="C152" t="inlineStr">
        <is>
          <t>Technical File — ST-063-STD-13</t>
        </is>
      </c>
      <c r="D152" s="19" t="n"/>
      <c r="E152" s="19" t="inlineStr">
        <is>
          <t>151</t>
        </is>
      </c>
      <c r="F152" s="19" t="n"/>
      <c r="G152" t="n">
        <v>0</v>
      </c>
      <c r="J152" t="inlineStr">
        <is>
          <t>REV00 CURRENT EVIDENCE BASIS — ARTICLE 5 ASSESSMENT BASIS</t>
        </is>
      </c>
      <c r="K152" t="inlineStr">
        <is>
          <t>PENDING – DRAWINGS / PHOTOGRAPHS</t>
        </is>
      </c>
      <c r="L152" s="19" t="inlineStr">
        <is>
          <t>1</t>
        </is>
      </c>
      <c r="M152" s="19" t="inlineStr">
        <is>
          <t>2</t>
        </is>
      </c>
      <c r="N152" t="inlineStr">
        <is>
          <t>2026-08-08</t>
        </is>
      </c>
      <c r="P152" t="inlineStr">
        <is>
          <t>Rev.00 Word technical file generated — see DOCUMENT_LIBRARY.FILE_URI; drawings/photos may remain PENDING</t>
        </is>
      </c>
      <c r="Q152" t="inlineStr">
        <is>
          <t>2026-08-10T19:29:54Z</t>
        </is>
      </c>
      <c r="R152" t="inlineStr">
        <is>
          <t>2026-08-10T19:29:54Z</t>
        </is>
      </c>
    </row>
    <row r="153">
      <c r="A153" s="19" t="inlineStr">
        <is>
          <t>152</t>
        </is>
      </c>
      <c r="B153" s="19" t="inlineStr">
        <is>
          <t>IA-PPWR-TF-ST-063-STD-14-R00</t>
        </is>
      </c>
      <c r="C153" t="inlineStr">
        <is>
          <t>Technical File — ST-063-STD-14</t>
        </is>
      </c>
      <c r="D153" s="19" t="n"/>
      <c r="E153" s="19" t="inlineStr">
        <is>
          <t>152</t>
        </is>
      </c>
      <c r="F153" s="19" t="n"/>
      <c r="G153" t="n">
        <v>0</v>
      </c>
      <c r="J153" t="inlineStr">
        <is>
          <t>REV00 CURRENT EVIDENCE BASIS — ARTICLE 5 ASSESSMENT BASIS</t>
        </is>
      </c>
      <c r="K153" t="inlineStr">
        <is>
          <t>PENDING – DRAWINGS / PHOTOGRAPHS</t>
        </is>
      </c>
      <c r="L153" s="19" t="inlineStr">
        <is>
          <t>1</t>
        </is>
      </c>
      <c r="M153" s="19" t="inlineStr">
        <is>
          <t>2</t>
        </is>
      </c>
      <c r="N153" t="inlineStr">
        <is>
          <t>2026-08-08</t>
        </is>
      </c>
      <c r="P153" t="inlineStr">
        <is>
          <t>Rev.00 Word technical file generated — see DOCUMENT_LIBRARY.FILE_URI; drawings/photos may remain PENDING</t>
        </is>
      </c>
      <c r="Q153" t="inlineStr">
        <is>
          <t>2026-08-10T19:29:54Z</t>
        </is>
      </c>
      <c r="R153" t="inlineStr">
        <is>
          <t>2026-08-10T19:29:54Z</t>
        </is>
      </c>
    </row>
    <row r="154">
      <c r="A154" s="19" t="inlineStr">
        <is>
          <t>153</t>
        </is>
      </c>
      <c r="B154" s="19" t="inlineStr">
        <is>
          <t>IA-PPWR-TF-ST-063-STD-15-R00</t>
        </is>
      </c>
      <c r="C154" t="inlineStr">
        <is>
          <t>Technical File — ST-063-STD-15</t>
        </is>
      </c>
      <c r="D154" s="19" t="n"/>
      <c r="E154" s="19" t="inlineStr">
        <is>
          <t>153</t>
        </is>
      </c>
      <c r="F154" s="19" t="n"/>
      <c r="G154" t="n">
        <v>0</v>
      </c>
      <c r="J154" t="inlineStr">
        <is>
          <t>REV00 CURRENT EVIDENCE BASIS — ARTICLE 5 ASSESSMENT BASIS</t>
        </is>
      </c>
      <c r="K154" t="inlineStr">
        <is>
          <t>PENDING – DRAWINGS / PHOTOGRAPHS</t>
        </is>
      </c>
      <c r="L154" s="19" t="inlineStr">
        <is>
          <t>1</t>
        </is>
      </c>
      <c r="M154" s="19" t="inlineStr">
        <is>
          <t>2</t>
        </is>
      </c>
      <c r="N154" t="inlineStr">
        <is>
          <t>2026-08-08</t>
        </is>
      </c>
      <c r="P154" t="inlineStr">
        <is>
          <t>Rev.00 Word technical file generated — see DOCUMENT_LIBRARY.FILE_URI; drawings/photos may remain PENDING</t>
        </is>
      </c>
      <c r="Q154" t="inlineStr">
        <is>
          <t>2026-08-10T19:29:54Z</t>
        </is>
      </c>
      <c r="R154" t="inlineStr">
        <is>
          <t>2026-08-10T19:29:54Z</t>
        </is>
      </c>
    </row>
    <row r="155">
      <c r="A155" s="19" t="inlineStr">
        <is>
          <t>154</t>
        </is>
      </c>
      <c r="B155" s="19" t="inlineStr">
        <is>
          <t>IA-PPWR-TF-ST-064-EUR-01-R00</t>
        </is>
      </c>
      <c r="C155" t="inlineStr">
        <is>
          <t>Technical File — ST-064-EUR-01</t>
        </is>
      </c>
      <c r="D155" s="19" t="n"/>
      <c r="E155" s="19" t="inlineStr">
        <is>
          <t>154</t>
        </is>
      </c>
      <c r="F155" s="19" t="n"/>
      <c r="G155" t="n">
        <v>0</v>
      </c>
      <c r="J155" t="inlineStr">
        <is>
          <t>REV00 CURRENT EVIDENCE BASIS — ARTICLE 5 ASSESSMENT BASIS</t>
        </is>
      </c>
      <c r="K155" t="inlineStr">
        <is>
          <t>PENDING – DRAWINGS / PHOTOGRAPHS</t>
        </is>
      </c>
      <c r="L155" s="19" t="inlineStr">
        <is>
          <t>1</t>
        </is>
      </c>
      <c r="M155" s="19" t="inlineStr">
        <is>
          <t>2</t>
        </is>
      </c>
      <c r="N155" t="inlineStr">
        <is>
          <t>2026-08-08</t>
        </is>
      </c>
      <c r="P155" t="inlineStr">
        <is>
          <t>Rev.00 Word technical file generated — see DOCUMENT_LIBRARY.FILE_URI; drawings/photos may remain PENDING</t>
        </is>
      </c>
      <c r="Q155" t="inlineStr">
        <is>
          <t>2026-08-10T19:29:54Z</t>
        </is>
      </c>
      <c r="R155" t="inlineStr">
        <is>
          <t>2026-08-10T19:29:54Z</t>
        </is>
      </c>
    </row>
    <row r="156">
      <c r="A156" s="19" t="inlineStr">
        <is>
          <t>155</t>
        </is>
      </c>
      <c r="B156" s="19" t="inlineStr">
        <is>
          <t>IA-PPWR-TF-ST-066-STD-01-R00</t>
        </is>
      </c>
      <c r="C156" t="inlineStr">
        <is>
          <t>Technical File — ST-066-STD-01</t>
        </is>
      </c>
      <c r="D156" s="19" t="n"/>
      <c r="E156" s="19" t="inlineStr">
        <is>
          <t>155</t>
        </is>
      </c>
      <c r="F156" s="19" t="n"/>
      <c r="G156" t="n">
        <v>0</v>
      </c>
      <c r="J156" t="inlineStr">
        <is>
          <t>REV00 CURRENT EVIDENCE BASIS — ARTICLE 5 ASSESSMENT BASIS</t>
        </is>
      </c>
      <c r="K156" t="inlineStr">
        <is>
          <t>PENDING – DRAWINGS / PHOTOGRAPHS</t>
        </is>
      </c>
      <c r="L156" s="19" t="inlineStr">
        <is>
          <t>1</t>
        </is>
      </c>
      <c r="M156" s="19" t="inlineStr">
        <is>
          <t>2</t>
        </is>
      </c>
      <c r="N156" t="inlineStr">
        <is>
          <t>2026-08-08</t>
        </is>
      </c>
      <c r="P156" t="inlineStr">
        <is>
          <t>Rev.00 Word technical file generated — see DOCUMENT_LIBRARY.FILE_URI; drawings/photos may remain PENDING</t>
        </is>
      </c>
      <c r="Q156" t="inlineStr">
        <is>
          <t>2026-08-10T19:29:54Z</t>
        </is>
      </c>
      <c r="R156" t="inlineStr">
        <is>
          <t>2026-08-10T19:29:54Z</t>
        </is>
      </c>
    </row>
    <row r="157">
      <c r="A157" s="19" t="inlineStr">
        <is>
          <t>156</t>
        </is>
      </c>
      <c r="B157" s="19" t="inlineStr">
        <is>
          <t>IA-PPWR-TF-ST-066-STD-02-R00</t>
        </is>
      </c>
      <c r="C157" t="inlineStr">
        <is>
          <t>Technical File — ST-066-STD-02</t>
        </is>
      </c>
      <c r="D157" s="19" t="n"/>
      <c r="E157" s="19" t="inlineStr">
        <is>
          <t>156</t>
        </is>
      </c>
      <c r="F157" s="19" t="n"/>
      <c r="G157" t="n">
        <v>0</v>
      </c>
      <c r="J157" t="inlineStr">
        <is>
          <t>REV00 CURRENT EVIDENCE BASIS — ARTICLE 5 ASSESSMENT BASIS</t>
        </is>
      </c>
      <c r="K157" t="inlineStr">
        <is>
          <t>PENDING – DRAWINGS / PHOTOGRAPHS</t>
        </is>
      </c>
      <c r="L157" s="19" t="inlineStr">
        <is>
          <t>1</t>
        </is>
      </c>
      <c r="M157" s="19" t="inlineStr">
        <is>
          <t>2</t>
        </is>
      </c>
      <c r="N157" t="inlineStr">
        <is>
          <t>2026-08-08</t>
        </is>
      </c>
      <c r="P157" t="inlineStr">
        <is>
          <t>Rev.00 Word technical file generated — see DOCUMENT_LIBRARY.FILE_URI; drawings/photos may remain PENDING</t>
        </is>
      </c>
      <c r="Q157" t="inlineStr">
        <is>
          <t>2026-08-10T19:29:54Z</t>
        </is>
      </c>
      <c r="R157" t="inlineStr">
        <is>
          <t>2026-08-10T19:29:54Z</t>
        </is>
      </c>
    </row>
    <row r="158">
      <c r="A158" s="19" t="inlineStr">
        <is>
          <t>157</t>
        </is>
      </c>
      <c r="B158" s="19" t="inlineStr">
        <is>
          <t>IA-PPWR-TF-ST-066-STD-03-R00</t>
        </is>
      </c>
      <c r="C158" t="inlineStr">
        <is>
          <t>Technical File — ST-066-STD-03</t>
        </is>
      </c>
      <c r="D158" s="19" t="n"/>
      <c r="E158" s="19" t="inlineStr">
        <is>
          <t>157</t>
        </is>
      </c>
      <c r="F158" s="19" t="n"/>
      <c r="G158" t="n">
        <v>0</v>
      </c>
      <c r="J158" t="inlineStr">
        <is>
          <t>REV00 CURRENT EVIDENCE BASIS — ARTICLE 5 ASSESSMENT BASIS</t>
        </is>
      </c>
      <c r="K158" t="inlineStr">
        <is>
          <t>PENDING – DRAWINGS / PHOTOGRAPHS</t>
        </is>
      </c>
      <c r="L158" s="19" t="inlineStr">
        <is>
          <t>1</t>
        </is>
      </c>
      <c r="M158" s="19" t="inlineStr">
        <is>
          <t>2</t>
        </is>
      </c>
      <c r="N158" t="inlineStr">
        <is>
          <t>2026-08-08</t>
        </is>
      </c>
      <c r="P158" t="inlineStr">
        <is>
          <t>Rev.00 Word technical file generated — see DOCUMENT_LIBRARY.FILE_URI; drawings/photos may remain PENDING</t>
        </is>
      </c>
      <c r="Q158" t="inlineStr">
        <is>
          <t>2026-08-10T19:29:54Z</t>
        </is>
      </c>
      <c r="R158" t="inlineStr">
        <is>
          <t>2026-08-10T19:29:54Z</t>
        </is>
      </c>
    </row>
    <row r="159">
      <c r="A159" s="19" t="inlineStr">
        <is>
          <t>158</t>
        </is>
      </c>
      <c r="B159" s="19" t="inlineStr">
        <is>
          <t>IA-PPWR-TF-ST-068-EUR-01-R00</t>
        </is>
      </c>
      <c r="C159" t="inlineStr">
        <is>
          <t>Technical File — ST-068-EUR-01</t>
        </is>
      </c>
      <c r="D159" s="19" t="n"/>
      <c r="E159" s="19" t="inlineStr">
        <is>
          <t>158</t>
        </is>
      </c>
      <c r="F159" s="19" t="n"/>
      <c r="G159" t="n">
        <v>0</v>
      </c>
      <c r="J159" t="inlineStr">
        <is>
          <t>REV00 CURRENT EVIDENCE BASIS — ARTICLE 5 ASSESSMENT BASIS</t>
        </is>
      </c>
      <c r="K159" t="inlineStr">
        <is>
          <t>PENDING – DRAWINGS / PHOTOGRAPHS</t>
        </is>
      </c>
      <c r="L159" s="19" t="inlineStr">
        <is>
          <t>1</t>
        </is>
      </c>
      <c r="M159" s="19" t="inlineStr">
        <is>
          <t>2</t>
        </is>
      </c>
      <c r="N159" t="inlineStr">
        <is>
          <t>2026-08-08</t>
        </is>
      </c>
      <c r="P159" t="inlineStr">
        <is>
          <t>Rev.00 Word technical file generated — see DOCUMENT_LIBRARY.FILE_URI; drawings/photos may remain PENDING</t>
        </is>
      </c>
      <c r="Q159" t="inlineStr">
        <is>
          <t>2026-08-10T19:29:54Z</t>
        </is>
      </c>
      <c r="R159" t="inlineStr">
        <is>
          <t>2026-08-10T19:29:54Z</t>
        </is>
      </c>
    </row>
    <row r="160">
      <c r="A160" s="19" t="inlineStr">
        <is>
          <t>159</t>
        </is>
      </c>
      <c r="B160" s="19" t="inlineStr">
        <is>
          <t>IA-PPWR-TF-ST-068-EUR-02-R00</t>
        </is>
      </c>
      <c r="C160" t="inlineStr">
        <is>
          <t>Technical File — ST-068-EUR-02</t>
        </is>
      </c>
      <c r="D160" s="19" t="n"/>
      <c r="E160" s="19" t="inlineStr">
        <is>
          <t>159</t>
        </is>
      </c>
      <c r="F160" s="19" t="n"/>
      <c r="G160" t="n">
        <v>0</v>
      </c>
      <c r="J160" t="inlineStr">
        <is>
          <t>REV00 CURRENT EVIDENCE BASIS — ARTICLE 5 ASSESSMENT BASIS</t>
        </is>
      </c>
      <c r="K160" t="inlineStr">
        <is>
          <t>PENDING – DRAWINGS / PHOTOGRAPHS</t>
        </is>
      </c>
      <c r="L160" s="19" t="inlineStr">
        <is>
          <t>1</t>
        </is>
      </c>
      <c r="M160" s="19" t="inlineStr">
        <is>
          <t>2</t>
        </is>
      </c>
      <c r="N160" t="inlineStr">
        <is>
          <t>2026-08-08</t>
        </is>
      </c>
      <c r="P160" t="inlineStr">
        <is>
          <t>Rev.00 Word technical file generated — see DOCUMENT_LIBRARY.FILE_URI; drawings/photos may remain PENDING</t>
        </is>
      </c>
      <c r="Q160" t="inlineStr">
        <is>
          <t>2026-08-10T19:29:54Z</t>
        </is>
      </c>
      <c r="R160" t="inlineStr">
        <is>
          <t>2026-08-10T19:29:54Z</t>
        </is>
      </c>
    </row>
    <row r="161">
      <c r="A161" s="19" t="inlineStr">
        <is>
          <t>160</t>
        </is>
      </c>
      <c r="B161" s="19" t="inlineStr">
        <is>
          <t>IA-PPWR-TF-ST-068-EUR-03-R00</t>
        </is>
      </c>
      <c r="C161" t="inlineStr">
        <is>
          <t>Technical File — ST-068-EUR-03</t>
        </is>
      </c>
      <c r="D161" s="19" t="n"/>
      <c r="E161" s="19" t="inlineStr">
        <is>
          <t>160</t>
        </is>
      </c>
      <c r="F161" s="19" t="n"/>
      <c r="G161" t="n">
        <v>0</v>
      </c>
      <c r="J161" t="inlineStr">
        <is>
          <t>REV00 CURRENT EVIDENCE BASIS — ARTICLE 5 ASSESSMENT BASIS</t>
        </is>
      </c>
      <c r="K161" t="inlineStr">
        <is>
          <t>PENDING – DRAWINGS / PHOTOGRAPHS</t>
        </is>
      </c>
      <c r="L161" s="19" t="inlineStr">
        <is>
          <t>1</t>
        </is>
      </c>
      <c r="M161" s="19" t="inlineStr">
        <is>
          <t>2</t>
        </is>
      </c>
      <c r="N161" t="inlineStr">
        <is>
          <t>2026-08-08</t>
        </is>
      </c>
      <c r="P161" t="inlineStr">
        <is>
          <t>Rev.00 Word technical file generated — see DOCUMENT_LIBRARY.FILE_URI; drawings/photos may remain PENDING</t>
        </is>
      </c>
      <c r="Q161" t="inlineStr">
        <is>
          <t>2026-08-10T19:29:54Z</t>
        </is>
      </c>
      <c r="R161" t="inlineStr">
        <is>
          <t>2026-08-10T19:29:54Z</t>
        </is>
      </c>
    </row>
    <row r="162">
      <c r="A162" s="19" t="inlineStr">
        <is>
          <t>161</t>
        </is>
      </c>
      <c r="B162" s="19" t="inlineStr">
        <is>
          <t>IA-PPWR-TF-ST-068-EUR-04-R00</t>
        </is>
      </c>
      <c r="C162" t="inlineStr">
        <is>
          <t>Technical File — ST-068-EUR-04</t>
        </is>
      </c>
      <c r="D162" s="19" t="n"/>
      <c r="E162" s="19" t="inlineStr">
        <is>
          <t>161</t>
        </is>
      </c>
      <c r="F162" s="19" t="n"/>
      <c r="G162" t="n">
        <v>0</v>
      </c>
      <c r="J162" t="inlineStr">
        <is>
          <t>REV00 CURRENT EVIDENCE BASIS — ARTICLE 5 ASSESSMENT BASIS</t>
        </is>
      </c>
      <c r="K162" t="inlineStr">
        <is>
          <t>PENDING – DRAWINGS / PHOTOGRAPHS</t>
        </is>
      </c>
      <c r="L162" s="19" t="inlineStr">
        <is>
          <t>1</t>
        </is>
      </c>
      <c r="M162" s="19" t="inlineStr">
        <is>
          <t>2</t>
        </is>
      </c>
      <c r="N162" t="inlineStr">
        <is>
          <t>2026-08-08</t>
        </is>
      </c>
      <c r="P162" t="inlineStr">
        <is>
          <t>Rev.00 Word technical file generated — see DOCUMENT_LIBRARY.FILE_URI; drawings/photos may remain PENDING</t>
        </is>
      </c>
      <c r="Q162" t="inlineStr">
        <is>
          <t>2026-08-10T19:29:54Z</t>
        </is>
      </c>
      <c r="R162" t="inlineStr">
        <is>
          <t>2026-08-10T19:29:54Z</t>
        </is>
      </c>
    </row>
    <row r="163">
      <c r="A163" s="19" t="inlineStr">
        <is>
          <t>162</t>
        </is>
      </c>
      <c r="B163" s="19" t="inlineStr">
        <is>
          <t>IA-PPWR-TF-ST-068-STD-01-R00</t>
        </is>
      </c>
      <c r="C163" t="inlineStr">
        <is>
          <t>Technical File — ST-068-STD-01</t>
        </is>
      </c>
      <c r="D163" s="19" t="n"/>
      <c r="E163" s="19" t="inlineStr">
        <is>
          <t>162</t>
        </is>
      </c>
      <c r="F163" s="19" t="n"/>
      <c r="G163" t="n">
        <v>0</v>
      </c>
      <c r="J163" t="inlineStr">
        <is>
          <t>REV00 CURRENT EVIDENCE BASIS — ARTICLE 5 ASSESSMENT BASIS</t>
        </is>
      </c>
      <c r="K163" t="inlineStr">
        <is>
          <t>PENDING – DRAWINGS / PHOTOGRAPHS</t>
        </is>
      </c>
      <c r="L163" s="19" t="inlineStr">
        <is>
          <t>1</t>
        </is>
      </c>
      <c r="M163" s="19" t="inlineStr">
        <is>
          <t>2</t>
        </is>
      </c>
      <c r="N163" t="inlineStr">
        <is>
          <t>2026-08-08</t>
        </is>
      </c>
      <c r="P163" t="inlineStr">
        <is>
          <t>Rev.00 Word technical file generated — see DOCUMENT_LIBRARY.FILE_URI; drawings/photos may remain PENDING</t>
        </is>
      </c>
      <c r="Q163" t="inlineStr">
        <is>
          <t>2026-08-10T19:29:54Z</t>
        </is>
      </c>
      <c r="R163" t="inlineStr">
        <is>
          <t>2026-08-10T19:29:54Z</t>
        </is>
      </c>
    </row>
    <row r="164">
      <c r="A164" s="19" t="inlineStr">
        <is>
          <t>163</t>
        </is>
      </c>
      <c r="B164" s="19" t="inlineStr">
        <is>
          <t>IA-PPWR-TF-ST-068-STD-02-R00</t>
        </is>
      </c>
      <c r="C164" t="inlineStr">
        <is>
          <t>Technical File — ST-068-STD-02</t>
        </is>
      </c>
      <c r="D164" s="19" t="n"/>
      <c r="E164" s="19" t="inlineStr">
        <is>
          <t>163</t>
        </is>
      </c>
      <c r="F164" s="19" t="n"/>
      <c r="G164" t="n">
        <v>0</v>
      </c>
      <c r="J164" t="inlineStr">
        <is>
          <t>REV00 CURRENT EVIDENCE BASIS — ARTICLE 5 ASSESSMENT BASIS</t>
        </is>
      </c>
      <c r="K164" t="inlineStr">
        <is>
          <t>PENDING – DRAWINGS / PHOTOGRAPHS</t>
        </is>
      </c>
      <c r="L164" s="19" t="inlineStr">
        <is>
          <t>1</t>
        </is>
      </c>
      <c r="M164" s="19" t="inlineStr">
        <is>
          <t>2</t>
        </is>
      </c>
      <c r="N164" t="inlineStr">
        <is>
          <t>2026-08-08</t>
        </is>
      </c>
      <c r="P164" t="inlineStr">
        <is>
          <t>Rev.00 Word technical file generated — see DOCUMENT_LIBRARY.FILE_URI; drawings/photos may remain PENDING</t>
        </is>
      </c>
      <c r="Q164" t="inlineStr">
        <is>
          <t>2026-08-10T19:29:54Z</t>
        </is>
      </c>
      <c r="R164" t="inlineStr">
        <is>
          <t>2026-08-10T19:29:54Z</t>
        </is>
      </c>
    </row>
    <row r="165">
      <c r="A165" s="19" t="inlineStr">
        <is>
          <t>164</t>
        </is>
      </c>
      <c r="B165" s="19" t="inlineStr">
        <is>
          <t>IA-PPWR-TF-ST-068-STD-03-R00</t>
        </is>
      </c>
      <c r="C165" t="inlineStr">
        <is>
          <t>Technical File — ST-068-STD-03</t>
        </is>
      </c>
      <c r="D165" s="19" t="n"/>
      <c r="E165" s="19" t="inlineStr">
        <is>
          <t>164</t>
        </is>
      </c>
      <c r="F165" s="19" t="n"/>
      <c r="G165" t="n">
        <v>0</v>
      </c>
      <c r="J165" t="inlineStr">
        <is>
          <t>REV00 CURRENT EVIDENCE BASIS — ARTICLE 5 ASSESSMENT BASIS</t>
        </is>
      </c>
      <c r="K165" t="inlineStr">
        <is>
          <t>PENDING – DRAWINGS / PHOTOGRAPHS</t>
        </is>
      </c>
      <c r="L165" s="19" t="inlineStr">
        <is>
          <t>1</t>
        </is>
      </c>
      <c r="M165" s="19" t="inlineStr">
        <is>
          <t>2</t>
        </is>
      </c>
      <c r="N165" t="inlineStr">
        <is>
          <t>2026-08-08</t>
        </is>
      </c>
      <c r="P165" t="inlineStr">
        <is>
          <t>Rev.00 Word technical file generated — see DOCUMENT_LIBRARY.FILE_URI; drawings/photos may remain PENDING</t>
        </is>
      </c>
      <c r="Q165" t="inlineStr">
        <is>
          <t>2026-08-10T19:29:54Z</t>
        </is>
      </c>
      <c r="R165" t="inlineStr">
        <is>
          <t>2026-08-10T19:29:54Z</t>
        </is>
      </c>
    </row>
    <row r="166">
      <c r="A166" s="19" t="inlineStr">
        <is>
          <t>165</t>
        </is>
      </c>
      <c r="B166" s="19" t="inlineStr">
        <is>
          <t>IA-PPWR-TF-ST-068-STD-04-R00</t>
        </is>
      </c>
      <c r="C166" t="inlineStr">
        <is>
          <t>Technical File — ST-068-STD-04</t>
        </is>
      </c>
      <c r="D166" s="19" t="n"/>
      <c r="E166" s="19" t="inlineStr">
        <is>
          <t>165</t>
        </is>
      </c>
      <c r="F166" s="19" t="n"/>
      <c r="G166" t="n">
        <v>0</v>
      </c>
      <c r="J166" t="inlineStr">
        <is>
          <t>REV00 CURRENT EVIDENCE BASIS — ARTICLE 5 ASSESSMENT BASIS</t>
        </is>
      </c>
      <c r="K166" t="inlineStr">
        <is>
          <t>PENDING – DRAWINGS / PHOTOGRAPHS</t>
        </is>
      </c>
      <c r="L166" s="19" t="inlineStr">
        <is>
          <t>1</t>
        </is>
      </c>
      <c r="M166" s="19" t="inlineStr">
        <is>
          <t>2</t>
        </is>
      </c>
      <c r="N166" t="inlineStr">
        <is>
          <t>2026-08-08</t>
        </is>
      </c>
      <c r="P166" t="inlineStr">
        <is>
          <t>Rev.00 Word technical file generated — see DOCUMENT_LIBRARY.FILE_URI; drawings/photos may remain PENDING</t>
        </is>
      </c>
      <c r="Q166" t="inlineStr">
        <is>
          <t>2026-08-10T19:29:54Z</t>
        </is>
      </c>
      <c r="R166" t="inlineStr">
        <is>
          <t>2026-08-10T19:29:54Z</t>
        </is>
      </c>
    </row>
    <row r="167">
      <c r="A167" s="19" t="inlineStr">
        <is>
          <t>166</t>
        </is>
      </c>
      <c r="B167" s="19" t="inlineStr">
        <is>
          <t>IA-PPWR-TF-ST-072-EUR-01-R00</t>
        </is>
      </c>
      <c r="C167" t="inlineStr">
        <is>
          <t>Technical File — ST-072-EUR-01</t>
        </is>
      </c>
      <c r="D167" s="19" t="n"/>
      <c r="E167" s="19" t="inlineStr">
        <is>
          <t>166</t>
        </is>
      </c>
      <c r="F167" s="19" t="n"/>
      <c r="G167" t="n">
        <v>0</v>
      </c>
      <c r="J167" t="inlineStr">
        <is>
          <t>REV00 CURRENT EVIDENCE BASIS — ARTICLE 5 ASSESSMENT BASIS</t>
        </is>
      </c>
      <c r="K167" t="inlineStr">
        <is>
          <t>PENDING – DRAWINGS / PHOTOGRAPHS</t>
        </is>
      </c>
      <c r="L167" s="19" t="inlineStr">
        <is>
          <t>1</t>
        </is>
      </c>
      <c r="M167" s="19" t="inlineStr">
        <is>
          <t>2</t>
        </is>
      </c>
      <c r="N167" t="inlineStr">
        <is>
          <t>2026-08-08</t>
        </is>
      </c>
      <c r="P167" t="inlineStr">
        <is>
          <t>Rev.00 Word technical file generated — see DOCUMENT_LIBRARY.FILE_URI; drawings/photos may remain PENDING</t>
        </is>
      </c>
      <c r="Q167" t="inlineStr">
        <is>
          <t>2026-08-10T19:29:54Z</t>
        </is>
      </c>
      <c r="R167" t="inlineStr">
        <is>
          <t>2026-08-10T19:29:54Z</t>
        </is>
      </c>
    </row>
    <row r="168">
      <c r="A168" s="19" t="inlineStr">
        <is>
          <t>167</t>
        </is>
      </c>
      <c r="B168" s="19" t="inlineStr">
        <is>
          <t>IA-PPWR-TF-ST-072-EUR-02-R00</t>
        </is>
      </c>
      <c r="C168" t="inlineStr">
        <is>
          <t>Technical File — ST-072-EUR-02</t>
        </is>
      </c>
      <c r="D168" s="19" t="n"/>
      <c r="E168" s="19" t="inlineStr">
        <is>
          <t>167</t>
        </is>
      </c>
      <c r="F168" s="19" t="n"/>
      <c r="G168" t="n">
        <v>0</v>
      </c>
      <c r="J168" t="inlineStr">
        <is>
          <t>REV00 CURRENT EVIDENCE BASIS — ARTICLE 5 ASSESSMENT BASIS</t>
        </is>
      </c>
      <c r="K168" t="inlineStr">
        <is>
          <t>PENDING – DRAWINGS / PHOTOGRAPHS</t>
        </is>
      </c>
      <c r="L168" s="19" t="inlineStr">
        <is>
          <t>1</t>
        </is>
      </c>
      <c r="M168" s="19" t="inlineStr">
        <is>
          <t>2</t>
        </is>
      </c>
      <c r="N168" t="inlineStr">
        <is>
          <t>2026-08-08</t>
        </is>
      </c>
      <c r="P168" t="inlineStr">
        <is>
          <t>Rev.00 Word technical file generated — see DOCUMENT_LIBRARY.FILE_URI; drawings/photos may remain PENDING</t>
        </is>
      </c>
      <c r="Q168" t="inlineStr">
        <is>
          <t>2026-08-10T19:29:54Z</t>
        </is>
      </c>
      <c r="R168" t="inlineStr">
        <is>
          <t>2026-08-10T19:29:54Z</t>
        </is>
      </c>
    </row>
    <row r="169">
      <c r="A169" s="19" t="inlineStr">
        <is>
          <t>168</t>
        </is>
      </c>
      <c r="B169" s="19" t="inlineStr">
        <is>
          <t>IA-PPWR-TF-ST-072-EUR-03-R00</t>
        </is>
      </c>
      <c r="C169" t="inlineStr">
        <is>
          <t>Technical File — ST-072-EUR-03</t>
        </is>
      </c>
      <c r="D169" s="19" t="n"/>
      <c r="E169" s="19" t="inlineStr">
        <is>
          <t>168</t>
        </is>
      </c>
      <c r="F169" s="19" t="n"/>
      <c r="G169" t="n">
        <v>0</v>
      </c>
      <c r="J169" t="inlineStr">
        <is>
          <t>REV00 CURRENT EVIDENCE BASIS — ARTICLE 5 ASSESSMENT BASIS</t>
        </is>
      </c>
      <c r="K169" t="inlineStr">
        <is>
          <t>PENDING – DRAWINGS / PHOTOGRAPHS</t>
        </is>
      </c>
      <c r="L169" s="19" t="inlineStr">
        <is>
          <t>1</t>
        </is>
      </c>
      <c r="M169" s="19" t="inlineStr">
        <is>
          <t>2</t>
        </is>
      </c>
      <c r="N169" t="inlineStr">
        <is>
          <t>2026-08-08</t>
        </is>
      </c>
      <c r="P169" t="inlineStr">
        <is>
          <t>Rev.00 Word technical file generated — see DOCUMENT_LIBRARY.FILE_URI; drawings/photos may remain PENDING</t>
        </is>
      </c>
      <c r="Q169" t="inlineStr">
        <is>
          <t>2026-08-10T19:29:54Z</t>
        </is>
      </c>
      <c r="R169" t="inlineStr">
        <is>
          <t>2026-08-10T19:29:54Z</t>
        </is>
      </c>
    </row>
    <row r="170">
      <c r="A170" s="19" t="inlineStr">
        <is>
          <t>169</t>
        </is>
      </c>
      <c r="B170" s="19" t="inlineStr">
        <is>
          <t>IA-PPWR-TF-ST-072-EUR-04-R00</t>
        </is>
      </c>
      <c r="C170" t="inlineStr">
        <is>
          <t>Technical File — ST-072-EUR-04</t>
        </is>
      </c>
      <c r="D170" s="19" t="n"/>
      <c r="E170" s="19" t="inlineStr">
        <is>
          <t>169</t>
        </is>
      </c>
      <c r="F170" s="19" t="n"/>
      <c r="G170" t="n">
        <v>0</v>
      </c>
      <c r="J170" t="inlineStr">
        <is>
          <t>REV00 CURRENT EVIDENCE BASIS — ARTICLE 5 ASSESSMENT BASIS</t>
        </is>
      </c>
      <c r="K170" t="inlineStr">
        <is>
          <t>PENDING – DRAWINGS / PHOTOGRAPHS</t>
        </is>
      </c>
      <c r="L170" s="19" t="inlineStr">
        <is>
          <t>1</t>
        </is>
      </c>
      <c r="M170" s="19" t="inlineStr">
        <is>
          <t>2</t>
        </is>
      </c>
      <c r="N170" t="inlineStr">
        <is>
          <t>2026-08-08</t>
        </is>
      </c>
      <c r="P170" t="inlineStr">
        <is>
          <t>Rev.00 Word technical file generated — see DOCUMENT_LIBRARY.FILE_URI; drawings/photos may remain PENDING</t>
        </is>
      </c>
      <c r="Q170" t="inlineStr">
        <is>
          <t>2026-08-10T19:29:54Z</t>
        </is>
      </c>
      <c r="R170" t="inlineStr">
        <is>
          <t>2026-08-10T19:29:54Z</t>
        </is>
      </c>
    </row>
    <row r="171">
      <c r="A171" s="19" t="inlineStr">
        <is>
          <t>170</t>
        </is>
      </c>
      <c r="B171" s="19" t="inlineStr">
        <is>
          <t>IA-PPWR-TF-ST-072-EUR-05-R00</t>
        </is>
      </c>
      <c r="C171" t="inlineStr">
        <is>
          <t>Technical File — ST-072-EUR-05</t>
        </is>
      </c>
      <c r="D171" s="19" t="n"/>
      <c r="E171" s="19" t="inlineStr">
        <is>
          <t>170</t>
        </is>
      </c>
      <c r="F171" s="19" t="n"/>
      <c r="G171" t="n">
        <v>0</v>
      </c>
      <c r="J171" t="inlineStr">
        <is>
          <t>REV00 CURRENT EVIDENCE BASIS — ARTICLE 5 ASSESSMENT BASIS</t>
        </is>
      </c>
      <c r="K171" t="inlineStr">
        <is>
          <t>PENDING – DRAWINGS / PHOTOGRAPHS</t>
        </is>
      </c>
      <c r="L171" s="19" t="inlineStr">
        <is>
          <t>1</t>
        </is>
      </c>
      <c r="M171" s="19" t="inlineStr">
        <is>
          <t>2</t>
        </is>
      </c>
      <c r="N171" t="inlineStr">
        <is>
          <t>2026-08-08</t>
        </is>
      </c>
      <c r="P171" t="inlineStr">
        <is>
          <t>Rev.00 Word technical file generated — see DOCUMENT_LIBRARY.FILE_URI; drawings/photos may remain PENDING</t>
        </is>
      </c>
      <c r="Q171" t="inlineStr">
        <is>
          <t>2026-08-10T19:29:54Z</t>
        </is>
      </c>
      <c r="R171" t="inlineStr">
        <is>
          <t>2026-08-10T19:29:54Z</t>
        </is>
      </c>
    </row>
    <row r="172">
      <c r="A172" s="19" t="inlineStr">
        <is>
          <t>171</t>
        </is>
      </c>
      <c r="B172" s="19" t="inlineStr">
        <is>
          <t>IA-PPWR-TF-ST-072-EUR-06-R00</t>
        </is>
      </c>
      <c r="C172" t="inlineStr">
        <is>
          <t>Technical File — ST-072-EUR-06</t>
        </is>
      </c>
      <c r="D172" s="19" t="n"/>
      <c r="E172" s="19" t="inlineStr">
        <is>
          <t>171</t>
        </is>
      </c>
      <c r="F172" s="19" t="n"/>
      <c r="G172" t="n">
        <v>0</v>
      </c>
      <c r="J172" t="inlineStr">
        <is>
          <t>REV00 CURRENT EVIDENCE BASIS — ARTICLE 5 ASSESSMENT BASIS</t>
        </is>
      </c>
      <c r="K172" t="inlineStr">
        <is>
          <t>PENDING – DRAWINGS / PHOTOGRAPHS</t>
        </is>
      </c>
      <c r="L172" s="19" t="inlineStr">
        <is>
          <t>1</t>
        </is>
      </c>
      <c r="M172" s="19" t="inlineStr">
        <is>
          <t>2</t>
        </is>
      </c>
      <c r="N172" t="inlineStr">
        <is>
          <t>2026-08-08</t>
        </is>
      </c>
      <c r="P172" t="inlineStr">
        <is>
          <t>Rev.00 Word technical file generated — see DOCUMENT_LIBRARY.FILE_URI; drawings/photos may remain PENDING</t>
        </is>
      </c>
      <c r="Q172" t="inlineStr">
        <is>
          <t>2026-08-10T19:29:54Z</t>
        </is>
      </c>
      <c r="R172" t="inlineStr">
        <is>
          <t>2026-08-10T19:29:54Z</t>
        </is>
      </c>
    </row>
    <row r="173">
      <c r="A173" s="19" t="inlineStr">
        <is>
          <t>172</t>
        </is>
      </c>
      <c r="B173" s="19" t="inlineStr">
        <is>
          <t>IA-PPWR-TF-ST-072-STD-01-R00</t>
        </is>
      </c>
      <c r="C173" t="inlineStr">
        <is>
          <t>Technical File — ST-072-STD-01</t>
        </is>
      </c>
      <c r="D173" s="19" t="n"/>
      <c r="E173" s="19" t="inlineStr">
        <is>
          <t>172</t>
        </is>
      </c>
      <c r="F173" s="19" t="n"/>
      <c r="G173" t="n">
        <v>0</v>
      </c>
      <c r="J173" t="inlineStr">
        <is>
          <t>REV00 CURRENT EVIDENCE BASIS — ARTICLE 5 ASSESSMENT BASIS</t>
        </is>
      </c>
      <c r="K173" t="inlineStr">
        <is>
          <t>PENDING – DRAWINGS / PHOTOGRAPHS</t>
        </is>
      </c>
      <c r="L173" s="19" t="inlineStr">
        <is>
          <t>1</t>
        </is>
      </c>
      <c r="M173" s="19" t="inlineStr">
        <is>
          <t>2</t>
        </is>
      </c>
      <c r="N173" t="inlineStr">
        <is>
          <t>2026-08-08</t>
        </is>
      </c>
      <c r="P173" t="inlineStr">
        <is>
          <t>Rev.00 Word technical file generated — see DOCUMENT_LIBRARY.FILE_URI; drawings/photos may remain PENDING</t>
        </is>
      </c>
      <c r="Q173" t="inlineStr">
        <is>
          <t>2026-08-10T19:29:54Z</t>
        </is>
      </c>
      <c r="R173" t="inlineStr">
        <is>
          <t>2026-08-10T19:29:54Z</t>
        </is>
      </c>
    </row>
    <row r="174">
      <c r="A174" s="19" t="inlineStr">
        <is>
          <t>173</t>
        </is>
      </c>
      <c r="B174" s="19" t="inlineStr">
        <is>
          <t>IA-PPWR-TF-ST-072-STD-02-R00</t>
        </is>
      </c>
      <c r="C174" t="inlineStr">
        <is>
          <t>Technical File — ST-072-STD-02</t>
        </is>
      </c>
      <c r="D174" s="19" t="n"/>
      <c r="E174" s="19" t="inlineStr">
        <is>
          <t>173</t>
        </is>
      </c>
      <c r="F174" s="19" t="n"/>
      <c r="G174" t="n">
        <v>0</v>
      </c>
      <c r="J174" t="inlineStr">
        <is>
          <t>REV00 CURRENT EVIDENCE BASIS — ARTICLE 5 ASSESSMENT BASIS</t>
        </is>
      </c>
      <c r="K174" t="inlineStr">
        <is>
          <t>PENDING – DRAWINGS / PHOTOGRAPHS</t>
        </is>
      </c>
      <c r="L174" s="19" t="inlineStr">
        <is>
          <t>1</t>
        </is>
      </c>
      <c r="M174" s="19" t="inlineStr">
        <is>
          <t>2</t>
        </is>
      </c>
      <c r="N174" t="inlineStr">
        <is>
          <t>2026-08-08</t>
        </is>
      </c>
      <c r="P174" t="inlineStr">
        <is>
          <t>Rev.00 Word technical file generated — see DOCUMENT_LIBRARY.FILE_URI; drawings/photos may remain PENDING</t>
        </is>
      </c>
      <c r="Q174" t="inlineStr">
        <is>
          <t>2026-08-10T19:29:54Z</t>
        </is>
      </c>
      <c r="R174" t="inlineStr">
        <is>
          <t>2026-08-10T19:29:54Z</t>
        </is>
      </c>
    </row>
    <row r="175">
      <c r="A175" s="19" t="inlineStr">
        <is>
          <t>174</t>
        </is>
      </c>
      <c r="B175" s="19" t="inlineStr">
        <is>
          <t>IA-PPWR-TF-ST-072-STD-03-R00</t>
        </is>
      </c>
      <c r="C175" t="inlineStr">
        <is>
          <t>Technical File — ST-072-STD-03</t>
        </is>
      </c>
      <c r="D175" s="19" t="n"/>
      <c r="E175" s="19" t="inlineStr">
        <is>
          <t>174</t>
        </is>
      </c>
      <c r="F175" s="19" t="n"/>
      <c r="G175" t="n">
        <v>0</v>
      </c>
      <c r="J175" t="inlineStr">
        <is>
          <t>REV00 CURRENT EVIDENCE BASIS — ARTICLE 5 ASSESSMENT BASIS</t>
        </is>
      </c>
      <c r="K175" t="inlineStr">
        <is>
          <t>PENDING – DRAWINGS / PHOTOGRAPHS</t>
        </is>
      </c>
      <c r="L175" s="19" t="inlineStr">
        <is>
          <t>1</t>
        </is>
      </c>
      <c r="M175" s="19" t="inlineStr">
        <is>
          <t>2</t>
        </is>
      </c>
      <c r="N175" t="inlineStr">
        <is>
          <t>2026-08-08</t>
        </is>
      </c>
      <c r="P175" t="inlineStr">
        <is>
          <t>Rev.00 Word technical file generated — see DOCUMENT_LIBRARY.FILE_URI; drawings/photos may remain PENDING</t>
        </is>
      </c>
      <c r="Q175" t="inlineStr">
        <is>
          <t>2026-08-10T19:29:54Z</t>
        </is>
      </c>
      <c r="R175" t="inlineStr">
        <is>
          <t>2026-08-10T19:29:54Z</t>
        </is>
      </c>
    </row>
    <row r="176">
      <c r="A176" s="19" t="inlineStr">
        <is>
          <t>175</t>
        </is>
      </c>
      <c r="B176" s="19" t="inlineStr">
        <is>
          <t>IA-PPWR-TF-ST-072-STD-04-R00</t>
        </is>
      </c>
      <c r="C176" t="inlineStr">
        <is>
          <t>Technical File — ST-072-STD-04</t>
        </is>
      </c>
      <c r="D176" s="19" t="n"/>
      <c r="E176" s="19" t="inlineStr">
        <is>
          <t>175</t>
        </is>
      </c>
      <c r="F176" s="19" t="n"/>
      <c r="G176" t="n">
        <v>0</v>
      </c>
      <c r="J176" t="inlineStr">
        <is>
          <t>REV00 CURRENT EVIDENCE BASIS — ARTICLE 5 ASSESSMENT BASIS</t>
        </is>
      </c>
      <c r="K176" t="inlineStr">
        <is>
          <t>PENDING – DRAWINGS / PHOTOGRAPHS</t>
        </is>
      </c>
      <c r="L176" s="19" t="inlineStr">
        <is>
          <t>1</t>
        </is>
      </c>
      <c r="M176" s="19" t="inlineStr">
        <is>
          <t>2</t>
        </is>
      </c>
      <c r="N176" t="inlineStr">
        <is>
          <t>2026-08-08</t>
        </is>
      </c>
      <c r="P176" t="inlineStr">
        <is>
          <t>Rev.00 Word technical file generated — see DOCUMENT_LIBRARY.FILE_URI; drawings/photos may remain PENDING</t>
        </is>
      </c>
      <c r="Q176" t="inlineStr">
        <is>
          <t>2026-08-10T19:29:54Z</t>
        </is>
      </c>
      <c r="R176" t="inlineStr">
        <is>
          <t>2026-08-10T19:29:54Z</t>
        </is>
      </c>
    </row>
    <row r="177">
      <c r="A177" s="19" t="inlineStr">
        <is>
          <t>176</t>
        </is>
      </c>
      <c r="B177" s="19" t="inlineStr">
        <is>
          <t>IA-PPWR-TF-ST-072-STD-05-R00</t>
        </is>
      </c>
      <c r="C177" t="inlineStr">
        <is>
          <t>Technical File — ST-072-STD-05</t>
        </is>
      </c>
      <c r="D177" s="19" t="n"/>
      <c r="E177" s="19" t="inlineStr">
        <is>
          <t>176</t>
        </is>
      </c>
      <c r="F177" s="19" t="n"/>
      <c r="G177" t="n">
        <v>0</v>
      </c>
      <c r="J177" t="inlineStr">
        <is>
          <t>REV00 CURRENT EVIDENCE BASIS — ARTICLE 5 ASSESSMENT BASIS</t>
        </is>
      </c>
      <c r="K177" t="inlineStr">
        <is>
          <t>PENDING – DRAWINGS / PHOTOGRAPHS</t>
        </is>
      </c>
      <c r="L177" s="19" t="inlineStr">
        <is>
          <t>1</t>
        </is>
      </c>
      <c r="M177" s="19" t="inlineStr">
        <is>
          <t>2</t>
        </is>
      </c>
      <c r="N177" t="inlineStr">
        <is>
          <t>2026-08-08</t>
        </is>
      </c>
      <c r="P177" t="inlineStr">
        <is>
          <t>Rev.00 Word technical file generated — see DOCUMENT_LIBRARY.FILE_URI; drawings/photos may remain PENDING</t>
        </is>
      </c>
      <c r="Q177" t="inlineStr">
        <is>
          <t>2026-08-10T19:29:54Z</t>
        </is>
      </c>
      <c r="R177" t="inlineStr">
        <is>
          <t>2026-08-10T19:29:54Z</t>
        </is>
      </c>
    </row>
    <row r="178">
      <c r="A178" s="19" t="inlineStr">
        <is>
          <t>177</t>
        </is>
      </c>
      <c r="B178" s="19" t="inlineStr">
        <is>
          <t>IA-PPWR-TF-ST-072-STD-06-R00</t>
        </is>
      </c>
      <c r="C178" t="inlineStr">
        <is>
          <t>Technical File — ST-072-STD-06</t>
        </is>
      </c>
      <c r="D178" s="19" t="n"/>
      <c r="E178" s="19" t="inlineStr">
        <is>
          <t>177</t>
        </is>
      </c>
      <c r="F178" s="19" t="n"/>
      <c r="G178" t="n">
        <v>0</v>
      </c>
      <c r="J178" t="inlineStr">
        <is>
          <t>REV00 CURRENT EVIDENCE BASIS — ARTICLE 5 ASSESSMENT BASIS</t>
        </is>
      </c>
      <c r="K178" t="inlineStr">
        <is>
          <t>PENDING – DRAWINGS / PHOTOGRAPHS</t>
        </is>
      </c>
      <c r="L178" s="19" t="inlineStr">
        <is>
          <t>1</t>
        </is>
      </c>
      <c r="M178" s="19" t="inlineStr">
        <is>
          <t>2</t>
        </is>
      </c>
      <c r="N178" t="inlineStr">
        <is>
          <t>2026-08-08</t>
        </is>
      </c>
      <c r="P178" t="inlineStr">
        <is>
          <t>Rev.00 Word technical file generated — see DOCUMENT_LIBRARY.FILE_URI; drawings/photos may remain PENDING</t>
        </is>
      </c>
      <c r="Q178" t="inlineStr">
        <is>
          <t>2026-08-10T19:29:54Z</t>
        </is>
      </c>
      <c r="R178" t="inlineStr">
        <is>
          <t>2026-08-10T19:29:54Z</t>
        </is>
      </c>
    </row>
    <row r="179">
      <c r="A179" s="19" t="inlineStr">
        <is>
          <t>178</t>
        </is>
      </c>
      <c r="B179" s="19" t="inlineStr">
        <is>
          <t>IA-PPWR-TF-ST-072-STD-07-R00</t>
        </is>
      </c>
      <c r="C179" t="inlineStr">
        <is>
          <t>Technical File — ST-072-STD-07</t>
        </is>
      </c>
      <c r="D179" s="19" t="n"/>
      <c r="E179" s="19" t="inlineStr">
        <is>
          <t>178</t>
        </is>
      </c>
      <c r="F179" s="19" t="n"/>
      <c r="G179" t="n">
        <v>0</v>
      </c>
      <c r="J179" t="inlineStr">
        <is>
          <t>REV00 CURRENT EVIDENCE BASIS — ARTICLE 5 ASSESSMENT BASIS</t>
        </is>
      </c>
      <c r="K179" t="inlineStr">
        <is>
          <t>PENDING – DRAWINGS / PHOTOGRAPHS</t>
        </is>
      </c>
      <c r="L179" s="19" t="inlineStr">
        <is>
          <t>1</t>
        </is>
      </c>
      <c r="M179" s="19" t="inlineStr">
        <is>
          <t>2</t>
        </is>
      </c>
      <c r="N179" t="inlineStr">
        <is>
          <t>2026-08-08</t>
        </is>
      </c>
      <c r="P179" t="inlineStr">
        <is>
          <t>Rev.00 Word technical file generated — see DOCUMENT_LIBRARY.FILE_URI; drawings/photos may remain PENDING</t>
        </is>
      </c>
      <c r="Q179" t="inlineStr">
        <is>
          <t>2026-08-10T19:29:54Z</t>
        </is>
      </c>
      <c r="R179" t="inlineStr">
        <is>
          <t>2026-08-10T19:29:54Z</t>
        </is>
      </c>
    </row>
    <row r="180">
      <c r="A180" s="19" t="inlineStr">
        <is>
          <t>179</t>
        </is>
      </c>
      <c r="B180" s="19" t="inlineStr">
        <is>
          <t>IA-PPWR-TF-ST-072-STD-08-R00</t>
        </is>
      </c>
      <c r="C180" t="inlineStr">
        <is>
          <t>Technical File — ST-072-STD-08</t>
        </is>
      </c>
      <c r="D180" s="19" t="n"/>
      <c r="E180" s="19" t="inlineStr">
        <is>
          <t>179</t>
        </is>
      </c>
      <c r="F180" s="19" t="n"/>
      <c r="G180" t="n">
        <v>0</v>
      </c>
      <c r="J180" t="inlineStr">
        <is>
          <t>REV00 CURRENT EVIDENCE BASIS — ARTICLE 5 ASSESSMENT BASIS</t>
        </is>
      </c>
      <c r="K180" t="inlineStr">
        <is>
          <t>PENDING – DRAWINGS / PHOTOGRAPHS</t>
        </is>
      </c>
      <c r="L180" s="19" t="inlineStr">
        <is>
          <t>1</t>
        </is>
      </c>
      <c r="M180" s="19" t="inlineStr">
        <is>
          <t>2</t>
        </is>
      </c>
      <c r="N180" t="inlineStr">
        <is>
          <t>2026-08-08</t>
        </is>
      </c>
      <c r="P180" t="inlineStr">
        <is>
          <t>Rev.00 Word technical file generated — see DOCUMENT_LIBRARY.FILE_URI; drawings/photos may remain PENDING</t>
        </is>
      </c>
      <c r="Q180" t="inlineStr">
        <is>
          <t>2026-08-10T19:29:54Z</t>
        </is>
      </c>
      <c r="R180" t="inlineStr">
        <is>
          <t>2026-08-10T19:29:54Z</t>
        </is>
      </c>
    </row>
    <row r="181">
      <c r="A181" s="19" t="inlineStr">
        <is>
          <t>180</t>
        </is>
      </c>
      <c r="B181" s="19" t="inlineStr">
        <is>
          <t>IA-PPWR-TF-ST-072-STD-09-R00</t>
        </is>
      </c>
      <c r="C181" t="inlineStr">
        <is>
          <t>Technical File — ST-072-STD-09</t>
        </is>
      </c>
      <c r="D181" s="19" t="n"/>
      <c r="E181" s="19" t="inlineStr">
        <is>
          <t>180</t>
        </is>
      </c>
      <c r="F181" s="19" t="n"/>
      <c r="G181" t="n">
        <v>0</v>
      </c>
      <c r="J181" t="inlineStr">
        <is>
          <t>REV00 CURRENT EVIDENCE BASIS — ARTICLE 5 ASSESSMENT BASIS</t>
        </is>
      </c>
      <c r="K181" t="inlineStr">
        <is>
          <t>PENDING – DRAWINGS / PHOTOGRAPHS</t>
        </is>
      </c>
      <c r="L181" s="19" t="inlineStr">
        <is>
          <t>1</t>
        </is>
      </c>
      <c r="M181" s="19" t="inlineStr">
        <is>
          <t>2</t>
        </is>
      </c>
      <c r="N181" t="inlineStr">
        <is>
          <t>2026-08-08</t>
        </is>
      </c>
      <c r="P181" t="inlineStr">
        <is>
          <t>Rev.00 Word technical file generated — see DOCUMENT_LIBRARY.FILE_URI; drawings/photos may remain PENDING</t>
        </is>
      </c>
      <c r="Q181" t="inlineStr">
        <is>
          <t>2026-08-10T19:29:54Z</t>
        </is>
      </c>
      <c r="R181" t="inlineStr">
        <is>
          <t>2026-08-10T19:29:54Z</t>
        </is>
      </c>
    </row>
    <row r="182">
      <c r="A182" s="19" t="inlineStr">
        <is>
          <t>181</t>
        </is>
      </c>
      <c r="B182" s="19" t="inlineStr">
        <is>
          <t>IA-PPWR-TF-ST-072-STD-10-R00</t>
        </is>
      </c>
      <c r="C182" t="inlineStr">
        <is>
          <t>Technical File — ST-072-STD-10</t>
        </is>
      </c>
      <c r="D182" s="19" t="n"/>
      <c r="E182" s="19" t="inlineStr">
        <is>
          <t>181</t>
        </is>
      </c>
      <c r="F182" s="19" t="n"/>
      <c r="G182" t="n">
        <v>0</v>
      </c>
      <c r="J182" t="inlineStr">
        <is>
          <t>REV00 CURRENT EVIDENCE BASIS — ARTICLE 5 ASSESSMENT BASIS</t>
        </is>
      </c>
      <c r="K182" t="inlineStr">
        <is>
          <t>PENDING – DRAWINGS / PHOTOGRAPHS</t>
        </is>
      </c>
      <c r="L182" s="19" t="inlineStr">
        <is>
          <t>1</t>
        </is>
      </c>
      <c r="M182" s="19" t="inlineStr">
        <is>
          <t>2</t>
        </is>
      </c>
      <c r="N182" t="inlineStr">
        <is>
          <t>2026-08-08</t>
        </is>
      </c>
      <c r="P182" t="inlineStr">
        <is>
          <t>Rev.00 Word technical file generated — see DOCUMENT_LIBRARY.FILE_URI; drawings/photos may remain PENDING</t>
        </is>
      </c>
      <c r="Q182" t="inlineStr">
        <is>
          <t>2026-08-10T19:29:54Z</t>
        </is>
      </c>
      <c r="R182" t="inlineStr">
        <is>
          <t>2026-08-10T19:29:54Z</t>
        </is>
      </c>
    </row>
    <row r="183">
      <c r="A183" s="19" t="inlineStr">
        <is>
          <t>182</t>
        </is>
      </c>
      <c r="B183" s="19" t="inlineStr">
        <is>
          <t>IA-PPWR-TF-ST-072-STD-11-R00</t>
        </is>
      </c>
      <c r="C183" t="inlineStr">
        <is>
          <t>Technical File — ST-072-STD-11</t>
        </is>
      </c>
      <c r="D183" s="19" t="n"/>
      <c r="E183" s="19" t="inlineStr">
        <is>
          <t>182</t>
        </is>
      </c>
      <c r="F183" s="19" t="n"/>
      <c r="G183" t="n">
        <v>0</v>
      </c>
      <c r="J183" t="inlineStr">
        <is>
          <t>REV00 CURRENT EVIDENCE BASIS — ARTICLE 5 ASSESSMENT BASIS</t>
        </is>
      </c>
      <c r="K183" t="inlineStr">
        <is>
          <t>PENDING – DRAWINGS / PHOTOGRAPHS</t>
        </is>
      </c>
      <c r="L183" s="19" t="inlineStr">
        <is>
          <t>1</t>
        </is>
      </c>
      <c r="M183" s="19" t="inlineStr">
        <is>
          <t>2</t>
        </is>
      </c>
      <c r="N183" t="inlineStr">
        <is>
          <t>2026-08-08</t>
        </is>
      </c>
      <c r="P183" t="inlineStr">
        <is>
          <t>Rev.00 Word technical file generated — see DOCUMENT_LIBRARY.FILE_URI; drawings/photos may remain PENDING</t>
        </is>
      </c>
      <c r="Q183" t="inlineStr">
        <is>
          <t>2026-08-10T19:29:54Z</t>
        </is>
      </c>
      <c r="R183" t="inlineStr">
        <is>
          <t>2026-08-10T19:29:54Z</t>
        </is>
      </c>
    </row>
    <row r="184">
      <c r="A184" s="19" t="inlineStr">
        <is>
          <t>183</t>
        </is>
      </c>
      <c r="B184" s="19" t="inlineStr">
        <is>
          <t>IA-PPWR-TF-ST-072-STD-12-R00</t>
        </is>
      </c>
      <c r="C184" t="inlineStr">
        <is>
          <t>Technical File — ST-072-STD-12</t>
        </is>
      </c>
      <c r="D184" s="19" t="n"/>
      <c r="E184" s="19" t="inlineStr">
        <is>
          <t>183</t>
        </is>
      </c>
      <c r="F184" s="19" t="n"/>
      <c r="G184" t="n">
        <v>0</v>
      </c>
      <c r="J184" t="inlineStr">
        <is>
          <t>REV00 CURRENT EVIDENCE BASIS — ARTICLE 5 ASSESSMENT BASIS</t>
        </is>
      </c>
      <c r="K184" t="inlineStr">
        <is>
          <t>PENDING – DRAWINGS / PHOTOGRAPHS</t>
        </is>
      </c>
      <c r="L184" s="19" t="inlineStr">
        <is>
          <t>1</t>
        </is>
      </c>
      <c r="M184" s="19" t="inlineStr">
        <is>
          <t>2</t>
        </is>
      </c>
      <c r="N184" t="inlineStr">
        <is>
          <t>2026-08-08</t>
        </is>
      </c>
      <c r="P184" t="inlineStr">
        <is>
          <t>Rev.00 Word technical file generated — see DOCUMENT_LIBRARY.FILE_URI; drawings/photos may remain PENDING</t>
        </is>
      </c>
      <c r="Q184" t="inlineStr">
        <is>
          <t>2026-08-10T19:29:54Z</t>
        </is>
      </c>
      <c r="R184" t="inlineStr">
        <is>
          <t>2026-08-10T19:29:54Z</t>
        </is>
      </c>
    </row>
    <row r="185">
      <c r="A185" s="19" t="inlineStr">
        <is>
          <t>184</t>
        </is>
      </c>
      <c r="B185" s="19" t="inlineStr">
        <is>
          <t>IA-PPWR-TF-ST-072-STD-13-R00</t>
        </is>
      </c>
      <c r="C185" t="inlineStr">
        <is>
          <t>Technical File — ST-072-STD-13</t>
        </is>
      </c>
      <c r="D185" s="19" t="n"/>
      <c r="E185" s="19" t="inlineStr">
        <is>
          <t>184</t>
        </is>
      </c>
      <c r="F185" s="19" t="n"/>
      <c r="G185" t="n">
        <v>0</v>
      </c>
      <c r="J185" t="inlineStr">
        <is>
          <t>REV00 CURRENT EVIDENCE BASIS — ARTICLE 5 ASSESSMENT BASIS</t>
        </is>
      </c>
      <c r="K185" t="inlineStr">
        <is>
          <t>PENDING – DRAWINGS / PHOTOGRAPHS</t>
        </is>
      </c>
      <c r="L185" s="19" t="inlineStr">
        <is>
          <t>1</t>
        </is>
      </c>
      <c r="M185" s="19" t="inlineStr">
        <is>
          <t>2</t>
        </is>
      </c>
      <c r="N185" t="inlineStr">
        <is>
          <t>2026-08-08</t>
        </is>
      </c>
      <c r="P185" t="inlineStr">
        <is>
          <t>Rev.00 Word technical file generated — see DOCUMENT_LIBRARY.FILE_URI; drawings/photos may remain PENDING</t>
        </is>
      </c>
      <c r="Q185" t="inlineStr">
        <is>
          <t>2026-08-10T19:29:54Z</t>
        </is>
      </c>
      <c r="R185" t="inlineStr">
        <is>
          <t>2026-08-10T19:29:54Z</t>
        </is>
      </c>
    </row>
    <row r="186">
      <c r="A186" s="19" t="inlineStr">
        <is>
          <t>185</t>
        </is>
      </c>
      <c r="B186" s="19" t="inlineStr">
        <is>
          <t>IA-PPWR-TF-ST-072-STD-14-R00</t>
        </is>
      </c>
      <c r="C186" t="inlineStr">
        <is>
          <t>Technical File — ST-072-STD-14</t>
        </is>
      </c>
      <c r="D186" s="19" t="n"/>
      <c r="E186" s="19" t="inlineStr">
        <is>
          <t>185</t>
        </is>
      </c>
      <c r="F186" s="19" t="n"/>
      <c r="G186" t="n">
        <v>0</v>
      </c>
      <c r="J186" t="inlineStr">
        <is>
          <t>REV00 CURRENT EVIDENCE BASIS — ARTICLE 5 ASSESSMENT BASIS</t>
        </is>
      </c>
      <c r="K186" t="inlineStr">
        <is>
          <t>PENDING – DRAWINGS / PHOTOGRAPHS</t>
        </is>
      </c>
      <c r="L186" s="19" t="inlineStr">
        <is>
          <t>1</t>
        </is>
      </c>
      <c r="M186" s="19" t="inlineStr">
        <is>
          <t>2</t>
        </is>
      </c>
      <c r="N186" t="inlineStr">
        <is>
          <t>2026-08-08</t>
        </is>
      </c>
      <c r="P186" t="inlineStr">
        <is>
          <t>Rev.00 Word technical file generated — see DOCUMENT_LIBRARY.FILE_URI; drawings/photos may remain PENDING</t>
        </is>
      </c>
      <c r="Q186" t="inlineStr">
        <is>
          <t>2026-08-10T19:29:54Z</t>
        </is>
      </c>
      <c r="R186" t="inlineStr">
        <is>
          <t>2026-08-10T19:29:54Z</t>
        </is>
      </c>
    </row>
    <row r="187">
      <c r="A187" s="19" t="inlineStr">
        <is>
          <t>186</t>
        </is>
      </c>
      <c r="B187" s="19" t="inlineStr">
        <is>
          <t>IA-PPWR-TF-ST-072-STD-15-R00</t>
        </is>
      </c>
      <c r="C187" t="inlineStr">
        <is>
          <t>Technical File — ST-072-STD-15</t>
        </is>
      </c>
      <c r="D187" s="19" t="n"/>
      <c r="E187" s="19" t="inlineStr">
        <is>
          <t>186</t>
        </is>
      </c>
      <c r="F187" s="19" t="n"/>
      <c r="G187" t="n">
        <v>0</v>
      </c>
      <c r="J187" t="inlineStr">
        <is>
          <t>REV00 CURRENT EVIDENCE BASIS — ARTICLE 5 ASSESSMENT BASIS</t>
        </is>
      </c>
      <c r="K187" t="inlineStr">
        <is>
          <t>PENDING – DRAWINGS / PHOTOGRAPHS</t>
        </is>
      </c>
      <c r="L187" s="19" t="inlineStr">
        <is>
          <t>1</t>
        </is>
      </c>
      <c r="M187" s="19" t="inlineStr">
        <is>
          <t>2</t>
        </is>
      </c>
      <c r="N187" t="inlineStr">
        <is>
          <t>2026-08-08</t>
        </is>
      </c>
      <c r="P187" t="inlineStr">
        <is>
          <t>Rev.00 Word technical file generated — see DOCUMENT_LIBRARY.FILE_URI; drawings/photos may remain PENDING</t>
        </is>
      </c>
      <c r="Q187" t="inlineStr">
        <is>
          <t>2026-08-10T19:29:54Z</t>
        </is>
      </c>
      <c r="R187" t="inlineStr">
        <is>
          <t>2026-08-10T19:29:54Z</t>
        </is>
      </c>
    </row>
    <row r="188">
      <c r="A188" s="19" t="inlineStr">
        <is>
          <t>187</t>
        </is>
      </c>
      <c r="B188" s="19" t="inlineStr">
        <is>
          <t>IA-PPWR-TF-ST-072-STD-16-R00</t>
        </is>
      </c>
      <c r="C188" t="inlineStr">
        <is>
          <t>Technical File — ST-072-STD-16</t>
        </is>
      </c>
      <c r="D188" s="19" t="n"/>
      <c r="E188" s="19" t="inlineStr">
        <is>
          <t>187</t>
        </is>
      </c>
      <c r="F188" s="19" t="n"/>
      <c r="G188" t="n">
        <v>0</v>
      </c>
      <c r="J188" t="inlineStr">
        <is>
          <t>REV00 CURRENT EVIDENCE BASIS — ARTICLE 5 ASSESSMENT BASIS</t>
        </is>
      </c>
      <c r="K188" t="inlineStr">
        <is>
          <t>PENDING – DRAWINGS / PHOTOGRAPHS</t>
        </is>
      </c>
      <c r="L188" s="19" t="inlineStr">
        <is>
          <t>1</t>
        </is>
      </c>
      <c r="M188" s="19" t="inlineStr">
        <is>
          <t>2</t>
        </is>
      </c>
      <c r="N188" t="inlineStr">
        <is>
          <t>2026-08-08</t>
        </is>
      </c>
      <c r="P188" t="inlineStr">
        <is>
          <t>Rev.00 Word technical file generated — see DOCUMENT_LIBRARY.FILE_URI; drawings/photos may remain PENDING</t>
        </is>
      </c>
      <c r="Q188" t="inlineStr">
        <is>
          <t>2026-08-10T19:29:54Z</t>
        </is>
      </c>
      <c r="R188" t="inlineStr">
        <is>
          <t>2026-08-10T19:29:54Z</t>
        </is>
      </c>
    </row>
    <row r="189">
      <c r="A189" s="19" t="inlineStr">
        <is>
          <t>188</t>
        </is>
      </c>
      <c r="B189" s="19" t="inlineStr">
        <is>
          <t>IA-PPWR-TF-ST-072-STD-17-R00</t>
        </is>
      </c>
      <c r="C189" t="inlineStr">
        <is>
          <t>Technical File — ST-072-STD-17</t>
        </is>
      </c>
      <c r="D189" s="19" t="n"/>
      <c r="E189" s="19" t="inlineStr">
        <is>
          <t>188</t>
        </is>
      </c>
      <c r="F189" s="19" t="n"/>
      <c r="G189" t="n">
        <v>0</v>
      </c>
      <c r="J189" t="inlineStr">
        <is>
          <t>REV00 CURRENT EVIDENCE BASIS — ARTICLE 5 ASSESSMENT BASIS</t>
        </is>
      </c>
      <c r="K189" t="inlineStr">
        <is>
          <t>PENDING – DRAWINGS / PHOTOGRAPHS</t>
        </is>
      </c>
      <c r="L189" s="19" t="inlineStr">
        <is>
          <t>1</t>
        </is>
      </c>
      <c r="M189" s="19" t="inlineStr">
        <is>
          <t>2</t>
        </is>
      </c>
      <c r="N189" t="inlineStr">
        <is>
          <t>2026-08-08</t>
        </is>
      </c>
      <c r="P189" t="inlineStr">
        <is>
          <t>Rev.00 Word technical file generated — see DOCUMENT_LIBRARY.FILE_URI; drawings/photos may remain PENDING</t>
        </is>
      </c>
      <c r="Q189" t="inlineStr">
        <is>
          <t>2026-08-10T19:29:54Z</t>
        </is>
      </c>
      <c r="R189" t="inlineStr">
        <is>
          <t>2026-08-10T19:29:54Z</t>
        </is>
      </c>
    </row>
    <row r="190">
      <c r="A190" s="19" t="inlineStr">
        <is>
          <t>189</t>
        </is>
      </c>
      <c r="B190" s="19" t="inlineStr">
        <is>
          <t>IA-PPWR-TF-ST-072-STD-18-R00</t>
        </is>
      </c>
      <c r="C190" t="inlineStr">
        <is>
          <t>Technical File — ST-072-STD-18</t>
        </is>
      </c>
      <c r="D190" s="19" t="n"/>
      <c r="E190" s="19" t="inlineStr">
        <is>
          <t>189</t>
        </is>
      </c>
      <c r="F190" s="19" t="n"/>
      <c r="G190" t="n">
        <v>0</v>
      </c>
      <c r="J190" t="inlineStr">
        <is>
          <t>REV00 CURRENT EVIDENCE BASIS — ARTICLE 5 ASSESSMENT BASIS</t>
        </is>
      </c>
      <c r="K190" t="inlineStr">
        <is>
          <t>PENDING – DRAWINGS / PHOTOGRAPHS</t>
        </is>
      </c>
      <c r="L190" s="19" t="inlineStr">
        <is>
          <t>1</t>
        </is>
      </c>
      <c r="M190" s="19" t="inlineStr">
        <is>
          <t>2</t>
        </is>
      </c>
      <c r="N190" t="inlineStr">
        <is>
          <t>2026-08-08</t>
        </is>
      </c>
      <c r="P190" t="inlineStr">
        <is>
          <t>Rev.00 Word technical file generated — see DOCUMENT_LIBRARY.FILE_URI; drawings/photos may remain PENDING</t>
        </is>
      </c>
      <c r="Q190" t="inlineStr">
        <is>
          <t>2026-08-10T19:29:54Z</t>
        </is>
      </c>
      <c r="R190" t="inlineStr">
        <is>
          <t>2026-08-10T19:29:54Z</t>
        </is>
      </c>
    </row>
    <row r="191">
      <c r="A191" s="19" t="inlineStr">
        <is>
          <t>190</t>
        </is>
      </c>
      <c r="B191" s="19" t="inlineStr">
        <is>
          <t>IA-PPWR-TF-ST-072-STD-19-R00</t>
        </is>
      </c>
      <c r="C191" t="inlineStr">
        <is>
          <t>Technical File — ST-072-STD-19</t>
        </is>
      </c>
      <c r="D191" s="19" t="n"/>
      <c r="E191" s="19" t="inlineStr">
        <is>
          <t>190</t>
        </is>
      </c>
      <c r="F191" s="19" t="n"/>
      <c r="G191" t="n">
        <v>0</v>
      </c>
      <c r="J191" t="inlineStr">
        <is>
          <t>REV00 CURRENT EVIDENCE BASIS — ARTICLE 5 ASSESSMENT BASIS</t>
        </is>
      </c>
      <c r="K191" t="inlineStr">
        <is>
          <t>PENDING – DRAWINGS / PHOTOGRAPHS</t>
        </is>
      </c>
      <c r="L191" s="19" t="inlineStr">
        <is>
          <t>1</t>
        </is>
      </c>
      <c r="M191" s="19" t="inlineStr">
        <is>
          <t>2</t>
        </is>
      </c>
      <c r="N191" t="inlineStr">
        <is>
          <t>2026-08-08</t>
        </is>
      </c>
      <c r="P191" t="inlineStr">
        <is>
          <t>Rev.00 Word technical file generated — see DOCUMENT_LIBRARY.FILE_URI; drawings/photos may remain PENDING</t>
        </is>
      </c>
      <c r="Q191" t="inlineStr">
        <is>
          <t>2026-08-10T19:29:54Z</t>
        </is>
      </c>
      <c r="R191" t="inlineStr">
        <is>
          <t>2026-08-10T19:29:54Z</t>
        </is>
      </c>
    </row>
    <row r="192">
      <c r="A192" s="19" t="inlineStr">
        <is>
          <t>191</t>
        </is>
      </c>
      <c r="B192" s="19" t="inlineStr">
        <is>
          <t>IA-PPWR-TF-ST-072-STD-20-R00</t>
        </is>
      </c>
      <c r="C192" t="inlineStr">
        <is>
          <t>Technical File — ST-072-STD-20</t>
        </is>
      </c>
      <c r="D192" s="19" t="n"/>
      <c r="E192" s="19" t="inlineStr">
        <is>
          <t>191</t>
        </is>
      </c>
      <c r="F192" s="19" t="n"/>
      <c r="G192" t="n">
        <v>0</v>
      </c>
      <c r="J192" t="inlineStr">
        <is>
          <t>REV00 CURRENT EVIDENCE BASIS — ARTICLE 5 ASSESSMENT BASIS</t>
        </is>
      </c>
      <c r="K192" t="inlineStr">
        <is>
          <t>PENDING – DRAWINGS / PHOTOGRAPHS</t>
        </is>
      </c>
      <c r="L192" s="19" t="inlineStr">
        <is>
          <t>1</t>
        </is>
      </c>
      <c r="M192" s="19" t="inlineStr">
        <is>
          <t>2</t>
        </is>
      </c>
      <c r="N192" t="inlineStr">
        <is>
          <t>2026-08-08</t>
        </is>
      </c>
      <c r="P192" t="inlineStr">
        <is>
          <t>Rev.00 Word technical file generated — see DOCUMENT_LIBRARY.FILE_URI; drawings/photos may remain PENDING</t>
        </is>
      </c>
      <c r="Q192" t="inlineStr">
        <is>
          <t>2026-08-10T19:29:54Z</t>
        </is>
      </c>
      <c r="R192" t="inlineStr">
        <is>
          <t>2026-08-10T19:29:54Z</t>
        </is>
      </c>
    </row>
    <row r="193">
      <c r="A193" s="19" t="inlineStr">
        <is>
          <t>192</t>
        </is>
      </c>
      <c r="B193" s="19" t="inlineStr">
        <is>
          <t>IA-PPWR-TF-ST-072-STD-21-R00</t>
        </is>
      </c>
      <c r="C193" t="inlineStr">
        <is>
          <t>Technical File — ST-072-STD-21</t>
        </is>
      </c>
      <c r="D193" s="19" t="n"/>
      <c r="E193" s="19" t="inlineStr">
        <is>
          <t>192</t>
        </is>
      </c>
      <c r="F193" s="19" t="n"/>
      <c r="G193" t="n">
        <v>0</v>
      </c>
      <c r="J193" t="inlineStr">
        <is>
          <t>REV00 CURRENT EVIDENCE BASIS — ARTICLE 5 ASSESSMENT BASIS</t>
        </is>
      </c>
      <c r="K193" t="inlineStr">
        <is>
          <t>PENDING – DRAWINGS / PHOTOGRAPHS</t>
        </is>
      </c>
      <c r="L193" s="19" t="inlineStr">
        <is>
          <t>1</t>
        </is>
      </c>
      <c r="M193" s="19" t="inlineStr">
        <is>
          <t>2</t>
        </is>
      </c>
      <c r="N193" t="inlineStr">
        <is>
          <t>2026-08-08</t>
        </is>
      </c>
      <c r="P193" t="inlineStr">
        <is>
          <t>Rev.00 Word technical file generated — see DOCUMENT_LIBRARY.FILE_URI; drawings/photos may remain PENDING</t>
        </is>
      </c>
      <c r="Q193" t="inlineStr">
        <is>
          <t>2026-08-10T19:29:54Z</t>
        </is>
      </c>
      <c r="R193" t="inlineStr">
        <is>
          <t>2026-08-10T19:29:54Z</t>
        </is>
      </c>
    </row>
    <row r="194">
      <c r="A194" s="19" t="inlineStr">
        <is>
          <t>193</t>
        </is>
      </c>
      <c r="B194" s="19" t="inlineStr">
        <is>
          <t>IA-PPWR-TF-ST-072-STD-22-R00</t>
        </is>
      </c>
      <c r="C194" t="inlineStr">
        <is>
          <t>Technical File — ST-072-STD-22</t>
        </is>
      </c>
      <c r="D194" s="19" t="n"/>
      <c r="E194" s="19" t="inlineStr">
        <is>
          <t>193</t>
        </is>
      </c>
      <c r="F194" s="19" t="n"/>
      <c r="G194" t="n">
        <v>0</v>
      </c>
      <c r="J194" t="inlineStr">
        <is>
          <t>REV00 CURRENT EVIDENCE BASIS — ARTICLE 5 ASSESSMENT BASIS</t>
        </is>
      </c>
      <c r="K194" t="inlineStr">
        <is>
          <t>PENDING – DRAWINGS / PHOTOGRAPHS</t>
        </is>
      </c>
      <c r="L194" s="19" t="inlineStr">
        <is>
          <t>1</t>
        </is>
      </c>
      <c r="M194" s="19" t="inlineStr">
        <is>
          <t>2</t>
        </is>
      </c>
      <c r="N194" t="inlineStr">
        <is>
          <t>2026-08-08</t>
        </is>
      </c>
      <c r="P194" t="inlineStr">
        <is>
          <t>Rev.00 Word technical file generated — see DOCUMENT_LIBRARY.FILE_URI; drawings/photos may remain PENDING</t>
        </is>
      </c>
      <c r="Q194" t="inlineStr">
        <is>
          <t>2026-08-10T19:29:54Z</t>
        </is>
      </c>
      <c r="R194" t="inlineStr">
        <is>
          <t>2026-08-10T19:29:54Z</t>
        </is>
      </c>
    </row>
    <row r="195">
      <c r="A195" s="19" t="inlineStr">
        <is>
          <t>194</t>
        </is>
      </c>
      <c r="B195" s="19" t="inlineStr">
        <is>
          <t>IA-PPWR-TF-ST-072-STD-23-R00</t>
        </is>
      </c>
      <c r="C195" t="inlineStr">
        <is>
          <t>Technical File — ST-072-STD-23</t>
        </is>
      </c>
      <c r="D195" s="19" t="n"/>
      <c r="E195" s="19" t="inlineStr">
        <is>
          <t>194</t>
        </is>
      </c>
      <c r="F195" s="19" t="n"/>
      <c r="G195" t="n">
        <v>0</v>
      </c>
      <c r="J195" t="inlineStr">
        <is>
          <t>REV00 CURRENT EVIDENCE BASIS — ARTICLE 5 ASSESSMENT BASIS</t>
        </is>
      </c>
      <c r="K195" t="inlineStr">
        <is>
          <t>PENDING – DRAWINGS / PHOTOGRAPHS</t>
        </is>
      </c>
      <c r="L195" s="19" t="inlineStr">
        <is>
          <t>1</t>
        </is>
      </c>
      <c r="M195" s="19" t="inlineStr">
        <is>
          <t>2</t>
        </is>
      </c>
      <c r="N195" t="inlineStr">
        <is>
          <t>2026-08-08</t>
        </is>
      </c>
      <c r="P195" t="inlineStr">
        <is>
          <t>Rev.00 Word technical file generated — see DOCUMENT_LIBRARY.FILE_URI; drawings/photos may remain PENDING</t>
        </is>
      </c>
      <c r="Q195" t="inlineStr">
        <is>
          <t>2026-08-10T19:29:54Z</t>
        </is>
      </c>
      <c r="R195" t="inlineStr">
        <is>
          <t>2026-08-10T19:29:54Z</t>
        </is>
      </c>
    </row>
    <row r="196">
      <c r="A196" s="19" t="inlineStr">
        <is>
          <t>195</t>
        </is>
      </c>
      <c r="B196" s="19" t="inlineStr">
        <is>
          <t>IA-PPWR-TF-ST-072-STD-24-R00</t>
        </is>
      </c>
      <c r="C196" t="inlineStr">
        <is>
          <t>Technical File — ST-072-STD-24</t>
        </is>
      </c>
      <c r="D196" s="19" t="n"/>
      <c r="E196" s="19" t="inlineStr">
        <is>
          <t>195</t>
        </is>
      </c>
      <c r="F196" s="19" t="n"/>
      <c r="G196" t="n">
        <v>0</v>
      </c>
      <c r="J196" t="inlineStr">
        <is>
          <t>REV00 CURRENT EVIDENCE BASIS — ARTICLE 5 ASSESSMENT BASIS</t>
        </is>
      </c>
      <c r="K196" t="inlineStr">
        <is>
          <t>PENDING – DRAWINGS / PHOTOGRAPHS</t>
        </is>
      </c>
      <c r="L196" s="19" t="inlineStr">
        <is>
          <t>1</t>
        </is>
      </c>
      <c r="M196" s="19" t="inlineStr">
        <is>
          <t>2</t>
        </is>
      </c>
      <c r="N196" t="inlineStr">
        <is>
          <t>2026-08-08</t>
        </is>
      </c>
      <c r="P196" t="inlineStr">
        <is>
          <t>Rev.00 Word technical file generated — see DOCUMENT_LIBRARY.FILE_URI; drawings/photos may remain PENDING</t>
        </is>
      </c>
      <c r="Q196" t="inlineStr">
        <is>
          <t>2026-08-10T19:29:54Z</t>
        </is>
      </c>
      <c r="R196" t="inlineStr">
        <is>
          <t>2026-08-10T19:29:54Z</t>
        </is>
      </c>
    </row>
    <row r="197">
      <c r="A197" s="19" t="inlineStr">
        <is>
          <t>196</t>
        </is>
      </c>
      <c r="B197" s="19" t="inlineStr">
        <is>
          <t>IA-PPWR-TF-ST-072-STD-25-R00</t>
        </is>
      </c>
      <c r="C197" t="inlineStr">
        <is>
          <t>Technical File — ST-072-STD-25</t>
        </is>
      </c>
      <c r="D197" s="19" t="n"/>
      <c r="E197" s="19" t="inlineStr">
        <is>
          <t>196</t>
        </is>
      </c>
      <c r="F197" s="19" t="n"/>
      <c r="G197" t="n">
        <v>0</v>
      </c>
      <c r="J197" t="inlineStr">
        <is>
          <t>REV00 CURRENT EVIDENCE BASIS — ARTICLE 5 ASSESSMENT BASIS</t>
        </is>
      </c>
      <c r="K197" t="inlineStr">
        <is>
          <t>PENDING – DRAWINGS / PHOTOGRAPHS</t>
        </is>
      </c>
      <c r="L197" s="19" t="inlineStr">
        <is>
          <t>1</t>
        </is>
      </c>
      <c r="M197" s="19" t="inlineStr">
        <is>
          <t>2</t>
        </is>
      </c>
      <c r="N197" t="inlineStr">
        <is>
          <t>2026-08-08</t>
        </is>
      </c>
      <c r="P197" t="inlineStr">
        <is>
          <t>Rev.00 Word technical file generated — see DOCUMENT_LIBRARY.FILE_URI; drawings/photos may remain PENDING</t>
        </is>
      </c>
      <c r="Q197" t="inlineStr">
        <is>
          <t>2026-08-10T19:29:54Z</t>
        </is>
      </c>
      <c r="R197" t="inlineStr">
        <is>
          <t>2026-08-10T19:29:54Z</t>
        </is>
      </c>
    </row>
    <row r="198">
      <c r="A198" s="19" t="inlineStr">
        <is>
          <t>197</t>
        </is>
      </c>
      <c r="B198" s="19" t="inlineStr">
        <is>
          <t>IA-PPWR-TF-ST-076-EUR-01-R00</t>
        </is>
      </c>
      <c r="C198" t="inlineStr">
        <is>
          <t>Technical File — ST-076-EUR-01</t>
        </is>
      </c>
      <c r="D198" s="19" t="n"/>
      <c r="E198" s="19" t="inlineStr">
        <is>
          <t>197</t>
        </is>
      </c>
      <c r="F198" s="19" t="n"/>
      <c r="G198" t="n">
        <v>0</v>
      </c>
      <c r="J198" t="inlineStr">
        <is>
          <t>REV00 CURRENT EVIDENCE BASIS — ARTICLE 5 ASSESSMENT BASIS</t>
        </is>
      </c>
      <c r="K198" t="inlineStr">
        <is>
          <t>PENDING – DRAWINGS / PHOTOGRAPHS</t>
        </is>
      </c>
      <c r="L198" s="19" t="inlineStr">
        <is>
          <t>1</t>
        </is>
      </c>
      <c r="M198" s="19" t="inlineStr">
        <is>
          <t>2</t>
        </is>
      </c>
      <c r="N198" t="inlineStr">
        <is>
          <t>2026-08-08</t>
        </is>
      </c>
      <c r="P198" t="inlineStr">
        <is>
          <t>Rev.00 Word technical file generated — see DOCUMENT_LIBRARY.FILE_URI; drawings/photos may remain PENDING</t>
        </is>
      </c>
      <c r="Q198" t="inlineStr">
        <is>
          <t>2026-08-10T19:29:54Z</t>
        </is>
      </c>
      <c r="R198" t="inlineStr">
        <is>
          <t>2026-08-10T19:29:54Z</t>
        </is>
      </c>
    </row>
    <row r="199">
      <c r="A199" s="19" t="inlineStr">
        <is>
          <t>198</t>
        </is>
      </c>
      <c r="B199" s="19" t="inlineStr">
        <is>
          <t>IA-PPWR-TF-ST-076-EUR-02-R00</t>
        </is>
      </c>
      <c r="C199" t="inlineStr">
        <is>
          <t>Technical File — ST-076-EUR-02</t>
        </is>
      </c>
      <c r="D199" s="19" t="n"/>
      <c r="E199" s="19" t="inlineStr">
        <is>
          <t>198</t>
        </is>
      </c>
      <c r="F199" s="19" t="n"/>
      <c r="G199" t="n">
        <v>0</v>
      </c>
      <c r="J199" t="inlineStr">
        <is>
          <t>REV00 CURRENT EVIDENCE BASIS — ARTICLE 5 ASSESSMENT BASIS</t>
        </is>
      </c>
      <c r="K199" t="inlineStr">
        <is>
          <t>PENDING – DRAWINGS / PHOTOGRAPHS</t>
        </is>
      </c>
      <c r="L199" s="19" t="inlineStr">
        <is>
          <t>1</t>
        </is>
      </c>
      <c r="M199" s="19" t="inlineStr">
        <is>
          <t>2</t>
        </is>
      </c>
      <c r="N199" t="inlineStr">
        <is>
          <t>2026-08-08</t>
        </is>
      </c>
      <c r="P199" t="inlineStr">
        <is>
          <t>Rev.00 Word technical file generated — see DOCUMENT_LIBRARY.FILE_URI; drawings/photos may remain PENDING</t>
        </is>
      </c>
      <c r="Q199" t="inlineStr">
        <is>
          <t>2026-08-10T19:29:54Z</t>
        </is>
      </c>
      <c r="R199" t="inlineStr">
        <is>
          <t>2026-08-10T19:29:54Z</t>
        </is>
      </c>
    </row>
    <row r="200">
      <c r="A200" s="19" t="inlineStr">
        <is>
          <t>199</t>
        </is>
      </c>
      <c r="B200" s="19" t="inlineStr">
        <is>
          <t>IA-PPWR-TF-ST-076-EUR-03-R00</t>
        </is>
      </c>
      <c r="C200" t="inlineStr">
        <is>
          <t>Technical File — ST-076-EUR-03</t>
        </is>
      </c>
      <c r="D200" s="19" t="n"/>
      <c r="E200" s="19" t="inlineStr">
        <is>
          <t>199</t>
        </is>
      </c>
      <c r="F200" s="19" t="n"/>
      <c r="G200" t="n">
        <v>0</v>
      </c>
      <c r="J200" t="inlineStr">
        <is>
          <t>REV00 CURRENT EVIDENCE BASIS — ARTICLE 5 ASSESSMENT BASIS</t>
        </is>
      </c>
      <c r="K200" t="inlineStr">
        <is>
          <t>PENDING – DRAWINGS / PHOTOGRAPHS</t>
        </is>
      </c>
      <c r="L200" s="19" t="inlineStr">
        <is>
          <t>1</t>
        </is>
      </c>
      <c r="M200" s="19" t="inlineStr">
        <is>
          <t>2</t>
        </is>
      </c>
      <c r="N200" t="inlineStr">
        <is>
          <t>2026-08-08</t>
        </is>
      </c>
      <c r="P200" t="inlineStr">
        <is>
          <t>Rev.00 Word technical file generated — see DOCUMENT_LIBRARY.FILE_URI; drawings/photos may remain PENDING</t>
        </is>
      </c>
      <c r="Q200" t="inlineStr">
        <is>
          <t>2026-08-10T19:29:54Z</t>
        </is>
      </c>
      <c r="R200" t="inlineStr">
        <is>
          <t>2026-08-10T19:29:54Z</t>
        </is>
      </c>
    </row>
    <row r="201">
      <c r="A201" s="19" t="inlineStr">
        <is>
          <t>200</t>
        </is>
      </c>
      <c r="B201" s="19" t="inlineStr">
        <is>
          <t>IA-PPWR-TF-ST-076-EUR-04-R00</t>
        </is>
      </c>
      <c r="C201" t="inlineStr">
        <is>
          <t>Technical File — ST-076-EUR-04</t>
        </is>
      </c>
      <c r="D201" s="19" t="n"/>
      <c r="E201" s="19" t="inlineStr">
        <is>
          <t>200</t>
        </is>
      </c>
      <c r="F201" s="19" t="n"/>
      <c r="G201" t="n">
        <v>0</v>
      </c>
      <c r="J201" t="inlineStr">
        <is>
          <t>REV00 CURRENT EVIDENCE BASIS — ARTICLE 5 ASSESSMENT BASIS</t>
        </is>
      </c>
      <c r="K201" t="inlineStr">
        <is>
          <t>PENDING – DRAWINGS / PHOTOGRAPHS</t>
        </is>
      </c>
      <c r="L201" s="19" t="inlineStr">
        <is>
          <t>1</t>
        </is>
      </c>
      <c r="M201" s="19" t="inlineStr">
        <is>
          <t>2</t>
        </is>
      </c>
      <c r="N201" t="inlineStr">
        <is>
          <t>2026-08-08</t>
        </is>
      </c>
      <c r="P201" t="inlineStr">
        <is>
          <t>Rev.00 Word technical file generated — see DOCUMENT_LIBRARY.FILE_URI; drawings/photos may remain PENDING</t>
        </is>
      </c>
      <c r="Q201" t="inlineStr">
        <is>
          <t>2026-08-10T19:29:54Z</t>
        </is>
      </c>
      <c r="R201" t="inlineStr">
        <is>
          <t>2026-08-10T19:29:54Z</t>
        </is>
      </c>
    </row>
    <row r="202">
      <c r="A202" s="19" t="inlineStr">
        <is>
          <t>201</t>
        </is>
      </c>
      <c r="B202" s="19" t="inlineStr">
        <is>
          <t>IA-PPWR-TF-ST-080-EUR-01-R00</t>
        </is>
      </c>
      <c r="C202" t="inlineStr">
        <is>
          <t>Technical File — ST-080-EUR-01</t>
        </is>
      </c>
      <c r="D202" s="19" t="n"/>
      <c r="E202" s="19" t="inlineStr">
        <is>
          <t>201</t>
        </is>
      </c>
      <c r="F202" s="19" t="n"/>
      <c r="G202" t="n">
        <v>0</v>
      </c>
      <c r="J202" t="inlineStr">
        <is>
          <t>REV00 CURRENT EVIDENCE BASIS — ARTICLE 5 ASSESSMENT BASIS</t>
        </is>
      </c>
      <c r="K202" t="inlineStr">
        <is>
          <t>PENDING – DRAWINGS / PHOTOGRAPHS</t>
        </is>
      </c>
      <c r="L202" s="19" t="inlineStr">
        <is>
          <t>1</t>
        </is>
      </c>
      <c r="M202" s="19" t="inlineStr">
        <is>
          <t>2</t>
        </is>
      </c>
      <c r="N202" t="inlineStr">
        <is>
          <t>2026-08-08</t>
        </is>
      </c>
      <c r="P202" t="inlineStr">
        <is>
          <t>Rev.00 Word technical file generated — see DOCUMENT_LIBRARY.FILE_URI; drawings/photos may remain PENDING</t>
        </is>
      </c>
      <c r="Q202" t="inlineStr">
        <is>
          <t>2026-08-10T19:29:54Z</t>
        </is>
      </c>
      <c r="R202" t="inlineStr">
        <is>
          <t>2026-08-10T19:29:54Z</t>
        </is>
      </c>
    </row>
    <row r="203">
      <c r="A203" s="19" t="inlineStr">
        <is>
          <t>202</t>
        </is>
      </c>
      <c r="B203" s="19" t="inlineStr">
        <is>
          <t>IA-PPWR-TF-ST-081-EUR-01-R00</t>
        </is>
      </c>
      <c r="C203" t="inlineStr">
        <is>
          <t>Technical File — ST-081-EUR-01</t>
        </is>
      </c>
      <c r="D203" s="19" t="n"/>
      <c r="E203" s="19" t="inlineStr">
        <is>
          <t>202</t>
        </is>
      </c>
      <c r="F203" s="19" t="n"/>
      <c r="G203" t="n">
        <v>0</v>
      </c>
      <c r="J203" t="inlineStr">
        <is>
          <t>REV00 CURRENT EVIDENCE BASIS — ARTICLE 5 ASSESSMENT BASIS</t>
        </is>
      </c>
      <c r="K203" t="inlineStr">
        <is>
          <t>PENDING – DRAWINGS / PHOTOGRAPHS</t>
        </is>
      </c>
      <c r="L203" s="19" t="inlineStr">
        <is>
          <t>1</t>
        </is>
      </c>
      <c r="M203" s="19" t="inlineStr">
        <is>
          <t>2</t>
        </is>
      </c>
      <c r="N203" t="inlineStr">
        <is>
          <t>2026-08-08</t>
        </is>
      </c>
      <c r="P203" t="inlineStr">
        <is>
          <t>Rev.00 Word technical file generated — see DOCUMENT_LIBRARY.FILE_URI; drawings/photos may remain PENDING</t>
        </is>
      </c>
      <c r="Q203" t="inlineStr">
        <is>
          <t>2026-08-10T19:29:54Z</t>
        </is>
      </c>
      <c r="R203" t="inlineStr">
        <is>
          <t>2026-08-10T19:29:54Z</t>
        </is>
      </c>
    </row>
    <row r="204">
      <c r="A204" s="19" t="inlineStr">
        <is>
          <t>203</t>
        </is>
      </c>
      <c r="B204" s="19" t="inlineStr">
        <is>
          <t>IA-PPWR-TF-ST-087-EUR-01-R00</t>
        </is>
      </c>
      <c r="C204" t="inlineStr">
        <is>
          <t>Technical File — ST-087-EUR-01</t>
        </is>
      </c>
      <c r="D204" s="19" t="n"/>
      <c r="E204" s="19" t="inlineStr">
        <is>
          <t>203</t>
        </is>
      </c>
      <c r="F204" s="19" t="n"/>
      <c r="G204" t="n">
        <v>0</v>
      </c>
      <c r="J204" t="inlineStr">
        <is>
          <t>REV00 CURRENT EVIDENCE BASIS — ARTICLE 5 ASSESSMENT BASIS</t>
        </is>
      </c>
      <c r="K204" t="inlineStr">
        <is>
          <t>PENDING – DRAWINGS / PHOTOGRAPHS</t>
        </is>
      </c>
      <c r="L204" s="19" t="inlineStr">
        <is>
          <t>1</t>
        </is>
      </c>
      <c r="M204" s="19" t="inlineStr">
        <is>
          <t>2</t>
        </is>
      </c>
      <c r="N204" t="inlineStr">
        <is>
          <t>2026-08-08</t>
        </is>
      </c>
      <c r="P204" t="inlineStr">
        <is>
          <t>Rev.00 Word technical file generated — see DOCUMENT_LIBRARY.FILE_URI; drawings/photos may remain PENDING</t>
        </is>
      </c>
      <c r="Q204" t="inlineStr">
        <is>
          <t>2026-08-10T19:29:54Z</t>
        </is>
      </c>
      <c r="R204" t="inlineStr">
        <is>
          <t>2026-08-10T19:29:54Z</t>
        </is>
      </c>
    </row>
    <row r="205">
      <c r="A205" s="19" t="inlineStr">
        <is>
          <t>204</t>
        </is>
      </c>
      <c r="B205" s="19" t="inlineStr">
        <is>
          <t>IA-PPWR-TF-ST-087-STD-01-R00</t>
        </is>
      </c>
      <c r="C205" t="inlineStr">
        <is>
          <t>Technical File — ST-087-STD-01</t>
        </is>
      </c>
      <c r="D205" s="19" t="n"/>
      <c r="E205" s="19" t="inlineStr">
        <is>
          <t>204</t>
        </is>
      </c>
      <c r="F205" s="19" t="n"/>
      <c r="G205" t="n">
        <v>0</v>
      </c>
      <c r="J205" t="inlineStr">
        <is>
          <t>REV00 CURRENT EVIDENCE BASIS — ARTICLE 5 ASSESSMENT BASIS</t>
        </is>
      </c>
      <c r="K205" t="inlineStr">
        <is>
          <t>PENDING – DRAWINGS / PHOTOGRAPHS</t>
        </is>
      </c>
      <c r="L205" s="19" t="inlineStr">
        <is>
          <t>1</t>
        </is>
      </c>
      <c r="M205" s="19" t="inlineStr">
        <is>
          <t>2</t>
        </is>
      </c>
      <c r="N205" t="inlineStr">
        <is>
          <t>2026-08-08</t>
        </is>
      </c>
      <c r="P205" t="inlineStr">
        <is>
          <t>Rev.00 Word technical file generated — see DOCUMENT_LIBRARY.FILE_URI; drawings/photos may remain PENDING</t>
        </is>
      </c>
      <c r="Q205" t="inlineStr">
        <is>
          <t>2026-08-10T19:29:54Z</t>
        </is>
      </c>
      <c r="R205" t="inlineStr">
        <is>
          <t>2026-08-10T19:29:54Z</t>
        </is>
      </c>
    </row>
    <row r="206">
      <c r="A206" s="19" t="inlineStr">
        <is>
          <t>205</t>
        </is>
      </c>
      <c r="B206" s="19" t="inlineStr">
        <is>
          <t>IA-PPWR-TF-ST-087-STD-02-R00</t>
        </is>
      </c>
      <c r="C206" t="inlineStr">
        <is>
          <t>Technical File — ST-087-STD-02</t>
        </is>
      </c>
      <c r="D206" s="19" t="n"/>
      <c r="E206" s="19" t="inlineStr">
        <is>
          <t>205</t>
        </is>
      </c>
      <c r="F206" s="19" t="n"/>
      <c r="G206" t="n">
        <v>0</v>
      </c>
      <c r="J206" t="inlineStr">
        <is>
          <t>REV00 CURRENT EVIDENCE BASIS — ARTICLE 5 ASSESSMENT BASIS</t>
        </is>
      </c>
      <c r="K206" t="inlineStr">
        <is>
          <t>PENDING – DRAWINGS / PHOTOGRAPHS</t>
        </is>
      </c>
      <c r="L206" s="19" t="inlineStr">
        <is>
          <t>1</t>
        </is>
      </c>
      <c r="M206" s="19" t="inlineStr">
        <is>
          <t>2</t>
        </is>
      </c>
      <c r="N206" t="inlineStr">
        <is>
          <t>2026-08-08</t>
        </is>
      </c>
      <c r="P206" t="inlineStr">
        <is>
          <t>Rev.00 Word technical file generated — see DOCUMENT_LIBRARY.FILE_URI; drawings/photos may remain PENDING</t>
        </is>
      </c>
      <c r="Q206" t="inlineStr">
        <is>
          <t>2026-08-10T19:29:54Z</t>
        </is>
      </c>
      <c r="R206" t="inlineStr">
        <is>
          <t>2026-08-10T19:29:54Z</t>
        </is>
      </c>
    </row>
    <row r="207">
      <c r="A207" s="19" t="inlineStr">
        <is>
          <t>206</t>
        </is>
      </c>
      <c r="B207" s="19" t="inlineStr">
        <is>
          <t>IA-PPWR-TF-ST-087-STD-03-R00</t>
        </is>
      </c>
      <c r="C207" t="inlineStr">
        <is>
          <t>Technical File — ST-087-STD-03</t>
        </is>
      </c>
      <c r="D207" s="19" t="n"/>
      <c r="E207" s="19" t="inlineStr">
        <is>
          <t>206</t>
        </is>
      </c>
      <c r="F207" s="19" t="n"/>
      <c r="G207" t="n">
        <v>0</v>
      </c>
      <c r="J207" t="inlineStr">
        <is>
          <t>REV00 CURRENT EVIDENCE BASIS — ARTICLE 5 ASSESSMENT BASIS</t>
        </is>
      </c>
      <c r="K207" t="inlineStr">
        <is>
          <t>PENDING – DRAWINGS / PHOTOGRAPHS</t>
        </is>
      </c>
      <c r="L207" s="19" t="inlineStr">
        <is>
          <t>1</t>
        </is>
      </c>
      <c r="M207" s="19" t="inlineStr">
        <is>
          <t>2</t>
        </is>
      </c>
      <c r="N207" t="inlineStr">
        <is>
          <t>2026-08-08</t>
        </is>
      </c>
      <c r="P207" t="inlineStr">
        <is>
          <t>Rev.00 Word technical file generated — see DOCUMENT_LIBRARY.FILE_URI; drawings/photos may remain PENDING</t>
        </is>
      </c>
      <c r="Q207" t="inlineStr">
        <is>
          <t>2026-08-10T19:29:54Z</t>
        </is>
      </c>
      <c r="R207" t="inlineStr">
        <is>
          <t>2026-08-10T19:29:54Z</t>
        </is>
      </c>
    </row>
    <row r="208">
      <c r="A208" s="19" t="inlineStr">
        <is>
          <t>207</t>
        </is>
      </c>
      <c r="B208" s="19" t="inlineStr">
        <is>
          <t>IA-PPWR-TF-ST-087-STD-04-R00</t>
        </is>
      </c>
      <c r="C208" t="inlineStr">
        <is>
          <t>Technical File — ST-087-STD-04</t>
        </is>
      </c>
      <c r="D208" s="19" t="n"/>
      <c r="E208" s="19" t="inlineStr">
        <is>
          <t>207</t>
        </is>
      </c>
      <c r="F208" s="19" t="n"/>
      <c r="G208" t="n">
        <v>0</v>
      </c>
      <c r="J208" t="inlineStr">
        <is>
          <t>REV00 CURRENT EVIDENCE BASIS — ARTICLE 5 ASSESSMENT BASIS</t>
        </is>
      </c>
      <c r="K208" t="inlineStr">
        <is>
          <t>PENDING – DRAWINGS / PHOTOGRAPHS</t>
        </is>
      </c>
      <c r="L208" s="19" t="inlineStr">
        <is>
          <t>1</t>
        </is>
      </c>
      <c r="M208" s="19" t="inlineStr">
        <is>
          <t>2</t>
        </is>
      </c>
      <c r="N208" t="inlineStr">
        <is>
          <t>2026-08-08</t>
        </is>
      </c>
      <c r="P208" t="inlineStr">
        <is>
          <t>Rev.00 Word technical file generated — see DOCUMENT_LIBRARY.FILE_URI; drawings/photos may remain PENDING</t>
        </is>
      </c>
      <c r="Q208" t="inlineStr">
        <is>
          <t>2026-08-10T19:29:54Z</t>
        </is>
      </c>
      <c r="R208" t="inlineStr">
        <is>
          <t>2026-08-10T19:29:54Z</t>
        </is>
      </c>
    </row>
    <row r="209">
      <c r="A209" s="19" t="inlineStr">
        <is>
          <t>208</t>
        </is>
      </c>
      <c r="B209" s="19" t="inlineStr">
        <is>
          <t>IA-PPWR-TF-ST-087-STD-05-R00</t>
        </is>
      </c>
      <c r="C209" t="inlineStr">
        <is>
          <t>Technical File — ST-087-STD-05</t>
        </is>
      </c>
      <c r="D209" s="19" t="n"/>
      <c r="E209" s="19" t="inlineStr">
        <is>
          <t>208</t>
        </is>
      </c>
      <c r="F209" s="19" t="n"/>
      <c r="G209" t="n">
        <v>0</v>
      </c>
      <c r="J209" t="inlineStr">
        <is>
          <t>REV00 CURRENT EVIDENCE BASIS — ARTICLE 5 ASSESSMENT BASIS</t>
        </is>
      </c>
      <c r="K209" t="inlineStr">
        <is>
          <t>PENDING – DRAWINGS / PHOTOGRAPHS</t>
        </is>
      </c>
      <c r="L209" s="19" t="inlineStr">
        <is>
          <t>1</t>
        </is>
      </c>
      <c r="M209" s="19" t="inlineStr">
        <is>
          <t>2</t>
        </is>
      </c>
      <c r="N209" t="inlineStr">
        <is>
          <t>2026-08-08</t>
        </is>
      </c>
      <c r="P209" t="inlineStr">
        <is>
          <t>Rev.00 Word technical file generated — see DOCUMENT_LIBRARY.FILE_URI; drawings/photos may remain PENDING</t>
        </is>
      </c>
      <c r="Q209" t="inlineStr">
        <is>
          <t>2026-08-10T19:29:54Z</t>
        </is>
      </c>
      <c r="R209" t="inlineStr">
        <is>
          <t>2026-08-10T19:29:54Z</t>
        </is>
      </c>
    </row>
    <row r="210">
      <c r="A210" s="19" t="inlineStr">
        <is>
          <t>209</t>
        </is>
      </c>
      <c r="B210" s="19" t="inlineStr">
        <is>
          <t>IA-PPWR-TF-ST-087-STD-06-R00</t>
        </is>
      </c>
      <c r="C210" t="inlineStr">
        <is>
          <t>Technical File — ST-087-STD-06</t>
        </is>
      </c>
      <c r="D210" s="19" t="n"/>
      <c r="E210" s="19" t="inlineStr">
        <is>
          <t>209</t>
        </is>
      </c>
      <c r="F210" s="19" t="n"/>
      <c r="G210" t="n">
        <v>0</v>
      </c>
      <c r="J210" t="inlineStr">
        <is>
          <t>REV00 CURRENT EVIDENCE BASIS — ARTICLE 5 ASSESSMENT BASIS</t>
        </is>
      </c>
      <c r="K210" t="inlineStr">
        <is>
          <t>PENDING – DRAWINGS / PHOTOGRAPHS</t>
        </is>
      </c>
      <c r="L210" s="19" t="inlineStr">
        <is>
          <t>1</t>
        </is>
      </c>
      <c r="M210" s="19" t="inlineStr">
        <is>
          <t>2</t>
        </is>
      </c>
      <c r="N210" t="inlineStr">
        <is>
          <t>2026-08-08</t>
        </is>
      </c>
      <c r="P210" t="inlineStr">
        <is>
          <t>Rev.00 Word technical file generated — see DOCUMENT_LIBRARY.FILE_URI; drawings/photos may remain PENDING</t>
        </is>
      </c>
      <c r="Q210" t="inlineStr">
        <is>
          <t>2026-08-10T19:29:54Z</t>
        </is>
      </c>
      <c r="R210" t="inlineStr">
        <is>
          <t>2026-08-10T19:29:54Z</t>
        </is>
      </c>
    </row>
    <row r="211">
      <c r="A211" s="19" t="inlineStr">
        <is>
          <t>210</t>
        </is>
      </c>
      <c r="B211" s="19" t="inlineStr">
        <is>
          <t>IA-PPWR-TF-ST-087-STD-07-R00</t>
        </is>
      </c>
      <c r="C211" t="inlineStr">
        <is>
          <t>Technical File — ST-087-STD-07</t>
        </is>
      </c>
      <c r="D211" s="19" t="n"/>
      <c r="E211" s="19" t="inlineStr">
        <is>
          <t>210</t>
        </is>
      </c>
      <c r="F211" s="19" t="n"/>
      <c r="G211" t="n">
        <v>0</v>
      </c>
      <c r="J211" t="inlineStr">
        <is>
          <t>REV00 CURRENT EVIDENCE BASIS — ARTICLE 5 ASSESSMENT BASIS</t>
        </is>
      </c>
      <c r="K211" t="inlineStr">
        <is>
          <t>PENDING – DRAWINGS / PHOTOGRAPHS</t>
        </is>
      </c>
      <c r="L211" s="19" t="inlineStr">
        <is>
          <t>1</t>
        </is>
      </c>
      <c r="M211" s="19" t="inlineStr">
        <is>
          <t>2</t>
        </is>
      </c>
      <c r="N211" t="inlineStr">
        <is>
          <t>2026-08-08</t>
        </is>
      </c>
      <c r="P211" t="inlineStr">
        <is>
          <t>Rev.00 Word technical file generated — see DOCUMENT_LIBRARY.FILE_URI; drawings/photos may remain PENDING</t>
        </is>
      </c>
      <c r="Q211" t="inlineStr">
        <is>
          <t>2026-08-10T19:29:54Z</t>
        </is>
      </c>
      <c r="R211" t="inlineStr">
        <is>
          <t>2026-08-10T19:29:54Z</t>
        </is>
      </c>
    </row>
    <row r="212">
      <c r="A212" s="19" t="inlineStr">
        <is>
          <t>211</t>
        </is>
      </c>
      <c r="B212" s="19" t="inlineStr">
        <is>
          <t>IA-PPWR-TF-ST-088-STD-01-R00</t>
        </is>
      </c>
      <c r="C212" t="inlineStr">
        <is>
          <t>Technical File — ST-088-STD-01</t>
        </is>
      </c>
      <c r="D212" s="19" t="n"/>
      <c r="E212" s="19" t="inlineStr">
        <is>
          <t>211</t>
        </is>
      </c>
      <c r="F212" s="19" t="n"/>
      <c r="G212" t="n">
        <v>0</v>
      </c>
      <c r="J212" t="inlineStr">
        <is>
          <t>REV00 CURRENT EVIDENCE BASIS — ARTICLE 5 ASSESSMENT BASIS</t>
        </is>
      </c>
      <c r="K212" t="inlineStr">
        <is>
          <t>PENDING – DRAWINGS / PHOTOGRAPHS</t>
        </is>
      </c>
      <c r="L212" s="19" t="inlineStr">
        <is>
          <t>1</t>
        </is>
      </c>
      <c r="M212" s="19" t="inlineStr">
        <is>
          <t>2</t>
        </is>
      </c>
      <c r="N212" t="inlineStr">
        <is>
          <t>2026-08-08</t>
        </is>
      </c>
      <c r="P212" t="inlineStr">
        <is>
          <t>Rev.00 Word technical file generated — see DOCUMENT_LIBRARY.FILE_URI; drawings/photos may remain PENDING</t>
        </is>
      </c>
      <c r="Q212" t="inlineStr">
        <is>
          <t>2026-08-10T19:29:54Z</t>
        </is>
      </c>
      <c r="R212" t="inlineStr">
        <is>
          <t>2026-08-10T19:29:54Z</t>
        </is>
      </c>
    </row>
    <row r="213">
      <c r="A213" s="19" t="inlineStr">
        <is>
          <t>212</t>
        </is>
      </c>
      <c r="B213" s="19" t="inlineStr">
        <is>
          <t>IA-PPWR-TF-ST-088-STD-02-R00</t>
        </is>
      </c>
      <c r="C213" t="inlineStr">
        <is>
          <t>Technical File — ST-088-STD-02</t>
        </is>
      </c>
      <c r="D213" s="19" t="n"/>
      <c r="E213" s="19" t="inlineStr">
        <is>
          <t>212</t>
        </is>
      </c>
      <c r="F213" s="19" t="n"/>
      <c r="G213" t="n">
        <v>0</v>
      </c>
      <c r="J213" t="inlineStr">
        <is>
          <t>REV00 CURRENT EVIDENCE BASIS — ARTICLE 5 ASSESSMENT BASIS</t>
        </is>
      </c>
      <c r="K213" t="inlineStr">
        <is>
          <t>PENDING – DRAWINGS / PHOTOGRAPHS</t>
        </is>
      </c>
      <c r="L213" s="19" t="inlineStr">
        <is>
          <t>1</t>
        </is>
      </c>
      <c r="M213" s="19" t="inlineStr">
        <is>
          <t>2</t>
        </is>
      </c>
      <c r="N213" t="inlineStr">
        <is>
          <t>2026-08-08</t>
        </is>
      </c>
      <c r="P213" t="inlineStr">
        <is>
          <t>Rev.00 Word technical file generated — see DOCUMENT_LIBRARY.FILE_URI; drawings/photos may remain PENDING</t>
        </is>
      </c>
      <c r="Q213" t="inlineStr">
        <is>
          <t>2026-08-10T19:29:54Z</t>
        </is>
      </c>
      <c r="R213" t="inlineStr">
        <is>
          <t>2026-08-10T19:29:54Z</t>
        </is>
      </c>
    </row>
    <row r="214">
      <c r="A214" s="19" t="inlineStr">
        <is>
          <t>213</t>
        </is>
      </c>
      <c r="B214" s="19" t="inlineStr">
        <is>
          <t>IA-PPWR-TF-ST-088-STD-03-R00</t>
        </is>
      </c>
      <c r="C214" t="inlineStr">
        <is>
          <t>Technical File — ST-088-STD-03</t>
        </is>
      </c>
      <c r="D214" s="19" t="n"/>
      <c r="E214" s="19" t="inlineStr">
        <is>
          <t>213</t>
        </is>
      </c>
      <c r="F214" s="19" t="n"/>
      <c r="G214" t="n">
        <v>0</v>
      </c>
      <c r="J214" t="inlineStr">
        <is>
          <t>REV00 CURRENT EVIDENCE BASIS — ARTICLE 5 ASSESSMENT BASIS</t>
        </is>
      </c>
      <c r="K214" t="inlineStr">
        <is>
          <t>PENDING – DRAWINGS / PHOTOGRAPHS</t>
        </is>
      </c>
      <c r="L214" s="19" t="inlineStr">
        <is>
          <t>1</t>
        </is>
      </c>
      <c r="M214" s="19" t="inlineStr">
        <is>
          <t>2</t>
        </is>
      </c>
      <c r="N214" t="inlineStr">
        <is>
          <t>2026-08-08</t>
        </is>
      </c>
      <c r="P214" t="inlineStr">
        <is>
          <t>Rev.00 Word technical file generated — see DOCUMENT_LIBRARY.FILE_URI; drawings/photos may remain PENDING</t>
        </is>
      </c>
      <c r="Q214" t="inlineStr">
        <is>
          <t>2026-08-10T19:29:54Z</t>
        </is>
      </c>
      <c r="R214" t="inlineStr">
        <is>
          <t>2026-08-10T19:29:54Z</t>
        </is>
      </c>
    </row>
    <row r="215">
      <c r="A215" s="19" t="inlineStr">
        <is>
          <t>214</t>
        </is>
      </c>
      <c r="B215" s="19" t="inlineStr">
        <is>
          <t>IA-PPWR-TF-ST-088-STD-04-R00</t>
        </is>
      </c>
      <c r="C215" t="inlineStr">
        <is>
          <t>Technical File — ST-088-STD-04</t>
        </is>
      </c>
      <c r="D215" s="19" t="n"/>
      <c r="E215" s="19" t="inlineStr">
        <is>
          <t>214</t>
        </is>
      </c>
      <c r="F215" s="19" t="n"/>
      <c r="G215" t="n">
        <v>0</v>
      </c>
      <c r="J215" t="inlineStr">
        <is>
          <t>REV00 CURRENT EVIDENCE BASIS — ARTICLE 5 ASSESSMENT BASIS</t>
        </is>
      </c>
      <c r="K215" t="inlineStr">
        <is>
          <t>PENDING – DRAWINGS / PHOTOGRAPHS</t>
        </is>
      </c>
      <c r="L215" s="19" t="inlineStr">
        <is>
          <t>1</t>
        </is>
      </c>
      <c r="M215" s="19" t="inlineStr">
        <is>
          <t>2</t>
        </is>
      </c>
      <c r="N215" t="inlineStr">
        <is>
          <t>2026-08-08</t>
        </is>
      </c>
      <c r="P215" t="inlineStr">
        <is>
          <t>Rev.00 Word technical file generated — see DOCUMENT_LIBRARY.FILE_URI; drawings/photos may remain PENDING</t>
        </is>
      </c>
      <c r="Q215" t="inlineStr">
        <is>
          <t>2026-08-10T19:29:54Z</t>
        </is>
      </c>
      <c r="R215" t="inlineStr">
        <is>
          <t>2026-08-10T19:29:54Z</t>
        </is>
      </c>
    </row>
    <row r="216">
      <c r="A216" s="19" t="inlineStr">
        <is>
          <t>215</t>
        </is>
      </c>
      <c r="B216" s="19" t="inlineStr">
        <is>
          <t>IA-PPWR-TF-ST-088-STD-05-R00</t>
        </is>
      </c>
      <c r="C216" t="inlineStr">
        <is>
          <t>Technical File — ST-088-STD-05</t>
        </is>
      </c>
      <c r="D216" s="19" t="n"/>
      <c r="E216" s="19" t="inlineStr">
        <is>
          <t>215</t>
        </is>
      </c>
      <c r="F216" s="19" t="n"/>
      <c r="G216" t="n">
        <v>0</v>
      </c>
      <c r="J216" t="inlineStr">
        <is>
          <t>REV00 CURRENT EVIDENCE BASIS — ARTICLE 5 ASSESSMENT BASIS</t>
        </is>
      </c>
      <c r="K216" t="inlineStr">
        <is>
          <t>PENDING – DRAWINGS / PHOTOGRAPHS</t>
        </is>
      </c>
      <c r="L216" s="19" t="inlineStr">
        <is>
          <t>1</t>
        </is>
      </c>
      <c r="M216" s="19" t="inlineStr">
        <is>
          <t>2</t>
        </is>
      </c>
      <c r="N216" t="inlineStr">
        <is>
          <t>2026-08-08</t>
        </is>
      </c>
      <c r="P216" t="inlineStr">
        <is>
          <t>Rev.00 Word technical file generated — see DOCUMENT_LIBRARY.FILE_URI; drawings/photos may remain PENDING</t>
        </is>
      </c>
      <c r="Q216" t="inlineStr">
        <is>
          <t>2026-08-10T19:29:54Z</t>
        </is>
      </c>
      <c r="R216" t="inlineStr">
        <is>
          <t>2026-08-10T19:29:54Z</t>
        </is>
      </c>
    </row>
    <row r="217">
      <c r="A217" s="19" t="inlineStr">
        <is>
          <t>216</t>
        </is>
      </c>
      <c r="B217" s="19" t="inlineStr">
        <is>
          <t>IA-PPWR-TF-ST-088-STD-06-R00</t>
        </is>
      </c>
      <c r="C217" t="inlineStr">
        <is>
          <t>Technical File — ST-088-STD-06</t>
        </is>
      </c>
      <c r="D217" s="19" t="n"/>
      <c r="E217" s="19" t="inlineStr">
        <is>
          <t>216</t>
        </is>
      </c>
      <c r="F217" s="19" t="n"/>
      <c r="G217" t="n">
        <v>0</v>
      </c>
      <c r="J217" t="inlineStr">
        <is>
          <t>REV00 CURRENT EVIDENCE BASIS — ARTICLE 5 ASSESSMENT BASIS</t>
        </is>
      </c>
      <c r="K217" t="inlineStr">
        <is>
          <t>PENDING – DRAWINGS / PHOTOGRAPHS</t>
        </is>
      </c>
      <c r="L217" s="19" t="inlineStr">
        <is>
          <t>1</t>
        </is>
      </c>
      <c r="M217" s="19" t="inlineStr">
        <is>
          <t>2</t>
        </is>
      </c>
      <c r="N217" t="inlineStr">
        <is>
          <t>2026-08-08</t>
        </is>
      </c>
      <c r="P217" t="inlineStr">
        <is>
          <t>Rev.00 Word technical file generated — see DOCUMENT_LIBRARY.FILE_URI; drawings/photos may remain PENDING</t>
        </is>
      </c>
      <c r="Q217" t="inlineStr">
        <is>
          <t>2026-08-10T19:29:54Z</t>
        </is>
      </c>
      <c r="R217" t="inlineStr">
        <is>
          <t>2026-08-10T19:29:54Z</t>
        </is>
      </c>
    </row>
    <row r="218">
      <c r="A218" s="19" t="inlineStr">
        <is>
          <t>217</t>
        </is>
      </c>
      <c r="B218" s="19" t="inlineStr">
        <is>
          <t>IA-PPWR-TF-ST-088-STD-07-R00</t>
        </is>
      </c>
      <c r="C218" t="inlineStr">
        <is>
          <t>Technical File — ST-088-STD-07</t>
        </is>
      </c>
      <c r="D218" s="19" t="n"/>
      <c r="E218" s="19" t="inlineStr">
        <is>
          <t>217</t>
        </is>
      </c>
      <c r="F218" s="19" t="n"/>
      <c r="G218" t="n">
        <v>0</v>
      </c>
      <c r="J218" t="inlineStr">
        <is>
          <t>REV00 CURRENT EVIDENCE BASIS — ARTICLE 5 ASSESSMENT BASIS</t>
        </is>
      </c>
      <c r="K218" t="inlineStr">
        <is>
          <t>PENDING – DRAWINGS / PHOTOGRAPHS</t>
        </is>
      </c>
      <c r="L218" s="19" t="inlineStr">
        <is>
          <t>1</t>
        </is>
      </c>
      <c r="M218" s="19" t="inlineStr">
        <is>
          <t>2</t>
        </is>
      </c>
      <c r="N218" t="inlineStr">
        <is>
          <t>2026-08-08</t>
        </is>
      </c>
      <c r="P218" t="inlineStr">
        <is>
          <t>Rev.00 Word technical file generated — see DOCUMENT_LIBRARY.FILE_URI; drawings/photos may remain PENDING</t>
        </is>
      </c>
      <c r="Q218" t="inlineStr">
        <is>
          <t>2026-08-10T19:29:54Z</t>
        </is>
      </c>
      <c r="R218" t="inlineStr">
        <is>
          <t>2026-08-10T19:29:54Z</t>
        </is>
      </c>
    </row>
    <row r="219">
      <c r="A219" s="19" t="inlineStr">
        <is>
          <t>218</t>
        </is>
      </c>
      <c r="B219" s="19" t="inlineStr">
        <is>
          <t>IA-PPWR-TF-ST-088-STD-08-R00</t>
        </is>
      </c>
      <c r="C219" t="inlineStr">
        <is>
          <t>Technical File — ST-088-STD-08</t>
        </is>
      </c>
      <c r="D219" s="19" t="n"/>
      <c r="E219" s="19" t="inlineStr">
        <is>
          <t>218</t>
        </is>
      </c>
      <c r="F219" s="19" t="n"/>
      <c r="G219" t="n">
        <v>0</v>
      </c>
      <c r="J219" t="inlineStr">
        <is>
          <t>REV00 CURRENT EVIDENCE BASIS — ARTICLE 5 ASSESSMENT BASIS</t>
        </is>
      </c>
      <c r="K219" t="inlineStr">
        <is>
          <t>PENDING – DRAWINGS / PHOTOGRAPHS</t>
        </is>
      </c>
      <c r="L219" s="19" t="inlineStr">
        <is>
          <t>1</t>
        </is>
      </c>
      <c r="M219" s="19" t="inlineStr">
        <is>
          <t>2</t>
        </is>
      </c>
      <c r="N219" t="inlineStr">
        <is>
          <t>2026-08-08</t>
        </is>
      </c>
      <c r="P219" t="inlineStr">
        <is>
          <t>Rev.00 Word technical file generated — see DOCUMENT_LIBRARY.FILE_URI; drawings/photos may remain PENDING</t>
        </is>
      </c>
      <c r="Q219" t="inlineStr">
        <is>
          <t>2026-08-10T19:29:54Z</t>
        </is>
      </c>
      <c r="R219" t="inlineStr">
        <is>
          <t>2026-08-10T19:29:54Z</t>
        </is>
      </c>
    </row>
    <row r="220">
      <c r="A220" s="19" t="inlineStr">
        <is>
          <t>219</t>
        </is>
      </c>
      <c r="B220" s="19" t="inlineStr">
        <is>
          <t>IA-PPWR-TF-ST-090-STD-01-R00</t>
        </is>
      </c>
      <c r="C220" t="inlineStr">
        <is>
          <t>Technical File — ST-090-STD-01</t>
        </is>
      </c>
      <c r="D220" s="19" t="n"/>
      <c r="E220" s="19" t="inlineStr">
        <is>
          <t>219</t>
        </is>
      </c>
      <c r="F220" s="19" t="n"/>
      <c r="G220" t="n">
        <v>0</v>
      </c>
      <c r="J220" t="inlineStr">
        <is>
          <t>REV00 CURRENT EVIDENCE BASIS — ARTICLE 5 ASSESSMENT BASIS</t>
        </is>
      </c>
      <c r="K220" t="inlineStr">
        <is>
          <t>PENDING – DRAWINGS / PHOTOGRAPHS</t>
        </is>
      </c>
      <c r="L220" s="19" t="inlineStr">
        <is>
          <t>1</t>
        </is>
      </c>
      <c r="M220" s="19" t="inlineStr">
        <is>
          <t>2</t>
        </is>
      </c>
      <c r="N220" t="inlineStr">
        <is>
          <t>2026-08-08</t>
        </is>
      </c>
      <c r="P220" t="inlineStr">
        <is>
          <t>Rev.00 Word technical file generated — see DOCUMENT_LIBRARY.FILE_URI; drawings/photos may remain PENDING</t>
        </is>
      </c>
      <c r="Q220" t="inlineStr">
        <is>
          <t>2026-08-10T19:29:54Z</t>
        </is>
      </c>
      <c r="R220" t="inlineStr">
        <is>
          <t>2026-08-10T19:29:54Z</t>
        </is>
      </c>
    </row>
    <row r="221">
      <c r="A221" s="19" t="inlineStr">
        <is>
          <t>220</t>
        </is>
      </c>
      <c r="B221" s="19" t="inlineStr">
        <is>
          <t>IA-PPWR-TF-ST-090-STD-02-R00</t>
        </is>
      </c>
      <c r="C221" t="inlineStr">
        <is>
          <t>Technical File — ST-090-STD-02</t>
        </is>
      </c>
      <c r="D221" s="19" t="n"/>
      <c r="E221" s="19" t="inlineStr">
        <is>
          <t>220</t>
        </is>
      </c>
      <c r="F221" s="19" t="n"/>
      <c r="G221" t="n">
        <v>0</v>
      </c>
      <c r="J221" t="inlineStr">
        <is>
          <t>REV00 CURRENT EVIDENCE BASIS — ARTICLE 5 ASSESSMENT BASIS</t>
        </is>
      </c>
      <c r="K221" t="inlineStr">
        <is>
          <t>PENDING – DRAWINGS / PHOTOGRAPHS</t>
        </is>
      </c>
      <c r="L221" s="19" t="inlineStr">
        <is>
          <t>1</t>
        </is>
      </c>
      <c r="M221" s="19" t="inlineStr">
        <is>
          <t>2</t>
        </is>
      </c>
      <c r="N221" t="inlineStr">
        <is>
          <t>2026-08-08</t>
        </is>
      </c>
      <c r="P221" t="inlineStr">
        <is>
          <t>Rev.00 Word technical file generated — see DOCUMENT_LIBRARY.FILE_URI; drawings/photos may remain PENDING</t>
        </is>
      </c>
      <c r="Q221" t="inlineStr">
        <is>
          <t>2026-08-10T19:29:54Z</t>
        </is>
      </c>
      <c r="R221" t="inlineStr">
        <is>
          <t>2026-08-10T19:29:54Z</t>
        </is>
      </c>
    </row>
    <row r="222">
      <c r="A222" s="19" t="inlineStr">
        <is>
          <t>221</t>
        </is>
      </c>
      <c r="B222" s="19" t="inlineStr">
        <is>
          <t>IA-PPWR-TF-ST-096-EUR-01-R00</t>
        </is>
      </c>
      <c r="C222" t="inlineStr">
        <is>
          <t>Technical File — ST-096-EUR-01</t>
        </is>
      </c>
      <c r="D222" s="19" t="n"/>
      <c r="E222" s="19" t="inlineStr">
        <is>
          <t>221</t>
        </is>
      </c>
      <c r="F222" s="19" t="n"/>
      <c r="G222" t="n">
        <v>0</v>
      </c>
      <c r="J222" t="inlineStr">
        <is>
          <t>REV00 CURRENT EVIDENCE BASIS — ARTICLE 5 ASSESSMENT BASIS</t>
        </is>
      </c>
      <c r="K222" t="inlineStr">
        <is>
          <t>PENDING – DRAWINGS / PHOTOGRAPHS</t>
        </is>
      </c>
      <c r="L222" s="19" t="inlineStr">
        <is>
          <t>1</t>
        </is>
      </c>
      <c r="M222" s="19" t="inlineStr">
        <is>
          <t>2</t>
        </is>
      </c>
      <c r="N222" t="inlineStr">
        <is>
          <t>2026-08-08</t>
        </is>
      </c>
      <c r="P222" t="inlineStr">
        <is>
          <t>Rev.00 Word technical file generated — see DOCUMENT_LIBRARY.FILE_URI; drawings/photos may remain PENDING</t>
        </is>
      </c>
      <c r="Q222" t="inlineStr">
        <is>
          <t>2026-08-10T19:29:54Z</t>
        </is>
      </c>
      <c r="R222" t="inlineStr">
        <is>
          <t>2026-08-10T19:29:54Z</t>
        </is>
      </c>
    </row>
    <row r="223">
      <c r="A223" s="19" t="inlineStr">
        <is>
          <t>222</t>
        </is>
      </c>
      <c r="B223" s="19" t="inlineStr">
        <is>
          <t>IA-PPWR-TF-ST-096-EUR-02-R00</t>
        </is>
      </c>
      <c r="C223" t="inlineStr">
        <is>
          <t>Technical File — ST-096-EUR-02</t>
        </is>
      </c>
      <c r="D223" s="19" t="n"/>
      <c r="E223" s="19" t="inlineStr">
        <is>
          <t>222</t>
        </is>
      </c>
      <c r="F223" s="19" t="n"/>
      <c r="G223" t="n">
        <v>0</v>
      </c>
      <c r="J223" t="inlineStr">
        <is>
          <t>REV00 CURRENT EVIDENCE BASIS — ARTICLE 5 ASSESSMENT BASIS</t>
        </is>
      </c>
      <c r="K223" t="inlineStr">
        <is>
          <t>PENDING – DRAWINGS / PHOTOGRAPHS</t>
        </is>
      </c>
      <c r="L223" s="19" t="inlineStr">
        <is>
          <t>1</t>
        </is>
      </c>
      <c r="M223" s="19" t="inlineStr">
        <is>
          <t>2</t>
        </is>
      </c>
      <c r="N223" t="inlineStr">
        <is>
          <t>2026-08-08</t>
        </is>
      </c>
      <c r="P223" t="inlineStr">
        <is>
          <t>Rev.00 Word technical file generated — see DOCUMENT_LIBRARY.FILE_URI; drawings/photos may remain PENDING</t>
        </is>
      </c>
      <c r="Q223" t="inlineStr">
        <is>
          <t>2026-08-10T19:29:54Z</t>
        </is>
      </c>
      <c r="R223" t="inlineStr">
        <is>
          <t>2026-08-10T19:29:54Z</t>
        </is>
      </c>
    </row>
    <row r="224">
      <c r="A224" s="19" t="inlineStr">
        <is>
          <t>223</t>
        </is>
      </c>
      <c r="B224" s="19" t="inlineStr">
        <is>
          <t>IA-PPWR-TF-ST-096-EUR-03-R00</t>
        </is>
      </c>
      <c r="C224" t="inlineStr">
        <is>
          <t>Technical File — ST-096-EUR-03</t>
        </is>
      </c>
      <c r="D224" s="19" t="n"/>
      <c r="E224" s="19" t="inlineStr">
        <is>
          <t>223</t>
        </is>
      </c>
      <c r="F224" s="19" t="n"/>
      <c r="G224" t="n">
        <v>0</v>
      </c>
      <c r="J224" t="inlineStr">
        <is>
          <t>REV00 CURRENT EVIDENCE BASIS — ARTICLE 5 ASSESSMENT BASIS</t>
        </is>
      </c>
      <c r="K224" t="inlineStr">
        <is>
          <t>PENDING – DRAWINGS / PHOTOGRAPHS</t>
        </is>
      </c>
      <c r="L224" s="19" t="inlineStr">
        <is>
          <t>1</t>
        </is>
      </c>
      <c r="M224" s="19" t="inlineStr">
        <is>
          <t>2</t>
        </is>
      </c>
      <c r="N224" t="inlineStr">
        <is>
          <t>2026-08-08</t>
        </is>
      </c>
      <c r="P224" t="inlineStr">
        <is>
          <t>Rev.00 Word technical file generated — see DOCUMENT_LIBRARY.FILE_URI; drawings/photos may remain PENDING</t>
        </is>
      </c>
      <c r="Q224" t="inlineStr">
        <is>
          <t>2026-08-10T19:29:54Z</t>
        </is>
      </c>
      <c r="R224" t="inlineStr">
        <is>
          <t>2026-08-10T19:29:54Z</t>
        </is>
      </c>
    </row>
    <row r="225">
      <c r="A225" s="19" t="inlineStr">
        <is>
          <t>224</t>
        </is>
      </c>
      <c r="B225" s="19" t="inlineStr">
        <is>
          <t>IA-PPWR-TF-ST-096-EUR-04-R00</t>
        </is>
      </c>
      <c r="C225" t="inlineStr">
        <is>
          <t>Technical File — ST-096-EUR-04</t>
        </is>
      </c>
      <c r="D225" s="19" t="n"/>
      <c r="E225" s="19" t="inlineStr">
        <is>
          <t>224</t>
        </is>
      </c>
      <c r="F225" s="19" t="n"/>
      <c r="G225" t="n">
        <v>0</v>
      </c>
      <c r="J225" t="inlineStr">
        <is>
          <t>REV00 CURRENT EVIDENCE BASIS — ARTICLE 5 ASSESSMENT BASIS</t>
        </is>
      </c>
      <c r="K225" t="inlineStr">
        <is>
          <t>PENDING – DRAWINGS / PHOTOGRAPHS</t>
        </is>
      </c>
      <c r="L225" s="19" t="inlineStr">
        <is>
          <t>1</t>
        </is>
      </c>
      <c r="M225" s="19" t="inlineStr">
        <is>
          <t>2</t>
        </is>
      </c>
      <c r="N225" t="inlineStr">
        <is>
          <t>2026-08-08</t>
        </is>
      </c>
      <c r="P225" t="inlineStr">
        <is>
          <t>Rev.00 Word technical file generated — see DOCUMENT_LIBRARY.FILE_URI; drawings/photos may remain PENDING</t>
        </is>
      </c>
      <c r="Q225" t="inlineStr">
        <is>
          <t>2026-08-10T19:29:54Z</t>
        </is>
      </c>
      <c r="R225" t="inlineStr">
        <is>
          <t>2026-08-10T19:29:54Z</t>
        </is>
      </c>
    </row>
    <row r="226">
      <c r="A226" s="19" t="inlineStr">
        <is>
          <t>225</t>
        </is>
      </c>
      <c r="B226" s="19" t="inlineStr">
        <is>
          <t>IA-PPWR-TF-ST-096-EUR-05-R00</t>
        </is>
      </c>
      <c r="C226" t="inlineStr">
        <is>
          <t>Technical File — ST-096-EUR-05</t>
        </is>
      </c>
      <c r="D226" s="19" t="n"/>
      <c r="E226" s="19" t="inlineStr">
        <is>
          <t>225</t>
        </is>
      </c>
      <c r="F226" s="19" t="n"/>
      <c r="G226" t="n">
        <v>0</v>
      </c>
      <c r="J226" t="inlineStr">
        <is>
          <t>REV00 CURRENT EVIDENCE BASIS — ARTICLE 5 ASSESSMENT BASIS</t>
        </is>
      </c>
      <c r="K226" t="inlineStr">
        <is>
          <t>PENDING – DRAWINGS / PHOTOGRAPHS</t>
        </is>
      </c>
      <c r="L226" s="19" t="inlineStr">
        <is>
          <t>1</t>
        </is>
      </c>
      <c r="M226" s="19" t="inlineStr">
        <is>
          <t>2</t>
        </is>
      </c>
      <c r="N226" t="inlineStr">
        <is>
          <t>2026-08-08</t>
        </is>
      </c>
      <c r="P226" t="inlineStr">
        <is>
          <t>Rev.00 Word technical file generated — see DOCUMENT_LIBRARY.FILE_URI; drawings/photos may remain PENDING</t>
        </is>
      </c>
      <c r="Q226" t="inlineStr">
        <is>
          <t>2026-08-10T19:29:54Z</t>
        </is>
      </c>
      <c r="R226" t="inlineStr">
        <is>
          <t>2026-08-10T19:29:54Z</t>
        </is>
      </c>
    </row>
    <row r="227">
      <c r="A227" s="19" t="inlineStr">
        <is>
          <t>226</t>
        </is>
      </c>
      <c r="B227" s="19" t="inlineStr">
        <is>
          <t>IA-PPWR-TF-ST-096-EUR-06-R00</t>
        </is>
      </c>
      <c r="C227" t="inlineStr">
        <is>
          <t>Technical File — ST-096-EUR-06</t>
        </is>
      </c>
      <c r="D227" s="19" t="n"/>
      <c r="E227" s="19" t="inlineStr">
        <is>
          <t>226</t>
        </is>
      </c>
      <c r="F227" s="19" t="n"/>
      <c r="G227" t="n">
        <v>0</v>
      </c>
      <c r="J227" t="inlineStr">
        <is>
          <t>REV00 CURRENT EVIDENCE BASIS — ARTICLE 5 ASSESSMENT BASIS</t>
        </is>
      </c>
      <c r="K227" t="inlineStr">
        <is>
          <t>PENDING – DRAWINGS / PHOTOGRAPHS</t>
        </is>
      </c>
      <c r="L227" s="19" t="inlineStr">
        <is>
          <t>1</t>
        </is>
      </c>
      <c r="M227" s="19" t="inlineStr">
        <is>
          <t>2</t>
        </is>
      </c>
      <c r="N227" t="inlineStr">
        <is>
          <t>2026-08-08</t>
        </is>
      </c>
      <c r="P227" t="inlineStr">
        <is>
          <t>Rev.00 Word technical file generated — see DOCUMENT_LIBRARY.FILE_URI; drawings/photos may remain PENDING</t>
        </is>
      </c>
      <c r="Q227" t="inlineStr">
        <is>
          <t>2026-08-10T19:29:54Z</t>
        </is>
      </c>
      <c r="R227" t="inlineStr">
        <is>
          <t>2026-08-10T19:29:54Z</t>
        </is>
      </c>
    </row>
    <row r="228">
      <c r="A228" s="19" t="inlineStr">
        <is>
          <t>227</t>
        </is>
      </c>
      <c r="B228" s="19" t="inlineStr">
        <is>
          <t>IA-PPWR-TF-ST-096-EUR-07-R00</t>
        </is>
      </c>
      <c r="C228" t="inlineStr">
        <is>
          <t>Technical File — ST-096-EUR-07</t>
        </is>
      </c>
      <c r="D228" s="19" t="n"/>
      <c r="E228" s="19" t="inlineStr">
        <is>
          <t>227</t>
        </is>
      </c>
      <c r="F228" s="19" t="n"/>
      <c r="G228" t="n">
        <v>0</v>
      </c>
      <c r="J228" t="inlineStr">
        <is>
          <t>REV00 CURRENT EVIDENCE BASIS — ARTICLE 5 ASSESSMENT BASIS</t>
        </is>
      </c>
      <c r="K228" t="inlineStr">
        <is>
          <t>PENDING – DRAWINGS / PHOTOGRAPHS</t>
        </is>
      </c>
      <c r="L228" s="19" t="inlineStr">
        <is>
          <t>1</t>
        </is>
      </c>
      <c r="M228" s="19" t="inlineStr">
        <is>
          <t>2</t>
        </is>
      </c>
      <c r="N228" t="inlineStr">
        <is>
          <t>2026-08-08</t>
        </is>
      </c>
      <c r="P228" t="inlineStr">
        <is>
          <t>Rev.00 Word technical file generated — see DOCUMENT_LIBRARY.FILE_URI; drawings/photos may remain PENDING</t>
        </is>
      </c>
      <c r="Q228" t="inlineStr">
        <is>
          <t>2026-08-10T19:29:54Z</t>
        </is>
      </c>
      <c r="R228" t="inlineStr">
        <is>
          <t>2026-08-10T19:29:54Z</t>
        </is>
      </c>
    </row>
    <row r="229">
      <c r="A229" s="19" t="inlineStr">
        <is>
          <t>228</t>
        </is>
      </c>
      <c r="B229" s="19" t="inlineStr">
        <is>
          <t>IA-PPWR-TF-ST-096-EUR-08-R00</t>
        </is>
      </c>
      <c r="C229" t="inlineStr">
        <is>
          <t>Technical File — ST-096-EUR-08</t>
        </is>
      </c>
      <c r="D229" s="19" t="n"/>
      <c r="E229" s="19" t="inlineStr">
        <is>
          <t>228</t>
        </is>
      </c>
      <c r="F229" s="19" t="n"/>
      <c r="G229" t="n">
        <v>0</v>
      </c>
      <c r="J229" t="inlineStr">
        <is>
          <t>REV00 CURRENT EVIDENCE BASIS — ARTICLE 5 ASSESSMENT BASIS</t>
        </is>
      </c>
      <c r="K229" t="inlineStr">
        <is>
          <t>PENDING – DRAWINGS / PHOTOGRAPHS</t>
        </is>
      </c>
      <c r="L229" s="19" t="inlineStr">
        <is>
          <t>1</t>
        </is>
      </c>
      <c r="M229" s="19" t="inlineStr">
        <is>
          <t>2</t>
        </is>
      </c>
      <c r="N229" t="inlineStr">
        <is>
          <t>2026-08-08</t>
        </is>
      </c>
      <c r="P229" t="inlineStr">
        <is>
          <t>Rev.00 Word technical file generated — see DOCUMENT_LIBRARY.FILE_URI; drawings/photos may remain PENDING</t>
        </is>
      </c>
      <c r="Q229" t="inlineStr">
        <is>
          <t>2026-08-10T19:29:54Z</t>
        </is>
      </c>
      <c r="R229" t="inlineStr">
        <is>
          <t>2026-08-10T19:29:54Z</t>
        </is>
      </c>
    </row>
    <row r="230">
      <c r="A230" s="19" t="inlineStr">
        <is>
          <t>229</t>
        </is>
      </c>
      <c r="B230" s="19" t="inlineStr">
        <is>
          <t>IA-PPWR-TF-ST-096-EUR-09-R00</t>
        </is>
      </c>
      <c r="C230" t="inlineStr">
        <is>
          <t>Technical File — ST-096-EUR-09</t>
        </is>
      </c>
      <c r="D230" s="19" t="n"/>
      <c r="E230" s="19" t="inlineStr">
        <is>
          <t>229</t>
        </is>
      </c>
      <c r="F230" s="19" t="n"/>
      <c r="G230" t="n">
        <v>0</v>
      </c>
      <c r="J230" t="inlineStr">
        <is>
          <t>REV00 CURRENT EVIDENCE BASIS — ARTICLE 5 ASSESSMENT BASIS</t>
        </is>
      </c>
      <c r="K230" t="inlineStr">
        <is>
          <t>PENDING – DRAWINGS / PHOTOGRAPHS</t>
        </is>
      </c>
      <c r="L230" s="19" t="inlineStr">
        <is>
          <t>1</t>
        </is>
      </c>
      <c r="M230" s="19" t="inlineStr">
        <is>
          <t>2</t>
        </is>
      </c>
      <c r="N230" t="inlineStr">
        <is>
          <t>2026-08-08</t>
        </is>
      </c>
      <c r="P230" t="inlineStr">
        <is>
          <t>Rev.00 Word technical file generated — see DOCUMENT_LIBRARY.FILE_URI; drawings/photos may remain PENDING</t>
        </is>
      </c>
      <c r="Q230" t="inlineStr">
        <is>
          <t>2026-08-10T19:29:54Z</t>
        </is>
      </c>
      <c r="R230" t="inlineStr">
        <is>
          <t>2026-08-10T19:29:54Z</t>
        </is>
      </c>
    </row>
    <row r="231">
      <c r="A231" s="19" t="inlineStr">
        <is>
          <t>230</t>
        </is>
      </c>
      <c r="B231" s="19" t="inlineStr">
        <is>
          <t>IA-PPWR-TF-ST-096-EUR-10-R00</t>
        </is>
      </c>
      <c r="C231" t="inlineStr">
        <is>
          <t>Technical File — ST-096-EUR-10</t>
        </is>
      </c>
      <c r="D231" s="19" t="n"/>
      <c r="E231" s="19" t="inlineStr">
        <is>
          <t>230</t>
        </is>
      </c>
      <c r="F231" s="19" t="n"/>
      <c r="G231" t="n">
        <v>0</v>
      </c>
      <c r="J231" t="inlineStr">
        <is>
          <t>REV00 CURRENT EVIDENCE BASIS — ARTICLE 5 ASSESSMENT BASIS</t>
        </is>
      </c>
      <c r="K231" t="inlineStr">
        <is>
          <t>PENDING – DRAWINGS / PHOTOGRAPHS</t>
        </is>
      </c>
      <c r="L231" s="19" t="inlineStr">
        <is>
          <t>1</t>
        </is>
      </c>
      <c r="M231" s="19" t="inlineStr">
        <is>
          <t>2</t>
        </is>
      </c>
      <c r="N231" t="inlineStr">
        <is>
          <t>2026-08-08</t>
        </is>
      </c>
      <c r="P231" t="inlineStr">
        <is>
          <t>Rev.00 Word technical file generated — see DOCUMENT_LIBRARY.FILE_URI; drawings/photos may remain PENDING</t>
        </is>
      </c>
      <c r="Q231" t="inlineStr">
        <is>
          <t>2026-08-10T19:29:54Z</t>
        </is>
      </c>
      <c r="R231" t="inlineStr">
        <is>
          <t>2026-08-10T19:29:54Z</t>
        </is>
      </c>
    </row>
    <row r="232">
      <c r="A232" s="19" t="inlineStr">
        <is>
          <t>231</t>
        </is>
      </c>
      <c r="B232" s="19" t="inlineStr">
        <is>
          <t>IA-PPWR-TF-ST-096-STD-01-R00</t>
        </is>
      </c>
      <c r="C232" t="inlineStr">
        <is>
          <t>Technical File — ST-096-STD-01</t>
        </is>
      </c>
      <c r="D232" s="19" t="n"/>
      <c r="E232" s="19" t="inlineStr">
        <is>
          <t>231</t>
        </is>
      </c>
      <c r="F232" s="19" t="n"/>
      <c r="G232" t="n">
        <v>0</v>
      </c>
      <c r="J232" t="inlineStr">
        <is>
          <t>REV00 CURRENT EVIDENCE BASIS — ARTICLE 5 ASSESSMENT BASIS</t>
        </is>
      </c>
      <c r="K232" t="inlineStr">
        <is>
          <t>PENDING – DRAWINGS / PHOTOGRAPHS</t>
        </is>
      </c>
      <c r="L232" s="19" t="inlineStr">
        <is>
          <t>1</t>
        </is>
      </c>
      <c r="M232" s="19" t="inlineStr">
        <is>
          <t>2</t>
        </is>
      </c>
      <c r="N232" t="inlineStr">
        <is>
          <t>2026-08-08</t>
        </is>
      </c>
      <c r="P232" t="inlineStr">
        <is>
          <t>Rev.00 Word technical file generated — see DOCUMENT_LIBRARY.FILE_URI; drawings/photos may remain PENDING</t>
        </is>
      </c>
      <c r="Q232" t="inlineStr">
        <is>
          <t>2026-08-10T19:29:54Z</t>
        </is>
      </c>
      <c r="R232" t="inlineStr">
        <is>
          <t>2026-08-10T19:29:54Z</t>
        </is>
      </c>
    </row>
    <row r="233">
      <c r="A233" s="19" t="inlineStr">
        <is>
          <t>232</t>
        </is>
      </c>
      <c r="B233" s="19" t="inlineStr">
        <is>
          <t>IA-PPWR-TF-ST-096-STD-02-R00</t>
        </is>
      </c>
      <c r="C233" t="inlineStr">
        <is>
          <t>Technical File — ST-096-STD-02</t>
        </is>
      </c>
      <c r="D233" s="19" t="n"/>
      <c r="E233" s="19" t="inlineStr">
        <is>
          <t>232</t>
        </is>
      </c>
      <c r="F233" s="19" t="n"/>
      <c r="G233" t="n">
        <v>0</v>
      </c>
      <c r="J233" t="inlineStr">
        <is>
          <t>REV00 CURRENT EVIDENCE BASIS — ARTICLE 5 ASSESSMENT BASIS</t>
        </is>
      </c>
      <c r="K233" t="inlineStr">
        <is>
          <t>PENDING – DRAWINGS / PHOTOGRAPHS</t>
        </is>
      </c>
      <c r="L233" s="19" t="inlineStr">
        <is>
          <t>1</t>
        </is>
      </c>
      <c r="M233" s="19" t="inlineStr">
        <is>
          <t>2</t>
        </is>
      </c>
      <c r="N233" t="inlineStr">
        <is>
          <t>2026-08-08</t>
        </is>
      </c>
      <c r="P233" t="inlineStr">
        <is>
          <t>Rev.00 Word technical file generated — see DOCUMENT_LIBRARY.FILE_URI; drawings/photos may remain PENDING</t>
        </is>
      </c>
      <c r="Q233" t="inlineStr">
        <is>
          <t>2026-08-10T19:29:54Z</t>
        </is>
      </c>
      <c r="R233" t="inlineStr">
        <is>
          <t>2026-08-10T19:29:54Z</t>
        </is>
      </c>
    </row>
    <row r="234">
      <c r="A234" s="19" t="inlineStr">
        <is>
          <t>233</t>
        </is>
      </c>
      <c r="B234" s="19" t="inlineStr">
        <is>
          <t>IA-PPWR-TF-ST-096-STD-03-R00</t>
        </is>
      </c>
      <c r="C234" t="inlineStr">
        <is>
          <t>Technical File — ST-096-STD-03</t>
        </is>
      </c>
      <c r="D234" s="19" t="n"/>
      <c r="E234" s="19" t="inlineStr">
        <is>
          <t>233</t>
        </is>
      </c>
      <c r="F234" s="19" t="n"/>
      <c r="G234" t="n">
        <v>0</v>
      </c>
      <c r="J234" t="inlineStr">
        <is>
          <t>REV00 CURRENT EVIDENCE BASIS — ARTICLE 5 ASSESSMENT BASIS</t>
        </is>
      </c>
      <c r="K234" t="inlineStr">
        <is>
          <t>PENDING – DRAWINGS / PHOTOGRAPHS</t>
        </is>
      </c>
      <c r="L234" s="19" t="inlineStr">
        <is>
          <t>1</t>
        </is>
      </c>
      <c r="M234" s="19" t="inlineStr">
        <is>
          <t>2</t>
        </is>
      </c>
      <c r="N234" t="inlineStr">
        <is>
          <t>2026-08-08</t>
        </is>
      </c>
      <c r="P234" t="inlineStr">
        <is>
          <t>Rev.00 Word technical file generated — see DOCUMENT_LIBRARY.FILE_URI; drawings/photos may remain PENDING</t>
        </is>
      </c>
      <c r="Q234" t="inlineStr">
        <is>
          <t>2026-08-10T19:29:54Z</t>
        </is>
      </c>
      <c r="R234" t="inlineStr">
        <is>
          <t>2026-08-10T19:29:54Z</t>
        </is>
      </c>
    </row>
    <row r="235">
      <c r="A235" s="19" t="inlineStr">
        <is>
          <t>234</t>
        </is>
      </c>
      <c r="B235" s="19" t="inlineStr">
        <is>
          <t>IA-PPWR-TF-ST-096-STD-04-R00</t>
        </is>
      </c>
      <c r="C235" t="inlineStr">
        <is>
          <t>Technical File — ST-096-STD-04</t>
        </is>
      </c>
      <c r="D235" s="19" t="n"/>
      <c r="E235" s="19" t="inlineStr">
        <is>
          <t>234</t>
        </is>
      </c>
      <c r="F235" s="19" t="n"/>
      <c r="G235" t="n">
        <v>0</v>
      </c>
      <c r="J235" t="inlineStr">
        <is>
          <t>REV00 CURRENT EVIDENCE BASIS — ARTICLE 5 ASSESSMENT BASIS</t>
        </is>
      </c>
      <c r="K235" t="inlineStr">
        <is>
          <t>PENDING – DRAWINGS / PHOTOGRAPHS</t>
        </is>
      </c>
      <c r="L235" s="19" t="inlineStr">
        <is>
          <t>1</t>
        </is>
      </c>
      <c r="M235" s="19" t="inlineStr">
        <is>
          <t>2</t>
        </is>
      </c>
      <c r="N235" t="inlineStr">
        <is>
          <t>2026-08-08</t>
        </is>
      </c>
      <c r="P235" t="inlineStr">
        <is>
          <t>Rev.00 Word technical file generated — see DOCUMENT_LIBRARY.FILE_URI; drawings/photos may remain PENDING</t>
        </is>
      </c>
      <c r="Q235" t="inlineStr">
        <is>
          <t>2026-08-10T19:29:54Z</t>
        </is>
      </c>
      <c r="R235" t="inlineStr">
        <is>
          <t>2026-08-10T19:29:54Z</t>
        </is>
      </c>
    </row>
    <row r="236">
      <c r="A236" s="19" t="inlineStr">
        <is>
          <t>235</t>
        </is>
      </c>
      <c r="B236" s="19" t="inlineStr">
        <is>
          <t>IA-PPWR-TF-ST-096-STD-05-R00</t>
        </is>
      </c>
      <c r="C236" t="inlineStr">
        <is>
          <t>Technical File — ST-096-STD-05</t>
        </is>
      </c>
      <c r="D236" s="19" t="n"/>
      <c r="E236" s="19" t="inlineStr">
        <is>
          <t>235</t>
        </is>
      </c>
      <c r="F236" s="19" t="n"/>
      <c r="G236" t="n">
        <v>0</v>
      </c>
      <c r="J236" t="inlineStr">
        <is>
          <t>REV00 CURRENT EVIDENCE BASIS — ARTICLE 5 ASSESSMENT BASIS</t>
        </is>
      </c>
      <c r="K236" t="inlineStr">
        <is>
          <t>PENDING – DRAWINGS / PHOTOGRAPHS</t>
        </is>
      </c>
      <c r="L236" s="19" t="inlineStr">
        <is>
          <t>1</t>
        </is>
      </c>
      <c r="M236" s="19" t="inlineStr">
        <is>
          <t>2</t>
        </is>
      </c>
      <c r="N236" t="inlineStr">
        <is>
          <t>2026-08-08</t>
        </is>
      </c>
      <c r="P236" t="inlineStr">
        <is>
          <t>Rev.00 Word technical file generated — see DOCUMENT_LIBRARY.FILE_URI; drawings/photos may remain PENDING</t>
        </is>
      </c>
      <c r="Q236" t="inlineStr">
        <is>
          <t>2026-08-10T19:29:54Z</t>
        </is>
      </c>
      <c r="R236" t="inlineStr">
        <is>
          <t>2026-08-10T19:29:54Z</t>
        </is>
      </c>
    </row>
    <row r="237">
      <c r="A237" s="19" t="inlineStr">
        <is>
          <t>236</t>
        </is>
      </c>
      <c r="B237" s="19" t="inlineStr">
        <is>
          <t>IA-PPWR-TF-ST-105-STD-01-R00</t>
        </is>
      </c>
      <c r="C237" t="inlineStr">
        <is>
          <t>Technical File — ST-105-STD-01</t>
        </is>
      </c>
      <c r="D237" s="19" t="n"/>
      <c r="E237" s="19" t="inlineStr">
        <is>
          <t>236</t>
        </is>
      </c>
      <c r="F237" s="19" t="n"/>
      <c r="G237" t="n">
        <v>0</v>
      </c>
      <c r="J237" t="inlineStr">
        <is>
          <t>REV00 CURRENT EVIDENCE BASIS — ARTICLE 5 ASSESSMENT BASIS</t>
        </is>
      </c>
      <c r="K237" t="inlineStr">
        <is>
          <t>PENDING – DRAWINGS / PHOTOGRAPHS</t>
        </is>
      </c>
      <c r="L237" s="19" t="inlineStr">
        <is>
          <t>1</t>
        </is>
      </c>
      <c r="M237" s="19" t="inlineStr">
        <is>
          <t>2</t>
        </is>
      </c>
      <c r="N237" t="inlineStr">
        <is>
          <t>2026-08-08</t>
        </is>
      </c>
      <c r="P237" t="inlineStr">
        <is>
          <t>Rev.00 Word technical file generated — see DOCUMENT_LIBRARY.FILE_URI; drawings/photos may remain PENDING</t>
        </is>
      </c>
      <c r="Q237" t="inlineStr">
        <is>
          <t>2026-08-10T19:29:54Z</t>
        </is>
      </c>
      <c r="R237" t="inlineStr">
        <is>
          <t>2026-08-10T19:29:54Z</t>
        </is>
      </c>
    </row>
    <row r="238">
      <c r="A238" s="19" t="inlineStr">
        <is>
          <t>237</t>
        </is>
      </c>
      <c r="B238" s="19" t="inlineStr">
        <is>
          <t>IA-PPWR-TF-ST-105-STD-02-R00</t>
        </is>
      </c>
      <c r="C238" t="inlineStr">
        <is>
          <t>Technical File — ST-105-STD-02</t>
        </is>
      </c>
      <c r="D238" s="19" t="n"/>
      <c r="E238" s="19" t="inlineStr">
        <is>
          <t>237</t>
        </is>
      </c>
      <c r="F238" s="19" t="n"/>
      <c r="G238" t="n">
        <v>0</v>
      </c>
      <c r="J238" t="inlineStr">
        <is>
          <t>REV00 CURRENT EVIDENCE BASIS — ARTICLE 5 ASSESSMENT BASIS</t>
        </is>
      </c>
      <c r="K238" t="inlineStr">
        <is>
          <t>PENDING – DRAWINGS / PHOTOGRAPHS</t>
        </is>
      </c>
      <c r="L238" s="19" t="inlineStr">
        <is>
          <t>1</t>
        </is>
      </c>
      <c r="M238" s="19" t="inlineStr">
        <is>
          <t>2</t>
        </is>
      </c>
      <c r="N238" t="inlineStr">
        <is>
          <t>2026-08-08</t>
        </is>
      </c>
      <c r="P238" t="inlineStr">
        <is>
          <t>Rev.00 Word technical file generated — see DOCUMENT_LIBRARY.FILE_URI; drawings/photos may remain PENDING</t>
        </is>
      </c>
      <c r="Q238" t="inlineStr">
        <is>
          <t>2026-08-10T19:29:54Z</t>
        </is>
      </c>
      <c r="R238" t="inlineStr">
        <is>
          <t>2026-08-10T19:29:54Z</t>
        </is>
      </c>
    </row>
    <row r="239">
      <c r="A239" s="19" t="inlineStr">
        <is>
          <t>238</t>
        </is>
      </c>
      <c r="B239" s="19" t="inlineStr">
        <is>
          <t>IA-PPWR-TF-ST-120-STD-01-R00</t>
        </is>
      </c>
      <c r="C239" t="inlineStr">
        <is>
          <t>Technical File — ST-120-STD-01</t>
        </is>
      </c>
      <c r="D239" s="19" t="n"/>
      <c r="E239" s="19" t="inlineStr">
        <is>
          <t>238</t>
        </is>
      </c>
      <c r="F239" s="19" t="n"/>
      <c r="G239" t="n">
        <v>0</v>
      </c>
      <c r="J239" t="inlineStr">
        <is>
          <t>REV00 CURRENT EVIDENCE BASIS — ARTICLE 5 ASSESSMENT BASIS</t>
        </is>
      </c>
      <c r="K239" t="inlineStr">
        <is>
          <t>PENDING – DRAWINGS / PHOTOGRAPHS</t>
        </is>
      </c>
      <c r="L239" s="19" t="inlineStr">
        <is>
          <t>1</t>
        </is>
      </c>
      <c r="M239" s="19" t="inlineStr">
        <is>
          <t>2</t>
        </is>
      </c>
      <c r="N239" t="inlineStr">
        <is>
          <t>2026-08-08</t>
        </is>
      </c>
      <c r="P239" t="inlineStr">
        <is>
          <t>Rev.00 Word technical file generated — see DOCUMENT_LIBRARY.FILE_URI; drawings/photos may remain PENDING</t>
        </is>
      </c>
      <c r="Q239" t="inlineStr">
        <is>
          <t>2026-08-10T19:29:54Z</t>
        </is>
      </c>
      <c r="R239" t="inlineStr">
        <is>
          <t>2026-08-10T19:29:54Z</t>
        </is>
      </c>
    </row>
    <row r="240">
      <c r="A240" s="19" t="inlineStr">
        <is>
          <t>239</t>
        </is>
      </c>
      <c r="B240" s="19" t="inlineStr">
        <is>
          <t>IA-PPWR-TF-ST-120-STD-02-R00</t>
        </is>
      </c>
      <c r="C240" t="inlineStr">
        <is>
          <t>Technical File — ST-120-STD-02</t>
        </is>
      </c>
      <c r="D240" s="19" t="n"/>
      <c r="E240" s="19" t="inlineStr">
        <is>
          <t>239</t>
        </is>
      </c>
      <c r="F240" s="19" t="n"/>
      <c r="G240" t="n">
        <v>0</v>
      </c>
      <c r="J240" t="inlineStr">
        <is>
          <t>REV00 CURRENT EVIDENCE BASIS — ARTICLE 5 ASSESSMENT BASIS</t>
        </is>
      </c>
      <c r="K240" t="inlineStr">
        <is>
          <t>PENDING – DRAWINGS / PHOTOGRAPHS</t>
        </is>
      </c>
      <c r="L240" s="19" t="inlineStr">
        <is>
          <t>1</t>
        </is>
      </c>
      <c r="M240" s="19" t="inlineStr">
        <is>
          <t>2</t>
        </is>
      </c>
      <c r="N240" t="inlineStr">
        <is>
          <t>2026-08-08</t>
        </is>
      </c>
      <c r="P240" t="inlineStr">
        <is>
          <t>Rev.00 Word technical file generated — see DOCUMENT_LIBRARY.FILE_URI; drawings/photos may remain PENDING</t>
        </is>
      </c>
      <c r="Q240" t="inlineStr">
        <is>
          <t>2026-08-10T19:29:54Z</t>
        </is>
      </c>
      <c r="R240" t="inlineStr">
        <is>
          <t>2026-08-10T19:29:54Z</t>
        </is>
      </c>
    </row>
    <row r="241">
      <c r="A241" s="19" t="inlineStr">
        <is>
          <t>240</t>
        </is>
      </c>
      <c r="B241" s="19" t="inlineStr">
        <is>
          <t>IA-PPWR-TF-ST-120-STD-03-R00</t>
        </is>
      </c>
      <c r="C241" t="inlineStr">
        <is>
          <t>Technical File — ST-120-STD-03</t>
        </is>
      </c>
      <c r="D241" s="19" t="n"/>
      <c r="E241" s="19" t="inlineStr">
        <is>
          <t>240</t>
        </is>
      </c>
      <c r="F241" s="19" t="n"/>
      <c r="G241" t="n">
        <v>0</v>
      </c>
      <c r="J241" t="inlineStr">
        <is>
          <t>REV00 CURRENT EVIDENCE BASIS — ARTICLE 5 ASSESSMENT BASIS</t>
        </is>
      </c>
      <c r="K241" t="inlineStr">
        <is>
          <t>PENDING – DRAWINGS / PHOTOGRAPHS</t>
        </is>
      </c>
      <c r="L241" s="19" t="inlineStr">
        <is>
          <t>1</t>
        </is>
      </c>
      <c r="M241" s="19" t="inlineStr">
        <is>
          <t>2</t>
        </is>
      </c>
      <c r="N241" t="inlineStr">
        <is>
          <t>2026-08-08</t>
        </is>
      </c>
      <c r="P241" t="inlineStr">
        <is>
          <t>Rev.00 Word technical file generated — see DOCUMENT_LIBRARY.FILE_URI; drawings/photos may remain PENDING</t>
        </is>
      </c>
      <c r="Q241" t="inlineStr">
        <is>
          <t>2026-08-10T19:29:54Z</t>
        </is>
      </c>
      <c r="R241" t="inlineStr">
        <is>
          <t>2026-08-10T19:29:54Z</t>
        </is>
      </c>
    </row>
    <row r="242">
      <c r="A242" s="19" t="inlineStr">
        <is>
          <t>241</t>
        </is>
      </c>
      <c r="B242" s="19" t="inlineStr">
        <is>
          <t>IA-PPWR-TF-IND-24V-01-R00</t>
        </is>
      </c>
      <c r="C242" t="inlineStr">
        <is>
          <t>Technical File — IND-24V-01</t>
        </is>
      </c>
      <c r="D242" s="19" t="n"/>
      <c r="E242" s="19" t="inlineStr">
        <is>
          <t>241</t>
        </is>
      </c>
      <c r="F242" s="19" t="n"/>
      <c r="G242" t="n">
        <v>0</v>
      </c>
      <c r="J242" t="inlineStr">
        <is>
          <t>REV00 CURRENT EVIDENCE BASIS — ARTICLE 5 ASSESSMENT BASIS</t>
        </is>
      </c>
      <c r="K242" t="inlineStr">
        <is>
          <t>PENDING – DRAWINGS / PHOTOGRAPHS</t>
        </is>
      </c>
      <c r="L242" s="19" t="inlineStr">
        <is>
          <t>1</t>
        </is>
      </c>
      <c r="M242" s="19" t="inlineStr">
        <is>
          <t>2</t>
        </is>
      </c>
      <c r="N242" t="inlineStr">
        <is>
          <t>2026-08-08</t>
        </is>
      </c>
      <c r="P242" t="inlineStr">
        <is>
          <t>Rev.00 Word technical file generated — see DOCUMENT_LIBRARY.FILE_URI; drawings/photos may remain PENDING</t>
        </is>
      </c>
      <c r="Q242" t="inlineStr">
        <is>
          <t>2026-08-10T19:29:54Z</t>
        </is>
      </c>
      <c r="R242" t="inlineStr">
        <is>
          <t>2026-08-10T19:29:54Z</t>
        </is>
      </c>
    </row>
    <row r="243">
      <c r="A243" s="19" t="inlineStr">
        <is>
          <t>242</t>
        </is>
      </c>
      <c r="B243" s="19" t="inlineStr">
        <is>
          <t>IA-PPWR-TF-IND-48V-01-R00</t>
        </is>
      </c>
      <c r="C243" t="inlineStr">
        <is>
          <t>Technical File — IND-48V-01</t>
        </is>
      </c>
      <c r="D243" s="19" t="n"/>
      <c r="E243" s="19" t="inlineStr">
        <is>
          <t>242</t>
        </is>
      </c>
      <c r="F243" s="19" t="n"/>
      <c r="G243" t="n">
        <v>0</v>
      </c>
      <c r="J243" t="inlineStr">
        <is>
          <t>REV00 CURRENT EVIDENCE BASIS — ARTICLE 5 ASSESSMENT BASIS</t>
        </is>
      </c>
      <c r="K243" t="inlineStr">
        <is>
          <t>PENDING – DRAWINGS / PHOTOGRAPHS</t>
        </is>
      </c>
      <c r="L243" s="19" t="inlineStr">
        <is>
          <t>1</t>
        </is>
      </c>
      <c r="M243" s="19" t="inlineStr">
        <is>
          <t>2</t>
        </is>
      </c>
      <c r="N243" t="inlineStr">
        <is>
          <t>2026-08-08</t>
        </is>
      </c>
      <c r="P243" t="inlineStr">
        <is>
          <t>Rev.00 Word technical file generated — see DOCUMENT_LIBRARY.FILE_URI; drawings/photos may remain PENDING</t>
        </is>
      </c>
      <c r="Q243" t="inlineStr">
        <is>
          <t>2026-08-10T19:29:54Z</t>
        </is>
      </c>
      <c r="R243" t="inlineStr">
        <is>
          <t>2026-08-10T19:29:54Z</t>
        </is>
      </c>
    </row>
    <row r="244">
      <c r="A244" s="19" t="inlineStr">
        <is>
          <t>243</t>
        </is>
      </c>
      <c r="B244" s="19" t="inlineStr">
        <is>
          <t>IA-PPWR-TF-IND-80V-01-R00</t>
        </is>
      </c>
      <c r="C244" t="inlineStr">
        <is>
          <t>Technical File — IND-80V-01</t>
        </is>
      </c>
      <c r="D244" s="19" t="n"/>
      <c r="E244" s="19" t="inlineStr">
        <is>
          <t>243</t>
        </is>
      </c>
      <c r="F244" s="19" t="n"/>
      <c r="G244" t="n">
        <v>0</v>
      </c>
      <c r="J244" t="inlineStr">
        <is>
          <t>REV00 CURRENT EVIDENCE BASIS — ARTICLE 5 ASSESSMENT BASIS</t>
        </is>
      </c>
      <c r="K244" t="inlineStr">
        <is>
          <t>PENDING – DRAWINGS / PHOTOGRAPHS</t>
        </is>
      </c>
      <c r="L244" s="19" t="inlineStr">
        <is>
          <t>1</t>
        </is>
      </c>
      <c r="M244" s="19" t="inlineStr">
        <is>
          <t>2</t>
        </is>
      </c>
      <c r="N244" t="inlineStr">
        <is>
          <t>2026-08-08</t>
        </is>
      </c>
      <c r="P244" t="inlineStr">
        <is>
          <t>Rev.00 Word technical file generated — see DOCUMENT_LIBRARY.FILE_URI; drawings/photos may remain PENDING</t>
        </is>
      </c>
      <c r="Q244" t="inlineStr">
        <is>
          <t>2026-08-10T19:29:54Z</t>
        </is>
      </c>
      <c r="R244" t="inlineStr">
        <is>
          <t>2026-08-10T19:29:54Z</t>
        </is>
      </c>
    </row>
    <row r="245">
      <c r="A245" s="19" t="inlineStr">
        <is>
          <t>244</t>
        </is>
      </c>
      <c r="B245" s="19" t="inlineStr">
        <is>
          <t>IA-PPWR-TF-CNT-20-STD-01-R00</t>
        </is>
      </c>
      <c r="C245" t="inlineStr">
        <is>
          <t>Technical File — CNT-20-STD-01</t>
        </is>
      </c>
      <c r="D245" s="19" t="n"/>
      <c r="E245" s="19" t="inlineStr">
        <is>
          <t>244</t>
        </is>
      </c>
      <c r="F245" s="19" t="n"/>
      <c r="G245" t="n">
        <v>0</v>
      </c>
      <c r="J245" t="inlineStr">
        <is>
          <t>REV00 CURRENT EVIDENCE BASIS — ARTICLE 5 ASSESSMENT BASIS</t>
        </is>
      </c>
      <c r="K245" t="inlineStr">
        <is>
          <t>PENDING – DRAWINGS / PHOTOGRAPHS</t>
        </is>
      </c>
      <c r="L245" s="19" t="inlineStr">
        <is>
          <t>1</t>
        </is>
      </c>
      <c r="M245" s="19" t="inlineStr">
        <is>
          <t>2</t>
        </is>
      </c>
      <c r="N245" t="inlineStr">
        <is>
          <t>2026-08-08</t>
        </is>
      </c>
      <c r="P245" t="inlineStr">
        <is>
          <t>Rev.00 Word technical file generated — see DOCUMENT_LIBRARY.FILE_URI; drawings/photos may remain PENDING</t>
        </is>
      </c>
      <c r="Q245" t="inlineStr">
        <is>
          <t>2026-08-10T19:29:54Z</t>
        </is>
      </c>
      <c r="R245" t="inlineStr">
        <is>
          <t>2026-08-10T19:29:54Z</t>
        </is>
      </c>
    </row>
    <row r="246">
      <c r="A246" s="19" t="inlineStr">
        <is>
          <t>245</t>
        </is>
      </c>
      <c r="B246" s="19" t="inlineStr">
        <is>
          <t>IA-PPWR-TF-CNT-20-EUR-01-R00</t>
        </is>
      </c>
      <c r="C246" t="inlineStr">
        <is>
          <t>Technical File — CNT-20-EUR-01</t>
        </is>
      </c>
      <c r="D246" s="19" t="n"/>
      <c r="E246" s="19" t="inlineStr">
        <is>
          <t>245</t>
        </is>
      </c>
      <c r="F246" s="19" t="n"/>
      <c r="G246" t="n">
        <v>0</v>
      </c>
      <c r="J246" t="inlineStr">
        <is>
          <t>REV00 CURRENT EVIDENCE BASIS — ARTICLE 5 ASSESSMENT BASIS</t>
        </is>
      </c>
      <c r="K246" t="inlineStr">
        <is>
          <t>PENDING – DRAWINGS / PHOTOGRAPHS</t>
        </is>
      </c>
      <c r="L246" s="19" t="inlineStr">
        <is>
          <t>1</t>
        </is>
      </c>
      <c r="M246" s="19" t="inlineStr">
        <is>
          <t>2</t>
        </is>
      </c>
      <c r="N246" t="inlineStr">
        <is>
          <t>2026-08-08</t>
        </is>
      </c>
      <c r="P246" t="inlineStr">
        <is>
          <t>Rev.00 Word technical file generated — see DOCUMENT_LIBRARY.FILE_URI; drawings/photos may remain PENDING</t>
        </is>
      </c>
      <c r="Q246" t="inlineStr">
        <is>
          <t>2026-08-10T19:29:54Z</t>
        </is>
      </c>
      <c r="R246" t="inlineStr">
        <is>
          <t>2026-08-10T19:29:54Z</t>
        </is>
      </c>
    </row>
    <row r="247">
      <c r="A247" s="19" t="inlineStr">
        <is>
          <t>246</t>
        </is>
      </c>
      <c r="B247" s="19" t="inlineStr">
        <is>
          <t>IA-PPWR-TF-CNT-40-IND-01-R00</t>
        </is>
      </c>
      <c r="C247" t="inlineStr">
        <is>
          <t>Technical File — CNT-40-IND-01</t>
        </is>
      </c>
      <c r="D247" s="19" t="n"/>
      <c r="E247" s="19" t="inlineStr">
        <is>
          <t>246</t>
        </is>
      </c>
      <c r="F247" s="19" t="n"/>
      <c r="G247" t="n">
        <v>0</v>
      </c>
      <c r="J247" t="inlineStr">
        <is>
          <t>REV00 CURRENT EVIDENCE BASIS — ARTICLE 5 ASSESSMENT BASIS</t>
        </is>
      </c>
      <c r="K247" t="inlineStr">
        <is>
          <t>PENDING – DRAWINGS / PHOTOGRAPHS</t>
        </is>
      </c>
      <c r="L247" s="19" t="inlineStr">
        <is>
          <t>1</t>
        </is>
      </c>
      <c r="M247" s="19" t="inlineStr">
        <is>
          <t>2</t>
        </is>
      </c>
      <c r="N247" t="inlineStr">
        <is>
          <t>2026-08-08</t>
        </is>
      </c>
      <c r="P247" t="inlineStr">
        <is>
          <t>Rev.00 Word technical file generated — see DOCUMENT_LIBRARY.FILE_URI; drawings/photos may remain PENDING</t>
        </is>
      </c>
      <c r="Q247" t="inlineStr">
        <is>
          <t>2026-08-10T19:29:54Z</t>
        </is>
      </c>
      <c r="R247" t="inlineStr">
        <is>
          <t>2026-08-10T19:29:54Z</t>
        </is>
      </c>
    </row>
    <row r="248">
      <c r="A248" s="19" t="inlineStr">
        <is>
          <t>247</t>
        </is>
      </c>
      <c r="B248" s="19" t="inlineStr">
        <is>
          <t>IA-PPWR-TF-CNT-DE-HAM-01-R00</t>
        </is>
      </c>
      <c r="C248" t="inlineStr">
        <is>
          <t>Technical File — CNT-DE-HAM-01</t>
        </is>
      </c>
      <c r="D248" s="19" t="n"/>
      <c r="E248" s="19" t="inlineStr">
        <is>
          <t>247</t>
        </is>
      </c>
      <c r="F248" s="19" t="n"/>
      <c r="G248" t="n">
        <v>0</v>
      </c>
      <c r="J248" t="inlineStr">
        <is>
          <t>REV00 CURRENT EVIDENCE BASIS — ARTICLE 5 ASSESSMENT BASIS</t>
        </is>
      </c>
      <c r="K248" t="inlineStr">
        <is>
          <t>PENDING – DRAWINGS / PHOTOGRAPHS</t>
        </is>
      </c>
      <c r="L248" s="19" t="inlineStr">
        <is>
          <t>1</t>
        </is>
      </c>
      <c r="M248" s="19" t="inlineStr">
        <is>
          <t>2</t>
        </is>
      </c>
      <c r="N248" t="inlineStr">
        <is>
          <t>2026-08-08</t>
        </is>
      </c>
      <c r="P248" t="inlineStr">
        <is>
          <t>Rev.00 Word technical file generated — see DOCUMENT_LIBRARY.FILE_URI; drawings/photos may remain PENDING</t>
        </is>
      </c>
      <c r="Q248" t="inlineStr">
        <is>
          <t>2026-08-10T19:29:54Z</t>
        </is>
      </c>
      <c r="R248" t="inlineStr">
        <is>
          <t>2026-08-10T19:29:54Z</t>
        </is>
      </c>
    </row>
  </sheetData>
  <dataValidations count="2">
    <dataValidation sqref="H2:H5000 N2:O5000" showDropDown="0" showInputMessage="0" showErrorMessage="1" allowBlank="1" errorTitle="Date" error="Enter a valid date (DD.MM.YYYY)" type="date" operator="greaterThan">
      <formula1>DATE(2000,1,1)</formula1>
    </dataValidation>
    <dataValidation sqref="M2:M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S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3"/>
    <col width="17" customWidth="1" min="4" max="4"/>
    <col width="14" customWidth="1" min="5" max="5"/>
    <col width="22" customWidth="1" min="6" max="7"/>
    <col width="19" customWidth="1" min="8" max="8"/>
    <col width="22" customWidth="1" min="9" max="9"/>
    <col width="28" customWidth="1" min="10" max="11"/>
    <col width="12" customWidth="1" min="12" max="12"/>
    <col width="13" customWidth="1" min="13" max="14"/>
    <col width="14" customWidth="1" min="15" max="15"/>
    <col width="13" customWidth="1" min="16" max="16"/>
    <col width="36" customWidth="1" min="17" max="17"/>
    <col width="12" customWidth="1" min="18" max="19"/>
  </cols>
  <sheetData>
    <row r="1" ht="27.95" customHeight="1">
      <c r="A1" s="6" t="inlineStr">
        <is>
          <t>DECLARATION_OF_CONFORMITY_ID</t>
        </is>
      </c>
      <c r="B1" s="6" t="inlineStr">
        <is>
          <t>DOC_NUMBER</t>
        </is>
      </c>
      <c r="C1" s="6" t="inlineStr">
        <is>
          <t>TITLE</t>
        </is>
      </c>
      <c r="D1" s="6" t="inlineStr">
        <is>
          <t>LEGAL_ENTITY_ID</t>
        </is>
      </c>
      <c r="E1" s="6" t="inlineStr">
        <is>
          <t>PRODUCT_ID</t>
        </is>
      </c>
      <c r="F1" s="6" t="inlineStr">
        <is>
          <t>PACKAGING_CONFIGURATION_ID</t>
        </is>
      </c>
      <c r="G1" s="6" t="inlineStr">
        <is>
          <t>TRANSPORT_CONFIGURATION_ID</t>
        </is>
      </c>
      <c r="H1" s="6" t="inlineStr">
        <is>
          <t>TECHNICAL_FILE_ID</t>
        </is>
      </c>
      <c r="I1" s="6" t="inlineStr">
        <is>
          <t>RESPONSIBLE_PERSON_ID</t>
        </is>
      </c>
      <c r="J1" s="6" t="inlineStr">
        <is>
          <t>REGULATION_REFERENCE</t>
        </is>
      </c>
      <c r="K1" s="6" t="inlineStr">
        <is>
          <t>CONFORMITY_STATEMENT</t>
        </is>
      </c>
      <c r="L1" s="6" t="inlineStr">
        <is>
          <t>ISSUE_DATE</t>
        </is>
      </c>
      <c r="M1" s="6" t="inlineStr">
        <is>
          <t>VALID_UNTIL</t>
        </is>
      </c>
      <c r="N1" s="6" t="inlineStr">
        <is>
          <t>REVISION_NO</t>
        </is>
      </c>
      <c r="O1" s="6" t="inlineStr">
        <is>
          <t>STATUS_ID</t>
        </is>
      </c>
      <c r="P1" s="6" t="inlineStr">
        <is>
          <t>APPROVED_AT</t>
        </is>
      </c>
      <c r="Q1" s="6" t="inlineStr">
        <is>
          <t>NOTES</t>
        </is>
      </c>
      <c r="R1" s="6" t="inlineStr">
        <is>
          <t>CREATED_AT</t>
        </is>
      </c>
      <c r="S1" s="6" t="inlineStr">
        <is>
          <t>UPDATED_AT</t>
        </is>
      </c>
    </row>
    <row r="2">
      <c r="A2" s="19" t="inlineStr">
        <is>
          <t>1</t>
        </is>
      </c>
      <c r="B2" s="19" t="inlineStr">
        <is>
          <t>IA-PPWR-DOC-ST-012-EUR-01-R00</t>
        </is>
      </c>
      <c r="C2" t="inlineStr">
        <is>
          <t>EU DoC — ST-012-EUR-01</t>
        </is>
      </c>
      <c r="D2" s="19" t="inlineStr">
        <is>
          <t>1</t>
        </is>
      </c>
      <c r="E2" s="19" t="n"/>
      <c r="F2" s="19" t="inlineStr">
        <is>
          <t>1</t>
        </is>
      </c>
      <c r="G2" s="19" t="n"/>
      <c r="H2" s="19" t="inlineStr">
        <is>
          <t>1</t>
        </is>
      </c>
      <c r="I2" s="19" t="inlineStr">
        <is>
          <t>1</t>
        </is>
      </c>
      <c r="J2" t="inlineStr">
        <is>
          <t>EU PPWR</t>
        </is>
      </c>
      <c r="K2" t="inlineStr">
        <is>
          <t>REV00 CURRENT EVIDENCE BASIS — ARTICLE 5 ASSESSMENT BASIS</t>
        </is>
      </c>
      <c r="L2" t="inlineStr">
        <is>
          <t>2026-08-08</t>
        </is>
      </c>
      <c r="N2" t="n">
        <v>0</v>
      </c>
      <c r="O2" s="19" t="inlineStr">
        <is>
          <t>2</t>
        </is>
      </c>
      <c r="Q2" t="inlineStr">
        <is>
          <t>Rev.00 Word EU DoC generated — see DOCUMENT_LIBRARY.FILE_URI; signature fields blank / not legally signed</t>
        </is>
      </c>
      <c r="R2" t="inlineStr">
        <is>
          <t>2026-08-10T19:29:54Z</t>
        </is>
      </c>
      <c r="S2" t="inlineStr">
        <is>
          <t>2026-08-10T19:29:54Z</t>
        </is>
      </c>
    </row>
    <row r="3">
      <c r="A3" s="19" t="inlineStr">
        <is>
          <t>2</t>
        </is>
      </c>
      <c r="B3" s="19" t="inlineStr">
        <is>
          <t>IA-PPWR-DOC-ST-012-EUR-02-R00</t>
        </is>
      </c>
      <c r="C3" t="inlineStr">
        <is>
          <t>EU DoC — ST-012-EUR-02</t>
        </is>
      </c>
      <c r="D3" s="19" t="inlineStr">
        <is>
          <t>1</t>
        </is>
      </c>
      <c r="E3" s="19" t="n"/>
      <c r="F3" s="19" t="inlineStr">
        <is>
          <t>2</t>
        </is>
      </c>
      <c r="G3" s="19" t="n"/>
      <c r="H3" s="19" t="inlineStr">
        <is>
          <t>2</t>
        </is>
      </c>
      <c r="I3" s="19" t="inlineStr">
        <is>
          <t>1</t>
        </is>
      </c>
      <c r="J3" t="inlineStr">
        <is>
          <t>EU PPWR</t>
        </is>
      </c>
      <c r="K3" t="inlineStr">
        <is>
          <t>REV00 CURRENT EVIDENCE BASIS — ARTICLE 5 ASSESSMENT BASIS</t>
        </is>
      </c>
      <c r="L3" t="inlineStr">
        <is>
          <t>2026-08-08</t>
        </is>
      </c>
      <c r="N3" t="n">
        <v>0</v>
      </c>
      <c r="O3" s="19" t="inlineStr">
        <is>
          <t>2</t>
        </is>
      </c>
      <c r="Q3" t="inlineStr">
        <is>
          <t>Rev.00 Word EU DoC generated — see DOCUMENT_LIBRARY.FILE_URI; signature fields blank / not legally signed</t>
        </is>
      </c>
      <c r="R3" t="inlineStr">
        <is>
          <t>2026-08-10T19:29:54Z</t>
        </is>
      </c>
      <c r="S3" t="inlineStr">
        <is>
          <t>2026-08-10T19:29:54Z</t>
        </is>
      </c>
    </row>
    <row r="4">
      <c r="A4" s="19" t="inlineStr">
        <is>
          <t>3</t>
        </is>
      </c>
      <c r="B4" s="19" t="inlineStr">
        <is>
          <t>IA-PPWR-DOC-ST-012-EUR-03-R00</t>
        </is>
      </c>
      <c r="C4" t="inlineStr">
        <is>
          <t>EU DoC — ST-012-EUR-03</t>
        </is>
      </c>
      <c r="D4" s="19" t="inlineStr">
        <is>
          <t>1</t>
        </is>
      </c>
      <c r="E4" s="19" t="n"/>
      <c r="F4" s="19" t="inlineStr">
        <is>
          <t>3</t>
        </is>
      </c>
      <c r="G4" s="19" t="n"/>
      <c r="H4" s="19" t="inlineStr">
        <is>
          <t>3</t>
        </is>
      </c>
      <c r="I4" s="19" t="inlineStr">
        <is>
          <t>1</t>
        </is>
      </c>
      <c r="J4" t="inlineStr">
        <is>
          <t>EU PPWR</t>
        </is>
      </c>
      <c r="K4" t="inlineStr">
        <is>
          <t>REV00 CURRENT EVIDENCE BASIS — ARTICLE 5 ASSESSMENT BASIS</t>
        </is>
      </c>
      <c r="L4" t="inlineStr">
        <is>
          <t>2026-08-08</t>
        </is>
      </c>
      <c r="N4" t="n">
        <v>0</v>
      </c>
      <c r="O4" s="19" t="inlineStr">
        <is>
          <t>2</t>
        </is>
      </c>
      <c r="Q4" t="inlineStr">
        <is>
          <t>Rev.00 Word EU DoC generated — see DOCUMENT_LIBRARY.FILE_URI; signature fields blank / not legally signed</t>
        </is>
      </c>
      <c r="R4" t="inlineStr">
        <is>
          <t>2026-08-10T19:29:54Z</t>
        </is>
      </c>
      <c r="S4" t="inlineStr">
        <is>
          <t>2026-08-10T19:29:54Z</t>
        </is>
      </c>
    </row>
    <row r="5">
      <c r="A5" s="19" t="inlineStr">
        <is>
          <t>4</t>
        </is>
      </c>
      <c r="B5" s="19" t="inlineStr">
        <is>
          <t>IA-PPWR-DOC-ST-018-EUR-01-R00</t>
        </is>
      </c>
      <c r="C5" t="inlineStr">
        <is>
          <t>EU DoC — ST-018-EUR-01</t>
        </is>
      </c>
      <c r="D5" s="19" t="inlineStr">
        <is>
          <t>1</t>
        </is>
      </c>
      <c r="E5" s="19" t="n"/>
      <c r="F5" s="19" t="inlineStr">
        <is>
          <t>4</t>
        </is>
      </c>
      <c r="G5" s="19" t="n"/>
      <c r="H5" s="19" t="inlineStr">
        <is>
          <t>4</t>
        </is>
      </c>
      <c r="I5" s="19" t="inlineStr">
        <is>
          <t>1</t>
        </is>
      </c>
      <c r="J5" t="inlineStr">
        <is>
          <t>EU PPWR</t>
        </is>
      </c>
      <c r="K5" t="inlineStr">
        <is>
          <t>REV00 CURRENT EVIDENCE BASIS — ARTICLE 5 ASSESSMENT BASIS</t>
        </is>
      </c>
      <c r="L5" t="inlineStr">
        <is>
          <t>2026-08-08</t>
        </is>
      </c>
      <c r="N5" t="n">
        <v>0</v>
      </c>
      <c r="O5" s="19" t="inlineStr">
        <is>
          <t>2</t>
        </is>
      </c>
      <c r="Q5" t="inlineStr">
        <is>
          <t>Rev.00 Word EU DoC generated — see DOCUMENT_LIBRARY.FILE_URI; signature fields blank / not legally signed</t>
        </is>
      </c>
      <c r="R5" t="inlineStr">
        <is>
          <t>2026-08-10T19:29:54Z</t>
        </is>
      </c>
      <c r="S5" t="inlineStr">
        <is>
          <t>2026-08-10T19:29:54Z</t>
        </is>
      </c>
    </row>
    <row r="6">
      <c r="A6" s="19" t="inlineStr">
        <is>
          <t>5</t>
        </is>
      </c>
      <c r="B6" s="19" t="inlineStr">
        <is>
          <t>IA-PPWR-DOC-ST-018-EUR-02-R00</t>
        </is>
      </c>
      <c r="C6" t="inlineStr">
        <is>
          <t>EU DoC — ST-018-EUR-02</t>
        </is>
      </c>
      <c r="D6" s="19" t="inlineStr">
        <is>
          <t>1</t>
        </is>
      </c>
      <c r="E6" s="19" t="n"/>
      <c r="F6" s="19" t="inlineStr">
        <is>
          <t>5</t>
        </is>
      </c>
      <c r="G6" s="19" t="n"/>
      <c r="H6" s="19" t="inlineStr">
        <is>
          <t>5</t>
        </is>
      </c>
      <c r="I6" s="19" t="inlineStr">
        <is>
          <t>1</t>
        </is>
      </c>
      <c r="J6" t="inlineStr">
        <is>
          <t>EU PPWR</t>
        </is>
      </c>
      <c r="K6" t="inlineStr">
        <is>
          <t>REV00 CURRENT EVIDENCE BASIS — ARTICLE 5 ASSESSMENT BASIS</t>
        </is>
      </c>
      <c r="L6" t="inlineStr">
        <is>
          <t>2026-08-08</t>
        </is>
      </c>
      <c r="N6" t="n">
        <v>0</v>
      </c>
      <c r="O6" s="19" t="inlineStr">
        <is>
          <t>2</t>
        </is>
      </c>
      <c r="Q6" t="inlineStr">
        <is>
          <t>Rev.00 Word EU DoC generated — see DOCUMENT_LIBRARY.FILE_URI; signature fields blank / not legally signed</t>
        </is>
      </c>
      <c r="R6" t="inlineStr">
        <is>
          <t>2026-08-10T19:29:54Z</t>
        </is>
      </c>
      <c r="S6" t="inlineStr">
        <is>
          <t>2026-08-10T19:29:54Z</t>
        </is>
      </c>
    </row>
    <row r="7">
      <c r="A7" s="19" t="inlineStr">
        <is>
          <t>6</t>
        </is>
      </c>
      <c r="B7" s="19" t="inlineStr">
        <is>
          <t>IA-PPWR-DOC-ST-018-EUR-03-R00</t>
        </is>
      </c>
      <c r="C7" t="inlineStr">
        <is>
          <t>EU DoC — ST-018-EUR-03</t>
        </is>
      </c>
      <c r="D7" s="19" t="inlineStr">
        <is>
          <t>1</t>
        </is>
      </c>
      <c r="E7" s="19" t="n"/>
      <c r="F7" s="19" t="inlineStr">
        <is>
          <t>6</t>
        </is>
      </c>
      <c r="G7" s="19" t="n"/>
      <c r="H7" s="19" t="inlineStr">
        <is>
          <t>6</t>
        </is>
      </c>
      <c r="I7" s="19" t="inlineStr">
        <is>
          <t>1</t>
        </is>
      </c>
      <c r="J7" t="inlineStr">
        <is>
          <t>EU PPWR</t>
        </is>
      </c>
      <c r="K7" t="inlineStr">
        <is>
          <t>REV00 CURRENT EVIDENCE BASIS — ARTICLE 5 ASSESSMENT BASIS</t>
        </is>
      </c>
      <c r="L7" t="inlineStr">
        <is>
          <t>2026-08-08</t>
        </is>
      </c>
      <c r="N7" t="n">
        <v>0</v>
      </c>
      <c r="O7" s="19" t="inlineStr">
        <is>
          <t>2</t>
        </is>
      </c>
      <c r="Q7" t="inlineStr">
        <is>
          <t>Rev.00 Word EU DoC generated — see DOCUMENT_LIBRARY.FILE_URI; signature fields blank / not legally signed</t>
        </is>
      </c>
      <c r="R7" t="inlineStr">
        <is>
          <t>2026-08-10T19:29:54Z</t>
        </is>
      </c>
      <c r="S7" t="inlineStr">
        <is>
          <t>2026-08-10T19:29:54Z</t>
        </is>
      </c>
    </row>
    <row r="8">
      <c r="A8" s="19" t="inlineStr">
        <is>
          <t>7</t>
        </is>
      </c>
      <c r="B8" s="19" t="inlineStr">
        <is>
          <t>IA-PPWR-DOC-ST-018-EUR-04-R00</t>
        </is>
      </c>
      <c r="C8" t="inlineStr">
        <is>
          <t>EU DoC — ST-018-EUR-04</t>
        </is>
      </c>
      <c r="D8" s="19" t="inlineStr">
        <is>
          <t>1</t>
        </is>
      </c>
      <c r="E8" s="19" t="n"/>
      <c r="F8" s="19" t="inlineStr">
        <is>
          <t>7</t>
        </is>
      </c>
      <c r="G8" s="19" t="n"/>
      <c r="H8" s="19" t="inlineStr">
        <is>
          <t>7</t>
        </is>
      </c>
      <c r="I8" s="19" t="inlineStr">
        <is>
          <t>1</t>
        </is>
      </c>
      <c r="J8" t="inlineStr">
        <is>
          <t>EU PPWR</t>
        </is>
      </c>
      <c r="K8" t="inlineStr">
        <is>
          <t>REV00 CURRENT EVIDENCE BASIS — ARTICLE 5 ASSESSMENT BASIS</t>
        </is>
      </c>
      <c r="L8" t="inlineStr">
        <is>
          <t>2026-08-08</t>
        </is>
      </c>
      <c r="N8" t="n">
        <v>0</v>
      </c>
      <c r="O8" s="19" t="inlineStr">
        <is>
          <t>2</t>
        </is>
      </c>
      <c r="Q8" t="inlineStr">
        <is>
          <t>Rev.00 Word EU DoC generated — see DOCUMENT_LIBRARY.FILE_URI; signature fields blank / not legally signed</t>
        </is>
      </c>
      <c r="R8" t="inlineStr">
        <is>
          <t>2026-08-10T19:29:54Z</t>
        </is>
      </c>
      <c r="S8" t="inlineStr">
        <is>
          <t>2026-08-10T19:29:54Z</t>
        </is>
      </c>
    </row>
    <row r="9">
      <c r="A9" s="19" t="inlineStr">
        <is>
          <t>8</t>
        </is>
      </c>
      <c r="B9" s="19" t="inlineStr">
        <is>
          <t>IA-PPWR-DOC-ST-018-EUR-05-R00</t>
        </is>
      </c>
      <c r="C9" t="inlineStr">
        <is>
          <t>EU DoC — ST-018-EUR-05</t>
        </is>
      </c>
      <c r="D9" s="19" t="inlineStr">
        <is>
          <t>1</t>
        </is>
      </c>
      <c r="E9" s="19" t="n"/>
      <c r="F9" s="19" t="inlineStr">
        <is>
          <t>8</t>
        </is>
      </c>
      <c r="G9" s="19" t="n"/>
      <c r="H9" s="19" t="inlineStr">
        <is>
          <t>8</t>
        </is>
      </c>
      <c r="I9" s="19" t="inlineStr">
        <is>
          <t>1</t>
        </is>
      </c>
      <c r="J9" t="inlineStr">
        <is>
          <t>EU PPWR</t>
        </is>
      </c>
      <c r="K9" t="inlineStr">
        <is>
          <t>REV00 CURRENT EVIDENCE BASIS — ARTICLE 5 ASSESSMENT BASIS</t>
        </is>
      </c>
      <c r="L9" t="inlineStr">
        <is>
          <t>2026-08-08</t>
        </is>
      </c>
      <c r="N9" t="n">
        <v>0</v>
      </c>
      <c r="O9" s="19" t="inlineStr">
        <is>
          <t>2</t>
        </is>
      </c>
      <c r="Q9" t="inlineStr">
        <is>
          <t>Rev.00 Word EU DoC generated — see DOCUMENT_LIBRARY.FILE_URI; signature fields blank / not legally signed</t>
        </is>
      </c>
      <c r="R9" t="inlineStr">
        <is>
          <t>2026-08-10T19:29:54Z</t>
        </is>
      </c>
      <c r="S9" t="inlineStr">
        <is>
          <t>2026-08-10T19:29:54Z</t>
        </is>
      </c>
    </row>
    <row r="10">
      <c r="A10" s="19" t="inlineStr">
        <is>
          <t>9</t>
        </is>
      </c>
      <c r="B10" s="19" t="inlineStr">
        <is>
          <t>IA-PPWR-DOC-ST-021-EUR-01-R00</t>
        </is>
      </c>
      <c r="C10" t="inlineStr">
        <is>
          <t>EU DoC — ST-021-EUR-01</t>
        </is>
      </c>
      <c r="D10" s="19" t="inlineStr">
        <is>
          <t>1</t>
        </is>
      </c>
      <c r="E10" s="19" t="n"/>
      <c r="F10" s="19" t="inlineStr">
        <is>
          <t>9</t>
        </is>
      </c>
      <c r="G10" s="19" t="n"/>
      <c r="H10" s="19" t="inlineStr">
        <is>
          <t>9</t>
        </is>
      </c>
      <c r="I10" s="19" t="inlineStr">
        <is>
          <t>1</t>
        </is>
      </c>
      <c r="J10" t="inlineStr">
        <is>
          <t>EU PPWR</t>
        </is>
      </c>
      <c r="K10" t="inlineStr">
        <is>
          <t>REV00 CURRENT EVIDENCE BASIS — ARTICLE 5 ASSESSMENT BASIS</t>
        </is>
      </c>
      <c r="L10" t="inlineStr">
        <is>
          <t>2026-08-08</t>
        </is>
      </c>
      <c r="N10" t="n">
        <v>0</v>
      </c>
      <c r="O10" s="19" t="inlineStr">
        <is>
          <t>2</t>
        </is>
      </c>
      <c r="Q10" t="inlineStr">
        <is>
          <t>Rev.00 Word EU DoC generated — see DOCUMENT_LIBRARY.FILE_URI; signature fields blank / not legally signed</t>
        </is>
      </c>
      <c r="R10" t="inlineStr">
        <is>
          <t>2026-08-10T19:29:54Z</t>
        </is>
      </c>
      <c r="S10" t="inlineStr">
        <is>
          <t>2026-08-10T19:29:54Z</t>
        </is>
      </c>
    </row>
    <row r="11">
      <c r="A11" s="19" t="inlineStr">
        <is>
          <t>10</t>
        </is>
      </c>
      <c r="B11" s="19" t="inlineStr">
        <is>
          <t>IA-PPWR-DOC-ST-021-EUR-02-R00</t>
        </is>
      </c>
      <c r="C11" t="inlineStr">
        <is>
          <t>EU DoC — ST-021-EUR-02</t>
        </is>
      </c>
      <c r="D11" s="19" t="inlineStr">
        <is>
          <t>1</t>
        </is>
      </c>
      <c r="E11" s="19" t="n"/>
      <c r="F11" s="19" t="inlineStr">
        <is>
          <t>10</t>
        </is>
      </c>
      <c r="G11" s="19" t="n"/>
      <c r="H11" s="19" t="inlineStr">
        <is>
          <t>10</t>
        </is>
      </c>
      <c r="I11" s="19" t="inlineStr">
        <is>
          <t>1</t>
        </is>
      </c>
      <c r="J11" t="inlineStr">
        <is>
          <t>EU PPWR</t>
        </is>
      </c>
      <c r="K11" t="inlineStr">
        <is>
          <t>REV00 CURRENT EVIDENCE BASIS — ARTICLE 5 ASSESSMENT BASIS</t>
        </is>
      </c>
      <c r="L11" t="inlineStr">
        <is>
          <t>2026-08-08</t>
        </is>
      </c>
      <c r="N11" t="n">
        <v>0</v>
      </c>
      <c r="O11" s="19" t="inlineStr">
        <is>
          <t>2</t>
        </is>
      </c>
      <c r="Q11" t="inlineStr">
        <is>
          <t>Rev.00 Word EU DoC generated — see DOCUMENT_LIBRARY.FILE_URI; signature fields blank / not legally signed</t>
        </is>
      </c>
      <c r="R11" t="inlineStr">
        <is>
          <t>2026-08-10T19:29:54Z</t>
        </is>
      </c>
      <c r="S11" t="inlineStr">
        <is>
          <t>2026-08-10T19:29:54Z</t>
        </is>
      </c>
    </row>
    <row r="12">
      <c r="A12" s="19" t="inlineStr">
        <is>
          <t>11</t>
        </is>
      </c>
      <c r="B12" s="19" t="inlineStr">
        <is>
          <t>IA-PPWR-DOC-ST-021-EUR-03-R00</t>
        </is>
      </c>
      <c r="C12" t="inlineStr">
        <is>
          <t>EU DoC — ST-021-EUR-03</t>
        </is>
      </c>
      <c r="D12" s="19" t="inlineStr">
        <is>
          <t>1</t>
        </is>
      </c>
      <c r="E12" s="19" t="n"/>
      <c r="F12" s="19" t="inlineStr">
        <is>
          <t>11</t>
        </is>
      </c>
      <c r="G12" s="19" t="n"/>
      <c r="H12" s="19" t="inlineStr">
        <is>
          <t>11</t>
        </is>
      </c>
      <c r="I12" s="19" t="inlineStr">
        <is>
          <t>1</t>
        </is>
      </c>
      <c r="J12" t="inlineStr">
        <is>
          <t>EU PPWR</t>
        </is>
      </c>
      <c r="K12" t="inlineStr">
        <is>
          <t>REV00 CURRENT EVIDENCE BASIS — ARTICLE 5 ASSESSMENT BASIS</t>
        </is>
      </c>
      <c r="L12" t="inlineStr">
        <is>
          <t>2026-08-08</t>
        </is>
      </c>
      <c r="N12" t="n">
        <v>0</v>
      </c>
      <c r="O12" s="19" t="inlineStr">
        <is>
          <t>2</t>
        </is>
      </c>
      <c r="Q12" t="inlineStr">
        <is>
          <t>Rev.00 Word EU DoC generated — see DOCUMENT_LIBRARY.FILE_URI; signature fields blank / not legally signed</t>
        </is>
      </c>
      <c r="R12" t="inlineStr">
        <is>
          <t>2026-08-10T19:29:54Z</t>
        </is>
      </c>
      <c r="S12" t="inlineStr">
        <is>
          <t>2026-08-10T19:29:54Z</t>
        </is>
      </c>
    </row>
    <row r="13">
      <c r="A13" s="19" t="inlineStr">
        <is>
          <t>12</t>
        </is>
      </c>
      <c r="B13" s="19" t="inlineStr">
        <is>
          <t>IA-PPWR-DOC-ST-021-EUR-04-R00</t>
        </is>
      </c>
      <c r="C13" t="inlineStr">
        <is>
          <t>EU DoC — ST-021-EUR-04</t>
        </is>
      </c>
      <c r="D13" s="19" t="inlineStr">
        <is>
          <t>1</t>
        </is>
      </c>
      <c r="E13" s="19" t="n"/>
      <c r="F13" s="19" t="inlineStr">
        <is>
          <t>12</t>
        </is>
      </c>
      <c r="G13" s="19" t="n"/>
      <c r="H13" s="19" t="inlineStr">
        <is>
          <t>12</t>
        </is>
      </c>
      <c r="I13" s="19" t="inlineStr">
        <is>
          <t>1</t>
        </is>
      </c>
      <c r="J13" t="inlineStr">
        <is>
          <t>EU PPWR</t>
        </is>
      </c>
      <c r="K13" t="inlineStr">
        <is>
          <t>REV00 CURRENT EVIDENCE BASIS — ARTICLE 5 ASSESSMENT BASIS</t>
        </is>
      </c>
      <c r="L13" t="inlineStr">
        <is>
          <t>2026-08-08</t>
        </is>
      </c>
      <c r="N13" t="n">
        <v>0</v>
      </c>
      <c r="O13" s="19" t="inlineStr">
        <is>
          <t>2</t>
        </is>
      </c>
      <c r="Q13" t="inlineStr">
        <is>
          <t>Rev.00 Word EU DoC generated — see DOCUMENT_LIBRARY.FILE_URI; signature fields blank / not legally signed</t>
        </is>
      </c>
      <c r="R13" t="inlineStr">
        <is>
          <t>2026-08-10T19:29:54Z</t>
        </is>
      </c>
      <c r="S13" t="inlineStr">
        <is>
          <t>2026-08-10T19:29:54Z</t>
        </is>
      </c>
    </row>
    <row r="14">
      <c r="A14" s="19" t="inlineStr">
        <is>
          <t>13</t>
        </is>
      </c>
      <c r="B14" s="19" t="inlineStr">
        <is>
          <t>IA-PPWR-DOC-ST-021-EUR-05-R00</t>
        </is>
      </c>
      <c r="C14" t="inlineStr">
        <is>
          <t>EU DoC — ST-021-EUR-05</t>
        </is>
      </c>
      <c r="D14" s="19" t="inlineStr">
        <is>
          <t>1</t>
        </is>
      </c>
      <c r="E14" s="19" t="n"/>
      <c r="F14" s="19" t="inlineStr">
        <is>
          <t>13</t>
        </is>
      </c>
      <c r="G14" s="19" t="n"/>
      <c r="H14" s="19" t="inlineStr">
        <is>
          <t>13</t>
        </is>
      </c>
      <c r="I14" s="19" t="inlineStr">
        <is>
          <t>1</t>
        </is>
      </c>
      <c r="J14" t="inlineStr">
        <is>
          <t>EU PPWR</t>
        </is>
      </c>
      <c r="K14" t="inlineStr">
        <is>
          <t>REV00 CURRENT EVIDENCE BASIS — ARTICLE 5 ASSESSMENT BASIS</t>
        </is>
      </c>
      <c r="L14" t="inlineStr">
        <is>
          <t>2026-08-08</t>
        </is>
      </c>
      <c r="N14" t="n">
        <v>0</v>
      </c>
      <c r="O14" s="19" t="inlineStr">
        <is>
          <t>2</t>
        </is>
      </c>
      <c r="Q14" t="inlineStr">
        <is>
          <t>Rev.00 Word EU DoC generated — see DOCUMENT_LIBRARY.FILE_URI; signature fields blank / not legally signed</t>
        </is>
      </c>
      <c r="R14" t="inlineStr">
        <is>
          <t>2026-08-10T19:29:54Z</t>
        </is>
      </c>
      <c r="S14" t="inlineStr">
        <is>
          <t>2026-08-10T19:29:54Z</t>
        </is>
      </c>
    </row>
    <row r="15">
      <c r="A15" s="19" t="inlineStr">
        <is>
          <t>14</t>
        </is>
      </c>
      <c r="B15" s="19" t="inlineStr">
        <is>
          <t>IA-PPWR-DOC-ST-021-STD-01-R00</t>
        </is>
      </c>
      <c r="C15" t="inlineStr">
        <is>
          <t>EU DoC — ST-021-STD-01</t>
        </is>
      </c>
      <c r="D15" s="19" t="inlineStr">
        <is>
          <t>1</t>
        </is>
      </c>
      <c r="E15" s="19" t="n"/>
      <c r="F15" s="19" t="inlineStr">
        <is>
          <t>14</t>
        </is>
      </c>
      <c r="G15" s="19" t="n"/>
      <c r="H15" s="19" t="inlineStr">
        <is>
          <t>14</t>
        </is>
      </c>
      <c r="I15" s="19" t="inlineStr">
        <is>
          <t>1</t>
        </is>
      </c>
      <c r="J15" t="inlineStr">
        <is>
          <t>EU PPWR</t>
        </is>
      </c>
      <c r="K15" t="inlineStr">
        <is>
          <t>REV00 CURRENT EVIDENCE BASIS — ARTICLE 5 ASSESSMENT BASIS</t>
        </is>
      </c>
      <c r="L15" t="inlineStr">
        <is>
          <t>2026-08-08</t>
        </is>
      </c>
      <c r="N15" t="n">
        <v>0</v>
      </c>
      <c r="O15" s="19" t="inlineStr">
        <is>
          <t>2</t>
        </is>
      </c>
      <c r="Q15" t="inlineStr">
        <is>
          <t>Rev.00 Word EU DoC generated — see DOCUMENT_LIBRARY.FILE_URI; signature fields blank / not legally signed</t>
        </is>
      </c>
      <c r="R15" t="inlineStr">
        <is>
          <t>2026-08-10T19:29:54Z</t>
        </is>
      </c>
      <c r="S15" t="inlineStr">
        <is>
          <t>2026-08-10T19:29:54Z</t>
        </is>
      </c>
    </row>
    <row r="16">
      <c r="A16" s="19" t="inlineStr">
        <is>
          <t>15</t>
        </is>
      </c>
      <c r="B16" s="19" t="inlineStr">
        <is>
          <t>IA-PPWR-DOC-ST-021-STD-02-R00</t>
        </is>
      </c>
      <c r="C16" t="inlineStr">
        <is>
          <t>EU DoC — ST-021-STD-02</t>
        </is>
      </c>
      <c r="D16" s="19" t="inlineStr">
        <is>
          <t>1</t>
        </is>
      </c>
      <c r="E16" s="19" t="n"/>
      <c r="F16" s="19" t="inlineStr">
        <is>
          <t>15</t>
        </is>
      </c>
      <c r="G16" s="19" t="n"/>
      <c r="H16" s="19" t="inlineStr">
        <is>
          <t>15</t>
        </is>
      </c>
      <c r="I16" s="19" t="inlineStr">
        <is>
          <t>1</t>
        </is>
      </c>
      <c r="J16" t="inlineStr">
        <is>
          <t>EU PPWR</t>
        </is>
      </c>
      <c r="K16" t="inlineStr">
        <is>
          <t>REV00 CURRENT EVIDENCE BASIS — ARTICLE 5 ASSESSMENT BASIS</t>
        </is>
      </c>
      <c r="L16" t="inlineStr">
        <is>
          <t>2026-08-08</t>
        </is>
      </c>
      <c r="N16" t="n">
        <v>0</v>
      </c>
      <c r="O16" s="19" t="inlineStr">
        <is>
          <t>2</t>
        </is>
      </c>
      <c r="Q16" t="inlineStr">
        <is>
          <t>Rev.00 Word EU DoC generated — see DOCUMENT_LIBRARY.FILE_URI; signature fields blank / not legally signed</t>
        </is>
      </c>
      <c r="R16" t="inlineStr">
        <is>
          <t>2026-08-10T19:29:54Z</t>
        </is>
      </c>
      <c r="S16" t="inlineStr">
        <is>
          <t>2026-08-10T19:29:54Z</t>
        </is>
      </c>
    </row>
    <row r="17">
      <c r="A17" s="19" t="inlineStr">
        <is>
          <t>16</t>
        </is>
      </c>
      <c r="B17" s="19" t="inlineStr">
        <is>
          <t>IA-PPWR-DOC-ST-021-STD-03-R00</t>
        </is>
      </c>
      <c r="C17" t="inlineStr">
        <is>
          <t>EU DoC — ST-021-STD-03</t>
        </is>
      </c>
      <c r="D17" s="19" t="inlineStr">
        <is>
          <t>1</t>
        </is>
      </c>
      <c r="E17" s="19" t="n"/>
      <c r="F17" s="19" t="inlineStr">
        <is>
          <t>16</t>
        </is>
      </c>
      <c r="G17" s="19" t="n"/>
      <c r="H17" s="19" t="inlineStr">
        <is>
          <t>16</t>
        </is>
      </c>
      <c r="I17" s="19" t="inlineStr">
        <is>
          <t>1</t>
        </is>
      </c>
      <c r="J17" t="inlineStr">
        <is>
          <t>EU PPWR</t>
        </is>
      </c>
      <c r="K17" t="inlineStr">
        <is>
          <t>REV00 CURRENT EVIDENCE BASIS — ARTICLE 5 ASSESSMENT BASIS</t>
        </is>
      </c>
      <c r="L17" t="inlineStr">
        <is>
          <t>2026-08-08</t>
        </is>
      </c>
      <c r="N17" t="n">
        <v>0</v>
      </c>
      <c r="O17" s="19" t="inlineStr">
        <is>
          <t>2</t>
        </is>
      </c>
      <c r="Q17" t="inlineStr">
        <is>
          <t>Rev.00 Word EU DoC generated — see DOCUMENT_LIBRARY.FILE_URI; signature fields blank / not legally signed</t>
        </is>
      </c>
      <c r="R17" t="inlineStr">
        <is>
          <t>2026-08-10T19:29:54Z</t>
        </is>
      </c>
      <c r="S17" t="inlineStr">
        <is>
          <t>2026-08-10T19:29:54Z</t>
        </is>
      </c>
    </row>
    <row r="18">
      <c r="A18" s="19" t="inlineStr">
        <is>
          <t>17</t>
        </is>
      </c>
      <c r="B18" s="19" t="inlineStr">
        <is>
          <t>IA-PPWR-DOC-ST-021-STD-04-R00</t>
        </is>
      </c>
      <c r="C18" t="inlineStr">
        <is>
          <t>EU DoC — ST-021-STD-04</t>
        </is>
      </c>
      <c r="D18" s="19" t="inlineStr">
        <is>
          <t>1</t>
        </is>
      </c>
      <c r="E18" s="19" t="n"/>
      <c r="F18" s="19" t="inlineStr">
        <is>
          <t>17</t>
        </is>
      </c>
      <c r="G18" s="19" t="n"/>
      <c r="H18" s="19" t="inlineStr">
        <is>
          <t>17</t>
        </is>
      </c>
      <c r="I18" s="19" t="inlineStr">
        <is>
          <t>1</t>
        </is>
      </c>
      <c r="J18" t="inlineStr">
        <is>
          <t>EU PPWR</t>
        </is>
      </c>
      <c r="K18" t="inlineStr">
        <is>
          <t>REV00 CURRENT EVIDENCE BASIS — ARTICLE 5 ASSESSMENT BASIS</t>
        </is>
      </c>
      <c r="L18" t="inlineStr">
        <is>
          <t>2026-08-08</t>
        </is>
      </c>
      <c r="N18" t="n">
        <v>0</v>
      </c>
      <c r="O18" s="19" t="inlineStr">
        <is>
          <t>2</t>
        </is>
      </c>
      <c r="Q18" t="inlineStr">
        <is>
          <t>Rev.00 Word EU DoC generated — see DOCUMENT_LIBRARY.FILE_URI; signature fields blank / not legally signed</t>
        </is>
      </c>
      <c r="R18" t="inlineStr">
        <is>
          <t>2026-08-10T19:29:54Z</t>
        </is>
      </c>
      <c r="S18" t="inlineStr">
        <is>
          <t>2026-08-10T19:29:54Z</t>
        </is>
      </c>
    </row>
    <row r="19">
      <c r="A19" s="19" t="inlineStr">
        <is>
          <t>18</t>
        </is>
      </c>
      <c r="B19" s="19" t="inlineStr">
        <is>
          <t>IA-PPWR-DOC-ST-021-STD-05-R00</t>
        </is>
      </c>
      <c r="C19" t="inlineStr">
        <is>
          <t>EU DoC — ST-021-STD-05</t>
        </is>
      </c>
      <c r="D19" s="19" t="inlineStr">
        <is>
          <t>1</t>
        </is>
      </c>
      <c r="E19" s="19" t="n"/>
      <c r="F19" s="19" t="inlineStr">
        <is>
          <t>18</t>
        </is>
      </c>
      <c r="G19" s="19" t="n"/>
      <c r="H19" s="19" t="inlineStr">
        <is>
          <t>18</t>
        </is>
      </c>
      <c r="I19" s="19" t="inlineStr">
        <is>
          <t>1</t>
        </is>
      </c>
      <c r="J19" t="inlineStr">
        <is>
          <t>EU PPWR</t>
        </is>
      </c>
      <c r="K19" t="inlineStr">
        <is>
          <t>REV00 CURRENT EVIDENCE BASIS — ARTICLE 5 ASSESSMENT BASIS</t>
        </is>
      </c>
      <c r="L19" t="inlineStr">
        <is>
          <t>2026-08-08</t>
        </is>
      </c>
      <c r="N19" t="n">
        <v>0</v>
      </c>
      <c r="O19" s="19" t="inlineStr">
        <is>
          <t>2</t>
        </is>
      </c>
      <c r="Q19" t="inlineStr">
        <is>
          <t>Rev.00 Word EU DoC generated — see DOCUMENT_LIBRARY.FILE_URI; signature fields blank / not legally signed</t>
        </is>
      </c>
      <c r="R19" t="inlineStr">
        <is>
          <t>2026-08-10T19:29:54Z</t>
        </is>
      </c>
      <c r="S19" t="inlineStr">
        <is>
          <t>2026-08-10T19:29:54Z</t>
        </is>
      </c>
    </row>
    <row r="20">
      <c r="A20" s="19" t="inlineStr">
        <is>
          <t>19</t>
        </is>
      </c>
      <c r="B20" s="19" t="inlineStr">
        <is>
          <t>IA-PPWR-DOC-ST-024-EUR-01-R00</t>
        </is>
      </c>
      <c r="C20" t="inlineStr">
        <is>
          <t>EU DoC — ST-024-EUR-01</t>
        </is>
      </c>
      <c r="D20" s="19" t="inlineStr">
        <is>
          <t>1</t>
        </is>
      </c>
      <c r="E20" s="19" t="n"/>
      <c r="F20" s="19" t="inlineStr">
        <is>
          <t>19</t>
        </is>
      </c>
      <c r="G20" s="19" t="n"/>
      <c r="H20" s="19" t="inlineStr">
        <is>
          <t>19</t>
        </is>
      </c>
      <c r="I20" s="19" t="inlineStr">
        <is>
          <t>1</t>
        </is>
      </c>
      <c r="J20" t="inlineStr">
        <is>
          <t>EU PPWR</t>
        </is>
      </c>
      <c r="K20" t="inlineStr">
        <is>
          <t>REV00 CURRENT EVIDENCE BASIS — ARTICLE 5 ASSESSMENT BASIS</t>
        </is>
      </c>
      <c r="L20" t="inlineStr">
        <is>
          <t>2026-08-08</t>
        </is>
      </c>
      <c r="N20" t="n">
        <v>0</v>
      </c>
      <c r="O20" s="19" t="inlineStr">
        <is>
          <t>2</t>
        </is>
      </c>
      <c r="Q20" t="inlineStr">
        <is>
          <t>Rev.00 Word EU DoC generated — see DOCUMENT_LIBRARY.FILE_URI; signature fields blank / not legally signed</t>
        </is>
      </c>
      <c r="R20" t="inlineStr">
        <is>
          <t>2026-08-10T19:29:54Z</t>
        </is>
      </c>
      <c r="S20" t="inlineStr">
        <is>
          <t>2026-08-10T19:29:54Z</t>
        </is>
      </c>
    </row>
    <row r="21">
      <c r="A21" s="19" t="inlineStr">
        <is>
          <t>20</t>
        </is>
      </c>
      <c r="B21" s="19" t="inlineStr">
        <is>
          <t>IA-PPWR-DOC-ST-024-EUR-02-R00</t>
        </is>
      </c>
      <c r="C21" t="inlineStr">
        <is>
          <t>EU DoC — ST-024-EUR-02</t>
        </is>
      </c>
      <c r="D21" s="19" t="inlineStr">
        <is>
          <t>1</t>
        </is>
      </c>
      <c r="E21" s="19" t="n"/>
      <c r="F21" s="19" t="inlineStr">
        <is>
          <t>20</t>
        </is>
      </c>
      <c r="G21" s="19" t="n"/>
      <c r="H21" s="19" t="inlineStr">
        <is>
          <t>20</t>
        </is>
      </c>
      <c r="I21" s="19" t="inlineStr">
        <is>
          <t>1</t>
        </is>
      </c>
      <c r="J21" t="inlineStr">
        <is>
          <t>EU PPWR</t>
        </is>
      </c>
      <c r="K21" t="inlineStr">
        <is>
          <t>REV00 CURRENT EVIDENCE BASIS — ARTICLE 5 ASSESSMENT BASIS</t>
        </is>
      </c>
      <c r="L21" t="inlineStr">
        <is>
          <t>2026-08-08</t>
        </is>
      </c>
      <c r="N21" t="n">
        <v>0</v>
      </c>
      <c r="O21" s="19" t="inlineStr">
        <is>
          <t>2</t>
        </is>
      </c>
      <c r="Q21" t="inlineStr">
        <is>
          <t>Rev.00 Word EU DoC generated — see DOCUMENT_LIBRARY.FILE_URI; signature fields blank / not legally signed</t>
        </is>
      </c>
      <c r="R21" t="inlineStr">
        <is>
          <t>2026-08-10T19:29:54Z</t>
        </is>
      </c>
      <c r="S21" t="inlineStr">
        <is>
          <t>2026-08-10T19:29:54Z</t>
        </is>
      </c>
    </row>
    <row r="22">
      <c r="A22" s="19" t="inlineStr">
        <is>
          <t>21</t>
        </is>
      </c>
      <c r="B22" s="19" t="inlineStr">
        <is>
          <t>IA-PPWR-DOC-ST-024-EUR-03-R00</t>
        </is>
      </c>
      <c r="C22" t="inlineStr">
        <is>
          <t>EU DoC — ST-024-EUR-03</t>
        </is>
      </c>
      <c r="D22" s="19" t="inlineStr">
        <is>
          <t>1</t>
        </is>
      </c>
      <c r="E22" s="19" t="n"/>
      <c r="F22" s="19" t="inlineStr">
        <is>
          <t>21</t>
        </is>
      </c>
      <c r="G22" s="19" t="n"/>
      <c r="H22" s="19" t="inlineStr">
        <is>
          <t>21</t>
        </is>
      </c>
      <c r="I22" s="19" t="inlineStr">
        <is>
          <t>1</t>
        </is>
      </c>
      <c r="J22" t="inlineStr">
        <is>
          <t>EU PPWR</t>
        </is>
      </c>
      <c r="K22" t="inlineStr">
        <is>
          <t>REV00 CURRENT EVIDENCE BASIS — ARTICLE 5 ASSESSMENT BASIS</t>
        </is>
      </c>
      <c r="L22" t="inlineStr">
        <is>
          <t>2026-08-08</t>
        </is>
      </c>
      <c r="N22" t="n">
        <v>0</v>
      </c>
      <c r="O22" s="19" t="inlineStr">
        <is>
          <t>2</t>
        </is>
      </c>
      <c r="Q22" t="inlineStr">
        <is>
          <t>Rev.00 Word EU DoC generated — see DOCUMENT_LIBRARY.FILE_URI; signature fields blank / not legally signed</t>
        </is>
      </c>
      <c r="R22" t="inlineStr">
        <is>
          <t>2026-08-10T19:29:54Z</t>
        </is>
      </c>
      <c r="S22" t="inlineStr">
        <is>
          <t>2026-08-10T19:29:54Z</t>
        </is>
      </c>
    </row>
    <row r="23">
      <c r="A23" s="19" t="inlineStr">
        <is>
          <t>22</t>
        </is>
      </c>
      <c r="B23" s="19" t="inlineStr">
        <is>
          <t>IA-PPWR-DOC-ST-024-EUR-04-R00</t>
        </is>
      </c>
      <c r="C23" t="inlineStr">
        <is>
          <t>EU DoC — ST-024-EUR-04</t>
        </is>
      </c>
      <c r="D23" s="19" t="inlineStr">
        <is>
          <t>1</t>
        </is>
      </c>
      <c r="E23" s="19" t="n"/>
      <c r="F23" s="19" t="inlineStr">
        <is>
          <t>22</t>
        </is>
      </c>
      <c r="G23" s="19" t="n"/>
      <c r="H23" s="19" t="inlineStr">
        <is>
          <t>22</t>
        </is>
      </c>
      <c r="I23" s="19" t="inlineStr">
        <is>
          <t>1</t>
        </is>
      </c>
      <c r="J23" t="inlineStr">
        <is>
          <t>EU PPWR</t>
        </is>
      </c>
      <c r="K23" t="inlineStr">
        <is>
          <t>REV00 CURRENT EVIDENCE BASIS — ARTICLE 5 ASSESSMENT BASIS</t>
        </is>
      </c>
      <c r="L23" t="inlineStr">
        <is>
          <t>2026-08-08</t>
        </is>
      </c>
      <c r="N23" t="n">
        <v>0</v>
      </c>
      <c r="O23" s="19" t="inlineStr">
        <is>
          <t>2</t>
        </is>
      </c>
      <c r="Q23" t="inlineStr">
        <is>
          <t>Rev.00 Word EU DoC generated — see DOCUMENT_LIBRARY.FILE_URI; signature fields blank / not legally signed</t>
        </is>
      </c>
      <c r="R23" t="inlineStr">
        <is>
          <t>2026-08-10T19:29:54Z</t>
        </is>
      </c>
      <c r="S23" t="inlineStr">
        <is>
          <t>2026-08-10T19:29:54Z</t>
        </is>
      </c>
    </row>
    <row r="24">
      <c r="A24" s="19" t="inlineStr">
        <is>
          <t>23</t>
        </is>
      </c>
      <c r="B24" s="19" t="inlineStr">
        <is>
          <t>IA-PPWR-DOC-ST-024-STD-01-R00</t>
        </is>
      </c>
      <c r="C24" t="inlineStr">
        <is>
          <t>EU DoC — ST-024-STD-01</t>
        </is>
      </c>
      <c r="D24" s="19" t="inlineStr">
        <is>
          <t>1</t>
        </is>
      </c>
      <c r="E24" s="19" t="n"/>
      <c r="F24" s="19" t="inlineStr">
        <is>
          <t>23</t>
        </is>
      </c>
      <c r="G24" s="19" t="n"/>
      <c r="H24" s="19" t="inlineStr">
        <is>
          <t>23</t>
        </is>
      </c>
      <c r="I24" s="19" t="inlineStr">
        <is>
          <t>1</t>
        </is>
      </c>
      <c r="J24" t="inlineStr">
        <is>
          <t>EU PPWR</t>
        </is>
      </c>
      <c r="K24" t="inlineStr">
        <is>
          <t>REV00 CURRENT EVIDENCE BASIS — ARTICLE 5 ASSESSMENT BASIS</t>
        </is>
      </c>
      <c r="L24" t="inlineStr">
        <is>
          <t>2026-08-08</t>
        </is>
      </c>
      <c r="N24" t="n">
        <v>0</v>
      </c>
      <c r="O24" s="19" t="inlineStr">
        <is>
          <t>2</t>
        </is>
      </c>
      <c r="Q24" t="inlineStr">
        <is>
          <t>Rev.00 Word EU DoC generated — see DOCUMENT_LIBRARY.FILE_URI; signature fields blank / not legally signed</t>
        </is>
      </c>
      <c r="R24" t="inlineStr">
        <is>
          <t>2026-08-10T19:29:54Z</t>
        </is>
      </c>
      <c r="S24" t="inlineStr">
        <is>
          <t>2026-08-10T19:29:54Z</t>
        </is>
      </c>
    </row>
    <row r="25">
      <c r="A25" s="19" t="inlineStr">
        <is>
          <t>24</t>
        </is>
      </c>
      <c r="B25" s="19" t="inlineStr">
        <is>
          <t>IA-PPWR-DOC-ST-027-STD90-01-R00</t>
        </is>
      </c>
      <c r="C25" t="inlineStr">
        <is>
          <t>EU DoC — ST-027-STD90-01</t>
        </is>
      </c>
      <c r="D25" s="19" t="inlineStr">
        <is>
          <t>1</t>
        </is>
      </c>
      <c r="E25" s="19" t="n"/>
      <c r="F25" s="19" t="inlineStr">
        <is>
          <t>24</t>
        </is>
      </c>
      <c r="G25" s="19" t="n"/>
      <c r="H25" s="19" t="inlineStr">
        <is>
          <t>24</t>
        </is>
      </c>
      <c r="I25" s="19" t="inlineStr">
        <is>
          <t>1</t>
        </is>
      </c>
      <c r="J25" t="inlineStr">
        <is>
          <t>EU PPWR</t>
        </is>
      </c>
      <c r="K25" t="inlineStr">
        <is>
          <t>REV00 CURRENT EVIDENCE BASIS — ARTICLE 5 ASSESSMENT BASIS</t>
        </is>
      </c>
      <c r="L25" t="inlineStr">
        <is>
          <t>2026-08-08</t>
        </is>
      </c>
      <c r="N25" t="n">
        <v>0</v>
      </c>
      <c r="O25" s="19" t="inlineStr">
        <is>
          <t>2</t>
        </is>
      </c>
      <c r="Q25" t="inlineStr">
        <is>
          <t>Rev.00 Word EU DoC generated — see DOCUMENT_LIBRARY.FILE_URI; signature fields blank / not legally signed</t>
        </is>
      </c>
      <c r="R25" t="inlineStr">
        <is>
          <t>2026-08-10T19:29:54Z</t>
        </is>
      </c>
      <c r="S25" t="inlineStr">
        <is>
          <t>2026-08-10T19:29:54Z</t>
        </is>
      </c>
    </row>
    <row r="26">
      <c r="A26" s="19" t="inlineStr">
        <is>
          <t>25</t>
        </is>
      </c>
      <c r="B26" s="19" t="inlineStr">
        <is>
          <t>IA-PPWR-DOC-ST-027-STD90-02-R00</t>
        </is>
      </c>
      <c r="C26" t="inlineStr">
        <is>
          <t>EU DoC — ST-027-STD90-02</t>
        </is>
      </c>
      <c r="D26" s="19" t="inlineStr">
        <is>
          <t>1</t>
        </is>
      </c>
      <c r="E26" s="19" t="n"/>
      <c r="F26" s="19" t="inlineStr">
        <is>
          <t>25</t>
        </is>
      </c>
      <c r="G26" s="19" t="n"/>
      <c r="H26" s="19" t="inlineStr">
        <is>
          <t>25</t>
        </is>
      </c>
      <c r="I26" s="19" t="inlineStr">
        <is>
          <t>1</t>
        </is>
      </c>
      <c r="J26" t="inlineStr">
        <is>
          <t>EU PPWR</t>
        </is>
      </c>
      <c r="K26" t="inlineStr">
        <is>
          <t>REV00 CURRENT EVIDENCE BASIS — ARTICLE 5 ASSESSMENT BASIS</t>
        </is>
      </c>
      <c r="L26" t="inlineStr">
        <is>
          <t>2026-08-08</t>
        </is>
      </c>
      <c r="N26" t="n">
        <v>0</v>
      </c>
      <c r="O26" s="19" t="inlineStr">
        <is>
          <t>2</t>
        </is>
      </c>
      <c r="Q26" t="inlineStr">
        <is>
          <t>Rev.00 Word EU DoC generated — see DOCUMENT_LIBRARY.FILE_URI; signature fields blank / not legally signed</t>
        </is>
      </c>
      <c r="R26" t="inlineStr">
        <is>
          <t>2026-08-10T19:29:54Z</t>
        </is>
      </c>
      <c r="S26" t="inlineStr">
        <is>
          <t>2026-08-10T19:29:54Z</t>
        </is>
      </c>
    </row>
    <row r="27">
      <c r="A27" s="19" t="inlineStr">
        <is>
          <t>26</t>
        </is>
      </c>
      <c r="B27" s="19" t="inlineStr">
        <is>
          <t>IA-PPWR-DOC-ST-028-STD-01-R00</t>
        </is>
      </c>
      <c r="C27" t="inlineStr">
        <is>
          <t>EU DoC — ST-028-STD-01</t>
        </is>
      </c>
      <c r="D27" s="19" t="inlineStr">
        <is>
          <t>1</t>
        </is>
      </c>
      <c r="E27" s="19" t="n"/>
      <c r="F27" s="19" t="inlineStr">
        <is>
          <t>26</t>
        </is>
      </c>
      <c r="G27" s="19" t="n"/>
      <c r="H27" s="19" t="inlineStr">
        <is>
          <t>26</t>
        </is>
      </c>
      <c r="I27" s="19" t="inlineStr">
        <is>
          <t>1</t>
        </is>
      </c>
      <c r="J27" t="inlineStr">
        <is>
          <t>EU PPWR</t>
        </is>
      </c>
      <c r="K27" t="inlineStr">
        <is>
          <t>REV00 CURRENT EVIDENCE BASIS — ARTICLE 5 ASSESSMENT BASIS</t>
        </is>
      </c>
      <c r="L27" t="inlineStr">
        <is>
          <t>2026-08-08</t>
        </is>
      </c>
      <c r="N27" t="n">
        <v>0</v>
      </c>
      <c r="O27" s="19" t="inlineStr">
        <is>
          <t>2</t>
        </is>
      </c>
      <c r="Q27" t="inlineStr">
        <is>
          <t>Rev.00 Word EU DoC generated — see DOCUMENT_LIBRARY.FILE_URI; signature fields blank / not legally signed</t>
        </is>
      </c>
      <c r="R27" t="inlineStr">
        <is>
          <t>2026-08-10T19:29:54Z</t>
        </is>
      </c>
      <c r="S27" t="inlineStr">
        <is>
          <t>2026-08-10T19:29:54Z</t>
        </is>
      </c>
    </row>
    <row r="28">
      <c r="A28" s="19" t="inlineStr">
        <is>
          <t>27</t>
        </is>
      </c>
      <c r="B28" s="19" t="inlineStr">
        <is>
          <t>IA-PPWR-DOC-ST-030-STD-01-R00</t>
        </is>
      </c>
      <c r="C28" t="inlineStr">
        <is>
          <t>EU DoC — ST-030-STD-01</t>
        </is>
      </c>
      <c r="D28" s="19" t="inlineStr">
        <is>
          <t>1</t>
        </is>
      </c>
      <c r="E28" s="19" t="n"/>
      <c r="F28" s="19" t="inlineStr">
        <is>
          <t>27</t>
        </is>
      </c>
      <c r="G28" s="19" t="n"/>
      <c r="H28" s="19" t="inlineStr">
        <is>
          <t>27</t>
        </is>
      </c>
      <c r="I28" s="19" t="inlineStr">
        <is>
          <t>1</t>
        </is>
      </c>
      <c r="J28" t="inlineStr">
        <is>
          <t>EU PPWR</t>
        </is>
      </c>
      <c r="K28" t="inlineStr">
        <is>
          <t>REV00 CURRENT EVIDENCE BASIS — ARTICLE 5 ASSESSMENT BASIS</t>
        </is>
      </c>
      <c r="L28" t="inlineStr">
        <is>
          <t>2026-08-08</t>
        </is>
      </c>
      <c r="N28" t="n">
        <v>0</v>
      </c>
      <c r="O28" s="19" t="inlineStr">
        <is>
          <t>2</t>
        </is>
      </c>
      <c r="Q28" t="inlineStr">
        <is>
          <t>Rev.00 Word EU DoC generated — see DOCUMENT_LIBRARY.FILE_URI; signature fields blank / not legally signed</t>
        </is>
      </c>
      <c r="R28" t="inlineStr">
        <is>
          <t>2026-08-10T19:29:54Z</t>
        </is>
      </c>
      <c r="S28" t="inlineStr">
        <is>
          <t>2026-08-10T19:29:54Z</t>
        </is>
      </c>
    </row>
    <row r="29">
      <c r="A29" s="19" t="inlineStr">
        <is>
          <t>28</t>
        </is>
      </c>
      <c r="B29" s="19" t="inlineStr">
        <is>
          <t>IA-PPWR-DOC-ST-030-STD-02-R00</t>
        </is>
      </c>
      <c r="C29" t="inlineStr">
        <is>
          <t>EU DoC — ST-030-STD-02</t>
        </is>
      </c>
      <c r="D29" s="19" t="inlineStr">
        <is>
          <t>1</t>
        </is>
      </c>
      <c r="E29" s="19" t="n"/>
      <c r="F29" s="19" t="inlineStr">
        <is>
          <t>28</t>
        </is>
      </c>
      <c r="G29" s="19" t="n"/>
      <c r="H29" s="19" t="inlineStr">
        <is>
          <t>28</t>
        </is>
      </c>
      <c r="I29" s="19" t="inlineStr">
        <is>
          <t>1</t>
        </is>
      </c>
      <c r="J29" t="inlineStr">
        <is>
          <t>EU PPWR</t>
        </is>
      </c>
      <c r="K29" t="inlineStr">
        <is>
          <t>REV00 CURRENT EVIDENCE BASIS — ARTICLE 5 ASSESSMENT BASIS</t>
        </is>
      </c>
      <c r="L29" t="inlineStr">
        <is>
          <t>2026-08-08</t>
        </is>
      </c>
      <c r="N29" t="n">
        <v>0</v>
      </c>
      <c r="O29" s="19" t="inlineStr">
        <is>
          <t>2</t>
        </is>
      </c>
      <c r="Q29" t="inlineStr">
        <is>
          <t>Rev.00 Word EU DoC generated — see DOCUMENT_LIBRARY.FILE_URI; signature fields blank / not legally signed</t>
        </is>
      </c>
      <c r="R29" t="inlineStr">
        <is>
          <t>2026-08-10T19:29:54Z</t>
        </is>
      </c>
      <c r="S29" t="inlineStr">
        <is>
          <t>2026-08-10T19:29:54Z</t>
        </is>
      </c>
    </row>
    <row r="30">
      <c r="A30" s="19" t="inlineStr">
        <is>
          <t>29</t>
        </is>
      </c>
      <c r="B30" s="19" t="inlineStr">
        <is>
          <t>IA-PPWR-DOC-ST-030-STD-03-R00</t>
        </is>
      </c>
      <c r="C30" t="inlineStr">
        <is>
          <t>EU DoC — ST-030-STD-03</t>
        </is>
      </c>
      <c r="D30" s="19" t="inlineStr">
        <is>
          <t>1</t>
        </is>
      </c>
      <c r="E30" s="19" t="n"/>
      <c r="F30" s="19" t="inlineStr">
        <is>
          <t>29</t>
        </is>
      </c>
      <c r="G30" s="19" t="n"/>
      <c r="H30" s="19" t="inlineStr">
        <is>
          <t>29</t>
        </is>
      </c>
      <c r="I30" s="19" t="inlineStr">
        <is>
          <t>1</t>
        </is>
      </c>
      <c r="J30" t="inlineStr">
        <is>
          <t>EU PPWR</t>
        </is>
      </c>
      <c r="K30" t="inlineStr">
        <is>
          <t>REV00 CURRENT EVIDENCE BASIS — ARTICLE 5 ASSESSMENT BASIS</t>
        </is>
      </c>
      <c r="L30" t="inlineStr">
        <is>
          <t>2026-08-08</t>
        </is>
      </c>
      <c r="N30" t="n">
        <v>0</v>
      </c>
      <c r="O30" s="19" t="inlineStr">
        <is>
          <t>2</t>
        </is>
      </c>
      <c r="Q30" t="inlineStr">
        <is>
          <t>Rev.00 Word EU DoC generated — see DOCUMENT_LIBRARY.FILE_URI; signature fields blank / not legally signed</t>
        </is>
      </c>
      <c r="R30" t="inlineStr">
        <is>
          <t>2026-08-10T19:29:54Z</t>
        </is>
      </c>
      <c r="S30" t="inlineStr">
        <is>
          <t>2026-08-10T19:29:54Z</t>
        </is>
      </c>
    </row>
    <row r="31">
      <c r="A31" s="19" t="inlineStr">
        <is>
          <t>30</t>
        </is>
      </c>
      <c r="B31" s="19" t="inlineStr">
        <is>
          <t>IA-PPWR-DOC-ST-030-STD-04-R00</t>
        </is>
      </c>
      <c r="C31" t="inlineStr">
        <is>
          <t>EU DoC — ST-030-STD-04</t>
        </is>
      </c>
      <c r="D31" s="19" t="inlineStr">
        <is>
          <t>1</t>
        </is>
      </c>
      <c r="E31" s="19" t="n"/>
      <c r="F31" s="19" t="inlineStr">
        <is>
          <t>30</t>
        </is>
      </c>
      <c r="G31" s="19" t="n"/>
      <c r="H31" s="19" t="inlineStr">
        <is>
          <t>30</t>
        </is>
      </c>
      <c r="I31" s="19" t="inlineStr">
        <is>
          <t>1</t>
        </is>
      </c>
      <c r="J31" t="inlineStr">
        <is>
          <t>EU PPWR</t>
        </is>
      </c>
      <c r="K31" t="inlineStr">
        <is>
          <t>REV00 CURRENT EVIDENCE BASIS — ARTICLE 5 ASSESSMENT BASIS</t>
        </is>
      </c>
      <c r="L31" t="inlineStr">
        <is>
          <t>2026-08-08</t>
        </is>
      </c>
      <c r="N31" t="n">
        <v>0</v>
      </c>
      <c r="O31" s="19" t="inlineStr">
        <is>
          <t>2</t>
        </is>
      </c>
      <c r="Q31" t="inlineStr">
        <is>
          <t>Rev.00 Word EU DoC generated — see DOCUMENT_LIBRARY.FILE_URI; signature fields blank / not legally signed</t>
        </is>
      </c>
      <c r="R31" t="inlineStr">
        <is>
          <t>2026-08-10T19:29:54Z</t>
        </is>
      </c>
      <c r="S31" t="inlineStr">
        <is>
          <t>2026-08-10T19:29:54Z</t>
        </is>
      </c>
    </row>
    <row r="32">
      <c r="A32" s="19" t="inlineStr">
        <is>
          <t>31</t>
        </is>
      </c>
      <c r="B32" s="19" t="inlineStr">
        <is>
          <t>IA-PPWR-DOC-ST-030-STD-05-R00</t>
        </is>
      </c>
      <c r="C32" t="inlineStr">
        <is>
          <t>EU DoC — ST-030-STD-05</t>
        </is>
      </c>
      <c r="D32" s="19" t="inlineStr">
        <is>
          <t>1</t>
        </is>
      </c>
      <c r="E32" s="19" t="n"/>
      <c r="F32" s="19" t="inlineStr">
        <is>
          <t>31</t>
        </is>
      </c>
      <c r="G32" s="19" t="n"/>
      <c r="H32" s="19" t="inlineStr">
        <is>
          <t>31</t>
        </is>
      </c>
      <c r="I32" s="19" t="inlineStr">
        <is>
          <t>1</t>
        </is>
      </c>
      <c r="J32" t="inlineStr">
        <is>
          <t>EU PPWR</t>
        </is>
      </c>
      <c r="K32" t="inlineStr">
        <is>
          <t>REV00 CURRENT EVIDENCE BASIS — ARTICLE 5 ASSESSMENT BASIS</t>
        </is>
      </c>
      <c r="L32" t="inlineStr">
        <is>
          <t>2026-08-08</t>
        </is>
      </c>
      <c r="N32" t="n">
        <v>0</v>
      </c>
      <c r="O32" s="19" t="inlineStr">
        <is>
          <t>2</t>
        </is>
      </c>
      <c r="Q32" t="inlineStr">
        <is>
          <t>Rev.00 Word EU DoC generated — see DOCUMENT_LIBRARY.FILE_URI; signature fields blank / not legally signed</t>
        </is>
      </c>
      <c r="R32" t="inlineStr">
        <is>
          <t>2026-08-10T19:29:54Z</t>
        </is>
      </c>
      <c r="S32" t="inlineStr">
        <is>
          <t>2026-08-10T19:29:54Z</t>
        </is>
      </c>
    </row>
    <row r="33">
      <c r="A33" s="19" t="inlineStr">
        <is>
          <t>32</t>
        </is>
      </c>
      <c r="B33" s="19" t="inlineStr">
        <is>
          <t>IA-PPWR-DOC-ST-030-STD-06-R00</t>
        </is>
      </c>
      <c r="C33" t="inlineStr">
        <is>
          <t>EU DoC — ST-030-STD-06</t>
        </is>
      </c>
      <c r="D33" s="19" t="inlineStr">
        <is>
          <t>1</t>
        </is>
      </c>
      <c r="E33" s="19" t="n"/>
      <c r="F33" s="19" t="inlineStr">
        <is>
          <t>32</t>
        </is>
      </c>
      <c r="G33" s="19" t="n"/>
      <c r="H33" s="19" t="inlineStr">
        <is>
          <t>32</t>
        </is>
      </c>
      <c r="I33" s="19" t="inlineStr">
        <is>
          <t>1</t>
        </is>
      </c>
      <c r="J33" t="inlineStr">
        <is>
          <t>EU PPWR</t>
        </is>
      </c>
      <c r="K33" t="inlineStr">
        <is>
          <t>REV00 CURRENT EVIDENCE BASIS — ARTICLE 5 ASSESSMENT BASIS</t>
        </is>
      </c>
      <c r="L33" t="inlineStr">
        <is>
          <t>2026-08-08</t>
        </is>
      </c>
      <c r="N33" t="n">
        <v>0</v>
      </c>
      <c r="O33" s="19" t="inlineStr">
        <is>
          <t>2</t>
        </is>
      </c>
      <c r="Q33" t="inlineStr">
        <is>
          <t>Rev.00 Word EU DoC generated — see DOCUMENT_LIBRARY.FILE_URI; signature fields blank / not legally signed</t>
        </is>
      </c>
      <c r="R33" t="inlineStr">
        <is>
          <t>2026-08-10T19:29:54Z</t>
        </is>
      </c>
      <c r="S33" t="inlineStr">
        <is>
          <t>2026-08-10T19:29:54Z</t>
        </is>
      </c>
    </row>
    <row r="34">
      <c r="A34" s="19" t="inlineStr">
        <is>
          <t>33</t>
        </is>
      </c>
      <c r="B34" s="19" t="inlineStr">
        <is>
          <t>IA-PPWR-DOC-ST-030-STD-07-R00</t>
        </is>
      </c>
      <c r="C34" t="inlineStr">
        <is>
          <t>EU DoC — ST-030-STD-07</t>
        </is>
      </c>
      <c r="D34" s="19" t="inlineStr">
        <is>
          <t>1</t>
        </is>
      </c>
      <c r="E34" s="19" t="n"/>
      <c r="F34" s="19" t="inlineStr">
        <is>
          <t>33</t>
        </is>
      </c>
      <c r="G34" s="19" t="n"/>
      <c r="H34" s="19" t="inlineStr">
        <is>
          <t>33</t>
        </is>
      </c>
      <c r="I34" s="19" t="inlineStr">
        <is>
          <t>1</t>
        </is>
      </c>
      <c r="J34" t="inlineStr">
        <is>
          <t>EU PPWR</t>
        </is>
      </c>
      <c r="K34" t="inlineStr">
        <is>
          <t>REV00 CURRENT EVIDENCE BASIS — ARTICLE 5 ASSESSMENT BASIS</t>
        </is>
      </c>
      <c r="L34" t="inlineStr">
        <is>
          <t>2026-08-08</t>
        </is>
      </c>
      <c r="N34" t="n">
        <v>0</v>
      </c>
      <c r="O34" s="19" t="inlineStr">
        <is>
          <t>2</t>
        </is>
      </c>
      <c r="Q34" t="inlineStr">
        <is>
          <t>Rev.00 Word EU DoC generated — see DOCUMENT_LIBRARY.FILE_URI; signature fields blank / not legally signed</t>
        </is>
      </c>
      <c r="R34" t="inlineStr">
        <is>
          <t>2026-08-10T19:29:54Z</t>
        </is>
      </c>
      <c r="S34" t="inlineStr">
        <is>
          <t>2026-08-10T19:29:54Z</t>
        </is>
      </c>
    </row>
    <row r="35">
      <c r="A35" s="19" t="inlineStr">
        <is>
          <t>34</t>
        </is>
      </c>
      <c r="B35" s="19" t="inlineStr">
        <is>
          <t>IA-PPWR-DOC-ST-030-STD-08-R00</t>
        </is>
      </c>
      <c r="C35" t="inlineStr">
        <is>
          <t>EU DoC — ST-030-STD-08</t>
        </is>
      </c>
      <c r="D35" s="19" t="inlineStr">
        <is>
          <t>1</t>
        </is>
      </c>
      <c r="E35" s="19" t="n"/>
      <c r="F35" s="19" t="inlineStr">
        <is>
          <t>34</t>
        </is>
      </c>
      <c r="G35" s="19" t="n"/>
      <c r="H35" s="19" t="inlineStr">
        <is>
          <t>34</t>
        </is>
      </c>
      <c r="I35" s="19" t="inlineStr">
        <is>
          <t>1</t>
        </is>
      </c>
      <c r="J35" t="inlineStr">
        <is>
          <t>EU PPWR</t>
        </is>
      </c>
      <c r="K35" t="inlineStr">
        <is>
          <t>REV00 CURRENT EVIDENCE BASIS — ARTICLE 5 ASSESSMENT BASIS</t>
        </is>
      </c>
      <c r="L35" t="inlineStr">
        <is>
          <t>2026-08-08</t>
        </is>
      </c>
      <c r="N35" t="n">
        <v>0</v>
      </c>
      <c r="O35" s="19" t="inlineStr">
        <is>
          <t>2</t>
        </is>
      </c>
      <c r="Q35" t="inlineStr">
        <is>
          <t>Rev.00 Word EU DoC generated — see DOCUMENT_LIBRARY.FILE_URI; signature fields blank / not legally signed</t>
        </is>
      </c>
      <c r="R35" t="inlineStr">
        <is>
          <t>2026-08-10T19:29:54Z</t>
        </is>
      </c>
      <c r="S35" t="inlineStr">
        <is>
          <t>2026-08-10T19:29:54Z</t>
        </is>
      </c>
    </row>
    <row r="36">
      <c r="A36" s="19" t="inlineStr">
        <is>
          <t>35</t>
        </is>
      </c>
      <c r="B36" s="19" t="inlineStr">
        <is>
          <t>IA-PPWR-DOC-ST-030-STD-09-R00</t>
        </is>
      </c>
      <c r="C36" t="inlineStr">
        <is>
          <t>EU DoC — ST-030-STD-09</t>
        </is>
      </c>
      <c r="D36" s="19" t="inlineStr">
        <is>
          <t>1</t>
        </is>
      </c>
      <c r="E36" s="19" t="n"/>
      <c r="F36" s="19" t="inlineStr">
        <is>
          <t>35</t>
        </is>
      </c>
      <c r="G36" s="19" t="n"/>
      <c r="H36" s="19" t="inlineStr">
        <is>
          <t>35</t>
        </is>
      </c>
      <c r="I36" s="19" t="inlineStr">
        <is>
          <t>1</t>
        </is>
      </c>
      <c r="J36" t="inlineStr">
        <is>
          <t>EU PPWR</t>
        </is>
      </c>
      <c r="K36" t="inlineStr">
        <is>
          <t>REV00 CURRENT EVIDENCE BASIS — ARTICLE 5 ASSESSMENT BASIS</t>
        </is>
      </c>
      <c r="L36" t="inlineStr">
        <is>
          <t>2026-08-08</t>
        </is>
      </c>
      <c r="N36" t="n">
        <v>0</v>
      </c>
      <c r="O36" s="19" t="inlineStr">
        <is>
          <t>2</t>
        </is>
      </c>
      <c r="Q36" t="inlineStr">
        <is>
          <t>Rev.00 Word EU DoC generated — see DOCUMENT_LIBRARY.FILE_URI; signature fields blank / not legally signed</t>
        </is>
      </c>
      <c r="R36" t="inlineStr">
        <is>
          <t>2026-08-10T19:29:54Z</t>
        </is>
      </c>
      <c r="S36" t="inlineStr">
        <is>
          <t>2026-08-10T19:29:54Z</t>
        </is>
      </c>
    </row>
    <row r="37">
      <c r="A37" s="19" t="inlineStr">
        <is>
          <t>36</t>
        </is>
      </c>
      <c r="B37" s="19" t="inlineStr">
        <is>
          <t>IA-PPWR-DOC-ST-030-STD-10-R00</t>
        </is>
      </c>
      <c r="C37" t="inlineStr">
        <is>
          <t>EU DoC — ST-030-STD-10</t>
        </is>
      </c>
      <c r="D37" s="19" t="inlineStr">
        <is>
          <t>1</t>
        </is>
      </c>
      <c r="E37" s="19" t="n"/>
      <c r="F37" s="19" t="inlineStr">
        <is>
          <t>36</t>
        </is>
      </c>
      <c r="G37" s="19" t="n"/>
      <c r="H37" s="19" t="inlineStr">
        <is>
          <t>36</t>
        </is>
      </c>
      <c r="I37" s="19" t="inlineStr">
        <is>
          <t>1</t>
        </is>
      </c>
      <c r="J37" t="inlineStr">
        <is>
          <t>EU PPWR</t>
        </is>
      </c>
      <c r="K37" t="inlineStr">
        <is>
          <t>REV00 CURRENT EVIDENCE BASIS — ARTICLE 5 ASSESSMENT BASIS</t>
        </is>
      </c>
      <c r="L37" t="inlineStr">
        <is>
          <t>2026-08-08</t>
        </is>
      </c>
      <c r="N37" t="n">
        <v>0</v>
      </c>
      <c r="O37" s="19" t="inlineStr">
        <is>
          <t>2</t>
        </is>
      </c>
      <c r="Q37" t="inlineStr">
        <is>
          <t>Rev.00 Word EU DoC generated — see DOCUMENT_LIBRARY.FILE_URI; signature fields blank / not legally signed</t>
        </is>
      </c>
      <c r="R37" t="inlineStr">
        <is>
          <t>2026-08-10T19:29:54Z</t>
        </is>
      </c>
      <c r="S37" t="inlineStr">
        <is>
          <t>2026-08-10T19:29:54Z</t>
        </is>
      </c>
    </row>
    <row r="38">
      <c r="A38" s="19" t="inlineStr">
        <is>
          <t>37</t>
        </is>
      </c>
      <c r="B38" s="19" t="inlineStr">
        <is>
          <t>IA-PPWR-DOC-ST-030-STD-11-R00</t>
        </is>
      </c>
      <c r="C38" t="inlineStr">
        <is>
          <t>EU DoC — ST-030-STD-11</t>
        </is>
      </c>
      <c r="D38" s="19" t="inlineStr">
        <is>
          <t>1</t>
        </is>
      </c>
      <c r="E38" s="19" t="n"/>
      <c r="F38" s="19" t="inlineStr">
        <is>
          <t>37</t>
        </is>
      </c>
      <c r="G38" s="19" t="n"/>
      <c r="H38" s="19" t="inlineStr">
        <is>
          <t>37</t>
        </is>
      </c>
      <c r="I38" s="19" t="inlineStr">
        <is>
          <t>1</t>
        </is>
      </c>
      <c r="J38" t="inlineStr">
        <is>
          <t>EU PPWR</t>
        </is>
      </c>
      <c r="K38" t="inlineStr">
        <is>
          <t>REV00 CURRENT EVIDENCE BASIS — ARTICLE 5 ASSESSMENT BASIS</t>
        </is>
      </c>
      <c r="L38" t="inlineStr">
        <is>
          <t>2026-08-08</t>
        </is>
      </c>
      <c r="N38" t="n">
        <v>0</v>
      </c>
      <c r="O38" s="19" t="inlineStr">
        <is>
          <t>2</t>
        </is>
      </c>
      <c r="Q38" t="inlineStr">
        <is>
          <t>Rev.00 Word EU DoC generated — see DOCUMENT_LIBRARY.FILE_URI; signature fields blank / not legally signed</t>
        </is>
      </c>
      <c r="R38" t="inlineStr">
        <is>
          <t>2026-08-10T19:29:54Z</t>
        </is>
      </c>
      <c r="S38" t="inlineStr">
        <is>
          <t>2026-08-10T19:29:54Z</t>
        </is>
      </c>
    </row>
    <row r="39">
      <c r="A39" s="19" t="inlineStr">
        <is>
          <t>38</t>
        </is>
      </c>
      <c r="B39" s="19" t="inlineStr">
        <is>
          <t>IA-PPWR-DOC-ST-033-EUR-01-R00</t>
        </is>
      </c>
      <c r="C39" t="inlineStr">
        <is>
          <t>EU DoC — ST-033-EUR-01</t>
        </is>
      </c>
      <c r="D39" s="19" t="inlineStr">
        <is>
          <t>1</t>
        </is>
      </c>
      <c r="E39" s="19" t="n"/>
      <c r="F39" s="19" t="inlineStr">
        <is>
          <t>38</t>
        </is>
      </c>
      <c r="G39" s="19" t="n"/>
      <c r="H39" s="19" t="inlineStr">
        <is>
          <t>38</t>
        </is>
      </c>
      <c r="I39" s="19" t="inlineStr">
        <is>
          <t>1</t>
        </is>
      </c>
      <c r="J39" t="inlineStr">
        <is>
          <t>EU PPWR</t>
        </is>
      </c>
      <c r="K39" t="inlineStr">
        <is>
          <t>REV00 CURRENT EVIDENCE BASIS — ARTICLE 5 ASSESSMENT BASIS</t>
        </is>
      </c>
      <c r="L39" t="inlineStr">
        <is>
          <t>2026-08-08</t>
        </is>
      </c>
      <c r="N39" t="n">
        <v>0</v>
      </c>
      <c r="O39" s="19" t="inlineStr">
        <is>
          <t>2</t>
        </is>
      </c>
      <c r="Q39" t="inlineStr">
        <is>
          <t>Rev.00 Word EU DoC generated — see DOCUMENT_LIBRARY.FILE_URI; signature fields blank / not legally signed</t>
        </is>
      </c>
      <c r="R39" t="inlineStr">
        <is>
          <t>2026-08-10T19:29:54Z</t>
        </is>
      </c>
      <c r="S39" t="inlineStr">
        <is>
          <t>2026-08-10T19:29:54Z</t>
        </is>
      </c>
    </row>
    <row r="40">
      <c r="A40" s="19" t="inlineStr">
        <is>
          <t>39</t>
        </is>
      </c>
      <c r="B40" s="19" t="inlineStr">
        <is>
          <t>IA-PPWR-DOC-ST-034-STD-01-R00</t>
        </is>
      </c>
      <c r="C40" t="inlineStr">
        <is>
          <t>EU DoC — ST-034-STD-01</t>
        </is>
      </c>
      <c r="D40" s="19" t="inlineStr">
        <is>
          <t>1</t>
        </is>
      </c>
      <c r="E40" s="19" t="n"/>
      <c r="F40" s="19" t="inlineStr">
        <is>
          <t>39</t>
        </is>
      </c>
      <c r="G40" s="19" t="n"/>
      <c r="H40" s="19" t="inlineStr">
        <is>
          <t>39</t>
        </is>
      </c>
      <c r="I40" s="19" t="inlineStr">
        <is>
          <t>1</t>
        </is>
      </c>
      <c r="J40" t="inlineStr">
        <is>
          <t>EU PPWR</t>
        </is>
      </c>
      <c r="K40" t="inlineStr">
        <is>
          <t>REV00 CURRENT EVIDENCE BASIS — ARTICLE 5 ASSESSMENT BASIS</t>
        </is>
      </c>
      <c r="L40" t="inlineStr">
        <is>
          <t>2026-08-08</t>
        </is>
      </c>
      <c r="N40" t="n">
        <v>0</v>
      </c>
      <c r="O40" s="19" t="inlineStr">
        <is>
          <t>2</t>
        </is>
      </c>
      <c r="Q40" t="inlineStr">
        <is>
          <t>Rev.00 Word EU DoC generated — see DOCUMENT_LIBRARY.FILE_URI; signature fields blank / not legally signed</t>
        </is>
      </c>
      <c r="R40" t="inlineStr">
        <is>
          <t>2026-08-10T19:29:54Z</t>
        </is>
      </c>
      <c r="S40" t="inlineStr">
        <is>
          <t>2026-08-10T19:29:54Z</t>
        </is>
      </c>
    </row>
    <row r="41">
      <c r="A41" s="19" t="inlineStr">
        <is>
          <t>40</t>
        </is>
      </c>
      <c r="B41" s="19" t="inlineStr">
        <is>
          <t>IA-PPWR-DOC-ST-034-STD-02-R00</t>
        </is>
      </c>
      <c r="C41" t="inlineStr">
        <is>
          <t>EU DoC — ST-034-STD-02</t>
        </is>
      </c>
      <c r="D41" s="19" t="inlineStr">
        <is>
          <t>1</t>
        </is>
      </c>
      <c r="E41" s="19" t="n"/>
      <c r="F41" s="19" t="inlineStr">
        <is>
          <t>40</t>
        </is>
      </c>
      <c r="G41" s="19" t="n"/>
      <c r="H41" s="19" t="inlineStr">
        <is>
          <t>40</t>
        </is>
      </c>
      <c r="I41" s="19" t="inlineStr">
        <is>
          <t>1</t>
        </is>
      </c>
      <c r="J41" t="inlineStr">
        <is>
          <t>EU PPWR</t>
        </is>
      </c>
      <c r="K41" t="inlineStr">
        <is>
          <t>REV00 CURRENT EVIDENCE BASIS — ARTICLE 5 ASSESSMENT BASIS</t>
        </is>
      </c>
      <c r="L41" t="inlineStr">
        <is>
          <t>2026-08-08</t>
        </is>
      </c>
      <c r="N41" t="n">
        <v>0</v>
      </c>
      <c r="O41" s="19" t="inlineStr">
        <is>
          <t>2</t>
        </is>
      </c>
      <c r="Q41" t="inlineStr">
        <is>
          <t>Rev.00 Word EU DoC generated — see DOCUMENT_LIBRARY.FILE_URI; signature fields blank / not legally signed</t>
        </is>
      </c>
      <c r="R41" t="inlineStr">
        <is>
          <t>2026-08-10T19:29:54Z</t>
        </is>
      </c>
      <c r="S41" t="inlineStr">
        <is>
          <t>2026-08-10T19:29:54Z</t>
        </is>
      </c>
    </row>
    <row r="42">
      <c r="A42" s="19" t="inlineStr">
        <is>
          <t>41</t>
        </is>
      </c>
      <c r="B42" s="19" t="inlineStr">
        <is>
          <t>IA-PPWR-DOC-ST-036-EUR-01-R00</t>
        </is>
      </c>
      <c r="C42" t="inlineStr">
        <is>
          <t>EU DoC — ST-036-EUR-01</t>
        </is>
      </c>
      <c r="D42" s="19" t="inlineStr">
        <is>
          <t>1</t>
        </is>
      </c>
      <c r="E42" s="19" t="n"/>
      <c r="F42" s="19" t="inlineStr">
        <is>
          <t>41</t>
        </is>
      </c>
      <c r="G42" s="19" t="n"/>
      <c r="H42" s="19" t="inlineStr">
        <is>
          <t>41</t>
        </is>
      </c>
      <c r="I42" s="19" t="inlineStr">
        <is>
          <t>1</t>
        </is>
      </c>
      <c r="J42" t="inlineStr">
        <is>
          <t>EU PPWR</t>
        </is>
      </c>
      <c r="K42" t="inlineStr">
        <is>
          <t>REV00 CURRENT EVIDENCE BASIS — ARTICLE 5 ASSESSMENT BASIS</t>
        </is>
      </c>
      <c r="L42" t="inlineStr">
        <is>
          <t>2026-08-08</t>
        </is>
      </c>
      <c r="N42" t="n">
        <v>0</v>
      </c>
      <c r="O42" s="19" t="inlineStr">
        <is>
          <t>2</t>
        </is>
      </c>
      <c r="Q42" t="inlineStr">
        <is>
          <t>Rev.00 Word EU DoC generated — see DOCUMENT_LIBRARY.FILE_URI; signature fields blank / not legally signed</t>
        </is>
      </c>
      <c r="R42" t="inlineStr">
        <is>
          <t>2026-08-10T19:29:54Z</t>
        </is>
      </c>
      <c r="S42" t="inlineStr">
        <is>
          <t>2026-08-10T19:29:54Z</t>
        </is>
      </c>
    </row>
    <row r="43">
      <c r="A43" s="19" t="inlineStr">
        <is>
          <t>42</t>
        </is>
      </c>
      <c r="B43" s="19" t="inlineStr">
        <is>
          <t>IA-PPWR-DOC-ST-036-EUR-02-R00</t>
        </is>
      </c>
      <c r="C43" t="inlineStr">
        <is>
          <t>EU DoC — ST-036-EUR-02</t>
        </is>
      </c>
      <c r="D43" s="19" t="inlineStr">
        <is>
          <t>1</t>
        </is>
      </c>
      <c r="E43" s="19" t="n"/>
      <c r="F43" s="19" t="inlineStr">
        <is>
          <t>42</t>
        </is>
      </c>
      <c r="G43" s="19" t="n"/>
      <c r="H43" s="19" t="inlineStr">
        <is>
          <t>42</t>
        </is>
      </c>
      <c r="I43" s="19" t="inlineStr">
        <is>
          <t>1</t>
        </is>
      </c>
      <c r="J43" t="inlineStr">
        <is>
          <t>EU PPWR</t>
        </is>
      </c>
      <c r="K43" t="inlineStr">
        <is>
          <t>REV00 CURRENT EVIDENCE BASIS — ARTICLE 5 ASSESSMENT BASIS</t>
        </is>
      </c>
      <c r="L43" t="inlineStr">
        <is>
          <t>2026-08-08</t>
        </is>
      </c>
      <c r="N43" t="n">
        <v>0</v>
      </c>
      <c r="O43" s="19" t="inlineStr">
        <is>
          <t>2</t>
        </is>
      </c>
      <c r="Q43" t="inlineStr">
        <is>
          <t>Rev.00 Word EU DoC generated — see DOCUMENT_LIBRARY.FILE_URI; signature fields blank / not legally signed</t>
        </is>
      </c>
      <c r="R43" t="inlineStr">
        <is>
          <t>2026-08-10T19:29:54Z</t>
        </is>
      </c>
      <c r="S43" t="inlineStr">
        <is>
          <t>2026-08-10T19:29:54Z</t>
        </is>
      </c>
    </row>
    <row r="44">
      <c r="A44" s="19" t="inlineStr">
        <is>
          <t>43</t>
        </is>
      </c>
      <c r="B44" s="19" t="inlineStr">
        <is>
          <t>IA-PPWR-DOC-ST-036-EUR-03-R00</t>
        </is>
      </c>
      <c r="C44" t="inlineStr">
        <is>
          <t>EU DoC — ST-036-EUR-03</t>
        </is>
      </c>
      <c r="D44" s="19" t="inlineStr">
        <is>
          <t>1</t>
        </is>
      </c>
      <c r="E44" s="19" t="n"/>
      <c r="F44" s="19" t="inlineStr">
        <is>
          <t>43</t>
        </is>
      </c>
      <c r="G44" s="19" t="n"/>
      <c r="H44" s="19" t="inlineStr">
        <is>
          <t>43</t>
        </is>
      </c>
      <c r="I44" s="19" t="inlineStr">
        <is>
          <t>1</t>
        </is>
      </c>
      <c r="J44" t="inlineStr">
        <is>
          <t>EU PPWR</t>
        </is>
      </c>
      <c r="K44" t="inlineStr">
        <is>
          <t>REV00 CURRENT EVIDENCE BASIS — ARTICLE 5 ASSESSMENT BASIS</t>
        </is>
      </c>
      <c r="L44" t="inlineStr">
        <is>
          <t>2026-08-08</t>
        </is>
      </c>
      <c r="N44" t="n">
        <v>0</v>
      </c>
      <c r="O44" s="19" t="inlineStr">
        <is>
          <t>2</t>
        </is>
      </c>
      <c r="Q44" t="inlineStr">
        <is>
          <t>Rev.00 Word EU DoC generated — see DOCUMENT_LIBRARY.FILE_URI; signature fields blank / not legally signed</t>
        </is>
      </c>
      <c r="R44" t="inlineStr">
        <is>
          <t>2026-08-10T19:29:54Z</t>
        </is>
      </c>
      <c r="S44" t="inlineStr">
        <is>
          <t>2026-08-10T19:29:54Z</t>
        </is>
      </c>
    </row>
    <row r="45">
      <c r="A45" s="19" t="inlineStr">
        <is>
          <t>44</t>
        </is>
      </c>
      <c r="B45" s="19" t="inlineStr">
        <is>
          <t>IA-PPWR-DOC-ST-036-EUR-04-R00</t>
        </is>
      </c>
      <c r="C45" t="inlineStr">
        <is>
          <t>EU DoC — ST-036-EUR-04</t>
        </is>
      </c>
      <c r="D45" s="19" t="inlineStr">
        <is>
          <t>1</t>
        </is>
      </c>
      <c r="E45" s="19" t="n"/>
      <c r="F45" s="19" t="inlineStr">
        <is>
          <t>44</t>
        </is>
      </c>
      <c r="G45" s="19" t="n"/>
      <c r="H45" s="19" t="inlineStr">
        <is>
          <t>44</t>
        </is>
      </c>
      <c r="I45" s="19" t="inlineStr">
        <is>
          <t>1</t>
        </is>
      </c>
      <c r="J45" t="inlineStr">
        <is>
          <t>EU PPWR</t>
        </is>
      </c>
      <c r="K45" t="inlineStr">
        <is>
          <t>REV00 CURRENT EVIDENCE BASIS — ARTICLE 5 ASSESSMENT BASIS</t>
        </is>
      </c>
      <c r="L45" t="inlineStr">
        <is>
          <t>2026-08-08</t>
        </is>
      </c>
      <c r="N45" t="n">
        <v>0</v>
      </c>
      <c r="O45" s="19" t="inlineStr">
        <is>
          <t>2</t>
        </is>
      </c>
      <c r="Q45" t="inlineStr">
        <is>
          <t>Rev.00 Word EU DoC generated — see DOCUMENT_LIBRARY.FILE_URI; signature fields blank / not legally signed</t>
        </is>
      </c>
      <c r="R45" t="inlineStr">
        <is>
          <t>2026-08-10T19:29:54Z</t>
        </is>
      </c>
      <c r="S45" t="inlineStr">
        <is>
          <t>2026-08-10T19:29:54Z</t>
        </is>
      </c>
    </row>
    <row r="46">
      <c r="A46" s="19" t="inlineStr">
        <is>
          <t>45</t>
        </is>
      </c>
      <c r="B46" s="19" t="inlineStr">
        <is>
          <t>IA-PPWR-DOC-ST-036-EUR-05-R00</t>
        </is>
      </c>
      <c r="C46" t="inlineStr">
        <is>
          <t>EU DoC — ST-036-EUR-05</t>
        </is>
      </c>
      <c r="D46" s="19" t="inlineStr">
        <is>
          <t>1</t>
        </is>
      </c>
      <c r="E46" s="19" t="n"/>
      <c r="F46" s="19" t="inlineStr">
        <is>
          <t>45</t>
        </is>
      </c>
      <c r="G46" s="19" t="n"/>
      <c r="H46" s="19" t="inlineStr">
        <is>
          <t>45</t>
        </is>
      </c>
      <c r="I46" s="19" t="inlineStr">
        <is>
          <t>1</t>
        </is>
      </c>
      <c r="J46" t="inlineStr">
        <is>
          <t>EU PPWR</t>
        </is>
      </c>
      <c r="K46" t="inlineStr">
        <is>
          <t>REV00 CURRENT EVIDENCE BASIS — ARTICLE 5 ASSESSMENT BASIS</t>
        </is>
      </c>
      <c r="L46" t="inlineStr">
        <is>
          <t>2026-08-08</t>
        </is>
      </c>
      <c r="N46" t="n">
        <v>0</v>
      </c>
      <c r="O46" s="19" t="inlineStr">
        <is>
          <t>2</t>
        </is>
      </c>
      <c r="Q46" t="inlineStr">
        <is>
          <t>Rev.00 Word EU DoC generated — see DOCUMENT_LIBRARY.FILE_URI; signature fields blank / not legally signed</t>
        </is>
      </c>
      <c r="R46" t="inlineStr">
        <is>
          <t>2026-08-10T19:29:54Z</t>
        </is>
      </c>
      <c r="S46" t="inlineStr">
        <is>
          <t>2026-08-10T19:29:54Z</t>
        </is>
      </c>
    </row>
    <row r="47">
      <c r="A47" s="19" t="inlineStr">
        <is>
          <t>46</t>
        </is>
      </c>
      <c r="B47" s="19" t="inlineStr">
        <is>
          <t>IA-PPWR-DOC-ST-036-EUR-06-R00</t>
        </is>
      </c>
      <c r="C47" t="inlineStr">
        <is>
          <t>EU DoC — ST-036-EUR-06</t>
        </is>
      </c>
      <c r="D47" s="19" t="inlineStr">
        <is>
          <t>1</t>
        </is>
      </c>
      <c r="E47" s="19" t="n"/>
      <c r="F47" s="19" t="inlineStr">
        <is>
          <t>46</t>
        </is>
      </c>
      <c r="G47" s="19" t="n"/>
      <c r="H47" s="19" t="inlineStr">
        <is>
          <t>46</t>
        </is>
      </c>
      <c r="I47" s="19" t="inlineStr">
        <is>
          <t>1</t>
        </is>
      </c>
      <c r="J47" t="inlineStr">
        <is>
          <t>EU PPWR</t>
        </is>
      </c>
      <c r="K47" t="inlineStr">
        <is>
          <t>REV00 CURRENT EVIDENCE BASIS — ARTICLE 5 ASSESSMENT BASIS</t>
        </is>
      </c>
      <c r="L47" t="inlineStr">
        <is>
          <t>2026-08-08</t>
        </is>
      </c>
      <c r="N47" t="n">
        <v>0</v>
      </c>
      <c r="O47" s="19" t="inlineStr">
        <is>
          <t>2</t>
        </is>
      </c>
      <c r="Q47" t="inlineStr">
        <is>
          <t>Rev.00 Word EU DoC generated — see DOCUMENT_LIBRARY.FILE_URI; signature fields blank / not legally signed</t>
        </is>
      </c>
      <c r="R47" t="inlineStr">
        <is>
          <t>2026-08-10T19:29:54Z</t>
        </is>
      </c>
      <c r="S47" t="inlineStr">
        <is>
          <t>2026-08-10T19:29:54Z</t>
        </is>
      </c>
    </row>
    <row r="48">
      <c r="A48" s="19" t="inlineStr">
        <is>
          <t>47</t>
        </is>
      </c>
      <c r="B48" s="19" t="inlineStr">
        <is>
          <t>IA-PPWR-DOC-ST-036-EUR-07-R00</t>
        </is>
      </c>
      <c r="C48" t="inlineStr">
        <is>
          <t>EU DoC — ST-036-EUR-07</t>
        </is>
      </c>
      <c r="D48" s="19" t="inlineStr">
        <is>
          <t>1</t>
        </is>
      </c>
      <c r="E48" s="19" t="n"/>
      <c r="F48" s="19" t="inlineStr">
        <is>
          <t>47</t>
        </is>
      </c>
      <c r="G48" s="19" t="n"/>
      <c r="H48" s="19" t="inlineStr">
        <is>
          <t>47</t>
        </is>
      </c>
      <c r="I48" s="19" t="inlineStr">
        <is>
          <t>1</t>
        </is>
      </c>
      <c r="J48" t="inlineStr">
        <is>
          <t>EU PPWR</t>
        </is>
      </c>
      <c r="K48" t="inlineStr">
        <is>
          <t>REV00 CURRENT EVIDENCE BASIS — ARTICLE 5 ASSESSMENT BASIS</t>
        </is>
      </c>
      <c r="L48" t="inlineStr">
        <is>
          <t>2026-08-08</t>
        </is>
      </c>
      <c r="N48" t="n">
        <v>0</v>
      </c>
      <c r="O48" s="19" t="inlineStr">
        <is>
          <t>2</t>
        </is>
      </c>
      <c r="Q48" t="inlineStr">
        <is>
          <t>Rev.00 Word EU DoC generated — see DOCUMENT_LIBRARY.FILE_URI; signature fields blank / not legally signed</t>
        </is>
      </c>
      <c r="R48" t="inlineStr">
        <is>
          <t>2026-08-10T19:29:54Z</t>
        </is>
      </c>
      <c r="S48" t="inlineStr">
        <is>
          <t>2026-08-10T19:29:54Z</t>
        </is>
      </c>
    </row>
    <row r="49">
      <c r="A49" s="19" t="inlineStr">
        <is>
          <t>48</t>
        </is>
      </c>
      <c r="B49" s="19" t="inlineStr">
        <is>
          <t>IA-PPWR-DOC-ST-036-STD-01-R00</t>
        </is>
      </c>
      <c r="C49" t="inlineStr">
        <is>
          <t>EU DoC — ST-036-STD-01</t>
        </is>
      </c>
      <c r="D49" s="19" t="inlineStr">
        <is>
          <t>1</t>
        </is>
      </c>
      <c r="E49" s="19" t="n"/>
      <c r="F49" s="19" t="inlineStr">
        <is>
          <t>48</t>
        </is>
      </c>
      <c r="G49" s="19" t="n"/>
      <c r="H49" s="19" t="inlineStr">
        <is>
          <t>48</t>
        </is>
      </c>
      <c r="I49" s="19" t="inlineStr">
        <is>
          <t>1</t>
        </is>
      </c>
      <c r="J49" t="inlineStr">
        <is>
          <t>EU PPWR</t>
        </is>
      </c>
      <c r="K49" t="inlineStr">
        <is>
          <t>REV00 CURRENT EVIDENCE BASIS — ARTICLE 5 ASSESSMENT BASIS</t>
        </is>
      </c>
      <c r="L49" t="inlineStr">
        <is>
          <t>2026-08-08</t>
        </is>
      </c>
      <c r="N49" t="n">
        <v>0</v>
      </c>
      <c r="O49" s="19" t="inlineStr">
        <is>
          <t>2</t>
        </is>
      </c>
      <c r="Q49" t="inlineStr">
        <is>
          <t>Rev.00 Word EU DoC generated — see DOCUMENT_LIBRARY.FILE_URI; signature fields blank / not legally signed</t>
        </is>
      </c>
      <c r="R49" t="inlineStr">
        <is>
          <t>2026-08-10T19:29:54Z</t>
        </is>
      </c>
      <c r="S49" t="inlineStr">
        <is>
          <t>2026-08-10T19:29:54Z</t>
        </is>
      </c>
    </row>
    <row r="50">
      <c r="A50" s="19" t="inlineStr">
        <is>
          <t>49</t>
        </is>
      </c>
      <c r="B50" s="19" t="inlineStr">
        <is>
          <t>IA-PPWR-DOC-ST-036-STD-02-R00</t>
        </is>
      </c>
      <c r="C50" t="inlineStr">
        <is>
          <t>EU DoC — ST-036-STD-02</t>
        </is>
      </c>
      <c r="D50" s="19" t="inlineStr">
        <is>
          <t>1</t>
        </is>
      </c>
      <c r="E50" s="19" t="n"/>
      <c r="F50" s="19" t="inlineStr">
        <is>
          <t>49</t>
        </is>
      </c>
      <c r="G50" s="19" t="n"/>
      <c r="H50" s="19" t="inlineStr">
        <is>
          <t>49</t>
        </is>
      </c>
      <c r="I50" s="19" t="inlineStr">
        <is>
          <t>1</t>
        </is>
      </c>
      <c r="J50" t="inlineStr">
        <is>
          <t>EU PPWR</t>
        </is>
      </c>
      <c r="K50" t="inlineStr">
        <is>
          <t>REV00 CURRENT EVIDENCE BASIS — ARTICLE 5 ASSESSMENT BASIS</t>
        </is>
      </c>
      <c r="L50" t="inlineStr">
        <is>
          <t>2026-08-08</t>
        </is>
      </c>
      <c r="N50" t="n">
        <v>0</v>
      </c>
      <c r="O50" s="19" t="inlineStr">
        <is>
          <t>2</t>
        </is>
      </c>
      <c r="Q50" t="inlineStr">
        <is>
          <t>Rev.00 Word EU DoC generated — see DOCUMENT_LIBRARY.FILE_URI; signature fields blank / not legally signed</t>
        </is>
      </c>
      <c r="R50" t="inlineStr">
        <is>
          <t>2026-08-10T19:29:54Z</t>
        </is>
      </c>
      <c r="S50" t="inlineStr">
        <is>
          <t>2026-08-10T19:29:54Z</t>
        </is>
      </c>
    </row>
    <row r="51">
      <c r="A51" s="19" t="inlineStr">
        <is>
          <t>50</t>
        </is>
      </c>
      <c r="B51" s="19" t="inlineStr">
        <is>
          <t>IA-PPWR-DOC-ST-036-STD-03-R00</t>
        </is>
      </c>
      <c r="C51" t="inlineStr">
        <is>
          <t>EU DoC — ST-036-STD-03</t>
        </is>
      </c>
      <c r="D51" s="19" t="inlineStr">
        <is>
          <t>1</t>
        </is>
      </c>
      <c r="E51" s="19" t="n"/>
      <c r="F51" s="19" t="inlineStr">
        <is>
          <t>50</t>
        </is>
      </c>
      <c r="G51" s="19" t="n"/>
      <c r="H51" s="19" t="inlineStr">
        <is>
          <t>50</t>
        </is>
      </c>
      <c r="I51" s="19" t="inlineStr">
        <is>
          <t>1</t>
        </is>
      </c>
      <c r="J51" t="inlineStr">
        <is>
          <t>EU PPWR</t>
        </is>
      </c>
      <c r="K51" t="inlineStr">
        <is>
          <t>REV00 CURRENT EVIDENCE BASIS — ARTICLE 5 ASSESSMENT BASIS</t>
        </is>
      </c>
      <c r="L51" t="inlineStr">
        <is>
          <t>2026-08-08</t>
        </is>
      </c>
      <c r="N51" t="n">
        <v>0</v>
      </c>
      <c r="O51" s="19" t="inlineStr">
        <is>
          <t>2</t>
        </is>
      </c>
      <c r="Q51" t="inlineStr">
        <is>
          <t>Rev.00 Word EU DoC generated — see DOCUMENT_LIBRARY.FILE_URI; signature fields blank / not legally signed</t>
        </is>
      </c>
      <c r="R51" t="inlineStr">
        <is>
          <t>2026-08-10T19:29:54Z</t>
        </is>
      </c>
      <c r="S51" t="inlineStr">
        <is>
          <t>2026-08-10T19:29:54Z</t>
        </is>
      </c>
    </row>
    <row r="52">
      <c r="A52" s="19" t="inlineStr">
        <is>
          <t>51</t>
        </is>
      </c>
      <c r="B52" s="19" t="inlineStr">
        <is>
          <t>IA-PPWR-DOC-ST-042-EUR-01-R00</t>
        </is>
      </c>
      <c r="C52" t="inlineStr">
        <is>
          <t>EU DoC — ST-042-EUR-01</t>
        </is>
      </c>
      <c r="D52" s="19" t="inlineStr">
        <is>
          <t>1</t>
        </is>
      </c>
      <c r="E52" s="19" t="n"/>
      <c r="F52" s="19" t="inlineStr">
        <is>
          <t>51</t>
        </is>
      </c>
      <c r="G52" s="19" t="n"/>
      <c r="H52" s="19" t="inlineStr">
        <is>
          <t>51</t>
        </is>
      </c>
      <c r="I52" s="19" t="inlineStr">
        <is>
          <t>1</t>
        </is>
      </c>
      <c r="J52" t="inlineStr">
        <is>
          <t>EU PPWR</t>
        </is>
      </c>
      <c r="K52" t="inlineStr">
        <is>
          <t>REV00 CURRENT EVIDENCE BASIS — ARTICLE 5 ASSESSMENT BASIS</t>
        </is>
      </c>
      <c r="L52" t="inlineStr">
        <is>
          <t>2026-08-08</t>
        </is>
      </c>
      <c r="N52" t="n">
        <v>0</v>
      </c>
      <c r="O52" s="19" t="inlineStr">
        <is>
          <t>2</t>
        </is>
      </c>
      <c r="Q52" t="inlineStr">
        <is>
          <t>Rev.00 Word EU DoC generated — see DOCUMENT_LIBRARY.FILE_URI; signature fields blank / not legally signed</t>
        </is>
      </c>
      <c r="R52" t="inlineStr">
        <is>
          <t>2026-08-10T19:29:54Z</t>
        </is>
      </c>
      <c r="S52" t="inlineStr">
        <is>
          <t>2026-08-10T19:29:54Z</t>
        </is>
      </c>
    </row>
    <row r="53">
      <c r="A53" s="19" t="inlineStr">
        <is>
          <t>52</t>
        </is>
      </c>
      <c r="B53" s="19" t="inlineStr">
        <is>
          <t>IA-PPWR-DOC-ST-042-EUR-02-R00</t>
        </is>
      </c>
      <c r="C53" t="inlineStr">
        <is>
          <t>EU DoC — ST-042-EUR-02</t>
        </is>
      </c>
      <c r="D53" s="19" t="inlineStr">
        <is>
          <t>1</t>
        </is>
      </c>
      <c r="E53" s="19" t="n"/>
      <c r="F53" s="19" t="inlineStr">
        <is>
          <t>52</t>
        </is>
      </c>
      <c r="G53" s="19" t="n"/>
      <c r="H53" s="19" t="inlineStr">
        <is>
          <t>52</t>
        </is>
      </c>
      <c r="I53" s="19" t="inlineStr">
        <is>
          <t>1</t>
        </is>
      </c>
      <c r="J53" t="inlineStr">
        <is>
          <t>EU PPWR</t>
        </is>
      </c>
      <c r="K53" t="inlineStr">
        <is>
          <t>REV00 CURRENT EVIDENCE BASIS — ARTICLE 5 ASSESSMENT BASIS</t>
        </is>
      </c>
      <c r="L53" t="inlineStr">
        <is>
          <t>2026-08-08</t>
        </is>
      </c>
      <c r="N53" t="n">
        <v>0</v>
      </c>
      <c r="O53" s="19" t="inlineStr">
        <is>
          <t>2</t>
        </is>
      </c>
      <c r="Q53" t="inlineStr">
        <is>
          <t>Rev.00 Word EU DoC generated — see DOCUMENT_LIBRARY.FILE_URI; signature fields blank / not legally signed</t>
        </is>
      </c>
      <c r="R53" t="inlineStr">
        <is>
          <t>2026-08-10T19:29:54Z</t>
        </is>
      </c>
      <c r="S53" t="inlineStr">
        <is>
          <t>2026-08-10T19:29:54Z</t>
        </is>
      </c>
    </row>
    <row r="54">
      <c r="A54" s="19" t="inlineStr">
        <is>
          <t>53</t>
        </is>
      </c>
      <c r="B54" s="19" t="inlineStr">
        <is>
          <t>IA-PPWR-DOC-ST-042-EUR-03-R00</t>
        </is>
      </c>
      <c r="C54" t="inlineStr">
        <is>
          <t>EU DoC — ST-042-EUR-03</t>
        </is>
      </c>
      <c r="D54" s="19" t="inlineStr">
        <is>
          <t>1</t>
        </is>
      </c>
      <c r="E54" s="19" t="n"/>
      <c r="F54" s="19" t="inlineStr">
        <is>
          <t>53</t>
        </is>
      </c>
      <c r="G54" s="19" t="n"/>
      <c r="H54" s="19" t="inlineStr">
        <is>
          <t>53</t>
        </is>
      </c>
      <c r="I54" s="19" t="inlineStr">
        <is>
          <t>1</t>
        </is>
      </c>
      <c r="J54" t="inlineStr">
        <is>
          <t>EU PPWR</t>
        </is>
      </c>
      <c r="K54" t="inlineStr">
        <is>
          <t>REV00 CURRENT EVIDENCE BASIS — ARTICLE 5 ASSESSMENT BASIS</t>
        </is>
      </c>
      <c r="L54" t="inlineStr">
        <is>
          <t>2026-08-08</t>
        </is>
      </c>
      <c r="N54" t="n">
        <v>0</v>
      </c>
      <c r="O54" s="19" t="inlineStr">
        <is>
          <t>2</t>
        </is>
      </c>
      <c r="Q54" t="inlineStr">
        <is>
          <t>Rev.00 Word EU DoC generated — see DOCUMENT_LIBRARY.FILE_URI; signature fields blank / not legally signed</t>
        </is>
      </c>
      <c r="R54" t="inlineStr">
        <is>
          <t>2026-08-10T19:29:54Z</t>
        </is>
      </c>
      <c r="S54" t="inlineStr">
        <is>
          <t>2026-08-10T19:29:54Z</t>
        </is>
      </c>
    </row>
    <row r="55">
      <c r="A55" s="19" t="inlineStr">
        <is>
          <t>54</t>
        </is>
      </c>
      <c r="B55" s="19" t="inlineStr">
        <is>
          <t>IA-PPWR-DOC-ST-042-EUR-04-R00</t>
        </is>
      </c>
      <c r="C55" t="inlineStr">
        <is>
          <t>EU DoC — ST-042-EUR-04</t>
        </is>
      </c>
      <c r="D55" s="19" t="inlineStr">
        <is>
          <t>1</t>
        </is>
      </c>
      <c r="E55" s="19" t="n"/>
      <c r="F55" s="19" t="inlineStr">
        <is>
          <t>54</t>
        </is>
      </c>
      <c r="G55" s="19" t="n"/>
      <c r="H55" s="19" t="inlineStr">
        <is>
          <t>54</t>
        </is>
      </c>
      <c r="I55" s="19" t="inlineStr">
        <is>
          <t>1</t>
        </is>
      </c>
      <c r="J55" t="inlineStr">
        <is>
          <t>EU PPWR</t>
        </is>
      </c>
      <c r="K55" t="inlineStr">
        <is>
          <t>REV00 CURRENT EVIDENCE BASIS — ARTICLE 5 ASSESSMENT BASIS</t>
        </is>
      </c>
      <c r="L55" t="inlineStr">
        <is>
          <t>2026-08-08</t>
        </is>
      </c>
      <c r="N55" t="n">
        <v>0</v>
      </c>
      <c r="O55" s="19" t="inlineStr">
        <is>
          <t>2</t>
        </is>
      </c>
      <c r="Q55" t="inlineStr">
        <is>
          <t>Rev.00 Word EU DoC generated — see DOCUMENT_LIBRARY.FILE_URI; signature fields blank / not legally signed</t>
        </is>
      </c>
      <c r="R55" t="inlineStr">
        <is>
          <t>2026-08-10T19:29:54Z</t>
        </is>
      </c>
      <c r="S55" t="inlineStr">
        <is>
          <t>2026-08-10T19:29:54Z</t>
        </is>
      </c>
    </row>
    <row r="56">
      <c r="A56" s="19" t="inlineStr">
        <is>
          <t>55</t>
        </is>
      </c>
      <c r="B56" s="19" t="inlineStr">
        <is>
          <t>IA-PPWR-DOC-ST-042-STD-01-R00</t>
        </is>
      </c>
      <c r="C56" t="inlineStr">
        <is>
          <t>EU DoC — ST-042-STD-01</t>
        </is>
      </c>
      <c r="D56" s="19" t="inlineStr">
        <is>
          <t>1</t>
        </is>
      </c>
      <c r="E56" s="19" t="n"/>
      <c r="F56" s="19" t="inlineStr">
        <is>
          <t>55</t>
        </is>
      </c>
      <c r="G56" s="19" t="n"/>
      <c r="H56" s="19" t="inlineStr">
        <is>
          <t>55</t>
        </is>
      </c>
      <c r="I56" s="19" t="inlineStr">
        <is>
          <t>1</t>
        </is>
      </c>
      <c r="J56" t="inlineStr">
        <is>
          <t>EU PPWR</t>
        </is>
      </c>
      <c r="K56" t="inlineStr">
        <is>
          <t>REV00 CURRENT EVIDENCE BASIS — ARTICLE 5 ASSESSMENT BASIS</t>
        </is>
      </c>
      <c r="L56" t="inlineStr">
        <is>
          <t>2026-08-08</t>
        </is>
      </c>
      <c r="N56" t="n">
        <v>0</v>
      </c>
      <c r="O56" s="19" t="inlineStr">
        <is>
          <t>2</t>
        </is>
      </c>
      <c r="Q56" t="inlineStr">
        <is>
          <t>Rev.00 Word EU DoC generated — see DOCUMENT_LIBRARY.FILE_URI; signature fields blank / not legally signed</t>
        </is>
      </c>
      <c r="R56" t="inlineStr">
        <is>
          <t>2026-08-10T19:29:54Z</t>
        </is>
      </c>
      <c r="S56" t="inlineStr">
        <is>
          <t>2026-08-10T19:29:54Z</t>
        </is>
      </c>
    </row>
    <row r="57">
      <c r="A57" s="19" t="inlineStr">
        <is>
          <t>56</t>
        </is>
      </c>
      <c r="B57" s="19" t="inlineStr">
        <is>
          <t>IA-PPWR-DOC-ST-042-STD-02-R00</t>
        </is>
      </c>
      <c r="C57" t="inlineStr">
        <is>
          <t>EU DoC — ST-042-STD-02</t>
        </is>
      </c>
      <c r="D57" s="19" t="inlineStr">
        <is>
          <t>1</t>
        </is>
      </c>
      <c r="E57" s="19" t="n"/>
      <c r="F57" s="19" t="inlineStr">
        <is>
          <t>56</t>
        </is>
      </c>
      <c r="G57" s="19" t="n"/>
      <c r="H57" s="19" t="inlineStr">
        <is>
          <t>56</t>
        </is>
      </c>
      <c r="I57" s="19" t="inlineStr">
        <is>
          <t>1</t>
        </is>
      </c>
      <c r="J57" t="inlineStr">
        <is>
          <t>EU PPWR</t>
        </is>
      </c>
      <c r="K57" t="inlineStr">
        <is>
          <t>REV00 CURRENT EVIDENCE BASIS — ARTICLE 5 ASSESSMENT BASIS</t>
        </is>
      </c>
      <c r="L57" t="inlineStr">
        <is>
          <t>2026-08-08</t>
        </is>
      </c>
      <c r="N57" t="n">
        <v>0</v>
      </c>
      <c r="O57" s="19" t="inlineStr">
        <is>
          <t>2</t>
        </is>
      </c>
      <c r="Q57" t="inlineStr">
        <is>
          <t>Rev.00 Word EU DoC generated — see DOCUMENT_LIBRARY.FILE_URI; signature fields blank / not legally signed</t>
        </is>
      </c>
      <c r="R57" t="inlineStr">
        <is>
          <t>2026-08-10T19:29:54Z</t>
        </is>
      </c>
      <c r="S57" t="inlineStr">
        <is>
          <t>2026-08-10T19:29:54Z</t>
        </is>
      </c>
    </row>
    <row r="58">
      <c r="A58" s="19" t="inlineStr">
        <is>
          <t>57</t>
        </is>
      </c>
      <c r="B58" s="19" t="inlineStr">
        <is>
          <t>IA-PPWR-DOC-ST-042-STD-03-R00</t>
        </is>
      </c>
      <c r="C58" t="inlineStr">
        <is>
          <t>EU DoC — ST-042-STD-03</t>
        </is>
      </c>
      <c r="D58" s="19" t="inlineStr">
        <is>
          <t>1</t>
        </is>
      </c>
      <c r="E58" s="19" t="n"/>
      <c r="F58" s="19" t="inlineStr">
        <is>
          <t>57</t>
        </is>
      </c>
      <c r="G58" s="19" t="n"/>
      <c r="H58" s="19" t="inlineStr">
        <is>
          <t>57</t>
        </is>
      </c>
      <c r="I58" s="19" t="inlineStr">
        <is>
          <t>1</t>
        </is>
      </c>
      <c r="J58" t="inlineStr">
        <is>
          <t>EU PPWR</t>
        </is>
      </c>
      <c r="K58" t="inlineStr">
        <is>
          <t>REV00 CURRENT EVIDENCE BASIS — ARTICLE 5 ASSESSMENT BASIS</t>
        </is>
      </c>
      <c r="L58" t="inlineStr">
        <is>
          <t>2026-08-08</t>
        </is>
      </c>
      <c r="N58" t="n">
        <v>0</v>
      </c>
      <c r="O58" s="19" t="inlineStr">
        <is>
          <t>2</t>
        </is>
      </c>
      <c r="Q58" t="inlineStr">
        <is>
          <t>Rev.00 Word EU DoC generated — see DOCUMENT_LIBRARY.FILE_URI; signature fields blank / not legally signed</t>
        </is>
      </c>
      <c r="R58" t="inlineStr">
        <is>
          <t>2026-08-10T19:29:54Z</t>
        </is>
      </c>
      <c r="S58" t="inlineStr">
        <is>
          <t>2026-08-10T19:29:54Z</t>
        </is>
      </c>
    </row>
    <row r="59">
      <c r="A59" s="19" t="inlineStr">
        <is>
          <t>58</t>
        </is>
      </c>
      <c r="B59" s="19" t="inlineStr">
        <is>
          <t>IA-PPWR-DOC-ST-042-STD-04-R00</t>
        </is>
      </c>
      <c r="C59" t="inlineStr">
        <is>
          <t>EU DoC — ST-042-STD-04</t>
        </is>
      </c>
      <c r="D59" s="19" t="inlineStr">
        <is>
          <t>1</t>
        </is>
      </c>
      <c r="E59" s="19" t="n"/>
      <c r="F59" s="19" t="inlineStr">
        <is>
          <t>58</t>
        </is>
      </c>
      <c r="G59" s="19" t="n"/>
      <c r="H59" s="19" t="inlineStr">
        <is>
          <t>58</t>
        </is>
      </c>
      <c r="I59" s="19" t="inlineStr">
        <is>
          <t>1</t>
        </is>
      </c>
      <c r="J59" t="inlineStr">
        <is>
          <t>EU PPWR</t>
        </is>
      </c>
      <c r="K59" t="inlineStr">
        <is>
          <t>REV00 CURRENT EVIDENCE BASIS — ARTICLE 5 ASSESSMENT BASIS</t>
        </is>
      </c>
      <c r="L59" t="inlineStr">
        <is>
          <t>2026-08-08</t>
        </is>
      </c>
      <c r="N59" t="n">
        <v>0</v>
      </c>
      <c r="O59" s="19" t="inlineStr">
        <is>
          <t>2</t>
        </is>
      </c>
      <c r="Q59" t="inlineStr">
        <is>
          <t>Rev.00 Word EU DoC generated — see DOCUMENT_LIBRARY.FILE_URI; signature fields blank / not legally signed</t>
        </is>
      </c>
      <c r="R59" t="inlineStr">
        <is>
          <t>2026-08-10T19:29:54Z</t>
        </is>
      </c>
      <c r="S59" t="inlineStr">
        <is>
          <t>2026-08-10T19:29:54Z</t>
        </is>
      </c>
    </row>
    <row r="60">
      <c r="A60" s="19" t="inlineStr">
        <is>
          <t>59</t>
        </is>
      </c>
      <c r="B60" s="19" t="inlineStr">
        <is>
          <t>IA-PPWR-DOC-ST-042-STD-05-R00</t>
        </is>
      </c>
      <c r="C60" t="inlineStr">
        <is>
          <t>EU DoC — ST-042-STD-05</t>
        </is>
      </c>
      <c r="D60" s="19" t="inlineStr">
        <is>
          <t>1</t>
        </is>
      </c>
      <c r="E60" s="19" t="n"/>
      <c r="F60" s="19" t="inlineStr">
        <is>
          <t>59</t>
        </is>
      </c>
      <c r="G60" s="19" t="n"/>
      <c r="H60" s="19" t="inlineStr">
        <is>
          <t>59</t>
        </is>
      </c>
      <c r="I60" s="19" t="inlineStr">
        <is>
          <t>1</t>
        </is>
      </c>
      <c r="J60" t="inlineStr">
        <is>
          <t>EU PPWR</t>
        </is>
      </c>
      <c r="K60" t="inlineStr">
        <is>
          <t>REV00 CURRENT EVIDENCE BASIS — ARTICLE 5 ASSESSMENT BASIS</t>
        </is>
      </c>
      <c r="L60" t="inlineStr">
        <is>
          <t>2026-08-08</t>
        </is>
      </c>
      <c r="N60" t="n">
        <v>0</v>
      </c>
      <c r="O60" s="19" t="inlineStr">
        <is>
          <t>2</t>
        </is>
      </c>
      <c r="Q60" t="inlineStr">
        <is>
          <t>Rev.00 Word EU DoC generated — see DOCUMENT_LIBRARY.FILE_URI; signature fields blank / not legally signed</t>
        </is>
      </c>
      <c r="R60" t="inlineStr">
        <is>
          <t>2026-08-10T19:29:54Z</t>
        </is>
      </c>
      <c r="S60" t="inlineStr">
        <is>
          <t>2026-08-10T19:29:54Z</t>
        </is>
      </c>
    </row>
    <row r="61">
      <c r="A61" s="19" t="inlineStr">
        <is>
          <t>60</t>
        </is>
      </c>
      <c r="B61" s="19" t="inlineStr">
        <is>
          <t>IA-PPWR-DOC-ST-042-STD-06-R00</t>
        </is>
      </c>
      <c r="C61" t="inlineStr">
        <is>
          <t>EU DoC — ST-042-STD-06</t>
        </is>
      </c>
      <c r="D61" s="19" t="inlineStr">
        <is>
          <t>1</t>
        </is>
      </c>
      <c r="E61" s="19" t="n"/>
      <c r="F61" s="19" t="inlineStr">
        <is>
          <t>60</t>
        </is>
      </c>
      <c r="G61" s="19" t="n"/>
      <c r="H61" s="19" t="inlineStr">
        <is>
          <t>60</t>
        </is>
      </c>
      <c r="I61" s="19" t="inlineStr">
        <is>
          <t>1</t>
        </is>
      </c>
      <c r="J61" t="inlineStr">
        <is>
          <t>EU PPWR</t>
        </is>
      </c>
      <c r="K61" t="inlineStr">
        <is>
          <t>REV00 CURRENT EVIDENCE BASIS — ARTICLE 5 ASSESSMENT BASIS</t>
        </is>
      </c>
      <c r="L61" t="inlineStr">
        <is>
          <t>2026-08-08</t>
        </is>
      </c>
      <c r="N61" t="n">
        <v>0</v>
      </c>
      <c r="O61" s="19" t="inlineStr">
        <is>
          <t>2</t>
        </is>
      </c>
      <c r="Q61" t="inlineStr">
        <is>
          <t>Rev.00 Word EU DoC generated — see DOCUMENT_LIBRARY.FILE_URI; signature fields blank / not legally signed</t>
        </is>
      </c>
      <c r="R61" t="inlineStr">
        <is>
          <t>2026-08-10T19:29:54Z</t>
        </is>
      </c>
      <c r="S61" t="inlineStr">
        <is>
          <t>2026-08-10T19:29:54Z</t>
        </is>
      </c>
    </row>
    <row r="62">
      <c r="A62" s="19" t="inlineStr">
        <is>
          <t>61</t>
        </is>
      </c>
      <c r="B62" s="19" t="inlineStr">
        <is>
          <t>IA-PPWR-DOC-ST-042-STD-07-R00</t>
        </is>
      </c>
      <c r="C62" t="inlineStr">
        <is>
          <t>EU DoC — ST-042-STD-07</t>
        </is>
      </c>
      <c r="D62" s="19" t="inlineStr">
        <is>
          <t>1</t>
        </is>
      </c>
      <c r="E62" s="19" t="n"/>
      <c r="F62" s="19" t="inlineStr">
        <is>
          <t>61</t>
        </is>
      </c>
      <c r="G62" s="19" t="n"/>
      <c r="H62" s="19" t="inlineStr">
        <is>
          <t>61</t>
        </is>
      </c>
      <c r="I62" s="19" t="inlineStr">
        <is>
          <t>1</t>
        </is>
      </c>
      <c r="J62" t="inlineStr">
        <is>
          <t>EU PPWR</t>
        </is>
      </c>
      <c r="K62" t="inlineStr">
        <is>
          <t>REV00 CURRENT EVIDENCE BASIS — ARTICLE 5 ASSESSMENT BASIS</t>
        </is>
      </c>
      <c r="L62" t="inlineStr">
        <is>
          <t>2026-08-08</t>
        </is>
      </c>
      <c r="N62" t="n">
        <v>0</v>
      </c>
      <c r="O62" s="19" t="inlineStr">
        <is>
          <t>2</t>
        </is>
      </c>
      <c r="Q62" t="inlineStr">
        <is>
          <t>Rev.00 Word EU DoC generated — see DOCUMENT_LIBRARY.FILE_URI; signature fields blank / not legally signed</t>
        </is>
      </c>
      <c r="R62" t="inlineStr">
        <is>
          <t>2026-08-10T19:29:54Z</t>
        </is>
      </c>
      <c r="S62" t="inlineStr">
        <is>
          <t>2026-08-10T19:29:54Z</t>
        </is>
      </c>
    </row>
    <row r="63">
      <c r="A63" s="19" t="inlineStr">
        <is>
          <t>62</t>
        </is>
      </c>
      <c r="B63" s="19" t="inlineStr">
        <is>
          <t>IA-PPWR-DOC-ST-042-STD-08-R00</t>
        </is>
      </c>
      <c r="C63" t="inlineStr">
        <is>
          <t>EU DoC — ST-042-STD-08</t>
        </is>
      </c>
      <c r="D63" s="19" t="inlineStr">
        <is>
          <t>1</t>
        </is>
      </c>
      <c r="E63" s="19" t="n"/>
      <c r="F63" s="19" t="inlineStr">
        <is>
          <t>62</t>
        </is>
      </c>
      <c r="G63" s="19" t="n"/>
      <c r="H63" s="19" t="inlineStr">
        <is>
          <t>62</t>
        </is>
      </c>
      <c r="I63" s="19" t="inlineStr">
        <is>
          <t>1</t>
        </is>
      </c>
      <c r="J63" t="inlineStr">
        <is>
          <t>EU PPWR</t>
        </is>
      </c>
      <c r="K63" t="inlineStr">
        <is>
          <t>REV00 CURRENT EVIDENCE BASIS — ARTICLE 5 ASSESSMENT BASIS</t>
        </is>
      </c>
      <c r="L63" t="inlineStr">
        <is>
          <t>2026-08-08</t>
        </is>
      </c>
      <c r="N63" t="n">
        <v>0</v>
      </c>
      <c r="O63" s="19" t="inlineStr">
        <is>
          <t>2</t>
        </is>
      </c>
      <c r="Q63" t="inlineStr">
        <is>
          <t>Rev.00 Word EU DoC generated — see DOCUMENT_LIBRARY.FILE_URI; signature fields blank / not legally signed</t>
        </is>
      </c>
      <c r="R63" t="inlineStr">
        <is>
          <t>2026-08-10T19:29:54Z</t>
        </is>
      </c>
      <c r="S63" t="inlineStr">
        <is>
          <t>2026-08-10T19:29:54Z</t>
        </is>
      </c>
    </row>
    <row r="64">
      <c r="A64" s="19" t="inlineStr">
        <is>
          <t>63</t>
        </is>
      </c>
      <c r="B64" s="19" t="inlineStr">
        <is>
          <t>IA-PPWR-DOC-ST-044-STD-01-R00</t>
        </is>
      </c>
      <c r="C64" t="inlineStr">
        <is>
          <t>EU DoC — ST-044-STD-01</t>
        </is>
      </c>
      <c r="D64" s="19" t="inlineStr">
        <is>
          <t>1</t>
        </is>
      </c>
      <c r="E64" s="19" t="n"/>
      <c r="F64" s="19" t="inlineStr">
        <is>
          <t>63</t>
        </is>
      </c>
      <c r="G64" s="19" t="n"/>
      <c r="H64" s="19" t="inlineStr">
        <is>
          <t>63</t>
        </is>
      </c>
      <c r="I64" s="19" t="inlineStr">
        <is>
          <t>1</t>
        </is>
      </c>
      <c r="J64" t="inlineStr">
        <is>
          <t>EU PPWR</t>
        </is>
      </c>
      <c r="K64" t="inlineStr">
        <is>
          <t>REV00 CURRENT EVIDENCE BASIS — ARTICLE 5 ASSESSMENT BASIS</t>
        </is>
      </c>
      <c r="L64" t="inlineStr">
        <is>
          <t>2026-08-08</t>
        </is>
      </c>
      <c r="N64" t="n">
        <v>0</v>
      </c>
      <c r="O64" s="19" t="inlineStr">
        <is>
          <t>2</t>
        </is>
      </c>
      <c r="Q64" t="inlineStr">
        <is>
          <t>Rev.00 Word EU DoC generated — see DOCUMENT_LIBRARY.FILE_URI; signature fields blank / not legally signed</t>
        </is>
      </c>
      <c r="R64" t="inlineStr">
        <is>
          <t>2026-08-10T19:29:54Z</t>
        </is>
      </c>
      <c r="S64" t="inlineStr">
        <is>
          <t>2026-08-10T19:29:54Z</t>
        </is>
      </c>
    </row>
    <row r="65">
      <c r="A65" s="19" t="inlineStr">
        <is>
          <t>64</t>
        </is>
      </c>
      <c r="B65" s="19" t="inlineStr">
        <is>
          <t>IA-PPWR-DOC-ST-045-EUR-01-R00</t>
        </is>
      </c>
      <c r="C65" t="inlineStr">
        <is>
          <t>EU DoC — ST-045-EUR-01</t>
        </is>
      </c>
      <c r="D65" s="19" t="inlineStr">
        <is>
          <t>1</t>
        </is>
      </c>
      <c r="E65" s="19" t="n"/>
      <c r="F65" s="19" t="inlineStr">
        <is>
          <t>64</t>
        </is>
      </c>
      <c r="G65" s="19" t="n"/>
      <c r="H65" s="19" t="inlineStr">
        <is>
          <t>64</t>
        </is>
      </c>
      <c r="I65" s="19" t="inlineStr">
        <is>
          <t>1</t>
        </is>
      </c>
      <c r="J65" t="inlineStr">
        <is>
          <t>EU PPWR</t>
        </is>
      </c>
      <c r="K65" t="inlineStr">
        <is>
          <t>REV00 CURRENT EVIDENCE BASIS — ARTICLE 5 ASSESSMENT BASIS</t>
        </is>
      </c>
      <c r="L65" t="inlineStr">
        <is>
          <t>2026-08-08</t>
        </is>
      </c>
      <c r="N65" t="n">
        <v>0</v>
      </c>
      <c r="O65" s="19" t="inlineStr">
        <is>
          <t>2</t>
        </is>
      </c>
      <c r="Q65" t="inlineStr">
        <is>
          <t>Rev.00 Word EU DoC generated — see DOCUMENT_LIBRARY.FILE_URI; signature fields blank / not legally signed</t>
        </is>
      </c>
      <c r="R65" t="inlineStr">
        <is>
          <t>2026-08-10T19:29:54Z</t>
        </is>
      </c>
      <c r="S65" t="inlineStr">
        <is>
          <t>2026-08-10T19:29:54Z</t>
        </is>
      </c>
    </row>
    <row r="66">
      <c r="A66" s="19" t="inlineStr">
        <is>
          <t>65</t>
        </is>
      </c>
      <c r="B66" s="19" t="inlineStr">
        <is>
          <t>IA-PPWR-DOC-ST-045-STD-01-R00</t>
        </is>
      </c>
      <c r="C66" t="inlineStr">
        <is>
          <t>EU DoC — ST-045-STD-01</t>
        </is>
      </c>
      <c r="D66" s="19" t="inlineStr">
        <is>
          <t>1</t>
        </is>
      </c>
      <c r="E66" s="19" t="n"/>
      <c r="F66" s="19" t="inlineStr">
        <is>
          <t>65</t>
        </is>
      </c>
      <c r="G66" s="19" t="n"/>
      <c r="H66" s="19" t="inlineStr">
        <is>
          <t>65</t>
        </is>
      </c>
      <c r="I66" s="19" t="inlineStr">
        <is>
          <t>1</t>
        </is>
      </c>
      <c r="J66" t="inlineStr">
        <is>
          <t>EU PPWR</t>
        </is>
      </c>
      <c r="K66" t="inlineStr">
        <is>
          <t>REV00 CURRENT EVIDENCE BASIS — ARTICLE 5 ASSESSMENT BASIS</t>
        </is>
      </c>
      <c r="L66" t="inlineStr">
        <is>
          <t>2026-08-08</t>
        </is>
      </c>
      <c r="N66" t="n">
        <v>0</v>
      </c>
      <c r="O66" s="19" t="inlineStr">
        <is>
          <t>2</t>
        </is>
      </c>
      <c r="Q66" t="inlineStr">
        <is>
          <t>Rev.00 Word EU DoC generated — see DOCUMENT_LIBRARY.FILE_URI; signature fields blank / not legally signed</t>
        </is>
      </c>
      <c r="R66" t="inlineStr">
        <is>
          <t>2026-08-10T19:29:54Z</t>
        </is>
      </c>
      <c r="S66" t="inlineStr">
        <is>
          <t>2026-08-10T19:29:54Z</t>
        </is>
      </c>
    </row>
    <row r="67">
      <c r="A67" s="19" t="inlineStr">
        <is>
          <t>66</t>
        </is>
      </c>
      <c r="B67" s="19" t="inlineStr">
        <is>
          <t>IA-PPWR-DOC-ST-045-STD-02-R00</t>
        </is>
      </c>
      <c r="C67" t="inlineStr">
        <is>
          <t>EU DoC — ST-045-STD-02</t>
        </is>
      </c>
      <c r="D67" s="19" t="inlineStr">
        <is>
          <t>1</t>
        </is>
      </c>
      <c r="E67" s="19" t="n"/>
      <c r="F67" s="19" t="inlineStr">
        <is>
          <t>66</t>
        </is>
      </c>
      <c r="G67" s="19" t="n"/>
      <c r="H67" s="19" t="inlineStr">
        <is>
          <t>66</t>
        </is>
      </c>
      <c r="I67" s="19" t="inlineStr">
        <is>
          <t>1</t>
        </is>
      </c>
      <c r="J67" t="inlineStr">
        <is>
          <t>EU PPWR</t>
        </is>
      </c>
      <c r="K67" t="inlineStr">
        <is>
          <t>REV00 CURRENT EVIDENCE BASIS — ARTICLE 5 ASSESSMENT BASIS</t>
        </is>
      </c>
      <c r="L67" t="inlineStr">
        <is>
          <t>2026-08-08</t>
        </is>
      </c>
      <c r="N67" t="n">
        <v>0</v>
      </c>
      <c r="O67" s="19" t="inlineStr">
        <is>
          <t>2</t>
        </is>
      </c>
      <c r="Q67" t="inlineStr">
        <is>
          <t>Rev.00 Word EU DoC generated — see DOCUMENT_LIBRARY.FILE_URI; signature fields blank / not legally signed</t>
        </is>
      </c>
      <c r="R67" t="inlineStr">
        <is>
          <t>2026-08-10T19:29:54Z</t>
        </is>
      </c>
      <c r="S67" t="inlineStr">
        <is>
          <t>2026-08-10T19:29:54Z</t>
        </is>
      </c>
    </row>
    <row r="68">
      <c r="A68" s="19" t="inlineStr">
        <is>
          <t>67</t>
        </is>
      </c>
      <c r="B68" s="19" t="inlineStr">
        <is>
          <t>IA-PPWR-DOC-ST-045-STD-03-R00</t>
        </is>
      </c>
      <c r="C68" t="inlineStr">
        <is>
          <t>EU DoC — ST-045-STD-03</t>
        </is>
      </c>
      <c r="D68" s="19" t="inlineStr">
        <is>
          <t>1</t>
        </is>
      </c>
      <c r="E68" s="19" t="n"/>
      <c r="F68" s="19" t="inlineStr">
        <is>
          <t>67</t>
        </is>
      </c>
      <c r="G68" s="19" t="n"/>
      <c r="H68" s="19" t="inlineStr">
        <is>
          <t>67</t>
        </is>
      </c>
      <c r="I68" s="19" t="inlineStr">
        <is>
          <t>1</t>
        </is>
      </c>
      <c r="J68" t="inlineStr">
        <is>
          <t>EU PPWR</t>
        </is>
      </c>
      <c r="K68" t="inlineStr">
        <is>
          <t>REV00 CURRENT EVIDENCE BASIS — ARTICLE 5 ASSESSMENT BASIS</t>
        </is>
      </c>
      <c r="L68" t="inlineStr">
        <is>
          <t>2026-08-08</t>
        </is>
      </c>
      <c r="N68" t="n">
        <v>0</v>
      </c>
      <c r="O68" s="19" t="inlineStr">
        <is>
          <t>2</t>
        </is>
      </c>
      <c r="Q68" t="inlineStr">
        <is>
          <t>Rev.00 Word EU DoC generated — see DOCUMENT_LIBRARY.FILE_URI; signature fields blank / not legally signed</t>
        </is>
      </c>
      <c r="R68" t="inlineStr">
        <is>
          <t>2026-08-10T19:29:54Z</t>
        </is>
      </c>
      <c r="S68" t="inlineStr">
        <is>
          <t>2026-08-10T19:29:54Z</t>
        </is>
      </c>
    </row>
    <row r="69">
      <c r="A69" s="19" t="inlineStr">
        <is>
          <t>68</t>
        </is>
      </c>
      <c r="B69" s="19" t="inlineStr">
        <is>
          <t>IA-PPWR-DOC-ST-045-STD-04-R00</t>
        </is>
      </c>
      <c r="C69" t="inlineStr">
        <is>
          <t>EU DoC — ST-045-STD-04</t>
        </is>
      </c>
      <c r="D69" s="19" t="inlineStr">
        <is>
          <t>1</t>
        </is>
      </c>
      <c r="E69" s="19" t="n"/>
      <c r="F69" s="19" t="inlineStr">
        <is>
          <t>68</t>
        </is>
      </c>
      <c r="G69" s="19" t="n"/>
      <c r="H69" s="19" t="inlineStr">
        <is>
          <t>68</t>
        </is>
      </c>
      <c r="I69" s="19" t="inlineStr">
        <is>
          <t>1</t>
        </is>
      </c>
      <c r="J69" t="inlineStr">
        <is>
          <t>EU PPWR</t>
        </is>
      </c>
      <c r="K69" t="inlineStr">
        <is>
          <t>REV00 CURRENT EVIDENCE BASIS — ARTICLE 5 ASSESSMENT BASIS</t>
        </is>
      </c>
      <c r="L69" t="inlineStr">
        <is>
          <t>2026-08-08</t>
        </is>
      </c>
      <c r="N69" t="n">
        <v>0</v>
      </c>
      <c r="O69" s="19" t="inlineStr">
        <is>
          <t>2</t>
        </is>
      </c>
      <c r="Q69" t="inlineStr">
        <is>
          <t>Rev.00 Word EU DoC generated — see DOCUMENT_LIBRARY.FILE_URI; signature fields blank / not legally signed</t>
        </is>
      </c>
      <c r="R69" t="inlineStr">
        <is>
          <t>2026-08-10T19:29:54Z</t>
        </is>
      </c>
      <c r="S69" t="inlineStr">
        <is>
          <t>2026-08-10T19:29:54Z</t>
        </is>
      </c>
    </row>
    <row r="70">
      <c r="A70" s="19" t="inlineStr">
        <is>
          <t>69</t>
        </is>
      </c>
      <c r="B70" s="19" t="inlineStr">
        <is>
          <t>IA-PPWR-DOC-ST-045-STD-05-R00</t>
        </is>
      </c>
      <c r="C70" t="inlineStr">
        <is>
          <t>EU DoC — ST-045-STD-05</t>
        </is>
      </c>
      <c r="D70" s="19" t="inlineStr">
        <is>
          <t>1</t>
        </is>
      </c>
      <c r="E70" s="19" t="n"/>
      <c r="F70" s="19" t="inlineStr">
        <is>
          <t>69</t>
        </is>
      </c>
      <c r="G70" s="19" t="n"/>
      <c r="H70" s="19" t="inlineStr">
        <is>
          <t>69</t>
        </is>
      </c>
      <c r="I70" s="19" t="inlineStr">
        <is>
          <t>1</t>
        </is>
      </c>
      <c r="J70" t="inlineStr">
        <is>
          <t>EU PPWR</t>
        </is>
      </c>
      <c r="K70" t="inlineStr">
        <is>
          <t>REV00 CURRENT EVIDENCE BASIS — ARTICLE 5 ASSESSMENT BASIS</t>
        </is>
      </c>
      <c r="L70" t="inlineStr">
        <is>
          <t>2026-08-08</t>
        </is>
      </c>
      <c r="N70" t="n">
        <v>0</v>
      </c>
      <c r="O70" s="19" t="inlineStr">
        <is>
          <t>2</t>
        </is>
      </c>
      <c r="Q70" t="inlineStr">
        <is>
          <t>Rev.00 Word EU DoC generated — see DOCUMENT_LIBRARY.FILE_URI; signature fields blank / not legally signed</t>
        </is>
      </c>
      <c r="R70" t="inlineStr">
        <is>
          <t>2026-08-10T19:29:54Z</t>
        </is>
      </c>
      <c r="S70" t="inlineStr">
        <is>
          <t>2026-08-10T19:29:54Z</t>
        </is>
      </c>
    </row>
    <row r="71">
      <c r="A71" s="19" t="inlineStr">
        <is>
          <t>70</t>
        </is>
      </c>
      <c r="B71" s="19" t="inlineStr">
        <is>
          <t>IA-PPWR-DOC-ST-045-STD-06-R00</t>
        </is>
      </c>
      <c r="C71" t="inlineStr">
        <is>
          <t>EU DoC — ST-045-STD-06</t>
        </is>
      </c>
      <c r="D71" s="19" t="inlineStr">
        <is>
          <t>1</t>
        </is>
      </c>
      <c r="E71" s="19" t="n"/>
      <c r="F71" s="19" t="inlineStr">
        <is>
          <t>70</t>
        </is>
      </c>
      <c r="G71" s="19" t="n"/>
      <c r="H71" s="19" t="inlineStr">
        <is>
          <t>70</t>
        </is>
      </c>
      <c r="I71" s="19" t="inlineStr">
        <is>
          <t>1</t>
        </is>
      </c>
      <c r="J71" t="inlineStr">
        <is>
          <t>EU PPWR</t>
        </is>
      </c>
      <c r="K71" t="inlineStr">
        <is>
          <t>REV00 CURRENT EVIDENCE BASIS — ARTICLE 5 ASSESSMENT BASIS</t>
        </is>
      </c>
      <c r="L71" t="inlineStr">
        <is>
          <t>2026-08-08</t>
        </is>
      </c>
      <c r="N71" t="n">
        <v>0</v>
      </c>
      <c r="O71" s="19" t="inlineStr">
        <is>
          <t>2</t>
        </is>
      </c>
      <c r="Q71" t="inlineStr">
        <is>
          <t>Rev.00 Word EU DoC generated — see DOCUMENT_LIBRARY.FILE_URI; signature fields blank / not legally signed</t>
        </is>
      </c>
      <c r="R71" t="inlineStr">
        <is>
          <t>2026-08-10T19:29:54Z</t>
        </is>
      </c>
      <c r="S71" t="inlineStr">
        <is>
          <t>2026-08-10T19:29:54Z</t>
        </is>
      </c>
    </row>
    <row r="72">
      <c r="A72" s="19" t="inlineStr">
        <is>
          <t>71</t>
        </is>
      </c>
      <c r="B72" s="19" t="inlineStr">
        <is>
          <t>IA-PPWR-DOC-ST-045-STD-07-R00</t>
        </is>
      </c>
      <c r="C72" t="inlineStr">
        <is>
          <t>EU DoC — ST-045-STD-07</t>
        </is>
      </c>
      <c r="D72" s="19" t="inlineStr">
        <is>
          <t>1</t>
        </is>
      </c>
      <c r="E72" s="19" t="n"/>
      <c r="F72" s="19" t="inlineStr">
        <is>
          <t>71</t>
        </is>
      </c>
      <c r="G72" s="19" t="n"/>
      <c r="H72" s="19" t="inlineStr">
        <is>
          <t>71</t>
        </is>
      </c>
      <c r="I72" s="19" t="inlineStr">
        <is>
          <t>1</t>
        </is>
      </c>
      <c r="J72" t="inlineStr">
        <is>
          <t>EU PPWR</t>
        </is>
      </c>
      <c r="K72" t="inlineStr">
        <is>
          <t>REV00 CURRENT EVIDENCE BASIS — ARTICLE 5 ASSESSMENT BASIS</t>
        </is>
      </c>
      <c r="L72" t="inlineStr">
        <is>
          <t>2026-08-08</t>
        </is>
      </c>
      <c r="N72" t="n">
        <v>0</v>
      </c>
      <c r="O72" s="19" t="inlineStr">
        <is>
          <t>2</t>
        </is>
      </c>
      <c r="Q72" t="inlineStr">
        <is>
          <t>Rev.00 Word EU DoC generated — see DOCUMENT_LIBRARY.FILE_URI; signature fields blank / not legally signed</t>
        </is>
      </c>
      <c r="R72" t="inlineStr">
        <is>
          <t>2026-08-10T19:29:54Z</t>
        </is>
      </c>
      <c r="S72" t="inlineStr">
        <is>
          <t>2026-08-10T19:29:54Z</t>
        </is>
      </c>
    </row>
    <row r="73">
      <c r="A73" s="19" t="inlineStr">
        <is>
          <t>72</t>
        </is>
      </c>
      <c r="B73" s="19" t="inlineStr">
        <is>
          <t>IA-PPWR-DOC-ST-045-STD-08-R00</t>
        </is>
      </c>
      <c r="C73" t="inlineStr">
        <is>
          <t>EU DoC — ST-045-STD-08</t>
        </is>
      </c>
      <c r="D73" s="19" t="inlineStr">
        <is>
          <t>1</t>
        </is>
      </c>
      <c r="E73" s="19" t="n"/>
      <c r="F73" s="19" t="inlineStr">
        <is>
          <t>72</t>
        </is>
      </c>
      <c r="G73" s="19" t="n"/>
      <c r="H73" s="19" t="inlineStr">
        <is>
          <t>72</t>
        </is>
      </c>
      <c r="I73" s="19" t="inlineStr">
        <is>
          <t>1</t>
        </is>
      </c>
      <c r="J73" t="inlineStr">
        <is>
          <t>EU PPWR</t>
        </is>
      </c>
      <c r="K73" t="inlineStr">
        <is>
          <t>REV00 CURRENT EVIDENCE BASIS — ARTICLE 5 ASSESSMENT BASIS</t>
        </is>
      </c>
      <c r="L73" t="inlineStr">
        <is>
          <t>2026-08-08</t>
        </is>
      </c>
      <c r="N73" t="n">
        <v>0</v>
      </c>
      <c r="O73" s="19" t="inlineStr">
        <is>
          <t>2</t>
        </is>
      </c>
      <c r="Q73" t="inlineStr">
        <is>
          <t>Rev.00 Word EU DoC generated — see DOCUMENT_LIBRARY.FILE_URI; signature fields blank / not legally signed</t>
        </is>
      </c>
      <c r="R73" t="inlineStr">
        <is>
          <t>2026-08-10T19:29:54Z</t>
        </is>
      </c>
      <c r="S73" t="inlineStr">
        <is>
          <t>2026-08-10T19:29:54Z</t>
        </is>
      </c>
    </row>
    <row r="74">
      <c r="A74" s="19" t="inlineStr">
        <is>
          <t>73</t>
        </is>
      </c>
      <c r="B74" s="19" t="inlineStr">
        <is>
          <t>IA-PPWR-DOC-ST-045-STD-09-R00</t>
        </is>
      </c>
      <c r="C74" t="inlineStr">
        <is>
          <t>EU DoC — ST-045-STD-09</t>
        </is>
      </c>
      <c r="D74" s="19" t="inlineStr">
        <is>
          <t>1</t>
        </is>
      </c>
      <c r="E74" s="19" t="n"/>
      <c r="F74" s="19" t="inlineStr">
        <is>
          <t>73</t>
        </is>
      </c>
      <c r="G74" s="19" t="n"/>
      <c r="H74" s="19" t="inlineStr">
        <is>
          <t>73</t>
        </is>
      </c>
      <c r="I74" s="19" t="inlineStr">
        <is>
          <t>1</t>
        </is>
      </c>
      <c r="J74" t="inlineStr">
        <is>
          <t>EU PPWR</t>
        </is>
      </c>
      <c r="K74" t="inlineStr">
        <is>
          <t>REV00 CURRENT EVIDENCE BASIS — ARTICLE 5 ASSESSMENT BASIS</t>
        </is>
      </c>
      <c r="L74" t="inlineStr">
        <is>
          <t>2026-08-08</t>
        </is>
      </c>
      <c r="N74" t="n">
        <v>0</v>
      </c>
      <c r="O74" s="19" t="inlineStr">
        <is>
          <t>2</t>
        </is>
      </c>
      <c r="Q74" t="inlineStr">
        <is>
          <t>Rev.00 Word EU DoC generated — see DOCUMENT_LIBRARY.FILE_URI; signature fields blank / not legally signed</t>
        </is>
      </c>
      <c r="R74" t="inlineStr">
        <is>
          <t>2026-08-10T19:29:54Z</t>
        </is>
      </c>
      <c r="S74" t="inlineStr">
        <is>
          <t>2026-08-10T19:29:54Z</t>
        </is>
      </c>
    </row>
    <row r="75">
      <c r="A75" s="19" t="inlineStr">
        <is>
          <t>74</t>
        </is>
      </c>
      <c r="B75" s="19" t="inlineStr">
        <is>
          <t>IA-PPWR-DOC-ST-045-STD-10-R00</t>
        </is>
      </c>
      <c r="C75" t="inlineStr">
        <is>
          <t>EU DoC — ST-045-STD-10</t>
        </is>
      </c>
      <c r="D75" s="19" t="inlineStr">
        <is>
          <t>1</t>
        </is>
      </c>
      <c r="E75" s="19" t="n"/>
      <c r="F75" s="19" t="inlineStr">
        <is>
          <t>74</t>
        </is>
      </c>
      <c r="G75" s="19" t="n"/>
      <c r="H75" s="19" t="inlineStr">
        <is>
          <t>74</t>
        </is>
      </c>
      <c r="I75" s="19" t="inlineStr">
        <is>
          <t>1</t>
        </is>
      </c>
      <c r="J75" t="inlineStr">
        <is>
          <t>EU PPWR</t>
        </is>
      </c>
      <c r="K75" t="inlineStr">
        <is>
          <t>REV00 CURRENT EVIDENCE BASIS — ARTICLE 5 ASSESSMENT BASIS</t>
        </is>
      </c>
      <c r="L75" t="inlineStr">
        <is>
          <t>2026-08-08</t>
        </is>
      </c>
      <c r="N75" t="n">
        <v>0</v>
      </c>
      <c r="O75" s="19" t="inlineStr">
        <is>
          <t>2</t>
        </is>
      </c>
      <c r="Q75" t="inlineStr">
        <is>
          <t>Rev.00 Word EU DoC generated — see DOCUMENT_LIBRARY.FILE_URI; signature fields blank / not legally signed</t>
        </is>
      </c>
      <c r="R75" t="inlineStr">
        <is>
          <t>2026-08-10T19:29:54Z</t>
        </is>
      </c>
      <c r="S75" t="inlineStr">
        <is>
          <t>2026-08-10T19:29:54Z</t>
        </is>
      </c>
    </row>
    <row r="76">
      <c r="A76" s="19" t="inlineStr">
        <is>
          <t>75</t>
        </is>
      </c>
      <c r="B76" s="19" t="inlineStr">
        <is>
          <t>IA-PPWR-DOC-ST-045-STD-11-R00</t>
        </is>
      </c>
      <c r="C76" t="inlineStr">
        <is>
          <t>EU DoC — ST-045-STD-11</t>
        </is>
      </c>
      <c r="D76" s="19" t="inlineStr">
        <is>
          <t>1</t>
        </is>
      </c>
      <c r="E76" s="19" t="n"/>
      <c r="F76" s="19" t="inlineStr">
        <is>
          <t>75</t>
        </is>
      </c>
      <c r="G76" s="19" t="n"/>
      <c r="H76" s="19" t="inlineStr">
        <is>
          <t>75</t>
        </is>
      </c>
      <c r="I76" s="19" t="inlineStr">
        <is>
          <t>1</t>
        </is>
      </c>
      <c r="J76" t="inlineStr">
        <is>
          <t>EU PPWR</t>
        </is>
      </c>
      <c r="K76" t="inlineStr">
        <is>
          <t>REV00 CURRENT EVIDENCE BASIS — ARTICLE 5 ASSESSMENT BASIS</t>
        </is>
      </c>
      <c r="L76" t="inlineStr">
        <is>
          <t>2026-08-08</t>
        </is>
      </c>
      <c r="N76" t="n">
        <v>0</v>
      </c>
      <c r="O76" s="19" t="inlineStr">
        <is>
          <t>2</t>
        </is>
      </c>
      <c r="Q76" t="inlineStr">
        <is>
          <t>Rev.00 Word EU DoC generated — see DOCUMENT_LIBRARY.FILE_URI; signature fields blank / not legally signed</t>
        </is>
      </c>
      <c r="R76" t="inlineStr">
        <is>
          <t>2026-08-10T19:29:54Z</t>
        </is>
      </c>
      <c r="S76" t="inlineStr">
        <is>
          <t>2026-08-10T19:29:54Z</t>
        </is>
      </c>
    </row>
    <row r="77">
      <c r="A77" s="19" t="inlineStr">
        <is>
          <t>76</t>
        </is>
      </c>
      <c r="B77" s="19" t="inlineStr">
        <is>
          <t>IA-PPWR-DOC-ST-045-STD-12-R00</t>
        </is>
      </c>
      <c r="C77" t="inlineStr">
        <is>
          <t>EU DoC — ST-045-STD-12</t>
        </is>
      </c>
      <c r="D77" s="19" t="inlineStr">
        <is>
          <t>1</t>
        </is>
      </c>
      <c r="E77" s="19" t="n"/>
      <c r="F77" s="19" t="inlineStr">
        <is>
          <t>76</t>
        </is>
      </c>
      <c r="G77" s="19" t="n"/>
      <c r="H77" s="19" t="inlineStr">
        <is>
          <t>76</t>
        </is>
      </c>
      <c r="I77" s="19" t="inlineStr">
        <is>
          <t>1</t>
        </is>
      </c>
      <c r="J77" t="inlineStr">
        <is>
          <t>EU PPWR</t>
        </is>
      </c>
      <c r="K77" t="inlineStr">
        <is>
          <t>REV00 CURRENT EVIDENCE BASIS — ARTICLE 5 ASSESSMENT BASIS</t>
        </is>
      </c>
      <c r="L77" t="inlineStr">
        <is>
          <t>2026-08-08</t>
        </is>
      </c>
      <c r="N77" t="n">
        <v>0</v>
      </c>
      <c r="O77" s="19" t="inlineStr">
        <is>
          <t>2</t>
        </is>
      </c>
      <c r="Q77" t="inlineStr">
        <is>
          <t>Rev.00 Word EU DoC generated — see DOCUMENT_LIBRARY.FILE_URI; signature fields blank / not legally signed</t>
        </is>
      </c>
      <c r="R77" t="inlineStr">
        <is>
          <t>2026-08-10T19:29:54Z</t>
        </is>
      </c>
      <c r="S77" t="inlineStr">
        <is>
          <t>2026-08-10T19:29:54Z</t>
        </is>
      </c>
    </row>
    <row r="78">
      <c r="A78" s="19" t="inlineStr">
        <is>
          <t>77</t>
        </is>
      </c>
      <c r="B78" s="19" t="inlineStr">
        <is>
          <t>IA-PPWR-DOC-ST-045-STD-13-R00</t>
        </is>
      </c>
      <c r="C78" t="inlineStr">
        <is>
          <t>EU DoC — ST-045-STD-13</t>
        </is>
      </c>
      <c r="D78" s="19" t="inlineStr">
        <is>
          <t>1</t>
        </is>
      </c>
      <c r="E78" s="19" t="n"/>
      <c r="F78" s="19" t="inlineStr">
        <is>
          <t>77</t>
        </is>
      </c>
      <c r="G78" s="19" t="n"/>
      <c r="H78" s="19" t="inlineStr">
        <is>
          <t>77</t>
        </is>
      </c>
      <c r="I78" s="19" t="inlineStr">
        <is>
          <t>1</t>
        </is>
      </c>
      <c r="J78" t="inlineStr">
        <is>
          <t>EU PPWR</t>
        </is>
      </c>
      <c r="K78" t="inlineStr">
        <is>
          <t>REV00 CURRENT EVIDENCE BASIS — ARTICLE 5 ASSESSMENT BASIS</t>
        </is>
      </c>
      <c r="L78" t="inlineStr">
        <is>
          <t>2026-08-08</t>
        </is>
      </c>
      <c r="N78" t="n">
        <v>0</v>
      </c>
      <c r="O78" s="19" t="inlineStr">
        <is>
          <t>2</t>
        </is>
      </c>
      <c r="Q78" t="inlineStr">
        <is>
          <t>Rev.00 Word EU DoC generated — see DOCUMENT_LIBRARY.FILE_URI; signature fields blank / not legally signed</t>
        </is>
      </c>
      <c r="R78" t="inlineStr">
        <is>
          <t>2026-08-10T19:29:54Z</t>
        </is>
      </c>
      <c r="S78" t="inlineStr">
        <is>
          <t>2026-08-10T19:29:54Z</t>
        </is>
      </c>
    </row>
    <row r="79">
      <c r="A79" s="19" t="inlineStr">
        <is>
          <t>78</t>
        </is>
      </c>
      <c r="B79" s="19" t="inlineStr">
        <is>
          <t>IA-PPWR-DOC-ST-045-STD-14-R00</t>
        </is>
      </c>
      <c r="C79" t="inlineStr">
        <is>
          <t>EU DoC — ST-045-STD-14</t>
        </is>
      </c>
      <c r="D79" s="19" t="inlineStr">
        <is>
          <t>1</t>
        </is>
      </c>
      <c r="E79" s="19" t="n"/>
      <c r="F79" s="19" t="inlineStr">
        <is>
          <t>78</t>
        </is>
      </c>
      <c r="G79" s="19" t="n"/>
      <c r="H79" s="19" t="inlineStr">
        <is>
          <t>78</t>
        </is>
      </c>
      <c r="I79" s="19" t="inlineStr">
        <is>
          <t>1</t>
        </is>
      </c>
      <c r="J79" t="inlineStr">
        <is>
          <t>EU PPWR</t>
        </is>
      </c>
      <c r="K79" t="inlineStr">
        <is>
          <t>REV00 CURRENT EVIDENCE BASIS — ARTICLE 5 ASSESSMENT BASIS</t>
        </is>
      </c>
      <c r="L79" t="inlineStr">
        <is>
          <t>2026-08-08</t>
        </is>
      </c>
      <c r="N79" t="n">
        <v>0</v>
      </c>
      <c r="O79" s="19" t="inlineStr">
        <is>
          <t>2</t>
        </is>
      </c>
      <c r="Q79" t="inlineStr">
        <is>
          <t>Rev.00 Word EU DoC generated — see DOCUMENT_LIBRARY.FILE_URI; signature fields blank / not legally signed</t>
        </is>
      </c>
      <c r="R79" t="inlineStr">
        <is>
          <t>2026-08-10T19:29:54Z</t>
        </is>
      </c>
      <c r="S79" t="inlineStr">
        <is>
          <t>2026-08-10T19:29:54Z</t>
        </is>
      </c>
    </row>
    <row r="80">
      <c r="A80" s="19" t="inlineStr">
        <is>
          <t>79</t>
        </is>
      </c>
      <c r="B80" s="19" t="inlineStr">
        <is>
          <t>IA-PPWR-DOC-ST-048-EUR-01-R00</t>
        </is>
      </c>
      <c r="C80" t="inlineStr">
        <is>
          <t>EU DoC — ST-048-EUR-01</t>
        </is>
      </c>
      <c r="D80" s="19" t="inlineStr">
        <is>
          <t>1</t>
        </is>
      </c>
      <c r="E80" s="19" t="n"/>
      <c r="F80" s="19" t="inlineStr">
        <is>
          <t>79</t>
        </is>
      </c>
      <c r="G80" s="19" t="n"/>
      <c r="H80" s="19" t="inlineStr">
        <is>
          <t>79</t>
        </is>
      </c>
      <c r="I80" s="19" t="inlineStr">
        <is>
          <t>1</t>
        </is>
      </c>
      <c r="J80" t="inlineStr">
        <is>
          <t>EU PPWR</t>
        </is>
      </c>
      <c r="K80" t="inlineStr">
        <is>
          <t>REV00 CURRENT EVIDENCE BASIS — ARTICLE 5 ASSESSMENT BASIS</t>
        </is>
      </c>
      <c r="L80" t="inlineStr">
        <is>
          <t>2026-08-08</t>
        </is>
      </c>
      <c r="N80" t="n">
        <v>0</v>
      </c>
      <c r="O80" s="19" t="inlineStr">
        <is>
          <t>2</t>
        </is>
      </c>
      <c r="Q80" t="inlineStr">
        <is>
          <t>Rev.00 Word EU DoC generated — see DOCUMENT_LIBRARY.FILE_URI; signature fields blank / not legally signed</t>
        </is>
      </c>
      <c r="R80" t="inlineStr">
        <is>
          <t>2026-08-10T19:29:54Z</t>
        </is>
      </c>
      <c r="S80" t="inlineStr">
        <is>
          <t>2026-08-10T19:29:54Z</t>
        </is>
      </c>
    </row>
    <row r="81">
      <c r="A81" s="19" t="inlineStr">
        <is>
          <t>80</t>
        </is>
      </c>
      <c r="B81" s="19" t="inlineStr">
        <is>
          <t>IA-PPWR-DOC-ST-048-EUR-02-R00</t>
        </is>
      </c>
      <c r="C81" t="inlineStr">
        <is>
          <t>EU DoC — ST-048-EUR-02</t>
        </is>
      </c>
      <c r="D81" s="19" t="inlineStr">
        <is>
          <t>1</t>
        </is>
      </c>
      <c r="E81" s="19" t="n"/>
      <c r="F81" s="19" t="inlineStr">
        <is>
          <t>80</t>
        </is>
      </c>
      <c r="G81" s="19" t="n"/>
      <c r="H81" s="19" t="inlineStr">
        <is>
          <t>80</t>
        </is>
      </c>
      <c r="I81" s="19" t="inlineStr">
        <is>
          <t>1</t>
        </is>
      </c>
      <c r="J81" t="inlineStr">
        <is>
          <t>EU PPWR</t>
        </is>
      </c>
      <c r="K81" t="inlineStr">
        <is>
          <t>REV00 CURRENT EVIDENCE BASIS — ARTICLE 5 ASSESSMENT BASIS</t>
        </is>
      </c>
      <c r="L81" t="inlineStr">
        <is>
          <t>2026-08-08</t>
        </is>
      </c>
      <c r="N81" t="n">
        <v>0</v>
      </c>
      <c r="O81" s="19" t="inlineStr">
        <is>
          <t>2</t>
        </is>
      </c>
      <c r="Q81" t="inlineStr">
        <is>
          <t>Rev.00 Word EU DoC generated — see DOCUMENT_LIBRARY.FILE_URI; signature fields blank / not legally signed</t>
        </is>
      </c>
      <c r="R81" t="inlineStr">
        <is>
          <t>2026-08-10T19:29:54Z</t>
        </is>
      </c>
      <c r="S81" t="inlineStr">
        <is>
          <t>2026-08-10T19:29:54Z</t>
        </is>
      </c>
    </row>
    <row r="82">
      <c r="A82" s="19" t="inlineStr">
        <is>
          <t>81</t>
        </is>
      </c>
      <c r="B82" s="19" t="inlineStr">
        <is>
          <t>IA-PPWR-DOC-ST-048-EUR-03-R00</t>
        </is>
      </c>
      <c r="C82" t="inlineStr">
        <is>
          <t>EU DoC — ST-048-EUR-03</t>
        </is>
      </c>
      <c r="D82" s="19" t="inlineStr">
        <is>
          <t>1</t>
        </is>
      </c>
      <c r="E82" s="19" t="n"/>
      <c r="F82" s="19" t="inlineStr">
        <is>
          <t>81</t>
        </is>
      </c>
      <c r="G82" s="19" t="n"/>
      <c r="H82" s="19" t="inlineStr">
        <is>
          <t>81</t>
        </is>
      </c>
      <c r="I82" s="19" t="inlineStr">
        <is>
          <t>1</t>
        </is>
      </c>
      <c r="J82" t="inlineStr">
        <is>
          <t>EU PPWR</t>
        </is>
      </c>
      <c r="K82" t="inlineStr">
        <is>
          <t>REV00 CURRENT EVIDENCE BASIS — ARTICLE 5 ASSESSMENT BASIS</t>
        </is>
      </c>
      <c r="L82" t="inlineStr">
        <is>
          <t>2026-08-08</t>
        </is>
      </c>
      <c r="N82" t="n">
        <v>0</v>
      </c>
      <c r="O82" s="19" t="inlineStr">
        <is>
          <t>2</t>
        </is>
      </c>
      <c r="Q82" t="inlineStr">
        <is>
          <t>Rev.00 Word EU DoC generated — see DOCUMENT_LIBRARY.FILE_URI; signature fields blank / not legally signed</t>
        </is>
      </c>
      <c r="R82" t="inlineStr">
        <is>
          <t>2026-08-10T19:29:54Z</t>
        </is>
      </c>
      <c r="S82" t="inlineStr">
        <is>
          <t>2026-08-10T19:29:54Z</t>
        </is>
      </c>
    </row>
    <row r="83">
      <c r="A83" s="19" t="inlineStr">
        <is>
          <t>82</t>
        </is>
      </c>
      <c r="B83" s="19" t="inlineStr">
        <is>
          <t>IA-PPWR-DOC-ST-048-EUR-04-R00</t>
        </is>
      </c>
      <c r="C83" t="inlineStr">
        <is>
          <t>EU DoC — ST-048-EUR-04</t>
        </is>
      </c>
      <c r="D83" s="19" t="inlineStr">
        <is>
          <t>1</t>
        </is>
      </c>
      <c r="E83" s="19" t="n"/>
      <c r="F83" s="19" t="inlineStr">
        <is>
          <t>82</t>
        </is>
      </c>
      <c r="G83" s="19" t="n"/>
      <c r="H83" s="19" t="inlineStr">
        <is>
          <t>82</t>
        </is>
      </c>
      <c r="I83" s="19" t="inlineStr">
        <is>
          <t>1</t>
        </is>
      </c>
      <c r="J83" t="inlineStr">
        <is>
          <t>EU PPWR</t>
        </is>
      </c>
      <c r="K83" t="inlineStr">
        <is>
          <t>REV00 CURRENT EVIDENCE BASIS — ARTICLE 5 ASSESSMENT BASIS</t>
        </is>
      </c>
      <c r="L83" t="inlineStr">
        <is>
          <t>2026-08-08</t>
        </is>
      </c>
      <c r="N83" t="n">
        <v>0</v>
      </c>
      <c r="O83" s="19" t="inlineStr">
        <is>
          <t>2</t>
        </is>
      </c>
      <c r="Q83" t="inlineStr">
        <is>
          <t>Rev.00 Word EU DoC generated — see DOCUMENT_LIBRARY.FILE_URI; signature fields blank / not legally signed</t>
        </is>
      </c>
      <c r="R83" t="inlineStr">
        <is>
          <t>2026-08-10T19:29:54Z</t>
        </is>
      </c>
      <c r="S83" t="inlineStr">
        <is>
          <t>2026-08-10T19:29:54Z</t>
        </is>
      </c>
    </row>
    <row r="84">
      <c r="A84" s="19" t="inlineStr">
        <is>
          <t>83</t>
        </is>
      </c>
      <c r="B84" s="19" t="inlineStr">
        <is>
          <t>IA-PPWR-DOC-ST-048-EUR-05-R00</t>
        </is>
      </c>
      <c r="C84" t="inlineStr">
        <is>
          <t>EU DoC — ST-048-EUR-05</t>
        </is>
      </c>
      <c r="D84" s="19" t="inlineStr">
        <is>
          <t>1</t>
        </is>
      </c>
      <c r="E84" s="19" t="n"/>
      <c r="F84" s="19" t="inlineStr">
        <is>
          <t>83</t>
        </is>
      </c>
      <c r="G84" s="19" t="n"/>
      <c r="H84" s="19" t="inlineStr">
        <is>
          <t>83</t>
        </is>
      </c>
      <c r="I84" s="19" t="inlineStr">
        <is>
          <t>1</t>
        </is>
      </c>
      <c r="J84" t="inlineStr">
        <is>
          <t>EU PPWR</t>
        </is>
      </c>
      <c r="K84" t="inlineStr">
        <is>
          <t>REV00 CURRENT EVIDENCE BASIS — ARTICLE 5 ASSESSMENT BASIS</t>
        </is>
      </c>
      <c r="L84" t="inlineStr">
        <is>
          <t>2026-08-08</t>
        </is>
      </c>
      <c r="N84" t="n">
        <v>0</v>
      </c>
      <c r="O84" s="19" t="inlineStr">
        <is>
          <t>2</t>
        </is>
      </c>
      <c r="Q84" t="inlineStr">
        <is>
          <t>Rev.00 Word EU DoC generated — see DOCUMENT_LIBRARY.FILE_URI; signature fields blank / not legally signed</t>
        </is>
      </c>
      <c r="R84" t="inlineStr">
        <is>
          <t>2026-08-10T19:29:54Z</t>
        </is>
      </c>
      <c r="S84" t="inlineStr">
        <is>
          <t>2026-08-10T19:29:54Z</t>
        </is>
      </c>
    </row>
    <row r="85">
      <c r="A85" s="19" t="inlineStr">
        <is>
          <t>84</t>
        </is>
      </c>
      <c r="B85" s="19" t="inlineStr">
        <is>
          <t>IA-PPWR-DOC-ST-048-EUR-06-R00</t>
        </is>
      </c>
      <c r="C85" t="inlineStr">
        <is>
          <t>EU DoC — ST-048-EUR-06</t>
        </is>
      </c>
      <c r="D85" s="19" t="inlineStr">
        <is>
          <t>1</t>
        </is>
      </c>
      <c r="E85" s="19" t="n"/>
      <c r="F85" s="19" t="inlineStr">
        <is>
          <t>84</t>
        </is>
      </c>
      <c r="G85" s="19" t="n"/>
      <c r="H85" s="19" t="inlineStr">
        <is>
          <t>84</t>
        </is>
      </c>
      <c r="I85" s="19" t="inlineStr">
        <is>
          <t>1</t>
        </is>
      </c>
      <c r="J85" t="inlineStr">
        <is>
          <t>EU PPWR</t>
        </is>
      </c>
      <c r="K85" t="inlineStr">
        <is>
          <t>REV00 CURRENT EVIDENCE BASIS — ARTICLE 5 ASSESSMENT BASIS</t>
        </is>
      </c>
      <c r="L85" t="inlineStr">
        <is>
          <t>2026-08-08</t>
        </is>
      </c>
      <c r="N85" t="n">
        <v>0</v>
      </c>
      <c r="O85" s="19" t="inlineStr">
        <is>
          <t>2</t>
        </is>
      </c>
      <c r="Q85" t="inlineStr">
        <is>
          <t>Rev.00 Word EU DoC generated — see DOCUMENT_LIBRARY.FILE_URI; signature fields blank / not legally signed</t>
        </is>
      </c>
      <c r="R85" t="inlineStr">
        <is>
          <t>2026-08-10T19:29:54Z</t>
        </is>
      </c>
      <c r="S85" t="inlineStr">
        <is>
          <t>2026-08-10T19:29:54Z</t>
        </is>
      </c>
    </row>
    <row r="86">
      <c r="A86" s="19" t="inlineStr">
        <is>
          <t>85</t>
        </is>
      </c>
      <c r="B86" s="19" t="inlineStr">
        <is>
          <t>IA-PPWR-DOC-ST-048-EUR-07-R00</t>
        </is>
      </c>
      <c r="C86" t="inlineStr">
        <is>
          <t>EU DoC — ST-048-EUR-07</t>
        </is>
      </c>
      <c r="D86" s="19" t="inlineStr">
        <is>
          <t>1</t>
        </is>
      </c>
      <c r="E86" s="19" t="n"/>
      <c r="F86" s="19" t="inlineStr">
        <is>
          <t>85</t>
        </is>
      </c>
      <c r="G86" s="19" t="n"/>
      <c r="H86" s="19" t="inlineStr">
        <is>
          <t>85</t>
        </is>
      </c>
      <c r="I86" s="19" t="inlineStr">
        <is>
          <t>1</t>
        </is>
      </c>
      <c r="J86" t="inlineStr">
        <is>
          <t>EU PPWR</t>
        </is>
      </c>
      <c r="K86" t="inlineStr">
        <is>
          <t>REV00 CURRENT EVIDENCE BASIS — ARTICLE 5 ASSESSMENT BASIS</t>
        </is>
      </c>
      <c r="L86" t="inlineStr">
        <is>
          <t>2026-08-08</t>
        </is>
      </c>
      <c r="N86" t="n">
        <v>0</v>
      </c>
      <c r="O86" s="19" t="inlineStr">
        <is>
          <t>2</t>
        </is>
      </c>
      <c r="Q86" t="inlineStr">
        <is>
          <t>Rev.00 Word EU DoC generated — see DOCUMENT_LIBRARY.FILE_URI; signature fields blank / not legally signed</t>
        </is>
      </c>
      <c r="R86" t="inlineStr">
        <is>
          <t>2026-08-10T19:29:54Z</t>
        </is>
      </c>
      <c r="S86" t="inlineStr">
        <is>
          <t>2026-08-10T19:29:54Z</t>
        </is>
      </c>
    </row>
    <row r="87">
      <c r="A87" s="19" t="inlineStr">
        <is>
          <t>86</t>
        </is>
      </c>
      <c r="B87" s="19" t="inlineStr">
        <is>
          <t>IA-PPWR-DOC-ST-048-EUR-08-R00</t>
        </is>
      </c>
      <c r="C87" t="inlineStr">
        <is>
          <t>EU DoC — ST-048-EUR-08</t>
        </is>
      </c>
      <c r="D87" s="19" t="inlineStr">
        <is>
          <t>1</t>
        </is>
      </c>
      <c r="E87" s="19" t="n"/>
      <c r="F87" s="19" t="inlineStr">
        <is>
          <t>86</t>
        </is>
      </c>
      <c r="G87" s="19" t="n"/>
      <c r="H87" s="19" t="inlineStr">
        <is>
          <t>86</t>
        </is>
      </c>
      <c r="I87" s="19" t="inlineStr">
        <is>
          <t>1</t>
        </is>
      </c>
      <c r="J87" t="inlineStr">
        <is>
          <t>EU PPWR</t>
        </is>
      </c>
      <c r="K87" t="inlineStr">
        <is>
          <t>REV00 CURRENT EVIDENCE BASIS — ARTICLE 5 ASSESSMENT BASIS</t>
        </is>
      </c>
      <c r="L87" t="inlineStr">
        <is>
          <t>2026-08-08</t>
        </is>
      </c>
      <c r="N87" t="n">
        <v>0</v>
      </c>
      <c r="O87" s="19" t="inlineStr">
        <is>
          <t>2</t>
        </is>
      </c>
      <c r="Q87" t="inlineStr">
        <is>
          <t>Rev.00 Word EU DoC generated — see DOCUMENT_LIBRARY.FILE_URI; signature fields blank / not legally signed</t>
        </is>
      </c>
      <c r="R87" t="inlineStr">
        <is>
          <t>2026-08-10T19:29:54Z</t>
        </is>
      </c>
      <c r="S87" t="inlineStr">
        <is>
          <t>2026-08-10T19:29:54Z</t>
        </is>
      </c>
    </row>
    <row r="88">
      <c r="A88" s="19" t="inlineStr">
        <is>
          <t>87</t>
        </is>
      </c>
      <c r="B88" s="19" t="inlineStr">
        <is>
          <t>IA-PPWR-DOC-ST-048-EUR-09-R00</t>
        </is>
      </c>
      <c r="C88" t="inlineStr">
        <is>
          <t>EU DoC — ST-048-EUR-09</t>
        </is>
      </c>
      <c r="D88" s="19" t="inlineStr">
        <is>
          <t>1</t>
        </is>
      </c>
      <c r="E88" s="19" t="n"/>
      <c r="F88" s="19" t="inlineStr">
        <is>
          <t>87</t>
        </is>
      </c>
      <c r="G88" s="19" t="n"/>
      <c r="H88" s="19" t="inlineStr">
        <is>
          <t>87</t>
        </is>
      </c>
      <c r="I88" s="19" t="inlineStr">
        <is>
          <t>1</t>
        </is>
      </c>
      <c r="J88" t="inlineStr">
        <is>
          <t>EU PPWR</t>
        </is>
      </c>
      <c r="K88" t="inlineStr">
        <is>
          <t>REV00 CURRENT EVIDENCE BASIS — ARTICLE 5 ASSESSMENT BASIS</t>
        </is>
      </c>
      <c r="L88" t="inlineStr">
        <is>
          <t>2026-08-08</t>
        </is>
      </c>
      <c r="N88" t="n">
        <v>0</v>
      </c>
      <c r="O88" s="19" t="inlineStr">
        <is>
          <t>2</t>
        </is>
      </c>
      <c r="Q88" t="inlineStr">
        <is>
          <t>Rev.00 Word EU DoC generated — see DOCUMENT_LIBRARY.FILE_URI; signature fields blank / not legally signed</t>
        </is>
      </c>
      <c r="R88" t="inlineStr">
        <is>
          <t>2026-08-10T19:29:54Z</t>
        </is>
      </c>
      <c r="S88" t="inlineStr">
        <is>
          <t>2026-08-10T19:29:54Z</t>
        </is>
      </c>
    </row>
    <row r="89">
      <c r="A89" s="19" t="inlineStr">
        <is>
          <t>88</t>
        </is>
      </c>
      <c r="B89" s="19" t="inlineStr">
        <is>
          <t>IA-PPWR-DOC-ST-048-EUR-10-R00</t>
        </is>
      </c>
      <c r="C89" t="inlineStr">
        <is>
          <t>EU DoC — ST-048-EUR-10</t>
        </is>
      </c>
      <c r="D89" s="19" t="inlineStr">
        <is>
          <t>1</t>
        </is>
      </c>
      <c r="E89" s="19" t="n"/>
      <c r="F89" s="19" t="inlineStr">
        <is>
          <t>88</t>
        </is>
      </c>
      <c r="G89" s="19" t="n"/>
      <c r="H89" s="19" t="inlineStr">
        <is>
          <t>88</t>
        </is>
      </c>
      <c r="I89" s="19" t="inlineStr">
        <is>
          <t>1</t>
        </is>
      </c>
      <c r="J89" t="inlineStr">
        <is>
          <t>EU PPWR</t>
        </is>
      </c>
      <c r="K89" t="inlineStr">
        <is>
          <t>REV00 CURRENT EVIDENCE BASIS — ARTICLE 5 ASSESSMENT BASIS</t>
        </is>
      </c>
      <c r="L89" t="inlineStr">
        <is>
          <t>2026-08-08</t>
        </is>
      </c>
      <c r="N89" t="n">
        <v>0</v>
      </c>
      <c r="O89" s="19" t="inlineStr">
        <is>
          <t>2</t>
        </is>
      </c>
      <c r="Q89" t="inlineStr">
        <is>
          <t>Rev.00 Word EU DoC generated — see DOCUMENT_LIBRARY.FILE_URI; signature fields blank / not legally signed</t>
        </is>
      </c>
      <c r="R89" t="inlineStr">
        <is>
          <t>2026-08-10T19:29:54Z</t>
        </is>
      </c>
      <c r="S89" t="inlineStr">
        <is>
          <t>2026-08-10T19:29:54Z</t>
        </is>
      </c>
    </row>
    <row r="90">
      <c r="A90" s="19" t="inlineStr">
        <is>
          <t>89</t>
        </is>
      </c>
      <c r="B90" s="19" t="inlineStr">
        <is>
          <t>IA-PPWR-DOC-ST-048-EUR-11-R00</t>
        </is>
      </c>
      <c r="C90" t="inlineStr">
        <is>
          <t>EU DoC — ST-048-EUR-11</t>
        </is>
      </c>
      <c r="D90" s="19" t="inlineStr">
        <is>
          <t>1</t>
        </is>
      </c>
      <c r="E90" s="19" t="n"/>
      <c r="F90" s="19" t="inlineStr">
        <is>
          <t>89</t>
        </is>
      </c>
      <c r="G90" s="19" t="n"/>
      <c r="H90" s="19" t="inlineStr">
        <is>
          <t>89</t>
        </is>
      </c>
      <c r="I90" s="19" t="inlineStr">
        <is>
          <t>1</t>
        </is>
      </c>
      <c r="J90" t="inlineStr">
        <is>
          <t>EU PPWR</t>
        </is>
      </c>
      <c r="K90" t="inlineStr">
        <is>
          <t>REV00 CURRENT EVIDENCE BASIS — ARTICLE 5 ASSESSMENT BASIS</t>
        </is>
      </c>
      <c r="L90" t="inlineStr">
        <is>
          <t>2026-08-08</t>
        </is>
      </c>
      <c r="N90" t="n">
        <v>0</v>
      </c>
      <c r="O90" s="19" t="inlineStr">
        <is>
          <t>2</t>
        </is>
      </c>
      <c r="Q90" t="inlineStr">
        <is>
          <t>Rev.00 Word EU DoC generated — see DOCUMENT_LIBRARY.FILE_URI; signature fields blank / not legally signed</t>
        </is>
      </c>
      <c r="R90" t="inlineStr">
        <is>
          <t>2026-08-10T19:29:54Z</t>
        </is>
      </c>
      <c r="S90" t="inlineStr">
        <is>
          <t>2026-08-10T19:29:54Z</t>
        </is>
      </c>
    </row>
    <row r="91">
      <c r="A91" s="19" t="inlineStr">
        <is>
          <t>90</t>
        </is>
      </c>
      <c r="B91" s="19" t="inlineStr">
        <is>
          <t>IA-PPWR-DOC-ST-048-EUR-12-R00</t>
        </is>
      </c>
      <c r="C91" t="inlineStr">
        <is>
          <t>EU DoC — ST-048-EUR-12</t>
        </is>
      </c>
      <c r="D91" s="19" t="inlineStr">
        <is>
          <t>1</t>
        </is>
      </c>
      <c r="E91" s="19" t="n"/>
      <c r="F91" s="19" t="inlineStr">
        <is>
          <t>90</t>
        </is>
      </c>
      <c r="G91" s="19" t="n"/>
      <c r="H91" s="19" t="inlineStr">
        <is>
          <t>90</t>
        </is>
      </c>
      <c r="I91" s="19" t="inlineStr">
        <is>
          <t>1</t>
        </is>
      </c>
      <c r="J91" t="inlineStr">
        <is>
          <t>EU PPWR</t>
        </is>
      </c>
      <c r="K91" t="inlineStr">
        <is>
          <t>REV00 CURRENT EVIDENCE BASIS — ARTICLE 5 ASSESSMENT BASIS</t>
        </is>
      </c>
      <c r="L91" t="inlineStr">
        <is>
          <t>2026-08-08</t>
        </is>
      </c>
      <c r="N91" t="n">
        <v>0</v>
      </c>
      <c r="O91" s="19" t="inlineStr">
        <is>
          <t>2</t>
        </is>
      </c>
      <c r="Q91" t="inlineStr">
        <is>
          <t>Rev.00 Word EU DoC generated — see DOCUMENT_LIBRARY.FILE_URI; signature fields blank / not legally signed</t>
        </is>
      </c>
      <c r="R91" t="inlineStr">
        <is>
          <t>2026-08-10T19:29:54Z</t>
        </is>
      </c>
      <c r="S91" t="inlineStr">
        <is>
          <t>2026-08-10T19:29:54Z</t>
        </is>
      </c>
    </row>
    <row r="92">
      <c r="A92" s="19" t="inlineStr">
        <is>
          <t>91</t>
        </is>
      </c>
      <c r="B92" s="19" t="inlineStr">
        <is>
          <t>IA-PPWR-DOC-ST-048-STD-01-R00</t>
        </is>
      </c>
      <c r="C92" t="inlineStr">
        <is>
          <t>EU DoC — ST-048-STD-01</t>
        </is>
      </c>
      <c r="D92" s="19" t="inlineStr">
        <is>
          <t>1</t>
        </is>
      </c>
      <c r="E92" s="19" t="n"/>
      <c r="F92" s="19" t="inlineStr">
        <is>
          <t>91</t>
        </is>
      </c>
      <c r="G92" s="19" t="n"/>
      <c r="H92" s="19" t="inlineStr">
        <is>
          <t>91</t>
        </is>
      </c>
      <c r="I92" s="19" t="inlineStr">
        <is>
          <t>1</t>
        </is>
      </c>
      <c r="J92" t="inlineStr">
        <is>
          <t>EU PPWR</t>
        </is>
      </c>
      <c r="K92" t="inlineStr">
        <is>
          <t>REV00 CURRENT EVIDENCE BASIS — ARTICLE 5 ASSESSMENT BASIS</t>
        </is>
      </c>
      <c r="L92" t="inlineStr">
        <is>
          <t>2026-08-08</t>
        </is>
      </c>
      <c r="N92" t="n">
        <v>0</v>
      </c>
      <c r="O92" s="19" t="inlineStr">
        <is>
          <t>2</t>
        </is>
      </c>
      <c r="Q92" t="inlineStr">
        <is>
          <t>Rev.00 Word EU DoC generated — see DOCUMENT_LIBRARY.FILE_URI; signature fields blank / not legally signed</t>
        </is>
      </c>
      <c r="R92" t="inlineStr">
        <is>
          <t>2026-08-10T19:29:54Z</t>
        </is>
      </c>
      <c r="S92" t="inlineStr">
        <is>
          <t>2026-08-10T19:29:54Z</t>
        </is>
      </c>
    </row>
    <row r="93">
      <c r="A93" s="19" t="inlineStr">
        <is>
          <t>92</t>
        </is>
      </c>
      <c r="B93" s="19" t="inlineStr">
        <is>
          <t>IA-PPWR-DOC-ST-048-STD-02-R00</t>
        </is>
      </c>
      <c r="C93" t="inlineStr">
        <is>
          <t>EU DoC — ST-048-STD-02</t>
        </is>
      </c>
      <c r="D93" s="19" t="inlineStr">
        <is>
          <t>1</t>
        </is>
      </c>
      <c r="E93" s="19" t="n"/>
      <c r="F93" s="19" t="inlineStr">
        <is>
          <t>92</t>
        </is>
      </c>
      <c r="G93" s="19" t="n"/>
      <c r="H93" s="19" t="inlineStr">
        <is>
          <t>92</t>
        </is>
      </c>
      <c r="I93" s="19" t="inlineStr">
        <is>
          <t>1</t>
        </is>
      </c>
      <c r="J93" t="inlineStr">
        <is>
          <t>EU PPWR</t>
        </is>
      </c>
      <c r="K93" t="inlineStr">
        <is>
          <t>REV00 CURRENT EVIDENCE BASIS — ARTICLE 5 ASSESSMENT BASIS</t>
        </is>
      </c>
      <c r="L93" t="inlineStr">
        <is>
          <t>2026-08-08</t>
        </is>
      </c>
      <c r="N93" t="n">
        <v>0</v>
      </c>
      <c r="O93" s="19" t="inlineStr">
        <is>
          <t>2</t>
        </is>
      </c>
      <c r="Q93" t="inlineStr">
        <is>
          <t>Rev.00 Word EU DoC generated — see DOCUMENT_LIBRARY.FILE_URI; signature fields blank / not legally signed</t>
        </is>
      </c>
      <c r="R93" t="inlineStr">
        <is>
          <t>2026-08-10T19:29:54Z</t>
        </is>
      </c>
      <c r="S93" t="inlineStr">
        <is>
          <t>2026-08-10T19:29:54Z</t>
        </is>
      </c>
    </row>
    <row r="94">
      <c r="A94" s="19" t="inlineStr">
        <is>
          <t>93</t>
        </is>
      </c>
      <c r="B94" s="19" t="inlineStr">
        <is>
          <t>IA-PPWR-DOC-ST-051-EUR-01-R00</t>
        </is>
      </c>
      <c r="C94" t="inlineStr">
        <is>
          <t>EU DoC — ST-051-EUR-01</t>
        </is>
      </c>
      <c r="D94" s="19" t="inlineStr">
        <is>
          <t>1</t>
        </is>
      </c>
      <c r="E94" s="19" t="n"/>
      <c r="F94" s="19" t="inlineStr">
        <is>
          <t>93</t>
        </is>
      </c>
      <c r="G94" s="19" t="n"/>
      <c r="H94" s="19" t="inlineStr">
        <is>
          <t>93</t>
        </is>
      </c>
      <c r="I94" s="19" t="inlineStr">
        <is>
          <t>1</t>
        </is>
      </c>
      <c r="J94" t="inlineStr">
        <is>
          <t>EU PPWR</t>
        </is>
      </c>
      <c r="K94" t="inlineStr">
        <is>
          <t>REV00 CURRENT EVIDENCE BASIS — ARTICLE 5 ASSESSMENT BASIS</t>
        </is>
      </c>
      <c r="L94" t="inlineStr">
        <is>
          <t>2026-08-08</t>
        </is>
      </c>
      <c r="N94" t="n">
        <v>0</v>
      </c>
      <c r="O94" s="19" t="inlineStr">
        <is>
          <t>2</t>
        </is>
      </c>
      <c r="Q94" t="inlineStr">
        <is>
          <t>Rev.00 Word EU DoC generated — see DOCUMENT_LIBRARY.FILE_URI; signature fields blank / not legally signed</t>
        </is>
      </c>
      <c r="R94" t="inlineStr">
        <is>
          <t>2026-08-10T19:29:54Z</t>
        </is>
      </c>
      <c r="S94" t="inlineStr">
        <is>
          <t>2026-08-10T19:29:54Z</t>
        </is>
      </c>
    </row>
    <row r="95">
      <c r="A95" s="19" t="inlineStr">
        <is>
          <t>94</t>
        </is>
      </c>
      <c r="B95" s="19" t="inlineStr">
        <is>
          <t>IA-PPWR-DOC-ST-051-EUR-02-R00</t>
        </is>
      </c>
      <c r="C95" t="inlineStr">
        <is>
          <t>EU DoC — ST-051-EUR-02</t>
        </is>
      </c>
      <c r="D95" s="19" t="inlineStr">
        <is>
          <t>1</t>
        </is>
      </c>
      <c r="E95" s="19" t="n"/>
      <c r="F95" s="19" t="inlineStr">
        <is>
          <t>94</t>
        </is>
      </c>
      <c r="G95" s="19" t="n"/>
      <c r="H95" s="19" t="inlineStr">
        <is>
          <t>94</t>
        </is>
      </c>
      <c r="I95" s="19" t="inlineStr">
        <is>
          <t>1</t>
        </is>
      </c>
      <c r="J95" t="inlineStr">
        <is>
          <t>EU PPWR</t>
        </is>
      </c>
      <c r="K95" t="inlineStr">
        <is>
          <t>REV00 CURRENT EVIDENCE BASIS — ARTICLE 5 ASSESSMENT BASIS</t>
        </is>
      </c>
      <c r="L95" t="inlineStr">
        <is>
          <t>2026-08-08</t>
        </is>
      </c>
      <c r="N95" t="n">
        <v>0</v>
      </c>
      <c r="O95" s="19" t="inlineStr">
        <is>
          <t>2</t>
        </is>
      </c>
      <c r="Q95" t="inlineStr">
        <is>
          <t>Rev.00 Word EU DoC generated — see DOCUMENT_LIBRARY.FILE_URI; signature fields blank / not legally signed</t>
        </is>
      </c>
      <c r="R95" t="inlineStr">
        <is>
          <t>2026-08-10T19:29:54Z</t>
        </is>
      </c>
      <c r="S95" t="inlineStr">
        <is>
          <t>2026-08-10T19:29:54Z</t>
        </is>
      </c>
    </row>
    <row r="96">
      <c r="A96" s="19" t="inlineStr">
        <is>
          <t>95</t>
        </is>
      </c>
      <c r="B96" s="19" t="inlineStr">
        <is>
          <t>IA-PPWR-DOC-ST-051-EUR-03-R00</t>
        </is>
      </c>
      <c r="C96" t="inlineStr">
        <is>
          <t>EU DoC — ST-051-EUR-03</t>
        </is>
      </c>
      <c r="D96" s="19" t="inlineStr">
        <is>
          <t>1</t>
        </is>
      </c>
      <c r="E96" s="19" t="n"/>
      <c r="F96" s="19" t="inlineStr">
        <is>
          <t>95</t>
        </is>
      </c>
      <c r="G96" s="19" t="n"/>
      <c r="H96" s="19" t="inlineStr">
        <is>
          <t>95</t>
        </is>
      </c>
      <c r="I96" s="19" t="inlineStr">
        <is>
          <t>1</t>
        </is>
      </c>
      <c r="J96" t="inlineStr">
        <is>
          <t>EU PPWR</t>
        </is>
      </c>
      <c r="K96" t="inlineStr">
        <is>
          <t>REV00 CURRENT EVIDENCE BASIS — ARTICLE 5 ASSESSMENT BASIS</t>
        </is>
      </c>
      <c r="L96" t="inlineStr">
        <is>
          <t>2026-08-08</t>
        </is>
      </c>
      <c r="N96" t="n">
        <v>0</v>
      </c>
      <c r="O96" s="19" t="inlineStr">
        <is>
          <t>2</t>
        </is>
      </c>
      <c r="Q96" t="inlineStr">
        <is>
          <t>Rev.00 Word EU DoC generated — see DOCUMENT_LIBRARY.FILE_URI; signature fields blank / not legally signed</t>
        </is>
      </c>
      <c r="R96" t="inlineStr">
        <is>
          <t>2026-08-10T19:29:54Z</t>
        </is>
      </c>
      <c r="S96" t="inlineStr">
        <is>
          <t>2026-08-10T19:29:54Z</t>
        </is>
      </c>
    </row>
    <row r="97">
      <c r="A97" s="19" t="inlineStr">
        <is>
          <t>96</t>
        </is>
      </c>
      <c r="B97" s="19" t="inlineStr">
        <is>
          <t>IA-PPWR-DOC-ST-051-EUR-04-R00</t>
        </is>
      </c>
      <c r="C97" t="inlineStr">
        <is>
          <t>EU DoC — ST-051-EUR-04</t>
        </is>
      </c>
      <c r="D97" s="19" t="inlineStr">
        <is>
          <t>1</t>
        </is>
      </c>
      <c r="E97" s="19" t="n"/>
      <c r="F97" s="19" t="inlineStr">
        <is>
          <t>96</t>
        </is>
      </c>
      <c r="G97" s="19" t="n"/>
      <c r="H97" s="19" t="inlineStr">
        <is>
          <t>96</t>
        </is>
      </c>
      <c r="I97" s="19" t="inlineStr">
        <is>
          <t>1</t>
        </is>
      </c>
      <c r="J97" t="inlineStr">
        <is>
          <t>EU PPWR</t>
        </is>
      </c>
      <c r="K97" t="inlineStr">
        <is>
          <t>REV00 CURRENT EVIDENCE BASIS — ARTICLE 5 ASSESSMENT BASIS</t>
        </is>
      </c>
      <c r="L97" t="inlineStr">
        <is>
          <t>2026-08-08</t>
        </is>
      </c>
      <c r="N97" t="n">
        <v>0</v>
      </c>
      <c r="O97" s="19" t="inlineStr">
        <is>
          <t>2</t>
        </is>
      </c>
      <c r="Q97" t="inlineStr">
        <is>
          <t>Rev.00 Word EU DoC generated — see DOCUMENT_LIBRARY.FILE_URI; signature fields blank / not legally signed</t>
        </is>
      </c>
      <c r="R97" t="inlineStr">
        <is>
          <t>2026-08-10T19:29:54Z</t>
        </is>
      </c>
      <c r="S97" t="inlineStr">
        <is>
          <t>2026-08-10T19:29:54Z</t>
        </is>
      </c>
    </row>
    <row r="98">
      <c r="A98" s="19" t="inlineStr">
        <is>
          <t>97</t>
        </is>
      </c>
      <c r="B98" s="19" t="inlineStr">
        <is>
          <t>IA-PPWR-DOC-ST-051-STD-01-R00</t>
        </is>
      </c>
      <c r="C98" t="inlineStr">
        <is>
          <t>EU DoC — ST-051-STD-01</t>
        </is>
      </c>
      <c r="D98" s="19" t="inlineStr">
        <is>
          <t>1</t>
        </is>
      </c>
      <c r="E98" s="19" t="n"/>
      <c r="F98" s="19" t="inlineStr">
        <is>
          <t>97</t>
        </is>
      </c>
      <c r="G98" s="19" t="n"/>
      <c r="H98" s="19" t="inlineStr">
        <is>
          <t>97</t>
        </is>
      </c>
      <c r="I98" s="19" t="inlineStr">
        <is>
          <t>1</t>
        </is>
      </c>
      <c r="J98" t="inlineStr">
        <is>
          <t>EU PPWR</t>
        </is>
      </c>
      <c r="K98" t="inlineStr">
        <is>
          <t>REV00 CURRENT EVIDENCE BASIS — ARTICLE 5 ASSESSMENT BASIS</t>
        </is>
      </c>
      <c r="L98" t="inlineStr">
        <is>
          <t>2026-08-08</t>
        </is>
      </c>
      <c r="N98" t="n">
        <v>0</v>
      </c>
      <c r="O98" s="19" t="inlineStr">
        <is>
          <t>2</t>
        </is>
      </c>
      <c r="Q98" t="inlineStr">
        <is>
          <t>Rev.00 Word EU DoC generated — see DOCUMENT_LIBRARY.FILE_URI; signature fields blank / not legally signed</t>
        </is>
      </c>
      <c r="R98" t="inlineStr">
        <is>
          <t>2026-08-10T19:29:54Z</t>
        </is>
      </c>
      <c r="S98" t="inlineStr">
        <is>
          <t>2026-08-10T19:29:54Z</t>
        </is>
      </c>
    </row>
    <row r="99">
      <c r="A99" s="19" t="inlineStr">
        <is>
          <t>98</t>
        </is>
      </c>
      <c r="B99" s="19" t="inlineStr">
        <is>
          <t>IA-PPWR-DOC-ST-051-STD-02-R00</t>
        </is>
      </c>
      <c r="C99" t="inlineStr">
        <is>
          <t>EU DoC — ST-051-STD-02</t>
        </is>
      </c>
      <c r="D99" s="19" t="inlineStr">
        <is>
          <t>1</t>
        </is>
      </c>
      <c r="E99" s="19" t="n"/>
      <c r="F99" s="19" t="inlineStr">
        <is>
          <t>98</t>
        </is>
      </c>
      <c r="G99" s="19" t="n"/>
      <c r="H99" s="19" t="inlineStr">
        <is>
          <t>98</t>
        </is>
      </c>
      <c r="I99" s="19" t="inlineStr">
        <is>
          <t>1</t>
        </is>
      </c>
      <c r="J99" t="inlineStr">
        <is>
          <t>EU PPWR</t>
        </is>
      </c>
      <c r="K99" t="inlineStr">
        <is>
          <t>REV00 CURRENT EVIDENCE BASIS — ARTICLE 5 ASSESSMENT BASIS</t>
        </is>
      </c>
      <c r="L99" t="inlineStr">
        <is>
          <t>2026-08-08</t>
        </is>
      </c>
      <c r="N99" t="n">
        <v>0</v>
      </c>
      <c r="O99" s="19" t="inlineStr">
        <is>
          <t>2</t>
        </is>
      </c>
      <c r="Q99" t="inlineStr">
        <is>
          <t>Rev.00 Word EU DoC generated — see DOCUMENT_LIBRARY.FILE_URI; signature fields blank / not legally signed</t>
        </is>
      </c>
      <c r="R99" t="inlineStr">
        <is>
          <t>2026-08-10T19:29:54Z</t>
        </is>
      </c>
      <c r="S99" t="inlineStr">
        <is>
          <t>2026-08-10T19:29:54Z</t>
        </is>
      </c>
    </row>
    <row r="100">
      <c r="A100" s="19" t="inlineStr">
        <is>
          <t>99</t>
        </is>
      </c>
      <c r="B100" s="19" t="inlineStr">
        <is>
          <t>IA-PPWR-DOC-ST-051-STD-03-R00</t>
        </is>
      </c>
      <c r="C100" t="inlineStr">
        <is>
          <t>EU DoC — ST-051-STD-03</t>
        </is>
      </c>
      <c r="D100" s="19" t="inlineStr">
        <is>
          <t>1</t>
        </is>
      </c>
      <c r="E100" s="19" t="n"/>
      <c r="F100" s="19" t="inlineStr">
        <is>
          <t>99</t>
        </is>
      </c>
      <c r="G100" s="19" t="n"/>
      <c r="H100" s="19" t="inlineStr">
        <is>
          <t>99</t>
        </is>
      </c>
      <c r="I100" s="19" t="inlineStr">
        <is>
          <t>1</t>
        </is>
      </c>
      <c r="J100" t="inlineStr">
        <is>
          <t>EU PPWR</t>
        </is>
      </c>
      <c r="K100" t="inlineStr">
        <is>
          <t>REV00 CURRENT EVIDENCE BASIS — ARTICLE 5 ASSESSMENT BASIS</t>
        </is>
      </c>
      <c r="L100" t="inlineStr">
        <is>
          <t>2026-08-08</t>
        </is>
      </c>
      <c r="N100" t="n">
        <v>0</v>
      </c>
      <c r="O100" s="19" t="inlineStr">
        <is>
          <t>2</t>
        </is>
      </c>
      <c r="Q100" t="inlineStr">
        <is>
          <t>Rev.00 Word EU DoC generated — see DOCUMENT_LIBRARY.FILE_URI; signature fields blank / not legally signed</t>
        </is>
      </c>
      <c r="R100" t="inlineStr">
        <is>
          <t>2026-08-10T19:29:54Z</t>
        </is>
      </c>
      <c r="S100" t="inlineStr">
        <is>
          <t>2026-08-10T19:29:54Z</t>
        </is>
      </c>
    </row>
    <row r="101">
      <c r="A101" s="19" t="inlineStr">
        <is>
          <t>100</t>
        </is>
      </c>
      <c r="B101" s="19" t="inlineStr">
        <is>
          <t>IA-PPWR-DOC-ST-051-STD-04-R00</t>
        </is>
      </c>
      <c r="C101" t="inlineStr">
        <is>
          <t>EU DoC — ST-051-STD-04</t>
        </is>
      </c>
      <c r="D101" s="19" t="inlineStr">
        <is>
          <t>1</t>
        </is>
      </c>
      <c r="E101" s="19" t="n"/>
      <c r="F101" s="19" t="inlineStr">
        <is>
          <t>100</t>
        </is>
      </c>
      <c r="G101" s="19" t="n"/>
      <c r="H101" s="19" t="inlineStr">
        <is>
          <t>100</t>
        </is>
      </c>
      <c r="I101" s="19" t="inlineStr">
        <is>
          <t>1</t>
        </is>
      </c>
      <c r="J101" t="inlineStr">
        <is>
          <t>EU PPWR</t>
        </is>
      </c>
      <c r="K101" t="inlineStr">
        <is>
          <t>REV00 CURRENT EVIDENCE BASIS — ARTICLE 5 ASSESSMENT BASIS</t>
        </is>
      </c>
      <c r="L101" t="inlineStr">
        <is>
          <t>2026-08-08</t>
        </is>
      </c>
      <c r="N101" t="n">
        <v>0</v>
      </c>
      <c r="O101" s="19" t="inlineStr">
        <is>
          <t>2</t>
        </is>
      </c>
      <c r="Q101" t="inlineStr">
        <is>
          <t>Rev.00 Word EU DoC generated — see DOCUMENT_LIBRARY.FILE_URI; signature fields blank / not legally signed</t>
        </is>
      </c>
      <c r="R101" t="inlineStr">
        <is>
          <t>2026-08-10T19:29:54Z</t>
        </is>
      </c>
      <c r="S101" t="inlineStr">
        <is>
          <t>2026-08-10T19:29:54Z</t>
        </is>
      </c>
    </row>
    <row r="102">
      <c r="A102" s="19" t="inlineStr">
        <is>
          <t>101</t>
        </is>
      </c>
      <c r="B102" s="19" t="inlineStr">
        <is>
          <t>IA-PPWR-DOC-ST-051-STD-05-R00</t>
        </is>
      </c>
      <c r="C102" t="inlineStr">
        <is>
          <t>EU DoC — ST-051-STD-05</t>
        </is>
      </c>
      <c r="D102" s="19" t="inlineStr">
        <is>
          <t>1</t>
        </is>
      </c>
      <c r="E102" s="19" t="n"/>
      <c r="F102" s="19" t="inlineStr">
        <is>
          <t>101</t>
        </is>
      </c>
      <c r="G102" s="19" t="n"/>
      <c r="H102" s="19" t="inlineStr">
        <is>
          <t>101</t>
        </is>
      </c>
      <c r="I102" s="19" t="inlineStr">
        <is>
          <t>1</t>
        </is>
      </c>
      <c r="J102" t="inlineStr">
        <is>
          <t>EU PPWR</t>
        </is>
      </c>
      <c r="K102" t="inlineStr">
        <is>
          <t>REV00 CURRENT EVIDENCE BASIS — ARTICLE 5 ASSESSMENT BASIS</t>
        </is>
      </c>
      <c r="L102" t="inlineStr">
        <is>
          <t>2026-08-08</t>
        </is>
      </c>
      <c r="N102" t="n">
        <v>0</v>
      </c>
      <c r="O102" s="19" t="inlineStr">
        <is>
          <t>2</t>
        </is>
      </c>
      <c r="Q102" t="inlineStr">
        <is>
          <t>Rev.00 Word EU DoC generated — see DOCUMENT_LIBRARY.FILE_URI; signature fields blank / not legally signed</t>
        </is>
      </c>
      <c r="R102" t="inlineStr">
        <is>
          <t>2026-08-10T19:29:54Z</t>
        </is>
      </c>
      <c r="S102" t="inlineStr">
        <is>
          <t>2026-08-10T19:29:54Z</t>
        </is>
      </c>
    </row>
    <row r="103">
      <c r="A103" s="19" t="inlineStr">
        <is>
          <t>102</t>
        </is>
      </c>
      <c r="B103" s="19" t="inlineStr">
        <is>
          <t>IA-PPWR-DOC-ST-051-STD-06-R00</t>
        </is>
      </c>
      <c r="C103" t="inlineStr">
        <is>
          <t>EU DoC — ST-051-STD-06</t>
        </is>
      </c>
      <c r="D103" s="19" t="inlineStr">
        <is>
          <t>1</t>
        </is>
      </c>
      <c r="E103" s="19" t="n"/>
      <c r="F103" s="19" t="inlineStr">
        <is>
          <t>102</t>
        </is>
      </c>
      <c r="G103" s="19" t="n"/>
      <c r="H103" s="19" t="inlineStr">
        <is>
          <t>102</t>
        </is>
      </c>
      <c r="I103" s="19" t="inlineStr">
        <is>
          <t>1</t>
        </is>
      </c>
      <c r="J103" t="inlineStr">
        <is>
          <t>EU PPWR</t>
        </is>
      </c>
      <c r="K103" t="inlineStr">
        <is>
          <t>REV00 CURRENT EVIDENCE BASIS — ARTICLE 5 ASSESSMENT BASIS</t>
        </is>
      </c>
      <c r="L103" t="inlineStr">
        <is>
          <t>2026-08-08</t>
        </is>
      </c>
      <c r="N103" t="n">
        <v>0</v>
      </c>
      <c r="O103" s="19" t="inlineStr">
        <is>
          <t>2</t>
        </is>
      </c>
      <c r="Q103" t="inlineStr">
        <is>
          <t>Rev.00 Word EU DoC generated — see DOCUMENT_LIBRARY.FILE_URI; signature fields blank / not legally signed</t>
        </is>
      </c>
      <c r="R103" t="inlineStr">
        <is>
          <t>2026-08-10T19:29:54Z</t>
        </is>
      </c>
      <c r="S103" t="inlineStr">
        <is>
          <t>2026-08-10T19:29:54Z</t>
        </is>
      </c>
    </row>
    <row r="104">
      <c r="A104" s="19" t="inlineStr">
        <is>
          <t>103</t>
        </is>
      </c>
      <c r="B104" s="19" t="inlineStr">
        <is>
          <t>IA-PPWR-DOC-ST-051-STD-07-R00</t>
        </is>
      </c>
      <c r="C104" t="inlineStr">
        <is>
          <t>EU DoC — ST-051-STD-07</t>
        </is>
      </c>
      <c r="D104" s="19" t="inlineStr">
        <is>
          <t>1</t>
        </is>
      </c>
      <c r="E104" s="19" t="n"/>
      <c r="F104" s="19" t="inlineStr">
        <is>
          <t>103</t>
        </is>
      </c>
      <c r="G104" s="19" t="n"/>
      <c r="H104" s="19" t="inlineStr">
        <is>
          <t>103</t>
        </is>
      </c>
      <c r="I104" s="19" t="inlineStr">
        <is>
          <t>1</t>
        </is>
      </c>
      <c r="J104" t="inlineStr">
        <is>
          <t>EU PPWR</t>
        </is>
      </c>
      <c r="K104" t="inlineStr">
        <is>
          <t>REV00 CURRENT EVIDENCE BASIS — ARTICLE 5 ASSESSMENT BASIS</t>
        </is>
      </c>
      <c r="L104" t="inlineStr">
        <is>
          <t>2026-08-08</t>
        </is>
      </c>
      <c r="N104" t="n">
        <v>0</v>
      </c>
      <c r="O104" s="19" t="inlineStr">
        <is>
          <t>2</t>
        </is>
      </c>
      <c r="Q104" t="inlineStr">
        <is>
          <t>Rev.00 Word EU DoC generated — see DOCUMENT_LIBRARY.FILE_URI; signature fields blank / not legally signed</t>
        </is>
      </c>
      <c r="R104" t="inlineStr">
        <is>
          <t>2026-08-10T19:29:54Z</t>
        </is>
      </c>
      <c r="S104" t="inlineStr">
        <is>
          <t>2026-08-10T19:29:54Z</t>
        </is>
      </c>
    </row>
    <row r="105">
      <c r="A105" s="19" t="inlineStr">
        <is>
          <t>104</t>
        </is>
      </c>
      <c r="B105" s="19" t="inlineStr">
        <is>
          <t>IA-PPWR-DOC-ST-051-STD-08-R00</t>
        </is>
      </c>
      <c r="C105" t="inlineStr">
        <is>
          <t>EU DoC — ST-051-STD-08</t>
        </is>
      </c>
      <c r="D105" s="19" t="inlineStr">
        <is>
          <t>1</t>
        </is>
      </c>
      <c r="E105" s="19" t="n"/>
      <c r="F105" s="19" t="inlineStr">
        <is>
          <t>104</t>
        </is>
      </c>
      <c r="G105" s="19" t="n"/>
      <c r="H105" s="19" t="inlineStr">
        <is>
          <t>104</t>
        </is>
      </c>
      <c r="I105" s="19" t="inlineStr">
        <is>
          <t>1</t>
        </is>
      </c>
      <c r="J105" t="inlineStr">
        <is>
          <t>EU PPWR</t>
        </is>
      </c>
      <c r="K105" t="inlineStr">
        <is>
          <t>REV00 CURRENT EVIDENCE BASIS — ARTICLE 5 ASSESSMENT BASIS</t>
        </is>
      </c>
      <c r="L105" t="inlineStr">
        <is>
          <t>2026-08-08</t>
        </is>
      </c>
      <c r="N105" t="n">
        <v>0</v>
      </c>
      <c r="O105" s="19" t="inlineStr">
        <is>
          <t>2</t>
        </is>
      </c>
      <c r="Q105" t="inlineStr">
        <is>
          <t>Rev.00 Word EU DoC generated — see DOCUMENT_LIBRARY.FILE_URI; signature fields blank / not legally signed</t>
        </is>
      </c>
      <c r="R105" t="inlineStr">
        <is>
          <t>2026-08-10T19:29:54Z</t>
        </is>
      </c>
      <c r="S105" t="inlineStr">
        <is>
          <t>2026-08-10T19:29:54Z</t>
        </is>
      </c>
    </row>
    <row r="106">
      <c r="A106" s="19" t="inlineStr">
        <is>
          <t>105</t>
        </is>
      </c>
      <c r="B106" s="19" t="inlineStr">
        <is>
          <t>IA-PPWR-DOC-ST-054-EUR-01-R00</t>
        </is>
      </c>
      <c r="C106" t="inlineStr">
        <is>
          <t>EU DoC — ST-054-EUR-01</t>
        </is>
      </c>
      <c r="D106" s="19" t="inlineStr">
        <is>
          <t>1</t>
        </is>
      </c>
      <c r="E106" s="19" t="n"/>
      <c r="F106" s="19" t="inlineStr">
        <is>
          <t>105</t>
        </is>
      </c>
      <c r="G106" s="19" t="n"/>
      <c r="H106" s="19" t="inlineStr">
        <is>
          <t>105</t>
        </is>
      </c>
      <c r="I106" s="19" t="inlineStr">
        <is>
          <t>1</t>
        </is>
      </c>
      <c r="J106" t="inlineStr">
        <is>
          <t>EU PPWR</t>
        </is>
      </c>
      <c r="K106" t="inlineStr">
        <is>
          <t>REV00 CURRENT EVIDENCE BASIS — ARTICLE 5 ASSESSMENT BASIS</t>
        </is>
      </c>
      <c r="L106" t="inlineStr">
        <is>
          <t>2026-08-08</t>
        </is>
      </c>
      <c r="N106" t="n">
        <v>0</v>
      </c>
      <c r="O106" s="19" t="inlineStr">
        <is>
          <t>2</t>
        </is>
      </c>
      <c r="Q106" t="inlineStr">
        <is>
          <t>Rev.00 Word EU DoC generated — see DOCUMENT_LIBRARY.FILE_URI; signature fields blank / not legally signed</t>
        </is>
      </c>
      <c r="R106" t="inlineStr">
        <is>
          <t>2026-08-10T19:29:54Z</t>
        </is>
      </c>
      <c r="S106" t="inlineStr">
        <is>
          <t>2026-08-10T19:29:54Z</t>
        </is>
      </c>
    </row>
    <row r="107">
      <c r="A107" s="19" t="inlineStr">
        <is>
          <t>106</t>
        </is>
      </c>
      <c r="B107" s="19" t="inlineStr">
        <is>
          <t>IA-PPWR-DOC-ST-054-STD-01-R00</t>
        </is>
      </c>
      <c r="C107" t="inlineStr">
        <is>
          <t>EU DoC — ST-054-STD-01</t>
        </is>
      </c>
      <c r="D107" s="19" t="inlineStr">
        <is>
          <t>1</t>
        </is>
      </c>
      <c r="E107" s="19" t="n"/>
      <c r="F107" s="19" t="inlineStr">
        <is>
          <t>106</t>
        </is>
      </c>
      <c r="G107" s="19" t="n"/>
      <c r="H107" s="19" t="inlineStr">
        <is>
          <t>106</t>
        </is>
      </c>
      <c r="I107" s="19" t="inlineStr">
        <is>
          <t>1</t>
        </is>
      </c>
      <c r="J107" t="inlineStr">
        <is>
          <t>EU PPWR</t>
        </is>
      </c>
      <c r="K107" t="inlineStr">
        <is>
          <t>REV00 CURRENT EVIDENCE BASIS — ARTICLE 5 ASSESSMENT BASIS</t>
        </is>
      </c>
      <c r="L107" t="inlineStr">
        <is>
          <t>2026-08-08</t>
        </is>
      </c>
      <c r="N107" t="n">
        <v>0</v>
      </c>
      <c r="O107" s="19" t="inlineStr">
        <is>
          <t>2</t>
        </is>
      </c>
      <c r="Q107" t="inlineStr">
        <is>
          <t>Rev.00 Word EU DoC generated — see DOCUMENT_LIBRARY.FILE_URI; signature fields blank / not legally signed</t>
        </is>
      </c>
      <c r="R107" t="inlineStr">
        <is>
          <t>2026-08-10T19:29:54Z</t>
        </is>
      </c>
      <c r="S107" t="inlineStr">
        <is>
          <t>2026-08-10T19:29:54Z</t>
        </is>
      </c>
    </row>
    <row r="108">
      <c r="A108" s="19" t="inlineStr">
        <is>
          <t>107</t>
        </is>
      </c>
      <c r="B108" s="19" t="inlineStr">
        <is>
          <t>IA-PPWR-DOC-ST-054-STD-02-R00</t>
        </is>
      </c>
      <c r="C108" t="inlineStr">
        <is>
          <t>EU DoC — ST-054-STD-02</t>
        </is>
      </c>
      <c r="D108" s="19" t="inlineStr">
        <is>
          <t>1</t>
        </is>
      </c>
      <c r="E108" s="19" t="n"/>
      <c r="F108" s="19" t="inlineStr">
        <is>
          <t>107</t>
        </is>
      </c>
      <c r="G108" s="19" t="n"/>
      <c r="H108" s="19" t="inlineStr">
        <is>
          <t>107</t>
        </is>
      </c>
      <c r="I108" s="19" t="inlineStr">
        <is>
          <t>1</t>
        </is>
      </c>
      <c r="J108" t="inlineStr">
        <is>
          <t>EU PPWR</t>
        </is>
      </c>
      <c r="K108" t="inlineStr">
        <is>
          <t>REV00 CURRENT EVIDENCE BASIS — ARTICLE 5 ASSESSMENT BASIS</t>
        </is>
      </c>
      <c r="L108" t="inlineStr">
        <is>
          <t>2026-08-08</t>
        </is>
      </c>
      <c r="N108" t="n">
        <v>0</v>
      </c>
      <c r="O108" s="19" t="inlineStr">
        <is>
          <t>2</t>
        </is>
      </c>
      <c r="Q108" t="inlineStr">
        <is>
          <t>Rev.00 Word EU DoC generated — see DOCUMENT_LIBRARY.FILE_URI; signature fields blank / not legally signed</t>
        </is>
      </c>
      <c r="R108" t="inlineStr">
        <is>
          <t>2026-08-10T19:29:54Z</t>
        </is>
      </c>
      <c r="S108" t="inlineStr">
        <is>
          <t>2026-08-10T19:29:54Z</t>
        </is>
      </c>
    </row>
    <row r="109">
      <c r="A109" s="19" t="inlineStr">
        <is>
          <t>108</t>
        </is>
      </c>
      <c r="B109" s="19" t="inlineStr">
        <is>
          <t>IA-PPWR-DOC-ST-054-STD-03-R00</t>
        </is>
      </c>
      <c r="C109" t="inlineStr">
        <is>
          <t>EU DoC — ST-054-STD-03</t>
        </is>
      </c>
      <c r="D109" s="19" t="inlineStr">
        <is>
          <t>1</t>
        </is>
      </c>
      <c r="E109" s="19" t="n"/>
      <c r="F109" s="19" t="inlineStr">
        <is>
          <t>108</t>
        </is>
      </c>
      <c r="G109" s="19" t="n"/>
      <c r="H109" s="19" t="inlineStr">
        <is>
          <t>108</t>
        </is>
      </c>
      <c r="I109" s="19" t="inlineStr">
        <is>
          <t>1</t>
        </is>
      </c>
      <c r="J109" t="inlineStr">
        <is>
          <t>EU PPWR</t>
        </is>
      </c>
      <c r="K109" t="inlineStr">
        <is>
          <t>REV00 CURRENT EVIDENCE BASIS — ARTICLE 5 ASSESSMENT BASIS</t>
        </is>
      </c>
      <c r="L109" t="inlineStr">
        <is>
          <t>2026-08-08</t>
        </is>
      </c>
      <c r="N109" t="n">
        <v>0</v>
      </c>
      <c r="O109" s="19" t="inlineStr">
        <is>
          <t>2</t>
        </is>
      </c>
      <c r="Q109" t="inlineStr">
        <is>
          <t>Rev.00 Word EU DoC generated — see DOCUMENT_LIBRARY.FILE_URI; signature fields blank / not legally signed</t>
        </is>
      </c>
      <c r="R109" t="inlineStr">
        <is>
          <t>2026-08-10T19:29:54Z</t>
        </is>
      </c>
      <c r="S109" t="inlineStr">
        <is>
          <t>2026-08-10T19:29:54Z</t>
        </is>
      </c>
    </row>
    <row r="110">
      <c r="A110" s="19" t="inlineStr">
        <is>
          <t>109</t>
        </is>
      </c>
      <c r="B110" s="19" t="inlineStr">
        <is>
          <t>IA-PPWR-DOC-ST-054-STD-04-R00</t>
        </is>
      </c>
      <c r="C110" t="inlineStr">
        <is>
          <t>EU DoC — ST-054-STD-04</t>
        </is>
      </c>
      <c r="D110" s="19" t="inlineStr">
        <is>
          <t>1</t>
        </is>
      </c>
      <c r="E110" s="19" t="n"/>
      <c r="F110" s="19" t="inlineStr">
        <is>
          <t>109</t>
        </is>
      </c>
      <c r="G110" s="19" t="n"/>
      <c r="H110" s="19" t="inlineStr">
        <is>
          <t>109</t>
        </is>
      </c>
      <c r="I110" s="19" t="inlineStr">
        <is>
          <t>1</t>
        </is>
      </c>
      <c r="J110" t="inlineStr">
        <is>
          <t>EU PPWR</t>
        </is>
      </c>
      <c r="K110" t="inlineStr">
        <is>
          <t>REV00 CURRENT EVIDENCE BASIS — ARTICLE 5 ASSESSMENT BASIS</t>
        </is>
      </c>
      <c r="L110" t="inlineStr">
        <is>
          <t>2026-08-08</t>
        </is>
      </c>
      <c r="N110" t="n">
        <v>0</v>
      </c>
      <c r="O110" s="19" t="inlineStr">
        <is>
          <t>2</t>
        </is>
      </c>
      <c r="Q110" t="inlineStr">
        <is>
          <t>Rev.00 Word EU DoC generated — see DOCUMENT_LIBRARY.FILE_URI; signature fields blank / not legally signed</t>
        </is>
      </c>
      <c r="R110" t="inlineStr">
        <is>
          <t>2026-08-10T19:29:54Z</t>
        </is>
      </c>
      <c r="S110" t="inlineStr">
        <is>
          <t>2026-08-10T19:29:54Z</t>
        </is>
      </c>
    </row>
    <row r="111">
      <c r="A111" s="19" t="inlineStr">
        <is>
          <t>110</t>
        </is>
      </c>
      <c r="B111" s="19" t="inlineStr">
        <is>
          <t>IA-PPWR-DOC-ST-054-STD-05-R00</t>
        </is>
      </c>
      <c r="C111" t="inlineStr">
        <is>
          <t>EU DoC — ST-054-STD-05</t>
        </is>
      </c>
      <c r="D111" s="19" t="inlineStr">
        <is>
          <t>1</t>
        </is>
      </c>
      <c r="E111" s="19" t="n"/>
      <c r="F111" s="19" t="inlineStr">
        <is>
          <t>110</t>
        </is>
      </c>
      <c r="G111" s="19" t="n"/>
      <c r="H111" s="19" t="inlineStr">
        <is>
          <t>110</t>
        </is>
      </c>
      <c r="I111" s="19" t="inlineStr">
        <is>
          <t>1</t>
        </is>
      </c>
      <c r="J111" t="inlineStr">
        <is>
          <t>EU PPWR</t>
        </is>
      </c>
      <c r="K111" t="inlineStr">
        <is>
          <t>REV00 CURRENT EVIDENCE BASIS — ARTICLE 5 ASSESSMENT BASIS</t>
        </is>
      </c>
      <c r="L111" t="inlineStr">
        <is>
          <t>2026-08-08</t>
        </is>
      </c>
      <c r="N111" t="n">
        <v>0</v>
      </c>
      <c r="O111" s="19" t="inlineStr">
        <is>
          <t>2</t>
        </is>
      </c>
      <c r="Q111" t="inlineStr">
        <is>
          <t>Rev.00 Word EU DoC generated — see DOCUMENT_LIBRARY.FILE_URI; signature fields blank / not legally signed</t>
        </is>
      </c>
      <c r="R111" t="inlineStr">
        <is>
          <t>2026-08-10T19:29:54Z</t>
        </is>
      </c>
      <c r="S111" t="inlineStr">
        <is>
          <t>2026-08-10T19:29:54Z</t>
        </is>
      </c>
    </row>
    <row r="112">
      <c r="A112" s="19" t="inlineStr">
        <is>
          <t>111</t>
        </is>
      </c>
      <c r="B112" s="19" t="inlineStr">
        <is>
          <t>IA-PPWR-DOC-ST-054-STD-06-R00</t>
        </is>
      </c>
      <c r="C112" t="inlineStr">
        <is>
          <t>EU DoC — ST-054-STD-06</t>
        </is>
      </c>
      <c r="D112" s="19" t="inlineStr">
        <is>
          <t>1</t>
        </is>
      </c>
      <c r="E112" s="19" t="n"/>
      <c r="F112" s="19" t="inlineStr">
        <is>
          <t>111</t>
        </is>
      </c>
      <c r="G112" s="19" t="n"/>
      <c r="H112" s="19" t="inlineStr">
        <is>
          <t>111</t>
        </is>
      </c>
      <c r="I112" s="19" t="inlineStr">
        <is>
          <t>1</t>
        </is>
      </c>
      <c r="J112" t="inlineStr">
        <is>
          <t>EU PPWR</t>
        </is>
      </c>
      <c r="K112" t="inlineStr">
        <is>
          <t>REV00 CURRENT EVIDENCE BASIS — ARTICLE 5 ASSESSMENT BASIS</t>
        </is>
      </c>
      <c r="L112" t="inlineStr">
        <is>
          <t>2026-08-08</t>
        </is>
      </c>
      <c r="N112" t="n">
        <v>0</v>
      </c>
      <c r="O112" s="19" t="inlineStr">
        <is>
          <t>2</t>
        </is>
      </c>
      <c r="Q112" t="inlineStr">
        <is>
          <t>Rev.00 Word EU DoC generated — see DOCUMENT_LIBRARY.FILE_URI; signature fields blank / not legally signed</t>
        </is>
      </c>
      <c r="R112" t="inlineStr">
        <is>
          <t>2026-08-10T19:29:54Z</t>
        </is>
      </c>
      <c r="S112" t="inlineStr">
        <is>
          <t>2026-08-10T19:29:54Z</t>
        </is>
      </c>
    </row>
    <row r="113">
      <c r="A113" s="19" t="inlineStr">
        <is>
          <t>112</t>
        </is>
      </c>
      <c r="B113" s="19" t="inlineStr">
        <is>
          <t>IA-PPWR-DOC-ST-054-STD-07-R00</t>
        </is>
      </c>
      <c r="C113" t="inlineStr">
        <is>
          <t>EU DoC — ST-054-STD-07</t>
        </is>
      </c>
      <c r="D113" s="19" t="inlineStr">
        <is>
          <t>1</t>
        </is>
      </c>
      <c r="E113" s="19" t="n"/>
      <c r="F113" s="19" t="inlineStr">
        <is>
          <t>112</t>
        </is>
      </c>
      <c r="G113" s="19" t="n"/>
      <c r="H113" s="19" t="inlineStr">
        <is>
          <t>112</t>
        </is>
      </c>
      <c r="I113" s="19" t="inlineStr">
        <is>
          <t>1</t>
        </is>
      </c>
      <c r="J113" t="inlineStr">
        <is>
          <t>EU PPWR</t>
        </is>
      </c>
      <c r="K113" t="inlineStr">
        <is>
          <t>REV00 CURRENT EVIDENCE BASIS — ARTICLE 5 ASSESSMENT BASIS</t>
        </is>
      </c>
      <c r="L113" t="inlineStr">
        <is>
          <t>2026-08-08</t>
        </is>
      </c>
      <c r="N113" t="n">
        <v>0</v>
      </c>
      <c r="O113" s="19" t="inlineStr">
        <is>
          <t>2</t>
        </is>
      </c>
      <c r="Q113" t="inlineStr">
        <is>
          <t>Rev.00 Word EU DoC generated — see DOCUMENT_LIBRARY.FILE_URI; signature fields blank / not legally signed</t>
        </is>
      </c>
      <c r="R113" t="inlineStr">
        <is>
          <t>2026-08-10T19:29:54Z</t>
        </is>
      </c>
      <c r="S113" t="inlineStr">
        <is>
          <t>2026-08-10T19:29:54Z</t>
        </is>
      </c>
    </row>
    <row r="114">
      <c r="A114" s="19" t="inlineStr">
        <is>
          <t>113</t>
        </is>
      </c>
      <c r="B114" s="19" t="inlineStr">
        <is>
          <t>IA-PPWR-DOC-ST-054-STD-08-R00</t>
        </is>
      </c>
      <c r="C114" t="inlineStr">
        <is>
          <t>EU DoC — ST-054-STD-08</t>
        </is>
      </c>
      <c r="D114" s="19" t="inlineStr">
        <is>
          <t>1</t>
        </is>
      </c>
      <c r="E114" s="19" t="n"/>
      <c r="F114" s="19" t="inlineStr">
        <is>
          <t>113</t>
        </is>
      </c>
      <c r="G114" s="19" t="n"/>
      <c r="H114" s="19" t="inlineStr">
        <is>
          <t>113</t>
        </is>
      </c>
      <c r="I114" s="19" t="inlineStr">
        <is>
          <t>1</t>
        </is>
      </c>
      <c r="J114" t="inlineStr">
        <is>
          <t>EU PPWR</t>
        </is>
      </c>
      <c r="K114" t="inlineStr">
        <is>
          <t>REV00 CURRENT EVIDENCE BASIS — ARTICLE 5 ASSESSMENT BASIS</t>
        </is>
      </c>
      <c r="L114" t="inlineStr">
        <is>
          <t>2026-08-08</t>
        </is>
      </c>
      <c r="N114" t="n">
        <v>0</v>
      </c>
      <c r="O114" s="19" t="inlineStr">
        <is>
          <t>2</t>
        </is>
      </c>
      <c r="Q114" t="inlineStr">
        <is>
          <t>Rev.00 Word EU DoC generated — see DOCUMENT_LIBRARY.FILE_URI; signature fields blank / not legally signed</t>
        </is>
      </c>
      <c r="R114" t="inlineStr">
        <is>
          <t>2026-08-10T19:29:54Z</t>
        </is>
      </c>
      <c r="S114" t="inlineStr">
        <is>
          <t>2026-08-10T19:29:54Z</t>
        </is>
      </c>
    </row>
    <row r="115">
      <c r="A115" s="19" t="inlineStr">
        <is>
          <t>114</t>
        </is>
      </c>
      <c r="B115" s="19" t="inlineStr">
        <is>
          <t>IA-PPWR-DOC-ST-054-STD-09-R00</t>
        </is>
      </c>
      <c r="C115" t="inlineStr">
        <is>
          <t>EU DoC — ST-054-STD-09</t>
        </is>
      </c>
      <c r="D115" s="19" t="inlineStr">
        <is>
          <t>1</t>
        </is>
      </c>
      <c r="E115" s="19" t="n"/>
      <c r="F115" s="19" t="inlineStr">
        <is>
          <t>114</t>
        </is>
      </c>
      <c r="G115" s="19" t="n"/>
      <c r="H115" s="19" t="inlineStr">
        <is>
          <t>114</t>
        </is>
      </c>
      <c r="I115" s="19" t="inlineStr">
        <is>
          <t>1</t>
        </is>
      </c>
      <c r="J115" t="inlineStr">
        <is>
          <t>EU PPWR</t>
        </is>
      </c>
      <c r="K115" t="inlineStr">
        <is>
          <t>REV00 CURRENT EVIDENCE BASIS — ARTICLE 5 ASSESSMENT BASIS</t>
        </is>
      </c>
      <c r="L115" t="inlineStr">
        <is>
          <t>2026-08-08</t>
        </is>
      </c>
      <c r="N115" t="n">
        <v>0</v>
      </c>
      <c r="O115" s="19" t="inlineStr">
        <is>
          <t>2</t>
        </is>
      </c>
      <c r="Q115" t="inlineStr">
        <is>
          <t>Rev.00 Word EU DoC generated — see DOCUMENT_LIBRARY.FILE_URI; signature fields blank / not legally signed</t>
        </is>
      </c>
      <c r="R115" t="inlineStr">
        <is>
          <t>2026-08-10T19:29:54Z</t>
        </is>
      </c>
      <c r="S115" t="inlineStr">
        <is>
          <t>2026-08-10T19:29:54Z</t>
        </is>
      </c>
    </row>
    <row r="116">
      <c r="A116" s="19" t="inlineStr">
        <is>
          <t>115</t>
        </is>
      </c>
      <c r="B116" s="19" t="inlineStr">
        <is>
          <t>IA-PPWR-DOC-ST-054-STD-10-R00</t>
        </is>
      </c>
      <c r="C116" t="inlineStr">
        <is>
          <t>EU DoC — ST-054-STD-10</t>
        </is>
      </c>
      <c r="D116" s="19" t="inlineStr">
        <is>
          <t>1</t>
        </is>
      </c>
      <c r="E116" s="19" t="n"/>
      <c r="F116" s="19" t="inlineStr">
        <is>
          <t>115</t>
        </is>
      </c>
      <c r="G116" s="19" t="n"/>
      <c r="H116" s="19" t="inlineStr">
        <is>
          <t>115</t>
        </is>
      </c>
      <c r="I116" s="19" t="inlineStr">
        <is>
          <t>1</t>
        </is>
      </c>
      <c r="J116" t="inlineStr">
        <is>
          <t>EU PPWR</t>
        </is>
      </c>
      <c r="K116" t="inlineStr">
        <is>
          <t>REV00 CURRENT EVIDENCE BASIS — ARTICLE 5 ASSESSMENT BASIS</t>
        </is>
      </c>
      <c r="L116" t="inlineStr">
        <is>
          <t>2026-08-08</t>
        </is>
      </c>
      <c r="N116" t="n">
        <v>0</v>
      </c>
      <c r="O116" s="19" t="inlineStr">
        <is>
          <t>2</t>
        </is>
      </c>
      <c r="Q116" t="inlineStr">
        <is>
          <t>Rev.00 Word EU DoC generated — see DOCUMENT_LIBRARY.FILE_URI; signature fields blank / not legally signed</t>
        </is>
      </c>
      <c r="R116" t="inlineStr">
        <is>
          <t>2026-08-10T19:29:54Z</t>
        </is>
      </c>
      <c r="S116" t="inlineStr">
        <is>
          <t>2026-08-10T19:29:54Z</t>
        </is>
      </c>
    </row>
    <row r="117">
      <c r="A117" s="19" t="inlineStr">
        <is>
          <t>116</t>
        </is>
      </c>
      <c r="B117" s="19" t="inlineStr">
        <is>
          <t>IA-PPWR-DOC-ST-054-STD-11-R00</t>
        </is>
      </c>
      <c r="C117" t="inlineStr">
        <is>
          <t>EU DoC — ST-054-STD-11</t>
        </is>
      </c>
      <c r="D117" s="19" t="inlineStr">
        <is>
          <t>1</t>
        </is>
      </c>
      <c r="E117" s="19" t="n"/>
      <c r="F117" s="19" t="inlineStr">
        <is>
          <t>116</t>
        </is>
      </c>
      <c r="G117" s="19" t="n"/>
      <c r="H117" s="19" t="inlineStr">
        <is>
          <t>116</t>
        </is>
      </c>
      <c r="I117" s="19" t="inlineStr">
        <is>
          <t>1</t>
        </is>
      </c>
      <c r="J117" t="inlineStr">
        <is>
          <t>EU PPWR</t>
        </is>
      </c>
      <c r="K117" t="inlineStr">
        <is>
          <t>REV00 CURRENT EVIDENCE BASIS — ARTICLE 5 ASSESSMENT BASIS</t>
        </is>
      </c>
      <c r="L117" t="inlineStr">
        <is>
          <t>2026-08-08</t>
        </is>
      </c>
      <c r="N117" t="n">
        <v>0</v>
      </c>
      <c r="O117" s="19" t="inlineStr">
        <is>
          <t>2</t>
        </is>
      </c>
      <c r="Q117" t="inlineStr">
        <is>
          <t>Rev.00 Word EU DoC generated — see DOCUMENT_LIBRARY.FILE_URI; signature fields blank / not legally signed</t>
        </is>
      </c>
      <c r="R117" t="inlineStr">
        <is>
          <t>2026-08-10T19:29:54Z</t>
        </is>
      </c>
      <c r="S117" t="inlineStr">
        <is>
          <t>2026-08-10T19:29:54Z</t>
        </is>
      </c>
    </row>
    <row r="118">
      <c r="A118" s="19" t="inlineStr">
        <is>
          <t>117</t>
        </is>
      </c>
      <c r="B118" s="19" t="inlineStr">
        <is>
          <t>IA-PPWR-DOC-ST-054-STD-12-R00</t>
        </is>
      </c>
      <c r="C118" t="inlineStr">
        <is>
          <t>EU DoC — ST-054-STD-12</t>
        </is>
      </c>
      <c r="D118" s="19" t="inlineStr">
        <is>
          <t>1</t>
        </is>
      </c>
      <c r="E118" s="19" t="n"/>
      <c r="F118" s="19" t="inlineStr">
        <is>
          <t>117</t>
        </is>
      </c>
      <c r="G118" s="19" t="n"/>
      <c r="H118" s="19" t="inlineStr">
        <is>
          <t>117</t>
        </is>
      </c>
      <c r="I118" s="19" t="inlineStr">
        <is>
          <t>1</t>
        </is>
      </c>
      <c r="J118" t="inlineStr">
        <is>
          <t>EU PPWR</t>
        </is>
      </c>
      <c r="K118" t="inlineStr">
        <is>
          <t>REV00 CURRENT EVIDENCE BASIS — ARTICLE 5 ASSESSMENT BASIS</t>
        </is>
      </c>
      <c r="L118" t="inlineStr">
        <is>
          <t>2026-08-08</t>
        </is>
      </c>
      <c r="N118" t="n">
        <v>0</v>
      </c>
      <c r="O118" s="19" t="inlineStr">
        <is>
          <t>2</t>
        </is>
      </c>
      <c r="Q118" t="inlineStr">
        <is>
          <t>Rev.00 Word EU DoC generated — see DOCUMENT_LIBRARY.FILE_URI; signature fields blank / not legally signed</t>
        </is>
      </c>
      <c r="R118" t="inlineStr">
        <is>
          <t>2026-08-10T19:29:54Z</t>
        </is>
      </c>
      <c r="S118" t="inlineStr">
        <is>
          <t>2026-08-10T19:29:54Z</t>
        </is>
      </c>
    </row>
    <row r="119">
      <c r="A119" s="19" t="inlineStr">
        <is>
          <t>118</t>
        </is>
      </c>
      <c r="B119" s="19" t="inlineStr">
        <is>
          <t>IA-PPWR-DOC-ST-056-EUR-01-R00</t>
        </is>
      </c>
      <c r="C119" t="inlineStr">
        <is>
          <t>EU DoC — ST-056-EUR-01</t>
        </is>
      </c>
      <c r="D119" s="19" t="inlineStr">
        <is>
          <t>1</t>
        </is>
      </c>
      <c r="E119" s="19" t="n"/>
      <c r="F119" s="19" t="inlineStr">
        <is>
          <t>118</t>
        </is>
      </c>
      <c r="G119" s="19" t="n"/>
      <c r="H119" s="19" t="inlineStr">
        <is>
          <t>118</t>
        </is>
      </c>
      <c r="I119" s="19" t="inlineStr">
        <is>
          <t>1</t>
        </is>
      </c>
      <c r="J119" t="inlineStr">
        <is>
          <t>EU PPWR</t>
        </is>
      </c>
      <c r="K119" t="inlineStr">
        <is>
          <t>REV00 CURRENT EVIDENCE BASIS — ARTICLE 5 ASSESSMENT BASIS</t>
        </is>
      </c>
      <c r="L119" t="inlineStr">
        <is>
          <t>2026-08-08</t>
        </is>
      </c>
      <c r="N119" t="n">
        <v>0</v>
      </c>
      <c r="O119" s="19" t="inlineStr">
        <is>
          <t>2</t>
        </is>
      </c>
      <c r="Q119" t="inlineStr">
        <is>
          <t>Rev.00 Word EU DoC generated — see DOCUMENT_LIBRARY.FILE_URI; signature fields blank / not legally signed</t>
        </is>
      </c>
      <c r="R119" t="inlineStr">
        <is>
          <t>2026-08-10T19:29:54Z</t>
        </is>
      </c>
      <c r="S119" t="inlineStr">
        <is>
          <t>2026-08-10T19:29:54Z</t>
        </is>
      </c>
    </row>
    <row r="120">
      <c r="A120" s="19" t="inlineStr">
        <is>
          <t>119</t>
        </is>
      </c>
      <c r="B120" s="19" t="inlineStr">
        <is>
          <t>IA-PPWR-DOC-ST-056-EUR-02-R00</t>
        </is>
      </c>
      <c r="C120" t="inlineStr">
        <is>
          <t>EU DoC — ST-056-EUR-02</t>
        </is>
      </c>
      <c r="D120" s="19" t="inlineStr">
        <is>
          <t>1</t>
        </is>
      </c>
      <c r="E120" s="19" t="n"/>
      <c r="F120" s="19" t="inlineStr">
        <is>
          <t>119</t>
        </is>
      </c>
      <c r="G120" s="19" t="n"/>
      <c r="H120" s="19" t="inlineStr">
        <is>
          <t>119</t>
        </is>
      </c>
      <c r="I120" s="19" t="inlineStr">
        <is>
          <t>1</t>
        </is>
      </c>
      <c r="J120" t="inlineStr">
        <is>
          <t>EU PPWR</t>
        </is>
      </c>
      <c r="K120" t="inlineStr">
        <is>
          <t>REV00 CURRENT EVIDENCE BASIS — ARTICLE 5 ASSESSMENT BASIS</t>
        </is>
      </c>
      <c r="L120" t="inlineStr">
        <is>
          <t>2026-08-08</t>
        </is>
      </c>
      <c r="N120" t="n">
        <v>0</v>
      </c>
      <c r="O120" s="19" t="inlineStr">
        <is>
          <t>2</t>
        </is>
      </c>
      <c r="Q120" t="inlineStr">
        <is>
          <t>Rev.00 Word EU DoC generated — see DOCUMENT_LIBRARY.FILE_URI; signature fields blank / not legally signed</t>
        </is>
      </c>
      <c r="R120" t="inlineStr">
        <is>
          <t>2026-08-10T19:29:54Z</t>
        </is>
      </c>
      <c r="S120" t="inlineStr">
        <is>
          <t>2026-08-10T19:29:54Z</t>
        </is>
      </c>
    </row>
    <row r="121">
      <c r="A121" s="19" t="inlineStr">
        <is>
          <t>120</t>
        </is>
      </c>
      <c r="B121" s="19" t="inlineStr">
        <is>
          <t>IA-PPWR-DOC-ST-056-EUR-03-R00</t>
        </is>
      </c>
      <c r="C121" t="inlineStr">
        <is>
          <t>EU DoC — ST-056-EUR-03</t>
        </is>
      </c>
      <c r="D121" s="19" t="inlineStr">
        <is>
          <t>1</t>
        </is>
      </c>
      <c r="E121" s="19" t="n"/>
      <c r="F121" s="19" t="inlineStr">
        <is>
          <t>120</t>
        </is>
      </c>
      <c r="G121" s="19" t="n"/>
      <c r="H121" s="19" t="inlineStr">
        <is>
          <t>120</t>
        </is>
      </c>
      <c r="I121" s="19" t="inlineStr">
        <is>
          <t>1</t>
        </is>
      </c>
      <c r="J121" t="inlineStr">
        <is>
          <t>EU PPWR</t>
        </is>
      </c>
      <c r="K121" t="inlineStr">
        <is>
          <t>REV00 CURRENT EVIDENCE BASIS — ARTICLE 5 ASSESSMENT BASIS</t>
        </is>
      </c>
      <c r="L121" t="inlineStr">
        <is>
          <t>2026-08-08</t>
        </is>
      </c>
      <c r="N121" t="n">
        <v>0</v>
      </c>
      <c r="O121" s="19" t="inlineStr">
        <is>
          <t>2</t>
        </is>
      </c>
      <c r="Q121" t="inlineStr">
        <is>
          <t>Rev.00 Word EU DoC generated — see DOCUMENT_LIBRARY.FILE_URI; signature fields blank / not legally signed</t>
        </is>
      </c>
      <c r="R121" t="inlineStr">
        <is>
          <t>2026-08-10T19:29:54Z</t>
        </is>
      </c>
      <c r="S121" t="inlineStr">
        <is>
          <t>2026-08-10T19:29:54Z</t>
        </is>
      </c>
    </row>
    <row r="122">
      <c r="A122" s="19" t="inlineStr">
        <is>
          <t>121</t>
        </is>
      </c>
      <c r="B122" s="19" t="inlineStr">
        <is>
          <t>IA-PPWR-DOC-ST-056-EUR-04-R00</t>
        </is>
      </c>
      <c r="C122" t="inlineStr">
        <is>
          <t>EU DoC — ST-056-EUR-04</t>
        </is>
      </c>
      <c r="D122" s="19" t="inlineStr">
        <is>
          <t>1</t>
        </is>
      </c>
      <c r="E122" s="19" t="n"/>
      <c r="F122" s="19" t="inlineStr">
        <is>
          <t>121</t>
        </is>
      </c>
      <c r="G122" s="19" t="n"/>
      <c r="H122" s="19" t="inlineStr">
        <is>
          <t>121</t>
        </is>
      </c>
      <c r="I122" s="19" t="inlineStr">
        <is>
          <t>1</t>
        </is>
      </c>
      <c r="J122" t="inlineStr">
        <is>
          <t>EU PPWR</t>
        </is>
      </c>
      <c r="K122" t="inlineStr">
        <is>
          <t>REV00 CURRENT EVIDENCE BASIS — ARTICLE 5 ASSESSMENT BASIS</t>
        </is>
      </c>
      <c r="L122" t="inlineStr">
        <is>
          <t>2026-08-08</t>
        </is>
      </c>
      <c r="N122" t="n">
        <v>0</v>
      </c>
      <c r="O122" s="19" t="inlineStr">
        <is>
          <t>2</t>
        </is>
      </c>
      <c r="Q122" t="inlineStr">
        <is>
          <t>Rev.00 Word EU DoC generated — see DOCUMENT_LIBRARY.FILE_URI; signature fields blank / not legally signed</t>
        </is>
      </c>
      <c r="R122" t="inlineStr">
        <is>
          <t>2026-08-10T19:29:54Z</t>
        </is>
      </c>
      <c r="S122" t="inlineStr">
        <is>
          <t>2026-08-10T19:29:54Z</t>
        </is>
      </c>
    </row>
    <row r="123">
      <c r="A123" s="19" t="inlineStr">
        <is>
          <t>122</t>
        </is>
      </c>
      <c r="B123" s="19" t="inlineStr">
        <is>
          <t>IA-PPWR-DOC-ST-057-EUR-01-R00</t>
        </is>
      </c>
      <c r="C123" t="inlineStr">
        <is>
          <t>EU DoC — ST-057-EUR-01</t>
        </is>
      </c>
      <c r="D123" s="19" t="inlineStr">
        <is>
          <t>1</t>
        </is>
      </c>
      <c r="E123" s="19" t="n"/>
      <c r="F123" s="19" t="inlineStr">
        <is>
          <t>122</t>
        </is>
      </c>
      <c r="G123" s="19" t="n"/>
      <c r="H123" s="19" t="inlineStr">
        <is>
          <t>122</t>
        </is>
      </c>
      <c r="I123" s="19" t="inlineStr">
        <is>
          <t>1</t>
        </is>
      </c>
      <c r="J123" t="inlineStr">
        <is>
          <t>EU PPWR</t>
        </is>
      </c>
      <c r="K123" t="inlineStr">
        <is>
          <t>REV00 CURRENT EVIDENCE BASIS — ARTICLE 5 ASSESSMENT BASIS</t>
        </is>
      </c>
      <c r="L123" t="inlineStr">
        <is>
          <t>2026-08-08</t>
        </is>
      </c>
      <c r="N123" t="n">
        <v>0</v>
      </c>
      <c r="O123" s="19" t="inlineStr">
        <is>
          <t>2</t>
        </is>
      </c>
      <c r="Q123" t="inlineStr">
        <is>
          <t>Rev.00 Word EU DoC generated — see DOCUMENT_LIBRARY.FILE_URI; signature fields blank / not legally signed</t>
        </is>
      </c>
      <c r="R123" t="inlineStr">
        <is>
          <t>2026-08-10T19:29:54Z</t>
        </is>
      </c>
      <c r="S123" t="inlineStr">
        <is>
          <t>2026-08-10T19:29:54Z</t>
        </is>
      </c>
    </row>
    <row r="124">
      <c r="A124" s="19" t="inlineStr">
        <is>
          <t>123</t>
        </is>
      </c>
      <c r="B124" s="19" t="inlineStr">
        <is>
          <t>IA-PPWR-DOC-ST-057-EUR-02-R00</t>
        </is>
      </c>
      <c r="C124" t="inlineStr">
        <is>
          <t>EU DoC — ST-057-EUR-02</t>
        </is>
      </c>
      <c r="D124" s="19" t="inlineStr">
        <is>
          <t>1</t>
        </is>
      </c>
      <c r="E124" s="19" t="n"/>
      <c r="F124" s="19" t="inlineStr">
        <is>
          <t>123</t>
        </is>
      </c>
      <c r="G124" s="19" t="n"/>
      <c r="H124" s="19" t="inlineStr">
        <is>
          <t>123</t>
        </is>
      </c>
      <c r="I124" s="19" t="inlineStr">
        <is>
          <t>1</t>
        </is>
      </c>
      <c r="J124" t="inlineStr">
        <is>
          <t>EU PPWR</t>
        </is>
      </c>
      <c r="K124" t="inlineStr">
        <is>
          <t>REV00 CURRENT EVIDENCE BASIS — ARTICLE 5 ASSESSMENT BASIS</t>
        </is>
      </c>
      <c r="L124" t="inlineStr">
        <is>
          <t>2026-08-08</t>
        </is>
      </c>
      <c r="N124" t="n">
        <v>0</v>
      </c>
      <c r="O124" s="19" t="inlineStr">
        <is>
          <t>2</t>
        </is>
      </c>
      <c r="Q124" t="inlineStr">
        <is>
          <t>Rev.00 Word EU DoC generated — see DOCUMENT_LIBRARY.FILE_URI; signature fields blank / not legally signed</t>
        </is>
      </c>
      <c r="R124" t="inlineStr">
        <is>
          <t>2026-08-10T19:29:54Z</t>
        </is>
      </c>
      <c r="S124" t="inlineStr">
        <is>
          <t>2026-08-10T19:29:54Z</t>
        </is>
      </c>
    </row>
    <row r="125">
      <c r="A125" s="19" t="inlineStr">
        <is>
          <t>124</t>
        </is>
      </c>
      <c r="B125" s="19" t="inlineStr">
        <is>
          <t>IA-PPWR-DOC-ST-057-EUR-03-R00</t>
        </is>
      </c>
      <c r="C125" t="inlineStr">
        <is>
          <t>EU DoC — ST-057-EUR-03</t>
        </is>
      </c>
      <c r="D125" s="19" t="inlineStr">
        <is>
          <t>1</t>
        </is>
      </c>
      <c r="E125" s="19" t="n"/>
      <c r="F125" s="19" t="inlineStr">
        <is>
          <t>124</t>
        </is>
      </c>
      <c r="G125" s="19" t="n"/>
      <c r="H125" s="19" t="inlineStr">
        <is>
          <t>124</t>
        </is>
      </c>
      <c r="I125" s="19" t="inlineStr">
        <is>
          <t>1</t>
        </is>
      </c>
      <c r="J125" t="inlineStr">
        <is>
          <t>EU PPWR</t>
        </is>
      </c>
      <c r="K125" t="inlineStr">
        <is>
          <t>REV00 CURRENT EVIDENCE BASIS — ARTICLE 5 ASSESSMENT BASIS</t>
        </is>
      </c>
      <c r="L125" t="inlineStr">
        <is>
          <t>2026-08-08</t>
        </is>
      </c>
      <c r="N125" t="n">
        <v>0</v>
      </c>
      <c r="O125" s="19" t="inlineStr">
        <is>
          <t>2</t>
        </is>
      </c>
      <c r="Q125" t="inlineStr">
        <is>
          <t>Rev.00 Word EU DoC generated — see DOCUMENT_LIBRARY.FILE_URI; signature fields blank / not legally signed</t>
        </is>
      </c>
      <c r="R125" t="inlineStr">
        <is>
          <t>2026-08-10T19:29:54Z</t>
        </is>
      </c>
      <c r="S125" t="inlineStr">
        <is>
          <t>2026-08-10T19:29:54Z</t>
        </is>
      </c>
    </row>
    <row r="126">
      <c r="A126" s="19" t="inlineStr">
        <is>
          <t>125</t>
        </is>
      </c>
      <c r="B126" s="19" t="inlineStr">
        <is>
          <t>IA-PPWR-DOC-ST-057-EUR-04-R00</t>
        </is>
      </c>
      <c r="C126" t="inlineStr">
        <is>
          <t>EU DoC — ST-057-EUR-04</t>
        </is>
      </c>
      <c r="D126" s="19" t="inlineStr">
        <is>
          <t>1</t>
        </is>
      </c>
      <c r="E126" s="19" t="n"/>
      <c r="F126" s="19" t="inlineStr">
        <is>
          <t>125</t>
        </is>
      </c>
      <c r="G126" s="19" t="n"/>
      <c r="H126" s="19" t="inlineStr">
        <is>
          <t>125</t>
        </is>
      </c>
      <c r="I126" s="19" t="inlineStr">
        <is>
          <t>1</t>
        </is>
      </c>
      <c r="J126" t="inlineStr">
        <is>
          <t>EU PPWR</t>
        </is>
      </c>
      <c r="K126" t="inlineStr">
        <is>
          <t>REV00 CURRENT EVIDENCE BASIS — ARTICLE 5 ASSESSMENT BASIS</t>
        </is>
      </c>
      <c r="L126" t="inlineStr">
        <is>
          <t>2026-08-08</t>
        </is>
      </c>
      <c r="N126" t="n">
        <v>0</v>
      </c>
      <c r="O126" s="19" t="inlineStr">
        <is>
          <t>2</t>
        </is>
      </c>
      <c r="Q126" t="inlineStr">
        <is>
          <t>Rev.00 Word EU DoC generated — see DOCUMENT_LIBRARY.FILE_URI; signature fields blank / not legally signed</t>
        </is>
      </c>
      <c r="R126" t="inlineStr">
        <is>
          <t>2026-08-10T19:29:54Z</t>
        </is>
      </c>
      <c r="S126" t="inlineStr">
        <is>
          <t>2026-08-10T19:29:54Z</t>
        </is>
      </c>
    </row>
    <row r="127">
      <c r="A127" s="19" t="inlineStr">
        <is>
          <t>126</t>
        </is>
      </c>
      <c r="B127" s="19" t="inlineStr">
        <is>
          <t>IA-PPWR-DOC-ST-057-EUR-05-R00</t>
        </is>
      </c>
      <c r="C127" t="inlineStr">
        <is>
          <t>EU DoC — ST-057-EUR-05</t>
        </is>
      </c>
      <c r="D127" s="19" t="inlineStr">
        <is>
          <t>1</t>
        </is>
      </c>
      <c r="E127" s="19" t="n"/>
      <c r="F127" s="19" t="inlineStr">
        <is>
          <t>126</t>
        </is>
      </c>
      <c r="G127" s="19" t="n"/>
      <c r="H127" s="19" t="inlineStr">
        <is>
          <t>126</t>
        </is>
      </c>
      <c r="I127" s="19" t="inlineStr">
        <is>
          <t>1</t>
        </is>
      </c>
      <c r="J127" t="inlineStr">
        <is>
          <t>EU PPWR</t>
        </is>
      </c>
      <c r="K127" t="inlineStr">
        <is>
          <t>REV00 CURRENT EVIDENCE BASIS — ARTICLE 5 ASSESSMENT BASIS</t>
        </is>
      </c>
      <c r="L127" t="inlineStr">
        <is>
          <t>2026-08-08</t>
        </is>
      </c>
      <c r="N127" t="n">
        <v>0</v>
      </c>
      <c r="O127" s="19" t="inlineStr">
        <is>
          <t>2</t>
        </is>
      </c>
      <c r="Q127" t="inlineStr">
        <is>
          <t>Rev.00 Word EU DoC generated — see DOCUMENT_LIBRARY.FILE_URI; signature fields blank / not legally signed</t>
        </is>
      </c>
      <c r="R127" t="inlineStr">
        <is>
          <t>2026-08-10T19:29:54Z</t>
        </is>
      </c>
      <c r="S127" t="inlineStr">
        <is>
          <t>2026-08-10T19:29:54Z</t>
        </is>
      </c>
    </row>
    <row r="128">
      <c r="A128" s="19" t="inlineStr">
        <is>
          <t>127</t>
        </is>
      </c>
      <c r="B128" s="19" t="inlineStr">
        <is>
          <t>IA-PPWR-DOC-ST-057-STD-01-R00</t>
        </is>
      </c>
      <c r="C128" t="inlineStr">
        <is>
          <t>EU DoC — ST-057-STD-01</t>
        </is>
      </c>
      <c r="D128" s="19" t="inlineStr">
        <is>
          <t>1</t>
        </is>
      </c>
      <c r="E128" s="19" t="n"/>
      <c r="F128" s="19" t="inlineStr">
        <is>
          <t>127</t>
        </is>
      </c>
      <c r="G128" s="19" t="n"/>
      <c r="H128" s="19" t="inlineStr">
        <is>
          <t>127</t>
        </is>
      </c>
      <c r="I128" s="19" t="inlineStr">
        <is>
          <t>1</t>
        </is>
      </c>
      <c r="J128" t="inlineStr">
        <is>
          <t>EU PPWR</t>
        </is>
      </c>
      <c r="K128" t="inlineStr">
        <is>
          <t>REV00 CURRENT EVIDENCE BASIS — ARTICLE 5 ASSESSMENT BASIS</t>
        </is>
      </c>
      <c r="L128" t="inlineStr">
        <is>
          <t>2026-08-08</t>
        </is>
      </c>
      <c r="N128" t="n">
        <v>0</v>
      </c>
      <c r="O128" s="19" t="inlineStr">
        <is>
          <t>2</t>
        </is>
      </c>
      <c r="Q128" t="inlineStr">
        <is>
          <t>Rev.00 Word EU DoC generated — see DOCUMENT_LIBRARY.FILE_URI; signature fields blank / not legally signed</t>
        </is>
      </c>
      <c r="R128" t="inlineStr">
        <is>
          <t>2026-08-10T19:29:54Z</t>
        </is>
      </c>
      <c r="S128" t="inlineStr">
        <is>
          <t>2026-08-10T19:29:54Z</t>
        </is>
      </c>
    </row>
    <row r="129">
      <c r="A129" s="19" t="inlineStr">
        <is>
          <t>128</t>
        </is>
      </c>
      <c r="B129" s="19" t="inlineStr">
        <is>
          <t>IA-PPWR-DOC-ST-057-STD-02-R00</t>
        </is>
      </c>
      <c r="C129" t="inlineStr">
        <is>
          <t>EU DoC — ST-057-STD-02</t>
        </is>
      </c>
      <c r="D129" s="19" t="inlineStr">
        <is>
          <t>1</t>
        </is>
      </c>
      <c r="E129" s="19" t="n"/>
      <c r="F129" s="19" t="inlineStr">
        <is>
          <t>128</t>
        </is>
      </c>
      <c r="G129" s="19" t="n"/>
      <c r="H129" s="19" t="inlineStr">
        <is>
          <t>128</t>
        </is>
      </c>
      <c r="I129" s="19" t="inlineStr">
        <is>
          <t>1</t>
        </is>
      </c>
      <c r="J129" t="inlineStr">
        <is>
          <t>EU PPWR</t>
        </is>
      </c>
      <c r="K129" t="inlineStr">
        <is>
          <t>REV00 CURRENT EVIDENCE BASIS — ARTICLE 5 ASSESSMENT BASIS</t>
        </is>
      </c>
      <c r="L129" t="inlineStr">
        <is>
          <t>2026-08-08</t>
        </is>
      </c>
      <c r="N129" t="n">
        <v>0</v>
      </c>
      <c r="O129" s="19" t="inlineStr">
        <is>
          <t>2</t>
        </is>
      </c>
      <c r="Q129" t="inlineStr">
        <is>
          <t>Rev.00 Word EU DoC generated — see DOCUMENT_LIBRARY.FILE_URI; signature fields blank / not legally signed</t>
        </is>
      </c>
      <c r="R129" t="inlineStr">
        <is>
          <t>2026-08-10T19:29:54Z</t>
        </is>
      </c>
      <c r="S129" t="inlineStr">
        <is>
          <t>2026-08-10T19:29:54Z</t>
        </is>
      </c>
    </row>
    <row r="130">
      <c r="A130" s="19" t="inlineStr">
        <is>
          <t>129</t>
        </is>
      </c>
      <c r="B130" s="19" t="inlineStr">
        <is>
          <t>IA-PPWR-DOC-ST-057-STD-03-R00</t>
        </is>
      </c>
      <c r="C130" t="inlineStr">
        <is>
          <t>EU DoC — ST-057-STD-03</t>
        </is>
      </c>
      <c r="D130" s="19" t="inlineStr">
        <is>
          <t>1</t>
        </is>
      </c>
      <c r="E130" s="19" t="n"/>
      <c r="F130" s="19" t="inlineStr">
        <is>
          <t>129</t>
        </is>
      </c>
      <c r="G130" s="19" t="n"/>
      <c r="H130" s="19" t="inlineStr">
        <is>
          <t>129</t>
        </is>
      </c>
      <c r="I130" s="19" t="inlineStr">
        <is>
          <t>1</t>
        </is>
      </c>
      <c r="J130" t="inlineStr">
        <is>
          <t>EU PPWR</t>
        </is>
      </c>
      <c r="K130" t="inlineStr">
        <is>
          <t>REV00 CURRENT EVIDENCE BASIS — ARTICLE 5 ASSESSMENT BASIS</t>
        </is>
      </c>
      <c r="L130" t="inlineStr">
        <is>
          <t>2026-08-08</t>
        </is>
      </c>
      <c r="N130" t="n">
        <v>0</v>
      </c>
      <c r="O130" s="19" t="inlineStr">
        <is>
          <t>2</t>
        </is>
      </c>
      <c r="Q130" t="inlineStr">
        <is>
          <t>Rev.00 Word EU DoC generated — see DOCUMENT_LIBRARY.FILE_URI; signature fields blank / not legally signed</t>
        </is>
      </c>
      <c r="R130" t="inlineStr">
        <is>
          <t>2026-08-10T19:29:54Z</t>
        </is>
      </c>
      <c r="S130" t="inlineStr">
        <is>
          <t>2026-08-10T19:29:54Z</t>
        </is>
      </c>
    </row>
    <row r="131">
      <c r="A131" s="19" t="inlineStr">
        <is>
          <t>130</t>
        </is>
      </c>
      <c r="B131" s="19" t="inlineStr">
        <is>
          <t>IA-PPWR-DOC-ST-060-EUR-01-R00</t>
        </is>
      </c>
      <c r="C131" t="inlineStr">
        <is>
          <t>EU DoC — ST-060-EUR-01</t>
        </is>
      </c>
      <c r="D131" s="19" t="inlineStr">
        <is>
          <t>1</t>
        </is>
      </c>
      <c r="E131" s="19" t="n"/>
      <c r="F131" s="19" t="inlineStr">
        <is>
          <t>130</t>
        </is>
      </c>
      <c r="G131" s="19" t="n"/>
      <c r="H131" s="19" t="inlineStr">
        <is>
          <t>130</t>
        </is>
      </c>
      <c r="I131" s="19" t="inlineStr">
        <is>
          <t>1</t>
        </is>
      </c>
      <c r="J131" t="inlineStr">
        <is>
          <t>EU PPWR</t>
        </is>
      </c>
      <c r="K131" t="inlineStr">
        <is>
          <t>REV00 CURRENT EVIDENCE BASIS — ARTICLE 5 ASSESSMENT BASIS</t>
        </is>
      </c>
      <c r="L131" t="inlineStr">
        <is>
          <t>2026-08-08</t>
        </is>
      </c>
      <c r="N131" t="n">
        <v>0</v>
      </c>
      <c r="O131" s="19" t="inlineStr">
        <is>
          <t>2</t>
        </is>
      </c>
      <c r="Q131" t="inlineStr">
        <is>
          <t>Rev.00 Word EU DoC generated — see DOCUMENT_LIBRARY.FILE_URI; signature fields blank / not legally signed</t>
        </is>
      </c>
      <c r="R131" t="inlineStr">
        <is>
          <t>2026-08-10T19:29:54Z</t>
        </is>
      </c>
      <c r="S131" t="inlineStr">
        <is>
          <t>2026-08-10T19:29:54Z</t>
        </is>
      </c>
    </row>
    <row r="132">
      <c r="A132" s="19" t="inlineStr">
        <is>
          <t>131</t>
        </is>
      </c>
      <c r="B132" s="19" t="inlineStr">
        <is>
          <t>IA-PPWR-DOC-ST-060-EUR-02-R00</t>
        </is>
      </c>
      <c r="C132" t="inlineStr">
        <is>
          <t>EU DoC — ST-060-EUR-02</t>
        </is>
      </c>
      <c r="D132" s="19" t="inlineStr">
        <is>
          <t>1</t>
        </is>
      </c>
      <c r="E132" s="19" t="n"/>
      <c r="F132" s="19" t="inlineStr">
        <is>
          <t>131</t>
        </is>
      </c>
      <c r="G132" s="19" t="n"/>
      <c r="H132" s="19" t="inlineStr">
        <is>
          <t>131</t>
        </is>
      </c>
      <c r="I132" s="19" t="inlineStr">
        <is>
          <t>1</t>
        </is>
      </c>
      <c r="J132" t="inlineStr">
        <is>
          <t>EU PPWR</t>
        </is>
      </c>
      <c r="K132" t="inlineStr">
        <is>
          <t>REV00 CURRENT EVIDENCE BASIS — ARTICLE 5 ASSESSMENT BASIS</t>
        </is>
      </c>
      <c r="L132" t="inlineStr">
        <is>
          <t>2026-08-08</t>
        </is>
      </c>
      <c r="N132" t="n">
        <v>0</v>
      </c>
      <c r="O132" s="19" t="inlineStr">
        <is>
          <t>2</t>
        </is>
      </c>
      <c r="Q132" t="inlineStr">
        <is>
          <t>Rev.00 Word EU DoC generated — see DOCUMENT_LIBRARY.FILE_URI; signature fields blank / not legally signed</t>
        </is>
      </c>
      <c r="R132" t="inlineStr">
        <is>
          <t>2026-08-10T19:29:54Z</t>
        </is>
      </c>
      <c r="S132" t="inlineStr">
        <is>
          <t>2026-08-10T19:29:54Z</t>
        </is>
      </c>
    </row>
    <row r="133">
      <c r="A133" s="19" t="inlineStr">
        <is>
          <t>132</t>
        </is>
      </c>
      <c r="B133" s="19" t="inlineStr">
        <is>
          <t>IA-PPWR-DOC-ST-060-STD-01-R00</t>
        </is>
      </c>
      <c r="C133" t="inlineStr">
        <is>
          <t>EU DoC — ST-060-STD-01</t>
        </is>
      </c>
      <c r="D133" s="19" t="inlineStr">
        <is>
          <t>1</t>
        </is>
      </c>
      <c r="E133" s="19" t="n"/>
      <c r="F133" s="19" t="inlineStr">
        <is>
          <t>132</t>
        </is>
      </c>
      <c r="G133" s="19" t="n"/>
      <c r="H133" s="19" t="inlineStr">
        <is>
          <t>132</t>
        </is>
      </c>
      <c r="I133" s="19" t="inlineStr">
        <is>
          <t>1</t>
        </is>
      </c>
      <c r="J133" t="inlineStr">
        <is>
          <t>EU PPWR</t>
        </is>
      </c>
      <c r="K133" t="inlineStr">
        <is>
          <t>REV00 CURRENT EVIDENCE BASIS — ARTICLE 5 ASSESSMENT BASIS</t>
        </is>
      </c>
      <c r="L133" t="inlineStr">
        <is>
          <t>2026-08-08</t>
        </is>
      </c>
      <c r="N133" t="n">
        <v>0</v>
      </c>
      <c r="O133" s="19" t="inlineStr">
        <is>
          <t>2</t>
        </is>
      </c>
      <c r="Q133" t="inlineStr">
        <is>
          <t>Rev.00 Word EU DoC generated — see DOCUMENT_LIBRARY.FILE_URI; signature fields blank / not legally signed</t>
        </is>
      </c>
      <c r="R133" t="inlineStr">
        <is>
          <t>2026-08-10T19:29:54Z</t>
        </is>
      </c>
      <c r="S133" t="inlineStr">
        <is>
          <t>2026-08-10T19:29:54Z</t>
        </is>
      </c>
    </row>
    <row r="134">
      <c r="A134" s="19" t="inlineStr">
        <is>
          <t>133</t>
        </is>
      </c>
      <c r="B134" s="19" t="inlineStr">
        <is>
          <t>IA-PPWR-DOC-ST-060-STD-02-R00</t>
        </is>
      </c>
      <c r="C134" t="inlineStr">
        <is>
          <t>EU DoC — ST-060-STD-02</t>
        </is>
      </c>
      <c r="D134" s="19" t="inlineStr">
        <is>
          <t>1</t>
        </is>
      </c>
      <c r="E134" s="19" t="n"/>
      <c r="F134" s="19" t="inlineStr">
        <is>
          <t>133</t>
        </is>
      </c>
      <c r="G134" s="19" t="n"/>
      <c r="H134" s="19" t="inlineStr">
        <is>
          <t>133</t>
        </is>
      </c>
      <c r="I134" s="19" t="inlineStr">
        <is>
          <t>1</t>
        </is>
      </c>
      <c r="J134" t="inlineStr">
        <is>
          <t>EU PPWR</t>
        </is>
      </c>
      <c r="K134" t="inlineStr">
        <is>
          <t>REV00 CURRENT EVIDENCE BASIS — ARTICLE 5 ASSESSMENT BASIS</t>
        </is>
      </c>
      <c r="L134" t="inlineStr">
        <is>
          <t>2026-08-08</t>
        </is>
      </c>
      <c r="N134" t="n">
        <v>0</v>
      </c>
      <c r="O134" s="19" t="inlineStr">
        <is>
          <t>2</t>
        </is>
      </c>
      <c r="Q134" t="inlineStr">
        <is>
          <t>Rev.00 Word EU DoC generated — see DOCUMENT_LIBRARY.FILE_URI; signature fields blank / not legally signed</t>
        </is>
      </c>
      <c r="R134" t="inlineStr">
        <is>
          <t>2026-08-10T19:29:54Z</t>
        </is>
      </c>
      <c r="S134" t="inlineStr">
        <is>
          <t>2026-08-10T19:29:54Z</t>
        </is>
      </c>
    </row>
    <row r="135">
      <c r="A135" s="19" t="inlineStr">
        <is>
          <t>134</t>
        </is>
      </c>
      <c r="B135" s="19" t="inlineStr">
        <is>
          <t>IA-PPWR-DOC-ST-060-STD-03-R00</t>
        </is>
      </c>
      <c r="C135" t="inlineStr">
        <is>
          <t>EU DoC — ST-060-STD-03</t>
        </is>
      </c>
      <c r="D135" s="19" t="inlineStr">
        <is>
          <t>1</t>
        </is>
      </c>
      <c r="E135" s="19" t="n"/>
      <c r="F135" s="19" t="inlineStr">
        <is>
          <t>134</t>
        </is>
      </c>
      <c r="G135" s="19" t="n"/>
      <c r="H135" s="19" t="inlineStr">
        <is>
          <t>134</t>
        </is>
      </c>
      <c r="I135" s="19" t="inlineStr">
        <is>
          <t>1</t>
        </is>
      </c>
      <c r="J135" t="inlineStr">
        <is>
          <t>EU PPWR</t>
        </is>
      </c>
      <c r="K135" t="inlineStr">
        <is>
          <t>REV00 CURRENT EVIDENCE BASIS — ARTICLE 5 ASSESSMENT BASIS</t>
        </is>
      </c>
      <c r="L135" t="inlineStr">
        <is>
          <t>2026-08-08</t>
        </is>
      </c>
      <c r="N135" t="n">
        <v>0</v>
      </c>
      <c r="O135" s="19" t="inlineStr">
        <is>
          <t>2</t>
        </is>
      </c>
      <c r="Q135" t="inlineStr">
        <is>
          <t>Rev.00 Word EU DoC generated — see DOCUMENT_LIBRARY.FILE_URI; signature fields blank / not legally signed</t>
        </is>
      </c>
      <c r="R135" t="inlineStr">
        <is>
          <t>2026-08-10T19:29:54Z</t>
        </is>
      </c>
      <c r="S135" t="inlineStr">
        <is>
          <t>2026-08-10T19:29:54Z</t>
        </is>
      </c>
    </row>
    <row r="136">
      <c r="A136" s="19" t="inlineStr">
        <is>
          <t>135</t>
        </is>
      </c>
      <c r="B136" s="19" t="inlineStr">
        <is>
          <t>IA-PPWR-DOC-ST-060-STD-04-R00</t>
        </is>
      </c>
      <c r="C136" t="inlineStr">
        <is>
          <t>EU DoC — ST-060-STD-04</t>
        </is>
      </c>
      <c r="D136" s="19" t="inlineStr">
        <is>
          <t>1</t>
        </is>
      </c>
      <c r="E136" s="19" t="n"/>
      <c r="F136" s="19" t="inlineStr">
        <is>
          <t>135</t>
        </is>
      </c>
      <c r="G136" s="19" t="n"/>
      <c r="H136" s="19" t="inlineStr">
        <is>
          <t>135</t>
        </is>
      </c>
      <c r="I136" s="19" t="inlineStr">
        <is>
          <t>1</t>
        </is>
      </c>
      <c r="J136" t="inlineStr">
        <is>
          <t>EU PPWR</t>
        </is>
      </c>
      <c r="K136" t="inlineStr">
        <is>
          <t>REV00 CURRENT EVIDENCE BASIS — ARTICLE 5 ASSESSMENT BASIS</t>
        </is>
      </c>
      <c r="L136" t="inlineStr">
        <is>
          <t>2026-08-08</t>
        </is>
      </c>
      <c r="N136" t="n">
        <v>0</v>
      </c>
      <c r="O136" s="19" t="inlineStr">
        <is>
          <t>2</t>
        </is>
      </c>
      <c r="Q136" t="inlineStr">
        <is>
          <t>Rev.00 Word EU DoC generated — see DOCUMENT_LIBRARY.FILE_URI; signature fields blank / not legally signed</t>
        </is>
      </c>
      <c r="R136" t="inlineStr">
        <is>
          <t>2026-08-10T19:29:54Z</t>
        </is>
      </c>
      <c r="S136" t="inlineStr">
        <is>
          <t>2026-08-10T19:29:54Z</t>
        </is>
      </c>
    </row>
    <row r="137">
      <c r="A137" s="19" t="inlineStr">
        <is>
          <t>136</t>
        </is>
      </c>
      <c r="B137" s="19" t="inlineStr">
        <is>
          <t>IA-PPWR-DOC-ST-060-STD-05-R00</t>
        </is>
      </c>
      <c r="C137" t="inlineStr">
        <is>
          <t>EU DoC — ST-060-STD-05</t>
        </is>
      </c>
      <c r="D137" s="19" t="inlineStr">
        <is>
          <t>1</t>
        </is>
      </c>
      <c r="E137" s="19" t="n"/>
      <c r="F137" s="19" t="inlineStr">
        <is>
          <t>136</t>
        </is>
      </c>
      <c r="G137" s="19" t="n"/>
      <c r="H137" s="19" t="inlineStr">
        <is>
          <t>136</t>
        </is>
      </c>
      <c r="I137" s="19" t="inlineStr">
        <is>
          <t>1</t>
        </is>
      </c>
      <c r="J137" t="inlineStr">
        <is>
          <t>EU PPWR</t>
        </is>
      </c>
      <c r="K137" t="inlineStr">
        <is>
          <t>REV00 CURRENT EVIDENCE BASIS — ARTICLE 5 ASSESSMENT BASIS</t>
        </is>
      </c>
      <c r="L137" t="inlineStr">
        <is>
          <t>2026-08-08</t>
        </is>
      </c>
      <c r="N137" t="n">
        <v>0</v>
      </c>
      <c r="O137" s="19" t="inlineStr">
        <is>
          <t>2</t>
        </is>
      </c>
      <c r="Q137" t="inlineStr">
        <is>
          <t>Rev.00 Word EU DoC generated — see DOCUMENT_LIBRARY.FILE_URI; signature fields blank / not legally signed</t>
        </is>
      </c>
      <c r="R137" t="inlineStr">
        <is>
          <t>2026-08-10T19:29:54Z</t>
        </is>
      </c>
      <c r="S137" t="inlineStr">
        <is>
          <t>2026-08-10T19:29:54Z</t>
        </is>
      </c>
    </row>
    <row r="138">
      <c r="A138" s="19" t="inlineStr">
        <is>
          <t>137</t>
        </is>
      </c>
      <c r="B138" s="19" t="inlineStr">
        <is>
          <t>IA-PPWR-DOC-ST-063-EUR-01-R00</t>
        </is>
      </c>
      <c r="C138" t="inlineStr">
        <is>
          <t>EU DoC — ST-063-EUR-01</t>
        </is>
      </c>
      <c r="D138" s="19" t="inlineStr">
        <is>
          <t>1</t>
        </is>
      </c>
      <c r="E138" s="19" t="n"/>
      <c r="F138" s="19" t="inlineStr">
        <is>
          <t>137</t>
        </is>
      </c>
      <c r="G138" s="19" t="n"/>
      <c r="H138" s="19" t="inlineStr">
        <is>
          <t>137</t>
        </is>
      </c>
      <c r="I138" s="19" t="inlineStr">
        <is>
          <t>1</t>
        </is>
      </c>
      <c r="J138" t="inlineStr">
        <is>
          <t>EU PPWR</t>
        </is>
      </c>
      <c r="K138" t="inlineStr">
        <is>
          <t>REV00 CURRENT EVIDENCE BASIS — ARTICLE 5 ASSESSMENT BASIS</t>
        </is>
      </c>
      <c r="L138" t="inlineStr">
        <is>
          <t>2026-08-08</t>
        </is>
      </c>
      <c r="N138" t="n">
        <v>0</v>
      </c>
      <c r="O138" s="19" t="inlineStr">
        <is>
          <t>2</t>
        </is>
      </c>
      <c r="Q138" t="inlineStr">
        <is>
          <t>Rev.00 Word EU DoC generated — see DOCUMENT_LIBRARY.FILE_URI; signature fields blank / not legally signed</t>
        </is>
      </c>
      <c r="R138" t="inlineStr">
        <is>
          <t>2026-08-10T19:29:54Z</t>
        </is>
      </c>
      <c r="S138" t="inlineStr">
        <is>
          <t>2026-08-10T19:29:54Z</t>
        </is>
      </c>
    </row>
    <row r="139">
      <c r="A139" s="19" t="inlineStr">
        <is>
          <t>138</t>
        </is>
      </c>
      <c r="B139" s="19" t="inlineStr">
        <is>
          <t>IA-PPWR-DOC-ST-063-EUR-02-R00</t>
        </is>
      </c>
      <c r="C139" t="inlineStr">
        <is>
          <t>EU DoC — ST-063-EUR-02</t>
        </is>
      </c>
      <c r="D139" s="19" t="inlineStr">
        <is>
          <t>1</t>
        </is>
      </c>
      <c r="E139" s="19" t="n"/>
      <c r="F139" s="19" t="inlineStr">
        <is>
          <t>138</t>
        </is>
      </c>
      <c r="G139" s="19" t="n"/>
      <c r="H139" s="19" t="inlineStr">
        <is>
          <t>138</t>
        </is>
      </c>
      <c r="I139" s="19" t="inlineStr">
        <is>
          <t>1</t>
        </is>
      </c>
      <c r="J139" t="inlineStr">
        <is>
          <t>EU PPWR</t>
        </is>
      </c>
      <c r="K139" t="inlineStr">
        <is>
          <t>REV00 CURRENT EVIDENCE BASIS — ARTICLE 5 ASSESSMENT BASIS</t>
        </is>
      </c>
      <c r="L139" t="inlineStr">
        <is>
          <t>2026-08-08</t>
        </is>
      </c>
      <c r="N139" t="n">
        <v>0</v>
      </c>
      <c r="O139" s="19" t="inlineStr">
        <is>
          <t>2</t>
        </is>
      </c>
      <c r="Q139" t="inlineStr">
        <is>
          <t>Rev.00 Word EU DoC generated — see DOCUMENT_LIBRARY.FILE_URI; signature fields blank / not legally signed</t>
        </is>
      </c>
      <c r="R139" t="inlineStr">
        <is>
          <t>2026-08-10T19:29:54Z</t>
        </is>
      </c>
      <c r="S139" t="inlineStr">
        <is>
          <t>2026-08-10T19:29:54Z</t>
        </is>
      </c>
    </row>
    <row r="140">
      <c r="A140" s="19" t="inlineStr">
        <is>
          <t>139</t>
        </is>
      </c>
      <c r="B140" s="19" t="inlineStr">
        <is>
          <t>IA-PPWR-DOC-ST-063-STD-01-R00</t>
        </is>
      </c>
      <c r="C140" t="inlineStr">
        <is>
          <t>EU DoC — ST-063-STD-01</t>
        </is>
      </c>
      <c r="D140" s="19" t="inlineStr">
        <is>
          <t>1</t>
        </is>
      </c>
      <c r="E140" s="19" t="n"/>
      <c r="F140" s="19" t="inlineStr">
        <is>
          <t>139</t>
        </is>
      </c>
      <c r="G140" s="19" t="n"/>
      <c r="H140" s="19" t="inlineStr">
        <is>
          <t>139</t>
        </is>
      </c>
      <c r="I140" s="19" t="inlineStr">
        <is>
          <t>1</t>
        </is>
      </c>
      <c r="J140" t="inlineStr">
        <is>
          <t>EU PPWR</t>
        </is>
      </c>
      <c r="K140" t="inlineStr">
        <is>
          <t>REV00 CURRENT EVIDENCE BASIS — ARTICLE 5 ASSESSMENT BASIS</t>
        </is>
      </c>
      <c r="L140" t="inlineStr">
        <is>
          <t>2026-08-08</t>
        </is>
      </c>
      <c r="N140" t="n">
        <v>0</v>
      </c>
      <c r="O140" s="19" t="inlineStr">
        <is>
          <t>2</t>
        </is>
      </c>
      <c r="Q140" t="inlineStr">
        <is>
          <t>Rev.00 Word EU DoC generated — see DOCUMENT_LIBRARY.FILE_URI; signature fields blank / not legally signed</t>
        </is>
      </c>
      <c r="R140" t="inlineStr">
        <is>
          <t>2026-08-10T19:29:54Z</t>
        </is>
      </c>
      <c r="S140" t="inlineStr">
        <is>
          <t>2026-08-10T19:29:54Z</t>
        </is>
      </c>
    </row>
    <row r="141">
      <c r="A141" s="19" t="inlineStr">
        <is>
          <t>140</t>
        </is>
      </c>
      <c r="B141" s="19" t="inlineStr">
        <is>
          <t>IA-PPWR-DOC-ST-063-STD-02-R00</t>
        </is>
      </c>
      <c r="C141" t="inlineStr">
        <is>
          <t>EU DoC — ST-063-STD-02</t>
        </is>
      </c>
      <c r="D141" s="19" t="inlineStr">
        <is>
          <t>1</t>
        </is>
      </c>
      <c r="E141" s="19" t="n"/>
      <c r="F141" s="19" t="inlineStr">
        <is>
          <t>140</t>
        </is>
      </c>
      <c r="G141" s="19" t="n"/>
      <c r="H141" s="19" t="inlineStr">
        <is>
          <t>140</t>
        </is>
      </c>
      <c r="I141" s="19" t="inlineStr">
        <is>
          <t>1</t>
        </is>
      </c>
      <c r="J141" t="inlineStr">
        <is>
          <t>EU PPWR</t>
        </is>
      </c>
      <c r="K141" t="inlineStr">
        <is>
          <t>REV00 CURRENT EVIDENCE BASIS — ARTICLE 5 ASSESSMENT BASIS</t>
        </is>
      </c>
      <c r="L141" t="inlineStr">
        <is>
          <t>2026-08-08</t>
        </is>
      </c>
      <c r="N141" t="n">
        <v>0</v>
      </c>
      <c r="O141" s="19" t="inlineStr">
        <is>
          <t>2</t>
        </is>
      </c>
      <c r="Q141" t="inlineStr">
        <is>
          <t>Rev.00 Word EU DoC generated — see DOCUMENT_LIBRARY.FILE_URI; signature fields blank / not legally signed</t>
        </is>
      </c>
      <c r="R141" t="inlineStr">
        <is>
          <t>2026-08-10T19:29:54Z</t>
        </is>
      </c>
      <c r="S141" t="inlineStr">
        <is>
          <t>2026-08-10T19:29:54Z</t>
        </is>
      </c>
    </row>
    <row r="142">
      <c r="A142" s="19" t="inlineStr">
        <is>
          <t>141</t>
        </is>
      </c>
      <c r="B142" s="19" t="inlineStr">
        <is>
          <t>IA-PPWR-DOC-ST-063-STD-03-R00</t>
        </is>
      </c>
      <c r="C142" t="inlineStr">
        <is>
          <t>EU DoC — ST-063-STD-03</t>
        </is>
      </c>
      <c r="D142" s="19" t="inlineStr">
        <is>
          <t>1</t>
        </is>
      </c>
      <c r="E142" s="19" t="n"/>
      <c r="F142" s="19" t="inlineStr">
        <is>
          <t>141</t>
        </is>
      </c>
      <c r="G142" s="19" t="n"/>
      <c r="H142" s="19" t="inlineStr">
        <is>
          <t>141</t>
        </is>
      </c>
      <c r="I142" s="19" t="inlineStr">
        <is>
          <t>1</t>
        </is>
      </c>
      <c r="J142" t="inlineStr">
        <is>
          <t>EU PPWR</t>
        </is>
      </c>
      <c r="K142" t="inlineStr">
        <is>
          <t>REV00 CURRENT EVIDENCE BASIS — ARTICLE 5 ASSESSMENT BASIS</t>
        </is>
      </c>
      <c r="L142" t="inlineStr">
        <is>
          <t>2026-08-08</t>
        </is>
      </c>
      <c r="N142" t="n">
        <v>0</v>
      </c>
      <c r="O142" s="19" t="inlineStr">
        <is>
          <t>2</t>
        </is>
      </c>
      <c r="Q142" t="inlineStr">
        <is>
          <t>Rev.00 Word EU DoC generated — see DOCUMENT_LIBRARY.FILE_URI; signature fields blank / not legally signed</t>
        </is>
      </c>
      <c r="R142" t="inlineStr">
        <is>
          <t>2026-08-10T19:29:54Z</t>
        </is>
      </c>
      <c r="S142" t="inlineStr">
        <is>
          <t>2026-08-10T19:29:54Z</t>
        </is>
      </c>
    </row>
    <row r="143">
      <c r="A143" s="19" t="inlineStr">
        <is>
          <t>142</t>
        </is>
      </c>
      <c r="B143" s="19" t="inlineStr">
        <is>
          <t>IA-PPWR-DOC-ST-063-STD-04-R00</t>
        </is>
      </c>
      <c r="C143" t="inlineStr">
        <is>
          <t>EU DoC — ST-063-STD-04</t>
        </is>
      </c>
      <c r="D143" s="19" t="inlineStr">
        <is>
          <t>1</t>
        </is>
      </c>
      <c r="E143" s="19" t="n"/>
      <c r="F143" s="19" t="inlineStr">
        <is>
          <t>142</t>
        </is>
      </c>
      <c r="G143" s="19" t="n"/>
      <c r="H143" s="19" t="inlineStr">
        <is>
          <t>142</t>
        </is>
      </c>
      <c r="I143" s="19" t="inlineStr">
        <is>
          <t>1</t>
        </is>
      </c>
      <c r="J143" t="inlineStr">
        <is>
          <t>EU PPWR</t>
        </is>
      </c>
      <c r="K143" t="inlineStr">
        <is>
          <t>REV00 CURRENT EVIDENCE BASIS — ARTICLE 5 ASSESSMENT BASIS</t>
        </is>
      </c>
      <c r="L143" t="inlineStr">
        <is>
          <t>2026-08-08</t>
        </is>
      </c>
      <c r="N143" t="n">
        <v>0</v>
      </c>
      <c r="O143" s="19" t="inlineStr">
        <is>
          <t>2</t>
        </is>
      </c>
      <c r="Q143" t="inlineStr">
        <is>
          <t>Rev.00 Word EU DoC generated — see DOCUMENT_LIBRARY.FILE_URI; signature fields blank / not legally signed</t>
        </is>
      </c>
      <c r="R143" t="inlineStr">
        <is>
          <t>2026-08-10T19:29:54Z</t>
        </is>
      </c>
      <c r="S143" t="inlineStr">
        <is>
          <t>2026-08-10T19:29:54Z</t>
        </is>
      </c>
    </row>
    <row r="144">
      <c r="A144" s="19" t="inlineStr">
        <is>
          <t>143</t>
        </is>
      </c>
      <c r="B144" s="19" t="inlineStr">
        <is>
          <t>IA-PPWR-DOC-ST-063-STD-05-R00</t>
        </is>
      </c>
      <c r="C144" t="inlineStr">
        <is>
          <t>EU DoC — ST-063-STD-05</t>
        </is>
      </c>
      <c r="D144" s="19" t="inlineStr">
        <is>
          <t>1</t>
        </is>
      </c>
      <c r="E144" s="19" t="n"/>
      <c r="F144" s="19" t="inlineStr">
        <is>
          <t>143</t>
        </is>
      </c>
      <c r="G144" s="19" t="n"/>
      <c r="H144" s="19" t="inlineStr">
        <is>
          <t>143</t>
        </is>
      </c>
      <c r="I144" s="19" t="inlineStr">
        <is>
          <t>1</t>
        </is>
      </c>
      <c r="J144" t="inlineStr">
        <is>
          <t>EU PPWR</t>
        </is>
      </c>
      <c r="K144" t="inlineStr">
        <is>
          <t>REV00 CURRENT EVIDENCE BASIS — ARTICLE 5 ASSESSMENT BASIS</t>
        </is>
      </c>
      <c r="L144" t="inlineStr">
        <is>
          <t>2026-08-08</t>
        </is>
      </c>
      <c r="N144" t="n">
        <v>0</v>
      </c>
      <c r="O144" s="19" t="inlineStr">
        <is>
          <t>2</t>
        </is>
      </c>
      <c r="Q144" t="inlineStr">
        <is>
          <t>Rev.00 Word EU DoC generated — see DOCUMENT_LIBRARY.FILE_URI; signature fields blank / not legally signed</t>
        </is>
      </c>
      <c r="R144" t="inlineStr">
        <is>
          <t>2026-08-10T19:29:54Z</t>
        </is>
      </c>
      <c r="S144" t="inlineStr">
        <is>
          <t>2026-08-10T19:29:54Z</t>
        </is>
      </c>
    </row>
    <row r="145">
      <c r="A145" s="19" t="inlineStr">
        <is>
          <t>144</t>
        </is>
      </c>
      <c r="B145" s="19" t="inlineStr">
        <is>
          <t>IA-PPWR-DOC-ST-063-STD-06-R00</t>
        </is>
      </c>
      <c r="C145" t="inlineStr">
        <is>
          <t>EU DoC — ST-063-STD-06</t>
        </is>
      </c>
      <c r="D145" s="19" t="inlineStr">
        <is>
          <t>1</t>
        </is>
      </c>
      <c r="E145" s="19" t="n"/>
      <c r="F145" s="19" t="inlineStr">
        <is>
          <t>144</t>
        </is>
      </c>
      <c r="G145" s="19" t="n"/>
      <c r="H145" s="19" t="inlineStr">
        <is>
          <t>144</t>
        </is>
      </c>
      <c r="I145" s="19" t="inlineStr">
        <is>
          <t>1</t>
        </is>
      </c>
      <c r="J145" t="inlineStr">
        <is>
          <t>EU PPWR</t>
        </is>
      </c>
      <c r="K145" t="inlineStr">
        <is>
          <t>REV00 CURRENT EVIDENCE BASIS — ARTICLE 5 ASSESSMENT BASIS</t>
        </is>
      </c>
      <c r="L145" t="inlineStr">
        <is>
          <t>2026-08-08</t>
        </is>
      </c>
      <c r="N145" t="n">
        <v>0</v>
      </c>
      <c r="O145" s="19" t="inlineStr">
        <is>
          <t>2</t>
        </is>
      </c>
      <c r="Q145" t="inlineStr">
        <is>
          <t>Rev.00 Word EU DoC generated — see DOCUMENT_LIBRARY.FILE_URI; signature fields blank / not legally signed</t>
        </is>
      </c>
      <c r="R145" t="inlineStr">
        <is>
          <t>2026-08-10T19:29:54Z</t>
        </is>
      </c>
      <c r="S145" t="inlineStr">
        <is>
          <t>2026-08-10T19:29:54Z</t>
        </is>
      </c>
    </row>
    <row r="146">
      <c r="A146" s="19" t="inlineStr">
        <is>
          <t>145</t>
        </is>
      </c>
      <c r="B146" s="19" t="inlineStr">
        <is>
          <t>IA-PPWR-DOC-ST-063-STD-07-R00</t>
        </is>
      </c>
      <c r="C146" t="inlineStr">
        <is>
          <t>EU DoC — ST-063-STD-07</t>
        </is>
      </c>
      <c r="D146" s="19" t="inlineStr">
        <is>
          <t>1</t>
        </is>
      </c>
      <c r="E146" s="19" t="n"/>
      <c r="F146" s="19" t="inlineStr">
        <is>
          <t>145</t>
        </is>
      </c>
      <c r="G146" s="19" t="n"/>
      <c r="H146" s="19" t="inlineStr">
        <is>
          <t>145</t>
        </is>
      </c>
      <c r="I146" s="19" t="inlineStr">
        <is>
          <t>1</t>
        </is>
      </c>
      <c r="J146" t="inlineStr">
        <is>
          <t>EU PPWR</t>
        </is>
      </c>
      <c r="K146" t="inlineStr">
        <is>
          <t>REV00 CURRENT EVIDENCE BASIS — ARTICLE 5 ASSESSMENT BASIS</t>
        </is>
      </c>
      <c r="L146" t="inlineStr">
        <is>
          <t>2026-08-08</t>
        </is>
      </c>
      <c r="N146" t="n">
        <v>0</v>
      </c>
      <c r="O146" s="19" t="inlineStr">
        <is>
          <t>2</t>
        </is>
      </c>
      <c r="Q146" t="inlineStr">
        <is>
          <t>Rev.00 Word EU DoC generated — see DOCUMENT_LIBRARY.FILE_URI; signature fields blank / not legally signed</t>
        </is>
      </c>
      <c r="R146" t="inlineStr">
        <is>
          <t>2026-08-10T19:29:54Z</t>
        </is>
      </c>
      <c r="S146" t="inlineStr">
        <is>
          <t>2026-08-10T19:29:54Z</t>
        </is>
      </c>
    </row>
    <row r="147">
      <c r="A147" s="19" t="inlineStr">
        <is>
          <t>146</t>
        </is>
      </c>
      <c r="B147" s="19" t="inlineStr">
        <is>
          <t>IA-PPWR-DOC-ST-063-STD-08-R00</t>
        </is>
      </c>
      <c r="C147" t="inlineStr">
        <is>
          <t>EU DoC — ST-063-STD-08</t>
        </is>
      </c>
      <c r="D147" s="19" t="inlineStr">
        <is>
          <t>1</t>
        </is>
      </c>
      <c r="E147" s="19" t="n"/>
      <c r="F147" s="19" t="inlineStr">
        <is>
          <t>146</t>
        </is>
      </c>
      <c r="G147" s="19" t="n"/>
      <c r="H147" s="19" t="inlineStr">
        <is>
          <t>146</t>
        </is>
      </c>
      <c r="I147" s="19" t="inlineStr">
        <is>
          <t>1</t>
        </is>
      </c>
      <c r="J147" t="inlineStr">
        <is>
          <t>EU PPWR</t>
        </is>
      </c>
      <c r="K147" t="inlineStr">
        <is>
          <t>REV00 CURRENT EVIDENCE BASIS — ARTICLE 5 ASSESSMENT BASIS</t>
        </is>
      </c>
      <c r="L147" t="inlineStr">
        <is>
          <t>2026-08-08</t>
        </is>
      </c>
      <c r="N147" t="n">
        <v>0</v>
      </c>
      <c r="O147" s="19" t="inlineStr">
        <is>
          <t>2</t>
        </is>
      </c>
      <c r="Q147" t="inlineStr">
        <is>
          <t>Rev.00 Word EU DoC generated — see DOCUMENT_LIBRARY.FILE_URI; signature fields blank / not legally signed</t>
        </is>
      </c>
      <c r="R147" t="inlineStr">
        <is>
          <t>2026-08-10T19:29:54Z</t>
        </is>
      </c>
      <c r="S147" t="inlineStr">
        <is>
          <t>2026-08-10T19:29:54Z</t>
        </is>
      </c>
    </row>
    <row r="148">
      <c r="A148" s="19" t="inlineStr">
        <is>
          <t>147</t>
        </is>
      </c>
      <c r="B148" s="19" t="inlineStr">
        <is>
          <t>IA-PPWR-DOC-ST-063-STD-09-R00</t>
        </is>
      </c>
      <c r="C148" t="inlineStr">
        <is>
          <t>EU DoC — ST-063-STD-09</t>
        </is>
      </c>
      <c r="D148" s="19" t="inlineStr">
        <is>
          <t>1</t>
        </is>
      </c>
      <c r="E148" s="19" t="n"/>
      <c r="F148" s="19" t="inlineStr">
        <is>
          <t>147</t>
        </is>
      </c>
      <c r="G148" s="19" t="n"/>
      <c r="H148" s="19" t="inlineStr">
        <is>
          <t>147</t>
        </is>
      </c>
      <c r="I148" s="19" t="inlineStr">
        <is>
          <t>1</t>
        </is>
      </c>
      <c r="J148" t="inlineStr">
        <is>
          <t>EU PPWR</t>
        </is>
      </c>
      <c r="K148" t="inlineStr">
        <is>
          <t>REV00 CURRENT EVIDENCE BASIS — ARTICLE 5 ASSESSMENT BASIS</t>
        </is>
      </c>
      <c r="L148" t="inlineStr">
        <is>
          <t>2026-08-08</t>
        </is>
      </c>
      <c r="N148" t="n">
        <v>0</v>
      </c>
      <c r="O148" s="19" t="inlineStr">
        <is>
          <t>2</t>
        </is>
      </c>
      <c r="Q148" t="inlineStr">
        <is>
          <t>Rev.00 Word EU DoC generated — see DOCUMENT_LIBRARY.FILE_URI; signature fields blank / not legally signed</t>
        </is>
      </c>
      <c r="R148" t="inlineStr">
        <is>
          <t>2026-08-10T19:29:54Z</t>
        </is>
      </c>
      <c r="S148" t="inlineStr">
        <is>
          <t>2026-08-10T19:29:54Z</t>
        </is>
      </c>
    </row>
    <row r="149">
      <c r="A149" s="19" t="inlineStr">
        <is>
          <t>148</t>
        </is>
      </c>
      <c r="B149" s="19" t="inlineStr">
        <is>
          <t>IA-PPWR-DOC-ST-063-STD-10-R00</t>
        </is>
      </c>
      <c r="C149" t="inlineStr">
        <is>
          <t>EU DoC — ST-063-STD-10</t>
        </is>
      </c>
      <c r="D149" s="19" t="inlineStr">
        <is>
          <t>1</t>
        </is>
      </c>
      <c r="E149" s="19" t="n"/>
      <c r="F149" s="19" t="inlineStr">
        <is>
          <t>148</t>
        </is>
      </c>
      <c r="G149" s="19" t="n"/>
      <c r="H149" s="19" t="inlineStr">
        <is>
          <t>148</t>
        </is>
      </c>
      <c r="I149" s="19" t="inlineStr">
        <is>
          <t>1</t>
        </is>
      </c>
      <c r="J149" t="inlineStr">
        <is>
          <t>EU PPWR</t>
        </is>
      </c>
      <c r="K149" t="inlineStr">
        <is>
          <t>REV00 CURRENT EVIDENCE BASIS — ARTICLE 5 ASSESSMENT BASIS</t>
        </is>
      </c>
      <c r="L149" t="inlineStr">
        <is>
          <t>2026-08-08</t>
        </is>
      </c>
      <c r="N149" t="n">
        <v>0</v>
      </c>
      <c r="O149" s="19" t="inlineStr">
        <is>
          <t>2</t>
        </is>
      </c>
      <c r="Q149" t="inlineStr">
        <is>
          <t>Rev.00 Word EU DoC generated — see DOCUMENT_LIBRARY.FILE_URI; signature fields blank / not legally signed</t>
        </is>
      </c>
      <c r="R149" t="inlineStr">
        <is>
          <t>2026-08-10T19:29:54Z</t>
        </is>
      </c>
      <c r="S149" t="inlineStr">
        <is>
          <t>2026-08-10T19:29:54Z</t>
        </is>
      </c>
    </row>
    <row r="150">
      <c r="A150" s="19" t="inlineStr">
        <is>
          <t>149</t>
        </is>
      </c>
      <c r="B150" s="19" t="inlineStr">
        <is>
          <t>IA-PPWR-DOC-ST-063-STD-11-R00</t>
        </is>
      </c>
      <c r="C150" t="inlineStr">
        <is>
          <t>EU DoC — ST-063-STD-11</t>
        </is>
      </c>
      <c r="D150" s="19" t="inlineStr">
        <is>
          <t>1</t>
        </is>
      </c>
      <c r="E150" s="19" t="n"/>
      <c r="F150" s="19" t="inlineStr">
        <is>
          <t>149</t>
        </is>
      </c>
      <c r="G150" s="19" t="n"/>
      <c r="H150" s="19" t="inlineStr">
        <is>
          <t>149</t>
        </is>
      </c>
      <c r="I150" s="19" t="inlineStr">
        <is>
          <t>1</t>
        </is>
      </c>
      <c r="J150" t="inlineStr">
        <is>
          <t>EU PPWR</t>
        </is>
      </c>
      <c r="K150" t="inlineStr">
        <is>
          <t>REV00 CURRENT EVIDENCE BASIS — ARTICLE 5 ASSESSMENT BASIS</t>
        </is>
      </c>
      <c r="L150" t="inlineStr">
        <is>
          <t>2026-08-08</t>
        </is>
      </c>
      <c r="N150" t="n">
        <v>0</v>
      </c>
      <c r="O150" s="19" t="inlineStr">
        <is>
          <t>2</t>
        </is>
      </c>
      <c r="Q150" t="inlineStr">
        <is>
          <t>Rev.00 Word EU DoC generated — see DOCUMENT_LIBRARY.FILE_URI; signature fields blank / not legally signed</t>
        </is>
      </c>
      <c r="R150" t="inlineStr">
        <is>
          <t>2026-08-10T19:29:54Z</t>
        </is>
      </c>
      <c r="S150" t="inlineStr">
        <is>
          <t>2026-08-10T19:29:54Z</t>
        </is>
      </c>
    </row>
    <row r="151">
      <c r="A151" s="19" t="inlineStr">
        <is>
          <t>150</t>
        </is>
      </c>
      <c r="B151" s="19" t="inlineStr">
        <is>
          <t>IA-PPWR-DOC-ST-063-STD-12-R00</t>
        </is>
      </c>
      <c r="C151" t="inlineStr">
        <is>
          <t>EU DoC — ST-063-STD-12</t>
        </is>
      </c>
      <c r="D151" s="19" t="inlineStr">
        <is>
          <t>1</t>
        </is>
      </c>
      <c r="E151" s="19" t="n"/>
      <c r="F151" s="19" t="inlineStr">
        <is>
          <t>150</t>
        </is>
      </c>
      <c r="G151" s="19" t="n"/>
      <c r="H151" s="19" t="inlineStr">
        <is>
          <t>150</t>
        </is>
      </c>
      <c r="I151" s="19" t="inlineStr">
        <is>
          <t>1</t>
        </is>
      </c>
      <c r="J151" t="inlineStr">
        <is>
          <t>EU PPWR</t>
        </is>
      </c>
      <c r="K151" t="inlineStr">
        <is>
          <t>REV00 CURRENT EVIDENCE BASIS — ARTICLE 5 ASSESSMENT BASIS</t>
        </is>
      </c>
      <c r="L151" t="inlineStr">
        <is>
          <t>2026-08-08</t>
        </is>
      </c>
      <c r="N151" t="n">
        <v>0</v>
      </c>
      <c r="O151" s="19" t="inlineStr">
        <is>
          <t>2</t>
        </is>
      </c>
      <c r="Q151" t="inlineStr">
        <is>
          <t>Rev.00 Word EU DoC generated — see DOCUMENT_LIBRARY.FILE_URI; signature fields blank / not legally signed</t>
        </is>
      </c>
      <c r="R151" t="inlineStr">
        <is>
          <t>2026-08-10T19:29:54Z</t>
        </is>
      </c>
      <c r="S151" t="inlineStr">
        <is>
          <t>2026-08-10T19:29:54Z</t>
        </is>
      </c>
    </row>
    <row r="152">
      <c r="A152" s="19" t="inlineStr">
        <is>
          <t>151</t>
        </is>
      </c>
      <c r="B152" s="19" t="inlineStr">
        <is>
          <t>IA-PPWR-DOC-ST-063-STD-13-R00</t>
        </is>
      </c>
      <c r="C152" t="inlineStr">
        <is>
          <t>EU DoC — ST-063-STD-13</t>
        </is>
      </c>
      <c r="D152" s="19" t="inlineStr">
        <is>
          <t>1</t>
        </is>
      </c>
      <c r="E152" s="19" t="n"/>
      <c r="F152" s="19" t="inlineStr">
        <is>
          <t>151</t>
        </is>
      </c>
      <c r="G152" s="19" t="n"/>
      <c r="H152" s="19" t="inlineStr">
        <is>
          <t>151</t>
        </is>
      </c>
      <c r="I152" s="19" t="inlineStr">
        <is>
          <t>1</t>
        </is>
      </c>
      <c r="J152" t="inlineStr">
        <is>
          <t>EU PPWR</t>
        </is>
      </c>
      <c r="K152" t="inlineStr">
        <is>
          <t>REV00 CURRENT EVIDENCE BASIS — ARTICLE 5 ASSESSMENT BASIS</t>
        </is>
      </c>
      <c r="L152" t="inlineStr">
        <is>
          <t>2026-08-08</t>
        </is>
      </c>
      <c r="N152" t="n">
        <v>0</v>
      </c>
      <c r="O152" s="19" t="inlineStr">
        <is>
          <t>2</t>
        </is>
      </c>
      <c r="Q152" t="inlineStr">
        <is>
          <t>Rev.00 Word EU DoC generated — see DOCUMENT_LIBRARY.FILE_URI; signature fields blank / not legally signed</t>
        </is>
      </c>
      <c r="R152" t="inlineStr">
        <is>
          <t>2026-08-10T19:29:54Z</t>
        </is>
      </c>
      <c r="S152" t="inlineStr">
        <is>
          <t>2026-08-10T19:29:54Z</t>
        </is>
      </c>
    </row>
    <row r="153">
      <c r="A153" s="19" t="inlineStr">
        <is>
          <t>152</t>
        </is>
      </c>
      <c r="B153" s="19" t="inlineStr">
        <is>
          <t>IA-PPWR-DOC-ST-063-STD-14-R00</t>
        </is>
      </c>
      <c r="C153" t="inlineStr">
        <is>
          <t>EU DoC — ST-063-STD-14</t>
        </is>
      </c>
      <c r="D153" s="19" t="inlineStr">
        <is>
          <t>1</t>
        </is>
      </c>
      <c r="E153" s="19" t="n"/>
      <c r="F153" s="19" t="inlineStr">
        <is>
          <t>152</t>
        </is>
      </c>
      <c r="G153" s="19" t="n"/>
      <c r="H153" s="19" t="inlineStr">
        <is>
          <t>152</t>
        </is>
      </c>
      <c r="I153" s="19" t="inlineStr">
        <is>
          <t>1</t>
        </is>
      </c>
      <c r="J153" t="inlineStr">
        <is>
          <t>EU PPWR</t>
        </is>
      </c>
      <c r="K153" t="inlineStr">
        <is>
          <t>REV00 CURRENT EVIDENCE BASIS — ARTICLE 5 ASSESSMENT BASIS</t>
        </is>
      </c>
      <c r="L153" t="inlineStr">
        <is>
          <t>2026-08-08</t>
        </is>
      </c>
      <c r="N153" t="n">
        <v>0</v>
      </c>
      <c r="O153" s="19" t="inlineStr">
        <is>
          <t>2</t>
        </is>
      </c>
      <c r="Q153" t="inlineStr">
        <is>
          <t>Rev.00 Word EU DoC generated — see DOCUMENT_LIBRARY.FILE_URI; signature fields blank / not legally signed</t>
        </is>
      </c>
      <c r="R153" t="inlineStr">
        <is>
          <t>2026-08-10T19:29:54Z</t>
        </is>
      </c>
      <c r="S153" t="inlineStr">
        <is>
          <t>2026-08-10T19:29:54Z</t>
        </is>
      </c>
    </row>
    <row r="154">
      <c r="A154" s="19" t="inlineStr">
        <is>
          <t>153</t>
        </is>
      </c>
      <c r="B154" s="19" t="inlineStr">
        <is>
          <t>IA-PPWR-DOC-ST-063-STD-15-R00</t>
        </is>
      </c>
      <c r="C154" t="inlineStr">
        <is>
          <t>EU DoC — ST-063-STD-15</t>
        </is>
      </c>
      <c r="D154" s="19" t="inlineStr">
        <is>
          <t>1</t>
        </is>
      </c>
      <c r="E154" s="19" t="n"/>
      <c r="F154" s="19" t="inlineStr">
        <is>
          <t>153</t>
        </is>
      </c>
      <c r="G154" s="19" t="n"/>
      <c r="H154" s="19" t="inlineStr">
        <is>
          <t>153</t>
        </is>
      </c>
      <c r="I154" s="19" t="inlineStr">
        <is>
          <t>1</t>
        </is>
      </c>
      <c r="J154" t="inlineStr">
        <is>
          <t>EU PPWR</t>
        </is>
      </c>
      <c r="K154" t="inlineStr">
        <is>
          <t>REV00 CURRENT EVIDENCE BASIS — ARTICLE 5 ASSESSMENT BASIS</t>
        </is>
      </c>
      <c r="L154" t="inlineStr">
        <is>
          <t>2026-08-08</t>
        </is>
      </c>
      <c r="N154" t="n">
        <v>0</v>
      </c>
      <c r="O154" s="19" t="inlineStr">
        <is>
          <t>2</t>
        </is>
      </c>
      <c r="Q154" t="inlineStr">
        <is>
          <t>Rev.00 Word EU DoC generated — see DOCUMENT_LIBRARY.FILE_URI; signature fields blank / not legally signed</t>
        </is>
      </c>
      <c r="R154" t="inlineStr">
        <is>
          <t>2026-08-10T19:29:54Z</t>
        </is>
      </c>
      <c r="S154" t="inlineStr">
        <is>
          <t>2026-08-10T19:29:54Z</t>
        </is>
      </c>
    </row>
    <row r="155">
      <c r="A155" s="19" t="inlineStr">
        <is>
          <t>154</t>
        </is>
      </c>
      <c r="B155" s="19" t="inlineStr">
        <is>
          <t>IA-PPWR-DOC-ST-064-EUR-01-R00</t>
        </is>
      </c>
      <c r="C155" t="inlineStr">
        <is>
          <t>EU DoC — ST-064-EUR-01</t>
        </is>
      </c>
      <c r="D155" s="19" t="inlineStr">
        <is>
          <t>1</t>
        </is>
      </c>
      <c r="E155" s="19" t="n"/>
      <c r="F155" s="19" t="inlineStr">
        <is>
          <t>154</t>
        </is>
      </c>
      <c r="G155" s="19" t="n"/>
      <c r="H155" s="19" t="inlineStr">
        <is>
          <t>154</t>
        </is>
      </c>
      <c r="I155" s="19" t="inlineStr">
        <is>
          <t>1</t>
        </is>
      </c>
      <c r="J155" t="inlineStr">
        <is>
          <t>EU PPWR</t>
        </is>
      </c>
      <c r="K155" t="inlineStr">
        <is>
          <t>REV00 CURRENT EVIDENCE BASIS — ARTICLE 5 ASSESSMENT BASIS</t>
        </is>
      </c>
      <c r="L155" t="inlineStr">
        <is>
          <t>2026-08-08</t>
        </is>
      </c>
      <c r="N155" t="n">
        <v>0</v>
      </c>
      <c r="O155" s="19" t="inlineStr">
        <is>
          <t>2</t>
        </is>
      </c>
      <c r="Q155" t="inlineStr">
        <is>
          <t>Rev.00 Word EU DoC generated — see DOCUMENT_LIBRARY.FILE_URI; signature fields blank / not legally signed</t>
        </is>
      </c>
      <c r="R155" t="inlineStr">
        <is>
          <t>2026-08-10T19:29:54Z</t>
        </is>
      </c>
      <c r="S155" t="inlineStr">
        <is>
          <t>2026-08-10T19:29:54Z</t>
        </is>
      </c>
    </row>
    <row r="156">
      <c r="A156" s="19" t="inlineStr">
        <is>
          <t>155</t>
        </is>
      </c>
      <c r="B156" s="19" t="inlineStr">
        <is>
          <t>IA-PPWR-DOC-ST-066-STD-01-R00</t>
        </is>
      </c>
      <c r="C156" t="inlineStr">
        <is>
          <t>EU DoC — ST-066-STD-01</t>
        </is>
      </c>
      <c r="D156" s="19" t="inlineStr">
        <is>
          <t>1</t>
        </is>
      </c>
      <c r="E156" s="19" t="n"/>
      <c r="F156" s="19" t="inlineStr">
        <is>
          <t>155</t>
        </is>
      </c>
      <c r="G156" s="19" t="n"/>
      <c r="H156" s="19" t="inlineStr">
        <is>
          <t>155</t>
        </is>
      </c>
      <c r="I156" s="19" t="inlineStr">
        <is>
          <t>1</t>
        </is>
      </c>
      <c r="J156" t="inlineStr">
        <is>
          <t>EU PPWR</t>
        </is>
      </c>
      <c r="K156" t="inlineStr">
        <is>
          <t>REV00 CURRENT EVIDENCE BASIS — ARTICLE 5 ASSESSMENT BASIS</t>
        </is>
      </c>
      <c r="L156" t="inlineStr">
        <is>
          <t>2026-08-08</t>
        </is>
      </c>
      <c r="N156" t="n">
        <v>0</v>
      </c>
      <c r="O156" s="19" t="inlineStr">
        <is>
          <t>2</t>
        </is>
      </c>
      <c r="Q156" t="inlineStr">
        <is>
          <t>Rev.00 Word EU DoC generated — see DOCUMENT_LIBRARY.FILE_URI; signature fields blank / not legally signed</t>
        </is>
      </c>
      <c r="R156" t="inlineStr">
        <is>
          <t>2026-08-10T19:29:54Z</t>
        </is>
      </c>
      <c r="S156" t="inlineStr">
        <is>
          <t>2026-08-10T19:29:54Z</t>
        </is>
      </c>
    </row>
    <row r="157">
      <c r="A157" s="19" t="inlineStr">
        <is>
          <t>156</t>
        </is>
      </c>
      <c r="B157" s="19" t="inlineStr">
        <is>
          <t>IA-PPWR-DOC-ST-066-STD-02-R00</t>
        </is>
      </c>
      <c r="C157" t="inlineStr">
        <is>
          <t>EU DoC — ST-066-STD-02</t>
        </is>
      </c>
      <c r="D157" s="19" t="inlineStr">
        <is>
          <t>1</t>
        </is>
      </c>
      <c r="E157" s="19" t="n"/>
      <c r="F157" s="19" t="inlineStr">
        <is>
          <t>156</t>
        </is>
      </c>
      <c r="G157" s="19" t="n"/>
      <c r="H157" s="19" t="inlineStr">
        <is>
          <t>156</t>
        </is>
      </c>
      <c r="I157" s="19" t="inlineStr">
        <is>
          <t>1</t>
        </is>
      </c>
      <c r="J157" t="inlineStr">
        <is>
          <t>EU PPWR</t>
        </is>
      </c>
      <c r="K157" t="inlineStr">
        <is>
          <t>REV00 CURRENT EVIDENCE BASIS — ARTICLE 5 ASSESSMENT BASIS</t>
        </is>
      </c>
      <c r="L157" t="inlineStr">
        <is>
          <t>2026-08-08</t>
        </is>
      </c>
      <c r="N157" t="n">
        <v>0</v>
      </c>
      <c r="O157" s="19" t="inlineStr">
        <is>
          <t>2</t>
        </is>
      </c>
      <c r="Q157" t="inlineStr">
        <is>
          <t>Rev.00 Word EU DoC generated — see DOCUMENT_LIBRARY.FILE_URI; signature fields blank / not legally signed</t>
        </is>
      </c>
      <c r="R157" t="inlineStr">
        <is>
          <t>2026-08-10T19:29:54Z</t>
        </is>
      </c>
      <c r="S157" t="inlineStr">
        <is>
          <t>2026-08-10T19:29:54Z</t>
        </is>
      </c>
    </row>
    <row r="158">
      <c r="A158" s="19" t="inlineStr">
        <is>
          <t>157</t>
        </is>
      </c>
      <c r="B158" s="19" t="inlineStr">
        <is>
          <t>IA-PPWR-DOC-ST-066-STD-03-R00</t>
        </is>
      </c>
      <c r="C158" t="inlineStr">
        <is>
          <t>EU DoC — ST-066-STD-03</t>
        </is>
      </c>
      <c r="D158" s="19" t="inlineStr">
        <is>
          <t>1</t>
        </is>
      </c>
      <c r="E158" s="19" t="n"/>
      <c r="F158" s="19" t="inlineStr">
        <is>
          <t>157</t>
        </is>
      </c>
      <c r="G158" s="19" t="n"/>
      <c r="H158" s="19" t="inlineStr">
        <is>
          <t>157</t>
        </is>
      </c>
      <c r="I158" s="19" t="inlineStr">
        <is>
          <t>1</t>
        </is>
      </c>
      <c r="J158" t="inlineStr">
        <is>
          <t>EU PPWR</t>
        </is>
      </c>
      <c r="K158" t="inlineStr">
        <is>
          <t>REV00 CURRENT EVIDENCE BASIS — ARTICLE 5 ASSESSMENT BASIS</t>
        </is>
      </c>
      <c r="L158" t="inlineStr">
        <is>
          <t>2026-08-08</t>
        </is>
      </c>
      <c r="N158" t="n">
        <v>0</v>
      </c>
      <c r="O158" s="19" t="inlineStr">
        <is>
          <t>2</t>
        </is>
      </c>
      <c r="Q158" t="inlineStr">
        <is>
          <t>Rev.00 Word EU DoC generated — see DOCUMENT_LIBRARY.FILE_URI; signature fields blank / not legally signed</t>
        </is>
      </c>
      <c r="R158" t="inlineStr">
        <is>
          <t>2026-08-10T19:29:54Z</t>
        </is>
      </c>
      <c r="S158" t="inlineStr">
        <is>
          <t>2026-08-10T19:29:54Z</t>
        </is>
      </c>
    </row>
    <row r="159">
      <c r="A159" s="19" t="inlineStr">
        <is>
          <t>158</t>
        </is>
      </c>
      <c r="B159" s="19" t="inlineStr">
        <is>
          <t>IA-PPWR-DOC-ST-068-EUR-01-R00</t>
        </is>
      </c>
      <c r="C159" t="inlineStr">
        <is>
          <t>EU DoC — ST-068-EUR-01</t>
        </is>
      </c>
      <c r="D159" s="19" t="inlineStr">
        <is>
          <t>1</t>
        </is>
      </c>
      <c r="E159" s="19" t="n"/>
      <c r="F159" s="19" t="inlineStr">
        <is>
          <t>158</t>
        </is>
      </c>
      <c r="G159" s="19" t="n"/>
      <c r="H159" s="19" t="inlineStr">
        <is>
          <t>158</t>
        </is>
      </c>
      <c r="I159" s="19" t="inlineStr">
        <is>
          <t>1</t>
        </is>
      </c>
      <c r="J159" t="inlineStr">
        <is>
          <t>EU PPWR</t>
        </is>
      </c>
      <c r="K159" t="inlineStr">
        <is>
          <t>REV00 CURRENT EVIDENCE BASIS — ARTICLE 5 ASSESSMENT BASIS</t>
        </is>
      </c>
      <c r="L159" t="inlineStr">
        <is>
          <t>2026-08-08</t>
        </is>
      </c>
      <c r="N159" t="n">
        <v>0</v>
      </c>
      <c r="O159" s="19" t="inlineStr">
        <is>
          <t>2</t>
        </is>
      </c>
      <c r="Q159" t="inlineStr">
        <is>
          <t>Rev.00 Word EU DoC generated — see DOCUMENT_LIBRARY.FILE_URI; signature fields blank / not legally signed</t>
        </is>
      </c>
      <c r="R159" t="inlineStr">
        <is>
          <t>2026-08-10T19:29:54Z</t>
        </is>
      </c>
      <c r="S159" t="inlineStr">
        <is>
          <t>2026-08-10T19:29:54Z</t>
        </is>
      </c>
    </row>
    <row r="160">
      <c r="A160" s="19" t="inlineStr">
        <is>
          <t>159</t>
        </is>
      </c>
      <c r="B160" s="19" t="inlineStr">
        <is>
          <t>IA-PPWR-DOC-ST-068-EUR-02-R00</t>
        </is>
      </c>
      <c r="C160" t="inlineStr">
        <is>
          <t>EU DoC — ST-068-EUR-02</t>
        </is>
      </c>
      <c r="D160" s="19" t="inlineStr">
        <is>
          <t>1</t>
        </is>
      </c>
      <c r="E160" s="19" t="n"/>
      <c r="F160" s="19" t="inlineStr">
        <is>
          <t>159</t>
        </is>
      </c>
      <c r="G160" s="19" t="n"/>
      <c r="H160" s="19" t="inlineStr">
        <is>
          <t>159</t>
        </is>
      </c>
      <c r="I160" s="19" t="inlineStr">
        <is>
          <t>1</t>
        </is>
      </c>
      <c r="J160" t="inlineStr">
        <is>
          <t>EU PPWR</t>
        </is>
      </c>
      <c r="K160" t="inlineStr">
        <is>
          <t>REV00 CURRENT EVIDENCE BASIS — ARTICLE 5 ASSESSMENT BASIS</t>
        </is>
      </c>
      <c r="L160" t="inlineStr">
        <is>
          <t>2026-08-08</t>
        </is>
      </c>
      <c r="N160" t="n">
        <v>0</v>
      </c>
      <c r="O160" s="19" t="inlineStr">
        <is>
          <t>2</t>
        </is>
      </c>
      <c r="Q160" t="inlineStr">
        <is>
          <t>Rev.00 Word EU DoC generated — see DOCUMENT_LIBRARY.FILE_URI; signature fields blank / not legally signed</t>
        </is>
      </c>
      <c r="R160" t="inlineStr">
        <is>
          <t>2026-08-10T19:29:54Z</t>
        </is>
      </c>
      <c r="S160" t="inlineStr">
        <is>
          <t>2026-08-10T19:29:54Z</t>
        </is>
      </c>
    </row>
    <row r="161">
      <c r="A161" s="19" t="inlineStr">
        <is>
          <t>160</t>
        </is>
      </c>
      <c r="B161" s="19" t="inlineStr">
        <is>
          <t>IA-PPWR-DOC-ST-068-EUR-03-R00</t>
        </is>
      </c>
      <c r="C161" t="inlineStr">
        <is>
          <t>EU DoC — ST-068-EUR-03</t>
        </is>
      </c>
      <c r="D161" s="19" t="inlineStr">
        <is>
          <t>1</t>
        </is>
      </c>
      <c r="E161" s="19" t="n"/>
      <c r="F161" s="19" t="inlineStr">
        <is>
          <t>160</t>
        </is>
      </c>
      <c r="G161" s="19" t="n"/>
      <c r="H161" s="19" t="inlineStr">
        <is>
          <t>160</t>
        </is>
      </c>
      <c r="I161" s="19" t="inlineStr">
        <is>
          <t>1</t>
        </is>
      </c>
      <c r="J161" t="inlineStr">
        <is>
          <t>EU PPWR</t>
        </is>
      </c>
      <c r="K161" t="inlineStr">
        <is>
          <t>REV00 CURRENT EVIDENCE BASIS — ARTICLE 5 ASSESSMENT BASIS</t>
        </is>
      </c>
      <c r="L161" t="inlineStr">
        <is>
          <t>2026-08-08</t>
        </is>
      </c>
      <c r="N161" t="n">
        <v>0</v>
      </c>
      <c r="O161" s="19" t="inlineStr">
        <is>
          <t>2</t>
        </is>
      </c>
      <c r="Q161" t="inlineStr">
        <is>
          <t>Rev.00 Word EU DoC generated — see DOCUMENT_LIBRARY.FILE_URI; signature fields blank / not legally signed</t>
        </is>
      </c>
      <c r="R161" t="inlineStr">
        <is>
          <t>2026-08-10T19:29:54Z</t>
        </is>
      </c>
      <c r="S161" t="inlineStr">
        <is>
          <t>2026-08-10T19:29:54Z</t>
        </is>
      </c>
    </row>
    <row r="162">
      <c r="A162" s="19" t="inlineStr">
        <is>
          <t>161</t>
        </is>
      </c>
      <c r="B162" s="19" t="inlineStr">
        <is>
          <t>IA-PPWR-DOC-ST-068-EUR-04-R00</t>
        </is>
      </c>
      <c r="C162" t="inlineStr">
        <is>
          <t>EU DoC — ST-068-EUR-04</t>
        </is>
      </c>
      <c r="D162" s="19" t="inlineStr">
        <is>
          <t>1</t>
        </is>
      </c>
      <c r="E162" s="19" t="n"/>
      <c r="F162" s="19" t="inlineStr">
        <is>
          <t>161</t>
        </is>
      </c>
      <c r="G162" s="19" t="n"/>
      <c r="H162" s="19" t="inlineStr">
        <is>
          <t>161</t>
        </is>
      </c>
      <c r="I162" s="19" t="inlineStr">
        <is>
          <t>1</t>
        </is>
      </c>
      <c r="J162" t="inlineStr">
        <is>
          <t>EU PPWR</t>
        </is>
      </c>
      <c r="K162" t="inlineStr">
        <is>
          <t>REV00 CURRENT EVIDENCE BASIS — ARTICLE 5 ASSESSMENT BASIS</t>
        </is>
      </c>
      <c r="L162" t="inlineStr">
        <is>
          <t>2026-08-08</t>
        </is>
      </c>
      <c r="N162" t="n">
        <v>0</v>
      </c>
      <c r="O162" s="19" t="inlineStr">
        <is>
          <t>2</t>
        </is>
      </c>
      <c r="Q162" t="inlineStr">
        <is>
          <t>Rev.00 Word EU DoC generated — see DOCUMENT_LIBRARY.FILE_URI; signature fields blank / not legally signed</t>
        </is>
      </c>
      <c r="R162" t="inlineStr">
        <is>
          <t>2026-08-10T19:29:54Z</t>
        </is>
      </c>
      <c r="S162" t="inlineStr">
        <is>
          <t>2026-08-10T19:29:54Z</t>
        </is>
      </c>
    </row>
    <row r="163">
      <c r="A163" s="19" t="inlineStr">
        <is>
          <t>162</t>
        </is>
      </c>
      <c r="B163" s="19" t="inlineStr">
        <is>
          <t>IA-PPWR-DOC-ST-068-STD-01-R00</t>
        </is>
      </c>
      <c r="C163" t="inlineStr">
        <is>
          <t>EU DoC — ST-068-STD-01</t>
        </is>
      </c>
      <c r="D163" s="19" t="inlineStr">
        <is>
          <t>1</t>
        </is>
      </c>
      <c r="E163" s="19" t="n"/>
      <c r="F163" s="19" t="inlineStr">
        <is>
          <t>162</t>
        </is>
      </c>
      <c r="G163" s="19" t="n"/>
      <c r="H163" s="19" t="inlineStr">
        <is>
          <t>162</t>
        </is>
      </c>
      <c r="I163" s="19" t="inlineStr">
        <is>
          <t>1</t>
        </is>
      </c>
      <c r="J163" t="inlineStr">
        <is>
          <t>EU PPWR</t>
        </is>
      </c>
      <c r="K163" t="inlineStr">
        <is>
          <t>REV00 CURRENT EVIDENCE BASIS — ARTICLE 5 ASSESSMENT BASIS</t>
        </is>
      </c>
      <c r="L163" t="inlineStr">
        <is>
          <t>2026-08-08</t>
        </is>
      </c>
      <c r="N163" t="n">
        <v>0</v>
      </c>
      <c r="O163" s="19" t="inlineStr">
        <is>
          <t>2</t>
        </is>
      </c>
      <c r="Q163" t="inlineStr">
        <is>
          <t>Rev.00 Word EU DoC generated — see DOCUMENT_LIBRARY.FILE_URI; signature fields blank / not legally signed</t>
        </is>
      </c>
      <c r="R163" t="inlineStr">
        <is>
          <t>2026-08-10T19:29:54Z</t>
        </is>
      </c>
      <c r="S163" t="inlineStr">
        <is>
          <t>2026-08-10T19:29:54Z</t>
        </is>
      </c>
    </row>
    <row r="164">
      <c r="A164" s="19" t="inlineStr">
        <is>
          <t>163</t>
        </is>
      </c>
      <c r="B164" s="19" t="inlineStr">
        <is>
          <t>IA-PPWR-DOC-ST-068-STD-02-R00</t>
        </is>
      </c>
      <c r="C164" t="inlineStr">
        <is>
          <t>EU DoC — ST-068-STD-02</t>
        </is>
      </c>
      <c r="D164" s="19" t="inlineStr">
        <is>
          <t>1</t>
        </is>
      </c>
      <c r="E164" s="19" t="n"/>
      <c r="F164" s="19" t="inlineStr">
        <is>
          <t>163</t>
        </is>
      </c>
      <c r="G164" s="19" t="n"/>
      <c r="H164" s="19" t="inlineStr">
        <is>
          <t>163</t>
        </is>
      </c>
      <c r="I164" s="19" t="inlineStr">
        <is>
          <t>1</t>
        </is>
      </c>
      <c r="J164" t="inlineStr">
        <is>
          <t>EU PPWR</t>
        </is>
      </c>
      <c r="K164" t="inlineStr">
        <is>
          <t>REV00 CURRENT EVIDENCE BASIS — ARTICLE 5 ASSESSMENT BASIS</t>
        </is>
      </c>
      <c r="L164" t="inlineStr">
        <is>
          <t>2026-08-08</t>
        </is>
      </c>
      <c r="N164" t="n">
        <v>0</v>
      </c>
      <c r="O164" s="19" t="inlineStr">
        <is>
          <t>2</t>
        </is>
      </c>
      <c r="Q164" t="inlineStr">
        <is>
          <t>Rev.00 Word EU DoC generated — see DOCUMENT_LIBRARY.FILE_URI; signature fields blank / not legally signed</t>
        </is>
      </c>
      <c r="R164" t="inlineStr">
        <is>
          <t>2026-08-10T19:29:54Z</t>
        </is>
      </c>
      <c r="S164" t="inlineStr">
        <is>
          <t>2026-08-10T19:29:54Z</t>
        </is>
      </c>
    </row>
    <row r="165">
      <c r="A165" s="19" t="inlineStr">
        <is>
          <t>164</t>
        </is>
      </c>
      <c r="B165" s="19" t="inlineStr">
        <is>
          <t>IA-PPWR-DOC-ST-068-STD-03-R00</t>
        </is>
      </c>
      <c r="C165" t="inlineStr">
        <is>
          <t>EU DoC — ST-068-STD-03</t>
        </is>
      </c>
      <c r="D165" s="19" t="inlineStr">
        <is>
          <t>1</t>
        </is>
      </c>
      <c r="E165" s="19" t="n"/>
      <c r="F165" s="19" t="inlineStr">
        <is>
          <t>164</t>
        </is>
      </c>
      <c r="G165" s="19" t="n"/>
      <c r="H165" s="19" t="inlineStr">
        <is>
          <t>164</t>
        </is>
      </c>
      <c r="I165" s="19" t="inlineStr">
        <is>
          <t>1</t>
        </is>
      </c>
      <c r="J165" t="inlineStr">
        <is>
          <t>EU PPWR</t>
        </is>
      </c>
      <c r="K165" t="inlineStr">
        <is>
          <t>REV00 CURRENT EVIDENCE BASIS — ARTICLE 5 ASSESSMENT BASIS</t>
        </is>
      </c>
      <c r="L165" t="inlineStr">
        <is>
          <t>2026-08-08</t>
        </is>
      </c>
      <c r="N165" t="n">
        <v>0</v>
      </c>
      <c r="O165" s="19" t="inlineStr">
        <is>
          <t>2</t>
        </is>
      </c>
      <c r="Q165" t="inlineStr">
        <is>
          <t>Rev.00 Word EU DoC generated — see DOCUMENT_LIBRARY.FILE_URI; signature fields blank / not legally signed</t>
        </is>
      </c>
      <c r="R165" t="inlineStr">
        <is>
          <t>2026-08-10T19:29:54Z</t>
        </is>
      </c>
      <c r="S165" t="inlineStr">
        <is>
          <t>2026-08-10T19:29:54Z</t>
        </is>
      </c>
    </row>
    <row r="166">
      <c r="A166" s="19" t="inlineStr">
        <is>
          <t>165</t>
        </is>
      </c>
      <c r="B166" s="19" t="inlineStr">
        <is>
          <t>IA-PPWR-DOC-ST-068-STD-04-R00</t>
        </is>
      </c>
      <c r="C166" t="inlineStr">
        <is>
          <t>EU DoC — ST-068-STD-04</t>
        </is>
      </c>
      <c r="D166" s="19" t="inlineStr">
        <is>
          <t>1</t>
        </is>
      </c>
      <c r="E166" s="19" t="n"/>
      <c r="F166" s="19" t="inlineStr">
        <is>
          <t>165</t>
        </is>
      </c>
      <c r="G166" s="19" t="n"/>
      <c r="H166" s="19" t="inlineStr">
        <is>
          <t>165</t>
        </is>
      </c>
      <c r="I166" s="19" t="inlineStr">
        <is>
          <t>1</t>
        </is>
      </c>
      <c r="J166" t="inlineStr">
        <is>
          <t>EU PPWR</t>
        </is>
      </c>
      <c r="K166" t="inlineStr">
        <is>
          <t>REV00 CURRENT EVIDENCE BASIS — ARTICLE 5 ASSESSMENT BASIS</t>
        </is>
      </c>
      <c r="L166" t="inlineStr">
        <is>
          <t>2026-08-08</t>
        </is>
      </c>
      <c r="N166" t="n">
        <v>0</v>
      </c>
      <c r="O166" s="19" t="inlineStr">
        <is>
          <t>2</t>
        </is>
      </c>
      <c r="Q166" t="inlineStr">
        <is>
          <t>Rev.00 Word EU DoC generated — see DOCUMENT_LIBRARY.FILE_URI; signature fields blank / not legally signed</t>
        </is>
      </c>
      <c r="R166" t="inlineStr">
        <is>
          <t>2026-08-10T19:29:54Z</t>
        </is>
      </c>
      <c r="S166" t="inlineStr">
        <is>
          <t>2026-08-10T19:29:54Z</t>
        </is>
      </c>
    </row>
    <row r="167">
      <c r="A167" s="19" t="inlineStr">
        <is>
          <t>166</t>
        </is>
      </c>
      <c r="B167" s="19" t="inlineStr">
        <is>
          <t>IA-PPWR-DOC-ST-072-EUR-01-R00</t>
        </is>
      </c>
      <c r="C167" t="inlineStr">
        <is>
          <t>EU DoC — ST-072-EUR-01</t>
        </is>
      </c>
      <c r="D167" s="19" t="inlineStr">
        <is>
          <t>1</t>
        </is>
      </c>
      <c r="E167" s="19" t="n"/>
      <c r="F167" s="19" t="inlineStr">
        <is>
          <t>166</t>
        </is>
      </c>
      <c r="G167" s="19" t="n"/>
      <c r="H167" s="19" t="inlineStr">
        <is>
          <t>166</t>
        </is>
      </c>
      <c r="I167" s="19" t="inlineStr">
        <is>
          <t>1</t>
        </is>
      </c>
      <c r="J167" t="inlineStr">
        <is>
          <t>EU PPWR</t>
        </is>
      </c>
      <c r="K167" t="inlineStr">
        <is>
          <t>REV00 CURRENT EVIDENCE BASIS — ARTICLE 5 ASSESSMENT BASIS</t>
        </is>
      </c>
      <c r="L167" t="inlineStr">
        <is>
          <t>2026-08-08</t>
        </is>
      </c>
      <c r="N167" t="n">
        <v>0</v>
      </c>
      <c r="O167" s="19" t="inlineStr">
        <is>
          <t>2</t>
        </is>
      </c>
      <c r="Q167" t="inlineStr">
        <is>
          <t>Rev.00 Word EU DoC generated — see DOCUMENT_LIBRARY.FILE_URI; signature fields blank / not legally signed</t>
        </is>
      </c>
      <c r="R167" t="inlineStr">
        <is>
          <t>2026-08-10T19:29:54Z</t>
        </is>
      </c>
      <c r="S167" t="inlineStr">
        <is>
          <t>2026-08-10T19:29:54Z</t>
        </is>
      </c>
    </row>
    <row r="168">
      <c r="A168" s="19" t="inlineStr">
        <is>
          <t>167</t>
        </is>
      </c>
      <c r="B168" s="19" t="inlineStr">
        <is>
          <t>IA-PPWR-DOC-ST-072-EUR-02-R00</t>
        </is>
      </c>
      <c r="C168" t="inlineStr">
        <is>
          <t>EU DoC — ST-072-EUR-02</t>
        </is>
      </c>
      <c r="D168" s="19" t="inlineStr">
        <is>
          <t>1</t>
        </is>
      </c>
      <c r="E168" s="19" t="n"/>
      <c r="F168" s="19" t="inlineStr">
        <is>
          <t>167</t>
        </is>
      </c>
      <c r="G168" s="19" t="n"/>
      <c r="H168" s="19" t="inlineStr">
        <is>
          <t>167</t>
        </is>
      </c>
      <c r="I168" s="19" t="inlineStr">
        <is>
          <t>1</t>
        </is>
      </c>
      <c r="J168" t="inlineStr">
        <is>
          <t>EU PPWR</t>
        </is>
      </c>
      <c r="K168" t="inlineStr">
        <is>
          <t>REV00 CURRENT EVIDENCE BASIS — ARTICLE 5 ASSESSMENT BASIS</t>
        </is>
      </c>
      <c r="L168" t="inlineStr">
        <is>
          <t>2026-08-08</t>
        </is>
      </c>
      <c r="N168" t="n">
        <v>0</v>
      </c>
      <c r="O168" s="19" t="inlineStr">
        <is>
          <t>2</t>
        </is>
      </c>
      <c r="Q168" t="inlineStr">
        <is>
          <t>Rev.00 Word EU DoC generated — see DOCUMENT_LIBRARY.FILE_URI; signature fields blank / not legally signed</t>
        </is>
      </c>
      <c r="R168" t="inlineStr">
        <is>
          <t>2026-08-10T19:29:54Z</t>
        </is>
      </c>
      <c r="S168" t="inlineStr">
        <is>
          <t>2026-08-10T19:29:54Z</t>
        </is>
      </c>
    </row>
    <row r="169">
      <c r="A169" s="19" t="inlineStr">
        <is>
          <t>168</t>
        </is>
      </c>
      <c r="B169" s="19" t="inlineStr">
        <is>
          <t>IA-PPWR-DOC-ST-072-EUR-03-R00</t>
        </is>
      </c>
      <c r="C169" t="inlineStr">
        <is>
          <t>EU DoC — ST-072-EUR-03</t>
        </is>
      </c>
      <c r="D169" s="19" t="inlineStr">
        <is>
          <t>1</t>
        </is>
      </c>
      <c r="E169" s="19" t="n"/>
      <c r="F169" s="19" t="inlineStr">
        <is>
          <t>168</t>
        </is>
      </c>
      <c r="G169" s="19" t="n"/>
      <c r="H169" s="19" t="inlineStr">
        <is>
          <t>168</t>
        </is>
      </c>
      <c r="I169" s="19" t="inlineStr">
        <is>
          <t>1</t>
        </is>
      </c>
      <c r="J169" t="inlineStr">
        <is>
          <t>EU PPWR</t>
        </is>
      </c>
      <c r="K169" t="inlineStr">
        <is>
          <t>REV00 CURRENT EVIDENCE BASIS — ARTICLE 5 ASSESSMENT BASIS</t>
        </is>
      </c>
      <c r="L169" t="inlineStr">
        <is>
          <t>2026-08-08</t>
        </is>
      </c>
      <c r="N169" t="n">
        <v>0</v>
      </c>
      <c r="O169" s="19" t="inlineStr">
        <is>
          <t>2</t>
        </is>
      </c>
      <c r="Q169" t="inlineStr">
        <is>
          <t>Rev.00 Word EU DoC generated — see DOCUMENT_LIBRARY.FILE_URI; signature fields blank / not legally signed</t>
        </is>
      </c>
      <c r="R169" t="inlineStr">
        <is>
          <t>2026-08-10T19:29:54Z</t>
        </is>
      </c>
      <c r="S169" t="inlineStr">
        <is>
          <t>2026-08-10T19:29:54Z</t>
        </is>
      </c>
    </row>
    <row r="170">
      <c r="A170" s="19" t="inlineStr">
        <is>
          <t>169</t>
        </is>
      </c>
      <c r="B170" s="19" t="inlineStr">
        <is>
          <t>IA-PPWR-DOC-ST-072-EUR-04-R00</t>
        </is>
      </c>
      <c r="C170" t="inlineStr">
        <is>
          <t>EU DoC — ST-072-EUR-04</t>
        </is>
      </c>
      <c r="D170" s="19" t="inlineStr">
        <is>
          <t>1</t>
        </is>
      </c>
      <c r="E170" s="19" t="n"/>
      <c r="F170" s="19" t="inlineStr">
        <is>
          <t>169</t>
        </is>
      </c>
      <c r="G170" s="19" t="n"/>
      <c r="H170" s="19" t="inlineStr">
        <is>
          <t>169</t>
        </is>
      </c>
      <c r="I170" s="19" t="inlineStr">
        <is>
          <t>1</t>
        </is>
      </c>
      <c r="J170" t="inlineStr">
        <is>
          <t>EU PPWR</t>
        </is>
      </c>
      <c r="K170" t="inlineStr">
        <is>
          <t>REV00 CURRENT EVIDENCE BASIS — ARTICLE 5 ASSESSMENT BASIS</t>
        </is>
      </c>
      <c r="L170" t="inlineStr">
        <is>
          <t>2026-08-08</t>
        </is>
      </c>
      <c r="N170" t="n">
        <v>0</v>
      </c>
      <c r="O170" s="19" t="inlineStr">
        <is>
          <t>2</t>
        </is>
      </c>
      <c r="Q170" t="inlineStr">
        <is>
          <t>Rev.00 Word EU DoC generated — see DOCUMENT_LIBRARY.FILE_URI; signature fields blank / not legally signed</t>
        </is>
      </c>
      <c r="R170" t="inlineStr">
        <is>
          <t>2026-08-10T19:29:54Z</t>
        </is>
      </c>
      <c r="S170" t="inlineStr">
        <is>
          <t>2026-08-10T19:29:54Z</t>
        </is>
      </c>
    </row>
    <row r="171">
      <c r="A171" s="19" t="inlineStr">
        <is>
          <t>170</t>
        </is>
      </c>
      <c r="B171" s="19" t="inlineStr">
        <is>
          <t>IA-PPWR-DOC-ST-072-EUR-05-R00</t>
        </is>
      </c>
      <c r="C171" t="inlineStr">
        <is>
          <t>EU DoC — ST-072-EUR-05</t>
        </is>
      </c>
      <c r="D171" s="19" t="inlineStr">
        <is>
          <t>1</t>
        </is>
      </c>
      <c r="E171" s="19" t="n"/>
      <c r="F171" s="19" t="inlineStr">
        <is>
          <t>170</t>
        </is>
      </c>
      <c r="G171" s="19" t="n"/>
      <c r="H171" s="19" t="inlineStr">
        <is>
          <t>170</t>
        </is>
      </c>
      <c r="I171" s="19" t="inlineStr">
        <is>
          <t>1</t>
        </is>
      </c>
      <c r="J171" t="inlineStr">
        <is>
          <t>EU PPWR</t>
        </is>
      </c>
      <c r="K171" t="inlineStr">
        <is>
          <t>REV00 CURRENT EVIDENCE BASIS — ARTICLE 5 ASSESSMENT BASIS</t>
        </is>
      </c>
      <c r="L171" t="inlineStr">
        <is>
          <t>2026-08-08</t>
        </is>
      </c>
      <c r="N171" t="n">
        <v>0</v>
      </c>
      <c r="O171" s="19" t="inlineStr">
        <is>
          <t>2</t>
        </is>
      </c>
      <c r="Q171" t="inlineStr">
        <is>
          <t>Rev.00 Word EU DoC generated — see DOCUMENT_LIBRARY.FILE_URI; signature fields blank / not legally signed</t>
        </is>
      </c>
      <c r="R171" t="inlineStr">
        <is>
          <t>2026-08-10T19:29:54Z</t>
        </is>
      </c>
      <c r="S171" t="inlineStr">
        <is>
          <t>2026-08-10T19:29:54Z</t>
        </is>
      </c>
    </row>
    <row r="172">
      <c r="A172" s="19" t="inlineStr">
        <is>
          <t>171</t>
        </is>
      </c>
      <c r="B172" s="19" t="inlineStr">
        <is>
          <t>IA-PPWR-DOC-ST-072-EUR-06-R00</t>
        </is>
      </c>
      <c r="C172" t="inlineStr">
        <is>
          <t>EU DoC — ST-072-EUR-06</t>
        </is>
      </c>
      <c r="D172" s="19" t="inlineStr">
        <is>
          <t>1</t>
        </is>
      </c>
      <c r="E172" s="19" t="n"/>
      <c r="F172" s="19" t="inlineStr">
        <is>
          <t>171</t>
        </is>
      </c>
      <c r="G172" s="19" t="n"/>
      <c r="H172" s="19" t="inlineStr">
        <is>
          <t>171</t>
        </is>
      </c>
      <c r="I172" s="19" t="inlineStr">
        <is>
          <t>1</t>
        </is>
      </c>
      <c r="J172" t="inlineStr">
        <is>
          <t>EU PPWR</t>
        </is>
      </c>
      <c r="K172" t="inlineStr">
        <is>
          <t>REV00 CURRENT EVIDENCE BASIS — ARTICLE 5 ASSESSMENT BASIS</t>
        </is>
      </c>
      <c r="L172" t="inlineStr">
        <is>
          <t>2026-08-08</t>
        </is>
      </c>
      <c r="N172" t="n">
        <v>0</v>
      </c>
      <c r="O172" s="19" t="inlineStr">
        <is>
          <t>2</t>
        </is>
      </c>
      <c r="Q172" t="inlineStr">
        <is>
          <t>Rev.00 Word EU DoC generated — see DOCUMENT_LIBRARY.FILE_URI; signature fields blank / not legally signed</t>
        </is>
      </c>
      <c r="R172" t="inlineStr">
        <is>
          <t>2026-08-10T19:29:54Z</t>
        </is>
      </c>
      <c r="S172" t="inlineStr">
        <is>
          <t>2026-08-10T19:29:54Z</t>
        </is>
      </c>
    </row>
    <row r="173">
      <c r="A173" s="19" t="inlineStr">
        <is>
          <t>172</t>
        </is>
      </c>
      <c r="B173" s="19" t="inlineStr">
        <is>
          <t>IA-PPWR-DOC-ST-072-STD-01-R00</t>
        </is>
      </c>
      <c r="C173" t="inlineStr">
        <is>
          <t>EU DoC — ST-072-STD-01</t>
        </is>
      </c>
      <c r="D173" s="19" t="inlineStr">
        <is>
          <t>1</t>
        </is>
      </c>
      <c r="E173" s="19" t="n"/>
      <c r="F173" s="19" t="inlineStr">
        <is>
          <t>172</t>
        </is>
      </c>
      <c r="G173" s="19" t="n"/>
      <c r="H173" s="19" t="inlineStr">
        <is>
          <t>172</t>
        </is>
      </c>
      <c r="I173" s="19" t="inlineStr">
        <is>
          <t>1</t>
        </is>
      </c>
      <c r="J173" t="inlineStr">
        <is>
          <t>EU PPWR</t>
        </is>
      </c>
      <c r="K173" t="inlineStr">
        <is>
          <t>REV00 CURRENT EVIDENCE BASIS — ARTICLE 5 ASSESSMENT BASIS</t>
        </is>
      </c>
      <c r="L173" t="inlineStr">
        <is>
          <t>2026-08-08</t>
        </is>
      </c>
      <c r="N173" t="n">
        <v>0</v>
      </c>
      <c r="O173" s="19" t="inlineStr">
        <is>
          <t>2</t>
        </is>
      </c>
      <c r="Q173" t="inlineStr">
        <is>
          <t>Rev.00 Word EU DoC generated — see DOCUMENT_LIBRARY.FILE_URI; signature fields blank / not legally signed</t>
        </is>
      </c>
      <c r="R173" t="inlineStr">
        <is>
          <t>2026-08-10T19:29:54Z</t>
        </is>
      </c>
      <c r="S173" t="inlineStr">
        <is>
          <t>2026-08-10T19:29:54Z</t>
        </is>
      </c>
    </row>
    <row r="174">
      <c r="A174" s="19" t="inlineStr">
        <is>
          <t>173</t>
        </is>
      </c>
      <c r="B174" s="19" t="inlineStr">
        <is>
          <t>IA-PPWR-DOC-ST-072-STD-02-R00</t>
        </is>
      </c>
      <c r="C174" t="inlineStr">
        <is>
          <t>EU DoC — ST-072-STD-02</t>
        </is>
      </c>
      <c r="D174" s="19" t="inlineStr">
        <is>
          <t>1</t>
        </is>
      </c>
      <c r="E174" s="19" t="n"/>
      <c r="F174" s="19" t="inlineStr">
        <is>
          <t>173</t>
        </is>
      </c>
      <c r="G174" s="19" t="n"/>
      <c r="H174" s="19" t="inlineStr">
        <is>
          <t>173</t>
        </is>
      </c>
      <c r="I174" s="19" t="inlineStr">
        <is>
          <t>1</t>
        </is>
      </c>
      <c r="J174" t="inlineStr">
        <is>
          <t>EU PPWR</t>
        </is>
      </c>
      <c r="K174" t="inlineStr">
        <is>
          <t>REV00 CURRENT EVIDENCE BASIS — ARTICLE 5 ASSESSMENT BASIS</t>
        </is>
      </c>
      <c r="L174" t="inlineStr">
        <is>
          <t>2026-08-08</t>
        </is>
      </c>
      <c r="N174" t="n">
        <v>0</v>
      </c>
      <c r="O174" s="19" t="inlineStr">
        <is>
          <t>2</t>
        </is>
      </c>
      <c r="Q174" t="inlineStr">
        <is>
          <t>Rev.00 Word EU DoC generated — see DOCUMENT_LIBRARY.FILE_URI; signature fields blank / not legally signed</t>
        </is>
      </c>
      <c r="R174" t="inlineStr">
        <is>
          <t>2026-08-10T19:29:54Z</t>
        </is>
      </c>
      <c r="S174" t="inlineStr">
        <is>
          <t>2026-08-10T19:29:54Z</t>
        </is>
      </c>
    </row>
    <row r="175">
      <c r="A175" s="19" t="inlineStr">
        <is>
          <t>174</t>
        </is>
      </c>
      <c r="B175" s="19" t="inlineStr">
        <is>
          <t>IA-PPWR-DOC-ST-072-STD-03-R00</t>
        </is>
      </c>
      <c r="C175" t="inlineStr">
        <is>
          <t>EU DoC — ST-072-STD-03</t>
        </is>
      </c>
      <c r="D175" s="19" t="inlineStr">
        <is>
          <t>1</t>
        </is>
      </c>
      <c r="E175" s="19" t="n"/>
      <c r="F175" s="19" t="inlineStr">
        <is>
          <t>174</t>
        </is>
      </c>
      <c r="G175" s="19" t="n"/>
      <c r="H175" s="19" t="inlineStr">
        <is>
          <t>174</t>
        </is>
      </c>
      <c r="I175" s="19" t="inlineStr">
        <is>
          <t>1</t>
        </is>
      </c>
      <c r="J175" t="inlineStr">
        <is>
          <t>EU PPWR</t>
        </is>
      </c>
      <c r="K175" t="inlineStr">
        <is>
          <t>REV00 CURRENT EVIDENCE BASIS — ARTICLE 5 ASSESSMENT BASIS</t>
        </is>
      </c>
      <c r="L175" t="inlineStr">
        <is>
          <t>2026-08-08</t>
        </is>
      </c>
      <c r="N175" t="n">
        <v>0</v>
      </c>
      <c r="O175" s="19" t="inlineStr">
        <is>
          <t>2</t>
        </is>
      </c>
      <c r="Q175" t="inlineStr">
        <is>
          <t>Rev.00 Word EU DoC generated — see DOCUMENT_LIBRARY.FILE_URI; signature fields blank / not legally signed</t>
        </is>
      </c>
      <c r="R175" t="inlineStr">
        <is>
          <t>2026-08-10T19:29:54Z</t>
        </is>
      </c>
      <c r="S175" t="inlineStr">
        <is>
          <t>2026-08-10T19:29:54Z</t>
        </is>
      </c>
    </row>
    <row r="176">
      <c r="A176" s="19" t="inlineStr">
        <is>
          <t>175</t>
        </is>
      </c>
      <c r="B176" s="19" t="inlineStr">
        <is>
          <t>IA-PPWR-DOC-ST-072-STD-04-R00</t>
        </is>
      </c>
      <c r="C176" t="inlineStr">
        <is>
          <t>EU DoC — ST-072-STD-04</t>
        </is>
      </c>
      <c r="D176" s="19" t="inlineStr">
        <is>
          <t>1</t>
        </is>
      </c>
      <c r="E176" s="19" t="n"/>
      <c r="F176" s="19" t="inlineStr">
        <is>
          <t>175</t>
        </is>
      </c>
      <c r="G176" s="19" t="n"/>
      <c r="H176" s="19" t="inlineStr">
        <is>
          <t>175</t>
        </is>
      </c>
      <c r="I176" s="19" t="inlineStr">
        <is>
          <t>1</t>
        </is>
      </c>
      <c r="J176" t="inlineStr">
        <is>
          <t>EU PPWR</t>
        </is>
      </c>
      <c r="K176" t="inlineStr">
        <is>
          <t>REV00 CURRENT EVIDENCE BASIS — ARTICLE 5 ASSESSMENT BASIS</t>
        </is>
      </c>
      <c r="L176" t="inlineStr">
        <is>
          <t>2026-08-08</t>
        </is>
      </c>
      <c r="N176" t="n">
        <v>0</v>
      </c>
      <c r="O176" s="19" t="inlineStr">
        <is>
          <t>2</t>
        </is>
      </c>
      <c r="Q176" t="inlineStr">
        <is>
          <t>Rev.00 Word EU DoC generated — see DOCUMENT_LIBRARY.FILE_URI; signature fields blank / not legally signed</t>
        </is>
      </c>
      <c r="R176" t="inlineStr">
        <is>
          <t>2026-08-10T19:29:54Z</t>
        </is>
      </c>
      <c r="S176" t="inlineStr">
        <is>
          <t>2026-08-10T19:29:54Z</t>
        </is>
      </c>
    </row>
    <row r="177">
      <c r="A177" s="19" t="inlineStr">
        <is>
          <t>176</t>
        </is>
      </c>
      <c r="B177" s="19" t="inlineStr">
        <is>
          <t>IA-PPWR-DOC-ST-072-STD-05-R00</t>
        </is>
      </c>
      <c r="C177" t="inlineStr">
        <is>
          <t>EU DoC — ST-072-STD-05</t>
        </is>
      </c>
      <c r="D177" s="19" t="inlineStr">
        <is>
          <t>1</t>
        </is>
      </c>
      <c r="E177" s="19" t="n"/>
      <c r="F177" s="19" t="inlineStr">
        <is>
          <t>176</t>
        </is>
      </c>
      <c r="G177" s="19" t="n"/>
      <c r="H177" s="19" t="inlineStr">
        <is>
          <t>176</t>
        </is>
      </c>
      <c r="I177" s="19" t="inlineStr">
        <is>
          <t>1</t>
        </is>
      </c>
      <c r="J177" t="inlineStr">
        <is>
          <t>EU PPWR</t>
        </is>
      </c>
      <c r="K177" t="inlineStr">
        <is>
          <t>REV00 CURRENT EVIDENCE BASIS — ARTICLE 5 ASSESSMENT BASIS</t>
        </is>
      </c>
      <c r="L177" t="inlineStr">
        <is>
          <t>2026-08-08</t>
        </is>
      </c>
      <c r="N177" t="n">
        <v>0</v>
      </c>
      <c r="O177" s="19" t="inlineStr">
        <is>
          <t>2</t>
        </is>
      </c>
      <c r="Q177" t="inlineStr">
        <is>
          <t>Rev.00 Word EU DoC generated — see DOCUMENT_LIBRARY.FILE_URI; signature fields blank / not legally signed</t>
        </is>
      </c>
      <c r="R177" t="inlineStr">
        <is>
          <t>2026-08-10T19:29:54Z</t>
        </is>
      </c>
      <c r="S177" t="inlineStr">
        <is>
          <t>2026-08-10T19:29:54Z</t>
        </is>
      </c>
    </row>
    <row r="178">
      <c r="A178" s="19" t="inlineStr">
        <is>
          <t>177</t>
        </is>
      </c>
      <c r="B178" s="19" t="inlineStr">
        <is>
          <t>IA-PPWR-DOC-ST-072-STD-06-R00</t>
        </is>
      </c>
      <c r="C178" t="inlineStr">
        <is>
          <t>EU DoC — ST-072-STD-06</t>
        </is>
      </c>
      <c r="D178" s="19" t="inlineStr">
        <is>
          <t>1</t>
        </is>
      </c>
      <c r="E178" s="19" t="n"/>
      <c r="F178" s="19" t="inlineStr">
        <is>
          <t>177</t>
        </is>
      </c>
      <c r="G178" s="19" t="n"/>
      <c r="H178" s="19" t="inlineStr">
        <is>
          <t>177</t>
        </is>
      </c>
      <c r="I178" s="19" t="inlineStr">
        <is>
          <t>1</t>
        </is>
      </c>
      <c r="J178" t="inlineStr">
        <is>
          <t>EU PPWR</t>
        </is>
      </c>
      <c r="K178" t="inlineStr">
        <is>
          <t>REV00 CURRENT EVIDENCE BASIS — ARTICLE 5 ASSESSMENT BASIS</t>
        </is>
      </c>
      <c r="L178" t="inlineStr">
        <is>
          <t>2026-08-08</t>
        </is>
      </c>
      <c r="N178" t="n">
        <v>0</v>
      </c>
      <c r="O178" s="19" t="inlineStr">
        <is>
          <t>2</t>
        </is>
      </c>
      <c r="Q178" t="inlineStr">
        <is>
          <t>Rev.00 Word EU DoC generated — see DOCUMENT_LIBRARY.FILE_URI; signature fields blank / not legally signed</t>
        </is>
      </c>
      <c r="R178" t="inlineStr">
        <is>
          <t>2026-08-10T19:29:54Z</t>
        </is>
      </c>
      <c r="S178" t="inlineStr">
        <is>
          <t>2026-08-10T19:29:54Z</t>
        </is>
      </c>
    </row>
    <row r="179">
      <c r="A179" s="19" t="inlineStr">
        <is>
          <t>178</t>
        </is>
      </c>
      <c r="B179" s="19" t="inlineStr">
        <is>
          <t>IA-PPWR-DOC-ST-072-STD-07-R00</t>
        </is>
      </c>
      <c r="C179" t="inlineStr">
        <is>
          <t>EU DoC — ST-072-STD-07</t>
        </is>
      </c>
      <c r="D179" s="19" t="inlineStr">
        <is>
          <t>1</t>
        </is>
      </c>
      <c r="E179" s="19" t="n"/>
      <c r="F179" s="19" t="inlineStr">
        <is>
          <t>178</t>
        </is>
      </c>
      <c r="G179" s="19" t="n"/>
      <c r="H179" s="19" t="inlineStr">
        <is>
          <t>178</t>
        </is>
      </c>
      <c r="I179" s="19" t="inlineStr">
        <is>
          <t>1</t>
        </is>
      </c>
      <c r="J179" t="inlineStr">
        <is>
          <t>EU PPWR</t>
        </is>
      </c>
      <c r="K179" t="inlineStr">
        <is>
          <t>REV00 CURRENT EVIDENCE BASIS — ARTICLE 5 ASSESSMENT BASIS</t>
        </is>
      </c>
      <c r="L179" t="inlineStr">
        <is>
          <t>2026-08-08</t>
        </is>
      </c>
      <c r="N179" t="n">
        <v>0</v>
      </c>
      <c r="O179" s="19" t="inlineStr">
        <is>
          <t>2</t>
        </is>
      </c>
      <c r="Q179" t="inlineStr">
        <is>
          <t>Rev.00 Word EU DoC generated — see DOCUMENT_LIBRARY.FILE_URI; signature fields blank / not legally signed</t>
        </is>
      </c>
      <c r="R179" t="inlineStr">
        <is>
          <t>2026-08-10T19:29:54Z</t>
        </is>
      </c>
      <c r="S179" t="inlineStr">
        <is>
          <t>2026-08-10T19:29:54Z</t>
        </is>
      </c>
    </row>
    <row r="180">
      <c r="A180" s="19" t="inlineStr">
        <is>
          <t>179</t>
        </is>
      </c>
      <c r="B180" s="19" t="inlineStr">
        <is>
          <t>IA-PPWR-DOC-ST-072-STD-08-R00</t>
        </is>
      </c>
      <c r="C180" t="inlineStr">
        <is>
          <t>EU DoC — ST-072-STD-08</t>
        </is>
      </c>
      <c r="D180" s="19" t="inlineStr">
        <is>
          <t>1</t>
        </is>
      </c>
      <c r="E180" s="19" t="n"/>
      <c r="F180" s="19" t="inlineStr">
        <is>
          <t>179</t>
        </is>
      </c>
      <c r="G180" s="19" t="n"/>
      <c r="H180" s="19" t="inlineStr">
        <is>
          <t>179</t>
        </is>
      </c>
      <c r="I180" s="19" t="inlineStr">
        <is>
          <t>1</t>
        </is>
      </c>
      <c r="J180" t="inlineStr">
        <is>
          <t>EU PPWR</t>
        </is>
      </c>
      <c r="K180" t="inlineStr">
        <is>
          <t>REV00 CURRENT EVIDENCE BASIS — ARTICLE 5 ASSESSMENT BASIS</t>
        </is>
      </c>
      <c r="L180" t="inlineStr">
        <is>
          <t>2026-08-08</t>
        </is>
      </c>
      <c r="N180" t="n">
        <v>0</v>
      </c>
      <c r="O180" s="19" t="inlineStr">
        <is>
          <t>2</t>
        </is>
      </c>
      <c r="Q180" t="inlineStr">
        <is>
          <t>Rev.00 Word EU DoC generated — see DOCUMENT_LIBRARY.FILE_URI; signature fields blank / not legally signed</t>
        </is>
      </c>
      <c r="R180" t="inlineStr">
        <is>
          <t>2026-08-10T19:29:54Z</t>
        </is>
      </c>
      <c r="S180" t="inlineStr">
        <is>
          <t>2026-08-10T19:29:54Z</t>
        </is>
      </c>
    </row>
    <row r="181">
      <c r="A181" s="19" t="inlineStr">
        <is>
          <t>180</t>
        </is>
      </c>
      <c r="B181" s="19" t="inlineStr">
        <is>
          <t>IA-PPWR-DOC-ST-072-STD-09-R00</t>
        </is>
      </c>
      <c r="C181" t="inlineStr">
        <is>
          <t>EU DoC — ST-072-STD-09</t>
        </is>
      </c>
      <c r="D181" s="19" t="inlineStr">
        <is>
          <t>1</t>
        </is>
      </c>
      <c r="E181" s="19" t="n"/>
      <c r="F181" s="19" t="inlineStr">
        <is>
          <t>180</t>
        </is>
      </c>
      <c r="G181" s="19" t="n"/>
      <c r="H181" s="19" t="inlineStr">
        <is>
          <t>180</t>
        </is>
      </c>
      <c r="I181" s="19" t="inlineStr">
        <is>
          <t>1</t>
        </is>
      </c>
      <c r="J181" t="inlineStr">
        <is>
          <t>EU PPWR</t>
        </is>
      </c>
      <c r="K181" t="inlineStr">
        <is>
          <t>REV00 CURRENT EVIDENCE BASIS — ARTICLE 5 ASSESSMENT BASIS</t>
        </is>
      </c>
      <c r="L181" t="inlineStr">
        <is>
          <t>2026-08-08</t>
        </is>
      </c>
      <c r="N181" t="n">
        <v>0</v>
      </c>
      <c r="O181" s="19" t="inlineStr">
        <is>
          <t>2</t>
        </is>
      </c>
      <c r="Q181" t="inlineStr">
        <is>
          <t>Rev.00 Word EU DoC generated — see DOCUMENT_LIBRARY.FILE_URI; signature fields blank / not legally signed</t>
        </is>
      </c>
      <c r="R181" t="inlineStr">
        <is>
          <t>2026-08-10T19:29:54Z</t>
        </is>
      </c>
      <c r="S181" t="inlineStr">
        <is>
          <t>2026-08-10T19:29:54Z</t>
        </is>
      </c>
    </row>
    <row r="182">
      <c r="A182" s="19" t="inlineStr">
        <is>
          <t>181</t>
        </is>
      </c>
      <c r="B182" s="19" t="inlineStr">
        <is>
          <t>IA-PPWR-DOC-ST-072-STD-10-R00</t>
        </is>
      </c>
      <c r="C182" t="inlineStr">
        <is>
          <t>EU DoC — ST-072-STD-10</t>
        </is>
      </c>
      <c r="D182" s="19" t="inlineStr">
        <is>
          <t>1</t>
        </is>
      </c>
      <c r="E182" s="19" t="n"/>
      <c r="F182" s="19" t="inlineStr">
        <is>
          <t>181</t>
        </is>
      </c>
      <c r="G182" s="19" t="n"/>
      <c r="H182" s="19" t="inlineStr">
        <is>
          <t>181</t>
        </is>
      </c>
      <c r="I182" s="19" t="inlineStr">
        <is>
          <t>1</t>
        </is>
      </c>
      <c r="J182" t="inlineStr">
        <is>
          <t>EU PPWR</t>
        </is>
      </c>
      <c r="K182" t="inlineStr">
        <is>
          <t>REV00 CURRENT EVIDENCE BASIS — ARTICLE 5 ASSESSMENT BASIS</t>
        </is>
      </c>
      <c r="L182" t="inlineStr">
        <is>
          <t>2026-08-08</t>
        </is>
      </c>
      <c r="N182" t="n">
        <v>0</v>
      </c>
      <c r="O182" s="19" t="inlineStr">
        <is>
          <t>2</t>
        </is>
      </c>
      <c r="Q182" t="inlineStr">
        <is>
          <t>Rev.00 Word EU DoC generated — see DOCUMENT_LIBRARY.FILE_URI; signature fields blank / not legally signed</t>
        </is>
      </c>
      <c r="R182" t="inlineStr">
        <is>
          <t>2026-08-10T19:29:54Z</t>
        </is>
      </c>
      <c r="S182" t="inlineStr">
        <is>
          <t>2026-08-10T19:29:54Z</t>
        </is>
      </c>
    </row>
    <row r="183">
      <c r="A183" s="19" t="inlineStr">
        <is>
          <t>182</t>
        </is>
      </c>
      <c r="B183" s="19" t="inlineStr">
        <is>
          <t>IA-PPWR-DOC-ST-072-STD-11-R00</t>
        </is>
      </c>
      <c r="C183" t="inlineStr">
        <is>
          <t>EU DoC — ST-072-STD-11</t>
        </is>
      </c>
      <c r="D183" s="19" t="inlineStr">
        <is>
          <t>1</t>
        </is>
      </c>
      <c r="E183" s="19" t="n"/>
      <c r="F183" s="19" t="inlineStr">
        <is>
          <t>182</t>
        </is>
      </c>
      <c r="G183" s="19" t="n"/>
      <c r="H183" s="19" t="inlineStr">
        <is>
          <t>182</t>
        </is>
      </c>
      <c r="I183" s="19" t="inlineStr">
        <is>
          <t>1</t>
        </is>
      </c>
      <c r="J183" t="inlineStr">
        <is>
          <t>EU PPWR</t>
        </is>
      </c>
      <c r="K183" t="inlineStr">
        <is>
          <t>REV00 CURRENT EVIDENCE BASIS — ARTICLE 5 ASSESSMENT BASIS</t>
        </is>
      </c>
      <c r="L183" t="inlineStr">
        <is>
          <t>2026-08-08</t>
        </is>
      </c>
      <c r="N183" t="n">
        <v>0</v>
      </c>
      <c r="O183" s="19" t="inlineStr">
        <is>
          <t>2</t>
        </is>
      </c>
      <c r="Q183" t="inlineStr">
        <is>
          <t>Rev.00 Word EU DoC generated — see DOCUMENT_LIBRARY.FILE_URI; signature fields blank / not legally signed</t>
        </is>
      </c>
      <c r="R183" t="inlineStr">
        <is>
          <t>2026-08-10T19:29:54Z</t>
        </is>
      </c>
      <c r="S183" t="inlineStr">
        <is>
          <t>2026-08-10T19:29:54Z</t>
        </is>
      </c>
    </row>
    <row r="184">
      <c r="A184" s="19" t="inlineStr">
        <is>
          <t>183</t>
        </is>
      </c>
      <c r="B184" s="19" t="inlineStr">
        <is>
          <t>IA-PPWR-DOC-ST-072-STD-12-R00</t>
        </is>
      </c>
      <c r="C184" t="inlineStr">
        <is>
          <t>EU DoC — ST-072-STD-12</t>
        </is>
      </c>
      <c r="D184" s="19" t="inlineStr">
        <is>
          <t>1</t>
        </is>
      </c>
      <c r="E184" s="19" t="n"/>
      <c r="F184" s="19" t="inlineStr">
        <is>
          <t>183</t>
        </is>
      </c>
      <c r="G184" s="19" t="n"/>
      <c r="H184" s="19" t="inlineStr">
        <is>
          <t>183</t>
        </is>
      </c>
      <c r="I184" s="19" t="inlineStr">
        <is>
          <t>1</t>
        </is>
      </c>
      <c r="J184" t="inlineStr">
        <is>
          <t>EU PPWR</t>
        </is>
      </c>
      <c r="K184" t="inlineStr">
        <is>
          <t>REV00 CURRENT EVIDENCE BASIS — ARTICLE 5 ASSESSMENT BASIS</t>
        </is>
      </c>
      <c r="L184" t="inlineStr">
        <is>
          <t>2026-08-08</t>
        </is>
      </c>
      <c r="N184" t="n">
        <v>0</v>
      </c>
      <c r="O184" s="19" t="inlineStr">
        <is>
          <t>2</t>
        </is>
      </c>
      <c r="Q184" t="inlineStr">
        <is>
          <t>Rev.00 Word EU DoC generated — see DOCUMENT_LIBRARY.FILE_URI; signature fields blank / not legally signed</t>
        </is>
      </c>
      <c r="R184" t="inlineStr">
        <is>
          <t>2026-08-10T19:29:54Z</t>
        </is>
      </c>
      <c r="S184" t="inlineStr">
        <is>
          <t>2026-08-10T19:29:54Z</t>
        </is>
      </c>
    </row>
    <row r="185">
      <c r="A185" s="19" t="inlineStr">
        <is>
          <t>184</t>
        </is>
      </c>
      <c r="B185" s="19" t="inlineStr">
        <is>
          <t>IA-PPWR-DOC-ST-072-STD-13-R00</t>
        </is>
      </c>
      <c r="C185" t="inlineStr">
        <is>
          <t>EU DoC — ST-072-STD-13</t>
        </is>
      </c>
      <c r="D185" s="19" t="inlineStr">
        <is>
          <t>1</t>
        </is>
      </c>
      <c r="E185" s="19" t="n"/>
      <c r="F185" s="19" t="inlineStr">
        <is>
          <t>184</t>
        </is>
      </c>
      <c r="G185" s="19" t="n"/>
      <c r="H185" s="19" t="inlineStr">
        <is>
          <t>184</t>
        </is>
      </c>
      <c r="I185" s="19" t="inlineStr">
        <is>
          <t>1</t>
        </is>
      </c>
      <c r="J185" t="inlineStr">
        <is>
          <t>EU PPWR</t>
        </is>
      </c>
      <c r="K185" t="inlineStr">
        <is>
          <t>REV00 CURRENT EVIDENCE BASIS — ARTICLE 5 ASSESSMENT BASIS</t>
        </is>
      </c>
      <c r="L185" t="inlineStr">
        <is>
          <t>2026-08-08</t>
        </is>
      </c>
      <c r="N185" t="n">
        <v>0</v>
      </c>
      <c r="O185" s="19" t="inlineStr">
        <is>
          <t>2</t>
        </is>
      </c>
      <c r="Q185" t="inlineStr">
        <is>
          <t>Rev.00 Word EU DoC generated — see DOCUMENT_LIBRARY.FILE_URI; signature fields blank / not legally signed</t>
        </is>
      </c>
      <c r="R185" t="inlineStr">
        <is>
          <t>2026-08-10T19:29:54Z</t>
        </is>
      </c>
      <c r="S185" t="inlineStr">
        <is>
          <t>2026-08-10T19:29:54Z</t>
        </is>
      </c>
    </row>
    <row r="186">
      <c r="A186" s="19" t="inlineStr">
        <is>
          <t>185</t>
        </is>
      </c>
      <c r="B186" s="19" t="inlineStr">
        <is>
          <t>IA-PPWR-DOC-ST-072-STD-14-R00</t>
        </is>
      </c>
      <c r="C186" t="inlineStr">
        <is>
          <t>EU DoC — ST-072-STD-14</t>
        </is>
      </c>
      <c r="D186" s="19" t="inlineStr">
        <is>
          <t>1</t>
        </is>
      </c>
      <c r="E186" s="19" t="n"/>
      <c r="F186" s="19" t="inlineStr">
        <is>
          <t>185</t>
        </is>
      </c>
      <c r="G186" s="19" t="n"/>
      <c r="H186" s="19" t="inlineStr">
        <is>
          <t>185</t>
        </is>
      </c>
      <c r="I186" s="19" t="inlineStr">
        <is>
          <t>1</t>
        </is>
      </c>
      <c r="J186" t="inlineStr">
        <is>
          <t>EU PPWR</t>
        </is>
      </c>
      <c r="K186" t="inlineStr">
        <is>
          <t>REV00 CURRENT EVIDENCE BASIS — ARTICLE 5 ASSESSMENT BASIS</t>
        </is>
      </c>
      <c r="L186" t="inlineStr">
        <is>
          <t>2026-08-08</t>
        </is>
      </c>
      <c r="N186" t="n">
        <v>0</v>
      </c>
      <c r="O186" s="19" t="inlineStr">
        <is>
          <t>2</t>
        </is>
      </c>
      <c r="Q186" t="inlineStr">
        <is>
          <t>Rev.00 Word EU DoC generated — see DOCUMENT_LIBRARY.FILE_URI; signature fields blank / not legally signed</t>
        </is>
      </c>
      <c r="R186" t="inlineStr">
        <is>
          <t>2026-08-10T19:29:54Z</t>
        </is>
      </c>
      <c r="S186" t="inlineStr">
        <is>
          <t>2026-08-10T19:29:54Z</t>
        </is>
      </c>
    </row>
    <row r="187">
      <c r="A187" s="19" t="inlineStr">
        <is>
          <t>186</t>
        </is>
      </c>
      <c r="B187" s="19" t="inlineStr">
        <is>
          <t>IA-PPWR-DOC-ST-072-STD-15-R00</t>
        </is>
      </c>
      <c r="C187" t="inlineStr">
        <is>
          <t>EU DoC — ST-072-STD-15</t>
        </is>
      </c>
      <c r="D187" s="19" t="inlineStr">
        <is>
          <t>1</t>
        </is>
      </c>
      <c r="E187" s="19" t="n"/>
      <c r="F187" s="19" t="inlineStr">
        <is>
          <t>186</t>
        </is>
      </c>
      <c r="G187" s="19" t="n"/>
      <c r="H187" s="19" t="inlineStr">
        <is>
          <t>186</t>
        </is>
      </c>
      <c r="I187" s="19" t="inlineStr">
        <is>
          <t>1</t>
        </is>
      </c>
      <c r="J187" t="inlineStr">
        <is>
          <t>EU PPWR</t>
        </is>
      </c>
      <c r="K187" t="inlineStr">
        <is>
          <t>REV00 CURRENT EVIDENCE BASIS — ARTICLE 5 ASSESSMENT BASIS</t>
        </is>
      </c>
      <c r="L187" t="inlineStr">
        <is>
          <t>2026-08-08</t>
        </is>
      </c>
      <c r="N187" t="n">
        <v>0</v>
      </c>
      <c r="O187" s="19" t="inlineStr">
        <is>
          <t>2</t>
        </is>
      </c>
      <c r="Q187" t="inlineStr">
        <is>
          <t>Rev.00 Word EU DoC generated — see DOCUMENT_LIBRARY.FILE_URI; signature fields blank / not legally signed</t>
        </is>
      </c>
      <c r="R187" t="inlineStr">
        <is>
          <t>2026-08-10T19:29:54Z</t>
        </is>
      </c>
      <c r="S187" t="inlineStr">
        <is>
          <t>2026-08-10T19:29:54Z</t>
        </is>
      </c>
    </row>
    <row r="188">
      <c r="A188" s="19" t="inlineStr">
        <is>
          <t>187</t>
        </is>
      </c>
      <c r="B188" s="19" t="inlineStr">
        <is>
          <t>IA-PPWR-DOC-ST-072-STD-16-R00</t>
        </is>
      </c>
      <c r="C188" t="inlineStr">
        <is>
          <t>EU DoC — ST-072-STD-16</t>
        </is>
      </c>
      <c r="D188" s="19" t="inlineStr">
        <is>
          <t>1</t>
        </is>
      </c>
      <c r="E188" s="19" t="n"/>
      <c r="F188" s="19" t="inlineStr">
        <is>
          <t>187</t>
        </is>
      </c>
      <c r="G188" s="19" t="n"/>
      <c r="H188" s="19" t="inlineStr">
        <is>
          <t>187</t>
        </is>
      </c>
      <c r="I188" s="19" t="inlineStr">
        <is>
          <t>1</t>
        </is>
      </c>
      <c r="J188" t="inlineStr">
        <is>
          <t>EU PPWR</t>
        </is>
      </c>
      <c r="K188" t="inlineStr">
        <is>
          <t>REV00 CURRENT EVIDENCE BASIS — ARTICLE 5 ASSESSMENT BASIS</t>
        </is>
      </c>
      <c r="L188" t="inlineStr">
        <is>
          <t>2026-08-08</t>
        </is>
      </c>
      <c r="N188" t="n">
        <v>0</v>
      </c>
      <c r="O188" s="19" t="inlineStr">
        <is>
          <t>2</t>
        </is>
      </c>
      <c r="Q188" t="inlineStr">
        <is>
          <t>Rev.00 Word EU DoC generated — see DOCUMENT_LIBRARY.FILE_URI; signature fields blank / not legally signed</t>
        </is>
      </c>
      <c r="R188" t="inlineStr">
        <is>
          <t>2026-08-10T19:29:54Z</t>
        </is>
      </c>
      <c r="S188" t="inlineStr">
        <is>
          <t>2026-08-10T19:29:54Z</t>
        </is>
      </c>
    </row>
    <row r="189">
      <c r="A189" s="19" t="inlineStr">
        <is>
          <t>188</t>
        </is>
      </c>
      <c r="B189" s="19" t="inlineStr">
        <is>
          <t>IA-PPWR-DOC-ST-072-STD-17-R00</t>
        </is>
      </c>
      <c r="C189" t="inlineStr">
        <is>
          <t>EU DoC — ST-072-STD-17</t>
        </is>
      </c>
      <c r="D189" s="19" t="inlineStr">
        <is>
          <t>1</t>
        </is>
      </c>
      <c r="E189" s="19" t="n"/>
      <c r="F189" s="19" t="inlineStr">
        <is>
          <t>188</t>
        </is>
      </c>
      <c r="G189" s="19" t="n"/>
      <c r="H189" s="19" t="inlineStr">
        <is>
          <t>188</t>
        </is>
      </c>
      <c r="I189" s="19" t="inlineStr">
        <is>
          <t>1</t>
        </is>
      </c>
      <c r="J189" t="inlineStr">
        <is>
          <t>EU PPWR</t>
        </is>
      </c>
      <c r="K189" t="inlineStr">
        <is>
          <t>REV00 CURRENT EVIDENCE BASIS — ARTICLE 5 ASSESSMENT BASIS</t>
        </is>
      </c>
      <c r="L189" t="inlineStr">
        <is>
          <t>2026-08-08</t>
        </is>
      </c>
      <c r="N189" t="n">
        <v>0</v>
      </c>
      <c r="O189" s="19" t="inlineStr">
        <is>
          <t>2</t>
        </is>
      </c>
      <c r="Q189" t="inlineStr">
        <is>
          <t>Rev.00 Word EU DoC generated — see DOCUMENT_LIBRARY.FILE_URI; signature fields blank / not legally signed</t>
        </is>
      </c>
      <c r="R189" t="inlineStr">
        <is>
          <t>2026-08-10T19:29:54Z</t>
        </is>
      </c>
      <c r="S189" t="inlineStr">
        <is>
          <t>2026-08-10T19:29:54Z</t>
        </is>
      </c>
    </row>
    <row r="190">
      <c r="A190" s="19" t="inlineStr">
        <is>
          <t>189</t>
        </is>
      </c>
      <c r="B190" s="19" t="inlineStr">
        <is>
          <t>IA-PPWR-DOC-ST-072-STD-18-R00</t>
        </is>
      </c>
      <c r="C190" t="inlineStr">
        <is>
          <t>EU DoC — ST-072-STD-18</t>
        </is>
      </c>
      <c r="D190" s="19" t="inlineStr">
        <is>
          <t>1</t>
        </is>
      </c>
      <c r="E190" s="19" t="n"/>
      <c r="F190" s="19" t="inlineStr">
        <is>
          <t>189</t>
        </is>
      </c>
      <c r="G190" s="19" t="n"/>
      <c r="H190" s="19" t="inlineStr">
        <is>
          <t>189</t>
        </is>
      </c>
      <c r="I190" s="19" t="inlineStr">
        <is>
          <t>1</t>
        </is>
      </c>
      <c r="J190" t="inlineStr">
        <is>
          <t>EU PPWR</t>
        </is>
      </c>
      <c r="K190" t="inlineStr">
        <is>
          <t>REV00 CURRENT EVIDENCE BASIS — ARTICLE 5 ASSESSMENT BASIS</t>
        </is>
      </c>
      <c r="L190" t="inlineStr">
        <is>
          <t>2026-08-08</t>
        </is>
      </c>
      <c r="N190" t="n">
        <v>0</v>
      </c>
      <c r="O190" s="19" t="inlineStr">
        <is>
          <t>2</t>
        </is>
      </c>
      <c r="Q190" t="inlineStr">
        <is>
          <t>Rev.00 Word EU DoC generated — see DOCUMENT_LIBRARY.FILE_URI; signature fields blank / not legally signed</t>
        </is>
      </c>
      <c r="R190" t="inlineStr">
        <is>
          <t>2026-08-10T19:29:54Z</t>
        </is>
      </c>
      <c r="S190" t="inlineStr">
        <is>
          <t>2026-08-10T19:29:54Z</t>
        </is>
      </c>
    </row>
    <row r="191">
      <c r="A191" s="19" t="inlineStr">
        <is>
          <t>190</t>
        </is>
      </c>
      <c r="B191" s="19" t="inlineStr">
        <is>
          <t>IA-PPWR-DOC-ST-072-STD-19-R00</t>
        </is>
      </c>
      <c r="C191" t="inlineStr">
        <is>
          <t>EU DoC — ST-072-STD-19</t>
        </is>
      </c>
      <c r="D191" s="19" t="inlineStr">
        <is>
          <t>1</t>
        </is>
      </c>
      <c r="E191" s="19" t="n"/>
      <c r="F191" s="19" t="inlineStr">
        <is>
          <t>190</t>
        </is>
      </c>
      <c r="G191" s="19" t="n"/>
      <c r="H191" s="19" t="inlineStr">
        <is>
          <t>190</t>
        </is>
      </c>
      <c r="I191" s="19" t="inlineStr">
        <is>
          <t>1</t>
        </is>
      </c>
      <c r="J191" t="inlineStr">
        <is>
          <t>EU PPWR</t>
        </is>
      </c>
      <c r="K191" t="inlineStr">
        <is>
          <t>REV00 CURRENT EVIDENCE BASIS — ARTICLE 5 ASSESSMENT BASIS</t>
        </is>
      </c>
      <c r="L191" t="inlineStr">
        <is>
          <t>2026-08-08</t>
        </is>
      </c>
      <c r="N191" t="n">
        <v>0</v>
      </c>
      <c r="O191" s="19" t="inlineStr">
        <is>
          <t>2</t>
        </is>
      </c>
      <c r="Q191" t="inlineStr">
        <is>
          <t>Rev.00 Word EU DoC generated — see DOCUMENT_LIBRARY.FILE_URI; signature fields blank / not legally signed</t>
        </is>
      </c>
      <c r="R191" t="inlineStr">
        <is>
          <t>2026-08-10T19:29:54Z</t>
        </is>
      </c>
      <c r="S191" t="inlineStr">
        <is>
          <t>2026-08-10T19:29:54Z</t>
        </is>
      </c>
    </row>
    <row r="192">
      <c r="A192" s="19" t="inlineStr">
        <is>
          <t>191</t>
        </is>
      </c>
      <c r="B192" s="19" t="inlineStr">
        <is>
          <t>IA-PPWR-DOC-ST-072-STD-20-R00</t>
        </is>
      </c>
      <c r="C192" t="inlineStr">
        <is>
          <t>EU DoC — ST-072-STD-20</t>
        </is>
      </c>
      <c r="D192" s="19" t="inlineStr">
        <is>
          <t>1</t>
        </is>
      </c>
      <c r="E192" s="19" t="n"/>
      <c r="F192" s="19" t="inlineStr">
        <is>
          <t>191</t>
        </is>
      </c>
      <c r="G192" s="19" t="n"/>
      <c r="H192" s="19" t="inlineStr">
        <is>
          <t>191</t>
        </is>
      </c>
      <c r="I192" s="19" t="inlineStr">
        <is>
          <t>1</t>
        </is>
      </c>
      <c r="J192" t="inlineStr">
        <is>
          <t>EU PPWR</t>
        </is>
      </c>
      <c r="K192" t="inlineStr">
        <is>
          <t>REV00 CURRENT EVIDENCE BASIS — ARTICLE 5 ASSESSMENT BASIS</t>
        </is>
      </c>
      <c r="L192" t="inlineStr">
        <is>
          <t>2026-08-08</t>
        </is>
      </c>
      <c r="N192" t="n">
        <v>0</v>
      </c>
      <c r="O192" s="19" t="inlineStr">
        <is>
          <t>2</t>
        </is>
      </c>
      <c r="Q192" t="inlineStr">
        <is>
          <t>Rev.00 Word EU DoC generated — see DOCUMENT_LIBRARY.FILE_URI; signature fields blank / not legally signed</t>
        </is>
      </c>
      <c r="R192" t="inlineStr">
        <is>
          <t>2026-08-10T19:29:54Z</t>
        </is>
      </c>
      <c r="S192" t="inlineStr">
        <is>
          <t>2026-08-10T19:29:54Z</t>
        </is>
      </c>
    </row>
    <row r="193">
      <c r="A193" s="19" t="inlineStr">
        <is>
          <t>192</t>
        </is>
      </c>
      <c r="B193" s="19" t="inlineStr">
        <is>
          <t>IA-PPWR-DOC-ST-072-STD-21-R00</t>
        </is>
      </c>
      <c r="C193" t="inlineStr">
        <is>
          <t>EU DoC — ST-072-STD-21</t>
        </is>
      </c>
      <c r="D193" s="19" t="inlineStr">
        <is>
          <t>1</t>
        </is>
      </c>
      <c r="E193" s="19" t="n"/>
      <c r="F193" s="19" t="inlineStr">
        <is>
          <t>192</t>
        </is>
      </c>
      <c r="G193" s="19" t="n"/>
      <c r="H193" s="19" t="inlineStr">
        <is>
          <t>192</t>
        </is>
      </c>
      <c r="I193" s="19" t="inlineStr">
        <is>
          <t>1</t>
        </is>
      </c>
      <c r="J193" t="inlineStr">
        <is>
          <t>EU PPWR</t>
        </is>
      </c>
      <c r="K193" t="inlineStr">
        <is>
          <t>REV00 CURRENT EVIDENCE BASIS — ARTICLE 5 ASSESSMENT BASIS</t>
        </is>
      </c>
      <c r="L193" t="inlineStr">
        <is>
          <t>2026-08-08</t>
        </is>
      </c>
      <c r="N193" t="n">
        <v>0</v>
      </c>
      <c r="O193" s="19" t="inlineStr">
        <is>
          <t>2</t>
        </is>
      </c>
      <c r="Q193" t="inlineStr">
        <is>
          <t>Rev.00 Word EU DoC generated — see DOCUMENT_LIBRARY.FILE_URI; signature fields blank / not legally signed</t>
        </is>
      </c>
      <c r="R193" t="inlineStr">
        <is>
          <t>2026-08-10T19:29:54Z</t>
        </is>
      </c>
      <c r="S193" t="inlineStr">
        <is>
          <t>2026-08-10T19:29:54Z</t>
        </is>
      </c>
    </row>
    <row r="194">
      <c r="A194" s="19" t="inlineStr">
        <is>
          <t>193</t>
        </is>
      </c>
      <c r="B194" s="19" t="inlineStr">
        <is>
          <t>IA-PPWR-DOC-ST-072-STD-22-R00</t>
        </is>
      </c>
      <c r="C194" t="inlineStr">
        <is>
          <t>EU DoC — ST-072-STD-22</t>
        </is>
      </c>
      <c r="D194" s="19" t="inlineStr">
        <is>
          <t>1</t>
        </is>
      </c>
      <c r="E194" s="19" t="n"/>
      <c r="F194" s="19" t="inlineStr">
        <is>
          <t>193</t>
        </is>
      </c>
      <c r="G194" s="19" t="n"/>
      <c r="H194" s="19" t="inlineStr">
        <is>
          <t>193</t>
        </is>
      </c>
      <c r="I194" s="19" t="inlineStr">
        <is>
          <t>1</t>
        </is>
      </c>
      <c r="J194" t="inlineStr">
        <is>
          <t>EU PPWR</t>
        </is>
      </c>
      <c r="K194" t="inlineStr">
        <is>
          <t>REV00 CURRENT EVIDENCE BASIS — ARTICLE 5 ASSESSMENT BASIS</t>
        </is>
      </c>
      <c r="L194" t="inlineStr">
        <is>
          <t>2026-08-08</t>
        </is>
      </c>
      <c r="N194" t="n">
        <v>0</v>
      </c>
      <c r="O194" s="19" t="inlineStr">
        <is>
          <t>2</t>
        </is>
      </c>
      <c r="Q194" t="inlineStr">
        <is>
          <t>Rev.00 Word EU DoC generated — see DOCUMENT_LIBRARY.FILE_URI; signature fields blank / not legally signed</t>
        </is>
      </c>
      <c r="R194" t="inlineStr">
        <is>
          <t>2026-08-10T19:29:54Z</t>
        </is>
      </c>
      <c r="S194" t="inlineStr">
        <is>
          <t>2026-08-10T19:29:54Z</t>
        </is>
      </c>
    </row>
    <row r="195">
      <c r="A195" s="19" t="inlineStr">
        <is>
          <t>194</t>
        </is>
      </c>
      <c r="B195" s="19" t="inlineStr">
        <is>
          <t>IA-PPWR-DOC-ST-072-STD-23-R00</t>
        </is>
      </c>
      <c r="C195" t="inlineStr">
        <is>
          <t>EU DoC — ST-072-STD-23</t>
        </is>
      </c>
      <c r="D195" s="19" t="inlineStr">
        <is>
          <t>1</t>
        </is>
      </c>
      <c r="E195" s="19" t="n"/>
      <c r="F195" s="19" t="inlineStr">
        <is>
          <t>194</t>
        </is>
      </c>
      <c r="G195" s="19" t="n"/>
      <c r="H195" s="19" t="inlineStr">
        <is>
          <t>194</t>
        </is>
      </c>
      <c r="I195" s="19" t="inlineStr">
        <is>
          <t>1</t>
        </is>
      </c>
      <c r="J195" t="inlineStr">
        <is>
          <t>EU PPWR</t>
        </is>
      </c>
      <c r="K195" t="inlineStr">
        <is>
          <t>REV00 CURRENT EVIDENCE BASIS — ARTICLE 5 ASSESSMENT BASIS</t>
        </is>
      </c>
      <c r="L195" t="inlineStr">
        <is>
          <t>2026-08-08</t>
        </is>
      </c>
      <c r="N195" t="n">
        <v>0</v>
      </c>
      <c r="O195" s="19" t="inlineStr">
        <is>
          <t>2</t>
        </is>
      </c>
      <c r="Q195" t="inlineStr">
        <is>
          <t>Rev.00 Word EU DoC generated — see DOCUMENT_LIBRARY.FILE_URI; signature fields blank / not legally signed</t>
        </is>
      </c>
      <c r="R195" t="inlineStr">
        <is>
          <t>2026-08-10T19:29:54Z</t>
        </is>
      </c>
      <c r="S195" t="inlineStr">
        <is>
          <t>2026-08-10T19:29:54Z</t>
        </is>
      </c>
    </row>
    <row r="196">
      <c r="A196" s="19" t="inlineStr">
        <is>
          <t>195</t>
        </is>
      </c>
      <c r="B196" s="19" t="inlineStr">
        <is>
          <t>IA-PPWR-DOC-ST-072-STD-24-R00</t>
        </is>
      </c>
      <c r="C196" t="inlineStr">
        <is>
          <t>EU DoC — ST-072-STD-24</t>
        </is>
      </c>
      <c r="D196" s="19" t="inlineStr">
        <is>
          <t>1</t>
        </is>
      </c>
      <c r="E196" s="19" t="n"/>
      <c r="F196" s="19" t="inlineStr">
        <is>
          <t>195</t>
        </is>
      </c>
      <c r="G196" s="19" t="n"/>
      <c r="H196" s="19" t="inlineStr">
        <is>
          <t>195</t>
        </is>
      </c>
      <c r="I196" s="19" t="inlineStr">
        <is>
          <t>1</t>
        </is>
      </c>
      <c r="J196" t="inlineStr">
        <is>
          <t>EU PPWR</t>
        </is>
      </c>
      <c r="K196" t="inlineStr">
        <is>
          <t>REV00 CURRENT EVIDENCE BASIS — ARTICLE 5 ASSESSMENT BASIS</t>
        </is>
      </c>
      <c r="L196" t="inlineStr">
        <is>
          <t>2026-08-08</t>
        </is>
      </c>
      <c r="N196" t="n">
        <v>0</v>
      </c>
      <c r="O196" s="19" t="inlineStr">
        <is>
          <t>2</t>
        </is>
      </c>
      <c r="Q196" t="inlineStr">
        <is>
          <t>Rev.00 Word EU DoC generated — see DOCUMENT_LIBRARY.FILE_URI; signature fields blank / not legally signed</t>
        </is>
      </c>
      <c r="R196" t="inlineStr">
        <is>
          <t>2026-08-10T19:29:54Z</t>
        </is>
      </c>
      <c r="S196" t="inlineStr">
        <is>
          <t>2026-08-10T19:29:54Z</t>
        </is>
      </c>
    </row>
    <row r="197">
      <c r="A197" s="19" t="inlineStr">
        <is>
          <t>196</t>
        </is>
      </c>
      <c r="B197" s="19" t="inlineStr">
        <is>
          <t>IA-PPWR-DOC-ST-072-STD-25-R00</t>
        </is>
      </c>
      <c r="C197" t="inlineStr">
        <is>
          <t>EU DoC — ST-072-STD-25</t>
        </is>
      </c>
      <c r="D197" s="19" t="inlineStr">
        <is>
          <t>1</t>
        </is>
      </c>
      <c r="E197" s="19" t="n"/>
      <c r="F197" s="19" t="inlineStr">
        <is>
          <t>196</t>
        </is>
      </c>
      <c r="G197" s="19" t="n"/>
      <c r="H197" s="19" t="inlineStr">
        <is>
          <t>196</t>
        </is>
      </c>
      <c r="I197" s="19" t="inlineStr">
        <is>
          <t>1</t>
        </is>
      </c>
      <c r="J197" t="inlineStr">
        <is>
          <t>EU PPWR</t>
        </is>
      </c>
      <c r="K197" t="inlineStr">
        <is>
          <t>REV00 CURRENT EVIDENCE BASIS — ARTICLE 5 ASSESSMENT BASIS</t>
        </is>
      </c>
      <c r="L197" t="inlineStr">
        <is>
          <t>2026-08-08</t>
        </is>
      </c>
      <c r="N197" t="n">
        <v>0</v>
      </c>
      <c r="O197" s="19" t="inlineStr">
        <is>
          <t>2</t>
        </is>
      </c>
      <c r="Q197" t="inlineStr">
        <is>
          <t>Rev.00 Word EU DoC generated — see DOCUMENT_LIBRARY.FILE_URI; signature fields blank / not legally signed</t>
        </is>
      </c>
      <c r="R197" t="inlineStr">
        <is>
          <t>2026-08-10T19:29:54Z</t>
        </is>
      </c>
      <c r="S197" t="inlineStr">
        <is>
          <t>2026-08-10T19:29:54Z</t>
        </is>
      </c>
    </row>
    <row r="198">
      <c r="A198" s="19" t="inlineStr">
        <is>
          <t>197</t>
        </is>
      </c>
      <c r="B198" s="19" t="inlineStr">
        <is>
          <t>IA-PPWR-DOC-ST-076-EUR-01-R00</t>
        </is>
      </c>
      <c r="C198" t="inlineStr">
        <is>
          <t>EU DoC — ST-076-EUR-01</t>
        </is>
      </c>
      <c r="D198" s="19" t="inlineStr">
        <is>
          <t>1</t>
        </is>
      </c>
      <c r="E198" s="19" t="n"/>
      <c r="F198" s="19" t="inlineStr">
        <is>
          <t>197</t>
        </is>
      </c>
      <c r="G198" s="19" t="n"/>
      <c r="H198" s="19" t="inlineStr">
        <is>
          <t>197</t>
        </is>
      </c>
      <c r="I198" s="19" t="inlineStr">
        <is>
          <t>1</t>
        </is>
      </c>
      <c r="J198" t="inlineStr">
        <is>
          <t>EU PPWR</t>
        </is>
      </c>
      <c r="K198" t="inlineStr">
        <is>
          <t>REV00 CURRENT EVIDENCE BASIS — ARTICLE 5 ASSESSMENT BASIS</t>
        </is>
      </c>
      <c r="L198" t="inlineStr">
        <is>
          <t>2026-08-08</t>
        </is>
      </c>
      <c r="N198" t="n">
        <v>0</v>
      </c>
      <c r="O198" s="19" t="inlineStr">
        <is>
          <t>2</t>
        </is>
      </c>
      <c r="Q198" t="inlineStr">
        <is>
          <t>Rev.00 Word EU DoC generated — see DOCUMENT_LIBRARY.FILE_URI; signature fields blank / not legally signed</t>
        </is>
      </c>
      <c r="R198" t="inlineStr">
        <is>
          <t>2026-08-10T19:29:54Z</t>
        </is>
      </c>
      <c r="S198" t="inlineStr">
        <is>
          <t>2026-08-10T19:29:54Z</t>
        </is>
      </c>
    </row>
    <row r="199">
      <c r="A199" s="19" t="inlineStr">
        <is>
          <t>198</t>
        </is>
      </c>
      <c r="B199" s="19" t="inlineStr">
        <is>
          <t>IA-PPWR-DOC-ST-076-EUR-02-R00</t>
        </is>
      </c>
      <c r="C199" t="inlineStr">
        <is>
          <t>EU DoC — ST-076-EUR-02</t>
        </is>
      </c>
      <c r="D199" s="19" t="inlineStr">
        <is>
          <t>1</t>
        </is>
      </c>
      <c r="E199" s="19" t="n"/>
      <c r="F199" s="19" t="inlineStr">
        <is>
          <t>198</t>
        </is>
      </c>
      <c r="G199" s="19" t="n"/>
      <c r="H199" s="19" t="inlineStr">
        <is>
          <t>198</t>
        </is>
      </c>
      <c r="I199" s="19" t="inlineStr">
        <is>
          <t>1</t>
        </is>
      </c>
      <c r="J199" t="inlineStr">
        <is>
          <t>EU PPWR</t>
        </is>
      </c>
      <c r="K199" t="inlineStr">
        <is>
          <t>REV00 CURRENT EVIDENCE BASIS — ARTICLE 5 ASSESSMENT BASIS</t>
        </is>
      </c>
      <c r="L199" t="inlineStr">
        <is>
          <t>2026-08-08</t>
        </is>
      </c>
      <c r="N199" t="n">
        <v>0</v>
      </c>
      <c r="O199" s="19" t="inlineStr">
        <is>
          <t>2</t>
        </is>
      </c>
      <c r="Q199" t="inlineStr">
        <is>
          <t>Rev.00 Word EU DoC generated — see DOCUMENT_LIBRARY.FILE_URI; signature fields blank / not legally signed</t>
        </is>
      </c>
      <c r="R199" t="inlineStr">
        <is>
          <t>2026-08-10T19:29:54Z</t>
        </is>
      </c>
      <c r="S199" t="inlineStr">
        <is>
          <t>2026-08-10T19:29:54Z</t>
        </is>
      </c>
    </row>
    <row r="200">
      <c r="A200" s="19" t="inlineStr">
        <is>
          <t>199</t>
        </is>
      </c>
      <c r="B200" s="19" t="inlineStr">
        <is>
          <t>IA-PPWR-DOC-ST-076-EUR-03-R00</t>
        </is>
      </c>
      <c r="C200" t="inlineStr">
        <is>
          <t>EU DoC — ST-076-EUR-03</t>
        </is>
      </c>
      <c r="D200" s="19" t="inlineStr">
        <is>
          <t>1</t>
        </is>
      </c>
      <c r="E200" s="19" t="n"/>
      <c r="F200" s="19" t="inlineStr">
        <is>
          <t>199</t>
        </is>
      </c>
      <c r="G200" s="19" t="n"/>
      <c r="H200" s="19" t="inlineStr">
        <is>
          <t>199</t>
        </is>
      </c>
      <c r="I200" s="19" t="inlineStr">
        <is>
          <t>1</t>
        </is>
      </c>
      <c r="J200" t="inlineStr">
        <is>
          <t>EU PPWR</t>
        </is>
      </c>
      <c r="K200" t="inlineStr">
        <is>
          <t>REV00 CURRENT EVIDENCE BASIS — ARTICLE 5 ASSESSMENT BASIS</t>
        </is>
      </c>
      <c r="L200" t="inlineStr">
        <is>
          <t>2026-08-08</t>
        </is>
      </c>
      <c r="N200" t="n">
        <v>0</v>
      </c>
      <c r="O200" s="19" t="inlineStr">
        <is>
          <t>2</t>
        </is>
      </c>
      <c r="Q200" t="inlineStr">
        <is>
          <t>Rev.00 Word EU DoC generated — see DOCUMENT_LIBRARY.FILE_URI; signature fields blank / not legally signed</t>
        </is>
      </c>
      <c r="R200" t="inlineStr">
        <is>
          <t>2026-08-10T19:29:54Z</t>
        </is>
      </c>
      <c r="S200" t="inlineStr">
        <is>
          <t>2026-08-10T19:29:54Z</t>
        </is>
      </c>
    </row>
    <row r="201">
      <c r="A201" s="19" t="inlineStr">
        <is>
          <t>200</t>
        </is>
      </c>
      <c r="B201" s="19" t="inlineStr">
        <is>
          <t>IA-PPWR-DOC-ST-076-EUR-04-R00</t>
        </is>
      </c>
      <c r="C201" t="inlineStr">
        <is>
          <t>EU DoC — ST-076-EUR-04</t>
        </is>
      </c>
      <c r="D201" s="19" t="inlineStr">
        <is>
          <t>1</t>
        </is>
      </c>
      <c r="E201" s="19" t="n"/>
      <c r="F201" s="19" t="inlineStr">
        <is>
          <t>200</t>
        </is>
      </c>
      <c r="G201" s="19" t="n"/>
      <c r="H201" s="19" t="inlineStr">
        <is>
          <t>200</t>
        </is>
      </c>
      <c r="I201" s="19" t="inlineStr">
        <is>
          <t>1</t>
        </is>
      </c>
      <c r="J201" t="inlineStr">
        <is>
          <t>EU PPWR</t>
        </is>
      </c>
      <c r="K201" t="inlineStr">
        <is>
          <t>REV00 CURRENT EVIDENCE BASIS — ARTICLE 5 ASSESSMENT BASIS</t>
        </is>
      </c>
      <c r="L201" t="inlineStr">
        <is>
          <t>2026-08-08</t>
        </is>
      </c>
      <c r="N201" t="n">
        <v>0</v>
      </c>
      <c r="O201" s="19" t="inlineStr">
        <is>
          <t>2</t>
        </is>
      </c>
      <c r="Q201" t="inlineStr">
        <is>
          <t>Rev.00 Word EU DoC generated — see DOCUMENT_LIBRARY.FILE_URI; signature fields blank / not legally signed</t>
        </is>
      </c>
      <c r="R201" t="inlineStr">
        <is>
          <t>2026-08-10T19:29:54Z</t>
        </is>
      </c>
      <c r="S201" t="inlineStr">
        <is>
          <t>2026-08-10T19:29:54Z</t>
        </is>
      </c>
    </row>
    <row r="202">
      <c r="A202" s="19" t="inlineStr">
        <is>
          <t>201</t>
        </is>
      </c>
      <c r="B202" s="19" t="inlineStr">
        <is>
          <t>IA-PPWR-DOC-ST-080-EUR-01-R00</t>
        </is>
      </c>
      <c r="C202" t="inlineStr">
        <is>
          <t>EU DoC — ST-080-EUR-01</t>
        </is>
      </c>
      <c r="D202" s="19" t="inlineStr">
        <is>
          <t>1</t>
        </is>
      </c>
      <c r="E202" s="19" t="n"/>
      <c r="F202" s="19" t="inlineStr">
        <is>
          <t>201</t>
        </is>
      </c>
      <c r="G202" s="19" t="n"/>
      <c r="H202" s="19" t="inlineStr">
        <is>
          <t>201</t>
        </is>
      </c>
      <c r="I202" s="19" t="inlineStr">
        <is>
          <t>1</t>
        </is>
      </c>
      <c r="J202" t="inlineStr">
        <is>
          <t>EU PPWR</t>
        </is>
      </c>
      <c r="K202" t="inlineStr">
        <is>
          <t>REV00 CURRENT EVIDENCE BASIS — ARTICLE 5 ASSESSMENT BASIS</t>
        </is>
      </c>
      <c r="L202" t="inlineStr">
        <is>
          <t>2026-08-08</t>
        </is>
      </c>
      <c r="N202" t="n">
        <v>0</v>
      </c>
      <c r="O202" s="19" t="inlineStr">
        <is>
          <t>2</t>
        </is>
      </c>
      <c r="Q202" t="inlineStr">
        <is>
          <t>Rev.00 Word EU DoC generated — see DOCUMENT_LIBRARY.FILE_URI; signature fields blank / not legally signed</t>
        </is>
      </c>
      <c r="R202" t="inlineStr">
        <is>
          <t>2026-08-10T19:29:54Z</t>
        </is>
      </c>
      <c r="S202" t="inlineStr">
        <is>
          <t>2026-08-10T19:29:54Z</t>
        </is>
      </c>
    </row>
    <row r="203">
      <c r="A203" s="19" t="inlineStr">
        <is>
          <t>202</t>
        </is>
      </c>
      <c r="B203" s="19" t="inlineStr">
        <is>
          <t>IA-PPWR-DOC-ST-081-EUR-01-R00</t>
        </is>
      </c>
      <c r="C203" t="inlineStr">
        <is>
          <t>EU DoC — ST-081-EUR-01</t>
        </is>
      </c>
      <c r="D203" s="19" t="inlineStr">
        <is>
          <t>1</t>
        </is>
      </c>
      <c r="E203" s="19" t="n"/>
      <c r="F203" s="19" t="inlineStr">
        <is>
          <t>202</t>
        </is>
      </c>
      <c r="G203" s="19" t="n"/>
      <c r="H203" s="19" t="inlineStr">
        <is>
          <t>202</t>
        </is>
      </c>
      <c r="I203" s="19" t="inlineStr">
        <is>
          <t>1</t>
        </is>
      </c>
      <c r="J203" t="inlineStr">
        <is>
          <t>EU PPWR</t>
        </is>
      </c>
      <c r="K203" t="inlineStr">
        <is>
          <t>REV00 CURRENT EVIDENCE BASIS — ARTICLE 5 ASSESSMENT BASIS</t>
        </is>
      </c>
      <c r="L203" t="inlineStr">
        <is>
          <t>2026-08-08</t>
        </is>
      </c>
      <c r="N203" t="n">
        <v>0</v>
      </c>
      <c r="O203" s="19" t="inlineStr">
        <is>
          <t>2</t>
        </is>
      </c>
      <c r="Q203" t="inlineStr">
        <is>
          <t>Rev.00 Word EU DoC generated — see DOCUMENT_LIBRARY.FILE_URI; signature fields blank / not legally signed</t>
        </is>
      </c>
      <c r="R203" t="inlineStr">
        <is>
          <t>2026-08-10T19:29:54Z</t>
        </is>
      </c>
      <c r="S203" t="inlineStr">
        <is>
          <t>2026-08-10T19:29:54Z</t>
        </is>
      </c>
    </row>
    <row r="204">
      <c r="A204" s="19" t="inlineStr">
        <is>
          <t>203</t>
        </is>
      </c>
      <c r="B204" s="19" t="inlineStr">
        <is>
          <t>IA-PPWR-DOC-ST-087-EUR-01-R00</t>
        </is>
      </c>
      <c r="C204" t="inlineStr">
        <is>
          <t>EU DoC — ST-087-EUR-01</t>
        </is>
      </c>
      <c r="D204" s="19" t="inlineStr">
        <is>
          <t>1</t>
        </is>
      </c>
      <c r="E204" s="19" t="n"/>
      <c r="F204" s="19" t="inlineStr">
        <is>
          <t>203</t>
        </is>
      </c>
      <c r="G204" s="19" t="n"/>
      <c r="H204" s="19" t="inlineStr">
        <is>
          <t>203</t>
        </is>
      </c>
      <c r="I204" s="19" t="inlineStr">
        <is>
          <t>1</t>
        </is>
      </c>
      <c r="J204" t="inlineStr">
        <is>
          <t>EU PPWR</t>
        </is>
      </c>
      <c r="K204" t="inlineStr">
        <is>
          <t>REV00 CURRENT EVIDENCE BASIS — ARTICLE 5 ASSESSMENT BASIS</t>
        </is>
      </c>
      <c r="L204" t="inlineStr">
        <is>
          <t>2026-08-08</t>
        </is>
      </c>
      <c r="N204" t="n">
        <v>0</v>
      </c>
      <c r="O204" s="19" t="inlineStr">
        <is>
          <t>2</t>
        </is>
      </c>
      <c r="Q204" t="inlineStr">
        <is>
          <t>Rev.00 Word EU DoC generated — see DOCUMENT_LIBRARY.FILE_URI; signature fields blank / not legally signed</t>
        </is>
      </c>
      <c r="R204" t="inlineStr">
        <is>
          <t>2026-08-10T19:29:54Z</t>
        </is>
      </c>
      <c r="S204" t="inlineStr">
        <is>
          <t>2026-08-10T19:29:54Z</t>
        </is>
      </c>
    </row>
    <row r="205">
      <c r="A205" s="19" t="inlineStr">
        <is>
          <t>204</t>
        </is>
      </c>
      <c r="B205" s="19" t="inlineStr">
        <is>
          <t>IA-PPWR-DOC-ST-087-STD-01-R00</t>
        </is>
      </c>
      <c r="C205" t="inlineStr">
        <is>
          <t>EU DoC — ST-087-STD-01</t>
        </is>
      </c>
      <c r="D205" s="19" t="inlineStr">
        <is>
          <t>1</t>
        </is>
      </c>
      <c r="E205" s="19" t="n"/>
      <c r="F205" s="19" t="inlineStr">
        <is>
          <t>204</t>
        </is>
      </c>
      <c r="G205" s="19" t="n"/>
      <c r="H205" s="19" t="inlineStr">
        <is>
          <t>204</t>
        </is>
      </c>
      <c r="I205" s="19" t="inlineStr">
        <is>
          <t>1</t>
        </is>
      </c>
      <c r="J205" t="inlineStr">
        <is>
          <t>EU PPWR</t>
        </is>
      </c>
      <c r="K205" t="inlineStr">
        <is>
          <t>REV00 CURRENT EVIDENCE BASIS — ARTICLE 5 ASSESSMENT BASIS</t>
        </is>
      </c>
      <c r="L205" t="inlineStr">
        <is>
          <t>2026-08-08</t>
        </is>
      </c>
      <c r="N205" t="n">
        <v>0</v>
      </c>
      <c r="O205" s="19" t="inlineStr">
        <is>
          <t>2</t>
        </is>
      </c>
      <c r="Q205" t="inlineStr">
        <is>
          <t>Rev.00 Word EU DoC generated — see DOCUMENT_LIBRARY.FILE_URI; signature fields blank / not legally signed</t>
        </is>
      </c>
      <c r="R205" t="inlineStr">
        <is>
          <t>2026-08-10T19:29:54Z</t>
        </is>
      </c>
      <c r="S205" t="inlineStr">
        <is>
          <t>2026-08-10T19:29:54Z</t>
        </is>
      </c>
    </row>
    <row r="206">
      <c r="A206" s="19" t="inlineStr">
        <is>
          <t>205</t>
        </is>
      </c>
      <c r="B206" s="19" t="inlineStr">
        <is>
          <t>IA-PPWR-DOC-ST-087-STD-02-R00</t>
        </is>
      </c>
      <c r="C206" t="inlineStr">
        <is>
          <t>EU DoC — ST-087-STD-02</t>
        </is>
      </c>
      <c r="D206" s="19" t="inlineStr">
        <is>
          <t>1</t>
        </is>
      </c>
      <c r="E206" s="19" t="n"/>
      <c r="F206" s="19" t="inlineStr">
        <is>
          <t>205</t>
        </is>
      </c>
      <c r="G206" s="19" t="n"/>
      <c r="H206" s="19" t="inlineStr">
        <is>
          <t>205</t>
        </is>
      </c>
      <c r="I206" s="19" t="inlineStr">
        <is>
          <t>1</t>
        </is>
      </c>
      <c r="J206" t="inlineStr">
        <is>
          <t>EU PPWR</t>
        </is>
      </c>
      <c r="K206" t="inlineStr">
        <is>
          <t>REV00 CURRENT EVIDENCE BASIS — ARTICLE 5 ASSESSMENT BASIS</t>
        </is>
      </c>
      <c r="L206" t="inlineStr">
        <is>
          <t>2026-08-08</t>
        </is>
      </c>
      <c r="N206" t="n">
        <v>0</v>
      </c>
      <c r="O206" s="19" t="inlineStr">
        <is>
          <t>2</t>
        </is>
      </c>
      <c r="Q206" t="inlineStr">
        <is>
          <t>Rev.00 Word EU DoC generated — see DOCUMENT_LIBRARY.FILE_URI; signature fields blank / not legally signed</t>
        </is>
      </c>
      <c r="R206" t="inlineStr">
        <is>
          <t>2026-08-10T19:29:54Z</t>
        </is>
      </c>
      <c r="S206" t="inlineStr">
        <is>
          <t>2026-08-10T19:29:54Z</t>
        </is>
      </c>
    </row>
    <row r="207">
      <c r="A207" s="19" t="inlineStr">
        <is>
          <t>206</t>
        </is>
      </c>
      <c r="B207" s="19" t="inlineStr">
        <is>
          <t>IA-PPWR-DOC-ST-087-STD-03-R00</t>
        </is>
      </c>
      <c r="C207" t="inlineStr">
        <is>
          <t>EU DoC — ST-087-STD-03</t>
        </is>
      </c>
      <c r="D207" s="19" t="inlineStr">
        <is>
          <t>1</t>
        </is>
      </c>
      <c r="E207" s="19" t="n"/>
      <c r="F207" s="19" t="inlineStr">
        <is>
          <t>206</t>
        </is>
      </c>
      <c r="G207" s="19" t="n"/>
      <c r="H207" s="19" t="inlineStr">
        <is>
          <t>206</t>
        </is>
      </c>
      <c r="I207" s="19" t="inlineStr">
        <is>
          <t>1</t>
        </is>
      </c>
      <c r="J207" t="inlineStr">
        <is>
          <t>EU PPWR</t>
        </is>
      </c>
      <c r="K207" t="inlineStr">
        <is>
          <t>REV00 CURRENT EVIDENCE BASIS — ARTICLE 5 ASSESSMENT BASIS</t>
        </is>
      </c>
      <c r="L207" t="inlineStr">
        <is>
          <t>2026-08-08</t>
        </is>
      </c>
      <c r="N207" t="n">
        <v>0</v>
      </c>
      <c r="O207" s="19" t="inlineStr">
        <is>
          <t>2</t>
        </is>
      </c>
      <c r="Q207" t="inlineStr">
        <is>
          <t>Rev.00 Word EU DoC generated — see DOCUMENT_LIBRARY.FILE_URI; signature fields blank / not legally signed</t>
        </is>
      </c>
      <c r="R207" t="inlineStr">
        <is>
          <t>2026-08-10T19:29:54Z</t>
        </is>
      </c>
      <c r="S207" t="inlineStr">
        <is>
          <t>2026-08-10T19:29:54Z</t>
        </is>
      </c>
    </row>
    <row r="208">
      <c r="A208" s="19" t="inlineStr">
        <is>
          <t>207</t>
        </is>
      </c>
      <c r="B208" s="19" t="inlineStr">
        <is>
          <t>IA-PPWR-DOC-ST-087-STD-04-R00</t>
        </is>
      </c>
      <c r="C208" t="inlineStr">
        <is>
          <t>EU DoC — ST-087-STD-04</t>
        </is>
      </c>
      <c r="D208" s="19" t="inlineStr">
        <is>
          <t>1</t>
        </is>
      </c>
      <c r="E208" s="19" t="n"/>
      <c r="F208" s="19" t="inlineStr">
        <is>
          <t>207</t>
        </is>
      </c>
      <c r="G208" s="19" t="n"/>
      <c r="H208" s="19" t="inlineStr">
        <is>
          <t>207</t>
        </is>
      </c>
      <c r="I208" s="19" t="inlineStr">
        <is>
          <t>1</t>
        </is>
      </c>
      <c r="J208" t="inlineStr">
        <is>
          <t>EU PPWR</t>
        </is>
      </c>
      <c r="K208" t="inlineStr">
        <is>
          <t>REV00 CURRENT EVIDENCE BASIS — ARTICLE 5 ASSESSMENT BASIS</t>
        </is>
      </c>
      <c r="L208" t="inlineStr">
        <is>
          <t>2026-08-08</t>
        </is>
      </c>
      <c r="N208" t="n">
        <v>0</v>
      </c>
      <c r="O208" s="19" t="inlineStr">
        <is>
          <t>2</t>
        </is>
      </c>
      <c r="Q208" t="inlineStr">
        <is>
          <t>Rev.00 Word EU DoC generated — see DOCUMENT_LIBRARY.FILE_URI; signature fields blank / not legally signed</t>
        </is>
      </c>
      <c r="R208" t="inlineStr">
        <is>
          <t>2026-08-10T19:29:54Z</t>
        </is>
      </c>
      <c r="S208" t="inlineStr">
        <is>
          <t>2026-08-10T19:29:54Z</t>
        </is>
      </c>
    </row>
    <row r="209">
      <c r="A209" s="19" t="inlineStr">
        <is>
          <t>208</t>
        </is>
      </c>
      <c r="B209" s="19" t="inlineStr">
        <is>
          <t>IA-PPWR-DOC-ST-087-STD-05-R00</t>
        </is>
      </c>
      <c r="C209" t="inlineStr">
        <is>
          <t>EU DoC — ST-087-STD-05</t>
        </is>
      </c>
      <c r="D209" s="19" t="inlineStr">
        <is>
          <t>1</t>
        </is>
      </c>
      <c r="E209" s="19" t="n"/>
      <c r="F209" s="19" t="inlineStr">
        <is>
          <t>208</t>
        </is>
      </c>
      <c r="G209" s="19" t="n"/>
      <c r="H209" s="19" t="inlineStr">
        <is>
          <t>208</t>
        </is>
      </c>
      <c r="I209" s="19" t="inlineStr">
        <is>
          <t>1</t>
        </is>
      </c>
      <c r="J209" t="inlineStr">
        <is>
          <t>EU PPWR</t>
        </is>
      </c>
      <c r="K209" t="inlineStr">
        <is>
          <t>REV00 CURRENT EVIDENCE BASIS — ARTICLE 5 ASSESSMENT BASIS</t>
        </is>
      </c>
      <c r="L209" t="inlineStr">
        <is>
          <t>2026-08-08</t>
        </is>
      </c>
      <c r="N209" t="n">
        <v>0</v>
      </c>
      <c r="O209" s="19" t="inlineStr">
        <is>
          <t>2</t>
        </is>
      </c>
      <c r="Q209" t="inlineStr">
        <is>
          <t>Rev.00 Word EU DoC generated — see DOCUMENT_LIBRARY.FILE_URI; signature fields blank / not legally signed</t>
        </is>
      </c>
      <c r="R209" t="inlineStr">
        <is>
          <t>2026-08-10T19:29:54Z</t>
        </is>
      </c>
      <c r="S209" t="inlineStr">
        <is>
          <t>2026-08-10T19:29:54Z</t>
        </is>
      </c>
    </row>
    <row r="210">
      <c r="A210" s="19" t="inlineStr">
        <is>
          <t>209</t>
        </is>
      </c>
      <c r="B210" s="19" t="inlineStr">
        <is>
          <t>IA-PPWR-DOC-ST-087-STD-06-R00</t>
        </is>
      </c>
      <c r="C210" t="inlineStr">
        <is>
          <t>EU DoC — ST-087-STD-06</t>
        </is>
      </c>
      <c r="D210" s="19" t="inlineStr">
        <is>
          <t>1</t>
        </is>
      </c>
      <c r="E210" s="19" t="n"/>
      <c r="F210" s="19" t="inlineStr">
        <is>
          <t>209</t>
        </is>
      </c>
      <c r="G210" s="19" t="n"/>
      <c r="H210" s="19" t="inlineStr">
        <is>
          <t>209</t>
        </is>
      </c>
      <c r="I210" s="19" t="inlineStr">
        <is>
          <t>1</t>
        </is>
      </c>
      <c r="J210" t="inlineStr">
        <is>
          <t>EU PPWR</t>
        </is>
      </c>
      <c r="K210" t="inlineStr">
        <is>
          <t>REV00 CURRENT EVIDENCE BASIS — ARTICLE 5 ASSESSMENT BASIS</t>
        </is>
      </c>
      <c r="L210" t="inlineStr">
        <is>
          <t>2026-08-08</t>
        </is>
      </c>
      <c r="N210" t="n">
        <v>0</v>
      </c>
      <c r="O210" s="19" t="inlineStr">
        <is>
          <t>2</t>
        </is>
      </c>
      <c r="Q210" t="inlineStr">
        <is>
          <t>Rev.00 Word EU DoC generated — see DOCUMENT_LIBRARY.FILE_URI; signature fields blank / not legally signed</t>
        </is>
      </c>
      <c r="R210" t="inlineStr">
        <is>
          <t>2026-08-10T19:29:54Z</t>
        </is>
      </c>
      <c r="S210" t="inlineStr">
        <is>
          <t>2026-08-10T19:29:54Z</t>
        </is>
      </c>
    </row>
    <row r="211">
      <c r="A211" s="19" t="inlineStr">
        <is>
          <t>210</t>
        </is>
      </c>
      <c r="B211" s="19" t="inlineStr">
        <is>
          <t>IA-PPWR-DOC-ST-087-STD-07-R00</t>
        </is>
      </c>
      <c r="C211" t="inlineStr">
        <is>
          <t>EU DoC — ST-087-STD-07</t>
        </is>
      </c>
      <c r="D211" s="19" t="inlineStr">
        <is>
          <t>1</t>
        </is>
      </c>
      <c r="E211" s="19" t="n"/>
      <c r="F211" s="19" t="inlineStr">
        <is>
          <t>210</t>
        </is>
      </c>
      <c r="G211" s="19" t="n"/>
      <c r="H211" s="19" t="inlineStr">
        <is>
          <t>210</t>
        </is>
      </c>
      <c r="I211" s="19" t="inlineStr">
        <is>
          <t>1</t>
        </is>
      </c>
      <c r="J211" t="inlineStr">
        <is>
          <t>EU PPWR</t>
        </is>
      </c>
      <c r="K211" t="inlineStr">
        <is>
          <t>REV00 CURRENT EVIDENCE BASIS — ARTICLE 5 ASSESSMENT BASIS</t>
        </is>
      </c>
      <c r="L211" t="inlineStr">
        <is>
          <t>2026-08-08</t>
        </is>
      </c>
      <c r="N211" t="n">
        <v>0</v>
      </c>
      <c r="O211" s="19" t="inlineStr">
        <is>
          <t>2</t>
        </is>
      </c>
      <c r="Q211" t="inlineStr">
        <is>
          <t>Rev.00 Word EU DoC generated — see DOCUMENT_LIBRARY.FILE_URI; signature fields blank / not legally signed</t>
        </is>
      </c>
      <c r="R211" t="inlineStr">
        <is>
          <t>2026-08-10T19:29:54Z</t>
        </is>
      </c>
      <c r="S211" t="inlineStr">
        <is>
          <t>2026-08-10T19:29:54Z</t>
        </is>
      </c>
    </row>
    <row r="212">
      <c r="A212" s="19" t="inlineStr">
        <is>
          <t>211</t>
        </is>
      </c>
      <c r="B212" s="19" t="inlineStr">
        <is>
          <t>IA-PPWR-DOC-ST-088-STD-01-R00</t>
        </is>
      </c>
      <c r="C212" t="inlineStr">
        <is>
          <t>EU DoC — ST-088-STD-01</t>
        </is>
      </c>
      <c r="D212" s="19" t="inlineStr">
        <is>
          <t>1</t>
        </is>
      </c>
      <c r="E212" s="19" t="n"/>
      <c r="F212" s="19" t="inlineStr">
        <is>
          <t>211</t>
        </is>
      </c>
      <c r="G212" s="19" t="n"/>
      <c r="H212" s="19" t="inlineStr">
        <is>
          <t>211</t>
        </is>
      </c>
      <c r="I212" s="19" t="inlineStr">
        <is>
          <t>1</t>
        </is>
      </c>
      <c r="J212" t="inlineStr">
        <is>
          <t>EU PPWR</t>
        </is>
      </c>
      <c r="K212" t="inlineStr">
        <is>
          <t>REV00 CURRENT EVIDENCE BASIS — ARTICLE 5 ASSESSMENT BASIS</t>
        </is>
      </c>
      <c r="L212" t="inlineStr">
        <is>
          <t>2026-08-08</t>
        </is>
      </c>
      <c r="N212" t="n">
        <v>0</v>
      </c>
      <c r="O212" s="19" t="inlineStr">
        <is>
          <t>2</t>
        </is>
      </c>
      <c r="Q212" t="inlineStr">
        <is>
          <t>Rev.00 Word EU DoC generated — see DOCUMENT_LIBRARY.FILE_URI; signature fields blank / not legally signed</t>
        </is>
      </c>
      <c r="R212" t="inlineStr">
        <is>
          <t>2026-08-10T19:29:54Z</t>
        </is>
      </c>
      <c r="S212" t="inlineStr">
        <is>
          <t>2026-08-10T19:29:54Z</t>
        </is>
      </c>
    </row>
    <row r="213">
      <c r="A213" s="19" t="inlineStr">
        <is>
          <t>212</t>
        </is>
      </c>
      <c r="B213" s="19" t="inlineStr">
        <is>
          <t>IA-PPWR-DOC-ST-088-STD-02-R00</t>
        </is>
      </c>
      <c r="C213" t="inlineStr">
        <is>
          <t>EU DoC — ST-088-STD-02</t>
        </is>
      </c>
      <c r="D213" s="19" t="inlineStr">
        <is>
          <t>1</t>
        </is>
      </c>
      <c r="E213" s="19" t="n"/>
      <c r="F213" s="19" t="inlineStr">
        <is>
          <t>212</t>
        </is>
      </c>
      <c r="G213" s="19" t="n"/>
      <c r="H213" s="19" t="inlineStr">
        <is>
          <t>212</t>
        </is>
      </c>
      <c r="I213" s="19" t="inlineStr">
        <is>
          <t>1</t>
        </is>
      </c>
      <c r="J213" t="inlineStr">
        <is>
          <t>EU PPWR</t>
        </is>
      </c>
      <c r="K213" t="inlineStr">
        <is>
          <t>REV00 CURRENT EVIDENCE BASIS — ARTICLE 5 ASSESSMENT BASIS</t>
        </is>
      </c>
      <c r="L213" t="inlineStr">
        <is>
          <t>2026-08-08</t>
        </is>
      </c>
      <c r="N213" t="n">
        <v>0</v>
      </c>
      <c r="O213" s="19" t="inlineStr">
        <is>
          <t>2</t>
        </is>
      </c>
      <c r="Q213" t="inlineStr">
        <is>
          <t>Rev.00 Word EU DoC generated — see DOCUMENT_LIBRARY.FILE_URI; signature fields blank / not legally signed</t>
        </is>
      </c>
      <c r="R213" t="inlineStr">
        <is>
          <t>2026-08-10T19:29:54Z</t>
        </is>
      </c>
      <c r="S213" t="inlineStr">
        <is>
          <t>2026-08-10T19:29:54Z</t>
        </is>
      </c>
    </row>
    <row r="214">
      <c r="A214" s="19" t="inlineStr">
        <is>
          <t>213</t>
        </is>
      </c>
      <c r="B214" s="19" t="inlineStr">
        <is>
          <t>IA-PPWR-DOC-ST-088-STD-03-R00</t>
        </is>
      </c>
      <c r="C214" t="inlineStr">
        <is>
          <t>EU DoC — ST-088-STD-03</t>
        </is>
      </c>
      <c r="D214" s="19" t="inlineStr">
        <is>
          <t>1</t>
        </is>
      </c>
      <c r="E214" s="19" t="n"/>
      <c r="F214" s="19" t="inlineStr">
        <is>
          <t>213</t>
        </is>
      </c>
      <c r="G214" s="19" t="n"/>
      <c r="H214" s="19" t="inlineStr">
        <is>
          <t>213</t>
        </is>
      </c>
      <c r="I214" s="19" t="inlineStr">
        <is>
          <t>1</t>
        </is>
      </c>
      <c r="J214" t="inlineStr">
        <is>
          <t>EU PPWR</t>
        </is>
      </c>
      <c r="K214" t="inlineStr">
        <is>
          <t>REV00 CURRENT EVIDENCE BASIS — ARTICLE 5 ASSESSMENT BASIS</t>
        </is>
      </c>
      <c r="L214" t="inlineStr">
        <is>
          <t>2026-08-08</t>
        </is>
      </c>
      <c r="N214" t="n">
        <v>0</v>
      </c>
      <c r="O214" s="19" t="inlineStr">
        <is>
          <t>2</t>
        </is>
      </c>
      <c r="Q214" t="inlineStr">
        <is>
          <t>Rev.00 Word EU DoC generated — see DOCUMENT_LIBRARY.FILE_URI; signature fields blank / not legally signed</t>
        </is>
      </c>
      <c r="R214" t="inlineStr">
        <is>
          <t>2026-08-10T19:29:54Z</t>
        </is>
      </c>
      <c r="S214" t="inlineStr">
        <is>
          <t>2026-08-10T19:29:54Z</t>
        </is>
      </c>
    </row>
    <row r="215">
      <c r="A215" s="19" t="inlineStr">
        <is>
          <t>214</t>
        </is>
      </c>
      <c r="B215" s="19" t="inlineStr">
        <is>
          <t>IA-PPWR-DOC-ST-088-STD-04-R00</t>
        </is>
      </c>
      <c r="C215" t="inlineStr">
        <is>
          <t>EU DoC — ST-088-STD-04</t>
        </is>
      </c>
      <c r="D215" s="19" t="inlineStr">
        <is>
          <t>1</t>
        </is>
      </c>
      <c r="E215" s="19" t="n"/>
      <c r="F215" s="19" t="inlineStr">
        <is>
          <t>214</t>
        </is>
      </c>
      <c r="G215" s="19" t="n"/>
      <c r="H215" s="19" t="inlineStr">
        <is>
          <t>214</t>
        </is>
      </c>
      <c r="I215" s="19" t="inlineStr">
        <is>
          <t>1</t>
        </is>
      </c>
      <c r="J215" t="inlineStr">
        <is>
          <t>EU PPWR</t>
        </is>
      </c>
      <c r="K215" t="inlineStr">
        <is>
          <t>REV00 CURRENT EVIDENCE BASIS — ARTICLE 5 ASSESSMENT BASIS</t>
        </is>
      </c>
      <c r="L215" t="inlineStr">
        <is>
          <t>2026-08-08</t>
        </is>
      </c>
      <c r="N215" t="n">
        <v>0</v>
      </c>
      <c r="O215" s="19" t="inlineStr">
        <is>
          <t>2</t>
        </is>
      </c>
      <c r="Q215" t="inlineStr">
        <is>
          <t>Rev.00 Word EU DoC generated — see DOCUMENT_LIBRARY.FILE_URI; signature fields blank / not legally signed</t>
        </is>
      </c>
      <c r="R215" t="inlineStr">
        <is>
          <t>2026-08-10T19:29:54Z</t>
        </is>
      </c>
      <c r="S215" t="inlineStr">
        <is>
          <t>2026-08-10T19:29:54Z</t>
        </is>
      </c>
    </row>
    <row r="216">
      <c r="A216" s="19" t="inlineStr">
        <is>
          <t>215</t>
        </is>
      </c>
      <c r="B216" s="19" t="inlineStr">
        <is>
          <t>IA-PPWR-DOC-ST-088-STD-05-R00</t>
        </is>
      </c>
      <c r="C216" t="inlineStr">
        <is>
          <t>EU DoC — ST-088-STD-05</t>
        </is>
      </c>
      <c r="D216" s="19" t="inlineStr">
        <is>
          <t>1</t>
        </is>
      </c>
      <c r="E216" s="19" t="n"/>
      <c r="F216" s="19" t="inlineStr">
        <is>
          <t>215</t>
        </is>
      </c>
      <c r="G216" s="19" t="n"/>
      <c r="H216" s="19" t="inlineStr">
        <is>
          <t>215</t>
        </is>
      </c>
      <c r="I216" s="19" t="inlineStr">
        <is>
          <t>1</t>
        </is>
      </c>
      <c r="J216" t="inlineStr">
        <is>
          <t>EU PPWR</t>
        </is>
      </c>
      <c r="K216" t="inlineStr">
        <is>
          <t>REV00 CURRENT EVIDENCE BASIS — ARTICLE 5 ASSESSMENT BASIS</t>
        </is>
      </c>
      <c r="L216" t="inlineStr">
        <is>
          <t>2026-08-08</t>
        </is>
      </c>
      <c r="N216" t="n">
        <v>0</v>
      </c>
      <c r="O216" s="19" t="inlineStr">
        <is>
          <t>2</t>
        </is>
      </c>
      <c r="Q216" t="inlineStr">
        <is>
          <t>Rev.00 Word EU DoC generated — see DOCUMENT_LIBRARY.FILE_URI; signature fields blank / not legally signed</t>
        </is>
      </c>
      <c r="R216" t="inlineStr">
        <is>
          <t>2026-08-10T19:29:54Z</t>
        </is>
      </c>
      <c r="S216" t="inlineStr">
        <is>
          <t>2026-08-10T19:29:54Z</t>
        </is>
      </c>
    </row>
    <row r="217">
      <c r="A217" s="19" t="inlineStr">
        <is>
          <t>216</t>
        </is>
      </c>
      <c r="B217" s="19" t="inlineStr">
        <is>
          <t>IA-PPWR-DOC-ST-088-STD-06-R00</t>
        </is>
      </c>
      <c r="C217" t="inlineStr">
        <is>
          <t>EU DoC — ST-088-STD-06</t>
        </is>
      </c>
      <c r="D217" s="19" t="inlineStr">
        <is>
          <t>1</t>
        </is>
      </c>
      <c r="E217" s="19" t="n"/>
      <c r="F217" s="19" t="inlineStr">
        <is>
          <t>216</t>
        </is>
      </c>
      <c r="G217" s="19" t="n"/>
      <c r="H217" s="19" t="inlineStr">
        <is>
          <t>216</t>
        </is>
      </c>
      <c r="I217" s="19" t="inlineStr">
        <is>
          <t>1</t>
        </is>
      </c>
      <c r="J217" t="inlineStr">
        <is>
          <t>EU PPWR</t>
        </is>
      </c>
      <c r="K217" t="inlineStr">
        <is>
          <t>REV00 CURRENT EVIDENCE BASIS — ARTICLE 5 ASSESSMENT BASIS</t>
        </is>
      </c>
      <c r="L217" t="inlineStr">
        <is>
          <t>2026-08-08</t>
        </is>
      </c>
      <c r="N217" t="n">
        <v>0</v>
      </c>
      <c r="O217" s="19" t="inlineStr">
        <is>
          <t>2</t>
        </is>
      </c>
      <c r="Q217" t="inlineStr">
        <is>
          <t>Rev.00 Word EU DoC generated — see DOCUMENT_LIBRARY.FILE_URI; signature fields blank / not legally signed</t>
        </is>
      </c>
      <c r="R217" t="inlineStr">
        <is>
          <t>2026-08-10T19:29:54Z</t>
        </is>
      </c>
      <c r="S217" t="inlineStr">
        <is>
          <t>2026-08-10T19:29:54Z</t>
        </is>
      </c>
    </row>
    <row r="218">
      <c r="A218" s="19" t="inlineStr">
        <is>
          <t>217</t>
        </is>
      </c>
      <c r="B218" s="19" t="inlineStr">
        <is>
          <t>IA-PPWR-DOC-ST-088-STD-07-R00</t>
        </is>
      </c>
      <c r="C218" t="inlineStr">
        <is>
          <t>EU DoC — ST-088-STD-07</t>
        </is>
      </c>
      <c r="D218" s="19" t="inlineStr">
        <is>
          <t>1</t>
        </is>
      </c>
      <c r="E218" s="19" t="n"/>
      <c r="F218" s="19" t="inlineStr">
        <is>
          <t>217</t>
        </is>
      </c>
      <c r="G218" s="19" t="n"/>
      <c r="H218" s="19" t="inlineStr">
        <is>
          <t>217</t>
        </is>
      </c>
      <c r="I218" s="19" t="inlineStr">
        <is>
          <t>1</t>
        </is>
      </c>
      <c r="J218" t="inlineStr">
        <is>
          <t>EU PPWR</t>
        </is>
      </c>
      <c r="K218" t="inlineStr">
        <is>
          <t>REV00 CURRENT EVIDENCE BASIS — ARTICLE 5 ASSESSMENT BASIS</t>
        </is>
      </c>
      <c r="L218" t="inlineStr">
        <is>
          <t>2026-08-08</t>
        </is>
      </c>
      <c r="N218" t="n">
        <v>0</v>
      </c>
      <c r="O218" s="19" t="inlineStr">
        <is>
          <t>2</t>
        </is>
      </c>
      <c r="Q218" t="inlineStr">
        <is>
          <t>Rev.00 Word EU DoC generated — see DOCUMENT_LIBRARY.FILE_URI; signature fields blank / not legally signed</t>
        </is>
      </c>
      <c r="R218" t="inlineStr">
        <is>
          <t>2026-08-10T19:29:54Z</t>
        </is>
      </c>
      <c r="S218" t="inlineStr">
        <is>
          <t>2026-08-10T19:29:54Z</t>
        </is>
      </c>
    </row>
    <row r="219">
      <c r="A219" s="19" t="inlineStr">
        <is>
          <t>218</t>
        </is>
      </c>
      <c r="B219" s="19" t="inlineStr">
        <is>
          <t>IA-PPWR-DOC-ST-088-STD-08-R00</t>
        </is>
      </c>
      <c r="C219" t="inlineStr">
        <is>
          <t>EU DoC — ST-088-STD-08</t>
        </is>
      </c>
      <c r="D219" s="19" t="inlineStr">
        <is>
          <t>1</t>
        </is>
      </c>
      <c r="E219" s="19" t="n"/>
      <c r="F219" s="19" t="inlineStr">
        <is>
          <t>218</t>
        </is>
      </c>
      <c r="G219" s="19" t="n"/>
      <c r="H219" s="19" t="inlineStr">
        <is>
          <t>218</t>
        </is>
      </c>
      <c r="I219" s="19" t="inlineStr">
        <is>
          <t>1</t>
        </is>
      </c>
      <c r="J219" t="inlineStr">
        <is>
          <t>EU PPWR</t>
        </is>
      </c>
      <c r="K219" t="inlineStr">
        <is>
          <t>REV00 CURRENT EVIDENCE BASIS — ARTICLE 5 ASSESSMENT BASIS</t>
        </is>
      </c>
      <c r="L219" t="inlineStr">
        <is>
          <t>2026-08-08</t>
        </is>
      </c>
      <c r="N219" t="n">
        <v>0</v>
      </c>
      <c r="O219" s="19" t="inlineStr">
        <is>
          <t>2</t>
        </is>
      </c>
      <c r="Q219" t="inlineStr">
        <is>
          <t>Rev.00 Word EU DoC generated — see DOCUMENT_LIBRARY.FILE_URI; signature fields blank / not legally signed</t>
        </is>
      </c>
      <c r="R219" t="inlineStr">
        <is>
          <t>2026-08-10T19:29:54Z</t>
        </is>
      </c>
      <c r="S219" t="inlineStr">
        <is>
          <t>2026-08-10T19:29:54Z</t>
        </is>
      </c>
    </row>
    <row r="220">
      <c r="A220" s="19" t="inlineStr">
        <is>
          <t>219</t>
        </is>
      </c>
      <c r="B220" s="19" t="inlineStr">
        <is>
          <t>IA-PPWR-DOC-ST-090-STD-01-R00</t>
        </is>
      </c>
      <c r="C220" t="inlineStr">
        <is>
          <t>EU DoC — ST-090-STD-01</t>
        </is>
      </c>
      <c r="D220" s="19" t="inlineStr">
        <is>
          <t>1</t>
        </is>
      </c>
      <c r="E220" s="19" t="n"/>
      <c r="F220" s="19" t="inlineStr">
        <is>
          <t>219</t>
        </is>
      </c>
      <c r="G220" s="19" t="n"/>
      <c r="H220" s="19" t="inlineStr">
        <is>
          <t>219</t>
        </is>
      </c>
      <c r="I220" s="19" t="inlineStr">
        <is>
          <t>1</t>
        </is>
      </c>
      <c r="J220" t="inlineStr">
        <is>
          <t>EU PPWR</t>
        </is>
      </c>
      <c r="K220" t="inlineStr">
        <is>
          <t>REV00 CURRENT EVIDENCE BASIS — ARTICLE 5 ASSESSMENT BASIS</t>
        </is>
      </c>
      <c r="L220" t="inlineStr">
        <is>
          <t>2026-08-08</t>
        </is>
      </c>
      <c r="N220" t="n">
        <v>0</v>
      </c>
      <c r="O220" s="19" t="inlineStr">
        <is>
          <t>2</t>
        </is>
      </c>
      <c r="Q220" t="inlineStr">
        <is>
          <t>Rev.00 Word EU DoC generated — see DOCUMENT_LIBRARY.FILE_URI; signature fields blank / not legally signed</t>
        </is>
      </c>
      <c r="R220" t="inlineStr">
        <is>
          <t>2026-08-10T19:29:54Z</t>
        </is>
      </c>
      <c r="S220" t="inlineStr">
        <is>
          <t>2026-08-10T19:29:54Z</t>
        </is>
      </c>
    </row>
    <row r="221">
      <c r="A221" s="19" t="inlineStr">
        <is>
          <t>220</t>
        </is>
      </c>
      <c r="B221" s="19" t="inlineStr">
        <is>
          <t>IA-PPWR-DOC-ST-090-STD-02-R00</t>
        </is>
      </c>
      <c r="C221" t="inlineStr">
        <is>
          <t>EU DoC — ST-090-STD-02</t>
        </is>
      </c>
      <c r="D221" s="19" t="inlineStr">
        <is>
          <t>1</t>
        </is>
      </c>
      <c r="E221" s="19" t="n"/>
      <c r="F221" s="19" t="inlineStr">
        <is>
          <t>220</t>
        </is>
      </c>
      <c r="G221" s="19" t="n"/>
      <c r="H221" s="19" t="inlineStr">
        <is>
          <t>220</t>
        </is>
      </c>
      <c r="I221" s="19" t="inlineStr">
        <is>
          <t>1</t>
        </is>
      </c>
      <c r="J221" t="inlineStr">
        <is>
          <t>EU PPWR</t>
        </is>
      </c>
      <c r="K221" t="inlineStr">
        <is>
          <t>REV00 CURRENT EVIDENCE BASIS — ARTICLE 5 ASSESSMENT BASIS</t>
        </is>
      </c>
      <c r="L221" t="inlineStr">
        <is>
          <t>2026-08-08</t>
        </is>
      </c>
      <c r="N221" t="n">
        <v>0</v>
      </c>
      <c r="O221" s="19" t="inlineStr">
        <is>
          <t>2</t>
        </is>
      </c>
      <c r="Q221" t="inlineStr">
        <is>
          <t>Rev.00 Word EU DoC generated — see DOCUMENT_LIBRARY.FILE_URI; signature fields blank / not legally signed</t>
        </is>
      </c>
      <c r="R221" t="inlineStr">
        <is>
          <t>2026-08-10T19:29:54Z</t>
        </is>
      </c>
      <c r="S221" t="inlineStr">
        <is>
          <t>2026-08-10T19:29:54Z</t>
        </is>
      </c>
    </row>
    <row r="222">
      <c r="A222" s="19" t="inlineStr">
        <is>
          <t>221</t>
        </is>
      </c>
      <c r="B222" s="19" t="inlineStr">
        <is>
          <t>IA-PPWR-DOC-ST-096-EUR-01-R00</t>
        </is>
      </c>
      <c r="C222" t="inlineStr">
        <is>
          <t>EU DoC — ST-096-EUR-01</t>
        </is>
      </c>
      <c r="D222" s="19" t="inlineStr">
        <is>
          <t>1</t>
        </is>
      </c>
      <c r="E222" s="19" t="n"/>
      <c r="F222" s="19" t="inlineStr">
        <is>
          <t>221</t>
        </is>
      </c>
      <c r="G222" s="19" t="n"/>
      <c r="H222" s="19" t="inlineStr">
        <is>
          <t>221</t>
        </is>
      </c>
      <c r="I222" s="19" t="inlineStr">
        <is>
          <t>1</t>
        </is>
      </c>
      <c r="J222" t="inlineStr">
        <is>
          <t>EU PPWR</t>
        </is>
      </c>
      <c r="K222" t="inlineStr">
        <is>
          <t>REV00 CURRENT EVIDENCE BASIS — ARTICLE 5 ASSESSMENT BASIS</t>
        </is>
      </c>
      <c r="L222" t="inlineStr">
        <is>
          <t>2026-08-08</t>
        </is>
      </c>
      <c r="N222" t="n">
        <v>0</v>
      </c>
      <c r="O222" s="19" t="inlineStr">
        <is>
          <t>2</t>
        </is>
      </c>
      <c r="Q222" t="inlineStr">
        <is>
          <t>Rev.00 Word EU DoC generated — see DOCUMENT_LIBRARY.FILE_URI; signature fields blank / not legally signed</t>
        </is>
      </c>
      <c r="R222" t="inlineStr">
        <is>
          <t>2026-08-10T19:29:54Z</t>
        </is>
      </c>
      <c r="S222" t="inlineStr">
        <is>
          <t>2026-08-10T19:29:54Z</t>
        </is>
      </c>
    </row>
    <row r="223">
      <c r="A223" s="19" t="inlineStr">
        <is>
          <t>222</t>
        </is>
      </c>
      <c r="B223" s="19" t="inlineStr">
        <is>
          <t>IA-PPWR-DOC-ST-096-EUR-02-R00</t>
        </is>
      </c>
      <c r="C223" t="inlineStr">
        <is>
          <t>EU DoC — ST-096-EUR-02</t>
        </is>
      </c>
      <c r="D223" s="19" t="inlineStr">
        <is>
          <t>1</t>
        </is>
      </c>
      <c r="E223" s="19" t="n"/>
      <c r="F223" s="19" t="inlineStr">
        <is>
          <t>222</t>
        </is>
      </c>
      <c r="G223" s="19" t="n"/>
      <c r="H223" s="19" t="inlineStr">
        <is>
          <t>222</t>
        </is>
      </c>
      <c r="I223" s="19" t="inlineStr">
        <is>
          <t>1</t>
        </is>
      </c>
      <c r="J223" t="inlineStr">
        <is>
          <t>EU PPWR</t>
        </is>
      </c>
      <c r="K223" t="inlineStr">
        <is>
          <t>REV00 CURRENT EVIDENCE BASIS — ARTICLE 5 ASSESSMENT BASIS</t>
        </is>
      </c>
      <c r="L223" t="inlineStr">
        <is>
          <t>2026-08-08</t>
        </is>
      </c>
      <c r="N223" t="n">
        <v>0</v>
      </c>
      <c r="O223" s="19" t="inlineStr">
        <is>
          <t>2</t>
        </is>
      </c>
      <c r="Q223" t="inlineStr">
        <is>
          <t>Rev.00 Word EU DoC generated — see DOCUMENT_LIBRARY.FILE_URI; signature fields blank / not legally signed</t>
        </is>
      </c>
      <c r="R223" t="inlineStr">
        <is>
          <t>2026-08-10T19:29:54Z</t>
        </is>
      </c>
      <c r="S223" t="inlineStr">
        <is>
          <t>2026-08-10T19:29:54Z</t>
        </is>
      </c>
    </row>
    <row r="224">
      <c r="A224" s="19" t="inlineStr">
        <is>
          <t>223</t>
        </is>
      </c>
      <c r="B224" s="19" t="inlineStr">
        <is>
          <t>IA-PPWR-DOC-ST-096-EUR-03-R00</t>
        </is>
      </c>
      <c r="C224" t="inlineStr">
        <is>
          <t>EU DoC — ST-096-EUR-03</t>
        </is>
      </c>
      <c r="D224" s="19" t="inlineStr">
        <is>
          <t>1</t>
        </is>
      </c>
      <c r="E224" s="19" t="n"/>
      <c r="F224" s="19" t="inlineStr">
        <is>
          <t>223</t>
        </is>
      </c>
      <c r="G224" s="19" t="n"/>
      <c r="H224" s="19" t="inlineStr">
        <is>
          <t>223</t>
        </is>
      </c>
      <c r="I224" s="19" t="inlineStr">
        <is>
          <t>1</t>
        </is>
      </c>
      <c r="J224" t="inlineStr">
        <is>
          <t>EU PPWR</t>
        </is>
      </c>
      <c r="K224" t="inlineStr">
        <is>
          <t>REV00 CURRENT EVIDENCE BASIS — ARTICLE 5 ASSESSMENT BASIS</t>
        </is>
      </c>
      <c r="L224" t="inlineStr">
        <is>
          <t>2026-08-08</t>
        </is>
      </c>
      <c r="N224" t="n">
        <v>0</v>
      </c>
      <c r="O224" s="19" t="inlineStr">
        <is>
          <t>2</t>
        </is>
      </c>
      <c r="Q224" t="inlineStr">
        <is>
          <t>Rev.00 Word EU DoC generated — see DOCUMENT_LIBRARY.FILE_URI; signature fields blank / not legally signed</t>
        </is>
      </c>
      <c r="R224" t="inlineStr">
        <is>
          <t>2026-08-10T19:29:54Z</t>
        </is>
      </c>
      <c r="S224" t="inlineStr">
        <is>
          <t>2026-08-10T19:29:54Z</t>
        </is>
      </c>
    </row>
    <row r="225">
      <c r="A225" s="19" t="inlineStr">
        <is>
          <t>224</t>
        </is>
      </c>
      <c r="B225" s="19" t="inlineStr">
        <is>
          <t>IA-PPWR-DOC-ST-096-EUR-04-R00</t>
        </is>
      </c>
      <c r="C225" t="inlineStr">
        <is>
          <t>EU DoC — ST-096-EUR-04</t>
        </is>
      </c>
      <c r="D225" s="19" t="inlineStr">
        <is>
          <t>1</t>
        </is>
      </c>
      <c r="E225" s="19" t="n"/>
      <c r="F225" s="19" t="inlineStr">
        <is>
          <t>224</t>
        </is>
      </c>
      <c r="G225" s="19" t="n"/>
      <c r="H225" s="19" t="inlineStr">
        <is>
          <t>224</t>
        </is>
      </c>
      <c r="I225" s="19" t="inlineStr">
        <is>
          <t>1</t>
        </is>
      </c>
      <c r="J225" t="inlineStr">
        <is>
          <t>EU PPWR</t>
        </is>
      </c>
      <c r="K225" t="inlineStr">
        <is>
          <t>REV00 CURRENT EVIDENCE BASIS — ARTICLE 5 ASSESSMENT BASIS</t>
        </is>
      </c>
      <c r="L225" t="inlineStr">
        <is>
          <t>2026-08-08</t>
        </is>
      </c>
      <c r="N225" t="n">
        <v>0</v>
      </c>
      <c r="O225" s="19" t="inlineStr">
        <is>
          <t>2</t>
        </is>
      </c>
      <c r="Q225" t="inlineStr">
        <is>
          <t>Rev.00 Word EU DoC generated — see DOCUMENT_LIBRARY.FILE_URI; signature fields blank / not legally signed</t>
        </is>
      </c>
      <c r="R225" t="inlineStr">
        <is>
          <t>2026-08-10T19:29:54Z</t>
        </is>
      </c>
      <c r="S225" t="inlineStr">
        <is>
          <t>2026-08-10T19:29:54Z</t>
        </is>
      </c>
    </row>
    <row r="226">
      <c r="A226" s="19" t="inlineStr">
        <is>
          <t>225</t>
        </is>
      </c>
      <c r="B226" s="19" t="inlineStr">
        <is>
          <t>IA-PPWR-DOC-ST-096-EUR-05-R00</t>
        </is>
      </c>
      <c r="C226" t="inlineStr">
        <is>
          <t>EU DoC — ST-096-EUR-05</t>
        </is>
      </c>
      <c r="D226" s="19" t="inlineStr">
        <is>
          <t>1</t>
        </is>
      </c>
      <c r="E226" s="19" t="n"/>
      <c r="F226" s="19" t="inlineStr">
        <is>
          <t>225</t>
        </is>
      </c>
      <c r="G226" s="19" t="n"/>
      <c r="H226" s="19" t="inlineStr">
        <is>
          <t>225</t>
        </is>
      </c>
      <c r="I226" s="19" t="inlineStr">
        <is>
          <t>1</t>
        </is>
      </c>
      <c r="J226" t="inlineStr">
        <is>
          <t>EU PPWR</t>
        </is>
      </c>
      <c r="K226" t="inlineStr">
        <is>
          <t>REV00 CURRENT EVIDENCE BASIS — ARTICLE 5 ASSESSMENT BASIS</t>
        </is>
      </c>
      <c r="L226" t="inlineStr">
        <is>
          <t>2026-08-08</t>
        </is>
      </c>
      <c r="N226" t="n">
        <v>0</v>
      </c>
      <c r="O226" s="19" t="inlineStr">
        <is>
          <t>2</t>
        </is>
      </c>
      <c r="Q226" t="inlineStr">
        <is>
          <t>Rev.00 Word EU DoC generated — see DOCUMENT_LIBRARY.FILE_URI; signature fields blank / not legally signed</t>
        </is>
      </c>
      <c r="R226" t="inlineStr">
        <is>
          <t>2026-08-10T19:29:54Z</t>
        </is>
      </c>
      <c r="S226" t="inlineStr">
        <is>
          <t>2026-08-10T19:29:54Z</t>
        </is>
      </c>
    </row>
    <row r="227">
      <c r="A227" s="19" t="inlineStr">
        <is>
          <t>226</t>
        </is>
      </c>
      <c r="B227" s="19" t="inlineStr">
        <is>
          <t>IA-PPWR-DOC-ST-096-EUR-06-R00</t>
        </is>
      </c>
      <c r="C227" t="inlineStr">
        <is>
          <t>EU DoC — ST-096-EUR-06</t>
        </is>
      </c>
      <c r="D227" s="19" t="inlineStr">
        <is>
          <t>1</t>
        </is>
      </c>
      <c r="E227" s="19" t="n"/>
      <c r="F227" s="19" t="inlineStr">
        <is>
          <t>226</t>
        </is>
      </c>
      <c r="G227" s="19" t="n"/>
      <c r="H227" s="19" t="inlineStr">
        <is>
          <t>226</t>
        </is>
      </c>
      <c r="I227" s="19" t="inlineStr">
        <is>
          <t>1</t>
        </is>
      </c>
      <c r="J227" t="inlineStr">
        <is>
          <t>EU PPWR</t>
        </is>
      </c>
      <c r="K227" t="inlineStr">
        <is>
          <t>REV00 CURRENT EVIDENCE BASIS — ARTICLE 5 ASSESSMENT BASIS</t>
        </is>
      </c>
      <c r="L227" t="inlineStr">
        <is>
          <t>2026-08-08</t>
        </is>
      </c>
      <c r="N227" t="n">
        <v>0</v>
      </c>
      <c r="O227" s="19" t="inlineStr">
        <is>
          <t>2</t>
        </is>
      </c>
      <c r="Q227" t="inlineStr">
        <is>
          <t>Rev.00 Word EU DoC generated — see DOCUMENT_LIBRARY.FILE_URI; signature fields blank / not legally signed</t>
        </is>
      </c>
      <c r="R227" t="inlineStr">
        <is>
          <t>2026-08-10T19:29:54Z</t>
        </is>
      </c>
      <c r="S227" t="inlineStr">
        <is>
          <t>2026-08-10T19:29:54Z</t>
        </is>
      </c>
    </row>
    <row r="228">
      <c r="A228" s="19" t="inlineStr">
        <is>
          <t>227</t>
        </is>
      </c>
      <c r="B228" s="19" t="inlineStr">
        <is>
          <t>IA-PPWR-DOC-ST-096-EUR-07-R00</t>
        </is>
      </c>
      <c r="C228" t="inlineStr">
        <is>
          <t>EU DoC — ST-096-EUR-07</t>
        </is>
      </c>
      <c r="D228" s="19" t="inlineStr">
        <is>
          <t>1</t>
        </is>
      </c>
      <c r="E228" s="19" t="n"/>
      <c r="F228" s="19" t="inlineStr">
        <is>
          <t>227</t>
        </is>
      </c>
      <c r="G228" s="19" t="n"/>
      <c r="H228" s="19" t="inlineStr">
        <is>
          <t>227</t>
        </is>
      </c>
      <c r="I228" s="19" t="inlineStr">
        <is>
          <t>1</t>
        </is>
      </c>
      <c r="J228" t="inlineStr">
        <is>
          <t>EU PPWR</t>
        </is>
      </c>
      <c r="K228" t="inlineStr">
        <is>
          <t>REV00 CURRENT EVIDENCE BASIS — ARTICLE 5 ASSESSMENT BASIS</t>
        </is>
      </c>
      <c r="L228" t="inlineStr">
        <is>
          <t>2026-08-08</t>
        </is>
      </c>
      <c r="N228" t="n">
        <v>0</v>
      </c>
      <c r="O228" s="19" t="inlineStr">
        <is>
          <t>2</t>
        </is>
      </c>
      <c r="Q228" t="inlineStr">
        <is>
          <t>Rev.00 Word EU DoC generated — see DOCUMENT_LIBRARY.FILE_URI; signature fields blank / not legally signed</t>
        </is>
      </c>
      <c r="R228" t="inlineStr">
        <is>
          <t>2026-08-10T19:29:54Z</t>
        </is>
      </c>
      <c r="S228" t="inlineStr">
        <is>
          <t>2026-08-10T19:29:54Z</t>
        </is>
      </c>
    </row>
    <row r="229">
      <c r="A229" s="19" t="inlineStr">
        <is>
          <t>228</t>
        </is>
      </c>
      <c r="B229" s="19" t="inlineStr">
        <is>
          <t>IA-PPWR-DOC-ST-096-EUR-08-R00</t>
        </is>
      </c>
      <c r="C229" t="inlineStr">
        <is>
          <t>EU DoC — ST-096-EUR-08</t>
        </is>
      </c>
      <c r="D229" s="19" t="inlineStr">
        <is>
          <t>1</t>
        </is>
      </c>
      <c r="E229" s="19" t="n"/>
      <c r="F229" s="19" t="inlineStr">
        <is>
          <t>228</t>
        </is>
      </c>
      <c r="G229" s="19" t="n"/>
      <c r="H229" s="19" t="inlineStr">
        <is>
          <t>228</t>
        </is>
      </c>
      <c r="I229" s="19" t="inlineStr">
        <is>
          <t>1</t>
        </is>
      </c>
      <c r="J229" t="inlineStr">
        <is>
          <t>EU PPWR</t>
        </is>
      </c>
      <c r="K229" t="inlineStr">
        <is>
          <t>REV00 CURRENT EVIDENCE BASIS — ARTICLE 5 ASSESSMENT BASIS</t>
        </is>
      </c>
      <c r="L229" t="inlineStr">
        <is>
          <t>2026-08-08</t>
        </is>
      </c>
      <c r="N229" t="n">
        <v>0</v>
      </c>
      <c r="O229" s="19" t="inlineStr">
        <is>
          <t>2</t>
        </is>
      </c>
      <c r="Q229" t="inlineStr">
        <is>
          <t>Rev.00 Word EU DoC generated — see DOCUMENT_LIBRARY.FILE_URI; signature fields blank / not legally signed</t>
        </is>
      </c>
      <c r="R229" t="inlineStr">
        <is>
          <t>2026-08-10T19:29:54Z</t>
        </is>
      </c>
      <c r="S229" t="inlineStr">
        <is>
          <t>2026-08-10T19:29:54Z</t>
        </is>
      </c>
    </row>
    <row r="230">
      <c r="A230" s="19" t="inlineStr">
        <is>
          <t>229</t>
        </is>
      </c>
      <c r="B230" s="19" t="inlineStr">
        <is>
          <t>IA-PPWR-DOC-ST-096-EUR-09-R00</t>
        </is>
      </c>
      <c r="C230" t="inlineStr">
        <is>
          <t>EU DoC — ST-096-EUR-09</t>
        </is>
      </c>
      <c r="D230" s="19" t="inlineStr">
        <is>
          <t>1</t>
        </is>
      </c>
      <c r="E230" s="19" t="n"/>
      <c r="F230" s="19" t="inlineStr">
        <is>
          <t>229</t>
        </is>
      </c>
      <c r="G230" s="19" t="n"/>
      <c r="H230" s="19" t="inlineStr">
        <is>
          <t>229</t>
        </is>
      </c>
      <c r="I230" s="19" t="inlineStr">
        <is>
          <t>1</t>
        </is>
      </c>
      <c r="J230" t="inlineStr">
        <is>
          <t>EU PPWR</t>
        </is>
      </c>
      <c r="K230" t="inlineStr">
        <is>
          <t>REV00 CURRENT EVIDENCE BASIS — ARTICLE 5 ASSESSMENT BASIS</t>
        </is>
      </c>
      <c r="L230" t="inlineStr">
        <is>
          <t>2026-08-08</t>
        </is>
      </c>
      <c r="N230" t="n">
        <v>0</v>
      </c>
      <c r="O230" s="19" t="inlineStr">
        <is>
          <t>2</t>
        </is>
      </c>
      <c r="Q230" t="inlineStr">
        <is>
          <t>Rev.00 Word EU DoC generated — see DOCUMENT_LIBRARY.FILE_URI; signature fields blank / not legally signed</t>
        </is>
      </c>
      <c r="R230" t="inlineStr">
        <is>
          <t>2026-08-10T19:29:54Z</t>
        </is>
      </c>
      <c r="S230" t="inlineStr">
        <is>
          <t>2026-08-10T19:29:54Z</t>
        </is>
      </c>
    </row>
    <row r="231">
      <c r="A231" s="19" t="inlineStr">
        <is>
          <t>230</t>
        </is>
      </c>
      <c r="B231" s="19" t="inlineStr">
        <is>
          <t>IA-PPWR-DOC-ST-096-EUR-10-R00</t>
        </is>
      </c>
      <c r="C231" t="inlineStr">
        <is>
          <t>EU DoC — ST-096-EUR-10</t>
        </is>
      </c>
      <c r="D231" s="19" t="inlineStr">
        <is>
          <t>1</t>
        </is>
      </c>
      <c r="E231" s="19" t="n"/>
      <c r="F231" s="19" t="inlineStr">
        <is>
          <t>230</t>
        </is>
      </c>
      <c r="G231" s="19" t="n"/>
      <c r="H231" s="19" t="inlineStr">
        <is>
          <t>230</t>
        </is>
      </c>
      <c r="I231" s="19" t="inlineStr">
        <is>
          <t>1</t>
        </is>
      </c>
      <c r="J231" t="inlineStr">
        <is>
          <t>EU PPWR</t>
        </is>
      </c>
      <c r="K231" t="inlineStr">
        <is>
          <t>REV00 CURRENT EVIDENCE BASIS — ARTICLE 5 ASSESSMENT BASIS</t>
        </is>
      </c>
      <c r="L231" t="inlineStr">
        <is>
          <t>2026-08-08</t>
        </is>
      </c>
      <c r="N231" t="n">
        <v>0</v>
      </c>
      <c r="O231" s="19" t="inlineStr">
        <is>
          <t>2</t>
        </is>
      </c>
      <c r="Q231" t="inlineStr">
        <is>
          <t>Rev.00 Word EU DoC generated — see DOCUMENT_LIBRARY.FILE_URI; signature fields blank / not legally signed</t>
        </is>
      </c>
      <c r="R231" t="inlineStr">
        <is>
          <t>2026-08-10T19:29:54Z</t>
        </is>
      </c>
      <c r="S231" t="inlineStr">
        <is>
          <t>2026-08-10T19:29:54Z</t>
        </is>
      </c>
    </row>
    <row r="232">
      <c r="A232" s="19" t="inlineStr">
        <is>
          <t>231</t>
        </is>
      </c>
      <c r="B232" s="19" t="inlineStr">
        <is>
          <t>IA-PPWR-DOC-ST-096-STD-01-R00</t>
        </is>
      </c>
      <c r="C232" t="inlineStr">
        <is>
          <t>EU DoC — ST-096-STD-01</t>
        </is>
      </c>
      <c r="D232" s="19" t="inlineStr">
        <is>
          <t>1</t>
        </is>
      </c>
      <c r="E232" s="19" t="n"/>
      <c r="F232" s="19" t="inlineStr">
        <is>
          <t>231</t>
        </is>
      </c>
      <c r="G232" s="19" t="n"/>
      <c r="H232" s="19" t="inlineStr">
        <is>
          <t>231</t>
        </is>
      </c>
      <c r="I232" s="19" t="inlineStr">
        <is>
          <t>1</t>
        </is>
      </c>
      <c r="J232" t="inlineStr">
        <is>
          <t>EU PPWR</t>
        </is>
      </c>
      <c r="K232" t="inlineStr">
        <is>
          <t>REV00 CURRENT EVIDENCE BASIS — ARTICLE 5 ASSESSMENT BASIS</t>
        </is>
      </c>
      <c r="L232" t="inlineStr">
        <is>
          <t>2026-08-08</t>
        </is>
      </c>
      <c r="N232" t="n">
        <v>0</v>
      </c>
      <c r="O232" s="19" t="inlineStr">
        <is>
          <t>2</t>
        </is>
      </c>
      <c r="Q232" t="inlineStr">
        <is>
          <t>Rev.00 Word EU DoC generated — see DOCUMENT_LIBRARY.FILE_URI; signature fields blank / not legally signed</t>
        </is>
      </c>
      <c r="R232" t="inlineStr">
        <is>
          <t>2026-08-10T19:29:54Z</t>
        </is>
      </c>
      <c r="S232" t="inlineStr">
        <is>
          <t>2026-08-10T19:29:54Z</t>
        </is>
      </c>
    </row>
    <row r="233">
      <c r="A233" s="19" t="inlineStr">
        <is>
          <t>232</t>
        </is>
      </c>
      <c r="B233" s="19" t="inlineStr">
        <is>
          <t>IA-PPWR-DOC-ST-096-STD-02-R00</t>
        </is>
      </c>
      <c r="C233" t="inlineStr">
        <is>
          <t>EU DoC — ST-096-STD-02</t>
        </is>
      </c>
      <c r="D233" s="19" t="inlineStr">
        <is>
          <t>1</t>
        </is>
      </c>
      <c r="E233" s="19" t="n"/>
      <c r="F233" s="19" t="inlineStr">
        <is>
          <t>232</t>
        </is>
      </c>
      <c r="G233" s="19" t="n"/>
      <c r="H233" s="19" t="inlineStr">
        <is>
          <t>232</t>
        </is>
      </c>
      <c r="I233" s="19" t="inlineStr">
        <is>
          <t>1</t>
        </is>
      </c>
      <c r="J233" t="inlineStr">
        <is>
          <t>EU PPWR</t>
        </is>
      </c>
      <c r="K233" t="inlineStr">
        <is>
          <t>REV00 CURRENT EVIDENCE BASIS — ARTICLE 5 ASSESSMENT BASIS</t>
        </is>
      </c>
      <c r="L233" t="inlineStr">
        <is>
          <t>2026-08-08</t>
        </is>
      </c>
      <c r="N233" t="n">
        <v>0</v>
      </c>
      <c r="O233" s="19" t="inlineStr">
        <is>
          <t>2</t>
        </is>
      </c>
      <c r="Q233" t="inlineStr">
        <is>
          <t>Rev.00 Word EU DoC generated — see DOCUMENT_LIBRARY.FILE_URI; signature fields blank / not legally signed</t>
        </is>
      </c>
      <c r="R233" t="inlineStr">
        <is>
          <t>2026-08-10T19:29:54Z</t>
        </is>
      </c>
      <c r="S233" t="inlineStr">
        <is>
          <t>2026-08-10T19:29:54Z</t>
        </is>
      </c>
    </row>
    <row r="234">
      <c r="A234" s="19" t="inlineStr">
        <is>
          <t>233</t>
        </is>
      </c>
      <c r="B234" s="19" t="inlineStr">
        <is>
          <t>IA-PPWR-DOC-ST-096-STD-03-R00</t>
        </is>
      </c>
      <c r="C234" t="inlineStr">
        <is>
          <t>EU DoC — ST-096-STD-03</t>
        </is>
      </c>
      <c r="D234" s="19" t="inlineStr">
        <is>
          <t>1</t>
        </is>
      </c>
      <c r="E234" s="19" t="n"/>
      <c r="F234" s="19" t="inlineStr">
        <is>
          <t>233</t>
        </is>
      </c>
      <c r="G234" s="19" t="n"/>
      <c r="H234" s="19" t="inlineStr">
        <is>
          <t>233</t>
        </is>
      </c>
      <c r="I234" s="19" t="inlineStr">
        <is>
          <t>1</t>
        </is>
      </c>
      <c r="J234" t="inlineStr">
        <is>
          <t>EU PPWR</t>
        </is>
      </c>
      <c r="K234" t="inlineStr">
        <is>
          <t>REV00 CURRENT EVIDENCE BASIS — ARTICLE 5 ASSESSMENT BASIS</t>
        </is>
      </c>
      <c r="L234" t="inlineStr">
        <is>
          <t>2026-08-08</t>
        </is>
      </c>
      <c r="N234" t="n">
        <v>0</v>
      </c>
      <c r="O234" s="19" t="inlineStr">
        <is>
          <t>2</t>
        </is>
      </c>
      <c r="Q234" t="inlineStr">
        <is>
          <t>Rev.00 Word EU DoC generated — see DOCUMENT_LIBRARY.FILE_URI; signature fields blank / not legally signed</t>
        </is>
      </c>
      <c r="R234" t="inlineStr">
        <is>
          <t>2026-08-10T19:29:54Z</t>
        </is>
      </c>
      <c r="S234" t="inlineStr">
        <is>
          <t>2026-08-10T19:29:54Z</t>
        </is>
      </c>
    </row>
    <row r="235">
      <c r="A235" s="19" t="inlineStr">
        <is>
          <t>234</t>
        </is>
      </c>
      <c r="B235" s="19" t="inlineStr">
        <is>
          <t>IA-PPWR-DOC-ST-096-STD-04-R00</t>
        </is>
      </c>
      <c r="C235" t="inlineStr">
        <is>
          <t>EU DoC — ST-096-STD-04</t>
        </is>
      </c>
      <c r="D235" s="19" t="inlineStr">
        <is>
          <t>1</t>
        </is>
      </c>
      <c r="E235" s="19" t="n"/>
      <c r="F235" s="19" t="inlineStr">
        <is>
          <t>234</t>
        </is>
      </c>
      <c r="G235" s="19" t="n"/>
      <c r="H235" s="19" t="inlineStr">
        <is>
          <t>234</t>
        </is>
      </c>
      <c r="I235" s="19" t="inlineStr">
        <is>
          <t>1</t>
        </is>
      </c>
      <c r="J235" t="inlineStr">
        <is>
          <t>EU PPWR</t>
        </is>
      </c>
      <c r="K235" t="inlineStr">
        <is>
          <t>REV00 CURRENT EVIDENCE BASIS — ARTICLE 5 ASSESSMENT BASIS</t>
        </is>
      </c>
      <c r="L235" t="inlineStr">
        <is>
          <t>2026-08-08</t>
        </is>
      </c>
      <c r="N235" t="n">
        <v>0</v>
      </c>
      <c r="O235" s="19" t="inlineStr">
        <is>
          <t>2</t>
        </is>
      </c>
      <c r="Q235" t="inlineStr">
        <is>
          <t>Rev.00 Word EU DoC generated — see DOCUMENT_LIBRARY.FILE_URI; signature fields blank / not legally signed</t>
        </is>
      </c>
      <c r="R235" t="inlineStr">
        <is>
          <t>2026-08-10T19:29:54Z</t>
        </is>
      </c>
      <c r="S235" t="inlineStr">
        <is>
          <t>2026-08-10T19:29:54Z</t>
        </is>
      </c>
    </row>
    <row r="236">
      <c r="A236" s="19" t="inlineStr">
        <is>
          <t>235</t>
        </is>
      </c>
      <c r="B236" s="19" t="inlineStr">
        <is>
          <t>IA-PPWR-DOC-ST-096-STD-05-R00</t>
        </is>
      </c>
      <c r="C236" t="inlineStr">
        <is>
          <t>EU DoC — ST-096-STD-05</t>
        </is>
      </c>
      <c r="D236" s="19" t="inlineStr">
        <is>
          <t>1</t>
        </is>
      </c>
      <c r="E236" s="19" t="n"/>
      <c r="F236" s="19" t="inlineStr">
        <is>
          <t>235</t>
        </is>
      </c>
      <c r="G236" s="19" t="n"/>
      <c r="H236" s="19" t="inlineStr">
        <is>
          <t>235</t>
        </is>
      </c>
      <c r="I236" s="19" t="inlineStr">
        <is>
          <t>1</t>
        </is>
      </c>
      <c r="J236" t="inlineStr">
        <is>
          <t>EU PPWR</t>
        </is>
      </c>
      <c r="K236" t="inlineStr">
        <is>
          <t>REV00 CURRENT EVIDENCE BASIS — ARTICLE 5 ASSESSMENT BASIS</t>
        </is>
      </c>
      <c r="L236" t="inlineStr">
        <is>
          <t>2026-08-08</t>
        </is>
      </c>
      <c r="N236" t="n">
        <v>0</v>
      </c>
      <c r="O236" s="19" t="inlineStr">
        <is>
          <t>2</t>
        </is>
      </c>
      <c r="Q236" t="inlineStr">
        <is>
          <t>Rev.00 Word EU DoC generated — see DOCUMENT_LIBRARY.FILE_URI; signature fields blank / not legally signed</t>
        </is>
      </c>
      <c r="R236" t="inlineStr">
        <is>
          <t>2026-08-10T19:29:54Z</t>
        </is>
      </c>
      <c r="S236" t="inlineStr">
        <is>
          <t>2026-08-10T19:29:54Z</t>
        </is>
      </c>
    </row>
    <row r="237">
      <c r="A237" s="19" t="inlineStr">
        <is>
          <t>236</t>
        </is>
      </c>
      <c r="B237" s="19" t="inlineStr">
        <is>
          <t>IA-PPWR-DOC-ST-105-STD-01-R00</t>
        </is>
      </c>
      <c r="C237" t="inlineStr">
        <is>
          <t>EU DoC — ST-105-STD-01</t>
        </is>
      </c>
      <c r="D237" s="19" t="inlineStr">
        <is>
          <t>1</t>
        </is>
      </c>
      <c r="E237" s="19" t="n"/>
      <c r="F237" s="19" t="inlineStr">
        <is>
          <t>236</t>
        </is>
      </c>
      <c r="G237" s="19" t="n"/>
      <c r="H237" s="19" t="inlineStr">
        <is>
          <t>236</t>
        </is>
      </c>
      <c r="I237" s="19" t="inlineStr">
        <is>
          <t>1</t>
        </is>
      </c>
      <c r="J237" t="inlineStr">
        <is>
          <t>EU PPWR</t>
        </is>
      </c>
      <c r="K237" t="inlineStr">
        <is>
          <t>REV00 CURRENT EVIDENCE BASIS — ARTICLE 5 ASSESSMENT BASIS</t>
        </is>
      </c>
      <c r="L237" t="inlineStr">
        <is>
          <t>2026-08-08</t>
        </is>
      </c>
      <c r="N237" t="n">
        <v>0</v>
      </c>
      <c r="O237" s="19" t="inlineStr">
        <is>
          <t>2</t>
        </is>
      </c>
      <c r="Q237" t="inlineStr">
        <is>
          <t>Rev.00 Word EU DoC generated — see DOCUMENT_LIBRARY.FILE_URI; signature fields blank / not legally signed</t>
        </is>
      </c>
      <c r="R237" t="inlineStr">
        <is>
          <t>2026-08-10T19:29:54Z</t>
        </is>
      </c>
      <c r="S237" t="inlineStr">
        <is>
          <t>2026-08-10T19:29:54Z</t>
        </is>
      </c>
    </row>
    <row r="238">
      <c r="A238" s="19" t="inlineStr">
        <is>
          <t>237</t>
        </is>
      </c>
      <c r="B238" s="19" t="inlineStr">
        <is>
          <t>IA-PPWR-DOC-ST-105-STD-02-R00</t>
        </is>
      </c>
      <c r="C238" t="inlineStr">
        <is>
          <t>EU DoC — ST-105-STD-02</t>
        </is>
      </c>
      <c r="D238" s="19" t="inlineStr">
        <is>
          <t>1</t>
        </is>
      </c>
      <c r="E238" s="19" t="n"/>
      <c r="F238" s="19" t="inlineStr">
        <is>
          <t>237</t>
        </is>
      </c>
      <c r="G238" s="19" t="n"/>
      <c r="H238" s="19" t="inlineStr">
        <is>
          <t>237</t>
        </is>
      </c>
      <c r="I238" s="19" t="inlineStr">
        <is>
          <t>1</t>
        </is>
      </c>
      <c r="J238" t="inlineStr">
        <is>
          <t>EU PPWR</t>
        </is>
      </c>
      <c r="K238" t="inlineStr">
        <is>
          <t>REV00 CURRENT EVIDENCE BASIS — ARTICLE 5 ASSESSMENT BASIS</t>
        </is>
      </c>
      <c r="L238" t="inlineStr">
        <is>
          <t>2026-08-08</t>
        </is>
      </c>
      <c r="N238" t="n">
        <v>0</v>
      </c>
      <c r="O238" s="19" t="inlineStr">
        <is>
          <t>2</t>
        </is>
      </c>
      <c r="Q238" t="inlineStr">
        <is>
          <t>Rev.00 Word EU DoC generated — see DOCUMENT_LIBRARY.FILE_URI; signature fields blank / not legally signed</t>
        </is>
      </c>
      <c r="R238" t="inlineStr">
        <is>
          <t>2026-08-10T19:29:54Z</t>
        </is>
      </c>
      <c r="S238" t="inlineStr">
        <is>
          <t>2026-08-10T19:29:54Z</t>
        </is>
      </c>
    </row>
    <row r="239">
      <c r="A239" s="19" t="inlineStr">
        <is>
          <t>238</t>
        </is>
      </c>
      <c r="B239" s="19" t="inlineStr">
        <is>
          <t>IA-PPWR-DOC-ST-120-STD-01-R00</t>
        </is>
      </c>
      <c r="C239" t="inlineStr">
        <is>
          <t>EU DoC — ST-120-STD-01</t>
        </is>
      </c>
      <c r="D239" s="19" t="inlineStr">
        <is>
          <t>1</t>
        </is>
      </c>
      <c r="E239" s="19" t="n"/>
      <c r="F239" s="19" t="inlineStr">
        <is>
          <t>238</t>
        </is>
      </c>
      <c r="G239" s="19" t="n"/>
      <c r="H239" s="19" t="inlineStr">
        <is>
          <t>238</t>
        </is>
      </c>
      <c r="I239" s="19" t="inlineStr">
        <is>
          <t>1</t>
        </is>
      </c>
      <c r="J239" t="inlineStr">
        <is>
          <t>EU PPWR</t>
        </is>
      </c>
      <c r="K239" t="inlineStr">
        <is>
          <t>REV00 CURRENT EVIDENCE BASIS — ARTICLE 5 ASSESSMENT BASIS</t>
        </is>
      </c>
      <c r="L239" t="inlineStr">
        <is>
          <t>2026-08-08</t>
        </is>
      </c>
      <c r="N239" t="n">
        <v>0</v>
      </c>
      <c r="O239" s="19" t="inlineStr">
        <is>
          <t>2</t>
        </is>
      </c>
      <c r="Q239" t="inlineStr">
        <is>
          <t>Rev.00 Word EU DoC generated — see DOCUMENT_LIBRARY.FILE_URI; signature fields blank / not legally signed</t>
        </is>
      </c>
      <c r="R239" t="inlineStr">
        <is>
          <t>2026-08-10T19:29:54Z</t>
        </is>
      </c>
      <c r="S239" t="inlineStr">
        <is>
          <t>2026-08-10T19:29:54Z</t>
        </is>
      </c>
    </row>
    <row r="240">
      <c r="A240" s="19" t="inlineStr">
        <is>
          <t>239</t>
        </is>
      </c>
      <c r="B240" s="19" t="inlineStr">
        <is>
          <t>IA-PPWR-DOC-ST-120-STD-02-R00</t>
        </is>
      </c>
      <c r="C240" t="inlineStr">
        <is>
          <t>EU DoC — ST-120-STD-02</t>
        </is>
      </c>
      <c r="D240" s="19" t="inlineStr">
        <is>
          <t>1</t>
        </is>
      </c>
      <c r="E240" s="19" t="n"/>
      <c r="F240" s="19" t="inlineStr">
        <is>
          <t>239</t>
        </is>
      </c>
      <c r="G240" s="19" t="n"/>
      <c r="H240" s="19" t="inlineStr">
        <is>
          <t>239</t>
        </is>
      </c>
      <c r="I240" s="19" t="inlineStr">
        <is>
          <t>1</t>
        </is>
      </c>
      <c r="J240" t="inlineStr">
        <is>
          <t>EU PPWR</t>
        </is>
      </c>
      <c r="K240" t="inlineStr">
        <is>
          <t>REV00 CURRENT EVIDENCE BASIS — ARTICLE 5 ASSESSMENT BASIS</t>
        </is>
      </c>
      <c r="L240" t="inlineStr">
        <is>
          <t>2026-08-08</t>
        </is>
      </c>
      <c r="N240" t="n">
        <v>0</v>
      </c>
      <c r="O240" s="19" t="inlineStr">
        <is>
          <t>2</t>
        </is>
      </c>
      <c r="Q240" t="inlineStr">
        <is>
          <t>Rev.00 Word EU DoC generated — see DOCUMENT_LIBRARY.FILE_URI; signature fields blank / not legally signed</t>
        </is>
      </c>
      <c r="R240" t="inlineStr">
        <is>
          <t>2026-08-10T19:29:54Z</t>
        </is>
      </c>
      <c r="S240" t="inlineStr">
        <is>
          <t>2026-08-10T19:29:54Z</t>
        </is>
      </c>
    </row>
    <row r="241">
      <c r="A241" s="19" t="inlineStr">
        <is>
          <t>240</t>
        </is>
      </c>
      <c r="B241" s="19" t="inlineStr">
        <is>
          <t>IA-PPWR-DOC-ST-120-STD-03-R00</t>
        </is>
      </c>
      <c r="C241" t="inlineStr">
        <is>
          <t>EU DoC — ST-120-STD-03</t>
        </is>
      </c>
      <c r="D241" s="19" t="inlineStr">
        <is>
          <t>1</t>
        </is>
      </c>
      <c r="E241" s="19" t="n"/>
      <c r="F241" s="19" t="inlineStr">
        <is>
          <t>240</t>
        </is>
      </c>
      <c r="G241" s="19" t="n"/>
      <c r="H241" s="19" t="inlineStr">
        <is>
          <t>240</t>
        </is>
      </c>
      <c r="I241" s="19" t="inlineStr">
        <is>
          <t>1</t>
        </is>
      </c>
      <c r="J241" t="inlineStr">
        <is>
          <t>EU PPWR</t>
        </is>
      </c>
      <c r="K241" t="inlineStr">
        <is>
          <t>REV00 CURRENT EVIDENCE BASIS — ARTICLE 5 ASSESSMENT BASIS</t>
        </is>
      </c>
      <c r="L241" t="inlineStr">
        <is>
          <t>2026-08-08</t>
        </is>
      </c>
      <c r="N241" t="n">
        <v>0</v>
      </c>
      <c r="O241" s="19" t="inlineStr">
        <is>
          <t>2</t>
        </is>
      </c>
      <c r="Q241" t="inlineStr">
        <is>
          <t>Rev.00 Word EU DoC generated — see DOCUMENT_LIBRARY.FILE_URI; signature fields blank / not legally signed</t>
        </is>
      </c>
      <c r="R241" t="inlineStr">
        <is>
          <t>2026-08-10T19:29:54Z</t>
        </is>
      </c>
      <c r="S241" t="inlineStr">
        <is>
          <t>2026-08-10T19:29:54Z</t>
        </is>
      </c>
    </row>
    <row r="242">
      <c r="A242" s="19" t="inlineStr">
        <is>
          <t>241</t>
        </is>
      </c>
      <c r="B242" s="19" t="inlineStr">
        <is>
          <t>IA-PPWR-DOC-IND-24V-01-R00</t>
        </is>
      </c>
      <c r="C242" t="inlineStr">
        <is>
          <t>EU DoC — IND-24V-01</t>
        </is>
      </c>
      <c r="D242" s="19" t="inlineStr">
        <is>
          <t>1</t>
        </is>
      </c>
      <c r="E242" s="19" t="n"/>
      <c r="F242" s="19" t="inlineStr">
        <is>
          <t>241</t>
        </is>
      </c>
      <c r="G242" s="19" t="n"/>
      <c r="H242" s="19" t="inlineStr">
        <is>
          <t>241</t>
        </is>
      </c>
      <c r="I242" s="19" t="inlineStr">
        <is>
          <t>1</t>
        </is>
      </c>
      <c r="J242" t="inlineStr">
        <is>
          <t>EU PPWR</t>
        </is>
      </c>
      <c r="K242" t="inlineStr">
        <is>
          <t>REV00 CURRENT EVIDENCE BASIS — ARTICLE 5 ASSESSMENT BASIS</t>
        </is>
      </c>
      <c r="L242" t="inlineStr">
        <is>
          <t>2026-08-08</t>
        </is>
      </c>
      <c r="N242" t="n">
        <v>0</v>
      </c>
      <c r="O242" s="19" t="inlineStr">
        <is>
          <t>2</t>
        </is>
      </c>
      <c r="Q242" t="inlineStr">
        <is>
          <t>Rev.00 Word EU DoC generated — see DOCUMENT_LIBRARY.FILE_URI; signature fields blank / not legally signed</t>
        </is>
      </c>
      <c r="R242" t="inlineStr">
        <is>
          <t>2026-08-10T19:29:54Z</t>
        </is>
      </c>
      <c r="S242" t="inlineStr">
        <is>
          <t>2026-08-10T19:29:54Z</t>
        </is>
      </c>
    </row>
    <row r="243">
      <c r="A243" s="19" t="inlineStr">
        <is>
          <t>242</t>
        </is>
      </c>
      <c r="B243" s="19" t="inlineStr">
        <is>
          <t>IA-PPWR-DOC-IND-48V-01-R00</t>
        </is>
      </c>
      <c r="C243" t="inlineStr">
        <is>
          <t>EU DoC — IND-48V-01</t>
        </is>
      </c>
      <c r="D243" s="19" t="inlineStr">
        <is>
          <t>1</t>
        </is>
      </c>
      <c r="E243" s="19" t="n"/>
      <c r="F243" s="19" t="inlineStr">
        <is>
          <t>242</t>
        </is>
      </c>
      <c r="G243" s="19" t="n"/>
      <c r="H243" s="19" t="inlineStr">
        <is>
          <t>242</t>
        </is>
      </c>
      <c r="I243" s="19" t="inlineStr">
        <is>
          <t>1</t>
        </is>
      </c>
      <c r="J243" t="inlineStr">
        <is>
          <t>EU PPWR</t>
        </is>
      </c>
      <c r="K243" t="inlineStr">
        <is>
          <t>REV00 CURRENT EVIDENCE BASIS — ARTICLE 5 ASSESSMENT BASIS</t>
        </is>
      </c>
      <c r="L243" t="inlineStr">
        <is>
          <t>2026-08-08</t>
        </is>
      </c>
      <c r="N243" t="n">
        <v>0</v>
      </c>
      <c r="O243" s="19" t="inlineStr">
        <is>
          <t>2</t>
        </is>
      </c>
      <c r="Q243" t="inlineStr">
        <is>
          <t>Rev.00 Word EU DoC generated — see DOCUMENT_LIBRARY.FILE_URI; signature fields blank / not legally signed</t>
        </is>
      </c>
      <c r="R243" t="inlineStr">
        <is>
          <t>2026-08-10T19:29:54Z</t>
        </is>
      </c>
      <c r="S243" t="inlineStr">
        <is>
          <t>2026-08-10T19:29:54Z</t>
        </is>
      </c>
    </row>
    <row r="244">
      <c r="A244" s="19" t="inlineStr">
        <is>
          <t>243</t>
        </is>
      </c>
      <c r="B244" s="19" t="inlineStr">
        <is>
          <t>IA-PPWR-DOC-IND-80V-01-R00</t>
        </is>
      </c>
      <c r="C244" t="inlineStr">
        <is>
          <t>EU DoC — IND-80V-01</t>
        </is>
      </c>
      <c r="D244" s="19" t="inlineStr">
        <is>
          <t>1</t>
        </is>
      </c>
      <c r="E244" s="19" t="n"/>
      <c r="F244" s="19" t="inlineStr">
        <is>
          <t>243</t>
        </is>
      </c>
      <c r="G244" s="19" t="n"/>
      <c r="H244" s="19" t="inlineStr">
        <is>
          <t>243</t>
        </is>
      </c>
      <c r="I244" s="19" t="inlineStr">
        <is>
          <t>1</t>
        </is>
      </c>
      <c r="J244" t="inlineStr">
        <is>
          <t>EU PPWR</t>
        </is>
      </c>
      <c r="K244" t="inlineStr">
        <is>
          <t>REV00 CURRENT EVIDENCE BASIS — ARTICLE 5 ASSESSMENT BASIS</t>
        </is>
      </c>
      <c r="L244" t="inlineStr">
        <is>
          <t>2026-08-08</t>
        </is>
      </c>
      <c r="N244" t="n">
        <v>0</v>
      </c>
      <c r="O244" s="19" t="inlineStr">
        <is>
          <t>2</t>
        </is>
      </c>
      <c r="Q244" t="inlineStr">
        <is>
          <t>Rev.00 Word EU DoC generated — see DOCUMENT_LIBRARY.FILE_URI; signature fields blank / not legally signed</t>
        </is>
      </c>
      <c r="R244" t="inlineStr">
        <is>
          <t>2026-08-10T19:29:54Z</t>
        </is>
      </c>
      <c r="S244" t="inlineStr">
        <is>
          <t>2026-08-10T19:29:54Z</t>
        </is>
      </c>
    </row>
    <row r="245">
      <c r="A245" s="19" t="inlineStr">
        <is>
          <t>244</t>
        </is>
      </c>
      <c r="B245" s="19" t="inlineStr">
        <is>
          <t>IA-PPWR-DOC-CNT-20-STD-01-R00</t>
        </is>
      </c>
      <c r="C245" t="inlineStr">
        <is>
          <t>EU DoC — CNT-20-STD-01</t>
        </is>
      </c>
      <c r="D245" s="19" t="inlineStr">
        <is>
          <t>1</t>
        </is>
      </c>
      <c r="E245" s="19" t="n"/>
      <c r="F245" s="19" t="inlineStr">
        <is>
          <t>244</t>
        </is>
      </c>
      <c r="G245" s="19" t="n"/>
      <c r="H245" s="19" t="inlineStr">
        <is>
          <t>244</t>
        </is>
      </c>
      <c r="I245" s="19" t="inlineStr">
        <is>
          <t>1</t>
        </is>
      </c>
      <c r="J245" t="inlineStr">
        <is>
          <t>EU PPWR</t>
        </is>
      </c>
      <c r="K245" t="inlineStr">
        <is>
          <t>REV00 CURRENT EVIDENCE BASIS — ARTICLE 5 ASSESSMENT BASIS</t>
        </is>
      </c>
      <c r="L245" t="inlineStr">
        <is>
          <t>2026-08-08</t>
        </is>
      </c>
      <c r="N245" t="n">
        <v>0</v>
      </c>
      <c r="O245" s="19" t="inlineStr">
        <is>
          <t>2</t>
        </is>
      </c>
      <c r="Q245" t="inlineStr">
        <is>
          <t>Rev.00 Word EU DoC generated — see DOCUMENT_LIBRARY.FILE_URI; signature fields blank / not legally signed</t>
        </is>
      </c>
      <c r="R245" t="inlineStr">
        <is>
          <t>2026-08-10T19:29:54Z</t>
        </is>
      </c>
      <c r="S245" t="inlineStr">
        <is>
          <t>2026-08-10T19:29:54Z</t>
        </is>
      </c>
    </row>
    <row r="246">
      <c r="A246" s="19" t="inlineStr">
        <is>
          <t>245</t>
        </is>
      </c>
      <c r="B246" s="19" t="inlineStr">
        <is>
          <t>IA-PPWR-DOC-CNT-20-EUR-01-R00</t>
        </is>
      </c>
      <c r="C246" t="inlineStr">
        <is>
          <t>EU DoC — CNT-20-EUR-01</t>
        </is>
      </c>
      <c r="D246" s="19" t="inlineStr">
        <is>
          <t>1</t>
        </is>
      </c>
      <c r="E246" s="19" t="n"/>
      <c r="F246" s="19" t="inlineStr">
        <is>
          <t>245</t>
        </is>
      </c>
      <c r="G246" s="19" t="n"/>
      <c r="H246" s="19" t="inlineStr">
        <is>
          <t>245</t>
        </is>
      </c>
      <c r="I246" s="19" t="inlineStr">
        <is>
          <t>1</t>
        </is>
      </c>
      <c r="J246" t="inlineStr">
        <is>
          <t>EU PPWR</t>
        </is>
      </c>
      <c r="K246" t="inlineStr">
        <is>
          <t>REV00 CURRENT EVIDENCE BASIS — ARTICLE 5 ASSESSMENT BASIS</t>
        </is>
      </c>
      <c r="L246" t="inlineStr">
        <is>
          <t>2026-08-08</t>
        </is>
      </c>
      <c r="N246" t="n">
        <v>0</v>
      </c>
      <c r="O246" s="19" t="inlineStr">
        <is>
          <t>2</t>
        </is>
      </c>
      <c r="Q246" t="inlineStr">
        <is>
          <t>Rev.00 Word EU DoC generated — see DOCUMENT_LIBRARY.FILE_URI; signature fields blank / not legally signed</t>
        </is>
      </c>
      <c r="R246" t="inlineStr">
        <is>
          <t>2026-08-10T19:29:54Z</t>
        </is>
      </c>
      <c r="S246" t="inlineStr">
        <is>
          <t>2026-08-10T19:29:54Z</t>
        </is>
      </c>
    </row>
    <row r="247">
      <c r="A247" s="19" t="inlineStr">
        <is>
          <t>246</t>
        </is>
      </c>
      <c r="B247" s="19" t="inlineStr">
        <is>
          <t>IA-PPWR-DOC-CNT-40-IND-01-R00</t>
        </is>
      </c>
      <c r="C247" t="inlineStr">
        <is>
          <t>EU DoC — CNT-40-IND-01</t>
        </is>
      </c>
      <c r="D247" s="19" t="inlineStr">
        <is>
          <t>1</t>
        </is>
      </c>
      <c r="E247" s="19" t="n"/>
      <c r="F247" s="19" t="inlineStr">
        <is>
          <t>246</t>
        </is>
      </c>
      <c r="G247" s="19" t="n"/>
      <c r="H247" s="19" t="inlineStr">
        <is>
          <t>246</t>
        </is>
      </c>
      <c r="I247" s="19" t="inlineStr">
        <is>
          <t>1</t>
        </is>
      </c>
      <c r="J247" t="inlineStr">
        <is>
          <t>EU PPWR</t>
        </is>
      </c>
      <c r="K247" t="inlineStr">
        <is>
          <t>REV00 CURRENT EVIDENCE BASIS — ARTICLE 5 ASSESSMENT BASIS</t>
        </is>
      </c>
      <c r="L247" t="inlineStr">
        <is>
          <t>2026-08-08</t>
        </is>
      </c>
      <c r="N247" t="n">
        <v>0</v>
      </c>
      <c r="O247" s="19" t="inlineStr">
        <is>
          <t>2</t>
        </is>
      </c>
      <c r="Q247" t="inlineStr">
        <is>
          <t>Rev.00 Word EU DoC generated — see DOCUMENT_LIBRARY.FILE_URI; signature fields blank / not legally signed</t>
        </is>
      </c>
      <c r="R247" t="inlineStr">
        <is>
          <t>2026-08-10T19:29:54Z</t>
        </is>
      </c>
      <c r="S247" t="inlineStr">
        <is>
          <t>2026-08-10T19:29:54Z</t>
        </is>
      </c>
    </row>
    <row r="248">
      <c r="A248" s="19" t="inlineStr">
        <is>
          <t>247</t>
        </is>
      </c>
      <c r="B248" s="19" t="inlineStr">
        <is>
          <t>IA-PPWR-DOC-CNT-DE-HAM-01-R00</t>
        </is>
      </c>
      <c r="C248" t="inlineStr">
        <is>
          <t>EU DoC — CNT-DE-HAM-01</t>
        </is>
      </c>
      <c r="D248" s="19" t="inlineStr">
        <is>
          <t>1</t>
        </is>
      </c>
      <c r="E248" s="19" t="n"/>
      <c r="F248" s="19" t="inlineStr">
        <is>
          <t>247</t>
        </is>
      </c>
      <c r="G248" s="19" t="n"/>
      <c r="H248" s="19" t="inlineStr">
        <is>
          <t>247</t>
        </is>
      </c>
      <c r="I248" s="19" t="inlineStr">
        <is>
          <t>1</t>
        </is>
      </c>
      <c r="J248" t="inlineStr">
        <is>
          <t>EU PPWR</t>
        </is>
      </c>
      <c r="K248" t="inlineStr">
        <is>
          <t>REV00 CURRENT EVIDENCE BASIS — ARTICLE 5 ASSESSMENT BASIS</t>
        </is>
      </c>
      <c r="L248" t="inlineStr">
        <is>
          <t>2026-08-08</t>
        </is>
      </c>
      <c r="N248" t="n">
        <v>0</v>
      </c>
      <c r="O248" s="19" t="inlineStr">
        <is>
          <t>2</t>
        </is>
      </c>
      <c r="Q248" t="inlineStr">
        <is>
          <t>Rev.00 Word EU DoC generated — see DOCUMENT_LIBRARY.FILE_URI; signature fields blank / not legally signed</t>
        </is>
      </c>
      <c r="R248" t="inlineStr">
        <is>
          <t>2026-08-10T19:29:54Z</t>
        </is>
      </c>
      <c r="S248" t="inlineStr">
        <is>
          <t>2026-08-10T19:29:54Z</t>
        </is>
      </c>
    </row>
  </sheetData>
  <dataValidations count="2">
    <dataValidation sqref="L2:M5000" showDropDown="0" showInputMessage="0" showErrorMessage="1" allowBlank="1" errorTitle="Date" error="Enter a valid date (DD.MM.YYYY)" type="date" operator="greaterThan">
      <formula1>DATE(2000,1,1)</formula1>
    </dataValidation>
    <dataValidation sqref="O2:O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N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9" customWidth="1" min="3" max="3"/>
    <col width="17" customWidth="1" min="4" max="4"/>
    <col width="14" customWidth="1" min="5" max="5"/>
    <col width="13" customWidth="1" min="6" max="6"/>
    <col width="14" customWidth="1" min="7" max="7"/>
    <col width="13" customWidth="1" min="8" max="8"/>
    <col width="12" customWidth="1" min="9" max="9"/>
    <col width="14" customWidth="1" min="10" max="11"/>
    <col width="22" customWidth="1" min="12" max="12"/>
    <col width="13" customWidth="1" min="13" max="13"/>
    <col width="36" customWidth="1" min="14" max="14"/>
  </cols>
  <sheetData>
    <row r="1" ht="27.95" customHeight="1">
      <c r="A1" s="6" t="inlineStr">
        <is>
          <t>STATEMENT_ID</t>
        </is>
      </c>
      <c r="B1" s="6" t="inlineStr">
        <is>
          <t>STATEMENT_CODE</t>
        </is>
      </c>
      <c r="C1" s="6" t="inlineStr">
        <is>
          <t>STATEMENT_TYPE_ID</t>
        </is>
      </c>
      <c r="D1" s="6" t="inlineStr">
        <is>
          <t>LEGAL_ENTITY_ID</t>
        </is>
      </c>
      <c r="E1" s="6" t="inlineStr">
        <is>
          <t>COUNTRY_ID</t>
        </is>
      </c>
      <c r="F1" s="6" t="inlineStr">
        <is>
          <t>PERIOD_YEAR</t>
        </is>
      </c>
      <c r="G1" s="6" t="inlineStr">
        <is>
          <t>PERIOD_MONTH</t>
        </is>
      </c>
      <c r="H1" s="6" t="inlineStr">
        <is>
          <t>PERIOD_FROM</t>
        </is>
      </c>
      <c r="I1" s="6" t="inlineStr">
        <is>
          <t>PERIOD_TO</t>
        </is>
      </c>
      <c r="J1" s="6" t="inlineStr">
        <is>
          <t>STATUS_ID</t>
        </is>
      </c>
      <c r="K1" s="6" t="inlineStr">
        <is>
          <t>GENERATED_AT</t>
        </is>
      </c>
      <c r="L1" s="6" t="inlineStr">
        <is>
          <t>APPROVED_BY_PERSON_ID</t>
        </is>
      </c>
      <c r="M1" s="6" t="inlineStr">
        <is>
          <t>APPROVED_AT</t>
        </is>
      </c>
      <c r="N1" s="6" t="inlineStr">
        <is>
          <t>NOTES</t>
        </is>
      </c>
    </row>
    <row r="2">
      <c r="A2" s="19" t="inlineStr">
        <is>
          <t>1</t>
        </is>
      </c>
      <c r="B2" s="19" t="inlineStr">
        <is>
          <t>IA-PPWR-STM-ST-012-EUR-01-R00</t>
        </is>
      </c>
      <c r="C2" s="19" t="inlineStr">
        <is>
          <t>1</t>
        </is>
      </c>
      <c r="D2" s="19" t="inlineStr">
        <is>
          <t>1</t>
        </is>
      </c>
      <c r="E2" s="19" t="inlineStr">
        <is>
          <t>2</t>
        </is>
      </c>
      <c r="F2" t="n">
        <v>2026</v>
      </c>
      <c r="H2" t="inlineStr">
        <is>
          <t>2026-08-08</t>
        </is>
      </c>
      <c r="I2" t="inlineStr">
        <is>
          <t>2026-08-08</t>
        </is>
      </c>
      <c r="J2" s="19" t="inlineStr">
        <is>
          <t>2</t>
        </is>
      </c>
      <c r="L2" s="19" t="n"/>
      <c r="N2" t="inlineStr">
        <is>
          <t>Rev.00 Word shipment statement generated — see DOCUMENT_LIBRARY.FILE_URI</t>
        </is>
      </c>
    </row>
    <row r="3">
      <c r="A3" s="19" t="inlineStr">
        <is>
          <t>2</t>
        </is>
      </c>
      <c r="B3" s="19" t="inlineStr">
        <is>
          <t>IA-PPWR-STM-ST-012-EUR-02-R00</t>
        </is>
      </c>
      <c r="C3" s="19" t="inlineStr">
        <is>
          <t>1</t>
        </is>
      </c>
      <c r="D3" s="19" t="inlineStr">
        <is>
          <t>1</t>
        </is>
      </c>
      <c r="E3" s="19" t="inlineStr">
        <is>
          <t>2</t>
        </is>
      </c>
      <c r="F3" t="n">
        <v>2026</v>
      </c>
      <c r="H3" t="inlineStr">
        <is>
          <t>2026-08-08</t>
        </is>
      </c>
      <c r="I3" t="inlineStr">
        <is>
          <t>2026-08-08</t>
        </is>
      </c>
      <c r="J3" s="19" t="inlineStr">
        <is>
          <t>2</t>
        </is>
      </c>
      <c r="L3" s="19" t="n"/>
      <c r="N3" t="inlineStr">
        <is>
          <t>Rev.00 Word shipment statement generated — see DOCUMENT_LIBRARY.FILE_URI</t>
        </is>
      </c>
    </row>
    <row r="4">
      <c r="A4" s="19" t="inlineStr">
        <is>
          <t>3</t>
        </is>
      </c>
      <c r="B4" s="19" t="inlineStr">
        <is>
          <t>IA-PPWR-STM-ST-012-EUR-03-R00</t>
        </is>
      </c>
      <c r="C4" s="19" t="inlineStr">
        <is>
          <t>1</t>
        </is>
      </c>
      <c r="D4" s="19" t="inlineStr">
        <is>
          <t>1</t>
        </is>
      </c>
      <c r="E4" s="19" t="inlineStr">
        <is>
          <t>2</t>
        </is>
      </c>
      <c r="F4" t="n">
        <v>2026</v>
      </c>
      <c r="H4" t="inlineStr">
        <is>
          <t>2026-08-08</t>
        </is>
      </c>
      <c r="I4" t="inlineStr">
        <is>
          <t>2026-08-08</t>
        </is>
      </c>
      <c r="J4" s="19" t="inlineStr">
        <is>
          <t>2</t>
        </is>
      </c>
      <c r="L4" s="19" t="n"/>
      <c r="N4" t="inlineStr">
        <is>
          <t>Rev.00 Word shipment statement generated — see DOCUMENT_LIBRARY.FILE_URI</t>
        </is>
      </c>
    </row>
    <row r="5">
      <c r="A5" s="19" t="inlineStr">
        <is>
          <t>4</t>
        </is>
      </c>
      <c r="B5" s="19" t="inlineStr">
        <is>
          <t>IA-PPWR-STM-ST-018-EUR-01-R00</t>
        </is>
      </c>
      <c r="C5" s="19" t="inlineStr">
        <is>
          <t>1</t>
        </is>
      </c>
      <c r="D5" s="19" t="inlineStr">
        <is>
          <t>1</t>
        </is>
      </c>
      <c r="E5" s="19" t="inlineStr">
        <is>
          <t>2</t>
        </is>
      </c>
      <c r="F5" t="n">
        <v>2026</v>
      </c>
      <c r="H5" t="inlineStr">
        <is>
          <t>2026-08-08</t>
        </is>
      </c>
      <c r="I5" t="inlineStr">
        <is>
          <t>2026-08-08</t>
        </is>
      </c>
      <c r="J5" s="19" t="inlineStr">
        <is>
          <t>2</t>
        </is>
      </c>
      <c r="L5" s="19" t="n"/>
      <c r="N5" t="inlineStr">
        <is>
          <t>Rev.00 Word shipment statement generated — see DOCUMENT_LIBRARY.FILE_URI</t>
        </is>
      </c>
    </row>
    <row r="6">
      <c r="A6" s="19" t="inlineStr">
        <is>
          <t>5</t>
        </is>
      </c>
      <c r="B6" s="19" t="inlineStr">
        <is>
          <t>IA-PPWR-STM-ST-018-EUR-02-R00</t>
        </is>
      </c>
      <c r="C6" s="19" t="inlineStr">
        <is>
          <t>1</t>
        </is>
      </c>
      <c r="D6" s="19" t="inlineStr">
        <is>
          <t>1</t>
        </is>
      </c>
      <c r="E6" s="19" t="inlineStr">
        <is>
          <t>2</t>
        </is>
      </c>
      <c r="F6" t="n">
        <v>2026</v>
      </c>
      <c r="H6" t="inlineStr">
        <is>
          <t>2026-08-08</t>
        </is>
      </c>
      <c r="I6" t="inlineStr">
        <is>
          <t>2026-08-08</t>
        </is>
      </c>
      <c r="J6" s="19" t="inlineStr">
        <is>
          <t>2</t>
        </is>
      </c>
      <c r="L6" s="19" t="n"/>
      <c r="N6" t="inlineStr">
        <is>
          <t>Rev.00 Word shipment statement generated — see DOCUMENT_LIBRARY.FILE_URI</t>
        </is>
      </c>
    </row>
    <row r="7">
      <c r="A7" s="19" t="inlineStr">
        <is>
          <t>6</t>
        </is>
      </c>
      <c r="B7" s="19" t="inlineStr">
        <is>
          <t>IA-PPWR-STM-ST-018-EUR-03-R00</t>
        </is>
      </c>
      <c r="C7" s="19" t="inlineStr">
        <is>
          <t>1</t>
        </is>
      </c>
      <c r="D7" s="19" t="inlineStr">
        <is>
          <t>1</t>
        </is>
      </c>
      <c r="E7" s="19" t="inlineStr">
        <is>
          <t>2</t>
        </is>
      </c>
      <c r="F7" t="n">
        <v>2026</v>
      </c>
      <c r="H7" t="inlineStr">
        <is>
          <t>2026-08-08</t>
        </is>
      </c>
      <c r="I7" t="inlineStr">
        <is>
          <t>2026-08-08</t>
        </is>
      </c>
      <c r="J7" s="19" t="inlineStr">
        <is>
          <t>2</t>
        </is>
      </c>
      <c r="L7" s="19" t="n"/>
      <c r="N7" t="inlineStr">
        <is>
          <t>Rev.00 Word shipment statement generated — see DOCUMENT_LIBRARY.FILE_URI</t>
        </is>
      </c>
    </row>
    <row r="8">
      <c r="A8" s="19" t="inlineStr">
        <is>
          <t>7</t>
        </is>
      </c>
      <c r="B8" s="19" t="inlineStr">
        <is>
          <t>IA-PPWR-STM-ST-018-EUR-04-R00</t>
        </is>
      </c>
      <c r="C8" s="19" t="inlineStr">
        <is>
          <t>1</t>
        </is>
      </c>
      <c r="D8" s="19" t="inlineStr">
        <is>
          <t>1</t>
        </is>
      </c>
      <c r="E8" s="19" t="inlineStr">
        <is>
          <t>2</t>
        </is>
      </c>
      <c r="F8" t="n">
        <v>2026</v>
      </c>
      <c r="H8" t="inlineStr">
        <is>
          <t>2026-08-08</t>
        </is>
      </c>
      <c r="I8" t="inlineStr">
        <is>
          <t>2026-08-08</t>
        </is>
      </c>
      <c r="J8" s="19" t="inlineStr">
        <is>
          <t>2</t>
        </is>
      </c>
      <c r="L8" s="19" t="n"/>
      <c r="N8" t="inlineStr">
        <is>
          <t>Rev.00 Word shipment statement generated — see DOCUMENT_LIBRARY.FILE_URI</t>
        </is>
      </c>
    </row>
    <row r="9">
      <c r="A9" s="19" t="inlineStr">
        <is>
          <t>8</t>
        </is>
      </c>
      <c r="B9" s="19" t="inlineStr">
        <is>
          <t>IA-PPWR-STM-ST-018-EUR-05-R00</t>
        </is>
      </c>
      <c r="C9" s="19" t="inlineStr">
        <is>
          <t>1</t>
        </is>
      </c>
      <c r="D9" s="19" t="inlineStr">
        <is>
          <t>1</t>
        </is>
      </c>
      <c r="E9" s="19" t="inlineStr">
        <is>
          <t>2</t>
        </is>
      </c>
      <c r="F9" t="n">
        <v>2026</v>
      </c>
      <c r="H9" t="inlineStr">
        <is>
          <t>2026-08-08</t>
        </is>
      </c>
      <c r="I9" t="inlineStr">
        <is>
          <t>2026-08-08</t>
        </is>
      </c>
      <c r="J9" s="19" t="inlineStr">
        <is>
          <t>2</t>
        </is>
      </c>
      <c r="L9" s="19" t="n"/>
      <c r="N9" t="inlineStr">
        <is>
          <t>Rev.00 Word shipment statement generated — see DOCUMENT_LIBRARY.FILE_URI</t>
        </is>
      </c>
    </row>
    <row r="10">
      <c r="A10" s="19" t="inlineStr">
        <is>
          <t>9</t>
        </is>
      </c>
      <c r="B10" s="19" t="inlineStr">
        <is>
          <t>IA-PPWR-STM-ST-021-EUR-01-R00</t>
        </is>
      </c>
      <c r="C10" s="19" t="inlineStr">
        <is>
          <t>1</t>
        </is>
      </c>
      <c r="D10" s="19" t="inlineStr">
        <is>
          <t>1</t>
        </is>
      </c>
      <c r="E10" s="19" t="inlineStr">
        <is>
          <t>2</t>
        </is>
      </c>
      <c r="F10" t="n">
        <v>2026</v>
      </c>
      <c r="H10" t="inlineStr">
        <is>
          <t>2026-08-08</t>
        </is>
      </c>
      <c r="I10" t="inlineStr">
        <is>
          <t>2026-08-08</t>
        </is>
      </c>
      <c r="J10" s="19" t="inlineStr">
        <is>
          <t>2</t>
        </is>
      </c>
      <c r="L10" s="19" t="n"/>
      <c r="N10" t="inlineStr">
        <is>
          <t>Rev.00 Word shipment statement generated — see DOCUMENT_LIBRARY.FILE_URI</t>
        </is>
      </c>
    </row>
    <row r="11">
      <c r="A11" s="19" t="inlineStr">
        <is>
          <t>10</t>
        </is>
      </c>
      <c r="B11" s="19" t="inlineStr">
        <is>
          <t>IA-PPWR-STM-ST-021-EUR-02-R00</t>
        </is>
      </c>
      <c r="C11" s="19" t="inlineStr">
        <is>
          <t>1</t>
        </is>
      </c>
      <c r="D11" s="19" t="inlineStr">
        <is>
          <t>1</t>
        </is>
      </c>
      <c r="E11" s="19" t="inlineStr">
        <is>
          <t>2</t>
        </is>
      </c>
      <c r="F11" t="n">
        <v>2026</v>
      </c>
      <c r="H11" t="inlineStr">
        <is>
          <t>2026-08-08</t>
        </is>
      </c>
      <c r="I11" t="inlineStr">
        <is>
          <t>2026-08-08</t>
        </is>
      </c>
      <c r="J11" s="19" t="inlineStr">
        <is>
          <t>2</t>
        </is>
      </c>
      <c r="L11" s="19" t="n"/>
      <c r="N11" t="inlineStr">
        <is>
          <t>Rev.00 Word shipment statement generated — see DOCUMENT_LIBRARY.FILE_URI</t>
        </is>
      </c>
    </row>
    <row r="12">
      <c r="A12" s="19" t="inlineStr">
        <is>
          <t>11</t>
        </is>
      </c>
      <c r="B12" s="19" t="inlineStr">
        <is>
          <t>IA-PPWR-STM-ST-021-EUR-03-R00</t>
        </is>
      </c>
      <c r="C12" s="19" t="inlineStr">
        <is>
          <t>1</t>
        </is>
      </c>
      <c r="D12" s="19" t="inlineStr">
        <is>
          <t>1</t>
        </is>
      </c>
      <c r="E12" s="19" t="inlineStr">
        <is>
          <t>2</t>
        </is>
      </c>
      <c r="F12" t="n">
        <v>2026</v>
      </c>
      <c r="H12" t="inlineStr">
        <is>
          <t>2026-08-08</t>
        </is>
      </c>
      <c r="I12" t="inlineStr">
        <is>
          <t>2026-08-08</t>
        </is>
      </c>
      <c r="J12" s="19" t="inlineStr">
        <is>
          <t>2</t>
        </is>
      </c>
      <c r="L12" s="19" t="n"/>
      <c r="N12" t="inlineStr">
        <is>
          <t>Rev.00 Word shipment statement generated — see DOCUMENT_LIBRARY.FILE_URI</t>
        </is>
      </c>
    </row>
    <row r="13">
      <c r="A13" s="19" t="inlineStr">
        <is>
          <t>12</t>
        </is>
      </c>
      <c r="B13" s="19" t="inlineStr">
        <is>
          <t>IA-PPWR-STM-ST-021-EUR-04-R00</t>
        </is>
      </c>
      <c r="C13" s="19" t="inlineStr">
        <is>
          <t>1</t>
        </is>
      </c>
      <c r="D13" s="19" t="inlineStr">
        <is>
          <t>1</t>
        </is>
      </c>
      <c r="E13" s="19" t="inlineStr">
        <is>
          <t>2</t>
        </is>
      </c>
      <c r="F13" t="n">
        <v>2026</v>
      </c>
      <c r="H13" t="inlineStr">
        <is>
          <t>2026-08-08</t>
        </is>
      </c>
      <c r="I13" t="inlineStr">
        <is>
          <t>2026-08-08</t>
        </is>
      </c>
      <c r="J13" s="19" t="inlineStr">
        <is>
          <t>2</t>
        </is>
      </c>
      <c r="L13" s="19" t="n"/>
      <c r="N13" t="inlineStr">
        <is>
          <t>Rev.00 Word shipment statement generated — see DOCUMENT_LIBRARY.FILE_URI</t>
        </is>
      </c>
    </row>
    <row r="14">
      <c r="A14" s="19" t="inlineStr">
        <is>
          <t>13</t>
        </is>
      </c>
      <c r="B14" s="19" t="inlineStr">
        <is>
          <t>IA-PPWR-STM-ST-021-EUR-05-R00</t>
        </is>
      </c>
      <c r="C14" s="19" t="inlineStr">
        <is>
          <t>1</t>
        </is>
      </c>
      <c r="D14" s="19" t="inlineStr">
        <is>
          <t>1</t>
        </is>
      </c>
      <c r="E14" s="19" t="inlineStr">
        <is>
          <t>2</t>
        </is>
      </c>
      <c r="F14" t="n">
        <v>2026</v>
      </c>
      <c r="H14" t="inlineStr">
        <is>
          <t>2026-08-08</t>
        </is>
      </c>
      <c r="I14" t="inlineStr">
        <is>
          <t>2026-08-08</t>
        </is>
      </c>
      <c r="J14" s="19" t="inlineStr">
        <is>
          <t>2</t>
        </is>
      </c>
      <c r="L14" s="19" t="n"/>
      <c r="N14" t="inlineStr">
        <is>
          <t>Rev.00 Word shipment statement generated — see DOCUMENT_LIBRARY.FILE_URI</t>
        </is>
      </c>
    </row>
    <row r="15">
      <c r="A15" s="19" t="inlineStr">
        <is>
          <t>14</t>
        </is>
      </c>
      <c r="B15" s="19" t="inlineStr">
        <is>
          <t>IA-PPWR-STM-ST-021-STD-01-R00</t>
        </is>
      </c>
      <c r="C15" s="19" t="inlineStr">
        <is>
          <t>1</t>
        </is>
      </c>
      <c r="D15" s="19" t="inlineStr">
        <is>
          <t>1</t>
        </is>
      </c>
      <c r="E15" s="19" t="inlineStr">
        <is>
          <t>2</t>
        </is>
      </c>
      <c r="F15" t="n">
        <v>2026</v>
      </c>
      <c r="H15" t="inlineStr">
        <is>
          <t>2026-08-08</t>
        </is>
      </c>
      <c r="I15" t="inlineStr">
        <is>
          <t>2026-08-08</t>
        </is>
      </c>
      <c r="J15" s="19" t="inlineStr">
        <is>
          <t>2</t>
        </is>
      </c>
      <c r="L15" s="19" t="n"/>
      <c r="N15" t="inlineStr">
        <is>
          <t>Rev.00 Word shipment statement generated — see DOCUMENT_LIBRARY.FILE_URI</t>
        </is>
      </c>
    </row>
    <row r="16">
      <c r="A16" s="19" t="inlineStr">
        <is>
          <t>15</t>
        </is>
      </c>
      <c r="B16" s="19" t="inlineStr">
        <is>
          <t>IA-PPWR-STM-ST-021-STD-02-R00</t>
        </is>
      </c>
      <c r="C16" s="19" t="inlineStr">
        <is>
          <t>1</t>
        </is>
      </c>
      <c r="D16" s="19" t="inlineStr">
        <is>
          <t>1</t>
        </is>
      </c>
      <c r="E16" s="19" t="inlineStr">
        <is>
          <t>2</t>
        </is>
      </c>
      <c r="F16" t="n">
        <v>2026</v>
      </c>
      <c r="H16" t="inlineStr">
        <is>
          <t>2026-08-08</t>
        </is>
      </c>
      <c r="I16" t="inlineStr">
        <is>
          <t>2026-08-08</t>
        </is>
      </c>
      <c r="J16" s="19" t="inlineStr">
        <is>
          <t>2</t>
        </is>
      </c>
      <c r="L16" s="19" t="n"/>
      <c r="N16" t="inlineStr">
        <is>
          <t>Rev.00 Word shipment statement generated — see DOCUMENT_LIBRARY.FILE_URI</t>
        </is>
      </c>
    </row>
    <row r="17">
      <c r="A17" s="19" t="inlineStr">
        <is>
          <t>16</t>
        </is>
      </c>
      <c r="B17" s="19" t="inlineStr">
        <is>
          <t>IA-PPWR-STM-ST-021-STD-03-R00</t>
        </is>
      </c>
      <c r="C17" s="19" t="inlineStr">
        <is>
          <t>1</t>
        </is>
      </c>
      <c r="D17" s="19" t="inlineStr">
        <is>
          <t>1</t>
        </is>
      </c>
      <c r="E17" s="19" t="inlineStr">
        <is>
          <t>2</t>
        </is>
      </c>
      <c r="F17" t="n">
        <v>2026</v>
      </c>
      <c r="H17" t="inlineStr">
        <is>
          <t>2026-08-08</t>
        </is>
      </c>
      <c r="I17" t="inlineStr">
        <is>
          <t>2026-08-08</t>
        </is>
      </c>
      <c r="J17" s="19" t="inlineStr">
        <is>
          <t>2</t>
        </is>
      </c>
      <c r="L17" s="19" t="n"/>
      <c r="N17" t="inlineStr">
        <is>
          <t>Rev.00 Word shipment statement generated — see DOCUMENT_LIBRARY.FILE_URI</t>
        </is>
      </c>
    </row>
    <row r="18">
      <c r="A18" s="19" t="inlineStr">
        <is>
          <t>17</t>
        </is>
      </c>
      <c r="B18" s="19" t="inlineStr">
        <is>
          <t>IA-PPWR-STM-ST-021-STD-04-R00</t>
        </is>
      </c>
      <c r="C18" s="19" t="inlineStr">
        <is>
          <t>1</t>
        </is>
      </c>
      <c r="D18" s="19" t="inlineStr">
        <is>
          <t>1</t>
        </is>
      </c>
      <c r="E18" s="19" t="inlineStr">
        <is>
          <t>2</t>
        </is>
      </c>
      <c r="F18" t="n">
        <v>2026</v>
      </c>
      <c r="H18" t="inlineStr">
        <is>
          <t>2026-08-08</t>
        </is>
      </c>
      <c r="I18" t="inlineStr">
        <is>
          <t>2026-08-08</t>
        </is>
      </c>
      <c r="J18" s="19" t="inlineStr">
        <is>
          <t>2</t>
        </is>
      </c>
      <c r="L18" s="19" t="n"/>
      <c r="N18" t="inlineStr">
        <is>
          <t>Rev.00 Word shipment statement generated — see DOCUMENT_LIBRARY.FILE_URI</t>
        </is>
      </c>
    </row>
    <row r="19">
      <c r="A19" s="19" t="inlineStr">
        <is>
          <t>18</t>
        </is>
      </c>
      <c r="B19" s="19" t="inlineStr">
        <is>
          <t>IA-PPWR-STM-ST-021-STD-05-R00</t>
        </is>
      </c>
      <c r="C19" s="19" t="inlineStr">
        <is>
          <t>1</t>
        </is>
      </c>
      <c r="D19" s="19" t="inlineStr">
        <is>
          <t>1</t>
        </is>
      </c>
      <c r="E19" s="19" t="inlineStr">
        <is>
          <t>2</t>
        </is>
      </c>
      <c r="F19" t="n">
        <v>2026</v>
      </c>
      <c r="H19" t="inlineStr">
        <is>
          <t>2026-08-08</t>
        </is>
      </c>
      <c r="I19" t="inlineStr">
        <is>
          <t>2026-08-08</t>
        </is>
      </c>
      <c r="J19" s="19" t="inlineStr">
        <is>
          <t>2</t>
        </is>
      </c>
      <c r="L19" s="19" t="n"/>
      <c r="N19" t="inlineStr">
        <is>
          <t>Rev.00 Word shipment statement generated — see DOCUMENT_LIBRARY.FILE_URI</t>
        </is>
      </c>
    </row>
    <row r="20">
      <c r="A20" s="19" t="inlineStr">
        <is>
          <t>19</t>
        </is>
      </c>
      <c r="B20" s="19" t="inlineStr">
        <is>
          <t>IA-PPWR-STM-ST-024-EUR-01-R00</t>
        </is>
      </c>
      <c r="C20" s="19" t="inlineStr">
        <is>
          <t>1</t>
        </is>
      </c>
      <c r="D20" s="19" t="inlineStr">
        <is>
          <t>1</t>
        </is>
      </c>
      <c r="E20" s="19" t="inlineStr">
        <is>
          <t>2</t>
        </is>
      </c>
      <c r="F20" t="n">
        <v>2026</v>
      </c>
      <c r="H20" t="inlineStr">
        <is>
          <t>2026-08-08</t>
        </is>
      </c>
      <c r="I20" t="inlineStr">
        <is>
          <t>2026-08-08</t>
        </is>
      </c>
      <c r="J20" s="19" t="inlineStr">
        <is>
          <t>2</t>
        </is>
      </c>
      <c r="L20" s="19" t="n"/>
      <c r="N20" t="inlineStr">
        <is>
          <t>Rev.00 Word shipment statement generated — see DOCUMENT_LIBRARY.FILE_URI</t>
        </is>
      </c>
    </row>
    <row r="21">
      <c r="A21" s="19" t="inlineStr">
        <is>
          <t>20</t>
        </is>
      </c>
      <c r="B21" s="19" t="inlineStr">
        <is>
          <t>IA-PPWR-STM-ST-024-EUR-02-R00</t>
        </is>
      </c>
      <c r="C21" s="19" t="inlineStr">
        <is>
          <t>1</t>
        </is>
      </c>
      <c r="D21" s="19" t="inlineStr">
        <is>
          <t>1</t>
        </is>
      </c>
      <c r="E21" s="19" t="inlineStr">
        <is>
          <t>2</t>
        </is>
      </c>
      <c r="F21" t="n">
        <v>2026</v>
      </c>
      <c r="H21" t="inlineStr">
        <is>
          <t>2026-08-08</t>
        </is>
      </c>
      <c r="I21" t="inlineStr">
        <is>
          <t>2026-08-08</t>
        </is>
      </c>
      <c r="J21" s="19" t="inlineStr">
        <is>
          <t>2</t>
        </is>
      </c>
      <c r="L21" s="19" t="n"/>
      <c r="N21" t="inlineStr">
        <is>
          <t>Rev.00 Word shipment statement generated — see DOCUMENT_LIBRARY.FILE_URI</t>
        </is>
      </c>
    </row>
    <row r="22">
      <c r="A22" s="19" t="inlineStr">
        <is>
          <t>21</t>
        </is>
      </c>
      <c r="B22" s="19" t="inlineStr">
        <is>
          <t>IA-PPWR-STM-ST-024-EUR-03-R00</t>
        </is>
      </c>
      <c r="C22" s="19" t="inlineStr">
        <is>
          <t>1</t>
        </is>
      </c>
      <c r="D22" s="19" t="inlineStr">
        <is>
          <t>1</t>
        </is>
      </c>
      <c r="E22" s="19" t="inlineStr">
        <is>
          <t>2</t>
        </is>
      </c>
      <c r="F22" t="n">
        <v>2026</v>
      </c>
      <c r="H22" t="inlineStr">
        <is>
          <t>2026-08-08</t>
        </is>
      </c>
      <c r="I22" t="inlineStr">
        <is>
          <t>2026-08-08</t>
        </is>
      </c>
      <c r="J22" s="19" t="inlineStr">
        <is>
          <t>2</t>
        </is>
      </c>
      <c r="L22" s="19" t="n"/>
      <c r="N22" t="inlineStr">
        <is>
          <t>Rev.00 Word shipment statement generated — see DOCUMENT_LIBRARY.FILE_URI</t>
        </is>
      </c>
    </row>
    <row r="23">
      <c r="A23" s="19" t="inlineStr">
        <is>
          <t>22</t>
        </is>
      </c>
      <c r="B23" s="19" t="inlineStr">
        <is>
          <t>IA-PPWR-STM-ST-024-EUR-04-R00</t>
        </is>
      </c>
      <c r="C23" s="19" t="inlineStr">
        <is>
          <t>1</t>
        </is>
      </c>
      <c r="D23" s="19" t="inlineStr">
        <is>
          <t>1</t>
        </is>
      </c>
      <c r="E23" s="19" t="inlineStr">
        <is>
          <t>2</t>
        </is>
      </c>
      <c r="F23" t="n">
        <v>2026</v>
      </c>
      <c r="H23" t="inlineStr">
        <is>
          <t>2026-08-08</t>
        </is>
      </c>
      <c r="I23" t="inlineStr">
        <is>
          <t>2026-08-08</t>
        </is>
      </c>
      <c r="J23" s="19" t="inlineStr">
        <is>
          <t>2</t>
        </is>
      </c>
      <c r="L23" s="19" t="n"/>
      <c r="N23" t="inlineStr">
        <is>
          <t>Rev.00 Word shipment statement generated — see DOCUMENT_LIBRARY.FILE_URI</t>
        </is>
      </c>
    </row>
    <row r="24">
      <c r="A24" s="19" t="inlineStr">
        <is>
          <t>23</t>
        </is>
      </c>
      <c r="B24" s="19" t="inlineStr">
        <is>
          <t>IA-PPWR-STM-ST-024-STD-01-R00</t>
        </is>
      </c>
      <c r="C24" s="19" t="inlineStr">
        <is>
          <t>1</t>
        </is>
      </c>
      <c r="D24" s="19" t="inlineStr">
        <is>
          <t>1</t>
        </is>
      </c>
      <c r="E24" s="19" t="inlineStr">
        <is>
          <t>2</t>
        </is>
      </c>
      <c r="F24" t="n">
        <v>2026</v>
      </c>
      <c r="H24" t="inlineStr">
        <is>
          <t>2026-08-08</t>
        </is>
      </c>
      <c r="I24" t="inlineStr">
        <is>
          <t>2026-08-08</t>
        </is>
      </c>
      <c r="J24" s="19" t="inlineStr">
        <is>
          <t>2</t>
        </is>
      </c>
      <c r="L24" s="19" t="n"/>
      <c r="N24" t="inlineStr">
        <is>
          <t>Rev.00 Word shipment statement generated — see DOCUMENT_LIBRARY.FILE_URI</t>
        </is>
      </c>
    </row>
    <row r="25">
      <c r="A25" s="19" t="inlineStr">
        <is>
          <t>24</t>
        </is>
      </c>
      <c r="B25" s="19" t="inlineStr">
        <is>
          <t>IA-PPWR-STM-ST-027-STD90-01-R00</t>
        </is>
      </c>
      <c r="C25" s="19" t="inlineStr">
        <is>
          <t>1</t>
        </is>
      </c>
      <c r="D25" s="19" t="inlineStr">
        <is>
          <t>1</t>
        </is>
      </c>
      <c r="E25" s="19" t="inlineStr">
        <is>
          <t>2</t>
        </is>
      </c>
      <c r="F25" t="n">
        <v>2026</v>
      </c>
      <c r="H25" t="inlineStr">
        <is>
          <t>2026-08-08</t>
        </is>
      </c>
      <c r="I25" t="inlineStr">
        <is>
          <t>2026-08-08</t>
        </is>
      </c>
      <c r="J25" s="19" t="inlineStr">
        <is>
          <t>2</t>
        </is>
      </c>
      <c r="L25" s="19" t="n"/>
      <c r="N25" t="inlineStr">
        <is>
          <t>Rev.00 Word shipment statement generated — see DOCUMENT_LIBRARY.FILE_URI</t>
        </is>
      </c>
    </row>
    <row r="26">
      <c r="A26" s="19" t="inlineStr">
        <is>
          <t>25</t>
        </is>
      </c>
      <c r="B26" s="19" t="inlineStr">
        <is>
          <t>IA-PPWR-STM-ST-027-STD90-02-R00</t>
        </is>
      </c>
      <c r="C26" s="19" t="inlineStr">
        <is>
          <t>1</t>
        </is>
      </c>
      <c r="D26" s="19" t="inlineStr">
        <is>
          <t>1</t>
        </is>
      </c>
      <c r="E26" s="19" t="inlineStr">
        <is>
          <t>2</t>
        </is>
      </c>
      <c r="F26" t="n">
        <v>2026</v>
      </c>
      <c r="H26" t="inlineStr">
        <is>
          <t>2026-08-08</t>
        </is>
      </c>
      <c r="I26" t="inlineStr">
        <is>
          <t>2026-08-08</t>
        </is>
      </c>
      <c r="J26" s="19" t="inlineStr">
        <is>
          <t>2</t>
        </is>
      </c>
      <c r="L26" s="19" t="n"/>
      <c r="N26" t="inlineStr">
        <is>
          <t>Rev.00 Word shipment statement generated — see DOCUMENT_LIBRARY.FILE_URI</t>
        </is>
      </c>
    </row>
    <row r="27">
      <c r="A27" s="19" t="inlineStr">
        <is>
          <t>26</t>
        </is>
      </c>
      <c r="B27" s="19" t="inlineStr">
        <is>
          <t>IA-PPWR-STM-ST-028-STD-01-R00</t>
        </is>
      </c>
      <c r="C27" s="19" t="inlineStr">
        <is>
          <t>1</t>
        </is>
      </c>
      <c r="D27" s="19" t="inlineStr">
        <is>
          <t>1</t>
        </is>
      </c>
      <c r="E27" s="19" t="inlineStr">
        <is>
          <t>2</t>
        </is>
      </c>
      <c r="F27" t="n">
        <v>2026</v>
      </c>
      <c r="H27" t="inlineStr">
        <is>
          <t>2026-08-08</t>
        </is>
      </c>
      <c r="I27" t="inlineStr">
        <is>
          <t>2026-08-08</t>
        </is>
      </c>
      <c r="J27" s="19" t="inlineStr">
        <is>
          <t>2</t>
        </is>
      </c>
      <c r="L27" s="19" t="n"/>
      <c r="N27" t="inlineStr">
        <is>
          <t>Rev.00 Word shipment statement generated — see DOCUMENT_LIBRARY.FILE_URI</t>
        </is>
      </c>
    </row>
    <row r="28">
      <c r="A28" s="19" t="inlineStr">
        <is>
          <t>27</t>
        </is>
      </c>
      <c r="B28" s="19" t="inlineStr">
        <is>
          <t>IA-PPWR-STM-ST-030-STD-01-R00</t>
        </is>
      </c>
      <c r="C28" s="19" t="inlineStr">
        <is>
          <t>1</t>
        </is>
      </c>
      <c r="D28" s="19" t="inlineStr">
        <is>
          <t>1</t>
        </is>
      </c>
      <c r="E28" s="19" t="inlineStr">
        <is>
          <t>2</t>
        </is>
      </c>
      <c r="F28" t="n">
        <v>2026</v>
      </c>
      <c r="H28" t="inlineStr">
        <is>
          <t>2026-08-08</t>
        </is>
      </c>
      <c r="I28" t="inlineStr">
        <is>
          <t>2026-08-08</t>
        </is>
      </c>
      <c r="J28" s="19" t="inlineStr">
        <is>
          <t>2</t>
        </is>
      </c>
      <c r="L28" s="19" t="n"/>
      <c r="N28" t="inlineStr">
        <is>
          <t>Rev.00 Word shipment statement generated — see DOCUMENT_LIBRARY.FILE_URI</t>
        </is>
      </c>
    </row>
    <row r="29">
      <c r="A29" s="19" t="inlineStr">
        <is>
          <t>28</t>
        </is>
      </c>
      <c r="B29" s="19" t="inlineStr">
        <is>
          <t>IA-PPWR-STM-ST-030-STD-02-R00</t>
        </is>
      </c>
      <c r="C29" s="19" t="inlineStr">
        <is>
          <t>1</t>
        </is>
      </c>
      <c r="D29" s="19" t="inlineStr">
        <is>
          <t>1</t>
        </is>
      </c>
      <c r="E29" s="19" t="inlineStr">
        <is>
          <t>2</t>
        </is>
      </c>
      <c r="F29" t="n">
        <v>2026</v>
      </c>
      <c r="H29" t="inlineStr">
        <is>
          <t>2026-08-08</t>
        </is>
      </c>
      <c r="I29" t="inlineStr">
        <is>
          <t>2026-08-08</t>
        </is>
      </c>
      <c r="J29" s="19" t="inlineStr">
        <is>
          <t>2</t>
        </is>
      </c>
      <c r="L29" s="19" t="n"/>
      <c r="N29" t="inlineStr">
        <is>
          <t>Rev.00 Word shipment statement generated — see DOCUMENT_LIBRARY.FILE_URI</t>
        </is>
      </c>
    </row>
    <row r="30">
      <c r="A30" s="19" t="inlineStr">
        <is>
          <t>29</t>
        </is>
      </c>
      <c r="B30" s="19" t="inlineStr">
        <is>
          <t>IA-PPWR-STM-ST-030-STD-03-R00</t>
        </is>
      </c>
      <c r="C30" s="19" t="inlineStr">
        <is>
          <t>1</t>
        </is>
      </c>
      <c r="D30" s="19" t="inlineStr">
        <is>
          <t>1</t>
        </is>
      </c>
      <c r="E30" s="19" t="inlineStr">
        <is>
          <t>2</t>
        </is>
      </c>
      <c r="F30" t="n">
        <v>2026</v>
      </c>
      <c r="H30" t="inlineStr">
        <is>
          <t>2026-08-08</t>
        </is>
      </c>
      <c r="I30" t="inlineStr">
        <is>
          <t>2026-08-08</t>
        </is>
      </c>
      <c r="J30" s="19" t="inlineStr">
        <is>
          <t>2</t>
        </is>
      </c>
      <c r="L30" s="19" t="n"/>
      <c r="N30" t="inlineStr">
        <is>
          <t>Rev.00 Word shipment statement generated — see DOCUMENT_LIBRARY.FILE_URI</t>
        </is>
      </c>
    </row>
    <row r="31">
      <c r="A31" s="19" t="inlineStr">
        <is>
          <t>30</t>
        </is>
      </c>
      <c r="B31" s="19" t="inlineStr">
        <is>
          <t>IA-PPWR-STM-ST-030-STD-04-R00</t>
        </is>
      </c>
      <c r="C31" s="19" t="inlineStr">
        <is>
          <t>1</t>
        </is>
      </c>
      <c r="D31" s="19" t="inlineStr">
        <is>
          <t>1</t>
        </is>
      </c>
      <c r="E31" s="19" t="inlineStr">
        <is>
          <t>2</t>
        </is>
      </c>
      <c r="F31" t="n">
        <v>2026</v>
      </c>
      <c r="H31" t="inlineStr">
        <is>
          <t>2026-08-08</t>
        </is>
      </c>
      <c r="I31" t="inlineStr">
        <is>
          <t>2026-08-08</t>
        </is>
      </c>
      <c r="J31" s="19" t="inlineStr">
        <is>
          <t>2</t>
        </is>
      </c>
      <c r="L31" s="19" t="n"/>
      <c r="N31" t="inlineStr">
        <is>
          <t>Rev.00 Word shipment statement generated — see DOCUMENT_LIBRARY.FILE_URI</t>
        </is>
      </c>
    </row>
    <row r="32">
      <c r="A32" s="19" t="inlineStr">
        <is>
          <t>31</t>
        </is>
      </c>
      <c r="B32" s="19" t="inlineStr">
        <is>
          <t>IA-PPWR-STM-ST-030-STD-05-R00</t>
        </is>
      </c>
      <c r="C32" s="19" t="inlineStr">
        <is>
          <t>1</t>
        </is>
      </c>
      <c r="D32" s="19" t="inlineStr">
        <is>
          <t>1</t>
        </is>
      </c>
      <c r="E32" s="19" t="inlineStr">
        <is>
          <t>2</t>
        </is>
      </c>
      <c r="F32" t="n">
        <v>2026</v>
      </c>
      <c r="H32" t="inlineStr">
        <is>
          <t>2026-08-08</t>
        </is>
      </c>
      <c r="I32" t="inlineStr">
        <is>
          <t>2026-08-08</t>
        </is>
      </c>
      <c r="J32" s="19" t="inlineStr">
        <is>
          <t>2</t>
        </is>
      </c>
      <c r="L32" s="19" t="n"/>
      <c r="N32" t="inlineStr">
        <is>
          <t>Rev.00 Word shipment statement generated — see DOCUMENT_LIBRARY.FILE_URI</t>
        </is>
      </c>
    </row>
    <row r="33">
      <c r="A33" s="19" t="inlineStr">
        <is>
          <t>32</t>
        </is>
      </c>
      <c r="B33" s="19" t="inlineStr">
        <is>
          <t>IA-PPWR-STM-ST-030-STD-06-R00</t>
        </is>
      </c>
      <c r="C33" s="19" t="inlineStr">
        <is>
          <t>1</t>
        </is>
      </c>
      <c r="D33" s="19" t="inlineStr">
        <is>
          <t>1</t>
        </is>
      </c>
      <c r="E33" s="19" t="inlineStr">
        <is>
          <t>2</t>
        </is>
      </c>
      <c r="F33" t="n">
        <v>2026</v>
      </c>
      <c r="H33" t="inlineStr">
        <is>
          <t>2026-08-08</t>
        </is>
      </c>
      <c r="I33" t="inlineStr">
        <is>
          <t>2026-08-08</t>
        </is>
      </c>
      <c r="J33" s="19" t="inlineStr">
        <is>
          <t>2</t>
        </is>
      </c>
      <c r="L33" s="19" t="n"/>
      <c r="N33" t="inlineStr">
        <is>
          <t>Rev.00 Word shipment statement generated — see DOCUMENT_LIBRARY.FILE_URI</t>
        </is>
      </c>
    </row>
    <row r="34">
      <c r="A34" s="19" t="inlineStr">
        <is>
          <t>33</t>
        </is>
      </c>
      <c r="B34" s="19" t="inlineStr">
        <is>
          <t>IA-PPWR-STM-ST-030-STD-07-R00</t>
        </is>
      </c>
      <c r="C34" s="19" t="inlineStr">
        <is>
          <t>1</t>
        </is>
      </c>
      <c r="D34" s="19" t="inlineStr">
        <is>
          <t>1</t>
        </is>
      </c>
      <c r="E34" s="19" t="inlineStr">
        <is>
          <t>2</t>
        </is>
      </c>
      <c r="F34" t="n">
        <v>2026</v>
      </c>
      <c r="H34" t="inlineStr">
        <is>
          <t>2026-08-08</t>
        </is>
      </c>
      <c r="I34" t="inlineStr">
        <is>
          <t>2026-08-08</t>
        </is>
      </c>
      <c r="J34" s="19" t="inlineStr">
        <is>
          <t>2</t>
        </is>
      </c>
      <c r="L34" s="19" t="n"/>
      <c r="N34" t="inlineStr">
        <is>
          <t>Rev.00 Word shipment statement generated — see DOCUMENT_LIBRARY.FILE_URI</t>
        </is>
      </c>
    </row>
    <row r="35">
      <c r="A35" s="19" t="inlineStr">
        <is>
          <t>34</t>
        </is>
      </c>
      <c r="B35" s="19" t="inlineStr">
        <is>
          <t>IA-PPWR-STM-ST-030-STD-08-R00</t>
        </is>
      </c>
      <c r="C35" s="19" t="inlineStr">
        <is>
          <t>1</t>
        </is>
      </c>
      <c r="D35" s="19" t="inlineStr">
        <is>
          <t>1</t>
        </is>
      </c>
      <c r="E35" s="19" t="inlineStr">
        <is>
          <t>2</t>
        </is>
      </c>
      <c r="F35" t="n">
        <v>2026</v>
      </c>
      <c r="H35" t="inlineStr">
        <is>
          <t>2026-08-08</t>
        </is>
      </c>
      <c r="I35" t="inlineStr">
        <is>
          <t>2026-08-08</t>
        </is>
      </c>
      <c r="J35" s="19" t="inlineStr">
        <is>
          <t>2</t>
        </is>
      </c>
      <c r="L35" s="19" t="n"/>
      <c r="N35" t="inlineStr">
        <is>
          <t>Rev.00 Word shipment statement generated — see DOCUMENT_LIBRARY.FILE_URI</t>
        </is>
      </c>
    </row>
    <row r="36">
      <c r="A36" s="19" t="inlineStr">
        <is>
          <t>35</t>
        </is>
      </c>
      <c r="B36" s="19" t="inlineStr">
        <is>
          <t>IA-PPWR-STM-ST-030-STD-09-R00</t>
        </is>
      </c>
      <c r="C36" s="19" t="inlineStr">
        <is>
          <t>1</t>
        </is>
      </c>
      <c r="D36" s="19" t="inlineStr">
        <is>
          <t>1</t>
        </is>
      </c>
      <c r="E36" s="19" t="inlineStr">
        <is>
          <t>2</t>
        </is>
      </c>
      <c r="F36" t="n">
        <v>2026</v>
      </c>
      <c r="H36" t="inlineStr">
        <is>
          <t>2026-08-08</t>
        </is>
      </c>
      <c r="I36" t="inlineStr">
        <is>
          <t>2026-08-08</t>
        </is>
      </c>
      <c r="J36" s="19" t="inlineStr">
        <is>
          <t>2</t>
        </is>
      </c>
      <c r="L36" s="19" t="n"/>
      <c r="N36" t="inlineStr">
        <is>
          <t>Rev.00 Word shipment statement generated — see DOCUMENT_LIBRARY.FILE_URI</t>
        </is>
      </c>
    </row>
    <row r="37">
      <c r="A37" s="19" t="inlineStr">
        <is>
          <t>36</t>
        </is>
      </c>
      <c r="B37" s="19" t="inlineStr">
        <is>
          <t>IA-PPWR-STM-ST-030-STD-10-R00</t>
        </is>
      </c>
      <c r="C37" s="19" t="inlineStr">
        <is>
          <t>1</t>
        </is>
      </c>
      <c r="D37" s="19" t="inlineStr">
        <is>
          <t>1</t>
        </is>
      </c>
      <c r="E37" s="19" t="inlineStr">
        <is>
          <t>2</t>
        </is>
      </c>
      <c r="F37" t="n">
        <v>2026</v>
      </c>
      <c r="H37" t="inlineStr">
        <is>
          <t>2026-08-08</t>
        </is>
      </c>
      <c r="I37" t="inlineStr">
        <is>
          <t>2026-08-08</t>
        </is>
      </c>
      <c r="J37" s="19" t="inlineStr">
        <is>
          <t>2</t>
        </is>
      </c>
      <c r="L37" s="19" t="n"/>
      <c r="N37" t="inlineStr">
        <is>
          <t>Rev.00 Word shipment statement generated — see DOCUMENT_LIBRARY.FILE_URI</t>
        </is>
      </c>
    </row>
    <row r="38">
      <c r="A38" s="19" t="inlineStr">
        <is>
          <t>37</t>
        </is>
      </c>
      <c r="B38" s="19" t="inlineStr">
        <is>
          <t>IA-PPWR-STM-ST-030-STD-11-R00</t>
        </is>
      </c>
      <c r="C38" s="19" t="inlineStr">
        <is>
          <t>1</t>
        </is>
      </c>
      <c r="D38" s="19" t="inlineStr">
        <is>
          <t>1</t>
        </is>
      </c>
      <c r="E38" s="19" t="inlineStr">
        <is>
          <t>2</t>
        </is>
      </c>
      <c r="F38" t="n">
        <v>2026</v>
      </c>
      <c r="H38" t="inlineStr">
        <is>
          <t>2026-08-08</t>
        </is>
      </c>
      <c r="I38" t="inlineStr">
        <is>
          <t>2026-08-08</t>
        </is>
      </c>
      <c r="J38" s="19" t="inlineStr">
        <is>
          <t>2</t>
        </is>
      </c>
      <c r="L38" s="19" t="n"/>
      <c r="N38" t="inlineStr">
        <is>
          <t>Rev.00 Word shipment statement generated — see DOCUMENT_LIBRARY.FILE_URI</t>
        </is>
      </c>
    </row>
    <row r="39">
      <c r="A39" s="19" t="inlineStr">
        <is>
          <t>38</t>
        </is>
      </c>
      <c r="B39" s="19" t="inlineStr">
        <is>
          <t>IA-PPWR-STM-ST-033-EUR-01-R00</t>
        </is>
      </c>
      <c r="C39" s="19" t="inlineStr">
        <is>
          <t>1</t>
        </is>
      </c>
      <c r="D39" s="19" t="inlineStr">
        <is>
          <t>1</t>
        </is>
      </c>
      <c r="E39" s="19" t="inlineStr">
        <is>
          <t>2</t>
        </is>
      </c>
      <c r="F39" t="n">
        <v>2026</v>
      </c>
      <c r="H39" t="inlineStr">
        <is>
          <t>2026-08-08</t>
        </is>
      </c>
      <c r="I39" t="inlineStr">
        <is>
          <t>2026-08-08</t>
        </is>
      </c>
      <c r="J39" s="19" t="inlineStr">
        <is>
          <t>2</t>
        </is>
      </c>
      <c r="L39" s="19" t="n"/>
      <c r="N39" t="inlineStr">
        <is>
          <t>Rev.00 Word shipment statement generated — see DOCUMENT_LIBRARY.FILE_URI</t>
        </is>
      </c>
    </row>
    <row r="40">
      <c r="A40" s="19" t="inlineStr">
        <is>
          <t>39</t>
        </is>
      </c>
      <c r="B40" s="19" t="inlineStr">
        <is>
          <t>IA-PPWR-STM-ST-034-STD-01-R00</t>
        </is>
      </c>
      <c r="C40" s="19" t="inlineStr">
        <is>
          <t>1</t>
        </is>
      </c>
      <c r="D40" s="19" t="inlineStr">
        <is>
          <t>1</t>
        </is>
      </c>
      <c r="E40" s="19" t="inlineStr">
        <is>
          <t>2</t>
        </is>
      </c>
      <c r="F40" t="n">
        <v>2026</v>
      </c>
      <c r="H40" t="inlineStr">
        <is>
          <t>2026-08-08</t>
        </is>
      </c>
      <c r="I40" t="inlineStr">
        <is>
          <t>2026-08-08</t>
        </is>
      </c>
      <c r="J40" s="19" t="inlineStr">
        <is>
          <t>2</t>
        </is>
      </c>
      <c r="L40" s="19" t="n"/>
      <c r="N40" t="inlineStr">
        <is>
          <t>Rev.00 Word shipment statement generated — see DOCUMENT_LIBRARY.FILE_URI</t>
        </is>
      </c>
    </row>
    <row r="41">
      <c r="A41" s="19" t="inlineStr">
        <is>
          <t>40</t>
        </is>
      </c>
      <c r="B41" s="19" t="inlineStr">
        <is>
          <t>IA-PPWR-STM-ST-034-STD-02-R00</t>
        </is>
      </c>
      <c r="C41" s="19" t="inlineStr">
        <is>
          <t>1</t>
        </is>
      </c>
      <c r="D41" s="19" t="inlineStr">
        <is>
          <t>1</t>
        </is>
      </c>
      <c r="E41" s="19" t="inlineStr">
        <is>
          <t>2</t>
        </is>
      </c>
      <c r="F41" t="n">
        <v>2026</v>
      </c>
      <c r="H41" t="inlineStr">
        <is>
          <t>2026-08-08</t>
        </is>
      </c>
      <c r="I41" t="inlineStr">
        <is>
          <t>2026-08-08</t>
        </is>
      </c>
      <c r="J41" s="19" t="inlineStr">
        <is>
          <t>2</t>
        </is>
      </c>
      <c r="L41" s="19" t="n"/>
      <c r="N41" t="inlineStr">
        <is>
          <t>Rev.00 Word shipment statement generated — see DOCUMENT_LIBRARY.FILE_URI</t>
        </is>
      </c>
    </row>
    <row r="42">
      <c r="A42" s="19" t="inlineStr">
        <is>
          <t>41</t>
        </is>
      </c>
      <c r="B42" s="19" t="inlineStr">
        <is>
          <t>IA-PPWR-STM-ST-036-EUR-01-R00</t>
        </is>
      </c>
      <c r="C42" s="19" t="inlineStr">
        <is>
          <t>1</t>
        </is>
      </c>
      <c r="D42" s="19" t="inlineStr">
        <is>
          <t>1</t>
        </is>
      </c>
      <c r="E42" s="19" t="inlineStr">
        <is>
          <t>2</t>
        </is>
      </c>
      <c r="F42" t="n">
        <v>2026</v>
      </c>
      <c r="H42" t="inlineStr">
        <is>
          <t>2026-08-08</t>
        </is>
      </c>
      <c r="I42" t="inlineStr">
        <is>
          <t>2026-08-08</t>
        </is>
      </c>
      <c r="J42" s="19" t="inlineStr">
        <is>
          <t>2</t>
        </is>
      </c>
      <c r="L42" s="19" t="n"/>
      <c r="N42" t="inlineStr">
        <is>
          <t>Rev.00 Word shipment statement generated — see DOCUMENT_LIBRARY.FILE_URI</t>
        </is>
      </c>
    </row>
    <row r="43">
      <c r="A43" s="19" t="inlineStr">
        <is>
          <t>42</t>
        </is>
      </c>
      <c r="B43" s="19" t="inlineStr">
        <is>
          <t>IA-PPWR-STM-ST-036-EUR-02-R00</t>
        </is>
      </c>
      <c r="C43" s="19" t="inlineStr">
        <is>
          <t>1</t>
        </is>
      </c>
      <c r="D43" s="19" t="inlineStr">
        <is>
          <t>1</t>
        </is>
      </c>
      <c r="E43" s="19" t="inlineStr">
        <is>
          <t>2</t>
        </is>
      </c>
      <c r="F43" t="n">
        <v>2026</v>
      </c>
      <c r="H43" t="inlineStr">
        <is>
          <t>2026-08-08</t>
        </is>
      </c>
      <c r="I43" t="inlineStr">
        <is>
          <t>2026-08-08</t>
        </is>
      </c>
      <c r="J43" s="19" t="inlineStr">
        <is>
          <t>2</t>
        </is>
      </c>
      <c r="L43" s="19" t="n"/>
      <c r="N43" t="inlineStr">
        <is>
          <t>Rev.00 Word shipment statement generated — see DOCUMENT_LIBRARY.FILE_URI</t>
        </is>
      </c>
    </row>
    <row r="44">
      <c r="A44" s="19" t="inlineStr">
        <is>
          <t>43</t>
        </is>
      </c>
      <c r="B44" s="19" t="inlineStr">
        <is>
          <t>IA-PPWR-STM-ST-036-EUR-03-R00</t>
        </is>
      </c>
      <c r="C44" s="19" t="inlineStr">
        <is>
          <t>1</t>
        </is>
      </c>
      <c r="D44" s="19" t="inlineStr">
        <is>
          <t>1</t>
        </is>
      </c>
      <c r="E44" s="19" t="inlineStr">
        <is>
          <t>2</t>
        </is>
      </c>
      <c r="F44" t="n">
        <v>2026</v>
      </c>
      <c r="H44" t="inlineStr">
        <is>
          <t>2026-08-08</t>
        </is>
      </c>
      <c r="I44" t="inlineStr">
        <is>
          <t>2026-08-08</t>
        </is>
      </c>
      <c r="J44" s="19" t="inlineStr">
        <is>
          <t>2</t>
        </is>
      </c>
      <c r="L44" s="19" t="n"/>
      <c r="N44" t="inlineStr">
        <is>
          <t>Rev.00 Word shipment statement generated — see DOCUMENT_LIBRARY.FILE_URI</t>
        </is>
      </c>
    </row>
    <row r="45">
      <c r="A45" s="19" t="inlineStr">
        <is>
          <t>44</t>
        </is>
      </c>
      <c r="B45" s="19" t="inlineStr">
        <is>
          <t>IA-PPWR-STM-ST-036-EUR-04-R00</t>
        </is>
      </c>
      <c r="C45" s="19" t="inlineStr">
        <is>
          <t>1</t>
        </is>
      </c>
      <c r="D45" s="19" t="inlineStr">
        <is>
          <t>1</t>
        </is>
      </c>
      <c r="E45" s="19" t="inlineStr">
        <is>
          <t>2</t>
        </is>
      </c>
      <c r="F45" t="n">
        <v>2026</v>
      </c>
      <c r="H45" t="inlineStr">
        <is>
          <t>2026-08-08</t>
        </is>
      </c>
      <c r="I45" t="inlineStr">
        <is>
          <t>2026-08-08</t>
        </is>
      </c>
      <c r="J45" s="19" t="inlineStr">
        <is>
          <t>2</t>
        </is>
      </c>
      <c r="L45" s="19" t="n"/>
      <c r="N45" t="inlineStr">
        <is>
          <t>Rev.00 Word shipment statement generated — see DOCUMENT_LIBRARY.FILE_URI</t>
        </is>
      </c>
    </row>
    <row r="46">
      <c r="A46" s="19" t="inlineStr">
        <is>
          <t>45</t>
        </is>
      </c>
      <c r="B46" s="19" t="inlineStr">
        <is>
          <t>IA-PPWR-STM-ST-036-EUR-05-R00</t>
        </is>
      </c>
      <c r="C46" s="19" t="inlineStr">
        <is>
          <t>1</t>
        </is>
      </c>
      <c r="D46" s="19" t="inlineStr">
        <is>
          <t>1</t>
        </is>
      </c>
      <c r="E46" s="19" t="inlineStr">
        <is>
          <t>2</t>
        </is>
      </c>
      <c r="F46" t="n">
        <v>2026</v>
      </c>
      <c r="H46" t="inlineStr">
        <is>
          <t>2026-08-08</t>
        </is>
      </c>
      <c r="I46" t="inlineStr">
        <is>
          <t>2026-08-08</t>
        </is>
      </c>
      <c r="J46" s="19" t="inlineStr">
        <is>
          <t>2</t>
        </is>
      </c>
      <c r="L46" s="19" t="n"/>
      <c r="N46" t="inlineStr">
        <is>
          <t>Rev.00 Word shipment statement generated — see DOCUMENT_LIBRARY.FILE_URI</t>
        </is>
      </c>
    </row>
    <row r="47">
      <c r="A47" s="19" t="inlineStr">
        <is>
          <t>46</t>
        </is>
      </c>
      <c r="B47" s="19" t="inlineStr">
        <is>
          <t>IA-PPWR-STM-ST-036-EUR-06-R00</t>
        </is>
      </c>
      <c r="C47" s="19" t="inlineStr">
        <is>
          <t>1</t>
        </is>
      </c>
      <c r="D47" s="19" t="inlineStr">
        <is>
          <t>1</t>
        </is>
      </c>
      <c r="E47" s="19" t="inlineStr">
        <is>
          <t>2</t>
        </is>
      </c>
      <c r="F47" t="n">
        <v>2026</v>
      </c>
      <c r="H47" t="inlineStr">
        <is>
          <t>2026-08-08</t>
        </is>
      </c>
      <c r="I47" t="inlineStr">
        <is>
          <t>2026-08-08</t>
        </is>
      </c>
      <c r="J47" s="19" t="inlineStr">
        <is>
          <t>2</t>
        </is>
      </c>
      <c r="L47" s="19" t="n"/>
      <c r="N47" t="inlineStr">
        <is>
          <t>Rev.00 Word shipment statement generated — see DOCUMENT_LIBRARY.FILE_URI</t>
        </is>
      </c>
    </row>
    <row r="48">
      <c r="A48" s="19" t="inlineStr">
        <is>
          <t>47</t>
        </is>
      </c>
      <c r="B48" s="19" t="inlineStr">
        <is>
          <t>IA-PPWR-STM-ST-036-EUR-07-R00</t>
        </is>
      </c>
      <c r="C48" s="19" t="inlineStr">
        <is>
          <t>1</t>
        </is>
      </c>
      <c r="D48" s="19" t="inlineStr">
        <is>
          <t>1</t>
        </is>
      </c>
      <c r="E48" s="19" t="inlineStr">
        <is>
          <t>2</t>
        </is>
      </c>
      <c r="F48" t="n">
        <v>2026</v>
      </c>
      <c r="H48" t="inlineStr">
        <is>
          <t>2026-08-08</t>
        </is>
      </c>
      <c r="I48" t="inlineStr">
        <is>
          <t>2026-08-08</t>
        </is>
      </c>
      <c r="J48" s="19" t="inlineStr">
        <is>
          <t>2</t>
        </is>
      </c>
      <c r="L48" s="19" t="n"/>
      <c r="N48" t="inlineStr">
        <is>
          <t>Rev.00 Word shipment statement generated — see DOCUMENT_LIBRARY.FILE_URI</t>
        </is>
      </c>
    </row>
    <row r="49">
      <c r="A49" s="19" t="inlineStr">
        <is>
          <t>48</t>
        </is>
      </c>
      <c r="B49" s="19" t="inlineStr">
        <is>
          <t>IA-PPWR-STM-ST-036-STD-01-R00</t>
        </is>
      </c>
      <c r="C49" s="19" t="inlineStr">
        <is>
          <t>1</t>
        </is>
      </c>
      <c r="D49" s="19" t="inlineStr">
        <is>
          <t>1</t>
        </is>
      </c>
      <c r="E49" s="19" t="inlineStr">
        <is>
          <t>2</t>
        </is>
      </c>
      <c r="F49" t="n">
        <v>2026</v>
      </c>
      <c r="H49" t="inlineStr">
        <is>
          <t>2026-08-08</t>
        </is>
      </c>
      <c r="I49" t="inlineStr">
        <is>
          <t>2026-08-08</t>
        </is>
      </c>
      <c r="J49" s="19" t="inlineStr">
        <is>
          <t>2</t>
        </is>
      </c>
      <c r="L49" s="19" t="n"/>
      <c r="N49" t="inlineStr">
        <is>
          <t>Rev.00 Word shipment statement generated — see DOCUMENT_LIBRARY.FILE_URI</t>
        </is>
      </c>
    </row>
    <row r="50">
      <c r="A50" s="19" t="inlineStr">
        <is>
          <t>49</t>
        </is>
      </c>
      <c r="B50" s="19" t="inlineStr">
        <is>
          <t>IA-PPWR-STM-ST-036-STD-02-R00</t>
        </is>
      </c>
      <c r="C50" s="19" t="inlineStr">
        <is>
          <t>1</t>
        </is>
      </c>
      <c r="D50" s="19" t="inlineStr">
        <is>
          <t>1</t>
        </is>
      </c>
      <c r="E50" s="19" t="inlineStr">
        <is>
          <t>2</t>
        </is>
      </c>
      <c r="F50" t="n">
        <v>2026</v>
      </c>
      <c r="H50" t="inlineStr">
        <is>
          <t>2026-08-08</t>
        </is>
      </c>
      <c r="I50" t="inlineStr">
        <is>
          <t>2026-08-08</t>
        </is>
      </c>
      <c r="J50" s="19" t="inlineStr">
        <is>
          <t>2</t>
        </is>
      </c>
      <c r="L50" s="19" t="n"/>
      <c r="N50" t="inlineStr">
        <is>
          <t>Rev.00 Word shipment statement generated — see DOCUMENT_LIBRARY.FILE_URI</t>
        </is>
      </c>
    </row>
    <row r="51">
      <c r="A51" s="19" t="inlineStr">
        <is>
          <t>50</t>
        </is>
      </c>
      <c r="B51" s="19" t="inlineStr">
        <is>
          <t>IA-PPWR-STM-ST-036-STD-03-R00</t>
        </is>
      </c>
      <c r="C51" s="19" t="inlineStr">
        <is>
          <t>1</t>
        </is>
      </c>
      <c r="D51" s="19" t="inlineStr">
        <is>
          <t>1</t>
        </is>
      </c>
      <c r="E51" s="19" t="inlineStr">
        <is>
          <t>2</t>
        </is>
      </c>
      <c r="F51" t="n">
        <v>2026</v>
      </c>
      <c r="H51" t="inlineStr">
        <is>
          <t>2026-08-08</t>
        </is>
      </c>
      <c r="I51" t="inlineStr">
        <is>
          <t>2026-08-08</t>
        </is>
      </c>
      <c r="J51" s="19" t="inlineStr">
        <is>
          <t>2</t>
        </is>
      </c>
      <c r="L51" s="19" t="n"/>
      <c r="N51" t="inlineStr">
        <is>
          <t>Rev.00 Word shipment statement generated — see DOCUMENT_LIBRARY.FILE_URI</t>
        </is>
      </c>
    </row>
    <row r="52">
      <c r="A52" s="19" t="inlineStr">
        <is>
          <t>51</t>
        </is>
      </c>
      <c r="B52" s="19" t="inlineStr">
        <is>
          <t>IA-PPWR-STM-ST-042-EUR-01-R00</t>
        </is>
      </c>
      <c r="C52" s="19" t="inlineStr">
        <is>
          <t>1</t>
        </is>
      </c>
      <c r="D52" s="19" t="inlineStr">
        <is>
          <t>1</t>
        </is>
      </c>
      <c r="E52" s="19" t="inlineStr">
        <is>
          <t>2</t>
        </is>
      </c>
      <c r="F52" t="n">
        <v>2026</v>
      </c>
      <c r="H52" t="inlineStr">
        <is>
          <t>2026-08-08</t>
        </is>
      </c>
      <c r="I52" t="inlineStr">
        <is>
          <t>2026-08-08</t>
        </is>
      </c>
      <c r="J52" s="19" t="inlineStr">
        <is>
          <t>2</t>
        </is>
      </c>
      <c r="L52" s="19" t="n"/>
      <c r="N52" t="inlineStr">
        <is>
          <t>Rev.00 Word shipment statement generated — see DOCUMENT_LIBRARY.FILE_URI</t>
        </is>
      </c>
    </row>
    <row r="53">
      <c r="A53" s="19" t="inlineStr">
        <is>
          <t>52</t>
        </is>
      </c>
      <c r="B53" s="19" t="inlineStr">
        <is>
          <t>IA-PPWR-STM-ST-042-EUR-02-R00</t>
        </is>
      </c>
      <c r="C53" s="19" t="inlineStr">
        <is>
          <t>1</t>
        </is>
      </c>
      <c r="D53" s="19" t="inlineStr">
        <is>
          <t>1</t>
        </is>
      </c>
      <c r="E53" s="19" t="inlineStr">
        <is>
          <t>2</t>
        </is>
      </c>
      <c r="F53" t="n">
        <v>2026</v>
      </c>
      <c r="H53" t="inlineStr">
        <is>
          <t>2026-08-08</t>
        </is>
      </c>
      <c r="I53" t="inlineStr">
        <is>
          <t>2026-08-08</t>
        </is>
      </c>
      <c r="J53" s="19" t="inlineStr">
        <is>
          <t>2</t>
        </is>
      </c>
      <c r="L53" s="19" t="n"/>
      <c r="N53" t="inlineStr">
        <is>
          <t>Rev.00 Word shipment statement generated — see DOCUMENT_LIBRARY.FILE_URI</t>
        </is>
      </c>
    </row>
    <row r="54">
      <c r="A54" s="19" t="inlineStr">
        <is>
          <t>53</t>
        </is>
      </c>
      <c r="B54" s="19" t="inlineStr">
        <is>
          <t>IA-PPWR-STM-ST-042-EUR-03-R00</t>
        </is>
      </c>
      <c r="C54" s="19" t="inlineStr">
        <is>
          <t>1</t>
        </is>
      </c>
      <c r="D54" s="19" t="inlineStr">
        <is>
          <t>1</t>
        </is>
      </c>
      <c r="E54" s="19" t="inlineStr">
        <is>
          <t>2</t>
        </is>
      </c>
      <c r="F54" t="n">
        <v>2026</v>
      </c>
      <c r="H54" t="inlineStr">
        <is>
          <t>2026-08-08</t>
        </is>
      </c>
      <c r="I54" t="inlineStr">
        <is>
          <t>2026-08-08</t>
        </is>
      </c>
      <c r="J54" s="19" t="inlineStr">
        <is>
          <t>2</t>
        </is>
      </c>
      <c r="L54" s="19" t="n"/>
      <c r="N54" t="inlineStr">
        <is>
          <t>Rev.00 Word shipment statement generated — see DOCUMENT_LIBRARY.FILE_URI</t>
        </is>
      </c>
    </row>
    <row r="55">
      <c r="A55" s="19" t="inlineStr">
        <is>
          <t>54</t>
        </is>
      </c>
      <c r="B55" s="19" t="inlineStr">
        <is>
          <t>IA-PPWR-STM-ST-042-EUR-04-R00</t>
        </is>
      </c>
      <c r="C55" s="19" t="inlineStr">
        <is>
          <t>1</t>
        </is>
      </c>
      <c r="D55" s="19" t="inlineStr">
        <is>
          <t>1</t>
        </is>
      </c>
      <c r="E55" s="19" t="inlineStr">
        <is>
          <t>2</t>
        </is>
      </c>
      <c r="F55" t="n">
        <v>2026</v>
      </c>
      <c r="H55" t="inlineStr">
        <is>
          <t>2026-08-08</t>
        </is>
      </c>
      <c r="I55" t="inlineStr">
        <is>
          <t>2026-08-08</t>
        </is>
      </c>
      <c r="J55" s="19" t="inlineStr">
        <is>
          <t>2</t>
        </is>
      </c>
      <c r="L55" s="19" t="n"/>
      <c r="N55" t="inlineStr">
        <is>
          <t>Rev.00 Word shipment statement generated — see DOCUMENT_LIBRARY.FILE_URI</t>
        </is>
      </c>
    </row>
    <row r="56">
      <c r="A56" s="19" t="inlineStr">
        <is>
          <t>55</t>
        </is>
      </c>
      <c r="B56" s="19" t="inlineStr">
        <is>
          <t>IA-PPWR-STM-ST-042-STD-01-R00</t>
        </is>
      </c>
      <c r="C56" s="19" t="inlineStr">
        <is>
          <t>1</t>
        </is>
      </c>
      <c r="D56" s="19" t="inlineStr">
        <is>
          <t>1</t>
        </is>
      </c>
      <c r="E56" s="19" t="inlineStr">
        <is>
          <t>2</t>
        </is>
      </c>
      <c r="F56" t="n">
        <v>2026</v>
      </c>
      <c r="H56" t="inlineStr">
        <is>
          <t>2026-08-08</t>
        </is>
      </c>
      <c r="I56" t="inlineStr">
        <is>
          <t>2026-08-08</t>
        </is>
      </c>
      <c r="J56" s="19" t="inlineStr">
        <is>
          <t>2</t>
        </is>
      </c>
      <c r="L56" s="19" t="n"/>
      <c r="N56" t="inlineStr">
        <is>
          <t>Rev.00 Word shipment statement generated — see DOCUMENT_LIBRARY.FILE_URI</t>
        </is>
      </c>
    </row>
    <row r="57">
      <c r="A57" s="19" t="inlineStr">
        <is>
          <t>56</t>
        </is>
      </c>
      <c r="B57" s="19" t="inlineStr">
        <is>
          <t>IA-PPWR-STM-ST-042-STD-02-R00</t>
        </is>
      </c>
      <c r="C57" s="19" t="inlineStr">
        <is>
          <t>1</t>
        </is>
      </c>
      <c r="D57" s="19" t="inlineStr">
        <is>
          <t>1</t>
        </is>
      </c>
      <c r="E57" s="19" t="inlineStr">
        <is>
          <t>2</t>
        </is>
      </c>
      <c r="F57" t="n">
        <v>2026</v>
      </c>
      <c r="H57" t="inlineStr">
        <is>
          <t>2026-08-08</t>
        </is>
      </c>
      <c r="I57" t="inlineStr">
        <is>
          <t>2026-08-08</t>
        </is>
      </c>
      <c r="J57" s="19" t="inlineStr">
        <is>
          <t>2</t>
        </is>
      </c>
      <c r="L57" s="19" t="n"/>
      <c r="N57" t="inlineStr">
        <is>
          <t>Rev.00 Word shipment statement generated — see DOCUMENT_LIBRARY.FILE_URI</t>
        </is>
      </c>
    </row>
    <row r="58">
      <c r="A58" s="19" t="inlineStr">
        <is>
          <t>57</t>
        </is>
      </c>
      <c r="B58" s="19" t="inlineStr">
        <is>
          <t>IA-PPWR-STM-ST-042-STD-03-R00</t>
        </is>
      </c>
      <c r="C58" s="19" t="inlineStr">
        <is>
          <t>1</t>
        </is>
      </c>
      <c r="D58" s="19" t="inlineStr">
        <is>
          <t>1</t>
        </is>
      </c>
      <c r="E58" s="19" t="inlineStr">
        <is>
          <t>2</t>
        </is>
      </c>
      <c r="F58" t="n">
        <v>2026</v>
      </c>
      <c r="H58" t="inlineStr">
        <is>
          <t>2026-08-08</t>
        </is>
      </c>
      <c r="I58" t="inlineStr">
        <is>
          <t>2026-08-08</t>
        </is>
      </c>
      <c r="J58" s="19" t="inlineStr">
        <is>
          <t>2</t>
        </is>
      </c>
      <c r="L58" s="19" t="n"/>
      <c r="N58" t="inlineStr">
        <is>
          <t>Rev.00 Word shipment statement generated — see DOCUMENT_LIBRARY.FILE_URI</t>
        </is>
      </c>
    </row>
    <row r="59">
      <c r="A59" s="19" t="inlineStr">
        <is>
          <t>58</t>
        </is>
      </c>
      <c r="B59" s="19" t="inlineStr">
        <is>
          <t>IA-PPWR-STM-ST-042-STD-04-R00</t>
        </is>
      </c>
      <c r="C59" s="19" t="inlineStr">
        <is>
          <t>1</t>
        </is>
      </c>
      <c r="D59" s="19" t="inlineStr">
        <is>
          <t>1</t>
        </is>
      </c>
      <c r="E59" s="19" t="inlineStr">
        <is>
          <t>2</t>
        </is>
      </c>
      <c r="F59" t="n">
        <v>2026</v>
      </c>
      <c r="H59" t="inlineStr">
        <is>
          <t>2026-08-08</t>
        </is>
      </c>
      <c r="I59" t="inlineStr">
        <is>
          <t>2026-08-08</t>
        </is>
      </c>
      <c r="J59" s="19" t="inlineStr">
        <is>
          <t>2</t>
        </is>
      </c>
      <c r="L59" s="19" t="n"/>
      <c r="N59" t="inlineStr">
        <is>
          <t>Rev.00 Word shipment statement generated — see DOCUMENT_LIBRARY.FILE_URI</t>
        </is>
      </c>
    </row>
    <row r="60">
      <c r="A60" s="19" t="inlineStr">
        <is>
          <t>59</t>
        </is>
      </c>
      <c r="B60" s="19" t="inlineStr">
        <is>
          <t>IA-PPWR-STM-ST-042-STD-05-R00</t>
        </is>
      </c>
      <c r="C60" s="19" t="inlineStr">
        <is>
          <t>1</t>
        </is>
      </c>
      <c r="D60" s="19" t="inlineStr">
        <is>
          <t>1</t>
        </is>
      </c>
      <c r="E60" s="19" t="inlineStr">
        <is>
          <t>2</t>
        </is>
      </c>
      <c r="F60" t="n">
        <v>2026</v>
      </c>
      <c r="H60" t="inlineStr">
        <is>
          <t>2026-08-08</t>
        </is>
      </c>
      <c r="I60" t="inlineStr">
        <is>
          <t>2026-08-08</t>
        </is>
      </c>
      <c r="J60" s="19" t="inlineStr">
        <is>
          <t>2</t>
        </is>
      </c>
      <c r="L60" s="19" t="n"/>
      <c r="N60" t="inlineStr">
        <is>
          <t>Rev.00 Word shipment statement generated — see DOCUMENT_LIBRARY.FILE_URI</t>
        </is>
      </c>
    </row>
    <row r="61">
      <c r="A61" s="19" t="inlineStr">
        <is>
          <t>60</t>
        </is>
      </c>
      <c r="B61" s="19" t="inlineStr">
        <is>
          <t>IA-PPWR-STM-ST-042-STD-06-R00</t>
        </is>
      </c>
      <c r="C61" s="19" t="inlineStr">
        <is>
          <t>1</t>
        </is>
      </c>
      <c r="D61" s="19" t="inlineStr">
        <is>
          <t>1</t>
        </is>
      </c>
      <c r="E61" s="19" t="inlineStr">
        <is>
          <t>2</t>
        </is>
      </c>
      <c r="F61" t="n">
        <v>2026</v>
      </c>
      <c r="H61" t="inlineStr">
        <is>
          <t>2026-08-08</t>
        </is>
      </c>
      <c r="I61" t="inlineStr">
        <is>
          <t>2026-08-08</t>
        </is>
      </c>
      <c r="J61" s="19" t="inlineStr">
        <is>
          <t>2</t>
        </is>
      </c>
      <c r="L61" s="19" t="n"/>
      <c r="N61" t="inlineStr">
        <is>
          <t>Rev.00 Word shipment statement generated — see DOCUMENT_LIBRARY.FILE_URI</t>
        </is>
      </c>
    </row>
    <row r="62">
      <c r="A62" s="19" t="inlineStr">
        <is>
          <t>61</t>
        </is>
      </c>
      <c r="B62" s="19" t="inlineStr">
        <is>
          <t>IA-PPWR-STM-ST-042-STD-07-R00</t>
        </is>
      </c>
      <c r="C62" s="19" t="inlineStr">
        <is>
          <t>1</t>
        </is>
      </c>
      <c r="D62" s="19" t="inlineStr">
        <is>
          <t>1</t>
        </is>
      </c>
      <c r="E62" s="19" t="inlineStr">
        <is>
          <t>2</t>
        </is>
      </c>
      <c r="F62" t="n">
        <v>2026</v>
      </c>
      <c r="H62" t="inlineStr">
        <is>
          <t>2026-08-08</t>
        </is>
      </c>
      <c r="I62" t="inlineStr">
        <is>
          <t>2026-08-08</t>
        </is>
      </c>
      <c r="J62" s="19" t="inlineStr">
        <is>
          <t>2</t>
        </is>
      </c>
      <c r="L62" s="19" t="n"/>
      <c r="N62" t="inlineStr">
        <is>
          <t>Rev.00 Word shipment statement generated — see DOCUMENT_LIBRARY.FILE_URI</t>
        </is>
      </c>
    </row>
    <row r="63">
      <c r="A63" s="19" t="inlineStr">
        <is>
          <t>62</t>
        </is>
      </c>
      <c r="B63" s="19" t="inlineStr">
        <is>
          <t>IA-PPWR-STM-ST-042-STD-08-R00</t>
        </is>
      </c>
      <c r="C63" s="19" t="inlineStr">
        <is>
          <t>1</t>
        </is>
      </c>
      <c r="D63" s="19" t="inlineStr">
        <is>
          <t>1</t>
        </is>
      </c>
      <c r="E63" s="19" t="inlineStr">
        <is>
          <t>2</t>
        </is>
      </c>
      <c r="F63" t="n">
        <v>2026</v>
      </c>
      <c r="H63" t="inlineStr">
        <is>
          <t>2026-08-08</t>
        </is>
      </c>
      <c r="I63" t="inlineStr">
        <is>
          <t>2026-08-08</t>
        </is>
      </c>
      <c r="J63" s="19" t="inlineStr">
        <is>
          <t>2</t>
        </is>
      </c>
      <c r="L63" s="19" t="n"/>
      <c r="N63" t="inlineStr">
        <is>
          <t>Rev.00 Word shipment statement generated — see DOCUMENT_LIBRARY.FILE_URI</t>
        </is>
      </c>
    </row>
    <row r="64">
      <c r="A64" s="19" t="inlineStr">
        <is>
          <t>63</t>
        </is>
      </c>
      <c r="B64" s="19" t="inlineStr">
        <is>
          <t>IA-PPWR-STM-ST-044-STD-01-R00</t>
        </is>
      </c>
      <c r="C64" s="19" t="inlineStr">
        <is>
          <t>1</t>
        </is>
      </c>
      <c r="D64" s="19" t="inlineStr">
        <is>
          <t>1</t>
        </is>
      </c>
      <c r="E64" s="19" t="inlineStr">
        <is>
          <t>2</t>
        </is>
      </c>
      <c r="F64" t="n">
        <v>2026</v>
      </c>
      <c r="H64" t="inlineStr">
        <is>
          <t>2026-08-08</t>
        </is>
      </c>
      <c r="I64" t="inlineStr">
        <is>
          <t>2026-08-08</t>
        </is>
      </c>
      <c r="J64" s="19" t="inlineStr">
        <is>
          <t>2</t>
        </is>
      </c>
      <c r="L64" s="19" t="n"/>
      <c r="N64" t="inlineStr">
        <is>
          <t>Rev.00 Word shipment statement generated — see DOCUMENT_LIBRARY.FILE_URI</t>
        </is>
      </c>
    </row>
    <row r="65">
      <c r="A65" s="19" t="inlineStr">
        <is>
          <t>64</t>
        </is>
      </c>
      <c r="B65" s="19" t="inlineStr">
        <is>
          <t>IA-PPWR-STM-ST-045-EUR-01-R00</t>
        </is>
      </c>
      <c r="C65" s="19" t="inlineStr">
        <is>
          <t>1</t>
        </is>
      </c>
      <c r="D65" s="19" t="inlineStr">
        <is>
          <t>1</t>
        </is>
      </c>
      <c r="E65" s="19" t="inlineStr">
        <is>
          <t>2</t>
        </is>
      </c>
      <c r="F65" t="n">
        <v>2026</v>
      </c>
      <c r="H65" t="inlineStr">
        <is>
          <t>2026-08-08</t>
        </is>
      </c>
      <c r="I65" t="inlineStr">
        <is>
          <t>2026-08-08</t>
        </is>
      </c>
      <c r="J65" s="19" t="inlineStr">
        <is>
          <t>2</t>
        </is>
      </c>
      <c r="L65" s="19" t="n"/>
      <c r="N65" t="inlineStr">
        <is>
          <t>Rev.00 Word shipment statement generated — see DOCUMENT_LIBRARY.FILE_URI</t>
        </is>
      </c>
    </row>
    <row r="66">
      <c r="A66" s="19" t="inlineStr">
        <is>
          <t>65</t>
        </is>
      </c>
      <c r="B66" s="19" t="inlineStr">
        <is>
          <t>IA-PPWR-STM-ST-045-STD-01-R00</t>
        </is>
      </c>
      <c r="C66" s="19" t="inlineStr">
        <is>
          <t>1</t>
        </is>
      </c>
      <c r="D66" s="19" t="inlineStr">
        <is>
          <t>1</t>
        </is>
      </c>
      <c r="E66" s="19" t="inlineStr">
        <is>
          <t>2</t>
        </is>
      </c>
      <c r="F66" t="n">
        <v>2026</v>
      </c>
      <c r="H66" t="inlineStr">
        <is>
          <t>2026-08-08</t>
        </is>
      </c>
      <c r="I66" t="inlineStr">
        <is>
          <t>2026-08-08</t>
        </is>
      </c>
      <c r="J66" s="19" t="inlineStr">
        <is>
          <t>2</t>
        </is>
      </c>
      <c r="L66" s="19" t="n"/>
      <c r="N66" t="inlineStr">
        <is>
          <t>Rev.00 Word shipment statement generated — see DOCUMENT_LIBRARY.FILE_URI</t>
        </is>
      </c>
    </row>
    <row r="67">
      <c r="A67" s="19" t="inlineStr">
        <is>
          <t>66</t>
        </is>
      </c>
      <c r="B67" s="19" t="inlineStr">
        <is>
          <t>IA-PPWR-STM-ST-045-STD-02-R00</t>
        </is>
      </c>
      <c r="C67" s="19" t="inlineStr">
        <is>
          <t>1</t>
        </is>
      </c>
      <c r="D67" s="19" t="inlineStr">
        <is>
          <t>1</t>
        </is>
      </c>
      <c r="E67" s="19" t="inlineStr">
        <is>
          <t>2</t>
        </is>
      </c>
      <c r="F67" t="n">
        <v>2026</v>
      </c>
      <c r="H67" t="inlineStr">
        <is>
          <t>2026-08-08</t>
        </is>
      </c>
      <c r="I67" t="inlineStr">
        <is>
          <t>2026-08-08</t>
        </is>
      </c>
      <c r="J67" s="19" t="inlineStr">
        <is>
          <t>2</t>
        </is>
      </c>
      <c r="L67" s="19" t="n"/>
      <c r="N67" t="inlineStr">
        <is>
          <t>Rev.00 Word shipment statement generated — see DOCUMENT_LIBRARY.FILE_URI</t>
        </is>
      </c>
    </row>
    <row r="68">
      <c r="A68" s="19" t="inlineStr">
        <is>
          <t>67</t>
        </is>
      </c>
      <c r="B68" s="19" t="inlineStr">
        <is>
          <t>IA-PPWR-STM-ST-045-STD-03-R00</t>
        </is>
      </c>
      <c r="C68" s="19" t="inlineStr">
        <is>
          <t>1</t>
        </is>
      </c>
      <c r="D68" s="19" t="inlineStr">
        <is>
          <t>1</t>
        </is>
      </c>
      <c r="E68" s="19" t="inlineStr">
        <is>
          <t>2</t>
        </is>
      </c>
      <c r="F68" t="n">
        <v>2026</v>
      </c>
      <c r="H68" t="inlineStr">
        <is>
          <t>2026-08-08</t>
        </is>
      </c>
      <c r="I68" t="inlineStr">
        <is>
          <t>2026-08-08</t>
        </is>
      </c>
      <c r="J68" s="19" t="inlineStr">
        <is>
          <t>2</t>
        </is>
      </c>
      <c r="L68" s="19" t="n"/>
      <c r="N68" t="inlineStr">
        <is>
          <t>Rev.00 Word shipment statement generated — see DOCUMENT_LIBRARY.FILE_URI</t>
        </is>
      </c>
    </row>
    <row r="69">
      <c r="A69" s="19" t="inlineStr">
        <is>
          <t>68</t>
        </is>
      </c>
      <c r="B69" s="19" t="inlineStr">
        <is>
          <t>IA-PPWR-STM-ST-045-STD-04-R00</t>
        </is>
      </c>
      <c r="C69" s="19" t="inlineStr">
        <is>
          <t>1</t>
        </is>
      </c>
      <c r="D69" s="19" t="inlineStr">
        <is>
          <t>1</t>
        </is>
      </c>
      <c r="E69" s="19" t="inlineStr">
        <is>
          <t>2</t>
        </is>
      </c>
      <c r="F69" t="n">
        <v>2026</v>
      </c>
      <c r="H69" t="inlineStr">
        <is>
          <t>2026-08-08</t>
        </is>
      </c>
      <c r="I69" t="inlineStr">
        <is>
          <t>2026-08-08</t>
        </is>
      </c>
      <c r="J69" s="19" t="inlineStr">
        <is>
          <t>2</t>
        </is>
      </c>
      <c r="L69" s="19" t="n"/>
      <c r="N69" t="inlineStr">
        <is>
          <t>Rev.00 Word shipment statement generated — see DOCUMENT_LIBRARY.FILE_URI</t>
        </is>
      </c>
    </row>
    <row r="70">
      <c r="A70" s="19" t="inlineStr">
        <is>
          <t>69</t>
        </is>
      </c>
      <c r="B70" s="19" t="inlineStr">
        <is>
          <t>IA-PPWR-STM-ST-045-STD-05-R00</t>
        </is>
      </c>
      <c r="C70" s="19" t="inlineStr">
        <is>
          <t>1</t>
        </is>
      </c>
      <c r="D70" s="19" t="inlineStr">
        <is>
          <t>1</t>
        </is>
      </c>
      <c r="E70" s="19" t="inlineStr">
        <is>
          <t>2</t>
        </is>
      </c>
      <c r="F70" t="n">
        <v>2026</v>
      </c>
      <c r="H70" t="inlineStr">
        <is>
          <t>2026-08-08</t>
        </is>
      </c>
      <c r="I70" t="inlineStr">
        <is>
          <t>2026-08-08</t>
        </is>
      </c>
      <c r="J70" s="19" t="inlineStr">
        <is>
          <t>2</t>
        </is>
      </c>
      <c r="L70" s="19" t="n"/>
      <c r="N70" t="inlineStr">
        <is>
          <t>Rev.00 Word shipment statement generated — see DOCUMENT_LIBRARY.FILE_URI</t>
        </is>
      </c>
    </row>
    <row r="71">
      <c r="A71" s="19" t="inlineStr">
        <is>
          <t>70</t>
        </is>
      </c>
      <c r="B71" s="19" t="inlineStr">
        <is>
          <t>IA-PPWR-STM-ST-045-STD-06-R00</t>
        </is>
      </c>
      <c r="C71" s="19" t="inlineStr">
        <is>
          <t>1</t>
        </is>
      </c>
      <c r="D71" s="19" t="inlineStr">
        <is>
          <t>1</t>
        </is>
      </c>
      <c r="E71" s="19" t="inlineStr">
        <is>
          <t>2</t>
        </is>
      </c>
      <c r="F71" t="n">
        <v>2026</v>
      </c>
      <c r="H71" t="inlineStr">
        <is>
          <t>2026-08-08</t>
        </is>
      </c>
      <c r="I71" t="inlineStr">
        <is>
          <t>2026-08-08</t>
        </is>
      </c>
      <c r="J71" s="19" t="inlineStr">
        <is>
          <t>2</t>
        </is>
      </c>
      <c r="L71" s="19" t="n"/>
      <c r="N71" t="inlineStr">
        <is>
          <t>Rev.00 Word shipment statement generated — see DOCUMENT_LIBRARY.FILE_URI</t>
        </is>
      </c>
    </row>
    <row r="72">
      <c r="A72" s="19" t="inlineStr">
        <is>
          <t>71</t>
        </is>
      </c>
      <c r="B72" s="19" t="inlineStr">
        <is>
          <t>IA-PPWR-STM-ST-045-STD-07-R00</t>
        </is>
      </c>
      <c r="C72" s="19" t="inlineStr">
        <is>
          <t>1</t>
        </is>
      </c>
      <c r="D72" s="19" t="inlineStr">
        <is>
          <t>1</t>
        </is>
      </c>
      <c r="E72" s="19" t="inlineStr">
        <is>
          <t>2</t>
        </is>
      </c>
      <c r="F72" t="n">
        <v>2026</v>
      </c>
      <c r="H72" t="inlineStr">
        <is>
          <t>2026-08-08</t>
        </is>
      </c>
      <c r="I72" t="inlineStr">
        <is>
          <t>2026-08-08</t>
        </is>
      </c>
      <c r="J72" s="19" t="inlineStr">
        <is>
          <t>2</t>
        </is>
      </c>
      <c r="L72" s="19" t="n"/>
      <c r="N72" t="inlineStr">
        <is>
          <t>Rev.00 Word shipment statement generated — see DOCUMENT_LIBRARY.FILE_URI</t>
        </is>
      </c>
    </row>
    <row r="73">
      <c r="A73" s="19" t="inlineStr">
        <is>
          <t>72</t>
        </is>
      </c>
      <c r="B73" s="19" t="inlineStr">
        <is>
          <t>IA-PPWR-STM-ST-045-STD-08-R00</t>
        </is>
      </c>
      <c r="C73" s="19" t="inlineStr">
        <is>
          <t>1</t>
        </is>
      </c>
      <c r="D73" s="19" t="inlineStr">
        <is>
          <t>1</t>
        </is>
      </c>
      <c r="E73" s="19" t="inlineStr">
        <is>
          <t>2</t>
        </is>
      </c>
      <c r="F73" t="n">
        <v>2026</v>
      </c>
      <c r="H73" t="inlineStr">
        <is>
          <t>2026-08-08</t>
        </is>
      </c>
      <c r="I73" t="inlineStr">
        <is>
          <t>2026-08-08</t>
        </is>
      </c>
      <c r="J73" s="19" t="inlineStr">
        <is>
          <t>2</t>
        </is>
      </c>
      <c r="L73" s="19" t="n"/>
      <c r="N73" t="inlineStr">
        <is>
          <t>Rev.00 Word shipment statement generated — see DOCUMENT_LIBRARY.FILE_URI</t>
        </is>
      </c>
    </row>
    <row r="74">
      <c r="A74" s="19" t="inlineStr">
        <is>
          <t>73</t>
        </is>
      </c>
      <c r="B74" s="19" t="inlineStr">
        <is>
          <t>IA-PPWR-STM-ST-045-STD-09-R00</t>
        </is>
      </c>
      <c r="C74" s="19" t="inlineStr">
        <is>
          <t>1</t>
        </is>
      </c>
      <c r="D74" s="19" t="inlineStr">
        <is>
          <t>1</t>
        </is>
      </c>
      <c r="E74" s="19" t="inlineStr">
        <is>
          <t>2</t>
        </is>
      </c>
      <c r="F74" t="n">
        <v>2026</v>
      </c>
      <c r="H74" t="inlineStr">
        <is>
          <t>2026-08-08</t>
        </is>
      </c>
      <c r="I74" t="inlineStr">
        <is>
          <t>2026-08-08</t>
        </is>
      </c>
      <c r="J74" s="19" t="inlineStr">
        <is>
          <t>2</t>
        </is>
      </c>
      <c r="L74" s="19" t="n"/>
      <c r="N74" t="inlineStr">
        <is>
          <t>Rev.00 Word shipment statement generated — see DOCUMENT_LIBRARY.FILE_URI</t>
        </is>
      </c>
    </row>
    <row r="75">
      <c r="A75" s="19" t="inlineStr">
        <is>
          <t>74</t>
        </is>
      </c>
      <c r="B75" s="19" t="inlineStr">
        <is>
          <t>IA-PPWR-STM-ST-045-STD-10-R00</t>
        </is>
      </c>
      <c r="C75" s="19" t="inlineStr">
        <is>
          <t>1</t>
        </is>
      </c>
      <c r="D75" s="19" t="inlineStr">
        <is>
          <t>1</t>
        </is>
      </c>
      <c r="E75" s="19" t="inlineStr">
        <is>
          <t>2</t>
        </is>
      </c>
      <c r="F75" t="n">
        <v>2026</v>
      </c>
      <c r="H75" t="inlineStr">
        <is>
          <t>2026-08-08</t>
        </is>
      </c>
      <c r="I75" t="inlineStr">
        <is>
          <t>2026-08-08</t>
        </is>
      </c>
      <c r="J75" s="19" t="inlineStr">
        <is>
          <t>2</t>
        </is>
      </c>
      <c r="L75" s="19" t="n"/>
      <c r="N75" t="inlineStr">
        <is>
          <t>Rev.00 Word shipment statement generated — see DOCUMENT_LIBRARY.FILE_URI</t>
        </is>
      </c>
    </row>
    <row r="76">
      <c r="A76" s="19" t="inlineStr">
        <is>
          <t>75</t>
        </is>
      </c>
      <c r="B76" s="19" t="inlineStr">
        <is>
          <t>IA-PPWR-STM-ST-045-STD-11-R00</t>
        </is>
      </c>
      <c r="C76" s="19" t="inlineStr">
        <is>
          <t>1</t>
        </is>
      </c>
      <c r="D76" s="19" t="inlineStr">
        <is>
          <t>1</t>
        </is>
      </c>
      <c r="E76" s="19" t="inlineStr">
        <is>
          <t>2</t>
        </is>
      </c>
      <c r="F76" t="n">
        <v>2026</v>
      </c>
      <c r="H76" t="inlineStr">
        <is>
          <t>2026-08-08</t>
        </is>
      </c>
      <c r="I76" t="inlineStr">
        <is>
          <t>2026-08-08</t>
        </is>
      </c>
      <c r="J76" s="19" t="inlineStr">
        <is>
          <t>2</t>
        </is>
      </c>
      <c r="L76" s="19" t="n"/>
      <c r="N76" t="inlineStr">
        <is>
          <t>Rev.00 Word shipment statement generated — see DOCUMENT_LIBRARY.FILE_URI</t>
        </is>
      </c>
    </row>
    <row r="77">
      <c r="A77" s="19" t="inlineStr">
        <is>
          <t>76</t>
        </is>
      </c>
      <c r="B77" s="19" t="inlineStr">
        <is>
          <t>IA-PPWR-STM-ST-045-STD-12-R00</t>
        </is>
      </c>
      <c r="C77" s="19" t="inlineStr">
        <is>
          <t>1</t>
        </is>
      </c>
      <c r="D77" s="19" t="inlineStr">
        <is>
          <t>1</t>
        </is>
      </c>
      <c r="E77" s="19" t="inlineStr">
        <is>
          <t>2</t>
        </is>
      </c>
      <c r="F77" t="n">
        <v>2026</v>
      </c>
      <c r="H77" t="inlineStr">
        <is>
          <t>2026-08-08</t>
        </is>
      </c>
      <c r="I77" t="inlineStr">
        <is>
          <t>2026-08-08</t>
        </is>
      </c>
      <c r="J77" s="19" t="inlineStr">
        <is>
          <t>2</t>
        </is>
      </c>
      <c r="L77" s="19" t="n"/>
      <c r="N77" t="inlineStr">
        <is>
          <t>Rev.00 Word shipment statement generated — see DOCUMENT_LIBRARY.FILE_URI</t>
        </is>
      </c>
    </row>
    <row r="78">
      <c r="A78" s="19" t="inlineStr">
        <is>
          <t>77</t>
        </is>
      </c>
      <c r="B78" s="19" t="inlineStr">
        <is>
          <t>IA-PPWR-STM-ST-045-STD-13-R00</t>
        </is>
      </c>
      <c r="C78" s="19" t="inlineStr">
        <is>
          <t>1</t>
        </is>
      </c>
      <c r="D78" s="19" t="inlineStr">
        <is>
          <t>1</t>
        </is>
      </c>
      <c r="E78" s="19" t="inlineStr">
        <is>
          <t>2</t>
        </is>
      </c>
      <c r="F78" t="n">
        <v>2026</v>
      </c>
      <c r="H78" t="inlineStr">
        <is>
          <t>2026-08-08</t>
        </is>
      </c>
      <c r="I78" t="inlineStr">
        <is>
          <t>2026-08-08</t>
        </is>
      </c>
      <c r="J78" s="19" t="inlineStr">
        <is>
          <t>2</t>
        </is>
      </c>
      <c r="L78" s="19" t="n"/>
      <c r="N78" t="inlineStr">
        <is>
          <t>Rev.00 Word shipment statement generated — see DOCUMENT_LIBRARY.FILE_URI</t>
        </is>
      </c>
    </row>
    <row r="79">
      <c r="A79" s="19" t="inlineStr">
        <is>
          <t>78</t>
        </is>
      </c>
      <c r="B79" s="19" t="inlineStr">
        <is>
          <t>IA-PPWR-STM-ST-045-STD-14-R00</t>
        </is>
      </c>
      <c r="C79" s="19" t="inlineStr">
        <is>
          <t>1</t>
        </is>
      </c>
      <c r="D79" s="19" t="inlineStr">
        <is>
          <t>1</t>
        </is>
      </c>
      <c r="E79" s="19" t="inlineStr">
        <is>
          <t>2</t>
        </is>
      </c>
      <c r="F79" t="n">
        <v>2026</v>
      </c>
      <c r="H79" t="inlineStr">
        <is>
          <t>2026-08-08</t>
        </is>
      </c>
      <c r="I79" t="inlineStr">
        <is>
          <t>2026-08-08</t>
        </is>
      </c>
      <c r="J79" s="19" t="inlineStr">
        <is>
          <t>2</t>
        </is>
      </c>
      <c r="L79" s="19" t="n"/>
      <c r="N79" t="inlineStr">
        <is>
          <t>Rev.00 Word shipment statement generated — see DOCUMENT_LIBRARY.FILE_URI</t>
        </is>
      </c>
    </row>
    <row r="80">
      <c r="A80" s="19" t="inlineStr">
        <is>
          <t>79</t>
        </is>
      </c>
      <c r="B80" s="19" t="inlineStr">
        <is>
          <t>IA-PPWR-STM-ST-048-EUR-01-R00</t>
        </is>
      </c>
      <c r="C80" s="19" t="inlineStr">
        <is>
          <t>1</t>
        </is>
      </c>
      <c r="D80" s="19" t="inlineStr">
        <is>
          <t>1</t>
        </is>
      </c>
      <c r="E80" s="19" t="inlineStr">
        <is>
          <t>2</t>
        </is>
      </c>
      <c r="F80" t="n">
        <v>2026</v>
      </c>
      <c r="H80" t="inlineStr">
        <is>
          <t>2026-08-08</t>
        </is>
      </c>
      <c r="I80" t="inlineStr">
        <is>
          <t>2026-08-08</t>
        </is>
      </c>
      <c r="J80" s="19" t="inlineStr">
        <is>
          <t>2</t>
        </is>
      </c>
      <c r="L80" s="19" t="n"/>
      <c r="N80" t="inlineStr">
        <is>
          <t>Rev.00 Word shipment statement generated — see DOCUMENT_LIBRARY.FILE_URI</t>
        </is>
      </c>
    </row>
    <row r="81">
      <c r="A81" s="19" t="inlineStr">
        <is>
          <t>80</t>
        </is>
      </c>
      <c r="B81" s="19" t="inlineStr">
        <is>
          <t>IA-PPWR-STM-ST-048-EUR-02-R00</t>
        </is>
      </c>
      <c r="C81" s="19" t="inlineStr">
        <is>
          <t>1</t>
        </is>
      </c>
      <c r="D81" s="19" t="inlineStr">
        <is>
          <t>1</t>
        </is>
      </c>
      <c r="E81" s="19" t="inlineStr">
        <is>
          <t>2</t>
        </is>
      </c>
      <c r="F81" t="n">
        <v>2026</v>
      </c>
      <c r="H81" t="inlineStr">
        <is>
          <t>2026-08-08</t>
        </is>
      </c>
      <c r="I81" t="inlineStr">
        <is>
          <t>2026-08-08</t>
        </is>
      </c>
      <c r="J81" s="19" t="inlineStr">
        <is>
          <t>2</t>
        </is>
      </c>
      <c r="L81" s="19" t="n"/>
      <c r="N81" t="inlineStr">
        <is>
          <t>Rev.00 Word shipment statement generated — see DOCUMENT_LIBRARY.FILE_URI</t>
        </is>
      </c>
    </row>
    <row r="82">
      <c r="A82" s="19" t="inlineStr">
        <is>
          <t>81</t>
        </is>
      </c>
      <c r="B82" s="19" t="inlineStr">
        <is>
          <t>IA-PPWR-STM-ST-048-EUR-03-R00</t>
        </is>
      </c>
      <c r="C82" s="19" t="inlineStr">
        <is>
          <t>1</t>
        </is>
      </c>
      <c r="D82" s="19" t="inlineStr">
        <is>
          <t>1</t>
        </is>
      </c>
      <c r="E82" s="19" t="inlineStr">
        <is>
          <t>2</t>
        </is>
      </c>
      <c r="F82" t="n">
        <v>2026</v>
      </c>
      <c r="H82" t="inlineStr">
        <is>
          <t>2026-08-08</t>
        </is>
      </c>
      <c r="I82" t="inlineStr">
        <is>
          <t>2026-08-08</t>
        </is>
      </c>
      <c r="J82" s="19" t="inlineStr">
        <is>
          <t>2</t>
        </is>
      </c>
      <c r="L82" s="19" t="n"/>
      <c r="N82" t="inlineStr">
        <is>
          <t>Rev.00 Word shipment statement generated — see DOCUMENT_LIBRARY.FILE_URI</t>
        </is>
      </c>
    </row>
    <row r="83">
      <c r="A83" s="19" t="inlineStr">
        <is>
          <t>82</t>
        </is>
      </c>
      <c r="B83" s="19" t="inlineStr">
        <is>
          <t>IA-PPWR-STM-ST-048-EUR-04-R00</t>
        </is>
      </c>
      <c r="C83" s="19" t="inlineStr">
        <is>
          <t>1</t>
        </is>
      </c>
      <c r="D83" s="19" t="inlineStr">
        <is>
          <t>1</t>
        </is>
      </c>
      <c r="E83" s="19" t="inlineStr">
        <is>
          <t>2</t>
        </is>
      </c>
      <c r="F83" t="n">
        <v>2026</v>
      </c>
      <c r="H83" t="inlineStr">
        <is>
          <t>2026-08-08</t>
        </is>
      </c>
      <c r="I83" t="inlineStr">
        <is>
          <t>2026-08-08</t>
        </is>
      </c>
      <c r="J83" s="19" t="inlineStr">
        <is>
          <t>2</t>
        </is>
      </c>
      <c r="L83" s="19" t="n"/>
      <c r="N83" t="inlineStr">
        <is>
          <t>Rev.00 Word shipment statement generated — see DOCUMENT_LIBRARY.FILE_URI</t>
        </is>
      </c>
    </row>
    <row r="84">
      <c r="A84" s="19" t="inlineStr">
        <is>
          <t>83</t>
        </is>
      </c>
      <c r="B84" s="19" t="inlineStr">
        <is>
          <t>IA-PPWR-STM-ST-048-EUR-05-R00</t>
        </is>
      </c>
      <c r="C84" s="19" t="inlineStr">
        <is>
          <t>1</t>
        </is>
      </c>
      <c r="D84" s="19" t="inlineStr">
        <is>
          <t>1</t>
        </is>
      </c>
      <c r="E84" s="19" t="inlineStr">
        <is>
          <t>2</t>
        </is>
      </c>
      <c r="F84" t="n">
        <v>2026</v>
      </c>
      <c r="H84" t="inlineStr">
        <is>
          <t>2026-08-08</t>
        </is>
      </c>
      <c r="I84" t="inlineStr">
        <is>
          <t>2026-08-08</t>
        </is>
      </c>
      <c r="J84" s="19" t="inlineStr">
        <is>
          <t>2</t>
        </is>
      </c>
      <c r="L84" s="19" t="n"/>
      <c r="N84" t="inlineStr">
        <is>
          <t>Rev.00 Word shipment statement generated — see DOCUMENT_LIBRARY.FILE_URI</t>
        </is>
      </c>
    </row>
    <row r="85">
      <c r="A85" s="19" t="inlineStr">
        <is>
          <t>84</t>
        </is>
      </c>
      <c r="B85" s="19" t="inlineStr">
        <is>
          <t>IA-PPWR-STM-ST-048-EUR-06-R00</t>
        </is>
      </c>
      <c r="C85" s="19" t="inlineStr">
        <is>
          <t>1</t>
        </is>
      </c>
      <c r="D85" s="19" t="inlineStr">
        <is>
          <t>1</t>
        </is>
      </c>
      <c r="E85" s="19" t="inlineStr">
        <is>
          <t>2</t>
        </is>
      </c>
      <c r="F85" t="n">
        <v>2026</v>
      </c>
      <c r="H85" t="inlineStr">
        <is>
          <t>2026-08-08</t>
        </is>
      </c>
      <c r="I85" t="inlineStr">
        <is>
          <t>2026-08-08</t>
        </is>
      </c>
      <c r="J85" s="19" t="inlineStr">
        <is>
          <t>2</t>
        </is>
      </c>
      <c r="L85" s="19" t="n"/>
      <c r="N85" t="inlineStr">
        <is>
          <t>Rev.00 Word shipment statement generated — see DOCUMENT_LIBRARY.FILE_URI</t>
        </is>
      </c>
    </row>
    <row r="86">
      <c r="A86" s="19" t="inlineStr">
        <is>
          <t>85</t>
        </is>
      </c>
      <c r="B86" s="19" t="inlineStr">
        <is>
          <t>IA-PPWR-STM-ST-048-EUR-07-R00</t>
        </is>
      </c>
      <c r="C86" s="19" t="inlineStr">
        <is>
          <t>1</t>
        </is>
      </c>
      <c r="D86" s="19" t="inlineStr">
        <is>
          <t>1</t>
        </is>
      </c>
      <c r="E86" s="19" t="inlineStr">
        <is>
          <t>2</t>
        </is>
      </c>
      <c r="F86" t="n">
        <v>2026</v>
      </c>
      <c r="H86" t="inlineStr">
        <is>
          <t>2026-08-08</t>
        </is>
      </c>
      <c r="I86" t="inlineStr">
        <is>
          <t>2026-08-08</t>
        </is>
      </c>
      <c r="J86" s="19" t="inlineStr">
        <is>
          <t>2</t>
        </is>
      </c>
      <c r="L86" s="19" t="n"/>
      <c r="N86" t="inlineStr">
        <is>
          <t>Rev.00 Word shipment statement generated — see DOCUMENT_LIBRARY.FILE_URI</t>
        </is>
      </c>
    </row>
    <row r="87">
      <c r="A87" s="19" t="inlineStr">
        <is>
          <t>86</t>
        </is>
      </c>
      <c r="B87" s="19" t="inlineStr">
        <is>
          <t>IA-PPWR-STM-ST-048-EUR-08-R00</t>
        </is>
      </c>
      <c r="C87" s="19" t="inlineStr">
        <is>
          <t>1</t>
        </is>
      </c>
      <c r="D87" s="19" t="inlineStr">
        <is>
          <t>1</t>
        </is>
      </c>
      <c r="E87" s="19" t="inlineStr">
        <is>
          <t>2</t>
        </is>
      </c>
      <c r="F87" t="n">
        <v>2026</v>
      </c>
      <c r="H87" t="inlineStr">
        <is>
          <t>2026-08-08</t>
        </is>
      </c>
      <c r="I87" t="inlineStr">
        <is>
          <t>2026-08-08</t>
        </is>
      </c>
      <c r="J87" s="19" t="inlineStr">
        <is>
          <t>2</t>
        </is>
      </c>
      <c r="L87" s="19" t="n"/>
      <c r="N87" t="inlineStr">
        <is>
          <t>Rev.00 Word shipment statement generated — see DOCUMENT_LIBRARY.FILE_URI</t>
        </is>
      </c>
    </row>
    <row r="88">
      <c r="A88" s="19" t="inlineStr">
        <is>
          <t>87</t>
        </is>
      </c>
      <c r="B88" s="19" t="inlineStr">
        <is>
          <t>IA-PPWR-STM-ST-048-EUR-09-R00</t>
        </is>
      </c>
      <c r="C88" s="19" t="inlineStr">
        <is>
          <t>1</t>
        </is>
      </c>
      <c r="D88" s="19" t="inlineStr">
        <is>
          <t>1</t>
        </is>
      </c>
      <c r="E88" s="19" t="inlineStr">
        <is>
          <t>2</t>
        </is>
      </c>
      <c r="F88" t="n">
        <v>2026</v>
      </c>
      <c r="H88" t="inlineStr">
        <is>
          <t>2026-08-08</t>
        </is>
      </c>
      <c r="I88" t="inlineStr">
        <is>
          <t>2026-08-08</t>
        </is>
      </c>
      <c r="J88" s="19" t="inlineStr">
        <is>
          <t>2</t>
        </is>
      </c>
      <c r="L88" s="19" t="n"/>
      <c r="N88" t="inlineStr">
        <is>
          <t>Rev.00 Word shipment statement generated — see DOCUMENT_LIBRARY.FILE_URI</t>
        </is>
      </c>
    </row>
    <row r="89">
      <c r="A89" s="19" t="inlineStr">
        <is>
          <t>88</t>
        </is>
      </c>
      <c r="B89" s="19" t="inlineStr">
        <is>
          <t>IA-PPWR-STM-ST-048-EUR-10-R00</t>
        </is>
      </c>
      <c r="C89" s="19" t="inlineStr">
        <is>
          <t>1</t>
        </is>
      </c>
      <c r="D89" s="19" t="inlineStr">
        <is>
          <t>1</t>
        </is>
      </c>
      <c r="E89" s="19" t="inlineStr">
        <is>
          <t>2</t>
        </is>
      </c>
      <c r="F89" t="n">
        <v>2026</v>
      </c>
      <c r="H89" t="inlineStr">
        <is>
          <t>2026-08-08</t>
        </is>
      </c>
      <c r="I89" t="inlineStr">
        <is>
          <t>2026-08-08</t>
        </is>
      </c>
      <c r="J89" s="19" t="inlineStr">
        <is>
          <t>2</t>
        </is>
      </c>
      <c r="L89" s="19" t="n"/>
      <c r="N89" t="inlineStr">
        <is>
          <t>Rev.00 Word shipment statement generated — see DOCUMENT_LIBRARY.FILE_URI</t>
        </is>
      </c>
    </row>
    <row r="90">
      <c r="A90" s="19" t="inlineStr">
        <is>
          <t>89</t>
        </is>
      </c>
      <c r="B90" s="19" t="inlineStr">
        <is>
          <t>IA-PPWR-STM-ST-048-EUR-11-R00</t>
        </is>
      </c>
      <c r="C90" s="19" t="inlineStr">
        <is>
          <t>1</t>
        </is>
      </c>
      <c r="D90" s="19" t="inlineStr">
        <is>
          <t>1</t>
        </is>
      </c>
      <c r="E90" s="19" t="inlineStr">
        <is>
          <t>2</t>
        </is>
      </c>
      <c r="F90" t="n">
        <v>2026</v>
      </c>
      <c r="H90" t="inlineStr">
        <is>
          <t>2026-08-08</t>
        </is>
      </c>
      <c r="I90" t="inlineStr">
        <is>
          <t>2026-08-08</t>
        </is>
      </c>
      <c r="J90" s="19" t="inlineStr">
        <is>
          <t>2</t>
        </is>
      </c>
      <c r="L90" s="19" t="n"/>
      <c r="N90" t="inlineStr">
        <is>
          <t>Rev.00 Word shipment statement generated — see DOCUMENT_LIBRARY.FILE_URI</t>
        </is>
      </c>
    </row>
    <row r="91">
      <c r="A91" s="19" t="inlineStr">
        <is>
          <t>90</t>
        </is>
      </c>
      <c r="B91" s="19" t="inlineStr">
        <is>
          <t>IA-PPWR-STM-ST-048-EUR-12-R00</t>
        </is>
      </c>
      <c r="C91" s="19" t="inlineStr">
        <is>
          <t>1</t>
        </is>
      </c>
      <c r="D91" s="19" t="inlineStr">
        <is>
          <t>1</t>
        </is>
      </c>
      <c r="E91" s="19" t="inlineStr">
        <is>
          <t>2</t>
        </is>
      </c>
      <c r="F91" t="n">
        <v>2026</v>
      </c>
      <c r="H91" t="inlineStr">
        <is>
          <t>2026-08-08</t>
        </is>
      </c>
      <c r="I91" t="inlineStr">
        <is>
          <t>2026-08-08</t>
        </is>
      </c>
      <c r="J91" s="19" t="inlineStr">
        <is>
          <t>2</t>
        </is>
      </c>
      <c r="L91" s="19" t="n"/>
      <c r="N91" t="inlineStr">
        <is>
          <t>Rev.00 Word shipment statement generated — see DOCUMENT_LIBRARY.FILE_URI</t>
        </is>
      </c>
    </row>
    <row r="92">
      <c r="A92" s="19" t="inlineStr">
        <is>
          <t>91</t>
        </is>
      </c>
      <c r="B92" s="19" t="inlineStr">
        <is>
          <t>IA-PPWR-STM-ST-048-STD-01-R00</t>
        </is>
      </c>
      <c r="C92" s="19" t="inlineStr">
        <is>
          <t>1</t>
        </is>
      </c>
      <c r="D92" s="19" t="inlineStr">
        <is>
          <t>1</t>
        </is>
      </c>
      <c r="E92" s="19" t="inlineStr">
        <is>
          <t>2</t>
        </is>
      </c>
      <c r="F92" t="n">
        <v>2026</v>
      </c>
      <c r="H92" t="inlineStr">
        <is>
          <t>2026-08-08</t>
        </is>
      </c>
      <c r="I92" t="inlineStr">
        <is>
          <t>2026-08-08</t>
        </is>
      </c>
      <c r="J92" s="19" t="inlineStr">
        <is>
          <t>2</t>
        </is>
      </c>
      <c r="L92" s="19" t="n"/>
      <c r="N92" t="inlineStr">
        <is>
          <t>Rev.00 Word shipment statement generated — see DOCUMENT_LIBRARY.FILE_URI</t>
        </is>
      </c>
    </row>
    <row r="93">
      <c r="A93" s="19" t="inlineStr">
        <is>
          <t>92</t>
        </is>
      </c>
      <c r="B93" s="19" t="inlineStr">
        <is>
          <t>IA-PPWR-STM-ST-048-STD-02-R00</t>
        </is>
      </c>
      <c r="C93" s="19" t="inlineStr">
        <is>
          <t>1</t>
        </is>
      </c>
      <c r="D93" s="19" t="inlineStr">
        <is>
          <t>1</t>
        </is>
      </c>
      <c r="E93" s="19" t="inlineStr">
        <is>
          <t>2</t>
        </is>
      </c>
      <c r="F93" t="n">
        <v>2026</v>
      </c>
      <c r="H93" t="inlineStr">
        <is>
          <t>2026-08-08</t>
        </is>
      </c>
      <c r="I93" t="inlineStr">
        <is>
          <t>2026-08-08</t>
        </is>
      </c>
      <c r="J93" s="19" t="inlineStr">
        <is>
          <t>2</t>
        </is>
      </c>
      <c r="L93" s="19" t="n"/>
      <c r="N93" t="inlineStr">
        <is>
          <t>Rev.00 Word shipment statement generated — see DOCUMENT_LIBRARY.FILE_URI</t>
        </is>
      </c>
    </row>
    <row r="94">
      <c r="A94" s="19" t="inlineStr">
        <is>
          <t>93</t>
        </is>
      </c>
      <c r="B94" s="19" t="inlineStr">
        <is>
          <t>IA-PPWR-STM-ST-051-EUR-01-R00</t>
        </is>
      </c>
      <c r="C94" s="19" t="inlineStr">
        <is>
          <t>1</t>
        </is>
      </c>
      <c r="D94" s="19" t="inlineStr">
        <is>
          <t>1</t>
        </is>
      </c>
      <c r="E94" s="19" t="inlineStr">
        <is>
          <t>2</t>
        </is>
      </c>
      <c r="F94" t="n">
        <v>2026</v>
      </c>
      <c r="H94" t="inlineStr">
        <is>
          <t>2026-08-08</t>
        </is>
      </c>
      <c r="I94" t="inlineStr">
        <is>
          <t>2026-08-08</t>
        </is>
      </c>
      <c r="J94" s="19" t="inlineStr">
        <is>
          <t>2</t>
        </is>
      </c>
      <c r="L94" s="19" t="n"/>
      <c r="N94" t="inlineStr">
        <is>
          <t>Rev.00 Word shipment statement generated — see DOCUMENT_LIBRARY.FILE_URI</t>
        </is>
      </c>
    </row>
    <row r="95">
      <c r="A95" s="19" t="inlineStr">
        <is>
          <t>94</t>
        </is>
      </c>
      <c r="B95" s="19" t="inlineStr">
        <is>
          <t>IA-PPWR-STM-ST-051-EUR-02-R00</t>
        </is>
      </c>
      <c r="C95" s="19" t="inlineStr">
        <is>
          <t>1</t>
        </is>
      </c>
      <c r="D95" s="19" t="inlineStr">
        <is>
          <t>1</t>
        </is>
      </c>
      <c r="E95" s="19" t="inlineStr">
        <is>
          <t>2</t>
        </is>
      </c>
      <c r="F95" t="n">
        <v>2026</v>
      </c>
      <c r="H95" t="inlineStr">
        <is>
          <t>2026-08-08</t>
        </is>
      </c>
      <c r="I95" t="inlineStr">
        <is>
          <t>2026-08-08</t>
        </is>
      </c>
      <c r="J95" s="19" t="inlineStr">
        <is>
          <t>2</t>
        </is>
      </c>
      <c r="L95" s="19" t="n"/>
      <c r="N95" t="inlineStr">
        <is>
          <t>Rev.00 Word shipment statement generated — see DOCUMENT_LIBRARY.FILE_URI</t>
        </is>
      </c>
    </row>
    <row r="96">
      <c r="A96" s="19" t="inlineStr">
        <is>
          <t>95</t>
        </is>
      </c>
      <c r="B96" s="19" t="inlineStr">
        <is>
          <t>IA-PPWR-STM-ST-051-EUR-03-R00</t>
        </is>
      </c>
      <c r="C96" s="19" t="inlineStr">
        <is>
          <t>1</t>
        </is>
      </c>
      <c r="D96" s="19" t="inlineStr">
        <is>
          <t>1</t>
        </is>
      </c>
      <c r="E96" s="19" t="inlineStr">
        <is>
          <t>2</t>
        </is>
      </c>
      <c r="F96" t="n">
        <v>2026</v>
      </c>
      <c r="H96" t="inlineStr">
        <is>
          <t>2026-08-08</t>
        </is>
      </c>
      <c r="I96" t="inlineStr">
        <is>
          <t>2026-08-08</t>
        </is>
      </c>
      <c r="J96" s="19" t="inlineStr">
        <is>
          <t>2</t>
        </is>
      </c>
      <c r="L96" s="19" t="n"/>
      <c r="N96" t="inlineStr">
        <is>
          <t>Rev.00 Word shipment statement generated — see DOCUMENT_LIBRARY.FILE_URI</t>
        </is>
      </c>
    </row>
    <row r="97">
      <c r="A97" s="19" t="inlineStr">
        <is>
          <t>96</t>
        </is>
      </c>
      <c r="B97" s="19" t="inlineStr">
        <is>
          <t>IA-PPWR-STM-ST-051-EUR-04-R00</t>
        </is>
      </c>
      <c r="C97" s="19" t="inlineStr">
        <is>
          <t>1</t>
        </is>
      </c>
      <c r="D97" s="19" t="inlineStr">
        <is>
          <t>1</t>
        </is>
      </c>
      <c r="E97" s="19" t="inlineStr">
        <is>
          <t>2</t>
        </is>
      </c>
      <c r="F97" t="n">
        <v>2026</v>
      </c>
      <c r="H97" t="inlineStr">
        <is>
          <t>2026-08-08</t>
        </is>
      </c>
      <c r="I97" t="inlineStr">
        <is>
          <t>2026-08-08</t>
        </is>
      </c>
      <c r="J97" s="19" t="inlineStr">
        <is>
          <t>2</t>
        </is>
      </c>
      <c r="L97" s="19" t="n"/>
      <c r="N97" t="inlineStr">
        <is>
          <t>Rev.00 Word shipment statement generated — see DOCUMENT_LIBRARY.FILE_URI</t>
        </is>
      </c>
    </row>
    <row r="98">
      <c r="A98" s="19" t="inlineStr">
        <is>
          <t>97</t>
        </is>
      </c>
      <c r="B98" s="19" t="inlineStr">
        <is>
          <t>IA-PPWR-STM-ST-051-STD-01-R00</t>
        </is>
      </c>
      <c r="C98" s="19" t="inlineStr">
        <is>
          <t>1</t>
        </is>
      </c>
      <c r="D98" s="19" t="inlineStr">
        <is>
          <t>1</t>
        </is>
      </c>
      <c r="E98" s="19" t="inlineStr">
        <is>
          <t>2</t>
        </is>
      </c>
      <c r="F98" t="n">
        <v>2026</v>
      </c>
      <c r="H98" t="inlineStr">
        <is>
          <t>2026-08-08</t>
        </is>
      </c>
      <c r="I98" t="inlineStr">
        <is>
          <t>2026-08-08</t>
        </is>
      </c>
      <c r="J98" s="19" t="inlineStr">
        <is>
          <t>2</t>
        </is>
      </c>
      <c r="L98" s="19" t="n"/>
      <c r="N98" t="inlineStr">
        <is>
          <t>Rev.00 Word shipment statement generated — see DOCUMENT_LIBRARY.FILE_URI</t>
        </is>
      </c>
    </row>
    <row r="99">
      <c r="A99" s="19" t="inlineStr">
        <is>
          <t>98</t>
        </is>
      </c>
      <c r="B99" s="19" t="inlineStr">
        <is>
          <t>IA-PPWR-STM-ST-051-STD-02-R00</t>
        </is>
      </c>
      <c r="C99" s="19" t="inlineStr">
        <is>
          <t>1</t>
        </is>
      </c>
      <c r="D99" s="19" t="inlineStr">
        <is>
          <t>1</t>
        </is>
      </c>
      <c r="E99" s="19" t="inlineStr">
        <is>
          <t>2</t>
        </is>
      </c>
      <c r="F99" t="n">
        <v>2026</v>
      </c>
      <c r="H99" t="inlineStr">
        <is>
          <t>2026-08-08</t>
        </is>
      </c>
      <c r="I99" t="inlineStr">
        <is>
          <t>2026-08-08</t>
        </is>
      </c>
      <c r="J99" s="19" t="inlineStr">
        <is>
          <t>2</t>
        </is>
      </c>
      <c r="L99" s="19" t="n"/>
      <c r="N99" t="inlineStr">
        <is>
          <t>Rev.00 Word shipment statement generated — see DOCUMENT_LIBRARY.FILE_URI</t>
        </is>
      </c>
    </row>
    <row r="100">
      <c r="A100" s="19" t="inlineStr">
        <is>
          <t>99</t>
        </is>
      </c>
      <c r="B100" s="19" t="inlineStr">
        <is>
          <t>IA-PPWR-STM-ST-051-STD-03-R00</t>
        </is>
      </c>
      <c r="C100" s="19" t="inlineStr">
        <is>
          <t>1</t>
        </is>
      </c>
      <c r="D100" s="19" t="inlineStr">
        <is>
          <t>1</t>
        </is>
      </c>
      <c r="E100" s="19" t="inlineStr">
        <is>
          <t>2</t>
        </is>
      </c>
      <c r="F100" t="n">
        <v>2026</v>
      </c>
      <c r="H100" t="inlineStr">
        <is>
          <t>2026-08-08</t>
        </is>
      </c>
      <c r="I100" t="inlineStr">
        <is>
          <t>2026-08-08</t>
        </is>
      </c>
      <c r="J100" s="19" t="inlineStr">
        <is>
          <t>2</t>
        </is>
      </c>
      <c r="L100" s="19" t="n"/>
      <c r="N100" t="inlineStr">
        <is>
          <t>Rev.00 Word shipment statement generated — see DOCUMENT_LIBRARY.FILE_URI</t>
        </is>
      </c>
    </row>
    <row r="101">
      <c r="A101" s="19" t="inlineStr">
        <is>
          <t>100</t>
        </is>
      </c>
      <c r="B101" s="19" t="inlineStr">
        <is>
          <t>IA-PPWR-STM-ST-051-STD-04-R00</t>
        </is>
      </c>
      <c r="C101" s="19" t="inlineStr">
        <is>
          <t>1</t>
        </is>
      </c>
      <c r="D101" s="19" t="inlineStr">
        <is>
          <t>1</t>
        </is>
      </c>
      <c r="E101" s="19" t="inlineStr">
        <is>
          <t>2</t>
        </is>
      </c>
      <c r="F101" t="n">
        <v>2026</v>
      </c>
      <c r="H101" t="inlineStr">
        <is>
          <t>2026-08-08</t>
        </is>
      </c>
      <c r="I101" t="inlineStr">
        <is>
          <t>2026-08-08</t>
        </is>
      </c>
      <c r="J101" s="19" t="inlineStr">
        <is>
          <t>2</t>
        </is>
      </c>
      <c r="L101" s="19" t="n"/>
      <c r="N101" t="inlineStr">
        <is>
          <t>Rev.00 Word shipment statement generated — see DOCUMENT_LIBRARY.FILE_URI</t>
        </is>
      </c>
    </row>
    <row r="102">
      <c r="A102" s="19" t="inlineStr">
        <is>
          <t>101</t>
        </is>
      </c>
      <c r="B102" s="19" t="inlineStr">
        <is>
          <t>IA-PPWR-STM-ST-051-STD-05-R00</t>
        </is>
      </c>
      <c r="C102" s="19" t="inlineStr">
        <is>
          <t>1</t>
        </is>
      </c>
      <c r="D102" s="19" t="inlineStr">
        <is>
          <t>1</t>
        </is>
      </c>
      <c r="E102" s="19" t="inlineStr">
        <is>
          <t>2</t>
        </is>
      </c>
      <c r="F102" t="n">
        <v>2026</v>
      </c>
      <c r="H102" t="inlineStr">
        <is>
          <t>2026-08-08</t>
        </is>
      </c>
      <c r="I102" t="inlineStr">
        <is>
          <t>2026-08-08</t>
        </is>
      </c>
      <c r="J102" s="19" t="inlineStr">
        <is>
          <t>2</t>
        </is>
      </c>
      <c r="L102" s="19" t="n"/>
      <c r="N102" t="inlineStr">
        <is>
          <t>Rev.00 Word shipment statement generated — see DOCUMENT_LIBRARY.FILE_URI</t>
        </is>
      </c>
    </row>
    <row r="103">
      <c r="A103" s="19" t="inlineStr">
        <is>
          <t>102</t>
        </is>
      </c>
      <c r="B103" s="19" t="inlineStr">
        <is>
          <t>IA-PPWR-STM-ST-051-STD-06-R00</t>
        </is>
      </c>
      <c r="C103" s="19" t="inlineStr">
        <is>
          <t>1</t>
        </is>
      </c>
      <c r="D103" s="19" t="inlineStr">
        <is>
          <t>1</t>
        </is>
      </c>
      <c r="E103" s="19" t="inlineStr">
        <is>
          <t>2</t>
        </is>
      </c>
      <c r="F103" t="n">
        <v>2026</v>
      </c>
      <c r="H103" t="inlineStr">
        <is>
          <t>2026-08-08</t>
        </is>
      </c>
      <c r="I103" t="inlineStr">
        <is>
          <t>2026-08-08</t>
        </is>
      </c>
      <c r="J103" s="19" t="inlineStr">
        <is>
          <t>2</t>
        </is>
      </c>
      <c r="L103" s="19" t="n"/>
      <c r="N103" t="inlineStr">
        <is>
          <t>Rev.00 Word shipment statement generated — see DOCUMENT_LIBRARY.FILE_URI</t>
        </is>
      </c>
    </row>
    <row r="104">
      <c r="A104" s="19" t="inlineStr">
        <is>
          <t>103</t>
        </is>
      </c>
      <c r="B104" s="19" t="inlineStr">
        <is>
          <t>IA-PPWR-STM-ST-051-STD-07-R00</t>
        </is>
      </c>
      <c r="C104" s="19" t="inlineStr">
        <is>
          <t>1</t>
        </is>
      </c>
      <c r="D104" s="19" t="inlineStr">
        <is>
          <t>1</t>
        </is>
      </c>
      <c r="E104" s="19" t="inlineStr">
        <is>
          <t>2</t>
        </is>
      </c>
      <c r="F104" t="n">
        <v>2026</v>
      </c>
      <c r="H104" t="inlineStr">
        <is>
          <t>2026-08-08</t>
        </is>
      </c>
      <c r="I104" t="inlineStr">
        <is>
          <t>2026-08-08</t>
        </is>
      </c>
      <c r="J104" s="19" t="inlineStr">
        <is>
          <t>2</t>
        </is>
      </c>
      <c r="L104" s="19" t="n"/>
      <c r="N104" t="inlineStr">
        <is>
          <t>Rev.00 Word shipment statement generated — see DOCUMENT_LIBRARY.FILE_URI</t>
        </is>
      </c>
    </row>
    <row r="105">
      <c r="A105" s="19" t="inlineStr">
        <is>
          <t>104</t>
        </is>
      </c>
      <c r="B105" s="19" t="inlineStr">
        <is>
          <t>IA-PPWR-STM-ST-051-STD-08-R00</t>
        </is>
      </c>
      <c r="C105" s="19" t="inlineStr">
        <is>
          <t>1</t>
        </is>
      </c>
      <c r="D105" s="19" t="inlineStr">
        <is>
          <t>1</t>
        </is>
      </c>
      <c r="E105" s="19" t="inlineStr">
        <is>
          <t>2</t>
        </is>
      </c>
      <c r="F105" t="n">
        <v>2026</v>
      </c>
      <c r="H105" t="inlineStr">
        <is>
          <t>2026-08-08</t>
        </is>
      </c>
      <c r="I105" t="inlineStr">
        <is>
          <t>2026-08-08</t>
        </is>
      </c>
      <c r="J105" s="19" t="inlineStr">
        <is>
          <t>2</t>
        </is>
      </c>
      <c r="L105" s="19" t="n"/>
      <c r="N105" t="inlineStr">
        <is>
          <t>Rev.00 Word shipment statement generated — see DOCUMENT_LIBRARY.FILE_URI</t>
        </is>
      </c>
    </row>
    <row r="106">
      <c r="A106" s="19" t="inlineStr">
        <is>
          <t>105</t>
        </is>
      </c>
      <c r="B106" s="19" t="inlineStr">
        <is>
          <t>IA-PPWR-STM-ST-054-EUR-01-R00</t>
        </is>
      </c>
      <c r="C106" s="19" t="inlineStr">
        <is>
          <t>1</t>
        </is>
      </c>
      <c r="D106" s="19" t="inlineStr">
        <is>
          <t>1</t>
        </is>
      </c>
      <c r="E106" s="19" t="inlineStr">
        <is>
          <t>2</t>
        </is>
      </c>
      <c r="F106" t="n">
        <v>2026</v>
      </c>
      <c r="H106" t="inlineStr">
        <is>
          <t>2026-08-08</t>
        </is>
      </c>
      <c r="I106" t="inlineStr">
        <is>
          <t>2026-08-08</t>
        </is>
      </c>
      <c r="J106" s="19" t="inlineStr">
        <is>
          <t>2</t>
        </is>
      </c>
      <c r="L106" s="19" t="n"/>
      <c r="N106" t="inlineStr">
        <is>
          <t>Rev.00 Word shipment statement generated — see DOCUMENT_LIBRARY.FILE_URI</t>
        </is>
      </c>
    </row>
    <row r="107">
      <c r="A107" s="19" t="inlineStr">
        <is>
          <t>106</t>
        </is>
      </c>
      <c r="B107" s="19" t="inlineStr">
        <is>
          <t>IA-PPWR-STM-ST-054-STD-01-R00</t>
        </is>
      </c>
      <c r="C107" s="19" t="inlineStr">
        <is>
          <t>1</t>
        </is>
      </c>
      <c r="D107" s="19" t="inlineStr">
        <is>
          <t>1</t>
        </is>
      </c>
      <c r="E107" s="19" t="inlineStr">
        <is>
          <t>2</t>
        </is>
      </c>
      <c r="F107" t="n">
        <v>2026</v>
      </c>
      <c r="H107" t="inlineStr">
        <is>
          <t>2026-08-08</t>
        </is>
      </c>
      <c r="I107" t="inlineStr">
        <is>
          <t>2026-08-08</t>
        </is>
      </c>
      <c r="J107" s="19" t="inlineStr">
        <is>
          <t>2</t>
        </is>
      </c>
      <c r="L107" s="19" t="n"/>
      <c r="N107" t="inlineStr">
        <is>
          <t>Rev.00 Word shipment statement generated — see DOCUMENT_LIBRARY.FILE_URI</t>
        </is>
      </c>
    </row>
    <row r="108">
      <c r="A108" s="19" t="inlineStr">
        <is>
          <t>107</t>
        </is>
      </c>
      <c r="B108" s="19" t="inlineStr">
        <is>
          <t>IA-PPWR-STM-ST-054-STD-02-R00</t>
        </is>
      </c>
      <c r="C108" s="19" t="inlineStr">
        <is>
          <t>1</t>
        </is>
      </c>
      <c r="D108" s="19" t="inlineStr">
        <is>
          <t>1</t>
        </is>
      </c>
      <c r="E108" s="19" t="inlineStr">
        <is>
          <t>2</t>
        </is>
      </c>
      <c r="F108" t="n">
        <v>2026</v>
      </c>
      <c r="H108" t="inlineStr">
        <is>
          <t>2026-08-08</t>
        </is>
      </c>
      <c r="I108" t="inlineStr">
        <is>
          <t>2026-08-08</t>
        </is>
      </c>
      <c r="J108" s="19" t="inlineStr">
        <is>
          <t>2</t>
        </is>
      </c>
      <c r="L108" s="19" t="n"/>
      <c r="N108" t="inlineStr">
        <is>
          <t>Rev.00 Word shipment statement generated — see DOCUMENT_LIBRARY.FILE_URI</t>
        </is>
      </c>
    </row>
    <row r="109">
      <c r="A109" s="19" t="inlineStr">
        <is>
          <t>108</t>
        </is>
      </c>
      <c r="B109" s="19" t="inlineStr">
        <is>
          <t>IA-PPWR-STM-ST-054-STD-03-R00</t>
        </is>
      </c>
      <c r="C109" s="19" t="inlineStr">
        <is>
          <t>1</t>
        </is>
      </c>
      <c r="D109" s="19" t="inlineStr">
        <is>
          <t>1</t>
        </is>
      </c>
      <c r="E109" s="19" t="inlineStr">
        <is>
          <t>2</t>
        </is>
      </c>
      <c r="F109" t="n">
        <v>2026</v>
      </c>
      <c r="H109" t="inlineStr">
        <is>
          <t>2026-08-08</t>
        </is>
      </c>
      <c r="I109" t="inlineStr">
        <is>
          <t>2026-08-08</t>
        </is>
      </c>
      <c r="J109" s="19" t="inlineStr">
        <is>
          <t>2</t>
        </is>
      </c>
      <c r="L109" s="19" t="n"/>
      <c r="N109" t="inlineStr">
        <is>
          <t>Rev.00 Word shipment statement generated — see DOCUMENT_LIBRARY.FILE_URI</t>
        </is>
      </c>
    </row>
    <row r="110">
      <c r="A110" s="19" t="inlineStr">
        <is>
          <t>109</t>
        </is>
      </c>
      <c r="B110" s="19" t="inlineStr">
        <is>
          <t>IA-PPWR-STM-ST-054-STD-04-R00</t>
        </is>
      </c>
      <c r="C110" s="19" t="inlineStr">
        <is>
          <t>1</t>
        </is>
      </c>
      <c r="D110" s="19" t="inlineStr">
        <is>
          <t>1</t>
        </is>
      </c>
      <c r="E110" s="19" t="inlineStr">
        <is>
          <t>2</t>
        </is>
      </c>
      <c r="F110" t="n">
        <v>2026</v>
      </c>
      <c r="H110" t="inlineStr">
        <is>
          <t>2026-08-08</t>
        </is>
      </c>
      <c r="I110" t="inlineStr">
        <is>
          <t>2026-08-08</t>
        </is>
      </c>
      <c r="J110" s="19" t="inlineStr">
        <is>
          <t>2</t>
        </is>
      </c>
      <c r="L110" s="19" t="n"/>
      <c r="N110" t="inlineStr">
        <is>
          <t>Rev.00 Word shipment statement generated — see DOCUMENT_LIBRARY.FILE_URI</t>
        </is>
      </c>
    </row>
    <row r="111">
      <c r="A111" s="19" t="inlineStr">
        <is>
          <t>110</t>
        </is>
      </c>
      <c r="B111" s="19" t="inlineStr">
        <is>
          <t>IA-PPWR-STM-ST-054-STD-05-R00</t>
        </is>
      </c>
      <c r="C111" s="19" t="inlineStr">
        <is>
          <t>1</t>
        </is>
      </c>
      <c r="D111" s="19" t="inlineStr">
        <is>
          <t>1</t>
        </is>
      </c>
      <c r="E111" s="19" t="inlineStr">
        <is>
          <t>2</t>
        </is>
      </c>
      <c r="F111" t="n">
        <v>2026</v>
      </c>
      <c r="H111" t="inlineStr">
        <is>
          <t>2026-08-08</t>
        </is>
      </c>
      <c r="I111" t="inlineStr">
        <is>
          <t>2026-08-08</t>
        </is>
      </c>
      <c r="J111" s="19" t="inlineStr">
        <is>
          <t>2</t>
        </is>
      </c>
      <c r="L111" s="19" t="n"/>
      <c r="N111" t="inlineStr">
        <is>
          <t>Rev.00 Word shipment statement generated — see DOCUMENT_LIBRARY.FILE_URI</t>
        </is>
      </c>
    </row>
    <row r="112">
      <c r="A112" s="19" t="inlineStr">
        <is>
          <t>111</t>
        </is>
      </c>
      <c r="B112" s="19" t="inlineStr">
        <is>
          <t>IA-PPWR-STM-ST-054-STD-06-R00</t>
        </is>
      </c>
      <c r="C112" s="19" t="inlineStr">
        <is>
          <t>1</t>
        </is>
      </c>
      <c r="D112" s="19" t="inlineStr">
        <is>
          <t>1</t>
        </is>
      </c>
      <c r="E112" s="19" t="inlineStr">
        <is>
          <t>2</t>
        </is>
      </c>
      <c r="F112" t="n">
        <v>2026</v>
      </c>
      <c r="H112" t="inlineStr">
        <is>
          <t>2026-08-08</t>
        </is>
      </c>
      <c r="I112" t="inlineStr">
        <is>
          <t>2026-08-08</t>
        </is>
      </c>
      <c r="J112" s="19" t="inlineStr">
        <is>
          <t>2</t>
        </is>
      </c>
      <c r="L112" s="19" t="n"/>
      <c r="N112" t="inlineStr">
        <is>
          <t>Rev.00 Word shipment statement generated — see DOCUMENT_LIBRARY.FILE_URI</t>
        </is>
      </c>
    </row>
    <row r="113">
      <c r="A113" s="19" t="inlineStr">
        <is>
          <t>112</t>
        </is>
      </c>
      <c r="B113" s="19" t="inlineStr">
        <is>
          <t>IA-PPWR-STM-ST-054-STD-07-R00</t>
        </is>
      </c>
      <c r="C113" s="19" t="inlineStr">
        <is>
          <t>1</t>
        </is>
      </c>
      <c r="D113" s="19" t="inlineStr">
        <is>
          <t>1</t>
        </is>
      </c>
      <c r="E113" s="19" t="inlineStr">
        <is>
          <t>2</t>
        </is>
      </c>
      <c r="F113" t="n">
        <v>2026</v>
      </c>
      <c r="H113" t="inlineStr">
        <is>
          <t>2026-08-08</t>
        </is>
      </c>
      <c r="I113" t="inlineStr">
        <is>
          <t>2026-08-08</t>
        </is>
      </c>
      <c r="J113" s="19" t="inlineStr">
        <is>
          <t>2</t>
        </is>
      </c>
      <c r="L113" s="19" t="n"/>
      <c r="N113" t="inlineStr">
        <is>
          <t>Rev.00 Word shipment statement generated — see DOCUMENT_LIBRARY.FILE_URI</t>
        </is>
      </c>
    </row>
    <row r="114">
      <c r="A114" s="19" t="inlineStr">
        <is>
          <t>113</t>
        </is>
      </c>
      <c r="B114" s="19" t="inlineStr">
        <is>
          <t>IA-PPWR-STM-ST-054-STD-08-R00</t>
        </is>
      </c>
      <c r="C114" s="19" t="inlineStr">
        <is>
          <t>1</t>
        </is>
      </c>
      <c r="D114" s="19" t="inlineStr">
        <is>
          <t>1</t>
        </is>
      </c>
      <c r="E114" s="19" t="inlineStr">
        <is>
          <t>2</t>
        </is>
      </c>
      <c r="F114" t="n">
        <v>2026</v>
      </c>
      <c r="H114" t="inlineStr">
        <is>
          <t>2026-08-08</t>
        </is>
      </c>
      <c r="I114" t="inlineStr">
        <is>
          <t>2026-08-08</t>
        </is>
      </c>
      <c r="J114" s="19" t="inlineStr">
        <is>
          <t>2</t>
        </is>
      </c>
      <c r="L114" s="19" t="n"/>
      <c r="N114" t="inlineStr">
        <is>
          <t>Rev.00 Word shipment statement generated — see DOCUMENT_LIBRARY.FILE_URI</t>
        </is>
      </c>
    </row>
    <row r="115">
      <c r="A115" s="19" t="inlineStr">
        <is>
          <t>114</t>
        </is>
      </c>
      <c r="B115" s="19" t="inlineStr">
        <is>
          <t>IA-PPWR-STM-ST-054-STD-09-R00</t>
        </is>
      </c>
      <c r="C115" s="19" t="inlineStr">
        <is>
          <t>1</t>
        </is>
      </c>
      <c r="D115" s="19" t="inlineStr">
        <is>
          <t>1</t>
        </is>
      </c>
      <c r="E115" s="19" t="inlineStr">
        <is>
          <t>2</t>
        </is>
      </c>
      <c r="F115" t="n">
        <v>2026</v>
      </c>
      <c r="H115" t="inlineStr">
        <is>
          <t>2026-08-08</t>
        </is>
      </c>
      <c r="I115" t="inlineStr">
        <is>
          <t>2026-08-08</t>
        </is>
      </c>
      <c r="J115" s="19" t="inlineStr">
        <is>
          <t>2</t>
        </is>
      </c>
      <c r="L115" s="19" t="n"/>
      <c r="N115" t="inlineStr">
        <is>
          <t>Rev.00 Word shipment statement generated — see DOCUMENT_LIBRARY.FILE_URI</t>
        </is>
      </c>
    </row>
    <row r="116">
      <c r="A116" s="19" t="inlineStr">
        <is>
          <t>115</t>
        </is>
      </c>
      <c r="B116" s="19" t="inlineStr">
        <is>
          <t>IA-PPWR-STM-ST-054-STD-10-R00</t>
        </is>
      </c>
      <c r="C116" s="19" t="inlineStr">
        <is>
          <t>1</t>
        </is>
      </c>
      <c r="D116" s="19" t="inlineStr">
        <is>
          <t>1</t>
        </is>
      </c>
      <c r="E116" s="19" t="inlineStr">
        <is>
          <t>2</t>
        </is>
      </c>
      <c r="F116" t="n">
        <v>2026</v>
      </c>
      <c r="H116" t="inlineStr">
        <is>
          <t>2026-08-08</t>
        </is>
      </c>
      <c r="I116" t="inlineStr">
        <is>
          <t>2026-08-08</t>
        </is>
      </c>
      <c r="J116" s="19" t="inlineStr">
        <is>
          <t>2</t>
        </is>
      </c>
      <c r="L116" s="19" t="n"/>
      <c r="N116" t="inlineStr">
        <is>
          <t>Rev.00 Word shipment statement generated — see DOCUMENT_LIBRARY.FILE_URI</t>
        </is>
      </c>
    </row>
    <row r="117">
      <c r="A117" s="19" t="inlineStr">
        <is>
          <t>116</t>
        </is>
      </c>
      <c r="B117" s="19" t="inlineStr">
        <is>
          <t>IA-PPWR-STM-ST-054-STD-11-R00</t>
        </is>
      </c>
      <c r="C117" s="19" t="inlineStr">
        <is>
          <t>1</t>
        </is>
      </c>
      <c r="D117" s="19" t="inlineStr">
        <is>
          <t>1</t>
        </is>
      </c>
      <c r="E117" s="19" t="inlineStr">
        <is>
          <t>2</t>
        </is>
      </c>
      <c r="F117" t="n">
        <v>2026</v>
      </c>
      <c r="H117" t="inlineStr">
        <is>
          <t>2026-08-08</t>
        </is>
      </c>
      <c r="I117" t="inlineStr">
        <is>
          <t>2026-08-08</t>
        </is>
      </c>
      <c r="J117" s="19" t="inlineStr">
        <is>
          <t>2</t>
        </is>
      </c>
      <c r="L117" s="19" t="n"/>
      <c r="N117" t="inlineStr">
        <is>
          <t>Rev.00 Word shipment statement generated — see DOCUMENT_LIBRARY.FILE_URI</t>
        </is>
      </c>
    </row>
    <row r="118">
      <c r="A118" s="19" t="inlineStr">
        <is>
          <t>117</t>
        </is>
      </c>
      <c r="B118" s="19" t="inlineStr">
        <is>
          <t>IA-PPWR-STM-ST-054-STD-12-R00</t>
        </is>
      </c>
      <c r="C118" s="19" t="inlineStr">
        <is>
          <t>1</t>
        </is>
      </c>
      <c r="D118" s="19" t="inlineStr">
        <is>
          <t>1</t>
        </is>
      </c>
      <c r="E118" s="19" t="inlineStr">
        <is>
          <t>2</t>
        </is>
      </c>
      <c r="F118" t="n">
        <v>2026</v>
      </c>
      <c r="H118" t="inlineStr">
        <is>
          <t>2026-08-08</t>
        </is>
      </c>
      <c r="I118" t="inlineStr">
        <is>
          <t>2026-08-08</t>
        </is>
      </c>
      <c r="J118" s="19" t="inlineStr">
        <is>
          <t>2</t>
        </is>
      </c>
      <c r="L118" s="19" t="n"/>
      <c r="N118" t="inlineStr">
        <is>
          <t>Rev.00 Word shipment statement generated — see DOCUMENT_LIBRARY.FILE_URI</t>
        </is>
      </c>
    </row>
    <row r="119">
      <c r="A119" s="19" t="inlineStr">
        <is>
          <t>118</t>
        </is>
      </c>
      <c r="B119" s="19" t="inlineStr">
        <is>
          <t>IA-PPWR-STM-ST-056-EUR-01-R00</t>
        </is>
      </c>
      <c r="C119" s="19" t="inlineStr">
        <is>
          <t>1</t>
        </is>
      </c>
      <c r="D119" s="19" t="inlineStr">
        <is>
          <t>1</t>
        </is>
      </c>
      <c r="E119" s="19" t="inlineStr">
        <is>
          <t>2</t>
        </is>
      </c>
      <c r="F119" t="n">
        <v>2026</v>
      </c>
      <c r="H119" t="inlineStr">
        <is>
          <t>2026-08-08</t>
        </is>
      </c>
      <c r="I119" t="inlineStr">
        <is>
          <t>2026-08-08</t>
        </is>
      </c>
      <c r="J119" s="19" t="inlineStr">
        <is>
          <t>2</t>
        </is>
      </c>
      <c r="L119" s="19" t="n"/>
      <c r="N119" t="inlineStr">
        <is>
          <t>Rev.00 Word shipment statement generated — see DOCUMENT_LIBRARY.FILE_URI</t>
        </is>
      </c>
    </row>
    <row r="120">
      <c r="A120" s="19" t="inlineStr">
        <is>
          <t>119</t>
        </is>
      </c>
      <c r="B120" s="19" t="inlineStr">
        <is>
          <t>IA-PPWR-STM-ST-056-EUR-02-R00</t>
        </is>
      </c>
      <c r="C120" s="19" t="inlineStr">
        <is>
          <t>1</t>
        </is>
      </c>
      <c r="D120" s="19" t="inlineStr">
        <is>
          <t>1</t>
        </is>
      </c>
      <c r="E120" s="19" t="inlineStr">
        <is>
          <t>2</t>
        </is>
      </c>
      <c r="F120" t="n">
        <v>2026</v>
      </c>
      <c r="H120" t="inlineStr">
        <is>
          <t>2026-08-08</t>
        </is>
      </c>
      <c r="I120" t="inlineStr">
        <is>
          <t>2026-08-08</t>
        </is>
      </c>
      <c r="J120" s="19" t="inlineStr">
        <is>
          <t>2</t>
        </is>
      </c>
      <c r="L120" s="19" t="n"/>
      <c r="N120" t="inlineStr">
        <is>
          <t>Rev.00 Word shipment statement generated — see DOCUMENT_LIBRARY.FILE_URI</t>
        </is>
      </c>
    </row>
    <row r="121">
      <c r="A121" s="19" t="inlineStr">
        <is>
          <t>120</t>
        </is>
      </c>
      <c r="B121" s="19" t="inlineStr">
        <is>
          <t>IA-PPWR-STM-ST-056-EUR-03-R00</t>
        </is>
      </c>
      <c r="C121" s="19" t="inlineStr">
        <is>
          <t>1</t>
        </is>
      </c>
      <c r="D121" s="19" t="inlineStr">
        <is>
          <t>1</t>
        </is>
      </c>
      <c r="E121" s="19" t="inlineStr">
        <is>
          <t>2</t>
        </is>
      </c>
      <c r="F121" t="n">
        <v>2026</v>
      </c>
      <c r="H121" t="inlineStr">
        <is>
          <t>2026-08-08</t>
        </is>
      </c>
      <c r="I121" t="inlineStr">
        <is>
          <t>2026-08-08</t>
        </is>
      </c>
      <c r="J121" s="19" t="inlineStr">
        <is>
          <t>2</t>
        </is>
      </c>
      <c r="L121" s="19" t="n"/>
      <c r="N121" t="inlineStr">
        <is>
          <t>Rev.00 Word shipment statement generated — see DOCUMENT_LIBRARY.FILE_URI</t>
        </is>
      </c>
    </row>
    <row r="122">
      <c r="A122" s="19" t="inlineStr">
        <is>
          <t>121</t>
        </is>
      </c>
      <c r="B122" s="19" t="inlineStr">
        <is>
          <t>IA-PPWR-STM-ST-056-EUR-04-R00</t>
        </is>
      </c>
      <c r="C122" s="19" t="inlineStr">
        <is>
          <t>1</t>
        </is>
      </c>
      <c r="D122" s="19" t="inlineStr">
        <is>
          <t>1</t>
        </is>
      </c>
      <c r="E122" s="19" t="inlineStr">
        <is>
          <t>2</t>
        </is>
      </c>
      <c r="F122" t="n">
        <v>2026</v>
      </c>
      <c r="H122" t="inlineStr">
        <is>
          <t>2026-08-08</t>
        </is>
      </c>
      <c r="I122" t="inlineStr">
        <is>
          <t>2026-08-08</t>
        </is>
      </c>
      <c r="J122" s="19" t="inlineStr">
        <is>
          <t>2</t>
        </is>
      </c>
      <c r="L122" s="19" t="n"/>
      <c r="N122" t="inlineStr">
        <is>
          <t>Rev.00 Word shipment statement generated — see DOCUMENT_LIBRARY.FILE_URI</t>
        </is>
      </c>
    </row>
    <row r="123">
      <c r="A123" s="19" t="inlineStr">
        <is>
          <t>122</t>
        </is>
      </c>
      <c r="B123" s="19" t="inlineStr">
        <is>
          <t>IA-PPWR-STM-ST-057-EUR-01-R00</t>
        </is>
      </c>
      <c r="C123" s="19" t="inlineStr">
        <is>
          <t>1</t>
        </is>
      </c>
      <c r="D123" s="19" t="inlineStr">
        <is>
          <t>1</t>
        </is>
      </c>
      <c r="E123" s="19" t="inlineStr">
        <is>
          <t>2</t>
        </is>
      </c>
      <c r="F123" t="n">
        <v>2026</v>
      </c>
      <c r="H123" t="inlineStr">
        <is>
          <t>2026-08-08</t>
        </is>
      </c>
      <c r="I123" t="inlineStr">
        <is>
          <t>2026-08-08</t>
        </is>
      </c>
      <c r="J123" s="19" t="inlineStr">
        <is>
          <t>2</t>
        </is>
      </c>
      <c r="L123" s="19" t="n"/>
      <c r="N123" t="inlineStr">
        <is>
          <t>Rev.00 Word shipment statement generated — see DOCUMENT_LIBRARY.FILE_URI</t>
        </is>
      </c>
    </row>
    <row r="124">
      <c r="A124" s="19" t="inlineStr">
        <is>
          <t>123</t>
        </is>
      </c>
      <c r="B124" s="19" t="inlineStr">
        <is>
          <t>IA-PPWR-STM-ST-057-EUR-02-R00</t>
        </is>
      </c>
      <c r="C124" s="19" t="inlineStr">
        <is>
          <t>1</t>
        </is>
      </c>
      <c r="D124" s="19" t="inlineStr">
        <is>
          <t>1</t>
        </is>
      </c>
      <c r="E124" s="19" t="inlineStr">
        <is>
          <t>2</t>
        </is>
      </c>
      <c r="F124" t="n">
        <v>2026</v>
      </c>
      <c r="H124" t="inlineStr">
        <is>
          <t>2026-08-08</t>
        </is>
      </c>
      <c r="I124" t="inlineStr">
        <is>
          <t>2026-08-08</t>
        </is>
      </c>
      <c r="J124" s="19" t="inlineStr">
        <is>
          <t>2</t>
        </is>
      </c>
      <c r="L124" s="19" t="n"/>
      <c r="N124" t="inlineStr">
        <is>
          <t>Rev.00 Word shipment statement generated — see DOCUMENT_LIBRARY.FILE_URI</t>
        </is>
      </c>
    </row>
    <row r="125">
      <c r="A125" s="19" t="inlineStr">
        <is>
          <t>124</t>
        </is>
      </c>
      <c r="B125" s="19" t="inlineStr">
        <is>
          <t>IA-PPWR-STM-ST-057-EUR-03-R00</t>
        </is>
      </c>
      <c r="C125" s="19" t="inlineStr">
        <is>
          <t>1</t>
        </is>
      </c>
      <c r="D125" s="19" t="inlineStr">
        <is>
          <t>1</t>
        </is>
      </c>
      <c r="E125" s="19" t="inlineStr">
        <is>
          <t>2</t>
        </is>
      </c>
      <c r="F125" t="n">
        <v>2026</v>
      </c>
      <c r="H125" t="inlineStr">
        <is>
          <t>2026-08-08</t>
        </is>
      </c>
      <c r="I125" t="inlineStr">
        <is>
          <t>2026-08-08</t>
        </is>
      </c>
      <c r="J125" s="19" t="inlineStr">
        <is>
          <t>2</t>
        </is>
      </c>
      <c r="L125" s="19" t="n"/>
      <c r="N125" t="inlineStr">
        <is>
          <t>Rev.00 Word shipment statement generated — see DOCUMENT_LIBRARY.FILE_URI</t>
        </is>
      </c>
    </row>
    <row r="126">
      <c r="A126" s="19" t="inlineStr">
        <is>
          <t>125</t>
        </is>
      </c>
      <c r="B126" s="19" t="inlineStr">
        <is>
          <t>IA-PPWR-STM-ST-057-EUR-04-R00</t>
        </is>
      </c>
      <c r="C126" s="19" t="inlineStr">
        <is>
          <t>1</t>
        </is>
      </c>
      <c r="D126" s="19" t="inlineStr">
        <is>
          <t>1</t>
        </is>
      </c>
      <c r="E126" s="19" t="inlineStr">
        <is>
          <t>2</t>
        </is>
      </c>
      <c r="F126" t="n">
        <v>2026</v>
      </c>
      <c r="H126" t="inlineStr">
        <is>
          <t>2026-08-08</t>
        </is>
      </c>
      <c r="I126" t="inlineStr">
        <is>
          <t>2026-08-08</t>
        </is>
      </c>
      <c r="J126" s="19" t="inlineStr">
        <is>
          <t>2</t>
        </is>
      </c>
      <c r="L126" s="19" t="n"/>
      <c r="N126" t="inlineStr">
        <is>
          <t>Rev.00 Word shipment statement generated — see DOCUMENT_LIBRARY.FILE_URI</t>
        </is>
      </c>
    </row>
    <row r="127">
      <c r="A127" s="19" t="inlineStr">
        <is>
          <t>126</t>
        </is>
      </c>
      <c r="B127" s="19" t="inlineStr">
        <is>
          <t>IA-PPWR-STM-ST-057-EUR-05-R00</t>
        </is>
      </c>
      <c r="C127" s="19" t="inlineStr">
        <is>
          <t>1</t>
        </is>
      </c>
      <c r="D127" s="19" t="inlineStr">
        <is>
          <t>1</t>
        </is>
      </c>
      <c r="E127" s="19" t="inlineStr">
        <is>
          <t>2</t>
        </is>
      </c>
      <c r="F127" t="n">
        <v>2026</v>
      </c>
      <c r="H127" t="inlineStr">
        <is>
          <t>2026-08-08</t>
        </is>
      </c>
      <c r="I127" t="inlineStr">
        <is>
          <t>2026-08-08</t>
        </is>
      </c>
      <c r="J127" s="19" t="inlineStr">
        <is>
          <t>2</t>
        </is>
      </c>
      <c r="L127" s="19" t="n"/>
      <c r="N127" t="inlineStr">
        <is>
          <t>Rev.00 Word shipment statement generated — see DOCUMENT_LIBRARY.FILE_URI</t>
        </is>
      </c>
    </row>
    <row r="128">
      <c r="A128" s="19" t="inlineStr">
        <is>
          <t>127</t>
        </is>
      </c>
      <c r="B128" s="19" t="inlineStr">
        <is>
          <t>IA-PPWR-STM-ST-057-STD-01-R00</t>
        </is>
      </c>
      <c r="C128" s="19" t="inlineStr">
        <is>
          <t>1</t>
        </is>
      </c>
      <c r="D128" s="19" t="inlineStr">
        <is>
          <t>1</t>
        </is>
      </c>
      <c r="E128" s="19" t="inlineStr">
        <is>
          <t>2</t>
        </is>
      </c>
      <c r="F128" t="n">
        <v>2026</v>
      </c>
      <c r="H128" t="inlineStr">
        <is>
          <t>2026-08-08</t>
        </is>
      </c>
      <c r="I128" t="inlineStr">
        <is>
          <t>2026-08-08</t>
        </is>
      </c>
      <c r="J128" s="19" t="inlineStr">
        <is>
          <t>2</t>
        </is>
      </c>
      <c r="L128" s="19" t="n"/>
      <c r="N128" t="inlineStr">
        <is>
          <t>Rev.00 Word shipment statement generated — see DOCUMENT_LIBRARY.FILE_URI</t>
        </is>
      </c>
    </row>
    <row r="129">
      <c r="A129" s="19" t="inlineStr">
        <is>
          <t>128</t>
        </is>
      </c>
      <c r="B129" s="19" t="inlineStr">
        <is>
          <t>IA-PPWR-STM-ST-057-STD-02-R00</t>
        </is>
      </c>
      <c r="C129" s="19" t="inlineStr">
        <is>
          <t>1</t>
        </is>
      </c>
      <c r="D129" s="19" t="inlineStr">
        <is>
          <t>1</t>
        </is>
      </c>
      <c r="E129" s="19" t="inlineStr">
        <is>
          <t>2</t>
        </is>
      </c>
      <c r="F129" t="n">
        <v>2026</v>
      </c>
      <c r="H129" t="inlineStr">
        <is>
          <t>2026-08-08</t>
        </is>
      </c>
      <c r="I129" t="inlineStr">
        <is>
          <t>2026-08-08</t>
        </is>
      </c>
      <c r="J129" s="19" t="inlineStr">
        <is>
          <t>2</t>
        </is>
      </c>
      <c r="L129" s="19" t="n"/>
      <c r="N129" t="inlineStr">
        <is>
          <t>Rev.00 Word shipment statement generated — see DOCUMENT_LIBRARY.FILE_URI</t>
        </is>
      </c>
    </row>
    <row r="130">
      <c r="A130" s="19" t="inlineStr">
        <is>
          <t>129</t>
        </is>
      </c>
      <c r="B130" s="19" t="inlineStr">
        <is>
          <t>IA-PPWR-STM-ST-057-STD-03-R00</t>
        </is>
      </c>
      <c r="C130" s="19" t="inlineStr">
        <is>
          <t>1</t>
        </is>
      </c>
      <c r="D130" s="19" t="inlineStr">
        <is>
          <t>1</t>
        </is>
      </c>
      <c r="E130" s="19" t="inlineStr">
        <is>
          <t>2</t>
        </is>
      </c>
      <c r="F130" t="n">
        <v>2026</v>
      </c>
      <c r="H130" t="inlineStr">
        <is>
          <t>2026-08-08</t>
        </is>
      </c>
      <c r="I130" t="inlineStr">
        <is>
          <t>2026-08-08</t>
        </is>
      </c>
      <c r="J130" s="19" t="inlineStr">
        <is>
          <t>2</t>
        </is>
      </c>
      <c r="L130" s="19" t="n"/>
      <c r="N130" t="inlineStr">
        <is>
          <t>Rev.00 Word shipment statement generated — see DOCUMENT_LIBRARY.FILE_URI</t>
        </is>
      </c>
    </row>
    <row r="131">
      <c r="A131" s="19" t="inlineStr">
        <is>
          <t>130</t>
        </is>
      </c>
      <c r="B131" s="19" t="inlineStr">
        <is>
          <t>IA-PPWR-STM-ST-060-EUR-01-R00</t>
        </is>
      </c>
      <c r="C131" s="19" t="inlineStr">
        <is>
          <t>1</t>
        </is>
      </c>
      <c r="D131" s="19" t="inlineStr">
        <is>
          <t>1</t>
        </is>
      </c>
      <c r="E131" s="19" t="inlineStr">
        <is>
          <t>2</t>
        </is>
      </c>
      <c r="F131" t="n">
        <v>2026</v>
      </c>
      <c r="H131" t="inlineStr">
        <is>
          <t>2026-08-08</t>
        </is>
      </c>
      <c r="I131" t="inlineStr">
        <is>
          <t>2026-08-08</t>
        </is>
      </c>
      <c r="J131" s="19" t="inlineStr">
        <is>
          <t>2</t>
        </is>
      </c>
      <c r="L131" s="19" t="n"/>
      <c r="N131" t="inlineStr">
        <is>
          <t>Rev.00 Word shipment statement generated — see DOCUMENT_LIBRARY.FILE_URI</t>
        </is>
      </c>
    </row>
    <row r="132">
      <c r="A132" s="19" t="inlineStr">
        <is>
          <t>131</t>
        </is>
      </c>
      <c r="B132" s="19" t="inlineStr">
        <is>
          <t>IA-PPWR-STM-ST-060-EUR-02-R00</t>
        </is>
      </c>
      <c r="C132" s="19" t="inlineStr">
        <is>
          <t>1</t>
        </is>
      </c>
      <c r="D132" s="19" t="inlineStr">
        <is>
          <t>1</t>
        </is>
      </c>
      <c r="E132" s="19" t="inlineStr">
        <is>
          <t>2</t>
        </is>
      </c>
      <c r="F132" t="n">
        <v>2026</v>
      </c>
      <c r="H132" t="inlineStr">
        <is>
          <t>2026-08-08</t>
        </is>
      </c>
      <c r="I132" t="inlineStr">
        <is>
          <t>2026-08-08</t>
        </is>
      </c>
      <c r="J132" s="19" t="inlineStr">
        <is>
          <t>2</t>
        </is>
      </c>
      <c r="L132" s="19" t="n"/>
      <c r="N132" t="inlineStr">
        <is>
          <t>Rev.00 Word shipment statement generated — see DOCUMENT_LIBRARY.FILE_URI</t>
        </is>
      </c>
    </row>
    <row r="133">
      <c r="A133" s="19" t="inlineStr">
        <is>
          <t>132</t>
        </is>
      </c>
      <c r="B133" s="19" t="inlineStr">
        <is>
          <t>IA-PPWR-STM-ST-060-STD-01-R00</t>
        </is>
      </c>
      <c r="C133" s="19" t="inlineStr">
        <is>
          <t>1</t>
        </is>
      </c>
      <c r="D133" s="19" t="inlineStr">
        <is>
          <t>1</t>
        </is>
      </c>
      <c r="E133" s="19" t="inlineStr">
        <is>
          <t>2</t>
        </is>
      </c>
      <c r="F133" t="n">
        <v>2026</v>
      </c>
      <c r="H133" t="inlineStr">
        <is>
          <t>2026-08-08</t>
        </is>
      </c>
      <c r="I133" t="inlineStr">
        <is>
          <t>2026-08-08</t>
        </is>
      </c>
      <c r="J133" s="19" t="inlineStr">
        <is>
          <t>2</t>
        </is>
      </c>
      <c r="L133" s="19" t="n"/>
      <c r="N133" t="inlineStr">
        <is>
          <t>Rev.00 Word shipment statement generated — see DOCUMENT_LIBRARY.FILE_URI</t>
        </is>
      </c>
    </row>
    <row r="134">
      <c r="A134" s="19" t="inlineStr">
        <is>
          <t>133</t>
        </is>
      </c>
      <c r="B134" s="19" t="inlineStr">
        <is>
          <t>IA-PPWR-STM-ST-060-STD-02-R00</t>
        </is>
      </c>
      <c r="C134" s="19" t="inlineStr">
        <is>
          <t>1</t>
        </is>
      </c>
      <c r="D134" s="19" t="inlineStr">
        <is>
          <t>1</t>
        </is>
      </c>
      <c r="E134" s="19" t="inlineStr">
        <is>
          <t>2</t>
        </is>
      </c>
      <c r="F134" t="n">
        <v>2026</v>
      </c>
      <c r="H134" t="inlineStr">
        <is>
          <t>2026-08-08</t>
        </is>
      </c>
      <c r="I134" t="inlineStr">
        <is>
          <t>2026-08-08</t>
        </is>
      </c>
      <c r="J134" s="19" t="inlineStr">
        <is>
          <t>2</t>
        </is>
      </c>
      <c r="L134" s="19" t="n"/>
      <c r="N134" t="inlineStr">
        <is>
          <t>Rev.00 Word shipment statement generated — see DOCUMENT_LIBRARY.FILE_URI</t>
        </is>
      </c>
    </row>
    <row r="135">
      <c r="A135" s="19" t="inlineStr">
        <is>
          <t>134</t>
        </is>
      </c>
      <c r="B135" s="19" t="inlineStr">
        <is>
          <t>IA-PPWR-STM-ST-060-STD-03-R00</t>
        </is>
      </c>
      <c r="C135" s="19" t="inlineStr">
        <is>
          <t>1</t>
        </is>
      </c>
      <c r="D135" s="19" t="inlineStr">
        <is>
          <t>1</t>
        </is>
      </c>
      <c r="E135" s="19" t="inlineStr">
        <is>
          <t>2</t>
        </is>
      </c>
      <c r="F135" t="n">
        <v>2026</v>
      </c>
      <c r="H135" t="inlineStr">
        <is>
          <t>2026-08-08</t>
        </is>
      </c>
      <c r="I135" t="inlineStr">
        <is>
          <t>2026-08-08</t>
        </is>
      </c>
      <c r="J135" s="19" t="inlineStr">
        <is>
          <t>2</t>
        </is>
      </c>
      <c r="L135" s="19" t="n"/>
      <c r="N135" t="inlineStr">
        <is>
          <t>Rev.00 Word shipment statement generated — see DOCUMENT_LIBRARY.FILE_URI</t>
        </is>
      </c>
    </row>
    <row r="136">
      <c r="A136" s="19" t="inlineStr">
        <is>
          <t>135</t>
        </is>
      </c>
      <c r="B136" s="19" t="inlineStr">
        <is>
          <t>IA-PPWR-STM-ST-060-STD-04-R00</t>
        </is>
      </c>
      <c r="C136" s="19" t="inlineStr">
        <is>
          <t>1</t>
        </is>
      </c>
      <c r="D136" s="19" t="inlineStr">
        <is>
          <t>1</t>
        </is>
      </c>
      <c r="E136" s="19" t="inlineStr">
        <is>
          <t>2</t>
        </is>
      </c>
      <c r="F136" t="n">
        <v>2026</v>
      </c>
      <c r="H136" t="inlineStr">
        <is>
          <t>2026-08-08</t>
        </is>
      </c>
      <c r="I136" t="inlineStr">
        <is>
          <t>2026-08-08</t>
        </is>
      </c>
      <c r="J136" s="19" t="inlineStr">
        <is>
          <t>2</t>
        </is>
      </c>
      <c r="L136" s="19" t="n"/>
      <c r="N136" t="inlineStr">
        <is>
          <t>Rev.00 Word shipment statement generated — see DOCUMENT_LIBRARY.FILE_URI</t>
        </is>
      </c>
    </row>
    <row r="137">
      <c r="A137" s="19" t="inlineStr">
        <is>
          <t>136</t>
        </is>
      </c>
      <c r="B137" s="19" t="inlineStr">
        <is>
          <t>IA-PPWR-STM-ST-060-STD-05-R00</t>
        </is>
      </c>
      <c r="C137" s="19" t="inlineStr">
        <is>
          <t>1</t>
        </is>
      </c>
      <c r="D137" s="19" t="inlineStr">
        <is>
          <t>1</t>
        </is>
      </c>
      <c r="E137" s="19" t="inlineStr">
        <is>
          <t>2</t>
        </is>
      </c>
      <c r="F137" t="n">
        <v>2026</v>
      </c>
      <c r="H137" t="inlineStr">
        <is>
          <t>2026-08-08</t>
        </is>
      </c>
      <c r="I137" t="inlineStr">
        <is>
          <t>2026-08-08</t>
        </is>
      </c>
      <c r="J137" s="19" t="inlineStr">
        <is>
          <t>2</t>
        </is>
      </c>
      <c r="L137" s="19" t="n"/>
      <c r="N137" t="inlineStr">
        <is>
          <t>Rev.00 Word shipment statement generated — see DOCUMENT_LIBRARY.FILE_URI</t>
        </is>
      </c>
    </row>
    <row r="138">
      <c r="A138" s="19" t="inlineStr">
        <is>
          <t>137</t>
        </is>
      </c>
      <c r="B138" s="19" t="inlineStr">
        <is>
          <t>IA-PPWR-STM-ST-063-EUR-01-R00</t>
        </is>
      </c>
      <c r="C138" s="19" t="inlineStr">
        <is>
          <t>1</t>
        </is>
      </c>
      <c r="D138" s="19" t="inlineStr">
        <is>
          <t>1</t>
        </is>
      </c>
      <c r="E138" s="19" t="inlineStr">
        <is>
          <t>2</t>
        </is>
      </c>
      <c r="F138" t="n">
        <v>2026</v>
      </c>
      <c r="H138" t="inlineStr">
        <is>
          <t>2026-08-08</t>
        </is>
      </c>
      <c r="I138" t="inlineStr">
        <is>
          <t>2026-08-08</t>
        </is>
      </c>
      <c r="J138" s="19" t="inlineStr">
        <is>
          <t>2</t>
        </is>
      </c>
      <c r="L138" s="19" t="n"/>
      <c r="N138" t="inlineStr">
        <is>
          <t>Rev.00 Word shipment statement generated — see DOCUMENT_LIBRARY.FILE_URI</t>
        </is>
      </c>
    </row>
    <row r="139">
      <c r="A139" s="19" t="inlineStr">
        <is>
          <t>138</t>
        </is>
      </c>
      <c r="B139" s="19" t="inlineStr">
        <is>
          <t>IA-PPWR-STM-ST-063-EUR-02-R00</t>
        </is>
      </c>
      <c r="C139" s="19" t="inlineStr">
        <is>
          <t>1</t>
        </is>
      </c>
      <c r="D139" s="19" t="inlineStr">
        <is>
          <t>1</t>
        </is>
      </c>
      <c r="E139" s="19" t="inlineStr">
        <is>
          <t>2</t>
        </is>
      </c>
      <c r="F139" t="n">
        <v>2026</v>
      </c>
      <c r="H139" t="inlineStr">
        <is>
          <t>2026-08-08</t>
        </is>
      </c>
      <c r="I139" t="inlineStr">
        <is>
          <t>2026-08-08</t>
        </is>
      </c>
      <c r="J139" s="19" t="inlineStr">
        <is>
          <t>2</t>
        </is>
      </c>
      <c r="L139" s="19" t="n"/>
      <c r="N139" t="inlineStr">
        <is>
          <t>Rev.00 Word shipment statement generated — see DOCUMENT_LIBRARY.FILE_URI</t>
        </is>
      </c>
    </row>
    <row r="140">
      <c r="A140" s="19" t="inlineStr">
        <is>
          <t>139</t>
        </is>
      </c>
      <c r="B140" s="19" t="inlineStr">
        <is>
          <t>IA-PPWR-STM-ST-063-STD-01-R00</t>
        </is>
      </c>
      <c r="C140" s="19" t="inlineStr">
        <is>
          <t>1</t>
        </is>
      </c>
      <c r="D140" s="19" t="inlineStr">
        <is>
          <t>1</t>
        </is>
      </c>
      <c r="E140" s="19" t="inlineStr">
        <is>
          <t>2</t>
        </is>
      </c>
      <c r="F140" t="n">
        <v>2026</v>
      </c>
      <c r="H140" t="inlineStr">
        <is>
          <t>2026-08-08</t>
        </is>
      </c>
      <c r="I140" t="inlineStr">
        <is>
          <t>2026-08-08</t>
        </is>
      </c>
      <c r="J140" s="19" t="inlineStr">
        <is>
          <t>2</t>
        </is>
      </c>
      <c r="L140" s="19" t="n"/>
      <c r="N140" t="inlineStr">
        <is>
          <t>Rev.00 Word shipment statement generated — see DOCUMENT_LIBRARY.FILE_URI</t>
        </is>
      </c>
    </row>
    <row r="141">
      <c r="A141" s="19" t="inlineStr">
        <is>
          <t>140</t>
        </is>
      </c>
      <c r="B141" s="19" t="inlineStr">
        <is>
          <t>IA-PPWR-STM-ST-063-STD-02-R00</t>
        </is>
      </c>
      <c r="C141" s="19" t="inlineStr">
        <is>
          <t>1</t>
        </is>
      </c>
      <c r="D141" s="19" t="inlineStr">
        <is>
          <t>1</t>
        </is>
      </c>
      <c r="E141" s="19" t="inlineStr">
        <is>
          <t>2</t>
        </is>
      </c>
      <c r="F141" t="n">
        <v>2026</v>
      </c>
      <c r="H141" t="inlineStr">
        <is>
          <t>2026-08-08</t>
        </is>
      </c>
      <c r="I141" t="inlineStr">
        <is>
          <t>2026-08-08</t>
        </is>
      </c>
      <c r="J141" s="19" t="inlineStr">
        <is>
          <t>2</t>
        </is>
      </c>
      <c r="L141" s="19" t="n"/>
      <c r="N141" t="inlineStr">
        <is>
          <t>Rev.00 Word shipment statement generated — see DOCUMENT_LIBRARY.FILE_URI</t>
        </is>
      </c>
    </row>
    <row r="142">
      <c r="A142" s="19" t="inlineStr">
        <is>
          <t>141</t>
        </is>
      </c>
      <c r="B142" s="19" t="inlineStr">
        <is>
          <t>IA-PPWR-STM-ST-063-STD-03-R00</t>
        </is>
      </c>
      <c r="C142" s="19" t="inlineStr">
        <is>
          <t>1</t>
        </is>
      </c>
      <c r="D142" s="19" t="inlineStr">
        <is>
          <t>1</t>
        </is>
      </c>
      <c r="E142" s="19" t="inlineStr">
        <is>
          <t>2</t>
        </is>
      </c>
      <c r="F142" t="n">
        <v>2026</v>
      </c>
      <c r="H142" t="inlineStr">
        <is>
          <t>2026-08-08</t>
        </is>
      </c>
      <c r="I142" t="inlineStr">
        <is>
          <t>2026-08-08</t>
        </is>
      </c>
      <c r="J142" s="19" t="inlineStr">
        <is>
          <t>2</t>
        </is>
      </c>
      <c r="L142" s="19" t="n"/>
      <c r="N142" t="inlineStr">
        <is>
          <t>Rev.00 Word shipment statement generated — see DOCUMENT_LIBRARY.FILE_URI</t>
        </is>
      </c>
    </row>
    <row r="143">
      <c r="A143" s="19" t="inlineStr">
        <is>
          <t>142</t>
        </is>
      </c>
      <c r="B143" s="19" t="inlineStr">
        <is>
          <t>IA-PPWR-STM-ST-063-STD-04-R00</t>
        </is>
      </c>
      <c r="C143" s="19" t="inlineStr">
        <is>
          <t>1</t>
        </is>
      </c>
      <c r="D143" s="19" t="inlineStr">
        <is>
          <t>1</t>
        </is>
      </c>
      <c r="E143" s="19" t="inlineStr">
        <is>
          <t>2</t>
        </is>
      </c>
      <c r="F143" t="n">
        <v>2026</v>
      </c>
      <c r="H143" t="inlineStr">
        <is>
          <t>2026-08-08</t>
        </is>
      </c>
      <c r="I143" t="inlineStr">
        <is>
          <t>2026-08-08</t>
        </is>
      </c>
      <c r="J143" s="19" t="inlineStr">
        <is>
          <t>2</t>
        </is>
      </c>
      <c r="L143" s="19" t="n"/>
      <c r="N143" t="inlineStr">
        <is>
          <t>Rev.00 Word shipment statement generated — see DOCUMENT_LIBRARY.FILE_URI</t>
        </is>
      </c>
    </row>
    <row r="144">
      <c r="A144" s="19" t="inlineStr">
        <is>
          <t>143</t>
        </is>
      </c>
      <c r="B144" s="19" t="inlineStr">
        <is>
          <t>IA-PPWR-STM-ST-063-STD-05-R00</t>
        </is>
      </c>
      <c r="C144" s="19" t="inlineStr">
        <is>
          <t>1</t>
        </is>
      </c>
      <c r="D144" s="19" t="inlineStr">
        <is>
          <t>1</t>
        </is>
      </c>
      <c r="E144" s="19" t="inlineStr">
        <is>
          <t>2</t>
        </is>
      </c>
      <c r="F144" t="n">
        <v>2026</v>
      </c>
      <c r="H144" t="inlineStr">
        <is>
          <t>2026-08-08</t>
        </is>
      </c>
      <c r="I144" t="inlineStr">
        <is>
          <t>2026-08-08</t>
        </is>
      </c>
      <c r="J144" s="19" t="inlineStr">
        <is>
          <t>2</t>
        </is>
      </c>
      <c r="L144" s="19" t="n"/>
      <c r="N144" t="inlineStr">
        <is>
          <t>Rev.00 Word shipment statement generated — see DOCUMENT_LIBRARY.FILE_URI</t>
        </is>
      </c>
    </row>
    <row r="145">
      <c r="A145" s="19" t="inlineStr">
        <is>
          <t>144</t>
        </is>
      </c>
      <c r="B145" s="19" t="inlineStr">
        <is>
          <t>IA-PPWR-STM-ST-063-STD-06-R00</t>
        </is>
      </c>
      <c r="C145" s="19" t="inlineStr">
        <is>
          <t>1</t>
        </is>
      </c>
      <c r="D145" s="19" t="inlineStr">
        <is>
          <t>1</t>
        </is>
      </c>
      <c r="E145" s="19" t="inlineStr">
        <is>
          <t>2</t>
        </is>
      </c>
      <c r="F145" t="n">
        <v>2026</v>
      </c>
      <c r="H145" t="inlineStr">
        <is>
          <t>2026-08-08</t>
        </is>
      </c>
      <c r="I145" t="inlineStr">
        <is>
          <t>2026-08-08</t>
        </is>
      </c>
      <c r="J145" s="19" t="inlineStr">
        <is>
          <t>2</t>
        </is>
      </c>
      <c r="L145" s="19" t="n"/>
      <c r="N145" t="inlineStr">
        <is>
          <t>Rev.00 Word shipment statement generated — see DOCUMENT_LIBRARY.FILE_URI</t>
        </is>
      </c>
    </row>
    <row r="146">
      <c r="A146" s="19" t="inlineStr">
        <is>
          <t>145</t>
        </is>
      </c>
      <c r="B146" s="19" t="inlineStr">
        <is>
          <t>IA-PPWR-STM-ST-063-STD-07-R00</t>
        </is>
      </c>
      <c r="C146" s="19" t="inlineStr">
        <is>
          <t>1</t>
        </is>
      </c>
      <c r="D146" s="19" t="inlineStr">
        <is>
          <t>1</t>
        </is>
      </c>
      <c r="E146" s="19" t="inlineStr">
        <is>
          <t>2</t>
        </is>
      </c>
      <c r="F146" t="n">
        <v>2026</v>
      </c>
      <c r="H146" t="inlineStr">
        <is>
          <t>2026-08-08</t>
        </is>
      </c>
      <c r="I146" t="inlineStr">
        <is>
          <t>2026-08-08</t>
        </is>
      </c>
      <c r="J146" s="19" t="inlineStr">
        <is>
          <t>2</t>
        </is>
      </c>
      <c r="L146" s="19" t="n"/>
      <c r="N146" t="inlineStr">
        <is>
          <t>Rev.00 Word shipment statement generated — see DOCUMENT_LIBRARY.FILE_URI</t>
        </is>
      </c>
    </row>
    <row r="147">
      <c r="A147" s="19" t="inlineStr">
        <is>
          <t>146</t>
        </is>
      </c>
      <c r="B147" s="19" t="inlineStr">
        <is>
          <t>IA-PPWR-STM-ST-063-STD-08-R00</t>
        </is>
      </c>
      <c r="C147" s="19" t="inlineStr">
        <is>
          <t>1</t>
        </is>
      </c>
      <c r="D147" s="19" t="inlineStr">
        <is>
          <t>1</t>
        </is>
      </c>
      <c r="E147" s="19" t="inlineStr">
        <is>
          <t>2</t>
        </is>
      </c>
      <c r="F147" t="n">
        <v>2026</v>
      </c>
      <c r="H147" t="inlineStr">
        <is>
          <t>2026-08-08</t>
        </is>
      </c>
      <c r="I147" t="inlineStr">
        <is>
          <t>2026-08-08</t>
        </is>
      </c>
      <c r="J147" s="19" t="inlineStr">
        <is>
          <t>2</t>
        </is>
      </c>
      <c r="L147" s="19" t="n"/>
      <c r="N147" t="inlineStr">
        <is>
          <t>Rev.00 Word shipment statement generated — see DOCUMENT_LIBRARY.FILE_URI</t>
        </is>
      </c>
    </row>
    <row r="148">
      <c r="A148" s="19" t="inlineStr">
        <is>
          <t>147</t>
        </is>
      </c>
      <c r="B148" s="19" t="inlineStr">
        <is>
          <t>IA-PPWR-STM-ST-063-STD-09-R00</t>
        </is>
      </c>
      <c r="C148" s="19" t="inlineStr">
        <is>
          <t>1</t>
        </is>
      </c>
      <c r="D148" s="19" t="inlineStr">
        <is>
          <t>1</t>
        </is>
      </c>
      <c r="E148" s="19" t="inlineStr">
        <is>
          <t>2</t>
        </is>
      </c>
      <c r="F148" t="n">
        <v>2026</v>
      </c>
      <c r="H148" t="inlineStr">
        <is>
          <t>2026-08-08</t>
        </is>
      </c>
      <c r="I148" t="inlineStr">
        <is>
          <t>2026-08-08</t>
        </is>
      </c>
      <c r="J148" s="19" t="inlineStr">
        <is>
          <t>2</t>
        </is>
      </c>
      <c r="L148" s="19" t="n"/>
      <c r="N148" t="inlineStr">
        <is>
          <t>Rev.00 Word shipment statement generated — see DOCUMENT_LIBRARY.FILE_URI</t>
        </is>
      </c>
    </row>
    <row r="149">
      <c r="A149" s="19" t="inlineStr">
        <is>
          <t>148</t>
        </is>
      </c>
      <c r="B149" s="19" t="inlineStr">
        <is>
          <t>IA-PPWR-STM-ST-063-STD-10-R00</t>
        </is>
      </c>
      <c r="C149" s="19" t="inlineStr">
        <is>
          <t>1</t>
        </is>
      </c>
      <c r="D149" s="19" t="inlineStr">
        <is>
          <t>1</t>
        </is>
      </c>
      <c r="E149" s="19" t="inlineStr">
        <is>
          <t>2</t>
        </is>
      </c>
      <c r="F149" t="n">
        <v>2026</v>
      </c>
      <c r="H149" t="inlineStr">
        <is>
          <t>2026-08-08</t>
        </is>
      </c>
      <c r="I149" t="inlineStr">
        <is>
          <t>2026-08-08</t>
        </is>
      </c>
      <c r="J149" s="19" t="inlineStr">
        <is>
          <t>2</t>
        </is>
      </c>
      <c r="L149" s="19" t="n"/>
      <c r="N149" t="inlineStr">
        <is>
          <t>Rev.00 Word shipment statement generated — see DOCUMENT_LIBRARY.FILE_URI</t>
        </is>
      </c>
    </row>
    <row r="150">
      <c r="A150" s="19" t="inlineStr">
        <is>
          <t>149</t>
        </is>
      </c>
      <c r="B150" s="19" t="inlineStr">
        <is>
          <t>IA-PPWR-STM-ST-063-STD-11-R00</t>
        </is>
      </c>
      <c r="C150" s="19" t="inlineStr">
        <is>
          <t>1</t>
        </is>
      </c>
      <c r="D150" s="19" t="inlineStr">
        <is>
          <t>1</t>
        </is>
      </c>
      <c r="E150" s="19" t="inlineStr">
        <is>
          <t>2</t>
        </is>
      </c>
      <c r="F150" t="n">
        <v>2026</v>
      </c>
      <c r="H150" t="inlineStr">
        <is>
          <t>2026-08-08</t>
        </is>
      </c>
      <c r="I150" t="inlineStr">
        <is>
          <t>2026-08-08</t>
        </is>
      </c>
      <c r="J150" s="19" t="inlineStr">
        <is>
          <t>2</t>
        </is>
      </c>
      <c r="L150" s="19" t="n"/>
      <c r="N150" t="inlineStr">
        <is>
          <t>Rev.00 Word shipment statement generated — see DOCUMENT_LIBRARY.FILE_URI</t>
        </is>
      </c>
    </row>
    <row r="151">
      <c r="A151" s="19" t="inlineStr">
        <is>
          <t>150</t>
        </is>
      </c>
      <c r="B151" s="19" t="inlineStr">
        <is>
          <t>IA-PPWR-STM-ST-063-STD-12-R00</t>
        </is>
      </c>
      <c r="C151" s="19" t="inlineStr">
        <is>
          <t>1</t>
        </is>
      </c>
      <c r="D151" s="19" t="inlineStr">
        <is>
          <t>1</t>
        </is>
      </c>
      <c r="E151" s="19" t="inlineStr">
        <is>
          <t>2</t>
        </is>
      </c>
      <c r="F151" t="n">
        <v>2026</v>
      </c>
      <c r="H151" t="inlineStr">
        <is>
          <t>2026-08-08</t>
        </is>
      </c>
      <c r="I151" t="inlineStr">
        <is>
          <t>2026-08-08</t>
        </is>
      </c>
      <c r="J151" s="19" t="inlineStr">
        <is>
          <t>2</t>
        </is>
      </c>
      <c r="L151" s="19" t="n"/>
      <c r="N151" t="inlineStr">
        <is>
          <t>Rev.00 Word shipment statement generated — see DOCUMENT_LIBRARY.FILE_URI</t>
        </is>
      </c>
    </row>
    <row r="152">
      <c r="A152" s="19" t="inlineStr">
        <is>
          <t>151</t>
        </is>
      </c>
      <c r="B152" s="19" t="inlineStr">
        <is>
          <t>IA-PPWR-STM-ST-063-STD-13-R00</t>
        </is>
      </c>
      <c r="C152" s="19" t="inlineStr">
        <is>
          <t>1</t>
        </is>
      </c>
      <c r="D152" s="19" t="inlineStr">
        <is>
          <t>1</t>
        </is>
      </c>
      <c r="E152" s="19" t="inlineStr">
        <is>
          <t>2</t>
        </is>
      </c>
      <c r="F152" t="n">
        <v>2026</v>
      </c>
      <c r="H152" t="inlineStr">
        <is>
          <t>2026-08-08</t>
        </is>
      </c>
      <c r="I152" t="inlineStr">
        <is>
          <t>2026-08-08</t>
        </is>
      </c>
      <c r="J152" s="19" t="inlineStr">
        <is>
          <t>2</t>
        </is>
      </c>
      <c r="L152" s="19" t="n"/>
      <c r="N152" t="inlineStr">
        <is>
          <t>Rev.00 Word shipment statement generated — see DOCUMENT_LIBRARY.FILE_URI</t>
        </is>
      </c>
    </row>
    <row r="153">
      <c r="A153" s="19" t="inlineStr">
        <is>
          <t>152</t>
        </is>
      </c>
      <c r="B153" s="19" t="inlineStr">
        <is>
          <t>IA-PPWR-STM-ST-063-STD-14-R00</t>
        </is>
      </c>
      <c r="C153" s="19" t="inlineStr">
        <is>
          <t>1</t>
        </is>
      </c>
      <c r="D153" s="19" t="inlineStr">
        <is>
          <t>1</t>
        </is>
      </c>
      <c r="E153" s="19" t="inlineStr">
        <is>
          <t>2</t>
        </is>
      </c>
      <c r="F153" t="n">
        <v>2026</v>
      </c>
      <c r="H153" t="inlineStr">
        <is>
          <t>2026-08-08</t>
        </is>
      </c>
      <c r="I153" t="inlineStr">
        <is>
          <t>2026-08-08</t>
        </is>
      </c>
      <c r="J153" s="19" t="inlineStr">
        <is>
          <t>2</t>
        </is>
      </c>
      <c r="L153" s="19" t="n"/>
      <c r="N153" t="inlineStr">
        <is>
          <t>Rev.00 Word shipment statement generated — see DOCUMENT_LIBRARY.FILE_URI</t>
        </is>
      </c>
    </row>
    <row r="154">
      <c r="A154" s="19" t="inlineStr">
        <is>
          <t>153</t>
        </is>
      </c>
      <c r="B154" s="19" t="inlineStr">
        <is>
          <t>IA-PPWR-STM-ST-063-STD-15-R00</t>
        </is>
      </c>
      <c r="C154" s="19" t="inlineStr">
        <is>
          <t>1</t>
        </is>
      </c>
      <c r="D154" s="19" t="inlineStr">
        <is>
          <t>1</t>
        </is>
      </c>
      <c r="E154" s="19" t="inlineStr">
        <is>
          <t>2</t>
        </is>
      </c>
      <c r="F154" t="n">
        <v>2026</v>
      </c>
      <c r="H154" t="inlineStr">
        <is>
          <t>2026-08-08</t>
        </is>
      </c>
      <c r="I154" t="inlineStr">
        <is>
          <t>2026-08-08</t>
        </is>
      </c>
      <c r="J154" s="19" t="inlineStr">
        <is>
          <t>2</t>
        </is>
      </c>
      <c r="L154" s="19" t="n"/>
      <c r="N154" t="inlineStr">
        <is>
          <t>Rev.00 Word shipment statement generated — see DOCUMENT_LIBRARY.FILE_URI</t>
        </is>
      </c>
    </row>
    <row r="155">
      <c r="A155" s="19" t="inlineStr">
        <is>
          <t>154</t>
        </is>
      </c>
      <c r="B155" s="19" t="inlineStr">
        <is>
          <t>IA-PPWR-STM-ST-064-EUR-01-R00</t>
        </is>
      </c>
      <c r="C155" s="19" t="inlineStr">
        <is>
          <t>1</t>
        </is>
      </c>
      <c r="D155" s="19" t="inlineStr">
        <is>
          <t>1</t>
        </is>
      </c>
      <c r="E155" s="19" t="inlineStr">
        <is>
          <t>2</t>
        </is>
      </c>
      <c r="F155" t="n">
        <v>2026</v>
      </c>
      <c r="H155" t="inlineStr">
        <is>
          <t>2026-08-08</t>
        </is>
      </c>
      <c r="I155" t="inlineStr">
        <is>
          <t>2026-08-08</t>
        </is>
      </c>
      <c r="J155" s="19" t="inlineStr">
        <is>
          <t>2</t>
        </is>
      </c>
      <c r="L155" s="19" t="n"/>
      <c r="N155" t="inlineStr">
        <is>
          <t>Rev.00 Word shipment statement generated — see DOCUMENT_LIBRARY.FILE_URI</t>
        </is>
      </c>
    </row>
    <row r="156">
      <c r="A156" s="19" t="inlineStr">
        <is>
          <t>155</t>
        </is>
      </c>
      <c r="B156" s="19" t="inlineStr">
        <is>
          <t>IA-PPWR-STM-ST-066-STD-01-R00</t>
        </is>
      </c>
      <c r="C156" s="19" t="inlineStr">
        <is>
          <t>1</t>
        </is>
      </c>
      <c r="D156" s="19" t="inlineStr">
        <is>
          <t>1</t>
        </is>
      </c>
      <c r="E156" s="19" t="inlineStr">
        <is>
          <t>2</t>
        </is>
      </c>
      <c r="F156" t="n">
        <v>2026</v>
      </c>
      <c r="H156" t="inlineStr">
        <is>
          <t>2026-08-08</t>
        </is>
      </c>
      <c r="I156" t="inlineStr">
        <is>
          <t>2026-08-08</t>
        </is>
      </c>
      <c r="J156" s="19" t="inlineStr">
        <is>
          <t>2</t>
        </is>
      </c>
      <c r="L156" s="19" t="n"/>
      <c r="N156" t="inlineStr">
        <is>
          <t>Rev.00 Word shipment statement generated — see DOCUMENT_LIBRARY.FILE_URI</t>
        </is>
      </c>
    </row>
    <row r="157">
      <c r="A157" s="19" t="inlineStr">
        <is>
          <t>156</t>
        </is>
      </c>
      <c r="B157" s="19" t="inlineStr">
        <is>
          <t>IA-PPWR-STM-ST-066-STD-02-R00</t>
        </is>
      </c>
      <c r="C157" s="19" t="inlineStr">
        <is>
          <t>1</t>
        </is>
      </c>
      <c r="D157" s="19" t="inlineStr">
        <is>
          <t>1</t>
        </is>
      </c>
      <c r="E157" s="19" t="inlineStr">
        <is>
          <t>2</t>
        </is>
      </c>
      <c r="F157" t="n">
        <v>2026</v>
      </c>
      <c r="H157" t="inlineStr">
        <is>
          <t>2026-08-08</t>
        </is>
      </c>
      <c r="I157" t="inlineStr">
        <is>
          <t>2026-08-08</t>
        </is>
      </c>
      <c r="J157" s="19" t="inlineStr">
        <is>
          <t>2</t>
        </is>
      </c>
      <c r="L157" s="19" t="n"/>
      <c r="N157" t="inlineStr">
        <is>
          <t>Rev.00 Word shipment statement generated — see DOCUMENT_LIBRARY.FILE_URI</t>
        </is>
      </c>
    </row>
    <row r="158">
      <c r="A158" s="19" t="inlineStr">
        <is>
          <t>157</t>
        </is>
      </c>
      <c r="B158" s="19" t="inlineStr">
        <is>
          <t>IA-PPWR-STM-ST-066-STD-03-R00</t>
        </is>
      </c>
      <c r="C158" s="19" t="inlineStr">
        <is>
          <t>1</t>
        </is>
      </c>
      <c r="D158" s="19" t="inlineStr">
        <is>
          <t>1</t>
        </is>
      </c>
      <c r="E158" s="19" t="inlineStr">
        <is>
          <t>2</t>
        </is>
      </c>
      <c r="F158" t="n">
        <v>2026</v>
      </c>
      <c r="H158" t="inlineStr">
        <is>
          <t>2026-08-08</t>
        </is>
      </c>
      <c r="I158" t="inlineStr">
        <is>
          <t>2026-08-08</t>
        </is>
      </c>
      <c r="J158" s="19" t="inlineStr">
        <is>
          <t>2</t>
        </is>
      </c>
      <c r="L158" s="19" t="n"/>
      <c r="N158" t="inlineStr">
        <is>
          <t>Rev.00 Word shipment statement generated — see DOCUMENT_LIBRARY.FILE_URI</t>
        </is>
      </c>
    </row>
    <row r="159">
      <c r="A159" s="19" t="inlineStr">
        <is>
          <t>158</t>
        </is>
      </c>
      <c r="B159" s="19" t="inlineStr">
        <is>
          <t>IA-PPWR-STM-ST-068-EUR-01-R00</t>
        </is>
      </c>
      <c r="C159" s="19" t="inlineStr">
        <is>
          <t>1</t>
        </is>
      </c>
      <c r="D159" s="19" t="inlineStr">
        <is>
          <t>1</t>
        </is>
      </c>
      <c r="E159" s="19" t="inlineStr">
        <is>
          <t>2</t>
        </is>
      </c>
      <c r="F159" t="n">
        <v>2026</v>
      </c>
      <c r="H159" t="inlineStr">
        <is>
          <t>2026-08-08</t>
        </is>
      </c>
      <c r="I159" t="inlineStr">
        <is>
          <t>2026-08-08</t>
        </is>
      </c>
      <c r="J159" s="19" t="inlineStr">
        <is>
          <t>2</t>
        </is>
      </c>
      <c r="L159" s="19" t="n"/>
      <c r="N159" t="inlineStr">
        <is>
          <t>Rev.00 Word shipment statement generated — see DOCUMENT_LIBRARY.FILE_URI</t>
        </is>
      </c>
    </row>
    <row r="160">
      <c r="A160" s="19" t="inlineStr">
        <is>
          <t>159</t>
        </is>
      </c>
      <c r="B160" s="19" t="inlineStr">
        <is>
          <t>IA-PPWR-STM-ST-068-EUR-02-R00</t>
        </is>
      </c>
      <c r="C160" s="19" t="inlineStr">
        <is>
          <t>1</t>
        </is>
      </c>
      <c r="D160" s="19" t="inlineStr">
        <is>
          <t>1</t>
        </is>
      </c>
      <c r="E160" s="19" t="inlineStr">
        <is>
          <t>2</t>
        </is>
      </c>
      <c r="F160" t="n">
        <v>2026</v>
      </c>
      <c r="H160" t="inlineStr">
        <is>
          <t>2026-08-08</t>
        </is>
      </c>
      <c r="I160" t="inlineStr">
        <is>
          <t>2026-08-08</t>
        </is>
      </c>
      <c r="J160" s="19" t="inlineStr">
        <is>
          <t>2</t>
        </is>
      </c>
      <c r="L160" s="19" t="n"/>
      <c r="N160" t="inlineStr">
        <is>
          <t>Rev.00 Word shipment statement generated — see DOCUMENT_LIBRARY.FILE_URI</t>
        </is>
      </c>
    </row>
    <row r="161">
      <c r="A161" s="19" t="inlineStr">
        <is>
          <t>160</t>
        </is>
      </c>
      <c r="B161" s="19" t="inlineStr">
        <is>
          <t>IA-PPWR-STM-ST-068-EUR-03-R00</t>
        </is>
      </c>
      <c r="C161" s="19" t="inlineStr">
        <is>
          <t>1</t>
        </is>
      </c>
      <c r="D161" s="19" t="inlineStr">
        <is>
          <t>1</t>
        </is>
      </c>
      <c r="E161" s="19" t="inlineStr">
        <is>
          <t>2</t>
        </is>
      </c>
      <c r="F161" t="n">
        <v>2026</v>
      </c>
      <c r="H161" t="inlineStr">
        <is>
          <t>2026-08-08</t>
        </is>
      </c>
      <c r="I161" t="inlineStr">
        <is>
          <t>2026-08-08</t>
        </is>
      </c>
      <c r="J161" s="19" t="inlineStr">
        <is>
          <t>2</t>
        </is>
      </c>
      <c r="L161" s="19" t="n"/>
      <c r="N161" t="inlineStr">
        <is>
          <t>Rev.00 Word shipment statement generated — see DOCUMENT_LIBRARY.FILE_URI</t>
        </is>
      </c>
    </row>
    <row r="162">
      <c r="A162" s="19" t="inlineStr">
        <is>
          <t>161</t>
        </is>
      </c>
      <c r="B162" s="19" t="inlineStr">
        <is>
          <t>IA-PPWR-STM-ST-068-EUR-04-R00</t>
        </is>
      </c>
      <c r="C162" s="19" t="inlineStr">
        <is>
          <t>1</t>
        </is>
      </c>
      <c r="D162" s="19" t="inlineStr">
        <is>
          <t>1</t>
        </is>
      </c>
      <c r="E162" s="19" t="inlineStr">
        <is>
          <t>2</t>
        </is>
      </c>
      <c r="F162" t="n">
        <v>2026</v>
      </c>
      <c r="H162" t="inlineStr">
        <is>
          <t>2026-08-08</t>
        </is>
      </c>
      <c r="I162" t="inlineStr">
        <is>
          <t>2026-08-08</t>
        </is>
      </c>
      <c r="J162" s="19" t="inlineStr">
        <is>
          <t>2</t>
        </is>
      </c>
      <c r="L162" s="19" t="n"/>
      <c r="N162" t="inlineStr">
        <is>
          <t>Rev.00 Word shipment statement generated — see DOCUMENT_LIBRARY.FILE_URI</t>
        </is>
      </c>
    </row>
    <row r="163">
      <c r="A163" s="19" t="inlineStr">
        <is>
          <t>162</t>
        </is>
      </c>
      <c r="B163" s="19" t="inlineStr">
        <is>
          <t>IA-PPWR-STM-ST-068-STD-01-R00</t>
        </is>
      </c>
      <c r="C163" s="19" t="inlineStr">
        <is>
          <t>1</t>
        </is>
      </c>
      <c r="D163" s="19" t="inlineStr">
        <is>
          <t>1</t>
        </is>
      </c>
      <c r="E163" s="19" t="inlineStr">
        <is>
          <t>2</t>
        </is>
      </c>
      <c r="F163" t="n">
        <v>2026</v>
      </c>
      <c r="H163" t="inlineStr">
        <is>
          <t>2026-08-08</t>
        </is>
      </c>
      <c r="I163" t="inlineStr">
        <is>
          <t>2026-08-08</t>
        </is>
      </c>
      <c r="J163" s="19" t="inlineStr">
        <is>
          <t>2</t>
        </is>
      </c>
      <c r="L163" s="19" t="n"/>
      <c r="N163" t="inlineStr">
        <is>
          <t>Rev.00 Word shipment statement generated — see DOCUMENT_LIBRARY.FILE_URI</t>
        </is>
      </c>
    </row>
    <row r="164">
      <c r="A164" s="19" t="inlineStr">
        <is>
          <t>163</t>
        </is>
      </c>
      <c r="B164" s="19" t="inlineStr">
        <is>
          <t>IA-PPWR-STM-ST-068-STD-02-R00</t>
        </is>
      </c>
      <c r="C164" s="19" t="inlineStr">
        <is>
          <t>1</t>
        </is>
      </c>
      <c r="D164" s="19" t="inlineStr">
        <is>
          <t>1</t>
        </is>
      </c>
      <c r="E164" s="19" t="inlineStr">
        <is>
          <t>2</t>
        </is>
      </c>
      <c r="F164" t="n">
        <v>2026</v>
      </c>
      <c r="H164" t="inlineStr">
        <is>
          <t>2026-08-08</t>
        </is>
      </c>
      <c r="I164" t="inlineStr">
        <is>
          <t>2026-08-08</t>
        </is>
      </c>
      <c r="J164" s="19" t="inlineStr">
        <is>
          <t>2</t>
        </is>
      </c>
      <c r="L164" s="19" t="n"/>
      <c r="N164" t="inlineStr">
        <is>
          <t>Rev.00 Word shipment statement generated — see DOCUMENT_LIBRARY.FILE_URI</t>
        </is>
      </c>
    </row>
    <row r="165">
      <c r="A165" s="19" t="inlineStr">
        <is>
          <t>164</t>
        </is>
      </c>
      <c r="B165" s="19" t="inlineStr">
        <is>
          <t>IA-PPWR-STM-ST-068-STD-03-R00</t>
        </is>
      </c>
      <c r="C165" s="19" t="inlineStr">
        <is>
          <t>1</t>
        </is>
      </c>
      <c r="D165" s="19" t="inlineStr">
        <is>
          <t>1</t>
        </is>
      </c>
      <c r="E165" s="19" t="inlineStr">
        <is>
          <t>2</t>
        </is>
      </c>
      <c r="F165" t="n">
        <v>2026</v>
      </c>
      <c r="H165" t="inlineStr">
        <is>
          <t>2026-08-08</t>
        </is>
      </c>
      <c r="I165" t="inlineStr">
        <is>
          <t>2026-08-08</t>
        </is>
      </c>
      <c r="J165" s="19" t="inlineStr">
        <is>
          <t>2</t>
        </is>
      </c>
      <c r="L165" s="19" t="n"/>
      <c r="N165" t="inlineStr">
        <is>
          <t>Rev.00 Word shipment statement generated — see DOCUMENT_LIBRARY.FILE_URI</t>
        </is>
      </c>
    </row>
    <row r="166">
      <c r="A166" s="19" t="inlineStr">
        <is>
          <t>165</t>
        </is>
      </c>
      <c r="B166" s="19" t="inlineStr">
        <is>
          <t>IA-PPWR-STM-ST-068-STD-04-R00</t>
        </is>
      </c>
      <c r="C166" s="19" t="inlineStr">
        <is>
          <t>1</t>
        </is>
      </c>
      <c r="D166" s="19" t="inlineStr">
        <is>
          <t>1</t>
        </is>
      </c>
      <c r="E166" s="19" t="inlineStr">
        <is>
          <t>2</t>
        </is>
      </c>
      <c r="F166" t="n">
        <v>2026</v>
      </c>
      <c r="H166" t="inlineStr">
        <is>
          <t>2026-08-08</t>
        </is>
      </c>
      <c r="I166" t="inlineStr">
        <is>
          <t>2026-08-08</t>
        </is>
      </c>
      <c r="J166" s="19" t="inlineStr">
        <is>
          <t>2</t>
        </is>
      </c>
      <c r="L166" s="19" t="n"/>
      <c r="N166" t="inlineStr">
        <is>
          <t>Rev.00 Word shipment statement generated — see DOCUMENT_LIBRARY.FILE_URI</t>
        </is>
      </c>
    </row>
    <row r="167">
      <c r="A167" s="19" t="inlineStr">
        <is>
          <t>166</t>
        </is>
      </c>
      <c r="B167" s="19" t="inlineStr">
        <is>
          <t>IA-PPWR-STM-ST-072-EUR-01-R00</t>
        </is>
      </c>
      <c r="C167" s="19" t="inlineStr">
        <is>
          <t>1</t>
        </is>
      </c>
      <c r="D167" s="19" t="inlineStr">
        <is>
          <t>1</t>
        </is>
      </c>
      <c r="E167" s="19" t="inlineStr">
        <is>
          <t>2</t>
        </is>
      </c>
      <c r="F167" t="n">
        <v>2026</v>
      </c>
      <c r="H167" t="inlineStr">
        <is>
          <t>2026-08-08</t>
        </is>
      </c>
      <c r="I167" t="inlineStr">
        <is>
          <t>2026-08-08</t>
        </is>
      </c>
      <c r="J167" s="19" t="inlineStr">
        <is>
          <t>2</t>
        </is>
      </c>
      <c r="L167" s="19" t="n"/>
      <c r="N167" t="inlineStr">
        <is>
          <t>Rev.00 Word shipment statement generated — see DOCUMENT_LIBRARY.FILE_URI</t>
        </is>
      </c>
    </row>
    <row r="168">
      <c r="A168" s="19" t="inlineStr">
        <is>
          <t>167</t>
        </is>
      </c>
      <c r="B168" s="19" t="inlineStr">
        <is>
          <t>IA-PPWR-STM-ST-072-EUR-02-R00</t>
        </is>
      </c>
      <c r="C168" s="19" t="inlineStr">
        <is>
          <t>1</t>
        </is>
      </c>
      <c r="D168" s="19" t="inlineStr">
        <is>
          <t>1</t>
        </is>
      </c>
      <c r="E168" s="19" t="inlineStr">
        <is>
          <t>2</t>
        </is>
      </c>
      <c r="F168" t="n">
        <v>2026</v>
      </c>
      <c r="H168" t="inlineStr">
        <is>
          <t>2026-08-08</t>
        </is>
      </c>
      <c r="I168" t="inlineStr">
        <is>
          <t>2026-08-08</t>
        </is>
      </c>
      <c r="J168" s="19" t="inlineStr">
        <is>
          <t>2</t>
        </is>
      </c>
      <c r="L168" s="19" t="n"/>
      <c r="N168" t="inlineStr">
        <is>
          <t>Rev.00 Word shipment statement generated — see DOCUMENT_LIBRARY.FILE_URI</t>
        </is>
      </c>
    </row>
    <row r="169">
      <c r="A169" s="19" t="inlineStr">
        <is>
          <t>168</t>
        </is>
      </c>
      <c r="B169" s="19" t="inlineStr">
        <is>
          <t>IA-PPWR-STM-ST-072-EUR-03-R00</t>
        </is>
      </c>
      <c r="C169" s="19" t="inlineStr">
        <is>
          <t>1</t>
        </is>
      </c>
      <c r="D169" s="19" t="inlineStr">
        <is>
          <t>1</t>
        </is>
      </c>
      <c r="E169" s="19" t="inlineStr">
        <is>
          <t>2</t>
        </is>
      </c>
      <c r="F169" t="n">
        <v>2026</v>
      </c>
      <c r="H169" t="inlineStr">
        <is>
          <t>2026-08-08</t>
        </is>
      </c>
      <c r="I169" t="inlineStr">
        <is>
          <t>2026-08-08</t>
        </is>
      </c>
      <c r="J169" s="19" t="inlineStr">
        <is>
          <t>2</t>
        </is>
      </c>
      <c r="L169" s="19" t="n"/>
      <c r="N169" t="inlineStr">
        <is>
          <t>Rev.00 Word shipment statement generated — see DOCUMENT_LIBRARY.FILE_URI</t>
        </is>
      </c>
    </row>
    <row r="170">
      <c r="A170" s="19" t="inlineStr">
        <is>
          <t>169</t>
        </is>
      </c>
      <c r="B170" s="19" t="inlineStr">
        <is>
          <t>IA-PPWR-STM-ST-072-EUR-04-R00</t>
        </is>
      </c>
      <c r="C170" s="19" t="inlineStr">
        <is>
          <t>1</t>
        </is>
      </c>
      <c r="D170" s="19" t="inlineStr">
        <is>
          <t>1</t>
        </is>
      </c>
      <c r="E170" s="19" t="inlineStr">
        <is>
          <t>2</t>
        </is>
      </c>
      <c r="F170" t="n">
        <v>2026</v>
      </c>
      <c r="H170" t="inlineStr">
        <is>
          <t>2026-08-08</t>
        </is>
      </c>
      <c r="I170" t="inlineStr">
        <is>
          <t>2026-08-08</t>
        </is>
      </c>
      <c r="J170" s="19" t="inlineStr">
        <is>
          <t>2</t>
        </is>
      </c>
      <c r="L170" s="19" t="n"/>
      <c r="N170" t="inlineStr">
        <is>
          <t>Rev.00 Word shipment statement generated — see DOCUMENT_LIBRARY.FILE_URI</t>
        </is>
      </c>
    </row>
    <row r="171">
      <c r="A171" s="19" t="inlineStr">
        <is>
          <t>170</t>
        </is>
      </c>
      <c r="B171" s="19" t="inlineStr">
        <is>
          <t>IA-PPWR-STM-ST-072-EUR-05-R00</t>
        </is>
      </c>
      <c r="C171" s="19" t="inlineStr">
        <is>
          <t>1</t>
        </is>
      </c>
      <c r="D171" s="19" t="inlineStr">
        <is>
          <t>1</t>
        </is>
      </c>
      <c r="E171" s="19" t="inlineStr">
        <is>
          <t>2</t>
        </is>
      </c>
      <c r="F171" t="n">
        <v>2026</v>
      </c>
      <c r="H171" t="inlineStr">
        <is>
          <t>2026-08-08</t>
        </is>
      </c>
      <c r="I171" t="inlineStr">
        <is>
          <t>2026-08-08</t>
        </is>
      </c>
      <c r="J171" s="19" t="inlineStr">
        <is>
          <t>2</t>
        </is>
      </c>
      <c r="L171" s="19" t="n"/>
      <c r="N171" t="inlineStr">
        <is>
          <t>Rev.00 Word shipment statement generated — see DOCUMENT_LIBRARY.FILE_URI</t>
        </is>
      </c>
    </row>
    <row r="172">
      <c r="A172" s="19" t="inlineStr">
        <is>
          <t>171</t>
        </is>
      </c>
      <c r="B172" s="19" t="inlineStr">
        <is>
          <t>IA-PPWR-STM-ST-072-EUR-06-R00</t>
        </is>
      </c>
      <c r="C172" s="19" t="inlineStr">
        <is>
          <t>1</t>
        </is>
      </c>
      <c r="D172" s="19" t="inlineStr">
        <is>
          <t>1</t>
        </is>
      </c>
      <c r="E172" s="19" t="inlineStr">
        <is>
          <t>2</t>
        </is>
      </c>
      <c r="F172" t="n">
        <v>2026</v>
      </c>
      <c r="H172" t="inlineStr">
        <is>
          <t>2026-08-08</t>
        </is>
      </c>
      <c r="I172" t="inlineStr">
        <is>
          <t>2026-08-08</t>
        </is>
      </c>
      <c r="J172" s="19" t="inlineStr">
        <is>
          <t>2</t>
        </is>
      </c>
      <c r="L172" s="19" t="n"/>
      <c r="N172" t="inlineStr">
        <is>
          <t>Rev.00 Word shipment statement generated — see DOCUMENT_LIBRARY.FILE_URI</t>
        </is>
      </c>
    </row>
    <row r="173">
      <c r="A173" s="19" t="inlineStr">
        <is>
          <t>172</t>
        </is>
      </c>
      <c r="B173" s="19" t="inlineStr">
        <is>
          <t>IA-PPWR-STM-ST-072-STD-01-R00</t>
        </is>
      </c>
      <c r="C173" s="19" t="inlineStr">
        <is>
          <t>1</t>
        </is>
      </c>
      <c r="D173" s="19" t="inlineStr">
        <is>
          <t>1</t>
        </is>
      </c>
      <c r="E173" s="19" t="inlineStr">
        <is>
          <t>2</t>
        </is>
      </c>
      <c r="F173" t="n">
        <v>2026</v>
      </c>
      <c r="H173" t="inlineStr">
        <is>
          <t>2026-08-08</t>
        </is>
      </c>
      <c r="I173" t="inlineStr">
        <is>
          <t>2026-08-08</t>
        </is>
      </c>
      <c r="J173" s="19" t="inlineStr">
        <is>
          <t>2</t>
        </is>
      </c>
      <c r="L173" s="19" t="n"/>
      <c r="N173" t="inlineStr">
        <is>
          <t>Rev.00 Word shipment statement generated — see DOCUMENT_LIBRARY.FILE_URI</t>
        </is>
      </c>
    </row>
    <row r="174">
      <c r="A174" s="19" t="inlineStr">
        <is>
          <t>173</t>
        </is>
      </c>
      <c r="B174" s="19" t="inlineStr">
        <is>
          <t>IA-PPWR-STM-ST-072-STD-02-R00</t>
        </is>
      </c>
      <c r="C174" s="19" t="inlineStr">
        <is>
          <t>1</t>
        </is>
      </c>
      <c r="D174" s="19" t="inlineStr">
        <is>
          <t>1</t>
        </is>
      </c>
      <c r="E174" s="19" t="inlineStr">
        <is>
          <t>2</t>
        </is>
      </c>
      <c r="F174" t="n">
        <v>2026</v>
      </c>
      <c r="H174" t="inlineStr">
        <is>
          <t>2026-08-08</t>
        </is>
      </c>
      <c r="I174" t="inlineStr">
        <is>
          <t>2026-08-08</t>
        </is>
      </c>
      <c r="J174" s="19" t="inlineStr">
        <is>
          <t>2</t>
        </is>
      </c>
      <c r="L174" s="19" t="n"/>
      <c r="N174" t="inlineStr">
        <is>
          <t>Rev.00 Word shipment statement generated — see DOCUMENT_LIBRARY.FILE_URI</t>
        </is>
      </c>
    </row>
    <row r="175">
      <c r="A175" s="19" t="inlineStr">
        <is>
          <t>174</t>
        </is>
      </c>
      <c r="B175" s="19" t="inlineStr">
        <is>
          <t>IA-PPWR-STM-ST-072-STD-03-R00</t>
        </is>
      </c>
      <c r="C175" s="19" t="inlineStr">
        <is>
          <t>1</t>
        </is>
      </c>
      <c r="D175" s="19" t="inlineStr">
        <is>
          <t>1</t>
        </is>
      </c>
      <c r="E175" s="19" t="inlineStr">
        <is>
          <t>2</t>
        </is>
      </c>
      <c r="F175" t="n">
        <v>2026</v>
      </c>
      <c r="H175" t="inlineStr">
        <is>
          <t>2026-08-08</t>
        </is>
      </c>
      <c r="I175" t="inlineStr">
        <is>
          <t>2026-08-08</t>
        </is>
      </c>
      <c r="J175" s="19" t="inlineStr">
        <is>
          <t>2</t>
        </is>
      </c>
      <c r="L175" s="19" t="n"/>
      <c r="N175" t="inlineStr">
        <is>
          <t>Rev.00 Word shipment statement generated — see DOCUMENT_LIBRARY.FILE_URI</t>
        </is>
      </c>
    </row>
    <row r="176">
      <c r="A176" s="19" t="inlineStr">
        <is>
          <t>175</t>
        </is>
      </c>
      <c r="B176" s="19" t="inlineStr">
        <is>
          <t>IA-PPWR-STM-ST-072-STD-04-R00</t>
        </is>
      </c>
      <c r="C176" s="19" t="inlineStr">
        <is>
          <t>1</t>
        </is>
      </c>
      <c r="D176" s="19" t="inlineStr">
        <is>
          <t>1</t>
        </is>
      </c>
      <c r="E176" s="19" t="inlineStr">
        <is>
          <t>2</t>
        </is>
      </c>
      <c r="F176" t="n">
        <v>2026</v>
      </c>
      <c r="H176" t="inlineStr">
        <is>
          <t>2026-08-08</t>
        </is>
      </c>
      <c r="I176" t="inlineStr">
        <is>
          <t>2026-08-08</t>
        </is>
      </c>
      <c r="J176" s="19" t="inlineStr">
        <is>
          <t>2</t>
        </is>
      </c>
      <c r="L176" s="19" t="n"/>
      <c r="N176" t="inlineStr">
        <is>
          <t>Rev.00 Word shipment statement generated — see DOCUMENT_LIBRARY.FILE_URI</t>
        </is>
      </c>
    </row>
    <row r="177">
      <c r="A177" s="19" t="inlineStr">
        <is>
          <t>176</t>
        </is>
      </c>
      <c r="B177" s="19" t="inlineStr">
        <is>
          <t>IA-PPWR-STM-ST-072-STD-05-R00</t>
        </is>
      </c>
      <c r="C177" s="19" t="inlineStr">
        <is>
          <t>1</t>
        </is>
      </c>
      <c r="D177" s="19" t="inlineStr">
        <is>
          <t>1</t>
        </is>
      </c>
      <c r="E177" s="19" t="inlineStr">
        <is>
          <t>2</t>
        </is>
      </c>
      <c r="F177" t="n">
        <v>2026</v>
      </c>
      <c r="H177" t="inlineStr">
        <is>
          <t>2026-08-08</t>
        </is>
      </c>
      <c r="I177" t="inlineStr">
        <is>
          <t>2026-08-08</t>
        </is>
      </c>
      <c r="J177" s="19" t="inlineStr">
        <is>
          <t>2</t>
        </is>
      </c>
      <c r="L177" s="19" t="n"/>
      <c r="N177" t="inlineStr">
        <is>
          <t>Rev.00 Word shipment statement generated — see DOCUMENT_LIBRARY.FILE_URI</t>
        </is>
      </c>
    </row>
    <row r="178">
      <c r="A178" s="19" t="inlineStr">
        <is>
          <t>177</t>
        </is>
      </c>
      <c r="B178" s="19" t="inlineStr">
        <is>
          <t>IA-PPWR-STM-ST-072-STD-06-R00</t>
        </is>
      </c>
      <c r="C178" s="19" t="inlineStr">
        <is>
          <t>1</t>
        </is>
      </c>
      <c r="D178" s="19" t="inlineStr">
        <is>
          <t>1</t>
        </is>
      </c>
      <c r="E178" s="19" t="inlineStr">
        <is>
          <t>2</t>
        </is>
      </c>
      <c r="F178" t="n">
        <v>2026</v>
      </c>
      <c r="H178" t="inlineStr">
        <is>
          <t>2026-08-08</t>
        </is>
      </c>
      <c r="I178" t="inlineStr">
        <is>
          <t>2026-08-08</t>
        </is>
      </c>
      <c r="J178" s="19" t="inlineStr">
        <is>
          <t>2</t>
        </is>
      </c>
      <c r="L178" s="19" t="n"/>
      <c r="N178" t="inlineStr">
        <is>
          <t>Rev.00 Word shipment statement generated — see DOCUMENT_LIBRARY.FILE_URI</t>
        </is>
      </c>
    </row>
    <row r="179">
      <c r="A179" s="19" t="inlineStr">
        <is>
          <t>178</t>
        </is>
      </c>
      <c r="B179" s="19" t="inlineStr">
        <is>
          <t>IA-PPWR-STM-ST-072-STD-07-R00</t>
        </is>
      </c>
      <c r="C179" s="19" t="inlineStr">
        <is>
          <t>1</t>
        </is>
      </c>
      <c r="D179" s="19" t="inlineStr">
        <is>
          <t>1</t>
        </is>
      </c>
      <c r="E179" s="19" t="inlineStr">
        <is>
          <t>2</t>
        </is>
      </c>
      <c r="F179" t="n">
        <v>2026</v>
      </c>
      <c r="H179" t="inlineStr">
        <is>
          <t>2026-08-08</t>
        </is>
      </c>
      <c r="I179" t="inlineStr">
        <is>
          <t>2026-08-08</t>
        </is>
      </c>
      <c r="J179" s="19" t="inlineStr">
        <is>
          <t>2</t>
        </is>
      </c>
      <c r="L179" s="19" t="n"/>
      <c r="N179" t="inlineStr">
        <is>
          <t>Rev.00 Word shipment statement generated — see DOCUMENT_LIBRARY.FILE_URI</t>
        </is>
      </c>
    </row>
    <row r="180">
      <c r="A180" s="19" t="inlineStr">
        <is>
          <t>179</t>
        </is>
      </c>
      <c r="B180" s="19" t="inlineStr">
        <is>
          <t>IA-PPWR-STM-ST-072-STD-08-R00</t>
        </is>
      </c>
      <c r="C180" s="19" t="inlineStr">
        <is>
          <t>1</t>
        </is>
      </c>
      <c r="D180" s="19" t="inlineStr">
        <is>
          <t>1</t>
        </is>
      </c>
      <c r="E180" s="19" t="inlineStr">
        <is>
          <t>2</t>
        </is>
      </c>
      <c r="F180" t="n">
        <v>2026</v>
      </c>
      <c r="H180" t="inlineStr">
        <is>
          <t>2026-08-08</t>
        </is>
      </c>
      <c r="I180" t="inlineStr">
        <is>
          <t>2026-08-08</t>
        </is>
      </c>
      <c r="J180" s="19" t="inlineStr">
        <is>
          <t>2</t>
        </is>
      </c>
      <c r="L180" s="19" t="n"/>
      <c r="N180" t="inlineStr">
        <is>
          <t>Rev.00 Word shipment statement generated — see DOCUMENT_LIBRARY.FILE_URI</t>
        </is>
      </c>
    </row>
    <row r="181">
      <c r="A181" s="19" t="inlineStr">
        <is>
          <t>180</t>
        </is>
      </c>
      <c r="B181" s="19" t="inlineStr">
        <is>
          <t>IA-PPWR-STM-ST-072-STD-09-R00</t>
        </is>
      </c>
      <c r="C181" s="19" t="inlineStr">
        <is>
          <t>1</t>
        </is>
      </c>
      <c r="D181" s="19" t="inlineStr">
        <is>
          <t>1</t>
        </is>
      </c>
      <c r="E181" s="19" t="inlineStr">
        <is>
          <t>2</t>
        </is>
      </c>
      <c r="F181" t="n">
        <v>2026</v>
      </c>
      <c r="H181" t="inlineStr">
        <is>
          <t>2026-08-08</t>
        </is>
      </c>
      <c r="I181" t="inlineStr">
        <is>
          <t>2026-08-08</t>
        </is>
      </c>
      <c r="J181" s="19" t="inlineStr">
        <is>
          <t>2</t>
        </is>
      </c>
      <c r="L181" s="19" t="n"/>
      <c r="N181" t="inlineStr">
        <is>
          <t>Rev.00 Word shipment statement generated — see DOCUMENT_LIBRARY.FILE_URI</t>
        </is>
      </c>
    </row>
    <row r="182">
      <c r="A182" s="19" t="inlineStr">
        <is>
          <t>181</t>
        </is>
      </c>
      <c r="B182" s="19" t="inlineStr">
        <is>
          <t>IA-PPWR-STM-ST-072-STD-10-R00</t>
        </is>
      </c>
      <c r="C182" s="19" t="inlineStr">
        <is>
          <t>1</t>
        </is>
      </c>
      <c r="D182" s="19" t="inlineStr">
        <is>
          <t>1</t>
        </is>
      </c>
      <c r="E182" s="19" t="inlineStr">
        <is>
          <t>2</t>
        </is>
      </c>
      <c r="F182" t="n">
        <v>2026</v>
      </c>
      <c r="H182" t="inlineStr">
        <is>
          <t>2026-08-08</t>
        </is>
      </c>
      <c r="I182" t="inlineStr">
        <is>
          <t>2026-08-08</t>
        </is>
      </c>
      <c r="J182" s="19" t="inlineStr">
        <is>
          <t>2</t>
        </is>
      </c>
      <c r="L182" s="19" t="n"/>
      <c r="N182" t="inlineStr">
        <is>
          <t>Rev.00 Word shipment statement generated — see DOCUMENT_LIBRARY.FILE_URI</t>
        </is>
      </c>
    </row>
    <row r="183">
      <c r="A183" s="19" t="inlineStr">
        <is>
          <t>182</t>
        </is>
      </c>
      <c r="B183" s="19" t="inlineStr">
        <is>
          <t>IA-PPWR-STM-ST-072-STD-11-R00</t>
        </is>
      </c>
      <c r="C183" s="19" t="inlineStr">
        <is>
          <t>1</t>
        </is>
      </c>
      <c r="D183" s="19" t="inlineStr">
        <is>
          <t>1</t>
        </is>
      </c>
      <c r="E183" s="19" t="inlineStr">
        <is>
          <t>2</t>
        </is>
      </c>
      <c r="F183" t="n">
        <v>2026</v>
      </c>
      <c r="H183" t="inlineStr">
        <is>
          <t>2026-08-08</t>
        </is>
      </c>
      <c r="I183" t="inlineStr">
        <is>
          <t>2026-08-08</t>
        </is>
      </c>
      <c r="J183" s="19" t="inlineStr">
        <is>
          <t>2</t>
        </is>
      </c>
      <c r="L183" s="19" t="n"/>
      <c r="N183" t="inlineStr">
        <is>
          <t>Rev.00 Word shipment statement generated — see DOCUMENT_LIBRARY.FILE_URI</t>
        </is>
      </c>
    </row>
    <row r="184">
      <c r="A184" s="19" t="inlineStr">
        <is>
          <t>183</t>
        </is>
      </c>
      <c r="B184" s="19" t="inlineStr">
        <is>
          <t>IA-PPWR-STM-ST-072-STD-12-R00</t>
        </is>
      </c>
      <c r="C184" s="19" t="inlineStr">
        <is>
          <t>1</t>
        </is>
      </c>
      <c r="D184" s="19" t="inlineStr">
        <is>
          <t>1</t>
        </is>
      </c>
      <c r="E184" s="19" t="inlineStr">
        <is>
          <t>2</t>
        </is>
      </c>
      <c r="F184" t="n">
        <v>2026</v>
      </c>
      <c r="H184" t="inlineStr">
        <is>
          <t>2026-08-08</t>
        </is>
      </c>
      <c r="I184" t="inlineStr">
        <is>
          <t>2026-08-08</t>
        </is>
      </c>
      <c r="J184" s="19" t="inlineStr">
        <is>
          <t>2</t>
        </is>
      </c>
      <c r="L184" s="19" t="n"/>
      <c r="N184" t="inlineStr">
        <is>
          <t>Rev.00 Word shipment statement generated — see DOCUMENT_LIBRARY.FILE_URI</t>
        </is>
      </c>
    </row>
    <row r="185">
      <c r="A185" s="19" t="inlineStr">
        <is>
          <t>184</t>
        </is>
      </c>
      <c r="B185" s="19" t="inlineStr">
        <is>
          <t>IA-PPWR-STM-ST-072-STD-13-R00</t>
        </is>
      </c>
      <c r="C185" s="19" t="inlineStr">
        <is>
          <t>1</t>
        </is>
      </c>
      <c r="D185" s="19" t="inlineStr">
        <is>
          <t>1</t>
        </is>
      </c>
      <c r="E185" s="19" t="inlineStr">
        <is>
          <t>2</t>
        </is>
      </c>
      <c r="F185" t="n">
        <v>2026</v>
      </c>
      <c r="H185" t="inlineStr">
        <is>
          <t>2026-08-08</t>
        </is>
      </c>
      <c r="I185" t="inlineStr">
        <is>
          <t>2026-08-08</t>
        </is>
      </c>
      <c r="J185" s="19" t="inlineStr">
        <is>
          <t>2</t>
        </is>
      </c>
      <c r="L185" s="19" t="n"/>
      <c r="N185" t="inlineStr">
        <is>
          <t>Rev.00 Word shipment statement generated — see DOCUMENT_LIBRARY.FILE_URI</t>
        </is>
      </c>
    </row>
    <row r="186">
      <c r="A186" s="19" t="inlineStr">
        <is>
          <t>185</t>
        </is>
      </c>
      <c r="B186" s="19" t="inlineStr">
        <is>
          <t>IA-PPWR-STM-ST-072-STD-14-R00</t>
        </is>
      </c>
      <c r="C186" s="19" t="inlineStr">
        <is>
          <t>1</t>
        </is>
      </c>
      <c r="D186" s="19" t="inlineStr">
        <is>
          <t>1</t>
        </is>
      </c>
      <c r="E186" s="19" t="inlineStr">
        <is>
          <t>2</t>
        </is>
      </c>
      <c r="F186" t="n">
        <v>2026</v>
      </c>
      <c r="H186" t="inlineStr">
        <is>
          <t>2026-08-08</t>
        </is>
      </c>
      <c r="I186" t="inlineStr">
        <is>
          <t>2026-08-08</t>
        </is>
      </c>
      <c r="J186" s="19" t="inlineStr">
        <is>
          <t>2</t>
        </is>
      </c>
      <c r="L186" s="19" t="n"/>
      <c r="N186" t="inlineStr">
        <is>
          <t>Rev.00 Word shipment statement generated — see DOCUMENT_LIBRARY.FILE_URI</t>
        </is>
      </c>
    </row>
    <row r="187">
      <c r="A187" s="19" t="inlineStr">
        <is>
          <t>186</t>
        </is>
      </c>
      <c r="B187" s="19" t="inlineStr">
        <is>
          <t>IA-PPWR-STM-ST-072-STD-15-R00</t>
        </is>
      </c>
      <c r="C187" s="19" t="inlineStr">
        <is>
          <t>1</t>
        </is>
      </c>
      <c r="D187" s="19" t="inlineStr">
        <is>
          <t>1</t>
        </is>
      </c>
      <c r="E187" s="19" t="inlineStr">
        <is>
          <t>2</t>
        </is>
      </c>
      <c r="F187" t="n">
        <v>2026</v>
      </c>
      <c r="H187" t="inlineStr">
        <is>
          <t>2026-08-08</t>
        </is>
      </c>
      <c r="I187" t="inlineStr">
        <is>
          <t>2026-08-08</t>
        </is>
      </c>
      <c r="J187" s="19" t="inlineStr">
        <is>
          <t>2</t>
        </is>
      </c>
      <c r="L187" s="19" t="n"/>
      <c r="N187" t="inlineStr">
        <is>
          <t>Rev.00 Word shipment statement generated — see DOCUMENT_LIBRARY.FILE_URI</t>
        </is>
      </c>
    </row>
    <row r="188">
      <c r="A188" s="19" t="inlineStr">
        <is>
          <t>187</t>
        </is>
      </c>
      <c r="B188" s="19" t="inlineStr">
        <is>
          <t>IA-PPWR-STM-ST-072-STD-16-R00</t>
        </is>
      </c>
      <c r="C188" s="19" t="inlineStr">
        <is>
          <t>1</t>
        </is>
      </c>
      <c r="D188" s="19" t="inlineStr">
        <is>
          <t>1</t>
        </is>
      </c>
      <c r="E188" s="19" t="inlineStr">
        <is>
          <t>2</t>
        </is>
      </c>
      <c r="F188" t="n">
        <v>2026</v>
      </c>
      <c r="H188" t="inlineStr">
        <is>
          <t>2026-08-08</t>
        </is>
      </c>
      <c r="I188" t="inlineStr">
        <is>
          <t>2026-08-08</t>
        </is>
      </c>
      <c r="J188" s="19" t="inlineStr">
        <is>
          <t>2</t>
        </is>
      </c>
      <c r="L188" s="19" t="n"/>
      <c r="N188" t="inlineStr">
        <is>
          <t>Rev.00 Word shipment statement generated — see DOCUMENT_LIBRARY.FILE_URI</t>
        </is>
      </c>
    </row>
    <row r="189">
      <c r="A189" s="19" t="inlineStr">
        <is>
          <t>188</t>
        </is>
      </c>
      <c r="B189" s="19" t="inlineStr">
        <is>
          <t>IA-PPWR-STM-ST-072-STD-17-R00</t>
        </is>
      </c>
      <c r="C189" s="19" t="inlineStr">
        <is>
          <t>1</t>
        </is>
      </c>
      <c r="D189" s="19" t="inlineStr">
        <is>
          <t>1</t>
        </is>
      </c>
      <c r="E189" s="19" t="inlineStr">
        <is>
          <t>2</t>
        </is>
      </c>
      <c r="F189" t="n">
        <v>2026</v>
      </c>
      <c r="H189" t="inlineStr">
        <is>
          <t>2026-08-08</t>
        </is>
      </c>
      <c r="I189" t="inlineStr">
        <is>
          <t>2026-08-08</t>
        </is>
      </c>
      <c r="J189" s="19" t="inlineStr">
        <is>
          <t>2</t>
        </is>
      </c>
      <c r="L189" s="19" t="n"/>
      <c r="N189" t="inlineStr">
        <is>
          <t>Rev.00 Word shipment statement generated — see DOCUMENT_LIBRARY.FILE_URI</t>
        </is>
      </c>
    </row>
    <row r="190">
      <c r="A190" s="19" t="inlineStr">
        <is>
          <t>189</t>
        </is>
      </c>
      <c r="B190" s="19" t="inlineStr">
        <is>
          <t>IA-PPWR-STM-ST-072-STD-18-R00</t>
        </is>
      </c>
      <c r="C190" s="19" t="inlineStr">
        <is>
          <t>1</t>
        </is>
      </c>
      <c r="D190" s="19" t="inlineStr">
        <is>
          <t>1</t>
        </is>
      </c>
      <c r="E190" s="19" t="inlineStr">
        <is>
          <t>2</t>
        </is>
      </c>
      <c r="F190" t="n">
        <v>2026</v>
      </c>
      <c r="H190" t="inlineStr">
        <is>
          <t>2026-08-08</t>
        </is>
      </c>
      <c r="I190" t="inlineStr">
        <is>
          <t>2026-08-08</t>
        </is>
      </c>
      <c r="J190" s="19" t="inlineStr">
        <is>
          <t>2</t>
        </is>
      </c>
      <c r="L190" s="19" t="n"/>
      <c r="N190" t="inlineStr">
        <is>
          <t>Rev.00 Word shipment statement generated — see DOCUMENT_LIBRARY.FILE_URI</t>
        </is>
      </c>
    </row>
    <row r="191">
      <c r="A191" s="19" t="inlineStr">
        <is>
          <t>190</t>
        </is>
      </c>
      <c r="B191" s="19" t="inlineStr">
        <is>
          <t>IA-PPWR-STM-ST-072-STD-19-R00</t>
        </is>
      </c>
      <c r="C191" s="19" t="inlineStr">
        <is>
          <t>1</t>
        </is>
      </c>
      <c r="D191" s="19" t="inlineStr">
        <is>
          <t>1</t>
        </is>
      </c>
      <c r="E191" s="19" t="inlineStr">
        <is>
          <t>2</t>
        </is>
      </c>
      <c r="F191" t="n">
        <v>2026</v>
      </c>
      <c r="H191" t="inlineStr">
        <is>
          <t>2026-08-08</t>
        </is>
      </c>
      <c r="I191" t="inlineStr">
        <is>
          <t>2026-08-08</t>
        </is>
      </c>
      <c r="J191" s="19" t="inlineStr">
        <is>
          <t>2</t>
        </is>
      </c>
      <c r="L191" s="19" t="n"/>
      <c r="N191" t="inlineStr">
        <is>
          <t>Rev.00 Word shipment statement generated — see DOCUMENT_LIBRARY.FILE_URI</t>
        </is>
      </c>
    </row>
    <row r="192">
      <c r="A192" s="19" t="inlineStr">
        <is>
          <t>191</t>
        </is>
      </c>
      <c r="B192" s="19" t="inlineStr">
        <is>
          <t>IA-PPWR-STM-ST-072-STD-20-R00</t>
        </is>
      </c>
      <c r="C192" s="19" t="inlineStr">
        <is>
          <t>1</t>
        </is>
      </c>
      <c r="D192" s="19" t="inlineStr">
        <is>
          <t>1</t>
        </is>
      </c>
      <c r="E192" s="19" t="inlineStr">
        <is>
          <t>2</t>
        </is>
      </c>
      <c r="F192" t="n">
        <v>2026</v>
      </c>
      <c r="H192" t="inlineStr">
        <is>
          <t>2026-08-08</t>
        </is>
      </c>
      <c r="I192" t="inlineStr">
        <is>
          <t>2026-08-08</t>
        </is>
      </c>
      <c r="J192" s="19" t="inlineStr">
        <is>
          <t>2</t>
        </is>
      </c>
      <c r="L192" s="19" t="n"/>
      <c r="N192" t="inlineStr">
        <is>
          <t>Rev.00 Word shipment statement generated — see DOCUMENT_LIBRARY.FILE_URI</t>
        </is>
      </c>
    </row>
    <row r="193">
      <c r="A193" s="19" t="inlineStr">
        <is>
          <t>192</t>
        </is>
      </c>
      <c r="B193" s="19" t="inlineStr">
        <is>
          <t>IA-PPWR-STM-ST-072-STD-21-R00</t>
        </is>
      </c>
      <c r="C193" s="19" t="inlineStr">
        <is>
          <t>1</t>
        </is>
      </c>
      <c r="D193" s="19" t="inlineStr">
        <is>
          <t>1</t>
        </is>
      </c>
      <c r="E193" s="19" t="inlineStr">
        <is>
          <t>2</t>
        </is>
      </c>
      <c r="F193" t="n">
        <v>2026</v>
      </c>
      <c r="H193" t="inlineStr">
        <is>
          <t>2026-08-08</t>
        </is>
      </c>
      <c r="I193" t="inlineStr">
        <is>
          <t>2026-08-08</t>
        </is>
      </c>
      <c r="J193" s="19" t="inlineStr">
        <is>
          <t>2</t>
        </is>
      </c>
      <c r="L193" s="19" t="n"/>
      <c r="N193" t="inlineStr">
        <is>
          <t>Rev.00 Word shipment statement generated — see DOCUMENT_LIBRARY.FILE_URI</t>
        </is>
      </c>
    </row>
    <row r="194">
      <c r="A194" s="19" t="inlineStr">
        <is>
          <t>193</t>
        </is>
      </c>
      <c r="B194" s="19" t="inlineStr">
        <is>
          <t>IA-PPWR-STM-ST-072-STD-22-R00</t>
        </is>
      </c>
      <c r="C194" s="19" t="inlineStr">
        <is>
          <t>1</t>
        </is>
      </c>
      <c r="D194" s="19" t="inlineStr">
        <is>
          <t>1</t>
        </is>
      </c>
      <c r="E194" s="19" t="inlineStr">
        <is>
          <t>2</t>
        </is>
      </c>
      <c r="F194" t="n">
        <v>2026</v>
      </c>
      <c r="H194" t="inlineStr">
        <is>
          <t>2026-08-08</t>
        </is>
      </c>
      <c r="I194" t="inlineStr">
        <is>
          <t>2026-08-08</t>
        </is>
      </c>
      <c r="J194" s="19" t="inlineStr">
        <is>
          <t>2</t>
        </is>
      </c>
      <c r="L194" s="19" t="n"/>
      <c r="N194" t="inlineStr">
        <is>
          <t>Rev.00 Word shipment statement generated — see DOCUMENT_LIBRARY.FILE_URI</t>
        </is>
      </c>
    </row>
    <row r="195">
      <c r="A195" s="19" t="inlineStr">
        <is>
          <t>194</t>
        </is>
      </c>
      <c r="B195" s="19" t="inlineStr">
        <is>
          <t>IA-PPWR-STM-ST-072-STD-23-R00</t>
        </is>
      </c>
      <c r="C195" s="19" t="inlineStr">
        <is>
          <t>1</t>
        </is>
      </c>
      <c r="D195" s="19" t="inlineStr">
        <is>
          <t>1</t>
        </is>
      </c>
      <c r="E195" s="19" t="inlineStr">
        <is>
          <t>2</t>
        </is>
      </c>
      <c r="F195" t="n">
        <v>2026</v>
      </c>
      <c r="H195" t="inlineStr">
        <is>
          <t>2026-08-08</t>
        </is>
      </c>
      <c r="I195" t="inlineStr">
        <is>
          <t>2026-08-08</t>
        </is>
      </c>
      <c r="J195" s="19" t="inlineStr">
        <is>
          <t>2</t>
        </is>
      </c>
      <c r="L195" s="19" t="n"/>
      <c r="N195" t="inlineStr">
        <is>
          <t>Rev.00 Word shipment statement generated — see DOCUMENT_LIBRARY.FILE_URI</t>
        </is>
      </c>
    </row>
    <row r="196">
      <c r="A196" s="19" t="inlineStr">
        <is>
          <t>195</t>
        </is>
      </c>
      <c r="B196" s="19" t="inlineStr">
        <is>
          <t>IA-PPWR-STM-ST-072-STD-24-R00</t>
        </is>
      </c>
      <c r="C196" s="19" t="inlineStr">
        <is>
          <t>1</t>
        </is>
      </c>
      <c r="D196" s="19" t="inlineStr">
        <is>
          <t>1</t>
        </is>
      </c>
      <c r="E196" s="19" t="inlineStr">
        <is>
          <t>2</t>
        </is>
      </c>
      <c r="F196" t="n">
        <v>2026</v>
      </c>
      <c r="H196" t="inlineStr">
        <is>
          <t>2026-08-08</t>
        </is>
      </c>
      <c r="I196" t="inlineStr">
        <is>
          <t>2026-08-08</t>
        </is>
      </c>
      <c r="J196" s="19" t="inlineStr">
        <is>
          <t>2</t>
        </is>
      </c>
      <c r="L196" s="19" t="n"/>
      <c r="N196" t="inlineStr">
        <is>
          <t>Rev.00 Word shipment statement generated — see DOCUMENT_LIBRARY.FILE_URI</t>
        </is>
      </c>
    </row>
    <row r="197">
      <c r="A197" s="19" t="inlineStr">
        <is>
          <t>196</t>
        </is>
      </c>
      <c r="B197" s="19" t="inlineStr">
        <is>
          <t>IA-PPWR-STM-ST-072-STD-25-R00</t>
        </is>
      </c>
      <c r="C197" s="19" t="inlineStr">
        <is>
          <t>1</t>
        </is>
      </c>
      <c r="D197" s="19" t="inlineStr">
        <is>
          <t>1</t>
        </is>
      </c>
      <c r="E197" s="19" t="inlineStr">
        <is>
          <t>2</t>
        </is>
      </c>
      <c r="F197" t="n">
        <v>2026</v>
      </c>
      <c r="H197" t="inlineStr">
        <is>
          <t>2026-08-08</t>
        </is>
      </c>
      <c r="I197" t="inlineStr">
        <is>
          <t>2026-08-08</t>
        </is>
      </c>
      <c r="J197" s="19" t="inlineStr">
        <is>
          <t>2</t>
        </is>
      </c>
      <c r="L197" s="19" t="n"/>
      <c r="N197" t="inlineStr">
        <is>
          <t>Rev.00 Word shipment statement generated — see DOCUMENT_LIBRARY.FILE_URI</t>
        </is>
      </c>
    </row>
    <row r="198">
      <c r="A198" s="19" t="inlineStr">
        <is>
          <t>197</t>
        </is>
      </c>
      <c r="B198" s="19" t="inlineStr">
        <is>
          <t>IA-PPWR-STM-ST-076-EUR-01-R00</t>
        </is>
      </c>
      <c r="C198" s="19" t="inlineStr">
        <is>
          <t>1</t>
        </is>
      </c>
      <c r="D198" s="19" t="inlineStr">
        <is>
          <t>1</t>
        </is>
      </c>
      <c r="E198" s="19" t="inlineStr">
        <is>
          <t>2</t>
        </is>
      </c>
      <c r="F198" t="n">
        <v>2026</v>
      </c>
      <c r="H198" t="inlineStr">
        <is>
          <t>2026-08-08</t>
        </is>
      </c>
      <c r="I198" t="inlineStr">
        <is>
          <t>2026-08-08</t>
        </is>
      </c>
      <c r="J198" s="19" t="inlineStr">
        <is>
          <t>2</t>
        </is>
      </c>
      <c r="L198" s="19" t="n"/>
      <c r="N198" t="inlineStr">
        <is>
          <t>Rev.00 Word shipment statement generated — see DOCUMENT_LIBRARY.FILE_URI</t>
        </is>
      </c>
    </row>
    <row r="199">
      <c r="A199" s="19" t="inlineStr">
        <is>
          <t>198</t>
        </is>
      </c>
      <c r="B199" s="19" t="inlineStr">
        <is>
          <t>IA-PPWR-STM-ST-076-EUR-02-R00</t>
        </is>
      </c>
      <c r="C199" s="19" t="inlineStr">
        <is>
          <t>1</t>
        </is>
      </c>
      <c r="D199" s="19" t="inlineStr">
        <is>
          <t>1</t>
        </is>
      </c>
      <c r="E199" s="19" t="inlineStr">
        <is>
          <t>2</t>
        </is>
      </c>
      <c r="F199" t="n">
        <v>2026</v>
      </c>
      <c r="H199" t="inlineStr">
        <is>
          <t>2026-08-08</t>
        </is>
      </c>
      <c r="I199" t="inlineStr">
        <is>
          <t>2026-08-08</t>
        </is>
      </c>
      <c r="J199" s="19" t="inlineStr">
        <is>
          <t>2</t>
        </is>
      </c>
      <c r="L199" s="19" t="n"/>
      <c r="N199" t="inlineStr">
        <is>
          <t>Rev.00 Word shipment statement generated — see DOCUMENT_LIBRARY.FILE_URI</t>
        </is>
      </c>
    </row>
    <row r="200">
      <c r="A200" s="19" t="inlineStr">
        <is>
          <t>199</t>
        </is>
      </c>
      <c r="B200" s="19" t="inlineStr">
        <is>
          <t>IA-PPWR-STM-ST-076-EUR-03-R00</t>
        </is>
      </c>
      <c r="C200" s="19" t="inlineStr">
        <is>
          <t>1</t>
        </is>
      </c>
      <c r="D200" s="19" t="inlineStr">
        <is>
          <t>1</t>
        </is>
      </c>
      <c r="E200" s="19" t="inlineStr">
        <is>
          <t>2</t>
        </is>
      </c>
      <c r="F200" t="n">
        <v>2026</v>
      </c>
      <c r="H200" t="inlineStr">
        <is>
          <t>2026-08-08</t>
        </is>
      </c>
      <c r="I200" t="inlineStr">
        <is>
          <t>2026-08-08</t>
        </is>
      </c>
      <c r="J200" s="19" t="inlineStr">
        <is>
          <t>2</t>
        </is>
      </c>
      <c r="L200" s="19" t="n"/>
      <c r="N200" t="inlineStr">
        <is>
          <t>Rev.00 Word shipment statement generated — see DOCUMENT_LIBRARY.FILE_URI</t>
        </is>
      </c>
    </row>
    <row r="201">
      <c r="A201" s="19" t="inlineStr">
        <is>
          <t>200</t>
        </is>
      </c>
      <c r="B201" s="19" t="inlineStr">
        <is>
          <t>IA-PPWR-STM-ST-076-EUR-04-R00</t>
        </is>
      </c>
      <c r="C201" s="19" t="inlineStr">
        <is>
          <t>1</t>
        </is>
      </c>
      <c r="D201" s="19" t="inlineStr">
        <is>
          <t>1</t>
        </is>
      </c>
      <c r="E201" s="19" t="inlineStr">
        <is>
          <t>2</t>
        </is>
      </c>
      <c r="F201" t="n">
        <v>2026</v>
      </c>
      <c r="H201" t="inlineStr">
        <is>
          <t>2026-08-08</t>
        </is>
      </c>
      <c r="I201" t="inlineStr">
        <is>
          <t>2026-08-08</t>
        </is>
      </c>
      <c r="J201" s="19" t="inlineStr">
        <is>
          <t>2</t>
        </is>
      </c>
      <c r="L201" s="19" t="n"/>
      <c r="N201" t="inlineStr">
        <is>
          <t>Rev.00 Word shipment statement generated — see DOCUMENT_LIBRARY.FILE_URI</t>
        </is>
      </c>
    </row>
    <row r="202">
      <c r="A202" s="19" t="inlineStr">
        <is>
          <t>201</t>
        </is>
      </c>
      <c r="B202" s="19" t="inlineStr">
        <is>
          <t>IA-PPWR-STM-ST-080-EUR-01-R00</t>
        </is>
      </c>
      <c r="C202" s="19" t="inlineStr">
        <is>
          <t>1</t>
        </is>
      </c>
      <c r="D202" s="19" t="inlineStr">
        <is>
          <t>1</t>
        </is>
      </c>
      <c r="E202" s="19" t="inlineStr">
        <is>
          <t>2</t>
        </is>
      </c>
      <c r="F202" t="n">
        <v>2026</v>
      </c>
      <c r="H202" t="inlineStr">
        <is>
          <t>2026-08-08</t>
        </is>
      </c>
      <c r="I202" t="inlineStr">
        <is>
          <t>2026-08-08</t>
        </is>
      </c>
      <c r="J202" s="19" t="inlineStr">
        <is>
          <t>2</t>
        </is>
      </c>
      <c r="L202" s="19" t="n"/>
      <c r="N202" t="inlineStr">
        <is>
          <t>Rev.00 Word shipment statement generated — see DOCUMENT_LIBRARY.FILE_URI</t>
        </is>
      </c>
    </row>
    <row r="203">
      <c r="A203" s="19" t="inlineStr">
        <is>
          <t>202</t>
        </is>
      </c>
      <c r="B203" s="19" t="inlineStr">
        <is>
          <t>IA-PPWR-STM-ST-081-EUR-01-R00</t>
        </is>
      </c>
      <c r="C203" s="19" t="inlineStr">
        <is>
          <t>1</t>
        </is>
      </c>
      <c r="D203" s="19" t="inlineStr">
        <is>
          <t>1</t>
        </is>
      </c>
      <c r="E203" s="19" t="inlineStr">
        <is>
          <t>2</t>
        </is>
      </c>
      <c r="F203" t="n">
        <v>2026</v>
      </c>
      <c r="H203" t="inlineStr">
        <is>
          <t>2026-08-08</t>
        </is>
      </c>
      <c r="I203" t="inlineStr">
        <is>
          <t>2026-08-08</t>
        </is>
      </c>
      <c r="J203" s="19" t="inlineStr">
        <is>
          <t>2</t>
        </is>
      </c>
      <c r="L203" s="19" t="n"/>
      <c r="N203" t="inlineStr">
        <is>
          <t>Rev.00 Word shipment statement generated — see DOCUMENT_LIBRARY.FILE_URI</t>
        </is>
      </c>
    </row>
    <row r="204">
      <c r="A204" s="19" t="inlineStr">
        <is>
          <t>203</t>
        </is>
      </c>
      <c r="B204" s="19" t="inlineStr">
        <is>
          <t>IA-PPWR-STM-ST-087-EUR-01-R00</t>
        </is>
      </c>
      <c r="C204" s="19" t="inlineStr">
        <is>
          <t>1</t>
        </is>
      </c>
      <c r="D204" s="19" t="inlineStr">
        <is>
          <t>1</t>
        </is>
      </c>
      <c r="E204" s="19" t="inlineStr">
        <is>
          <t>2</t>
        </is>
      </c>
      <c r="F204" t="n">
        <v>2026</v>
      </c>
      <c r="H204" t="inlineStr">
        <is>
          <t>2026-08-08</t>
        </is>
      </c>
      <c r="I204" t="inlineStr">
        <is>
          <t>2026-08-08</t>
        </is>
      </c>
      <c r="J204" s="19" t="inlineStr">
        <is>
          <t>2</t>
        </is>
      </c>
      <c r="L204" s="19" t="n"/>
      <c r="N204" t="inlineStr">
        <is>
          <t>Rev.00 Word shipment statement generated — see DOCUMENT_LIBRARY.FILE_URI</t>
        </is>
      </c>
    </row>
    <row r="205">
      <c r="A205" s="19" t="inlineStr">
        <is>
          <t>204</t>
        </is>
      </c>
      <c r="B205" s="19" t="inlineStr">
        <is>
          <t>IA-PPWR-STM-ST-087-STD-01-R00</t>
        </is>
      </c>
      <c r="C205" s="19" t="inlineStr">
        <is>
          <t>1</t>
        </is>
      </c>
      <c r="D205" s="19" t="inlineStr">
        <is>
          <t>1</t>
        </is>
      </c>
      <c r="E205" s="19" t="inlineStr">
        <is>
          <t>2</t>
        </is>
      </c>
      <c r="F205" t="n">
        <v>2026</v>
      </c>
      <c r="H205" t="inlineStr">
        <is>
          <t>2026-08-08</t>
        </is>
      </c>
      <c r="I205" t="inlineStr">
        <is>
          <t>2026-08-08</t>
        </is>
      </c>
      <c r="J205" s="19" t="inlineStr">
        <is>
          <t>2</t>
        </is>
      </c>
      <c r="L205" s="19" t="n"/>
      <c r="N205" t="inlineStr">
        <is>
          <t>Rev.00 Word shipment statement generated — see DOCUMENT_LIBRARY.FILE_URI</t>
        </is>
      </c>
    </row>
    <row r="206">
      <c r="A206" s="19" t="inlineStr">
        <is>
          <t>205</t>
        </is>
      </c>
      <c r="B206" s="19" t="inlineStr">
        <is>
          <t>IA-PPWR-STM-ST-087-STD-02-R00</t>
        </is>
      </c>
      <c r="C206" s="19" t="inlineStr">
        <is>
          <t>1</t>
        </is>
      </c>
      <c r="D206" s="19" t="inlineStr">
        <is>
          <t>1</t>
        </is>
      </c>
      <c r="E206" s="19" t="inlineStr">
        <is>
          <t>2</t>
        </is>
      </c>
      <c r="F206" t="n">
        <v>2026</v>
      </c>
      <c r="H206" t="inlineStr">
        <is>
          <t>2026-08-08</t>
        </is>
      </c>
      <c r="I206" t="inlineStr">
        <is>
          <t>2026-08-08</t>
        </is>
      </c>
      <c r="J206" s="19" t="inlineStr">
        <is>
          <t>2</t>
        </is>
      </c>
      <c r="L206" s="19" t="n"/>
      <c r="N206" t="inlineStr">
        <is>
          <t>Rev.00 Word shipment statement generated — see DOCUMENT_LIBRARY.FILE_URI</t>
        </is>
      </c>
    </row>
    <row r="207">
      <c r="A207" s="19" t="inlineStr">
        <is>
          <t>206</t>
        </is>
      </c>
      <c r="B207" s="19" t="inlineStr">
        <is>
          <t>IA-PPWR-STM-ST-087-STD-03-R00</t>
        </is>
      </c>
      <c r="C207" s="19" t="inlineStr">
        <is>
          <t>1</t>
        </is>
      </c>
      <c r="D207" s="19" t="inlineStr">
        <is>
          <t>1</t>
        </is>
      </c>
      <c r="E207" s="19" t="inlineStr">
        <is>
          <t>2</t>
        </is>
      </c>
      <c r="F207" t="n">
        <v>2026</v>
      </c>
      <c r="H207" t="inlineStr">
        <is>
          <t>2026-08-08</t>
        </is>
      </c>
      <c r="I207" t="inlineStr">
        <is>
          <t>2026-08-08</t>
        </is>
      </c>
      <c r="J207" s="19" t="inlineStr">
        <is>
          <t>2</t>
        </is>
      </c>
      <c r="L207" s="19" t="n"/>
      <c r="N207" t="inlineStr">
        <is>
          <t>Rev.00 Word shipment statement generated — see DOCUMENT_LIBRARY.FILE_URI</t>
        </is>
      </c>
    </row>
    <row r="208">
      <c r="A208" s="19" t="inlineStr">
        <is>
          <t>207</t>
        </is>
      </c>
      <c r="B208" s="19" t="inlineStr">
        <is>
          <t>IA-PPWR-STM-ST-087-STD-04-R00</t>
        </is>
      </c>
      <c r="C208" s="19" t="inlineStr">
        <is>
          <t>1</t>
        </is>
      </c>
      <c r="D208" s="19" t="inlineStr">
        <is>
          <t>1</t>
        </is>
      </c>
      <c r="E208" s="19" t="inlineStr">
        <is>
          <t>2</t>
        </is>
      </c>
      <c r="F208" t="n">
        <v>2026</v>
      </c>
      <c r="H208" t="inlineStr">
        <is>
          <t>2026-08-08</t>
        </is>
      </c>
      <c r="I208" t="inlineStr">
        <is>
          <t>2026-08-08</t>
        </is>
      </c>
      <c r="J208" s="19" t="inlineStr">
        <is>
          <t>2</t>
        </is>
      </c>
      <c r="L208" s="19" t="n"/>
      <c r="N208" t="inlineStr">
        <is>
          <t>Rev.00 Word shipment statement generated — see DOCUMENT_LIBRARY.FILE_URI</t>
        </is>
      </c>
    </row>
    <row r="209">
      <c r="A209" s="19" t="inlineStr">
        <is>
          <t>208</t>
        </is>
      </c>
      <c r="B209" s="19" t="inlineStr">
        <is>
          <t>IA-PPWR-STM-ST-087-STD-05-R00</t>
        </is>
      </c>
      <c r="C209" s="19" t="inlineStr">
        <is>
          <t>1</t>
        </is>
      </c>
      <c r="D209" s="19" t="inlineStr">
        <is>
          <t>1</t>
        </is>
      </c>
      <c r="E209" s="19" t="inlineStr">
        <is>
          <t>2</t>
        </is>
      </c>
      <c r="F209" t="n">
        <v>2026</v>
      </c>
      <c r="H209" t="inlineStr">
        <is>
          <t>2026-08-08</t>
        </is>
      </c>
      <c r="I209" t="inlineStr">
        <is>
          <t>2026-08-08</t>
        </is>
      </c>
      <c r="J209" s="19" t="inlineStr">
        <is>
          <t>2</t>
        </is>
      </c>
      <c r="L209" s="19" t="n"/>
      <c r="N209" t="inlineStr">
        <is>
          <t>Rev.00 Word shipment statement generated — see DOCUMENT_LIBRARY.FILE_URI</t>
        </is>
      </c>
    </row>
    <row r="210">
      <c r="A210" s="19" t="inlineStr">
        <is>
          <t>209</t>
        </is>
      </c>
      <c r="B210" s="19" t="inlineStr">
        <is>
          <t>IA-PPWR-STM-ST-087-STD-06-R00</t>
        </is>
      </c>
      <c r="C210" s="19" t="inlineStr">
        <is>
          <t>1</t>
        </is>
      </c>
      <c r="D210" s="19" t="inlineStr">
        <is>
          <t>1</t>
        </is>
      </c>
      <c r="E210" s="19" t="inlineStr">
        <is>
          <t>2</t>
        </is>
      </c>
      <c r="F210" t="n">
        <v>2026</v>
      </c>
      <c r="H210" t="inlineStr">
        <is>
          <t>2026-08-08</t>
        </is>
      </c>
      <c r="I210" t="inlineStr">
        <is>
          <t>2026-08-08</t>
        </is>
      </c>
      <c r="J210" s="19" t="inlineStr">
        <is>
          <t>2</t>
        </is>
      </c>
      <c r="L210" s="19" t="n"/>
      <c r="N210" t="inlineStr">
        <is>
          <t>Rev.00 Word shipment statement generated — see DOCUMENT_LIBRARY.FILE_URI</t>
        </is>
      </c>
    </row>
    <row r="211">
      <c r="A211" s="19" t="inlineStr">
        <is>
          <t>210</t>
        </is>
      </c>
      <c r="B211" s="19" t="inlineStr">
        <is>
          <t>IA-PPWR-STM-ST-087-STD-07-R00</t>
        </is>
      </c>
      <c r="C211" s="19" t="inlineStr">
        <is>
          <t>1</t>
        </is>
      </c>
      <c r="D211" s="19" t="inlineStr">
        <is>
          <t>1</t>
        </is>
      </c>
      <c r="E211" s="19" t="inlineStr">
        <is>
          <t>2</t>
        </is>
      </c>
      <c r="F211" t="n">
        <v>2026</v>
      </c>
      <c r="H211" t="inlineStr">
        <is>
          <t>2026-08-08</t>
        </is>
      </c>
      <c r="I211" t="inlineStr">
        <is>
          <t>2026-08-08</t>
        </is>
      </c>
      <c r="J211" s="19" t="inlineStr">
        <is>
          <t>2</t>
        </is>
      </c>
      <c r="L211" s="19" t="n"/>
      <c r="N211" t="inlineStr">
        <is>
          <t>Rev.00 Word shipment statement generated — see DOCUMENT_LIBRARY.FILE_URI</t>
        </is>
      </c>
    </row>
    <row r="212">
      <c r="A212" s="19" t="inlineStr">
        <is>
          <t>211</t>
        </is>
      </c>
      <c r="B212" s="19" t="inlineStr">
        <is>
          <t>IA-PPWR-STM-ST-088-STD-01-R00</t>
        </is>
      </c>
      <c r="C212" s="19" t="inlineStr">
        <is>
          <t>1</t>
        </is>
      </c>
      <c r="D212" s="19" t="inlineStr">
        <is>
          <t>1</t>
        </is>
      </c>
      <c r="E212" s="19" t="inlineStr">
        <is>
          <t>2</t>
        </is>
      </c>
      <c r="F212" t="n">
        <v>2026</v>
      </c>
      <c r="H212" t="inlineStr">
        <is>
          <t>2026-08-08</t>
        </is>
      </c>
      <c r="I212" t="inlineStr">
        <is>
          <t>2026-08-08</t>
        </is>
      </c>
      <c r="J212" s="19" t="inlineStr">
        <is>
          <t>2</t>
        </is>
      </c>
      <c r="L212" s="19" t="n"/>
      <c r="N212" t="inlineStr">
        <is>
          <t>Rev.00 Word shipment statement generated — see DOCUMENT_LIBRARY.FILE_URI</t>
        </is>
      </c>
    </row>
    <row r="213">
      <c r="A213" s="19" t="inlineStr">
        <is>
          <t>212</t>
        </is>
      </c>
      <c r="B213" s="19" t="inlineStr">
        <is>
          <t>IA-PPWR-STM-ST-088-STD-02-R00</t>
        </is>
      </c>
      <c r="C213" s="19" t="inlineStr">
        <is>
          <t>1</t>
        </is>
      </c>
      <c r="D213" s="19" t="inlineStr">
        <is>
          <t>1</t>
        </is>
      </c>
      <c r="E213" s="19" t="inlineStr">
        <is>
          <t>2</t>
        </is>
      </c>
      <c r="F213" t="n">
        <v>2026</v>
      </c>
      <c r="H213" t="inlineStr">
        <is>
          <t>2026-08-08</t>
        </is>
      </c>
      <c r="I213" t="inlineStr">
        <is>
          <t>2026-08-08</t>
        </is>
      </c>
      <c r="J213" s="19" t="inlineStr">
        <is>
          <t>2</t>
        </is>
      </c>
      <c r="L213" s="19" t="n"/>
      <c r="N213" t="inlineStr">
        <is>
          <t>Rev.00 Word shipment statement generated — see DOCUMENT_LIBRARY.FILE_URI</t>
        </is>
      </c>
    </row>
    <row r="214">
      <c r="A214" s="19" t="inlineStr">
        <is>
          <t>213</t>
        </is>
      </c>
      <c r="B214" s="19" t="inlineStr">
        <is>
          <t>IA-PPWR-STM-ST-088-STD-03-R00</t>
        </is>
      </c>
      <c r="C214" s="19" t="inlineStr">
        <is>
          <t>1</t>
        </is>
      </c>
      <c r="D214" s="19" t="inlineStr">
        <is>
          <t>1</t>
        </is>
      </c>
      <c r="E214" s="19" t="inlineStr">
        <is>
          <t>2</t>
        </is>
      </c>
      <c r="F214" t="n">
        <v>2026</v>
      </c>
      <c r="H214" t="inlineStr">
        <is>
          <t>2026-08-08</t>
        </is>
      </c>
      <c r="I214" t="inlineStr">
        <is>
          <t>2026-08-08</t>
        </is>
      </c>
      <c r="J214" s="19" t="inlineStr">
        <is>
          <t>2</t>
        </is>
      </c>
      <c r="L214" s="19" t="n"/>
      <c r="N214" t="inlineStr">
        <is>
          <t>Rev.00 Word shipment statement generated — see DOCUMENT_LIBRARY.FILE_URI</t>
        </is>
      </c>
    </row>
    <row r="215">
      <c r="A215" s="19" t="inlineStr">
        <is>
          <t>214</t>
        </is>
      </c>
      <c r="B215" s="19" t="inlineStr">
        <is>
          <t>IA-PPWR-STM-ST-088-STD-04-R00</t>
        </is>
      </c>
      <c r="C215" s="19" t="inlineStr">
        <is>
          <t>1</t>
        </is>
      </c>
      <c r="D215" s="19" t="inlineStr">
        <is>
          <t>1</t>
        </is>
      </c>
      <c r="E215" s="19" t="inlineStr">
        <is>
          <t>2</t>
        </is>
      </c>
      <c r="F215" t="n">
        <v>2026</v>
      </c>
      <c r="H215" t="inlineStr">
        <is>
          <t>2026-08-08</t>
        </is>
      </c>
      <c r="I215" t="inlineStr">
        <is>
          <t>2026-08-08</t>
        </is>
      </c>
      <c r="J215" s="19" t="inlineStr">
        <is>
          <t>2</t>
        </is>
      </c>
      <c r="L215" s="19" t="n"/>
      <c r="N215" t="inlineStr">
        <is>
          <t>Rev.00 Word shipment statement generated — see DOCUMENT_LIBRARY.FILE_URI</t>
        </is>
      </c>
    </row>
    <row r="216">
      <c r="A216" s="19" t="inlineStr">
        <is>
          <t>215</t>
        </is>
      </c>
      <c r="B216" s="19" t="inlineStr">
        <is>
          <t>IA-PPWR-STM-ST-088-STD-05-R00</t>
        </is>
      </c>
      <c r="C216" s="19" t="inlineStr">
        <is>
          <t>1</t>
        </is>
      </c>
      <c r="D216" s="19" t="inlineStr">
        <is>
          <t>1</t>
        </is>
      </c>
      <c r="E216" s="19" t="inlineStr">
        <is>
          <t>2</t>
        </is>
      </c>
      <c r="F216" t="n">
        <v>2026</v>
      </c>
      <c r="H216" t="inlineStr">
        <is>
          <t>2026-08-08</t>
        </is>
      </c>
      <c r="I216" t="inlineStr">
        <is>
          <t>2026-08-08</t>
        </is>
      </c>
      <c r="J216" s="19" t="inlineStr">
        <is>
          <t>2</t>
        </is>
      </c>
      <c r="L216" s="19" t="n"/>
      <c r="N216" t="inlineStr">
        <is>
          <t>Rev.00 Word shipment statement generated — see DOCUMENT_LIBRARY.FILE_URI</t>
        </is>
      </c>
    </row>
    <row r="217">
      <c r="A217" s="19" t="inlineStr">
        <is>
          <t>216</t>
        </is>
      </c>
      <c r="B217" s="19" t="inlineStr">
        <is>
          <t>IA-PPWR-STM-ST-088-STD-06-R00</t>
        </is>
      </c>
      <c r="C217" s="19" t="inlineStr">
        <is>
          <t>1</t>
        </is>
      </c>
      <c r="D217" s="19" t="inlineStr">
        <is>
          <t>1</t>
        </is>
      </c>
      <c r="E217" s="19" t="inlineStr">
        <is>
          <t>2</t>
        </is>
      </c>
      <c r="F217" t="n">
        <v>2026</v>
      </c>
      <c r="H217" t="inlineStr">
        <is>
          <t>2026-08-08</t>
        </is>
      </c>
      <c r="I217" t="inlineStr">
        <is>
          <t>2026-08-08</t>
        </is>
      </c>
      <c r="J217" s="19" t="inlineStr">
        <is>
          <t>2</t>
        </is>
      </c>
      <c r="L217" s="19" t="n"/>
      <c r="N217" t="inlineStr">
        <is>
          <t>Rev.00 Word shipment statement generated — see DOCUMENT_LIBRARY.FILE_URI</t>
        </is>
      </c>
    </row>
    <row r="218">
      <c r="A218" s="19" t="inlineStr">
        <is>
          <t>217</t>
        </is>
      </c>
      <c r="B218" s="19" t="inlineStr">
        <is>
          <t>IA-PPWR-STM-ST-088-STD-07-R00</t>
        </is>
      </c>
      <c r="C218" s="19" t="inlineStr">
        <is>
          <t>1</t>
        </is>
      </c>
      <c r="D218" s="19" t="inlineStr">
        <is>
          <t>1</t>
        </is>
      </c>
      <c r="E218" s="19" t="inlineStr">
        <is>
          <t>2</t>
        </is>
      </c>
      <c r="F218" t="n">
        <v>2026</v>
      </c>
      <c r="H218" t="inlineStr">
        <is>
          <t>2026-08-08</t>
        </is>
      </c>
      <c r="I218" t="inlineStr">
        <is>
          <t>2026-08-08</t>
        </is>
      </c>
      <c r="J218" s="19" t="inlineStr">
        <is>
          <t>2</t>
        </is>
      </c>
      <c r="L218" s="19" t="n"/>
      <c r="N218" t="inlineStr">
        <is>
          <t>Rev.00 Word shipment statement generated — see DOCUMENT_LIBRARY.FILE_URI</t>
        </is>
      </c>
    </row>
    <row r="219">
      <c r="A219" s="19" t="inlineStr">
        <is>
          <t>218</t>
        </is>
      </c>
      <c r="B219" s="19" t="inlineStr">
        <is>
          <t>IA-PPWR-STM-ST-088-STD-08-R00</t>
        </is>
      </c>
      <c r="C219" s="19" t="inlineStr">
        <is>
          <t>1</t>
        </is>
      </c>
      <c r="D219" s="19" t="inlineStr">
        <is>
          <t>1</t>
        </is>
      </c>
      <c r="E219" s="19" t="inlineStr">
        <is>
          <t>2</t>
        </is>
      </c>
      <c r="F219" t="n">
        <v>2026</v>
      </c>
      <c r="H219" t="inlineStr">
        <is>
          <t>2026-08-08</t>
        </is>
      </c>
      <c r="I219" t="inlineStr">
        <is>
          <t>2026-08-08</t>
        </is>
      </c>
      <c r="J219" s="19" t="inlineStr">
        <is>
          <t>2</t>
        </is>
      </c>
      <c r="L219" s="19" t="n"/>
      <c r="N219" t="inlineStr">
        <is>
          <t>Rev.00 Word shipment statement generated — see DOCUMENT_LIBRARY.FILE_URI</t>
        </is>
      </c>
    </row>
    <row r="220">
      <c r="A220" s="19" t="inlineStr">
        <is>
          <t>219</t>
        </is>
      </c>
      <c r="B220" s="19" t="inlineStr">
        <is>
          <t>IA-PPWR-STM-ST-090-STD-01-R00</t>
        </is>
      </c>
      <c r="C220" s="19" t="inlineStr">
        <is>
          <t>1</t>
        </is>
      </c>
      <c r="D220" s="19" t="inlineStr">
        <is>
          <t>1</t>
        </is>
      </c>
      <c r="E220" s="19" t="inlineStr">
        <is>
          <t>2</t>
        </is>
      </c>
      <c r="F220" t="n">
        <v>2026</v>
      </c>
      <c r="H220" t="inlineStr">
        <is>
          <t>2026-08-08</t>
        </is>
      </c>
      <c r="I220" t="inlineStr">
        <is>
          <t>2026-08-08</t>
        </is>
      </c>
      <c r="J220" s="19" t="inlineStr">
        <is>
          <t>2</t>
        </is>
      </c>
      <c r="L220" s="19" t="n"/>
      <c r="N220" t="inlineStr">
        <is>
          <t>Rev.00 Word shipment statement generated — see DOCUMENT_LIBRARY.FILE_URI</t>
        </is>
      </c>
    </row>
    <row r="221">
      <c r="A221" s="19" t="inlineStr">
        <is>
          <t>220</t>
        </is>
      </c>
      <c r="B221" s="19" t="inlineStr">
        <is>
          <t>IA-PPWR-STM-ST-090-STD-02-R00</t>
        </is>
      </c>
      <c r="C221" s="19" t="inlineStr">
        <is>
          <t>1</t>
        </is>
      </c>
      <c r="D221" s="19" t="inlineStr">
        <is>
          <t>1</t>
        </is>
      </c>
      <c r="E221" s="19" t="inlineStr">
        <is>
          <t>2</t>
        </is>
      </c>
      <c r="F221" t="n">
        <v>2026</v>
      </c>
      <c r="H221" t="inlineStr">
        <is>
          <t>2026-08-08</t>
        </is>
      </c>
      <c r="I221" t="inlineStr">
        <is>
          <t>2026-08-08</t>
        </is>
      </c>
      <c r="J221" s="19" t="inlineStr">
        <is>
          <t>2</t>
        </is>
      </c>
      <c r="L221" s="19" t="n"/>
      <c r="N221" t="inlineStr">
        <is>
          <t>Rev.00 Word shipment statement generated — see DOCUMENT_LIBRARY.FILE_URI</t>
        </is>
      </c>
    </row>
    <row r="222">
      <c r="A222" s="19" t="inlineStr">
        <is>
          <t>221</t>
        </is>
      </c>
      <c r="B222" s="19" t="inlineStr">
        <is>
          <t>IA-PPWR-STM-ST-096-EUR-01-R00</t>
        </is>
      </c>
      <c r="C222" s="19" t="inlineStr">
        <is>
          <t>1</t>
        </is>
      </c>
      <c r="D222" s="19" t="inlineStr">
        <is>
          <t>1</t>
        </is>
      </c>
      <c r="E222" s="19" t="inlineStr">
        <is>
          <t>2</t>
        </is>
      </c>
      <c r="F222" t="n">
        <v>2026</v>
      </c>
      <c r="H222" t="inlineStr">
        <is>
          <t>2026-08-08</t>
        </is>
      </c>
      <c r="I222" t="inlineStr">
        <is>
          <t>2026-08-08</t>
        </is>
      </c>
      <c r="J222" s="19" t="inlineStr">
        <is>
          <t>2</t>
        </is>
      </c>
      <c r="L222" s="19" t="n"/>
      <c r="N222" t="inlineStr">
        <is>
          <t>Rev.00 Word shipment statement generated — see DOCUMENT_LIBRARY.FILE_URI</t>
        </is>
      </c>
    </row>
    <row r="223">
      <c r="A223" s="19" t="inlineStr">
        <is>
          <t>222</t>
        </is>
      </c>
      <c r="B223" s="19" t="inlineStr">
        <is>
          <t>IA-PPWR-STM-ST-096-EUR-02-R00</t>
        </is>
      </c>
      <c r="C223" s="19" t="inlineStr">
        <is>
          <t>1</t>
        </is>
      </c>
      <c r="D223" s="19" t="inlineStr">
        <is>
          <t>1</t>
        </is>
      </c>
      <c r="E223" s="19" t="inlineStr">
        <is>
          <t>2</t>
        </is>
      </c>
      <c r="F223" t="n">
        <v>2026</v>
      </c>
      <c r="H223" t="inlineStr">
        <is>
          <t>2026-08-08</t>
        </is>
      </c>
      <c r="I223" t="inlineStr">
        <is>
          <t>2026-08-08</t>
        </is>
      </c>
      <c r="J223" s="19" t="inlineStr">
        <is>
          <t>2</t>
        </is>
      </c>
      <c r="L223" s="19" t="n"/>
      <c r="N223" t="inlineStr">
        <is>
          <t>Rev.00 Word shipment statement generated — see DOCUMENT_LIBRARY.FILE_URI</t>
        </is>
      </c>
    </row>
    <row r="224">
      <c r="A224" s="19" t="inlineStr">
        <is>
          <t>223</t>
        </is>
      </c>
      <c r="B224" s="19" t="inlineStr">
        <is>
          <t>IA-PPWR-STM-ST-096-EUR-03-R00</t>
        </is>
      </c>
      <c r="C224" s="19" t="inlineStr">
        <is>
          <t>1</t>
        </is>
      </c>
      <c r="D224" s="19" t="inlineStr">
        <is>
          <t>1</t>
        </is>
      </c>
      <c r="E224" s="19" t="inlineStr">
        <is>
          <t>2</t>
        </is>
      </c>
      <c r="F224" t="n">
        <v>2026</v>
      </c>
      <c r="H224" t="inlineStr">
        <is>
          <t>2026-08-08</t>
        </is>
      </c>
      <c r="I224" t="inlineStr">
        <is>
          <t>2026-08-08</t>
        </is>
      </c>
      <c r="J224" s="19" t="inlineStr">
        <is>
          <t>2</t>
        </is>
      </c>
      <c r="L224" s="19" t="n"/>
      <c r="N224" t="inlineStr">
        <is>
          <t>Rev.00 Word shipment statement generated — see DOCUMENT_LIBRARY.FILE_URI</t>
        </is>
      </c>
    </row>
    <row r="225">
      <c r="A225" s="19" t="inlineStr">
        <is>
          <t>224</t>
        </is>
      </c>
      <c r="B225" s="19" t="inlineStr">
        <is>
          <t>IA-PPWR-STM-ST-096-EUR-04-R00</t>
        </is>
      </c>
      <c r="C225" s="19" t="inlineStr">
        <is>
          <t>1</t>
        </is>
      </c>
      <c r="D225" s="19" t="inlineStr">
        <is>
          <t>1</t>
        </is>
      </c>
      <c r="E225" s="19" t="inlineStr">
        <is>
          <t>2</t>
        </is>
      </c>
      <c r="F225" t="n">
        <v>2026</v>
      </c>
      <c r="H225" t="inlineStr">
        <is>
          <t>2026-08-08</t>
        </is>
      </c>
      <c r="I225" t="inlineStr">
        <is>
          <t>2026-08-08</t>
        </is>
      </c>
      <c r="J225" s="19" t="inlineStr">
        <is>
          <t>2</t>
        </is>
      </c>
      <c r="L225" s="19" t="n"/>
      <c r="N225" t="inlineStr">
        <is>
          <t>Rev.00 Word shipment statement generated — see DOCUMENT_LIBRARY.FILE_URI</t>
        </is>
      </c>
    </row>
    <row r="226">
      <c r="A226" s="19" t="inlineStr">
        <is>
          <t>225</t>
        </is>
      </c>
      <c r="B226" s="19" t="inlineStr">
        <is>
          <t>IA-PPWR-STM-ST-096-EUR-05-R00</t>
        </is>
      </c>
      <c r="C226" s="19" t="inlineStr">
        <is>
          <t>1</t>
        </is>
      </c>
      <c r="D226" s="19" t="inlineStr">
        <is>
          <t>1</t>
        </is>
      </c>
      <c r="E226" s="19" t="inlineStr">
        <is>
          <t>2</t>
        </is>
      </c>
      <c r="F226" t="n">
        <v>2026</v>
      </c>
      <c r="H226" t="inlineStr">
        <is>
          <t>2026-08-08</t>
        </is>
      </c>
      <c r="I226" t="inlineStr">
        <is>
          <t>2026-08-08</t>
        </is>
      </c>
      <c r="J226" s="19" t="inlineStr">
        <is>
          <t>2</t>
        </is>
      </c>
      <c r="L226" s="19" t="n"/>
      <c r="N226" t="inlineStr">
        <is>
          <t>Rev.00 Word shipment statement generated — see DOCUMENT_LIBRARY.FILE_URI</t>
        </is>
      </c>
    </row>
    <row r="227">
      <c r="A227" s="19" t="inlineStr">
        <is>
          <t>226</t>
        </is>
      </c>
      <c r="B227" s="19" t="inlineStr">
        <is>
          <t>IA-PPWR-STM-ST-096-EUR-06-R00</t>
        </is>
      </c>
      <c r="C227" s="19" t="inlineStr">
        <is>
          <t>1</t>
        </is>
      </c>
      <c r="D227" s="19" t="inlineStr">
        <is>
          <t>1</t>
        </is>
      </c>
      <c r="E227" s="19" t="inlineStr">
        <is>
          <t>2</t>
        </is>
      </c>
      <c r="F227" t="n">
        <v>2026</v>
      </c>
      <c r="H227" t="inlineStr">
        <is>
          <t>2026-08-08</t>
        </is>
      </c>
      <c r="I227" t="inlineStr">
        <is>
          <t>2026-08-08</t>
        </is>
      </c>
      <c r="J227" s="19" t="inlineStr">
        <is>
          <t>2</t>
        </is>
      </c>
      <c r="L227" s="19" t="n"/>
      <c r="N227" t="inlineStr">
        <is>
          <t>Rev.00 Word shipment statement generated — see DOCUMENT_LIBRARY.FILE_URI</t>
        </is>
      </c>
    </row>
    <row r="228">
      <c r="A228" s="19" t="inlineStr">
        <is>
          <t>227</t>
        </is>
      </c>
      <c r="B228" s="19" t="inlineStr">
        <is>
          <t>IA-PPWR-STM-ST-096-EUR-07-R00</t>
        </is>
      </c>
      <c r="C228" s="19" t="inlineStr">
        <is>
          <t>1</t>
        </is>
      </c>
      <c r="D228" s="19" t="inlineStr">
        <is>
          <t>1</t>
        </is>
      </c>
      <c r="E228" s="19" t="inlineStr">
        <is>
          <t>2</t>
        </is>
      </c>
      <c r="F228" t="n">
        <v>2026</v>
      </c>
      <c r="H228" t="inlineStr">
        <is>
          <t>2026-08-08</t>
        </is>
      </c>
      <c r="I228" t="inlineStr">
        <is>
          <t>2026-08-08</t>
        </is>
      </c>
      <c r="J228" s="19" t="inlineStr">
        <is>
          <t>2</t>
        </is>
      </c>
      <c r="L228" s="19" t="n"/>
      <c r="N228" t="inlineStr">
        <is>
          <t>Rev.00 Word shipment statement generated — see DOCUMENT_LIBRARY.FILE_URI</t>
        </is>
      </c>
    </row>
    <row r="229">
      <c r="A229" s="19" t="inlineStr">
        <is>
          <t>228</t>
        </is>
      </c>
      <c r="B229" s="19" t="inlineStr">
        <is>
          <t>IA-PPWR-STM-ST-096-EUR-08-R00</t>
        </is>
      </c>
      <c r="C229" s="19" t="inlineStr">
        <is>
          <t>1</t>
        </is>
      </c>
      <c r="D229" s="19" t="inlineStr">
        <is>
          <t>1</t>
        </is>
      </c>
      <c r="E229" s="19" t="inlineStr">
        <is>
          <t>2</t>
        </is>
      </c>
      <c r="F229" t="n">
        <v>2026</v>
      </c>
      <c r="H229" t="inlineStr">
        <is>
          <t>2026-08-08</t>
        </is>
      </c>
      <c r="I229" t="inlineStr">
        <is>
          <t>2026-08-08</t>
        </is>
      </c>
      <c r="J229" s="19" t="inlineStr">
        <is>
          <t>2</t>
        </is>
      </c>
      <c r="L229" s="19" t="n"/>
      <c r="N229" t="inlineStr">
        <is>
          <t>Rev.00 Word shipment statement generated — see DOCUMENT_LIBRARY.FILE_URI</t>
        </is>
      </c>
    </row>
    <row r="230">
      <c r="A230" s="19" t="inlineStr">
        <is>
          <t>229</t>
        </is>
      </c>
      <c r="B230" s="19" t="inlineStr">
        <is>
          <t>IA-PPWR-STM-ST-096-EUR-09-R00</t>
        </is>
      </c>
      <c r="C230" s="19" t="inlineStr">
        <is>
          <t>1</t>
        </is>
      </c>
      <c r="D230" s="19" t="inlineStr">
        <is>
          <t>1</t>
        </is>
      </c>
      <c r="E230" s="19" t="inlineStr">
        <is>
          <t>2</t>
        </is>
      </c>
      <c r="F230" t="n">
        <v>2026</v>
      </c>
      <c r="H230" t="inlineStr">
        <is>
          <t>2026-08-08</t>
        </is>
      </c>
      <c r="I230" t="inlineStr">
        <is>
          <t>2026-08-08</t>
        </is>
      </c>
      <c r="J230" s="19" t="inlineStr">
        <is>
          <t>2</t>
        </is>
      </c>
      <c r="L230" s="19" t="n"/>
      <c r="N230" t="inlineStr">
        <is>
          <t>Rev.00 Word shipment statement generated — see DOCUMENT_LIBRARY.FILE_URI</t>
        </is>
      </c>
    </row>
    <row r="231">
      <c r="A231" s="19" t="inlineStr">
        <is>
          <t>230</t>
        </is>
      </c>
      <c r="B231" s="19" t="inlineStr">
        <is>
          <t>IA-PPWR-STM-ST-096-EUR-10-R00</t>
        </is>
      </c>
      <c r="C231" s="19" t="inlineStr">
        <is>
          <t>1</t>
        </is>
      </c>
      <c r="D231" s="19" t="inlineStr">
        <is>
          <t>1</t>
        </is>
      </c>
      <c r="E231" s="19" t="inlineStr">
        <is>
          <t>2</t>
        </is>
      </c>
      <c r="F231" t="n">
        <v>2026</v>
      </c>
      <c r="H231" t="inlineStr">
        <is>
          <t>2026-08-08</t>
        </is>
      </c>
      <c r="I231" t="inlineStr">
        <is>
          <t>2026-08-08</t>
        </is>
      </c>
      <c r="J231" s="19" t="inlineStr">
        <is>
          <t>2</t>
        </is>
      </c>
      <c r="L231" s="19" t="n"/>
      <c r="N231" t="inlineStr">
        <is>
          <t>Rev.00 Word shipment statement generated — see DOCUMENT_LIBRARY.FILE_URI</t>
        </is>
      </c>
    </row>
    <row r="232">
      <c r="A232" s="19" t="inlineStr">
        <is>
          <t>231</t>
        </is>
      </c>
      <c r="B232" s="19" t="inlineStr">
        <is>
          <t>IA-PPWR-STM-ST-096-STD-01-R00</t>
        </is>
      </c>
      <c r="C232" s="19" t="inlineStr">
        <is>
          <t>1</t>
        </is>
      </c>
      <c r="D232" s="19" t="inlineStr">
        <is>
          <t>1</t>
        </is>
      </c>
      <c r="E232" s="19" t="inlineStr">
        <is>
          <t>2</t>
        </is>
      </c>
      <c r="F232" t="n">
        <v>2026</v>
      </c>
      <c r="H232" t="inlineStr">
        <is>
          <t>2026-08-08</t>
        </is>
      </c>
      <c r="I232" t="inlineStr">
        <is>
          <t>2026-08-08</t>
        </is>
      </c>
      <c r="J232" s="19" t="inlineStr">
        <is>
          <t>2</t>
        </is>
      </c>
      <c r="L232" s="19" t="n"/>
      <c r="N232" t="inlineStr">
        <is>
          <t>Rev.00 Word shipment statement generated — see DOCUMENT_LIBRARY.FILE_URI</t>
        </is>
      </c>
    </row>
    <row r="233">
      <c r="A233" s="19" t="inlineStr">
        <is>
          <t>232</t>
        </is>
      </c>
      <c r="B233" s="19" t="inlineStr">
        <is>
          <t>IA-PPWR-STM-ST-096-STD-02-R00</t>
        </is>
      </c>
      <c r="C233" s="19" t="inlineStr">
        <is>
          <t>1</t>
        </is>
      </c>
      <c r="D233" s="19" t="inlineStr">
        <is>
          <t>1</t>
        </is>
      </c>
      <c r="E233" s="19" t="inlineStr">
        <is>
          <t>2</t>
        </is>
      </c>
      <c r="F233" t="n">
        <v>2026</v>
      </c>
      <c r="H233" t="inlineStr">
        <is>
          <t>2026-08-08</t>
        </is>
      </c>
      <c r="I233" t="inlineStr">
        <is>
          <t>2026-08-08</t>
        </is>
      </c>
      <c r="J233" s="19" t="inlineStr">
        <is>
          <t>2</t>
        </is>
      </c>
      <c r="L233" s="19" t="n"/>
      <c r="N233" t="inlineStr">
        <is>
          <t>Rev.00 Word shipment statement generated — see DOCUMENT_LIBRARY.FILE_URI</t>
        </is>
      </c>
    </row>
    <row r="234">
      <c r="A234" s="19" t="inlineStr">
        <is>
          <t>233</t>
        </is>
      </c>
      <c r="B234" s="19" t="inlineStr">
        <is>
          <t>IA-PPWR-STM-ST-096-STD-03-R00</t>
        </is>
      </c>
      <c r="C234" s="19" t="inlineStr">
        <is>
          <t>1</t>
        </is>
      </c>
      <c r="D234" s="19" t="inlineStr">
        <is>
          <t>1</t>
        </is>
      </c>
      <c r="E234" s="19" t="inlineStr">
        <is>
          <t>2</t>
        </is>
      </c>
      <c r="F234" t="n">
        <v>2026</v>
      </c>
      <c r="H234" t="inlineStr">
        <is>
          <t>2026-08-08</t>
        </is>
      </c>
      <c r="I234" t="inlineStr">
        <is>
          <t>2026-08-08</t>
        </is>
      </c>
      <c r="J234" s="19" t="inlineStr">
        <is>
          <t>2</t>
        </is>
      </c>
      <c r="L234" s="19" t="n"/>
      <c r="N234" t="inlineStr">
        <is>
          <t>Rev.00 Word shipment statement generated — see DOCUMENT_LIBRARY.FILE_URI</t>
        </is>
      </c>
    </row>
    <row r="235">
      <c r="A235" s="19" t="inlineStr">
        <is>
          <t>234</t>
        </is>
      </c>
      <c r="B235" s="19" t="inlineStr">
        <is>
          <t>IA-PPWR-STM-ST-096-STD-04-R00</t>
        </is>
      </c>
      <c r="C235" s="19" t="inlineStr">
        <is>
          <t>1</t>
        </is>
      </c>
      <c r="D235" s="19" t="inlineStr">
        <is>
          <t>1</t>
        </is>
      </c>
      <c r="E235" s="19" t="inlineStr">
        <is>
          <t>2</t>
        </is>
      </c>
      <c r="F235" t="n">
        <v>2026</v>
      </c>
      <c r="H235" t="inlineStr">
        <is>
          <t>2026-08-08</t>
        </is>
      </c>
      <c r="I235" t="inlineStr">
        <is>
          <t>2026-08-08</t>
        </is>
      </c>
      <c r="J235" s="19" t="inlineStr">
        <is>
          <t>2</t>
        </is>
      </c>
      <c r="L235" s="19" t="n"/>
      <c r="N235" t="inlineStr">
        <is>
          <t>Rev.00 Word shipment statement generated — see DOCUMENT_LIBRARY.FILE_URI</t>
        </is>
      </c>
    </row>
    <row r="236">
      <c r="A236" s="19" t="inlineStr">
        <is>
          <t>235</t>
        </is>
      </c>
      <c r="B236" s="19" t="inlineStr">
        <is>
          <t>IA-PPWR-STM-ST-096-STD-05-R00</t>
        </is>
      </c>
      <c r="C236" s="19" t="inlineStr">
        <is>
          <t>1</t>
        </is>
      </c>
      <c r="D236" s="19" t="inlineStr">
        <is>
          <t>1</t>
        </is>
      </c>
      <c r="E236" s="19" t="inlineStr">
        <is>
          <t>2</t>
        </is>
      </c>
      <c r="F236" t="n">
        <v>2026</v>
      </c>
      <c r="H236" t="inlineStr">
        <is>
          <t>2026-08-08</t>
        </is>
      </c>
      <c r="I236" t="inlineStr">
        <is>
          <t>2026-08-08</t>
        </is>
      </c>
      <c r="J236" s="19" t="inlineStr">
        <is>
          <t>2</t>
        </is>
      </c>
      <c r="L236" s="19" t="n"/>
      <c r="N236" t="inlineStr">
        <is>
          <t>Rev.00 Word shipment statement generated — see DOCUMENT_LIBRARY.FILE_URI</t>
        </is>
      </c>
    </row>
    <row r="237">
      <c r="A237" s="19" t="inlineStr">
        <is>
          <t>236</t>
        </is>
      </c>
      <c r="B237" s="19" t="inlineStr">
        <is>
          <t>IA-PPWR-STM-ST-105-STD-01-R00</t>
        </is>
      </c>
      <c r="C237" s="19" t="inlineStr">
        <is>
          <t>1</t>
        </is>
      </c>
      <c r="D237" s="19" t="inlineStr">
        <is>
          <t>1</t>
        </is>
      </c>
      <c r="E237" s="19" t="inlineStr">
        <is>
          <t>2</t>
        </is>
      </c>
      <c r="F237" t="n">
        <v>2026</v>
      </c>
      <c r="H237" t="inlineStr">
        <is>
          <t>2026-08-08</t>
        </is>
      </c>
      <c r="I237" t="inlineStr">
        <is>
          <t>2026-08-08</t>
        </is>
      </c>
      <c r="J237" s="19" t="inlineStr">
        <is>
          <t>2</t>
        </is>
      </c>
      <c r="L237" s="19" t="n"/>
      <c r="N237" t="inlineStr">
        <is>
          <t>Rev.00 Word shipment statement generated — see DOCUMENT_LIBRARY.FILE_URI</t>
        </is>
      </c>
    </row>
    <row r="238">
      <c r="A238" s="19" t="inlineStr">
        <is>
          <t>237</t>
        </is>
      </c>
      <c r="B238" s="19" t="inlineStr">
        <is>
          <t>IA-PPWR-STM-ST-105-STD-02-R00</t>
        </is>
      </c>
      <c r="C238" s="19" t="inlineStr">
        <is>
          <t>1</t>
        </is>
      </c>
      <c r="D238" s="19" t="inlineStr">
        <is>
          <t>1</t>
        </is>
      </c>
      <c r="E238" s="19" t="inlineStr">
        <is>
          <t>2</t>
        </is>
      </c>
      <c r="F238" t="n">
        <v>2026</v>
      </c>
      <c r="H238" t="inlineStr">
        <is>
          <t>2026-08-08</t>
        </is>
      </c>
      <c r="I238" t="inlineStr">
        <is>
          <t>2026-08-08</t>
        </is>
      </c>
      <c r="J238" s="19" t="inlineStr">
        <is>
          <t>2</t>
        </is>
      </c>
      <c r="L238" s="19" t="n"/>
      <c r="N238" t="inlineStr">
        <is>
          <t>Rev.00 Word shipment statement generated — see DOCUMENT_LIBRARY.FILE_URI</t>
        </is>
      </c>
    </row>
    <row r="239">
      <c r="A239" s="19" t="inlineStr">
        <is>
          <t>238</t>
        </is>
      </c>
      <c r="B239" s="19" t="inlineStr">
        <is>
          <t>IA-PPWR-STM-ST-120-STD-01-R00</t>
        </is>
      </c>
      <c r="C239" s="19" t="inlineStr">
        <is>
          <t>1</t>
        </is>
      </c>
      <c r="D239" s="19" t="inlineStr">
        <is>
          <t>1</t>
        </is>
      </c>
      <c r="E239" s="19" t="inlineStr">
        <is>
          <t>2</t>
        </is>
      </c>
      <c r="F239" t="n">
        <v>2026</v>
      </c>
      <c r="H239" t="inlineStr">
        <is>
          <t>2026-08-08</t>
        </is>
      </c>
      <c r="I239" t="inlineStr">
        <is>
          <t>2026-08-08</t>
        </is>
      </c>
      <c r="J239" s="19" t="inlineStr">
        <is>
          <t>2</t>
        </is>
      </c>
      <c r="L239" s="19" t="n"/>
      <c r="N239" t="inlineStr">
        <is>
          <t>Rev.00 Word shipment statement generated — see DOCUMENT_LIBRARY.FILE_URI</t>
        </is>
      </c>
    </row>
    <row r="240">
      <c r="A240" s="19" t="inlineStr">
        <is>
          <t>239</t>
        </is>
      </c>
      <c r="B240" s="19" t="inlineStr">
        <is>
          <t>IA-PPWR-STM-ST-120-STD-02-R00</t>
        </is>
      </c>
      <c r="C240" s="19" t="inlineStr">
        <is>
          <t>1</t>
        </is>
      </c>
      <c r="D240" s="19" t="inlineStr">
        <is>
          <t>1</t>
        </is>
      </c>
      <c r="E240" s="19" t="inlineStr">
        <is>
          <t>2</t>
        </is>
      </c>
      <c r="F240" t="n">
        <v>2026</v>
      </c>
      <c r="H240" t="inlineStr">
        <is>
          <t>2026-08-08</t>
        </is>
      </c>
      <c r="I240" t="inlineStr">
        <is>
          <t>2026-08-08</t>
        </is>
      </c>
      <c r="J240" s="19" t="inlineStr">
        <is>
          <t>2</t>
        </is>
      </c>
      <c r="L240" s="19" t="n"/>
      <c r="N240" t="inlineStr">
        <is>
          <t>Rev.00 Word shipment statement generated — see DOCUMENT_LIBRARY.FILE_URI</t>
        </is>
      </c>
    </row>
    <row r="241">
      <c r="A241" s="19" t="inlineStr">
        <is>
          <t>240</t>
        </is>
      </c>
      <c r="B241" s="19" t="inlineStr">
        <is>
          <t>IA-PPWR-STM-ST-120-STD-03-R00</t>
        </is>
      </c>
      <c r="C241" s="19" t="inlineStr">
        <is>
          <t>1</t>
        </is>
      </c>
      <c r="D241" s="19" t="inlineStr">
        <is>
          <t>1</t>
        </is>
      </c>
      <c r="E241" s="19" t="inlineStr">
        <is>
          <t>2</t>
        </is>
      </c>
      <c r="F241" t="n">
        <v>2026</v>
      </c>
      <c r="H241" t="inlineStr">
        <is>
          <t>2026-08-08</t>
        </is>
      </c>
      <c r="I241" t="inlineStr">
        <is>
          <t>2026-08-08</t>
        </is>
      </c>
      <c r="J241" s="19" t="inlineStr">
        <is>
          <t>2</t>
        </is>
      </c>
      <c r="L241" s="19" t="n"/>
      <c r="N241" t="inlineStr">
        <is>
          <t>Rev.00 Word shipment statement generated — see DOCUMENT_LIBRARY.FILE_URI</t>
        </is>
      </c>
    </row>
    <row r="242">
      <c r="A242" s="19" t="inlineStr">
        <is>
          <t>241</t>
        </is>
      </c>
      <c r="B242" s="19" t="inlineStr">
        <is>
          <t>IA-PPWR-STM-IND-24V-01-R00</t>
        </is>
      </c>
      <c r="C242" s="19" t="inlineStr">
        <is>
          <t>1</t>
        </is>
      </c>
      <c r="D242" s="19" t="inlineStr">
        <is>
          <t>1</t>
        </is>
      </c>
      <c r="E242" s="19" t="inlineStr">
        <is>
          <t>2</t>
        </is>
      </c>
      <c r="F242" t="n">
        <v>2026</v>
      </c>
      <c r="H242" t="inlineStr">
        <is>
          <t>2026-08-08</t>
        </is>
      </c>
      <c r="I242" t="inlineStr">
        <is>
          <t>2026-08-08</t>
        </is>
      </c>
      <c r="J242" s="19" t="inlineStr">
        <is>
          <t>2</t>
        </is>
      </c>
      <c r="L242" s="19" t="n"/>
      <c r="N242" t="inlineStr">
        <is>
          <t>Rev.00 Word shipment statement generated — see DOCUMENT_LIBRARY.FILE_URI</t>
        </is>
      </c>
    </row>
    <row r="243">
      <c r="A243" s="19" t="inlineStr">
        <is>
          <t>242</t>
        </is>
      </c>
      <c r="B243" s="19" t="inlineStr">
        <is>
          <t>IA-PPWR-STM-IND-48V-01-R00</t>
        </is>
      </c>
      <c r="C243" s="19" t="inlineStr">
        <is>
          <t>1</t>
        </is>
      </c>
      <c r="D243" s="19" t="inlineStr">
        <is>
          <t>1</t>
        </is>
      </c>
      <c r="E243" s="19" t="inlineStr">
        <is>
          <t>2</t>
        </is>
      </c>
      <c r="F243" t="n">
        <v>2026</v>
      </c>
      <c r="H243" t="inlineStr">
        <is>
          <t>2026-08-08</t>
        </is>
      </c>
      <c r="I243" t="inlineStr">
        <is>
          <t>2026-08-08</t>
        </is>
      </c>
      <c r="J243" s="19" t="inlineStr">
        <is>
          <t>2</t>
        </is>
      </c>
      <c r="L243" s="19" t="n"/>
      <c r="N243" t="inlineStr">
        <is>
          <t>Rev.00 Word shipment statement generated — see DOCUMENT_LIBRARY.FILE_URI</t>
        </is>
      </c>
    </row>
    <row r="244">
      <c r="A244" s="19" t="inlineStr">
        <is>
          <t>243</t>
        </is>
      </c>
      <c r="B244" s="19" t="inlineStr">
        <is>
          <t>IA-PPWR-STM-IND-80V-01-R00</t>
        </is>
      </c>
      <c r="C244" s="19" t="inlineStr">
        <is>
          <t>1</t>
        </is>
      </c>
      <c r="D244" s="19" t="inlineStr">
        <is>
          <t>1</t>
        </is>
      </c>
      <c r="E244" s="19" t="inlineStr">
        <is>
          <t>2</t>
        </is>
      </c>
      <c r="F244" t="n">
        <v>2026</v>
      </c>
      <c r="H244" t="inlineStr">
        <is>
          <t>2026-08-08</t>
        </is>
      </c>
      <c r="I244" t="inlineStr">
        <is>
          <t>2026-08-08</t>
        </is>
      </c>
      <c r="J244" s="19" t="inlineStr">
        <is>
          <t>2</t>
        </is>
      </c>
      <c r="L244" s="19" t="n"/>
      <c r="N244" t="inlineStr">
        <is>
          <t>Rev.00 Word shipment statement generated — see DOCUMENT_LIBRARY.FILE_URI</t>
        </is>
      </c>
    </row>
    <row r="245">
      <c r="A245" s="19" t="inlineStr">
        <is>
          <t>244</t>
        </is>
      </c>
      <c r="B245" s="19" t="inlineStr">
        <is>
          <t>IA-PPWR-STM-CNT-20-STD-01-R00</t>
        </is>
      </c>
      <c r="C245" s="19" t="inlineStr">
        <is>
          <t>1</t>
        </is>
      </c>
      <c r="D245" s="19" t="inlineStr">
        <is>
          <t>1</t>
        </is>
      </c>
      <c r="E245" s="19" t="inlineStr">
        <is>
          <t>2</t>
        </is>
      </c>
      <c r="F245" t="n">
        <v>2026</v>
      </c>
      <c r="H245" t="inlineStr">
        <is>
          <t>2026-08-08</t>
        </is>
      </c>
      <c r="I245" t="inlineStr">
        <is>
          <t>2026-08-08</t>
        </is>
      </c>
      <c r="J245" s="19" t="inlineStr">
        <is>
          <t>2</t>
        </is>
      </c>
      <c r="L245" s="19" t="n"/>
      <c r="N245" t="inlineStr">
        <is>
          <t>Rev.00 Word shipment statement generated — see DOCUMENT_LIBRARY.FILE_URI</t>
        </is>
      </c>
    </row>
    <row r="246">
      <c r="A246" s="19" t="inlineStr">
        <is>
          <t>245</t>
        </is>
      </c>
      <c r="B246" s="19" t="inlineStr">
        <is>
          <t>IA-PPWR-STM-CNT-20-EUR-01-R00</t>
        </is>
      </c>
      <c r="C246" s="19" t="inlineStr">
        <is>
          <t>1</t>
        </is>
      </c>
      <c r="D246" s="19" t="inlineStr">
        <is>
          <t>1</t>
        </is>
      </c>
      <c r="E246" s="19" t="inlineStr">
        <is>
          <t>2</t>
        </is>
      </c>
      <c r="F246" t="n">
        <v>2026</v>
      </c>
      <c r="H246" t="inlineStr">
        <is>
          <t>2026-08-08</t>
        </is>
      </c>
      <c r="I246" t="inlineStr">
        <is>
          <t>2026-08-08</t>
        </is>
      </c>
      <c r="J246" s="19" t="inlineStr">
        <is>
          <t>2</t>
        </is>
      </c>
      <c r="L246" s="19" t="n"/>
      <c r="N246" t="inlineStr">
        <is>
          <t>Rev.00 Word shipment statement generated — see DOCUMENT_LIBRARY.FILE_URI</t>
        </is>
      </c>
    </row>
    <row r="247">
      <c r="A247" s="19" t="inlineStr">
        <is>
          <t>246</t>
        </is>
      </c>
      <c r="B247" s="19" t="inlineStr">
        <is>
          <t>IA-PPWR-STM-CNT-40-IND-01-R00</t>
        </is>
      </c>
      <c r="C247" s="19" t="inlineStr">
        <is>
          <t>1</t>
        </is>
      </c>
      <c r="D247" s="19" t="inlineStr">
        <is>
          <t>1</t>
        </is>
      </c>
      <c r="E247" s="19" t="inlineStr">
        <is>
          <t>2</t>
        </is>
      </c>
      <c r="F247" t="n">
        <v>2026</v>
      </c>
      <c r="H247" t="inlineStr">
        <is>
          <t>2026-08-08</t>
        </is>
      </c>
      <c r="I247" t="inlineStr">
        <is>
          <t>2026-08-08</t>
        </is>
      </c>
      <c r="J247" s="19" t="inlineStr">
        <is>
          <t>2</t>
        </is>
      </c>
      <c r="L247" s="19" t="n"/>
      <c r="N247" t="inlineStr">
        <is>
          <t>Rev.00 Word shipment statement generated — see DOCUMENT_LIBRARY.FILE_URI</t>
        </is>
      </c>
    </row>
    <row r="248">
      <c r="A248" s="19" t="inlineStr">
        <is>
          <t>247</t>
        </is>
      </c>
      <c r="B248" s="19" t="inlineStr">
        <is>
          <t>IA-PPWR-STM-CNT-DE-HAM-01-R00</t>
        </is>
      </c>
      <c r="C248" s="19" t="inlineStr">
        <is>
          <t>1</t>
        </is>
      </c>
      <c r="D248" s="19" t="inlineStr">
        <is>
          <t>1</t>
        </is>
      </c>
      <c r="E248" s="19" t="inlineStr">
        <is>
          <t>2</t>
        </is>
      </c>
      <c r="F248" t="n">
        <v>2026</v>
      </c>
      <c r="H248" t="inlineStr">
        <is>
          <t>2026-08-08</t>
        </is>
      </c>
      <c r="I248" t="inlineStr">
        <is>
          <t>2026-08-08</t>
        </is>
      </c>
      <c r="J248" s="19" t="inlineStr">
        <is>
          <t>2</t>
        </is>
      </c>
      <c r="L248" s="19" t="n"/>
      <c r="N248" t="inlineStr">
        <is>
          <t>Rev.00 Word shipment statement generated — see DOCUMENT_LIBRARY.FILE_URI</t>
        </is>
      </c>
    </row>
  </sheetData>
  <dataValidations count="4">
    <dataValidation sqref="C2:C5000" showDropDown="0" showInputMessage="0" showErrorMessage="1" allowBlank="1" errorTitle="Lookup FK" error="Value must exist in LKP_STATEMENT_TYPE" type="list">
      <formula1>NR_STATEMENT_TYPE_ID</formula1>
    </dataValidation>
    <dataValidation sqref="E2:E5000" showDropDown="0" showInputMessage="0" showErrorMessage="1" allowBlank="1" errorTitle="Lookup FK" error="Value must exist in LKP_COUNTRY" type="list">
      <formula1>NR_COUNTRY_ID</formula1>
    </dataValidation>
    <dataValidation sqref="H2:I5000" showDropDown="0" showInputMessage="0" showErrorMessage="1" allowBlank="1" errorTitle="Date" error="Enter a valid date (DD.MM.YYYY)" type="date" operator="greaterThan">
      <formula1>DATE(2000,1,1)</formula1>
    </dataValidation>
    <dataValidation sqref="J2:J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3"/>
    <col width="13" customWidth="1" min="4" max="4"/>
  </cols>
  <sheetData>
    <row r="1" ht="27.95" customHeight="1">
      <c r="A1" s="6" t="inlineStr">
        <is>
          <t>STATEMENT_SHIPMENT_ID</t>
        </is>
      </c>
      <c r="B1" s="6" t="inlineStr">
        <is>
          <t>STATEMENT_ID</t>
        </is>
      </c>
      <c r="C1" s="6" t="inlineStr">
        <is>
          <t>SHIPMENT_ID</t>
        </is>
      </c>
      <c r="D1" s="6" t="inlineStr">
        <is>
          <t>INCLUDED_AT</t>
        </is>
      </c>
    </row>
    <row r="2">
      <c r="A2" s="7" t="n"/>
      <c r="B2" s="12" t="n"/>
      <c r="C2" s="12" t="n"/>
      <c r="D2" s="15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3"/>
    <col width="20" customWidth="1" min="4" max="4"/>
    <col width="19" customWidth="1" min="5" max="5"/>
    <col width="17" customWidth="1" min="6" max="6"/>
    <col width="24" customWidth="1" min="7" max="7"/>
    <col width="23" customWidth="1" min="8" max="8"/>
    <col width="36" customWidth="1" min="9" max="9"/>
  </cols>
  <sheetData>
    <row r="1" ht="27.95" customHeight="1">
      <c r="A1" s="6" t="inlineStr">
        <is>
          <t>STATEMENT_LINE_ID</t>
        </is>
      </c>
      <c r="B1" s="6" t="inlineStr">
        <is>
          <t>STATEMENT_ID</t>
        </is>
      </c>
      <c r="C1" s="6" t="inlineStr">
        <is>
          <t>MATERIAL_ID</t>
        </is>
      </c>
      <c r="D1" s="6" t="inlineStr">
        <is>
          <t>PACKAGING_LEVEL_ID</t>
        </is>
      </c>
      <c r="E1" s="6" t="inlineStr">
        <is>
          <t>OWNERSHIP_TYPE_ID</t>
        </is>
      </c>
      <c r="F1" s="6" t="inlineStr">
        <is>
          <t>TOTAL_WEIGHT_KG</t>
        </is>
      </c>
      <c r="G1" s="6" t="inlineStr">
        <is>
          <t>RECYCLED_CONTENT_WEIGHT_KG</t>
        </is>
      </c>
      <c r="H1" s="6" t="inlineStr">
        <is>
          <t>SOURCE_SHIPMENT_COUNT</t>
        </is>
      </c>
      <c r="I1" s="6" t="inlineStr">
        <is>
          <t>NOTES</t>
        </is>
      </c>
    </row>
    <row r="2">
      <c r="A2" s="7" t="n"/>
      <c r="B2" s="12" t="n"/>
      <c r="C2" s="12" t="n"/>
      <c r="D2" s="12" t="n"/>
      <c r="E2" s="12" t="n"/>
      <c r="F2" s="13" t="n"/>
      <c r="G2" s="13" t="n"/>
      <c r="H2" s="11" t="n"/>
      <c r="I2" s="8" t="n"/>
    </row>
  </sheetData>
  <dataValidations count="3">
    <dataValidation sqref="C2:C5000" showDropDown="0" showInputMessage="0" showErrorMessage="1" allowBlank="1" errorTitle="Lookup FK" error="Value must exist in LKP_MATERIAL" type="list">
      <formula1>NR_MATERIAL_ID</formula1>
    </dataValidation>
    <dataValidation sqref="D2:D5000" showDropDown="0" showInputMessage="0" showErrorMessage="1" allowBlank="1" errorTitle="Lookup FK" error="Value must exist in LKP_PACKAGING_LEVEL" type="list">
      <formula1>NR_PACKAGING_LEVEL_ID</formula1>
    </dataValidation>
    <dataValidation sqref="E2:E5000" showDropDown="0" showInputMessage="0" showErrorMessage="1" allowBlank="1" errorTitle="Lookup FK" error="Value must exist in LKP_OWNERSHIP_TYPE" type="list">
      <formula1>NR_OWNERSHIP_TYPE_ID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9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8" customWidth="1" min="4" max="4"/>
    <col width="12" customWidth="1" min="5" max="7"/>
    <col width="14" customWidth="1" min="8" max="8"/>
    <col width="36" customWidth="1" min="9" max="9"/>
    <col width="12" customWidth="1" min="10" max="11"/>
  </cols>
  <sheetData>
    <row r="1" ht="27.95" customHeight="1">
      <c r="A1" s="6" t="inlineStr">
        <is>
          <t>DOCUMENT_ID</t>
        </is>
      </c>
      <c r="B1" s="6" t="inlineStr">
        <is>
          <t>DOCUMENT_CODE</t>
        </is>
      </c>
      <c r="C1" s="6" t="inlineStr">
        <is>
          <t>DOCUMENT_TITLE</t>
        </is>
      </c>
      <c r="D1" s="6" t="inlineStr">
        <is>
          <t>DOCUMENT_TYPE_ID</t>
        </is>
      </c>
      <c r="E1" s="6" t="inlineStr">
        <is>
          <t>FILE_URI</t>
        </is>
      </c>
      <c r="F1" s="6" t="inlineStr">
        <is>
          <t>FILE_HASH</t>
        </is>
      </c>
      <c r="G1" s="6" t="inlineStr">
        <is>
          <t>ISSUE_DATE</t>
        </is>
      </c>
      <c r="H1" s="6" t="inlineStr">
        <is>
          <t>STATUS_ID</t>
        </is>
      </c>
      <c r="I1" s="6" t="inlineStr">
        <is>
          <t>NOTES</t>
        </is>
      </c>
      <c r="J1" s="6" t="inlineStr">
        <is>
          <t>CREATED_AT</t>
        </is>
      </c>
      <c r="K1" s="6" t="inlineStr">
        <is>
          <t>UPDATED_AT</t>
        </is>
      </c>
    </row>
    <row r="2">
      <c r="A2" s="19" t="inlineStr">
        <is>
          <t>1</t>
        </is>
      </c>
      <c r="B2" s="19" t="inlineStr">
        <is>
          <t>IA-PPWR-TF-ST-012-EUR-01-R00</t>
        </is>
      </c>
      <c r="C2" t="inlineStr">
        <is>
          <t>IA-PPWR-TF-ST-012-EUR-01-R00</t>
        </is>
      </c>
      <c r="D2" s="19" t="inlineStr">
        <is>
          <t>1</t>
        </is>
      </c>
      <c r="E2" t="inlineStr">
        <is>
          <t>01_STARTER/ST-012-EUR-01/01_Technical_File.docx</t>
        </is>
      </c>
      <c r="F2" t="inlineStr">
        <is>
          <t>5b760a286035d4a8f5219ab13a702548475976ee65484ec8cb37cdecf10dcff5</t>
        </is>
      </c>
      <c r="G2" t="inlineStr">
        <is>
          <t>2026-08-08</t>
        </is>
      </c>
      <c r="H2" s="19" t="inlineStr">
        <is>
          <t>2</t>
        </is>
      </c>
      <c r="I2" t="inlineStr">
        <is>
          <t>Phase I generated Rev.00 Word file — linked; signatures not completed</t>
        </is>
      </c>
      <c r="J2" t="inlineStr">
        <is>
          <t>2026-08-10T19:29:54Z</t>
        </is>
      </c>
      <c r="K2" t="inlineStr">
        <is>
          <t>2026-08-10T19:49:40Z</t>
        </is>
      </c>
    </row>
    <row r="3">
      <c r="A3" s="19" t="inlineStr">
        <is>
          <t>2</t>
        </is>
      </c>
      <c r="B3" s="19" t="inlineStr">
        <is>
          <t>IA-PPWR-DOC-ST-012-EUR-01-R00</t>
        </is>
      </c>
      <c r="C3" t="inlineStr">
        <is>
          <t>IA-PPWR-DOC-ST-012-EUR-01-R00</t>
        </is>
      </c>
      <c r="D3" s="19" t="inlineStr">
        <is>
          <t>4</t>
        </is>
      </c>
      <c r="E3" t="inlineStr">
        <is>
          <t>01_STARTER/ST-012-EUR-01/02_EU_DoC.docx</t>
        </is>
      </c>
      <c r="F3" t="inlineStr">
        <is>
          <t>58927d6c2cbd207e2dd4fe5859d41e005241f3acbd14123f3eeeda40dee575ed</t>
        </is>
      </c>
      <c r="G3" t="inlineStr">
        <is>
          <t>2026-08-08</t>
        </is>
      </c>
      <c r="H3" s="19" t="inlineStr">
        <is>
          <t>2</t>
        </is>
      </c>
      <c r="I3" t="inlineStr">
        <is>
          <t>Phase I generated Rev.00 Word file — linked; signatures not completed</t>
        </is>
      </c>
      <c r="J3" t="inlineStr">
        <is>
          <t>2026-08-10T19:29:54Z</t>
        </is>
      </c>
      <c r="K3" t="inlineStr">
        <is>
          <t>2026-08-10T19:49:40Z</t>
        </is>
      </c>
    </row>
    <row r="4">
      <c r="A4" s="19" t="inlineStr">
        <is>
          <t>3</t>
        </is>
      </c>
      <c r="B4" s="19" t="inlineStr">
        <is>
          <t>IA-PPWR-LBL-ST-012-EUR-01-R00</t>
        </is>
      </c>
      <c r="C4" t="inlineStr">
        <is>
          <t>IA-PPWR-LBL-ST-012-EUR-01-R00</t>
        </is>
      </c>
      <c r="D4" s="19" t="inlineStr">
        <is>
          <t>11</t>
        </is>
      </c>
      <c r="E4" t="inlineStr">
        <is>
          <t>01_STARTER/ST-012-EUR-01/03_Label.docx</t>
        </is>
      </c>
      <c r="F4" t="inlineStr">
        <is>
          <t>ea6ac6238892b16e0c45a44ecb645838c3e81a26b01d7bacd59da035c7d03c87</t>
        </is>
      </c>
      <c r="G4" t="inlineStr">
        <is>
          <t>2026-08-08</t>
        </is>
      </c>
      <c r="H4" s="19" t="inlineStr">
        <is>
          <t>2</t>
        </is>
      </c>
      <c r="I4" t="inlineStr">
        <is>
          <t>Phase I generated Rev.00 Word file — linked; signatures not completed</t>
        </is>
      </c>
      <c r="J4" t="inlineStr">
        <is>
          <t>2026-08-10T19:29:54Z</t>
        </is>
      </c>
      <c r="K4" t="inlineStr">
        <is>
          <t>2026-08-10T19:49:40Z</t>
        </is>
      </c>
    </row>
    <row r="5">
      <c r="A5" s="19" t="inlineStr">
        <is>
          <t>4</t>
        </is>
      </c>
      <c r="B5" s="19" t="inlineStr">
        <is>
          <t>IA-PPWR-STM-ST-012-EUR-01-R00</t>
        </is>
      </c>
      <c r="C5" t="inlineStr">
        <is>
          <t>IA-PPWR-STM-ST-012-EUR-01-R00</t>
        </is>
      </c>
      <c r="D5" s="19" t="inlineStr">
        <is>
          <t>12</t>
        </is>
      </c>
      <c r="E5" t="inlineStr">
        <is>
          <t>01_STARTER/ST-012-EUR-01/04_Shipment_Statement.docx</t>
        </is>
      </c>
      <c r="F5" t="inlineStr">
        <is>
          <t>94c22c42821d51514b9f568a3b23e5764e55a0855005d60ba1dab165e97e0d6e</t>
        </is>
      </c>
      <c r="G5" t="inlineStr">
        <is>
          <t>2026-08-08</t>
        </is>
      </c>
      <c r="H5" s="19" t="inlineStr">
        <is>
          <t>2</t>
        </is>
      </c>
      <c r="I5" t="inlineStr">
        <is>
          <t>Phase I generated Rev.00 Word file — linked; signatures not completed</t>
        </is>
      </c>
      <c r="J5" t="inlineStr">
        <is>
          <t>2026-08-10T19:29:54Z</t>
        </is>
      </c>
      <c r="K5" t="inlineStr">
        <is>
          <t>2026-08-10T19:49:40Z</t>
        </is>
      </c>
    </row>
    <row r="6">
      <c r="A6" s="19" t="inlineStr">
        <is>
          <t>5</t>
        </is>
      </c>
      <c r="B6" s="19" t="inlineStr">
        <is>
          <t>IA-PPWR-TF-ST-012-EUR-02-R00</t>
        </is>
      </c>
      <c r="C6" t="inlineStr">
        <is>
          <t>IA-PPWR-TF-ST-012-EUR-02-R00</t>
        </is>
      </c>
      <c r="D6" s="19" t="inlineStr">
        <is>
          <t>1</t>
        </is>
      </c>
      <c r="E6" t="inlineStr">
        <is>
          <t>01_STARTER/ST-012-EUR-02/01_Technical_File.docx</t>
        </is>
      </c>
      <c r="F6" t="inlineStr">
        <is>
          <t>275966f92f9003da94df5f26a4bbcc2dbd7da903cc4d2823bba58166bd15bd30</t>
        </is>
      </c>
      <c r="G6" t="inlineStr">
        <is>
          <t>2026-08-08</t>
        </is>
      </c>
      <c r="H6" s="19" t="inlineStr">
        <is>
          <t>2</t>
        </is>
      </c>
      <c r="I6" t="inlineStr">
        <is>
          <t>Phase I generated Rev.00 Word file — linked; signatures not completed</t>
        </is>
      </c>
      <c r="J6" t="inlineStr">
        <is>
          <t>2026-08-10T19:29:54Z</t>
        </is>
      </c>
      <c r="K6" t="inlineStr">
        <is>
          <t>2026-08-10T19:49:40Z</t>
        </is>
      </c>
    </row>
    <row r="7">
      <c r="A7" s="19" t="inlineStr">
        <is>
          <t>6</t>
        </is>
      </c>
      <c r="B7" s="19" t="inlineStr">
        <is>
          <t>IA-PPWR-DOC-ST-012-EUR-02-R00</t>
        </is>
      </c>
      <c r="C7" t="inlineStr">
        <is>
          <t>IA-PPWR-DOC-ST-012-EUR-02-R00</t>
        </is>
      </c>
      <c r="D7" s="19" t="inlineStr">
        <is>
          <t>4</t>
        </is>
      </c>
      <c r="E7" t="inlineStr">
        <is>
          <t>01_STARTER/ST-012-EUR-02/02_EU_DoC.docx</t>
        </is>
      </c>
      <c r="F7" t="inlineStr">
        <is>
          <t>595be39782beca3e681a590ca771e1d02951b35d98e4eefc13b91caae98ff32e</t>
        </is>
      </c>
      <c r="G7" t="inlineStr">
        <is>
          <t>2026-08-08</t>
        </is>
      </c>
      <c r="H7" s="19" t="inlineStr">
        <is>
          <t>2</t>
        </is>
      </c>
      <c r="I7" t="inlineStr">
        <is>
          <t>Phase I generated Rev.00 Word file — linked; signatures not completed</t>
        </is>
      </c>
      <c r="J7" t="inlineStr">
        <is>
          <t>2026-08-10T19:29:54Z</t>
        </is>
      </c>
      <c r="K7" t="inlineStr">
        <is>
          <t>2026-08-10T19:49:40Z</t>
        </is>
      </c>
    </row>
    <row r="8">
      <c r="A8" s="19" t="inlineStr">
        <is>
          <t>7</t>
        </is>
      </c>
      <c r="B8" s="19" t="inlineStr">
        <is>
          <t>IA-PPWR-LBL-ST-012-EUR-02-R00</t>
        </is>
      </c>
      <c r="C8" t="inlineStr">
        <is>
          <t>IA-PPWR-LBL-ST-012-EUR-02-R00</t>
        </is>
      </c>
      <c r="D8" s="19" t="inlineStr">
        <is>
          <t>11</t>
        </is>
      </c>
      <c r="E8" t="inlineStr">
        <is>
          <t>01_STARTER/ST-012-EUR-02/03_Label.docx</t>
        </is>
      </c>
      <c r="F8" t="inlineStr">
        <is>
          <t>1a5ed11515e99079dff4b658ebda18783dd4ce526bb691d8daae24ccf8a2a65e</t>
        </is>
      </c>
      <c r="G8" t="inlineStr">
        <is>
          <t>2026-08-08</t>
        </is>
      </c>
      <c r="H8" s="19" t="inlineStr">
        <is>
          <t>2</t>
        </is>
      </c>
      <c r="I8" t="inlineStr">
        <is>
          <t>Phase I generated Rev.00 Word file — linked; signatures not completed</t>
        </is>
      </c>
      <c r="J8" t="inlineStr">
        <is>
          <t>2026-08-10T19:29:54Z</t>
        </is>
      </c>
      <c r="K8" t="inlineStr">
        <is>
          <t>2026-08-10T19:49:40Z</t>
        </is>
      </c>
    </row>
    <row r="9">
      <c r="A9" s="19" t="inlineStr">
        <is>
          <t>8</t>
        </is>
      </c>
      <c r="B9" s="19" t="inlineStr">
        <is>
          <t>IA-PPWR-STM-ST-012-EUR-02-R00</t>
        </is>
      </c>
      <c r="C9" t="inlineStr">
        <is>
          <t>IA-PPWR-STM-ST-012-EUR-02-R00</t>
        </is>
      </c>
      <c r="D9" s="19" t="inlineStr">
        <is>
          <t>12</t>
        </is>
      </c>
      <c r="E9" t="inlineStr">
        <is>
          <t>01_STARTER/ST-012-EUR-02/04_Shipment_Statement.docx</t>
        </is>
      </c>
      <c r="F9" t="inlineStr">
        <is>
          <t>b86928bb98d325a5f004f48ddd4dfa655d14714b78aeff922866f7092733e2d1</t>
        </is>
      </c>
      <c r="G9" t="inlineStr">
        <is>
          <t>2026-08-08</t>
        </is>
      </c>
      <c r="H9" s="19" t="inlineStr">
        <is>
          <t>2</t>
        </is>
      </c>
      <c r="I9" t="inlineStr">
        <is>
          <t>Phase I generated Rev.00 Word file — linked; signatures not completed</t>
        </is>
      </c>
      <c r="J9" t="inlineStr">
        <is>
          <t>2026-08-10T19:29:54Z</t>
        </is>
      </c>
      <c r="K9" t="inlineStr">
        <is>
          <t>2026-08-10T19:49:40Z</t>
        </is>
      </c>
    </row>
    <row r="10">
      <c r="A10" s="19" t="inlineStr">
        <is>
          <t>9</t>
        </is>
      </c>
      <c r="B10" s="19" t="inlineStr">
        <is>
          <t>IA-PPWR-TF-ST-012-EUR-03-R00</t>
        </is>
      </c>
      <c r="C10" t="inlineStr">
        <is>
          <t>IA-PPWR-TF-ST-012-EUR-03-R00</t>
        </is>
      </c>
      <c r="D10" s="19" t="inlineStr">
        <is>
          <t>1</t>
        </is>
      </c>
      <c r="E10" t="inlineStr">
        <is>
          <t>01_STARTER/ST-012-EUR-03/01_Technical_File.docx</t>
        </is>
      </c>
      <c r="F10" t="inlineStr">
        <is>
          <t>a9ca8065397b75fcb4efde3eb4cc8153ea8b39962eb3d31d880b2e3205bfa8c3</t>
        </is>
      </c>
      <c r="G10" t="inlineStr">
        <is>
          <t>2026-08-08</t>
        </is>
      </c>
      <c r="H10" s="19" t="inlineStr">
        <is>
          <t>2</t>
        </is>
      </c>
      <c r="I10" t="inlineStr">
        <is>
          <t>Phase I generated Rev.00 Word file — linked; signatures not completed</t>
        </is>
      </c>
      <c r="J10" t="inlineStr">
        <is>
          <t>2026-08-10T19:29:54Z</t>
        </is>
      </c>
      <c r="K10" t="inlineStr">
        <is>
          <t>2026-08-10T19:49:40Z</t>
        </is>
      </c>
    </row>
    <row r="11">
      <c r="A11" s="19" t="inlineStr">
        <is>
          <t>10</t>
        </is>
      </c>
      <c r="B11" s="19" t="inlineStr">
        <is>
          <t>IA-PPWR-DOC-ST-012-EUR-03-R00</t>
        </is>
      </c>
      <c r="C11" t="inlineStr">
        <is>
          <t>IA-PPWR-DOC-ST-012-EUR-03-R00</t>
        </is>
      </c>
      <c r="D11" s="19" t="inlineStr">
        <is>
          <t>4</t>
        </is>
      </c>
      <c r="E11" t="inlineStr">
        <is>
          <t>01_STARTER/ST-012-EUR-03/02_EU_DoC.docx</t>
        </is>
      </c>
      <c r="F11" t="inlineStr">
        <is>
          <t>d7c3a77f20a064dce3df65951825f2626cd32011bb864c89026364505dba7a4f</t>
        </is>
      </c>
      <c r="G11" t="inlineStr">
        <is>
          <t>2026-08-08</t>
        </is>
      </c>
      <c r="H11" s="19" t="inlineStr">
        <is>
          <t>2</t>
        </is>
      </c>
      <c r="I11" t="inlineStr">
        <is>
          <t>Phase I generated Rev.00 Word file — linked; signatures not completed</t>
        </is>
      </c>
      <c r="J11" t="inlineStr">
        <is>
          <t>2026-08-10T19:29:54Z</t>
        </is>
      </c>
      <c r="K11" t="inlineStr">
        <is>
          <t>2026-08-10T19:49:40Z</t>
        </is>
      </c>
    </row>
    <row r="12">
      <c r="A12" s="19" t="inlineStr">
        <is>
          <t>11</t>
        </is>
      </c>
      <c r="B12" s="19" t="inlineStr">
        <is>
          <t>IA-PPWR-LBL-ST-012-EUR-03-R00</t>
        </is>
      </c>
      <c r="C12" t="inlineStr">
        <is>
          <t>IA-PPWR-LBL-ST-012-EUR-03-R00</t>
        </is>
      </c>
      <c r="D12" s="19" t="inlineStr">
        <is>
          <t>11</t>
        </is>
      </c>
      <c r="E12" t="inlineStr">
        <is>
          <t>01_STARTER/ST-012-EUR-03/03_Label.docx</t>
        </is>
      </c>
      <c r="F12" t="inlineStr">
        <is>
          <t>1e4373d6a43e76efde6a9f943c3c359b0a1b40a9d6a1d9461af375a2e8f3ed6d</t>
        </is>
      </c>
      <c r="G12" t="inlineStr">
        <is>
          <t>2026-08-08</t>
        </is>
      </c>
      <c r="H12" s="19" t="inlineStr">
        <is>
          <t>2</t>
        </is>
      </c>
      <c r="I12" t="inlineStr">
        <is>
          <t>Phase I generated Rev.00 Word file — linked; signatures not completed</t>
        </is>
      </c>
      <c r="J12" t="inlineStr">
        <is>
          <t>2026-08-10T19:29:54Z</t>
        </is>
      </c>
      <c r="K12" t="inlineStr">
        <is>
          <t>2026-08-10T19:49:40Z</t>
        </is>
      </c>
    </row>
    <row r="13">
      <c r="A13" s="19" t="inlineStr">
        <is>
          <t>12</t>
        </is>
      </c>
      <c r="B13" s="19" t="inlineStr">
        <is>
          <t>IA-PPWR-STM-ST-012-EUR-03-R00</t>
        </is>
      </c>
      <c r="C13" t="inlineStr">
        <is>
          <t>IA-PPWR-STM-ST-012-EUR-03-R00</t>
        </is>
      </c>
      <c r="D13" s="19" t="inlineStr">
        <is>
          <t>12</t>
        </is>
      </c>
      <c r="E13" t="inlineStr">
        <is>
          <t>01_STARTER/ST-012-EUR-03/04_Shipment_Statement.docx</t>
        </is>
      </c>
      <c r="F13" t="inlineStr">
        <is>
          <t>060323f74c474fba14fa984c9505163950645713d3b5b1027aa811ba8b93da18</t>
        </is>
      </c>
      <c r="G13" t="inlineStr">
        <is>
          <t>2026-08-08</t>
        </is>
      </c>
      <c r="H13" s="19" t="inlineStr">
        <is>
          <t>2</t>
        </is>
      </c>
      <c r="I13" t="inlineStr">
        <is>
          <t>Phase I generated Rev.00 Word file — linked; signatures not completed</t>
        </is>
      </c>
      <c r="J13" t="inlineStr">
        <is>
          <t>2026-08-10T19:29:54Z</t>
        </is>
      </c>
      <c r="K13" t="inlineStr">
        <is>
          <t>2026-08-10T19:49:40Z</t>
        </is>
      </c>
    </row>
    <row r="14">
      <c r="A14" s="19" t="inlineStr">
        <is>
          <t>13</t>
        </is>
      </c>
      <c r="B14" s="19" t="inlineStr">
        <is>
          <t>IA-PPWR-TF-ST-018-EUR-01-R00</t>
        </is>
      </c>
      <c r="C14" t="inlineStr">
        <is>
          <t>IA-PPWR-TF-ST-018-EUR-01-R00</t>
        </is>
      </c>
      <c r="D14" s="19" t="inlineStr">
        <is>
          <t>1</t>
        </is>
      </c>
      <c r="E14" t="inlineStr">
        <is>
          <t>01_STARTER/ST-018-EUR-01/01_Technical_File.docx</t>
        </is>
      </c>
      <c r="F14" t="inlineStr">
        <is>
          <t>cf533efff09e61a16fb678715773c56b8680a3b2730704bc489b68e7930cadab</t>
        </is>
      </c>
      <c r="G14" t="inlineStr">
        <is>
          <t>2026-08-08</t>
        </is>
      </c>
      <c r="H14" s="19" t="inlineStr">
        <is>
          <t>2</t>
        </is>
      </c>
      <c r="I14" t="inlineStr">
        <is>
          <t>Phase I generated Rev.00 Word file — linked; signatures not completed</t>
        </is>
      </c>
      <c r="J14" t="inlineStr">
        <is>
          <t>2026-08-10T19:29:54Z</t>
        </is>
      </c>
      <c r="K14" t="inlineStr">
        <is>
          <t>2026-08-10T19:49:40Z</t>
        </is>
      </c>
    </row>
    <row r="15">
      <c r="A15" s="19" t="inlineStr">
        <is>
          <t>14</t>
        </is>
      </c>
      <c r="B15" s="19" t="inlineStr">
        <is>
          <t>IA-PPWR-DOC-ST-018-EUR-01-R00</t>
        </is>
      </c>
      <c r="C15" t="inlineStr">
        <is>
          <t>IA-PPWR-DOC-ST-018-EUR-01-R00</t>
        </is>
      </c>
      <c r="D15" s="19" t="inlineStr">
        <is>
          <t>4</t>
        </is>
      </c>
      <c r="E15" t="inlineStr">
        <is>
          <t>01_STARTER/ST-018-EUR-01/02_EU_DoC.docx</t>
        </is>
      </c>
      <c r="F15" t="inlineStr">
        <is>
          <t>0d92ccc222ea58399c8cbdc79a09c0ca1f31890e59fd515b596fee7c37405d45</t>
        </is>
      </c>
      <c r="G15" t="inlineStr">
        <is>
          <t>2026-08-08</t>
        </is>
      </c>
      <c r="H15" s="19" t="inlineStr">
        <is>
          <t>2</t>
        </is>
      </c>
      <c r="I15" t="inlineStr">
        <is>
          <t>Phase I generated Rev.00 Word file — linked; signatures not completed</t>
        </is>
      </c>
      <c r="J15" t="inlineStr">
        <is>
          <t>2026-08-10T19:29:54Z</t>
        </is>
      </c>
      <c r="K15" t="inlineStr">
        <is>
          <t>2026-08-10T19:49:40Z</t>
        </is>
      </c>
    </row>
    <row r="16">
      <c r="A16" s="19" t="inlineStr">
        <is>
          <t>15</t>
        </is>
      </c>
      <c r="B16" s="19" t="inlineStr">
        <is>
          <t>IA-PPWR-LBL-ST-018-EUR-01-R00</t>
        </is>
      </c>
      <c r="C16" t="inlineStr">
        <is>
          <t>IA-PPWR-LBL-ST-018-EUR-01-R00</t>
        </is>
      </c>
      <c r="D16" s="19" t="inlineStr">
        <is>
          <t>11</t>
        </is>
      </c>
      <c r="E16" t="inlineStr">
        <is>
          <t>01_STARTER/ST-018-EUR-01/03_Label.docx</t>
        </is>
      </c>
      <c r="F16" t="inlineStr">
        <is>
          <t>6a85d0f6818540771b815fb8a92824ddd98394f9146f2ba875eb0c089306687c</t>
        </is>
      </c>
      <c r="G16" t="inlineStr">
        <is>
          <t>2026-08-08</t>
        </is>
      </c>
      <c r="H16" s="19" t="inlineStr">
        <is>
          <t>2</t>
        </is>
      </c>
      <c r="I16" t="inlineStr">
        <is>
          <t>Phase I generated Rev.00 Word file — linked; signatures not completed</t>
        </is>
      </c>
      <c r="J16" t="inlineStr">
        <is>
          <t>2026-08-10T19:29:54Z</t>
        </is>
      </c>
      <c r="K16" t="inlineStr">
        <is>
          <t>2026-08-10T19:49:40Z</t>
        </is>
      </c>
    </row>
    <row r="17">
      <c r="A17" s="19" t="inlineStr">
        <is>
          <t>16</t>
        </is>
      </c>
      <c r="B17" s="19" t="inlineStr">
        <is>
          <t>IA-PPWR-STM-ST-018-EUR-01-R00</t>
        </is>
      </c>
      <c r="C17" t="inlineStr">
        <is>
          <t>IA-PPWR-STM-ST-018-EUR-01-R00</t>
        </is>
      </c>
      <c r="D17" s="19" t="inlineStr">
        <is>
          <t>12</t>
        </is>
      </c>
      <c r="E17" t="inlineStr">
        <is>
          <t>01_STARTER/ST-018-EUR-01/04_Shipment_Statement.docx</t>
        </is>
      </c>
      <c r="F17" t="inlineStr">
        <is>
          <t>e5d59fe4370c4433f5ed2aa7f01635f0aba0e2c73a3b678068bb21b0cd78e3f7</t>
        </is>
      </c>
      <c r="G17" t="inlineStr">
        <is>
          <t>2026-08-08</t>
        </is>
      </c>
      <c r="H17" s="19" t="inlineStr">
        <is>
          <t>2</t>
        </is>
      </c>
      <c r="I17" t="inlineStr">
        <is>
          <t>Phase I generated Rev.00 Word file — linked; signatures not completed</t>
        </is>
      </c>
      <c r="J17" t="inlineStr">
        <is>
          <t>2026-08-10T19:29:54Z</t>
        </is>
      </c>
      <c r="K17" t="inlineStr">
        <is>
          <t>2026-08-10T19:49:40Z</t>
        </is>
      </c>
    </row>
    <row r="18">
      <c r="A18" s="19" t="inlineStr">
        <is>
          <t>17</t>
        </is>
      </c>
      <c r="B18" s="19" t="inlineStr">
        <is>
          <t>IA-PPWR-TF-ST-018-EUR-02-R00</t>
        </is>
      </c>
      <c r="C18" t="inlineStr">
        <is>
          <t>IA-PPWR-TF-ST-018-EUR-02-R00</t>
        </is>
      </c>
      <c r="D18" s="19" t="inlineStr">
        <is>
          <t>1</t>
        </is>
      </c>
      <c r="E18" t="inlineStr">
        <is>
          <t>01_STARTER/ST-018-EUR-02/01_Technical_File.docx</t>
        </is>
      </c>
      <c r="F18" t="inlineStr">
        <is>
          <t>86a551255a0238802f304b67505760df87594e08e3e5839807fefd30f60f3df2</t>
        </is>
      </c>
      <c r="G18" t="inlineStr">
        <is>
          <t>2026-08-08</t>
        </is>
      </c>
      <c r="H18" s="19" t="inlineStr">
        <is>
          <t>2</t>
        </is>
      </c>
      <c r="I18" t="inlineStr">
        <is>
          <t>Phase I generated Rev.00 Word file — linked; signatures not completed</t>
        </is>
      </c>
      <c r="J18" t="inlineStr">
        <is>
          <t>2026-08-10T19:29:54Z</t>
        </is>
      </c>
      <c r="K18" t="inlineStr">
        <is>
          <t>2026-08-10T19:49:40Z</t>
        </is>
      </c>
    </row>
    <row r="19">
      <c r="A19" s="19" t="inlineStr">
        <is>
          <t>18</t>
        </is>
      </c>
      <c r="B19" s="19" t="inlineStr">
        <is>
          <t>IA-PPWR-DOC-ST-018-EUR-02-R00</t>
        </is>
      </c>
      <c r="C19" t="inlineStr">
        <is>
          <t>IA-PPWR-DOC-ST-018-EUR-02-R00</t>
        </is>
      </c>
      <c r="D19" s="19" t="inlineStr">
        <is>
          <t>4</t>
        </is>
      </c>
      <c r="E19" t="inlineStr">
        <is>
          <t>01_STARTER/ST-018-EUR-02/02_EU_DoC.docx</t>
        </is>
      </c>
      <c r="F19" t="inlineStr">
        <is>
          <t>531fb80916becf397e7b3805f79d2d1992c07f0fcb3167889692b328832a3f34</t>
        </is>
      </c>
      <c r="G19" t="inlineStr">
        <is>
          <t>2026-08-08</t>
        </is>
      </c>
      <c r="H19" s="19" t="inlineStr">
        <is>
          <t>2</t>
        </is>
      </c>
      <c r="I19" t="inlineStr">
        <is>
          <t>Phase I generated Rev.00 Word file — linked; signatures not completed</t>
        </is>
      </c>
      <c r="J19" t="inlineStr">
        <is>
          <t>2026-08-10T19:29:54Z</t>
        </is>
      </c>
      <c r="K19" t="inlineStr">
        <is>
          <t>2026-08-10T19:49:40Z</t>
        </is>
      </c>
    </row>
    <row r="20">
      <c r="A20" s="19" t="inlineStr">
        <is>
          <t>19</t>
        </is>
      </c>
      <c r="B20" s="19" t="inlineStr">
        <is>
          <t>IA-PPWR-LBL-ST-018-EUR-02-R00</t>
        </is>
      </c>
      <c r="C20" t="inlineStr">
        <is>
          <t>IA-PPWR-LBL-ST-018-EUR-02-R00</t>
        </is>
      </c>
      <c r="D20" s="19" t="inlineStr">
        <is>
          <t>11</t>
        </is>
      </c>
      <c r="E20" t="inlineStr">
        <is>
          <t>01_STARTER/ST-018-EUR-02/03_Label.docx</t>
        </is>
      </c>
      <c r="F20" t="inlineStr">
        <is>
          <t>21b2f62cb342409166838347afb39eb4f56399ef79d2a1c81bb2cfcd9c6786db</t>
        </is>
      </c>
      <c r="G20" t="inlineStr">
        <is>
          <t>2026-08-08</t>
        </is>
      </c>
      <c r="H20" s="19" t="inlineStr">
        <is>
          <t>2</t>
        </is>
      </c>
      <c r="I20" t="inlineStr">
        <is>
          <t>Phase I generated Rev.00 Word file — linked; signatures not completed</t>
        </is>
      </c>
      <c r="J20" t="inlineStr">
        <is>
          <t>2026-08-10T19:29:54Z</t>
        </is>
      </c>
      <c r="K20" t="inlineStr">
        <is>
          <t>2026-08-10T19:49:40Z</t>
        </is>
      </c>
    </row>
    <row r="21">
      <c r="A21" s="19" t="inlineStr">
        <is>
          <t>20</t>
        </is>
      </c>
      <c r="B21" s="19" t="inlineStr">
        <is>
          <t>IA-PPWR-STM-ST-018-EUR-02-R00</t>
        </is>
      </c>
      <c r="C21" t="inlineStr">
        <is>
          <t>IA-PPWR-STM-ST-018-EUR-02-R00</t>
        </is>
      </c>
      <c r="D21" s="19" t="inlineStr">
        <is>
          <t>12</t>
        </is>
      </c>
      <c r="E21" t="inlineStr">
        <is>
          <t>01_STARTER/ST-018-EUR-02/04_Shipment_Statement.docx</t>
        </is>
      </c>
      <c r="F21" t="inlineStr">
        <is>
          <t>f9ead16e8429c9df502ac882e14d83e9c4b461542a06e74cc5ffbb0f5b6a9f82</t>
        </is>
      </c>
      <c r="G21" t="inlineStr">
        <is>
          <t>2026-08-08</t>
        </is>
      </c>
      <c r="H21" s="19" t="inlineStr">
        <is>
          <t>2</t>
        </is>
      </c>
      <c r="I21" t="inlineStr">
        <is>
          <t>Phase I generated Rev.00 Word file — linked; signatures not completed</t>
        </is>
      </c>
      <c r="J21" t="inlineStr">
        <is>
          <t>2026-08-10T19:29:54Z</t>
        </is>
      </c>
      <c r="K21" t="inlineStr">
        <is>
          <t>2026-08-10T19:49:40Z</t>
        </is>
      </c>
    </row>
    <row r="22">
      <c r="A22" s="19" t="inlineStr">
        <is>
          <t>21</t>
        </is>
      </c>
      <c r="B22" s="19" t="inlineStr">
        <is>
          <t>IA-PPWR-TF-ST-018-EUR-03-R00</t>
        </is>
      </c>
      <c r="C22" t="inlineStr">
        <is>
          <t>IA-PPWR-TF-ST-018-EUR-03-R00</t>
        </is>
      </c>
      <c r="D22" s="19" t="inlineStr">
        <is>
          <t>1</t>
        </is>
      </c>
      <c r="E22" t="inlineStr">
        <is>
          <t>01_STARTER/ST-018-EUR-03/01_Technical_File.docx</t>
        </is>
      </c>
      <c r="F22" t="inlineStr">
        <is>
          <t>79afa05d56f19358f65079573374803328041dab57896a429ac2e7da4677cd4b</t>
        </is>
      </c>
      <c r="G22" t="inlineStr">
        <is>
          <t>2026-08-08</t>
        </is>
      </c>
      <c r="H22" s="19" t="inlineStr">
        <is>
          <t>2</t>
        </is>
      </c>
      <c r="I22" t="inlineStr">
        <is>
          <t>Phase I generated Rev.00 Word file — linked; signatures not completed</t>
        </is>
      </c>
      <c r="J22" t="inlineStr">
        <is>
          <t>2026-08-10T19:29:54Z</t>
        </is>
      </c>
      <c r="K22" t="inlineStr">
        <is>
          <t>2026-08-10T19:49:40Z</t>
        </is>
      </c>
    </row>
    <row r="23">
      <c r="A23" s="19" t="inlineStr">
        <is>
          <t>22</t>
        </is>
      </c>
      <c r="B23" s="19" t="inlineStr">
        <is>
          <t>IA-PPWR-DOC-ST-018-EUR-03-R00</t>
        </is>
      </c>
      <c r="C23" t="inlineStr">
        <is>
          <t>IA-PPWR-DOC-ST-018-EUR-03-R00</t>
        </is>
      </c>
      <c r="D23" s="19" t="inlineStr">
        <is>
          <t>4</t>
        </is>
      </c>
      <c r="E23" t="inlineStr">
        <is>
          <t>01_STARTER/ST-018-EUR-03/02_EU_DoC.docx</t>
        </is>
      </c>
      <c r="F23" t="inlineStr">
        <is>
          <t>f3321832ce7b2c01d2206f83ff67e941d75e9cae8bafb907268dc3ef450cd9f4</t>
        </is>
      </c>
      <c r="G23" t="inlineStr">
        <is>
          <t>2026-08-08</t>
        </is>
      </c>
      <c r="H23" s="19" t="inlineStr">
        <is>
          <t>2</t>
        </is>
      </c>
      <c r="I23" t="inlineStr">
        <is>
          <t>Phase I generated Rev.00 Word file — linked; signatures not completed</t>
        </is>
      </c>
      <c r="J23" t="inlineStr">
        <is>
          <t>2026-08-10T19:29:54Z</t>
        </is>
      </c>
      <c r="K23" t="inlineStr">
        <is>
          <t>2026-08-10T19:49:40Z</t>
        </is>
      </c>
    </row>
    <row r="24">
      <c r="A24" s="19" t="inlineStr">
        <is>
          <t>23</t>
        </is>
      </c>
      <c r="B24" s="19" t="inlineStr">
        <is>
          <t>IA-PPWR-LBL-ST-018-EUR-03-R00</t>
        </is>
      </c>
      <c r="C24" t="inlineStr">
        <is>
          <t>IA-PPWR-LBL-ST-018-EUR-03-R00</t>
        </is>
      </c>
      <c r="D24" s="19" t="inlineStr">
        <is>
          <t>11</t>
        </is>
      </c>
      <c r="E24" t="inlineStr">
        <is>
          <t>01_STARTER/ST-018-EUR-03/03_Label.docx</t>
        </is>
      </c>
      <c r="F24" t="inlineStr">
        <is>
          <t>3673a4d5e5d18858b20641cd008790bc247b14150a59a81bd039fb2f278cf19b</t>
        </is>
      </c>
      <c r="G24" t="inlineStr">
        <is>
          <t>2026-08-08</t>
        </is>
      </c>
      <c r="H24" s="19" t="inlineStr">
        <is>
          <t>2</t>
        </is>
      </c>
      <c r="I24" t="inlineStr">
        <is>
          <t>Phase I generated Rev.00 Word file — linked; signatures not completed</t>
        </is>
      </c>
      <c r="J24" t="inlineStr">
        <is>
          <t>2026-08-10T19:29:54Z</t>
        </is>
      </c>
      <c r="K24" t="inlineStr">
        <is>
          <t>2026-08-10T19:49:40Z</t>
        </is>
      </c>
    </row>
    <row r="25">
      <c r="A25" s="19" t="inlineStr">
        <is>
          <t>24</t>
        </is>
      </c>
      <c r="B25" s="19" t="inlineStr">
        <is>
          <t>IA-PPWR-STM-ST-018-EUR-03-R00</t>
        </is>
      </c>
      <c r="C25" t="inlineStr">
        <is>
          <t>IA-PPWR-STM-ST-018-EUR-03-R00</t>
        </is>
      </c>
      <c r="D25" s="19" t="inlineStr">
        <is>
          <t>12</t>
        </is>
      </c>
      <c r="E25" t="inlineStr">
        <is>
          <t>01_STARTER/ST-018-EUR-03/04_Shipment_Statement.docx</t>
        </is>
      </c>
      <c r="F25" t="inlineStr">
        <is>
          <t>c4563dd71a1cde29a34e4bbe49477d32ceae25456632153837637d866cb588db</t>
        </is>
      </c>
      <c r="G25" t="inlineStr">
        <is>
          <t>2026-08-08</t>
        </is>
      </c>
      <c r="H25" s="19" t="inlineStr">
        <is>
          <t>2</t>
        </is>
      </c>
      <c r="I25" t="inlineStr">
        <is>
          <t>Phase I generated Rev.00 Word file — linked; signatures not completed</t>
        </is>
      </c>
      <c r="J25" t="inlineStr">
        <is>
          <t>2026-08-10T19:29:54Z</t>
        </is>
      </c>
      <c r="K25" t="inlineStr">
        <is>
          <t>2026-08-10T19:49:40Z</t>
        </is>
      </c>
    </row>
    <row r="26">
      <c r="A26" s="19" t="inlineStr">
        <is>
          <t>25</t>
        </is>
      </c>
      <c r="B26" s="19" t="inlineStr">
        <is>
          <t>IA-PPWR-TF-ST-018-EUR-04-R00</t>
        </is>
      </c>
      <c r="C26" t="inlineStr">
        <is>
          <t>IA-PPWR-TF-ST-018-EUR-04-R00</t>
        </is>
      </c>
      <c r="D26" s="19" t="inlineStr">
        <is>
          <t>1</t>
        </is>
      </c>
      <c r="E26" t="inlineStr">
        <is>
          <t>01_STARTER/ST-018-EUR-04/01_Technical_File.docx</t>
        </is>
      </c>
      <c r="F26" t="inlineStr">
        <is>
          <t>20a1d124914caa216d285a3ec4f189272b474bca160d131aadcf115b102cbc90</t>
        </is>
      </c>
      <c r="G26" t="inlineStr">
        <is>
          <t>2026-08-08</t>
        </is>
      </c>
      <c r="H26" s="19" t="inlineStr">
        <is>
          <t>2</t>
        </is>
      </c>
      <c r="I26" t="inlineStr">
        <is>
          <t>Phase I generated Rev.00 Word file — linked; signatures not completed</t>
        </is>
      </c>
      <c r="J26" t="inlineStr">
        <is>
          <t>2026-08-10T19:29:54Z</t>
        </is>
      </c>
      <c r="K26" t="inlineStr">
        <is>
          <t>2026-08-10T19:49:40Z</t>
        </is>
      </c>
    </row>
    <row r="27">
      <c r="A27" s="19" t="inlineStr">
        <is>
          <t>26</t>
        </is>
      </c>
      <c r="B27" s="19" t="inlineStr">
        <is>
          <t>IA-PPWR-DOC-ST-018-EUR-04-R00</t>
        </is>
      </c>
      <c r="C27" t="inlineStr">
        <is>
          <t>IA-PPWR-DOC-ST-018-EUR-04-R00</t>
        </is>
      </c>
      <c r="D27" s="19" t="inlineStr">
        <is>
          <t>4</t>
        </is>
      </c>
      <c r="E27" t="inlineStr">
        <is>
          <t>01_STARTER/ST-018-EUR-04/02_EU_DoC.docx</t>
        </is>
      </c>
      <c r="F27" t="inlineStr">
        <is>
          <t>a033517b802393182e92001d619b17898123701f53628d7f2b819b495bc7ee8a</t>
        </is>
      </c>
      <c r="G27" t="inlineStr">
        <is>
          <t>2026-08-08</t>
        </is>
      </c>
      <c r="H27" s="19" t="inlineStr">
        <is>
          <t>2</t>
        </is>
      </c>
      <c r="I27" t="inlineStr">
        <is>
          <t>Phase I generated Rev.00 Word file — linked; signatures not completed</t>
        </is>
      </c>
      <c r="J27" t="inlineStr">
        <is>
          <t>2026-08-10T19:29:54Z</t>
        </is>
      </c>
      <c r="K27" t="inlineStr">
        <is>
          <t>2026-08-10T19:49:40Z</t>
        </is>
      </c>
    </row>
    <row r="28">
      <c r="A28" s="19" t="inlineStr">
        <is>
          <t>27</t>
        </is>
      </c>
      <c r="B28" s="19" t="inlineStr">
        <is>
          <t>IA-PPWR-LBL-ST-018-EUR-04-R00</t>
        </is>
      </c>
      <c r="C28" t="inlineStr">
        <is>
          <t>IA-PPWR-LBL-ST-018-EUR-04-R00</t>
        </is>
      </c>
      <c r="D28" s="19" t="inlineStr">
        <is>
          <t>11</t>
        </is>
      </c>
      <c r="E28" t="inlineStr">
        <is>
          <t>01_STARTER/ST-018-EUR-04/03_Label.docx</t>
        </is>
      </c>
      <c r="F28" t="inlineStr">
        <is>
          <t>def79fa6d0cb92676543986ae9082f9f64bbfc576f26f7a25cd7b9a9c18ea46a</t>
        </is>
      </c>
      <c r="G28" t="inlineStr">
        <is>
          <t>2026-08-08</t>
        </is>
      </c>
      <c r="H28" s="19" t="inlineStr">
        <is>
          <t>2</t>
        </is>
      </c>
      <c r="I28" t="inlineStr">
        <is>
          <t>Phase I generated Rev.00 Word file — linked; signatures not completed</t>
        </is>
      </c>
      <c r="J28" t="inlineStr">
        <is>
          <t>2026-08-10T19:29:54Z</t>
        </is>
      </c>
      <c r="K28" t="inlineStr">
        <is>
          <t>2026-08-10T19:49:40Z</t>
        </is>
      </c>
    </row>
    <row r="29">
      <c r="A29" s="19" t="inlineStr">
        <is>
          <t>28</t>
        </is>
      </c>
      <c r="B29" s="19" t="inlineStr">
        <is>
          <t>IA-PPWR-STM-ST-018-EUR-04-R00</t>
        </is>
      </c>
      <c r="C29" t="inlineStr">
        <is>
          <t>IA-PPWR-STM-ST-018-EUR-04-R00</t>
        </is>
      </c>
      <c r="D29" s="19" t="inlineStr">
        <is>
          <t>12</t>
        </is>
      </c>
      <c r="E29" t="inlineStr">
        <is>
          <t>01_STARTER/ST-018-EUR-04/04_Shipment_Statement.docx</t>
        </is>
      </c>
      <c r="F29" t="inlineStr">
        <is>
          <t>abb8313b28858204d7ae0dc9de4fa9be829cb03b7f05354c0836e858c0317ff8</t>
        </is>
      </c>
      <c r="G29" t="inlineStr">
        <is>
          <t>2026-08-08</t>
        </is>
      </c>
      <c r="H29" s="19" t="inlineStr">
        <is>
          <t>2</t>
        </is>
      </c>
      <c r="I29" t="inlineStr">
        <is>
          <t>Phase I generated Rev.00 Word file — linked; signatures not completed</t>
        </is>
      </c>
      <c r="J29" t="inlineStr">
        <is>
          <t>2026-08-10T19:29:54Z</t>
        </is>
      </c>
      <c r="K29" t="inlineStr">
        <is>
          <t>2026-08-10T19:49:40Z</t>
        </is>
      </c>
    </row>
    <row r="30">
      <c r="A30" s="19" t="inlineStr">
        <is>
          <t>29</t>
        </is>
      </c>
      <c r="B30" s="19" t="inlineStr">
        <is>
          <t>IA-PPWR-TF-ST-018-EUR-05-R00</t>
        </is>
      </c>
      <c r="C30" t="inlineStr">
        <is>
          <t>IA-PPWR-TF-ST-018-EUR-05-R00</t>
        </is>
      </c>
      <c r="D30" s="19" t="inlineStr">
        <is>
          <t>1</t>
        </is>
      </c>
      <c r="E30" t="inlineStr">
        <is>
          <t>01_STARTER/ST-018-EUR-05/01_Technical_File.docx</t>
        </is>
      </c>
      <c r="F30" t="inlineStr">
        <is>
          <t>ef187af5e4878b6211866db4dc8a3d6f4c3a2f71f58d8d1d450e9bd83d584f51</t>
        </is>
      </c>
      <c r="G30" t="inlineStr">
        <is>
          <t>2026-08-08</t>
        </is>
      </c>
      <c r="H30" s="19" t="inlineStr">
        <is>
          <t>2</t>
        </is>
      </c>
      <c r="I30" t="inlineStr">
        <is>
          <t>Phase I generated Rev.00 Word file — linked; signatures not completed</t>
        </is>
      </c>
      <c r="J30" t="inlineStr">
        <is>
          <t>2026-08-10T19:29:54Z</t>
        </is>
      </c>
      <c r="K30" t="inlineStr">
        <is>
          <t>2026-08-10T19:49:40Z</t>
        </is>
      </c>
    </row>
    <row r="31">
      <c r="A31" s="19" t="inlineStr">
        <is>
          <t>30</t>
        </is>
      </c>
      <c r="B31" s="19" t="inlineStr">
        <is>
          <t>IA-PPWR-DOC-ST-018-EUR-05-R00</t>
        </is>
      </c>
      <c r="C31" t="inlineStr">
        <is>
          <t>IA-PPWR-DOC-ST-018-EUR-05-R00</t>
        </is>
      </c>
      <c r="D31" s="19" t="inlineStr">
        <is>
          <t>4</t>
        </is>
      </c>
      <c r="E31" t="inlineStr">
        <is>
          <t>01_STARTER/ST-018-EUR-05/02_EU_DoC.docx</t>
        </is>
      </c>
      <c r="F31" t="inlineStr">
        <is>
          <t>38b17fb0ffdf57f8e42985e91cdec10109493c42598f6e2cfdc92724e98ec9fa</t>
        </is>
      </c>
      <c r="G31" t="inlineStr">
        <is>
          <t>2026-08-08</t>
        </is>
      </c>
      <c r="H31" s="19" t="inlineStr">
        <is>
          <t>2</t>
        </is>
      </c>
      <c r="I31" t="inlineStr">
        <is>
          <t>Phase I generated Rev.00 Word file — linked; signatures not completed</t>
        </is>
      </c>
      <c r="J31" t="inlineStr">
        <is>
          <t>2026-08-10T19:29:54Z</t>
        </is>
      </c>
      <c r="K31" t="inlineStr">
        <is>
          <t>2026-08-10T19:49:40Z</t>
        </is>
      </c>
    </row>
    <row r="32">
      <c r="A32" s="19" t="inlineStr">
        <is>
          <t>31</t>
        </is>
      </c>
      <c r="B32" s="19" t="inlineStr">
        <is>
          <t>IA-PPWR-LBL-ST-018-EUR-05-R00</t>
        </is>
      </c>
      <c r="C32" t="inlineStr">
        <is>
          <t>IA-PPWR-LBL-ST-018-EUR-05-R00</t>
        </is>
      </c>
      <c r="D32" s="19" t="inlineStr">
        <is>
          <t>11</t>
        </is>
      </c>
      <c r="E32" t="inlineStr">
        <is>
          <t>01_STARTER/ST-018-EUR-05/03_Label.docx</t>
        </is>
      </c>
      <c r="F32" t="inlineStr">
        <is>
          <t>4ca65edaa667dc96a7daebf1f06b2733135e2876be0acc5c5d64242fed340620</t>
        </is>
      </c>
      <c r="G32" t="inlineStr">
        <is>
          <t>2026-08-08</t>
        </is>
      </c>
      <c r="H32" s="19" t="inlineStr">
        <is>
          <t>2</t>
        </is>
      </c>
      <c r="I32" t="inlineStr">
        <is>
          <t>Phase I generated Rev.00 Word file — linked; signatures not completed</t>
        </is>
      </c>
      <c r="J32" t="inlineStr">
        <is>
          <t>2026-08-10T19:29:54Z</t>
        </is>
      </c>
      <c r="K32" t="inlineStr">
        <is>
          <t>2026-08-10T19:49:40Z</t>
        </is>
      </c>
    </row>
    <row r="33">
      <c r="A33" s="19" t="inlineStr">
        <is>
          <t>32</t>
        </is>
      </c>
      <c r="B33" s="19" t="inlineStr">
        <is>
          <t>IA-PPWR-STM-ST-018-EUR-05-R00</t>
        </is>
      </c>
      <c r="C33" t="inlineStr">
        <is>
          <t>IA-PPWR-STM-ST-018-EUR-05-R00</t>
        </is>
      </c>
      <c r="D33" s="19" t="inlineStr">
        <is>
          <t>12</t>
        </is>
      </c>
      <c r="E33" t="inlineStr">
        <is>
          <t>01_STARTER/ST-018-EUR-05/04_Shipment_Statement.docx</t>
        </is>
      </c>
      <c r="F33" t="inlineStr">
        <is>
          <t>1eaae8a4f449b59d1d1ab1cdbb88e750fade35ee17f108784567075ea75af32e</t>
        </is>
      </c>
      <c r="G33" t="inlineStr">
        <is>
          <t>2026-08-08</t>
        </is>
      </c>
      <c r="H33" s="19" t="inlineStr">
        <is>
          <t>2</t>
        </is>
      </c>
      <c r="I33" t="inlineStr">
        <is>
          <t>Phase I generated Rev.00 Word file — linked; signatures not completed</t>
        </is>
      </c>
      <c r="J33" t="inlineStr">
        <is>
          <t>2026-08-10T19:29:54Z</t>
        </is>
      </c>
      <c r="K33" t="inlineStr">
        <is>
          <t>2026-08-10T19:49:40Z</t>
        </is>
      </c>
    </row>
    <row r="34">
      <c r="A34" s="19" t="inlineStr">
        <is>
          <t>33</t>
        </is>
      </c>
      <c r="B34" s="19" t="inlineStr">
        <is>
          <t>IA-PPWR-TF-ST-021-EUR-01-R00</t>
        </is>
      </c>
      <c r="C34" t="inlineStr">
        <is>
          <t>IA-PPWR-TF-ST-021-EUR-01-R00</t>
        </is>
      </c>
      <c r="D34" s="19" t="inlineStr">
        <is>
          <t>1</t>
        </is>
      </c>
      <c r="E34" t="inlineStr">
        <is>
          <t>01_STARTER/ST-021-EUR-01/01_Technical_File.docx</t>
        </is>
      </c>
      <c r="F34" t="inlineStr">
        <is>
          <t>46a8944b0f4aa0ef3852b7d26c2d1dd5fd30a4a7b1d5e071496ab56a0732e3d0</t>
        </is>
      </c>
      <c r="G34" t="inlineStr">
        <is>
          <t>2026-08-08</t>
        </is>
      </c>
      <c r="H34" s="19" t="inlineStr">
        <is>
          <t>2</t>
        </is>
      </c>
      <c r="I34" t="inlineStr">
        <is>
          <t>Phase I generated Rev.00 Word file — linked; signatures not completed</t>
        </is>
      </c>
      <c r="J34" t="inlineStr">
        <is>
          <t>2026-08-10T19:29:54Z</t>
        </is>
      </c>
      <c r="K34" t="inlineStr">
        <is>
          <t>2026-08-10T19:49:40Z</t>
        </is>
      </c>
    </row>
    <row r="35">
      <c r="A35" s="19" t="inlineStr">
        <is>
          <t>34</t>
        </is>
      </c>
      <c r="B35" s="19" t="inlineStr">
        <is>
          <t>IA-PPWR-DOC-ST-021-EUR-01-R00</t>
        </is>
      </c>
      <c r="C35" t="inlineStr">
        <is>
          <t>IA-PPWR-DOC-ST-021-EUR-01-R00</t>
        </is>
      </c>
      <c r="D35" s="19" t="inlineStr">
        <is>
          <t>4</t>
        </is>
      </c>
      <c r="E35" t="inlineStr">
        <is>
          <t>01_STARTER/ST-021-EUR-01/02_EU_DoC.docx</t>
        </is>
      </c>
      <c r="F35" t="inlineStr">
        <is>
          <t>ba3913e8bfcc6f3e72b2fc3bad18e390fdb0f0c0dcd3fb8f189c5fb21b4a5455</t>
        </is>
      </c>
      <c r="G35" t="inlineStr">
        <is>
          <t>2026-08-08</t>
        </is>
      </c>
      <c r="H35" s="19" t="inlineStr">
        <is>
          <t>2</t>
        </is>
      </c>
      <c r="I35" t="inlineStr">
        <is>
          <t>Phase I generated Rev.00 Word file — linked; signatures not completed</t>
        </is>
      </c>
      <c r="J35" t="inlineStr">
        <is>
          <t>2026-08-10T19:29:54Z</t>
        </is>
      </c>
      <c r="K35" t="inlineStr">
        <is>
          <t>2026-08-10T19:49:40Z</t>
        </is>
      </c>
    </row>
    <row r="36">
      <c r="A36" s="19" t="inlineStr">
        <is>
          <t>35</t>
        </is>
      </c>
      <c r="B36" s="19" t="inlineStr">
        <is>
          <t>IA-PPWR-LBL-ST-021-EUR-01-R00</t>
        </is>
      </c>
      <c r="C36" t="inlineStr">
        <is>
          <t>IA-PPWR-LBL-ST-021-EUR-01-R00</t>
        </is>
      </c>
      <c r="D36" s="19" t="inlineStr">
        <is>
          <t>11</t>
        </is>
      </c>
      <c r="E36" t="inlineStr">
        <is>
          <t>01_STARTER/ST-021-EUR-01/03_Label.docx</t>
        </is>
      </c>
      <c r="F36" t="inlineStr">
        <is>
          <t>d4ee5aeef1e2ba05f3fd0c0cd5240506e0744aa5ae71f93741d4a2412127ce9f</t>
        </is>
      </c>
      <c r="G36" t="inlineStr">
        <is>
          <t>2026-08-08</t>
        </is>
      </c>
      <c r="H36" s="19" t="inlineStr">
        <is>
          <t>2</t>
        </is>
      </c>
      <c r="I36" t="inlineStr">
        <is>
          <t>Phase I generated Rev.00 Word file — linked; signatures not completed</t>
        </is>
      </c>
      <c r="J36" t="inlineStr">
        <is>
          <t>2026-08-10T19:29:54Z</t>
        </is>
      </c>
      <c r="K36" t="inlineStr">
        <is>
          <t>2026-08-10T19:49:40Z</t>
        </is>
      </c>
    </row>
    <row r="37">
      <c r="A37" s="19" t="inlineStr">
        <is>
          <t>36</t>
        </is>
      </c>
      <c r="B37" s="19" t="inlineStr">
        <is>
          <t>IA-PPWR-STM-ST-021-EUR-01-R00</t>
        </is>
      </c>
      <c r="C37" t="inlineStr">
        <is>
          <t>IA-PPWR-STM-ST-021-EUR-01-R00</t>
        </is>
      </c>
      <c r="D37" s="19" t="inlineStr">
        <is>
          <t>12</t>
        </is>
      </c>
      <c r="E37" t="inlineStr">
        <is>
          <t>01_STARTER/ST-021-EUR-01/04_Shipment_Statement.docx</t>
        </is>
      </c>
      <c r="F37" t="inlineStr">
        <is>
          <t>42bcdab912616937ae0cd779af1685b2d7816673589117403b1d80cd5df65658</t>
        </is>
      </c>
      <c r="G37" t="inlineStr">
        <is>
          <t>2026-08-08</t>
        </is>
      </c>
      <c r="H37" s="19" t="inlineStr">
        <is>
          <t>2</t>
        </is>
      </c>
      <c r="I37" t="inlineStr">
        <is>
          <t>Phase I generated Rev.00 Word file — linked; signatures not completed</t>
        </is>
      </c>
      <c r="J37" t="inlineStr">
        <is>
          <t>2026-08-10T19:29:54Z</t>
        </is>
      </c>
      <c r="K37" t="inlineStr">
        <is>
          <t>2026-08-10T19:49:40Z</t>
        </is>
      </c>
    </row>
    <row r="38">
      <c r="A38" s="19" t="inlineStr">
        <is>
          <t>37</t>
        </is>
      </c>
      <c r="B38" s="19" t="inlineStr">
        <is>
          <t>IA-PPWR-TF-ST-021-EUR-02-R00</t>
        </is>
      </c>
      <c r="C38" t="inlineStr">
        <is>
          <t>IA-PPWR-TF-ST-021-EUR-02-R00</t>
        </is>
      </c>
      <c r="D38" s="19" t="inlineStr">
        <is>
          <t>1</t>
        </is>
      </c>
      <c r="E38" t="inlineStr">
        <is>
          <t>01_STARTER/ST-021-EUR-02/01_Technical_File.docx</t>
        </is>
      </c>
      <c r="F38" t="inlineStr">
        <is>
          <t>c306df9c0689f817f48b5e98ce7f9a36c81c8e34d1aa54482efb022eed88ad63</t>
        </is>
      </c>
      <c r="G38" t="inlineStr">
        <is>
          <t>2026-08-08</t>
        </is>
      </c>
      <c r="H38" s="19" t="inlineStr">
        <is>
          <t>2</t>
        </is>
      </c>
      <c r="I38" t="inlineStr">
        <is>
          <t>Phase I generated Rev.00 Word file — linked; signatures not completed</t>
        </is>
      </c>
      <c r="J38" t="inlineStr">
        <is>
          <t>2026-08-10T19:29:54Z</t>
        </is>
      </c>
      <c r="K38" t="inlineStr">
        <is>
          <t>2026-08-10T19:49:40Z</t>
        </is>
      </c>
    </row>
    <row r="39">
      <c r="A39" s="19" t="inlineStr">
        <is>
          <t>38</t>
        </is>
      </c>
      <c r="B39" s="19" t="inlineStr">
        <is>
          <t>IA-PPWR-DOC-ST-021-EUR-02-R00</t>
        </is>
      </c>
      <c r="C39" t="inlineStr">
        <is>
          <t>IA-PPWR-DOC-ST-021-EUR-02-R00</t>
        </is>
      </c>
      <c r="D39" s="19" t="inlineStr">
        <is>
          <t>4</t>
        </is>
      </c>
      <c r="E39" t="inlineStr">
        <is>
          <t>01_STARTER/ST-021-EUR-02/02_EU_DoC.docx</t>
        </is>
      </c>
      <c r="F39" t="inlineStr">
        <is>
          <t>a11af368e3d7507f0a470503674be1586a638dbaab3346f5aeb013bd77437951</t>
        </is>
      </c>
      <c r="G39" t="inlineStr">
        <is>
          <t>2026-08-08</t>
        </is>
      </c>
      <c r="H39" s="19" t="inlineStr">
        <is>
          <t>2</t>
        </is>
      </c>
      <c r="I39" t="inlineStr">
        <is>
          <t>Phase I generated Rev.00 Word file — linked; signatures not completed</t>
        </is>
      </c>
      <c r="J39" t="inlineStr">
        <is>
          <t>2026-08-10T19:29:54Z</t>
        </is>
      </c>
      <c r="K39" t="inlineStr">
        <is>
          <t>2026-08-10T19:49:40Z</t>
        </is>
      </c>
    </row>
    <row r="40">
      <c r="A40" s="19" t="inlineStr">
        <is>
          <t>39</t>
        </is>
      </c>
      <c r="B40" s="19" t="inlineStr">
        <is>
          <t>IA-PPWR-LBL-ST-021-EUR-02-R00</t>
        </is>
      </c>
      <c r="C40" t="inlineStr">
        <is>
          <t>IA-PPWR-LBL-ST-021-EUR-02-R00</t>
        </is>
      </c>
      <c r="D40" s="19" t="inlineStr">
        <is>
          <t>11</t>
        </is>
      </c>
      <c r="E40" t="inlineStr">
        <is>
          <t>01_STARTER/ST-021-EUR-02/03_Label.docx</t>
        </is>
      </c>
      <c r="F40" t="inlineStr">
        <is>
          <t>cfccb8dd13a68bbb61bcbb51e09c4689e0235338a239d20e6ff63a232515698e</t>
        </is>
      </c>
      <c r="G40" t="inlineStr">
        <is>
          <t>2026-08-08</t>
        </is>
      </c>
      <c r="H40" s="19" t="inlineStr">
        <is>
          <t>2</t>
        </is>
      </c>
      <c r="I40" t="inlineStr">
        <is>
          <t>Phase I generated Rev.00 Word file — linked; signatures not completed</t>
        </is>
      </c>
      <c r="J40" t="inlineStr">
        <is>
          <t>2026-08-10T19:29:54Z</t>
        </is>
      </c>
      <c r="K40" t="inlineStr">
        <is>
          <t>2026-08-10T19:49:40Z</t>
        </is>
      </c>
    </row>
    <row r="41">
      <c r="A41" s="19" t="inlineStr">
        <is>
          <t>40</t>
        </is>
      </c>
      <c r="B41" s="19" t="inlineStr">
        <is>
          <t>IA-PPWR-STM-ST-021-EUR-02-R00</t>
        </is>
      </c>
      <c r="C41" t="inlineStr">
        <is>
          <t>IA-PPWR-STM-ST-021-EUR-02-R00</t>
        </is>
      </c>
      <c r="D41" s="19" t="inlineStr">
        <is>
          <t>12</t>
        </is>
      </c>
      <c r="E41" t="inlineStr">
        <is>
          <t>01_STARTER/ST-021-EUR-02/04_Shipment_Statement.docx</t>
        </is>
      </c>
      <c r="F41" t="inlineStr">
        <is>
          <t>03b51e868fb86d968c0745d4a93cf905679084cba32328710398e68c7cc62e2a</t>
        </is>
      </c>
      <c r="G41" t="inlineStr">
        <is>
          <t>2026-08-08</t>
        </is>
      </c>
      <c r="H41" s="19" t="inlineStr">
        <is>
          <t>2</t>
        </is>
      </c>
      <c r="I41" t="inlineStr">
        <is>
          <t>Phase I generated Rev.00 Word file — linked; signatures not completed</t>
        </is>
      </c>
      <c r="J41" t="inlineStr">
        <is>
          <t>2026-08-10T19:29:54Z</t>
        </is>
      </c>
      <c r="K41" t="inlineStr">
        <is>
          <t>2026-08-10T19:49:40Z</t>
        </is>
      </c>
    </row>
    <row r="42">
      <c r="A42" s="19" t="inlineStr">
        <is>
          <t>41</t>
        </is>
      </c>
      <c r="B42" s="19" t="inlineStr">
        <is>
          <t>IA-PPWR-TF-ST-021-EUR-03-R00</t>
        </is>
      </c>
      <c r="C42" t="inlineStr">
        <is>
          <t>IA-PPWR-TF-ST-021-EUR-03-R00</t>
        </is>
      </c>
      <c r="D42" s="19" t="inlineStr">
        <is>
          <t>1</t>
        </is>
      </c>
      <c r="E42" t="inlineStr">
        <is>
          <t>01_STARTER/ST-021-EUR-03/01_Technical_File.docx</t>
        </is>
      </c>
      <c r="F42" t="inlineStr">
        <is>
          <t>abb56b71390c59f43dddb41cd6d2ae0bc0406b399326523b17669663ebb819df</t>
        </is>
      </c>
      <c r="G42" t="inlineStr">
        <is>
          <t>2026-08-08</t>
        </is>
      </c>
      <c r="H42" s="19" t="inlineStr">
        <is>
          <t>2</t>
        </is>
      </c>
      <c r="I42" t="inlineStr">
        <is>
          <t>Phase I generated Rev.00 Word file — linked; signatures not completed</t>
        </is>
      </c>
      <c r="J42" t="inlineStr">
        <is>
          <t>2026-08-10T19:29:54Z</t>
        </is>
      </c>
      <c r="K42" t="inlineStr">
        <is>
          <t>2026-08-10T19:49:40Z</t>
        </is>
      </c>
    </row>
    <row r="43">
      <c r="A43" s="19" t="inlineStr">
        <is>
          <t>42</t>
        </is>
      </c>
      <c r="B43" s="19" t="inlineStr">
        <is>
          <t>IA-PPWR-DOC-ST-021-EUR-03-R00</t>
        </is>
      </c>
      <c r="C43" t="inlineStr">
        <is>
          <t>IA-PPWR-DOC-ST-021-EUR-03-R00</t>
        </is>
      </c>
      <c r="D43" s="19" t="inlineStr">
        <is>
          <t>4</t>
        </is>
      </c>
      <c r="E43" t="inlineStr">
        <is>
          <t>01_STARTER/ST-021-EUR-03/02_EU_DoC.docx</t>
        </is>
      </c>
      <c r="F43" t="inlineStr">
        <is>
          <t>ff81aed91d4aa5f9964d485dca474cf90cbfd01fe5d74c4b2bdf803ee9e74234</t>
        </is>
      </c>
      <c r="G43" t="inlineStr">
        <is>
          <t>2026-08-08</t>
        </is>
      </c>
      <c r="H43" s="19" t="inlineStr">
        <is>
          <t>2</t>
        </is>
      </c>
      <c r="I43" t="inlineStr">
        <is>
          <t>Phase I generated Rev.00 Word file — linked; signatures not completed</t>
        </is>
      </c>
      <c r="J43" t="inlineStr">
        <is>
          <t>2026-08-10T19:29:54Z</t>
        </is>
      </c>
      <c r="K43" t="inlineStr">
        <is>
          <t>2026-08-10T19:49:40Z</t>
        </is>
      </c>
    </row>
    <row r="44">
      <c r="A44" s="19" t="inlineStr">
        <is>
          <t>43</t>
        </is>
      </c>
      <c r="B44" s="19" t="inlineStr">
        <is>
          <t>IA-PPWR-LBL-ST-021-EUR-03-R00</t>
        </is>
      </c>
      <c r="C44" t="inlineStr">
        <is>
          <t>IA-PPWR-LBL-ST-021-EUR-03-R00</t>
        </is>
      </c>
      <c r="D44" s="19" t="inlineStr">
        <is>
          <t>11</t>
        </is>
      </c>
      <c r="E44" t="inlineStr">
        <is>
          <t>01_STARTER/ST-021-EUR-03/03_Label.docx</t>
        </is>
      </c>
      <c r="F44" t="inlineStr">
        <is>
          <t>ed1e4da87b465252a2b3dd046c3d2ef21b369eede7e459e5f46ddddb3ff12bce</t>
        </is>
      </c>
      <c r="G44" t="inlineStr">
        <is>
          <t>2026-08-08</t>
        </is>
      </c>
      <c r="H44" s="19" t="inlineStr">
        <is>
          <t>2</t>
        </is>
      </c>
      <c r="I44" t="inlineStr">
        <is>
          <t>Phase I generated Rev.00 Word file — linked; signatures not completed</t>
        </is>
      </c>
      <c r="J44" t="inlineStr">
        <is>
          <t>2026-08-10T19:29:54Z</t>
        </is>
      </c>
      <c r="K44" t="inlineStr">
        <is>
          <t>2026-08-10T19:49:40Z</t>
        </is>
      </c>
    </row>
    <row r="45">
      <c r="A45" s="19" t="inlineStr">
        <is>
          <t>44</t>
        </is>
      </c>
      <c r="B45" s="19" t="inlineStr">
        <is>
          <t>IA-PPWR-STM-ST-021-EUR-03-R00</t>
        </is>
      </c>
      <c r="C45" t="inlineStr">
        <is>
          <t>IA-PPWR-STM-ST-021-EUR-03-R00</t>
        </is>
      </c>
      <c r="D45" s="19" t="inlineStr">
        <is>
          <t>12</t>
        </is>
      </c>
      <c r="E45" t="inlineStr">
        <is>
          <t>01_STARTER/ST-021-EUR-03/04_Shipment_Statement.docx</t>
        </is>
      </c>
      <c r="F45" t="inlineStr">
        <is>
          <t>a1a4155abb4719c504616bfc1193416328f95984a6dd86bbd2834196b255ec38</t>
        </is>
      </c>
      <c r="G45" t="inlineStr">
        <is>
          <t>2026-08-08</t>
        </is>
      </c>
      <c r="H45" s="19" t="inlineStr">
        <is>
          <t>2</t>
        </is>
      </c>
      <c r="I45" t="inlineStr">
        <is>
          <t>Phase I generated Rev.00 Word file — linked; signatures not completed</t>
        </is>
      </c>
      <c r="J45" t="inlineStr">
        <is>
          <t>2026-08-10T19:29:54Z</t>
        </is>
      </c>
      <c r="K45" t="inlineStr">
        <is>
          <t>2026-08-10T19:49:40Z</t>
        </is>
      </c>
    </row>
    <row r="46">
      <c r="A46" s="19" t="inlineStr">
        <is>
          <t>45</t>
        </is>
      </c>
      <c r="B46" s="19" t="inlineStr">
        <is>
          <t>IA-PPWR-TF-ST-021-EUR-04-R00</t>
        </is>
      </c>
      <c r="C46" t="inlineStr">
        <is>
          <t>IA-PPWR-TF-ST-021-EUR-04-R00</t>
        </is>
      </c>
      <c r="D46" s="19" t="inlineStr">
        <is>
          <t>1</t>
        </is>
      </c>
      <c r="E46" t="inlineStr">
        <is>
          <t>01_STARTER/ST-021-EUR-04/01_Technical_File.docx</t>
        </is>
      </c>
      <c r="F46" t="inlineStr">
        <is>
          <t>74ba4d6e53909f932ca367c5056bfb67f707cb17e14a8fe6120293451eeef1dc</t>
        </is>
      </c>
      <c r="G46" t="inlineStr">
        <is>
          <t>2026-08-08</t>
        </is>
      </c>
      <c r="H46" s="19" t="inlineStr">
        <is>
          <t>2</t>
        </is>
      </c>
      <c r="I46" t="inlineStr">
        <is>
          <t>Phase I generated Rev.00 Word file — linked; signatures not completed</t>
        </is>
      </c>
      <c r="J46" t="inlineStr">
        <is>
          <t>2026-08-10T19:29:54Z</t>
        </is>
      </c>
      <c r="K46" t="inlineStr">
        <is>
          <t>2026-08-10T19:49:40Z</t>
        </is>
      </c>
    </row>
    <row r="47">
      <c r="A47" s="19" t="inlineStr">
        <is>
          <t>46</t>
        </is>
      </c>
      <c r="B47" s="19" t="inlineStr">
        <is>
          <t>IA-PPWR-DOC-ST-021-EUR-04-R00</t>
        </is>
      </c>
      <c r="C47" t="inlineStr">
        <is>
          <t>IA-PPWR-DOC-ST-021-EUR-04-R00</t>
        </is>
      </c>
      <c r="D47" s="19" t="inlineStr">
        <is>
          <t>4</t>
        </is>
      </c>
      <c r="E47" t="inlineStr">
        <is>
          <t>01_STARTER/ST-021-EUR-04/02_EU_DoC.docx</t>
        </is>
      </c>
      <c r="F47" t="inlineStr">
        <is>
          <t>9d184c4e20274b81b56900600c4fcf01301070ff6049b79bae8349ad96737d22</t>
        </is>
      </c>
      <c r="G47" t="inlineStr">
        <is>
          <t>2026-08-08</t>
        </is>
      </c>
      <c r="H47" s="19" t="inlineStr">
        <is>
          <t>2</t>
        </is>
      </c>
      <c r="I47" t="inlineStr">
        <is>
          <t>Phase I generated Rev.00 Word file — linked; signatures not completed</t>
        </is>
      </c>
      <c r="J47" t="inlineStr">
        <is>
          <t>2026-08-10T19:29:54Z</t>
        </is>
      </c>
      <c r="K47" t="inlineStr">
        <is>
          <t>2026-08-10T19:49:40Z</t>
        </is>
      </c>
    </row>
    <row r="48">
      <c r="A48" s="19" t="inlineStr">
        <is>
          <t>47</t>
        </is>
      </c>
      <c r="B48" s="19" t="inlineStr">
        <is>
          <t>IA-PPWR-LBL-ST-021-EUR-04-R00</t>
        </is>
      </c>
      <c r="C48" t="inlineStr">
        <is>
          <t>IA-PPWR-LBL-ST-021-EUR-04-R00</t>
        </is>
      </c>
      <c r="D48" s="19" t="inlineStr">
        <is>
          <t>11</t>
        </is>
      </c>
      <c r="E48" t="inlineStr">
        <is>
          <t>01_STARTER/ST-021-EUR-04/03_Label.docx</t>
        </is>
      </c>
      <c r="F48" t="inlineStr">
        <is>
          <t>730b58ff72b8b3fe04621728b8af9f0809eef92799c6d206561f35a4fc2dbd5d</t>
        </is>
      </c>
      <c r="G48" t="inlineStr">
        <is>
          <t>2026-08-08</t>
        </is>
      </c>
      <c r="H48" s="19" t="inlineStr">
        <is>
          <t>2</t>
        </is>
      </c>
      <c r="I48" t="inlineStr">
        <is>
          <t>Phase I generated Rev.00 Word file — linked; signatures not completed</t>
        </is>
      </c>
      <c r="J48" t="inlineStr">
        <is>
          <t>2026-08-10T19:29:54Z</t>
        </is>
      </c>
      <c r="K48" t="inlineStr">
        <is>
          <t>2026-08-10T19:49:40Z</t>
        </is>
      </c>
    </row>
    <row r="49">
      <c r="A49" s="19" t="inlineStr">
        <is>
          <t>48</t>
        </is>
      </c>
      <c r="B49" s="19" t="inlineStr">
        <is>
          <t>IA-PPWR-STM-ST-021-EUR-04-R00</t>
        </is>
      </c>
      <c r="C49" t="inlineStr">
        <is>
          <t>IA-PPWR-STM-ST-021-EUR-04-R00</t>
        </is>
      </c>
      <c r="D49" s="19" t="inlineStr">
        <is>
          <t>12</t>
        </is>
      </c>
      <c r="E49" t="inlineStr">
        <is>
          <t>01_STARTER/ST-021-EUR-04/04_Shipment_Statement.docx</t>
        </is>
      </c>
      <c r="F49" t="inlineStr">
        <is>
          <t>22f023663db0e6994c9f78d7777c7350fd571718144f8df2e40f0a9f80c10604</t>
        </is>
      </c>
      <c r="G49" t="inlineStr">
        <is>
          <t>2026-08-08</t>
        </is>
      </c>
      <c r="H49" s="19" t="inlineStr">
        <is>
          <t>2</t>
        </is>
      </c>
      <c r="I49" t="inlineStr">
        <is>
          <t>Phase I generated Rev.00 Word file — linked; signatures not completed</t>
        </is>
      </c>
      <c r="J49" t="inlineStr">
        <is>
          <t>2026-08-10T19:29:54Z</t>
        </is>
      </c>
      <c r="K49" t="inlineStr">
        <is>
          <t>2026-08-10T19:49:40Z</t>
        </is>
      </c>
    </row>
    <row r="50">
      <c r="A50" s="19" t="inlineStr">
        <is>
          <t>49</t>
        </is>
      </c>
      <c r="B50" s="19" t="inlineStr">
        <is>
          <t>IA-PPWR-TF-ST-021-EUR-05-R00</t>
        </is>
      </c>
      <c r="C50" t="inlineStr">
        <is>
          <t>IA-PPWR-TF-ST-021-EUR-05-R00</t>
        </is>
      </c>
      <c r="D50" s="19" t="inlineStr">
        <is>
          <t>1</t>
        </is>
      </c>
      <c r="E50" t="inlineStr">
        <is>
          <t>01_STARTER/ST-021-EUR-05/01_Technical_File.docx</t>
        </is>
      </c>
      <c r="F50" t="inlineStr">
        <is>
          <t>d6c40982bbd4385d1e41abeb80b1836ee6f3c9b9e633bb8010a287de873c4688</t>
        </is>
      </c>
      <c r="G50" t="inlineStr">
        <is>
          <t>2026-08-08</t>
        </is>
      </c>
      <c r="H50" s="19" t="inlineStr">
        <is>
          <t>2</t>
        </is>
      </c>
      <c r="I50" t="inlineStr">
        <is>
          <t>Phase I generated Rev.00 Word file — linked; signatures not completed</t>
        </is>
      </c>
      <c r="J50" t="inlineStr">
        <is>
          <t>2026-08-10T19:29:54Z</t>
        </is>
      </c>
      <c r="K50" t="inlineStr">
        <is>
          <t>2026-08-10T19:49:40Z</t>
        </is>
      </c>
    </row>
    <row r="51">
      <c r="A51" s="19" t="inlineStr">
        <is>
          <t>50</t>
        </is>
      </c>
      <c r="B51" s="19" t="inlineStr">
        <is>
          <t>IA-PPWR-DOC-ST-021-EUR-05-R00</t>
        </is>
      </c>
      <c r="C51" t="inlineStr">
        <is>
          <t>IA-PPWR-DOC-ST-021-EUR-05-R00</t>
        </is>
      </c>
      <c r="D51" s="19" t="inlineStr">
        <is>
          <t>4</t>
        </is>
      </c>
      <c r="E51" t="inlineStr">
        <is>
          <t>01_STARTER/ST-021-EUR-05/02_EU_DoC.docx</t>
        </is>
      </c>
      <c r="F51" t="inlineStr">
        <is>
          <t>6c14f6ff112b0c9e91e63f03a109a2558f4a5a8e8220dd29d397298859b42317</t>
        </is>
      </c>
      <c r="G51" t="inlineStr">
        <is>
          <t>2026-08-08</t>
        </is>
      </c>
      <c r="H51" s="19" t="inlineStr">
        <is>
          <t>2</t>
        </is>
      </c>
      <c r="I51" t="inlineStr">
        <is>
          <t>Phase I generated Rev.00 Word file — linked; signatures not completed</t>
        </is>
      </c>
      <c r="J51" t="inlineStr">
        <is>
          <t>2026-08-10T19:29:54Z</t>
        </is>
      </c>
      <c r="K51" t="inlineStr">
        <is>
          <t>2026-08-10T19:49:40Z</t>
        </is>
      </c>
    </row>
    <row r="52">
      <c r="A52" s="19" t="inlineStr">
        <is>
          <t>51</t>
        </is>
      </c>
      <c r="B52" s="19" t="inlineStr">
        <is>
          <t>IA-PPWR-LBL-ST-021-EUR-05-R00</t>
        </is>
      </c>
      <c r="C52" t="inlineStr">
        <is>
          <t>IA-PPWR-LBL-ST-021-EUR-05-R00</t>
        </is>
      </c>
      <c r="D52" s="19" t="inlineStr">
        <is>
          <t>11</t>
        </is>
      </c>
      <c r="E52" t="inlineStr">
        <is>
          <t>01_STARTER/ST-021-EUR-05/03_Label.docx</t>
        </is>
      </c>
      <c r="F52" t="inlineStr">
        <is>
          <t>245e253635bb59597c73336b29de3458587b75d003b558df33236a16f4dae3f7</t>
        </is>
      </c>
      <c r="G52" t="inlineStr">
        <is>
          <t>2026-08-08</t>
        </is>
      </c>
      <c r="H52" s="19" t="inlineStr">
        <is>
          <t>2</t>
        </is>
      </c>
      <c r="I52" t="inlineStr">
        <is>
          <t>Phase I generated Rev.00 Word file — linked; signatures not completed</t>
        </is>
      </c>
      <c r="J52" t="inlineStr">
        <is>
          <t>2026-08-10T19:29:54Z</t>
        </is>
      </c>
      <c r="K52" t="inlineStr">
        <is>
          <t>2026-08-10T19:49:40Z</t>
        </is>
      </c>
    </row>
    <row r="53">
      <c r="A53" s="19" t="inlineStr">
        <is>
          <t>52</t>
        </is>
      </c>
      <c r="B53" s="19" t="inlineStr">
        <is>
          <t>IA-PPWR-STM-ST-021-EUR-05-R00</t>
        </is>
      </c>
      <c r="C53" t="inlineStr">
        <is>
          <t>IA-PPWR-STM-ST-021-EUR-05-R00</t>
        </is>
      </c>
      <c r="D53" s="19" t="inlineStr">
        <is>
          <t>12</t>
        </is>
      </c>
      <c r="E53" t="inlineStr">
        <is>
          <t>01_STARTER/ST-021-EUR-05/04_Shipment_Statement.docx</t>
        </is>
      </c>
      <c r="F53" t="inlineStr">
        <is>
          <t>74b12c03de694b6065e995a37c7bf8d5e0add76e23f8d6e6f672085032695600</t>
        </is>
      </c>
      <c r="G53" t="inlineStr">
        <is>
          <t>2026-08-08</t>
        </is>
      </c>
      <c r="H53" s="19" t="inlineStr">
        <is>
          <t>2</t>
        </is>
      </c>
      <c r="I53" t="inlineStr">
        <is>
          <t>Phase I generated Rev.00 Word file — linked; signatures not completed</t>
        </is>
      </c>
      <c r="J53" t="inlineStr">
        <is>
          <t>2026-08-10T19:29:54Z</t>
        </is>
      </c>
      <c r="K53" t="inlineStr">
        <is>
          <t>2026-08-10T19:49:40Z</t>
        </is>
      </c>
    </row>
    <row r="54">
      <c r="A54" s="19" t="inlineStr">
        <is>
          <t>53</t>
        </is>
      </c>
      <c r="B54" s="19" t="inlineStr">
        <is>
          <t>IA-PPWR-TF-ST-021-STD-01-R00</t>
        </is>
      </c>
      <c r="C54" t="inlineStr">
        <is>
          <t>IA-PPWR-TF-ST-021-STD-01-R00</t>
        </is>
      </c>
      <c r="D54" s="19" t="inlineStr">
        <is>
          <t>1</t>
        </is>
      </c>
      <c r="E54" t="inlineStr">
        <is>
          <t>01_STARTER/ST-021-STD-01/01_Technical_File.docx</t>
        </is>
      </c>
      <c r="F54" t="inlineStr">
        <is>
          <t>d1ed3a1c997f08bbc3308787c2db3ccae19eacaed107adb21bc22005f8ac4083</t>
        </is>
      </c>
      <c r="G54" t="inlineStr">
        <is>
          <t>2026-08-08</t>
        </is>
      </c>
      <c r="H54" s="19" t="inlineStr">
        <is>
          <t>2</t>
        </is>
      </c>
      <c r="I54" t="inlineStr">
        <is>
          <t>Phase I generated Rev.00 Word file — linked; signatures not completed</t>
        </is>
      </c>
      <c r="J54" t="inlineStr">
        <is>
          <t>2026-08-10T19:29:54Z</t>
        </is>
      </c>
      <c r="K54" t="inlineStr">
        <is>
          <t>2026-08-10T19:49:40Z</t>
        </is>
      </c>
    </row>
    <row r="55">
      <c r="A55" s="19" t="inlineStr">
        <is>
          <t>54</t>
        </is>
      </c>
      <c r="B55" s="19" t="inlineStr">
        <is>
          <t>IA-PPWR-DOC-ST-021-STD-01-R00</t>
        </is>
      </c>
      <c r="C55" t="inlineStr">
        <is>
          <t>IA-PPWR-DOC-ST-021-STD-01-R00</t>
        </is>
      </c>
      <c r="D55" s="19" t="inlineStr">
        <is>
          <t>4</t>
        </is>
      </c>
      <c r="E55" t="inlineStr">
        <is>
          <t>01_STARTER/ST-021-STD-01/02_EU_DoC.docx</t>
        </is>
      </c>
      <c r="F55" t="inlineStr">
        <is>
          <t>c0bb8d7a64026d8378d25615fbd3d4808db6e04a6a36ab57c069a73a02a31c7e</t>
        </is>
      </c>
      <c r="G55" t="inlineStr">
        <is>
          <t>2026-08-08</t>
        </is>
      </c>
      <c r="H55" s="19" t="inlineStr">
        <is>
          <t>2</t>
        </is>
      </c>
      <c r="I55" t="inlineStr">
        <is>
          <t>Phase I generated Rev.00 Word file — linked; signatures not completed</t>
        </is>
      </c>
      <c r="J55" t="inlineStr">
        <is>
          <t>2026-08-10T19:29:54Z</t>
        </is>
      </c>
      <c r="K55" t="inlineStr">
        <is>
          <t>2026-08-10T19:49:40Z</t>
        </is>
      </c>
    </row>
    <row r="56">
      <c r="A56" s="19" t="inlineStr">
        <is>
          <t>55</t>
        </is>
      </c>
      <c r="B56" s="19" t="inlineStr">
        <is>
          <t>IA-PPWR-LBL-ST-021-STD-01-R00</t>
        </is>
      </c>
      <c r="C56" t="inlineStr">
        <is>
          <t>IA-PPWR-LBL-ST-021-STD-01-R00</t>
        </is>
      </c>
      <c r="D56" s="19" t="inlineStr">
        <is>
          <t>11</t>
        </is>
      </c>
      <c r="E56" t="inlineStr">
        <is>
          <t>01_STARTER/ST-021-STD-01/03_Label.docx</t>
        </is>
      </c>
      <c r="F56" t="inlineStr">
        <is>
          <t>12195dbfd0ebc81c8c9eae3e7628b5eceefd39f363d3511a99812561ccd7d221</t>
        </is>
      </c>
      <c r="G56" t="inlineStr">
        <is>
          <t>2026-08-08</t>
        </is>
      </c>
      <c r="H56" s="19" t="inlineStr">
        <is>
          <t>2</t>
        </is>
      </c>
      <c r="I56" t="inlineStr">
        <is>
          <t>Phase I generated Rev.00 Word file — linked; signatures not completed</t>
        </is>
      </c>
      <c r="J56" t="inlineStr">
        <is>
          <t>2026-08-10T19:29:54Z</t>
        </is>
      </c>
      <c r="K56" t="inlineStr">
        <is>
          <t>2026-08-10T19:49:40Z</t>
        </is>
      </c>
    </row>
    <row r="57">
      <c r="A57" s="19" t="inlineStr">
        <is>
          <t>56</t>
        </is>
      </c>
      <c r="B57" s="19" t="inlineStr">
        <is>
          <t>IA-PPWR-STM-ST-021-STD-01-R00</t>
        </is>
      </c>
      <c r="C57" t="inlineStr">
        <is>
          <t>IA-PPWR-STM-ST-021-STD-01-R00</t>
        </is>
      </c>
      <c r="D57" s="19" t="inlineStr">
        <is>
          <t>12</t>
        </is>
      </c>
      <c r="E57" t="inlineStr">
        <is>
          <t>01_STARTER/ST-021-STD-01/04_Shipment_Statement.docx</t>
        </is>
      </c>
      <c r="F57" t="inlineStr">
        <is>
          <t>94d1a5826f05ef42a72c148e4e00f857287ccfb72525f22d7c09ed065503d586</t>
        </is>
      </c>
      <c r="G57" t="inlineStr">
        <is>
          <t>2026-08-08</t>
        </is>
      </c>
      <c r="H57" s="19" t="inlineStr">
        <is>
          <t>2</t>
        </is>
      </c>
      <c r="I57" t="inlineStr">
        <is>
          <t>Phase I generated Rev.00 Word file — linked; signatures not completed</t>
        </is>
      </c>
      <c r="J57" t="inlineStr">
        <is>
          <t>2026-08-10T19:29:54Z</t>
        </is>
      </c>
      <c r="K57" t="inlineStr">
        <is>
          <t>2026-08-10T19:49:40Z</t>
        </is>
      </c>
    </row>
    <row r="58">
      <c r="A58" s="19" t="inlineStr">
        <is>
          <t>57</t>
        </is>
      </c>
      <c r="B58" s="19" t="inlineStr">
        <is>
          <t>IA-PPWR-TF-ST-021-STD-02-R00</t>
        </is>
      </c>
      <c r="C58" t="inlineStr">
        <is>
          <t>IA-PPWR-TF-ST-021-STD-02-R00</t>
        </is>
      </c>
      <c r="D58" s="19" t="inlineStr">
        <is>
          <t>1</t>
        </is>
      </c>
      <c r="E58" t="inlineStr">
        <is>
          <t>01_STARTER/ST-021-STD-02/01_Technical_File.docx</t>
        </is>
      </c>
      <c r="F58" t="inlineStr">
        <is>
          <t>a257c77cc61a0932d0281fd39ac7e2143c04e50f5a6c202f89e6df417e2c4989</t>
        </is>
      </c>
      <c r="G58" t="inlineStr">
        <is>
          <t>2026-08-08</t>
        </is>
      </c>
      <c r="H58" s="19" t="inlineStr">
        <is>
          <t>2</t>
        </is>
      </c>
      <c r="I58" t="inlineStr">
        <is>
          <t>Phase I generated Rev.00 Word file — linked; signatures not completed</t>
        </is>
      </c>
      <c r="J58" t="inlineStr">
        <is>
          <t>2026-08-10T19:29:54Z</t>
        </is>
      </c>
      <c r="K58" t="inlineStr">
        <is>
          <t>2026-08-10T19:49:40Z</t>
        </is>
      </c>
    </row>
    <row r="59">
      <c r="A59" s="19" t="inlineStr">
        <is>
          <t>58</t>
        </is>
      </c>
      <c r="B59" s="19" t="inlineStr">
        <is>
          <t>IA-PPWR-DOC-ST-021-STD-02-R00</t>
        </is>
      </c>
      <c r="C59" t="inlineStr">
        <is>
          <t>IA-PPWR-DOC-ST-021-STD-02-R00</t>
        </is>
      </c>
      <c r="D59" s="19" t="inlineStr">
        <is>
          <t>4</t>
        </is>
      </c>
      <c r="E59" t="inlineStr">
        <is>
          <t>01_STARTER/ST-021-STD-02/02_EU_DoC.docx</t>
        </is>
      </c>
      <c r="F59" t="inlineStr">
        <is>
          <t>a335324a8052466da544a5393d60b91def67aeac687b61fdaef1b7143ca5c618</t>
        </is>
      </c>
      <c r="G59" t="inlineStr">
        <is>
          <t>2026-08-08</t>
        </is>
      </c>
      <c r="H59" s="19" t="inlineStr">
        <is>
          <t>2</t>
        </is>
      </c>
      <c r="I59" t="inlineStr">
        <is>
          <t>Phase I generated Rev.00 Word file — linked; signatures not completed</t>
        </is>
      </c>
      <c r="J59" t="inlineStr">
        <is>
          <t>2026-08-10T19:29:54Z</t>
        </is>
      </c>
      <c r="K59" t="inlineStr">
        <is>
          <t>2026-08-10T19:49:40Z</t>
        </is>
      </c>
    </row>
    <row r="60">
      <c r="A60" s="19" t="inlineStr">
        <is>
          <t>59</t>
        </is>
      </c>
      <c r="B60" s="19" t="inlineStr">
        <is>
          <t>IA-PPWR-LBL-ST-021-STD-02-R00</t>
        </is>
      </c>
      <c r="C60" t="inlineStr">
        <is>
          <t>IA-PPWR-LBL-ST-021-STD-02-R00</t>
        </is>
      </c>
      <c r="D60" s="19" t="inlineStr">
        <is>
          <t>11</t>
        </is>
      </c>
      <c r="E60" t="inlineStr">
        <is>
          <t>01_STARTER/ST-021-STD-02/03_Label.docx</t>
        </is>
      </c>
      <c r="F60" t="inlineStr">
        <is>
          <t>f9cb77ab59ce2dd6843a050186af441613fb71cd48f110bf50e7e40e9e19615b</t>
        </is>
      </c>
      <c r="G60" t="inlineStr">
        <is>
          <t>2026-08-08</t>
        </is>
      </c>
      <c r="H60" s="19" t="inlineStr">
        <is>
          <t>2</t>
        </is>
      </c>
      <c r="I60" t="inlineStr">
        <is>
          <t>Phase I generated Rev.00 Word file — linked; signatures not completed</t>
        </is>
      </c>
      <c r="J60" t="inlineStr">
        <is>
          <t>2026-08-10T19:29:54Z</t>
        </is>
      </c>
      <c r="K60" t="inlineStr">
        <is>
          <t>2026-08-10T19:49:40Z</t>
        </is>
      </c>
    </row>
    <row r="61">
      <c r="A61" s="19" t="inlineStr">
        <is>
          <t>60</t>
        </is>
      </c>
      <c r="B61" s="19" t="inlineStr">
        <is>
          <t>IA-PPWR-STM-ST-021-STD-02-R00</t>
        </is>
      </c>
      <c r="C61" t="inlineStr">
        <is>
          <t>IA-PPWR-STM-ST-021-STD-02-R00</t>
        </is>
      </c>
      <c r="D61" s="19" t="inlineStr">
        <is>
          <t>12</t>
        </is>
      </c>
      <c r="E61" t="inlineStr">
        <is>
          <t>01_STARTER/ST-021-STD-02/04_Shipment_Statement.docx</t>
        </is>
      </c>
      <c r="F61" t="inlineStr">
        <is>
          <t>5bad84aba009da264b0d45a0ee45a472bbc3bfe73fb20b2183df37e14b09acfc</t>
        </is>
      </c>
      <c r="G61" t="inlineStr">
        <is>
          <t>2026-08-08</t>
        </is>
      </c>
      <c r="H61" s="19" t="inlineStr">
        <is>
          <t>2</t>
        </is>
      </c>
      <c r="I61" t="inlineStr">
        <is>
          <t>Phase I generated Rev.00 Word file — linked; signatures not completed</t>
        </is>
      </c>
      <c r="J61" t="inlineStr">
        <is>
          <t>2026-08-10T19:29:54Z</t>
        </is>
      </c>
      <c r="K61" t="inlineStr">
        <is>
          <t>2026-08-10T19:49:40Z</t>
        </is>
      </c>
    </row>
    <row r="62">
      <c r="A62" s="19" t="inlineStr">
        <is>
          <t>61</t>
        </is>
      </c>
      <c r="B62" s="19" t="inlineStr">
        <is>
          <t>IA-PPWR-TF-ST-021-STD-03-R00</t>
        </is>
      </c>
      <c r="C62" t="inlineStr">
        <is>
          <t>IA-PPWR-TF-ST-021-STD-03-R00</t>
        </is>
      </c>
      <c r="D62" s="19" t="inlineStr">
        <is>
          <t>1</t>
        </is>
      </c>
      <c r="E62" t="inlineStr">
        <is>
          <t>01_STARTER/ST-021-STD-03/01_Technical_File.docx</t>
        </is>
      </c>
      <c r="F62" t="inlineStr">
        <is>
          <t>97aabe19b3798c995422eb58ad6f94e6fa1e43b897820a691edfd3f7659afa0c</t>
        </is>
      </c>
      <c r="G62" t="inlineStr">
        <is>
          <t>2026-08-08</t>
        </is>
      </c>
      <c r="H62" s="19" t="inlineStr">
        <is>
          <t>2</t>
        </is>
      </c>
      <c r="I62" t="inlineStr">
        <is>
          <t>Phase I generated Rev.00 Word file — linked; signatures not completed</t>
        </is>
      </c>
      <c r="J62" t="inlineStr">
        <is>
          <t>2026-08-10T19:29:54Z</t>
        </is>
      </c>
      <c r="K62" t="inlineStr">
        <is>
          <t>2026-08-10T19:49:40Z</t>
        </is>
      </c>
    </row>
    <row r="63">
      <c r="A63" s="19" t="inlineStr">
        <is>
          <t>62</t>
        </is>
      </c>
      <c r="B63" s="19" t="inlineStr">
        <is>
          <t>IA-PPWR-DOC-ST-021-STD-03-R00</t>
        </is>
      </c>
      <c r="C63" t="inlineStr">
        <is>
          <t>IA-PPWR-DOC-ST-021-STD-03-R00</t>
        </is>
      </c>
      <c r="D63" s="19" t="inlineStr">
        <is>
          <t>4</t>
        </is>
      </c>
      <c r="E63" t="inlineStr">
        <is>
          <t>01_STARTER/ST-021-STD-03/02_EU_DoC.docx</t>
        </is>
      </c>
      <c r="F63" t="inlineStr">
        <is>
          <t>1bcc61f4f08b842ed30806d5cc4b4d6c963c61a911a556c5f490c140635963fa</t>
        </is>
      </c>
      <c r="G63" t="inlineStr">
        <is>
          <t>2026-08-08</t>
        </is>
      </c>
      <c r="H63" s="19" t="inlineStr">
        <is>
          <t>2</t>
        </is>
      </c>
      <c r="I63" t="inlineStr">
        <is>
          <t>Phase I generated Rev.00 Word file — linked; signatures not completed</t>
        </is>
      </c>
      <c r="J63" t="inlineStr">
        <is>
          <t>2026-08-10T19:29:54Z</t>
        </is>
      </c>
      <c r="K63" t="inlineStr">
        <is>
          <t>2026-08-10T19:49:40Z</t>
        </is>
      </c>
    </row>
    <row r="64">
      <c r="A64" s="19" t="inlineStr">
        <is>
          <t>63</t>
        </is>
      </c>
      <c r="B64" s="19" t="inlineStr">
        <is>
          <t>IA-PPWR-LBL-ST-021-STD-03-R00</t>
        </is>
      </c>
      <c r="C64" t="inlineStr">
        <is>
          <t>IA-PPWR-LBL-ST-021-STD-03-R00</t>
        </is>
      </c>
      <c r="D64" s="19" t="inlineStr">
        <is>
          <t>11</t>
        </is>
      </c>
      <c r="E64" t="inlineStr">
        <is>
          <t>01_STARTER/ST-021-STD-03/03_Label.docx</t>
        </is>
      </c>
      <c r="F64" t="inlineStr">
        <is>
          <t>f7e8f978af1fb5b55e3f5aa6d8e86747691ceaeb37e07d42c5a5b3e88a698f24</t>
        </is>
      </c>
      <c r="G64" t="inlineStr">
        <is>
          <t>2026-08-08</t>
        </is>
      </c>
      <c r="H64" s="19" t="inlineStr">
        <is>
          <t>2</t>
        </is>
      </c>
      <c r="I64" t="inlineStr">
        <is>
          <t>Phase I generated Rev.00 Word file — linked; signatures not completed</t>
        </is>
      </c>
      <c r="J64" t="inlineStr">
        <is>
          <t>2026-08-10T19:29:54Z</t>
        </is>
      </c>
      <c r="K64" t="inlineStr">
        <is>
          <t>2026-08-10T19:49:40Z</t>
        </is>
      </c>
    </row>
    <row r="65">
      <c r="A65" s="19" t="inlineStr">
        <is>
          <t>64</t>
        </is>
      </c>
      <c r="B65" s="19" t="inlineStr">
        <is>
          <t>IA-PPWR-STM-ST-021-STD-03-R00</t>
        </is>
      </c>
      <c r="C65" t="inlineStr">
        <is>
          <t>IA-PPWR-STM-ST-021-STD-03-R00</t>
        </is>
      </c>
      <c r="D65" s="19" t="inlineStr">
        <is>
          <t>12</t>
        </is>
      </c>
      <c r="E65" t="inlineStr">
        <is>
          <t>01_STARTER/ST-021-STD-03/04_Shipment_Statement.docx</t>
        </is>
      </c>
      <c r="F65" t="inlineStr">
        <is>
          <t>7cbf117888e7923fea9dd434a3c9468c870f9721bede0571bcd6844cc84703e8</t>
        </is>
      </c>
      <c r="G65" t="inlineStr">
        <is>
          <t>2026-08-08</t>
        </is>
      </c>
      <c r="H65" s="19" t="inlineStr">
        <is>
          <t>2</t>
        </is>
      </c>
      <c r="I65" t="inlineStr">
        <is>
          <t>Phase I generated Rev.00 Word file — linked; signatures not completed</t>
        </is>
      </c>
      <c r="J65" t="inlineStr">
        <is>
          <t>2026-08-10T19:29:54Z</t>
        </is>
      </c>
      <c r="K65" t="inlineStr">
        <is>
          <t>2026-08-10T19:49:40Z</t>
        </is>
      </c>
    </row>
    <row r="66">
      <c r="A66" s="19" t="inlineStr">
        <is>
          <t>65</t>
        </is>
      </c>
      <c r="B66" s="19" t="inlineStr">
        <is>
          <t>IA-PPWR-TF-ST-021-STD-04-R00</t>
        </is>
      </c>
      <c r="C66" t="inlineStr">
        <is>
          <t>IA-PPWR-TF-ST-021-STD-04-R00</t>
        </is>
      </c>
      <c r="D66" s="19" t="inlineStr">
        <is>
          <t>1</t>
        </is>
      </c>
      <c r="E66" t="inlineStr">
        <is>
          <t>01_STARTER/ST-021-STD-04/01_Technical_File.docx</t>
        </is>
      </c>
      <c r="F66" t="inlineStr">
        <is>
          <t>b1584dfe24d69d3177caeeaca5b8a9702dfac264f02bf3718c8c7c8d9e0ca112</t>
        </is>
      </c>
      <c r="G66" t="inlineStr">
        <is>
          <t>2026-08-08</t>
        </is>
      </c>
      <c r="H66" s="19" t="inlineStr">
        <is>
          <t>2</t>
        </is>
      </c>
      <c r="I66" t="inlineStr">
        <is>
          <t>Phase I generated Rev.00 Word file — linked; signatures not completed</t>
        </is>
      </c>
      <c r="J66" t="inlineStr">
        <is>
          <t>2026-08-10T19:29:54Z</t>
        </is>
      </c>
      <c r="K66" t="inlineStr">
        <is>
          <t>2026-08-10T19:49:40Z</t>
        </is>
      </c>
    </row>
    <row r="67">
      <c r="A67" s="19" t="inlineStr">
        <is>
          <t>66</t>
        </is>
      </c>
      <c r="B67" s="19" t="inlineStr">
        <is>
          <t>IA-PPWR-DOC-ST-021-STD-04-R00</t>
        </is>
      </c>
      <c r="C67" t="inlineStr">
        <is>
          <t>IA-PPWR-DOC-ST-021-STD-04-R00</t>
        </is>
      </c>
      <c r="D67" s="19" t="inlineStr">
        <is>
          <t>4</t>
        </is>
      </c>
      <c r="E67" t="inlineStr">
        <is>
          <t>01_STARTER/ST-021-STD-04/02_EU_DoC.docx</t>
        </is>
      </c>
      <c r="F67" t="inlineStr">
        <is>
          <t>4c795c6c6ac43c365ee169bda1f7079e7a3952164994176d804ffac82ffe93bd</t>
        </is>
      </c>
      <c r="G67" t="inlineStr">
        <is>
          <t>2026-08-08</t>
        </is>
      </c>
      <c r="H67" s="19" t="inlineStr">
        <is>
          <t>2</t>
        </is>
      </c>
      <c r="I67" t="inlineStr">
        <is>
          <t>Phase I generated Rev.00 Word file — linked; signatures not completed</t>
        </is>
      </c>
      <c r="J67" t="inlineStr">
        <is>
          <t>2026-08-10T19:29:54Z</t>
        </is>
      </c>
      <c r="K67" t="inlineStr">
        <is>
          <t>2026-08-10T19:49:40Z</t>
        </is>
      </c>
    </row>
    <row r="68">
      <c r="A68" s="19" t="inlineStr">
        <is>
          <t>67</t>
        </is>
      </c>
      <c r="B68" s="19" t="inlineStr">
        <is>
          <t>IA-PPWR-LBL-ST-021-STD-04-R00</t>
        </is>
      </c>
      <c r="C68" t="inlineStr">
        <is>
          <t>IA-PPWR-LBL-ST-021-STD-04-R00</t>
        </is>
      </c>
      <c r="D68" s="19" t="inlineStr">
        <is>
          <t>11</t>
        </is>
      </c>
      <c r="E68" t="inlineStr">
        <is>
          <t>01_STARTER/ST-021-STD-04/03_Label.docx</t>
        </is>
      </c>
      <c r="F68" t="inlineStr">
        <is>
          <t>9ed400d592fe8419dd069f09521d8a6d2ff5ea8c058352da093cb7e6d68b65d4</t>
        </is>
      </c>
      <c r="G68" t="inlineStr">
        <is>
          <t>2026-08-08</t>
        </is>
      </c>
      <c r="H68" s="19" t="inlineStr">
        <is>
          <t>2</t>
        </is>
      </c>
      <c r="I68" t="inlineStr">
        <is>
          <t>Phase I generated Rev.00 Word file — linked; signatures not completed</t>
        </is>
      </c>
      <c r="J68" t="inlineStr">
        <is>
          <t>2026-08-10T19:29:54Z</t>
        </is>
      </c>
      <c r="K68" t="inlineStr">
        <is>
          <t>2026-08-10T19:49:40Z</t>
        </is>
      </c>
    </row>
    <row r="69">
      <c r="A69" s="19" t="inlineStr">
        <is>
          <t>68</t>
        </is>
      </c>
      <c r="B69" s="19" t="inlineStr">
        <is>
          <t>IA-PPWR-STM-ST-021-STD-04-R00</t>
        </is>
      </c>
      <c r="C69" t="inlineStr">
        <is>
          <t>IA-PPWR-STM-ST-021-STD-04-R00</t>
        </is>
      </c>
      <c r="D69" s="19" t="inlineStr">
        <is>
          <t>12</t>
        </is>
      </c>
      <c r="E69" t="inlineStr">
        <is>
          <t>01_STARTER/ST-021-STD-04/04_Shipment_Statement.docx</t>
        </is>
      </c>
      <c r="F69" t="inlineStr">
        <is>
          <t>caf07994fb06cb6897a87c45caccd4a2891388a33494b2ddb80bd6a8d160abe1</t>
        </is>
      </c>
      <c r="G69" t="inlineStr">
        <is>
          <t>2026-08-08</t>
        </is>
      </c>
      <c r="H69" s="19" t="inlineStr">
        <is>
          <t>2</t>
        </is>
      </c>
      <c r="I69" t="inlineStr">
        <is>
          <t>Phase I generated Rev.00 Word file — linked; signatures not completed</t>
        </is>
      </c>
      <c r="J69" t="inlineStr">
        <is>
          <t>2026-08-10T19:29:54Z</t>
        </is>
      </c>
      <c r="K69" t="inlineStr">
        <is>
          <t>2026-08-10T19:49:40Z</t>
        </is>
      </c>
    </row>
    <row r="70">
      <c r="A70" s="19" t="inlineStr">
        <is>
          <t>69</t>
        </is>
      </c>
      <c r="B70" s="19" t="inlineStr">
        <is>
          <t>IA-PPWR-TF-ST-021-STD-05-R00</t>
        </is>
      </c>
      <c r="C70" t="inlineStr">
        <is>
          <t>IA-PPWR-TF-ST-021-STD-05-R00</t>
        </is>
      </c>
      <c r="D70" s="19" t="inlineStr">
        <is>
          <t>1</t>
        </is>
      </c>
      <c r="E70" t="inlineStr">
        <is>
          <t>01_STARTER/ST-021-STD-05/01_Technical_File.docx</t>
        </is>
      </c>
      <c r="F70" t="inlineStr">
        <is>
          <t>2b8584c20946faa88e523502d1bdc1591b7a60e6375951678c0ccbf942e0a329</t>
        </is>
      </c>
      <c r="G70" t="inlineStr">
        <is>
          <t>2026-08-08</t>
        </is>
      </c>
      <c r="H70" s="19" t="inlineStr">
        <is>
          <t>2</t>
        </is>
      </c>
      <c r="I70" t="inlineStr">
        <is>
          <t>Phase I generated Rev.00 Word file — linked; signatures not completed</t>
        </is>
      </c>
      <c r="J70" t="inlineStr">
        <is>
          <t>2026-08-10T19:29:54Z</t>
        </is>
      </c>
      <c r="K70" t="inlineStr">
        <is>
          <t>2026-08-10T19:49:40Z</t>
        </is>
      </c>
    </row>
    <row r="71">
      <c r="A71" s="19" t="inlineStr">
        <is>
          <t>70</t>
        </is>
      </c>
      <c r="B71" s="19" t="inlineStr">
        <is>
          <t>IA-PPWR-DOC-ST-021-STD-05-R00</t>
        </is>
      </c>
      <c r="C71" t="inlineStr">
        <is>
          <t>IA-PPWR-DOC-ST-021-STD-05-R00</t>
        </is>
      </c>
      <c r="D71" s="19" t="inlineStr">
        <is>
          <t>4</t>
        </is>
      </c>
      <c r="E71" t="inlineStr">
        <is>
          <t>01_STARTER/ST-021-STD-05/02_EU_DoC.docx</t>
        </is>
      </c>
      <c r="F71" t="inlineStr">
        <is>
          <t>6a089182e586d5d34f9fecf97c6b190ada2300d9ba8d10fce64ec8becb794cc4</t>
        </is>
      </c>
      <c r="G71" t="inlineStr">
        <is>
          <t>2026-08-08</t>
        </is>
      </c>
      <c r="H71" s="19" t="inlineStr">
        <is>
          <t>2</t>
        </is>
      </c>
      <c r="I71" t="inlineStr">
        <is>
          <t>Phase I generated Rev.00 Word file — linked; signatures not completed</t>
        </is>
      </c>
      <c r="J71" t="inlineStr">
        <is>
          <t>2026-08-10T19:29:54Z</t>
        </is>
      </c>
      <c r="K71" t="inlineStr">
        <is>
          <t>2026-08-10T19:49:40Z</t>
        </is>
      </c>
    </row>
    <row r="72">
      <c r="A72" s="19" t="inlineStr">
        <is>
          <t>71</t>
        </is>
      </c>
      <c r="B72" s="19" t="inlineStr">
        <is>
          <t>IA-PPWR-LBL-ST-021-STD-05-R00</t>
        </is>
      </c>
      <c r="C72" t="inlineStr">
        <is>
          <t>IA-PPWR-LBL-ST-021-STD-05-R00</t>
        </is>
      </c>
      <c r="D72" s="19" t="inlineStr">
        <is>
          <t>11</t>
        </is>
      </c>
      <c r="E72" t="inlineStr">
        <is>
          <t>01_STARTER/ST-021-STD-05/03_Label.docx</t>
        </is>
      </c>
      <c r="F72" t="inlineStr">
        <is>
          <t>e3c6e9816e59e018ff4253781239a84c68d5d633721761e3daff92b6a2001d57</t>
        </is>
      </c>
      <c r="G72" t="inlineStr">
        <is>
          <t>2026-08-08</t>
        </is>
      </c>
      <c r="H72" s="19" t="inlineStr">
        <is>
          <t>2</t>
        </is>
      </c>
      <c r="I72" t="inlineStr">
        <is>
          <t>Phase I generated Rev.00 Word file — linked; signatures not completed</t>
        </is>
      </c>
      <c r="J72" t="inlineStr">
        <is>
          <t>2026-08-10T19:29:54Z</t>
        </is>
      </c>
      <c r="K72" t="inlineStr">
        <is>
          <t>2026-08-10T19:49:40Z</t>
        </is>
      </c>
    </row>
    <row r="73">
      <c r="A73" s="19" t="inlineStr">
        <is>
          <t>72</t>
        </is>
      </c>
      <c r="B73" s="19" t="inlineStr">
        <is>
          <t>IA-PPWR-STM-ST-021-STD-05-R00</t>
        </is>
      </c>
      <c r="C73" t="inlineStr">
        <is>
          <t>IA-PPWR-STM-ST-021-STD-05-R00</t>
        </is>
      </c>
      <c r="D73" s="19" t="inlineStr">
        <is>
          <t>12</t>
        </is>
      </c>
      <c r="E73" t="inlineStr">
        <is>
          <t>01_STARTER/ST-021-STD-05/04_Shipment_Statement.docx</t>
        </is>
      </c>
      <c r="F73" t="inlineStr">
        <is>
          <t>de64f8d76c10738dac0d69eab119dd214e53681a199fc53f7bd25aafef044608</t>
        </is>
      </c>
      <c r="G73" t="inlineStr">
        <is>
          <t>2026-08-08</t>
        </is>
      </c>
      <c r="H73" s="19" t="inlineStr">
        <is>
          <t>2</t>
        </is>
      </c>
      <c r="I73" t="inlineStr">
        <is>
          <t>Phase I generated Rev.00 Word file — linked; signatures not completed</t>
        </is>
      </c>
      <c r="J73" t="inlineStr">
        <is>
          <t>2026-08-10T19:29:54Z</t>
        </is>
      </c>
      <c r="K73" t="inlineStr">
        <is>
          <t>2026-08-10T19:49:40Z</t>
        </is>
      </c>
    </row>
    <row r="74">
      <c r="A74" s="19" t="inlineStr">
        <is>
          <t>73</t>
        </is>
      </c>
      <c r="B74" s="19" t="inlineStr">
        <is>
          <t>IA-PPWR-TF-ST-024-EUR-01-R00</t>
        </is>
      </c>
      <c r="C74" t="inlineStr">
        <is>
          <t>IA-PPWR-TF-ST-024-EUR-01-R00</t>
        </is>
      </c>
      <c r="D74" s="19" t="inlineStr">
        <is>
          <t>1</t>
        </is>
      </c>
      <c r="E74" t="inlineStr">
        <is>
          <t>01_STARTER/ST-024-EUR-01/01_Technical_File.docx</t>
        </is>
      </c>
      <c r="F74" t="inlineStr">
        <is>
          <t>82729cbbaa4fb78dfbbfefa0d759731a32fba437ad722211bd94db44424d803d</t>
        </is>
      </c>
      <c r="G74" t="inlineStr">
        <is>
          <t>2026-08-08</t>
        </is>
      </c>
      <c r="H74" s="19" t="inlineStr">
        <is>
          <t>2</t>
        </is>
      </c>
      <c r="I74" t="inlineStr">
        <is>
          <t>Phase I generated Rev.00 Word file — linked; signatures not completed</t>
        </is>
      </c>
      <c r="J74" t="inlineStr">
        <is>
          <t>2026-08-10T19:29:54Z</t>
        </is>
      </c>
      <c r="K74" t="inlineStr">
        <is>
          <t>2026-08-10T19:49:40Z</t>
        </is>
      </c>
    </row>
    <row r="75">
      <c r="A75" s="19" t="inlineStr">
        <is>
          <t>74</t>
        </is>
      </c>
      <c r="B75" s="19" t="inlineStr">
        <is>
          <t>IA-PPWR-DOC-ST-024-EUR-01-R00</t>
        </is>
      </c>
      <c r="C75" t="inlineStr">
        <is>
          <t>IA-PPWR-DOC-ST-024-EUR-01-R00</t>
        </is>
      </c>
      <c r="D75" s="19" t="inlineStr">
        <is>
          <t>4</t>
        </is>
      </c>
      <c r="E75" t="inlineStr">
        <is>
          <t>01_STARTER/ST-024-EUR-01/02_EU_DoC.docx</t>
        </is>
      </c>
      <c r="F75" t="inlineStr">
        <is>
          <t>259574fda5dea23ee5dc58e9394b458115cc99cf677c4bf16aadac095ae2ed83</t>
        </is>
      </c>
      <c r="G75" t="inlineStr">
        <is>
          <t>2026-08-08</t>
        </is>
      </c>
      <c r="H75" s="19" t="inlineStr">
        <is>
          <t>2</t>
        </is>
      </c>
      <c r="I75" t="inlineStr">
        <is>
          <t>Phase I generated Rev.00 Word file — linked; signatures not completed</t>
        </is>
      </c>
      <c r="J75" t="inlineStr">
        <is>
          <t>2026-08-10T19:29:54Z</t>
        </is>
      </c>
      <c r="K75" t="inlineStr">
        <is>
          <t>2026-08-10T19:49:40Z</t>
        </is>
      </c>
    </row>
    <row r="76">
      <c r="A76" s="19" t="inlineStr">
        <is>
          <t>75</t>
        </is>
      </c>
      <c r="B76" s="19" t="inlineStr">
        <is>
          <t>IA-PPWR-LBL-ST-024-EUR-01-R00</t>
        </is>
      </c>
      <c r="C76" t="inlineStr">
        <is>
          <t>IA-PPWR-LBL-ST-024-EUR-01-R00</t>
        </is>
      </c>
      <c r="D76" s="19" t="inlineStr">
        <is>
          <t>11</t>
        </is>
      </c>
      <c r="E76" t="inlineStr">
        <is>
          <t>01_STARTER/ST-024-EUR-01/03_Label.docx</t>
        </is>
      </c>
      <c r="F76" t="inlineStr">
        <is>
          <t>ce7a9b2eecb1813bfe056d7d36854dad629c935a0a39b43e709a84b0f21db001</t>
        </is>
      </c>
      <c r="G76" t="inlineStr">
        <is>
          <t>2026-08-08</t>
        </is>
      </c>
      <c r="H76" s="19" t="inlineStr">
        <is>
          <t>2</t>
        </is>
      </c>
      <c r="I76" t="inlineStr">
        <is>
          <t>Phase I generated Rev.00 Word file — linked; signatures not completed</t>
        </is>
      </c>
      <c r="J76" t="inlineStr">
        <is>
          <t>2026-08-10T19:29:54Z</t>
        </is>
      </c>
      <c r="K76" t="inlineStr">
        <is>
          <t>2026-08-10T19:49:40Z</t>
        </is>
      </c>
    </row>
    <row r="77">
      <c r="A77" s="19" t="inlineStr">
        <is>
          <t>76</t>
        </is>
      </c>
      <c r="B77" s="19" t="inlineStr">
        <is>
          <t>IA-PPWR-STM-ST-024-EUR-01-R00</t>
        </is>
      </c>
      <c r="C77" t="inlineStr">
        <is>
          <t>IA-PPWR-STM-ST-024-EUR-01-R00</t>
        </is>
      </c>
      <c r="D77" s="19" t="inlineStr">
        <is>
          <t>12</t>
        </is>
      </c>
      <c r="E77" t="inlineStr">
        <is>
          <t>01_STARTER/ST-024-EUR-01/04_Shipment_Statement.docx</t>
        </is>
      </c>
      <c r="F77" t="inlineStr">
        <is>
          <t>b378f092cf94ab7a7ce4d372a5b797cff1e36d8f53be675474fba776ba905776</t>
        </is>
      </c>
      <c r="G77" t="inlineStr">
        <is>
          <t>2026-08-08</t>
        </is>
      </c>
      <c r="H77" s="19" t="inlineStr">
        <is>
          <t>2</t>
        </is>
      </c>
      <c r="I77" t="inlineStr">
        <is>
          <t>Phase I generated Rev.00 Word file — linked; signatures not completed</t>
        </is>
      </c>
      <c r="J77" t="inlineStr">
        <is>
          <t>2026-08-10T19:29:54Z</t>
        </is>
      </c>
      <c r="K77" t="inlineStr">
        <is>
          <t>2026-08-10T19:49:40Z</t>
        </is>
      </c>
    </row>
    <row r="78">
      <c r="A78" s="19" t="inlineStr">
        <is>
          <t>77</t>
        </is>
      </c>
      <c r="B78" s="19" t="inlineStr">
        <is>
          <t>IA-PPWR-TF-ST-024-EUR-02-R00</t>
        </is>
      </c>
      <c r="C78" t="inlineStr">
        <is>
          <t>IA-PPWR-TF-ST-024-EUR-02-R00</t>
        </is>
      </c>
      <c r="D78" s="19" t="inlineStr">
        <is>
          <t>1</t>
        </is>
      </c>
      <c r="E78" t="inlineStr">
        <is>
          <t>01_STARTER/ST-024-EUR-02/01_Technical_File.docx</t>
        </is>
      </c>
      <c r="F78" t="inlineStr">
        <is>
          <t>c209dff2e67fee7f2cb405fde330d7f2bdfee48ca5bdd7f35e6f116a74bfe118</t>
        </is>
      </c>
      <c r="G78" t="inlineStr">
        <is>
          <t>2026-08-08</t>
        </is>
      </c>
      <c r="H78" s="19" t="inlineStr">
        <is>
          <t>2</t>
        </is>
      </c>
      <c r="I78" t="inlineStr">
        <is>
          <t>Phase I generated Rev.00 Word file — linked; signatures not completed</t>
        </is>
      </c>
      <c r="J78" t="inlineStr">
        <is>
          <t>2026-08-10T19:29:54Z</t>
        </is>
      </c>
      <c r="K78" t="inlineStr">
        <is>
          <t>2026-08-10T19:49:40Z</t>
        </is>
      </c>
    </row>
    <row r="79">
      <c r="A79" s="19" t="inlineStr">
        <is>
          <t>78</t>
        </is>
      </c>
      <c r="B79" s="19" t="inlineStr">
        <is>
          <t>IA-PPWR-DOC-ST-024-EUR-02-R00</t>
        </is>
      </c>
      <c r="C79" t="inlineStr">
        <is>
          <t>IA-PPWR-DOC-ST-024-EUR-02-R00</t>
        </is>
      </c>
      <c r="D79" s="19" t="inlineStr">
        <is>
          <t>4</t>
        </is>
      </c>
      <c r="E79" t="inlineStr">
        <is>
          <t>01_STARTER/ST-024-EUR-02/02_EU_DoC.docx</t>
        </is>
      </c>
      <c r="F79" t="inlineStr">
        <is>
          <t>3210d11fe4bc2b8a2a2dc6c793856e904ae782d0ce09a42411e5059e86e3ea2f</t>
        </is>
      </c>
      <c r="G79" t="inlineStr">
        <is>
          <t>2026-08-08</t>
        </is>
      </c>
      <c r="H79" s="19" t="inlineStr">
        <is>
          <t>2</t>
        </is>
      </c>
      <c r="I79" t="inlineStr">
        <is>
          <t>Phase I generated Rev.00 Word file — linked; signatures not completed</t>
        </is>
      </c>
      <c r="J79" t="inlineStr">
        <is>
          <t>2026-08-10T19:29:54Z</t>
        </is>
      </c>
      <c r="K79" t="inlineStr">
        <is>
          <t>2026-08-10T19:49:40Z</t>
        </is>
      </c>
    </row>
    <row r="80">
      <c r="A80" s="19" t="inlineStr">
        <is>
          <t>79</t>
        </is>
      </c>
      <c r="B80" s="19" t="inlineStr">
        <is>
          <t>IA-PPWR-LBL-ST-024-EUR-02-R00</t>
        </is>
      </c>
      <c r="C80" t="inlineStr">
        <is>
          <t>IA-PPWR-LBL-ST-024-EUR-02-R00</t>
        </is>
      </c>
      <c r="D80" s="19" t="inlineStr">
        <is>
          <t>11</t>
        </is>
      </c>
      <c r="E80" t="inlineStr">
        <is>
          <t>01_STARTER/ST-024-EUR-02/03_Label.docx</t>
        </is>
      </c>
      <c r="F80" t="inlineStr">
        <is>
          <t>6c9a78504590d7169560294a8b76d63a5f03caf93770ce2f8a297af5cd78132c</t>
        </is>
      </c>
      <c r="G80" t="inlineStr">
        <is>
          <t>2026-08-08</t>
        </is>
      </c>
      <c r="H80" s="19" t="inlineStr">
        <is>
          <t>2</t>
        </is>
      </c>
      <c r="I80" t="inlineStr">
        <is>
          <t>Phase I generated Rev.00 Word file — linked; signatures not completed</t>
        </is>
      </c>
      <c r="J80" t="inlineStr">
        <is>
          <t>2026-08-10T19:29:54Z</t>
        </is>
      </c>
      <c r="K80" t="inlineStr">
        <is>
          <t>2026-08-10T19:49:40Z</t>
        </is>
      </c>
    </row>
    <row r="81">
      <c r="A81" s="19" t="inlineStr">
        <is>
          <t>80</t>
        </is>
      </c>
      <c r="B81" s="19" t="inlineStr">
        <is>
          <t>IA-PPWR-STM-ST-024-EUR-02-R00</t>
        </is>
      </c>
      <c r="C81" t="inlineStr">
        <is>
          <t>IA-PPWR-STM-ST-024-EUR-02-R00</t>
        </is>
      </c>
      <c r="D81" s="19" t="inlineStr">
        <is>
          <t>12</t>
        </is>
      </c>
      <c r="E81" t="inlineStr">
        <is>
          <t>01_STARTER/ST-024-EUR-02/04_Shipment_Statement.docx</t>
        </is>
      </c>
      <c r="F81" t="inlineStr">
        <is>
          <t>5657b68e4fbf73ac2dfeb99b0c57b756d6e959ab307315322c7af2113f3322e3</t>
        </is>
      </c>
      <c r="G81" t="inlineStr">
        <is>
          <t>2026-08-08</t>
        </is>
      </c>
      <c r="H81" s="19" t="inlineStr">
        <is>
          <t>2</t>
        </is>
      </c>
      <c r="I81" t="inlineStr">
        <is>
          <t>Phase I generated Rev.00 Word file — linked; signatures not completed</t>
        </is>
      </c>
      <c r="J81" t="inlineStr">
        <is>
          <t>2026-08-10T19:29:54Z</t>
        </is>
      </c>
      <c r="K81" t="inlineStr">
        <is>
          <t>2026-08-10T19:49:40Z</t>
        </is>
      </c>
    </row>
    <row r="82">
      <c r="A82" s="19" t="inlineStr">
        <is>
          <t>81</t>
        </is>
      </c>
      <c r="B82" s="19" t="inlineStr">
        <is>
          <t>IA-PPWR-TF-ST-024-EUR-03-R00</t>
        </is>
      </c>
      <c r="C82" t="inlineStr">
        <is>
          <t>IA-PPWR-TF-ST-024-EUR-03-R00</t>
        </is>
      </c>
      <c r="D82" s="19" t="inlineStr">
        <is>
          <t>1</t>
        </is>
      </c>
      <c r="E82" t="inlineStr">
        <is>
          <t>01_STARTER/ST-024-EUR-03/01_Technical_File.docx</t>
        </is>
      </c>
      <c r="F82" t="inlineStr">
        <is>
          <t>b97fdf0ec7a845febeb65c49bbc479a7212d055118531b0cbc58d570faac0791</t>
        </is>
      </c>
      <c r="G82" t="inlineStr">
        <is>
          <t>2026-08-08</t>
        </is>
      </c>
      <c r="H82" s="19" t="inlineStr">
        <is>
          <t>2</t>
        </is>
      </c>
      <c r="I82" t="inlineStr">
        <is>
          <t>Phase I generated Rev.00 Word file — linked; signatures not completed</t>
        </is>
      </c>
      <c r="J82" t="inlineStr">
        <is>
          <t>2026-08-10T19:29:54Z</t>
        </is>
      </c>
      <c r="K82" t="inlineStr">
        <is>
          <t>2026-08-10T19:49:40Z</t>
        </is>
      </c>
    </row>
    <row r="83">
      <c r="A83" s="19" t="inlineStr">
        <is>
          <t>82</t>
        </is>
      </c>
      <c r="B83" s="19" t="inlineStr">
        <is>
          <t>IA-PPWR-DOC-ST-024-EUR-03-R00</t>
        </is>
      </c>
      <c r="C83" t="inlineStr">
        <is>
          <t>IA-PPWR-DOC-ST-024-EUR-03-R00</t>
        </is>
      </c>
      <c r="D83" s="19" t="inlineStr">
        <is>
          <t>4</t>
        </is>
      </c>
      <c r="E83" t="inlineStr">
        <is>
          <t>01_STARTER/ST-024-EUR-03/02_EU_DoC.docx</t>
        </is>
      </c>
      <c r="F83" t="inlineStr">
        <is>
          <t>ea308164bf24965e006e61fb4b79bcf0272c02d0d124ad93ddcd30b4877167a6</t>
        </is>
      </c>
      <c r="G83" t="inlineStr">
        <is>
          <t>2026-08-08</t>
        </is>
      </c>
      <c r="H83" s="19" t="inlineStr">
        <is>
          <t>2</t>
        </is>
      </c>
      <c r="I83" t="inlineStr">
        <is>
          <t>Phase I generated Rev.00 Word file — linked; signatures not completed</t>
        </is>
      </c>
      <c r="J83" t="inlineStr">
        <is>
          <t>2026-08-10T19:29:54Z</t>
        </is>
      </c>
      <c r="K83" t="inlineStr">
        <is>
          <t>2026-08-10T19:49:40Z</t>
        </is>
      </c>
    </row>
    <row r="84">
      <c r="A84" s="19" t="inlineStr">
        <is>
          <t>83</t>
        </is>
      </c>
      <c r="B84" s="19" t="inlineStr">
        <is>
          <t>IA-PPWR-LBL-ST-024-EUR-03-R00</t>
        </is>
      </c>
      <c r="C84" t="inlineStr">
        <is>
          <t>IA-PPWR-LBL-ST-024-EUR-03-R00</t>
        </is>
      </c>
      <c r="D84" s="19" t="inlineStr">
        <is>
          <t>11</t>
        </is>
      </c>
      <c r="E84" t="inlineStr">
        <is>
          <t>01_STARTER/ST-024-EUR-03/03_Label.docx</t>
        </is>
      </c>
      <c r="F84" t="inlineStr">
        <is>
          <t>18ca63efc98d88842dec71769b33aabf0c77fe61081ee05d5f6843942300df6c</t>
        </is>
      </c>
      <c r="G84" t="inlineStr">
        <is>
          <t>2026-08-08</t>
        </is>
      </c>
      <c r="H84" s="19" t="inlineStr">
        <is>
          <t>2</t>
        </is>
      </c>
      <c r="I84" t="inlineStr">
        <is>
          <t>Phase I generated Rev.00 Word file — linked; signatures not completed</t>
        </is>
      </c>
      <c r="J84" t="inlineStr">
        <is>
          <t>2026-08-10T19:29:54Z</t>
        </is>
      </c>
      <c r="K84" t="inlineStr">
        <is>
          <t>2026-08-10T19:49:40Z</t>
        </is>
      </c>
    </row>
    <row r="85">
      <c r="A85" s="19" t="inlineStr">
        <is>
          <t>84</t>
        </is>
      </c>
      <c r="B85" s="19" t="inlineStr">
        <is>
          <t>IA-PPWR-STM-ST-024-EUR-03-R00</t>
        </is>
      </c>
      <c r="C85" t="inlineStr">
        <is>
          <t>IA-PPWR-STM-ST-024-EUR-03-R00</t>
        </is>
      </c>
      <c r="D85" s="19" t="inlineStr">
        <is>
          <t>12</t>
        </is>
      </c>
      <c r="E85" t="inlineStr">
        <is>
          <t>01_STARTER/ST-024-EUR-03/04_Shipment_Statement.docx</t>
        </is>
      </c>
      <c r="F85" t="inlineStr">
        <is>
          <t>5837d1df24fc7c207d84e55d01aacda1e73317da2ec977db96bca8136871488e</t>
        </is>
      </c>
      <c r="G85" t="inlineStr">
        <is>
          <t>2026-08-08</t>
        </is>
      </c>
      <c r="H85" s="19" t="inlineStr">
        <is>
          <t>2</t>
        </is>
      </c>
      <c r="I85" t="inlineStr">
        <is>
          <t>Phase I generated Rev.00 Word file — linked; signatures not completed</t>
        </is>
      </c>
      <c r="J85" t="inlineStr">
        <is>
          <t>2026-08-10T19:29:54Z</t>
        </is>
      </c>
      <c r="K85" t="inlineStr">
        <is>
          <t>2026-08-10T19:49:40Z</t>
        </is>
      </c>
    </row>
    <row r="86">
      <c r="A86" s="19" t="inlineStr">
        <is>
          <t>85</t>
        </is>
      </c>
      <c r="B86" s="19" t="inlineStr">
        <is>
          <t>IA-PPWR-TF-ST-024-EUR-04-R00</t>
        </is>
      </c>
      <c r="C86" t="inlineStr">
        <is>
          <t>IA-PPWR-TF-ST-024-EUR-04-R00</t>
        </is>
      </c>
      <c r="D86" s="19" t="inlineStr">
        <is>
          <t>1</t>
        </is>
      </c>
      <c r="E86" t="inlineStr">
        <is>
          <t>01_STARTER/ST-024-EUR-04/01_Technical_File.docx</t>
        </is>
      </c>
      <c r="F86" t="inlineStr">
        <is>
          <t>f07c741d83ce575669f48857e16a0b7287db0fd603d89bc560a8e61650c020da</t>
        </is>
      </c>
      <c r="G86" t="inlineStr">
        <is>
          <t>2026-08-08</t>
        </is>
      </c>
      <c r="H86" s="19" t="inlineStr">
        <is>
          <t>2</t>
        </is>
      </c>
      <c r="I86" t="inlineStr">
        <is>
          <t>Phase I generated Rev.00 Word file — linked; signatures not completed</t>
        </is>
      </c>
      <c r="J86" t="inlineStr">
        <is>
          <t>2026-08-10T19:29:54Z</t>
        </is>
      </c>
      <c r="K86" t="inlineStr">
        <is>
          <t>2026-08-10T19:49:40Z</t>
        </is>
      </c>
    </row>
    <row r="87">
      <c r="A87" s="19" t="inlineStr">
        <is>
          <t>86</t>
        </is>
      </c>
      <c r="B87" s="19" t="inlineStr">
        <is>
          <t>IA-PPWR-DOC-ST-024-EUR-04-R00</t>
        </is>
      </c>
      <c r="C87" t="inlineStr">
        <is>
          <t>IA-PPWR-DOC-ST-024-EUR-04-R00</t>
        </is>
      </c>
      <c r="D87" s="19" t="inlineStr">
        <is>
          <t>4</t>
        </is>
      </c>
      <c r="E87" t="inlineStr">
        <is>
          <t>01_STARTER/ST-024-EUR-04/02_EU_DoC.docx</t>
        </is>
      </c>
      <c r="F87" t="inlineStr">
        <is>
          <t>0b6316c2457495d77d663ddaec54b71086346a240f28f2773d63bbf334d08d26</t>
        </is>
      </c>
      <c r="G87" t="inlineStr">
        <is>
          <t>2026-08-08</t>
        </is>
      </c>
      <c r="H87" s="19" t="inlineStr">
        <is>
          <t>2</t>
        </is>
      </c>
      <c r="I87" t="inlineStr">
        <is>
          <t>Phase I generated Rev.00 Word file — linked; signatures not completed</t>
        </is>
      </c>
      <c r="J87" t="inlineStr">
        <is>
          <t>2026-08-10T19:29:54Z</t>
        </is>
      </c>
      <c r="K87" t="inlineStr">
        <is>
          <t>2026-08-10T19:49:40Z</t>
        </is>
      </c>
    </row>
    <row r="88">
      <c r="A88" s="19" t="inlineStr">
        <is>
          <t>87</t>
        </is>
      </c>
      <c r="B88" s="19" t="inlineStr">
        <is>
          <t>IA-PPWR-LBL-ST-024-EUR-04-R00</t>
        </is>
      </c>
      <c r="C88" t="inlineStr">
        <is>
          <t>IA-PPWR-LBL-ST-024-EUR-04-R00</t>
        </is>
      </c>
      <c r="D88" s="19" t="inlineStr">
        <is>
          <t>11</t>
        </is>
      </c>
      <c r="E88" t="inlineStr">
        <is>
          <t>01_STARTER/ST-024-EUR-04/03_Label.docx</t>
        </is>
      </c>
      <c r="F88" t="inlineStr">
        <is>
          <t>f77a4872a06a057069f20074d49aaeaa9fc4e96f9b199fc614181d83e62caeb4</t>
        </is>
      </c>
      <c r="G88" t="inlineStr">
        <is>
          <t>2026-08-08</t>
        </is>
      </c>
      <c r="H88" s="19" t="inlineStr">
        <is>
          <t>2</t>
        </is>
      </c>
      <c r="I88" t="inlineStr">
        <is>
          <t>Phase I generated Rev.00 Word file — linked; signatures not completed</t>
        </is>
      </c>
      <c r="J88" t="inlineStr">
        <is>
          <t>2026-08-10T19:29:54Z</t>
        </is>
      </c>
      <c r="K88" t="inlineStr">
        <is>
          <t>2026-08-10T19:49:40Z</t>
        </is>
      </c>
    </row>
    <row r="89">
      <c r="A89" s="19" t="inlineStr">
        <is>
          <t>88</t>
        </is>
      </c>
      <c r="B89" s="19" t="inlineStr">
        <is>
          <t>IA-PPWR-STM-ST-024-EUR-04-R00</t>
        </is>
      </c>
      <c r="C89" t="inlineStr">
        <is>
          <t>IA-PPWR-STM-ST-024-EUR-04-R00</t>
        </is>
      </c>
      <c r="D89" s="19" t="inlineStr">
        <is>
          <t>12</t>
        </is>
      </c>
      <c r="E89" t="inlineStr">
        <is>
          <t>01_STARTER/ST-024-EUR-04/04_Shipment_Statement.docx</t>
        </is>
      </c>
      <c r="F89" t="inlineStr">
        <is>
          <t>903fca14fcd61d9d37f431b76dc2896353896dbadb544671c870a719f20c41e6</t>
        </is>
      </c>
      <c r="G89" t="inlineStr">
        <is>
          <t>2026-08-08</t>
        </is>
      </c>
      <c r="H89" s="19" t="inlineStr">
        <is>
          <t>2</t>
        </is>
      </c>
      <c r="I89" t="inlineStr">
        <is>
          <t>Phase I generated Rev.00 Word file — linked; signatures not completed</t>
        </is>
      </c>
      <c r="J89" t="inlineStr">
        <is>
          <t>2026-08-10T19:29:54Z</t>
        </is>
      </c>
      <c r="K89" t="inlineStr">
        <is>
          <t>2026-08-10T19:49:40Z</t>
        </is>
      </c>
    </row>
    <row r="90">
      <c r="A90" s="19" t="inlineStr">
        <is>
          <t>89</t>
        </is>
      </c>
      <c r="B90" s="19" t="inlineStr">
        <is>
          <t>IA-PPWR-TF-ST-024-STD-01-R00</t>
        </is>
      </c>
      <c r="C90" t="inlineStr">
        <is>
          <t>IA-PPWR-TF-ST-024-STD-01-R00</t>
        </is>
      </c>
      <c r="D90" s="19" t="inlineStr">
        <is>
          <t>1</t>
        </is>
      </c>
      <c r="E90" t="inlineStr">
        <is>
          <t>01_STARTER/ST-024-STD-01/01_Technical_File.docx</t>
        </is>
      </c>
      <c r="F90" t="inlineStr">
        <is>
          <t>75e45db280f45cac7b2e86592ae8bbdd729932f712365cd317add92eb8ae8b50</t>
        </is>
      </c>
      <c r="G90" t="inlineStr">
        <is>
          <t>2026-08-08</t>
        </is>
      </c>
      <c r="H90" s="19" t="inlineStr">
        <is>
          <t>2</t>
        </is>
      </c>
      <c r="I90" t="inlineStr">
        <is>
          <t>Phase I generated Rev.00 Word file — linked; signatures not completed</t>
        </is>
      </c>
      <c r="J90" t="inlineStr">
        <is>
          <t>2026-08-10T19:29:54Z</t>
        </is>
      </c>
      <c r="K90" t="inlineStr">
        <is>
          <t>2026-08-10T19:49:40Z</t>
        </is>
      </c>
    </row>
    <row r="91">
      <c r="A91" s="19" t="inlineStr">
        <is>
          <t>90</t>
        </is>
      </c>
      <c r="B91" s="19" t="inlineStr">
        <is>
          <t>IA-PPWR-DOC-ST-024-STD-01-R00</t>
        </is>
      </c>
      <c r="C91" t="inlineStr">
        <is>
          <t>IA-PPWR-DOC-ST-024-STD-01-R00</t>
        </is>
      </c>
      <c r="D91" s="19" t="inlineStr">
        <is>
          <t>4</t>
        </is>
      </c>
      <c r="E91" t="inlineStr">
        <is>
          <t>01_STARTER/ST-024-STD-01/02_EU_DoC.docx</t>
        </is>
      </c>
      <c r="F91" t="inlineStr">
        <is>
          <t>3a9500f82e46e78ea923fd2a9046e897c7af34be1f69622bc09dab04f7e32717</t>
        </is>
      </c>
      <c r="G91" t="inlineStr">
        <is>
          <t>2026-08-08</t>
        </is>
      </c>
      <c r="H91" s="19" t="inlineStr">
        <is>
          <t>2</t>
        </is>
      </c>
      <c r="I91" t="inlineStr">
        <is>
          <t>Phase I generated Rev.00 Word file — linked; signatures not completed</t>
        </is>
      </c>
      <c r="J91" t="inlineStr">
        <is>
          <t>2026-08-10T19:29:54Z</t>
        </is>
      </c>
      <c r="K91" t="inlineStr">
        <is>
          <t>2026-08-10T19:49:40Z</t>
        </is>
      </c>
    </row>
    <row r="92">
      <c r="A92" s="19" t="inlineStr">
        <is>
          <t>91</t>
        </is>
      </c>
      <c r="B92" s="19" t="inlineStr">
        <is>
          <t>IA-PPWR-LBL-ST-024-STD-01-R00</t>
        </is>
      </c>
      <c r="C92" t="inlineStr">
        <is>
          <t>IA-PPWR-LBL-ST-024-STD-01-R00</t>
        </is>
      </c>
      <c r="D92" s="19" t="inlineStr">
        <is>
          <t>11</t>
        </is>
      </c>
      <c r="E92" t="inlineStr">
        <is>
          <t>01_STARTER/ST-024-STD-01/03_Label.docx</t>
        </is>
      </c>
      <c r="F92" t="inlineStr">
        <is>
          <t>df09590d3a82f2b5cab36cb97b5237a80c18d7d9784e8451645a60dbfd4edf3b</t>
        </is>
      </c>
      <c r="G92" t="inlineStr">
        <is>
          <t>2026-08-08</t>
        </is>
      </c>
      <c r="H92" s="19" t="inlineStr">
        <is>
          <t>2</t>
        </is>
      </c>
      <c r="I92" t="inlineStr">
        <is>
          <t>Phase I generated Rev.00 Word file — linked; signatures not completed</t>
        </is>
      </c>
      <c r="J92" t="inlineStr">
        <is>
          <t>2026-08-10T19:29:54Z</t>
        </is>
      </c>
      <c r="K92" t="inlineStr">
        <is>
          <t>2026-08-10T19:49:40Z</t>
        </is>
      </c>
    </row>
    <row r="93">
      <c r="A93" s="19" t="inlineStr">
        <is>
          <t>92</t>
        </is>
      </c>
      <c r="B93" s="19" t="inlineStr">
        <is>
          <t>IA-PPWR-STM-ST-024-STD-01-R00</t>
        </is>
      </c>
      <c r="C93" t="inlineStr">
        <is>
          <t>IA-PPWR-STM-ST-024-STD-01-R00</t>
        </is>
      </c>
      <c r="D93" s="19" t="inlineStr">
        <is>
          <t>12</t>
        </is>
      </c>
      <c r="E93" t="inlineStr">
        <is>
          <t>01_STARTER/ST-024-STD-01/04_Shipment_Statement.docx</t>
        </is>
      </c>
      <c r="F93" t="inlineStr">
        <is>
          <t>bd003b45c9eea60d2c6ff1b8cd780cfcf42e5e01cf640317022af899013af386</t>
        </is>
      </c>
      <c r="G93" t="inlineStr">
        <is>
          <t>2026-08-08</t>
        </is>
      </c>
      <c r="H93" s="19" t="inlineStr">
        <is>
          <t>2</t>
        </is>
      </c>
      <c r="I93" t="inlineStr">
        <is>
          <t>Phase I generated Rev.00 Word file — linked; signatures not completed</t>
        </is>
      </c>
      <c r="J93" t="inlineStr">
        <is>
          <t>2026-08-10T19:29:54Z</t>
        </is>
      </c>
      <c r="K93" t="inlineStr">
        <is>
          <t>2026-08-10T19:49:40Z</t>
        </is>
      </c>
    </row>
    <row r="94">
      <c r="A94" s="19" t="inlineStr">
        <is>
          <t>93</t>
        </is>
      </c>
      <c r="B94" s="19" t="inlineStr">
        <is>
          <t>IA-PPWR-TF-ST-027-STD90-01-R00</t>
        </is>
      </c>
      <c r="C94" t="inlineStr">
        <is>
          <t>IA-PPWR-TF-ST-027-STD90-01-R00</t>
        </is>
      </c>
      <c r="D94" s="19" t="inlineStr">
        <is>
          <t>1</t>
        </is>
      </c>
      <c r="E94" t="inlineStr">
        <is>
          <t>01_STARTER/ST-027-STD90-01/01_Technical_File.docx</t>
        </is>
      </c>
      <c r="F94" t="inlineStr">
        <is>
          <t>50a2e909344d96c6d34be979b7f10ba04470c5a9eeaf6513470503754e245512</t>
        </is>
      </c>
      <c r="G94" t="inlineStr">
        <is>
          <t>2026-08-08</t>
        </is>
      </c>
      <c r="H94" s="19" t="inlineStr">
        <is>
          <t>2</t>
        </is>
      </c>
      <c r="I94" t="inlineStr">
        <is>
          <t>Phase I generated Rev.00 Word file — linked; signatures not completed</t>
        </is>
      </c>
      <c r="J94" t="inlineStr">
        <is>
          <t>2026-08-10T19:29:54Z</t>
        </is>
      </c>
      <c r="K94" t="inlineStr">
        <is>
          <t>2026-08-10T19:49:40Z</t>
        </is>
      </c>
    </row>
    <row r="95">
      <c r="A95" s="19" t="inlineStr">
        <is>
          <t>94</t>
        </is>
      </c>
      <c r="B95" s="19" t="inlineStr">
        <is>
          <t>IA-PPWR-DOC-ST-027-STD90-01-R00</t>
        </is>
      </c>
      <c r="C95" t="inlineStr">
        <is>
          <t>IA-PPWR-DOC-ST-027-STD90-01-R00</t>
        </is>
      </c>
      <c r="D95" s="19" t="inlineStr">
        <is>
          <t>4</t>
        </is>
      </c>
      <c r="E95" t="inlineStr">
        <is>
          <t>01_STARTER/ST-027-STD90-01/02_EU_DoC.docx</t>
        </is>
      </c>
      <c r="F95" t="inlineStr">
        <is>
          <t>c29cdb98690aa82d4814fd7a9e2f0e1c7b1f3d4aa65e3935b2854de5a15c257a</t>
        </is>
      </c>
      <c r="G95" t="inlineStr">
        <is>
          <t>2026-08-08</t>
        </is>
      </c>
      <c r="H95" s="19" t="inlineStr">
        <is>
          <t>2</t>
        </is>
      </c>
      <c r="I95" t="inlineStr">
        <is>
          <t>Phase I generated Rev.00 Word file — linked; signatures not completed</t>
        </is>
      </c>
      <c r="J95" t="inlineStr">
        <is>
          <t>2026-08-10T19:29:54Z</t>
        </is>
      </c>
      <c r="K95" t="inlineStr">
        <is>
          <t>2026-08-10T19:49:40Z</t>
        </is>
      </c>
    </row>
    <row r="96">
      <c r="A96" s="19" t="inlineStr">
        <is>
          <t>95</t>
        </is>
      </c>
      <c r="B96" s="19" t="inlineStr">
        <is>
          <t>IA-PPWR-LBL-ST-027-STD90-01-R00</t>
        </is>
      </c>
      <c r="C96" t="inlineStr">
        <is>
          <t>IA-PPWR-LBL-ST-027-STD90-01-R00</t>
        </is>
      </c>
      <c r="D96" s="19" t="inlineStr">
        <is>
          <t>11</t>
        </is>
      </c>
      <c r="E96" t="inlineStr">
        <is>
          <t>01_STARTER/ST-027-STD90-01/03_Label.docx</t>
        </is>
      </c>
      <c r="F96" t="inlineStr">
        <is>
          <t>1162aefbdc69367f6d2e61cdd37456989e5dc7cacab02a8c21266e694207bb56</t>
        </is>
      </c>
      <c r="G96" t="inlineStr">
        <is>
          <t>2026-08-08</t>
        </is>
      </c>
      <c r="H96" s="19" t="inlineStr">
        <is>
          <t>2</t>
        </is>
      </c>
      <c r="I96" t="inlineStr">
        <is>
          <t>Phase I generated Rev.00 Word file — linked; signatures not completed</t>
        </is>
      </c>
      <c r="J96" t="inlineStr">
        <is>
          <t>2026-08-10T19:29:54Z</t>
        </is>
      </c>
      <c r="K96" t="inlineStr">
        <is>
          <t>2026-08-10T19:49:40Z</t>
        </is>
      </c>
    </row>
    <row r="97">
      <c r="A97" s="19" t="inlineStr">
        <is>
          <t>96</t>
        </is>
      </c>
      <c r="B97" s="19" t="inlineStr">
        <is>
          <t>IA-PPWR-STM-ST-027-STD90-01-R00</t>
        </is>
      </c>
      <c r="C97" t="inlineStr">
        <is>
          <t>IA-PPWR-STM-ST-027-STD90-01-R00</t>
        </is>
      </c>
      <c r="D97" s="19" t="inlineStr">
        <is>
          <t>12</t>
        </is>
      </c>
      <c r="E97" t="inlineStr">
        <is>
          <t>01_STARTER/ST-027-STD90-01/04_Shipment_Statement.docx</t>
        </is>
      </c>
      <c r="F97" t="inlineStr">
        <is>
          <t>8e76f2bd99e13a2502fc45fb485a1a4475f11b15c1699f23da15add74a166d8d</t>
        </is>
      </c>
      <c r="G97" t="inlineStr">
        <is>
          <t>2026-08-08</t>
        </is>
      </c>
      <c r="H97" s="19" t="inlineStr">
        <is>
          <t>2</t>
        </is>
      </c>
      <c r="I97" t="inlineStr">
        <is>
          <t>Phase I generated Rev.00 Word file — linked; signatures not completed</t>
        </is>
      </c>
      <c r="J97" t="inlineStr">
        <is>
          <t>2026-08-10T19:29:54Z</t>
        </is>
      </c>
      <c r="K97" t="inlineStr">
        <is>
          <t>2026-08-10T19:49:40Z</t>
        </is>
      </c>
    </row>
    <row r="98">
      <c r="A98" s="19" t="inlineStr">
        <is>
          <t>97</t>
        </is>
      </c>
      <c r="B98" s="19" t="inlineStr">
        <is>
          <t>IA-PPWR-TF-ST-027-STD90-02-R00</t>
        </is>
      </c>
      <c r="C98" t="inlineStr">
        <is>
          <t>IA-PPWR-TF-ST-027-STD90-02-R00</t>
        </is>
      </c>
      <c r="D98" s="19" t="inlineStr">
        <is>
          <t>1</t>
        </is>
      </c>
      <c r="E98" t="inlineStr">
        <is>
          <t>01_STARTER/ST-027-STD90-02/01_Technical_File.docx</t>
        </is>
      </c>
      <c r="F98" t="inlineStr">
        <is>
          <t>9915c15d7f292162f7e1ec4b50ab3e9f218cd0ed135b23f2a2e453f304640aad</t>
        </is>
      </c>
      <c r="G98" t="inlineStr">
        <is>
          <t>2026-08-08</t>
        </is>
      </c>
      <c r="H98" s="19" t="inlineStr">
        <is>
          <t>2</t>
        </is>
      </c>
      <c r="I98" t="inlineStr">
        <is>
          <t>Phase I generated Rev.00 Word file — linked; signatures not completed</t>
        </is>
      </c>
      <c r="J98" t="inlineStr">
        <is>
          <t>2026-08-10T19:29:54Z</t>
        </is>
      </c>
      <c r="K98" t="inlineStr">
        <is>
          <t>2026-08-10T19:49:40Z</t>
        </is>
      </c>
    </row>
    <row r="99">
      <c r="A99" s="19" t="inlineStr">
        <is>
          <t>98</t>
        </is>
      </c>
      <c r="B99" s="19" t="inlineStr">
        <is>
          <t>IA-PPWR-DOC-ST-027-STD90-02-R00</t>
        </is>
      </c>
      <c r="C99" t="inlineStr">
        <is>
          <t>IA-PPWR-DOC-ST-027-STD90-02-R00</t>
        </is>
      </c>
      <c r="D99" s="19" t="inlineStr">
        <is>
          <t>4</t>
        </is>
      </c>
      <c r="E99" t="inlineStr">
        <is>
          <t>01_STARTER/ST-027-STD90-02/02_EU_DoC.docx</t>
        </is>
      </c>
      <c r="F99" t="inlineStr">
        <is>
          <t>6e0f1657d8c9051751ffec14b85e1daf58d6e677134216ee94d991cd9496742e</t>
        </is>
      </c>
      <c r="G99" t="inlineStr">
        <is>
          <t>2026-08-08</t>
        </is>
      </c>
      <c r="H99" s="19" t="inlineStr">
        <is>
          <t>2</t>
        </is>
      </c>
      <c r="I99" t="inlineStr">
        <is>
          <t>Phase I generated Rev.00 Word file — linked; signatures not completed</t>
        </is>
      </c>
      <c r="J99" t="inlineStr">
        <is>
          <t>2026-08-10T19:29:54Z</t>
        </is>
      </c>
      <c r="K99" t="inlineStr">
        <is>
          <t>2026-08-10T19:49:40Z</t>
        </is>
      </c>
    </row>
    <row r="100">
      <c r="A100" s="19" t="inlineStr">
        <is>
          <t>99</t>
        </is>
      </c>
      <c r="B100" s="19" t="inlineStr">
        <is>
          <t>IA-PPWR-LBL-ST-027-STD90-02-R00</t>
        </is>
      </c>
      <c r="C100" t="inlineStr">
        <is>
          <t>IA-PPWR-LBL-ST-027-STD90-02-R00</t>
        </is>
      </c>
      <c r="D100" s="19" t="inlineStr">
        <is>
          <t>11</t>
        </is>
      </c>
      <c r="E100" t="inlineStr">
        <is>
          <t>01_STARTER/ST-027-STD90-02/03_Label.docx</t>
        </is>
      </c>
      <c r="F100" t="inlineStr">
        <is>
          <t>bfb338cdfc695c3c972ef056ef30bd41064cf31fc550525525b2fc0896f8544d</t>
        </is>
      </c>
      <c r="G100" t="inlineStr">
        <is>
          <t>2026-08-08</t>
        </is>
      </c>
      <c r="H100" s="19" t="inlineStr">
        <is>
          <t>2</t>
        </is>
      </c>
      <c r="I100" t="inlineStr">
        <is>
          <t>Phase I generated Rev.00 Word file — linked; signatures not completed</t>
        </is>
      </c>
      <c r="J100" t="inlineStr">
        <is>
          <t>2026-08-10T19:29:54Z</t>
        </is>
      </c>
      <c r="K100" t="inlineStr">
        <is>
          <t>2026-08-10T19:49:40Z</t>
        </is>
      </c>
    </row>
    <row r="101">
      <c r="A101" s="19" t="inlineStr">
        <is>
          <t>100</t>
        </is>
      </c>
      <c r="B101" s="19" t="inlineStr">
        <is>
          <t>IA-PPWR-STM-ST-027-STD90-02-R00</t>
        </is>
      </c>
      <c r="C101" t="inlineStr">
        <is>
          <t>IA-PPWR-STM-ST-027-STD90-02-R00</t>
        </is>
      </c>
      <c r="D101" s="19" t="inlineStr">
        <is>
          <t>12</t>
        </is>
      </c>
      <c r="E101" t="inlineStr">
        <is>
          <t>01_STARTER/ST-027-STD90-02/04_Shipment_Statement.docx</t>
        </is>
      </c>
      <c r="F101" t="inlineStr">
        <is>
          <t>95c8d08e263b71d3f49b9bb30c6901a6cdada267707e55123e2866a5b35c3d08</t>
        </is>
      </c>
      <c r="G101" t="inlineStr">
        <is>
          <t>2026-08-08</t>
        </is>
      </c>
      <c r="H101" s="19" t="inlineStr">
        <is>
          <t>2</t>
        </is>
      </c>
      <c r="I101" t="inlineStr">
        <is>
          <t>Phase I generated Rev.00 Word file — linked; signatures not completed</t>
        </is>
      </c>
      <c r="J101" t="inlineStr">
        <is>
          <t>2026-08-10T19:29:54Z</t>
        </is>
      </c>
      <c r="K101" t="inlineStr">
        <is>
          <t>2026-08-10T19:49:40Z</t>
        </is>
      </c>
    </row>
    <row r="102">
      <c r="A102" s="19" t="inlineStr">
        <is>
          <t>101</t>
        </is>
      </c>
      <c r="B102" s="19" t="inlineStr">
        <is>
          <t>IA-PPWR-TF-ST-028-STD-01-R00</t>
        </is>
      </c>
      <c r="C102" t="inlineStr">
        <is>
          <t>IA-PPWR-TF-ST-028-STD-01-R00</t>
        </is>
      </c>
      <c r="D102" s="19" t="inlineStr">
        <is>
          <t>1</t>
        </is>
      </c>
      <c r="E102" t="inlineStr">
        <is>
          <t>01_STARTER/ST-028-STD-01/01_Technical_File.docx</t>
        </is>
      </c>
      <c r="F102" t="inlineStr">
        <is>
          <t>7427f2b78e1fae6782b21df101c695fcf0eb53f6f217104ea1e7e3f4621630a7</t>
        </is>
      </c>
      <c r="G102" t="inlineStr">
        <is>
          <t>2026-08-08</t>
        </is>
      </c>
      <c r="H102" s="19" t="inlineStr">
        <is>
          <t>2</t>
        </is>
      </c>
      <c r="I102" t="inlineStr">
        <is>
          <t>Phase I generated Rev.00 Word file — linked; signatures not completed</t>
        </is>
      </c>
      <c r="J102" t="inlineStr">
        <is>
          <t>2026-08-10T19:29:54Z</t>
        </is>
      </c>
      <c r="K102" t="inlineStr">
        <is>
          <t>2026-08-10T19:49:40Z</t>
        </is>
      </c>
    </row>
    <row r="103">
      <c r="A103" s="19" t="inlineStr">
        <is>
          <t>102</t>
        </is>
      </c>
      <c r="B103" s="19" t="inlineStr">
        <is>
          <t>IA-PPWR-DOC-ST-028-STD-01-R00</t>
        </is>
      </c>
      <c r="C103" t="inlineStr">
        <is>
          <t>IA-PPWR-DOC-ST-028-STD-01-R00</t>
        </is>
      </c>
      <c r="D103" s="19" t="inlineStr">
        <is>
          <t>4</t>
        </is>
      </c>
      <c r="E103" t="inlineStr">
        <is>
          <t>01_STARTER/ST-028-STD-01/02_EU_DoC.docx</t>
        </is>
      </c>
      <c r="F103" t="inlineStr">
        <is>
          <t>6aa7cddc5b08c07f41f10fec9f49dfa25286fce594730f311b1f6ae72d783230</t>
        </is>
      </c>
      <c r="G103" t="inlineStr">
        <is>
          <t>2026-08-08</t>
        </is>
      </c>
      <c r="H103" s="19" t="inlineStr">
        <is>
          <t>2</t>
        </is>
      </c>
      <c r="I103" t="inlineStr">
        <is>
          <t>Phase I generated Rev.00 Word file — linked; signatures not completed</t>
        </is>
      </c>
      <c r="J103" t="inlineStr">
        <is>
          <t>2026-08-10T19:29:54Z</t>
        </is>
      </c>
      <c r="K103" t="inlineStr">
        <is>
          <t>2026-08-10T19:49:40Z</t>
        </is>
      </c>
    </row>
    <row r="104">
      <c r="A104" s="19" t="inlineStr">
        <is>
          <t>103</t>
        </is>
      </c>
      <c r="B104" s="19" t="inlineStr">
        <is>
          <t>IA-PPWR-LBL-ST-028-STD-01-R00</t>
        </is>
      </c>
      <c r="C104" t="inlineStr">
        <is>
          <t>IA-PPWR-LBL-ST-028-STD-01-R00</t>
        </is>
      </c>
      <c r="D104" s="19" t="inlineStr">
        <is>
          <t>11</t>
        </is>
      </c>
      <c r="E104" t="inlineStr">
        <is>
          <t>01_STARTER/ST-028-STD-01/03_Label.docx</t>
        </is>
      </c>
      <c r="F104" t="inlineStr">
        <is>
          <t>35ca3c783038806d4c066ec9c1563c57abbc45443cd99e68079e785c7fc7be0c</t>
        </is>
      </c>
      <c r="G104" t="inlineStr">
        <is>
          <t>2026-08-08</t>
        </is>
      </c>
      <c r="H104" s="19" t="inlineStr">
        <is>
          <t>2</t>
        </is>
      </c>
      <c r="I104" t="inlineStr">
        <is>
          <t>Phase I generated Rev.00 Word file — linked; signatures not completed</t>
        </is>
      </c>
      <c r="J104" t="inlineStr">
        <is>
          <t>2026-08-10T19:29:54Z</t>
        </is>
      </c>
      <c r="K104" t="inlineStr">
        <is>
          <t>2026-08-10T19:49:40Z</t>
        </is>
      </c>
    </row>
    <row r="105">
      <c r="A105" s="19" t="inlineStr">
        <is>
          <t>104</t>
        </is>
      </c>
      <c r="B105" s="19" t="inlineStr">
        <is>
          <t>IA-PPWR-STM-ST-028-STD-01-R00</t>
        </is>
      </c>
      <c r="C105" t="inlineStr">
        <is>
          <t>IA-PPWR-STM-ST-028-STD-01-R00</t>
        </is>
      </c>
      <c r="D105" s="19" t="inlineStr">
        <is>
          <t>12</t>
        </is>
      </c>
      <c r="E105" t="inlineStr">
        <is>
          <t>01_STARTER/ST-028-STD-01/04_Shipment_Statement.docx</t>
        </is>
      </c>
      <c r="F105" t="inlineStr">
        <is>
          <t>98d06d177c7a808eca6ed9b0857baf701440e534efdf9909e172acaa4b0b08b0</t>
        </is>
      </c>
      <c r="G105" t="inlineStr">
        <is>
          <t>2026-08-08</t>
        </is>
      </c>
      <c r="H105" s="19" t="inlineStr">
        <is>
          <t>2</t>
        </is>
      </c>
      <c r="I105" t="inlineStr">
        <is>
          <t>Phase I generated Rev.00 Word file — linked; signatures not completed</t>
        </is>
      </c>
      <c r="J105" t="inlineStr">
        <is>
          <t>2026-08-10T19:29:54Z</t>
        </is>
      </c>
      <c r="K105" t="inlineStr">
        <is>
          <t>2026-08-10T19:49:40Z</t>
        </is>
      </c>
    </row>
    <row r="106">
      <c r="A106" s="19" t="inlineStr">
        <is>
          <t>105</t>
        </is>
      </c>
      <c r="B106" s="19" t="inlineStr">
        <is>
          <t>IA-PPWR-TF-ST-030-STD-01-R00</t>
        </is>
      </c>
      <c r="C106" t="inlineStr">
        <is>
          <t>IA-PPWR-TF-ST-030-STD-01-R00</t>
        </is>
      </c>
      <c r="D106" s="19" t="inlineStr">
        <is>
          <t>1</t>
        </is>
      </c>
      <c r="E106" t="inlineStr">
        <is>
          <t>01_STARTER/ST-030-STD-01/01_Technical_File.docx</t>
        </is>
      </c>
      <c r="F106" t="inlineStr">
        <is>
          <t>d194d827066eb277419c992401cb8b42d861e63a0779bed2c6e7b012dd55fb51</t>
        </is>
      </c>
      <c r="G106" t="inlineStr">
        <is>
          <t>2026-08-08</t>
        </is>
      </c>
      <c r="H106" s="19" t="inlineStr">
        <is>
          <t>2</t>
        </is>
      </c>
      <c r="I106" t="inlineStr">
        <is>
          <t>Phase I generated Rev.00 Word file — linked; signatures not completed</t>
        </is>
      </c>
      <c r="J106" t="inlineStr">
        <is>
          <t>2026-08-10T19:29:54Z</t>
        </is>
      </c>
      <c r="K106" t="inlineStr">
        <is>
          <t>2026-08-10T19:49:40Z</t>
        </is>
      </c>
    </row>
    <row r="107">
      <c r="A107" s="19" t="inlineStr">
        <is>
          <t>106</t>
        </is>
      </c>
      <c r="B107" s="19" t="inlineStr">
        <is>
          <t>IA-PPWR-DOC-ST-030-STD-01-R00</t>
        </is>
      </c>
      <c r="C107" t="inlineStr">
        <is>
          <t>IA-PPWR-DOC-ST-030-STD-01-R00</t>
        </is>
      </c>
      <c r="D107" s="19" t="inlineStr">
        <is>
          <t>4</t>
        </is>
      </c>
      <c r="E107" t="inlineStr">
        <is>
          <t>01_STARTER/ST-030-STD-01/02_EU_DoC.docx</t>
        </is>
      </c>
      <c r="F107" t="inlineStr">
        <is>
          <t>e56f3eb01c52f7057f0861e2f2d961f3bdab18161de8c7fc8015cc8db67368e2</t>
        </is>
      </c>
      <c r="G107" t="inlineStr">
        <is>
          <t>2026-08-08</t>
        </is>
      </c>
      <c r="H107" s="19" t="inlineStr">
        <is>
          <t>2</t>
        </is>
      </c>
      <c r="I107" t="inlineStr">
        <is>
          <t>Phase I generated Rev.00 Word file — linked; signatures not completed</t>
        </is>
      </c>
      <c r="J107" t="inlineStr">
        <is>
          <t>2026-08-10T19:29:54Z</t>
        </is>
      </c>
      <c r="K107" t="inlineStr">
        <is>
          <t>2026-08-10T19:49:40Z</t>
        </is>
      </c>
    </row>
    <row r="108">
      <c r="A108" s="19" t="inlineStr">
        <is>
          <t>107</t>
        </is>
      </c>
      <c r="B108" s="19" t="inlineStr">
        <is>
          <t>IA-PPWR-LBL-ST-030-STD-01-R00</t>
        </is>
      </c>
      <c r="C108" t="inlineStr">
        <is>
          <t>IA-PPWR-LBL-ST-030-STD-01-R00</t>
        </is>
      </c>
      <c r="D108" s="19" t="inlineStr">
        <is>
          <t>11</t>
        </is>
      </c>
      <c r="E108" t="inlineStr">
        <is>
          <t>01_STARTER/ST-030-STD-01/03_Label.docx</t>
        </is>
      </c>
      <c r="F108" t="inlineStr">
        <is>
          <t>7f7c04deb113024ef81099b73fce900412efc7d94854b7c333ed5a88c4888b97</t>
        </is>
      </c>
      <c r="G108" t="inlineStr">
        <is>
          <t>2026-08-08</t>
        </is>
      </c>
      <c r="H108" s="19" t="inlineStr">
        <is>
          <t>2</t>
        </is>
      </c>
      <c r="I108" t="inlineStr">
        <is>
          <t>Phase I generated Rev.00 Word file — linked; signatures not completed</t>
        </is>
      </c>
      <c r="J108" t="inlineStr">
        <is>
          <t>2026-08-10T19:29:54Z</t>
        </is>
      </c>
      <c r="K108" t="inlineStr">
        <is>
          <t>2026-08-10T19:49:40Z</t>
        </is>
      </c>
    </row>
    <row r="109">
      <c r="A109" s="19" t="inlineStr">
        <is>
          <t>108</t>
        </is>
      </c>
      <c r="B109" s="19" t="inlineStr">
        <is>
          <t>IA-PPWR-STM-ST-030-STD-01-R00</t>
        </is>
      </c>
      <c r="C109" t="inlineStr">
        <is>
          <t>IA-PPWR-STM-ST-030-STD-01-R00</t>
        </is>
      </c>
      <c r="D109" s="19" t="inlineStr">
        <is>
          <t>12</t>
        </is>
      </c>
      <c r="E109" t="inlineStr">
        <is>
          <t>01_STARTER/ST-030-STD-01/04_Shipment_Statement.docx</t>
        </is>
      </c>
      <c r="F109" t="inlineStr">
        <is>
          <t>28c27c7010f03ecd12fcf51b9a033c4b9fb5212d07c3fa2906fd3625638119f0</t>
        </is>
      </c>
      <c r="G109" t="inlineStr">
        <is>
          <t>2026-08-08</t>
        </is>
      </c>
      <c r="H109" s="19" t="inlineStr">
        <is>
          <t>2</t>
        </is>
      </c>
      <c r="I109" t="inlineStr">
        <is>
          <t>Phase I generated Rev.00 Word file — linked; signatures not completed</t>
        </is>
      </c>
      <c r="J109" t="inlineStr">
        <is>
          <t>2026-08-10T19:29:54Z</t>
        </is>
      </c>
      <c r="K109" t="inlineStr">
        <is>
          <t>2026-08-10T19:49:40Z</t>
        </is>
      </c>
    </row>
    <row r="110">
      <c r="A110" s="19" t="inlineStr">
        <is>
          <t>109</t>
        </is>
      </c>
      <c r="B110" s="19" t="inlineStr">
        <is>
          <t>IA-PPWR-TF-ST-030-STD-02-R00</t>
        </is>
      </c>
      <c r="C110" t="inlineStr">
        <is>
          <t>IA-PPWR-TF-ST-030-STD-02-R00</t>
        </is>
      </c>
      <c r="D110" s="19" t="inlineStr">
        <is>
          <t>1</t>
        </is>
      </c>
      <c r="E110" t="inlineStr">
        <is>
          <t>01_STARTER/ST-030-STD-02/01_Technical_File.docx</t>
        </is>
      </c>
      <c r="F110" t="inlineStr">
        <is>
          <t>221a9c9e7e4368ba654158f74a164582c413af95c597cb24106405f5b6e606be</t>
        </is>
      </c>
      <c r="G110" t="inlineStr">
        <is>
          <t>2026-08-08</t>
        </is>
      </c>
      <c r="H110" s="19" t="inlineStr">
        <is>
          <t>2</t>
        </is>
      </c>
      <c r="I110" t="inlineStr">
        <is>
          <t>Phase I generated Rev.00 Word file — linked; signatures not completed</t>
        </is>
      </c>
      <c r="J110" t="inlineStr">
        <is>
          <t>2026-08-10T19:29:54Z</t>
        </is>
      </c>
      <c r="K110" t="inlineStr">
        <is>
          <t>2026-08-10T19:49:40Z</t>
        </is>
      </c>
    </row>
    <row r="111">
      <c r="A111" s="19" t="inlineStr">
        <is>
          <t>110</t>
        </is>
      </c>
      <c r="B111" s="19" t="inlineStr">
        <is>
          <t>IA-PPWR-DOC-ST-030-STD-02-R00</t>
        </is>
      </c>
      <c r="C111" t="inlineStr">
        <is>
          <t>IA-PPWR-DOC-ST-030-STD-02-R00</t>
        </is>
      </c>
      <c r="D111" s="19" t="inlineStr">
        <is>
          <t>4</t>
        </is>
      </c>
      <c r="E111" t="inlineStr">
        <is>
          <t>01_STARTER/ST-030-STD-02/02_EU_DoC.docx</t>
        </is>
      </c>
      <c r="F111" t="inlineStr">
        <is>
          <t>9ddc2d2abc5fc397d21beca7c969688d5838ef1cff820d8a29dae047db83c7ee</t>
        </is>
      </c>
      <c r="G111" t="inlineStr">
        <is>
          <t>2026-08-08</t>
        </is>
      </c>
      <c r="H111" s="19" t="inlineStr">
        <is>
          <t>2</t>
        </is>
      </c>
      <c r="I111" t="inlineStr">
        <is>
          <t>Phase I generated Rev.00 Word file — linked; signatures not completed</t>
        </is>
      </c>
      <c r="J111" t="inlineStr">
        <is>
          <t>2026-08-10T19:29:54Z</t>
        </is>
      </c>
      <c r="K111" t="inlineStr">
        <is>
          <t>2026-08-10T19:49:40Z</t>
        </is>
      </c>
    </row>
    <row r="112">
      <c r="A112" s="19" t="inlineStr">
        <is>
          <t>111</t>
        </is>
      </c>
      <c r="B112" s="19" t="inlineStr">
        <is>
          <t>IA-PPWR-LBL-ST-030-STD-02-R00</t>
        </is>
      </c>
      <c r="C112" t="inlineStr">
        <is>
          <t>IA-PPWR-LBL-ST-030-STD-02-R00</t>
        </is>
      </c>
      <c r="D112" s="19" t="inlineStr">
        <is>
          <t>11</t>
        </is>
      </c>
      <c r="E112" t="inlineStr">
        <is>
          <t>01_STARTER/ST-030-STD-02/03_Label.docx</t>
        </is>
      </c>
      <c r="F112" t="inlineStr">
        <is>
          <t>cdde0d55136a8fb977c5601448773a0be656c61e31dbdd37814793a1dea73b34</t>
        </is>
      </c>
      <c r="G112" t="inlineStr">
        <is>
          <t>2026-08-08</t>
        </is>
      </c>
      <c r="H112" s="19" t="inlineStr">
        <is>
          <t>2</t>
        </is>
      </c>
      <c r="I112" t="inlineStr">
        <is>
          <t>Phase I generated Rev.00 Word file — linked; signatures not completed</t>
        </is>
      </c>
      <c r="J112" t="inlineStr">
        <is>
          <t>2026-08-10T19:29:54Z</t>
        </is>
      </c>
      <c r="K112" t="inlineStr">
        <is>
          <t>2026-08-10T19:49:40Z</t>
        </is>
      </c>
    </row>
    <row r="113">
      <c r="A113" s="19" t="inlineStr">
        <is>
          <t>112</t>
        </is>
      </c>
      <c r="B113" s="19" t="inlineStr">
        <is>
          <t>IA-PPWR-STM-ST-030-STD-02-R00</t>
        </is>
      </c>
      <c r="C113" t="inlineStr">
        <is>
          <t>IA-PPWR-STM-ST-030-STD-02-R00</t>
        </is>
      </c>
      <c r="D113" s="19" t="inlineStr">
        <is>
          <t>12</t>
        </is>
      </c>
      <c r="E113" t="inlineStr">
        <is>
          <t>01_STARTER/ST-030-STD-02/04_Shipment_Statement.docx</t>
        </is>
      </c>
      <c r="F113" t="inlineStr">
        <is>
          <t>f65d26d6d001e02cca661d1dc6013eaaf37a8fc9cba7e52b1d12dac47bcf0351</t>
        </is>
      </c>
      <c r="G113" t="inlineStr">
        <is>
          <t>2026-08-08</t>
        </is>
      </c>
      <c r="H113" s="19" t="inlineStr">
        <is>
          <t>2</t>
        </is>
      </c>
      <c r="I113" t="inlineStr">
        <is>
          <t>Phase I generated Rev.00 Word file — linked; signatures not completed</t>
        </is>
      </c>
      <c r="J113" t="inlineStr">
        <is>
          <t>2026-08-10T19:29:54Z</t>
        </is>
      </c>
      <c r="K113" t="inlineStr">
        <is>
          <t>2026-08-10T19:49:40Z</t>
        </is>
      </c>
    </row>
    <row r="114">
      <c r="A114" s="19" t="inlineStr">
        <is>
          <t>113</t>
        </is>
      </c>
      <c r="B114" s="19" t="inlineStr">
        <is>
          <t>IA-PPWR-TF-ST-030-STD-03-R00</t>
        </is>
      </c>
      <c r="C114" t="inlineStr">
        <is>
          <t>IA-PPWR-TF-ST-030-STD-03-R00</t>
        </is>
      </c>
      <c r="D114" s="19" t="inlineStr">
        <is>
          <t>1</t>
        </is>
      </c>
      <c r="E114" t="inlineStr">
        <is>
          <t>01_STARTER/ST-030-STD-03/01_Technical_File.docx</t>
        </is>
      </c>
      <c r="F114" t="inlineStr">
        <is>
          <t>3002732cae17e18f4cf6b081b41500370c16bb78a44dd3c1bc708191c1d25824</t>
        </is>
      </c>
      <c r="G114" t="inlineStr">
        <is>
          <t>2026-08-08</t>
        </is>
      </c>
      <c r="H114" s="19" t="inlineStr">
        <is>
          <t>2</t>
        </is>
      </c>
      <c r="I114" t="inlineStr">
        <is>
          <t>Phase I generated Rev.00 Word file — linked; signatures not completed</t>
        </is>
      </c>
      <c r="J114" t="inlineStr">
        <is>
          <t>2026-08-10T19:29:54Z</t>
        </is>
      </c>
      <c r="K114" t="inlineStr">
        <is>
          <t>2026-08-10T19:49:40Z</t>
        </is>
      </c>
    </row>
    <row r="115">
      <c r="A115" s="19" t="inlineStr">
        <is>
          <t>114</t>
        </is>
      </c>
      <c r="B115" s="19" t="inlineStr">
        <is>
          <t>IA-PPWR-DOC-ST-030-STD-03-R00</t>
        </is>
      </c>
      <c r="C115" t="inlineStr">
        <is>
          <t>IA-PPWR-DOC-ST-030-STD-03-R00</t>
        </is>
      </c>
      <c r="D115" s="19" t="inlineStr">
        <is>
          <t>4</t>
        </is>
      </c>
      <c r="E115" t="inlineStr">
        <is>
          <t>01_STARTER/ST-030-STD-03/02_EU_DoC.docx</t>
        </is>
      </c>
      <c r="F115" t="inlineStr">
        <is>
          <t>a32b881c445e850e9dd1f64c684f06c658ccabb4535a03975c4d85cabb4f6b32</t>
        </is>
      </c>
      <c r="G115" t="inlineStr">
        <is>
          <t>2026-08-08</t>
        </is>
      </c>
      <c r="H115" s="19" t="inlineStr">
        <is>
          <t>2</t>
        </is>
      </c>
      <c r="I115" t="inlineStr">
        <is>
          <t>Phase I generated Rev.00 Word file — linked; signatures not completed</t>
        </is>
      </c>
      <c r="J115" t="inlineStr">
        <is>
          <t>2026-08-10T19:29:54Z</t>
        </is>
      </c>
      <c r="K115" t="inlineStr">
        <is>
          <t>2026-08-10T19:49:40Z</t>
        </is>
      </c>
    </row>
    <row r="116">
      <c r="A116" s="19" t="inlineStr">
        <is>
          <t>115</t>
        </is>
      </c>
      <c r="B116" s="19" t="inlineStr">
        <is>
          <t>IA-PPWR-LBL-ST-030-STD-03-R00</t>
        </is>
      </c>
      <c r="C116" t="inlineStr">
        <is>
          <t>IA-PPWR-LBL-ST-030-STD-03-R00</t>
        </is>
      </c>
      <c r="D116" s="19" t="inlineStr">
        <is>
          <t>11</t>
        </is>
      </c>
      <c r="E116" t="inlineStr">
        <is>
          <t>01_STARTER/ST-030-STD-03/03_Label.docx</t>
        </is>
      </c>
      <c r="F116" t="inlineStr">
        <is>
          <t>31d326ff73d63596c9231575a82970554079af0df71b3e1a245b417e6eb006b5</t>
        </is>
      </c>
      <c r="G116" t="inlineStr">
        <is>
          <t>2026-08-08</t>
        </is>
      </c>
      <c r="H116" s="19" t="inlineStr">
        <is>
          <t>2</t>
        </is>
      </c>
      <c r="I116" t="inlineStr">
        <is>
          <t>Phase I generated Rev.00 Word file — linked; signatures not completed</t>
        </is>
      </c>
      <c r="J116" t="inlineStr">
        <is>
          <t>2026-08-10T19:29:54Z</t>
        </is>
      </c>
      <c r="K116" t="inlineStr">
        <is>
          <t>2026-08-10T19:49:40Z</t>
        </is>
      </c>
    </row>
    <row r="117">
      <c r="A117" s="19" t="inlineStr">
        <is>
          <t>116</t>
        </is>
      </c>
      <c r="B117" s="19" t="inlineStr">
        <is>
          <t>IA-PPWR-STM-ST-030-STD-03-R00</t>
        </is>
      </c>
      <c r="C117" t="inlineStr">
        <is>
          <t>IA-PPWR-STM-ST-030-STD-03-R00</t>
        </is>
      </c>
      <c r="D117" s="19" t="inlineStr">
        <is>
          <t>12</t>
        </is>
      </c>
      <c r="E117" t="inlineStr">
        <is>
          <t>01_STARTER/ST-030-STD-03/04_Shipment_Statement.docx</t>
        </is>
      </c>
      <c r="F117" t="inlineStr">
        <is>
          <t>e6450cb058828ee8170e7855dd83709ba78d7374bbdddd4d3edf6973d146fd6d</t>
        </is>
      </c>
      <c r="G117" t="inlineStr">
        <is>
          <t>2026-08-08</t>
        </is>
      </c>
      <c r="H117" s="19" t="inlineStr">
        <is>
          <t>2</t>
        </is>
      </c>
      <c r="I117" t="inlineStr">
        <is>
          <t>Phase I generated Rev.00 Word file — linked; signatures not completed</t>
        </is>
      </c>
      <c r="J117" t="inlineStr">
        <is>
          <t>2026-08-10T19:29:54Z</t>
        </is>
      </c>
      <c r="K117" t="inlineStr">
        <is>
          <t>2026-08-10T19:49:40Z</t>
        </is>
      </c>
    </row>
    <row r="118">
      <c r="A118" s="19" t="inlineStr">
        <is>
          <t>117</t>
        </is>
      </c>
      <c r="B118" s="19" t="inlineStr">
        <is>
          <t>IA-PPWR-TF-ST-030-STD-04-R00</t>
        </is>
      </c>
      <c r="C118" t="inlineStr">
        <is>
          <t>IA-PPWR-TF-ST-030-STD-04-R00</t>
        </is>
      </c>
      <c r="D118" s="19" t="inlineStr">
        <is>
          <t>1</t>
        </is>
      </c>
      <c r="E118" t="inlineStr">
        <is>
          <t>01_STARTER/ST-030-STD-04/01_Technical_File.docx</t>
        </is>
      </c>
      <c r="F118" t="inlineStr">
        <is>
          <t>d4cbcc0d8ca33a213b9ebafbc9c11f6bf0d6f5ec721e336fa33b6a474542dafb</t>
        </is>
      </c>
      <c r="G118" t="inlineStr">
        <is>
          <t>2026-08-08</t>
        </is>
      </c>
      <c r="H118" s="19" t="inlineStr">
        <is>
          <t>2</t>
        </is>
      </c>
      <c r="I118" t="inlineStr">
        <is>
          <t>Phase I generated Rev.00 Word file — linked; signatures not completed</t>
        </is>
      </c>
      <c r="J118" t="inlineStr">
        <is>
          <t>2026-08-10T19:29:54Z</t>
        </is>
      </c>
      <c r="K118" t="inlineStr">
        <is>
          <t>2026-08-10T19:49:40Z</t>
        </is>
      </c>
    </row>
    <row r="119">
      <c r="A119" s="19" t="inlineStr">
        <is>
          <t>118</t>
        </is>
      </c>
      <c r="B119" s="19" t="inlineStr">
        <is>
          <t>IA-PPWR-DOC-ST-030-STD-04-R00</t>
        </is>
      </c>
      <c r="C119" t="inlineStr">
        <is>
          <t>IA-PPWR-DOC-ST-030-STD-04-R00</t>
        </is>
      </c>
      <c r="D119" s="19" t="inlineStr">
        <is>
          <t>4</t>
        </is>
      </c>
      <c r="E119" t="inlineStr">
        <is>
          <t>01_STARTER/ST-030-STD-04/02_EU_DoC.docx</t>
        </is>
      </c>
      <c r="F119" t="inlineStr">
        <is>
          <t>55ccce2e6689398dab6c28b94826f1e4c6aa58e1e63d08919397142fedcd4e4c</t>
        </is>
      </c>
      <c r="G119" t="inlineStr">
        <is>
          <t>2026-08-08</t>
        </is>
      </c>
      <c r="H119" s="19" t="inlineStr">
        <is>
          <t>2</t>
        </is>
      </c>
      <c r="I119" t="inlineStr">
        <is>
          <t>Phase I generated Rev.00 Word file — linked; signatures not completed</t>
        </is>
      </c>
      <c r="J119" t="inlineStr">
        <is>
          <t>2026-08-10T19:29:54Z</t>
        </is>
      </c>
      <c r="K119" t="inlineStr">
        <is>
          <t>2026-08-10T19:49:40Z</t>
        </is>
      </c>
    </row>
    <row r="120">
      <c r="A120" s="19" t="inlineStr">
        <is>
          <t>119</t>
        </is>
      </c>
      <c r="B120" s="19" t="inlineStr">
        <is>
          <t>IA-PPWR-LBL-ST-030-STD-04-R00</t>
        </is>
      </c>
      <c r="C120" t="inlineStr">
        <is>
          <t>IA-PPWR-LBL-ST-030-STD-04-R00</t>
        </is>
      </c>
      <c r="D120" s="19" t="inlineStr">
        <is>
          <t>11</t>
        </is>
      </c>
      <c r="E120" t="inlineStr">
        <is>
          <t>01_STARTER/ST-030-STD-04/03_Label.docx</t>
        </is>
      </c>
      <c r="F120" t="inlineStr">
        <is>
          <t>2c2253c0b5256d32329e04da2c9e333b5c666dceed2c9e2d678235362d077ca0</t>
        </is>
      </c>
      <c r="G120" t="inlineStr">
        <is>
          <t>2026-08-08</t>
        </is>
      </c>
      <c r="H120" s="19" t="inlineStr">
        <is>
          <t>2</t>
        </is>
      </c>
      <c r="I120" t="inlineStr">
        <is>
          <t>Phase I generated Rev.00 Word file — linked; signatures not completed</t>
        </is>
      </c>
      <c r="J120" t="inlineStr">
        <is>
          <t>2026-08-10T19:29:54Z</t>
        </is>
      </c>
      <c r="K120" t="inlineStr">
        <is>
          <t>2026-08-10T19:49:40Z</t>
        </is>
      </c>
    </row>
    <row r="121">
      <c r="A121" s="19" t="inlineStr">
        <is>
          <t>120</t>
        </is>
      </c>
      <c r="B121" s="19" t="inlineStr">
        <is>
          <t>IA-PPWR-STM-ST-030-STD-04-R00</t>
        </is>
      </c>
      <c r="C121" t="inlineStr">
        <is>
          <t>IA-PPWR-STM-ST-030-STD-04-R00</t>
        </is>
      </c>
      <c r="D121" s="19" t="inlineStr">
        <is>
          <t>12</t>
        </is>
      </c>
      <c r="E121" t="inlineStr">
        <is>
          <t>01_STARTER/ST-030-STD-04/04_Shipment_Statement.docx</t>
        </is>
      </c>
      <c r="F121" t="inlineStr">
        <is>
          <t>05fa8ca33b621a002256eae94209cfb1cd922a30e7f38cd60253a85721d3ce2f</t>
        </is>
      </c>
      <c r="G121" t="inlineStr">
        <is>
          <t>2026-08-08</t>
        </is>
      </c>
      <c r="H121" s="19" t="inlineStr">
        <is>
          <t>2</t>
        </is>
      </c>
      <c r="I121" t="inlineStr">
        <is>
          <t>Phase I generated Rev.00 Word file — linked; signatures not completed</t>
        </is>
      </c>
      <c r="J121" t="inlineStr">
        <is>
          <t>2026-08-10T19:29:54Z</t>
        </is>
      </c>
      <c r="K121" t="inlineStr">
        <is>
          <t>2026-08-10T19:49:40Z</t>
        </is>
      </c>
    </row>
    <row r="122">
      <c r="A122" s="19" t="inlineStr">
        <is>
          <t>121</t>
        </is>
      </c>
      <c r="B122" s="19" t="inlineStr">
        <is>
          <t>IA-PPWR-TF-ST-030-STD-05-R00</t>
        </is>
      </c>
      <c r="C122" t="inlineStr">
        <is>
          <t>IA-PPWR-TF-ST-030-STD-05-R00</t>
        </is>
      </c>
      <c r="D122" s="19" t="inlineStr">
        <is>
          <t>1</t>
        </is>
      </c>
      <c r="E122" t="inlineStr">
        <is>
          <t>01_STARTER/ST-030-STD-05/01_Technical_File.docx</t>
        </is>
      </c>
      <c r="F122" t="inlineStr">
        <is>
          <t>324a57df0aa27aa0330790f461d4f75c2319f9f35a089ca904970e7ef4374081</t>
        </is>
      </c>
      <c r="G122" t="inlineStr">
        <is>
          <t>2026-08-08</t>
        </is>
      </c>
      <c r="H122" s="19" t="inlineStr">
        <is>
          <t>2</t>
        </is>
      </c>
      <c r="I122" t="inlineStr">
        <is>
          <t>Phase I generated Rev.00 Word file — linked; signatures not completed</t>
        </is>
      </c>
      <c r="J122" t="inlineStr">
        <is>
          <t>2026-08-10T19:29:54Z</t>
        </is>
      </c>
      <c r="K122" t="inlineStr">
        <is>
          <t>2026-08-10T19:49:40Z</t>
        </is>
      </c>
    </row>
    <row r="123">
      <c r="A123" s="19" t="inlineStr">
        <is>
          <t>122</t>
        </is>
      </c>
      <c r="B123" s="19" t="inlineStr">
        <is>
          <t>IA-PPWR-DOC-ST-030-STD-05-R00</t>
        </is>
      </c>
      <c r="C123" t="inlineStr">
        <is>
          <t>IA-PPWR-DOC-ST-030-STD-05-R00</t>
        </is>
      </c>
      <c r="D123" s="19" t="inlineStr">
        <is>
          <t>4</t>
        </is>
      </c>
      <c r="E123" t="inlineStr">
        <is>
          <t>01_STARTER/ST-030-STD-05/02_EU_DoC.docx</t>
        </is>
      </c>
      <c r="F123" t="inlineStr">
        <is>
          <t>a48b9ad5d018216a55f2381f620358ee9603b43af92ecb1fbf217ab80db7d043</t>
        </is>
      </c>
      <c r="G123" t="inlineStr">
        <is>
          <t>2026-08-08</t>
        </is>
      </c>
      <c r="H123" s="19" t="inlineStr">
        <is>
          <t>2</t>
        </is>
      </c>
      <c r="I123" t="inlineStr">
        <is>
          <t>Phase I generated Rev.00 Word file — linked; signatures not completed</t>
        </is>
      </c>
      <c r="J123" t="inlineStr">
        <is>
          <t>2026-08-10T19:29:54Z</t>
        </is>
      </c>
      <c r="K123" t="inlineStr">
        <is>
          <t>2026-08-10T19:49:40Z</t>
        </is>
      </c>
    </row>
    <row r="124">
      <c r="A124" s="19" t="inlineStr">
        <is>
          <t>123</t>
        </is>
      </c>
      <c r="B124" s="19" t="inlineStr">
        <is>
          <t>IA-PPWR-LBL-ST-030-STD-05-R00</t>
        </is>
      </c>
      <c r="C124" t="inlineStr">
        <is>
          <t>IA-PPWR-LBL-ST-030-STD-05-R00</t>
        </is>
      </c>
      <c r="D124" s="19" t="inlineStr">
        <is>
          <t>11</t>
        </is>
      </c>
      <c r="E124" t="inlineStr">
        <is>
          <t>01_STARTER/ST-030-STD-05/03_Label.docx</t>
        </is>
      </c>
      <c r="F124" t="inlineStr">
        <is>
          <t>98528a7d683aa6f4682bbc648b463aada9977e911c03983359cd4d15c5fa01fa</t>
        </is>
      </c>
      <c r="G124" t="inlineStr">
        <is>
          <t>2026-08-08</t>
        </is>
      </c>
      <c r="H124" s="19" t="inlineStr">
        <is>
          <t>2</t>
        </is>
      </c>
      <c r="I124" t="inlineStr">
        <is>
          <t>Phase I generated Rev.00 Word file — linked; signatures not completed</t>
        </is>
      </c>
      <c r="J124" t="inlineStr">
        <is>
          <t>2026-08-10T19:29:54Z</t>
        </is>
      </c>
      <c r="K124" t="inlineStr">
        <is>
          <t>2026-08-10T19:49:40Z</t>
        </is>
      </c>
    </row>
    <row r="125">
      <c r="A125" s="19" t="inlineStr">
        <is>
          <t>124</t>
        </is>
      </c>
      <c r="B125" s="19" t="inlineStr">
        <is>
          <t>IA-PPWR-STM-ST-030-STD-05-R00</t>
        </is>
      </c>
      <c r="C125" t="inlineStr">
        <is>
          <t>IA-PPWR-STM-ST-030-STD-05-R00</t>
        </is>
      </c>
      <c r="D125" s="19" t="inlineStr">
        <is>
          <t>12</t>
        </is>
      </c>
      <c r="E125" t="inlineStr">
        <is>
          <t>01_STARTER/ST-030-STD-05/04_Shipment_Statement.docx</t>
        </is>
      </c>
      <c r="F125" t="inlineStr">
        <is>
          <t>ae09cb915ba28e5710d1057ef7c3653008f7cb6f570dbc36fe9eeed757981280</t>
        </is>
      </c>
      <c r="G125" t="inlineStr">
        <is>
          <t>2026-08-08</t>
        </is>
      </c>
      <c r="H125" s="19" t="inlineStr">
        <is>
          <t>2</t>
        </is>
      </c>
      <c r="I125" t="inlineStr">
        <is>
          <t>Phase I generated Rev.00 Word file — linked; signatures not completed</t>
        </is>
      </c>
      <c r="J125" t="inlineStr">
        <is>
          <t>2026-08-10T19:29:54Z</t>
        </is>
      </c>
      <c r="K125" t="inlineStr">
        <is>
          <t>2026-08-10T19:49:40Z</t>
        </is>
      </c>
    </row>
    <row r="126">
      <c r="A126" s="19" t="inlineStr">
        <is>
          <t>125</t>
        </is>
      </c>
      <c r="B126" s="19" t="inlineStr">
        <is>
          <t>IA-PPWR-TF-ST-030-STD-06-R00</t>
        </is>
      </c>
      <c r="C126" t="inlineStr">
        <is>
          <t>IA-PPWR-TF-ST-030-STD-06-R00</t>
        </is>
      </c>
      <c r="D126" s="19" t="inlineStr">
        <is>
          <t>1</t>
        </is>
      </c>
      <c r="E126" t="inlineStr">
        <is>
          <t>01_STARTER/ST-030-STD-06/01_Technical_File.docx</t>
        </is>
      </c>
      <c r="F126" t="inlineStr">
        <is>
          <t>860e68e86d75d414b3825fa3cff189d6aba7d3009067369ea9488c6ca61420ca</t>
        </is>
      </c>
      <c r="G126" t="inlineStr">
        <is>
          <t>2026-08-08</t>
        </is>
      </c>
      <c r="H126" s="19" t="inlineStr">
        <is>
          <t>2</t>
        </is>
      </c>
      <c r="I126" t="inlineStr">
        <is>
          <t>Phase I generated Rev.00 Word file — linked; signatures not completed</t>
        </is>
      </c>
      <c r="J126" t="inlineStr">
        <is>
          <t>2026-08-10T19:29:54Z</t>
        </is>
      </c>
      <c r="K126" t="inlineStr">
        <is>
          <t>2026-08-10T19:49:40Z</t>
        </is>
      </c>
    </row>
    <row r="127">
      <c r="A127" s="19" t="inlineStr">
        <is>
          <t>126</t>
        </is>
      </c>
      <c r="B127" s="19" t="inlineStr">
        <is>
          <t>IA-PPWR-DOC-ST-030-STD-06-R00</t>
        </is>
      </c>
      <c r="C127" t="inlineStr">
        <is>
          <t>IA-PPWR-DOC-ST-030-STD-06-R00</t>
        </is>
      </c>
      <c r="D127" s="19" t="inlineStr">
        <is>
          <t>4</t>
        </is>
      </c>
      <c r="E127" t="inlineStr">
        <is>
          <t>01_STARTER/ST-030-STD-06/02_EU_DoC.docx</t>
        </is>
      </c>
      <c r="F127" t="inlineStr">
        <is>
          <t>80014c5d0cc607f540a1e125adcbdb9c9c86fdd2e49ba678b577e9180c12ea2d</t>
        </is>
      </c>
      <c r="G127" t="inlineStr">
        <is>
          <t>2026-08-08</t>
        </is>
      </c>
      <c r="H127" s="19" t="inlineStr">
        <is>
          <t>2</t>
        </is>
      </c>
      <c r="I127" t="inlineStr">
        <is>
          <t>Phase I generated Rev.00 Word file — linked; signatures not completed</t>
        </is>
      </c>
      <c r="J127" t="inlineStr">
        <is>
          <t>2026-08-10T19:29:54Z</t>
        </is>
      </c>
      <c r="K127" t="inlineStr">
        <is>
          <t>2026-08-10T19:49:40Z</t>
        </is>
      </c>
    </row>
    <row r="128">
      <c r="A128" s="19" t="inlineStr">
        <is>
          <t>127</t>
        </is>
      </c>
      <c r="B128" s="19" t="inlineStr">
        <is>
          <t>IA-PPWR-LBL-ST-030-STD-06-R00</t>
        </is>
      </c>
      <c r="C128" t="inlineStr">
        <is>
          <t>IA-PPWR-LBL-ST-030-STD-06-R00</t>
        </is>
      </c>
      <c r="D128" s="19" t="inlineStr">
        <is>
          <t>11</t>
        </is>
      </c>
      <c r="E128" t="inlineStr">
        <is>
          <t>01_STARTER/ST-030-STD-06/03_Label.docx</t>
        </is>
      </c>
      <c r="F128" t="inlineStr">
        <is>
          <t>50f655f0c5462ed2de584234c952da06ab3d0b973e314c5f29f297c98ad848b3</t>
        </is>
      </c>
      <c r="G128" t="inlineStr">
        <is>
          <t>2026-08-08</t>
        </is>
      </c>
      <c r="H128" s="19" t="inlineStr">
        <is>
          <t>2</t>
        </is>
      </c>
      <c r="I128" t="inlineStr">
        <is>
          <t>Phase I generated Rev.00 Word file — linked; signatures not completed</t>
        </is>
      </c>
      <c r="J128" t="inlineStr">
        <is>
          <t>2026-08-10T19:29:54Z</t>
        </is>
      </c>
      <c r="K128" t="inlineStr">
        <is>
          <t>2026-08-10T19:49:40Z</t>
        </is>
      </c>
    </row>
    <row r="129">
      <c r="A129" s="19" t="inlineStr">
        <is>
          <t>128</t>
        </is>
      </c>
      <c r="B129" s="19" t="inlineStr">
        <is>
          <t>IA-PPWR-STM-ST-030-STD-06-R00</t>
        </is>
      </c>
      <c r="C129" t="inlineStr">
        <is>
          <t>IA-PPWR-STM-ST-030-STD-06-R00</t>
        </is>
      </c>
      <c r="D129" s="19" t="inlineStr">
        <is>
          <t>12</t>
        </is>
      </c>
      <c r="E129" t="inlineStr">
        <is>
          <t>01_STARTER/ST-030-STD-06/04_Shipment_Statement.docx</t>
        </is>
      </c>
      <c r="F129" t="inlineStr">
        <is>
          <t>d06bd411275b25c5b6c8888c516bb9bbfdde80d893194e635f59c39da4950bb0</t>
        </is>
      </c>
      <c r="G129" t="inlineStr">
        <is>
          <t>2026-08-08</t>
        </is>
      </c>
      <c r="H129" s="19" t="inlineStr">
        <is>
          <t>2</t>
        </is>
      </c>
      <c r="I129" t="inlineStr">
        <is>
          <t>Phase I generated Rev.00 Word file — linked; signatures not completed</t>
        </is>
      </c>
      <c r="J129" t="inlineStr">
        <is>
          <t>2026-08-10T19:29:54Z</t>
        </is>
      </c>
      <c r="K129" t="inlineStr">
        <is>
          <t>2026-08-10T19:49:40Z</t>
        </is>
      </c>
    </row>
    <row r="130">
      <c r="A130" s="19" t="inlineStr">
        <is>
          <t>129</t>
        </is>
      </c>
      <c r="B130" s="19" t="inlineStr">
        <is>
          <t>IA-PPWR-TF-ST-030-STD-07-R00</t>
        </is>
      </c>
      <c r="C130" t="inlineStr">
        <is>
          <t>IA-PPWR-TF-ST-030-STD-07-R00</t>
        </is>
      </c>
      <c r="D130" s="19" t="inlineStr">
        <is>
          <t>1</t>
        </is>
      </c>
      <c r="E130" t="inlineStr">
        <is>
          <t>01_STARTER/ST-030-STD-07/01_Technical_File.docx</t>
        </is>
      </c>
      <c r="F130" t="inlineStr">
        <is>
          <t>02d0b63faabaf28a4e9ddafa3804d5a1819552cb8cb27277f6fe1299baa8d93a</t>
        </is>
      </c>
      <c r="G130" t="inlineStr">
        <is>
          <t>2026-08-08</t>
        </is>
      </c>
      <c r="H130" s="19" t="inlineStr">
        <is>
          <t>2</t>
        </is>
      </c>
      <c r="I130" t="inlineStr">
        <is>
          <t>Phase I generated Rev.00 Word file — linked; signatures not completed</t>
        </is>
      </c>
      <c r="J130" t="inlineStr">
        <is>
          <t>2026-08-10T19:29:54Z</t>
        </is>
      </c>
      <c r="K130" t="inlineStr">
        <is>
          <t>2026-08-10T19:49:40Z</t>
        </is>
      </c>
    </row>
    <row r="131">
      <c r="A131" s="19" t="inlineStr">
        <is>
          <t>130</t>
        </is>
      </c>
      <c r="B131" s="19" t="inlineStr">
        <is>
          <t>IA-PPWR-DOC-ST-030-STD-07-R00</t>
        </is>
      </c>
      <c r="C131" t="inlineStr">
        <is>
          <t>IA-PPWR-DOC-ST-030-STD-07-R00</t>
        </is>
      </c>
      <c r="D131" s="19" t="inlineStr">
        <is>
          <t>4</t>
        </is>
      </c>
      <c r="E131" t="inlineStr">
        <is>
          <t>01_STARTER/ST-030-STD-07/02_EU_DoC.docx</t>
        </is>
      </c>
      <c r="F131" t="inlineStr">
        <is>
          <t>80dedf37a588f51e1d1ce74174eec6036eb70e4a478284270eaff6ed72d833b7</t>
        </is>
      </c>
      <c r="G131" t="inlineStr">
        <is>
          <t>2026-08-08</t>
        </is>
      </c>
      <c r="H131" s="19" t="inlineStr">
        <is>
          <t>2</t>
        </is>
      </c>
      <c r="I131" t="inlineStr">
        <is>
          <t>Phase I generated Rev.00 Word file — linked; signatures not completed</t>
        </is>
      </c>
      <c r="J131" t="inlineStr">
        <is>
          <t>2026-08-10T19:29:54Z</t>
        </is>
      </c>
      <c r="K131" t="inlineStr">
        <is>
          <t>2026-08-10T19:49:40Z</t>
        </is>
      </c>
    </row>
    <row r="132">
      <c r="A132" s="19" t="inlineStr">
        <is>
          <t>131</t>
        </is>
      </c>
      <c r="B132" s="19" t="inlineStr">
        <is>
          <t>IA-PPWR-LBL-ST-030-STD-07-R00</t>
        </is>
      </c>
      <c r="C132" t="inlineStr">
        <is>
          <t>IA-PPWR-LBL-ST-030-STD-07-R00</t>
        </is>
      </c>
      <c r="D132" s="19" t="inlineStr">
        <is>
          <t>11</t>
        </is>
      </c>
      <c r="E132" t="inlineStr">
        <is>
          <t>01_STARTER/ST-030-STD-07/03_Label.docx</t>
        </is>
      </c>
      <c r="F132" t="inlineStr">
        <is>
          <t>cd4997023218a50361b414a2efbe3df30a526c2260c80eafc70ddbb8e48a540e</t>
        </is>
      </c>
      <c r="G132" t="inlineStr">
        <is>
          <t>2026-08-08</t>
        </is>
      </c>
      <c r="H132" s="19" t="inlineStr">
        <is>
          <t>2</t>
        </is>
      </c>
      <c r="I132" t="inlineStr">
        <is>
          <t>Phase I generated Rev.00 Word file — linked; signatures not completed</t>
        </is>
      </c>
      <c r="J132" t="inlineStr">
        <is>
          <t>2026-08-10T19:29:54Z</t>
        </is>
      </c>
      <c r="K132" t="inlineStr">
        <is>
          <t>2026-08-10T19:49:40Z</t>
        </is>
      </c>
    </row>
    <row r="133">
      <c r="A133" s="19" t="inlineStr">
        <is>
          <t>132</t>
        </is>
      </c>
      <c r="B133" s="19" t="inlineStr">
        <is>
          <t>IA-PPWR-STM-ST-030-STD-07-R00</t>
        </is>
      </c>
      <c r="C133" t="inlineStr">
        <is>
          <t>IA-PPWR-STM-ST-030-STD-07-R00</t>
        </is>
      </c>
      <c r="D133" s="19" t="inlineStr">
        <is>
          <t>12</t>
        </is>
      </c>
      <c r="E133" t="inlineStr">
        <is>
          <t>01_STARTER/ST-030-STD-07/04_Shipment_Statement.docx</t>
        </is>
      </c>
      <c r="F133" t="inlineStr">
        <is>
          <t>76882db7653865e34dbbca1e7608ba182cf56ad2537479fa645e09b36d3da953</t>
        </is>
      </c>
      <c r="G133" t="inlineStr">
        <is>
          <t>2026-08-08</t>
        </is>
      </c>
      <c r="H133" s="19" t="inlineStr">
        <is>
          <t>2</t>
        </is>
      </c>
      <c r="I133" t="inlineStr">
        <is>
          <t>Phase I generated Rev.00 Word file — linked; signatures not completed</t>
        </is>
      </c>
      <c r="J133" t="inlineStr">
        <is>
          <t>2026-08-10T19:29:54Z</t>
        </is>
      </c>
      <c r="K133" t="inlineStr">
        <is>
          <t>2026-08-10T19:49:40Z</t>
        </is>
      </c>
    </row>
    <row r="134">
      <c r="A134" s="19" t="inlineStr">
        <is>
          <t>133</t>
        </is>
      </c>
      <c r="B134" s="19" t="inlineStr">
        <is>
          <t>IA-PPWR-TF-ST-030-STD-08-R00</t>
        </is>
      </c>
      <c r="C134" t="inlineStr">
        <is>
          <t>IA-PPWR-TF-ST-030-STD-08-R00</t>
        </is>
      </c>
      <c r="D134" s="19" t="inlineStr">
        <is>
          <t>1</t>
        </is>
      </c>
      <c r="E134" t="inlineStr">
        <is>
          <t>01_STARTER/ST-030-STD-08/01_Technical_File.docx</t>
        </is>
      </c>
      <c r="F134" t="inlineStr">
        <is>
          <t>7457adcd7f867a3b5521c1bc8e939f2fbdb10dd72136c1e4ea6e9795237f2d5d</t>
        </is>
      </c>
      <c r="G134" t="inlineStr">
        <is>
          <t>2026-08-08</t>
        </is>
      </c>
      <c r="H134" s="19" t="inlineStr">
        <is>
          <t>2</t>
        </is>
      </c>
      <c r="I134" t="inlineStr">
        <is>
          <t>Phase I generated Rev.00 Word file — linked; signatures not completed</t>
        </is>
      </c>
      <c r="J134" t="inlineStr">
        <is>
          <t>2026-08-10T19:29:54Z</t>
        </is>
      </c>
      <c r="K134" t="inlineStr">
        <is>
          <t>2026-08-10T19:49:40Z</t>
        </is>
      </c>
    </row>
    <row r="135">
      <c r="A135" s="19" t="inlineStr">
        <is>
          <t>134</t>
        </is>
      </c>
      <c r="B135" s="19" t="inlineStr">
        <is>
          <t>IA-PPWR-DOC-ST-030-STD-08-R00</t>
        </is>
      </c>
      <c r="C135" t="inlineStr">
        <is>
          <t>IA-PPWR-DOC-ST-030-STD-08-R00</t>
        </is>
      </c>
      <c r="D135" s="19" t="inlineStr">
        <is>
          <t>4</t>
        </is>
      </c>
      <c r="E135" t="inlineStr">
        <is>
          <t>01_STARTER/ST-030-STD-08/02_EU_DoC.docx</t>
        </is>
      </c>
      <c r="F135" t="inlineStr">
        <is>
          <t>fe1667a5f44431f5b9c9f2bc1214783a8c426490eb51c222778abffc33314f9b</t>
        </is>
      </c>
      <c r="G135" t="inlineStr">
        <is>
          <t>2026-08-08</t>
        </is>
      </c>
      <c r="H135" s="19" t="inlineStr">
        <is>
          <t>2</t>
        </is>
      </c>
      <c r="I135" t="inlineStr">
        <is>
          <t>Phase I generated Rev.00 Word file — linked; signatures not completed</t>
        </is>
      </c>
      <c r="J135" t="inlineStr">
        <is>
          <t>2026-08-10T19:29:54Z</t>
        </is>
      </c>
      <c r="K135" t="inlineStr">
        <is>
          <t>2026-08-10T19:49:40Z</t>
        </is>
      </c>
    </row>
    <row r="136">
      <c r="A136" s="19" t="inlineStr">
        <is>
          <t>135</t>
        </is>
      </c>
      <c r="B136" s="19" t="inlineStr">
        <is>
          <t>IA-PPWR-LBL-ST-030-STD-08-R00</t>
        </is>
      </c>
      <c r="C136" t="inlineStr">
        <is>
          <t>IA-PPWR-LBL-ST-030-STD-08-R00</t>
        </is>
      </c>
      <c r="D136" s="19" t="inlineStr">
        <is>
          <t>11</t>
        </is>
      </c>
      <c r="E136" t="inlineStr">
        <is>
          <t>01_STARTER/ST-030-STD-08/03_Label.docx</t>
        </is>
      </c>
      <c r="F136" t="inlineStr">
        <is>
          <t>12fd4e8c332fb6fca855ed506d01e8b9b5d5dd106aef635978d800e735e91c9f</t>
        </is>
      </c>
      <c r="G136" t="inlineStr">
        <is>
          <t>2026-08-08</t>
        </is>
      </c>
      <c r="H136" s="19" t="inlineStr">
        <is>
          <t>2</t>
        </is>
      </c>
      <c r="I136" t="inlineStr">
        <is>
          <t>Phase I generated Rev.00 Word file — linked; signatures not completed</t>
        </is>
      </c>
      <c r="J136" t="inlineStr">
        <is>
          <t>2026-08-10T19:29:54Z</t>
        </is>
      </c>
      <c r="K136" t="inlineStr">
        <is>
          <t>2026-08-10T19:49:40Z</t>
        </is>
      </c>
    </row>
    <row r="137">
      <c r="A137" s="19" t="inlineStr">
        <is>
          <t>136</t>
        </is>
      </c>
      <c r="B137" s="19" t="inlineStr">
        <is>
          <t>IA-PPWR-STM-ST-030-STD-08-R00</t>
        </is>
      </c>
      <c r="C137" t="inlineStr">
        <is>
          <t>IA-PPWR-STM-ST-030-STD-08-R00</t>
        </is>
      </c>
      <c r="D137" s="19" t="inlineStr">
        <is>
          <t>12</t>
        </is>
      </c>
      <c r="E137" t="inlineStr">
        <is>
          <t>01_STARTER/ST-030-STD-08/04_Shipment_Statement.docx</t>
        </is>
      </c>
      <c r="F137" t="inlineStr">
        <is>
          <t>0d7205e021438dcc8f8067e6ac91cce20134cbfce6f83cd16d14f101dfcf5916</t>
        </is>
      </c>
      <c r="G137" t="inlineStr">
        <is>
          <t>2026-08-08</t>
        </is>
      </c>
      <c r="H137" s="19" t="inlineStr">
        <is>
          <t>2</t>
        </is>
      </c>
      <c r="I137" t="inlineStr">
        <is>
          <t>Phase I generated Rev.00 Word file — linked; signatures not completed</t>
        </is>
      </c>
      <c r="J137" t="inlineStr">
        <is>
          <t>2026-08-10T19:29:54Z</t>
        </is>
      </c>
      <c r="K137" t="inlineStr">
        <is>
          <t>2026-08-10T19:49:40Z</t>
        </is>
      </c>
    </row>
    <row r="138">
      <c r="A138" s="19" t="inlineStr">
        <is>
          <t>137</t>
        </is>
      </c>
      <c r="B138" s="19" t="inlineStr">
        <is>
          <t>IA-PPWR-TF-ST-030-STD-09-R00</t>
        </is>
      </c>
      <c r="C138" t="inlineStr">
        <is>
          <t>IA-PPWR-TF-ST-030-STD-09-R00</t>
        </is>
      </c>
      <c r="D138" s="19" t="inlineStr">
        <is>
          <t>1</t>
        </is>
      </c>
      <c r="E138" t="inlineStr">
        <is>
          <t>01_STARTER/ST-030-STD-09/01_Technical_File.docx</t>
        </is>
      </c>
      <c r="F138" t="inlineStr">
        <is>
          <t>10d592f5e72a3a88a61bcaee7b7d8edd7a40297720b2528a00a7042273a72273</t>
        </is>
      </c>
      <c r="G138" t="inlineStr">
        <is>
          <t>2026-08-08</t>
        </is>
      </c>
      <c r="H138" s="19" t="inlineStr">
        <is>
          <t>2</t>
        </is>
      </c>
      <c r="I138" t="inlineStr">
        <is>
          <t>Phase I generated Rev.00 Word file — linked; signatures not completed</t>
        </is>
      </c>
      <c r="J138" t="inlineStr">
        <is>
          <t>2026-08-10T19:29:54Z</t>
        </is>
      </c>
      <c r="K138" t="inlineStr">
        <is>
          <t>2026-08-10T19:49:40Z</t>
        </is>
      </c>
    </row>
    <row r="139">
      <c r="A139" s="19" t="inlineStr">
        <is>
          <t>138</t>
        </is>
      </c>
      <c r="B139" s="19" t="inlineStr">
        <is>
          <t>IA-PPWR-DOC-ST-030-STD-09-R00</t>
        </is>
      </c>
      <c r="C139" t="inlineStr">
        <is>
          <t>IA-PPWR-DOC-ST-030-STD-09-R00</t>
        </is>
      </c>
      <c r="D139" s="19" t="inlineStr">
        <is>
          <t>4</t>
        </is>
      </c>
      <c r="E139" t="inlineStr">
        <is>
          <t>01_STARTER/ST-030-STD-09/02_EU_DoC.docx</t>
        </is>
      </c>
      <c r="F139" t="inlineStr">
        <is>
          <t>b6dfd716493c512b30c2e869ce2b6993162cff1ba40e2b7761799a4fea4cf138</t>
        </is>
      </c>
      <c r="G139" t="inlineStr">
        <is>
          <t>2026-08-08</t>
        </is>
      </c>
      <c r="H139" s="19" t="inlineStr">
        <is>
          <t>2</t>
        </is>
      </c>
      <c r="I139" t="inlineStr">
        <is>
          <t>Phase I generated Rev.00 Word file — linked; signatures not completed</t>
        </is>
      </c>
      <c r="J139" t="inlineStr">
        <is>
          <t>2026-08-10T19:29:54Z</t>
        </is>
      </c>
      <c r="K139" t="inlineStr">
        <is>
          <t>2026-08-10T19:49:40Z</t>
        </is>
      </c>
    </row>
    <row r="140">
      <c r="A140" s="19" t="inlineStr">
        <is>
          <t>139</t>
        </is>
      </c>
      <c r="B140" s="19" t="inlineStr">
        <is>
          <t>IA-PPWR-LBL-ST-030-STD-09-R00</t>
        </is>
      </c>
      <c r="C140" t="inlineStr">
        <is>
          <t>IA-PPWR-LBL-ST-030-STD-09-R00</t>
        </is>
      </c>
      <c r="D140" s="19" t="inlineStr">
        <is>
          <t>11</t>
        </is>
      </c>
      <c r="E140" t="inlineStr">
        <is>
          <t>01_STARTER/ST-030-STD-09/03_Label.docx</t>
        </is>
      </c>
      <c r="F140" t="inlineStr">
        <is>
          <t>0f5bf58fe99853a5d2562418aa6198f0aa4dfaf3f58b47679ed855bd9210c854</t>
        </is>
      </c>
      <c r="G140" t="inlineStr">
        <is>
          <t>2026-08-08</t>
        </is>
      </c>
      <c r="H140" s="19" t="inlineStr">
        <is>
          <t>2</t>
        </is>
      </c>
      <c r="I140" t="inlineStr">
        <is>
          <t>Phase I generated Rev.00 Word file — linked; signatures not completed</t>
        </is>
      </c>
      <c r="J140" t="inlineStr">
        <is>
          <t>2026-08-10T19:29:54Z</t>
        </is>
      </c>
      <c r="K140" t="inlineStr">
        <is>
          <t>2026-08-10T19:49:40Z</t>
        </is>
      </c>
    </row>
    <row r="141">
      <c r="A141" s="19" t="inlineStr">
        <is>
          <t>140</t>
        </is>
      </c>
      <c r="B141" s="19" t="inlineStr">
        <is>
          <t>IA-PPWR-STM-ST-030-STD-09-R00</t>
        </is>
      </c>
      <c r="C141" t="inlineStr">
        <is>
          <t>IA-PPWR-STM-ST-030-STD-09-R00</t>
        </is>
      </c>
      <c r="D141" s="19" t="inlineStr">
        <is>
          <t>12</t>
        </is>
      </c>
      <c r="E141" t="inlineStr">
        <is>
          <t>01_STARTER/ST-030-STD-09/04_Shipment_Statement.docx</t>
        </is>
      </c>
      <c r="F141" t="inlineStr">
        <is>
          <t>2931c52e8ca8563f1ac96f114f9e017b23e75f01810e2e6e5ac9d8d5c14b2fae</t>
        </is>
      </c>
      <c r="G141" t="inlineStr">
        <is>
          <t>2026-08-08</t>
        </is>
      </c>
      <c r="H141" s="19" t="inlineStr">
        <is>
          <t>2</t>
        </is>
      </c>
      <c r="I141" t="inlineStr">
        <is>
          <t>Phase I generated Rev.00 Word file — linked; signatures not completed</t>
        </is>
      </c>
      <c r="J141" t="inlineStr">
        <is>
          <t>2026-08-10T19:29:54Z</t>
        </is>
      </c>
      <c r="K141" t="inlineStr">
        <is>
          <t>2026-08-10T19:49:40Z</t>
        </is>
      </c>
    </row>
    <row r="142">
      <c r="A142" s="19" t="inlineStr">
        <is>
          <t>141</t>
        </is>
      </c>
      <c r="B142" s="19" t="inlineStr">
        <is>
          <t>IA-PPWR-TF-ST-030-STD-10-R00</t>
        </is>
      </c>
      <c r="C142" t="inlineStr">
        <is>
          <t>IA-PPWR-TF-ST-030-STD-10-R00</t>
        </is>
      </c>
      <c r="D142" s="19" t="inlineStr">
        <is>
          <t>1</t>
        </is>
      </c>
      <c r="E142" t="inlineStr">
        <is>
          <t>01_STARTER/ST-030-STD-10/01_Technical_File.docx</t>
        </is>
      </c>
      <c r="F142" t="inlineStr">
        <is>
          <t>e622893e8df815c3fab969c38efb1a94439975a89e8e305afe41a3eb4ee4e558</t>
        </is>
      </c>
      <c r="G142" t="inlineStr">
        <is>
          <t>2026-08-08</t>
        </is>
      </c>
      <c r="H142" s="19" t="inlineStr">
        <is>
          <t>2</t>
        </is>
      </c>
      <c r="I142" t="inlineStr">
        <is>
          <t>Phase I generated Rev.00 Word file — linked; signatures not completed</t>
        </is>
      </c>
      <c r="J142" t="inlineStr">
        <is>
          <t>2026-08-10T19:29:54Z</t>
        </is>
      </c>
      <c r="K142" t="inlineStr">
        <is>
          <t>2026-08-10T19:49:40Z</t>
        </is>
      </c>
    </row>
    <row r="143">
      <c r="A143" s="19" t="inlineStr">
        <is>
          <t>142</t>
        </is>
      </c>
      <c r="B143" s="19" t="inlineStr">
        <is>
          <t>IA-PPWR-DOC-ST-030-STD-10-R00</t>
        </is>
      </c>
      <c r="C143" t="inlineStr">
        <is>
          <t>IA-PPWR-DOC-ST-030-STD-10-R00</t>
        </is>
      </c>
      <c r="D143" s="19" t="inlineStr">
        <is>
          <t>4</t>
        </is>
      </c>
      <c r="E143" t="inlineStr">
        <is>
          <t>01_STARTER/ST-030-STD-10/02_EU_DoC.docx</t>
        </is>
      </c>
      <c r="F143" t="inlineStr">
        <is>
          <t>643fb27722b261bf6581d78164d5cb0641b8c453b6624ec242a0149f9a88a3ea</t>
        </is>
      </c>
      <c r="G143" t="inlineStr">
        <is>
          <t>2026-08-08</t>
        </is>
      </c>
      <c r="H143" s="19" t="inlineStr">
        <is>
          <t>2</t>
        </is>
      </c>
      <c r="I143" t="inlineStr">
        <is>
          <t>Phase I generated Rev.00 Word file — linked; signatures not completed</t>
        </is>
      </c>
      <c r="J143" t="inlineStr">
        <is>
          <t>2026-08-10T19:29:54Z</t>
        </is>
      </c>
      <c r="K143" t="inlineStr">
        <is>
          <t>2026-08-10T19:49:40Z</t>
        </is>
      </c>
    </row>
    <row r="144">
      <c r="A144" s="19" t="inlineStr">
        <is>
          <t>143</t>
        </is>
      </c>
      <c r="B144" s="19" t="inlineStr">
        <is>
          <t>IA-PPWR-LBL-ST-030-STD-10-R00</t>
        </is>
      </c>
      <c r="C144" t="inlineStr">
        <is>
          <t>IA-PPWR-LBL-ST-030-STD-10-R00</t>
        </is>
      </c>
      <c r="D144" s="19" t="inlineStr">
        <is>
          <t>11</t>
        </is>
      </c>
      <c r="E144" t="inlineStr">
        <is>
          <t>01_STARTER/ST-030-STD-10/03_Label.docx</t>
        </is>
      </c>
      <c r="F144" t="inlineStr">
        <is>
          <t>717b085bd6c27989859bc6314900594c7f2aebd8c18407db60b19a72f5bbf15a</t>
        </is>
      </c>
      <c r="G144" t="inlineStr">
        <is>
          <t>2026-08-08</t>
        </is>
      </c>
      <c r="H144" s="19" t="inlineStr">
        <is>
          <t>2</t>
        </is>
      </c>
      <c r="I144" t="inlineStr">
        <is>
          <t>Phase I generated Rev.00 Word file — linked; signatures not completed</t>
        </is>
      </c>
      <c r="J144" t="inlineStr">
        <is>
          <t>2026-08-10T19:29:54Z</t>
        </is>
      </c>
      <c r="K144" t="inlineStr">
        <is>
          <t>2026-08-10T19:49:40Z</t>
        </is>
      </c>
    </row>
    <row r="145">
      <c r="A145" s="19" t="inlineStr">
        <is>
          <t>144</t>
        </is>
      </c>
      <c r="B145" s="19" t="inlineStr">
        <is>
          <t>IA-PPWR-STM-ST-030-STD-10-R00</t>
        </is>
      </c>
      <c r="C145" t="inlineStr">
        <is>
          <t>IA-PPWR-STM-ST-030-STD-10-R00</t>
        </is>
      </c>
      <c r="D145" s="19" t="inlineStr">
        <is>
          <t>12</t>
        </is>
      </c>
      <c r="E145" t="inlineStr">
        <is>
          <t>01_STARTER/ST-030-STD-10/04_Shipment_Statement.docx</t>
        </is>
      </c>
      <c r="F145" t="inlineStr">
        <is>
          <t>27ff07a3ed7957f3627a8422c0792ae5b4e7d94f7f2dcd663086328ca07d882f</t>
        </is>
      </c>
      <c r="G145" t="inlineStr">
        <is>
          <t>2026-08-08</t>
        </is>
      </c>
      <c r="H145" s="19" t="inlineStr">
        <is>
          <t>2</t>
        </is>
      </c>
      <c r="I145" t="inlineStr">
        <is>
          <t>Phase I generated Rev.00 Word file — linked; signatures not completed</t>
        </is>
      </c>
      <c r="J145" t="inlineStr">
        <is>
          <t>2026-08-10T19:29:54Z</t>
        </is>
      </c>
      <c r="K145" t="inlineStr">
        <is>
          <t>2026-08-10T19:49:40Z</t>
        </is>
      </c>
    </row>
    <row r="146">
      <c r="A146" s="19" t="inlineStr">
        <is>
          <t>145</t>
        </is>
      </c>
      <c r="B146" s="19" t="inlineStr">
        <is>
          <t>IA-PPWR-TF-ST-030-STD-11-R00</t>
        </is>
      </c>
      <c r="C146" t="inlineStr">
        <is>
          <t>IA-PPWR-TF-ST-030-STD-11-R00</t>
        </is>
      </c>
      <c r="D146" s="19" t="inlineStr">
        <is>
          <t>1</t>
        </is>
      </c>
      <c r="E146" t="inlineStr">
        <is>
          <t>01_STARTER/ST-030-STD-11/01_Technical_File.docx</t>
        </is>
      </c>
      <c r="F146" t="inlineStr">
        <is>
          <t>9832a0bb533bd624881055cb11520c31628c68cd138345681a8d44d5bbb0a77e</t>
        </is>
      </c>
      <c r="G146" t="inlineStr">
        <is>
          <t>2026-08-08</t>
        </is>
      </c>
      <c r="H146" s="19" t="inlineStr">
        <is>
          <t>2</t>
        </is>
      </c>
      <c r="I146" t="inlineStr">
        <is>
          <t>Phase I generated Rev.00 Word file — linked; signatures not completed</t>
        </is>
      </c>
      <c r="J146" t="inlineStr">
        <is>
          <t>2026-08-10T19:29:54Z</t>
        </is>
      </c>
      <c r="K146" t="inlineStr">
        <is>
          <t>2026-08-10T19:49:40Z</t>
        </is>
      </c>
    </row>
    <row r="147">
      <c r="A147" s="19" t="inlineStr">
        <is>
          <t>146</t>
        </is>
      </c>
      <c r="B147" s="19" t="inlineStr">
        <is>
          <t>IA-PPWR-DOC-ST-030-STD-11-R00</t>
        </is>
      </c>
      <c r="C147" t="inlineStr">
        <is>
          <t>IA-PPWR-DOC-ST-030-STD-11-R00</t>
        </is>
      </c>
      <c r="D147" s="19" t="inlineStr">
        <is>
          <t>4</t>
        </is>
      </c>
      <c r="E147" t="inlineStr">
        <is>
          <t>01_STARTER/ST-030-STD-11/02_EU_DoC.docx</t>
        </is>
      </c>
      <c r="F147" t="inlineStr">
        <is>
          <t>f53248825fe01542d94e2de411868f5de82f9cdbd4b8132fbc726a13ef25225d</t>
        </is>
      </c>
      <c r="G147" t="inlineStr">
        <is>
          <t>2026-08-08</t>
        </is>
      </c>
      <c r="H147" s="19" t="inlineStr">
        <is>
          <t>2</t>
        </is>
      </c>
      <c r="I147" t="inlineStr">
        <is>
          <t>Phase I generated Rev.00 Word file — linked; signatures not completed</t>
        </is>
      </c>
      <c r="J147" t="inlineStr">
        <is>
          <t>2026-08-10T19:29:54Z</t>
        </is>
      </c>
      <c r="K147" t="inlineStr">
        <is>
          <t>2026-08-10T19:49:40Z</t>
        </is>
      </c>
    </row>
    <row r="148">
      <c r="A148" s="19" t="inlineStr">
        <is>
          <t>147</t>
        </is>
      </c>
      <c r="B148" s="19" t="inlineStr">
        <is>
          <t>IA-PPWR-LBL-ST-030-STD-11-R00</t>
        </is>
      </c>
      <c r="C148" t="inlineStr">
        <is>
          <t>IA-PPWR-LBL-ST-030-STD-11-R00</t>
        </is>
      </c>
      <c r="D148" s="19" t="inlineStr">
        <is>
          <t>11</t>
        </is>
      </c>
      <c r="E148" t="inlineStr">
        <is>
          <t>01_STARTER/ST-030-STD-11/03_Label.docx</t>
        </is>
      </c>
      <c r="F148" t="inlineStr">
        <is>
          <t>2a7ebc92378aaa5bc48725f3d21584ea04ce02f6202e526aa1d52135f26a5534</t>
        </is>
      </c>
      <c r="G148" t="inlineStr">
        <is>
          <t>2026-08-08</t>
        </is>
      </c>
      <c r="H148" s="19" t="inlineStr">
        <is>
          <t>2</t>
        </is>
      </c>
      <c r="I148" t="inlineStr">
        <is>
          <t>Phase I generated Rev.00 Word file — linked; signatures not completed</t>
        </is>
      </c>
      <c r="J148" t="inlineStr">
        <is>
          <t>2026-08-10T19:29:54Z</t>
        </is>
      </c>
      <c r="K148" t="inlineStr">
        <is>
          <t>2026-08-10T19:49:40Z</t>
        </is>
      </c>
    </row>
    <row r="149">
      <c r="A149" s="19" t="inlineStr">
        <is>
          <t>148</t>
        </is>
      </c>
      <c r="B149" s="19" t="inlineStr">
        <is>
          <t>IA-PPWR-STM-ST-030-STD-11-R00</t>
        </is>
      </c>
      <c r="C149" t="inlineStr">
        <is>
          <t>IA-PPWR-STM-ST-030-STD-11-R00</t>
        </is>
      </c>
      <c r="D149" s="19" t="inlineStr">
        <is>
          <t>12</t>
        </is>
      </c>
      <c r="E149" t="inlineStr">
        <is>
          <t>01_STARTER/ST-030-STD-11/04_Shipment_Statement.docx</t>
        </is>
      </c>
      <c r="F149" t="inlineStr">
        <is>
          <t>4601939b06b4862bca9c1020af23dfde0b3d29144ba37c2be78bb5dc65b6a708</t>
        </is>
      </c>
      <c r="G149" t="inlineStr">
        <is>
          <t>2026-08-08</t>
        </is>
      </c>
      <c r="H149" s="19" t="inlineStr">
        <is>
          <t>2</t>
        </is>
      </c>
      <c r="I149" t="inlineStr">
        <is>
          <t>Phase I generated Rev.00 Word file — linked; signatures not completed</t>
        </is>
      </c>
      <c r="J149" t="inlineStr">
        <is>
          <t>2026-08-10T19:29:54Z</t>
        </is>
      </c>
      <c r="K149" t="inlineStr">
        <is>
          <t>2026-08-10T19:49:40Z</t>
        </is>
      </c>
    </row>
    <row r="150">
      <c r="A150" s="19" t="inlineStr">
        <is>
          <t>149</t>
        </is>
      </c>
      <c r="B150" s="19" t="inlineStr">
        <is>
          <t>IA-PPWR-TF-ST-033-EUR-01-R00</t>
        </is>
      </c>
      <c r="C150" t="inlineStr">
        <is>
          <t>IA-PPWR-TF-ST-033-EUR-01-R00</t>
        </is>
      </c>
      <c r="D150" s="19" t="inlineStr">
        <is>
          <t>1</t>
        </is>
      </c>
      <c r="E150" t="inlineStr">
        <is>
          <t>01_STARTER/ST-033-EUR-01/01_Technical_File.docx</t>
        </is>
      </c>
      <c r="F150" t="inlineStr">
        <is>
          <t>83f83dce76413634de77d0e5157418854828c9f3593ef5564121e670c667bf0b</t>
        </is>
      </c>
      <c r="G150" t="inlineStr">
        <is>
          <t>2026-08-08</t>
        </is>
      </c>
      <c r="H150" s="19" t="inlineStr">
        <is>
          <t>2</t>
        </is>
      </c>
      <c r="I150" t="inlineStr">
        <is>
          <t>Phase I generated Rev.00 Word file — linked; signatures not completed</t>
        </is>
      </c>
      <c r="J150" t="inlineStr">
        <is>
          <t>2026-08-10T19:29:54Z</t>
        </is>
      </c>
      <c r="K150" t="inlineStr">
        <is>
          <t>2026-08-10T19:49:40Z</t>
        </is>
      </c>
    </row>
    <row r="151">
      <c r="A151" s="19" t="inlineStr">
        <is>
          <t>150</t>
        </is>
      </c>
      <c r="B151" s="19" t="inlineStr">
        <is>
          <t>IA-PPWR-DOC-ST-033-EUR-01-R00</t>
        </is>
      </c>
      <c r="C151" t="inlineStr">
        <is>
          <t>IA-PPWR-DOC-ST-033-EUR-01-R00</t>
        </is>
      </c>
      <c r="D151" s="19" t="inlineStr">
        <is>
          <t>4</t>
        </is>
      </c>
      <c r="E151" t="inlineStr">
        <is>
          <t>01_STARTER/ST-033-EUR-01/02_EU_DoC.docx</t>
        </is>
      </c>
      <c r="F151" t="inlineStr">
        <is>
          <t>2c146bb2897666442fbd042eff910547d0ad6a0ab300cdc9829a2b333f44e056</t>
        </is>
      </c>
      <c r="G151" t="inlineStr">
        <is>
          <t>2026-08-08</t>
        </is>
      </c>
      <c r="H151" s="19" t="inlineStr">
        <is>
          <t>2</t>
        </is>
      </c>
      <c r="I151" t="inlineStr">
        <is>
          <t>Phase I generated Rev.00 Word file — linked; signatures not completed</t>
        </is>
      </c>
      <c r="J151" t="inlineStr">
        <is>
          <t>2026-08-10T19:29:54Z</t>
        </is>
      </c>
      <c r="K151" t="inlineStr">
        <is>
          <t>2026-08-10T19:49:40Z</t>
        </is>
      </c>
    </row>
    <row r="152">
      <c r="A152" s="19" t="inlineStr">
        <is>
          <t>151</t>
        </is>
      </c>
      <c r="B152" s="19" t="inlineStr">
        <is>
          <t>IA-PPWR-LBL-ST-033-EUR-01-R00</t>
        </is>
      </c>
      <c r="C152" t="inlineStr">
        <is>
          <t>IA-PPWR-LBL-ST-033-EUR-01-R00</t>
        </is>
      </c>
      <c r="D152" s="19" t="inlineStr">
        <is>
          <t>11</t>
        </is>
      </c>
      <c r="E152" t="inlineStr">
        <is>
          <t>01_STARTER/ST-033-EUR-01/03_Label.docx</t>
        </is>
      </c>
      <c r="F152" t="inlineStr">
        <is>
          <t>c3255da247a647031ea155a8b83a2d5d6b9cad98fcf5c69fd94a82d3a685f46c</t>
        </is>
      </c>
      <c r="G152" t="inlineStr">
        <is>
          <t>2026-08-08</t>
        </is>
      </c>
      <c r="H152" s="19" t="inlineStr">
        <is>
          <t>2</t>
        </is>
      </c>
      <c r="I152" t="inlineStr">
        <is>
          <t>Phase I generated Rev.00 Word file — linked; signatures not completed</t>
        </is>
      </c>
      <c r="J152" t="inlineStr">
        <is>
          <t>2026-08-10T19:29:54Z</t>
        </is>
      </c>
      <c r="K152" t="inlineStr">
        <is>
          <t>2026-08-10T19:49:40Z</t>
        </is>
      </c>
    </row>
    <row r="153">
      <c r="A153" s="19" t="inlineStr">
        <is>
          <t>152</t>
        </is>
      </c>
      <c r="B153" s="19" t="inlineStr">
        <is>
          <t>IA-PPWR-STM-ST-033-EUR-01-R00</t>
        </is>
      </c>
      <c r="C153" t="inlineStr">
        <is>
          <t>IA-PPWR-STM-ST-033-EUR-01-R00</t>
        </is>
      </c>
      <c r="D153" s="19" t="inlineStr">
        <is>
          <t>12</t>
        </is>
      </c>
      <c r="E153" t="inlineStr">
        <is>
          <t>01_STARTER/ST-033-EUR-01/04_Shipment_Statement.docx</t>
        </is>
      </c>
      <c r="F153" t="inlineStr">
        <is>
          <t>503baca738a2538dc90e5fd40e132e2d075e2c594186157d32c94c0ec60fb9cc</t>
        </is>
      </c>
      <c r="G153" t="inlineStr">
        <is>
          <t>2026-08-08</t>
        </is>
      </c>
      <c r="H153" s="19" t="inlineStr">
        <is>
          <t>2</t>
        </is>
      </c>
      <c r="I153" t="inlineStr">
        <is>
          <t>Phase I generated Rev.00 Word file — linked; signatures not completed</t>
        </is>
      </c>
      <c r="J153" t="inlineStr">
        <is>
          <t>2026-08-10T19:29:54Z</t>
        </is>
      </c>
      <c r="K153" t="inlineStr">
        <is>
          <t>2026-08-10T19:49:40Z</t>
        </is>
      </c>
    </row>
    <row r="154">
      <c r="A154" s="19" t="inlineStr">
        <is>
          <t>153</t>
        </is>
      </c>
      <c r="B154" s="19" t="inlineStr">
        <is>
          <t>IA-PPWR-TF-ST-034-STD-01-R00</t>
        </is>
      </c>
      <c r="C154" t="inlineStr">
        <is>
          <t>IA-PPWR-TF-ST-034-STD-01-R00</t>
        </is>
      </c>
      <c r="D154" s="19" t="inlineStr">
        <is>
          <t>1</t>
        </is>
      </c>
      <c r="E154" t="inlineStr">
        <is>
          <t>01_STARTER/ST-034-STD-01/01_Technical_File.docx</t>
        </is>
      </c>
      <c r="F154" t="inlineStr">
        <is>
          <t>9f7e5eba885d08e1c6b58b5fdaa81003ac44b0ff590f69a9f02a33a70da960cb</t>
        </is>
      </c>
      <c r="G154" t="inlineStr">
        <is>
          <t>2026-08-08</t>
        </is>
      </c>
      <c r="H154" s="19" t="inlineStr">
        <is>
          <t>2</t>
        </is>
      </c>
      <c r="I154" t="inlineStr">
        <is>
          <t>Phase I generated Rev.00 Word file — linked; signatures not completed</t>
        </is>
      </c>
      <c r="J154" t="inlineStr">
        <is>
          <t>2026-08-10T19:29:54Z</t>
        </is>
      </c>
      <c r="K154" t="inlineStr">
        <is>
          <t>2026-08-10T19:49:40Z</t>
        </is>
      </c>
    </row>
    <row r="155">
      <c r="A155" s="19" t="inlineStr">
        <is>
          <t>154</t>
        </is>
      </c>
      <c r="B155" s="19" t="inlineStr">
        <is>
          <t>IA-PPWR-DOC-ST-034-STD-01-R00</t>
        </is>
      </c>
      <c r="C155" t="inlineStr">
        <is>
          <t>IA-PPWR-DOC-ST-034-STD-01-R00</t>
        </is>
      </c>
      <c r="D155" s="19" t="inlineStr">
        <is>
          <t>4</t>
        </is>
      </c>
      <c r="E155" t="inlineStr">
        <is>
          <t>01_STARTER/ST-034-STD-01/02_EU_DoC.docx</t>
        </is>
      </c>
      <c r="F155" t="inlineStr">
        <is>
          <t>d1ae6bf05552729f55f4ce903bc37fe42a7aac48ae37af8a5fec7dd5c9a63ecc</t>
        </is>
      </c>
      <c r="G155" t="inlineStr">
        <is>
          <t>2026-08-08</t>
        </is>
      </c>
      <c r="H155" s="19" t="inlineStr">
        <is>
          <t>2</t>
        </is>
      </c>
      <c r="I155" t="inlineStr">
        <is>
          <t>Phase I generated Rev.00 Word file — linked; signatures not completed</t>
        </is>
      </c>
      <c r="J155" t="inlineStr">
        <is>
          <t>2026-08-10T19:29:54Z</t>
        </is>
      </c>
      <c r="K155" t="inlineStr">
        <is>
          <t>2026-08-10T19:49:40Z</t>
        </is>
      </c>
    </row>
    <row r="156">
      <c r="A156" s="19" t="inlineStr">
        <is>
          <t>155</t>
        </is>
      </c>
      <c r="B156" s="19" t="inlineStr">
        <is>
          <t>IA-PPWR-LBL-ST-034-STD-01-R00</t>
        </is>
      </c>
      <c r="C156" t="inlineStr">
        <is>
          <t>IA-PPWR-LBL-ST-034-STD-01-R00</t>
        </is>
      </c>
      <c r="D156" s="19" t="inlineStr">
        <is>
          <t>11</t>
        </is>
      </c>
      <c r="E156" t="inlineStr">
        <is>
          <t>01_STARTER/ST-034-STD-01/03_Label.docx</t>
        </is>
      </c>
      <c r="F156" t="inlineStr">
        <is>
          <t>af3c2bb4fd181d918cef2d8d316ec154b2096ae18c46bd56ed8079c6ce5be32c</t>
        </is>
      </c>
      <c r="G156" t="inlineStr">
        <is>
          <t>2026-08-08</t>
        </is>
      </c>
      <c r="H156" s="19" t="inlineStr">
        <is>
          <t>2</t>
        </is>
      </c>
      <c r="I156" t="inlineStr">
        <is>
          <t>Phase I generated Rev.00 Word file — linked; signatures not completed</t>
        </is>
      </c>
      <c r="J156" t="inlineStr">
        <is>
          <t>2026-08-10T19:29:54Z</t>
        </is>
      </c>
      <c r="K156" t="inlineStr">
        <is>
          <t>2026-08-10T19:49:40Z</t>
        </is>
      </c>
    </row>
    <row r="157">
      <c r="A157" s="19" t="inlineStr">
        <is>
          <t>156</t>
        </is>
      </c>
      <c r="B157" s="19" t="inlineStr">
        <is>
          <t>IA-PPWR-STM-ST-034-STD-01-R00</t>
        </is>
      </c>
      <c r="C157" t="inlineStr">
        <is>
          <t>IA-PPWR-STM-ST-034-STD-01-R00</t>
        </is>
      </c>
      <c r="D157" s="19" t="inlineStr">
        <is>
          <t>12</t>
        </is>
      </c>
      <c r="E157" t="inlineStr">
        <is>
          <t>01_STARTER/ST-034-STD-01/04_Shipment_Statement.docx</t>
        </is>
      </c>
      <c r="F157" t="inlineStr">
        <is>
          <t>0736ece10099071e1c8bc540644817f0ca755369d782566c093e40817e1ff84b</t>
        </is>
      </c>
      <c r="G157" t="inlineStr">
        <is>
          <t>2026-08-08</t>
        </is>
      </c>
      <c r="H157" s="19" t="inlineStr">
        <is>
          <t>2</t>
        </is>
      </c>
      <c r="I157" t="inlineStr">
        <is>
          <t>Phase I generated Rev.00 Word file — linked; signatures not completed</t>
        </is>
      </c>
      <c r="J157" t="inlineStr">
        <is>
          <t>2026-08-10T19:29:54Z</t>
        </is>
      </c>
      <c r="K157" t="inlineStr">
        <is>
          <t>2026-08-10T19:49:40Z</t>
        </is>
      </c>
    </row>
    <row r="158">
      <c r="A158" s="19" t="inlineStr">
        <is>
          <t>157</t>
        </is>
      </c>
      <c r="B158" s="19" t="inlineStr">
        <is>
          <t>IA-PPWR-TF-ST-034-STD-02-R00</t>
        </is>
      </c>
      <c r="C158" t="inlineStr">
        <is>
          <t>IA-PPWR-TF-ST-034-STD-02-R00</t>
        </is>
      </c>
      <c r="D158" s="19" t="inlineStr">
        <is>
          <t>1</t>
        </is>
      </c>
      <c r="E158" t="inlineStr">
        <is>
          <t>01_STARTER/ST-034-STD-02/01_Technical_File.docx</t>
        </is>
      </c>
      <c r="F158" t="inlineStr">
        <is>
          <t>50fdb3782e40439c8489a6c98e0a9bd2f2b976d6cca3be8e68178c1cba5b88eb</t>
        </is>
      </c>
      <c r="G158" t="inlineStr">
        <is>
          <t>2026-08-08</t>
        </is>
      </c>
      <c r="H158" s="19" t="inlineStr">
        <is>
          <t>2</t>
        </is>
      </c>
      <c r="I158" t="inlineStr">
        <is>
          <t>Phase I generated Rev.00 Word file — linked; signatures not completed</t>
        </is>
      </c>
      <c r="J158" t="inlineStr">
        <is>
          <t>2026-08-10T19:29:54Z</t>
        </is>
      </c>
      <c r="K158" t="inlineStr">
        <is>
          <t>2026-08-10T19:49:40Z</t>
        </is>
      </c>
    </row>
    <row r="159">
      <c r="A159" s="19" t="inlineStr">
        <is>
          <t>158</t>
        </is>
      </c>
      <c r="B159" s="19" t="inlineStr">
        <is>
          <t>IA-PPWR-DOC-ST-034-STD-02-R00</t>
        </is>
      </c>
      <c r="C159" t="inlineStr">
        <is>
          <t>IA-PPWR-DOC-ST-034-STD-02-R00</t>
        </is>
      </c>
      <c r="D159" s="19" t="inlineStr">
        <is>
          <t>4</t>
        </is>
      </c>
      <c r="E159" t="inlineStr">
        <is>
          <t>01_STARTER/ST-034-STD-02/02_EU_DoC.docx</t>
        </is>
      </c>
      <c r="F159" t="inlineStr">
        <is>
          <t>daf2fc4208148db09e480f0fed18a2bb1ac22fcbd79dbc6901ef7c92cc77a2b7</t>
        </is>
      </c>
      <c r="G159" t="inlineStr">
        <is>
          <t>2026-08-08</t>
        </is>
      </c>
      <c r="H159" s="19" t="inlineStr">
        <is>
          <t>2</t>
        </is>
      </c>
      <c r="I159" t="inlineStr">
        <is>
          <t>Phase I generated Rev.00 Word file — linked; signatures not completed</t>
        </is>
      </c>
      <c r="J159" t="inlineStr">
        <is>
          <t>2026-08-10T19:29:54Z</t>
        </is>
      </c>
      <c r="K159" t="inlineStr">
        <is>
          <t>2026-08-10T19:49:40Z</t>
        </is>
      </c>
    </row>
    <row r="160">
      <c r="A160" s="19" t="inlineStr">
        <is>
          <t>159</t>
        </is>
      </c>
      <c r="B160" s="19" t="inlineStr">
        <is>
          <t>IA-PPWR-LBL-ST-034-STD-02-R00</t>
        </is>
      </c>
      <c r="C160" t="inlineStr">
        <is>
          <t>IA-PPWR-LBL-ST-034-STD-02-R00</t>
        </is>
      </c>
      <c r="D160" s="19" t="inlineStr">
        <is>
          <t>11</t>
        </is>
      </c>
      <c r="E160" t="inlineStr">
        <is>
          <t>01_STARTER/ST-034-STD-02/03_Label.docx</t>
        </is>
      </c>
      <c r="F160" t="inlineStr">
        <is>
          <t>83517dae4aa8a841f8cced80545500ddbc5a68d73e70551bd6af397bb36373d8</t>
        </is>
      </c>
      <c r="G160" t="inlineStr">
        <is>
          <t>2026-08-08</t>
        </is>
      </c>
      <c r="H160" s="19" t="inlineStr">
        <is>
          <t>2</t>
        </is>
      </c>
      <c r="I160" t="inlineStr">
        <is>
          <t>Phase I generated Rev.00 Word file — linked; signatures not completed</t>
        </is>
      </c>
      <c r="J160" t="inlineStr">
        <is>
          <t>2026-08-10T19:29:54Z</t>
        </is>
      </c>
      <c r="K160" t="inlineStr">
        <is>
          <t>2026-08-10T19:49:40Z</t>
        </is>
      </c>
    </row>
    <row r="161">
      <c r="A161" s="19" t="inlineStr">
        <is>
          <t>160</t>
        </is>
      </c>
      <c r="B161" s="19" t="inlineStr">
        <is>
          <t>IA-PPWR-STM-ST-034-STD-02-R00</t>
        </is>
      </c>
      <c r="C161" t="inlineStr">
        <is>
          <t>IA-PPWR-STM-ST-034-STD-02-R00</t>
        </is>
      </c>
      <c r="D161" s="19" t="inlineStr">
        <is>
          <t>12</t>
        </is>
      </c>
      <c r="E161" t="inlineStr">
        <is>
          <t>01_STARTER/ST-034-STD-02/04_Shipment_Statement.docx</t>
        </is>
      </c>
      <c r="F161" t="inlineStr">
        <is>
          <t>e1a54a4bbb910ba713191c3cd81ef8fc4867f873909a7145635f9ee053b7adb8</t>
        </is>
      </c>
      <c r="G161" t="inlineStr">
        <is>
          <t>2026-08-08</t>
        </is>
      </c>
      <c r="H161" s="19" t="inlineStr">
        <is>
          <t>2</t>
        </is>
      </c>
      <c r="I161" t="inlineStr">
        <is>
          <t>Phase I generated Rev.00 Word file — linked; signatures not completed</t>
        </is>
      </c>
      <c r="J161" t="inlineStr">
        <is>
          <t>2026-08-10T19:29:54Z</t>
        </is>
      </c>
      <c r="K161" t="inlineStr">
        <is>
          <t>2026-08-10T19:49:40Z</t>
        </is>
      </c>
    </row>
    <row r="162">
      <c r="A162" s="19" t="inlineStr">
        <is>
          <t>161</t>
        </is>
      </c>
      <c r="B162" s="19" t="inlineStr">
        <is>
          <t>IA-PPWR-TF-ST-036-EUR-01-R00</t>
        </is>
      </c>
      <c r="C162" t="inlineStr">
        <is>
          <t>IA-PPWR-TF-ST-036-EUR-01-R00</t>
        </is>
      </c>
      <c r="D162" s="19" t="inlineStr">
        <is>
          <t>1</t>
        </is>
      </c>
      <c r="E162" t="inlineStr">
        <is>
          <t>01_STARTER/ST-036-EUR-01/01_Technical_File.docx</t>
        </is>
      </c>
      <c r="F162" t="inlineStr">
        <is>
          <t>1a38f011fc30273ec706b4c6e2bb4ce2d81139b5782d804c58e313d7b62a561e</t>
        </is>
      </c>
      <c r="G162" t="inlineStr">
        <is>
          <t>2026-08-08</t>
        </is>
      </c>
      <c r="H162" s="19" t="inlineStr">
        <is>
          <t>2</t>
        </is>
      </c>
      <c r="I162" t="inlineStr">
        <is>
          <t>Phase I generated Rev.00 Word file — linked; signatures not completed</t>
        </is>
      </c>
      <c r="J162" t="inlineStr">
        <is>
          <t>2026-08-10T19:29:54Z</t>
        </is>
      </c>
      <c r="K162" t="inlineStr">
        <is>
          <t>2026-08-10T19:49:40Z</t>
        </is>
      </c>
    </row>
    <row r="163">
      <c r="A163" s="19" t="inlineStr">
        <is>
          <t>162</t>
        </is>
      </c>
      <c r="B163" s="19" t="inlineStr">
        <is>
          <t>IA-PPWR-DOC-ST-036-EUR-01-R00</t>
        </is>
      </c>
      <c r="C163" t="inlineStr">
        <is>
          <t>IA-PPWR-DOC-ST-036-EUR-01-R00</t>
        </is>
      </c>
      <c r="D163" s="19" t="inlineStr">
        <is>
          <t>4</t>
        </is>
      </c>
      <c r="E163" t="inlineStr">
        <is>
          <t>01_STARTER/ST-036-EUR-01/02_EU_DoC.docx</t>
        </is>
      </c>
      <c r="F163" t="inlineStr">
        <is>
          <t>3eca99e696039db783d5ad72d75201e5c1452782539efca510c223dd1942ceb8</t>
        </is>
      </c>
      <c r="G163" t="inlineStr">
        <is>
          <t>2026-08-08</t>
        </is>
      </c>
      <c r="H163" s="19" t="inlineStr">
        <is>
          <t>2</t>
        </is>
      </c>
      <c r="I163" t="inlineStr">
        <is>
          <t>Phase I generated Rev.00 Word file — linked; signatures not completed</t>
        </is>
      </c>
      <c r="J163" t="inlineStr">
        <is>
          <t>2026-08-10T19:29:54Z</t>
        </is>
      </c>
      <c r="K163" t="inlineStr">
        <is>
          <t>2026-08-10T19:49:40Z</t>
        </is>
      </c>
    </row>
    <row r="164">
      <c r="A164" s="19" t="inlineStr">
        <is>
          <t>163</t>
        </is>
      </c>
      <c r="B164" s="19" t="inlineStr">
        <is>
          <t>IA-PPWR-LBL-ST-036-EUR-01-R00</t>
        </is>
      </c>
      <c r="C164" t="inlineStr">
        <is>
          <t>IA-PPWR-LBL-ST-036-EUR-01-R00</t>
        </is>
      </c>
      <c r="D164" s="19" t="inlineStr">
        <is>
          <t>11</t>
        </is>
      </c>
      <c r="E164" t="inlineStr">
        <is>
          <t>01_STARTER/ST-036-EUR-01/03_Label.docx</t>
        </is>
      </c>
      <c r="F164" t="inlineStr">
        <is>
          <t>cc6617e415112f9dbbad5cceb6228b493f6da03d2bb688078599c39e7efaf8de</t>
        </is>
      </c>
      <c r="G164" t="inlineStr">
        <is>
          <t>2026-08-08</t>
        </is>
      </c>
      <c r="H164" s="19" t="inlineStr">
        <is>
          <t>2</t>
        </is>
      </c>
      <c r="I164" t="inlineStr">
        <is>
          <t>Phase I generated Rev.00 Word file — linked; signatures not completed</t>
        </is>
      </c>
      <c r="J164" t="inlineStr">
        <is>
          <t>2026-08-10T19:29:54Z</t>
        </is>
      </c>
      <c r="K164" t="inlineStr">
        <is>
          <t>2026-08-10T19:49:40Z</t>
        </is>
      </c>
    </row>
    <row r="165">
      <c r="A165" s="19" t="inlineStr">
        <is>
          <t>164</t>
        </is>
      </c>
      <c r="B165" s="19" t="inlineStr">
        <is>
          <t>IA-PPWR-STM-ST-036-EUR-01-R00</t>
        </is>
      </c>
      <c r="C165" t="inlineStr">
        <is>
          <t>IA-PPWR-STM-ST-036-EUR-01-R00</t>
        </is>
      </c>
      <c r="D165" s="19" t="inlineStr">
        <is>
          <t>12</t>
        </is>
      </c>
      <c r="E165" t="inlineStr">
        <is>
          <t>01_STARTER/ST-036-EUR-01/04_Shipment_Statement.docx</t>
        </is>
      </c>
      <c r="F165" t="inlineStr">
        <is>
          <t>d31a72d8db06c5c441d25888a2b3e411461ca247fdd0677c4ad01a929143539f</t>
        </is>
      </c>
      <c r="G165" t="inlineStr">
        <is>
          <t>2026-08-08</t>
        </is>
      </c>
      <c r="H165" s="19" t="inlineStr">
        <is>
          <t>2</t>
        </is>
      </c>
      <c r="I165" t="inlineStr">
        <is>
          <t>Phase I generated Rev.00 Word file — linked; signatures not completed</t>
        </is>
      </c>
      <c r="J165" t="inlineStr">
        <is>
          <t>2026-08-10T19:29:54Z</t>
        </is>
      </c>
      <c r="K165" t="inlineStr">
        <is>
          <t>2026-08-10T19:49:40Z</t>
        </is>
      </c>
    </row>
    <row r="166">
      <c r="A166" s="19" t="inlineStr">
        <is>
          <t>165</t>
        </is>
      </c>
      <c r="B166" s="19" t="inlineStr">
        <is>
          <t>IA-PPWR-TF-ST-036-EUR-02-R00</t>
        </is>
      </c>
      <c r="C166" t="inlineStr">
        <is>
          <t>IA-PPWR-TF-ST-036-EUR-02-R00</t>
        </is>
      </c>
      <c r="D166" s="19" t="inlineStr">
        <is>
          <t>1</t>
        </is>
      </c>
      <c r="E166" t="inlineStr">
        <is>
          <t>01_STARTER/ST-036-EUR-02/01_Technical_File.docx</t>
        </is>
      </c>
      <c r="F166" t="inlineStr">
        <is>
          <t>df40cf82706c678d9959b5f61e55de32918f16aa1c585d03fe937d5b5fa29e26</t>
        </is>
      </c>
      <c r="G166" t="inlineStr">
        <is>
          <t>2026-08-08</t>
        </is>
      </c>
      <c r="H166" s="19" t="inlineStr">
        <is>
          <t>2</t>
        </is>
      </c>
      <c r="I166" t="inlineStr">
        <is>
          <t>Phase I generated Rev.00 Word file — linked; signatures not completed</t>
        </is>
      </c>
      <c r="J166" t="inlineStr">
        <is>
          <t>2026-08-10T19:29:54Z</t>
        </is>
      </c>
      <c r="K166" t="inlineStr">
        <is>
          <t>2026-08-10T19:49:40Z</t>
        </is>
      </c>
    </row>
    <row r="167">
      <c r="A167" s="19" t="inlineStr">
        <is>
          <t>166</t>
        </is>
      </c>
      <c r="B167" s="19" t="inlineStr">
        <is>
          <t>IA-PPWR-DOC-ST-036-EUR-02-R00</t>
        </is>
      </c>
      <c r="C167" t="inlineStr">
        <is>
          <t>IA-PPWR-DOC-ST-036-EUR-02-R00</t>
        </is>
      </c>
      <c r="D167" s="19" t="inlineStr">
        <is>
          <t>4</t>
        </is>
      </c>
      <c r="E167" t="inlineStr">
        <is>
          <t>01_STARTER/ST-036-EUR-02/02_EU_DoC.docx</t>
        </is>
      </c>
      <c r="F167" t="inlineStr">
        <is>
          <t>a56a90aaca96dd1bd3850551e6bd53495b2c110a6cc24a46da09a0e019359526</t>
        </is>
      </c>
      <c r="G167" t="inlineStr">
        <is>
          <t>2026-08-08</t>
        </is>
      </c>
      <c r="H167" s="19" t="inlineStr">
        <is>
          <t>2</t>
        </is>
      </c>
      <c r="I167" t="inlineStr">
        <is>
          <t>Phase I generated Rev.00 Word file — linked; signatures not completed</t>
        </is>
      </c>
      <c r="J167" t="inlineStr">
        <is>
          <t>2026-08-10T19:29:54Z</t>
        </is>
      </c>
      <c r="K167" t="inlineStr">
        <is>
          <t>2026-08-10T19:49:40Z</t>
        </is>
      </c>
    </row>
    <row r="168">
      <c r="A168" s="19" t="inlineStr">
        <is>
          <t>167</t>
        </is>
      </c>
      <c r="B168" s="19" t="inlineStr">
        <is>
          <t>IA-PPWR-LBL-ST-036-EUR-02-R00</t>
        </is>
      </c>
      <c r="C168" t="inlineStr">
        <is>
          <t>IA-PPWR-LBL-ST-036-EUR-02-R00</t>
        </is>
      </c>
      <c r="D168" s="19" t="inlineStr">
        <is>
          <t>11</t>
        </is>
      </c>
      <c r="E168" t="inlineStr">
        <is>
          <t>01_STARTER/ST-036-EUR-02/03_Label.docx</t>
        </is>
      </c>
      <c r="F168" t="inlineStr">
        <is>
          <t>82250577d1998838e377b3087d8fdd221a0450ded70d8e1dc2028ec567993709</t>
        </is>
      </c>
      <c r="G168" t="inlineStr">
        <is>
          <t>2026-08-08</t>
        </is>
      </c>
      <c r="H168" s="19" t="inlineStr">
        <is>
          <t>2</t>
        </is>
      </c>
      <c r="I168" t="inlineStr">
        <is>
          <t>Phase I generated Rev.00 Word file — linked; signatures not completed</t>
        </is>
      </c>
      <c r="J168" t="inlineStr">
        <is>
          <t>2026-08-10T19:29:54Z</t>
        </is>
      </c>
      <c r="K168" t="inlineStr">
        <is>
          <t>2026-08-10T19:49:40Z</t>
        </is>
      </c>
    </row>
    <row r="169">
      <c r="A169" s="19" t="inlineStr">
        <is>
          <t>168</t>
        </is>
      </c>
      <c r="B169" s="19" t="inlineStr">
        <is>
          <t>IA-PPWR-STM-ST-036-EUR-02-R00</t>
        </is>
      </c>
      <c r="C169" t="inlineStr">
        <is>
          <t>IA-PPWR-STM-ST-036-EUR-02-R00</t>
        </is>
      </c>
      <c r="D169" s="19" t="inlineStr">
        <is>
          <t>12</t>
        </is>
      </c>
      <c r="E169" t="inlineStr">
        <is>
          <t>01_STARTER/ST-036-EUR-02/04_Shipment_Statement.docx</t>
        </is>
      </c>
      <c r="F169" t="inlineStr">
        <is>
          <t>51de1c57f63bd6723533c5731853b73265da4ca827fb871c98e7bd6b17dc2e27</t>
        </is>
      </c>
      <c r="G169" t="inlineStr">
        <is>
          <t>2026-08-08</t>
        </is>
      </c>
      <c r="H169" s="19" t="inlineStr">
        <is>
          <t>2</t>
        </is>
      </c>
      <c r="I169" t="inlineStr">
        <is>
          <t>Phase I generated Rev.00 Word file — linked; signatures not completed</t>
        </is>
      </c>
      <c r="J169" t="inlineStr">
        <is>
          <t>2026-08-10T19:29:54Z</t>
        </is>
      </c>
      <c r="K169" t="inlineStr">
        <is>
          <t>2026-08-10T19:49:40Z</t>
        </is>
      </c>
    </row>
    <row r="170">
      <c r="A170" s="19" t="inlineStr">
        <is>
          <t>169</t>
        </is>
      </c>
      <c r="B170" s="19" t="inlineStr">
        <is>
          <t>IA-PPWR-TF-ST-036-EUR-03-R00</t>
        </is>
      </c>
      <c r="C170" t="inlineStr">
        <is>
          <t>IA-PPWR-TF-ST-036-EUR-03-R00</t>
        </is>
      </c>
      <c r="D170" s="19" t="inlineStr">
        <is>
          <t>1</t>
        </is>
      </c>
      <c r="E170" t="inlineStr">
        <is>
          <t>01_STARTER/ST-036-EUR-03/01_Technical_File.docx</t>
        </is>
      </c>
      <c r="F170" t="inlineStr">
        <is>
          <t>94a3a42868c54ef435aa62588f2fd88173bdfe73c12b30e3fd6642710a4bc6b2</t>
        </is>
      </c>
      <c r="G170" t="inlineStr">
        <is>
          <t>2026-08-08</t>
        </is>
      </c>
      <c r="H170" s="19" t="inlineStr">
        <is>
          <t>2</t>
        </is>
      </c>
      <c r="I170" t="inlineStr">
        <is>
          <t>Phase I generated Rev.00 Word file — linked; signatures not completed</t>
        </is>
      </c>
      <c r="J170" t="inlineStr">
        <is>
          <t>2026-08-10T19:29:54Z</t>
        </is>
      </c>
      <c r="K170" t="inlineStr">
        <is>
          <t>2026-08-10T19:49:40Z</t>
        </is>
      </c>
    </row>
    <row r="171">
      <c r="A171" s="19" t="inlineStr">
        <is>
          <t>170</t>
        </is>
      </c>
      <c r="B171" s="19" t="inlineStr">
        <is>
          <t>IA-PPWR-DOC-ST-036-EUR-03-R00</t>
        </is>
      </c>
      <c r="C171" t="inlineStr">
        <is>
          <t>IA-PPWR-DOC-ST-036-EUR-03-R00</t>
        </is>
      </c>
      <c r="D171" s="19" t="inlineStr">
        <is>
          <t>4</t>
        </is>
      </c>
      <c r="E171" t="inlineStr">
        <is>
          <t>01_STARTER/ST-036-EUR-03/02_EU_DoC.docx</t>
        </is>
      </c>
      <c r="F171" t="inlineStr">
        <is>
          <t>a09af48e74be04ff17e3b50e606bc5d8f8b0a2f7c6d630d799e9173c8d6e8de2</t>
        </is>
      </c>
      <c r="G171" t="inlineStr">
        <is>
          <t>2026-08-08</t>
        </is>
      </c>
      <c r="H171" s="19" t="inlineStr">
        <is>
          <t>2</t>
        </is>
      </c>
      <c r="I171" t="inlineStr">
        <is>
          <t>Phase I generated Rev.00 Word file — linked; signatures not completed</t>
        </is>
      </c>
      <c r="J171" t="inlineStr">
        <is>
          <t>2026-08-10T19:29:54Z</t>
        </is>
      </c>
      <c r="K171" t="inlineStr">
        <is>
          <t>2026-08-10T19:49:40Z</t>
        </is>
      </c>
    </row>
    <row r="172">
      <c r="A172" s="19" t="inlineStr">
        <is>
          <t>171</t>
        </is>
      </c>
      <c r="B172" s="19" t="inlineStr">
        <is>
          <t>IA-PPWR-LBL-ST-036-EUR-03-R00</t>
        </is>
      </c>
      <c r="C172" t="inlineStr">
        <is>
          <t>IA-PPWR-LBL-ST-036-EUR-03-R00</t>
        </is>
      </c>
      <c r="D172" s="19" t="inlineStr">
        <is>
          <t>11</t>
        </is>
      </c>
      <c r="E172" t="inlineStr">
        <is>
          <t>01_STARTER/ST-036-EUR-03/03_Label.docx</t>
        </is>
      </c>
      <c r="F172" t="inlineStr">
        <is>
          <t>3c2dd30fa50a6126848df635f27a0a76142bb2906ed7fb1f8674dc94cd883777</t>
        </is>
      </c>
      <c r="G172" t="inlineStr">
        <is>
          <t>2026-08-08</t>
        </is>
      </c>
      <c r="H172" s="19" t="inlineStr">
        <is>
          <t>2</t>
        </is>
      </c>
      <c r="I172" t="inlineStr">
        <is>
          <t>Phase I generated Rev.00 Word file — linked; signatures not completed</t>
        </is>
      </c>
      <c r="J172" t="inlineStr">
        <is>
          <t>2026-08-10T19:29:54Z</t>
        </is>
      </c>
      <c r="K172" t="inlineStr">
        <is>
          <t>2026-08-10T19:49:40Z</t>
        </is>
      </c>
    </row>
    <row r="173">
      <c r="A173" s="19" t="inlineStr">
        <is>
          <t>172</t>
        </is>
      </c>
      <c r="B173" s="19" t="inlineStr">
        <is>
          <t>IA-PPWR-STM-ST-036-EUR-03-R00</t>
        </is>
      </c>
      <c r="C173" t="inlineStr">
        <is>
          <t>IA-PPWR-STM-ST-036-EUR-03-R00</t>
        </is>
      </c>
      <c r="D173" s="19" t="inlineStr">
        <is>
          <t>12</t>
        </is>
      </c>
      <c r="E173" t="inlineStr">
        <is>
          <t>01_STARTER/ST-036-EUR-03/04_Shipment_Statement.docx</t>
        </is>
      </c>
      <c r="F173" t="inlineStr">
        <is>
          <t>a475ad0a60af89240cc25b54b017f654994edf26824c7e691a2b865ae247c1bf</t>
        </is>
      </c>
      <c r="G173" t="inlineStr">
        <is>
          <t>2026-08-08</t>
        </is>
      </c>
      <c r="H173" s="19" t="inlineStr">
        <is>
          <t>2</t>
        </is>
      </c>
      <c r="I173" t="inlineStr">
        <is>
          <t>Phase I generated Rev.00 Word file — linked; signatures not completed</t>
        </is>
      </c>
      <c r="J173" t="inlineStr">
        <is>
          <t>2026-08-10T19:29:54Z</t>
        </is>
      </c>
      <c r="K173" t="inlineStr">
        <is>
          <t>2026-08-10T19:49:40Z</t>
        </is>
      </c>
    </row>
    <row r="174">
      <c r="A174" s="19" t="inlineStr">
        <is>
          <t>173</t>
        </is>
      </c>
      <c r="B174" s="19" t="inlineStr">
        <is>
          <t>IA-PPWR-TF-ST-036-EUR-04-R00</t>
        </is>
      </c>
      <c r="C174" t="inlineStr">
        <is>
          <t>IA-PPWR-TF-ST-036-EUR-04-R00</t>
        </is>
      </c>
      <c r="D174" s="19" t="inlineStr">
        <is>
          <t>1</t>
        </is>
      </c>
      <c r="E174" t="inlineStr">
        <is>
          <t>01_STARTER/ST-036-EUR-04/01_Technical_File.docx</t>
        </is>
      </c>
      <c r="F174" t="inlineStr">
        <is>
          <t>1c6f76f4cfc52af786ab22fdd01de548235cfd962ff4591714281a29ee503c52</t>
        </is>
      </c>
      <c r="G174" t="inlineStr">
        <is>
          <t>2026-08-08</t>
        </is>
      </c>
      <c r="H174" s="19" t="inlineStr">
        <is>
          <t>2</t>
        </is>
      </c>
      <c r="I174" t="inlineStr">
        <is>
          <t>Phase I generated Rev.00 Word file — linked; signatures not completed</t>
        </is>
      </c>
      <c r="J174" t="inlineStr">
        <is>
          <t>2026-08-10T19:29:54Z</t>
        </is>
      </c>
      <c r="K174" t="inlineStr">
        <is>
          <t>2026-08-10T19:49:40Z</t>
        </is>
      </c>
    </row>
    <row r="175">
      <c r="A175" s="19" t="inlineStr">
        <is>
          <t>174</t>
        </is>
      </c>
      <c r="B175" s="19" t="inlineStr">
        <is>
          <t>IA-PPWR-DOC-ST-036-EUR-04-R00</t>
        </is>
      </c>
      <c r="C175" t="inlineStr">
        <is>
          <t>IA-PPWR-DOC-ST-036-EUR-04-R00</t>
        </is>
      </c>
      <c r="D175" s="19" t="inlineStr">
        <is>
          <t>4</t>
        </is>
      </c>
      <c r="E175" t="inlineStr">
        <is>
          <t>01_STARTER/ST-036-EUR-04/02_EU_DoC.docx</t>
        </is>
      </c>
      <c r="F175" t="inlineStr">
        <is>
          <t>a1952ef7a58e54cd13fa7023da662b21ab9a6a3e7e5dd6b21239d2981d4c8756</t>
        </is>
      </c>
      <c r="G175" t="inlineStr">
        <is>
          <t>2026-08-08</t>
        </is>
      </c>
      <c r="H175" s="19" t="inlineStr">
        <is>
          <t>2</t>
        </is>
      </c>
      <c r="I175" t="inlineStr">
        <is>
          <t>Phase I generated Rev.00 Word file — linked; signatures not completed</t>
        </is>
      </c>
      <c r="J175" t="inlineStr">
        <is>
          <t>2026-08-10T19:29:54Z</t>
        </is>
      </c>
      <c r="K175" t="inlineStr">
        <is>
          <t>2026-08-10T19:49:40Z</t>
        </is>
      </c>
    </row>
    <row r="176">
      <c r="A176" s="19" t="inlineStr">
        <is>
          <t>175</t>
        </is>
      </c>
      <c r="B176" s="19" t="inlineStr">
        <is>
          <t>IA-PPWR-LBL-ST-036-EUR-04-R00</t>
        </is>
      </c>
      <c r="C176" t="inlineStr">
        <is>
          <t>IA-PPWR-LBL-ST-036-EUR-04-R00</t>
        </is>
      </c>
      <c r="D176" s="19" t="inlineStr">
        <is>
          <t>11</t>
        </is>
      </c>
      <c r="E176" t="inlineStr">
        <is>
          <t>01_STARTER/ST-036-EUR-04/03_Label.docx</t>
        </is>
      </c>
      <c r="F176" t="inlineStr">
        <is>
          <t>515a4da56b0abad2e4688921c9f89952be9b079939c773e9258e65cde245e2df</t>
        </is>
      </c>
      <c r="G176" t="inlineStr">
        <is>
          <t>2026-08-08</t>
        </is>
      </c>
      <c r="H176" s="19" t="inlineStr">
        <is>
          <t>2</t>
        </is>
      </c>
      <c r="I176" t="inlineStr">
        <is>
          <t>Phase I generated Rev.00 Word file — linked; signatures not completed</t>
        </is>
      </c>
      <c r="J176" t="inlineStr">
        <is>
          <t>2026-08-10T19:29:54Z</t>
        </is>
      </c>
      <c r="K176" t="inlineStr">
        <is>
          <t>2026-08-10T19:49:40Z</t>
        </is>
      </c>
    </row>
    <row r="177">
      <c r="A177" s="19" t="inlineStr">
        <is>
          <t>176</t>
        </is>
      </c>
      <c r="B177" s="19" t="inlineStr">
        <is>
          <t>IA-PPWR-STM-ST-036-EUR-04-R00</t>
        </is>
      </c>
      <c r="C177" t="inlineStr">
        <is>
          <t>IA-PPWR-STM-ST-036-EUR-04-R00</t>
        </is>
      </c>
      <c r="D177" s="19" t="inlineStr">
        <is>
          <t>12</t>
        </is>
      </c>
      <c r="E177" t="inlineStr">
        <is>
          <t>01_STARTER/ST-036-EUR-04/04_Shipment_Statement.docx</t>
        </is>
      </c>
      <c r="F177" t="inlineStr">
        <is>
          <t>bf7e10f7942d1fddc4d24538d6f5b49b27458fba04a529b0a6e6a612b09bdff7</t>
        </is>
      </c>
      <c r="G177" t="inlineStr">
        <is>
          <t>2026-08-08</t>
        </is>
      </c>
      <c r="H177" s="19" t="inlineStr">
        <is>
          <t>2</t>
        </is>
      </c>
      <c r="I177" t="inlineStr">
        <is>
          <t>Phase I generated Rev.00 Word file — linked; signatures not completed</t>
        </is>
      </c>
      <c r="J177" t="inlineStr">
        <is>
          <t>2026-08-10T19:29:54Z</t>
        </is>
      </c>
      <c r="K177" t="inlineStr">
        <is>
          <t>2026-08-10T19:49:40Z</t>
        </is>
      </c>
    </row>
    <row r="178">
      <c r="A178" s="19" t="inlineStr">
        <is>
          <t>177</t>
        </is>
      </c>
      <c r="B178" s="19" t="inlineStr">
        <is>
          <t>IA-PPWR-TF-ST-036-EUR-05-R00</t>
        </is>
      </c>
      <c r="C178" t="inlineStr">
        <is>
          <t>IA-PPWR-TF-ST-036-EUR-05-R00</t>
        </is>
      </c>
      <c r="D178" s="19" t="inlineStr">
        <is>
          <t>1</t>
        </is>
      </c>
      <c r="E178" t="inlineStr">
        <is>
          <t>01_STARTER/ST-036-EUR-05/01_Technical_File.docx</t>
        </is>
      </c>
      <c r="F178" t="inlineStr">
        <is>
          <t>d637d982b845532bd9c9a3751c4e16ed7029938deb592c161ecb4f89964a8957</t>
        </is>
      </c>
      <c r="G178" t="inlineStr">
        <is>
          <t>2026-08-08</t>
        </is>
      </c>
      <c r="H178" s="19" t="inlineStr">
        <is>
          <t>2</t>
        </is>
      </c>
      <c r="I178" t="inlineStr">
        <is>
          <t>Phase I generated Rev.00 Word file — linked; signatures not completed</t>
        </is>
      </c>
      <c r="J178" t="inlineStr">
        <is>
          <t>2026-08-10T19:29:54Z</t>
        </is>
      </c>
      <c r="K178" t="inlineStr">
        <is>
          <t>2026-08-10T19:49:40Z</t>
        </is>
      </c>
    </row>
    <row r="179">
      <c r="A179" s="19" t="inlineStr">
        <is>
          <t>178</t>
        </is>
      </c>
      <c r="B179" s="19" t="inlineStr">
        <is>
          <t>IA-PPWR-DOC-ST-036-EUR-05-R00</t>
        </is>
      </c>
      <c r="C179" t="inlineStr">
        <is>
          <t>IA-PPWR-DOC-ST-036-EUR-05-R00</t>
        </is>
      </c>
      <c r="D179" s="19" t="inlineStr">
        <is>
          <t>4</t>
        </is>
      </c>
      <c r="E179" t="inlineStr">
        <is>
          <t>01_STARTER/ST-036-EUR-05/02_EU_DoC.docx</t>
        </is>
      </c>
      <c r="F179" t="inlineStr">
        <is>
          <t>c2f4ef39aab76a82180db1272c75dd9f0e8fd94fcb4c90865d4fd2caa7098d42</t>
        </is>
      </c>
      <c r="G179" t="inlineStr">
        <is>
          <t>2026-08-08</t>
        </is>
      </c>
      <c r="H179" s="19" t="inlineStr">
        <is>
          <t>2</t>
        </is>
      </c>
      <c r="I179" t="inlineStr">
        <is>
          <t>Phase I generated Rev.00 Word file — linked; signatures not completed</t>
        </is>
      </c>
      <c r="J179" t="inlineStr">
        <is>
          <t>2026-08-10T19:29:54Z</t>
        </is>
      </c>
      <c r="K179" t="inlineStr">
        <is>
          <t>2026-08-10T19:49:40Z</t>
        </is>
      </c>
    </row>
    <row r="180">
      <c r="A180" s="19" t="inlineStr">
        <is>
          <t>179</t>
        </is>
      </c>
      <c r="B180" s="19" t="inlineStr">
        <is>
          <t>IA-PPWR-LBL-ST-036-EUR-05-R00</t>
        </is>
      </c>
      <c r="C180" t="inlineStr">
        <is>
          <t>IA-PPWR-LBL-ST-036-EUR-05-R00</t>
        </is>
      </c>
      <c r="D180" s="19" t="inlineStr">
        <is>
          <t>11</t>
        </is>
      </c>
      <c r="E180" t="inlineStr">
        <is>
          <t>01_STARTER/ST-036-EUR-05/03_Label.docx</t>
        </is>
      </c>
      <c r="F180" t="inlineStr">
        <is>
          <t>4e84031c4d0c1aad0c8b34061abb7993f3ef51ebbe4dd580fc983061c0ce8931</t>
        </is>
      </c>
      <c r="G180" t="inlineStr">
        <is>
          <t>2026-08-08</t>
        </is>
      </c>
      <c r="H180" s="19" t="inlineStr">
        <is>
          <t>2</t>
        </is>
      </c>
      <c r="I180" t="inlineStr">
        <is>
          <t>Phase I generated Rev.00 Word file — linked; signatures not completed</t>
        </is>
      </c>
      <c r="J180" t="inlineStr">
        <is>
          <t>2026-08-10T19:29:54Z</t>
        </is>
      </c>
      <c r="K180" t="inlineStr">
        <is>
          <t>2026-08-10T19:49:40Z</t>
        </is>
      </c>
    </row>
    <row r="181">
      <c r="A181" s="19" t="inlineStr">
        <is>
          <t>180</t>
        </is>
      </c>
      <c r="B181" s="19" t="inlineStr">
        <is>
          <t>IA-PPWR-STM-ST-036-EUR-05-R00</t>
        </is>
      </c>
      <c r="C181" t="inlineStr">
        <is>
          <t>IA-PPWR-STM-ST-036-EUR-05-R00</t>
        </is>
      </c>
      <c r="D181" s="19" t="inlineStr">
        <is>
          <t>12</t>
        </is>
      </c>
      <c r="E181" t="inlineStr">
        <is>
          <t>01_STARTER/ST-036-EUR-05/04_Shipment_Statement.docx</t>
        </is>
      </c>
      <c r="F181" t="inlineStr">
        <is>
          <t>8fba4e011619105e0b3b8707cd78d2a282b4f7324e541e4de541ae97068b8070</t>
        </is>
      </c>
      <c r="G181" t="inlineStr">
        <is>
          <t>2026-08-08</t>
        </is>
      </c>
      <c r="H181" s="19" t="inlineStr">
        <is>
          <t>2</t>
        </is>
      </c>
      <c r="I181" t="inlineStr">
        <is>
          <t>Phase I generated Rev.00 Word file — linked; signatures not completed</t>
        </is>
      </c>
      <c r="J181" t="inlineStr">
        <is>
          <t>2026-08-10T19:29:54Z</t>
        </is>
      </c>
      <c r="K181" t="inlineStr">
        <is>
          <t>2026-08-10T19:49:40Z</t>
        </is>
      </c>
    </row>
    <row r="182">
      <c r="A182" s="19" t="inlineStr">
        <is>
          <t>181</t>
        </is>
      </c>
      <c r="B182" s="19" t="inlineStr">
        <is>
          <t>IA-PPWR-TF-ST-036-EUR-06-R00</t>
        </is>
      </c>
      <c r="C182" t="inlineStr">
        <is>
          <t>IA-PPWR-TF-ST-036-EUR-06-R00</t>
        </is>
      </c>
      <c r="D182" s="19" t="inlineStr">
        <is>
          <t>1</t>
        </is>
      </c>
      <c r="E182" t="inlineStr">
        <is>
          <t>01_STARTER/ST-036-EUR-06/01_Technical_File.docx</t>
        </is>
      </c>
      <c r="F182" t="inlineStr">
        <is>
          <t>1c435e434bea7a0057f238b3a206e73b2e5543473958619dbfebb475d7ec6a5a</t>
        </is>
      </c>
      <c r="G182" t="inlineStr">
        <is>
          <t>2026-08-08</t>
        </is>
      </c>
      <c r="H182" s="19" t="inlineStr">
        <is>
          <t>2</t>
        </is>
      </c>
      <c r="I182" t="inlineStr">
        <is>
          <t>Phase I generated Rev.00 Word file — linked; signatures not completed</t>
        </is>
      </c>
      <c r="J182" t="inlineStr">
        <is>
          <t>2026-08-10T19:29:54Z</t>
        </is>
      </c>
      <c r="K182" t="inlineStr">
        <is>
          <t>2026-08-10T19:49:40Z</t>
        </is>
      </c>
    </row>
    <row r="183">
      <c r="A183" s="19" t="inlineStr">
        <is>
          <t>182</t>
        </is>
      </c>
      <c r="B183" s="19" t="inlineStr">
        <is>
          <t>IA-PPWR-DOC-ST-036-EUR-06-R00</t>
        </is>
      </c>
      <c r="C183" t="inlineStr">
        <is>
          <t>IA-PPWR-DOC-ST-036-EUR-06-R00</t>
        </is>
      </c>
      <c r="D183" s="19" t="inlineStr">
        <is>
          <t>4</t>
        </is>
      </c>
      <c r="E183" t="inlineStr">
        <is>
          <t>01_STARTER/ST-036-EUR-06/02_EU_DoC.docx</t>
        </is>
      </c>
      <c r="F183" t="inlineStr">
        <is>
          <t>0c653e2f09c0906e926f82d8eee5004edef0bf0d1fc6b8d23a4ad1284adb8bf7</t>
        </is>
      </c>
      <c r="G183" t="inlineStr">
        <is>
          <t>2026-08-08</t>
        </is>
      </c>
      <c r="H183" s="19" t="inlineStr">
        <is>
          <t>2</t>
        </is>
      </c>
      <c r="I183" t="inlineStr">
        <is>
          <t>Phase I generated Rev.00 Word file — linked; signatures not completed</t>
        </is>
      </c>
      <c r="J183" t="inlineStr">
        <is>
          <t>2026-08-10T19:29:54Z</t>
        </is>
      </c>
      <c r="K183" t="inlineStr">
        <is>
          <t>2026-08-10T19:49:40Z</t>
        </is>
      </c>
    </row>
    <row r="184">
      <c r="A184" s="19" t="inlineStr">
        <is>
          <t>183</t>
        </is>
      </c>
      <c r="B184" s="19" t="inlineStr">
        <is>
          <t>IA-PPWR-LBL-ST-036-EUR-06-R00</t>
        </is>
      </c>
      <c r="C184" t="inlineStr">
        <is>
          <t>IA-PPWR-LBL-ST-036-EUR-06-R00</t>
        </is>
      </c>
      <c r="D184" s="19" t="inlineStr">
        <is>
          <t>11</t>
        </is>
      </c>
      <c r="E184" t="inlineStr">
        <is>
          <t>01_STARTER/ST-036-EUR-06/03_Label.docx</t>
        </is>
      </c>
      <c r="F184" t="inlineStr">
        <is>
          <t>19de7b512e79d4678d4c093143fae87b4ae6956e4c613f3d991fddf8b34355d1</t>
        </is>
      </c>
      <c r="G184" t="inlineStr">
        <is>
          <t>2026-08-08</t>
        </is>
      </c>
      <c r="H184" s="19" t="inlineStr">
        <is>
          <t>2</t>
        </is>
      </c>
      <c r="I184" t="inlineStr">
        <is>
          <t>Phase I generated Rev.00 Word file — linked; signatures not completed</t>
        </is>
      </c>
      <c r="J184" t="inlineStr">
        <is>
          <t>2026-08-10T19:29:54Z</t>
        </is>
      </c>
      <c r="K184" t="inlineStr">
        <is>
          <t>2026-08-10T19:49:40Z</t>
        </is>
      </c>
    </row>
    <row r="185">
      <c r="A185" s="19" t="inlineStr">
        <is>
          <t>184</t>
        </is>
      </c>
      <c r="B185" s="19" t="inlineStr">
        <is>
          <t>IA-PPWR-STM-ST-036-EUR-06-R00</t>
        </is>
      </c>
      <c r="C185" t="inlineStr">
        <is>
          <t>IA-PPWR-STM-ST-036-EUR-06-R00</t>
        </is>
      </c>
      <c r="D185" s="19" t="inlineStr">
        <is>
          <t>12</t>
        </is>
      </c>
      <c r="E185" t="inlineStr">
        <is>
          <t>01_STARTER/ST-036-EUR-06/04_Shipment_Statement.docx</t>
        </is>
      </c>
      <c r="F185" t="inlineStr">
        <is>
          <t>86139065f6535119aa88e08e5466a71492a42ed700b772cc90993437a745ac1b</t>
        </is>
      </c>
      <c r="G185" t="inlineStr">
        <is>
          <t>2026-08-08</t>
        </is>
      </c>
      <c r="H185" s="19" t="inlineStr">
        <is>
          <t>2</t>
        </is>
      </c>
      <c r="I185" t="inlineStr">
        <is>
          <t>Phase I generated Rev.00 Word file — linked; signatures not completed</t>
        </is>
      </c>
      <c r="J185" t="inlineStr">
        <is>
          <t>2026-08-10T19:29:54Z</t>
        </is>
      </c>
      <c r="K185" t="inlineStr">
        <is>
          <t>2026-08-10T19:49:40Z</t>
        </is>
      </c>
    </row>
    <row r="186">
      <c r="A186" s="19" t="inlineStr">
        <is>
          <t>185</t>
        </is>
      </c>
      <c r="B186" s="19" t="inlineStr">
        <is>
          <t>IA-PPWR-TF-ST-036-EUR-07-R00</t>
        </is>
      </c>
      <c r="C186" t="inlineStr">
        <is>
          <t>IA-PPWR-TF-ST-036-EUR-07-R00</t>
        </is>
      </c>
      <c r="D186" s="19" t="inlineStr">
        <is>
          <t>1</t>
        </is>
      </c>
      <c r="E186" t="inlineStr">
        <is>
          <t>01_STARTER/ST-036-EUR-07/01_Technical_File.docx</t>
        </is>
      </c>
      <c r="F186" t="inlineStr">
        <is>
          <t>9f536e8da42f54408b9c969a6bf5820aee05952ada8d4e66d91624d3508ab3b0</t>
        </is>
      </c>
      <c r="G186" t="inlineStr">
        <is>
          <t>2026-08-08</t>
        </is>
      </c>
      <c r="H186" s="19" t="inlineStr">
        <is>
          <t>2</t>
        </is>
      </c>
      <c r="I186" t="inlineStr">
        <is>
          <t>Phase I generated Rev.00 Word file — linked; signatures not completed</t>
        </is>
      </c>
      <c r="J186" t="inlineStr">
        <is>
          <t>2026-08-10T19:29:54Z</t>
        </is>
      </c>
      <c r="K186" t="inlineStr">
        <is>
          <t>2026-08-10T19:49:40Z</t>
        </is>
      </c>
    </row>
    <row r="187">
      <c r="A187" s="19" t="inlineStr">
        <is>
          <t>186</t>
        </is>
      </c>
      <c r="B187" s="19" t="inlineStr">
        <is>
          <t>IA-PPWR-DOC-ST-036-EUR-07-R00</t>
        </is>
      </c>
      <c r="C187" t="inlineStr">
        <is>
          <t>IA-PPWR-DOC-ST-036-EUR-07-R00</t>
        </is>
      </c>
      <c r="D187" s="19" t="inlineStr">
        <is>
          <t>4</t>
        </is>
      </c>
      <c r="E187" t="inlineStr">
        <is>
          <t>01_STARTER/ST-036-EUR-07/02_EU_DoC.docx</t>
        </is>
      </c>
      <c r="F187" t="inlineStr">
        <is>
          <t>33e452ea45bd76e896e85eba857872f08465336dad6072faec92d4475b35477c</t>
        </is>
      </c>
      <c r="G187" t="inlineStr">
        <is>
          <t>2026-08-08</t>
        </is>
      </c>
      <c r="H187" s="19" t="inlineStr">
        <is>
          <t>2</t>
        </is>
      </c>
      <c r="I187" t="inlineStr">
        <is>
          <t>Phase I generated Rev.00 Word file — linked; signatures not completed</t>
        </is>
      </c>
      <c r="J187" t="inlineStr">
        <is>
          <t>2026-08-10T19:29:54Z</t>
        </is>
      </c>
      <c r="K187" t="inlineStr">
        <is>
          <t>2026-08-10T19:49:40Z</t>
        </is>
      </c>
    </row>
    <row r="188">
      <c r="A188" s="19" t="inlineStr">
        <is>
          <t>187</t>
        </is>
      </c>
      <c r="B188" s="19" t="inlineStr">
        <is>
          <t>IA-PPWR-LBL-ST-036-EUR-07-R00</t>
        </is>
      </c>
      <c r="C188" t="inlineStr">
        <is>
          <t>IA-PPWR-LBL-ST-036-EUR-07-R00</t>
        </is>
      </c>
      <c r="D188" s="19" t="inlineStr">
        <is>
          <t>11</t>
        </is>
      </c>
      <c r="E188" t="inlineStr">
        <is>
          <t>01_STARTER/ST-036-EUR-07/03_Label.docx</t>
        </is>
      </c>
      <c r="F188" t="inlineStr">
        <is>
          <t>0a628aa4943042ee318cbbefc42cdfd6c92f2ee9e3438a86ad966511bfb96142</t>
        </is>
      </c>
      <c r="G188" t="inlineStr">
        <is>
          <t>2026-08-08</t>
        </is>
      </c>
      <c r="H188" s="19" t="inlineStr">
        <is>
          <t>2</t>
        </is>
      </c>
      <c r="I188" t="inlineStr">
        <is>
          <t>Phase I generated Rev.00 Word file — linked; signatures not completed</t>
        </is>
      </c>
      <c r="J188" t="inlineStr">
        <is>
          <t>2026-08-10T19:29:54Z</t>
        </is>
      </c>
      <c r="K188" t="inlineStr">
        <is>
          <t>2026-08-10T19:49:40Z</t>
        </is>
      </c>
    </row>
    <row r="189">
      <c r="A189" s="19" t="inlineStr">
        <is>
          <t>188</t>
        </is>
      </c>
      <c r="B189" s="19" t="inlineStr">
        <is>
          <t>IA-PPWR-STM-ST-036-EUR-07-R00</t>
        </is>
      </c>
      <c r="C189" t="inlineStr">
        <is>
          <t>IA-PPWR-STM-ST-036-EUR-07-R00</t>
        </is>
      </c>
      <c r="D189" s="19" t="inlineStr">
        <is>
          <t>12</t>
        </is>
      </c>
      <c r="E189" t="inlineStr">
        <is>
          <t>01_STARTER/ST-036-EUR-07/04_Shipment_Statement.docx</t>
        </is>
      </c>
      <c r="F189" t="inlineStr">
        <is>
          <t>51547be8dc42dc9493bd0c84edb63c8fa10bef98fd1ddfd069019445f3c5af29</t>
        </is>
      </c>
      <c r="G189" t="inlineStr">
        <is>
          <t>2026-08-08</t>
        </is>
      </c>
      <c r="H189" s="19" t="inlineStr">
        <is>
          <t>2</t>
        </is>
      </c>
      <c r="I189" t="inlineStr">
        <is>
          <t>Phase I generated Rev.00 Word file — linked; signatures not completed</t>
        </is>
      </c>
      <c r="J189" t="inlineStr">
        <is>
          <t>2026-08-10T19:29:54Z</t>
        </is>
      </c>
      <c r="K189" t="inlineStr">
        <is>
          <t>2026-08-10T19:49:40Z</t>
        </is>
      </c>
    </row>
    <row r="190">
      <c r="A190" s="19" t="inlineStr">
        <is>
          <t>189</t>
        </is>
      </c>
      <c r="B190" s="19" t="inlineStr">
        <is>
          <t>IA-PPWR-TF-ST-036-STD-01-R00</t>
        </is>
      </c>
      <c r="C190" t="inlineStr">
        <is>
          <t>IA-PPWR-TF-ST-036-STD-01-R00</t>
        </is>
      </c>
      <c r="D190" s="19" t="inlineStr">
        <is>
          <t>1</t>
        </is>
      </c>
      <c r="E190" t="inlineStr">
        <is>
          <t>01_STARTER/ST-036-STD-01/01_Technical_File.docx</t>
        </is>
      </c>
      <c r="F190" t="inlineStr">
        <is>
          <t>74d8e1363f1d1eace698e708f1ec5f381ed6c5f9fbfe1225aa5610416323f21e</t>
        </is>
      </c>
      <c r="G190" t="inlineStr">
        <is>
          <t>2026-08-08</t>
        </is>
      </c>
      <c r="H190" s="19" t="inlineStr">
        <is>
          <t>2</t>
        </is>
      </c>
      <c r="I190" t="inlineStr">
        <is>
          <t>Phase I generated Rev.00 Word file — linked; signatures not completed</t>
        </is>
      </c>
      <c r="J190" t="inlineStr">
        <is>
          <t>2026-08-10T19:29:54Z</t>
        </is>
      </c>
      <c r="K190" t="inlineStr">
        <is>
          <t>2026-08-10T19:49:40Z</t>
        </is>
      </c>
    </row>
    <row r="191">
      <c r="A191" s="19" t="inlineStr">
        <is>
          <t>190</t>
        </is>
      </c>
      <c r="B191" s="19" t="inlineStr">
        <is>
          <t>IA-PPWR-DOC-ST-036-STD-01-R00</t>
        </is>
      </c>
      <c r="C191" t="inlineStr">
        <is>
          <t>IA-PPWR-DOC-ST-036-STD-01-R00</t>
        </is>
      </c>
      <c r="D191" s="19" t="inlineStr">
        <is>
          <t>4</t>
        </is>
      </c>
      <c r="E191" t="inlineStr">
        <is>
          <t>01_STARTER/ST-036-STD-01/02_EU_DoC.docx</t>
        </is>
      </c>
      <c r="F191" t="inlineStr">
        <is>
          <t>0412c966e47f4431db305168fe1555c5284f8f8d9d7fd202062e01c5cf128bfe</t>
        </is>
      </c>
      <c r="G191" t="inlineStr">
        <is>
          <t>2026-08-08</t>
        </is>
      </c>
      <c r="H191" s="19" t="inlineStr">
        <is>
          <t>2</t>
        </is>
      </c>
      <c r="I191" t="inlineStr">
        <is>
          <t>Phase I generated Rev.00 Word file — linked; signatures not completed</t>
        </is>
      </c>
      <c r="J191" t="inlineStr">
        <is>
          <t>2026-08-10T19:29:54Z</t>
        </is>
      </c>
      <c r="K191" t="inlineStr">
        <is>
          <t>2026-08-10T19:49:40Z</t>
        </is>
      </c>
    </row>
    <row r="192">
      <c r="A192" s="19" t="inlineStr">
        <is>
          <t>191</t>
        </is>
      </c>
      <c r="B192" s="19" t="inlineStr">
        <is>
          <t>IA-PPWR-LBL-ST-036-STD-01-R00</t>
        </is>
      </c>
      <c r="C192" t="inlineStr">
        <is>
          <t>IA-PPWR-LBL-ST-036-STD-01-R00</t>
        </is>
      </c>
      <c r="D192" s="19" t="inlineStr">
        <is>
          <t>11</t>
        </is>
      </c>
      <c r="E192" t="inlineStr">
        <is>
          <t>01_STARTER/ST-036-STD-01/03_Label.docx</t>
        </is>
      </c>
      <c r="F192" t="inlineStr">
        <is>
          <t>0ff287c527dbda83b8d301334662d83c8c90b2914eff8c10d2d4b85cdafe6314</t>
        </is>
      </c>
      <c r="G192" t="inlineStr">
        <is>
          <t>2026-08-08</t>
        </is>
      </c>
      <c r="H192" s="19" t="inlineStr">
        <is>
          <t>2</t>
        </is>
      </c>
      <c r="I192" t="inlineStr">
        <is>
          <t>Phase I generated Rev.00 Word file — linked; signatures not completed</t>
        </is>
      </c>
      <c r="J192" t="inlineStr">
        <is>
          <t>2026-08-10T19:29:54Z</t>
        </is>
      </c>
      <c r="K192" t="inlineStr">
        <is>
          <t>2026-08-10T19:49:40Z</t>
        </is>
      </c>
    </row>
    <row r="193">
      <c r="A193" s="19" t="inlineStr">
        <is>
          <t>192</t>
        </is>
      </c>
      <c r="B193" s="19" t="inlineStr">
        <is>
          <t>IA-PPWR-STM-ST-036-STD-01-R00</t>
        </is>
      </c>
      <c r="C193" t="inlineStr">
        <is>
          <t>IA-PPWR-STM-ST-036-STD-01-R00</t>
        </is>
      </c>
      <c r="D193" s="19" t="inlineStr">
        <is>
          <t>12</t>
        </is>
      </c>
      <c r="E193" t="inlineStr">
        <is>
          <t>01_STARTER/ST-036-STD-01/04_Shipment_Statement.docx</t>
        </is>
      </c>
      <c r="F193" t="inlineStr">
        <is>
          <t>86d9ce312d4174df41bfa4905d13493dd7b84080d3e385221cb088922d155add</t>
        </is>
      </c>
      <c r="G193" t="inlineStr">
        <is>
          <t>2026-08-08</t>
        </is>
      </c>
      <c r="H193" s="19" t="inlineStr">
        <is>
          <t>2</t>
        </is>
      </c>
      <c r="I193" t="inlineStr">
        <is>
          <t>Phase I generated Rev.00 Word file — linked; signatures not completed</t>
        </is>
      </c>
      <c r="J193" t="inlineStr">
        <is>
          <t>2026-08-10T19:29:54Z</t>
        </is>
      </c>
      <c r="K193" t="inlineStr">
        <is>
          <t>2026-08-10T19:49:40Z</t>
        </is>
      </c>
    </row>
    <row r="194">
      <c r="A194" s="19" t="inlineStr">
        <is>
          <t>193</t>
        </is>
      </c>
      <c r="B194" s="19" t="inlineStr">
        <is>
          <t>IA-PPWR-TF-ST-036-STD-02-R00</t>
        </is>
      </c>
      <c r="C194" t="inlineStr">
        <is>
          <t>IA-PPWR-TF-ST-036-STD-02-R00</t>
        </is>
      </c>
      <c r="D194" s="19" t="inlineStr">
        <is>
          <t>1</t>
        </is>
      </c>
      <c r="E194" t="inlineStr">
        <is>
          <t>01_STARTER/ST-036-STD-02/01_Technical_File.docx</t>
        </is>
      </c>
      <c r="F194" t="inlineStr">
        <is>
          <t>034b4a0eb96991375bb5e7debd79d353c31d941ff00dced5ee2a91c54fe4cd9d</t>
        </is>
      </c>
      <c r="G194" t="inlineStr">
        <is>
          <t>2026-08-08</t>
        </is>
      </c>
      <c r="H194" s="19" t="inlineStr">
        <is>
          <t>2</t>
        </is>
      </c>
      <c r="I194" t="inlineStr">
        <is>
          <t>Phase I generated Rev.00 Word file — linked; signatures not completed</t>
        </is>
      </c>
      <c r="J194" t="inlineStr">
        <is>
          <t>2026-08-10T19:29:54Z</t>
        </is>
      </c>
      <c r="K194" t="inlineStr">
        <is>
          <t>2026-08-10T19:49:40Z</t>
        </is>
      </c>
    </row>
    <row r="195">
      <c r="A195" s="19" t="inlineStr">
        <is>
          <t>194</t>
        </is>
      </c>
      <c r="B195" s="19" t="inlineStr">
        <is>
          <t>IA-PPWR-DOC-ST-036-STD-02-R00</t>
        </is>
      </c>
      <c r="C195" t="inlineStr">
        <is>
          <t>IA-PPWR-DOC-ST-036-STD-02-R00</t>
        </is>
      </c>
      <c r="D195" s="19" t="inlineStr">
        <is>
          <t>4</t>
        </is>
      </c>
      <c r="E195" t="inlineStr">
        <is>
          <t>01_STARTER/ST-036-STD-02/02_EU_DoC.docx</t>
        </is>
      </c>
      <c r="F195" t="inlineStr">
        <is>
          <t>4c42a1d94fa47d6938292380c257631dd8f4fc138a6eb6b9b1ab6c6150adb682</t>
        </is>
      </c>
      <c r="G195" t="inlineStr">
        <is>
          <t>2026-08-08</t>
        </is>
      </c>
      <c r="H195" s="19" t="inlineStr">
        <is>
          <t>2</t>
        </is>
      </c>
      <c r="I195" t="inlineStr">
        <is>
          <t>Phase I generated Rev.00 Word file — linked; signatures not completed</t>
        </is>
      </c>
      <c r="J195" t="inlineStr">
        <is>
          <t>2026-08-10T19:29:54Z</t>
        </is>
      </c>
      <c r="K195" t="inlineStr">
        <is>
          <t>2026-08-10T19:49:40Z</t>
        </is>
      </c>
    </row>
    <row r="196">
      <c r="A196" s="19" t="inlineStr">
        <is>
          <t>195</t>
        </is>
      </c>
      <c r="B196" s="19" t="inlineStr">
        <is>
          <t>IA-PPWR-LBL-ST-036-STD-02-R00</t>
        </is>
      </c>
      <c r="C196" t="inlineStr">
        <is>
          <t>IA-PPWR-LBL-ST-036-STD-02-R00</t>
        </is>
      </c>
      <c r="D196" s="19" t="inlineStr">
        <is>
          <t>11</t>
        </is>
      </c>
      <c r="E196" t="inlineStr">
        <is>
          <t>01_STARTER/ST-036-STD-02/03_Label.docx</t>
        </is>
      </c>
      <c r="F196" t="inlineStr">
        <is>
          <t>c98fa3fd01e9e03cd10e10609cccfab3ee78b503d771d35367e058a99f1b325f</t>
        </is>
      </c>
      <c r="G196" t="inlineStr">
        <is>
          <t>2026-08-08</t>
        </is>
      </c>
      <c r="H196" s="19" t="inlineStr">
        <is>
          <t>2</t>
        </is>
      </c>
      <c r="I196" t="inlineStr">
        <is>
          <t>Phase I generated Rev.00 Word file — linked; signatures not completed</t>
        </is>
      </c>
      <c r="J196" t="inlineStr">
        <is>
          <t>2026-08-10T19:29:54Z</t>
        </is>
      </c>
      <c r="K196" t="inlineStr">
        <is>
          <t>2026-08-10T19:49:40Z</t>
        </is>
      </c>
    </row>
    <row r="197">
      <c r="A197" s="19" t="inlineStr">
        <is>
          <t>196</t>
        </is>
      </c>
      <c r="B197" s="19" t="inlineStr">
        <is>
          <t>IA-PPWR-STM-ST-036-STD-02-R00</t>
        </is>
      </c>
      <c r="C197" t="inlineStr">
        <is>
          <t>IA-PPWR-STM-ST-036-STD-02-R00</t>
        </is>
      </c>
      <c r="D197" s="19" t="inlineStr">
        <is>
          <t>12</t>
        </is>
      </c>
      <c r="E197" t="inlineStr">
        <is>
          <t>01_STARTER/ST-036-STD-02/04_Shipment_Statement.docx</t>
        </is>
      </c>
      <c r="F197" t="inlineStr">
        <is>
          <t>a5a82cabbc12936eb3ba7ff09eba4c6423009e1bbe479daefaaec7f857b609e2</t>
        </is>
      </c>
      <c r="G197" t="inlineStr">
        <is>
          <t>2026-08-08</t>
        </is>
      </c>
      <c r="H197" s="19" t="inlineStr">
        <is>
          <t>2</t>
        </is>
      </c>
      <c r="I197" t="inlineStr">
        <is>
          <t>Phase I generated Rev.00 Word file — linked; signatures not completed</t>
        </is>
      </c>
      <c r="J197" t="inlineStr">
        <is>
          <t>2026-08-10T19:29:54Z</t>
        </is>
      </c>
      <c r="K197" t="inlineStr">
        <is>
          <t>2026-08-10T19:49:40Z</t>
        </is>
      </c>
    </row>
    <row r="198">
      <c r="A198" s="19" t="inlineStr">
        <is>
          <t>197</t>
        </is>
      </c>
      <c r="B198" s="19" t="inlineStr">
        <is>
          <t>IA-PPWR-TF-ST-036-STD-03-R00</t>
        </is>
      </c>
      <c r="C198" t="inlineStr">
        <is>
          <t>IA-PPWR-TF-ST-036-STD-03-R00</t>
        </is>
      </c>
      <c r="D198" s="19" t="inlineStr">
        <is>
          <t>1</t>
        </is>
      </c>
      <c r="E198" t="inlineStr">
        <is>
          <t>01_STARTER/ST-036-STD-03/01_Technical_File.docx</t>
        </is>
      </c>
      <c r="F198" t="inlineStr">
        <is>
          <t>ad70c4338dbe17aed4a3ed7b08d3fefe11a786a45b75da8e6b9e87fadd7beb2a</t>
        </is>
      </c>
      <c r="G198" t="inlineStr">
        <is>
          <t>2026-08-08</t>
        </is>
      </c>
      <c r="H198" s="19" t="inlineStr">
        <is>
          <t>2</t>
        </is>
      </c>
      <c r="I198" t="inlineStr">
        <is>
          <t>Phase I generated Rev.00 Word file — linked; signatures not completed</t>
        </is>
      </c>
      <c r="J198" t="inlineStr">
        <is>
          <t>2026-08-10T19:29:54Z</t>
        </is>
      </c>
      <c r="K198" t="inlineStr">
        <is>
          <t>2026-08-10T19:49:40Z</t>
        </is>
      </c>
    </row>
    <row r="199">
      <c r="A199" s="19" t="inlineStr">
        <is>
          <t>198</t>
        </is>
      </c>
      <c r="B199" s="19" t="inlineStr">
        <is>
          <t>IA-PPWR-DOC-ST-036-STD-03-R00</t>
        </is>
      </c>
      <c r="C199" t="inlineStr">
        <is>
          <t>IA-PPWR-DOC-ST-036-STD-03-R00</t>
        </is>
      </c>
      <c r="D199" s="19" t="inlineStr">
        <is>
          <t>4</t>
        </is>
      </c>
      <c r="E199" t="inlineStr">
        <is>
          <t>01_STARTER/ST-036-STD-03/02_EU_DoC.docx</t>
        </is>
      </c>
      <c r="F199" t="inlineStr">
        <is>
          <t>a8bc7de335dad5f8b1669d79a2d1428800807025c36caca500e856405cd82802</t>
        </is>
      </c>
      <c r="G199" t="inlineStr">
        <is>
          <t>2026-08-08</t>
        </is>
      </c>
      <c r="H199" s="19" t="inlineStr">
        <is>
          <t>2</t>
        </is>
      </c>
      <c r="I199" t="inlineStr">
        <is>
          <t>Phase I generated Rev.00 Word file — linked; signatures not completed</t>
        </is>
      </c>
      <c r="J199" t="inlineStr">
        <is>
          <t>2026-08-10T19:29:54Z</t>
        </is>
      </c>
      <c r="K199" t="inlineStr">
        <is>
          <t>2026-08-10T19:49:40Z</t>
        </is>
      </c>
    </row>
    <row r="200">
      <c r="A200" s="19" t="inlineStr">
        <is>
          <t>199</t>
        </is>
      </c>
      <c r="B200" s="19" t="inlineStr">
        <is>
          <t>IA-PPWR-LBL-ST-036-STD-03-R00</t>
        </is>
      </c>
      <c r="C200" t="inlineStr">
        <is>
          <t>IA-PPWR-LBL-ST-036-STD-03-R00</t>
        </is>
      </c>
      <c r="D200" s="19" t="inlineStr">
        <is>
          <t>11</t>
        </is>
      </c>
      <c r="E200" t="inlineStr">
        <is>
          <t>01_STARTER/ST-036-STD-03/03_Label.docx</t>
        </is>
      </c>
      <c r="F200" t="inlineStr">
        <is>
          <t>dfd0caa69f4490455d95d91fb337ac394518cd7d88cfc240cc388838e8670d97</t>
        </is>
      </c>
      <c r="G200" t="inlineStr">
        <is>
          <t>2026-08-08</t>
        </is>
      </c>
      <c r="H200" s="19" t="inlineStr">
        <is>
          <t>2</t>
        </is>
      </c>
      <c r="I200" t="inlineStr">
        <is>
          <t>Phase I generated Rev.00 Word file — linked; signatures not completed</t>
        </is>
      </c>
      <c r="J200" t="inlineStr">
        <is>
          <t>2026-08-10T19:29:54Z</t>
        </is>
      </c>
      <c r="K200" t="inlineStr">
        <is>
          <t>2026-08-10T19:49:40Z</t>
        </is>
      </c>
    </row>
    <row r="201">
      <c r="A201" s="19" t="inlineStr">
        <is>
          <t>200</t>
        </is>
      </c>
      <c r="B201" s="19" t="inlineStr">
        <is>
          <t>IA-PPWR-STM-ST-036-STD-03-R00</t>
        </is>
      </c>
      <c r="C201" t="inlineStr">
        <is>
          <t>IA-PPWR-STM-ST-036-STD-03-R00</t>
        </is>
      </c>
      <c r="D201" s="19" t="inlineStr">
        <is>
          <t>12</t>
        </is>
      </c>
      <c r="E201" t="inlineStr">
        <is>
          <t>01_STARTER/ST-036-STD-03/04_Shipment_Statement.docx</t>
        </is>
      </c>
      <c r="F201" t="inlineStr">
        <is>
          <t>acde0ca9b532750541583b65ea6b004d226287437e423d24ca68e253e0fac414</t>
        </is>
      </c>
      <c r="G201" t="inlineStr">
        <is>
          <t>2026-08-08</t>
        </is>
      </c>
      <c r="H201" s="19" t="inlineStr">
        <is>
          <t>2</t>
        </is>
      </c>
      <c r="I201" t="inlineStr">
        <is>
          <t>Phase I generated Rev.00 Word file — linked; signatures not completed</t>
        </is>
      </c>
      <c r="J201" t="inlineStr">
        <is>
          <t>2026-08-10T19:29:54Z</t>
        </is>
      </c>
      <c r="K201" t="inlineStr">
        <is>
          <t>2026-08-10T19:49:40Z</t>
        </is>
      </c>
    </row>
    <row r="202">
      <c r="A202" s="19" t="inlineStr">
        <is>
          <t>201</t>
        </is>
      </c>
      <c r="B202" s="19" t="inlineStr">
        <is>
          <t>IA-PPWR-TF-ST-042-EUR-01-R00</t>
        </is>
      </c>
      <c r="C202" t="inlineStr">
        <is>
          <t>IA-PPWR-TF-ST-042-EUR-01-R00</t>
        </is>
      </c>
      <c r="D202" s="19" t="inlineStr">
        <is>
          <t>1</t>
        </is>
      </c>
      <c r="E202" t="inlineStr">
        <is>
          <t>01_STARTER/ST-042-EUR-01/01_Technical_File.docx</t>
        </is>
      </c>
      <c r="F202" t="inlineStr">
        <is>
          <t>16f3cc6785f2e4c70e6db5b1ea0d087d4e79d6e1aaaf63a032a27862e8e2348f</t>
        </is>
      </c>
      <c r="G202" t="inlineStr">
        <is>
          <t>2026-08-08</t>
        </is>
      </c>
      <c r="H202" s="19" t="inlineStr">
        <is>
          <t>2</t>
        </is>
      </c>
      <c r="I202" t="inlineStr">
        <is>
          <t>Phase I generated Rev.00 Word file — linked; signatures not completed</t>
        </is>
      </c>
      <c r="J202" t="inlineStr">
        <is>
          <t>2026-08-10T19:29:54Z</t>
        </is>
      </c>
      <c r="K202" t="inlineStr">
        <is>
          <t>2026-08-10T19:49:40Z</t>
        </is>
      </c>
    </row>
    <row r="203">
      <c r="A203" s="19" t="inlineStr">
        <is>
          <t>202</t>
        </is>
      </c>
      <c r="B203" s="19" t="inlineStr">
        <is>
          <t>IA-PPWR-DOC-ST-042-EUR-01-R00</t>
        </is>
      </c>
      <c r="C203" t="inlineStr">
        <is>
          <t>IA-PPWR-DOC-ST-042-EUR-01-R00</t>
        </is>
      </c>
      <c r="D203" s="19" t="inlineStr">
        <is>
          <t>4</t>
        </is>
      </c>
      <c r="E203" t="inlineStr">
        <is>
          <t>01_STARTER/ST-042-EUR-01/02_EU_DoC.docx</t>
        </is>
      </c>
      <c r="F203" t="inlineStr">
        <is>
          <t>8d706dfb66efb47f0a1f218d6e2e18097e1c67816c673440b29c4c64a66eb026</t>
        </is>
      </c>
      <c r="G203" t="inlineStr">
        <is>
          <t>2026-08-08</t>
        </is>
      </c>
      <c r="H203" s="19" t="inlineStr">
        <is>
          <t>2</t>
        </is>
      </c>
      <c r="I203" t="inlineStr">
        <is>
          <t>Phase I generated Rev.00 Word file — linked; signatures not completed</t>
        </is>
      </c>
      <c r="J203" t="inlineStr">
        <is>
          <t>2026-08-10T19:29:54Z</t>
        </is>
      </c>
      <c r="K203" t="inlineStr">
        <is>
          <t>2026-08-10T19:49:40Z</t>
        </is>
      </c>
    </row>
    <row r="204">
      <c r="A204" s="19" t="inlineStr">
        <is>
          <t>203</t>
        </is>
      </c>
      <c r="B204" s="19" t="inlineStr">
        <is>
          <t>IA-PPWR-LBL-ST-042-EUR-01-R00</t>
        </is>
      </c>
      <c r="C204" t="inlineStr">
        <is>
          <t>IA-PPWR-LBL-ST-042-EUR-01-R00</t>
        </is>
      </c>
      <c r="D204" s="19" t="inlineStr">
        <is>
          <t>11</t>
        </is>
      </c>
      <c r="E204" t="inlineStr">
        <is>
          <t>01_STARTER/ST-042-EUR-01/03_Label.docx</t>
        </is>
      </c>
      <c r="F204" t="inlineStr">
        <is>
          <t>3932c67f9dc4549a66bd91f9a44b028e4eadf6fd1a6b8f41c71b8102e40e4192</t>
        </is>
      </c>
      <c r="G204" t="inlineStr">
        <is>
          <t>2026-08-08</t>
        </is>
      </c>
      <c r="H204" s="19" t="inlineStr">
        <is>
          <t>2</t>
        </is>
      </c>
      <c r="I204" t="inlineStr">
        <is>
          <t>Phase I generated Rev.00 Word file — linked; signatures not completed</t>
        </is>
      </c>
      <c r="J204" t="inlineStr">
        <is>
          <t>2026-08-10T19:29:54Z</t>
        </is>
      </c>
      <c r="K204" t="inlineStr">
        <is>
          <t>2026-08-10T19:49:40Z</t>
        </is>
      </c>
    </row>
    <row r="205">
      <c r="A205" s="19" t="inlineStr">
        <is>
          <t>204</t>
        </is>
      </c>
      <c r="B205" s="19" t="inlineStr">
        <is>
          <t>IA-PPWR-STM-ST-042-EUR-01-R00</t>
        </is>
      </c>
      <c r="C205" t="inlineStr">
        <is>
          <t>IA-PPWR-STM-ST-042-EUR-01-R00</t>
        </is>
      </c>
      <c r="D205" s="19" t="inlineStr">
        <is>
          <t>12</t>
        </is>
      </c>
      <c r="E205" t="inlineStr">
        <is>
          <t>01_STARTER/ST-042-EUR-01/04_Shipment_Statement.docx</t>
        </is>
      </c>
      <c r="F205" t="inlineStr">
        <is>
          <t>336f7c7a74df8a7d341b843d92107530eaeed8e35e6bebf87a2cf132f779e4bf</t>
        </is>
      </c>
      <c r="G205" t="inlineStr">
        <is>
          <t>2026-08-08</t>
        </is>
      </c>
      <c r="H205" s="19" t="inlineStr">
        <is>
          <t>2</t>
        </is>
      </c>
      <c r="I205" t="inlineStr">
        <is>
          <t>Phase I generated Rev.00 Word file — linked; signatures not completed</t>
        </is>
      </c>
      <c r="J205" t="inlineStr">
        <is>
          <t>2026-08-10T19:29:54Z</t>
        </is>
      </c>
      <c r="K205" t="inlineStr">
        <is>
          <t>2026-08-10T19:49:40Z</t>
        </is>
      </c>
    </row>
    <row r="206">
      <c r="A206" s="19" t="inlineStr">
        <is>
          <t>205</t>
        </is>
      </c>
      <c r="B206" s="19" t="inlineStr">
        <is>
          <t>IA-PPWR-TF-ST-042-EUR-02-R00</t>
        </is>
      </c>
      <c r="C206" t="inlineStr">
        <is>
          <t>IA-PPWR-TF-ST-042-EUR-02-R00</t>
        </is>
      </c>
      <c r="D206" s="19" t="inlineStr">
        <is>
          <t>1</t>
        </is>
      </c>
      <c r="E206" t="inlineStr">
        <is>
          <t>01_STARTER/ST-042-EUR-02/01_Technical_File.docx</t>
        </is>
      </c>
      <c r="F206" t="inlineStr">
        <is>
          <t>051f25629ecf27f244b21477231e6b3d76bcc0d5571f9b6b8b23d97846097d33</t>
        </is>
      </c>
      <c r="G206" t="inlineStr">
        <is>
          <t>2026-08-08</t>
        </is>
      </c>
      <c r="H206" s="19" t="inlineStr">
        <is>
          <t>2</t>
        </is>
      </c>
      <c r="I206" t="inlineStr">
        <is>
          <t>Phase I generated Rev.00 Word file — linked; signatures not completed</t>
        </is>
      </c>
      <c r="J206" t="inlineStr">
        <is>
          <t>2026-08-10T19:29:54Z</t>
        </is>
      </c>
      <c r="K206" t="inlineStr">
        <is>
          <t>2026-08-10T19:49:40Z</t>
        </is>
      </c>
    </row>
    <row r="207">
      <c r="A207" s="19" t="inlineStr">
        <is>
          <t>206</t>
        </is>
      </c>
      <c r="B207" s="19" t="inlineStr">
        <is>
          <t>IA-PPWR-DOC-ST-042-EUR-02-R00</t>
        </is>
      </c>
      <c r="C207" t="inlineStr">
        <is>
          <t>IA-PPWR-DOC-ST-042-EUR-02-R00</t>
        </is>
      </c>
      <c r="D207" s="19" t="inlineStr">
        <is>
          <t>4</t>
        </is>
      </c>
      <c r="E207" t="inlineStr">
        <is>
          <t>01_STARTER/ST-042-EUR-02/02_EU_DoC.docx</t>
        </is>
      </c>
      <c r="F207" t="inlineStr">
        <is>
          <t>32f6dd2bfd1f707d1419ef864ce24285274686217018456e43e54a0dd3ffd3e9</t>
        </is>
      </c>
      <c r="G207" t="inlineStr">
        <is>
          <t>2026-08-08</t>
        </is>
      </c>
      <c r="H207" s="19" t="inlineStr">
        <is>
          <t>2</t>
        </is>
      </c>
      <c r="I207" t="inlineStr">
        <is>
          <t>Phase I generated Rev.00 Word file — linked; signatures not completed</t>
        </is>
      </c>
      <c r="J207" t="inlineStr">
        <is>
          <t>2026-08-10T19:29:54Z</t>
        </is>
      </c>
      <c r="K207" t="inlineStr">
        <is>
          <t>2026-08-10T19:49:40Z</t>
        </is>
      </c>
    </row>
    <row r="208">
      <c r="A208" s="19" t="inlineStr">
        <is>
          <t>207</t>
        </is>
      </c>
      <c r="B208" s="19" t="inlineStr">
        <is>
          <t>IA-PPWR-LBL-ST-042-EUR-02-R00</t>
        </is>
      </c>
      <c r="C208" t="inlineStr">
        <is>
          <t>IA-PPWR-LBL-ST-042-EUR-02-R00</t>
        </is>
      </c>
      <c r="D208" s="19" t="inlineStr">
        <is>
          <t>11</t>
        </is>
      </c>
      <c r="E208" t="inlineStr">
        <is>
          <t>01_STARTER/ST-042-EUR-02/03_Label.docx</t>
        </is>
      </c>
      <c r="F208" t="inlineStr">
        <is>
          <t>4bcc2d8077381136188384b82a8d5acf8ea6d4df015ab460d632b8f29b3b41aa</t>
        </is>
      </c>
      <c r="G208" t="inlineStr">
        <is>
          <t>2026-08-08</t>
        </is>
      </c>
      <c r="H208" s="19" t="inlineStr">
        <is>
          <t>2</t>
        </is>
      </c>
      <c r="I208" t="inlineStr">
        <is>
          <t>Phase I generated Rev.00 Word file — linked; signatures not completed</t>
        </is>
      </c>
      <c r="J208" t="inlineStr">
        <is>
          <t>2026-08-10T19:29:54Z</t>
        </is>
      </c>
      <c r="K208" t="inlineStr">
        <is>
          <t>2026-08-10T19:49:40Z</t>
        </is>
      </c>
    </row>
    <row r="209">
      <c r="A209" s="19" t="inlineStr">
        <is>
          <t>208</t>
        </is>
      </c>
      <c r="B209" s="19" t="inlineStr">
        <is>
          <t>IA-PPWR-STM-ST-042-EUR-02-R00</t>
        </is>
      </c>
      <c r="C209" t="inlineStr">
        <is>
          <t>IA-PPWR-STM-ST-042-EUR-02-R00</t>
        </is>
      </c>
      <c r="D209" s="19" t="inlineStr">
        <is>
          <t>12</t>
        </is>
      </c>
      <c r="E209" t="inlineStr">
        <is>
          <t>01_STARTER/ST-042-EUR-02/04_Shipment_Statement.docx</t>
        </is>
      </c>
      <c r="F209" t="inlineStr">
        <is>
          <t>57f2846e34170fa40fecf06173fcc6b312f76a830c0f65f935cc8ba70d8add30</t>
        </is>
      </c>
      <c r="G209" t="inlineStr">
        <is>
          <t>2026-08-08</t>
        </is>
      </c>
      <c r="H209" s="19" t="inlineStr">
        <is>
          <t>2</t>
        </is>
      </c>
      <c r="I209" t="inlineStr">
        <is>
          <t>Phase I generated Rev.00 Word file — linked; signatures not completed</t>
        </is>
      </c>
      <c r="J209" t="inlineStr">
        <is>
          <t>2026-08-10T19:29:54Z</t>
        </is>
      </c>
      <c r="K209" t="inlineStr">
        <is>
          <t>2026-08-10T19:49:40Z</t>
        </is>
      </c>
    </row>
    <row r="210">
      <c r="A210" s="19" t="inlineStr">
        <is>
          <t>209</t>
        </is>
      </c>
      <c r="B210" s="19" t="inlineStr">
        <is>
          <t>IA-PPWR-TF-ST-042-EUR-03-R00</t>
        </is>
      </c>
      <c r="C210" t="inlineStr">
        <is>
          <t>IA-PPWR-TF-ST-042-EUR-03-R00</t>
        </is>
      </c>
      <c r="D210" s="19" t="inlineStr">
        <is>
          <t>1</t>
        </is>
      </c>
      <c r="E210" t="inlineStr">
        <is>
          <t>01_STARTER/ST-042-EUR-03/01_Technical_File.docx</t>
        </is>
      </c>
      <c r="F210" t="inlineStr">
        <is>
          <t>cc80de9f86f17b585f54eee3479a524c2110fc74e94b9a020600debbac432418</t>
        </is>
      </c>
      <c r="G210" t="inlineStr">
        <is>
          <t>2026-08-08</t>
        </is>
      </c>
      <c r="H210" s="19" t="inlineStr">
        <is>
          <t>2</t>
        </is>
      </c>
      <c r="I210" t="inlineStr">
        <is>
          <t>Phase I generated Rev.00 Word file — linked; signatures not completed</t>
        </is>
      </c>
      <c r="J210" t="inlineStr">
        <is>
          <t>2026-08-10T19:29:54Z</t>
        </is>
      </c>
      <c r="K210" t="inlineStr">
        <is>
          <t>2026-08-10T19:49:40Z</t>
        </is>
      </c>
    </row>
    <row r="211">
      <c r="A211" s="19" t="inlineStr">
        <is>
          <t>210</t>
        </is>
      </c>
      <c r="B211" s="19" t="inlineStr">
        <is>
          <t>IA-PPWR-DOC-ST-042-EUR-03-R00</t>
        </is>
      </c>
      <c r="C211" t="inlineStr">
        <is>
          <t>IA-PPWR-DOC-ST-042-EUR-03-R00</t>
        </is>
      </c>
      <c r="D211" s="19" t="inlineStr">
        <is>
          <t>4</t>
        </is>
      </c>
      <c r="E211" t="inlineStr">
        <is>
          <t>01_STARTER/ST-042-EUR-03/02_EU_DoC.docx</t>
        </is>
      </c>
      <c r="F211" t="inlineStr">
        <is>
          <t>bc98b61a80034f3f54c46f243290e09b242fb2a58e4ff13a3cdfded41f51a6ce</t>
        </is>
      </c>
      <c r="G211" t="inlineStr">
        <is>
          <t>2026-08-08</t>
        </is>
      </c>
      <c r="H211" s="19" t="inlineStr">
        <is>
          <t>2</t>
        </is>
      </c>
      <c r="I211" t="inlineStr">
        <is>
          <t>Phase I generated Rev.00 Word file — linked; signatures not completed</t>
        </is>
      </c>
      <c r="J211" t="inlineStr">
        <is>
          <t>2026-08-10T19:29:54Z</t>
        </is>
      </c>
      <c r="K211" t="inlineStr">
        <is>
          <t>2026-08-10T19:49:40Z</t>
        </is>
      </c>
    </row>
    <row r="212">
      <c r="A212" s="19" t="inlineStr">
        <is>
          <t>211</t>
        </is>
      </c>
      <c r="B212" s="19" t="inlineStr">
        <is>
          <t>IA-PPWR-LBL-ST-042-EUR-03-R00</t>
        </is>
      </c>
      <c r="C212" t="inlineStr">
        <is>
          <t>IA-PPWR-LBL-ST-042-EUR-03-R00</t>
        </is>
      </c>
      <c r="D212" s="19" t="inlineStr">
        <is>
          <t>11</t>
        </is>
      </c>
      <c r="E212" t="inlineStr">
        <is>
          <t>01_STARTER/ST-042-EUR-03/03_Label.docx</t>
        </is>
      </c>
      <c r="F212" t="inlineStr">
        <is>
          <t>148081705a1cd3e2f255637bf7ac6460836387bb641c927001a833aa8cffe2a6</t>
        </is>
      </c>
      <c r="G212" t="inlineStr">
        <is>
          <t>2026-08-08</t>
        </is>
      </c>
      <c r="H212" s="19" t="inlineStr">
        <is>
          <t>2</t>
        </is>
      </c>
      <c r="I212" t="inlineStr">
        <is>
          <t>Phase I generated Rev.00 Word file — linked; signatures not completed</t>
        </is>
      </c>
      <c r="J212" t="inlineStr">
        <is>
          <t>2026-08-10T19:29:54Z</t>
        </is>
      </c>
      <c r="K212" t="inlineStr">
        <is>
          <t>2026-08-10T19:49:40Z</t>
        </is>
      </c>
    </row>
    <row r="213">
      <c r="A213" s="19" t="inlineStr">
        <is>
          <t>212</t>
        </is>
      </c>
      <c r="B213" s="19" t="inlineStr">
        <is>
          <t>IA-PPWR-STM-ST-042-EUR-03-R00</t>
        </is>
      </c>
      <c r="C213" t="inlineStr">
        <is>
          <t>IA-PPWR-STM-ST-042-EUR-03-R00</t>
        </is>
      </c>
      <c r="D213" s="19" t="inlineStr">
        <is>
          <t>12</t>
        </is>
      </c>
      <c r="E213" t="inlineStr">
        <is>
          <t>01_STARTER/ST-042-EUR-03/04_Shipment_Statement.docx</t>
        </is>
      </c>
      <c r="F213" t="inlineStr">
        <is>
          <t>9412ff3c37dd4b3c83bbed20734cf26747426e908ee827394a718018e155ec8b</t>
        </is>
      </c>
      <c r="G213" t="inlineStr">
        <is>
          <t>2026-08-08</t>
        </is>
      </c>
      <c r="H213" s="19" t="inlineStr">
        <is>
          <t>2</t>
        </is>
      </c>
      <c r="I213" t="inlineStr">
        <is>
          <t>Phase I generated Rev.00 Word file — linked; signatures not completed</t>
        </is>
      </c>
      <c r="J213" t="inlineStr">
        <is>
          <t>2026-08-10T19:29:54Z</t>
        </is>
      </c>
      <c r="K213" t="inlineStr">
        <is>
          <t>2026-08-10T19:49:40Z</t>
        </is>
      </c>
    </row>
    <row r="214">
      <c r="A214" s="19" t="inlineStr">
        <is>
          <t>213</t>
        </is>
      </c>
      <c r="B214" s="19" t="inlineStr">
        <is>
          <t>IA-PPWR-TF-ST-042-EUR-04-R00</t>
        </is>
      </c>
      <c r="C214" t="inlineStr">
        <is>
          <t>IA-PPWR-TF-ST-042-EUR-04-R00</t>
        </is>
      </c>
      <c r="D214" s="19" t="inlineStr">
        <is>
          <t>1</t>
        </is>
      </c>
      <c r="E214" t="inlineStr">
        <is>
          <t>01_STARTER/ST-042-EUR-04/01_Technical_File.docx</t>
        </is>
      </c>
      <c r="F214" t="inlineStr">
        <is>
          <t>9683a2517063e6d81d5ee7308c56fa7fa791b83720d5e59668de35999f7c1bfb</t>
        </is>
      </c>
      <c r="G214" t="inlineStr">
        <is>
          <t>2026-08-08</t>
        </is>
      </c>
      <c r="H214" s="19" t="inlineStr">
        <is>
          <t>2</t>
        </is>
      </c>
      <c r="I214" t="inlineStr">
        <is>
          <t>Phase I generated Rev.00 Word file — linked; signatures not completed</t>
        </is>
      </c>
      <c r="J214" t="inlineStr">
        <is>
          <t>2026-08-10T19:29:54Z</t>
        </is>
      </c>
      <c r="K214" t="inlineStr">
        <is>
          <t>2026-08-10T19:49:40Z</t>
        </is>
      </c>
    </row>
    <row r="215">
      <c r="A215" s="19" t="inlineStr">
        <is>
          <t>214</t>
        </is>
      </c>
      <c r="B215" s="19" t="inlineStr">
        <is>
          <t>IA-PPWR-DOC-ST-042-EUR-04-R00</t>
        </is>
      </c>
      <c r="C215" t="inlineStr">
        <is>
          <t>IA-PPWR-DOC-ST-042-EUR-04-R00</t>
        </is>
      </c>
      <c r="D215" s="19" t="inlineStr">
        <is>
          <t>4</t>
        </is>
      </c>
      <c r="E215" t="inlineStr">
        <is>
          <t>01_STARTER/ST-042-EUR-04/02_EU_DoC.docx</t>
        </is>
      </c>
      <c r="F215" t="inlineStr">
        <is>
          <t>c8a28454621f7482e26567939e7f70caf9ec30c9b12c41a6b30166e31c9767e8</t>
        </is>
      </c>
      <c r="G215" t="inlineStr">
        <is>
          <t>2026-08-08</t>
        </is>
      </c>
      <c r="H215" s="19" t="inlineStr">
        <is>
          <t>2</t>
        </is>
      </c>
      <c r="I215" t="inlineStr">
        <is>
          <t>Phase I generated Rev.00 Word file — linked; signatures not completed</t>
        </is>
      </c>
      <c r="J215" t="inlineStr">
        <is>
          <t>2026-08-10T19:29:54Z</t>
        </is>
      </c>
      <c r="K215" t="inlineStr">
        <is>
          <t>2026-08-10T19:49:40Z</t>
        </is>
      </c>
    </row>
    <row r="216">
      <c r="A216" s="19" t="inlineStr">
        <is>
          <t>215</t>
        </is>
      </c>
      <c r="B216" s="19" t="inlineStr">
        <is>
          <t>IA-PPWR-LBL-ST-042-EUR-04-R00</t>
        </is>
      </c>
      <c r="C216" t="inlineStr">
        <is>
          <t>IA-PPWR-LBL-ST-042-EUR-04-R00</t>
        </is>
      </c>
      <c r="D216" s="19" t="inlineStr">
        <is>
          <t>11</t>
        </is>
      </c>
      <c r="E216" t="inlineStr">
        <is>
          <t>01_STARTER/ST-042-EUR-04/03_Label.docx</t>
        </is>
      </c>
      <c r="F216" t="inlineStr">
        <is>
          <t>db774f9d9efcff4f6ddb39c2135c38d0f59ab5be4dbe817d4bc6b510dd682f59</t>
        </is>
      </c>
      <c r="G216" t="inlineStr">
        <is>
          <t>2026-08-08</t>
        </is>
      </c>
      <c r="H216" s="19" t="inlineStr">
        <is>
          <t>2</t>
        </is>
      </c>
      <c r="I216" t="inlineStr">
        <is>
          <t>Phase I generated Rev.00 Word file — linked; signatures not completed</t>
        </is>
      </c>
      <c r="J216" t="inlineStr">
        <is>
          <t>2026-08-10T19:29:54Z</t>
        </is>
      </c>
      <c r="K216" t="inlineStr">
        <is>
          <t>2026-08-10T19:49:40Z</t>
        </is>
      </c>
    </row>
    <row r="217">
      <c r="A217" s="19" t="inlineStr">
        <is>
          <t>216</t>
        </is>
      </c>
      <c r="B217" s="19" t="inlineStr">
        <is>
          <t>IA-PPWR-STM-ST-042-EUR-04-R00</t>
        </is>
      </c>
      <c r="C217" t="inlineStr">
        <is>
          <t>IA-PPWR-STM-ST-042-EUR-04-R00</t>
        </is>
      </c>
      <c r="D217" s="19" t="inlineStr">
        <is>
          <t>12</t>
        </is>
      </c>
      <c r="E217" t="inlineStr">
        <is>
          <t>01_STARTER/ST-042-EUR-04/04_Shipment_Statement.docx</t>
        </is>
      </c>
      <c r="F217" t="inlineStr">
        <is>
          <t>278c3486b1c40b3f4032dfb9b201982d49ffb1071750149eaf8c268c8f8e8158</t>
        </is>
      </c>
      <c r="G217" t="inlineStr">
        <is>
          <t>2026-08-08</t>
        </is>
      </c>
      <c r="H217" s="19" t="inlineStr">
        <is>
          <t>2</t>
        </is>
      </c>
      <c r="I217" t="inlineStr">
        <is>
          <t>Phase I generated Rev.00 Word file — linked; signatures not completed</t>
        </is>
      </c>
      <c r="J217" t="inlineStr">
        <is>
          <t>2026-08-10T19:29:54Z</t>
        </is>
      </c>
      <c r="K217" t="inlineStr">
        <is>
          <t>2026-08-10T19:49:40Z</t>
        </is>
      </c>
    </row>
    <row r="218">
      <c r="A218" s="19" t="inlineStr">
        <is>
          <t>217</t>
        </is>
      </c>
      <c r="B218" s="19" t="inlineStr">
        <is>
          <t>IA-PPWR-TF-ST-042-STD-01-R00</t>
        </is>
      </c>
      <c r="C218" t="inlineStr">
        <is>
          <t>IA-PPWR-TF-ST-042-STD-01-R00</t>
        </is>
      </c>
      <c r="D218" s="19" t="inlineStr">
        <is>
          <t>1</t>
        </is>
      </c>
      <c r="E218" t="inlineStr">
        <is>
          <t>01_STARTER/ST-042-STD-01/01_Technical_File.docx</t>
        </is>
      </c>
      <c r="F218" t="inlineStr">
        <is>
          <t>bc09f1bed480d3747be5ea0f63fb9a5725168bc4ea3941af7d6d07535efc3d6b</t>
        </is>
      </c>
      <c r="G218" t="inlineStr">
        <is>
          <t>2026-08-08</t>
        </is>
      </c>
      <c r="H218" s="19" t="inlineStr">
        <is>
          <t>2</t>
        </is>
      </c>
      <c r="I218" t="inlineStr">
        <is>
          <t>Phase I generated Rev.00 Word file — linked; signatures not completed</t>
        </is>
      </c>
      <c r="J218" t="inlineStr">
        <is>
          <t>2026-08-10T19:29:54Z</t>
        </is>
      </c>
      <c r="K218" t="inlineStr">
        <is>
          <t>2026-08-10T19:49:40Z</t>
        </is>
      </c>
    </row>
    <row r="219">
      <c r="A219" s="19" t="inlineStr">
        <is>
          <t>218</t>
        </is>
      </c>
      <c r="B219" s="19" t="inlineStr">
        <is>
          <t>IA-PPWR-DOC-ST-042-STD-01-R00</t>
        </is>
      </c>
      <c r="C219" t="inlineStr">
        <is>
          <t>IA-PPWR-DOC-ST-042-STD-01-R00</t>
        </is>
      </c>
      <c r="D219" s="19" t="inlineStr">
        <is>
          <t>4</t>
        </is>
      </c>
      <c r="E219" t="inlineStr">
        <is>
          <t>01_STARTER/ST-042-STD-01/02_EU_DoC.docx</t>
        </is>
      </c>
      <c r="F219" t="inlineStr">
        <is>
          <t>70d78108968c3b16c3726d9706b0bb469d8b79b175ed663af228b531addeb9f1</t>
        </is>
      </c>
      <c r="G219" t="inlineStr">
        <is>
          <t>2026-08-08</t>
        </is>
      </c>
      <c r="H219" s="19" t="inlineStr">
        <is>
          <t>2</t>
        </is>
      </c>
      <c r="I219" t="inlineStr">
        <is>
          <t>Phase I generated Rev.00 Word file — linked; signatures not completed</t>
        </is>
      </c>
      <c r="J219" t="inlineStr">
        <is>
          <t>2026-08-10T19:29:54Z</t>
        </is>
      </c>
      <c r="K219" t="inlineStr">
        <is>
          <t>2026-08-10T19:49:40Z</t>
        </is>
      </c>
    </row>
    <row r="220">
      <c r="A220" s="19" t="inlineStr">
        <is>
          <t>219</t>
        </is>
      </c>
      <c r="B220" s="19" t="inlineStr">
        <is>
          <t>IA-PPWR-LBL-ST-042-STD-01-R00</t>
        </is>
      </c>
      <c r="C220" t="inlineStr">
        <is>
          <t>IA-PPWR-LBL-ST-042-STD-01-R00</t>
        </is>
      </c>
      <c r="D220" s="19" t="inlineStr">
        <is>
          <t>11</t>
        </is>
      </c>
      <c r="E220" t="inlineStr">
        <is>
          <t>01_STARTER/ST-042-STD-01/03_Label.docx</t>
        </is>
      </c>
      <c r="F220" t="inlineStr">
        <is>
          <t>b61becc1dbc0b8356510fd6290ecb554143a1f22f91c4e45474255299002dc4b</t>
        </is>
      </c>
      <c r="G220" t="inlineStr">
        <is>
          <t>2026-08-08</t>
        </is>
      </c>
      <c r="H220" s="19" t="inlineStr">
        <is>
          <t>2</t>
        </is>
      </c>
      <c r="I220" t="inlineStr">
        <is>
          <t>Phase I generated Rev.00 Word file — linked; signatures not completed</t>
        </is>
      </c>
      <c r="J220" t="inlineStr">
        <is>
          <t>2026-08-10T19:29:54Z</t>
        </is>
      </c>
      <c r="K220" t="inlineStr">
        <is>
          <t>2026-08-10T19:49:40Z</t>
        </is>
      </c>
    </row>
    <row r="221">
      <c r="A221" s="19" t="inlineStr">
        <is>
          <t>220</t>
        </is>
      </c>
      <c r="B221" s="19" t="inlineStr">
        <is>
          <t>IA-PPWR-STM-ST-042-STD-01-R00</t>
        </is>
      </c>
      <c r="C221" t="inlineStr">
        <is>
          <t>IA-PPWR-STM-ST-042-STD-01-R00</t>
        </is>
      </c>
      <c r="D221" s="19" t="inlineStr">
        <is>
          <t>12</t>
        </is>
      </c>
      <c r="E221" t="inlineStr">
        <is>
          <t>01_STARTER/ST-042-STD-01/04_Shipment_Statement.docx</t>
        </is>
      </c>
      <c r="F221" t="inlineStr">
        <is>
          <t>fe15a383832c89423b51c8025c8a779bcef40ce8fa95ec555853ed14d2b9351b</t>
        </is>
      </c>
      <c r="G221" t="inlineStr">
        <is>
          <t>2026-08-08</t>
        </is>
      </c>
      <c r="H221" s="19" t="inlineStr">
        <is>
          <t>2</t>
        </is>
      </c>
      <c r="I221" t="inlineStr">
        <is>
          <t>Phase I generated Rev.00 Word file — linked; signatures not completed</t>
        </is>
      </c>
      <c r="J221" t="inlineStr">
        <is>
          <t>2026-08-10T19:29:54Z</t>
        </is>
      </c>
      <c r="K221" t="inlineStr">
        <is>
          <t>2026-08-10T19:49:40Z</t>
        </is>
      </c>
    </row>
    <row r="222">
      <c r="A222" s="19" t="inlineStr">
        <is>
          <t>221</t>
        </is>
      </c>
      <c r="B222" s="19" t="inlineStr">
        <is>
          <t>IA-PPWR-TF-ST-042-STD-02-R00</t>
        </is>
      </c>
      <c r="C222" t="inlineStr">
        <is>
          <t>IA-PPWR-TF-ST-042-STD-02-R00</t>
        </is>
      </c>
      <c r="D222" s="19" t="inlineStr">
        <is>
          <t>1</t>
        </is>
      </c>
      <c r="E222" t="inlineStr">
        <is>
          <t>01_STARTER/ST-042-STD-02/01_Technical_File.docx</t>
        </is>
      </c>
      <c r="F222" t="inlineStr">
        <is>
          <t>779c9a395001fe27e449c79545da9767cbbcae475bef935192df55eccd629362</t>
        </is>
      </c>
      <c r="G222" t="inlineStr">
        <is>
          <t>2026-08-08</t>
        </is>
      </c>
      <c r="H222" s="19" t="inlineStr">
        <is>
          <t>2</t>
        </is>
      </c>
      <c r="I222" t="inlineStr">
        <is>
          <t>Phase I generated Rev.00 Word file — linked; signatures not completed</t>
        </is>
      </c>
      <c r="J222" t="inlineStr">
        <is>
          <t>2026-08-10T19:29:54Z</t>
        </is>
      </c>
      <c r="K222" t="inlineStr">
        <is>
          <t>2026-08-10T19:49:40Z</t>
        </is>
      </c>
    </row>
    <row r="223">
      <c r="A223" s="19" t="inlineStr">
        <is>
          <t>222</t>
        </is>
      </c>
      <c r="B223" s="19" t="inlineStr">
        <is>
          <t>IA-PPWR-DOC-ST-042-STD-02-R00</t>
        </is>
      </c>
      <c r="C223" t="inlineStr">
        <is>
          <t>IA-PPWR-DOC-ST-042-STD-02-R00</t>
        </is>
      </c>
      <c r="D223" s="19" t="inlineStr">
        <is>
          <t>4</t>
        </is>
      </c>
      <c r="E223" t="inlineStr">
        <is>
          <t>01_STARTER/ST-042-STD-02/02_EU_DoC.docx</t>
        </is>
      </c>
      <c r="F223" t="inlineStr">
        <is>
          <t>7f5eb99b44a0321fe1c7f08710351bd0f7cb5b01e4e1ec65abe4252ffd3409e3</t>
        </is>
      </c>
      <c r="G223" t="inlineStr">
        <is>
          <t>2026-08-08</t>
        </is>
      </c>
      <c r="H223" s="19" t="inlineStr">
        <is>
          <t>2</t>
        </is>
      </c>
      <c r="I223" t="inlineStr">
        <is>
          <t>Phase I generated Rev.00 Word file — linked; signatures not completed</t>
        </is>
      </c>
      <c r="J223" t="inlineStr">
        <is>
          <t>2026-08-10T19:29:54Z</t>
        </is>
      </c>
      <c r="K223" t="inlineStr">
        <is>
          <t>2026-08-10T19:49:40Z</t>
        </is>
      </c>
    </row>
    <row r="224">
      <c r="A224" s="19" t="inlineStr">
        <is>
          <t>223</t>
        </is>
      </c>
      <c r="B224" s="19" t="inlineStr">
        <is>
          <t>IA-PPWR-LBL-ST-042-STD-02-R00</t>
        </is>
      </c>
      <c r="C224" t="inlineStr">
        <is>
          <t>IA-PPWR-LBL-ST-042-STD-02-R00</t>
        </is>
      </c>
      <c r="D224" s="19" t="inlineStr">
        <is>
          <t>11</t>
        </is>
      </c>
      <c r="E224" t="inlineStr">
        <is>
          <t>01_STARTER/ST-042-STD-02/03_Label.docx</t>
        </is>
      </c>
      <c r="F224" t="inlineStr">
        <is>
          <t>61a31db0eddf781ceb9bf1f4341bca04514c5f39bad872823b2a12e45d91219c</t>
        </is>
      </c>
      <c r="G224" t="inlineStr">
        <is>
          <t>2026-08-08</t>
        </is>
      </c>
      <c r="H224" s="19" t="inlineStr">
        <is>
          <t>2</t>
        </is>
      </c>
      <c r="I224" t="inlineStr">
        <is>
          <t>Phase I generated Rev.00 Word file — linked; signatures not completed</t>
        </is>
      </c>
      <c r="J224" t="inlineStr">
        <is>
          <t>2026-08-10T19:29:54Z</t>
        </is>
      </c>
      <c r="K224" t="inlineStr">
        <is>
          <t>2026-08-10T19:49:40Z</t>
        </is>
      </c>
    </row>
    <row r="225">
      <c r="A225" s="19" t="inlineStr">
        <is>
          <t>224</t>
        </is>
      </c>
      <c r="B225" s="19" t="inlineStr">
        <is>
          <t>IA-PPWR-STM-ST-042-STD-02-R00</t>
        </is>
      </c>
      <c r="C225" t="inlineStr">
        <is>
          <t>IA-PPWR-STM-ST-042-STD-02-R00</t>
        </is>
      </c>
      <c r="D225" s="19" t="inlineStr">
        <is>
          <t>12</t>
        </is>
      </c>
      <c r="E225" t="inlineStr">
        <is>
          <t>01_STARTER/ST-042-STD-02/04_Shipment_Statement.docx</t>
        </is>
      </c>
      <c r="F225" t="inlineStr">
        <is>
          <t>d86b036c13894ac3e1db980d0519c19e89ab7f7520844b39b3434b2502104b5d</t>
        </is>
      </c>
      <c r="G225" t="inlineStr">
        <is>
          <t>2026-08-08</t>
        </is>
      </c>
      <c r="H225" s="19" t="inlineStr">
        <is>
          <t>2</t>
        </is>
      </c>
      <c r="I225" t="inlineStr">
        <is>
          <t>Phase I generated Rev.00 Word file — linked; signatures not completed</t>
        </is>
      </c>
      <c r="J225" t="inlineStr">
        <is>
          <t>2026-08-10T19:29:54Z</t>
        </is>
      </c>
      <c r="K225" t="inlineStr">
        <is>
          <t>2026-08-10T19:49:40Z</t>
        </is>
      </c>
    </row>
    <row r="226">
      <c r="A226" s="19" t="inlineStr">
        <is>
          <t>225</t>
        </is>
      </c>
      <c r="B226" s="19" t="inlineStr">
        <is>
          <t>IA-PPWR-TF-ST-042-STD-03-R00</t>
        </is>
      </c>
      <c r="C226" t="inlineStr">
        <is>
          <t>IA-PPWR-TF-ST-042-STD-03-R00</t>
        </is>
      </c>
      <c r="D226" s="19" t="inlineStr">
        <is>
          <t>1</t>
        </is>
      </c>
      <c r="E226" t="inlineStr">
        <is>
          <t>01_STARTER/ST-042-STD-03/01_Technical_File.docx</t>
        </is>
      </c>
      <c r="F226" t="inlineStr">
        <is>
          <t>4eb4e5eb5146808318fb8f2bf18ec58197577626de19525d67984519c952fb0d</t>
        </is>
      </c>
      <c r="G226" t="inlineStr">
        <is>
          <t>2026-08-08</t>
        </is>
      </c>
      <c r="H226" s="19" t="inlineStr">
        <is>
          <t>2</t>
        </is>
      </c>
      <c r="I226" t="inlineStr">
        <is>
          <t>Phase I generated Rev.00 Word file — linked; signatures not completed</t>
        </is>
      </c>
      <c r="J226" t="inlineStr">
        <is>
          <t>2026-08-10T19:29:54Z</t>
        </is>
      </c>
      <c r="K226" t="inlineStr">
        <is>
          <t>2026-08-10T19:49:40Z</t>
        </is>
      </c>
    </row>
    <row r="227">
      <c r="A227" s="19" t="inlineStr">
        <is>
          <t>226</t>
        </is>
      </c>
      <c r="B227" s="19" t="inlineStr">
        <is>
          <t>IA-PPWR-DOC-ST-042-STD-03-R00</t>
        </is>
      </c>
      <c r="C227" t="inlineStr">
        <is>
          <t>IA-PPWR-DOC-ST-042-STD-03-R00</t>
        </is>
      </c>
      <c r="D227" s="19" t="inlineStr">
        <is>
          <t>4</t>
        </is>
      </c>
      <c r="E227" t="inlineStr">
        <is>
          <t>01_STARTER/ST-042-STD-03/02_EU_DoC.docx</t>
        </is>
      </c>
      <c r="F227" t="inlineStr">
        <is>
          <t>a825c9ac9f564730edf395b7be4a52c15639166677132d087fc3323ee464c4d4</t>
        </is>
      </c>
      <c r="G227" t="inlineStr">
        <is>
          <t>2026-08-08</t>
        </is>
      </c>
      <c r="H227" s="19" t="inlineStr">
        <is>
          <t>2</t>
        </is>
      </c>
      <c r="I227" t="inlineStr">
        <is>
          <t>Phase I generated Rev.00 Word file — linked; signatures not completed</t>
        </is>
      </c>
      <c r="J227" t="inlineStr">
        <is>
          <t>2026-08-10T19:29:54Z</t>
        </is>
      </c>
      <c r="K227" t="inlineStr">
        <is>
          <t>2026-08-10T19:49:40Z</t>
        </is>
      </c>
    </row>
    <row r="228">
      <c r="A228" s="19" t="inlineStr">
        <is>
          <t>227</t>
        </is>
      </c>
      <c r="B228" s="19" t="inlineStr">
        <is>
          <t>IA-PPWR-LBL-ST-042-STD-03-R00</t>
        </is>
      </c>
      <c r="C228" t="inlineStr">
        <is>
          <t>IA-PPWR-LBL-ST-042-STD-03-R00</t>
        </is>
      </c>
      <c r="D228" s="19" t="inlineStr">
        <is>
          <t>11</t>
        </is>
      </c>
      <c r="E228" t="inlineStr">
        <is>
          <t>01_STARTER/ST-042-STD-03/03_Label.docx</t>
        </is>
      </c>
      <c r="F228" t="inlineStr">
        <is>
          <t>6d9413066865d8114152755df3ac931726cb1ee83797c6cb2c065a6b239478be</t>
        </is>
      </c>
      <c r="G228" t="inlineStr">
        <is>
          <t>2026-08-08</t>
        </is>
      </c>
      <c r="H228" s="19" t="inlineStr">
        <is>
          <t>2</t>
        </is>
      </c>
      <c r="I228" t="inlineStr">
        <is>
          <t>Phase I generated Rev.00 Word file — linked; signatures not completed</t>
        </is>
      </c>
      <c r="J228" t="inlineStr">
        <is>
          <t>2026-08-10T19:29:54Z</t>
        </is>
      </c>
      <c r="K228" t="inlineStr">
        <is>
          <t>2026-08-10T19:49:40Z</t>
        </is>
      </c>
    </row>
    <row r="229">
      <c r="A229" s="19" t="inlineStr">
        <is>
          <t>228</t>
        </is>
      </c>
      <c r="B229" s="19" t="inlineStr">
        <is>
          <t>IA-PPWR-STM-ST-042-STD-03-R00</t>
        </is>
      </c>
      <c r="C229" t="inlineStr">
        <is>
          <t>IA-PPWR-STM-ST-042-STD-03-R00</t>
        </is>
      </c>
      <c r="D229" s="19" t="inlineStr">
        <is>
          <t>12</t>
        </is>
      </c>
      <c r="E229" t="inlineStr">
        <is>
          <t>01_STARTER/ST-042-STD-03/04_Shipment_Statement.docx</t>
        </is>
      </c>
      <c r="F229" t="inlineStr">
        <is>
          <t>4a17a3b956f64439f9d9e5262e1b1be78bcb4e9ab40f4a667b283f42bd404f49</t>
        </is>
      </c>
      <c r="G229" t="inlineStr">
        <is>
          <t>2026-08-08</t>
        </is>
      </c>
      <c r="H229" s="19" t="inlineStr">
        <is>
          <t>2</t>
        </is>
      </c>
      <c r="I229" t="inlineStr">
        <is>
          <t>Phase I generated Rev.00 Word file — linked; signatures not completed</t>
        </is>
      </c>
      <c r="J229" t="inlineStr">
        <is>
          <t>2026-08-10T19:29:54Z</t>
        </is>
      </c>
      <c r="K229" t="inlineStr">
        <is>
          <t>2026-08-10T19:49:40Z</t>
        </is>
      </c>
    </row>
    <row r="230">
      <c r="A230" s="19" t="inlineStr">
        <is>
          <t>229</t>
        </is>
      </c>
      <c r="B230" s="19" t="inlineStr">
        <is>
          <t>IA-PPWR-TF-ST-042-STD-04-R00</t>
        </is>
      </c>
      <c r="C230" t="inlineStr">
        <is>
          <t>IA-PPWR-TF-ST-042-STD-04-R00</t>
        </is>
      </c>
      <c r="D230" s="19" t="inlineStr">
        <is>
          <t>1</t>
        </is>
      </c>
      <c r="E230" t="inlineStr">
        <is>
          <t>01_STARTER/ST-042-STD-04/01_Technical_File.docx</t>
        </is>
      </c>
      <c r="F230" t="inlineStr">
        <is>
          <t>c08db2c11a47d4fc7e7042db71df2f7f4b67d41d7091836b685357d09e47a012</t>
        </is>
      </c>
      <c r="G230" t="inlineStr">
        <is>
          <t>2026-08-08</t>
        </is>
      </c>
      <c r="H230" s="19" t="inlineStr">
        <is>
          <t>2</t>
        </is>
      </c>
      <c r="I230" t="inlineStr">
        <is>
          <t>Phase I generated Rev.00 Word file — linked; signatures not completed</t>
        </is>
      </c>
      <c r="J230" t="inlineStr">
        <is>
          <t>2026-08-10T19:29:54Z</t>
        </is>
      </c>
      <c r="K230" t="inlineStr">
        <is>
          <t>2026-08-10T19:49:40Z</t>
        </is>
      </c>
    </row>
    <row r="231">
      <c r="A231" s="19" t="inlineStr">
        <is>
          <t>230</t>
        </is>
      </c>
      <c r="B231" s="19" t="inlineStr">
        <is>
          <t>IA-PPWR-DOC-ST-042-STD-04-R00</t>
        </is>
      </c>
      <c r="C231" t="inlineStr">
        <is>
          <t>IA-PPWR-DOC-ST-042-STD-04-R00</t>
        </is>
      </c>
      <c r="D231" s="19" t="inlineStr">
        <is>
          <t>4</t>
        </is>
      </c>
      <c r="E231" t="inlineStr">
        <is>
          <t>01_STARTER/ST-042-STD-04/02_EU_DoC.docx</t>
        </is>
      </c>
      <c r="F231" t="inlineStr">
        <is>
          <t>ab97ca754a581510a478bc07032a5092e2ee15fcfc3c277e83daefeb41292705</t>
        </is>
      </c>
      <c r="G231" t="inlineStr">
        <is>
          <t>2026-08-08</t>
        </is>
      </c>
      <c r="H231" s="19" t="inlineStr">
        <is>
          <t>2</t>
        </is>
      </c>
      <c r="I231" t="inlineStr">
        <is>
          <t>Phase I generated Rev.00 Word file — linked; signatures not completed</t>
        </is>
      </c>
      <c r="J231" t="inlineStr">
        <is>
          <t>2026-08-10T19:29:54Z</t>
        </is>
      </c>
      <c r="K231" t="inlineStr">
        <is>
          <t>2026-08-10T19:49:40Z</t>
        </is>
      </c>
    </row>
    <row r="232">
      <c r="A232" s="19" t="inlineStr">
        <is>
          <t>231</t>
        </is>
      </c>
      <c r="B232" s="19" t="inlineStr">
        <is>
          <t>IA-PPWR-LBL-ST-042-STD-04-R00</t>
        </is>
      </c>
      <c r="C232" t="inlineStr">
        <is>
          <t>IA-PPWR-LBL-ST-042-STD-04-R00</t>
        </is>
      </c>
      <c r="D232" s="19" t="inlineStr">
        <is>
          <t>11</t>
        </is>
      </c>
      <c r="E232" t="inlineStr">
        <is>
          <t>01_STARTER/ST-042-STD-04/03_Label.docx</t>
        </is>
      </c>
      <c r="F232" t="inlineStr">
        <is>
          <t>1cad6c1cd8b0af9f7119c97e24e8cf8bc0508f994b94cf07ac2e800817dc5efd</t>
        </is>
      </c>
      <c r="G232" t="inlineStr">
        <is>
          <t>2026-08-08</t>
        </is>
      </c>
      <c r="H232" s="19" t="inlineStr">
        <is>
          <t>2</t>
        </is>
      </c>
      <c r="I232" t="inlineStr">
        <is>
          <t>Phase I generated Rev.00 Word file — linked; signatures not completed</t>
        </is>
      </c>
      <c r="J232" t="inlineStr">
        <is>
          <t>2026-08-10T19:29:54Z</t>
        </is>
      </c>
      <c r="K232" t="inlineStr">
        <is>
          <t>2026-08-10T19:49:40Z</t>
        </is>
      </c>
    </row>
    <row r="233">
      <c r="A233" s="19" t="inlineStr">
        <is>
          <t>232</t>
        </is>
      </c>
      <c r="B233" s="19" t="inlineStr">
        <is>
          <t>IA-PPWR-STM-ST-042-STD-04-R00</t>
        </is>
      </c>
      <c r="C233" t="inlineStr">
        <is>
          <t>IA-PPWR-STM-ST-042-STD-04-R00</t>
        </is>
      </c>
      <c r="D233" s="19" t="inlineStr">
        <is>
          <t>12</t>
        </is>
      </c>
      <c r="E233" t="inlineStr">
        <is>
          <t>01_STARTER/ST-042-STD-04/04_Shipment_Statement.docx</t>
        </is>
      </c>
      <c r="F233" t="inlineStr">
        <is>
          <t>4bd8820458c522a09751bb3f40aec7341627b719988f34c7af68f7ef8c24e589</t>
        </is>
      </c>
      <c r="G233" t="inlineStr">
        <is>
          <t>2026-08-08</t>
        </is>
      </c>
      <c r="H233" s="19" t="inlineStr">
        <is>
          <t>2</t>
        </is>
      </c>
      <c r="I233" t="inlineStr">
        <is>
          <t>Phase I generated Rev.00 Word file — linked; signatures not completed</t>
        </is>
      </c>
      <c r="J233" t="inlineStr">
        <is>
          <t>2026-08-10T19:29:54Z</t>
        </is>
      </c>
      <c r="K233" t="inlineStr">
        <is>
          <t>2026-08-10T19:49:40Z</t>
        </is>
      </c>
    </row>
    <row r="234">
      <c r="A234" s="19" t="inlineStr">
        <is>
          <t>233</t>
        </is>
      </c>
      <c r="B234" s="19" t="inlineStr">
        <is>
          <t>IA-PPWR-TF-ST-042-STD-05-R00</t>
        </is>
      </c>
      <c r="C234" t="inlineStr">
        <is>
          <t>IA-PPWR-TF-ST-042-STD-05-R00</t>
        </is>
      </c>
      <c r="D234" s="19" t="inlineStr">
        <is>
          <t>1</t>
        </is>
      </c>
      <c r="E234" t="inlineStr">
        <is>
          <t>01_STARTER/ST-042-STD-05/01_Technical_File.docx</t>
        </is>
      </c>
      <c r="F234" t="inlineStr">
        <is>
          <t>1e3cfc83a112aac9ccb295a85b19cf589801d41d0388acbd3845ddd92ca047da</t>
        </is>
      </c>
      <c r="G234" t="inlineStr">
        <is>
          <t>2026-08-08</t>
        </is>
      </c>
      <c r="H234" s="19" t="inlineStr">
        <is>
          <t>2</t>
        </is>
      </c>
      <c r="I234" t="inlineStr">
        <is>
          <t>Phase I generated Rev.00 Word file — linked; signatures not completed</t>
        </is>
      </c>
      <c r="J234" t="inlineStr">
        <is>
          <t>2026-08-10T19:29:54Z</t>
        </is>
      </c>
      <c r="K234" t="inlineStr">
        <is>
          <t>2026-08-10T19:49:40Z</t>
        </is>
      </c>
    </row>
    <row r="235">
      <c r="A235" s="19" t="inlineStr">
        <is>
          <t>234</t>
        </is>
      </c>
      <c r="B235" s="19" t="inlineStr">
        <is>
          <t>IA-PPWR-DOC-ST-042-STD-05-R00</t>
        </is>
      </c>
      <c r="C235" t="inlineStr">
        <is>
          <t>IA-PPWR-DOC-ST-042-STD-05-R00</t>
        </is>
      </c>
      <c r="D235" s="19" t="inlineStr">
        <is>
          <t>4</t>
        </is>
      </c>
      <c r="E235" t="inlineStr">
        <is>
          <t>01_STARTER/ST-042-STD-05/02_EU_DoC.docx</t>
        </is>
      </c>
      <c r="F235" t="inlineStr">
        <is>
          <t>24c260393d55a5e2364afa043f1b4fe87175c1caa4f757e14c192b2d253969e7</t>
        </is>
      </c>
      <c r="G235" t="inlineStr">
        <is>
          <t>2026-08-08</t>
        </is>
      </c>
      <c r="H235" s="19" t="inlineStr">
        <is>
          <t>2</t>
        </is>
      </c>
      <c r="I235" t="inlineStr">
        <is>
          <t>Phase I generated Rev.00 Word file — linked; signatures not completed</t>
        </is>
      </c>
      <c r="J235" t="inlineStr">
        <is>
          <t>2026-08-10T19:29:54Z</t>
        </is>
      </c>
      <c r="K235" t="inlineStr">
        <is>
          <t>2026-08-10T19:49:40Z</t>
        </is>
      </c>
    </row>
    <row r="236">
      <c r="A236" s="19" t="inlineStr">
        <is>
          <t>235</t>
        </is>
      </c>
      <c r="B236" s="19" t="inlineStr">
        <is>
          <t>IA-PPWR-LBL-ST-042-STD-05-R00</t>
        </is>
      </c>
      <c r="C236" t="inlineStr">
        <is>
          <t>IA-PPWR-LBL-ST-042-STD-05-R00</t>
        </is>
      </c>
      <c r="D236" s="19" t="inlineStr">
        <is>
          <t>11</t>
        </is>
      </c>
      <c r="E236" t="inlineStr">
        <is>
          <t>01_STARTER/ST-042-STD-05/03_Label.docx</t>
        </is>
      </c>
      <c r="F236" t="inlineStr">
        <is>
          <t>b3ab62ac3f02464277239c7fa46c80e8037a1b173450f6a23a12f498c9ef9c46</t>
        </is>
      </c>
      <c r="G236" t="inlineStr">
        <is>
          <t>2026-08-08</t>
        </is>
      </c>
      <c r="H236" s="19" t="inlineStr">
        <is>
          <t>2</t>
        </is>
      </c>
      <c r="I236" t="inlineStr">
        <is>
          <t>Phase I generated Rev.00 Word file — linked; signatures not completed</t>
        </is>
      </c>
      <c r="J236" t="inlineStr">
        <is>
          <t>2026-08-10T19:29:54Z</t>
        </is>
      </c>
      <c r="K236" t="inlineStr">
        <is>
          <t>2026-08-10T19:49:40Z</t>
        </is>
      </c>
    </row>
    <row r="237">
      <c r="A237" s="19" t="inlineStr">
        <is>
          <t>236</t>
        </is>
      </c>
      <c r="B237" s="19" t="inlineStr">
        <is>
          <t>IA-PPWR-STM-ST-042-STD-05-R00</t>
        </is>
      </c>
      <c r="C237" t="inlineStr">
        <is>
          <t>IA-PPWR-STM-ST-042-STD-05-R00</t>
        </is>
      </c>
      <c r="D237" s="19" t="inlineStr">
        <is>
          <t>12</t>
        </is>
      </c>
      <c r="E237" t="inlineStr">
        <is>
          <t>01_STARTER/ST-042-STD-05/04_Shipment_Statement.docx</t>
        </is>
      </c>
      <c r="F237" t="inlineStr">
        <is>
          <t>6a099679a299000dbfb2a2eae591a936410a19049c412aebf6d11636ceba45a9</t>
        </is>
      </c>
      <c r="G237" t="inlineStr">
        <is>
          <t>2026-08-08</t>
        </is>
      </c>
      <c r="H237" s="19" t="inlineStr">
        <is>
          <t>2</t>
        </is>
      </c>
      <c r="I237" t="inlineStr">
        <is>
          <t>Phase I generated Rev.00 Word file — linked; signatures not completed</t>
        </is>
      </c>
      <c r="J237" t="inlineStr">
        <is>
          <t>2026-08-10T19:29:54Z</t>
        </is>
      </c>
      <c r="K237" t="inlineStr">
        <is>
          <t>2026-08-10T19:49:40Z</t>
        </is>
      </c>
    </row>
    <row r="238">
      <c r="A238" s="19" t="inlineStr">
        <is>
          <t>237</t>
        </is>
      </c>
      <c r="B238" s="19" t="inlineStr">
        <is>
          <t>IA-PPWR-TF-ST-042-STD-06-R00</t>
        </is>
      </c>
      <c r="C238" t="inlineStr">
        <is>
          <t>IA-PPWR-TF-ST-042-STD-06-R00</t>
        </is>
      </c>
      <c r="D238" s="19" t="inlineStr">
        <is>
          <t>1</t>
        </is>
      </c>
      <c r="E238" t="inlineStr">
        <is>
          <t>01_STARTER/ST-042-STD-06/01_Technical_File.docx</t>
        </is>
      </c>
      <c r="F238" t="inlineStr">
        <is>
          <t>b54033a396df5ae5278f8e433c7503d4ed41f6cc6df0dc0388cfb04aaf782278</t>
        </is>
      </c>
      <c r="G238" t="inlineStr">
        <is>
          <t>2026-08-08</t>
        </is>
      </c>
      <c r="H238" s="19" t="inlineStr">
        <is>
          <t>2</t>
        </is>
      </c>
      <c r="I238" t="inlineStr">
        <is>
          <t>Phase I generated Rev.00 Word file — linked; signatures not completed</t>
        </is>
      </c>
      <c r="J238" t="inlineStr">
        <is>
          <t>2026-08-10T19:29:54Z</t>
        </is>
      </c>
      <c r="K238" t="inlineStr">
        <is>
          <t>2026-08-10T19:49:40Z</t>
        </is>
      </c>
    </row>
    <row r="239">
      <c r="A239" s="19" t="inlineStr">
        <is>
          <t>238</t>
        </is>
      </c>
      <c r="B239" s="19" t="inlineStr">
        <is>
          <t>IA-PPWR-DOC-ST-042-STD-06-R00</t>
        </is>
      </c>
      <c r="C239" t="inlineStr">
        <is>
          <t>IA-PPWR-DOC-ST-042-STD-06-R00</t>
        </is>
      </c>
      <c r="D239" s="19" t="inlineStr">
        <is>
          <t>4</t>
        </is>
      </c>
      <c r="E239" t="inlineStr">
        <is>
          <t>01_STARTER/ST-042-STD-06/02_EU_DoC.docx</t>
        </is>
      </c>
      <c r="F239" t="inlineStr">
        <is>
          <t>48968a79fd7d8fa993e4c879c1a277f4696cf4904c8e1e8950f2baf90d02ffd0</t>
        </is>
      </c>
      <c r="G239" t="inlineStr">
        <is>
          <t>2026-08-08</t>
        </is>
      </c>
      <c r="H239" s="19" t="inlineStr">
        <is>
          <t>2</t>
        </is>
      </c>
      <c r="I239" t="inlineStr">
        <is>
          <t>Phase I generated Rev.00 Word file — linked; signatures not completed</t>
        </is>
      </c>
      <c r="J239" t="inlineStr">
        <is>
          <t>2026-08-10T19:29:54Z</t>
        </is>
      </c>
      <c r="K239" t="inlineStr">
        <is>
          <t>2026-08-10T19:49:40Z</t>
        </is>
      </c>
    </row>
    <row r="240">
      <c r="A240" s="19" t="inlineStr">
        <is>
          <t>239</t>
        </is>
      </c>
      <c r="B240" s="19" t="inlineStr">
        <is>
          <t>IA-PPWR-LBL-ST-042-STD-06-R00</t>
        </is>
      </c>
      <c r="C240" t="inlineStr">
        <is>
          <t>IA-PPWR-LBL-ST-042-STD-06-R00</t>
        </is>
      </c>
      <c r="D240" s="19" t="inlineStr">
        <is>
          <t>11</t>
        </is>
      </c>
      <c r="E240" t="inlineStr">
        <is>
          <t>01_STARTER/ST-042-STD-06/03_Label.docx</t>
        </is>
      </c>
      <c r="F240" t="inlineStr">
        <is>
          <t>a03d6b91c722a00b3b916a8ef35ae38893504332724fdb8f50376705cf6a3c67</t>
        </is>
      </c>
      <c r="G240" t="inlineStr">
        <is>
          <t>2026-08-08</t>
        </is>
      </c>
      <c r="H240" s="19" t="inlineStr">
        <is>
          <t>2</t>
        </is>
      </c>
      <c r="I240" t="inlineStr">
        <is>
          <t>Phase I generated Rev.00 Word file — linked; signatures not completed</t>
        </is>
      </c>
      <c r="J240" t="inlineStr">
        <is>
          <t>2026-08-10T19:29:54Z</t>
        </is>
      </c>
      <c r="K240" t="inlineStr">
        <is>
          <t>2026-08-10T19:49:40Z</t>
        </is>
      </c>
    </row>
    <row r="241">
      <c r="A241" s="19" t="inlineStr">
        <is>
          <t>240</t>
        </is>
      </c>
      <c r="B241" s="19" t="inlineStr">
        <is>
          <t>IA-PPWR-STM-ST-042-STD-06-R00</t>
        </is>
      </c>
      <c r="C241" t="inlineStr">
        <is>
          <t>IA-PPWR-STM-ST-042-STD-06-R00</t>
        </is>
      </c>
      <c r="D241" s="19" t="inlineStr">
        <is>
          <t>12</t>
        </is>
      </c>
      <c r="E241" t="inlineStr">
        <is>
          <t>01_STARTER/ST-042-STD-06/04_Shipment_Statement.docx</t>
        </is>
      </c>
      <c r="F241" t="inlineStr">
        <is>
          <t>eded0d039b3ebc7ef7082b620824261a807886e7e0055821673206075b6a7163</t>
        </is>
      </c>
      <c r="G241" t="inlineStr">
        <is>
          <t>2026-08-08</t>
        </is>
      </c>
      <c r="H241" s="19" t="inlineStr">
        <is>
          <t>2</t>
        </is>
      </c>
      <c r="I241" t="inlineStr">
        <is>
          <t>Phase I generated Rev.00 Word file — linked; signatures not completed</t>
        </is>
      </c>
      <c r="J241" t="inlineStr">
        <is>
          <t>2026-08-10T19:29:54Z</t>
        </is>
      </c>
      <c r="K241" t="inlineStr">
        <is>
          <t>2026-08-10T19:49:40Z</t>
        </is>
      </c>
    </row>
    <row r="242">
      <c r="A242" s="19" t="inlineStr">
        <is>
          <t>241</t>
        </is>
      </c>
      <c r="B242" s="19" t="inlineStr">
        <is>
          <t>IA-PPWR-TF-ST-042-STD-07-R00</t>
        </is>
      </c>
      <c r="C242" t="inlineStr">
        <is>
          <t>IA-PPWR-TF-ST-042-STD-07-R00</t>
        </is>
      </c>
      <c r="D242" s="19" t="inlineStr">
        <is>
          <t>1</t>
        </is>
      </c>
      <c r="E242" t="inlineStr">
        <is>
          <t>01_STARTER/ST-042-STD-07/01_Technical_File.docx</t>
        </is>
      </c>
      <c r="F242" t="inlineStr">
        <is>
          <t>cd87c26c9f65770ecb6fb751f833a3d04f9cce9f0fdf682726e7dd362699233e</t>
        </is>
      </c>
      <c r="G242" t="inlineStr">
        <is>
          <t>2026-08-08</t>
        </is>
      </c>
      <c r="H242" s="19" t="inlineStr">
        <is>
          <t>2</t>
        </is>
      </c>
      <c r="I242" t="inlineStr">
        <is>
          <t>Phase I generated Rev.00 Word file — linked; signatures not completed</t>
        </is>
      </c>
      <c r="J242" t="inlineStr">
        <is>
          <t>2026-08-10T19:29:54Z</t>
        </is>
      </c>
      <c r="K242" t="inlineStr">
        <is>
          <t>2026-08-10T19:49:40Z</t>
        </is>
      </c>
    </row>
    <row r="243">
      <c r="A243" s="19" t="inlineStr">
        <is>
          <t>242</t>
        </is>
      </c>
      <c r="B243" s="19" t="inlineStr">
        <is>
          <t>IA-PPWR-DOC-ST-042-STD-07-R00</t>
        </is>
      </c>
      <c r="C243" t="inlineStr">
        <is>
          <t>IA-PPWR-DOC-ST-042-STD-07-R00</t>
        </is>
      </c>
      <c r="D243" s="19" t="inlineStr">
        <is>
          <t>4</t>
        </is>
      </c>
      <c r="E243" t="inlineStr">
        <is>
          <t>01_STARTER/ST-042-STD-07/02_EU_DoC.docx</t>
        </is>
      </c>
      <c r="F243" t="inlineStr">
        <is>
          <t>c5386861241fcb83ccaaf8ea6b1dfdb477e3b1cacea6c97941edfba30795f8a8</t>
        </is>
      </c>
      <c r="G243" t="inlineStr">
        <is>
          <t>2026-08-08</t>
        </is>
      </c>
      <c r="H243" s="19" t="inlineStr">
        <is>
          <t>2</t>
        </is>
      </c>
      <c r="I243" t="inlineStr">
        <is>
          <t>Phase I generated Rev.00 Word file — linked; signatures not completed</t>
        </is>
      </c>
      <c r="J243" t="inlineStr">
        <is>
          <t>2026-08-10T19:29:54Z</t>
        </is>
      </c>
      <c r="K243" t="inlineStr">
        <is>
          <t>2026-08-10T19:49:40Z</t>
        </is>
      </c>
    </row>
    <row r="244">
      <c r="A244" s="19" t="inlineStr">
        <is>
          <t>243</t>
        </is>
      </c>
      <c r="B244" s="19" t="inlineStr">
        <is>
          <t>IA-PPWR-LBL-ST-042-STD-07-R00</t>
        </is>
      </c>
      <c r="C244" t="inlineStr">
        <is>
          <t>IA-PPWR-LBL-ST-042-STD-07-R00</t>
        </is>
      </c>
      <c r="D244" s="19" t="inlineStr">
        <is>
          <t>11</t>
        </is>
      </c>
      <c r="E244" t="inlineStr">
        <is>
          <t>01_STARTER/ST-042-STD-07/03_Label.docx</t>
        </is>
      </c>
      <c r="F244" t="inlineStr">
        <is>
          <t>85706c59b4385488b95729fc3dd1f5c5116c1a367dde51555aee6ff272a9cc08</t>
        </is>
      </c>
      <c r="G244" t="inlineStr">
        <is>
          <t>2026-08-08</t>
        </is>
      </c>
      <c r="H244" s="19" t="inlineStr">
        <is>
          <t>2</t>
        </is>
      </c>
      <c r="I244" t="inlineStr">
        <is>
          <t>Phase I generated Rev.00 Word file — linked; signatures not completed</t>
        </is>
      </c>
      <c r="J244" t="inlineStr">
        <is>
          <t>2026-08-10T19:29:54Z</t>
        </is>
      </c>
      <c r="K244" t="inlineStr">
        <is>
          <t>2026-08-10T19:49:40Z</t>
        </is>
      </c>
    </row>
    <row r="245">
      <c r="A245" s="19" t="inlineStr">
        <is>
          <t>244</t>
        </is>
      </c>
      <c r="B245" s="19" t="inlineStr">
        <is>
          <t>IA-PPWR-STM-ST-042-STD-07-R00</t>
        </is>
      </c>
      <c r="C245" t="inlineStr">
        <is>
          <t>IA-PPWR-STM-ST-042-STD-07-R00</t>
        </is>
      </c>
      <c r="D245" s="19" t="inlineStr">
        <is>
          <t>12</t>
        </is>
      </c>
      <c r="E245" t="inlineStr">
        <is>
          <t>01_STARTER/ST-042-STD-07/04_Shipment_Statement.docx</t>
        </is>
      </c>
      <c r="F245" t="inlineStr">
        <is>
          <t>a98df521b96818d2f3d52ffa87ca0facc49fbcf16fb4ed45921baadb0b530451</t>
        </is>
      </c>
      <c r="G245" t="inlineStr">
        <is>
          <t>2026-08-08</t>
        </is>
      </c>
      <c r="H245" s="19" t="inlineStr">
        <is>
          <t>2</t>
        </is>
      </c>
      <c r="I245" t="inlineStr">
        <is>
          <t>Phase I generated Rev.00 Word file — linked; signatures not completed</t>
        </is>
      </c>
      <c r="J245" t="inlineStr">
        <is>
          <t>2026-08-10T19:29:54Z</t>
        </is>
      </c>
      <c r="K245" t="inlineStr">
        <is>
          <t>2026-08-10T19:49:40Z</t>
        </is>
      </c>
    </row>
    <row r="246">
      <c r="A246" s="19" t="inlineStr">
        <is>
          <t>245</t>
        </is>
      </c>
      <c r="B246" s="19" t="inlineStr">
        <is>
          <t>IA-PPWR-TF-ST-042-STD-08-R00</t>
        </is>
      </c>
      <c r="C246" t="inlineStr">
        <is>
          <t>IA-PPWR-TF-ST-042-STD-08-R00</t>
        </is>
      </c>
      <c r="D246" s="19" t="inlineStr">
        <is>
          <t>1</t>
        </is>
      </c>
      <c r="E246" t="inlineStr">
        <is>
          <t>01_STARTER/ST-042-STD-08/01_Technical_File.docx</t>
        </is>
      </c>
      <c r="F246" t="inlineStr">
        <is>
          <t>035da6cd66bcebf54bab06d7e6084e70170ebe5937dba36f85b2ba2401991561</t>
        </is>
      </c>
      <c r="G246" t="inlineStr">
        <is>
          <t>2026-08-08</t>
        </is>
      </c>
      <c r="H246" s="19" t="inlineStr">
        <is>
          <t>2</t>
        </is>
      </c>
      <c r="I246" t="inlineStr">
        <is>
          <t>Phase I generated Rev.00 Word file — linked; signatures not completed</t>
        </is>
      </c>
      <c r="J246" t="inlineStr">
        <is>
          <t>2026-08-10T19:29:54Z</t>
        </is>
      </c>
      <c r="K246" t="inlineStr">
        <is>
          <t>2026-08-10T19:49:40Z</t>
        </is>
      </c>
    </row>
    <row r="247">
      <c r="A247" s="19" t="inlineStr">
        <is>
          <t>246</t>
        </is>
      </c>
      <c r="B247" s="19" t="inlineStr">
        <is>
          <t>IA-PPWR-DOC-ST-042-STD-08-R00</t>
        </is>
      </c>
      <c r="C247" t="inlineStr">
        <is>
          <t>IA-PPWR-DOC-ST-042-STD-08-R00</t>
        </is>
      </c>
      <c r="D247" s="19" t="inlineStr">
        <is>
          <t>4</t>
        </is>
      </c>
      <c r="E247" t="inlineStr">
        <is>
          <t>01_STARTER/ST-042-STD-08/02_EU_DoC.docx</t>
        </is>
      </c>
      <c r="F247" t="inlineStr">
        <is>
          <t>3c5ef4ba9be972dd752e824885064ad307cb0d7b8346a0ac04f7ed8b715f2f89</t>
        </is>
      </c>
      <c r="G247" t="inlineStr">
        <is>
          <t>2026-08-08</t>
        </is>
      </c>
      <c r="H247" s="19" t="inlineStr">
        <is>
          <t>2</t>
        </is>
      </c>
      <c r="I247" t="inlineStr">
        <is>
          <t>Phase I generated Rev.00 Word file — linked; signatures not completed</t>
        </is>
      </c>
      <c r="J247" t="inlineStr">
        <is>
          <t>2026-08-10T19:29:54Z</t>
        </is>
      </c>
      <c r="K247" t="inlineStr">
        <is>
          <t>2026-08-10T19:49:40Z</t>
        </is>
      </c>
    </row>
    <row r="248">
      <c r="A248" s="19" t="inlineStr">
        <is>
          <t>247</t>
        </is>
      </c>
      <c r="B248" s="19" t="inlineStr">
        <is>
          <t>IA-PPWR-LBL-ST-042-STD-08-R00</t>
        </is>
      </c>
      <c r="C248" t="inlineStr">
        <is>
          <t>IA-PPWR-LBL-ST-042-STD-08-R00</t>
        </is>
      </c>
      <c r="D248" s="19" t="inlineStr">
        <is>
          <t>11</t>
        </is>
      </c>
      <c r="E248" t="inlineStr">
        <is>
          <t>01_STARTER/ST-042-STD-08/03_Label.docx</t>
        </is>
      </c>
      <c r="F248" t="inlineStr">
        <is>
          <t>f3f97d573e3e60eb4442d9baf7ee5138cda0c93197e03caf16648e5f7cb03ef5</t>
        </is>
      </c>
      <c r="G248" t="inlineStr">
        <is>
          <t>2026-08-08</t>
        </is>
      </c>
      <c r="H248" s="19" t="inlineStr">
        <is>
          <t>2</t>
        </is>
      </c>
      <c r="I248" t="inlineStr">
        <is>
          <t>Phase I generated Rev.00 Word file — linked; signatures not completed</t>
        </is>
      </c>
      <c r="J248" t="inlineStr">
        <is>
          <t>2026-08-10T19:29:54Z</t>
        </is>
      </c>
      <c r="K248" t="inlineStr">
        <is>
          <t>2026-08-10T19:49:40Z</t>
        </is>
      </c>
    </row>
    <row r="249">
      <c r="A249" s="19" t="inlineStr">
        <is>
          <t>248</t>
        </is>
      </c>
      <c r="B249" s="19" t="inlineStr">
        <is>
          <t>IA-PPWR-STM-ST-042-STD-08-R00</t>
        </is>
      </c>
      <c r="C249" t="inlineStr">
        <is>
          <t>IA-PPWR-STM-ST-042-STD-08-R00</t>
        </is>
      </c>
      <c r="D249" s="19" t="inlineStr">
        <is>
          <t>12</t>
        </is>
      </c>
      <c r="E249" t="inlineStr">
        <is>
          <t>01_STARTER/ST-042-STD-08/04_Shipment_Statement.docx</t>
        </is>
      </c>
      <c r="F249" t="inlineStr">
        <is>
          <t>90cf3f8fa0786e2745f1b5c85a1da7fb30084f087d5056754c9de4222e8bf65a</t>
        </is>
      </c>
      <c r="G249" t="inlineStr">
        <is>
          <t>2026-08-08</t>
        </is>
      </c>
      <c r="H249" s="19" t="inlineStr">
        <is>
          <t>2</t>
        </is>
      </c>
      <c r="I249" t="inlineStr">
        <is>
          <t>Phase I generated Rev.00 Word file — linked; signatures not completed</t>
        </is>
      </c>
      <c r="J249" t="inlineStr">
        <is>
          <t>2026-08-10T19:29:54Z</t>
        </is>
      </c>
      <c r="K249" t="inlineStr">
        <is>
          <t>2026-08-10T19:49:40Z</t>
        </is>
      </c>
    </row>
    <row r="250">
      <c r="A250" s="19" t="inlineStr">
        <is>
          <t>249</t>
        </is>
      </c>
      <c r="B250" s="19" t="inlineStr">
        <is>
          <t>IA-PPWR-TF-ST-044-STD-01-R00</t>
        </is>
      </c>
      <c r="C250" t="inlineStr">
        <is>
          <t>IA-PPWR-TF-ST-044-STD-01-R00</t>
        </is>
      </c>
      <c r="D250" s="19" t="inlineStr">
        <is>
          <t>1</t>
        </is>
      </c>
      <c r="E250" t="inlineStr">
        <is>
          <t>01_STARTER/ST-044-STD-01/01_Technical_File.docx</t>
        </is>
      </c>
      <c r="F250" t="inlineStr">
        <is>
          <t>11fea4b567c719e39c73cf7682e7496a04ad1e2e9c7d0358359d30e07f7efc00</t>
        </is>
      </c>
      <c r="G250" t="inlineStr">
        <is>
          <t>2026-08-08</t>
        </is>
      </c>
      <c r="H250" s="19" t="inlineStr">
        <is>
          <t>2</t>
        </is>
      </c>
      <c r="I250" t="inlineStr">
        <is>
          <t>Phase I generated Rev.00 Word file — linked; signatures not completed</t>
        </is>
      </c>
      <c r="J250" t="inlineStr">
        <is>
          <t>2026-08-10T19:29:54Z</t>
        </is>
      </c>
      <c r="K250" t="inlineStr">
        <is>
          <t>2026-08-10T19:49:40Z</t>
        </is>
      </c>
    </row>
    <row r="251">
      <c r="A251" s="19" t="inlineStr">
        <is>
          <t>250</t>
        </is>
      </c>
      <c r="B251" s="19" t="inlineStr">
        <is>
          <t>IA-PPWR-DOC-ST-044-STD-01-R00</t>
        </is>
      </c>
      <c r="C251" t="inlineStr">
        <is>
          <t>IA-PPWR-DOC-ST-044-STD-01-R00</t>
        </is>
      </c>
      <c r="D251" s="19" t="inlineStr">
        <is>
          <t>4</t>
        </is>
      </c>
      <c r="E251" t="inlineStr">
        <is>
          <t>01_STARTER/ST-044-STD-01/02_EU_DoC.docx</t>
        </is>
      </c>
      <c r="F251" t="inlineStr">
        <is>
          <t>8a0799b214c73bc4d0a699850c1ad95fe2ca2897dc29f01387de40f29ccfc69e</t>
        </is>
      </c>
      <c r="G251" t="inlineStr">
        <is>
          <t>2026-08-08</t>
        </is>
      </c>
      <c r="H251" s="19" t="inlineStr">
        <is>
          <t>2</t>
        </is>
      </c>
      <c r="I251" t="inlineStr">
        <is>
          <t>Phase I generated Rev.00 Word file — linked; signatures not completed</t>
        </is>
      </c>
      <c r="J251" t="inlineStr">
        <is>
          <t>2026-08-10T19:29:54Z</t>
        </is>
      </c>
      <c r="K251" t="inlineStr">
        <is>
          <t>2026-08-10T19:49:40Z</t>
        </is>
      </c>
    </row>
    <row r="252">
      <c r="A252" s="19" t="inlineStr">
        <is>
          <t>251</t>
        </is>
      </c>
      <c r="B252" s="19" t="inlineStr">
        <is>
          <t>IA-PPWR-LBL-ST-044-STD-01-R00</t>
        </is>
      </c>
      <c r="C252" t="inlineStr">
        <is>
          <t>IA-PPWR-LBL-ST-044-STD-01-R00</t>
        </is>
      </c>
      <c r="D252" s="19" t="inlineStr">
        <is>
          <t>11</t>
        </is>
      </c>
      <c r="E252" t="inlineStr">
        <is>
          <t>01_STARTER/ST-044-STD-01/03_Label.docx</t>
        </is>
      </c>
      <c r="F252" t="inlineStr">
        <is>
          <t>a53d20a823681cc562e741a35faac5c43237a51ca4da891493323e611898f754</t>
        </is>
      </c>
      <c r="G252" t="inlineStr">
        <is>
          <t>2026-08-08</t>
        </is>
      </c>
      <c r="H252" s="19" t="inlineStr">
        <is>
          <t>2</t>
        </is>
      </c>
      <c r="I252" t="inlineStr">
        <is>
          <t>Phase I generated Rev.00 Word file — linked; signatures not completed</t>
        </is>
      </c>
      <c r="J252" t="inlineStr">
        <is>
          <t>2026-08-10T19:29:54Z</t>
        </is>
      </c>
      <c r="K252" t="inlineStr">
        <is>
          <t>2026-08-10T19:49:40Z</t>
        </is>
      </c>
    </row>
    <row r="253">
      <c r="A253" s="19" t="inlineStr">
        <is>
          <t>252</t>
        </is>
      </c>
      <c r="B253" s="19" t="inlineStr">
        <is>
          <t>IA-PPWR-STM-ST-044-STD-01-R00</t>
        </is>
      </c>
      <c r="C253" t="inlineStr">
        <is>
          <t>IA-PPWR-STM-ST-044-STD-01-R00</t>
        </is>
      </c>
      <c r="D253" s="19" t="inlineStr">
        <is>
          <t>12</t>
        </is>
      </c>
      <c r="E253" t="inlineStr">
        <is>
          <t>01_STARTER/ST-044-STD-01/04_Shipment_Statement.docx</t>
        </is>
      </c>
      <c r="F253" t="inlineStr">
        <is>
          <t>c257b0432fcff8f19e639ae1077eb23a385094b5f82624003463fe8f32ec81fa</t>
        </is>
      </c>
      <c r="G253" t="inlineStr">
        <is>
          <t>2026-08-08</t>
        </is>
      </c>
      <c r="H253" s="19" t="inlineStr">
        <is>
          <t>2</t>
        </is>
      </c>
      <c r="I253" t="inlineStr">
        <is>
          <t>Phase I generated Rev.00 Word file — linked; signatures not completed</t>
        </is>
      </c>
      <c r="J253" t="inlineStr">
        <is>
          <t>2026-08-10T19:29:54Z</t>
        </is>
      </c>
      <c r="K253" t="inlineStr">
        <is>
          <t>2026-08-10T19:49:40Z</t>
        </is>
      </c>
    </row>
    <row r="254">
      <c r="A254" s="19" t="inlineStr">
        <is>
          <t>253</t>
        </is>
      </c>
      <c r="B254" s="19" t="inlineStr">
        <is>
          <t>IA-PPWR-TF-ST-045-EUR-01-R00</t>
        </is>
      </c>
      <c r="C254" t="inlineStr">
        <is>
          <t>IA-PPWR-TF-ST-045-EUR-01-R00</t>
        </is>
      </c>
      <c r="D254" s="19" t="inlineStr">
        <is>
          <t>1</t>
        </is>
      </c>
      <c r="E254" t="inlineStr">
        <is>
          <t>01_STARTER/ST-045-EUR-01/01_Technical_File.docx</t>
        </is>
      </c>
      <c r="F254" t="inlineStr">
        <is>
          <t>f80258b09e2d884229c55219e9dc75da25b4b1a0a6a8e9707feec3927224a0c2</t>
        </is>
      </c>
      <c r="G254" t="inlineStr">
        <is>
          <t>2026-08-08</t>
        </is>
      </c>
      <c r="H254" s="19" t="inlineStr">
        <is>
          <t>2</t>
        </is>
      </c>
      <c r="I254" t="inlineStr">
        <is>
          <t>Phase I generated Rev.00 Word file — linked; signatures not completed</t>
        </is>
      </c>
      <c r="J254" t="inlineStr">
        <is>
          <t>2026-08-10T19:29:54Z</t>
        </is>
      </c>
      <c r="K254" t="inlineStr">
        <is>
          <t>2026-08-10T19:49:40Z</t>
        </is>
      </c>
    </row>
    <row r="255">
      <c r="A255" s="19" t="inlineStr">
        <is>
          <t>254</t>
        </is>
      </c>
      <c r="B255" s="19" t="inlineStr">
        <is>
          <t>IA-PPWR-DOC-ST-045-EUR-01-R00</t>
        </is>
      </c>
      <c r="C255" t="inlineStr">
        <is>
          <t>IA-PPWR-DOC-ST-045-EUR-01-R00</t>
        </is>
      </c>
      <c r="D255" s="19" t="inlineStr">
        <is>
          <t>4</t>
        </is>
      </c>
      <c r="E255" t="inlineStr">
        <is>
          <t>01_STARTER/ST-045-EUR-01/02_EU_DoC.docx</t>
        </is>
      </c>
      <c r="F255" t="inlineStr">
        <is>
          <t>6c148f20b45b511e3e2fbbd6ebbe945218456d05efbc8a6c375d08c32ed97c1e</t>
        </is>
      </c>
      <c r="G255" t="inlineStr">
        <is>
          <t>2026-08-08</t>
        </is>
      </c>
      <c r="H255" s="19" t="inlineStr">
        <is>
          <t>2</t>
        </is>
      </c>
      <c r="I255" t="inlineStr">
        <is>
          <t>Phase I generated Rev.00 Word file — linked; signatures not completed</t>
        </is>
      </c>
      <c r="J255" t="inlineStr">
        <is>
          <t>2026-08-10T19:29:54Z</t>
        </is>
      </c>
      <c r="K255" t="inlineStr">
        <is>
          <t>2026-08-10T19:49:40Z</t>
        </is>
      </c>
    </row>
    <row r="256">
      <c r="A256" s="19" t="inlineStr">
        <is>
          <t>255</t>
        </is>
      </c>
      <c r="B256" s="19" t="inlineStr">
        <is>
          <t>IA-PPWR-LBL-ST-045-EUR-01-R00</t>
        </is>
      </c>
      <c r="C256" t="inlineStr">
        <is>
          <t>IA-PPWR-LBL-ST-045-EUR-01-R00</t>
        </is>
      </c>
      <c r="D256" s="19" t="inlineStr">
        <is>
          <t>11</t>
        </is>
      </c>
      <c r="E256" t="inlineStr">
        <is>
          <t>01_STARTER/ST-045-EUR-01/03_Label.docx</t>
        </is>
      </c>
      <c r="F256" t="inlineStr">
        <is>
          <t>7e526c7d1cecfcf4ff10f901fe037961858aa3c0ff6fe0e52238708a625f2080</t>
        </is>
      </c>
      <c r="G256" t="inlineStr">
        <is>
          <t>2026-08-08</t>
        </is>
      </c>
      <c r="H256" s="19" t="inlineStr">
        <is>
          <t>2</t>
        </is>
      </c>
      <c r="I256" t="inlineStr">
        <is>
          <t>Phase I generated Rev.00 Word file — linked; signatures not completed</t>
        </is>
      </c>
      <c r="J256" t="inlineStr">
        <is>
          <t>2026-08-10T19:29:54Z</t>
        </is>
      </c>
      <c r="K256" t="inlineStr">
        <is>
          <t>2026-08-10T19:49:40Z</t>
        </is>
      </c>
    </row>
    <row r="257">
      <c r="A257" s="19" t="inlineStr">
        <is>
          <t>256</t>
        </is>
      </c>
      <c r="B257" s="19" t="inlineStr">
        <is>
          <t>IA-PPWR-STM-ST-045-EUR-01-R00</t>
        </is>
      </c>
      <c r="C257" t="inlineStr">
        <is>
          <t>IA-PPWR-STM-ST-045-EUR-01-R00</t>
        </is>
      </c>
      <c r="D257" s="19" t="inlineStr">
        <is>
          <t>12</t>
        </is>
      </c>
      <c r="E257" t="inlineStr">
        <is>
          <t>01_STARTER/ST-045-EUR-01/04_Shipment_Statement.docx</t>
        </is>
      </c>
      <c r="F257" t="inlineStr">
        <is>
          <t>b3d792b2a165f258e4c417ab05fc578308630389d7fa00d8d4be66fd6529f7d1</t>
        </is>
      </c>
      <c r="G257" t="inlineStr">
        <is>
          <t>2026-08-08</t>
        </is>
      </c>
      <c r="H257" s="19" t="inlineStr">
        <is>
          <t>2</t>
        </is>
      </c>
      <c r="I257" t="inlineStr">
        <is>
          <t>Phase I generated Rev.00 Word file — linked; signatures not completed</t>
        </is>
      </c>
      <c r="J257" t="inlineStr">
        <is>
          <t>2026-08-10T19:29:54Z</t>
        </is>
      </c>
      <c r="K257" t="inlineStr">
        <is>
          <t>2026-08-10T19:49:40Z</t>
        </is>
      </c>
    </row>
    <row r="258">
      <c r="A258" s="19" t="inlineStr">
        <is>
          <t>257</t>
        </is>
      </c>
      <c r="B258" s="19" t="inlineStr">
        <is>
          <t>IA-PPWR-TF-ST-045-STD-01-R00</t>
        </is>
      </c>
      <c r="C258" t="inlineStr">
        <is>
          <t>IA-PPWR-TF-ST-045-STD-01-R00</t>
        </is>
      </c>
      <c r="D258" s="19" t="inlineStr">
        <is>
          <t>1</t>
        </is>
      </c>
      <c r="E258" t="inlineStr">
        <is>
          <t>01_STARTER/ST-045-STD-01/01_Technical_File.docx</t>
        </is>
      </c>
      <c r="F258" t="inlineStr">
        <is>
          <t>33b70f8c616b532792ea68e0285e78f777550be2ff2496b0a86f17d4a36a19cf</t>
        </is>
      </c>
      <c r="G258" t="inlineStr">
        <is>
          <t>2026-08-08</t>
        </is>
      </c>
      <c r="H258" s="19" t="inlineStr">
        <is>
          <t>2</t>
        </is>
      </c>
      <c r="I258" t="inlineStr">
        <is>
          <t>Phase I generated Rev.00 Word file — linked; signatures not completed</t>
        </is>
      </c>
      <c r="J258" t="inlineStr">
        <is>
          <t>2026-08-10T19:29:54Z</t>
        </is>
      </c>
      <c r="K258" t="inlineStr">
        <is>
          <t>2026-08-10T19:49:40Z</t>
        </is>
      </c>
    </row>
    <row r="259">
      <c r="A259" s="19" t="inlineStr">
        <is>
          <t>258</t>
        </is>
      </c>
      <c r="B259" s="19" t="inlineStr">
        <is>
          <t>IA-PPWR-DOC-ST-045-STD-01-R00</t>
        </is>
      </c>
      <c r="C259" t="inlineStr">
        <is>
          <t>IA-PPWR-DOC-ST-045-STD-01-R00</t>
        </is>
      </c>
      <c r="D259" s="19" t="inlineStr">
        <is>
          <t>4</t>
        </is>
      </c>
      <c r="E259" t="inlineStr">
        <is>
          <t>01_STARTER/ST-045-STD-01/02_EU_DoC.docx</t>
        </is>
      </c>
      <c r="F259" t="inlineStr">
        <is>
          <t>cae24311d03351df788f9d23bb88ca75fb42bb87d80392bfd0c59b1f1d901bde</t>
        </is>
      </c>
      <c r="G259" t="inlineStr">
        <is>
          <t>2026-08-08</t>
        </is>
      </c>
      <c r="H259" s="19" t="inlineStr">
        <is>
          <t>2</t>
        </is>
      </c>
      <c r="I259" t="inlineStr">
        <is>
          <t>Phase I generated Rev.00 Word file — linked; signatures not completed</t>
        </is>
      </c>
      <c r="J259" t="inlineStr">
        <is>
          <t>2026-08-10T19:29:54Z</t>
        </is>
      </c>
      <c r="K259" t="inlineStr">
        <is>
          <t>2026-08-10T19:49:40Z</t>
        </is>
      </c>
    </row>
    <row r="260">
      <c r="A260" s="19" t="inlineStr">
        <is>
          <t>259</t>
        </is>
      </c>
      <c r="B260" s="19" t="inlineStr">
        <is>
          <t>IA-PPWR-LBL-ST-045-STD-01-R00</t>
        </is>
      </c>
      <c r="C260" t="inlineStr">
        <is>
          <t>IA-PPWR-LBL-ST-045-STD-01-R00</t>
        </is>
      </c>
      <c r="D260" s="19" t="inlineStr">
        <is>
          <t>11</t>
        </is>
      </c>
      <c r="E260" t="inlineStr">
        <is>
          <t>01_STARTER/ST-045-STD-01/03_Label.docx</t>
        </is>
      </c>
      <c r="F260" t="inlineStr">
        <is>
          <t>5cf921caf8fc8b5a46c90752fa1d2fbb26207423d9420f65e85cf2b91e340709</t>
        </is>
      </c>
      <c r="G260" t="inlineStr">
        <is>
          <t>2026-08-08</t>
        </is>
      </c>
      <c r="H260" s="19" t="inlineStr">
        <is>
          <t>2</t>
        </is>
      </c>
      <c r="I260" t="inlineStr">
        <is>
          <t>Phase I generated Rev.00 Word file — linked; signatures not completed</t>
        </is>
      </c>
      <c r="J260" t="inlineStr">
        <is>
          <t>2026-08-10T19:29:54Z</t>
        </is>
      </c>
      <c r="K260" t="inlineStr">
        <is>
          <t>2026-08-10T19:49:40Z</t>
        </is>
      </c>
    </row>
    <row r="261">
      <c r="A261" s="19" t="inlineStr">
        <is>
          <t>260</t>
        </is>
      </c>
      <c r="B261" s="19" t="inlineStr">
        <is>
          <t>IA-PPWR-STM-ST-045-STD-01-R00</t>
        </is>
      </c>
      <c r="C261" t="inlineStr">
        <is>
          <t>IA-PPWR-STM-ST-045-STD-01-R00</t>
        </is>
      </c>
      <c r="D261" s="19" t="inlineStr">
        <is>
          <t>12</t>
        </is>
      </c>
      <c r="E261" t="inlineStr">
        <is>
          <t>01_STARTER/ST-045-STD-01/04_Shipment_Statement.docx</t>
        </is>
      </c>
      <c r="F261" t="inlineStr">
        <is>
          <t>6f3336af8a0704dcd46d8e471e1f60835b375abddb3773e16a5bce80c502fb25</t>
        </is>
      </c>
      <c r="G261" t="inlineStr">
        <is>
          <t>2026-08-08</t>
        </is>
      </c>
      <c r="H261" s="19" t="inlineStr">
        <is>
          <t>2</t>
        </is>
      </c>
      <c r="I261" t="inlineStr">
        <is>
          <t>Phase I generated Rev.00 Word file — linked; signatures not completed</t>
        </is>
      </c>
      <c r="J261" t="inlineStr">
        <is>
          <t>2026-08-10T19:29:54Z</t>
        </is>
      </c>
      <c r="K261" t="inlineStr">
        <is>
          <t>2026-08-10T19:49:40Z</t>
        </is>
      </c>
    </row>
    <row r="262">
      <c r="A262" s="19" t="inlineStr">
        <is>
          <t>261</t>
        </is>
      </c>
      <c r="B262" s="19" t="inlineStr">
        <is>
          <t>IA-PPWR-TF-ST-045-STD-02-R00</t>
        </is>
      </c>
      <c r="C262" t="inlineStr">
        <is>
          <t>IA-PPWR-TF-ST-045-STD-02-R00</t>
        </is>
      </c>
      <c r="D262" s="19" t="inlineStr">
        <is>
          <t>1</t>
        </is>
      </c>
      <c r="E262" t="inlineStr">
        <is>
          <t>01_STARTER/ST-045-STD-02/01_Technical_File.docx</t>
        </is>
      </c>
      <c r="F262" t="inlineStr">
        <is>
          <t>6da1e23069cfadacb3c5efeb58213e557a87c15653edc61f79ba7cb1dd41e73f</t>
        </is>
      </c>
      <c r="G262" t="inlineStr">
        <is>
          <t>2026-08-08</t>
        </is>
      </c>
      <c r="H262" s="19" t="inlineStr">
        <is>
          <t>2</t>
        </is>
      </c>
      <c r="I262" t="inlineStr">
        <is>
          <t>Phase I generated Rev.00 Word file — linked; signatures not completed</t>
        </is>
      </c>
      <c r="J262" t="inlineStr">
        <is>
          <t>2026-08-10T19:29:54Z</t>
        </is>
      </c>
      <c r="K262" t="inlineStr">
        <is>
          <t>2026-08-10T19:49:40Z</t>
        </is>
      </c>
    </row>
    <row r="263">
      <c r="A263" s="19" t="inlineStr">
        <is>
          <t>262</t>
        </is>
      </c>
      <c r="B263" s="19" t="inlineStr">
        <is>
          <t>IA-PPWR-DOC-ST-045-STD-02-R00</t>
        </is>
      </c>
      <c r="C263" t="inlineStr">
        <is>
          <t>IA-PPWR-DOC-ST-045-STD-02-R00</t>
        </is>
      </c>
      <c r="D263" s="19" t="inlineStr">
        <is>
          <t>4</t>
        </is>
      </c>
      <c r="E263" t="inlineStr">
        <is>
          <t>01_STARTER/ST-045-STD-02/02_EU_DoC.docx</t>
        </is>
      </c>
      <c r="F263" t="inlineStr">
        <is>
          <t>fc40728639b4979a0ec7b0da2882982e31edad3fc50842410a94c3d57c269316</t>
        </is>
      </c>
      <c r="G263" t="inlineStr">
        <is>
          <t>2026-08-08</t>
        </is>
      </c>
      <c r="H263" s="19" t="inlineStr">
        <is>
          <t>2</t>
        </is>
      </c>
      <c r="I263" t="inlineStr">
        <is>
          <t>Phase I generated Rev.00 Word file — linked; signatures not completed</t>
        </is>
      </c>
      <c r="J263" t="inlineStr">
        <is>
          <t>2026-08-10T19:29:54Z</t>
        </is>
      </c>
      <c r="K263" t="inlineStr">
        <is>
          <t>2026-08-10T19:49:40Z</t>
        </is>
      </c>
    </row>
    <row r="264">
      <c r="A264" s="19" t="inlineStr">
        <is>
          <t>263</t>
        </is>
      </c>
      <c r="B264" s="19" t="inlineStr">
        <is>
          <t>IA-PPWR-LBL-ST-045-STD-02-R00</t>
        </is>
      </c>
      <c r="C264" t="inlineStr">
        <is>
          <t>IA-PPWR-LBL-ST-045-STD-02-R00</t>
        </is>
      </c>
      <c r="D264" s="19" t="inlineStr">
        <is>
          <t>11</t>
        </is>
      </c>
      <c r="E264" t="inlineStr">
        <is>
          <t>01_STARTER/ST-045-STD-02/03_Label.docx</t>
        </is>
      </c>
      <c r="F264" t="inlineStr">
        <is>
          <t>e6c43360a4a291c3f528f726d20cba85754efa25af2c9ef20c65698eba3e6f3e</t>
        </is>
      </c>
      <c r="G264" t="inlineStr">
        <is>
          <t>2026-08-08</t>
        </is>
      </c>
      <c r="H264" s="19" t="inlineStr">
        <is>
          <t>2</t>
        </is>
      </c>
      <c r="I264" t="inlineStr">
        <is>
          <t>Phase I generated Rev.00 Word file — linked; signatures not completed</t>
        </is>
      </c>
      <c r="J264" t="inlineStr">
        <is>
          <t>2026-08-10T19:29:54Z</t>
        </is>
      </c>
      <c r="K264" t="inlineStr">
        <is>
          <t>2026-08-10T19:49:40Z</t>
        </is>
      </c>
    </row>
    <row r="265">
      <c r="A265" s="19" t="inlineStr">
        <is>
          <t>264</t>
        </is>
      </c>
      <c r="B265" s="19" t="inlineStr">
        <is>
          <t>IA-PPWR-STM-ST-045-STD-02-R00</t>
        </is>
      </c>
      <c r="C265" t="inlineStr">
        <is>
          <t>IA-PPWR-STM-ST-045-STD-02-R00</t>
        </is>
      </c>
      <c r="D265" s="19" t="inlineStr">
        <is>
          <t>12</t>
        </is>
      </c>
      <c r="E265" t="inlineStr">
        <is>
          <t>01_STARTER/ST-045-STD-02/04_Shipment_Statement.docx</t>
        </is>
      </c>
      <c r="F265" t="inlineStr">
        <is>
          <t>1ba5dbae8f4015dcfbcfecca7c1b644c6eb44ca21948f01821e66c9c9a8a27aa</t>
        </is>
      </c>
      <c r="G265" t="inlineStr">
        <is>
          <t>2026-08-08</t>
        </is>
      </c>
      <c r="H265" s="19" t="inlineStr">
        <is>
          <t>2</t>
        </is>
      </c>
      <c r="I265" t="inlineStr">
        <is>
          <t>Phase I generated Rev.00 Word file — linked; signatures not completed</t>
        </is>
      </c>
      <c r="J265" t="inlineStr">
        <is>
          <t>2026-08-10T19:29:54Z</t>
        </is>
      </c>
      <c r="K265" t="inlineStr">
        <is>
          <t>2026-08-10T19:49:40Z</t>
        </is>
      </c>
    </row>
    <row r="266">
      <c r="A266" s="19" t="inlineStr">
        <is>
          <t>265</t>
        </is>
      </c>
      <c r="B266" s="19" t="inlineStr">
        <is>
          <t>IA-PPWR-TF-ST-045-STD-03-R00</t>
        </is>
      </c>
      <c r="C266" t="inlineStr">
        <is>
          <t>IA-PPWR-TF-ST-045-STD-03-R00</t>
        </is>
      </c>
      <c r="D266" s="19" t="inlineStr">
        <is>
          <t>1</t>
        </is>
      </c>
      <c r="E266" t="inlineStr">
        <is>
          <t>01_STARTER/ST-045-STD-03/01_Technical_File.docx</t>
        </is>
      </c>
      <c r="F266" t="inlineStr">
        <is>
          <t>6c0db9784ded8499e808e0feaed1661aaaa80f3b930a2dd3c4aea3a14cf5a536</t>
        </is>
      </c>
      <c r="G266" t="inlineStr">
        <is>
          <t>2026-08-08</t>
        </is>
      </c>
      <c r="H266" s="19" t="inlineStr">
        <is>
          <t>2</t>
        </is>
      </c>
      <c r="I266" t="inlineStr">
        <is>
          <t>Phase I generated Rev.00 Word file — linked; signatures not completed</t>
        </is>
      </c>
      <c r="J266" t="inlineStr">
        <is>
          <t>2026-08-10T19:29:54Z</t>
        </is>
      </c>
      <c r="K266" t="inlineStr">
        <is>
          <t>2026-08-10T19:49:40Z</t>
        </is>
      </c>
    </row>
    <row r="267">
      <c r="A267" s="19" t="inlineStr">
        <is>
          <t>266</t>
        </is>
      </c>
      <c r="B267" s="19" t="inlineStr">
        <is>
          <t>IA-PPWR-DOC-ST-045-STD-03-R00</t>
        </is>
      </c>
      <c r="C267" t="inlineStr">
        <is>
          <t>IA-PPWR-DOC-ST-045-STD-03-R00</t>
        </is>
      </c>
      <c r="D267" s="19" t="inlineStr">
        <is>
          <t>4</t>
        </is>
      </c>
      <c r="E267" t="inlineStr">
        <is>
          <t>01_STARTER/ST-045-STD-03/02_EU_DoC.docx</t>
        </is>
      </c>
      <c r="F267" t="inlineStr">
        <is>
          <t>ea7db4a2d8aea48020c9ad296a2be627a77a22667a79467026cb53730e3b4c81</t>
        </is>
      </c>
      <c r="G267" t="inlineStr">
        <is>
          <t>2026-08-08</t>
        </is>
      </c>
      <c r="H267" s="19" t="inlineStr">
        <is>
          <t>2</t>
        </is>
      </c>
      <c r="I267" t="inlineStr">
        <is>
          <t>Phase I generated Rev.00 Word file — linked; signatures not completed</t>
        </is>
      </c>
      <c r="J267" t="inlineStr">
        <is>
          <t>2026-08-10T19:29:54Z</t>
        </is>
      </c>
      <c r="K267" t="inlineStr">
        <is>
          <t>2026-08-10T19:49:40Z</t>
        </is>
      </c>
    </row>
    <row r="268">
      <c r="A268" s="19" t="inlineStr">
        <is>
          <t>267</t>
        </is>
      </c>
      <c r="B268" s="19" t="inlineStr">
        <is>
          <t>IA-PPWR-LBL-ST-045-STD-03-R00</t>
        </is>
      </c>
      <c r="C268" t="inlineStr">
        <is>
          <t>IA-PPWR-LBL-ST-045-STD-03-R00</t>
        </is>
      </c>
      <c r="D268" s="19" t="inlineStr">
        <is>
          <t>11</t>
        </is>
      </c>
      <c r="E268" t="inlineStr">
        <is>
          <t>01_STARTER/ST-045-STD-03/03_Label.docx</t>
        </is>
      </c>
      <c r="F268" t="inlineStr">
        <is>
          <t>e9f6fa754611be195c785ca8cc49a4b2be1d3de2a904a98993267fdee6fb20d9</t>
        </is>
      </c>
      <c r="G268" t="inlineStr">
        <is>
          <t>2026-08-08</t>
        </is>
      </c>
      <c r="H268" s="19" t="inlineStr">
        <is>
          <t>2</t>
        </is>
      </c>
      <c r="I268" t="inlineStr">
        <is>
          <t>Phase I generated Rev.00 Word file — linked; signatures not completed</t>
        </is>
      </c>
      <c r="J268" t="inlineStr">
        <is>
          <t>2026-08-10T19:29:54Z</t>
        </is>
      </c>
      <c r="K268" t="inlineStr">
        <is>
          <t>2026-08-10T19:49:40Z</t>
        </is>
      </c>
    </row>
    <row r="269">
      <c r="A269" s="19" t="inlineStr">
        <is>
          <t>268</t>
        </is>
      </c>
      <c r="B269" s="19" t="inlineStr">
        <is>
          <t>IA-PPWR-STM-ST-045-STD-03-R00</t>
        </is>
      </c>
      <c r="C269" t="inlineStr">
        <is>
          <t>IA-PPWR-STM-ST-045-STD-03-R00</t>
        </is>
      </c>
      <c r="D269" s="19" t="inlineStr">
        <is>
          <t>12</t>
        </is>
      </c>
      <c r="E269" t="inlineStr">
        <is>
          <t>01_STARTER/ST-045-STD-03/04_Shipment_Statement.docx</t>
        </is>
      </c>
      <c r="F269" t="inlineStr">
        <is>
          <t>29da9dfff22a69f19dd55913d3e40c01eddc7c85af77f94219f2494dc4301294</t>
        </is>
      </c>
      <c r="G269" t="inlineStr">
        <is>
          <t>2026-08-08</t>
        </is>
      </c>
      <c r="H269" s="19" t="inlineStr">
        <is>
          <t>2</t>
        </is>
      </c>
      <c r="I269" t="inlineStr">
        <is>
          <t>Phase I generated Rev.00 Word file — linked; signatures not completed</t>
        </is>
      </c>
      <c r="J269" t="inlineStr">
        <is>
          <t>2026-08-10T19:29:54Z</t>
        </is>
      </c>
      <c r="K269" t="inlineStr">
        <is>
          <t>2026-08-10T19:49:40Z</t>
        </is>
      </c>
    </row>
    <row r="270">
      <c r="A270" s="19" t="inlineStr">
        <is>
          <t>269</t>
        </is>
      </c>
      <c r="B270" s="19" t="inlineStr">
        <is>
          <t>IA-PPWR-TF-ST-045-STD-04-R00</t>
        </is>
      </c>
      <c r="C270" t="inlineStr">
        <is>
          <t>IA-PPWR-TF-ST-045-STD-04-R00</t>
        </is>
      </c>
      <c r="D270" s="19" t="inlineStr">
        <is>
          <t>1</t>
        </is>
      </c>
      <c r="E270" t="inlineStr">
        <is>
          <t>01_STARTER/ST-045-STD-04/01_Technical_File.docx</t>
        </is>
      </c>
      <c r="F270" t="inlineStr">
        <is>
          <t>dca24da277f52b5b54a4489f590ad6c2cbb270c9f8a5bbea3c66605e495b7c01</t>
        </is>
      </c>
      <c r="G270" t="inlineStr">
        <is>
          <t>2026-08-08</t>
        </is>
      </c>
      <c r="H270" s="19" t="inlineStr">
        <is>
          <t>2</t>
        </is>
      </c>
      <c r="I270" t="inlineStr">
        <is>
          <t>Phase I generated Rev.00 Word file — linked; signatures not completed</t>
        </is>
      </c>
      <c r="J270" t="inlineStr">
        <is>
          <t>2026-08-10T19:29:54Z</t>
        </is>
      </c>
      <c r="K270" t="inlineStr">
        <is>
          <t>2026-08-10T19:49:40Z</t>
        </is>
      </c>
    </row>
    <row r="271">
      <c r="A271" s="19" t="inlineStr">
        <is>
          <t>270</t>
        </is>
      </c>
      <c r="B271" s="19" t="inlineStr">
        <is>
          <t>IA-PPWR-DOC-ST-045-STD-04-R00</t>
        </is>
      </c>
      <c r="C271" t="inlineStr">
        <is>
          <t>IA-PPWR-DOC-ST-045-STD-04-R00</t>
        </is>
      </c>
      <c r="D271" s="19" t="inlineStr">
        <is>
          <t>4</t>
        </is>
      </c>
      <c r="E271" t="inlineStr">
        <is>
          <t>01_STARTER/ST-045-STD-04/02_EU_DoC.docx</t>
        </is>
      </c>
      <c r="F271" t="inlineStr">
        <is>
          <t>402a51b41ed343772342836cbd2badbfd65c161df95b904408ab9756e653b18d</t>
        </is>
      </c>
      <c r="G271" t="inlineStr">
        <is>
          <t>2026-08-08</t>
        </is>
      </c>
      <c r="H271" s="19" t="inlineStr">
        <is>
          <t>2</t>
        </is>
      </c>
      <c r="I271" t="inlineStr">
        <is>
          <t>Phase I generated Rev.00 Word file — linked; signatures not completed</t>
        </is>
      </c>
      <c r="J271" t="inlineStr">
        <is>
          <t>2026-08-10T19:29:54Z</t>
        </is>
      </c>
      <c r="K271" t="inlineStr">
        <is>
          <t>2026-08-10T19:49:40Z</t>
        </is>
      </c>
    </row>
    <row r="272">
      <c r="A272" s="19" t="inlineStr">
        <is>
          <t>271</t>
        </is>
      </c>
      <c r="B272" s="19" t="inlineStr">
        <is>
          <t>IA-PPWR-LBL-ST-045-STD-04-R00</t>
        </is>
      </c>
      <c r="C272" t="inlineStr">
        <is>
          <t>IA-PPWR-LBL-ST-045-STD-04-R00</t>
        </is>
      </c>
      <c r="D272" s="19" t="inlineStr">
        <is>
          <t>11</t>
        </is>
      </c>
      <c r="E272" t="inlineStr">
        <is>
          <t>01_STARTER/ST-045-STD-04/03_Label.docx</t>
        </is>
      </c>
      <c r="F272" t="inlineStr">
        <is>
          <t>9d10d2f6d5c5ccb116bda828401dcfee09b702e003b39752d2ded27344dcbc47</t>
        </is>
      </c>
      <c r="G272" t="inlineStr">
        <is>
          <t>2026-08-08</t>
        </is>
      </c>
      <c r="H272" s="19" t="inlineStr">
        <is>
          <t>2</t>
        </is>
      </c>
      <c r="I272" t="inlineStr">
        <is>
          <t>Phase I generated Rev.00 Word file — linked; signatures not completed</t>
        </is>
      </c>
      <c r="J272" t="inlineStr">
        <is>
          <t>2026-08-10T19:29:54Z</t>
        </is>
      </c>
      <c r="K272" t="inlineStr">
        <is>
          <t>2026-08-10T19:49:40Z</t>
        </is>
      </c>
    </row>
    <row r="273">
      <c r="A273" s="19" t="inlineStr">
        <is>
          <t>272</t>
        </is>
      </c>
      <c r="B273" s="19" t="inlineStr">
        <is>
          <t>IA-PPWR-STM-ST-045-STD-04-R00</t>
        </is>
      </c>
      <c r="C273" t="inlineStr">
        <is>
          <t>IA-PPWR-STM-ST-045-STD-04-R00</t>
        </is>
      </c>
      <c r="D273" s="19" t="inlineStr">
        <is>
          <t>12</t>
        </is>
      </c>
      <c r="E273" t="inlineStr">
        <is>
          <t>01_STARTER/ST-045-STD-04/04_Shipment_Statement.docx</t>
        </is>
      </c>
      <c r="F273" t="inlineStr">
        <is>
          <t>1daf2c6db532d26f955fde293b279b0965a21f09afc66a7a0fdfc75db69e5366</t>
        </is>
      </c>
      <c r="G273" t="inlineStr">
        <is>
          <t>2026-08-08</t>
        </is>
      </c>
      <c r="H273" s="19" t="inlineStr">
        <is>
          <t>2</t>
        </is>
      </c>
      <c r="I273" t="inlineStr">
        <is>
          <t>Phase I generated Rev.00 Word file — linked; signatures not completed</t>
        </is>
      </c>
      <c r="J273" t="inlineStr">
        <is>
          <t>2026-08-10T19:29:54Z</t>
        </is>
      </c>
      <c r="K273" t="inlineStr">
        <is>
          <t>2026-08-10T19:49:40Z</t>
        </is>
      </c>
    </row>
    <row r="274">
      <c r="A274" s="19" t="inlineStr">
        <is>
          <t>273</t>
        </is>
      </c>
      <c r="B274" s="19" t="inlineStr">
        <is>
          <t>IA-PPWR-TF-ST-045-STD-05-R00</t>
        </is>
      </c>
      <c r="C274" t="inlineStr">
        <is>
          <t>IA-PPWR-TF-ST-045-STD-05-R00</t>
        </is>
      </c>
      <c r="D274" s="19" t="inlineStr">
        <is>
          <t>1</t>
        </is>
      </c>
      <c r="E274" t="inlineStr">
        <is>
          <t>01_STARTER/ST-045-STD-05/01_Technical_File.docx</t>
        </is>
      </c>
      <c r="F274" t="inlineStr">
        <is>
          <t>681bc3fbd4251ab0d817a90b1b9ce0e6c9334b491dd194311b261f33c353f89f</t>
        </is>
      </c>
      <c r="G274" t="inlineStr">
        <is>
          <t>2026-08-08</t>
        </is>
      </c>
      <c r="H274" s="19" t="inlineStr">
        <is>
          <t>2</t>
        </is>
      </c>
      <c r="I274" t="inlineStr">
        <is>
          <t>Phase I generated Rev.00 Word file — linked; signatures not completed</t>
        </is>
      </c>
      <c r="J274" t="inlineStr">
        <is>
          <t>2026-08-10T19:29:54Z</t>
        </is>
      </c>
      <c r="K274" t="inlineStr">
        <is>
          <t>2026-08-10T19:49:40Z</t>
        </is>
      </c>
    </row>
    <row r="275">
      <c r="A275" s="19" t="inlineStr">
        <is>
          <t>274</t>
        </is>
      </c>
      <c r="B275" s="19" t="inlineStr">
        <is>
          <t>IA-PPWR-DOC-ST-045-STD-05-R00</t>
        </is>
      </c>
      <c r="C275" t="inlineStr">
        <is>
          <t>IA-PPWR-DOC-ST-045-STD-05-R00</t>
        </is>
      </c>
      <c r="D275" s="19" t="inlineStr">
        <is>
          <t>4</t>
        </is>
      </c>
      <c r="E275" t="inlineStr">
        <is>
          <t>01_STARTER/ST-045-STD-05/02_EU_DoC.docx</t>
        </is>
      </c>
      <c r="F275" t="inlineStr">
        <is>
          <t>1ee3f739934bc20d03beb4a1233d58eb56990529a9dbe7c1dd9697ce84efd8f4</t>
        </is>
      </c>
      <c r="G275" t="inlineStr">
        <is>
          <t>2026-08-08</t>
        </is>
      </c>
      <c r="H275" s="19" t="inlineStr">
        <is>
          <t>2</t>
        </is>
      </c>
      <c r="I275" t="inlineStr">
        <is>
          <t>Phase I generated Rev.00 Word file — linked; signatures not completed</t>
        </is>
      </c>
      <c r="J275" t="inlineStr">
        <is>
          <t>2026-08-10T19:29:54Z</t>
        </is>
      </c>
      <c r="K275" t="inlineStr">
        <is>
          <t>2026-08-10T19:49:40Z</t>
        </is>
      </c>
    </row>
    <row r="276">
      <c r="A276" s="19" t="inlineStr">
        <is>
          <t>275</t>
        </is>
      </c>
      <c r="B276" s="19" t="inlineStr">
        <is>
          <t>IA-PPWR-LBL-ST-045-STD-05-R00</t>
        </is>
      </c>
      <c r="C276" t="inlineStr">
        <is>
          <t>IA-PPWR-LBL-ST-045-STD-05-R00</t>
        </is>
      </c>
      <c r="D276" s="19" t="inlineStr">
        <is>
          <t>11</t>
        </is>
      </c>
      <c r="E276" t="inlineStr">
        <is>
          <t>01_STARTER/ST-045-STD-05/03_Label.docx</t>
        </is>
      </c>
      <c r="F276" t="inlineStr">
        <is>
          <t>4015721b0d91ad6450628d5859bf3aeb90707b4a7cde3a08af6a2ecc664c6baf</t>
        </is>
      </c>
      <c r="G276" t="inlineStr">
        <is>
          <t>2026-08-08</t>
        </is>
      </c>
      <c r="H276" s="19" t="inlineStr">
        <is>
          <t>2</t>
        </is>
      </c>
      <c r="I276" t="inlineStr">
        <is>
          <t>Phase I generated Rev.00 Word file — linked; signatures not completed</t>
        </is>
      </c>
      <c r="J276" t="inlineStr">
        <is>
          <t>2026-08-10T19:29:54Z</t>
        </is>
      </c>
      <c r="K276" t="inlineStr">
        <is>
          <t>2026-08-10T19:49:40Z</t>
        </is>
      </c>
    </row>
    <row r="277">
      <c r="A277" s="19" t="inlineStr">
        <is>
          <t>276</t>
        </is>
      </c>
      <c r="B277" s="19" t="inlineStr">
        <is>
          <t>IA-PPWR-STM-ST-045-STD-05-R00</t>
        </is>
      </c>
      <c r="C277" t="inlineStr">
        <is>
          <t>IA-PPWR-STM-ST-045-STD-05-R00</t>
        </is>
      </c>
      <c r="D277" s="19" t="inlineStr">
        <is>
          <t>12</t>
        </is>
      </c>
      <c r="E277" t="inlineStr">
        <is>
          <t>01_STARTER/ST-045-STD-05/04_Shipment_Statement.docx</t>
        </is>
      </c>
      <c r="F277" t="inlineStr">
        <is>
          <t>2d6f6e62f1b7180250b81992da4b1662436aa398e0dcedbef59a5d27eab78b67</t>
        </is>
      </c>
      <c r="G277" t="inlineStr">
        <is>
          <t>2026-08-08</t>
        </is>
      </c>
      <c r="H277" s="19" t="inlineStr">
        <is>
          <t>2</t>
        </is>
      </c>
      <c r="I277" t="inlineStr">
        <is>
          <t>Phase I generated Rev.00 Word file — linked; signatures not completed</t>
        </is>
      </c>
      <c r="J277" t="inlineStr">
        <is>
          <t>2026-08-10T19:29:54Z</t>
        </is>
      </c>
      <c r="K277" t="inlineStr">
        <is>
          <t>2026-08-10T19:49:40Z</t>
        </is>
      </c>
    </row>
    <row r="278">
      <c r="A278" s="19" t="inlineStr">
        <is>
          <t>277</t>
        </is>
      </c>
      <c r="B278" s="19" t="inlineStr">
        <is>
          <t>IA-PPWR-TF-ST-045-STD-06-R00</t>
        </is>
      </c>
      <c r="C278" t="inlineStr">
        <is>
          <t>IA-PPWR-TF-ST-045-STD-06-R00</t>
        </is>
      </c>
      <c r="D278" s="19" t="inlineStr">
        <is>
          <t>1</t>
        </is>
      </c>
      <c r="E278" t="inlineStr">
        <is>
          <t>01_STARTER/ST-045-STD-06/01_Technical_File.docx</t>
        </is>
      </c>
      <c r="F278" t="inlineStr">
        <is>
          <t>6f67042dc71831d2efda6418baf194a16cfcd0e2afe780038649c9f3e63de501</t>
        </is>
      </c>
      <c r="G278" t="inlineStr">
        <is>
          <t>2026-08-08</t>
        </is>
      </c>
      <c r="H278" s="19" t="inlineStr">
        <is>
          <t>2</t>
        </is>
      </c>
      <c r="I278" t="inlineStr">
        <is>
          <t>Phase I generated Rev.00 Word file — linked; signatures not completed</t>
        </is>
      </c>
      <c r="J278" t="inlineStr">
        <is>
          <t>2026-08-10T19:29:54Z</t>
        </is>
      </c>
      <c r="K278" t="inlineStr">
        <is>
          <t>2026-08-10T19:49:40Z</t>
        </is>
      </c>
    </row>
    <row r="279">
      <c r="A279" s="19" t="inlineStr">
        <is>
          <t>278</t>
        </is>
      </c>
      <c r="B279" s="19" t="inlineStr">
        <is>
          <t>IA-PPWR-DOC-ST-045-STD-06-R00</t>
        </is>
      </c>
      <c r="C279" t="inlineStr">
        <is>
          <t>IA-PPWR-DOC-ST-045-STD-06-R00</t>
        </is>
      </c>
      <c r="D279" s="19" t="inlineStr">
        <is>
          <t>4</t>
        </is>
      </c>
      <c r="E279" t="inlineStr">
        <is>
          <t>01_STARTER/ST-045-STD-06/02_EU_DoC.docx</t>
        </is>
      </c>
      <c r="F279" t="inlineStr">
        <is>
          <t>514ab12ac70748765f141fd2a4ec0c40865af2457c5d9e1fb81125661a4c0cbd</t>
        </is>
      </c>
      <c r="G279" t="inlineStr">
        <is>
          <t>2026-08-08</t>
        </is>
      </c>
      <c r="H279" s="19" t="inlineStr">
        <is>
          <t>2</t>
        </is>
      </c>
      <c r="I279" t="inlineStr">
        <is>
          <t>Phase I generated Rev.00 Word file — linked; signatures not completed</t>
        </is>
      </c>
      <c r="J279" t="inlineStr">
        <is>
          <t>2026-08-10T19:29:54Z</t>
        </is>
      </c>
      <c r="K279" t="inlineStr">
        <is>
          <t>2026-08-10T19:49:40Z</t>
        </is>
      </c>
    </row>
    <row r="280">
      <c r="A280" s="19" t="inlineStr">
        <is>
          <t>279</t>
        </is>
      </c>
      <c r="B280" s="19" t="inlineStr">
        <is>
          <t>IA-PPWR-LBL-ST-045-STD-06-R00</t>
        </is>
      </c>
      <c r="C280" t="inlineStr">
        <is>
          <t>IA-PPWR-LBL-ST-045-STD-06-R00</t>
        </is>
      </c>
      <c r="D280" s="19" t="inlineStr">
        <is>
          <t>11</t>
        </is>
      </c>
      <c r="E280" t="inlineStr">
        <is>
          <t>01_STARTER/ST-045-STD-06/03_Label.docx</t>
        </is>
      </c>
      <c r="F280" t="inlineStr">
        <is>
          <t>eed88971aa0eacb2dbeaa10e673cc47e7563ae9a7a2cfe514fc860179a58dd48</t>
        </is>
      </c>
      <c r="G280" t="inlineStr">
        <is>
          <t>2026-08-08</t>
        </is>
      </c>
      <c r="H280" s="19" t="inlineStr">
        <is>
          <t>2</t>
        </is>
      </c>
      <c r="I280" t="inlineStr">
        <is>
          <t>Phase I generated Rev.00 Word file — linked; signatures not completed</t>
        </is>
      </c>
      <c r="J280" t="inlineStr">
        <is>
          <t>2026-08-10T19:29:54Z</t>
        </is>
      </c>
      <c r="K280" t="inlineStr">
        <is>
          <t>2026-08-10T19:49:40Z</t>
        </is>
      </c>
    </row>
    <row r="281">
      <c r="A281" s="19" t="inlineStr">
        <is>
          <t>280</t>
        </is>
      </c>
      <c r="B281" s="19" t="inlineStr">
        <is>
          <t>IA-PPWR-STM-ST-045-STD-06-R00</t>
        </is>
      </c>
      <c r="C281" t="inlineStr">
        <is>
          <t>IA-PPWR-STM-ST-045-STD-06-R00</t>
        </is>
      </c>
      <c r="D281" s="19" t="inlineStr">
        <is>
          <t>12</t>
        </is>
      </c>
      <c r="E281" t="inlineStr">
        <is>
          <t>01_STARTER/ST-045-STD-06/04_Shipment_Statement.docx</t>
        </is>
      </c>
      <c r="F281" t="inlineStr">
        <is>
          <t>45ce6de27dbfae2d6e1d078d57a767cb0e69610f2aec0b21692ff91f5f7b7890</t>
        </is>
      </c>
      <c r="G281" t="inlineStr">
        <is>
          <t>2026-08-08</t>
        </is>
      </c>
      <c r="H281" s="19" t="inlineStr">
        <is>
          <t>2</t>
        </is>
      </c>
      <c r="I281" t="inlineStr">
        <is>
          <t>Phase I generated Rev.00 Word file — linked; signatures not completed</t>
        </is>
      </c>
      <c r="J281" t="inlineStr">
        <is>
          <t>2026-08-10T19:29:54Z</t>
        </is>
      </c>
      <c r="K281" t="inlineStr">
        <is>
          <t>2026-08-10T19:49:40Z</t>
        </is>
      </c>
    </row>
    <row r="282">
      <c r="A282" s="19" t="inlineStr">
        <is>
          <t>281</t>
        </is>
      </c>
      <c r="B282" s="19" t="inlineStr">
        <is>
          <t>IA-PPWR-TF-ST-045-STD-07-R00</t>
        </is>
      </c>
      <c r="C282" t="inlineStr">
        <is>
          <t>IA-PPWR-TF-ST-045-STD-07-R00</t>
        </is>
      </c>
      <c r="D282" s="19" t="inlineStr">
        <is>
          <t>1</t>
        </is>
      </c>
      <c r="E282" t="inlineStr">
        <is>
          <t>01_STARTER/ST-045-STD-07/01_Technical_File.docx</t>
        </is>
      </c>
      <c r="F282" t="inlineStr">
        <is>
          <t>2b8715a815d2e95a614850503d567f3efb149bfd8117a50c5d1f05059a1bb66e</t>
        </is>
      </c>
      <c r="G282" t="inlineStr">
        <is>
          <t>2026-08-08</t>
        </is>
      </c>
      <c r="H282" s="19" t="inlineStr">
        <is>
          <t>2</t>
        </is>
      </c>
      <c r="I282" t="inlineStr">
        <is>
          <t>Phase I generated Rev.00 Word file — linked; signatures not completed</t>
        </is>
      </c>
      <c r="J282" t="inlineStr">
        <is>
          <t>2026-08-10T19:29:54Z</t>
        </is>
      </c>
      <c r="K282" t="inlineStr">
        <is>
          <t>2026-08-10T19:49:40Z</t>
        </is>
      </c>
    </row>
    <row r="283">
      <c r="A283" s="19" t="inlineStr">
        <is>
          <t>282</t>
        </is>
      </c>
      <c r="B283" s="19" t="inlineStr">
        <is>
          <t>IA-PPWR-DOC-ST-045-STD-07-R00</t>
        </is>
      </c>
      <c r="C283" t="inlineStr">
        <is>
          <t>IA-PPWR-DOC-ST-045-STD-07-R00</t>
        </is>
      </c>
      <c r="D283" s="19" t="inlineStr">
        <is>
          <t>4</t>
        </is>
      </c>
      <c r="E283" t="inlineStr">
        <is>
          <t>01_STARTER/ST-045-STD-07/02_EU_DoC.docx</t>
        </is>
      </c>
      <c r="F283" t="inlineStr">
        <is>
          <t>0760dd35ab305f6a1ca1b6eddeb667113cef75a7e7312c51ff8d219defe6d547</t>
        </is>
      </c>
      <c r="G283" t="inlineStr">
        <is>
          <t>2026-08-08</t>
        </is>
      </c>
      <c r="H283" s="19" t="inlineStr">
        <is>
          <t>2</t>
        </is>
      </c>
      <c r="I283" t="inlineStr">
        <is>
          <t>Phase I generated Rev.00 Word file — linked; signatures not completed</t>
        </is>
      </c>
      <c r="J283" t="inlineStr">
        <is>
          <t>2026-08-10T19:29:54Z</t>
        </is>
      </c>
      <c r="K283" t="inlineStr">
        <is>
          <t>2026-08-10T19:49:40Z</t>
        </is>
      </c>
    </row>
    <row r="284">
      <c r="A284" s="19" t="inlineStr">
        <is>
          <t>283</t>
        </is>
      </c>
      <c r="B284" s="19" t="inlineStr">
        <is>
          <t>IA-PPWR-LBL-ST-045-STD-07-R00</t>
        </is>
      </c>
      <c r="C284" t="inlineStr">
        <is>
          <t>IA-PPWR-LBL-ST-045-STD-07-R00</t>
        </is>
      </c>
      <c r="D284" s="19" t="inlineStr">
        <is>
          <t>11</t>
        </is>
      </c>
      <c r="E284" t="inlineStr">
        <is>
          <t>01_STARTER/ST-045-STD-07/03_Label.docx</t>
        </is>
      </c>
      <c r="F284" t="inlineStr">
        <is>
          <t>d03cc323fbf01791f826d3284cff1dc96cac747ae8a92d42476214fe769edab9</t>
        </is>
      </c>
      <c r="G284" t="inlineStr">
        <is>
          <t>2026-08-08</t>
        </is>
      </c>
      <c r="H284" s="19" t="inlineStr">
        <is>
          <t>2</t>
        </is>
      </c>
      <c r="I284" t="inlineStr">
        <is>
          <t>Phase I generated Rev.00 Word file — linked; signatures not completed</t>
        </is>
      </c>
      <c r="J284" t="inlineStr">
        <is>
          <t>2026-08-10T19:29:54Z</t>
        </is>
      </c>
      <c r="K284" t="inlineStr">
        <is>
          <t>2026-08-10T19:49:40Z</t>
        </is>
      </c>
    </row>
    <row r="285">
      <c r="A285" s="19" t="inlineStr">
        <is>
          <t>284</t>
        </is>
      </c>
      <c r="B285" s="19" t="inlineStr">
        <is>
          <t>IA-PPWR-STM-ST-045-STD-07-R00</t>
        </is>
      </c>
      <c r="C285" t="inlineStr">
        <is>
          <t>IA-PPWR-STM-ST-045-STD-07-R00</t>
        </is>
      </c>
      <c r="D285" s="19" t="inlineStr">
        <is>
          <t>12</t>
        </is>
      </c>
      <c r="E285" t="inlineStr">
        <is>
          <t>01_STARTER/ST-045-STD-07/04_Shipment_Statement.docx</t>
        </is>
      </c>
      <c r="F285" t="inlineStr">
        <is>
          <t>ec9252e6f4c29088f7c239bfbd47d8575e1ae2275beee063cfe602d8f33dc8eb</t>
        </is>
      </c>
      <c r="G285" t="inlineStr">
        <is>
          <t>2026-08-08</t>
        </is>
      </c>
      <c r="H285" s="19" t="inlineStr">
        <is>
          <t>2</t>
        </is>
      </c>
      <c r="I285" t="inlineStr">
        <is>
          <t>Phase I generated Rev.00 Word file — linked; signatures not completed</t>
        </is>
      </c>
      <c r="J285" t="inlineStr">
        <is>
          <t>2026-08-10T19:29:54Z</t>
        </is>
      </c>
      <c r="K285" t="inlineStr">
        <is>
          <t>2026-08-10T19:49:40Z</t>
        </is>
      </c>
    </row>
    <row r="286">
      <c r="A286" s="19" t="inlineStr">
        <is>
          <t>285</t>
        </is>
      </c>
      <c r="B286" s="19" t="inlineStr">
        <is>
          <t>IA-PPWR-TF-ST-045-STD-08-R00</t>
        </is>
      </c>
      <c r="C286" t="inlineStr">
        <is>
          <t>IA-PPWR-TF-ST-045-STD-08-R00</t>
        </is>
      </c>
      <c r="D286" s="19" t="inlineStr">
        <is>
          <t>1</t>
        </is>
      </c>
      <c r="E286" t="inlineStr">
        <is>
          <t>01_STARTER/ST-045-STD-08/01_Technical_File.docx</t>
        </is>
      </c>
      <c r="F286" t="inlineStr">
        <is>
          <t>3875040e94e5237a53561394444fe659f80847d081da809cca9e5e483b6d3270</t>
        </is>
      </c>
      <c r="G286" t="inlineStr">
        <is>
          <t>2026-08-08</t>
        </is>
      </c>
      <c r="H286" s="19" t="inlineStr">
        <is>
          <t>2</t>
        </is>
      </c>
      <c r="I286" t="inlineStr">
        <is>
          <t>Phase I generated Rev.00 Word file — linked; signatures not completed</t>
        </is>
      </c>
      <c r="J286" t="inlineStr">
        <is>
          <t>2026-08-10T19:29:54Z</t>
        </is>
      </c>
      <c r="K286" t="inlineStr">
        <is>
          <t>2026-08-10T19:49:40Z</t>
        </is>
      </c>
    </row>
    <row r="287">
      <c r="A287" s="19" t="inlineStr">
        <is>
          <t>286</t>
        </is>
      </c>
      <c r="B287" s="19" t="inlineStr">
        <is>
          <t>IA-PPWR-DOC-ST-045-STD-08-R00</t>
        </is>
      </c>
      <c r="C287" t="inlineStr">
        <is>
          <t>IA-PPWR-DOC-ST-045-STD-08-R00</t>
        </is>
      </c>
      <c r="D287" s="19" t="inlineStr">
        <is>
          <t>4</t>
        </is>
      </c>
      <c r="E287" t="inlineStr">
        <is>
          <t>01_STARTER/ST-045-STD-08/02_EU_DoC.docx</t>
        </is>
      </c>
      <c r="F287" t="inlineStr">
        <is>
          <t>2e0ae962a61f5402fb096d9a3280b013d93835c544aec9519ef8607f770e34d0</t>
        </is>
      </c>
      <c r="G287" t="inlineStr">
        <is>
          <t>2026-08-08</t>
        </is>
      </c>
      <c r="H287" s="19" t="inlineStr">
        <is>
          <t>2</t>
        </is>
      </c>
      <c r="I287" t="inlineStr">
        <is>
          <t>Phase I generated Rev.00 Word file — linked; signatures not completed</t>
        </is>
      </c>
      <c r="J287" t="inlineStr">
        <is>
          <t>2026-08-10T19:29:54Z</t>
        </is>
      </c>
      <c r="K287" t="inlineStr">
        <is>
          <t>2026-08-10T19:49:40Z</t>
        </is>
      </c>
    </row>
    <row r="288">
      <c r="A288" s="19" t="inlineStr">
        <is>
          <t>287</t>
        </is>
      </c>
      <c r="B288" s="19" t="inlineStr">
        <is>
          <t>IA-PPWR-LBL-ST-045-STD-08-R00</t>
        </is>
      </c>
      <c r="C288" t="inlineStr">
        <is>
          <t>IA-PPWR-LBL-ST-045-STD-08-R00</t>
        </is>
      </c>
      <c r="D288" s="19" t="inlineStr">
        <is>
          <t>11</t>
        </is>
      </c>
      <c r="E288" t="inlineStr">
        <is>
          <t>01_STARTER/ST-045-STD-08/03_Label.docx</t>
        </is>
      </c>
      <c r="F288" t="inlineStr">
        <is>
          <t>d933b0f975460d944bef51fd60d4899217bb1793272d6ea92861f94c27f7fd4a</t>
        </is>
      </c>
      <c r="G288" t="inlineStr">
        <is>
          <t>2026-08-08</t>
        </is>
      </c>
      <c r="H288" s="19" t="inlineStr">
        <is>
          <t>2</t>
        </is>
      </c>
      <c r="I288" t="inlineStr">
        <is>
          <t>Phase I generated Rev.00 Word file — linked; signatures not completed</t>
        </is>
      </c>
      <c r="J288" t="inlineStr">
        <is>
          <t>2026-08-10T19:29:54Z</t>
        </is>
      </c>
      <c r="K288" t="inlineStr">
        <is>
          <t>2026-08-10T19:49:40Z</t>
        </is>
      </c>
    </row>
    <row r="289">
      <c r="A289" s="19" t="inlineStr">
        <is>
          <t>288</t>
        </is>
      </c>
      <c r="B289" s="19" t="inlineStr">
        <is>
          <t>IA-PPWR-STM-ST-045-STD-08-R00</t>
        </is>
      </c>
      <c r="C289" t="inlineStr">
        <is>
          <t>IA-PPWR-STM-ST-045-STD-08-R00</t>
        </is>
      </c>
      <c r="D289" s="19" t="inlineStr">
        <is>
          <t>12</t>
        </is>
      </c>
      <c r="E289" t="inlineStr">
        <is>
          <t>01_STARTER/ST-045-STD-08/04_Shipment_Statement.docx</t>
        </is>
      </c>
      <c r="F289" t="inlineStr">
        <is>
          <t>ab0357f527a796cabf1a5e75a282a5468abfe84478ee8acc02b093752e78d230</t>
        </is>
      </c>
      <c r="G289" t="inlineStr">
        <is>
          <t>2026-08-08</t>
        </is>
      </c>
      <c r="H289" s="19" t="inlineStr">
        <is>
          <t>2</t>
        </is>
      </c>
      <c r="I289" t="inlineStr">
        <is>
          <t>Phase I generated Rev.00 Word file — linked; signatures not completed</t>
        </is>
      </c>
      <c r="J289" t="inlineStr">
        <is>
          <t>2026-08-10T19:29:54Z</t>
        </is>
      </c>
      <c r="K289" t="inlineStr">
        <is>
          <t>2026-08-10T19:49:40Z</t>
        </is>
      </c>
    </row>
    <row r="290">
      <c r="A290" s="19" t="inlineStr">
        <is>
          <t>289</t>
        </is>
      </c>
      <c r="B290" s="19" t="inlineStr">
        <is>
          <t>IA-PPWR-TF-ST-045-STD-09-R00</t>
        </is>
      </c>
      <c r="C290" t="inlineStr">
        <is>
          <t>IA-PPWR-TF-ST-045-STD-09-R00</t>
        </is>
      </c>
      <c r="D290" s="19" t="inlineStr">
        <is>
          <t>1</t>
        </is>
      </c>
      <c r="E290" t="inlineStr">
        <is>
          <t>01_STARTER/ST-045-STD-09/01_Technical_File.docx</t>
        </is>
      </c>
      <c r="F290" t="inlineStr">
        <is>
          <t>f994e4350d826900835c3278f795c0464f11b093b5fccc3a097fe1938b2f0bfb</t>
        </is>
      </c>
      <c r="G290" t="inlineStr">
        <is>
          <t>2026-08-08</t>
        </is>
      </c>
      <c r="H290" s="19" t="inlineStr">
        <is>
          <t>2</t>
        </is>
      </c>
      <c r="I290" t="inlineStr">
        <is>
          <t>Phase I generated Rev.00 Word file — linked; signatures not completed</t>
        </is>
      </c>
      <c r="J290" t="inlineStr">
        <is>
          <t>2026-08-10T19:29:54Z</t>
        </is>
      </c>
      <c r="K290" t="inlineStr">
        <is>
          <t>2026-08-10T19:49:40Z</t>
        </is>
      </c>
    </row>
    <row r="291">
      <c r="A291" s="19" t="inlineStr">
        <is>
          <t>290</t>
        </is>
      </c>
      <c r="B291" s="19" t="inlineStr">
        <is>
          <t>IA-PPWR-DOC-ST-045-STD-09-R00</t>
        </is>
      </c>
      <c r="C291" t="inlineStr">
        <is>
          <t>IA-PPWR-DOC-ST-045-STD-09-R00</t>
        </is>
      </c>
      <c r="D291" s="19" t="inlineStr">
        <is>
          <t>4</t>
        </is>
      </c>
      <c r="E291" t="inlineStr">
        <is>
          <t>01_STARTER/ST-045-STD-09/02_EU_DoC.docx</t>
        </is>
      </c>
      <c r="F291" t="inlineStr">
        <is>
          <t>2b911dc92c08e746b67447b901f249e6f5a9a6db93b20717af7cc50e8589b1b4</t>
        </is>
      </c>
      <c r="G291" t="inlineStr">
        <is>
          <t>2026-08-08</t>
        </is>
      </c>
      <c r="H291" s="19" t="inlineStr">
        <is>
          <t>2</t>
        </is>
      </c>
      <c r="I291" t="inlineStr">
        <is>
          <t>Phase I generated Rev.00 Word file — linked; signatures not completed</t>
        </is>
      </c>
      <c r="J291" t="inlineStr">
        <is>
          <t>2026-08-10T19:29:54Z</t>
        </is>
      </c>
      <c r="K291" t="inlineStr">
        <is>
          <t>2026-08-10T19:49:40Z</t>
        </is>
      </c>
    </row>
    <row r="292">
      <c r="A292" s="19" t="inlineStr">
        <is>
          <t>291</t>
        </is>
      </c>
      <c r="B292" s="19" t="inlineStr">
        <is>
          <t>IA-PPWR-LBL-ST-045-STD-09-R00</t>
        </is>
      </c>
      <c r="C292" t="inlineStr">
        <is>
          <t>IA-PPWR-LBL-ST-045-STD-09-R00</t>
        </is>
      </c>
      <c r="D292" s="19" t="inlineStr">
        <is>
          <t>11</t>
        </is>
      </c>
      <c r="E292" t="inlineStr">
        <is>
          <t>01_STARTER/ST-045-STD-09/03_Label.docx</t>
        </is>
      </c>
      <c r="F292" t="inlineStr">
        <is>
          <t>906b1db7a0e2028415ab0674cd52d6f856ce17b972777d24e7b0bd736568fbb4</t>
        </is>
      </c>
      <c r="G292" t="inlineStr">
        <is>
          <t>2026-08-08</t>
        </is>
      </c>
      <c r="H292" s="19" t="inlineStr">
        <is>
          <t>2</t>
        </is>
      </c>
      <c r="I292" t="inlineStr">
        <is>
          <t>Phase I generated Rev.00 Word file — linked; signatures not completed</t>
        </is>
      </c>
      <c r="J292" t="inlineStr">
        <is>
          <t>2026-08-10T19:29:54Z</t>
        </is>
      </c>
      <c r="K292" t="inlineStr">
        <is>
          <t>2026-08-10T19:49:40Z</t>
        </is>
      </c>
    </row>
    <row r="293">
      <c r="A293" s="19" t="inlineStr">
        <is>
          <t>292</t>
        </is>
      </c>
      <c r="B293" s="19" t="inlineStr">
        <is>
          <t>IA-PPWR-STM-ST-045-STD-09-R00</t>
        </is>
      </c>
      <c r="C293" t="inlineStr">
        <is>
          <t>IA-PPWR-STM-ST-045-STD-09-R00</t>
        </is>
      </c>
      <c r="D293" s="19" t="inlineStr">
        <is>
          <t>12</t>
        </is>
      </c>
      <c r="E293" t="inlineStr">
        <is>
          <t>01_STARTER/ST-045-STD-09/04_Shipment_Statement.docx</t>
        </is>
      </c>
      <c r="F293" t="inlineStr">
        <is>
          <t>6528f22484f533defb462e6654e1b5623f6ef485f2b8b003a79ea4d00e4846f1</t>
        </is>
      </c>
      <c r="G293" t="inlineStr">
        <is>
          <t>2026-08-08</t>
        </is>
      </c>
      <c r="H293" s="19" t="inlineStr">
        <is>
          <t>2</t>
        </is>
      </c>
      <c r="I293" t="inlineStr">
        <is>
          <t>Phase I generated Rev.00 Word file — linked; signatures not completed</t>
        </is>
      </c>
      <c r="J293" t="inlineStr">
        <is>
          <t>2026-08-10T19:29:54Z</t>
        </is>
      </c>
      <c r="K293" t="inlineStr">
        <is>
          <t>2026-08-10T19:49:40Z</t>
        </is>
      </c>
    </row>
    <row r="294">
      <c r="A294" s="19" t="inlineStr">
        <is>
          <t>293</t>
        </is>
      </c>
      <c r="B294" s="19" t="inlineStr">
        <is>
          <t>IA-PPWR-TF-ST-045-STD-10-R00</t>
        </is>
      </c>
      <c r="C294" t="inlineStr">
        <is>
          <t>IA-PPWR-TF-ST-045-STD-10-R00</t>
        </is>
      </c>
      <c r="D294" s="19" t="inlineStr">
        <is>
          <t>1</t>
        </is>
      </c>
      <c r="E294" t="inlineStr">
        <is>
          <t>01_STARTER/ST-045-STD-10/01_Technical_File.docx</t>
        </is>
      </c>
      <c r="F294" t="inlineStr">
        <is>
          <t>b78c7b83e30bfd3233ff425cba0a7a90df98426c9620e06395a163b5817585f1</t>
        </is>
      </c>
      <c r="G294" t="inlineStr">
        <is>
          <t>2026-08-08</t>
        </is>
      </c>
      <c r="H294" s="19" t="inlineStr">
        <is>
          <t>2</t>
        </is>
      </c>
      <c r="I294" t="inlineStr">
        <is>
          <t>Phase I generated Rev.00 Word file — linked; signatures not completed</t>
        </is>
      </c>
      <c r="J294" t="inlineStr">
        <is>
          <t>2026-08-10T19:29:54Z</t>
        </is>
      </c>
      <c r="K294" t="inlineStr">
        <is>
          <t>2026-08-10T19:49:40Z</t>
        </is>
      </c>
    </row>
    <row r="295">
      <c r="A295" s="19" t="inlineStr">
        <is>
          <t>294</t>
        </is>
      </c>
      <c r="B295" s="19" t="inlineStr">
        <is>
          <t>IA-PPWR-DOC-ST-045-STD-10-R00</t>
        </is>
      </c>
      <c r="C295" t="inlineStr">
        <is>
          <t>IA-PPWR-DOC-ST-045-STD-10-R00</t>
        </is>
      </c>
      <c r="D295" s="19" t="inlineStr">
        <is>
          <t>4</t>
        </is>
      </c>
      <c r="E295" t="inlineStr">
        <is>
          <t>01_STARTER/ST-045-STD-10/02_EU_DoC.docx</t>
        </is>
      </c>
      <c r="F295" t="inlineStr">
        <is>
          <t>e48a7a5dcefcc0a2af5cffc4ad7e9a623744ae9e09bbbe13f9e12fd8f0658f5b</t>
        </is>
      </c>
      <c r="G295" t="inlineStr">
        <is>
          <t>2026-08-08</t>
        </is>
      </c>
      <c r="H295" s="19" t="inlineStr">
        <is>
          <t>2</t>
        </is>
      </c>
      <c r="I295" t="inlineStr">
        <is>
          <t>Phase I generated Rev.00 Word file — linked; signatures not completed</t>
        </is>
      </c>
      <c r="J295" t="inlineStr">
        <is>
          <t>2026-08-10T19:29:54Z</t>
        </is>
      </c>
      <c r="K295" t="inlineStr">
        <is>
          <t>2026-08-10T19:49:40Z</t>
        </is>
      </c>
    </row>
    <row r="296">
      <c r="A296" s="19" t="inlineStr">
        <is>
          <t>295</t>
        </is>
      </c>
      <c r="B296" s="19" t="inlineStr">
        <is>
          <t>IA-PPWR-LBL-ST-045-STD-10-R00</t>
        </is>
      </c>
      <c r="C296" t="inlineStr">
        <is>
          <t>IA-PPWR-LBL-ST-045-STD-10-R00</t>
        </is>
      </c>
      <c r="D296" s="19" t="inlineStr">
        <is>
          <t>11</t>
        </is>
      </c>
      <c r="E296" t="inlineStr">
        <is>
          <t>01_STARTER/ST-045-STD-10/03_Label.docx</t>
        </is>
      </c>
      <c r="F296" t="inlineStr">
        <is>
          <t>ae06b9f50771a1fc63db153b786583f9306ae5368764334a7150433aead0e4d4</t>
        </is>
      </c>
      <c r="G296" t="inlineStr">
        <is>
          <t>2026-08-08</t>
        </is>
      </c>
      <c r="H296" s="19" t="inlineStr">
        <is>
          <t>2</t>
        </is>
      </c>
      <c r="I296" t="inlineStr">
        <is>
          <t>Phase I generated Rev.00 Word file — linked; signatures not completed</t>
        </is>
      </c>
      <c r="J296" t="inlineStr">
        <is>
          <t>2026-08-10T19:29:54Z</t>
        </is>
      </c>
      <c r="K296" t="inlineStr">
        <is>
          <t>2026-08-10T19:49:40Z</t>
        </is>
      </c>
    </row>
    <row r="297">
      <c r="A297" s="19" t="inlineStr">
        <is>
          <t>296</t>
        </is>
      </c>
      <c r="B297" s="19" t="inlineStr">
        <is>
          <t>IA-PPWR-STM-ST-045-STD-10-R00</t>
        </is>
      </c>
      <c r="C297" t="inlineStr">
        <is>
          <t>IA-PPWR-STM-ST-045-STD-10-R00</t>
        </is>
      </c>
      <c r="D297" s="19" t="inlineStr">
        <is>
          <t>12</t>
        </is>
      </c>
      <c r="E297" t="inlineStr">
        <is>
          <t>01_STARTER/ST-045-STD-10/04_Shipment_Statement.docx</t>
        </is>
      </c>
      <c r="F297" t="inlineStr">
        <is>
          <t>5cbdf97cb6d5861cf36202a9db3f2fa5fe5f1487245ce8bf113ec25e4f45b1c7</t>
        </is>
      </c>
      <c r="G297" t="inlineStr">
        <is>
          <t>2026-08-08</t>
        </is>
      </c>
      <c r="H297" s="19" t="inlineStr">
        <is>
          <t>2</t>
        </is>
      </c>
      <c r="I297" t="inlineStr">
        <is>
          <t>Phase I generated Rev.00 Word file — linked; signatures not completed</t>
        </is>
      </c>
      <c r="J297" t="inlineStr">
        <is>
          <t>2026-08-10T19:29:54Z</t>
        </is>
      </c>
      <c r="K297" t="inlineStr">
        <is>
          <t>2026-08-10T19:49:40Z</t>
        </is>
      </c>
    </row>
    <row r="298">
      <c r="A298" s="19" t="inlineStr">
        <is>
          <t>297</t>
        </is>
      </c>
      <c r="B298" s="19" t="inlineStr">
        <is>
          <t>IA-PPWR-TF-ST-045-STD-11-R00</t>
        </is>
      </c>
      <c r="C298" t="inlineStr">
        <is>
          <t>IA-PPWR-TF-ST-045-STD-11-R00</t>
        </is>
      </c>
      <c r="D298" s="19" t="inlineStr">
        <is>
          <t>1</t>
        </is>
      </c>
      <c r="E298" t="inlineStr">
        <is>
          <t>01_STARTER/ST-045-STD-11/01_Technical_File.docx</t>
        </is>
      </c>
      <c r="F298" t="inlineStr">
        <is>
          <t>56ef2c0840da41a1cae7bcafba6353c928df8ee8972d8231e563cd0b3eca8654</t>
        </is>
      </c>
      <c r="G298" t="inlineStr">
        <is>
          <t>2026-08-08</t>
        </is>
      </c>
      <c r="H298" s="19" t="inlineStr">
        <is>
          <t>2</t>
        </is>
      </c>
      <c r="I298" t="inlineStr">
        <is>
          <t>Phase I generated Rev.00 Word file — linked; signatures not completed</t>
        </is>
      </c>
      <c r="J298" t="inlineStr">
        <is>
          <t>2026-08-10T19:29:54Z</t>
        </is>
      </c>
      <c r="K298" t="inlineStr">
        <is>
          <t>2026-08-10T19:49:40Z</t>
        </is>
      </c>
    </row>
    <row r="299">
      <c r="A299" s="19" t="inlineStr">
        <is>
          <t>298</t>
        </is>
      </c>
      <c r="B299" s="19" t="inlineStr">
        <is>
          <t>IA-PPWR-DOC-ST-045-STD-11-R00</t>
        </is>
      </c>
      <c r="C299" t="inlineStr">
        <is>
          <t>IA-PPWR-DOC-ST-045-STD-11-R00</t>
        </is>
      </c>
      <c r="D299" s="19" t="inlineStr">
        <is>
          <t>4</t>
        </is>
      </c>
      <c r="E299" t="inlineStr">
        <is>
          <t>01_STARTER/ST-045-STD-11/02_EU_DoC.docx</t>
        </is>
      </c>
      <c r="F299" t="inlineStr">
        <is>
          <t>8a3d1a00a472a61a5862b9921b177bb7d5510642eca6f8366ca5b5a801706aef</t>
        </is>
      </c>
      <c r="G299" t="inlineStr">
        <is>
          <t>2026-08-08</t>
        </is>
      </c>
      <c r="H299" s="19" t="inlineStr">
        <is>
          <t>2</t>
        </is>
      </c>
      <c r="I299" t="inlineStr">
        <is>
          <t>Phase I generated Rev.00 Word file — linked; signatures not completed</t>
        </is>
      </c>
      <c r="J299" t="inlineStr">
        <is>
          <t>2026-08-10T19:29:54Z</t>
        </is>
      </c>
      <c r="K299" t="inlineStr">
        <is>
          <t>2026-08-10T19:49:40Z</t>
        </is>
      </c>
    </row>
    <row r="300">
      <c r="A300" s="19" t="inlineStr">
        <is>
          <t>299</t>
        </is>
      </c>
      <c r="B300" s="19" t="inlineStr">
        <is>
          <t>IA-PPWR-LBL-ST-045-STD-11-R00</t>
        </is>
      </c>
      <c r="C300" t="inlineStr">
        <is>
          <t>IA-PPWR-LBL-ST-045-STD-11-R00</t>
        </is>
      </c>
      <c r="D300" s="19" t="inlineStr">
        <is>
          <t>11</t>
        </is>
      </c>
      <c r="E300" t="inlineStr">
        <is>
          <t>01_STARTER/ST-045-STD-11/03_Label.docx</t>
        </is>
      </c>
      <c r="F300" t="inlineStr">
        <is>
          <t>d6a5e4d206b4ac17c3aedd12fa0d1b29886836edb9ffd28e89105e45375bb441</t>
        </is>
      </c>
      <c r="G300" t="inlineStr">
        <is>
          <t>2026-08-08</t>
        </is>
      </c>
      <c r="H300" s="19" t="inlineStr">
        <is>
          <t>2</t>
        </is>
      </c>
      <c r="I300" t="inlineStr">
        <is>
          <t>Phase I generated Rev.00 Word file — linked; signatures not completed</t>
        </is>
      </c>
      <c r="J300" t="inlineStr">
        <is>
          <t>2026-08-10T19:29:54Z</t>
        </is>
      </c>
      <c r="K300" t="inlineStr">
        <is>
          <t>2026-08-10T19:49:40Z</t>
        </is>
      </c>
    </row>
    <row r="301">
      <c r="A301" s="19" t="inlineStr">
        <is>
          <t>300</t>
        </is>
      </c>
      <c r="B301" s="19" t="inlineStr">
        <is>
          <t>IA-PPWR-STM-ST-045-STD-11-R00</t>
        </is>
      </c>
      <c r="C301" t="inlineStr">
        <is>
          <t>IA-PPWR-STM-ST-045-STD-11-R00</t>
        </is>
      </c>
      <c r="D301" s="19" t="inlineStr">
        <is>
          <t>12</t>
        </is>
      </c>
      <c r="E301" t="inlineStr">
        <is>
          <t>01_STARTER/ST-045-STD-11/04_Shipment_Statement.docx</t>
        </is>
      </c>
      <c r="F301" t="inlineStr">
        <is>
          <t>cb99efd4dbc033835d567fece8a48da04505d0fa5577da083d706814320d9617</t>
        </is>
      </c>
      <c r="G301" t="inlineStr">
        <is>
          <t>2026-08-08</t>
        </is>
      </c>
      <c r="H301" s="19" t="inlineStr">
        <is>
          <t>2</t>
        </is>
      </c>
      <c r="I301" t="inlineStr">
        <is>
          <t>Phase I generated Rev.00 Word file — linked; signatures not completed</t>
        </is>
      </c>
      <c r="J301" t="inlineStr">
        <is>
          <t>2026-08-10T19:29:54Z</t>
        </is>
      </c>
      <c r="K301" t="inlineStr">
        <is>
          <t>2026-08-10T19:49:40Z</t>
        </is>
      </c>
    </row>
    <row r="302">
      <c r="A302" s="19" t="inlineStr">
        <is>
          <t>301</t>
        </is>
      </c>
      <c r="B302" s="19" t="inlineStr">
        <is>
          <t>IA-PPWR-TF-ST-045-STD-12-R00</t>
        </is>
      </c>
      <c r="C302" t="inlineStr">
        <is>
          <t>IA-PPWR-TF-ST-045-STD-12-R00</t>
        </is>
      </c>
      <c r="D302" s="19" t="inlineStr">
        <is>
          <t>1</t>
        </is>
      </c>
      <c r="E302" t="inlineStr">
        <is>
          <t>01_STARTER/ST-045-STD-12/01_Technical_File.docx</t>
        </is>
      </c>
      <c r="F302" t="inlineStr">
        <is>
          <t>144c89ded8ae4e435bd251923b1f51fb8e2527df83aa2e4c84ba88460104fb57</t>
        </is>
      </c>
      <c r="G302" t="inlineStr">
        <is>
          <t>2026-08-08</t>
        </is>
      </c>
      <c r="H302" s="19" t="inlineStr">
        <is>
          <t>2</t>
        </is>
      </c>
      <c r="I302" t="inlineStr">
        <is>
          <t>Phase I generated Rev.00 Word file — linked; signatures not completed</t>
        </is>
      </c>
      <c r="J302" t="inlineStr">
        <is>
          <t>2026-08-10T19:29:54Z</t>
        </is>
      </c>
      <c r="K302" t="inlineStr">
        <is>
          <t>2026-08-10T19:49:40Z</t>
        </is>
      </c>
    </row>
    <row r="303">
      <c r="A303" s="19" t="inlineStr">
        <is>
          <t>302</t>
        </is>
      </c>
      <c r="B303" s="19" t="inlineStr">
        <is>
          <t>IA-PPWR-DOC-ST-045-STD-12-R00</t>
        </is>
      </c>
      <c r="C303" t="inlineStr">
        <is>
          <t>IA-PPWR-DOC-ST-045-STD-12-R00</t>
        </is>
      </c>
      <c r="D303" s="19" t="inlineStr">
        <is>
          <t>4</t>
        </is>
      </c>
      <c r="E303" t="inlineStr">
        <is>
          <t>01_STARTER/ST-045-STD-12/02_EU_DoC.docx</t>
        </is>
      </c>
      <c r="F303" t="inlineStr">
        <is>
          <t>f5b34569f2076cda8eda60b72135ba8aca107b6e99d200f1a772faf40bc825be</t>
        </is>
      </c>
      <c r="G303" t="inlineStr">
        <is>
          <t>2026-08-08</t>
        </is>
      </c>
      <c r="H303" s="19" t="inlineStr">
        <is>
          <t>2</t>
        </is>
      </c>
      <c r="I303" t="inlineStr">
        <is>
          <t>Phase I generated Rev.00 Word file — linked; signatures not completed</t>
        </is>
      </c>
      <c r="J303" t="inlineStr">
        <is>
          <t>2026-08-10T19:29:54Z</t>
        </is>
      </c>
      <c r="K303" t="inlineStr">
        <is>
          <t>2026-08-10T19:49:40Z</t>
        </is>
      </c>
    </row>
    <row r="304">
      <c r="A304" s="19" t="inlineStr">
        <is>
          <t>303</t>
        </is>
      </c>
      <c r="B304" s="19" t="inlineStr">
        <is>
          <t>IA-PPWR-LBL-ST-045-STD-12-R00</t>
        </is>
      </c>
      <c r="C304" t="inlineStr">
        <is>
          <t>IA-PPWR-LBL-ST-045-STD-12-R00</t>
        </is>
      </c>
      <c r="D304" s="19" t="inlineStr">
        <is>
          <t>11</t>
        </is>
      </c>
      <c r="E304" t="inlineStr">
        <is>
          <t>01_STARTER/ST-045-STD-12/03_Label.docx</t>
        </is>
      </c>
      <c r="F304" t="inlineStr">
        <is>
          <t>e4631f494c9cda9eed3b59dfe61fece65d9bc8e52f975122e506c54527569414</t>
        </is>
      </c>
      <c r="G304" t="inlineStr">
        <is>
          <t>2026-08-08</t>
        </is>
      </c>
      <c r="H304" s="19" t="inlineStr">
        <is>
          <t>2</t>
        </is>
      </c>
      <c r="I304" t="inlineStr">
        <is>
          <t>Phase I generated Rev.00 Word file — linked; signatures not completed</t>
        </is>
      </c>
      <c r="J304" t="inlineStr">
        <is>
          <t>2026-08-10T19:29:54Z</t>
        </is>
      </c>
      <c r="K304" t="inlineStr">
        <is>
          <t>2026-08-10T19:49:40Z</t>
        </is>
      </c>
    </row>
    <row r="305">
      <c r="A305" s="19" t="inlineStr">
        <is>
          <t>304</t>
        </is>
      </c>
      <c r="B305" s="19" t="inlineStr">
        <is>
          <t>IA-PPWR-STM-ST-045-STD-12-R00</t>
        </is>
      </c>
      <c r="C305" t="inlineStr">
        <is>
          <t>IA-PPWR-STM-ST-045-STD-12-R00</t>
        </is>
      </c>
      <c r="D305" s="19" t="inlineStr">
        <is>
          <t>12</t>
        </is>
      </c>
      <c r="E305" t="inlineStr">
        <is>
          <t>01_STARTER/ST-045-STD-12/04_Shipment_Statement.docx</t>
        </is>
      </c>
      <c r="F305" t="inlineStr">
        <is>
          <t>f6480d13cef7c32e627eb0ca6fa464b502de11b62244cabf550e328361e153a6</t>
        </is>
      </c>
      <c r="G305" t="inlineStr">
        <is>
          <t>2026-08-08</t>
        </is>
      </c>
      <c r="H305" s="19" t="inlineStr">
        <is>
          <t>2</t>
        </is>
      </c>
      <c r="I305" t="inlineStr">
        <is>
          <t>Phase I generated Rev.00 Word file — linked; signatures not completed</t>
        </is>
      </c>
      <c r="J305" t="inlineStr">
        <is>
          <t>2026-08-10T19:29:54Z</t>
        </is>
      </c>
      <c r="K305" t="inlineStr">
        <is>
          <t>2026-08-10T19:49:40Z</t>
        </is>
      </c>
    </row>
    <row r="306">
      <c r="A306" s="19" t="inlineStr">
        <is>
          <t>305</t>
        </is>
      </c>
      <c r="B306" s="19" t="inlineStr">
        <is>
          <t>IA-PPWR-TF-ST-045-STD-13-R00</t>
        </is>
      </c>
      <c r="C306" t="inlineStr">
        <is>
          <t>IA-PPWR-TF-ST-045-STD-13-R00</t>
        </is>
      </c>
      <c r="D306" s="19" t="inlineStr">
        <is>
          <t>1</t>
        </is>
      </c>
      <c r="E306" t="inlineStr">
        <is>
          <t>01_STARTER/ST-045-STD-13/01_Technical_File.docx</t>
        </is>
      </c>
      <c r="F306" t="inlineStr">
        <is>
          <t>ec11cde34494ad22d8afbf60660deab26eec6da7123ec2b2783ee9cdc1b920a1</t>
        </is>
      </c>
      <c r="G306" t="inlineStr">
        <is>
          <t>2026-08-08</t>
        </is>
      </c>
      <c r="H306" s="19" t="inlineStr">
        <is>
          <t>2</t>
        </is>
      </c>
      <c r="I306" t="inlineStr">
        <is>
          <t>Phase I generated Rev.00 Word file — linked; signatures not completed</t>
        </is>
      </c>
      <c r="J306" t="inlineStr">
        <is>
          <t>2026-08-10T19:29:54Z</t>
        </is>
      </c>
      <c r="K306" t="inlineStr">
        <is>
          <t>2026-08-10T19:49:40Z</t>
        </is>
      </c>
    </row>
    <row r="307">
      <c r="A307" s="19" t="inlineStr">
        <is>
          <t>306</t>
        </is>
      </c>
      <c r="B307" s="19" t="inlineStr">
        <is>
          <t>IA-PPWR-DOC-ST-045-STD-13-R00</t>
        </is>
      </c>
      <c r="C307" t="inlineStr">
        <is>
          <t>IA-PPWR-DOC-ST-045-STD-13-R00</t>
        </is>
      </c>
      <c r="D307" s="19" t="inlineStr">
        <is>
          <t>4</t>
        </is>
      </c>
      <c r="E307" t="inlineStr">
        <is>
          <t>01_STARTER/ST-045-STD-13/02_EU_DoC.docx</t>
        </is>
      </c>
      <c r="F307" t="inlineStr">
        <is>
          <t>f619fe71a85afd94c6a377c57780d60085be1701f457e95a7920ad04f64fe9a3</t>
        </is>
      </c>
      <c r="G307" t="inlineStr">
        <is>
          <t>2026-08-08</t>
        </is>
      </c>
      <c r="H307" s="19" t="inlineStr">
        <is>
          <t>2</t>
        </is>
      </c>
      <c r="I307" t="inlineStr">
        <is>
          <t>Phase I generated Rev.00 Word file — linked; signatures not completed</t>
        </is>
      </c>
      <c r="J307" t="inlineStr">
        <is>
          <t>2026-08-10T19:29:54Z</t>
        </is>
      </c>
      <c r="K307" t="inlineStr">
        <is>
          <t>2026-08-10T19:49:40Z</t>
        </is>
      </c>
    </row>
    <row r="308">
      <c r="A308" s="19" t="inlineStr">
        <is>
          <t>307</t>
        </is>
      </c>
      <c r="B308" s="19" t="inlineStr">
        <is>
          <t>IA-PPWR-LBL-ST-045-STD-13-R00</t>
        </is>
      </c>
      <c r="C308" t="inlineStr">
        <is>
          <t>IA-PPWR-LBL-ST-045-STD-13-R00</t>
        </is>
      </c>
      <c r="D308" s="19" t="inlineStr">
        <is>
          <t>11</t>
        </is>
      </c>
      <c r="E308" t="inlineStr">
        <is>
          <t>01_STARTER/ST-045-STD-13/03_Label.docx</t>
        </is>
      </c>
      <c r="F308" t="inlineStr">
        <is>
          <t>777ed996797a6378113d0db2d57fb754635c62fa3eed8046a9bee4706990eca0</t>
        </is>
      </c>
      <c r="G308" t="inlineStr">
        <is>
          <t>2026-08-08</t>
        </is>
      </c>
      <c r="H308" s="19" t="inlineStr">
        <is>
          <t>2</t>
        </is>
      </c>
      <c r="I308" t="inlineStr">
        <is>
          <t>Phase I generated Rev.00 Word file — linked; signatures not completed</t>
        </is>
      </c>
      <c r="J308" t="inlineStr">
        <is>
          <t>2026-08-10T19:29:54Z</t>
        </is>
      </c>
      <c r="K308" t="inlineStr">
        <is>
          <t>2026-08-10T19:49:40Z</t>
        </is>
      </c>
    </row>
    <row r="309">
      <c r="A309" s="19" t="inlineStr">
        <is>
          <t>308</t>
        </is>
      </c>
      <c r="B309" s="19" t="inlineStr">
        <is>
          <t>IA-PPWR-STM-ST-045-STD-13-R00</t>
        </is>
      </c>
      <c r="C309" t="inlineStr">
        <is>
          <t>IA-PPWR-STM-ST-045-STD-13-R00</t>
        </is>
      </c>
      <c r="D309" s="19" t="inlineStr">
        <is>
          <t>12</t>
        </is>
      </c>
      <c r="E309" t="inlineStr">
        <is>
          <t>01_STARTER/ST-045-STD-13/04_Shipment_Statement.docx</t>
        </is>
      </c>
      <c r="F309" t="inlineStr">
        <is>
          <t>c16a3ad8ad0d184c49e25c1a4e897d500c319706488dcf01355520d6809d2de8</t>
        </is>
      </c>
      <c r="G309" t="inlineStr">
        <is>
          <t>2026-08-08</t>
        </is>
      </c>
      <c r="H309" s="19" t="inlineStr">
        <is>
          <t>2</t>
        </is>
      </c>
      <c r="I309" t="inlineStr">
        <is>
          <t>Phase I generated Rev.00 Word file — linked; signatures not completed</t>
        </is>
      </c>
      <c r="J309" t="inlineStr">
        <is>
          <t>2026-08-10T19:29:54Z</t>
        </is>
      </c>
      <c r="K309" t="inlineStr">
        <is>
          <t>2026-08-10T19:49:40Z</t>
        </is>
      </c>
    </row>
    <row r="310">
      <c r="A310" s="19" t="inlineStr">
        <is>
          <t>309</t>
        </is>
      </c>
      <c r="B310" s="19" t="inlineStr">
        <is>
          <t>IA-PPWR-TF-ST-045-STD-14-R00</t>
        </is>
      </c>
      <c r="C310" t="inlineStr">
        <is>
          <t>IA-PPWR-TF-ST-045-STD-14-R00</t>
        </is>
      </c>
      <c r="D310" s="19" t="inlineStr">
        <is>
          <t>1</t>
        </is>
      </c>
      <c r="E310" t="inlineStr">
        <is>
          <t>01_STARTER/ST-045-STD-14/01_Technical_File.docx</t>
        </is>
      </c>
      <c r="F310" t="inlineStr">
        <is>
          <t>81639fc82389e4c756c25c688af00547a708925f4a2669b8409d96ee8f00914e</t>
        </is>
      </c>
      <c r="G310" t="inlineStr">
        <is>
          <t>2026-08-08</t>
        </is>
      </c>
      <c r="H310" s="19" t="inlineStr">
        <is>
          <t>2</t>
        </is>
      </c>
      <c r="I310" t="inlineStr">
        <is>
          <t>Phase I generated Rev.00 Word file — linked; signatures not completed</t>
        </is>
      </c>
      <c r="J310" t="inlineStr">
        <is>
          <t>2026-08-10T19:29:54Z</t>
        </is>
      </c>
      <c r="K310" t="inlineStr">
        <is>
          <t>2026-08-10T19:49:40Z</t>
        </is>
      </c>
    </row>
    <row r="311">
      <c r="A311" s="19" t="inlineStr">
        <is>
          <t>310</t>
        </is>
      </c>
      <c r="B311" s="19" t="inlineStr">
        <is>
          <t>IA-PPWR-DOC-ST-045-STD-14-R00</t>
        </is>
      </c>
      <c r="C311" t="inlineStr">
        <is>
          <t>IA-PPWR-DOC-ST-045-STD-14-R00</t>
        </is>
      </c>
      <c r="D311" s="19" t="inlineStr">
        <is>
          <t>4</t>
        </is>
      </c>
      <c r="E311" t="inlineStr">
        <is>
          <t>01_STARTER/ST-045-STD-14/02_EU_DoC.docx</t>
        </is>
      </c>
      <c r="F311" t="inlineStr">
        <is>
          <t>234a7736175d7310b2ffaa62677894f3420f7e185c76f4bb66cf05498a7c55dc</t>
        </is>
      </c>
      <c r="G311" t="inlineStr">
        <is>
          <t>2026-08-08</t>
        </is>
      </c>
      <c r="H311" s="19" t="inlineStr">
        <is>
          <t>2</t>
        </is>
      </c>
      <c r="I311" t="inlineStr">
        <is>
          <t>Phase I generated Rev.00 Word file — linked; signatures not completed</t>
        </is>
      </c>
      <c r="J311" t="inlineStr">
        <is>
          <t>2026-08-10T19:29:54Z</t>
        </is>
      </c>
      <c r="K311" t="inlineStr">
        <is>
          <t>2026-08-10T19:49:40Z</t>
        </is>
      </c>
    </row>
    <row r="312">
      <c r="A312" s="19" t="inlineStr">
        <is>
          <t>311</t>
        </is>
      </c>
      <c r="B312" s="19" t="inlineStr">
        <is>
          <t>IA-PPWR-LBL-ST-045-STD-14-R00</t>
        </is>
      </c>
      <c r="C312" t="inlineStr">
        <is>
          <t>IA-PPWR-LBL-ST-045-STD-14-R00</t>
        </is>
      </c>
      <c r="D312" s="19" t="inlineStr">
        <is>
          <t>11</t>
        </is>
      </c>
      <c r="E312" t="inlineStr">
        <is>
          <t>01_STARTER/ST-045-STD-14/03_Label.docx</t>
        </is>
      </c>
      <c r="F312" t="inlineStr">
        <is>
          <t>9547f2e4412d4e6dd0b63e4d1bb389eaaf6d5351aa92600022e4c81bccde3805</t>
        </is>
      </c>
      <c r="G312" t="inlineStr">
        <is>
          <t>2026-08-08</t>
        </is>
      </c>
      <c r="H312" s="19" t="inlineStr">
        <is>
          <t>2</t>
        </is>
      </c>
      <c r="I312" t="inlineStr">
        <is>
          <t>Phase I generated Rev.00 Word file — linked; signatures not completed</t>
        </is>
      </c>
      <c r="J312" t="inlineStr">
        <is>
          <t>2026-08-10T19:29:54Z</t>
        </is>
      </c>
      <c r="K312" t="inlineStr">
        <is>
          <t>2026-08-10T19:49:40Z</t>
        </is>
      </c>
    </row>
    <row r="313">
      <c r="A313" s="19" t="inlineStr">
        <is>
          <t>312</t>
        </is>
      </c>
      <c r="B313" s="19" t="inlineStr">
        <is>
          <t>IA-PPWR-STM-ST-045-STD-14-R00</t>
        </is>
      </c>
      <c r="C313" t="inlineStr">
        <is>
          <t>IA-PPWR-STM-ST-045-STD-14-R00</t>
        </is>
      </c>
      <c r="D313" s="19" t="inlineStr">
        <is>
          <t>12</t>
        </is>
      </c>
      <c r="E313" t="inlineStr">
        <is>
          <t>01_STARTER/ST-045-STD-14/04_Shipment_Statement.docx</t>
        </is>
      </c>
      <c r="F313" t="inlineStr">
        <is>
          <t>8e4c364eb59809a59211f9ebb3334c03dee6fb3e2d9322c15db4a3254885f03f</t>
        </is>
      </c>
      <c r="G313" t="inlineStr">
        <is>
          <t>2026-08-08</t>
        </is>
      </c>
      <c r="H313" s="19" t="inlineStr">
        <is>
          <t>2</t>
        </is>
      </c>
      <c r="I313" t="inlineStr">
        <is>
          <t>Phase I generated Rev.00 Word file — linked; signatures not completed</t>
        </is>
      </c>
      <c r="J313" t="inlineStr">
        <is>
          <t>2026-08-10T19:29:54Z</t>
        </is>
      </c>
      <c r="K313" t="inlineStr">
        <is>
          <t>2026-08-10T19:49:40Z</t>
        </is>
      </c>
    </row>
    <row r="314">
      <c r="A314" s="19" t="inlineStr">
        <is>
          <t>313</t>
        </is>
      </c>
      <c r="B314" s="19" t="inlineStr">
        <is>
          <t>IA-PPWR-TF-ST-048-EUR-01-R00</t>
        </is>
      </c>
      <c r="C314" t="inlineStr">
        <is>
          <t>IA-PPWR-TF-ST-048-EUR-01-R00</t>
        </is>
      </c>
      <c r="D314" s="19" t="inlineStr">
        <is>
          <t>1</t>
        </is>
      </c>
      <c r="E314" t="inlineStr">
        <is>
          <t>01_STARTER/ST-048-EUR-01/01_Technical_File.docx</t>
        </is>
      </c>
      <c r="F314" t="inlineStr">
        <is>
          <t>db73703a00cf9da23a5bf492dcfe236dc472b629088e562de09be2898ab34666</t>
        </is>
      </c>
      <c r="G314" t="inlineStr">
        <is>
          <t>2026-08-08</t>
        </is>
      </c>
      <c r="H314" s="19" t="inlineStr">
        <is>
          <t>2</t>
        </is>
      </c>
      <c r="I314" t="inlineStr">
        <is>
          <t>Phase I generated Rev.00 Word file — linked; signatures not completed</t>
        </is>
      </c>
      <c r="J314" t="inlineStr">
        <is>
          <t>2026-08-10T19:29:54Z</t>
        </is>
      </c>
      <c r="K314" t="inlineStr">
        <is>
          <t>2026-08-10T19:49:40Z</t>
        </is>
      </c>
    </row>
    <row r="315">
      <c r="A315" s="19" t="inlineStr">
        <is>
          <t>314</t>
        </is>
      </c>
      <c r="B315" s="19" t="inlineStr">
        <is>
          <t>IA-PPWR-DOC-ST-048-EUR-01-R00</t>
        </is>
      </c>
      <c r="C315" t="inlineStr">
        <is>
          <t>IA-PPWR-DOC-ST-048-EUR-01-R00</t>
        </is>
      </c>
      <c r="D315" s="19" t="inlineStr">
        <is>
          <t>4</t>
        </is>
      </c>
      <c r="E315" t="inlineStr">
        <is>
          <t>01_STARTER/ST-048-EUR-01/02_EU_DoC.docx</t>
        </is>
      </c>
      <c r="F315" t="inlineStr">
        <is>
          <t>2f0d66dfef23704e3b35eef7fd04f3eb8514224fe45174ab2c423d5d5847f7d3</t>
        </is>
      </c>
      <c r="G315" t="inlineStr">
        <is>
          <t>2026-08-08</t>
        </is>
      </c>
      <c r="H315" s="19" t="inlineStr">
        <is>
          <t>2</t>
        </is>
      </c>
      <c r="I315" t="inlineStr">
        <is>
          <t>Phase I generated Rev.00 Word file — linked; signatures not completed</t>
        </is>
      </c>
      <c r="J315" t="inlineStr">
        <is>
          <t>2026-08-10T19:29:54Z</t>
        </is>
      </c>
      <c r="K315" t="inlineStr">
        <is>
          <t>2026-08-10T19:49:40Z</t>
        </is>
      </c>
    </row>
    <row r="316">
      <c r="A316" s="19" t="inlineStr">
        <is>
          <t>315</t>
        </is>
      </c>
      <c r="B316" s="19" t="inlineStr">
        <is>
          <t>IA-PPWR-LBL-ST-048-EUR-01-R00</t>
        </is>
      </c>
      <c r="C316" t="inlineStr">
        <is>
          <t>IA-PPWR-LBL-ST-048-EUR-01-R00</t>
        </is>
      </c>
      <c r="D316" s="19" t="inlineStr">
        <is>
          <t>11</t>
        </is>
      </c>
      <c r="E316" t="inlineStr">
        <is>
          <t>01_STARTER/ST-048-EUR-01/03_Label.docx</t>
        </is>
      </c>
      <c r="F316" t="inlineStr">
        <is>
          <t>2cf862df1844894a6bdc515905ffc2f042db2973f27a3f703abb5edd3480cf13</t>
        </is>
      </c>
      <c r="G316" t="inlineStr">
        <is>
          <t>2026-08-08</t>
        </is>
      </c>
      <c r="H316" s="19" t="inlineStr">
        <is>
          <t>2</t>
        </is>
      </c>
      <c r="I316" t="inlineStr">
        <is>
          <t>Phase I generated Rev.00 Word file — linked; signatures not completed</t>
        </is>
      </c>
      <c r="J316" t="inlineStr">
        <is>
          <t>2026-08-10T19:29:54Z</t>
        </is>
      </c>
      <c r="K316" t="inlineStr">
        <is>
          <t>2026-08-10T19:49:40Z</t>
        </is>
      </c>
    </row>
    <row r="317">
      <c r="A317" s="19" t="inlineStr">
        <is>
          <t>316</t>
        </is>
      </c>
      <c r="B317" s="19" t="inlineStr">
        <is>
          <t>IA-PPWR-STM-ST-048-EUR-01-R00</t>
        </is>
      </c>
      <c r="C317" t="inlineStr">
        <is>
          <t>IA-PPWR-STM-ST-048-EUR-01-R00</t>
        </is>
      </c>
      <c r="D317" s="19" t="inlineStr">
        <is>
          <t>12</t>
        </is>
      </c>
      <c r="E317" t="inlineStr">
        <is>
          <t>01_STARTER/ST-048-EUR-01/04_Shipment_Statement.docx</t>
        </is>
      </c>
      <c r="F317" t="inlineStr">
        <is>
          <t>609f2001171c4a33fc604016617edb6398dd1af118212a254a4c71bc77e417cb</t>
        </is>
      </c>
      <c r="G317" t="inlineStr">
        <is>
          <t>2026-08-08</t>
        </is>
      </c>
      <c r="H317" s="19" t="inlineStr">
        <is>
          <t>2</t>
        </is>
      </c>
      <c r="I317" t="inlineStr">
        <is>
          <t>Phase I generated Rev.00 Word file — linked; signatures not completed</t>
        </is>
      </c>
      <c r="J317" t="inlineStr">
        <is>
          <t>2026-08-10T19:29:54Z</t>
        </is>
      </c>
      <c r="K317" t="inlineStr">
        <is>
          <t>2026-08-10T19:49:40Z</t>
        </is>
      </c>
    </row>
    <row r="318">
      <c r="A318" s="19" t="inlineStr">
        <is>
          <t>317</t>
        </is>
      </c>
      <c r="B318" s="19" t="inlineStr">
        <is>
          <t>IA-PPWR-TF-ST-048-EUR-02-R00</t>
        </is>
      </c>
      <c r="C318" t="inlineStr">
        <is>
          <t>IA-PPWR-TF-ST-048-EUR-02-R00</t>
        </is>
      </c>
      <c r="D318" s="19" t="inlineStr">
        <is>
          <t>1</t>
        </is>
      </c>
      <c r="E318" t="inlineStr">
        <is>
          <t>01_STARTER/ST-048-EUR-02/01_Technical_File.docx</t>
        </is>
      </c>
      <c r="F318" t="inlineStr">
        <is>
          <t>a0dfd5747f86e4f4e746dce0e5466f5824d07a20225c6086ac254ee41d56df51</t>
        </is>
      </c>
      <c r="G318" t="inlineStr">
        <is>
          <t>2026-08-08</t>
        </is>
      </c>
      <c r="H318" s="19" t="inlineStr">
        <is>
          <t>2</t>
        </is>
      </c>
      <c r="I318" t="inlineStr">
        <is>
          <t>Phase I generated Rev.00 Word file — linked; signatures not completed</t>
        </is>
      </c>
      <c r="J318" t="inlineStr">
        <is>
          <t>2026-08-10T19:29:54Z</t>
        </is>
      </c>
      <c r="K318" t="inlineStr">
        <is>
          <t>2026-08-10T19:49:40Z</t>
        </is>
      </c>
    </row>
    <row r="319">
      <c r="A319" s="19" t="inlineStr">
        <is>
          <t>318</t>
        </is>
      </c>
      <c r="B319" s="19" t="inlineStr">
        <is>
          <t>IA-PPWR-DOC-ST-048-EUR-02-R00</t>
        </is>
      </c>
      <c r="C319" t="inlineStr">
        <is>
          <t>IA-PPWR-DOC-ST-048-EUR-02-R00</t>
        </is>
      </c>
      <c r="D319" s="19" t="inlineStr">
        <is>
          <t>4</t>
        </is>
      </c>
      <c r="E319" t="inlineStr">
        <is>
          <t>01_STARTER/ST-048-EUR-02/02_EU_DoC.docx</t>
        </is>
      </c>
      <c r="F319" t="inlineStr">
        <is>
          <t>76f0b06f6b34c04e127f1d034162f5b397d9a96d2fdbb06cda3e7213ee03af40</t>
        </is>
      </c>
      <c r="G319" t="inlineStr">
        <is>
          <t>2026-08-08</t>
        </is>
      </c>
      <c r="H319" s="19" t="inlineStr">
        <is>
          <t>2</t>
        </is>
      </c>
      <c r="I319" t="inlineStr">
        <is>
          <t>Phase I generated Rev.00 Word file — linked; signatures not completed</t>
        </is>
      </c>
      <c r="J319" t="inlineStr">
        <is>
          <t>2026-08-10T19:29:54Z</t>
        </is>
      </c>
      <c r="K319" t="inlineStr">
        <is>
          <t>2026-08-10T19:49:40Z</t>
        </is>
      </c>
    </row>
    <row r="320">
      <c r="A320" s="19" t="inlineStr">
        <is>
          <t>319</t>
        </is>
      </c>
      <c r="B320" s="19" t="inlineStr">
        <is>
          <t>IA-PPWR-LBL-ST-048-EUR-02-R00</t>
        </is>
      </c>
      <c r="C320" t="inlineStr">
        <is>
          <t>IA-PPWR-LBL-ST-048-EUR-02-R00</t>
        </is>
      </c>
      <c r="D320" s="19" t="inlineStr">
        <is>
          <t>11</t>
        </is>
      </c>
      <c r="E320" t="inlineStr">
        <is>
          <t>01_STARTER/ST-048-EUR-02/03_Label.docx</t>
        </is>
      </c>
      <c r="F320" t="inlineStr">
        <is>
          <t>153b67dab4244b6e005b280ec859616754d1c58fa6a1bef02727be560e1cfc21</t>
        </is>
      </c>
      <c r="G320" t="inlineStr">
        <is>
          <t>2026-08-08</t>
        </is>
      </c>
      <c r="H320" s="19" t="inlineStr">
        <is>
          <t>2</t>
        </is>
      </c>
      <c r="I320" t="inlineStr">
        <is>
          <t>Phase I generated Rev.00 Word file — linked; signatures not completed</t>
        </is>
      </c>
      <c r="J320" t="inlineStr">
        <is>
          <t>2026-08-10T19:29:54Z</t>
        </is>
      </c>
      <c r="K320" t="inlineStr">
        <is>
          <t>2026-08-10T19:49:40Z</t>
        </is>
      </c>
    </row>
    <row r="321">
      <c r="A321" s="19" t="inlineStr">
        <is>
          <t>320</t>
        </is>
      </c>
      <c r="B321" s="19" t="inlineStr">
        <is>
          <t>IA-PPWR-STM-ST-048-EUR-02-R00</t>
        </is>
      </c>
      <c r="C321" t="inlineStr">
        <is>
          <t>IA-PPWR-STM-ST-048-EUR-02-R00</t>
        </is>
      </c>
      <c r="D321" s="19" t="inlineStr">
        <is>
          <t>12</t>
        </is>
      </c>
      <c r="E321" t="inlineStr">
        <is>
          <t>01_STARTER/ST-048-EUR-02/04_Shipment_Statement.docx</t>
        </is>
      </c>
      <c r="F321" t="inlineStr">
        <is>
          <t>2e19abbdddbfbad321ada0b723a3885ce2b4ea817d6d501e9dd329469818fc92</t>
        </is>
      </c>
      <c r="G321" t="inlineStr">
        <is>
          <t>2026-08-08</t>
        </is>
      </c>
      <c r="H321" s="19" t="inlineStr">
        <is>
          <t>2</t>
        </is>
      </c>
      <c r="I321" t="inlineStr">
        <is>
          <t>Phase I generated Rev.00 Word file — linked; signatures not completed</t>
        </is>
      </c>
      <c r="J321" t="inlineStr">
        <is>
          <t>2026-08-10T19:29:54Z</t>
        </is>
      </c>
      <c r="K321" t="inlineStr">
        <is>
          <t>2026-08-10T19:49:40Z</t>
        </is>
      </c>
    </row>
    <row r="322">
      <c r="A322" s="19" t="inlineStr">
        <is>
          <t>321</t>
        </is>
      </c>
      <c r="B322" s="19" t="inlineStr">
        <is>
          <t>IA-PPWR-TF-ST-048-EUR-03-R00</t>
        </is>
      </c>
      <c r="C322" t="inlineStr">
        <is>
          <t>IA-PPWR-TF-ST-048-EUR-03-R00</t>
        </is>
      </c>
      <c r="D322" s="19" t="inlineStr">
        <is>
          <t>1</t>
        </is>
      </c>
      <c r="E322" t="inlineStr">
        <is>
          <t>01_STARTER/ST-048-EUR-03/01_Technical_File.docx</t>
        </is>
      </c>
      <c r="F322" t="inlineStr">
        <is>
          <t>03fa4ec8be11d1bc4d7d3c3395840cbce824fb88d0ef4c1233e97502a194f4be</t>
        </is>
      </c>
      <c r="G322" t="inlineStr">
        <is>
          <t>2026-08-08</t>
        </is>
      </c>
      <c r="H322" s="19" t="inlineStr">
        <is>
          <t>2</t>
        </is>
      </c>
      <c r="I322" t="inlineStr">
        <is>
          <t>Phase I generated Rev.00 Word file — linked; signatures not completed</t>
        </is>
      </c>
      <c r="J322" t="inlineStr">
        <is>
          <t>2026-08-10T19:29:54Z</t>
        </is>
      </c>
      <c r="K322" t="inlineStr">
        <is>
          <t>2026-08-10T19:49:40Z</t>
        </is>
      </c>
    </row>
    <row r="323">
      <c r="A323" s="19" t="inlineStr">
        <is>
          <t>322</t>
        </is>
      </c>
      <c r="B323" s="19" t="inlineStr">
        <is>
          <t>IA-PPWR-DOC-ST-048-EUR-03-R00</t>
        </is>
      </c>
      <c r="C323" t="inlineStr">
        <is>
          <t>IA-PPWR-DOC-ST-048-EUR-03-R00</t>
        </is>
      </c>
      <c r="D323" s="19" t="inlineStr">
        <is>
          <t>4</t>
        </is>
      </c>
      <c r="E323" t="inlineStr">
        <is>
          <t>01_STARTER/ST-048-EUR-03/02_EU_DoC.docx</t>
        </is>
      </c>
      <c r="F323" t="inlineStr">
        <is>
          <t>31ca3277ad2de9ec2c2e01d0fc308449205ebddda0dca55667c1f68162625c72</t>
        </is>
      </c>
      <c r="G323" t="inlineStr">
        <is>
          <t>2026-08-08</t>
        </is>
      </c>
      <c r="H323" s="19" t="inlineStr">
        <is>
          <t>2</t>
        </is>
      </c>
      <c r="I323" t="inlineStr">
        <is>
          <t>Phase I generated Rev.00 Word file — linked; signatures not completed</t>
        </is>
      </c>
      <c r="J323" t="inlineStr">
        <is>
          <t>2026-08-10T19:29:54Z</t>
        </is>
      </c>
      <c r="K323" t="inlineStr">
        <is>
          <t>2026-08-10T19:49:40Z</t>
        </is>
      </c>
    </row>
    <row r="324">
      <c r="A324" s="19" t="inlineStr">
        <is>
          <t>323</t>
        </is>
      </c>
      <c r="B324" s="19" t="inlineStr">
        <is>
          <t>IA-PPWR-LBL-ST-048-EUR-03-R00</t>
        </is>
      </c>
      <c r="C324" t="inlineStr">
        <is>
          <t>IA-PPWR-LBL-ST-048-EUR-03-R00</t>
        </is>
      </c>
      <c r="D324" s="19" t="inlineStr">
        <is>
          <t>11</t>
        </is>
      </c>
      <c r="E324" t="inlineStr">
        <is>
          <t>01_STARTER/ST-048-EUR-03/03_Label.docx</t>
        </is>
      </c>
      <c r="F324" t="inlineStr">
        <is>
          <t>a05648f4594e011088648b8f2616a35d13072cd8266c2ccb5d8036e57e0bbec7</t>
        </is>
      </c>
      <c r="G324" t="inlineStr">
        <is>
          <t>2026-08-08</t>
        </is>
      </c>
      <c r="H324" s="19" t="inlineStr">
        <is>
          <t>2</t>
        </is>
      </c>
      <c r="I324" t="inlineStr">
        <is>
          <t>Phase I generated Rev.00 Word file — linked; signatures not completed</t>
        </is>
      </c>
      <c r="J324" t="inlineStr">
        <is>
          <t>2026-08-10T19:29:54Z</t>
        </is>
      </c>
      <c r="K324" t="inlineStr">
        <is>
          <t>2026-08-10T19:49:40Z</t>
        </is>
      </c>
    </row>
    <row r="325">
      <c r="A325" s="19" t="inlineStr">
        <is>
          <t>324</t>
        </is>
      </c>
      <c r="B325" s="19" t="inlineStr">
        <is>
          <t>IA-PPWR-STM-ST-048-EUR-03-R00</t>
        </is>
      </c>
      <c r="C325" t="inlineStr">
        <is>
          <t>IA-PPWR-STM-ST-048-EUR-03-R00</t>
        </is>
      </c>
      <c r="D325" s="19" t="inlineStr">
        <is>
          <t>12</t>
        </is>
      </c>
      <c r="E325" t="inlineStr">
        <is>
          <t>01_STARTER/ST-048-EUR-03/04_Shipment_Statement.docx</t>
        </is>
      </c>
      <c r="F325" t="inlineStr">
        <is>
          <t>71115783ce318bcc724368568947cb1d983e16e65dcc15f60b55f30e6f39f410</t>
        </is>
      </c>
      <c r="G325" t="inlineStr">
        <is>
          <t>2026-08-08</t>
        </is>
      </c>
      <c r="H325" s="19" t="inlineStr">
        <is>
          <t>2</t>
        </is>
      </c>
      <c r="I325" t="inlineStr">
        <is>
          <t>Phase I generated Rev.00 Word file — linked; signatures not completed</t>
        </is>
      </c>
      <c r="J325" t="inlineStr">
        <is>
          <t>2026-08-10T19:29:54Z</t>
        </is>
      </c>
      <c r="K325" t="inlineStr">
        <is>
          <t>2026-08-10T19:49:40Z</t>
        </is>
      </c>
    </row>
    <row r="326">
      <c r="A326" s="19" t="inlineStr">
        <is>
          <t>325</t>
        </is>
      </c>
      <c r="B326" s="19" t="inlineStr">
        <is>
          <t>IA-PPWR-TF-ST-048-EUR-04-R00</t>
        </is>
      </c>
      <c r="C326" t="inlineStr">
        <is>
          <t>IA-PPWR-TF-ST-048-EUR-04-R00</t>
        </is>
      </c>
      <c r="D326" s="19" t="inlineStr">
        <is>
          <t>1</t>
        </is>
      </c>
      <c r="E326" t="inlineStr">
        <is>
          <t>01_STARTER/ST-048-EUR-04/01_Technical_File.docx</t>
        </is>
      </c>
      <c r="F326" t="inlineStr">
        <is>
          <t>c1453504d02e84a66e8f4d983ab76e3e9c6fd4b6a75126f90366b1a6cfc898e6</t>
        </is>
      </c>
      <c r="G326" t="inlineStr">
        <is>
          <t>2026-08-08</t>
        </is>
      </c>
      <c r="H326" s="19" t="inlineStr">
        <is>
          <t>2</t>
        </is>
      </c>
      <c r="I326" t="inlineStr">
        <is>
          <t>Phase I generated Rev.00 Word file — linked; signatures not completed</t>
        </is>
      </c>
      <c r="J326" t="inlineStr">
        <is>
          <t>2026-08-10T19:29:54Z</t>
        </is>
      </c>
      <c r="K326" t="inlineStr">
        <is>
          <t>2026-08-10T19:49:40Z</t>
        </is>
      </c>
    </row>
    <row r="327">
      <c r="A327" s="19" t="inlineStr">
        <is>
          <t>326</t>
        </is>
      </c>
      <c r="B327" s="19" t="inlineStr">
        <is>
          <t>IA-PPWR-DOC-ST-048-EUR-04-R00</t>
        </is>
      </c>
      <c r="C327" t="inlineStr">
        <is>
          <t>IA-PPWR-DOC-ST-048-EUR-04-R00</t>
        </is>
      </c>
      <c r="D327" s="19" t="inlineStr">
        <is>
          <t>4</t>
        </is>
      </c>
      <c r="E327" t="inlineStr">
        <is>
          <t>01_STARTER/ST-048-EUR-04/02_EU_DoC.docx</t>
        </is>
      </c>
      <c r="F327" t="inlineStr">
        <is>
          <t>b6156c6026584621cf3fb7a8c0d3c4dd36a1e14b47f4152811e12402cdb0eaa3</t>
        </is>
      </c>
      <c r="G327" t="inlineStr">
        <is>
          <t>2026-08-08</t>
        </is>
      </c>
      <c r="H327" s="19" t="inlineStr">
        <is>
          <t>2</t>
        </is>
      </c>
      <c r="I327" t="inlineStr">
        <is>
          <t>Phase I generated Rev.00 Word file — linked; signatures not completed</t>
        </is>
      </c>
      <c r="J327" t="inlineStr">
        <is>
          <t>2026-08-10T19:29:54Z</t>
        </is>
      </c>
      <c r="K327" t="inlineStr">
        <is>
          <t>2026-08-10T19:49:40Z</t>
        </is>
      </c>
    </row>
    <row r="328">
      <c r="A328" s="19" t="inlineStr">
        <is>
          <t>327</t>
        </is>
      </c>
      <c r="B328" s="19" t="inlineStr">
        <is>
          <t>IA-PPWR-LBL-ST-048-EUR-04-R00</t>
        </is>
      </c>
      <c r="C328" t="inlineStr">
        <is>
          <t>IA-PPWR-LBL-ST-048-EUR-04-R00</t>
        </is>
      </c>
      <c r="D328" s="19" t="inlineStr">
        <is>
          <t>11</t>
        </is>
      </c>
      <c r="E328" t="inlineStr">
        <is>
          <t>01_STARTER/ST-048-EUR-04/03_Label.docx</t>
        </is>
      </c>
      <c r="F328" t="inlineStr">
        <is>
          <t>dd314096656f0856e0ca66252ef5747abc2866824b08496c0033647d639de0cb</t>
        </is>
      </c>
      <c r="G328" t="inlineStr">
        <is>
          <t>2026-08-08</t>
        </is>
      </c>
      <c r="H328" s="19" t="inlineStr">
        <is>
          <t>2</t>
        </is>
      </c>
      <c r="I328" t="inlineStr">
        <is>
          <t>Phase I generated Rev.00 Word file — linked; signatures not completed</t>
        </is>
      </c>
      <c r="J328" t="inlineStr">
        <is>
          <t>2026-08-10T19:29:54Z</t>
        </is>
      </c>
      <c r="K328" t="inlineStr">
        <is>
          <t>2026-08-10T19:49:40Z</t>
        </is>
      </c>
    </row>
    <row r="329">
      <c r="A329" s="19" t="inlineStr">
        <is>
          <t>328</t>
        </is>
      </c>
      <c r="B329" s="19" t="inlineStr">
        <is>
          <t>IA-PPWR-STM-ST-048-EUR-04-R00</t>
        </is>
      </c>
      <c r="C329" t="inlineStr">
        <is>
          <t>IA-PPWR-STM-ST-048-EUR-04-R00</t>
        </is>
      </c>
      <c r="D329" s="19" t="inlineStr">
        <is>
          <t>12</t>
        </is>
      </c>
      <c r="E329" t="inlineStr">
        <is>
          <t>01_STARTER/ST-048-EUR-04/04_Shipment_Statement.docx</t>
        </is>
      </c>
      <c r="F329" t="inlineStr">
        <is>
          <t>cc588105b1d38b8ddd7f44b62f3e930e89d8c39fe0d91a33f24fb7499f55e1e2</t>
        </is>
      </c>
      <c r="G329" t="inlineStr">
        <is>
          <t>2026-08-08</t>
        </is>
      </c>
      <c r="H329" s="19" t="inlineStr">
        <is>
          <t>2</t>
        </is>
      </c>
      <c r="I329" t="inlineStr">
        <is>
          <t>Phase I generated Rev.00 Word file — linked; signatures not completed</t>
        </is>
      </c>
      <c r="J329" t="inlineStr">
        <is>
          <t>2026-08-10T19:29:54Z</t>
        </is>
      </c>
      <c r="K329" t="inlineStr">
        <is>
          <t>2026-08-10T19:49:40Z</t>
        </is>
      </c>
    </row>
    <row r="330">
      <c r="A330" s="19" t="inlineStr">
        <is>
          <t>329</t>
        </is>
      </c>
      <c r="B330" s="19" t="inlineStr">
        <is>
          <t>IA-PPWR-TF-ST-048-EUR-05-R00</t>
        </is>
      </c>
      <c r="C330" t="inlineStr">
        <is>
          <t>IA-PPWR-TF-ST-048-EUR-05-R00</t>
        </is>
      </c>
      <c r="D330" s="19" t="inlineStr">
        <is>
          <t>1</t>
        </is>
      </c>
      <c r="E330" t="inlineStr">
        <is>
          <t>01_STARTER/ST-048-EUR-05/01_Technical_File.docx</t>
        </is>
      </c>
      <c r="F330" t="inlineStr">
        <is>
          <t>b8bc6f45bc2592de3ff617c9b1e5d956e3cc33a02cdd0b91517609b327fccb43</t>
        </is>
      </c>
      <c r="G330" t="inlineStr">
        <is>
          <t>2026-08-08</t>
        </is>
      </c>
      <c r="H330" s="19" t="inlineStr">
        <is>
          <t>2</t>
        </is>
      </c>
      <c r="I330" t="inlineStr">
        <is>
          <t>Phase I generated Rev.00 Word file — linked; signatures not completed</t>
        </is>
      </c>
      <c r="J330" t="inlineStr">
        <is>
          <t>2026-08-10T19:29:54Z</t>
        </is>
      </c>
      <c r="K330" t="inlineStr">
        <is>
          <t>2026-08-10T19:49:40Z</t>
        </is>
      </c>
    </row>
    <row r="331">
      <c r="A331" s="19" t="inlineStr">
        <is>
          <t>330</t>
        </is>
      </c>
      <c r="B331" s="19" t="inlineStr">
        <is>
          <t>IA-PPWR-DOC-ST-048-EUR-05-R00</t>
        </is>
      </c>
      <c r="C331" t="inlineStr">
        <is>
          <t>IA-PPWR-DOC-ST-048-EUR-05-R00</t>
        </is>
      </c>
      <c r="D331" s="19" t="inlineStr">
        <is>
          <t>4</t>
        </is>
      </c>
      <c r="E331" t="inlineStr">
        <is>
          <t>01_STARTER/ST-048-EUR-05/02_EU_DoC.docx</t>
        </is>
      </c>
      <c r="F331" t="inlineStr">
        <is>
          <t>966e792d5a2b81993e585a93d67ac740fee468ae997ca36fcfea908bab4937f4</t>
        </is>
      </c>
      <c r="G331" t="inlineStr">
        <is>
          <t>2026-08-08</t>
        </is>
      </c>
      <c r="H331" s="19" t="inlineStr">
        <is>
          <t>2</t>
        </is>
      </c>
      <c r="I331" t="inlineStr">
        <is>
          <t>Phase I generated Rev.00 Word file — linked; signatures not completed</t>
        </is>
      </c>
      <c r="J331" t="inlineStr">
        <is>
          <t>2026-08-10T19:29:54Z</t>
        </is>
      </c>
      <c r="K331" t="inlineStr">
        <is>
          <t>2026-08-10T19:49:40Z</t>
        </is>
      </c>
    </row>
    <row r="332">
      <c r="A332" s="19" t="inlineStr">
        <is>
          <t>331</t>
        </is>
      </c>
      <c r="B332" s="19" t="inlineStr">
        <is>
          <t>IA-PPWR-LBL-ST-048-EUR-05-R00</t>
        </is>
      </c>
      <c r="C332" t="inlineStr">
        <is>
          <t>IA-PPWR-LBL-ST-048-EUR-05-R00</t>
        </is>
      </c>
      <c r="D332" s="19" t="inlineStr">
        <is>
          <t>11</t>
        </is>
      </c>
      <c r="E332" t="inlineStr">
        <is>
          <t>01_STARTER/ST-048-EUR-05/03_Label.docx</t>
        </is>
      </c>
      <c r="F332" t="inlineStr">
        <is>
          <t>6a85986c5295780b04cc41a2fbac25e42b29f5673bea9faf29e8acd27c76ebf8</t>
        </is>
      </c>
      <c r="G332" t="inlineStr">
        <is>
          <t>2026-08-08</t>
        </is>
      </c>
      <c r="H332" s="19" t="inlineStr">
        <is>
          <t>2</t>
        </is>
      </c>
      <c r="I332" t="inlineStr">
        <is>
          <t>Phase I generated Rev.00 Word file — linked; signatures not completed</t>
        </is>
      </c>
      <c r="J332" t="inlineStr">
        <is>
          <t>2026-08-10T19:29:54Z</t>
        </is>
      </c>
      <c r="K332" t="inlineStr">
        <is>
          <t>2026-08-10T19:49:40Z</t>
        </is>
      </c>
    </row>
    <row r="333">
      <c r="A333" s="19" t="inlineStr">
        <is>
          <t>332</t>
        </is>
      </c>
      <c r="B333" s="19" t="inlineStr">
        <is>
          <t>IA-PPWR-STM-ST-048-EUR-05-R00</t>
        </is>
      </c>
      <c r="C333" t="inlineStr">
        <is>
          <t>IA-PPWR-STM-ST-048-EUR-05-R00</t>
        </is>
      </c>
      <c r="D333" s="19" t="inlineStr">
        <is>
          <t>12</t>
        </is>
      </c>
      <c r="E333" t="inlineStr">
        <is>
          <t>01_STARTER/ST-048-EUR-05/04_Shipment_Statement.docx</t>
        </is>
      </c>
      <c r="F333" t="inlineStr">
        <is>
          <t>df37af13ad45b44970af4a9bd0ac9f3e5b5f72803bd7114ab6e4c850093994b0</t>
        </is>
      </c>
      <c r="G333" t="inlineStr">
        <is>
          <t>2026-08-08</t>
        </is>
      </c>
      <c r="H333" s="19" t="inlineStr">
        <is>
          <t>2</t>
        </is>
      </c>
      <c r="I333" t="inlineStr">
        <is>
          <t>Phase I generated Rev.00 Word file — linked; signatures not completed</t>
        </is>
      </c>
      <c r="J333" t="inlineStr">
        <is>
          <t>2026-08-10T19:29:54Z</t>
        </is>
      </c>
      <c r="K333" t="inlineStr">
        <is>
          <t>2026-08-10T19:49:40Z</t>
        </is>
      </c>
    </row>
    <row r="334">
      <c r="A334" s="19" t="inlineStr">
        <is>
          <t>333</t>
        </is>
      </c>
      <c r="B334" s="19" t="inlineStr">
        <is>
          <t>IA-PPWR-TF-ST-048-EUR-06-R00</t>
        </is>
      </c>
      <c r="C334" t="inlineStr">
        <is>
          <t>IA-PPWR-TF-ST-048-EUR-06-R00</t>
        </is>
      </c>
      <c r="D334" s="19" t="inlineStr">
        <is>
          <t>1</t>
        </is>
      </c>
      <c r="E334" t="inlineStr">
        <is>
          <t>01_STARTER/ST-048-EUR-06/01_Technical_File.docx</t>
        </is>
      </c>
      <c r="F334" t="inlineStr">
        <is>
          <t>b84e37665434ed8d82a741fa3f7930c0008c5734bd1dc6641e8b8e11d55a65f1</t>
        </is>
      </c>
      <c r="G334" t="inlineStr">
        <is>
          <t>2026-08-08</t>
        </is>
      </c>
      <c r="H334" s="19" t="inlineStr">
        <is>
          <t>2</t>
        </is>
      </c>
      <c r="I334" t="inlineStr">
        <is>
          <t>Phase I generated Rev.00 Word file — linked; signatures not completed</t>
        </is>
      </c>
      <c r="J334" t="inlineStr">
        <is>
          <t>2026-08-10T19:29:54Z</t>
        </is>
      </c>
      <c r="K334" t="inlineStr">
        <is>
          <t>2026-08-10T19:49:40Z</t>
        </is>
      </c>
    </row>
    <row r="335">
      <c r="A335" s="19" t="inlineStr">
        <is>
          <t>334</t>
        </is>
      </c>
      <c r="B335" s="19" t="inlineStr">
        <is>
          <t>IA-PPWR-DOC-ST-048-EUR-06-R00</t>
        </is>
      </c>
      <c r="C335" t="inlineStr">
        <is>
          <t>IA-PPWR-DOC-ST-048-EUR-06-R00</t>
        </is>
      </c>
      <c r="D335" s="19" t="inlineStr">
        <is>
          <t>4</t>
        </is>
      </c>
      <c r="E335" t="inlineStr">
        <is>
          <t>01_STARTER/ST-048-EUR-06/02_EU_DoC.docx</t>
        </is>
      </c>
      <c r="F335" t="inlineStr">
        <is>
          <t>4e3fffaf1c93529e20dac45a7db1e127f70c077d0f0bd57426d519cce3341c54</t>
        </is>
      </c>
      <c r="G335" t="inlineStr">
        <is>
          <t>2026-08-08</t>
        </is>
      </c>
      <c r="H335" s="19" t="inlineStr">
        <is>
          <t>2</t>
        </is>
      </c>
      <c r="I335" t="inlineStr">
        <is>
          <t>Phase I generated Rev.00 Word file — linked; signatures not completed</t>
        </is>
      </c>
      <c r="J335" t="inlineStr">
        <is>
          <t>2026-08-10T19:29:54Z</t>
        </is>
      </c>
      <c r="K335" t="inlineStr">
        <is>
          <t>2026-08-10T19:49:40Z</t>
        </is>
      </c>
    </row>
    <row r="336">
      <c r="A336" s="19" t="inlineStr">
        <is>
          <t>335</t>
        </is>
      </c>
      <c r="B336" s="19" t="inlineStr">
        <is>
          <t>IA-PPWR-LBL-ST-048-EUR-06-R00</t>
        </is>
      </c>
      <c r="C336" t="inlineStr">
        <is>
          <t>IA-PPWR-LBL-ST-048-EUR-06-R00</t>
        </is>
      </c>
      <c r="D336" s="19" t="inlineStr">
        <is>
          <t>11</t>
        </is>
      </c>
      <c r="E336" t="inlineStr">
        <is>
          <t>01_STARTER/ST-048-EUR-06/03_Label.docx</t>
        </is>
      </c>
      <c r="F336" t="inlineStr">
        <is>
          <t>01ae1d7acc7c5ae58f3fe2ecbb82deab0d151d8dc2834ec39ae33d17661a526f</t>
        </is>
      </c>
      <c r="G336" t="inlineStr">
        <is>
          <t>2026-08-08</t>
        </is>
      </c>
      <c r="H336" s="19" t="inlineStr">
        <is>
          <t>2</t>
        </is>
      </c>
      <c r="I336" t="inlineStr">
        <is>
          <t>Phase I generated Rev.00 Word file — linked; signatures not completed</t>
        </is>
      </c>
      <c r="J336" t="inlineStr">
        <is>
          <t>2026-08-10T19:29:54Z</t>
        </is>
      </c>
      <c r="K336" t="inlineStr">
        <is>
          <t>2026-08-10T19:49:40Z</t>
        </is>
      </c>
    </row>
    <row r="337">
      <c r="A337" s="19" t="inlineStr">
        <is>
          <t>336</t>
        </is>
      </c>
      <c r="B337" s="19" t="inlineStr">
        <is>
          <t>IA-PPWR-STM-ST-048-EUR-06-R00</t>
        </is>
      </c>
      <c r="C337" t="inlineStr">
        <is>
          <t>IA-PPWR-STM-ST-048-EUR-06-R00</t>
        </is>
      </c>
      <c r="D337" s="19" t="inlineStr">
        <is>
          <t>12</t>
        </is>
      </c>
      <c r="E337" t="inlineStr">
        <is>
          <t>01_STARTER/ST-048-EUR-06/04_Shipment_Statement.docx</t>
        </is>
      </c>
      <c r="F337" t="inlineStr">
        <is>
          <t>fd2fffb56e239055c15e523fec4845563640a4efcd74218478d6535c33e3200f</t>
        </is>
      </c>
      <c r="G337" t="inlineStr">
        <is>
          <t>2026-08-08</t>
        </is>
      </c>
      <c r="H337" s="19" t="inlineStr">
        <is>
          <t>2</t>
        </is>
      </c>
      <c r="I337" t="inlineStr">
        <is>
          <t>Phase I generated Rev.00 Word file — linked; signatures not completed</t>
        </is>
      </c>
      <c r="J337" t="inlineStr">
        <is>
          <t>2026-08-10T19:29:54Z</t>
        </is>
      </c>
      <c r="K337" t="inlineStr">
        <is>
          <t>2026-08-10T19:49:40Z</t>
        </is>
      </c>
    </row>
    <row r="338">
      <c r="A338" s="19" t="inlineStr">
        <is>
          <t>337</t>
        </is>
      </c>
      <c r="B338" s="19" t="inlineStr">
        <is>
          <t>IA-PPWR-TF-ST-048-EUR-07-R00</t>
        </is>
      </c>
      <c r="C338" t="inlineStr">
        <is>
          <t>IA-PPWR-TF-ST-048-EUR-07-R00</t>
        </is>
      </c>
      <c r="D338" s="19" t="inlineStr">
        <is>
          <t>1</t>
        </is>
      </c>
      <c r="E338" t="inlineStr">
        <is>
          <t>01_STARTER/ST-048-EUR-07/01_Technical_File.docx</t>
        </is>
      </c>
      <c r="F338" t="inlineStr">
        <is>
          <t>e61f14357ef1cd3c6cca6707c3141840a18618b4877917863974a59b3a17f8a1</t>
        </is>
      </c>
      <c r="G338" t="inlineStr">
        <is>
          <t>2026-08-08</t>
        </is>
      </c>
      <c r="H338" s="19" t="inlineStr">
        <is>
          <t>2</t>
        </is>
      </c>
      <c r="I338" t="inlineStr">
        <is>
          <t>Phase I generated Rev.00 Word file — linked; signatures not completed</t>
        </is>
      </c>
      <c r="J338" t="inlineStr">
        <is>
          <t>2026-08-10T19:29:54Z</t>
        </is>
      </c>
      <c r="K338" t="inlineStr">
        <is>
          <t>2026-08-10T19:49:40Z</t>
        </is>
      </c>
    </row>
    <row r="339">
      <c r="A339" s="19" t="inlineStr">
        <is>
          <t>338</t>
        </is>
      </c>
      <c r="B339" s="19" t="inlineStr">
        <is>
          <t>IA-PPWR-DOC-ST-048-EUR-07-R00</t>
        </is>
      </c>
      <c r="C339" t="inlineStr">
        <is>
          <t>IA-PPWR-DOC-ST-048-EUR-07-R00</t>
        </is>
      </c>
      <c r="D339" s="19" t="inlineStr">
        <is>
          <t>4</t>
        </is>
      </c>
      <c r="E339" t="inlineStr">
        <is>
          <t>01_STARTER/ST-048-EUR-07/02_EU_DoC.docx</t>
        </is>
      </c>
      <c r="F339" t="inlineStr">
        <is>
          <t>7686f185b233eb9dcc68afcb03362aa5d427ed840dc4dc29c642400e17c842e2</t>
        </is>
      </c>
      <c r="G339" t="inlineStr">
        <is>
          <t>2026-08-08</t>
        </is>
      </c>
      <c r="H339" s="19" t="inlineStr">
        <is>
          <t>2</t>
        </is>
      </c>
      <c r="I339" t="inlineStr">
        <is>
          <t>Phase I generated Rev.00 Word file — linked; signatures not completed</t>
        </is>
      </c>
      <c r="J339" t="inlineStr">
        <is>
          <t>2026-08-10T19:29:54Z</t>
        </is>
      </c>
      <c r="K339" t="inlineStr">
        <is>
          <t>2026-08-10T19:49:40Z</t>
        </is>
      </c>
    </row>
    <row r="340">
      <c r="A340" s="19" t="inlineStr">
        <is>
          <t>339</t>
        </is>
      </c>
      <c r="B340" s="19" t="inlineStr">
        <is>
          <t>IA-PPWR-LBL-ST-048-EUR-07-R00</t>
        </is>
      </c>
      <c r="C340" t="inlineStr">
        <is>
          <t>IA-PPWR-LBL-ST-048-EUR-07-R00</t>
        </is>
      </c>
      <c r="D340" s="19" t="inlineStr">
        <is>
          <t>11</t>
        </is>
      </c>
      <c r="E340" t="inlineStr">
        <is>
          <t>01_STARTER/ST-048-EUR-07/03_Label.docx</t>
        </is>
      </c>
      <c r="F340" t="inlineStr">
        <is>
          <t>f75c5a6afe35e0550ffa0ed67f8acb63f6e48b52d39c11752d19b0229d181b8b</t>
        </is>
      </c>
      <c r="G340" t="inlineStr">
        <is>
          <t>2026-08-08</t>
        </is>
      </c>
      <c r="H340" s="19" t="inlineStr">
        <is>
          <t>2</t>
        </is>
      </c>
      <c r="I340" t="inlineStr">
        <is>
          <t>Phase I generated Rev.00 Word file — linked; signatures not completed</t>
        </is>
      </c>
      <c r="J340" t="inlineStr">
        <is>
          <t>2026-08-10T19:29:54Z</t>
        </is>
      </c>
      <c r="K340" t="inlineStr">
        <is>
          <t>2026-08-10T19:49:40Z</t>
        </is>
      </c>
    </row>
    <row r="341">
      <c r="A341" s="19" t="inlineStr">
        <is>
          <t>340</t>
        </is>
      </c>
      <c r="B341" s="19" t="inlineStr">
        <is>
          <t>IA-PPWR-STM-ST-048-EUR-07-R00</t>
        </is>
      </c>
      <c r="C341" t="inlineStr">
        <is>
          <t>IA-PPWR-STM-ST-048-EUR-07-R00</t>
        </is>
      </c>
      <c r="D341" s="19" t="inlineStr">
        <is>
          <t>12</t>
        </is>
      </c>
      <c r="E341" t="inlineStr">
        <is>
          <t>01_STARTER/ST-048-EUR-07/04_Shipment_Statement.docx</t>
        </is>
      </c>
      <c r="F341" t="inlineStr">
        <is>
          <t>b770fa2960c864fadda1a66bb7913ced951d3995f06b566a6be368f3607e2514</t>
        </is>
      </c>
      <c r="G341" t="inlineStr">
        <is>
          <t>2026-08-08</t>
        </is>
      </c>
      <c r="H341" s="19" t="inlineStr">
        <is>
          <t>2</t>
        </is>
      </c>
      <c r="I341" t="inlineStr">
        <is>
          <t>Phase I generated Rev.00 Word file — linked; signatures not completed</t>
        </is>
      </c>
      <c r="J341" t="inlineStr">
        <is>
          <t>2026-08-10T19:29:54Z</t>
        </is>
      </c>
      <c r="K341" t="inlineStr">
        <is>
          <t>2026-08-10T19:49:40Z</t>
        </is>
      </c>
    </row>
    <row r="342">
      <c r="A342" s="19" t="inlineStr">
        <is>
          <t>341</t>
        </is>
      </c>
      <c r="B342" s="19" t="inlineStr">
        <is>
          <t>IA-PPWR-TF-ST-048-EUR-08-R00</t>
        </is>
      </c>
      <c r="C342" t="inlineStr">
        <is>
          <t>IA-PPWR-TF-ST-048-EUR-08-R00</t>
        </is>
      </c>
      <c r="D342" s="19" t="inlineStr">
        <is>
          <t>1</t>
        </is>
      </c>
      <c r="E342" t="inlineStr">
        <is>
          <t>01_STARTER/ST-048-EUR-08/01_Technical_File.docx</t>
        </is>
      </c>
      <c r="F342" t="inlineStr">
        <is>
          <t>1158a69e2c0e3df1cb59b8f0361c4d10e013c41d730d015ce3a400a6797de2fe</t>
        </is>
      </c>
      <c r="G342" t="inlineStr">
        <is>
          <t>2026-08-08</t>
        </is>
      </c>
      <c r="H342" s="19" t="inlineStr">
        <is>
          <t>2</t>
        </is>
      </c>
      <c r="I342" t="inlineStr">
        <is>
          <t>Phase I generated Rev.00 Word file — linked; signatures not completed</t>
        </is>
      </c>
      <c r="J342" t="inlineStr">
        <is>
          <t>2026-08-10T19:29:54Z</t>
        </is>
      </c>
      <c r="K342" t="inlineStr">
        <is>
          <t>2026-08-10T19:49:40Z</t>
        </is>
      </c>
    </row>
    <row r="343">
      <c r="A343" s="19" t="inlineStr">
        <is>
          <t>342</t>
        </is>
      </c>
      <c r="B343" s="19" t="inlineStr">
        <is>
          <t>IA-PPWR-DOC-ST-048-EUR-08-R00</t>
        </is>
      </c>
      <c r="C343" t="inlineStr">
        <is>
          <t>IA-PPWR-DOC-ST-048-EUR-08-R00</t>
        </is>
      </c>
      <c r="D343" s="19" t="inlineStr">
        <is>
          <t>4</t>
        </is>
      </c>
      <c r="E343" t="inlineStr">
        <is>
          <t>01_STARTER/ST-048-EUR-08/02_EU_DoC.docx</t>
        </is>
      </c>
      <c r="F343" t="inlineStr">
        <is>
          <t>d28891ebd08e3b417343ca935a5dab86ff2a496f35e0387738b7ea2b43998fe3</t>
        </is>
      </c>
      <c r="G343" t="inlineStr">
        <is>
          <t>2026-08-08</t>
        </is>
      </c>
      <c r="H343" s="19" t="inlineStr">
        <is>
          <t>2</t>
        </is>
      </c>
      <c r="I343" t="inlineStr">
        <is>
          <t>Phase I generated Rev.00 Word file — linked; signatures not completed</t>
        </is>
      </c>
      <c r="J343" t="inlineStr">
        <is>
          <t>2026-08-10T19:29:54Z</t>
        </is>
      </c>
      <c r="K343" t="inlineStr">
        <is>
          <t>2026-08-10T19:49:40Z</t>
        </is>
      </c>
    </row>
    <row r="344">
      <c r="A344" s="19" t="inlineStr">
        <is>
          <t>343</t>
        </is>
      </c>
      <c r="B344" s="19" t="inlineStr">
        <is>
          <t>IA-PPWR-LBL-ST-048-EUR-08-R00</t>
        </is>
      </c>
      <c r="C344" t="inlineStr">
        <is>
          <t>IA-PPWR-LBL-ST-048-EUR-08-R00</t>
        </is>
      </c>
      <c r="D344" s="19" t="inlineStr">
        <is>
          <t>11</t>
        </is>
      </c>
      <c r="E344" t="inlineStr">
        <is>
          <t>01_STARTER/ST-048-EUR-08/03_Label.docx</t>
        </is>
      </c>
      <c r="F344" t="inlineStr">
        <is>
          <t>9fe257baa2d9f8e1bf74cad05158d605b3a731c14fc5492a9b50b38b7f59a1e4</t>
        </is>
      </c>
      <c r="G344" t="inlineStr">
        <is>
          <t>2026-08-08</t>
        </is>
      </c>
      <c r="H344" s="19" t="inlineStr">
        <is>
          <t>2</t>
        </is>
      </c>
      <c r="I344" t="inlineStr">
        <is>
          <t>Phase I generated Rev.00 Word file — linked; signatures not completed</t>
        </is>
      </c>
      <c r="J344" t="inlineStr">
        <is>
          <t>2026-08-10T19:29:54Z</t>
        </is>
      </c>
      <c r="K344" t="inlineStr">
        <is>
          <t>2026-08-10T19:49:40Z</t>
        </is>
      </c>
    </row>
    <row r="345">
      <c r="A345" s="19" t="inlineStr">
        <is>
          <t>344</t>
        </is>
      </c>
      <c r="B345" s="19" t="inlineStr">
        <is>
          <t>IA-PPWR-STM-ST-048-EUR-08-R00</t>
        </is>
      </c>
      <c r="C345" t="inlineStr">
        <is>
          <t>IA-PPWR-STM-ST-048-EUR-08-R00</t>
        </is>
      </c>
      <c r="D345" s="19" t="inlineStr">
        <is>
          <t>12</t>
        </is>
      </c>
      <c r="E345" t="inlineStr">
        <is>
          <t>01_STARTER/ST-048-EUR-08/04_Shipment_Statement.docx</t>
        </is>
      </c>
      <c r="F345" t="inlineStr">
        <is>
          <t>9e6404246c22b14b833b6dbe64a5ee61b66214ef7f6cebbed9746da1be8720c2</t>
        </is>
      </c>
      <c r="G345" t="inlineStr">
        <is>
          <t>2026-08-08</t>
        </is>
      </c>
      <c r="H345" s="19" t="inlineStr">
        <is>
          <t>2</t>
        </is>
      </c>
      <c r="I345" t="inlineStr">
        <is>
          <t>Phase I generated Rev.00 Word file — linked; signatures not completed</t>
        </is>
      </c>
      <c r="J345" t="inlineStr">
        <is>
          <t>2026-08-10T19:29:54Z</t>
        </is>
      </c>
      <c r="K345" t="inlineStr">
        <is>
          <t>2026-08-10T19:49:40Z</t>
        </is>
      </c>
    </row>
    <row r="346">
      <c r="A346" s="19" t="inlineStr">
        <is>
          <t>345</t>
        </is>
      </c>
      <c r="B346" s="19" t="inlineStr">
        <is>
          <t>IA-PPWR-TF-ST-048-EUR-09-R00</t>
        </is>
      </c>
      <c r="C346" t="inlineStr">
        <is>
          <t>IA-PPWR-TF-ST-048-EUR-09-R00</t>
        </is>
      </c>
      <c r="D346" s="19" t="inlineStr">
        <is>
          <t>1</t>
        </is>
      </c>
      <c r="E346" t="inlineStr">
        <is>
          <t>01_STARTER/ST-048-EUR-09/01_Technical_File.docx</t>
        </is>
      </c>
      <c r="F346" t="inlineStr">
        <is>
          <t>b2e772f61b234fcba060764bded1111d703b854b74dc9132601ec95dd17e3291</t>
        </is>
      </c>
      <c r="G346" t="inlineStr">
        <is>
          <t>2026-08-08</t>
        </is>
      </c>
      <c r="H346" s="19" t="inlineStr">
        <is>
          <t>2</t>
        </is>
      </c>
      <c r="I346" t="inlineStr">
        <is>
          <t>Phase I generated Rev.00 Word file — linked; signatures not completed</t>
        </is>
      </c>
      <c r="J346" t="inlineStr">
        <is>
          <t>2026-08-10T19:29:54Z</t>
        </is>
      </c>
      <c r="K346" t="inlineStr">
        <is>
          <t>2026-08-10T19:49:40Z</t>
        </is>
      </c>
    </row>
    <row r="347">
      <c r="A347" s="19" t="inlineStr">
        <is>
          <t>346</t>
        </is>
      </c>
      <c r="B347" s="19" t="inlineStr">
        <is>
          <t>IA-PPWR-DOC-ST-048-EUR-09-R00</t>
        </is>
      </c>
      <c r="C347" t="inlineStr">
        <is>
          <t>IA-PPWR-DOC-ST-048-EUR-09-R00</t>
        </is>
      </c>
      <c r="D347" s="19" t="inlineStr">
        <is>
          <t>4</t>
        </is>
      </c>
      <c r="E347" t="inlineStr">
        <is>
          <t>01_STARTER/ST-048-EUR-09/02_EU_DoC.docx</t>
        </is>
      </c>
      <c r="F347" t="inlineStr">
        <is>
          <t>33a11259a1d625aa7c4e1df6e5212abfa1ddeee7b83763bb192a59b4e7b8065c</t>
        </is>
      </c>
      <c r="G347" t="inlineStr">
        <is>
          <t>2026-08-08</t>
        </is>
      </c>
      <c r="H347" s="19" t="inlineStr">
        <is>
          <t>2</t>
        </is>
      </c>
      <c r="I347" t="inlineStr">
        <is>
          <t>Phase I generated Rev.00 Word file — linked; signatures not completed</t>
        </is>
      </c>
      <c r="J347" t="inlineStr">
        <is>
          <t>2026-08-10T19:29:54Z</t>
        </is>
      </c>
      <c r="K347" t="inlineStr">
        <is>
          <t>2026-08-10T19:49:40Z</t>
        </is>
      </c>
    </row>
    <row r="348">
      <c r="A348" s="19" t="inlineStr">
        <is>
          <t>347</t>
        </is>
      </c>
      <c r="B348" s="19" t="inlineStr">
        <is>
          <t>IA-PPWR-LBL-ST-048-EUR-09-R00</t>
        </is>
      </c>
      <c r="C348" t="inlineStr">
        <is>
          <t>IA-PPWR-LBL-ST-048-EUR-09-R00</t>
        </is>
      </c>
      <c r="D348" s="19" t="inlineStr">
        <is>
          <t>11</t>
        </is>
      </c>
      <c r="E348" t="inlineStr">
        <is>
          <t>01_STARTER/ST-048-EUR-09/03_Label.docx</t>
        </is>
      </c>
      <c r="F348" t="inlineStr">
        <is>
          <t>caa4cbdaac8f82cb5316935d37c4d59c60f051ca3a8b645ef1dde5aba4589c0e</t>
        </is>
      </c>
      <c r="G348" t="inlineStr">
        <is>
          <t>2026-08-08</t>
        </is>
      </c>
      <c r="H348" s="19" t="inlineStr">
        <is>
          <t>2</t>
        </is>
      </c>
      <c r="I348" t="inlineStr">
        <is>
          <t>Phase I generated Rev.00 Word file — linked; signatures not completed</t>
        </is>
      </c>
      <c r="J348" t="inlineStr">
        <is>
          <t>2026-08-10T19:29:54Z</t>
        </is>
      </c>
      <c r="K348" t="inlineStr">
        <is>
          <t>2026-08-10T19:49:40Z</t>
        </is>
      </c>
    </row>
    <row r="349">
      <c r="A349" s="19" t="inlineStr">
        <is>
          <t>348</t>
        </is>
      </c>
      <c r="B349" s="19" t="inlineStr">
        <is>
          <t>IA-PPWR-STM-ST-048-EUR-09-R00</t>
        </is>
      </c>
      <c r="C349" t="inlineStr">
        <is>
          <t>IA-PPWR-STM-ST-048-EUR-09-R00</t>
        </is>
      </c>
      <c r="D349" s="19" t="inlineStr">
        <is>
          <t>12</t>
        </is>
      </c>
      <c r="E349" t="inlineStr">
        <is>
          <t>01_STARTER/ST-048-EUR-09/04_Shipment_Statement.docx</t>
        </is>
      </c>
      <c r="F349" t="inlineStr">
        <is>
          <t>4efea279f7405d075b0e2e803ca147cb2e142c1f48bc74eee3943dd1bddc2447</t>
        </is>
      </c>
      <c r="G349" t="inlineStr">
        <is>
          <t>2026-08-08</t>
        </is>
      </c>
      <c r="H349" s="19" t="inlineStr">
        <is>
          <t>2</t>
        </is>
      </c>
      <c r="I349" t="inlineStr">
        <is>
          <t>Phase I generated Rev.00 Word file — linked; signatures not completed</t>
        </is>
      </c>
      <c r="J349" t="inlineStr">
        <is>
          <t>2026-08-10T19:29:54Z</t>
        </is>
      </c>
      <c r="K349" t="inlineStr">
        <is>
          <t>2026-08-10T19:49:40Z</t>
        </is>
      </c>
    </row>
    <row r="350">
      <c r="A350" s="19" t="inlineStr">
        <is>
          <t>349</t>
        </is>
      </c>
      <c r="B350" s="19" t="inlineStr">
        <is>
          <t>IA-PPWR-TF-ST-048-EUR-10-R00</t>
        </is>
      </c>
      <c r="C350" t="inlineStr">
        <is>
          <t>IA-PPWR-TF-ST-048-EUR-10-R00</t>
        </is>
      </c>
      <c r="D350" s="19" t="inlineStr">
        <is>
          <t>1</t>
        </is>
      </c>
      <c r="E350" t="inlineStr">
        <is>
          <t>01_STARTER/ST-048-EUR-10/01_Technical_File.docx</t>
        </is>
      </c>
      <c r="F350" t="inlineStr">
        <is>
          <t>bc4908f530a082ec0faa30407bb997f913096c761986987e821911996842d439</t>
        </is>
      </c>
      <c r="G350" t="inlineStr">
        <is>
          <t>2026-08-08</t>
        </is>
      </c>
      <c r="H350" s="19" t="inlineStr">
        <is>
          <t>2</t>
        </is>
      </c>
      <c r="I350" t="inlineStr">
        <is>
          <t>Phase I generated Rev.00 Word file — linked; signatures not completed</t>
        </is>
      </c>
      <c r="J350" t="inlineStr">
        <is>
          <t>2026-08-10T19:29:54Z</t>
        </is>
      </c>
      <c r="K350" t="inlineStr">
        <is>
          <t>2026-08-10T19:49:40Z</t>
        </is>
      </c>
    </row>
    <row r="351">
      <c r="A351" s="19" t="inlineStr">
        <is>
          <t>350</t>
        </is>
      </c>
      <c r="B351" s="19" t="inlineStr">
        <is>
          <t>IA-PPWR-DOC-ST-048-EUR-10-R00</t>
        </is>
      </c>
      <c r="C351" t="inlineStr">
        <is>
          <t>IA-PPWR-DOC-ST-048-EUR-10-R00</t>
        </is>
      </c>
      <c r="D351" s="19" t="inlineStr">
        <is>
          <t>4</t>
        </is>
      </c>
      <c r="E351" t="inlineStr">
        <is>
          <t>01_STARTER/ST-048-EUR-10/02_EU_DoC.docx</t>
        </is>
      </c>
      <c r="F351" t="inlineStr">
        <is>
          <t>3ee012a1804062c6562809e682550a23f5baac3e6c8ff8413fdc421ad31f3d77</t>
        </is>
      </c>
      <c r="G351" t="inlineStr">
        <is>
          <t>2026-08-08</t>
        </is>
      </c>
      <c r="H351" s="19" t="inlineStr">
        <is>
          <t>2</t>
        </is>
      </c>
      <c r="I351" t="inlineStr">
        <is>
          <t>Phase I generated Rev.00 Word file — linked; signatures not completed</t>
        </is>
      </c>
      <c r="J351" t="inlineStr">
        <is>
          <t>2026-08-10T19:29:54Z</t>
        </is>
      </c>
      <c r="K351" t="inlineStr">
        <is>
          <t>2026-08-10T19:49:40Z</t>
        </is>
      </c>
    </row>
    <row r="352">
      <c r="A352" s="19" t="inlineStr">
        <is>
          <t>351</t>
        </is>
      </c>
      <c r="B352" s="19" t="inlineStr">
        <is>
          <t>IA-PPWR-LBL-ST-048-EUR-10-R00</t>
        </is>
      </c>
      <c r="C352" t="inlineStr">
        <is>
          <t>IA-PPWR-LBL-ST-048-EUR-10-R00</t>
        </is>
      </c>
      <c r="D352" s="19" t="inlineStr">
        <is>
          <t>11</t>
        </is>
      </c>
      <c r="E352" t="inlineStr">
        <is>
          <t>01_STARTER/ST-048-EUR-10/03_Label.docx</t>
        </is>
      </c>
      <c r="F352" t="inlineStr">
        <is>
          <t>a8fdae399ffe630a557b0634e67c5d0f61d6ba35d7d3435e5fcbbdcf1d67a152</t>
        </is>
      </c>
      <c r="G352" t="inlineStr">
        <is>
          <t>2026-08-08</t>
        </is>
      </c>
      <c r="H352" s="19" t="inlineStr">
        <is>
          <t>2</t>
        </is>
      </c>
      <c r="I352" t="inlineStr">
        <is>
          <t>Phase I generated Rev.00 Word file — linked; signatures not completed</t>
        </is>
      </c>
      <c r="J352" t="inlineStr">
        <is>
          <t>2026-08-10T19:29:54Z</t>
        </is>
      </c>
      <c r="K352" t="inlineStr">
        <is>
          <t>2026-08-10T19:49:40Z</t>
        </is>
      </c>
    </row>
    <row r="353">
      <c r="A353" s="19" t="inlineStr">
        <is>
          <t>352</t>
        </is>
      </c>
      <c r="B353" s="19" t="inlineStr">
        <is>
          <t>IA-PPWR-STM-ST-048-EUR-10-R00</t>
        </is>
      </c>
      <c r="C353" t="inlineStr">
        <is>
          <t>IA-PPWR-STM-ST-048-EUR-10-R00</t>
        </is>
      </c>
      <c r="D353" s="19" t="inlineStr">
        <is>
          <t>12</t>
        </is>
      </c>
      <c r="E353" t="inlineStr">
        <is>
          <t>01_STARTER/ST-048-EUR-10/04_Shipment_Statement.docx</t>
        </is>
      </c>
      <c r="F353" t="inlineStr">
        <is>
          <t>eebadec7bae2976a516c921693b8ca991df2900853e8d5f881b7279ab65fa693</t>
        </is>
      </c>
      <c r="G353" t="inlineStr">
        <is>
          <t>2026-08-08</t>
        </is>
      </c>
      <c r="H353" s="19" t="inlineStr">
        <is>
          <t>2</t>
        </is>
      </c>
      <c r="I353" t="inlineStr">
        <is>
          <t>Phase I generated Rev.00 Word file — linked; signatures not completed</t>
        </is>
      </c>
      <c r="J353" t="inlineStr">
        <is>
          <t>2026-08-10T19:29:54Z</t>
        </is>
      </c>
      <c r="K353" t="inlineStr">
        <is>
          <t>2026-08-10T19:49:40Z</t>
        </is>
      </c>
    </row>
    <row r="354">
      <c r="A354" s="19" t="inlineStr">
        <is>
          <t>353</t>
        </is>
      </c>
      <c r="B354" s="19" t="inlineStr">
        <is>
          <t>IA-PPWR-TF-ST-048-EUR-11-R00</t>
        </is>
      </c>
      <c r="C354" t="inlineStr">
        <is>
          <t>IA-PPWR-TF-ST-048-EUR-11-R00</t>
        </is>
      </c>
      <c r="D354" s="19" t="inlineStr">
        <is>
          <t>1</t>
        </is>
      </c>
      <c r="E354" t="inlineStr">
        <is>
          <t>01_STARTER/ST-048-EUR-11/01_Technical_File.docx</t>
        </is>
      </c>
      <c r="F354" t="inlineStr">
        <is>
          <t>4dc7dc6314f85626fdfd6fed23946d3c9bf86c0197cbd35c670dd6134f99bd3d</t>
        </is>
      </c>
      <c r="G354" t="inlineStr">
        <is>
          <t>2026-08-08</t>
        </is>
      </c>
      <c r="H354" s="19" t="inlineStr">
        <is>
          <t>2</t>
        </is>
      </c>
      <c r="I354" t="inlineStr">
        <is>
          <t>Phase I generated Rev.00 Word file — linked; signatures not completed</t>
        </is>
      </c>
      <c r="J354" t="inlineStr">
        <is>
          <t>2026-08-10T19:29:54Z</t>
        </is>
      </c>
      <c r="K354" t="inlineStr">
        <is>
          <t>2026-08-10T19:49:40Z</t>
        </is>
      </c>
    </row>
    <row r="355">
      <c r="A355" s="19" t="inlineStr">
        <is>
          <t>354</t>
        </is>
      </c>
      <c r="B355" s="19" t="inlineStr">
        <is>
          <t>IA-PPWR-DOC-ST-048-EUR-11-R00</t>
        </is>
      </c>
      <c r="C355" t="inlineStr">
        <is>
          <t>IA-PPWR-DOC-ST-048-EUR-11-R00</t>
        </is>
      </c>
      <c r="D355" s="19" t="inlineStr">
        <is>
          <t>4</t>
        </is>
      </c>
      <c r="E355" t="inlineStr">
        <is>
          <t>01_STARTER/ST-048-EUR-11/02_EU_DoC.docx</t>
        </is>
      </c>
      <c r="F355" t="inlineStr">
        <is>
          <t>6ca19b1ce3146014fe4295fb7764ff2735713b5e574f2c8b55beeae128bc7cf8</t>
        </is>
      </c>
      <c r="G355" t="inlineStr">
        <is>
          <t>2026-08-08</t>
        </is>
      </c>
      <c r="H355" s="19" t="inlineStr">
        <is>
          <t>2</t>
        </is>
      </c>
      <c r="I355" t="inlineStr">
        <is>
          <t>Phase I generated Rev.00 Word file — linked; signatures not completed</t>
        </is>
      </c>
      <c r="J355" t="inlineStr">
        <is>
          <t>2026-08-10T19:29:54Z</t>
        </is>
      </c>
      <c r="K355" t="inlineStr">
        <is>
          <t>2026-08-10T19:49:40Z</t>
        </is>
      </c>
    </row>
    <row r="356">
      <c r="A356" s="19" t="inlineStr">
        <is>
          <t>355</t>
        </is>
      </c>
      <c r="B356" s="19" t="inlineStr">
        <is>
          <t>IA-PPWR-LBL-ST-048-EUR-11-R00</t>
        </is>
      </c>
      <c r="C356" t="inlineStr">
        <is>
          <t>IA-PPWR-LBL-ST-048-EUR-11-R00</t>
        </is>
      </c>
      <c r="D356" s="19" t="inlineStr">
        <is>
          <t>11</t>
        </is>
      </c>
      <c r="E356" t="inlineStr">
        <is>
          <t>01_STARTER/ST-048-EUR-11/03_Label.docx</t>
        </is>
      </c>
      <c r="F356" t="inlineStr">
        <is>
          <t>5d5dd6028f8adad8edafea653cded3701390ce751fa7b557e2722343cf9878d9</t>
        </is>
      </c>
      <c r="G356" t="inlineStr">
        <is>
          <t>2026-08-08</t>
        </is>
      </c>
      <c r="H356" s="19" t="inlineStr">
        <is>
          <t>2</t>
        </is>
      </c>
      <c r="I356" t="inlineStr">
        <is>
          <t>Phase I generated Rev.00 Word file — linked; signatures not completed</t>
        </is>
      </c>
      <c r="J356" t="inlineStr">
        <is>
          <t>2026-08-10T19:29:54Z</t>
        </is>
      </c>
      <c r="K356" t="inlineStr">
        <is>
          <t>2026-08-10T19:49:40Z</t>
        </is>
      </c>
    </row>
    <row r="357">
      <c r="A357" s="19" t="inlineStr">
        <is>
          <t>356</t>
        </is>
      </c>
      <c r="B357" s="19" t="inlineStr">
        <is>
          <t>IA-PPWR-STM-ST-048-EUR-11-R00</t>
        </is>
      </c>
      <c r="C357" t="inlineStr">
        <is>
          <t>IA-PPWR-STM-ST-048-EUR-11-R00</t>
        </is>
      </c>
      <c r="D357" s="19" t="inlineStr">
        <is>
          <t>12</t>
        </is>
      </c>
      <c r="E357" t="inlineStr">
        <is>
          <t>01_STARTER/ST-048-EUR-11/04_Shipment_Statement.docx</t>
        </is>
      </c>
      <c r="F357" t="inlineStr">
        <is>
          <t>4e91ce8bbfe6342a2180989e72831c54b12daaddf409b30311b3692a62b8bb5a</t>
        </is>
      </c>
      <c r="G357" t="inlineStr">
        <is>
          <t>2026-08-08</t>
        </is>
      </c>
      <c r="H357" s="19" t="inlineStr">
        <is>
          <t>2</t>
        </is>
      </c>
      <c r="I357" t="inlineStr">
        <is>
          <t>Phase I generated Rev.00 Word file — linked; signatures not completed</t>
        </is>
      </c>
      <c r="J357" t="inlineStr">
        <is>
          <t>2026-08-10T19:29:54Z</t>
        </is>
      </c>
      <c r="K357" t="inlineStr">
        <is>
          <t>2026-08-10T19:49:40Z</t>
        </is>
      </c>
    </row>
    <row r="358">
      <c r="A358" s="19" t="inlineStr">
        <is>
          <t>357</t>
        </is>
      </c>
      <c r="B358" s="19" t="inlineStr">
        <is>
          <t>IA-PPWR-TF-ST-048-EUR-12-R00</t>
        </is>
      </c>
      <c r="C358" t="inlineStr">
        <is>
          <t>IA-PPWR-TF-ST-048-EUR-12-R00</t>
        </is>
      </c>
      <c r="D358" s="19" t="inlineStr">
        <is>
          <t>1</t>
        </is>
      </c>
      <c r="E358" t="inlineStr">
        <is>
          <t>01_STARTER/ST-048-EUR-12/01_Technical_File.docx</t>
        </is>
      </c>
      <c r="F358" t="inlineStr">
        <is>
          <t>0543f8cee20c266c61d74f9356a9b007e91dc1169426c97b1829614d81762909</t>
        </is>
      </c>
      <c r="G358" t="inlineStr">
        <is>
          <t>2026-08-08</t>
        </is>
      </c>
      <c r="H358" s="19" t="inlineStr">
        <is>
          <t>2</t>
        </is>
      </c>
      <c r="I358" t="inlineStr">
        <is>
          <t>Phase I generated Rev.00 Word file — linked; signatures not completed</t>
        </is>
      </c>
      <c r="J358" t="inlineStr">
        <is>
          <t>2026-08-10T19:29:54Z</t>
        </is>
      </c>
      <c r="K358" t="inlineStr">
        <is>
          <t>2026-08-10T19:49:40Z</t>
        </is>
      </c>
    </row>
    <row r="359">
      <c r="A359" s="19" t="inlineStr">
        <is>
          <t>358</t>
        </is>
      </c>
      <c r="B359" s="19" t="inlineStr">
        <is>
          <t>IA-PPWR-DOC-ST-048-EUR-12-R00</t>
        </is>
      </c>
      <c r="C359" t="inlineStr">
        <is>
          <t>IA-PPWR-DOC-ST-048-EUR-12-R00</t>
        </is>
      </c>
      <c r="D359" s="19" t="inlineStr">
        <is>
          <t>4</t>
        </is>
      </c>
      <c r="E359" t="inlineStr">
        <is>
          <t>01_STARTER/ST-048-EUR-12/02_EU_DoC.docx</t>
        </is>
      </c>
      <c r="F359" t="inlineStr">
        <is>
          <t>1054a1600712d59dc9801b615ae71304b744f6380d10c3e5d761999bffe942cc</t>
        </is>
      </c>
      <c r="G359" t="inlineStr">
        <is>
          <t>2026-08-08</t>
        </is>
      </c>
      <c r="H359" s="19" t="inlineStr">
        <is>
          <t>2</t>
        </is>
      </c>
      <c r="I359" t="inlineStr">
        <is>
          <t>Phase I generated Rev.00 Word file — linked; signatures not completed</t>
        </is>
      </c>
      <c r="J359" t="inlineStr">
        <is>
          <t>2026-08-10T19:29:54Z</t>
        </is>
      </c>
      <c r="K359" t="inlineStr">
        <is>
          <t>2026-08-10T19:49:40Z</t>
        </is>
      </c>
    </row>
    <row r="360">
      <c r="A360" s="19" t="inlineStr">
        <is>
          <t>359</t>
        </is>
      </c>
      <c r="B360" s="19" t="inlineStr">
        <is>
          <t>IA-PPWR-LBL-ST-048-EUR-12-R00</t>
        </is>
      </c>
      <c r="C360" t="inlineStr">
        <is>
          <t>IA-PPWR-LBL-ST-048-EUR-12-R00</t>
        </is>
      </c>
      <c r="D360" s="19" t="inlineStr">
        <is>
          <t>11</t>
        </is>
      </c>
      <c r="E360" t="inlineStr">
        <is>
          <t>01_STARTER/ST-048-EUR-12/03_Label.docx</t>
        </is>
      </c>
      <c r="F360" t="inlineStr">
        <is>
          <t>e116dd5f05e761e4e751cca480c3f049f70cb343afdfee4bbc1c9a32681f465f</t>
        </is>
      </c>
      <c r="G360" t="inlineStr">
        <is>
          <t>2026-08-08</t>
        </is>
      </c>
      <c r="H360" s="19" t="inlineStr">
        <is>
          <t>2</t>
        </is>
      </c>
      <c r="I360" t="inlineStr">
        <is>
          <t>Phase I generated Rev.00 Word file — linked; signatures not completed</t>
        </is>
      </c>
      <c r="J360" t="inlineStr">
        <is>
          <t>2026-08-10T19:29:54Z</t>
        </is>
      </c>
      <c r="K360" t="inlineStr">
        <is>
          <t>2026-08-10T19:49:40Z</t>
        </is>
      </c>
    </row>
    <row r="361">
      <c r="A361" s="19" t="inlineStr">
        <is>
          <t>360</t>
        </is>
      </c>
      <c r="B361" s="19" t="inlineStr">
        <is>
          <t>IA-PPWR-STM-ST-048-EUR-12-R00</t>
        </is>
      </c>
      <c r="C361" t="inlineStr">
        <is>
          <t>IA-PPWR-STM-ST-048-EUR-12-R00</t>
        </is>
      </c>
      <c r="D361" s="19" t="inlineStr">
        <is>
          <t>12</t>
        </is>
      </c>
      <c r="E361" t="inlineStr">
        <is>
          <t>01_STARTER/ST-048-EUR-12/04_Shipment_Statement.docx</t>
        </is>
      </c>
      <c r="F361" t="inlineStr">
        <is>
          <t>eae877f5ed91ca1a8de8bc50dc00563f2965bf202dbfc8981b97d6789cf6142d</t>
        </is>
      </c>
      <c r="G361" t="inlineStr">
        <is>
          <t>2026-08-08</t>
        </is>
      </c>
      <c r="H361" s="19" t="inlineStr">
        <is>
          <t>2</t>
        </is>
      </c>
      <c r="I361" t="inlineStr">
        <is>
          <t>Phase I generated Rev.00 Word file — linked; signatures not completed</t>
        </is>
      </c>
      <c r="J361" t="inlineStr">
        <is>
          <t>2026-08-10T19:29:54Z</t>
        </is>
      </c>
      <c r="K361" t="inlineStr">
        <is>
          <t>2026-08-10T19:49:40Z</t>
        </is>
      </c>
    </row>
    <row r="362">
      <c r="A362" s="19" t="inlineStr">
        <is>
          <t>361</t>
        </is>
      </c>
      <c r="B362" s="19" t="inlineStr">
        <is>
          <t>IA-PPWR-TF-ST-048-STD-01-R00</t>
        </is>
      </c>
      <c r="C362" t="inlineStr">
        <is>
          <t>IA-PPWR-TF-ST-048-STD-01-R00</t>
        </is>
      </c>
      <c r="D362" s="19" t="inlineStr">
        <is>
          <t>1</t>
        </is>
      </c>
      <c r="E362" t="inlineStr">
        <is>
          <t>01_STARTER/ST-048-STD-01/01_Technical_File.docx</t>
        </is>
      </c>
      <c r="F362" t="inlineStr">
        <is>
          <t>3a08cd2d215f6624e8af96030c12b9605ee850ac244c5329f4fdd9918329520e</t>
        </is>
      </c>
      <c r="G362" t="inlineStr">
        <is>
          <t>2026-08-08</t>
        </is>
      </c>
      <c r="H362" s="19" t="inlineStr">
        <is>
          <t>2</t>
        </is>
      </c>
      <c r="I362" t="inlineStr">
        <is>
          <t>Phase I generated Rev.00 Word file — linked; signatures not completed</t>
        </is>
      </c>
      <c r="J362" t="inlineStr">
        <is>
          <t>2026-08-10T19:29:54Z</t>
        </is>
      </c>
      <c r="K362" t="inlineStr">
        <is>
          <t>2026-08-10T19:49:40Z</t>
        </is>
      </c>
    </row>
    <row r="363">
      <c r="A363" s="19" t="inlineStr">
        <is>
          <t>362</t>
        </is>
      </c>
      <c r="B363" s="19" t="inlineStr">
        <is>
          <t>IA-PPWR-DOC-ST-048-STD-01-R00</t>
        </is>
      </c>
      <c r="C363" t="inlineStr">
        <is>
          <t>IA-PPWR-DOC-ST-048-STD-01-R00</t>
        </is>
      </c>
      <c r="D363" s="19" t="inlineStr">
        <is>
          <t>4</t>
        </is>
      </c>
      <c r="E363" t="inlineStr">
        <is>
          <t>01_STARTER/ST-048-STD-01/02_EU_DoC.docx</t>
        </is>
      </c>
      <c r="F363" t="inlineStr">
        <is>
          <t>2647807ad96b1c379063e0ea51ee039d3d13fcc51d9946057b5e9e08cbfd18e1</t>
        </is>
      </c>
      <c r="G363" t="inlineStr">
        <is>
          <t>2026-08-08</t>
        </is>
      </c>
      <c r="H363" s="19" t="inlineStr">
        <is>
          <t>2</t>
        </is>
      </c>
      <c r="I363" t="inlineStr">
        <is>
          <t>Phase I generated Rev.00 Word file — linked; signatures not completed</t>
        </is>
      </c>
      <c r="J363" t="inlineStr">
        <is>
          <t>2026-08-10T19:29:54Z</t>
        </is>
      </c>
      <c r="K363" t="inlineStr">
        <is>
          <t>2026-08-10T19:49:40Z</t>
        </is>
      </c>
    </row>
    <row r="364">
      <c r="A364" s="19" t="inlineStr">
        <is>
          <t>363</t>
        </is>
      </c>
      <c r="B364" s="19" t="inlineStr">
        <is>
          <t>IA-PPWR-LBL-ST-048-STD-01-R00</t>
        </is>
      </c>
      <c r="C364" t="inlineStr">
        <is>
          <t>IA-PPWR-LBL-ST-048-STD-01-R00</t>
        </is>
      </c>
      <c r="D364" s="19" t="inlineStr">
        <is>
          <t>11</t>
        </is>
      </c>
      <c r="E364" t="inlineStr">
        <is>
          <t>01_STARTER/ST-048-STD-01/03_Label.docx</t>
        </is>
      </c>
      <c r="F364" t="inlineStr">
        <is>
          <t>8d619ef98bfdb2d277eb0b40b1b91f05136d97e20f3e37f32134ffb749f10420</t>
        </is>
      </c>
      <c r="G364" t="inlineStr">
        <is>
          <t>2026-08-08</t>
        </is>
      </c>
      <c r="H364" s="19" t="inlineStr">
        <is>
          <t>2</t>
        </is>
      </c>
      <c r="I364" t="inlineStr">
        <is>
          <t>Phase I generated Rev.00 Word file — linked; signatures not completed</t>
        </is>
      </c>
      <c r="J364" t="inlineStr">
        <is>
          <t>2026-08-10T19:29:54Z</t>
        </is>
      </c>
      <c r="K364" t="inlineStr">
        <is>
          <t>2026-08-10T19:49:40Z</t>
        </is>
      </c>
    </row>
    <row r="365">
      <c r="A365" s="19" t="inlineStr">
        <is>
          <t>364</t>
        </is>
      </c>
      <c r="B365" s="19" t="inlineStr">
        <is>
          <t>IA-PPWR-STM-ST-048-STD-01-R00</t>
        </is>
      </c>
      <c r="C365" t="inlineStr">
        <is>
          <t>IA-PPWR-STM-ST-048-STD-01-R00</t>
        </is>
      </c>
      <c r="D365" s="19" t="inlineStr">
        <is>
          <t>12</t>
        </is>
      </c>
      <c r="E365" t="inlineStr">
        <is>
          <t>01_STARTER/ST-048-STD-01/04_Shipment_Statement.docx</t>
        </is>
      </c>
      <c r="F365" t="inlineStr">
        <is>
          <t>4a301aa6368e47b1c65d4f4ae717eba0168c741de85ef36c79e04489a64450b1</t>
        </is>
      </c>
      <c r="G365" t="inlineStr">
        <is>
          <t>2026-08-08</t>
        </is>
      </c>
      <c r="H365" s="19" t="inlineStr">
        <is>
          <t>2</t>
        </is>
      </c>
      <c r="I365" t="inlineStr">
        <is>
          <t>Phase I generated Rev.00 Word file — linked; signatures not completed</t>
        </is>
      </c>
      <c r="J365" t="inlineStr">
        <is>
          <t>2026-08-10T19:29:54Z</t>
        </is>
      </c>
      <c r="K365" t="inlineStr">
        <is>
          <t>2026-08-10T19:49:40Z</t>
        </is>
      </c>
    </row>
    <row r="366">
      <c r="A366" s="19" t="inlineStr">
        <is>
          <t>365</t>
        </is>
      </c>
      <c r="B366" s="19" t="inlineStr">
        <is>
          <t>IA-PPWR-TF-ST-048-STD-02-R00</t>
        </is>
      </c>
      <c r="C366" t="inlineStr">
        <is>
          <t>IA-PPWR-TF-ST-048-STD-02-R00</t>
        </is>
      </c>
      <c r="D366" s="19" t="inlineStr">
        <is>
          <t>1</t>
        </is>
      </c>
      <c r="E366" t="inlineStr">
        <is>
          <t>01_STARTER/ST-048-STD-02/01_Technical_File.docx</t>
        </is>
      </c>
      <c r="F366" t="inlineStr">
        <is>
          <t>34ec554c87386f814628f2495efe6f0dcf1509de5fb0207b93c80cdd42b07a6d</t>
        </is>
      </c>
      <c r="G366" t="inlineStr">
        <is>
          <t>2026-08-08</t>
        </is>
      </c>
      <c r="H366" s="19" t="inlineStr">
        <is>
          <t>2</t>
        </is>
      </c>
      <c r="I366" t="inlineStr">
        <is>
          <t>Phase I generated Rev.00 Word file — linked; signatures not completed</t>
        </is>
      </c>
      <c r="J366" t="inlineStr">
        <is>
          <t>2026-08-10T19:29:54Z</t>
        </is>
      </c>
      <c r="K366" t="inlineStr">
        <is>
          <t>2026-08-10T19:49:40Z</t>
        </is>
      </c>
    </row>
    <row r="367">
      <c r="A367" s="19" t="inlineStr">
        <is>
          <t>366</t>
        </is>
      </c>
      <c r="B367" s="19" t="inlineStr">
        <is>
          <t>IA-PPWR-DOC-ST-048-STD-02-R00</t>
        </is>
      </c>
      <c r="C367" t="inlineStr">
        <is>
          <t>IA-PPWR-DOC-ST-048-STD-02-R00</t>
        </is>
      </c>
      <c r="D367" s="19" t="inlineStr">
        <is>
          <t>4</t>
        </is>
      </c>
      <c r="E367" t="inlineStr">
        <is>
          <t>01_STARTER/ST-048-STD-02/02_EU_DoC.docx</t>
        </is>
      </c>
      <c r="F367" t="inlineStr">
        <is>
          <t>52536ae61a995695ebc322917a8d7cc3239ae95905085cf138f1f7ab4117c367</t>
        </is>
      </c>
      <c r="G367" t="inlineStr">
        <is>
          <t>2026-08-08</t>
        </is>
      </c>
      <c r="H367" s="19" t="inlineStr">
        <is>
          <t>2</t>
        </is>
      </c>
      <c r="I367" t="inlineStr">
        <is>
          <t>Phase I generated Rev.00 Word file — linked; signatures not completed</t>
        </is>
      </c>
      <c r="J367" t="inlineStr">
        <is>
          <t>2026-08-10T19:29:54Z</t>
        </is>
      </c>
      <c r="K367" t="inlineStr">
        <is>
          <t>2026-08-10T19:49:40Z</t>
        </is>
      </c>
    </row>
    <row r="368">
      <c r="A368" s="19" t="inlineStr">
        <is>
          <t>367</t>
        </is>
      </c>
      <c r="B368" s="19" t="inlineStr">
        <is>
          <t>IA-PPWR-LBL-ST-048-STD-02-R00</t>
        </is>
      </c>
      <c r="C368" t="inlineStr">
        <is>
          <t>IA-PPWR-LBL-ST-048-STD-02-R00</t>
        </is>
      </c>
      <c r="D368" s="19" t="inlineStr">
        <is>
          <t>11</t>
        </is>
      </c>
      <c r="E368" t="inlineStr">
        <is>
          <t>01_STARTER/ST-048-STD-02/03_Label.docx</t>
        </is>
      </c>
      <c r="F368" t="inlineStr">
        <is>
          <t>ef1869090210edfd29dffbd26e236ac9d22a6c12da5280a981ee8722cf2ea778</t>
        </is>
      </c>
      <c r="G368" t="inlineStr">
        <is>
          <t>2026-08-08</t>
        </is>
      </c>
      <c r="H368" s="19" t="inlineStr">
        <is>
          <t>2</t>
        </is>
      </c>
      <c r="I368" t="inlineStr">
        <is>
          <t>Phase I generated Rev.00 Word file — linked; signatures not completed</t>
        </is>
      </c>
      <c r="J368" t="inlineStr">
        <is>
          <t>2026-08-10T19:29:54Z</t>
        </is>
      </c>
      <c r="K368" t="inlineStr">
        <is>
          <t>2026-08-10T19:49:40Z</t>
        </is>
      </c>
    </row>
    <row r="369">
      <c r="A369" s="19" t="inlineStr">
        <is>
          <t>368</t>
        </is>
      </c>
      <c r="B369" s="19" t="inlineStr">
        <is>
          <t>IA-PPWR-STM-ST-048-STD-02-R00</t>
        </is>
      </c>
      <c r="C369" t="inlineStr">
        <is>
          <t>IA-PPWR-STM-ST-048-STD-02-R00</t>
        </is>
      </c>
      <c r="D369" s="19" t="inlineStr">
        <is>
          <t>12</t>
        </is>
      </c>
      <c r="E369" t="inlineStr">
        <is>
          <t>01_STARTER/ST-048-STD-02/04_Shipment_Statement.docx</t>
        </is>
      </c>
      <c r="F369" t="inlineStr">
        <is>
          <t>1091c85a557353c1d17d57d5512e2e7c45ca7a051e0b155865489adf5e55e931</t>
        </is>
      </c>
      <c r="G369" t="inlineStr">
        <is>
          <t>2026-08-08</t>
        </is>
      </c>
      <c r="H369" s="19" t="inlineStr">
        <is>
          <t>2</t>
        </is>
      </c>
      <c r="I369" t="inlineStr">
        <is>
          <t>Phase I generated Rev.00 Word file — linked; signatures not completed</t>
        </is>
      </c>
      <c r="J369" t="inlineStr">
        <is>
          <t>2026-08-10T19:29:54Z</t>
        </is>
      </c>
      <c r="K369" t="inlineStr">
        <is>
          <t>2026-08-10T19:49:40Z</t>
        </is>
      </c>
    </row>
    <row r="370">
      <c r="A370" s="19" t="inlineStr">
        <is>
          <t>369</t>
        </is>
      </c>
      <c r="B370" s="19" t="inlineStr">
        <is>
          <t>IA-PPWR-TF-ST-051-EUR-01-R00</t>
        </is>
      </c>
      <c r="C370" t="inlineStr">
        <is>
          <t>IA-PPWR-TF-ST-051-EUR-01-R00</t>
        </is>
      </c>
      <c r="D370" s="19" t="inlineStr">
        <is>
          <t>1</t>
        </is>
      </c>
      <c r="E370" t="inlineStr">
        <is>
          <t>01_STARTER/ST-051-EUR-01/01_Technical_File.docx</t>
        </is>
      </c>
      <c r="F370" t="inlineStr">
        <is>
          <t>97085c742a1a2c8adf1c4369dc8e54b96da306f3e714a7fda44d976042d2c28a</t>
        </is>
      </c>
      <c r="G370" t="inlineStr">
        <is>
          <t>2026-08-08</t>
        </is>
      </c>
      <c r="H370" s="19" t="inlineStr">
        <is>
          <t>2</t>
        </is>
      </c>
      <c r="I370" t="inlineStr">
        <is>
          <t>Phase I generated Rev.00 Word file — linked; signatures not completed</t>
        </is>
      </c>
      <c r="J370" t="inlineStr">
        <is>
          <t>2026-08-10T19:29:54Z</t>
        </is>
      </c>
      <c r="K370" t="inlineStr">
        <is>
          <t>2026-08-10T19:49:40Z</t>
        </is>
      </c>
    </row>
    <row r="371">
      <c r="A371" s="19" t="inlineStr">
        <is>
          <t>370</t>
        </is>
      </c>
      <c r="B371" s="19" t="inlineStr">
        <is>
          <t>IA-PPWR-DOC-ST-051-EUR-01-R00</t>
        </is>
      </c>
      <c r="C371" t="inlineStr">
        <is>
          <t>IA-PPWR-DOC-ST-051-EUR-01-R00</t>
        </is>
      </c>
      <c r="D371" s="19" t="inlineStr">
        <is>
          <t>4</t>
        </is>
      </c>
      <c r="E371" t="inlineStr">
        <is>
          <t>01_STARTER/ST-051-EUR-01/02_EU_DoC.docx</t>
        </is>
      </c>
      <c r="F371" t="inlineStr">
        <is>
          <t>ce7f644386e5882692e4e7fc3f81449b027e831396181cf22825e67cfbdb4329</t>
        </is>
      </c>
      <c r="G371" t="inlineStr">
        <is>
          <t>2026-08-08</t>
        </is>
      </c>
      <c r="H371" s="19" t="inlineStr">
        <is>
          <t>2</t>
        </is>
      </c>
      <c r="I371" t="inlineStr">
        <is>
          <t>Phase I generated Rev.00 Word file — linked; signatures not completed</t>
        </is>
      </c>
      <c r="J371" t="inlineStr">
        <is>
          <t>2026-08-10T19:29:54Z</t>
        </is>
      </c>
      <c r="K371" t="inlineStr">
        <is>
          <t>2026-08-10T19:49:40Z</t>
        </is>
      </c>
    </row>
    <row r="372">
      <c r="A372" s="19" t="inlineStr">
        <is>
          <t>371</t>
        </is>
      </c>
      <c r="B372" s="19" t="inlineStr">
        <is>
          <t>IA-PPWR-LBL-ST-051-EUR-01-R00</t>
        </is>
      </c>
      <c r="C372" t="inlineStr">
        <is>
          <t>IA-PPWR-LBL-ST-051-EUR-01-R00</t>
        </is>
      </c>
      <c r="D372" s="19" t="inlineStr">
        <is>
          <t>11</t>
        </is>
      </c>
      <c r="E372" t="inlineStr">
        <is>
          <t>01_STARTER/ST-051-EUR-01/03_Label.docx</t>
        </is>
      </c>
      <c r="F372" t="inlineStr">
        <is>
          <t>bb3c4452caeccc105c1d3481b3578ec6b75de5015276a7fafa26bb2df385728a</t>
        </is>
      </c>
      <c r="G372" t="inlineStr">
        <is>
          <t>2026-08-08</t>
        </is>
      </c>
      <c r="H372" s="19" t="inlineStr">
        <is>
          <t>2</t>
        </is>
      </c>
      <c r="I372" t="inlineStr">
        <is>
          <t>Phase I generated Rev.00 Word file — linked; signatures not completed</t>
        </is>
      </c>
      <c r="J372" t="inlineStr">
        <is>
          <t>2026-08-10T19:29:54Z</t>
        </is>
      </c>
      <c r="K372" t="inlineStr">
        <is>
          <t>2026-08-10T19:49:40Z</t>
        </is>
      </c>
    </row>
    <row r="373">
      <c r="A373" s="19" t="inlineStr">
        <is>
          <t>372</t>
        </is>
      </c>
      <c r="B373" s="19" t="inlineStr">
        <is>
          <t>IA-PPWR-STM-ST-051-EUR-01-R00</t>
        </is>
      </c>
      <c r="C373" t="inlineStr">
        <is>
          <t>IA-PPWR-STM-ST-051-EUR-01-R00</t>
        </is>
      </c>
      <c r="D373" s="19" t="inlineStr">
        <is>
          <t>12</t>
        </is>
      </c>
      <c r="E373" t="inlineStr">
        <is>
          <t>01_STARTER/ST-051-EUR-01/04_Shipment_Statement.docx</t>
        </is>
      </c>
      <c r="F373" t="inlineStr">
        <is>
          <t>6c997f7ebb5ef39c66b4a4b7f4b2aaa95c6f5622c70e921d5c7f18f27fa3d4e5</t>
        </is>
      </c>
      <c r="G373" t="inlineStr">
        <is>
          <t>2026-08-08</t>
        </is>
      </c>
      <c r="H373" s="19" t="inlineStr">
        <is>
          <t>2</t>
        </is>
      </c>
      <c r="I373" t="inlineStr">
        <is>
          <t>Phase I generated Rev.00 Word file — linked; signatures not completed</t>
        </is>
      </c>
      <c r="J373" t="inlineStr">
        <is>
          <t>2026-08-10T19:29:54Z</t>
        </is>
      </c>
      <c r="K373" t="inlineStr">
        <is>
          <t>2026-08-10T19:49:40Z</t>
        </is>
      </c>
    </row>
    <row r="374">
      <c r="A374" s="19" t="inlineStr">
        <is>
          <t>373</t>
        </is>
      </c>
      <c r="B374" s="19" t="inlineStr">
        <is>
          <t>IA-PPWR-TF-ST-051-EUR-02-R00</t>
        </is>
      </c>
      <c r="C374" t="inlineStr">
        <is>
          <t>IA-PPWR-TF-ST-051-EUR-02-R00</t>
        </is>
      </c>
      <c r="D374" s="19" t="inlineStr">
        <is>
          <t>1</t>
        </is>
      </c>
      <c r="E374" t="inlineStr">
        <is>
          <t>01_STARTER/ST-051-EUR-02/01_Technical_File.docx</t>
        </is>
      </c>
      <c r="F374" t="inlineStr">
        <is>
          <t>e0b56f183d4aeb2f84c5e59ac440a4049f79cf8cfa88c2ef339c871455da35dc</t>
        </is>
      </c>
      <c r="G374" t="inlineStr">
        <is>
          <t>2026-08-08</t>
        </is>
      </c>
      <c r="H374" s="19" t="inlineStr">
        <is>
          <t>2</t>
        </is>
      </c>
      <c r="I374" t="inlineStr">
        <is>
          <t>Phase I generated Rev.00 Word file — linked; signatures not completed</t>
        </is>
      </c>
      <c r="J374" t="inlineStr">
        <is>
          <t>2026-08-10T19:29:54Z</t>
        </is>
      </c>
      <c r="K374" t="inlineStr">
        <is>
          <t>2026-08-10T19:49:40Z</t>
        </is>
      </c>
    </row>
    <row r="375">
      <c r="A375" s="19" t="inlineStr">
        <is>
          <t>374</t>
        </is>
      </c>
      <c r="B375" s="19" t="inlineStr">
        <is>
          <t>IA-PPWR-DOC-ST-051-EUR-02-R00</t>
        </is>
      </c>
      <c r="C375" t="inlineStr">
        <is>
          <t>IA-PPWR-DOC-ST-051-EUR-02-R00</t>
        </is>
      </c>
      <c r="D375" s="19" t="inlineStr">
        <is>
          <t>4</t>
        </is>
      </c>
      <c r="E375" t="inlineStr">
        <is>
          <t>01_STARTER/ST-051-EUR-02/02_EU_DoC.docx</t>
        </is>
      </c>
      <c r="F375" t="inlineStr">
        <is>
          <t>e45b0708a84d9b0fbbe861e010fbd4d6a8795902a809eab86e952ad63db0e028</t>
        </is>
      </c>
      <c r="G375" t="inlineStr">
        <is>
          <t>2026-08-08</t>
        </is>
      </c>
      <c r="H375" s="19" t="inlineStr">
        <is>
          <t>2</t>
        </is>
      </c>
      <c r="I375" t="inlineStr">
        <is>
          <t>Phase I generated Rev.00 Word file — linked; signatures not completed</t>
        </is>
      </c>
      <c r="J375" t="inlineStr">
        <is>
          <t>2026-08-10T19:29:54Z</t>
        </is>
      </c>
      <c r="K375" t="inlineStr">
        <is>
          <t>2026-08-10T19:49:40Z</t>
        </is>
      </c>
    </row>
    <row r="376">
      <c r="A376" s="19" t="inlineStr">
        <is>
          <t>375</t>
        </is>
      </c>
      <c r="B376" s="19" t="inlineStr">
        <is>
          <t>IA-PPWR-LBL-ST-051-EUR-02-R00</t>
        </is>
      </c>
      <c r="C376" t="inlineStr">
        <is>
          <t>IA-PPWR-LBL-ST-051-EUR-02-R00</t>
        </is>
      </c>
      <c r="D376" s="19" t="inlineStr">
        <is>
          <t>11</t>
        </is>
      </c>
      <c r="E376" t="inlineStr">
        <is>
          <t>01_STARTER/ST-051-EUR-02/03_Label.docx</t>
        </is>
      </c>
      <c r="F376" t="inlineStr">
        <is>
          <t>0ca2f088c79aef4967f79920682d05bf3ae441916dab05235b5affde19f1282d</t>
        </is>
      </c>
      <c r="G376" t="inlineStr">
        <is>
          <t>2026-08-08</t>
        </is>
      </c>
      <c r="H376" s="19" t="inlineStr">
        <is>
          <t>2</t>
        </is>
      </c>
      <c r="I376" t="inlineStr">
        <is>
          <t>Phase I generated Rev.00 Word file — linked; signatures not completed</t>
        </is>
      </c>
      <c r="J376" t="inlineStr">
        <is>
          <t>2026-08-10T19:29:54Z</t>
        </is>
      </c>
      <c r="K376" t="inlineStr">
        <is>
          <t>2026-08-10T19:49:40Z</t>
        </is>
      </c>
    </row>
    <row r="377">
      <c r="A377" s="19" t="inlineStr">
        <is>
          <t>376</t>
        </is>
      </c>
      <c r="B377" s="19" t="inlineStr">
        <is>
          <t>IA-PPWR-STM-ST-051-EUR-02-R00</t>
        </is>
      </c>
      <c r="C377" t="inlineStr">
        <is>
          <t>IA-PPWR-STM-ST-051-EUR-02-R00</t>
        </is>
      </c>
      <c r="D377" s="19" t="inlineStr">
        <is>
          <t>12</t>
        </is>
      </c>
      <c r="E377" t="inlineStr">
        <is>
          <t>01_STARTER/ST-051-EUR-02/04_Shipment_Statement.docx</t>
        </is>
      </c>
      <c r="F377" t="inlineStr">
        <is>
          <t>2711fd13cb0e695709f886d28bc312b9fd2fe142089ea253bd8618287679c44e</t>
        </is>
      </c>
      <c r="G377" t="inlineStr">
        <is>
          <t>2026-08-08</t>
        </is>
      </c>
      <c r="H377" s="19" t="inlineStr">
        <is>
          <t>2</t>
        </is>
      </c>
      <c r="I377" t="inlineStr">
        <is>
          <t>Phase I generated Rev.00 Word file — linked; signatures not completed</t>
        </is>
      </c>
      <c r="J377" t="inlineStr">
        <is>
          <t>2026-08-10T19:29:54Z</t>
        </is>
      </c>
      <c r="K377" t="inlineStr">
        <is>
          <t>2026-08-10T19:49:40Z</t>
        </is>
      </c>
    </row>
    <row r="378">
      <c r="A378" s="19" t="inlineStr">
        <is>
          <t>377</t>
        </is>
      </c>
      <c r="B378" s="19" t="inlineStr">
        <is>
          <t>IA-PPWR-TF-ST-051-EUR-03-R00</t>
        </is>
      </c>
      <c r="C378" t="inlineStr">
        <is>
          <t>IA-PPWR-TF-ST-051-EUR-03-R00</t>
        </is>
      </c>
      <c r="D378" s="19" t="inlineStr">
        <is>
          <t>1</t>
        </is>
      </c>
      <c r="E378" t="inlineStr">
        <is>
          <t>01_STARTER/ST-051-EUR-03/01_Technical_File.docx</t>
        </is>
      </c>
      <c r="F378" t="inlineStr">
        <is>
          <t>ebee5a1cadda9ce498518affea9a391a6103f18d4ee13eac036391acc9b67d19</t>
        </is>
      </c>
      <c r="G378" t="inlineStr">
        <is>
          <t>2026-08-08</t>
        </is>
      </c>
      <c r="H378" s="19" t="inlineStr">
        <is>
          <t>2</t>
        </is>
      </c>
      <c r="I378" t="inlineStr">
        <is>
          <t>Phase I generated Rev.00 Word file — linked; signatures not completed</t>
        </is>
      </c>
      <c r="J378" t="inlineStr">
        <is>
          <t>2026-08-10T19:29:54Z</t>
        </is>
      </c>
      <c r="K378" t="inlineStr">
        <is>
          <t>2026-08-10T19:49:40Z</t>
        </is>
      </c>
    </row>
    <row r="379">
      <c r="A379" s="19" t="inlineStr">
        <is>
          <t>378</t>
        </is>
      </c>
      <c r="B379" s="19" t="inlineStr">
        <is>
          <t>IA-PPWR-DOC-ST-051-EUR-03-R00</t>
        </is>
      </c>
      <c r="C379" t="inlineStr">
        <is>
          <t>IA-PPWR-DOC-ST-051-EUR-03-R00</t>
        </is>
      </c>
      <c r="D379" s="19" t="inlineStr">
        <is>
          <t>4</t>
        </is>
      </c>
      <c r="E379" t="inlineStr">
        <is>
          <t>01_STARTER/ST-051-EUR-03/02_EU_DoC.docx</t>
        </is>
      </c>
      <c r="F379" t="inlineStr">
        <is>
          <t>1c19be9c5bb292d8376d83b98064fd388d6384d8973e37aa6f96a8399adcedc7</t>
        </is>
      </c>
      <c r="G379" t="inlineStr">
        <is>
          <t>2026-08-08</t>
        </is>
      </c>
      <c r="H379" s="19" t="inlineStr">
        <is>
          <t>2</t>
        </is>
      </c>
      <c r="I379" t="inlineStr">
        <is>
          <t>Phase I generated Rev.00 Word file — linked; signatures not completed</t>
        </is>
      </c>
      <c r="J379" t="inlineStr">
        <is>
          <t>2026-08-10T19:29:54Z</t>
        </is>
      </c>
      <c r="K379" t="inlineStr">
        <is>
          <t>2026-08-10T19:49:41Z</t>
        </is>
      </c>
    </row>
    <row r="380">
      <c r="A380" s="19" t="inlineStr">
        <is>
          <t>379</t>
        </is>
      </c>
      <c r="B380" s="19" t="inlineStr">
        <is>
          <t>IA-PPWR-LBL-ST-051-EUR-03-R00</t>
        </is>
      </c>
      <c r="C380" t="inlineStr">
        <is>
          <t>IA-PPWR-LBL-ST-051-EUR-03-R00</t>
        </is>
      </c>
      <c r="D380" s="19" t="inlineStr">
        <is>
          <t>11</t>
        </is>
      </c>
      <c r="E380" t="inlineStr">
        <is>
          <t>01_STARTER/ST-051-EUR-03/03_Label.docx</t>
        </is>
      </c>
      <c r="F380" t="inlineStr">
        <is>
          <t>7e1c7f2da8a72f76fc44f3d0d5ac7a64d0f02f1a0de65da72e6664f5880dbe02</t>
        </is>
      </c>
      <c r="G380" t="inlineStr">
        <is>
          <t>2026-08-08</t>
        </is>
      </c>
      <c r="H380" s="19" t="inlineStr">
        <is>
          <t>2</t>
        </is>
      </c>
      <c r="I380" t="inlineStr">
        <is>
          <t>Phase I generated Rev.00 Word file — linked; signatures not completed</t>
        </is>
      </c>
      <c r="J380" t="inlineStr">
        <is>
          <t>2026-08-10T19:29:54Z</t>
        </is>
      </c>
      <c r="K380" t="inlineStr">
        <is>
          <t>2026-08-10T19:49:41Z</t>
        </is>
      </c>
    </row>
    <row r="381">
      <c r="A381" s="19" t="inlineStr">
        <is>
          <t>380</t>
        </is>
      </c>
      <c r="B381" s="19" t="inlineStr">
        <is>
          <t>IA-PPWR-STM-ST-051-EUR-03-R00</t>
        </is>
      </c>
      <c r="C381" t="inlineStr">
        <is>
          <t>IA-PPWR-STM-ST-051-EUR-03-R00</t>
        </is>
      </c>
      <c r="D381" s="19" t="inlineStr">
        <is>
          <t>12</t>
        </is>
      </c>
      <c r="E381" t="inlineStr">
        <is>
          <t>01_STARTER/ST-051-EUR-03/04_Shipment_Statement.docx</t>
        </is>
      </c>
      <c r="F381" t="inlineStr">
        <is>
          <t>2fd1cbac712c541258b510be79485038cba2df578afe36a3679e1beb014447f0</t>
        </is>
      </c>
      <c r="G381" t="inlineStr">
        <is>
          <t>2026-08-08</t>
        </is>
      </c>
      <c r="H381" s="19" t="inlineStr">
        <is>
          <t>2</t>
        </is>
      </c>
      <c r="I381" t="inlineStr">
        <is>
          <t>Phase I generated Rev.00 Word file — linked; signatures not completed</t>
        </is>
      </c>
      <c r="J381" t="inlineStr">
        <is>
          <t>2026-08-10T19:29:54Z</t>
        </is>
      </c>
      <c r="K381" t="inlineStr">
        <is>
          <t>2026-08-10T19:49:41Z</t>
        </is>
      </c>
    </row>
    <row r="382">
      <c r="A382" s="19" t="inlineStr">
        <is>
          <t>381</t>
        </is>
      </c>
      <c r="B382" s="19" t="inlineStr">
        <is>
          <t>IA-PPWR-TF-ST-051-EUR-04-R00</t>
        </is>
      </c>
      <c r="C382" t="inlineStr">
        <is>
          <t>IA-PPWR-TF-ST-051-EUR-04-R00</t>
        </is>
      </c>
      <c r="D382" s="19" t="inlineStr">
        <is>
          <t>1</t>
        </is>
      </c>
      <c r="E382" t="inlineStr">
        <is>
          <t>01_STARTER/ST-051-EUR-04/01_Technical_File.docx</t>
        </is>
      </c>
      <c r="F382" t="inlineStr">
        <is>
          <t>dd5c6080c5461fec91acd6f956cfbdc896ffcc00cf4ce63216c51bce1ff9e001</t>
        </is>
      </c>
      <c r="G382" t="inlineStr">
        <is>
          <t>2026-08-08</t>
        </is>
      </c>
      <c r="H382" s="19" t="inlineStr">
        <is>
          <t>2</t>
        </is>
      </c>
      <c r="I382" t="inlineStr">
        <is>
          <t>Phase I generated Rev.00 Word file — linked; signatures not completed</t>
        </is>
      </c>
      <c r="J382" t="inlineStr">
        <is>
          <t>2026-08-10T19:29:54Z</t>
        </is>
      </c>
      <c r="K382" t="inlineStr">
        <is>
          <t>2026-08-10T19:49:41Z</t>
        </is>
      </c>
    </row>
    <row r="383">
      <c r="A383" s="19" t="inlineStr">
        <is>
          <t>382</t>
        </is>
      </c>
      <c r="B383" s="19" t="inlineStr">
        <is>
          <t>IA-PPWR-DOC-ST-051-EUR-04-R00</t>
        </is>
      </c>
      <c r="C383" t="inlineStr">
        <is>
          <t>IA-PPWR-DOC-ST-051-EUR-04-R00</t>
        </is>
      </c>
      <c r="D383" s="19" t="inlineStr">
        <is>
          <t>4</t>
        </is>
      </c>
      <c r="E383" t="inlineStr">
        <is>
          <t>01_STARTER/ST-051-EUR-04/02_EU_DoC.docx</t>
        </is>
      </c>
      <c r="F383" t="inlineStr">
        <is>
          <t>ed6069bced652ffab04f71fd3033623cc01c6673dd514ecba55e059c35a170c2</t>
        </is>
      </c>
      <c r="G383" t="inlineStr">
        <is>
          <t>2026-08-08</t>
        </is>
      </c>
      <c r="H383" s="19" t="inlineStr">
        <is>
          <t>2</t>
        </is>
      </c>
      <c r="I383" t="inlineStr">
        <is>
          <t>Phase I generated Rev.00 Word file — linked; signatures not completed</t>
        </is>
      </c>
      <c r="J383" t="inlineStr">
        <is>
          <t>2026-08-10T19:29:54Z</t>
        </is>
      </c>
      <c r="K383" t="inlineStr">
        <is>
          <t>2026-08-10T19:49:41Z</t>
        </is>
      </c>
    </row>
    <row r="384">
      <c r="A384" s="19" t="inlineStr">
        <is>
          <t>383</t>
        </is>
      </c>
      <c r="B384" s="19" t="inlineStr">
        <is>
          <t>IA-PPWR-LBL-ST-051-EUR-04-R00</t>
        </is>
      </c>
      <c r="C384" t="inlineStr">
        <is>
          <t>IA-PPWR-LBL-ST-051-EUR-04-R00</t>
        </is>
      </c>
      <c r="D384" s="19" t="inlineStr">
        <is>
          <t>11</t>
        </is>
      </c>
      <c r="E384" t="inlineStr">
        <is>
          <t>01_STARTER/ST-051-EUR-04/03_Label.docx</t>
        </is>
      </c>
      <c r="F384" t="inlineStr">
        <is>
          <t>373b8a13f6ba95517febf30c0e2d363d6a53c652947b45ab01f73f47b2b3daa1</t>
        </is>
      </c>
      <c r="G384" t="inlineStr">
        <is>
          <t>2026-08-08</t>
        </is>
      </c>
      <c r="H384" s="19" t="inlineStr">
        <is>
          <t>2</t>
        </is>
      </c>
      <c r="I384" t="inlineStr">
        <is>
          <t>Phase I generated Rev.00 Word file — linked; signatures not completed</t>
        </is>
      </c>
      <c r="J384" t="inlineStr">
        <is>
          <t>2026-08-10T19:29:54Z</t>
        </is>
      </c>
      <c r="K384" t="inlineStr">
        <is>
          <t>2026-08-10T19:49:41Z</t>
        </is>
      </c>
    </row>
    <row r="385">
      <c r="A385" s="19" t="inlineStr">
        <is>
          <t>384</t>
        </is>
      </c>
      <c r="B385" s="19" t="inlineStr">
        <is>
          <t>IA-PPWR-STM-ST-051-EUR-04-R00</t>
        </is>
      </c>
      <c r="C385" t="inlineStr">
        <is>
          <t>IA-PPWR-STM-ST-051-EUR-04-R00</t>
        </is>
      </c>
      <c r="D385" s="19" t="inlineStr">
        <is>
          <t>12</t>
        </is>
      </c>
      <c r="E385" t="inlineStr">
        <is>
          <t>01_STARTER/ST-051-EUR-04/04_Shipment_Statement.docx</t>
        </is>
      </c>
      <c r="F385" t="inlineStr">
        <is>
          <t>76a750ac5a48daf79462fda66d3ac5610cc773a993aa3b9dbfa0f07eae7e9255</t>
        </is>
      </c>
      <c r="G385" t="inlineStr">
        <is>
          <t>2026-08-08</t>
        </is>
      </c>
      <c r="H385" s="19" t="inlineStr">
        <is>
          <t>2</t>
        </is>
      </c>
      <c r="I385" t="inlineStr">
        <is>
          <t>Phase I generated Rev.00 Word file — linked; signatures not completed</t>
        </is>
      </c>
      <c r="J385" t="inlineStr">
        <is>
          <t>2026-08-10T19:29:54Z</t>
        </is>
      </c>
      <c r="K385" t="inlineStr">
        <is>
          <t>2026-08-10T19:49:41Z</t>
        </is>
      </c>
    </row>
    <row r="386">
      <c r="A386" s="19" t="inlineStr">
        <is>
          <t>385</t>
        </is>
      </c>
      <c r="B386" s="19" t="inlineStr">
        <is>
          <t>IA-PPWR-TF-ST-051-STD-01-R00</t>
        </is>
      </c>
      <c r="C386" t="inlineStr">
        <is>
          <t>IA-PPWR-TF-ST-051-STD-01-R00</t>
        </is>
      </c>
      <c r="D386" s="19" t="inlineStr">
        <is>
          <t>1</t>
        </is>
      </c>
      <c r="E386" t="inlineStr">
        <is>
          <t>01_STARTER/ST-051-STD-01/01_Technical_File.docx</t>
        </is>
      </c>
      <c r="F386" t="inlineStr">
        <is>
          <t>c3d53c49e5f0f85b292d764d77889dec9f2bbea473c2c0be50ea2e27095a9a57</t>
        </is>
      </c>
      <c r="G386" t="inlineStr">
        <is>
          <t>2026-08-08</t>
        </is>
      </c>
      <c r="H386" s="19" t="inlineStr">
        <is>
          <t>2</t>
        </is>
      </c>
      <c r="I386" t="inlineStr">
        <is>
          <t>Phase I generated Rev.00 Word file — linked; signatures not completed</t>
        </is>
      </c>
      <c r="J386" t="inlineStr">
        <is>
          <t>2026-08-10T19:29:54Z</t>
        </is>
      </c>
      <c r="K386" t="inlineStr">
        <is>
          <t>2026-08-10T19:49:41Z</t>
        </is>
      </c>
    </row>
    <row r="387">
      <c r="A387" s="19" t="inlineStr">
        <is>
          <t>386</t>
        </is>
      </c>
      <c r="B387" s="19" t="inlineStr">
        <is>
          <t>IA-PPWR-DOC-ST-051-STD-01-R00</t>
        </is>
      </c>
      <c r="C387" t="inlineStr">
        <is>
          <t>IA-PPWR-DOC-ST-051-STD-01-R00</t>
        </is>
      </c>
      <c r="D387" s="19" t="inlineStr">
        <is>
          <t>4</t>
        </is>
      </c>
      <c r="E387" t="inlineStr">
        <is>
          <t>01_STARTER/ST-051-STD-01/02_EU_DoC.docx</t>
        </is>
      </c>
      <c r="F387" t="inlineStr">
        <is>
          <t>bde5127787d31c1a8b26f4b56033f0daacf1eae2a552cc4442a624b753d2a534</t>
        </is>
      </c>
      <c r="G387" t="inlineStr">
        <is>
          <t>2026-08-08</t>
        </is>
      </c>
      <c r="H387" s="19" t="inlineStr">
        <is>
          <t>2</t>
        </is>
      </c>
      <c r="I387" t="inlineStr">
        <is>
          <t>Phase I generated Rev.00 Word file — linked; signatures not completed</t>
        </is>
      </c>
      <c r="J387" t="inlineStr">
        <is>
          <t>2026-08-10T19:29:54Z</t>
        </is>
      </c>
      <c r="K387" t="inlineStr">
        <is>
          <t>2026-08-10T19:49:41Z</t>
        </is>
      </c>
    </row>
    <row r="388">
      <c r="A388" s="19" t="inlineStr">
        <is>
          <t>387</t>
        </is>
      </c>
      <c r="B388" s="19" t="inlineStr">
        <is>
          <t>IA-PPWR-LBL-ST-051-STD-01-R00</t>
        </is>
      </c>
      <c r="C388" t="inlineStr">
        <is>
          <t>IA-PPWR-LBL-ST-051-STD-01-R00</t>
        </is>
      </c>
      <c r="D388" s="19" t="inlineStr">
        <is>
          <t>11</t>
        </is>
      </c>
      <c r="E388" t="inlineStr">
        <is>
          <t>01_STARTER/ST-051-STD-01/03_Label.docx</t>
        </is>
      </c>
      <c r="F388" t="inlineStr">
        <is>
          <t>207f5b2c1660f86801de0daf48a5853445e0e5719bd580906b7444963d934fd2</t>
        </is>
      </c>
      <c r="G388" t="inlineStr">
        <is>
          <t>2026-08-08</t>
        </is>
      </c>
      <c r="H388" s="19" t="inlineStr">
        <is>
          <t>2</t>
        </is>
      </c>
      <c r="I388" t="inlineStr">
        <is>
          <t>Phase I generated Rev.00 Word file — linked; signatures not completed</t>
        </is>
      </c>
      <c r="J388" t="inlineStr">
        <is>
          <t>2026-08-10T19:29:54Z</t>
        </is>
      </c>
      <c r="K388" t="inlineStr">
        <is>
          <t>2026-08-10T19:49:41Z</t>
        </is>
      </c>
    </row>
    <row r="389">
      <c r="A389" s="19" t="inlineStr">
        <is>
          <t>388</t>
        </is>
      </c>
      <c r="B389" s="19" t="inlineStr">
        <is>
          <t>IA-PPWR-STM-ST-051-STD-01-R00</t>
        </is>
      </c>
      <c r="C389" t="inlineStr">
        <is>
          <t>IA-PPWR-STM-ST-051-STD-01-R00</t>
        </is>
      </c>
      <c r="D389" s="19" t="inlineStr">
        <is>
          <t>12</t>
        </is>
      </c>
      <c r="E389" t="inlineStr">
        <is>
          <t>01_STARTER/ST-051-STD-01/04_Shipment_Statement.docx</t>
        </is>
      </c>
      <c r="F389" t="inlineStr">
        <is>
          <t>a90334fc47036dd88575cd1b0b0c4912fafdf9495fe50703483f99e5c8664d8c</t>
        </is>
      </c>
      <c r="G389" t="inlineStr">
        <is>
          <t>2026-08-08</t>
        </is>
      </c>
      <c r="H389" s="19" t="inlineStr">
        <is>
          <t>2</t>
        </is>
      </c>
      <c r="I389" t="inlineStr">
        <is>
          <t>Phase I generated Rev.00 Word file — linked; signatures not completed</t>
        </is>
      </c>
      <c r="J389" t="inlineStr">
        <is>
          <t>2026-08-10T19:29:54Z</t>
        </is>
      </c>
      <c r="K389" t="inlineStr">
        <is>
          <t>2026-08-10T19:49:41Z</t>
        </is>
      </c>
    </row>
    <row r="390">
      <c r="A390" s="19" t="inlineStr">
        <is>
          <t>389</t>
        </is>
      </c>
      <c r="B390" s="19" t="inlineStr">
        <is>
          <t>IA-PPWR-TF-ST-051-STD-02-R00</t>
        </is>
      </c>
      <c r="C390" t="inlineStr">
        <is>
          <t>IA-PPWR-TF-ST-051-STD-02-R00</t>
        </is>
      </c>
      <c r="D390" s="19" t="inlineStr">
        <is>
          <t>1</t>
        </is>
      </c>
      <c r="E390" t="inlineStr">
        <is>
          <t>01_STARTER/ST-051-STD-02/01_Technical_File.docx</t>
        </is>
      </c>
      <c r="F390" t="inlineStr">
        <is>
          <t>d6f0a40f22b22dbc277b1b3c9c2dcb29048a6da0599fa6c98e6d9d8eb08ab80f</t>
        </is>
      </c>
      <c r="G390" t="inlineStr">
        <is>
          <t>2026-08-08</t>
        </is>
      </c>
      <c r="H390" s="19" t="inlineStr">
        <is>
          <t>2</t>
        </is>
      </c>
      <c r="I390" t="inlineStr">
        <is>
          <t>Phase I generated Rev.00 Word file — linked; signatures not completed</t>
        </is>
      </c>
      <c r="J390" t="inlineStr">
        <is>
          <t>2026-08-10T19:29:54Z</t>
        </is>
      </c>
      <c r="K390" t="inlineStr">
        <is>
          <t>2026-08-10T19:49:41Z</t>
        </is>
      </c>
    </row>
    <row r="391">
      <c r="A391" s="19" t="inlineStr">
        <is>
          <t>390</t>
        </is>
      </c>
      <c r="B391" s="19" t="inlineStr">
        <is>
          <t>IA-PPWR-DOC-ST-051-STD-02-R00</t>
        </is>
      </c>
      <c r="C391" t="inlineStr">
        <is>
          <t>IA-PPWR-DOC-ST-051-STD-02-R00</t>
        </is>
      </c>
      <c r="D391" s="19" t="inlineStr">
        <is>
          <t>4</t>
        </is>
      </c>
      <c r="E391" t="inlineStr">
        <is>
          <t>01_STARTER/ST-051-STD-02/02_EU_DoC.docx</t>
        </is>
      </c>
      <c r="F391" t="inlineStr">
        <is>
          <t>7f186961ae4f54bceb563c1204d51d032c2ce4eb44a0c8e52317c57e957fba3b</t>
        </is>
      </c>
      <c r="G391" t="inlineStr">
        <is>
          <t>2026-08-08</t>
        </is>
      </c>
      <c r="H391" s="19" t="inlineStr">
        <is>
          <t>2</t>
        </is>
      </c>
      <c r="I391" t="inlineStr">
        <is>
          <t>Phase I generated Rev.00 Word file — linked; signatures not completed</t>
        </is>
      </c>
      <c r="J391" t="inlineStr">
        <is>
          <t>2026-08-10T19:29:54Z</t>
        </is>
      </c>
      <c r="K391" t="inlineStr">
        <is>
          <t>2026-08-10T19:49:41Z</t>
        </is>
      </c>
    </row>
    <row r="392">
      <c r="A392" s="19" t="inlineStr">
        <is>
          <t>391</t>
        </is>
      </c>
      <c r="B392" s="19" t="inlineStr">
        <is>
          <t>IA-PPWR-LBL-ST-051-STD-02-R00</t>
        </is>
      </c>
      <c r="C392" t="inlineStr">
        <is>
          <t>IA-PPWR-LBL-ST-051-STD-02-R00</t>
        </is>
      </c>
      <c r="D392" s="19" t="inlineStr">
        <is>
          <t>11</t>
        </is>
      </c>
      <c r="E392" t="inlineStr">
        <is>
          <t>01_STARTER/ST-051-STD-02/03_Label.docx</t>
        </is>
      </c>
      <c r="F392" t="inlineStr">
        <is>
          <t>bc5d01b6ceb51c92027a783d9a326527c837221fa076e738a640cd1708899921</t>
        </is>
      </c>
      <c r="G392" t="inlineStr">
        <is>
          <t>2026-08-08</t>
        </is>
      </c>
      <c r="H392" s="19" t="inlineStr">
        <is>
          <t>2</t>
        </is>
      </c>
      <c r="I392" t="inlineStr">
        <is>
          <t>Phase I generated Rev.00 Word file — linked; signatures not completed</t>
        </is>
      </c>
      <c r="J392" t="inlineStr">
        <is>
          <t>2026-08-10T19:29:54Z</t>
        </is>
      </c>
      <c r="K392" t="inlineStr">
        <is>
          <t>2026-08-10T19:49:41Z</t>
        </is>
      </c>
    </row>
    <row r="393">
      <c r="A393" s="19" t="inlineStr">
        <is>
          <t>392</t>
        </is>
      </c>
      <c r="B393" s="19" t="inlineStr">
        <is>
          <t>IA-PPWR-STM-ST-051-STD-02-R00</t>
        </is>
      </c>
      <c r="C393" t="inlineStr">
        <is>
          <t>IA-PPWR-STM-ST-051-STD-02-R00</t>
        </is>
      </c>
      <c r="D393" s="19" t="inlineStr">
        <is>
          <t>12</t>
        </is>
      </c>
      <c r="E393" t="inlineStr">
        <is>
          <t>01_STARTER/ST-051-STD-02/04_Shipment_Statement.docx</t>
        </is>
      </c>
      <c r="F393" t="inlineStr">
        <is>
          <t>fe99ba69477f6579960ecf85287d75d8483a6fd218383dd94127e282129f78b3</t>
        </is>
      </c>
      <c r="G393" t="inlineStr">
        <is>
          <t>2026-08-08</t>
        </is>
      </c>
      <c r="H393" s="19" t="inlineStr">
        <is>
          <t>2</t>
        </is>
      </c>
      <c r="I393" t="inlineStr">
        <is>
          <t>Phase I generated Rev.00 Word file — linked; signatures not completed</t>
        </is>
      </c>
      <c r="J393" t="inlineStr">
        <is>
          <t>2026-08-10T19:29:54Z</t>
        </is>
      </c>
      <c r="K393" t="inlineStr">
        <is>
          <t>2026-08-10T19:49:41Z</t>
        </is>
      </c>
    </row>
    <row r="394">
      <c r="A394" s="19" t="inlineStr">
        <is>
          <t>393</t>
        </is>
      </c>
      <c r="B394" s="19" t="inlineStr">
        <is>
          <t>IA-PPWR-TF-ST-051-STD-03-R00</t>
        </is>
      </c>
      <c r="C394" t="inlineStr">
        <is>
          <t>IA-PPWR-TF-ST-051-STD-03-R00</t>
        </is>
      </c>
      <c r="D394" s="19" t="inlineStr">
        <is>
          <t>1</t>
        </is>
      </c>
      <c r="E394" t="inlineStr">
        <is>
          <t>01_STARTER/ST-051-STD-03/01_Technical_File.docx</t>
        </is>
      </c>
      <c r="F394" t="inlineStr">
        <is>
          <t>84d9cfc63ac8f44e255722567fd0094dc8cfb419acc084fa41c7e3d39ac37475</t>
        </is>
      </c>
      <c r="G394" t="inlineStr">
        <is>
          <t>2026-08-08</t>
        </is>
      </c>
      <c r="H394" s="19" t="inlineStr">
        <is>
          <t>2</t>
        </is>
      </c>
      <c r="I394" t="inlineStr">
        <is>
          <t>Phase I generated Rev.00 Word file — linked; signatures not completed</t>
        </is>
      </c>
      <c r="J394" t="inlineStr">
        <is>
          <t>2026-08-10T19:29:54Z</t>
        </is>
      </c>
      <c r="K394" t="inlineStr">
        <is>
          <t>2026-08-10T19:49:41Z</t>
        </is>
      </c>
    </row>
    <row r="395">
      <c r="A395" s="19" t="inlineStr">
        <is>
          <t>394</t>
        </is>
      </c>
      <c r="B395" s="19" t="inlineStr">
        <is>
          <t>IA-PPWR-DOC-ST-051-STD-03-R00</t>
        </is>
      </c>
      <c r="C395" t="inlineStr">
        <is>
          <t>IA-PPWR-DOC-ST-051-STD-03-R00</t>
        </is>
      </c>
      <c r="D395" s="19" t="inlineStr">
        <is>
          <t>4</t>
        </is>
      </c>
      <c r="E395" t="inlineStr">
        <is>
          <t>01_STARTER/ST-051-STD-03/02_EU_DoC.docx</t>
        </is>
      </c>
      <c r="F395" t="inlineStr">
        <is>
          <t>d3232ccff7ee120e912b3de02e8f2465c56a9ac035a421ae79db752684b911e2</t>
        </is>
      </c>
      <c r="G395" t="inlineStr">
        <is>
          <t>2026-08-08</t>
        </is>
      </c>
      <c r="H395" s="19" t="inlineStr">
        <is>
          <t>2</t>
        </is>
      </c>
      <c r="I395" t="inlineStr">
        <is>
          <t>Phase I generated Rev.00 Word file — linked; signatures not completed</t>
        </is>
      </c>
      <c r="J395" t="inlineStr">
        <is>
          <t>2026-08-10T19:29:54Z</t>
        </is>
      </c>
      <c r="K395" t="inlineStr">
        <is>
          <t>2026-08-10T19:49:41Z</t>
        </is>
      </c>
    </row>
    <row r="396">
      <c r="A396" s="19" t="inlineStr">
        <is>
          <t>395</t>
        </is>
      </c>
      <c r="B396" s="19" t="inlineStr">
        <is>
          <t>IA-PPWR-LBL-ST-051-STD-03-R00</t>
        </is>
      </c>
      <c r="C396" t="inlineStr">
        <is>
          <t>IA-PPWR-LBL-ST-051-STD-03-R00</t>
        </is>
      </c>
      <c r="D396" s="19" t="inlineStr">
        <is>
          <t>11</t>
        </is>
      </c>
      <c r="E396" t="inlineStr">
        <is>
          <t>01_STARTER/ST-051-STD-03/03_Label.docx</t>
        </is>
      </c>
      <c r="F396" t="inlineStr">
        <is>
          <t>5c2f20a68fd1971ab8b2ec41969cd2eb184b45eb3c1acfe1114d9a9040d68b59</t>
        </is>
      </c>
      <c r="G396" t="inlineStr">
        <is>
          <t>2026-08-08</t>
        </is>
      </c>
      <c r="H396" s="19" t="inlineStr">
        <is>
          <t>2</t>
        </is>
      </c>
      <c r="I396" t="inlineStr">
        <is>
          <t>Phase I generated Rev.00 Word file — linked; signatures not completed</t>
        </is>
      </c>
      <c r="J396" t="inlineStr">
        <is>
          <t>2026-08-10T19:29:54Z</t>
        </is>
      </c>
      <c r="K396" t="inlineStr">
        <is>
          <t>2026-08-10T19:49:41Z</t>
        </is>
      </c>
    </row>
    <row r="397">
      <c r="A397" s="19" t="inlineStr">
        <is>
          <t>396</t>
        </is>
      </c>
      <c r="B397" s="19" t="inlineStr">
        <is>
          <t>IA-PPWR-STM-ST-051-STD-03-R00</t>
        </is>
      </c>
      <c r="C397" t="inlineStr">
        <is>
          <t>IA-PPWR-STM-ST-051-STD-03-R00</t>
        </is>
      </c>
      <c r="D397" s="19" t="inlineStr">
        <is>
          <t>12</t>
        </is>
      </c>
      <c r="E397" t="inlineStr">
        <is>
          <t>01_STARTER/ST-051-STD-03/04_Shipment_Statement.docx</t>
        </is>
      </c>
      <c r="F397" t="inlineStr">
        <is>
          <t>c594dc0c0e8b0a6f6fd69ec4ec6e9b9542e7c773a298b8d23b8b118b314ac962</t>
        </is>
      </c>
      <c r="G397" t="inlineStr">
        <is>
          <t>2026-08-08</t>
        </is>
      </c>
      <c r="H397" s="19" t="inlineStr">
        <is>
          <t>2</t>
        </is>
      </c>
      <c r="I397" t="inlineStr">
        <is>
          <t>Phase I generated Rev.00 Word file — linked; signatures not completed</t>
        </is>
      </c>
      <c r="J397" t="inlineStr">
        <is>
          <t>2026-08-10T19:29:54Z</t>
        </is>
      </c>
      <c r="K397" t="inlineStr">
        <is>
          <t>2026-08-10T19:49:41Z</t>
        </is>
      </c>
    </row>
    <row r="398">
      <c r="A398" s="19" t="inlineStr">
        <is>
          <t>397</t>
        </is>
      </c>
      <c r="B398" s="19" t="inlineStr">
        <is>
          <t>IA-PPWR-TF-ST-051-STD-04-R00</t>
        </is>
      </c>
      <c r="C398" t="inlineStr">
        <is>
          <t>IA-PPWR-TF-ST-051-STD-04-R00</t>
        </is>
      </c>
      <c r="D398" s="19" t="inlineStr">
        <is>
          <t>1</t>
        </is>
      </c>
      <c r="E398" t="inlineStr">
        <is>
          <t>01_STARTER/ST-051-STD-04/01_Technical_File.docx</t>
        </is>
      </c>
      <c r="F398" t="inlineStr">
        <is>
          <t>f3b122eb9f86d99af938be9ad4a7c454f515b842e3057b0ef3063211be5255e3</t>
        </is>
      </c>
      <c r="G398" t="inlineStr">
        <is>
          <t>2026-08-08</t>
        </is>
      </c>
      <c r="H398" s="19" t="inlineStr">
        <is>
          <t>2</t>
        </is>
      </c>
      <c r="I398" t="inlineStr">
        <is>
          <t>Phase I generated Rev.00 Word file — linked; signatures not completed</t>
        </is>
      </c>
      <c r="J398" t="inlineStr">
        <is>
          <t>2026-08-10T19:29:54Z</t>
        </is>
      </c>
      <c r="K398" t="inlineStr">
        <is>
          <t>2026-08-10T19:49:41Z</t>
        </is>
      </c>
    </row>
    <row r="399">
      <c r="A399" s="19" t="inlineStr">
        <is>
          <t>398</t>
        </is>
      </c>
      <c r="B399" s="19" t="inlineStr">
        <is>
          <t>IA-PPWR-DOC-ST-051-STD-04-R00</t>
        </is>
      </c>
      <c r="C399" t="inlineStr">
        <is>
          <t>IA-PPWR-DOC-ST-051-STD-04-R00</t>
        </is>
      </c>
      <c r="D399" s="19" t="inlineStr">
        <is>
          <t>4</t>
        </is>
      </c>
      <c r="E399" t="inlineStr">
        <is>
          <t>01_STARTER/ST-051-STD-04/02_EU_DoC.docx</t>
        </is>
      </c>
      <c r="F399" t="inlineStr">
        <is>
          <t>4c23fd667aac74b28a439daeb900d446a94e5775deea9fa37f65dc8b36e45c21</t>
        </is>
      </c>
      <c r="G399" t="inlineStr">
        <is>
          <t>2026-08-08</t>
        </is>
      </c>
      <c r="H399" s="19" t="inlineStr">
        <is>
          <t>2</t>
        </is>
      </c>
      <c r="I399" t="inlineStr">
        <is>
          <t>Phase I generated Rev.00 Word file — linked; signatures not completed</t>
        </is>
      </c>
      <c r="J399" t="inlineStr">
        <is>
          <t>2026-08-10T19:29:54Z</t>
        </is>
      </c>
      <c r="K399" t="inlineStr">
        <is>
          <t>2026-08-10T19:49:41Z</t>
        </is>
      </c>
    </row>
    <row r="400">
      <c r="A400" s="19" t="inlineStr">
        <is>
          <t>399</t>
        </is>
      </c>
      <c r="B400" s="19" t="inlineStr">
        <is>
          <t>IA-PPWR-LBL-ST-051-STD-04-R00</t>
        </is>
      </c>
      <c r="C400" t="inlineStr">
        <is>
          <t>IA-PPWR-LBL-ST-051-STD-04-R00</t>
        </is>
      </c>
      <c r="D400" s="19" t="inlineStr">
        <is>
          <t>11</t>
        </is>
      </c>
      <c r="E400" t="inlineStr">
        <is>
          <t>01_STARTER/ST-051-STD-04/03_Label.docx</t>
        </is>
      </c>
      <c r="F400" t="inlineStr">
        <is>
          <t>8064a011e3ad77916ac4a094b50436b454eb12890ddee17d9eaa53d86804eab5</t>
        </is>
      </c>
      <c r="G400" t="inlineStr">
        <is>
          <t>2026-08-08</t>
        </is>
      </c>
      <c r="H400" s="19" t="inlineStr">
        <is>
          <t>2</t>
        </is>
      </c>
      <c r="I400" t="inlineStr">
        <is>
          <t>Phase I generated Rev.00 Word file — linked; signatures not completed</t>
        </is>
      </c>
      <c r="J400" t="inlineStr">
        <is>
          <t>2026-08-10T19:29:54Z</t>
        </is>
      </c>
      <c r="K400" t="inlineStr">
        <is>
          <t>2026-08-10T19:49:41Z</t>
        </is>
      </c>
    </row>
    <row r="401">
      <c r="A401" s="19" t="inlineStr">
        <is>
          <t>400</t>
        </is>
      </c>
      <c r="B401" s="19" t="inlineStr">
        <is>
          <t>IA-PPWR-STM-ST-051-STD-04-R00</t>
        </is>
      </c>
      <c r="C401" t="inlineStr">
        <is>
          <t>IA-PPWR-STM-ST-051-STD-04-R00</t>
        </is>
      </c>
      <c r="D401" s="19" t="inlineStr">
        <is>
          <t>12</t>
        </is>
      </c>
      <c r="E401" t="inlineStr">
        <is>
          <t>01_STARTER/ST-051-STD-04/04_Shipment_Statement.docx</t>
        </is>
      </c>
      <c r="F401" t="inlineStr">
        <is>
          <t>baf4ba487771421c271baebf4a33660ae5f5af5bf58098ea0d0e2cbebf298479</t>
        </is>
      </c>
      <c r="G401" t="inlineStr">
        <is>
          <t>2026-08-08</t>
        </is>
      </c>
      <c r="H401" s="19" t="inlineStr">
        <is>
          <t>2</t>
        </is>
      </c>
      <c r="I401" t="inlineStr">
        <is>
          <t>Phase I generated Rev.00 Word file — linked; signatures not completed</t>
        </is>
      </c>
      <c r="J401" t="inlineStr">
        <is>
          <t>2026-08-10T19:29:54Z</t>
        </is>
      </c>
      <c r="K401" t="inlineStr">
        <is>
          <t>2026-08-10T19:49:41Z</t>
        </is>
      </c>
    </row>
    <row r="402">
      <c r="A402" s="19" t="inlineStr">
        <is>
          <t>401</t>
        </is>
      </c>
      <c r="B402" s="19" t="inlineStr">
        <is>
          <t>IA-PPWR-TF-ST-051-STD-05-R00</t>
        </is>
      </c>
      <c r="C402" t="inlineStr">
        <is>
          <t>IA-PPWR-TF-ST-051-STD-05-R00</t>
        </is>
      </c>
      <c r="D402" s="19" t="inlineStr">
        <is>
          <t>1</t>
        </is>
      </c>
      <c r="E402" t="inlineStr">
        <is>
          <t>01_STARTER/ST-051-STD-05/01_Technical_File.docx</t>
        </is>
      </c>
      <c r="F402" t="inlineStr">
        <is>
          <t>462f32856ba02be94b7335802b71f659498cec850e3ef82194c2a0d87738a921</t>
        </is>
      </c>
      <c r="G402" t="inlineStr">
        <is>
          <t>2026-08-08</t>
        </is>
      </c>
      <c r="H402" s="19" t="inlineStr">
        <is>
          <t>2</t>
        </is>
      </c>
      <c r="I402" t="inlineStr">
        <is>
          <t>Phase I generated Rev.00 Word file — linked; signatures not completed</t>
        </is>
      </c>
      <c r="J402" t="inlineStr">
        <is>
          <t>2026-08-10T19:29:54Z</t>
        </is>
      </c>
      <c r="K402" t="inlineStr">
        <is>
          <t>2026-08-10T19:49:41Z</t>
        </is>
      </c>
    </row>
    <row r="403">
      <c r="A403" s="19" t="inlineStr">
        <is>
          <t>402</t>
        </is>
      </c>
      <c r="B403" s="19" t="inlineStr">
        <is>
          <t>IA-PPWR-DOC-ST-051-STD-05-R00</t>
        </is>
      </c>
      <c r="C403" t="inlineStr">
        <is>
          <t>IA-PPWR-DOC-ST-051-STD-05-R00</t>
        </is>
      </c>
      <c r="D403" s="19" t="inlineStr">
        <is>
          <t>4</t>
        </is>
      </c>
      <c r="E403" t="inlineStr">
        <is>
          <t>01_STARTER/ST-051-STD-05/02_EU_DoC.docx</t>
        </is>
      </c>
      <c r="F403" t="inlineStr">
        <is>
          <t>c0aa65943f7d15707a86ba8140283d9058f401a4d749655019afb7a5445c9b27</t>
        </is>
      </c>
      <c r="G403" t="inlineStr">
        <is>
          <t>2026-08-08</t>
        </is>
      </c>
      <c r="H403" s="19" t="inlineStr">
        <is>
          <t>2</t>
        </is>
      </c>
      <c r="I403" t="inlineStr">
        <is>
          <t>Phase I generated Rev.00 Word file — linked; signatures not completed</t>
        </is>
      </c>
      <c r="J403" t="inlineStr">
        <is>
          <t>2026-08-10T19:29:54Z</t>
        </is>
      </c>
      <c r="K403" t="inlineStr">
        <is>
          <t>2026-08-10T19:49:41Z</t>
        </is>
      </c>
    </row>
    <row r="404">
      <c r="A404" s="19" t="inlineStr">
        <is>
          <t>403</t>
        </is>
      </c>
      <c r="B404" s="19" t="inlineStr">
        <is>
          <t>IA-PPWR-LBL-ST-051-STD-05-R00</t>
        </is>
      </c>
      <c r="C404" t="inlineStr">
        <is>
          <t>IA-PPWR-LBL-ST-051-STD-05-R00</t>
        </is>
      </c>
      <c r="D404" s="19" t="inlineStr">
        <is>
          <t>11</t>
        </is>
      </c>
      <c r="E404" t="inlineStr">
        <is>
          <t>01_STARTER/ST-051-STD-05/03_Label.docx</t>
        </is>
      </c>
      <c r="F404" t="inlineStr">
        <is>
          <t>ba7361c0163c55bf434db1620d074799ef99d1080049d417a1fafa9b111705f0</t>
        </is>
      </c>
      <c r="G404" t="inlineStr">
        <is>
          <t>2026-08-08</t>
        </is>
      </c>
      <c r="H404" s="19" t="inlineStr">
        <is>
          <t>2</t>
        </is>
      </c>
      <c r="I404" t="inlineStr">
        <is>
          <t>Phase I generated Rev.00 Word file — linked; signatures not completed</t>
        </is>
      </c>
      <c r="J404" t="inlineStr">
        <is>
          <t>2026-08-10T19:29:54Z</t>
        </is>
      </c>
      <c r="K404" t="inlineStr">
        <is>
          <t>2026-08-10T19:49:41Z</t>
        </is>
      </c>
    </row>
    <row r="405">
      <c r="A405" s="19" t="inlineStr">
        <is>
          <t>404</t>
        </is>
      </c>
      <c r="B405" s="19" t="inlineStr">
        <is>
          <t>IA-PPWR-STM-ST-051-STD-05-R00</t>
        </is>
      </c>
      <c r="C405" t="inlineStr">
        <is>
          <t>IA-PPWR-STM-ST-051-STD-05-R00</t>
        </is>
      </c>
      <c r="D405" s="19" t="inlineStr">
        <is>
          <t>12</t>
        </is>
      </c>
      <c r="E405" t="inlineStr">
        <is>
          <t>01_STARTER/ST-051-STD-05/04_Shipment_Statement.docx</t>
        </is>
      </c>
      <c r="F405" t="inlineStr">
        <is>
          <t>96297a1e9a93c74f891f1f092ef4ee802b559a8f9f1c5b9ec3202e930b11a116</t>
        </is>
      </c>
      <c r="G405" t="inlineStr">
        <is>
          <t>2026-08-08</t>
        </is>
      </c>
      <c r="H405" s="19" t="inlineStr">
        <is>
          <t>2</t>
        </is>
      </c>
      <c r="I405" t="inlineStr">
        <is>
          <t>Phase I generated Rev.00 Word file — linked; signatures not completed</t>
        </is>
      </c>
      <c r="J405" t="inlineStr">
        <is>
          <t>2026-08-10T19:29:54Z</t>
        </is>
      </c>
      <c r="K405" t="inlineStr">
        <is>
          <t>2026-08-10T19:49:41Z</t>
        </is>
      </c>
    </row>
    <row r="406">
      <c r="A406" s="19" t="inlineStr">
        <is>
          <t>405</t>
        </is>
      </c>
      <c r="B406" s="19" t="inlineStr">
        <is>
          <t>IA-PPWR-TF-ST-051-STD-06-R00</t>
        </is>
      </c>
      <c r="C406" t="inlineStr">
        <is>
          <t>IA-PPWR-TF-ST-051-STD-06-R00</t>
        </is>
      </c>
      <c r="D406" s="19" t="inlineStr">
        <is>
          <t>1</t>
        </is>
      </c>
      <c r="E406" t="inlineStr">
        <is>
          <t>01_STARTER/ST-051-STD-06/01_Technical_File.docx</t>
        </is>
      </c>
      <c r="F406" t="inlineStr">
        <is>
          <t>b04b2ae41e7adfc7b2d94a53f27ff4352019395611b1e3071536eb92e9a099f4</t>
        </is>
      </c>
      <c r="G406" t="inlineStr">
        <is>
          <t>2026-08-08</t>
        </is>
      </c>
      <c r="H406" s="19" t="inlineStr">
        <is>
          <t>2</t>
        </is>
      </c>
      <c r="I406" t="inlineStr">
        <is>
          <t>Phase I generated Rev.00 Word file — linked; signatures not completed</t>
        </is>
      </c>
      <c r="J406" t="inlineStr">
        <is>
          <t>2026-08-10T19:29:54Z</t>
        </is>
      </c>
      <c r="K406" t="inlineStr">
        <is>
          <t>2026-08-10T19:49:41Z</t>
        </is>
      </c>
    </row>
    <row r="407">
      <c r="A407" s="19" t="inlineStr">
        <is>
          <t>406</t>
        </is>
      </c>
      <c r="B407" s="19" t="inlineStr">
        <is>
          <t>IA-PPWR-DOC-ST-051-STD-06-R00</t>
        </is>
      </c>
      <c r="C407" t="inlineStr">
        <is>
          <t>IA-PPWR-DOC-ST-051-STD-06-R00</t>
        </is>
      </c>
      <c r="D407" s="19" t="inlineStr">
        <is>
          <t>4</t>
        </is>
      </c>
      <c r="E407" t="inlineStr">
        <is>
          <t>01_STARTER/ST-051-STD-06/02_EU_DoC.docx</t>
        </is>
      </c>
      <c r="F407" t="inlineStr">
        <is>
          <t>952af559a4342f962bb6ac8a64355a401544ccf9f38b90c14bb8f6ed8944444b</t>
        </is>
      </c>
      <c r="G407" t="inlineStr">
        <is>
          <t>2026-08-08</t>
        </is>
      </c>
      <c r="H407" s="19" t="inlineStr">
        <is>
          <t>2</t>
        </is>
      </c>
      <c r="I407" t="inlineStr">
        <is>
          <t>Phase I generated Rev.00 Word file — linked; signatures not completed</t>
        </is>
      </c>
      <c r="J407" t="inlineStr">
        <is>
          <t>2026-08-10T19:29:54Z</t>
        </is>
      </c>
      <c r="K407" t="inlineStr">
        <is>
          <t>2026-08-10T19:49:41Z</t>
        </is>
      </c>
    </row>
    <row r="408">
      <c r="A408" s="19" t="inlineStr">
        <is>
          <t>407</t>
        </is>
      </c>
      <c r="B408" s="19" t="inlineStr">
        <is>
          <t>IA-PPWR-LBL-ST-051-STD-06-R00</t>
        </is>
      </c>
      <c r="C408" t="inlineStr">
        <is>
          <t>IA-PPWR-LBL-ST-051-STD-06-R00</t>
        </is>
      </c>
      <c r="D408" s="19" t="inlineStr">
        <is>
          <t>11</t>
        </is>
      </c>
      <c r="E408" t="inlineStr">
        <is>
          <t>01_STARTER/ST-051-STD-06/03_Label.docx</t>
        </is>
      </c>
      <c r="F408" t="inlineStr">
        <is>
          <t>b9923c53e94aed58560a0ccd055223d3f3e8ec9061678d9f9cd5d9dfd09a7414</t>
        </is>
      </c>
      <c r="G408" t="inlineStr">
        <is>
          <t>2026-08-08</t>
        </is>
      </c>
      <c r="H408" s="19" t="inlineStr">
        <is>
          <t>2</t>
        </is>
      </c>
      <c r="I408" t="inlineStr">
        <is>
          <t>Phase I generated Rev.00 Word file — linked; signatures not completed</t>
        </is>
      </c>
      <c r="J408" t="inlineStr">
        <is>
          <t>2026-08-10T19:29:54Z</t>
        </is>
      </c>
      <c r="K408" t="inlineStr">
        <is>
          <t>2026-08-10T19:49:41Z</t>
        </is>
      </c>
    </row>
    <row r="409">
      <c r="A409" s="19" t="inlineStr">
        <is>
          <t>408</t>
        </is>
      </c>
      <c r="B409" s="19" t="inlineStr">
        <is>
          <t>IA-PPWR-STM-ST-051-STD-06-R00</t>
        </is>
      </c>
      <c r="C409" t="inlineStr">
        <is>
          <t>IA-PPWR-STM-ST-051-STD-06-R00</t>
        </is>
      </c>
      <c r="D409" s="19" t="inlineStr">
        <is>
          <t>12</t>
        </is>
      </c>
      <c r="E409" t="inlineStr">
        <is>
          <t>01_STARTER/ST-051-STD-06/04_Shipment_Statement.docx</t>
        </is>
      </c>
      <c r="F409" t="inlineStr">
        <is>
          <t>d17c85d3781f1b0b7d49ca90b03e547005cb833e6b6fbdcb60d9b6a1dc058f56</t>
        </is>
      </c>
      <c r="G409" t="inlineStr">
        <is>
          <t>2026-08-08</t>
        </is>
      </c>
      <c r="H409" s="19" t="inlineStr">
        <is>
          <t>2</t>
        </is>
      </c>
      <c r="I409" t="inlineStr">
        <is>
          <t>Phase I generated Rev.00 Word file — linked; signatures not completed</t>
        </is>
      </c>
      <c r="J409" t="inlineStr">
        <is>
          <t>2026-08-10T19:29:54Z</t>
        </is>
      </c>
      <c r="K409" t="inlineStr">
        <is>
          <t>2026-08-10T19:49:41Z</t>
        </is>
      </c>
    </row>
    <row r="410">
      <c r="A410" s="19" t="inlineStr">
        <is>
          <t>409</t>
        </is>
      </c>
      <c r="B410" s="19" t="inlineStr">
        <is>
          <t>IA-PPWR-TF-ST-051-STD-07-R00</t>
        </is>
      </c>
      <c r="C410" t="inlineStr">
        <is>
          <t>IA-PPWR-TF-ST-051-STD-07-R00</t>
        </is>
      </c>
      <c r="D410" s="19" t="inlineStr">
        <is>
          <t>1</t>
        </is>
      </c>
      <c r="E410" t="inlineStr">
        <is>
          <t>01_STARTER/ST-051-STD-07/01_Technical_File.docx</t>
        </is>
      </c>
      <c r="F410" t="inlineStr">
        <is>
          <t>b922a09798879076f314b88c6da05579c4892807ddece3bcbccd59faa5e5df9d</t>
        </is>
      </c>
      <c r="G410" t="inlineStr">
        <is>
          <t>2026-08-08</t>
        </is>
      </c>
      <c r="H410" s="19" t="inlineStr">
        <is>
          <t>2</t>
        </is>
      </c>
      <c r="I410" t="inlineStr">
        <is>
          <t>Phase I generated Rev.00 Word file — linked; signatures not completed</t>
        </is>
      </c>
      <c r="J410" t="inlineStr">
        <is>
          <t>2026-08-10T19:29:54Z</t>
        </is>
      </c>
      <c r="K410" t="inlineStr">
        <is>
          <t>2026-08-10T19:49:41Z</t>
        </is>
      </c>
    </row>
    <row r="411">
      <c r="A411" s="19" t="inlineStr">
        <is>
          <t>410</t>
        </is>
      </c>
      <c r="B411" s="19" t="inlineStr">
        <is>
          <t>IA-PPWR-DOC-ST-051-STD-07-R00</t>
        </is>
      </c>
      <c r="C411" t="inlineStr">
        <is>
          <t>IA-PPWR-DOC-ST-051-STD-07-R00</t>
        </is>
      </c>
      <c r="D411" s="19" t="inlineStr">
        <is>
          <t>4</t>
        </is>
      </c>
      <c r="E411" t="inlineStr">
        <is>
          <t>01_STARTER/ST-051-STD-07/02_EU_DoC.docx</t>
        </is>
      </c>
      <c r="F411" t="inlineStr">
        <is>
          <t>a5756c2536dcc16cfbbaacd4dd112c81c155b6b439a6f38357870abb5436707b</t>
        </is>
      </c>
      <c r="G411" t="inlineStr">
        <is>
          <t>2026-08-08</t>
        </is>
      </c>
      <c r="H411" s="19" t="inlineStr">
        <is>
          <t>2</t>
        </is>
      </c>
      <c r="I411" t="inlineStr">
        <is>
          <t>Phase I generated Rev.00 Word file — linked; signatures not completed</t>
        </is>
      </c>
      <c r="J411" t="inlineStr">
        <is>
          <t>2026-08-10T19:29:54Z</t>
        </is>
      </c>
      <c r="K411" t="inlineStr">
        <is>
          <t>2026-08-10T19:49:41Z</t>
        </is>
      </c>
    </row>
    <row r="412">
      <c r="A412" s="19" t="inlineStr">
        <is>
          <t>411</t>
        </is>
      </c>
      <c r="B412" s="19" t="inlineStr">
        <is>
          <t>IA-PPWR-LBL-ST-051-STD-07-R00</t>
        </is>
      </c>
      <c r="C412" t="inlineStr">
        <is>
          <t>IA-PPWR-LBL-ST-051-STD-07-R00</t>
        </is>
      </c>
      <c r="D412" s="19" t="inlineStr">
        <is>
          <t>11</t>
        </is>
      </c>
      <c r="E412" t="inlineStr">
        <is>
          <t>01_STARTER/ST-051-STD-07/03_Label.docx</t>
        </is>
      </c>
      <c r="F412" t="inlineStr">
        <is>
          <t>3025e004ae6dee474d3848412a8f874eb75965ff4e8a91c17f954fdc612a05e1</t>
        </is>
      </c>
      <c r="G412" t="inlineStr">
        <is>
          <t>2026-08-08</t>
        </is>
      </c>
      <c r="H412" s="19" t="inlineStr">
        <is>
          <t>2</t>
        </is>
      </c>
      <c r="I412" t="inlineStr">
        <is>
          <t>Phase I generated Rev.00 Word file — linked; signatures not completed</t>
        </is>
      </c>
      <c r="J412" t="inlineStr">
        <is>
          <t>2026-08-10T19:29:54Z</t>
        </is>
      </c>
      <c r="K412" t="inlineStr">
        <is>
          <t>2026-08-10T19:49:41Z</t>
        </is>
      </c>
    </row>
    <row r="413">
      <c r="A413" s="19" t="inlineStr">
        <is>
          <t>412</t>
        </is>
      </c>
      <c r="B413" s="19" t="inlineStr">
        <is>
          <t>IA-PPWR-STM-ST-051-STD-07-R00</t>
        </is>
      </c>
      <c r="C413" t="inlineStr">
        <is>
          <t>IA-PPWR-STM-ST-051-STD-07-R00</t>
        </is>
      </c>
      <c r="D413" s="19" t="inlineStr">
        <is>
          <t>12</t>
        </is>
      </c>
      <c r="E413" t="inlineStr">
        <is>
          <t>01_STARTER/ST-051-STD-07/04_Shipment_Statement.docx</t>
        </is>
      </c>
      <c r="F413" t="inlineStr">
        <is>
          <t>954b1c1c7f443f0b9e40f5068a45a34601705dc3a2cb7c32d3962e96d1046be6</t>
        </is>
      </c>
      <c r="G413" t="inlineStr">
        <is>
          <t>2026-08-08</t>
        </is>
      </c>
      <c r="H413" s="19" t="inlineStr">
        <is>
          <t>2</t>
        </is>
      </c>
      <c r="I413" t="inlineStr">
        <is>
          <t>Phase I generated Rev.00 Word file — linked; signatures not completed</t>
        </is>
      </c>
      <c r="J413" t="inlineStr">
        <is>
          <t>2026-08-10T19:29:54Z</t>
        </is>
      </c>
      <c r="K413" t="inlineStr">
        <is>
          <t>2026-08-10T19:49:41Z</t>
        </is>
      </c>
    </row>
    <row r="414">
      <c r="A414" s="19" t="inlineStr">
        <is>
          <t>413</t>
        </is>
      </c>
      <c r="B414" s="19" t="inlineStr">
        <is>
          <t>IA-PPWR-TF-ST-051-STD-08-R00</t>
        </is>
      </c>
      <c r="C414" t="inlineStr">
        <is>
          <t>IA-PPWR-TF-ST-051-STD-08-R00</t>
        </is>
      </c>
      <c r="D414" s="19" t="inlineStr">
        <is>
          <t>1</t>
        </is>
      </c>
      <c r="E414" t="inlineStr">
        <is>
          <t>01_STARTER/ST-051-STD-08/01_Technical_File.docx</t>
        </is>
      </c>
      <c r="F414" t="inlineStr">
        <is>
          <t>ac4d454806d4a43ca3a75589f9d8038dbc34f1e005086a0605c7dc2cb721f66c</t>
        </is>
      </c>
      <c r="G414" t="inlineStr">
        <is>
          <t>2026-08-08</t>
        </is>
      </c>
      <c r="H414" s="19" t="inlineStr">
        <is>
          <t>2</t>
        </is>
      </c>
      <c r="I414" t="inlineStr">
        <is>
          <t>Phase I generated Rev.00 Word file — linked; signatures not completed</t>
        </is>
      </c>
      <c r="J414" t="inlineStr">
        <is>
          <t>2026-08-10T19:29:54Z</t>
        </is>
      </c>
      <c r="K414" t="inlineStr">
        <is>
          <t>2026-08-10T19:49:41Z</t>
        </is>
      </c>
    </row>
    <row r="415">
      <c r="A415" s="19" t="inlineStr">
        <is>
          <t>414</t>
        </is>
      </c>
      <c r="B415" s="19" t="inlineStr">
        <is>
          <t>IA-PPWR-DOC-ST-051-STD-08-R00</t>
        </is>
      </c>
      <c r="C415" t="inlineStr">
        <is>
          <t>IA-PPWR-DOC-ST-051-STD-08-R00</t>
        </is>
      </c>
      <c r="D415" s="19" t="inlineStr">
        <is>
          <t>4</t>
        </is>
      </c>
      <c r="E415" t="inlineStr">
        <is>
          <t>01_STARTER/ST-051-STD-08/02_EU_DoC.docx</t>
        </is>
      </c>
      <c r="F415" t="inlineStr">
        <is>
          <t>d09faf206119860ecddc4f473296b07c0e1113546bd1f721d5c603d5ea227522</t>
        </is>
      </c>
      <c r="G415" t="inlineStr">
        <is>
          <t>2026-08-08</t>
        </is>
      </c>
      <c r="H415" s="19" t="inlineStr">
        <is>
          <t>2</t>
        </is>
      </c>
      <c r="I415" t="inlineStr">
        <is>
          <t>Phase I generated Rev.00 Word file — linked; signatures not completed</t>
        </is>
      </c>
      <c r="J415" t="inlineStr">
        <is>
          <t>2026-08-10T19:29:54Z</t>
        </is>
      </c>
      <c r="K415" t="inlineStr">
        <is>
          <t>2026-08-10T19:49:41Z</t>
        </is>
      </c>
    </row>
    <row r="416">
      <c r="A416" s="19" t="inlineStr">
        <is>
          <t>415</t>
        </is>
      </c>
      <c r="B416" s="19" t="inlineStr">
        <is>
          <t>IA-PPWR-LBL-ST-051-STD-08-R00</t>
        </is>
      </c>
      <c r="C416" t="inlineStr">
        <is>
          <t>IA-PPWR-LBL-ST-051-STD-08-R00</t>
        </is>
      </c>
      <c r="D416" s="19" t="inlineStr">
        <is>
          <t>11</t>
        </is>
      </c>
      <c r="E416" t="inlineStr">
        <is>
          <t>01_STARTER/ST-051-STD-08/03_Label.docx</t>
        </is>
      </c>
      <c r="F416" t="inlineStr">
        <is>
          <t>8311c96943006a948a4706569254bf3939410493477baffe568a628e67166d6b</t>
        </is>
      </c>
      <c r="G416" t="inlineStr">
        <is>
          <t>2026-08-08</t>
        </is>
      </c>
      <c r="H416" s="19" t="inlineStr">
        <is>
          <t>2</t>
        </is>
      </c>
      <c r="I416" t="inlineStr">
        <is>
          <t>Phase I generated Rev.00 Word file — linked; signatures not completed</t>
        </is>
      </c>
      <c r="J416" t="inlineStr">
        <is>
          <t>2026-08-10T19:29:54Z</t>
        </is>
      </c>
      <c r="K416" t="inlineStr">
        <is>
          <t>2026-08-10T19:49:41Z</t>
        </is>
      </c>
    </row>
    <row r="417">
      <c r="A417" s="19" t="inlineStr">
        <is>
          <t>416</t>
        </is>
      </c>
      <c r="B417" s="19" t="inlineStr">
        <is>
          <t>IA-PPWR-STM-ST-051-STD-08-R00</t>
        </is>
      </c>
      <c r="C417" t="inlineStr">
        <is>
          <t>IA-PPWR-STM-ST-051-STD-08-R00</t>
        </is>
      </c>
      <c r="D417" s="19" t="inlineStr">
        <is>
          <t>12</t>
        </is>
      </c>
      <c r="E417" t="inlineStr">
        <is>
          <t>01_STARTER/ST-051-STD-08/04_Shipment_Statement.docx</t>
        </is>
      </c>
      <c r="F417" t="inlineStr">
        <is>
          <t>f57b6eb1d3247ca6c2be825ef92261f6c6d614e433fce79886f1ed140581184f</t>
        </is>
      </c>
      <c r="G417" t="inlineStr">
        <is>
          <t>2026-08-08</t>
        </is>
      </c>
      <c r="H417" s="19" t="inlineStr">
        <is>
          <t>2</t>
        </is>
      </c>
      <c r="I417" t="inlineStr">
        <is>
          <t>Phase I generated Rev.00 Word file — linked; signatures not completed</t>
        </is>
      </c>
      <c r="J417" t="inlineStr">
        <is>
          <t>2026-08-10T19:29:54Z</t>
        </is>
      </c>
      <c r="K417" t="inlineStr">
        <is>
          <t>2026-08-10T19:49:41Z</t>
        </is>
      </c>
    </row>
    <row r="418">
      <c r="A418" s="19" t="inlineStr">
        <is>
          <t>417</t>
        </is>
      </c>
      <c r="B418" s="19" t="inlineStr">
        <is>
          <t>IA-PPWR-TF-ST-054-EUR-01-R00</t>
        </is>
      </c>
      <c r="C418" t="inlineStr">
        <is>
          <t>IA-PPWR-TF-ST-054-EUR-01-R00</t>
        </is>
      </c>
      <c r="D418" s="19" t="inlineStr">
        <is>
          <t>1</t>
        </is>
      </c>
      <c r="E418" t="inlineStr">
        <is>
          <t>01_STARTER/ST-054-EUR-01/01_Technical_File.docx</t>
        </is>
      </c>
      <c r="F418" t="inlineStr">
        <is>
          <t>35a1a1b48c620ebf994fd45852ea95274f245fd0ffd20443891ad21e4679fa58</t>
        </is>
      </c>
      <c r="G418" t="inlineStr">
        <is>
          <t>2026-08-08</t>
        </is>
      </c>
      <c r="H418" s="19" t="inlineStr">
        <is>
          <t>2</t>
        </is>
      </c>
      <c r="I418" t="inlineStr">
        <is>
          <t>Phase I generated Rev.00 Word file — linked; signatures not completed</t>
        </is>
      </c>
      <c r="J418" t="inlineStr">
        <is>
          <t>2026-08-10T19:29:54Z</t>
        </is>
      </c>
      <c r="K418" t="inlineStr">
        <is>
          <t>2026-08-10T19:49:41Z</t>
        </is>
      </c>
    </row>
    <row r="419">
      <c r="A419" s="19" t="inlineStr">
        <is>
          <t>418</t>
        </is>
      </c>
      <c r="B419" s="19" t="inlineStr">
        <is>
          <t>IA-PPWR-DOC-ST-054-EUR-01-R00</t>
        </is>
      </c>
      <c r="C419" t="inlineStr">
        <is>
          <t>IA-PPWR-DOC-ST-054-EUR-01-R00</t>
        </is>
      </c>
      <c r="D419" s="19" t="inlineStr">
        <is>
          <t>4</t>
        </is>
      </c>
      <c r="E419" t="inlineStr">
        <is>
          <t>01_STARTER/ST-054-EUR-01/02_EU_DoC.docx</t>
        </is>
      </c>
      <c r="F419" t="inlineStr">
        <is>
          <t>60bbde63d56d2898479757167513c8545d911b08688e4bfb01c5f415fc5749a4</t>
        </is>
      </c>
      <c r="G419" t="inlineStr">
        <is>
          <t>2026-08-08</t>
        </is>
      </c>
      <c r="H419" s="19" t="inlineStr">
        <is>
          <t>2</t>
        </is>
      </c>
      <c r="I419" t="inlineStr">
        <is>
          <t>Phase I generated Rev.00 Word file — linked; signatures not completed</t>
        </is>
      </c>
      <c r="J419" t="inlineStr">
        <is>
          <t>2026-08-10T19:29:54Z</t>
        </is>
      </c>
      <c r="K419" t="inlineStr">
        <is>
          <t>2026-08-10T19:49:41Z</t>
        </is>
      </c>
    </row>
    <row r="420">
      <c r="A420" s="19" t="inlineStr">
        <is>
          <t>419</t>
        </is>
      </c>
      <c r="B420" s="19" t="inlineStr">
        <is>
          <t>IA-PPWR-LBL-ST-054-EUR-01-R00</t>
        </is>
      </c>
      <c r="C420" t="inlineStr">
        <is>
          <t>IA-PPWR-LBL-ST-054-EUR-01-R00</t>
        </is>
      </c>
      <c r="D420" s="19" t="inlineStr">
        <is>
          <t>11</t>
        </is>
      </c>
      <c r="E420" t="inlineStr">
        <is>
          <t>01_STARTER/ST-054-EUR-01/03_Label.docx</t>
        </is>
      </c>
      <c r="F420" t="inlineStr">
        <is>
          <t>4fa8c0da567b654cadfc09cb42910ad999f04481c7cee24fc8adec14bb90a4ea</t>
        </is>
      </c>
      <c r="G420" t="inlineStr">
        <is>
          <t>2026-08-08</t>
        </is>
      </c>
      <c r="H420" s="19" t="inlineStr">
        <is>
          <t>2</t>
        </is>
      </c>
      <c r="I420" t="inlineStr">
        <is>
          <t>Phase I generated Rev.00 Word file — linked; signatures not completed</t>
        </is>
      </c>
      <c r="J420" t="inlineStr">
        <is>
          <t>2026-08-10T19:29:54Z</t>
        </is>
      </c>
      <c r="K420" t="inlineStr">
        <is>
          <t>2026-08-10T19:49:41Z</t>
        </is>
      </c>
    </row>
    <row r="421">
      <c r="A421" s="19" t="inlineStr">
        <is>
          <t>420</t>
        </is>
      </c>
      <c r="B421" s="19" t="inlineStr">
        <is>
          <t>IA-PPWR-STM-ST-054-EUR-01-R00</t>
        </is>
      </c>
      <c r="C421" t="inlineStr">
        <is>
          <t>IA-PPWR-STM-ST-054-EUR-01-R00</t>
        </is>
      </c>
      <c r="D421" s="19" t="inlineStr">
        <is>
          <t>12</t>
        </is>
      </c>
      <c r="E421" t="inlineStr">
        <is>
          <t>01_STARTER/ST-054-EUR-01/04_Shipment_Statement.docx</t>
        </is>
      </c>
      <c r="F421" t="inlineStr">
        <is>
          <t>1a31299590e1228544b26aa1004de1d650a001278d73af3c2734d5bec5b6aff6</t>
        </is>
      </c>
      <c r="G421" t="inlineStr">
        <is>
          <t>2026-08-08</t>
        </is>
      </c>
      <c r="H421" s="19" t="inlineStr">
        <is>
          <t>2</t>
        </is>
      </c>
      <c r="I421" t="inlineStr">
        <is>
          <t>Phase I generated Rev.00 Word file — linked; signatures not completed</t>
        </is>
      </c>
      <c r="J421" t="inlineStr">
        <is>
          <t>2026-08-10T19:29:54Z</t>
        </is>
      </c>
      <c r="K421" t="inlineStr">
        <is>
          <t>2026-08-10T19:49:41Z</t>
        </is>
      </c>
    </row>
    <row r="422">
      <c r="A422" s="19" t="inlineStr">
        <is>
          <t>421</t>
        </is>
      </c>
      <c r="B422" s="19" t="inlineStr">
        <is>
          <t>IA-PPWR-TF-ST-054-STD-01-R00</t>
        </is>
      </c>
      <c r="C422" t="inlineStr">
        <is>
          <t>IA-PPWR-TF-ST-054-STD-01-R00</t>
        </is>
      </c>
      <c r="D422" s="19" t="inlineStr">
        <is>
          <t>1</t>
        </is>
      </c>
      <c r="E422" t="inlineStr">
        <is>
          <t>01_STARTER/ST-054-STD-01/01_Technical_File.docx</t>
        </is>
      </c>
      <c r="F422" t="inlineStr">
        <is>
          <t>54960781befccfd0f05b0695337c474fabff9c446c59a48b01cb646ad06ce44f</t>
        </is>
      </c>
      <c r="G422" t="inlineStr">
        <is>
          <t>2026-08-08</t>
        </is>
      </c>
      <c r="H422" s="19" t="inlineStr">
        <is>
          <t>2</t>
        </is>
      </c>
      <c r="I422" t="inlineStr">
        <is>
          <t>Phase I generated Rev.00 Word file — linked; signatures not completed</t>
        </is>
      </c>
      <c r="J422" t="inlineStr">
        <is>
          <t>2026-08-10T19:29:54Z</t>
        </is>
      </c>
      <c r="K422" t="inlineStr">
        <is>
          <t>2026-08-10T19:49:41Z</t>
        </is>
      </c>
    </row>
    <row r="423">
      <c r="A423" s="19" t="inlineStr">
        <is>
          <t>422</t>
        </is>
      </c>
      <c r="B423" s="19" t="inlineStr">
        <is>
          <t>IA-PPWR-DOC-ST-054-STD-01-R00</t>
        </is>
      </c>
      <c r="C423" t="inlineStr">
        <is>
          <t>IA-PPWR-DOC-ST-054-STD-01-R00</t>
        </is>
      </c>
      <c r="D423" s="19" t="inlineStr">
        <is>
          <t>4</t>
        </is>
      </c>
      <c r="E423" t="inlineStr">
        <is>
          <t>01_STARTER/ST-054-STD-01/02_EU_DoC.docx</t>
        </is>
      </c>
      <c r="F423" t="inlineStr">
        <is>
          <t>e01e01d4bebf69efa1cd182141a1afd75408c7ec01ffd9eaca46e9a61d0b82b8</t>
        </is>
      </c>
      <c r="G423" t="inlineStr">
        <is>
          <t>2026-08-08</t>
        </is>
      </c>
      <c r="H423" s="19" t="inlineStr">
        <is>
          <t>2</t>
        </is>
      </c>
      <c r="I423" t="inlineStr">
        <is>
          <t>Phase I generated Rev.00 Word file — linked; signatures not completed</t>
        </is>
      </c>
      <c r="J423" t="inlineStr">
        <is>
          <t>2026-08-10T19:29:54Z</t>
        </is>
      </c>
      <c r="K423" t="inlineStr">
        <is>
          <t>2026-08-10T19:49:41Z</t>
        </is>
      </c>
    </row>
    <row r="424">
      <c r="A424" s="19" t="inlineStr">
        <is>
          <t>423</t>
        </is>
      </c>
      <c r="B424" s="19" t="inlineStr">
        <is>
          <t>IA-PPWR-LBL-ST-054-STD-01-R00</t>
        </is>
      </c>
      <c r="C424" t="inlineStr">
        <is>
          <t>IA-PPWR-LBL-ST-054-STD-01-R00</t>
        </is>
      </c>
      <c r="D424" s="19" t="inlineStr">
        <is>
          <t>11</t>
        </is>
      </c>
      <c r="E424" t="inlineStr">
        <is>
          <t>01_STARTER/ST-054-STD-01/03_Label.docx</t>
        </is>
      </c>
      <c r="F424" t="inlineStr">
        <is>
          <t>74e4f3b1c41d78c2bf4e448c206cb025e310fe107f69369f25f42a8cf532cf32</t>
        </is>
      </c>
      <c r="G424" t="inlineStr">
        <is>
          <t>2026-08-08</t>
        </is>
      </c>
      <c r="H424" s="19" t="inlineStr">
        <is>
          <t>2</t>
        </is>
      </c>
      <c r="I424" t="inlineStr">
        <is>
          <t>Phase I generated Rev.00 Word file — linked; signatures not completed</t>
        </is>
      </c>
      <c r="J424" t="inlineStr">
        <is>
          <t>2026-08-10T19:29:54Z</t>
        </is>
      </c>
      <c r="K424" t="inlineStr">
        <is>
          <t>2026-08-10T19:49:41Z</t>
        </is>
      </c>
    </row>
    <row r="425">
      <c r="A425" s="19" t="inlineStr">
        <is>
          <t>424</t>
        </is>
      </c>
      <c r="B425" s="19" t="inlineStr">
        <is>
          <t>IA-PPWR-STM-ST-054-STD-01-R00</t>
        </is>
      </c>
      <c r="C425" t="inlineStr">
        <is>
          <t>IA-PPWR-STM-ST-054-STD-01-R00</t>
        </is>
      </c>
      <c r="D425" s="19" t="inlineStr">
        <is>
          <t>12</t>
        </is>
      </c>
      <c r="E425" t="inlineStr">
        <is>
          <t>01_STARTER/ST-054-STD-01/04_Shipment_Statement.docx</t>
        </is>
      </c>
      <c r="F425" t="inlineStr">
        <is>
          <t>92c91793f6fa4855b527e04e6f6c6cf86995f5eb98d9268e1fb111a577dc6d2f</t>
        </is>
      </c>
      <c r="G425" t="inlineStr">
        <is>
          <t>2026-08-08</t>
        </is>
      </c>
      <c r="H425" s="19" t="inlineStr">
        <is>
          <t>2</t>
        </is>
      </c>
      <c r="I425" t="inlineStr">
        <is>
          <t>Phase I generated Rev.00 Word file — linked; signatures not completed</t>
        </is>
      </c>
      <c r="J425" t="inlineStr">
        <is>
          <t>2026-08-10T19:29:54Z</t>
        </is>
      </c>
      <c r="K425" t="inlineStr">
        <is>
          <t>2026-08-10T19:49:41Z</t>
        </is>
      </c>
    </row>
    <row r="426">
      <c r="A426" s="19" t="inlineStr">
        <is>
          <t>425</t>
        </is>
      </c>
      <c r="B426" s="19" t="inlineStr">
        <is>
          <t>IA-PPWR-TF-ST-054-STD-02-R00</t>
        </is>
      </c>
      <c r="C426" t="inlineStr">
        <is>
          <t>IA-PPWR-TF-ST-054-STD-02-R00</t>
        </is>
      </c>
      <c r="D426" s="19" t="inlineStr">
        <is>
          <t>1</t>
        </is>
      </c>
      <c r="E426" t="inlineStr">
        <is>
          <t>01_STARTER/ST-054-STD-02/01_Technical_File.docx</t>
        </is>
      </c>
      <c r="F426" t="inlineStr">
        <is>
          <t>855c5c4c1d98c1f9154fd10afb7221af8ab49676be5309fafdd1dd6257a47cd0</t>
        </is>
      </c>
      <c r="G426" t="inlineStr">
        <is>
          <t>2026-08-08</t>
        </is>
      </c>
      <c r="H426" s="19" t="inlineStr">
        <is>
          <t>2</t>
        </is>
      </c>
      <c r="I426" t="inlineStr">
        <is>
          <t>Phase I generated Rev.00 Word file — linked; signatures not completed</t>
        </is>
      </c>
      <c r="J426" t="inlineStr">
        <is>
          <t>2026-08-10T19:29:54Z</t>
        </is>
      </c>
      <c r="K426" t="inlineStr">
        <is>
          <t>2026-08-10T19:49:41Z</t>
        </is>
      </c>
    </row>
    <row r="427">
      <c r="A427" s="19" t="inlineStr">
        <is>
          <t>426</t>
        </is>
      </c>
      <c r="B427" s="19" t="inlineStr">
        <is>
          <t>IA-PPWR-DOC-ST-054-STD-02-R00</t>
        </is>
      </c>
      <c r="C427" t="inlineStr">
        <is>
          <t>IA-PPWR-DOC-ST-054-STD-02-R00</t>
        </is>
      </c>
      <c r="D427" s="19" t="inlineStr">
        <is>
          <t>4</t>
        </is>
      </c>
      <c r="E427" t="inlineStr">
        <is>
          <t>01_STARTER/ST-054-STD-02/02_EU_DoC.docx</t>
        </is>
      </c>
      <c r="F427" t="inlineStr">
        <is>
          <t>ae877166b3108dc2224acbdc5818f386969964c51f2fbae5fabc4dbec29dce06</t>
        </is>
      </c>
      <c r="G427" t="inlineStr">
        <is>
          <t>2026-08-08</t>
        </is>
      </c>
      <c r="H427" s="19" t="inlineStr">
        <is>
          <t>2</t>
        </is>
      </c>
      <c r="I427" t="inlineStr">
        <is>
          <t>Phase I generated Rev.00 Word file — linked; signatures not completed</t>
        </is>
      </c>
      <c r="J427" t="inlineStr">
        <is>
          <t>2026-08-10T19:29:54Z</t>
        </is>
      </c>
      <c r="K427" t="inlineStr">
        <is>
          <t>2026-08-10T19:49:41Z</t>
        </is>
      </c>
    </row>
    <row r="428">
      <c r="A428" s="19" t="inlineStr">
        <is>
          <t>427</t>
        </is>
      </c>
      <c r="B428" s="19" t="inlineStr">
        <is>
          <t>IA-PPWR-LBL-ST-054-STD-02-R00</t>
        </is>
      </c>
      <c r="C428" t="inlineStr">
        <is>
          <t>IA-PPWR-LBL-ST-054-STD-02-R00</t>
        </is>
      </c>
      <c r="D428" s="19" t="inlineStr">
        <is>
          <t>11</t>
        </is>
      </c>
      <c r="E428" t="inlineStr">
        <is>
          <t>01_STARTER/ST-054-STD-02/03_Label.docx</t>
        </is>
      </c>
      <c r="F428" t="inlineStr">
        <is>
          <t>4928e5b2ba7ae0a06f01f64425a6368ff004962f0fec425893212aecdbe56684</t>
        </is>
      </c>
      <c r="G428" t="inlineStr">
        <is>
          <t>2026-08-08</t>
        </is>
      </c>
      <c r="H428" s="19" t="inlineStr">
        <is>
          <t>2</t>
        </is>
      </c>
      <c r="I428" t="inlineStr">
        <is>
          <t>Phase I generated Rev.00 Word file — linked; signatures not completed</t>
        </is>
      </c>
      <c r="J428" t="inlineStr">
        <is>
          <t>2026-08-10T19:29:54Z</t>
        </is>
      </c>
      <c r="K428" t="inlineStr">
        <is>
          <t>2026-08-10T19:49:41Z</t>
        </is>
      </c>
    </row>
    <row r="429">
      <c r="A429" s="19" t="inlineStr">
        <is>
          <t>428</t>
        </is>
      </c>
      <c r="B429" s="19" t="inlineStr">
        <is>
          <t>IA-PPWR-STM-ST-054-STD-02-R00</t>
        </is>
      </c>
      <c r="C429" t="inlineStr">
        <is>
          <t>IA-PPWR-STM-ST-054-STD-02-R00</t>
        </is>
      </c>
      <c r="D429" s="19" t="inlineStr">
        <is>
          <t>12</t>
        </is>
      </c>
      <c r="E429" t="inlineStr">
        <is>
          <t>01_STARTER/ST-054-STD-02/04_Shipment_Statement.docx</t>
        </is>
      </c>
      <c r="F429" t="inlineStr">
        <is>
          <t>97730e3061799fbf63ed26da7823e09f00057d9a04bb4cd1fe91dd0b7217f1e0</t>
        </is>
      </c>
      <c r="G429" t="inlineStr">
        <is>
          <t>2026-08-08</t>
        </is>
      </c>
      <c r="H429" s="19" t="inlineStr">
        <is>
          <t>2</t>
        </is>
      </c>
      <c r="I429" t="inlineStr">
        <is>
          <t>Phase I generated Rev.00 Word file — linked; signatures not completed</t>
        </is>
      </c>
      <c r="J429" t="inlineStr">
        <is>
          <t>2026-08-10T19:29:54Z</t>
        </is>
      </c>
      <c r="K429" t="inlineStr">
        <is>
          <t>2026-08-10T19:49:41Z</t>
        </is>
      </c>
    </row>
    <row r="430">
      <c r="A430" s="19" t="inlineStr">
        <is>
          <t>429</t>
        </is>
      </c>
      <c r="B430" s="19" t="inlineStr">
        <is>
          <t>IA-PPWR-TF-ST-054-STD-03-R00</t>
        </is>
      </c>
      <c r="C430" t="inlineStr">
        <is>
          <t>IA-PPWR-TF-ST-054-STD-03-R00</t>
        </is>
      </c>
      <c r="D430" s="19" t="inlineStr">
        <is>
          <t>1</t>
        </is>
      </c>
      <c r="E430" t="inlineStr">
        <is>
          <t>01_STARTER/ST-054-STD-03/01_Technical_File.docx</t>
        </is>
      </c>
      <c r="F430" t="inlineStr">
        <is>
          <t>bfd6ae8a2cf181981f7d1f592f95fa592f14fbaa3fb625d32545b94aa53e1ab7</t>
        </is>
      </c>
      <c r="G430" t="inlineStr">
        <is>
          <t>2026-08-08</t>
        </is>
      </c>
      <c r="H430" s="19" t="inlineStr">
        <is>
          <t>2</t>
        </is>
      </c>
      <c r="I430" t="inlineStr">
        <is>
          <t>Phase I generated Rev.00 Word file — linked; signatures not completed</t>
        </is>
      </c>
      <c r="J430" t="inlineStr">
        <is>
          <t>2026-08-10T19:29:54Z</t>
        </is>
      </c>
      <c r="K430" t="inlineStr">
        <is>
          <t>2026-08-10T19:49:41Z</t>
        </is>
      </c>
    </row>
    <row r="431">
      <c r="A431" s="19" t="inlineStr">
        <is>
          <t>430</t>
        </is>
      </c>
      <c r="B431" s="19" t="inlineStr">
        <is>
          <t>IA-PPWR-DOC-ST-054-STD-03-R00</t>
        </is>
      </c>
      <c r="C431" t="inlineStr">
        <is>
          <t>IA-PPWR-DOC-ST-054-STD-03-R00</t>
        </is>
      </c>
      <c r="D431" s="19" t="inlineStr">
        <is>
          <t>4</t>
        </is>
      </c>
      <c r="E431" t="inlineStr">
        <is>
          <t>01_STARTER/ST-054-STD-03/02_EU_DoC.docx</t>
        </is>
      </c>
      <c r="F431" t="inlineStr">
        <is>
          <t>92bd7412acde1bcac86a818e2dad311b228b56b12a2f682ab04be494757653aa</t>
        </is>
      </c>
      <c r="G431" t="inlineStr">
        <is>
          <t>2026-08-08</t>
        </is>
      </c>
      <c r="H431" s="19" t="inlineStr">
        <is>
          <t>2</t>
        </is>
      </c>
      <c r="I431" t="inlineStr">
        <is>
          <t>Phase I generated Rev.00 Word file — linked; signatures not completed</t>
        </is>
      </c>
      <c r="J431" t="inlineStr">
        <is>
          <t>2026-08-10T19:29:54Z</t>
        </is>
      </c>
      <c r="K431" t="inlineStr">
        <is>
          <t>2026-08-10T19:49:41Z</t>
        </is>
      </c>
    </row>
    <row r="432">
      <c r="A432" s="19" t="inlineStr">
        <is>
          <t>431</t>
        </is>
      </c>
      <c r="B432" s="19" t="inlineStr">
        <is>
          <t>IA-PPWR-LBL-ST-054-STD-03-R00</t>
        </is>
      </c>
      <c r="C432" t="inlineStr">
        <is>
          <t>IA-PPWR-LBL-ST-054-STD-03-R00</t>
        </is>
      </c>
      <c r="D432" s="19" t="inlineStr">
        <is>
          <t>11</t>
        </is>
      </c>
      <c r="E432" t="inlineStr">
        <is>
          <t>01_STARTER/ST-054-STD-03/03_Label.docx</t>
        </is>
      </c>
      <c r="F432" t="inlineStr">
        <is>
          <t>2d011795d57bdcd2eb1df2c032049cdffa11175633956d42f1b9a8d348fcd632</t>
        </is>
      </c>
      <c r="G432" t="inlineStr">
        <is>
          <t>2026-08-08</t>
        </is>
      </c>
      <c r="H432" s="19" t="inlineStr">
        <is>
          <t>2</t>
        </is>
      </c>
      <c r="I432" t="inlineStr">
        <is>
          <t>Phase I generated Rev.00 Word file — linked; signatures not completed</t>
        </is>
      </c>
      <c r="J432" t="inlineStr">
        <is>
          <t>2026-08-10T19:29:54Z</t>
        </is>
      </c>
      <c r="K432" t="inlineStr">
        <is>
          <t>2026-08-10T19:49:41Z</t>
        </is>
      </c>
    </row>
    <row r="433">
      <c r="A433" s="19" t="inlineStr">
        <is>
          <t>432</t>
        </is>
      </c>
      <c r="B433" s="19" t="inlineStr">
        <is>
          <t>IA-PPWR-STM-ST-054-STD-03-R00</t>
        </is>
      </c>
      <c r="C433" t="inlineStr">
        <is>
          <t>IA-PPWR-STM-ST-054-STD-03-R00</t>
        </is>
      </c>
      <c r="D433" s="19" t="inlineStr">
        <is>
          <t>12</t>
        </is>
      </c>
      <c r="E433" t="inlineStr">
        <is>
          <t>01_STARTER/ST-054-STD-03/04_Shipment_Statement.docx</t>
        </is>
      </c>
      <c r="F433" t="inlineStr">
        <is>
          <t>2018b18d7b42a7e3d9dbe95d1fe1be94a18bedb8400755dc616b7331b730be6e</t>
        </is>
      </c>
      <c r="G433" t="inlineStr">
        <is>
          <t>2026-08-08</t>
        </is>
      </c>
      <c r="H433" s="19" t="inlineStr">
        <is>
          <t>2</t>
        </is>
      </c>
      <c r="I433" t="inlineStr">
        <is>
          <t>Phase I generated Rev.00 Word file — linked; signatures not completed</t>
        </is>
      </c>
      <c r="J433" t="inlineStr">
        <is>
          <t>2026-08-10T19:29:54Z</t>
        </is>
      </c>
      <c r="K433" t="inlineStr">
        <is>
          <t>2026-08-10T19:49:41Z</t>
        </is>
      </c>
    </row>
    <row r="434">
      <c r="A434" s="19" t="inlineStr">
        <is>
          <t>433</t>
        </is>
      </c>
      <c r="B434" s="19" t="inlineStr">
        <is>
          <t>IA-PPWR-TF-ST-054-STD-04-R00</t>
        </is>
      </c>
      <c r="C434" t="inlineStr">
        <is>
          <t>IA-PPWR-TF-ST-054-STD-04-R00</t>
        </is>
      </c>
      <c r="D434" s="19" t="inlineStr">
        <is>
          <t>1</t>
        </is>
      </c>
      <c r="E434" t="inlineStr">
        <is>
          <t>01_STARTER/ST-054-STD-04/01_Technical_File.docx</t>
        </is>
      </c>
      <c r="F434" t="inlineStr">
        <is>
          <t>72d68363a873cac2b23e0d335b533e238e8228acdef851fcd22b14c16c8c0fc5</t>
        </is>
      </c>
      <c r="G434" t="inlineStr">
        <is>
          <t>2026-08-08</t>
        </is>
      </c>
      <c r="H434" s="19" t="inlineStr">
        <is>
          <t>2</t>
        </is>
      </c>
      <c r="I434" t="inlineStr">
        <is>
          <t>Phase I generated Rev.00 Word file — linked; signatures not completed</t>
        </is>
      </c>
      <c r="J434" t="inlineStr">
        <is>
          <t>2026-08-10T19:29:54Z</t>
        </is>
      </c>
      <c r="K434" t="inlineStr">
        <is>
          <t>2026-08-10T19:49:41Z</t>
        </is>
      </c>
    </row>
    <row r="435">
      <c r="A435" s="19" t="inlineStr">
        <is>
          <t>434</t>
        </is>
      </c>
      <c r="B435" s="19" t="inlineStr">
        <is>
          <t>IA-PPWR-DOC-ST-054-STD-04-R00</t>
        </is>
      </c>
      <c r="C435" t="inlineStr">
        <is>
          <t>IA-PPWR-DOC-ST-054-STD-04-R00</t>
        </is>
      </c>
      <c r="D435" s="19" t="inlineStr">
        <is>
          <t>4</t>
        </is>
      </c>
      <c r="E435" t="inlineStr">
        <is>
          <t>01_STARTER/ST-054-STD-04/02_EU_DoC.docx</t>
        </is>
      </c>
      <c r="F435" t="inlineStr">
        <is>
          <t>e4618a99d57f4473f6a01a695c1af08e52c20097aa3cdd9c6e3c2564ecf79a8a</t>
        </is>
      </c>
      <c r="G435" t="inlineStr">
        <is>
          <t>2026-08-08</t>
        </is>
      </c>
      <c r="H435" s="19" t="inlineStr">
        <is>
          <t>2</t>
        </is>
      </c>
      <c r="I435" t="inlineStr">
        <is>
          <t>Phase I generated Rev.00 Word file — linked; signatures not completed</t>
        </is>
      </c>
      <c r="J435" t="inlineStr">
        <is>
          <t>2026-08-10T19:29:54Z</t>
        </is>
      </c>
      <c r="K435" t="inlineStr">
        <is>
          <t>2026-08-10T19:49:41Z</t>
        </is>
      </c>
    </row>
    <row r="436">
      <c r="A436" s="19" t="inlineStr">
        <is>
          <t>435</t>
        </is>
      </c>
      <c r="B436" s="19" t="inlineStr">
        <is>
          <t>IA-PPWR-LBL-ST-054-STD-04-R00</t>
        </is>
      </c>
      <c r="C436" t="inlineStr">
        <is>
          <t>IA-PPWR-LBL-ST-054-STD-04-R00</t>
        </is>
      </c>
      <c r="D436" s="19" t="inlineStr">
        <is>
          <t>11</t>
        </is>
      </c>
      <c r="E436" t="inlineStr">
        <is>
          <t>01_STARTER/ST-054-STD-04/03_Label.docx</t>
        </is>
      </c>
      <c r="F436" t="inlineStr">
        <is>
          <t>6d6fbb48504396f07c4e54d559792140f68910c3d04bea233cd4052aa471705f</t>
        </is>
      </c>
      <c r="G436" t="inlineStr">
        <is>
          <t>2026-08-08</t>
        </is>
      </c>
      <c r="H436" s="19" t="inlineStr">
        <is>
          <t>2</t>
        </is>
      </c>
      <c r="I436" t="inlineStr">
        <is>
          <t>Phase I generated Rev.00 Word file — linked; signatures not completed</t>
        </is>
      </c>
      <c r="J436" t="inlineStr">
        <is>
          <t>2026-08-10T19:29:54Z</t>
        </is>
      </c>
      <c r="K436" t="inlineStr">
        <is>
          <t>2026-08-10T19:49:41Z</t>
        </is>
      </c>
    </row>
    <row r="437">
      <c r="A437" s="19" t="inlineStr">
        <is>
          <t>436</t>
        </is>
      </c>
      <c r="B437" s="19" t="inlineStr">
        <is>
          <t>IA-PPWR-STM-ST-054-STD-04-R00</t>
        </is>
      </c>
      <c r="C437" t="inlineStr">
        <is>
          <t>IA-PPWR-STM-ST-054-STD-04-R00</t>
        </is>
      </c>
      <c r="D437" s="19" t="inlineStr">
        <is>
          <t>12</t>
        </is>
      </c>
      <c r="E437" t="inlineStr">
        <is>
          <t>01_STARTER/ST-054-STD-04/04_Shipment_Statement.docx</t>
        </is>
      </c>
      <c r="F437" t="inlineStr">
        <is>
          <t>87b8a2859bbd386b8172308b03f89d20c880655ff3802a0e0b8592af90f1fda5</t>
        </is>
      </c>
      <c r="G437" t="inlineStr">
        <is>
          <t>2026-08-08</t>
        </is>
      </c>
      <c r="H437" s="19" t="inlineStr">
        <is>
          <t>2</t>
        </is>
      </c>
      <c r="I437" t="inlineStr">
        <is>
          <t>Phase I generated Rev.00 Word file — linked; signatures not completed</t>
        </is>
      </c>
      <c r="J437" t="inlineStr">
        <is>
          <t>2026-08-10T19:29:54Z</t>
        </is>
      </c>
      <c r="K437" t="inlineStr">
        <is>
          <t>2026-08-10T19:49:41Z</t>
        </is>
      </c>
    </row>
    <row r="438">
      <c r="A438" s="19" t="inlineStr">
        <is>
          <t>437</t>
        </is>
      </c>
      <c r="B438" s="19" t="inlineStr">
        <is>
          <t>IA-PPWR-TF-ST-054-STD-05-R00</t>
        </is>
      </c>
      <c r="C438" t="inlineStr">
        <is>
          <t>IA-PPWR-TF-ST-054-STD-05-R00</t>
        </is>
      </c>
      <c r="D438" s="19" t="inlineStr">
        <is>
          <t>1</t>
        </is>
      </c>
      <c r="E438" t="inlineStr">
        <is>
          <t>01_STARTER/ST-054-STD-05/01_Technical_File.docx</t>
        </is>
      </c>
      <c r="F438" t="inlineStr">
        <is>
          <t>06d3ccdc24fb4f6e28ab58a1888d7d999cabb4c0bf208f5cfb46850c5eed388b</t>
        </is>
      </c>
      <c r="G438" t="inlineStr">
        <is>
          <t>2026-08-08</t>
        </is>
      </c>
      <c r="H438" s="19" t="inlineStr">
        <is>
          <t>2</t>
        </is>
      </c>
      <c r="I438" t="inlineStr">
        <is>
          <t>Phase I generated Rev.00 Word file — linked; signatures not completed</t>
        </is>
      </c>
      <c r="J438" t="inlineStr">
        <is>
          <t>2026-08-10T19:29:54Z</t>
        </is>
      </c>
      <c r="K438" t="inlineStr">
        <is>
          <t>2026-08-10T19:49:41Z</t>
        </is>
      </c>
    </row>
    <row r="439">
      <c r="A439" s="19" t="inlineStr">
        <is>
          <t>438</t>
        </is>
      </c>
      <c r="B439" s="19" t="inlineStr">
        <is>
          <t>IA-PPWR-DOC-ST-054-STD-05-R00</t>
        </is>
      </c>
      <c r="C439" t="inlineStr">
        <is>
          <t>IA-PPWR-DOC-ST-054-STD-05-R00</t>
        </is>
      </c>
      <c r="D439" s="19" t="inlineStr">
        <is>
          <t>4</t>
        </is>
      </c>
      <c r="E439" t="inlineStr">
        <is>
          <t>01_STARTER/ST-054-STD-05/02_EU_DoC.docx</t>
        </is>
      </c>
      <c r="F439" t="inlineStr">
        <is>
          <t>ccc9e50529702e73513f637d98aca8cdf0581af2e02293d5f05efed2e26a02d9</t>
        </is>
      </c>
      <c r="G439" t="inlineStr">
        <is>
          <t>2026-08-08</t>
        </is>
      </c>
      <c r="H439" s="19" t="inlineStr">
        <is>
          <t>2</t>
        </is>
      </c>
      <c r="I439" t="inlineStr">
        <is>
          <t>Phase I generated Rev.00 Word file — linked; signatures not completed</t>
        </is>
      </c>
      <c r="J439" t="inlineStr">
        <is>
          <t>2026-08-10T19:29:54Z</t>
        </is>
      </c>
      <c r="K439" t="inlineStr">
        <is>
          <t>2026-08-10T19:49:41Z</t>
        </is>
      </c>
    </row>
    <row r="440">
      <c r="A440" s="19" t="inlineStr">
        <is>
          <t>439</t>
        </is>
      </c>
      <c r="B440" s="19" t="inlineStr">
        <is>
          <t>IA-PPWR-LBL-ST-054-STD-05-R00</t>
        </is>
      </c>
      <c r="C440" t="inlineStr">
        <is>
          <t>IA-PPWR-LBL-ST-054-STD-05-R00</t>
        </is>
      </c>
      <c r="D440" s="19" t="inlineStr">
        <is>
          <t>11</t>
        </is>
      </c>
      <c r="E440" t="inlineStr">
        <is>
          <t>01_STARTER/ST-054-STD-05/03_Label.docx</t>
        </is>
      </c>
      <c r="F440" t="inlineStr">
        <is>
          <t>9c14cce049b3c225c3e5829c303b34d8386fa73c399780b2acd335e54c96d356</t>
        </is>
      </c>
      <c r="G440" t="inlineStr">
        <is>
          <t>2026-08-08</t>
        </is>
      </c>
      <c r="H440" s="19" t="inlineStr">
        <is>
          <t>2</t>
        </is>
      </c>
      <c r="I440" t="inlineStr">
        <is>
          <t>Phase I generated Rev.00 Word file — linked; signatures not completed</t>
        </is>
      </c>
      <c r="J440" t="inlineStr">
        <is>
          <t>2026-08-10T19:29:54Z</t>
        </is>
      </c>
      <c r="K440" t="inlineStr">
        <is>
          <t>2026-08-10T19:49:41Z</t>
        </is>
      </c>
    </row>
    <row r="441">
      <c r="A441" s="19" t="inlineStr">
        <is>
          <t>440</t>
        </is>
      </c>
      <c r="B441" s="19" t="inlineStr">
        <is>
          <t>IA-PPWR-STM-ST-054-STD-05-R00</t>
        </is>
      </c>
      <c r="C441" t="inlineStr">
        <is>
          <t>IA-PPWR-STM-ST-054-STD-05-R00</t>
        </is>
      </c>
      <c r="D441" s="19" t="inlineStr">
        <is>
          <t>12</t>
        </is>
      </c>
      <c r="E441" t="inlineStr">
        <is>
          <t>01_STARTER/ST-054-STD-05/04_Shipment_Statement.docx</t>
        </is>
      </c>
      <c r="F441" t="inlineStr">
        <is>
          <t>090d2f90ee57e9f32582f50148707832d04625eed2b893d2bf18c54853cfc32e</t>
        </is>
      </c>
      <c r="G441" t="inlineStr">
        <is>
          <t>2026-08-08</t>
        </is>
      </c>
      <c r="H441" s="19" t="inlineStr">
        <is>
          <t>2</t>
        </is>
      </c>
      <c r="I441" t="inlineStr">
        <is>
          <t>Phase I generated Rev.00 Word file — linked; signatures not completed</t>
        </is>
      </c>
      <c r="J441" t="inlineStr">
        <is>
          <t>2026-08-10T19:29:54Z</t>
        </is>
      </c>
      <c r="K441" t="inlineStr">
        <is>
          <t>2026-08-10T19:49:41Z</t>
        </is>
      </c>
    </row>
    <row r="442">
      <c r="A442" s="19" t="inlineStr">
        <is>
          <t>441</t>
        </is>
      </c>
      <c r="B442" s="19" t="inlineStr">
        <is>
          <t>IA-PPWR-TF-ST-054-STD-06-R00</t>
        </is>
      </c>
      <c r="C442" t="inlineStr">
        <is>
          <t>IA-PPWR-TF-ST-054-STD-06-R00</t>
        </is>
      </c>
      <c r="D442" s="19" t="inlineStr">
        <is>
          <t>1</t>
        </is>
      </c>
      <c r="E442" t="inlineStr">
        <is>
          <t>01_STARTER/ST-054-STD-06/01_Technical_File.docx</t>
        </is>
      </c>
      <c r="F442" t="inlineStr">
        <is>
          <t>845a2c3b3e49f39c237a26cf228c3d1daaf4220642e40cdb0a0d39820cb5195d</t>
        </is>
      </c>
      <c r="G442" t="inlineStr">
        <is>
          <t>2026-08-08</t>
        </is>
      </c>
      <c r="H442" s="19" t="inlineStr">
        <is>
          <t>2</t>
        </is>
      </c>
      <c r="I442" t="inlineStr">
        <is>
          <t>Phase I generated Rev.00 Word file — linked; signatures not completed</t>
        </is>
      </c>
      <c r="J442" t="inlineStr">
        <is>
          <t>2026-08-10T19:29:54Z</t>
        </is>
      </c>
      <c r="K442" t="inlineStr">
        <is>
          <t>2026-08-10T19:49:41Z</t>
        </is>
      </c>
    </row>
    <row r="443">
      <c r="A443" s="19" t="inlineStr">
        <is>
          <t>442</t>
        </is>
      </c>
      <c r="B443" s="19" t="inlineStr">
        <is>
          <t>IA-PPWR-DOC-ST-054-STD-06-R00</t>
        </is>
      </c>
      <c r="C443" t="inlineStr">
        <is>
          <t>IA-PPWR-DOC-ST-054-STD-06-R00</t>
        </is>
      </c>
      <c r="D443" s="19" t="inlineStr">
        <is>
          <t>4</t>
        </is>
      </c>
      <c r="E443" t="inlineStr">
        <is>
          <t>01_STARTER/ST-054-STD-06/02_EU_DoC.docx</t>
        </is>
      </c>
      <c r="F443" t="inlineStr">
        <is>
          <t>812c5fcd9f2b717b8238abec563a57fca895906ba5bb8051ac3ed71186e61f21</t>
        </is>
      </c>
      <c r="G443" t="inlineStr">
        <is>
          <t>2026-08-08</t>
        </is>
      </c>
      <c r="H443" s="19" t="inlineStr">
        <is>
          <t>2</t>
        </is>
      </c>
      <c r="I443" t="inlineStr">
        <is>
          <t>Phase I generated Rev.00 Word file — linked; signatures not completed</t>
        </is>
      </c>
      <c r="J443" t="inlineStr">
        <is>
          <t>2026-08-10T19:29:54Z</t>
        </is>
      </c>
      <c r="K443" t="inlineStr">
        <is>
          <t>2026-08-10T19:49:41Z</t>
        </is>
      </c>
    </row>
    <row r="444">
      <c r="A444" s="19" t="inlineStr">
        <is>
          <t>443</t>
        </is>
      </c>
      <c r="B444" s="19" t="inlineStr">
        <is>
          <t>IA-PPWR-LBL-ST-054-STD-06-R00</t>
        </is>
      </c>
      <c r="C444" t="inlineStr">
        <is>
          <t>IA-PPWR-LBL-ST-054-STD-06-R00</t>
        </is>
      </c>
      <c r="D444" s="19" t="inlineStr">
        <is>
          <t>11</t>
        </is>
      </c>
      <c r="E444" t="inlineStr">
        <is>
          <t>01_STARTER/ST-054-STD-06/03_Label.docx</t>
        </is>
      </c>
      <c r="F444" t="inlineStr">
        <is>
          <t>11ecaea71f82b93f57b9a34797823424ab90c64fb21b82e26d47c7b80b716d73</t>
        </is>
      </c>
      <c r="G444" t="inlineStr">
        <is>
          <t>2026-08-08</t>
        </is>
      </c>
      <c r="H444" s="19" t="inlineStr">
        <is>
          <t>2</t>
        </is>
      </c>
      <c r="I444" t="inlineStr">
        <is>
          <t>Phase I generated Rev.00 Word file — linked; signatures not completed</t>
        </is>
      </c>
      <c r="J444" t="inlineStr">
        <is>
          <t>2026-08-10T19:29:54Z</t>
        </is>
      </c>
      <c r="K444" t="inlineStr">
        <is>
          <t>2026-08-10T19:49:41Z</t>
        </is>
      </c>
    </row>
    <row r="445">
      <c r="A445" s="19" t="inlineStr">
        <is>
          <t>444</t>
        </is>
      </c>
      <c r="B445" s="19" t="inlineStr">
        <is>
          <t>IA-PPWR-STM-ST-054-STD-06-R00</t>
        </is>
      </c>
      <c r="C445" t="inlineStr">
        <is>
          <t>IA-PPWR-STM-ST-054-STD-06-R00</t>
        </is>
      </c>
      <c r="D445" s="19" t="inlineStr">
        <is>
          <t>12</t>
        </is>
      </c>
      <c r="E445" t="inlineStr">
        <is>
          <t>01_STARTER/ST-054-STD-06/04_Shipment_Statement.docx</t>
        </is>
      </c>
      <c r="F445" t="inlineStr">
        <is>
          <t>28b238f3110d38ff6488cecdc01407628ba3b5bf5e7e378133387720c2ebc529</t>
        </is>
      </c>
      <c r="G445" t="inlineStr">
        <is>
          <t>2026-08-08</t>
        </is>
      </c>
      <c r="H445" s="19" t="inlineStr">
        <is>
          <t>2</t>
        </is>
      </c>
      <c r="I445" t="inlineStr">
        <is>
          <t>Phase I generated Rev.00 Word file — linked; signatures not completed</t>
        </is>
      </c>
      <c r="J445" t="inlineStr">
        <is>
          <t>2026-08-10T19:29:54Z</t>
        </is>
      </c>
      <c r="K445" t="inlineStr">
        <is>
          <t>2026-08-10T19:49:41Z</t>
        </is>
      </c>
    </row>
    <row r="446">
      <c r="A446" s="19" t="inlineStr">
        <is>
          <t>445</t>
        </is>
      </c>
      <c r="B446" s="19" t="inlineStr">
        <is>
          <t>IA-PPWR-TF-ST-054-STD-07-R00</t>
        </is>
      </c>
      <c r="C446" t="inlineStr">
        <is>
          <t>IA-PPWR-TF-ST-054-STD-07-R00</t>
        </is>
      </c>
      <c r="D446" s="19" t="inlineStr">
        <is>
          <t>1</t>
        </is>
      </c>
      <c r="E446" t="inlineStr">
        <is>
          <t>01_STARTER/ST-054-STD-07/01_Technical_File.docx</t>
        </is>
      </c>
      <c r="F446" t="inlineStr">
        <is>
          <t>21ebf30e702421c260750e399d82cc3446955ade5b9ae1b64dca649a60607b4c</t>
        </is>
      </c>
      <c r="G446" t="inlineStr">
        <is>
          <t>2026-08-08</t>
        </is>
      </c>
      <c r="H446" s="19" t="inlineStr">
        <is>
          <t>2</t>
        </is>
      </c>
      <c r="I446" t="inlineStr">
        <is>
          <t>Phase I generated Rev.00 Word file — linked; signatures not completed</t>
        </is>
      </c>
      <c r="J446" t="inlineStr">
        <is>
          <t>2026-08-10T19:29:54Z</t>
        </is>
      </c>
      <c r="K446" t="inlineStr">
        <is>
          <t>2026-08-10T19:49:41Z</t>
        </is>
      </c>
    </row>
    <row r="447">
      <c r="A447" s="19" t="inlineStr">
        <is>
          <t>446</t>
        </is>
      </c>
      <c r="B447" s="19" t="inlineStr">
        <is>
          <t>IA-PPWR-DOC-ST-054-STD-07-R00</t>
        </is>
      </c>
      <c r="C447" t="inlineStr">
        <is>
          <t>IA-PPWR-DOC-ST-054-STD-07-R00</t>
        </is>
      </c>
      <c r="D447" s="19" t="inlineStr">
        <is>
          <t>4</t>
        </is>
      </c>
      <c r="E447" t="inlineStr">
        <is>
          <t>01_STARTER/ST-054-STD-07/02_EU_DoC.docx</t>
        </is>
      </c>
      <c r="F447" t="inlineStr">
        <is>
          <t>94f5e6dc2031957c4dfd26badc344888848d463c7d0c0fff1d146f1e784da9f1</t>
        </is>
      </c>
      <c r="G447" t="inlineStr">
        <is>
          <t>2026-08-08</t>
        </is>
      </c>
      <c r="H447" s="19" t="inlineStr">
        <is>
          <t>2</t>
        </is>
      </c>
      <c r="I447" t="inlineStr">
        <is>
          <t>Phase I generated Rev.00 Word file — linked; signatures not completed</t>
        </is>
      </c>
      <c r="J447" t="inlineStr">
        <is>
          <t>2026-08-10T19:29:54Z</t>
        </is>
      </c>
      <c r="K447" t="inlineStr">
        <is>
          <t>2026-08-10T19:49:41Z</t>
        </is>
      </c>
    </row>
    <row r="448">
      <c r="A448" s="19" t="inlineStr">
        <is>
          <t>447</t>
        </is>
      </c>
      <c r="B448" s="19" t="inlineStr">
        <is>
          <t>IA-PPWR-LBL-ST-054-STD-07-R00</t>
        </is>
      </c>
      <c r="C448" t="inlineStr">
        <is>
          <t>IA-PPWR-LBL-ST-054-STD-07-R00</t>
        </is>
      </c>
      <c r="D448" s="19" t="inlineStr">
        <is>
          <t>11</t>
        </is>
      </c>
      <c r="E448" t="inlineStr">
        <is>
          <t>01_STARTER/ST-054-STD-07/03_Label.docx</t>
        </is>
      </c>
      <c r="F448" t="inlineStr">
        <is>
          <t>d0823600f5c55a1eecff1a2fb8cef5234039296632f5ddb22e62173c910eca51</t>
        </is>
      </c>
      <c r="G448" t="inlineStr">
        <is>
          <t>2026-08-08</t>
        </is>
      </c>
      <c r="H448" s="19" t="inlineStr">
        <is>
          <t>2</t>
        </is>
      </c>
      <c r="I448" t="inlineStr">
        <is>
          <t>Phase I generated Rev.00 Word file — linked; signatures not completed</t>
        </is>
      </c>
      <c r="J448" t="inlineStr">
        <is>
          <t>2026-08-10T19:29:54Z</t>
        </is>
      </c>
      <c r="K448" t="inlineStr">
        <is>
          <t>2026-08-10T19:49:41Z</t>
        </is>
      </c>
    </row>
    <row r="449">
      <c r="A449" s="19" t="inlineStr">
        <is>
          <t>448</t>
        </is>
      </c>
      <c r="B449" s="19" t="inlineStr">
        <is>
          <t>IA-PPWR-STM-ST-054-STD-07-R00</t>
        </is>
      </c>
      <c r="C449" t="inlineStr">
        <is>
          <t>IA-PPWR-STM-ST-054-STD-07-R00</t>
        </is>
      </c>
      <c r="D449" s="19" t="inlineStr">
        <is>
          <t>12</t>
        </is>
      </c>
      <c r="E449" t="inlineStr">
        <is>
          <t>01_STARTER/ST-054-STD-07/04_Shipment_Statement.docx</t>
        </is>
      </c>
      <c r="F449" t="inlineStr">
        <is>
          <t>6fece8147842138962f79ad2fa1777c8669e584c630420d50bf77c9ce3b964da</t>
        </is>
      </c>
      <c r="G449" t="inlineStr">
        <is>
          <t>2026-08-08</t>
        </is>
      </c>
      <c r="H449" s="19" t="inlineStr">
        <is>
          <t>2</t>
        </is>
      </c>
      <c r="I449" t="inlineStr">
        <is>
          <t>Phase I generated Rev.00 Word file — linked; signatures not completed</t>
        </is>
      </c>
      <c r="J449" t="inlineStr">
        <is>
          <t>2026-08-10T19:29:54Z</t>
        </is>
      </c>
      <c r="K449" t="inlineStr">
        <is>
          <t>2026-08-10T19:49:41Z</t>
        </is>
      </c>
    </row>
    <row r="450">
      <c r="A450" s="19" t="inlineStr">
        <is>
          <t>449</t>
        </is>
      </c>
      <c r="B450" s="19" t="inlineStr">
        <is>
          <t>IA-PPWR-TF-ST-054-STD-08-R00</t>
        </is>
      </c>
      <c r="C450" t="inlineStr">
        <is>
          <t>IA-PPWR-TF-ST-054-STD-08-R00</t>
        </is>
      </c>
      <c r="D450" s="19" t="inlineStr">
        <is>
          <t>1</t>
        </is>
      </c>
      <c r="E450" t="inlineStr">
        <is>
          <t>01_STARTER/ST-054-STD-08/01_Technical_File.docx</t>
        </is>
      </c>
      <c r="F450" t="inlineStr">
        <is>
          <t>a9c57390d26dbae836ae9da78cd179553ecf88bf4d519f1f86aa619000bebcb1</t>
        </is>
      </c>
      <c r="G450" t="inlineStr">
        <is>
          <t>2026-08-08</t>
        </is>
      </c>
      <c r="H450" s="19" t="inlineStr">
        <is>
          <t>2</t>
        </is>
      </c>
      <c r="I450" t="inlineStr">
        <is>
          <t>Phase I generated Rev.00 Word file — linked; signatures not completed</t>
        </is>
      </c>
      <c r="J450" t="inlineStr">
        <is>
          <t>2026-08-10T19:29:54Z</t>
        </is>
      </c>
      <c r="K450" t="inlineStr">
        <is>
          <t>2026-08-10T19:49:41Z</t>
        </is>
      </c>
    </row>
    <row r="451">
      <c r="A451" s="19" t="inlineStr">
        <is>
          <t>450</t>
        </is>
      </c>
      <c r="B451" s="19" t="inlineStr">
        <is>
          <t>IA-PPWR-DOC-ST-054-STD-08-R00</t>
        </is>
      </c>
      <c r="C451" t="inlineStr">
        <is>
          <t>IA-PPWR-DOC-ST-054-STD-08-R00</t>
        </is>
      </c>
      <c r="D451" s="19" t="inlineStr">
        <is>
          <t>4</t>
        </is>
      </c>
      <c r="E451" t="inlineStr">
        <is>
          <t>01_STARTER/ST-054-STD-08/02_EU_DoC.docx</t>
        </is>
      </c>
      <c r="F451" t="inlineStr">
        <is>
          <t>e088fd3169d4cb040423472e2e12ac80e52ceb6f20c853ab98b3b2c5047d2da3</t>
        </is>
      </c>
      <c r="G451" t="inlineStr">
        <is>
          <t>2026-08-08</t>
        </is>
      </c>
      <c r="H451" s="19" t="inlineStr">
        <is>
          <t>2</t>
        </is>
      </c>
      <c r="I451" t="inlineStr">
        <is>
          <t>Phase I generated Rev.00 Word file — linked; signatures not completed</t>
        </is>
      </c>
      <c r="J451" t="inlineStr">
        <is>
          <t>2026-08-10T19:29:54Z</t>
        </is>
      </c>
      <c r="K451" t="inlineStr">
        <is>
          <t>2026-08-10T19:49:41Z</t>
        </is>
      </c>
    </row>
    <row r="452">
      <c r="A452" s="19" t="inlineStr">
        <is>
          <t>451</t>
        </is>
      </c>
      <c r="B452" s="19" t="inlineStr">
        <is>
          <t>IA-PPWR-LBL-ST-054-STD-08-R00</t>
        </is>
      </c>
      <c r="C452" t="inlineStr">
        <is>
          <t>IA-PPWR-LBL-ST-054-STD-08-R00</t>
        </is>
      </c>
      <c r="D452" s="19" t="inlineStr">
        <is>
          <t>11</t>
        </is>
      </c>
      <c r="E452" t="inlineStr">
        <is>
          <t>01_STARTER/ST-054-STD-08/03_Label.docx</t>
        </is>
      </c>
      <c r="F452" t="inlineStr">
        <is>
          <t>701770d94ebcfb23cf4f6b0f05d064eb7ec80291537e0f38c488a90b9976ef3e</t>
        </is>
      </c>
      <c r="G452" t="inlineStr">
        <is>
          <t>2026-08-08</t>
        </is>
      </c>
      <c r="H452" s="19" t="inlineStr">
        <is>
          <t>2</t>
        </is>
      </c>
      <c r="I452" t="inlineStr">
        <is>
          <t>Phase I generated Rev.00 Word file — linked; signatures not completed</t>
        </is>
      </c>
      <c r="J452" t="inlineStr">
        <is>
          <t>2026-08-10T19:29:54Z</t>
        </is>
      </c>
      <c r="K452" t="inlineStr">
        <is>
          <t>2026-08-10T19:49:41Z</t>
        </is>
      </c>
    </row>
    <row r="453">
      <c r="A453" s="19" t="inlineStr">
        <is>
          <t>452</t>
        </is>
      </c>
      <c r="B453" s="19" t="inlineStr">
        <is>
          <t>IA-PPWR-STM-ST-054-STD-08-R00</t>
        </is>
      </c>
      <c r="C453" t="inlineStr">
        <is>
          <t>IA-PPWR-STM-ST-054-STD-08-R00</t>
        </is>
      </c>
      <c r="D453" s="19" t="inlineStr">
        <is>
          <t>12</t>
        </is>
      </c>
      <c r="E453" t="inlineStr">
        <is>
          <t>01_STARTER/ST-054-STD-08/04_Shipment_Statement.docx</t>
        </is>
      </c>
      <c r="F453" t="inlineStr">
        <is>
          <t>55ee7cea2ee60c00dba040da5a177db0807303a5c4acbb2e3f97ae4263c47250</t>
        </is>
      </c>
      <c r="G453" t="inlineStr">
        <is>
          <t>2026-08-08</t>
        </is>
      </c>
      <c r="H453" s="19" t="inlineStr">
        <is>
          <t>2</t>
        </is>
      </c>
      <c r="I453" t="inlineStr">
        <is>
          <t>Phase I generated Rev.00 Word file — linked; signatures not completed</t>
        </is>
      </c>
      <c r="J453" t="inlineStr">
        <is>
          <t>2026-08-10T19:29:54Z</t>
        </is>
      </c>
      <c r="K453" t="inlineStr">
        <is>
          <t>2026-08-10T19:49:41Z</t>
        </is>
      </c>
    </row>
    <row r="454">
      <c r="A454" s="19" t="inlineStr">
        <is>
          <t>453</t>
        </is>
      </c>
      <c r="B454" s="19" t="inlineStr">
        <is>
          <t>IA-PPWR-TF-ST-054-STD-09-R00</t>
        </is>
      </c>
      <c r="C454" t="inlineStr">
        <is>
          <t>IA-PPWR-TF-ST-054-STD-09-R00</t>
        </is>
      </c>
      <c r="D454" s="19" t="inlineStr">
        <is>
          <t>1</t>
        </is>
      </c>
      <c r="E454" t="inlineStr">
        <is>
          <t>01_STARTER/ST-054-STD-09/01_Technical_File.docx</t>
        </is>
      </c>
      <c r="F454" t="inlineStr">
        <is>
          <t>b0d90591037450bfc06560d78846299edef96ade67a249ffb06433093fb2d485</t>
        </is>
      </c>
      <c r="G454" t="inlineStr">
        <is>
          <t>2026-08-08</t>
        </is>
      </c>
      <c r="H454" s="19" t="inlineStr">
        <is>
          <t>2</t>
        </is>
      </c>
      <c r="I454" t="inlineStr">
        <is>
          <t>Phase I generated Rev.00 Word file — linked; signatures not completed</t>
        </is>
      </c>
      <c r="J454" t="inlineStr">
        <is>
          <t>2026-08-10T19:29:54Z</t>
        </is>
      </c>
      <c r="K454" t="inlineStr">
        <is>
          <t>2026-08-10T19:49:41Z</t>
        </is>
      </c>
    </row>
    <row r="455">
      <c r="A455" s="19" t="inlineStr">
        <is>
          <t>454</t>
        </is>
      </c>
      <c r="B455" s="19" t="inlineStr">
        <is>
          <t>IA-PPWR-DOC-ST-054-STD-09-R00</t>
        </is>
      </c>
      <c r="C455" t="inlineStr">
        <is>
          <t>IA-PPWR-DOC-ST-054-STD-09-R00</t>
        </is>
      </c>
      <c r="D455" s="19" t="inlineStr">
        <is>
          <t>4</t>
        </is>
      </c>
      <c r="E455" t="inlineStr">
        <is>
          <t>01_STARTER/ST-054-STD-09/02_EU_DoC.docx</t>
        </is>
      </c>
      <c r="F455" t="inlineStr">
        <is>
          <t>4bc25bb36953ebcf7e3086e3f3cebe16a98f89af2da740fccc03871d4cb35117</t>
        </is>
      </c>
      <c r="G455" t="inlineStr">
        <is>
          <t>2026-08-08</t>
        </is>
      </c>
      <c r="H455" s="19" t="inlineStr">
        <is>
          <t>2</t>
        </is>
      </c>
      <c r="I455" t="inlineStr">
        <is>
          <t>Phase I generated Rev.00 Word file — linked; signatures not completed</t>
        </is>
      </c>
      <c r="J455" t="inlineStr">
        <is>
          <t>2026-08-10T19:29:54Z</t>
        </is>
      </c>
      <c r="K455" t="inlineStr">
        <is>
          <t>2026-08-10T19:49:41Z</t>
        </is>
      </c>
    </row>
    <row r="456">
      <c r="A456" s="19" t="inlineStr">
        <is>
          <t>455</t>
        </is>
      </c>
      <c r="B456" s="19" t="inlineStr">
        <is>
          <t>IA-PPWR-LBL-ST-054-STD-09-R00</t>
        </is>
      </c>
      <c r="C456" t="inlineStr">
        <is>
          <t>IA-PPWR-LBL-ST-054-STD-09-R00</t>
        </is>
      </c>
      <c r="D456" s="19" t="inlineStr">
        <is>
          <t>11</t>
        </is>
      </c>
      <c r="E456" t="inlineStr">
        <is>
          <t>01_STARTER/ST-054-STD-09/03_Label.docx</t>
        </is>
      </c>
      <c r="F456" t="inlineStr">
        <is>
          <t>390addf33f27c87f3d7e5dc5ef2cabeae50ce1226b203fc4b6b2e48bda9e5126</t>
        </is>
      </c>
      <c r="G456" t="inlineStr">
        <is>
          <t>2026-08-08</t>
        </is>
      </c>
      <c r="H456" s="19" t="inlineStr">
        <is>
          <t>2</t>
        </is>
      </c>
      <c r="I456" t="inlineStr">
        <is>
          <t>Phase I generated Rev.00 Word file — linked; signatures not completed</t>
        </is>
      </c>
      <c r="J456" t="inlineStr">
        <is>
          <t>2026-08-10T19:29:54Z</t>
        </is>
      </c>
      <c r="K456" t="inlineStr">
        <is>
          <t>2026-08-10T19:49:41Z</t>
        </is>
      </c>
    </row>
    <row r="457">
      <c r="A457" s="19" t="inlineStr">
        <is>
          <t>456</t>
        </is>
      </c>
      <c r="B457" s="19" t="inlineStr">
        <is>
          <t>IA-PPWR-STM-ST-054-STD-09-R00</t>
        </is>
      </c>
      <c r="C457" t="inlineStr">
        <is>
          <t>IA-PPWR-STM-ST-054-STD-09-R00</t>
        </is>
      </c>
      <c r="D457" s="19" t="inlineStr">
        <is>
          <t>12</t>
        </is>
      </c>
      <c r="E457" t="inlineStr">
        <is>
          <t>01_STARTER/ST-054-STD-09/04_Shipment_Statement.docx</t>
        </is>
      </c>
      <c r="F457" t="inlineStr">
        <is>
          <t>166a9ba646ff0996bb0afc67724480e2bc852c42f241606f8901c2e7ce27c165</t>
        </is>
      </c>
      <c r="G457" t="inlineStr">
        <is>
          <t>2026-08-08</t>
        </is>
      </c>
      <c r="H457" s="19" t="inlineStr">
        <is>
          <t>2</t>
        </is>
      </c>
      <c r="I457" t="inlineStr">
        <is>
          <t>Phase I generated Rev.00 Word file — linked; signatures not completed</t>
        </is>
      </c>
      <c r="J457" t="inlineStr">
        <is>
          <t>2026-08-10T19:29:54Z</t>
        </is>
      </c>
      <c r="K457" t="inlineStr">
        <is>
          <t>2026-08-10T19:49:41Z</t>
        </is>
      </c>
    </row>
    <row r="458">
      <c r="A458" s="19" t="inlineStr">
        <is>
          <t>457</t>
        </is>
      </c>
      <c r="B458" s="19" t="inlineStr">
        <is>
          <t>IA-PPWR-TF-ST-054-STD-10-R00</t>
        </is>
      </c>
      <c r="C458" t="inlineStr">
        <is>
          <t>IA-PPWR-TF-ST-054-STD-10-R00</t>
        </is>
      </c>
      <c r="D458" s="19" t="inlineStr">
        <is>
          <t>1</t>
        </is>
      </c>
      <c r="E458" t="inlineStr">
        <is>
          <t>01_STARTER/ST-054-STD-10/01_Technical_File.docx</t>
        </is>
      </c>
      <c r="F458" t="inlineStr">
        <is>
          <t>a9027e44d098fea2e314349f30a7f00b0c80c9cae26c2b6c5d5b6461876558d8</t>
        </is>
      </c>
      <c r="G458" t="inlineStr">
        <is>
          <t>2026-08-08</t>
        </is>
      </c>
      <c r="H458" s="19" t="inlineStr">
        <is>
          <t>2</t>
        </is>
      </c>
      <c r="I458" t="inlineStr">
        <is>
          <t>Phase I generated Rev.00 Word file — linked; signatures not completed</t>
        </is>
      </c>
      <c r="J458" t="inlineStr">
        <is>
          <t>2026-08-10T19:29:54Z</t>
        </is>
      </c>
      <c r="K458" t="inlineStr">
        <is>
          <t>2026-08-10T19:49:41Z</t>
        </is>
      </c>
    </row>
    <row r="459">
      <c r="A459" s="19" t="inlineStr">
        <is>
          <t>458</t>
        </is>
      </c>
      <c r="B459" s="19" t="inlineStr">
        <is>
          <t>IA-PPWR-DOC-ST-054-STD-10-R00</t>
        </is>
      </c>
      <c r="C459" t="inlineStr">
        <is>
          <t>IA-PPWR-DOC-ST-054-STD-10-R00</t>
        </is>
      </c>
      <c r="D459" s="19" t="inlineStr">
        <is>
          <t>4</t>
        </is>
      </c>
      <c r="E459" t="inlineStr">
        <is>
          <t>01_STARTER/ST-054-STD-10/02_EU_DoC.docx</t>
        </is>
      </c>
      <c r="F459" t="inlineStr">
        <is>
          <t>72eccd3f65b384b690b07dc0f96fc0cf95425e1e458410dfe3065d9e11c88928</t>
        </is>
      </c>
      <c r="G459" t="inlineStr">
        <is>
          <t>2026-08-08</t>
        </is>
      </c>
      <c r="H459" s="19" t="inlineStr">
        <is>
          <t>2</t>
        </is>
      </c>
      <c r="I459" t="inlineStr">
        <is>
          <t>Phase I generated Rev.00 Word file — linked; signatures not completed</t>
        </is>
      </c>
      <c r="J459" t="inlineStr">
        <is>
          <t>2026-08-10T19:29:54Z</t>
        </is>
      </c>
      <c r="K459" t="inlineStr">
        <is>
          <t>2026-08-10T19:49:41Z</t>
        </is>
      </c>
    </row>
    <row r="460">
      <c r="A460" s="19" t="inlineStr">
        <is>
          <t>459</t>
        </is>
      </c>
      <c r="B460" s="19" t="inlineStr">
        <is>
          <t>IA-PPWR-LBL-ST-054-STD-10-R00</t>
        </is>
      </c>
      <c r="C460" t="inlineStr">
        <is>
          <t>IA-PPWR-LBL-ST-054-STD-10-R00</t>
        </is>
      </c>
      <c r="D460" s="19" t="inlineStr">
        <is>
          <t>11</t>
        </is>
      </c>
      <c r="E460" t="inlineStr">
        <is>
          <t>01_STARTER/ST-054-STD-10/03_Label.docx</t>
        </is>
      </c>
      <c r="F460" t="inlineStr">
        <is>
          <t>07d2b008c31e6d512759c1e6b79a9b49e7a8284849485958b3685ee6abb903a0</t>
        </is>
      </c>
      <c r="G460" t="inlineStr">
        <is>
          <t>2026-08-08</t>
        </is>
      </c>
      <c r="H460" s="19" t="inlineStr">
        <is>
          <t>2</t>
        </is>
      </c>
      <c r="I460" t="inlineStr">
        <is>
          <t>Phase I generated Rev.00 Word file — linked; signatures not completed</t>
        </is>
      </c>
      <c r="J460" t="inlineStr">
        <is>
          <t>2026-08-10T19:29:54Z</t>
        </is>
      </c>
      <c r="K460" t="inlineStr">
        <is>
          <t>2026-08-10T19:49:41Z</t>
        </is>
      </c>
    </row>
    <row r="461">
      <c r="A461" s="19" t="inlineStr">
        <is>
          <t>460</t>
        </is>
      </c>
      <c r="B461" s="19" t="inlineStr">
        <is>
          <t>IA-PPWR-STM-ST-054-STD-10-R00</t>
        </is>
      </c>
      <c r="C461" t="inlineStr">
        <is>
          <t>IA-PPWR-STM-ST-054-STD-10-R00</t>
        </is>
      </c>
      <c r="D461" s="19" t="inlineStr">
        <is>
          <t>12</t>
        </is>
      </c>
      <c r="E461" t="inlineStr">
        <is>
          <t>01_STARTER/ST-054-STD-10/04_Shipment_Statement.docx</t>
        </is>
      </c>
      <c r="F461" t="inlineStr">
        <is>
          <t>24b044259207b1146a39e9e7bd5a7ff2df645e6f387199d5fa5656beeb49d2e3</t>
        </is>
      </c>
      <c r="G461" t="inlineStr">
        <is>
          <t>2026-08-08</t>
        </is>
      </c>
      <c r="H461" s="19" t="inlineStr">
        <is>
          <t>2</t>
        </is>
      </c>
      <c r="I461" t="inlineStr">
        <is>
          <t>Phase I generated Rev.00 Word file — linked; signatures not completed</t>
        </is>
      </c>
      <c r="J461" t="inlineStr">
        <is>
          <t>2026-08-10T19:29:54Z</t>
        </is>
      </c>
      <c r="K461" t="inlineStr">
        <is>
          <t>2026-08-10T19:49:41Z</t>
        </is>
      </c>
    </row>
    <row r="462">
      <c r="A462" s="19" t="inlineStr">
        <is>
          <t>461</t>
        </is>
      </c>
      <c r="B462" s="19" t="inlineStr">
        <is>
          <t>IA-PPWR-TF-ST-054-STD-11-R00</t>
        </is>
      </c>
      <c r="C462" t="inlineStr">
        <is>
          <t>IA-PPWR-TF-ST-054-STD-11-R00</t>
        </is>
      </c>
      <c r="D462" s="19" t="inlineStr">
        <is>
          <t>1</t>
        </is>
      </c>
      <c r="E462" t="inlineStr">
        <is>
          <t>01_STARTER/ST-054-STD-11/01_Technical_File.docx</t>
        </is>
      </c>
      <c r="F462" t="inlineStr">
        <is>
          <t>df7a0dd673c2f0cb8e758464bfc9e0e88f90abf8e99b8a458dc97e9ee9755998</t>
        </is>
      </c>
      <c r="G462" t="inlineStr">
        <is>
          <t>2026-08-08</t>
        </is>
      </c>
      <c r="H462" s="19" t="inlineStr">
        <is>
          <t>2</t>
        </is>
      </c>
      <c r="I462" t="inlineStr">
        <is>
          <t>Phase I generated Rev.00 Word file — linked; signatures not completed</t>
        </is>
      </c>
      <c r="J462" t="inlineStr">
        <is>
          <t>2026-08-10T19:29:54Z</t>
        </is>
      </c>
      <c r="K462" t="inlineStr">
        <is>
          <t>2026-08-10T19:49:41Z</t>
        </is>
      </c>
    </row>
    <row r="463">
      <c r="A463" s="19" t="inlineStr">
        <is>
          <t>462</t>
        </is>
      </c>
      <c r="B463" s="19" t="inlineStr">
        <is>
          <t>IA-PPWR-DOC-ST-054-STD-11-R00</t>
        </is>
      </c>
      <c r="C463" t="inlineStr">
        <is>
          <t>IA-PPWR-DOC-ST-054-STD-11-R00</t>
        </is>
      </c>
      <c r="D463" s="19" t="inlineStr">
        <is>
          <t>4</t>
        </is>
      </c>
      <c r="E463" t="inlineStr">
        <is>
          <t>01_STARTER/ST-054-STD-11/02_EU_DoC.docx</t>
        </is>
      </c>
      <c r="F463" t="inlineStr">
        <is>
          <t>0cbc03e20a50d13b5c3287c96008b9db1ceb5b40885f9c2241a18e89cef96aa1</t>
        </is>
      </c>
      <c r="G463" t="inlineStr">
        <is>
          <t>2026-08-08</t>
        </is>
      </c>
      <c r="H463" s="19" t="inlineStr">
        <is>
          <t>2</t>
        </is>
      </c>
      <c r="I463" t="inlineStr">
        <is>
          <t>Phase I generated Rev.00 Word file — linked; signatures not completed</t>
        </is>
      </c>
      <c r="J463" t="inlineStr">
        <is>
          <t>2026-08-10T19:29:54Z</t>
        </is>
      </c>
      <c r="K463" t="inlineStr">
        <is>
          <t>2026-08-10T19:49:41Z</t>
        </is>
      </c>
    </row>
    <row r="464">
      <c r="A464" s="19" t="inlineStr">
        <is>
          <t>463</t>
        </is>
      </c>
      <c r="B464" s="19" t="inlineStr">
        <is>
          <t>IA-PPWR-LBL-ST-054-STD-11-R00</t>
        </is>
      </c>
      <c r="C464" t="inlineStr">
        <is>
          <t>IA-PPWR-LBL-ST-054-STD-11-R00</t>
        </is>
      </c>
      <c r="D464" s="19" t="inlineStr">
        <is>
          <t>11</t>
        </is>
      </c>
      <c r="E464" t="inlineStr">
        <is>
          <t>01_STARTER/ST-054-STD-11/03_Label.docx</t>
        </is>
      </c>
      <c r="F464" t="inlineStr">
        <is>
          <t>006e569f0560f19caf3aa0b723f5b5e76fa00aaf9657ed0d28e0e909ed5eedea</t>
        </is>
      </c>
      <c r="G464" t="inlineStr">
        <is>
          <t>2026-08-08</t>
        </is>
      </c>
      <c r="H464" s="19" t="inlineStr">
        <is>
          <t>2</t>
        </is>
      </c>
      <c r="I464" t="inlineStr">
        <is>
          <t>Phase I generated Rev.00 Word file — linked; signatures not completed</t>
        </is>
      </c>
      <c r="J464" t="inlineStr">
        <is>
          <t>2026-08-10T19:29:54Z</t>
        </is>
      </c>
      <c r="K464" t="inlineStr">
        <is>
          <t>2026-08-10T19:49:41Z</t>
        </is>
      </c>
    </row>
    <row r="465">
      <c r="A465" s="19" t="inlineStr">
        <is>
          <t>464</t>
        </is>
      </c>
      <c r="B465" s="19" t="inlineStr">
        <is>
          <t>IA-PPWR-STM-ST-054-STD-11-R00</t>
        </is>
      </c>
      <c r="C465" t="inlineStr">
        <is>
          <t>IA-PPWR-STM-ST-054-STD-11-R00</t>
        </is>
      </c>
      <c r="D465" s="19" t="inlineStr">
        <is>
          <t>12</t>
        </is>
      </c>
      <c r="E465" t="inlineStr">
        <is>
          <t>01_STARTER/ST-054-STD-11/04_Shipment_Statement.docx</t>
        </is>
      </c>
      <c r="F465" t="inlineStr">
        <is>
          <t>736c813bba19ba11ce507a255f23107d5eb4d97ad0bdb6c8ca5b096e3846cfd8</t>
        </is>
      </c>
      <c r="G465" t="inlineStr">
        <is>
          <t>2026-08-08</t>
        </is>
      </c>
      <c r="H465" s="19" t="inlineStr">
        <is>
          <t>2</t>
        </is>
      </c>
      <c r="I465" t="inlineStr">
        <is>
          <t>Phase I generated Rev.00 Word file — linked; signatures not completed</t>
        </is>
      </c>
      <c r="J465" t="inlineStr">
        <is>
          <t>2026-08-10T19:29:54Z</t>
        </is>
      </c>
      <c r="K465" t="inlineStr">
        <is>
          <t>2026-08-10T19:49:41Z</t>
        </is>
      </c>
    </row>
    <row r="466">
      <c r="A466" s="19" t="inlineStr">
        <is>
          <t>465</t>
        </is>
      </c>
      <c r="B466" s="19" t="inlineStr">
        <is>
          <t>IA-PPWR-TF-ST-054-STD-12-R00</t>
        </is>
      </c>
      <c r="C466" t="inlineStr">
        <is>
          <t>IA-PPWR-TF-ST-054-STD-12-R00</t>
        </is>
      </c>
      <c r="D466" s="19" t="inlineStr">
        <is>
          <t>1</t>
        </is>
      </c>
      <c r="E466" t="inlineStr">
        <is>
          <t>01_STARTER/ST-054-STD-12/01_Technical_File.docx</t>
        </is>
      </c>
      <c r="F466" t="inlineStr">
        <is>
          <t>36dd8b56ce0d09945eb87fbf4d389c6a6ed62ba6117d71c89b6fac4bbec35933</t>
        </is>
      </c>
      <c r="G466" t="inlineStr">
        <is>
          <t>2026-08-08</t>
        </is>
      </c>
      <c r="H466" s="19" t="inlineStr">
        <is>
          <t>2</t>
        </is>
      </c>
      <c r="I466" t="inlineStr">
        <is>
          <t>Phase I generated Rev.00 Word file — linked; signatures not completed</t>
        </is>
      </c>
      <c r="J466" t="inlineStr">
        <is>
          <t>2026-08-10T19:29:54Z</t>
        </is>
      </c>
      <c r="K466" t="inlineStr">
        <is>
          <t>2026-08-10T19:49:41Z</t>
        </is>
      </c>
    </row>
    <row r="467">
      <c r="A467" s="19" t="inlineStr">
        <is>
          <t>466</t>
        </is>
      </c>
      <c r="B467" s="19" t="inlineStr">
        <is>
          <t>IA-PPWR-DOC-ST-054-STD-12-R00</t>
        </is>
      </c>
      <c r="C467" t="inlineStr">
        <is>
          <t>IA-PPWR-DOC-ST-054-STD-12-R00</t>
        </is>
      </c>
      <c r="D467" s="19" t="inlineStr">
        <is>
          <t>4</t>
        </is>
      </c>
      <c r="E467" t="inlineStr">
        <is>
          <t>01_STARTER/ST-054-STD-12/02_EU_DoC.docx</t>
        </is>
      </c>
      <c r="F467" t="inlineStr">
        <is>
          <t>5f5a7b3a8f892816585728c77026081f7c5b7f1ad26e1f01f4735aebca03ba1c</t>
        </is>
      </c>
      <c r="G467" t="inlineStr">
        <is>
          <t>2026-08-08</t>
        </is>
      </c>
      <c r="H467" s="19" t="inlineStr">
        <is>
          <t>2</t>
        </is>
      </c>
      <c r="I467" t="inlineStr">
        <is>
          <t>Phase I generated Rev.00 Word file — linked; signatures not completed</t>
        </is>
      </c>
      <c r="J467" t="inlineStr">
        <is>
          <t>2026-08-10T19:29:54Z</t>
        </is>
      </c>
      <c r="K467" t="inlineStr">
        <is>
          <t>2026-08-10T19:49:41Z</t>
        </is>
      </c>
    </row>
    <row r="468">
      <c r="A468" s="19" t="inlineStr">
        <is>
          <t>467</t>
        </is>
      </c>
      <c r="B468" s="19" t="inlineStr">
        <is>
          <t>IA-PPWR-LBL-ST-054-STD-12-R00</t>
        </is>
      </c>
      <c r="C468" t="inlineStr">
        <is>
          <t>IA-PPWR-LBL-ST-054-STD-12-R00</t>
        </is>
      </c>
      <c r="D468" s="19" t="inlineStr">
        <is>
          <t>11</t>
        </is>
      </c>
      <c r="E468" t="inlineStr">
        <is>
          <t>01_STARTER/ST-054-STD-12/03_Label.docx</t>
        </is>
      </c>
      <c r="F468" t="inlineStr">
        <is>
          <t>5503cdb4c4c0fdc610dca012882a534188b0ef269c59f88219001491224c5e3e</t>
        </is>
      </c>
      <c r="G468" t="inlineStr">
        <is>
          <t>2026-08-08</t>
        </is>
      </c>
      <c r="H468" s="19" t="inlineStr">
        <is>
          <t>2</t>
        </is>
      </c>
      <c r="I468" t="inlineStr">
        <is>
          <t>Phase I generated Rev.00 Word file — linked; signatures not completed</t>
        </is>
      </c>
      <c r="J468" t="inlineStr">
        <is>
          <t>2026-08-10T19:29:54Z</t>
        </is>
      </c>
      <c r="K468" t="inlineStr">
        <is>
          <t>2026-08-10T19:49:41Z</t>
        </is>
      </c>
    </row>
    <row r="469">
      <c r="A469" s="19" t="inlineStr">
        <is>
          <t>468</t>
        </is>
      </c>
      <c r="B469" s="19" t="inlineStr">
        <is>
          <t>IA-PPWR-STM-ST-054-STD-12-R00</t>
        </is>
      </c>
      <c r="C469" t="inlineStr">
        <is>
          <t>IA-PPWR-STM-ST-054-STD-12-R00</t>
        </is>
      </c>
      <c r="D469" s="19" t="inlineStr">
        <is>
          <t>12</t>
        </is>
      </c>
      <c r="E469" t="inlineStr">
        <is>
          <t>01_STARTER/ST-054-STD-12/04_Shipment_Statement.docx</t>
        </is>
      </c>
      <c r="F469" t="inlineStr">
        <is>
          <t>ec6dbcf2e1b3e298c0ca092c136fb3cde4b375d344299e75ff7ef13870bfa42f</t>
        </is>
      </c>
      <c r="G469" t="inlineStr">
        <is>
          <t>2026-08-08</t>
        </is>
      </c>
      <c r="H469" s="19" t="inlineStr">
        <is>
          <t>2</t>
        </is>
      </c>
      <c r="I469" t="inlineStr">
        <is>
          <t>Phase I generated Rev.00 Word file — linked; signatures not completed</t>
        </is>
      </c>
      <c r="J469" t="inlineStr">
        <is>
          <t>2026-08-10T19:29:54Z</t>
        </is>
      </c>
      <c r="K469" t="inlineStr">
        <is>
          <t>2026-08-10T19:49:41Z</t>
        </is>
      </c>
    </row>
    <row r="470">
      <c r="A470" s="19" t="inlineStr">
        <is>
          <t>469</t>
        </is>
      </c>
      <c r="B470" s="19" t="inlineStr">
        <is>
          <t>IA-PPWR-TF-ST-056-EUR-01-R00</t>
        </is>
      </c>
      <c r="C470" t="inlineStr">
        <is>
          <t>IA-PPWR-TF-ST-056-EUR-01-R00</t>
        </is>
      </c>
      <c r="D470" s="19" t="inlineStr">
        <is>
          <t>1</t>
        </is>
      </c>
      <c r="E470" t="inlineStr">
        <is>
          <t>01_STARTER/ST-056-EUR-01/01_Technical_File.docx</t>
        </is>
      </c>
      <c r="F470" t="inlineStr">
        <is>
          <t>b6e05df9757312e070ef28cef4e68c92b81a2eb626e5e4843e0afb094570dddf</t>
        </is>
      </c>
      <c r="G470" t="inlineStr">
        <is>
          <t>2026-08-08</t>
        </is>
      </c>
      <c r="H470" s="19" t="inlineStr">
        <is>
          <t>2</t>
        </is>
      </c>
      <c r="I470" t="inlineStr">
        <is>
          <t>Phase I generated Rev.00 Word file — linked; signatures not completed</t>
        </is>
      </c>
      <c r="J470" t="inlineStr">
        <is>
          <t>2026-08-10T19:29:54Z</t>
        </is>
      </c>
      <c r="K470" t="inlineStr">
        <is>
          <t>2026-08-10T19:49:41Z</t>
        </is>
      </c>
    </row>
    <row r="471">
      <c r="A471" s="19" t="inlineStr">
        <is>
          <t>470</t>
        </is>
      </c>
      <c r="B471" s="19" t="inlineStr">
        <is>
          <t>IA-PPWR-DOC-ST-056-EUR-01-R00</t>
        </is>
      </c>
      <c r="C471" t="inlineStr">
        <is>
          <t>IA-PPWR-DOC-ST-056-EUR-01-R00</t>
        </is>
      </c>
      <c r="D471" s="19" t="inlineStr">
        <is>
          <t>4</t>
        </is>
      </c>
      <c r="E471" t="inlineStr">
        <is>
          <t>01_STARTER/ST-056-EUR-01/02_EU_DoC.docx</t>
        </is>
      </c>
      <c r="F471" t="inlineStr">
        <is>
          <t>7ce6153da58b9b0e118e6047782d89b855509dd045056d6520e74349ca1829a7</t>
        </is>
      </c>
      <c r="G471" t="inlineStr">
        <is>
          <t>2026-08-08</t>
        </is>
      </c>
      <c r="H471" s="19" t="inlineStr">
        <is>
          <t>2</t>
        </is>
      </c>
      <c r="I471" t="inlineStr">
        <is>
          <t>Phase I generated Rev.00 Word file — linked; signatures not completed</t>
        </is>
      </c>
      <c r="J471" t="inlineStr">
        <is>
          <t>2026-08-10T19:29:54Z</t>
        </is>
      </c>
      <c r="K471" t="inlineStr">
        <is>
          <t>2026-08-10T19:49:41Z</t>
        </is>
      </c>
    </row>
    <row r="472">
      <c r="A472" s="19" t="inlineStr">
        <is>
          <t>471</t>
        </is>
      </c>
      <c r="B472" s="19" t="inlineStr">
        <is>
          <t>IA-PPWR-LBL-ST-056-EUR-01-R00</t>
        </is>
      </c>
      <c r="C472" t="inlineStr">
        <is>
          <t>IA-PPWR-LBL-ST-056-EUR-01-R00</t>
        </is>
      </c>
      <c r="D472" s="19" t="inlineStr">
        <is>
          <t>11</t>
        </is>
      </c>
      <c r="E472" t="inlineStr">
        <is>
          <t>01_STARTER/ST-056-EUR-01/03_Label.docx</t>
        </is>
      </c>
      <c r="F472" t="inlineStr">
        <is>
          <t>548b503258cbab60fdf91a9d7143d2d83e7ce5bf490f6bb1d1d6d466ab23a165</t>
        </is>
      </c>
      <c r="G472" t="inlineStr">
        <is>
          <t>2026-08-08</t>
        </is>
      </c>
      <c r="H472" s="19" t="inlineStr">
        <is>
          <t>2</t>
        </is>
      </c>
      <c r="I472" t="inlineStr">
        <is>
          <t>Phase I generated Rev.00 Word file — linked; signatures not completed</t>
        </is>
      </c>
      <c r="J472" t="inlineStr">
        <is>
          <t>2026-08-10T19:29:54Z</t>
        </is>
      </c>
      <c r="K472" t="inlineStr">
        <is>
          <t>2026-08-10T19:49:41Z</t>
        </is>
      </c>
    </row>
    <row r="473">
      <c r="A473" s="19" t="inlineStr">
        <is>
          <t>472</t>
        </is>
      </c>
      <c r="B473" s="19" t="inlineStr">
        <is>
          <t>IA-PPWR-STM-ST-056-EUR-01-R00</t>
        </is>
      </c>
      <c r="C473" t="inlineStr">
        <is>
          <t>IA-PPWR-STM-ST-056-EUR-01-R00</t>
        </is>
      </c>
      <c r="D473" s="19" t="inlineStr">
        <is>
          <t>12</t>
        </is>
      </c>
      <c r="E473" t="inlineStr">
        <is>
          <t>01_STARTER/ST-056-EUR-01/04_Shipment_Statement.docx</t>
        </is>
      </c>
      <c r="F473" t="inlineStr">
        <is>
          <t>b728f3ee1681cba5f8c9aeb9836aaacaaaccfc588d3c8000e5677c8ed6f1852a</t>
        </is>
      </c>
      <c r="G473" t="inlineStr">
        <is>
          <t>2026-08-08</t>
        </is>
      </c>
      <c r="H473" s="19" t="inlineStr">
        <is>
          <t>2</t>
        </is>
      </c>
      <c r="I473" t="inlineStr">
        <is>
          <t>Phase I generated Rev.00 Word file — linked; signatures not completed</t>
        </is>
      </c>
      <c r="J473" t="inlineStr">
        <is>
          <t>2026-08-10T19:29:54Z</t>
        </is>
      </c>
      <c r="K473" t="inlineStr">
        <is>
          <t>2026-08-10T19:49:41Z</t>
        </is>
      </c>
    </row>
    <row r="474">
      <c r="A474" s="19" t="inlineStr">
        <is>
          <t>473</t>
        </is>
      </c>
      <c r="B474" s="19" t="inlineStr">
        <is>
          <t>IA-PPWR-TF-ST-056-EUR-02-R00</t>
        </is>
      </c>
      <c r="C474" t="inlineStr">
        <is>
          <t>IA-PPWR-TF-ST-056-EUR-02-R00</t>
        </is>
      </c>
      <c r="D474" s="19" t="inlineStr">
        <is>
          <t>1</t>
        </is>
      </c>
      <c r="E474" t="inlineStr">
        <is>
          <t>01_STARTER/ST-056-EUR-02/01_Technical_File.docx</t>
        </is>
      </c>
      <c r="F474" t="inlineStr">
        <is>
          <t>259056dbb2cac3c966eec5bba67a5b71aa142f859235e9dfa7c6ca9f9f452bb1</t>
        </is>
      </c>
      <c r="G474" t="inlineStr">
        <is>
          <t>2026-08-08</t>
        </is>
      </c>
      <c r="H474" s="19" t="inlineStr">
        <is>
          <t>2</t>
        </is>
      </c>
      <c r="I474" t="inlineStr">
        <is>
          <t>Phase I generated Rev.00 Word file — linked; signatures not completed</t>
        </is>
      </c>
      <c r="J474" t="inlineStr">
        <is>
          <t>2026-08-10T19:29:54Z</t>
        </is>
      </c>
      <c r="K474" t="inlineStr">
        <is>
          <t>2026-08-10T19:49:41Z</t>
        </is>
      </c>
    </row>
    <row r="475">
      <c r="A475" s="19" t="inlineStr">
        <is>
          <t>474</t>
        </is>
      </c>
      <c r="B475" s="19" t="inlineStr">
        <is>
          <t>IA-PPWR-DOC-ST-056-EUR-02-R00</t>
        </is>
      </c>
      <c r="C475" t="inlineStr">
        <is>
          <t>IA-PPWR-DOC-ST-056-EUR-02-R00</t>
        </is>
      </c>
      <c r="D475" s="19" t="inlineStr">
        <is>
          <t>4</t>
        </is>
      </c>
      <c r="E475" t="inlineStr">
        <is>
          <t>01_STARTER/ST-056-EUR-02/02_EU_DoC.docx</t>
        </is>
      </c>
      <c r="F475" t="inlineStr">
        <is>
          <t>b2818375943e6ddcf4329a35acdbee9c4dbe173776f69b8bcb3602d5db91d39c</t>
        </is>
      </c>
      <c r="G475" t="inlineStr">
        <is>
          <t>2026-08-08</t>
        </is>
      </c>
      <c r="H475" s="19" t="inlineStr">
        <is>
          <t>2</t>
        </is>
      </c>
      <c r="I475" t="inlineStr">
        <is>
          <t>Phase I generated Rev.00 Word file — linked; signatures not completed</t>
        </is>
      </c>
      <c r="J475" t="inlineStr">
        <is>
          <t>2026-08-10T19:29:54Z</t>
        </is>
      </c>
      <c r="K475" t="inlineStr">
        <is>
          <t>2026-08-10T19:49:41Z</t>
        </is>
      </c>
    </row>
    <row r="476">
      <c r="A476" s="19" t="inlineStr">
        <is>
          <t>475</t>
        </is>
      </c>
      <c r="B476" s="19" t="inlineStr">
        <is>
          <t>IA-PPWR-LBL-ST-056-EUR-02-R00</t>
        </is>
      </c>
      <c r="C476" t="inlineStr">
        <is>
          <t>IA-PPWR-LBL-ST-056-EUR-02-R00</t>
        </is>
      </c>
      <c r="D476" s="19" t="inlineStr">
        <is>
          <t>11</t>
        </is>
      </c>
      <c r="E476" t="inlineStr">
        <is>
          <t>01_STARTER/ST-056-EUR-02/03_Label.docx</t>
        </is>
      </c>
      <c r="F476" t="inlineStr">
        <is>
          <t>2d702372717f7f429490be55beb653e988c51445098d45a527793aa34a043290</t>
        </is>
      </c>
      <c r="G476" t="inlineStr">
        <is>
          <t>2026-08-08</t>
        </is>
      </c>
      <c r="H476" s="19" t="inlineStr">
        <is>
          <t>2</t>
        </is>
      </c>
      <c r="I476" t="inlineStr">
        <is>
          <t>Phase I generated Rev.00 Word file — linked; signatures not completed</t>
        </is>
      </c>
      <c r="J476" t="inlineStr">
        <is>
          <t>2026-08-10T19:29:54Z</t>
        </is>
      </c>
      <c r="K476" t="inlineStr">
        <is>
          <t>2026-08-10T19:49:41Z</t>
        </is>
      </c>
    </row>
    <row r="477">
      <c r="A477" s="19" t="inlineStr">
        <is>
          <t>476</t>
        </is>
      </c>
      <c r="B477" s="19" t="inlineStr">
        <is>
          <t>IA-PPWR-STM-ST-056-EUR-02-R00</t>
        </is>
      </c>
      <c r="C477" t="inlineStr">
        <is>
          <t>IA-PPWR-STM-ST-056-EUR-02-R00</t>
        </is>
      </c>
      <c r="D477" s="19" t="inlineStr">
        <is>
          <t>12</t>
        </is>
      </c>
      <c r="E477" t="inlineStr">
        <is>
          <t>01_STARTER/ST-056-EUR-02/04_Shipment_Statement.docx</t>
        </is>
      </c>
      <c r="F477" t="inlineStr">
        <is>
          <t>009979d4336a9d417c6cecea874965854d748d851f3221a74150feaa13e6a028</t>
        </is>
      </c>
      <c r="G477" t="inlineStr">
        <is>
          <t>2026-08-08</t>
        </is>
      </c>
      <c r="H477" s="19" t="inlineStr">
        <is>
          <t>2</t>
        </is>
      </c>
      <c r="I477" t="inlineStr">
        <is>
          <t>Phase I generated Rev.00 Word file — linked; signatures not completed</t>
        </is>
      </c>
      <c r="J477" t="inlineStr">
        <is>
          <t>2026-08-10T19:29:54Z</t>
        </is>
      </c>
      <c r="K477" t="inlineStr">
        <is>
          <t>2026-08-10T19:49:41Z</t>
        </is>
      </c>
    </row>
    <row r="478">
      <c r="A478" s="19" t="inlineStr">
        <is>
          <t>477</t>
        </is>
      </c>
      <c r="B478" s="19" t="inlineStr">
        <is>
          <t>IA-PPWR-TF-ST-056-EUR-03-R00</t>
        </is>
      </c>
      <c r="C478" t="inlineStr">
        <is>
          <t>IA-PPWR-TF-ST-056-EUR-03-R00</t>
        </is>
      </c>
      <c r="D478" s="19" t="inlineStr">
        <is>
          <t>1</t>
        </is>
      </c>
      <c r="E478" t="inlineStr">
        <is>
          <t>01_STARTER/ST-056-EUR-03/01_Technical_File.docx</t>
        </is>
      </c>
      <c r="F478" t="inlineStr">
        <is>
          <t>bab83a19b140f430be2ce2c576500ef2e6489c4d79e199ec587a67f2c83d8b51</t>
        </is>
      </c>
      <c r="G478" t="inlineStr">
        <is>
          <t>2026-08-08</t>
        </is>
      </c>
      <c r="H478" s="19" t="inlineStr">
        <is>
          <t>2</t>
        </is>
      </c>
      <c r="I478" t="inlineStr">
        <is>
          <t>Phase I generated Rev.00 Word file — linked; signatures not completed</t>
        </is>
      </c>
      <c r="J478" t="inlineStr">
        <is>
          <t>2026-08-10T19:29:54Z</t>
        </is>
      </c>
      <c r="K478" t="inlineStr">
        <is>
          <t>2026-08-10T19:49:41Z</t>
        </is>
      </c>
    </row>
    <row r="479">
      <c r="A479" s="19" t="inlineStr">
        <is>
          <t>478</t>
        </is>
      </c>
      <c r="B479" s="19" t="inlineStr">
        <is>
          <t>IA-PPWR-DOC-ST-056-EUR-03-R00</t>
        </is>
      </c>
      <c r="C479" t="inlineStr">
        <is>
          <t>IA-PPWR-DOC-ST-056-EUR-03-R00</t>
        </is>
      </c>
      <c r="D479" s="19" t="inlineStr">
        <is>
          <t>4</t>
        </is>
      </c>
      <c r="E479" t="inlineStr">
        <is>
          <t>01_STARTER/ST-056-EUR-03/02_EU_DoC.docx</t>
        </is>
      </c>
      <c r="F479" t="inlineStr">
        <is>
          <t>d232d237ef507021de24aaa89470fb78dc0a24e9843527c1635278bc1c8e680b</t>
        </is>
      </c>
      <c r="G479" t="inlineStr">
        <is>
          <t>2026-08-08</t>
        </is>
      </c>
      <c r="H479" s="19" t="inlineStr">
        <is>
          <t>2</t>
        </is>
      </c>
      <c r="I479" t="inlineStr">
        <is>
          <t>Phase I generated Rev.00 Word file — linked; signatures not completed</t>
        </is>
      </c>
      <c r="J479" t="inlineStr">
        <is>
          <t>2026-08-10T19:29:54Z</t>
        </is>
      </c>
      <c r="K479" t="inlineStr">
        <is>
          <t>2026-08-10T19:49:41Z</t>
        </is>
      </c>
    </row>
    <row r="480">
      <c r="A480" s="19" t="inlineStr">
        <is>
          <t>479</t>
        </is>
      </c>
      <c r="B480" s="19" t="inlineStr">
        <is>
          <t>IA-PPWR-LBL-ST-056-EUR-03-R00</t>
        </is>
      </c>
      <c r="C480" t="inlineStr">
        <is>
          <t>IA-PPWR-LBL-ST-056-EUR-03-R00</t>
        </is>
      </c>
      <c r="D480" s="19" t="inlineStr">
        <is>
          <t>11</t>
        </is>
      </c>
      <c r="E480" t="inlineStr">
        <is>
          <t>01_STARTER/ST-056-EUR-03/03_Label.docx</t>
        </is>
      </c>
      <c r="F480" t="inlineStr">
        <is>
          <t>89a670f147bd3f8a25e9de754723a7eda95bc0121a725630d4f8bbfad8ff297f</t>
        </is>
      </c>
      <c r="G480" t="inlineStr">
        <is>
          <t>2026-08-08</t>
        </is>
      </c>
      <c r="H480" s="19" t="inlineStr">
        <is>
          <t>2</t>
        </is>
      </c>
      <c r="I480" t="inlineStr">
        <is>
          <t>Phase I generated Rev.00 Word file — linked; signatures not completed</t>
        </is>
      </c>
      <c r="J480" t="inlineStr">
        <is>
          <t>2026-08-10T19:29:54Z</t>
        </is>
      </c>
      <c r="K480" t="inlineStr">
        <is>
          <t>2026-08-10T19:49:41Z</t>
        </is>
      </c>
    </row>
    <row r="481">
      <c r="A481" s="19" t="inlineStr">
        <is>
          <t>480</t>
        </is>
      </c>
      <c r="B481" s="19" t="inlineStr">
        <is>
          <t>IA-PPWR-STM-ST-056-EUR-03-R00</t>
        </is>
      </c>
      <c r="C481" t="inlineStr">
        <is>
          <t>IA-PPWR-STM-ST-056-EUR-03-R00</t>
        </is>
      </c>
      <c r="D481" s="19" t="inlineStr">
        <is>
          <t>12</t>
        </is>
      </c>
      <c r="E481" t="inlineStr">
        <is>
          <t>01_STARTER/ST-056-EUR-03/04_Shipment_Statement.docx</t>
        </is>
      </c>
      <c r="F481" t="inlineStr">
        <is>
          <t>bcda6dd52f41fb2f2ac846ba42aaceed8d4f87e1373c0a5b1bbfcd069b6b51d0</t>
        </is>
      </c>
      <c r="G481" t="inlineStr">
        <is>
          <t>2026-08-08</t>
        </is>
      </c>
      <c r="H481" s="19" t="inlineStr">
        <is>
          <t>2</t>
        </is>
      </c>
      <c r="I481" t="inlineStr">
        <is>
          <t>Phase I generated Rev.00 Word file — linked; signatures not completed</t>
        </is>
      </c>
      <c r="J481" t="inlineStr">
        <is>
          <t>2026-08-10T19:29:54Z</t>
        </is>
      </c>
      <c r="K481" t="inlineStr">
        <is>
          <t>2026-08-10T19:49:41Z</t>
        </is>
      </c>
    </row>
    <row r="482">
      <c r="A482" s="19" t="inlineStr">
        <is>
          <t>481</t>
        </is>
      </c>
      <c r="B482" s="19" t="inlineStr">
        <is>
          <t>IA-PPWR-TF-ST-056-EUR-04-R00</t>
        </is>
      </c>
      <c r="C482" t="inlineStr">
        <is>
          <t>IA-PPWR-TF-ST-056-EUR-04-R00</t>
        </is>
      </c>
      <c r="D482" s="19" t="inlineStr">
        <is>
          <t>1</t>
        </is>
      </c>
      <c r="E482" t="inlineStr">
        <is>
          <t>01_STARTER/ST-056-EUR-04/01_Technical_File.docx</t>
        </is>
      </c>
      <c r="F482" t="inlineStr">
        <is>
          <t>6033ef5b5a887416b03d405f2401ba47b6ecd8ce3738825a1fb8ac9816e4b0c4</t>
        </is>
      </c>
      <c r="G482" t="inlineStr">
        <is>
          <t>2026-08-08</t>
        </is>
      </c>
      <c r="H482" s="19" t="inlineStr">
        <is>
          <t>2</t>
        </is>
      </c>
      <c r="I482" t="inlineStr">
        <is>
          <t>Phase I generated Rev.00 Word file — linked; signatures not completed</t>
        </is>
      </c>
      <c r="J482" t="inlineStr">
        <is>
          <t>2026-08-10T19:29:54Z</t>
        </is>
      </c>
      <c r="K482" t="inlineStr">
        <is>
          <t>2026-08-10T19:49:41Z</t>
        </is>
      </c>
    </row>
    <row r="483">
      <c r="A483" s="19" t="inlineStr">
        <is>
          <t>482</t>
        </is>
      </c>
      <c r="B483" s="19" t="inlineStr">
        <is>
          <t>IA-PPWR-DOC-ST-056-EUR-04-R00</t>
        </is>
      </c>
      <c r="C483" t="inlineStr">
        <is>
          <t>IA-PPWR-DOC-ST-056-EUR-04-R00</t>
        </is>
      </c>
      <c r="D483" s="19" t="inlineStr">
        <is>
          <t>4</t>
        </is>
      </c>
      <c r="E483" t="inlineStr">
        <is>
          <t>01_STARTER/ST-056-EUR-04/02_EU_DoC.docx</t>
        </is>
      </c>
      <c r="F483" t="inlineStr">
        <is>
          <t>267b632ef99703ff877f70b0072556a4e9a5a73550a8c2d7032d9b02585afe30</t>
        </is>
      </c>
      <c r="G483" t="inlineStr">
        <is>
          <t>2026-08-08</t>
        </is>
      </c>
      <c r="H483" s="19" t="inlineStr">
        <is>
          <t>2</t>
        </is>
      </c>
      <c r="I483" t="inlineStr">
        <is>
          <t>Phase I generated Rev.00 Word file — linked; signatures not completed</t>
        </is>
      </c>
      <c r="J483" t="inlineStr">
        <is>
          <t>2026-08-10T19:29:54Z</t>
        </is>
      </c>
      <c r="K483" t="inlineStr">
        <is>
          <t>2026-08-10T19:49:41Z</t>
        </is>
      </c>
    </row>
    <row r="484">
      <c r="A484" s="19" t="inlineStr">
        <is>
          <t>483</t>
        </is>
      </c>
      <c r="B484" s="19" t="inlineStr">
        <is>
          <t>IA-PPWR-LBL-ST-056-EUR-04-R00</t>
        </is>
      </c>
      <c r="C484" t="inlineStr">
        <is>
          <t>IA-PPWR-LBL-ST-056-EUR-04-R00</t>
        </is>
      </c>
      <c r="D484" s="19" t="inlineStr">
        <is>
          <t>11</t>
        </is>
      </c>
      <c r="E484" t="inlineStr">
        <is>
          <t>01_STARTER/ST-056-EUR-04/03_Label.docx</t>
        </is>
      </c>
      <c r="F484" t="inlineStr">
        <is>
          <t>4ea6bf7ed37b6af7ec35d3f8283542092675ba3f98168cc688ed04602189f8cd</t>
        </is>
      </c>
      <c r="G484" t="inlineStr">
        <is>
          <t>2026-08-08</t>
        </is>
      </c>
      <c r="H484" s="19" t="inlineStr">
        <is>
          <t>2</t>
        </is>
      </c>
      <c r="I484" t="inlineStr">
        <is>
          <t>Phase I generated Rev.00 Word file — linked; signatures not completed</t>
        </is>
      </c>
      <c r="J484" t="inlineStr">
        <is>
          <t>2026-08-10T19:29:54Z</t>
        </is>
      </c>
      <c r="K484" t="inlineStr">
        <is>
          <t>2026-08-10T19:49:41Z</t>
        </is>
      </c>
    </row>
    <row r="485">
      <c r="A485" s="19" t="inlineStr">
        <is>
          <t>484</t>
        </is>
      </c>
      <c r="B485" s="19" t="inlineStr">
        <is>
          <t>IA-PPWR-STM-ST-056-EUR-04-R00</t>
        </is>
      </c>
      <c r="C485" t="inlineStr">
        <is>
          <t>IA-PPWR-STM-ST-056-EUR-04-R00</t>
        </is>
      </c>
      <c r="D485" s="19" t="inlineStr">
        <is>
          <t>12</t>
        </is>
      </c>
      <c r="E485" t="inlineStr">
        <is>
          <t>01_STARTER/ST-056-EUR-04/04_Shipment_Statement.docx</t>
        </is>
      </c>
      <c r="F485" t="inlineStr">
        <is>
          <t>f535cff107753925f3f9195faf94633f88909099c7c79a77710825fe7aed6a3f</t>
        </is>
      </c>
      <c r="G485" t="inlineStr">
        <is>
          <t>2026-08-08</t>
        </is>
      </c>
      <c r="H485" s="19" t="inlineStr">
        <is>
          <t>2</t>
        </is>
      </c>
      <c r="I485" t="inlineStr">
        <is>
          <t>Phase I generated Rev.00 Word file — linked; signatures not completed</t>
        </is>
      </c>
      <c r="J485" t="inlineStr">
        <is>
          <t>2026-08-10T19:29:54Z</t>
        </is>
      </c>
      <c r="K485" t="inlineStr">
        <is>
          <t>2026-08-10T19:49:41Z</t>
        </is>
      </c>
    </row>
    <row r="486">
      <c r="A486" s="19" t="inlineStr">
        <is>
          <t>485</t>
        </is>
      </c>
      <c r="B486" s="19" t="inlineStr">
        <is>
          <t>IA-PPWR-TF-ST-057-EUR-01-R00</t>
        </is>
      </c>
      <c r="C486" t="inlineStr">
        <is>
          <t>IA-PPWR-TF-ST-057-EUR-01-R00</t>
        </is>
      </c>
      <c r="D486" s="19" t="inlineStr">
        <is>
          <t>1</t>
        </is>
      </c>
      <c r="E486" t="inlineStr">
        <is>
          <t>01_STARTER/ST-057-EUR-01/01_Technical_File.docx</t>
        </is>
      </c>
      <c r="F486" t="inlineStr">
        <is>
          <t>77e0dda93b2bd24f07a2cb2bb60cf808c8353374c49bceacb23327efbeb5568e</t>
        </is>
      </c>
      <c r="G486" t="inlineStr">
        <is>
          <t>2026-08-08</t>
        </is>
      </c>
      <c r="H486" s="19" t="inlineStr">
        <is>
          <t>2</t>
        </is>
      </c>
      <c r="I486" t="inlineStr">
        <is>
          <t>Phase I generated Rev.00 Word file — linked; signatures not completed</t>
        </is>
      </c>
      <c r="J486" t="inlineStr">
        <is>
          <t>2026-08-10T19:29:54Z</t>
        </is>
      </c>
      <c r="K486" t="inlineStr">
        <is>
          <t>2026-08-10T19:49:41Z</t>
        </is>
      </c>
    </row>
    <row r="487">
      <c r="A487" s="19" t="inlineStr">
        <is>
          <t>486</t>
        </is>
      </c>
      <c r="B487" s="19" t="inlineStr">
        <is>
          <t>IA-PPWR-DOC-ST-057-EUR-01-R00</t>
        </is>
      </c>
      <c r="C487" t="inlineStr">
        <is>
          <t>IA-PPWR-DOC-ST-057-EUR-01-R00</t>
        </is>
      </c>
      <c r="D487" s="19" t="inlineStr">
        <is>
          <t>4</t>
        </is>
      </c>
      <c r="E487" t="inlineStr">
        <is>
          <t>01_STARTER/ST-057-EUR-01/02_EU_DoC.docx</t>
        </is>
      </c>
      <c r="F487" t="inlineStr">
        <is>
          <t>6077a758e0840594ff382935aea4ac7d9ce16ceee49a276e901829cc2993d2d0</t>
        </is>
      </c>
      <c r="G487" t="inlineStr">
        <is>
          <t>2026-08-08</t>
        </is>
      </c>
      <c r="H487" s="19" t="inlineStr">
        <is>
          <t>2</t>
        </is>
      </c>
      <c r="I487" t="inlineStr">
        <is>
          <t>Phase I generated Rev.00 Word file — linked; signatures not completed</t>
        </is>
      </c>
      <c r="J487" t="inlineStr">
        <is>
          <t>2026-08-10T19:29:54Z</t>
        </is>
      </c>
      <c r="K487" t="inlineStr">
        <is>
          <t>2026-08-10T19:49:41Z</t>
        </is>
      </c>
    </row>
    <row r="488">
      <c r="A488" s="19" t="inlineStr">
        <is>
          <t>487</t>
        </is>
      </c>
      <c r="B488" s="19" t="inlineStr">
        <is>
          <t>IA-PPWR-LBL-ST-057-EUR-01-R00</t>
        </is>
      </c>
      <c r="C488" t="inlineStr">
        <is>
          <t>IA-PPWR-LBL-ST-057-EUR-01-R00</t>
        </is>
      </c>
      <c r="D488" s="19" t="inlineStr">
        <is>
          <t>11</t>
        </is>
      </c>
      <c r="E488" t="inlineStr">
        <is>
          <t>01_STARTER/ST-057-EUR-01/03_Label.docx</t>
        </is>
      </c>
      <c r="F488" t="inlineStr">
        <is>
          <t>51dc8e719475de393470c9a34ab4773686e7e2d47be7adf04530cad590d52798</t>
        </is>
      </c>
      <c r="G488" t="inlineStr">
        <is>
          <t>2026-08-08</t>
        </is>
      </c>
      <c r="H488" s="19" t="inlineStr">
        <is>
          <t>2</t>
        </is>
      </c>
      <c r="I488" t="inlineStr">
        <is>
          <t>Phase I generated Rev.00 Word file — linked; signatures not completed</t>
        </is>
      </c>
      <c r="J488" t="inlineStr">
        <is>
          <t>2026-08-10T19:29:54Z</t>
        </is>
      </c>
      <c r="K488" t="inlineStr">
        <is>
          <t>2026-08-10T19:49:41Z</t>
        </is>
      </c>
    </row>
    <row r="489">
      <c r="A489" s="19" t="inlineStr">
        <is>
          <t>488</t>
        </is>
      </c>
      <c r="B489" s="19" t="inlineStr">
        <is>
          <t>IA-PPWR-STM-ST-057-EUR-01-R00</t>
        </is>
      </c>
      <c r="C489" t="inlineStr">
        <is>
          <t>IA-PPWR-STM-ST-057-EUR-01-R00</t>
        </is>
      </c>
      <c r="D489" s="19" t="inlineStr">
        <is>
          <t>12</t>
        </is>
      </c>
      <c r="E489" t="inlineStr">
        <is>
          <t>01_STARTER/ST-057-EUR-01/04_Shipment_Statement.docx</t>
        </is>
      </c>
      <c r="F489" t="inlineStr">
        <is>
          <t>48cb279631267ce5d93a5a7d76738233197079ce3ecfc4e60c6ad2d70c6a85c6</t>
        </is>
      </c>
      <c r="G489" t="inlineStr">
        <is>
          <t>2026-08-08</t>
        </is>
      </c>
      <c r="H489" s="19" t="inlineStr">
        <is>
          <t>2</t>
        </is>
      </c>
      <c r="I489" t="inlineStr">
        <is>
          <t>Phase I generated Rev.00 Word file — linked; signatures not completed</t>
        </is>
      </c>
      <c r="J489" t="inlineStr">
        <is>
          <t>2026-08-10T19:29:54Z</t>
        </is>
      </c>
      <c r="K489" t="inlineStr">
        <is>
          <t>2026-08-10T19:49:41Z</t>
        </is>
      </c>
    </row>
    <row r="490">
      <c r="A490" s="19" t="inlineStr">
        <is>
          <t>489</t>
        </is>
      </c>
      <c r="B490" s="19" t="inlineStr">
        <is>
          <t>IA-PPWR-TF-ST-057-EUR-02-R00</t>
        </is>
      </c>
      <c r="C490" t="inlineStr">
        <is>
          <t>IA-PPWR-TF-ST-057-EUR-02-R00</t>
        </is>
      </c>
      <c r="D490" s="19" t="inlineStr">
        <is>
          <t>1</t>
        </is>
      </c>
      <c r="E490" t="inlineStr">
        <is>
          <t>01_STARTER/ST-057-EUR-02/01_Technical_File.docx</t>
        </is>
      </c>
      <c r="F490" t="inlineStr">
        <is>
          <t>b8c0f8f761e2de983cc1812ed35616509af9c9ca8cdd55eaaabd200dad765f36</t>
        </is>
      </c>
      <c r="G490" t="inlineStr">
        <is>
          <t>2026-08-08</t>
        </is>
      </c>
      <c r="H490" s="19" t="inlineStr">
        <is>
          <t>2</t>
        </is>
      </c>
      <c r="I490" t="inlineStr">
        <is>
          <t>Phase I generated Rev.00 Word file — linked; signatures not completed</t>
        </is>
      </c>
      <c r="J490" t="inlineStr">
        <is>
          <t>2026-08-10T19:29:54Z</t>
        </is>
      </c>
      <c r="K490" t="inlineStr">
        <is>
          <t>2026-08-10T19:49:41Z</t>
        </is>
      </c>
    </row>
    <row r="491">
      <c r="A491" s="19" t="inlineStr">
        <is>
          <t>490</t>
        </is>
      </c>
      <c r="B491" s="19" t="inlineStr">
        <is>
          <t>IA-PPWR-DOC-ST-057-EUR-02-R00</t>
        </is>
      </c>
      <c r="C491" t="inlineStr">
        <is>
          <t>IA-PPWR-DOC-ST-057-EUR-02-R00</t>
        </is>
      </c>
      <c r="D491" s="19" t="inlineStr">
        <is>
          <t>4</t>
        </is>
      </c>
      <c r="E491" t="inlineStr">
        <is>
          <t>01_STARTER/ST-057-EUR-02/02_EU_DoC.docx</t>
        </is>
      </c>
      <c r="F491" t="inlineStr">
        <is>
          <t>3daeb7ae33351bf8410885fbe95f1d135ba86c3e4d0f6fa51ea361898369b29a</t>
        </is>
      </c>
      <c r="G491" t="inlineStr">
        <is>
          <t>2026-08-08</t>
        </is>
      </c>
      <c r="H491" s="19" t="inlineStr">
        <is>
          <t>2</t>
        </is>
      </c>
      <c r="I491" t="inlineStr">
        <is>
          <t>Phase I generated Rev.00 Word file — linked; signatures not completed</t>
        </is>
      </c>
      <c r="J491" t="inlineStr">
        <is>
          <t>2026-08-10T19:29:54Z</t>
        </is>
      </c>
      <c r="K491" t="inlineStr">
        <is>
          <t>2026-08-10T19:49:41Z</t>
        </is>
      </c>
    </row>
    <row r="492">
      <c r="A492" s="19" t="inlineStr">
        <is>
          <t>491</t>
        </is>
      </c>
      <c r="B492" s="19" t="inlineStr">
        <is>
          <t>IA-PPWR-LBL-ST-057-EUR-02-R00</t>
        </is>
      </c>
      <c r="C492" t="inlineStr">
        <is>
          <t>IA-PPWR-LBL-ST-057-EUR-02-R00</t>
        </is>
      </c>
      <c r="D492" s="19" t="inlineStr">
        <is>
          <t>11</t>
        </is>
      </c>
      <c r="E492" t="inlineStr">
        <is>
          <t>01_STARTER/ST-057-EUR-02/03_Label.docx</t>
        </is>
      </c>
      <c r="F492" t="inlineStr">
        <is>
          <t>8f4414c67fd296063e00e45140a23c28d2ba308d6a998ac5d6fec86ff24d501b</t>
        </is>
      </c>
      <c r="G492" t="inlineStr">
        <is>
          <t>2026-08-08</t>
        </is>
      </c>
      <c r="H492" s="19" t="inlineStr">
        <is>
          <t>2</t>
        </is>
      </c>
      <c r="I492" t="inlineStr">
        <is>
          <t>Phase I generated Rev.00 Word file — linked; signatures not completed</t>
        </is>
      </c>
      <c r="J492" t="inlineStr">
        <is>
          <t>2026-08-10T19:29:54Z</t>
        </is>
      </c>
      <c r="K492" t="inlineStr">
        <is>
          <t>2026-08-10T19:49:41Z</t>
        </is>
      </c>
    </row>
    <row r="493">
      <c r="A493" s="19" t="inlineStr">
        <is>
          <t>492</t>
        </is>
      </c>
      <c r="B493" s="19" t="inlineStr">
        <is>
          <t>IA-PPWR-STM-ST-057-EUR-02-R00</t>
        </is>
      </c>
      <c r="C493" t="inlineStr">
        <is>
          <t>IA-PPWR-STM-ST-057-EUR-02-R00</t>
        </is>
      </c>
      <c r="D493" s="19" t="inlineStr">
        <is>
          <t>12</t>
        </is>
      </c>
      <c r="E493" t="inlineStr">
        <is>
          <t>01_STARTER/ST-057-EUR-02/04_Shipment_Statement.docx</t>
        </is>
      </c>
      <c r="F493" t="inlineStr">
        <is>
          <t>5a727b4f613c39cac6f02457d08b3e3c04fb47f8bb239982df99e0170bca8e38</t>
        </is>
      </c>
      <c r="G493" t="inlineStr">
        <is>
          <t>2026-08-08</t>
        </is>
      </c>
      <c r="H493" s="19" t="inlineStr">
        <is>
          <t>2</t>
        </is>
      </c>
      <c r="I493" t="inlineStr">
        <is>
          <t>Phase I generated Rev.00 Word file — linked; signatures not completed</t>
        </is>
      </c>
      <c r="J493" t="inlineStr">
        <is>
          <t>2026-08-10T19:29:54Z</t>
        </is>
      </c>
      <c r="K493" t="inlineStr">
        <is>
          <t>2026-08-10T19:49:41Z</t>
        </is>
      </c>
    </row>
    <row r="494">
      <c r="A494" s="19" t="inlineStr">
        <is>
          <t>493</t>
        </is>
      </c>
      <c r="B494" s="19" t="inlineStr">
        <is>
          <t>IA-PPWR-TF-ST-057-EUR-03-R00</t>
        </is>
      </c>
      <c r="C494" t="inlineStr">
        <is>
          <t>IA-PPWR-TF-ST-057-EUR-03-R00</t>
        </is>
      </c>
      <c r="D494" s="19" t="inlineStr">
        <is>
          <t>1</t>
        </is>
      </c>
      <c r="E494" t="inlineStr">
        <is>
          <t>01_STARTER/ST-057-EUR-03/01_Technical_File.docx</t>
        </is>
      </c>
      <c r="F494" t="inlineStr">
        <is>
          <t>de0c337fb97229b5592456f597ac4e9fcdf6d60e8f73b18af97e023f2d737fa5</t>
        </is>
      </c>
      <c r="G494" t="inlineStr">
        <is>
          <t>2026-08-08</t>
        </is>
      </c>
      <c r="H494" s="19" t="inlineStr">
        <is>
          <t>2</t>
        </is>
      </c>
      <c r="I494" t="inlineStr">
        <is>
          <t>Phase I generated Rev.00 Word file — linked; signatures not completed</t>
        </is>
      </c>
      <c r="J494" t="inlineStr">
        <is>
          <t>2026-08-10T19:29:54Z</t>
        </is>
      </c>
      <c r="K494" t="inlineStr">
        <is>
          <t>2026-08-10T19:49:41Z</t>
        </is>
      </c>
    </row>
    <row r="495">
      <c r="A495" s="19" t="inlineStr">
        <is>
          <t>494</t>
        </is>
      </c>
      <c r="B495" s="19" t="inlineStr">
        <is>
          <t>IA-PPWR-DOC-ST-057-EUR-03-R00</t>
        </is>
      </c>
      <c r="C495" t="inlineStr">
        <is>
          <t>IA-PPWR-DOC-ST-057-EUR-03-R00</t>
        </is>
      </c>
      <c r="D495" s="19" t="inlineStr">
        <is>
          <t>4</t>
        </is>
      </c>
      <c r="E495" t="inlineStr">
        <is>
          <t>01_STARTER/ST-057-EUR-03/02_EU_DoC.docx</t>
        </is>
      </c>
      <c r="F495" t="inlineStr">
        <is>
          <t>00ab2f01bc3d0748f066e9a461feec561a051900db015a408a2be3b9c45b915a</t>
        </is>
      </c>
      <c r="G495" t="inlineStr">
        <is>
          <t>2026-08-08</t>
        </is>
      </c>
      <c r="H495" s="19" t="inlineStr">
        <is>
          <t>2</t>
        </is>
      </c>
      <c r="I495" t="inlineStr">
        <is>
          <t>Phase I generated Rev.00 Word file — linked; signatures not completed</t>
        </is>
      </c>
      <c r="J495" t="inlineStr">
        <is>
          <t>2026-08-10T19:29:54Z</t>
        </is>
      </c>
      <c r="K495" t="inlineStr">
        <is>
          <t>2026-08-10T19:49:41Z</t>
        </is>
      </c>
    </row>
    <row r="496">
      <c r="A496" s="19" t="inlineStr">
        <is>
          <t>495</t>
        </is>
      </c>
      <c r="B496" s="19" t="inlineStr">
        <is>
          <t>IA-PPWR-LBL-ST-057-EUR-03-R00</t>
        </is>
      </c>
      <c r="C496" t="inlineStr">
        <is>
          <t>IA-PPWR-LBL-ST-057-EUR-03-R00</t>
        </is>
      </c>
      <c r="D496" s="19" t="inlineStr">
        <is>
          <t>11</t>
        </is>
      </c>
      <c r="E496" t="inlineStr">
        <is>
          <t>01_STARTER/ST-057-EUR-03/03_Label.docx</t>
        </is>
      </c>
      <c r="F496" t="inlineStr">
        <is>
          <t>05154d6eaf7ab42a1df7ade88e64c1a844b7c8825d9eccbb57f3cca61aecdf45</t>
        </is>
      </c>
      <c r="G496" t="inlineStr">
        <is>
          <t>2026-08-08</t>
        </is>
      </c>
      <c r="H496" s="19" t="inlineStr">
        <is>
          <t>2</t>
        </is>
      </c>
      <c r="I496" t="inlineStr">
        <is>
          <t>Phase I generated Rev.00 Word file — linked; signatures not completed</t>
        </is>
      </c>
      <c r="J496" t="inlineStr">
        <is>
          <t>2026-08-10T19:29:54Z</t>
        </is>
      </c>
      <c r="K496" t="inlineStr">
        <is>
          <t>2026-08-10T19:49:41Z</t>
        </is>
      </c>
    </row>
    <row r="497">
      <c r="A497" s="19" t="inlineStr">
        <is>
          <t>496</t>
        </is>
      </c>
      <c r="B497" s="19" t="inlineStr">
        <is>
          <t>IA-PPWR-STM-ST-057-EUR-03-R00</t>
        </is>
      </c>
      <c r="C497" t="inlineStr">
        <is>
          <t>IA-PPWR-STM-ST-057-EUR-03-R00</t>
        </is>
      </c>
      <c r="D497" s="19" t="inlineStr">
        <is>
          <t>12</t>
        </is>
      </c>
      <c r="E497" t="inlineStr">
        <is>
          <t>01_STARTER/ST-057-EUR-03/04_Shipment_Statement.docx</t>
        </is>
      </c>
      <c r="F497" t="inlineStr">
        <is>
          <t>73d447f0ff572d2c1b27e8d68a56a03129991ecd165bfb55674ab0041f7a836a</t>
        </is>
      </c>
      <c r="G497" t="inlineStr">
        <is>
          <t>2026-08-08</t>
        </is>
      </c>
      <c r="H497" s="19" t="inlineStr">
        <is>
          <t>2</t>
        </is>
      </c>
      <c r="I497" t="inlineStr">
        <is>
          <t>Phase I generated Rev.00 Word file — linked; signatures not completed</t>
        </is>
      </c>
      <c r="J497" t="inlineStr">
        <is>
          <t>2026-08-10T19:29:54Z</t>
        </is>
      </c>
      <c r="K497" t="inlineStr">
        <is>
          <t>2026-08-10T19:49:41Z</t>
        </is>
      </c>
    </row>
    <row r="498">
      <c r="A498" s="19" t="inlineStr">
        <is>
          <t>497</t>
        </is>
      </c>
      <c r="B498" s="19" t="inlineStr">
        <is>
          <t>IA-PPWR-TF-ST-057-EUR-04-R00</t>
        </is>
      </c>
      <c r="C498" t="inlineStr">
        <is>
          <t>IA-PPWR-TF-ST-057-EUR-04-R00</t>
        </is>
      </c>
      <c r="D498" s="19" t="inlineStr">
        <is>
          <t>1</t>
        </is>
      </c>
      <c r="E498" t="inlineStr">
        <is>
          <t>01_STARTER/ST-057-EUR-04/01_Technical_File.docx</t>
        </is>
      </c>
      <c r="F498" t="inlineStr">
        <is>
          <t>53d4106c9021396a735e178c439acf365f33674d0e93eb2865051c6f34859cb0</t>
        </is>
      </c>
      <c r="G498" t="inlineStr">
        <is>
          <t>2026-08-08</t>
        </is>
      </c>
      <c r="H498" s="19" t="inlineStr">
        <is>
          <t>2</t>
        </is>
      </c>
      <c r="I498" t="inlineStr">
        <is>
          <t>Phase I generated Rev.00 Word file — linked; signatures not completed</t>
        </is>
      </c>
      <c r="J498" t="inlineStr">
        <is>
          <t>2026-08-10T19:29:54Z</t>
        </is>
      </c>
      <c r="K498" t="inlineStr">
        <is>
          <t>2026-08-10T19:49:41Z</t>
        </is>
      </c>
    </row>
    <row r="499">
      <c r="A499" s="19" t="inlineStr">
        <is>
          <t>498</t>
        </is>
      </c>
      <c r="B499" s="19" t="inlineStr">
        <is>
          <t>IA-PPWR-DOC-ST-057-EUR-04-R00</t>
        </is>
      </c>
      <c r="C499" t="inlineStr">
        <is>
          <t>IA-PPWR-DOC-ST-057-EUR-04-R00</t>
        </is>
      </c>
      <c r="D499" s="19" t="inlineStr">
        <is>
          <t>4</t>
        </is>
      </c>
      <c r="E499" t="inlineStr">
        <is>
          <t>01_STARTER/ST-057-EUR-04/02_EU_DoC.docx</t>
        </is>
      </c>
      <c r="F499" t="inlineStr">
        <is>
          <t>51b1c9fd7fe897b801955d219c6a9ad0a83a56997480edffd3afa7a5d824ac48</t>
        </is>
      </c>
      <c r="G499" t="inlineStr">
        <is>
          <t>2026-08-08</t>
        </is>
      </c>
      <c r="H499" s="19" t="inlineStr">
        <is>
          <t>2</t>
        </is>
      </c>
      <c r="I499" t="inlineStr">
        <is>
          <t>Phase I generated Rev.00 Word file — linked; signatures not completed</t>
        </is>
      </c>
      <c r="J499" t="inlineStr">
        <is>
          <t>2026-08-10T19:29:54Z</t>
        </is>
      </c>
      <c r="K499" t="inlineStr">
        <is>
          <t>2026-08-10T19:49:41Z</t>
        </is>
      </c>
    </row>
    <row r="500">
      <c r="A500" s="19" t="inlineStr">
        <is>
          <t>499</t>
        </is>
      </c>
      <c r="B500" s="19" t="inlineStr">
        <is>
          <t>IA-PPWR-LBL-ST-057-EUR-04-R00</t>
        </is>
      </c>
      <c r="C500" t="inlineStr">
        <is>
          <t>IA-PPWR-LBL-ST-057-EUR-04-R00</t>
        </is>
      </c>
      <c r="D500" s="19" t="inlineStr">
        <is>
          <t>11</t>
        </is>
      </c>
      <c r="E500" t="inlineStr">
        <is>
          <t>01_STARTER/ST-057-EUR-04/03_Label.docx</t>
        </is>
      </c>
      <c r="F500" t="inlineStr">
        <is>
          <t>81362efb5651a8007d76beb1f513b0164c71a65591fcd9ae1303c2168c16e0a1</t>
        </is>
      </c>
      <c r="G500" t="inlineStr">
        <is>
          <t>2026-08-08</t>
        </is>
      </c>
      <c r="H500" s="19" t="inlineStr">
        <is>
          <t>2</t>
        </is>
      </c>
      <c r="I500" t="inlineStr">
        <is>
          <t>Phase I generated Rev.00 Word file — linked; signatures not completed</t>
        </is>
      </c>
      <c r="J500" t="inlineStr">
        <is>
          <t>2026-08-10T19:29:54Z</t>
        </is>
      </c>
      <c r="K500" t="inlineStr">
        <is>
          <t>2026-08-10T19:49:41Z</t>
        </is>
      </c>
    </row>
    <row r="501">
      <c r="A501" s="19" t="inlineStr">
        <is>
          <t>500</t>
        </is>
      </c>
      <c r="B501" s="19" t="inlineStr">
        <is>
          <t>IA-PPWR-STM-ST-057-EUR-04-R00</t>
        </is>
      </c>
      <c r="C501" t="inlineStr">
        <is>
          <t>IA-PPWR-STM-ST-057-EUR-04-R00</t>
        </is>
      </c>
      <c r="D501" s="19" t="inlineStr">
        <is>
          <t>12</t>
        </is>
      </c>
      <c r="E501" t="inlineStr">
        <is>
          <t>01_STARTER/ST-057-EUR-04/04_Shipment_Statement.docx</t>
        </is>
      </c>
      <c r="F501" t="inlineStr">
        <is>
          <t>eb4fa2172ecb48761207419d98f0c2d5de20a07fb6afd5f8bf5084f1695bf6ea</t>
        </is>
      </c>
      <c r="G501" t="inlineStr">
        <is>
          <t>2026-08-08</t>
        </is>
      </c>
      <c r="H501" s="19" t="inlineStr">
        <is>
          <t>2</t>
        </is>
      </c>
      <c r="I501" t="inlineStr">
        <is>
          <t>Phase I generated Rev.00 Word file — linked; signatures not completed</t>
        </is>
      </c>
      <c r="J501" t="inlineStr">
        <is>
          <t>2026-08-10T19:29:54Z</t>
        </is>
      </c>
      <c r="K501" t="inlineStr">
        <is>
          <t>2026-08-10T19:49:41Z</t>
        </is>
      </c>
    </row>
    <row r="502">
      <c r="A502" s="19" t="inlineStr">
        <is>
          <t>501</t>
        </is>
      </c>
      <c r="B502" s="19" t="inlineStr">
        <is>
          <t>IA-PPWR-TF-ST-057-EUR-05-R00</t>
        </is>
      </c>
      <c r="C502" t="inlineStr">
        <is>
          <t>IA-PPWR-TF-ST-057-EUR-05-R00</t>
        </is>
      </c>
      <c r="D502" s="19" t="inlineStr">
        <is>
          <t>1</t>
        </is>
      </c>
      <c r="E502" t="inlineStr">
        <is>
          <t>01_STARTER/ST-057-EUR-05/01_Technical_File.docx</t>
        </is>
      </c>
      <c r="F502" t="inlineStr">
        <is>
          <t>9f4c8a1c5fac192c9f3da9b424c6b2dfd10707ce1b9f5d70c895df253501fb56</t>
        </is>
      </c>
      <c r="G502" t="inlineStr">
        <is>
          <t>2026-08-08</t>
        </is>
      </c>
      <c r="H502" s="19" t="inlineStr">
        <is>
          <t>2</t>
        </is>
      </c>
      <c r="I502" t="inlineStr">
        <is>
          <t>Phase I generated Rev.00 Word file — linked; signatures not completed</t>
        </is>
      </c>
      <c r="J502" t="inlineStr">
        <is>
          <t>2026-08-10T19:29:54Z</t>
        </is>
      </c>
      <c r="K502" t="inlineStr">
        <is>
          <t>2026-08-10T19:49:41Z</t>
        </is>
      </c>
    </row>
    <row r="503">
      <c r="A503" s="19" t="inlineStr">
        <is>
          <t>502</t>
        </is>
      </c>
      <c r="B503" s="19" t="inlineStr">
        <is>
          <t>IA-PPWR-DOC-ST-057-EUR-05-R00</t>
        </is>
      </c>
      <c r="C503" t="inlineStr">
        <is>
          <t>IA-PPWR-DOC-ST-057-EUR-05-R00</t>
        </is>
      </c>
      <c r="D503" s="19" t="inlineStr">
        <is>
          <t>4</t>
        </is>
      </c>
      <c r="E503" t="inlineStr">
        <is>
          <t>01_STARTER/ST-057-EUR-05/02_EU_DoC.docx</t>
        </is>
      </c>
      <c r="F503" t="inlineStr">
        <is>
          <t>ff4dec3d84ef55de7acd388b4f67718b8479c3c5bd36dcfc7f14e87ff4bf93a0</t>
        </is>
      </c>
      <c r="G503" t="inlineStr">
        <is>
          <t>2026-08-08</t>
        </is>
      </c>
      <c r="H503" s="19" t="inlineStr">
        <is>
          <t>2</t>
        </is>
      </c>
      <c r="I503" t="inlineStr">
        <is>
          <t>Phase I generated Rev.00 Word file — linked; signatures not completed</t>
        </is>
      </c>
      <c r="J503" t="inlineStr">
        <is>
          <t>2026-08-10T19:29:54Z</t>
        </is>
      </c>
      <c r="K503" t="inlineStr">
        <is>
          <t>2026-08-10T19:49:41Z</t>
        </is>
      </c>
    </row>
    <row r="504">
      <c r="A504" s="19" t="inlineStr">
        <is>
          <t>503</t>
        </is>
      </c>
      <c r="B504" s="19" t="inlineStr">
        <is>
          <t>IA-PPWR-LBL-ST-057-EUR-05-R00</t>
        </is>
      </c>
      <c r="C504" t="inlineStr">
        <is>
          <t>IA-PPWR-LBL-ST-057-EUR-05-R00</t>
        </is>
      </c>
      <c r="D504" s="19" t="inlineStr">
        <is>
          <t>11</t>
        </is>
      </c>
      <c r="E504" t="inlineStr">
        <is>
          <t>01_STARTER/ST-057-EUR-05/03_Label.docx</t>
        </is>
      </c>
      <c r="F504" t="inlineStr">
        <is>
          <t>9d1f1e20c7f3e3bfeee9aae66f087f94c4bfe19bfecac137f7f47f9aaadae4e8</t>
        </is>
      </c>
      <c r="G504" t="inlineStr">
        <is>
          <t>2026-08-08</t>
        </is>
      </c>
      <c r="H504" s="19" t="inlineStr">
        <is>
          <t>2</t>
        </is>
      </c>
      <c r="I504" t="inlineStr">
        <is>
          <t>Phase I generated Rev.00 Word file — linked; signatures not completed</t>
        </is>
      </c>
      <c r="J504" t="inlineStr">
        <is>
          <t>2026-08-10T19:29:54Z</t>
        </is>
      </c>
      <c r="K504" t="inlineStr">
        <is>
          <t>2026-08-10T19:49:41Z</t>
        </is>
      </c>
    </row>
    <row r="505">
      <c r="A505" s="19" t="inlineStr">
        <is>
          <t>504</t>
        </is>
      </c>
      <c r="B505" s="19" t="inlineStr">
        <is>
          <t>IA-PPWR-STM-ST-057-EUR-05-R00</t>
        </is>
      </c>
      <c r="C505" t="inlineStr">
        <is>
          <t>IA-PPWR-STM-ST-057-EUR-05-R00</t>
        </is>
      </c>
      <c r="D505" s="19" t="inlineStr">
        <is>
          <t>12</t>
        </is>
      </c>
      <c r="E505" t="inlineStr">
        <is>
          <t>01_STARTER/ST-057-EUR-05/04_Shipment_Statement.docx</t>
        </is>
      </c>
      <c r="F505" t="inlineStr">
        <is>
          <t>44387a9ac4c1a089e7c4abe1b7506a904a289469cb1c96964ba5928c266cd0f4</t>
        </is>
      </c>
      <c r="G505" t="inlineStr">
        <is>
          <t>2026-08-08</t>
        </is>
      </c>
      <c r="H505" s="19" t="inlineStr">
        <is>
          <t>2</t>
        </is>
      </c>
      <c r="I505" t="inlineStr">
        <is>
          <t>Phase I generated Rev.00 Word file — linked; signatures not completed</t>
        </is>
      </c>
      <c r="J505" t="inlineStr">
        <is>
          <t>2026-08-10T19:29:54Z</t>
        </is>
      </c>
      <c r="K505" t="inlineStr">
        <is>
          <t>2026-08-10T19:49:41Z</t>
        </is>
      </c>
    </row>
    <row r="506">
      <c r="A506" s="19" t="inlineStr">
        <is>
          <t>505</t>
        </is>
      </c>
      <c r="B506" s="19" t="inlineStr">
        <is>
          <t>IA-PPWR-TF-ST-057-STD-01-R00</t>
        </is>
      </c>
      <c r="C506" t="inlineStr">
        <is>
          <t>IA-PPWR-TF-ST-057-STD-01-R00</t>
        </is>
      </c>
      <c r="D506" s="19" t="inlineStr">
        <is>
          <t>1</t>
        </is>
      </c>
      <c r="E506" t="inlineStr">
        <is>
          <t>01_STARTER/ST-057-STD-01/01_Technical_File.docx</t>
        </is>
      </c>
      <c r="F506" t="inlineStr">
        <is>
          <t>c1c6ff4f91269991e2460d73bc694904438c97011531242b38c54986fd9b4817</t>
        </is>
      </c>
      <c r="G506" t="inlineStr">
        <is>
          <t>2026-08-08</t>
        </is>
      </c>
      <c r="H506" s="19" t="inlineStr">
        <is>
          <t>2</t>
        </is>
      </c>
      <c r="I506" t="inlineStr">
        <is>
          <t>Phase I generated Rev.00 Word file — linked; signatures not completed</t>
        </is>
      </c>
      <c r="J506" t="inlineStr">
        <is>
          <t>2026-08-10T19:29:54Z</t>
        </is>
      </c>
      <c r="K506" t="inlineStr">
        <is>
          <t>2026-08-10T19:49:41Z</t>
        </is>
      </c>
    </row>
    <row r="507">
      <c r="A507" s="19" t="inlineStr">
        <is>
          <t>506</t>
        </is>
      </c>
      <c r="B507" s="19" t="inlineStr">
        <is>
          <t>IA-PPWR-DOC-ST-057-STD-01-R00</t>
        </is>
      </c>
      <c r="C507" t="inlineStr">
        <is>
          <t>IA-PPWR-DOC-ST-057-STD-01-R00</t>
        </is>
      </c>
      <c r="D507" s="19" t="inlineStr">
        <is>
          <t>4</t>
        </is>
      </c>
      <c r="E507" t="inlineStr">
        <is>
          <t>01_STARTER/ST-057-STD-01/02_EU_DoC.docx</t>
        </is>
      </c>
      <c r="F507" t="inlineStr">
        <is>
          <t>6dd1785ca2fae148a719a12c9ed96d50dddf58267e4cee7a9861a49a63ebb291</t>
        </is>
      </c>
      <c r="G507" t="inlineStr">
        <is>
          <t>2026-08-08</t>
        </is>
      </c>
      <c r="H507" s="19" t="inlineStr">
        <is>
          <t>2</t>
        </is>
      </c>
      <c r="I507" t="inlineStr">
        <is>
          <t>Phase I generated Rev.00 Word file — linked; signatures not completed</t>
        </is>
      </c>
      <c r="J507" t="inlineStr">
        <is>
          <t>2026-08-10T19:29:54Z</t>
        </is>
      </c>
      <c r="K507" t="inlineStr">
        <is>
          <t>2026-08-10T19:49:41Z</t>
        </is>
      </c>
    </row>
    <row r="508">
      <c r="A508" s="19" t="inlineStr">
        <is>
          <t>507</t>
        </is>
      </c>
      <c r="B508" s="19" t="inlineStr">
        <is>
          <t>IA-PPWR-LBL-ST-057-STD-01-R00</t>
        </is>
      </c>
      <c r="C508" t="inlineStr">
        <is>
          <t>IA-PPWR-LBL-ST-057-STD-01-R00</t>
        </is>
      </c>
      <c r="D508" s="19" t="inlineStr">
        <is>
          <t>11</t>
        </is>
      </c>
      <c r="E508" t="inlineStr">
        <is>
          <t>01_STARTER/ST-057-STD-01/03_Label.docx</t>
        </is>
      </c>
      <c r="F508" t="inlineStr">
        <is>
          <t>33940c7ea6c2b34e4e0f2b5ef414cadc507988853a1b454a7c5ee3924c4e3ff4</t>
        </is>
      </c>
      <c r="G508" t="inlineStr">
        <is>
          <t>2026-08-08</t>
        </is>
      </c>
      <c r="H508" s="19" t="inlineStr">
        <is>
          <t>2</t>
        </is>
      </c>
      <c r="I508" t="inlineStr">
        <is>
          <t>Phase I generated Rev.00 Word file — linked; signatures not completed</t>
        </is>
      </c>
      <c r="J508" t="inlineStr">
        <is>
          <t>2026-08-10T19:29:54Z</t>
        </is>
      </c>
      <c r="K508" t="inlineStr">
        <is>
          <t>2026-08-10T19:49:41Z</t>
        </is>
      </c>
    </row>
    <row r="509">
      <c r="A509" s="19" t="inlineStr">
        <is>
          <t>508</t>
        </is>
      </c>
      <c r="B509" s="19" t="inlineStr">
        <is>
          <t>IA-PPWR-STM-ST-057-STD-01-R00</t>
        </is>
      </c>
      <c r="C509" t="inlineStr">
        <is>
          <t>IA-PPWR-STM-ST-057-STD-01-R00</t>
        </is>
      </c>
      <c r="D509" s="19" t="inlineStr">
        <is>
          <t>12</t>
        </is>
      </c>
      <c r="E509" t="inlineStr">
        <is>
          <t>01_STARTER/ST-057-STD-01/04_Shipment_Statement.docx</t>
        </is>
      </c>
      <c r="F509" t="inlineStr">
        <is>
          <t>acd1653fb4d19b7bcf7d06b5e869f1d5891f4f32781ce3f4bc34616c8d810c6a</t>
        </is>
      </c>
      <c r="G509" t="inlineStr">
        <is>
          <t>2026-08-08</t>
        </is>
      </c>
      <c r="H509" s="19" t="inlineStr">
        <is>
          <t>2</t>
        </is>
      </c>
      <c r="I509" t="inlineStr">
        <is>
          <t>Phase I generated Rev.00 Word file — linked; signatures not completed</t>
        </is>
      </c>
      <c r="J509" t="inlineStr">
        <is>
          <t>2026-08-10T19:29:54Z</t>
        </is>
      </c>
      <c r="K509" t="inlineStr">
        <is>
          <t>2026-08-10T19:49:41Z</t>
        </is>
      </c>
    </row>
    <row r="510">
      <c r="A510" s="19" t="inlineStr">
        <is>
          <t>509</t>
        </is>
      </c>
      <c r="B510" s="19" t="inlineStr">
        <is>
          <t>IA-PPWR-TF-ST-057-STD-02-R00</t>
        </is>
      </c>
      <c r="C510" t="inlineStr">
        <is>
          <t>IA-PPWR-TF-ST-057-STD-02-R00</t>
        </is>
      </c>
      <c r="D510" s="19" t="inlineStr">
        <is>
          <t>1</t>
        </is>
      </c>
      <c r="E510" t="inlineStr">
        <is>
          <t>01_STARTER/ST-057-STD-02/01_Technical_File.docx</t>
        </is>
      </c>
      <c r="F510" t="inlineStr">
        <is>
          <t>243c4e11db64f50f38a4fda28c65264ac972bbf16209247d764ee29af73165ce</t>
        </is>
      </c>
      <c r="G510" t="inlineStr">
        <is>
          <t>2026-08-08</t>
        </is>
      </c>
      <c r="H510" s="19" t="inlineStr">
        <is>
          <t>2</t>
        </is>
      </c>
      <c r="I510" t="inlineStr">
        <is>
          <t>Phase I generated Rev.00 Word file — linked; signatures not completed</t>
        </is>
      </c>
      <c r="J510" t="inlineStr">
        <is>
          <t>2026-08-10T19:29:54Z</t>
        </is>
      </c>
      <c r="K510" t="inlineStr">
        <is>
          <t>2026-08-10T19:49:41Z</t>
        </is>
      </c>
    </row>
    <row r="511">
      <c r="A511" s="19" t="inlineStr">
        <is>
          <t>510</t>
        </is>
      </c>
      <c r="B511" s="19" t="inlineStr">
        <is>
          <t>IA-PPWR-DOC-ST-057-STD-02-R00</t>
        </is>
      </c>
      <c r="C511" t="inlineStr">
        <is>
          <t>IA-PPWR-DOC-ST-057-STD-02-R00</t>
        </is>
      </c>
      <c r="D511" s="19" t="inlineStr">
        <is>
          <t>4</t>
        </is>
      </c>
      <c r="E511" t="inlineStr">
        <is>
          <t>01_STARTER/ST-057-STD-02/02_EU_DoC.docx</t>
        </is>
      </c>
      <c r="F511" t="inlineStr">
        <is>
          <t>72d6c33d0d4784fe05bb2bc3adc8ddc4880699693ba69eb04cc809d37df12653</t>
        </is>
      </c>
      <c r="G511" t="inlineStr">
        <is>
          <t>2026-08-08</t>
        </is>
      </c>
      <c r="H511" s="19" t="inlineStr">
        <is>
          <t>2</t>
        </is>
      </c>
      <c r="I511" t="inlineStr">
        <is>
          <t>Phase I generated Rev.00 Word file — linked; signatures not completed</t>
        </is>
      </c>
      <c r="J511" t="inlineStr">
        <is>
          <t>2026-08-10T19:29:54Z</t>
        </is>
      </c>
      <c r="K511" t="inlineStr">
        <is>
          <t>2026-08-10T19:49:41Z</t>
        </is>
      </c>
    </row>
    <row r="512">
      <c r="A512" s="19" t="inlineStr">
        <is>
          <t>511</t>
        </is>
      </c>
      <c r="B512" s="19" t="inlineStr">
        <is>
          <t>IA-PPWR-LBL-ST-057-STD-02-R00</t>
        </is>
      </c>
      <c r="C512" t="inlineStr">
        <is>
          <t>IA-PPWR-LBL-ST-057-STD-02-R00</t>
        </is>
      </c>
      <c r="D512" s="19" t="inlineStr">
        <is>
          <t>11</t>
        </is>
      </c>
      <c r="E512" t="inlineStr">
        <is>
          <t>01_STARTER/ST-057-STD-02/03_Label.docx</t>
        </is>
      </c>
      <c r="F512" t="inlineStr">
        <is>
          <t>a458dc1552e4be1306a84de786be734dc1c69d26cafb8dc5d03e266e90cad88c</t>
        </is>
      </c>
      <c r="G512" t="inlineStr">
        <is>
          <t>2026-08-08</t>
        </is>
      </c>
      <c r="H512" s="19" t="inlineStr">
        <is>
          <t>2</t>
        </is>
      </c>
      <c r="I512" t="inlineStr">
        <is>
          <t>Phase I generated Rev.00 Word file — linked; signatures not completed</t>
        </is>
      </c>
      <c r="J512" t="inlineStr">
        <is>
          <t>2026-08-10T19:29:54Z</t>
        </is>
      </c>
      <c r="K512" t="inlineStr">
        <is>
          <t>2026-08-10T19:49:41Z</t>
        </is>
      </c>
    </row>
    <row r="513">
      <c r="A513" s="19" t="inlineStr">
        <is>
          <t>512</t>
        </is>
      </c>
      <c r="B513" s="19" t="inlineStr">
        <is>
          <t>IA-PPWR-STM-ST-057-STD-02-R00</t>
        </is>
      </c>
      <c r="C513" t="inlineStr">
        <is>
          <t>IA-PPWR-STM-ST-057-STD-02-R00</t>
        </is>
      </c>
      <c r="D513" s="19" t="inlineStr">
        <is>
          <t>12</t>
        </is>
      </c>
      <c r="E513" t="inlineStr">
        <is>
          <t>01_STARTER/ST-057-STD-02/04_Shipment_Statement.docx</t>
        </is>
      </c>
      <c r="F513" t="inlineStr">
        <is>
          <t>f006e66b1ad0c5c24cb1d4aebed94d0e80c2720adc0b6b91ec392e368f08e8f7</t>
        </is>
      </c>
      <c r="G513" t="inlineStr">
        <is>
          <t>2026-08-08</t>
        </is>
      </c>
      <c r="H513" s="19" t="inlineStr">
        <is>
          <t>2</t>
        </is>
      </c>
      <c r="I513" t="inlineStr">
        <is>
          <t>Phase I generated Rev.00 Word file — linked; signatures not completed</t>
        </is>
      </c>
      <c r="J513" t="inlineStr">
        <is>
          <t>2026-08-10T19:29:54Z</t>
        </is>
      </c>
      <c r="K513" t="inlineStr">
        <is>
          <t>2026-08-10T19:49:41Z</t>
        </is>
      </c>
    </row>
    <row r="514">
      <c r="A514" s="19" t="inlineStr">
        <is>
          <t>513</t>
        </is>
      </c>
      <c r="B514" s="19" t="inlineStr">
        <is>
          <t>IA-PPWR-TF-ST-057-STD-03-R00</t>
        </is>
      </c>
      <c r="C514" t="inlineStr">
        <is>
          <t>IA-PPWR-TF-ST-057-STD-03-R00</t>
        </is>
      </c>
      <c r="D514" s="19" t="inlineStr">
        <is>
          <t>1</t>
        </is>
      </c>
      <c r="E514" t="inlineStr">
        <is>
          <t>01_STARTER/ST-057-STD-03/01_Technical_File.docx</t>
        </is>
      </c>
      <c r="F514" t="inlineStr">
        <is>
          <t>e5d7aa4092da0af19e7890f403981b9e098d080e2f66211b54615b97cd143977</t>
        </is>
      </c>
      <c r="G514" t="inlineStr">
        <is>
          <t>2026-08-08</t>
        </is>
      </c>
      <c r="H514" s="19" t="inlineStr">
        <is>
          <t>2</t>
        </is>
      </c>
      <c r="I514" t="inlineStr">
        <is>
          <t>Phase I generated Rev.00 Word file — linked; signatures not completed</t>
        </is>
      </c>
      <c r="J514" t="inlineStr">
        <is>
          <t>2026-08-10T19:29:54Z</t>
        </is>
      </c>
      <c r="K514" t="inlineStr">
        <is>
          <t>2026-08-10T19:49:41Z</t>
        </is>
      </c>
    </row>
    <row r="515">
      <c r="A515" s="19" t="inlineStr">
        <is>
          <t>514</t>
        </is>
      </c>
      <c r="B515" s="19" t="inlineStr">
        <is>
          <t>IA-PPWR-DOC-ST-057-STD-03-R00</t>
        </is>
      </c>
      <c r="C515" t="inlineStr">
        <is>
          <t>IA-PPWR-DOC-ST-057-STD-03-R00</t>
        </is>
      </c>
      <c r="D515" s="19" t="inlineStr">
        <is>
          <t>4</t>
        </is>
      </c>
      <c r="E515" t="inlineStr">
        <is>
          <t>01_STARTER/ST-057-STD-03/02_EU_DoC.docx</t>
        </is>
      </c>
      <c r="F515" t="inlineStr">
        <is>
          <t>5bd95738f673738017afea2c246d84d1c0c73bb4212e595cba43834c38e02ea5</t>
        </is>
      </c>
      <c r="G515" t="inlineStr">
        <is>
          <t>2026-08-08</t>
        </is>
      </c>
      <c r="H515" s="19" t="inlineStr">
        <is>
          <t>2</t>
        </is>
      </c>
      <c r="I515" t="inlineStr">
        <is>
          <t>Phase I generated Rev.00 Word file — linked; signatures not completed</t>
        </is>
      </c>
      <c r="J515" t="inlineStr">
        <is>
          <t>2026-08-10T19:29:54Z</t>
        </is>
      </c>
      <c r="K515" t="inlineStr">
        <is>
          <t>2026-08-10T19:49:41Z</t>
        </is>
      </c>
    </row>
    <row r="516">
      <c r="A516" s="19" t="inlineStr">
        <is>
          <t>515</t>
        </is>
      </c>
      <c r="B516" s="19" t="inlineStr">
        <is>
          <t>IA-PPWR-LBL-ST-057-STD-03-R00</t>
        </is>
      </c>
      <c r="C516" t="inlineStr">
        <is>
          <t>IA-PPWR-LBL-ST-057-STD-03-R00</t>
        </is>
      </c>
      <c r="D516" s="19" t="inlineStr">
        <is>
          <t>11</t>
        </is>
      </c>
      <c r="E516" t="inlineStr">
        <is>
          <t>01_STARTER/ST-057-STD-03/03_Label.docx</t>
        </is>
      </c>
      <c r="F516" t="inlineStr">
        <is>
          <t>34d51445c444bfdc5031c7d38297faf275033e106720708da2db5c495227c6ca</t>
        </is>
      </c>
      <c r="G516" t="inlineStr">
        <is>
          <t>2026-08-08</t>
        </is>
      </c>
      <c r="H516" s="19" t="inlineStr">
        <is>
          <t>2</t>
        </is>
      </c>
      <c r="I516" t="inlineStr">
        <is>
          <t>Phase I generated Rev.00 Word file — linked; signatures not completed</t>
        </is>
      </c>
      <c r="J516" t="inlineStr">
        <is>
          <t>2026-08-10T19:29:54Z</t>
        </is>
      </c>
      <c r="K516" t="inlineStr">
        <is>
          <t>2026-08-10T19:49:41Z</t>
        </is>
      </c>
    </row>
    <row r="517">
      <c r="A517" s="19" t="inlineStr">
        <is>
          <t>516</t>
        </is>
      </c>
      <c r="B517" s="19" t="inlineStr">
        <is>
          <t>IA-PPWR-STM-ST-057-STD-03-R00</t>
        </is>
      </c>
      <c r="C517" t="inlineStr">
        <is>
          <t>IA-PPWR-STM-ST-057-STD-03-R00</t>
        </is>
      </c>
      <c r="D517" s="19" t="inlineStr">
        <is>
          <t>12</t>
        </is>
      </c>
      <c r="E517" t="inlineStr">
        <is>
          <t>01_STARTER/ST-057-STD-03/04_Shipment_Statement.docx</t>
        </is>
      </c>
      <c r="F517" t="inlineStr">
        <is>
          <t>a90e1f90491f08088e77d978618b6560fa02e0e036756e33b46b5ccfd5c41bb1</t>
        </is>
      </c>
      <c r="G517" t="inlineStr">
        <is>
          <t>2026-08-08</t>
        </is>
      </c>
      <c r="H517" s="19" t="inlineStr">
        <is>
          <t>2</t>
        </is>
      </c>
      <c r="I517" t="inlineStr">
        <is>
          <t>Phase I generated Rev.00 Word file — linked; signatures not completed</t>
        </is>
      </c>
      <c r="J517" t="inlineStr">
        <is>
          <t>2026-08-10T19:29:54Z</t>
        </is>
      </c>
      <c r="K517" t="inlineStr">
        <is>
          <t>2026-08-10T19:49:41Z</t>
        </is>
      </c>
    </row>
    <row r="518">
      <c r="A518" s="19" t="inlineStr">
        <is>
          <t>517</t>
        </is>
      </c>
      <c r="B518" s="19" t="inlineStr">
        <is>
          <t>IA-PPWR-TF-ST-060-EUR-01-R00</t>
        </is>
      </c>
      <c r="C518" t="inlineStr">
        <is>
          <t>IA-PPWR-TF-ST-060-EUR-01-R00</t>
        </is>
      </c>
      <c r="D518" s="19" t="inlineStr">
        <is>
          <t>1</t>
        </is>
      </c>
      <c r="E518" t="inlineStr">
        <is>
          <t>01_STARTER/ST-060-EUR-01/01_Technical_File.docx</t>
        </is>
      </c>
      <c r="F518" t="inlineStr">
        <is>
          <t>c5f1ae86211dcb31aa0fd43a7c203847b1862cbcad8d039d108605ef45584280</t>
        </is>
      </c>
      <c r="G518" t="inlineStr">
        <is>
          <t>2026-08-08</t>
        </is>
      </c>
      <c r="H518" s="19" t="inlineStr">
        <is>
          <t>2</t>
        </is>
      </c>
      <c r="I518" t="inlineStr">
        <is>
          <t>Phase I generated Rev.00 Word file — linked; signatures not completed</t>
        </is>
      </c>
      <c r="J518" t="inlineStr">
        <is>
          <t>2026-08-10T19:29:54Z</t>
        </is>
      </c>
      <c r="K518" t="inlineStr">
        <is>
          <t>2026-08-10T19:49:41Z</t>
        </is>
      </c>
    </row>
    <row r="519">
      <c r="A519" s="19" t="inlineStr">
        <is>
          <t>518</t>
        </is>
      </c>
      <c r="B519" s="19" t="inlineStr">
        <is>
          <t>IA-PPWR-DOC-ST-060-EUR-01-R00</t>
        </is>
      </c>
      <c r="C519" t="inlineStr">
        <is>
          <t>IA-PPWR-DOC-ST-060-EUR-01-R00</t>
        </is>
      </c>
      <c r="D519" s="19" t="inlineStr">
        <is>
          <t>4</t>
        </is>
      </c>
      <c r="E519" t="inlineStr">
        <is>
          <t>01_STARTER/ST-060-EUR-01/02_EU_DoC.docx</t>
        </is>
      </c>
      <c r="F519" t="inlineStr">
        <is>
          <t>23a2e29e738483c13cfe62031cd8d683ed7f0e2f2032d285a88b2f4a16de0e88</t>
        </is>
      </c>
      <c r="G519" t="inlineStr">
        <is>
          <t>2026-08-08</t>
        </is>
      </c>
      <c r="H519" s="19" t="inlineStr">
        <is>
          <t>2</t>
        </is>
      </c>
      <c r="I519" t="inlineStr">
        <is>
          <t>Phase I generated Rev.00 Word file — linked; signatures not completed</t>
        </is>
      </c>
      <c r="J519" t="inlineStr">
        <is>
          <t>2026-08-10T19:29:54Z</t>
        </is>
      </c>
      <c r="K519" t="inlineStr">
        <is>
          <t>2026-08-10T19:49:41Z</t>
        </is>
      </c>
    </row>
    <row r="520">
      <c r="A520" s="19" t="inlineStr">
        <is>
          <t>519</t>
        </is>
      </c>
      <c r="B520" s="19" t="inlineStr">
        <is>
          <t>IA-PPWR-LBL-ST-060-EUR-01-R00</t>
        </is>
      </c>
      <c r="C520" t="inlineStr">
        <is>
          <t>IA-PPWR-LBL-ST-060-EUR-01-R00</t>
        </is>
      </c>
      <c r="D520" s="19" t="inlineStr">
        <is>
          <t>11</t>
        </is>
      </c>
      <c r="E520" t="inlineStr">
        <is>
          <t>01_STARTER/ST-060-EUR-01/03_Label.docx</t>
        </is>
      </c>
      <c r="F520" t="inlineStr">
        <is>
          <t>273d04533577bd3af6c939530fb362ef943eacc62450387f980f9c3d426362c7</t>
        </is>
      </c>
      <c r="G520" t="inlineStr">
        <is>
          <t>2026-08-08</t>
        </is>
      </c>
      <c r="H520" s="19" t="inlineStr">
        <is>
          <t>2</t>
        </is>
      </c>
      <c r="I520" t="inlineStr">
        <is>
          <t>Phase I generated Rev.00 Word file — linked; signatures not completed</t>
        </is>
      </c>
      <c r="J520" t="inlineStr">
        <is>
          <t>2026-08-10T19:29:54Z</t>
        </is>
      </c>
      <c r="K520" t="inlineStr">
        <is>
          <t>2026-08-10T19:49:41Z</t>
        </is>
      </c>
    </row>
    <row r="521">
      <c r="A521" s="19" t="inlineStr">
        <is>
          <t>520</t>
        </is>
      </c>
      <c r="B521" s="19" t="inlineStr">
        <is>
          <t>IA-PPWR-STM-ST-060-EUR-01-R00</t>
        </is>
      </c>
      <c r="C521" t="inlineStr">
        <is>
          <t>IA-PPWR-STM-ST-060-EUR-01-R00</t>
        </is>
      </c>
      <c r="D521" s="19" t="inlineStr">
        <is>
          <t>12</t>
        </is>
      </c>
      <c r="E521" t="inlineStr">
        <is>
          <t>01_STARTER/ST-060-EUR-01/04_Shipment_Statement.docx</t>
        </is>
      </c>
      <c r="F521" t="inlineStr">
        <is>
          <t>1f8841184ca3c398c8c758a4c8751b1ae91b8fef2cd319af2c796c8eba1e7d72</t>
        </is>
      </c>
      <c r="G521" t="inlineStr">
        <is>
          <t>2026-08-08</t>
        </is>
      </c>
      <c r="H521" s="19" t="inlineStr">
        <is>
          <t>2</t>
        </is>
      </c>
      <c r="I521" t="inlineStr">
        <is>
          <t>Phase I generated Rev.00 Word file — linked; signatures not completed</t>
        </is>
      </c>
      <c r="J521" t="inlineStr">
        <is>
          <t>2026-08-10T19:29:54Z</t>
        </is>
      </c>
      <c r="K521" t="inlineStr">
        <is>
          <t>2026-08-10T19:49:41Z</t>
        </is>
      </c>
    </row>
    <row r="522">
      <c r="A522" s="19" t="inlineStr">
        <is>
          <t>521</t>
        </is>
      </c>
      <c r="B522" s="19" t="inlineStr">
        <is>
          <t>IA-PPWR-TF-ST-060-EUR-02-R00</t>
        </is>
      </c>
      <c r="C522" t="inlineStr">
        <is>
          <t>IA-PPWR-TF-ST-060-EUR-02-R00</t>
        </is>
      </c>
      <c r="D522" s="19" t="inlineStr">
        <is>
          <t>1</t>
        </is>
      </c>
      <c r="E522" t="inlineStr">
        <is>
          <t>01_STARTER/ST-060-EUR-02/01_Technical_File.docx</t>
        </is>
      </c>
      <c r="F522" t="inlineStr">
        <is>
          <t>1f52e944d64a929bd2f153de78a0c4fb4ffcaba9c3874c53d9378b526bdfec6a</t>
        </is>
      </c>
      <c r="G522" t="inlineStr">
        <is>
          <t>2026-08-08</t>
        </is>
      </c>
      <c r="H522" s="19" t="inlineStr">
        <is>
          <t>2</t>
        </is>
      </c>
      <c r="I522" t="inlineStr">
        <is>
          <t>Phase I generated Rev.00 Word file — linked; signatures not completed</t>
        </is>
      </c>
      <c r="J522" t="inlineStr">
        <is>
          <t>2026-08-10T19:29:54Z</t>
        </is>
      </c>
      <c r="K522" t="inlineStr">
        <is>
          <t>2026-08-10T19:49:41Z</t>
        </is>
      </c>
    </row>
    <row r="523">
      <c r="A523" s="19" t="inlineStr">
        <is>
          <t>522</t>
        </is>
      </c>
      <c r="B523" s="19" t="inlineStr">
        <is>
          <t>IA-PPWR-DOC-ST-060-EUR-02-R00</t>
        </is>
      </c>
      <c r="C523" t="inlineStr">
        <is>
          <t>IA-PPWR-DOC-ST-060-EUR-02-R00</t>
        </is>
      </c>
      <c r="D523" s="19" t="inlineStr">
        <is>
          <t>4</t>
        </is>
      </c>
      <c r="E523" t="inlineStr">
        <is>
          <t>01_STARTER/ST-060-EUR-02/02_EU_DoC.docx</t>
        </is>
      </c>
      <c r="F523" t="inlineStr">
        <is>
          <t>26307f0d32e3b5ba34dea351399aa8a4c1f70e7b9061fb17b2d411f558381ee8</t>
        </is>
      </c>
      <c r="G523" t="inlineStr">
        <is>
          <t>2026-08-08</t>
        </is>
      </c>
      <c r="H523" s="19" t="inlineStr">
        <is>
          <t>2</t>
        </is>
      </c>
      <c r="I523" t="inlineStr">
        <is>
          <t>Phase I generated Rev.00 Word file — linked; signatures not completed</t>
        </is>
      </c>
      <c r="J523" t="inlineStr">
        <is>
          <t>2026-08-10T19:29:54Z</t>
        </is>
      </c>
      <c r="K523" t="inlineStr">
        <is>
          <t>2026-08-10T19:49:41Z</t>
        </is>
      </c>
    </row>
    <row r="524">
      <c r="A524" s="19" t="inlineStr">
        <is>
          <t>523</t>
        </is>
      </c>
      <c r="B524" s="19" t="inlineStr">
        <is>
          <t>IA-PPWR-LBL-ST-060-EUR-02-R00</t>
        </is>
      </c>
      <c r="C524" t="inlineStr">
        <is>
          <t>IA-PPWR-LBL-ST-060-EUR-02-R00</t>
        </is>
      </c>
      <c r="D524" s="19" t="inlineStr">
        <is>
          <t>11</t>
        </is>
      </c>
      <c r="E524" t="inlineStr">
        <is>
          <t>01_STARTER/ST-060-EUR-02/03_Label.docx</t>
        </is>
      </c>
      <c r="F524" t="inlineStr">
        <is>
          <t>17b72d1b2651e4b67373e4dd2aaeee8837931f2db553c6e354bbb182c7ed3deb</t>
        </is>
      </c>
      <c r="G524" t="inlineStr">
        <is>
          <t>2026-08-08</t>
        </is>
      </c>
      <c r="H524" s="19" t="inlineStr">
        <is>
          <t>2</t>
        </is>
      </c>
      <c r="I524" t="inlineStr">
        <is>
          <t>Phase I generated Rev.00 Word file — linked; signatures not completed</t>
        </is>
      </c>
      <c r="J524" t="inlineStr">
        <is>
          <t>2026-08-10T19:29:54Z</t>
        </is>
      </c>
      <c r="K524" t="inlineStr">
        <is>
          <t>2026-08-10T19:49:41Z</t>
        </is>
      </c>
    </row>
    <row r="525">
      <c r="A525" s="19" t="inlineStr">
        <is>
          <t>524</t>
        </is>
      </c>
      <c r="B525" s="19" t="inlineStr">
        <is>
          <t>IA-PPWR-STM-ST-060-EUR-02-R00</t>
        </is>
      </c>
      <c r="C525" t="inlineStr">
        <is>
          <t>IA-PPWR-STM-ST-060-EUR-02-R00</t>
        </is>
      </c>
      <c r="D525" s="19" t="inlineStr">
        <is>
          <t>12</t>
        </is>
      </c>
      <c r="E525" t="inlineStr">
        <is>
          <t>01_STARTER/ST-060-EUR-02/04_Shipment_Statement.docx</t>
        </is>
      </c>
      <c r="F525" t="inlineStr">
        <is>
          <t>0ab1521ced6a6c446c03c1356fc10383a586b64a30fd2f42adf79be939f6a8ad</t>
        </is>
      </c>
      <c r="G525" t="inlineStr">
        <is>
          <t>2026-08-08</t>
        </is>
      </c>
      <c r="H525" s="19" t="inlineStr">
        <is>
          <t>2</t>
        </is>
      </c>
      <c r="I525" t="inlineStr">
        <is>
          <t>Phase I generated Rev.00 Word file — linked; signatures not completed</t>
        </is>
      </c>
      <c r="J525" t="inlineStr">
        <is>
          <t>2026-08-10T19:29:54Z</t>
        </is>
      </c>
      <c r="K525" t="inlineStr">
        <is>
          <t>2026-08-10T19:49:41Z</t>
        </is>
      </c>
    </row>
    <row r="526">
      <c r="A526" s="19" t="inlineStr">
        <is>
          <t>525</t>
        </is>
      </c>
      <c r="B526" s="19" t="inlineStr">
        <is>
          <t>IA-PPWR-TF-ST-060-STD-01-R00</t>
        </is>
      </c>
      <c r="C526" t="inlineStr">
        <is>
          <t>IA-PPWR-TF-ST-060-STD-01-R00</t>
        </is>
      </c>
      <c r="D526" s="19" t="inlineStr">
        <is>
          <t>1</t>
        </is>
      </c>
      <c r="E526" t="inlineStr">
        <is>
          <t>01_STARTER/ST-060-STD-01/01_Technical_File.docx</t>
        </is>
      </c>
      <c r="F526" t="inlineStr">
        <is>
          <t>417ddc7be857d6abd3c9bbb11cb1bb83c251b33bc4a7b27b52f74604fafaf3a0</t>
        </is>
      </c>
      <c r="G526" t="inlineStr">
        <is>
          <t>2026-08-08</t>
        </is>
      </c>
      <c r="H526" s="19" t="inlineStr">
        <is>
          <t>2</t>
        </is>
      </c>
      <c r="I526" t="inlineStr">
        <is>
          <t>Phase I generated Rev.00 Word file — linked; signatures not completed</t>
        </is>
      </c>
      <c r="J526" t="inlineStr">
        <is>
          <t>2026-08-10T19:29:54Z</t>
        </is>
      </c>
      <c r="K526" t="inlineStr">
        <is>
          <t>2026-08-10T19:49:41Z</t>
        </is>
      </c>
    </row>
    <row r="527">
      <c r="A527" s="19" t="inlineStr">
        <is>
          <t>526</t>
        </is>
      </c>
      <c r="B527" s="19" t="inlineStr">
        <is>
          <t>IA-PPWR-DOC-ST-060-STD-01-R00</t>
        </is>
      </c>
      <c r="C527" t="inlineStr">
        <is>
          <t>IA-PPWR-DOC-ST-060-STD-01-R00</t>
        </is>
      </c>
      <c r="D527" s="19" t="inlineStr">
        <is>
          <t>4</t>
        </is>
      </c>
      <c r="E527" t="inlineStr">
        <is>
          <t>01_STARTER/ST-060-STD-01/02_EU_DoC.docx</t>
        </is>
      </c>
      <c r="F527" t="inlineStr">
        <is>
          <t>f464749b36b49c73e71bd6e2c95b17148dfb2925001972a7566a2e7b60b9721c</t>
        </is>
      </c>
      <c r="G527" t="inlineStr">
        <is>
          <t>2026-08-08</t>
        </is>
      </c>
      <c r="H527" s="19" t="inlineStr">
        <is>
          <t>2</t>
        </is>
      </c>
      <c r="I527" t="inlineStr">
        <is>
          <t>Phase I generated Rev.00 Word file — linked; signatures not completed</t>
        </is>
      </c>
      <c r="J527" t="inlineStr">
        <is>
          <t>2026-08-10T19:29:54Z</t>
        </is>
      </c>
      <c r="K527" t="inlineStr">
        <is>
          <t>2026-08-10T19:49:41Z</t>
        </is>
      </c>
    </row>
    <row r="528">
      <c r="A528" s="19" t="inlineStr">
        <is>
          <t>527</t>
        </is>
      </c>
      <c r="B528" s="19" t="inlineStr">
        <is>
          <t>IA-PPWR-LBL-ST-060-STD-01-R00</t>
        </is>
      </c>
      <c r="C528" t="inlineStr">
        <is>
          <t>IA-PPWR-LBL-ST-060-STD-01-R00</t>
        </is>
      </c>
      <c r="D528" s="19" t="inlineStr">
        <is>
          <t>11</t>
        </is>
      </c>
      <c r="E528" t="inlineStr">
        <is>
          <t>01_STARTER/ST-060-STD-01/03_Label.docx</t>
        </is>
      </c>
      <c r="F528" t="inlineStr">
        <is>
          <t>75f3a1f438bd06e1a6603eba5e1cd7cdf0b399727e23cb83859096c154de2872</t>
        </is>
      </c>
      <c r="G528" t="inlineStr">
        <is>
          <t>2026-08-08</t>
        </is>
      </c>
      <c r="H528" s="19" t="inlineStr">
        <is>
          <t>2</t>
        </is>
      </c>
      <c r="I528" t="inlineStr">
        <is>
          <t>Phase I generated Rev.00 Word file — linked; signatures not completed</t>
        </is>
      </c>
      <c r="J528" t="inlineStr">
        <is>
          <t>2026-08-10T19:29:54Z</t>
        </is>
      </c>
      <c r="K528" t="inlineStr">
        <is>
          <t>2026-08-10T19:49:41Z</t>
        </is>
      </c>
    </row>
    <row r="529">
      <c r="A529" s="19" t="inlineStr">
        <is>
          <t>528</t>
        </is>
      </c>
      <c r="B529" s="19" t="inlineStr">
        <is>
          <t>IA-PPWR-STM-ST-060-STD-01-R00</t>
        </is>
      </c>
      <c r="C529" t="inlineStr">
        <is>
          <t>IA-PPWR-STM-ST-060-STD-01-R00</t>
        </is>
      </c>
      <c r="D529" s="19" t="inlineStr">
        <is>
          <t>12</t>
        </is>
      </c>
      <c r="E529" t="inlineStr">
        <is>
          <t>01_STARTER/ST-060-STD-01/04_Shipment_Statement.docx</t>
        </is>
      </c>
      <c r="F529" t="inlineStr">
        <is>
          <t>1e4c1265b0a17e67637d06af1cbfb183f89c60dac8b78f5c3222a71ced522d5b</t>
        </is>
      </c>
      <c r="G529" t="inlineStr">
        <is>
          <t>2026-08-08</t>
        </is>
      </c>
      <c r="H529" s="19" t="inlineStr">
        <is>
          <t>2</t>
        </is>
      </c>
      <c r="I529" t="inlineStr">
        <is>
          <t>Phase I generated Rev.00 Word file — linked; signatures not completed</t>
        </is>
      </c>
      <c r="J529" t="inlineStr">
        <is>
          <t>2026-08-10T19:29:54Z</t>
        </is>
      </c>
      <c r="K529" t="inlineStr">
        <is>
          <t>2026-08-10T19:49:41Z</t>
        </is>
      </c>
    </row>
    <row r="530">
      <c r="A530" s="19" t="inlineStr">
        <is>
          <t>529</t>
        </is>
      </c>
      <c r="B530" s="19" t="inlineStr">
        <is>
          <t>IA-PPWR-TF-ST-060-STD-02-R00</t>
        </is>
      </c>
      <c r="C530" t="inlineStr">
        <is>
          <t>IA-PPWR-TF-ST-060-STD-02-R00</t>
        </is>
      </c>
      <c r="D530" s="19" t="inlineStr">
        <is>
          <t>1</t>
        </is>
      </c>
      <c r="E530" t="inlineStr">
        <is>
          <t>01_STARTER/ST-060-STD-02/01_Technical_File.docx</t>
        </is>
      </c>
      <c r="F530" t="inlineStr">
        <is>
          <t>a1b3911f037cdab61cc469b9d0a3ad22bb536c24e3d833e1b3fbfbb6e4019113</t>
        </is>
      </c>
      <c r="G530" t="inlineStr">
        <is>
          <t>2026-08-08</t>
        </is>
      </c>
      <c r="H530" s="19" t="inlineStr">
        <is>
          <t>2</t>
        </is>
      </c>
      <c r="I530" t="inlineStr">
        <is>
          <t>Phase I generated Rev.00 Word file — linked; signatures not completed</t>
        </is>
      </c>
      <c r="J530" t="inlineStr">
        <is>
          <t>2026-08-10T19:29:54Z</t>
        </is>
      </c>
      <c r="K530" t="inlineStr">
        <is>
          <t>2026-08-10T19:49:41Z</t>
        </is>
      </c>
    </row>
    <row r="531">
      <c r="A531" s="19" t="inlineStr">
        <is>
          <t>530</t>
        </is>
      </c>
      <c r="B531" s="19" t="inlineStr">
        <is>
          <t>IA-PPWR-DOC-ST-060-STD-02-R00</t>
        </is>
      </c>
      <c r="C531" t="inlineStr">
        <is>
          <t>IA-PPWR-DOC-ST-060-STD-02-R00</t>
        </is>
      </c>
      <c r="D531" s="19" t="inlineStr">
        <is>
          <t>4</t>
        </is>
      </c>
      <c r="E531" t="inlineStr">
        <is>
          <t>01_STARTER/ST-060-STD-02/02_EU_DoC.docx</t>
        </is>
      </c>
      <c r="F531" t="inlineStr">
        <is>
          <t>e1c92a9ff412cda017f8d7315c1f019546b03609fe0e7b67ce763714e7c69002</t>
        </is>
      </c>
      <c r="G531" t="inlineStr">
        <is>
          <t>2026-08-08</t>
        </is>
      </c>
      <c r="H531" s="19" t="inlineStr">
        <is>
          <t>2</t>
        </is>
      </c>
      <c r="I531" t="inlineStr">
        <is>
          <t>Phase I generated Rev.00 Word file — linked; signatures not completed</t>
        </is>
      </c>
      <c r="J531" t="inlineStr">
        <is>
          <t>2026-08-10T19:29:54Z</t>
        </is>
      </c>
      <c r="K531" t="inlineStr">
        <is>
          <t>2026-08-10T19:49:41Z</t>
        </is>
      </c>
    </row>
    <row r="532">
      <c r="A532" s="19" t="inlineStr">
        <is>
          <t>531</t>
        </is>
      </c>
      <c r="B532" s="19" t="inlineStr">
        <is>
          <t>IA-PPWR-LBL-ST-060-STD-02-R00</t>
        </is>
      </c>
      <c r="C532" t="inlineStr">
        <is>
          <t>IA-PPWR-LBL-ST-060-STD-02-R00</t>
        </is>
      </c>
      <c r="D532" s="19" t="inlineStr">
        <is>
          <t>11</t>
        </is>
      </c>
      <c r="E532" t="inlineStr">
        <is>
          <t>01_STARTER/ST-060-STD-02/03_Label.docx</t>
        </is>
      </c>
      <c r="F532" t="inlineStr">
        <is>
          <t>073ce508047869dc9b4c5dff22b4865d1d75cbfb21be06f5284cd6ee7423b0fb</t>
        </is>
      </c>
      <c r="G532" t="inlineStr">
        <is>
          <t>2026-08-08</t>
        </is>
      </c>
      <c r="H532" s="19" t="inlineStr">
        <is>
          <t>2</t>
        </is>
      </c>
      <c r="I532" t="inlineStr">
        <is>
          <t>Phase I generated Rev.00 Word file — linked; signatures not completed</t>
        </is>
      </c>
      <c r="J532" t="inlineStr">
        <is>
          <t>2026-08-10T19:29:54Z</t>
        </is>
      </c>
      <c r="K532" t="inlineStr">
        <is>
          <t>2026-08-10T19:49:41Z</t>
        </is>
      </c>
    </row>
    <row r="533">
      <c r="A533" s="19" t="inlineStr">
        <is>
          <t>532</t>
        </is>
      </c>
      <c r="B533" s="19" t="inlineStr">
        <is>
          <t>IA-PPWR-STM-ST-060-STD-02-R00</t>
        </is>
      </c>
      <c r="C533" t="inlineStr">
        <is>
          <t>IA-PPWR-STM-ST-060-STD-02-R00</t>
        </is>
      </c>
      <c r="D533" s="19" t="inlineStr">
        <is>
          <t>12</t>
        </is>
      </c>
      <c r="E533" t="inlineStr">
        <is>
          <t>01_STARTER/ST-060-STD-02/04_Shipment_Statement.docx</t>
        </is>
      </c>
      <c r="F533" t="inlineStr">
        <is>
          <t>4ab5099b6be452a4673471c1c9e3c6145fe159b8cd28d3361684303e7e5e1c6b</t>
        </is>
      </c>
      <c r="G533" t="inlineStr">
        <is>
          <t>2026-08-08</t>
        </is>
      </c>
      <c r="H533" s="19" t="inlineStr">
        <is>
          <t>2</t>
        </is>
      </c>
      <c r="I533" t="inlineStr">
        <is>
          <t>Phase I generated Rev.00 Word file — linked; signatures not completed</t>
        </is>
      </c>
      <c r="J533" t="inlineStr">
        <is>
          <t>2026-08-10T19:29:54Z</t>
        </is>
      </c>
      <c r="K533" t="inlineStr">
        <is>
          <t>2026-08-10T19:49:41Z</t>
        </is>
      </c>
    </row>
    <row r="534">
      <c r="A534" s="19" t="inlineStr">
        <is>
          <t>533</t>
        </is>
      </c>
      <c r="B534" s="19" t="inlineStr">
        <is>
          <t>IA-PPWR-TF-ST-060-STD-03-R00</t>
        </is>
      </c>
      <c r="C534" t="inlineStr">
        <is>
          <t>IA-PPWR-TF-ST-060-STD-03-R00</t>
        </is>
      </c>
      <c r="D534" s="19" t="inlineStr">
        <is>
          <t>1</t>
        </is>
      </c>
      <c r="E534" t="inlineStr">
        <is>
          <t>01_STARTER/ST-060-STD-03/01_Technical_File.docx</t>
        </is>
      </c>
      <c r="F534" t="inlineStr">
        <is>
          <t>995ef918e46cd61e7fd98b364eb3e01ce9a8652a6588b5653199f7b24ca98a51</t>
        </is>
      </c>
      <c r="G534" t="inlineStr">
        <is>
          <t>2026-08-08</t>
        </is>
      </c>
      <c r="H534" s="19" t="inlineStr">
        <is>
          <t>2</t>
        </is>
      </c>
      <c r="I534" t="inlineStr">
        <is>
          <t>Phase I generated Rev.00 Word file — linked; signatures not completed</t>
        </is>
      </c>
      <c r="J534" t="inlineStr">
        <is>
          <t>2026-08-10T19:29:54Z</t>
        </is>
      </c>
      <c r="K534" t="inlineStr">
        <is>
          <t>2026-08-10T19:49:41Z</t>
        </is>
      </c>
    </row>
    <row r="535">
      <c r="A535" s="19" t="inlineStr">
        <is>
          <t>534</t>
        </is>
      </c>
      <c r="B535" s="19" t="inlineStr">
        <is>
          <t>IA-PPWR-DOC-ST-060-STD-03-R00</t>
        </is>
      </c>
      <c r="C535" t="inlineStr">
        <is>
          <t>IA-PPWR-DOC-ST-060-STD-03-R00</t>
        </is>
      </c>
      <c r="D535" s="19" t="inlineStr">
        <is>
          <t>4</t>
        </is>
      </c>
      <c r="E535" t="inlineStr">
        <is>
          <t>01_STARTER/ST-060-STD-03/02_EU_DoC.docx</t>
        </is>
      </c>
      <c r="F535" t="inlineStr">
        <is>
          <t>fc96883299ac71ad45cb6f8beb5104da8f11c18eb5113d7628594cb82ca7fc5c</t>
        </is>
      </c>
      <c r="G535" t="inlineStr">
        <is>
          <t>2026-08-08</t>
        </is>
      </c>
      <c r="H535" s="19" t="inlineStr">
        <is>
          <t>2</t>
        </is>
      </c>
      <c r="I535" t="inlineStr">
        <is>
          <t>Phase I generated Rev.00 Word file — linked; signatures not completed</t>
        </is>
      </c>
      <c r="J535" t="inlineStr">
        <is>
          <t>2026-08-10T19:29:54Z</t>
        </is>
      </c>
      <c r="K535" t="inlineStr">
        <is>
          <t>2026-08-10T19:49:41Z</t>
        </is>
      </c>
    </row>
    <row r="536">
      <c r="A536" s="19" t="inlineStr">
        <is>
          <t>535</t>
        </is>
      </c>
      <c r="B536" s="19" t="inlineStr">
        <is>
          <t>IA-PPWR-LBL-ST-060-STD-03-R00</t>
        </is>
      </c>
      <c r="C536" t="inlineStr">
        <is>
          <t>IA-PPWR-LBL-ST-060-STD-03-R00</t>
        </is>
      </c>
      <c r="D536" s="19" t="inlineStr">
        <is>
          <t>11</t>
        </is>
      </c>
      <c r="E536" t="inlineStr">
        <is>
          <t>01_STARTER/ST-060-STD-03/03_Label.docx</t>
        </is>
      </c>
      <c r="F536" t="inlineStr">
        <is>
          <t>7b89ac105f1f866bf4a8362cbced0e61943d8efb191d0a751889a946ad9f7e3c</t>
        </is>
      </c>
      <c r="G536" t="inlineStr">
        <is>
          <t>2026-08-08</t>
        </is>
      </c>
      <c r="H536" s="19" t="inlineStr">
        <is>
          <t>2</t>
        </is>
      </c>
      <c r="I536" t="inlineStr">
        <is>
          <t>Phase I generated Rev.00 Word file — linked; signatures not completed</t>
        </is>
      </c>
      <c r="J536" t="inlineStr">
        <is>
          <t>2026-08-10T19:29:54Z</t>
        </is>
      </c>
      <c r="K536" t="inlineStr">
        <is>
          <t>2026-08-10T19:49:41Z</t>
        </is>
      </c>
    </row>
    <row r="537">
      <c r="A537" s="19" t="inlineStr">
        <is>
          <t>536</t>
        </is>
      </c>
      <c r="B537" s="19" t="inlineStr">
        <is>
          <t>IA-PPWR-STM-ST-060-STD-03-R00</t>
        </is>
      </c>
      <c r="C537" t="inlineStr">
        <is>
          <t>IA-PPWR-STM-ST-060-STD-03-R00</t>
        </is>
      </c>
      <c r="D537" s="19" t="inlineStr">
        <is>
          <t>12</t>
        </is>
      </c>
      <c r="E537" t="inlineStr">
        <is>
          <t>01_STARTER/ST-060-STD-03/04_Shipment_Statement.docx</t>
        </is>
      </c>
      <c r="F537" t="inlineStr">
        <is>
          <t>62e222368ba47476bb4650a283cfbb5545b8a947c7f2ce2af15add62b9b49ac8</t>
        </is>
      </c>
      <c r="G537" t="inlineStr">
        <is>
          <t>2026-08-08</t>
        </is>
      </c>
      <c r="H537" s="19" t="inlineStr">
        <is>
          <t>2</t>
        </is>
      </c>
      <c r="I537" t="inlineStr">
        <is>
          <t>Phase I generated Rev.00 Word file — linked; signatures not completed</t>
        </is>
      </c>
      <c r="J537" t="inlineStr">
        <is>
          <t>2026-08-10T19:29:54Z</t>
        </is>
      </c>
      <c r="K537" t="inlineStr">
        <is>
          <t>2026-08-10T19:49:41Z</t>
        </is>
      </c>
    </row>
    <row r="538">
      <c r="A538" s="19" t="inlineStr">
        <is>
          <t>537</t>
        </is>
      </c>
      <c r="B538" s="19" t="inlineStr">
        <is>
          <t>IA-PPWR-TF-ST-060-STD-04-R00</t>
        </is>
      </c>
      <c r="C538" t="inlineStr">
        <is>
          <t>IA-PPWR-TF-ST-060-STD-04-R00</t>
        </is>
      </c>
      <c r="D538" s="19" t="inlineStr">
        <is>
          <t>1</t>
        </is>
      </c>
      <c r="E538" t="inlineStr">
        <is>
          <t>01_STARTER/ST-060-STD-04/01_Technical_File.docx</t>
        </is>
      </c>
      <c r="F538" t="inlineStr">
        <is>
          <t>c5b6c750499262a92285f14c020125624dea703c80340c774cee3d71a035d9fa</t>
        </is>
      </c>
      <c r="G538" t="inlineStr">
        <is>
          <t>2026-08-08</t>
        </is>
      </c>
      <c r="H538" s="19" t="inlineStr">
        <is>
          <t>2</t>
        </is>
      </c>
      <c r="I538" t="inlineStr">
        <is>
          <t>Phase I generated Rev.00 Word file — linked; signatures not completed</t>
        </is>
      </c>
      <c r="J538" t="inlineStr">
        <is>
          <t>2026-08-10T19:29:54Z</t>
        </is>
      </c>
      <c r="K538" t="inlineStr">
        <is>
          <t>2026-08-10T19:49:41Z</t>
        </is>
      </c>
    </row>
    <row r="539">
      <c r="A539" s="19" t="inlineStr">
        <is>
          <t>538</t>
        </is>
      </c>
      <c r="B539" s="19" t="inlineStr">
        <is>
          <t>IA-PPWR-DOC-ST-060-STD-04-R00</t>
        </is>
      </c>
      <c r="C539" t="inlineStr">
        <is>
          <t>IA-PPWR-DOC-ST-060-STD-04-R00</t>
        </is>
      </c>
      <c r="D539" s="19" t="inlineStr">
        <is>
          <t>4</t>
        </is>
      </c>
      <c r="E539" t="inlineStr">
        <is>
          <t>01_STARTER/ST-060-STD-04/02_EU_DoC.docx</t>
        </is>
      </c>
      <c r="F539" t="inlineStr">
        <is>
          <t>27b635950cd9151bd31005b99414179c1c3d1d1bbe64bace4cd0ad097b325d8c</t>
        </is>
      </c>
      <c r="G539" t="inlineStr">
        <is>
          <t>2026-08-08</t>
        </is>
      </c>
      <c r="H539" s="19" t="inlineStr">
        <is>
          <t>2</t>
        </is>
      </c>
      <c r="I539" t="inlineStr">
        <is>
          <t>Phase I generated Rev.00 Word file — linked; signatures not completed</t>
        </is>
      </c>
      <c r="J539" t="inlineStr">
        <is>
          <t>2026-08-10T19:29:54Z</t>
        </is>
      </c>
      <c r="K539" t="inlineStr">
        <is>
          <t>2026-08-10T19:49:41Z</t>
        </is>
      </c>
    </row>
    <row r="540">
      <c r="A540" s="19" t="inlineStr">
        <is>
          <t>539</t>
        </is>
      </c>
      <c r="B540" s="19" t="inlineStr">
        <is>
          <t>IA-PPWR-LBL-ST-060-STD-04-R00</t>
        </is>
      </c>
      <c r="C540" t="inlineStr">
        <is>
          <t>IA-PPWR-LBL-ST-060-STD-04-R00</t>
        </is>
      </c>
      <c r="D540" s="19" t="inlineStr">
        <is>
          <t>11</t>
        </is>
      </c>
      <c r="E540" t="inlineStr">
        <is>
          <t>01_STARTER/ST-060-STD-04/03_Label.docx</t>
        </is>
      </c>
      <c r="F540" t="inlineStr">
        <is>
          <t>5ad4dad784b3a4a474e6725dbb85314c7080cbb9f81b269d5dacba5ce8535334</t>
        </is>
      </c>
      <c r="G540" t="inlineStr">
        <is>
          <t>2026-08-08</t>
        </is>
      </c>
      <c r="H540" s="19" t="inlineStr">
        <is>
          <t>2</t>
        </is>
      </c>
      <c r="I540" t="inlineStr">
        <is>
          <t>Phase I generated Rev.00 Word file — linked; signatures not completed</t>
        </is>
      </c>
      <c r="J540" t="inlineStr">
        <is>
          <t>2026-08-10T19:29:54Z</t>
        </is>
      </c>
      <c r="K540" t="inlineStr">
        <is>
          <t>2026-08-10T19:49:41Z</t>
        </is>
      </c>
    </row>
    <row r="541">
      <c r="A541" s="19" t="inlineStr">
        <is>
          <t>540</t>
        </is>
      </c>
      <c r="B541" s="19" t="inlineStr">
        <is>
          <t>IA-PPWR-STM-ST-060-STD-04-R00</t>
        </is>
      </c>
      <c r="C541" t="inlineStr">
        <is>
          <t>IA-PPWR-STM-ST-060-STD-04-R00</t>
        </is>
      </c>
      <c r="D541" s="19" t="inlineStr">
        <is>
          <t>12</t>
        </is>
      </c>
      <c r="E541" t="inlineStr">
        <is>
          <t>01_STARTER/ST-060-STD-04/04_Shipment_Statement.docx</t>
        </is>
      </c>
      <c r="F541" t="inlineStr">
        <is>
          <t>db539cc694d72cbd67a05dbbf988de950fcc1c5f883610fd2eae03d5c53b9276</t>
        </is>
      </c>
      <c r="G541" t="inlineStr">
        <is>
          <t>2026-08-08</t>
        </is>
      </c>
      <c r="H541" s="19" t="inlineStr">
        <is>
          <t>2</t>
        </is>
      </c>
      <c r="I541" t="inlineStr">
        <is>
          <t>Phase I generated Rev.00 Word file — linked; signatures not completed</t>
        </is>
      </c>
      <c r="J541" t="inlineStr">
        <is>
          <t>2026-08-10T19:29:54Z</t>
        </is>
      </c>
      <c r="K541" t="inlineStr">
        <is>
          <t>2026-08-10T19:49:41Z</t>
        </is>
      </c>
    </row>
    <row r="542">
      <c r="A542" s="19" t="inlineStr">
        <is>
          <t>541</t>
        </is>
      </c>
      <c r="B542" s="19" t="inlineStr">
        <is>
          <t>IA-PPWR-TF-ST-060-STD-05-R00</t>
        </is>
      </c>
      <c r="C542" t="inlineStr">
        <is>
          <t>IA-PPWR-TF-ST-060-STD-05-R00</t>
        </is>
      </c>
      <c r="D542" s="19" t="inlineStr">
        <is>
          <t>1</t>
        </is>
      </c>
      <c r="E542" t="inlineStr">
        <is>
          <t>01_STARTER/ST-060-STD-05/01_Technical_File.docx</t>
        </is>
      </c>
      <c r="F542" t="inlineStr">
        <is>
          <t>b1641ba0f792ea96ac1d76a990d3bae9f16efa8bf5173f13ff2efd1d61c3206e</t>
        </is>
      </c>
      <c r="G542" t="inlineStr">
        <is>
          <t>2026-08-08</t>
        </is>
      </c>
      <c r="H542" s="19" t="inlineStr">
        <is>
          <t>2</t>
        </is>
      </c>
      <c r="I542" t="inlineStr">
        <is>
          <t>Phase I generated Rev.00 Word file — linked; signatures not completed</t>
        </is>
      </c>
      <c r="J542" t="inlineStr">
        <is>
          <t>2026-08-10T19:29:54Z</t>
        </is>
      </c>
      <c r="K542" t="inlineStr">
        <is>
          <t>2026-08-10T19:49:41Z</t>
        </is>
      </c>
    </row>
    <row r="543">
      <c r="A543" s="19" t="inlineStr">
        <is>
          <t>542</t>
        </is>
      </c>
      <c r="B543" s="19" t="inlineStr">
        <is>
          <t>IA-PPWR-DOC-ST-060-STD-05-R00</t>
        </is>
      </c>
      <c r="C543" t="inlineStr">
        <is>
          <t>IA-PPWR-DOC-ST-060-STD-05-R00</t>
        </is>
      </c>
      <c r="D543" s="19" t="inlineStr">
        <is>
          <t>4</t>
        </is>
      </c>
      <c r="E543" t="inlineStr">
        <is>
          <t>01_STARTER/ST-060-STD-05/02_EU_DoC.docx</t>
        </is>
      </c>
      <c r="F543" t="inlineStr">
        <is>
          <t>ca928d9d27092223474d62b08b5b2c4a1d8e856c020c12f56b737a80fdb9a178</t>
        </is>
      </c>
      <c r="G543" t="inlineStr">
        <is>
          <t>2026-08-08</t>
        </is>
      </c>
      <c r="H543" s="19" t="inlineStr">
        <is>
          <t>2</t>
        </is>
      </c>
      <c r="I543" t="inlineStr">
        <is>
          <t>Phase I generated Rev.00 Word file — linked; signatures not completed</t>
        </is>
      </c>
      <c r="J543" t="inlineStr">
        <is>
          <t>2026-08-10T19:29:54Z</t>
        </is>
      </c>
      <c r="K543" t="inlineStr">
        <is>
          <t>2026-08-10T19:49:41Z</t>
        </is>
      </c>
    </row>
    <row r="544">
      <c r="A544" s="19" t="inlineStr">
        <is>
          <t>543</t>
        </is>
      </c>
      <c r="B544" s="19" t="inlineStr">
        <is>
          <t>IA-PPWR-LBL-ST-060-STD-05-R00</t>
        </is>
      </c>
      <c r="C544" t="inlineStr">
        <is>
          <t>IA-PPWR-LBL-ST-060-STD-05-R00</t>
        </is>
      </c>
      <c r="D544" s="19" t="inlineStr">
        <is>
          <t>11</t>
        </is>
      </c>
      <c r="E544" t="inlineStr">
        <is>
          <t>01_STARTER/ST-060-STD-05/03_Label.docx</t>
        </is>
      </c>
      <c r="F544" t="inlineStr">
        <is>
          <t>42dc229774f4f8a161f598bd0e5590ecc44a4cc93ebe17d8bf7cd33ca7679101</t>
        </is>
      </c>
      <c r="G544" t="inlineStr">
        <is>
          <t>2026-08-08</t>
        </is>
      </c>
      <c r="H544" s="19" t="inlineStr">
        <is>
          <t>2</t>
        </is>
      </c>
      <c r="I544" t="inlineStr">
        <is>
          <t>Phase I generated Rev.00 Word file — linked; signatures not completed</t>
        </is>
      </c>
      <c r="J544" t="inlineStr">
        <is>
          <t>2026-08-10T19:29:54Z</t>
        </is>
      </c>
      <c r="K544" t="inlineStr">
        <is>
          <t>2026-08-10T19:49:41Z</t>
        </is>
      </c>
    </row>
    <row r="545">
      <c r="A545" s="19" t="inlineStr">
        <is>
          <t>544</t>
        </is>
      </c>
      <c r="B545" s="19" t="inlineStr">
        <is>
          <t>IA-PPWR-STM-ST-060-STD-05-R00</t>
        </is>
      </c>
      <c r="C545" t="inlineStr">
        <is>
          <t>IA-PPWR-STM-ST-060-STD-05-R00</t>
        </is>
      </c>
      <c r="D545" s="19" t="inlineStr">
        <is>
          <t>12</t>
        </is>
      </c>
      <c r="E545" t="inlineStr">
        <is>
          <t>01_STARTER/ST-060-STD-05/04_Shipment_Statement.docx</t>
        </is>
      </c>
      <c r="F545" t="inlineStr">
        <is>
          <t>88141f842d80a905814c856ba50ac77f343c99dbe9301de014e80ec4d2f9d8c9</t>
        </is>
      </c>
      <c r="G545" t="inlineStr">
        <is>
          <t>2026-08-08</t>
        </is>
      </c>
      <c r="H545" s="19" t="inlineStr">
        <is>
          <t>2</t>
        </is>
      </c>
      <c r="I545" t="inlineStr">
        <is>
          <t>Phase I generated Rev.00 Word file — linked; signatures not completed</t>
        </is>
      </c>
      <c r="J545" t="inlineStr">
        <is>
          <t>2026-08-10T19:29:54Z</t>
        </is>
      </c>
      <c r="K545" t="inlineStr">
        <is>
          <t>2026-08-10T19:49:41Z</t>
        </is>
      </c>
    </row>
    <row r="546">
      <c r="A546" s="19" t="inlineStr">
        <is>
          <t>545</t>
        </is>
      </c>
      <c r="B546" s="19" t="inlineStr">
        <is>
          <t>IA-PPWR-TF-ST-063-EUR-01-R00</t>
        </is>
      </c>
      <c r="C546" t="inlineStr">
        <is>
          <t>IA-PPWR-TF-ST-063-EUR-01-R00</t>
        </is>
      </c>
      <c r="D546" s="19" t="inlineStr">
        <is>
          <t>1</t>
        </is>
      </c>
      <c r="E546" t="inlineStr">
        <is>
          <t>01_STARTER/ST-063-EUR-01/01_Technical_File.docx</t>
        </is>
      </c>
      <c r="F546" t="inlineStr">
        <is>
          <t>cdc6a842af5c3be8d31fdef8364737757fa70ca542f4539eae7551373cf5fef0</t>
        </is>
      </c>
      <c r="G546" t="inlineStr">
        <is>
          <t>2026-08-08</t>
        </is>
      </c>
      <c r="H546" s="19" t="inlineStr">
        <is>
          <t>2</t>
        </is>
      </c>
      <c r="I546" t="inlineStr">
        <is>
          <t>Phase I generated Rev.00 Word file — linked; signatures not completed</t>
        </is>
      </c>
      <c r="J546" t="inlineStr">
        <is>
          <t>2026-08-10T19:29:54Z</t>
        </is>
      </c>
      <c r="K546" t="inlineStr">
        <is>
          <t>2026-08-10T19:49:41Z</t>
        </is>
      </c>
    </row>
    <row r="547">
      <c r="A547" s="19" t="inlineStr">
        <is>
          <t>546</t>
        </is>
      </c>
      <c r="B547" s="19" t="inlineStr">
        <is>
          <t>IA-PPWR-DOC-ST-063-EUR-01-R00</t>
        </is>
      </c>
      <c r="C547" t="inlineStr">
        <is>
          <t>IA-PPWR-DOC-ST-063-EUR-01-R00</t>
        </is>
      </c>
      <c r="D547" s="19" t="inlineStr">
        <is>
          <t>4</t>
        </is>
      </c>
      <c r="E547" t="inlineStr">
        <is>
          <t>01_STARTER/ST-063-EUR-01/02_EU_DoC.docx</t>
        </is>
      </c>
      <c r="F547" t="inlineStr">
        <is>
          <t>e83b6951cc2a352ebfc71cb6e7334dd3bddadda7f9182cc81e902e744943d19b</t>
        </is>
      </c>
      <c r="G547" t="inlineStr">
        <is>
          <t>2026-08-08</t>
        </is>
      </c>
      <c r="H547" s="19" t="inlineStr">
        <is>
          <t>2</t>
        </is>
      </c>
      <c r="I547" t="inlineStr">
        <is>
          <t>Phase I generated Rev.00 Word file — linked; signatures not completed</t>
        </is>
      </c>
      <c r="J547" t="inlineStr">
        <is>
          <t>2026-08-10T19:29:54Z</t>
        </is>
      </c>
      <c r="K547" t="inlineStr">
        <is>
          <t>2026-08-10T19:49:41Z</t>
        </is>
      </c>
    </row>
    <row r="548">
      <c r="A548" s="19" t="inlineStr">
        <is>
          <t>547</t>
        </is>
      </c>
      <c r="B548" s="19" t="inlineStr">
        <is>
          <t>IA-PPWR-LBL-ST-063-EUR-01-R00</t>
        </is>
      </c>
      <c r="C548" t="inlineStr">
        <is>
          <t>IA-PPWR-LBL-ST-063-EUR-01-R00</t>
        </is>
      </c>
      <c r="D548" s="19" t="inlineStr">
        <is>
          <t>11</t>
        </is>
      </c>
      <c r="E548" t="inlineStr">
        <is>
          <t>01_STARTER/ST-063-EUR-01/03_Label.docx</t>
        </is>
      </c>
      <c r="F548" t="inlineStr">
        <is>
          <t>5d790f674afc283ac4fa03c6c3e144ecc3c863a9903ba880f6bda4b526619165</t>
        </is>
      </c>
      <c r="G548" t="inlineStr">
        <is>
          <t>2026-08-08</t>
        </is>
      </c>
      <c r="H548" s="19" t="inlineStr">
        <is>
          <t>2</t>
        </is>
      </c>
      <c r="I548" t="inlineStr">
        <is>
          <t>Phase I generated Rev.00 Word file — linked; signatures not completed</t>
        </is>
      </c>
      <c r="J548" t="inlineStr">
        <is>
          <t>2026-08-10T19:29:54Z</t>
        </is>
      </c>
      <c r="K548" t="inlineStr">
        <is>
          <t>2026-08-10T19:49:41Z</t>
        </is>
      </c>
    </row>
    <row r="549">
      <c r="A549" s="19" t="inlineStr">
        <is>
          <t>548</t>
        </is>
      </c>
      <c r="B549" s="19" t="inlineStr">
        <is>
          <t>IA-PPWR-STM-ST-063-EUR-01-R00</t>
        </is>
      </c>
      <c r="C549" t="inlineStr">
        <is>
          <t>IA-PPWR-STM-ST-063-EUR-01-R00</t>
        </is>
      </c>
      <c r="D549" s="19" t="inlineStr">
        <is>
          <t>12</t>
        </is>
      </c>
      <c r="E549" t="inlineStr">
        <is>
          <t>01_STARTER/ST-063-EUR-01/04_Shipment_Statement.docx</t>
        </is>
      </c>
      <c r="F549" t="inlineStr">
        <is>
          <t>72129a1665f8a069c14e0fb2ac70e1a93449d93cfa7dc3e2e5e40561862d520c</t>
        </is>
      </c>
      <c r="G549" t="inlineStr">
        <is>
          <t>2026-08-08</t>
        </is>
      </c>
      <c r="H549" s="19" t="inlineStr">
        <is>
          <t>2</t>
        </is>
      </c>
      <c r="I549" t="inlineStr">
        <is>
          <t>Phase I generated Rev.00 Word file — linked; signatures not completed</t>
        </is>
      </c>
      <c r="J549" t="inlineStr">
        <is>
          <t>2026-08-10T19:29:54Z</t>
        </is>
      </c>
      <c r="K549" t="inlineStr">
        <is>
          <t>2026-08-10T19:49:41Z</t>
        </is>
      </c>
    </row>
    <row r="550">
      <c r="A550" s="19" t="inlineStr">
        <is>
          <t>549</t>
        </is>
      </c>
      <c r="B550" s="19" t="inlineStr">
        <is>
          <t>IA-PPWR-TF-ST-063-EUR-02-R00</t>
        </is>
      </c>
      <c r="C550" t="inlineStr">
        <is>
          <t>IA-PPWR-TF-ST-063-EUR-02-R00</t>
        </is>
      </c>
      <c r="D550" s="19" t="inlineStr">
        <is>
          <t>1</t>
        </is>
      </c>
      <c r="E550" t="inlineStr">
        <is>
          <t>01_STARTER/ST-063-EUR-02/01_Technical_File.docx</t>
        </is>
      </c>
      <c r="F550" t="inlineStr">
        <is>
          <t>dc5f9455df33bdedb013e0301efe718c9aec21d0424c81dd6c4365965f2bd184</t>
        </is>
      </c>
      <c r="G550" t="inlineStr">
        <is>
          <t>2026-08-08</t>
        </is>
      </c>
      <c r="H550" s="19" t="inlineStr">
        <is>
          <t>2</t>
        </is>
      </c>
      <c r="I550" t="inlineStr">
        <is>
          <t>Phase I generated Rev.00 Word file — linked; signatures not completed</t>
        </is>
      </c>
      <c r="J550" t="inlineStr">
        <is>
          <t>2026-08-10T19:29:54Z</t>
        </is>
      </c>
      <c r="K550" t="inlineStr">
        <is>
          <t>2026-08-10T19:49:41Z</t>
        </is>
      </c>
    </row>
    <row r="551">
      <c r="A551" s="19" t="inlineStr">
        <is>
          <t>550</t>
        </is>
      </c>
      <c r="B551" s="19" t="inlineStr">
        <is>
          <t>IA-PPWR-DOC-ST-063-EUR-02-R00</t>
        </is>
      </c>
      <c r="C551" t="inlineStr">
        <is>
          <t>IA-PPWR-DOC-ST-063-EUR-02-R00</t>
        </is>
      </c>
      <c r="D551" s="19" t="inlineStr">
        <is>
          <t>4</t>
        </is>
      </c>
      <c r="E551" t="inlineStr">
        <is>
          <t>01_STARTER/ST-063-EUR-02/02_EU_DoC.docx</t>
        </is>
      </c>
      <c r="F551" t="inlineStr">
        <is>
          <t>cc4ba4ba48df3a61323d7a938e587e827252297179289be10f48a2ab73497963</t>
        </is>
      </c>
      <c r="G551" t="inlineStr">
        <is>
          <t>2026-08-08</t>
        </is>
      </c>
      <c r="H551" s="19" t="inlineStr">
        <is>
          <t>2</t>
        </is>
      </c>
      <c r="I551" t="inlineStr">
        <is>
          <t>Phase I generated Rev.00 Word file — linked; signatures not completed</t>
        </is>
      </c>
      <c r="J551" t="inlineStr">
        <is>
          <t>2026-08-10T19:29:54Z</t>
        </is>
      </c>
      <c r="K551" t="inlineStr">
        <is>
          <t>2026-08-10T19:49:41Z</t>
        </is>
      </c>
    </row>
    <row r="552">
      <c r="A552" s="19" t="inlineStr">
        <is>
          <t>551</t>
        </is>
      </c>
      <c r="B552" s="19" t="inlineStr">
        <is>
          <t>IA-PPWR-LBL-ST-063-EUR-02-R00</t>
        </is>
      </c>
      <c r="C552" t="inlineStr">
        <is>
          <t>IA-PPWR-LBL-ST-063-EUR-02-R00</t>
        </is>
      </c>
      <c r="D552" s="19" t="inlineStr">
        <is>
          <t>11</t>
        </is>
      </c>
      <c r="E552" t="inlineStr">
        <is>
          <t>01_STARTER/ST-063-EUR-02/03_Label.docx</t>
        </is>
      </c>
      <c r="F552" t="inlineStr">
        <is>
          <t>409e683ff369d766716dfc0776096f74e8461d96e3ac98a79770a5d5c6479eeb</t>
        </is>
      </c>
      <c r="G552" t="inlineStr">
        <is>
          <t>2026-08-08</t>
        </is>
      </c>
      <c r="H552" s="19" t="inlineStr">
        <is>
          <t>2</t>
        </is>
      </c>
      <c r="I552" t="inlineStr">
        <is>
          <t>Phase I generated Rev.00 Word file — linked; signatures not completed</t>
        </is>
      </c>
      <c r="J552" t="inlineStr">
        <is>
          <t>2026-08-10T19:29:54Z</t>
        </is>
      </c>
      <c r="K552" t="inlineStr">
        <is>
          <t>2026-08-10T19:49:41Z</t>
        </is>
      </c>
    </row>
    <row r="553">
      <c r="A553" s="19" t="inlineStr">
        <is>
          <t>552</t>
        </is>
      </c>
      <c r="B553" s="19" t="inlineStr">
        <is>
          <t>IA-PPWR-STM-ST-063-EUR-02-R00</t>
        </is>
      </c>
      <c r="C553" t="inlineStr">
        <is>
          <t>IA-PPWR-STM-ST-063-EUR-02-R00</t>
        </is>
      </c>
      <c r="D553" s="19" t="inlineStr">
        <is>
          <t>12</t>
        </is>
      </c>
      <c r="E553" t="inlineStr">
        <is>
          <t>01_STARTER/ST-063-EUR-02/04_Shipment_Statement.docx</t>
        </is>
      </c>
      <c r="F553" t="inlineStr">
        <is>
          <t>f3f1cad0ccaa14eb994418c90ad924ac0989b06003026bdff5ec049a2bf43060</t>
        </is>
      </c>
      <c r="G553" t="inlineStr">
        <is>
          <t>2026-08-08</t>
        </is>
      </c>
      <c r="H553" s="19" t="inlineStr">
        <is>
          <t>2</t>
        </is>
      </c>
      <c r="I553" t="inlineStr">
        <is>
          <t>Phase I generated Rev.00 Word file — linked; signatures not completed</t>
        </is>
      </c>
      <c r="J553" t="inlineStr">
        <is>
          <t>2026-08-10T19:29:54Z</t>
        </is>
      </c>
      <c r="K553" t="inlineStr">
        <is>
          <t>2026-08-10T19:49:41Z</t>
        </is>
      </c>
    </row>
    <row r="554">
      <c r="A554" s="19" t="inlineStr">
        <is>
          <t>553</t>
        </is>
      </c>
      <c r="B554" s="19" t="inlineStr">
        <is>
          <t>IA-PPWR-TF-ST-063-STD-01-R00</t>
        </is>
      </c>
      <c r="C554" t="inlineStr">
        <is>
          <t>IA-PPWR-TF-ST-063-STD-01-R00</t>
        </is>
      </c>
      <c r="D554" s="19" t="inlineStr">
        <is>
          <t>1</t>
        </is>
      </c>
      <c r="E554" t="inlineStr">
        <is>
          <t>01_STARTER/ST-063-STD-01/01_Technical_File.docx</t>
        </is>
      </c>
      <c r="F554" t="inlineStr">
        <is>
          <t>a8d30c7c584cef5dbc8ec10b1fc60e0428367ce163dd327a21846a40baf36593</t>
        </is>
      </c>
      <c r="G554" t="inlineStr">
        <is>
          <t>2026-08-08</t>
        </is>
      </c>
      <c r="H554" s="19" t="inlineStr">
        <is>
          <t>2</t>
        </is>
      </c>
      <c r="I554" t="inlineStr">
        <is>
          <t>Phase I generated Rev.00 Word file — linked; signatures not completed</t>
        </is>
      </c>
      <c r="J554" t="inlineStr">
        <is>
          <t>2026-08-10T19:29:54Z</t>
        </is>
      </c>
      <c r="K554" t="inlineStr">
        <is>
          <t>2026-08-10T19:49:41Z</t>
        </is>
      </c>
    </row>
    <row r="555">
      <c r="A555" s="19" t="inlineStr">
        <is>
          <t>554</t>
        </is>
      </c>
      <c r="B555" s="19" t="inlineStr">
        <is>
          <t>IA-PPWR-DOC-ST-063-STD-01-R00</t>
        </is>
      </c>
      <c r="C555" t="inlineStr">
        <is>
          <t>IA-PPWR-DOC-ST-063-STD-01-R00</t>
        </is>
      </c>
      <c r="D555" s="19" t="inlineStr">
        <is>
          <t>4</t>
        </is>
      </c>
      <c r="E555" t="inlineStr">
        <is>
          <t>01_STARTER/ST-063-STD-01/02_EU_DoC.docx</t>
        </is>
      </c>
      <c r="F555" t="inlineStr">
        <is>
          <t>56b634dccef47b4bf9bb7475a258113aa4828e44049aaeb2cc8fbdc80d472da7</t>
        </is>
      </c>
      <c r="G555" t="inlineStr">
        <is>
          <t>2026-08-08</t>
        </is>
      </c>
      <c r="H555" s="19" t="inlineStr">
        <is>
          <t>2</t>
        </is>
      </c>
      <c r="I555" t="inlineStr">
        <is>
          <t>Phase I generated Rev.00 Word file — linked; signatures not completed</t>
        </is>
      </c>
      <c r="J555" t="inlineStr">
        <is>
          <t>2026-08-10T19:29:54Z</t>
        </is>
      </c>
      <c r="K555" t="inlineStr">
        <is>
          <t>2026-08-10T19:49:41Z</t>
        </is>
      </c>
    </row>
    <row r="556">
      <c r="A556" s="19" t="inlineStr">
        <is>
          <t>555</t>
        </is>
      </c>
      <c r="B556" s="19" t="inlineStr">
        <is>
          <t>IA-PPWR-LBL-ST-063-STD-01-R00</t>
        </is>
      </c>
      <c r="C556" t="inlineStr">
        <is>
          <t>IA-PPWR-LBL-ST-063-STD-01-R00</t>
        </is>
      </c>
      <c r="D556" s="19" t="inlineStr">
        <is>
          <t>11</t>
        </is>
      </c>
      <c r="E556" t="inlineStr">
        <is>
          <t>01_STARTER/ST-063-STD-01/03_Label.docx</t>
        </is>
      </c>
      <c r="F556" t="inlineStr">
        <is>
          <t>4b45eb190ae7a86fc7f0492fc16bc8d197d4e1d916786c8691b476f0b80493eb</t>
        </is>
      </c>
      <c r="G556" t="inlineStr">
        <is>
          <t>2026-08-08</t>
        </is>
      </c>
      <c r="H556" s="19" t="inlineStr">
        <is>
          <t>2</t>
        </is>
      </c>
      <c r="I556" t="inlineStr">
        <is>
          <t>Phase I generated Rev.00 Word file — linked; signatures not completed</t>
        </is>
      </c>
      <c r="J556" t="inlineStr">
        <is>
          <t>2026-08-10T19:29:54Z</t>
        </is>
      </c>
      <c r="K556" t="inlineStr">
        <is>
          <t>2026-08-10T19:49:41Z</t>
        </is>
      </c>
    </row>
    <row r="557">
      <c r="A557" s="19" t="inlineStr">
        <is>
          <t>556</t>
        </is>
      </c>
      <c r="B557" s="19" t="inlineStr">
        <is>
          <t>IA-PPWR-STM-ST-063-STD-01-R00</t>
        </is>
      </c>
      <c r="C557" t="inlineStr">
        <is>
          <t>IA-PPWR-STM-ST-063-STD-01-R00</t>
        </is>
      </c>
      <c r="D557" s="19" t="inlineStr">
        <is>
          <t>12</t>
        </is>
      </c>
      <c r="E557" t="inlineStr">
        <is>
          <t>01_STARTER/ST-063-STD-01/04_Shipment_Statement.docx</t>
        </is>
      </c>
      <c r="F557" t="inlineStr">
        <is>
          <t>4862519a28ac85e02e857a89fdeec80417cf85c83c3b55426c65babc878ab7c8</t>
        </is>
      </c>
      <c r="G557" t="inlineStr">
        <is>
          <t>2026-08-08</t>
        </is>
      </c>
      <c r="H557" s="19" t="inlineStr">
        <is>
          <t>2</t>
        </is>
      </c>
      <c r="I557" t="inlineStr">
        <is>
          <t>Phase I generated Rev.00 Word file — linked; signatures not completed</t>
        </is>
      </c>
      <c r="J557" t="inlineStr">
        <is>
          <t>2026-08-10T19:29:54Z</t>
        </is>
      </c>
      <c r="K557" t="inlineStr">
        <is>
          <t>2026-08-10T19:49:41Z</t>
        </is>
      </c>
    </row>
    <row r="558">
      <c r="A558" s="19" t="inlineStr">
        <is>
          <t>557</t>
        </is>
      </c>
      <c r="B558" s="19" t="inlineStr">
        <is>
          <t>IA-PPWR-TF-ST-063-STD-02-R00</t>
        </is>
      </c>
      <c r="C558" t="inlineStr">
        <is>
          <t>IA-PPWR-TF-ST-063-STD-02-R00</t>
        </is>
      </c>
      <c r="D558" s="19" t="inlineStr">
        <is>
          <t>1</t>
        </is>
      </c>
      <c r="E558" t="inlineStr">
        <is>
          <t>01_STARTER/ST-063-STD-02/01_Technical_File.docx</t>
        </is>
      </c>
      <c r="F558" t="inlineStr">
        <is>
          <t>08bf21b419164843f821c2a50657e3c69b61c62c9e5b385aa3bf047f6128886f</t>
        </is>
      </c>
      <c r="G558" t="inlineStr">
        <is>
          <t>2026-08-08</t>
        </is>
      </c>
      <c r="H558" s="19" t="inlineStr">
        <is>
          <t>2</t>
        </is>
      </c>
      <c r="I558" t="inlineStr">
        <is>
          <t>Phase I generated Rev.00 Word file — linked; signatures not completed</t>
        </is>
      </c>
      <c r="J558" t="inlineStr">
        <is>
          <t>2026-08-10T19:29:54Z</t>
        </is>
      </c>
      <c r="K558" t="inlineStr">
        <is>
          <t>2026-08-10T19:49:41Z</t>
        </is>
      </c>
    </row>
    <row r="559">
      <c r="A559" s="19" t="inlineStr">
        <is>
          <t>558</t>
        </is>
      </c>
      <c r="B559" s="19" t="inlineStr">
        <is>
          <t>IA-PPWR-DOC-ST-063-STD-02-R00</t>
        </is>
      </c>
      <c r="C559" t="inlineStr">
        <is>
          <t>IA-PPWR-DOC-ST-063-STD-02-R00</t>
        </is>
      </c>
      <c r="D559" s="19" t="inlineStr">
        <is>
          <t>4</t>
        </is>
      </c>
      <c r="E559" t="inlineStr">
        <is>
          <t>01_STARTER/ST-063-STD-02/02_EU_DoC.docx</t>
        </is>
      </c>
      <c r="F559" t="inlineStr">
        <is>
          <t>ed8d7389ed597f81dc27e8439b5560ce208f22652615355f8e5b5db8b8918153</t>
        </is>
      </c>
      <c r="G559" t="inlineStr">
        <is>
          <t>2026-08-08</t>
        </is>
      </c>
      <c r="H559" s="19" t="inlineStr">
        <is>
          <t>2</t>
        </is>
      </c>
      <c r="I559" t="inlineStr">
        <is>
          <t>Phase I generated Rev.00 Word file — linked; signatures not completed</t>
        </is>
      </c>
      <c r="J559" t="inlineStr">
        <is>
          <t>2026-08-10T19:29:54Z</t>
        </is>
      </c>
      <c r="K559" t="inlineStr">
        <is>
          <t>2026-08-10T19:49:41Z</t>
        </is>
      </c>
    </row>
    <row r="560">
      <c r="A560" s="19" t="inlineStr">
        <is>
          <t>559</t>
        </is>
      </c>
      <c r="B560" s="19" t="inlineStr">
        <is>
          <t>IA-PPWR-LBL-ST-063-STD-02-R00</t>
        </is>
      </c>
      <c r="C560" t="inlineStr">
        <is>
          <t>IA-PPWR-LBL-ST-063-STD-02-R00</t>
        </is>
      </c>
      <c r="D560" s="19" t="inlineStr">
        <is>
          <t>11</t>
        </is>
      </c>
      <c r="E560" t="inlineStr">
        <is>
          <t>01_STARTER/ST-063-STD-02/03_Label.docx</t>
        </is>
      </c>
      <c r="F560" t="inlineStr">
        <is>
          <t>78f7dc4c665fafb7dd2b71d14b5aa7e831f538a0c11aa4038ddb2f2484d1735e</t>
        </is>
      </c>
      <c r="G560" t="inlineStr">
        <is>
          <t>2026-08-08</t>
        </is>
      </c>
      <c r="H560" s="19" t="inlineStr">
        <is>
          <t>2</t>
        </is>
      </c>
      <c r="I560" t="inlineStr">
        <is>
          <t>Phase I generated Rev.00 Word file — linked; signatures not completed</t>
        </is>
      </c>
      <c r="J560" t="inlineStr">
        <is>
          <t>2026-08-10T19:29:54Z</t>
        </is>
      </c>
      <c r="K560" t="inlineStr">
        <is>
          <t>2026-08-10T19:49:41Z</t>
        </is>
      </c>
    </row>
    <row r="561">
      <c r="A561" s="19" t="inlineStr">
        <is>
          <t>560</t>
        </is>
      </c>
      <c r="B561" s="19" t="inlineStr">
        <is>
          <t>IA-PPWR-STM-ST-063-STD-02-R00</t>
        </is>
      </c>
      <c r="C561" t="inlineStr">
        <is>
          <t>IA-PPWR-STM-ST-063-STD-02-R00</t>
        </is>
      </c>
      <c r="D561" s="19" t="inlineStr">
        <is>
          <t>12</t>
        </is>
      </c>
      <c r="E561" t="inlineStr">
        <is>
          <t>01_STARTER/ST-063-STD-02/04_Shipment_Statement.docx</t>
        </is>
      </c>
      <c r="F561" t="inlineStr">
        <is>
          <t>814b98a8d5809150c37177c4272198722d9f0f332e505f5a82f88e7bcdf306b7</t>
        </is>
      </c>
      <c r="G561" t="inlineStr">
        <is>
          <t>2026-08-08</t>
        </is>
      </c>
      <c r="H561" s="19" t="inlineStr">
        <is>
          <t>2</t>
        </is>
      </c>
      <c r="I561" t="inlineStr">
        <is>
          <t>Phase I generated Rev.00 Word file — linked; signatures not completed</t>
        </is>
      </c>
      <c r="J561" t="inlineStr">
        <is>
          <t>2026-08-10T19:29:54Z</t>
        </is>
      </c>
      <c r="K561" t="inlineStr">
        <is>
          <t>2026-08-10T19:49:41Z</t>
        </is>
      </c>
    </row>
    <row r="562">
      <c r="A562" s="19" t="inlineStr">
        <is>
          <t>561</t>
        </is>
      </c>
      <c r="B562" s="19" t="inlineStr">
        <is>
          <t>IA-PPWR-TF-ST-063-STD-03-R00</t>
        </is>
      </c>
      <c r="C562" t="inlineStr">
        <is>
          <t>IA-PPWR-TF-ST-063-STD-03-R00</t>
        </is>
      </c>
      <c r="D562" s="19" t="inlineStr">
        <is>
          <t>1</t>
        </is>
      </c>
      <c r="E562" t="inlineStr">
        <is>
          <t>01_STARTER/ST-063-STD-03/01_Technical_File.docx</t>
        </is>
      </c>
      <c r="F562" t="inlineStr">
        <is>
          <t>a89aba8cfcb793f3402646b87349677882d14f16e4f02fb5ca246e39a5107483</t>
        </is>
      </c>
      <c r="G562" t="inlineStr">
        <is>
          <t>2026-08-08</t>
        </is>
      </c>
      <c r="H562" s="19" t="inlineStr">
        <is>
          <t>2</t>
        </is>
      </c>
      <c r="I562" t="inlineStr">
        <is>
          <t>Phase I generated Rev.00 Word file — linked; signatures not completed</t>
        </is>
      </c>
      <c r="J562" t="inlineStr">
        <is>
          <t>2026-08-10T19:29:54Z</t>
        </is>
      </c>
      <c r="K562" t="inlineStr">
        <is>
          <t>2026-08-10T19:49:41Z</t>
        </is>
      </c>
    </row>
    <row r="563">
      <c r="A563" s="19" t="inlineStr">
        <is>
          <t>562</t>
        </is>
      </c>
      <c r="B563" s="19" t="inlineStr">
        <is>
          <t>IA-PPWR-DOC-ST-063-STD-03-R00</t>
        </is>
      </c>
      <c r="C563" t="inlineStr">
        <is>
          <t>IA-PPWR-DOC-ST-063-STD-03-R00</t>
        </is>
      </c>
      <c r="D563" s="19" t="inlineStr">
        <is>
          <t>4</t>
        </is>
      </c>
      <c r="E563" t="inlineStr">
        <is>
          <t>01_STARTER/ST-063-STD-03/02_EU_DoC.docx</t>
        </is>
      </c>
      <c r="F563" t="inlineStr">
        <is>
          <t>93ca051aad743a434f8516315a9076389512079f5b3992af3dbbfecd59281477</t>
        </is>
      </c>
      <c r="G563" t="inlineStr">
        <is>
          <t>2026-08-08</t>
        </is>
      </c>
      <c r="H563" s="19" t="inlineStr">
        <is>
          <t>2</t>
        </is>
      </c>
      <c r="I563" t="inlineStr">
        <is>
          <t>Phase I generated Rev.00 Word file — linked; signatures not completed</t>
        </is>
      </c>
      <c r="J563" t="inlineStr">
        <is>
          <t>2026-08-10T19:29:54Z</t>
        </is>
      </c>
      <c r="K563" t="inlineStr">
        <is>
          <t>2026-08-10T19:49:41Z</t>
        </is>
      </c>
    </row>
    <row r="564">
      <c r="A564" s="19" t="inlineStr">
        <is>
          <t>563</t>
        </is>
      </c>
      <c r="B564" s="19" t="inlineStr">
        <is>
          <t>IA-PPWR-LBL-ST-063-STD-03-R00</t>
        </is>
      </c>
      <c r="C564" t="inlineStr">
        <is>
          <t>IA-PPWR-LBL-ST-063-STD-03-R00</t>
        </is>
      </c>
      <c r="D564" s="19" t="inlineStr">
        <is>
          <t>11</t>
        </is>
      </c>
      <c r="E564" t="inlineStr">
        <is>
          <t>01_STARTER/ST-063-STD-03/03_Label.docx</t>
        </is>
      </c>
      <c r="F564" t="inlineStr">
        <is>
          <t>136247935ee4e0cc74d370faf2e56e6d35ddfaf718e0fd7f19478872f7ba9a03</t>
        </is>
      </c>
      <c r="G564" t="inlineStr">
        <is>
          <t>2026-08-08</t>
        </is>
      </c>
      <c r="H564" s="19" t="inlineStr">
        <is>
          <t>2</t>
        </is>
      </c>
      <c r="I564" t="inlineStr">
        <is>
          <t>Phase I generated Rev.00 Word file — linked; signatures not completed</t>
        </is>
      </c>
      <c r="J564" t="inlineStr">
        <is>
          <t>2026-08-10T19:29:54Z</t>
        </is>
      </c>
      <c r="K564" t="inlineStr">
        <is>
          <t>2026-08-10T19:49:41Z</t>
        </is>
      </c>
    </row>
    <row r="565">
      <c r="A565" s="19" t="inlineStr">
        <is>
          <t>564</t>
        </is>
      </c>
      <c r="B565" s="19" t="inlineStr">
        <is>
          <t>IA-PPWR-STM-ST-063-STD-03-R00</t>
        </is>
      </c>
      <c r="C565" t="inlineStr">
        <is>
          <t>IA-PPWR-STM-ST-063-STD-03-R00</t>
        </is>
      </c>
      <c r="D565" s="19" t="inlineStr">
        <is>
          <t>12</t>
        </is>
      </c>
      <c r="E565" t="inlineStr">
        <is>
          <t>01_STARTER/ST-063-STD-03/04_Shipment_Statement.docx</t>
        </is>
      </c>
      <c r="F565" t="inlineStr">
        <is>
          <t>2657f2756f5bcc924d3caa670f483743c0dacbe3b2500b367d3d015f164ad7f8</t>
        </is>
      </c>
      <c r="G565" t="inlineStr">
        <is>
          <t>2026-08-08</t>
        </is>
      </c>
      <c r="H565" s="19" t="inlineStr">
        <is>
          <t>2</t>
        </is>
      </c>
      <c r="I565" t="inlineStr">
        <is>
          <t>Phase I generated Rev.00 Word file — linked; signatures not completed</t>
        </is>
      </c>
      <c r="J565" t="inlineStr">
        <is>
          <t>2026-08-10T19:29:54Z</t>
        </is>
      </c>
      <c r="K565" t="inlineStr">
        <is>
          <t>2026-08-10T19:49:41Z</t>
        </is>
      </c>
    </row>
    <row r="566">
      <c r="A566" s="19" t="inlineStr">
        <is>
          <t>565</t>
        </is>
      </c>
      <c r="B566" s="19" t="inlineStr">
        <is>
          <t>IA-PPWR-TF-ST-063-STD-04-R00</t>
        </is>
      </c>
      <c r="C566" t="inlineStr">
        <is>
          <t>IA-PPWR-TF-ST-063-STD-04-R00</t>
        </is>
      </c>
      <c r="D566" s="19" t="inlineStr">
        <is>
          <t>1</t>
        </is>
      </c>
      <c r="E566" t="inlineStr">
        <is>
          <t>01_STARTER/ST-063-STD-04/01_Technical_File.docx</t>
        </is>
      </c>
      <c r="F566" t="inlineStr">
        <is>
          <t>0abbaeab732cb25ca70aa7376bcb4ec45b8bb8f3a5b714294756254e67aecc7f</t>
        </is>
      </c>
      <c r="G566" t="inlineStr">
        <is>
          <t>2026-08-08</t>
        </is>
      </c>
      <c r="H566" s="19" t="inlineStr">
        <is>
          <t>2</t>
        </is>
      </c>
      <c r="I566" t="inlineStr">
        <is>
          <t>Phase I generated Rev.00 Word file — linked; signatures not completed</t>
        </is>
      </c>
      <c r="J566" t="inlineStr">
        <is>
          <t>2026-08-10T19:29:54Z</t>
        </is>
      </c>
      <c r="K566" t="inlineStr">
        <is>
          <t>2026-08-10T19:49:41Z</t>
        </is>
      </c>
    </row>
    <row r="567">
      <c r="A567" s="19" t="inlineStr">
        <is>
          <t>566</t>
        </is>
      </c>
      <c r="B567" s="19" t="inlineStr">
        <is>
          <t>IA-PPWR-DOC-ST-063-STD-04-R00</t>
        </is>
      </c>
      <c r="C567" t="inlineStr">
        <is>
          <t>IA-PPWR-DOC-ST-063-STD-04-R00</t>
        </is>
      </c>
      <c r="D567" s="19" t="inlineStr">
        <is>
          <t>4</t>
        </is>
      </c>
      <c r="E567" t="inlineStr">
        <is>
          <t>01_STARTER/ST-063-STD-04/02_EU_DoC.docx</t>
        </is>
      </c>
      <c r="F567" t="inlineStr">
        <is>
          <t>4ef543e9f1b4050b6cdb522ae16cbfd36e59ae8c7dec5cf6f0de7a9f4f4dedaa</t>
        </is>
      </c>
      <c r="G567" t="inlineStr">
        <is>
          <t>2026-08-08</t>
        </is>
      </c>
      <c r="H567" s="19" t="inlineStr">
        <is>
          <t>2</t>
        </is>
      </c>
      <c r="I567" t="inlineStr">
        <is>
          <t>Phase I generated Rev.00 Word file — linked; signatures not completed</t>
        </is>
      </c>
      <c r="J567" t="inlineStr">
        <is>
          <t>2026-08-10T19:29:54Z</t>
        </is>
      </c>
      <c r="K567" t="inlineStr">
        <is>
          <t>2026-08-10T19:49:41Z</t>
        </is>
      </c>
    </row>
    <row r="568">
      <c r="A568" s="19" t="inlineStr">
        <is>
          <t>567</t>
        </is>
      </c>
      <c r="B568" s="19" t="inlineStr">
        <is>
          <t>IA-PPWR-LBL-ST-063-STD-04-R00</t>
        </is>
      </c>
      <c r="C568" t="inlineStr">
        <is>
          <t>IA-PPWR-LBL-ST-063-STD-04-R00</t>
        </is>
      </c>
      <c r="D568" s="19" t="inlineStr">
        <is>
          <t>11</t>
        </is>
      </c>
      <c r="E568" t="inlineStr">
        <is>
          <t>01_STARTER/ST-063-STD-04/03_Label.docx</t>
        </is>
      </c>
      <c r="F568" t="inlineStr">
        <is>
          <t>9cc3d58016de86e69cc1679df3d87bef8eae9c6416c8b1192747c9dc22f04578</t>
        </is>
      </c>
      <c r="G568" t="inlineStr">
        <is>
          <t>2026-08-08</t>
        </is>
      </c>
      <c r="H568" s="19" t="inlineStr">
        <is>
          <t>2</t>
        </is>
      </c>
      <c r="I568" t="inlineStr">
        <is>
          <t>Phase I generated Rev.00 Word file — linked; signatures not completed</t>
        </is>
      </c>
      <c r="J568" t="inlineStr">
        <is>
          <t>2026-08-10T19:29:54Z</t>
        </is>
      </c>
      <c r="K568" t="inlineStr">
        <is>
          <t>2026-08-10T19:49:41Z</t>
        </is>
      </c>
    </row>
    <row r="569">
      <c r="A569" s="19" t="inlineStr">
        <is>
          <t>568</t>
        </is>
      </c>
      <c r="B569" s="19" t="inlineStr">
        <is>
          <t>IA-PPWR-STM-ST-063-STD-04-R00</t>
        </is>
      </c>
      <c r="C569" t="inlineStr">
        <is>
          <t>IA-PPWR-STM-ST-063-STD-04-R00</t>
        </is>
      </c>
      <c r="D569" s="19" t="inlineStr">
        <is>
          <t>12</t>
        </is>
      </c>
      <c r="E569" t="inlineStr">
        <is>
          <t>01_STARTER/ST-063-STD-04/04_Shipment_Statement.docx</t>
        </is>
      </c>
      <c r="F569" t="inlineStr">
        <is>
          <t>2c9887893980cce36df4e8fcc21b22a14de0eca7ee32c684675d533adfa43bdb</t>
        </is>
      </c>
      <c r="G569" t="inlineStr">
        <is>
          <t>2026-08-08</t>
        </is>
      </c>
      <c r="H569" s="19" t="inlineStr">
        <is>
          <t>2</t>
        </is>
      </c>
      <c r="I569" t="inlineStr">
        <is>
          <t>Phase I generated Rev.00 Word file — linked; signatures not completed</t>
        </is>
      </c>
      <c r="J569" t="inlineStr">
        <is>
          <t>2026-08-10T19:29:54Z</t>
        </is>
      </c>
      <c r="K569" t="inlineStr">
        <is>
          <t>2026-08-10T19:49:41Z</t>
        </is>
      </c>
    </row>
    <row r="570">
      <c r="A570" s="19" t="inlineStr">
        <is>
          <t>569</t>
        </is>
      </c>
      <c r="B570" s="19" t="inlineStr">
        <is>
          <t>IA-PPWR-TF-ST-063-STD-05-R00</t>
        </is>
      </c>
      <c r="C570" t="inlineStr">
        <is>
          <t>IA-PPWR-TF-ST-063-STD-05-R00</t>
        </is>
      </c>
      <c r="D570" s="19" t="inlineStr">
        <is>
          <t>1</t>
        </is>
      </c>
      <c r="E570" t="inlineStr">
        <is>
          <t>01_STARTER/ST-063-STD-05/01_Technical_File.docx</t>
        </is>
      </c>
      <c r="F570" t="inlineStr">
        <is>
          <t>3039d1caf7a7d3ff62d16c7362eefd86672ab2730fa26cc95f6542c18a7dc405</t>
        </is>
      </c>
      <c r="G570" t="inlineStr">
        <is>
          <t>2026-08-08</t>
        </is>
      </c>
      <c r="H570" s="19" t="inlineStr">
        <is>
          <t>2</t>
        </is>
      </c>
      <c r="I570" t="inlineStr">
        <is>
          <t>Phase I generated Rev.00 Word file — linked; signatures not completed</t>
        </is>
      </c>
      <c r="J570" t="inlineStr">
        <is>
          <t>2026-08-10T19:29:54Z</t>
        </is>
      </c>
      <c r="K570" t="inlineStr">
        <is>
          <t>2026-08-10T19:49:41Z</t>
        </is>
      </c>
    </row>
    <row r="571">
      <c r="A571" s="19" t="inlineStr">
        <is>
          <t>570</t>
        </is>
      </c>
      <c r="B571" s="19" t="inlineStr">
        <is>
          <t>IA-PPWR-DOC-ST-063-STD-05-R00</t>
        </is>
      </c>
      <c r="C571" t="inlineStr">
        <is>
          <t>IA-PPWR-DOC-ST-063-STD-05-R00</t>
        </is>
      </c>
      <c r="D571" s="19" t="inlineStr">
        <is>
          <t>4</t>
        </is>
      </c>
      <c r="E571" t="inlineStr">
        <is>
          <t>01_STARTER/ST-063-STD-05/02_EU_DoC.docx</t>
        </is>
      </c>
      <c r="F571" t="inlineStr">
        <is>
          <t>b428e4fd0a0011f9f39187bc642f5ec628a0ff7b670faf9ba3d3d0b8d6534242</t>
        </is>
      </c>
      <c r="G571" t="inlineStr">
        <is>
          <t>2026-08-08</t>
        </is>
      </c>
      <c r="H571" s="19" t="inlineStr">
        <is>
          <t>2</t>
        </is>
      </c>
      <c r="I571" t="inlineStr">
        <is>
          <t>Phase I generated Rev.00 Word file — linked; signatures not completed</t>
        </is>
      </c>
      <c r="J571" t="inlineStr">
        <is>
          <t>2026-08-10T19:29:54Z</t>
        </is>
      </c>
      <c r="K571" t="inlineStr">
        <is>
          <t>2026-08-10T19:49:41Z</t>
        </is>
      </c>
    </row>
    <row r="572">
      <c r="A572" s="19" t="inlineStr">
        <is>
          <t>571</t>
        </is>
      </c>
      <c r="B572" s="19" t="inlineStr">
        <is>
          <t>IA-PPWR-LBL-ST-063-STD-05-R00</t>
        </is>
      </c>
      <c r="C572" t="inlineStr">
        <is>
          <t>IA-PPWR-LBL-ST-063-STD-05-R00</t>
        </is>
      </c>
      <c r="D572" s="19" t="inlineStr">
        <is>
          <t>11</t>
        </is>
      </c>
      <c r="E572" t="inlineStr">
        <is>
          <t>01_STARTER/ST-063-STD-05/03_Label.docx</t>
        </is>
      </c>
      <c r="F572" t="inlineStr">
        <is>
          <t>a1479999e50a47153462c9b42319220db3ca7af054ac5f1c354379d02b63172a</t>
        </is>
      </c>
      <c r="G572" t="inlineStr">
        <is>
          <t>2026-08-08</t>
        </is>
      </c>
      <c r="H572" s="19" t="inlineStr">
        <is>
          <t>2</t>
        </is>
      </c>
      <c r="I572" t="inlineStr">
        <is>
          <t>Phase I generated Rev.00 Word file — linked; signatures not completed</t>
        </is>
      </c>
      <c r="J572" t="inlineStr">
        <is>
          <t>2026-08-10T19:29:54Z</t>
        </is>
      </c>
      <c r="K572" t="inlineStr">
        <is>
          <t>2026-08-10T19:49:41Z</t>
        </is>
      </c>
    </row>
    <row r="573">
      <c r="A573" s="19" t="inlineStr">
        <is>
          <t>572</t>
        </is>
      </c>
      <c r="B573" s="19" t="inlineStr">
        <is>
          <t>IA-PPWR-STM-ST-063-STD-05-R00</t>
        </is>
      </c>
      <c r="C573" t="inlineStr">
        <is>
          <t>IA-PPWR-STM-ST-063-STD-05-R00</t>
        </is>
      </c>
      <c r="D573" s="19" t="inlineStr">
        <is>
          <t>12</t>
        </is>
      </c>
      <c r="E573" t="inlineStr">
        <is>
          <t>01_STARTER/ST-063-STD-05/04_Shipment_Statement.docx</t>
        </is>
      </c>
      <c r="F573" t="inlineStr">
        <is>
          <t>ce1968b9b2c589a21642d9076aa4e7a2411a8046e561968d39b1ee8a0f51ba5b</t>
        </is>
      </c>
      <c r="G573" t="inlineStr">
        <is>
          <t>2026-08-08</t>
        </is>
      </c>
      <c r="H573" s="19" t="inlineStr">
        <is>
          <t>2</t>
        </is>
      </c>
      <c r="I573" t="inlineStr">
        <is>
          <t>Phase I generated Rev.00 Word file — linked; signatures not completed</t>
        </is>
      </c>
      <c r="J573" t="inlineStr">
        <is>
          <t>2026-08-10T19:29:54Z</t>
        </is>
      </c>
      <c r="K573" t="inlineStr">
        <is>
          <t>2026-08-10T19:49:41Z</t>
        </is>
      </c>
    </row>
    <row r="574">
      <c r="A574" s="19" t="inlineStr">
        <is>
          <t>573</t>
        </is>
      </c>
      <c r="B574" s="19" t="inlineStr">
        <is>
          <t>IA-PPWR-TF-ST-063-STD-06-R00</t>
        </is>
      </c>
      <c r="C574" t="inlineStr">
        <is>
          <t>IA-PPWR-TF-ST-063-STD-06-R00</t>
        </is>
      </c>
      <c r="D574" s="19" t="inlineStr">
        <is>
          <t>1</t>
        </is>
      </c>
      <c r="E574" t="inlineStr">
        <is>
          <t>01_STARTER/ST-063-STD-06/01_Technical_File.docx</t>
        </is>
      </c>
      <c r="F574" t="inlineStr">
        <is>
          <t>7f97969c5ead4520c88e577ece3be4cde805475ad6ab9001b5b864e836c1c287</t>
        </is>
      </c>
      <c r="G574" t="inlineStr">
        <is>
          <t>2026-08-08</t>
        </is>
      </c>
      <c r="H574" s="19" t="inlineStr">
        <is>
          <t>2</t>
        </is>
      </c>
      <c r="I574" t="inlineStr">
        <is>
          <t>Phase I generated Rev.00 Word file — linked; signatures not completed</t>
        </is>
      </c>
      <c r="J574" t="inlineStr">
        <is>
          <t>2026-08-10T19:29:54Z</t>
        </is>
      </c>
      <c r="K574" t="inlineStr">
        <is>
          <t>2026-08-10T19:49:41Z</t>
        </is>
      </c>
    </row>
    <row r="575">
      <c r="A575" s="19" t="inlineStr">
        <is>
          <t>574</t>
        </is>
      </c>
      <c r="B575" s="19" t="inlineStr">
        <is>
          <t>IA-PPWR-DOC-ST-063-STD-06-R00</t>
        </is>
      </c>
      <c r="C575" t="inlineStr">
        <is>
          <t>IA-PPWR-DOC-ST-063-STD-06-R00</t>
        </is>
      </c>
      <c r="D575" s="19" t="inlineStr">
        <is>
          <t>4</t>
        </is>
      </c>
      <c r="E575" t="inlineStr">
        <is>
          <t>01_STARTER/ST-063-STD-06/02_EU_DoC.docx</t>
        </is>
      </c>
      <c r="F575" t="inlineStr">
        <is>
          <t>d27d1e6b85cce5696c03e2602e268b4d553d9842edcea89a6d4eea8c7012db1e</t>
        </is>
      </c>
      <c r="G575" t="inlineStr">
        <is>
          <t>2026-08-08</t>
        </is>
      </c>
      <c r="H575" s="19" t="inlineStr">
        <is>
          <t>2</t>
        </is>
      </c>
      <c r="I575" t="inlineStr">
        <is>
          <t>Phase I generated Rev.00 Word file — linked; signatures not completed</t>
        </is>
      </c>
      <c r="J575" t="inlineStr">
        <is>
          <t>2026-08-10T19:29:54Z</t>
        </is>
      </c>
      <c r="K575" t="inlineStr">
        <is>
          <t>2026-08-10T19:49:41Z</t>
        </is>
      </c>
    </row>
    <row r="576">
      <c r="A576" s="19" t="inlineStr">
        <is>
          <t>575</t>
        </is>
      </c>
      <c r="B576" s="19" t="inlineStr">
        <is>
          <t>IA-PPWR-LBL-ST-063-STD-06-R00</t>
        </is>
      </c>
      <c r="C576" t="inlineStr">
        <is>
          <t>IA-PPWR-LBL-ST-063-STD-06-R00</t>
        </is>
      </c>
      <c r="D576" s="19" t="inlineStr">
        <is>
          <t>11</t>
        </is>
      </c>
      <c r="E576" t="inlineStr">
        <is>
          <t>01_STARTER/ST-063-STD-06/03_Label.docx</t>
        </is>
      </c>
      <c r="F576" t="inlineStr">
        <is>
          <t>fa3f487a93a10fb903fce410b98b9ec678f4003115cb7fc09a3882ecf542d159</t>
        </is>
      </c>
      <c r="G576" t="inlineStr">
        <is>
          <t>2026-08-08</t>
        </is>
      </c>
      <c r="H576" s="19" t="inlineStr">
        <is>
          <t>2</t>
        </is>
      </c>
      <c r="I576" t="inlineStr">
        <is>
          <t>Phase I generated Rev.00 Word file — linked; signatures not completed</t>
        </is>
      </c>
      <c r="J576" t="inlineStr">
        <is>
          <t>2026-08-10T19:29:54Z</t>
        </is>
      </c>
      <c r="K576" t="inlineStr">
        <is>
          <t>2026-08-10T19:49:41Z</t>
        </is>
      </c>
    </row>
    <row r="577">
      <c r="A577" s="19" t="inlineStr">
        <is>
          <t>576</t>
        </is>
      </c>
      <c r="B577" s="19" t="inlineStr">
        <is>
          <t>IA-PPWR-STM-ST-063-STD-06-R00</t>
        </is>
      </c>
      <c r="C577" t="inlineStr">
        <is>
          <t>IA-PPWR-STM-ST-063-STD-06-R00</t>
        </is>
      </c>
      <c r="D577" s="19" t="inlineStr">
        <is>
          <t>12</t>
        </is>
      </c>
      <c r="E577" t="inlineStr">
        <is>
          <t>01_STARTER/ST-063-STD-06/04_Shipment_Statement.docx</t>
        </is>
      </c>
      <c r="F577" t="inlineStr">
        <is>
          <t>b6222ceee8da5990e35ddee70d5250049b69293756da3c06cfcea9a95722df75</t>
        </is>
      </c>
      <c r="G577" t="inlineStr">
        <is>
          <t>2026-08-08</t>
        </is>
      </c>
      <c r="H577" s="19" t="inlineStr">
        <is>
          <t>2</t>
        </is>
      </c>
      <c r="I577" t="inlineStr">
        <is>
          <t>Phase I generated Rev.00 Word file — linked; signatures not completed</t>
        </is>
      </c>
      <c r="J577" t="inlineStr">
        <is>
          <t>2026-08-10T19:29:54Z</t>
        </is>
      </c>
      <c r="K577" t="inlineStr">
        <is>
          <t>2026-08-10T19:49:41Z</t>
        </is>
      </c>
    </row>
    <row r="578">
      <c r="A578" s="19" t="inlineStr">
        <is>
          <t>577</t>
        </is>
      </c>
      <c r="B578" s="19" t="inlineStr">
        <is>
          <t>IA-PPWR-TF-ST-063-STD-07-R00</t>
        </is>
      </c>
      <c r="C578" t="inlineStr">
        <is>
          <t>IA-PPWR-TF-ST-063-STD-07-R00</t>
        </is>
      </c>
      <c r="D578" s="19" t="inlineStr">
        <is>
          <t>1</t>
        </is>
      </c>
      <c r="E578" t="inlineStr">
        <is>
          <t>01_STARTER/ST-063-STD-07/01_Technical_File.docx</t>
        </is>
      </c>
      <c r="F578" t="inlineStr">
        <is>
          <t>bc99c8fddafa6eb194ba070f4b37731faafcf4f821616310d92dc159369d7a75</t>
        </is>
      </c>
      <c r="G578" t="inlineStr">
        <is>
          <t>2026-08-08</t>
        </is>
      </c>
      <c r="H578" s="19" t="inlineStr">
        <is>
          <t>2</t>
        </is>
      </c>
      <c r="I578" t="inlineStr">
        <is>
          <t>Phase I generated Rev.00 Word file — linked; signatures not completed</t>
        </is>
      </c>
      <c r="J578" t="inlineStr">
        <is>
          <t>2026-08-10T19:29:54Z</t>
        </is>
      </c>
      <c r="K578" t="inlineStr">
        <is>
          <t>2026-08-10T19:49:41Z</t>
        </is>
      </c>
    </row>
    <row r="579">
      <c r="A579" s="19" t="inlineStr">
        <is>
          <t>578</t>
        </is>
      </c>
      <c r="B579" s="19" t="inlineStr">
        <is>
          <t>IA-PPWR-DOC-ST-063-STD-07-R00</t>
        </is>
      </c>
      <c r="C579" t="inlineStr">
        <is>
          <t>IA-PPWR-DOC-ST-063-STD-07-R00</t>
        </is>
      </c>
      <c r="D579" s="19" t="inlineStr">
        <is>
          <t>4</t>
        </is>
      </c>
      <c r="E579" t="inlineStr">
        <is>
          <t>01_STARTER/ST-063-STD-07/02_EU_DoC.docx</t>
        </is>
      </c>
      <c r="F579" t="inlineStr">
        <is>
          <t>dd5160732a28c30165da1c4e2ef86ec9315f214fce30a0c29a4db52ce92c292a</t>
        </is>
      </c>
      <c r="G579" t="inlineStr">
        <is>
          <t>2026-08-08</t>
        </is>
      </c>
      <c r="H579" s="19" t="inlineStr">
        <is>
          <t>2</t>
        </is>
      </c>
      <c r="I579" t="inlineStr">
        <is>
          <t>Phase I generated Rev.00 Word file — linked; signatures not completed</t>
        </is>
      </c>
      <c r="J579" t="inlineStr">
        <is>
          <t>2026-08-10T19:29:54Z</t>
        </is>
      </c>
      <c r="K579" t="inlineStr">
        <is>
          <t>2026-08-10T19:49:41Z</t>
        </is>
      </c>
    </row>
    <row r="580">
      <c r="A580" s="19" t="inlineStr">
        <is>
          <t>579</t>
        </is>
      </c>
      <c r="B580" s="19" t="inlineStr">
        <is>
          <t>IA-PPWR-LBL-ST-063-STD-07-R00</t>
        </is>
      </c>
      <c r="C580" t="inlineStr">
        <is>
          <t>IA-PPWR-LBL-ST-063-STD-07-R00</t>
        </is>
      </c>
      <c r="D580" s="19" t="inlineStr">
        <is>
          <t>11</t>
        </is>
      </c>
      <c r="E580" t="inlineStr">
        <is>
          <t>01_STARTER/ST-063-STD-07/03_Label.docx</t>
        </is>
      </c>
      <c r="F580" t="inlineStr">
        <is>
          <t>b56ab327b40055534bb93383c2d874758ed1a5c39c6f1b41215efae73e791640</t>
        </is>
      </c>
      <c r="G580" t="inlineStr">
        <is>
          <t>2026-08-08</t>
        </is>
      </c>
      <c r="H580" s="19" t="inlineStr">
        <is>
          <t>2</t>
        </is>
      </c>
      <c r="I580" t="inlineStr">
        <is>
          <t>Phase I generated Rev.00 Word file — linked; signatures not completed</t>
        </is>
      </c>
      <c r="J580" t="inlineStr">
        <is>
          <t>2026-08-10T19:29:54Z</t>
        </is>
      </c>
      <c r="K580" t="inlineStr">
        <is>
          <t>2026-08-10T19:49:41Z</t>
        </is>
      </c>
    </row>
    <row r="581">
      <c r="A581" s="19" t="inlineStr">
        <is>
          <t>580</t>
        </is>
      </c>
      <c r="B581" s="19" t="inlineStr">
        <is>
          <t>IA-PPWR-STM-ST-063-STD-07-R00</t>
        </is>
      </c>
      <c r="C581" t="inlineStr">
        <is>
          <t>IA-PPWR-STM-ST-063-STD-07-R00</t>
        </is>
      </c>
      <c r="D581" s="19" t="inlineStr">
        <is>
          <t>12</t>
        </is>
      </c>
      <c r="E581" t="inlineStr">
        <is>
          <t>01_STARTER/ST-063-STD-07/04_Shipment_Statement.docx</t>
        </is>
      </c>
      <c r="F581" t="inlineStr">
        <is>
          <t>c6ca81bfbb780070f079464a83c3dcbe52bfb6c51714abc99a676112279aebf4</t>
        </is>
      </c>
      <c r="G581" t="inlineStr">
        <is>
          <t>2026-08-08</t>
        </is>
      </c>
      <c r="H581" s="19" t="inlineStr">
        <is>
          <t>2</t>
        </is>
      </c>
      <c r="I581" t="inlineStr">
        <is>
          <t>Phase I generated Rev.00 Word file — linked; signatures not completed</t>
        </is>
      </c>
      <c r="J581" t="inlineStr">
        <is>
          <t>2026-08-10T19:29:54Z</t>
        </is>
      </c>
      <c r="K581" t="inlineStr">
        <is>
          <t>2026-08-10T19:49:41Z</t>
        </is>
      </c>
    </row>
    <row r="582">
      <c r="A582" s="19" t="inlineStr">
        <is>
          <t>581</t>
        </is>
      </c>
      <c r="B582" s="19" t="inlineStr">
        <is>
          <t>IA-PPWR-TF-ST-063-STD-08-R00</t>
        </is>
      </c>
      <c r="C582" t="inlineStr">
        <is>
          <t>IA-PPWR-TF-ST-063-STD-08-R00</t>
        </is>
      </c>
      <c r="D582" s="19" t="inlineStr">
        <is>
          <t>1</t>
        </is>
      </c>
      <c r="E582" t="inlineStr">
        <is>
          <t>01_STARTER/ST-063-STD-08/01_Technical_File.docx</t>
        </is>
      </c>
      <c r="F582" t="inlineStr">
        <is>
          <t>c7384bede1d1d094f432e670dcb81d92689bd63f7d6db873d5766b52d826a51d</t>
        </is>
      </c>
      <c r="G582" t="inlineStr">
        <is>
          <t>2026-08-08</t>
        </is>
      </c>
      <c r="H582" s="19" t="inlineStr">
        <is>
          <t>2</t>
        </is>
      </c>
      <c r="I582" t="inlineStr">
        <is>
          <t>Phase I generated Rev.00 Word file — linked; signatures not completed</t>
        </is>
      </c>
      <c r="J582" t="inlineStr">
        <is>
          <t>2026-08-10T19:29:54Z</t>
        </is>
      </c>
      <c r="K582" t="inlineStr">
        <is>
          <t>2026-08-10T19:49:41Z</t>
        </is>
      </c>
    </row>
    <row r="583">
      <c r="A583" s="19" t="inlineStr">
        <is>
          <t>582</t>
        </is>
      </c>
      <c r="B583" s="19" t="inlineStr">
        <is>
          <t>IA-PPWR-DOC-ST-063-STD-08-R00</t>
        </is>
      </c>
      <c r="C583" t="inlineStr">
        <is>
          <t>IA-PPWR-DOC-ST-063-STD-08-R00</t>
        </is>
      </c>
      <c r="D583" s="19" t="inlineStr">
        <is>
          <t>4</t>
        </is>
      </c>
      <c r="E583" t="inlineStr">
        <is>
          <t>01_STARTER/ST-063-STD-08/02_EU_DoC.docx</t>
        </is>
      </c>
      <c r="F583" t="inlineStr">
        <is>
          <t>9432f06a7afefad53956c6856f2af156058883a9d7d49fee9402e25bfe0355c8</t>
        </is>
      </c>
      <c r="G583" t="inlineStr">
        <is>
          <t>2026-08-08</t>
        </is>
      </c>
      <c r="H583" s="19" t="inlineStr">
        <is>
          <t>2</t>
        </is>
      </c>
      <c r="I583" t="inlineStr">
        <is>
          <t>Phase I generated Rev.00 Word file — linked; signatures not completed</t>
        </is>
      </c>
      <c r="J583" t="inlineStr">
        <is>
          <t>2026-08-10T19:29:54Z</t>
        </is>
      </c>
      <c r="K583" t="inlineStr">
        <is>
          <t>2026-08-10T19:49:41Z</t>
        </is>
      </c>
    </row>
    <row r="584">
      <c r="A584" s="19" t="inlineStr">
        <is>
          <t>583</t>
        </is>
      </c>
      <c r="B584" s="19" t="inlineStr">
        <is>
          <t>IA-PPWR-LBL-ST-063-STD-08-R00</t>
        </is>
      </c>
      <c r="C584" t="inlineStr">
        <is>
          <t>IA-PPWR-LBL-ST-063-STD-08-R00</t>
        </is>
      </c>
      <c r="D584" s="19" t="inlineStr">
        <is>
          <t>11</t>
        </is>
      </c>
      <c r="E584" t="inlineStr">
        <is>
          <t>01_STARTER/ST-063-STD-08/03_Label.docx</t>
        </is>
      </c>
      <c r="F584" t="inlineStr">
        <is>
          <t>ea102399e3b1328f23bd8babf2f07ee58511535012ab5857f2a8a789369847fd</t>
        </is>
      </c>
      <c r="G584" t="inlineStr">
        <is>
          <t>2026-08-08</t>
        </is>
      </c>
      <c r="H584" s="19" t="inlineStr">
        <is>
          <t>2</t>
        </is>
      </c>
      <c r="I584" t="inlineStr">
        <is>
          <t>Phase I generated Rev.00 Word file — linked; signatures not completed</t>
        </is>
      </c>
      <c r="J584" t="inlineStr">
        <is>
          <t>2026-08-10T19:29:54Z</t>
        </is>
      </c>
      <c r="K584" t="inlineStr">
        <is>
          <t>2026-08-10T19:49:41Z</t>
        </is>
      </c>
    </row>
    <row r="585">
      <c r="A585" s="19" t="inlineStr">
        <is>
          <t>584</t>
        </is>
      </c>
      <c r="B585" s="19" t="inlineStr">
        <is>
          <t>IA-PPWR-STM-ST-063-STD-08-R00</t>
        </is>
      </c>
      <c r="C585" t="inlineStr">
        <is>
          <t>IA-PPWR-STM-ST-063-STD-08-R00</t>
        </is>
      </c>
      <c r="D585" s="19" t="inlineStr">
        <is>
          <t>12</t>
        </is>
      </c>
      <c r="E585" t="inlineStr">
        <is>
          <t>01_STARTER/ST-063-STD-08/04_Shipment_Statement.docx</t>
        </is>
      </c>
      <c r="F585" t="inlineStr">
        <is>
          <t>e840d7dff35fd77db4f6819d0022aeb3905caebc122d33cfaab6aee76de7c132</t>
        </is>
      </c>
      <c r="G585" t="inlineStr">
        <is>
          <t>2026-08-08</t>
        </is>
      </c>
      <c r="H585" s="19" t="inlineStr">
        <is>
          <t>2</t>
        </is>
      </c>
      <c r="I585" t="inlineStr">
        <is>
          <t>Phase I generated Rev.00 Word file — linked; signatures not completed</t>
        </is>
      </c>
      <c r="J585" t="inlineStr">
        <is>
          <t>2026-08-10T19:29:54Z</t>
        </is>
      </c>
      <c r="K585" t="inlineStr">
        <is>
          <t>2026-08-10T19:49:41Z</t>
        </is>
      </c>
    </row>
    <row r="586">
      <c r="A586" s="19" t="inlineStr">
        <is>
          <t>585</t>
        </is>
      </c>
      <c r="B586" s="19" t="inlineStr">
        <is>
          <t>IA-PPWR-TF-ST-063-STD-09-R00</t>
        </is>
      </c>
      <c r="C586" t="inlineStr">
        <is>
          <t>IA-PPWR-TF-ST-063-STD-09-R00</t>
        </is>
      </c>
      <c r="D586" s="19" t="inlineStr">
        <is>
          <t>1</t>
        </is>
      </c>
      <c r="E586" t="inlineStr">
        <is>
          <t>01_STARTER/ST-063-STD-09/01_Technical_File.docx</t>
        </is>
      </c>
      <c r="F586" t="inlineStr">
        <is>
          <t>358fdf0ce6e9f96e933bd87c3f35b0cebd30447e091718108bbf926f32dd2174</t>
        </is>
      </c>
      <c r="G586" t="inlineStr">
        <is>
          <t>2026-08-08</t>
        </is>
      </c>
      <c r="H586" s="19" t="inlineStr">
        <is>
          <t>2</t>
        </is>
      </c>
      <c r="I586" t="inlineStr">
        <is>
          <t>Phase I generated Rev.00 Word file — linked; signatures not completed</t>
        </is>
      </c>
      <c r="J586" t="inlineStr">
        <is>
          <t>2026-08-10T19:29:54Z</t>
        </is>
      </c>
      <c r="K586" t="inlineStr">
        <is>
          <t>2026-08-10T19:49:41Z</t>
        </is>
      </c>
    </row>
    <row r="587">
      <c r="A587" s="19" t="inlineStr">
        <is>
          <t>586</t>
        </is>
      </c>
      <c r="B587" s="19" t="inlineStr">
        <is>
          <t>IA-PPWR-DOC-ST-063-STD-09-R00</t>
        </is>
      </c>
      <c r="C587" t="inlineStr">
        <is>
          <t>IA-PPWR-DOC-ST-063-STD-09-R00</t>
        </is>
      </c>
      <c r="D587" s="19" t="inlineStr">
        <is>
          <t>4</t>
        </is>
      </c>
      <c r="E587" t="inlineStr">
        <is>
          <t>01_STARTER/ST-063-STD-09/02_EU_DoC.docx</t>
        </is>
      </c>
      <c r="F587" t="inlineStr">
        <is>
          <t>e7bb171df448893d94c3c0f6a1808672d77a65c735752c5db9583611543dff05</t>
        </is>
      </c>
      <c r="G587" t="inlineStr">
        <is>
          <t>2026-08-08</t>
        </is>
      </c>
      <c r="H587" s="19" t="inlineStr">
        <is>
          <t>2</t>
        </is>
      </c>
      <c r="I587" t="inlineStr">
        <is>
          <t>Phase I generated Rev.00 Word file — linked; signatures not completed</t>
        </is>
      </c>
      <c r="J587" t="inlineStr">
        <is>
          <t>2026-08-10T19:29:54Z</t>
        </is>
      </c>
      <c r="K587" t="inlineStr">
        <is>
          <t>2026-08-10T19:49:41Z</t>
        </is>
      </c>
    </row>
    <row r="588">
      <c r="A588" s="19" t="inlineStr">
        <is>
          <t>587</t>
        </is>
      </c>
      <c r="B588" s="19" t="inlineStr">
        <is>
          <t>IA-PPWR-LBL-ST-063-STD-09-R00</t>
        </is>
      </c>
      <c r="C588" t="inlineStr">
        <is>
          <t>IA-PPWR-LBL-ST-063-STD-09-R00</t>
        </is>
      </c>
      <c r="D588" s="19" t="inlineStr">
        <is>
          <t>11</t>
        </is>
      </c>
      <c r="E588" t="inlineStr">
        <is>
          <t>01_STARTER/ST-063-STD-09/03_Label.docx</t>
        </is>
      </c>
      <c r="F588" t="inlineStr">
        <is>
          <t>a9dddcff64d71fa2be38d1bcf010d9668e09f5e1ac540b1c815e27d0062925bf</t>
        </is>
      </c>
      <c r="G588" t="inlineStr">
        <is>
          <t>2026-08-08</t>
        </is>
      </c>
      <c r="H588" s="19" t="inlineStr">
        <is>
          <t>2</t>
        </is>
      </c>
      <c r="I588" t="inlineStr">
        <is>
          <t>Phase I generated Rev.00 Word file — linked; signatures not completed</t>
        </is>
      </c>
      <c r="J588" t="inlineStr">
        <is>
          <t>2026-08-10T19:29:54Z</t>
        </is>
      </c>
      <c r="K588" t="inlineStr">
        <is>
          <t>2026-08-10T19:49:41Z</t>
        </is>
      </c>
    </row>
    <row r="589">
      <c r="A589" s="19" t="inlineStr">
        <is>
          <t>588</t>
        </is>
      </c>
      <c r="B589" s="19" t="inlineStr">
        <is>
          <t>IA-PPWR-STM-ST-063-STD-09-R00</t>
        </is>
      </c>
      <c r="C589" t="inlineStr">
        <is>
          <t>IA-PPWR-STM-ST-063-STD-09-R00</t>
        </is>
      </c>
      <c r="D589" s="19" t="inlineStr">
        <is>
          <t>12</t>
        </is>
      </c>
      <c r="E589" t="inlineStr">
        <is>
          <t>01_STARTER/ST-063-STD-09/04_Shipment_Statement.docx</t>
        </is>
      </c>
      <c r="F589" t="inlineStr">
        <is>
          <t>a49d996bdc3a26bfb15bc14c1f867f36f50cdc548726d63f9a83f5ef4c4784b0</t>
        </is>
      </c>
      <c r="G589" t="inlineStr">
        <is>
          <t>2026-08-08</t>
        </is>
      </c>
      <c r="H589" s="19" t="inlineStr">
        <is>
          <t>2</t>
        </is>
      </c>
      <c r="I589" t="inlineStr">
        <is>
          <t>Phase I generated Rev.00 Word file — linked; signatures not completed</t>
        </is>
      </c>
      <c r="J589" t="inlineStr">
        <is>
          <t>2026-08-10T19:29:54Z</t>
        </is>
      </c>
      <c r="K589" t="inlineStr">
        <is>
          <t>2026-08-10T19:49:41Z</t>
        </is>
      </c>
    </row>
    <row r="590">
      <c r="A590" s="19" t="inlineStr">
        <is>
          <t>589</t>
        </is>
      </c>
      <c r="B590" s="19" t="inlineStr">
        <is>
          <t>IA-PPWR-TF-ST-063-STD-10-R00</t>
        </is>
      </c>
      <c r="C590" t="inlineStr">
        <is>
          <t>IA-PPWR-TF-ST-063-STD-10-R00</t>
        </is>
      </c>
      <c r="D590" s="19" t="inlineStr">
        <is>
          <t>1</t>
        </is>
      </c>
      <c r="E590" t="inlineStr">
        <is>
          <t>01_STARTER/ST-063-STD-10/01_Technical_File.docx</t>
        </is>
      </c>
      <c r="F590" t="inlineStr">
        <is>
          <t>5ff2e14bd8c7268ba5405ff1a2088b8ae4775c971936715974a0253b31dd5be5</t>
        </is>
      </c>
      <c r="G590" t="inlineStr">
        <is>
          <t>2026-08-08</t>
        </is>
      </c>
      <c r="H590" s="19" t="inlineStr">
        <is>
          <t>2</t>
        </is>
      </c>
      <c r="I590" t="inlineStr">
        <is>
          <t>Phase I generated Rev.00 Word file — linked; signatures not completed</t>
        </is>
      </c>
      <c r="J590" t="inlineStr">
        <is>
          <t>2026-08-10T19:29:54Z</t>
        </is>
      </c>
      <c r="K590" t="inlineStr">
        <is>
          <t>2026-08-10T19:49:41Z</t>
        </is>
      </c>
    </row>
    <row r="591">
      <c r="A591" s="19" t="inlineStr">
        <is>
          <t>590</t>
        </is>
      </c>
      <c r="B591" s="19" t="inlineStr">
        <is>
          <t>IA-PPWR-DOC-ST-063-STD-10-R00</t>
        </is>
      </c>
      <c r="C591" t="inlineStr">
        <is>
          <t>IA-PPWR-DOC-ST-063-STD-10-R00</t>
        </is>
      </c>
      <c r="D591" s="19" t="inlineStr">
        <is>
          <t>4</t>
        </is>
      </c>
      <c r="E591" t="inlineStr">
        <is>
          <t>01_STARTER/ST-063-STD-10/02_EU_DoC.docx</t>
        </is>
      </c>
      <c r="F591" t="inlineStr">
        <is>
          <t>bd3dffd5d7c869c906dff01e1390257bc096bd526ee01bc5b2db16d107f547be</t>
        </is>
      </c>
      <c r="G591" t="inlineStr">
        <is>
          <t>2026-08-08</t>
        </is>
      </c>
      <c r="H591" s="19" t="inlineStr">
        <is>
          <t>2</t>
        </is>
      </c>
      <c r="I591" t="inlineStr">
        <is>
          <t>Phase I generated Rev.00 Word file — linked; signatures not completed</t>
        </is>
      </c>
      <c r="J591" t="inlineStr">
        <is>
          <t>2026-08-10T19:29:54Z</t>
        </is>
      </c>
      <c r="K591" t="inlineStr">
        <is>
          <t>2026-08-10T19:49:41Z</t>
        </is>
      </c>
    </row>
    <row r="592">
      <c r="A592" s="19" t="inlineStr">
        <is>
          <t>591</t>
        </is>
      </c>
      <c r="B592" s="19" t="inlineStr">
        <is>
          <t>IA-PPWR-LBL-ST-063-STD-10-R00</t>
        </is>
      </c>
      <c r="C592" t="inlineStr">
        <is>
          <t>IA-PPWR-LBL-ST-063-STD-10-R00</t>
        </is>
      </c>
      <c r="D592" s="19" t="inlineStr">
        <is>
          <t>11</t>
        </is>
      </c>
      <c r="E592" t="inlineStr">
        <is>
          <t>01_STARTER/ST-063-STD-10/03_Label.docx</t>
        </is>
      </c>
      <c r="F592" t="inlineStr">
        <is>
          <t>0e084a9fcda84956f41d2288fd71984e1676c9377b65e540df8110416285f32f</t>
        </is>
      </c>
      <c r="G592" t="inlineStr">
        <is>
          <t>2026-08-08</t>
        </is>
      </c>
      <c r="H592" s="19" t="inlineStr">
        <is>
          <t>2</t>
        </is>
      </c>
      <c r="I592" t="inlineStr">
        <is>
          <t>Phase I generated Rev.00 Word file — linked; signatures not completed</t>
        </is>
      </c>
      <c r="J592" t="inlineStr">
        <is>
          <t>2026-08-10T19:29:54Z</t>
        </is>
      </c>
      <c r="K592" t="inlineStr">
        <is>
          <t>2026-08-10T19:49:41Z</t>
        </is>
      </c>
    </row>
    <row r="593">
      <c r="A593" s="19" t="inlineStr">
        <is>
          <t>592</t>
        </is>
      </c>
      <c r="B593" s="19" t="inlineStr">
        <is>
          <t>IA-PPWR-STM-ST-063-STD-10-R00</t>
        </is>
      </c>
      <c r="C593" t="inlineStr">
        <is>
          <t>IA-PPWR-STM-ST-063-STD-10-R00</t>
        </is>
      </c>
      <c r="D593" s="19" t="inlineStr">
        <is>
          <t>12</t>
        </is>
      </c>
      <c r="E593" t="inlineStr">
        <is>
          <t>01_STARTER/ST-063-STD-10/04_Shipment_Statement.docx</t>
        </is>
      </c>
      <c r="F593" t="inlineStr">
        <is>
          <t>00f4ea5867934895177c9c593d64c96deb7c2339e4d14af89643ed0b1010a800</t>
        </is>
      </c>
      <c r="G593" t="inlineStr">
        <is>
          <t>2026-08-08</t>
        </is>
      </c>
      <c r="H593" s="19" t="inlineStr">
        <is>
          <t>2</t>
        </is>
      </c>
      <c r="I593" t="inlineStr">
        <is>
          <t>Phase I generated Rev.00 Word file — linked; signatures not completed</t>
        </is>
      </c>
      <c r="J593" t="inlineStr">
        <is>
          <t>2026-08-10T19:29:54Z</t>
        </is>
      </c>
      <c r="K593" t="inlineStr">
        <is>
          <t>2026-08-10T19:49:41Z</t>
        </is>
      </c>
    </row>
    <row r="594">
      <c r="A594" s="19" t="inlineStr">
        <is>
          <t>593</t>
        </is>
      </c>
      <c r="B594" s="19" t="inlineStr">
        <is>
          <t>IA-PPWR-TF-ST-063-STD-11-R00</t>
        </is>
      </c>
      <c r="C594" t="inlineStr">
        <is>
          <t>IA-PPWR-TF-ST-063-STD-11-R00</t>
        </is>
      </c>
      <c r="D594" s="19" t="inlineStr">
        <is>
          <t>1</t>
        </is>
      </c>
      <c r="E594" t="inlineStr">
        <is>
          <t>01_STARTER/ST-063-STD-11/01_Technical_File.docx</t>
        </is>
      </c>
      <c r="F594" t="inlineStr">
        <is>
          <t>7c9525c918caf3b7be3b6bf45c2e4117690c796857130502a198f0f0cf0f7696</t>
        </is>
      </c>
      <c r="G594" t="inlineStr">
        <is>
          <t>2026-08-08</t>
        </is>
      </c>
      <c r="H594" s="19" t="inlineStr">
        <is>
          <t>2</t>
        </is>
      </c>
      <c r="I594" t="inlineStr">
        <is>
          <t>Phase I generated Rev.00 Word file — linked; signatures not completed</t>
        </is>
      </c>
      <c r="J594" t="inlineStr">
        <is>
          <t>2026-08-10T19:29:54Z</t>
        </is>
      </c>
      <c r="K594" t="inlineStr">
        <is>
          <t>2026-08-10T19:49:41Z</t>
        </is>
      </c>
    </row>
    <row r="595">
      <c r="A595" s="19" t="inlineStr">
        <is>
          <t>594</t>
        </is>
      </c>
      <c r="B595" s="19" t="inlineStr">
        <is>
          <t>IA-PPWR-DOC-ST-063-STD-11-R00</t>
        </is>
      </c>
      <c r="C595" t="inlineStr">
        <is>
          <t>IA-PPWR-DOC-ST-063-STD-11-R00</t>
        </is>
      </c>
      <c r="D595" s="19" t="inlineStr">
        <is>
          <t>4</t>
        </is>
      </c>
      <c r="E595" t="inlineStr">
        <is>
          <t>01_STARTER/ST-063-STD-11/02_EU_DoC.docx</t>
        </is>
      </c>
      <c r="F595" t="inlineStr">
        <is>
          <t>a24a1d2d33335ff789804f3dedb24bcdd4a639ff911ef6293f40fbcdf28f55f7</t>
        </is>
      </c>
      <c r="G595" t="inlineStr">
        <is>
          <t>2026-08-08</t>
        </is>
      </c>
      <c r="H595" s="19" t="inlineStr">
        <is>
          <t>2</t>
        </is>
      </c>
      <c r="I595" t="inlineStr">
        <is>
          <t>Phase I generated Rev.00 Word file — linked; signatures not completed</t>
        </is>
      </c>
      <c r="J595" t="inlineStr">
        <is>
          <t>2026-08-10T19:29:54Z</t>
        </is>
      </c>
      <c r="K595" t="inlineStr">
        <is>
          <t>2026-08-10T19:49:41Z</t>
        </is>
      </c>
    </row>
    <row r="596">
      <c r="A596" s="19" t="inlineStr">
        <is>
          <t>595</t>
        </is>
      </c>
      <c r="B596" s="19" t="inlineStr">
        <is>
          <t>IA-PPWR-LBL-ST-063-STD-11-R00</t>
        </is>
      </c>
      <c r="C596" t="inlineStr">
        <is>
          <t>IA-PPWR-LBL-ST-063-STD-11-R00</t>
        </is>
      </c>
      <c r="D596" s="19" t="inlineStr">
        <is>
          <t>11</t>
        </is>
      </c>
      <c r="E596" t="inlineStr">
        <is>
          <t>01_STARTER/ST-063-STD-11/03_Label.docx</t>
        </is>
      </c>
      <c r="F596" t="inlineStr">
        <is>
          <t>ca286f9df4ae8c84e9559bcc19ae047fc57f4fff67da510f479d6dd579ba33be</t>
        </is>
      </c>
      <c r="G596" t="inlineStr">
        <is>
          <t>2026-08-08</t>
        </is>
      </c>
      <c r="H596" s="19" t="inlineStr">
        <is>
          <t>2</t>
        </is>
      </c>
      <c r="I596" t="inlineStr">
        <is>
          <t>Phase I generated Rev.00 Word file — linked; signatures not completed</t>
        </is>
      </c>
      <c r="J596" t="inlineStr">
        <is>
          <t>2026-08-10T19:29:54Z</t>
        </is>
      </c>
      <c r="K596" t="inlineStr">
        <is>
          <t>2026-08-10T19:49:41Z</t>
        </is>
      </c>
    </row>
    <row r="597">
      <c r="A597" s="19" t="inlineStr">
        <is>
          <t>596</t>
        </is>
      </c>
      <c r="B597" s="19" t="inlineStr">
        <is>
          <t>IA-PPWR-STM-ST-063-STD-11-R00</t>
        </is>
      </c>
      <c r="C597" t="inlineStr">
        <is>
          <t>IA-PPWR-STM-ST-063-STD-11-R00</t>
        </is>
      </c>
      <c r="D597" s="19" t="inlineStr">
        <is>
          <t>12</t>
        </is>
      </c>
      <c r="E597" t="inlineStr">
        <is>
          <t>01_STARTER/ST-063-STD-11/04_Shipment_Statement.docx</t>
        </is>
      </c>
      <c r="F597" t="inlineStr">
        <is>
          <t>a69bd86d07d2c67771abc18d496dd402c1ac27e6b6f247f4c4fb8e7d241df0e0</t>
        </is>
      </c>
      <c r="G597" t="inlineStr">
        <is>
          <t>2026-08-08</t>
        </is>
      </c>
      <c r="H597" s="19" t="inlineStr">
        <is>
          <t>2</t>
        </is>
      </c>
      <c r="I597" t="inlineStr">
        <is>
          <t>Phase I generated Rev.00 Word file — linked; signatures not completed</t>
        </is>
      </c>
      <c r="J597" t="inlineStr">
        <is>
          <t>2026-08-10T19:29:54Z</t>
        </is>
      </c>
      <c r="K597" t="inlineStr">
        <is>
          <t>2026-08-10T19:49:41Z</t>
        </is>
      </c>
    </row>
    <row r="598">
      <c r="A598" s="19" t="inlineStr">
        <is>
          <t>597</t>
        </is>
      </c>
      <c r="B598" s="19" t="inlineStr">
        <is>
          <t>IA-PPWR-TF-ST-063-STD-12-R00</t>
        </is>
      </c>
      <c r="C598" t="inlineStr">
        <is>
          <t>IA-PPWR-TF-ST-063-STD-12-R00</t>
        </is>
      </c>
      <c r="D598" s="19" t="inlineStr">
        <is>
          <t>1</t>
        </is>
      </c>
      <c r="E598" t="inlineStr">
        <is>
          <t>01_STARTER/ST-063-STD-12/01_Technical_File.docx</t>
        </is>
      </c>
      <c r="F598" t="inlineStr">
        <is>
          <t>75aa5d03fbffa5fda0e606d76a98701e4c269522dfa4012ca2aa8571197aa177</t>
        </is>
      </c>
      <c r="G598" t="inlineStr">
        <is>
          <t>2026-08-08</t>
        </is>
      </c>
      <c r="H598" s="19" t="inlineStr">
        <is>
          <t>2</t>
        </is>
      </c>
      <c r="I598" t="inlineStr">
        <is>
          <t>Phase I generated Rev.00 Word file — linked; signatures not completed</t>
        </is>
      </c>
      <c r="J598" t="inlineStr">
        <is>
          <t>2026-08-10T19:29:54Z</t>
        </is>
      </c>
      <c r="K598" t="inlineStr">
        <is>
          <t>2026-08-10T19:49:41Z</t>
        </is>
      </c>
    </row>
    <row r="599">
      <c r="A599" s="19" t="inlineStr">
        <is>
          <t>598</t>
        </is>
      </c>
      <c r="B599" s="19" t="inlineStr">
        <is>
          <t>IA-PPWR-DOC-ST-063-STD-12-R00</t>
        </is>
      </c>
      <c r="C599" t="inlineStr">
        <is>
          <t>IA-PPWR-DOC-ST-063-STD-12-R00</t>
        </is>
      </c>
      <c r="D599" s="19" t="inlineStr">
        <is>
          <t>4</t>
        </is>
      </c>
      <c r="E599" t="inlineStr">
        <is>
          <t>01_STARTER/ST-063-STD-12/02_EU_DoC.docx</t>
        </is>
      </c>
      <c r="F599" t="inlineStr">
        <is>
          <t>3e50dc54800155dc3c082ea658f206cb401111941e20ca7f8883f48c440f316b</t>
        </is>
      </c>
      <c r="G599" t="inlineStr">
        <is>
          <t>2026-08-08</t>
        </is>
      </c>
      <c r="H599" s="19" t="inlineStr">
        <is>
          <t>2</t>
        </is>
      </c>
      <c r="I599" t="inlineStr">
        <is>
          <t>Phase I generated Rev.00 Word file — linked; signatures not completed</t>
        </is>
      </c>
      <c r="J599" t="inlineStr">
        <is>
          <t>2026-08-10T19:29:54Z</t>
        </is>
      </c>
      <c r="K599" t="inlineStr">
        <is>
          <t>2026-08-10T19:49:41Z</t>
        </is>
      </c>
    </row>
    <row r="600">
      <c r="A600" s="19" t="inlineStr">
        <is>
          <t>599</t>
        </is>
      </c>
      <c r="B600" s="19" t="inlineStr">
        <is>
          <t>IA-PPWR-LBL-ST-063-STD-12-R00</t>
        </is>
      </c>
      <c r="C600" t="inlineStr">
        <is>
          <t>IA-PPWR-LBL-ST-063-STD-12-R00</t>
        </is>
      </c>
      <c r="D600" s="19" t="inlineStr">
        <is>
          <t>11</t>
        </is>
      </c>
      <c r="E600" t="inlineStr">
        <is>
          <t>01_STARTER/ST-063-STD-12/03_Label.docx</t>
        </is>
      </c>
      <c r="F600" t="inlineStr">
        <is>
          <t>f9530be924366fb3f3ff605ae14579182c2d934179040f391e8d98838de713a9</t>
        </is>
      </c>
      <c r="G600" t="inlineStr">
        <is>
          <t>2026-08-08</t>
        </is>
      </c>
      <c r="H600" s="19" t="inlineStr">
        <is>
          <t>2</t>
        </is>
      </c>
      <c r="I600" t="inlineStr">
        <is>
          <t>Phase I generated Rev.00 Word file — linked; signatures not completed</t>
        </is>
      </c>
      <c r="J600" t="inlineStr">
        <is>
          <t>2026-08-10T19:29:54Z</t>
        </is>
      </c>
      <c r="K600" t="inlineStr">
        <is>
          <t>2026-08-10T19:49:41Z</t>
        </is>
      </c>
    </row>
    <row r="601">
      <c r="A601" s="19" t="inlineStr">
        <is>
          <t>600</t>
        </is>
      </c>
      <c r="B601" s="19" t="inlineStr">
        <is>
          <t>IA-PPWR-STM-ST-063-STD-12-R00</t>
        </is>
      </c>
      <c r="C601" t="inlineStr">
        <is>
          <t>IA-PPWR-STM-ST-063-STD-12-R00</t>
        </is>
      </c>
      <c r="D601" s="19" t="inlineStr">
        <is>
          <t>12</t>
        </is>
      </c>
      <c r="E601" t="inlineStr">
        <is>
          <t>01_STARTER/ST-063-STD-12/04_Shipment_Statement.docx</t>
        </is>
      </c>
      <c r="F601" t="inlineStr">
        <is>
          <t>c8ff5d412566939486b8e05e23d79e1e3ddedb49e59a27f8ff33d08449f72a10</t>
        </is>
      </c>
      <c r="G601" t="inlineStr">
        <is>
          <t>2026-08-08</t>
        </is>
      </c>
      <c r="H601" s="19" t="inlineStr">
        <is>
          <t>2</t>
        </is>
      </c>
      <c r="I601" t="inlineStr">
        <is>
          <t>Phase I generated Rev.00 Word file — linked; signatures not completed</t>
        </is>
      </c>
      <c r="J601" t="inlineStr">
        <is>
          <t>2026-08-10T19:29:54Z</t>
        </is>
      </c>
      <c r="K601" t="inlineStr">
        <is>
          <t>2026-08-10T19:49:41Z</t>
        </is>
      </c>
    </row>
    <row r="602">
      <c r="A602" s="19" t="inlineStr">
        <is>
          <t>601</t>
        </is>
      </c>
      <c r="B602" s="19" t="inlineStr">
        <is>
          <t>IA-PPWR-TF-ST-063-STD-13-R00</t>
        </is>
      </c>
      <c r="C602" t="inlineStr">
        <is>
          <t>IA-PPWR-TF-ST-063-STD-13-R00</t>
        </is>
      </c>
      <c r="D602" s="19" t="inlineStr">
        <is>
          <t>1</t>
        </is>
      </c>
      <c r="E602" t="inlineStr">
        <is>
          <t>01_STARTER/ST-063-STD-13/01_Technical_File.docx</t>
        </is>
      </c>
      <c r="F602" t="inlineStr">
        <is>
          <t>a3e556c165dffe56549e5e496afcb5200eff7419b2883555f9de4a371e5ba0d5</t>
        </is>
      </c>
      <c r="G602" t="inlineStr">
        <is>
          <t>2026-08-08</t>
        </is>
      </c>
      <c r="H602" s="19" t="inlineStr">
        <is>
          <t>2</t>
        </is>
      </c>
      <c r="I602" t="inlineStr">
        <is>
          <t>Phase I generated Rev.00 Word file — linked; signatures not completed</t>
        </is>
      </c>
      <c r="J602" t="inlineStr">
        <is>
          <t>2026-08-10T19:29:54Z</t>
        </is>
      </c>
      <c r="K602" t="inlineStr">
        <is>
          <t>2026-08-10T19:49:41Z</t>
        </is>
      </c>
    </row>
    <row r="603">
      <c r="A603" s="19" t="inlineStr">
        <is>
          <t>602</t>
        </is>
      </c>
      <c r="B603" s="19" t="inlineStr">
        <is>
          <t>IA-PPWR-DOC-ST-063-STD-13-R00</t>
        </is>
      </c>
      <c r="C603" t="inlineStr">
        <is>
          <t>IA-PPWR-DOC-ST-063-STD-13-R00</t>
        </is>
      </c>
      <c r="D603" s="19" t="inlineStr">
        <is>
          <t>4</t>
        </is>
      </c>
      <c r="E603" t="inlineStr">
        <is>
          <t>01_STARTER/ST-063-STD-13/02_EU_DoC.docx</t>
        </is>
      </c>
      <c r="F603" t="inlineStr">
        <is>
          <t>d6e9548e4816253a4b9dd34b3006545a89bb15e48afde3b38c368cf6c19153df</t>
        </is>
      </c>
      <c r="G603" t="inlineStr">
        <is>
          <t>2026-08-08</t>
        </is>
      </c>
      <c r="H603" s="19" t="inlineStr">
        <is>
          <t>2</t>
        </is>
      </c>
      <c r="I603" t="inlineStr">
        <is>
          <t>Phase I generated Rev.00 Word file — linked; signatures not completed</t>
        </is>
      </c>
      <c r="J603" t="inlineStr">
        <is>
          <t>2026-08-10T19:29:54Z</t>
        </is>
      </c>
      <c r="K603" t="inlineStr">
        <is>
          <t>2026-08-10T19:49:41Z</t>
        </is>
      </c>
    </row>
    <row r="604">
      <c r="A604" s="19" t="inlineStr">
        <is>
          <t>603</t>
        </is>
      </c>
      <c r="B604" s="19" t="inlineStr">
        <is>
          <t>IA-PPWR-LBL-ST-063-STD-13-R00</t>
        </is>
      </c>
      <c r="C604" t="inlineStr">
        <is>
          <t>IA-PPWR-LBL-ST-063-STD-13-R00</t>
        </is>
      </c>
      <c r="D604" s="19" t="inlineStr">
        <is>
          <t>11</t>
        </is>
      </c>
      <c r="E604" t="inlineStr">
        <is>
          <t>01_STARTER/ST-063-STD-13/03_Label.docx</t>
        </is>
      </c>
      <c r="F604" t="inlineStr">
        <is>
          <t>119289712aa72c8a9073414fce575d0c216c69ac00d0a160ed8add1ad87e80bb</t>
        </is>
      </c>
      <c r="G604" t="inlineStr">
        <is>
          <t>2026-08-08</t>
        </is>
      </c>
      <c r="H604" s="19" t="inlineStr">
        <is>
          <t>2</t>
        </is>
      </c>
      <c r="I604" t="inlineStr">
        <is>
          <t>Phase I generated Rev.00 Word file — linked; signatures not completed</t>
        </is>
      </c>
      <c r="J604" t="inlineStr">
        <is>
          <t>2026-08-10T19:29:54Z</t>
        </is>
      </c>
      <c r="K604" t="inlineStr">
        <is>
          <t>2026-08-10T19:49:41Z</t>
        </is>
      </c>
    </row>
    <row r="605">
      <c r="A605" s="19" t="inlineStr">
        <is>
          <t>604</t>
        </is>
      </c>
      <c r="B605" s="19" t="inlineStr">
        <is>
          <t>IA-PPWR-STM-ST-063-STD-13-R00</t>
        </is>
      </c>
      <c r="C605" t="inlineStr">
        <is>
          <t>IA-PPWR-STM-ST-063-STD-13-R00</t>
        </is>
      </c>
      <c r="D605" s="19" t="inlineStr">
        <is>
          <t>12</t>
        </is>
      </c>
      <c r="E605" t="inlineStr">
        <is>
          <t>01_STARTER/ST-063-STD-13/04_Shipment_Statement.docx</t>
        </is>
      </c>
      <c r="F605" t="inlineStr">
        <is>
          <t>93e2db4a236158bddf46c037f20c8361a2ebc5fbbed2325b530f76651843481d</t>
        </is>
      </c>
      <c r="G605" t="inlineStr">
        <is>
          <t>2026-08-08</t>
        </is>
      </c>
      <c r="H605" s="19" t="inlineStr">
        <is>
          <t>2</t>
        </is>
      </c>
      <c r="I605" t="inlineStr">
        <is>
          <t>Phase I generated Rev.00 Word file — linked; signatures not completed</t>
        </is>
      </c>
      <c r="J605" t="inlineStr">
        <is>
          <t>2026-08-10T19:29:54Z</t>
        </is>
      </c>
      <c r="K605" t="inlineStr">
        <is>
          <t>2026-08-10T19:49:41Z</t>
        </is>
      </c>
    </row>
    <row r="606">
      <c r="A606" s="19" t="inlineStr">
        <is>
          <t>605</t>
        </is>
      </c>
      <c r="B606" s="19" t="inlineStr">
        <is>
          <t>IA-PPWR-TF-ST-063-STD-14-R00</t>
        </is>
      </c>
      <c r="C606" t="inlineStr">
        <is>
          <t>IA-PPWR-TF-ST-063-STD-14-R00</t>
        </is>
      </c>
      <c r="D606" s="19" t="inlineStr">
        <is>
          <t>1</t>
        </is>
      </c>
      <c r="E606" t="inlineStr">
        <is>
          <t>01_STARTER/ST-063-STD-14/01_Technical_File.docx</t>
        </is>
      </c>
      <c r="F606" t="inlineStr">
        <is>
          <t>640d05be1bb17d79a8c7fb8d785b37bb415d1bd46c2ea1a1b5358f50bd3e03fc</t>
        </is>
      </c>
      <c r="G606" t="inlineStr">
        <is>
          <t>2026-08-08</t>
        </is>
      </c>
      <c r="H606" s="19" t="inlineStr">
        <is>
          <t>2</t>
        </is>
      </c>
      <c r="I606" t="inlineStr">
        <is>
          <t>Phase I generated Rev.00 Word file — linked; signatures not completed</t>
        </is>
      </c>
      <c r="J606" t="inlineStr">
        <is>
          <t>2026-08-10T19:29:54Z</t>
        </is>
      </c>
      <c r="K606" t="inlineStr">
        <is>
          <t>2026-08-10T19:49:41Z</t>
        </is>
      </c>
    </row>
    <row r="607">
      <c r="A607" s="19" t="inlineStr">
        <is>
          <t>606</t>
        </is>
      </c>
      <c r="B607" s="19" t="inlineStr">
        <is>
          <t>IA-PPWR-DOC-ST-063-STD-14-R00</t>
        </is>
      </c>
      <c r="C607" t="inlineStr">
        <is>
          <t>IA-PPWR-DOC-ST-063-STD-14-R00</t>
        </is>
      </c>
      <c r="D607" s="19" t="inlineStr">
        <is>
          <t>4</t>
        </is>
      </c>
      <c r="E607" t="inlineStr">
        <is>
          <t>01_STARTER/ST-063-STD-14/02_EU_DoC.docx</t>
        </is>
      </c>
      <c r="F607" t="inlineStr">
        <is>
          <t>b19f11035330b261e756be81048f1225b8bd4d7edd4b0b803a3be42df6fe53b9</t>
        </is>
      </c>
      <c r="G607" t="inlineStr">
        <is>
          <t>2026-08-08</t>
        </is>
      </c>
      <c r="H607" s="19" t="inlineStr">
        <is>
          <t>2</t>
        </is>
      </c>
      <c r="I607" t="inlineStr">
        <is>
          <t>Phase I generated Rev.00 Word file — linked; signatures not completed</t>
        </is>
      </c>
      <c r="J607" t="inlineStr">
        <is>
          <t>2026-08-10T19:29:54Z</t>
        </is>
      </c>
      <c r="K607" t="inlineStr">
        <is>
          <t>2026-08-10T19:49:41Z</t>
        </is>
      </c>
    </row>
    <row r="608">
      <c r="A608" s="19" t="inlineStr">
        <is>
          <t>607</t>
        </is>
      </c>
      <c r="B608" s="19" t="inlineStr">
        <is>
          <t>IA-PPWR-LBL-ST-063-STD-14-R00</t>
        </is>
      </c>
      <c r="C608" t="inlineStr">
        <is>
          <t>IA-PPWR-LBL-ST-063-STD-14-R00</t>
        </is>
      </c>
      <c r="D608" s="19" t="inlineStr">
        <is>
          <t>11</t>
        </is>
      </c>
      <c r="E608" t="inlineStr">
        <is>
          <t>01_STARTER/ST-063-STD-14/03_Label.docx</t>
        </is>
      </c>
      <c r="F608" t="inlineStr">
        <is>
          <t>45ff81a3766fec603f3892d6ad3825c44fad2f04cb7129177974c41b3d8a7153</t>
        </is>
      </c>
      <c r="G608" t="inlineStr">
        <is>
          <t>2026-08-08</t>
        </is>
      </c>
      <c r="H608" s="19" t="inlineStr">
        <is>
          <t>2</t>
        </is>
      </c>
      <c r="I608" t="inlineStr">
        <is>
          <t>Phase I generated Rev.00 Word file — linked; signatures not completed</t>
        </is>
      </c>
      <c r="J608" t="inlineStr">
        <is>
          <t>2026-08-10T19:29:54Z</t>
        </is>
      </c>
      <c r="K608" t="inlineStr">
        <is>
          <t>2026-08-10T19:49:41Z</t>
        </is>
      </c>
    </row>
    <row r="609">
      <c r="A609" s="19" t="inlineStr">
        <is>
          <t>608</t>
        </is>
      </c>
      <c r="B609" s="19" t="inlineStr">
        <is>
          <t>IA-PPWR-STM-ST-063-STD-14-R00</t>
        </is>
      </c>
      <c r="C609" t="inlineStr">
        <is>
          <t>IA-PPWR-STM-ST-063-STD-14-R00</t>
        </is>
      </c>
      <c r="D609" s="19" t="inlineStr">
        <is>
          <t>12</t>
        </is>
      </c>
      <c r="E609" t="inlineStr">
        <is>
          <t>01_STARTER/ST-063-STD-14/04_Shipment_Statement.docx</t>
        </is>
      </c>
      <c r="F609" t="inlineStr">
        <is>
          <t>f98c812073462b9d793044f854b8d20a23c12c27eecc66fc812b5e3e699db0aa</t>
        </is>
      </c>
      <c r="G609" t="inlineStr">
        <is>
          <t>2026-08-08</t>
        </is>
      </c>
      <c r="H609" s="19" t="inlineStr">
        <is>
          <t>2</t>
        </is>
      </c>
      <c r="I609" t="inlineStr">
        <is>
          <t>Phase I generated Rev.00 Word file — linked; signatures not completed</t>
        </is>
      </c>
      <c r="J609" t="inlineStr">
        <is>
          <t>2026-08-10T19:29:54Z</t>
        </is>
      </c>
      <c r="K609" t="inlineStr">
        <is>
          <t>2026-08-10T19:49:41Z</t>
        </is>
      </c>
    </row>
    <row r="610">
      <c r="A610" s="19" t="inlineStr">
        <is>
          <t>609</t>
        </is>
      </c>
      <c r="B610" s="19" t="inlineStr">
        <is>
          <t>IA-PPWR-TF-ST-063-STD-15-R00</t>
        </is>
      </c>
      <c r="C610" t="inlineStr">
        <is>
          <t>IA-PPWR-TF-ST-063-STD-15-R00</t>
        </is>
      </c>
      <c r="D610" s="19" t="inlineStr">
        <is>
          <t>1</t>
        </is>
      </c>
      <c r="E610" t="inlineStr">
        <is>
          <t>01_STARTER/ST-063-STD-15/01_Technical_File.docx</t>
        </is>
      </c>
      <c r="F610" t="inlineStr">
        <is>
          <t>ab1a331e02ee8e759843e5460d4223fa3a82ea3d997e97bae2a39e41c6a308de</t>
        </is>
      </c>
      <c r="G610" t="inlineStr">
        <is>
          <t>2026-08-08</t>
        </is>
      </c>
      <c r="H610" s="19" t="inlineStr">
        <is>
          <t>2</t>
        </is>
      </c>
      <c r="I610" t="inlineStr">
        <is>
          <t>Phase I generated Rev.00 Word file — linked; signatures not completed</t>
        </is>
      </c>
      <c r="J610" t="inlineStr">
        <is>
          <t>2026-08-10T19:29:54Z</t>
        </is>
      </c>
      <c r="K610" t="inlineStr">
        <is>
          <t>2026-08-10T19:49:41Z</t>
        </is>
      </c>
    </row>
    <row r="611">
      <c r="A611" s="19" t="inlineStr">
        <is>
          <t>610</t>
        </is>
      </c>
      <c r="B611" s="19" t="inlineStr">
        <is>
          <t>IA-PPWR-DOC-ST-063-STD-15-R00</t>
        </is>
      </c>
      <c r="C611" t="inlineStr">
        <is>
          <t>IA-PPWR-DOC-ST-063-STD-15-R00</t>
        </is>
      </c>
      <c r="D611" s="19" t="inlineStr">
        <is>
          <t>4</t>
        </is>
      </c>
      <c r="E611" t="inlineStr">
        <is>
          <t>01_STARTER/ST-063-STD-15/02_EU_DoC.docx</t>
        </is>
      </c>
      <c r="F611" t="inlineStr">
        <is>
          <t>83d87dc50c67093a8931edb6b875ddeebd8c5d03d0714d47827c00f1a45317d9</t>
        </is>
      </c>
      <c r="G611" t="inlineStr">
        <is>
          <t>2026-08-08</t>
        </is>
      </c>
      <c r="H611" s="19" t="inlineStr">
        <is>
          <t>2</t>
        </is>
      </c>
      <c r="I611" t="inlineStr">
        <is>
          <t>Phase I generated Rev.00 Word file — linked; signatures not completed</t>
        </is>
      </c>
      <c r="J611" t="inlineStr">
        <is>
          <t>2026-08-10T19:29:54Z</t>
        </is>
      </c>
      <c r="K611" t="inlineStr">
        <is>
          <t>2026-08-10T19:49:41Z</t>
        </is>
      </c>
    </row>
    <row r="612">
      <c r="A612" s="19" t="inlineStr">
        <is>
          <t>611</t>
        </is>
      </c>
      <c r="B612" s="19" t="inlineStr">
        <is>
          <t>IA-PPWR-LBL-ST-063-STD-15-R00</t>
        </is>
      </c>
      <c r="C612" t="inlineStr">
        <is>
          <t>IA-PPWR-LBL-ST-063-STD-15-R00</t>
        </is>
      </c>
      <c r="D612" s="19" t="inlineStr">
        <is>
          <t>11</t>
        </is>
      </c>
      <c r="E612" t="inlineStr">
        <is>
          <t>01_STARTER/ST-063-STD-15/03_Label.docx</t>
        </is>
      </c>
      <c r="F612" t="inlineStr">
        <is>
          <t>7491a0937ef1678a922cd46268460dfc19ff863e27ac79057ff4c02e9c82583f</t>
        </is>
      </c>
      <c r="G612" t="inlineStr">
        <is>
          <t>2026-08-08</t>
        </is>
      </c>
      <c r="H612" s="19" t="inlineStr">
        <is>
          <t>2</t>
        </is>
      </c>
      <c r="I612" t="inlineStr">
        <is>
          <t>Phase I generated Rev.00 Word file — linked; signatures not completed</t>
        </is>
      </c>
      <c r="J612" t="inlineStr">
        <is>
          <t>2026-08-10T19:29:54Z</t>
        </is>
      </c>
      <c r="K612" t="inlineStr">
        <is>
          <t>2026-08-10T19:49:41Z</t>
        </is>
      </c>
    </row>
    <row r="613">
      <c r="A613" s="19" t="inlineStr">
        <is>
          <t>612</t>
        </is>
      </c>
      <c r="B613" s="19" t="inlineStr">
        <is>
          <t>IA-PPWR-STM-ST-063-STD-15-R00</t>
        </is>
      </c>
      <c r="C613" t="inlineStr">
        <is>
          <t>IA-PPWR-STM-ST-063-STD-15-R00</t>
        </is>
      </c>
      <c r="D613" s="19" t="inlineStr">
        <is>
          <t>12</t>
        </is>
      </c>
      <c r="E613" t="inlineStr">
        <is>
          <t>01_STARTER/ST-063-STD-15/04_Shipment_Statement.docx</t>
        </is>
      </c>
      <c r="F613" t="inlineStr">
        <is>
          <t>2fc32bcdf07360ad435a0b1aefea71234799d072a05e9108e94f7d639f9e35aa</t>
        </is>
      </c>
      <c r="G613" t="inlineStr">
        <is>
          <t>2026-08-08</t>
        </is>
      </c>
      <c r="H613" s="19" t="inlineStr">
        <is>
          <t>2</t>
        </is>
      </c>
      <c r="I613" t="inlineStr">
        <is>
          <t>Phase I generated Rev.00 Word file — linked; signatures not completed</t>
        </is>
      </c>
      <c r="J613" t="inlineStr">
        <is>
          <t>2026-08-10T19:29:54Z</t>
        </is>
      </c>
      <c r="K613" t="inlineStr">
        <is>
          <t>2026-08-10T19:49:41Z</t>
        </is>
      </c>
    </row>
    <row r="614">
      <c r="A614" s="19" t="inlineStr">
        <is>
          <t>613</t>
        </is>
      </c>
      <c r="B614" s="19" t="inlineStr">
        <is>
          <t>IA-PPWR-TF-ST-064-EUR-01-R00</t>
        </is>
      </c>
      <c r="C614" t="inlineStr">
        <is>
          <t>IA-PPWR-TF-ST-064-EUR-01-R00</t>
        </is>
      </c>
      <c r="D614" s="19" t="inlineStr">
        <is>
          <t>1</t>
        </is>
      </c>
      <c r="E614" t="inlineStr">
        <is>
          <t>01_STARTER/ST-064-EUR-01/01_Technical_File.docx</t>
        </is>
      </c>
      <c r="F614" t="inlineStr">
        <is>
          <t>d69d1dc3c38350f59924e4136a55e28cc324ff5f9543efa4d0d7c7a1c303fe4d</t>
        </is>
      </c>
      <c r="G614" t="inlineStr">
        <is>
          <t>2026-08-08</t>
        </is>
      </c>
      <c r="H614" s="19" t="inlineStr">
        <is>
          <t>2</t>
        </is>
      </c>
      <c r="I614" t="inlineStr">
        <is>
          <t>Phase I generated Rev.00 Word file — linked; signatures not completed</t>
        </is>
      </c>
      <c r="J614" t="inlineStr">
        <is>
          <t>2026-08-10T19:29:54Z</t>
        </is>
      </c>
      <c r="K614" t="inlineStr">
        <is>
          <t>2026-08-10T19:49:41Z</t>
        </is>
      </c>
    </row>
    <row r="615">
      <c r="A615" s="19" t="inlineStr">
        <is>
          <t>614</t>
        </is>
      </c>
      <c r="B615" s="19" t="inlineStr">
        <is>
          <t>IA-PPWR-DOC-ST-064-EUR-01-R00</t>
        </is>
      </c>
      <c r="C615" t="inlineStr">
        <is>
          <t>IA-PPWR-DOC-ST-064-EUR-01-R00</t>
        </is>
      </c>
      <c r="D615" s="19" t="inlineStr">
        <is>
          <t>4</t>
        </is>
      </c>
      <c r="E615" t="inlineStr">
        <is>
          <t>01_STARTER/ST-064-EUR-01/02_EU_DoC.docx</t>
        </is>
      </c>
      <c r="F615" t="inlineStr">
        <is>
          <t>7632b14d1ff127acc9806fe6ed9b4d845e018a302c90af0b2bf6e7bd61cb837c</t>
        </is>
      </c>
      <c r="G615" t="inlineStr">
        <is>
          <t>2026-08-08</t>
        </is>
      </c>
      <c r="H615" s="19" t="inlineStr">
        <is>
          <t>2</t>
        </is>
      </c>
      <c r="I615" t="inlineStr">
        <is>
          <t>Phase I generated Rev.00 Word file — linked; signatures not completed</t>
        </is>
      </c>
      <c r="J615" t="inlineStr">
        <is>
          <t>2026-08-10T19:29:54Z</t>
        </is>
      </c>
      <c r="K615" t="inlineStr">
        <is>
          <t>2026-08-10T19:49:41Z</t>
        </is>
      </c>
    </row>
    <row r="616">
      <c r="A616" s="19" t="inlineStr">
        <is>
          <t>615</t>
        </is>
      </c>
      <c r="B616" s="19" t="inlineStr">
        <is>
          <t>IA-PPWR-LBL-ST-064-EUR-01-R00</t>
        </is>
      </c>
      <c r="C616" t="inlineStr">
        <is>
          <t>IA-PPWR-LBL-ST-064-EUR-01-R00</t>
        </is>
      </c>
      <c r="D616" s="19" t="inlineStr">
        <is>
          <t>11</t>
        </is>
      </c>
      <c r="E616" t="inlineStr">
        <is>
          <t>01_STARTER/ST-064-EUR-01/03_Label.docx</t>
        </is>
      </c>
      <c r="F616" t="inlineStr">
        <is>
          <t>2e7dc6a81acc26c97d89fe873c5288d04542d6756d5b684258ad3d9ba29b9aa8</t>
        </is>
      </c>
      <c r="G616" t="inlineStr">
        <is>
          <t>2026-08-08</t>
        </is>
      </c>
      <c r="H616" s="19" t="inlineStr">
        <is>
          <t>2</t>
        </is>
      </c>
      <c r="I616" t="inlineStr">
        <is>
          <t>Phase I generated Rev.00 Word file — linked; signatures not completed</t>
        </is>
      </c>
      <c r="J616" t="inlineStr">
        <is>
          <t>2026-08-10T19:29:54Z</t>
        </is>
      </c>
      <c r="K616" t="inlineStr">
        <is>
          <t>2026-08-10T19:49:41Z</t>
        </is>
      </c>
    </row>
    <row r="617">
      <c r="A617" s="19" t="inlineStr">
        <is>
          <t>616</t>
        </is>
      </c>
      <c r="B617" s="19" t="inlineStr">
        <is>
          <t>IA-PPWR-STM-ST-064-EUR-01-R00</t>
        </is>
      </c>
      <c r="C617" t="inlineStr">
        <is>
          <t>IA-PPWR-STM-ST-064-EUR-01-R00</t>
        </is>
      </c>
      <c r="D617" s="19" t="inlineStr">
        <is>
          <t>12</t>
        </is>
      </c>
      <c r="E617" t="inlineStr">
        <is>
          <t>01_STARTER/ST-064-EUR-01/04_Shipment_Statement.docx</t>
        </is>
      </c>
      <c r="F617" t="inlineStr">
        <is>
          <t>5e28835fb10396a89f9b0c797cf94d5f4bc417ffd05d36e124819cf78f09ca98</t>
        </is>
      </c>
      <c r="G617" t="inlineStr">
        <is>
          <t>2026-08-08</t>
        </is>
      </c>
      <c r="H617" s="19" t="inlineStr">
        <is>
          <t>2</t>
        </is>
      </c>
      <c r="I617" t="inlineStr">
        <is>
          <t>Phase I generated Rev.00 Word file — linked; signatures not completed</t>
        </is>
      </c>
      <c r="J617" t="inlineStr">
        <is>
          <t>2026-08-10T19:29:54Z</t>
        </is>
      </c>
      <c r="K617" t="inlineStr">
        <is>
          <t>2026-08-10T19:49:41Z</t>
        </is>
      </c>
    </row>
    <row r="618">
      <c r="A618" s="19" t="inlineStr">
        <is>
          <t>617</t>
        </is>
      </c>
      <c r="B618" s="19" t="inlineStr">
        <is>
          <t>IA-PPWR-TF-ST-066-STD-01-R00</t>
        </is>
      </c>
      <c r="C618" t="inlineStr">
        <is>
          <t>IA-PPWR-TF-ST-066-STD-01-R00</t>
        </is>
      </c>
      <c r="D618" s="19" t="inlineStr">
        <is>
          <t>1</t>
        </is>
      </c>
      <c r="E618" t="inlineStr">
        <is>
          <t>01_STARTER/ST-066-STD-01/01_Technical_File.docx</t>
        </is>
      </c>
      <c r="F618" t="inlineStr">
        <is>
          <t>c1420efc3564bb8488a0d4741bdacfdee7dd19c8a2002445828ada3a1f12f321</t>
        </is>
      </c>
      <c r="G618" t="inlineStr">
        <is>
          <t>2026-08-08</t>
        </is>
      </c>
      <c r="H618" s="19" t="inlineStr">
        <is>
          <t>2</t>
        </is>
      </c>
      <c r="I618" t="inlineStr">
        <is>
          <t>Phase I generated Rev.00 Word file — linked; signatures not completed</t>
        </is>
      </c>
      <c r="J618" t="inlineStr">
        <is>
          <t>2026-08-10T19:29:54Z</t>
        </is>
      </c>
      <c r="K618" t="inlineStr">
        <is>
          <t>2026-08-10T19:49:41Z</t>
        </is>
      </c>
    </row>
    <row r="619">
      <c r="A619" s="19" t="inlineStr">
        <is>
          <t>618</t>
        </is>
      </c>
      <c r="B619" s="19" t="inlineStr">
        <is>
          <t>IA-PPWR-DOC-ST-066-STD-01-R00</t>
        </is>
      </c>
      <c r="C619" t="inlineStr">
        <is>
          <t>IA-PPWR-DOC-ST-066-STD-01-R00</t>
        </is>
      </c>
      <c r="D619" s="19" t="inlineStr">
        <is>
          <t>4</t>
        </is>
      </c>
      <c r="E619" t="inlineStr">
        <is>
          <t>01_STARTER/ST-066-STD-01/02_EU_DoC.docx</t>
        </is>
      </c>
      <c r="F619" t="inlineStr">
        <is>
          <t>7dc71bb658daf5c347a144df6942d337cfe2a48b8634806e2a3ec412044680a1</t>
        </is>
      </c>
      <c r="G619" t="inlineStr">
        <is>
          <t>2026-08-08</t>
        </is>
      </c>
      <c r="H619" s="19" t="inlineStr">
        <is>
          <t>2</t>
        </is>
      </c>
      <c r="I619" t="inlineStr">
        <is>
          <t>Phase I generated Rev.00 Word file — linked; signatures not completed</t>
        </is>
      </c>
      <c r="J619" t="inlineStr">
        <is>
          <t>2026-08-10T19:29:54Z</t>
        </is>
      </c>
      <c r="K619" t="inlineStr">
        <is>
          <t>2026-08-10T19:49:41Z</t>
        </is>
      </c>
    </row>
    <row r="620">
      <c r="A620" s="19" t="inlineStr">
        <is>
          <t>619</t>
        </is>
      </c>
      <c r="B620" s="19" t="inlineStr">
        <is>
          <t>IA-PPWR-LBL-ST-066-STD-01-R00</t>
        </is>
      </c>
      <c r="C620" t="inlineStr">
        <is>
          <t>IA-PPWR-LBL-ST-066-STD-01-R00</t>
        </is>
      </c>
      <c r="D620" s="19" t="inlineStr">
        <is>
          <t>11</t>
        </is>
      </c>
      <c r="E620" t="inlineStr">
        <is>
          <t>01_STARTER/ST-066-STD-01/03_Label.docx</t>
        </is>
      </c>
      <c r="F620" t="inlineStr">
        <is>
          <t>e612bb6d99ae3621b2e46fc9a228c911b282ce71fc5039439b1291fddac07cd7</t>
        </is>
      </c>
      <c r="G620" t="inlineStr">
        <is>
          <t>2026-08-08</t>
        </is>
      </c>
      <c r="H620" s="19" t="inlineStr">
        <is>
          <t>2</t>
        </is>
      </c>
      <c r="I620" t="inlineStr">
        <is>
          <t>Phase I generated Rev.00 Word file — linked; signatures not completed</t>
        </is>
      </c>
      <c r="J620" t="inlineStr">
        <is>
          <t>2026-08-10T19:29:54Z</t>
        </is>
      </c>
      <c r="K620" t="inlineStr">
        <is>
          <t>2026-08-10T19:49:41Z</t>
        </is>
      </c>
    </row>
    <row r="621">
      <c r="A621" s="19" t="inlineStr">
        <is>
          <t>620</t>
        </is>
      </c>
      <c r="B621" s="19" t="inlineStr">
        <is>
          <t>IA-PPWR-STM-ST-066-STD-01-R00</t>
        </is>
      </c>
      <c r="C621" t="inlineStr">
        <is>
          <t>IA-PPWR-STM-ST-066-STD-01-R00</t>
        </is>
      </c>
      <c r="D621" s="19" t="inlineStr">
        <is>
          <t>12</t>
        </is>
      </c>
      <c r="E621" t="inlineStr">
        <is>
          <t>01_STARTER/ST-066-STD-01/04_Shipment_Statement.docx</t>
        </is>
      </c>
      <c r="F621" t="inlineStr">
        <is>
          <t>2cf4e1d5a1194ea4a414dbd020a8ab6c9307f6314724ee1b3dd56ef73457093a</t>
        </is>
      </c>
      <c r="G621" t="inlineStr">
        <is>
          <t>2026-08-08</t>
        </is>
      </c>
      <c r="H621" s="19" t="inlineStr">
        <is>
          <t>2</t>
        </is>
      </c>
      <c r="I621" t="inlineStr">
        <is>
          <t>Phase I generated Rev.00 Word file — linked; signatures not completed</t>
        </is>
      </c>
      <c r="J621" t="inlineStr">
        <is>
          <t>2026-08-10T19:29:54Z</t>
        </is>
      </c>
      <c r="K621" t="inlineStr">
        <is>
          <t>2026-08-10T19:49:41Z</t>
        </is>
      </c>
    </row>
    <row r="622">
      <c r="A622" s="19" t="inlineStr">
        <is>
          <t>621</t>
        </is>
      </c>
      <c r="B622" s="19" t="inlineStr">
        <is>
          <t>IA-PPWR-TF-ST-066-STD-02-R00</t>
        </is>
      </c>
      <c r="C622" t="inlineStr">
        <is>
          <t>IA-PPWR-TF-ST-066-STD-02-R00</t>
        </is>
      </c>
      <c r="D622" s="19" t="inlineStr">
        <is>
          <t>1</t>
        </is>
      </c>
      <c r="E622" t="inlineStr">
        <is>
          <t>01_STARTER/ST-066-STD-02/01_Technical_File.docx</t>
        </is>
      </c>
      <c r="F622" t="inlineStr">
        <is>
          <t>50c9a0b44777ea92ba501f24664f85aed0a22d7a2c86135b99ef00cecf825744</t>
        </is>
      </c>
      <c r="G622" t="inlineStr">
        <is>
          <t>2026-08-08</t>
        </is>
      </c>
      <c r="H622" s="19" t="inlineStr">
        <is>
          <t>2</t>
        </is>
      </c>
      <c r="I622" t="inlineStr">
        <is>
          <t>Phase I generated Rev.00 Word file — linked; signatures not completed</t>
        </is>
      </c>
      <c r="J622" t="inlineStr">
        <is>
          <t>2026-08-10T19:29:54Z</t>
        </is>
      </c>
      <c r="K622" t="inlineStr">
        <is>
          <t>2026-08-10T19:49:41Z</t>
        </is>
      </c>
    </row>
    <row r="623">
      <c r="A623" s="19" t="inlineStr">
        <is>
          <t>622</t>
        </is>
      </c>
      <c r="B623" s="19" t="inlineStr">
        <is>
          <t>IA-PPWR-DOC-ST-066-STD-02-R00</t>
        </is>
      </c>
      <c r="C623" t="inlineStr">
        <is>
          <t>IA-PPWR-DOC-ST-066-STD-02-R00</t>
        </is>
      </c>
      <c r="D623" s="19" t="inlineStr">
        <is>
          <t>4</t>
        </is>
      </c>
      <c r="E623" t="inlineStr">
        <is>
          <t>01_STARTER/ST-066-STD-02/02_EU_DoC.docx</t>
        </is>
      </c>
      <c r="F623" t="inlineStr">
        <is>
          <t>48ebebe10a2c14178924b57b4e5d7cfdececa6e30277294e5bebccb9e874948c</t>
        </is>
      </c>
      <c r="G623" t="inlineStr">
        <is>
          <t>2026-08-08</t>
        </is>
      </c>
      <c r="H623" s="19" t="inlineStr">
        <is>
          <t>2</t>
        </is>
      </c>
      <c r="I623" t="inlineStr">
        <is>
          <t>Phase I generated Rev.00 Word file — linked; signatures not completed</t>
        </is>
      </c>
      <c r="J623" t="inlineStr">
        <is>
          <t>2026-08-10T19:29:54Z</t>
        </is>
      </c>
      <c r="K623" t="inlineStr">
        <is>
          <t>2026-08-10T19:49:41Z</t>
        </is>
      </c>
    </row>
    <row r="624">
      <c r="A624" s="19" t="inlineStr">
        <is>
          <t>623</t>
        </is>
      </c>
      <c r="B624" s="19" t="inlineStr">
        <is>
          <t>IA-PPWR-LBL-ST-066-STD-02-R00</t>
        </is>
      </c>
      <c r="C624" t="inlineStr">
        <is>
          <t>IA-PPWR-LBL-ST-066-STD-02-R00</t>
        </is>
      </c>
      <c r="D624" s="19" t="inlineStr">
        <is>
          <t>11</t>
        </is>
      </c>
      <c r="E624" t="inlineStr">
        <is>
          <t>01_STARTER/ST-066-STD-02/03_Label.docx</t>
        </is>
      </c>
      <c r="F624" t="inlineStr">
        <is>
          <t>bf9876036283fbb2db87de35b44e311eb01d4d92fe7651f0c51d5940380b4320</t>
        </is>
      </c>
      <c r="G624" t="inlineStr">
        <is>
          <t>2026-08-08</t>
        </is>
      </c>
      <c r="H624" s="19" t="inlineStr">
        <is>
          <t>2</t>
        </is>
      </c>
      <c r="I624" t="inlineStr">
        <is>
          <t>Phase I generated Rev.00 Word file — linked; signatures not completed</t>
        </is>
      </c>
      <c r="J624" t="inlineStr">
        <is>
          <t>2026-08-10T19:29:54Z</t>
        </is>
      </c>
      <c r="K624" t="inlineStr">
        <is>
          <t>2026-08-10T19:49:41Z</t>
        </is>
      </c>
    </row>
    <row r="625">
      <c r="A625" s="19" t="inlineStr">
        <is>
          <t>624</t>
        </is>
      </c>
      <c r="B625" s="19" t="inlineStr">
        <is>
          <t>IA-PPWR-STM-ST-066-STD-02-R00</t>
        </is>
      </c>
      <c r="C625" t="inlineStr">
        <is>
          <t>IA-PPWR-STM-ST-066-STD-02-R00</t>
        </is>
      </c>
      <c r="D625" s="19" t="inlineStr">
        <is>
          <t>12</t>
        </is>
      </c>
      <c r="E625" t="inlineStr">
        <is>
          <t>01_STARTER/ST-066-STD-02/04_Shipment_Statement.docx</t>
        </is>
      </c>
      <c r="F625" t="inlineStr">
        <is>
          <t>ee85277198d2db8795ccc68ba9144972fe6fb326a34f75f15679d456ec868469</t>
        </is>
      </c>
      <c r="G625" t="inlineStr">
        <is>
          <t>2026-08-08</t>
        </is>
      </c>
      <c r="H625" s="19" t="inlineStr">
        <is>
          <t>2</t>
        </is>
      </c>
      <c r="I625" t="inlineStr">
        <is>
          <t>Phase I generated Rev.00 Word file — linked; signatures not completed</t>
        </is>
      </c>
      <c r="J625" t="inlineStr">
        <is>
          <t>2026-08-10T19:29:54Z</t>
        </is>
      </c>
      <c r="K625" t="inlineStr">
        <is>
          <t>2026-08-10T19:49:41Z</t>
        </is>
      </c>
    </row>
    <row r="626">
      <c r="A626" s="19" t="inlineStr">
        <is>
          <t>625</t>
        </is>
      </c>
      <c r="B626" s="19" t="inlineStr">
        <is>
          <t>IA-PPWR-TF-ST-066-STD-03-R00</t>
        </is>
      </c>
      <c r="C626" t="inlineStr">
        <is>
          <t>IA-PPWR-TF-ST-066-STD-03-R00</t>
        </is>
      </c>
      <c r="D626" s="19" t="inlineStr">
        <is>
          <t>1</t>
        </is>
      </c>
      <c r="E626" t="inlineStr">
        <is>
          <t>01_STARTER/ST-066-STD-03/01_Technical_File.docx</t>
        </is>
      </c>
      <c r="F626" t="inlineStr">
        <is>
          <t>5b2edb605f46241cd6c6a618c9d034dffb8a17d692ed9eb65e00b9bd87391b97</t>
        </is>
      </c>
      <c r="G626" t="inlineStr">
        <is>
          <t>2026-08-08</t>
        </is>
      </c>
      <c r="H626" s="19" t="inlineStr">
        <is>
          <t>2</t>
        </is>
      </c>
      <c r="I626" t="inlineStr">
        <is>
          <t>Phase I generated Rev.00 Word file — linked; signatures not completed</t>
        </is>
      </c>
      <c r="J626" t="inlineStr">
        <is>
          <t>2026-08-10T19:29:54Z</t>
        </is>
      </c>
      <c r="K626" t="inlineStr">
        <is>
          <t>2026-08-10T19:49:41Z</t>
        </is>
      </c>
    </row>
    <row r="627">
      <c r="A627" s="19" t="inlineStr">
        <is>
          <t>626</t>
        </is>
      </c>
      <c r="B627" s="19" t="inlineStr">
        <is>
          <t>IA-PPWR-DOC-ST-066-STD-03-R00</t>
        </is>
      </c>
      <c r="C627" t="inlineStr">
        <is>
          <t>IA-PPWR-DOC-ST-066-STD-03-R00</t>
        </is>
      </c>
      <c r="D627" s="19" t="inlineStr">
        <is>
          <t>4</t>
        </is>
      </c>
      <c r="E627" t="inlineStr">
        <is>
          <t>01_STARTER/ST-066-STD-03/02_EU_DoC.docx</t>
        </is>
      </c>
      <c r="F627" t="inlineStr">
        <is>
          <t>dfea14a1ccade9833dcfabafa8902288e1dbcd181de08565cb8cd85978e1ea62</t>
        </is>
      </c>
      <c r="G627" t="inlineStr">
        <is>
          <t>2026-08-08</t>
        </is>
      </c>
      <c r="H627" s="19" t="inlineStr">
        <is>
          <t>2</t>
        </is>
      </c>
      <c r="I627" t="inlineStr">
        <is>
          <t>Phase I generated Rev.00 Word file — linked; signatures not completed</t>
        </is>
      </c>
      <c r="J627" t="inlineStr">
        <is>
          <t>2026-08-10T19:29:54Z</t>
        </is>
      </c>
      <c r="K627" t="inlineStr">
        <is>
          <t>2026-08-10T19:49:41Z</t>
        </is>
      </c>
    </row>
    <row r="628">
      <c r="A628" s="19" t="inlineStr">
        <is>
          <t>627</t>
        </is>
      </c>
      <c r="B628" s="19" t="inlineStr">
        <is>
          <t>IA-PPWR-LBL-ST-066-STD-03-R00</t>
        </is>
      </c>
      <c r="C628" t="inlineStr">
        <is>
          <t>IA-PPWR-LBL-ST-066-STD-03-R00</t>
        </is>
      </c>
      <c r="D628" s="19" t="inlineStr">
        <is>
          <t>11</t>
        </is>
      </c>
      <c r="E628" t="inlineStr">
        <is>
          <t>01_STARTER/ST-066-STD-03/03_Label.docx</t>
        </is>
      </c>
      <c r="F628" t="inlineStr">
        <is>
          <t>b6dc425e65d1a5417d702f825da652bbe1d656436621e360b193eaae500397c9</t>
        </is>
      </c>
      <c r="G628" t="inlineStr">
        <is>
          <t>2026-08-08</t>
        </is>
      </c>
      <c r="H628" s="19" t="inlineStr">
        <is>
          <t>2</t>
        </is>
      </c>
      <c r="I628" t="inlineStr">
        <is>
          <t>Phase I generated Rev.00 Word file — linked; signatures not completed</t>
        </is>
      </c>
      <c r="J628" t="inlineStr">
        <is>
          <t>2026-08-10T19:29:54Z</t>
        </is>
      </c>
      <c r="K628" t="inlineStr">
        <is>
          <t>2026-08-10T19:49:41Z</t>
        </is>
      </c>
    </row>
    <row r="629">
      <c r="A629" s="19" t="inlineStr">
        <is>
          <t>628</t>
        </is>
      </c>
      <c r="B629" s="19" t="inlineStr">
        <is>
          <t>IA-PPWR-STM-ST-066-STD-03-R00</t>
        </is>
      </c>
      <c r="C629" t="inlineStr">
        <is>
          <t>IA-PPWR-STM-ST-066-STD-03-R00</t>
        </is>
      </c>
      <c r="D629" s="19" t="inlineStr">
        <is>
          <t>12</t>
        </is>
      </c>
      <c r="E629" t="inlineStr">
        <is>
          <t>01_STARTER/ST-066-STD-03/04_Shipment_Statement.docx</t>
        </is>
      </c>
      <c r="F629" t="inlineStr">
        <is>
          <t>1b738fa0ebd8427f11473666a1a6ce883e62c10fe7e6c12a618603bc4f6597dc</t>
        </is>
      </c>
      <c r="G629" t="inlineStr">
        <is>
          <t>2026-08-08</t>
        </is>
      </c>
      <c r="H629" s="19" t="inlineStr">
        <is>
          <t>2</t>
        </is>
      </c>
      <c r="I629" t="inlineStr">
        <is>
          <t>Phase I generated Rev.00 Word file — linked; signatures not completed</t>
        </is>
      </c>
      <c r="J629" t="inlineStr">
        <is>
          <t>2026-08-10T19:29:54Z</t>
        </is>
      </c>
      <c r="K629" t="inlineStr">
        <is>
          <t>2026-08-10T19:49:41Z</t>
        </is>
      </c>
    </row>
    <row r="630">
      <c r="A630" s="19" t="inlineStr">
        <is>
          <t>629</t>
        </is>
      </c>
      <c r="B630" s="19" t="inlineStr">
        <is>
          <t>IA-PPWR-TF-ST-068-EUR-01-R00</t>
        </is>
      </c>
      <c r="C630" t="inlineStr">
        <is>
          <t>IA-PPWR-TF-ST-068-EUR-01-R00</t>
        </is>
      </c>
      <c r="D630" s="19" t="inlineStr">
        <is>
          <t>1</t>
        </is>
      </c>
      <c r="E630" t="inlineStr">
        <is>
          <t>01_STARTER/ST-068-EUR-01/01_Technical_File.docx</t>
        </is>
      </c>
      <c r="F630" t="inlineStr">
        <is>
          <t>e5036c722eecc2fb9c902d933964789fee526c99d6375138d918017939f90d4e</t>
        </is>
      </c>
      <c r="G630" t="inlineStr">
        <is>
          <t>2026-08-08</t>
        </is>
      </c>
      <c r="H630" s="19" t="inlineStr">
        <is>
          <t>2</t>
        </is>
      </c>
      <c r="I630" t="inlineStr">
        <is>
          <t>Phase I generated Rev.00 Word file — linked; signatures not completed</t>
        </is>
      </c>
      <c r="J630" t="inlineStr">
        <is>
          <t>2026-08-10T19:29:54Z</t>
        </is>
      </c>
      <c r="K630" t="inlineStr">
        <is>
          <t>2026-08-10T19:49:41Z</t>
        </is>
      </c>
    </row>
    <row r="631">
      <c r="A631" s="19" t="inlineStr">
        <is>
          <t>630</t>
        </is>
      </c>
      <c r="B631" s="19" t="inlineStr">
        <is>
          <t>IA-PPWR-DOC-ST-068-EUR-01-R00</t>
        </is>
      </c>
      <c r="C631" t="inlineStr">
        <is>
          <t>IA-PPWR-DOC-ST-068-EUR-01-R00</t>
        </is>
      </c>
      <c r="D631" s="19" t="inlineStr">
        <is>
          <t>4</t>
        </is>
      </c>
      <c r="E631" t="inlineStr">
        <is>
          <t>01_STARTER/ST-068-EUR-01/02_EU_DoC.docx</t>
        </is>
      </c>
      <c r="F631" t="inlineStr">
        <is>
          <t>9fc7d0217f58f5520ab24d129b0335181246583990b9b44d97d724521cf9193f</t>
        </is>
      </c>
      <c r="G631" t="inlineStr">
        <is>
          <t>2026-08-08</t>
        </is>
      </c>
      <c r="H631" s="19" t="inlineStr">
        <is>
          <t>2</t>
        </is>
      </c>
      <c r="I631" t="inlineStr">
        <is>
          <t>Phase I generated Rev.00 Word file — linked; signatures not completed</t>
        </is>
      </c>
      <c r="J631" t="inlineStr">
        <is>
          <t>2026-08-10T19:29:54Z</t>
        </is>
      </c>
      <c r="K631" t="inlineStr">
        <is>
          <t>2026-08-10T19:49:41Z</t>
        </is>
      </c>
    </row>
    <row r="632">
      <c r="A632" s="19" t="inlineStr">
        <is>
          <t>631</t>
        </is>
      </c>
      <c r="B632" s="19" t="inlineStr">
        <is>
          <t>IA-PPWR-LBL-ST-068-EUR-01-R00</t>
        </is>
      </c>
      <c r="C632" t="inlineStr">
        <is>
          <t>IA-PPWR-LBL-ST-068-EUR-01-R00</t>
        </is>
      </c>
      <c r="D632" s="19" t="inlineStr">
        <is>
          <t>11</t>
        </is>
      </c>
      <c r="E632" t="inlineStr">
        <is>
          <t>01_STARTER/ST-068-EUR-01/03_Label.docx</t>
        </is>
      </c>
      <c r="F632" t="inlineStr">
        <is>
          <t>354234f477a8d6cd409ab24193cdeff4a1b204a8b0b58c85e357abde05f88f22</t>
        </is>
      </c>
      <c r="G632" t="inlineStr">
        <is>
          <t>2026-08-08</t>
        </is>
      </c>
      <c r="H632" s="19" t="inlineStr">
        <is>
          <t>2</t>
        </is>
      </c>
      <c r="I632" t="inlineStr">
        <is>
          <t>Phase I generated Rev.00 Word file — linked; signatures not completed</t>
        </is>
      </c>
      <c r="J632" t="inlineStr">
        <is>
          <t>2026-08-10T19:29:54Z</t>
        </is>
      </c>
      <c r="K632" t="inlineStr">
        <is>
          <t>2026-08-10T19:49:41Z</t>
        </is>
      </c>
    </row>
    <row r="633">
      <c r="A633" s="19" t="inlineStr">
        <is>
          <t>632</t>
        </is>
      </c>
      <c r="B633" s="19" t="inlineStr">
        <is>
          <t>IA-PPWR-STM-ST-068-EUR-01-R00</t>
        </is>
      </c>
      <c r="C633" t="inlineStr">
        <is>
          <t>IA-PPWR-STM-ST-068-EUR-01-R00</t>
        </is>
      </c>
      <c r="D633" s="19" t="inlineStr">
        <is>
          <t>12</t>
        </is>
      </c>
      <c r="E633" t="inlineStr">
        <is>
          <t>01_STARTER/ST-068-EUR-01/04_Shipment_Statement.docx</t>
        </is>
      </c>
      <c r="F633" t="inlineStr">
        <is>
          <t>7a070e64d11a459c52d9803383dd647b012f0d28dcd127e312c20faca9346d0c</t>
        </is>
      </c>
      <c r="G633" t="inlineStr">
        <is>
          <t>2026-08-08</t>
        </is>
      </c>
      <c r="H633" s="19" t="inlineStr">
        <is>
          <t>2</t>
        </is>
      </c>
      <c r="I633" t="inlineStr">
        <is>
          <t>Phase I generated Rev.00 Word file — linked; signatures not completed</t>
        </is>
      </c>
      <c r="J633" t="inlineStr">
        <is>
          <t>2026-08-10T19:29:54Z</t>
        </is>
      </c>
      <c r="K633" t="inlineStr">
        <is>
          <t>2026-08-10T19:49:41Z</t>
        </is>
      </c>
    </row>
    <row r="634">
      <c r="A634" s="19" t="inlineStr">
        <is>
          <t>633</t>
        </is>
      </c>
      <c r="B634" s="19" t="inlineStr">
        <is>
          <t>IA-PPWR-TF-ST-068-EUR-02-R00</t>
        </is>
      </c>
      <c r="C634" t="inlineStr">
        <is>
          <t>IA-PPWR-TF-ST-068-EUR-02-R00</t>
        </is>
      </c>
      <c r="D634" s="19" t="inlineStr">
        <is>
          <t>1</t>
        </is>
      </c>
      <c r="E634" t="inlineStr">
        <is>
          <t>01_STARTER/ST-068-EUR-02/01_Technical_File.docx</t>
        </is>
      </c>
      <c r="F634" t="inlineStr">
        <is>
          <t>ce1e372a0cf45433f084a958f6eab5af22f8f993db01a4161ad7d993603d2112</t>
        </is>
      </c>
      <c r="G634" t="inlineStr">
        <is>
          <t>2026-08-08</t>
        </is>
      </c>
      <c r="H634" s="19" t="inlineStr">
        <is>
          <t>2</t>
        </is>
      </c>
      <c r="I634" t="inlineStr">
        <is>
          <t>Phase I generated Rev.00 Word file — linked; signatures not completed</t>
        </is>
      </c>
      <c r="J634" t="inlineStr">
        <is>
          <t>2026-08-10T19:29:54Z</t>
        </is>
      </c>
      <c r="K634" t="inlineStr">
        <is>
          <t>2026-08-10T19:49:41Z</t>
        </is>
      </c>
    </row>
    <row r="635">
      <c r="A635" s="19" t="inlineStr">
        <is>
          <t>634</t>
        </is>
      </c>
      <c r="B635" s="19" t="inlineStr">
        <is>
          <t>IA-PPWR-DOC-ST-068-EUR-02-R00</t>
        </is>
      </c>
      <c r="C635" t="inlineStr">
        <is>
          <t>IA-PPWR-DOC-ST-068-EUR-02-R00</t>
        </is>
      </c>
      <c r="D635" s="19" t="inlineStr">
        <is>
          <t>4</t>
        </is>
      </c>
      <c r="E635" t="inlineStr">
        <is>
          <t>01_STARTER/ST-068-EUR-02/02_EU_DoC.docx</t>
        </is>
      </c>
      <c r="F635" t="inlineStr">
        <is>
          <t>a077cff40d63983052c89ee526510e3053ff4c54f2de16d0d78df7326e3f360f</t>
        </is>
      </c>
      <c r="G635" t="inlineStr">
        <is>
          <t>2026-08-08</t>
        </is>
      </c>
      <c r="H635" s="19" t="inlineStr">
        <is>
          <t>2</t>
        </is>
      </c>
      <c r="I635" t="inlineStr">
        <is>
          <t>Phase I generated Rev.00 Word file — linked; signatures not completed</t>
        </is>
      </c>
      <c r="J635" t="inlineStr">
        <is>
          <t>2026-08-10T19:29:54Z</t>
        </is>
      </c>
      <c r="K635" t="inlineStr">
        <is>
          <t>2026-08-10T19:49:41Z</t>
        </is>
      </c>
    </row>
    <row r="636">
      <c r="A636" s="19" t="inlineStr">
        <is>
          <t>635</t>
        </is>
      </c>
      <c r="B636" s="19" t="inlineStr">
        <is>
          <t>IA-PPWR-LBL-ST-068-EUR-02-R00</t>
        </is>
      </c>
      <c r="C636" t="inlineStr">
        <is>
          <t>IA-PPWR-LBL-ST-068-EUR-02-R00</t>
        </is>
      </c>
      <c r="D636" s="19" t="inlineStr">
        <is>
          <t>11</t>
        </is>
      </c>
      <c r="E636" t="inlineStr">
        <is>
          <t>01_STARTER/ST-068-EUR-02/03_Label.docx</t>
        </is>
      </c>
      <c r="F636" t="inlineStr">
        <is>
          <t>99cc24d4847b6c87bbdf83a80ac4079dd1eebd46e8d6d657faee6fef1f76a6bd</t>
        </is>
      </c>
      <c r="G636" t="inlineStr">
        <is>
          <t>2026-08-08</t>
        </is>
      </c>
      <c r="H636" s="19" t="inlineStr">
        <is>
          <t>2</t>
        </is>
      </c>
      <c r="I636" t="inlineStr">
        <is>
          <t>Phase I generated Rev.00 Word file — linked; signatures not completed</t>
        </is>
      </c>
      <c r="J636" t="inlineStr">
        <is>
          <t>2026-08-10T19:29:54Z</t>
        </is>
      </c>
      <c r="K636" t="inlineStr">
        <is>
          <t>2026-08-10T19:49:41Z</t>
        </is>
      </c>
    </row>
    <row r="637">
      <c r="A637" s="19" t="inlineStr">
        <is>
          <t>636</t>
        </is>
      </c>
      <c r="B637" s="19" t="inlineStr">
        <is>
          <t>IA-PPWR-STM-ST-068-EUR-02-R00</t>
        </is>
      </c>
      <c r="C637" t="inlineStr">
        <is>
          <t>IA-PPWR-STM-ST-068-EUR-02-R00</t>
        </is>
      </c>
      <c r="D637" s="19" t="inlineStr">
        <is>
          <t>12</t>
        </is>
      </c>
      <c r="E637" t="inlineStr">
        <is>
          <t>01_STARTER/ST-068-EUR-02/04_Shipment_Statement.docx</t>
        </is>
      </c>
      <c r="F637" t="inlineStr">
        <is>
          <t>680e8ec50441089add2843fb9129babc5e3c15620cb78783514e1ff05fdfaaa4</t>
        </is>
      </c>
      <c r="G637" t="inlineStr">
        <is>
          <t>2026-08-08</t>
        </is>
      </c>
      <c r="H637" s="19" t="inlineStr">
        <is>
          <t>2</t>
        </is>
      </c>
      <c r="I637" t="inlineStr">
        <is>
          <t>Phase I generated Rev.00 Word file — linked; signatures not completed</t>
        </is>
      </c>
      <c r="J637" t="inlineStr">
        <is>
          <t>2026-08-10T19:29:54Z</t>
        </is>
      </c>
      <c r="K637" t="inlineStr">
        <is>
          <t>2026-08-10T19:49:41Z</t>
        </is>
      </c>
    </row>
    <row r="638">
      <c r="A638" s="19" t="inlineStr">
        <is>
          <t>637</t>
        </is>
      </c>
      <c r="B638" s="19" t="inlineStr">
        <is>
          <t>IA-PPWR-TF-ST-068-EUR-03-R00</t>
        </is>
      </c>
      <c r="C638" t="inlineStr">
        <is>
          <t>IA-PPWR-TF-ST-068-EUR-03-R00</t>
        </is>
      </c>
      <c r="D638" s="19" t="inlineStr">
        <is>
          <t>1</t>
        </is>
      </c>
      <c r="E638" t="inlineStr">
        <is>
          <t>01_STARTER/ST-068-EUR-03/01_Technical_File.docx</t>
        </is>
      </c>
      <c r="F638" t="inlineStr">
        <is>
          <t>34b2b77a0559210df255059e4a40ae17667b00d2e82cacd11734b5ada2acdae9</t>
        </is>
      </c>
      <c r="G638" t="inlineStr">
        <is>
          <t>2026-08-08</t>
        </is>
      </c>
      <c r="H638" s="19" t="inlineStr">
        <is>
          <t>2</t>
        </is>
      </c>
      <c r="I638" t="inlineStr">
        <is>
          <t>Phase I generated Rev.00 Word file — linked; signatures not completed</t>
        </is>
      </c>
      <c r="J638" t="inlineStr">
        <is>
          <t>2026-08-10T19:29:54Z</t>
        </is>
      </c>
      <c r="K638" t="inlineStr">
        <is>
          <t>2026-08-10T19:49:41Z</t>
        </is>
      </c>
    </row>
    <row r="639">
      <c r="A639" s="19" t="inlineStr">
        <is>
          <t>638</t>
        </is>
      </c>
      <c r="B639" s="19" t="inlineStr">
        <is>
          <t>IA-PPWR-DOC-ST-068-EUR-03-R00</t>
        </is>
      </c>
      <c r="C639" t="inlineStr">
        <is>
          <t>IA-PPWR-DOC-ST-068-EUR-03-R00</t>
        </is>
      </c>
      <c r="D639" s="19" t="inlineStr">
        <is>
          <t>4</t>
        </is>
      </c>
      <c r="E639" t="inlineStr">
        <is>
          <t>01_STARTER/ST-068-EUR-03/02_EU_DoC.docx</t>
        </is>
      </c>
      <c r="F639" t="inlineStr">
        <is>
          <t>325cd5660369722f0deddc3e6219d99ba4afff2484478d7a4cbd134ce6fd12c3</t>
        </is>
      </c>
      <c r="G639" t="inlineStr">
        <is>
          <t>2026-08-08</t>
        </is>
      </c>
      <c r="H639" s="19" t="inlineStr">
        <is>
          <t>2</t>
        </is>
      </c>
      <c r="I639" t="inlineStr">
        <is>
          <t>Phase I generated Rev.00 Word file — linked; signatures not completed</t>
        </is>
      </c>
      <c r="J639" t="inlineStr">
        <is>
          <t>2026-08-10T19:29:54Z</t>
        </is>
      </c>
      <c r="K639" t="inlineStr">
        <is>
          <t>2026-08-10T19:49:41Z</t>
        </is>
      </c>
    </row>
    <row r="640">
      <c r="A640" s="19" t="inlineStr">
        <is>
          <t>639</t>
        </is>
      </c>
      <c r="B640" s="19" t="inlineStr">
        <is>
          <t>IA-PPWR-LBL-ST-068-EUR-03-R00</t>
        </is>
      </c>
      <c r="C640" t="inlineStr">
        <is>
          <t>IA-PPWR-LBL-ST-068-EUR-03-R00</t>
        </is>
      </c>
      <c r="D640" s="19" t="inlineStr">
        <is>
          <t>11</t>
        </is>
      </c>
      <c r="E640" t="inlineStr">
        <is>
          <t>01_STARTER/ST-068-EUR-03/03_Label.docx</t>
        </is>
      </c>
      <c r="F640" t="inlineStr">
        <is>
          <t>f259e06b962e90b55bdf637de3d86652fa7b9483828634d8aed18705bdc964d7</t>
        </is>
      </c>
      <c r="G640" t="inlineStr">
        <is>
          <t>2026-08-08</t>
        </is>
      </c>
      <c r="H640" s="19" t="inlineStr">
        <is>
          <t>2</t>
        </is>
      </c>
      <c r="I640" t="inlineStr">
        <is>
          <t>Phase I generated Rev.00 Word file — linked; signatures not completed</t>
        </is>
      </c>
      <c r="J640" t="inlineStr">
        <is>
          <t>2026-08-10T19:29:54Z</t>
        </is>
      </c>
      <c r="K640" t="inlineStr">
        <is>
          <t>2026-08-10T19:49:41Z</t>
        </is>
      </c>
    </row>
    <row r="641">
      <c r="A641" s="19" t="inlineStr">
        <is>
          <t>640</t>
        </is>
      </c>
      <c r="B641" s="19" t="inlineStr">
        <is>
          <t>IA-PPWR-STM-ST-068-EUR-03-R00</t>
        </is>
      </c>
      <c r="C641" t="inlineStr">
        <is>
          <t>IA-PPWR-STM-ST-068-EUR-03-R00</t>
        </is>
      </c>
      <c r="D641" s="19" t="inlineStr">
        <is>
          <t>12</t>
        </is>
      </c>
      <c r="E641" t="inlineStr">
        <is>
          <t>01_STARTER/ST-068-EUR-03/04_Shipment_Statement.docx</t>
        </is>
      </c>
      <c r="F641" t="inlineStr">
        <is>
          <t>78b8a1f2b184039c0347bf0a0b6229673593e265a7fb77a43b3a5c1e66df68a7</t>
        </is>
      </c>
      <c r="G641" t="inlineStr">
        <is>
          <t>2026-08-08</t>
        </is>
      </c>
      <c r="H641" s="19" t="inlineStr">
        <is>
          <t>2</t>
        </is>
      </c>
      <c r="I641" t="inlineStr">
        <is>
          <t>Phase I generated Rev.00 Word file — linked; signatures not completed</t>
        </is>
      </c>
      <c r="J641" t="inlineStr">
        <is>
          <t>2026-08-10T19:29:54Z</t>
        </is>
      </c>
      <c r="K641" t="inlineStr">
        <is>
          <t>2026-08-10T19:49:41Z</t>
        </is>
      </c>
    </row>
    <row r="642">
      <c r="A642" s="19" t="inlineStr">
        <is>
          <t>641</t>
        </is>
      </c>
      <c r="B642" s="19" t="inlineStr">
        <is>
          <t>IA-PPWR-TF-ST-068-EUR-04-R00</t>
        </is>
      </c>
      <c r="C642" t="inlineStr">
        <is>
          <t>IA-PPWR-TF-ST-068-EUR-04-R00</t>
        </is>
      </c>
      <c r="D642" s="19" t="inlineStr">
        <is>
          <t>1</t>
        </is>
      </c>
      <c r="E642" t="inlineStr">
        <is>
          <t>01_STARTER/ST-068-EUR-04/01_Technical_File.docx</t>
        </is>
      </c>
      <c r="F642" t="inlineStr">
        <is>
          <t>1c4ed97aa2b2ae1002b9f53f15bcfe23be28a1d78b191ce5759dd919cf055dd7</t>
        </is>
      </c>
      <c r="G642" t="inlineStr">
        <is>
          <t>2026-08-08</t>
        </is>
      </c>
      <c r="H642" s="19" t="inlineStr">
        <is>
          <t>2</t>
        </is>
      </c>
      <c r="I642" t="inlineStr">
        <is>
          <t>Phase I generated Rev.00 Word file — linked; signatures not completed</t>
        </is>
      </c>
      <c r="J642" t="inlineStr">
        <is>
          <t>2026-08-10T19:29:54Z</t>
        </is>
      </c>
      <c r="K642" t="inlineStr">
        <is>
          <t>2026-08-10T19:49:41Z</t>
        </is>
      </c>
    </row>
    <row r="643">
      <c r="A643" s="19" t="inlineStr">
        <is>
          <t>642</t>
        </is>
      </c>
      <c r="B643" s="19" t="inlineStr">
        <is>
          <t>IA-PPWR-DOC-ST-068-EUR-04-R00</t>
        </is>
      </c>
      <c r="C643" t="inlineStr">
        <is>
          <t>IA-PPWR-DOC-ST-068-EUR-04-R00</t>
        </is>
      </c>
      <c r="D643" s="19" t="inlineStr">
        <is>
          <t>4</t>
        </is>
      </c>
      <c r="E643" t="inlineStr">
        <is>
          <t>01_STARTER/ST-068-EUR-04/02_EU_DoC.docx</t>
        </is>
      </c>
      <c r="F643" t="inlineStr">
        <is>
          <t>eeb5d033222debd7f62af4bb0b620d4862964830bfd37680b7d7b1985dc3b7e9</t>
        </is>
      </c>
      <c r="G643" t="inlineStr">
        <is>
          <t>2026-08-08</t>
        </is>
      </c>
      <c r="H643" s="19" t="inlineStr">
        <is>
          <t>2</t>
        </is>
      </c>
      <c r="I643" t="inlineStr">
        <is>
          <t>Phase I generated Rev.00 Word file — linked; signatures not completed</t>
        </is>
      </c>
      <c r="J643" t="inlineStr">
        <is>
          <t>2026-08-10T19:29:54Z</t>
        </is>
      </c>
      <c r="K643" t="inlineStr">
        <is>
          <t>2026-08-10T19:49:41Z</t>
        </is>
      </c>
    </row>
    <row r="644">
      <c r="A644" s="19" t="inlineStr">
        <is>
          <t>643</t>
        </is>
      </c>
      <c r="B644" s="19" t="inlineStr">
        <is>
          <t>IA-PPWR-LBL-ST-068-EUR-04-R00</t>
        </is>
      </c>
      <c r="C644" t="inlineStr">
        <is>
          <t>IA-PPWR-LBL-ST-068-EUR-04-R00</t>
        </is>
      </c>
      <c r="D644" s="19" t="inlineStr">
        <is>
          <t>11</t>
        </is>
      </c>
      <c r="E644" t="inlineStr">
        <is>
          <t>01_STARTER/ST-068-EUR-04/03_Label.docx</t>
        </is>
      </c>
      <c r="F644" t="inlineStr">
        <is>
          <t>0cb4d47e6ed8af7ef5f3dcc2610796b0c2e04a166c7ab7b6e19f9f19997be50b</t>
        </is>
      </c>
      <c r="G644" t="inlineStr">
        <is>
          <t>2026-08-08</t>
        </is>
      </c>
      <c r="H644" s="19" t="inlineStr">
        <is>
          <t>2</t>
        </is>
      </c>
      <c r="I644" t="inlineStr">
        <is>
          <t>Phase I generated Rev.00 Word file — linked; signatures not completed</t>
        </is>
      </c>
      <c r="J644" t="inlineStr">
        <is>
          <t>2026-08-10T19:29:54Z</t>
        </is>
      </c>
      <c r="K644" t="inlineStr">
        <is>
          <t>2026-08-10T19:49:41Z</t>
        </is>
      </c>
    </row>
    <row r="645">
      <c r="A645" s="19" t="inlineStr">
        <is>
          <t>644</t>
        </is>
      </c>
      <c r="B645" s="19" t="inlineStr">
        <is>
          <t>IA-PPWR-STM-ST-068-EUR-04-R00</t>
        </is>
      </c>
      <c r="C645" t="inlineStr">
        <is>
          <t>IA-PPWR-STM-ST-068-EUR-04-R00</t>
        </is>
      </c>
      <c r="D645" s="19" t="inlineStr">
        <is>
          <t>12</t>
        </is>
      </c>
      <c r="E645" t="inlineStr">
        <is>
          <t>01_STARTER/ST-068-EUR-04/04_Shipment_Statement.docx</t>
        </is>
      </c>
      <c r="F645" t="inlineStr">
        <is>
          <t>a2016e3cf9f45b8357e3aca03d9dfa7ee1a8cac740eb663cf109d5986924d72c</t>
        </is>
      </c>
      <c r="G645" t="inlineStr">
        <is>
          <t>2026-08-08</t>
        </is>
      </c>
      <c r="H645" s="19" t="inlineStr">
        <is>
          <t>2</t>
        </is>
      </c>
      <c r="I645" t="inlineStr">
        <is>
          <t>Phase I generated Rev.00 Word file — linked; signatures not completed</t>
        </is>
      </c>
      <c r="J645" t="inlineStr">
        <is>
          <t>2026-08-10T19:29:54Z</t>
        </is>
      </c>
      <c r="K645" t="inlineStr">
        <is>
          <t>2026-08-10T19:49:41Z</t>
        </is>
      </c>
    </row>
    <row r="646">
      <c r="A646" s="19" t="inlineStr">
        <is>
          <t>645</t>
        </is>
      </c>
      <c r="B646" s="19" t="inlineStr">
        <is>
          <t>IA-PPWR-TF-ST-068-STD-01-R00</t>
        </is>
      </c>
      <c r="C646" t="inlineStr">
        <is>
          <t>IA-PPWR-TF-ST-068-STD-01-R00</t>
        </is>
      </c>
      <c r="D646" s="19" t="inlineStr">
        <is>
          <t>1</t>
        </is>
      </c>
      <c r="E646" t="inlineStr">
        <is>
          <t>01_STARTER/ST-068-STD-01/01_Technical_File.docx</t>
        </is>
      </c>
      <c r="F646" t="inlineStr">
        <is>
          <t>e5bf76dd5da1c067664e5ef94f6621e2cb085b34fa96482a8baa1ae731eba384</t>
        </is>
      </c>
      <c r="G646" t="inlineStr">
        <is>
          <t>2026-08-08</t>
        </is>
      </c>
      <c r="H646" s="19" t="inlineStr">
        <is>
          <t>2</t>
        </is>
      </c>
      <c r="I646" t="inlineStr">
        <is>
          <t>Phase I generated Rev.00 Word file — linked; signatures not completed</t>
        </is>
      </c>
      <c r="J646" t="inlineStr">
        <is>
          <t>2026-08-10T19:29:54Z</t>
        </is>
      </c>
      <c r="K646" t="inlineStr">
        <is>
          <t>2026-08-10T19:49:41Z</t>
        </is>
      </c>
    </row>
    <row r="647">
      <c r="A647" s="19" t="inlineStr">
        <is>
          <t>646</t>
        </is>
      </c>
      <c r="B647" s="19" t="inlineStr">
        <is>
          <t>IA-PPWR-DOC-ST-068-STD-01-R00</t>
        </is>
      </c>
      <c r="C647" t="inlineStr">
        <is>
          <t>IA-PPWR-DOC-ST-068-STD-01-R00</t>
        </is>
      </c>
      <c r="D647" s="19" t="inlineStr">
        <is>
          <t>4</t>
        </is>
      </c>
      <c r="E647" t="inlineStr">
        <is>
          <t>01_STARTER/ST-068-STD-01/02_EU_DoC.docx</t>
        </is>
      </c>
      <c r="F647" t="inlineStr">
        <is>
          <t>fc1d504a3eeea9dfcf259d940a2b7737375f1cd0f59932ead102212fa2b38122</t>
        </is>
      </c>
      <c r="G647" t="inlineStr">
        <is>
          <t>2026-08-08</t>
        </is>
      </c>
      <c r="H647" s="19" t="inlineStr">
        <is>
          <t>2</t>
        </is>
      </c>
      <c r="I647" t="inlineStr">
        <is>
          <t>Phase I generated Rev.00 Word file — linked; signatures not completed</t>
        </is>
      </c>
      <c r="J647" t="inlineStr">
        <is>
          <t>2026-08-10T19:29:54Z</t>
        </is>
      </c>
      <c r="K647" t="inlineStr">
        <is>
          <t>2026-08-10T19:49:41Z</t>
        </is>
      </c>
    </row>
    <row r="648">
      <c r="A648" s="19" t="inlineStr">
        <is>
          <t>647</t>
        </is>
      </c>
      <c r="B648" s="19" t="inlineStr">
        <is>
          <t>IA-PPWR-LBL-ST-068-STD-01-R00</t>
        </is>
      </c>
      <c r="C648" t="inlineStr">
        <is>
          <t>IA-PPWR-LBL-ST-068-STD-01-R00</t>
        </is>
      </c>
      <c r="D648" s="19" t="inlineStr">
        <is>
          <t>11</t>
        </is>
      </c>
      <c r="E648" t="inlineStr">
        <is>
          <t>01_STARTER/ST-068-STD-01/03_Label.docx</t>
        </is>
      </c>
      <c r="F648" t="inlineStr">
        <is>
          <t>021fe3b4970d8cda4f37ddb0180dbba80174ba01d5193a4afc1df2e73d9ba03d</t>
        </is>
      </c>
      <c r="G648" t="inlineStr">
        <is>
          <t>2026-08-08</t>
        </is>
      </c>
      <c r="H648" s="19" t="inlineStr">
        <is>
          <t>2</t>
        </is>
      </c>
      <c r="I648" t="inlineStr">
        <is>
          <t>Phase I generated Rev.00 Word file — linked; signatures not completed</t>
        </is>
      </c>
      <c r="J648" t="inlineStr">
        <is>
          <t>2026-08-10T19:29:54Z</t>
        </is>
      </c>
      <c r="K648" t="inlineStr">
        <is>
          <t>2026-08-10T19:49:41Z</t>
        </is>
      </c>
    </row>
    <row r="649">
      <c r="A649" s="19" t="inlineStr">
        <is>
          <t>648</t>
        </is>
      </c>
      <c r="B649" s="19" t="inlineStr">
        <is>
          <t>IA-PPWR-STM-ST-068-STD-01-R00</t>
        </is>
      </c>
      <c r="C649" t="inlineStr">
        <is>
          <t>IA-PPWR-STM-ST-068-STD-01-R00</t>
        </is>
      </c>
      <c r="D649" s="19" t="inlineStr">
        <is>
          <t>12</t>
        </is>
      </c>
      <c r="E649" t="inlineStr">
        <is>
          <t>01_STARTER/ST-068-STD-01/04_Shipment_Statement.docx</t>
        </is>
      </c>
      <c r="F649" t="inlineStr">
        <is>
          <t>382da0330118d96781e1350cb6fee935517715459fe707ecc0752631683708b9</t>
        </is>
      </c>
      <c r="G649" t="inlineStr">
        <is>
          <t>2026-08-08</t>
        </is>
      </c>
      <c r="H649" s="19" t="inlineStr">
        <is>
          <t>2</t>
        </is>
      </c>
      <c r="I649" t="inlineStr">
        <is>
          <t>Phase I generated Rev.00 Word file — linked; signatures not completed</t>
        </is>
      </c>
      <c r="J649" t="inlineStr">
        <is>
          <t>2026-08-10T19:29:54Z</t>
        </is>
      </c>
      <c r="K649" t="inlineStr">
        <is>
          <t>2026-08-10T19:49:41Z</t>
        </is>
      </c>
    </row>
    <row r="650">
      <c r="A650" s="19" t="inlineStr">
        <is>
          <t>649</t>
        </is>
      </c>
      <c r="B650" s="19" t="inlineStr">
        <is>
          <t>IA-PPWR-TF-ST-068-STD-02-R00</t>
        </is>
      </c>
      <c r="C650" t="inlineStr">
        <is>
          <t>IA-PPWR-TF-ST-068-STD-02-R00</t>
        </is>
      </c>
      <c r="D650" s="19" t="inlineStr">
        <is>
          <t>1</t>
        </is>
      </c>
      <c r="E650" t="inlineStr">
        <is>
          <t>01_STARTER/ST-068-STD-02/01_Technical_File.docx</t>
        </is>
      </c>
      <c r="F650" t="inlineStr">
        <is>
          <t>5842966acfba00549c91b79a07e3ccce9bb569b60ae481a5c65366e7f3ce7b9b</t>
        </is>
      </c>
      <c r="G650" t="inlineStr">
        <is>
          <t>2026-08-08</t>
        </is>
      </c>
      <c r="H650" s="19" t="inlineStr">
        <is>
          <t>2</t>
        </is>
      </c>
      <c r="I650" t="inlineStr">
        <is>
          <t>Phase I generated Rev.00 Word file — linked; signatures not completed</t>
        </is>
      </c>
      <c r="J650" t="inlineStr">
        <is>
          <t>2026-08-10T19:29:54Z</t>
        </is>
      </c>
      <c r="K650" t="inlineStr">
        <is>
          <t>2026-08-10T19:49:41Z</t>
        </is>
      </c>
    </row>
    <row r="651">
      <c r="A651" s="19" t="inlineStr">
        <is>
          <t>650</t>
        </is>
      </c>
      <c r="B651" s="19" t="inlineStr">
        <is>
          <t>IA-PPWR-DOC-ST-068-STD-02-R00</t>
        </is>
      </c>
      <c r="C651" t="inlineStr">
        <is>
          <t>IA-PPWR-DOC-ST-068-STD-02-R00</t>
        </is>
      </c>
      <c r="D651" s="19" t="inlineStr">
        <is>
          <t>4</t>
        </is>
      </c>
      <c r="E651" t="inlineStr">
        <is>
          <t>01_STARTER/ST-068-STD-02/02_EU_DoC.docx</t>
        </is>
      </c>
      <c r="F651" t="inlineStr">
        <is>
          <t>1a62d5ca2aa6596e1763378e482c16c0ed31ce2641317cb08dff623403e0e479</t>
        </is>
      </c>
      <c r="G651" t="inlineStr">
        <is>
          <t>2026-08-08</t>
        </is>
      </c>
      <c r="H651" s="19" t="inlineStr">
        <is>
          <t>2</t>
        </is>
      </c>
      <c r="I651" t="inlineStr">
        <is>
          <t>Phase I generated Rev.00 Word file — linked; signatures not completed</t>
        </is>
      </c>
      <c r="J651" t="inlineStr">
        <is>
          <t>2026-08-10T19:29:54Z</t>
        </is>
      </c>
      <c r="K651" t="inlineStr">
        <is>
          <t>2026-08-10T19:49:41Z</t>
        </is>
      </c>
    </row>
    <row r="652">
      <c r="A652" s="19" t="inlineStr">
        <is>
          <t>651</t>
        </is>
      </c>
      <c r="B652" s="19" t="inlineStr">
        <is>
          <t>IA-PPWR-LBL-ST-068-STD-02-R00</t>
        </is>
      </c>
      <c r="C652" t="inlineStr">
        <is>
          <t>IA-PPWR-LBL-ST-068-STD-02-R00</t>
        </is>
      </c>
      <c r="D652" s="19" t="inlineStr">
        <is>
          <t>11</t>
        </is>
      </c>
      <c r="E652" t="inlineStr">
        <is>
          <t>01_STARTER/ST-068-STD-02/03_Label.docx</t>
        </is>
      </c>
      <c r="F652" t="inlineStr">
        <is>
          <t>c6b80e374c700db101f18444bda121c4b8dbe9491063a4ff52293b597eaf7eae</t>
        </is>
      </c>
      <c r="G652" t="inlineStr">
        <is>
          <t>2026-08-08</t>
        </is>
      </c>
      <c r="H652" s="19" t="inlineStr">
        <is>
          <t>2</t>
        </is>
      </c>
      <c r="I652" t="inlineStr">
        <is>
          <t>Phase I generated Rev.00 Word file — linked; signatures not completed</t>
        </is>
      </c>
      <c r="J652" t="inlineStr">
        <is>
          <t>2026-08-10T19:29:54Z</t>
        </is>
      </c>
      <c r="K652" t="inlineStr">
        <is>
          <t>2026-08-10T19:49:41Z</t>
        </is>
      </c>
    </row>
    <row r="653">
      <c r="A653" s="19" t="inlineStr">
        <is>
          <t>652</t>
        </is>
      </c>
      <c r="B653" s="19" t="inlineStr">
        <is>
          <t>IA-PPWR-STM-ST-068-STD-02-R00</t>
        </is>
      </c>
      <c r="C653" t="inlineStr">
        <is>
          <t>IA-PPWR-STM-ST-068-STD-02-R00</t>
        </is>
      </c>
      <c r="D653" s="19" t="inlineStr">
        <is>
          <t>12</t>
        </is>
      </c>
      <c r="E653" t="inlineStr">
        <is>
          <t>01_STARTER/ST-068-STD-02/04_Shipment_Statement.docx</t>
        </is>
      </c>
      <c r="F653" t="inlineStr">
        <is>
          <t>d66ca1af6e94850a7fa5d263c986d0d583a26819ea99443951279b062143db87</t>
        </is>
      </c>
      <c r="G653" t="inlineStr">
        <is>
          <t>2026-08-08</t>
        </is>
      </c>
      <c r="H653" s="19" t="inlineStr">
        <is>
          <t>2</t>
        </is>
      </c>
      <c r="I653" t="inlineStr">
        <is>
          <t>Phase I generated Rev.00 Word file — linked; signatures not completed</t>
        </is>
      </c>
      <c r="J653" t="inlineStr">
        <is>
          <t>2026-08-10T19:29:54Z</t>
        </is>
      </c>
      <c r="K653" t="inlineStr">
        <is>
          <t>2026-08-10T19:49:41Z</t>
        </is>
      </c>
    </row>
    <row r="654">
      <c r="A654" s="19" t="inlineStr">
        <is>
          <t>653</t>
        </is>
      </c>
      <c r="B654" s="19" t="inlineStr">
        <is>
          <t>IA-PPWR-TF-ST-068-STD-03-R00</t>
        </is>
      </c>
      <c r="C654" t="inlineStr">
        <is>
          <t>IA-PPWR-TF-ST-068-STD-03-R00</t>
        </is>
      </c>
      <c r="D654" s="19" t="inlineStr">
        <is>
          <t>1</t>
        </is>
      </c>
      <c r="E654" t="inlineStr">
        <is>
          <t>01_STARTER/ST-068-STD-03/01_Technical_File.docx</t>
        </is>
      </c>
      <c r="F654" t="inlineStr">
        <is>
          <t>e8878aadbd083189d37ae1f1ef87db18f81a243895ba7acfa423909744a2073b</t>
        </is>
      </c>
      <c r="G654" t="inlineStr">
        <is>
          <t>2026-08-08</t>
        </is>
      </c>
      <c r="H654" s="19" t="inlineStr">
        <is>
          <t>2</t>
        </is>
      </c>
      <c r="I654" t="inlineStr">
        <is>
          <t>Phase I generated Rev.00 Word file — linked; signatures not completed</t>
        </is>
      </c>
      <c r="J654" t="inlineStr">
        <is>
          <t>2026-08-10T19:29:54Z</t>
        </is>
      </c>
      <c r="K654" t="inlineStr">
        <is>
          <t>2026-08-10T19:49:41Z</t>
        </is>
      </c>
    </row>
    <row r="655">
      <c r="A655" s="19" t="inlineStr">
        <is>
          <t>654</t>
        </is>
      </c>
      <c r="B655" s="19" t="inlineStr">
        <is>
          <t>IA-PPWR-DOC-ST-068-STD-03-R00</t>
        </is>
      </c>
      <c r="C655" t="inlineStr">
        <is>
          <t>IA-PPWR-DOC-ST-068-STD-03-R00</t>
        </is>
      </c>
      <c r="D655" s="19" t="inlineStr">
        <is>
          <t>4</t>
        </is>
      </c>
      <c r="E655" t="inlineStr">
        <is>
          <t>01_STARTER/ST-068-STD-03/02_EU_DoC.docx</t>
        </is>
      </c>
      <c r="F655" t="inlineStr">
        <is>
          <t>67cd95ec98b5a1cd814ab32a51140fce38dbe3a4967a66be046742d6ed4b13b2</t>
        </is>
      </c>
      <c r="G655" t="inlineStr">
        <is>
          <t>2026-08-08</t>
        </is>
      </c>
      <c r="H655" s="19" t="inlineStr">
        <is>
          <t>2</t>
        </is>
      </c>
      <c r="I655" t="inlineStr">
        <is>
          <t>Phase I generated Rev.00 Word file — linked; signatures not completed</t>
        </is>
      </c>
      <c r="J655" t="inlineStr">
        <is>
          <t>2026-08-10T19:29:54Z</t>
        </is>
      </c>
      <c r="K655" t="inlineStr">
        <is>
          <t>2026-08-10T19:49:41Z</t>
        </is>
      </c>
    </row>
    <row r="656">
      <c r="A656" s="19" t="inlineStr">
        <is>
          <t>655</t>
        </is>
      </c>
      <c r="B656" s="19" t="inlineStr">
        <is>
          <t>IA-PPWR-LBL-ST-068-STD-03-R00</t>
        </is>
      </c>
      <c r="C656" t="inlineStr">
        <is>
          <t>IA-PPWR-LBL-ST-068-STD-03-R00</t>
        </is>
      </c>
      <c r="D656" s="19" t="inlineStr">
        <is>
          <t>11</t>
        </is>
      </c>
      <c r="E656" t="inlineStr">
        <is>
          <t>01_STARTER/ST-068-STD-03/03_Label.docx</t>
        </is>
      </c>
      <c r="F656" t="inlineStr">
        <is>
          <t>ce752bb6e5da9e91d9601499cf4dc317b9ea2a592cd536055a9b4a9a714abffb</t>
        </is>
      </c>
      <c r="G656" t="inlineStr">
        <is>
          <t>2026-08-08</t>
        </is>
      </c>
      <c r="H656" s="19" t="inlineStr">
        <is>
          <t>2</t>
        </is>
      </c>
      <c r="I656" t="inlineStr">
        <is>
          <t>Phase I generated Rev.00 Word file — linked; signatures not completed</t>
        </is>
      </c>
      <c r="J656" t="inlineStr">
        <is>
          <t>2026-08-10T19:29:54Z</t>
        </is>
      </c>
      <c r="K656" t="inlineStr">
        <is>
          <t>2026-08-10T19:49:41Z</t>
        </is>
      </c>
    </row>
    <row r="657">
      <c r="A657" s="19" t="inlineStr">
        <is>
          <t>656</t>
        </is>
      </c>
      <c r="B657" s="19" t="inlineStr">
        <is>
          <t>IA-PPWR-STM-ST-068-STD-03-R00</t>
        </is>
      </c>
      <c r="C657" t="inlineStr">
        <is>
          <t>IA-PPWR-STM-ST-068-STD-03-R00</t>
        </is>
      </c>
      <c r="D657" s="19" t="inlineStr">
        <is>
          <t>12</t>
        </is>
      </c>
      <c r="E657" t="inlineStr">
        <is>
          <t>01_STARTER/ST-068-STD-03/04_Shipment_Statement.docx</t>
        </is>
      </c>
      <c r="F657" t="inlineStr">
        <is>
          <t>0d61eed48db9e594fbf1fd44e1f2c8667c92f9dbc34c2f2559c410c65543f5b7</t>
        </is>
      </c>
      <c r="G657" t="inlineStr">
        <is>
          <t>2026-08-08</t>
        </is>
      </c>
      <c r="H657" s="19" t="inlineStr">
        <is>
          <t>2</t>
        </is>
      </c>
      <c r="I657" t="inlineStr">
        <is>
          <t>Phase I generated Rev.00 Word file — linked; signatures not completed</t>
        </is>
      </c>
      <c r="J657" t="inlineStr">
        <is>
          <t>2026-08-10T19:29:54Z</t>
        </is>
      </c>
      <c r="K657" t="inlineStr">
        <is>
          <t>2026-08-10T19:49:41Z</t>
        </is>
      </c>
    </row>
    <row r="658">
      <c r="A658" s="19" t="inlineStr">
        <is>
          <t>657</t>
        </is>
      </c>
      <c r="B658" s="19" t="inlineStr">
        <is>
          <t>IA-PPWR-TF-ST-068-STD-04-R00</t>
        </is>
      </c>
      <c r="C658" t="inlineStr">
        <is>
          <t>IA-PPWR-TF-ST-068-STD-04-R00</t>
        </is>
      </c>
      <c r="D658" s="19" t="inlineStr">
        <is>
          <t>1</t>
        </is>
      </c>
      <c r="E658" t="inlineStr">
        <is>
          <t>01_STARTER/ST-068-STD-04/01_Technical_File.docx</t>
        </is>
      </c>
      <c r="F658" t="inlineStr">
        <is>
          <t>a5e19d00d3fa8f676b6d2d9b70de4c249181f9e95bedd5deab0e5869020ce624</t>
        </is>
      </c>
      <c r="G658" t="inlineStr">
        <is>
          <t>2026-08-08</t>
        </is>
      </c>
      <c r="H658" s="19" t="inlineStr">
        <is>
          <t>2</t>
        </is>
      </c>
      <c r="I658" t="inlineStr">
        <is>
          <t>Phase I generated Rev.00 Word file — linked; signatures not completed</t>
        </is>
      </c>
      <c r="J658" t="inlineStr">
        <is>
          <t>2026-08-10T19:29:54Z</t>
        </is>
      </c>
      <c r="K658" t="inlineStr">
        <is>
          <t>2026-08-10T19:49:41Z</t>
        </is>
      </c>
    </row>
    <row r="659">
      <c r="A659" s="19" t="inlineStr">
        <is>
          <t>658</t>
        </is>
      </c>
      <c r="B659" s="19" t="inlineStr">
        <is>
          <t>IA-PPWR-DOC-ST-068-STD-04-R00</t>
        </is>
      </c>
      <c r="C659" t="inlineStr">
        <is>
          <t>IA-PPWR-DOC-ST-068-STD-04-R00</t>
        </is>
      </c>
      <c r="D659" s="19" t="inlineStr">
        <is>
          <t>4</t>
        </is>
      </c>
      <c r="E659" t="inlineStr">
        <is>
          <t>01_STARTER/ST-068-STD-04/02_EU_DoC.docx</t>
        </is>
      </c>
      <c r="F659" t="inlineStr">
        <is>
          <t>91b5a83c4c226ccaa608ac59b721f7e5b43e915a16b34dfac812b570a2823a39</t>
        </is>
      </c>
      <c r="G659" t="inlineStr">
        <is>
          <t>2026-08-08</t>
        </is>
      </c>
      <c r="H659" s="19" t="inlineStr">
        <is>
          <t>2</t>
        </is>
      </c>
      <c r="I659" t="inlineStr">
        <is>
          <t>Phase I generated Rev.00 Word file — linked; signatures not completed</t>
        </is>
      </c>
      <c r="J659" t="inlineStr">
        <is>
          <t>2026-08-10T19:29:54Z</t>
        </is>
      </c>
      <c r="K659" t="inlineStr">
        <is>
          <t>2026-08-10T19:49:41Z</t>
        </is>
      </c>
    </row>
    <row r="660">
      <c r="A660" s="19" t="inlineStr">
        <is>
          <t>659</t>
        </is>
      </c>
      <c r="B660" s="19" t="inlineStr">
        <is>
          <t>IA-PPWR-LBL-ST-068-STD-04-R00</t>
        </is>
      </c>
      <c r="C660" t="inlineStr">
        <is>
          <t>IA-PPWR-LBL-ST-068-STD-04-R00</t>
        </is>
      </c>
      <c r="D660" s="19" t="inlineStr">
        <is>
          <t>11</t>
        </is>
      </c>
      <c r="E660" t="inlineStr">
        <is>
          <t>01_STARTER/ST-068-STD-04/03_Label.docx</t>
        </is>
      </c>
      <c r="F660" t="inlineStr">
        <is>
          <t>691d762a4e680194645ad18ed42b076e924ced7560f7d3ddcdb796f28527ec2d</t>
        </is>
      </c>
      <c r="G660" t="inlineStr">
        <is>
          <t>2026-08-08</t>
        </is>
      </c>
      <c r="H660" s="19" t="inlineStr">
        <is>
          <t>2</t>
        </is>
      </c>
      <c r="I660" t="inlineStr">
        <is>
          <t>Phase I generated Rev.00 Word file — linked; signatures not completed</t>
        </is>
      </c>
      <c r="J660" t="inlineStr">
        <is>
          <t>2026-08-10T19:29:54Z</t>
        </is>
      </c>
      <c r="K660" t="inlineStr">
        <is>
          <t>2026-08-10T19:49:41Z</t>
        </is>
      </c>
    </row>
    <row r="661">
      <c r="A661" s="19" t="inlineStr">
        <is>
          <t>660</t>
        </is>
      </c>
      <c r="B661" s="19" t="inlineStr">
        <is>
          <t>IA-PPWR-STM-ST-068-STD-04-R00</t>
        </is>
      </c>
      <c r="C661" t="inlineStr">
        <is>
          <t>IA-PPWR-STM-ST-068-STD-04-R00</t>
        </is>
      </c>
      <c r="D661" s="19" t="inlineStr">
        <is>
          <t>12</t>
        </is>
      </c>
      <c r="E661" t="inlineStr">
        <is>
          <t>01_STARTER/ST-068-STD-04/04_Shipment_Statement.docx</t>
        </is>
      </c>
      <c r="F661" t="inlineStr">
        <is>
          <t>686bcd873588f17eb1f0db534fe23190202e0e15a5e173d7194c871932f32d33</t>
        </is>
      </c>
      <c r="G661" t="inlineStr">
        <is>
          <t>2026-08-08</t>
        </is>
      </c>
      <c r="H661" s="19" t="inlineStr">
        <is>
          <t>2</t>
        </is>
      </c>
      <c r="I661" t="inlineStr">
        <is>
          <t>Phase I generated Rev.00 Word file — linked; signatures not completed</t>
        </is>
      </c>
      <c r="J661" t="inlineStr">
        <is>
          <t>2026-08-10T19:29:54Z</t>
        </is>
      </c>
      <c r="K661" t="inlineStr">
        <is>
          <t>2026-08-10T19:49:41Z</t>
        </is>
      </c>
    </row>
    <row r="662">
      <c r="A662" s="19" t="inlineStr">
        <is>
          <t>661</t>
        </is>
      </c>
      <c r="B662" s="19" t="inlineStr">
        <is>
          <t>IA-PPWR-TF-ST-072-EUR-01-R00</t>
        </is>
      </c>
      <c r="C662" t="inlineStr">
        <is>
          <t>IA-PPWR-TF-ST-072-EUR-01-R00</t>
        </is>
      </c>
      <c r="D662" s="19" t="inlineStr">
        <is>
          <t>1</t>
        </is>
      </c>
      <c r="E662" t="inlineStr">
        <is>
          <t>01_STARTER/ST-072-EUR-01/01_Technical_File.docx</t>
        </is>
      </c>
      <c r="F662" t="inlineStr">
        <is>
          <t>3c291ac3fde1840691e532127748a3aacec34357d58912e486cd11ae6a07e75b</t>
        </is>
      </c>
      <c r="G662" t="inlineStr">
        <is>
          <t>2026-08-08</t>
        </is>
      </c>
      <c r="H662" s="19" t="inlineStr">
        <is>
          <t>2</t>
        </is>
      </c>
      <c r="I662" t="inlineStr">
        <is>
          <t>Phase I generated Rev.00 Word file — linked; signatures not completed</t>
        </is>
      </c>
      <c r="J662" t="inlineStr">
        <is>
          <t>2026-08-10T19:29:54Z</t>
        </is>
      </c>
      <c r="K662" t="inlineStr">
        <is>
          <t>2026-08-10T19:49:41Z</t>
        </is>
      </c>
    </row>
    <row r="663">
      <c r="A663" s="19" t="inlineStr">
        <is>
          <t>662</t>
        </is>
      </c>
      <c r="B663" s="19" t="inlineStr">
        <is>
          <t>IA-PPWR-DOC-ST-072-EUR-01-R00</t>
        </is>
      </c>
      <c r="C663" t="inlineStr">
        <is>
          <t>IA-PPWR-DOC-ST-072-EUR-01-R00</t>
        </is>
      </c>
      <c r="D663" s="19" t="inlineStr">
        <is>
          <t>4</t>
        </is>
      </c>
      <c r="E663" t="inlineStr">
        <is>
          <t>01_STARTER/ST-072-EUR-01/02_EU_DoC.docx</t>
        </is>
      </c>
      <c r="F663" t="inlineStr">
        <is>
          <t>406f290a4f29fd6c07a595aaa95d807e2e7f549e125549a8991c09da6dae4040</t>
        </is>
      </c>
      <c r="G663" t="inlineStr">
        <is>
          <t>2026-08-08</t>
        </is>
      </c>
      <c r="H663" s="19" t="inlineStr">
        <is>
          <t>2</t>
        </is>
      </c>
      <c r="I663" t="inlineStr">
        <is>
          <t>Phase I generated Rev.00 Word file — linked; signatures not completed</t>
        </is>
      </c>
      <c r="J663" t="inlineStr">
        <is>
          <t>2026-08-10T19:29:54Z</t>
        </is>
      </c>
      <c r="K663" t="inlineStr">
        <is>
          <t>2026-08-10T19:49:41Z</t>
        </is>
      </c>
    </row>
    <row r="664">
      <c r="A664" s="19" t="inlineStr">
        <is>
          <t>663</t>
        </is>
      </c>
      <c r="B664" s="19" t="inlineStr">
        <is>
          <t>IA-PPWR-LBL-ST-072-EUR-01-R00</t>
        </is>
      </c>
      <c r="C664" t="inlineStr">
        <is>
          <t>IA-PPWR-LBL-ST-072-EUR-01-R00</t>
        </is>
      </c>
      <c r="D664" s="19" t="inlineStr">
        <is>
          <t>11</t>
        </is>
      </c>
      <c r="E664" t="inlineStr">
        <is>
          <t>01_STARTER/ST-072-EUR-01/03_Label.docx</t>
        </is>
      </c>
      <c r="F664" t="inlineStr">
        <is>
          <t>f4aa78999c41a714854813ce9186d3ee4ff4614b71b202df51b588ba4313b104</t>
        </is>
      </c>
      <c r="G664" t="inlineStr">
        <is>
          <t>2026-08-08</t>
        </is>
      </c>
      <c r="H664" s="19" t="inlineStr">
        <is>
          <t>2</t>
        </is>
      </c>
      <c r="I664" t="inlineStr">
        <is>
          <t>Phase I generated Rev.00 Word file — linked; signatures not completed</t>
        </is>
      </c>
      <c r="J664" t="inlineStr">
        <is>
          <t>2026-08-10T19:29:54Z</t>
        </is>
      </c>
      <c r="K664" t="inlineStr">
        <is>
          <t>2026-08-10T19:49:41Z</t>
        </is>
      </c>
    </row>
    <row r="665">
      <c r="A665" s="19" t="inlineStr">
        <is>
          <t>664</t>
        </is>
      </c>
      <c r="B665" s="19" t="inlineStr">
        <is>
          <t>IA-PPWR-STM-ST-072-EUR-01-R00</t>
        </is>
      </c>
      <c r="C665" t="inlineStr">
        <is>
          <t>IA-PPWR-STM-ST-072-EUR-01-R00</t>
        </is>
      </c>
      <c r="D665" s="19" t="inlineStr">
        <is>
          <t>12</t>
        </is>
      </c>
      <c r="E665" t="inlineStr">
        <is>
          <t>01_STARTER/ST-072-EUR-01/04_Shipment_Statement.docx</t>
        </is>
      </c>
      <c r="F665" t="inlineStr">
        <is>
          <t>f478078eef8cf41f7a6632286ad8ff2f3312f66d14a89a770dbcf5f79fc5dd13</t>
        </is>
      </c>
      <c r="G665" t="inlineStr">
        <is>
          <t>2026-08-08</t>
        </is>
      </c>
      <c r="H665" s="19" t="inlineStr">
        <is>
          <t>2</t>
        </is>
      </c>
      <c r="I665" t="inlineStr">
        <is>
          <t>Phase I generated Rev.00 Word file — linked; signatures not completed</t>
        </is>
      </c>
      <c r="J665" t="inlineStr">
        <is>
          <t>2026-08-10T19:29:54Z</t>
        </is>
      </c>
      <c r="K665" t="inlineStr">
        <is>
          <t>2026-08-10T19:49:41Z</t>
        </is>
      </c>
    </row>
    <row r="666">
      <c r="A666" s="19" t="inlineStr">
        <is>
          <t>665</t>
        </is>
      </c>
      <c r="B666" s="19" t="inlineStr">
        <is>
          <t>IA-PPWR-TF-ST-072-EUR-02-R00</t>
        </is>
      </c>
      <c r="C666" t="inlineStr">
        <is>
          <t>IA-PPWR-TF-ST-072-EUR-02-R00</t>
        </is>
      </c>
      <c r="D666" s="19" t="inlineStr">
        <is>
          <t>1</t>
        </is>
      </c>
      <c r="E666" t="inlineStr">
        <is>
          <t>01_STARTER/ST-072-EUR-02/01_Technical_File.docx</t>
        </is>
      </c>
      <c r="F666" t="inlineStr">
        <is>
          <t>43e70ef6d3f4eb4f5d7b479a49bdc6e03fadca204de0def7e1b34b9959c10966</t>
        </is>
      </c>
      <c r="G666" t="inlineStr">
        <is>
          <t>2026-08-08</t>
        </is>
      </c>
      <c r="H666" s="19" t="inlineStr">
        <is>
          <t>2</t>
        </is>
      </c>
      <c r="I666" t="inlineStr">
        <is>
          <t>Phase I generated Rev.00 Word file — linked; signatures not completed</t>
        </is>
      </c>
      <c r="J666" t="inlineStr">
        <is>
          <t>2026-08-10T19:29:54Z</t>
        </is>
      </c>
      <c r="K666" t="inlineStr">
        <is>
          <t>2026-08-10T19:49:41Z</t>
        </is>
      </c>
    </row>
    <row r="667">
      <c r="A667" s="19" t="inlineStr">
        <is>
          <t>666</t>
        </is>
      </c>
      <c r="B667" s="19" t="inlineStr">
        <is>
          <t>IA-PPWR-DOC-ST-072-EUR-02-R00</t>
        </is>
      </c>
      <c r="C667" t="inlineStr">
        <is>
          <t>IA-PPWR-DOC-ST-072-EUR-02-R00</t>
        </is>
      </c>
      <c r="D667" s="19" t="inlineStr">
        <is>
          <t>4</t>
        </is>
      </c>
      <c r="E667" t="inlineStr">
        <is>
          <t>01_STARTER/ST-072-EUR-02/02_EU_DoC.docx</t>
        </is>
      </c>
      <c r="F667" t="inlineStr">
        <is>
          <t>1388cbbdc08a6a46066bc02cc8b3140ba0cada45bad0de949dab0012471664e8</t>
        </is>
      </c>
      <c r="G667" t="inlineStr">
        <is>
          <t>2026-08-08</t>
        </is>
      </c>
      <c r="H667" s="19" t="inlineStr">
        <is>
          <t>2</t>
        </is>
      </c>
      <c r="I667" t="inlineStr">
        <is>
          <t>Phase I generated Rev.00 Word file — linked; signatures not completed</t>
        </is>
      </c>
      <c r="J667" t="inlineStr">
        <is>
          <t>2026-08-10T19:29:54Z</t>
        </is>
      </c>
      <c r="K667" t="inlineStr">
        <is>
          <t>2026-08-10T19:49:41Z</t>
        </is>
      </c>
    </row>
    <row r="668">
      <c r="A668" s="19" t="inlineStr">
        <is>
          <t>667</t>
        </is>
      </c>
      <c r="B668" s="19" t="inlineStr">
        <is>
          <t>IA-PPWR-LBL-ST-072-EUR-02-R00</t>
        </is>
      </c>
      <c r="C668" t="inlineStr">
        <is>
          <t>IA-PPWR-LBL-ST-072-EUR-02-R00</t>
        </is>
      </c>
      <c r="D668" s="19" t="inlineStr">
        <is>
          <t>11</t>
        </is>
      </c>
      <c r="E668" t="inlineStr">
        <is>
          <t>01_STARTER/ST-072-EUR-02/03_Label.docx</t>
        </is>
      </c>
      <c r="F668" t="inlineStr">
        <is>
          <t>611163c084aca5f81b14141c4cff7d5d50fc762b3d4ee991b38c341760ff1938</t>
        </is>
      </c>
      <c r="G668" t="inlineStr">
        <is>
          <t>2026-08-08</t>
        </is>
      </c>
      <c r="H668" s="19" t="inlineStr">
        <is>
          <t>2</t>
        </is>
      </c>
      <c r="I668" t="inlineStr">
        <is>
          <t>Phase I generated Rev.00 Word file — linked; signatures not completed</t>
        </is>
      </c>
      <c r="J668" t="inlineStr">
        <is>
          <t>2026-08-10T19:29:54Z</t>
        </is>
      </c>
      <c r="K668" t="inlineStr">
        <is>
          <t>2026-08-10T19:49:41Z</t>
        </is>
      </c>
    </row>
    <row r="669">
      <c r="A669" s="19" t="inlineStr">
        <is>
          <t>668</t>
        </is>
      </c>
      <c r="B669" s="19" t="inlineStr">
        <is>
          <t>IA-PPWR-STM-ST-072-EUR-02-R00</t>
        </is>
      </c>
      <c r="C669" t="inlineStr">
        <is>
          <t>IA-PPWR-STM-ST-072-EUR-02-R00</t>
        </is>
      </c>
      <c r="D669" s="19" t="inlineStr">
        <is>
          <t>12</t>
        </is>
      </c>
      <c r="E669" t="inlineStr">
        <is>
          <t>01_STARTER/ST-072-EUR-02/04_Shipment_Statement.docx</t>
        </is>
      </c>
      <c r="F669" t="inlineStr">
        <is>
          <t>638e24ebde325ee63a63a706c31f352ab92bc07729043329176c7908c90663e6</t>
        </is>
      </c>
      <c r="G669" t="inlineStr">
        <is>
          <t>2026-08-08</t>
        </is>
      </c>
      <c r="H669" s="19" t="inlineStr">
        <is>
          <t>2</t>
        </is>
      </c>
      <c r="I669" t="inlineStr">
        <is>
          <t>Phase I generated Rev.00 Word file — linked; signatures not completed</t>
        </is>
      </c>
      <c r="J669" t="inlineStr">
        <is>
          <t>2026-08-10T19:29:54Z</t>
        </is>
      </c>
      <c r="K669" t="inlineStr">
        <is>
          <t>2026-08-10T19:49:41Z</t>
        </is>
      </c>
    </row>
    <row r="670">
      <c r="A670" s="19" t="inlineStr">
        <is>
          <t>669</t>
        </is>
      </c>
      <c r="B670" s="19" t="inlineStr">
        <is>
          <t>IA-PPWR-TF-ST-072-EUR-03-R00</t>
        </is>
      </c>
      <c r="C670" t="inlineStr">
        <is>
          <t>IA-PPWR-TF-ST-072-EUR-03-R00</t>
        </is>
      </c>
      <c r="D670" s="19" t="inlineStr">
        <is>
          <t>1</t>
        </is>
      </c>
      <c r="E670" t="inlineStr">
        <is>
          <t>01_STARTER/ST-072-EUR-03/01_Technical_File.docx</t>
        </is>
      </c>
      <c r="F670" t="inlineStr">
        <is>
          <t>75016a2d9a662ab4b6f7df1dda1438999034799f228d8860add33d5a6a619fa9</t>
        </is>
      </c>
      <c r="G670" t="inlineStr">
        <is>
          <t>2026-08-08</t>
        </is>
      </c>
      <c r="H670" s="19" t="inlineStr">
        <is>
          <t>2</t>
        </is>
      </c>
      <c r="I670" t="inlineStr">
        <is>
          <t>Phase I generated Rev.00 Word file — linked; signatures not completed</t>
        </is>
      </c>
      <c r="J670" t="inlineStr">
        <is>
          <t>2026-08-10T19:29:54Z</t>
        </is>
      </c>
      <c r="K670" t="inlineStr">
        <is>
          <t>2026-08-10T19:49:41Z</t>
        </is>
      </c>
    </row>
    <row r="671">
      <c r="A671" s="19" t="inlineStr">
        <is>
          <t>670</t>
        </is>
      </c>
      <c r="B671" s="19" t="inlineStr">
        <is>
          <t>IA-PPWR-DOC-ST-072-EUR-03-R00</t>
        </is>
      </c>
      <c r="C671" t="inlineStr">
        <is>
          <t>IA-PPWR-DOC-ST-072-EUR-03-R00</t>
        </is>
      </c>
      <c r="D671" s="19" t="inlineStr">
        <is>
          <t>4</t>
        </is>
      </c>
      <c r="E671" t="inlineStr">
        <is>
          <t>01_STARTER/ST-072-EUR-03/02_EU_DoC.docx</t>
        </is>
      </c>
      <c r="F671" t="inlineStr">
        <is>
          <t>1881e76bceff316536f3c9d052c4aeebc1ac20f39d36cfbb8f7324cf81564964</t>
        </is>
      </c>
      <c r="G671" t="inlineStr">
        <is>
          <t>2026-08-08</t>
        </is>
      </c>
      <c r="H671" s="19" t="inlineStr">
        <is>
          <t>2</t>
        </is>
      </c>
      <c r="I671" t="inlineStr">
        <is>
          <t>Phase I generated Rev.00 Word file — linked; signatures not completed</t>
        </is>
      </c>
      <c r="J671" t="inlineStr">
        <is>
          <t>2026-08-10T19:29:54Z</t>
        </is>
      </c>
      <c r="K671" t="inlineStr">
        <is>
          <t>2026-08-10T19:49:41Z</t>
        </is>
      </c>
    </row>
    <row r="672">
      <c r="A672" s="19" t="inlineStr">
        <is>
          <t>671</t>
        </is>
      </c>
      <c r="B672" s="19" t="inlineStr">
        <is>
          <t>IA-PPWR-LBL-ST-072-EUR-03-R00</t>
        </is>
      </c>
      <c r="C672" t="inlineStr">
        <is>
          <t>IA-PPWR-LBL-ST-072-EUR-03-R00</t>
        </is>
      </c>
      <c r="D672" s="19" t="inlineStr">
        <is>
          <t>11</t>
        </is>
      </c>
      <c r="E672" t="inlineStr">
        <is>
          <t>01_STARTER/ST-072-EUR-03/03_Label.docx</t>
        </is>
      </c>
      <c r="F672" t="inlineStr">
        <is>
          <t>d9ace215c6078587275f59a3f30ed7427887a1b3af6127c449aaadc0274531be</t>
        </is>
      </c>
      <c r="G672" t="inlineStr">
        <is>
          <t>2026-08-08</t>
        </is>
      </c>
      <c r="H672" s="19" t="inlineStr">
        <is>
          <t>2</t>
        </is>
      </c>
      <c r="I672" t="inlineStr">
        <is>
          <t>Phase I generated Rev.00 Word file — linked; signatures not completed</t>
        </is>
      </c>
      <c r="J672" t="inlineStr">
        <is>
          <t>2026-08-10T19:29:54Z</t>
        </is>
      </c>
      <c r="K672" t="inlineStr">
        <is>
          <t>2026-08-10T19:49:41Z</t>
        </is>
      </c>
    </row>
    <row r="673">
      <c r="A673" s="19" t="inlineStr">
        <is>
          <t>672</t>
        </is>
      </c>
      <c r="B673" s="19" t="inlineStr">
        <is>
          <t>IA-PPWR-STM-ST-072-EUR-03-R00</t>
        </is>
      </c>
      <c r="C673" t="inlineStr">
        <is>
          <t>IA-PPWR-STM-ST-072-EUR-03-R00</t>
        </is>
      </c>
      <c r="D673" s="19" t="inlineStr">
        <is>
          <t>12</t>
        </is>
      </c>
      <c r="E673" t="inlineStr">
        <is>
          <t>01_STARTER/ST-072-EUR-03/04_Shipment_Statement.docx</t>
        </is>
      </c>
      <c r="F673" t="inlineStr">
        <is>
          <t>c926e0e61d3342ed94b466a78f09c1a9feda492d822f1937b67b7f347af7e81c</t>
        </is>
      </c>
      <c r="G673" t="inlineStr">
        <is>
          <t>2026-08-08</t>
        </is>
      </c>
      <c r="H673" s="19" t="inlineStr">
        <is>
          <t>2</t>
        </is>
      </c>
      <c r="I673" t="inlineStr">
        <is>
          <t>Phase I generated Rev.00 Word file — linked; signatures not completed</t>
        </is>
      </c>
      <c r="J673" t="inlineStr">
        <is>
          <t>2026-08-10T19:29:54Z</t>
        </is>
      </c>
      <c r="K673" t="inlineStr">
        <is>
          <t>2026-08-10T19:49:41Z</t>
        </is>
      </c>
    </row>
    <row r="674">
      <c r="A674" s="19" t="inlineStr">
        <is>
          <t>673</t>
        </is>
      </c>
      <c r="B674" s="19" t="inlineStr">
        <is>
          <t>IA-PPWR-TF-ST-072-EUR-04-R00</t>
        </is>
      </c>
      <c r="C674" t="inlineStr">
        <is>
          <t>IA-PPWR-TF-ST-072-EUR-04-R00</t>
        </is>
      </c>
      <c r="D674" s="19" t="inlineStr">
        <is>
          <t>1</t>
        </is>
      </c>
      <c r="E674" t="inlineStr">
        <is>
          <t>01_STARTER/ST-072-EUR-04/01_Technical_File.docx</t>
        </is>
      </c>
      <c r="F674" t="inlineStr">
        <is>
          <t>41ab850f6c667785e31f5c68fa5fc3d472efe6078fcf67a306633aa208a860b8</t>
        </is>
      </c>
      <c r="G674" t="inlineStr">
        <is>
          <t>2026-08-08</t>
        </is>
      </c>
      <c r="H674" s="19" t="inlineStr">
        <is>
          <t>2</t>
        </is>
      </c>
      <c r="I674" t="inlineStr">
        <is>
          <t>Phase I generated Rev.00 Word file — linked; signatures not completed</t>
        </is>
      </c>
      <c r="J674" t="inlineStr">
        <is>
          <t>2026-08-10T19:29:54Z</t>
        </is>
      </c>
      <c r="K674" t="inlineStr">
        <is>
          <t>2026-08-10T19:49:41Z</t>
        </is>
      </c>
    </row>
    <row r="675">
      <c r="A675" s="19" t="inlineStr">
        <is>
          <t>674</t>
        </is>
      </c>
      <c r="B675" s="19" t="inlineStr">
        <is>
          <t>IA-PPWR-DOC-ST-072-EUR-04-R00</t>
        </is>
      </c>
      <c r="C675" t="inlineStr">
        <is>
          <t>IA-PPWR-DOC-ST-072-EUR-04-R00</t>
        </is>
      </c>
      <c r="D675" s="19" t="inlineStr">
        <is>
          <t>4</t>
        </is>
      </c>
      <c r="E675" t="inlineStr">
        <is>
          <t>01_STARTER/ST-072-EUR-04/02_EU_DoC.docx</t>
        </is>
      </c>
      <c r="F675" t="inlineStr">
        <is>
          <t>70e964328d770ad4f0cd4b62fd1e5abce9c8b56b59ac0d3e702217d3006a773f</t>
        </is>
      </c>
      <c r="G675" t="inlineStr">
        <is>
          <t>2026-08-08</t>
        </is>
      </c>
      <c r="H675" s="19" t="inlineStr">
        <is>
          <t>2</t>
        </is>
      </c>
      <c r="I675" t="inlineStr">
        <is>
          <t>Phase I generated Rev.00 Word file — linked; signatures not completed</t>
        </is>
      </c>
      <c r="J675" t="inlineStr">
        <is>
          <t>2026-08-10T19:29:54Z</t>
        </is>
      </c>
      <c r="K675" t="inlineStr">
        <is>
          <t>2026-08-10T19:49:41Z</t>
        </is>
      </c>
    </row>
    <row r="676">
      <c r="A676" s="19" t="inlineStr">
        <is>
          <t>675</t>
        </is>
      </c>
      <c r="B676" s="19" t="inlineStr">
        <is>
          <t>IA-PPWR-LBL-ST-072-EUR-04-R00</t>
        </is>
      </c>
      <c r="C676" t="inlineStr">
        <is>
          <t>IA-PPWR-LBL-ST-072-EUR-04-R00</t>
        </is>
      </c>
      <c r="D676" s="19" t="inlineStr">
        <is>
          <t>11</t>
        </is>
      </c>
      <c r="E676" t="inlineStr">
        <is>
          <t>01_STARTER/ST-072-EUR-04/03_Label.docx</t>
        </is>
      </c>
      <c r="F676" t="inlineStr">
        <is>
          <t>483630f7b01ed66bdd92e26b8abe1171b647469232c4a5eb131a5a17a298c1ab</t>
        </is>
      </c>
      <c r="G676" t="inlineStr">
        <is>
          <t>2026-08-08</t>
        </is>
      </c>
      <c r="H676" s="19" t="inlineStr">
        <is>
          <t>2</t>
        </is>
      </c>
      <c r="I676" t="inlineStr">
        <is>
          <t>Phase I generated Rev.00 Word file — linked; signatures not completed</t>
        </is>
      </c>
      <c r="J676" t="inlineStr">
        <is>
          <t>2026-08-10T19:29:54Z</t>
        </is>
      </c>
      <c r="K676" t="inlineStr">
        <is>
          <t>2026-08-10T19:49:41Z</t>
        </is>
      </c>
    </row>
    <row r="677">
      <c r="A677" s="19" t="inlineStr">
        <is>
          <t>676</t>
        </is>
      </c>
      <c r="B677" s="19" t="inlineStr">
        <is>
          <t>IA-PPWR-STM-ST-072-EUR-04-R00</t>
        </is>
      </c>
      <c r="C677" t="inlineStr">
        <is>
          <t>IA-PPWR-STM-ST-072-EUR-04-R00</t>
        </is>
      </c>
      <c r="D677" s="19" t="inlineStr">
        <is>
          <t>12</t>
        </is>
      </c>
      <c r="E677" t="inlineStr">
        <is>
          <t>01_STARTER/ST-072-EUR-04/04_Shipment_Statement.docx</t>
        </is>
      </c>
      <c r="F677" t="inlineStr">
        <is>
          <t>58d2d266a586f89bfb804ce1c7b75b5630f64cb9ca1830582aaf9770a846cccc</t>
        </is>
      </c>
      <c r="G677" t="inlineStr">
        <is>
          <t>2026-08-08</t>
        </is>
      </c>
      <c r="H677" s="19" t="inlineStr">
        <is>
          <t>2</t>
        </is>
      </c>
      <c r="I677" t="inlineStr">
        <is>
          <t>Phase I generated Rev.00 Word file — linked; signatures not completed</t>
        </is>
      </c>
      <c r="J677" t="inlineStr">
        <is>
          <t>2026-08-10T19:29:54Z</t>
        </is>
      </c>
      <c r="K677" t="inlineStr">
        <is>
          <t>2026-08-10T19:49:41Z</t>
        </is>
      </c>
    </row>
    <row r="678">
      <c r="A678" s="19" t="inlineStr">
        <is>
          <t>677</t>
        </is>
      </c>
      <c r="B678" s="19" t="inlineStr">
        <is>
          <t>IA-PPWR-TF-ST-072-EUR-05-R00</t>
        </is>
      </c>
      <c r="C678" t="inlineStr">
        <is>
          <t>IA-PPWR-TF-ST-072-EUR-05-R00</t>
        </is>
      </c>
      <c r="D678" s="19" t="inlineStr">
        <is>
          <t>1</t>
        </is>
      </c>
      <c r="E678" t="inlineStr">
        <is>
          <t>01_STARTER/ST-072-EUR-05/01_Technical_File.docx</t>
        </is>
      </c>
      <c r="F678" t="inlineStr">
        <is>
          <t>078d1592a8c7f546c95541b822ca4850f5dd89811f46dd85bcebd54f27218d2c</t>
        </is>
      </c>
      <c r="G678" t="inlineStr">
        <is>
          <t>2026-08-08</t>
        </is>
      </c>
      <c r="H678" s="19" t="inlineStr">
        <is>
          <t>2</t>
        </is>
      </c>
      <c r="I678" t="inlineStr">
        <is>
          <t>Phase I generated Rev.00 Word file — linked; signatures not completed</t>
        </is>
      </c>
      <c r="J678" t="inlineStr">
        <is>
          <t>2026-08-10T19:29:54Z</t>
        </is>
      </c>
      <c r="K678" t="inlineStr">
        <is>
          <t>2026-08-10T19:49:41Z</t>
        </is>
      </c>
    </row>
    <row r="679">
      <c r="A679" s="19" t="inlineStr">
        <is>
          <t>678</t>
        </is>
      </c>
      <c r="B679" s="19" t="inlineStr">
        <is>
          <t>IA-PPWR-DOC-ST-072-EUR-05-R00</t>
        </is>
      </c>
      <c r="C679" t="inlineStr">
        <is>
          <t>IA-PPWR-DOC-ST-072-EUR-05-R00</t>
        </is>
      </c>
      <c r="D679" s="19" t="inlineStr">
        <is>
          <t>4</t>
        </is>
      </c>
      <c r="E679" t="inlineStr">
        <is>
          <t>01_STARTER/ST-072-EUR-05/02_EU_DoC.docx</t>
        </is>
      </c>
      <c r="F679" t="inlineStr">
        <is>
          <t>7a79c1c3550eecd663e2ca52bbee7a33f6885900787ebe50e44ef0e381984d4c</t>
        </is>
      </c>
      <c r="G679" t="inlineStr">
        <is>
          <t>2026-08-08</t>
        </is>
      </c>
      <c r="H679" s="19" t="inlineStr">
        <is>
          <t>2</t>
        </is>
      </c>
      <c r="I679" t="inlineStr">
        <is>
          <t>Phase I generated Rev.00 Word file — linked; signatures not completed</t>
        </is>
      </c>
      <c r="J679" t="inlineStr">
        <is>
          <t>2026-08-10T19:29:54Z</t>
        </is>
      </c>
      <c r="K679" t="inlineStr">
        <is>
          <t>2026-08-10T19:49:41Z</t>
        </is>
      </c>
    </row>
    <row r="680">
      <c r="A680" s="19" t="inlineStr">
        <is>
          <t>679</t>
        </is>
      </c>
      <c r="B680" s="19" t="inlineStr">
        <is>
          <t>IA-PPWR-LBL-ST-072-EUR-05-R00</t>
        </is>
      </c>
      <c r="C680" t="inlineStr">
        <is>
          <t>IA-PPWR-LBL-ST-072-EUR-05-R00</t>
        </is>
      </c>
      <c r="D680" s="19" t="inlineStr">
        <is>
          <t>11</t>
        </is>
      </c>
      <c r="E680" t="inlineStr">
        <is>
          <t>01_STARTER/ST-072-EUR-05/03_Label.docx</t>
        </is>
      </c>
      <c r="F680" t="inlineStr">
        <is>
          <t>25ba45e0da5a022c1ed17f27be70fab2850258bf2d8cfeee833bc3bb09720c14</t>
        </is>
      </c>
      <c r="G680" t="inlineStr">
        <is>
          <t>2026-08-08</t>
        </is>
      </c>
      <c r="H680" s="19" t="inlineStr">
        <is>
          <t>2</t>
        </is>
      </c>
      <c r="I680" t="inlineStr">
        <is>
          <t>Phase I generated Rev.00 Word file — linked; signatures not completed</t>
        </is>
      </c>
      <c r="J680" t="inlineStr">
        <is>
          <t>2026-08-10T19:29:54Z</t>
        </is>
      </c>
      <c r="K680" t="inlineStr">
        <is>
          <t>2026-08-10T19:49:41Z</t>
        </is>
      </c>
    </row>
    <row r="681">
      <c r="A681" s="19" t="inlineStr">
        <is>
          <t>680</t>
        </is>
      </c>
      <c r="B681" s="19" t="inlineStr">
        <is>
          <t>IA-PPWR-STM-ST-072-EUR-05-R00</t>
        </is>
      </c>
      <c r="C681" t="inlineStr">
        <is>
          <t>IA-PPWR-STM-ST-072-EUR-05-R00</t>
        </is>
      </c>
      <c r="D681" s="19" t="inlineStr">
        <is>
          <t>12</t>
        </is>
      </c>
      <c r="E681" t="inlineStr">
        <is>
          <t>01_STARTER/ST-072-EUR-05/04_Shipment_Statement.docx</t>
        </is>
      </c>
      <c r="F681" t="inlineStr">
        <is>
          <t>8cb8efb543e01b032a9f3a6bcb64eebe7d2bdaf7e4b3d41b19d8e19ddfd94a87</t>
        </is>
      </c>
      <c r="G681" t="inlineStr">
        <is>
          <t>2026-08-08</t>
        </is>
      </c>
      <c r="H681" s="19" t="inlineStr">
        <is>
          <t>2</t>
        </is>
      </c>
      <c r="I681" t="inlineStr">
        <is>
          <t>Phase I generated Rev.00 Word file — linked; signatures not completed</t>
        </is>
      </c>
      <c r="J681" t="inlineStr">
        <is>
          <t>2026-08-10T19:29:54Z</t>
        </is>
      </c>
      <c r="K681" t="inlineStr">
        <is>
          <t>2026-08-10T19:49:41Z</t>
        </is>
      </c>
    </row>
    <row r="682">
      <c r="A682" s="19" t="inlineStr">
        <is>
          <t>681</t>
        </is>
      </c>
      <c r="B682" s="19" t="inlineStr">
        <is>
          <t>IA-PPWR-TF-ST-072-EUR-06-R00</t>
        </is>
      </c>
      <c r="C682" t="inlineStr">
        <is>
          <t>IA-PPWR-TF-ST-072-EUR-06-R00</t>
        </is>
      </c>
      <c r="D682" s="19" t="inlineStr">
        <is>
          <t>1</t>
        </is>
      </c>
      <c r="E682" t="inlineStr">
        <is>
          <t>01_STARTER/ST-072-EUR-06/01_Technical_File.docx</t>
        </is>
      </c>
      <c r="F682" t="inlineStr">
        <is>
          <t>256951763ca5054bb761501fb8c85789e8c1a1770dd82fb0789fa0ec5eba715b</t>
        </is>
      </c>
      <c r="G682" t="inlineStr">
        <is>
          <t>2026-08-08</t>
        </is>
      </c>
      <c r="H682" s="19" t="inlineStr">
        <is>
          <t>2</t>
        </is>
      </c>
      <c r="I682" t="inlineStr">
        <is>
          <t>Phase I generated Rev.00 Word file — linked; signatures not completed</t>
        </is>
      </c>
      <c r="J682" t="inlineStr">
        <is>
          <t>2026-08-10T19:29:54Z</t>
        </is>
      </c>
      <c r="K682" t="inlineStr">
        <is>
          <t>2026-08-10T19:49:41Z</t>
        </is>
      </c>
    </row>
    <row r="683">
      <c r="A683" s="19" t="inlineStr">
        <is>
          <t>682</t>
        </is>
      </c>
      <c r="B683" s="19" t="inlineStr">
        <is>
          <t>IA-PPWR-DOC-ST-072-EUR-06-R00</t>
        </is>
      </c>
      <c r="C683" t="inlineStr">
        <is>
          <t>IA-PPWR-DOC-ST-072-EUR-06-R00</t>
        </is>
      </c>
      <c r="D683" s="19" t="inlineStr">
        <is>
          <t>4</t>
        </is>
      </c>
      <c r="E683" t="inlineStr">
        <is>
          <t>01_STARTER/ST-072-EUR-06/02_EU_DoC.docx</t>
        </is>
      </c>
      <c r="F683" t="inlineStr">
        <is>
          <t>450d10cd783636b0a22b5b8d6ce679ea7fcea4700b22fe4e2a9b5cdb7e6597e5</t>
        </is>
      </c>
      <c r="G683" t="inlineStr">
        <is>
          <t>2026-08-08</t>
        </is>
      </c>
      <c r="H683" s="19" t="inlineStr">
        <is>
          <t>2</t>
        </is>
      </c>
      <c r="I683" t="inlineStr">
        <is>
          <t>Phase I generated Rev.00 Word file — linked; signatures not completed</t>
        </is>
      </c>
      <c r="J683" t="inlineStr">
        <is>
          <t>2026-08-10T19:29:54Z</t>
        </is>
      </c>
      <c r="K683" t="inlineStr">
        <is>
          <t>2026-08-10T19:49:41Z</t>
        </is>
      </c>
    </row>
    <row r="684">
      <c r="A684" s="19" t="inlineStr">
        <is>
          <t>683</t>
        </is>
      </c>
      <c r="B684" s="19" t="inlineStr">
        <is>
          <t>IA-PPWR-LBL-ST-072-EUR-06-R00</t>
        </is>
      </c>
      <c r="C684" t="inlineStr">
        <is>
          <t>IA-PPWR-LBL-ST-072-EUR-06-R00</t>
        </is>
      </c>
      <c r="D684" s="19" t="inlineStr">
        <is>
          <t>11</t>
        </is>
      </c>
      <c r="E684" t="inlineStr">
        <is>
          <t>01_STARTER/ST-072-EUR-06/03_Label.docx</t>
        </is>
      </c>
      <c r="F684" t="inlineStr">
        <is>
          <t>6184e66f48c754b72abd90d8cf33f20d3924edead8a1483cd5ef23d31316ba5e</t>
        </is>
      </c>
      <c r="G684" t="inlineStr">
        <is>
          <t>2026-08-08</t>
        </is>
      </c>
      <c r="H684" s="19" t="inlineStr">
        <is>
          <t>2</t>
        </is>
      </c>
      <c r="I684" t="inlineStr">
        <is>
          <t>Phase I generated Rev.00 Word file — linked; signatures not completed</t>
        </is>
      </c>
      <c r="J684" t="inlineStr">
        <is>
          <t>2026-08-10T19:29:54Z</t>
        </is>
      </c>
      <c r="K684" t="inlineStr">
        <is>
          <t>2026-08-10T19:49:41Z</t>
        </is>
      </c>
    </row>
    <row r="685">
      <c r="A685" s="19" t="inlineStr">
        <is>
          <t>684</t>
        </is>
      </c>
      <c r="B685" s="19" t="inlineStr">
        <is>
          <t>IA-PPWR-STM-ST-072-EUR-06-R00</t>
        </is>
      </c>
      <c r="C685" t="inlineStr">
        <is>
          <t>IA-PPWR-STM-ST-072-EUR-06-R00</t>
        </is>
      </c>
      <c r="D685" s="19" t="inlineStr">
        <is>
          <t>12</t>
        </is>
      </c>
      <c r="E685" t="inlineStr">
        <is>
          <t>01_STARTER/ST-072-EUR-06/04_Shipment_Statement.docx</t>
        </is>
      </c>
      <c r="F685" t="inlineStr">
        <is>
          <t>43d95eb4ce55e17161009182e55cf4bc200640201ee594355b3a3139778749f3</t>
        </is>
      </c>
      <c r="G685" t="inlineStr">
        <is>
          <t>2026-08-08</t>
        </is>
      </c>
      <c r="H685" s="19" t="inlineStr">
        <is>
          <t>2</t>
        </is>
      </c>
      <c r="I685" t="inlineStr">
        <is>
          <t>Phase I generated Rev.00 Word file — linked; signatures not completed</t>
        </is>
      </c>
      <c r="J685" t="inlineStr">
        <is>
          <t>2026-08-10T19:29:54Z</t>
        </is>
      </c>
      <c r="K685" t="inlineStr">
        <is>
          <t>2026-08-10T19:49:41Z</t>
        </is>
      </c>
    </row>
    <row r="686">
      <c r="A686" s="19" t="inlineStr">
        <is>
          <t>685</t>
        </is>
      </c>
      <c r="B686" s="19" t="inlineStr">
        <is>
          <t>IA-PPWR-TF-ST-072-STD-01-R00</t>
        </is>
      </c>
      <c r="C686" t="inlineStr">
        <is>
          <t>IA-PPWR-TF-ST-072-STD-01-R00</t>
        </is>
      </c>
      <c r="D686" s="19" t="inlineStr">
        <is>
          <t>1</t>
        </is>
      </c>
      <c r="E686" t="inlineStr">
        <is>
          <t>01_STARTER/ST-072-STD-01/01_Technical_File.docx</t>
        </is>
      </c>
      <c r="F686" t="inlineStr">
        <is>
          <t>3169054095f8f13fc3cb3cd78f37f142a0e5f8541b4f6fd23e838083f40b5f68</t>
        </is>
      </c>
      <c r="G686" t="inlineStr">
        <is>
          <t>2026-08-08</t>
        </is>
      </c>
      <c r="H686" s="19" t="inlineStr">
        <is>
          <t>2</t>
        </is>
      </c>
      <c r="I686" t="inlineStr">
        <is>
          <t>Phase I generated Rev.00 Word file — linked; signatures not completed</t>
        </is>
      </c>
      <c r="J686" t="inlineStr">
        <is>
          <t>2026-08-10T19:29:54Z</t>
        </is>
      </c>
      <c r="K686" t="inlineStr">
        <is>
          <t>2026-08-10T19:49:41Z</t>
        </is>
      </c>
    </row>
    <row r="687">
      <c r="A687" s="19" t="inlineStr">
        <is>
          <t>686</t>
        </is>
      </c>
      <c r="B687" s="19" t="inlineStr">
        <is>
          <t>IA-PPWR-DOC-ST-072-STD-01-R00</t>
        </is>
      </c>
      <c r="C687" t="inlineStr">
        <is>
          <t>IA-PPWR-DOC-ST-072-STD-01-R00</t>
        </is>
      </c>
      <c r="D687" s="19" t="inlineStr">
        <is>
          <t>4</t>
        </is>
      </c>
      <c r="E687" t="inlineStr">
        <is>
          <t>01_STARTER/ST-072-STD-01/02_EU_DoC.docx</t>
        </is>
      </c>
      <c r="F687" t="inlineStr">
        <is>
          <t>e662bdf67888b69ec1f7c8d2594c0a76a09562480dd6ae599d7e8355d62fdc3a</t>
        </is>
      </c>
      <c r="G687" t="inlineStr">
        <is>
          <t>2026-08-08</t>
        </is>
      </c>
      <c r="H687" s="19" t="inlineStr">
        <is>
          <t>2</t>
        </is>
      </c>
      <c r="I687" t="inlineStr">
        <is>
          <t>Phase I generated Rev.00 Word file — linked; signatures not completed</t>
        </is>
      </c>
      <c r="J687" t="inlineStr">
        <is>
          <t>2026-08-10T19:29:54Z</t>
        </is>
      </c>
      <c r="K687" t="inlineStr">
        <is>
          <t>2026-08-10T19:49:41Z</t>
        </is>
      </c>
    </row>
    <row r="688">
      <c r="A688" s="19" t="inlineStr">
        <is>
          <t>687</t>
        </is>
      </c>
      <c r="B688" s="19" t="inlineStr">
        <is>
          <t>IA-PPWR-LBL-ST-072-STD-01-R00</t>
        </is>
      </c>
      <c r="C688" t="inlineStr">
        <is>
          <t>IA-PPWR-LBL-ST-072-STD-01-R00</t>
        </is>
      </c>
      <c r="D688" s="19" t="inlineStr">
        <is>
          <t>11</t>
        </is>
      </c>
      <c r="E688" t="inlineStr">
        <is>
          <t>01_STARTER/ST-072-STD-01/03_Label.docx</t>
        </is>
      </c>
      <c r="F688" t="inlineStr">
        <is>
          <t>51f10fa24b7c3abea62cffec8d4b22405847044959cec62630dfca4ac591b7b3</t>
        </is>
      </c>
      <c r="G688" t="inlineStr">
        <is>
          <t>2026-08-08</t>
        </is>
      </c>
      <c r="H688" s="19" t="inlineStr">
        <is>
          <t>2</t>
        </is>
      </c>
      <c r="I688" t="inlineStr">
        <is>
          <t>Phase I generated Rev.00 Word file — linked; signatures not completed</t>
        </is>
      </c>
      <c r="J688" t="inlineStr">
        <is>
          <t>2026-08-10T19:29:54Z</t>
        </is>
      </c>
      <c r="K688" t="inlineStr">
        <is>
          <t>2026-08-10T19:49:41Z</t>
        </is>
      </c>
    </row>
    <row r="689">
      <c r="A689" s="19" t="inlineStr">
        <is>
          <t>688</t>
        </is>
      </c>
      <c r="B689" s="19" t="inlineStr">
        <is>
          <t>IA-PPWR-STM-ST-072-STD-01-R00</t>
        </is>
      </c>
      <c r="C689" t="inlineStr">
        <is>
          <t>IA-PPWR-STM-ST-072-STD-01-R00</t>
        </is>
      </c>
      <c r="D689" s="19" t="inlineStr">
        <is>
          <t>12</t>
        </is>
      </c>
      <c r="E689" t="inlineStr">
        <is>
          <t>01_STARTER/ST-072-STD-01/04_Shipment_Statement.docx</t>
        </is>
      </c>
      <c r="F689" t="inlineStr">
        <is>
          <t>51187f1b408eb204df038f645ad63e67dfab9f0e93ea9561cc1810213fd6070a</t>
        </is>
      </c>
      <c r="G689" t="inlineStr">
        <is>
          <t>2026-08-08</t>
        </is>
      </c>
      <c r="H689" s="19" t="inlineStr">
        <is>
          <t>2</t>
        </is>
      </c>
      <c r="I689" t="inlineStr">
        <is>
          <t>Phase I generated Rev.00 Word file — linked; signatures not completed</t>
        </is>
      </c>
      <c r="J689" t="inlineStr">
        <is>
          <t>2026-08-10T19:29:54Z</t>
        </is>
      </c>
      <c r="K689" t="inlineStr">
        <is>
          <t>2026-08-10T19:49:41Z</t>
        </is>
      </c>
    </row>
    <row r="690">
      <c r="A690" s="19" t="inlineStr">
        <is>
          <t>689</t>
        </is>
      </c>
      <c r="B690" s="19" t="inlineStr">
        <is>
          <t>IA-PPWR-TF-ST-072-STD-02-R00</t>
        </is>
      </c>
      <c r="C690" t="inlineStr">
        <is>
          <t>IA-PPWR-TF-ST-072-STD-02-R00</t>
        </is>
      </c>
      <c r="D690" s="19" t="inlineStr">
        <is>
          <t>1</t>
        </is>
      </c>
      <c r="E690" t="inlineStr">
        <is>
          <t>01_STARTER/ST-072-STD-02/01_Technical_File.docx</t>
        </is>
      </c>
      <c r="F690" t="inlineStr">
        <is>
          <t>3c2f317e64cbfad2b692d85d73c0ec98a1543c7a7a26db14e32f577559acdc96</t>
        </is>
      </c>
      <c r="G690" t="inlineStr">
        <is>
          <t>2026-08-08</t>
        </is>
      </c>
      <c r="H690" s="19" t="inlineStr">
        <is>
          <t>2</t>
        </is>
      </c>
      <c r="I690" t="inlineStr">
        <is>
          <t>Phase I generated Rev.00 Word file — linked; signatures not completed</t>
        </is>
      </c>
      <c r="J690" t="inlineStr">
        <is>
          <t>2026-08-10T19:29:54Z</t>
        </is>
      </c>
      <c r="K690" t="inlineStr">
        <is>
          <t>2026-08-10T19:49:41Z</t>
        </is>
      </c>
    </row>
    <row r="691">
      <c r="A691" s="19" t="inlineStr">
        <is>
          <t>690</t>
        </is>
      </c>
      <c r="B691" s="19" t="inlineStr">
        <is>
          <t>IA-PPWR-DOC-ST-072-STD-02-R00</t>
        </is>
      </c>
      <c r="C691" t="inlineStr">
        <is>
          <t>IA-PPWR-DOC-ST-072-STD-02-R00</t>
        </is>
      </c>
      <c r="D691" s="19" t="inlineStr">
        <is>
          <t>4</t>
        </is>
      </c>
      <c r="E691" t="inlineStr">
        <is>
          <t>01_STARTER/ST-072-STD-02/02_EU_DoC.docx</t>
        </is>
      </c>
      <c r="F691" t="inlineStr">
        <is>
          <t>c581cd994bbe628cf2d6ce0d0c91bc3e14fcb6faf3d58c22a26f3dc30624eaaa</t>
        </is>
      </c>
      <c r="G691" t="inlineStr">
        <is>
          <t>2026-08-08</t>
        </is>
      </c>
      <c r="H691" s="19" t="inlineStr">
        <is>
          <t>2</t>
        </is>
      </c>
      <c r="I691" t="inlineStr">
        <is>
          <t>Phase I generated Rev.00 Word file — linked; signatures not completed</t>
        </is>
      </c>
      <c r="J691" t="inlineStr">
        <is>
          <t>2026-08-10T19:29:54Z</t>
        </is>
      </c>
      <c r="K691" t="inlineStr">
        <is>
          <t>2026-08-10T19:49:41Z</t>
        </is>
      </c>
    </row>
    <row r="692">
      <c r="A692" s="19" t="inlineStr">
        <is>
          <t>691</t>
        </is>
      </c>
      <c r="B692" s="19" t="inlineStr">
        <is>
          <t>IA-PPWR-LBL-ST-072-STD-02-R00</t>
        </is>
      </c>
      <c r="C692" t="inlineStr">
        <is>
          <t>IA-PPWR-LBL-ST-072-STD-02-R00</t>
        </is>
      </c>
      <c r="D692" s="19" t="inlineStr">
        <is>
          <t>11</t>
        </is>
      </c>
      <c r="E692" t="inlineStr">
        <is>
          <t>01_STARTER/ST-072-STD-02/03_Label.docx</t>
        </is>
      </c>
      <c r="F692" t="inlineStr">
        <is>
          <t>66c40da432637973e9161c3c53dbd23a0fa9fc040f767d268f260e1ee70d35b1</t>
        </is>
      </c>
      <c r="G692" t="inlineStr">
        <is>
          <t>2026-08-08</t>
        </is>
      </c>
      <c r="H692" s="19" t="inlineStr">
        <is>
          <t>2</t>
        </is>
      </c>
      <c r="I692" t="inlineStr">
        <is>
          <t>Phase I generated Rev.00 Word file — linked; signatures not completed</t>
        </is>
      </c>
      <c r="J692" t="inlineStr">
        <is>
          <t>2026-08-10T19:29:54Z</t>
        </is>
      </c>
      <c r="K692" t="inlineStr">
        <is>
          <t>2026-08-10T19:49:41Z</t>
        </is>
      </c>
    </row>
    <row r="693">
      <c r="A693" s="19" t="inlineStr">
        <is>
          <t>692</t>
        </is>
      </c>
      <c r="B693" s="19" t="inlineStr">
        <is>
          <t>IA-PPWR-STM-ST-072-STD-02-R00</t>
        </is>
      </c>
      <c r="C693" t="inlineStr">
        <is>
          <t>IA-PPWR-STM-ST-072-STD-02-R00</t>
        </is>
      </c>
      <c r="D693" s="19" t="inlineStr">
        <is>
          <t>12</t>
        </is>
      </c>
      <c r="E693" t="inlineStr">
        <is>
          <t>01_STARTER/ST-072-STD-02/04_Shipment_Statement.docx</t>
        </is>
      </c>
      <c r="F693" t="inlineStr">
        <is>
          <t>039e4e49fb00462a0ffe9a23305f905762bff95eff9f0016c3ce46533826fe5a</t>
        </is>
      </c>
      <c r="G693" t="inlineStr">
        <is>
          <t>2026-08-08</t>
        </is>
      </c>
      <c r="H693" s="19" t="inlineStr">
        <is>
          <t>2</t>
        </is>
      </c>
      <c r="I693" t="inlineStr">
        <is>
          <t>Phase I generated Rev.00 Word file — linked; signatures not completed</t>
        </is>
      </c>
      <c r="J693" t="inlineStr">
        <is>
          <t>2026-08-10T19:29:54Z</t>
        </is>
      </c>
      <c r="K693" t="inlineStr">
        <is>
          <t>2026-08-10T19:49:41Z</t>
        </is>
      </c>
    </row>
    <row r="694">
      <c r="A694" s="19" t="inlineStr">
        <is>
          <t>693</t>
        </is>
      </c>
      <c r="B694" s="19" t="inlineStr">
        <is>
          <t>IA-PPWR-TF-ST-072-STD-03-R00</t>
        </is>
      </c>
      <c r="C694" t="inlineStr">
        <is>
          <t>IA-PPWR-TF-ST-072-STD-03-R00</t>
        </is>
      </c>
      <c r="D694" s="19" t="inlineStr">
        <is>
          <t>1</t>
        </is>
      </c>
      <c r="E694" t="inlineStr">
        <is>
          <t>01_STARTER/ST-072-STD-03/01_Technical_File.docx</t>
        </is>
      </c>
      <c r="F694" t="inlineStr">
        <is>
          <t>4b55c40341da11f2d095c407ad1d923fc311283b780712a0b60e067173c87397</t>
        </is>
      </c>
      <c r="G694" t="inlineStr">
        <is>
          <t>2026-08-08</t>
        </is>
      </c>
      <c r="H694" s="19" t="inlineStr">
        <is>
          <t>2</t>
        </is>
      </c>
      <c r="I694" t="inlineStr">
        <is>
          <t>Phase I generated Rev.00 Word file — linked; signatures not completed</t>
        </is>
      </c>
      <c r="J694" t="inlineStr">
        <is>
          <t>2026-08-10T19:29:54Z</t>
        </is>
      </c>
      <c r="K694" t="inlineStr">
        <is>
          <t>2026-08-10T19:49:41Z</t>
        </is>
      </c>
    </row>
    <row r="695">
      <c r="A695" s="19" t="inlineStr">
        <is>
          <t>694</t>
        </is>
      </c>
      <c r="B695" s="19" t="inlineStr">
        <is>
          <t>IA-PPWR-DOC-ST-072-STD-03-R00</t>
        </is>
      </c>
      <c r="C695" t="inlineStr">
        <is>
          <t>IA-PPWR-DOC-ST-072-STD-03-R00</t>
        </is>
      </c>
      <c r="D695" s="19" t="inlineStr">
        <is>
          <t>4</t>
        </is>
      </c>
      <c r="E695" t="inlineStr">
        <is>
          <t>01_STARTER/ST-072-STD-03/02_EU_DoC.docx</t>
        </is>
      </c>
      <c r="F695" t="inlineStr">
        <is>
          <t>3a3e26cc06b9bb7f654b443fdb411ce2e968e7d5eaf86afde30839a82a661896</t>
        </is>
      </c>
      <c r="G695" t="inlineStr">
        <is>
          <t>2026-08-08</t>
        </is>
      </c>
      <c r="H695" s="19" t="inlineStr">
        <is>
          <t>2</t>
        </is>
      </c>
      <c r="I695" t="inlineStr">
        <is>
          <t>Phase I generated Rev.00 Word file — linked; signatures not completed</t>
        </is>
      </c>
      <c r="J695" t="inlineStr">
        <is>
          <t>2026-08-10T19:29:54Z</t>
        </is>
      </c>
      <c r="K695" t="inlineStr">
        <is>
          <t>2026-08-10T19:49:41Z</t>
        </is>
      </c>
    </row>
    <row r="696">
      <c r="A696" s="19" t="inlineStr">
        <is>
          <t>695</t>
        </is>
      </c>
      <c r="B696" s="19" t="inlineStr">
        <is>
          <t>IA-PPWR-LBL-ST-072-STD-03-R00</t>
        </is>
      </c>
      <c r="C696" t="inlineStr">
        <is>
          <t>IA-PPWR-LBL-ST-072-STD-03-R00</t>
        </is>
      </c>
      <c r="D696" s="19" t="inlineStr">
        <is>
          <t>11</t>
        </is>
      </c>
      <c r="E696" t="inlineStr">
        <is>
          <t>01_STARTER/ST-072-STD-03/03_Label.docx</t>
        </is>
      </c>
      <c r="F696" t="inlineStr">
        <is>
          <t>529521e4da6a26567072daef0559e504585b4145a3532c94f8b0a895219d4aa2</t>
        </is>
      </c>
      <c r="G696" t="inlineStr">
        <is>
          <t>2026-08-08</t>
        </is>
      </c>
      <c r="H696" s="19" t="inlineStr">
        <is>
          <t>2</t>
        </is>
      </c>
      <c r="I696" t="inlineStr">
        <is>
          <t>Phase I generated Rev.00 Word file — linked; signatures not completed</t>
        </is>
      </c>
      <c r="J696" t="inlineStr">
        <is>
          <t>2026-08-10T19:29:54Z</t>
        </is>
      </c>
      <c r="K696" t="inlineStr">
        <is>
          <t>2026-08-10T19:49:41Z</t>
        </is>
      </c>
    </row>
    <row r="697">
      <c r="A697" s="19" t="inlineStr">
        <is>
          <t>696</t>
        </is>
      </c>
      <c r="B697" s="19" t="inlineStr">
        <is>
          <t>IA-PPWR-STM-ST-072-STD-03-R00</t>
        </is>
      </c>
      <c r="C697" t="inlineStr">
        <is>
          <t>IA-PPWR-STM-ST-072-STD-03-R00</t>
        </is>
      </c>
      <c r="D697" s="19" t="inlineStr">
        <is>
          <t>12</t>
        </is>
      </c>
      <c r="E697" t="inlineStr">
        <is>
          <t>01_STARTER/ST-072-STD-03/04_Shipment_Statement.docx</t>
        </is>
      </c>
      <c r="F697" t="inlineStr">
        <is>
          <t>9c84af5bac29625a570d1dadd93f6ea6d78698f2015fbe879a0f0448d910280c</t>
        </is>
      </c>
      <c r="G697" t="inlineStr">
        <is>
          <t>2026-08-08</t>
        </is>
      </c>
      <c r="H697" s="19" t="inlineStr">
        <is>
          <t>2</t>
        </is>
      </c>
      <c r="I697" t="inlineStr">
        <is>
          <t>Phase I generated Rev.00 Word file — linked; signatures not completed</t>
        </is>
      </c>
      <c r="J697" t="inlineStr">
        <is>
          <t>2026-08-10T19:29:54Z</t>
        </is>
      </c>
      <c r="K697" t="inlineStr">
        <is>
          <t>2026-08-10T19:49:41Z</t>
        </is>
      </c>
    </row>
    <row r="698">
      <c r="A698" s="19" t="inlineStr">
        <is>
          <t>697</t>
        </is>
      </c>
      <c r="B698" s="19" t="inlineStr">
        <is>
          <t>IA-PPWR-TF-ST-072-STD-04-R00</t>
        </is>
      </c>
      <c r="C698" t="inlineStr">
        <is>
          <t>IA-PPWR-TF-ST-072-STD-04-R00</t>
        </is>
      </c>
      <c r="D698" s="19" t="inlineStr">
        <is>
          <t>1</t>
        </is>
      </c>
      <c r="E698" t="inlineStr">
        <is>
          <t>01_STARTER/ST-072-STD-04/01_Technical_File.docx</t>
        </is>
      </c>
      <c r="F698" t="inlineStr">
        <is>
          <t>634cf33e534d815943c9552e4f17f9edb74a2753c8276bdbd3b14c7f5c45048b</t>
        </is>
      </c>
      <c r="G698" t="inlineStr">
        <is>
          <t>2026-08-08</t>
        </is>
      </c>
      <c r="H698" s="19" t="inlineStr">
        <is>
          <t>2</t>
        </is>
      </c>
      <c r="I698" t="inlineStr">
        <is>
          <t>Phase I generated Rev.00 Word file — linked; signatures not completed</t>
        </is>
      </c>
      <c r="J698" t="inlineStr">
        <is>
          <t>2026-08-10T19:29:54Z</t>
        </is>
      </c>
      <c r="K698" t="inlineStr">
        <is>
          <t>2026-08-10T19:49:41Z</t>
        </is>
      </c>
    </row>
    <row r="699">
      <c r="A699" s="19" t="inlineStr">
        <is>
          <t>698</t>
        </is>
      </c>
      <c r="B699" s="19" t="inlineStr">
        <is>
          <t>IA-PPWR-DOC-ST-072-STD-04-R00</t>
        </is>
      </c>
      <c r="C699" t="inlineStr">
        <is>
          <t>IA-PPWR-DOC-ST-072-STD-04-R00</t>
        </is>
      </c>
      <c r="D699" s="19" t="inlineStr">
        <is>
          <t>4</t>
        </is>
      </c>
      <c r="E699" t="inlineStr">
        <is>
          <t>01_STARTER/ST-072-STD-04/02_EU_DoC.docx</t>
        </is>
      </c>
      <c r="F699" t="inlineStr">
        <is>
          <t>ce7454d434cce4c8a690842bcab33207c0b6c25aa41f4f14866c36e11e820cfd</t>
        </is>
      </c>
      <c r="G699" t="inlineStr">
        <is>
          <t>2026-08-08</t>
        </is>
      </c>
      <c r="H699" s="19" t="inlineStr">
        <is>
          <t>2</t>
        </is>
      </c>
      <c r="I699" t="inlineStr">
        <is>
          <t>Phase I generated Rev.00 Word file — linked; signatures not completed</t>
        </is>
      </c>
      <c r="J699" t="inlineStr">
        <is>
          <t>2026-08-10T19:29:54Z</t>
        </is>
      </c>
      <c r="K699" t="inlineStr">
        <is>
          <t>2026-08-10T19:49:41Z</t>
        </is>
      </c>
    </row>
    <row r="700">
      <c r="A700" s="19" t="inlineStr">
        <is>
          <t>699</t>
        </is>
      </c>
      <c r="B700" s="19" t="inlineStr">
        <is>
          <t>IA-PPWR-LBL-ST-072-STD-04-R00</t>
        </is>
      </c>
      <c r="C700" t="inlineStr">
        <is>
          <t>IA-PPWR-LBL-ST-072-STD-04-R00</t>
        </is>
      </c>
      <c r="D700" s="19" t="inlineStr">
        <is>
          <t>11</t>
        </is>
      </c>
      <c r="E700" t="inlineStr">
        <is>
          <t>01_STARTER/ST-072-STD-04/03_Label.docx</t>
        </is>
      </c>
      <c r="F700" t="inlineStr">
        <is>
          <t>f898e453ae63a7205ff7569ccb2c5e5e9f34aad59541283c1798828f85f27f72</t>
        </is>
      </c>
      <c r="G700" t="inlineStr">
        <is>
          <t>2026-08-08</t>
        </is>
      </c>
      <c r="H700" s="19" t="inlineStr">
        <is>
          <t>2</t>
        </is>
      </c>
      <c r="I700" t="inlineStr">
        <is>
          <t>Phase I generated Rev.00 Word file — linked; signatures not completed</t>
        </is>
      </c>
      <c r="J700" t="inlineStr">
        <is>
          <t>2026-08-10T19:29:54Z</t>
        </is>
      </c>
      <c r="K700" t="inlineStr">
        <is>
          <t>2026-08-10T19:49:41Z</t>
        </is>
      </c>
    </row>
    <row r="701">
      <c r="A701" s="19" t="inlineStr">
        <is>
          <t>700</t>
        </is>
      </c>
      <c r="B701" s="19" t="inlineStr">
        <is>
          <t>IA-PPWR-STM-ST-072-STD-04-R00</t>
        </is>
      </c>
      <c r="C701" t="inlineStr">
        <is>
          <t>IA-PPWR-STM-ST-072-STD-04-R00</t>
        </is>
      </c>
      <c r="D701" s="19" t="inlineStr">
        <is>
          <t>12</t>
        </is>
      </c>
      <c r="E701" t="inlineStr">
        <is>
          <t>01_STARTER/ST-072-STD-04/04_Shipment_Statement.docx</t>
        </is>
      </c>
      <c r="F701" t="inlineStr">
        <is>
          <t>1dce9a44be98761fa3774ae3026892e72a104bc0b524f7431e563d8c4c917f37</t>
        </is>
      </c>
      <c r="G701" t="inlineStr">
        <is>
          <t>2026-08-08</t>
        </is>
      </c>
      <c r="H701" s="19" t="inlineStr">
        <is>
          <t>2</t>
        </is>
      </c>
      <c r="I701" t="inlineStr">
        <is>
          <t>Phase I generated Rev.00 Word file — linked; signatures not completed</t>
        </is>
      </c>
      <c r="J701" t="inlineStr">
        <is>
          <t>2026-08-10T19:29:54Z</t>
        </is>
      </c>
      <c r="K701" t="inlineStr">
        <is>
          <t>2026-08-10T19:49:41Z</t>
        </is>
      </c>
    </row>
    <row r="702">
      <c r="A702" s="19" t="inlineStr">
        <is>
          <t>701</t>
        </is>
      </c>
      <c r="B702" s="19" t="inlineStr">
        <is>
          <t>IA-PPWR-TF-ST-072-STD-05-R00</t>
        </is>
      </c>
      <c r="C702" t="inlineStr">
        <is>
          <t>IA-PPWR-TF-ST-072-STD-05-R00</t>
        </is>
      </c>
      <c r="D702" s="19" t="inlineStr">
        <is>
          <t>1</t>
        </is>
      </c>
      <c r="E702" t="inlineStr">
        <is>
          <t>01_STARTER/ST-072-STD-05/01_Technical_File.docx</t>
        </is>
      </c>
      <c r="F702" t="inlineStr">
        <is>
          <t>27ab8f4cc443f2c08e7f059694553a2f303ca4694d14d9e238e38bb1527f2062</t>
        </is>
      </c>
      <c r="G702" t="inlineStr">
        <is>
          <t>2026-08-08</t>
        </is>
      </c>
      <c r="H702" s="19" t="inlineStr">
        <is>
          <t>2</t>
        </is>
      </c>
      <c r="I702" t="inlineStr">
        <is>
          <t>Phase I generated Rev.00 Word file — linked; signatures not completed</t>
        </is>
      </c>
      <c r="J702" t="inlineStr">
        <is>
          <t>2026-08-10T19:29:54Z</t>
        </is>
      </c>
      <c r="K702" t="inlineStr">
        <is>
          <t>2026-08-10T19:49:41Z</t>
        </is>
      </c>
    </row>
    <row r="703">
      <c r="A703" s="19" t="inlineStr">
        <is>
          <t>702</t>
        </is>
      </c>
      <c r="B703" s="19" t="inlineStr">
        <is>
          <t>IA-PPWR-DOC-ST-072-STD-05-R00</t>
        </is>
      </c>
      <c r="C703" t="inlineStr">
        <is>
          <t>IA-PPWR-DOC-ST-072-STD-05-R00</t>
        </is>
      </c>
      <c r="D703" s="19" t="inlineStr">
        <is>
          <t>4</t>
        </is>
      </c>
      <c r="E703" t="inlineStr">
        <is>
          <t>01_STARTER/ST-072-STD-05/02_EU_DoC.docx</t>
        </is>
      </c>
      <c r="F703" t="inlineStr">
        <is>
          <t>5b4b9fb688d6048ab208304ca39c2f791cf6e0a1c0e75d20403eecbdb37ca615</t>
        </is>
      </c>
      <c r="G703" t="inlineStr">
        <is>
          <t>2026-08-08</t>
        </is>
      </c>
      <c r="H703" s="19" t="inlineStr">
        <is>
          <t>2</t>
        </is>
      </c>
      <c r="I703" t="inlineStr">
        <is>
          <t>Phase I generated Rev.00 Word file — linked; signatures not completed</t>
        </is>
      </c>
      <c r="J703" t="inlineStr">
        <is>
          <t>2026-08-10T19:29:54Z</t>
        </is>
      </c>
      <c r="K703" t="inlineStr">
        <is>
          <t>2026-08-10T19:49:41Z</t>
        </is>
      </c>
    </row>
    <row r="704">
      <c r="A704" s="19" t="inlineStr">
        <is>
          <t>703</t>
        </is>
      </c>
      <c r="B704" s="19" t="inlineStr">
        <is>
          <t>IA-PPWR-LBL-ST-072-STD-05-R00</t>
        </is>
      </c>
      <c r="C704" t="inlineStr">
        <is>
          <t>IA-PPWR-LBL-ST-072-STD-05-R00</t>
        </is>
      </c>
      <c r="D704" s="19" t="inlineStr">
        <is>
          <t>11</t>
        </is>
      </c>
      <c r="E704" t="inlineStr">
        <is>
          <t>01_STARTER/ST-072-STD-05/03_Label.docx</t>
        </is>
      </c>
      <c r="F704" t="inlineStr">
        <is>
          <t>59e07bd9bc9573ff87a2c4dc8ce7cf07cd28fabd9e8061e814cf6486a9a4308f</t>
        </is>
      </c>
      <c r="G704" t="inlineStr">
        <is>
          <t>2026-08-08</t>
        </is>
      </c>
      <c r="H704" s="19" t="inlineStr">
        <is>
          <t>2</t>
        </is>
      </c>
      <c r="I704" t="inlineStr">
        <is>
          <t>Phase I generated Rev.00 Word file — linked; signatures not completed</t>
        </is>
      </c>
      <c r="J704" t="inlineStr">
        <is>
          <t>2026-08-10T19:29:54Z</t>
        </is>
      </c>
      <c r="K704" t="inlineStr">
        <is>
          <t>2026-08-10T19:49:41Z</t>
        </is>
      </c>
    </row>
    <row r="705">
      <c r="A705" s="19" t="inlineStr">
        <is>
          <t>704</t>
        </is>
      </c>
      <c r="B705" s="19" t="inlineStr">
        <is>
          <t>IA-PPWR-STM-ST-072-STD-05-R00</t>
        </is>
      </c>
      <c r="C705" t="inlineStr">
        <is>
          <t>IA-PPWR-STM-ST-072-STD-05-R00</t>
        </is>
      </c>
      <c r="D705" s="19" t="inlineStr">
        <is>
          <t>12</t>
        </is>
      </c>
      <c r="E705" t="inlineStr">
        <is>
          <t>01_STARTER/ST-072-STD-05/04_Shipment_Statement.docx</t>
        </is>
      </c>
      <c r="F705" t="inlineStr">
        <is>
          <t>7192cd7be49efc19ab321ad1d250c1f0818bb6402d92612e7bbd4e2c6c48ec38</t>
        </is>
      </c>
      <c r="G705" t="inlineStr">
        <is>
          <t>2026-08-08</t>
        </is>
      </c>
      <c r="H705" s="19" t="inlineStr">
        <is>
          <t>2</t>
        </is>
      </c>
      <c r="I705" t="inlineStr">
        <is>
          <t>Phase I generated Rev.00 Word file — linked; signatures not completed</t>
        </is>
      </c>
      <c r="J705" t="inlineStr">
        <is>
          <t>2026-08-10T19:29:54Z</t>
        </is>
      </c>
      <c r="K705" t="inlineStr">
        <is>
          <t>2026-08-10T19:49:41Z</t>
        </is>
      </c>
    </row>
    <row r="706">
      <c r="A706" s="19" t="inlineStr">
        <is>
          <t>705</t>
        </is>
      </c>
      <c r="B706" s="19" t="inlineStr">
        <is>
          <t>IA-PPWR-TF-ST-072-STD-06-R00</t>
        </is>
      </c>
      <c r="C706" t="inlineStr">
        <is>
          <t>IA-PPWR-TF-ST-072-STD-06-R00</t>
        </is>
      </c>
      <c r="D706" s="19" t="inlineStr">
        <is>
          <t>1</t>
        </is>
      </c>
      <c r="E706" t="inlineStr">
        <is>
          <t>01_STARTER/ST-072-STD-06/01_Technical_File.docx</t>
        </is>
      </c>
      <c r="F706" t="inlineStr">
        <is>
          <t>ee8a6f93ebe0084c3e497ff2f959b91f0df860033b942717e3f0e82705139af8</t>
        </is>
      </c>
      <c r="G706" t="inlineStr">
        <is>
          <t>2026-08-08</t>
        </is>
      </c>
      <c r="H706" s="19" t="inlineStr">
        <is>
          <t>2</t>
        </is>
      </c>
      <c r="I706" t="inlineStr">
        <is>
          <t>Phase I generated Rev.00 Word file — linked; signatures not completed</t>
        </is>
      </c>
      <c r="J706" t="inlineStr">
        <is>
          <t>2026-08-10T19:29:54Z</t>
        </is>
      </c>
      <c r="K706" t="inlineStr">
        <is>
          <t>2026-08-10T19:49:41Z</t>
        </is>
      </c>
    </row>
    <row r="707">
      <c r="A707" s="19" t="inlineStr">
        <is>
          <t>706</t>
        </is>
      </c>
      <c r="B707" s="19" t="inlineStr">
        <is>
          <t>IA-PPWR-DOC-ST-072-STD-06-R00</t>
        </is>
      </c>
      <c r="C707" t="inlineStr">
        <is>
          <t>IA-PPWR-DOC-ST-072-STD-06-R00</t>
        </is>
      </c>
      <c r="D707" s="19" t="inlineStr">
        <is>
          <t>4</t>
        </is>
      </c>
      <c r="E707" t="inlineStr">
        <is>
          <t>01_STARTER/ST-072-STD-06/02_EU_DoC.docx</t>
        </is>
      </c>
      <c r="F707" t="inlineStr">
        <is>
          <t>e67cb131adee57b779f887042412daa334b0dfd37f43f62a91344a2193545a0d</t>
        </is>
      </c>
      <c r="G707" t="inlineStr">
        <is>
          <t>2026-08-08</t>
        </is>
      </c>
      <c r="H707" s="19" t="inlineStr">
        <is>
          <t>2</t>
        </is>
      </c>
      <c r="I707" t="inlineStr">
        <is>
          <t>Phase I generated Rev.00 Word file — linked; signatures not completed</t>
        </is>
      </c>
      <c r="J707" t="inlineStr">
        <is>
          <t>2026-08-10T19:29:54Z</t>
        </is>
      </c>
      <c r="K707" t="inlineStr">
        <is>
          <t>2026-08-10T19:49:41Z</t>
        </is>
      </c>
    </row>
    <row r="708">
      <c r="A708" s="19" t="inlineStr">
        <is>
          <t>707</t>
        </is>
      </c>
      <c r="B708" s="19" t="inlineStr">
        <is>
          <t>IA-PPWR-LBL-ST-072-STD-06-R00</t>
        </is>
      </c>
      <c r="C708" t="inlineStr">
        <is>
          <t>IA-PPWR-LBL-ST-072-STD-06-R00</t>
        </is>
      </c>
      <c r="D708" s="19" t="inlineStr">
        <is>
          <t>11</t>
        </is>
      </c>
      <c r="E708" t="inlineStr">
        <is>
          <t>01_STARTER/ST-072-STD-06/03_Label.docx</t>
        </is>
      </c>
      <c r="F708" t="inlineStr">
        <is>
          <t>1736527b2e434dc5566391bd5de3a8b1998545c22dda0de1971b89f9915652c1</t>
        </is>
      </c>
      <c r="G708" t="inlineStr">
        <is>
          <t>2026-08-08</t>
        </is>
      </c>
      <c r="H708" s="19" t="inlineStr">
        <is>
          <t>2</t>
        </is>
      </c>
      <c r="I708" t="inlineStr">
        <is>
          <t>Phase I generated Rev.00 Word file — linked; signatures not completed</t>
        </is>
      </c>
      <c r="J708" t="inlineStr">
        <is>
          <t>2026-08-10T19:29:54Z</t>
        </is>
      </c>
      <c r="K708" t="inlineStr">
        <is>
          <t>2026-08-10T19:49:41Z</t>
        </is>
      </c>
    </row>
    <row r="709">
      <c r="A709" s="19" t="inlineStr">
        <is>
          <t>708</t>
        </is>
      </c>
      <c r="B709" s="19" t="inlineStr">
        <is>
          <t>IA-PPWR-STM-ST-072-STD-06-R00</t>
        </is>
      </c>
      <c r="C709" t="inlineStr">
        <is>
          <t>IA-PPWR-STM-ST-072-STD-06-R00</t>
        </is>
      </c>
      <c r="D709" s="19" t="inlineStr">
        <is>
          <t>12</t>
        </is>
      </c>
      <c r="E709" t="inlineStr">
        <is>
          <t>01_STARTER/ST-072-STD-06/04_Shipment_Statement.docx</t>
        </is>
      </c>
      <c r="F709" t="inlineStr">
        <is>
          <t>21cb7cbe8454d72006356d98d30342b383ef049b6cb96adb90c2264c353421d6</t>
        </is>
      </c>
      <c r="G709" t="inlineStr">
        <is>
          <t>2026-08-08</t>
        </is>
      </c>
      <c r="H709" s="19" t="inlineStr">
        <is>
          <t>2</t>
        </is>
      </c>
      <c r="I709" t="inlineStr">
        <is>
          <t>Phase I generated Rev.00 Word file — linked; signatures not completed</t>
        </is>
      </c>
      <c r="J709" t="inlineStr">
        <is>
          <t>2026-08-10T19:29:54Z</t>
        </is>
      </c>
      <c r="K709" t="inlineStr">
        <is>
          <t>2026-08-10T19:49:41Z</t>
        </is>
      </c>
    </row>
    <row r="710">
      <c r="A710" s="19" t="inlineStr">
        <is>
          <t>709</t>
        </is>
      </c>
      <c r="B710" s="19" t="inlineStr">
        <is>
          <t>IA-PPWR-TF-ST-072-STD-07-R00</t>
        </is>
      </c>
      <c r="C710" t="inlineStr">
        <is>
          <t>IA-PPWR-TF-ST-072-STD-07-R00</t>
        </is>
      </c>
      <c r="D710" s="19" t="inlineStr">
        <is>
          <t>1</t>
        </is>
      </c>
      <c r="E710" t="inlineStr">
        <is>
          <t>01_STARTER/ST-072-STD-07/01_Technical_File.docx</t>
        </is>
      </c>
      <c r="F710" t="inlineStr">
        <is>
          <t>1a3803b4da416a7cdc3286dd45f59b9a1f398995a8bc7bac883401f4bc480979</t>
        </is>
      </c>
      <c r="G710" t="inlineStr">
        <is>
          <t>2026-08-08</t>
        </is>
      </c>
      <c r="H710" s="19" t="inlineStr">
        <is>
          <t>2</t>
        </is>
      </c>
      <c r="I710" t="inlineStr">
        <is>
          <t>Phase I generated Rev.00 Word file — linked; signatures not completed</t>
        </is>
      </c>
      <c r="J710" t="inlineStr">
        <is>
          <t>2026-08-10T19:29:54Z</t>
        </is>
      </c>
      <c r="K710" t="inlineStr">
        <is>
          <t>2026-08-10T19:49:41Z</t>
        </is>
      </c>
    </row>
    <row r="711">
      <c r="A711" s="19" t="inlineStr">
        <is>
          <t>710</t>
        </is>
      </c>
      <c r="B711" s="19" t="inlineStr">
        <is>
          <t>IA-PPWR-DOC-ST-072-STD-07-R00</t>
        </is>
      </c>
      <c r="C711" t="inlineStr">
        <is>
          <t>IA-PPWR-DOC-ST-072-STD-07-R00</t>
        </is>
      </c>
      <c r="D711" s="19" t="inlineStr">
        <is>
          <t>4</t>
        </is>
      </c>
      <c r="E711" t="inlineStr">
        <is>
          <t>01_STARTER/ST-072-STD-07/02_EU_DoC.docx</t>
        </is>
      </c>
      <c r="F711" t="inlineStr">
        <is>
          <t>3ceb9be0a7415780a4307b919edf2585b4c3e5397bb946821b856ad100b17a2b</t>
        </is>
      </c>
      <c r="G711" t="inlineStr">
        <is>
          <t>2026-08-08</t>
        </is>
      </c>
      <c r="H711" s="19" t="inlineStr">
        <is>
          <t>2</t>
        </is>
      </c>
      <c r="I711" t="inlineStr">
        <is>
          <t>Phase I generated Rev.00 Word file — linked; signatures not completed</t>
        </is>
      </c>
      <c r="J711" t="inlineStr">
        <is>
          <t>2026-08-10T19:29:54Z</t>
        </is>
      </c>
      <c r="K711" t="inlineStr">
        <is>
          <t>2026-08-10T19:49:41Z</t>
        </is>
      </c>
    </row>
    <row r="712">
      <c r="A712" s="19" t="inlineStr">
        <is>
          <t>711</t>
        </is>
      </c>
      <c r="B712" s="19" t="inlineStr">
        <is>
          <t>IA-PPWR-LBL-ST-072-STD-07-R00</t>
        </is>
      </c>
      <c r="C712" t="inlineStr">
        <is>
          <t>IA-PPWR-LBL-ST-072-STD-07-R00</t>
        </is>
      </c>
      <c r="D712" s="19" t="inlineStr">
        <is>
          <t>11</t>
        </is>
      </c>
      <c r="E712" t="inlineStr">
        <is>
          <t>01_STARTER/ST-072-STD-07/03_Label.docx</t>
        </is>
      </c>
      <c r="F712" t="inlineStr">
        <is>
          <t>41d2ab880c93373ec76d1426411bbd91b3aa6f31a11ec286eb85331258f40510</t>
        </is>
      </c>
      <c r="G712" t="inlineStr">
        <is>
          <t>2026-08-08</t>
        </is>
      </c>
      <c r="H712" s="19" t="inlineStr">
        <is>
          <t>2</t>
        </is>
      </c>
      <c r="I712" t="inlineStr">
        <is>
          <t>Phase I generated Rev.00 Word file — linked; signatures not completed</t>
        </is>
      </c>
      <c r="J712" t="inlineStr">
        <is>
          <t>2026-08-10T19:29:54Z</t>
        </is>
      </c>
      <c r="K712" t="inlineStr">
        <is>
          <t>2026-08-10T19:49:41Z</t>
        </is>
      </c>
    </row>
    <row r="713">
      <c r="A713" s="19" t="inlineStr">
        <is>
          <t>712</t>
        </is>
      </c>
      <c r="B713" s="19" t="inlineStr">
        <is>
          <t>IA-PPWR-STM-ST-072-STD-07-R00</t>
        </is>
      </c>
      <c r="C713" t="inlineStr">
        <is>
          <t>IA-PPWR-STM-ST-072-STD-07-R00</t>
        </is>
      </c>
      <c r="D713" s="19" t="inlineStr">
        <is>
          <t>12</t>
        </is>
      </c>
      <c r="E713" t="inlineStr">
        <is>
          <t>01_STARTER/ST-072-STD-07/04_Shipment_Statement.docx</t>
        </is>
      </c>
      <c r="F713" t="inlineStr">
        <is>
          <t>0fc09db9982a4b5fcf3a27f3c03ec62d70f6ab1ae3800b33d9fb9dc1c16b2446</t>
        </is>
      </c>
      <c r="G713" t="inlineStr">
        <is>
          <t>2026-08-08</t>
        </is>
      </c>
      <c r="H713" s="19" t="inlineStr">
        <is>
          <t>2</t>
        </is>
      </c>
      <c r="I713" t="inlineStr">
        <is>
          <t>Phase I generated Rev.00 Word file — linked; signatures not completed</t>
        </is>
      </c>
      <c r="J713" t="inlineStr">
        <is>
          <t>2026-08-10T19:29:54Z</t>
        </is>
      </c>
      <c r="K713" t="inlineStr">
        <is>
          <t>2026-08-10T19:49:41Z</t>
        </is>
      </c>
    </row>
    <row r="714">
      <c r="A714" s="19" t="inlineStr">
        <is>
          <t>713</t>
        </is>
      </c>
      <c r="B714" s="19" t="inlineStr">
        <is>
          <t>IA-PPWR-TF-ST-072-STD-08-R00</t>
        </is>
      </c>
      <c r="C714" t="inlineStr">
        <is>
          <t>IA-PPWR-TF-ST-072-STD-08-R00</t>
        </is>
      </c>
      <c r="D714" s="19" t="inlineStr">
        <is>
          <t>1</t>
        </is>
      </c>
      <c r="E714" t="inlineStr">
        <is>
          <t>01_STARTER/ST-072-STD-08/01_Technical_File.docx</t>
        </is>
      </c>
      <c r="F714" t="inlineStr">
        <is>
          <t>2d306cbcd0bc01ba596ad4aecd80e67ea8ecd2f383d76b9faae38c340eb5ecba</t>
        </is>
      </c>
      <c r="G714" t="inlineStr">
        <is>
          <t>2026-08-08</t>
        </is>
      </c>
      <c r="H714" s="19" t="inlineStr">
        <is>
          <t>2</t>
        </is>
      </c>
      <c r="I714" t="inlineStr">
        <is>
          <t>Phase I generated Rev.00 Word file — linked; signatures not completed</t>
        </is>
      </c>
      <c r="J714" t="inlineStr">
        <is>
          <t>2026-08-10T19:29:54Z</t>
        </is>
      </c>
      <c r="K714" t="inlineStr">
        <is>
          <t>2026-08-10T19:49:41Z</t>
        </is>
      </c>
    </row>
    <row r="715">
      <c r="A715" s="19" t="inlineStr">
        <is>
          <t>714</t>
        </is>
      </c>
      <c r="B715" s="19" t="inlineStr">
        <is>
          <t>IA-PPWR-DOC-ST-072-STD-08-R00</t>
        </is>
      </c>
      <c r="C715" t="inlineStr">
        <is>
          <t>IA-PPWR-DOC-ST-072-STD-08-R00</t>
        </is>
      </c>
      <c r="D715" s="19" t="inlineStr">
        <is>
          <t>4</t>
        </is>
      </c>
      <c r="E715" t="inlineStr">
        <is>
          <t>01_STARTER/ST-072-STD-08/02_EU_DoC.docx</t>
        </is>
      </c>
      <c r="F715" t="inlineStr">
        <is>
          <t>2cecbeedc79ce86db2ef12c7f21b97924019257e97b2590e2228ae3f4b5ce913</t>
        </is>
      </c>
      <c r="G715" t="inlineStr">
        <is>
          <t>2026-08-08</t>
        </is>
      </c>
      <c r="H715" s="19" t="inlineStr">
        <is>
          <t>2</t>
        </is>
      </c>
      <c r="I715" t="inlineStr">
        <is>
          <t>Phase I generated Rev.00 Word file — linked; signatures not completed</t>
        </is>
      </c>
      <c r="J715" t="inlineStr">
        <is>
          <t>2026-08-10T19:29:54Z</t>
        </is>
      </c>
      <c r="K715" t="inlineStr">
        <is>
          <t>2026-08-10T19:49:41Z</t>
        </is>
      </c>
    </row>
    <row r="716">
      <c r="A716" s="19" t="inlineStr">
        <is>
          <t>715</t>
        </is>
      </c>
      <c r="B716" s="19" t="inlineStr">
        <is>
          <t>IA-PPWR-LBL-ST-072-STD-08-R00</t>
        </is>
      </c>
      <c r="C716" t="inlineStr">
        <is>
          <t>IA-PPWR-LBL-ST-072-STD-08-R00</t>
        </is>
      </c>
      <c r="D716" s="19" t="inlineStr">
        <is>
          <t>11</t>
        </is>
      </c>
      <c r="E716" t="inlineStr">
        <is>
          <t>01_STARTER/ST-072-STD-08/03_Label.docx</t>
        </is>
      </c>
      <c r="F716" t="inlineStr">
        <is>
          <t>4cf8d41f010345cb9f40cd9f9c03aff1c9d7ed91ae0103a024c22e717a3933f3</t>
        </is>
      </c>
      <c r="G716" t="inlineStr">
        <is>
          <t>2026-08-08</t>
        </is>
      </c>
      <c r="H716" s="19" t="inlineStr">
        <is>
          <t>2</t>
        </is>
      </c>
      <c r="I716" t="inlineStr">
        <is>
          <t>Phase I generated Rev.00 Word file — linked; signatures not completed</t>
        </is>
      </c>
      <c r="J716" t="inlineStr">
        <is>
          <t>2026-08-10T19:29:54Z</t>
        </is>
      </c>
      <c r="K716" t="inlineStr">
        <is>
          <t>2026-08-10T19:49:41Z</t>
        </is>
      </c>
    </row>
    <row r="717">
      <c r="A717" s="19" t="inlineStr">
        <is>
          <t>716</t>
        </is>
      </c>
      <c r="B717" s="19" t="inlineStr">
        <is>
          <t>IA-PPWR-STM-ST-072-STD-08-R00</t>
        </is>
      </c>
      <c r="C717" t="inlineStr">
        <is>
          <t>IA-PPWR-STM-ST-072-STD-08-R00</t>
        </is>
      </c>
      <c r="D717" s="19" t="inlineStr">
        <is>
          <t>12</t>
        </is>
      </c>
      <c r="E717" t="inlineStr">
        <is>
          <t>01_STARTER/ST-072-STD-08/04_Shipment_Statement.docx</t>
        </is>
      </c>
      <c r="F717" t="inlineStr">
        <is>
          <t>f1a3165c6e9142bcfcbab09d84e1f20add8dc12da869af49abb8a5839749491b</t>
        </is>
      </c>
      <c r="G717" t="inlineStr">
        <is>
          <t>2026-08-08</t>
        </is>
      </c>
      <c r="H717" s="19" t="inlineStr">
        <is>
          <t>2</t>
        </is>
      </c>
      <c r="I717" t="inlineStr">
        <is>
          <t>Phase I generated Rev.00 Word file — linked; signatures not completed</t>
        </is>
      </c>
      <c r="J717" t="inlineStr">
        <is>
          <t>2026-08-10T19:29:54Z</t>
        </is>
      </c>
      <c r="K717" t="inlineStr">
        <is>
          <t>2026-08-10T19:49:41Z</t>
        </is>
      </c>
    </row>
    <row r="718">
      <c r="A718" s="19" t="inlineStr">
        <is>
          <t>717</t>
        </is>
      </c>
      <c r="B718" s="19" t="inlineStr">
        <is>
          <t>IA-PPWR-TF-ST-072-STD-09-R00</t>
        </is>
      </c>
      <c r="C718" t="inlineStr">
        <is>
          <t>IA-PPWR-TF-ST-072-STD-09-R00</t>
        </is>
      </c>
      <c r="D718" s="19" t="inlineStr">
        <is>
          <t>1</t>
        </is>
      </c>
      <c r="E718" t="inlineStr">
        <is>
          <t>01_STARTER/ST-072-STD-09/01_Technical_File.docx</t>
        </is>
      </c>
      <c r="F718" t="inlineStr">
        <is>
          <t>96a2b1ee98fbb6753ca6390f7fe63ab901555b0d5229ecbe9268c9ec0016daa8</t>
        </is>
      </c>
      <c r="G718" t="inlineStr">
        <is>
          <t>2026-08-08</t>
        </is>
      </c>
      <c r="H718" s="19" t="inlineStr">
        <is>
          <t>2</t>
        </is>
      </c>
      <c r="I718" t="inlineStr">
        <is>
          <t>Phase I generated Rev.00 Word file — linked; signatures not completed</t>
        </is>
      </c>
      <c r="J718" t="inlineStr">
        <is>
          <t>2026-08-10T19:29:54Z</t>
        </is>
      </c>
      <c r="K718" t="inlineStr">
        <is>
          <t>2026-08-10T19:49:41Z</t>
        </is>
      </c>
    </row>
    <row r="719">
      <c r="A719" s="19" t="inlineStr">
        <is>
          <t>718</t>
        </is>
      </c>
      <c r="B719" s="19" t="inlineStr">
        <is>
          <t>IA-PPWR-DOC-ST-072-STD-09-R00</t>
        </is>
      </c>
      <c r="C719" t="inlineStr">
        <is>
          <t>IA-PPWR-DOC-ST-072-STD-09-R00</t>
        </is>
      </c>
      <c r="D719" s="19" t="inlineStr">
        <is>
          <t>4</t>
        </is>
      </c>
      <c r="E719" t="inlineStr">
        <is>
          <t>01_STARTER/ST-072-STD-09/02_EU_DoC.docx</t>
        </is>
      </c>
      <c r="F719" t="inlineStr">
        <is>
          <t>397e8e37b34a49f5e2f414f4baa9f29efb0b82359845239fb458cf794da8ac06</t>
        </is>
      </c>
      <c r="G719" t="inlineStr">
        <is>
          <t>2026-08-08</t>
        </is>
      </c>
      <c r="H719" s="19" t="inlineStr">
        <is>
          <t>2</t>
        </is>
      </c>
      <c r="I719" t="inlineStr">
        <is>
          <t>Phase I generated Rev.00 Word file — linked; signatures not completed</t>
        </is>
      </c>
      <c r="J719" t="inlineStr">
        <is>
          <t>2026-08-10T19:29:54Z</t>
        </is>
      </c>
      <c r="K719" t="inlineStr">
        <is>
          <t>2026-08-10T19:49:41Z</t>
        </is>
      </c>
    </row>
    <row r="720">
      <c r="A720" s="19" t="inlineStr">
        <is>
          <t>719</t>
        </is>
      </c>
      <c r="B720" s="19" t="inlineStr">
        <is>
          <t>IA-PPWR-LBL-ST-072-STD-09-R00</t>
        </is>
      </c>
      <c r="C720" t="inlineStr">
        <is>
          <t>IA-PPWR-LBL-ST-072-STD-09-R00</t>
        </is>
      </c>
      <c r="D720" s="19" t="inlineStr">
        <is>
          <t>11</t>
        </is>
      </c>
      <c r="E720" t="inlineStr">
        <is>
          <t>01_STARTER/ST-072-STD-09/03_Label.docx</t>
        </is>
      </c>
      <c r="F720" t="inlineStr">
        <is>
          <t>52f73965c4566ab0e2d6d8b44d739639987ec25ff967d3e99011011c8a2684e0</t>
        </is>
      </c>
      <c r="G720" t="inlineStr">
        <is>
          <t>2026-08-08</t>
        </is>
      </c>
      <c r="H720" s="19" t="inlineStr">
        <is>
          <t>2</t>
        </is>
      </c>
      <c r="I720" t="inlineStr">
        <is>
          <t>Phase I generated Rev.00 Word file — linked; signatures not completed</t>
        </is>
      </c>
      <c r="J720" t="inlineStr">
        <is>
          <t>2026-08-10T19:29:54Z</t>
        </is>
      </c>
      <c r="K720" t="inlineStr">
        <is>
          <t>2026-08-10T19:49:41Z</t>
        </is>
      </c>
    </row>
    <row r="721">
      <c r="A721" s="19" t="inlineStr">
        <is>
          <t>720</t>
        </is>
      </c>
      <c r="B721" s="19" t="inlineStr">
        <is>
          <t>IA-PPWR-STM-ST-072-STD-09-R00</t>
        </is>
      </c>
      <c r="C721" t="inlineStr">
        <is>
          <t>IA-PPWR-STM-ST-072-STD-09-R00</t>
        </is>
      </c>
      <c r="D721" s="19" t="inlineStr">
        <is>
          <t>12</t>
        </is>
      </c>
      <c r="E721" t="inlineStr">
        <is>
          <t>01_STARTER/ST-072-STD-09/04_Shipment_Statement.docx</t>
        </is>
      </c>
      <c r="F721" t="inlineStr">
        <is>
          <t>98dd903d52896c59f6fb75dd74bad0aa45172cbe260f79b6cc3df3cab275e491</t>
        </is>
      </c>
      <c r="G721" t="inlineStr">
        <is>
          <t>2026-08-08</t>
        </is>
      </c>
      <c r="H721" s="19" t="inlineStr">
        <is>
          <t>2</t>
        </is>
      </c>
      <c r="I721" t="inlineStr">
        <is>
          <t>Phase I generated Rev.00 Word file — linked; signatures not completed</t>
        </is>
      </c>
      <c r="J721" t="inlineStr">
        <is>
          <t>2026-08-10T19:29:54Z</t>
        </is>
      </c>
      <c r="K721" t="inlineStr">
        <is>
          <t>2026-08-10T19:49:41Z</t>
        </is>
      </c>
    </row>
    <row r="722">
      <c r="A722" s="19" t="inlineStr">
        <is>
          <t>721</t>
        </is>
      </c>
      <c r="B722" s="19" t="inlineStr">
        <is>
          <t>IA-PPWR-TF-ST-072-STD-10-R00</t>
        </is>
      </c>
      <c r="C722" t="inlineStr">
        <is>
          <t>IA-PPWR-TF-ST-072-STD-10-R00</t>
        </is>
      </c>
      <c r="D722" s="19" t="inlineStr">
        <is>
          <t>1</t>
        </is>
      </c>
      <c r="E722" t="inlineStr">
        <is>
          <t>01_STARTER/ST-072-STD-10/01_Technical_File.docx</t>
        </is>
      </c>
      <c r="F722" t="inlineStr">
        <is>
          <t>a992d5d5cd3f5a965ef89d03ecb347279fde13e6360c195d0cb8992d6a1d1f2b</t>
        </is>
      </c>
      <c r="G722" t="inlineStr">
        <is>
          <t>2026-08-08</t>
        </is>
      </c>
      <c r="H722" s="19" t="inlineStr">
        <is>
          <t>2</t>
        </is>
      </c>
      <c r="I722" t="inlineStr">
        <is>
          <t>Phase I generated Rev.00 Word file — linked; signatures not completed</t>
        </is>
      </c>
      <c r="J722" t="inlineStr">
        <is>
          <t>2026-08-10T19:29:54Z</t>
        </is>
      </c>
      <c r="K722" t="inlineStr">
        <is>
          <t>2026-08-10T19:49:41Z</t>
        </is>
      </c>
    </row>
    <row r="723">
      <c r="A723" s="19" t="inlineStr">
        <is>
          <t>722</t>
        </is>
      </c>
      <c r="B723" s="19" t="inlineStr">
        <is>
          <t>IA-PPWR-DOC-ST-072-STD-10-R00</t>
        </is>
      </c>
      <c r="C723" t="inlineStr">
        <is>
          <t>IA-PPWR-DOC-ST-072-STD-10-R00</t>
        </is>
      </c>
      <c r="D723" s="19" t="inlineStr">
        <is>
          <t>4</t>
        </is>
      </c>
      <c r="E723" t="inlineStr">
        <is>
          <t>01_STARTER/ST-072-STD-10/02_EU_DoC.docx</t>
        </is>
      </c>
      <c r="F723" t="inlineStr">
        <is>
          <t>5bda3a1f0124e174a6b7bbd9dad896617e08ece9b92a04a6eb7da13683384e15</t>
        </is>
      </c>
      <c r="G723" t="inlineStr">
        <is>
          <t>2026-08-08</t>
        </is>
      </c>
      <c r="H723" s="19" t="inlineStr">
        <is>
          <t>2</t>
        </is>
      </c>
      <c r="I723" t="inlineStr">
        <is>
          <t>Phase I generated Rev.00 Word file — linked; signatures not completed</t>
        </is>
      </c>
      <c r="J723" t="inlineStr">
        <is>
          <t>2026-08-10T19:29:54Z</t>
        </is>
      </c>
      <c r="K723" t="inlineStr">
        <is>
          <t>2026-08-10T19:49:41Z</t>
        </is>
      </c>
    </row>
    <row r="724">
      <c r="A724" s="19" t="inlineStr">
        <is>
          <t>723</t>
        </is>
      </c>
      <c r="B724" s="19" t="inlineStr">
        <is>
          <t>IA-PPWR-LBL-ST-072-STD-10-R00</t>
        </is>
      </c>
      <c r="C724" t="inlineStr">
        <is>
          <t>IA-PPWR-LBL-ST-072-STD-10-R00</t>
        </is>
      </c>
      <c r="D724" s="19" t="inlineStr">
        <is>
          <t>11</t>
        </is>
      </c>
      <c r="E724" t="inlineStr">
        <is>
          <t>01_STARTER/ST-072-STD-10/03_Label.docx</t>
        </is>
      </c>
      <c r="F724" t="inlineStr">
        <is>
          <t>26ace3f0bd73ed68eb7c1981846501e3096d9ccc0ca405e16039e7cffd5d623e</t>
        </is>
      </c>
      <c r="G724" t="inlineStr">
        <is>
          <t>2026-08-08</t>
        </is>
      </c>
      <c r="H724" s="19" t="inlineStr">
        <is>
          <t>2</t>
        </is>
      </c>
      <c r="I724" t="inlineStr">
        <is>
          <t>Phase I generated Rev.00 Word file — linked; signatures not completed</t>
        </is>
      </c>
      <c r="J724" t="inlineStr">
        <is>
          <t>2026-08-10T19:29:54Z</t>
        </is>
      </c>
      <c r="K724" t="inlineStr">
        <is>
          <t>2026-08-10T19:49:41Z</t>
        </is>
      </c>
    </row>
    <row r="725">
      <c r="A725" s="19" t="inlineStr">
        <is>
          <t>724</t>
        </is>
      </c>
      <c r="B725" s="19" t="inlineStr">
        <is>
          <t>IA-PPWR-STM-ST-072-STD-10-R00</t>
        </is>
      </c>
      <c r="C725" t="inlineStr">
        <is>
          <t>IA-PPWR-STM-ST-072-STD-10-R00</t>
        </is>
      </c>
      <c r="D725" s="19" t="inlineStr">
        <is>
          <t>12</t>
        </is>
      </c>
      <c r="E725" t="inlineStr">
        <is>
          <t>01_STARTER/ST-072-STD-10/04_Shipment_Statement.docx</t>
        </is>
      </c>
      <c r="F725" t="inlineStr">
        <is>
          <t>bb1145c5f63071fafe86d3b1393241b514589b471feb116cce19bf34124e6690</t>
        </is>
      </c>
      <c r="G725" t="inlineStr">
        <is>
          <t>2026-08-08</t>
        </is>
      </c>
      <c r="H725" s="19" t="inlineStr">
        <is>
          <t>2</t>
        </is>
      </c>
      <c r="I725" t="inlineStr">
        <is>
          <t>Phase I generated Rev.00 Word file — linked; signatures not completed</t>
        </is>
      </c>
      <c r="J725" t="inlineStr">
        <is>
          <t>2026-08-10T19:29:54Z</t>
        </is>
      </c>
      <c r="K725" t="inlineStr">
        <is>
          <t>2026-08-10T19:49:41Z</t>
        </is>
      </c>
    </row>
    <row r="726">
      <c r="A726" s="19" t="inlineStr">
        <is>
          <t>725</t>
        </is>
      </c>
      <c r="B726" s="19" t="inlineStr">
        <is>
          <t>IA-PPWR-TF-ST-072-STD-11-R00</t>
        </is>
      </c>
      <c r="C726" t="inlineStr">
        <is>
          <t>IA-PPWR-TF-ST-072-STD-11-R00</t>
        </is>
      </c>
      <c r="D726" s="19" t="inlineStr">
        <is>
          <t>1</t>
        </is>
      </c>
      <c r="E726" t="inlineStr">
        <is>
          <t>01_STARTER/ST-072-STD-11/01_Technical_File.docx</t>
        </is>
      </c>
      <c r="F726" t="inlineStr">
        <is>
          <t>53f83744d3bcd3b0b5428f1802ef3b3c87a97727d891d40a6e6ef94a3f2d9ab5</t>
        </is>
      </c>
      <c r="G726" t="inlineStr">
        <is>
          <t>2026-08-08</t>
        </is>
      </c>
      <c r="H726" s="19" t="inlineStr">
        <is>
          <t>2</t>
        </is>
      </c>
      <c r="I726" t="inlineStr">
        <is>
          <t>Phase I generated Rev.00 Word file — linked; signatures not completed</t>
        </is>
      </c>
      <c r="J726" t="inlineStr">
        <is>
          <t>2026-08-10T19:29:54Z</t>
        </is>
      </c>
      <c r="K726" t="inlineStr">
        <is>
          <t>2026-08-10T19:49:41Z</t>
        </is>
      </c>
    </row>
    <row r="727">
      <c r="A727" s="19" t="inlineStr">
        <is>
          <t>726</t>
        </is>
      </c>
      <c r="B727" s="19" t="inlineStr">
        <is>
          <t>IA-PPWR-DOC-ST-072-STD-11-R00</t>
        </is>
      </c>
      <c r="C727" t="inlineStr">
        <is>
          <t>IA-PPWR-DOC-ST-072-STD-11-R00</t>
        </is>
      </c>
      <c r="D727" s="19" t="inlineStr">
        <is>
          <t>4</t>
        </is>
      </c>
      <c r="E727" t="inlineStr">
        <is>
          <t>01_STARTER/ST-072-STD-11/02_EU_DoC.docx</t>
        </is>
      </c>
      <c r="F727" t="inlineStr">
        <is>
          <t>bbb2620fb1c9c356aa60182a1a07779a4f58e189bd70a1eab2a8d89433cf692f</t>
        </is>
      </c>
      <c r="G727" t="inlineStr">
        <is>
          <t>2026-08-08</t>
        </is>
      </c>
      <c r="H727" s="19" t="inlineStr">
        <is>
          <t>2</t>
        </is>
      </c>
      <c r="I727" t="inlineStr">
        <is>
          <t>Phase I generated Rev.00 Word file — linked; signatures not completed</t>
        </is>
      </c>
      <c r="J727" t="inlineStr">
        <is>
          <t>2026-08-10T19:29:54Z</t>
        </is>
      </c>
      <c r="K727" t="inlineStr">
        <is>
          <t>2026-08-10T19:49:41Z</t>
        </is>
      </c>
    </row>
    <row r="728">
      <c r="A728" s="19" t="inlineStr">
        <is>
          <t>727</t>
        </is>
      </c>
      <c r="B728" s="19" t="inlineStr">
        <is>
          <t>IA-PPWR-LBL-ST-072-STD-11-R00</t>
        </is>
      </c>
      <c r="C728" t="inlineStr">
        <is>
          <t>IA-PPWR-LBL-ST-072-STD-11-R00</t>
        </is>
      </c>
      <c r="D728" s="19" t="inlineStr">
        <is>
          <t>11</t>
        </is>
      </c>
      <c r="E728" t="inlineStr">
        <is>
          <t>01_STARTER/ST-072-STD-11/03_Label.docx</t>
        </is>
      </c>
      <c r="F728" t="inlineStr">
        <is>
          <t>fa05927709fbf76f4b59079e40ecc441445818e5107bb0ef53ee391f64167bf2</t>
        </is>
      </c>
      <c r="G728" t="inlineStr">
        <is>
          <t>2026-08-08</t>
        </is>
      </c>
      <c r="H728" s="19" t="inlineStr">
        <is>
          <t>2</t>
        </is>
      </c>
      <c r="I728" t="inlineStr">
        <is>
          <t>Phase I generated Rev.00 Word file — linked; signatures not completed</t>
        </is>
      </c>
      <c r="J728" t="inlineStr">
        <is>
          <t>2026-08-10T19:29:54Z</t>
        </is>
      </c>
      <c r="K728" t="inlineStr">
        <is>
          <t>2026-08-10T19:49:41Z</t>
        </is>
      </c>
    </row>
    <row r="729">
      <c r="A729" s="19" t="inlineStr">
        <is>
          <t>728</t>
        </is>
      </c>
      <c r="B729" s="19" t="inlineStr">
        <is>
          <t>IA-PPWR-STM-ST-072-STD-11-R00</t>
        </is>
      </c>
      <c r="C729" t="inlineStr">
        <is>
          <t>IA-PPWR-STM-ST-072-STD-11-R00</t>
        </is>
      </c>
      <c r="D729" s="19" t="inlineStr">
        <is>
          <t>12</t>
        </is>
      </c>
      <c r="E729" t="inlineStr">
        <is>
          <t>01_STARTER/ST-072-STD-11/04_Shipment_Statement.docx</t>
        </is>
      </c>
      <c r="F729" t="inlineStr">
        <is>
          <t>ff3492e8034fd6ae56b6643fafbef8fde18bcc527097b27ca4c843d605c05400</t>
        </is>
      </c>
      <c r="G729" t="inlineStr">
        <is>
          <t>2026-08-08</t>
        </is>
      </c>
      <c r="H729" s="19" t="inlineStr">
        <is>
          <t>2</t>
        </is>
      </c>
      <c r="I729" t="inlineStr">
        <is>
          <t>Phase I generated Rev.00 Word file — linked; signatures not completed</t>
        </is>
      </c>
      <c r="J729" t="inlineStr">
        <is>
          <t>2026-08-10T19:29:54Z</t>
        </is>
      </c>
      <c r="K729" t="inlineStr">
        <is>
          <t>2026-08-10T19:49:41Z</t>
        </is>
      </c>
    </row>
    <row r="730">
      <c r="A730" s="19" t="inlineStr">
        <is>
          <t>729</t>
        </is>
      </c>
      <c r="B730" s="19" t="inlineStr">
        <is>
          <t>IA-PPWR-TF-ST-072-STD-12-R00</t>
        </is>
      </c>
      <c r="C730" t="inlineStr">
        <is>
          <t>IA-PPWR-TF-ST-072-STD-12-R00</t>
        </is>
      </c>
      <c r="D730" s="19" t="inlineStr">
        <is>
          <t>1</t>
        </is>
      </c>
      <c r="E730" t="inlineStr">
        <is>
          <t>01_STARTER/ST-072-STD-12/01_Technical_File.docx</t>
        </is>
      </c>
      <c r="F730" t="inlineStr">
        <is>
          <t>06d50dfbb31b461d9254c1e4368235b458ad785f9ef813bcb11ad5b6c0b5b5f4</t>
        </is>
      </c>
      <c r="G730" t="inlineStr">
        <is>
          <t>2026-08-08</t>
        </is>
      </c>
      <c r="H730" s="19" t="inlineStr">
        <is>
          <t>2</t>
        </is>
      </c>
      <c r="I730" t="inlineStr">
        <is>
          <t>Phase I generated Rev.00 Word file — linked; signatures not completed</t>
        </is>
      </c>
      <c r="J730" t="inlineStr">
        <is>
          <t>2026-08-10T19:29:54Z</t>
        </is>
      </c>
      <c r="K730" t="inlineStr">
        <is>
          <t>2026-08-10T19:49:41Z</t>
        </is>
      </c>
    </row>
    <row r="731">
      <c r="A731" s="19" t="inlineStr">
        <is>
          <t>730</t>
        </is>
      </c>
      <c r="B731" s="19" t="inlineStr">
        <is>
          <t>IA-PPWR-DOC-ST-072-STD-12-R00</t>
        </is>
      </c>
      <c r="C731" t="inlineStr">
        <is>
          <t>IA-PPWR-DOC-ST-072-STD-12-R00</t>
        </is>
      </c>
      <c r="D731" s="19" t="inlineStr">
        <is>
          <t>4</t>
        </is>
      </c>
      <c r="E731" t="inlineStr">
        <is>
          <t>01_STARTER/ST-072-STD-12/02_EU_DoC.docx</t>
        </is>
      </c>
      <c r="F731" t="inlineStr">
        <is>
          <t>824a417bd5f8260c5f78bf2a701c6a8339f8cb9aeedcc3dcb20af2f419313964</t>
        </is>
      </c>
      <c r="G731" t="inlineStr">
        <is>
          <t>2026-08-08</t>
        </is>
      </c>
      <c r="H731" s="19" t="inlineStr">
        <is>
          <t>2</t>
        </is>
      </c>
      <c r="I731" t="inlineStr">
        <is>
          <t>Phase I generated Rev.00 Word file — linked; signatures not completed</t>
        </is>
      </c>
      <c r="J731" t="inlineStr">
        <is>
          <t>2026-08-10T19:29:54Z</t>
        </is>
      </c>
      <c r="K731" t="inlineStr">
        <is>
          <t>2026-08-10T19:49:41Z</t>
        </is>
      </c>
    </row>
    <row r="732">
      <c r="A732" s="19" t="inlineStr">
        <is>
          <t>731</t>
        </is>
      </c>
      <c r="B732" s="19" t="inlineStr">
        <is>
          <t>IA-PPWR-LBL-ST-072-STD-12-R00</t>
        </is>
      </c>
      <c r="C732" t="inlineStr">
        <is>
          <t>IA-PPWR-LBL-ST-072-STD-12-R00</t>
        </is>
      </c>
      <c r="D732" s="19" t="inlineStr">
        <is>
          <t>11</t>
        </is>
      </c>
      <c r="E732" t="inlineStr">
        <is>
          <t>01_STARTER/ST-072-STD-12/03_Label.docx</t>
        </is>
      </c>
      <c r="F732" t="inlineStr">
        <is>
          <t>772ff9cfd39cb42c75bb56aad7002f3b8c60ee22b0eed979c64fe554274c146e</t>
        </is>
      </c>
      <c r="G732" t="inlineStr">
        <is>
          <t>2026-08-08</t>
        </is>
      </c>
      <c r="H732" s="19" t="inlineStr">
        <is>
          <t>2</t>
        </is>
      </c>
      <c r="I732" t="inlineStr">
        <is>
          <t>Phase I generated Rev.00 Word file — linked; signatures not completed</t>
        </is>
      </c>
      <c r="J732" t="inlineStr">
        <is>
          <t>2026-08-10T19:29:54Z</t>
        </is>
      </c>
      <c r="K732" t="inlineStr">
        <is>
          <t>2026-08-10T19:49:41Z</t>
        </is>
      </c>
    </row>
    <row r="733">
      <c r="A733" s="19" t="inlineStr">
        <is>
          <t>732</t>
        </is>
      </c>
      <c r="B733" s="19" t="inlineStr">
        <is>
          <t>IA-PPWR-STM-ST-072-STD-12-R00</t>
        </is>
      </c>
      <c r="C733" t="inlineStr">
        <is>
          <t>IA-PPWR-STM-ST-072-STD-12-R00</t>
        </is>
      </c>
      <c r="D733" s="19" t="inlineStr">
        <is>
          <t>12</t>
        </is>
      </c>
      <c r="E733" t="inlineStr">
        <is>
          <t>01_STARTER/ST-072-STD-12/04_Shipment_Statement.docx</t>
        </is>
      </c>
      <c r="F733" t="inlineStr">
        <is>
          <t>927b205c4f98fc4e61ab343186f9bff5499334173718513e81923526af131573</t>
        </is>
      </c>
      <c r="G733" t="inlineStr">
        <is>
          <t>2026-08-08</t>
        </is>
      </c>
      <c r="H733" s="19" t="inlineStr">
        <is>
          <t>2</t>
        </is>
      </c>
      <c r="I733" t="inlineStr">
        <is>
          <t>Phase I generated Rev.00 Word file — linked; signatures not completed</t>
        </is>
      </c>
      <c r="J733" t="inlineStr">
        <is>
          <t>2026-08-10T19:29:54Z</t>
        </is>
      </c>
      <c r="K733" t="inlineStr">
        <is>
          <t>2026-08-10T19:49:41Z</t>
        </is>
      </c>
    </row>
    <row r="734">
      <c r="A734" s="19" t="inlineStr">
        <is>
          <t>733</t>
        </is>
      </c>
      <c r="B734" s="19" t="inlineStr">
        <is>
          <t>IA-PPWR-TF-ST-072-STD-13-R00</t>
        </is>
      </c>
      <c r="C734" t="inlineStr">
        <is>
          <t>IA-PPWR-TF-ST-072-STD-13-R00</t>
        </is>
      </c>
      <c r="D734" s="19" t="inlineStr">
        <is>
          <t>1</t>
        </is>
      </c>
      <c r="E734" t="inlineStr">
        <is>
          <t>01_STARTER/ST-072-STD-13/01_Technical_File.docx</t>
        </is>
      </c>
      <c r="F734" t="inlineStr">
        <is>
          <t>fa8ba810c7d7c5ca2870090cf87c500bda11f2e23d3111d79710c12615aed34a</t>
        </is>
      </c>
      <c r="G734" t="inlineStr">
        <is>
          <t>2026-08-08</t>
        </is>
      </c>
      <c r="H734" s="19" t="inlineStr">
        <is>
          <t>2</t>
        </is>
      </c>
      <c r="I734" t="inlineStr">
        <is>
          <t>Phase I generated Rev.00 Word file — linked; signatures not completed</t>
        </is>
      </c>
      <c r="J734" t="inlineStr">
        <is>
          <t>2026-08-10T19:29:54Z</t>
        </is>
      </c>
      <c r="K734" t="inlineStr">
        <is>
          <t>2026-08-10T19:49:41Z</t>
        </is>
      </c>
    </row>
    <row r="735">
      <c r="A735" s="19" t="inlineStr">
        <is>
          <t>734</t>
        </is>
      </c>
      <c r="B735" s="19" t="inlineStr">
        <is>
          <t>IA-PPWR-DOC-ST-072-STD-13-R00</t>
        </is>
      </c>
      <c r="C735" t="inlineStr">
        <is>
          <t>IA-PPWR-DOC-ST-072-STD-13-R00</t>
        </is>
      </c>
      <c r="D735" s="19" t="inlineStr">
        <is>
          <t>4</t>
        </is>
      </c>
      <c r="E735" t="inlineStr">
        <is>
          <t>01_STARTER/ST-072-STD-13/02_EU_DoC.docx</t>
        </is>
      </c>
      <c r="F735" t="inlineStr">
        <is>
          <t>dae18f2626c1e6243a9d0fab0854d619bef20e45512edbf6057ee11a52d958e0</t>
        </is>
      </c>
      <c r="G735" t="inlineStr">
        <is>
          <t>2026-08-08</t>
        </is>
      </c>
      <c r="H735" s="19" t="inlineStr">
        <is>
          <t>2</t>
        </is>
      </c>
      <c r="I735" t="inlineStr">
        <is>
          <t>Phase I generated Rev.00 Word file — linked; signatures not completed</t>
        </is>
      </c>
      <c r="J735" t="inlineStr">
        <is>
          <t>2026-08-10T19:29:54Z</t>
        </is>
      </c>
      <c r="K735" t="inlineStr">
        <is>
          <t>2026-08-10T19:49:41Z</t>
        </is>
      </c>
    </row>
    <row r="736">
      <c r="A736" s="19" t="inlineStr">
        <is>
          <t>735</t>
        </is>
      </c>
      <c r="B736" s="19" t="inlineStr">
        <is>
          <t>IA-PPWR-LBL-ST-072-STD-13-R00</t>
        </is>
      </c>
      <c r="C736" t="inlineStr">
        <is>
          <t>IA-PPWR-LBL-ST-072-STD-13-R00</t>
        </is>
      </c>
      <c r="D736" s="19" t="inlineStr">
        <is>
          <t>11</t>
        </is>
      </c>
      <c r="E736" t="inlineStr">
        <is>
          <t>01_STARTER/ST-072-STD-13/03_Label.docx</t>
        </is>
      </c>
      <c r="F736" t="inlineStr">
        <is>
          <t>a08d5ad0ae3aa2f9f0106e6568a6a89dc308315406a3bf12113f5faa1f0fb534</t>
        </is>
      </c>
      <c r="G736" t="inlineStr">
        <is>
          <t>2026-08-08</t>
        </is>
      </c>
      <c r="H736" s="19" t="inlineStr">
        <is>
          <t>2</t>
        </is>
      </c>
      <c r="I736" t="inlineStr">
        <is>
          <t>Phase I generated Rev.00 Word file — linked; signatures not completed</t>
        </is>
      </c>
      <c r="J736" t="inlineStr">
        <is>
          <t>2026-08-10T19:29:54Z</t>
        </is>
      </c>
      <c r="K736" t="inlineStr">
        <is>
          <t>2026-08-10T19:49:41Z</t>
        </is>
      </c>
    </row>
    <row r="737">
      <c r="A737" s="19" t="inlineStr">
        <is>
          <t>736</t>
        </is>
      </c>
      <c r="B737" s="19" t="inlineStr">
        <is>
          <t>IA-PPWR-STM-ST-072-STD-13-R00</t>
        </is>
      </c>
      <c r="C737" t="inlineStr">
        <is>
          <t>IA-PPWR-STM-ST-072-STD-13-R00</t>
        </is>
      </c>
      <c r="D737" s="19" t="inlineStr">
        <is>
          <t>12</t>
        </is>
      </c>
      <c r="E737" t="inlineStr">
        <is>
          <t>01_STARTER/ST-072-STD-13/04_Shipment_Statement.docx</t>
        </is>
      </c>
      <c r="F737" t="inlineStr">
        <is>
          <t>4ead8264d275e4554a398dc79408f2c8a55d1bf81b02e083fef0370d0bdd33c6</t>
        </is>
      </c>
      <c r="G737" t="inlineStr">
        <is>
          <t>2026-08-08</t>
        </is>
      </c>
      <c r="H737" s="19" t="inlineStr">
        <is>
          <t>2</t>
        </is>
      </c>
      <c r="I737" t="inlineStr">
        <is>
          <t>Phase I generated Rev.00 Word file — linked; signatures not completed</t>
        </is>
      </c>
      <c r="J737" t="inlineStr">
        <is>
          <t>2026-08-10T19:29:54Z</t>
        </is>
      </c>
      <c r="K737" t="inlineStr">
        <is>
          <t>2026-08-10T19:49:41Z</t>
        </is>
      </c>
    </row>
    <row r="738">
      <c r="A738" s="19" t="inlineStr">
        <is>
          <t>737</t>
        </is>
      </c>
      <c r="B738" s="19" t="inlineStr">
        <is>
          <t>IA-PPWR-TF-ST-072-STD-14-R00</t>
        </is>
      </c>
      <c r="C738" t="inlineStr">
        <is>
          <t>IA-PPWR-TF-ST-072-STD-14-R00</t>
        </is>
      </c>
      <c r="D738" s="19" t="inlineStr">
        <is>
          <t>1</t>
        </is>
      </c>
      <c r="E738" t="inlineStr">
        <is>
          <t>01_STARTER/ST-072-STD-14/01_Technical_File.docx</t>
        </is>
      </c>
      <c r="F738" t="inlineStr">
        <is>
          <t>09ed137ad35b5d96e5f5ddca76869c2ec55f4dc4e38c22a9968386eeecec795d</t>
        </is>
      </c>
      <c r="G738" t="inlineStr">
        <is>
          <t>2026-08-08</t>
        </is>
      </c>
      <c r="H738" s="19" t="inlineStr">
        <is>
          <t>2</t>
        </is>
      </c>
      <c r="I738" t="inlineStr">
        <is>
          <t>Phase I generated Rev.00 Word file — linked; signatures not completed</t>
        </is>
      </c>
      <c r="J738" t="inlineStr">
        <is>
          <t>2026-08-10T19:29:54Z</t>
        </is>
      </c>
      <c r="K738" t="inlineStr">
        <is>
          <t>2026-08-10T19:49:41Z</t>
        </is>
      </c>
    </row>
    <row r="739">
      <c r="A739" s="19" t="inlineStr">
        <is>
          <t>738</t>
        </is>
      </c>
      <c r="B739" s="19" t="inlineStr">
        <is>
          <t>IA-PPWR-DOC-ST-072-STD-14-R00</t>
        </is>
      </c>
      <c r="C739" t="inlineStr">
        <is>
          <t>IA-PPWR-DOC-ST-072-STD-14-R00</t>
        </is>
      </c>
      <c r="D739" s="19" t="inlineStr">
        <is>
          <t>4</t>
        </is>
      </c>
      <c r="E739" t="inlineStr">
        <is>
          <t>01_STARTER/ST-072-STD-14/02_EU_DoC.docx</t>
        </is>
      </c>
      <c r="F739" t="inlineStr">
        <is>
          <t>f08fb573c5967d073b28e69b6db7c835f1a504a7e32dddca66825ce432f91dc7</t>
        </is>
      </c>
      <c r="G739" t="inlineStr">
        <is>
          <t>2026-08-08</t>
        </is>
      </c>
      <c r="H739" s="19" t="inlineStr">
        <is>
          <t>2</t>
        </is>
      </c>
      <c r="I739" t="inlineStr">
        <is>
          <t>Phase I generated Rev.00 Word file — linked; signatures not completed</t>
        </is>
      </c>
      <c r="J739" t="inlineStr">
        <is>
          <t>2026-08-10T19:29:54Z</t>
        </is>
      </c>
      <c r="K739" t="inlineStr">
        <is>
          <t>2026-08-10T19:49:41Z</t>
        </is>
      </c>
    </row>
    <row r="740">
      <c r="A740" s="19" t="inlineStr">
        <is>
          <t>739</t>
        </is>
      </c>
      <c r="B740" s="19" t="inlineStr">
        <is>
          <t>IA-PPWR-LBL-ST-072-STD-14-R00</t>
        </is>
      </c>
      <c r="C740" t="inlineStr">
        <is>
          <t>IA-PPWR-LBL-ST-072-STD-14-R00</t>
        </is>
      </c>
      <c r="D740" s="19" t="inlineStr">
        <is>
          <t>11</t>
        </is>
      </c>
      <c r="E740" t="inlineStr">
        <is>
          <t>01_STARTER/ST-072-STD-14/03_Label.docx</t>
        </is>
      </c>
      <c r="F740" t="inlineStr">
        <is>
          <t>865391b9090b3b57ad0a8c1d63db867818fc2971552e444a7db727b19a4f6273</t>
        </is>
      </c>
      <c r="G740" t="inlineStr">
        <is>
          <t>2026-08-08</t>
        </is>
      </c>
      <c r="H740" s="19" t="inlineStr">
        <is>
          <t>2</t>
        </is>
      </c>
      <c r="I740" t="inlineStr">
        <is>
          <t>Phase I generated Rev.00 Word file — linked; signatures not completed</t>
        </is>
      </c>
      <c r="J740" t="inlineStr">
        <is>
          <t>2026-08-10T19:29:54Z</t>
        </is>
      </c>
      <c r="K740" t="inlineStr">
        <is>
          <t>2026-08-10T19:49:41Z</t>
        </is>
      </c>
    </row>
    <row r="741">
      <c r="A741" s="19" t="inlineStr">
        <is>
          <t>740</t>
        </is>
      </c>
      <c r="B741" s="19" t="inlineStr">
        <is>
          <t>IA-PPWR-STM-ST-072-STD-14-R00</t>
        </is>
      </c>
      <c r="C741" t="inlineStr">
        <is>
          <t>IA-PPWR-STM-ST-072-STD-14-R00</t>
        </is>
      </c>
      <c r="D741" s="19" t="inlineStr">
        <is>
          <t>12</t>
        </is>
      </c>
      <c r="E741" t="inlineStr">
        <is>
          <t>01_STARTER/ST-072-STD-14/04_Shipment_Statement.docx</t>
        </is>
      </c>
      <c r="F741" t="inlineStr">
        <is>
          <t>1a544df70f28fd3f1f3710e041c3b197e00a3c447c683d983d52ce8a95eb17a5</t>
        </is>
      </c>
      <c r="G741" t="inlineStr">
        <is>
          <t>2026-08-08</t>
        </is>
      </c>
      <c r="H741" s="19" t="inlineStr">
        <is>
          <t>2</t>
        </is>
      </c>
      <c r="I741" t="inlineStr">
        <is>
          <t>Phase I generated Rev.00 Word file — linked; signatures not completed</t>
        </is>
      </c>
      <c r="J741" t="inlineStr">
        <is>
          <t>2026-08-10T19:29:54Z</t>
        </is>
      </c>
      <c r="K741" t="inlineStr">
        <is>
          <t>2026-08-10T19:49:41Z</t>
        </is>
      </c>
    </row>
    <row r="742">
      <c r="A742" s="19" t="inlineStr">
        <is>
          <t>741</t>
        </is>
      </c>
      <c r="B742" s="19" t="inlineStr">
        <is>
          <t>IA-PPWR-TF-ST-072-STD-15-R00</t>
        </is>
      </c>
      <c r="C742" t="inlineStr">
        <is>
          <t>IA-PPWR-TF-ST-072-STD-15-R00</t>
        </is>
      </c>
      <c r="D742" s="19" t="inlineStr">
        <is>
          <t>1</t>
        </is>
      </c>
      <c r="E742" t="inlineStr">
        <is>
          <t>01_STARTER/ST-072-STD-15/01_Technical_File.docx</t>
        </is>
      </c>
      <c r="F742" t="inlineStr">
        <is>
          <t>e6745164b6ea4da9e8d364085c895048d5aa958fdea617aab3fa79b83448a6dc</t>
        </is>
      </c>
      <c r="G742" t="inlineStr">
        <is>
          <t>2026-08-08</t>
        </is>
      </c>
      <c r="H742" s="19" t="inlineStr">
        <is>
          <t>2</t>
        </is>
      </c>
      <c r="I742" t="inlineStr">
        <is>
          <t>Phase I generated Rev.00 Word file — linked; signatures not completed</t>
        </is>
      </c>
      <c r="J742" t="inlineStr">
        <is>
          <t>2026-08-10T19:29:54Z</t>
        </is>
      </c>
      <c r="K742" t="inlineStr">
        <is>
          <t>2026-08-10T19:49:41Z</t>
        </is>
      </c>
    </row>
    <row r="743">
      <c r="A743" s="19" t="inlineStr">
        <is>
          <t>742</t>
        </is>
      </c>
      <c r="B743" s="19" t="inlineStr">
        <is>
          <t>IA-PPWR-DOC-ST-072-STD-15-R00</t>
        </is>
      </c>
      <c r="C743" t="inlineStr">
        <is>
          <t>IA-PPWR-DOC-ST-072-STD-15-R00</t>
        </is>
      </c>
      <c r="D743" s="19" t="inlineStr">
        <is>
          <t>4</t>
        </is>
      </c>
      <c r="E743" t="inlineStr">
        <is>
          <t>01_STARTER/ST-072-STD-15/02_EU_DoC.docx</t>
        </is>
      </c>
      <c r="F743" t="inlineStr">
        <is>
          <t>e07b6f920957d9303b8d3ac5e10cca019cb1659501fe41b7d487d5bda2653c9e</t>
        </is>
      </c>
      <c r="G743" t="inlineStr">
        <is>
          <t>2026-08-08</t>
        </is>
      </c>
      <c r="H743" s="19" t="inlineStr">
        <is>
          <t>2</t>
        </is>
      </c>
      <c r="I743" t="inlineStr">
        <is>
          <t>Phase I generated Rev.00 Word file — linked; signatures not completed</t>
        </is>
      </c>
      <c r="J743" t="inlineStr">
        <is>
          <t>2026-08-10T19:29:54Z</t>
        </is>
      </c>
      <c r="K743" t="inlineStr">
        <is>
          <t>2026-08-10T19:49:41Z</t>
        </is>
      </c>
    </row>
    <row r="744">
      <c r="A744" s="19" t="inlineStr">
        <is>
          <t>743</t>
        </is>
      </c>
      <c r="B744" s="19" t="inlineStr">
        <is>
          <t>IA-PPWR-LBL-ST-072-STD-15-R00</t>
        </is>
      </c>
      <c r="C744" t="inlineStr">
        <is>
          <t>IA-PPWR-LBL-ST-072-STD-15-R00</t>
        </is>
      </c>
      <c r="D744" s="19" t="inlineStr">
        <is>
          <t>11</t>
        </is>
      </c>
      <c r="E744" t="inlineStr">
        <is>
          <t>01_STARTER/ST-072-STD-15/03_Label.docx</t>
        </is>
      </c>
      <c r="F744" t="inlineStr">
        <is>
          <t>6a05a98b09f71287a48fc424d200beaaf3d237cefb5d19ba75346d85e720a86e</t>
        </is>
      </c>
      <c r="G744" t="inlineStr">
        <is>
          <t>2026-08-08</t>
        </is>
      </c>
      <c r="H744" s="19" t="inlineStr">
        <is>
          <t>2</t>
        </is>
      </c>
      <c r="I744" t="inlineStr">
        <is>
          <t>Phase I generated Rev.00 Word file — linked; signatures not completed</t>
        </is>
      </c>
      <c r="J744" t="inlineStr">
        <is>
          <t>2026-08-10T19:29:54Z</t>
        </is>
      </c>
      <c r="K744" t="inlineStr">
        <is>
          <t>2026-08-10T19:49:41Z</t>
        </is>
      </c>
    </row>
    <row r="745">
      <c r="A745" s="19" t="inlineStr">
        <is>
          <t>744</t>
        </is>
      </c>
      <c r="B745" s="19" t="inlineStr">
        <is>
          <t>IA-PPWR-STM-ST-072-STD-15-R00</t>
        </is>
      </c>
      <c r="C745" t="inlineStr">
        <is>
          <t>IA-PPWR-STM-ST-072-STD-15-R00</t>
        </is>
      </c>
      <c r="D745" s="19" t="inlineStr">
        <is>
          <t>12</t>
        </is>
      </c>
      <c r="E745" t="inlineStr">
        <is>
          <t>01_STARTER/ST-072-STD-15/04_Shipment_Statement.docx</t>
        </is>
      </c>
      <c r="F745" t="inlineStr">
        <is>
          <t>adfc5baad3874cb2548f9dfeb5ad9a79e3e397e2cfaafbfb66eea0756b7734cf</t>
        </is>
      </c>
      <c r="G745" t="inlineStr">
        <is>
          <t>2026-08-08</t>
        </is>
      </c>
      <c r="H745" s="19" t="inlineStr">
        <is>
          <t>2</t>
        </is>
      </c>
      <c r="I745" t="inlineStr">
        <is>
          <t>Phase I generated Rev.00 Word file — linked; signatures not completed</t>
        </is>
      </c>
      <c r="J745" t="inlineStr">
        <is>
          <t>2026-08-10T19:29:54Z</t>
        </is>
      </c>
      <c r="K745" t="inlineStr">
        <is>
          <t>2026-08-10T19:49:41Z</t>
        </is>
      </c>
    </row>
    <row r="746">
      <c r="A746" s="19" t="inlineStr">
        <is>
          <t>745</t>
        </is>
      </c>
      <c r="B746" s="19" t="inlineStr">
        <is>
          <t>IA-PPWR-TF-ST-072-STD-16-R00</t>
        </is>
      </c>
      <c r="C746" t="inlineStr">
        <is>
          <t>IA-PPWR-TF-ST-072-STD-16-R00</t>
        </is>
      </c>
      <c r="D746" s="19" t="inlineStr">
        <is>
          <t>1</t>
        </is>
      </c>
      <c r="E746" t="inlineStr">
        <is>
          <t>01_STARTER/ST-072-STD-16/01_Technical_File.docx</t>
        </is>
      </c>
      <c r="F746" t="inlineStr">
        <is>
          <t>5b983c517b95876a38421e30782c0175a068c232c94e44727a34b61f4c0d2c1c</t>
        </is>
      </c>
      <c r="G746" t="inlineStr">
        <is>
          <t>2026-08-08</t>
        </is>
      </c>
      <c r="H746" s="19" t="inlineStr">
        <is>
          <t>2</t>
        </is>
      </c>
      <c r="I746" t="inlineStr">
        <is>
          <t>Phase I generated Rev.00 Word file — linked; signatures not completed</t>
        </is>
      </c>
      <c r="J746" t="inlineStr">
        <is>
          <t>2026-08-10T19:29:54Z</t>
        </is>
      </c>
      <c r="K746" t="inlineStr">
        <is>
          <t>2026-08-10T19:49:41Z</t>
        </is>
      </c>
    </row>
    <row r="747">
      <c r="A747" s="19" t="inlineStr">
        <is>
          <t>746</t>
        </is>
      </c>
      <c r="B747" s="19" t="inlineStr">
        <is>
          <t>IA-PPWR-DOC-ST-072-STD-16-R00</t>
        </is>
      </c>
      <c r="C747" t="inlineStr">
        <is>
          <t>IA-PPWR-DOC-ST-072-STD-16-R00</t>
        </is>
      </c>
      <c r="D747" s="19" t="inlineStr">
        <is>
          <t>4</t>
        </is>
      </c>
      <c r="E747" t="inlineStr">
        <is>
          <t>01_STARTER/ST-072-STD-16/02_EU_DoC.docx</t>
        </is>
      </c>
      <c r="F747" t="inlineStr">
        <is>
          <t>428de1112eb7762284d06481b95f9eaa6b75a02338937df067a03591330ca689</t>
        </is>
      </c>
      <c r="G747" t="inlineStr">
        <is>
          <t>2026-08-08</t>
        </is>
      </c>
      <c r="H747" s="19" t="inlineStr">
        <is>
          <t>2</t>
        </is>
      </c>
      <c r="I747" t="inlineStr">
        <is>
          <t>Phase I generated Rev.00 Word file — linked; signatures not completed</t>
        </is>
      </c>
      <c r="J747" t="inlineStr">
        <is>
          <t>2026-08-10T19:29:54Z</t>
        </is>
      </c>
      <c r="K747" t="inlineStr">
        <is>
          <t>2026-08-10T19:49:41Z</t>
        </is>
      </c>
    </row>
    <row r="748">
      <c r="A748" s="19" t="inlineStr">
        <is>
          <t>747</t>
        </is>
      </c>
      <c r="B748" s="19" t="inlineStr">
        <is>
          <t>IA-PPWR-LBL-ST-072-STD-16-R00</t>
        </is>
      </c>
      <c r="C748" t="inlineStr">
        <is>
          <t>IA-PPWR-LBL-ST-072-STD-16-R00</t>
        </is>
      </c>
      <c r="D748" s="19" t="inlineStr">
        <is>
          <t>11</t>
        </is>
      </c>
      <c r="E748" t="inlineStr">
        <is>
          <t>01_STARTER/ST-072-STD-16/03_Label.docx</t>
        </is>
      </c>
      <c r="F748" t="inlineStr">
        <is>
          <t>2b2243c7b6253f487e46284437215b12c41254dd5985c6813571205f9019b780</t>
        </is>
      </c>
      <c r="G748" t="inlineStr">
        <is>
          <t>2026-08-08</t>
        </is>
      </c>
      <c r="H748" s="19" t="inlineStr">
        <is>
          <t>2</t>
        </is>
      </c>
      <c r="I748" t="inlineStr">
        <is>
          <t>Phase I generated Rev.00 Word file — linked; signatures not completed</t>
        </is>
      </c>
      <c r="J748" t="inlineStr">
        <is>
          <t>2026-08-10T19:29:54Z</t>
        </is>
      </c>
      <c r="K748" t="inlineStr">
        <is>
          <t>2026-08-10T19:49:41Z</t>
        </is>
      </c>
    </row>
    <row r="749">
      <c r="A749" s="19" t="inlineStr">
        <is>
          <t>748</t>
        </is>
      </c>
      <c r="B749" s="19" t="inlineStr">
        <is>
          <t>IA-PPWR-STM-ST-072-STD-16-R00</t>
        </is>
      </c>
      <c r="C749" t="inlineStr">
        <is>
          <t>IA-PPWR-STM-ST-072-STD-16-R00</t>
        </is>
      </c>
      <c r="D749" s="19" t="inlineStr">
        <is>
          <t>12</t>
        </is>
      </c>
      <c r="E749" t="inlineStr">
        <is>
          <t>01_STARTER/ST-072-STD-16/04_Shipment_Statement.docx</t>
        </is>
      </c>
      <c r="F749" t="inlineStr">
        <is>
          <t>c64061020767a7f97d3dead38ea08ef0facda8044b9e0d3d27f1b0434e08c1fe</t>
        </is>
      </c>
      <c r="G749" t="inlineStr">
        <is>
          <t>2026-08-08</t>
        </is>
      </c>
      <c r="H749" s="19" t="inlineStr">
        <is>
          <t>2</t>
        </is>
      </c>
      <c r="I749" t="inlineStr">
        <is>
          <t>Phase I generated Rev.00 Word file — linked; signatures not completed</t>
        </is>
      </c>
      <c r="J749" t="inlineStr">
        <is>
          <t>2026-08-10T19:29:54Z</t>
        </is>
      </c>
      <c r="K749" t="inlineStr">
        <is>
          <t>2026-08-10T19:49:41Z</t>
        </is>
      </c>
    </row>
    <row r="750">
      <c r="A750" s="19" t="inlineStr">
        <is>
          <t>749</t>
        </is>
      </c>
      <c r="B750" s="19" t="inlineStr">
        <is>
          <t>IA-PPWR-TF-ST-072-STD-17-R00</t>
        </is>
      </c>
      <c r="C750" t="inlineStr">
        <is>
          <t>IA-PPWR-TF-ST-072-STD-17-R00</t>
        </is>
      </c>
      <c r="D750" s="19" t="inlineStr">
        <is>
          <t>1</t>
        </is>
      </c>
      <c r="E750" t="inlineStr">
        <is>
          <t>01_STARTER/ST-072-STD-17/01_Technical_File.docx</t>
        </is>
      </c>
      <c r="F750" t="inlineStr">
        <is>
          <t>9f20786f89d4185a97ca7de3cbbd5e3a6ff973f5983552fb8234971415cdc870</t>
        </is>
      </c>
      <c r="G750" t="inlineStr">
        <is>
          <t>2026-08-08</t>
        </is>
      </c>
      <c r="H750" s="19" t="inlineStr">
        <is>
          <t>2</t>
        </is>
      </c>
      <c r="I750" t="inlineStr">
        <is>
          <t>Phase I generated Rev.00 Word file — linked; signatures not completed</t>
        </is>
      </c>
      <c r="J750" t="inlineStr">
        <is>
          <t>2026-08-10T19:29:54Z</t>
        </is>
      </c>
      <c r="K750" t="inlineStr">
        <is>
          <t>2026-08-10T19:49:41Z</t>
        </is>
      </c>
    </row>
    <row r="751">
      <c r="A751" s="19" t="inlineStr">
        <is>
          <t>750</t>
        </is>
      </c>
      <c r="B751" s="19" t="inlineStr">
        <is>
          <t>IA-PPWR-DOC-ST-072-STD-17-R00</t>
        </is>
      </c>
      <c r="C751" t="inlineStr">
        <is>
          <t>IA-PPWR-DOC-ST-072-STD-17-R00</t>
        </is>
      </c>
      <c r="D751" s="19" t="inlineStr">
        <is>
          <t>4</t>
        </is>
      </c>
      <c r="E751" t="inlineStr">
        <is>
          <t>01_STARTER/ST-072-STD-17/02_EU_DoC.docx</t>
        </is>
      </c>
      <c r="F751" t="inlineStr">
        <is>
          <t>1e03c1a9de9e2abed59fbb61ae38ff27f19078aa77a39cc90842a0ad11974217</t>
        </is>
      </c>
      <c r="G751" t="inlineStr">
        <is>
          <t>2026-08-08</t>
        </is>
      </c>
      <c r="H751" s="19" t="inlineStr">
        <is>
          <t>2</t>
        </is>
      </c>
      <c r="I751" t="inlineStr">
        <is>
          <t>Phase I generated Rev.00 Word file — linked; signatures not completed</t>
        </is>
      </c>
      <c r="J751" t="inlineStr">
        <is>
          <t>2026-08-10T19:29:54Z</t>
        </is>
      </c>
      <c r="K751" t="inlineStr">
        <is>
          <t>2026-08-10T19:49:41Z</t>
        </is>
      </c>
    </row>
    <row r="752">
      <c r="A752" s="19" t="inlineStr">
        <is>
          <t>751</t>
        </is>
      </c>
      <c r="B752" s="19" t="inlineStr">
        <is>
          <t>IA-PPWR-LBL-ST-072-STD-17-R00</t>
        </is>
      </c>
      <c r="C752" t="inlineStr">
        <is>
          <t>IA-PPWR-LBL-ST-072-STD-17-R00</t>
        </is>
      </c>
      <c r="D752" s="19" t="inlineStr">
        <is>
          <t>11</t>
        </is>
      </c>
      <c r="E752" t="inlineStr">
        <is>
          <t>01_STARTER/ST-072-STD-17/03_Label.docx</t>
        </is>
      </c>
      <c r="F752" t="inlineStr">
        <is>
          <t>5e91e212149b4b60f9693bbfbfe29a518a79bc0594501af85600fe17662c5c2b</t>
        </is>
      </c>
      <c r="G752" t="inlineStr">
        <is>
          <t>2026-08-08</t>
        </is>
      </c>
      <c r="H752" s="19" t="inlineStr">
        <is>
          <t>2</t>
        </is>
      </c>
      <c r="I752" t="inlineStr">
        <is>
          <t>Phase I generated Rev.00 Word file — linked; signatures not completed</t>
        </is>
      </c>
      <c r="J752" t="inlineStr">
        <is>
          <t>2026-08-10T19:29:54Z</t>
        </is>
      </c>
      <c r="K752" t="inlineStr">
        <is>
          <t>2026-08-10T19:49:41Z</t>
        </is>
      </c>
    </row>
    <row r="753">
      <c r="A753" s="19" t="inlineStr">
        <is>
          <t>752</t>
        </is>
      </c>
      <c r="B753" s="19" t="inlineStr">
        <is>
          <t>IA-PPWR-STM-ST-072-STD-17-R00</t>
        </is>
      </c>
      <c r="C753" t="inlineStr">
        <is>
          <t>IA-PPWR-STM-ST-072-STD-17-R00</t>
        </is>
      </c>
      <c r="D753" s="19" t="inlineStr">
        <is>
          <t>12</t>
        </is>
      </c>
      <c r="E753" t="inlineStr">
        <is>
          <t>01_STARTER/ST-072-STD-17/04_Shipment_Statement.docx</t>
        </is>
      </c>
      <c r="F753" t="inlineStr">
        <is>
          <t>62e18385ab5c621141f7ee7900f83e71805a312c0c06d079466e069746c99f26</t>
        </is>
      </c>
      <c r="G753" t="inlineStr">
        <is>
          <t>2026-08-08</t>
        </is>
      </c>
      <c r="H753" s="19" t="inlineStr">
        <is>
          <t>2</t>
        </is>
      </c>
      <c r="I753" t="inlineStr">
        <is>
          <t>Phase I generated Rev.00 Word file — linked; signatures not completed</t>
        </is>
      </c>
      <c r="J753" t="inlineStr">
        <is>
          <t>2026-08-10T19:29:54Z</t>
        </is>
      </c>
      <c r="K753" t="inlineStr">
        <is>
          <t>2026-08-10T19:49:41Z</t>
        </is>
      </c>
    </row>
    <row r="754">
      <c r="A754" s="19" t="inlineStr">
        <is>
          <t>753</t>
        </is>
      </c>
      <c r="B754" s="19" t="inlineStr">
        <is>
          <t>IA-PPWR-TF-ST-072-STD-18-R00</t>
        </is>
      </c>
      <c r="C754" t="inlineStr">
        <is>
          <t>IA-PPWR-TF-ST-072-STD-18-R00</t>
        </is>
      </c>
      <c r="D754" s="19" t="inlineStr">
        <is>
          <t>1</t>
        </is>
      </c>
      <c r="E754" t="inlineStr">
        <is>
          <t>01_STARTER/ST-072-STD-18/01_Technical_File.docx</t>
        </is>
      </c>
      <c r="F754" t="inlineStr">
        <is>
          <t>1eca7f5ab291fa8b8ad57deeba8d24ce4f8220e3aeddeae0ab7464822a4c4ab3</t>
        </is>
      </c>
      <c r="G754" t="inlineStr">
        <is>
          <t>2026-08-08</t>
        </is>
      </c>
      <c r="H754" s="19" t="inlineStr">
        <is>
          <t>2</t>
        </is>
      </c>
      <c r="I754" t="inlineStr">
        <is>
          <t>Phase I generated Rev.00 Word file — linked; signatures not completed</t>
        </is>
      </c>
      <c r="J754" t="inlineStr">
        <is>
          <t>2026-08-10T19:29:54Z</t>
        </is>
      </c>
      <c r="K754" t="inlineStr">
        <is>
          <t>2026-08-10T19:49:41Z</t>
        </is>
      </c>
    </row>
    <row r="755">
      <c r="A755" s="19" t="inlineStr">
        <is>
          <t>754</t>
        </is>
      </c>
      <c r="B755" s="19" t="inlineStr">
        <is>
          <t>IA-PPWR-DOC-ST-072-STD-18-R00</t>
        </is>
      </c>
      <c r="C755" t="inlineStr">
        <is>
          <t>IA-PPWR-DOC-ST-072-STD-18-R00</t>
        </is>
      </c>
      <c r="D755" s="19" t="inlineStr">
        <is>
          <t>4</t>
        </is>
      </c>
      <c r="E755" t="inlineStr">
        <is>
          <t>01_STARTER/ST-072-STD-18/02_EU_DoC.docx</t>
        </is>
      </c>
      <c r="F755" t="inlineStr">
        <is>
          <t>3e8a333942d41a3f149fabfa6d9b277e8f03a41132bc3e745c6cc2e09dc3f9bf</t>
        </is>
      </c>
      <c r="G755" t="inlineStr">
        <is>
          <t>2026-08-08</t>
        </is>
      </c>
      <c r="H755" s="19" t="inlineStr">
        <is>
          <t>2</t>
        </is>
      </c>
      <c r="I755" t="inlineStr">
        <is>
          <t>Phase I generated Rev.00 Word file — linked; signatures not completed</t>
        </is>
      </c>
      <c r="J755" t="inlineStr">
        <is>
          <t>2026-08-10T19:29:54Z</t>
        </is>
      </c>
      <c r="K755" t="inlineStr">
        <is>
          <t>2026-08-10T19:49:41Z</t>
        </is>
      </c>
    </row>
    <row r="756">
      <c r="A756" s="19" t="inlineStr">
        <is>
          <t>755</t>
        </is>
      </c>
      <c r="B756" s="19" t="inlineStr">
        <is>
          <t>IA-PPWR-LBL-ST-072-STD-18-R00</t>
        </is>
      </c>
      <c r="C756" t="inlineStr">
        <is>
          <t>IA-PPWR-LBL-ST-072-STD-18-R00</t>
        </is>
      </c>
      <c r="D756" s="19" t="inlineStr">
        <is>
          <t>11</t>
        </is>
      </c>
      <c r="E756" t="inlineStr">
        <is>
          <t>01_STARTER/ST-072-STD-18/03_Label.docx</t>
        </is>
      </c>
      <c r="F756" t="inlineStr">
        <is>
          <t>806ff0e479ba15c2eea278513f76ae34e775546f6e71843940eafa888e8d7ac0</t>
        </is>
      </c>
      <c r="G756" t="inlineStr">
        <is>
          <t>2026-08-08</t>
        </is>
      </c>
      <c r="H756" s="19" t="inlineStr">
        <is>
          <t>2</t>
        </is>
      </c>
      <c r="I756" t="inlineStr">
        <is>
          <t>Phase I generated Rev.00 Word file — linked; signatures not completed</t>
        </is>
      </c>
      <c r="J756" t="inlineStr">
        <is>
          <t>2026-08-10T19:29:54Z</t>
        </is>
      </c>
      <c r="K756" t="inlineStr">
        <is>
          <t>2026-08-10T19:49:41Z</t>
        </is>
      </c>
    </row>
    <row r="757">
      <c r="A757" s="19" t="inlineStr">
        <is>
          <t>756</t>
        </is>
      </c>
      <c r="B757" s="19" t="inlineStr">
        <is>
          <t>IA-PPWR-STM-ST-072-STD-18-R00</t>
        </is>
      </c>
      <c r="C757" t="inlineStr">
        <is>
          <t>IA-PPWR-STM-ST-072-STD-18-R00</t>
        </is>
      </c>
      <c r="D757" s="19" t="inlineStr">
        <is>
          <t>12</t>
        </is>
      </c>
      <c r="E757" t="inlineStr">
        <is>
          <t>01_STARTER/ST-072-STD-18/04_Shipment_Statement.docx</t>
        </is>
      </c>
      <c r="F757" t="inlineStr">
        <is>
          <t>9b5a967f789efe5832b845a09aabbd0f81be1567ff9fd9266b7d80e036004a11</t>
        </is>
      </c>
      <c r="G757" t="inlineStr">
        <is>
          <t>2026-08-08</t>
        </is>
      </c>
      <c r="H757" s="19" t="inlineStr">
        <is>
          <t>2</t>
        </is>
      </c>
      <c r="I757" t="inlineStr">
        <is>
          <t>Phase I generated Rev.00 Word file — linked; signatures not completed</t>
        </is>
      </c>
      <c r="J757" t="inlineStr">
        <is>
          <t>2026-08-10T19:29:54Z</t>
        </is>
      </c>
      <c r="K757" t="inlineStr">
        <is>
          <t>2026-08-10T19:49:41Z</t>
        </is>
      </c>
    </row>
    <row r="758">
      <c r="A758" s="19" t="inlineStr">
        <is>
          <t>757</t>
        </is>
      </c>
      <c r="B758" s="19" t="inlineStr">
        <is>
          <t>IA-PPWR-TF-ST-072-STD-19-R00</t>
        </is>
      </c>
      <c r="C758" t="inlineStr">
        <is>
          <t>IA-PPWR-TF-ST-072-STD-19-R00</t>
        </is>
      </c>
      <c r="D758" s="19" t="inlineStr">
        <is>
          <t>1</t>
        </is>
      </c>
      <c r="E758" t="inlineStr">
        <is>
          <t>01_STARTER/ST-072-STD-19/01_Technical_File.docx</t>
        </is>
      </c>
      <c r="F758" t="inlineStr">
        <is>
          <t>a505e61bbe70e40d76b5981697e243f4df43525659f21365ea236c57c0f9e697</t>
        </is>
      </c>
      <c r="G758" t="inlineStr">
        <is>
          <t>2026-08-08</t>
        </is>
      </c>
      <c r="H758" s="19" t="inlineStr">
        <is>
          <t>2</t>
        </is>
      </c>
      <c r="I758" t="inlineStr">
        <is>
          <t>Phase I generated Rev.00 Word file — linked; signatures not completed</t>
        </is>
      </c>
      <c r="J758" t="inlineStr">
        <is>
          <t>2026-08-10T19:29:54Z</t>
        </is>
      </c>
      <c r="K758" t="inlineStr">
        <is>
          <t>2026-08-10T19:49:41Z</t>
        </is>
      </c>
    </row>
    <row r="759">
      <c r="A759" s="19" t="inlineStr">
        <is>
          <t>758</t>
        </is>
      </c>
      <c r="B759" s="19" t="inlineStr">
        <is>
          <t>IA-PPWR-DOC-ST-072-STD-19-R00</t>
        </is>
      </c>
      <c r="C759" t="inlineStr">
        <is>
          <t>IA-PPWR-DOC-ST-072-STD-19-R00</t>
        </is>
      </c>
      <c r="D759" s="19" t="inlineStr">
        <is>
          <t>4</t>
        </is>
      </c>
      <c r="E759" t="inlineStr">
        <is>
          <t>01_STARTER/ST-072-STD-19/02_EU_DoC.docx</t>
        </is>
      </c>
      <c r="F759" t="inlineStr">
        <is>
          <t>2a8a9c5ab21ebc18caa5ef73fc5aa538b9c7642b04bf6cf4d317434e4de9f17c</t>
        </is>
      </c>
      <c r="G759" t="inlineStr">
        <is>
          <t>2026-08-08</t>
        </is>
      </c>
      <c r="H759" s="19" t="inlineStr">
        <is>
          <t>2</t>
        </is>
      </c>
      <c r="I759" t="inlineStr">
        <is>
          <t>Phase I generated Rev.00 Word file — linked; signatures not completed</t>
        </is>
      </c>
      <c r="J759" t="inlineStr">
        <is>
          <t>2026-08-10T19:29:54Z</t>
        </is>
      </c>
      <c r="K759" t="inlineStr">
        <is>
          <t>2026-08-10T19:49:41Z</t>
        </is>
      </c>
    </row>
    <row r="760">
      <c r="A760" s="19" t="inlineStr">
        <is>
          <t>759</t>
        </is>
      </c>
      <c r="B760" s="19" t="inlineStr">
        <is>
          <t>IA-PPWR-LBL-ST-072-STD-19-R00</t>
        </is>
      </c>
      <c r="C760" t="inlineStr">
        <is>
          <t>IA-PPWR-LBL-ST-072-STD-19-R00</t>
        </is>
      </c>
      <c r="D760" s="19" t="inlineStr">
        <is>
          <t>11</t>
        </is>
      </c>
      <c r="E760" t="inlineStr">
        <is>
          <t>01_STARTER/ST-072-STD-19/03_Label.docx</t>
        </is>
      </c>
      <c r="F760" t="inlineStr">
        <is>
          <t>a5a0397b7388b7ce0c53c76a53f79e2ad8438ddda218b02fc03ad95f93089573</t>
        </is>
      </c>
      <c r="G760" t="inlineStr">
        <is>
          <t>2026-08-08</t>
        </is>
      </c>
      <c r="H760" s="19" t="inlineStr">
        <is>
          <t>2</t>
        </is>
      </c>
      <c r="I760" t="inlineStr">
        <is>
          <t>Phase I generated Rev.00 Word file — linked; signatures not completed</t>
        </is>
      </c>
      <c r="J760" t="inlineStr">
        <is>
          <t>2026-08-10T19:29:54Z</t>
        </is>
      </c>
      <c r="K760" t="inlineStr">
        <is>
          <t>2026-08-10T19:49:41Z</t>
        </is>
      </c>
    </row>
    <row r="761">
      <c r="A761" s="19" t="inlineStr">
        <is>
          <t>760</t>
        </is>
      </c>
      <c r="B761" s="19" t="inlineStr">
        <is>
          <t>IA-PPWR-STM-ST-072-STD-19-R00</t>
        </is>
      </c>
      <c r="C761" t="inlineStr">
        <is>
          <t>IA-PPWR-STM-ST-072-STD-19-R00</t>
        </is>
      </c>
      <c r="D761" s="19" t="inlineStr">
        <is>
          <t>12</t>
        </is>
      </c>
      <c r="E761" t="inlineStr">
        <is>
          <t>01_STARTER/ST-072-STD-19/04_Shipment_Statement.docx</t>
        </is>
      </c>
      <c r="F761" t="inlineStr">
        <is>
          <t>57370ca670f5e189635ad85e4d8252e36b31e862c047814d97b250f2679e70b7</t>
        </is>
      </c>
      <c r="G761" t="inlineStr">
        <is>
          <t>2026-08-08</t>
        </is>
      </c>
      <c r="H761" s="19" t="inlineStr">
        <is>
          <t>2</t>
        </is>
      </c>
      <c r="I761" t="inlineStr">
        <is>
          <t>Phase I generated Rev.00 Word file — linked; signatures not completed</t>
        </is>
      </c>
      <c r="J761" t="inlineStr">
        <is>
          <t>2026-08-10T19:29:54Z</t>
        </is>
      </c>
      <c r="K761" t="inlineStr">
        <is>
          <t>2026-08-10T19:49:41Z</t>
        </is>
      </c>
    </row>
    <row r="762">
      <c r="A762" s="19" t="inlineStr">
        <is>
          <t>761</t>
        </is>
      </c>
      <c r="B762" s="19" t="inlineStr">
        <is>
          <t>IA-PPWR-TF-ST-072-STD-20-R00</t>
        </is>
      </c>
      <c r="C762" t="inlineStr">
        <is>
          <t>IA-PPWR-TF-ST-072-STD-20-R00</t>
        </is>
      </c>
      <c r="D762" s="19" t="inlineStr">
        <is>
          <t>1</t>
        </is>
      </c>
      <c r="E762" t="inlineStr">
        <is>
          <t>01_STARTER/ST-072-STD-20/01_Technical_File.docx</t>
        </is>
      </c>
      <c r="F762" t="inlineStr">
        <is>
          <t>a5f8ba2eea6f6e6388a6420bc54d00aa3798c04f5d862a0ed9936108ff3ff0b8</t>
        </is>
      </c>
      <c r="G762" t="inlineStr">
        <is>
          <t>2026-08-08</t>
        </is>
      </c>
      <c r="H762" s="19" t="inlineStr">
        <is>
          <t>2</t>
        </is>
      </c>
      <c r="I762" t="inlineStr">
        <is>
          <t>Phase I generated Rev.00 Word file — linked; signatures not completed</t>
        </is>
      </c>
      <c r="J762" t="inlineStr">
        <is>
          <t>2026-08-10T19:29:54Z</t>
        </is>
      </c>
      <c r="K762" t="inlineStr">
        <is>
          <t>2026-08-10T19:49:41Z</t>
        </is>
      </c>
    </row>
    <row r="763">
      <c r="A763" s="19" t="inlineStr">
        <is>
          <t>762</t>
        </is>
      </c>
      <c r="B763" s="19" t="inlineStr">
        <is>
          <t>IA-PPWR-DOC-ST-072-STD-20-R00</t>
        </is>
      </c>
      <c r="C763" t="inlineStr">
        <is>
          <t>IA-PPWR-DOC-ST-072-STD-20-R00</t>
        </is>
      </c>
      <c r="D763" s="19" t="inlineStr">
        <is>
          <t>4</t>
        </is>
      </c>
      <c r="E763" t="inlineStr">
        <is>
          <t>01_STARTER/ST-072-STD-20/02_EU_DoC.docx</t>
        </is>
      </c>
      <c r="F763" t="inlineStr">
        <is>
          <t>29106068b9cec87f205cf747807af6c6e2c73ffe7649a2371c3a4687a64aae3c</t>
        </is>
      </c>
      <c r="G763" t="inlineStr">
        <is>
          <t>2026-08-08</t>
        </is>
      </c>
      <c r="H763" s="19" t="inlineStr">
        <is>
          <t>2</t>
        </is>
      </c>
      <c r="I763" t="inlineStr">
        <is>
          <t>Phase I generated Rev.00 Word file — linked; signatures not completed</t>
        </is>
      </c>
      <c r="J763" t="inlineStr">
        <is>
          <t>2026-08-10T19:29:54Z</t>
        </is>
      </c>
      <c r="K763" t="inlineStr">
        <is>
          <t>2026-08-10T19:49:41Z</t>
        </is>
      </c>
    </row>
    <row r="764">
      <c r="A764" s="19" t="inlineStr">
        <is>
          <t>763</t>
        </is>
      </c>
      <c r="B764" s="19" t="inlineStr">
        <is>
          <t>IA-PPWR-LBL-ST-072-STD-20-R00</t>
        </is>
      </c>
      <c r="C764" t="inlineStr">
        <is>
          <t>IA-PPWR-LBL-ST-072-STD-20-R00</t>
        </is>
      </c>
      <c r="D764" s="19" t="inlineStr">
        <is>
          <t>11</t>
        </is>
      </c>
      <c r="E764" t="inlineStr">
        <is>
          <t>01_STARTER/ST-072-STD-20/03_Label.docx</t>
        </is>
      </c>
      <c r="F764" t="inlineStr">
        <is>
          <t>0fd644579441af25ca52c6498f737da506fd84a62a60baf65948574bcc6e745a</t>
        </is>
      </c>
      <c r="G764" t="inlineStr">
        <is>
          <t>2026-08-08</t>
        </is>
      </c>
      <c r="H764" s="19" t="inlineStr">
        <is>
          <t>2</t>
        </is>
      </c>
      <c r="I764" t="inlineStr">
        <is>
          <t>Phase I generated Rev.00 Word file — linked; signatures not completed</t>
        </is>
      </c>
      <c r="J764" t="inlineStr">
        <is>
          <t>2026-08-10T19:29:54Z</t>
        </is>
      </c>
      <c r="K764" t="inlineStr">
        <is>
          <t>2026-08-10T19:49:41Z</t>
        </is>
      </c>
    </row>
    <row r="765">
      <c r="A765" s="19" t="inlineStr">
        <is>
          <t>764</t>
        </is>
      </c>
      <c r="B765" s="19" t="inlineStr">
        <is>
          <t>IA-PPWR-STM-ST-072-STD-20-R00</t>
        </is>
      </c>
      <c r="C765" t="inlineStr">
        <is>
          <t>IA-PPWR-STM-ST-072-STD-20-R00</t>
        </is>
      </c>
      <c r="D765" s="19" t="inlineStr">
        <is>
          <t>12</t>
        </is>
      </c>
      <c r="E765" t="inlineStr">
        <is>
          <t>01_STARTER/ST-072-STD-20/04_Shipment_Statement.docx</t>
        </is>
      </c>
      <c r="F765" t="inlineStr">
        <is>
          <t>fc6e2db047672f6c04d132c3899eb46593fa7e70832dae234f6a199247519106</t>
        </is>
      </c>
      <c r="G765" t="inlineStr">
        <is>
          <t>2026-08-08</t>
        </is>
      </c>
      <c r="H765" s="19" t="inlineStr">
        <is>
          <t>2</t>
        </is>
      </c>
      <c r="I765" t="inlineStr">
        <is>
          <t>Phase I generated Rev.00 Word file — linked; signatures not completed</t>
        </is>
      </c>
      <c r="J765" t="inlineStr">
        <is>
          <t>2026-08-10T19:29:54Z</t>
        </is>
      </c>
      <c r="K765" t="inlineStr">
        <is>
          <t>2026-08-10T19:49:41Z</t>
        </is>
      </c>
    </row>
    <row r="766">
      <c r="A766" s="19" t="inlineStr">
        <is>
          <t>765</t>
        </is>
      </c>
      <c r="B766" s="19" t="inlineStr">
        <is>
          <t>IA-PPWR-TF-ST-072-STD-21-R00</t>
        </is>
      </c>
      <c r="C766" t="inlineStr">
        <is>
          <t>IA-PPWR-TF-ST-072-STD-21-R00</t>
        </is>
      </c>
      <c r="D766" s="19" t="inlineStr">
        <is>
          <t>1</t>
        </is>
      </c>
      <c r="E766" t="inlineStr">
        <is>
          <t>01_STARTER/ST-072-STD-21/01_Technical_File.docx</t>
        </is>
      </c>
      <c r="F766" t="inlineStr">
        <is>
          <t>665a9a429aebbb6bfd954ed552d54a0421d00e21ddf691c250eb7db012baf521</t>
        </is>
      </c>
      <c r="G766" t="inlineStr">
        <is>
          <t>2026-08-08</t>
        </is>
      </c>
      <c r="H766" s="19" t="inlineStr">
        <is>
          <t>2</t>
        </is>
      </c>
      <c r="I766" t="inlineStr">
        <is>
          <t>Phase I generated Rev.00 Word file — linked; signatures not completed</t>
        </is>
      </c>
      <c r="J766" t="inlineStr">
        <is>
          <t>2026-08-10T19:29:54Z</t>
        </is>
      </c>
      <c r="K766" t="inlineStr">
        <is>
          <t>2026-08-10T19:49:41Z</t>
        </is>
      </c>
    </row>
    <row r="767">
      <c r="A767" s="19" t="inlineStr">
        <is>
          <t>766</t>
        </is>
      </c>
      <c r="B767" s="19" t="inlineStr">
        <is>
          <t>IA-PPWR-DOC-ST-072-STD-21-R00</t>
        </is>
      </c>
      <c r="C767" t="inlineStr">
        <is>
          <t>IA-PPWR-DOC-ST-072-STD-21-R00</t>
        </is>
      </c>
      <c r="D767" s="19" t="inlineStr">
        <is>
          <t>4</t>
        </is>
      </c>
      <c r="E767" t="inlineStr">
        <is>
          <t>01_STARTER/ST-072-STD-21/02_EU_DoC.docx</t>
        </is>
      </c>
      <c r="F767" t="inlineStr">
        <is>
          <t>f98ae7458c480866fb32fce0a66f2b0742ea1d89c47928567cd52ee5b6f28440</t>
        </is>
      </c>
      <c r="G767" t="inlineStr">
        <is>
          <t>2026-08-08</t>
        </is>
      </c>
      <c r="H767" s="19" t="inlineStr">
        <is>
          <t>2</t>
        </is>
      </c>
      <c r="I767" t="inlineStr">
        <is>
          <t>Phase I generated Rev.00 Word file — linked; signatures not completed</t>
        </is>
      </c>
      <c r="J767" t="inlineStr">
        <is>
          <t>2026-08-10T19:29:54Z</t>
        </is>
      </c>
      <c r="K767" t="inlineStr">
        <is>
          <t>2026-08-10T19:49:41Z</t>
        </is>
      </c>
    </row>
    <row r="768">
      <c r="A768" s="19" t="inlineStr">
        <is>
          <t>767</t>
        </is>
      </c>
      <c r="B768" s="19" t="inlineStr">
        <is>
          <t>IA-PPWR-LBL-ST-072-STD-21-R00</t>
        </is>
      </c>
      <c r="C768" t="inlineStr">
        <is>
          <t>IA-PPWR-LBL-ST-072-STD-21-R00</t>
        </is>
      </c>
      <c r="D768" s="19" t="inlineStr">
        <is>
          <t>11</t>
        </is>
      </c>
      <c r="E768" t="inlineStr">
        <is>
          <t>01_STARTER/ST-072-STD-21/03_Label.docx</t>
        </is>
      </c>
      <c r="F768" t="inlineStr">
        <is>
          <t>49f5ef846a1b78468b38eca005c278a3c261ab51d784f1e74d74f38db2a0aee6</t>
        </is>
      </c>
      <c r="G768" t="inlineStr">
        <is>
          <t>2026-08-08</t>
        </is>
      </c>
      <c r="H768" s="19" t="inlineStr">
        <is>
          <t>2</t>
        </is>
      </c>
      <c r="I768" t="inlineStr">
        <is>
          <t>Phase I generated Rev.00 Word file — linked; signatures not completed</t>
        </is>
      </c>
      <c r="J768" t="inlineStr">
        <is>
          <t>2026-08-10T19:29:54Z</t>
        </is>
      </c>
      <c r="K768" t="inlineStr">
        <is>
          <t>2026-08-10T19:49:41Z</t>
        </is>
      </c>
    </row>
    <row r="769">
      <c r="A769" s="19" t="inlineStr">
        <is>
          <t>768</t>
        </is>
      </c>
      <c r="B769" s="19" t="inlineStr">
        <is>
          <t>IA-PPWR-STM-ST-072-STD-21-R00</t>
        </is>
      </c>
      <c r="C769" t="inlineStr">
        <is>
          <t>IA-PPWR-STM-ST-072-STD-21-R00</t>
        </is>
      </c>
      <c r="D769" s="19" t="inlineStr">
        <is>
          <t>12</t>
        </is>
      </c>
      <c r="E769" t="inlineStr">
        <is>
          <t>01_STARTER/ST-072-STD-21/04_Shipment_Statement.docx</t>
        </is>
      </c>
      <c r="F769" t="inlineStr">
        <is>
          <t>8797e196542710c9d4670c6bd5077f02411ef4f9f2f64a57771306fabb86bf64</t>
        </is>
      </c>
      <c r="G769" t="inlineStr">
        <is>
          <t>2026-08-08</t>
        </is>
      </c>
      <c r="H769" s="19" t="inlineStr">
        <is>
          <t>2</t>
        </is>
      </c>
      <c r="I769" t="inlineStr">
        <is>
          <t>Phase I generated Rev.00 Word file — linked; signatures not completed</t>
        </is>
      </c>
      <c r="J769" t="inlineStr">
        <is>
          <t>2026-08-10T19:29:54Z</t>
        </is>
      </c>
      <c r="K769" t="inlineStr">
        <is>
          <t>2026-08-10T19:49:41Z</t>
        </is>
      </c>
    </row>
    <row r="770">
      <c r="A770" s="19" t="inlineStr">
        <is>
          <t>769</t>
        </is>
      </c>
      <c r="B770" s="19" t="inlineStr">
        <is>
          <t>IA-PPWR-TF-ST-072-STD-22-R00</t>
        </is>
      </c>
      <c r="C770" t="inlineStr">
        <is>
          <t>IA-PPWR-TF-ST-072-STD-22-R00</t>
        </is>
      </c>
      <c r="D770" s="19" t="inlineStr">
        <is>
          <t>1</t>
        </is>
      </c>
      <c r="E770" t="inlineStr">
        <is>
          <t>01_STARTER/ST-072-STD-22/01_Technical_File.docx</t>
        </is>
      </c>
      <c r="F770" t="inlineStr">
        <is>
          <t>56f3dd068cbbb4ceee999151bfd008b92ceba02d8a5dd099e70030739f440512</t>
        </is>
      </c>
      <c r="G770" t="inlineStr">
        <is>
          <t>2026-08-08</t>
        </is>
      </c>
      <c r="H770" s="19" t="inlineStr">
        <is>
          <t>2</t>
        </is>
      </c>
      <c r="I770" t="inlineStr">
        <is>
          <t>Phase I generated Rev.00 Word file — linked; signatures not completed</t>
        </is>
      </c>
      <c r="J770" t="inlineStr">
        <is>
          <t>2026-08-10T19:29:54Z</t>
        </is>
      </c>
      <c r="K770" t="inlineStr">
        <is>
          <t>2026-08-10T19:49:41Z</t>
        </is>
      </c>
    </row>
    <row r="771">
      <c r="A771" s="19" t="inlineStr">
        <is>
          <t>770</t>
        </is>
      </c>
      <c r="B771" s="19" t="inlineStr">
        <is>
          <t>IA-PPWR-DOC-ST-072-STD-22-R00</t>
        </is>
      </c>
      <c r="C771" t="inlineStr">
        <is>
          <t>IA-PPWR-DOC-ST-072-STD-22-R00</t>
        </is>
      </c>
      <c r="D771" s="19" t="inlineStr">
        <is>
          <t>4</t>
        </is>
      </c>
      <c r="E771" t="inlineStr">
        <is>
          <t>01_STARTER/ST-072-STD-22/02_EU_DoC.docx</t>
        </is>
      </c>
      <c r="F771" t="inlineStr">
        <is>
          <t>6356ef788576c7485d714e8d344a96ce60a3c9a006f0d8a379c529011df6caa2</t>
        </is>
      </c>
      <c r="G771" t="inlineStr">
        <is>
          <t>2026-08-08</t>
        </is>
      </c>
      <c r="H771" s="19" t="inlineStr">
        <is>
          <t>2</t>
        </is>
      </c>
      <c r="I771" t="inlineStr">
        <is>
          <t>Phase I generated Rev.00 Word file — linked; signatures not completed</t>
        </is>
      </c>
      <c r="J771" t="inlineStr">
        <is>
          <t>2026-08-10T19:29:54Z</t>
        </is>
      </c>
      <c r="K771" t="inlineStr">
        <is>
          <t>2026-08-10T19:49:41Z</t>
        </is>
      </c>
    </row>
    <row r="772">
      <c r="A772" s="19" t="inlineStr">
        <is>
          <t>771</t>
        </is>
      </c>
      <c r="B772" s="19" t="inlineStr">
        <is>
          <t>IA-PPWR-LBL-ST-072-STD-22-R00</t>
        </is>
      </c>
      <c r="C772" t="inlineStr">
        <is>
          <t>IA-PPWR-LBL-ST-072-STD-22-R00</t>
        </is>
      </c>
      <c r="D772" s="19" t="inlineStr">
        <is>
          <t>11</t>
        </is>
      </c>
      <c r="E772" t="inlineStr">
        <is>
          <t>01_STARTER/ST-072-STD-22/03_Label.docx</t>
        </is>
      </c>
      <c r="F772" t="inlineStr">
        <is>
          <t>e8a9fd09dcc11688bde59e094d8ffb06b199fb32006234df86d28c37e429c735</t>
        </is>
      </c>
      <c r="G772" t="inlineStr">
        <is>
          <t>2026-08-08</t>
        </is>
      </c>
      <c r="H772" s="19" t="inlineStr">
        <is>
          <t>2</t>
        </is>
      </c>
      <c r="I772" t="inlineStr">
        <is>
          <t>Phase I generated Rev.00 Word file — linked; signatures not completed</t>
        </is>
      </c>
      <c r="J772" t="inlineStr">
        <is>
          <t>2026-08-10T19:29:54Z</t>
        </is>
      </c>
      <c r="K772" t="inlineStr">
        <is>
          <t>2026-08-10T19:49:41Z</t>
        </is>
      </c>
    </row>
    <row r="773">
      <c r="A773" s="19" t="inlineStr">
        <is>
          <t>772</t>
        </is>
      </c>
      <c r="B773" s="19" t="inlineStr">
        <is>
          <t>IA-PPWR-STM-ST-072-STD-22-R00</t>
        </is>
      </c>
      <c r="C773" t="inlineStr">
        <is>
          <t>IA-PPWR-STM-ST-072-STD-22-R00</t>
        </is>
      </c>
      <c r="D773" s="19" t="inlineStr">
        <is>
          <t>12</t>
        </is>
      </c>
      <c r="E773" t="inlineStr">
        <is>
          <t>01_STARTER/ST-072-STD-22/04_Shipment_Statement.docx</t>
        </is>
      </c>
      <c r="F773" t="inlineStr">
        <is>
          <t>f9bcff3a6e92e3b970b6427626d7800c347ae41244ca5dbf7ebc73d6c7723383</t>
        </is>
      </c>
      <c r="G773" t="inlineStr">
        <is>
          <t>2026-08-08</t>
        </is>
      </c>
      <c r="H773" s="19" t="inlineStr">
        <is>
          <t>2</t>
        </is>
      </c>
      <c r="I773" t="inlineStr">
        <is>
          <t>Phase I generated Rev.00 Word file — linked; signatures not completed</t>
        </is>
      </c>
      <c r="J773" t="inlineStr">
        <is>
          <t>2026-08-10T19:29:54Z</t>
        </is>
      </c>
      <c r="K773" t="inlineStr">
        <is>
          <t>2026-08-10T19:49:41Z</t>
        </is>
      </c>
    </row>
    <row r="774">
      <c r="A774" s="19" t="inlineStr">
        <is>
          <t>773</t>
        </is>
      </c>
      <c r="B774" s="19" t="inlineStr">
        <is>
          <t>IA-PPWR-TF-ST-072-STD-23-R00</t>
        </is>
      </c>
      <c r="C774" t="inlineStr">
        <is>
          <t>IA-PPWR-TF-ST-072-STD-23-R00</t>
        </is>
      </c>
      <c r="D774" s="19" t="inlineStr">
        <is>
          <t>1</t>
        </is>
      </c>
      <c r="E774" t="inlineStr">
        <is>
          <t>01_STARTER/ST-072-STD-23/01_Technical_File.docx</t>
        </is>
      </c>
      <c r="F774" t="inlineStr">
        <is>
          <t>ef4477c11795aa1b4ee976243bfc3e9c03440419c88cb26378b81fff7163d38f</t>
        </is>
      </c>
      <c r="G774" t="inlineStr">
        <is>
          <t>2026-08-08</t>
        </is>
      </c>
      <c r="H774" s="19" t="inlineStr">
        <is>
          <t>2</t>
        </is>
      </c>
      <c r="I774" t="inlineStr">
        <is>
          <t>Phase I generated Rev.00 Word file — linked; signatures not completed</t>
        </is>
      </c>
      <c r="J774" t="inlineStr">
        <is>
          <t>2026-08-10T19:29:54Z</t>
        </is>
      </c>
      <c r="K774" t="inlineStr">
        <is>
          <t>2026-08-10T19:49:41Z</t>
        </is>
      </c>
    </row>
    <row r="775">
      <c r="A775" s="19" t="inlineStr">
        <is>
          <t>774</t>
        </is>
      </c>
      <c r="B775" s="19" t="inlineStr">
        <is>
          <t>IA-PPWR-DOC-ST-072-STD-23-R00</t>
        </is>
      </c>
      <c r="C775" t="inlineStr">
        <is>
          <t>IA-PPWR-DOC-ST-072-STD-23-R00</t>
        </is>
      </c>
      <c r="D775" s="19" t="inlineStr">
        <is>
          <t>4</t>
        </is>
      </c>
      <c r="E775" t="inlineStr">
        <is>
          <t>01_STARTER/ST-072-STD-23/02_EU_DoC.docx</t>
        </is>
      </c>
      <c r="F775" t="inlineStr">
        <is>
          <t>8f468d291410b60b72dd3690e4ac8eddb9501668828fe5edc3675768bddbef1b</t>
        </is>
      </c>
      <c r="G775" t="inlineStr">
        <is>
          <t>2026-08-08</t>
        </is>
      </c>
      <c r="H775" s="19" t="inlineStr">
        <is>
          <t>2</t>
        </is>
      </c>
      <c r="I775" t="inlineStr">
        <is>
          <t>Phase I generated Rev.00 Word file — linked; signatures not completed</t>
        </is>
      </c>
      <c r="J775" t="inlineStr">
        <is>
          <t>2026-08-10T19:29:54Z</t>
        </is>
      </c>
      <c r="K775" t="inlineStr">
        <is>
          <t>2026-08-10T19:49:41Z</t>
        </is>
      </c>
    </row>
    <row r="776">
      <c r="A776" s="19" t="inlineStr">
        <is>
          <t>775</t>
        </is>
      </c>
      <c r="B776" s="19" t="inlineStr">
        <is>
          <t>IA-PPWR-LBL-ST-072-STD-23-R00</t>
        </is>
      </c>
      <c r="C776" t="inlineStr">
        <is>
          <t>IA-PPWR-LBL-ST-072-STD-23-R00</t>
        </is>
      </c>
      <c r="D776" s="19" t="inlineStr">
        <is>
          <t>11</t>
        </is>
      </c>
      <c r="E776" t="inlineStr">
        <is>
          <t>01_STARTER/ST-072-STD-23/03_Label.docx</t>
        </is>
      </c>
      <c r="F776" t="inlineStr">
        <is>
          <t>16c28542802c7b636b310480df55eb76c28b715994e5434c8150b49e1809a7e2</t>
        </is>
      </c>
      <c r="G776" t="inlineStr">
        <is>
          <t>2026-08-08</t>
        </is>
      </c>
      <c r="H776" s="19" t="inlineStr">
        <is>
          <t>2</t>
        </is>
      </c>
      <c r="I776" t="inlineStr">
        <is>
          <t>Phase I generated Rev.00 Word file — linked; signatures not completed</t>
        </is>
      </c>
      <c r="J776" t="inlineStr">
        <is>
          <t>2026-08-10T19:29:54Z</t>
        </is>
      </c>
      <c r="K776" t="inlineStr">
        <is>
          <t>2026-08-10T19:49:41Z</t>
        </is>
      </c>
    </row>
    <row r="777">
      <c r="A777" s="19" t="inlineStr">
        <is>
          <t>776</t>
        </is>
      </c>
      <c r="B777" s="19" t="inlineStr">
        <is>
          <t>IA-PPWR-STM-ST-072-STD-23-R00</t>
        </is>
      </c>
      <c r="C777" t="inlineStr">
        <is>
          <t>IA-PPWR-STM-ST-072-STD-23-R00</t>
        </is>
      </c>
      <c r="D777" s="19" t="inlineStr">
        <is>
          <t>12</t>
        </is>
      </c>
      <c r="E777" t="inlineStr">
        <is>
          <t>01_STARTER/ST-072-STD-23/04_Shipment_Statement.docx</t>
        </is>
      </c>
      <c r="F777" t="inlineStr">
        <is>
          <t>bfdddc2aee183bd3e08f24f1a696525c0b88460fb9954d1418f69b3e893e26cd</t>
        </is>
      </c>
      <c r="G777" t="inlineStr">
        <is>
          <t>2026-08-08</t>
        </is>
      </c>
      <c r="H777" s="19" t="inlineStr">
        <is>
          <t>2</t>
        </is>
      </c>
      <c r="I777" t="inlineStr">
        <is>
          <t>Phase I generated Rev.00 Word file — linked; signatures not completed</t>
        </is>
      </c>
      <c r="J777" t="inlineStr">
        <is>
          <t>2026-08-10T19:29:54Z</t>
        </is>
      </c>
      <c r="K777" t="inlineStr">
        <is>
          <t>2026-08-10T19:49:41Z</t>
        </is>
      </c>
    </row>
    <row r="778">
      <c r="A778" s="19" t="inlineStr">
        <is>
          <t>777</t>
        </is>
      </c>
      <c r="B778" s="19" t="inlineStr">
        <is>
          <t>IA-PPWR-TF-ST-072-STD-24-R00</t>
        </is>
      </c>
      <c r="C778" t="inlineStr">
        <is>
          <t>IA-PPWR-TF-ST-072-STD-24-R00</t>
        </is>
      </c>
      <c r="D778" s="19" t="inlineStr">
        <is>
          <t>1</t>
        </is>
      </c>
      <c r="E778" t="inlineStr">
        <is>
          <t>01_STARTER/ST-072-STD-24/01_Technical_File.docx</t>
        </is>
      </c>
      <c r="F778" t="inlineStr">
        <is>
          <t>559aebdf025d159969ce7f3a57b2c5dcf25fc59592b8ebd7b51ba2501e878579</t>
        </is>
      </c>
      <c r="G778" t="inlineStr">
        <is>
          <t>2026-08-08</t>
        </is>
      </c>
      <c r="H778" s="19" t="inlineStr">
        <is>
          <t>2</t>
        </is>
      </c>
      <c r="I778" t="inlineStr">
        <is>
          <t>Phase I generated Rev.00 Word file — linked; signatures not completed</t>
        </is>
      </c>
      <c r="J778" t="inlineStr">
        <is>
          <t>2026-08-10T19:29:54Z</t>
        </is>
      </c>
      <c r="K778" t="inlineStr">
        <is>
          <t>2026-08-10T19:49:41Z</t>
        </is>
      </c>
    </row>
    <row r="779">
      <c r="A779" s="19" t="inlineStr">
        <is>
          <t>778</t>
        </is>
      </c>
      <c r="B779" s="19" t="inlineStr">
        <is>
          <t>IA-PPWR-DOC-ST-072-STD-24-R00</t>
        </is>
      </c>
      <c r="C779" t="inlineStr">
        <is>
          <t>IA-PPWR-DOC-ST-072-STD-24-R00</t>
        </is>
      </c>
      <c r="D779" s="19" t="inlineStr">
        <is>
          <t>4</t>
        </is>
      </c>
      <c r="E779" t="inlineStr">
        <is>
          <t>01_STARTER/ST-072-STD-24/02_EU_DoC.docx</t>
        </is>
      </c>
      <c r="F779" t="inlineStr">
        <is>
          <t>3b4ad452633c9c6124220d38ffb2f440ef366603b03033b06d70d94bd05d9373</t>
        </is>
      </c>
      <c r="G779" t="inlineStr">
        <is>
          <t>2026-08-08</t>
        </is>
      </c>
      <c r="H779" s="19" t="inlineStr">
        <is>
          <t>2</t>
        </is>
      </c>
      <c r="I779" t="inlineStr">
        <is>
          <t>Phase I generated Rev.00 Word file — linked; signatures not completed</t>
        </is>
      </c>
      <c r="J779" t="inlineStr">
        <is>
          <t>2026-08-10T19:29:54Z</t>
        </is>
      </c>
      <c r="K779" t="inlineStr">
        <is>
          <t>2026-08-10T19:49:41Z</t>
        </is>
      </c>
    </row>
    <row r="780">
      <c r="A780" s="19" t="inlineStr">
        <is>
          <t>779</t>
        </is>
      </c>
      <c r="B780" s="19" t="inlineStr">
        <is>
          <t>IA-PPWR-LBL-ST-072-STD-24-R00</t>
        </is>
      </c>
      <c r="C780" t="inlineStr">
        <is>
          <t>IA-PPWR-LBL-ST-072-STD-24-R00</t>
        </is>
      </c>
      <c r="D780" s="19" t="inlineStr">
        <is>
          <t>11</t>
        </is>
      </c>
      <c r="E780" t="inlineStr">
        <is>
          <t>01_STARTER/ST-072-STD-24/03_Label.docx</t>
        </is>
      </c>
      <c r="F780" t="inlineStr">
        <is>
          <t>ca32ee4eded6ff4ed5174f64379e728f98f4d9f71e7c189c91400e787821cdff</t>
        </is>
      </c>
      <c r="G780" t="inlineStr">
        <is>
          <t>2026-08-08</t>
        </is>
      </c>
      <c r="H780" s="19" t="inlineStr">
        <is>
          <t>2</t>
        </is>
      </c>
      <c r="I780" t="inlineStr">
        <is>
          <t>Phase I generated Rev.00 Word file — linked; signatures not completed</t>
        </is>
      </c>
      <c r="J780" t="inlineStr">
        <is>
          <t>2026-08-10T19:29:54Z</t>
        </is>
      </c>
      <c r="K780" t="inlineStr">
        <is>
          <t>2026-08-10T19:49:41Z</t>
        </is>
      </c>
    </row>
    <row r="781">
      <c r="A781" s="19" t="inlineStr">
        <is>
          <t>780</t>
        </is>
      </c>
      <c r="B781" s="19" t="inlineStr">
        <is>
          <t>IA-PPWR-STM-ST-072-STD-24-R00</t>
        </is>
      </c>
      <c r="C781" t="inlineStr">
        <is>
          <t>IA-PPWR-STM-ST-072-STD-24-R00</t>
        </is>
      </c>
      <c r="D781" s="19" t="inlineStr">
        <is>
          <t>12</t>
        </is>
      </c>
      <c r="E781" t="inlineStr">
        <is>
          <t>01_STARTER/ST-072-STD-24/04_Shipment_Statement.docx</t>
        </is>
      </c>
      <c r="F781" t="inlineStr">
        <is>
          <t>0dc9bdb16c106645e5ef6eb0d74c65bc6556803c2182f0c7f66cdb391cfd3b75</t>
        </is>
      </c>
      <c r="G781" t="inlineStr">
        <is>
          <t>2026-08-08</t>
        </is>
      </c>
      <c r="H781" s="19" t="inlineStr">
        <is>
          <t>2</t>
        </is>
      </c>
      <c r="I781" t="inlineStr">
        <is>
          <t>Phase I generated Rev.00 Word file — linked; signatures not completed</t>
        </is>
      </c>
      <c r="J781" t="inlineStr">
        <is>
          <t>2026-08-10T19:29:54Z</t>
        </is>
      </c>
      <c r="K781" t="inlineStr">
        <is>
          <t>2026-08-10T19:49:41Z</t>
        </is>
      </c>
    </row>
    <row r="782">
      <c r="A782" s="19" t="inlineStr">
        <is>
          <t>781</t>
        </is>
      </c>
      <c r="B782" s="19" t="inlineStr">
        <is>
          <t>IA-PPWR-TF-ST-072-STD-25-R00</t>
        </is>
      </c>
      <c r="C782" t="inlineStr">
        <is>
          <t>IA-PPWR-TF-ST-072-STD-25-R00</t>
        </is>
      </c>
      <c r="D782" s="19" t="inlineStr">
        <is>
          <t>1</t>
        </is>
      </c>
      <c r="E782" t="inlineStr">
        <is>
          <t>01_STARTER/ST-072-STD-25/01_Technical_File.docx</t>
        </is>
      </c>
      <c r="F782" t="inlineStr">
        <is>
          <t>9365fc489a11ca36c566dfabb7d1536f7c47100e0061f70b8aef18f42db48634</t>
        </is>
      </c>
      <c r="G782" t="inlineStr">
        <is>
          <t>2026-08-08</t>
        </is>
      </c>
      <c r="H782" s="19" t="inlineStr">
        <is>
          <t>2</t>
        </is>
      </c>
      <c r="I782" t="inlineStr">
        <is>
          <t>Phase I generated Rev.00 Word file — linked; signatures not completed</t>
        </is>
      </c>
      <c r="J782" t="inlineStr">
        <is>
          <t>2026-08-10T19:29:54Z</t>
        </is>
      </c>
      <c r="K782" t="inlineStr">
        <is>
          <t>2026-08-10T19:49:41Z</t>
        </is>
      </c>
    </row>
    <row r="783">
      <c r="A783" s="19" t="inlineStr">
        <is>
          <t>782</t>
        </is>
      </c>
      <c r="B783" s="19" t="inlineStr">
        <is>
          <t>IA-PPWR-DOC-ST-072-STD-25-R00</t>
        </is>
      </c>
      <c r="C783" t="inlineStr">
        <is>
          <t>IA-PPWR-DOC-ST-072-STD-25-R00</t>
        </is>
      </c>
      <c r="D783" s="19" t="inlineStr">
        <is>
          <t>4</t>
        </is>
      </c>
      <c r="E783" t="inlineStr">
        <is>
          <t>01_STARTER/ST-072-STD-25/02_EU_DoC.docx</t>
        </is>
      </c>
      <c r="F783" t="inlineStr">
        <is>
          <t>9a96ef726f80465adbb65377a23d1d765e1614c6e5b949793ddf081303bd54e9</t>
        </is>
      </c>
      <c r="G783" t="inlineStr">
        <is>
          <t>2026-08-08</t>
        </is>
      </c>
      <c r="H783" s="19" t="inlineStr">
        <is>
          <t>2</t>
        </is>
      </c>
      <c r="I783" t="inlineStr">
        <is>
          <t>Phase I generated Rev.00 Word file — linked; signatures not completed</t>
        </is>
      </c>
      <c r="J783" t="inlineStr">
        <is>
          <t>2026-08-10T19:29:54Z</t>
        </is>
      </c>
      <c r="K783" t="inlineStr">
        <is>
          <t>2026-08-10T19:49:41Z</t>
        </is>
      </c>
    </row>
    <row r="784">
      <c r="A784" s="19" t="inlineStr">
        <is>
          <t>783</t>
        </is>
      </c>
      <c r="B784" s="19" t="inlineStr">
        <is>
          <t>IA-PPWR-LBL-ST-072-STD-25-R00</t>
        </is>
      </c>
      <c r="C784" t="inlineStr">
        <is>
          <t>IA-PPWR-LBL-ST-072-STD-25-R00</t>
        </is>
      </c>
      <c r="D784" s="19" t="inlineStr">
        <is>
          <t>11</t>
        </is>
      </c>
      <c r="E784" t="inlineStr">
        <is>
          <t>01_STARTER/ST-072-STD-25/03_Label.docx</t>
        </is>
      </c>
      <c r="F784" t="inlineStr">
        <is>
          <t>2a75d86a161efcf202b961febc6362562b69a793f74e26ae89894a23a2531a33</t>
        </is>
      </c>
      <c r="G784" t="inlineStr">
        <is>
          <t>2026-08-08</t>
        </is>
      </c>
      <c r="H784" s="19" t="inlineStr">
        <is>
          <t>2</t>
        </is>
      </c>
      <c r="I784" t="inlineStr">
        <is>
          <t>Phase I generated Rev.00 Word file — linked; signatures not completed</t>
        </is>
      </c>
      <c r="J784" t="inlineStr">
        <is>
          <t>2026-08-10T19:29:54Z</t>
        </is>
      </c>
      <c r="K784" t="inlineStr">
        <is>
          <t>2026-08-10T19:49:41Z</t>
        </is>
      </c>
    </row>
    <row r="785">
      <c r="A785" s="19" t="inlineStr">
        <is>
          <t>784</t>
        </is>
      </c>
      <c r="B785" s="19" t="inlineStr">
        <is>
          <t>IA-PPWR-STM-ST-072-STD-25-R00</t>
        </is>
      </c>
      <c r="C785" t="inlineStr">
        <is>
          <t>IA-PPWR-STM-ST-072-STD-25-R00</t>
        </is>
      </c>
      <c r="D785" s="19" t="inlineStr">
        <is>
          <t>12</t>
        </is>
      </c>
      <c r="E785" t="inlineStr">
        <is>
          <t>01_STARTER/ST-072-STD-25/04_Shipment_Statement.docx</t>
        </is>
      </c>
      <c r="F785" t="inlineStr">
        <is>
          <t>bf611e6edc70a7d79114c6c2496cec295c96ec4521c33dfafd7a67c3161a511a</t>
        </is>
      </c>
      <c r="G785" t="inlineStr">
        <is>
          <t>2026-08-08</t>
        </is>
      </c>
      <c r="H785" s="19" t="inlineStr">
        <is>
          <t>2</t>
        </is>
      </c>
      <c r="I785" t="inlineStr">
        <is>
          <t>Phase I generated Rev.00 Word file — linked; signatures not completed</t>
        </is>
      </c>
      <c r="J785" t="inlineStr">
        <is>
          <t>2026-08-10T19:29:54Z</t>
        </is>
      </c>
      <c r="K785" t="inlineStr">
        <is>
          <t>2026-08-10T19:49:41Z</t>
        </is>
      </c>
    </row>
    <row r="786">
      <c r="A786" s="19" t="inlineStr">
        <is>
          <t>785</t>
        </is>
      </c>
      <c r="B786" s="19" t="inlineStr">
        <is>
          <t>IA-PPWR-TF-ST-076-EUR-01-R00</t>
        </is>
      </c>
      <c r="C786" t="inlineStr">
        <is>
          <t>IA-PPWR-TF-ST-076-EUR-01-R00</t>
        </is>
      </c>
      <c r="D786" s="19" t="inlineStr">
        <is>
          <t>1</t>
        </is>
      </c>
      <c r="E786" t="inlineStr">
        <is>
          <t>01_STARTER/ST-076-EUR-01/01_Technical_File.docx</t>
        </is>
      </c>
      <c r="F786" t="inlineStr">
        <is>
          <t>ead9e53f3480a37736d62d715640c9a185bac22c65bee2f64d5ce76a26c25751</t>
        </is>
      </c>
      <c r="G786" t="inlineStr">
        <is>
          <t>2026-08-08</t>
        </is>
      </c>
      <c r="H786" s="19" t="inlineStr">
        <is>
          <t>2</t>
        </is>
      </c>
      <c r="I786" t="inlineStr">
        <is>
          <t>Phase I generated Rev.00 Word file — linked; signatures not completed</t>
        </is>
      </c>
      <c r="J786" t="inlineStr">
        <is>
          <t>2026-08-10T19:29:54Z</t>
        </is>
      </c>
      <c r="K786" t="inlineStr">
        <is>
          <t>2026-08-10T19:49:41Z</t>
        </is>
      </c>
    </row>
    <row r="787">
      <c r="A787" s="19" t="inlineStr">
        <is>
          <t>786</t>
        </is>
      </c>
      <c r="B787" s="19" t="inlineStr">
        <is>
          <t>IA-PPWR-DOC-ST-076-EUR-01-R00</t>
        </is>
      </c>
      <c r="C787" t="inlineStr">
        <is>
          <t>IA-PPWR-DOC-ST-076-EUR-01-R00</t>
        </is>
      </c>
      <c r="D787" s="19" t="inlineStr">
        <is>
          <t>4</t>
        </is>
      </c>
      <c r="E787" t="inlineStr">
        <is>
          <t>01_STARTER/ST-076-EUR-01/02_EU_DoC.docx</t>
        </is>
      </c>
      <c r="F787" t="inlineStr">
        <is>
          <t>6f247bd72df6e97e8e743a9b431c7687a6a7da349f98b146a38c3bf7a1759752</t>
        </is>
      </c>
      <c r="G787" t="inlineStr">
        <is>
          <t>2026-08-08</t>
        </is>
      </c>
      <c r="H787" s="19" t="inlineStr">
        <is>
          <t>2</t>
        </is>
      </c>
      <c r="I787" t="inlineStr">
        <is>
          <t>Phase I generated Rev.00 Word file — linked; signatures not completed</t>
        </is>
      </c>
      <c r="J787" t="inlineStr">
        <is>
          <t>2026-08-10T19:29:54Z</t>
        </is>
      </c>
      <c r="K787" t="inlineStr">
        <is>
          <t>2026-08-10T19:49:41Z</t>
        </is>
      </c>
    </row>
    <row r="788">
      <c r="A788" s="19" t="inlineStr">
        <is>
          <t>787</t>
        </is>
      </c>
      <c r="B788" s="19" t="inlineStr">
        <is>
          <t>IA-PPWR-LBL-ST-076-EUR-01-R00</t>
        </is>
      </c>
      <c r="C788" t="inlineStr">
        <is>
          <t>IA-PPWR-LBL-ST-076-EUR-01-R00</t>
        </is>
      </c>
      <c r="D788" s="19" t="inlineStr">
        <is>
          <t>11</t>
        </is>
      </c>
      <c r="E788" t="inlineStr">
        <is>
          <t>01_STARTER/ST-076-EUR-01/03_Label.docx</t>
        </is>
      </c>
      <c r="F788" t="inlineStr">
        <is>
          <t>421ac579710e6b58b22526bf42a58a9b03c6e9521f4c39ec0af8d95e31514dad</t>
        </is>
      </c>
      <c r="G788" t="inlineStr">
        <is>
          <t>2026-08-08</t>
        </is>
      </c>
      <c r="H788" s="19" t="inlineStr">
        <is>
          <t>2</t>
        </is>
      </c>
      <c r="I788" t="inlineStr">
        <is>
          <t>Phase I generated Rev.00 Word file — linked; signatures not completed</t>
        </is>
      </c>
      <c r="J788" t="inlineStr">
        <is>
          <t>2026-08-10T19:29:54Z</t>
        </is>
      </c>
      <c r="K788" t="inlineStr">
        <is>
          <t>2026-08-10T19:49:41Z</t>
        </is>
      </c>
    </row>
    <row r="789">
      <c r="A789" s="19" t="inlineStr">
        <is>
          <t>788</t>
        </is>
      </c>
      <c r="B789" s="19" t="inlineStr">
        <is>
          <t>IA-PPWR-STM-ST-076-EUR-01-R00</t>
        </is>
      </c>
      <c r="C789" t="inlineStr">
        <is>
          <t>IA-PPWR-STM-ST-076-EUR-01-R00</t>
        </is>
      </c>
      <c r="D789" s="19" t="inlineStr">
        <is>
          <t>12</t>
        </is>
      </c>
      <c r="E789" t="inlineStr">
        <is>
          <t>01_STARTER/ST-076-EUR-01/04_Shipment_Statement.docx</t>
        </is>
      </c>
      <c r="F789" t="inlineStr">
        <is>
          <t>a62ab8102a936996886c1db76fad37029773bf130ecb599c7377a17ddbf36b16</t>
        </is>
      </c>
      <c r="G789" t="inlineStr">
        <is>
          <t>2026-08-08</t>
        </is>
      </c>
      <c r="H789" s="19" t="inlineStr">
        <is>
          <t>2</t>
        </is>
      </c>
      <c r="I789" t="inlineStr">
        <is>
          <t>Phase I generated Rev.00 Word file — linked; signatures not completed</t>
        </is>
      </c>
      <c r="J789" t="inlineStr">
        <is>
          <t>2026-08-10T19:29:54Z</t>
        </is>
      </c>
      <c r="K789" t="inlineStr">
        <is>
          <t>2026-08-10T19:49:41Z</t>
        </is>
      </c>
    </row>
    <row r="790">
      <c r="A790" s="19" t="inlineStr">
        <is>
          <t>789</t>
        </is>
      </c>
      <c r="B790" s="19" t="inlineStr">
        <is>
          <t>IA-PPWR-TF-ST-076-EUR-02-R00</t>
        </is>
      </c>
      <c r="C790" t="inlineStr">
        <is>
          <t>IA-PPWR-TF-ST-076-EUR-02-R00</t>
        </is>
      </c>
      <c r="D790" s="19" t="inlineStr">
        <is>
          <t>1</t>
        </is>
      </c>
      <c r="E790" t="inlineStr">
        <is>
          <t>01_STARTER/ST-076-EUR-02/01_Technical_File.docx</t>
        </is>
      </c>
      <c r="F790" t="inlineStr">
        <is>
          <t>901eec1c6191aa91158a07f7e5f7050e564c9f979028520e8c2cec9eb423dd1e</t>
        </is>
      </c>
      <c r="G790" t="inlineStr">
        <is>
          <t>2026-08-08</t>
        </is>
      </c>
      <c r="H790" s="19" t="inlineStr">
        <is>
          <t>2</t>
        </is>
      </c>
      <c r="I790" t="inlineStr">
        <is>
          <t>Phase I generated Rev.00 Word file — linked; signatures not completed</t>
        </is>
      </c>
      <c r="J790" t="inlineStr">
        <is>
          <t>2026-08-10T19:29:54Z</t>
        </is>
      </c>
      <c r="K790" t="inlineStr">
        <is>
          <t>2026-08-10T19:49:41Z</t>
        </is>
      </c>
    </row>
    <row r="791">
      <c r="A791" s="19" t="inlineStr">
        <is>
          <t>790</t>
        </is>
      </c>
      <c r="B791" s="19" t="inlineStr">
        <is>
          <t>IA-PPWR-DOC-ST-076-EUR-02-R00</t>
        </is>
      </c>
      <c r="C791" t="inlineStr">
        <is>
          <t>IA-PPWR-DOC-ST-076-EUR-02-R00</t>
        </is>
      </c>
      <c r="D791" s="19" t="inlineStr">
        <is>
          <t>4</t>
        </is>
      </c>
      <c r="E791" t="inlineStr">
        <is>
          <t>01_STARTER/ST-076-EUR-02/02_EU_DoC.docx</t>
        </is>
      </c>
      <c r="F791" t="inlineStr">
        <is>
          <t>c24b5d10b2fd2b50226b25e9abb7ced3417c3d397ce822f0863920be493bfc8f</t>
        </is>
      </c>
      <c r="G791" t="inlineStr">
        <is>
          <t>2026-08-08</t>
        </is>
      </c>
      <c r="H791" s="19" t="inlineStr">
        <is>
          <t>2</t>
        </is>
      </c>
      <c r="I791" t="inlineStr">
        <is>
          <t>Phase I generated Rev.00 Word file — linked; signatures not completed</t>
        </is>
      </c>
      <c r="J791" t="inlineStr">
        <is>
          <t>2026-08-10T19:29:54Z</t>
        </is>
      </c>
      <c r="K791" t="inlineStr">
        <is>
          <t>2026-08-10T19:49:41Z</t>
        </is>
      </c>
    </row>
    <row r="792">
      <c r="A792" s="19" t="inlineStr">
        <is>
          <t>791</t>
        </is>
      </c>
      <c r="B792" s="19" t="inlineStr">
        <is>
          <t>IA-PPWR-LBL-ST-076-EUR-02-R00</t>
        </is>
      </c>
      <c r="C792" t="inlineStr">
        <is>
          <t>IA-PPWR-LBL-ST-076-EUR-02-R00</t>
        </is>
      </c>
      <c r="D792" s="19" t="inlineStr">
        <is>
          <t>11</t>
        </is>
      </c>
      <c r="E792" t="inlineStr">
        <is>
          <t>01_STARTER/ST-076-EUR-02/03_Label.docx</t>
        </is>
      </c>
      <c r="F792" t="inlineStr">
        <is>
          <t>64333414effbfcf037375f534ea29dbc0c1a8a476d06279ed4394afe7ca1e7b0</t>
        </is>
      </c>
      <c r="G792" t="inlineStr">
        <is>
          <t>2026-08-08</t>
        </is>
      </c>
      <c r="H792" s="19" t="inlineStr">
        <is>
          <t>2</t>
        </is>
      </c>
      <c r="I792" t="inlineStr">
        <is>
          <t>Phase I generated Rev.00 Word file — linked; signatures not completed</t>
        </is>
      </c>
      <c r="J792" t="inlineStr">
        <is>
          <t>2026-08-10T19:29:54Z</t>
        </is>
      </c>
      <c r="K792" t="inlineStr">
        <is>
          <t>2026-08-10T19:49:41Z</t>
        </is>
      </c>
    </row>
    <row r="793">
      <c r="A793" s="19" t="inlineStr">
        <is>
          <t>792</t>
        </is>
      </c>
      <c r="B793" s="19" t="inlineStr">
        <is>
          <t>IA-PPWR-STM-ST-076-EUR-02-R00</t>
        </is>
      </c>
      <c r="C793" t="inlineStr">
        <is>
          <t>IA-PPWR-STM-ST-076-EUR-02-R00</t>
        </is>
      </c>
      <c r="D793" s="19" t="inlineStr">
        <is>
          <t>12</t>
        </is>
      </c>
      <c r="E793" t="inlineStr">
        <is>
          <t>01_STARTER/ST-076-EUR-02/04_Shipment_Statement.docx</t>
        </is>
      </c>
      <c r="F793" t="inlineStr">
        <is>
          <t>dc9b1207996f420d578ce6311abf7cb24bbdcfe9e19fe3ec2d7f355986962988</t>
        </is>
      </c>
      <c r="G793" t="inlineStr">
        <is>
          <t>2026-08-08</t>
        </is>
      </c>
      <c r="H793" s="19" t="inlineStr">
        <is>
          <t>2</t>
        </is>
      </c>
      <c r="I793" t="inlineStr">
        <is>
          <t>Phase I generated Rev.00 Word file — linked; signatures not completed</t>
        </is>
      </c>
      <c r="J793" t="inlineStr">
        <is>
          <t>2026-08-10T19:29:54Z</t>
        </is>
      </c>
      <c r="K793" t="inlineStr">
        <is>
          <t>2026-08-10T19:49:41Z</t>
        </is>
      </c>
    </row>
    <row r="794">
      <c r="A794" s="19" t="inlineStr">
        <is>
          <t>793</t>
        </is>
      </c>
      <c r="B794" s="19" t="inlineStr">
        <is>
          <t>IA-PPWR-TF-ST-076-EUR-03-R00</t>
        </is>
      </c>
      <c r="C794" t="inlineStr">
        <is>
          <t>IA-PPWR-TF-ST-076-EUR-03-R00</t>
        </is>
      </c>
      <c r="D794" s="19" t="inlineStr">
        <is>
          <t>1</t>
        </is>
      </c>
      <c r="E794" t="inlineStr">
        <is>
          <t>01_STARTER/ST-076-EUR-03/01_Technical_File.docx</t>
        </is>
      </c>
      <c r="F794" t="inlineStr">
        <is>
          <t>979a78de15e2ada4d2d69be2f53fdb64cb44cd849fea87bed958a51d29a457aa</t>
        </is>
      </c>
      <c r="G794" t="inlineStr">
        <is>
          <t>2026-08-08</t>
        </is>
      </c>
      <c r="H794" s="19" t="inlineStr">
        <is>
          <t>2</t>
        </is>
      </c>
      <c r="I794" t="inlineStr">
        <is>
          <t>Phase I generated Rev.00 Word file — linked; signatures not completed</t>
        </is>
      </c>
      <c r="J794" t="inlineStr">
        <is>
          <t>2026-08-10T19:29:54Z</t>
        </is>
      </c>
      <c r="K794" t="inlineStr">
        <is>
          <t>2026-08-10T19:49:41Z</t>
        </is>
      </c>
    </row>
    <row r="795">
      <c r="A795" s="19" t="inlineStr">
        <is>
          <t>794</t>
        </is>
      </c>
      <c r="B795" s="19" t="inlineStr">
        <is>
          <t>IA-PPWR-DOC-ST-076-EUR-03-R00</t>
        </is>
      </c>
      <c r="C795" t="inlineStr">
        <is>
          <t>IA-PPWR-DOC-ST-076-EUR-03-R00</t>
        </is>
      </c>
      <c r="D795" s="19" t="inlineStr">
        <is>
          <t>4</t>
        </is>
      </c>
      <c r="E795" t="inlineStr">
        <is>
          <t>01_STARTER/ST-076-EUR-03/02_EU_DoC.docx</t>
        </is>
      </c>
      <c r="F795" t="inlineStr">
        <is>
          <t>b583a390d3bf6a729b91af1a4d95dea29944bfa0036f3302426b333e267140e1</t>
        </is>
      </c>
      <c r="G795" t="inlineStr">
        <is>
          <t>2026-08-08</t>
        </is>
      </c>
      <c r="H795" s="19" t="inlineStr">
        <is>
          <t>2</t>
        </is>
      </c>
      <c r="I795" t="inlineStr">
        <is>
          <t>Phase I generated Rev.00 Word file — linked; signatures not completed</t>
        </is>
      </c>
      <c r="J795" t="inlineStr">
        <is>
          <t>2026-08-10T19:29:54Z</t>
        </is>
      </c>
      <c r="K795" t="inlineStr">
        <is>
          <t>2026-08-10T19:49:41Z</t>
        </is>
      </c>
    </row>
    <row r="796">
      <c r="A796" s="19" t="inlineStr">
        <is>
          <t>795</t>
        </is>
      </c>
      <c r="B796" s="19" t="inlineStr">
        <is>
          <t>IA-PPWR-LBL-ST-076-EUR-03-R00</t>
        </is>
      </c>
      <c r="C796" t="inlineStr">
        <is>
          <t>IA-PPWR-LBL-ST-076-EUR-03-R00</t>
        </is>
      </c>
      <c r="D796" s="19" t="inlineStr">
        <is>
          <t>11</t>
        </is>
      </c>
      <c r="E796" t="inlineStr">
        <is>
          <t>01_STARTER/ST-076-EUR-03/03_Label.docx</t>
        </is>
      </c>
      <c r="F796" t="inlineStr">
        <is>
          <t>020e7aae346bbef0cda438856bfcf14b98bbf64a73a8c77238bf4ccb878b5124</t>
        </is>
      </c>
      <c r="G796" t="inlineStr">
        <is>
          <t>2026-08-08</t>
        </is>
      </c>
      <c r="H796" s="19" t="inlineStr">
        <is>
          <t>2</t>
        </is>
      </c>
      <c r="I796" t="inlineStr">
        <is>
          <t>Phase I generated Rev.00 Word file — linked; signatures not completed</t>
        </is>
      </c>
      <c r="J796" t="inlineStr">
        <is>
          <t>2026-08-10T19:29:54Z</t>
        </is>
      </c>
      <c r="K796" t="inlineStr">
        <is>
          <t>2026-08-10T19:49:41Z</t>
        </is>
      </c>
    </row>
    <row r="797">
      <c r="A797" s="19" t="inlineStr">
        <is>
          <t>796</t>
        </is>
      </c>
      <c r="B797" s="19" t="inlineStr">
        <is>
          <t>IA-PPWR-STM-ST-076-EUR-03-R00</t>
        </is>
      </c>
      <c r="C797" t="inlineStr">
        <is>
          <t>IA-PPWR-STM-ST-076-EUR-03-R00</t>
        </is>
      </c>
      <c r="D797" s="19" t="inlineStr">
        <is>
          <t>12</t>
        </is>
      </c>
      <c r="E797" t="inlineStr">
        <is>
          <t>01_STARTER/ST-076-EUR-03/04_Shipment_Statement.docx</t>
        </is>
      </c>
      <c r="F797" t="inlineStr">
        <is>
          <t>77e396a61e1e03a625acc4aa0c6a6303efae3d628a5e209e4de9542bcc3253f2</t>
        </is>
      </c>
      <c r="G797" t="inlineStr">
        <is>
          <t>2026-08-08</t>
        </is>
      </c>
      <c r="H797" s="19" t="inlineStr">
        <is>
          <t>2</t>
        </is>
      </c>
      <c r="I797" t="inlineStr">
        <is>
          <t>Phase I generated Rev.00 Word file — linked; signatures not completed</t>
        </is>
      </c>
      <c r="J797" t="inlineStr">
        <is>
          <t>2026-08-10T19:29:54Z</t>
        </is>
      </c>
      <c r="K797" t="inlineStr">
        <is>
          <t>2026-08-10T19:49:41Z</t>
        </is>
      </c>
    </row>
    <row r="798">
      <c r="A798" s="19" t="inlineStr">
        <is>
          <t>797</t>
        </is>
      </c>
      <c r="B798" s="19" t="inlineStr">
        <is>
          <t>IA-PPWR-TF-ST-076-EUR-04-R00</t>
        </is>
      </c>
      <c r="C798" t="inlineStr">
        <is>
          <t>IA-PPWR-TF-ST-076-EUR-04-R00</t>
        </is>
      </c>
      <c r="D798" s="19" t="inlineStr">
        <is>
          <t>1</t>
        </is>
      </c>
      <c r="E798" t="inlineStr">
        <is>
          <t>01_STARTER/ST-076-EUR-04/01_Technical_File.docx</t>
        </is>
      </c>
      <c r="F798" t="inlineStr">
        <is>
          <t>a13975477c220d59b7d8609dfc4bec3180c75db169b9356fd1dafd09bd1d83c4</t>
        </is>
      </c>
      <c r="G798" t="inlineStr">
        <is>
          <t>2026-08-08</t>
        </is>
      </c>
      <c r="H798" s="19" t="inlineStr">
        <is>
          <t>2</t>
        </is>
      </c>
      <c r="I798" t="inlineStr">
        <is>
          <t>Phase I generated Rev.00 Word file — linked; signatures not completed</t>
        </is>
      </c>
      <c r="J798" t="inlineStr">
        <is>
          <t>2026-08-10T19:29:54Z</t>
        </is>
      </c>
      <c r="K798" t="inlineStr">
        <is>
          <t>2026-08-10T19:49:41Z</t>
        </is>
      </c>
    </row>
    <row r="799">
      <c r="A799" s="19" t="inlineStr">
        <is>
          <t>798</t>
        </is>
      </c>
      <c r="B799" s="19" t="inlineStr">
        <is>
          <t>IA-PPWR-DOC-ST-076-EUR-04-R00</t>
        </is>
      </c>
      <c r="C799" t="inlineStr">
        <is>
          <t>IA-PPWR-DOC-ST-076-EUR-04-R00</t>
        </is>
      </c>
      <c r="D799" s="19" t="inlineStr">
        <is>
          <t>4</t>
        </is>
      </c>
      <c r="E799" t="inlineStr">
        <is>
          <t>01_STARTER/ST-076-EUR-04/02_EU_DoC.docx</t>
        </is>
      </c>
      <c r="F799" t="inlineStr">
        <is>
          <t>5844bfb1c10a1200700da884b1f0322c882bd45061b1c9793c17d8121bd445d5</t>
        </is>
      </c>
      <c r="G799" t="inlineStr">
        <is>
          <t>2026-08-08</t>
        </is>
      </c>
      <c r="H799" s="19" t="inlineStr">
        <is>
          <t>2</t>
        </is>
      </c>
      <c r="I799" t="inlineStr">
        <is>
          <t>Phase I generated Rev.00 Word file — linked; signatures not completed</t>
        </is>
      </c>
      <c r="J799" t="inlineStr">
        <is>
          <t>2026-08-10T19:29:54Z</t>
        </is>
      </c>
      <c r="K799" t="inlineStr">
        <is>
          <t>2026-08-10T19:49:41Z</t>
        </is>
      </c>
    </row>
    <row r="800">
      <c r="A800" s="19" t="inlineStr">
        <is>
          <t>799</t>
        </is>
      </c>
      <c r="B800" s="19" t="inlineStr">
        <is>
          <t>IA-PPWR-LBL-ST-076-EUR-04-R00</t>
        </is>
      </c>
      <c r="C800" t="inlineStr">
        <is>
          <t>IA-PPWR-LBL-ST-076-EUR-04-R00</t>
        </is>
      </c>
      <c r="D800" s="19" t="inlineStr">
        <is>
          <t>11</t>
        </is>
      </c>
      <c r="E800" t="inlineStr">
        <is>
          <t>01_STARTER/ST-076-EUR-04/03_Label.docx</t>
        </is>
      </c>
      <c r="F800" t="inlineStr">
        <is>
          <t>25b44b67763d1409d49662255706ff63293ef9c6d865b8094c2b440378e7c5e0</t>
        </is>
      </c>
      <c r="G800" t="inlineStr">
        <is>
          <t>2026-08-08</t>
        </is>
      </c>
      <c r="H800" s="19" t="inlineStr">
        <is>
          <t>2</t>
        </is>
      </c>
      <c r="I800" t="inlineStr">
        <is>
          <t>Phase I generated Rev.00 Word file — linked; signatures not completed</t>
        </is>
      </c>
      <c r="J800" t="inlineStr">
        <is>
          <t>2026-08-10T19:29:54Z</t>
        </is>
      </c>
      <c r="K800" t="inlineStr">
        <is>
          <t>2026-08-10T19:49:41Z</t>
        </is>
      </c>
    </row>
    <row r="801">
      <c r="A801" s="19" t="inlineStr">
        <is>
          <t>800</t>
        </is>
      </c>
      <c r="B801" s="19" t="inlineStr">
        <is>
          <t>IA-PPWR-STM-ST-076-EUR-04-R00</t>
        </is>
      </c>
      <c r="C801" t="inlineStr">
        <is>
          <t>IA-PPWR-STM-ST-076-EUR-04-R00</t>
        </is>
      </c>
      <c r="D801" s="19" t="inlineStr">
        <is>
          <t>12</t>
        </is>
      </c>
      <c r="E801" t="inlineStr">
        <is>
          <t>01_STARTER/ST-076-EUR-04/04_Shipment_Statement.docx</t>
        </is>
      </c>
      <c r="F801" t="inlineStr">
        <is>
          <t>71be71c1d0055664004a3485be40e729bc91a98e99f7c3de1aabf1ab68164db2</t>
        </is>
      </c>
      <c r="G801" t="inlineStr">
        <is>
          <t>2026-08-08</t>
        </is>
      </c>
      <c r="H801" s="19" t="inlineStr">
        <is>
          <t>2</t>
        </is>
      </c>
      <c r="I801" t="inlineStr">
        <is>
          <t>Phase I generated Rev.00 Word file — linked; signatures not completed</t>
        </is>
      </c>
      <c r="J801" t="inlineStr">
        <is>
          <t>2026-08-10T19:29:54Z</t>
        </is>
      </c>
      <c r="K801" t="inlineStr">
        <is>
          <t>2026-08-10T19:49:41Z</t>
        </is>
      </c>
    </row>
    <row r="802">
      <c r="A802" s="19" t="inlineStr">
        <is>
          <t>801</t>
        </is>
      </c>
      <c r="B802" s="19" t="inlineStr">
        <is>
          <t>IA-PPWR-TF-ST-080-EUR-01-R00</t>
        </is>
      </c>
      <c r="C802" t="inlineStr">
        <is>
          <t>IA-PPWR-TF-ST-080-EUR-01-R00</t>
        </is>
      </c>
      <c r="D802" s="19" t="inlineStr">
        <is>
          <t>1</t>
        </is>
      </c>
      <c r="E802" t="inlineStr">
        <is>
          <t>01_STARTER/ST-080-EUR-01/01_Technical_File.docx</t>
        </is>
      </c>
      <c r="F802" t="inlineStr">
        <is>
          <t>f495f906a475bd805a2d31387c64a33809d2d6315cc68986ec997ad0ef259b68</t>
        </is>
      </c>
      <c r="G802" t="inlineStr">
        <is>
          <t>2026-08-08</t>
        </is>
      </c>
      <c r="H802" s="19" t="inlineStr">
        <is>
          <t>2</t>
        </is>
      </c>
      <c r="I802" t="inlineStr">
        <is>
          <t>Phase I generated Rev.00 Word file — linked; signatures not completed</t>
        </is>
      </c>
      <c r="J802" t="inlineStr">
        <is>
          <t>2026-08-10T19:29:54Z</t>
        </is>
      </c>
      <c r="K802" t="inlineStr">
        <is>
          <t>2026-08-10T19:49:41Z</t>
        </is>
      </c>
    </row>
    <row r="803">
      <c r="A803" s="19" t="inlineStr">
        <is>
          <t>802</t>
        </is>
      </c>
      <c r="B803" s="19" t="inlineStr">
        <is>
          <t>IA-PPWR-DOC-ST-080-EUR-01-R00</t>
        </is>
      </c>
      <c r="C803" t="inlineStr">
        <is>
          <t>IA-PPWR-DOC-ST-080-EUR-01-R00</t>
        </is>
      </c>
      <c r="D803" s="19" t="inlineStr">
        <is>
          <t>4</t>
        </is>
      </c>
      <c r="E803" t="inlineStr">
        <is>
          <t>01_STARTER/ST-080-EUR-01/02_EU_DoC.docx</t>
        </is>
      </c>
      <c r="F803" t="inlineStr">
        <is>
          <t>e8a26c70887892c7380d43473466069228898f8aa7a0d8348b44912db0d605d0</t>
        </is>
      </c>
      <c r="G803" t="inlineStr">
        <is>
          <t>2026-08-08</t>
        </is>
      </c>
      <c r="H803" s="19" t="inlineStr">
        <is>
          <t>2</t>
        </is>
      </c>
      <c r="I803" t="inlineStr">
        <is>
          <t>Phase I generated Rev.00 Word file — linked; signatures not completed</t>
        </is>
      </c>
      <c r="J803" t="inlineStr">
        <is>
          <t>2026-08-10T19:29:54Z</t>
        </is>
      </c>
      <c r="K803" t="inlineStr">
        <is>
          <t>2026-08-10T19:49:41Z</t>
        </is>
      </c>
    </row>
    <row r="804">
      <c r="A804" s="19" t="inlineStr">
        <is>
          <t>803</t>
        </is>
      </c>
      <c r="B804" s="19" t="inlineStr">
        <is>
          <t>IA-PPWR-LBL-ST-080-EUR-01-R00</t>
        </is>
      </c>
      <c r="C804" t="inlineStr">
        <is>
          <t>IA-PPWR-LBL-ST-080-EUR-01-R00</t>
        </is>
      </c>
      <c r="D804" s="19" t="inlineStr">
        <is>
          <t>11</t>
        </is>
      </c>
      <c r="E804" t="inlineStr">
        <is>
          <t>01_STARTER/ST-080-EUR-01/03_Label.docx</t>
        </is>
      </c>
      <c r="F804" t="inlineStr">
        <is>
          <t>05f5a04c148b793cae07459145d40890b60550165d453a97ec3d5f92218f5dad</t>
        </is>
      </c>
      <c r="G804" t="inlineStr">
        <is>
          <t>2026-08-08</t>
        </is>
      </c>
      <c r="H804" s="19" t="inlineStr">
        <is>
          <t>2</t>
        </is>
      </c>
      <c r="I804" t="inlineStr">
        <is>
          <t>Phase I generated Rev.00 Word file — linked; signatures not completed</t>
        </is>
      </c>
      <c r="J804" t="inlineStr">
        <is>
          <t>2026-08-10T19:29:54Z</t>
        </is>
      </c>
      <c r="K804" t="inlineStr">
        <is>
          <t>2026-08-10T19:49:41Z</t>
        </is>
      </c>
    </row>
    <row r="805">
      <c r="A805" s="19" t="inlineStr">
        <is>
          <t>804</t>
        </is>
      </c>
      <c r="B805" s="19" t="inlineStr">
        <is>
          <t>IA-PPWR-STM-ST-080-EUR-01-R00</t>
        </is>
      </c>
      <c r="C805" t="inlineStr">
        <is>
          <t>IA-PPWR-STM-ST-080-EUR-01-R00</t>
        </is>
      </c>
      <c r="D805" s="19" t="inlineStr">
        <is>
          <t>12</t>
        </is>
      </c>
      <c r="E805" t="inlineStr">
        <is>
          <t>01_STARTER/ST-080-EUR-01/04_Shipment_Statement.docx</t>
        </is>
      </c>
      <c r="F805" t="inlineStr">
        <is>
          <t>99ba8502804dc75b1186ba8b20450af208445b530bf9765f92e670964ef3178b</t>
        </is>
      </c>
      <c r="G805" t="inlineStr">
        <is>
          <t>2026-08-08</t>
        </is>
      </c>
      <c r="H805" s="19" t="inlineStr">
        <is>
          <t>2</t>
        </is>
      </c>
      <c r="I805" t="inlineStr">
        <is>
          <t>Phase I generated Rev.00 Word file — linked; signatures not completed</t>
        </is>
      </c>
      <c r="J805" t="inlineStr">
        <is>
          <t>2026-08-10T19:29:54Z</t>
        </is>
      </c>
      <c r="K805" t="inlineStr">
        <is>
          <t>2026-08-10T19:49:41Z</t>
        </is>
      </c>
    </row>
    <row r="806">
      <c r="A806" s="19" t="inlineStr">
        <is>
          <t>805</t>
        </is>
      </c>
      <c r="B806" s="19" t="inlineStr">
        <is>
          <t>IA-PPWR-TF-ST-081-EUR-01-R00</t>
        </is>
      </c>
      <c r="C806" t="inlineStr">
        <is>
          <t>IA-PPWR-TF-ST-081-EUR-01-R00</t>
        </is>
      </c>
      <c r="D806" s="19" t="inlineStr">
        <is>
          <t>1</t>
        </is>
      </c>
      <c r="E806" t="inlineStr">
        <is>
          <t>01_STARTER/ST-081-EUR-01/01_Technical_File.docx</t>
        </is>
      </c>
      <c r="F806" t="inlineStr">
        <is>
          <t>6be428fbf0fb9780c4d8bc596435c86980572e433a921e4215c7e28e6739f5ef</t>
        </is>
      </c>
      <c r="G806" t="inlineStr">
        <is>
          <t>2026-08-08</t>
        </is>
      </c>
      <c r="H806" s="19" t="inlineStr">
        <is>
          <t>2</t>
        </is>
      </c>
      <c r="I806" t="inlineStr">
        <is>
          <t>Phase I generated Rev.00 Word file — linked; signatures not completed</t>
        </is>
      </c>
      <c r="J806" t="inlineStr">
        <is>
          <t>2026-08-10T19:29:54Z</t>
        </is>
      </c>
      <c r="K806" t="inlineStr">
        <is>
          <t>2026-08-10T19:49:41Z</t>
        </is>
      </c>
    </row>
    <row r="807">
      <c r="A807" s="19" t="inlineStr">
        <is>
          <t>806</t>
        </is>
      </c>
      <c r="B807" s="19" t="inlineStr">
        <is>
          <t>IA-PPWR-DOC-ST-081-EUR-01-R00</t>
        </is>
      </c>
      <c r="C807" t="inlineStr">
        <is>
          <t>IA-PPWR-DOC-ST-081-EUR-01-R00</t>
        </is>
      </c>
      <c r="D807" s="19" t="inlineStr">
        <is>
          <t>4</t>
        </is>
      </c>
      <c r="E807" t="inlineStr">
        <is>
          <t>01_STARTER/ST-081-EUR-01/02_EU_DoC.docx</t>
        </is>
      </c>
      <c r="F807" t="inlineStr">
        <is>
          <t>98e12ad74ea2184700f4c6be6b5e85730f80e5c6060b5c3dfb42170fd813d9a0</t>
        </is>
      </c>
      <c r="G807" t="inlineStr">
        <is>
          <t>2026-08-08</t>
        </is>
      </c>
      <c r="H807" s="19" t="inlineStr">
        <is>
          <t>2</t>
        </is>
      </c>
      <c r="I807" t="inlineStr">
        <is>
          <t>Phase I generated Rev.00 Word file — linked; signatures not completed</t>
        </is>
      </c>
      <c r="J807" t="inlineStr">
        <is>
          <t>2026-08-10T19:29:54Z</t>
        </is>
      </c>
      <c r="K807" t="inlineStr">
        <is>
          <t>2026-08-10T19:49:41Z</t>
        </is>
      </c>
    </row>
    <row r="808">
      <c r="A808" s="19" t="inlineStr">
        <is>
          <t>807</t>
        </is>
      </c>
      <c r="B808" s="19" t="inlineStr">
        <is>
          <t>IA-PPWR-LBL-ST-081-EUR-01-R00</t>
        </is>
      </c>
      <c r="C808" t="inlineStr">
        <is>
          <t>IA-PPWR-LBL-ST-081-EUR-01-R00</t>
        </is>
      </c>
      <c r="D808" s="19" t="inlineStr">
        <is>
          <t>11</t>
        </is>
      </c>
      <c r="E808" t="inlineStr">
        <is>
          <t>01_STARTER/ST-081-EUR-01/03_Label.docx</t>
        </is>
      </c>
      <c r="F808" t="inlineStr">
        <is>
          <t>92a8e5b0aec7f614bcc169b82921966536a0f2fc3e7dcf792ec8a55af6dc103d</t>
        </is>
      </c>
      <c r="G808" t="inlineStr">
        <is>
          <t>2026-08-08</t>
        </is>
      </c>
      <c r="H808" s="19" t="inlineStr">
        <is>
          <t>2</t>
        </is>
      </c>
      <c r="I808" t="inlineStr">
        <is>
          <t>Phase I generated Rev.00 Word file — linked; signatures not completed</t>
        </is>
      </c>
      <c r="J808" t="inlineStr">
        <is>
          <t>2026-08-10T19:29:54Z</t>
        </is>
      </c>
      <c r="K808" t="inlineStr">
        <is>
          <t>2026-08-10T19:49:41Z</t>
        </is>
      </c>
    </row>
    <row r="809">
      <c r="A809" s="19" t="inlineStr">
        <is>
          <t>808</t>
        </is>
      </c>
      <c r="B809" s="19" t="inlineStr">
        <is>
          <t>IA-PPWR-STM-ST-081-EUR-01-R00</t>
        </is>
      </c>
      <c r="C809" t="inlineStr">
        <is>
          <t>IA-PPWR-STM-ST-081-EUR-01-R00</t>
        </is>
      </c>
      <c r="D809" s="19" t="inlineStr">
        <is>
          <t>12</t>
        </is>
      </c>
      <c r="E809" t="inlineStr">
        <is>
          <t>01_STARTER/ST-081-EUR-01/04_Shipment_Statement.docx</t>
        </is>
      </c>
      <c r="F809" t="inlineStr">
        <is>
          <t>73bfc688a1795aa8eda1b0a70330be4cbe0ee46e3a6b6a8b19e2d4aae3f2172c</t>
        </is>
      </c>
      <c r="G809" t="inlineStr">
        <is>
          <t>2026-08-08</t>
        </is>
      </c>
      <c r="H809" s="19" t="inlineStr">
        <is>
          <t>2</t>
        </is>
      </c>
      <c r="I809" t="inlineStr">
        <is>
          <t>Phase I generated Rev.00 Word file — linked; signatures not completed</t>
        </is>
      </c>
      <c r="J809" t="inlineStr">
        <is>
          <t>2026-08-10T19:29:54Z</t>
        </is>
      </c>
      <c r="K809" t="inlineStr">
        <is>
          <t>2026-08-10T19:49:41Z</t>
        </is>
      </c>
    </row>
    <row r="810">
      <c r="A810" s="19" t="inlineStr">
        <is>
          <t>809</t>
        </is>
      </c>
      <c r="B810" s="19" t="inlineStr">
        <is>
          <t>IA-PPWR-TF-ST-087-EUR-01-R00</t>
        </is>
      </c>
      <c r="C810" t="inlineStr">
        <is>
          <t>IA-PPWR-TF-ST-087-EUR-01-R00</t>
        </is>
      </c>
      <c r="D810" s="19" t="inlineStr">
        <is>
          <t>1</t>
        </is>
      </c>
      <c r="E810" t="inlineStr">
        <is>
          <t>01_STARTER/ST-087-EUR-01/01_Technical_File.docx</t>
        </is>
      </c>
      <c r="F810" t="inlineStr">
        <is>
          <t>0656a80c2e18e93f61f021ba010777e546aa8a5f6941bc9170069189f8a953e7</t>
        </is>
      </c>
      <c r="G810" t="inlineStr">
        <is>
          <t>2026-08-08</t>
        </is>
      </c>
      <c r="H810" s="19" t="inlineStr">
        <is>
          <t>2</t>
        </is>
      </c>
      <c r="I810" t="inlineStr">
        <is>
          <t>Phase I generated Rev.00 Word file — linked; signatures not completed</t>
        </is>
      </c>
      <c r="J810" t="inlineStr">
        <is>
          <t>2026-08-10T19:29:54Z</t>
        </is>
      </c>
      <c r="K810" t="inlineStr">
        <is>
          <t>2026-08-10T19:49:41Z</t>
        </is>
      </c>
    </row>
    <row r="811">
      <c r="A811" s="19" t="inlineStr">
        <is>
          <t>810</t>
        </is>
      </c>
      <c r="B811" s="19" t="inlineStr">
        <is>
          <t>IA-PPWR-DOC-ST-087-EUR-01-R00</t>
        </is>
      </c>
      <c r="C811" t="inlineStr">
        <is>
          <t>IA-PPWR-DOC-ST-087-EUR-01-R00</t>
        </is>
      </c>
      <c r="D811" s="19" t="inlineStr">
        <is>
          <t>4</t>
        </is>
      </c>
      <c r="E811" t="inlineStr">
        <is>
          <t>01_STARTER/ST-087-EUR-01/02_EU_DoC.docx</t>
        </is>
      </c>
      <c r="F811" t="inlineStr">
        <is>
          <t>3c9985b7cbd2c8074ac4600e38de51f0d18e133dbc86e6ade82a8e83fadad2ad</t>
        </is>
      </c>
      <c r="G811" t="inlineStr">
        <is>
          <t>2026-08-08</t>
        </is>
      </c>
      <c r="H811" s="19" t="inlineStr">
        <is>
          <t>2</t>
        </is>
      </c>
      <c r="I811" t="inlineStr">
        <is>
          <t>Phase I generated Rev.00 Word file — linked; signatures not completed</t>
        </is>
      </c>
      <c r="J811" t="inlineStr">
        <is>
          <t>2026-08-10T19:29:54Z</t>
        </is>
      </c>
      <c r="K811" t="inlineStr">
        <is>
          <t>2026-08-10T19:49:41Z</t>
        </is>
      </c>
    </row>
    <row r="812">
      <c r="A812" s="19" t="inlineStr">
        <is>
          <t>811</t>
        </is>
      </c>
      <c r="B812" s="19" t="inlineStr">
        <is>
          <t>IA-PPWR-LBL-ST-087-EUR-01-R00</t>
        </is>
      </c>
      <c r="C812" t="inlineStr">
        <is>
          <t>IA-PPWR-LBL-ST-087-EUR-01-R00</t>
        </is>
      </c>
      <c r="D812" s="19" t="inlineStr">
        <is>
          <t>11</t>
        </is>
      </c>
      <c r="E812" t="inlineStr">
        <is>
          <t>01_STARTER/ST-087-EUR-01/03_Label.docx</t>
        </is>
      </c>
      <c r="F812" t="inlineStr">
        <is>
          <t>32684edd644c7e0361423e7fc022181445b870d49765f89b905aab4b271907ce</t>
        </is>
      </c>
      <c r="G812" t="inlineStr">
        <is>
          <t>2026-08-08</t>
        </is>
      </c>
      <c r="H812" s="19" t="inlineStr">
        <is>
          <t>2</t>
        </is>
      </c>
      <c r="I812" t="inlineStr">
        <is>
          <t>Phase I generated Rev.00 Word file — linked; signatures not completed</t>
        </is>
      </c>
      <c r="J812" t="inlineStr">
        <is>
          <t>2026-08-10T19:29:54Z</t>
        </is>
      </c>
      <c r="K812" t="inlineStr">
        <is>
          <t>2026-08-10T19:49:41Z</t>
        </is>
      </c>
    </row>
    <row r="813">
      <c r="A813" s="19" t="inlineStr">
        <is>
          <t>812</t>
        </is>
      </c>
      <c r="B813" s="19" t="inlineStr">
        <is>
          <t>IA-PPWR-STM-ST-087-EUR-01-R00</t>
        </is>
      </c>
      <c r="C813" t="inlineStr">
        <is>
          <t>IA-PPWR-STM-ST-087-EUR-01-R00</t>
        </is>
      </c>
      <c r="D813" s="19" t="inlineStr">
        <is>
          <t>12</t>
        </is>
      </c>
      <c r="E813" t="inlineStr">
        <is>
          <t>01_STARTER/ST-087-EUR-01/04_Shipment_Statement.docx</t>
        </is>
      </c>
      <c r="F813" t="inlineStr">
        <is>
          <t>ae7d9dd6ca37a6f7633bb1396ef46081e497ea67da1fb4938e35e142f7f3e5ba</t>
        </is>
      </c>
      <c r="G813" t="inlineStr">
        <is>
          <t>2026-08-08</t>
        </is>
      </c>
      <c r="H813" s="19" t="inlineStr">
        <is>
          <t>2</t>
        </is>
      </c>
      <c r="I813" t="inlineStr">
        <is>
          <t>Phase I generated Rev.00 Word file — linked; signatures not completed</t>
        </is>
      </c>
      <c r="J813" t="inlineStr">
        <is>
          <t>2026-08-10T19:29:54Z</t>
        </is>
      </c>
      <c r="K813" t="inlineStr">
        <is>
          <t>2026-08-10T19:49:41Z</t>
        </is>
      </c>
    </row>
    <row r="814">
      <c r="A814" s="19" t="inlineStr">
        <is>
          <t>813</t>
        </is>
      </c>
      <c r="B814" s="19" t="inlineStr">
        <is>
          <t>IA-PPWR-TF-ST-087-STD-01-R00</t>
        </is>
      </c>
      <c r="C814" t="inlineStr">
        <is>
          <t>IA-PPWR-TF-ST-087-STD-01-R00</t>
        </is>
      </c>
      <c r="D814" s="19" t="inlineStr">
        <is>
          <t>1</t>
        </is>
      </c>
      <c r="E814" t="inlineStr">
        <is>
          <t>01_STARTER/ST-087-STD-01/01_Technical_File.docx</t>
        </is>
      </c>
      <c r="F814" t="inlineStr">
        <is>
          <t>318b7bfd3555e86c7f0980501436d90634bfed66eaa426439657f0f4dcbdc00b</t>
        </is>
      </c>
      <c r="G814" t="inlineStr">
        <is>
          <t>2026-08-08</t>
        </is>
      </c>
      <c r="H814" s="19" t="inlineStr">
        <is>
          <t>2</t>
        </is>
      </c>
      <c r="I814" t="inlineStr">
        <is>
          <t>Phase I generated Rev.00 Word file — linked; signatures not completed</t>
        </is>
      </c>
      <c r="J814" t="inlineStr">
        <is>
          <t>2026-08-10T19:29:54Z</t>
        </is>
      </c>
      <c r="K814" t="inlineStr">
        <is>
          <t>2026-08-10T19:49:41Z</t>
        </is>
      </c>
    </row>
    <row r="815">
      <c r="A815" s="19" t="inlineStr">
        <is>
          <t>814</t>
        </is>
      </c>
      <c r="B815" s="19" t="inlineStr">
        <is>
          <t>IA-PPWR-DOC-ST-087-STD-01-R00</t>
        </is>
      </c>
      <c r="C815" t="inlineStr">
        <is>
          <t>IA-PPWR-DOC-ST-087-STD-01-R00</t>
        </is>
      </c>
      <c r="D815" s="19" t="inlineStr">
        <is>
          <t>4</t>
        </is>
      </c>
      <c r="E815" t="inlineStr">
        <is>
          <t>01_STARTER/ST-087-STD-01/02_EU_DoC.docx</t>
        </is>
      </c>
      <c r="F815" t="inlineStr">
        <is>
          <t>2e6822521b086c540e9380ea152ff015bdcce1cdd163ef7a0c91bb6604419e3e</t>
        </is>
      </c>
      <c r="G815" t="inlineStr">
        <is>
          <t>2026-08-08</t>
        </is>
      </c>
      <c r="H815" s="19" t="inlineStr">
        <is>
          <t>2</t>
        </is>
      </c>
      <c r="I815" t="inlineStr">
        <is>
          <t>Phase I generated Rev.00 Word file — linked; signatures not completed</t>
        </is>
      </c>
      <c r="J815" t="inlineStr">
        <is>
          <t>2026-08-10T19:29:54Z</t>
        </is>
      </c>
      <c r="K815" t="inlineStr">
        <is>
          <t>2026-08-10T19:49:41Z</t>
        </is>
      </c>
    </row>
    <row r="816">
      <c r="A816" s="19" t="inlineStr">
        <is>
          <t>815</t>
        </is>
      </c>
      <c r="B816" s="19" t="inlineStr">
        <is>
          <t>IA-PPWR-LBL-ST-087-STD-01-R00</t>
        </is>
      </c>
      <c r="C816" t="inlineStr">
        <is>
          <t>IA-PPWR-LBL-ST-087-STD-01-R00</t>
        </is>
      </c>
      <c r="D816" s="19" t="inlineStr">
        <is>
          <t>11</t>
        </is>
      </c>
      <c r="E816" t="inlineStr">
        <is>
          <t>01_STARTER/ST-087-STD-01/03_Label.docx</t>
        </is>
      </c>
      <c r="F816" t="inlineStr">
        <is>
          <t>7e03ca101283001593ff3dfba9d6ccfdcad5e74ab49eb4d88cae31c0f0f8f484</t>
        </is>
      </c>
      <c r="G816" t="inlineStr">
        <is>
          <t>2026-08-08</t>
        </is>
      </c>
      <c r="H816" s="19" t="inlineStr">
        <is>
          <t>2</t>
        </is>
      </c>
      <c r="I816" t="inlineStr">
        <is>
          <t>Phase I generated Rev.00 Word file — linked; signatures not completed</t>
        </is>
      </c>
      <c r="J816" t="inlineStr">
        <is>
          <t>2026-08-10T19:29:54Z</t>
        </is>
      </c>
      <c r="K816" t="inlineStr">
        <is>
          <t>2026-08-10T19:49:41Z</t>
        </is>
      </c>
    </row>
    <row r="817">
      <c r="A817" s="19" t="inlineStr">
        <is>
          <t>816</t>
        </is>
      </c>
      <c r="B817" s="19" t="inlineStr">
        <is>
          <t>IA-PPWR-STM-ST-087-STD-01-R00</t>
        </is>
      </c>
      <c r="C817" t="inlineStr">
        <is>
          <t>IA-PPWR-STM-ST-087-STD-01-R00</t>
        </is>
      </c>
      <c r="D817" s="19" t="inlineStr">
        <is>
          <t>12</t>
        </is>
      </c>
      <c r="E817" t="inlineStr">
        <is>
          <t>01_STARTER/ST-087-STD-01/04_Shipment_Statement.docx</t>
        </is>
      </c>
      <c r="F817" t="inlineStr">
        <is>
          <t>aec41feca38f01879bd02979dddd0e305d31286ac5fcfa092a4e21d15440566d</t>
        </is>
      </c>
      <c r="G817" t="inlineStr">
        <is>
          <t>2026-08-08</t>
        </is>
      </c>
      <c r="H817" s="19" t="inlineStr">
        <is>
          <t>2</t>
        </is>
      </c>
      <c r="I817" t="inlineStr">
        <is>
          <t>Phase I generated Rev.00 Word file — linked; signatures not completed</t>
        </is>
      </c>
      <c r="J817" t="inlineStr">
        <is>
          <t>2026-08-10T19:29:54Z</t>
        </is>
      </c>
      <c r="K817" t="inlineStr">
        <is>
          <t>2026-08-10T19:49:41Z</t>
        </is>
      </c>
    </row>
    <row r="818">
      <c r="A818" s="19" t="inlineStr">
        <is>
          <t>817</t>
        </is>
      </c>
      <c r="B818" s="19" t="inlineStr">
        <is>
          <t>IA-PPWR-TF-ST-087-STD-02-R00</t>
        </is>
      </c>
      <c r="C818" t="inlineStr">
        <is>
          <t>IA-PPWR-TF-ST-087-STD-02-R00</t>
        </is>
      </c>
      <c r="D818" s="19" t="inlineStr">
        <is>
          <t>1</t>
        </is>
      </c>
      <c r="E818" t="inlineStr">
        <is>
          <t>01_STARTER/ST-087-STD-02/01_Technical_File.docx</t>
        </is>
      </c>
      <c r="F818" t="inlineStr">
        <is>
          <t>dfb88935ec885e1cbcd8d3f2fc0e4b186fef7039f4cf9033904c41006cac7a52</t>
        </is>
      </c>
      <c r="G818" t="inlineStr">
        <is>
          <t>2026-08-08</t>
        </is>
      </c>
      <c r="H818" s="19" t="inlineStr">
        <is>
          <t>2</t>
        </is>
      </c>
      <c r="I818" t="inlineStr">
        <is>
          <t>Phase I generated Rev.00 Word file — linked; signatures not completed</t>
        </is>
      </c>
      <c r="J818" t="inlineStr">
        <is>
          <t>2026-08-10T19:29:54Z</t>
        </is>
      </c>
      <c r="K818" t="inlineStr">
        <is>
          <t>2026-08-10T19:49:41Z</t>
        </is>
      </c>
    </row>
    <row r="819">
      <c r="A819" s="19" t="inlineStr">
        <is>
          <t>818</t>
        </is>
      </c>
      <c r="B819" s="19" t="inlineStr">
        <is>
          <t>IA-PPWR-DOC-ST-087-STD-02-R00</t>
        </is>
      </c>
      <c r="C819" t="inlineStr">
        <is>
          <t>IA-PPWR-DOC-ST-087-STD-02-R00</t>
        </is>
      </c>
      <c r="D819" s="19" t="inlineStr">
        <is>
          <t>4</t>
        </is>
      </c>
      <c r="E819" t="inlineStr">
        <is>
          <t>01_STARTER/ST-087-STD-02/02_EU_DoC.docx</t>
        </is>
      </c>
      <c r="F819" t="inlineStr">
        <is>
          <t>eeec263d48c9c3741de50df3190ed68d12b59b698648682ee999a9b7313e373f</t>
        </is>
      </c>
      <c r="G819" t="inlineStr">
        <is>
          <t>2026-08-08</t>
        </is>
      </c>
      <c r="H819" s="19" t="inlineStr">
        <is>
          <t>2</t>
        </is>
      </c>
      <c r="I819" t="inlineStr">
        <is>
          <t>Phase I generated Rev.00 Word file — linked; signatures not completed</t>
        </is>
      </c>
      <c r="J819" t="inlineStr">
        <is>
          <t>2026-08-10T19:29:54Z</t>
        </is>
      </c>
      <c r="K819" t="inlineStr">
        <is>
          <t>2026-08-10T19:49:41Z</t>
        </is>
      </c>
    </row>
    <row r="820">
      <c r="A820" s="19" t="inlineStr">
        <is>
          <t>819</t>
        </is>
      </c>
      <c r="B820" s="19" t="inlineStr">
        <is>
          <t>IA-PPWR-LBL-ST-087-STD-02-R00</t>
        </is>
      </c>
      <c r="C820" t="inlineStr">
        <is>
          <t>IA-PPWR-LBL-ST-087-STD-02-R00</t>
        </is>
      </c>
      <c r="D820" s="19" t="inlineStr">
        <is>
          <t>11</t>
        </is>
      </c>
      <c r="E820" t="inlineStr">
        <is>
          <t>01_STARTER/ST-087-STD-02/03_Label.docx</t>
        </is>
      </c>
      <c r="F820" t="inlineStr">
        <is>
          <t>1b755f58633a8a6f6275baf0501a1f6d0f000368ab7fbb7c5490fd8051237768</t>
        </is>
      </c>
      <c r="G820" t="inlineStr">
        <is>
          <t>2026-08-08</t>
        </is>
      </c>
      <c r="H820" s="19" t="inlineStr">
        <is>
          <t>2</t>
        </is>
      </c>
      <c r="I820" t="inlineStr">
        <is>
          <t>Phase I generated Rev.00 Word file — linked; signatures not completed</t>
        </is>
      </c>
      <c r="J820" t="inlineStr">
        <is>
          <t>2026-08-10T19:29:54Z</t>
        </is>
      </c>
      <c r="K820" t="inlineStr">
        <is>
          <t>2026-08-10T19:49:41Z</t>
        </is>
      </c>
    </row>
    <row r="821">
      <c r="A821" s="19" t="inlineStr">
        <is>
          <t>820</t>
        </is>
      </c>
      <c r="B821" s="19" t="inlineStr">
        <is>
          <t>IA-PPWR-STM-ST-087-STD-02-R00</t>
        </is>
      </c>
      <c r="C821" t="inlineStr">
        <is>
          <t>IA-PPWR-STM-ST-087-STD-02-R00</t>
        </is>
      </c>
      <c r="D821" s="19" t="inlineStr">
        <is>
          <t>12</t>
        </is>
      </c>
      <c r="E821" t="inlineStr">
        <is>
          <t>01_STARTER/ST-087-STD-02/04_Shipment_Statement.docx</t>
        </is>
      </c>
      <c r="F821" t="inlineStr">
        <is>
          <t>d54014a4eda77b0a792274bfe8b126c82f9f3548040acc7980f7ea7c771edf0b</t>
        </is>
      </c>
      <c r="G821" t="inlineStr">
        <is>
          <t>2026-08-08</t>
        </is>
      </c>
      <c r="H821" s="19" t="inlineStr">
        <is>
          <t>2</t>
        </is>
      </c>
      <c r="I821" t="inlineStr">
        <is>
          <t>Phase I generated Rev.00 Word file — linked; signatures not completed</t>
        </is>
      </c>
      <c r="J821" t="inlineStr">
        <is>
          <t>2026-08-10T19:29:54Z</t>
        </is>
      </c>
      <c r="K821" t="inlineStr">
        <is>
          <t>2026-08-10T19:49:41Z</t>
        </is>
      </c>
    </row>
    <row r="822">
      <c r="A822" s="19" t="inlineStr">
        <is>
          <t>821</t>
        </is>
      </c>
      <c r="B822" s="19" t="inlineStr">
        <is>
          <t>IA-PPWR-TF-ST-087-STD-03-R00</t>
        </is>
      </c>
      <c r="C822" t="inlineStr">
        <is>
          <t>IA-PPWR-TF-ST-087-STD-03-R00</t>
        </is>
      </c>
      <c r="D822" s="19" t="inlineStr">
        <is>
          <t>1</t>
        </is>
      </c>
      <c r="E822" t="inlineStr">
        <is>
          <t>01_STARTER/ST-087-STD-03/01_Technical_File.docx</t>
        </is>
      </c>
      <c r="F822" t="inlineStr">
        <is>
          <t>60c8d76dc1e764c5cd1f138b9350d545f51975ac12a55879bbecbf9cd1eb14b5</t>
        </is>
      </c>
      <c r="G822" t="inlineStr">
        <is>
          <t>2026-08-08</t>
        </is>
      </c>
      <c r="H822" s="19" t="inlineStr">
        <is>
          <t>2</t>
        </is>
      </c>
      <c r="I822" t="inlineStr">
        <is>
          <t>Phase I generated Rev.00 Word file — linked; signatures not completed</t>
        </is>
      </c>
      <c r="J822" t="inlineStr">
        <is>
          <t>2026-08-10T19:29:54Z</t>
        </is>
      </c>
      <c r="K822" t="inlineStr">
        <is>
          <t>2026-08-10T19:49:41Z</t>
        </is>
      </c>
    </row>
    <row r="823">
      <c r="A823" s="19" t="inlineStr">
        <is>
          <t>822</t>
        </is>
      </c>
      <c r="B823" s="19" t="inlineStr">
        <is>
          <t>IA-PPWR-DOC-ST-087-STD-03-R00</t>
        </is>
      </c>
      <c r="C823" t="inlineStr">
        <is>
          <t>IA-PPWR-DOC-ST-087-STD-03-R00</t>
        </is>
      </c>
      <c r="D823" s="19" t="inlineStr">
        <is>
          <t>4</t>
        </is>
      </c>
      <c r="E823" t="inlineStr">
        <is>
          <t>01_STARTER/ST-087-STD-03/02_EU_DoC.docx</t>
        </is>
      </c>
      <c r="F823" t="inlineStr">
        <is>
          <t>c6f0bd3663984c2ba8995af41f52e92fa1da762286d5aa72a6723fec5e3d86a4</t>
        </is>
      </c>
      <c r="G823" t="inlineStr">
        <is>
          <t>2026-08-08</t>
        </is>
      </c>
      <c r="H823" s="19" t="inlineStr">
        <is>
          <t>2</t>
        </is>
      </c>
      <c r="I823" t="inlineStr">
        <is>
          <t>Phase I generated Rev.00 Word file — linked; signatures not completed</t>
        </is>
      </c>
      <c r="J823" t="inlineStr">
        <is>
          <t>2026-08-10T19:29:54Z</t>
        </is>
      </c>
      <c r="K823" t="inlineStr">
        <is>
          <t>2026-08-10T19:49:41Z</t>
        </is>
      </c>
    </row>
    <row r="824">
      <c r="A824" s="19" t="inlineStr">
        <is>
          <t>823</t>
        </is>
      </c>
      <c r="B824" s="19" t="inlineStr">
        <is>
          <t>IA-PPWR-LBL-ST-087-STD-03-R00</t>
        </is>
      </c>
      <c r="C824" t="inlineStr">
        <is>
          <t>IA-PPWR-LBL-ST-087-STD-03-R00</t>
        </is>
      </c>
      <c r="D824" s="19" t="inlineStr">
        <is>
          <t>11</t>
        </is>
      </c>
      <c r="E824" t="inlineStr">
        <is>
          <t>01_STARTER/ST-087-STD-03/03_Label.docx</t>
        </is>
      </c>
      <c r="F824" t="inlineStr">
        <is>
          <t>862582dfcb90c6212dd26e1dcc24b76895b1d7f1e4147001d779ce145d37c71a</t>
        </is>
      </c>
      <c r="G824" t="inlineStr">
        <is>
          <t>2026-08-08</t>
        </is>
      </c>
      <c r="H824" s="19" t="inlineStr">
        <is>
          <t>2</t>
        </is>
      </c>
      <c r="I824" t="inlineStr">
        <is>
          <t>Phase I generated Rev.00 Word file — linked; signatures not completed</t>
        </is>
      </c>
      <c r="J824" t="inlineStr">
        <is>
          <t>2026-08-10T19:29:54Z</t>
        </is>
      </c>
      <c r="K824" t="inlineStr">
        <is>
          <t>2026-08-10T19:49:41Z</t>
        </is>
      </c>
    </row>
    <row r="825">
      <c r="A825" s="19" t="inlineStr">
        <is>
          <t>824</t>
        </is>
      </c>
      <c r="B825" s="19" t="inlineStr">
        <is>
          <t>IA-PPWR-STM-ST-087-STD-03-R00</t>
        </is>
      </c>
      <c r="C825" t="inlineStr">
        <is>
          <t>IA-PPWR-STM-ST-087-STD-03-R00</t>
        </is>
      </c>
      <c r="D825" s="19" t="inlineStr">
        <is>
          <t>12</t>
        </is>
      </c>
      <c r="E825" t="inlineStr">
        <is>
          <t>01_STARTER/ST-087-STD-03/04_Shipment_Statement.docx</t>
        </is>
      </c>
      <c r="F825" t="inlineStr">
        <is>
          <t>65a810b958aeaebb20dc692fafe9ae8b3732d8aca9c3263245c0fbe106b2cf64</t>
        </is>
      </c>
      <c r="G825" t="inlineStr">
        <is>
          <t>2026-08-08</t>
        </is>
      </c>
      <c r="H825" s="19" t="inlineStr">
        <is>
          <t>2</t>
        </is>
      </c>
      <c r="I825" t="inlineStr">
        <is>
          <t>Phase I generated Rev.00 Word file — linked; signatures not completed</t>
        </is>
      </c>
      <c r="J825" t="inlineStr">
        <is>
          <t>2026-08-10T19:29:54Z</t>
        </is>
      </c>
      <c r="K825" t="inlineStr">
        <is>
          <t>2026-08-10T19:49:41Z</t>
        </is>
      </c>
    </row>
    <row r="826">
      <c r="A826" s="19" t="inlineStr">
        <is>
          <t>825</t>
        </is>
      </c>
      <c r="B826" s="19" t="inlineStr">
        <is>
          <t>IA-PPWR-TF-ST-087-STD-04-R00</t>
        </is>
      </c>
      <c r="C826" t="inlineStr">
        <is>
          <t>IA-PPWR-TF-ST-087-STD-04-R00</t>
        </is>
      </c>
      <c r="D826" s="19" t="inlineStr">
        <is>
          <t>1</t>
        </is>
      </c>
      <c r="E826" t="inlineStr">
        <is>
          <t>01_STARTER/ST-087-STD-04/01_Technical_File.docx</t>
        </is>
      </c>
      <c r="F826" t="inlineStr">
        <is>
          <t>184643bcd4246d64b4ac682da0bcd2330d2605ad7269ef725f349005dacf7a92</t>
        </is>
      </c>
      <c r="G826" t="inlineStr">
        <is>
          <t>2026-08-08</t>
        </is>
      </c>
      <c r="H826" s="19" t="inlineStr">
        <is>
          <t>2</t>
        </is>
      </c>
      <c r="I826" t="inlineStr">
        <is>
          <t>Phase I generated Rev.00 Word file — linked; signatures not completed</t>
        </is>
      </c>
      <c r="J826" t="inlineStr">
        <is>
          <t>2026-08-10T19:29:54Z</t>
        </is>
      </c>
      <c r="K826" t="inlineStr">
        <is>
          <t>2026-08-10T19:49:41Z</t>
        </is>
      </c>
    </row>
    <row r="827">
      <c r="A827" s="19" t="inlineStr">
        <is>
          <t>826</t>
        </is>
      </c>
      <c r="B827" s="19" t="inlineStr">
        <is>
          <t>IA-PPWR-DOC-ST-087-STD-04-R00</t>
        </is>
      </c>
      <c r="C827" t="inlineStr">
        <is>
          <t>IA-PPWR-DOC-ST-087-STD-04-R00</t>
        </is>
      </c>
      <c r="D827" s="19" t="inlineStr">
        <is>
          <t>4</t>
        </is>
      </c>
      <c r="E827" t="inlineStr">
        <is>
          <t>01_STARTER/ST-087-STD-04/02_EU_DoC.docx</t>
        </is>
      </c>
      <c r="F827" t="inlineStr">
        <is>
          <t>1ed7a476d7a6f727abf5eef75638837548c4e6ab5d191edac1b1a3649c2be5df</t>
        </is>
      </c>
      <c r="G827" t="inlineStr">
        <is>
          <t>2026-08-08</t>
        </is>
      </c>
      <c r="H827" s="19" t="inlineStr">
        <is>
          <t>2</t>
        </is>
      </c>
      <c r="I827" t="inlineStr">
        <is>
          <t>Phase I generated Rev.00 Word file — linked; signatures not completed</t>
        </is>
      </c>
      <c r="J827" t="inlineStr">
        <is>
          <t>2026-08-10T19:29:54Z</t>
        </is>
      </c>
      <c r="K827" t="inlineStr">
        <is>
          <t>2026-08-10T19:49:41Z</t>
        </is>
      </c>
    </row>
    <row r="828">
      <c r="A828" s="19" t="inlineStr">
        <is>
          <t>827</t>
        </is>
      </c>
      <c r="B828" s="19" t="inlineStr">
        <is>
          <t>IA-PPWR-LBL-ST-087-STD-04-R00</t>
        </is>
      </c>
      <c r="C828" t="inlineStr">
        <is>
          <t>IA-PPWR-LBL-ST-087-STD-04-R00</t>
        </is>
      </c>
      <c r="D828" s="19" t="inlineStr">
        <is>
          <t>11</t>
        </is>
      </c>
      <c r="E828" t="inlineStr">
        <is>
          <t>01_STARTER/ST-087-STD-04/03_Label.docx</t>
        </is>
      </c>
      <c r="F828" t="inlineStr">
        <is>
          <t>add581379f05b7e901d87ef5efd1206958322a2c20d72419567ef86bb7b39364</t>
        </is>
      </c>
      <c r="G828" t="inlineStr">
        <is>
          <t>2026-08-08</t>
        </is>
      </c>
      <c r="H828" s="19" t="inlineStr">
        <is>
          <t>2</t>
        </is>
      </c>
      <c r="I828" t="inlineStr">
        <is>
          <t>Phase I generated Rev.00 Word file — linked; signatures not completed</t>
        </is>
      </c>
      <c r="J828" t="inlineStr">
        <is>
          <t>2026-08-10T19:29:54Z</t>
        </is>
      </c>
      <c r="K828" t="inlineStr">
        <is>
          <t>2026-08-10T19:49:41Z</t>
        </is>
      </c>
    </row>
    <row r="829">
      <c r="A829" s="19" t="inlineStr">
        <is>
          <t>828</t>
        </is>
      </c>
      <c r="B829" s="19" t="inlineStr">
        <is>
          <t>IA-PPWR-STM-ST-087-STD-04-R00</t>
        </is>
      </c>
      <c r="C829" t="inlineStr">
        <is>
          <t>IA-PPWR-STM-ST-087-STD-04-R00</t>
        </is>
      </c>
      <c r="D829" s="19" t="inlineStr">
        <is>
          <t>12</t>
        </is>
      </c>
      <c r="E829" t="inlineStr">
        <is>
          <t>01_STARTER/ST-087-STD-04/04_Shipment_Statement.docx</t>
        </is>
      </c>
      <c r="F829" t="inlineStr">
        <is>
          <t>196da4b59e7d21f2e54d6d3b27c10f7ab3ed2f9c71afb86787dc0d88b30a74e3</t>
        </is>
      </c>
      <c r="G829" t="inlineStr">
        <is>
          <t>2026-08-08</t>
        </is>
      </c>
      <c r="H829" s="19" t="inlineStr">
        <is>
          <t>2</t>
        </is>
      </c>
      <c r="I829" t="inlineStr">
        <is>
          <t>Phase I generated Rev.00 Word file — linked; signatures not completed</t>
        </is>
      </c>
      <c r="J829" t="inlineStr">
        <is>
          <t>2026-08-10T19:29:54Z</t>
        </is>
      </c>
      <c r="K829" t="inlineStr">
        <is>
          <t>2026-08-10T19:49:41Z</t>
        </is>
      </c>
    </row>
    <row r="830">
      <c r="A830" s="19" t="inlineStr">
        <is>
          <t>829</t>
        </is>
      </c>
      <c r="B830" s="19" t="inlineStr">
        <is>
          <t>IA-PPWR-TF-ST-087-STD-05-R00</t>
        </is>
      </c>
      <c r="C830" t="inlineStr">
        <is>
          <t>IA-PPWR-TF-ST-087-STD-05-R00</t>
        </is>
      </c>
      <c r="D830" s="19" t="inlineStr">
        <is>
          <t>1</t>
        </is>
      </c>
      <c r="E830" t="inlineStr">
        <is>
          <t>01_STARTER/ST-087-STD-05/01_Technical_File.docx</t>
        </is>
      </c>
      <c r="F830" t="inlineStr">
        <is>
          <t>0cc1d25467397681f341797006f2bd36cc96dfd62a7970ba37bbf061a6de1f5e</t>
        </is>
      </c>
      <c r="G830" t="inlineStr">
        <is>
          <t>2026-08-08</t>
        </is>
      </c>
      <c r="H830" s="19" t="inlineStr">
        <is>
          <t>2</t>
        </is>
      </c>
      <c r="I830" t="inlineStr">
        <is>
          <t>Phase I generated Rev.00 Word file — linked; signatures not completed</t>
        </is>
      </c>
      <c r="J830" t="inlineStr">
        <is>
          <t>2026-08-10T19:29:54Z</t>
        </is>
      </c>
      <c r="K830" t="inlineStr">
        <is>
          <t>2026-08-10T19:49:41Z</t>
        </is>
      </c>
    </row>
    <row r="831">
      <c r="A831" s="19" t="inlineStr">
        <is>
          <t>830</t>
        </is>
      </c>
      <c r="B831" s="19" t="inlineStr">
        <is>
          <t>IA-PPWR-DOC-ST-087-STD-05-R00</t>
        </is>
      </c>
      <c r="C831" t="inlineStr">
        <is>
          <t>IA-PPWR-DOC-ST-087-STD-05-R00</t>
        </is>
      </c>
      <c r="D831" s="19" t="inlineStr">
        <is>
          <t>4</t>
        </is>
      </c>
      <c r="E831" t="inlineStr">
        <is>
          <t>01_STARTER/ST-087-STD-05/02_EU_DoC.docx</t>
        </is>
      </c>
      <c r="F831" t="inlineStr">
        <is>
          <t>14630cc046dae49fafe4fd8debf59e24dd266218d5b2392831a4141cbb37dfeb</t>
        </is>
      </c>
      <c r="G831" t="inlineStr">
        <is>
          <t>2026-08-08</t>
        </is>
      </c>
      <c r="H831" s="19" t="inlineStr">
        <is>
          <t>2</t>
        </is>
      </c>
      <c r="I831" t="inlineStr">
        <is>
          <t>Phase I generated Rev.00 Word file — linked; signatures not completed</t>
        </is>
      </c>
      <c r="J831" t="inlineStr">
        <is>
          <t>2026-08-10T19:29:54Z</t>
        </is>
      </c>
      <c r="K831" t="inlineStr">
        <is>
          <t>2026-08-10T19:49:41Z</t>
        </is>
      </c>
    </row>
    <row r="832">
      <c r="A832" s="19" t="inlineStr">
        <is>
          <t>831</t>
        </is>
      </c>
      <c r="B832" s="19" t="inlineStr">
        <is>
          <t>IA-PPWR-LBL-ST-087-STD-05-R00</t>
        </is>
      </c>
      <c r="C832" t="inlineStr">
        <is>
          <t>IA-PPWR-LBL-ST-087-STD-05-R00</t>
        </is>
      </c>
      <c r="D832" s="19" t="inlineStr">
        <is>
          <t>11</t>
        </is>
      </c>
      <c r="E832" t="inlineStr">
        <is>
          <t>01_STARTER/ST-087-STD-05/03_Label.docx</t>
        </is>
      </c>
      <c r="F832" t="inlineStr">
        <is>
          <t>11aafe3ef39ba42b31d23048423c012d6cef5737a99c83d9f8348915742bba10</t>
        </is>
      </c>
      <c r="G832" t="inlineStr">
        <is>
          <t>2026-08-08</t>
        </is>
      </c>
      <c r="H832" s="19" t="inlineStr">
        <is>
          <t>2</t>
        </is>
      </c>
      <c r="I832" t="inlineStr">
        <is>
          <t>Phase I generated Rev.00 Word file — linked; signatures not completed</t>
        </is>
      </c>
      <c r="J832" t="inlineStr">
        <is>
          <t>2026-08-10T19:29:54Z</t>
        </is>
      </c>
      <c r="K832" t="inlineStr">
        <is>
          <t>2026-08-10T19:49:41Z</t>
        </is>
      </c>
    </row>
    <row r="833">
      <c r="A833" s="19" t="inlineStr">
        <is>
          <t>832</t>
        </is>
      </c>
      <c r="B833" s="19" t="inlineStr">
        <is>
          <t>IA-PPWR-STM-ST-087-STD-05-R00</t>
        </is>
      </c>
      <c r="C833" t="inlineStr">
        <is>
          <t>IA-PPWR-STM-ST-087-STD-05-R00</t>
        </is>
      </c>
      <c r="D833" s="19" t="inlineStr">
        <is>
          <t>12</t>
        </is>
      </c>
      <c r="E833" t="inlineStr">
        <is>
          <t>01_STARTER/ST-087-STD-05/04_Shipment_Statement.docx</t>
        </is>
      </c>
      <c r="F833" t="inlineStr">
        <is>
          <t>f378b8c04505cd662b014f558a0f87d3caf6903bf1f01b3a5f149985a9e1f19a</t>
        </is>
      </c>
      <c r="G833" t="inlineStr">
        <is>
          <t>2026-08-08</t>
        </is>
      </c>
      <c r="H833" s="19" t="inlineStr">
        <is>
          <t>2</t>
        </is>
      </c>
      <c r="I833" t="inlineStr">
        <is>
          <t>Phase I generated Rev.00 Word file — linked; signatures not completed</t>
        </is>
      </c>
      <c r="J833" t="inlineStr">
        <is>
          <t>2026-08-10T19:29:54Z</t>
        </is>
      </c>
      <c r="K833" t="inlineStr">
        <is>
          <t>2026-08-10T19:49:41Z</t>
        </is>
      </c>
    </row>
    <row r="834">
      <c r="A834" s="19" t="inlineStr">
        <is>
          <t>833</t>
        </is>
      </c>
      <c r="B834" s="19" t="inlineStr">
        <is>
          <t>IA-PPWR-TF-ST-087-STD-06-R00</t>
        </is>
      </c>
      <c r="C834" t="inlineStr">
        <is>
          <t>IA-PPWR-TF-ST-087-STD-06-R00</t>
        </is>
      </c>
      <c r="D834" s="19" t="inlineStr">
        <is>
          <t>1</t>
        </is>
      </c>
      <c r="E834" t="inlineStr">
        <is>
          <t>01_STARTER/ST-087-STD-06/01_Technical_File.docx</t>
        </is>
      </c>
      <c r="F834" t="inlineStr">
        <is>
          <t>f69d3f93bc40e5583555b87e844c475faab3d0a661db41d7bf3b57ffaefc464a</t>
        </is>
      </c>
      <c r="G834" t="inlineStr">
        <is>
          <t>2026-08-08</t>
        </is>
      </c>
      <c r="H834" s="19" t="inlineStr">
        <is>
          <t>2</t>
        </is>
      </c>
      <c r="I834" t="inlineStr">
        <is>
          <t>Phase I generated Rev.00 Word file — linked; signatures not completed</t>
        </is>
      </c>
      <c r="J834" t="inlineStr">
        <is>
          <t>2026-08-10T19:29:54Z</t>
        </is>
      </c>
      <c r="K834" t="inlineStr">
        <is>
          <t>2026-08-10T19:49:41Z</t>
        </is>
      </c>
    </row>
    <row r="835">
      <c r="A835" s="19" t="inlineStr">
        <is>
          <t>834</t>
        </is>
      </c>
      <c r="B835" s="19" t="inlineStr">
        <is>
          <t>IA-PPWR-DOC-ST-087-STD-06-R00</t>
        </is>
      </c>
      <c r="C835" t="inlineStr">
        <is>
          <t>IA-PPWR-DOC-ST-087-STD-06-R00</t>
        </is>
      </c>
      <c r="D835" s="19" t="inlineStr">
        <is>
          <t>4</t>
        </is>
      </c>
      <c r="E835" t="inlineStr">
        <is>
          <t>01_STARTER/ST-087-STD-06/02_EU_DoC.docx</t>
        </is>
      </c>
      <c r="F835" t="inlineStr">
        <is>
          <t>9ec5bc53a29c281a5eeb25b15d2c535d490f2374e0272be2b0b416924ca1612b</t>
        </is>
      </c>
      <c r="G835" t="inlineStr">
        <is>
          <t>2026-08-08</t>
        </is>
      </c>
      <c r="H835" s="19" t="inlineStr">
        <is>
          <t>2</t>
        </is>
      </c>
      <c r="I835" t="inlineStr">
        <is>
          <t>Phase I generated Rev.00 Word file — linked; signatures not completed</t>
        </is>
      </c>
      <c r="J835" t="inlineStr">
        <is>
          <t>2026-08-10T19:29:54Z</t>
        </is>
      </c>
      <c r="K835" t="inlineStr">
        <is>
          <t>2026-08-10T19:49:41Z</t>
        </is>
      </c>
    </row>
    <row r="836">
      <c r="A836" s="19" t="inlineStr">
        <is>
          <t>835</t>
        </is>
      </c>
      <c r="B836" s="19" t="inlineStr">
        <is>
          <t>IA-PPWR-LBL-ST-087-STD-06-R00</t>
        </is>
      </c>
      <c r="C836" t="inlineStr">
        <is>
          <t>IA-PPWR-LBL-ST-087-STD-06-R00</t>
        </is>
      </c>
      <c r="D836" s="19" t="inlineStr">
        <is>
          <t>11</t>
        </is>
      </c>
      <c r="E836" t="inlineStr">
        <is>
          <t>01_STARTER/ST-087-STD-06/03_Label.docx</t>
        </is>
      </c>
      <c r="F836" t="inlineStr">
        <is>
          <t>eac7f0816d7502f1e488ab5b7a49ea7ddc43d6af83157b2d35e5657b2edf1089</t>
        </is>
      </c>
      <c r="G836" t="inlineStr">
        <is>
          <t>2026-08-08</t>
        </is>
      </c>
      <c r="H836" s="19" t="inlineStr">
        <is>
          <t>2</t>
        </is>
      </c>
      <c r="I836" t="inlineStr">
        <is>
          <t>Phase I generated Rev.00 Word file — linked; signatures not completed</t>
        </is>
      </c>
      <c r="J836" t="inlineStr">
        <is>
          <t>2026-08-10T19:29:54Z</t>
        </is>
      </c>
      <c r="K836" t="inlineStr">
        <is>
          <t>2026-08-10T19:49:41Z</t>
        </is>
      </c>
    </row>
    <row r="837">
      <c r="A837" s="19" t="inlineStr">
        <is>
          <t>836</t>
        </is>
      </c>
      <c r="B837" s="19" t="inlineStr">
        <is>
          <t>IA-PPWR-STM-ST-087-STD-06-R00</t>
        </is>
      </c>
      <c r="C837" t="inlineStr">
        <is>
          <t>IA-PPWR-STM-ST-087-STD-06-R00</t>
        </is>
      </c>
      <c r="D837" s="19" t="inlineStr">
        <is>
          <t>12</t>
        </is>
      </c>
      <c r="E837" t="inlineStr">
        <is>
          <t>01_STARTER/ST-087-STD-06/04_Shipment_Statement.docx</t>
        </is>
      </c>
      <c r="F837" t="inlineStr">
        <is>
          <t>df293742a96151a51ebd0622932d8da7528fec8f354d3ec0f380ff21979d8b9c</t>
        </is>
      </c>
      <c r="G837" t="inlineStr">
        <is>
          <t>2026-08-08</t>
        </is>
      </c>
      <c r="H837" s="19" t="inlineStr">
        <is>
          <t>2</t>
        </is>
      </c>
      <c r="I837" t="inlineStr">
        <is>
          <t>Phase I generated Rev.00 Word file — linked; signatures not completed</t>
        </is>
      </c>
      <c r="J837" t="inlineStr">
        <is>
          <t>2026-08-10T19:29:54Z</t>
        </is>
      </c>
      <c r="K837" t="inlineStr">
        <is>
          <t>2026-08-10T19:49:41Z</t>
        </is>
      </c>
    </row>
    <row r="838">
      <c r="A838" s="19" t="inlineStr">
        <is>
          <t>837</t>
        </is>
      </c>
      <c r="B838" s="19" t="inlineStr">
        <is>
          <t>IA-PPWR-TF-ST-087-STD-07-R00</t>
        </is>
      </c>
      <c r="C838" t="inlineStr">
        <is>
          <t>IA-PPWR-TF-ST-087-STD-07-R00</t>
        </is>
      </c>
      <c r="D838" s="19" t="inlineStr">
        <is>
          <t>1</t>
        </is>
      </c>
      <c r="E838" t="inlineStr">
        <is>
          <t>01_STARTER/ST-087-STD-07/01_Technical_File.docx</t>
        </is>
      </c>
      <c r="F838" t="inlineStr">
        <is>
          <t>750f1a71aea54a1f36fb1ae6a90b714769f3aa1259ff41fa9c58001624adb7e8</t>
        </is>
      </c>
      <c r="G838" t="inlineStr">
        <is>
          <t>2026-08-08</t>
        </is>
      </c>
      <c r="H838" s="19" t="inlineStr">
        <is>
          <t>2</t>
        </is>
      </c>
      <c r="I838" t="inlineStr">
        <is>
          <t>Phase I generated Rev.00 Word file — linked; signatures not completed</t>
        </is>
      </c>
      <c r="J838" t="inlineStr">
        <is>
          <t>2026-08-10T19:29:54Z</t>
        </is>
      </c>
      <c r="K838" t="inlineStr">
        <is>
          <t>2026-08-10T19:49:41Z</t>
        </is>
      </c>
    </row>
    <row r="839">
      <c r="A839" s="19" t="inlineStr">
        <is>
          <t>838</t>
        </is>
      </c>
      <c r="B839" s="19" t="inlineStr">
        <is>
          <t>IA-PPWR-DOC-ST-087-STD-07-R00</t>
        </is>
      </c>
      <c r="C839" t="inlineStr">
        <is>
          <t>IA-PPWR-DOC-ST-087-STD-07-R00</t>
        </is>
      </c>
      <c r="D839" s="19" t="inlineStr">
        <is>
          <t>4</t>
        </is>
      </c>
      <c r="E839" t="inlineStr">
        <is>
          <t>01_STARTER/ST-087-STD-07/02_EU_DoC.docx</t>
        </is>
      </c>
      <c r="F839" t="inlineStr">
        <is>
          <t>9edf9d63bb2f5bd23bd76ef5f0b5d4a75a4d700cf47ac6830221be5a7d417531</t>
        </is>
      </c>
      <c r="G839" t="inlineStr">
        <is>
          <t>2026-08-08</t>
        </is>
      </c>
      <c r="H839" s="19" t="inlineStr">
        <is>
          <t>2</t>
        </is>
      </c>
      <c r="I839" t="inlineStr">
        <is>
          <t>Phase I generated Rev.00 Word file — linked; signatures not completed</t>
        </is>
      </c>
      <c r="J839" t="inlineStr">
        <is>
          <t>2026-08-10T19:29:54Z</t>
        </is>
      </c>
      <c r="K839" t="inlineStr">
        <is>
          <t>2026-08-10T19:49:41Z</t>
        </is>
      </c>
    </row>
    <row r="840">
      <c r="A840" s="19" t="inlineStr">
        <is>
          <t>839</t>
        </is>
      </c>
      <c r="B840" s="19" t="inlineStr">
        <is>
          <t>IA-PPWR-LBL-ST-087-STD-07-R00</t>
        </is>
      </c>
      <c r="C840" t="inlineStr">
        <is>
          <t>IA-PPWR-LBL-ST-087-STD-07-R00</t>
        </is>
      </c>
      <c r="D840" s="19" t="inlineStr">
        <is>
          <t>11</t>
        </is>
      </c>
      <c r="E840" t="inlineStr">
        <is>
          <t>01_STARTER/ST-087-STD-07/03_Label.docx</t>
        </is>
      </c>
      <c r="F840" t="inlineStr">
        <is>
          <t>8992d72a8d41a1cde74113b774ba2b3c1d55c25e10cfa632aebc35e53c02ca1b</t>
        </is>
      </c>
      <c r="G840" t="inlineStr">
        <is>
          <t>2026-08-08</t>
        </is>
      </c>
      <c r="H840" s="19" t="inlineStr">
        <is>
          <t>2</t>
        </is>
      </c>
      <c r="I840" t="inlineStr">
        <is>
          <t>Phase I generated Rev.00 Word file — linked; signatures not completed</t>
        </is>
      </c>
      <c r="J840" t="inlineStr">
        <is>
          <t>2026-08-10T19:29:54Z</t>
        </is>
      </c>
      <c r="K840" t="inlineStr">
        <is>
          <t>2026-08-10T19:49:41Z</t>
        </is>
      </c>
    </row>
    <row r="841">
      <c r="A841" s="19" t="inlineStr">
        <is>
          <t>840</t>
        </is>
      </c>
      <c r="B841" s="19" t="inlineStr">
        <is>
          <t>IA-PPWR-STM-ST-087-STD-07-R00</t>
        </is>
      </c>
      <c r="C841" t="inlineStr">
        <is>
          <t>IA-PPWR-STM-ST-087-STD-07-R00</t>
        </is>
      </c>
      <c r="D841" s="19" t="inlineStr">
        <is>
          <t>12</t>
        </is>
      </c>
      <c r="E841" t="inlineStr">
        <is>
          <t>01_STARTER/ST-087-STD-07/04_Shipment_Statement.docx</t>
        </is>
      </c>
      <c r="F841" t="inlineStr">
        <is>
          <t>dc74dcec08a0a0af96219f6410c6a7aaf4ae60415357a4bed7eed1345098595b</t>
        </is>
      </c>
      <c r="G841" t="inlineStr">
        <is>
          <t>2026-08-08</t>
        </is>
      </c>
      <c r="H841" s="19" t="inlineStr">
        <is>
          <t>2</t>
        </is>
      </c>
      <c r="I841" t="inlineStr">
        <is>
          <t>Phase I generated Rev.00 Word file — linked; signatures not completed</t>
        </is>
      </c>
      <c r="J841" t="inlineStr">
        <is>
          <t>2026-08-10T19:29:54Z</t>
        </is>
      </c>
      <c r="K841" t="inlineStr">
        <is>
          <t>2026-08-10T19:49:41Z</t>
        </is>
      </c>
    </row>
    <row r="842">
      <c r="A842" s="19" t="inlineStr">
        <is>
          <t>841</t>
        </is>
      </c>
      <c r="B842" s="19" t="inlineStr">
        <is>
          <t>IA-PPWR-TF-ST-088-STD-01-R00</t>
        </is>
      </c>
      <c r="C842" t="inlineStr">
        <is>
          <t>IA-PPWR-TF-ST-088-STD-01-R00</t>
        </is>
      </c>
      <c r="D842" s="19" t="inlineStr">
        <is>
          <t>1</t>
        </is>
      </c>
      <c r="E842" t="inlineStr">
        <is>
          <t>01_STARTER/ST-088-STD-01/01_Technical_File.docx</t>
        </is>
      </c>
      <c r="F842" t="inlineStr">
        <is>
          <t>86a3b2b9431811dffcb99dbfa954ef9d05ba3f1cadd2b7b774a6c2b5fae669a1</t>
        </is>
      </c>
      <c r="G842" t="inlineStr">
        <is>
          <t>2026-08-08</t>
        </is>
      </c>
      <c r="H842" s="19" t="inlineStr">
        <is>
          <t>2</t>
        </is>
      </c>
      <c r="I842" t="inlineStr">
        <is>
          <t>Phase I generated Rev.00 Word file — linked; signatures not completed</t>
        </is>
      </c>
      <c r="J842" t="inlineStr">
        <is>
          <t>2026-08-10T19:29:54Z</t>
        </is>
      </c>
      <c r="K842" t="inlineStr">
        <is>
          <t>2026-08-10T19:49:41Z</t>
        </is>
      </c>
    </row>
    <row r="843">
      <c r="A843" s="19" t="inlineStr">
        <is>
          <t>842</t>
        </is>
      </c>
      <c r="B843" s="19" t="inlineStr">
        <is>
          <t>IA-PPWR-DOC-ST-088-STD-01-R00</t>
        </is>
      </c>
      <c r="C843" t="inlineStr">
        <is>
          <t>IA-PPWR-DOC-ST-088-STD-01-R00</t>
        </is>
      </c>
      <c r="D843" s="19" t="inlineStr">
        <is>
          <t>4</t>
        </is>
      </c>
      <c r="E843" t="inlineStr">
        <is>
          <t>01_STARTER/ST-088-STD-01/02_EU_DoC.docx</t>
        </is>
      </c>
      <c r="F843" t="inlineStr">
        <is>
          <t>85f3b4210efb086c232f9f780f8d6086c9fc027d277a846606df12890af481ec</t>
        </is>
      </c>
      <c r="G843" t="inlineStr">
        <is>
          <t>2026-08-08</t>
        </is>
      </c>
      <c r="H843" s="19" t="inlineStr">
        <is>
          <t>2</t>
        </is>
      </c>
      <c r="I843" t="inlineStr">
        <is>
          <t>Phase I generated Rev.00 Word file — linked; signatures not completed</t>
        </is>
      </c>
      <c r="J843" t="inlineStr">
        <is>
          <t>2026-08-10T19:29:54Z</t>
        </is>
      </c>
      <c r="K843" t="inlineStr">
        <is>
          <t>2026-08-10T19:49:41Z</t>
        </is>
      </c>
    </row>
    <row r="844">
      <c r="A844" s="19" t="inlineStr">
        <is>
          <t>843</t>
        </is>
      </c>
      <c r="B844" s="19" t="inlineStr">
        <is>
          <t>IA-PPWR-LBL-ST-088-STD-01-R00</t>
        </is>
      </c>
      <c r="C844" t="inlineStr">
        <is>
          <t>IA-PPWR-LBL-ST-088-STD-01-R00</t>
        </is>
      </c>
      <c r="D844" s="19" t="inlineStr">
        <is>
          <t>11</t>
        </is>
      </c>
      <c r="E844" t="inlineStr">
        <is>
          <t>01_STARTER/ST-088-STD-01/03_Label.docx</t>
        </is>
      </c>
      <c r="F844" t="inlineStr">
        <is>
          <t>bdaab9c7ee52eadd7c25f63c0377033387cdcb58f13471260317b563c3c0efd3</t>
        </is>
      </c>
      <c r="G844" t="inlineStr">
        <is>
          <t>2026-08-08</t>
        </is>
      </c>
      <c r="H844" s="19" t="inlineStr">
        <is>
          <t>2</t>
        </is>
      </c>
      <c r="I844" t="inlineStr">
        <is>
          <t>Phase I generated Rev.00 Word file — linked; signatures not completed</t>
        </is>
      </c>
      <c r="J844" t="inlineStr">
        <is>
          <t>2026-08-10T19:29:54Z</t>
        </is>
      </c>
      <c r="K844" t="inlineStr">
        <is>
          <t>2026-08-10T19:49:41Z</t>
        </is>
      </c>
    </row>
    <row r="845">
      <c r="A845" s="19" t="inlineStr">
        <is>
          <t>844</t>
        </is>
      </c>
      <c r="B845" s="19" t="inlineStr">
        <is>
          <t>IA-PPWR-STM-ST-088-STD-01-R00</t>
        </is>
      </c>
      <c r="C845" t="inlineStr">
        <is>
          <t>IA-PPWR-STM-ST-088-STD-01-R00</t>
        </is>
      </c>
      <c r="D845" s="19" t="inlineStr">
        <is>
          <t>12</t>
        </is>
      </c>
      <c r="E845" t="inlineStr">
        <is>
          <t>01_STARTER/ST-088-STD-01/04_Shipment_Statement.docx</t>
        </is>
      </c>
      <c r="F845" t="inlineStr">
        <is>
          <t>8338d2bd93cc4e263e438cda9e71c15217384ccf3cd9b01b0af7c602641f19dc</t>
        </is>
      </c>
      <c r="G845" t="inlineStr">
        <is>
          <t>2026-08-08</t>
        </is>
      </c>
      <c r="H845" s="19" t="inlineStr">
        <is>
          <t>2</t>
        </is>
      </c>
      <c r="I845" t="inlineStr">
        <is>
          <t>Phase I generated Rev.00 Word file — linked; signatures not completed</t>
        </is>
      </c>
      <c r="J845" t="inlineStr">
        <is>
          <t>2026-08-10T19:29:54Z</t>
        </is>
      </c>
      <c r="K845" t="inlineStr">
        <is>
          <t>2026-08-10T19:49:41Z</t>
        </is>
      </c>
    </row>
    <row r="846">
      <c r="A846" s="19" t="inlineStr">
        <is>
          <t>845</t>
        </is>
      </c>
      <c r="B846" s="19" t="inlineStr">
        <is>
          <t>IA-PPWR-TF-ST-088-STD-02-R00</t>
        </is>
      </c>
      <c r="C846" t="inlineStr">
        <is>
          <t>IA-PPWR-TF-ST-088-STD-02-R00</t>
        </is>
      </c>
      <c r="D846" s="19" t="inlineStr">
        <is>
          <t>1</t>
        </is>
      </c>
      <c r="E846" t="inlineStr">
        <is>
          <t>01_STARTER/ST-088-STD-02/01_Technical_File.docx</t>
        </is>
      </c>
      <c r="F846" t="inlineStr">
        <is>
          <t>01e85ae980632fcafeb909cf31433f9355758d8bafacccb0bab0adf452af1081</t>
        </is>
      </c>
      <c r="G846" t="inlineStr">
        <is>
          <t>2026-08-08</t>
        </is>
      </c>
      <c r="H846" s="19" t="inlineStr">
        <is>
          <t>2</t>
        </is>
      </c>
      <c r="I846" t="inlineStr">
        <is>
          <t>Phase I generated Rev.00 Word file — linked; signatures not completed</t>
        </is>
      </c>
      <c r="J846" t="inlineStr">
        <is>
          <t>2026-08-10T19:29:54Z</t>
        </is>
      </c>
      <c r="K846" t="inlineStr">
        <is>
          <t>2026-08-10T19:49:41Z</t>
        </is>
      </c>
    </row>
    <row r="847">
      <c r="A847" s="19" t="inlineStr">
        <is>
          <t>846</t>
        </is>
      </c>
      <c r="B847" s="19" t="inlineStr">
        <is>
          <t>IA-PPWR-DOC-ST-088-STD-02-R00</t>
        </is>
      </c>
      <c r="C847" t="inlineStr">
        <is>
          <t>IA-PPWR-DOC-ST-088-STD-02-R00</t>
        </is>
      </c>
      <c r="D847" s="19" t="inlineStr">
        <is>
          <t>4</t>
        </is>
      </c>
      <c r="E847" t="inlineStr">
        <is>
          <t>01_STARTER/ST-088-STD-02/02_EU_DoC.docx</t>
        </is>
      </c>
      <c r="F847" t="inlineStr">
        <is>
          <t>b692d95e90b0755fc37a2e6bf503cab41f65059f9a3190c5918ea3835b3ab67c</t>
        </is>
      </c>
      <c r="G847" t="inlineStr">
        <is>
          <t>2026-08-08</t>
        </is>
      </c>
      <c r="H847" s="19" t="inlineStr">
        <is>
          <t>2</t>
        </is>
      </c>
      <c r="I847" t="inlineStr">
        <is>
          <t>Phase I generated Rev.00 Word file — linked; signatures not completed</t>
        </is>
      </c>
      <c r="J847" t="inlineStr">
        <is>
          <t>2026-08-10T19:29:54Z</t>
        </is>
      </c>
      <c r="K847" t="inlineStr">
        <is>
          <t>2026-08-10T19:49:41Z</t>
        </is>
      </c>
    </row>
    <row r="848">
      <c r="A848" s="19" t="inlineStr">
        <is>
          <t>847</t>
        </is>
      </c>
      <c r="B848" s="19" t="inlineStr">
        <is>
          <t>IA-PPWR-LBL-ST-088-STD-02-R00</t>
        </is>
      </c>
      <c r="C848" t="inlineStr">
        <is>
          <t>IA-PPWR-LBL-ST-088-STD-02-R00</t>
        </is>
      </c>
      <c r="D848" s="19" t="inlineStr">
        <is>
          <t>11</t>
        </is>
      </c>
      <c r="E848" t="inlineStr">
        <is>
          <t>01_STARTER/ST-088-STD-02/03_Label.docx</t>
        </is>
      </c>
      <c r="F848" t="inlineStr">
        <is>
          <t>8a19ad9146127cfcc5f823b672b217293d4b10ede1c7580cc452b99a12fd2217</t>
        </is>
      </c>
      <c r="G848" t="inlineStr">
        <is>
          <t>2026-08-08</t>
        </is>
      </c>
      <c r="H848" s="19" t="inlineStr">
        <is>
          <t>2</t>
        </is>
      </c>
      <c r="I848" t="inlineStr">
        <is>
          <t>Phase I generated Rev.00 Word file — linked; signatures not completed</t>
        </is>
      </c>
      <c r="J848" t="inlineStr">
        <is>
          <t>2026-08-10T19:29:54Z</t>
        </is>
      </c>
      <c r="K848" t="inlineStr">
        <is>
          <t>2026-08-10T19:49:41Z</t>
        </is>
      </c>
    </row>
    <row r="849">
      <c r="A849" s="19" t="inlineStr">
        <is>
          <t>848</t>
        </is>
      </c>
      <c r="B849" s="19" t="inlineStr">
        <is>
          <t>IA-PPWR-STM-ST-088-STD-02-R00</t>
        </is>
      </c>
      <c r="C849" t="inlineStr">
        <is>
          <t>IA-PPWR-STM-ST-088-STD-02-R00</t>
        </is>
      </c>
      <c r="D849" s="19" t="inlineStr">
        <is>
          <t>12</t>
        </is>
      </c>
      <c r="E849" t="inlineStr">
        <is>
          <t>01_STARTER/ST-088-STD-02/04_Shipment_Statement.docx</t>
        </is>
      </c>
      <c r="F849" t="inlineStr">
        <is>
          <t>58a44bb01e8db06ac526d0f90ef4a567663691987e7fda44aba5419a7976c4d0</t>
        </is>
      </c>
      <c r="G849" t="inlineStr">
        <is>
          <t>2026-08-08</t>
        </is>
      </c>
      <c r="H849" s="19" t="inlineStr">
        <is>
          <t>2</t>
        </is>
      </c>
      <c r="I849" t="inlineStr">
        <is>
          <t>Phase I generated Rev.00 Word file — linked; signatures not completed</t>
        </is>
      </c>
      <c r="J849" t="inlineStr">
        <is>
          <t>2026-08-10T19:29:54Z</t>
        </is>
      </c>
      <c r="K849" t="inlineStr">
        <is>
          <t>2026-08-10T19:49:41Z</t>
        </is>
      </c>
    </row>
    <row r="850">
      <c r="A850" s="19" t="inlineStr">
        <is>
          <t>849</t>
        </is>
      </c>
      <c r="B850" s="19" t="inlineStr">
        <is>
          <t>IA-PPWR-TF-ST-088-STD-03-R00</t>
        </is>
      </c>
      <c r="C850" t="inlineStr">
        <is>
          <t>IA-PPWR-TF-ST-088-STD-03-R00</t>
        </is>
      </c>
      <c r="D850" s="19" t="inlineStr">
        <is>
          <t>1</t>
        </is>
      </c>
      <c r="E850" t="inlineStr">
        <is>
          <t>01_STARTER/ST-088-STD-03/01_Technical_File.docx</t>
        </is>
      </c>
      <c r="F850" t="inlineStr">
        <is>
          <t>2914d9d5f8e2e8a0b8bc232fa27ec5526b7551e8896d528bceae9f61b9e68cb5</t>
        </is>
      </c>
      <c r="G850" t="inlineStr">
        <is>
          <t>2026-08-08</t>
        </is>
      </c>
      <c r="H850" s="19" t="inlineStr">
        <is>
          <t>2</t>
        </is>
      </c>
      <c r="I850" t="inlineStr">
        <is>
          <t>Phase I generated Rev.00 Word file — linked; signatures not completed</t>
        </is>
      </c>
      <c r="J850" t="inlineStr">
        <is>
          <t>2026-08-10T19:29:54Z</t>
        </is>
      </c>
      <c r="K850" t="inlineStr">
        <is>
          <t>2026-08-10T19:49:41Z</t>
        </is>
      </c>
    </row>
    <row r="851">
      <c r="A851" s="19" t="inlineStr">
        <is>
          <t>850</t>
        </is>
      </c>
      <c r="B851" s="19" t="inlineStr">
        <is>
          <t>IA-PPWR-DOC-ST-088-STD-03-R00</t>
        </is>
      </c>
      <c r="C851" t="inlineStr">
        <is>
          <t>IA-PPWR-DOC-ST-088-STD-03-R00</t>
        </is>
      </c>
      <c r="D851" s="19" t="inlineStr">
        <is>
          <t>4</t>
        </is>
      </c>
      <c r="E851" t="inlineStr">
        <is>
          <t>01_STARTER/ST-088-STD-03/02_EU_DoC.docx</t>
        </is>
      </c>
      <c r="F851" t="inlineStr">
        <is>
          <t>21001675c4d06854b6bcc84d6e6671f768af84fdf8663b5a4a7773a1e0961a35</t>
        </is>
      </c>
      <c r="G851" t="inlineStr">
        <is>
          <t>2026-08-08</t>
        </is>
      </c>
      <c r="H851" s="19" t="inlineStr">
        <is>
          <t>2</t>
        </is>
      </c>
      <c r="I851" t="inlineStr">
        <is>
          <t>Phase I generated Rev.00 Word file — linked; signatures not completed</t>
        </is>
      </c>
      <c r="J851" t="inlineStr">
        <is>
          <t>2026-08-10T19:29:54Z</t>
        </is>
      </c>
      <c r="K851" t="inlineStr">
        <is>
          <t>2026-08-10T19:49:41Z</t>
        </is>
      </c>
    </row>
    <row r="852">
      <c r="A852" s="19" t="inlineStr">
        <is>
          <t>851</t>
        </is>
      </c>
      <c r="B852" s="19" t="inlineStr">
        <is>
          <t>IA-PPWR-LBL-ST-088-STD-03-R00</t>
        </is>
      </c>
      <c r="C852" t="inlineStr">
        <is>
          <t>IA-PPWR-LBL-ST-088-STD-03-R00</t>
        </is>
      </c>
      <c r="D852" s="19" t="inlineStr">
        <is>
          <t>11</t>
        </is>
      </c>
      <c r="E852" t="inlineStr">
        <is>
          <t>01_STARTER/ST-088-STD-03/03_Label.docx</t>
        </is>
      </c>
      <c r="F852" t="inlineStr">
        <is>
          <t>66cabfd791ee8845f61512609ed2a9da45a71cdb040cbf4682d6df453695184f</t>
        </is>
      </c>
      <c r="G852" t="inlineStr">
        <is>
          <t>2026-08-08</t>
        </is>
      </c>
      <c r="H852" s="19" t="inlineStr">
        <is>
          <t>2</t>
        </is>
      </c>
      <c r="I852" t="inlineStr">
        <is>
          <t>Phase I generated Rev.00 Word file — linked; signatures not completed</t>
        </is>
      </c>
      <c r="J852" t="inlineStr">
        <is>
          <t>2026-08-10T19:29:54Z</t>
        </is>
      </c>
      <c r="K852" t="inlineStr">
        <is>
          <t>2026-08-10T19:49:41Z</t>
        </is>
      </c>
    </row>
    <row r="853">
      <c r="A853" s="19" t="inlineStr">
        <is>
          <t>852</t>
        </is>
      </c>
      <c r="B853" s="19" t="inlineStr">
        <is>
          <t>IA-PPWR-STM-ST-088-STD-03-R00</t>
        </is>
      </c>
      <c r="C853" t="inlineStr">
        <is>
          <t>IA-PPWR-STM-ST-088-STD-03-R00</t>
        </is>
      </c>
      <c r="D853" s="19" t="inlineStr">
        <is>
          <t>12</t>
        </is>
      </c>
      <c r="E853" t="inlineStr">
        <is>
          <t>01_STARTER/ST-088-STD-03/04_Shipment_Statement.docx</t>
        </is>
      </c>
      <c r="F853" t="inlineStr">
        <is>
          <t>f475263e651d2c50e5d380149dfdad41653033421d0f2586ff2ec0e5dbb65689</t>
        </is>
      </c>
      <c r="G853" t="inlineStr">
        <is>
          <t>2026-08-08</t>
        </is>
      </c>
      <c r="H853" s="19" t="inlineStr">
        <is>
          <t>2</t>
        </is>
      </c>
      <c r="I853" t="inlineStr">
        <is>
          <t>Phase I generated Rev.00 Word file — linked; signatures not completed</t>
        </is>
      </c>
      <c r="J853" t="inlineStr">
        <is>
          <t>2026-08-10T19:29:54Z</t>
        </is>
      </c>
      <c r="K853" t="inlineStr">
        <is>
          <t>2026-08-10T19:49:41Z</t>
        </is>
      </c>
    </row>
    <row r="854">
      <c r="A854" s="19" t="inlineStr">
        <is>
          <t>853</t>
        </is>
      </c>
      <c r="B854" s="19" t="inlineStr">
        <is>
          <t>IA-PPWR-TF-ST-088-STD-04-R00</t>
        </is>
      </c>
      <c r="C854" t="inlineStr">
        <is>
          <t>IA-PPWR-TF-ST-088-STD-04-R00</t>
        </is>
      </c>
      <c r="D854" s="19" t="inlineStr">
        <is>
          <t>1</t>
        </is>
      </c>
      <c r="E854" t="inlineStr">
        <is>
          <t>01_STARTER/ST-088-STD-04/01_Technical_File.docx</t>
        </is>
      </c>
      <c r="F854" t="inlineStr">
        <is>
          <t>ea84f78fbf783cf833bfeb90d2b9a8415f229bf6a88b7b1ceca8b2547f050af4</t>
        </is>
      </c>
      <c r="G854" t="inlineStr">
        <is>
          <t>2026-08-08</t>
        </is>
      </c>
      <c r="H854" s="19" t="inlineStr">
        <is>
          <t>2</t>
        </is>
      </c>
      <c r="I854" t="inlineStr">
        <is>
          <t>Phase I generated Rev.00 Word file — linked; signatures not completed</t>
        </is>
      </c>
      <c r="J854" t="inlineStr">
        <is>
          <t>2026-08-10T19:29:54Z</t>
        </is>
      </c>
      <c r="K854" t="inlineStr">
        <is>
          <t>2026-08-10T19:49:41Z</t>
        </is>
      </c>
    </row>
    <row r="855">
      <c r="A855" s="19" t="inlineStr">
        <is>
          <t>854</t>
        </is>
      </c>
      <c r="B855" s="19" t="inlineStr">
        <is>
          <t>IA-PPWR-DOC-ST-088-STD-04-R00</t>
        </is>
      </c>
      <c r="C855" t="inlineStr">
        <is>
          <t>IA-PPWR-DOC-ST-088-STD-04-R00</t>
        </is>
      </c>
      <c r="D855" s="19" t="inlineStr">
        <is>
          <t>4</t>
        </is>
      </c>
      <c r="E855" t="inlineStr">
        <is>
          <t>01_STARTER/ST-088-STD-04/02_EU_DoC.docx</t>
        </is>
      </c>
      <c r="F855" t="inlineStr">
        <is>
          <t>5d58d6b40e3f29739db6db0abb6df08c2dab29abd60e2503c34b9759fecd9d65</t>
        </is>
      </c>
      <c r="G855" t="inlineStr">
        <is>
          <t>2026-08-08</t>
        </is>
      </c>
      <c r="H855" s="19" t="inlineStr">
        <is>
          <t>2</t>
        </is>
      </c>
      <c r="I855" t="inlineStr">
        <is>
          <t>Phase I generated Rev.00 Word file — linked; signatures not completed</t>
        </is>
      </c>
      <c r="J855" t="inlineStr">
        <is>
          <t>2026-08-10T19:29:54Z</t>
        </is>
      </c>
      <c r="K855" t="inlineStr">
        <is>
          <t>2026-08-10T19:49:41Z</t>
        </is>
      </c>
    </row>
    <row r="856">
      <c r="A856" s="19" t="inlineStr">
        <is>
          <t>855</t>
        </is>
      </c>
      <c r="B856" s="19" t="inlineStr">
        <is>
          <t>IA-PPWR-LBL-ST-088-STD-04-R00</t>
        </is>
      </c>
      <c r="C856" t="inlineStr">
        <is>
          <t>IA-PPWR-LBL-ST-088-STD-04-R00</t>
        </is>
      </c>
      <c r="D856" s="19" t="inlineStr">
        <is>
          <t>11</t>
        </is>
      </c>
      <c r="E856" t="inlineStr">
        <is>
          <t>01_STARTER/ST-088-STD-04/03_Label.docx</t>
        </is>
      </c>
      <c r="F856" t="inlineStr">
        <is>
          <t>e534b96c667b3cb6d3127f45714689d592f2a177a43a8a78d902adec5663e6c6</t>
        </is>
      </c>
      <c r="G856" t="inlineStr">
        <is>
          <t>2026-08-08</t>
        </is>
      </c>
      <c r="H856" s="19" t="inlineStr">
        <is>
          <t>2</t>
        </is>
      </c>
      <c r="I856" t="inlineStr">
        <is>
          <t>Phase I generated Rev.00 Word file — linked; signatures not completed</t>
        </is>
      </c>
      <c r="J856" t="inlineStr">
        <is>
          <t>2026-08-10T19:29:54Z</t>
        </is>
      </c>
      <c r="K856" t="inlineStr">
        <is>
          <t>2026-08-10T19:49:41Z</t>
        </is>
      </c>
    </row>
    <row r="857">
      <c r="A857" s="19" t="inlineStr">
        <is>
          <t>856</t>
        </is>
      </c>
      <c r="B857" s="19" t="inlineStr">
        <is>
          <t>IA-PPWR-STM-ST-088-STD-04-R00</t>
        </is>
      </c>
      <c r="C857" t="inlineStr">
        <is>
          <t>IA-PPWR-STM-ST-088-STD-04-R00</t>
        </is>
      </c>
      <c r="D857" s="19" t="inlineStr">
        <is>
          <t>12</t>
        </is>
      </c>
      <c r="E857" t="inlineStr">
        <is>
          <t>01_STARTER/ST-088-STD-04/04_Shipment_Statement.docx</t>
        </is>
      </c>
      <c r="F857" t="inlineStr">
        <is>
          <t>9e691a3ca8d0fcfe55b5e586dd5796785003cdc27039cbde9986766824e32793</t>
        </is>
      </c>
      <c r="G857" t="inlineStr">
        <is>
          <t>2026-08-08</t>
        </is>
      </c>
      <c r="H857" s="19" t="inlineStr">
        <is>
          <t>2</t>
        </is>
      </c>
      <c r="I857" t="inlineStr">
        <is>
          <t>Phase I generated Rev.00 Word file — linked; signatures not completed</t>
        </is>
      </c>
      <c r="J857" t="inlineStr">
        <is>
          <t>2026-08-10T19:29:54Z</t>
        </is>
      </c>
      <c r="K857" t="inlineStr">
        <is>
          <t>2026-08-10T19:49:41Z</t>
        </is>
      </c>
    </row>
    <row r="858">
      <c r="A858" s="19" t="inlineStr">
        <is>
          <t>857</t>
        </is>
      </c>
      <c r="B858" s="19" t="inlineStr">
        <is>
          <t>IA-PPWR-TF-ST-088-STD-05-R00</t>
        </is>
      </c>
      <c r="C858" t="inlineStr">
        <is>
          <t>IA-PPWR-TF-ST-088-STD-05-R00</t>
        </is>
      </c>
      <c r="D858" s="19" t="inlineStr">
        <is>
          <t>1</t>
        </is>
      </c>
      <c r="E858" t="inlineStr">
        <is>
          <t>01_STARTER/ST-088-STD-05/01_Technical_File.docx</t>
        </is>
      </c>
      <c r="F858" t="inlineStr">
        <is>
          <t>325d9e3b568f46f8e320a00d6e2a6cb69a26ba0dbc1feac2312493b3016e675b</t>
        </is>
      </c>
      <c r="G858" t="inlineStr">
        <is>
          <t>2026-08-08</t>
        </is>
      </c>
      <c r="H858" s="19" t="inlineStr">
        <is>
          <t>2</t>
        </is>
      </c>
      <c r="I858" t="inlineStr">
        <is>
          <t>Phase I generated Rev.00 Word file — linked; signatures not completed</t>
        </is>
      </c>
      <c r="J858" t="inlineStr">
        <is>
          <t>2026-08-10T19:29:54Z</t>
        </is>
      </c>
      <c r="K858" t="inlineStr">
        <is>
          <t>2026-08-10T19:49:41Z</t>
        </is>
      </c>
    </row>
    <row r="859">
      <c r="A859" s="19" t="inlineStr">
        <is>
          <t>858</t>
        </is>
      </c>
      <c r="B859" s="19" t="inlineStr">
        <is>
          <t>IA-PPWR-DOC-ST-088-STD-05-R00</t>
        </is>
      </c>
      <c r="C859" t="inlineStr">
        <is>
          <t>IA-PPWR-DOC-ST-088-STD-05-R00</t>
        </is>
      </c>
      <c r="D859" s="19" t="inlineStr">
        <is>
          <t>4</t>
        </is>
      </c>
      <c r="E859" t="inlineStr">
        <is>
          <t>01_STARTER/ST-088-STD-05/02_EU_DoC.docx</t>
        </is>
      </c>
      <c r="F859" t="inlineStr">
        <is>
          <t>e942ed2f10f3553058a02af77db26ccfe0ff6d0edf92e90628ef221fd5c82c35</t>
        </is>
      </c>
      <c r="G859" t="inlineStr">
        <is>
          <t>2026-08-08</t>
        </is>
      </c>
      <c r="H859" s="19" t="inlineStr">
        <is>
          <t>2</t>
        </is>
      </c>
      <c r="I859" t="inlineStr">
        <is>
          <t>Phase I generated Rev.00 Word file — linked; signatures not completed</t>
        </is>
      </c>
      <c r="J859" t="inlineStr">
        <is>
          <t>2026-08-10T19:29:54Z</t>
        </is>
      </c>
      <c r="K859" t="inlineStr">
        <is>
          <t>2026-08-10T19:49:41Z</t>
        </is>
      </c>
    </row>
    <row r="860">
      <c r="A860" s="19" t="inlineStr">
        <is>
          <t>859</t>
        </is>
      </c>
      <c r="B860" s="19" t="inlineStr">
        <is>
          <t>IA-PPWR-LBL-ST-088-STD-05-R00</t>
        </is>
      </c>
      <c r="C860" t="inlineStr">
        <is>
          <t>IA-PPWR-LBL-ST-088-STD-05-R00</t>
        </is>
      </c>
      <c r="D860" s="19" t="inlineStr">
        <is>
          <t>11</t>
        </is>
      </c>
      <c r="E860" t="inlineStr">
        <is>
          <t>01_STARTER/ST-088-STD-05/03_Label.docx</t>
        </is>
      </c>
      <c r="F860" t="inlineStr">
        <is>
          <t>964022e6246bf4779b921cdc99087d27140fbc45f6dad17453bff56c945c773f</t>
        </is>
      </c>
      <c r="G860" t="inlineStr">
        <is>
          <t>2026-08-08</t>
        </is>
      </c>
      <c r="H860" s="19" t="inlineStr">
        <is>
          <t>2</t>
        </is>
      </c>
      <c r="I860" t="inlineStr">
        <is>
          <t>Phase I generated Rev.00 Word file — linked; signatures not completed</t>
        </is>
      </c>
      <c r="J860" t="inlineStr">
        <is>
          <t>2026-08-10T19:29:54Z</t>
        </is>
      </c>
      <c r="K860" t="inlineStr">
        <is>
          <t>2026-08-10T19:49:41Z</t>
        </is>
      </c>
    </row>
    <row r="861">
      <c r="A861" s="19" t="inlineStr">
        <is>
          <t>860</t>
        </is>
      </c>
      <c r="B861" s="19" t="inlineStr">
        <is>
          <t>IA-PPWR-STM-ST-088-STD-05-R00</t>
        </is>
      </c>
      <c r="C861" t="inlineStr">
        <is>
          <t>IA-PPWR-STM-ST-088-STD-05-R00</t>
        </is>
      </c>
      <c r="D861" s="19" t="inlineStr">
        <is>
          <t>12</t>
        </is>
      </c>
      <c r="E861" t="inlineStr">
        <is>
          <t>01_STARTER/ST-088-STD-05/04_Shipment_Statement.docx</t>
        </is>
      </c>
      <c r="F861" t="inlineStr">
        <is>
          <t>e9102cb54c39c850e332847db267562182f34b7b5fc84d709b396d498ec802aa</t>
        </is>
      </c>
      <c r="G861" t="inlineStr">
        <is>
          <t>2026-08-08</t>
        </is>
      </c>
      <c r="H861" s="19" t="inlineStr">
        <is>
          <t>2</t>
        </is>
      </c>
      <c r="I861" t="inlineStr">
        <is>
          <t>Phase I generated Rev.00 Word file — linked; signatures not completed</t>
        </is>
      </c>
      <c r="J861" t="inlineStr">
        <is>
          <t>2026-08-10T19:29:54Z</t>
        </is>
      </c>
      <c r="K861" t="inlineStr">
        <is>
          <t>2026-08-10T19:49:41Z</t>
        </is>
      </c>
    </row>
    <row r="862">
      <c r="A862" s="19" t="inlineStr">
        <is>
          <t>861</t>
        </is>
      </c>
      <c r="B862" s="19" t="inlineStr">
        <is>
          <t>IA-PPWR-TF-ST-088-STD-06-R00</t>
        </is>
      </c>
      <c r="C862" t="inlineStr">
        <is>
          <t>IA-PPWR-TF-ST-088-STD-06-R00</t>
        </is>
      </c>
      <c r="D862" s="19" t="inlineStr">
        <is>
          <t>1</t>
        </is>
      </c>
      <c r="E862" t="inlineStr">
        <is>
          <t>01_STARTER/ST-088-STD-06/01_Technical_File.docx</t>
        </is>
      </c>
      <c r="F862" t="inlineStr">
        <is>
          <t>125f6a3a7fd54619de98b8f3dc494b9a752ceddf85c8f409e56cc3af75b754f2</t>
        </is>
      </c>
      <c r="G862" t="inlineStr">
        <is>
          <t>2026-08-08</t>
        </is>
      </c>
      <c r="H862" s="19" t="inlineStr">
        <is>
          <t>2</t>
        </is>
      </c>
      <c r="I862" t="inlineStr">
        <is>
          <t>Phase I generated Rev.00 Word file — linked; signatures not completed</t>
        </is>
      </c>
      <c r="J862" t="inlineStr">
        <is>
          <t>2026-08-10T19:29:54Z</t>
        </is>
      </c>
      <c r="K862" t="inlineStr">
        <is>
          <t>2026-08-10T19:49:41Z</t>
        </is>
      </c>
    </row>
    <row r="863">
      <c r="A863" s="19" t="inlineStr">
        <is>
          <t>862</t>
        </is>
      </c>
      <c r="B863" s="19" t="inlineStr">
        <is>
          <t>IA-PPWR-DOC-ST-088-STD-06-R00</t>
        </is>
      </c>
      <c r="C863" t="inlineStr">
        <is>
          <t>IA-PPWR-DOC-ST-088-STD-06-R00</t>
        </is>
      </c>
      <c r="D863" s="19" t="inlineStr">
        <is>
          <t>4</t>
        </is>
      </c>
      <c r="E863" t="inlineStr">
        <is>
          <t>01_STARTER/ST-088-STD-06/02_EU_DoC.docx</t>
        </is>
      </c>
      <c r="F863" t="inlineStr">
        <is>
          <t>760c030cd0d3e3888ea0b360030bc247a1decbb4e1fb9cd981998a24ef73aac4</t>
        </is>
      </c>
      <c r="G863" t="inlineStr">
        <is>
          <t>2026-08-08</t>
        </is>
      </c>
      <c r="H863" s="19" t="inlineStr">
        <is>
          <t>2</t>
        </is>
      </c>
      <c r="I863" t="inlineStr">
        <is>
          <t>Phase I generated Rev.00 Word file — linked; signatures not completed</t>
        </is>
      </c>
      <c r="J863" t="inlineStr">
        <is>
          <t>2026-08-10T19:29:54Z</t>
        </is>
      </c>
      <c r="K863" t="inlineStr">
        <is>
          <t>2026-08-10T19:49:41Z</t>
        </is>
      </c>
    </row>
    <row r="864">
      <c r="A864" s="19" t="inlineStr">
        <is>
          <t>863</t>
        </is>
      </c>
      <c r="B864" s="19" t="inlineStr">
        <is>
          <t>IA-PPWR-LBL-ST-088-STD-06-R00</t>
        </is>
      </c>
      <c r="C864" t="inlineStr">
        <is>
          <t>IA-PPWR-LBL-ST-088-STD-06-R00</t>
        </is>
      </c>
      <c r="D864" s="19" t="inlineStr">
        <is>
          <t>11</t>
        </is>
      </c>
      <c r="E864" t="inlineStr">
        <is>
          <t>01_STARTER/ST-088-STD-06/03_Label.docx</t>
        </is>
      </c>
      <c r="F864" t="inlineStr">
        <is>
          <t>2a23103a17f56135a654e551448a37ca9ab184957c21a40862b4d26d3b0527e9</t>
        </is>
      </c>
      <c r="G864" t="inlineStr">
        <is>
          <t>2026-08-08</t>
        </is>
      </c>
      <c r="H864" s="19" t="inlineStr">
        <is>
          <t>2</t>
        </is>
      </c>
      <c r="I864" t="inlineStr">
        <is>
          <t>Phase I generated Rev.00 Word file — linked; signatures not completed</t>
        </is>
      </c>
      <c r="J864" t="inlineStr">
        <is>
          <t>2026-08-10T19:29:54Z</t>
        </is>
      </c>
      <c r="K864" t="inlineStr">
        <is>
          <t>2026-08-10T19:49:41Z</t>
        </is>
      </c>
    </row>
    <row r="865">
      <c r="A865" s="19" t="inlineStr">
        <is>
          <t>864</t>
        </is>
      </c>
      <c r="B865" s="19" t="inlineStr">
        <is>
          <t>IA-PPWR-STM-ST-088-STD-06-R00</t>
        </is>
      </c>
      <c r="C865" t="inlineStr">
        <is>
          <t>IA-PPWR-STM-ST-088-STD-06-R00</t>
        </is>
      </c>
      <c r="D865" s="19" t="inlineStr">
        <is>
          <t>12</t>
        </is>
      </c>
      <c r="E865" t="inlineStr">
        <is>
          <t>01_STARTER/ST-088-STD-06/04_Shipment_Statement.docx</t>
        </is>
      </c>
      <c r="F865" t="inlineStr">
        <is>
          <t>3d666d422d7e839b6c62b1b4e0f088eef86b0c30994dae023df1989271d4b4c1</t>
        </is>
      </c>
      <c r="G865" t="inlineStr">
        <is>
          <t>2026-08-08</t>
        </is>
      </c>
      <c r="H865" s="19" t="inlineStr">
        <is>
          <t>2</t>
        </is>
      </c>
      <c r="I865" t="inlineStr">
        <is>
          <t>Phase I generated Rev.00 Word file — linked; signatures not completed</t>
        </is>
      </c>
      <c r="J865" t="inlineStr">
        <is>
          <t>2026-08-10T19:29:54Z</t>
        </is>
      </c>
      <c r="K865" t="inlineStr">
        <is>
          <t>2026-08-10T19:49:41Z</t>
        </is>
      </c>
    </row>
    <row r="866">
      <c r="A866" s="19" t="inlineStr">
        <is>
          <t>865</t>
        </is>
      </c>
      <c r="B866" s="19" t="inlineStr">
        <is>
          <t>IA-PPWR-TF-ST-088-STD-07-R00</t>
        </is>
      </c>
      <c r="C866" t="inlineStr">
        <is>
          <t>IA-PPWR-TF-ST-088-STD-07-R00</t>
        </is>
      </c>
      <c r="D866" s="19" t="inlineStr">
        <is>
          <t>1</t>
        </is>
      </c>
      <c r="E866" t="inlineStr">
        <is>
          <t>01_STARTER/ST-088-STD-07/01_Technical_File.docx</t>
        </is>
      </c>
      <c r="F866" t="inlineStr">
        <is>
          <t>6d61a7cda3d6c86c95d9e925841af96d590be81a04f2dbe032bcee501b8f1dd8</t>
        </is>
      </c>
      <c r="G866" t="inlineStr">
        <is>
          <t>2026-08-08</t>
        </is>
      </c>
      <c r="H866" s="19" t="inlineStr">
        <is>
          <t>2</t>
        </is>
      </c>
      <c r="I866" t="inlineStr">
        <is>
          <t>Phase I generated Rev.00 Word file — linked; signatures not completed</t>
        </is>
      </c>
      <c r="J866" t="inlineStr">
        <is>
          <t>2026-08-10T19:29:54Z</t>
        </is>
      </c>
      <c r="K866" t="inlineStr">
        <is>
          <t>2026-08-10T19:49:41Z</t>
        </is>
      </c>
    </row>
    <row r="867">
      <c r="A867" s="19" t="inlineStr">
        <is>
          <t>866</t>
        </is>
      </c>
      <c r="B867" s="19" t="inlineStr">
        <is>
          <t>IA-PPWR-DOC-ST-088-STD-07-R00</t>
        </is>
      </c>
      <c r="C867" t="inlineStr">
        <is>
          <t>IA-PPWR-DOC-ST-088-STD-07-R00</t>
        </is>
      </c>
      <c r="D867" s="19" t="inlineStr">
        <is>
          <t>4</t>
        </is>
      </c>
      <c r="E867" t="inlineStr">
        <is>
          <t>01_STARTER/ST-088-STD-07/02_EU_DoC.docx</t>
        </is>
      </c>
      <c r="F867" t="inlineStr">
        <is>
          <t>97f3edb99e37a6e118e39e0b123416ce40b0b7f85ad4aae316e46c2f2e720d5d</t>
        </is>
      </c>
      <c r="G867" t="inlineStr">
        <is>
          <t>2026-08-08</t>
        </is>
      </c>
      <c r="H867" s="19" t="inlineStr">
        <is>
          <t>2</t>
        </is>
      </c>
      <c r="I867" t="inlineStr">
        <is>
          <t>Phase I generated Rev.00 Word file — linked; signatures not completed</t>
        </is>
      </c>
      <c r="J867" t="inlineStr">
        <is>
          <t>2026-08-10T19:29:54Z</t>
        </is>
      </c>
      <c r="K867" t="inlineStr">
        <is>
          <t>2026-08-10T19:49:41Z</t>
        </is>
      </c>
    </row>
    <row r="868">
      <c r="A868" s="19" t="inlineStr">
        <is>
          <t>867</t>
        </is>
      </c>
      <c r="B868" s="19" t="inlineStr">
        <is>
          <t>IA-PPWR-LBL-ST-088-STD-07-R00</t>
        </is>
      </c>
      <c r="C868" t="inlineStr">
        <is>
          <t>IA-PPWR-LBL-ST-088-STD-07-R00</t>
        </is>
      </c>
      <c r="D868" s="19" t="inlineStr">
        <is>
          <t>11</t>
        </is>
      </c>
      <c r="E868" t="inlineStr">
        <is>
          <t>01_STARTER/ST-088-STD-07/03_Label.docx</t>
        </is>
      </c>
      <c r="F868" t="inlineStr">
        <is>
          <t>99f2557f99e59280bd3c870c99c05ec9f7d9ca71163f31ffc7ceccf9386d92be</t>
        </is>
      </c>
      <c r="G868" t="inlineStr">
        <is>
          <t>2026-08-08</t>
        </is>
      </c>
      <c r="H868" s="19" t="inlineStr">
        <is>
          <t>2</t>
        </is>
      </c>
      <c r="I868" t="inlineStr">
        <is>
          <t>Phase I generated Rev.00 Word file — linked; signatures not completed</t>
        </is>
      </c>
      <c r="J868" t="inlineStr">
        <is>
          <t>2026-08-10T19:29:54Z</t>
        </is>
      </c>
      <c r="K868" t="inlineStr">
        <is>
          <t>2026-08-10T19:49:41Z</t>
        </is>
      </c>
    </row>
    <row r="869">
      <c r="A869" s="19" t="inlineStr">
        <is>
          <t>868</t>
        </is>
      </c>
      <c r="B869" s="19" t="inlineStr">
        <is>
          <t>IA-PPWR-STM-ST-088-STD-07-R00</t>
        </is>
      </c>
      <c r="C869" t="inlineStr">
        <is>
          <t>IA-PPWR-STM-ST-088-STD-07-R00</t>
        </is>
      </c>
      <c r="D869" s="19" t="inlineStr">
        <is>
          <t>12</t>
        </is>
      </c>
      <c r="E869" t="inlineStr">
        <is>
          <t>01_STARTER/ST-088-STD-07/04_Shipment_Statement.docx</t>
        </is>
      </c>
      <c r="F869" t="inlineStr">
        <is>
          <t>a55879656cb794e54355354c270476a75dae160a6bc3ad6f3b13b48bdfc4b5d1</t>
        </is>
      </c>
      <c r="G869" t="inlineStr">
        <is>
          <t>2026-08-08</t>
        </is>
      </c>
      <c r="H869" s="19" t="inlineStr">
        <is>
          <t>2</t>
        </is>
      </c>
      <c r="I869" t="inlineStr">
        <is>
          <t>Phase I generated Rev.00 Word file — linked; signatures not completed</t>
        </is>
      </c>
      <c r="J869" t="inlineStr">
        <is>
          <t>2026-08-10T19:29:54Z</t>
        </is>
      </c>
      <c r="K869" t="inlineStr">
        <is>
          <t>2026-08-10T19:49:41Z</t>
        </is>
      </c>
    </row>
    <row r="870">
      <c r="A870" s="19" t="inlineStr">
        <is>
          <t>869</t>
        </is>
      </c>
      <c r="B870" s="19" t="inlineStr">
        <is>
          <t>IA-PPWR-TF-ST-088-STD-08-R00</t>
        </is>
      </c>
      <c r="C870" t="inlineStr">
        <is>
          <t>IA-PPWR-TF-ST-088-STD-08-R00</t>
        </is>
      </c>
      <c r="D870" s="19" t="inlineStr">
        <is>
          <t>1</t>
        </is>
      </c>
      <c r="E870" t="inlineStr">
        <is>
          <t>01_STARTER/ST-088-STD-08/01_Technical_File.docx</t>
        </is>
      </c>
      <c r="F870" t="inlineStr">
        <is>
          <t>42f508ba9bc97cfddc3929628dcedb5f9085bea544661e722a38da887b17d06b</t>
        </is>
      </c>
      <c r="G870" t="inlineStr">
        <is>
          <t>2026-08-08</t>
        </is>
      </c>
      <c r="H870" s="19" t="inlineStr">
        <is>
          <t>2</t>
        </is>
      </c>
      <c r="I870" t="inlineStr">
        <is>
          <t>Phase I generated Rev.00 Word file — linked; signatures not completed</t>
        </is>
      </c>
      <c r="J870" t="inlineStr">
        <is>
          <t>2026-08-10T19:29:54Z</t>
        </is>
      </c>
      <c r="K870" t="inlineStr">
        <is>
          <t>2026-08-10T19:49:41Z</t>
        </is>
      </c>
    </row>
    <row r="871">
      <c r="A871" s="19" t="inlineStr">
        <is>
          <t>870</t>
        </is>
      </c>
      <c r="B871" s="19" t="inlineStr">
        <is>
          <t>IA-PPWR-DOC-ST-088-STD-08-R00</t>
        </is>
      </c>
      <c r="C871" t="inlineStr">
        <is>
          <t>IA-PPWR-DOC-ST-088-STD-08-R00</t>
        </is>
      </c>
      <c r="D871" s="19" t="inlineStr">
        <is>
          <t>4</t>
        </is>
      </c>
      <c r="E871" t="inlineStr">
        <is>
          <t>01_STARTER/ST-088-STD-08/02_EU_DoC.docx</t>
        </is>
      </c>
      <c r="F871" t="inlineStr">
        <is>
          <t>b6fbde58f58c46a5e8cb4d4650773f2316c4b7bc8f0a8c68cb03294224f7aeb7</t>
        </is>
      </c>
      <c r="G871" t="inlineStr">
        <is>
          <t>2026-08-08</t>
        </is>
      </c>
      <c r="H871" s="19" t="inlineStr">
        <is>
          <t>2</t>
        </is>
      </c>
      <c r="I871" t="inlineStr">
        <is>
          <t>Phase I generated Rev.00 Word file — linked; signatures not completed</t>
        </is>
      </c>
      <c r="J871" t="inlineStr">
        <is>
          <t>2026-08-10T19:29:54Z</t>
        </is>
      </c>
      <c r="K871" t="inlineStr">
        <is>
          <t>2026-08-10T19:49:41Z</t>
        </is>
      </c>
    </row>
    <row r="872">
      <c r="A872" s="19" t="inlineStr">
        <is>
          <t>871</t>
        </is>
      </c>
      <c r="B872" s="19" t="inlineStr">
        <is>
          <t>IA-PPWR-LBL-ST-088-STD-08-R00</t>
        </is>
      </c>
      <c r="C872" t="inlineStr">
        <is>
          <t>IA-PPWR-LBL-ST-088-STD-08-R00</t>
        </is>
      </c>
      <c r="D872" s="19" t="inlineStr">
        <is>
          <t>11</t>
        </is>
      </c>
      <c r="E872" t="inlineStr">
        <is>
          <t>01_STARTER/ST-088-STD-08/03_Label.docx</t>
        </is>
      </c>
      <c r="F872" t="inlineStr">
        <is>
          <t>88678f95b24f6fd3fb7145dd10f848d9589ea0411fe02be9978fcf89eeda9b78</t>
        </is>
      </c>
      <c r="G872" t="inlineStr">
        <is>
          <t>2026-08-08</t>
        </is>
      </c>
      <c r="H872" s="19" t="inlineStr">
        <is>
          <t>2</t>
        </is>
      </c>
      <c r="I872" t="inlineStr">
        <is>
          <t>Phase I generated Rev.00 Word file — linked; signatures not completed</t>
        </is>
      </c>
      <c r="J872" t="inlineStr">
        <is>
          <t>2026-08-10T19:29:54Z</t>
        </is>
      </c>
      <c r="K872" t="inlineStr">
        <is>
          <t>2026-08-10T19:49:41Z</t>
        </is>
      </c>
    </row>
    <row r="873">
      <c r="A873" s="19" t="inlineStr">
        <is>
          <t>872</t>
        </is>
      </c>
      <c r="B873" s="19" t="inlineStr">
        <is>
          <t>IA-PPWR-STM-ST-088-STD-08-R00</t>
        </is>
      </c>
      <c r="C873" t="inlineStr">
        <is>
          <t>IA-PPWR-STM-ST-088-STD-08-R00</t>
        </is>
      </c>
      <c r="D873" s="19" t="inlineStr">
        <is>
          <t>12</t>
        </is>
      </c>
      <c r="E873" t="inlineStr">
        <is>
          <t>01_STARTER/ST-088-STD-08/04_Shipment_Statement.docx</t>
        </is>
      </c>
      <c r="F873" t="inlineStr">
        <is>
          <t>fb2ca2b8e8a274fd8416cd67395238cbeca32306daddcaaa4b7149bdb7cf352f</t>
        </is>
      </c>
      <c r="G873" t="inlineStr">
        <is>
          <t>2026-08-08</t>
        </is>
      </c>
      <c r="H873" s="19" t="inlineStr">
        <is>
          <t>2</t>
        </is>
      </c>
      <c r="I873" t="inlineStr">
        <is>
          <t>Phase I generated Rev.00 Word file — linked; signatures not completed</t>
        </is>
      </c>
      <c r="J873" t="inlineStr">
        <is>
          <t>2026-08-10T19:29:54Z</t>
        </is>
      </c>
      <c r="K873" t="inlineStr">
        <is>
          <t>2026-08-10T19:49:41Z</t>
        </is>
      </c>
    </row>
    <row r="874">
      <c r="A874" s="19" t="inlineStr">
        <is>
          <t>873</t>
        </is>
      </c>
      <c r="B874" s="19" t="inlineStr">
        <is>
          <t>IA-PPWR-TF-ST-090-STD-01-R00</t>
        </is>
      </c>
      <c r="C874" t="inlineStr">
        <is>
          <t>IA-PPWR-TF-ST-090-STD-01-R00</t>
        </is>
      </c>
      <c r="D874" s="19" t="inlineStr">
        <is>
          <t>1</t>
        </is>
      </c>
      <c r="E874" t="inlineStr">
        <is>
          <t>01_STARTER/ST-090-STD-01/01_Technical_File.docx</t>
        </is>
      </c>
      <c r="F874" t="inlineStr">
        <is>
          <t>f75708b54b0f11d4183da6e0c1f092a6138718d704b86dbf97e656f5e1e7cf84</t>
        </is>
      </c>
      <c r="G874" t="inlineStr">
        <is>
          <t>2026-08-08</t>
        </is>
      </c>
      <c r="H874" s="19" t="inlineStr">
        <is>
          <t>2</t>
        </is>
      </c>
      <c r="I874" t="inlineStr">
        <is>
          <t>Phase I generated Rev.00 Word file — linked; signatures not completed</t>
        </is>
      </c>
      <c r="J874" t="inlineStr">
        <is>
          <t>2026-08-10T19:29:54Z</t>
        </is>
      </c>
      <c r="K874" t="inlineStr">
        <is>
          <t>2026-08-10T19:49:41Z</t>
        </is>
      </c>
    </row>
    <row r="875">
      <c r="A875" s="19" t="inlineStr">
        <is>
          <t>874</t>
        </is>
      </c>
      <c r="B875" s="19" t="inlineStr">
        <is>
          <t>IA-PPWR-DOC-ST-090-STD-01-R00</t>
        </is>
      </c>
      <c r="C875" t="inlineStr">
        <is>
          <t>IA-PPWR-DOC-ST-090-STD-01-R00</t>
        </is>
      </c>
      <c r="D875" s="19" t="inlineStr">
        <is>
          <t>4</t>
        </is>
      </c>
      <c r="E875" t="inlineStr">
        <is>
          <t>01_STARTER/ST-090-STD-01/02_EU_DoC.docx</t>
        </is>
      </c>
      <c r="F875" t="inlineStr">
        <is>
          <t>d834f8fa5b5efbf5eacb55701e2b62467ae26e2fc0dfd81f29038f2070652bb9</t>
        </is>
      </c>
      <c r="G875" t="inlineStr">
        <is>
          <t>2026-08-08</t>
        </is>
      </c>
      <c r="H875" s="19" t="inlineStr">
        <is>
          <t>2</t>
        </is>
      </c>
      <c r="I875" t="inlineStr">
        <is>
          <t>Phase I generated Rev.00 Word file — linked; signatures not completed</t>
        </is>
      </c>
      <c r="J875" t="inlineStr">
        <is>
          <t>2026-08-10T19:29:54Z</t>
        </is>
      </c>
      <c r="K875" t="inlineStr">
        <is>
          <t>2026-08-10T19:49:41Z</t>
        </is>
      </c>
    </row>
    <row r="876">
      <c r="A876" s="19" t="inlineStr">
        <is>
          <t>875</t>
        </is>
      </c>
      <c r="B876" s="19" t="inlineStr">
        <is>
          <t>IA-PPWR-LBL-ST-090-STD-01-R00</t>
        </is>
      </c>
      <c r="C876" t="inlineStr">
        <is>
          <t>IA-PPWR-LBL-ST-090-STD-01-R00</t>
        </is>
      </c>
      <c r="D876" s="19" t="inlineStr">
        <is>
          <t>11</t>
        </is>
      </c>
      <c r="E876" t="inlineStr">
        <is>
          <t>01_STARTER/ST-090-STD-01/03_Label.docx</t>
        </is>
      </c>
      <c r="F876" t="inlineStr">
        <is>
          <t>5a8aa36fe0ed544fd8d27dc81000f6232bbe9a7b17c6ceea04c3fc74f5cbdbe9</t>
        </is>
      </c>
      <c r="G876" t="inlineStr">
        <is>
          <t>2026-08-08</t>
        </is>
      </c>
      <c r="H876" s="19" t="inlineStr">
        <is>
          <t>2</t>
        </is>
      </c>
      <c r="I876" t="inlineStr">
        <is>
          <t>Phase I generated Rev.00 Word file — linked; signatures not completed</t>
        </is>
      </c>
      <c r="J876" t="inlineStr">
        <is>
          <t>2026-08-10T19:29:54Z</t>
        </is>
      </c>
      <c r="K876" t="inlineStr">
        <is>
          <t>2026-08-10T19:49:41Z</t>
        </is>
      </c>
    </row>
    <row r="877">
      <c r="A877" s="19" t="inlineStr">
        <is>
          <t>876</t>
        </is>
      </c>
      <c r="B877" s="19" t="inlineStr">
        <is>
          <t>IA-PPWR-STM-ST-090-STD-01-R00</t>
        </is>
      </c>
      <c r="C877" t="inlineStr">
        <is>
          <t>IA-PPWR-STM-ST-090-STD-01-R00</t>
        </is>
      </c>
      <c r="D877" s="19" t="inlineStr">
        <is>
          <t>12</t>
        </is>
      </c>
      <c r="E877" t="inlineStr">
        <is>
          <t>01_STARTER/ST-090-STD-01/04_Shipment_Statement.docx</t>
        </is>
      </c>
      <c r="F877" t="inlineStr">
        <is>
          <t>d6fba62ee35330398e78f362490ce85e5a8a3a132139220128ec0347e502678f</t>
        </is>
      </c>
      <c r="G877" t="inlineStr">
        <is>
          <t>2026-08-08</t>
        </is>
      </c>
      <c r="H877" s="19" t="inlineStr">
        <is>
          <t>2</t>
        </is>
      </c>
      <c r="I877" t="inlineStr">
        <is>
          <t>Phase I generated Rev.00 Word file — linked; signatures not completed</t>
        </is>
      </c>
      <c r="J877" t="inlineStr">
        <is>
          <t>2026-08-10T19:29:54Z</t>
        </is>
      </c>
      <c r="K877" t="inlineStr">
        <is>
          <t>2026-08-10T19:49:41Z</t>
        </is>
      </c>
    </row>
    <row r="878">
      <c r="A878" s="19" t="inlineStr">
        <is>
          <t>877</t>
        </is>
      </c>
      <c r="B878" s="19" t="inlineStr">
        <is>
          <t>IA-PPWR-TF-ST-090-STD-02-R00</t>
        </is>
      </c>
      <c r="C878" t="inlineStr">
        <is>
          <t>IA-PPWR-TF-ST-090-STD-02-R00</t>
        </is>
      </c>
      <c r="D878" s="19" t="inlineStr">
        <is>
          <t>1</t>
        </is>
      </c>
      <c r="E878" t="inlineStr">
        <is>
          <t>01_STARTER/ST-090-STD-02/01_Technical_File.docx</t>
        </is>
      </c>
      <c r="F878" t="inlineStr">
        <is>
          <t>e5db6895641cd2d3a98d50e296dfb5b7187f86119df71948d79744b185c82811</t>
        </is>
      </c>
      <c r="G878" t="inlineStr">
        <is>
          <t>2026-08-08</t>
        </is>
      </c>
      <c r="H878" s="19" t="inlineStr">
        <is>
          <t>2</t>
        </is>
      </c>
      <c r="I878" t="inlineStr">
        <is>
          <t>Phase I generated Rev.00 Word file — linked; signatures not completed</t>
        </is>
      </c>
      <c r="J878" t="inlineStr">
        <is>
          <t>2026-08-10T19:29:54Z</t>
        </is>
      </c>
      <c r="K878" t="inlineStr">
        <is>
          <t>2026-08-10T19:49:41Z</t>
        </is>
      </c>
    </row>
    <row r="879">
      <c r="A879" s="19" t="inlineStr">
        <is>
          <t>878</t>
        </is>
      </c>
      <c r="B879" s="19" t="inlineStr">
        <is>
          <t>IA-PPWR-DOC-ST-090-STD-02-R00</t>
        </is>
      </c>
      <c r="C879" t="inlineStr">
        <is>
          <t>IA-PPWR-DOC-ST-090-STD-02-R00</t>
        </is>
      </c>
      <c r="D879" s="19" t="inlineStr">
        <is>
          <t>4</t>
        </is>
      </c>
      <c r="E879" t="inlineStr">
        <is>
          <t>01_STARTER/ST-090-STD-02/02_EU_DoC.docx</t>
        </is>
      </c>
      <c r="F879" t="inlineStr">
        <is>
          <t>a51ad3186937ea5ea49080c852e64f043730b02de0fd2e71247e3e17b8b1e8d0</t>
        </is>
      </c>
      <c r="G879" t="inlineStr">
        <is>
          <t>2026-08-08</t>
        </is>
      </c>
      <c r="H879" s="19" t="inlineStr">
        <is>
          <t>2</t>
        </is>
      </c>
      <c r="I879" t="inlineStr">
        <is>
          <t>Phase I generated Rev.00 Word file — linked; signatures not completed</t>
        </is>
      </c>
      <c r="J879" t="inlineStr">
        <is>
          <t>2026-08-10T19:29:54Z</t>
        </is>
      </c>
      <c r="K879" t="inlineStr">
        <is>
          <t>2026-08-10T19:49:41Z</t>
        </is>
      </c>
    </row>
    <row r="880">
      <c r="A880" s="19" t="inlineStr">
        <is>
          <t>879</t>
        </is>
      </c>
      <c r="B880" s="19" t="inlineStr">
        <is>
          <t>IA-PPWR-LBL-ST-090-STD-02-R00</t>
        </is>
      </c>
      <c r="C880" t="inlineStr">
        <is>
          <t>IA-PPWR-LBL-ST-090-STD-02-R00</t>
        </is>
      </c>
      <c r="D880" s="19" t="inlineStr">
        <is>
          <t>11</t>
        </is>
      </c>
      <c r="E880" t="inlineStr">
        <is>
          <t>01_STARTER/ST-090-STD-02/03_Label.docx</t>
        </is>
      </c>
      <c r="F880" t="inlineStr">
        <is>
          <t>cd051dd8e1c15436ca30365033bbe25ca5065dfb6075cbf7b0a5a0d3cecd3c9c</t>
        </is>
      </c>
      <c r="G880" t="inlineStr">
        <is>
          <t>2026-08-08</t>
        </is>
      </c>
      <c r="H880" s="19" t="inlineStr">
        <is>
          <t>2</t>
        </is>
      </c>
      <c r="I880" t="inlineStr">
        <is>
          <t>Phase I generated Rev.00 Word file — linked; signatures not completed</t>
        </is>
      </c>
      <c r="J880" t="inlineStr">
        <is>
          <t>2026-08-10T19:29:54Z</t>
        </is>
      </c>
      <c r="K880" t="inlineStr">
        <is>
          <t>2026-08-10T19:49:41Z</t>
        </is>
      </c>
    </row>
    <row r="881">
      <c r="A881" s="19" t="inlineStr">
        <is>
          <t>880</t>
        </is>
      </c>
      <c r="B881" s="19" t="inlineStr">
        <is>
          <t>IA-PPWR-STM-ST-090-STD-02-R00</t>
        </is>
      </c>
      <c r="C881" t="inlineStr">
        <is>
          <t>IA-PPWR-STM-ST-090-STD-02-R00</t>
        </is>
      </c>
      <c r="D881" s="19" t="inlineStr">
        <is>
          <t>12</t>
        </is>
      </c>
      <c r="E881" t="inlineStr">
        <is>
          <t>01_STARTER/ST-090-STD-02/04_Shipment_Statement.docx</t>
        </is>
      </c>
      <c r="F881" t="inlineStr">
        <is>
          <t>36574547db54302e5770682e4bcc9a4ee270d14f4b5ac8ceb0e1d05998bce68b</t>
        </is>
      </c>
      <c r="G881" t="inlineStr">
        <is>
          <t>2026-08-08</t>
        </is>
      </c>
      <c r="H881" s="19" t="inlineStr">
        <is>
          <t>2</t>
        </is>
      </c>
      <c r="I881" t="inlineStr">
        <is>
          <t>Phase I generated Rev.00 Word file — linked; signatures not completed</t>
        </is>
      </c>
      <c r="J881" t="inlineStr">
        <is>
          <t>2026-08-10T19:29:54Z</t>
        </is>
      </c>
      <c r="K881" t="inlineStr">
        <is>
          <t>2026-08-10T19:49:41Z</t>
        </is>
      </c>
    </row>
    <row r="882">
      <c r="A882" s="19" t="inlineStr">
        <is>
          <t>881</t>
        </is>
      </c>
      <c r="B882" s="19" t="inlineStr">
        <is>
          <t>IA-PPWR-TF-ST-096-EUR-01-R00</t>
        </is>
      </c>
      <c r="C882" t="inlineStr">
        <is>
          <t>IA-PPWR-TF-ST-096-EUR-01-R00</t>
        </is>
      </c>
      <c r="D882" s="19" t="inlineStr">
        <is>
          <t>1</t>
        </is>
      </c>
      <c r="E882" t="inlineStr">
        <is>
          <t>01_STARTER/ST-096-EUR-01/01_Technical_File.docx</t>
        </is>
      </c>
      <c r="F882" t="inlineStr">
        <is>
          <t>ee36cd0beb4ee2ee86653245ad60ce620a7665705351e120100f288bd6b2fcb5</t>
        </is>
      </c>
      <c r="G882" t="inlineStr">
        <is>
          <t>2026-08-08</t>
        </is>
      </c>
      <c r="H882" s="19" t="inlineStr">
        <is>
          <t>2</t>
        </is>
      </c>
      <c r="I882" t="inlineStr">
        <is>
          <t>Phase I generated Rev.00 Word file — linked; signatures not completed</t>
        </is>
      </c>
      <c r="J882" t="inlineStr">
        <is>
          <t>2026-08-10T19:29:54Z</t>
        </is>
      </c>
      <c r="K882" t="inlineStr">
        <is>
          <t>2026-08-10T19:49:41Z</t>
        </is>
      </c>
    </row>
    <row r="883">
      <c r="A883" s="19" t="inlineStr">
        <is>
          <t>882</t>
        </is>
      </c>
      <c r="B883" s="19" t="inlineStr">
        <is>
          <t>IA-PPWR-DOC-ST-096-EUR-01-R00</t>
        </is>
      </c>
      <c r="C883" t="inlineStr">
        <is>
          <t>IA-PPWR-DOC-ST-096-EUR-01-R00</t>
        </is>
      </c>
      <c r="D883" s="19" t="inlineStr">
        <is>
          <t>4</t>
        </is>
      </c>
      <c r="E883" t="inlineStr">
        <is>
          <t>01_STARTER/ST-096-EUR-01/02_EU_DoC.docx</t>
        </is>
      </c>
      <c r="F883" t="inlineStr">
        <is>
          <t>01969f484b0323d5f5e72b7ac34dcd4fc9d0f119034cfb192d3ec7573d447f78</t>
        </is>
      </c>
      <c r="G883" t="inlineStr">
        <is>
          <t>2026-08-08</t>
        </is>
      </c>
      <c r="H883" s="19" t="inlineStr">
        <is>
          <t>2</t>
        </is>
      </c>
      <c r="I883" t="inlineStr">
        <is>
          <t>Phase I generated Rev.00 Word file — linked; signatures not completed</t>
        </is>
      </c>
      <c r="J883" t="inlineStr">
        <is>
          <t>2026-08-10T19:29:54Z</t>
        </is>
      </c>
      <c r="K883" t="inlineStr">
        <is>
          <t>2026-08-10T19:49:41Z</t>
        </is>
      </c>
    </row>
    <row r="884">
      <c r="A884" s="19" t="inlineStr">
        <is>
          <t>883</t>
        </is>
      </c>
      <c r="B884" s="19" t="inlineStr">
        <is>
          <t>IA-PPWR-LBL-ST-096-EUR-01-R00</t>
        </is>
      </c>
      <c r="C884" t="inlineStr">
        <is>
          <t>IA-PPWR-LBL-ST-096-EUR-01-R00</t>
        </is>
      </c>
      <c r="D884" s="19" t="inlineStr">
        <is>
          <t>11</t>
        </is>
      </c>
      <c r="E884" t="inlineStr">
        <is>
          <t>01_STARTER/ST-096-EUR-01/03_Label.docx</t>
        </is>
      </c>
      <c r="F884" t="inlineStr">
        <is>
          <t>93dc793e6a06f490763cc708c710e8ea9e44e776888868ed39cc85fd9d227afa</t>
        </is>
      </c>
      <c r="G884" t="inlineStr">
        <is>
          <t>2026-08-08</t>
        </is>
      </c>
      <c r="H884" s="19" t="inlineStr">
        <is>
          <t>2</t>
        </is>
      </c>
      <c r="I884" t="inlineStr">
        <is>
          <t>Phase I generated Rev.00 Word file — linked; signatures not completed</t>
        </is>
      </c>
      <c r="J884" t="inlineStr">
        <is>
          <t>2026-08-10T19:29:54Z</t>
        </is>
      </c>
      <c r="K884" t="inlineStr">
        <is>
          <t>2026-08-10T19:49:41Z</t>
        </is>
      </c>
    </row>
    <row r="885">
      <c r="A885" s="19" t="inlineStr">
        <is>
          <t>884</t>
        </is>
      </c>
      <c r="B885" s="19" t="inlineStr">
        <is>
          <t>IA-PPWR-STM-ST-096-EUR-01-R00</t>
        </is>
      </c>
      <c r="C885" t="inlineStr">
        <is>
          <t>IA-PPWR-STM-ST-096-EUR-01-R00</t>
        </is>
      </c>
      <c r="D885" s="19" t="inlineStr">
        <is>
          <t>12</t>
        </is>
      </c>
      <c r="E885" t="inlineStr">
        <is>
          <t>01_STARTER/ST-096-EUR-01/04_Shipment_Statement.docx</t>
        </is>
      </c>
      <c r="F885" t="inlineStr">
        <is>
          <t>23d0791248b6ae87331f74a8b6febd37dfee2cd68cb7e99126562effa706aa02</t>
        </is>
      </c>
      <c r="G885" t="inlineStr">
        <is>
          <t>2026-08-08</t>
        </is>
      </c>
      <c r="H885" s="19" t="inlineStr">
        <is>
          <t>2</t>
        </is>
      </c>
      <c r="I885" t="inlineStr">
        <is>
          <t>Phase I generated Rev.00 Word file — linked; signatures not completed</t>
        </is>
      </c>
      <c r="J885" t="inlineStr">
        <is>
          <t>2026-08-10T19:29:54Z</t>
        </is>
      </c>
      <c r="K885" t="inlineStr">
        <is>
          <t>2026-08-10T19:49:41Z</t>
        </is>
      </c>
    </row>
    <row r="886">
      <c r="A886" s="19" t="inlineStr">
        <is>
          <t>885</t>
        </is>
      </c>
      <c r="B886" s="19" t="inlineStr">
        <is>
          <t>IA-PPWR-TF-ST-096-EUR-02-R00</t>
        </is>
      </c>
      <c r="C886" t="inlineStr">
        <is>
          <t>IA-PPWR-TF-ST-096-EUR-02-R00</t>
        </is>
      </c>
      <c r="D886" s="19" t="inlineStr">
        <is>
          <t>1</t>
        </is>
      </c>
      <c r="E886" t="inlineStr">
        <is>
          <t>01_STARTER/ST-096-EUR-02/01_Technical_File.docx</t>
        </is>
      </c>
      <c r="F886" t="inlineStr">
        <is>
          <t>b8bf75fa4627c212e6ebca75ece576875fbde0e164860f9f9ddf098183294de7</t>
        </is>
      </c>
      <c r="G886" t="inlineStr">
        <is>
          <t>2026-08-08</t>
        </is>
      </c>
      <c r="H886" s="19" t="inlineStr">
        <is>
          <t>2</t>
        </is>
      </c>
      <c r="I886" t="inlineStr">
        <is>
          <t>Phase I generated Rev.00 Word file — linked; signatures not completed</t>
        </is>
      </c>
      <c r="J886" t="inlineStr">
        <is>
          <t>2026-08-10T19:29:54Z</t>
        </is>
      </c>
      <c r="K886" t="inlineStr">
        <is>
          <t>2026-08-10T19:49:41Z</t>
        </is>
      </c>
    </row>
    <row r="887">
      <c r="A887" s="19" t="inlineStr">
        <is>
          <t>886</t>
        </is>
      </c>
      <c r="B887" s="19" t="inlineStr">
        <is>
          <t>IA-PPWR-DOC-ST-096-EUR-02-R00</t>
        </is>
      </c>
      <c r="C887" t="inlineStr">
        <is>
          <t>IA-PPWR-DOC-ST-096-EUR-02-R00</t>
        </is>
      </c>
      <c r="D887" s="19" t="inlineStr">
        <is>
          <t>4</t>
        </is>
      </c>
      <c r="E887" t="inlineStr">
        <is>
          <t>01_STARTER/ST-096-EUR-02/02_EU_DoC.docx</t>
        </is>
      </c>
      <c r="F887" t="inlineStr">
        <is>
          <t>74e607508f9305f8d4b46562710043e21867b7849cdb0a39ff216f8b3783335f</t>
        </is>
      </c>
      <c r="G887" t="inlineStr">
        <is>
          <t>2026-08-08</t>
        </is>
      </c>
      <c r="H887" s="19" t="inlineStr">
        <is>
          <t>2</t>
        </is>
      </c>
      <c r="I887" t="inlineStr">
        <is>
          <t>Phase I generated Rev.00 Word file — linked; signatures not completed</t>
        </is>
      </c>
      <c r="J887" t="inlineStr">
        <is>
          <t>2026-08-10T19:29:54Z</t>
        </is>
      </c>
      <c r="K887" t="inlineStr">
        <is>
          <t>2026-08-10T19:49:41Z</t>
        </is>
      </c>
    </row>
    <row r="888">
      <c r="A888" s="19" t="inlineStr">
        <is>
          <t>887</t>
        </is>
      </c>
      <c r="B888" s="19" t="inlineStr">
        <is>
          <t>IA-PPWR-LBL-ST-096-EUR-02-R00</t>
        </is>
      </c>
      <c r="C888" t="inlineStr">
        <is>
          <t>IA-PPWR-LBL-ST-096-EUR-02-R00</t>
        </is>
      </c>
      <c r="D888" s="19" t="inlineStr">
        <is>
          <t>11</t>
        </is>
      </c>
      <c r="E888" t="inlineStr">
        <is>
          <t>01_STARTER/ST-096-EUR-02/03_Label.docx</t>
        </is>
      </c>
      <c r="F888" t="inlineStr">
        <is>
          <t>40b8b1933d3884a78d46c8bdfcbf2e9e331b5cba44f1d103115416c48de190cd</t>
        </is>
      </c>
      <c r="G888" t="inlineStr">
        <is>
          <t>2026-08-08</t>
        </is>
      </c>
      <c r="H888" s="19" t="inlineStr">
        <is>
          <t>2</t>
        </is>
      </c>
      <c r="I888" t="inlineStr">
        <is>
          <t>Phase I generated Rev.00 Word file — linked; signatures not completed</t>
        </is>
      </c>
      <c r="J888" t="inlineStr">
        <is>
          <t>2026-08-10T19:29:54Z</t>
        </is>
      </c>
      <c r="K888" t="inlineStr">
        <is>
          <t>2026-08-10T19:49:41Z</t>
        </is>
      </c>
    </row>
    <row r="889">
      <c r="A889" s="19" t="inlineStr">
        <is>
          <t>888</t>
        </is>
      </c>
      <c r="B889" s="19" t="inlineStr">
        <is>
          <t>IA-PPWR-STM-ST-096-EUR-02-R00</t>
        </is>
      </c>
      <c r="C889" t="inlineStr">
        <is>
          <t>IA-PPWR-STM-ST-096-EUR-02-R00</t>
        </is>
      </c>
      <c r="D889" s="19" t="inlineStr">
        <is>
          <t>12</t>
        </is>
      </c>
      <c r="E889" t="inlineStr">
        <is>
          <t>01_STARTER/ST-096-EUR-02/04_Shipment_Statement.docx</t>
        </is>
      </c>
      <c r="F889" t="inlineStr">
        <is>
          <t>bbfad3014a1d4882e3e07c368df094b041ba9d218aefd1da3274a61a1864314f</t>
        </is>
      </c>
      <c r="G889" t="inlineStr">
        <is>
          <t>2026-08-08</t>
        </is>
      </c>
      <c r="H889" s="19" t="inlineStr">
        <is>
          <t>2</t>
        </is>
      </c>
      <c r="I889" t="inlineStr">
        <is>
          <t>Phase I generated Rev.00 Word file — linked; signatures not completed</t>
        </is>
      </c>
      <c r="J889" t="inlineStr">
        <is>
          <t>2026-08-10T19:29:54Z</t>
        </is>
      </c>
      <c r="K889" t="inlineStr">
        <is>
          <t>2026-08-10T19:49:41Z</t>
        </is>
      </c>
    </row>
    <row r="890">
      <c r="A890" s="19" t="inlineStr">
        <is>
          <t>889</t>
        </is>
      </c>
      <c r="B890" s="19" t="inlineStr">
        <is>
          <t>IA-PPWR-TF-ST-096-EUR-03-R00</t>
        </is>
      </c>
      <c r="C890" t="inlineStr">
        <is>
          <t>IA-PPWR-TF-ST-096-EUR-03-R00</t>
        </is>
      </c>
      <c r="D890" s="19" t="inlineStr">
        <is>
          <t>1</t>
        </is>
      </c>
      <c r="E890" t="inlineStr">
        <is>
          <t>01_STARTER/ST-096-EUR-03/01_Technical_File.docx</t>
        </is>
      </c>
      <c r="F890" t="inlineStr">
        <is>
          <t>e278641854109cc130fb085b57ea1aac94750374100c99707df05da69f9e5982</t>
        </is>
      </c>
      <c r="G890" t="inlineStr">
        <is>
          <t>2026-08-08</t>
        </is>
      </c>
      <c r="H890" s="19" t="inlineStr">
        <is>
          <t>2</t>
        </is>
      </c>
      <c r="I890" t="inlineStr">
        <is>
          <t>Phase I generated Rev.00 Word file — linked; signatures not completed</t>
        </is>
      </c>
      <c r="J890" t="inlineStr">
        <is>
          <t>2026-08-10T19:29:54Z</t>
        </is>
      </c>
      <c r="K890" t="inlineStr">
        <is>
          <t>2026-08-10T19:49:41Z</t>
        </is>
      </c>
    </row>
    <row r="891">
      <c r="A891" s="19" t="inlineStr">
        <is>
          <t>890</t>
        </is>
      </c>
      <c r="B891" s="19" t="inlineStr">
        <is>
          <t>IA-PPWR-DOC-ST-096-EUR-03-R00</t>
        </is>
      </c>
      <c r="C891" t="inlineStr">
        <is>
          <t>IA-PPWR-DOC-ST-096-EUR-03-R00</t>
        </is>
      </c>
      <c r="D891" s="19" t="inlineStr">
        <is>
          <t>4</t>
        </is>
      </c>
      <c r="E891" t="inlineStr">
        <is>
          <t>01_STARTER/ST-096-EUR-03/02_EU_DoC.docx</t>
        </is>
      </c>
      <c r="F891" t="inlineStr">
        <is>
          <t>cc7af6f0bc23e2e72b7da83396cdbee24781077aaf6e0cc854c700ba0ed670cd</t>
        </is>
      </c>
      <c r="G891" t="inlineStr">
        <is>
          <t>2026-08-08</t>
        </is>
      </c>
      <c r="H891" s="19" t="inlineStr">
        <is>
          <t>2</t>
        </is>
      </c>
      <c r="I891" t="inlineStr">
        <is>
          <t>Phase I generated Rev.00 Word file — linked; signatures not completed</t>
        </is>
      </c>
      <c r="J891" t="inlineStr">
        <is>
          <t>2026-08-10T19:29:54Z</t>
        </is>
      </c>
      <c r="K891" t="inlineStr">
        <is>
          <t>2026-08-10T19:49:41Z</t>
        </is>
      </c>
    </row>
    <row r="892">
      <c r="A892" s="19" t="inlineStr">
        <is>
          <t>891</t>
        </is>
      </c>
      <c r="B892" s="19" t="inlineStr">
        <is>
          <t>IA-PPWR-LBL-ST-096-EUR-03-R00</t>
        </is>
      </c>
      <c r="C892" t="inlineStr">
        <is>
          <t>IA-PPWR-LBL-ST-096-EUR-03-R00</t>
        </is>
      </c>
      <c r="D892" s="19" t="inlineStr">
        <is>
          <t>11</t>
        </is>
      </c>
      <c r="E892" t="inlineStr">
        <is>
          <t>01_STARTER/ST-096-EUR-03/03_Label.docx</t>
        </is>
      </c>
      <c r="F892" t="inlineStr">
        <is>
          <t>cfc53ed88cd664ad98a3b20ea6cf9114a0c85a040be5ddf95a6409973650ab1d</t>
        </is>
      </c>
      <c r="G892" t="inlineStr">
        <is>
          <t>2026-08-08</t>
        </is>
      </c>
      <c r="H892" s="19" t="inlineStr">
        <is>
          <t>2</t>
        </is>
      </c>
      <c r="I892" t="inlineStr">
        <is>
          <t>Phase I generated Rev.00 Word file — linked; signatures not completed</t>
        </is>
      </c>
      <c r="J892" t="inlineStr">
        <is>
          <t>2026-08-10T19:29:54Z</t>
        </is>
      </c>
      <c r="K892" t="inlineStr">
        <is>
          <t>2026-08-10T19:49:41Z</t>
        </is>
      </c>
    </row>
    <row r="893">
      <c r="A893" s="19" t="inlineStr">
        <is>
          <t>892</t>
        </is>
      </c>
      <c r="B893" s="19" t="inlineStr">
        <is>
          <t>IA-PPWR-STM-ST-096-EUR-03-R00</t>
        </is>
      </c>
      <c r="C893" t="inlineStr">
        <is>
          <t>IA-PPWR-STM-ST-096-EUR-03-R00</t>
        </is>
      </c>
      <c r="D893" s="19" t="inlineStr">
        <is>
          <t>12</t>
        </is>
      </c>
      <c r="E893" t="inlineStr">
        <is>
          <t>01_STARTER/ST-096-EUR-03/04_Shipment_Statement.docx</t>
        </is>
      </c>
      <c r="F893" t="inlineStr">
        <is>
          <t>05b6e13388facf9b95cc3b3e09499de2cc6dcad234a6a2ed30a1683aaf3f26d9</t>
        </is>
      </c>
      <c r="G893" t="inlineStr">
        <is>
          <t>2026-08-08</t>
        </is>
      </c>
      <c r="H893" s="19" t="inlineStr">
        <is>
          <t>2</t>
        </is>
      </c>
      <c r="I893" t="inlineStr">
        <is>
          <t>Phase I generated Rev.00 Word file — linked; signatures not completed</t>
        </is>
      </c>
      <c r="J893" t="inlineStr">
        <is>
          <t>2026-08-10T19:29:54Z</t>
        </is>
      </c>
      <c r="K893" t="inlineStr">
        <is>
          <t>2026-08-10T19:49:41Z</t>
        </is>
      </c>
    </row>
    <row r="894">
      <c r="A894" s="19" t="inlineStr">
        <is>
          <t>893</t>
        </is>
      </c>
      <c r="B894" s="19" t="inlineStr">
        <is>
          <t>IA-PPWR-TF-ST-096-EUR-04-R00</t>
        </is>
      </c>
      <c r="C894" t="inlineStr">
        <is>
          <t>IA-PPWR-TF-ST-096-EUR-04-R00</t>
        </is>
      </c>
      <c r="D894" s="19" t="inlineStr">
        <is>
          <t>1</t>
        </is>
      </c>
      <c r="E894" t="inlineStr">
        <is>
          <t>01_STARTER/ST-096-EUR-04/01_Technical_File.docx</t>
        </is>
      </c>
      <c r="F894" t="inlineStr">
        <is>
          <t>1d3656132cfa1617f8847eaee2e58e71c957b4686d2fa44bb5b96992099af1a2</t>
        </is>
      </c>
      <c r="G894" t="inlineStr">
        <is>
          <t>2026-08-08</t>
        </is>
      </c>
      <c r="H894" s="19" t="inlineStr">
        <is>
          <t>2</t>
        </is>
      </c>
      <c r="I894" t="inlineStr">
        <is>
          <t>Phase I generated Rev.00 Word file — linked; signatures not completed</t>
        </is>
      </c>
      <c r="J894" t="inlineStr">
        <is>
          <t>2026-08-10T19:29:54Z</t>
        </is>
      </c>
      <c r="K894" t="inlineStr">
        <is>
          <t>2026-08-10T19:49:41Z</t>
        </is>
      </c>
    </row>
    <row r="895">
      <c r="A895" s="19" t="inlineStr">
        <is>
          <t>894</t>
        </is>
      </c>
      <c r="B895" s="19" t="inlineStr">
        <is>
          <t>IA-PPWR-DOC-ST-096-EUR-04-R00</t>
        </is>
      </c>
      <c r="C895" t="inlineStr">
        <is>
          <t>IA-PPWR-DOC-ST-096-EUR-04-R00</t>
        </is>
      </c>
      <c r="D895" s="19" t="inlineStr">
        <is>
          <t>4</t>
        </is>
      </c>
      <c r="E895" t="inlineStr">
        <is>
          <t>01_STARTER/ST-096-EUR-04/02_EU_DoC.docx</t>
        </is>
      </c>
      <c r="F895" t="inlineStr">
        <is>
          <t>9759760b6cf32a6da73686459831c1c1b6d0426b518b97c969c33dc3b631d326</t>
        </is>
      </c>
      <c r="G895" t="inlineStr">
        <is>
          <t>2026-08-08</t>
        </is>
      </c>
      <c r="H895" s="19" t="inlineStr">
        <is>
          <t>2</t>
        </is>
      </c>
      <c r="I895" t="inlineStr">
        <is>
          <t>Phase I generated Rev.00 Word file — linked; signatures not completed</t>
        </is>
      </c>
      <c r="J895" t="inlineStr">
        <is>
          <t>2026-08-10T19:29:54Z</t>
        </is>
      </c>
      <c r="K895" t="inlineStr">
        <is>
          <t>2026-08-10T19:49:41Z</t>
        </is>
      </c>
    </row>
    <row r="896">
      <c r="A896" s="19" t="inlineStr">
        <is>
          <t>895</t>
        </is>
      </c>
      <c r="B896" s="19" t="inlineStr">
        <is>
          <t>IA-PPWR-LBL-ST-096-EUR-04-R00</t>
        </is>
      </c>
      <c r="C896" t="inlineStr">
        <is>
          <t>IA-PPWR-LBL-ST-096-EUR-04-R00</t>
        </is>
      </c>
      <c r="D896" s="19" t="inlineStr">
        <is>
          <t>11</t>
        </is>
      </c>
      <c r="E896" t="inlineStr">
        <is>
          <t>01_STARTER/ST-096-EUR-04/03_Label.docx</t>
        </is>
      </c>
      <c r="F896" t="inlineStr">
        <is>
          <t>953580e898b9505e1e9637018d0d7785beb51063b70b7786637d3fe6d26ffd2f</t>
        </is>
      </c>
      <c r="G896" t="inlineStr">
        <is>
          <t>2026-08-08</t>
        </is>
      </c>
      <c r="H896" s="19" t="inlineStr">
        <is>
          <t>2</t>
        </is>
      </c>
      <c r="I896" t="inlineStr">
        <is>
          <t>Phase I generated Rev.00 Word file — linked; signatures not completed</t>
        </is>
      </c>
      <c r="J896" t="inlineStr">
        <is>
          <t>2026-08-10T19:29:54Z</t>
        </is>
      </c>
      <c r="K896" t="inlineStr">
        <is>
          <t>2026-08-10T19:49:41Z</t>
        </is>
      </c>
    </row>
    <row r="897">
      <c r="A897" s="19" t="inlineStr">
        <is>
          <t>896</t>
        </is>
      </c>
      <c r="B897" s="19" t="inlineStr">
        <is>
          <t>IA-PPWR-STM-ST-096-EUR-04-R00</t>
        </is>
      </c>
      <c r="C897" t="inlineStr">
        <is>
          <t>IA-PPWR-STM-ST-096-EUR-04-R00</t>
        </is>
      </c>
      <c r="D897" s="19" t="inlineStr">
        <is>
          <t>12</t>
        </is>
      </c>
      <c r="E897" t="inlineStr">
        <is>
          <t>01_STARTER/ST-096-EUR-04/04_Shipment_Statement.docx</t>
        </is>
      </c>
      <c r="F897" t="inlineStr">
        <is>
          <t>dd0100f25d8f00d9ad234be4c46508028863ea61b1f9dbe6f82bbf1815384706</t>
        </is>
      </c>
      <c r="G897" t="inlineStr">
        <is>
          <t>2026-08-08</t>
        </is>
      </c>
      <c r="H897" s="19" t="inlineStr">
        <is>
          <t>2</t>
        </is>
      </c>
      <c r="I897" t="inlineStr">
        <is>
          <t>Phase I generated Rev.00 Word file — linked; signatures not completed</t>
        </is>
      </c>
      <c r="J897" t="inlineStr">
        <is>
          <t>2026-08-10T19:29:54Z</t>
        </is>
      </c>
      <c r="K897" t="inlineStr">
        <is>
          <t>2026-08-10T19:49:41Z</t>
        </is>
      </c>
    </row>
    <row r="898">
      <c r="A898" s="19" t="inlineStr">
        <is>
          <t>897</t>
        </is>
      </c>
      <c r="B898" s="19" t="inlineStr">
        <is>
          <t>IA-PPWR-TF-ST-096-EUR-05-R00</t>
        </is>
      </c>
      <c r="C898" t="inlineStr">
        <is>
          <t>IA-PPWR-TF-ST-096-EUR-05-R00</t>
        </is>
      </c>
      <c r="D898" s="19" t="inlineStr">
        <is>
          <t>1</t>
        </is>
      </c>
      <c r="E898" t="inlineStr">
        <is>
          <t>01_STARTER/ST-096-EUR-05/01_Technical_File.docx</t>
        </is>
      </c>
      <c r="F898" t="inlineStr">
        <is>
          <t>d679ec0eb132b7941c6aa82079ddff980b07f29387ad53868f1481bac0b6dd2b</t>
        </is>
      </c>
      <c r="G898" t="inlineStr">
        <is>
          <t>2026-08-08</t>
        </is>
      </c>
      <c r="H898" s="19" t="inlineStr">
        <is>
          <t>2</t>
        </is>
      </c>
      <c r="I898" t="inlineStr">
        <is>
          <t>Phase I generated Rev.00 Word file — linked; signatures not completed</t>
        </is>
      </c>
      <c r="J898" t="inlineStr">
        <is>
          <t>2026-08-10T19:29:54Z</t>
        </is>
      </c>
      <c r="K898" t="inlineStr">
        <is>
          <t>2026-08-10T19:49:41Z</t>
        </is>
      </c>
    </row>
    <row r="899">
      <c r="A899" s="19" t="inlineStr">
        <is>
          <t>898</t>
        </is>
      </c>
      <c r="B899" s="19" t="inlineStr">
        <is>
          <t>IA-PPWR-DOC-ST-096-EUR-05-R00</t>
        </is>
      </c>
      <c r="C899" t="inlineStr">
        <is>
          <t>IA-PPWR-DOC-ST-096-EUR-05-R00</t>
        </is>
      </c>
      <c r="D899" s="19" t="inlineStr">
        <is>
          <t>4</t>
        </is>
      </c>
      <c r="E899" t="inlineStr">
        <is>
          <t>01_STARTER/ST-096-EUR-05/02_EU_DoC.docx</t>
        </is>
      </c>
      <c r="F899" t="inlineStr">
        <is>
          <t>ae12e9fd31a850f3e59a1ba1ae09aeb4d538f4ca2954e9b39b32aedb8d672465</t>
        </is>
      </c>
      <c r="G899" t="inlineStr">
        <is>
          <t>2026-08-08</t>
        </is>
      </c>
      <c r="H899" s="19" t="inlineStr">
        <is>
          <t>2</t>
        </is>
      </c>
      <c r="I899" t="inlineStr">
        <is>
          <t>Phase I generated Rev.00 Word file — linked; signatures not completed</t>
        </is>
      </c>
      <c r="J899" t="inlineStr">
        <is>
          <t>2026-08-10T19:29:54Z</t>
        </is>
      </c>
      <c r="K899" t="inlineStr">
        <is>
          <t>2026-08-10T19:49:41Z</t>
        </is>
      </c>
    </row>
    <row r="900">
      <c r="A900" s="19" t="inlineStr">
        <is>
          <t>899</t>
        </is>
      </c>
      <c r="B900" s="19" t="inlineStr">
        <is>
          <t>IA-PPWR-LBL-ST-096-EUR-05-R00</t>
        </is>
      </c>
      <c r="C900" t="inlineStr">
        <is>
          <t>IA-PPWR-LBL-ST-096-EUR-05-R00</t>
        </is>
      </c>
      <c r="D900" s="19" t="inlineStr">
        <is>
          <t>11</t>
        </is>
      </c>
      <c r="E900" t="inlineStr">
        <is>
          <t>01_STARTER/ST-096-EUR-05/03_Label.docx</t>
        </is>
      </c>
      <c r="F900" t="inlineStr">
        <is>
          <t>9df0c23bc72390c2a58f7b7081ec972831ca00d5d76c42bae409ef65201ca844</t>
        </is>
      </c>
      <c r="G900" t="inlineStr">
        <is>
          <t>2026-08-08</t>
        </is>
      </c>
      <c r="H900" s="19" t="inlineStr">
        <is>
          <t>2</t>
        </is>
      </c>
      <c r="I900" t="inlineStr">
        <is>
          <t>Phase I generated Rev.00 Word file — linked; signatures not completed</t>
        </is>
      </c>
      <c r="J900" t="inlineStr">
        <is>
          <t>2026-08-10T19:29:54Z</t>
        </is>
      </c>
      <c r="K900" t="inlineStr">
        <is>
          <t>2026-08-10T19:49:41Z</t>
        </is>
      </c>
    </row>
    <row r="901">
      <c r="A901" s="19" t="inlineStr">
        <is>
          <t>900</t>
        </is>
      </c>
      <c r="B901" s="19" t="inlineStr">
        <is>
          <t>IA-PPWR-STM-ST-096-EUR-05-R00</t>
        </is>
      </c>
      <c r="C901" t="inlineStr">
        <is>
          <t>IA-PPWR-STM-ST-096-EUR-05-R00</t>
        </is>
      </c>
      <c r="D901" s="19" t="inlineStr">
        <is>
          <t>12</t>
        </is>
      </c>
      <c r="E901" t="inlineStr">
        <is>
          <t>01_STARTER/ST-096-EUR-05/04_Shipment_Statement.docx</t>
        </is>
      </c>
      <c r="F901" t="inlineStr">
        <is>
          <t>ed157bffa7ca9d4c237d452343eb92ecc94fafa47d75a6f689d747ca659189d9</t>
        </is>
      </c>
      <c r="G901" t="inlineStr">
        <is>
          <t>2026-08-08</t>
        </is>
      </c>
      <c r="H901" s="19" t="inlineStr">
        <is>
          <t>2</t>
        </is>
      </c>
      <c r="I901" t="inlineStr">
        <is>
          <t>Phase I generated Rev.00 Word file — linked; signatures not completed</t>
        </is>
      </c>
      <c r="J901" t="inlineStr">
        <is>
          <t>2026-08-10T19:29:54Z</t>
        </is>
      </c>
      <c r="K901" t="inlineStr">
        <is>
          <t>2026-08-10T19:49:41Z</t>
        </is>
      </c>
    </row>
    <row r="902">
      <c r="A902" s="19" t="inlineStr">
        <is>
          <t>901</t>
        </is>
      </c>
      <c r="B902" s="19" t="inlineStr">
        <is>
          <t>IA-PPWR-TF-ST-096-EUR-06-R00</t>
        </is>
      </c>
      <c r="C902" t="inlineStr">
        <is>
          <t>IA-PPWR-TF-ST-096-EUR-06-R00</t>
        </is>
      </c>
      <c r="D902" s="19" t="inlineStr">
        <is>
          <t>1</t>
        </is>
      </c>
      <c r="E902" t="inlineStr">
        <is>
          <t>01_STARTER/ST-096-EUR-06/01_Technical_File.docx</t>
        </is>
      </c>
      <c r="F902" t="inlineStr">
        <is>
          <t>c3ced0b002932921b5cbc9884ee784abc2dbcf29369c57d4913bf88c7218c455</t>
        </is>
      </c>
      <c r="G902" t="inlineStr">
        <is>
          <t>2026-08-08</t>
        </is>
      </c>
      <c r="H902" s="19" t="inlineStr">
        <is>
          <t>2</t>
        </is>
      </c>
      <c r="I902" t="inlineStr">
        <is>
          <t>Phase I generated Rev.00 Word file — linked; signatures not completed</t>
        </is>
      </c>
      <c r="J902" t="inlineStr">
        <is>
          <t>2026-08-10T19:29:54Z</t>
        </is>
      </c>
      <c r="K902" t="inlineStr">
        <is>
          <t>2026-08-10T19:49:41Z</t>
        </is>
      </c>
    </row>
    <row r="903">
      <c r="A903" s="19" t="inlineStr">
        <is>
          <t>902</t>
        </is>
      </c>
      <c r="B903" s="19" t="inlineStr">
        <is>
          <t>IA-PPWR-DOC-ST-096-EUR-06-R00</t>
        </is>
      </c>
      <c r="C903" t="inlineStr">
        <is>
          <t>IA-PPWR-DOC-ST-096-EUR-06-R00</t>
        </is>
      </c>
      <c r="D903" s="19" t="inlineStr">
        <is>
          <t>4</t>
        </is>
      </c>
      <c r="E903" t="inlineStr">
        <is>
          <t>01_STARTER/ST-096-EUR-06/02_EU_DoC.docx</t>
        </is>
      </c>
      <c r="F903" t="inlineStr">
        <is>
          <t>b711a4c9dd9de8e87be633f4ae82caea181bcbbf77ababe39c20523926663b24</t>
        </is>
      </c>
      <c r="G903" t="inlineStr">
        <is>
          <t>2026-08-08</t>
        </is>
      </c>
      <c r="H903" s="19" t="inlineStr">
        <is>
          <t>2</t>
        </is>
      </c>
      <c r="I903" t="inlineStr">
        <is>
          <t>Phase I generated Rev.00 Word file — linked; signatures not completed</t>
        </is>
      </c>
      <c r="J903" t="inlineStr">
        <is>
          <t>2026-08-10T19:29:54Z</t>
        </is>
      </c>
      <c r="K903" t="inlineStr">
        <is>
          <t>2026-08-10T19:49:41Z</t>
        </is>
      </c>
    </row>
    <row r="904">
      <c r="A904" s="19" t="inlineStr">
        <is>
          <t>903</t>
        </is>
      </c>
      <c r="B904" s="19" t="inlineStr">
        <is>
          <t>IA-PPWR-LBL-ST-096-EUR-06-R00</t>
        </is>
      </c>
      <c r="C904" t="inlineStr">
        <is>
          <t>IA-PPWR-LBL-ST-096-EUR-06-R00</t>
        </is>
      </c>
      <c r="D904" s="19" t="inlineStr">
        <is>
          <t>11</t>
        </is>
      </c>
      <c r="E904" t="inlineStr">
        <is>
          <t>01_STARTER/ST-096-EUR-06/03_Label.docx</t>
        </is>
      </c>
      <c r="F904" t="inlineStr">
        <is>
          <t>9a0fe65d954b31cbb52144f706831d4163ae327b231022c63a104622df4490fa</t>
        </is>
      </c>
      <c r="G904" t="inlineStr">
        <is>
          <t>2026-08-08</t>
        </is>
      </c>
      <c r="H904" s="19" t="inlineStr">
        <is>
          <t>2</t>
        </is>
      </c>
      <c r="I904" t="inlineStr">
        <is>
          <t>Phase I generated Rev.00 Word file — linked; signatures not completed</t>
        </is>
      </c>
      <c r="J904" t="inlineStr">
        <is>
          <t>2026-08-10T19:29:54Z</t>
        </is>
      </c>
      <c r="K904" t="inlineStr">
        <is>
          <t>2026-08-10T19:49:41Z</t>
        </is>
      </c>
    </row>
    <row r="905">
      <c r="A905" s="19" t="inlineStr">
        <is>
          <t>904</t>
        </is>
      </c>
      <c r="B905" s="19" t="inlineStr">
        <is>
          <t>IA-PPWR-STM-ST-096-EUR-06-R00</t>
        </is>
      </c>
      <c r="C905" t="inlineStr">
        <is>
          <t>IA-PPWR-STM-ST-096-EUR-06-R00</t>
        </is>
      </c>
      <c r="D905" s="19" t="inlineStr">
        <is>
          <t>12</t>
        </is>
      </c>
      <c r="E905" t="inlineStr">
        <is>
          <t>01_STARTER/ST-096-EUR-06/04_Shipment_Statement.docx</t>
        </is>
      </c>
      <c r="F905" t="inlineStr">
        <is>
          <t>bf23626f42eee2571a78f0c013f3b57377601c63ddd065b7d20c97071a80a6ca</t>
        </is>
      </c>
      <c r="G905" t="inlineStr">
        <is>
          <t>2026-08-08</t>
        </is>
      </c>
      <c r="H905" s="19" t="inlineStr">
        <is>
          <t>2</t>
        </is>
      </c>
      <c r="I905" t="inlineStr">
        <is>
          <t>Phase I generated Rev.00 Word file — linked; signatures not completed</t>
        </is>
      </c>
      <c r="J905" t="inlineStr">
        <is>
          <t>2026-08-10T19:29:54Z</t>
        </is>
      </c>
      <c r="K905" t="inlineStr">
        <is>
          <t>2026-08-10T19:49:41Z</t>
        </is>
      </c>
    </row>
    <row r="906">
      <c r="A906" s="19" t="inlineStr">
        <is>
          <t>905</t>
        </is>
      </c>
      <c r="B906" s="19" t="inlineStr">
        <is>
          <t>IA-PPWR-TF-ST-096-EUR-07-R00</t>
        </is>
      </c>
      <c r="C906" t="inlineStr">
        <is>
          <t>IA-PPWR-TF-ST-096-EUR-07-R00</t>
        </is>
      </c>
      <c r="D906" s="19" t="inlineStr">
        <is>
          <t>1</t>
        </is>
      </c>
      <c r="E906" t="inlineStr">
        <is>
          <t>01_STARTER/ST-096-EUR-07/01_Technical_File.docx</t>
        </is>
      </c>
      <c r="F906" t="inlineStr">
        <is>
          <t>6bce7cbef10d254bbcd197a48ad146997fbb024e2a270763fc0e9dda1095f6b0</t>
        </is>
      </c>
      <c r="G906" t="inlineStr">
        <is>
          <t>2026-08-08</t>
        </is>
      </c>
      <c r="H906" s="19" t="inlineStr">
        <is>
          <t>2</t>
        </is>
      </c>
      <c r="I906" t="inlineStr">
        <is>
          <t>Phase I generated Rev.00 Word file — linked; signatures not completed</t>
        </is>
      </c>
      <c r="J906" t="inlineStr">
        <is>
          <t>2026-08-10T19:29:54Z</t>
        </is>
      </c>
      <c r="K906" t="inlineStr">
        <is>
          <t>2026-08-10T19:49:41Z</t>
        </is>
      </c>
    </row>
    <row r="907">
      <c r="A907" s="19" t="inlineStr">
        <is>
          <t>906</t>
        </is>
      </c>
      <c r="B907" s="19" t="inlineStr">
        <is>
          <t>IA-PPWR-DOC-ST-096-EUR-07-R00</t>
        </is>
      </c>
      <c r="C907" t="inlineStr">
        <is>
          <t>IA-PPWR-DOC-ST-096-EUR-07-R00</t>
        </is>
      </c>
      <c r="D907" s="19" t="inlineStr">
        <is>
          <t>4</t>
        </is>
      </c>
      <c r="E907" t="inlineStr">
        <is>
          <t>01_STARTER/ST-096-EUR-07/02_EU_DoC.docx</t>
        </is>
      </c>
      <c r="F907" t="inlineStr">
        <is>
          <t>e9fb668274c452a994457fa25fa0a5e40ad8d8da5d766392c456c88ca56985e3</t>
        </is>
      </c>
      <c r="G907" t="inlineStr">
        <is>
          <t>2026-08-08</t>
        </is>
      </c>
      <c r="H907" s="19" t="inlineStr">
        <is>
          <t>2</t>
        </is>
      </c>
      <c r="I907" t="inlineStr">
        <is>
          <t>Phase I generated Rev.00 Word file — linked; signatures not completed</t>
        </is>
      </c>
      <c r="J907" t="inlineStr">
        <is>
          <t>2026-08-10T19:29:54Z</t>
        </is>
      </c>
      <c r="K907" t="inlineStr">
        <is>
          <t>2026-08-10T19:49:41Z</t>
        </is>
      </c>
    </row>
    <row r="908">
      <c r="A908" s="19" t="inlineStr">
        <is>
          <t>907</t>
        </is>
      </c>
      <c r="B908" s="19" t="inlineStr">
        <is>
          <t>IA-PPWR-LBL-ST-096-EUR-07-R00</t>
        </is>
      </c>
      <c r="C908" t="inlineStr">
        <is>
          <t>IA-PPWR-LBL-ST-096-EUR-07-R00</t>
        </is>
      </c>
      <c r="D908" s="19" t="inlineStr">
        <is>
          <t>11</t>
        </is>
      </c>
      <c r="E908" t="inlineStr">
        <is>
          <t>01_STARTER/ST-096-EUR-07/03_Label.docx</t>
        </is>
      </c>
      <c r="F908" t="inlineStr">
        <is>
          <t>a0c52425a3070daba6c8081e8e3f293e4a4512c96f862082fc88fc01f9b00f32</t>
        </is>
      </c>
      <c r="G908" t="inlineStr">
        <is>
          <t>2026-08-08</t>
        </is>
      </c>
      <c r="H908" s="19" t="inlineStr">
        <is>
          <t>2</t>
        </is>
      </c>
      <c r="I908" t="inlineStr">
        <is>
          <t>Phase I generated Rev.00 Word file — linked; signatures not completed</t>
        </is>
      </c>
      <c r="J908" t="inlineStr">
        <is>
          <t>2026-08-10T19:29:54Z</t>
        </is>
      </c>
      <c r="K908" t="inlineStr">
        <is>
          <t>2026-08-10T19:49:41Z</t>
        </is>
      </c>
    </row>
    <row r="909">
      <c r="A909" s="19" t="inlineStr">
        <is>
          <t>908</t>
        </is>
      </c>
      <c r="B909" s="19" t="inlineStr">
        <is>
          <t>IA-PPWR-STM-ST-096-EUR-07-R00</t>
        </is>
      </c>
      <c r="C909" t="inlineStr">
        <is>
          <t>IA-PPWR-STM-ST-096-EUR-07-R00</t>
        </is>
      </c>
      <c r="D909" s="19" t="inlineStr">
        <is>
          <t>12</t>
        </is>
      </c>
      <c r="E909" t="inlineStr">
        <is>
          <t>01_STARTER/ST-096-EUR-07/04_Shipment_Statement.docx</t>
        </is>
      </c>
      <c r="F909" t="inlineStr">
        <is>
          <t>4ac8b8cbbc299ee2ff77afdab6730306c79c6872153784fea6ee407d8f38b355</t>
        </is>
      </c>
      <c r="G909" t="inlineStr">
        <is>
          <t>2026-08-08</t>
        </is>
      </c>
      <c r="H909" s="19" t="inlineStr">
        <is>
          <t>2</t>
        </is>
      </c>
      <c r="I909" t="inlineStr">
        <is>
          <t>Phase I generated Rev.00 Word file — linked; signatures not completed</t>
        </is>
      </c>
      <c r="J909" t="inlineStr">
        <is>
          <t>2026-08-10T19:29:54Z</t>
        </is>
      </c>
      <c r="K909" t="inlineStr">
        <is>
          <t>2026-08-10T19:49:41Z</t>
        </is>
      </c>
    </row>
    <row r="910">
      <c r="A910" s="19" t="inlineStr">
        <is>
          <t>909</t>
        </is>
      </c>
      <c r="B910" s="19" t="inlineStr">
        <is>
          <t>IA-PPWR-TF-ST-096-EUR-08-R00</t>
        </is>
      </c>
      <c r="C910" t="inlineStr">
        <is>
          <t>IA-PPWR-TF-ST-096-EUR-08-R00</t>
        </is>
      </c>
      <c r="D910" s="19" t="inlineStr">
        <is>
          <t>1</t>
        </is>
      </c>
      <c r="E910" t="inlineStr">
        <is>
          <t>01_STARTER/ST-096-EUR-08/01_Technical_File.docx</t>
        </is>
      </c>
      <c r="F910" t="inlineStr">
        <is>
          <t>6ea9f45f609e510c01fb85e0d4cd1825f62e884475959ec3d526fa126d9da72a</t>
        </is>
      </c>
      <c r="G910" t="inlineStr">
        <is>
          <t>2026-08-08</t>
        </is>
      </c>
      <c r="H910" s="19" t="inlineStr">
        <is>
          <t>2</t>
        </is>
      </c>
      <c r="I910" t="inlineStr">
        <is>
          <t>Phase I generated Rev.00 Word file — linked; signatures not completed</t>
        </is>
      </c>
      <c r="J910" t="inlineStr">
        <is>
          <t>2026-08-10T19:29:54Z</t>
        </is>
      </c>
      <c r="K910" t="inlineStr">
        <is>
          <t>2026-08-10T19:49:41Z</t>
        </is>
      </c>
    </row>
    <row r="911">
      <c r="A911" s="19" t="inlineStr">
        <is>
          <t>910</t>
        </is>
      </c>
      <c r="B911" s="19" t="inlineStr">
        <is>
          <t>IA-PPWR-DOC-ST-096-EUR-08-R00</t>
        </is>
      </c>
      <c r="C911" t="inlineStr">
        <is>
          <t>IA-PPWR-DOC-ST-096-EUR-08-R00</t>
        </is>
      </c>
      <c r="D911" s="19" t="inlineStr">
        <is>
          <t>4</t>
        </is>
      </c>
      <c r="E911" t="inlineStr">
        <is>
          <t>01_STARTER/ST-096-EUR-08/02_EU_DoC.docx</t>
        </is>
      </c>
      <c r="F911" t="inlineStr">
        <is>
          <t>3589e7f28594f709e9f45fcf9e9339f2adfad0316ac89d8d6c724d70e162c22c</t>
        </is>
      </c>
      <c r="G911" t="inlineStr">
        <is>
          <t>2026-08-08</t>
        </is>
      </c>
      <c r="H911" s="19" t="inlineStr">
        <is>
          <t>2</t>
        </is>
      </c>
      <c r="I911" t="inlineStr">
        <is>
          <t>Phase I generated Rev.00 Word file — linked; signatures not completed</t>
        </is>
      </c>
      <c r="J911" t="inlineStr">
        <is>
          <t>2026-08-10T19:29:54Z</t>
        </is>
      </c>
      <c r="K911" t="inlineStr">
        <is>
          <t>2026-08-10T19:49:41Z</t>
        </is>
      </c>
    </row>
    <row r="912">
      <c r="A912" s="19" t="inlineStr">
        <is>
          <t>911</t>
        </is>
      </c>
      <c r="B912" s="19" t="inlineStr">
        <is>
          <t>IA-PPWR-LBL-ST-096-EUR-08-R00</t>
        </is>
      </c>
      <c r="C912" t="inlineStr">
        <is>
          <t>IA-PPWR-LBL-ST-096-EUR-08-R00</t>
        </is>
      </c>
      <c r="D912" s="19" t="inlineStr">
        <is>
          <t>11</t>
        </is>
      </c>
      <c r="E912" t="inlineStr">
        <is>
          <t>01_STARTER/ST-096-EUR-08/03_Label.docx</t>
        </is>
      </c>
      <c r="F912" t="inlineStr">
        <is>
          <t>daca0fc3fab9a132d25c731b079199369cc78347f975339158e524852bcfcf62</t>
        </is>
      </c>
      <c r="G912" t="inlineStr">
        <is>
          <t>2026-08-08</t>
        </is>
      </c>
      <c r="H912" s="19" t="inlineStr">
        <is>
          <t>2</t>
        </is>
      </c>
      <c r="I912" t="inlineStr">
        <is>
          <t>Phase I generated Rev.00 Word file — linked; signatures not completed</t>
        </is>
      </c>
      <c r="J912" t="inlineStr">
        <is>
          <t>2026-08-10T19:29:54Z</t>
        </is>
      </c>
      <c r="K912" t="inlineStr">
        <is>
          <t>2026-08-10T19:49:41Z</t>
        </is>
      </c>
    </row>
    <row r="913">
      <c r="A913" s="19" t="inlineStr">
        <is>
          <t>912</t>
        </is>
      </c>
      <c r="B913" s="19" t="inlineStr">
        <is>
          <t>IA-PPWR-STM-ST-096-EUR-08-R00</t>
        </is>
      </c>
      <c r="C913" t="inlineStr">
        <is>
          <t>IA-PPWR-STM-ST-096-EUR-08-R00</t>
        </is>
      </c>
      <c r="D913" s="19" t="inlineStr">
        <is>
          <t>12</t>
        </is>
      </c>
      <c r="E913" t="inlineStr">
        <is>
          <t>01_STARTER/ST-096-EUR-08/04_Shipment_Statement.docx</t>
        </is>
      </c>
      <c r="F913" t="inlineStr">
        <is>
          <t>eae325c2a5ba2b15d83fb1ec3dc66d9a559f93ec8cb41d2c0e4471d9d0ac31d0</t>
        </is>
      </c>
      <c r="G913" t="inlineStr">
        <is>
          <t>2026-08-08</t>
        </is>
      </c>
      <c r="H913" s="19" t="inlineStr">
        <is>
          <t>2</t>
        </is>
      </c>
      <c r="I913" t="inlineStr">
        <is>
          <t>Phase I generated Rev.00 Word file — linked; signatures not completed</t>
        </is>
      </c>
      <c r="J913" t="inlineStr">
        <is>
          <t>2026-08-10T19:29:54Z</t>
        </is>
      </c>
      <c r="K913" t="inlineStr">
        <is>
          <t>2026-08-10T19:49:41Z</t>
        </is>
      </c>
    </row>
    <row r="914">
      <c r="A914" s="19" t="inlineStr">
        <is>
          <t>913</t>
        </is>
      </c>
      <c r="B914" s="19" t="inlineStr">
        <is>
          <t>IA-PPWR-TF-ST-096-EUR-09-R00</t>
        </is>
      </c>
      <c r="C914" t="inlineStr">
        <is>
          <t>IA-PPWR-TF-ST-096-EUR-09-R00</t>
        </is>
      </c>
      <c r="D914" s="19" t="inlineStr">
        <is>
          <t>1</t>
        </is>
      </c>
      <c r="E914" t="inlineStr">
        <is>
          <t>01_STARTER/ST-096-EUR-09/01_Technical_File.docx</t>
        </is>
      </c>
      <c r="F914" t="inlineStr">
        <is>
          <t>33b868e7d3941aa73d0d0b23e411598157a0901ee42412f57d402c3b551a0eae</t>
        </is>
      </c>
      <c r="G914" t="inlineStr">
        <is>
          <t>2026-08-08</t>
        </is>
      </c>
      <c r="H914" s="19" t="inlineStr">
        <is>
          <t>2</t>
        </is>
      </c>
      <c r="I914" t="inlineStr">
        <is>
          <t>Phase I generated Rev.00 Word file — linked; signatures not completed</t>
        </is>
      </c>
      <c r="J914" t="inlineStr">
        <is>
          <t>2026-08-10T19:29:54Z</t>
        </is>
      </c>
      <c r="K914" t="inlineStr">
        <is>
          <t>2026-08-10T19:49:41Z</t>
        </is>
      </c>
    </row>
    <row r="915">
      <c r="A915" s="19" t="inlineStr">
        <is>
          <t>914</t>
        </is>
      </c>
      <c r="B915" s="19" t="inlineStr">
        <is>
          <t>IA-PPWR-DOC-ST-096-EUR-09-R00</t>
        </is>
      </c>
      <c r="C915" t="inlineStr">
        <is>
          <t>IA-PPWR-DOC-ST-096-EUR-09-R00</t>
        </is>
      </c>
      <c r="D915" s="19" t="inlineStr">
        <is>
          <t>4</t>
        </is>
      </c>
      <c r="E915" t="inlineStr">
        <is>
          <t>01_STARTER/ST-096-EUR-09/02_EU_DoC.docx</t>
        </is>
      </c>
      <c r="F915" t="inlineStr">
        <is>
          <t>887c624d80613ebf2137646da411b7bcf03b45771b95a6b21e0271fb0d5e1483</t>
        </is>
      </c>
      <c r="G915" t="inlineStr">
        <is>
          <t>2026-08-08</t>
        </is>
      </c>
      <c r="H915" s="19" t="inlineStr">
        <is>
          <t>2</t>
        </is>
      </c>
      <c r="I915" t="inlineStr">
        <is>
          <t>Phase I generated Rev.00 Word file — linked; signatures not completed</t>
        </is>
      </c>
      <c r="J915" t="inlineStr">
        <is>
          <t>2026-08-10T19:29:54Z</t>
        </is>
      </c>
      <c r="K915" t="inlineStr">
        <is>
          <t>2026-08-10T19:49:41Z</t>
        </is>
      </c>
    </row>
    <row r="916">
      <c r="A916" s="19" t="inlineStr">
        <is>
          <t>915</t>
        </is>
      </c>
      <c r="B916" s="19" t="inlineStr">
        <is>
          <t>IA-PPWR-LBL-ST-096-EUR-09-R00</t>
        </is>
      </c>
      <c r="C916" t="inlineStr">
        <is>
          <t>IA-PPWR-LBL-ST-096-EUR-09-R00</t>
        </is>
      </c>
      <c r="D916" s="19" t="inlineStr">
        <is>
          <t>11</t>
        </is>
      </c>
      <c r="E916" t="inlineStr">
        <is>
          <t>01_STARTER/ST-096-EUR-09/03_Label.docx</t>
        </is>
      </c>
      <c r="F916" t="inlineStr">
        <is>
          <t>d8287c1c61f2c77008193b8f01a85b88ebf49dd4ab5cb2635ee205c66141b310</t>
        </is>
      </c>
      <c r="G916" t="inlineStr">
        <is>
          <t>2026-08-08</t>
        </is>
      </c>
      <c r="H916" s="19" t="inlineStr">
        <is>
          <t>2</t>
        </is>
      </c>
      <c r="I916" t="inlineStr">
        <is>
          <t>Phase I generated Rev.00 Word file — linked; signatures not completed</t>
        </is>
      </c>
      <c r="J916" t="inlineStr">
        <is>
          <t>2026-08-10T19:29:54Z</t>
        </is>
      </c>
      <c r="K916" t="inlineStr">
        <is>
          <t>2026-08-10T19:49:41Z</t>
        </is>
      </c>
    </row>
    <row r="917">
      <c r="A917" s="19" t="inlineStr">
        <is>
          <t>916</t>
        </is>
      </c>
      <c r="B917" s="19" t="inlineStr">
        <is>
          <t>IA-PPWR-STM-ST-096-EUR-09-R00</t>
        </is>
      </c>
      <c r="C917" t="inlineStr">
        <is>
          <t>IA-PPWR-STM-ST-096-EUR-09-R00</t>
        </is>
      </c>
      <c r="D917" s="19" t="inlineStr">
        <is>
          <t>12</t>
        </is>
      </c>
      <c r="E917" t="inlineStr">
        <is>
          <t>01_STARTER/ST-096-EUR-09/04_Shipment_Statement.docx</t>
        </is>
      </c>
      <c r="F917" t="inlineStr">
        <is>
          <t>da61e5d8ed8cec2ab69506ebadd21dcd5052faffc986eaf0d5b0a55ce3c15b53</t>
        </is>
      </c>
      <c r="G917" t="inlineStr">
        <is>
          <t>2026-08-08</t>
        </is>
      </c>
      <c r="H917" s="19" t="inlineStr">
        <is>
          <t>2</t>
        </is>
      </c>
      <c r="I917" t="inlineStr">
        <is>
          <t>Phase I generated Rev.00 Word file — linked; signatures not completed</t>
        </is>
      </c>
      <c r="J917" t="inlineStr">
        <is>
          <t>2026-08-10T19:29:54Z</t>
        </is>
      </c>
      <c r="K917" t="inlineStr">
        <is>
          <t>2026-08-10T19:49:41Z</t>
        </is>
      </c>
    </row>
    <row r="918">
      <c r="A918" s="19" t="inlineStr">
        <is>
          <t>917</t>
        </is>
      </c>
      <c r="B918" s="19" t="inlineStr">
        <is>
          <t>IA-PPWR-TF-ST-096-EUR-10-R00</t>
        </is>
      </c>
      <c r="C918" t="inlineStr">
        <is>
          <t>IA-PPWR-TF-ST-096-EUR-10-R00</t>
        </is>
      </c>
      <c r="D918" s="19" t="inlineStr">
        <is>
          <t>1</t>
        </is>
      </c>
      <c r="E918" t="inlineStr">
        <is>
          <t>01_STARTER/ST-096-EUR-10/01_Technical_File.docx</t>
        </is>
      </c>
      <c r="F918" t="inlineStr">
        <is>
          <t>b25a67c2368546cecfeeaaa8faef72a1da377521960b2f001682e3714fdb461b</t>
        </is>
      </c>
      <c r="G918" t="inlineStr">
        <is>
          <t>2026-08-08</t>
        </is>
      </c>
      <c r="H918" s="19" t="inlineStr">
        <is>
          <t>2</t>
        </is>
      </c>
      <c r="I918" t="inlineStr">
        <is>
          <t>Phase I generated Rev.00 Word file — linked; signatures not completed</t>
        </is>
      </c>
      <c r="J918" t="inlineStr">
        <is>
          <t>2026-08-10T19:29:54Z</t>
        </is>
      </c>
      <c r="K918" t="inlineStr">
        <is>
          <t>2026-08-10T19:49:41Z</t>
        </is>
      </c>
    </row>
    <row r="919">
      <c r="A919" s="19" t="inlineStr">
        <is>
          <t>918</t>
        </is>
      </c>
      <c r="B919" s="19" t="inlineStr">
        <is>
          <t>IA-PPWR-DOC-ST-096-EUR-10-R00</t>
        </is>
      </c>
      <c r="C919" t="inlineStr">
        <is>
          <t>IA-PPWR-DOC-ST-096-EUR-10-R00</t>
        </is>
      </c>
      <c r="D919" s="19" t="inlineStr">
        <is>
          <t>4</t>
        </is>
      </c>
      <c r="E919" t="inlineStr">
        <is>
          <t>01_STARTER/ST-096-EUR-10/02_EU_DoC.docx</t>
        </is>
      </c>
      <c r="F919" t="inlineStr">
        <is>
          <t>5f105a4c432042cb2023606933732a2e58f09e59e896163538f162203b5caeea</t>
        </is>
      </c>
      <c r="G919" t="inlineStr">
        <is>
          <t>2026-08-08</t>
        </is>
      </c>
      <c r="H919" s="19" t="inlineStr">
        <is>
          <t>2</t>
        </is>
      </c>
      <c r="I919" t="inlineStr">
        <is>
          <t>Phase I generated Rev.00 Word file — linked; signatures not completed</t>
        </is>
      </c>
      <c r="J919" t="inlineStr">
        <is>
          <t>2026-08-10T19:29:54Z</t>
        </is>
      </c>
      <c r="K919" t="inlineStr">
        <is>
          <t>2026-08-10T19:49:41Z</t>
        </is>
      </c>
    </row>
    <row r="920">
      <c r="A920" s="19" t="inlineStr">
        <is>
          <t>919</t>
        </is>
      </c>
      <c r="B920" s="19" t="inlineStr">
        <is>
          <t>IA-PPWR-LBL-ST-096-EUR-10-R00</t>
        </is>
      </c>
      <c r="C920" t="inlineStr">
        <is>
          <t>IA-PPWR-LBL-ST-096-EUR-10-R00</t>
        </is>
      </c>
      <c r="D920" s="19" t="inlineStr">
        <is>
          <t>11</t>
        </is>
      </c>
      <c r="E920" t="inlineStr">
        <is>
          <t>01_STARTER/ST-096-EUR-10/03_Label.docx</t>
        </is>
      </c>
      <c r="F920" t="inlineStr">
        <is>
          <t>3c7450649789fa6561911cd1db3b95c8f30f6ef9c77b737f28fe54396ac7c45e</t>
        </is>
      </c>
      <c r="G920" t="inlineStr">
        <is>
          <t>2026-08-08</t>
        </is>
      </c>
      <c r="H920" s="19" t="inlineStr">
        <is>
          <t>2</t>
        </is>
      </c>
      <c r="I920" t="inlineStr">
        <is>
          <t>Phase I generated Rev.00 Word file — linked; signatures not completed</t>
        </is>
      </c>
      <c r="J920" t="inlineStr">
        <is>
          <t>2026-08-10T19:29:54Z</t>
        </is>
      </c>
      <c r="K920" t="inlineStr">
        <is>
          <t>2026-08-10T19:49:41Z</t>
        </is>
      </c>
    </row>
    <row r="921">
      <c r="A921" s="19" t="inlineStr">
        <is>
          <t>920</t>
        </is>
      </c>
      <c r="B921" s="19" t="inlineStr">
        <is>
          <t>IA-PPWR-STM-ST-096-EUR-10-R00</t>
        </is>
      </c>
      <c r="C921" t="inlineStr">
        <is>
          <t>IA-PPWR-STM-ST-096-EUR-10-R00</t>
        </is>
      </c>
      <c r="D921" s="19" t="inlineStr">
        <is>
          <t>12</t>
        </is>
      </c>
      <c r="E921" t="inlineStr">
        <is>
          <t>01_STARTER/ST-096-EUR-10/04_Shipment_Statement.docx</t>
        </is>
      </c>
      <c r="F921" t="inlineStr">
        <is>
          <t>7adb2deaaf78db22608cccd1aa699dedab0a26c38d1e17430c20dc9d96fbf45b</t>
        </is>
      </c>
      <c r="G921" t="inlineStr">
        <is>
          <t>2026-08-08</t>
        </is>
      </c>
      <c r="H921" s="19" t="inlineStr">
        <is>
          <t>2</t>
        </is>
      </c>
      <c r="I921" t="inlineStr">
        <is>
          <t>Phase I generated Rev.00 Word file — linked; signatures not completed</t>
        </is>
      </c>
      <c r="J921" t="inlineStr">
        <is>
          <t>2026-08-10T19:29:54Z</t>
        </is>
      </c>
      <c r="K921" t="inlineStr">
        <is>
          <t>2026-08-10T19:49:41Z</t>
        </is>
      </c>
    </row>
    <row r="922">
      <c r="A922" s="19" t="inlineStr">
        <is>
          <t>921</t>
        </is>
      </c>
      <c r="B922" s="19" t="inlineStr">
        <is>
          <t>IA-PPWR-TF-ST-096-STD-01-R00</t>
        </is>
      </c>
      <c r="C922" t="inlineStr">
        <is>
          <t>IA-PPWR-TF-ST-096-STD-01-R00</t>
        </is>
      </c>
      <c r="D922" s="19" t="inlineStr">
        <is>
          <t>1</t>
        </is>
      </c>
      <c r="E922" t="inlineStr">
        <is>
          <t>01_STARTER/ST-096-STD-01/01_Technical_File.docx</t>
        </is>
      </c>
      <c r="F922" t="inlineStr">
        <is>
          <t>11c5a5acdde4c1b8b37a13b731cdab2afd043cd9b9a6c194ffffec1d2695fd75</t>
        </is>
      </c>
      <c r="G922" t="inlineStr">
        <is>
          <t>2026-08-08</t>
        </is>
      </c>
      <c r="H922" s="19" t="inlineStr">
        <is>
          <t>2</t>
        </is>
      </c>
      <c r="I922" t="inlineStr">
        <is>
          <t>Phase I generated Rev.00 Word file — linked; signatures not completed</t>
        </is>
      </c>
      <c r="J922" t="inlineStr">
        <is>
          <t>2026-08-10T19:29:54Z</t>
        </is>
      </c>
      <c r="K922" t="inlineStr">
        <is>
          <t>2026-08-10T19:49:41Z</t>
        </is>
      </c>
    </row>
    <row r="923">
      <c r="A923" s="19" t="inlineStr">
        <is>
          <t>922</t>
        </is>
      </c>
      <c r="B923" s="19" t="inlineStr">
        <is>
          <t>IA-PPWR-DOC-ST-096-STD-01-R00</t>
        </is>
      </c>
      <c r="C923" t="inlineStr">
        <is>
          <t>IA-PPWR-DOC-ST-096-STD-01-R00</t>
        </is>
      </c>
      <c r="D923" s="19" t="inlineStr">
        <is>
          <t>4</t>
        </is>
      </c>
      <c r="E923" t="inlineStr">
        <is>
          <t>01_STARTER/ST-096-STD-01/02_EU_DoC.docx</t>
        </is>
      </c>
      <c r="F923" t="inlineStr">
        <is>
          <t>7809d0ed9faccff4e7dea1bc4074bae37205bdb0ed16ef71b8a19e5969a9ff4d</t>
        </is>
      </c>
      <c r="G923" t="inlineStr">
        <is>
          <t>2026-08-08</t>
        </is>
      </c>
      <c r="H923" s="19" t="inlineStr">
        <is>
          <t>2</t>
        </is>
      </c>
      <c r="I923" t="inlineStr">
        <is>
          <t>Phase I generated Rev.00 Word file — linked; signatures not completed</t>
        </is>
      </c>
      <c r="J923" t="inlineStr">
        <is>
          <t>2026-08-10T19:29:54Z</t>
        </is>
      </c>
      <c r="K923" t="inlineStr">
        <is>
          <t>2026-08-10T19:49:41Z</t>
        </is>
      </c>
    </row>
    <row r="924">
      <c r="A924" s="19" t="inlineStr">
        <is>
          <t>923</t>
        </is>
      </c>
      <c r="B924" s="19" t="inlineStr">
        <is>
          <t>IA-PPWR-LBL-ST-096-STD-01-R00</t>
        </is>
      </c>
      <c r="C924" t="inlineStr">
        <is>
          <t>IA-PPWR-LBL-ST-096-STD-01-R00</t>
        </is>
      </c>
      <c r="D924" s="19" t="inlineStr">
        <is>
          <t>11</t>
        </is>
      </c>
      <c r="E924" t="inlineStr">
        <is>
          <t>01_STARTER/ST-096-STD-01/03_Label.docx</t>
        </is>
      </c>
      <c r="F924" t="inlineStr">
        <is>
          <t>dcf99e876d17385a03c7f40550992b6634c8649cb9ce12046d9c2ff245aa7206</t>
        </is>
      </c>
      <c r="G924" t="inlineStr">
        <is>
          <t>2026-08-08</t>
        </is>
      </c>
      <c r="H924" s="19" t="inlineStr">
        <is>
          <t>2</t>
        </is>
      </c>
      <c r="I924" t="inlineStr">
        <is>
          <t>Phase I generated Rev.00 Word file — linked; signatures not completed</t>
        </is>
      </c>
      <c r="J924" t="inlineStr">
        <is>
          <t>2026-08-10T19:29:54Z</t>
        </is>
      </c>
      <c r="K924" t="inlineStr">
        <is>
          <t>2026-08-10T19:49:41Z</t>
        </is>
      </c>
    </row>
    <row r="925">
      <c r="A925" s="19" t="inlineStr">
        <is>
          <t>924</t>
        </is>
      </c>
      <c r="B925" s="19" t="inlineStr">
        <is>
          <t>IA-PPWR-STM-ST-096-STD-01-R00</t>
        </is>
      </c>
      <c r="C925" t="inlineStr">
        <is>
          <t>IA-PPWR-STM-ST-096-STD-01-R00</t>
        </is>
      </c>
      <c r="D925" s="19" t="inlineStr">
        <is>
          <t>12</t>
        </is>
      </c>
      <c r="E925" t="inlineStr">
        <is>
          <t>01_STARTER/ST-096-STD-01/04_Shipment_Statement.docx</t>
        </is>
      </c>
      <c r="F925" t="inlineStr">
        <is>
          <t>e175797cbad86937f2b2cf0c73e49488e3301391fcf583aaa70f189ca7c80e03</t>
        </is>
      </c>
      <c r="G925" t="inlineStr">
        <is>
          <t>2026-08-08</t>
        </is>
      </c>
      <c r="H925" s="19" t="inlineStr">
        <is>
          <t>2</t>
        </is>
      </c>
      <c r="I925" t="inlineStr">
        <is>
          <t>Phase I generated Rev.00 Word file — linked; signatures not completed</t>
        </is>
      </c>
      <c r="J925" t="inlineStr">
        <is>
          <t>2026-08-10T19:29:54Z</t>
        </is>
      </c>
      <c r="K925" t="inlineStr">
        <is>
          <t>2026-08-10T19:49:41Z</t>
        </is>
      </c>
    </row>
    <row r="926">
      <c r="A926" s="19" t="inlineStr">
        <is>
          <t>925</t>
        </is>
      </c>
      <c r="B926" s="19" t="inlineStr">
        <is>
          <t>IA-PPWR-TF-ST-096-STD-02-R00</t>
        </is>
      </c>
      <c r="C926" t="inlineStr">
        <is>
          <t>IA-PPWR-TF-ST-096-STD-02-R00</t>
        </is>
      </c>
      <c r="D926" s="19" t="inlineStr">
        <is>
          <t>1</t>
        </is>
      </c>
      <c r="E926" t="inlineStr">
        <is>
          <t>01_STARTER/ST-096-STD-02/01_Technical_File.docx</t>
        </is>
      </c>
      <c r="F926" t="inlineStr">
        <is>
          <t>f41f5a5c5ca497c0f68242a213b137158ad7080b6ec4ada8b6676cc9b5430a9d</t>
        </is>
      </c>
      <c r="G926" t="inlineStr">
        <is>
          <t>2026-08-08</t>
        </is>
      </c>
      <c r="H926" s="19" t="inlineStr">
        <is>
          <t>2</t>
        </is>
      </c>
      <c r="I926" t="inlineStr">
        <is>
          <t>Phase I generated Rev.00 Word file — linked; signatures not completed</t>
        </is>
      </c>
      <c r="J926" t="inlineStr">
        <is>
          <t>2026-08-10T19:29:54Z</t>
        </is>
      </c>
      <c r="K926" t="inlineStr">
        <is>
          <t>2026-08-10T19:49:41Z</t>
        </is>
      </c>
    </row>
    <row r="927">
      <c r="A927" s="19" t="inlineStr">
        <is>
          <t>926</t>
        </is>
      </c>
      <c r="B927" s="19" t="inlineStr">
        <is>
          <t>IA-PPWR-DOC-ST-096-STD-02-R00</t>
        </is>
      </c>
      <c r="C927" t="inlineStr">
        <is>
          <t>IA-PPWR-DOC-ST-096-STD-02-R00</t>
        </is>
      </c>
      <c r="D927" s="19" t="inlineStr">
        <is>
          <t>4</t>
        </is>
      </c>
      <c r="E927" t="inlineStr">
        <is>
          <t>01_STARTER/ST-096-STD-02/02_EU_DoC.docx</t>
        </is>
      </c>
      <c r="F927" t="inlineStr">
        <is>
          <t>27647e4dceb66605068ae3237204bc5c960358bb26afc4e6dfd0f2bbe6b2e454</t>
        </is>
      </c>
      <c r="G927" t="inlineStr">
        <is>
          <t>2026-08-08</t>
        </is>
      </c>
      <c r="H927" s="19" t="inlineStr">
        <is>
          <t>2</t>
        </is>
      </c>
      <c r="I927" t="inlineStr">
        <is>
          <t>Phase I generated Rev.00 Word file — linked; signatures not completed</t>
        </is>
      </c>
      <c r="J927" t="inlineStr">
        <is>
          <t>2026-08-10T19:29:54Z</t>
        </is>
      </c>
      <c r="K927" t="inlineStr">
        <is>
          <t>2026-08-10T19:49:41Z</t>
        </is>
      </c>
    </row>
    <row r="928">
      <c r="A928" s="19" t="inlineStr">
        <is>
          <t>927</t>
        </is>
      </c>
      <c r="B928" s="19" t="inlineStr">
        <is>
          <t>IA-PPWR-LBL-ST-096-STD-02-R00</t>
        </is>
      </c>
      <c r="C928" t="inlineStr">
        <is>
          <t>IA-PPWR-LBL-ST-096-STD-02-R00</t>
        </is>
      </c>
      <c r="D928" s="19" t="inlineStr">
        <is>
          <t>11</t>
        </is>
      </c>
      <c r="E928" t="inlineStr">
        <is>
          <t>01_STARTER/ST-096-STD-02/03_Label.docx</t>
        </is>
      </c>
      <c r="F928" t="inlineStr">
        <is>
          <t>42cc096492cb684ba1f52835dfe6fe3f83468662f36f17da5430a4390271afac</t>
        </is>
      </c>
      <c r="G928" t="inlineStr">
        <is>
          <t>2026-08-08</t>
        </is>
      </c>
      <c r="H928" s="19" t="inlineStr">
        <is>
          <t>2</t>
        </is>
      </c>
      <c r="I928" t="inlineStr">
        <is>
          <t>Phase I generated Rev.00 Word file — linked; signatures not completed</t>
        </is>
      </c>
      <c r="J928" t="inlineStr">
        <is>
          <t>2026-08-10T19:29:54Z</t>
        </is>
      </c>
      <c r="K928" t="inlineStr">
        <is>
          <t>2026-08-10T19:49:41Z</t>
        </is>
      </c>
    </row>
    <row r="929">
      <c r="A929" s="19" t="inlineStr">
        <is>
          <t>928</t>
        </is>
      </c>
      <c r="B929" s="19" t="inlineStr">
        <is>
          <t>IA-PPWR-STM-ST-096-STD-02-R00</t>
        </is>
      </c>
      <c r="C929" t="inlineStr">
        <is>
          <t>IA-PPWR-STM-ST-096-STD-02-R00</t>
        </is>
      </c>
      <c r="D929" s="19" t="inlineStr">
        <is>
          <t>12</t>
        </is>
      </c>
      <c r="E929" t="inlineStr">
        <is>
          <t>01_STARTER/ST-096-STD-02/04_Shipment_Statement.docx</t>
        </is>
      </c>
      <c r="F929" t="inlineStr">
        <is>
          <t>68246d3c476a5a5c0a8d47a0740a4ed76e6da511c541db017279e7076d034cd5</t>
        </is>
      </c>
      <c r="G929" t="inlineStr">
        <is>
          <t>2026-08-08</t>
        </is>
      </c>
      <c r="H929" s="19" t="inlineStr">
        <is>
          <t>2</t>
        </is>
      </c>
      <c r="I929" t="inlineStr">
        <is>
          <t>Phase I generated Rev.00 Word file — linked; signatures not completed</t>
        </is>
      </c>
      <c r="J929" t="inlineStr">
        <is>
          <t>2026-08-10T19:29:54Z</t>
        </is>
      </c>
      <c r="K929" t="inlineStr">
        <is>
          <t>2026-08-10T19:49:41Z</t>
        </is>
      </c>
    </row>
    <row r="930">
      <c r="A930" s="19" t="inlineStr">
        <is>
          <t>929</t>
        </is>
      </c>
      <c r="B930" s="19" t="inlineStr">
        <is>
          <t>IA-PPWR-TF-ST-096-STD-03-R00</t>
        </is>
      </c>
      <c r="C930" t="inlineStr">
        <is>
          <t>IA-PPWR-TF-ST-096-STD-03-R00</t>
        </is>
      </c>
      <c r="D930" s="19" t="inlineStr">
        <is>
          <t>1</t>
        </is>
      </c>
      <c r="E930" t="inlineStr">
        <is>
          <t>01_STARTER/ST-096-STD-03/01_Technical_File.docx</t>
        </is>
      </c>
      <c r="F930" t="inlineStr">
        <is>
          <t>81fb9371f9a3921bc64514dfeadae54ccb35a4724ab59819f315eb65fead1988</t>
        </is>
      </c>
      <c r="G930" t="inlineStr">
        <is>
          <t>2026-08-08</t>
        </is>
      </c>
      <c r="H930" s="19" t="inlineStr">
        <is>
          <t>2</t>
        </is>
      </c>
      <c r="I930" t="inlineStr">
        <is>
          <t>Phase I generated Rev.00 Word file — linked; signatures not completed</t>
        </is>
      </c>
      <c r="J930" t="inlineStr">
        <is>
          <t>2026-08-10T19:29:54Z</t>
        </is>
      </c>
      <c r="K930" t="inlineStr">
        <is>
          <t>2026-08-10T19:49:41Z</t>
        </is>
      </c>
    </row>
    <row r="931">
      <c r="A931" s="19" t="inlineStr">
        <is>
          <t>930</t>
        </is>
      </c>
      <c r="B931" s="19" t="inlineStr">
        <is>
          <t>IA-PPWR-DOC-ST-096-STD-03-R00</t>
        </is>
      </c>
      <c r="C931" t="inlineStr">
        <is>
          <t>IA-PPWR-DOC-ST-096-STD-03-R00</t>
        </is>
      </c>
      <c r="D931" s="19" t="inlineStr">
        <is>
          <t>4</t>
        </is>
      </c>
      <c r="E931" t="inlineStr">
        <is>
          <t>01_STARTER/ST-096-STD-03/02_EU_DoC.docx</t>
        </is>
      </c>
      <c r="F931" t="inlineStr">
        <is>
          <t>e39f9ff734e588a0c12ec5526ac786f306bbf1c1e315593d886df52009b8dc3e</t>
        </is>
      </c>
      <c r="G931" t="inlineStr">
        <is>
          <t>2026-08-08</t>
        </is>
      </c>
      <c r="H931" s="19" t="inlineStr">
        <is>
          <t>2</t>
        </is>
      </c>
      <c r="I931" t="inlineStr">
        <is>
          <t>Phase I generated Rev.00 Word file — linked; signatures not completed</t>
        </is>
      </c>
      <c r="J931" t="inlineStr">
        <is>
          <t>2026-08-10T19:29:54Z</t>
        </is>
      </c>
      <c r="K931" t="inlineStr">
        <is>
          <t>2026-08-10T19:49:41Z</t>
        </is>
      </c>
    </row>
    <row r="932">
      <c r="A932" s="19" t="inlineStr">
        <is>
          <t>931</t>
        </is>
      </c>
      <c r="B932" s="19" t="inlineStr">
        <is>
          <t>IA-PPWR-LBL-ST-096-STD-03-R00</t>
        </is>
      </c>
      <c r="C932" t="inlineStr">
        <is>
          <t>IA-PPWR-LBL-ST-096-STD-03-R00</t>
        </is>
      </c>
      <c r="D932" s="19" t="inlineStr">
        <is>
          <t>11</t>
        </is>
      </c>
      <c r="E932" t="inlineStr">
        <is>
          <t>01_STARTER/ST-096-STD-03/03_Label.docx</t>
        </is>
      </c>
      <c r="F932" t="inlineStr">
        <is>
          <t>0ff700b7c8b2c0b9c09ba9455fa454814518b8bc8495926a383749661da61daf</t>
        </is>
      </c>
      <c r="G932" t="inlineStr">
        <is>
          <t>2026-08-08</t>
        </is>
      </c>
      <c r="H932" s="19" t="inlineStr">
        <is>
          <t>2</t>
        </is>
      </c>
      <c r="I932" t="inlineStr">
        <is>
          <t>Phase I generated Rev.00 Word file — linked; signatures not completed</t>
        </is>
      </c>
      <c r="J932" t="inlineStr">
        <is>
          <t>2026-08-10T19:29:54Z</t>
        </is>
      </c>
      <c r="K932" t="inlineStr">
        <is>
          <t>2026-08-10T19:49:41Z</t>
        </is>
      </c>
    </row>
    <row r="933">
      <c r="A933" s="19" t="inlineStr">
        <is>
          <t>932</t>
        </is>
      </c>
      <c r="B933" s="19" t="inlineStr">
        <is>
          <t>IA-PPWR-STM-ST-096-STD-03-R00</t>
        </is>
      </c>
      <c r="C933" t="inlineStr">
        <is>
          <t>IA-PPWR-STM-ST-096-STD-03-R00</t>
        </is>
      </c>
      <c r="D933" s="19" t="inlineStr">
        <is>
          <t>12</t>
        </is>
      </c>
      <c r="E933" t="inlineStr">
        <is>
          <t>01_STARTER/ST-096-STD-03/04_Shipment_Statement.docx</t>
        </is>
      </c>
      <c r="F933" t="inlineStr">
        <is>
          <t>c9e34589fb453830b8a587ecaa6f7a4d880ca023103c0451f7629c30b58fc5e4</t>
        </is>
      </c>
      <c r="G933" t="inlineStr">
        <is>
          <t>2026-08-08</t>
        </is>
      </c>
      <c r="H933" s="19" t="inlineStr">
        <is>
          <t>2</t>
        </is>
      </c>
      <c r="I933" t="inlineStr">
        <is>
          <t>Phase I generated Rev.00 Word file — linked; signatures not completed</t>
        </is>
      </c>
      <c r="J933" t="inlineStr">
        <is>
          <t>2026-08-10T19:29:54Z</t>
        </is>
      </c>
      <c r="K933" t="inlineStr">
        <is>
          <t>2026-08-10T19:49:41Z</t>
        </is>
      </c>
    </row>
    <row r="934">
      <c r="A934" s="19" t="inlineStr">
        <is>
          <t>933</t>
        </is>
      </c>
      <c r="B934" s="19" t="inlineStr">
        <is>
          <t>IA-PPWR-TF-ST-096-STD-04-R00</t>
        </is>
      </c>
      <c r="C934" t="inlineStr">
        <is>
          <t>IA-PPWR-TF-ST-096-STD-04-R00</t>
        </is>
      </c>
      <c r="D934" s="19" t="inlineStr">
        <is>
          <t>1</t>
        </is>
      </c>
      <c r="E934" t="inlineStr">
        <is>
          <t>01_STARTER/ST-096-STD-04/01_Technical_File.docx</t>
        </is>
      </c>
      <c r="F934" t="inlineStr">
        <is>
          <t>0b0bdfee2b5e4917ee629e480d271dda83843124f61e1a5e367636883672f705</t>
        </is>
      </c>
      <c r="G934" t="inlineStr">
        <is>
          <t>2026-08-08</t>
        </is>
      </c>
      <c r="H934" s="19" t="inlineStr">
        <is>
          <t>2</t>
        </is>
      </c>
      <c r="I934" t="inlineStr">
        <is>
          <t>Phase I generated Rev.00 Word file — linked; signatures not completed</t>
        </is>
      </c>
      <c r="J934" t="inlineStr">
        <is>
          <t>2026-08-10T19:29:54Z</t>
        </is>
      </c>
      <c r="K934" t="inlineStr">
        <is>
          <t>2026-08-10T19:49:41Z</t>
        </is>
      </c>
    </row>
    <row r="935">
      <c r="A935" s="19" t="inlineStr">
        <is>
          <t>934</t>
        </is>
      </c>
      <c r="B935" s="19" t="inlineStr">
        <is>
          <t>IA-PPWR-DOC-ST-096-STD-04-R00</t>
        </is>
      </c>
      <c r="C935" t="inlineStr">
        <is>
          <t>IA-PPWR-DOC-ST-096-STD-04-R00</t>
        </is>
      </c>
      <c r="D935" s="19" t="inlineStr">
        <is>
          <t>4</t>
        </is>
      </c>
      <c r="E935" t="inlineStr">
        <is>
          <t>01_STARTER/ST-096-STD-04/02_EU_DoC.docx</t>
        </is>
      </c>
      <c r="F935" t="inlineStr">
        <is>
          <t>3cd6229f7f220be8651ada9169d10bc101d6da3b8454b49a2bf97868af67f147</t>
        </is>
      </c>
      <c r="G935" t="inlineStr">
        <is>
          <t>2026-08-08</t>
        </is>
      </c>
      <c r="H935" s="19" t="inlineStr">
        <is>
          <t>2</t>
        </is>
      </c>
      <c r="I935" t="inlineStr">
        <is>
          <t>Phase I generated Rev.00 Word file — linked; signatures not completed</t>
        </is>
      </c>
      <c r="J935" t="inlineStr">
        <is>
          <t>2026-08-10T19:29:54Z</t>
        </is>
      </c>
      <c r="K935" t="inlineStr">
        <is>
          <t>2026-08-10T19:49:41Z</t>
        </is>
      </c>
    </row>
    <row r="936">
      <c r="A936" s="19" t="inlineStr">
        <is>
          <t>935</t>
        </is>
      </c>
      <c r="B936" s="19" t="inlineStr">
        <is>
          <t>IA-PPWR-LBL-ST-096-STD-04-R00</t>
        </is>
      </c>
      <c r="C936" t="inlineStr">
        <is>
          <t>IA-PPWR-LBL-ST-096-STD-04-R00</t>
        </is>
      </c>
      <c r="D936" s="19" t="inlineStr">
        <is>
          <t>11</t>
        </is>
      </c>
      <c r="E936" t="inlineStr">
        <is>
          <t>01_STARTER/ST-096-STD-04/03_Label.docx</t>
        </is>
      </c>
      <c r="F936" t="inlineStr">
        <is>
          <t>7c40a87bbdb1e02c0fef4d02cdafd7c1f8ae7b26379419ed872a63c99dbb2d87</t>
        </is>
      </c>
      <c r="G936" t="inlineStr">
        <is>
          <t>2026-08-08</t>
        </is>
      </c>
      <c r="H936" s="19" t="inlineStr">
        <is>
          <t>2</t>
        </is>
      </c>
      <c r="I936" t="inlineStr">
        <is>
          <t>Phase I generated Rev.00 Word file — linked; signatures not completed</t>
        </is>
      </c>
      <c r="J936" t="inlineStr">
        <is>
          <t>2026-08-10T19:29:54Z</t>
        </is>
      </c>
      <c r="K936" t="inlineStr">
        <is>
          <t>2026-08-10T19:49:41Z</t>
        </is>
      </c>
    </row>
    <row r="937">
      <c r="A937" s="19" t="inlineStr">
        <is>
          <t>936</t>
        </is>
      </c>
      <c r="B937" s="19" t="inlineStr">
        <is>
          <t>IA-PPWR-STM-ST-096-STD-04-R00</t>
        </is>
      </c>
      <c r="C937" t="inlineStr">
        <is>
          <t>IA-PPWR-STM-ST-096-STD-04-R00</t>
        </is>
      </c>
      <c r="D937" s="19" t="inlineStr">
        <is>
          <t>12</t>
        </is>
      </c>
      <c r="E937" t="inlineStr">
        <is>
          <t>01_STARTER/ST-096-STD-04/04_Shipment_Statement.docx</t>
        </is>
      </c>
      <c r="F937" t="inlineStr">
        <is>
          <t>1214da94382fbcb1809ae6e00282ad00d861d8fb2c15ad85d216ea9af74567c9</t>
        </is>
      </c>
      <c r="G937" t="inlineStr">
        <is>
          <t>2026-08-08</t>
        </is>
      </c>
      <c r="H937" s="19" t="inlineStr">
        <is>
          <t>2</t>
        </is>
      </c>
      <c r="I937" t="inlineStr">
        <is>
          <t>Phase I generated Rev.00 Word file — linked; signatures not completed</t>
        </is>
      </c>
      <c r="J937" t="inlineStr">
        <is>
          <t>2026-08-10T19:29:54Z</t>
        </is>
      </c>
      <c r="K937" t="inlineStr">
        <is>
          <t>2026-08-10T19:49:41Z</t>
        </is>
      </c>
    </row>
    <row r="938">
      <c r="A938" s="19" t="inlineStr">
        <is>
          <t>937</t>
        </is>
      </c>
      <c r="B938" s="19" t="inlineStr">
        <is>
          <t>IA-PPWR-TF-ST-096-STD-05-R00</t>
        </is>
      </c>
      <c r="C938" t="inlineStr">
        <is>
          <t>IA-PPWR-TF-ST-096-STD-05-R00</t>
        </is>
      </c>
      <c r="D938" s="19" t="inlineStr">
        <is>
          <t>1</t>
        </is>
      </c>
      <c r="E938" t="inlineStr">
        <is>
          <t>01_STARTER/ST-096-STD-05/01_Technical_File.docx</t>
        </is>
      </c>
      <c r="F938" t="inlineStr">
        <is>
          <t>582c393245579e12ed510fd837782a9bc805b8591a8971fd0728b65ede547da9</t>
        </is>
      </c>
      <c r="G938" t="inlineStr">
        <is>
          <t>2026-08-08</t>
        </is>
      </c>
      <c r="H938" s="19" t="inlineStr">
        <is>
          <t>2</t>
        </is>
      </c>
      <c r="I938" t="inlineStr">
        <is>
          <t>Phase I generated Rev.00 Word file — linked; signatures not completed</t>
        </is>
      </c>
      <c r="J938" t="inlineStr">
        <is>
          <t>2026-08-10T19:29:54Z</t>
        </is>
      </c>
      <c r="K938" t="inlineStr">
        <is>
          <t>2026-08-10T19:49:41Z</t>
        </is>
      </c>
    </row>
    <row r="939">
      <c r="A939" s="19" t="inlineStr">
        <is>
          <t>938</t>
        </is>
      </c>
      <c r="B939" s="19" t="inlineStr">
        <is>
          <t>IA-PPWR-DOC-ST-096-STD-05-R00</t>
        </is>
      </c>
      <c r="C939" t="inlineStr">
        <is>
          <t>IA-PPWR-DOC-ST-096-STD-05-R00</t>
        </is>
      </c>
      <c r="D939" s="19" t="inlineStr">
        <is>
          <t>4</t>
        </is>
      </c>
      <c r="E939" t="inlineStr">
        <is>
          <t>01_STARTER/ST-096-STD-05/02_EU_DoC.docx</t>
        </is>
      </c>
      <c r="F939" t="inlineStr">
        <is>
          <t>61ad85f4a8ac3f29bb20c15c300d091986a937d8b4339ee25e62e022067f4d6e</t>
        </is>
      </c>
      <c r="G939" t="inlineStr">
        <is>
          <t>2026-08-08</t>
        </is>
      </c>
      <c r="H939" s="19" t="inlineStr">
        <is>
          <t>2</t>
        </is>
      </c>
      <c r="I939" t="inlineStr">
        <is>
          <t>Phase I generated Rev.00 Word file — linked; signatures not completed</t>
        </is>
      </c>
      <c r="J939" t="inlineStr">
        <is>
          <t>2026-08-10T19:29:54Z</t>
        </is>
      </c>
      <c r="K939" t="inlineStr">
        <is>
          <t>2026-08-10T19:49:41Z</t>
        </is>
      </c>
    </row>
    <row r="940">
      <c r="A940" s="19" t="inlineStr">
        <is>
          <t>939</t>
        </is>
      </c>
      <c r="B940" s="19" t="inlineStr">
        <is>
          <t>IA-PPWR-LBL-ST-096-STD-05-R00</t>
        </is>
      </c>
      <c r="C940" t="inlineStr">
        <is>
          <t>IA-PPWR-LBL-ST-096-STD-05-R00</t>
        </is>
      </c>
      <c r="D940" s="19" t="inlineStr">
        <is>
          <t>11</t>
        </is>
      </c>
      <c r="E940" t="inlineStr">
        <is>
          <t>01_STARTER/ST-096-STD-05/03_Label.docx</t>
        </is>
      </c>
      <c r="F940" t="inlineStr">
        <is>
          <t>a833c6b67fb67ef92d14c178b27d2f7872d6924af9100068c334e324f3379567</t>
        </is>
      </c>
      <c r="G940" t="inlineStr">
        <is>
          <t>2026-08-08</t>
        </is>
      </c>
      <c r="H940" s="19" t="inlineStr">
        <is>
          <t>2</t>
        </is>
      </c>
      <c r="I940" t="inlineStr">
        <is>
          <t>Phase I generated Rev.00 Word file — linked; signatures not completed</t>
        </is>
      </c>
      <c r="J940" t="inlineStr">
        <is>
          <t>2026-08-10T19:29:54Z</t>
        </is>
      </c>
      <c r="K940" t="inlineStr">
        <is>
          <t>2026-08-10T19:49:41Z</t>
        </is>
      </c>
    </row>
    <row r="941">
      <c r="A941" s="19" t="inlineStr">
        <is>
          <t>940</t>
        </is>
      </c>
      <c r="B941" s="19" t="inlineStr">
        <is>
          <t>IA-PPWR-STM-ST-096-STD-05-R00</t>
        </is>
      </c>
      <c r="C941" t="inlineStr">
        <is>
          <t>IA-PPWR-STM-ST-096-STD-05-R00</t>
        </is>
      </c>
      <c r="D941" s="19" t="inlineStr">
        <is>
          <t>12</t>
        </is>
      </c>
      <c r="E941" t="inlineStr">
        <is>
          <t>01_STARTER/ST-096-STD-05/04_Shipment_Statement.docx</t>
        </is>
      </c>
      <c r="F941" t="inlineStr">
        <is>
          <t>a2d424abeaec0812715338326360171ef72b7c1fe6541ba74b2195b1aacef2de</t>
        </is>
      </c>
      <c r="G941" t="inlineStr">
        <is>
          <t>2026-08-08</t>
        </is>
      </c>
      <c r="H941" s="19" t="inlineStr">
        <is>
          <t>2</t>
        </is>
      </c>
      <c r="I941" t="inlineStr">
        <is>
          <t>Phase I generated Rev.00 Word file — linked; signatures not completed</t>
        </is>
      </c>
      <c r="J941" t="inlineStr">
        <is>
          <t>2026-08-10T19:29:54Z</t>
        </is>
      </c>
      <c r="K941" t="inlineStr">
        <is>
          <t>2026-08-10T19:49:41Z</t>
        </is>
      </c>
    </row>
    <row r="942">
      <c r="A942" s="19" t="inlineStr">
        <is>
          <t>941</t>
        </is>
      </c>
      <c r="B942" s="19" t="inlineStr">
        <is>
          <t>IA-PPWR-TF-ST-105-STD-01-R00</t>
        </is>
      </c>
      <c r="C942" t="inlineStr">
        <is>
          <t>IA-PPWR-TF-ST-105-STD-01-R00</t>
        </is>
      </c>
      <c r="D942" s="19" t="inlineStr">
        <is>
          <t>1</t>
        </is>
      </c>
      <c r="E942" t="inlineStr">
        <is>
          <t>01_STARTER/ST-105-STD-01/01_Technical_File.docx</t>
        </is>
      </c>
      <c r="F942" t="inlineStr">
        <is>
          <t>ff5c5fa7080bde7ec8b42fe4e33a704967f37f8027a1ce7db81ecc95ef3a41be</t>
        </is>
      </c>
      <c r="G942" t="inlineStr">
        <is>
          <t>2026-08-08</t>
        </is>
      </c>
      <c r="H942" s="19" t="inlineStr">
        <is>
          <t>2</t>
        </is>
      </c>
      <c r="I942" t="inlineStr">
        <is>
          <t>Phase I generated Rev.00 Word file — linked; signatures not completed</t>
        </is>
      </c>
      <c r="J942" t="inlineStr">
        <is>
          <t>2026-08-10T19:29:54Z</t>
        </is>
      </c>
      <c r="K942" t="inlineStr">
        <is>
          <t>2026-08-10T19:49:41Z</t>
        </is>
      </c>
    </row>
    <row r="943">
      <c r="A943" s="19" t="inlineStr">
        <is>
          <t>942</t>
        </is>
      </c>
      <c r="B943" s="19" t="inlineStr">
        <is>
          <t>IA-PPWR-DOC-ST-105-STD-01-R00</t>
        </is>
      </c>
      <c r="C943" t="inlineStr">
        <is>
          <t>IA-PPWR-DOC-ST-105-STD-01-R00</t>
        </is>
      </c>
      <c r="D943" s="19" t="inlineStr">
        <is>
          <t>4</t>
        </is>
      </c>
      <c r="E943" t="inlineStr">
        <is>
          <t>01_STARTER/ST-105-STD-01/02_EU_DoC.docx</t>
        </is>
      </c>
      <c r="F943" t="inlineStr">
        <is>
          <t>41c47e48ed70a979365c58983ee4e73862810fbcb210c94a66d61e63a14743d6</t>
        </is>
      </c>
      <c r="G943" t="inlineStr">
        <is>
          <t>2026-08-08</t>
        </is>
      </c>
      <c r="H943" s="19" t="inlineStr">
        <is>
          <t>2</t>
        </is>
      </c>
      <c r="I943" t="inlineStr">
        <is>
          <t>Phase I generated Rev.00 Word file — linked; signatures not completed</t>
        </is>
      </c>
      <c r="J943" t="inlineStr">
        <is>
          <t>2026-08-10T19:29:54Z</t>
        </is>
      </c>
      <c r="K943" t="inlineStr">
        <is>
          <t>2026-08-10T19:49:41Z</t>
        </is>
      </c>
    </row>
    <row r="944">
      <c r="A944" s="19" t="inlineStr">
        <is>
          <t>943</t>
        </is>
      </c>
      <c r="B944" s="19" t="inlineStr">
        <is>
          <t>IA-PPWR-LBL-ST-105-STD-01-R00</t>
        </is>
      </c>
      <c r="C944" t="inlineStr">
        <is>
          <t>IA-PPWR-LBL-ST-105-STD-01-R00</t>
        </is>
      </c>
      <c r="D944" s="19" t="inlineStr">
        <is>
          <t>11</t>
        </is>
      </c>
      <c r="E944" t="inlineStr">
        <is>
          <t>01_STARTER/ST-105-STD-01/03_Label.docx</t>
        </is>
      </c>
      <c r="F944" t="inlineStr">
        <is>
          <t>312924b1ae5692435edd2ac16c94efd3ddd674717b1176754c06a1620e840ef7</t>
        </is>
      </c>
      <c r="G944" t="inlineStr">
        <is>
          <t>2026-08-08</t>
        </is>
      </c>
      <c r="H944" s="19" t="inlineStr">
        <is>
          <t>2</t>
        </is>
      </c>
      <c r="I944" t="inlineStr">
        <is>
          <t>Phase I generated Rev.00 Word file — linked; signatures not completed</t>
        </is>
      </c>
      <c r="J944" t="inlineStr">
        <is>
          <t>2026-08-10T19:29:54Z</t>
        </is>
      </c>
      <c r="K944" t="inlineStr">
        <is>
          <t>2026-08-10T19:49:41Z</t>
        </is>
      </c>
    </row>
    <row r="945">
      <c r="A945" s="19" t="inlineStr">
        <is>
          <t>944</t>
        </is>
      </c>
      <c r="B945" s="19" t="inlineStr">
        <is>
          <t>IA-PPWR-STM-ST-105-STD-01-R00</t>
        </is>
      </c>
      <c r="C945" t="inlineStr">
        <is>
          <t>IA-PPWR-STM-ST-105-STD-01-R00</t>
        </is>
      </c>
      <c r="D945" s="19" t="inlineStr">
        <is>
          <t>12</t>
        </is>
      </c>
      <c r="E945" t="inlineStr">
        <is>
          <t>01_STARTER/ST-105-STD-01/04_Shipment_Statement.docx</t>
        </is>
      </c>
      <c r="F945" t="inlineStr">
        <is>
          <t>d8630ab325d2de655b2560635a7e43784d668d79060684d20113623f956563df</t>
        </is>
      </c>
      <c r="G945" t="inlineStr">
        <is>
          <t>2026-08-08</t>
        </is>
      </c>
      <c r="H945" s="19" t="inlineStr">
        <is>
          <t>2</t>
        </is>
      </c>
      <c r="I945" t="inlineStr">
        <is>
          <t>Phase I generated Rev.00 Word file — linked; signatures not completed</t>
        </is>
      </c>
      <c r="J945" t="inlineStr">
        <is>
          <t>2026-08-10T19:29:54Z</t>
        </is>
      </c>
      <c r="K945" t="inlineStr">
        <is>
          <t>2026-08-10T19:49:41Z</t>
        </is>
      </c>
    </row>
    <row r="946">
      <c r="A946" s="19" t="inlineStr">
        <is>
          <t>945</t>
        </is>
      </c>
      <c r="B946" s="19" t="inlineStr">
        <is>
          <t>IA-PPWR-TF-ST-105-STD-02-R00</t>
        </is>
      </c>
      <c r="C946" t="inlineStr">
        <is>
          <t>IA-PPWR-TF-ST-105-STD-02-R00</t>
        </is>
      </c>
      <c r="D946" s="19" t="inlineStr">
        <is>
          <t>1</t>
        </is>
      </c>
      <c r="E946" t="inlineStr">
        <is>
          <t>01_STARTER/ST-105-STD-02/01_Technical_File.docx</t>
        </is>
      </c>
      <c r="F946" t="inlineStr">
        <is>
          <t>bc97108518af0209be6d5557baf29a6e3f57ee70eb9450b26a1fca2084b534d5</t>
        </is>
      </c>
      <c r="G946" t="inlineStr">
        <is>
          <t>2026-08-08</t>
        </is>
      </c>
      <c r="H946" s="19" t="inlineStr">
        <is>
          <t>2</t>
        </is>
      </c>
      <c r="I946" t="inlineStr">
        <is>
          <t>Phase I generated Rev.00 Word file — linked; signatures not completed</t>
        </is>
      </c>
      <c r="J946" t="inlineStr">
        <is>
          <t>2026-08-10T19:29:54Z</t>
        </is>
      </c>
      <c r="K946" t="inlineStr">
        <is>
          <t>2026-08-10T19:49:41Z</t>
        </is>
      </c>
    </row>
    <row r="947">
      <c r="A947" s="19" t="inlineStr">
        <is>
          <t>946</t>
        </is>
      </c>
      <c r="B947" s="19" t="inlineStr">
        <is>
          <t>IA-PPWR-DOC-ST-105-STD-02-R00</t>
        </is>
      </c>
      <c r="C947" t="inlineStr">
        <is>
          <t>IA-PPWR-DOC-ST-105-STD-02-R00</t>
        </is>
      </c>
      <c r="D947" s="19" t="inlineStr">
        <is>
          <t>4</t>
        </is>
      </c>
      <c r="E947" t="inlineStr">
        <is>
          <t>01_STARTER/ST-105-STD-02/02_EU_DoC.docx</t>
        </is>
      </c>
      <c r="F947" t="inlineStr">
        <is>
          <t>98bba04e73dc2c206205d8c157faa5268778bd060fd5d556fcf373c312c9494f</t>
        </is>
      </c>
      <c r="G947" t="inlineStr">
        <is>
          <t>2026-08-08</t>
        </is>
      </c>
      <c r="H947" s="19" t="inlineStr">
        <is>
          <t>2</t>
        </is>
      </c>
      <c r="I947" t="inlineStr">
        <is>
          <t>Phase I generated Rev.00 Word file — linked; signatures not completed</t>
        </is>
      </c>
      <c r="J947" t="inlineStr">
        <is>
          <t>2026-08-10T19:29:54Z</t>
        </is>
      </c>
      <c r="K947" t="inlineStr">
        <is>
          <t>2026-08-10T19:49:41Z</t>
        </is>
      </c>
    </row>
    <row r="948">
      <c r="A948" s="19" t="inlineStr">
        <is>
          <t>947</t>
        </is>
      </c>
      <c r="B948" s="19" t="inlineStr">
        <is>
          <t>IA-PPWR-LBL-ST-105-STD-02-R00</t>
        </is>
      </c>
      <c r="C948" t="inlineStr">
        <is>
          <t>IA-PPWR-LBL-ST-105-STD-02-R00</t>
        </is>
      </c>
      <c r="D948" s="19" t="inlineStr">
        <is>
          <t>11</t>
        </is>
      </c>
      <c r="E948" t="inlineStr">
        <is>
          <t>01_STARTER/ST-105-STD-02/03_Label.docx</t>
        </is>
      </c>
      <c r="F948" t="inlineStr">
        <is>
          <t>2e11b800be651caf2adafa4788371267fcca345195bad0f5b82e51b637e9716d</t>
        </is>
      </c>
      <c r="G948" t="inlineStr">
        <is>
          <t>2026-08-08</t>
        </is>
      </c>
      <c r="H948" s="19" t="inlineStr">
        <is>
          <t>2</t>
        </is>
      </c>
      <c r="I948" t="inlineStr">
        <is>
          <t>Phase I generated Rev.00 Word file — linked; signatures not completed</t>
        </is>
      </c>
      <c r="J948" t="inlineStr">
        <is>
          <t>2026-08-10T19:29:54Z</t>
        </is>
      </c>
      <c r="K948" t="inlineStr">
        <is>
          <t>2026-08-10T19:49:41Z</t>
        </is>
      </c>
    </row>
    <row r="949">
      <c r="A949" s="19" t="inlineStr">
        <is>
          <t>948</t>
        </is>
      </c>
      <c r="B949" s="19" t="inlineStr">
        <is>
          <t>IA-PPWR-STM-ST-105-STD-02-R00</t>
        </is>
      </c>
      <c r="C949" t="inlineStr">
        <is>
          <t>IA-PPWR-STM-ST-105-STD-02-R00</t>
        </is>
      </c>
      <c r="D949" s="19" t="inlineStr">
        <is>
          <t>12</t>
        </is>
      </c>
      <c r="E949" t="inlineStr">
        <is>
          <t>01_STARTER/ST-105-STD-02/04_Shipment_Statement.docx</t>
        </is>
      </c>
      <c r="F949" t="inlineStr">
        <is>
          <t>25644c2b64d52ba03ca44506d18e6a4cc2d8771478ac1a3454bbaf9bce672b0c</t>
        </is>
      </c>
      <c r="G949" t="inlineStr">
        <is>
          <t>2026-08-08</t>
        </is>
      </c>
      <c r="H949" s="19" t="inlineStr">
        <is>
          <t>2</t>
        </is>
      </c>
      <c r="I949" t="inlineStr">
        <is>
          <t>Phase I generated Rev.00 Word file — linked; signatures not completed</t>
        </is>
      </c>
      <c r="J949" t="inlineStr">
        <is>
          <t>2026-08-10T19:29:54Z</t>
        </is>
      </c>
      <c r="K949" t="inlineStr">
        <is>
          <t>2026-08-10T19:49:41Z</t>
        </is>
      </c>
    </row>
    <row r="950">
      <c r="A950" s="19" t="inlineStr">
        <is>
          <t>949</t>
        </is>
      </c>
      <c r="B950" s="19" t="inlineStr">
        <is>
          <t>IA-PPWR-TF-ST-120-STD-01-R00</t>
        </is>
      </c>
      <c r="C950" t="inlineStr">
        <is>
          <t>IA-PPWR-TF-ST-120-STD-01-R00</t>
        </is>
      </c>
      <c r="D950" s="19" t="inlineStr">
        <is>
          <t>1</t>
        </is>
      </c>
      <c r="E950" t="inlineStr">
        <is>
          <t>01_STARTER/ST-120-STD-01/01_Technical_File.docx</t>
        </is>
      </c>
      <c r="F950" t="inlineStr">
        <is>
          <t>b672e435af2ec5531bdd8c8ecb75a7c80c0d8ecedb53bedf18281f0e143d03d9</t>
        </is>
      </c>
      <c r="G950" t="inlineStr">
        <is>
          <t>2026-08-08</t>
        </is>
      </c>
      <c r="H950" s="19" t="inlineStr">
        <is>
          <t>2</t>
        </is>
      </c>
      <c r="I950" t="inlineStr">
        <is>
          <t>Phase I generated Rev.00 Word file — linked; signatures not completed</t>
        </is>
      </c>
      <c r="J950" t="inlineStr">
        <is>
          <t>2026-08-10T19:29:54Z</t>
        </is>
      </c>
      <c r="K950" t="inlineStr">
        <is>
          <t>2026-08-10T19:49:41Z</t>
        </is>
      </c>
    </row>
    <row r="951">
      <c r="A951" s="19" t="inlineStr">
        <is>
          <t>950</t>
        </is>
      </c>
      <c r="B951" s="19" t="inlineStr">
        <is>
          <t>IA-PPWR-DOC-ST-120-STD-01-R00</t>
        </is>
      </c>
      <c r="C951" t="inlineStr">
        <is>
          <t>IA-PPWR-DOC-ST-120-STD-01-R00</t>
        </is>
      </c>
      <c r="D951" s="19" t="inlineStr">
        <is>
          <t>4</t>
        </is>
      </c>
      <c r="E951" t="inlineStr">
        <is>
          <t>01_STARTER/ST-120-STD-01/02_EU_DoC.docx</t>
        </is>
      </c>
      <c r="F951" t="inlineStr">
        <is>
          <t>1bf8c8c2eac1ad9b336efbde085384aa219c609c1705382b4693361c93d44cd9</t>
        </is>
      </c>
      <c r="G951" t="inlineStr">
        <is>
          <t>2026-08-08</t>
        </is>
      </c>
      <c r="H951" s="19" t="inlineStr">
        <is>
          <t>2</t>
        </is>
      </c>
      <c r="I951" t="inlineStr">
        <is>
          <t>Phase I generated Rev.00 Word file — linked; signatures not completed</t>
        </is>
      </c>
      <c r="J951" t="inlineStr">
        <is>
          <t>2026-08-10T19:29:54Z</t>
        </is>
      </c>
      <c r="K951" t="inlineStr">
        <is>
          <t>2026-08-10T19:49:41Z</t>
        </is>
      </c>
    </row>
    <row r="952">
      <c r="A952" s="19" t="inlineStr">
        <is>
          <t>951</t>
        </is>
      </c>
      <c r="B952" s="19" t="inlineStr">
        <is>
          <t>IA-PPWR-LBL-ST-120-STD-01-R00</t>
        </is>
      </c>
      <c r="C952" t="inlineStr">
        <is>
          <t>IA-PPWR-LBL-ST-120-STD-01-R00</t>
        </is>
      </c>
      <c r="D952" s="19" t="inlineStr">
        <is>
          <t>11</t>
        </is>
      </c>
      <c r="E952" t="inlineStr">
        <is>
          <t>01_STARTER/ST-120-STD-01/03_Label.docx</t>
        </is>
      </c>
      <c r="F952" t="inlineStr">
        <is>
          <t>ed969821e05a425ef220b6f110a72d463a3b684355d61361b52c003e0d1146ee</t>
        </is>
      </c>
      <c r="G952" t="inlineStr">
        <is>
          <t>2026-08-08</t>
        </is>
      </c>
      <c r="H952" s="19" t="inlineStr">
        <is>
          <t>2</t>
        </is>
      </c>
      <c r="I952" t="inlineStr">
        <is>
          <t>Phase I generated Rev.00 Word file — linked; signatures not completed</t>
        </is>
      </c>
      <c r="J952" t="inlineStr">
        <is>
          <t>2026-08-10T19:29:54Z</t>
        </is>
      </c>
      <c r="K952" t="inlineStr">
        <is>
          <t>2026-08-10T19:49:41Z</t>
        </is>
      </c>
    </row>
    <row r="953">
      <c r="A953" s="19" t="inlineStr">
        <is>
          <t>952</t>
        </is>
      </c>
      <c r="B953" s="19" t="inlineStr">
        <is>
          <t>IA-PPWR-STM-ST-120-STD-01-R00</t>
        </is>
      </c>
      <c r="C953" t="inlineStr">
        <is>
          <t>IA-PPWR-STM-ST-120-STD-01-R00</t>
        </is>
      </c>
      <c r="D953" s="19" t="inlineStr">
        <is>
          <t>12</t>
        </is>
      </c>
      <c r="E953" t="inlineStr">
        <is>
          <t>01_STARTER/ST-120-STD-01/04_Shipment_Statement.docx</t>
        </is>
      </c>
      <c r="F953" t="inlineStr">
        <is>
          <t>921d9e19c8d1cde235331264d5e8de9f490aced6abcf2b8418916bc3234351c0</t>
        </is>
      </c>
      <c r="G953" t="inlineStr">
        <is>
          <t>2026-08-08</t>
        </is>
      </c>
      <c r="H953" s="19" t="inlineStr">
        <is>
          <t>2</t>
        </is>
      </c>
      <c r="I953" t="inlineStr">
        <is>
          <t>Phase I generated Rev.00 Word file — linked; signatures not completed</t>
        </is>
      </c>
      <c r="J953" t="inlineStr">
        <is>
          <t>2026-08-10T19:29:54Z</t>
        </is>
      </c>
      <c r="K953" t="inlineStr">
        <is>
          <t>2026-08-10T19:49:41Z</t>
        </is>
      </c>
    </row>
    <row r="954">
      <c r="A954" s="19" t="inlineStr">
        <is>
          <t>953</t>
        </is>
      </c>
      <c r="B954" s="19" t="inlineStr">
        <is>
          <t>IA-PPWR-TF-ST-120-STD-02-R00</t>
        </is>
      </c>
      <c r="C954" t="inlineStr">
        <is>
          <t>IA-PPWR-TF-ST-120-STD-02-R00</t>
        </is>
      </c>
      <c r="D954" s="19" t="inlineStr">
        <is>
          <t>1</t>
        </is>
      </c>
      <c r="E954" t="inlineStr">
        <is>
          <t>01_STARTER/ST-120-STD-02/01_Technical_File.docx</t>
        </is>
      </c>
      <c r="F954" t="inlineStr">
        <is>
          <t>de69d02b262ca8c27c679d713f34a512e5b98f21ad7f3d771739603e9a0b3297</t>
        </is>
      </c>
      <c r="G954" t="inlineStr">
        <is>
          <t>2026-08-08</t>
        </is>
      </c>
      <c r="H954" s="19" t="inlineStr">
        <is>
          <t>2</t>
        </is>
      </c>
      <c r="I954" t="inlineStr">
        <is>
          <t>Phase I generated Rev.00 Word file — linked; signatures not completed</t>
        </is>
      </c>
      <c r="J954" t="inlineStr">
        <is>
          <t>2026-08-10T19:29:54Z</t>
        </is>
      </c>
      <c r="K954" t="inlineStr">
        <is>
          <t>2026-08-10T19:49:41Z</t>
        </is>
      </c>
    </row>
    <row r="955">
      <c r="A955" s="19" t="inlineStr">
        <is>
          <t>954</t>
        </is>
      </c>
      <c r="B955" s="19" t="inlineStr">
        <is>
          <t>IA-PPWR-DOC-ST-120-STD-02-R00</t>
        </is>
      </c>
      <c r="C955" t="inlineStr">
        <is>
          <t>IA-PPWR-DOC-ST-120-STD-02-R00</t>
        </is>
      </c>
      <c r="D955" s="19" t="inlineStr">
        <is>
          <t>4</t>
        </is>
      </c>
      <c r="E955" t="inlineStr">
        <is>
          <t>01_STARTER/ST-120-STD-02/02_EU_DoC.docx</t>
        </is>
      </c>
      <c r="F955" t="inlineStr">
        <is>
          <t>3cf7955fd50fa8ca1c24b79ce608b01710cbb54e0b1e735cdaaaf644d536b59c</t>
        </is>
      </c>
      <c r="G955" t="inlineStr">
        <is>
          <t>2026-08-08</t>
        </is>
      </c>
      <c r="H955" s="19" t="inlineStr">
        <is>
          <t>2</t>
        </is>
      </c>
      <c r="I955" t="inlineStr">
        <is>
          <t>Phase I generated Rev.00 Word file — linked; signatures not completed</t>
        </is>
      </c>
      <c r="J955" t="inlineStr">
        <is>
          <t>2026-08-10T19:29:54Z</t>
        </is>
      </c>
      <c r="K955" t="inlineStr">
        <is>
          <t>2026-08-10T19:49:41Z</t>
        </is>
      </c>
    </row>
    <row r="956">
      <c r="A956" s="19" t="inlineStr">
        <is>
          <t>955</t>
        </is>
      </c>
      <c r="B956" s="19" t="inlineStr">
        <is>
          <t>IA-PPWR-LBL-ST-120-STD-02-R00</t>
        </is>
      </c>
      <c r="C956" t="inlineStr">
        <is>
          <t>IA-PPWR-LBL-ST-120-STD-02-R00</t>
        </is>
      </c>
      <c r="D956" s="19" t="inlineStr">
        <is>
          <t>11</t>
        </is>
      </c>
      <c r="E956" t="inlineStr">
        <is>
          <t>01_STARTER/ST-120-STD-02/03_Label.docx</t>
        </is>
      </c>
      <c r="F956" t="inlineStr">
        <is>
          <t>cd44ef06e88b2904b02b8f621eb7ebb8ff32a104876e851aa8c2565793b80250</t>
        </is>
      </c>
      <c r="G956" t="inlineStr">
        <is>
          <t>2026-08-08</t>
        </is>
      </c>
      <c r="H956" s="19" t="inlineStr">
        <is>
          <t>2</t>
        </is>
      </c>
      <c r="I956" t="inlineStr">
        <is>
          <t>Phase I generated Rev.00 Word file — linked; signatures not completed</t>
        </is>
      </c>
      <c r="J956" t="inlineStr">
        <is>
          <t>2026-08-10T19:29:54Z</t>
        </is>
      </c>
      <c r="K956" t="inlineStr">
        <is>
          <t>2026-08-10T19:49:41Z</t>
        </is>
      </c>
    </row>
    <row r="957">
      <c r="A957" s="19" t="inlineStr">
        <is>
          <t>956</t>
        </is>
      </c>
      <c r="B957" s="19" t="inlineStr">
        <is>
          <t>IA-PPWR-STM-ST-120-STD-02-R00</t>
        </is>
      </c>
      <c r="C957" t="inlineStr">
        <is>
          <t>IA-PPWR-STM-ST-120-STD-02-R00</t>
        </is>
      </c>
      <c r="D957" s="19" t="inlineStr">
        <is>
          <t>12</t>
        </is>
      </c>
      <c r="E957" t="inlineStr">
        <is>
          <t>01_STARTER/ST-120-STD-02/04_Shipment_Statement.docx</t>
        </is>
      </c>
      <c r="F957" t="inlineStr">
        <is>
          <t>933b1710342a3464edf34b2287c9fca70b8e268ab2bb6fff55ff4bddb00b9e1c</t>
        </is>
      </c>
      <c r="G957" t="inlineStr">
        <is>
          <t>2026-08-08</t>
        </is>
      </c>
      <c r="H957" s="19" t="inlineStr">
        <is>
          <t>2</t>
        </is>
      </c>
      <c r="I957" t="inlineStr">
        <is>
          <t>Phase I generated Rev.00 Word file — linked; signatures not completed</t>
        </is>
      </c>
      <c r="J957" t="inlineStr">
        <is>
          <t>2026-08-10T19:29:54Z</t>
        </is>
      </c>
      <c r="K957" t="inlineStr">
        <is>
          <t>2026-08-10T19:49:41Z</t>
        </is>
      </c>
    </row>
    <row r="958">
      <c r="A958" s="19" t="inlineStr">
        <is>
          <t>957</t>
        </is>
      </c>
      <c r="B958" s="19" t="inlineStr">
        <is>
          <t>IA-PPWR-TF-ST-120-STD-03-R00</t>
        </is>
      </c>
      <c r="C958" t="inlineStr">
        <is>
          <t>IA-PPWR-TF-ST-120-STD-03-R00</t>
        </is>
      </c>
      <c r="D958" s="19" t="inlineStr">
        <is>
          <t>1</t>
        </is>
      </c>
      <c r="E958" t="inlineStr">
        <is>
          <t>01_STARTER/ST-120-STD-03/01_Technical_File.docx</t>
        </is>
      </c>
      <c r="F958" t="inlineStr">
        <is>
          <t>9d6579dee9d8eb0d3bfe350b1fa806dbe8efa5e54065c2e096973481b49dd848</t>
        </is>
      </c>
      <c r="G958" t="inlineStr">
        <is>
          <t>2026-08-08</t>
        </is>
      </c>
      <c r="H958" s="19" t="inlineStr">
        <is>
          <t>2</t>
        </is>
      </c>
      <c r="I958" t="inlineStr">
        <is>
          <t>Phase I generated Rev.00 Word file — linked; signatures not completed</t>
        </is>
      </c>
      <c r="J958" t="inlineStr">
        <is>
          <t>2026-08-10T19:29:54Z</t>
        </is>
      </c>
      <c r="K958" t="inlineStr">
        <is>
          <t>2026-08-10T19:49:41Z</t>
        </is>
      </c>
    </row>
    <row r="959">
      <c r="A959" s="19" t="inlineStr">
        <is>
          <t>958</t>
        </is>
      </c>
      <c r="B959" s="19" t="inlineStr">
        <is>
          <t>IA-PPWR-DOC-ST-120-STD-03-R00</t>
        </is>
      </c>
      <c r="C959" t="inlineStr">
        <is>
          <t>IA-PPWR-DOC-ST-120-STD-03-R00</t>
        </is>
      </c>
      <c r="D959" s="19" t="inlineStr">
        <is>
          <t>4</t>
        </is>
      </c>
      <c r="E959" t="inlineStr">
        <is>
          <t>01_STARTER/ST-120-STD-03/02_EU_DoC.docx</t>
        </is>
      </c>
      <c r="F959" t="inlineStr">
        <is>
          <t>23e281115d63f410bf96fb772d44556796a18b7ca99a0d150c89648ce8addcdd</t>
        </is>
      </c>
      <c r="G959" t="inlineStr">
        <is>
          <t>2026-08-08</t>
        </is>
      </c>
      <c r="H959" s="19" t="inlineStr">
        <is>
          <t>2</t>
        </is>
      </c>
      <c r="I959" t="inlineStr">
        <is>
          <t>Phase I generated Rev.00 Word file — linked; signatures not completed</t>
        </is>
      </c>
      <c r="J959" t="inlineStr">
        <is>
          <t>2026-08-10T19:29:54Z</t>
        </is>
      </c>
      <c r="K959" t="inlineStr">
        <is>
          <t>2026-08-10T19:49:41Z</t>
        </is>
      </c>
    </row>
    <row r="960">
      <c r="A960" s="19" t="inlineStr">
        <is>
          <t>959</t>
        </is>
      </c>
      <c r="B960" s="19" t="inlineStr">
        <is>
          <t>IA-PPWR-LBL-ST-120-STD-03-R00</t>
        </is>
      </c>
      <c r="C960" t="inlineStr">
        <is>
          <t>IA-PPWR-LBL-ST-120-STD-03-R00</t>
        </is>
      </c>
      <c r="D960" s="19" t="inlineStr">
        <is>
          <t>11</t>
        </is>
      </c>
      <c r="E960" t="inlineStr">
        <is>
          <t>01_STARTER/ST-120-STD-03/03_Label.docx</t>
        </is>
      </c>
      <c r="F960" t="inlineStr">
        <is>
          <t>fed2ff6c67292d39f56309b49a586bedf90cb8486cb564a14113952bc1ea29f9</t>
        </is>
      </c>
      <c r="G960" t="inlineStr">
        <is>
          <t>2026-08-08</t>
        </is>
      </c>
      <c r="H960" s="19" t="inlineStr">
        <is>
          <t>2</t>
        </is>
      </c>
      <c r="I960" t="inlineStr">
        <is>
          <t>Phase I generated Rev.00 Word file — linked; signatures not completed</t>
        </is>
      </c>
      <c r="J960" t="inlineStr">
        <is>
          <t>2026-08-10T19:29:54Z</t>
        </is>
      </c>
      <c r="K960" t="inlineStr">
        <is>
          <t>2026-08-10T19:49:41Z</t>
        </is>
      </c>
    </row>
    <row r="961">
      <c r="A961" s="19" t="inlineStr">
        <is>
          <t>960</t>
        </is>
      </c>
      <c r="B961" s="19" t="inlineStr">
        <is>
          <t>IA-PPWR-STM-ST-120-STD-03-R00</t>
        </is>
      </c>
      <c r="C961" t="inlineStr">
        <is>
          <t>IA-PPWR-STM-ST-120-STD-03-R00</t>
        </is>
      </c>
      <c r="D961" s="19" t="inlineStr">
        <is>
          <t>12</t>
        </is>
      </c>
      <c r="E961" t="inlineStr">
        <is>
          <t>01_STARTER/ST-120-STD-03/04_Shipment_Statement.docx</t>
        </is>
      </c>
      <c r="F961" t="inlineStr">
        <is>
          <t>722c5570aa29d90977622b1bb08c955455689a8cdb703df7a074e22a3cb0e8d5</t>
        </is>
      </c>
      <c r="G961" t="inlineStr">
        <is>
          <t>2026-08-08</t>
        </is>
      </c>
      <c r="H961" s="19" t="inlineStr">
        <is>
          <t>2</t>
        </is>
      </c>
      <c r="I961" t="inlineStr">
        <is>
          <t>Phase I generated Rev.00 Word file — linked; signatures not completed</t>
        </is>
      </c>
      <c r="J961" t="inlineStr">
        <is>
          <t>2026-08-10T19:29:54Z</t>
        </is>
      </c>
      <c r="K961" t="inlineStr">
        <is>
          <t>2026-08-10T19:49:41Z</t>
        </is>
      </c>
    </row>
    <row r="962">
      <c r="A962" s="19" t="inlineStr">
        <is>
          <t>961</t>
        </is>
      </c>
      <c r="B962" s="19" t="inlineStr">
        <is>
          <t>IA-PPWR-TF-IND-24V-01-R00</t>
        </is>
      </c>
      <c r="C962" t="inlineStr">
        <is>
          <t>IA-PPWR-TF-IND-24V-01-R00</t>
        </is>
      </c>
      <c r="D962" s="19" t="inlineStr">
        <is>
          <t>1</t>
        </is>
      </c>
      <c r="E962" t="inlineStr">
        <is>
          <t>02_INDUSTRIAL/IND-24V-01/01_Technical_File.docx</t>
        </is>
      </c>
      <c r="F962" t="inlineStr">
        <is>
          <t>666ae1c3628b543b38e2f5f0ea05de7d6a18618b7ad4f72fefef94a1c417aabd</t>
        </is>
      </c>
      <c r="G962" t="inlineStr">
        <is>
          <t>2026-08-08</t>
        </is>
      </c>
      <c r="H962" s="19" t="inlineStr">
        <is>
          <t>2</t>
        </is>
      </c>
      <c r="I962" t="inlineStr">
        <is>
          <t>Phase I generated Rev.00 Word file — linked; signatures not completed</t>
        </is>
      </c>
      <c r="J962" t="inlineStr">
        <is>
          <t>2026-08-10T19:29:54Z</t>
        </is>
      </c>
      <c r="K962" t="inlineStr">
        <is>
          <t>2026-08-10T19:49:41Z</t>
        </is>
      </c>
    </row>
    <row r="963">
      <c r="A963" s="19" t="inlineStr">
        <is>
          <t>962</t>
        </is>
      </c>
      <c r="B963" s="19" t="inlineStr">
        <is>
          <t>IA-PPWR-DOC-IND-24V-01-R00</t>
        </is>
      </c>
      <c r="C963" t="inlineStr">
        <is>
          <t>IA-PPWR-DOC-IND-24V-01-R00</t>
        </is>
      </c>
      <c r="D963" s="19" t="inlineStr">
        <is>
          <t>4</t>
        </is>
      </c>
      <c r="E963" t="inlineStr">
        <is>
          <t>02_INDUSTRIAL/IND-24V-01/02_EU_DoC.docx</t>
        </is>
      </c>
      <c r="F963" t="inlineStr">
        <is>
          <t>8c34d3f5d2f3aaa52099c16009e740ccd4baf0cb522f438074ce81bced7f0fb1</t>
        </is>
      </c>
      <c r="G963" t="inlineStr">
        <is>
          <t>2026-08-08</t>
        </is>
      </c>
      <c r="H963" s="19" t="inlineStr">
        <is>
          <t>2</t>
        </is>
      </c>
      <c r="I963" t="inlineStr">
        <is>
          <t>Phase I generated Rev.00 Word file — linked; signatures not completed</t>
        </is>
      </c>
      <c r="J963" t="inlineStr">
        <is>
          <t>2026-08-10T19:29:54Z</t>
        </is>
      </c>
      <c r="K963" t="inlineStr">
        <is>
          <t>2026-08-10T19:49:41Z</t>
        </is>
      </c>
    </row>
    <row r="964">
      <c r="A964" s="19" t="inlineStr">
        <is>
          <t>963</t>
        </is>
      </c>
      <c r="B964" s="19" t="inlineStr">
        <is>
          <t>IA-PPWR-LBL-IND-24V-01-R00</t>
        </is>
      </c>
      <c r="C964" t="inlineStr">
        <is>
          <t>IA-PPWR-LBL-IND-24V-01-R00</t>
        </is>
      </c>
      <c r="D964" s="19" t="inlineStr">
        <is>
          <t>11</t>
        </is>
      </c>
      <c r="E964" t="inlineStr">
        <is>
          <t>02_INDUSTRIAL/IND-24V-01/03_Label.docx</t>
        </is>
      </c>
      <c r="F964" t="inlineStr">
        <is>
          <t>c2461540e62f83faac3ca25f88a3372e158089e8756cb55b280d12da5f9dd2ae</t>
        </is>
      </c>
      <c r="G964" t="inlineStr">
        <is>
          <t>2026-08-08</t>
        </is>
      </c>
      <c r="H964" s="19" t="inlineStr">
        <is>
          <t>2</t>
        </is>
      </c>
      <c r="I964" t="inlineStr">
        <is>
          <t>Phase I generated Rev.00 Word file — linked; signatures not completed</t>
        </is>
      </c>
      <c r="J964" t="inlineStr">
        <is>
          <t>2026-08-10T19:29:54Z</t>
        </is>
      </c>
      <c r="K964" t="inlineStr">
        <is>
          <t>2026-08-10T19:49:41Z</t>
        </is>
      </c>
    </row>
    <row r="965">
      <c r="A965" s="19" t="inlineStr">
        <is>
          <t>964</t>
        </is>
      </c>
      <c r="B965" s="19" t="inlineStr">
        <is>
          <t>IA-PPWR-STM-IND-24V-01-R00</t>
        </is>
      </c>
      <c r="C965" t="inlineStr">
        <is>
          <t>IA-PPWR-STM-IND-24V-01-R00</t>
        </is>
      </c>
      <c r="D965" s="19" t="inlineStr">
        <is>
          <t>12</t>
        </is>
      </c>
      <c r="E965" t="inlineStr">
        <is>
          <t>02_INDUSTRIAL/IND-24V-01/04_Shipment_Statement.docx</t>
        </is>
      </c>
      <c r="F965" t="inlineStr">
        <is>
          <t>95131c0696509b2f71a4caa026b9d9ef1fd353f637b5914fe0785b23c8ac3fb7</t>
        </is>
      </c>
      <c r="G965" t="inlineStr">
        <is>
          <t>2026-08-08</t>
        </is>
      </c>
      <c r="H965" s="19" t="inlineStr">
        <is>
          <t>2</t>
        </is>
      </c>
      <c r="I965" t="inlineStr">
        <is>
          <t>Phase I generated Rev.00 Word file — linked; signatures not completed</t>
        </is>
      </c>
      <c r="J965" t="inlineStr">
        <is>
          <t>2026-08-10T19:29:54Z</t>
        </is>
      </c>
      <c r="K965" t="inlineStr">
        <is>
          <t>2026-08-10T19:49:41Z</t>
        </is>
      </c>
    </row>
    <row r="966">
      <c r="A966" s="19" t="inlineStr">
        <is>
          <t>965</t>
        </is>
      </c>
      <c r="B966" s="19" t="inlineStr">
        <is>
          <t>IA-PPWR-TF-IND-48V-01-R00</t>
        </is>
      </c>
      <c r="C966" t="inlineStr">
        <is>
          <t>IA-PPWR-TF-IND-48V-01-R00</t>
        </is>
      </c>
      <c r="D966" s="19" t="inlineStr">
        <is>
          <t>1</t>
        </is>
      </c>
      <c r="E966" t="inlineStr">
        <is>
          <t>02_INDUSTRIAL/IND-48V-01/01_Technical_File.docx</t>
        </is>
      </c>
      <c r="F966" t="inlineStr">
        <is>
          <t>1b378f4dd477d9507d6a2e6301f9480000aa04776eaf6834660f97142d61ce9c</t>
        </is>
      </c>
      <c r="G966" t="inlineStr">
        <is>
          <t>2026-08-08</t>
        </is>
      </c>
      <c r="H966" s="19" t="inlineStr">
        <is>
          <t>2</t>
        </is>
      </c>
      <c r="I966" t="inlineStr">
        <is>
          <t>Phase I generated Rev.00 Word file — linked; signatures not completed</t>
        </is>
      </c>
      <c r="J966" t="inlineStr">
        <is>
          <t>2026-08-10T19:29:54Z</t>
        </is>
      </c>
      <c r="K966" t="inlineStr">
        <is>
          <t>2026-08-10T19:49:41Z</t>
        </is>
      </c>
    </row>
    <row r="967">
      <c r="A967" s="19" t="inlineStr">
        <is>
          <t>966</t>
        </is>
      </c>
      <c r="B967" s="19" t="inlineStr">
        <is>
          <t>IA-PPWR-DOC-IND-48V-01-R00</t>
        </is>
      </c>
      <c r="C967" t="inlineStr">
        <is>
          <t>IA-PPWR-DOC-IND-48V-01-R00</t>
        </is>
      </c>
      <c r="D967" s="19" t="inlineStr">
        <is>
          <t>4</t>
        </is>
      </c>
      <c r="E967" t="inlineStr">
        <is>
          <t>02_INDUSTRIAL/IND-48V-01/02_EU_DoC.docx</t>
        </is>
      </c>
      <c r="F967" t="inlineStr">
        <is>
          <t>390a40268bd85f168921e2f8e42d1aa62fb3f4721ed58e2ea4573a8622ab3df3</t>
        </is>
      </c>
      <c r="G967" t="inlineStr">
        <is>
          <t>2026-08-08</t>
        </is>
      </c>
      <c r="H967" s="19" t="inlineStr">
        <is>
          <t>2</t>
        </is>
      </c>
      <c r="I967" t="inlineStr">
        <is>
          <t>Phase I generated Rev.00 Word file — linked; signatures not completed</t>
        </is>
      </c>
      <c r="J967" t="inlineStr">
        <is>
          <t>2026-08-10T19:29:54Z</t>
        </is>
      </c>
      <c r="K967" t="inlineStr">
        <is>
          <t>2026-08-10T19:49:41Z</t>
        </is>
      </c>
    </row>
    <row r="968">
      <c r="A968" s="19" t="inlineStr">
        <is>
          <t>967</t>
        </is>
      </c>
      <c r="B968" s="19" t="inlineStr">
        <is>
          <t>IA-PPWR-LBL-IND-48V-01-R00</t>
        </is>
      </c>
      <c r="C968" t="inlineStr">
        <is>
          <t>IA-PPWR-LBL-IND-48V-01-R00</t>
        </is>
      </c>
      <c r="D968" s="19" t="inlineStr">
        <is>
          <t>11</t>
        </is>
      </c>
      <c r="E968" t="inlineStr">
        <is>
          <t>02_INDUSTRIAL/IND-48V-01/03_Label.docx</t>
        </is>
      </c>
      <c r="F968" t="inlineStr">
        <is>
          <t>37001ad225c56d50fe4da2deb08aa486c07af84304740f3c3d007f5cb20e852a</t>
        </is>
      </c>
      <c r="G968" t="inlineStr">
        <is>
          <t>2026-08-08</t>
        </is>
      </c>
      <c r="H968" s="19" t="inlineStr">
        <is>
          <t>2</t>
        </is>
      </c>
      <c r="I968" t="inlineStr">
        <is>
          <t>Phase I generated Rev.00 Word file — linked; signatures not completed</t>
        </is>
      </c>
      <c r="J968" t="inlineStr">
        <is>
          <t>2026-08-10T19:29:54Z</t>
        </is>
      </c>
      <c r="K968" t="inlineStr">
        <is>
          <t>2026-08-10T19:49:41Z</t>
        </is>
      </c>
    </row>
    <row r="969">
      <c r="A969" s="19" t="inlineStr">
        <is>
          <t>968</t>
        </is>
      </c>
      <c r="B969" s="19" t="inlineStr">
        <is>
          <t>IA-PPWR-STM-IND-48V-01-R00</t>
        </is>
      </c>
      <c r="C969" t="inlineStr">
        <is>
          <t>IA-PPWR-STM-IND-48V-01-R00</t>
        </is>
      </c>
      <c r="D969" s="19" t="inlineStr">
        <is>
          <t>12</t>
        </is>
      </c>
      <c r="E969" t="inlineStr">
        <is>
          <t>02_INDUSTRIAL/IND-48V-01/04_Shipment_Statement.docx</t>
        </is>
      </c>
      <c r="F969" t="inlineStr">
        <is>
          <t>0c74ededfd5b12178924afeb656ba86d0953870818b0a9c1fd86220c81d138ec</t>
        </is>
      </c>
      <c r="G969" t="inlineStr">
        <is>
          <t>2026-08-08</t>
        </is>
      </c>
      <c r="H969" s="19" t="inlineStr">
        <is>
          <t>2</t>
        </is>
      </c>
      <c r="I969" t="inlineStr">
        <is>
          <t>Phase I generated Rev.00 Word file — linked; signatures not completed</t>
        </is>
      </c>
      <c r="J969" t="inlineStr">
        <is>
          <t>2026-08-10T19:29:54Z</t>
        </is>
      </c>
      <c r="K969" t="inlineStr">
        <is>
          <t>2026-08-10T19:49:41Z</t>
        </is>
      </c>
    </row>
    <row r="970">
      <c r="A970" s="19" t="inlineStr">
        <is>
          <t>969</t>
        </is>
      </c>
      <c r="B970" s="19" t="inlineStr">
        <is>
          <t>IA-PPWR-TF-IND-80V-01-R00</t>
        </is>
      </c>
      <c r="C970" t="inlineStr">
        <is>
          <t>IA-PPWR-TF-IND-80V-01-R00</t>
        </is>
      </c>
      <c r="D970" s="19" t="inlineStr">
        <is>
          <t>1</t>
        </is>
      </c>
      <c r="E970" t="inlineStr">
        <is>
          <t>02_INDUSTRIAL/IND-80V-01/01_Technical_File.docx</t>
        </is>
      </c>
      <c r="F970" t="inlineStr">
        <is>
          <t>788bf7d20d189117ac377bcac9c1008e10f20d5e5166678fc37c1d2d31f55812</t>
        </is>
      </c>
      <c r="G970" t="inlineStr">
        <is>
          <t>2026-08-08</t>
        </is>
      </c>
      <c r="H970" s="19" t="inlineStr">
        <is>
          <t>2</t>
        </is>
      </c>
      <c r="I970" t="inlineStr">
        <is>
          <t>Phase I generated Rev.00 Word file — linked; signatures not completed</t>
        </is>
      </c>
      <c r="J970" t="inlineStr">
        <is>
          <t>2026-08-10T19:29:54Z</t>
        </is>
      </c>
      <c r="K970" t="inlineStr">
        <is>
          <t>2026-08-10T19:49:41Z</t>
        </is>
      </c>
    </row>
    <row r="971">
      <c r="A971" s="19" t="inlineStr">
        <is>
          <t>970</t>
        </is>
      </c>
      <c r="B971" s="19" t="inlineStr">
        <is>
          <t>IA-PPWR-DOC-IND-80V-01-R00</t>
        </is>
      </c>
      <c r="C971" t="inlineStr">
        <is>
          <t>IA-PPWR-DOC-IND-80V-01-R00</t>
        </is>
      </c>
      <c r="D971" s="19" t="inlineStr">
        <is>
          <t>4</t>
        </is>
      </c>
      <c r="E971" t="inlineStr">
        <is>
          <t>02_INDUSTRIAL/IND-80V-01/02_EU_DoC.docx</t>
        </is>
      </c>
      <c r="F971" t="inlineStr">
        <is>
          <t>128055a4b8473f395ff7acf149adb56ca1a9fe3819f0e280563eacbdb51d70f2</t>
        </is>
      </c>
      <c r="G971" t="inlineStr">
        <is>
          <t>2026-08-08</t>
        </is>
      </c>
      <c r="H971" s="19" t="inlineStr">
        <is>
          <t>2</t>
        </is>
      </c>
      <c r="I971" t="inlineStr">
        <is>
          <t>Phase I generated Rev.00 Word file — linked; signatures not completed</t>
        </is>
      </c>
      <c r="J971" t="inlineStr">
        <is>
          <t>2026-08-10T19:29:54Z</t>
        </is>
      </c>
      <c r="K971" t="inlineStr">
        <is>
          <t>2026-08-10T19:49:41Z</t>
        </is>
      </c>
    </row>
    <row r="972">
      <c r="A972" s="19" t="inlineStr">
        <is>
          <t>971</t>
        </is>
      </c>
      <c r="B972" s="19" t="inlineStr">
        <is>
          <t>IA-PPWR-LBL-IND-80V-01-R00</t>
        </is>
      </c>
      <c r="C972" t="inlineStr">
        <is>
          <t>IA-PPWR-LBL-IND-80V-01-R00</t>
        </is>
      </c>
      <c r="D972" s="19" t="inlineStr">
        <is>
          <t>11</t>
        </is>
      </c>
      <c r="E972" t="inlineStr">
        <is>
          <t>02_INDUSTRIAL/IND-80V-01/03_Label.docx</t>
        </is>
      </c>
      <c r="F972" t="inlineStr">
        <is>
          <t>22758ac8023a566466162a6e4953e87bbfc3225cebb5b9a97f7dc5dac41099ab</t>
        </is>
      </c>
      <c r="G972" t="inlineStr">
        <is>
          <t>2026-08-08</t>
        </is>
      </c>
      <c r="H972" s="19" t="inlineStr">
        <is>
          <t>2</t>
        </is>
      </c>
      <c r="I972" t="inlineStr">
        <is>
          <t>Phase I generated Rev.00 Word file — linked; signatures not completed</t>
        </is>
      </c>
      <c r="J972" t="inlineStr">
        <is>
          <t>2026-08-10T19:29:54Z</t>
        </is>
      </c>
      <c r="K972" t="inlineStr">
        <is>
          <t>2026-08-10T19:49:41Z</t>
        </is>
      </c>
    </row>
    <row r="973">
      <c r="A973" s="19" t="inlineStr">
        <is>
          <t>972</t>
        </is>
      </c>
      <c r="B973" s="19" t="inlineStr">
        <is>
          <t>IA-PPWR-STM-IND-80V-01-R00</t>
        </is>
      </c>
      <c r="C973" t="inlineStr">
        <is>
          <t>IA-PPWR-STM-IND-80V-01-R00</t>
        </is>
      </c>
      <c r="D973" s="19" t="inlineStr">
        <is>
          <t>12</t>
        </is>
      </c>
      <c r="E973" t="inlineStr">
        <is>
          <t>02_INDUSTRIAL/IND-80V-01/04_Shipment_Statement.docx</t>
        </is>
      </c>
      <c r="F973" t="inlineStr">
        <is>
          <t>23f7b9ddc125e1c32bf978079352502a376905a3f30b93d82e95d02895990c28</t>
        </is>
      </c>
      <c r="G973" t="inlineStr">
        <is>
          <t>2026-08-08</t>
        </is>
      </c>
      <c r="H973" s="19" t="inlineStr">
        <is>
          <t>2</t>
        </is>
      </c>
      <c r="I973" t="inlineStr">
        <is>
          <t>Phase I generated Rev.00 Word file — linked; signatures not completed</t>
        </is>
      </c>
      <c r="J973" t="inlineStr">
        <is>
          <t>2026-08-10T19:29:54Z</t>
        </is>
      </c>
      <c r="K973" t="inlineStr">
        <is>
          <t>2026-08-10T19:49:41Z</t>
        </is>
      </c>
    </row>
    <row r="974">
      <c r="A974" s="19" t="inlineStr">
        <is>
          <t>973</t>
        </is>
      </c>
      <c r="B974" s="19" t="inlineStr">
        <is>
          <t>IA-PPWR-TF-CNT-20-STD-01-R00</t>
        </is>
      </c>
      <c r="C974" t="inlineStr">
        <is>
          <t>IA-PPWR-TF-CNT-20-STD-01-R00</t>
        </is>
      </c>
      <c r="D974" s="19" t="inlineStr">
        <is>
          <t>1</t>
        </is>
      </c>
      <c r="E974" t="inlineStr">
        <is>
          <t>03_CONTAINER/CNT-20-STD-01/01_Technical_File.docx</t>
        </is>
      </c>
      <c r="F974" t="inlineStr">
        <is>
          <t>5026dd8a38986ad27e951e62dffdd0be30d0499f3caf30c65b1223960e40718a</t>
        </is>
      </c>
      <c r="G974" t="inlineStr">
        <is>
          <t>2026-08-08</t>
        </is>
      </c>
      <c r="H974" s="19" t="inlineStr">
        <is>
          <t>2</t>
        </is>
      </c>
      <c r="I974" t="inlineStr">
        <is>
          <t>Phase I generated Rev.00 Word file — linked; signatures not completed</t>
        </is>
      </c>
      <c r="J974" t="inlineStr">
        <is>
          <t>2026-08-10T19:29:54Z</t>
        </is>
      </c>
      <c r="K974" t="inlineStr">
        <is>
          <t>2026-08-10T19:49:41Z</t>
        </is>
      </c>
    </row>
    <row r="975">
      <c r="A975" s="19" t="inlineStr">
        <is>
          <t>974</t>
        </is>
      </c>
      <c r="B975" s="19" t="inlineStr">
        <is>
          <t>IA-PPWR-DOC-CNT-20-STD-01-R00</t>
        </is>
      </c>
      <c r="C975" t="inlineStr">
        <is>
          <t>IA-PPWR-DOC-CNT-20-STD-01-R00</t>
        </is>
      </c>
      <c r="D975" s="19" t="inlineStr">
        <is>
          <t>4</t>
        </is>
      </c>
      <c r="E975" t="inlineStr">
        <is>
          <t>03_CONTAINER/CNT-20-STD-01/02_EU_DoC.docx</t>
        </is>
      </c>
      <c r="F975" t="inlineStr">
        <is>
          <t>68e37439d35c26a7ed76a1b87633a9fa256b12c6396fcc0c4dc363cdd7ea2a73</t>
        </is>
      </c>
      <c r="G975" t="inlineStr">
        <is>
          <t>2026-08-08</t>
        </is>
      </c>
      <c r="H975" s="19" t="inlineStr">
        <is>
          <t>2</t>
        </is>
      </c>
      <c r="I975" t="inlineStr">
        <is>
          <t>Phase I generated Rev.00 Word file — linked; signatures not completed</t>
        </is>
      </c>
      <c r="J975" t="inlineStr">
        <is>
          <t>2026-08-10T19:29:54Z</t>
        </is>
      </c>
      <c r="K975" t="inlineStr">
        <is>
          <t>2026-08-10T19:49:41Z</t>
        </is>
      </c>
    </row>
    <row r="976">
      <c r="A976" s="19" t="inlineStr">
        <is>
          <t>975</t>
        </is>
      </c>
      <c r="B976" s="19" t="inlineStr">
        <is>
          <t>IA-PPWR-LBL-CNT-20-STD-01-R00</t>
        </is>
      </c>
      <c r="C976" t="inlineStr">
        <is>
          <t>IA-PPWR-LBL-CNT-20-STD-01-R00</t>
        </is>
      </c>
      <c r="D976" s="19" t="inlineStr">
        <is>
          <t>11</t>
        </is>
      </c>
      <c r="E976" t="inlineStr">
        <is>
          <t>03_CONTAINER/CNT-20-STD-01/03_Label.docx</t>
        </is>
      </c>
      <c r="F976" t="inlineStr">
        <is>
          <t>95b058063d5f4e0fd30bd1b8f125d8a6fdd35a10b0352b4474b5da4bca0d6ef6</t>
        </is>
      </c>
      <c r="G976" t="inlineStr">
        <is>
          <t>2026-08-08</t>
        </is>
      </c>
      <c r="H976" s="19" t="inlineStr">
        <is>
          <t>2</t>
        </is>
      </c>
      <c r="I976" t="inlineStr">
        <is>
          <t>Phase I generated Rev.00 Word file — linked; signatures not completed</t>
        </is>
      </c>
      <c r="J976" t="inlineStr">
        <is>
          <t>2026-08-10T19:29:54Z</t>
        </is>
      </c>
      <c r="K976" t="inlineStr">
        <is>
          <t>2026-08-10T19:49:41Z</t>
        </is>
      </c>
    </row>
    <row r="977">
      <c r="A977" s="19" t="inlineStr">
        <is>
          <t>976</t>
        </is>
      </c>
      <c r="B977" s="19" t="inlineStr">
        <is>
          <t>IA-PPWR-STM-CNT-20-STD-01-R00</t>
        </is>
      </c>
      <c r="C977" t="inlineStr">
        <is>
          <t>IA-PPWR-STM-CNT-20-STD-01-R00</t>
        </is>
      </c>
      <c r="D977" s="19" t="inlineStr">
        <is>
          <t>12</t>
        </is>
      </c>
      <c r="E977" t="inlineStr">
        <is>
          <t>03_CONTAINER/CNT-20-STD-01/04_Shipment_Statement.docx</t>
        </is>
      </c>
      <c r="F977" t="inlineStr">
        <is>
          <t>654d607f5fe125028fb00b31e1839c1e3a7ee472e7b87163330281e95dc70c05</t>
        </is>
      </c>
      <c r="G977" t="inlineStr">
        <is>
          <t>2026-08-08</t>
        </is>
      </c>
      <c r="H977" s="19" t="inlineStr">
        <is>
          <t>2</t>
        </is>
      </c>
      <c r="I977" t="inlineStr">
        <is>
          <t>Phase I generated Rev.00 Word file — linked; signatures not completed</t>
        </is>
      </c>
      <c r="J977" t="inlineStr">
        <is>
          <t>2026-08-10T19:29:54Z</t>
        </is>
      </c>
      <c r="K977" t="inlineStr">
        <is>
          <t>2026-08-10T19:49:41Z</t>
        </is>
      </c>
    </row>
    <row r="978">
      <c r="A978" s="19" t="inlineStr">
        <is>
          <t>977</t>
        </is>
      </c>
      <c r="B978" s="19" t="inlineStr">
        <is>
          <t>IA-PPWR-TF-CNT-20-EUR-01-R00</t>
        </is>
      </c>
      <c r="C978" t="inlineStr">
        <is>
          <t>IA-PPWR-TF-CNT-20-EUR-01-R00</t>
        </is>
      </c>
      <c r="D978" s="19" t="inlineStr">
        <is>
          <t>1</t>
        </is>
      </c>
      <c r="E978" t="inlineStr">
        <is>
          <t>03_CONTAINER/CNT-20-EUR-01/01_Technical_File.docx</t>
        </is>
      </c>
      <c r="F978" t="inlineStr">
        <is>
          <t>db1ad8a4ba700b3641da1adcd8e8a6c5f63a4fc9efe57fa4c5e7eb2cee86dac5</t>
        </is>
      </c>
      <c r="G978" t="inlineStr">
        <is>
          <t>2026-08-08</t>
        </is>
      </c>
      <c r="H978" s="19" t="inlineStr">
        <is>
          <t>2</t>
        </is>
      </c>
      <c r="I978" t="inlineStr">
        <is>
          <t>Phase I generated Rev.00 Word file — linked; signatures not completed</t>
        </is>
      </c>
      <c r="J978" t="inlineStr">
        <is>
          <t>2026-08-10T19:29:54Z</t>
        </is>
      </c>
      <c r="K978" t="inlineStr">
        <is>
          <t>2026-08-10T19:49:41Z</t>
        </is>
      </c>
    </row>
    <row r="979">
      <c r="A979" s="19" t="inlineStr">
        <is>
          <t>978</t>
        </is>
      </c>
      <c r="B979" s="19" t="inlineStr">
        <is>
          <t>IA-PPWR-DOC-CNT-20-EUR-01-R00</t>
        </is>
      </c>
      <c r="C979" t="inlineStr">
        <is>
          <t>IA-PPWR-DOC-CNT-20-EUR-01-R00</t>
        </is>
      </c>
      <c r="D979" s="19" t="inlineStr">
        <is>
          <t>4</t>
        </is>
      </c>
      <c r="E979" t="inlineStr">
        <is>
          <t>03_CONTAINER/CNT-20-EUR-01/02_EU_DoC.docx</t>
        </is>
      </c>
      <c r="F979" t="inlineStr">
        <is>
          <t>5f7f549689cdb90d5709cf9090e72477b99a75ece066a7114f6b3d10fe55348f</t>
        </is>
      </c>
      <c r="G979" t="inlineStr">
        <is>
          <t>2026-08-08</t>
        </is>
      </c>
      <c r="H979" s="19" t="inlineStr">
        <is>
          <t>2</t>
        </is>
      </c>
      <c r="I979" t="inlineStr">
        <is>
          <t>Phase I generated Rev.00 Word file — linked; signatures not completed</t>
        </is>
      </c>
      <c r="J979" t="inlineStr">
        <is>
          <t>2026-08-10T19:29:54Z</t>
        </is>
      </c>
      <c r="K979" t="inlineStr">
        <is>
          <t>2026-08-10T19:49:41Z</t>
        </is>
      </c>
    </row>
    <row r="980">
      <c r="A980" s="19" t="inlineStr">
        <is>
          <t>979</t>
        </is>
      </c>
      <c r="B980" s="19" t="inlineStr">
        <is>
          <t>IA-PPWR-LBL-CNT-20-EUR-01-R00</t>
        </is>
      </c>
      <c r="C980" t="inlineStr">
        <is>
          <t>IA-PPWR-LBL-CNT-20-EUR-01-R00</t>
        </is>
      </c>
      <c r="D980" s="19" t="inlineStr">
        <is>
          <t>11</t>
        </is>
      </c>
      <c r="E980" t="inlineStr">
        <is>
          <t>03_CONTAINER/CNT-20-EUR-01/03_Label.docx</t>
        </is>
      </c>
      <c r="F980" t="inlineStr">
        <is>
          <t>ab0fb3ef51c1fff6e6c86b7eca590ab42c58c5327fd860a47aa37b63d4de8f9f</t>
        </is>
      </c>
      <c r="G980" t="inlineStr">
        <is>
          <t>2026-08-08</t>
        </is>
      </c>
      <c r="H980" s="19" t="inlineStr">
        <is>
          <t>2</t>
        </is>
      </c>
      <c r="I980" t="inlineStr">
        <is>
          <t>Phase I generated Rev.00 Word file — linked; signatures not completed</t>
        </is>
      </c>
      <c r="J980" t="inlineStr">
        <is>
          <t>2026-08-10T19:29:54Z</t>
        </is>
      </c>
      <c r="K980" t="inlineStr">
        <is>
          <t>2026-08-10T19:49:41Z</t>
        </is>
      </c>
    </row>
    <row r="981">
      <c r="A981" s="19" t="inlineStr">
        <is>
          <t>980</t>
        </is>
      </c>
      <c r="B981" s="19" t="inlineStr">
        <is>
          <t>IA-PPWR-STM-CNT-20-EUR-01-R00</t>
        </is>
      </c>
      <c r="C981" t="inlineStr">
        <is>
          <t>IA-PPWR-STM-CNT-20-EUR-01-R00</t>
        </is>
      </c>
      <c r="D981" s="19" t="inlineStr">
        <is>
          <t>12</t>
        </is>
      </c>
      <c r="E981" t="inlineStr">
        <is>
          <t>03_CONTAINER/CNT-20-EUR-01/04_Shipment_Statement.docx</t>
        </is>
      </c>
      <c r="F981" t="inlineStr">
        <is>
          <t>9ef8b4a5cbe01df0952f3cddc645275855fbb6e0658293727ba140c44faa3f4c</t>
        </is>
      </c>
      <c r="G981" t="inlineStr">
        <is>
          <t>2026-08-08</t>
        </is>
      </c>
      <c r="H981" s="19" t="inlineStr">
        <is>
          <t>2</t>
        </is>
      </c>
      <c r="I981" t="inlineStr">
        <is>
          <t>Phase I generated Rev.00 Word file — linked; signatures not completed</t>
        </is>
      </c>
      <c r="J981" t="inlineStr">
        <is>
          <t>2026-08-10T19:29:54Z</t>
        </is>
      </c>
      <c r="K981" t="inlineStr">
        <is>
          <t>2026-08-10T19:49:41Z</t>
        </is>
      </c>
    </row>
    <row r="982">
      <c r="A982" s="19" t="inlineStr">
        <is>
          <t>981</t>
        </is>
      </c>
      <c r="B982" s="19" t="inlineStr">
        <is>
          <t>IA-PPWR-TF-CNT-40-IND-01-R00</t>
        </is>
      </c>
      <c r="C982" t="inlineStr">
        <is>
          <t>IA-PPWR-TF-CNT-40-IND-01-R00</t>
        </is>
      </c>
      <c r="D982" s="19" t="inlineStr">
        <is>
          <t>1</t>
        </is>
      </c>
      <c r="E982" t="inlineStr">
        <is>
          <t>03_CONTAINER/CNT-40-IND-01/01_Technical_File.docx</t>
        </is>
      </c>
      <c r="F982" t="inlineStr">
        <is>
          <t>f405dd4586658f4fedc25878559d21e8fe15483b81418aab862d4c44d7bcfae7</t>
        </is>
      </c>
      <c r="G982" t="inlineStr">
        <is>
          <t>2026-08-08</t>
        </is>
      </c>
      <c r="H982" s="19" t="inlineStr">
        <is>
          <t>2</t>
        </is>
      </c>
      <c r="I982" t="inlineStr">
        <is>
          <t>Phase I generated Rev.00 Word file — linked; signatures not completed</t>
        </is>
      </c>
      <c r="J982" t="inlineStr">
        <is>
          <t>2026-08-10T19:29:54Z</t>
        </is>
      </c>
      <c r="K982" t="inlineStr">
        <is>
          <t>2026-08-10T19:49:41Z</t>
        </is>
      </c>
    </row>
    <row r="983">
      <c r="A983" s="19" t="inlineStr">
        <is>
          <t>982</t>
        </is>
      </c>
      <c r="B983" s="19" t="inlineStr">
        <is>
          <t>IA-PPWR-DOC-CNT-40-IND-01-R00</t>
        </is>
      </c>
      <c r="C983" t="inlineStr">
        <is>
          <t>IA-PPWR-DOC-CNT-40-IND-01-R00</t>
        </is>
      </c>
      <c r="D983" s="19" t="inlineStr">
        <is>
          <t>4</t>
        </is>
      </c>
      <c r="E983" t="inlineStr">
        <is>
          <t>03_CONTAINER/CNT-40-IND-01/02_EU_DoC.docx</t>
        </is>
      </c>
      <c r="F983" t="inlineStr">
        <is>
          <t>957aa53078e3b9e5775783591b0ccaee506411c1fcafef5df17d0c0fe9607fda</t>
        </is>
      </c>
      <c r="G983" t="inlineStr">
        <is>
          <t>2026-08-08</t>
        </is>
      </c>
      <c r="H983" s="19" t="inlineStr">
        <is>
          <t>2</t>
        </is>
      </c>
      <c r="I983" t="inlineStr">
        <is>
          <t>Phase I generated Rev.00 Word file — linked; signatures not completed</t>
        </is>
      </c>
      <c r="J983" t="inlineStr">
        <is>
          <t>2026-08-10T19:29:54Z</t>
        </is>
      </c>
      <c r="K983" t="inlineStr">
        <is>
          <t>2026-08-10T19:49:41Z</t>
        </is>
      </c>
    </row>
    <row r="984">
      <c r="A984" s="19" t="inlineStr">
        <is>
          <t>983</t>
        </is>
      </c>
      <c r="B984" s="19" t="inlineStr">
        <is>
          <t>IA-PPWR-LBL-CNT-40-IND-01-R00</t>
        </is>
      </c>
      <c r="C984" t="inlineStr">
        <is>
          <t>IA-PPWR-LBL-CNT-40-IND-01-R00</t>
        </is>
      </c>
      <c r="D984" s="19" t="inlineStr">
        <is>
          <t>11</t>
        </is>
      </c>
      <c r="E984" t="inlineStr">
        <is>
          <t>03_CONTAINER/CNT-40-IND-01/03_Label.docx</t>
        </is>
      </c>
      <c r="F984" t="inlineStr">
        <is>
          <t>b6ae448ff83882451324f4a0ab45bc2936bd325a1a437d2e182f9d30fe77a16d</t>
        </is>
      </c>
      <c r="G984" t="inlineStr">
        <is>
          <t>2026-08-08</t>
        </is>
      </c>
      <c r="H984" s="19" t="inlineStr">
        <is>
          <t>2</t>
        </is>
      </c>
      <c r="I984" t="inlineStr">
        <is>
          <t>Phase I generated Rev.00 Word file — linked; signatures not completed</t>
        </is>
      </c>
      <c r="J984" t="inlineStr">
        <is>
          <t>2026-08-10T19:29:54Z</t>
        </is>
      </c>
      <c r="K984" t="inlineStr">
        <is>
          <t>2026-08-10T19:49:41Z</t>
        </is>
      </c>
    </row>
    <row r="985">
      <c r="A985" s="19" t="inlineStr">
        <is>
          <t>984</t>
        </is>
      </c>
      <c r="B985" s="19" t="inlineStr">
        <is>
          <t>IA-PPWR-STM-CNT-40-IND-01-R00</t>
        </is>
      </c>
      <c r="C985" t="inlineStr">
        <is>
          <t>IA-PPWR-STM-CNT-40-IND-01-R00</t>
        </is>
      </c>
      <c r="D985" s="19" t="inlineStr">
        <is>
          <t>12</t>
        </is>
      </c>
      <c r="E985" t="inlineStr">
        <is>
          <t>03_CONTAINER/CNT-40-IND-01/04_Shipment_Statement.docx</t>
        </is>
      </c>
      <c r="F985" t="inlineStr">
        <is>
          <t>4cde47829ba12936fd0c4978f5199452d10c05567573aac31b2b1e62016defa3</t>
        </is>
      </c>
      <c r="G985" t="inlineStr">
        <is>
          <t>2026-08-08</t>
        </is>
      </c>
      <c r="H985" s="19" t="inlineStr">
        <is>
          <t>2</t>
        </is>
      </c>
      <c r="I985" t="inlineStr">
        <is>
          <t>Phase I generated Rev.00 Word file — linked; signatures not completed</t>
        </is>
      </c>
      <c r="J985" t="inlineStr">
        <is>
          <t>2026-08-10T19:29:54Z</t>
        </is>
      </c>
      <c r="K985" t="inlineStr">
        <is>
          <t>2026-08-10T19:49:41Z</t>
        </is>
      </c>
    </row>
    <row r="986">
      <c r="A986" s="19" t="inlineStr">
        <is>
          <t>985</t>
        </is>
      </c>
      <c r="B986" s="19" t="inlineStr">
        <is>
          <t>IA-PPWR-TF-CNT-DE-HAM-01-R00</t>
        </is>
      </c>
      <c r="C986" t="inlineStr">
        <is>
          <t>IA-PPWR-TF-CNT-DE-HAM-01-R00</t>
        </is>
      </c>
      <c r="D986" s="19" t="inlineStr">
        <is>
          <t>1</t>
        </is>
      </c>
      <c r="E986" t="inlineStr">
        <is>
          <t>03_CONTAINER/CNT-DE-HAM-01/01_Technical_File.docx</t>
        </is>
      </c>
      <c r="F986" t="inlineStr">
        <is>
          <t>e73d5f08a57792f8e4211b086ea5fef4ad42a81ceb057c0e144e142c38fc82e9</t>
        </is>
      </c>
      <c r="G986" t="inlineStr">
        <is>
          <t>2026-08-08</t>
        </is>
      </c>
      <c r="H986" s="19" t="inlineStr">
        <is>
          <t>2</t>
        </is>
      </c>
      <c r="I986" t="inlineStr">
        <is>
          <t>Phase I generated Rev.00 Word file — linked; signatures not completed</t>
        </is>
      </c>
      <c r="J986" t="inlineStr">
        <is>
          <t>2026-08-10T19:29:54Z</t>
        </is>
      </c>
      <c r="K986" t="inlineStr">
        <is>
          <t>2026-08-10T19:49:41Z</t>
        </is>
      </c>
    </row>
    <row r="987">
      <c r="A987" s="19" t="inlineStr">
        <is>
          <t>986</t>
        </is>
      </c>
      <c r="B987" s="19" t="inlineStr">
        <is>
          <t>IA-PPWR-DOC-CNT-DE-HAM-01-R00</t>
        </is>
      </c>
      <c r="C987" t="inlineStr">
        <is>
          <t>IA-PPWR-DOC-CNT-DE-HAM-01-R00</t>
        </is>
      </c>
      <c r="D987" s="19" t="inlineStr">
        <is>
          <t>4</t>
        </is>
      </c>
      <c r="E987" t="inlineStr">
        <is>
          <t>03_CONTAINER/CNT-DE-HAM-01/02_EU_DoC.docx</t>
        </is>
      </c>
      <c r="F987" t="inlineStr">
        <is>
          <t>3a001b3ba281cddf5dbf9e2fbc66b2f09f69e24a570c72a30fff4ef926393770</t>
        </is>
      </c>
      <c r="G987" t="inlineStr">
        <is>
          <t>2026-08-08</t>
        </is>
      </c>
      <c r="H987" s="19" t="inlineStr">
        <is>
          <t>2</t>
        </is>
      </c>
      <c r="I987" t="inlineStr">
        <is>
          <t>Phase I generated Rev.00 Word file — linked; signatures not completed</t>
        </is>
      </c>
      <c r="J987" t="inlineStr">
        <is>
          <t>2026-08-10T19:29:54Z</t>
        </is>
      </c>
      <c r="K987" t="inlineStr">
        <is>
          <t>2026-08-10T19:49:41Z</t>
        </is>
      </c>
    </row>
    <row r="988">
      <c r="A988" s="19" t="inlineStr">
        <is>
          <t>987</t>
        </is>
      </c>
      <c r="B988" s="19" t="inlineStr">
        <is>
          <t>IA-PPWR-LBL-CNT-DE-HAM-01-R00</t>
        </is>
      </c>
      <c r="C988" t="inlineStr">
        <is>
          <t>IA-PPWR-LBL-CNT-DE-HAM-01-R00</t>
        </is>
      </c>
      <c r="D988" s="19" t="inlineStr">
        <is>
          <t>11</t>
        </is>
      </c>
      <c r="E988" t="inlineStr">
        <is>
          <t>03_CONTAINER/CNT-DE-HAM-01/03_Label.docx</t>
        </is>
      </c>
      <c r="F988" t="inlineStr">
        <is>
          <t>eba3aaad9cb57c486835801b9e552c542a2bfc99b7b0e4714c1e31c6fd21724f</t>
        </is>
      </c>
      <c r="G988" t="inlineStr">
        <is>
          <t>2026-08-08</t>
        </is>
      </c>
      <c r="H988" s="19" t="inlineStr">
        <is>
          <t>2</t>
        </is>
      </c>
      <c r="I988" t="inlineStr">
        <is>
          <t>Phase I generated Rev.00 Word file — linked; signatures not completed</t>
        </is>
      </c>
      <c r="J988" t="inlineStr">
        <is>
          <t>2026-08-10T19:29:54Z</t>
        </is>
      </c>
      <c r="K988" t="inlineStr">
        <is>
          <t>2026-08-10T19:49:41Z</t>
        </is>
      </c>
    </row>
    <row r="989">
      <c r="A989" s="19" t="inlineStr">
        <is>
          <t>988</t>
        </is>
      </c>
      <c r="B989" s="19" t="inlineStr">
        <is>
          <t>IA-PPWR-STM-CNT-DE-HAM-01-R00</t>
        </is>
      </c>
      <c r="C989" t="inlineStr">
        <is>
          <t>IA-PPWR-STM-CNT-DE-HAM-01-R00</t>
        </is>
      </c>
      <c r="D989" s="19" t="inlineStr">
        <is>
          <t>12</t>
        </is>
      </c>
      <c r="E989" t="inlineStr">
        <is>
          <t>03_CONTAINER/CNT-DE-HAM-01/04_Shipment_Statement.docx</t>
        </is>
      </c>
      <c r="F989" t="inlineStr">
        <is>
          <t>c603a2c6ca7a20fdf162514eaef1e6d84e8c4fec292dddfcf842b914aeb5c16a</t>
        </is>
      </c>
      <c r="G989" t="inlineStr">
        <is>
          <t>2026-08-08</t>
        </is>
      </c>
      <c r="H989" s="19" t="inlineStr">
        <is>
          <t>2</t>
        </is>
      </c>
      <c r="I989" t="inlineStr">
        <is>
          <t>Phase I generated Rev.00 Word file — linked; signatures not completed</t>
        </is>
      </c>
      <c r="J989" t="inlineStr">
        <is>
          <t>2026-08-10T19:29:54Z</t>
        </is>
      </c>
      <c r="K989" t="inlineStr">
        <is>
          <t>2026-08-10T19:49:41Z</t>
        </is>
      </c>
    </row>
  </sheetData>
  <dataValidations count="3">
    <dataValidation sqref="D2:D5000" showDropDown="0" showInputMessage="0" showErrorMessage="1" allowBlank="1" errorTitle="Lookup FK" error="Value must exist in LKP_DOCUMENT_TYPE" type="list">
      <formula1>NR_DOCUMENT_TYPE_ID</formula1>
    </dataValidation>
    <dataValidation sqref="G2:G5000" showDropDown="0" showInputMessage="0" showErrorMessage="1" allowBlank="1" errorTitle="Date" error="Enter a valid date (DD.MM.YYYY)" type="date" operator="greaterThan">
      <formula1>DATE(2000,1,1)</formula1>
    </dataValidation>
    <dataValidation sqref="H2:H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9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4"/>
    <col width="22" customWidth="1" min="5" max="6"/>
    <col width="19" customWidth="1" min="7" max="7"/>
    <col width="22" customWidth="1" min="8" max="8"/>
    <col width="14" customWidth="1" min="9" max="9"/>
    <col width="12" customWidth="1" min="10" max="10"/>
    <col width="36" customWidth="1" min="11" max="11"/>
  </cols>
  <sheetData>
    <row r="1" ht="27.95" customHeight="1">
      <c r="A1" s="6" t="inlineStr">
        <is>
          <t>DOCUMENT_LINK_ID</t>
        </is>
      </c>
      <c r="B1" s="6" t="inlineStr">
        <is>
          <t>DOCUMENT_ID</t>
        </is>
      </c>
      <c r="C1" s="6" t="inlineStr">
        <is>
          <t>COMPONENT_ID</t>
        </is>
      </c>
      <c r="D1" s="6" t="inlineStr">
        <is>
          <t>PRODUCT_ID</t>
        </is>
      </c>
      <c r="E1" s="6" t="inlineStr">
        <is>
          <t>PACKAGING_CONFIGURATION_ID</t>
        </is>
      </c>
      <c r="F1" s="6" t="inlineStr">
        <is>
          <t>TRANSPORT_CONFIGURATION_ID</t>
        </is>
      </c>
      <c r="G1" s="6" t="inlineStr">
        <is>
          <t>TECHNICAL_FILE_ID</t>
        </is>
      </c>
      <c r="H1" s="6" t="inlineStr">
        <is>
          <t>DECLARATION_OF_CONFORMITY_ID</t>
        </is>
      </c>
      <c r="I1" s="6" t="inlineStr">
        <is>
          <t>STATEMENT_ID</t>
        </is>
      </c>
      <c r="J1" s="6" t="inlineStr">
        <is>
          <t>SORT_ORDER</t>
        </is>
      </c>
      <c r="K1" s="6" t="inlineStr">
        <is>
          <t>NOTES</t>
        </is>
      </c>
    </row>
    <row r="2">
      <c r="A2" s="19" t="inlineStr">
        <is>
          <t>1</t>
        </is>
      </c>
      <c r="B2" s="19" t="inlineStr">
        <is>
          <t>1</t>
        </is>
      </c>
      <c r="C2" s="19" t="n"/>
      <c r="D2" s="19" t="n"/>
      <c r="E2" s="19" t="n"/>
      <c r="F2" s="19" t="n"/>
      <c r="G2" s="19" t="inlineStr">
        <is>
          <t>1</t>
        </is>
      </c>
      <c r="H2" s="19" t="n"/>
      <c r="I2" s="19" t="n"/>
      <c r="J2" t="n">
        <v>1</v>
      </c>
      <c r="K2" t="inlineStr">
        <is>
          <t>Phase J registry sync</t>
        </is>
      </c>
    </row>
    <row r="3">
      <c r="A3" s="19" t="inlineStr">
        <is>
          <t>2</t>
        </is>
      </c>
      <c r="B3" s="19" t="inlineStr">
        <is>
          <t>2</t>
        </is>
      </c>
      <c r="C3" s="19" t="n"/>
      <c r="D3" s="19" t="n"/>
      <c r="E3" s="19" t="n"/>
      <c r="F3" s="19" t="n"/>
      <c r="G3" s="19" t="n"/>
      <c r="H3" s="19" t="inlineStr">
        <is>
          <t>1</t>
        </is>
      </c>
      <c r="I3" s="19" t="n"/>
      <c r="J3" t="n">
        <v>2</v>
      </c>
      <c r="K3" t="inlineStr">
        <is>
          <t>Phase J registry sync</t>
        </is>
      </c>
    </row>
    <row r="4">
      <c r="A4" s="19" t="inlineStr">
        <is>
          <t>3</t>
        </is>
      </c>
      <c r="B4" s="19" t="inlineStr">
        <is>
          <t>3</t>
        </is>
      </c>
      <c r="C4" s="19" t="n"/>
      <c r="D4" s="19" t="n"/>
      <c r="E4" s="19" t="inlineStr">
        <is>
          <t>1</t>
        </is>
      </c>
      <c r="F4" s="19" t="n"/>
      <c r="G4" s="19" t="n"/>
      <c r="H4" s="19" t="n"/>
      <c r="I4" s="19" t="n"/>
      <c r="J4" t="n">
        <v>3</v>
      </c>
      <c r="K4" t="inlineStr">
        <is>
          <t>Phase J registry sync</t>
        </is>
      </c>
    </row>
    <row r="5">
      <c r="A5" s="19" t="inlineStr">
        <is>
          <t>4</t>
        </is>
      </c>
      <c r="B5" s="19" t="inlineStr">
        <is>
          <t>4</t>
        </is>
      </c>
      <c r="C5" s="19" t="n"/>
      <c r="D5" s="19" t="n"/>
      <c r="E5" s="19" t="n"/>
      <c r="F5" s="19" t="n"/>
      <c r="G5" s="19" t="n"/>
      <c r="H5" s="19" t="n"/>
      <c r="I5" s="19" t="inlineStr">
        <is>
          <t>1</t>
        </is>
      </c>
      <c r="J5" t="n">
        <v>4</v>
      </c>
      <c r="K5" t="inlineStr">
        <is>
          <t>Phase J registry sync</t>
        </is>
      </c>
    </row>
    <row r="6">
      <c r="A6" s="19" t="inlineStr">
        <is>
          <t>5</t>
        </is>
      </c>
      <c r="B6" s="19" t="inlineStr">
        <is>
          <t>5</t>
        </is>
      </c>
      <c r="C6" s="19" t="n"/>
      <c r="D6" s="19" t="n"/>
      <c r="E6" s="19" t="n"/>
      <c r="F6" s="19" t="n"/>
      <c r="G6" s="19" t="inlineStr">
        <is>
          <t>2</t>
        </is>
      </c>
      <c r="H6" s="19" t="n"/>
      <c r="I6" s="19" t="n"/>
      <c r="J6" t="n">
        <v>5</v>
      </c>
      <c r="K6" t="inlineStr">
        <is>
          <t>Phase J registry sync</t>
        </is>
      </c>
    </row>
    <row r="7">
      <c r="A7" s="19" t="inlineStr">
        <is>
          <t>6</t>
        </is>
      </c>
      <c r="B7" s="19" t="inlineStr">
        <is>
          <t>6</t>
        </is>
      </c>
      <c r="C7" s="19" t="n"/>
      <c r="D7" s="19" t="n"/>
      <c r="E7" s="19" t="n"/>
      <c r="F7" s="19" t="n"/>
      <c r="G7" s="19" t="n"/>
      <c r="H7" s="19" t="inlineStr">
        <is>
          <t>2</t>
        </is>
      </c>
      <c r="I7" s="19" t="n"/>
      <c r="J7" t="n">
        <v>6</v>
      </c>
      <c r="K7" t="inlineStr">
        <is>
          <t>Phase J registry sync</t>
        </is>
      </c>
    </row>
    <row r="8">
      <c r="A8" s="19" t="inlineStr">
        <is>
          <t>7</t>
        </is>
      </c>
      <c r="B8" s="19" t="inlineStr">
        <is>
          <t>7</t>
        </is>
      </c>
      <c r="C8" s="19" t="n"/>
      <c r="D8" s="19" t="n"/>
      <c r="E8" s="19" t="inlineStr">
        <is>
          <t>2</t>
        </is>
      </c>
      <c r="F8" s="19" t="n"/>
      <c r="G8" s="19" t="n"/>
      <c r="H8" s="19" t="n"/>
      <c r="I8" s="19" t="n"/>
      <c r="J8" t="n">
        <v>7</v>
      </c>
      <c r="K8" t="inlineStr">
        <is>
          <t>Phase J registry sync</t>
        </is>
      </c>
    </row>
    <row r="9">
      <c r="A9" s="19" t="inlineStr">
        <is>
          <t>8</t>
        </is>
      </c>
      <c r="B9" s="19" t="inlineStr">
        <is>
          <t>8</t>
        </is>
      </c>
      <c r="C9" s="19" t="n"/>
      <c r="D9" s="19" t="n"/>
      <c r="E9" s="19" t="n"/>
      <c r="F9" s="19" t="n"/>
      <c r="G9" s="19" t="n"/>
      <c r="H9" s="19" t="n"/>
      <c r="I9" s="19" t="inlineStr">
        <is>
          <t>2</t>
        </is>
      </c>
      <c r="J9" t="n">
        <v>8</v>
      </c>
      <c r="K9" t="inlineStr">
        <is>
          <t>Phase J registry sync</t>
        </is>
      </c>
    </row>
    <row r="10">
      <c r="A10" s="19" t="inlineStr">
        <is>
          <t>9</t>
        </is>
      </c>
      <c r="B10" s="19" t="inlineStr">
        <is>
          <t>9</t>
        </is>
      </c>
      <c r="C10" s="19" t="n"/>
      <c r="D10" s="19" t="n"/>
      <c r="E10" s="19" t="n"/>
      <c r="F10" s="19" t="n"/>
      <c r="G10" s="19" t="inlineStr">
        <is>
          <t>3</t>
        </is>
      </c>
      <c r="H10" s="19" t="n"/>
      <c r="I10" s="19" t="n"/>
      <c r="J10" t="n">
        <v>9</v>
      </c>
      <c r="K10" t="inlineStr">
        <is>
          <t>Phase J registry sync</t>
        </is>
      </c>
    </row>
    <row r="11">
      <c r="A11" s="19" t="inlineStr">
        <is>
          <t>10</t>
        </is>
      </c>
      <c r="B11" s="19" t="inlineStr">
        <is>
          <t>10</t>
        </is>
      </c>
      <c r="C11" s="19" t="n"/>
      <c r="D11" s="19" t="n"/>
      <c r="E11" s="19" t="n"/>
      <c r="F11" s="19" t="n"/>
      <c r="G11" s="19" t="n"/>
      <c r="H11" s="19" t="inlineStr">
        <is>
          <t>3</t>
        </is>
      </c>
      <c r="I11" s="19" t="n"/>
      <c r="J11" t="n">
        <v>10</v>
      </c>
      <c r="K11" t="inlineStr">
        <is>
          <t>Phase J registry sync</t>
        </is>
      </c>
    </row>
    <row r="12">
      <c r="A12" s="19" t="inlineStr">
        <is>
          <t>11</t>
        </is>
      </c>
      <c r="B12" s="19" t="inlineStr">
        <is>
          <t>11</t>
        </is>
      </c>
      <c r="C12" s="19" t="n"/>
      <c r="D12" s="19" t="n"/>
      <c r="E12" s="19" t="inlineStr">
        <is>
          <t>3</t>
        </is>
      </c>
      <c r="F12" s="19" t="n"/>
      <c r="G12" s="19" t="n"/>
      <c r="H12" s="19" t="n"/>
      <c r="I12" s="19" t="n"/>
      <c r="J12" t="n">
        <v>11</v>
      </c>
      <c r="K12" t="inlineStr">
        <is>
          <t>Phase J registry sync</t>
        </is>
      </c>
    </row>
    <row r="13">
      <c r="A13" s="19" t="inlineStr">
        <is>
          <t>12</t>
        </is>
      </c>
      <c r="B13" s="19" t="inlineStr">
        <is>
          <t>12</t>
        </is>
      </c>
      <c r="C13" s="19" t="n"/>
      <c r="D13" s="19" t="n"/>
      <c r="E13" s="19" t="n"/>
      <c r="F13" s="19" t="n"/>
      <c r="G13" s="19" t="n"/>
      <c r="H13" s="19" t="n"/>
      <c r="I13" s="19" t="inlineStr">
        <is>
          <t>3</t>
        </is>
      </c>
      <c r="J13" t="n">
        <v>12</v>
      </c>
      <c r="K13" t="inlineStr">
        <is>
          <t>Phase J registry sync</t>
        </is>
      </c>
    </row>
    <row r="14">
      <c r="A14" s="19" t="inlineStr">
        <is>
          <t>13</t>
        </is>
      </c>
      <c r="B14" s="19" t="inlineStr">
        <is>
          <t>13</t>
        </is>
      </c>
      <c r="C14" s="19" t="n"/>
      <c r="D14" s="19" t="n"/>
      <c r="E14" s="19" t="n"/>
      <c r="F14" s="19" t="n"/>
      <c r="G14" s="19" t="inlineStr">
        <is>
          <t>4</t>
        </is>
      </c>
      <c r="H14" s="19" t="n"/>
      <c r="I14" s="19" t="n"/>
      <c r="J14" t="n">
        <v>13</v>
      </c>
      <c r="K14" t="inlineStr">
        <is>
          <t>Phase J registry sync</t>
        </is>
      </c>
    </row>
    <row r="15">
      <c r="A15" s="19" t="inlineStr">
        <is>
          <t>14</t>
        </is>
      </c>
      <c r="B15" s="19" t="inlineStr">
        <is>
          <t>14</t>
        </is>
      </c>
      <c r="C15" s="19" t="n"/>
      <c r="D15" s="19" t="n"/>
      <c r="E15" s="19" t="n"/>
      <c r="F15" s="19" t="n"/>
      <c r="G15" s="19" t="n"/>
      <c r="H15" s="19" t="inlineStr">
        <is>
          <t>4</t>
        </is>
      </c>
      <c r="I15" s="19" t="n"/>
      <c r="J15" t="n">
        <v>14</v>
      </c>
      <c r="K15" t="inlineStr">
        <is>
          <t>Phase J registry sync</t>
        </is>
      </c>
    </row>
    <row r="16">
      <c r="A16" s="19" t="inlineStr">
        <is>
          <t>15</t>
        </is>
      </c>
      <c r="B16" s="19" t="inlineStr">
        <is>
          <t>15</t>
        </is>
      </c>
      <c r="C16" s="19" t="n"/>
      <c r="D16" s="19" t="n"/>
      <c r="E16" s="19" t="inlineStr">
        <is>
          <t>4</t>
        </is>
      </c>
      <c r="F16" s="19" t="n"/>
      <c r="G16" s="19" t="n"/>
      <c r="H16" s="19" t="n"/>
      <c r="I16" s="19" t="n"/>
      <c r="J16" t="n">
        <v>15</v>
      </c>
      <c r="K16" t="inlineStr">
        <is>
          <t>Phase J registry sync</t>
        </is>
      </c>
    </row>
    <row r="17">
      <c r="A17" s="19" t="inlineStr">
        <is>
          <t>16</t>
        </is>
      </c>
      <c r="B17" s="19" t="inlineStr">
        <is>
          <t>16</t>
        </is>
      </c>
      <c r="C17" s="19" t="n"/>
      <c r="D17" s="19" t="n"/>
      <c r="E17" s="19" t="n"/>
      <c r="F17" s="19" t="n"/>
      <c r="G17" s="19" t="n"/>
      <c r="H17" s="19" t="n"/>
      <c r="I17" s="19" t="inlineStr">
        <is>
          <t>4</t>
        </is>
      </c>
      <c r="J17" t="n">
        <v>16</v>
      </c>
      <c r="K17" t="inlineStr">
        <is>
          <t>Phase J registry sync</t>
        </is>
      </c>
    </row>
    <row r="18">
      <c r="A18" s="19" t="inlineStr">
        <is>
          <t>17</t>
        </is>
      </c>
      <c r="B18" s="19" t="inlineStr">
        <is>
          <t>17</t>
        </is>
      </c>
      <c r="C18" s="19" t="n"/>
      <c r="D18" s="19" t="n"/>
      <c r="E18" s="19" t="n"/>
      <c r="F18" s="19" t="n"/>
      <c r="G18" s="19" t="inlineStr">
        <is>
          <t>5</t>
        </is>
      </c>
      <c r="H18" s="19" t="n"/>
      <c r="I18" s="19" t="n"/>
      <c r="J18" t="n">
        <v>17</v>
      </c>
      <c r="K18" t="inlineStr">
        <is>
          <t>Phase J registry sync</t>
        </is>
      </c>
    </row>
    <row r="19">
      <c r="A19" s="19" t="inlineStr">
        <is>
          <t>18</t>
        </is>
      </c>
      <c r="B19" s="19" t="inlineStr">
        <is>
          <t>18</t>
        </is>
      </c>
      <c r="C19" s="19" t="n"/>
      <c r="D19" s="19" t="n"/>
      <c r="E19" s="19" t="n"/>
      <c r="F19" s="19" t="n"/>
      <c r="G19" s="19" t="n"/>
      <c r="H19" s="19" t="inlineStr">
        <is>
          <t>5</t>
        </is>
      </c>
      <c r="I19" s="19" t="n"/>
      <c r="J19" t="n">
        <v>18</v>
      </c>
      <c r="K19" t="inlineStr">
        <is>
          <t>Phase J registry sync</t>
        </is>
      </c>
    </row>
    <row r="20">
      <c r="A20" s="19" t="inlineStr">
        <is>
          <t>19</t>
        </is>
      </c>
      <c r="B20" s="19" t="inlineStr">
        <is>
          <t>19</t>
        </is>
      </c>
      <c r="C20" s="19" t="n"/>
      <c r="D20" s="19" t="n"/>
      <c r="E20" s="19" t="inlineStr">
        <is>
          <t>5</t>
        </is>
      </c>
      <c r="F20" s="19" t="n"/>
      <c r="G20" s="19" t="n"/>
      <c r="H20" s="19" t="n"/>
      <c r="I20" s="19" t="n"/>
      <c r="J20" t="n">
        <v>19</v>
      </c>
      <c r="K20" t="inlineStr">
        <is>
          <t>Phase J registry sync</t>
        </is>
      </c>
    </row>
    <row r="21">
      <c r="A21" s="19" t="inlineStr">
        <is>
          <t>20</t>
        </is>
      </c>
      <c r="B21" s="19" t="inlineStr">
        <is>
          <t>20</t>
        </is>
      </c>
      <c r="C21" s="19" t="n"/>
      <c r="D21" s="19" t="n"/>
      <c r="E21" s="19" t="n"/>
      <c r="F21" s="19" t="n"/>
      <c r="G21" s="19" t="n"/>
      <c r="H21" s="19" t="n"/>
      <c r="I21" s="19" t="inlineStr">
        <is>
          <t>5</t>
        </is>
      </c>
      <c r="J21" t="n">
        <v>20</v>
      </c>
      <c r="K21" t="inlineStr">
        <is>
          <t>Phase J registry sync</t>
        </is>
      </c>
    </row>
    <row r="22">
      <c r="A22" s="19" t="inlineStr">
        <is>
          <t>21</t>
        </is>
      </c>
      <c r="B22" s="19" t="inlineStr">
        <is>
          <t>21</t>
        </is>
      </c>
      <c r="C22" s="19" t="n"/>
      <c r="D22" s="19" t="n"/>
      <c r="E22" s="19" t="n"/>
      <c r="F22" s="19" t="n"/>
      <c r="G22" s="19" t="inlineStr">
        <is>
          <t>6</t>
        </is>
      </c>
      <c r="H22" s="19" t="n"/>
      <c r="I22" s="19" t="n"/>
      <c r="J22" t="n">
        <v>21</v>
      </c>
      <c r="K22" t="inlineStr">
        <is>
          <t>Phase J registry sync</t>
        </is>
      </c>
    </row>
    <row r="23">
      <c r="A23" s="19" t="inlineStr">
        <is>
          <t>22</t>
        </is>
      </c>
      <c r="B23" s="19" t="inlineStr">
        <is>
          <t>22</t>
        </is>
      </c>
      <c r="C23" s="19" t="n"/>
      <c r="D23" s="19" t="n"/>
      <c r="E23" s="19" t="n"/>
      <c r="F23" s="19" t="n"/>
      <c r="G23" s="19" t="n"/>
      <c r="H23" s="19" t="inlineStr">
        <is>
          <t>6</t>
        </is>
      </c>
      <c r="I23" s="19" t="n"/>
      <c r="J23" t="n">
        <v>22</v>
      </c>
      <c r="K23" t="inlineStr">
        <is>
          <t>Phase J registry sync</t>
        </is>
      </c>
    </row>
    <row r="24">
      <c r="A24" s="19" t="inlineStr">
        <is>
          <t>23</t>
        </is>
      </c>
      <c r="B24" s="19" t="inlineStr">
        <is>
          <t>23</t>
        </is>
      </c>
      <c r="C24" s="19" t="n"/>
      <c r="D24" s="19" t="n"/>
      <c r="E24" s="19" t="inlineStr">
        <is>
          <t>6</t>
        </is>
      </c>
      <c r="F24" s="19" t="n"/>
      <c r="G24" s="19" t="n"/>
      <c r="H24" s="19" t="n"/>
      <c r="I24" s="19" t="n"/>
      <c r="J24" t="n">
        <v>23</v>
      </c>
      <c r="K24" t="inlineStr">
        <is>
          <t>Phase J registry sync</t>
        </is>
      </c>
    </row>
    <row r="25">
      <c r="A25" s="19" t="inlineStr">
        <is>
          <t>24</t>
        </is>
      </c>
      <c r="B25" s="19" t="inlineStr">
        <is>
          <t>24</t>
        </is>
      </c>
      <c r="C25" s="19" t="n"/>
      <c r="D25" s="19" t="n"/>
      <c r="E25" s="19" t="n"/>
      <c r="F25" s="19" t="n"/>
      <c r="G25" s="19" t="n"/>
      <c r="H25" s="19" t="n"/>
      <c r="I25" s="19" t="inlineStr">
        <is>
          <t>6</t>
        </is>
      </c>
      <c r="J25" t="n">
        <v>24</v>
      </c>
      <c r="K25" t="inlineStr">
        <is>
          <t>Phase J registry sync</t>
        </is>
      </c>
    </row>
    <row r="26">
      <c r="A26" s="19" t="inlineStr">
        <is>
          <t>25</t>
        </is>
      </c>
      <c r="B26" s="19" t="inlineStr">
        <is>
          <t>25</t>
        </is>
      </c>
      <c r="C26" s="19" t="n"/>
      <c r="D26" s="19" t="n"/>
      <c r="E26" s="19" t="n"/>
      <c r="F26" s="19" t="n"/>
      <c r="G26" s="19" t="inlineStr">
        <is>
          <t>7</t>
        </is>
      </c>
      <c r="H26" s="19" t="n"/>
      <c r="I26" s="19" t="n"/>
      <c r="J26" t="n">
        <v>25</v>
      </c>
      <c r="K26" t="inlineStr">
        <is>
          <t>Phase J registry sync</t>
        </is>
      </c>
    </row>
    <row r="27">
      <c r="A27" s="19" t="inlineStr">
        <is>
          <t>26</t>
        </is>
      </c>
      <c r="B27" s="19" t="inlineStr">
        <is>
          <t>26</t>
        </is>
      </c>
      <c r="C27" s="19" t="n"/>
      <c r="D27" s="19" t="n"/>
      <c r="E27" s="19" t="n"/>
      <c r="F27" s="19" t="n"/>
      <c r="G27" s="19" t="n"/>
      <c r="H27" s="19" t="inlineStr">
        <is>
          <t>7</t>
        </is>
      </c>
      <c r="I27" s="19" t="n"/>
      <c r="J27" t="n">
        <v>26</v>
      </c>
      <c r="K27" t="inlineStr">
        <is>
          <t>Phase J registry sync</t>
        </is>
      </c>
    </row>
    <row r="28">
      <c r="A28" s="19" t="inlineStr">
        <is>
          <t>27</t>
        </is>
      </c>
      <c r="B28" s="19" t="inlineStr">
        <is>
          <t>27</t>
        </is>
      </c>
      <c r="C28" s="19" t="n"/>
      <c r="D28" s="19" t="n"/>
      <c r="E28" s="19" t="inlineStr">
        <is>
          <t>7</t>
        </is>
      </c>
      <c r="F28" s="19" t="n"/>
      <c r="G28" s="19" t="n"/>
      <c r="H28" s="19" t="n"/>
      <c r="I28" s="19" t="n"/>
      <c r="J28" t="n">
        <v>27</v>
      </c>
      <c r="K28" t="inlineStr">
        <is>
          <t>Phase J registry sync</t>
        </is>
      </c>
    </row>
    <row r="29">
      <c r="A29" s="19" t="inlineStr">
        <is>
          <t>28</t>
        </is>
      </c>
      <c r="B29" s="19" t="inlineStr">
        <is>
          <t>28</t>
        </is>
      </c>
      <c r="C29" s="19" t="n"/>
      <c r="D29" s="19" t="n"/>
      <c r="E29" s="19" t="n"/>
      <c r="F29" s="19" t="n"/>
      <c r="G29" s="19" t="n"/>
      <c r="H29" s="19" t="n"/>
      <c r="I29" s="19" t="inlineStr">
        <is>
          <t>7</t>
        </is>
      </c>
      <c r="J29" t="n">
        <v>28</v>
      </c>
      <c r="K29" t="inlineStr">
        <is>
          <t>Phase J registry sync</t>
        </is>
      </c>
    </row>
    <row r="30">
      <c r="A30" s="19" t="inlineStr">
        <is>
          <t>29</t>
        </is>
      </c>
      <c r="B30" s="19" t="inlineStr">
        <is>
          <t>29</t>
        </is>
      </c>
      <c r="C30" s="19" t="n"/>
      <c r="D30" s="19" t="n"/>
      <c r="E30" s="19" t="n"/>
      <c r="F30" s="19" t="n"/>
      <c r="G30" s="19" t="inlineStr">
        <is>
          <t>8</t>
        </is>
      </c>
      <c r="H30" s="19" t="n"/>
      <c r="I30" s="19" t="n"/>
      <c r="J30" t="n">
        <v>29</v>
      </c>
      <c r="K30" t="inlineStr">
        <is>
          <t>Phase J registry sync</t>
        </is>
      </c>
    </row>
    <row r="31">
      <c r="A31" s="19" t="inlineStr">
        <is>
          <t>30</t>
        </is>
      </c>
      <c r="B31" s="19" t="inlineStr">
        <is>
          <t>30</t>
        </is>
      </c>
      <c r="C31" s="19" t="n"/>
      <c r="D31" s="19" t="n"/>
      <c r="E31" s="19" t="n"/>
      <c r="F31" s="19" t="n"/>
      <c r="G31" s="19" t="n"/>
      <c r="H31" s="19" t="inlineStr">
        <is>
          <t>8</t>
        </is>
      </c>
      <c r="I31" s="19" t="n"/>
      <c r="J31" t="n">
        <v>30</v>
      </c>
      <c r="K31" t="inlineStr">
        <is>
          <t>Phase J registry sync</t>
        </is>
      </c>
    </row>
    <row r="32">
      <c r="A32" s="19" t="inlineStr">
        <is>
          <t>31</t>
        </is>
      </c>
      <c r="B32" s="19" t="inlineStr">
        <is>
          <t>31</t>
        </is>
      </c>
      <c r="C32" s="19" t="n"/>
      <c r="D32" s="19" t="n"/>
      <c r="E32" s="19" t="inlineStr">
        <is>
          <t>8</t>
        </is>
      </c>
      <c r="F32" s="19" t="n"/>
      <c r="G32" s="19" t="n"/>
      <c r="H32" s="19" t="n"/>
      <c r="I32" s="19" t="n"/>
      <c r="J32" t="n">
        <v>31</v>
      </c>
      <c r="K32" t="inlineStr">
        <is>
          <t>Phase J registry sync</t>
        </is>
      </c>
    </row>
    <row r="33">
      <c r="A33" s="19" t="inlineStr">
        <is>
          <t>32</t>
        </is>
      </c>
      <c r="B33" s="19" t="inlineStr">
        <is>
          <t>32</t>
        </is>
      </c>
      <c r="C33" s="19" t="n"/>
      <c r="D33" s="19" t="n"/>
      <c r="E33" s="19" t="n"/>
      <c r="F33" s="19" t="n"/>
      <c r="G33" s="19" t="n"/>
      <c r="H33" s="19" t="n"/>
      <c r="I33" s="19" t="inlineStr">
        <is>
          <t>8</t>
        </is>
      </c>
      <c r="J33" t="n">
        <v>32</v>
      </c>
      <c r="K33" t="inlineStr">
        <is>
          <t>Phase J registry sync</t>
        </is>
      </c>
    </row>
    <row r="34">
      <c r="A34" s="19" t="inlineStr">
        <is>
          <t>33</t>
        </is>
      </c>
      <c r="B34" s="19" t="inlineStr">
        <is>
          <t>33</t>
        </is>
      </c>
      <c r="C34" s="19" t="n"/>
      <c r="D34" s="19" t="n"/>
      <c r="E34" s="19" t="n"/>
      <c r="F34" s="19" t="n"/>
      <c r="G34" s="19" t="inlineStr">
        <is>
          <t>9</t>
        </is>
      </c>
      <c r="H34" s="19" t="n"/>
      <c r="I34" s="19" t="n"/>
      <c r="J34" t="n">
        <v>33</v>
      </c>
      <c r="K34" t="inlineStr">
        <is>
          <t>Phase J registry sync</t>
        </is>
      </c>
    </row>
    <row r="35">
      <c r="A35" s="19" t="inlineStr">
        <is>
          <t>34</t>
        </is>
      </c>
      <c r="B35" s="19" t="inlineStr">
        <is>
          <t>34</t>
        </is>
      </c>
      <c r="C35" s="19" t="n"/>
      <c r="D35" s="19" t="n"/>
      <c r="E35" s="19" t="n"/>
      <c r="F35" s="19" t="n"/>
      <c r="G35" s="19" t="n"/>
      <c r="H35" s="19" t="inlineStr">
        <is>
          <t>9</t>
        </is>
      </c>
      <c r="I35" s="19" t="n"/>
      <c r="J35" t="n">
        <v>34</v>
      </c>
      <c r="K35" t="inlineStr">
        <is>
          <t>Phase J registry sync</t>
        </is>
      </c>
    </row>
    <row r="36">
      <c r="A36" s="19" t="inlineStr">
        <is>
          <t>35</t>
        </is>
      </c>
      <c r="B36" s="19" t="inlineStr">
        <is>
          <t>35</t>
        </is>
      </c>
      <c r="C36" s="19" t="n"/>
      <c r="D36" s="19" t="n"/>
      <c r="E36" s="19" t="inlineStr">
        <is>
          <t>9</t>
        </is>
      </c>
      <c r="F36" s="19" t="n"/>
      <c r="G36" s="19" t="n"/>
      <c r="H36" s="19" t="n"/>
      <c r="I36" s="19" t="n"/>
      <c r="J36" t="n">
        <v>35</v>
      </c>
      <c r="K36" t="inlineStr">
        <is>
          <t>Phase J registry sync</t>
        </is>
      </c>
    </row>
    <row r="37">
      <c r="A37" s="19" t="inlineStr">
        <is>
          <t>36</t>
        </is>
      </c>
      <c r="B37" s="19" t="inlineStr">
        <is>
          <t>36</t>
        </is>
      </c>
      <c r="C37" s="19" t="n"/>
      <c r="D37" s="19" t="n"/>
      <c r="E37" s="19" t="n"/>
      <c r="F37" s="19" t="n"/>
      <c r="G37" s="19" t="n"/>
      <c r="H37" s="19" t="n"/>
      <c r="I37" s="19" t="inlineStr">
        <is>
          <t>9</t>
        </is>
      </c>
      <c r="J37" t="n">
        <v>36</v>
      </c>
      <c r="K37" t="inlineStr">
        <is>
          <t>Phase J registry sync</t>
        </is>
      </c>
    </row>
    <row r="38">
      <c r="A38" s="19" t="inlineStr">
        <is>
          <t>37</t>
        </is>
      </c>
      <c r="B38" s="19" t="inlineStr">
        <is>
          <t>37</t>
        </is>
      </c>
      <c r="C38" s="19" t="n"/>
      <c r="D38" s="19" t="n"/>
      <c r="E38" s="19" t="n"/>
      <c r="F38" s="19" t="n"/>
      <c r="G38" s="19" t="inlineStr">
        <is>
          <t>10</t>
        </is>
      </c>
      <c r="H38" s="19" t="n"/>
      <c r="I38" s="19" t="n"/>
      <c r="J38" t="n">
        <v>37</v>
      </c>
      <c r="K38" t="inlineStr">
        <is>
          <t>Phase J registry sync</t>
        </is>
      </c>
    </row>
    <row r="39">
      <c r="A39" s="19" t="inlineStr">
        <is>
          <t>38</t>
        </is>
      </c>
      <c r="B39" s="19" t="inlineStr">
        <is>
          <t>38</t>
        </is>
      </c>
      <c r="C39" s="19" t="n"/>
      <c r="D39" s="19" t="n"/>
      <c r="E39" s="19" t="n"/>
      <c r="F39" s="19" t="n"/>
      <c r="G39" s="19" t="n"/>
      <c r="H39" s="19" t="inlineStr">
        <is>
          <t>10</t>
        </is>
      </c>
      <c r="I39" s="19" t="n"/>
      <c r="J39" t="n">
        <v>38</v>
      </c>
      <c r="K39" t="inlineStr">
        <is>
          <t>Phase J registry sync</t>
        </is>
      </c>
    </row>
    <row r="40">
      <c r="A40" s="19" t="inlineStr">
        <is>
          <t>39</t>
        </is>
      </c>
      <c r="B40" s="19" t="inlineStr">
        <is>
          <t>39</t>
        </is>
      </c>
      <c r="C40" s="19" t="n"/>
      <c r="D40" s="19" t="n"/>
      <c r="E40" s="19" t="inlineStr">
        <is>
          <t>10</t>
        </is>
      </c>
      <c r="F40" s="19" t="n"/>
      <c r="G40" s="19" t="n"/>
      <c r="H40" s="19" t="n"/>
      <c r="I40" s="19" t="n"/>
      <c r="J40" t="n">
        <v>39</v>
      </c>
      <c r="K40" t="inlineStr">
        <is>
          <t>Phase J registry sync</t>
        </is>
      </c>
    </row>
    <row r="41">
      <c r="A41" s="19" t="inlineStr">
        <is>
          <t>40</t>
        </is>
      </c>
      <c r="B41" s="19" t="inlineStr">
        <is>
          <t>40</t>
        </is>
      </c>
      <c r="C41" s="19" t="n"/>
      <c r="D41" s="19" t="n"/>
      <c r="E41" s="19" t="n"/>
      <c r="F41" s="19" t="n"/>
      <c r="G41" s="19" t="n"/>
      <c r="H41" s="19" t="n"/>
      <c r="I41" s="19" t="inlineStr">
        <is>
          <t>10</t>
        </is>
      </c>
      <c r="J41" t="n">
        <v>40</v>
      </c>
      <c r="K41" t="inlineStr">
        <is>
          <t>Phase J registry sync</t>
        </is>
      </c>
    </row>
    <row r="42">
      <c r="A42" s="19" t="inlineStr">
        <is>
          <t>41</t>
        </is>
      </c>
      <c r="B42" s="19" t="inlineStr">
        <is>
          <t>41</t>
        </is>
      </c>
      <c r="C42" s="19" t="n"/>
      <c r="D42" s="19" t="n"/>
      <c r="E42" s="19" t="n"/>
      <c r="F42" s="19" t="n"/>
      <c r="G42" s="19" t="inlineStr">
        <is>
          <t>11</t>
        </is>
      </c>
      <c r="H42" s="19" t="n"/>
      <c r="I42" s="19" t="n"/>
      <c r="J42" t="n">
        <v>41</v>
      </c>
      <c r="K42" t="inlineStr">
        <is>
          <t>Phase J registry sync</t>
        </is>
      </c>
    </row>
    <row r="43">
      <c r="A43" s="19" t="inlineStr">
        <is>
          <t>42</t>
        </is>
      </c>
      <c r="B43" s="19" t="inlineStr">
        <is>
          <t>42</t>
        </is>
      </c>
      <c r="C43" s="19" t="n"/>
      <c r="D43" s="19" t="n"/>
      <c r="E43" s="19" t="n"/>
      <c r="F43" s="19" t="n"/>
      <c r="G43" s="19" t="n"/>
      <c r="H43" s="19" t="inlineStr">
        <is>
          <t>11</t>
        </is>
      </c>
      <c r="I43" s="19" t="n"/>
      <c r="J43" t="n">
        <v>42</v>
      </c>
      <c r="K43" t="inlineStr">
        <is>
          <t>Phase J registry sync</t>
        </is>
      </c>
    </row>
    <row r="44">
      <c r="A44" s="19" t="inlineStr">
        <is>
          <t>43</t>
        </is>
      </c>
      <c r="B44" s="19" t="inlineStr">
        <is>
          <t>43</t>
        </is>
      </c>
      <c r="C44" s="19" t="n"/>
      <c r="D44" s="19" t="n"/>
      <c r="E44" s="19" t="inlineStr">
        <is>
          <t>11</t>
        </is>
      </c>
      <c r="F44" s="19" t="n"/>
      <c r="G44" s="19" t="n"/>
      <c r="H44" s="19" t="n"/>
      <c r="I44" s="19" t="n"/>
      <c r="J44" t="n">
        <v>43</v>
      </c>
      <c r="K44" t="inlineStr">
        <is>
          <t>Phase J registry sync</t>
        </is>
      </c>
    </row>
    <row r="45">
      <c r="A45" s="19" t="inlineStr">
        <is>
          <t>44</t>
        </is>
      </c>
      <c r="B45" s="19" t="inlineStr">
        <is>
          <t>44</t>
        </is>
      </c>
      <c r="C45" s="19" t="n"/>
      <c r="D45" s="19" t="n"/>
      <c r="E45" s="19" t="n"/>
      <c r="F45" s="19" t="n"/>
      <c r="G45" s="19" t="n"/>
      <c r="H45" s="19" t="n"/>
      <c r="I45" s="19" t="inlineStr">
        <is>
          <t>11</t>
        </is>
      </c>
      <c r="J45" t="n">
        <v>44</v>
      </c>
      <c r="K45" t="inlineStr">
        <is>
          <t>Phase J registry sync</t>
        </is>
      </c>
    </row>
    <row r="46">
      <c r="A46" s="19" t="inlineStr">
        <is>
          <t>45</t>
        </is>
      </c>
      <c r="B46" s="19" t="inlineStr">
        <is>
          <t>45</t>
        </is>
      </c>
      <c r="C46" s="19" t="n"/>
      <c r="D46" s="19" t="n"/>
      <c r="E46" s="19" t="n"/>
      <c r="F46" s="19" t="n"/>
      <c r="G46" s="19" t="inlineStr">
        <is>
          <t>12</t>
        </is>
      </c>
      <c r="H46" s="19" t="n"/>
      <c r="I46" s="19" t="n"/>
      <c r="J46" t="n">
        <v>45</v>
      </c>
      <c r="K46" t="inlineStr">
        <is>
          <t>Phase J registry sync</t>
        </is>
      </c>
    </row>
    <row r="47">
      <c r="A47" s="19" t="inlineStr">
        <is>
          <t>46</t>
        </is>
      </c>
      <c r="B47" s="19" t="inlineStr">
        <is>
          <t>46</t>
        </is>
      </c>
      <c r="C47" s="19" t="n"/>
      <c r="D47" s="19" t="n"/>
      <c r="E47" s="19" t="n"/>
      <c r="F47" s="19" t="n"/>
      <c r="G47" s="19" t="n"/>
      <c r="H47" s="19" t="inlineStr">
        <is>
          <t>12</t>
        </is>
      </c>
      <c r="I47" s="19" t="n"/>
      <c r="J47" t="n">
        <v>46</v>
      </c>
      <c r="K47" t="inlineStr">
        <is>
          <t>Phase J registry sync</t>
        </is>
      </c>
    </row>
    <row r="48">
      <c r="A48" s="19" t="inlineStr">
        <is>
          <t>47</t>
        </is>
      </c>
      <c r="B48" s="19" t="inlineStr">
        <is>
          <t>47</t>
        </is>
      </c>
      <c r="C48" s="19" t="n"/>
      <c r="D48" s="19" t="n"/>
      <c r="E48" s="19" t="inlineStr">
        <is>
          <t>12</t>
        </is>
      </c>
      <c r="F48" s="19" t="n"/>
      <c r="G48" s="19" t="n"/>
      <c r="H48" s="19" t="n"/>
      <c r="I48" s="19" t="n"/>
      <c r="J48" t="n">
        <v>47</v>
      </c>
      <c r="K48" t="inlineStr">
        <is>
          <t>Phase J registry sync</t>
        </is>
      </c>
    </row>
    <row r="49">
      <c r="A49" s="19" t="inlineStr">
        <is>
          <t>48</t>
        </is>
      </c>
      <c r="B49" s="19" t="inlineStr">
        <is>
          <t>48</t>
        </is>
      </c>
      <c r="C49" s="19" t="n"/>
      <c r="D49" s="19" t="n"/>
      <c r="E49" s="19" t="n"/>
      <c r="F49" s="19" t="n"/>
      <c r="G49" s="19" t="n"/>
      <c r="H49" s="19" t="n"/>
      <c r="I49" s="19" t="inlineStr">
        <is>
          <t>12</t>
        </is>
      </c>
      <c r="J49" t="n">
        <v>48</v>
      </c>
      <c r="K49" t="inlineStr">
        <is>
          <t>Phase J registry sync</t>
        </is>
      </c>
    </row>
    <row r="50">
      <c r="A50" s="19" t="inlineStr">
        <is>
          <t>49</t>
        </is>
      </c>
      <c r="B50" s="19" t="inlineStr">
        <is>
          <t>49</t>
        </is>
      </c>
      <c r="C50" s="19" t="n"/>
      <c r="D50" s="19" t="n"/>
      <c r="E50" s="19" t="n"/>
      <c r="F50" s="19" t="n"/>
      <c r="G50" s="19" t="inlineStr">
        <is>
          <t>13</t>
        </is>
      </c>
      <c r="H50" s="19" t="n"/>
      <c r="I50" s="19" t="n"/>
      <c r="J50" t="n">
        <v>49</v>
      </c>
      <c r="K50" t="inlineStr">
        <is>
          <t>Phase J registry sync</t>
        </is>
      </c>
    </row>
    <row r="51">
      <c r="A51" s="19" t="inlineStr">
        <is>
          <t>50</t>
        </is>
      </c>
      <c r="B51" s="19" t="inlineStr">
        <is>
          <t>50</t>
        </is>
      </c>
      <c r="C51" s="19" t="n"/>
      <c r="D51" s="19" t="n"/>
      <c r="E51" s="19" t="n"/>
      <c r="F51" s="19" t="n"/>
      <c r="G51" s="19" t="n"/>
      <c r="H51" s="19" t="inlineStr">
        <is>
          <t>13</t>
        </is>
      </c>
      <c r="I51" s="19" t="n"/>
      <c r="J51" t="n">
        <v>50</v>
      </c>
      <c r="K51" t="inlineStr">
        <is>
          <t>Phase J registry sync</t>
        </is>
      </c>
    </row>
    <row r="52">
      <c r="A52" s="19" t="inlineStr">
        <is>
          <t>51</t>
        </is>
      </c>
      <c r="B52" s="19" t="inlineStr">
        <is>
          <t>51</t>
        </is>
      </c>
      <c r="C52" s="19" t="n"/>
      <c r="D52" s="19" t="n"/>
      <c r="E52" s="19" t="inlineStr">
        <is>
          <t>13</t>
        </is>
      </c>
      <c r="F52" s="19" t="n"/>
      <c r="G52" s="19" t="n"/>
      <c r="H52" s="19" t="n"/>
      <c r="I52" s="19" t="n"/>
      <c r="J52" t="n">
        <v>51</v>
      </c>
      <c r="K52" t="inlineStr">
        <is>
          <t>Phase J registry sync</t>
        </is>
      </c>
    </row>
    <row r="53">
      <c r="A53" s="19" t="inlineStr">
        <is>
          <t>52</t>
        </is>
      </c>
      <c r="B53" s="19" t="inlineStr">
        <is>
          <t>52</t>
        </is>
      </c>
      <c r="C53" s="19" t="n"/>
      <c r="D53" s="19" t="n"/>
      <c r="E53" s="19" t="n"/>
      <c r="F53" s="19" t="n"/>
      <c r="G53" s="19" t="n"/>
      <c r="H53" s="19" t="n"/>
      <c r="I53" s="19" t="inlineStr">
        <is>
          <t>13</t>
        </is>
      </c>
      <c r="J53" t="n">
        <v>52</v>
      </c>
      <c r="K53" t="inlineStr">
        <is>
          <t>Phase J registry sync</t>
        </is>
      </c>
    </row>
    <row r="54">
      <c r="A54" s="19" t="inlineStr">
        <is>
          <t>53</t>
        </is>
      </c>
      <c r="B54" s="19" t="inlineStr">
        <is>
          <t>53</t>
        </is>
      </c>
      <c r="C54" s="19" t="n"/>
      <c r="D54" s="19" t="n"/>
      <c r="E54" s="19" t="n"/>
      <c r="F54" s="19" t="n"/>
      <c r="G54" s="19" t="inlineStr">
        <is>
          <t>14</t>
        </is>
      </c>
      <c r="H54" s="19" t="n"/>
      <c r="I54" s="19" t="n"/>
      <c r="J54" t="n">
        <v>53</v>
      </c>
      <c r="K54" t="inlineStr">
        <is>
          <t>Phase J registry sync</t>
        </is>
      </c>
    </row>
    <row r="55">
      <c r="A55" s="19" t="inlineStr">
        <is>
          <t>54</t>
        </is>
      </c>
      <c r="B55" s="19" t="inlineStr">
        <is>
          <t>54</t>
        </is>
      </c>
      <c r="C55" s="19" t="n"/>
      <c r="D55" s="19" t="n"/>
      <c r="E55" s="19" t="n"/>
      <c r="F55" s="19" t="n"/>
      <c r="G55" s="19" t="n"/>
      <c r="H55" s="19" t="inlineStr">
        <is>
          <t>14</t>
        </is>
      </c>
      <c r="I55" s="19" t="n"/>
      <c r="J55" t="n">
        <v>54</v>
      </c>
      <c r="K55" t="inlineStr">
        <is>
          <t>Phase J registry sync</t>
        </is>
      </c>
    </row>
    <row r="56">
      <c r="A56" s="19" t="inlineStr">
        <is>
          <t>55</t>
        </is>
      </c>
      <c r="B56" s="19" t="inlineStr">
        <is>
          <t>55</t>
        </is>
      </c>
      <c r="C56" s="19" t="n"/>
      <c r="D56" s="19" t="n"/>
      <c r="E56" s="19" t="inlineStr">
        <is>
          <t>14</t>
        </is>
      </c>
      <c r="F56" s="19" t="n"/>
      <c r="G56" s="19" t="n"/>
      <c r="H56" s="19" t="n"/>
      <c r="I56" s="19" t="n"/>
      <c r="J56" t="n">
        <v>55</v>
      </c>
      <c r="K56" t="inlineStr">
        <is>
          <t>Phase J registry sync</t>
        </is>
      </c>
    </row>
    <row r="57">
      <c r="A57" s="19" t="inlineStr">
        <is>
          <t>56</t>
        </is>
      </c>
      <c r="B57" s="19" t="inlineStr">
        <is>
          <t>56</t>
        </is>
      </c>
      <c r="C57" s="19" t="n"/>
      <c r="D57" s="19" t="n"/>
      <c r="E57" s="19" t="n"/>
      <c r="F57" s="19" t="n"/>
      <c r="G57" s="19" t="n"/>
      <c r="H57" s="19" t="n"/>
      <c r="I57" s="19" t="inlineStr">
        <is>
          <t>14</t>
        </is>
      </c>
      <c r="J57" t="n">
        <v>56</v>
      </c>
      <c r="K57" t="inlineStr">
        <is>
          <t>Phase J registry sync</t>
        </is>
      </c>
    </row>
    <row r="58">
      <c r="A58" s="19" t="inlineStr">
        <is>
          <t>57</t>
        </is>
      </c>
      <c r="B58" s="19" t="inlineStr">
        <is>
          <t>57</t>
        </is>
      </c>
      <c r="C58" s="19" t="n"/>
      <c r="D58" s="19" t="n"/>
      <c r="E58" s="19" t="n"/>
      <c r="F58" s="19" t="n"/>
      <c r="G58" s="19" t="inlineStr">
        <is>
          <t>15</t>
        </is>
      </c>
      <c r="H58" s="19" t="n"/>
      <c r="I58" s="19" t="n"/>
      <c r="J58" t="n">
        <v>57</v>
      </c>
      <c r="K58" t="inlineStr">
        <is>
          <t>Phase J registry sync</t>
        </is>
      </c>
    </row>
    <row r="59">
      <c r="A59" s="19" t="inlineStr">
        <is>
          <t>58</t>
        </is>
      </c>
      <c r="B59" s="19" t="inlineStr">
        <is>
          <t>58</t>
        </is>
      </c>
      <c r="C59" s="19" t="n"/>
      <c r="D59" s="19" t="n"/>
      <c r="E59" s="19" t="n"/>
      <c r="F59" s="19" t="n"/>
      <c r="G59" s="19" t="n"/>
      <c r="H59" s="19" t="inlineStr">
        <is>
          <t>15</t>
        </is>
      </c>
      <c r="I59" s="19" t="n"/>
      <c r="J59" t="n">
        <v>58</v>
      </c>
      <c r="K59" t="inlineStr">
        <is>
          <t>Phase J registry sync</t>
        </is>
      </c>
    </row>
    <row r="60">
      <c r="A60" s="19" t="inlineStr">
        <is>
          <t>59</t>
        </is>
      </c>
      <c r="B60" s="19" t="inlineStr">
        <is>
          <t>59</t>
        </is>
      </c>
      <c r="C60" s="19" t="n"/>
      <c r="D60" s="19" t="n"/>
      <c r="E60" s="19" t="inlineStr">
        <is>
          <t>15</t>
        </is>
      </c>
      <c r="F60" s="19" t="n"/>
      <c r="G60" s="19" t="n"/>
      <c r="H60" s="19" t="n"/>
      <c r="I60" s="19" t="n"/>
      <c r="J60" t="n">
        <v>59</v>
      </c>
      <c r="K60" t="inlineStr">
        <is>
          <t>Phase J registry sync</t>
        </is>
      </c>
    </row>
    <row r="61">
      <c r="A61" s="19" t="inlineStr">
        <is>
          <t>60</t>
        </is>
      </c>
      <c r="B61" s="19" t="inlineStr">
        <is>
          <t>60</t>
        </is>
      </c>
      <c r="C61" s="19" t="n"/>
      <c r="D61" s="19" t="n"/>
      <c r="E61" s="19" t="n"/>
      <c r="F61" s="19" t="n"/>
      <c r="G61" s="19" t="n"/>
      <c r="H61" s="19" t="n"/>
      <c r="I61" s="19" t="inlineStr">
        <is>
          <t>15</t>
        </is>
      </c>
      <c r="J61" t="n">
        <v>60</v>
      </c>
      <c r="K61" t="inlineStr">
        <is>
          <t>Phase J registry sync</t>
        </is>
      </c>
    </row>
    <row r="62">
      <c r="A62" s="19" t="inlineStr">
        <is>
          <t>61</t>
        </is>
      </c>
      <c r="B62" s="19" t="inlineStr">
        <is>
          <t>61</t>
        </is>
      </c>
      <c r="C62" s="19" t="n"/>
      <c r="D62" s="19" t="n"/>
      <c r="E62" s="19" t="n"/>
      <c r="F62" s="19" t="n"/>
      <c r="G62" s="19" t="inlineStr">
        <is>
          <t>16</t>
        </is>
      </c>
      <c r="H62" s="19" t="n"/>
      <c r="I62" s="19" t="n"/>
      <c r="J62" t="n">
        <v>61</v>
      </c>
      <c r="K62" t="inlineStr">
        <is>
          <t>Phase J registry sync</t>
        </is>
      </c>
    </row>
    <row r="63">
      <c r="A63" s="19" t="inlineStr">
        <is>
          <t>62</t>
        </is>
      </c>
      <c r="B63" s="19" t="inlineStr">
        <is>
          <t>62</t>
        </is>
      </c>
      <c r="C63" s="19" t="n"/>
      <c r="D63" s="19" t="n"/>
      <c r="E63" s="19" t="n"/>
      <c r="F63" s="19" t="n"/>
      <c r="G63" s="19" t="n"/>
      <c r="H63" s="19" t="inlineStr">
        <is>
          <t>16</t>
        </is>
      </c>
      <c r="I63" s="19" t="n"/>
      <c r="J63" t="n">
        <v>62</v>
      </c>
      <c r="K63" t="inlineStr">
        <is>
          <t>Phase J registry sync</t>
        </is>
      </c>
    </row>
    <row r="64">
      <c r="A64" s="19" t="inlineStr">
        <is>
          <t>63</t>
        </is>
      </c>
      <c r="B64" s="19" t="inlineStr">
        <is>
          <t>63</t>
        </is>
      </c>
      <c r="C64" s="19" t="n"/>
      <c r="D64" s="19" t="n"/>
      <c r="E64" s="19" t="inlineStr">
        <is>
          <t>16</t>
        </is>
      </c>
      <c r="F64" s="19" t="n"/>
      <c r="G64" s="19" t="n"/>
      <c r="H64" s="19" t="n"/>
      <c r="I64" s="19" t="n"/>
      <c r="J64" t="n">
        <v>63</v>
      </c>
      <c r="K64" t="inlineStr">
        <is>
          <t>Phase J registry sync</t>
        </is>
      </c>
    </row>
    <row r="65">
      <c r="A65" s="19" t="inlineStr">
        <is>
          <t>64</t>
        </is>
      </c>
      <c r="B65" s="19" t="inlineStr">
        <is>
          <t>64</t>
        </is>
      </c>
      <c r="C65" s="19" t="n"/>
      <c r="D65" s="19" t="n"/>
      <c r="E65" s="19" t="n"/>
      <c r="F65" s="19" t="n"/>
      <c r="G65" s="19" t="n"/>
      <c r="H65" s="19" t="n"/>
      <c r="I65" s="19" t="inlineStr">
        <is>
          <t>16</t>
        </is>
      </c>
      <c r="J65" t="n">
        <v>64</v>
      </c>
      <c r="K65" t="inlineStr">
        <is>
          <t>Phase J registry sync</t>
        </is>
      </c>
    </row>
    <row r="66">
      <c r="A66" s="19" t="inlineStr">
        <is>
          <t>65</t>
        </is>
      </c>
      <c r="B66" s="19" t="inlineStr">
        <is>
          <t>65</t>
        </is>
      </c>
      <c r="C66" s="19" t="n"/>
      <c r="D66" s="19" t="n"/>
      <c r="E66" s="19" t="n"/>
      <c r="F66" s="19" t="n"/>
      <c r="G66" s="19" t="inlineStr">
        <is>
          <t>17</t>
        </is>
      </c>
      <c r="H66" s="19" t="n"/>
      <c r="I66" s="19" t="n"/>
      <c r="J66" t="n">
        <v>65</v>
      </c>
      <c r="K66" t="inlineStr">
        <is>
          <t>Phase J registry sync</t>
        </is>
      </c>
    </row>
    <row r="67">
      <c r="A67" s="19" t="inlineStr">
        <is>
          <t>66</t>
        </is>
      </c>
      <c r="B67" s="19" t="inlineStr">
        <is>
          <t>66</t>
        </is>
      </c>
      <c r="C67" s="19" t="n"/>
      <c r="D67" s="19" t="n"/>
      <c r="E67" s="19" t="n"/>
      <c r="F67" s="19" t="n"/>
      <c r="G67" s="19" t="n"/>
      <c r="H67" s="19" t="inlineStr">
        <is>
          <t>17</t>
        </is>
      </c>
      <c r="I67" s="19" t="n"/>
      <c r="J67" t="n">
        <v>66</v>
      </c>
      <c r="K67" t="inlineStr">
        <is>
          <t>Phase J registry sync</t>
        </is>
      </c>
    </row>
    <row r="68">
      <c r="A68" s="19" t="inlineStr">
        <is>
          <t>67</t>
        </is>
      </c>
      <c r="B68" s="19" t="inlineStr">
        <is>
          <t>67</t>
        </is>
      </c>
      <c r="C68" s="19" t="n"/>
      <c r="D68" s="19" t="n"/>
      <c r="E68" s="19" t="inlineStr">
        <is>
          <t>17</t>
        </is>
      </c>
      <c r="F68" s="19" t="n"/>
      <c r="G68" s="19" t="n"/>
      <c r="H68" s="19" t="n"/>
      <c r="I68" s="19" t="n"/>
      <c r="J68" t="n">
        <v>67</v>
      </c>
      <c r="K68" t="inlineStr">
        <is>
          <t>Phase J registry sync</t>
        </is>
      </c>
    </row>
    <row r="69">
      <c r="A69" s="19" t="inlineStr">
        <is>
          <t>68</t>
        </is>
      </c>
      <c r="B69" s="19" t="inlineStr">
        <is>
          <t>68</t>
        </is>
      </c>
      <c r="C69" s="19" t="n"/>
      <c r="D69" s="19" t="n"/>
      <c r="E69" s="19" t="n"/>
      <c r="F69" s="19" t="n"/>
      <c r="G69" s="19" t="n"/>
      <c r="H69" s="19" t="n"/>
      <c r="I69" s="19" t="inlineStr">
        <is>
          <t>17</t>
        </is>
      </c>
      <c r="J69" t="n">
        <v>68</v>
      </c>
      <c r="K69" t="inlineStr">
        <is>
          <t>Phase J registry sync</t>
        </is>
      </c>
    </row>
    <row r="70">
      <c r="A70" s="19" t="inlineStr">
        <is>
          <t>69</t>
        </is>
      </c>
      <c r="B70" s="19" t="inlineStr">
        <is>
          <t>69</t>
        </is>
      </c>
      <c r="C70" s="19" t="n"/>
      <c r="D70" s="19" t="n"/>
      <c r="E70" s="19" t="n"/>
      <c r="F70" s="19" t="n"/>
      <c r="G70" s="19" t="inlineStr">
        <is>
          <t>18</t>
        </is>
      </c>
      <c r="H70" s="19" t="n"/>
      <c r="I70" s="19" t="n"/>
      <c r="J70" t="n">
        <v>69</v>
      </c>
      <c r="K70" t="inlineStr">
        <is>
          <t>Phase J registry sync</t>
        </is>
      </c>
    </row>
    <row r="71">
      <c r="A71" s="19" t="inlineStr">
        <is>
          <t>70</t>
        </is>
      </c>
      <c r="B71" s="19" t="inlineStr">
        <is>
          <t>70</t>
        </is>
      </c>
      <c r="C71" s="19" t="n"/>
      <c r="D71" s="19" t="n"/>
      <c r="E71" s="19" t="n"/>
      <c r="F71" s="19" t="n"/>
      <c r="G71" s="19" t="n"/>
      <c r="H71" s="19" t="inlineStr">
        <is>
          <t>18</t>
        </is>
      </c>
      <c r="I71" s="19" t="n"/>
      <c r="J71" t="n">
        <v>70</v>
      </c>
      <c r="K71" t="inlineStr">
        <is>
          <t>Phase J registry sync</t>
        </is>
      </c>
    </row>
    <row r="72">
      <c r="A72" s="19" t="inlineStr">
        <is>
          <t>71</t>
        </is>
      </c>
      <c r="B72" s="19" t="inlineStr">
        <is>
          <t>71</t>
        </is>
      </c>
      <c r="C72" s="19" t="n"/>
      <c r="D72" s="19" t="n"/>
      <c r="E72" s="19" t="inlineStr">
        <is>
          <t>18</t>
        </is>
      </c>
      <c r="F72" s="19" t="n"/>
      <c r="G72" s="19" t="n"/>
      <c r="H72" s="19" t="n"/>
      <c r="I72" s="19" t="n"/>
      <c r="J72" t="n">
        <v>71</v>
      </c>
      <c r="K72" t="inlineStr">
        <is>
          <t>Phase J registry sync</t>
        </is>
      </c>
    </row>
    <row r="73">
      <c r="A73" s="19" t="inlineStr">
        <is>
          <t>72</t>
        </is>
      </c>
      <c r="B73" s="19" t="inlineStr">
        <is>
          <t>72</t>
        </is>
      </c>
      <c r="C73" s="19" t="n"/>
      <c r="D73" s="19" t="n"/>
      <c r="E73" s="19" t="n"/>
      <c r="F73" s="19" t="n"/>
      <c r="G73" s="19" t="n"/>
      <c r="H73" s="19" t="n"/>
      <c r="I73" s="19" t="inlineStr">
        <is>
          <t>18</t>
        </is>
      </c>
      <c r="J73" t="n">
        <v>72</v>
      </c>
      <c r="K73" t="inlineStr">
        <is>
          <t>Phase J registry sync</t>
        </is>
      </c>
    </row>
    <row r="74">
      <c r="A74" s="19" t="inlineStr">
        <is>
          <t>73</t>
        </is>
      </c>
      <c r="B74" s="19" t="inlineStr">
        <is>
          <t>73</t>
        </is>
      </c>
      <c r="C74" s="19" t="n"/>
      <c r="D74" s="19" t="n"/>
      <c r="E74" s="19" t="n"/>
      <c r="F74" s="19" t="n"/>
      <c r="G74" s="19" t="inlineStr">
        <is>
          <t>19</t>
        </is>
      </c>
      <c r="H74" s="19" t="n"/>
      <c r="I74" s="19" t="n"/>
      <c r="J74" t="n">
        <v>73</v>
      </c>
      <c r="K74" t="inlineStr">
        <is>
          <t>Phase J registry sync</t>
        </is>
      </c>
    </row>
    <row r="75">
      <c r="A75" s="19" t="inlineStr">
        <is>
          <t>74</t>
        </is>
      </c>
      <c r="B75" s="19" t="inlineStr">
        <is>
          <t>74</t>
        </is>
      </c>
      <c r="C75" s="19" t="n"/>
      <c r="D75" s="19" t="n"/>
      <c r="E75" s="19" t="n"/>
      <c r="F75" s="19" t="n"/>
      <c r="G75" s="19" t="n"/>
      <c r="H75" s="19" t="inlineStr">
        <is>
          <t>19</t>
        </is>
      </c>
      <c r="I75" s="19" t="n"/>
      <c r="J75" t="n">
        <v>74</v>
      </c>
      <c r="K75" t="inlineStr">
        <is>
          <t>Phase J registry sync</t>
        </is>
      </c>
    </row>
    <row r="76">
      <c r="A76" s="19" t="inlineStr">
        <is>
          <t>75</t>
        </is>
      </c>
      <c r="B76" s="19" t="inlineStr">
        <is>
          <t>75</t>
        </is>
      </c>
      <c r="C76" s="19" t="n"/>
      <c r="D76" s="19" t="n"/>
      <c r="E76" s="19" t="inlineStr">
        <is>
          <t>19</t>
        </is>
      </c>
      <c r="F76" s="19" t="n"/>
      <c r="G76" s="19" t="n"/>
      <c r="H76" s="19" t="n"/>
      <c r="I76" s="19" t="n"/>
      <c r="J76" t="n">
        <v>75</v>
      </c>
      <c r="K76" t="inlineStr">
        <is>
          <t>Phase J registry sync</t>
        </is>
      </c>
    </row>
    <row r="77">
      <c r="A77" s="19" t="inlineStr">
        <is>
          <t>76</t>
        </is>
      </c>
      <c r="B77" s="19" t="inlineStr">
        <is>
          <t>76</t>
        </is>
      </c>
      <c r="C77" s="19" t="n"/>
      <c r="D77" s="19" t="n"/>
      <c r="E77" s="19" t="n"/>
      <c r="F77" s="19" t="n"/>
      <c r="G77" s="19" t="n"/>
      <c r="H77" s="19" t="n"/>
      <c r="I77" s="19" t="inlineStr">
        <is>
          <t>19</t>
        </is>
      </c>
      <c r="J77" t="n">
        <v>76</v>
      </c>
      <c r="K77" t="inlineStr">
        <is>
          <t>Phase J registry sync</t>
        </is>
      </c>
    </row>
    <row r="78">
      <c r="A78" s="19" t="inlineStr">
        <is>
          <t>77</t>
        </is>
      </c>
      <c r="B78" s="19" t="inlineStr">
        <is>
          <t>77</t>
        </is>
      </c>
      <c r="C78" s="19" t="n"/>
      <c r="D78" s="19" t="n"/>
      <c r="E78" s="19" t="n"/>
      <c r="F78" s="19" t="n"/>
      <c r="G78" s="19" t="inlineStr">
        <is>
          <t>20</t>
        </is>
      </c>
      <c r="H78" s="19" t="n"/>
      <c r="I78" s="19" t="n"/>
      <c r="J78" t="n">
        <v>77</v>
      </c>
      <c r="K78" t="inlineStr">
        <is>
          <t>Phase J registry sync</t>
        </is>
      </c>
    </row>
    <row r="79">
      <c r="A79" s="19" t="inlineStr">
        <is>
          <t>78</t>
        </is>
      </c>
      <c r="B79" s="19" t="inlineStr">
        <is>
          <t>78</t>
        </is>
      </c>
      <c r="C79" s="19" t="n"/>
      <c r="D79" s="19" t="n"/>
      <c r="E79" s="19" t="n"/>
      <c r="F79" s="19" t="n"/>
      <c r="G79" s="19" t="n"/>
      <c r="H79" s="19" t="inlineStr">
        <is>
          <t>20</t>
        </is>
      </c>
      <c r="I79" s="19" t="n"/>
      <c r="J79" t="n">
        <v>78</v>
      </c>
      <c r="K79" t="inlineStr">
        <is>
          <t>Phase J registry sync</t>
        </is>
      </c>
    </row>
    <row r="80">
      <c r="A80" s="19" t="inlineStr">
        <is>
          <t>79</t>
        </is>
      </c>
      <c r="B80" s="19" t="inlineStr">
        <is>
          <t>79</t>
        </is>
      </c>
      <c r="C80" s="19" t="n"/>
      <c r="D80" s="19" t="n"/>
      <c r="E80" s="19" t="inlineStr">
        <is>
          <t>20</t>
        </is>
      </c>
      <c r="F80" s="19" t="n"/>
      <c r="G80" s="19" t="n"/>
      <c r="H80" s="19" t="n"/>
      <c r="I80" s="19" t="n"/>
      <c r="J80" t="n">
        <v>79</v>
      </c>
      <c r="K80" t="inlineStr">
        <is>
          <t>Phase J registry sync</t>
        </is>
      </c>
    </row>
    <row r="81">
      <c r="A81" s="19" t="inlineStr">
        <is>
          <t>80</t>
        </is>
      </c>
      <c r="B81" s="19" t="inlineStr">
        <is>
          <t>80</t>
        </is>
      </c>
      <c r="C81" s="19" t="n"/>
      <c r="D81" s="19" t="n"/>
      <c r="E81" s="19" t="n"/>
      <c r="F81" s="19" t="n"/>
      <c r="G81" s="19" t="n"/>
      <c r="H81" s="19" t="n"/>
      <c r="I81" s="19" t="inlineStr">
        <is>
          <t>20</t>
        </is>
      </c>
      <c r="J81" t="n">
        <v>80</v>
      </c>
      <c r="K81" t="inlineStr">
        <is>
          <t>Phase J registry sync</t>
        </is>
      </c>
    </row>
    <row r="82">
      <c r="A82" s="19" t="inlineStr">
        <is>
          <t>81</t>
        </is>
      </c>
      <c r="B82" s="19" t="inlineStr">
        <is>
          <t>81</t>
        </is>
      </c>
      <c r="C82" s="19" t="n"/>
      <c r="D82" s="19" t="n"/>
      <c r="E82" s="19" t="n"/>
      <c r="F82" s="19" t="n"/>
      <c r="G82" s="19" t="inlineStr">
        <is>
          <t>21</t>
        </is>
      </c>
      <c r="H82" s="19" t="n"/>
      <c r="I82" s="19" t="n"/>
      <c r="J82" t="n">
        <v>81</v>
      </c>
      <c r="K82" t="inlineStr">
        <is>
          <t>Phase J registry sync</t>
        </is>
      </c>
    </row>
    <row r="83">
      <c r="A83" s="19" t="inlineStr">
        <is>
          <t>82</t>
        </is>
      </c>
      <c r="B83" s="19" t="inlineStr">
        <is>
          <t>82</t>
        </is>
      </c>
      <c r="C83" s="19" t="n"/>
      <c r="D83" s="19" t="n"/>
      <c r="E83" s="19" t="n"/>
      <c r="F83" s="19" t="n"/>
      <c r="G83" s="19" t="n"/>
      <c r="H83" s="19" t="inlineStr">
        <is>
          <t>21</t>
        </is>
      </c>
      <c r="I83" s="19" t="n"/>
      <c r="J83" t="n">
        <v>82</v>
      </c>
      <c r="K83" t="inlineStr">
        <is>
          <t>Phase J registry sync</t>
        </is>
      </c>
    </row>
    <row r="84">
      <c r="A84" s="19" t="inlineStr">
        <is>
          <t>83</t>
        </is>
      </c>
      <c r="B84" s="19" t="inlineStr">
        <is>
          <t>83</t>
        </is>
      </c>
      <c r="C84" s="19" t="n"/>
      <c r="D84" s="19" t="n"/>
      <c r="E84" s="19" t="inlineStr">
        <is>
          <t>21</t>
        </is>
      </c>
      <c r="F84" s="19" t="n"/>
      <c r="G84" s="19" t="n"/>
      <c r="H84" s="19" t="n"/>
      <c r="I84" s="19" t="n"/>
      <c r="J84" t="n">
        <v>83</v>
      </c>
      <c r="K84" t="inlineStr">
        <is>
          <t>Phase J registry sync</t>
        </is>
      </c>
    </row>
    <row r="85">
      <c r="A85" s="19" t="inlineStr">
        <is>
          <t>84</t>
        </is>
      </c>
      <c r="B85" s="19" t="inlineStr">
        <is>
          <t>84</t>
        </is>
      </c>
      <c r="C85" s="19" t="n"/>
      <c r="D85" s="19" t="n"/>
      <c r="E85" s="19" t="n"/>
      <c r="F85" s="19" t="n"/>
      <c r="G85" s="19" t="n"/>
      <c r="H85" s="19" t="n"/>
      <c r="I85" s="19" t="inlineStr">
        <is>
          <t>21</t>
        </is>
      </c>
      <c r="J85" t="n">
        <v>84</v>
      </c>
      <c r="K85" t="inlineStr">
        <is>
          <t>Phase J registry sync</t>
        </is>
      </c>
    </row>
    <row r="86">
      <c r="A86" s="19" t="inlineStr">
        <is>
          <t>85</t>
        </is>
      </c>
      <c r="B86" s="19" t="inlineStr">
        <is>
          <t>85</t>
        </is>
      </c>
      <c r="C86" s="19" t="n"/>
      <c r="D86" s="19" t="n"/>
      <c r="E86" s="19" t="n"/>
      <c r="F86" s="19" t="n"/>
      <c r="G86" s="19" t="inlineStr">
        <is>
          <t>22</t>
        </is>
      </c>
      <c r="H86" s="19" t="n"/>
      <c r="I86" s="19" t="n"/>
      <c r="J86" t="n">
        <v>85</v>
      </c>
      <c r="K86" t="inlineStr">
        <is>
          <t>Phase J registry sync</t>
        </is>
      </c>
    </row>
    <row r="87">
      <c r="A87" s="19" t="inlineStr">
        <is>
          <t>86</t>
        </is>
      </c>
      <c r="B87" s="19" t="inlineStr">
        <is>
          <t>86</t>
        </is>
      </c>
      <c r="C87" s="19" t="n"/>
      <c r="D87" s="19" t="n"/>
      <c r="E87" s="19" t="n"/>
      <c r="F87" s="19" t="n"/>
      <c r="G87" s="19" t="n"/>
      <c r="H87" s="19" t="inlineStr">
        <is>
          <t>22</t>
        </is>
      </c>
      <c r="I87" s="19" t="n"/>
      <c r="J87" t="n">
        <v>86</v>
      </c>
      <c r="K87" t="inlineStr">
        <is>
          <t>Phase J registry sync</t>
        </is>
      </c>
    </row>
    <row r="88">
      <c r="A88" s="19" t="inlineStr">
        <is>
          <t>87</t>
        </is>
      </c>
      <c r="B88" s="19" t="inlineStr">
        <is>
          <t>87</t>
        </is>
      </c>
      <c r="C88" s="19" t="n"/>
      <c r="D88" s="19" t="n"/>
      <c r="E88" s="19" t="inlineStr">
        <is>
          <t>22</t>
        </is>
      </c>
      <c r="F88" s="19" t="n"/>
      <c r="G88" s="19" t="n"/>
      <c r="H88" s="19" t="n"/>
      <c r="I88" s="19" t="n"/>
      <c r="J88" t="n">
        <v>87</v>
      </c>
      <c r="K88" t="inlineStr">
        <is>
          <t>Phase J registry sync</t>
        </is>
      </c>
    </row>
    <row r="89">
      <c r="A89" s="19" t="inlineStr">
        <is>
          <t>88</t>
        </is>
      </c>
      <c r="B89" s="19" t="inlineStr">
        <is>
          <t>88</t>
        </is>
      </c>
      <c r="C89" s="19" t="n"/>
      <c r="D89" s="19" t="n"/>
      <c r="E89" s="19" t="n"/>
      <c r="F89" s="19" t="n"/>
      <c r="G89" s="19" t="n"/>
      <c r="H89" s="19" t="n"/>
      <c r="I89" s="19" t="inlineStr">
        <is>
          <t>22</t>
        </is>
      </c>
      <c r="J89" t="n">
        <v>88</v>
      </c>
      <c r="K89" t="inlineStr">
        <is>
          <t>Phase J registry sync</t>
        </is>
      </c>
    </row>
    <row r="90">
      <c r="A90" s="19" t="inlineStr">
        <is>
          <t>89</t>
        </is>
      </c>
      <c r="B90" s="19" t="inlineStr">
        <is>
          <t>89</t>
        </is>
      </c>
      <c r="C90" s="19" t="n"/>
      <c r="D90" s="19" t="n"/>
      <c r="E90" s="19" t="n"/>
      <c r="F90" s="19" t="n"/>
      <c r="G90" s="19" t="inlineStr">
        <is>
          <t>23</t>
        </is>
      </c>
      <c r="H90" s="19" t="n"/>
      <c r="I90" s="19" t="n"/>
      <c r="J90" t="n">
        <v>89</v>
      </c>
      <c r="K90" t="inlineStr">
        <is>
          <t>Phase J registry sync</t>
        </is>
      </c>
    </row>
    <row r="91">
      <c r="A91" s="19" t="inlineStr">
        <is>
          <t>90</t>
        </is>
      </c>
      <c r="B91" s="19" t="inlineStr">
        <is>
          <t>90</t>
        </is>
      </c>
      <c r="C91" s="19" t="n"/>
      <c r="D91" s="19" t="n"/>
      <c r="E91" s="19" t="n"/>
      <c r="F91" s="19" t="n"/>
      <c r="G91" s="19" t="n"/>
      <c r="H91" s="19" t="inlineStr">
        <is>
          <t>23</t>
        </is>
      </c>
      <c r="I91" s="19" t="n"/>
      <c r="J91" t="n">
        <v>90</v>
      </c>
      <c r="K91" t="inlineStr">
        <is>
          <t>Phase J registry sync</t>
        </is>
      </c>
    </row>
    <row r="92">
      <c r="A92" s="19" t="inlineStr">
        <is>
          <t>91</t>
        </is>
      </c>
      <c r="B92" s="19" t="inlineStr">
        <is>
          <t>91</t>
        </is>
      </c>
      <c r="C92" s="19" t="n"/>
      <c r="D92" s="19" t="n"/>
      <c r="E92" s="19" t="inlineStr">
        <is>
          <t>23</t>
        </is>
      </c>
      <c r="F92" s="19" t="n"/>
      <c r="G92" s="19" t="n"/>
      <c r="H92" s="19" t="n"/>
      <c r="I92" s="19" t="n"/>
      <c r="J92" t="n">
        <v>91</v>
      </c>
      <c r="K92" t="inlineStr">
        <is>
          <t>Phase J registry sync</t>
        </is>
      </c>
    </row>
    <row r="93">
      <c r="A93" s="19" t="inlineStr">
        <is>
          <t>92</t>
        </is>
      </c>
      <c r="B93" s="19" t="inlineStr">
        <is>
          <t>92</t>
        </is>
      </c>
      <c r="C93" s="19" t="n"/>
      <c r="D93" s="19" t="n"/>
      <c r="E93" s="19" t="n"/>
      <c r="F93" s="19" t="n"/>
      <c r="G93" s="19" t="n"/>
      <c r="H93" s="19" t="n"/>
      <c r="I93" s="19" t="inlineStr">
        <is>
          <t>23</t>
        </is>
      </c>
      <c r="J93" t="n">
        <v>92</v>
      </c>
      <c r="K93" t="inlineStr">
        <is>
          <t>Phase J registry sync</t>
        </is>
      </c>
    </row>
    <row r="94">
      <c r="A94" s="19" t="inlineStr">
        <is>
          <t>93</t>
        </is>
      </c>
      <c r="B94" s="19" t="inlineStr">
        <is>
          <t>93</t>
        </is>
      </c>
      <c r="C94" s="19" t="n"/>
      <c r="D94" s="19" t="n"/>
      <c r="E94" s="19" t="n"/>
      <c r="F94" s="19" t="n"/>
      <c r="G94" s="19" t="inlineStr">
        <is>
          <t>24</t>
        </is>
      </c>
      <c r="H94" s="19" t="n"/>
      <c r="I94" s="19" t="n"/>
      <c r="J94" t="n">
        <v>93</v>
      </c>
      <c r="K94" t="inlineStr">
        <is>
          <t>Phase J registry sync</t>
        </is>
      </c>
    </row>
    <row r="95">
      <c r="A95" s="19" t="inlineStr">
        <is>
          <t>94</t>
        </is>
      </c>
      <c r="B95" s="19" t="inlineStr">
        <is>
          <t>94</t>
        </is>
      </c>
      <c r="C95" s="19" t="n"/>
      <c r="D95" s="19" t="n"/>
      <c r="E95" s="19" t="n"/>
      <c r="F95" s="19" t="n"/>
      <c r="G95" s="19" t="n"/>
      <c r="H95" s="19" t="inlineStr">
        <is>
          <t>24</t>
        </is>
      </c>
      <c r="I95" s="19" t="n"/>
      <c r="J95" t="n">
        <v>94</v>
      </c>
      <c r="K95" t="inlineStr">
        <is>
          <t>Phase J registry sync</t>
        </is>
      </c>
    </row>
    <row r="96">
      <c r="A96" s="19" t="inlineStr">
        <is>
          <t>95</t>
        </is>
      </c>
      <c r="B96" s="19" t="inlineStr">
        <is>
          <t>95</t>
        </is>
      </c>
      <c r="C96" s="19" t="n"/>
      <c r="D96" s="19" t="n"/>
      <c r="E96" s="19" t="inlineStr">
        <is>
          <t>24</t>
        </is>
      </c>
      <c r="F96" s="19" t="n"/>
      <c r="G96" s="19" t="n"/>
      <c r="H96" s="19" t="n"/>
      <c r="I96" s="19" t="n"/>
      <c r="J96" t="n">
        <v>95</v>
      </c>
      <c r="K96" t="inlineStr">
        <is>
          <t>Phase J registry sync</t>
        </is>
      </c>
    </row>
    <row r="97">
      <c r="A97" s="19" t="inlineStr">
        <is>
          <t>96</t>
        </is>
      </c>
      <c r="B97" s="19" t="inlineStr">
        <is>
          <t>96</t>
        </is>
      </c>
      <c r="C97" s="19" t="n"/>
      <c r="D97" s="19" t="n"/>
      <c r="E97" s="19" t="n"/>
      <c r="F97" s="19" t="n"/>
      <c r="G97" s="19" t="n"/>
      <c r="H97" s="19" t="n"/>
      <c r="I97" s="19" t="inlineStr">
        <is>
          <t>24</t>
        </is>
      </c>
      <c r="J97" t="n">
        <v>96</v>
      </c>
      <c r="K97" t="inlineStr">
        <is>
          <t>Phase J registry sync</t>
        </is>
      </c>
    </row>
    <row r="98">
      <c r="A98" s="19" t="inlineStr">
        <is>
          <t>97</t>
        </is>
      </c>
      <c r="B98" s="19" t="inlineStr">
        <is>
          <t>97</t>
        </is>
      </c>
      <c r="C98" s="19" t="n"/>
      <c r="D98" s="19" t="n"/>
      <c r="E98" s="19" t="n"/>
      <c r="F98" s="19" t="n"/>
      <c r="G98" s="19" t="inlineStr">
        <is>
          <t>25</t>
        </is>
      </c>
      <c r="H98" s="19" t="n"/>
      <c r="I98" s="19" t="n"/>
      <c r="J98" t="n">
        <v>97</v>
      </c>
      <c r="K98" t="inlineStr">
        <is>
          <t>Phase J registry sync</t>
        </is>
      </c>
    </row>
    <row r="99">
      <c r="A99" s="19" t="inlineStr">
        <is>
          <t>98</t>
        </is>
      </c>
      <c r="B99" s="19" t="inlineStr">
        <is>
          <t>98</t>
        </is>
      </c>
      <c r="C99" s="19" t="n"/>
      <c r="D99" s="19" t="n"/>
      <c r="E99" s="19" t="n"/>
      <c r="F99" s="19" t="n"/>
      <c r="G99" s="19" t="n"/>
      <c r="H99" s="19" t="inlineStr">
        <is>
          <t>25</t>
        </is>
      </c>
      <c r="I99" s="19" t="n"/>
      <c r="J99" t="n">
        <v>98</v>
      </c>
      <c r="K99" t="inlineStr">
        <is>
          <t>Phase J registry sync</t>
        </is>
      </c>
    </row>
    <row r="100">
      <c r="A100" s="19" t="inlineStr">
        <is>
          <t>99</t>
        </is>
      </c>
      <c r="B100" s="19" t="inlineStr">
        <is>
          <t>99</t>
        </is>
      </c>
      <c r="C100" s="19" t="n"/>
      <c r="D100" s="19" t="n"/>
      <c r="E100" s="19" t="inlineStr">
        <is>
          <t>25</t>
        </is>
      </c>
      <c r="F100" s="19" t="n"/>
      <c r="G100" s="19" t="n"/>
      <c r="H100" s="19" t="n"/>
      <c r="I100" s="19" t="n"/>
      <c r="J100" t="n">
        <v>99</v>
      </c>
      <c r="K100" t="inlineStr">
        <is>
          <t>Phase J registry sync</t>
        </is>
      </c>
    </row>
    <row r="101">
      <c r="A101" s="19" t="inlineStr">
        <is>
          <t>100</t>
        </is>
      </c>
      <c r="B101" s="19" t="inlineStr">
        <is>
          <t>100</t>
        </is>
      </c>
      <c r="C101" s="19" t="n"/>
      <c r="D101" s="19" t="n"/>
      <c r="E101" s="19" t="n"/>
      <c r="F101" s="19" t="n"/>
      <c r="G101" s="19" t="n"/>
      <c r="H101" s="19" t="n"/>
      <c r="I101" s="19" t="inlineStr">
        <is>
          <t>25</t>
        </is>
      </c>
      <c r="J101" t="n">
        <v>100</v>
      </c>
      <c r="K101" t="inlineStr">
        <is>
          <t>Phase J registry sync</t>
        </is>
      </c>
    </row>
    <row r="102">
      <c r="A102" s="19" t="inlineStr">
        <is>
          <t>101</t>
        </is>
      </c>
      <c r="B102" s="19" t="inlineStr">
        <is>
          <t>101</t>
        </is>
      </c>
      <c r="C102" s="19" t="n"/>
      <c r="D102" s="19" t="n"/>
      <c r="E102" s="19" t="n"/>
      <c r="F102" s="19" t="n"/>
      <c r="G102" s="19" t="inlineStr">
        <is>
          <t>26</t>
        </is>
      </c>
      <c r="H102" s="19" t="n"/>
      <c r="I102" s="19" t="n"/>
      <c r="J102" t="n">
        <v>101</v>
      </c>
      <c r="K102" t="inlineStr">
        <is>
          <t>Phase J registry sync</t>
        </is>
      </c>
    </row>
    <row r="103">
      <c r="A103" s="19" t="inlineStr">
        <is>
          <t>102</t>
        </is>
      </c>
      <c r="B103" s="19" t="inlineStr">
        <is>
          <t>102</t>
        </is>
      </c>
      <c r="C103" s="19" t="n"/>
      <c r="D103" s="19" t="n"/>
      <c r="E103" s="19" t="n"/>
      <c r="F103" s="19" t="n"/>
      <c r="G103" s="19" t="n"/>
      <c r="H103" s="19" t="inlineStr">
        <is>
          <t>26</t>
        </is>
      </c>
      <c r="I103" s="19" t="n"/>
      <c r="J103" t="n">
        <v>102</v>
      </c>
      <c r="K103" t="inlineStr">
        <is>
          <t>Phase J registry sync</t>
        </is>
      </c>
    </row>
    <row r="104">
      <c r="A104" s="19" t="inlineStr">
        <is>
          <t>103</t>
        </is>
      </c>
      <c r="B104" s="19" t="inlineStr">
        <is>
          <t>103</t>
        </is>
      </c>
      <c r="C104" s="19" t="n"/>
      <c r="D104" s="19" t="n"/>
      <c r="E104" s="19" t="inlineStr">
        <is>
          <t>26</t>
        </is>
      </c>
      <c r="F104" s="19" t="n"/>
      <c r="G104" s="19" t="n"/>
      <c r="H104" s="19" t="n"/>
      <c r="I104" s="19" t="n"/>
      <c r="J104" t="n">
        <v>103</v>
      </c>
      <c r="K104" t="inlineStr">
        <is>
          <t>Phase J registry sync</t>
        </is>
      </c>
    </row>
    <row r="105">
      <c r="A105" s="19" t="inlineStr">
        <is>
          <t>104</t>
        </is>
      </c>
      <c r="B105" s="19" t="inlineStr">
        <is>
          <t>104</t>
        </is>
      </c>
      <c r="C105" s="19" t="n"/>
      <c r="D105" s="19" t="n"/>
      <c r="E105" s="19" t="n"/>
      <c r="F105" s="19" t="n"/>
      <c r="G105" s="19" t="n"/>
      <c r="H105" s="19" t="n"/>
      <c r="I105" s="19" t="inlineStr">
        <is>
          <t>26</t>
        </is>
      </c>
      <c r="J105" t="n">
        <v>104</v>
      </c>
      <c r="K105" t="inlineStr">
        <is>
          <t>Phase J registry sync</t>
        </is>
      </c>
    </row>
    <row r="106">
      <c r="A106" s="19" t="inlineStr">
        <is>
          <t>105</t>
        </is>
      </c>
      <c r="B106" s="19" t="inlineStr">
        <is>
          <t>105</t>
        </is>
      </c>
      <c r="C106" s="19" t="n"/>
      <c r="D106" s="19" t="n"/>
      <c r="E106" s="19" t="n"/>
      <c r="F106" s="19" t="n"/>
      <c r="G106" s="19" t="inlineStr">
        <is>
          <t>27</t>
        </is>
      </c>
      <c r="H106" s="19" t="n"/>
      <c r="I106" s="19" t="n"/>
      <c r="J106" t="n">
        <v>105</v>
      </c>
      <c r="K106" t="inlineStr">
        <is>
          <t>Phase J registry sync</t>
        </is>
      </c>
    </row>
    <row r="107">
      <c r="A107" s="19" t="inlineStr">
        <is>
          <t>106</t>
        </is>
      </c>
      <c r="B107" s="19" t="inlineStr">
        <is>
          <t>106</t>
        </is>
      </c>
      <c r="C107" s="19" t="n"/>
      <c r="D107" s="19" t="n"/>
      <c r="E107" s="19" t="n"/>
      <c r="F107" s="19" t="n"/>
      <c r="G107" s="19" t="n"/>
      <c r="H107" s="19" t="inlineStr">
        <is>
          <t>27</t>
        </is>
      </c>
      <c r="I107" s="19" t="n"/>
      <c r="J107" t="n">
        <v>106</v>
      </c>
      <c r="K107" t="inlineStr">
        <is>
          <t>Phase J registry sync</t>
        </is>
      </c>
    </row>
    <row r="108">
      <c r="A108" s="19" t="inlineStr">
        <is>
          <t>107</t>
        </is>
      </c>
      <c r="B108" s="19" t="inlineStr">
        <is>
          <t>107</t>
        </is>
      </c>
      <c r="C108" s="19" t="n"/>
      <c r="D108" s="19" t="n"/>
      <c r="E108" s="19" t="inlineStr">
        <is>
          <t>27</t>
        </is>
      </c>
      <c r="F108" s="19" t="n"/>
      <c r="G108" s="19" t="n"/>
      <c r="H108" s="19" t="n"/>
      <c r="I108" s="19" t="n"/>
      <c r="J108" t="n">
        <v>107</v>
      </c>
      <c r="K108" t="inlineStr">
        <is>
          <t>Phase J registry sync</t>
        </is>
      </c>
    </row>
    <row r="109">
      <c r="A109" s="19" t="inlineStr">
        <is>
          <t>108</t>
        </is>
      </c>
      <c r="B109" s="19" t="inlineStr">
        <is>
          <t>108</t>
        </is>
      </c>
      <c r="C109" s="19" t="n"/>
      <c r="D109" s="19" t="n"/>
      <c r="E109" s="19" t="n"/>
      <c r="F109" s="19" t="n"/>
      <c r="G109" s="19" t="n"/>
      <c r="H109" s="19" t="n"/>
      <c r="I109" s="19" t="inlineStr">
        <is>
          <t>27</t>
        </is>
      </c>
      <c r="J109" t="n">
        <v>108</v>
      </c>
      <c r="K109" t="inlineStr">
        <is>
          <t>Phase J registry sync</t>
        </is>
      </c>
    </row>
    <row r="110">
      <c r="A110" s="19" t="inlineStr">
        <is>
          <t>109</t>
        </is>
      </c>
      <c r="B110" s="19" t="inlineStr">
        <is>
          <t>109</t>
        </is>
      </c>
      <c r="C110" s="19" t="n"/>
      <c r="D110" s="19" t="n"/>
      <c r="E110" s="19" t="n"/>
      <c r="F110" s="19" t="n"/>
      <c r="G110" s="19" t="inlineStr">
        <is>
          <t>28</t>
        </is>
      </c>
      <c r="H110" s="19" t="n"/>
      <c r="I110" s="19" t="n"/>
      <c r="J110" t="n">
        <v>109</v>
      </c>
      <c r="K110" t="inlineStr">
        <is>
          <t>Phase J registry sync</t>
        </is>
      </c>
    </row>
    <row r="111">
      <c r="A111" s="19" t="inlineStr">
        <is>
          <t>110</t>
        </is>
      </c>
      <c r="B111" s="19" t="inlineStr">
        <is>
          <t>110</t>
        </is>
      </c>
      <c r="C111" s="19" t="n"/>
      <c r="D111" s="19" t="n"/>
      <c r="E111" s="19" t="n"/>
      <c r="F111" s="19" t="n"/>
      <c r="G111" s="19" t="n"/>
      <c r="H111" s="19" t="inlineStr">
        <is>
          <t>28</t>
        </is>
      </c>
      <c r="I111" s="19" t="n"/>
      <c r="J111" t="n">
        <v>110</v>
      </c>
      <c r="K111" t="inlineStr">
        <is>
          <t>Phase J registry sync</t>
        </is>
      </c>
    </row>
    <row r="112">
      <c r="A112" s="19" t="inlineStr">
        <is>
          <t>111</t>
        </is>
      </c>
      <c r="B112" s="19" t="inlineStr">
        <is>
          <t>111</t>
        </is>
      </c>
      <c r="C112" s="19" t="n"/>
      <c r="D112" s="19" t="n"/>
      <c r="E112" s="19" t="inlineStr">
        <is>
          <t>28</t>
        </is>
      </c>
      <c r="F112" s="19" t="n"/>
      <c r="G112" s="19" t="n"/>
      <c r="H112" s="19" t="n"/>
      <c r="I112" s="19" t="n"/>
      <c r="J112" t="n">
        <v>111</v>
      </c>
      <c r="K112" t="inlineStr">
        <is>
          <t>Phase J registry sync</t>
        </is>
      </c>
    </row>
    <row r="113">
      <c r="A113" s="19" t="inlineStr">
        <is>
          <t>112</t>
        </is>
      </c>
      <c r="B113" s="19" t="inlineStr">
        <is>
          <t>112</t>
        </is>
      </c>
      <c r="C113" s="19" t="n"/>
      <c r="D113" s="19" t="n"/>
      <c r="E113" s="19" t="n"/>
      <c r="F113" s="19" t="n"/>
      <c r="G113" s="19" t="n"/>
      <c r="H113" s="19" t="n"/>
      <c r="I113" s="19" t="inlineStr">
        <is>
          <t>28</t>
        </is>
      </c>
      <c r="J113" t="n">
        <v>112</v>
      </c>
      <c r="K113" t="inlineStr">
        <is>
          <t>Phase J registry sync</t>
        </is>
      </c>
    </row>
    <row r="114">
      <c r="A114" s="19" t="inlineStr">
        <is>
          <t>113</t>
        </is>
      </c>
      <c r="B114" s="19" t="inlineStr">
        <is>
          <t>113</t>
        </is>
      </c>
      <c r="C114" s="19" t="n"/>
      <c r="D114" s="19" t="n"/>
      <c r="E114" s="19" t="n"/>
      <c r="F114" s="19" t="n"/>
      <c r="G114" s="19" t="inlineStr">
        <is>
          <t>29</t>
        </is>
      </c>
      <c r="H114" s="19" t="n"/>
      <c r="I114" s="19" t="n"/>
      <c r="J114" t="n">
        <v>113</v>
      </c>
      <c r="K114" t="inlineStr">
        <is>
          <t>Phase J registry sync</t>
        </is>
      </c>
    </row>
    <row r="115">
      <c r="A115" s="19" t="inlineStr">
        <is>
          <t>114</t>
        </is>
      </c>
      <c r="B115" s="19" t="inlineStr">
        <is>
          <t>114</t>
        </is>
      </c>
      <c r="C115" s="19" t="n"/>
      <c r="D115" s="19" t="n"/>
      <c r="E115" s="19" t="n"/>
      <c r="F115" s="19" t="n"/>
      <c r="G115" s="19" t="n"/>
      <c r="H115" s="19" t="inlineStr">
        <is>
          <t>29</t>
        </is>
      </c>
      <c r="I115" s="19" t="n"/>
      <c r="J115" t="n">
        <v>114</v>
      </c>
      <c r="K115" t="inlineStr">
        <is>
          <t>Phase J registry sync</t>
        </is>
      </c>
    </row>
    <row r="116">
      <c r="A116" s="19" t="inlineStr">
        <is>
          <t>115</t>
        </is>
      </c>
      <c r="B116" s="19" t="inlineStr">
        <is>
          <t>115</t>
        </is>
      </c>
      <c r="C116" s="19" t="n"/>
      <c r="D116" s="19" t="n"/>
      <c r="E116" s="19" t="inlineStr">
        <is>
          <t>29</t>
        </is>
      </c>
      <c r="F116" s="19" t="n"/>
      <c r="G116" s="19" t="n"/>
      <c r="H116" s="19" t="n"/>
      <c r="I116" s="19" t="n"/>
      <c r="J116" t="n">
        <v>115</v>
      </c>
      <c r="K116" t="inlineStr">
        <is>
          <t>Phase J registry sync</t>
        </is>
      </c>
    </row>
    <row r="117">
      <c r="A117" s="19" t="inlineStr">
        <is>
          <t>116</t>
        </is>
      </c>
      <c r="B117" s="19" t="inlineStr">
        <is>
          <t>116</t>
        </is>
      </c>
      <c r="C117" s="19" t="n"/>
      <c r="D117" s="19" t="n"/>
      <c r="E117" s="19" t="n"/>
      <c r="F117" s="19" t="n"/>
      <c r="G117" s="19" t="n"/>
      <c r="H117" s="19" t="n"/>
      <c r="I117" s="19" t="inlineStr">
        <is>
          <t>29</t>
        </is>
      </c>
      <c r="J117" t="n">
        <v>116</v>
      </c>
      <c r="K117" t="inlineStr">
        <is>
          <t>Phase J registry sync</t>
        </is>
      </c>
    </row>
    <row r="118">
      <c r="A118" s="19" t="inlineStr">
        <is>
          <t>117</t>
        </is>
      </c>
      <c r="B118" s="19" t="inlineStr">
        <is>
          <t>117</t>
        </is>
      </c>
      <c r="C118" s="19" t="n"/>
      <c r="D118" s="19" t="n"/>
      <c r="E118" s="19" t="n"/>
      <c r="F118" s="19" t="n"/>
      <c r="G118" s="19" t="inlineStr">
        <is>
          <t>30</t>
        </is>
      </c>
      <c r="H118" s="19" t="n"/>
      <c r="I118" s="19" t="n"/>
      <c r="J118" t="n">
        <v>117</v>
      </c>
      <c r="K118" t="inlineStr">
        <is>
          <t>Phase J registry sync</t>
        </is>
      </c>
    </row>
    <row r="119">
      <c r="A119" s="19" t="inlineStr">
        <is>
          <t>118</t>
        </is>
      </c>
      <c r="B119" s="19" t="inlineStr">
        <is>
          <t>118</t>
        </is>
      </c>
      <c r="C119" s="19" t="n"/>
      <c r="D119" s="19" t="n"/>
      <c r="E119" s="19" t="n"/>
      <c r="F119" s="19" t="n"/>
      <c r="G119" s="19" t="n"/>
      <c r="H119" s="19" t="inlineStr">
        <is>
          <t>30</t>
        </is>
      </c>
      <c r="I119" s="19" t="n"/>
      <c r="J119" t="n">
        <v>118</v>
      </c>
      <c r="K119" t="inlineStr">
        <is>
          <t>Phase J registry sync</t>
        </is>
      </c>
    </row>
    <row r="120">
      <c r="A120" s="19" t="inlineStr">
        <is>
          <t>119</t>
        </is>
      </c>
      <c r="B120" s="19" t="inlineStr">
        <is>
          <t>119</t>
        </is>
      </c>
      <c r="C120" s="19" t="n"/>
      <c r="D120" s="19" t="n"/>
      <c r="E120" s="19" t="inlineStr">
        <is>
          <t>30</t>
        </is>
      </c>
      <c r="F120" s="19" t="n"/>
      <c r="G120" s="19" t="n"/>
      <c r="H120" s="19" t="n"/>
      <c r="I120" s="19" t="n"/>
      <c r="J120" t="n">
        <v>119</v>
      </c>
      <c r="K120" t="inlineStr">
        <is>
          <t>Phase J registry sync</t>
        </is>
      </c>
    </row>
    <row r="121">
      <c r="A121" s="19" t="inlineStr">
        <is>
          <t>120</t>
        </is>
      </c>
      <c r="B121" s="19" t="inlineStr">
        <is>
          <t>120</t>
        </is>
      </c>
      <c r="C121" s="19" t="n"/>
      <c r="D121" s="19" t="n"/>
      <c r="E121" s="19" t="n"/>
      <c r="F121" s="19" t="n"/>
      <c r="G121" s="19" t="n"/>
      <c r="H121" s="19" t="n"/>
      <c r="I121" s="19" t="inlineStr">
        <is>
          <t>30</t>
        </is>
      </c>
      <c r="J121" t="n">
        <v>120</v>
      </c>
      <c r="K121" t="inlineStr">
        <is>
          <t>Phase J registry sync</t>
        </is>
      </c>
    </row>
    <row r="122">
      <c r="A122" s="19" t="inlineStr">
        <is>
          <t>121</t>
        </is>
      </c>
      <c r="B122" s="19" t="inlineStr">
        <is>
          <t>121</t>
        </is>
      </c>
      <c r="C122" s="19" t="n"/>
      <c r="D122" s="19" t="n"/>
      <c r="E122" s="19" t="n"/>
      <c r="F122" s="19" t="n"/>
      <c r="G122" s="19" t="inlineStr">
        <is>
          <t>31</t>
        </is>
      </c>
      <c r="H122" s="19" t="n"/>
      <c r="I122" s="19" t="n"/>
      <c r="J122" t="n">
        <v>121</v>
      </c>
      <c r="K122" t="inlineStr">
        <is>
          <t>Phase J registry sync</t>
        </is>
      </c>
    </row>
    <row r="123">
      <c r="A123" s="19" t="inlineStr">
        <is>
          <t>122</t>
        </is>
      </c>
      <c r="B123" s="19" t="inlineStr">
        <is>
          <t>122</t>
        </is>
      </c>
      <c r="C123" s="19" t="n"/>
      <c r="D123" s="19" t="n"/>
      <c r="E123" s="19" t="n"/>
      <c r="F123" s="19" t="n"/>
      <c r="G123" s="19" t="n"/>
      <c r="H123" s="19" t="inlineStr">
        <is>
          <t>31</t>
        </is>
      </c>
      <c r="I123" s="19" t="n"/>
      <c r="J123" t="n">
        <v>122</v>
      </c>
      <c r="K123" t="inlineStr">
        <is>
          <t>Phase J registry sync</t>
        </is>
      </c>
    </row>
    <row r="124">
      <c r="A124" s="19" t="inlineStr">
        <is>
          <t>123</t>
        </is>
      </c>
      <c r="B124" s="19" t="inlineStr">
        <is>
          <t>123</t>
        </is>
      </c>
      <c r="C124" s="19" t="n"/>
      <c r="D124" s="19" t="n"/>
      <c r="E124" s="19" t="inlineStr">
        <is>
          <t>31</t>
        </is>
      </c>
      <c r="F124" s="19" t="n"/>
      <c r="G124" s="19" t="n"/>
      <c r="H124" s="19" t="n"/>
      <c r="I124" s="19" t="n"/>
      <c r="J124" t="n">
        <v>123</v>
      </c>
      <c r="K124" t="inlineStr">
        <is>
          <t>Phase J registry sync</t>
        </is>
      </c>
    </row>
    <row r="125">
      <c r="A125" s="19" t="inlineStr">
        <is>
          <t>124</t>
        </is>
      </c>
      <c r="B125" s="19" t="inlineStr">
        <is>
          <t>124</t>
        </is>
      </c>
      <c r="C125" s="19" t="n"/>
      <c r="D125" s="19" t="n"/>
      <c r="E125" s="19" t="n"/>
      <c r="F125" s="19" t="n"/>
      <c r="G125" s="19" t="n"/>
      <c r="H125" s="19" t="n"/>
      <c r="I125" s="19" t="inlineStr">
        <is>
          <t>31</t>
        </is>
      </c>
      <c r="J125" t="n">
        <v>124</v>
      </c>
      <c r="K125" t="inlineStr">
        <is>
          <t>Phase J registry sync</t>
        </is>
      </c>
    </row>
    <row r="126">
      <c r="A126" s="19" t="inlineStr">
        <is>
          <t>125</t>
        </is>
      </c>
      <c r="B126" s="19" t="inlineStr">
        <is>
          <t>125</t>
        </is>
      </c>
      <c r="C126" s="19" t="n"/>
      <c r="D126" s="19" t="n"/>
      <c r="E126" s="19" t="n"/>
      <c r="F126" s="19" t="n"/>
      <c r="G126" s="19" t="inlineStr">
        <is>
          <t>32</t>
        </is>
      </c>
      <c r="H126" s="19" t="n"/>
      <c r="I126" s="19" t="n"/>
      <c r="J126" t="n">
        <v>125</v>
      </c>
      <c r="K126" t="inlineStr">
        <is>
          <t>Phase J registry sync</t>
        </is>
      </c>
    </row>
    <row r="127">
      <c r="A127" s="19" t="inlineStr">
        <is>
          <t>126</t>
        </is>
      </c>
      <c r="B127" s="19" t="inlineStr">
        <is>
          <t>126</t>
        </is>
      </c>
      <c r="C127" s="19" t="n"/>
      <c r="D127" s="19" t="n"/>
      <c r="E127" s="19" t="n"/>
      <c r="F127" s="19" t="n"/>
      <c r="G127" s="19" t="n"/>
      <c r="H127" s="19" t="inlineStr">
        <is>
          <t>32</t>
        </is>
      </c>
      <c r="I127" s="19" t="n"/>
      <c r="J127" t="n">
        <v>126</v>
      </c>
      <c r="K127" t="inlineStr">
        <is>
          <t>Phase J registry sync</t>
        </is>
      </c>
    </row>
    <row r="128">
      <c r="A128" s="19" t="inlineStr">
        <is>
          <t>127</t>
        </is>
      </c>
      <c r="B128" s="19" t="inlineStr">
        <is>
          <t>127</t>
        </is>
      </c>
      <c r="C128" s="19" t="n"/>
      <c r="D128" s="19" t="n"/>
      <c r="E128" s="19" t="inlineStr">
        <is>
          <t>32</t>
        </is>
      </c>
      <c r="F128" s="19" t="n"/>
      <c r="G128" s="19" t="n"/>
      <c r="H128" s="19" t="n"/>
      <c r="I128" s="19" t="n"/>
      <c r="J128" t="n">
        <v>127</v>
      </c>
      <c r="K128" t="inlineStr">
        <is>
          <t>Phase J registry sync</t>
        </is>
      </c>
    </row>
    <row r="129">
      <c r="A129" s="19" t="inlineStr">
        <is>
          <t>128</t>
        </is>
      </c>
      <c r="B129" s="19" t="inlineStr">
        <is>
          <t>128</t>
        </is>
      </c>
      <c r="C129" s="19" t="n"/>
      <c r="D129" s="19" t="n"/>
      <c r="E129" s="19" t="n"/>
      <c r="F129" s="19" t="n"/>
      <c r="G129" s="19" t="n"/>
      <c r="H129" s="19" t="n"/>
      <c r="I129" s="19" t="inlineStr">
        <is>
          <t>32</t>
        </is>
      </c>
      <c r="J129" t="n">
        <v>128</v>
      </c>
      <c r="K129" t="inlineStr">
        <is>
          <t>Phase J registry sync</t>
        </is>
      </c>
    </row>
    <row r="130">
      <c r="A130" s="19" t="inlineStr">
        <is>
          <t>129</t>
        </is>
      </c>
      <c r="B130" s="19" t="inlineStr">
        <is>
          <t>129</t>
        </is>
      </c>
      <c r="C130" s="19" t="n"/>
      <c r="D130" s="19" t="n"/>
      <c r="E130" s="19" t="n"/>
      <c r="F130" s="19" t="n"/>
      <c r="G130" s="19" t="inlineStr">
        <is>
          <t>33</t>
        </is>
      </c>
      <c r="H130" s="19" t="n"/>
      <c r="I130" s="19" t="n"/>
      <c r="J130" t="n">
        <v>129</v>
      </c>
      <c r="K130" t="inlineStr">
        <is>
          <t>Phase J registry sync</t>
        </is>
      </c>
    </row>
    <row r="131">
      <c r="A131" s="19" t="inlineStr">
        <is>
          <t>130</t>
        </is>
      </c>
      <c r="B131" s="19" t="inlineStr">
        <is>
          <t>130</t>
        </is>
      </c>
      <c r="C131" s="19" t="n"/>
      <c r="D131" s="19" t="n"/>
      <c r="E131" s="19" t="n"/>
      <c r="F131" s="19" t="n"/>
      <c r="G131" s="19" t="n"/>
      <c r="H131" s="19" t="inlineStr">
        <is>
          <t>33</t>
        </is>
      </c>
      <c r="I131" s="19" t="n"/>
      <c r="J131" t="n">
        <v>130</v>
      </c>
      <c r="K131" t="inlineStr">
        <is>
          <t>Phase J registry sync</t>
        </is>
      </c>
    </row>
    <row r="132">
      <c r="A132" s="19" t="inlineStr">
        <is>
          <t>131</t>
        </is>
      </c>
      <c r="B132" s="19" t="inlineStr">
        <is>
          <t>131</t>
        </is>
      </c>
      <c r="C132" s="19" t="n"/>
      <c r="D132" s="19" t="n"/>
      <c r="E132" s="19" t="inlineStr">
        <is>
          <t>33</t>
        </is>
      </c>
      <c r="F132" s="19" t="n"/>
      <c r="G132" s="19" t="n"/>
      <c r="H132" s="19" t="n"/>
      <c r="I132" s="19" t="n"/>
      <c r="J132" t="n">
        <v>131</v>
      </c>
      <c r="K132" t="inlineStr">
        <is>
          <t>Phase J registry sync</t>
        </is>
      </c>
    </row>
    <row r="133">
      <c r="A133" s="19" t="inlineStr">
        <is>
          <t>132</t>
        </is>
      </c>
      <c r="B133" s="19" t="inlineStr">
        <is>
          <t>132</t>
        </is>
      </c>
      <c r="C133" s="19" t="n"/>
      <c r="D133" s="19" t="n"/>
      <c r="E133" s="19" t="n"/>
      <c r="F133" s="19" t="n"/>
      <c r="G133" s="19" t="n"/>
      <c r="H133" s="19" t="n"/>
      <c r="I133" s="19" t="inlineStr">
        <is>
          <t>33</t>
        </is>
      </c>
      <c r="J133" t="n">
        <v>132</v>
      </c>
      <c r="K133" t="inlineStr">
        <is>
          <t>Phase J registry sync</t>
        </is>
      </c>
    </row>
    <row r="134">
      <c r="A134" s="19" t="inlineStr">
        <is>
          <t>133</t>
        </is>
      </c>
      <c r="B134" s="19" t="inlineStr">
        <is>
          <t>133</t>
        </is>
      </c>
      <c r="C134" s="19" t="n"/>
      <c r="D134" s="19" t="n"/>
      <c r="E134" s="19" t="n"/>
      <c r="F134" s="19" t="n"/>
      <c r="G134" s="19" t="inlineStr">
        <is>
          <t>34</t>
        </is>
      </c>
      <c r="H134" s="19" t="n"/>
      <c r="I134" s="19" t="n"/>
      <c r="J134" t="n">
        <v>133</v>
      </c>
      <c r="K134" t="inlineStr">
        <is>
          <t>Phase J registry sync</t>
        </is>
      </c>
    </row>
    <row r="135">
      <c r="A135" s="19" t="inlineStr">
        <is>
          <t>134</t>
        </is>
      </c>
      <c r="B135" s="19" t="inlineStr">
        <is>
          <t>134</t>
        </is>
      </c>
      <c r="C135" s="19" t="n"/>
      <c r="D135" s="19" t="n"/>
      <c r="E135" s="19" t="n"/>
      <c r="F135" s="19" t="n"/>
      <c r="G135" s="19" t="n"/>
      <c r="H135" s="19" t="inlineStr">
        <is>
          <t>34</t>
        </is>
      </c>
      <c r="I135" s="19" t="n"/>
      <c r="J135" t="n">
        <v>134</v>
      </c>
      <c r="K135" t="inlineStr">
        <is>
          <t>Phase J registry sync</t>
        </is>
      </c>
    </row>
    <row r="136">
      <c r="A136" s="19" t="inlineStr">
        <is>
          <t>135</t>
        </is>
      </c>
      <c r="B136" s="19" t="inlineStr">
        <is>
          <t>135</t>
        </is>
      </c>
      <c r="C136" s="19" t="n"/>
      <c r="D136" s="19" t="n"/>
      <c r="E136" s="19" t="inlineStr">
        <is>
          <t>34</t>
        </is>
      </c>
      <c r="F136" s="19" t="n"/>
      <c r="G136" s="19" t="n"/>
      <c r="H136" s="19" t="n"/>
      <c r="I136" s="19" t="n"/>
      <c r="J136" t="n">
        <v>135</v>
      </c>
      <c r="K136" t="inlineStr">
        <is>
          <t>Phase J registry sync</t>
        </is>
      </c>
    </row>
    <row r="137">
      <c r="A137" s="19" t="inlineStr">
        <is>
          <t>136</t>
        </is>
      </c>
      <c r="B137" s="19" t="inlineStr">
        <is>
          <t>136</t>
        </is>
      </c>
      <c r="C137" s="19" t="n"/>
      <c r="D137" s="19" t="n"/>
      <c r="E137" s="19" t="n"/>
      <c r="F137" s="19" t="n"/>
      <c r="G137" s="19" t="n"/>
      <c r="H137" s="19" t="n"/>
      <c r="I137" s="19" t="inlineStr">
        <is>
          <t>34</t>
        </is>
      </c>
      <c r="J137" t="n">
        <v>136</v>
      </c>
      <c r="K137" t="inlineStr">
        <is>
          <t>Phase J registry sync</t>
        </is>
      </c>
    </row>
    <row r="138">
      <c r="A138" s="19" t="inlineStr">
        <is>
          <t>137</t>
        </is>
      </c>
      <c r="B138" s="19" t="inlineStr">
        <is>
          <t>137</t>
        </is>
      </c>
      <c r="C138" s="19" t="n"/>
      <c r="D138" s="19" t="n"/>
      <c r="E138" s="19" t="n"/>
      <c r="F138" s="19" t="n"/>
      <c r="G138" s="19" t="inlineStr">
        <is>
          <t>35</t>
        </is>
      </c>
      <c r="H138" s="19" t="n"/>
      <c r="I138" s="19" t="n"/>
      <c r="J138" t="n">
        <v>137</v>
      </c>
      <c r="K138" t="inlineStr">
        <is>
          <t>Phase J registry sync</t>
        </is>
      </c>
    </row>
    <row r="139">
      <c r="A139" s="19" t="inlineStr">
        <is>
          <t>138</t>
        </is>
      </c>
      <c r="B139" s="19" t="inlineStr">
        <is>
          <t>138</t>
        </is>
      </c>
      <c r="C139" s="19" t="n"/>
      <c r="D139" s="19" t="n"/>
      <c r="E139" s="19" t="n"/>
      <c r="F139" s="19" t="n"/>
      <c r="G139" s="19" t="n"/>
      <c r="H139" s="19" t="inlineStr">
        <is>
          <t>35</t>
        </is>
      </c>
      <c r="I139" s="19" t="n"/>
      <c r="J139" t="n">
        <v>138</v>
      </c>
      <c r="K139" t="inlineStr">
        <is>
          <t>Phase J registry sync</t>
        </is>
      </c>
    </row>
    <row r="140">
      <c r="A140" s="19" t="inlineStr">
        <is>
          <t>139</t>
        </is>
      </c>
      <c r="B140" s="19" t="inlineStr">
        <is>
          <t>139</t>
        </is>
      </c>
      <c r="C140" s="19" t="n"/>
      <c r="D140" s="19" t="n"/>
      <c r="E140" s="19" t="inlineStr">
        <is>
          <t>35</t>
        </is>
      </c>
      <c r="F140" s="19" t="n"/>
      <c r="G140" s="19" t="n"/>
      <c r="H140" s="19" t="n"/>
      <c r="I140" s="19" t="n"/>
      <c r="J140" t="n">
        <v>139</v>
      </c>
      <c r="K140" t="inlineStr">
        <is>
          <t>Phase J registry sync</t>
        </is>
      </c>
    </row>
    <row r="141">
      <c r="A141" s="19" t="inlineStr">
        <is>
          <t>140</t>
        </is>
      </c>
      <c r="B141" s="19" t="inlineStr">
        <is>
          <t>140</t>
        </is>
      </c>
      <c r="C141" s="19" t="n"/>
      <c r="D141" s="19" t="n"/>
      <c r="E141" s="19" t="n"/>
      <c r="F141" s="19" t="n"/>
      <c r="G141" s="19" t="n"/>
      <c r="H141" s="19" t="n"/>
      <c r="I141" s="19" t="inlineStr">
        <is>
          <t>35</t>
        </is>
      </c>
      <c r="J141" t="n">
        <v>140</v>
      </c>
      <c r="K141" t="inlineStr">
        <is>
          <t>Phase J registry sync</t>
        </is>
      </c>
    </row>
    <row r="142">
      <c r="A142" s="19" t="inlineStr">
        <is>
          <t>141</t>
        </is>
      </c>
      <c r="B142" s="19" t="inlineStr">
        <is>
          <t>141</t>
        </is>
      </c>
      <c r="C142" s="19" t="n"/>
      <c r="D142" s="19" t="n"/>
      <c r="E142" s="19" t="n"/>
      <c r="F142" s="19" t="n"/>
      <c r="G142" s="19" t="inlineStr">
        <is>
          <t>36</t>
        </is>
      </c>
      <c r="H142" s="19" t="n"/>
      <c r="I142" s="19" t="n"/>
      <c r="J142" t="n">
        <v>141</v>
      </c>
      <c r="K142" t="inlineStr">
        <is>
          <t>Phase J registry sync</t>
        </is>
      </c>
    </row>
    <row r="143">
      <c r="A143" s="19" t="inlineStr">
        <is>
          <t>142</t>
        </is>
      </c>
      <c r="B143" s="19" t="inlineStr">
        <is>
          <t>142</t>
        </is>
      </c>
      <c r="C143" s="19" t="n"/>
      <c r="D143" s="19" t="n"/>
      <c r="E143" s="19" t="n"/>
      <c r="F143" s="19" t="n"/>
      <c r="G143" s="19" t="n"/>
      <c r="H143" s="19" t="inlineStr">
        <is>
          <t>36</t>
        </is>
      </c>
      <c r="I143" s="19" t="n"/>
      <c r="J143" t="n">
        <v>142</v>
      </c>
      <c r="K143" t="inlineStr">
        <is>
          <t>Phase J registry sync</t>
        </is>
      </c>
    </row>
    <row r="144">
      <c r="A144" s="19" t="inlineStr">
        <is>
          <t>143</t>
        </is>
      </c>
      <c r="B144" s="19" t="inlineStr">
        <is>
          <t>143</t>
        </is>
      </c>
      <c r="C144" s="19" t="n"/>
      <c r="D144" s="19" t="n"/>
      <c r="E144" s="19" t="inlineStr">
        <is>
          <t>36</t>
        </is>
      </c>
      <c r="F144" s="19" t="n"/>
      <c r="G144" s="19" t="n"/>
      <c r="H144" s="19" t="n"/>
      <c r="I144" s="19" t="n"/>
      <c r="J144" t="n">
        <v>143</v>
      </c>
      <c r="K144" t="inlineStr">
        <is>
          <t>Phase J registry sync</t>
        </is>
      </c>
    </row>
    <row r="145">
      <c r="A145" s="19" t="inlineStr">
        <is>
          <t>144</t>
        </is>
      </c>
      <c r="B145" s="19" t="inlineStr">
        <is>
          <t>144</t>
        </is>
      </c>
      <c r="C145" s="19" t="n"/>
      <c r="D145" s="19" t="n"/>
      <c r="E145" s="19" t="n"/>
      <c r="F145" s="19" t="n"/>
      <c r="G145" s="19" t="n"/>
      <c r="H145" s="19" t="n"/>
      <c r="I145" s="19" t="inlineStr">
        <is>
          <t>36</t>
        </is>
      </c>
      <c r="J145" t="n">
        <v>144</v>
      </c>
      <c r="K145" t="inlineStr">
        <is>
          <t>Phase J registry sync</t>
        </is>
      </c>
    </row>
    <row r="146">
      <c r="A146" s="19" t="inlineStr">
        <is>
          <t>145</t>
        </is>
      </c>
      <c r="B146" s="19" t="inlineStr">
        <is>
          <t>145</t>
        </is>
      </c>
      <c r="C146" s="19" t="n"/>
      <c r="D146" s="19" t="n"/>
      <c r="E146" s="19" t="n"/>
      <c r="F146" s="19" t="n"/>
      <c r="G146" s="19" t="inlineStr">
        <is>
          <t>37</t>
        </is>
      </c>
      <c r="H146" s="19" t="n"/>
      <c r="I146" s="19" t="n"/>
      <c r="J146" t="n">
        <v>145</v>
      </c>
      <c r="K146" t="inlineStr">
        <is>
          <t>Phase J registry sync</t>
        </is>
      </c>
    </row>
    <row r="147">
      <c r="A147" s="19" t="inlineStr">
        <is>
          <t>146</t>
        </is>
      </c>
      <c r="B147" s="19" t="inlineStr">
        <is>
          <t>146</t>
        </is>
      </c>
      <c r="C147" s="19" t="n"/>
      <c r="D147" s="19" t="n"/>
      <c r="E147" s="19" t="n"/>
      <c r="F147" s="19" t="n"/>
      <c r="G147" s="19" t="n"/>
      <c r="H147" s="19" t="inlineStr">
        <is>
          <t>37</t>
        </is>
      </c>
      <c r="I147" s="19" t="n"/>
      <c r="J147" t="n">
        <v>146</v>
      </c>
      <c r="K147" t="inlineStr">
        <is>
          <t>Phase J registry sync</t>
        </is>
      </c>
    </row>
    <row r="148">
      <c r="A148" s="19" t="inlineStr">
        <is>
          <t>147</t>
        </is>
      </c>
      <c r="B148" s="19" t="inlineStr">
        <is>
          <t>147</t>
        </is>
      </c>
      <c r="C148" s="19" t="n"/>
      <c r="D148" s="19" t="n"/>
      <c r="E148" s="19" t="inlineStr">
        <is>
          <t>37</t>
        </is>
      </c>
      <c r="F148" s="19" t="n"/>
      <c r="G148" s="19" t="n"/>
      <c r="H148" s="19" t="n"/>
      <c r="I148" s="19" t="n"/>
      <c r="J148" t="n">
        <v>147</v>
      </c>
      <c r="K148" t="inlineStr">
        <is>
          <t>Phase J registry sync</t>
        </is>
      </c>
    </row>
    <row r="149">
      <c r="A149" s="19" t="inlineStr">
        <is>
          <t>148</t>
        </is>
      </c>
      <c r="B149" s="19" t="inlineStr">
        <is>
          <t>148</t>
        </is>
      </c>
      <c r="C149" s="19" t="n"/>
      <c r="D149" s="19" t="n"/>
      <c r="E149" s="19" t="n"/>
      <c r="F149" s="19" t="n"/>
      <c r="G149" s="19" t="n"/>
      <c r="H149" s="19" t="n"/>
      <c r="I149" s="19" t="inlineStr">
        <is>
          <t>37</t>
        </is>
      </c>
      <c r="J149" t="n">
        <v>148</v>
      </c>
      <c r="K149" t="inlineStr">
        <is>
          <t>Phase J registry sync</t>
        </is>
      </c>
    </row>
    <row r="150">
      <c r="A150" s="19" t="inlineStr">
        <is>
          <t>149</t>
        </is>
      </c>
      <c r="B150" s="19" t="inlineStr">
        <is>
          <t>149</t>
        </is>
      </c>
      <c r="C150" s="19" t="n"/>
      <c r="D150" s="19" t="n"/>
      <c r="E150" s="19" t="n"/>
      <c r="F150" s="19" t="n"/>
      <c r="G150" s="19" t="inlineStr">
        <is>
          <t>38</t>
        </is>
      </c>
      <c r="H150" s="19" t="n"/>
      <c r="I150" s="19" t="n"/>
      <c r="J150" t="n">
        <v>149</v>
      </c>
      <c r="K150" t="inlineStr">
        <is>
          <t>Phase J registry sync</t>
        </is>
      </c>
    </row>
    <row r="151">
      <c r="A151" s="19" t="inlineStr">
        <is>
          <t>150</t>
        </is>
      </c>
      <c r="B151" s="19" t="inlineStr">
        <is>
          <t>150</t>
        </is>
      </c>
      <c r="C151" s="19" t="n"/>
      <c r="D151" s="19" t="n"/>
      <c r="E151" s="19" t="n"/>
      <c r="F151" s="19" t="n"/>
      <c r="G151" s="19" t="n"/>
      <c r="H151" s="19" t="inlineStr">
        <is>
          <t>38</t>
        </is>
      </c>
      <c r="I151" s="19" t="n"/>
      <c r="J151" t="n">
        <v>150</v>
      </c>
      <c r="K151" t="inlineStr">
        <is>
          <t>Phase J registry sync</t>
        </is>
      </c>
    </row>
    <row r="152">
      <c r="A152" s="19" t="inlineStr">
        <is>
          <t>151</t>
        </is>
      </c>
      <c r="B152" s="19" t="inlineStr">
        <is>
          <t>151</t>
        </is>
      </c>
      <c r="C152" s="19" t="n"/>
      <c r="D152" s="19" t="n"/>
      <c r="E152" s="19" t="inlineStr">
        <is>
          <t>38</t>
        </is>
      </c>
      <c r="F152" s="19" t="n"/>
      <c r="G152" s="19" t="n"/>
      <c r="H152" s="19" t="n"/>
      <c r="I152" s="19" t="n"/>
      <c r="J152" t="n">
        <v>151</v>
      </c>
      <c r="K152" t="inlineStr">
        <is>
          <t>Phase J registry sync</t>
        </is>
      </c>
    </row>
    <row r="153">
      <c r="A153" s="19" t="inlineStr">
        <is>
          <t>152</t>
        </is>
      </c>
      <c r="B153" s="19" t="inlineStr">
        <is>
          <t>152</t>
        </is>
      </c>
      <c r="C153" s="19" t="n"/>
      <c r="D153" s="19" t="n"/>
      <c r="E153" s="19" t="n"/>
      <c r="F153" s="19" t="n"/>
      <c r="G153" s="19" t="n"/>
      <c r="H153" s="19" t="n"/>
      <c r="I153" s="19" t="inlineStr">
        <is>
          <t>38</t>
        </is>
      </c>
      <c r="J153" t="n">
        <v>152</v>
      </c>
      <c r="K153" t="inlineStr">
        <is>
          <t>Phase J registry sync</t>
        </is>
      </c>
    </row>
    <row r="154">
      <c r="A154" s="19" t="inlineStr">
        <is>
          <t>153</t>
        </is>
      </c>
      <c r="B154" s="19" t="inlineStr">
        <is>
          <t>153</t>
        </is>
      </c>
      <c r="C154" s="19" t="n"/>
      <c r="D154" s="19" t="n"/>
      <c r="E154" s="19" t="n"/>
      <c r="F154" s="19" t="n"/>
      <c r="G154" s="19" t="inlineStr">
        <is>
          <t>39</t>
        </is>
      </c>
      <c r="H154" s="19" t="n"/>
      <c r="I154" s="19" t="n"/>
      <c r="J154" t="n">
        <v>153</v>
      </c>
      <c r="K154" t="inlineStr">
        <is>
          <t>Phase J registry sync</t>
        </is>
      </c>
    </row>
    <row r="155">
      <c r="A155" s="19" t="inlineStr">
        <is>
          <t>154</t>
        </is>
      </c>
      <c r="B155" s="19" t="inlineStr">
        <is>
          <t>154</t>
        </is>
      </c>
      <c r="C155" s="19" t="n"/>
      <c r="D155" s="19" t="n"/>
      <c r="E155" s="19" t="n"/>
      <c r="F155" s="19" t="n"/>
      <c r="G155" s="19" t="n"/>
      <c r="H155" s="19" t="inlineStr">
        <is>
          <t>39</t>
        </is>
      </c>
      <c r="I155" s="19" t="n"/>
      <c r="J155" t="n">
        <v>154</v>
      </c>
      <c r="K155" t="inlineStr">
        <is>
          <t>Phase J registry sync</t>
        </is>
      </c>
    </row>
    <row r="156">
      <c r="A156" s="19" t="inlineStr">
        <is>
          <t>155</t>
        </is>
      </c>
      <c r="B156" s="19" t="inlineStr">
        <is>
          <t>155</t>
        </is>
      </c>
      <c r="C156" s="19" t="n"/>
      <c r="D156" s="19" t="n"/>
      <c r="E156" s="19" t="inlineStr">
        <is>
          <t>39</t>
        </is>
      </c>
      <c r="F156" s="19" t="n"/>
      <c r="G156" s="19" t="n"/>
      <c r="H156" s="19" t="n"/>
      <c r="I156" s="19" t="n"/>
      <c r="J156" t="n">
        <v>155</v>
      </c>
      <c r="K156" t="inlineStr">
        <is>
          <t>Phase J registry sync</t>
        </is>
      </c>
    </row>
    <row r="157">
      <c r="A157" s="19" t="inlineStr">
        <is>
          <t>156</t>
        </is>
      </c>
      <c r="B157" s="19" t="inlineStr">
        <is>
          <t>156</t>
        </is>
      </c>
      <c r="C157" s="19" t="n"/>
      <c r="D157" s="19" t="n"/>
      <c r="E157" s="19" t="n"/>
      <c r="F157" s="19" t="n"/>
      <c r="G157" s="19" t="n"/>
      <c r="H157" s="19" t="n"/>
      <c r="I157" s="19" t="inlineStr">
        <is>
          <t>39</t>
        </is>
      </c>
      <c r="J157" t="n">
        <v>156</v>
      </c>
      <c r="K157" t="inlineStr">
        <is>
          <t>Phase J registry sync</t>
        </is>
      </c>
    </row>
    <row r="158">
      <c r="A158" s="19" t="inlineStr">
        <is>
          <t>157</t>
        </is>
      </c>
      <c r="B158" s="19" t="inlineStr">
        <is>
          <t>157</t>
        </is>
      </c>
      <c r="C158" s="19" t="n"/>
      <c r="D158" s="19" t="n"/>
      <c r="E158" s="19" t="n"/>
      <c r="F158" s="19" t="n"/>
      <c r="G158" s="19" t="inlineStr">
        <is>
          <t>40</t>
        </is>
      </c>
      <c r="H158" s="19" t="n"/>
      <c r="I158" s="19" t="n"/>
      <c r="J158" t="n">
        <v>157</v>
      </c>
      <c r="K158" t="inlineStr">
        <is>
          <t>Phase J registry sync</t>
        </is>
      </c>
    </row>
    <row r="159">
      <c r="A159" s="19" t="inlineStr">
        <is>
          <t>158</t>
        </is>
      </c>
      <c r="B159" s="19" t="inlineStr">
        <is>
          <t>158</t>
        </is>
      </c>
      <c r="C159" s="19" t="n"/>
      <c r="D159" s="19" t="n"/>
      <c r="E159" s="19" t="n"/>
      <c r="F159" s="19" t="n"/>
      <c r="G159" s="19" t="n"/>
      <c r="H159" s="19" t="inlineStr">
        <is>
          <t>40</t>
        </is>
      </c>
      <c r="I159" s="19" t="n"/>
      <c r="J159" t="n">
        <v>158</v>
      </c>
      <c r="K159" t="inlineStr">
        <is>
          <t>Phase J registry sync</t>
        </is>
      </c>
    </row>
    <row r="160">
      <c r="A160" s="19" t="inlineStr">
        <is>
          <t>159</t>
        </is>
      </c>
      <c r="B160" s="19" t="inlineStr">
        <is>
          <t>159</t>
        </is>
      </c>
      <c r="C160" s="19" t="n"/>
      <c r="D160" s="19" t="n"/>
      <c r="E160" s="19" t="inlineStr">
        <is>
          <t>40</t>
        </is>
      </c>
      <c r="F160" s="19" t="n"/>
      <c r="G160" s="19" t="n"/>
      <c r="H160" s="19" t="n"/>
      <c r="I160" s="19" t="n"/>
      <c r="J160" t="n">
        <v>159</v>
      </c>
      <c r="K160" t="inlineStr">
        <is>
          <t>Phase J registry sync</t>
        </is>
      </c>
    </row>
    <row r="161">
      <c r="A161" s="19" t="inlineStr">
        <is>
          <t>160</t>
        </is>
      </c>
      <c r="B161" s="19" t="inlineStr">
        <is>
          <t>160</t>
        </is>
      </c>
      <c r="C161" s="19" t="n"/>
      <c r="D161" s="19" t="n"/>
      <c r="E161" s="19" t="n"/>
      <c r="F161" s="19" t="n"/>
      <c r="G161" s="19" t="n"/>
      <c r="H161" s="19" t="n"/>
      <c r="I161" s="19" t="inlineStr">
        <is>
          <t>40</t>
        </is>
      </c>
      <c r="J161" t="n">
        <v>160</v>
      </c>
      <c r="K161" t="inlineStr">
        <is>
          <t>Phase J registry sync</t>
        </is>
      </c>
    </row>
    <row r="162">
      <c r="A162" s="19" t="inlineStr">
        <is>
          <t>161</t>
        </is>
      </c>
      <c r="B162" s="19" t="inlineStr">
        <is>
          <t>161</t>
        </is>
      </c>
      <c r="C162" s="19" t="n"/>
      <c r="D162" s="19" t="n"/>
      <c r="E162" s="19" t="n"/>
      <c r="F162" s="19" t="n"/>
      <c r="G162" s="19" t="inlineStr">
        <is>
          <t>41</t>
        </is>
      </c>
      <c r="H162" s="19" t="n"/>
      <c r="I162" s="19" t="n"/>
      <c r="J162" t="n">
        <v>161</v>
      </c>
      <c r="K162" t="inlineStr">
        <is>
          <t>Phase J registry sync</t>
        </is>
      </c>
    </row>
    <row r="163">
      <c r="A163" s="19" t="inlineStr">
        <is>
          <t>162</t>
        </is>
      </c>
      <c r="B163" s="19" t="inlineStr">
        <is>
          <t>162</t>
        </is>
      </c>
      <c r="C163" s="19" t="n"/>
      <c r="D163" s="19" t="n"/>
      <c r="E163" s="19" t="n"/>
      <c r="F163" s="19" t="n"/>
      <c r="G163" s="19" t="n"/>
      <c r="H163" s="19" t="inlineStr">
        <is>
          <t>41</t>
        </is>
      </c>
      <c r="I163" s="19" t="n"/>
      <c r="J163" t="n">
        <v>162</v>
      </c>
      <c r="K163" t="inlineStr">
        <is>
          <t>Phase J registry sync</t>
        </is>
      </c>
    </row>
    <row r="164">
      <c r="A164" s="19" t="inlineStr">
        <is>
          <t>163</t>
        </is>
      </c>
      <c r="B164" s="19" t="inlineStr">
        <is>
          <t>163</t>
        </is>
      </c>
      <c r="C164" s="19" t="n"/>
      <c r="D164" s="19" t="n"/>
      <c r="E164" s="19" t="inlineStr">
        <is>
          <t>41</t>
        </is>
      </c>
      <c r="F164" s="19" t="n"/>
      <c r="G164" s="19" t="n"/>
      <c r="H164" s="19" t="n"/>
      <c r="I164" s="19" t="n"/>
      <c r="J164" t="n">
        <v>163</v>
      </c>
      <c r="K164" t="inlineStr">
        <is>
          <t>Phase J registry sync</t>
        </is>
      </c>
    </row>
    <row r="165">
      <c r="A165" s="19" t="inlineStr">
        <is>
          <t>164</t>
        </is>
      </c>
      <c r="B165" s="19" t="inlineStr">
        <is>
          <t>164</t>
        </is>
      </c>
      <c r="C165" s="19" t="n"/>
      <c r="D165" s="19" t="n"/>
      <c r="E165" s="19" t="n"/>
      <c r="F165" s="19" t="n"/>
      <c r="G165" s="19" t="n"/>
      <c r="H165" s="19" t="n"/>
      <c r="I165" s="19" t="inlineStr">
        <is>
          <t>41</t>
        </is>
      </c>
      <c r="J165" t="n">
        <v>164</v>
      </c>
      <c r="K165" t="inlineStr">
        <is>
          <t>Phase J registry sync</t>
        </is>
      </c>
    </row>
    <row r="166">
      <c r="A166" s="19" t="inlineStr">
        <is>
          <t>165</t>
        </is>
      </c>
      <c r="B166" s="19" t="inlineStr">
        <is>
          <t>165</t>
        </is>
      </c>
      <c r="C166" s="19" t="n"/>
      <c r="D166" s="19" t="n"/>
      <c r="E166" s="19" t="n"/>
      <c r="F166" s="19" t="n"/>
      <c r="G166" s="19" t="inlineStr">
        <is>
          <t>42</t>
        </is>
      </c>
      <c r="H166" s="19" t="n"/>
      <c r="I166" s="19" t="n"/>
      <c r="J166" t="n">
        <v>165</v>
      </c>
      <c r="K166" t="inlineStr">
        <is>
          <t>Phase J registry sync</t>
        </is>
      </c>
    </row>
    <row r="167">
      <c r="A167" s="19" t="inlineStr">
        <is>
          <t>166</t>
        </is>
      </c>
      <c r="B167" s="19" t="inlineStr">
        <is>
          <t>166</t>
        </is>
      </c>
      <c r="C167" s="19" t="n"/>
      <c r="D167" s="19" t="n"/>
      <c r="E167" s="19" t="n"/>
      <c r="F167" s="19" t="n"/>
      <c r="G167" s="19" t="n"/>
      <c r="H167" s="19" t="inlineStr">
        <is>
          <t>42</t>
        </is>
      </c>
      <c r="I167" s="19" t="n"/>
      <c r="J167" t="n">
        <v>166</v>
      </c>
      <c r="K167" t="inlineStr">
        <is>
          <t>Phase J registry sync</t>
        </is>
      </c>
    </row>
    <row r="168">
      <c r="A168" s="19" t="inlineStr">
        <is>
          <t>167</t>
        </is>
      </c>
      <c r="B168" s="19" t="inlineStr">
        <is>
          <t>167</t>
        </is>
      </c>
      <c r="C168" s="19" t="n"/>
      <c r="D168" s="19" t="n"/>
      <c r="E168" s="19" t="inlineStr">
        <is>
          <t>42</t>
        </is>
      </c>
      <c r="F168" s="19" t="n"/>
      <c r="G168" s="19" t="n"/>
      <c r="H168" s="19" t="n"/>
      <c r="I168" s="19" t="n"/>
      <c r="J168" t="n">
        <v>167</v>
      </c>
      <c r="K168" t="inlineStr">
        <is>
          <t>Phase J registry sync</t>
        </is>
      </c>
    </row>
    <row r="169">
      <c r="A169" s="19" t="inlineStr">
        <is>
          <t>168</t>
        </is>
      </c>
      <c r="B169" s="19" t="inlineStr">
        <is>
          <t>168</t>
        </is>
      </c>
      <c r="C169" s="19" t="n"/>
      <c r="D169" s="19" t="n"/>
      <c r="E169" s="19" t="n"/>
      <c r="F169" s="19" t="n"/>
      <c r="G169" s="19" t="n"/>
      <c r="H169" s="19" t="n"/>
      <c r="I169" s="19" t="inlineStr">
        <is>
          <t>42</t>
        </is>
      </c>
      <c r="J169" t="n">
        <v>168</v>
      </c>
      <c r="K169" t="inlineStr">
        <is>
          <t>Phase J registry sync</t>
        </is>
      </c>
    </row>
    <row r="170">
      <c r="A170" s="19" t="inlineStr">
        <is>
          <t>169</t>
        </is>
      </c>
      <c r="B170" s="19" t="inlineStr">
        <is>
          <t>169</t>
        </is>
      </c>
      <c r="C170" s="19" t="n"/>
      <c r="D170" s="19" t="n"/>
      <c r="E170" s="19" t="n"/>
      <c r="F170" s="19" t="n"/>
      <c r="G170" s="19" t="inlineStr">
        <is>
          <t>43</t>
        </is>
      </c>
      <c r="H170" s="19" t="n"/>
      <c r="I170" s="19" t="n"/>
      <c r="J170" t="n">
        <v>169</v>
      </c>
      <c r="K170" t="inlineStr">
        <is>
          <t>Phase J registry sync</t>
        </is>
      </c>
    </row>
    <row r="171">
      <c r="A171" s="19" t="inlineStr">
        <is>
          <t>170</t>
        </is>
      </c>
      <c r="B171" s="19" t="inlineStr">
        <is>
          <t>170</t>
        </is>
      </c>
      <c r="C171" s="19" t="n"/>
      <c r="D171" s="19" t="n"/>
      <c r="E171" s="19" t="n"/>
      <c r="F171" s="19" t="n"/>
      <c r="G171" s="19" t="n"/>
      <c r="H171" s="19" t="inlineStr">
        <is>
          <t>43</t>
        </is>
      </c>
      <c r="I171" s="19" t="n"/>
      <c r="J171" t="n">
        <v>170</v>
      </c>
      <c r="K171" t="inlineStr">
        <is>
          <t>Phase J registry sync</t>
        </is>
      </c>
    </row>
    <row r="172">
      <c r="A172" s="19" t="inlineStr">
        <is>
          <t>171</t>
        </is>
      </c>
      <c r="B172" s="19" t="inlineStr">
        <is>
          <t>171</t>
        </is>
      </c>
      <c r="C172" s="19" t="n"/>
      <c r="D172" s="19" t="n"/>
      <c r="E172" s="19" t="inlineStr">
        <is>
          <t>43</t>
        </is>
      </c>
      <c r="F172" s="19" t="n"/>
      <c r="G172" s="19" t="n"/>
      <c r="H172" s="19" t="n"/>
      <c r="I172" s="19" t="n"/>
      <c r="J172" t="n">
        <v>171</v>
      </c>
      <c r="K172" t="inlineStr">
        <is>
          <t>Phase J registry sync</t>
        </is>
      </c>
    </row>
    <row r="173">
      <c r="A173" s="19" t="inlineStr">
        <is>
          <t>172</t>
        </is>
      </c>
      <c r="B173" s="19" t="inlineStr">
        <is>
          <t>172</t>
        </is>
      </c>
      <c r="C173" s="19" t="n"/>
      <c r="D173" s="19" t="n"/>
      <c r="E173" s="19" t="n"/>
      <c r="F173" s="19" t="n"/>
      <c r="G173" s="19" t="n"/>
      <c r="H173" s="19" t="n"/>
      <c r="I173" s="19" t="inlineStr">
        <is>
          <t>43</t>
        </is>
      </c>
      <c r="J173" t="n">
        <v>172</v>
      </c>
      <c r="K173" t="inlineStr">
        <is>
          <t>Phase J registry sync</t>
        </is>
      </c>
    </row>
    <row r="174">
      <c r="A174" s="19" t="inlineStr">
        <is>
          <t>173</t>
        </is>
      </c>
      <c r="B174" s="19" t="inlineStr">
        <is>
          <t>173</t>
        </is>
      </c>
      <c r="C174" s="19" t="n"/>
      <c r="D174" s="19" t="n"/>
      <c r="E174" s="19" t="n"/>
      <c r="F174" s="19" t="n"/>
      <c r="G174" s="19" t="inlineStr">
        <is>
          <t>44</t>
        </is>
      </c>
      <c r="H174" s="19" t="n"/>
      <c r="I174" s="19" t="n"/>
      <c r="J174" t="n">
        <v>173</v>
      </c>
      <c r="K174" t="inlineStr">
        <is>
          <t>Phase J registry sync</t>
        </is>
      </c>
    </row>
    <row r="175">
      <c r="A175" s="19" t="inlineStr">
        <is>
          <t>174</t>
        </is>
      </c>
      <c r="B175" s="19" t="inlineStr">
        <is>
          <t>174</t>
        </is>
      </c>
      <c r="C175" s="19" t="n"/>
      <c r="D175" s="19" t="n"/>
      <c r="E175" s="19" t="n"/>
      <c r="F175" s="19" t="n"/>
      <c r="G175" s="19" t="n"/>
      <c r="H175" s="19" t="inlineStr">
        <is>
          <t>44</t>
        </is>
      </c>
      <c r="I175" s="19" t="n"/>
      <c r="J175" t="n">
        <v>174</v>
      </c>
      <c r="K175" t="inlineStr">
        <is>
          <t>Phase J registry sync</t>
        </is>
      </c>
    </row>
    <row r="176">
      <c r="A176" s="19" t="inlineStr">
        <is>
          <t>175</t>
        </is>
      </c>
      <c r="B176" s="19" t="inlineStr">
        <is>
          <t>175</t>
        </is>
      </c>
      <c r="C176" s="19" t="n"/>
      <c r="D176" s="19" t="n"/>
      <c r="E176" s="19" t="inlineStr">
        <is>
          <t>44</t>
        </is>
      </c>
      <c r="F176" s="19" t="n"/>
      <c r="G176" s="19" t="n"/>
      <c r="H176" s="19" t="n"/>
      <c r="I176" s="19" t="n"/>
      <c r="J176" t="n">
        <v>175</v>
      </c>
      <c r="K176" t="inlineStr">
        <is>
          <t>Phase J registry sync</t>
        </is>
      </c>
    </row>
    <row r="177">
      <c r="A177" s="19" t="inlineStr">
        <is>
          <t>176</t>
        </is>
      </c>
      <c r="B177" s="19" t="inlineStr">
        <is>
          <t>176</t>
        </is>
      </c>
      <c r="C177" s="19" t="n"/>
      <c r="D177" s="19" t="n"/>
      <c r="E177" s="19" t="n"/>
      <c r="F177" s="19" t="n"/>
      <c r="G177" s="19" t="n"/>
      <c r="H177" s="19" t="n"/>
      <c r="I177" s="19" t="inlineStr">
        <is>
          <t>44</t>
        </is>
      </c>
      <c r="J177" t="n">
        <v>176</v>
      </c>
      <c r="K177" t="inlineStr">
        <is>
          <t>Phase J registry sync</t>
        </is>
      </c>
    </row>
    <row r="178">
      <c r="A178" s="19" t="inlineStr">
        <is>
          <t>177</t>
        </is>
      </c>
      <c r="B178" s="19" t="inlineStr">
        <is>
          <t>177</t>
        </is>
      </c>
      <c r="C178" s="19" t="n"/>
      <c r="D178" s="19" t="n"/>
      <c r="E178" s="19" t="n"/>
      <c r="F178" s="19" t="n"/>
      <c r="G178" s="19" t="inlineStr">
        <is>
          <t>45</t>
        </is>
      </c>
      <c r="H178" s="19" t="n"/>
      <c r="I178" s="19" t="n"/>
      <c r="J178" t="n">
        <v>177</v>
      </c>
      <c r="K178" t="inlineStr">
        <is>
          <t>Phase J registry sync</t>
        </is>
      </c>
    </row>
    <row r="179">
      <c r="A179" s="19" t="inlineStr">
        <is>
          <t>178</t>
        </is>
      </c>
      <c r="B179" s="19" t="inlineStr">
        <is>
          <t>178</t>
        </is>
      </c>
      <c r="C179" s="19" t="n"/>
      <c r="D179" s="19" t="n"/>
      <c r="E179" s="19" t="n"/>
      <c r="F179" s="19" t="n"/>
      <c r="G179" s="19" t="n"/>
      <c r="H179" s="19" t="inlineStr">
        <is>
          <t>45</t>
        </is>
      </c>
      <c r="I179" s="19" t="n"/>
      <c r="J179" t="n">
        <v>178</v>
      </c>
      <c r="K179" t="inlineStr">
        <is>
          <t>Phase J registry sync</t>
        </is>
      </c>
    </row>
    <row r="180">
      <c r="A180" s="19" t="inlineStr">
        <is>
          <t>179</t>
        </is>
      </c>
      <c r="B180" s="19" t="inlineStr">
        <is>
          <t>179</t>
        </is>
      </c>
      <c r="C180" s="19" t="n"/>
      <c r="D180" s="19" t="n"/>
      <c r="E180" s="19" t="inlineStr">
        <is>
          <t>45</t>
        </is>
      </c>
      <c r="F180" s="19" t="n"/>
      <c r="G180" s="19" t="n"/>
      <c r="H180" s="19" t="n"/>
      <c r="I180" s="19" t="n"/>
      <c r="J180" t="n">
        <v>179</v>
      </c>
      <c r="K180" t="inlineStr">
        <is>
          <t>Phase J registry sync</t>
        </is>
      </c>
    </row>
    <row r="181">
      <c r="A181" s="19" t="inlineStr">
        <is>
          <t>180</t>
        </is>
      </c>
      <c r="B181" s="19" t="inlineStr">
        <is>
          <t>180</t>
        </is>
      </c>
      <c r="C181" s="19" t="n"/>
      <c r="D181" s="19" t="n"/>
      <c r="E181" s="19" t="n"/>
      <c r="F181" s="19" t="n"/>
      <c r="G181" s="19" t="n"/>
      <c r="H181" s="19" t="n"/>
      <c r="I181" s="19" t="inlineStr">
        <is>
          <t>45</t>
        </is>
      </c>
      <c r="J181" t="n">
        <v>180</v>
      </c>
      <c r="K181" t="inlineStr">
        <is>
          <t>Phase J registry sync</t>
        </is>
      </c>
    </row>
    <row r="182">
      <c r="A182" s="19" t="inlineStr">
        <is>
          <t>181</t>
        </is>
      </c>
      <c r="B182" s="19" t="inlineStr">
        <is>
          <t>181</t>
        </is>
      </c>
      <c r="C182" s="19" t="n"/>
      <c r="D182" s="19" t="n"/>
      <c r="E182" s="19" t="n"/>
      <c r="F182" s="19" t="n"/>
      <c r="G182" s="19" t="inlineStr">
        <is>
          <t>46</t>
        </is>
      </c>
      <c r="H182" s="19" t="n"/>
      <c r="I182" s="19" t="n"/>
      <c r="J182" t="n">
        <v>181</v>
      </c>
      <c r="K182" t="inlineStr">
        <is>
          <t>Phase J registry sync</t>
        </is>
      </c>
    </row>
    <row r="183">
      <c r="A183" s="19" t="inlineStr">
        <is>
          <t>182</t>
        </is>
      </c>
      <c r="B183" s="19" t="inlineStr">
        <is>
          <t>182</t>
        </is>
      </c>
      <c r="C183" s="19" t="n"/>
      <c r="D183" s="19" t="n"/>
      <c r="E183" s="19" t="n"/>
      <c r="F183" s="19" t="n"/>
      <c r="G183" s="19" t="n"/>
      <c r="H183" s="19" t="inlineStr">
        <is>
          <t>46</t>
        </is>
      </c>
      <c r="I183" s="19" t="n"/>
      <c r="J183" t="n">
        <v>182</v>
      </c>
      <c r="K183" t="inlineStr">
        <is>
          <t>Phase J registry sync</t>
        </is>
      </c>
    </row>
    <row r="184">
      <c r="A184" s="19" t="inlineStr">
        <is>
          <t>183</t>
        </is>
      </c>
      <c r="B184" s="19" t="inlineStr">
        <is>
          <t>183</t>
        </is>
      </c>
      <c r="C184" s="19" t="n"/>
      <c r="D184" s="19" t="n"/>
      <c r="E184" s="19" t="inlineStr">
        <is>
          <t>46</t>
        </is>
      </c>
      <c r="F184" s="19" t="n"/>
      <c r="G184" s="19" t="n"/>
      <c r="H184" s="19" t="n"/>
      <c r="I184" s="19" t="n"/>
      <c r="J184" t="n">
        <v>183</v>
      </c>
      <c r="K184" t="inlineStr">
        <is>
          <t>Phase J registry sync</t>
        </is>
      </c>
    </row>
    <row r="185">
      <c r="A185" s="19" t="inlineStr">
        <is>
          <t>184</t>
        </is>
      </c>
      <c r="B185" s="19" t="inlineStr">
        <is>
          <t>184</t>
        </is>
      </c>
      <c r="C185" s="19" t="n"/>
      <c r="D185" s="19" t="n"/>
      <c r="E185" s="19" t="n"/>
      <c r="F185" s="19" t="n"/>
      <c r="G185" s="19" t="n"/>
      <c r="H185" s="19" t="n"/>
      <c r="I185" s="19" t="inlineStr">
        <is>
          <t>46</t>
        </is>
      </c>
      <c r="J185" t="n">
        <v>184</v>
      </c>
      <c r="K185" t="inlineStr">
        <is>
          <t>Phase J registry sync</t>
        </is>
      </c>
    </row>
    <row r="186">
      <c r="A186" s="19" t="inlineStr">
        <is>
          <t>185</t>
        </is>
      </c>
      <c r="B186" s="19" t="inlineStr">
        <is>
          <t>185</t>
        </is>
      </c>
      <c r="C186" s="19" t="n"/>
      <c r="D186" s="19" t="n"/>
      <c r="E186" s="19" t="n"/>
      <c r="F186" s="19" t="n"/>
      <c r="G186" s="19" t="inlineStr">
        <is>
          <t>47</t>
        </is>
      </c>
      <c r="H186" s="19" t="n"/>
      <c r="I186" s="19" t="n"/>
      <c r="J186" t="n">
        <v>185</v>
      </c>
      <c r="K186" t="inlineStr">
        <is>
          <t>Phase J registry sync</t>
        </is>
      </c>
    </row>
    <row r="187">
      <c r="A187" s="19" t="inlineStr">
        <is>
          <t>186</t>
        </is>
      </c>
      <c r="B187" s="19" t="inlineStr">
        <is>
          <t>186</t>
        </is>
      </c>
      <c r="C187" s="19" t="n"/>
      <c r="D187" s="19" t="n"/>
      <c r="E187" s="19" t="n"/>
      <c r="F187" s="19" t="n"/>
      <c r="G187" s="19" t="n"/>
      <c r="H187" s="19" t="inlineStr">
        <is>
          <t>47</t>
        </is>
      </c>
      <c r="I187" s="19" t="n"/>
      <c r="J187" t="n">
        <v>186</v>
      </c>
      <c r="K187" t="inlineStr">
        <is>
          <t>Phase J registry sync</t>
        </is>
      </c>
    </row>
    <row r="188">
      <c r="A188" s="19" t="inlineStr">
        <is>
          <t>187</t>
        </is>
      </c>
      <c r="B188" s="19" t="inlineStr">
        <is>
          <t>187</t>
        </is>
      </c>
      <c r="C188" s="19" t="n"/>
      <c r="D188" s="19" t="n"/>
      <c r="E188" s="19" t="inlineStr">
        <is>
          <t>47</t>
        </is>
      </c>
      <c r="F188" s="19" t="n"/>
      <c r="G188" s="19" t="n"/>
      <c r="H188" s="19" t="n"/>
      <c r="I188" s="19" t="n"/>
      <c r="J188" t="n">
        <v>187</v>
      </c>
      <c r="K188" t="inlineStr">
        <is>
          <t>Phase J registry sync</t>
        </is>
      </c>
    </row>
    <row r="189">
      <c r="A189" s="19" t="inlineStr">
        <is>
          <t>188</t>
        </is>
      </c>
      <c r="B189" s="19" t="inlineStr">
        <is>
          <t>188</t>
        </is>
      </c>
      <c r="C189" s="19" t="n"/>
      <c r="D189" s="19" t="n"/>
      <c r="E189" s="19" t="n"/>
      <c r="F189" s="19" t="n"/>
      <c r="G189" s="19" t="n"/>
      <c r="H189" s="19" t="n"/>
      <c r="I189" s="19" t="inlineStr">
        <is>
          <t>47</t>
        </is>
      </c>
      <c r="J189" t="n">
        <v>188</v>
      </c>
      <c r="K189" t="inlineStr">
        <is>
          <t>Phase J registry sync</t>
        </is>
      </c>
    </row>
    <row r="190">
      <c r="A190" s="19" t="inlineStr">
        <is>
          <t>189</t>
        </is>
      </c>
      <c r="B190" s="19" t="inlineStr">
        <is>
          <t>189</t>
        </is>
      </c>
      <c r="C190" s="19" t="n"/>
      <c r="D190" s="19" t="n"/>
      <c r="E190" s="19" t="n"/>
      <c r="F190" s="19" t="n"/>
      <c r="G190" s="19" t="inlineStr">
        <is>
          <t>48</t>
        </is>
      </c>
      <c r="H190" s="19" t="n"/>
      <c r="I190" s="19" t="n"/>
      <c r="J190" t="n">
        <v>189</v>
      </c>
      <c r="K190" t="inlineStr">
        <is>
          <t>Phase J registry sync</t>
        </is>
      </c>
    </row>
    <row r="191">
      <c r="A191" s="19" t="inlineStr">
        <is>
          <t>190</t>
        </is>
      </c>
      <c r="B191" s="19" t="inlineStr">
        <is>
          <t>190</t>
        </is>
      </c>
      <c r="C191" s="19" t="n"/>
      <c r="D191" s="19" t="n"/>
      <c r="E191" s="19" t="n"/>
      <c r="F191" s="19" t="n"/>
      <c r="G191" s="19" t="n"/>
      <c r="H191" s="19" t="inlineStr">
        <is>
          <t>48</t>
        </is>
      </c>
      <c r="I191" s="19" t="n"/>
      <c r="J191" t="n">
        <v>190</v>
      </c>
      <c r="K191" t="inlineStr">
        <is>
          <t>Phase J registry sync</t>
        </is>
      </c>
    </row>
    <row r="192">
      <c r="A192" s="19" t="inlineStr">
        <is>
          <t>191</t>
        </is>
      </c>
      <c r="B192" s="19" t="inlineStr">
        <is>
          <t>191</t>
        </is>
      </c>
      <c r="C192" s="19" t="n"/>
      <c r="D192" s="19" t="n"/>
      <c r="E192" s="19" t="inlineStr">
        <is>
          <t>48</t>
        </is>
      </c>
      <c r="F192" s="19" t="n"/>
      <c r="G192" s="19" t="n"/>
      <c r="H192" s="19" t="n"/>
      <c r="I192" s="19" t="n"/>
      <c r="J192" t="n">
        <v>191</v>
      </c>
      <c r="K192" t="inlineStr">
        <is>
          <t>Phase J registry sync</t>
        </is>
      </c>
    </row>
    <row r="193">
      <c r="A193" s="19" t="inlineStr">
        <is>
          <t>192</t>
        </is>
      </c>
      <c r="B193" s="19" t="inlineStr">
        <is>
          <t>192</t>
        </is>
      </c>
      <c r="C193" s="19" t="n"/>
      <c r="D193" s="19" t="n"/>
      <c r="E193" s="19" t="n"/>
      <c r="F193" s="19" t="n"/>
      <c r="G193" s="19" t="n"/>
      <c r="H193" s="19" t="n"/>
      <c r="I193" s="19" t="inlineStr">
        <is>
          <t>48</t>
        </is>
      </c>
      <c r="J193" t="n">
        <v>192</v>
      </c>
      <c r="K193" t="inlineStr">
        <is>
          <t>Phase J registry sync</t>
        </is>
      </c>
    </row>
    <row r="194">
      <c r="A194" s="19" t="inlineStr">
        <is>
          <t>193</t>
        </is>
      </c>
      <c r="B194" s="19" t="inlineStr">
        <is>
          <t>193</t>
        </is>
      </c>
      <c r="C194" s="19" t="n"/>
      <c r="D194" s="19" t="n"/>
      <c r="E194" s="19" t="n"/>
      <c r="F194" s="19" t="n"/>
      <c r="G194" s="19" t="inlineStr">
        <is>
          <t>49</t>
        </is>
      </c>
      <c r="H194" s="19" t="n"/>
      <c r="I194" s="19" t="n"/>
      <c r="J194" t="n">
        <v>193</v>
      </c>
      <c r="K194" t="inlineStr">
        <is>
          <t>Phase J registry sync</t>
        </is>
      </c>
    </row>
    <row r="195">
      <c r="A195" s="19" t="inlineStr">
        <is>
          <t>194</t>
        </is>
      </c>
      <c r="B195" s="19" t="inlineStr">
        <is>
          <t>194</t>
        </is>
      </c>
      <c r="C195" s="19" t="n"/>
      <c r="D195" s="19" t="n"/>
      <c r="E195" s="19" t="n"/>
      <c r="F195" s="19" t="n"/>
      <c r="G195" s="19" t="n"/>
      <c r="H195" s="19" t="inlineStr">
        <is>
          <t>49</t>
        </is>
      </c>
      <c r="I195" s="19" t="n"/>
      <c r="J195" t="n">
        <v>194</v>
      </c>
      <c r="K195" t="inlineStr">
        <is>
          <t>Phase J registry sync</t>
        </is>
      </c>
    </row>
    <row r="196">
      <c r="A196" s="19" t="inlineStr">
        <is>
          <t>195</t>
        </is>
      </c>
      <c r="B196" s="19" t="inlineStr">
        <is>
          <t>195</t>
        </is>
      </c>
      <c r="C196" s="19" t="n"/>
      <c r="D196" s="19" t="n"/>
      <c r="E196" s="19" t="inlineStr">
        <is>
          <t>49</t>
        </is>
      </c>
      <c r="F196" s="19" t="n"/>
      <c r="G196" s="19" t="n"/>
      <c r="H196" s="19" t="n"/>
      <c r="I196" s="19" t="n"/>
      <c r="J196" t="n">
        <v>195</v>
      </c>
      <c r="K196" t="inlineStr">
        <is>
          <t>Phase J registry sync</t>
        </is>
      </c>
    </row>
    <row r="197">
      <c r="A197" s="19" t="inlineStr">
        <is>
          <t>196</t>
        </is>
      </c>
      <c r="B197" s="19" t="inlineStr">
        <is>
          <t>196</t>
        </is>
      </c>
      <c r="C197" s="19" t="n"/>
      <c r="D197" s="19" t="n"/>
      <c r="E197" s="19" t="n"/>
      <c r="F197" s="19" t="n"/>
      <c r="G197" s="19" t="n"/>
      <c r="H197" s="19" t="n"/>
      <c r="I197" s="19" t="inlineStr">
        <is>
          <t>49</t>
        </is>
      </c>
      <c r="J197" t="n">
        <v>196</v>
      </c>
      <c r="K197" t="inlineStr">
        <is>
          <t>Phase J registry sync</t>
        </is>
      </c>
    </row>
    <row r="198">
      <c r="A198" s="19" t="inlineStr">
        <is>
          <t>197</t>
        </is>
      </c>
      <c r="B198" s="19" t="inlineStr">
        <is>
          <t>197</t>
        </is>
      </c>
      <c r="C198" s="19" t="n"/>
      <c r="D198" s="19" t="n"/>
      <c r="E198" s="19" t="n"/>
      <c r="F198" s="19" t="n"/>
      <c r="G198" s="19" t="inlineStr">
        <is>
          <t>50</t>
        </is>
      </c>
      <c r="H198" s="19" t="n"/>
      <c r="I198" s="19" t="n"/>
      <c r="J198" t="n">
        <v>197</v>
      </c>
      <c r="K198" t="inlineStr">
        <is>
          <t>Phase J registry sync</t>
        </is>
      </c>
    </row>
    <row r="199">
      <c r="A199" s="19" t="inlineStr">
        <is>
          <t>198</t>
        </is>
      </c>
      <c r="B199" s="19" t="inlineStr">
        <is>
          <t>198</t>
        </is>
      </c>
      <c r="C199" s="19" t="n"/>
      <c r="D199" s="19" t="n"/>
      <c r="E199" s="19" t="n"/>
      <c r="F199" s="19" t="n"/>
      <c r="G199" s="19" t="n"/>
      <c r="H199" s="19" t="inlineStr">
        <is>
          <t>50</t>
        </is>
      </c>
      <c r="I199" s="19" t="n"/>
      <c r="J199" t="n">
        <v>198</v>
      </c>
      <c r="K199" t="inlineStr">
        <is>
          <t>Phase J registry sync</t>
        </is>
      </c>
    </row>
    <row r="200">
      <c r="A200" s="19" t="inlineStr">
        <is>
          <t>199</t>
        </is>
      </c>
      <c r="B200" s="19" t="inlineStr">
        <is>
          <t>199</t>
        </is>
      </c>
      <c r="C200" s="19" t="n"/>
      <c r="D200" s="19" t="n"/>
      <c r="E200" s="19" t="inlineStr">
        <is>
          <t>50</t>
        </is>
      </c>
      <c r="F200" s="19" t="n"/>
      <c r="G200" s="19" t="n"/>
      <c r="H200" s="19" t="n"/>
      <c r="I200" s="19" t="n"/>
      <c r="J200" t="n">
        <v>199</v>
      </c>
      <c r="K200" t="inlineStr">
        <is>
          <t>Phase J registry sync</t>
        </is>
      </c>
    </row>
    <row r="201">
      <c r="A201" s="19" t="inlineStr">
        <is>
          <t>200</t>
        </is>
      </c>
      <c r="B201" s="19" t="inlineStr">
        <is>
          <t>200</t>
        </is>
      </c>
      <c r="C201" s="19" t="n"/>
      <c r="D201" s="19" t="n"/>
      <c r="E201" s="19" t="n"/>
      <c r="F201" s="19" t="n"/>
      <c r="G201" s="19" t="n"/>
      <c r="H201" s="19" t="n"/>
      <c r="I201" s="19" t="inlineStr">
        <is>
          <t>50</t>
        </is>
      </c>
      <c r="J201" t="n">
        <v>200</v>
      </c>
      <c r="K201" t="inlineStr">
        <is>
          <t>Phase J registry sync</t>
        </is>
      </c>
    </row>
    <row r="202">
      <c r="A202" s="19" t="inlineStr">
        <is>
          <t>201</t>
        </is>
      </c>
      <c r="B202" s="19" t="inlineStr">
        <is>
          <t>201</t>
        </is>
      </c>
      <c r="C202" s="19" t="n"/>
      <c r="D202" s="19" t="n"/>
      <c r="E202" s="19" t="n"/>
      <c r="F202" s="19" t="n"/>
      <c r="G202" s="19" t="inlineStr">
        <is>
          <t>51</t>
        </is>
      </c>
      <c r="H202" s="19" t="n"/>
      <c r="I202" s="19" t="n"/>
      <c r="J202" t="n">
        <v>201</v>
      </c>
      <c r="K202" t="inlineStr">
        <is>
          <t>Phase J registry sync</t>
        </is>
      </c>
    </row>
    <row r="203">
      <c r="A203" s="19" t="inlineStr">
        <is>
          <t>202</t>
        </is>
      </c>
      <c r="B203" s="19" t="inlineStr">
        <is>
          <t>202</t>
        </is>
      </c>
      <c r="C203" s="19" t="n"/>
      <c r="D203" s="19" t="n"/>
      <c r="E203" s="19" t="n"/>
      <c r="F203" s="19" t="n"/>
      <c r="G203" s="19" t="n"/>
      <c r="H203" s="19" t="inlineStr">
        <is>
          <t>51</t>
        </is>
      </c>
      <c r="I203" s="19" t="n"/>
      <c r="J203" t="n">
        <v>202</v>
      </c>
      <c r="K203" t="inlineStr">
        <is>
          <t>Phase J registry sync</t>
        </is>
      </c>
    </row>
    <row r="204">
      <c r="A204" s="19" t="inlineStr">
        <is>
          <t>203</t>
        </is>
      </c>
      <c r="B204" s="19" t="inlineStr">
        <is>
          <t>203</t>
        </is>
      </c>
      <c r="C204" s="19" t="n"/>
      <c r="D204" s="19" t="n"/>
      <c r="E204" s="19" t="inlineStr">
        <is>
          <t>51</t>
        </is>
      </c>
      <c r="F204" s="19" t="n"/>
      <c r="G204" s="19" t="n"/>
      <c r="H204" s="19" t="n"/>
      <c r="I204" s="19" t="n"/>
      <c r="J204" t="n">
        <v>203</v>
      </c>
      <c r="K204" t="inlineStr">
        <is>
          <t>Phase J registry sync</t>
        </is>
      </c>
    </row>
    <row r="205">
      <c r="A205" s="19" t="inlineStr">
        <is>
          <t>204</t>
        </is>
      </c>
      <c r="B205" s="19" t="inlineStr">
        <is>
          <t>204</t>
        </is>
      </c>
      <c r="C205" s="19" t="n"/>
      <c r="D205" s="19" t="n"/>
      <c r="E205" s="19" t="n"/>
      <c r="F205" s="19" t="n"/>
      <c r="G205" s="19" t="n"/>
      <c r="H205" s="19" t="n"/>
      <c r="I205" s="19" t="inlineStr">
        <is>
          <t>51</t>
        </is>
      </c>
      <c r="J205" t="n">
        <v>204</v>
      </c>
      <c r="K205" t="inlineStr">
        <is>
          <t>Phase J registry sync</t>
        </is>
      </c>
    </row>
    <row r="206">
      <c r="A206" s="19" t="inlineStr">
        <is>
          <t>205</t>
        </is>
      </c>
      <c r="B206" s="19" t="inlineStr">
        <is>
          <t>205</t>
        </is>
      </c>
      <c r="C206" s="19" t="n"/>
      <c r="D206" s="19" t="n"/>
      <c r="E206" s="19" t="n"/>
      <c r="F206" s="19" t="n"/>
      <c r="G206" s="19" t="inlineStr">
        <is>
          <t>52</t>
        </is>
      </c>
      <c r="H206" s="19" t="n"/>
      <c r="I206" s="19" t="n"/>
      <c r="J206" t="n">
        <v>205</v>
      </c>
      <c r="K206" t="inlineStr">
        <is>
          <t>Phase J registry sync</t>
        </is>
      </c>
    </row>
    <row r="207">
      <c r="A207" s="19" t="inlineStr">
        <is>
          <t>206</t>
        </is>
      </c>
      <c r="B207" s="19" t="inlineStr">
        <is>
          <t>206</t>
        </is>
      </c>
      <c r="C207" s="19" t="n"/>
      <c r="D207" s="19" t="n"/>
      <c r="E207" s="19" t="n"/>
      <c r="F207" s="19" t="n"/>
      <c r="G207" s="19" t="n"/>
      <c r="H207" s="19" t="inlineStr">
        <is>
          <t>52</t>
        </is>
      </c>
      <c r="I207" s="19" t="n"/>
      <c r="J207" t="n">
        <v>206</v>
      </c>
      <c r="K207" t="inlineStr">
        <is>
          <t>Phase J registry sync</t>
        </is>
      </c>
    </row>
    <row r="208">
      <c r="A208" s="19" t="inlineStr">
        <is>
          <t>207</t>
        </is>
      </c>
      <c r="B208" s="19" t="inlineStr">
        <is>
          <t>207</t>
        </is>
      </c>
      <c r="C208" s="19" t="n"/>
      <c r="D208" s="19" t="n"/>
      <c r="E208" s="19" t="inlineStr">
        <is>
          <t>52</t>
        </is>
      </c>
      <c r="F208" s="19" t="n"/>
      <c r="G208" s="19" t="n"/>
      <c r="H208" s="19" t="n"/>
      <c r="I208" s="19" t="n"/>
      <c r="J208" t="n">
        <v>207</v>
      </c>
      <c r="K208" t="inlineStr">
        <is>
          <t>Phase J registry sync</t>
        </is>
      </c>
    </row>
    <row r="209">
      <c r="A209" s="19" t="inlineStr">
        <is>
          <t>208</t>
        </is>
      </c>
      <c r="B209" s="19" t="inlineStr">
        <is>
          <t>208</t>
        </is>
      </c>
      <c r="C209" s="19" t="n"/>
      <c r="D209" s="19" t="n"/>
      <c r="E209" s="19" t="n"/>
      <c r="F209" s="19" t="n"/>
      <c r="G209" s="19" t="n"/>
      <c r="H209" s="19" t="n"/>
      <c r="I209" s="19" t="inlineStr">
        <is>
          <t>52</t>
        </is>
      </c>
      <c r="J209" t="n">
        <v>208</v>
      </c>
      <c r="K209" t="inlineStr">
        <is>
          <t>Phase J registry sync</t>
        </is>
      </c>
    </row>
    <row r="210">
      <c r="A210" s="19" t="inlineStr">
        <is>
          <t>209</t>
        </is>
      </c>
      <c r="B210" s="19" t="inlineStr">
        <is>
          <t>209</t>
        </is>
      </c>
      <c r="C210" s="19" t="n"/>
      <c r="D210" s="19" t="n"/>
      <c r="E210" s="19" t="n"/>
      <c r="F210" s="19" t="n"/>
      <c r="G210" s="19" t="inlineStr">
        <is>
          <t>53</t>
        </is>
      </c>
      <c r="H210" s="19" t="n"/>
      <c r="I210" s="19" t="n"/>
      <c r="J210" t="n">
        <v>209</v>
      </c>
      <c r="K210" t="inlineStr">
        <is>
          <t>Phase J registry sync</t>
        </is>
      </c>
    </row>
    <row r="211">
      <c r="A211" s="19" t="inlineStr">
        <is>
          <t>210</t>
        </is>
      </c>
      <c r="B211" s="19" t="inlineStr">
        <is>
          <t>210</t>
        </is>
      </c>
      <c r="C211" s="19" t="n"/>
      <c r="D211" s="19" t="n"/>
      <c r="E211" s="19" t="n"/>
      <c r="F211" s="19" t="n"/>
      <c r="G211" s="19" t="n"/>
      <c r="H211" s="19" t="inlineStr">
        <is>
          <t>53</t>
        </is>
      </c>
      <c r="I211" s="19" t="n"/>
      <c r="J211" t="n">
        <v>210</v>
      </c>
      <c r="K211" t="inlineStr">
        <is>
          <t>Phase J registry sync</t>
        </is>
      </c>
    </row>
    <row r="212">
      <c r="A212" s="19" t="inlineStr">
        <is>
          <t>211</t>
        </is>
      </c>
      <c r="B212" s="19" t="inlineStr">
        <is>
          <t>211</t>
        </is>
      </c>
      <c r="C212" s="19" t="n"/>
      <c r="D212" s="19" t="n"/>
      <c r="E212" s="19" t="inlineStr">
        <is>
          <t>53</t>
        </is>
      </c>
      <c r="F212" s="19" t="n"/>
      <c r="G212" s="19" t="n"/>
      <c r="H212" s="19" t="n"/>
      <c r="I212" s="19" t="n"/>
      <c r="J212" t="n">
        <v>211</v>
      </c>
      <c r="K212" t="inlineStr">
        <is>
          <t>Phase J registry sync</t>
        </is>
      </c>
    </row>
    <row r="213">
      <c r="A213" s="19" t="inlineStr">
        <is>
          <t>212</t>
        </is>
      </c>
      <c r="B213" s="19" t="inlineStr">
        <is>
          <t>212</t>
        </is>
      </c>
      <c r="C213" s="19" t="n"/>
      <c r="D213" s="19" t="n"/>
      <c r="E213" s="19" t="n"/>
      <c r="F213" s="19" t="n"/>
      <c r="G213" s="19" t="n"/>
      <c r="H213" s="19" t="n"/>
      <c r="I213" s="19" t="inlineStr">
        <is>
          <t>53</t>
        </is>
      </c>
      <c r="J213" t="n">
        <v>212</v>
      </c>
      <c r="K213" t="inlineStr">
        <is>
          <t>Phase J registry sync</t>
        </is>
      </c>
    </row>
    <row r="214">
      <c r="A214" s="19" t="inlineStr">
        <is>
          <t>213</t>
        </is>
      </c>
      <c r="B214" s="19" t="inlineStr">
        <is>
          <t>213</t>
        </is>
      </c>
      <c r="C214" s="19" t="n"/>
      <c r="D214" s="19" t="n"/>
      <c r="E214" s="19" t="n"/>
      <c r="F214" s="19" t="n"/>
      <c r="G214" s="19" t="inlineStr">
        <is>
          <t>54</t>
        </is>
      </c>
      <c r="H214" s="19" t="n"/>
      <c r="I214" s="19" t="n"/>
      <c r="J214" t="n">
        <v>213</v>
      </c>
      <c r="K214" t="inlineStr">
        <is>
          <t>Phase J registry sync</t>
        </is>
      </c>
    </row>
    <row r="215">
      <c r="A215" s="19" t="inlineStr">
        <is>
          <t>214</t>
        </is>
      </c>
      <c r="B215" s="19" t="inlineStr">
        <is>
          <t>214</t>
        </is>
      </c>
      <c r="C215" s="19" t="n"/>
      <c r="D215" s="19" t="n"/>
      <c r="E215" s="19" t="n"/>
      <c r="F215" s="19" t="n"/>
      <c r="G215" s="19" t="n"/>
      <c r="H215" s="19" t="inlineStr">
        <is>
          <t>54</t>
        </is>
      </c>
      <c r="I215" s="19" t="n"/>
      <c r="J215" t="n">
        <v>214</v>
      </c>
      <c r="K215" t="inlineStr">
        <is>
          <t>Phase J registry sync</t>
        </is>
      </c>
    </row>
    <row r="216">
      <c r="A216" s="19" t="inlineStr">
        <is>
          <t>215</t>
        </is>
      </c>
      <c r="B216" s="19" t="inlineStr">
        <is>
          <t>215</t>
        </is>
      </c>
      <c r="C216" s="19" t="n"/>
      <c r="D216" s="19" t="n"/>
      <c r="E216" s="19" t="inlineStr">
        <is>
          <t>54</t>
        </is>
      </c>
      <c r="F216" s="19" t="n"/>
      <c r="G216" s="19" t="n"/>
      <c r="H216" s="19" t="n"/>
      <c r="I216" s="19" t="n"/>
      <c r="J216" t="n">
        <v>215</v>
      </c>
      <c r="K216" t="inlineStr">
        <is>
          <t>Phase J registry sync</t>
        </is>
      </c>
    </row>
    <row r="217">
      <c r="A217" s="19" t="inlineStr">
        <is>
          <t>216</t>
        </is>
      </c>
      <c r="B217" s="19" t="inlineStr">
        <is>
          <t>216</t>
        </is>
      </c>
      <c r="C217" s="19" t="n"/>
      <c r="D217" s="19" t="n"/>
      <c r="E217" s="19" t="n"/>
      <c r="F217" s="19" t="n"/>
      <c r="G217" s="19" t="n"/>
      <c r="H217" s="19" t="n"/>
      <c r="I217" s="19" t="inlineStr">
        <is>
          <t>54</t>
        </is>
      </c>
      <c r="J217" t="n">
        <v>216</v>
      </c>
      <c r="K217" t="inlineStr">
        <is>
          <t>Phase J registry sync</t>
        </is>
      </c>
    </row>
    <row r="218">
      <c r="A218" s="19" t="inlineStr">
        <is>
          <t>217</t>
        </is>
      </c>
      <c r="B218" s="19" t="inlineStr">
        <is>
          <t>217</t>
        </is>
      </c>
      <c r="C218" s="19" t="n"/>
      <c r="D218" s="19" t="n"/>
      <c r="E218" s="19" t="n"/>
      <c r="F218" s="19" t="n"/>
      <c r="G218" s="19" t="inlineStr">
        <is>
          <t>55</t>
        </is>
      </c>
      <c r="H218" s="19" t="n"/>
      <c r="I218" s="19" t="n"/>
      <c r="J218" t="n">
        <v>217</v>
      </c>
      <c r="K218" t="inlineStr">
        <is>
          <t>Phase J registry sync</t>
        </is>
      </c>
    </row>
    <row r="219">
      <c r="A219" s="19" t="inlineStr">
        <is>
          <t>218</t>
        </is>
      </c>
      <c r="B219" s="19" t="inlineStr">
        <is>
          <t>218</t>
        </is>
      </c>
      <c r="C219" s="19" t="n"/>
      <c r="D219" s="19" t="n"/>
      <c r="E219" s="19" t="n"/>
      <c r="F219" s="19" t="n"/>
      <c r="G219" s="19" t="n"/>
      <c r="H219" s="19" t="inlineStr">
        <is>
          <t>55</t>
        </is>
      </c>
      <c r="I219" s="19" t="n"/>
      <c r="J219" t="n">
        <v>218</v>
      </c>
      <c r="K219" t="inlineStr">
        <is>
          <t>Phase J registry sync</t>
        </is>
      </c>
    </row>
    <row r="220">
      <c r="A220" s="19" t="inlineStr">
        <is>
          <t>219</t>
        </is>
      </c>
      <c r="B220" s="19" t="inlineStr">
        <is>
          <t>219</t>
        </is>
      </c>
      <c r="C220" s="19" t="n"/>
      <c r="D220" s="19" t="n"/>
      <c r="E220" s="19" t="inlineStr">
        <is>
          <t>55</t>
        </is>
      </c>
      <c r="F220" s="19" t="n"/>
      <c r="G220" s="19" t="n"/>
      <c r="H220" s="19" t="n"/>
      <c r="I220" s="19" t="n"/>
      <c r="J220" t="n">
        <v>219</v>
      </c>
      <c r="K220" t="inlineStr">
        <is>
          <t>Phase J registry sync</t>
        </is>
      </c>
    </row>
    <row r="221">
      <c r="A221" s="19" t="inlineStr">
        <is>
          <t>220</t>
        </is>
      </c>
      <c r="B221" s="19" t="inlineStr">
        <is>
          <t>220</t>
        </is>
      </c>
      <c r="C221" s="19" t="n"/>
      <c r="D221" s="19" t="n"/>
      <c r="E221" s="19" t="n"/>
      <c r="F221" s="19" t="n"/>
      <c r="G221" s="19" t="n"/>
      <c r="H221" s="19" t="n"/>
      <c r="I221" s="19" t="inlineStr">
        <is>
          <t>55</t>
        </is>
      </c>
      <c r="J221" t="n">
        <v>220</v>
      </c>
      <c r="K221" t="inlineStr">
        <is>
          <t>Phase J registry sync</t>
        </is>
      </c>
    </row>
    <row r="222">
      <c r="A222" s="19" t="inlineStr">
        <is>
          <t>221</t>
        </is>
      </c>
      <c r="B222" s="19" t="inlineStr">
        <is>
          <t>221</t>
        </is>
      </c>
      <c r="C222" s="19" t="n"/>
      <c r="D222" s="19" t="n"/>
      <c r="E222" s="19" t="n"/>
      <c r="F222" s="19" t="n"/>
      <c r="G222" s="19" t="inlineStr">
        <is>
          <t>56</t>
        </is>
      </c>
      <c r="H222" s="19" t="n"/>
      <c r="I222" s="19" t="n"/>
      <c r="J222" t="n">
        <v>221</v>
      </c>
      <c r="K222" t="inlineStr">
        <is>
          <t>Phase J registry sync</t>
        </is>
      </c>
    </row>
    <row r="223">
      <c r="A223" s="19" t="inlineStr">
        <is>
          <t>222</t>
        </is>
      </c>
      <c r="B223" s="19" t="inlineStr">
        <is>
          <t>222</t>
        </is>
      </c>
      <c r="C223" s="19" t="n"/>
      <c r="D223" s="19" t="n"/>
      <c r="E223" s="19" t="n"/>
      <c r="F223" s="19" t="n"/>
      <c r="G223" s="19" t="n"/>
      <c r="H223" s="19" t="inlineStr">
        <is>
          <t>56</t>
        </is>
      </c>
      <c r="I223" s="19" t="n"/>
      <c r="J223" t="n">
        <v>222</v>
      </c>
      <c r="K223" t="inlineStr">
        <is>
          <t>Phase J registry sync</t>
        </is>
      </c>
    </row>
    <row r="224">
      <c r="A224" s="19" t="inlineStr">
        <is>
          <t>223</t>
        </is>
      </c>
      <c r="B224" s="19" t="inlineStr">
        <is>
          <t>223</t>
        </is>
      </c>
      <c r="C224" s="19" t="n"/>
      <c r="D224" s="19" t="n"/>
      <c r="E224" s="19" t="inlineStr">
        <is>
          <t>56</t>
        </is>
      </c>
      <c r="F224" s="19" t="n"/>
      <c r="G224" s="19" t="n"/>
      <c r="H224" s="19" t="n"/>
      <c r="I224" s="19" t="n"/>
      <c r="J224" t="n">
        <v>223</v>
      </c>
      <c r="K224" t="inlineStr">
        <is>
          <t>Phase J registry sync</t>
        </is>
      </c>
    </row>
    <row r="225">
      <c r="A225" s="19" t="inlineStr">
        <is>
          <t>224</t>
        </is>
      </c>
      <c r="B225" s="19" t="inlineStr">
        <is>
          <t>224</t>
        </is>
      </c>
      <c r="C225" s="19" t="n"/>
      <c r="D225" s="19" t="n"/>
      <c r="E225" s="19" t="n"/>
      <c r="F225" s="19" t="n"/>
      <c r="G225" s="19" t="n"/>
      <c r="H225" s="19" t="n"/>
      <c r="I225" s="19" t="inlineStr">
        <is>
          <t>56</t>
        </is>
      </c>
      <c r="J225" t="n">
        <v>224</v>
      </c>
      <c r="K225" t="inlineStr">
        <is>
          <t>Phase J registry sync</t>
        </is>
      </c>
    </row>
    <row r="226">
      <c r="A226" s="19" t="inlineStr">
        <is>
          <t>225</t>
        </is>
      </c>
      <c r="B226" s="19" t="inlineStr">
        <is>
          <t>225</t>
        </is>
      </c>
      <c r="C226" s="19" t="n"/>
      <c r="D226" s="19" t="n"/>
      <c r="E226" s="19" t="n"/>
      <c r="F226" s="19" t="n"/>
      <c r="G226" s="19" t="inlineStr">
        <is>
          <t>57</t>
        </is>
      </c>
      <c r="H226" s="19" t="n"/>
      <c r="I226" s="19" t="n"/>
      <c r="J226" t="n">
        <v>225</v>
      </c>
      <c r="K226" t="inlineStr">
        <is>
          <t>Phase J registry sync</t>
        </is>
      </c>
    </row>
    <row r="227">
      <c r="A227" s="19" t="inlineStr">
        <is>
          <t>226</t>
        </is>
      </c>
      <c r="B227" s="19" t="inlineStr">
        <is>
          <t>226</t>
        </is>
      </c>
      <c r="C227" s="19" t="n"/>
      <c r="D227" s="19" t="n"/>
      <c r="E227" s="19" t="n"/>
      <c r="F227" s="19" t="n"/>
      <c r="G227" s="19" t="n"/>
      <c r="H227" s="19" t="inlineStr">
        <is>
          <t>57</t>
        </is>
      </c>
      <c r="I227" s="19" t="n"/>
      <c r="J227" t="n">
        <v>226</v>
      </c>
      <c r="K227" t="inlineStr">
        <is>
          <t>Phase J registry sync</t>
        </is>
      </c>
    </row>
    <row r="228">
      <c r="A228" s="19" t="inlineStr">
        <is>
          <t>227</t>
        </is>
      </c>
      <c r="B228" s="19" t="inlineStr">
        <is>
          <t>227</t>
        </is>
      </c>
      <c r="C228" s="19" t="n"/>
      <c r="D228" s="19" t="n"/>
      <c r="E228" s="19" t="inlineStr">
        <is>
          <t>57</t>
        </is>
      </c>
      <c r="F228" s="19" t="n"/>
      <c r="G228" s="19" t="n"/>
      <c r="H228" s="19" t="n"/>
      <c r="I228" s="19" t="n"/>
      <c r="J228" t="n">
        <v>227</v>
      </c>
      <c r="K228" t="inlineStr">
        <is>
          <t>Phase J registry sync</t>
        </is>
      </c>
    </row>
    <row r="229">
      <c r="A229" s="19" t="inlineStr">
        <is>
          <t>228</t>
        </is>
      </c>
      <c r="B229" s="19" t="inlineStr">
        <is>
          <t>228</t>
        </is>
      </c>
      <c r="C229" s="19" t="n"/>
      <c r="D229" s="19" t="n"/>
      <c r="E229" s="19" t="n"/>
      <c r="F229" s="19" t="n"/>
      <c r="G229" s="19" t="n"/>
      <c r="H229" s="19" t="n"/>
      <c r="I229" s="19" t="inlineStr">
        <is>
          <t>57</t>
        </is>
      </c>
      <c r="J229" t="n">
        <v>228</v>
      </c>
      <c r="K229" t="inlineStr">
        <is>
          <t>Phase J registry sync</t>
        </is>
      </c>
    </row>
    <row r="230">
      <c r="A230" s="19" t="inlineStr">
        <is>
          <t>229</t>
        </is>
      </c>
      <c r="B230" s="19" t="inlineStr">
        <is>
          <t>229</t>
        </is>
      </c>
      <c r="C230" s="19" t="n"/>
      <c r="D230" s="19" t="n"/>
      <c r="E230" s="19" t="n"/>
      <c r="F230" s="19" t="n"/>
      <c r="G230" s="19" t="inlineStr">
        <is>
          <t>58</t>
        </is>
      </c>
      <c r="H230" s="19" t="n"/>
      <c r="I230" s="19" t="n"/>
      <c r="J230" t="n">
        <v>229</v>
      </c>
      <c r="K230" t="inlineStr">
        <is>
          <t>Phase J registry sync</t>
        </is>
      </c>
    </row>
    <row r="231">
      <c r="A231" s="19" t="inlineStr">
        <is>
          <t>230</t>
        </is>
      </c>
      <c r="B231" s="19" t="inlineStr">
        <is>
          <t>230</t>
        </is>
      </c>
      <c r="C231" s="19" t="n"/>
      <c r="D231" s="19" t="n"/>
      <c r="E231" s="19" t="n"/>
      <c r="F231" s="19" t="n"/>
      <c r="G231" s="19" t="n"/>
      <c r="H231" s="19" t="inlineStr">
        <is>
          <t>58</t>
        </is>
      </c>
      <c r="I231" s="19" t="n"/>
      <c r="J231" t="n">
        <v>230</v>
      </c>
      <c r="K231" t="inlineStr">
        <is>
          <t>Phase J registry sync</t>
        </is>
      </c>
    </row>
    <row r="232">
      <c r="A232" s="19" t="inlineStr">
        <is>
          <t>231</t>
        </is>
      </c>
      <c r="B232" s="19" t="inlineStr">
        <is>
          <t>231</t>
        </is>
      </c>
      <c r="C232" s="19" t="n"/>
      <c r="D232" s="19" t="n"/>
      <c r="E232" s="19" t="inlineStr">
        <is>
          <t>58</t>
        </is>
      </c>
      <c r="F232" s="19" t="n"/>
      <c r="G232" s="19" t="n"/>
      <c r="H232" s="19" t="n"/>
      <c r="I232" s="19" t="n"/>
      <c r="J232" t="n">
        <v>231</v>
      </c>
      <c r="K232" t="inlineStr">
        <is>
          <t>Phase J registry sync</t>
        </is>
      </c>
    </row>
    <row r="233">
      <c r="A233" s="19" t="inlineStr">
        <is>
          <t>232</t>
        </is>
      </c>
      <c r="B233" s="19" t="inlineStr">
        <is>
          <t>232</t>
        </is>
      </c>
      <c r="C233" s="19" t="n"/>
      <c r="D233" s="19" t="n"/>
      <c r="E233" s="19" t="n"/>
      <c r="F233" s="19" t="n"/>
      <c r="G233" s="19" t="n"/>
      <c r="H233" s="19" t="n"/>
      <c r="I233" s="19" t="inlineStr">
        <is>
          <t>58</t>
        </is>
      </c>
      <c r="J233" t="n">
        <v>232</v>
      </c>
      <c r="K233" t="inlineStr">
        <is>
          <t>Phase J registry sync</t>
        </is>
      </c>
    </row>
    <row r="234">
      <c r="A234" s="19" t="inlineStr">
        <is>
          <t>233</t>
        </is>
      </c>
      <c r="B234" s="19" t="inlineStr">
        <is>
          <t>233</t>
        </is>
      </c>
      <c r="C234" s="19" t="n"/>
      <c r="D234" s="19" t="n"/>
      <c r="E234" s="19" t="n"/>
      <c r="F234" s="19" t="n"/>
      <c r="G234" s="19" t="inlineStr">
        <is>
          <t>59</t>
        </is>
      </c>
      <c r="H234" s="19" t="n"/>
      <c r="I234" s="19" t="n"/>
      <c r="J234" t="n">
        <v>233</v>
      </c>
      <c r="K234" t="inlineStr">
        <is>
          <t>Phase J registry sync</t>
        </is>
      </c>
    </row>
    <row r="235">
      <c r="A235" s="19" t="inlineStr">
        <is>
          <t>234</t>
        </is>
      </c>
      <c r="B235" s="19" t="inlineStr">
        <is>
          <t>234</t>
        </is>
      </c>
      <c r="C235" s="19" t="n"/>
      <c r="D235" s="19" t="n"/>
      <c r="E235" s="19" t="n"/>
      <c r="F235" s="19" t="n"/>
      <c r="G235" s="19" t="n"/>
      <c r="H235" s="19" t="inlineStr">
        <is>
          <t>59</t>
        </is>
      </c>
      <c r="I235" s="19" t="n"/>
      <c r="J235" t="n">
        <v>234</v>
      </c>
      <c r="K235" t="inlineStr">
        <is>
          <t>Phase J registry sync</t>
        </is>
      </c>
    </row>
    <row r="236">
      <c r="A236" s="19" t="inlineStr">
        <is>
          <t>235</t>
        </is>
      </c>
      <c r="B236" s="19" t="inlineStr">
        <is>
          <t>235</t>
        </is>
      </c>
      <c r="C236" s="19" t="n"/>
      <c r="D236" s="19" t="n"/>
      <c r="E236" s="19" t="inlineStr">
        <is>
          <t>59</t>
        </is>
      </c>
      <c r="F236" s="19" t="n"/>
      <c r="G236" s="19" t="n"/>
      <c r="H236" s="19" t="n"/>
      <c r="I236" s="19" t="n"/>
      <c r="J236" t="n">
        <v>235</v>
      </c>
      <c r="K236" t="inlineStr">
        <is>
          <t>Phase J registry sync</t>
        </is>
      </c>
    </row>
    <row r="237">
      <c r="A237" s="19" t="inlineStr">
        <is>
          <t>236</t>
        </is>
      </c>
      <c r="B237" s="19" t="inlineStr">
        <is>
          <t>236</t>
        </is>
      </c>
      <c r="C237" s="19" t="n"/>
      <c r="D237" s="19" t="n"/>
      <c r="E237" s="19" t="n"/>
      <c r="F237" s="19" t="n"/>
      <c r="G237" s="19" t="n"/>
      <c r="H237" s="19" t="n"/>
      <c r="I237" s="19" t="inlineStr">
        <is>
          <t>59</t>
        </is>
      </c>
      <c r="J237" t="n">
        <v>236</v>
      </c>
      <c r="K237" t="inlineStr">
        <is>
          <t>Phase J registry sync</t>
        </is>
      </c>
    </row>
    <row r="238">
      <c r="A238" s="19" t="inlineStr">
        <is>
          <t>237</t>
        </is>
      </c>
      <c r="B238" s="19" t="inlineStr">
        <is>
          <t>237</t>
        </is>
      </c>
      <c r="C238" s="19" t="n"/>
      <c r="D238" s="19" t="n"/>
      <c r="E238" s="19" t="n"/>
      <c r="F238" s="19" t="n"/>
      <c r="G238" s="19" t="inlineStr">
        <is>
          <t>60</t>
        </is>
      </c>
      <c r="H238" s="19" t="n"/>
      <c r="I238" s="19" t="n"/>
      <c r="J238" t="n">
        <v>237</v>
      </c>
      <c r="K238" t="inlineStr">
        <is>
          <t>Phase J registry sync</t>
        </is>
      </c>
    </row>
    <row r="239">
      <c r="A239" s="19" t="inlineStr">
        <is>
          <t>238</t>
        </is>
      </c>
      <c r="B239" s="19" t="inlineStr">
        <is>
          <t>238</t>
        </is>
      </c>
      <c r="C239" s="19" t="n"/>
      <c r="D239" s="19" t="n"/>
      <c r="E239" s="19" t="n"/>
      <c r="F239" s="19" t="n"/>
      <c r="G239" s="19" t="n"/>
      <c r="H239" s="19" t="inlineStr">
        <is>
          <t>60</t>
        </is>
      </c>
      <c r="I239" s="19" t="n"/>
      <c r="J239" t="n">
        <v>238</v>
      </c>
      <c r="K239" t="inlineStr">
        <is>
          <t>Phase J registry sync</t>
        </is>
      </c>
    </row>
    <row r="240">
      <c r="A240" s="19" t="inlineStr">
        <is>
          <t>239</t>
        </is>
      </c>
      <c r="B240" s="19" t="inlineStr">
        <is>
          <t>239</t>
        </is>
      </c>
      <c r="C240" s="19" t="n"/>
      <c r="D240" s="19" t="n"/>
      <c r="E240" s="19" t="inlineStr">
        <is>
          <t>60</t>
        </is>
      </c>
      <c r="F240" s="19" t="n"/>
      <c r="G240" s="19" t="n"/>
      <c r="H240" s="19" t="n"/>
      <c r="I240" s="19" t="n"/>
      <c r="J240" t="n">
        <v>239</v>
      </c>
      <c r="K240" t="inlineStr">
        <is>
          <t>Phase J registry sync</t>
        </is>
      </c>
    </row>
    <row r="241">
      <c r="A241" s="19" t="inlineStr">
        <is>
          <t>240</t>
        </is>
      </c>
      <c r="B241" s="19" t="inlineStr">
        <is>
          <t>240</t>
        </is>
      </c>
      <c r="C241" s="19" t="n"/>
      <c r="D241" s="19" t="n"/>
      <c r="E241" s="19" t="n"/>
      <c r="F241" s="19" t="n"/>
      <c r="G241" s="19" t="n"/>
      <c r="H241" s="19" t="n"/>
      <c r="I241" s="19" t="inlineStr">
        <is>
          <t>60</t>
        </is>
      </c>
      <c r="J241" t="n">
        <v>240</v>
      </c>
      <c r="K241" t="inlineStr">
        <is>
          <t>Phase J registry sync</t>
        </is>
      </c>
    </row>
    <row r="242">
      <c r="A242" s="19" t="inlineStr">
        <is>
          <t>241</t>
        </is>
      </c>
      <c r="B242" s="19" t="inlineStr">
        <is>
          <t>241</t>
        </is>
      </c>
      <c r="C242" s="19" t="n"/>
      <c r="D242" s="19" t="n"/>
      <c r="E242" s="19" t="n"/>
      <c r="F242" s="19" t="n"/>
      <c r="G242" s="19" t="inlineStr">
        <is>
          <t>61</t>
        </is>
      </c>
      <c r="H242" s="19" t="n"/>
      <c r="I242" s="19" t="n"/>
      <c r="J242" t="n">
        <v>241</v>
      </c>
      <c r="K242" t="inlineStr">
        <is>
          <t>Phase J registry sync</t>
        </is>
      </c>
    </row>
    <row r="243">
      <c r="A243" s="19" t="inlineStr">
        <is>
          <t>242</t>
        </is>
      </c>
      <c r="B243" s="19" t="inlineStr">
        <is>
          <t>242</t>
        </is>
      </c>
      <c r="C243" s="19" t="n"/>
      <c r="D243" s="19" t="n"/>
      <c r="E243" s="19" t="n"/>
      <c r="F243" s="19" t="n"/>
      <c r="G243" s="19" t="n"/>
      <c r="H243" s="19" t="inlineStr">
        <is>
          <t>61</t>
        </is>
      </c>
      <c r="I243" s="19" t="n"/>
      <c r="J243" t="n">
        <v>242</v>
      </c>
      <c r="K243" t="inlineStr">
        <is>
          <t>Phase J registry sync</t>
        </is>
      </c>
    </row>
    <row r="244">
      <c r="A244" s="19" t="inlineStr">
        <is>
          <t>243</t>
        </is>
      </c>
      <c r="B244" s="19" t="inlineStr">
        <is>
          <t>243</t>
        </is>
      </c>
      <c r="C244" s="19" t="n"/>
      <c r="D244" s="19" t="n"/>
      <c r="E244" s="19" t="inlineStr">
        <is>
          <t>61</t>
        </is>
      </c>
      <c r="F244" s="19" t="n"/>
      <c r="G244" s="19" t="n"/>
      <c r="H244" s="19" t="n"/>
      <c r="I244" s="19" t="n"/>
      <c r="J244" t="n">
        <v>243</v>
      </c>
      <c r="K244" t="inlineStr">
        <is>
          <t>Phase J registry sync</t>
        </is>
      </c>
    </row>
    <row r="245">
      <c r="A245" s="19" t="inlineStr">
        <is>
          <t>244</t>
        </is>
      </c>
      <c r="B245" s="19" t="inlineStr">
        <is>
          <t>244</t>
        </is>
      </c>
      <c r="C245" s="19" t="n"/>
      <c r="D245" s="19" t="n"/>
      <c r="E245" s="19" t="n"/>
      <c r="F245" s="19" t="n"/>
      <c r="G245" s="19" t="n"/>
      <c r="H245" s="19" t="n"/>
      <c r="I245" s="19" t="inlineStr">
        <is>
          <t>61</t>
        </is>
      </c>
      <c r="J245" t="n">
        <v>244</v>
      </c>
      <c r="K245" t="inlineStr">
        <is>
          <t>Phase J registry sync</t>
        </is>
      </c>
    </row>
    <row r="246">
      <c r="A246" s="19" t="inlineStr">
        <is>
          <t>245</t>
        </is>
      </c>
      <c r="B246" s="19" t="inlineStr">
        <is>
          <t>245</t>
        </is>
      </c>
      <c r="C246" s="19" t="n"/>
      <c r="D246" s="19" t="n"/>
      <c r="E246" s="19" t="n"/>
      <c r="F246" s="19" t="n"/>
      <c r="G246" s="19" t="inlineStr">
        <is>
          <t>62</t>
        </is>
      </c>
      <c r="H246" s="19" t="n"/>
      <c r="I246" s="19" t="n"/>
      <c r="J246" t="n">
        <v>245</v>
      </c>
      <c r="K246" t="inlineStr">
        <is>
          <t>Phase J registry sync</t>
        </is>
      </c>
    </row>
    <row r="247">
      <c r="A247" s="19" t="inlineStr">
        <is>
          <t>246</t>
        </is>
      </c>
      <c r="B247" s="19" t="inlineStr">
        <is>
          <t>246</t>
        </is>
      </c>
      <c r="C247" s="19" t="n"/>
      <c r="D247" s="19" t="n"/>
      <c r="E247" s="19" t="n"/>
      <c r="F247" s="19" t="n"/>
      <c r="G247" s="19" t="n"/>
      <c r="H247" s="19" t="inlineStr">
        <is>
          <t>62</t>
        </is>
      </c>
      <c r="I247" s="19" t="n"/>
      <c r="J247" t="n">
        <v>246</v>
      </c>
      <c r="K247" t="inlineStr">
        <is>
          <t>Phase J registry sync</t>
        </is>
      </c>
    </row>
    <row r="248">
      <c r="A248" s="19" t="inlineStr">
        <is>
          <t>247</t>
        </is>
      </c>
      <c r="B248" s="19" t="inlineStr">
        <is>
          <t>247</t>
        </is>
      </c>
      <c r="C248" s="19" t="n"/>
      <c r="D248" s="19" t="n"/>
      <c r="E248" s="19" t="inlineStr">
        <is>
          <t>62</t>
        </is>
      </c>
      <c r="F248" s="19" t="n"/>
      <c r="G248" s="19" t="n"/>
      <c r="H248" s="19" t="n"/>
      <c r="I248" s="19" t="n"/>
      <c r="J248" t="n">
        <v>247</v>
      </c>
      <c r="K248" t="inlineStr">
        <is>
          <t>Phase J registry sync</t>
        </is>
      </c>
    </row>
    <row r="249">
      <c r="A249" s="19" t="inlineStr">
        <is>
          <t>248</t>
        </is>
      </c>
      <c r="B249" s="19" t="inlineStr">
        <is>
          <t>248</t>
        </is>
      </c>
      <c r="C249" s="19" t="n"/>
      <c r="D249" s="19" t="n"/>
      <c r="E249" s="19" t="n"/>
      <c r="F249" s="19" t="n"/>
      <c r="G249" s="19" t="n"/>
      <c r="H249" s="19" t="n"/>
      <c r="I249" s="19" t="inlineStr">
        <is>
          <t>62</t>
        </is>
      </c>
      <c r="J249" t="n">
        <v>248</v>
      </c>
      <c r="K249" t="inlineStr">
        <is>
          <t>Phase J registry sync</t>
        </is>
      </c>
    </row>
    <row r="250">
      <c r="A250" s="19" t="inlineStr">
        <is>
          <t>249</t>
        </is>
      </c>
      <c r="B250" s="19" t="inlineStr">
        <is>
          <t>249</t>
        </is>
      </c>
      <c r="C250" s="19" t="n"/>
      <c r="D250" s="19" t="n"/>
      <c r="E250" s="19" t="n"/>
      <c r="F250" s="19" t="n"/>
      <c r="G250" s="19" t="inlineStr">
        <is>
          <t>63</t>
        </is>
      </c>
      <c r="H250" s="19" t="n"/>
      <c r="I250" s="19" t="n"/>
      <c r="J250" t="n">
        <v>249</v>
      </c>
      <c r="K250" t="inlineStr">
        <is>
          <t>Phase J registry sync</t>
        </is>
      </c>
    </row>
    <row r="251">
      <c r="A251" s="19" t="inlineStr">
        <is>
          <t>250</t>
        </is>
      </c>
      <c r="B251" s="19" t="inlineStr">
        <is>
          <t>250</t>
        </is>
      </c>
      <c r="C251" s="19" t="n"/>
      <c r="D251" s="19" t="n"/>
      <c r="E251" s="19" t="n"/>
      <c r="F251" s="19" t="n"/>
      <c r="G251" s="19" t="n"/>
      <c r="H251" s="19" t="inlineStr">
        <is>
          <t>63</t>
        </is>
      </c>
      <c r="I251" s="19" t="n"/>
      <c r="J251" t="n">
        <v>250</v>
      </c>
      <c r="K251" t="inlineStr">
        <is>
          <t>Phase J registry sync</t>
        </is>
      </c>
    </row>
    <row r="252">
      <c r="A252" s="19" t="inlineStr">
        <is>
          <t>251</t>
        </is>
      </c>
      <c r="B252" s="19" t="inlineStr">
        <is>
          <t>251</t>
        </is>
      </c>
      <c r="C252" s="19" t="n"/>
      <c r="D252" s="19" t="n"/>
      <c r="E252" s="19" t="inlineStr">
        <is>
          <t>63</t>
        </is>
      </c>
      <c r="F252" s="19" t="n"/>
      <c r="G252" s="19" t="n"/>
      <c r="H252" s="19" t="n"/>
      <c r="I252" s="19" t="n"/>
      <c r="J252" t="n">
        <v>251</v>
      </c>
      <c r="K252" t="inlineStr">
        <is>
          <t>Phase J registry sync</t>
        </is>
      </c>
    </row>
    <row r="253">
      <c r="A253" s="19" t="inlineStr">
        <is>
          <t>252</t>
        </is>
      </c>
      <c r="B253" s="19" t="inlineStr">
        <is>
          <t>252</t>
        </is>
      </c>
      <c r="C253" s="19" t="n"/>
      <c r="D253" s="19" t="n"/>
      <c r="E253" s="19" t="n"/>
      <c r="F253" s="19" t="n"/>
      <c r="G253" s="19" t="n"/>
      <c r="H253" s="19" t="n"/>
      <c r="I253" s="19" t="inlineStr">
        <is>
          <t>63</t>
        </is>
      </c>
      <c r="J253" t="n">
        <v>252</v>
      </c>
      <c r="K253" t="inlineStr">
        <is>
          <t>Phase J registry sync</t>
        </is>
      </c>
    </row>
    <row r="254">
      <c r="A254" s="19" t="inlineStr">
        <is>
          <t>253</t>
        </is>
      </c>
      <c r="B254" s="19" t="inlineStr">
        <is>
          <t>253</t>
        </is>
      </c>
      <c r="C254" s="19" t="n"/>
      <c r="D254" s="19" t="n"/>
      <c r="E254" s="19" t="n"/>
      <c r="F254" s="19" t="n"/>
      <c r="G254" s="19" t="inlineStr">
        <is>
          <t>64</t>
        </is>
      </c>
      <c r="H254" s="19" t="n"/>
      <c r="I254" s="19" t="n"/>
      <c r="J254" t="n">
        <v>253</v>
      </c>
      <c r="K254" t="inlineStr">
        <is>
          <t>Phase J registry sync</t>
        </is>
      </c>
    </row>
    <row r="255">
      <c r="A255" s="19" t="inlineStr">
        <is>
          <t>254</t>
        </is>
      </c>
      <c r="B255" s="19" t="inlineStr">
        <is>
          <t>254</t>
        </is>
      </c>
      <c r="C255" s="19" t="n"/>
      <c r="D255" s="19" t="n"/>
      <c r="E255" s="19" t="n"/>
      <c r="F255" s="19" t="n"/>
      <c r="G255" s="19" t="n"/>
      <c r="H255" s="19" t="inlineStr">
        <is>
          <t>64</t>
        </is>
      </c>
      <c r="I255" s="19" t="n"/>
      <c r="J255" t="n">
        <v>254</v>
      </c>
      <c r="K255" t="inlineStr">
        <is>
          <t>Phase J registry sync</t>
        </is>
      </c>
    </row>
    <row r="256">
      <c r="A256" s="19" t="inlineStr">
        <is>
          <t>255</t>
        </is>
      </c>
      <c r="B256" s="19" t="inlineStr">
        <is>
          <t>255</t>
        </is>
      </c>
      <c r="C256" s="19" t="n"/>
      <c r="D256" s="19" t="n"/>
      <c r="E256" s="19" t="inlineStr">
        <is>
          <t>64</t>
        </is>
      </c>
      <c r="F256" s="19" t="n"/>
      <c r="G256" s="19" t="n"/>
      <c r="H256" s="19" t="n"/>
      <c r="I256" s="19" t="n"/>
      <c r="J256" t="n">
        <v>255</v>
      </c>
      <c r="K256" t="inlineStr">
        <is>
          <t>Phase J registry sync</t>
        </is>
      </c>
    </row>
    <row r="257">
      <c r="A257" s="19" t="inlineStr">
        <is>
          <t>256</t>
        </is>
      </c>
      <c r="B257" s="19" t="inlineStr">
        <is>
          <t>256</t>
        </is>
      </c>
      <c r="C257" s="19" t="n"/>
      <c r="D257" s="19" t="n"/>
      <c r="E257" s="19" t="n"/>
      <c r="F257" s="19" t="n"/>
      <c r="G257" s="19" t="n"/>
      <c r="H257" s="19" t="n"/>
      <c r="I257" s="19" t="inlineStr">
        <is>
          <t>64</t>
        </is>
      </c>
      <c r="J257" t="n">
        <v>256</v>
      </c>
      <c r="K257" t="inlineStr">
        <is>
          <t>Phase J registry sync</t>
        </is>
      </c>
    </row>
    <row r="258">
      <c r="A258" s="19" t="inlineStr">
        <is>
          <t>257</t>
        </is>
      </c>
      <c r="B258" s="19" t="inlineStr">
        <is>
          <t>257</t>
        </is>
      </c>
      <c r="C258" s="19" t="n"/>
      <c r="D258" s="19" t="n"/>
      <c r="E258" s="19" t="n"/>
      <c r="F258" s="19" t="n"/>
      <c r="G258" s="19" t="inlineStr">
        <is>
          <t>65</t>
        </is>
      </c>
      <c r="H258" s="19" t="n"/>
      <c r="I258" s="19" t="n"/>
      <c r="J258" t="n">
        <v>257</v>
      </c>
      <c r="K258" t="inlineStr">
        <is>
          <t>Phase J registry sync</t>
        </is>
      </c>
    </row>
    <row r="259">
      <c r="A259" s="19" t="inlineStr">
        <is>
          <t>258</t>
        </is>
      </c>
      <c r="B259" s="19" t="inlineStr">
        <is>
          <t>258</t>
        </is>
      </c>
      <c r="C259" s="19" t="n"/>
      <c r="D259" s="19" t="n"/>
      <c r="E259" s="19" t="n"/>
      <c r="F259" s="19" t="n"/>
      <c r="G259" s="19" t="n"/>
      <c r="H259" s="19" t="inlineStr">
        <is>
          <t>65</t>
        </is>
      </c>
      <c r="I259" s="19" t="n"/>
      <c r="J259" t="n">
        <v>258</v>
      </c>
      <c r="K259" t="inlineStr">
        <is>
          <t>Phase J registry sync</t>
        </is>
      </c>
    </row>
    <row r="260">
      <c r="A260" s="19" t="inlineStr">
        <is>
          <t>259</t>
        </is>
      </c>
      <c r="B260" s="19" t="inlineStr">
        <is>
          <t>259</t>
        </is>
      </c>
      <c r="C260" s="19" t="n"/>
      <c r="D260" s="19" t="n"/>
      <c r="E260" s="19" t="inlineStr">
        <is>
          <t>65</t>
        </is>
      </c>
      <c r="F260" s="19" t="n"/>
      <c r="G260" s="19" t="n"/>
      <c r="H260" s="19" t="n"/>
      <c r="I260" s="19" t="n"/>
      <c r="J260" t="n">
        <v>259</v>
      </c>
      <c r="K260" t="inlineStr">
        <is>
          <t>Phase J registry sync</t>
        </is>
      </c>
    </row>
    <row r="261">
      <c r="A261" s="19" t="inlineStr">
        <is>
          <t>260</t>
        </is>
      </c>
      <c r="B261" s="19" t="inlineStr">
        <is>
          <t>260</t>
        </is>
      </c>
      <c r="C261" s="19" t="n"/>
      <c r="D261" s="19" t="n"/>
      <c r="E261" s="19" t="n"/>
      <c r="F261" s="19" t="n"/>
      <c r="G261" s="19" t="n"/>
      <c r="H261" s="19" t="n"/>
      <c r="I261" s="19" t="inlineStr">
        <is>
          <t>65</t>
        </is>
      </c>
      <c r="J261" t="n">
        <v>260</v>
      </c>
      <c r="K261" t="inlineStr">
        <is>
          <t>Phase J registry sync</t>
        </is>
      </c>
    </row>
    <row r="262">
      <c r="A262" s="19" t="inlineStr">
        <is>
          <t>261</t>
        </is>
      </c>
      <c r="B262" s="19" t="inlineStr">
        <is>
          <t>261</t>
        </is>
      </c>
      <c r="C262" s="19" t="n"/>
      <c r="D262" s="19" t="n"/>
      <c r="E262" s="19" t="n"/>
      <c r="F262" s="19" t="n"/>
      <c r="G262" s="19" t="inlineStr">
        <is>
          <t>66</t>
        </is>
      </c>
      <c r="H262" s="19" t="n"/>
      <c r="I262" s="19" t="n"/>
      <c r="J262" t="n">
        <v>261</v>
      </c>
      <c r="K262" t="inlineStr">
        <is>
          <t>Phase J registry sync</t>
        </is>
      </c>
    </row>
    <row r="263">
      <c r="A263" s="19" t="inlineStr">
        <is>
          <t>262</t>
        </is>
      </c>
      <c r="B263" s="19" t="inlineStr">
        <is>
          <t>262</t>
        </is>
      </c>
      <c r="C263" s="19" t="n"/>
      <c r="D263" s="19" t="n"/>
      <c r="E263" s="19" t="n"/>
      <c r="F263" s="19" t="n"/>
      <c r="G263" s="19" t="n"/>
      <c r="H263" s="19" t="inlineStr">
        <is>
          <t>66</t>
        </is>
      </c>
      <c r="I263" s="19" t="n"/>
      <c r="J263" t="n">
        <v>262</v>
      </c>
      <c r="K263" t="inlineStr">
        <is>
          <t>Phase J registry sync</t>
        </is>
      </c>
    </row>
    <row r="264">
      <c r="A264" s="19" t="inlineStr">
        <is>
          <t>263</t>
        </is>
      </c>
      <c r="B264" s="19" t="inlineStr">
        <is>
          <t>263</t>
        </is>
      </c>
      <c r="C264" s="19" t="n"/>
      <c r="D264" s="19" t="n"/>
      <c r="E264" s="19" t="inlineStr">
        <is>
          <t>66</t>
        </is>
      </c>
      <c r="F264" s="19" t="n"/>
      <c r="G264" s="19" t="n"/>
      <c r="H264" s="19" t="n"/>
      <c r="I264" s="19" t="n"/>
      <c r="J264" t="n">
        <v>263</v>
      </c>
      <c r="K264" t="inlineStr">
        <is>
          <t>Phase J registry sync</t>
        </is>
      </c>
    </row>
    <row r="265">
      <c r="A265" s="19" t="inlineStr">
        <is>
          <t>264</t>
        </is>
      </c>
      <c r="B265" s="19" t="inlineStr">
        <is>
          <t>264</t>
        </is>
      </c>
      <c r="C265" s="19" t="n"/>
      <c r="D265" s="19" t="n"/>
      <c r="E265" s="19" t="n"/>
      <c r="F265" s="19" t="n"/>
      <c r="G265" s="19" t="n"/>
      <c r="H265" s="19" t="n"/>
      <c r="I265" s="19" t="inlineStr">
        <is>
          <t>66</t>
        </is>
      </c>
      <c r="J265" t="n">
        <v>264</v>
      </c>
      <c r="K265" t="inlineStr">
        <is>
          <t>Phase J registry sync</t>
        </is>
      </c>
    </row>
    <row r="266">
      <c r="A266" s="19" t="inlineStr">
        <is>
          <t>265</t>
        </is>
      </c>
      <c r="B266" s="19" t="inlineStr">
        <is>
          <t>265</t>
        </is>
      </c>
      <c r="C266" s="19" t="n"/>
      <c r="D266" s="19" t="n"/>
      <c r="E266" s="19" t="n"/>
      <c r="F266" s="19" t="n"/>
      <c r="G266" s="19" t="inlineStr">
        <is>
          <t>67</t>
        </is>
      </c>
      <c r="H266" s="19" t="n"/>
      <c r="I266" s="19" t="n"/>
      <c r="J266" t="n">
        <v>265</v>
      </c>
      <c r="K266" t="inlineStr">
        <is>
          <t>Phase J registry sync</t>
        </is>
      </c>
    </row>
    <row r="267">
      <c r="A267" s="19" t="inlineStr">
        <is>
          <t>266</t>
        </is>
      </c>
      <c r="B267" s="19" t="inlineStr">
        <is>
          <t>266</t>
        </is>
      </c>
      <c r="C267" s="19" t="n"/>
      <c r="D267" s="19" t="n"/>
      <c r="E267" s="19" t="n"/>
      <c r="F267" s="19" t="n"/>
      <c r="G267" s="19" t="n"/>
      <c r="H267" s="19" t="inlineStr">
        <is>
          <t>67</t>
        </is>
      </c>
      <c r="I267" s="19" t="n"/>
      <c r="J267" t="n">
        <v>266</v>
      </c>
      <c r="K267" t="inlineStr">
        <is>
          <t>Phase J registry sync</t>
        </is>
      </c>
    </row>
    <row r="268">
      <c r="A268" s="19" t="inlineStr">
        <is>
          <t>267</t>
        </is>
      </c>
      <c r="B268" s="19" t="inlineStr">
        <is>
          <t>267</t>
        </is>
      </c>
      <c r="C268" s="19" t="n"/>
      <c r="D268" s="19" t="n"/>
      <c r="E268" s="19" t="inlineStr">
        <is>
          <t>67</t>
        </is>
      </c>
      <c r="F268" s="19" t="n"/>
      <c r="G268" s="19" t="n"/>
      <c r="H268" s="19" t="n"/>
      <c r="I268" s="19" t="n"/>
      <c r="J268" t="n">
        <v>267</v>
      </c>
      <c r="K268" t="inlineStr">
        <is>
          <t>Phase J registry sync</t>
        </is>
      </c>
    </row>
    <row r="269">
      <c r="A269" s="19" t="inlineStr">
        <is>
          <t>268</t>
        </is>
      </c>
      <c r="B269" s="19" t="inlineStr">
        <is>
          <t>268</t>
        </is>
      </c>
      <c r="C269" s="19" t="n"/>
      <c r="D269" s="19" t="n"/>
      <c r="E269" s="19" t="n"/>
      <c r="F269" s="19" t="n"/>
      <c r="G269" s="19" t="n"/>
      <c r="H269" s="19" t="n"/>
      <c r="I269" s="19" t="inlineStr">
        <is>
          <t>67</t>
        </is>
      </c>
      <c r="J269" t="n">
        <v>268</v>
      </c>
      <c r="K269" t="inlineStr">
        <is>
          <t>Phase J registry sync</t>
        </is>
      </c>
    </row>
    <row r="270">
      <c r="A270" s="19" t="inlineStr">
        <is>
          <t>269</t>
        </is>
      </c>
      <c r="B270" s="19" t="inlineStr">
        <is>
          <t>269</t>
        </is>
      </c>
      <c r="C270" s="19" t="n"/>
      <c r="D270" s="19" t="n"/>
      <c r="E270" s="19" t="n"/>
      <c r="F270" s="19" t="n"/>
      <c r="G270" s="19" t="inlineStr">
        <is>
          <t>68</t>
        </is>
      </c>
      <c r="H270" s="19" t="n"/>
      <c r="I270" s="19" t="n"/>
      <c r="J270" t="n">
        <v>269</v>
      </c>
      <c r="K270" t="inlineStr">
        <is>
          <t>Phase J registry sync</t>
        </is>
      </c>
    </row>
    <row r="271">
      <c r="A271" s="19" t="inlineStr">
        <is>
          <t>270</t>
        </is>
      </c>
      <c r="B271" s="19" t="inlineStr">
        <is>
          <t>270</t>
        </is>
      </c>
      <c r="C271" s="19" t="n"/>
      <c r="D271" s="19" t="n"/>
      <c r="E271" s="19" t="n"/>
      <c r="F271" s="19" t="n"/>
      <c r="G271" s="19" t="n"/>
      <c r="H271" s="19" t="inlineStr">
        <is>
          <t>68</t>
        </is>
      </c>
      <c r="I271" s="19" t="n"/>
      <c r="J271" t="n">
        <v>270</v>
      </c>
      <c r="K271" t="inlineStr">
        <is>
          <t>Phase J registry sync</t>
        </is>
      </c>
    </row>
    <row r="272">
      <c r="A272" s="19" t="inlineStr">
        <is>
          <t>271</t>
        </is>
      </c>
      <c r="B272" s="19" t="inlineStr">
        <is>
          <t>271</t>
        </is>
      </c>
      <c r="C272" s="19" t="n"/>
      <c r="D272" s="19" t="n"/>
      <c r="E272" s="19" t="inlineStr">
        <is>
          <t>68</t>
        </is>
      </c>
      <c r="F272" s="19" t="n"/>
      <c r="G272" s="19" t="n"/>
      <c r="H272" s="19" t="n"/>
      <c r="I272" s="19" t="n"/>
      <c r="J272" t="n">
        <v>271</v>
      </c>
      <c r="K272" t="inlineStr">
        <is>
          <t>Phase J registry sync</t>
        </is>
      </c>
    </row>
    <row r="273">
      <c r="A273" s="19" t="inlineStr">
        <is>
          <t>272</t>
        </is>
      </c>
      <c r="B273" s="19" t="inlineStr">
        <is>
          <t>272</t>
        </is>
      </c>
      <c r="C273" s="19" t="n"/>
      <c r="D273" s="19" t="n"/>
      <c r="E273" s="19" t="n"/>
      <c r="F273" s="19" t="n"/>
      <c r="G273" s="19" t="n"/>
      <c r="H273" s="19" t="n"/>
      <c r="I273" s="19" t="inlineStr">
        <is>
          <t>68</t>
        </is>
      </c>
      <c r="J273" t="n">
        <v>272</v>
      </c>
      <c r="K273" t="inlineStr">
        <is>
          <t>Phase J registry sync</t>
        </is>
      </c>
    </row>
    <row r="274">
      <c r="A274" s="19" t="inlineStr">
        <is>
          <t>273</t>
        </is>
      </c>
      <c r="B274" s="19" t="inlineStr">
        <is>
          <t>273</t>
        </is>
      </c>
      <c r="C274" s="19" t="n"/>
      <c r="D274" s="19" t="n"/>
      <c r="E274" s="19" t="n"/>
      <c r="F274" s="19" t="n"/>
      <c r="G274" s="19" t="inlineStr">
        <is>
          <t>69</t>
        </is>
      </c>
      <c r="H274" s="19" t="n"/>
      <c r="I274" s="19" t="n"/>
      <c r="J274" t="n">
        <v>273</v>
      </c>
      <c r="K274" t="inlineStr">
        <is>
          <t>Phase J registry sync</t>
        </is>
      </c>
    </row>
    <row r="275">
      <c r="A275" s="19" t="inlineStr">
        <is>
          <t>274</t>
        </is>
      </c>
      <c r="B275" s="19" t="inlineStr">
        <is>
          <t>274</t>
        </is>
      </c>
      <c r="C275" s="19" t="n"/>
      <c r="D275" s="19" t="n"/>
      <c r="E275" s="19" t="n"/>
      <c r="F275" s="19" t="n"/>
      <c r="G275" s="19" t="n"/>
      <c r="H275" s="19" t="inlineStr">
        <is>
          <t>69</t>
        </is>
      </c>
      <c r="I275" s="19" t="n"/>
      <c r="J275" t="n">
        <v>274</v>
      </c>
      <c r="K275" t="inlineStr">
        <is>
          <t>Phase J registry sync</t>
        </is>
      </c>
    </row>
    <row r="276">
      <c r="A276" s="19" t="inlineStr">
        <is>
          <t>275</t>
        </is>
      </c>
      <c r="B276" s="19" t="inlineStr">
        <is>
          <t>275</t>
        </is>
      </c>
      <c r="C276" s="19" t="n"/>
      <c r="D276" s="19" t="n"/>
      <c r="E276" s="19" t="inlineStr">
        <is>
          <t>69</t>
        </is>
      </c>
      <c r="F276" s="19" t="n"/>
      <c r="G276" s="19" t="n"/>
      <c r="H276" s="19" t="n"/>
      <c r="I276" s="19" t="n"/>
      <c r="J276" t="n">
        <v>275</v>
      </c>
      <c r="K276" t="inlineStr">
        <is>
          <t>Phase J registry sync</t>
        </is>
      </c>
    </row>
    <row r="277">
      <c r="A277" s="19" t="inlineStr">
        <is>
          <t>276</t>
        </is>
      </c>
      <c r="B277" s="19" t="inlineStr">
        <is>
          <t>276</t>
        </is>
      </c>
      <c r="C277" s="19" t="n"/>
      <c r="D277" s="19" t="n"/>
      <c r="E277" s="19" t="n"/>
      <c r="F277" s="19" t="n"/>
      <c r="G277" s="19" t="n"/>
      <c r="H277" s="19" t="n"/>
      <c r="I277" s="19" t="inlineStr">
        <is>
          <t>69</t>
        </is>
      </c>
      <c r="J277" t="n">
        <v>276</v>
      </c>
      <c r="K277" t="inlineStr">
        <is>
          <t>Phase J registry sync</t>
        </is>
      </c>
    </row>
    <row r="278">
      <c r="A278" s="19" t="inlineStr">
        <is>
          <t>277</t>
        </is>
      </c>
      <c r="B278" s="19" t="inlineStr">
        <is>
          <t>277</t>
        </is>
      </c>
      <c r="C278" s="19" t="n"/>
      <c r="D278" s="19" t="n"/>
      <c r="E278" s="19" t="n"/>
      <c r="F278" s="19" t="n"/>
      <c r="G278" s="19" t="inlineStr">
        <is>
          <t>70</t>
        </is>
      </c>
      <c r="H278" s="19" t="n"/>
      <c r="I278" s="19" t="n"/>
      <c r="J278" t="n">
        <v>277</v>
      </c>
      <c r="K278" t="inlineStr">
        <is>
          <t>Phase J registry sync</t>
        </is>
      </c>
    </row>
    <row r="279">
      <c r="A279" s="19" t="inlineStr">
        <is>
          <t>278</t>
        </is>
      </c>
      <c r="B279" s="19" t="inlineStr">
        <is>
          <t>278</t>
        </is>
      </c>
      <c r="C279" s="19" t="n"/>
      <c r="D279" s="19" t="n"/>
      <c r="E279" s="19" t="n"/>
      <c r="F279" s="19" t="n"/>
      <c r="G279" s="19" t="n"/>
      <c r="H279" s="19" t="inlineStr">
        <is>
          <t>70</t>
        </is>
      </c>
      <c r="I279" s="19" t="n"/>
      <c r="J279" t="n">
        <v>278</v>
      </c>
      <c r="K279" t="inlineStr">
        <is>
          <t>Phase J registry sync</t>
        </is>
      </c>
    </row>
    <row r="280">
      <c r="A280" s="19" t="inlineStr">
        <is>
          <t>279</t>
        </is>
      </c>
      <c r="B280" s="19" t="inlineStr">
        <is>
          <t>279</t>
        </is>
      </c>
      <c r="C280" s="19" t="n"/>
      <c r="D280" s="19" t="n"/>
      <c r="E280" s="19" t="inlineStr">
        <is>
          <t>70</t>
        </is>
      </c>
      <c r="F280" s="19" t="n"/>
      <c r="G280" s="19" t="n"/>
      <c r="H280" s="19" t="n"/>
      <c r="I280" s="19" t="n"/>
      <c r="J280" t="n">
        <v>279</v>
      </c>
      <c r="K280" t="inlineStr">
        <is>
          <t>Phase J registry sync</t>
        </is>
      </c>
    </row>
    <row r="281">
      <c r="A281" s="19" t="inlineStr">
        <is>
          <t>280</t>
        </is>
      </c>
      <c r="B281" s="19" t="inlineStr">
        <is>
          <t>280</t>
        </is>
      </c>
      <c r="C281" s="19" t="n"/>
      <c r="D281" s="19" t="n"/>
      <c r="E281" s="19" t="n"/>
      <c r="F281" s="19" t="n"/>
      <c r="G281" s="19" t="n"/>
      <c r="H281" s="19" t="n"/>
      <c r="I281" s="19" t="inlineStr">
        <is>
          <t>70</t>
        </is>
      </c>
      <c r="J281" t="n">
        <v>280</v>
      </c>
      <c r="K281" t="inlineStr">
        <is>
          <t>Phase J registry sync</t>
        </is>
      </c>
    </row>
    <row r="282">
      <c r="A282" s="19" t="inlineStr">
        <is>
          <t>281</t>
        </is>
      </c>
      <c r="B282" s="19" t="inlineStr">
        <is>
          <t>281</t>
        </is>
      </c>
      <c r="C282" s="19" t="n"/>
      <c r="D282" s="19" t="n"/>
      <c r="E282" s="19" t="n"/>
      <c r="F282" s="19" t="n"/>
      <c r="G282" s="19" t="inlineStr">
        <is>
          <t>71</t>
        </is>
      </c>
      <c r="H282" s="19" t="n"/>
      <c r="I282" s="19" t="n"/>
      <c r="J282" t="n">
        <v>281</v>
      </c>
      <c r="K282" t="inlineStr">
        <is>
          <t>Phase J registry sync</t>
        </is>
      </c>
    </row>
    <row r="283">
      <c r="A283" s="19" t="inlineStr">
        <is>
          <t>282</t>
        </is>
      </c>
      <c r="B283" s="19" t="inlineStr">
        <is>
          <t>282</t>
        </is>
      </c>
      <c r="C283" s="19" t="n"/>
      <c r="D283" s="19" t="n"/>
      <c r="E283" s="19" t="n"/>
      <c r="F283" s="19" t="n"/>
      <c r="G283" s="19" t="n"/>
      <c r="H283" s="19" t="inlineStr">
        <is>
          <t>71</t>
        </is>
      </c>
      <c r="I283" s="19" t="n"/>
      <c r="J283" t="n">
        <v>282</v>
      </c>
      <c r="K283" t="inlineStr">
        <is>
          <t>Phase J registry sync</t>
        </is>
      </c>
    </row>
    <row r="284">
      <c r="A284" s="19" t="inlineStr">
        <is>
          <t>283</t>
        </is>
      </c>
      <c r="B284" s="19" t="inlineStr">
        <is>
          <t>283</t>
        </is>
      </c>
      <c r="C284" s="19" t="n"/>
      <c r="D284" s="19" t="n"/>
      <c r="E284" s="19" t="inlineStr">
        <is>
          <t>71</t>
        </is>
      </c>
      <c r="F284" s="19" t="n"/>
      <c r="G284" s="19" t="n"/>
      <c r="H284" s="19" t="n"/>
      <c r="I284" s="19" t="n"/>
      <c r="J284" t="n">
        <v>283</v>
      </c>
      <c r="K284" t="inlineStr">
        <is>
          <t>Phase J registry sync</t>
        </is>
      </c>
    </row>
    <row r="285">
      <c r="A285" s="19" t="inlineStr">
        <is>
          <t>284</t>
        </is>
      </c>
      <c r="B285" s="19" t="inlineStr">
        <is>
          <t>284</t>
        </is>
      </c>
      <c r="C285" s="19" t="n"/>
      <c r="D285" s="19" t="n"/>
      <c r="E285" s="19" t="n"/>
      <c r="F285" s="19" t="n"/>
      <c r="G285" s="19" t="n"/>
      <c r="H285" s="19" t="n"/>
      <c r="I285" s="19" t="inlineStr">
        <is>
          <t>71</t>
        </is>
      </c>
      <c r="J285" t="n">
        <v>284</v>
      </c>
      <c r="K285" t="inlineStr">
        <is>
          <t>Phase J registry sync</t>
        </is>
      </c>
    </row>
    <row r="286">
      <c r="A286" s="19" t="inlineStr">
        <is>
          <t>285</t>
        </is>
      </c>
      <c r="B286" s="19" t="inlineStr">
        <is>
          <t>285</t>
        </is>
      </c>
      <c r="C286" s="19" t="n"/>
      <c r="D286" s="19" t="n"/>
      <c r="E286" s="19" t="n"/>
      <c r="F286" s="19" t="n"/>
      <c r="G286" s="19" t="inlineStr">
        <is>
          <t>72</t>
        </is>
      </c>
      <c r="H286" s="19" t="n"/>
      <c r="I286" s="19" t="n"/>
      <c r="J286" t="n">
        <v>285</v>
      </c>
      <c r="K286" t="inlineStr">
        <is>
          <t>Phase J registry sync</t>
        </is>
      </c>
    </row>
    <row r="287">
      <c r="A287" s="19" t="inlineStr">
        <is>
          <t>286</t>
        </is>
      </c>
      <c r="B287" s="19" t="inlineStr">
        <is>
          <t>286</t>
        </is>
      </c>
      <c r="C287" s="19" t="n"/>
      <c r="D287" s="19" t="n"/>
      <c r="E287" s="19" t="n"/>
      <c r="F287" s="19" t="n"/>
      <c r="G287" s="19" t="n"/>
      <c r="H287" s="19" t="inlineStr">
        <is>
          <t>72</t>
        </is>
      </c>
      <c r="I287" s="19" t="n"/>
      <c r="J287" t="n">
        <v>286</v>
      </c>
      <c r="K287" t="inlineStr">
        <is>
          <t>Phase J registry sync</t>
        </is>
      </c>
    </row>
    <row r="288">
      <c r="A288" s="19" t="inlineStr">
        <is>
          <t>287</t>
        </is>
      </c>
      <c r="B288" s="19" t="inlineStr">
        <is>
          <t>287</t>
        </is>
      </c>
      <c r="C288" s="19" t="n"/>
      <c r="D288" s="19" t="n"/>
      <c r="E288" s="19" t="inlineStr">
        <is>
          <t>72</t>
        </is>
      </c>
      <c r="F288" s="19" t="n"/>
      <c r="G288" s="19" t="n"/>
      <c r="H288" s="19" t="n"/>
      <c r="I288" s="19" t="n"/>
      <c r="J288" t="n">
        <v>287</v>
      </c>
      <c r="K288" t="inlineStr">
        <is>
          <t>Phase J registry sync</t>
        </is>
      </c>
    </row>
    <row r="289">
      <c r="A289" s="19" t="inlineStr">
        <is>
          <t>288</t>
        </is>
      </c>
      <c r="B289" s="19" t="inlineStr">
        <is>
          <t>288</t>
        </is>
      </c>
      <c r="C289" s="19" t="n"/>
      <c r="D289" s="19" t="n"/>
      <c r="E289" s="19" t="n"/>
      <c r="F289" s="19" t="n"/>
      <c r="G289" s="19" t="n"/>
      <c r="H289" s="19" t="n"/>
      <c r="I289" s="19" t="inlineStr">
        <is>
          <t>72</t>
        </is>
      </c>
      <c r="J289" t="n">
        <v>288</v>
      </c>
      <c r="K289" t="inlineStr">
        <is>
          <t>Phase J registry sync</t>
        </is>
      </c>
    </row>
    <row r="290">
      <c r="A290" s="19" t="inlineStr">
        <is>
          <t>289</t>
        </is>
      </c>
      <c r="B290" s="19" t="inlineStr">
        <is>
          <t>289</t>
        </is>
      </c>
      <c r="C290" s="19" t="n"/>
      <c r="D290" s="19" t="n"/>
      <c r="E290" s="19" t="n"/>
      <c r="F290" s="19" t="n"/>
      <c r="G290" s="19" t="inlineStr">
        <is>
          <t>73</t>
        </is>
      </c>
      <c r="H290" s="19" t="n"/>
      <c r="I290" s="19" t="n"/>
      <c r="J290" t="n">
        <v>289</v>
      </c>
      <c r="K290" t="inlineStr">
        <is>
          <t>Phase J registry sync</t>
        </is>
      </c>
    </row>
    <row r="291">
      <c r="A291" s="19" t="inlineStr">
        <is>
          <t>290</t>
        </is>
      </c>
      <c r="B291" s="19" t="inlineStr">
        <is>
          <t>290</t>
        </is>
      </c>
      <c r="C291" s="19" t="n"/>
      <c r="D291" s="19" t="n"/>
      <c r="E291" s="19" t="n"/>
      <c r="F291" s="19" t="n"/>
      <c r="G291" s="19" t="n"/>
      <c r="H291" s="19" t="inlineStr">
        <is>
          <t>73</t>
        </is>
      </c>
      <c r="I291" s="19" t="n"/>
      <c r="J291" t="n">
        <v>290</v>
      </c>
      <c r="K291" t="inlineStr">
        <is>
          <t>Phase J registry sync</t>
        </is>
      </c>
    </row>
    <row r="292">
      <c r="A292" s="19" t="inlineStr">
        <is>
          <t>291</t>
        </is>
      </c>
      <c r="B292" s="19" t="inlineStr">
        <is>
          <t>291</t>
        </is>
      </c>
      <c r="C292" s="19" t="n"/>
      <c r="D292" s="19" t="n"/>
      <c r="E292" s="19" t="inlineStr">
        <is>
          <t>73</t>
        </is>
      </c>
      <c r="F292" s="19" t="n"/>
      <c r="G292" s="19" t="n"/>
      <c r="H292" s="19" t="n"/>
      <c r="I292" s="19" t="n"/>
      <c r="J292" t="n">
        <v>291</v>
      </c>
      <c r="K292" t="inlineStr">
        <is>
          <t>Phase J registry sync</t>
        </is>
      </c>
    </row>
    <row r="293">
      <c r="A293" s="19" t="inlineStr">
        <is>
          <t>292</t>
        </is>
      </c>
      <c r="B293" s="19" t="inlineStr">
        <is>
          <t>292</t>
        </is>
      </c>
      <c r="C293" s="19" t="n"/>
      <c r="D293" s="19" t="n"/>
      <c r="E293" s="19" t="n"/>
      <c r="F293" s="19" t="n"/>
      <c r="G293" s="19" t="n"/>
      <c r="H293" s="19" t="n"/>
      <c r="I293" s="19" t="inlineStr">
        <is>
          <t>73</t>
        </is>
      </c>
      <c r="J293" t="n">
        <v>292</v>
      </c>
      <c r="K293" t="inlineStr">
        <is>
          <t>Phase J registry sync</t>
        </is>
      </c>
    </row>
    <row r="294">
      <c r="A294" s="19" t="inlineStr">
        <is>
          <t>293</t>
        </is>
      </c>
      <c r="B294" s="19" t="inlineStr">
        <is>
          <t>293</t>
        </is>
      </c>
      <c r="C294" s="19" t="n"/>
      <c r="D294" s="19" t="n"/>
      <c r="E294" s="19" t="n"/>
      <c r="F294" s="19" t="n"/>
      <c r="G294" s="19" t="inlineStr">
        <is>
          <t>74</t>
        </is>
      </c>
      <c r="H294" s="19" t="n"/>
      <c r="I294" s="19" t="n"/>
      <c r="J294" t="n">
        <v>293</v>
      </c>
      <c r="K294" t="inlineStr">
        <is>
          <t>Phase J registry sync</t>
        </is>
      </c>
    </row>
    <row r="295">
      <c r="A295" s="19" t="inlineStr">
        <is>
          <t>294</t>
        </is>
      </c>
      <c r="B295" s="19" t="inlineStr">
        <is>
          <t>294</t>
        </is>
      </c>
      <c r="C295" s="19" t="n"/>
      <c r="D295" s="19" t="n"/>
      <c r="E295" s="19" t="n"/>
      <c r="F295" s="19" t="n"/>
      <c r="G295" s="19" t="n"/>
      <c r="H295" s="19" t="inlineStr">
        <is>
          <t>74</t>
        </is>
      </c>
      <c r="I295" s="19" t="n"/>
      <c r="J295" t="n">
        <v>294</v>
      </c>
      <c r="K295" t="inlineStr">
        <is>
          <t>Phase J registry sync</t>
        </is>
      </c>
    </row>
    <row r="296">
      <c r="A296" s="19" t="inlineStr">
        <is>
          <t>295</t>
        </is>
      </c>
      <c r="B296" s="19" t="inlineStr">
        <is>
          <t>295</t>
        </is>
      </c>
      <c r="C296" s="19" t="n"/>
      <c r="D296" s="19" t="n"/>
      <c r="E296" s="19" t="inlineStr">
        <is>
          <t>74</t>
        </is>
      </c>
      <c r="F296" s="19" t="n"/>
      <c r="G296" s="19" t="n"/>
      <c r="H296" s="19" t="n"/>
      <c r="I296" s="19" t="n"/>
      <c r="J296" t="n">
        <v>295</v>
      </c>
      <c r="K296" t="inlineStr">
        <is>
          <t>Phase J registry sync</t>
        </is>
      </c>
    </row>
    <row r="297">
      <c r="A297" s="19" t="inlineStr">
        <is>
          <t>296</t>
        </is>
      </c>
      <c r="B297" s="19" t="inlineStr">
        <is>
          <t>296</t>
        </is>
      </c>
      <c r="C297" s="19" t="n"/>
      <c r="D297" s="19" t="n"/>
      <c r="E297" s="19" t="n"/>
      <c r="F297" s="19" t="n"/>
      <c r="G297" s="19" t="n"/>
      <c r="H297" s="19" t="n"/>
      <c r="I297" s="19" t="inlineStr">
        <is>
          <t>74</t>
        </is>
      </c>
      <c r="J297" t="n">
        <v>296</v>
      </c>
      <c r="K297" t="inlineStr">
        <is>
          <t>Phase J registry sync</t>
        </is>
      </c>
    </row>
    <row r="298">
      <c r="A298" s="19" t="inlineStr">
        <is>
          <t>297</t>
        </is>
      </c>
      <c r="B298" s="19" t="inlineStr">
        <is>
          <t>297</t>
        </is>
      </c>
      <c r="C298" s="19" t="n"/>
      <c r="D298" s="19" t="n"/>
      <c r="E298" s="19" t="n"/>
      <c r="F298" s="19" t="n"/>
      <c r="G298" s="19" t="inlineStr">
        <is>
          <t>75</t>
        </is>
      </c>
      <c r="H298" s="19" t="n"/>
      <c r="I298" s="19" t="n"/>
      <c r="J298" t="n">
        <v>297</v>
      </c>
      <c r="K298" t="inlineStr">
        <is>
          <t>Phase J registry sync</t>
        </is>
      </c>
    </row>
    <row r="299">
      <c r="A299" s="19" t="inlineStr">
        <is>
          <t>298</t>
        </is>
      </c>
      <c r="B299" s="19" t="inlineStr">
        <is>
          <t>298</t>
        </is>
      </c>
      <c r="C299" s="19" t="n"/>
      <c r="D299" s="19" t="n"/>
      <c r="E299" s="19" t="n"/>
      <c r="F299" s="19" t="n"/>
      <c r="G299" s="19" t="n"/>
      <c r="H299" s="19" t="inlineStr">
        <is>
          <t>75</t>
        </is>
      </c>
      <c r="I299" s="19" t="n"/>
      <c r="J299" t="n">
        <v>298</v>
      </c>
      <c r="K299" t="inlineStr">
        <is>
          <t>Phase J registry sync</t>
        </is>
      </c>
    </row>
    <row r="300">
      <c r="A300" s="19" t="inlineStr">
        <is>
          <t>299</t>
        </is>
      </c>
      <c r="B300" s="19" t="inlineStr">
        <is>
          <t>299</t>
        </is>
      </c>
      <c r="C300" s="19" t="n"/>
      <c r="D300" s="19" t="n"/>
      <c r="E300" s="19" t="inlineStr">
        <is>
          <t>75</t>
        </is>
      </c>
      <c r="F300" s="19" t="n"/>
      <c r="G300" s="19" t="n"/>
      <c r="H300" s="19" t="n"/>
      <c r="I300" s="19" t="n"/>
      <c r="J300" t="n">
        <v>299</v>
      </c>
      <c r="K300" t="inlineStr">
        <is>
          <t>Phase J registry sync</t>
        </is>
      </c>
    </row>
    <row r="301">
      <c r="A301" s="19" t="inlineStr">
        <is>
          <t>300</t>
        </is>
      </c>
      <c r="B301" s="19" t="inlineStr">
        <is>
          <t>300</t>
        </is>
      </c>
      <c r="C301" s="19" t="n"/>
      <c r="D301" s="19" t="n"/>
      <c r="E301" s="19" t="n"/>
      <c r="F301" s="19" t="n"/>
      <c r="G301" s="19" t="n"/>
      <c r="H301" s="19" t="n"/>
      <c r="I301" s="19" t="inlineStr">
        <is>
          <t>75</t>
        </is>
      </c>
      <c r="J301" t="n">
        <v>300</v>
      </c>
      <c r="K301" t="inlineStr">
        <is>
          <t>Phase J registry sync</t>
        </is>
      </c>
    </row>
    <row r="302">
      <c r="A302" s="19" t="inlineStr">
        <is>
          <t>301</t>
        </is>
      </c>
      <c r="B302" s="19" t="inlineStr">
        <is>
          <t>301</t>
        </is>
      </c>
      <c r="C302" s="19" t="n"/>
      <c r="D302" s="19" t="n"/>
      <c r="E302" s="19" t="n"/>
      <c r="F302" s="19" t="n"/>
      <c r="G302" s="19" t="inlineStr">
        <is>
          <t>76</t>
        </is>
      </c>
      <c r="H302" s="19" t="n"/>
      <c r="I302" s="19" t="n"/>
      <c r="J302" t="n">
        <v>301</v>
      </c>
      <c r="K302" t="inlineStr">
        <is>
          <t>Phase J registry sync</t>
        </is>
      </c>
    </row>
    <row r="303">
      <c r="A303" s="19" t="inlineStr">
        <is>
          <t>302</t>
        </is>
      </c>
      <c r="B303" s="19" t="inlineStr">
        <is>
          <t>302</t>
        </is>
      </c>
      <c r="C303" s="19" t="n"/>
      <c r="D303" s="19" t="n"/>
      <c r="E303" s="19" t="n"/>
      <c r="F303" s="19" t="n"/>
      <c r="G303" s="19" t="n"/>
      <c r="H303" s="19" t="inlineStr">
        <is>
          <t>76</t>
        </is>
      </c>
      <c r="I303" s="19" t="n"/>
      <c r="J303" t="n">
        <v>302</v>
      </c>
      <c r="K303" t="inlineStr">
        <is>
          <t>Phase J registry sync</t>
        </is>
      </c>
    </row>
    <row r="304">
      <c r="A304" s="19" t="inlineStr">
        <is>
          <t>303</t>
        </is>
      </c>
      <c r="B304" s="19" t="inlineStr">
        <is>
          <t>303</t>
        </is>
      </c>
      <c r="C304" s="19" t="n"/>
      <c r="D304" s="19" t="n"/>
      <c r="E304" s="19" t="inlineStr">
        <is>
          <t>76</t>
        </is>
      </c>
      <c r="F304" s="19" t="n"/>
      <c r="G304" s="19" t="n"/>
      <c r="H304" s="19" t="n"/>
      <c r="I304" s="19" t="n"/>
      <c r="J304" t="n">
        <v>303</v>
      </c>
      <c r="K304" t="inlineStr">
        <is>
          <t>Phase J registry sync</t>
        </is>
      </c>
    </row>
    <row r="305">
      <c r="A305" s="19" t="inlineStr">
        <is>
          <t>304</t>
        </is>
      </c>
      <c r="B305" s="19" t="inlineStr">
        <is>
          <t>304</t>
        </is>
      </c>
      <c r="C305" s="19" t="n"/>
      <c r="D305" s="19" t="n"/>
      <c r="E305" s="19" t="n"/>
      <c r="F305" s="19" t="n"/>
      <c r="G305" s="19" t="n"/>
      <c r="H305" s="19" t="n"/>
      <c r="I305" s="19" t="inlineStr">
        <is>
          <t>76</t>
        </is>
      </c>
      <c r="J305" t="n">
        <v>304</v>
      </c>
      <c r="K305" t="inlineStr">
        <is>
          <t>Phase J registry sync</t>
        </is>
      </c>
    </row>
    <row r="306">
      <c r="A306" s="19" t="inlineStr">
        <is>
          <t>305</t>
        </is>
      </c>
      <c r="B306" s="19" t="inlineStr">
        <is>
          <t>305</t>
        </is>
      </c>
      <c r="C306" s="19" t="n"/>
      <c r="D306" s="19" t="n"/>
      <c r="E306" s="19" t="n"/>
      <c r="F306" s="19" t="n"/>
      <c r="G306" s="19" t="inlineStr">
        <is>
          <t>77</t>
        </is>
      </c>
      <c r="H306" s="19" t="n"/>
      <c r="I306" s="19" t="n"/>
      <c r="J306" t="n">
        <v>305</v>
      </c>
      <c r="K306" t="inlineStr">
        <is>
          <t>Phase J registry sync</t>
        </is>
      </c>
    </row>
    <row r="307">
      <c r="A307" s="19" t="inlineStr">
        <is>
          <t>306</t>
        </is>
      </c>
      <c r="B307" s="19" t="inlineStr">
        <is>
          <t>306</t>
        </is>
      </c>
      <c r="C307" s="19" t="n"/>
      <c r="D307" s="19" t="n"/>
      <c r="E307" s="19" t="n"/>
      <c r="F307" s="19" t="n"/>
      <c r="G307" s="19" t="n"/>
      <c r="H307" s="19" t="inlineStr">
        <is>
          <t>77</t>
        </is>
      </c>
      <c r="I307" s="19" t="n"/>
      <c r="J307" t="n">
        <v>306</v>
      </c>
      <c r="K307" t="inlineStr">
        <is>
          <t>Phase J registry sync</t>
        </is>
      </c>
    </row>
    <row r="308">
      <c r="A308" s="19" t="inlineStr">
        <is>
          <t>307</t>
        </is>
      </c>
      <c r="B308" s="19" t="inlineStr">
        <is>
          <t>307</t>
        </is>
      </c>
      <c r="C308" s="19" t="n"/>
      <c r="D308" s="19" t="n"/>
      <c r="E308" s="19" t="inlineStr">
        <is>
          <t>77</t>
        </is>
      </c>
      <c r="F308" s="19" t="n"/>
      <c r="G308" s="19" t="n"/>
      <c r="H308" s="19" t="n"/>
      <c r="I308" s="19" t="n"/>
      <c r="J308" t="n">
        <v>307</v>
      </c>
      <c r="K308" t="inlineStr">
        <is>
          <t>Phase J registry sync</t>
        </is>
      </c>
    </row>
    <row r="309">
      <c r="A309" s="19" t="inlineStr">
        <is>
          <t>308</t>
        </is>
      </c>
      <c r="B309" s="19" t="inlineStr">
        <is>
          <t>308</t>
        </is>
      </c>
      <c r="C309" s="19" t="n"/>
      <c r="D309" s="19" t="n"/>
      <c r="E309" s="19" t="n"/>
      <c r="F309" s="19" t="n"/>
      <c r="G309" s="19" t="n"/>
      <c r="H309" s="19" t="n"/>
      <c r="I309" s="19" t="inlineStr">
        <is>
          <t>77</t>
        </is>
      </c>
      <c r="J309" t="n">
        <v>308</v>
      </c>
      <c r="K309" t="inlineStr">
        <is>
          <t>Phase J registry sync</t>
        </is>
      </c>
    </row>
    <row r="310">
      <c r="A310" s="19" t="inlineStr">
        <is>
          <t>309</t>
        </is>
      </c>
      <c r="B310" s="19" t="inlineStr">
        <is>
          <t>309</t>
        </is>
      </c>
      <c r="C310" s="19" t="n"/>
      <c r="D310" s="19" t="n"/>
      <c r="E310" s="19" t="n"/>
      <c r="F310" s="19" t="n"/>
      <c r="G310" s="19" t="inlineStr">
        <is>
          <t>78</t>
        </is>
      </c>
      <c r="H310" s="19" t="n"/>
      <c r="I310" s="19" t="n"/>
      <c r="J310" t="n">
        <v>309</v>
      </c>
      <c r="K310" t="inlineStr">
        <is>
          <t>Phase J registry sync</t>
        </is>
      </c>
    </row>
    <row r="311">
      <c r="A311" s="19" t="inlineStr">
        <is>
          <t>310</t>
        </is>
      </c>
      <c r="B311" s="19" t="inlineStr">
        <is>
          <t>310</t>
        </is>
      </c>
      <c r="C311" s="19" t="n"/>
      <c r="D311" s="19" t="n"/>
      <c r="E311" s="19" t="n"/>
      <c r="F311" s="19" t="n"/>
      <c r="G311" s="19" t="n"/>
      <c r="H311" s="19" t="inlineStr">
        <is>
          <t>78</t>
        </is>
      </c>
      <c r="I311" s="19" t="n"/>
      <c r="J311" t="n">
        <v>310</v>
      </c>
      <c r="K311" t="inlineStr">
        <is>
          <t>Phase J registry sync</t>
        </is>
      </c>
    </row>
    <row r="312">
      <c r="A312" s="19" t="inlineStr">
        <is>
          <t>311</t>
        </is>
      </c>
      <c r="B312" s="19" t="inlineStr">
        <is>
          <t>311</t>
        </is>
      </c>
      <c r="C312" s="19" t="n"/>
      <c r="D312" s="19" t="n"/>
      <c r="E312" s="19" t="inlineStr">
        <is>
          <t>78</t>
        </is>
      </c>
      <c r="F312" s="19" t="n"/>
      <c r="G312" s="19" t="n"/>
      <c r="H312" s="19" t="n"/>
      <c r="I312" s="19" t="n"/>
      <c r="J312" t="n">
        <v>311</v>
      </c>
      <c r="K312" t="inlineStr">
        <is>
          <t>Phase J registry sync</t>
        </is>
      </c>
    </row>
    <row r="313">
      <c r="A313" s="19" t="inlineStr">
        <is>
          <t>312</t>
        </is>
      </c>
      <c r="B313" s="19" t="inlineStr">
        <is>
          <t>312</t>
        </is>
      </c>
      <c r="C313" s="19" t="n"/>
      <c r="D313" s="19" t="n"/>
      <c r="E313" s="19" t="n"/>
      <c r="F313" s="19" t="n"/>
      <c r="G313" s="19" t="n"/>
      <c r="H313" s="19" t="n"/>
      <c r="I313" s="19" t="inlineStr">
        <is>
          <t>78</t>
        </is>
      </c>
      <c r="J313" t="n">
        <v>312</v>
      </c>
      <c r="K313" t="inlineStr">
        <is>
          <t>Phase J registry sync</t>
        </is>
      </c>
    </row>
    <row r="314">
      <c r="A314" s="19" t="inlineStr">
        <is>
          <t>313</t>
        </is>
      </c>
      <c r="B314" s="19" t="inlineStr">
        <is>
          <t>313</t>
        </is>
      </c>
      <c r="C314" s="19" t="n"/>
      <c r="D314" s="19" t="n"/>
      <c r="E314" s="19" t="n"/>
      <c r="F314" s="19" t="n"/>
      <c r="G314" s="19" t="inlineStr">
        <is>
          <t>79</t>
        </is>
      </c>
      <c r="H314" s="19" t="n"/>
      <c r="I314" s="19" t="n"/>
      <c r="J314" t="n">
        <v>313</v>
      </c>
      <c r="K314" t="inlineStr">
        <is>
          <t>Phase J registry sync</t>
        </is>
      </c>
    </row>
    <row r="315">
      <c r="A315" s="19" t="inlineStr">
        <is>
          <t>314</t>
        </is>
      </c>
      <c r="B315" s="19" t="inlineStr">
        <is>
          <t>314</t>
        </is>
      </c>
      <c r="C315" s="19" t="n"/>
      <c r="D315" s="19" t="n"/>
      <c r="E315" s="19" t="n"/>
      <c r="F315" s="19" t="n"/>
      <c r="G315" s="19" t="n"/>
      <c r="H315" s="19" t="inlineStr">
        <is>
          <t>79</t>
        </is>
      </c>
      <c r="I315" s="19" t="n"/>
      <c r="J315" t="n">
        <v>314</v>
      </c>
      <c r="K315" t="inlineStr">
        <is>
          <t>Phase J registry sync</t>
        </is>
      </c>
    </row>
    <row r="316">
      <c r="A316" s="19" t="inlineStr">
        <is>
          <t>315</t>
        </is>
      </c>
      <c r="B316" s="19" t="inlineStr">
        <is>
          <t>315</t>
        </is>
      </c>
      <c r="C316" s="19" t="n"/>
      <c r="D316" s="19" t="n"/>
      <c r="E316" s="19" t="inlineStr">
        <is>
          <t>79</t>
        </is>
      </c>
      <c r="F316" s="19" t="n"/>
      <c r="G316" s="19" t="n"/>
      <c r="H316" s="19" t="n"/>
      <c r="I316" s="19" t="n"/>
      <c r="J316" t="n">
        <v>315</v>
      </c>
      <c r="K316" t="inlineStr">
        <is>
          <t>Phase J registry sync</t>
        </is>
      </c>
    </row>
    <row r="317">
      <c r="A317" s="19" t="inlineStr">
        <is>
          <t>316</t>
        </is>
      </c>
      <c r="B317" s="19" t="inlineStr">
        <is>
          <t>316</t>
        </is>
      </c>
      <c r="C317" s="19" t="n"/>
      <c r="D317" s="19" t="n"/>
      <c r="E317" s="19" t="n"/>
      <c r="F317" s="19" t="n"/>
      <c r="G317" s="19" t="n"/>
      <c r="H317" s="19" t="n"/>
      <c r="I317" s="19" t="inlineStr">
        <is>
          <t>79</t>
        </is>
      </c>
      <c r="J317" t="n">
        <v>316</v>
      </c>
      <c r="K317" t="inlineStr">
        <is>
          <t>Phase J registry sync</t>
        </is>
      </c>
    </row>
    <row r="318">
      <c r="A318" s="19" t="inlineStr">
        <is>
          <t>317</t>
        </is>
      </c>
      <c r="B318" s="19" t="inlineStr">
        <is>
          <t>317</t>
        </is>
      </c>
      <c r="C318" s="19" t="n"/>
      <c r="D318" s="19" t="n"/>
      <c r="E318" s="19" t="n"/>
      <c r="F318" s="19" t="n"/>
      <c r="G318" s="19" t="inlineStr">
        <is>
          <t>80</t>
        </is>
      </c>
      <c r="H318" s="19" t="n"/>
      <c r="I318" s="19" t="n"/>
      <c r="J318" t="n">
        <v>317</v>
      </c>
      <c r="K318" t="inlineStr">
        <is>
          <t>Phase J registry sync</t>
        </is>
      </c>
    </row>
    <row r="319">
      <c r="A319" s="19" t="inlineStr">
        <is>
          <t>318</t>
        </is>
      </c>
      <c r="B319" s="19" t="inlineStr">
        <is>
          <t>318</t>
        </is>
      </c>
      <c r="C319" s="19" t="n"/>
      <c r="D319" s="19" t="n"/>
      <c r="E319" s="19" t="n"/>
      <c r="F319" s="19" t="n"/>
      <c r="G319" s="19" t="n"/>
      <c r="H319" s="19" t="inlineStr">
        <is>
          <t>80</t>
        </is>
      </c>
      <c r="I319" s="19" t="n"/>
      <c r="J319" t="n">
        <v>318</v>
      </c>
      <c r="K319" t="inlineStr">
        <is>
          <t>Phase J registry sync</t>
        </is>
      </c>
    </row>
    <row r="320">
      <c r="A320" s="19" t="inlineStr">
        <is>
          <t>319</t>
        </is>
      </c>
      <c r="B320" s="19" t="inlineStr">
        <is>
          <t>319</t>
        </is>
      </c>
      <c r="C320" s="19" t="n"/>
      <c r="D320" s="19" t="n"/>
      <c r="E320" s="19" t="inlineStr">
        <is>
          <t>80</t>
        </is>
      </c>
      <c r="F320" s="19" t="n"/>
      <c r="G320" s="19" t="n"/>
      <c r="H320" s="19" t="n"/>
      <c r="I320" s="19" t="n"/>
      <c r="J320" t="n">
        <v>319</v>
      </c>
      <c r="K320" t="inlineStr">
        <is>
          <t>Phase J registry sync</t>
        </is>
      </c>
    </row>
    <row r="321">
      <c r="A321" s="19" t="inlineStr">
        <is>
          <t>320</t>
        </is>
      </c>
      <c r="B321" s="19" t="inlineStr">
        <is>
          <t>320</t>
        </is>
      </c>
      <c r="C321" s="19" t="n"/>
      <c r="D321" s="19" t="n"/>
      <c r="E321" s="19" t="n"/>
      <c r="F321" s="19" t="n"/>
      <c r="G321" s="19" t="n"/>
      <c r="H321" s="19" t="n"/>
      <c r="I321" s="19" t="inlineStr">
        <is>
          <t>80</t>
        </is>
      </c>
      <c r="J321" t="n">
        <v>320</v>
      </c>
      <c r="K321" t="inlineStr">
        <is>
          <t>Phase J registry sync</t>
        </is>
      </c>
    </row>
    <row r="322">
      <c r="A322" s="19" t="inlineStr">
        <is>
          <t>321</t>
        </is>
      </c>
      <c r="B322" s="19" t="inlineStr">
        <is>
          <t>321</t>
        </is>
      </c>
      <c r="C322" s="19" t="n"/>
      <c r="D322" s="19" t="n"/>
      <c r="E322" s="19" t="n"/>
      <c r="F322" s="19" t="n"/>
      <c r="G322" s="19" t="inlineStr">
        <is>
          <t>81</t>
        </is>
      </c>
      <c r="H322" s="19" t="n"/>
      <c r="I322" s="19" t="n"/>
      <c r="J322" t="n">
        <v>321</v>
      </c>
      <c r="K322" t="inlineStr">
        <is>
          <t>Phase J registry sync</t>
        </is>
      </c>
    </row>
    <row r="323">
      <c r="A323" s="19" t="inlineStr">
        <is>
          <t>322</t>
        </is>
      </c>
      <c r="B323" s="19" t="inlineStr">
        <is>
          <t>322</t>
        </is>
      </c>
      <c r="C323" s="19" t="n"/>
      <c r="D323" s="19" t="n"/>
      <c r="E323" s="19" t="n"/>
      <c r="F323" s="19" t="n"/>
      <c r="G323" s="19" t="n"/>
      <c r="H323" s="19" t="inlineStr">
        <is>
          <t>81</t>
        </is>
      </c>
      <c r="I323" s="19" t="n"/>
      <c r="J323" t="n">
        <v>322</v>
      </c>
      <c r="K323" t="inlineStr">
        <is>
          <t>Phase J registry sync</t>
        </is>
      </c>
    </row>
    <row r="324">
      <c r="A324" s="19" t="inlineStr">
        <is>
          <t>323</t>
        </is>
      </c>
      <c r="B324" s="19" t="inlineStr">
        <is>
          <t>323</t>
        </is>
      </c>
      <c r="C324" s="19" t="n"/>
      <c r="D324" s="19" t="n"/>
      <c r="E324" s="19" t="inlineStr">
        <is>
          <t>81</t>
        </is>
      </c>
      <c r="F324" s="19" t="n"/>
      <c r="G324" s="19" t="n"/>
      <c r="H324" s="19" t="n"/>
      <c r="I324" s="19" t="n"/>
      <c r="J324" t="n">
        <v>323</v>
      </c>
      <c r="K324" t="inlineStr">
        <is>
          <t>Phase J registry sync</t>
        </is>
      </c>
    </row>
    <row r="325">
      <c r="A325" s="19" t="inlineStr">
        <is>
          <t>324</t>
        </is>
      </c>
      <c r="B325" s="19" t="inlineStr">
        <is>
          <t>324</t>
        </is>
      </c>
      <c r="C325" s="19" t="n"/>
      <c r="D325" s="19" t="n"/>
      <c r="E325" s="19" t="n"/>
      <c r="F325" s="19" t="n"/>
      <c r="G325" s="19" t="n"/>
      <c r="H325" s="19" t="n"/>
      <c r="I325" s="19" t="inlineStr">
        <is>
          <t>81</t>
        </is>
      </c>
      <c r="J325" t="n">
        <v>324</v>
      </c>
      <c r="K325" t="inlineStr">
        <is>
          <t>Phase J registry sync</t>
        </is>
      </c>
    </row>
    <row r="326">
      <c r="A326" s="19" t="inlineStr">
        <is>
          <t>325</t>
        </is>
      </c>
      <c r="B326" s="19" t="inlineStr">
        <is>
          <t>325</t>
        </is>
      </c>
      <c r="C326" s="19" t="n"/>
      <c r="D326" s="19" t="n"/>
      <c r="E326" s="19" t="n"/>
      <c r="F326" s="19" t="n"/>
      <c r="G326" s="19" t="inlineStr">
        <is>
          <t>82</t>
        </is>
      </c>
      <c r="H326" s="19" t="n"/>
      <c r="I326" s="19" t="n"/>
      <c r="J326" t="n">
        <v>325</v>
      </c>
      <c r="K326" t="inlineStr">
        <is>
          <t>Phase J registry sync</t>
        </is>
      </c>
    </row>
    <row r="327">
      <c r="A327" s="19" t="inlineStr">
        <is>
          <t>326</t>
        </is>
      </c>
      <c r="B327" s="19" t="inlineStr">
        <is>
          <t>326</t>
        </is>
      </c>
      <c r="C327" s="19" t="n"/>
      <c r="D327" s="19" t="n"/>
      <c r="E327" s="19" t="n"/>
      <c r="F327" s="19" t="n"/>
      <c r="G327" s="19" t="n"/>
      <c r="H327" s="19" t="inlineStr">
        <is>
          <t>82</t>
        </is>
      </c>
      <c r="I327" s="19" t="n"/>
      <c r="J327" t="n">
        <v>326</v>
      </c>
      <c r="K327" t="inlineStr">
        <is>
          <t>Phase J registry sync</t>
        </is>
      </c>
    </row>
    <row r="328">
      <c r="A328" s="19" t="inlineStr">
        <is>
          <t>327</t>
        </is>
      </c>
      <c r="B328" s="19" t="inlineStr">
        <is>
          <t>327</t>
        </is>
      </c>
      <c r="C328" s="19" t="n"/>
      <c r="D328" s="19" t="n"/>
      <c r="E328" s="19" t="inlineStr">
        <is>
          <t>82</t>
        </is>
      </c>
      <c r="F328" s="19" t="n"/>
      <c r="G328" s="19" t="n"/>
      <c r="H328" s="19" t="n"/>
      <c r="I328" s="19" t="n"/>
      <c r="J328" t="n">
        <v>327</v>
      </c>
      <c r="K328" t="inlineStr">
        <is>
          <t>Phase J registry sync</t>
        </is>
      </c>
    </row>
    <row r="329">
      <c r="A329" s="19" t="inlineStr">
        <is>
          <t>328</t>
        </is>
      </c>
      <c r="B329" s="19" t="inlineStr">
        <is>
          <t>328</t>
        </is>
      </c>
      <c r="C329" s="19" t="n"/>
      <c r="D329" s="19" t="n"/>
      <c r="E329" s="19" t="n"/>
      <c r="F329" s="19" t="n"/>
      <c r="G329" s="19" t="n"/>
      <c r="H329" s="19" t="n"/>
      <c r="I329" s="19" t="inlineStr">
        <is>
          <t>82</t>
        </is>
      </c>
      <c r="J329" t="n">
        <v>328</v>
      </c>
      <c r="K329" t="inlineStr">
        <is>
          <t>Phase J registry sync</t>
        </is>
      </c>
    </row>
    <row r="330">
      <c r="A330" s="19" t="inlineStr">
        <is>
          <t>329</t>
        </is>
      </c>
      <c r="B330" s="19" t="inlineStr">
        <is>
          <t>329</t>
        </is>
      </c>
      <c r="C330" s="19" t="n"/>
      <c r="D330" s="19" t="n"/>
      <c r="E330" s="19" t="n"/>
      <c r="F330" s="19" t="n"/>
      <c r="G330" s="19" t="inlineStr">
        <is>
          <t>83</t>
        </is>
      </c>
      <c r="H330" s="19" t="n"/>
      <c r="I330" s="19" t="n"/>
      <c r="J330" t="n">
        <v>329</v>
      </c>
      <c r="K330" t="inlineStr">
        <is>
          <t>Phase J registry sync</t>
        </is>
      </c>
    </row>
    <row r="331">
      <c r="A331" s="19" t="inlineStr">
        <is>
          <t>330</t>
        </is>
      </c>
      <c r="B331" s="19" t="inlineStr">
        <is>
          <t>330</t>
        </is>
      </c>
      <c r="C331" s="19" t="n"/>
      <c r="D331" s="19" t="n"/>
      <c r="E331" s="19" t="n"/>
      <c r="F331" s="19" t="n"/>
      <c r="G331" s="19" t="n"/>
      <c r="H331" s="19" t="inlineStr">
        <is>
          <t>83</t>
        </is>
      </c>
      <c r="I331" s="19" t="n"/>
      <c r="J331" t="n">
        <v>330</v>
      </c>
      <c r="K331" t="inlineStr">
        <is>
          <t>Phase J registry sync</t>
        </is>
      </c>
    </row>
    <row r="332">
      <c r="A332" s="19" t="inlineStr">
        <is>
          <t>331</t>
        </is>
      </c>
      <c r="B332" s="19" t="inlineStr">
        <is>
          <t>331</t>
        </is>
      </c>
      <c r="C332" s="19" t="n"/>
      <c r="D332" s="19" t="n"/>
      <c r="E332" s="19" t="inlineStr">
        <is>
          <t>83</t>
        </is>
      </c>
      <c r="F332" s="19" t="n"/>
      <c r="G332" s="19" t="n"/>
      <c r="H332" s="19" t="n"/>
      <c r="I332" s="19" t="n"/>
      <c r="J332" t="n">
        <v>331</v>
      </c>
      <c r="K332" t="inlineStr">
        <is>
          <t>Phase J registry sync</t>
        </is>
      </c>
    </row>
    <row r="333">
      <c r="A333" s="19" t="inlineStr">
        <is>
          <t>332</t>
        </is>
      </c>
      <c r="B333" s="19" t="inlineStr">
        <is>
          <t>332</t>
        </is>
      </c>
      <c r="C333" s="19" t="n"/>
      <c r="D333" s="19" t="n"/>
      <c r="E333" s="19" t="n"/>
      <c r="F333" s="19" t="n"/>
      <c r="G333" s="19" t="n"/>
      <c r="H333" s="19" t="n"/>
      <c r="I333" s="19" t="inlineStr">
        <is>
          <t>83</t>
        </is>
      </c>
      <c r="J333" t="n">
        <v>332</v>
      </c>
      <c r="K333" t="inlineStr">
        <is>
          <t>Phase J registry sync</t>
        </is>
      </c>
    </row>
    <row r="334">
      <c r="A334" s="19" t="inlineStr">
        <is>
          <t>333</t>
        </is>
      </c>
      <c r="B334" s="19" t="inlineStr">
        <is>
          <t>333</t>
        </is>
      </c>
      <c r="C334" s="19" t="n"/>
      <c r="D334" s="19" t="n"/>
      <c r="E334" s="19" t="n"/>
      <c r="F334" s="19" t="n"/>
      <c r="G334" s="19" t="inlineStr">
        <is>
          <t>84</t>
        </is>
      </c>
      <c r="H334" s="19" t="n"/>
      <c r="I334" s="19" t="n"/>
      <c r="J334" t="n">
        <v>333</v>
      </c>
      <c r="K334" t="inlineStr">
        <is>
          <t>Phase J registry sync</t>
        </is>
      </c>
    </row>
    <row r="335">
      <c r="A335" s="19" t="inlineStr">
        <is>
          <t>334</t>
        </is>
      </c>
      <c r="B335" s="19" t="inlineStr">
        <is>
          <t>334</t>
        </is>
      </c>
      <c r="C335" s="19" t="n"/>
      <c r="D335" s="19" t="n"/>
      <c r="E335" s="19" t="n"/>
      <c r="F335" s="19" t="n"/>
      <c r="G335" s="19" t="n"/>
      <c r="H335" s="19" t="inlineStr">
        <is>
          <t>84</t>
        </is>
      </c>
      <c r="I335" s="19" t="n"/>
      <c r="J335" t="n">
        <v>334</v>
      </c>
      <c r="K335" t="inlineStr">
        <is>
          <t>Phase J registry sync</t>
        </is>
      </c>
    </row>
    <row r="336">
      <c r="A336" s="19" t="inlineStr">
        <is>
          <t>335</t>
        </is>
      </c>
      <c r="B336" s="19" t="inlineStr">
        <is>
          <t>335</t>
        </is>
      </c>
      <c r="C336" s="19" t="n"/>
      <c r="D336" s="19" t="n"/>
      <c r="E336" s="19" t="inlineStr">
        <is>
          <t>84</t>
        </is>
      </c>
      <c r="F336" s="19" t="n"/>
      <c r="G336" s="19" t="n"/>
      <c r="H336" s="19" t="n"/>
      <c r="I336" s="19" t="n"/>
      <c r="J336" t="n">
        <v>335</v>
      </c>
      <c r="K336" t="inlineStr">
        <is>
          <t>Phase J registry sync</t>
        </is>
      </c>
    </row>
    <row r="337">
      <c r="A337" s="19" t="inlineStr">
        <is>
          <t>336</t>
        </is>
      </c>
      <c r="B337" s="19" t="inlineStr">
        <is>
          <t>336</t>
        </is>
      </c>
      <c r="C337" s="19" t="n"/>
      <c r="D337" s="19" t="n"/>
      <c r="E337" s="19" t="n"/>
      <c r="F337" s="19" t="n"/>
      <c r="G337" s="19" t="n"/>
      <c r="H337" s="19" t="n"/>
      <c r="I337" s="19" t="inlineStr">
        <is>
          <t>84</t>
        </is>
      </c>
      <c r="J337" t="n">
        <v>336</v>
      </c>
      <c r="K337" t="inlineStr">
        <is>
          <t>Phase J registry sync</t>
        </is>
      </c>
    </row>
    <row r="338">
      <c r="A338" s="19" t="inlineStr">
        <is>
          <t>337</t>
        </is>
      </c>
      <c r="B338" s="19" t="inlineStr">
        <is>
          <t>337</t>
        </is>
      </c>
      <c r="C338" s="19" t="n"/>
      <c r="D338" s="19" t="n"/>
      <c r="E338" s="19" t="n"/>
      <c r="F338" s="19" t="n"/>
      <c r="G338" s="19" t="inlineStr">
        <is>
          <t>85</t>
        </is>
      </c>
      <c r="H338" s="19" t="n"/>
      <c r="I338" s="19" t="n"/>
      <c r="J338" t="n">
        <v>337</v>
      </c>
      <c r="K338" t="inlineStr">
        <is>
          <t>Phase J registry sync</t>
        </is>
      </c>
    </row>
    <row r="339">
      <c r="A339" s="19" t="inlineStr">
        <is>
          <t>338</t>
        </is>
      </c>
      <c r="B339" s="19" t="inlineStr">
        <is>
          <t>338</t>
        </is>
      </c>
      <c r="C339" s="19" t="n"/>
      <c r="D339" s="19" t="n"/>
      <c r="E339" s="19" t="n"/>
      <c r="F339" s="19" t="n"/>
      <c r="G339" s="19" t="n"/>
      <c r="H339" s="19" t="inlineStr">
        <is>
          <t>85</t>
        </is>
      </c>
      <c r="I339" s="19" t="n"/>
      <c r="J339" t="n">
        <v>338</v>
      </c>
      <c r="K339" t="inlineStr">
        <is>
          <t>Phase J registry sync</t>
        </is>
      </c>
    </row>
    <row r="340">
      <c r="A340" s="19" t="inlineStr">
        <is>
          <t>339</t>
        </is>
      </c>
      <c r="B340" s="19" t="inlineStr">
        <is>
          <t>339</t>
        </is>
      </c>
      <c r="C340" s="19" t="n"/>
      <c r="D340" s="19" t="n"/>
      <c r="E340" s="19" t="inlineStr">
        <is>
          <t>85</t>
        </is>
      </c>
      <c r="F340" s="19" t="n"/>
      <c r="G340" s="19" t="n"/>
      <c r="H340" s="19" t="n"/>
      <c r="I340" s="19" t="n"/>
      <c r="J340" t="n">
        <v>339</v>
      </c>
      <c r="K340" t="inlineStr">
        <is>
          <t>Phase J registry sync</t>
        </is>
      </c>
    </row>
    <row r="341">
      <c r="A341" s="19" t="inlineStr">
        <is>
          <t>340</t>
        </is>
      </c>
      <c r="B341" s="19" t="inlineStr">
        <is>
          <t>340</t>
        </is>
      </c>
      <c r="C341" s="19" t="n"/>
      <c r="D341" s="19" t="n"/>
      <c r="E341" s="19" t="n"/>
      <c r="F341" s="19" t="n"/>
      <c r="G341" s="19" t="n"/>
      <c r="H341" s="19" t="n"/>
      <c r="I341" s="19" t="inlineStr">
        <is>
          <t>85</t>
        </is>
      </c>
      <c r="J341" t="n">
        <v>340</v>
      </c>
      <c r="K341" t="inlineStr">
        <is>
          <t>Phase J registry sync</t>
        </is>
      </c>
    </row>
    <row r="342">
      <c r="A342" s="19" t="inlineStr">
        <is>
          <t>341</t>
        </is>
      </c>
      <c r="B342" s="19" t="inlineStr">
        <is>
          <t>341</t>
        </is>
      </c>
      <c r="C342" s="19" t="n"/>
      <c r="D342" s="19" t="n"/>
      <c r="E342" s="19" t="n"/>
      <c r="F342" s="19" t="n"/>
      <c r="G342" s="19" t="inlineStr">
        <is>
          <t>86</t>
        </is>
      </c>
      <c r="H342" s="19" t="n"/>
      <c r="I342" s="19" t="n"/>
      <c r="J342" t="n">
        <v>341</v>
      </c>
      <c r="K342" t="inlineStr">
        <is>
          <t>Phase J registry sync</t>
        </is>
      </c>
    </row>
    <row r="343">
      <c r="A343" s="19" t="inlineStr">
        <is>
          <t>342</t>
        </is>
      </c>
      <c r="B343" s="19" t="inlineStr">
        <is>
          <t>342</t>
        </is>
      </c>
      <c r="C343" s="19" t="n"/>
      <c r="D343" s="19" t="n"/>
      <c r="E343" s="19" t="n"/>
      <c r="F343" s="19" t="n"/>
      <c r="G343" s="19" t="n"/>
      <c r="H343" s="19" t="inlineStr">
        <is>
          <t>86</t>
        </is>
      </c>
      <c r="I343" s="19" t="n"/>
      <c r="J343" t="n">
        <v>342</v>
      </c>
      <c r="K343" t="inlineStr">
        <is>
          <t>Phase J registry sync</t>
        </is>
      </c>
    </row>
    <row r="344">
      <c r="A344" s="19" t="inlineStr">
        <is>
          <t>343</t>
        </is>
      </c>
      <c r="B344" s="19" t="inlineStr">
        <is>
          <t>343</t>
        </is>
      </c>
      <c r="C344" s="19" t="n"/>
      <c r="D344" s="19" t="n"/>
      <c r="E344" s="19" t="inlineStr">
        <is>
          <t>86</t>
        </is>
      </c>
      <c r="F344" s="19" t="n"/>
      <c r="G344" s="19" t="n"/>
      <c r="H344" s="19" t="n"/>
      <c r="I344" s="19" t="n"/>
      <c r="J344" t="n">
        <v>343</v>
      </c>
      <c r="K344" t="inlineStr">
        <is>
          <t>Phase J registry sync</t>
        </is>
      </c>
    </row>
    <row r="345">
      <c r="A345" s="19" t="inlineStr">
        <is>
          <t>344</t>
        </is>
      </c>
      <c r="B345" s="19" t="inlineStr">
        <is>
          <t>344</t>
        </is>
      </c>
      <c r="C345" s="19" t="n"/>
      <c r="D345" s="19" t="n"/>
      <c r="E345" s="19" t="n"/>
      <c r="F345" s="19" t="n"/>
      <c r="G345" s="19" t="n"/>
      <c r="H345" s="19" t="n"/>
      <c r="I345" s="19" t="inlineStr">
        <is>
          <t>86</t>
        </is>
      </c>
      <c r="J345" t="n">
        <v>344</v>
      </c>
      <c r="K345" t="inlineStr">
        <is>
          <t>Phase J registry sync</t>
        </is>
      </c>
    </row>
    <row r="346">
      <c r="A346" s="19" t="inlineStr">
        <is>
          <t>345</t>
        </is>
      </c>
      <c r="B346" s="19" t="inlineStr">
        <is>
          <t>345</t>
        </is>
      </c>
      <c r="C346" s="19" t="n"/>
      <c r="D346" s="19" t="n"/>
      <c r="E346" s="19" t="n"/>
      <c r="F346" s="19" t="n"/>
      <c r="G346" s="19" t="inlineStr">
        <is>
          <t>87</t>
        </is>
      </c>
      <c r="H346" s="19" t="n"/>
      <c r="I346" s="19" t="n"/>
      <c r="J346" t="n">
        <v>345</v>
      </c>
      <c r="K346" t="inlineStr">
        <is>
          <t>Phase J registry sync</t>
        </is>
      </c>
    </row>
    <row r="347">
      <c r="A347" s="19" t="inlineStr">
        <is>
          <t>346</t>
        </is>
      </c>
      <c r="B347" s="19" t="inlineStr">
        <is>
          <t>346</t>
        </is>
      </c>
      <c r="C347" s="19" t="n"/>
      <c r="D347" s="19" t="n"/>
      <c r="E347" s="19" t="n"/>
      <c r="F347" s="19" t="n"/>
      <c r="G347" s="19" t="n"/>
      <c r="H347" s="19" t="inlineStr">
        <is>
          <t>87</t>
        </is>
      </c>
      <c r="I347" s="19" t="n"/>
      <c r="J347" t="n">
        <v>346</v>
      </c>
      <c r="K347" t="inlineStr">
        <is>
          <t>Phase J registry sync</t>
        </is>
      </c>
    </row>
    <row r="348">
      <c r="A348" s="19" t="inlineStr">
        <is>
          <t>347</t>
        </is>
      </c>
      <c r="B348" s="19" t="inlineStr">
        <is>
          <t>347</t>
        </is>
      </c>
      <c r="C348" s="19" t="n"/>
      <c r="D348" s="19" t="n"/>
      <c r="E348" s="19" t="inlineStr">
        <is>
          <t>87</t>
        </is>
      </c>
      <c r="F348" s="19" t="n"/>
      <c r="G348" s="19" t="n"/>
      <c r="H348" s="19" t="n"/>
      <c r="I348" s="19" t="n"/>
      <c r="J348" t="n">
        <v>347</v>
      </c>
      <c r="K348" t="inlineStr">
        <is>
          <t>Phase J registry sync</t>
        </is>
      </c>
    </row>
    <row r="349">
      <c r="A349" s="19" t="inlineStr">
        <is>
          <t>348</t>
        </is>
      </c>
      <c r="B349" s="19" t="inlineStr">
        <is>
          <t>348</t>
        </is>
      </c>
      <c r="C349" s="19" t="n"/>
      <c r="D349" s="19" t="n"/>
      <c r="E349" s="19" t="n"/>
      <c r="F349" s="19" t="n"/>
      <c r="G349" s="19" t="n"/>
      <c r="H349" s="19" t="n"/>
      <c r="I349" s="19" t="inlineStr">
        <is>
          <t>87</t>
        </is>
      </c>
      <c r="J349" t="n">
        <v>348</v>
      </c>
      <c r="K349" t="inlineStr">
        <is>
          <t>Phase J registry sync</t>
        </is>
      </c>
    </row>
    <row r="350">
      <c r="A350" s="19" t="inlineStr">
        <is>
          <t>349</t>
        </is>
      </c>
      <c r="B350" s="19" t="inlineStr">
        <is>
          <t>349</t>
        </is>
      </c>
      <c r="C350" s="19" t="n"/>
      <c r="D350" s="19" t="n"/>
      <c r="E350" s="19" t="n"/>
      <c r="F350" s="19" t="n"/>
      <c r="G350" s="19" t="inlineStr">
        <is>
          <t>88</t>
        </is>
      </c>
      <c r="H350" s="19" t="n"/>
      <c r="I350" s="19" t="n"/>
      <c r="J350" t="n">
        <v>349</v>
      </c>
      <c r="K350" t="inlineStr">
        <is>
          <t>Phase J registry sync</t>
        </is>
      </c>
    </row>
    <row r="351">
      <c r="A351" s="19" t="inlineStr">
        <is>
          <t>350</t>
        </is>
      </c>
      <c r="B351" s="19" t="inlineStr">
        <is>
          <t>350</t>
        </is>
      </c>
      <c r="C351" s="19" t="n"/>
      <c r="D351" s="19" t="n"/>
      <c r="E351" s="19" t="n"/>
      <c r="F351" s="19" t="n"/>
      <c r="G351" s="19" t="n"/>
      <c r="H351" s="19" t="inlineStr">
        <is>
          <t>88</t>
        </is>
      </c>
      <c r="I351" s="19" t="n"/>
      <c r="J351" t="n">
        <v>350</v>
      </c>
      <c r="K351" t="inlineStr">
        <is>
          <t>Phase J registry sync</t>
        </is>
      </c>
    </row>
    <row r="352">
      <c r="A352" s="19" t="inlineStr">
        <is>
          <t>351</t>
        </is>
      </c>
      <c r="B352" s="19" t="inlineStr">
        <is>
          <t>351</t>
        </is>
      </c>
      <c r="C352" s="19" t="n"/>
      <c r="D352" s="19" t="n"/>
      <c r="E352" s="19" t="inlineStr">
        <is>
          <t>88</t>
        </is>
      </c>
      <c r="F352" s="19" t="n"/>
      <c r="G352" s="19" t="n"/>
      <c r="H352" s="19" t="n"/>
      <c r="I352" s="19" t="n"/>
      <c r="J352" t="n">
        <v>351</v>
      </c>
      <c r="K352" t="inlineStr">
        <is>
          <t>Phase J registry sync</t>
        </is>
      </c>
    </row>
    <row r="353">
      <c r="A353" s="19" t="inlineStr">
        <is>
          <t>352</t>
        </is>
      </c>
      <c r="B353" s="19" t="inlineStr">
        <is>
          <t>352</t>
        </is>
      </c>
      <c r="C353" s="19" t="n"/>
      <c r="D353" s="19" t="n"/>
      <c r="E353" s="19" t="n"/>
      <c r="F353" s="19" t="n"/>
      <c r="G353" s="19" t="n"/>
      <c r="H353" s="19" t="n"/>
      <c r="I353" s="19" t="inlineStr">
        <is>
          <t>88</t>
        </is>
      </c>
      <c r="J353" t="n">
        <v>352</v>
      </c>
      <c r="K353" t="inlineStr">
        <is>
          <t>Phase J registry sync</t>
        </is>
      </c>
    </row>
    <row r="354">
      <c r="A354" s="19" t="inlineStr">
        <is>
          <t>353</t>
        </is>
      </c>
      <c r="B354" s="19" t="inlineStr">
        <is>
          <t>353</t>
        </is>
      </c>
      <c r="C354" s="19" t="n"/>
      <c r="D354" s="19" t="n"/>
      <c r="E354" s="19" t="n"/>
      <c r="F354" s="19" t="n"/>
      <c r="G354" s="19" t="inlineStr">
        <is>
          <t>89</t>
        </is>
      </c>
      <c r="H354" s="19" t="n"/>
      <c r="I354" s="19" t="n"/>
      <c r="J354" t="n">
        <v>353</v>
      </c>
      <c r="K354" t="inlineStr">
        <is>
          <t>Phase J registry sync</t>
        </is>
      </c>
    </row>
    <row r="355">
      <c r="A355" s="19" t="inlineStr">
        <is>
          <t>354</t>
        </is>
      </c>
      <c r="B355" s="19" t="inlineStr">
        <is>
          <t>354</t>
        </is>
      </c>
      <c r="C355" s="19" t="n"/>
      <c r="D355" s="19" t="n"/>
      <c r="E355" s="19" t="n"/>
      <c r="F355" s="19" t="n"/>
      <c r="G355" s="19" t="n"/>
      <c r="H355" s="19" t="inlineStr">
        <is>
          <t>89</t>
        </is>
      </c>
      <c r="I355" s="19" t="n"/>
      <c r="J355" t="n">
        <v>354</v>
      </c>
      <c r="K355" t="inlineStr">
        <is>
          <t>Phase J registry sync</t>
        </is>
      </c>
    </row>
    <row r="356">
      <c r="A356" s="19" t="inlineStr">
        <is>
          <t>355</t>
        </is>
      </c>
      <c r="B356" s="19" t="inlineStr">
        <is>
          <t>355</t>
        </is>
      </c>
      <c r="C356" s="19" t="n"/>
      <c r="D356" s="19" t="n"/>
      <c r="E356" s="19" t="inlineStr">
        <is>
          <t>89</t>
        </is>
      </c>
      <c r="F356" s="19" t="n"/>
      <c r="G356" s="19" t="n"/>
      <c r="H356" s="19" t="n"/>
      <c r="I356" s="19" t="n"/>
      <c r="J356" t="n">
        <v>355</v>
      </c>
      <c r="K356" t="inlineStr">
        <is>
          <t>Phase J registry sync</t>
        </is>
      </c>
    </row>
    <row r="357">
      <c r="A357" s="19" t="inlineStr">
        <is>
          <t>356</t>
        </is>
      </c>
      <c r="B357" s="19" t="inlineStr">
        <is>
          <t>356</t>
        </is>
      </c>
      <c r="C357" s="19" t="n"/>
      <c r="D357" s="19" t="n"/>
      <c r="E357" s="19" t="n"/>
      <c r="F357" s="19" t="n"/>
      <c r="G357" s="19" t="n"/>
      <c r="H357" s="19" t="n"/>
      <c r="I357" s="19" t="inlineStr">
        <is>
          <t>89</t>
        </is>
      </c>
      <c r="J357" t="n">
        <v>356</v>
      </c>
      <c r="K357" t="inlineStr">
        <is>
          <t>Phase J registry sync</t>
        </is>
      </c>
    </row>
    <row r="358">
      <c r="A358" s="19" t="inlineStr">
        <is>
          <t>357</t>
        </is>
      </c>
      <c r="B358" s="19" t="inlineStr">
        <is>
          <t>357</t>
        </is>
      </c>
      <c r="C358" s="19" t="n"/>
      <c r="D358" s="19" t="n"/>
      <c r="E358" s="19" t="n"/>
      <c r="F358" s="19" t="n"/>
      <c r="G358" s="19" t="inlineStr">
        <is>
          <t>90</t>
        </is>
      </c>
      <c r="H358" s="19" t="n"/>
      <c r="I358" s="19" t="n"/>
      <c r="J358" t="n">
        <v>357</v>
      </c>
      <c r="K358" t="inlineStr">
        <is>
          <t>Phase J registry sync</t>
        </is>
      </c>
    </row>
    <row r="359">
      <c r="A359" s="19" t="inlineStr">
        <is>
          <t>358</t>
        </is>
      </c>
      <c r="B359" s="19" t="inlineStr">
        <is>
          <t>358</t>
        </is>
      </c>
      <c r="C359" s="19" t="n"/>
      <c r="D359" s="19" t="n"/>
      <c r="E359" s="19" t="n"/>
      <c r="F359" s="19" t="n"/>
      <c r="G359" s="19" t="n"/>
      <c r="H359" s="19" t="inlineStr">
        <is>
          <t>90</t>
        </is>
      </c>
      <c r="I359" s="19" t="n"/>
      <c r="J359" t="n">
        <v>358</v>
      </c>
      <c r="K359" t="inlineStr">
        <is>
          <t>Phase J registry sync</t>
        </is>
      </c>
    </row>
    <row r="360">
      <c r="A360" s="19" t="inlineStr">
        <is>
          <t>359</t>
        </is>
      </c>
      <c r="B360" s="19" t="inlineStr">
        <is>
          <t>359</t>
        </is>
      </c>
      <c r="C360" s="19" t="n"/>
      <c r="D360" s="19" t="n"/>
      <c r="E360" s="19" t="inlineStr">
        <is>
          <t>90</t>
        </is>
      </c>
      <c r="F360" s="19" t="n"/>
      <c r="G360" s="19" t="n"/>
      <c r="H360" s="19" t="n"/>
      <c r="I360" s="19" t="n"/>
      <c r="J360" t="n">
        <v>359</v>
      </c>
      <c r="K360" t="inlineStr">
        <is>
          <t>Phase J registry sync</t>
        </is>
      </c>
    </row>
    <row r="361">
      <c r="A361" s="19" t="inlineStr">
        <is>
          <t>360</t>
        </is>
      </c>
      <c r="B361" s="19" t="inlineStr">
        <is>
          <t>360</t>
        </is>
      </c>
      <c r="C361" s="19" t="n"/>
      <c r="D361" s="19" t="n"/>
      <c r="E361" s="19" t="n"/>
      <c r="F361" s="19" t="n"/>
      <c r="G361" s="19" t="n"/>
      <c r="H361" s="19" t="n"/>
      <c r="I361" s="19" t="inlineStr">
        <is>
          <t>90</t>
        </is>
      </c>
      <c r="J361" t="n">
        <v>360</v>
      </c>
      <c r="K361" t="inlineStr">
        <is>
          <t>Phase J registry sync</t>
        </is>
      </c>
    </row>
    <row r="362">
      <c r="A362" s="19" t="inlineStr">
        <is>
          <t>361</t>
        </is>
      </c>
      <c r="B362" s="19" t="inlineStr">
        <is>
          <t>361</t>
        </is>
      </c>
      <c r="C362" s="19" t="n"/>
      <c r="D362" s="19" t="n"/>
      <c r="E362" s="19" t="n"/>
      <c r="F362" s="19" t="n"/>
      <c r="G362" s="19" t="inlineStr">
        <is>
          <t>91</t>
        </is>
      </c>
      <c r="H362" s="19" t="n"/>
      <c r="I362" s="19" t="n"/>
      <c r="J362" t="n">
        <v>361</v>
      </c>
      <c r="K362" t="inlineStr">
        <is>
          <t>Phase J registry sync</t>
        </is>
      </c>
    </row>
    <row r="363">
      <c r="A363" s="19" t="inlineStr">
        <is>
          <t>362</t>
        </is>
      </c>
      <c r="B363" s="19" t="inlineStr">
        <is>
          <t>362</t>
        </is>
      </c>
      <c r="C363" s="19" t="n"/>
      <c r="D363" s="19" t="n"/>
      <c r="E363" s="19" t="n"/>
      <c r="F363" s="19" t="n"/>
      <c r="G363" s="19" t="n"/>
      <c r="H363" s="19" t="inlineStr">
        <is>
          <t>91</t>
        </is>
      </c>
      <c r="I363" s="19" t="n"/>
      <c r="J363" t="n">
        <v>362</v>
      </c>
      <c r="K363" t="inlineStr">
        <is>
          <t>Phase J registry sync</t>
        </is>
      </c>
    </row>
    <row r="364">
      <c r="A364" s="19" t="inlineStr">
        <is>
          <t>363</t>
        </is>
      </c>
      <c r="B364" s="19" t="inlineStr">
        <is>
          <t>363</t>
        </is>
      </c>
      <c r="C364" s="19" t="n"/>
      <c r="D364" s="19" t="n"/>
      <c r="E364" s="19" t="inlineStr">
        <is>
          <t>91</t>
        </is>
      </c>
      <c r="F364" s="19" t="n"/>
      <c r="G364" s="19" t="n"/>
      <c r="H364" s="19" t="n"/>
      <c r="I364" s="19" t="n"/>
      <c r="J364" t="n">
        <v>363</v>
      </c>
      <c r="K364" t="inlineStr">
        <is>
          <t>Phase J registry sync</t>
        </is>
      </c>
    </row>
    <row r="365">
      <c r="A365" s="19" t="inlineStr">
        <is>
          <t>364</t>
        </is>
      </c>
      <c r="B365" s="19" t="inlineStr">
        <is>
          <t>364</t>
        </is>
      </c>
      <c r="C365" s="19" t="n"/>
      <c r="D365" s="19" t="n"/>
      <c r="E365" s="19" t="n"/>
      <c r="F365" s="19" t="n"/>
      <c r="G365" s="19" t="n"/>
      <c r="H365" s="19" t="n"/>
      <c r="I365" s="19" t="inlineStr">
        <is>
          <t>91</t>
        </is>
      </c>
      <c r="J365" t="n">
        <v>364</v>
      </c>
      <c r="K365" t="inlineStr">
        <is>
          <t>Phase J registry sync</t>
        </is>
      </c>
    </row>
    <row r="366">
      <c r="A366" s="19" t="inlineStr">
        <is>
          <t>365</t>
        </is>
      </c>
      <c r="B366" s="19" t="inlineStr">
        <is>
          <t>365</t>
        </is>
      </c>
      <c r="C366" s="19" t="n"/>
      <c r="D366" s="19" t="n"/>
      <c r="E366" s="19" t="n"/>
      <c r="F366" s="19" t="n"/>
      <c r="G366" s="19" t="inlineStr">
        <is>
          <t>92</t>
        </is>
      </c>
      <c r="H366" s="19" t="n"/>
      <c r="I366" s="19" t="n"/>
      <c r="J366" t="n">
        <v>365</v>
      </c>
      <c r="K366" t="inlineStr">
        <is>
          <t>Phase J registry sync</t>
        </is>
      </c>
    </row>
    <row r="367">
      <c r="A367" s="19" t="inlineStr">
        <is>
          <t>366</t>
        </is>
      </c>
      <c r="B367" s="19" t="inlineStr">
        <is>
          <t>366</t>
        </is>
      </c>
      <c r="C367" s="19" t="n"/>
      <c r="D367" s="19" t="n"/>
      <c r="E367" s="19" t="n"/>
      <c r="F367" s="19" t="n"/>
      <c r="G367" s="19" t="n"/>
      <c r="H367" s="19" t="inlineStr">
        <is>
          <t>92</t>
        </is>
      </c>
      <c r="I367" s="19" t="n"/>
      <c r="J367" t="n">
        <v>366</v>
      </c>
      <c r="K367" t="inlineStr">
        <is>
          <t>Phase J registry sync</t>
        </is>
      </c>
    </row>
    <row r="368">
      <c r="A368" s="19" t="inlineStr">
        <is>
          <t>367</t>
        </is>
      </c>
      <c r="B368" s="19" t="inlineStr">
        <is>
          <t>367</t>
        </is>
      </c>
      <c r="C368" s="19" t="n"/>
      <c r="D368" s="19" t="n"/>
      <c r="E368" s="19" t="inlineStr">
        <is>
          <t>92</t>
        </is>
      </c>
      <c r="F368" s="19" t="n"/>
      <c r="G368" s="19" t="n"/>
      <c r="H368" s="19" t="n"/>
      <c r="I368" s="19" t="n"/>
      <c r="J368" t="n">
        <v>367</v>
      </c>
      <c r="K368" t="inlineStr">
        <is>
          <t>Phase J registry sync</t>
        </is>
      </c>
    </row>
    <row r="369">
      <c r="A369" s="19" t="inlineStr">
        <is>
          <t>368</t>
        </is>
      </c>
      <c r="B369" s="19" t="inlineStr">
        <is>
          <t>368</t>
        </is>
      </c>
      <c r="C369" s="19" t="n"/>
      <c r="D369" s="19" t="n"/>
      <c r="E369" s="19" t="n"/>
      <c r="F369" s="19" t="n"/>
      <c r="G369" s="19" t="n"/>
      <c r="H369" s="19" t="n"/>
      <c r="I369" s="19" t="inlineStr">
        <is>
          <t>92</t>
        </is>
      </c>
      <c r="J369" t="n">
        <v>368</v>
      </c>
      <c r="K369" t="inlineStr">
        <is>
          <t>Phase J registry sync</t>
        </is>
      </c>
    </row>
    <row r="370">
      <c r="A370" s="19" t="inlineStr">
        <is>
          <t>369</t>
        </is>
      </c>
      <c r="B370" s="19" t="inlineStr">
        <is>
          <t>369</t>
        </is>
      </c>
      <c r="C370" s="19" t="n"/>
      <c r="D370" s="19" t="n"/>
      <c r="E370" s="19" t="n"/>
      <c r="F370" s="19" t="n"/>
      <c r="G370" s="19" t="inlineStr">
        <is>
          <t>93</t>
        </is>
      </c>
      <c r="H370" s="19" t="n"/>
      <c r="I370" s="19" t="n"/>
      <c r="J370" t="n">
        <v>369</v>
      </c>
      <c r="K370" t="inlineStr">
        <is>
          <t>Phase J registry sync</t>
        </is>
      </c>
    </row>
    <row r="371">
      <c r="A371" s="19" t="inlineStr">
        <is>
          <t>370</t>
        </is>
      </c>
      <c r="B371" s="19" t="inlineStr">
        <is>
          <t>370</t>
        </is>
      </c>
      <c r="C371" s="19" t="n"/>
      <c r="D371" s="19" t="n"/>
      <c r="E371" s="19" t="n"/>
      <c r="F371" s="19" t="n"/>
      <c r="G371" s="19" t="n"/>
      <c r="H371" s="19" t="inlineStr">
        <is>
          <t>93</t>
        </is>
      </c>
      <c r="I371" s="19" t="n"/>
      <c r="J371" t="n">
        <v>370</v>
      </c>
      <c r="K371" t="inlineStr">
        <is>
          <t>Phase J registry sync</t>
        </is>
      </c>
    </row>
    <row r="372">
      <c r="A372" s="19" t="inlineStr">
        <is>
          <t>371</t>
        </is>
      </c>
      <c r="B372" s="19" t="inlineStr">
        <is>
          <t>371</t>
        </is>
      </c>
      <c r="C372" s="19" t="n"/>
      <c r="D372" s="19" t="n"/>
      <c r="E372" s="19" t="inlineStr">
        <is>
          <t>93</t>
        </is>
      </c>
      <c r="F372" s="19" t="n"/>
      <c r="G372" s="19" t="n"/>
      <c r="H372" s="19" t="n"/>
      <c r="I372" s="19" t="n"/>
      <c r="J372" t="n">
        <v>371</v>
      </c>
      <c r="K372" t="inlineStr">
        <is>
          <t>Phase J registry sync</t>
        </is>
      </c>
    </row>
    <row r="373">
      <c r="A373" s="19" t="inlineStr">
        <is>
          <t>372</t>
        </is>
      </c>
      <c r="B373" s="19" t="inlineStr">
        <is>
          <t>372</t>
        </is>
      </c>
      <c r="C373" s="19" t="n"/>
      <c r="D373" s="19" t="n"/>
      <c r="E373" s="19" t="n"/>
      <c r="F373" s="19" t="n"/>
      <c r="G373" s="19" t="n"/>
      <c r="H373" s="19" t="n"/>
      <c r="I373" s="19" t="inlineStr">
        <is>
          <t>93</t>
        </is>
      </c>
      <c r="J373" t="n">
        <v>372</v>
      </c>
      <c r="K373" t="inlineStr">
        <is>
          <t>Phase J registry sync</t>
        </is>
      </c>
    </row>
    <row r="374">
      <c r="A374" s="19" t="inlineStr">
        <is>
          <t>373</t>
        </is>
      </c>
      <c r="B374" s="19" t="inlineStr">
        <is>
          <t>373</t>
        </is>
      </c>
      <c r="C374" s="19" t="n"/>
      <c r="D374" s="19" t="n"/>
      <c r="E374" s="19" t="n"/>
      <c r="F374" s="19" t="n"/>
      <c r="G374" s="19" t="inlineStr">
        <is>
          <t>94</t>
        </is>
      </c>
      <c r="H374" s="19" t="n"/>
      <c r="I374" s="19" t="n"/>
      <c r="J374" t="n">
        <v>373</v>
      </c>
      <c r="K374" t="inlineStr">
        <is>
          <t>Phase J registry sync</t>
        </is>
      </c>
    </row>
    <row r="375">
      <c r="A375" s="19" t="inlineStr">
        <is>
          <t>374</t>
        </is>
      </c>
      <c r="B375" s="19" t="inlineStr">
        <is>
          <t>374</t>
        </is>
      </c>
      <c r="C375" s="19" t="n"/>
      <c r="D375" s="19" t="n"/>
      <c r="E375" s="19" t="n"/>
      <c r="F375" s="19" t="n"/>
      <c r="G375" s="19" t="n"/>
      <c r="H375" s="19" t="inlineStr">
        <is>
          <t>94</t>
        </is>
      </c>
      <c r="I375" s="19" t="n"/>
      <c r="J375" t="n">
        <v>374</v>
      </c>
      <c r="K375" t="inlineStr">
        <is>
          <t>Phase J registry sync</t>
        </is>
      </c>
    </row>
    <row r="376">
      <c r="A376" s="19" t="inlineStr">
        <is>
          <t>375</t>
        </is>
      </c>
      <c r="B376" s="19" t="inlineStr">
        <is>
          <t>375</t>
        </is>
      </c>
      <c r="C376" s="19" t="n"/>
      <c r="D376" s="19" t="n"/>
      <c r="E376" s="19" t="inlineStr">
        <is>
          <t>94</t>
        </is>
      </c>
      <c r="F376" s="19" t="n"/>
      <c r="G376" s="19" t="n"/>
      <c r="H376" s="19" t="n"/>
      <c r="I376" s="19" t="n"/>
      <c r="J376" t="n">
        <v>375</v>
      </c>
      <c r="K376" t="inlineStr">
        <is>
          <t>Phase J registry sync</t>
        </is>
      </c>
    </row>
    <row r="377">
      <c r="A377" s="19" t="inlineStr">
        <is>
          <t>376</t>
        </is>
      </c>
      <c r="B377" s="19" t="inlineStr">
        <is>
          <t>376</t>
        </is>
      </c>
      <c r="C377" s="19" t="n"/>
      <c r="D377" s="19" t="n"/>
      <c r="E377" s="19" t="n"/>
      <c r="F377" s="19" t="n"/>
      <c r="G377" s="19" t="n"/>
      <c r="H377" s="19" t="n"/>
      <c r="I377" s="19" t="inlineStr">
        <is>
          <t>94</t>
        </is>
      </c>
      <c r="J377" t="n">
        <v>376</v>
      </c>
      <c r="K377" t="inlineStr">
        <is>
          <t>Phase J registry sync</t>
        </is>
      </c>
    </row>
    <row r="378">
      <c r="A378" s="19" t="inlineStr">
        <is>
          <t>377</t>
        </is>
      </c>
      <c r="B378" s="19" t="inlineStr">
        <is>
          <t>377</t>
        </is>
      </c>
      <c r="C378" s="19" t="n"/>
      <c r="D378" s="19" t="n"/>
      <c r="E378" s="19" t="n"/>
      <c r="F378" s="19" t="n"/>
      <c r="G378" s="19" t="inlineStr">
        <is>
          <t>95</t>
        </is>
      </c>
      <c r="H378" s="19" t="n"/>
      <c r="I378" s="19" t="n"/>
      <c r="J378" t="n">
        <v>377</v>
      </c>
      <c r="K378" t="inlineStr">
        <is>
          <t>Phase J registry sync</t>
        </is>
      </c>
    </row>
    <row r="379">
      <c r="A379" s="19" t="inlineStr">
        <is>
          <t>378</t>
        </is>
      </c>
      <c r="B379" s="19" t="inlineStr">
        <is>
          <t>378</t>
        </is>
      </c>
      <c r="C379" s="19" t="n"/>
      <c r="D379" s="19" t="n"/>
      <c r="E379" s="19" t="n"/>
      <c r="F379" s="19" t="n"/>
      <c r="G379" s="19" t="n"/>
      <c r="H379" s="19" t="inlineStr">
        <is>
          <t>95</t>
        </is>
      </c>
      <c r="I379" s="19" t="n"/>
      <c r="J379" t="n">
        <v>378</v>
      </c>
      <c r="K379" t="inlineStr">
        <is>
          <t>Phase J registry sync</t>
        </is>
      </c>
    </row>
    <row r="380">
      <c r="A380" s="19" t="inlineStr">
        <is>
          <t>379</t>
        </is>
      </c>
      <c r="B380" s="19" t="inlineStr">
        <is>
          <t>379</t>
        </is>
      </c>
      <c r="C380" s="19" t="n"/>
      <c r="D380" s="19" t="n"/>
      <c r="E380" s="19" t="inlineStr">
        <is>
          <t>95</t>
        </is>
      </c>
      <c r="F380" s="19" t="n"/>
      <c r="G380" s="19" t="n"/>
      <c r="H380" s="19" t="n"/>
      <c r="I380" s="19" t="n"/>
      <c r="J380" t="n">
        <v>379</v>
      </c>
      <c r="K380" t="inlineStr">
        <is>
          <t>Phase J registry sync</t>
        </is>
      </c>
    </row>
    <row r="381">
      <c r="A381" s="19" t="inlineStr">
        <is>
          <t>380</t>
        </is>
      </c>
      <c r="B381" s="19" t="inlineStr">
        <is>
          <t>380</t>
        </is>
      </c>
      <c r="C381" s="19" t="n"/>
      <c r="D381" s="19" t="n"/>
      <c r="E381" s="19" t="n"/>
      <c r="F381" s="19" t="n"/>
      <c r="G381" s="19" t="n"/>
      <c r="H381" s="19" t="n"/>
      <c r="I381" s="19" t="inlineStr">
        <is>
          <t>95</t>
        </is>
      </c>
      <c r="J381" t="n">
        <v>380</v>
      </c>
      <c r="K381" t="inlineStr">
        <is>
          <t>Phase J registry sync</t>
        </is>
      </c>
    </row>
    <row r="382">
      <c r="A382" s="19" t="inlineStr">
        <is>
          <t>381</t>
        </is>
      </c>
      <c r="B382" s="19" t="inlineStr">
        <is>
          <t>381</t>
        </is>
      </c>
      <c r="C382" s="19" t="n"/>
      <c r="D382" s="19" t="n"/>
      <c r="E382" s="19" t="n"/>
      <c r="F382" s="19" t="n"/>
      <c r="G382" s="19" t="inlineStr">
        <is>
          <t>96</t>
        </is>
      </c>
      <c r="H382" s="19" t="n"/>
      <c r="I382" s="19" t="n"/>
      <c r="J382" t="n">
        <v>381</v>
      </c>
      <c r="K382" t="inlineStr">
        <is>
          <t>Phase J registry sync</t>
        </is>
      </c>
    </row>
    <row r="383">
      <c r="A383" s="19" t="inlineStr">
        <is>
          <t>382</t>
        </is>
      </c>
      <c r="B383" s="19" t="inlineStr">
        <is>
          <t>382</t>
        </is>
      </c>
      <c r="C383" s="19" t="n"/>
      <c r="D383" s="19" t="n"/>
      <c r="E383" s="19" t="n"/>
      <c r="F383" s="19" t="n"/>
      <c r="G383" s="19" t="n"/>
      <c r="H383" s="19" t="inlineStr">
        <is>
          <t>96</t>
        </is>
      </c>
      <c r="I383" s="19" t="n"/>
      <c r="J383" t="n">
        <v>382</v>
      </c>
      <c r="K383" t="inlineStr">
        <is>
          <t>Phase J registry sync</t>
        </is>
      </c>
    </row>
    <row r="384">
      <c r="A384" s="19" t="inlineStr">
        <is>
          <t>383</t>
        </is>
      </c>
      <c r="B384" s="19" t="inlineStr">
        <is>
          <t>383</t>
        </is>
      </c>
      <c r="C384" s="19" t="n"/>
      <c r="D384" s="19" t="n"/>
      <c r="E384" s="19" t="inlineStr">
        <is>
          <t>96</t>
        </is>
      </c>
      <c r="F384" s="19" t="n"/>
      <c r="G384" s="19" t="n"/>
      <c r="H384" s="19" t="n"/>
      <c r="I384" s="19" t="n"/>
      <c r="J384" t="n">
        <v>383</v>
      </c>
      <c r="K384" t="inlineStr">
        <is>
          <t>Phase J registry sync</t>
        </is>
      </c>
    </row>
    <row r="385">
      <c r="A385" s="19" t="inlineStr">
        <is>
          <t>384</t>
        </is>
      </c>
      <c r="B385" s="19" t="inlineStr">
        <is>
          <t>384</t>
        </is>
      </c>
      <c r="C385" s="19" t="n"/>
      <c r="D385" s="19" t="n"/>
      <c r="E385" s="19" t="n"/>
      <c r="F385" s="19" t="n"/>
      <c r="G385" s="19" t="n"/>
      <c r="H385" s="19" t="n"/>
      <c r="I385" s="19" t="inlineStr">
        <is>
          <t>96</t>
        </is>
      </c>
      <c r="J385" t="n">
        <v>384</v>
      </c>
      <c r="K385" t="inlineStr">
        <is>
          <t>Phase J registry sync</t>
        </is>
      </c>
    </row>
    <row r="386">
      <c r="A386" s="19" t="inlineStr">
        <is>
          <t>385</t>
        </is>
      </c>
      <c r="B386" s="19" t="inlineStr">
        <is>
          <t>385</t>
        </is>
      </c>
      <c r="C386" s="19" t="n"/>
      <c r="D386" s="19" t="n"/>
      <c r="E386" s="19" t="n"/>
      <c r="F386" s="19" t="n"/>
      <c r="G386" s="19" t="inlineStr">
        <is>
          <t>97</t>
        </is>
      </c>
      <c r="H386" s="19" t="n"/>
      <c r="I386" s="19" t="n"/>
      <c r="J386" t="n">
        <v>385</v>
      </c>
      <c r="K386" t="inlineStr">
        <is>
          <t>Phase J registry sync</t>
        </is>
      </c>
    </row>
    <row r="387">
      <c r="A387" s="19" t="inlineStr">
        <is>
          <t>386</t>
        </is>
      </c>
      <c r="B387" s="19" t="inlineStr">
        <is>
          <t>386</t>
        </is>
      </c>
      <c r="C387" s="19" t="n"/>
      <c r="D387" s="19" t="n"/>
      <c r="E387" s="19" t="n"/>
      <c r="F387" s="19" t="n"/>
      <c r="G387" s="19" t="n"/>
      <c r="H387" s="19" t="inlineStr">
        <is>
          <t>97</t>
        </is>
      </c>
      <c r="I387" s="19" t="n"/>
      <c r="J387" t="n">
        <v>386</v>
      </c>
      <c r="K387" t="inlineStr">
        <is>
          <t>Phase J registry sync</t>
        </is>
      </c>
    </row>
    <row r="388">
      <c r="A388" s="19" t="inlineStr">
        <is>
          <t>387</t>
        </is>
      </c>
      <c r="B388" s="19" t="inlineStr">
        <is>
          <t>387</t>
        </is>
      </c>
      <c r="C388" s="19" t="n"/>
      <c r="D388" s="19" t="n"/>
      <c r="E388" s="19" t="inlineStr">
        <is>
          <t>97</t>
        </is>
      </c>
      <c r="F388" s="19" t="n"/>
      <c r="G388" s="19" t="n"/>
      <c r="H388" s="19" t="n"/>
      <c r="I388" s="19" t="n"/>
      <c r="J388" t="n">
        <v>387</v>
      </c>
      <c r="K388" t="inlineStr">
        <is>
          <t>Phase J registry sync</t>
        </is>
      </c>
    </row>
    <row r="389">
      <c r="A389" s="19" t="inlineStr">
        <is>
          <t>388</t>
        </is>
      </c>
      <c r="B389" s="19" t="inlineStr">
        <is>
          <t>388</t>
        </is>
      </c>
      <c r="C389" s="19" t="n"/>
      <c r="D389" s="19" t="n"/>
      <c r="E389" s="19" t="n"/>
      <c r="F389" s="19" t="n"/>
      <c r="G389" s="19" t="n"/>
      <c r="H389" s="19" t="n"/>
      <c r="I389" s="19" t="inlineStr">
        <is>
          <t>97</t>
        </is>
      </c>
      <c r="J389" t="n">
        <v>388</v>
      </c>
      <c r="K389" t="inlineStr">
        <is>
          <t>Phase J registry sync</t>
        </is>
      </c>
    </row>
    <row r="390">
      <c r="A390" s="19" t="inlineStr">
        <is>
          <t>389</t>
        </is>
      </c>
      <c r="B390" s="19" t="inlineStr">
        <is>
          <t>389</t>
        </is>
      </c>
      <c r="C390" s="19" t="n"/>
      <c r="D390" s="19" t="n"/>
      <c r="E390" s="19" t="n"/>
      <c r="F390" s="19" t="n"/>
      <c r="G390" s="19" t="inlineStr">
        <is>
          <t>98</t>
        </is>
      </c>
      <c r="H390" s="19" t="n"/>
      <c r="I390" s="19" t="n"/>
      <c r="J390" t="n">
        <v>389</v>
      </c>
      <c r="K390" t="inlineStr">
        <is>
          <t>Phase J registry sync</t>
        </is>
      </c>
    </row>
    <row r="391">
      <c r="A391" s="19" t="inlineStr">
        <is>
          <t>390</t>
        </is>
      </c>
      <c r="B391" s="19" t="inlineStr">
        <is>
          <t>390</t>
        </is>
      </c>
      <c r="C391" s="19" t="n"/>
      <c r="D391" s="19" t="n"/>
      <c r="E391" s="19" t="n"/>
      <c r="F391" s="19" t="n"/>
      <c r="G391" s="19" t="n"/>
      <c r="H391" s="19" t="inlineStr">
        <is>
          <t>98</t>
        </is>
      </c>
      <c r="I391" s="19" t="n"/>
      <c r="J391" t="n">
        <v>390</v>
      </c>
      <c r="K391" t="inlineStr">
        <is>
          <t>Phase J registry sync</t>
        </is>
      </c>
    </row>
    <row r="392">
      <c r="A392" s="19" t="inlineStr">
        <is>
          <t>391</t>
        </is>
      </c>
      <c r="B392" s="19" t="inlineStr">
        <is>
          <t>391</t>
        </is>
      </c>
      <c r="C392" s="19" t="n"/>
      <c r="D392" s="19" t="n"/>
      <c r="E392" s="19" t="inlineStr">
        <is>
          <t>98</t>
        </is>
      </c>
      <c r="F392" s="19" t="n"/>
      <c r="G392" s="19" t="n"/>
      <c r="H392" s="19" t="n"/>
      <c r="I392" s="19" t="n"/>
      <c r="J392" t="n">
        <v>391</v>
      </c>
      <c r="K392" t="inlineStr">
        <is>
          <t>Phase J registry sync</t>
        </is>
      </c>
    </row>
    <row r="393">
      <c r="A393" s="19" t="inlineStr">
        <is>
          <t>392</t>
        </is>
      </c>
      <c r="B393" s="19" t="inlineStr">
        <is>
          <t>392</t>
        </is>
      </c>
      <c r="C393" s="19" t="n"/>
      <c r="D393" s="19" t="n"/>
      <c r="E393" s="19" t="n"/>
      <c r="F393" s="19" t="n"/>
      <c r="G393" s="19" t="n"/>
      <c r="H393" s="19" t="n"/>
      <c r="I393" s="19" t="inlineStr">
        <is>
          <t>98</t>
        </is>
      </c>
      <c r="J393" t="n">
        <v>392</v>
      </c>
      <c r="K393" t="inlineStr">
        <is>
          <t>Phase J registry sync</t>
        </is>
      </c>
    </row>
    <row r="394">
      <c r="A394" s="19" t="inlineStr">
        <is>
          <t>393</t>
        </is>
      </c>
      <c r="B394" s="19" t="inlineStr">
        <is>
          <t>393</t>
        </is>
      </c>
      <c r="C394" s="19" t="n"/>
      <c r="D394" s="19" t="n"/>
      <c r="E394" s="19" t="n"/>
      <c r="F394" s="19" t="n"/>
      <c r="G394" s="19" t="inlineStr">
        <is>
          <t>99</t>
        </is>
      </c>
      <c r="H394" s="19" t="n"/>
      <c r="I394" s="19" t="n"/>
      <c r="J394" t="n">
        <v>393</v>
      </c>
      <c r="K394" t="inlineStr">
        <is>
          <t>Phase J registry sync</t>
        </is>
      </c>
    </row>
    <row r="395">
      <c r="A395" s="19" t="inlineStr">
        <is>
          <t>394</t>
        </is>
      </c>
      <c r="B395" s="19" t="inlineStr">
        <is>
          <t>394</t>
        </is>
      </c>
      <c r="C395" s="19" t="n"/>
      <c r="D395" s="19" t="n"/>
      <c r="E395" s="19" t="n"/>
      <c r="F395" s="19" t="n"/>
      <c r="G395" s="19" t="n"/>
      <c r="H395" s="19" t="inlineStr">
        <is>
          <t>99</t>
        </is>
      </c>
      <c r="I395" s="19" t="n"/>
      <c r="J395" t="n">
        <v>394</v>
      </c>
      <c r="K395" t="inlineStr">
        <is>
          <t>Phase J registry sync</t>
        </is>
      </c>
    </row>
    <row r="396">
      <c r="A396" s="19" t="inlineStr">
        <is>
          <t>395</t>
        </is>
      </c>
      <c r="B396" s="19" t="inlineStr">
        <is>
          <t>395</t>
        </is>
      </c>
      <c r="C396" s="19" t="n"/>
      <c r="D396" s="19" t="n"/>
      <c r="E396" s="19" t="inlineStr">
        <is>
          <t>99</t>
        </is>
      </c>
      <c r="F396" s="19" t="n"/>
      <c r="G396" s="19" t="n"/>
      <c r="H396" s="19" t="n"/>
      <c r="I396" s="19" t="n"/>
      <c r="J396" t="n">
        <v>395</v>
      </c>
      <c r="K396" t="inlineStr">
        <is>
          <t>Phase J registry sync</t>
        </is>
      </c>
    </row>
    <row r="397">
      <c r="A397" s="19" t="inlineStr">
        <is>
          <t>396</t>
        </is>
      </c>
      <c r="B397" s="19" t="inlineStr">
        <is>
          <t>396</t>
        </is>
      </c>
      <c r="C397" s="19" t="n"/>
      <c r="D397" s="19" t="n"/>
      <c r="E397" s="19" t="n"/>
      <c r="F397" s="19" t="n"/>
      <c r="G397" s="19" t="n"/>
      <c r="H397" s="19" t="n"/>
      <c r="I397" s="19" t="inlineStr">
        <is>
          <t>99</t>
        </is>
      </c>
      <c r="J397" t="n">
        <v>396</v>
      </c>
      <c r="K397" t="inlineStr">
        <is>
          <t>Phase J registry sync</t>
        </is>
      </c>
    </row>
    <row r="398">
      <c r="A398" s="19" t="inlineStr">
        <is>
          <t>397</t>
        </is>
      </c>
      <c r="B398" s="19" t="inlineStr">
        <is>
          <t>397</t>
        </is>
      </c>
      <c r="C398" s="19" t="n"/>
      <c r="D398" s="19" t="n"/>
      <c r="E398" s="19" t="n"/>
      <c r="F398" s="19" t="n"/>
      <c r="G398" s="19" t="inlineStr">
        <is>
          <t>100</t>
        </is>
      </c>
      <c r="H398" s="19" t="n"/>
      <c r="I398" s="19" t="n"/>
      <c r="J398" t="n">
        <v>397</v>
      </c>
      <c r="K398" t="inlineStr">
        <is>
          <t>Phase J registry sync</t>
        </is>
      </c>
    </row>
    <row r="399">
      <c r="A399" s="19" t="inlineStr">
        <is>
          <t>398</t>
        </is>
      </c>
      <c r="B399" s="19" t="inlineStr">
        <is>
          <t>398</t>
        </is>
      </c>
      <c r="C399" s="19" t="n"/>
      <c r="D399" s="19" t="n"/>
      <c r="E399" s="19" t="n"/>
      <c r="F399" s="19" t="n"/>
      <c r="G399" s="19" t="n"/>
      <c r="H399" s="19" t="inlineStr">
        <is>
          <t>100</t>
        </is>
      </c>
      <c r="I399" s="19" t="n"/>
      <c r="J399" t="n">
        <v>398</v>
      </c>
      <c r="K399" t="inlineStr">
        <is>
          <t>Phase J registry sync</t>
        </is>
      </c>
    </row>
    <row r="400">
      <c r="A400" s="19" t="inlineStr">
        <is>
          <t>399</t>
        </is>
      </c>
      <c r="B400" s="19" t="inlineStr">
        <is>
          <t>399</t>
        </is>
      </c>
      <c r="C400" s="19" t="n"/>
      <c r="D400" s="19" t="n"/>
      <c r="E400" s="19" t="inlineStr">
        <is>
          <t>100</t>
        </is>
      </c>
      <c r="F400" s="19" t="n"/>
      <c r="G400" s="19" t="n"/>
      <c r="H400" s="19" t="n"/>
      <c r="I400" s="19" t="n"/>
      <c r="J400" t="n">
        <v>399</v>
      </c>
      <c r="K400" t="inlineStr">
        <is>
          <t>Phase J registry sync</t>
        </is>
      </c>
    </row>
    <row r="401">
      <c r="A401" s="19" t="inlineStr">
        <is>
          <t>400</t>
        </is>
      </c>
      <c r="B401" s="19" t="inlineStr">
        <is>
          <t>400</t>
        </is>
      </c>
      <c r="C401" s="19" t="n"/>
      <c r="D401" s="19" t="n"/>
      <c r="E401" s="19" t="n"/>
      <c r="F401" s="19" t="n"/>
      <c r="G401" s="19" t="n"/>
      <c r="H401" s="19" t="n"/>
      <c r="I401" s="19" t="inlineStr">
        <is>
          <t>100</t>
        </is>
      </c>
      <c r="J401" t="n">
        <v>400</v>
      </c>
      <c r="K401" t="inlineStr">
        <is>
          <t>Phase J registry sync</t>
        </is>
      </c>
    </row>
    <row r="402">
      <c r="A402" s="19" t="inlineStr">
        <is>
          <t>401</t>
        </is>
      </c>
      <c r="B402" s="19" t="inlineStr">
        <is>
          <t>401</t>
        </is>
      </c>
      <c r="C402" s="19" t="n"/>
      <c r="D402" s="19" t="n"/>
      <c r="E402" s="19" t="n"/>
      <c r="F402" s="19" t="n"/>
      <c r="G402" s="19" t="inlineStr">
        <is>
          <t>101</t>
        </is>
      </c>
      <c r="H402" s="19" t="n"/>
      <c r="I402" s="19" t="n"/>
      <c r="J402" t="n">
        <v>401</v>
      </c>
      <c r="K402" t="inlineStr">
        <is>
          <t>Phase J registry sync</t>
        </is>
      </c>
    </row>
    <row r="403">
      <c r="A403" s="19" t="inlineStr">
        <is>
          <t>402</t>
        </is>
      </c>
      <c r="B403" s="19" t="inlineStr">
        <is>
          <t>402</t>
        </is>
      </c>
      <c r="C403" s="19" t="n"/>
      <c r="D403" s="19" t="n"/>
      <c r="E403" s="19" t="n"/>
      <c r="F403" s="19" t="n"/>
      <c r="G403" s="19" t="n"/>
      <c r="H403" s="19" t="inlineStr">
        <is>
          <t>101</t>
        </is>
      </c>
      <c r="I403" s="19" t="n"/>
      <c r="J403" t="n">
        <v>402</v>
      </c>
      <c r="K403" t="inlineStr">
        <is>
          <t>Phase J registry sync</t>
        </is>
      </c>
    </row>
    <row r="404">
      <c r="A404" s="19" t="inlineStr">
        <is>
          <t>403</t>
        </is>
      </c>
      <c r="B404" s="19" t="inlineStr">
        <is>
          <t>403</t>
        </is>
      </c>
      <c r="C404" s="19" t="n"/>
      <c r="D404" s="19" t="n"/>
      <c r="E404" s="19" t="inlineStr">
        <is>
          <t>101</t>
        </is>
      </c>
      <c r="F404" s="19" t="n"/>
      <c r="G404" s="19" t="n"/>
      <c r="H404" s="19" t="n"/>
      <c r="I404" s="19" t="n"/>
      <c r="J404" t="n">
        <v>403</v>
      </c>
      <c r="K404" t="inlineStr">
        <is>
          <t>Phase J registry sync</t>
        </is>
      </c>
    </row>
    <row r="405">
      <c r="A405" s="19" t="inlineStr">
        <is>
          <t>404</t>
        </is>
      </c>
      <c r="B405" s="19" t="inlineStr">
        <is>
          <t>404</t>
        </is>
      </c>
      <c r="C405" s="19" t="n"/>
      <c r="D405" s="19" t="n"/>
      <c r="E405" s="19" t="n"/>
      <c r="F405" s="19" t="n"/>
      <c r="G405" s="19" t="n"/>
      <c r="H405" s="19" t="n"/>
      <c r="I405" s="19" t="inlineStr">
        <is>
          <t>101</t>
        </is>
      </c>
      <c r="J405" t="n">
        <v>404</v>
      </c>
      <c r="K405" t="inlineStr">
        <is>
          <t>Phase J registry sync</t>
        </is>
      </c>
    </row>
    <row r="406">
      <c r="A406" s="19" t="inlineStr">
        <is>
          <t>405</t>
        </is>
      </c>
      <c r="B406" s="19" t="inlineStr">
        <is>
          <t>405</t>
        </is>
      </c>
      <c r="C406" s="19" t="n"/>
      <c r="D406" s="19" t="n"/>
      <c r="E406" s="19" t="n"/>
      <c r="F406" s="19" t="n"/>
      <c r="G406" s="19" t="inlineStr">
        <is>
          <t>102</t>
        </is>
      </c>
      <c r="H406" s="19" t="n"/>
      <c r="I406" s="19" t="n"/>
      <c r="J406" t="n">
        <v>405</v>
      </c>
      <c r="K406" t="inlineStr">
        <is>
          <t>Phase J registry sync</t>
        </is>
      </c>
    </row>
    <row r="407">
      <c r="A407" s="19" t="inlineStr">
        <is>
          <t>406</t>
        </is>
      </c>
      <c r="B407" s="19" t="inlineStr">
        <is>
          <t>406</t>
        </is>
      </c>
      <c r="C407" s="19" t="n"/>
      <c r="D407" s="19" t="n"/>
      <c r="E407" s="19" t="n"/>
      <c r="F407" s="19" t="n"/>
      <c r="G407" s="19" t="n"/>
      <c r="H407" s="19" t="inlineStr">
        <is>
          <t>102</t>
        </is>
      </c>
      <c r="I407" s="19" t="n"/>
      <c r="J407" t="n">
        <v>406</v>
      </c>
      <c r="K407" t="inlineStr">
        <is>
          <t>Phase J registry sync</t>
        </is>
      </c>
    </row>
    <row r="408">
      <c r="A408" s="19" t="inlineStr">
        <is>
          <t>407</t>
        </is>
      </c>
      <c r="B408" s="19" t="inlineStr">
        <is>
          <t>407</t>
        </is>
      </c>
      <c r="C408" s="19" t="n"/>
      <c r="D408" s="19" t="n"/>
      <c r="E408" s="19" t="inlineStr">
        <is>
          <t>102</t>
        </is>
      </c>
      <c r="F408" s="19" t="n"/>
      <c r="G408" s="19" t="n"/>
      <c r="H408" s="19" t="n"/>
      <c r="I408" s="19" t="n"/>
      <c r="J408" t="n">
        <v>407</v>
      </c>
      <c r="K408" t="inlineStr">
        <is>
          <t>Phase J registry sync</t>
        </is>
      </c>
    </row>
    <row r="409">
      <c r="A409" s="19" t="inlineStr">
        <is>
          <t>408</t>
        </is>
      </c>
      <c r="B409" s="19" t="inlineStr">
        <is>
          <t>408</t>
        </is>
      </c>
      <c r="C409" s="19" t="n"/>
      <c r="D409" s="19" t="n"/>
      <c r="E409" s="19" t="n"/>
      <c r="F409" s="19" t="n"/>
      <c r="G409" s="19" t="n"/>
      <c r="H409" s="19" t="n"/>
      <c r="I409" s="19" t="inlineStr">
        <is>
          <t>102</t>
        </is>
      </c>
      <c r="J409" t="n">
        <v>408</v>
      </c>
      <c r="K409" t="inlineStr">
        <is>
          <t>Phase J registry sync</t>
        </is>
      </c>
    </row>
    <row r="410">
      <c r="A410" s="19" t="inlineStr">
        <is>
          <t>409</t>
        </is>
      </c>
      <c r="B410" s="19" t="inlineStr">
        <is>
          <t>409</t>
        </is>
      </c>
      <c r="C410" s="19" t="n"/>
      <c r="D410" s="19" t="n"/>
      <c r="E410" s="19" t="n"/>
      <c r="F410" s="19" t="n"/>
      <c r="G410" s="19" t="inlineStr">
        <is>
          <t>103</t>
        </is>
      </c>
      <c r="H410" s="19" t="n"/>
      <c r="I410" s="19" t="n"/>
      <c r="J410" t="n">
        <v>409</v>
      </c>
      <c r="K410" t="inlineStr">
        <is>
          <t>Phase J registry sync</t>
        </is>
      </c>
    </row>
    <row r="411">
      <c r="A411" s="19" t="inlineStr">
        <is>
          <t>410</t>
        </is>
      </c>
      <c r="B411" s="19" t="inlineStr">
        <is>
          <t>410</t>
        </is>
      </c>
      <c r="C411" s="19" t="n"/>
      <c r="D411" s="19" t="n"/>
      <c r="E411" s="19" t="n"/>
      <c r="F411" s="19" t="n"/>
      <c r="G411" s="19" t="n"/>
      <c r="H411" s="19" t="inlineStr">
        <is>
          <t>103</t>
        </is>
      </c>
      <c r="I411" s="19" t="n"/>
      <c r="J411" t="n">
        <v>410</v>
      </c>
      <c r="K411" t="inlineStr">
        <is>
          <t>Phase J registry sync</t>
        </is>
      </c>
    </row>
    <row r="412">
      <c r="A412" s="19" t="inlineStr">
        <is>
          <t>411</t>
        </is>
      </c>
      <c r="B412" s="19" t="inlineStr">
        <is>
          <t>411</t>
        </is>
      </c>
      <c r="C412" s="19" t="n"/>
      <c r="D412" s="19" t="n"/>
      <c r="E412" s="19" t="inlineStr">
        <is>
          <t>103</t>
        </is>
      </c>
      <c r="F412" s="19" t="n"/>
      <c r="G412" s="19" t="n"/>
      <c r="H412" s="19" t="n"/>
      <c r="I412" s="19" t="n"/>
      <c r="J412" t="n">
        <v>411</v>
      </c>
      <c r="K412" t="inlineStr">
        <is>
          <t>Phase J registry sync</t>
        </is>
      </c>
    </row>
    <row r="413">
      <c r="A413" s="19" t="inlineStr">
        <is>
          <t>412</t>
        </is>
      </c>
      <c r="B413" s="19" t="inlineStr">
        <is>
          <t>412</t>
        </is>
      </c>
      <c r="C413" s="19" t="n"/>
      <c r="D413" s="19" t="n"/>
      <c r="E413" s="19" t="n"/>
      <c r="F413" s="19" t="n"/>
      <c r="G413" s="19" t="n"/>
      <c r="H413" s="19" t="n"/>
      <c r="I413" s="19" t="inlineStr">
        <is>
          <t>103</t>
        </is>
      </c>
      <c r="J413" t="n">
        <v>412</v>
      </c>
      <c r="K413" t="inlineStr">
        <is>
          <t>Phase J registry sync</t>
        </is>
      </c>
    </row>
    <row r="414">
      <c r="A414" s="19" t="inlineStr">
        <is>
          <t>413</t>
        </is>
      </c>
      <c r="B414" s="19" t="inlineStr">
        <is>
          <t>413</t>
        </is>
      </c>
      <c r="C414" s="19" t="n"/>
      <c r="D414" s="19" t="n"/>
      <c r="E414" s="19" t="n"/>
      <c r="F414" s="19" t="n"/>
      <c r="G414" s="19" t="inlineStr">
        <is>
          <t>104</t>
        </is>
      </c>
      <c r="H414" s="19" t="n"/>
      <c r="I414" s="19" t="n"/>
      <c r="J414" t="n">
        <v>413</v>
      </c>
      <c r="K414" t="inlineStr">
        <is>
          <t>Phase J registry sync</t>
        </is>
      </c>
    </row>
    <row r="415">
      <c r="A415" s="19" t="inlineStr">
        <is>
          <t>414</t>
        </is>
      </c>
      <c r="B415" s="19" t="inlineStr">
        <is>
          <t>414</t>
        </is>
      </c>
      <c r="C415" s="19" t="n"/>
      <c r="D415" s="19" t="n"/>
      <c r="E415" s="19" t="n"/>
      <c r="F415" s="19" t="n"/>
      <c r="G415" s="19" t="n"/>
      <c r="H415" s="19" t="inlineStr">
        <is>
          <t>104</t>
        </is>
      </c>
      <c r="I415" s="19" t="n"/>
      <c r="J415" t="n">
        <v>414</v>
      </c>
      <c r="K415" t="inlineStr">
        <is>
          <t>Phase J registry sync</t>
        </is>
      </c>
    </row>
    <row r="416">
      <c r="A416" s="19" t="inlineStr">
        <is>
          <t>415</t>
        </is>
      </c>
      <c r="B416" s="19" t="inlineStr">
        <is>
          <t>415</t>
        </is>
      </c>
      <c r="C416" s="19" t="n"/>
      <c r="D416" s="19" t="n"/>
      <c r="E416" s="19" t="inlineStr">
        <is>
          <t>104</t>
        </is>
      </c>
      <c r="F416" s="19" t="n"/>
      <c r="G416" s="19" t="n"/>
      <c r="H416" s="19" t="n"/>
      <c r="I416" s="19" t="n"/>
      <c r="J416" t="n">
        <v>415</v>
      </c>
      <c r="K416" t="inlineStr">
        <is>
          <t>Phase J registry sync</t>
        </is>
      </c>
    </row>
    <row r="417">
      <c r="A417" s="19" t="inlineStr">
        <is>
          <t>416</t>
        </is>
      </c>
      <c r="B417" s="19" t="inlineStr">
        <is>
          <t>416</t>
        </is>
      </c>
      <c r="C417" s="19" t="n"/>
      <c r="D417" s="19" t="n"/>
      <c r="E417" s="19" t="n"/>
      <c r="F417" s="19" t="n"/>
      <c r="G417" s="19" t="n"/>
      <c r="H417" s="19" t="n"/>
      <c r="I417" s="19" t="inlineStr">
        <is>
          <t>104</t>
        </is>
      </c>
      <c r="J417" t="n">
        <v>416</v>
      </c>
      <c r="K417" t="inlineStr">
        <is>
          <t>Phase J registry sync</t>
        </is>
      </c>
    </row>
    <row r="418">
      <c r="A418" s="19" t="inlineStr">
        <is>
          <t>417</t>
        </is>
      </c>
      <c r="B418" s="19" t="inlineStr">
        <is>
          <t>417</t>
        </is>
      </c>
      <c r="C418" s="19" t="n"/>
      <c r="D418" s="19" t="n"/>
      <c r="E418" s="19" t="n"/>
      <c r="F418" s="19" t="n"/>
      <c r="G418" s="19" t="inlineStr">
        <is>
          <t>105</t>
        </is>
      </c>
      <c r="H418" s="19" t="n"/>
      <c r="I418" s="19" t="n"/>
      <c r="J418" t="n">
        <v>417</v>
      </c>
      <c r="K418" t="inlineStr">
        <is>
          <t>Phase J registry sync</t>
        </is>
      </c>
    </row>
    <row r="419">
      <c r="A419" s="19" t="inlineStr">
        <is>
          <t>418</t>
        </is>
      </c>
      <c r="B419" s="19" t="inlineStr">
        <is>
          <t>418</t>
        </is>
      </c>
      <c r="C419" s="19" t="n"/>
      <c r="D419" s="19" t="n"/>
      <c r="E419" s="19" t="n"/>
      <c r="F419" s="19" t="n"/>
      <c r="G419" s="19" t="n"/>
      <c r="H419" s="19" t="inlineStr">
        <is>
          <t>105</t>
        </is>
      </c>
      <c r="I419" s="19" t="n"/>
      <c r="J419" t="n">
        <v>418</v>
      </c>
      <c r="K419" t="inlineStr">
        <is>
          <t>Phase J registry sync</t>
        </is>
      </c>
    </row>
    <row r="420">
      <c r="A420" s="19" t="inlineStr">
        <is>
          <t>419</t>
        </is>
      </c>
      <c r="B420" s="19" t="inlineStr">
        <is>
          <t>419</t>
        </is>
      </c>
      <c r="C420" s="19" t="n"/>
      <c r="D420" s="19" t="n"/>
      <c r="E420" s="19" t="inlineStr">
        <is>
          <t>105</t>
        </is>
      </c>
      <c r="F420" s="19" t="n"/>
      <c r="G420" s="19" t="n"/>
      <c r="H420" s="19" t="n"/>
      <c r="I420" s="19" t="n"/>
      <c r="J420" t="n">
        <v>419</v>
      </c>
      <c r="K420" t="inlineStr">
        <is>
          <t>Phase J registry sync</t>
        </is>
      </c>
    </row>
    <row r="421">
      <c r="A421" s="19" t="inlineStr">
        <is>
          <t>420</t>
        </is>
      </c>
      <c r="B421" s="19" t="inlineStr">
        <is>
          <t>420</t>
        </is>
      </c>
      <c r="C421" s="19" t="n"/>
      <c r="D421" s="19" t="n"/>
      <c r="E421" s="19" t="n"/>
      <c r="F421" s="19" t="n"/>
      <c r="G421" s="19" t="n"/>
      <c r="H421" s="19" t="n"/>
      <c r="I421" s="19" t="inlineStr">
        <is>
          <t>105</t>
        </is>
      </c>
      <c r="J421" t="n">
        <v>420</v>
      </c>
      <c r="K421" t="inlineStr">
        <is>
          <t>Phase J registry sync</t>
        </is>
      </c>
    </row>
    <row r="422">
      <c r="A422" s="19" t="inlineStr">
        <is>
          <t>421</t>
        </is>
      </c>
      <c r="B422" s="19" t="inlineStr">
        <is>
          <t>421</t>
        </is>
      </c>
      <c r="C422" s="19" t="n"/>
      <c r="D422" s="19" t="n"/>
      <c r="E422" s="19" t="n"/>
      <c r="F422" s="19" t="n"/>
      <c r="G422" s="19" t="inlineStr">
        <is>
          <t>106</t>
        </is>
      </c>
      <c r="H422" s="19" t="n"/>
      <c r="I422" s="19" t="n"/>
      <c r="J422" t="n">
        <v>421</v>
      </c>
      <c r="K422" t="inlineStr">
        <is>
          <t>Phase J registry sync</t>
        </is>
      </c>
    </row>
    <row r="423">
      <c r="A423" s="19" t="inlineStr">
        <is>
          <t>422</t>
        </is>
      </c>
      <c r="B423" s="19" t="inlineStr">
        <is>
          <t>422</t>
        </is>
      </c>
      <c r="C423" s="19" t="n"/>
      <c r="D423" s="19" t="n"/>
      <c r="E423" s="19" t="n"/>
      <c r="F423" s="19" t="n"/>
      <c r="G423" s="19" t="n"/>
      <c r="H423" s="19" t="inlineStr">
        <is>
          <t>106</t>
        </is>
      </c>
      <c r="I423" s="19" t="n"/>
      <c r="J423" t="n">
        <v>422</v>
      </c>
      <c r="K423" t="inlineStr">
        <is>
          <t>Phase J registry sync</t>
        </is>
      </c>
    </row>
    <row r="424">
      <c r="A424" s="19" t="inlineStr">
        <is>
          <t>423</t>
        </is>
      </c>
      <c r="B424" s="19" t="inlineStr">
        <is>
          <t>423</t>
        </is>
      </c>
      <c r="C424" s="19" t="n"/>
      <c r="D424" s="19" t="n"/>
      <c r="E424" s="19" t="inlineStr">
        <is>
          <t>106</t>
        </is>
      </c>
      <c r="F424" s="19" t="n"/>
      <c r="G424" s="19" t="n"/>
      <c r="H424" s="19" t="n"/>
      <c r="I424" s="19" t="n"/>
      <c r="J424" t="n">
        <v>423</v>
      </c>
      <c r="K424" t="inlineStr">
        <is>
          <t>Phase J registry sync</t>
        </is>
      </c>
    </row>
    <row r="425">
      <c r="A425" s="19" t="inlineStr">
        <is>
          <t>424</t>
        </is>
      </c>
      <c r="B425" s="19" t="inlineStr">
        <is>
          <t>424</t>
        </is>
      </c>
      <c r="C425" s="19" t="n"/>
      <c r="D425" s="19" t="n"/>
      <c r="E425" s="19" t="n"/>
      <c r="F425" s="19" t="n"/>
      <c r="G425" s="19" t="n"/>
      <c r="H425" s="19" t="n"/>
      <c r="I425" s="19" t="inlineStr">
        <is>
          <t>106</t>
        </is>
      </c>
      <c r="J425" t="n">
        <v>424</v>
      </c>
      <c r="K425" t="inlineStr">
        <is>
          <t>Phase J registry sync</t>
        </is>
      </c>
    </row>
    <row r="426">
      <c r="A426" s="19" t="inlineStr">
        <is>
          <t>425</t>
        </is>
      </c>
      <c r="B426" s="19" t="inlineStr">
        <is>
          <t>425</t>
        </is>
      </c>
      <c r="C426" s="19" t="n"/>
      <c r="D426" s="19" t="n"/>
      <c r="E426" s="19" t="n"/>
      <c r="F426" s="19" t="n"/>
      <c r="G426" s="19" t="inlineStr">
        <is>
          <t>107</t>
        </is>
      </c>
      <c r="H426" s="19" t="n"/>
      <c r="I426" s="19" t="n"/>
      <c r="J426" t="n">
        <v>425</v>
      </c>
      <c r="K426" t="inlineStr">
        <is>
          <t>Phase J registry sync</t>
        </is>
      </c>
    </row>
    <row r="427">
      <c r="A427" s="19" t="inlineStr">
        <is>
          <t>426</t>
        </is>
      </c>
      <c r="B427" s="19" t="inlineStr">
        <is>
          <t>426</t>
        </is>
      </c>
      <c r="C427" s="19" t="n"/>
      <c r="D427" s="19" t="n"/>
      <c r="E427" s="19" t="n"/>
      <c r="F427" s="19" t="n"/>
      <c r="G427" s="19" t="n"/>
      <c r="H427" s="19" t="inlineStr">
        <is>
          <t>107</t>
        </is>
      </c>
      <c r="I427" s="19" t="n"/>
      <c r="J427" t="n">
        <v>426</v>
      </c>
      <c r="K427" t="inlineStr">
        <is>
          <t>Phase J registry sync</t>
        </is>
      </c>
    </row>
    <row r="428">
      <c r="A428" s="19" t="inlineStr">
        <is>
          <t>427</t>
        </is>
      </c>
      <c r="B428" s="19" t="inlineStr">
        <is>
          <t>427</t>
        </is>
      </c>
      <c r="C428" s="19" t="n"/>
      <c r="D428" s="19" t="n"/>
      <c r="E428" s="19" t="inlineStr">
        <is>
          <t>107</t>
        </is>
      </c>
      <c r="F428" s="19" t="n"/>
      <c r="G428" s="19" t="n"/>
      <c r="H428" s="19" t="n"/>
      <c r="I428" s="19" t="n"/>
      <c r="J428" t="n">
        <v>427</v>
      </c>
      <c r="K428" t="inlineStr">
        <is>
          <t>Phase J registry sync</t>
        </is>
      </c>
    </row>
    <row r="429">
      <c r="A429" s="19" t="inlineStr">
        <is>
          <t>428</t>
        </is>
      </c>
      <c r="B429" s="19" t="inlineStr">
        <is>
          <t>428</t>
        </is>
      </c>
      <c r="C429" s="19" t="n"/>
      <c r="D429" s="19" t="n"/>
      <c r="E429" s="19" t="n"/>
      <c r="F429" s="19" t="n"/>
      <c r="G429" s="19" t="n"/>
      <c r="H429" s="19" t="n"/>
      <c r="I429" s="19" t="inlineStr">
        <is>
          <t>107</t>
        </is>
      </c>
      <c r="J429" t="n">
        <v>428</v>
      </c>
      <c r="K429" t="inlineStr">
        <is>
          <t>Phase J registry sync</t>
        </is>
      </c>
    </row>
    <row r="430">
      <c r="A430" s="19" t="inlineStr">
        <is>
          <t>429</t>
        </is>
      </c>
      <c r="B430" s="19" t="inlineStr">
        <is>
          <t>429</t>
        </is>
      </c>
      <c r="C430" s="19" t="n"/>
      <c r="D430" s="19" t="n"/>
      <c r="E430" s="19" t="n"/>
      <c r="F430" s="19" t="n"/>
      <c r="G430" s="19" t="inlineStr">
        <is>
          <t>108</t>
        </is>
      </c>
      <c r="H430" s="19" t="n"/>
      <c r="I430" s="19" t="n"/>
      <c r="J430" t="n">
        <v>429</v>
      </c>
      <c r="K430" t="inlineStr">
        <is>
          <t>Phase J registry sync</t>
        </is>
      </c>
    </row>
    <row r="431">
      <c r="A431" s="19" t="inlineStr">
        <is>
          <t>430</t>
        </is>
      </c>
      <c r="B431" s="19" t="inlineStr">
        <is>
          <t>430</t>
        </is>
      </c>
      <c r="C431" s="19" t="n"/>
      <c r="D431" s="19" t="n"/>
      <c r="E431" s="19" t="n"/>
      <c r="F431" s="19" t="n"/>
      <c r="G431" s="19" t="n"/>
      <c r="H431" s="19" t="inlineStr">
        <is>
          <t>108</t>
        </is>
      </c>
      <c r="I431" s="19" t="n"/>
      <c r="J431" t="n">
        <v>430</v>
      </c>
      <c r="K431" t="inlineStr">
        <is>
          <t>Phase J registry sync</t>
        </is>
      </c>
    </row>
    <row r="432">
      <c r="A432" s="19" t="inlineStr">
        <is>
          <t>431</t>
        </is>
      </c>
      <c r="B432" s="19" t="inlineStr">
        <is>
          <t>431</t>
        </is>
      </c>
      <c r="C432" s="19" t="n"/>
      <c r="D432" s="19" t="n"/>
      <c r="E432" s="19" t="inlineStr">
        <is>
          <t>108</t>
        </is>
      </c>
      <c r="F432" s="19" t="n"/>
      <c r="G432" s="19" t="n"/>
      <c r="H432" s="19" t="n"/>
      <c r="I432" s="19" t="n"/>
      <c r="J432" t="n">
        <v>431</v>
      </c>
      <c r="K432" t="inlineStr">
        <is>
          <t>Phase J registry sync</t>
        </is>
      </c>
    </row>
    <row r="433">
      <c r="A433" s="19" t="inlineStr">
        <is>
          <t>432</t>
        </is>
      </c>
      <c r="B433" s="19" t="inlineStr">
        <is>
          <t>432</t>
        </is>
      </c>
      <c r="C433" s="19" t="n"/>
      <c r="D433" s="19" t="n"/>
      <c r="E433" s="19" t="n"/>
      <c r="F433" s="19" t="n"/>
      <c r="G433" s="19" t="n"/>
      <c r="H433" s="19" t="n"/>
      <c r="I433" s="19" t="inlineStr">
        <is>
          <t>108</t>
        </is>
      </c>
      <c r="J433" t="n">
        <v>432</v>
      </c>
      <c r="K433" t="inlineStr">
        <is>
          <t>Phase J registry sync</t>
        </is>
      </c>
    </row>
    <row r="434">
      <c r="A434" s="19" t="inlineStr">
        <is>
          <t>433</t>
        </is>
      </c>
      <c r="B434" s="19" t="inlineStr">
        <is>
          <t>433</t>
        </is>
      </c>
      <c r="C434" s="19" t="n"/>
      <c r="D434" s="19" t="n"/>
      <c r="E434" s="19" t="n"/>
      <c r="F434" s="19" t="n"/>
      <c r="G434" s="19" t="inlineStr">
        <is>
          <t>109</t>
        </is>
      </c>
      <c r="H434" s="19" t="n"/>
      <c r="I434" s="19" t="n"/>
      <c r="J434" t="n">
        <v>433</v>
      </c>
      <c r="K434" t="inlineStr">
        <is>
          <t>Phase J registry sync</t>
        </is>
      </c>
    </row>
    <row r="435">
      <c r="A435" s="19" t="inlineStr">
        <is>
          <t>434</t>
        </is>
      </c>
      <c r="B435" s="19" t="inlineStr">
        <is>
          <t>434</t>
        </is>
      </c>
      <c r="C435" s="19" t="n"/>
      <c r="D435" s="19" t="n"/>
      <c r="E435" s="19" t="n"/>
      <c r="F435" s="19" t="n"/>
      <c r="G435" s="19" t="n"/>
      <c r="H435" s="19" t="inlineStr">
        <is>
          <t>109</t>
        </is>
      </c>
      <c r="I435" s="19" t="n"/>
      <c r="J435" t="n">
        <v>434</v>
      </c>
      <c r="K435" t="inlineStr">
        <is>
          <t>Phase J registry sync</t>
        </is>
      </c>
    </row>
    <row r="436">
      <c r="A436" s="19" t="inlineStr">
        <is>
          <t>435</t>
        </is>
      </c>
      <c r="B436" s="19" t="inlineStr">
        <is>
          <t>435</t>
        </is>
      </c>
      <c r="C436" s="19" t="n"/>
      <c r="D436" s="19" t="n"/>
      <c r="E436" s="19" t="inlineStr">
        <is>
          <t>109</t>
        </is>
      </c>
      <c r="F436" s="19" t="n"/>
      <c r="G436" s="19" t="n"/>
      <c r="H436" s="19" t="n"/>
      <c r="I436" s="19" t="n"/>
      <c r="J436" t="n">
        <v>435</v>
      </c>
      <c r="K436" t="inlineStr">
        <is>
          <t>Phase J registry sync</t>
        </is>
      </c>
    </row>
    <row r="437">
      <c r="A437" s="19" t="inlineStr">
        <is>
          <t>436</t>
        </is>
      </c>
      <c r="B437" s="19" t="inlineStr">
        <is>
          <t>436</t>
        </is>
      </c>
      <c r="C437" s="19" t="n"/>
      <c r="D437" s="19" t="n"/>
      <c r="E437" s="19" t="n"/>
      <c r="F437" s="19" t="n"/>
      <c r="G437" s="19" t="n"/>
      <c r="H437" s="19" t="n"/>
      <c r="I437" s="19" t="inlineStr">
        <is>
          <t>109</t>
        </is>
      </c>
      <c r="J437" t="n">
        <v>436</v>
      </c>
      <c r="K437" t="inlineStr">
        <is>
          <t>Phase J registry sync</t>
        </is>
      </c>
    </row>
    <row r="438">
      <c r="A438" s="19" t="inlineStr">
        <is>
          <t>437</t>
        </is>
      </c>
      <c r="B438" s="19" t="inlineStr">
        <is>
          <t>437</t>
        </is>
      </c>
      <c r="C438" s="19" t="n"/>
      <c r="D438" s="19" t="n"/>
      <c r="E438" s="19" t="n"/>
      <c r="F438" s="19" t="n"/>
      <c r="G438" s="19" t="inlineStr">
        <is>
          <t>110</t>
        </is>
      </c>
      <c r="H438" s="19" t="n"/>
      <c r="I438" s="19" t="n"/>
      <c r="J438" t="n">
        <v>437</v>
      </c>
      <c r="K438" t="inlineStr">
        <is>
          <t>Phase J registry sync</t>
        </is>
      </c>
    </row>
    <row r="439">
      <c r="A439" s="19" t="inlineStr">
        <is>
          <t>438</t>
        </is>
      </c>
      <c r="B439" s="19" t="inlineStr">
        <is>
          <t>438</t>
        </is>
      </c>
      <c r="C439" s="19" t="n"/>
      <c r="D439" s="19" t="n"/>
      <c r="E439" s="19" t="n"/>
      <c r="F439" s="19" t="n"/>
      <c r="G439" s="19" t="n"/>
      <c r="H439" s="19" t="inlineStr">
        <is>
          <t>110</t>
        </is>
      </c>
      <c r="I439" s="19" t="n"/>
      <c r="J439" t="n">
        <v>438</v>
      </c>
      <c r="K439" t="inlineStr">
        <is>
          <t>Phase J registry sync</t>
        </is>
      </c>
    </row>
    <row r="440">
      <c r="A440" s="19" t="inlineStr">
        <is>
          <t>439</t>
        </is>
      </c>
      <c r="B440" s="19" t="inlineStr">
        <is>
          <t>439</t>
        </is>
      </c>
      <c r="C440" s="19" t="n"/>
      <c r="D440" s="19" t="n"/>
      <c r="E440" s="19" t="inlineStr">
        <is>
          <t>110</t>
        </is>
      </c>
      <c r="F440" s="19" t="n"/>
      <c r="G440" s="19" t="n"/>
      <c r="H440" s="19" t="n"/>
      <c r="I440" s="19" t="n"/>
      <c r="J440" t="n">
        <v>439</v>
      </c>
      <c r="K440" t="inlineStr">
        <is>
          <t>Phase J registry sync</t>
        </is>
      </c>
    </row>
    <row r="441">
      <c r="A441" s="19" t="inlineStr">
        <is>
          <t>440</t>
        </is>
      </c>
      <c r="B441" s="19" t="inlineStr">
        <is>
          <t>440</t>
        </is>
      </c>
      <c r="C441" s="19" t="n"/>
      <c r="D441" s="19" t="n"/>
      <c r="E441" s="19" t="n"/>
      <c r="F441" s="19" t="n"/>
      <c r="G441" s="19" t="n"/>
      <c r="H441" s="19" t="n"/>
      <c r="I441" s="19" t="inlineStr">
        <is>
          <t>110</t>
        </is>
      </c>
      <c r="J441" t="n">
        <v>440</v>
      </c>
      <c r="K441" t="inlineStr">
        <is>
          <t>Phase J registry sync</t>
        </is>
      </c>
    </row>
    <row r="442">
      <c r="A442" s="19" t="inlineStr">
        <is>
          <t>441</t>
        </is>
      </c>
      <c r="B442" s="19" t="inlineStr">
        <is>
          <t>441</t>
        </is>
      </c>
      <c r="C442" s="19" t="n"/>
      <c r="D442" s="19" t="n"/>
      <c r="E442" s="19" t="n"/>
      <c r="F442" s="19" t="n"/>
      <c r="G442" s="19" t="inlineStr">
        <is>
          <t>111</t>
        </is>
      </c>
      <c r="H442" s="19" t="n"/>
      <c r="I442" s="19" t="n"/>
      <c r="J442" t="n">
        <v>441</v>
      </c>
      <c r="K442" t="inlineStr">
        <is>
          <t>Phase J registry sync</t>
        </is>
      </c>
    </row>
    <row r="443">
      <c r="A443" s="19" t="inlineStr">
        <is>
          <t>442</t>
        </is>
      </c>
      <c r="B443" s="19" t="inlineStr">
        <is>
          <t>442</t>
        </is>
      </c>
      <c r="C443" s="19" t="n"/>
      <c r="D443" s="19" t="n"/>
      <c r="E443" s="19" t="n"/>
      <c r="F443" s="19" t="n"/>
      <c r="G443" s="19" t="n"/>
      <c r="H443" s="19" t="inlineStr">
        <is>
          <t>111</t>
        </is>
      </c>
      <c r="I443" s="19" t="n"/>
      <c r="J443" t="n">
        <v>442</v>
      </c>
      <c r="K443" t="inlineStr">
        <is>
          <t>Phase J registry sync</t>
        </is>
      </c>
    </row>
    <row r="444">
      <c r="A444" s="19" t="inlineStr">
        <is>
          <t>443</t>
        </is>
      </c>
      <c r="B444" s="19" t="inlineStr">
        <is>
          <t>443</t>
        </is>
      </c>
      <c r="C444" s="19" t="n"/>
      <c r="D444" s="19" t="n"/>
      <c r="E444" s="19" t="inlineStr">
        <is>
          <t>111</t>
        </is>
      </c>
      <c r="F444" s="19" t="n"/>
      <c r="G444" s="19" t="n"/>
      <c r="H444" s="19" t="n"/>
      <c r="I444" s="19" t="n"/>
      <c r="J444" t="n">
        <v>443</v>
      </c>
      <c r="K444" t="inlineStr">
        <is>
          <t>Phase J registry sync</t>
        </is>
      </c>
    </row>
    <row r="445">
      <c r="A445" s="19" t="inlineStr">
        <is>
          <t>444</t>
        </is>
      </c>
      <c r="B445" s="19" t="inlineStr">
        <is>
          <t>444</t>
        </is>
      </c>
      <c r="C445" s="19" t="n"/>
      <c r="D445" s="19" t="n"/>
      <c r="E445" s="19" t="n"/>
      <c r="F445" s="19" t="n"/>
      <c r="G445" s="19" t="n"/>
      <c r="H445" s="19" t="n"/>
      <c r="I445" s="19" t="inlineStr">
        <is>
          <t>111</t>
        </is>
      </c>
      <c r="J445" t="n">
        <v>444</v>
      </c>
      <c r="K445" t="inlineStr">
        <is>
          <t>Phase J registry sync</t>
        </is>
      </c>
    </row>
    <row r="446">
      <c r="A446" s="19" t="inlineStr">
        <is>
          <t>445</t>
        </is>
      </c>
      <c r="B446" s="19" t="inlineStr">
        <is>
          <t>445</t>
        </is>
      </c>
      <c r="C446" s="19" t="n"/>
      <c r="D446" s="19" t="n"/>
      <c r="E446" s="19" t="n"/>
      <c r="F446" s="19" t="n"/>
      <c r="G446" s="19" t="inlineStr">
        <is>
          <t>112</t>
        </is>
      </c>
      <c r="H446" s="19" t="n"/>
      <c r="I446" s="19" t="n"/>
      <c r="J446" t="n">
        <v>445</v>
      </c>
      <c r="K446" t="inlineStr">
        <is>
          <t>Phase J registry sync</t>
        </is>
      </c>
    </row>
    <row r="447">
      <c r="A447" s="19" t="inlineStr">
        <is>
          <t>446</t>
        </is>
      </c>
      <c r="B447" s="19" t="inlineStr">
        <is>
          <t>446</t>
        </is>
      </c>
      <c r="C447" s="19" t="n"/>
      <c r="D447" s="19" t="n"/>
      <c r="E447" s="19" t="n"/>
      <c r="F447" s="19" t="n"/>
      <c r="G447" s="19" t="n"/>
      <c r="H447" s="19" t="inlineStr">
        <is>
          <t>112</t>
        </is>
      </c>
      <c r="I447" s="19" t="n"/>
      <c r="J447" t="n">
        <v>446</v>
      </c>
      <c r="K447" t="inlineStr">
        <is>
          <t>Phase J registry sync</t>
        </is>
      </c>
    </row>
    <row r="448">
      <c r="A448" s="19" t="inlineStr">
        <is>
          <t>447</t>
        </is>
      </c>
      <c r="B448" s="19" t="inlineStr">
        <is>
          <t>447</t>
        </is>
      </c>
      <c r="C448" s="19" t="n"/>
      <c r="D448" s="19" t="n"/>
      <c r="E448" s="19" t="inlineStr">
        <is>
          <t>112</t>
        </is>
      </c>
      <c r="F448" s="19" t="n"/>
      <c r="G448" s="19" t="n"/>
      <c r="H448" s="19" t="n"/>
      <c r="I448" s="19" t="n"/>
      <c r="J448" t="n">
        <v>447</v>
      </c>
      <c r="K448" t="inlineStr">
        <is>
          <t>Phase J registry sync</t>
        </is>
      </c>
    </row>
    <row r="449">
      <c r="A449" s="19" t="inlineStr">
        <is>
          <t>448</t>
        </is>
      </c>
      <c r="B449" s="19" t="inlineStr">
        <is>
          <t>448</t>
        </is>
      </c>
      <c r="C449" s="19" t="n"/>
      <c r="D449" s="19" t="n"/>
      <c r="E449" s="19" t="n"/>
      <c r="F449" s="19" t="n"/>
      <c r="G449" s="19" t="n"/>
      <c r="H449" s="19" t="n"/>
      <c r="I449" s="19" t="inlineStr">
        <is>
          <t>112</t>
        </is>
      </c>
      <c r="J449" t="n">
        <v>448</v>
      </c>
      <c r="K449" t="inlineStr">
        <is>
          <t>Phase J registry sync</t>
        </is>
      </c>
    </row>
    <row r="450">
      <c r="A450" s="19" t="inlineStr">
        <is>
          <t>449</t>
        </is>
      </c>
      <c r="B450" s="19" t="inlineStr">
        <is>
          <t>449</t>
        </is>
      </c>
      <c r="C450" s="19" t="n"/>
      <c r="D450" s="19" t="n"/>
      <c r="E450" s="19" t="n"/>
      <c r="F450" s="19" t="n"/>
      <c r="G450" s="19" t="inlineStr">
        <is>
          <t>113</t>
        </is>
      </c>
      <c r="H450" s="19" t="n"/>
      <c r="I450" s="19" t="n"/>
      <c r="J450" t="n">
        <v>449</v>
      </c>
      <c r="K450" t="inlineStr">
        <is>
          <t>Phase J registry sync</t>
        </is>
      </c>
    </row>
    <row r="451">
      <c r="A451" s="19" t="inlineStr">
        <is>
          <t>450</t>
        </is>
      </c>
      <c r="B451" s="19" t="inlineStr">
        <is>
          <t>450</t>
        </is>
      </c>
      <c r="C451" s="19" t="n"/>
      <c r="D451" s="19" t="n"/>
      <c r="E451" s="19" t="n"/>
      <c r="F451" s="19" t="n"/>
      <c r="G451" s="19" t="n"/>
      <c r="H451" s="19" t="inlineStr">
        <is>
          <t>113</t>
        </is>
      </c>
      <c r="I451" s="19" t="n"/>
      <c r="J451" t="n">
        <v>450</v>
      </c>
      <c r="K451" t="inlineStr">
        <is>
          <t>Phase J registry sync</t>
        </is>
      </c>
    </row>
    <row r="452">
      <c r="A452" s="19" t="inlineStr">
        <is>
          <t>451</t>
        </is>
      </c>
      <c r="B452" s="19" t="inlineStr">
        <is>
          <t>451</t>
        </is>
      </c>
      <c r="C452" s="19" t="n"/>
      <c r="D452" s="19" t="n"/>
      <c r="E452" s="19" t="inlineStr">
        <is>
          <t>113</t>
        </is>
      </c>
      <c r="F452" s="19" t="n"/>
      <c r="G452" s="19" t="n"/>
      <c r="H452" s="19" t="n"/>
      <c r="I452" s="19" t="n"/>
      <c r="J452" t="n">
        <v>451</v>
      </c>
      <c r="K452" t="inlineStr">
        <is>
          <t>Phase J registry sync</t>
        </is>
      </c>
    </row>
    <row r="453">
      <c r="A453" s="19" t="inlineStr">
        <is>
          <t>452</t>
        </is>
      </c>
      <c r="B453" s="19" t="inlineStr">
        <is>
          <t>452</t>
        </is>
      </c>
      <c r="C453" s="19" t="n"/>
      <c r="D453" s="19" t="n"/>
      <c r="E453" s="19" t="n"/>
      <c r="F453" s="19" t="n"/>
      <c r="G453" s="19" t="n"/>
      <c r="H453" s="19" t="n"/>
      <c r="I453" s="19" t="inlineStr">
        <is>
          <t>113</t>
        </is>
      </c>
      <c r="J453" t="n">
        <v>452</v>
      </c>
      <c r="K453" t="inlineStr">
        <is>
          <t>Phase J registry sync</t>
        </is>
      </c>
    </row>
    <row r="454">
      <c r="A454" s="19" t="inlineStr">
        <is>
          <t>453</t>
        </is>
      </c>
      <c r="B454" s="19" t="inlineStr">
        <is>
          <t>453</t>
        </is>
      </c>
      <c r="C454" s="19" t="n"/>
      <c r="D454" s="19" t="n"/>
      <c r="E454" s="19" t="n"/>
      <c r="F454" s="19" t="n"/>
      <c r="G454" s="19" t="inlineStr">
        <is>
          <t>114</t>
        </is>
      </c>
      <c r="H454" s="19" t="n"/>
      <c r="I454" s="19" t="n"/>
      <c r="J454" t="n">
        <v>453</v>
      </c>
      <c r="K454" t="inlineStr">
        <is>
          <t>Phase J registry sync</t>
        </is>
      </c>
    </row>
    <row r="455">
      <c r="A455" s="19" t="inlineStr">
        <is>
          <t>454</t>
        </is>
      </c>
      <c r="B455" s="19" t="inlineStr">
        <is>
          <t>454</t>
        </is>
      </c>
      <c r="C455" s="19" t="n"/>
      <c r="D455" s="19" t="n"/>
      <c r="E455" s="19" t="n"/>
      <c r="F455" s="19" t="n"/>
      <c r="G455" s="19" t="n"/>
      <c r="H455" s="19" t="inlineStr">
        <is>
          <t>114</t>
        </is>
      </c>
      <c r="I455" s="19" t="n"/>
      <c r="J455" t="n">
        <v>454</v>
      </c>
      <c r="K455" t="inlineStr">
        <is>
          <t>Phase J registry sync</t>
        </is>
      </c>
    </row>
    <row r="456">
      <c r="A456" s="19" t="inlineStr">
        <is>
          <t>455</t>
        </is>
      </c>
      <c r="B456" s="19" t="inlineStr">
        <is>
          <t>455</t>
        </is>
      </c>
      <c r="C456" s="19" t="n"/>
      <c r="D456" s="19" t="n"/>
      <c r="E456" s="19" t="inlineStr">
        <is>
          <t>114</t>
        </is>
      </c>
      <c r="F456" s="19" t="n"/>
      <c r="G456" s="19" t="n"/>
      <c r="H456" s="19" t="n"/>
      <c r="I456" s="19" t="n"/>
      <c r="J456" t="n">
        <v>455</v>
      </c>
      <c r="K456" t="inlineStr">
        <is>
          <t>Phase J registry sync</t>
        </is>
      </c>
    </row>
    <row r="457">
      <c r="A457" s="19" t="inlineStr">
        <is>
          <t>456</t>
        </is>
      </c>
      <c r="B457" s="19" t="inlineStr">
        <is>
          <t>456</t>
        </is>
      </c>
      <c r="C457" s="19" t="n"/>
      <c r="D457" s="19" t="n"/>
      <c r="E457" s="19" t="n"/>
      <c r="F457" s="19" t="n"/>
      <c r="G457" s="19" t="n"/>
      <c r="H457" s="19" t="n"/>
      <c r="I457" s="19" t="inlineStr">
        <is>
          <t>114</t>
        </is>
      </c>
      <c r="J457" t="n">
        <v>456</v>
      </c>
      <c r="K457" t="inlineStr">
        <is>
          <t>Phase J registry sync</t>
        </is>
      </c>
    </row>
    <row r="458">
      <c r="A458" s="19" t="inlineStr">
        <is>
          <t>457</t>
        </is>
      </c>
      <c r="B458" s="19" t="inlineStr">
        <is>
          <t>457</t>
        </is>
      </c>
      <c r="C458" s="19" t="n"/>
      <c r="D458" s="19" t="n"/>
      <c r="E458" s="19" t="n"/>
      <c r="F458" s="19" t="n"/>
      <c r="G458" s="19" t="inlineStr">
        <is>
          <t>115</t>
        </is>
      </c>
      <c r="H458" s="19" t="n"/>
      <c r="I458" s="19" t="n"/>
      <c r="J458" t="n">
        <v>457</v>
      </c>
      <c r="K458" t="inlineStr">
        <is>
          <t>Phase J registry sync</t>
        </is>
      </c>
    </row>
    <row r="459">
      <c r="A459" s="19" t="inlineStr">
        <is>
          <t>458</t>
        </is>
      </c>
      <c r="B459" s="19" t="inlineStr">
        <is>
          <t>458</t>
        </is>
      </c>
      <c r="C459" s="19" t="n"/>
      <c r="D459" s="19" t="n"/>
      <c r="E459" s="19" t="n"/>
      <c r="F459" s="19" t="n"/>
      <c r="G459" s="19" t="n"/>
      <c r="H459" s="19" t="inlineStr">
        <is>
          <t>115</t>
        </is>
      </c>
      <c r="I459" s="19" t="n"/>
      <c r="J459" t="n">
        <v>458</v>
      </c>
      <c r="K459" t="inlineStr">
        <is>
          <t>Phase J registry sync</t>
        </is>
      </c>
    </row>
    <row r="460">
      <c r="A460" s="19" t="inlineStr">
        <is>
          <t>459</t>
        </is>
      </c>
      <c r="B460" s="19" t="inlineStr">
        <is>
          <t>459</t>
        </is>
      </c>
      <c r="C460" s="19" t="n"/>
      <c r="D460" s="19" t="n"/>
      <c r="E460" s="19" t="inlineStr">
        <is>
          <t>115</t>
        </is>
      </c>
      <c r="F460" s="19" t="n"/>
      <c r="G460" s="19" t="n"/>
      <c r="H460" s="19" t="n"/>
      <c r="I460" s="19" t="n"/>
      <c r="J460" t="n">
        <v>459</v>
      </c>
      <c r="K460" t="inlineStr">
        <is>
          <t>Phase J registry sync</t>
        </is>
      </c>
    </row>
    <row r="461">
      <c r="A461" s="19" t="inlineStr">
        <is>
          <t>460</t>
        </is>
      </c>
      <c r="B461" s="19" t="inlineStr">
        <is>
          <t>460</t>
        </is>
      </c>
      <c r="C461" s="19" t="n"/>
      <c r="D461" s="19" t="n"/>
      <c r="E461" s="19" t="n"/>
      <c r="F461" s="19" t="n"/>
      <c r="G461" s="19" t="n"/>
      <c r="H461" s="19" t="n"/>
      <c r="I461" s="19" t="inlineStr">
        <is>
          <t>115</t>
        </is>
      </c>
      <c r="J461" t="n">
        <v>460</v>
      </c>
      <c r="K461" t="inlineStr">
        <is>
          <t>Phase J registry sync</t>
        </is>
      </c>
    </row>
    <row r="462">
      <c r="A462" s="19" t="inlineStr">
        <is>
          <t>461</t>
        </is>
      </c>
      <c r="B462" s="19" t="inlineStr">
        <is>
          <t>461</t>
        </is>
      </c>
      <c r="C462" s="19" t="n"/>
      <c r="D462" s="19" t="n"/>
      <c r="E462" s="19" t="n"/>
      <c r="F462" s="19" t="n"/>
      <c r="G462" s="19" t="inlineStr">
        <is>
          <t>116</t>
        </is>
      </c>
      <c r="H462" s="19" t="n"/>
      <c r="I462" s="19" t="n"/>
      <c r="J462" t="n">
        <v>461</v>
      </c>
      <c r="K462" t="inlineStr">
        <is>
          <t>Phase J registry sync</t>
        </is>
      </c>
    </row>
    <row r="463">
      <c r="A463" s="19" t="inlineStr">
        <is>
          <t>462</t>
        </is>
      </c>
      <c r="B463" s="19" t="inlineStr">
        <is>
          <t>462</t>
        </is>
      </c>
      <c r="C463" s="19" t="n"/>
      <c r="D463" s="19" t="n"/>
      <c r="E463" s="19" t="n"/>
      <c r="F463" s="19" t="n"/>
      <c r="G463" s="19" t="n"/>
      <c r="H463" s="19" t="inlineStr">
        <is>
          <t>116</t>
        </is>
      </c>
      <c r="I463" s="19" t="n"/>
      <c r="J463" t="n">
        <v>462</v>
      </c>
      <c r="K463" t="inlineStr">
        <is>
          <t>Phase J registry sync</t>
        </is>
      </c>
    </row>
    <row r="464">
      <c r="A464" s="19" t="inlineStr">
        <is>
          <t>463</t>
        </is>
      </c>
      <c r="B464" s="19" t="inlineStr">
        <is>
          <t>463</t>
        </is>
      </c>
      <c r="C464" s="19" t="n"/>
      <c r="D464" s="19" t="n"/>
      <c r="E464" s="19" t="inlineStr">
        <is>
          <t>116</t>
        </is>
      </c>
      <c r="F464" s="19" t="n"/>
      <c r="G464" s="19" t="n"/>
      <c r="H464" s="19" t="n"/>
      <c r="I464" s="19" t="n"/>
      <c r="J464" t="n">
        <v>463</v>
      </c>
      <c r="K464" t="inlineStr">
        <is>
          <t>Phase J registry sync</t>
        </is>
      </c>
    </row>
    <row r="465">
      <c r="A465" s="19" t="inlineStr">
        <is>
          <t>464</t>
        </is>
      </c>
      <c r="B465" s="19" t="inlineStr">
        <is>
          <t>464</t>
        </is>
      </c>
      <c r="C465" s="19" t="n"/>
      <c r="D465" s="19" t="n"/>
      <c r="E465" s="19" t="n"/>
      <c r="F465" s="19" t="n"/>
      <c r="G465" s="19" t="n"/>
      <c r="H465" s="19" t="n"/>
      <c r="I465" s="19" t="inlineStr">
        <is>
          <t>116</t>
        </is>
      </c>
      <c r="J465" t="n">
        <v>464</v>
      </c>
      <c r="K465" t="inlineStr">
        <is>
          <t>Phase J registry sync</t>
        </is>
      </c>
    </row>
    <row r="466">
      <c r="A466" s="19" t="inlineStr">
        <is>
          <t>465</t>
        </is>
      </c>
      <c r="B466" s="19" t="inlineStr">
        <is>
          <t>465</t>
        </is>
      </c>
      <c r="C466" s="19" t="n"/>
      <c r="D466" s="19" t="n"/>
      <c r="E466" s="19" t="n"/>
      <c r="F466" s="19" t="n"/>
      <c r="G466" s="19" t="inlineStr">
        <is>
          <t>117</t>
        </is>
      </c>
      <c r="H466" s="19" t="n"/>
      <c r="I466" s="19" t="n"/>
      <c r="J466" t="n">
        <v>465</v>
      </c>
      <c r="K466" t="inlineStr">
        <is>
          <t>Phase J registry sync</t>
        </is>
      </c>
    </row>
    <row r="467">
      <c r="A467" s="19" t="inlineStr">
        <is>
          <t>466</t>
        </is>
      </c>
      <c r="B467" s="19" t="inlineStr">
        <is>
          <t>466</t>
        </is>
      </c>
      <c r="C467" s="19" t="n"/>
      <c r="D467" s="19" t="n"/>
      <c r="E467" s="19" t="n"/>
      <c r="F467" s="19" t="n"/>
      <c r="G467" s="19" t="n"/>
      <c r="H467" s="19" t="inlineStr">
        <is>
          <t>117</t>
        </is>
      </c>
      <c r="I467" s="19" t="n"/>
      <c r="J467" t="n">
        <v>466</v>
      </c>
      <c r="K467" t="inlineStr">
        <is>
          <t>Phase J registry sync</t>
        </is>
      </c>
    </row>
    <row r="468">
      <c r="A468" s="19" t="inlineStr">
        <is>
          <t>467</t>
        </is>
      </c>
      <c r="B468" s="19" t="inlineStr">
        <is>
          <t>467</t>
        </is>
      </c>
      <c r="C468" s="19" t="n"/>
      <c r="D468" s="19" t="n"/>
      <c r="E468" s="19" t="inlineStr">
        <is>
          <t>117</t>
        </is>
      </c>
      <c r="F468" s="19" t="n"/>
      <c r="G468" s="19" t="n"/>
      <c r="H468" s="19" t="n"/>
      <c r="I468" s="19" t="n"/>
      <c r="J468" t="n">
        <v>467</v>
      </c>
      <c r="K468" t="inlineStr">
        <is>
          <t>Phase J registry sync</t>
        </is>
      </c>
    </row>
    <row r="469">
      <c r="A469" s="19" t="inlineStr">
        <is>
          <t>468</t>
        </is>
      </c>
      <c r="B469" s="19" t="inlineStr">
        <is>
          <t>468</t>
        </is>
      </c>
      <c r="C469" s="19" t="n"/>
      <c r="D469" s="19" t="n"/>
      <c r="E469" s="19" t="n"/>
      <c r="F469" s="19" t="n"/>
      <c r="G469" s="19" t="n"/>
      <c r="H469" s="19" t="n"/>
      <c r="I469" s="19" t="inlineStr">
        <is>
          <t>117</t>
        </is>
      </c>
      <c r="J469" t="n">
        <v>468</v>
      </c>
      <c r="K469" t="inlineStr">
        <is>
          <t>Phase J registry sync</t>
        </is>
      </c>
    </row>
    <row r="470">
      <c r="A470" s="19" t="inlineStr">
        <is>
          <t>469</t>
        </is>
      </c>
      <c r="B470" s="19" t="inlineStr">
        <is>
          <t>469</t>
        </is>
      </c>
      <c r="C470" s="19" t="n"/>
      <c r="D470" s="19" t="n"/>
      <c r="E470" s="19" t="n"/>
      <c r="F470" s="19" t="n"/>
      <c r="G470" s="19" t="inlineStr">
        <is>
          <t>118</t>
        </is>
      </c>
      <c r="H470" s="19" t="n"/>
      <c r="I470" s="19" t="n"/>
      <c r="J470" t="n">
        <v>469</v>
      </c>
      <c r="K470" t="inlineStr">
        <is>
          <t>Phase J registry sync</t>
        </is>
      </c>
    </row>
    <row r="471">
      <c r="A471" s="19" t="inlineStr">
        <is>
          <t>470</t>
        </is>
      </c>
      <c r="B471" s="19" t="inlineStr">
        <is>
          <t>470</t>
        </is>
      </c>
      <c r="C471" s="19" t="n"/>
      <c r="D471" s="19" t="n"/>
      <c r="E471" s="19" t="n"/>
      <c r="F471" s="19" t="n"/>
      <c r="G471" s="19" t="n"/>
      <c r="H471" s="19" t="inlineStr">
        <is>
          <t>118</t>
        </is>
      </c>
      <c r="I471" s="19" t="n"/>
      <c r="J471" t="n">
        <v>470</v>
      </c>
      <c r="K471" t="inlineStr">
        <is>
          <t>Phase J registry sync</t>
        </is>
      </c>
    </row>
    <row r="472">
      <c r="A472" s="19" t="inlineStr">
        <is>
          <t>471</t>
        </is>
      </c>
      <c r="B472" s="19" t="inlineStr">
        <is>
          <t>471</t>
        </is>
      </c>
      <c r="C472" s="19" t="n"/>
      <c r="D472" s="19" t="n"/>
      <c r="E472" s="19" t="inlineStr">
        <is>
          <t>118</t>
        </is>
      </c>
      <c r="F472" s="19" t="n"/>
      <c r="G472" s="19" t="n"/>
      <c r="H472" s="19" t="n"/>
      <c r="I472" s="19" t="n"/>
      <c r="J472" t="n">
        <v>471</v>
      </c>
      <c r="K472" t="inlineStr">
        <is>
          <t>Phase J registry sync</t>
        </is>
      </c>
    </row>
    <row r="473">
      <c r="A473" s="19" t="inlineStr">
        <is>
          <t>472</t>
        </is>
      </c>
      <c r="B473" s="19" t="inlineStr">
        <is>
          <t>472</t>
        </is>
      </c>
      <c r="C473" s="19" t="n"/>
      <c r="D473" s="19" t="n"/>
      <c r="E473" s="19" t="n"/>
      <c r="F473" s="19" t="n"/>
      <c r="G473" s="19" t="n"/>
      <c r="H473" s="19" t="n"/>
      <c r="I473" s="19" t="inlineStr">
        <is>
          <t>118</t>
        </is>
      </c>
      <c r="J473" t="n">
        <v>472</v>
      </c>
      <c r="K473" t="inlineStr">
        <is>
          <t>Phase J registry sync</t>
        </is>
      </c>
    </row>
    <row r="474">
      <c r="A474" s="19" t="inlineStr">
        <is>
          <t>473</t>
        </is>
      </c>
      <c r="B474" s="19" t="inlineStr">
        <is>
          <t>473</t>
        </is>
      </c>
      <c r="C474" s="19" t="n"/>
      <c r="D474" s="19" t="n"/>
      <c r="E474" s="19" t="n"/>
      <c r="F474" s="19" t="n"/>
      <c r="G474" s="19" t="inlineStr">
        <is>
          <t>119</t>
        </is>
      </c>
      <c r="H474" s="19" t="n"/>
      <c r="I474" s="19" t="n"/>
      <c r="J474" t="n">
        <v>473</v>
      </c>
      <c r="K474" t="inlineStr">
        <is>
          <t>Phase J registry sync</t>
        </is>
      </c>
    </row>
    <row r="475">
      <c r="A475" s="19" t="inlineStr">
        <is>
          <t>474</t>
        </is>
      </c>
      <c r="B475" s="19" t="inlineStr">
        <is>
          <t>474</t>
        </is>
      </c>
      <c r="C475" s="19" t="n"/>
      <c r="D475" s="19" t="n"/>
      <c r="E475" s="19" t="n"/>
      <c r="F475" s="19" t="n"/>
      <c r="G475" s="19" t="n"/>
      <c r="H475" s="19" t="inlineStr">
        <is>
          <t>119</t>
        </is>
      </c>
      <c r="I475" s="19" t="n"/>
      <c r="J475" t="n">
        <v>474</v>
      </c>
      <c r="K475" t="inlineStr">
        <is>
          <t>Phase J registry sync</t>
        </is>
      </c>
    </row>
    <row r="476">
      <c r="A476" s="19" t="inlineStr">
        <is>
          <t>475</t>
        </is>
      </c>
      <c r="B476" s="19" t="inlineStr">
        <is>
          <t>475</t>
        </is>
      </c>
      <c r="C476" s="19" t="n"/>
      <c r="D476" s="19" t="n"/>
      <c r="E476" s="19" t="inlineStr">
        <is>
          <t>119</t>
        </is>
      </c>
      <c r="F476" s="19" t="n"/>
      <c r="G476" s="19" t="n"/>
      <c r="H476" s="19" t="n"/>
      <c r="I476" s="19" t="n"/>
      <c r="J476" t="n">
        <v>475</v>
      </c>
      <c r="K476" t="inlineStr">
        <is>
          <t>Phase J registry sync</t>
        </is>
      </c>
    </row>
    <row r="477">
      <c r="A477" s="19" t="inlineStr">
        <is>
          <t>476</t>
        </is>
      </c>
      <c r="B477" s="19" t="inlineStr">
        <is>
          <t>476</t>
        </is>
      </c>
      <c r="C477" s="19" t="n"/>
      <c r="D477" s="19" t="n"/>
      <c r="E477" s="19" t="n"/>
      <c r="F477" s="19" t="n"/>
      <c r="G477" s="19" t="n"/>
      <c r="H477" s="19" t="n"/>
      <c r="I477" s="19" t="inlineStr">
        <is>
          <t>119</t>
        </is>
      </c>
      <c r="J477" t="n">
        <v>476</v>
      </c>
      <c r="K477" t="inlineStr">
        <is>
          <t>Phase J registry sync</t>
        </is>
      </c>
    </row>
    <row r="478">
      <c r="A478" s="19" t="inlineStr">
        <is>
          <t>477</t>
        </is>
      </c>
      <c r="B478" s="19" t="inlineStr">
        <is>
          <t>477</t>
        </is>
      </c>
      <c r="C478" s="19" t="n"/>
      <c r="D478" s="19" t="n"/>
      <c r="E478" s="19" t="n"/>
      <c r="F478" s="19" t="n"/>
      <c r="G478" s="19" t="inlineStr">
        <is>
          <t>120</t>
        </is>
      </c>
      <c r="H478" s="19" t="n"/>
      <c r="I478" s="19" t="n"/>
      <c r="J478" t="n">
        <v>477</v>
      </c>
      <c r="K478" t="inlineStr">
        <is>
          <t>Phase J registry sync</t>
        </is>
      </c>
    </row>
    <row r="479">
      <c r="A479" s="19" t="inlineStr">
        <is>
          <t>478</t>
        </is>
      </c>
      <c r="B479" s="19" t="inlineStr">
        <is>
          <t>478</t>
        </is>
      </c>
      <c r="C479" s="19" t="n"/>
      <c r="D479" s="19" t="n"/>
      <c r="E479" s="19" t="n"/>
      <c r="F479" s="19" t="n"/>
      <c r="G479" s="19" t="n"/>
      <c r="H479" s="19" t="inlineStr">
        <is>
          <t>120</t>
        </is>
      </c>
      <c r="I479" s="19" t="n"/>
      <c r="J479" t="n">
        <v>478</v>
      </c>
      <c r="K479" t="inlineStr">
        <is>
          <t>Phase J registry sync</t>
        </is>
      </c>
    </row>
    <row r="480">
      <c r="A480" s="19" t="inlineStr">
        <is>
          <t>479</t>
        </is>
      </c>
      <c r="B480" s="19" t="inlineStr">
        <is>
          <t>479</t>
        </is>
      </c>
      <c r="C480" s="19" t="n"/>
      <c r="D480" s="19" t="n"/>
      <c r="E480" s="19" t="inlineStr">
        <is>
          <t>120</t>
        </is>
      </c>
      <c r="F480" s="19" t="n"/>
      <c r="G480" s="19" t="n"/>
      <c r="H480" s="19" t="n"/>
      <c r="I480" s="19" t="n"/>
      <c r="J480" t="n">
        <v>479</v>
      </c>
      <c r="K480" t="inlineStr">
        <is>
          <t>Phase J registry sync</t>
        </is>
      </c>
    </row>
    <row r="481">
      <c r="A481" s="19" t="inlineStr">
        <is>
          <t>480</t>
        </is>
      </c>
      <c r="B481" s="19" t="inlineStr">
        <is>
          <t>480</t>
        </is>
      </c>
      <c r="C481" s="19" t="n"/>
      <c r="D481" s="19" t="n"/>
      <c r="E481" s="19" t="n"/>
      <c r="F481" s="19" t="n"/>
      <c r="G481" s="19" t="n"/>
      <c r="H481" s="19" t="n"/>
      <c r="I481" s="19" t="inlineStr">
        <is>
          <t>120</t>
        </is>
      </c>
      <c r="J481" t="n">
        <v>480</v>
      </c>
      <c r="K481" t="inlineStr">
        <is>
          <t>Phase J registry sync</t>
        </is>
      </c>
    </row>
    <row r="482">
      <c r="A482" s="19" t="inlineStr">
        <is>
          <t>481</t>
        </is>
      </c>
      <c r="B482" s="19" t="inlineStr">
        <is>
          <t>481</t>
        </is>
      </c>
      <c r="C482" s="19" t="n"/>
      <c r="D482" s="19" t="n"/>
      <c r="E482" s="19" t="n"/>
      <c r="F482" s="19" t="n"/>
      <c r="G482" s="19" t="inlineStr">
        <is>
          <t>121</t>
        </is>
      </c>
      <c r="H482" s="19" t="n"/>
      <c r="I482" s="19" t="n"/>
      <c r="J482" t="n">
        <v>481</v>
      </c>
      <c r="K482" t="inlineStr">
        <is>
          <t>Phase J registry sync</t>
        </is>
      </c>
    </row>
    <row r="483">
      <c r="A483" s="19" t="inlineStr">
        <is>
          <t>482</t>
        </is>
      </c>
      <c r="B483" s="19" t="inlineStr">
        <is>
          <t>482</t>
        </is>
      </c>
      <c r="C483" s="19" t="n"/>
      <c r="D483" s="19" t="n"/>
      <c r="E483" s="19" t="n"/>
      <c r="F483" s="19" t="n"/>
      <c r="G483" s="19" t="n"/>
      <c r="H483" s="19" t="inlineStr">
        <is>
          <t>121</t>
        </is>
      </c>
      <c r="I483" s="19" t="n"/>
      <c r="J483" t="n">
        <v>482</v>
      </c>
      <c r="K483" t="inlineStr">
        <is>
          <t>Phase J registry sync</t>
        </is>
      </c>
    </row>
    <row r="484">
      <c r="A484" s="19" t="inlineStr">
        <is>
          <t>483</t>
        </is>
      </c>
      <c r="B484" s="19" t="inlineStr">
        <is>
          <t>483</t>
        </is>
      </c>
      <c r="C484" s="19" t="n"/>
      <c r="D484" s="19" t="n"/>
      <c r="E484" s="19" t="inlineStr">
        <is>
          <t>121</t>
        </is>
      </c>
      <c r="F484" s="19" t="n"/>
      <c r="G484" s="19" t="n"/>
      <c r="H484" s="19" t="n"/>
      <c r="I484" s="19" t="n"/>
      <c r="J484" t="n">
        <v>483</v>
      </c>
      <c r="K484" t="inlineStr">
        <is>
          <t>Phase J registry sync</t>
        </is>
      </c>
    </row>
    <row r="485">
      <c r="A485" s="19" t="inlineStr">
        <is>
          <t>484</t>
        </is>
      </c>
      <c r="B485" s="19" t="inlineStr">
        <is>
          <t>484</t>
        </is>
      </c>
      <c r="C485" s="19" t="n"/>
      <c r="D485" s="19" t="n"/>
      <c r="E485" s="19" t="n"/>
      <c r="F485" s="19" t="n"/>
      <c r="G485" s="19" t="n"/>
      <c r="H485" s="19" t="n"/>
      <c r="I485" s="19" t="inlineStr">
        <is>
          <t>121</t>
        </is>
      </c>
      <c r="J485" t="n">
        <v>484</v>
      </c>
      <c r="K485" t="inlineStr">
        <is>
          <t>Phase J registry sync</t>
        </is>
      </c>
    </row>
    <row r="486">
      <c r="A486" s="19" t="inlineStr">
        <is>
          <t>485</t>
        </is>
      </c>
      <c r="B486" s="19" t="inlineStr">
        <is>
          <t>485</t>
        </is>
      </c>
      <c r="C486" s="19" t="n"/>
      <c r="D486" s="19" t="n"/>
      <c r="E486" s="19" t="n"/>
      <c r="F486" s="19" t="n"/>
      <c r="G486" s="19" t="inlineStr">
        <is>
          <t>122</t>
        </is>
      </c>
      <c r="H486" s="19" t="n"/>
      <c r="I486" s="19" t="n"/>
      <c r="J486" t="n">
        <v>485</v>
      </c>
      <c r="K486" t="inlineStr">
        <is>
          <t>Phase J registry sync</t>
        </is>
      </c>
    </row>
    <row r="487">
      <c r="A487" s="19" t="inlineStr">
        <is>
          <t>486</t>
        </is>
      </c>
      <c r="B487" s="19" t="inlineStr">
        <is>
          <t>486</t>
        </is>
      </c>
      <c r="C487" s="19" t="n"/>
      <c r="D487" s="19" t="n"/>
      <c r="E487" s="19" t="n"/>
      <c r="F487" s="19" t="n"/>
      <c r="G487" s="19" t="n"/>
      <c r="H487" s="19" t="inlineStr">
        <is>
          <t>122</t>
        </is>
      </c>
      <c r="I487" s="19" t="n"/>
      <c r="J487" t="n">
        <v>486</v>
      </c>
      <c r="K487" t="inlineStr">
        <is>
          <t>Phase J registry sync</t>
        </is>
      </c>
    </row>
    <row r="488">
      <c r="A488" s="19" t="inlineStr">
        <is>
          <t>487</t>
        </is>
      </c>
      <c r="B488" s="19" t="inlineStr">
        <is>
          <t>487</t>
        </is>
      </c>
      <c r="C488" s="19" t="n"/>
      <c r="D488" s="19" t="n"/>
      <c r="E488" s="19" t="inlineStr">
        <is>
          <t>122</t>
        </is>
      </c>
      <c r="F488" s="19" t="n"/>
      <c r="G488" s="19" t="n"/>
      <c r="H488" s="19" t="n"/>
      <c r="I488" s="19" t="n"/>
      <c r="J488" t="n">
        <v>487</v>
      </c>
      <c r="K488" t="inlineStr">
        <is>
          <t>Phase J registry sync</t>
        </is>
      </c>
    </row>
    <row r="489">
      <c r="A489" s="19" t="inlineStr">
        <is>
          <t>488</t>
        </is>
      </c>
      <c r="B489" s="19" t="inlineStr">
        <is>
          <t>488</t>
        </is>
      </c>
      <c r="C489" s="19" t="n"/>
      <c r="D489" s="19" t="n"/>
      <c r="E489" s="19" t="n"/>
      <c r="F489" s="19" t="n"/>
      <c r="G489" s="19" t="n"/>
      <c r="H489" s="19" t="n"/>
      <c r="I489" s="19" t="inlineStr">
        <is>
          <t>122</t>
        </is>
      </c>
      <c r="J489" t="n">
        <v>488</v>
      </c>
      <c r="K489" t="inlineStr">
        <is>
          <t>Phase J registry sync</t>
        </is>
      </c>
    </row>
    <row r="490">
      <c r="A490" s="19" t="inlineStr">
        <is>
          <t>489</t>
        </is>
      </c>
      <c r="B490" s="19" t="inlineStr">
        <is>
          <t>489</t>
        </is>
      </c>
      <c r="C490" s="19" t="n"/>
      <c r="D490" s="19" t="n"/>
      <c r="E490" s="19" t="n"/>
      <c r="F490" s="19" t="n"/>
      <c r="G490" s="19" t="inlineStr">
        <is>
          <t>123</t>
        </is>
      </c>
      <c r="H490" s="19" t="n"/>
      <c r="I490" s="19" t="n"/>
      <c r="J490" t="n">
        <v>489</v>
      </c>
      <c r="K490" t="inlineStr">
        <is>
          <t>Phase J registry sync</t>
        </is>
      </c>
    </row>
    <row r="491">
      <c r="A491" s="19" t="inlineStr">
        <is>
          <t>490</t>
        </is>
      </c>
      <c r="B491" s="19" t="inlineStr">
        <is>
          <t>490</t>
        </is>
      </c>
      <c r="C491" s="19" t="n"/>
      <c r="D491" s="19" t="n"/>
      <c r="E491" s="19" t="n"/>
      <c r="F491" s="19" t="n"/>
      <c r="G491" s="19" t="n"/>
      <c r="H491" s="19" t="inlineStr">
        <is>
          <t>123</t>
        </is>
      </c>
      <c r="I491" s="19" t="n"/>
      <c r="J491" t="n">
        <v>490</v>
      </c>
      <c r="K491" t="inlineStr">
        <is>
          <t>Phase J registry sync</t>
        </is>
      </c>
    </row>
    <row r="492">
      <c r="A492" s="19" t="inlineStr">
        <is>
          <t>491</t>
        </is>
      </c>
      <c r="B492" s="19" t="inlineStr">
        <is>
          <t>491</t>
        </is>
      </c>
      <c r="C492" s="19" t="n"/>
      <c r="D492" s="19" t="n"/>
      <c r="E492" s="19" t="inlineStr">
        <is>
          <t>123</t>
        </is>
      </c>
      <c r="F492" s="19" t="n"/>
      <c r="G492" s="19" t="n"/>
      <c r="H492" s="19" t="n"/>
      <c r="I492" s="19" t="n"/>
      <c r="J492" t="n">
        <v>491</v>
      </c>
      <c r="K492" t="inlineStr">
        <is>
          <t>Phase J registry sync</t>
        </is>
      </c>
    </row>
    <row r="493">
      <c r="A493" s="19" t="inlineStr">
        <is>
          <t>492</t>
        </is>
      </c>
      <c r="B493" s="19" t="inlineStr">
        <is>
          <t>492</t>
        </is>
      </c>
      <c r="C493" s="19" t="n"/>
      <c r="D493" s="19" t="n"/>
      <c r="E493" s="19" t="n"/>
      <c r="F493" s="19" t="n"/>
      <c r="G493" s="19" t="n"/>
      <c r="H493" s="19" t="n"/>
      <c r="I493" s="19" t="inlineStr">
        <is>
          <t>123</t>
        </is>
      </c>
      <c r="J493" t="n">
        <v>492</v>
      </c>
      <c r="K493" t="inlineStr">
        <is>
          <t>Phase J registry sync</t>
        </is>
      </c>
    </row>
    <row r="494">
      <c r="A494" s="19" t="inlineStr">
        <is>
          <t>493</t>
        </is>
      </c>
      <c r="B494" s="19" t="inlineStr">
        <is>
          <t>493</t>
        </is>
      </c>
      <c r="C494" s="19" t="n"/>
      <c r="D494" s="19" t="n"/>
      <c r="E494" s="19" t="n"/>
      <c r="F494" s="19" t="n"/>
      <c r="G494" s="19" t="inlineStr">
        <is>
          <t>124</t>
        </is>
      </c>
      <c r="H494" s="19" t="n"/>
      <c r="I494" s="19" t="n"/>
      <c r="J494" t="n">
        <v>493</v>
      </c>
      <c r="K494" t="inlineStr">
        <is>
          <t>Phase J registry sync</t>
        </is>
      </c>
    </row>
    <row r="495">
      <c r="A495" s="19" t="inlineStr">
        <is>
          <t>494</t>
        </is>
      </c>
      <c r="B495" s="19" t="inlineStr">
        <is>
          <t>494</t>
        </is>
      </c>
      <c r="C495" s="19" t="n"/>
      <c r="D495" s="19" t="n"/>
      <c r="E495" s="19" t="n"/>
      <c r="F495" s="19" t="n"/>
      <c r="G495" s="19" t="n"/>
      <c r="H495" s="19" t="inlineStr">
        <is>
          <t>124</t>
        </is>
      </c>
      <c r="I495" s="19" t="n"/>
      <c r="J495" t="n">
        <v>494</v>
      </c>
      <c r="K495" t="inlineStr">
        <is>
          <t>Phase J registry sync</t>
        </is>
      </c>
    </row>
    <row r="496">
      <c r="A496" s="19" t="inlineStr">
        <is>
          <t>495</t>
        </is>
      </c>
      <c r="B496" s="19" t="inlineStr">
        <is>
          <t>495</t>
        </is>
      </c>
      <c r="C496" s="19" t="n"/>
      <c r="D496" s="19" t="n"/>
      <c r="E496" s="19" t="inlineStr">
        <is>
          <t>124</t>
        </is>
      </c>
      <c r="F496" s="19" t="n"/>
      <c r="G496" s="19" t="n"/>
      <c r="H496" s="19" t="n"/>
      <c r="I496" s="19" t="n"/>
      <c r="J496" t="n">
        <v>495</v>
      </c>
      <c r="K496" t="inlineStr">
        <is>
          <t>Phase J registry sync</t>
        </is>
      </c>
    </row>
    <row r="497">
      <c r="A497" s="19" t="inlineStr">
        <is>
          <t>496</t>
        </is>
      </c>
      <c r="B497" s="19" t="inlineStr">
        <is>
          <t>496</t>
        </is>
      </c>
      <c r="C497" s="19" t="n"/>
      <c r="D497" s="19" t="n"/>
      <c r="E497" s="19" t="n"/>
      <c r="F497" s="19" t="n"/>
      <c r="G497" s="19" t="n"/>
      <c r="H497" s="19" t="n"/>
      <c r="I497" s="19" t="inlineStr">
        <is>
          <t>124</t>
        </is>
      </c>
      <c r="J497" t="n">
        <v>496</v>
      </c>
      <c r="K497" t="inlineStr">
        <is>
          <t>Phase J registry sync</t>
        </is>
      </c>
    </row>
    <row r="498">
      <c r="A498" s="19" t="inlineStr">
        <is>
          <t>497</t>
        </is>
      </c>
      <c r="B498" s="19" t="inlineStr">
        <is>
          <t>497</t>
        </is>
      </c>
      <c r="C498" s="19" t="n"/>
      <c r="D498" s="19" t="n"/>
      <c r="E498" s="19" t="n"/>
      <c r="F498" s="19" t="n"/>
      <c r="G498" s="19" t="inlineStr">
        <is>
          <t>125</t>
        </is>
      </c>
      <c r="H498" s="19" t="n"/>
      <c r="I498" s="19" t="n"/>
      <c r="J498" t="n">
        <v>497</v>
      </c>
      <c r="K498" t="inlineStr">
        <is>
          <t>Phase J registry sync</t>
        </is>
      </c>
    </row>
    <row r="499">
      <c r="A499" s="19" t="inlineStr">
        <is>
          <t>498</t>
        </is>
      </c>
      <c r="B499" s="19" t="inlineStr">
        <is>
          <t>498</t>
        </is>
      </c>
      <c r="C499" s="19" t="n"/>
      <c r="D499" s="19" t="n"/>
      <c r="E499" s="19" t="n"/>
      <c r="F499" s="19" t="n"/>
      <c r="G499" s="19" t="n"/>
      <c r="H499" s="19" t="inlineStr">
        <is>
          <t>125</t>
        </is>
      </c>
      <c r="I499" s="19" t="n"/>
      <c r="J499" t="n">
        <v>498</v>
      </c>
      <c r="K499" t="inlineStr">
        <is>
          <t>Phase J registry sync</t>
        </is>
      </c>
    </row>
    <row r="500">
      <c r="A500" s="19" t="inlineStr">
        <is>
          <t>499</t>
        </is>
      </c>
      <c r="B500" s="19" t="inlineStr">
        <is>
          <t>499</t>
        </is>
      </c>
      <c r="C500" s="19" t="n"/>
      <c r="D500" s="19" t="n"/>
      <c r="E500" s="19" t="inlineStr">
        <is>
          <t>125</t>
        </is>
      </c>
      <c r="F500" s="19" t="n"/>
      <c r="G500" s="19" t="n"/>
      <c r="H500" s="19" t="n"/>
      <c r="I500" s="19" t="n"/>
      <c r="J500" t="n">
        <v>499</v>
      </c>
      <c r="K500" t="inlineStr">
        <is>
          <t>Phase J registry sync</t>
        </is>
      </c>
    </row>
    <row r="501">
      <c r="A501" s="19" t="inlineStr">
        <is>
          <t>500</t>
        </is>
      </c>
      <c r="B501" s="19" t="inlineStr">
        <is>
          <t>500</t>
        </is>
      </c>
      <c r="C501" s="19" t="n"/>
      <c r="D501" s="19" t="n"/>
      <c r="E501" s="19" t="n"/>
      <c r="F501" s="19" t="n"/>
      <c r="G501" s="19" t="n"/>
      <c r="H501" s="19" t="n"/>
      <c r="I501" s="19" t="inlineStr">
        <is>
          <t>125</t>
        </is>
      </c>
      <c r="J501" t="n">
        <v>500</v>
      </c>
      <c r="K501" t="inlineStr">
        <is>
          <t>Phase J registry sync</t>
        </is>
      </c>
    </row>
    <row r="502">
      <c r="A502" s="19" t="inlineStr">
        <is>
          <t>501</t>
        </is>
      </c>
      <c r="B502" s="19" t="inlineStr">
        <is>
          <t>501</t>
        </is>
      </c>
      <c r="C502" s="19" t="n"/>
      <c r="D502" s="19" t="n"/>
      <c r="E502" s="19" t="n"/>
      <c r="F502" s="19" t="n"/>
      <c r="G502" s="19" t="inlineStr">
        <is>
          <t>126</t>
        </is>
      </c>
      <c r="H502" s="19" t="n"/>
      <c r="I502" s="19" t="n"/>
      <c r="J502" t="n">
        <v>501</v>
      </c>
      <c r="K502" t="inlineStr">
        <is>
          <t>Phase J registry sync</t>
        </is>
      </c>
    </row>
    <row r="503">
      <c r="A503" s="19" t="inlineStr">
        <is>
          <t>502</t>
        </is>
      </c>
      <c r="B503" s="19" t="inlineStr">
        <is>
          <t>502</t>
        </is>
      </c>
      <c r="C503" s="19" t="n"/>
      <c r="D503" s="19" t="n"/>
      <c r="E503" s="19" t="n"/>
      <c r="F503" s="19" t="n"/>
      <c r="G503" s="19" t="n"/>
      <c r="H503" s="19" t="inlineStr">
        <is>
          <t>126</t>
        </is>
      </c>
      <c r="I503" s="19" t="n"/>
      <c r="J503" t="n">
        <v>502</v>
      </c>
      <c r="K503" t="inlineStr">
        <is>
          <t>Phase J registry sync</t>
        </is>
      </c>
    </row>
    <row r="504">
      <c r="A504" s="19" t="inlineStr">
        <is>
          <t>503</t>
        </is>
      </c>
      <c r="B504" s="19" t="inlineStr">
        <is>
          <t>503</t>
        </is>
      </c>
      <c r="C504" s="19" t="n"/>
      <c r="D504" s="19" t="n"/>
      <c r="E504" s="19" t="inlineStr">
        <is>
          <t>126</t>
        </is>
      </c>
      <c r="F504" s="19" t="n"/>
      <c r="G504" s="19" t="n"/>
      <c r="H504" s="19" t="n"/>
      <c r="I504" s="19" t="n"/>
      <c r="J504" t="n">
        <v>503</v>
      </c>
      <c r="K504" t="inlineStr">
        <is>
          <t>Phase J registry sync</t>
        </is>
      </c>
    </row>
    <row r="505">
      <c r="A505" s="19" t="inlineStr">
        <is>
          <t>504</t>
        </is>
      </c>
      <c r="B505" s="19" t="inlineStr">
        <is>
          <t>504</t>
        </is>
      </c>
      <c r="C505" s="19" t="n"/>
      <c r="D505" s="19" t="n"/>
      <c r="E505" s="19" t="n"/>
      <c r="F505" s="19" t="n"/>
      <c r="G505" s="19" t="n"/>
      <c r="H505" s="19" t="n"/>
      <c r="I505" s="19" t="inlineStr">
        <is>
          <t>126</t>
        </is>
      </c>
      <c r="J505" t="n">
        <v>504</v>
      </c>
      <c r="K505" t="inlineStr">
        <is>
          <t>Phase J registry sync</t>
        </is>
      </c>
    </row>
    <row r="506">
      <c r="A506" s="19" t="inlineStr">
        <is>
          <t>505</t>
        </is>
      </c>
      <c r="B506" s="19" t="inlineStr">
        <is>
          <t>505</t>
        </is>
      </c>
      <c r="C506" s="19" t="n"/>
      <c r="D506" s="19" t="n"/>
      <c r="E506" s="19" t="n"/>
      <c r="F506" s="19" t="n"/>
      <c r="G506" s="19" t="inlineStr">
        <is>
          <t>127</t>
        </is>
      </c>
      <c r="H506" s="19" t="n"/>
      <c r="I506" s="19" t="n"/>
      <c r="J506" t="n">
        <v>505</v>
      </c>
      <c r="K506" t="inlineStr">
        <is>
          <t>Phase J registry sync</t>
        </is>
      </c>
    </row>
    <row r="507">
      <c r="A507" s="19" t="inlineStr">
        <is>
          <t>506</t>
        </is>
      </c>
      <c r="B507" s="19" t="inlineStr">
        <is>
          <t>506</t>
        </is>
      </c>
      <c r="C507" s="19" t="n"/>
      <c r="D507" s="19" t="n"/>
      <c r="E507" s="19" t="n"/>
      <c r="F507" s="19" t="n"/>
      <c r="G507" s="19" t="n"/>
      <c r="H507" s="19" t="inlineStr">
        <is>
          <t>127</t>
        </is>
      </c>
      <c r="I507" s="19" t="n"/>
      <c r="J507" t="n">
        <v>506</v>
      </c>
      <c r="K507" t="inlineStr">
        <is>
          <t>Phase J registry sync</t>
        </is>
      </c>
    </row>
    <row r="508">
      <c r="A508" s="19" t="inlineStr">
        <is>
          <t>507</t>
        </is>
      </c>
      <c r="B508" s="19" t="inlineStr">
        <is>
          <t>507</t>
        </is>
      </c>
      <c r="C508" s="19" t="n"/>
      <c r="D508" s="19" t="n"/>
      <c r="E508" s="19" t="inlineStr">
        <is>
          <t>127</t>
        </is>
      </c>
      <c r="F508" s="19" t="n"/>
      <c r="G508" s="19" t="n"/>
      <c r="H508" s="19" t="n"/>
      <c r="I508" s="19" t="n"/>
      <c r="J508" t="n">
        <v>507</v>
      </c>
      <c r="K508" t="inlineStr">
        <is>
          <t>Phase J registry sync</t>
        </is>
      </c>
    </row>
    <row r="509">
      <c r="A509" s="19" t="inlineStr">
        <is>
          <t>508</t>
        </is>
      </c>
      <c r="B509" s="19" t="inlineStr">
        <is>
          <t>508</t>
        </is>
      </c>
      <c r="C509" s="19" t="n"/>
      <c r="D509" s="19" t="n"/>
      <c r="E509" s="19" t="n"/>
      <c r="F509" s="19" t="n"/>
      <c r="G509" s="19" t="n"/>
      <c r="H509" s="19" t="n"/>
      <c r="I509" s="19" t="inlineStr">
        <is>
          <t>127</t>
        </is>
      </c>
      <c r="J509" t="n">
        <v>508</v>
      </c>
      <c r="K509" t="inlineStr">
        <is>
          <t>Phase J registry sync</t>
        </is>
      </c>
    </row>
    <row r="510">
      <c r="A510" s="19" t="inlineStr">
        <is>
          <t>509</t>
        </is>
      </c>
      <c r="B510" s="19" t="inlineStr">
        <is>
          <t>509</t>
        </is>
      </c>
      <c r="C510" s="19" t="n"/>
      <c r="D510" s="19" t="n"/>
      <c r="E510" s="19" t="n"/>
      <c r="F510" s="19" t="n"/>
      <c r="G510" s="19" t="inlineStr">
        <is>
          <t>128</t>
        </is>
      </c>
      <c r="H510" s="19" t="n"/>
      <c r="I510" s="19" t="n"/>
      <c r="J510" t="n">
        <v>509</v>
      </c>
      <c r="K510" t="inlineStr">
        <is>
          <t>Phase J registry sync</t>
        </is>
      </c>
    </row>
    <row r="511">
      <c r="A511" s="19" t="inlineStr">
        <is>
          <t>510</t>
        </is>
      </c>
      <c r="B511" s="19" t="inlineStr">
        <is>
          <t>510</t>
        </is>
      </c>
      <c r="C511" s="19" t="n"/>
      <c r="D511" s="19" t="n"/>
      <c r="E511" s="19" t="n"/>
      <c r="F511" s="19" t="n"/>
      <c r="G511" s="19" t="n"/>
      <c r="H511" s="19" t="inlineStr">
        <is>
          <t>128</t>
        </is>
      </c>
      <c r="I511" s="19" t="n"/>
      <c r="J511" t="n">
        <v>510</v>
      </c>
      <c r="K511" t="inlineStr">
        <is>
          <t>Phase J registry sync</t>
        </is>
      </c>
    </row>
    <row r="512">
      <c r="A512" s="19" t="inlineStr">
        <is>
          <t>511</t>
        </is>
      </c>
      <c r="B512" s="19" t="inlineStr">
        <is>
          <t>511</t>
        </is>
      </c>
      <c r="C512" s="19" t="n"/>
      <c r="D512" s="19" t="n"/>
      <c r="E512" s="19" t="inlineStr">
        <is>
          <t>128</t>
        </is>
      </c>
      <c r="F512" s="19" t="n"/>
      <c r="G512" s="19" t="n"/>
      <c r="H512" s="19" t="n"/>
      <c r="I512" s="19" t="n"/>
      <c r="J512" t="n">
        <v>511</v>
      </c>
      <c r="K512" t="inlineStr">
        <is>
          <t>Phase J registry sync</t>
        </is>
      </c>
    </row>
    <row r="513">
      <c r="A513" s="19" t="inlineStr">
        <is>
          <t>512</t>
        </is>
      </c>
      <c r="B513" s="19" t="inlineStr">
        <is>
          <t>512</t>
        </is>
      </c>
      <c r="C513" s="19" t="n"/>
      <c r="D513" s="19" t="n"/>
      <c r="E513" s="19" t="n"/>
      <c r="F513" s="19" t="n"/>
      <c r="G513" s="19" t="n"/>
      <c r="H513" s="19" t="n"/>
      <c r="I513" s="19" t="inlineStr">
        <is>
          <t>128</t>
        </is>
      </c>
      <c r="J513" t="n">
        <v>512</v>
      </c>
      <c r="K513" t="inlineStr">
        <is>
          <t>Phase J registry sync</t>
        </is>
      </c>
    </row>
    <row r="514">
      <c r="A514" s="19" t="inlineStr">
        <is>
          <t>513</t>
        </is>
      </c>
      <c r="B514" s="19" t="inlineStr">
        <is>
          <t>513</t>
        </is>
      </c>
      <c r="C514" s="19" t="n"/>
      <c r="D514" s="19" t="n"/>
      <c r="E514" s="19" t="n"/>
      <c r="F514" s="19" t="n"/>
      <c r="G514" s="19" t="inlineStr">
        <is>
          <t>129</t>
        </is>
      </c>
      <c r="H514" s="19" t="n"/>
      <c r="I514" s="19" t="n"/>
      <c r="J514" t="n">
        <v>513</v>
      </c>
      <c r="K514" t="inlineStr">
        <is>
          <t>Phase J registry sync</t>
        </is>
      </c>
    </row>
    <row r="515">
      <c r="A515" s="19" t="inlineStr">
        <is>
          <t>514</t>
        </is>
      </c>
      <c r="B515" s="19" t="inlineStr">
        <is>
          <t>514</t>
        </is>
      </c>
      <c r="C515" s="19" t="n"/>
      <c r="D515" s="19" t="n"/>
      <c r="E515" s="19" t="n"/>
      <c r="F515" s="19" t="n"/>
      <c r="G515" s="19" t="n"/>
      <c r="H515" s="19" t="inlineStr">
        <is>
          <t>129</t>
        </is>
      </c>
      <c r="I515" s="19" t="n"/>
      <c r="J515" t="n">
        <v>514</v>
      </c>
      <c r="K515" t="inlineStr">
        <is>
          <t>Phase J registry sync</t>
        </is>
      </c>
    </row>
    <row r="516">
      <c r="A516" s="19" t="inlineStr">
        <is>
          <t>515</t>
        </is>
      </c>
      <c r="B516" s="19" t="inlineStr">
        <is>
          <t>515</t>
        </is>
      </c>
      <c r="C516" s="19" t="n"/>
      <c r="D516" s="19" t="n"/>
      <c r="E516" s="19" t="inlineStr">
        <is>
          <t>129</t>
        </is>
      </c>
      <c r="F516" s="19" t="n"/>
      <c r="G516" s="19" t="n"/>
      <c r="H516" s="19" t="n"/>
      <c r="I516" s="19" t="n"/>
      <c r="J516" t="n">
        <v>515</v>
      </c>
      <c r="K516" t="inlineStr">
        <is>
          <t>Phase J registry sync</t>
        </is>
      </c>
    </row>
    <row r="517">
      <c r="A517" s="19" t="inlineStr">
        <is>
          <t>516</t>
        </is>
      </c>
      <c r="B517" s="19" t="inlineStr">
        <is>
          <t>516</t>
        </is>
      </c>
      <c r="C517" s="19" t="n"/>
      <c r="D517" s="19" t="n"/>
      <c r="E517" s="19" t="n"/>
      <c r="F517" s="19" t="n"/>
      <c r="G517" s="19" t="n"/>
      <c r="H517" s="19" t="n"/>
      <c r="I517" s="19" t="inlineStr">
        <is>
          <t>129</t>
        </is>
      </c>
      <c r="J517" t="n">
        <v>516</v>
      </c>
      <c r="K517" t="inlineStr">
        <is>
          <t>Phase J registry sync</t>
        </is>
      </c>
    </row>
    <row r="518">
      <c r="A518" s="19" t="inlineStr">
        <is>
          <t>517</t>
        </is>
      </c>
      <c r="B518" s="19" t="inlineStr">
        <is>
          <t>517</t>
        </is>
      </c>
      <c r="C518" s="19" t="n"/>
      <c r="D518" s="19" t="n"/>
      <c r="E518" s="19" t="n"/>
      <c r="F518" s="19" t="n"/>
      <c r="G518" s="19" t="inlineStr">
        <is>
          <t>130</t>
        </is>
      </c>
      <c r="H518" s="19" t="n"/>
      <c r="I518" s="19" t="n"/>
      <c r="J518" t="n">
        <v>517</v>
      </c>
      <c r="K518" t="inlineStr">
        <is>
          <t>Phase J registry sync</t>
        </is>
      </c>
    </row>
    <row r="519">
      <c r="A519" s="19" t="inlineStr">
        <is>
          <t>518</t>
        </is>
      </c>
      <c r="B519" s="19" t="inlineStr">
        <is>
          <t>518</t>
        </is>
      </c>
      <c r="C519" s="19" t="n"/>
      <c r="D519" s="19" t="n"/>
      <c r="E519" s="19" t="n"/>
      <c r="F519" s="19" t="n"/>
      <c r="G519" s="19" t="n"/>
      <c r="H519" s="19" t="inlineStr">
        <is>
          <t>130</t>
        </is>
      </c>
      <c r="I519" s="19" t="n"/>
      <c r="J519" t="n">
        <v>518</v>
      </c>
      <c r="K519" t="inlineStr">
        <is>
          <t>Phase J registry sync</t>
        </is>
      </c>
    </row>
    <row r="520">
      <c r="A520" s="19" t="inlineStr">
        <is>
          <t>519</t>
        </is>
      </c>
      <c r="B520" s="19" t="inlineStr">
        <is>
          <t>519</t>
        </is>
      </c>
      <c r="C520" s="19" t="n"/>
      <c r="D520" s="19" t="n"/>
      <c r="E520" s="19" t="inlineStr">
        <is>
          <t>130</t>
        </is>
      </c>
      <c r="F520" s="19" t="n"/>
      <c r="G520" s="19" t="n"/>
      <c r="H520" s="19" t="n"/>
      <c r="I520" s="19" t="n"/>
      <c r="J520" t="n">
        <v>519</v>
      </c>
      <c r="K520" t="inlineStr">
        <is>
          <t>Phase J registry sync</t>
        </is>
      </c>
    </row>
    <row r="521">
      <c r="A521" s="19" t="inlineStr">
        <is>
          <t>520</t>
        </is>
      </c>
      <c r="B521" s="19" t="inlineStr">
        <is>
          <t>520</t>
        </is>
      </c>
      <c r="C521" s="19" t="n"/>
      <c r="D521" s="19" t="n"/>
      <c r="E521" s="19" t="n"/>
      <c r="F521" s="19" t="n"/>
      <c r="G521" s="19" t="n"/>
      <c r="H521" s="19" t="n"/>
      <c r="I521" s="19" t="inlineStr">
        <is>
          <t>130</t>
        </is>
      </c>
      <c r="J521" t="n">
        <v>520</v>
      </c>
      <c r="K521" t="inlineStr">
        <is>
          <t>Phase J registry sync</t>
        </is>
      </c>
    </row>
    <row r="522">
      <c r="A522" s="19" t="inlineStr">
        <is>
          <t>521</t>
        </is>
      </c>
      <c r="B522" s="19" t="inlineStr">
        <is>
          <t>521</t>
        </is>
      </c>
      <c r="C522" s="19" t="n"/>
      <c r="D522" s="19" t="n"/>
      <c r="E522" s="19" t="n"/>
      <c r="F522" s="19" t="n"/>
      <c r="G522" s="19" t="inlineStr">
        <is>
          <t>131</t>
        </is>
      </c>
      <c r="H522" s="19" t="n"/>
      <c r="I522" s="19" t="n"/>
      <c r="J522" t="n">
        <v>521</v>
      </c>
      <c r="K522" t="inlineStr">
        <is>
          <t>Phase J registry sync</t>
        </is>
      </c>
    </row>
    <row r="523">
      <c r="A523" s="19" t="inlineStr">
        <is>
          <t>522</t>
        </is>
      </c>
      <c r="B523" s="19" t="inlineStr">
        <is>
          <t>522</t>
        </is>
      </c>
      <c r="C523" s="19" t="n"/>
      <c r="D523" s="19" t="n"/>
      <c r="E523" s="19" t="n"/>
      <c r="F523" s="19" t="n"/>
      <c r="G523" s="19" t="n"/>
      <c r="H523" s="19" t="inlineStr">
        <is>
          <t>131</t>
        </is>
      </c>
      <c r="I523" s="19" t="n"/>
      <c r="J523" t="n">
        <v>522</v>
      </c>
      <c r="K523" t="inlineStr">
        <is>
          <t>Phase J registry sync</t>
        </is>
      </c>
    </row>
    <row r="524">
      <c r="A524" s="19" t="inlineStr">
        <is>
          <t>523</t>
        </is>
      </c>
      <c r="B524" s="19" t="inlineStr">
        <is>
          <t>523</t>
        </is>
      </c>
      <c r="C524" s="19" t="n"/>
      <c r="D524" s="19" t="n"/>
      <c r="E524" s="19" t="inlineStr">
        <is>
          <t>131</t>
        </is>
      </c>
      <c r="F524" s="19" t="n"/>
      <c r="G524" s="19" t="n"/>
      <c r="H524" s="19" t="n"/>
      <c r="I524" s="19" t="n"/>
      <c r="J524" t="n">
        <v>523</v>
      </c>
      <c r="K524" t="inlineStr">
        <is>
          <t>Phase J registry sync</t>
        </is>
      </c>
    </row>
    <row r="525">
      <c r="A525" s="19" t="inlineStr">
        <is>
          <t>524</t>
        </is>
      </c>
      <c r="B525" s="19" t="inlineStr">
        <is>
          <t>524</t>
        </is>
      </c>
      <c r="C525" s="19" t="n"/>
      <c r="D525" s="19" t="n"/>
      <c r="E525" s="19" t="n"/>
      <c r="F525" s="19" t="n"/>
      <c r="G525" s="19" t="n"/>
      <c r="H525" s="19" t="n"/>
      <c r="I525" s="19" t="inlineStr">
        <is>
          <t>131</t>
        </is>
      </c>
      <c r="J525" t="n">
        <v>524</v>
      </c>
      <c r="K525" t="inlineStr">
        <is>
          <t>Phase J registry sync</t>
        </is>
      </c>
    </row>
    <row r="526">
      <c r="A526" s="19" t="inlineStr">
        <is>
          <t>525</t>
        </is>
      </c>
      <c r="B526" s="19" t="inlineStr">
        <is>
          <t>525</t>
        </is>
      </c>
      <c r="C526" s="19" t="n"/>
      <c r="D526" s="19" t="n"/>
      <c r="E526" s="19" t="n"/>
      <c r="F526" s="19" t="n"/>
      <c r="G526" s="19" t="inlineStr">
        <is>
          <t>132</t>
        </is>
      </c>
      <c r="H526" s="19" t="n"/>
      <c r="I526" s="19" t="n"/>
      <c r="J526" t="n">
        <v>525</v>
      </c>
      <c r="K526" t="inlineStr">
        <is>
          <t>Phase J registry sync</t>
        </is>
      </c>
    </row>
    <row r="527">
      <c r="A527" s="19" t="inlineStr">
        <is>
          <t>526</t>
        </is>
      </c>
      <c r="B527" s="19" t="inlineStr">
        <is>
          <t>526</t>
        </is>
      </c>
      <c r="C527" s="19" t="n"/>
      <c r="D527" s="19" t="n"/>
      <c r="E527" s="19" t="n"/>
      <c r="F527" s="19" t="n"/>
      <c r="G527" s="19" t="n"/>
      <c r="H527" s="19" t="inlineStr">
        <is>
          <t>132</t>
        </is>
      </c>
      <c r="I527" s="19" t="n"/>
      <c r="J527" t="n">
        <v>526</v>
      </c>
      <c r="K527" t="inlineStr">
        <is>
          <t>Phase J registry sync</t>
        </is>
      </c>
    </row>
    <row r="528">
      <c r="A528" s="19" t="inlineStr">
        <is>
          <t>527</t>
        </is>
      </c>
      <c r="B528" s="19" t="inlineStr">
        <is>
          <t>527</t>
        </is>
      </c>
      <c r="C528" s="19" t="n"/>
      <c r="D528" s="19" t="n"/>
      <c r="E528" s="19" t="inlineStr">
        <is>
          <t>132</t>
        </is>
      </c>
      <c r="F528" s="19" t="n"/>
      <c r="G528" s="19" t="n"/>
      <c r="H528" s="19" t="n"/>
      <c r="I528" s="19" t="n"/>
      <c r="J528" t="n">
        <v>527</v>
      </c>
      <c r="K528" t="inlineStr">
        <is>
          <t>Phase J registry sync</t>
        </is>
      </c>
    </row>
    <row r="529">
      <c r="A529" s="19" t="inlineStr">
        <is>
          <t>528</t>
        </is>
      </c>
      <c r="B529" s="19" t="inlineStr">
        <is>
          <t>528</t>
        </is>
      </c>
      <c r="C529" s="19" t="n"/>
      <c r="D529" s="19" t="n"/>
      <c r="E529" s="19" t="n"/>
      <c r="F529" s="19" t="n"/>
      <c r="G529" s="19" t="n"/>
      <c r="H529" s="19" t="n"/>
      <c r="I529" s="19" t="inlineStr">
        <is>
          <t>132</t>
        </is>
      </c>
      <c r="J529" t="n">
        <v>528</v>
      </c>
      <c r="K529" t="inlineStr">
        <is>
          <t>Phase J registry sync</t>
        </is>
      </c>
    </row>
    <row r="530">
      <c r="A530" s="19" t="inlineStr">
        <is>
          <t>529</t>
        </is>
      </c>
      <c r="B530" s="19" t="inlineStr">
        <is>
          <t>529</t>
        </is>
      </c>
      <c r="C530" s="19" t="n"/>
      <c r="D530" s="19" t="n"/>
      <c r="E530" s="19" t="n"/>
      <c r="F530" s="19" t="n"/>
      <c r="G530" s="19" t="inlineStr">
        <is>
          <t>133</t>
        </is>
      </c>
      <c r="H530" s="19" t="n"/>
      <c r="I530" s="19" t="n"/>
      <c r="J530" t="n">
        <v>529</v>
      </c>
      <c r="K530" t="inlineStr">
        <is>
          <t>Phase J registry sync</t>
        </is>
      </c>
    </row>
    <row r="531">
      <c r="A531" s="19" t="inlineStr">
        <is>
          <t>530</t>
        </is>
      </c>
      <c r="B531" s="19" t="inlineStr">
        <is>
          <t>530</t>
        </is>
      </c>
      <c r="C531" s="19" t="n"/>
      <c r="D531" s="19" t="n"/>
      <c r="E531" s="19" t="n"/>
      <c r="F531" s="19" t="n"/>
      <c r="G531" s="19" t="n"/>
      <c r="H531" s="19" t="inlineStr">
        <is>
          <t>133</t>
        </is>
      </c>
      <c r="I531" s="19" t="n"/>
      <c r="J531" t="n">
        <v>530</v>
      </c>
      <c r="K531" t="inlineStr">
        <is>
          <t>Phase J registry sync</t>
        </is>
      </c>
    </row>
    <row r="532">
      <c r="A532" s="19" t="inlineStr">
        <is>
          <t>531</t>
        </is>
      </c>
      <c r="B532" s="19" t="inlineStr">
        <is>
          <t>531</t>
        </is>
      </c>
      <c r="C532" s="19" t="n"/>
      <c r="D532" s="19" t="n"/>
      <c r="E532" s="19" t="inlineStr">
        <is>
          <t>133</t>
        </is>
      </c>
      <c r="F532" s="19" t="n"/>
      <c r="G532" s="19" t="n"/>
      <c r="H532" s="19" t="n"/>
      <c r="I532" s="19" t="n"/>
      <c r="J532" t="n">
        <v>531</v>
      </c>
      <c r="K532" t="inlineStr">
        <is>
          <t>Phase J registry sync</t>
        </is>
      </c>
    </row>
    <row r="533">
      <c r="A533" s="19" t="inlineStr">
        <is>
          <t>532</t>
        </is>
      </c>
      <c r="B533" s="19" t="inlineStr">
        <is>
          <t>532</t>
        </is>
      </c>
      <c r="C533" s="19" t="n"/>
      <c r="D533" s="19" t="n"/>
      <c r="E533" s="19" t="n"/>
      <c r="F533" s="19" t="n"/>
      <c r="G533" s="19" t="n"/>
      <c r="H533" s="19" t="n"/>
      <c r="I533" s="19" t="inlineStr">
        <is>
          <t>133</t>
        </is>
      </c>
      <c r="J533" t="n">
        <v>532</v>
      </c>
      <c r="K533" t="inlineStr">
        <is>
          <t>Phase J registry sync</t>
        </is>
      </c>
    </row>
    <row r="534">
      <c r="A534" s="19" t="inlineStr">
        <is>
          <t>533</t>
        </is>
      </c>
      <c r="B534" s="19" t="inlineStr">
        <is>
          <t>533</t>
        </is>
      </c>
      <c r="C534" s="19" t="n"/>
      <c r="D534" s="19" t="n"/>
      <c r="E534" s="19" t="n"/>
      <c r="F534" s="19" t="n"/>
      <c r="G534" s="19" t="inlineStr">
        <is>
          <t>134</t>
        </is>
      </c>
      <c r="H534" s="19" t="n"/>
      <c r="I534" s="19" t="n"/>
      <c r="J534" t="n">
        <v>533</v>
      </c>
      <c r="K534" t="inlineStr">
        <is>
          <t>Phase J registry sync</t>
        </is>
      </c>
    </row>
    <row r="535">
      <c r="A535" s="19" t="inlineStr">
        <is>
          <t>534</t>
        </is>
      </c>
      <c r="B535" s="19" t="inlineStr">
        <is>
          <t>534</t>
        </is>
      </c>
      <c r="C535" s="19" t="n"/>
      <c r="D535" s="19" t="n"/>
      <c r="E535" s="19" t="n"/>
      <c r="F535" s="19" t="n"/>
      <c r="G535" s="19" t="n"/>
      <c r="H535" s="19" t="inlineStr">
        <is>
          <t>134</t>
        </is>
      </c>
      <c r="I535" s="19" t="n"/>
      <c r="J535" t="n">
        <v>534</v>
      </c>
      <c r="K535" t="inlineStr">
        <is>
          <t>Phase J registry sync</t>
        </is>
      </c>
    </row>
    <row r="536">
      <c r="A536" s="19" t="inlineStr">
        <is>
          <t>535</t>
        </is>
      </c>
      <c r="B536" s="19" t="inlineStr">
        <is>
          <t>535</t>
        </is>
      </c>
      <c r="C536" s="19" t="n"/>
      <c r="D536" s="19" t="n"/>
      <c r="E536" s="19" t="inlineStr">
        <is>
          <t>134</t>
        </is>
      </c>
      <c r="F536" s="19" t="n"/>
      <c r="G536" s="19" t="n"/>
      <c r="H536" s="19" t="n"/>
      <c r="I536" s="19" t="n"/>
      <c r="J536" t="n">
        <v>535</v>
      </c>
      <c r="K536" t="inlineStr">
        <is>
          <t>Phase J registry sync</t>
        </is>
      </c>
    </row>
    <row r="537">
      <c r="A537" s="19" t="inlineStr">
        <is>
          <t>536</t>
        </is>
      </c>
      <c r="B537" s="19" t="inlineStr">
        <is>
          <t>536</t>
        </is>
      </c>
      <c r="C537" s="19" t="n"/>
      <c r="D537" s="19" t="n"/>
      <c r="E537" s="19" t="n"/>
      <c r="F537" s="19" t="n"/>
      <c r="G537" s="19" t="n"/>
      <c r="H537" s="19" t="n"/>
      <c r="I537" s="19" t="inlineStr">
        <is>
          <t>134</t>
        </is>
      </c>
      <c r="J537" t="n">
        <v>536</v>
      </c>
      <c r="K537" t="inlineStr">
        <is>
          <t>Phase J registry sync</t>
        </is>
      </c>
    </row>
    <row r="538">
      <c r="A538" s="19" t="inlineStr">
        <is>
          <t>537</t>
        </is>
      </c>
      <c r="B538" s="19" t="inlineStr">
        <is>
          <t>537</t>
        </is>
      </c>
      <c r="C538" s="19" t="n"/>
      <c r="D538" s="19" t="n"/>
      <c r="E538" s="19" t="n"/>
      <c r="F538" s="19" t="n"/>
      <c r="G538" s="19" t="inlineStr">
        <is>
          <t>135</t>
        </is>
      </c>
      <c r="H538" s="19" t="n"/>
      <c r="I538" s="19" t="n"/>
      <c r="J538" t="n">
        <v>537</v>
      </c>
      <c r="K538" t="inlineStr">
        <is>
          <t>Phase J registry sync</t>
        </is>
      </c>
    </row>
    <row r="539">
      <c r="A539" s="19" t="inlineStr">
        <is>
          <t>538</t>
        </is>
      </c>
      <c r="B539" s="19" t="inlineStr">
        <is>
          <t>538</t>
        </is>
      </c>
      <c r="C539" s="19" t="n"/>
      <c r="D539" s="19" t="n"/>
      <c r="E539" s="19" t="n"/>
      <c r="F539" s="19" t="n"/>
      <c r="G539" s="19" t="n"/>
      <c r="H539" s="19" t="inlineStr">
        <is>
          <t>135</t>
        </is>
      </c>
      <c r="I539" s="19" t="n"/>
      <c r="J539" t="n">
        <v>538</v>
      </c>
      <c r="K539" t="inlineStr">
        <is>
          <t>Phase J registry sync</t>
        </is>
      </c>
    </row>
    <row r="540">
      <c r="A540" s="19" t="inlineStr">
        <is>
          <t>539</t>
        </is>
      </c>
      <c r="B540" s="19" t="inlineStr">
        <is>
          <t>539</t>
        </is>
      </c>
      <c r="C540" s="19" t="n"/>
      <c r="D540" s="19" t="n"/>
      <c r="E540" s="19" t="inlineStr">
        <is>
          <t>135</t>
        </is>
      </c>
      <c r="F540" s="19" t="n"/>
      <c r="G540" s="19" t="n"/>
      <c r="H540" s="19" t="n"/>
      <c r="I540" s="19" t="n"/>
      <c r="J540" t="n">
        <v>539</v>
      </c>
      <c r="K540" t="inlineStr">
        <is>
          <t>Phase J registry sync</t>
        </is>
      </c>
    </row>
    <row r="541">
      <c r="A541" s="19" t="inlineStr">
        <is>
          <t>540</t>
        </is>
      </c>
      <c r="B541" s="19" t="inlineStr">
        <is>
          <t>540</t>
        </is>
      </c>
      <c r="C541" s="19" t="n"/>
      <c r="D541" s="19" t="n"/>
      <c r="E541" s="19" t="n"/>
      <c r="F541" s="19" t="n"/>
      <c r="G541" s="19" t="n"/>
      <c r="H541" s="19" t="n"/>
      <c r="I541" s="19" t="inlineStr">
        <is>
          <t>135</t>
        </is>
      </c>
      <c r="J541" t="n">
        <v>540</v>
      </c>
      <c r="K541" t="inlineStr">
        <is>
          <t>Phase J registry sync</t>
        </is>
      </c>
    </row>
    <row r="542">
      <c r="A542" s="19" t="inlineStr">
        <is>
          <t>541</t>
        </is>
      </c>
      <c r="B542" s="19" t="inlineStr">
        <is>
          <t>541</t>
        </is>
      </c>
      <c r="C542" s="19" t="n"/>
      <c r="D542" s="19" t="n"/>
      <c r="E542" s="19" t="n"/>
      <c r="F542" s="19" t="n"/>
      <c r="G542" s="19" t="inlineStr">
        <is>
          <t>136</t>
        </is>
      </c>
      <c r="H542" s="19" t="n"/>
      <c r="I542" s="19" t="n"/>
      <c r="J542" t="n">
        <v>541</v>
      </c>
      <c r="K542" t="inlineStr">
        <is>
          <t>Phase J registry sync</t>
        </is>
      </c>
    </row>
    <row r="543">
      <c r="A543" s="19" t="inlineStr">
        <is>
          <t>542</t>
        </is>
      </c>
      <c r="B543" s="19" t="inlineStr">
        <is>
          <t>542</t>
        </is>
      </c>
      <c r="C543" s="19" t="n"/>
      <c r="D543" s="19" t="n"/>
      <c r="E543" s="19" t="n"/>
      <c r="F543" s="19" t="n"/>
      <c r="G543" s="19" t="n"/>
      <c r="H543" s="19" t="inlineStr">
        <is>
          <t>136</t>
        </is>
      </c>
      <c r="I543" s="19" t="n"/>
      <c r="J543" t="n">
        <v>542</v>
      </c>
      <c r="K543" t="inlineStr">
        <is>
          <t>Phase J registry sync</t>
        </is>
      </c>
    </row>
    <row r="544">
      <c r="A544" s="19" t="inlineStr">
        <is>
          <t>543</t>
        </is>
      </c>
      <c r="B544" s="19" t="inlineStr">
        <is>
          <t>543</t>
        </is>
      </c>
      <c r="C544" s="19" t="n"/>
      <c r="D544" s="19" t="n"/>
      <c r="E544" s="19" t="inlineStr">
        <is>
          <t>136</t>
        </is>
      </c>
      <c r="F544" s="19" t="n"/>
      <c r="G544" s="19" t="n"/>
      <c r="H544" s="19" t="n"/>
      <c r="I544" s="19" t="n"/>
      <c r="J544" t="n">
        <v>543</v>
      </c>
      <c r="K544" t="inlineStr">
        <is>
          <t>Phase J registry sync</t>
        </is>
      </c>
    </row>
    <row r="545">
      <c r="A545" s="19" t="inlineStr">
        <is>
          <t>544</t>
        </is>
      </c>
      <c r="B545" s="19" t="inlineStr">
        <is>
          <t>544</t>
        </is>
      </c>
      <c r="C545" s="19" t="n"/>
      <c r="D545" s="19" t="n"/>
      <c r="E545" s="19" t="n"/>
      <c r="F545" s="19" t="n"/>
      <c r="G545" s="19" t="n"/>
      <c r="H545" s="19" t="n"/>
      <c r="I545" s="19" t="inlineStr">
        <is>
          <t>136</t>
        </is>
      </c>
      <c r="J545" t="n">
        <v>544</v>
      </c>
      <c r="K545" t="inlineStr">
        <is>
          <t>Phase J registry sync</t>
        </is>
      </c>
    </row>
    <row r="546">
      <c r="A546" s="19" t="inlineStr">
        <is>
          <t>545</t>
        </is>
      </c>
      <c r="B546" s="19" t="inlineStr">
        <is>
          <t>545</t>
        </is>
      </c>
      <c r="C546" s="19" t="n"/>
      <c r="D546" s="19" t="n"/>
      <c r="E546" s="19" t="n"/>
      <c r="F546" s="19" t="n"/>
      <c r="G546" s="19" t="inlineStr">
        <is>
          <t>137</t>
        </is>
      </c>
      <c r="H546" s="19" t="n"/>
      <c r="I546" s="19" t="n"/>
      <c r="J546" t="n">
        <v>545</v>
      </c>
      <c r="K546" t="inlineStr">
        <is>
          <t>Phase J registry sync</t>
        </is>
      </c>
    </row>
    <row r="547">
      <c r="A547" s="19" t="inlineStr">
        <is>
          <t>546</t>
        </is>
      </c>
      <c r="B547" s="19" t="inlineStr">
        <is>
          <t>546</t>
        </is>
      </c>
      <c r="C547" s="19" t="n"/>
      <c r="D547" s="19" t="n"/>
      <c r="E547" s="19" t="n"/>
      <c r="F547" s="19" t="n"/>
      <c r="G547" s="19" t="n"/>
      <c r="H547" s="19" t="inlineStr">
        <is>
          <t>137</t>
        </is>
      </c>
      <c r="I547" s="19" t="n"/>
      <c r="J547" t="n">
        <v>546</v>
      </c>
      <c r="K547" t="inlineStr">
        <is>
          <t>Phase J registry sync</t>
        </is>
      </c>
    </row>
    <row r="548">
      <c r="A548" s="19" t="inlineStr">
        <is>
          <t>547</t>
        </is>
      </c>
      <c r="B548" s="19" t="inlineStr">
        <is>
          <t>547</t>
        </is>
      </c>
      <c r="C548" s="19" t="n"/>
      <c r="D548" s="19" t="n"/>
      <c r="E548" s="19" t="inlineStr">
        <is>
          <t>137</t>
        </is>
      </c>
      <c r="F548" s="19" t="n"/>
      <c r="G548" s="19" t="n"/>
      <c r="H548" s="19" t="n"/>
      <c r="I548" s="19" t="n"/>
      <c r="J548" t="n">
        <v>547</v>
      </c>
      <c r="K548" t="inlineStr">
        <is>
          <t>Phase J registry sync</t>
        </is>
      </c>
    </row>
    <row r="549">
      <c r="A549" s="19" t="inlineStr">
        <is>
          <t>548</t>
        </is>
      </c>
      <c r="B549" s="19" t="inlineStr">
        <is>
          <t>548</t>
        </is>
      </c>
      <c r="C549" s="19" t="n"/>
      <c r="D549" s="19" t="n"/>
      <c r="E549" s="19" t="n"/>
      <c r="F549" s="19" t="n"/>
      <c r="G549" s="19" t="n"/>
      <c r="H549" s="19" t="n"/>
      <c r="I549" s="19" t="inlineStr">
        <is>
          <t>137</t>
        </is>
      </c>
      <c r="J549" t="n">
        <v>548</v>
      </c>
      <c r="K549" t="inlineStr">
        <is>
          <t>Phase J registry sync</t>
        </is>
      </c>
    </row>
    <row r="550">
      <c r="A550" s="19" t="inlineStr">
        <is>
          <t>549</t>
        </is>
      </c>
      <c r="B550" s="19" t="inlineStr">
        <is>
          <t>549</t>
        </is>
      </c>
      <c r="C550" s="19" t="n"/>
      <c r="D550" s="19" t="n"/>
      <c r="E550" s="19" t="n"/>
      <c r="F550" s="19" t="n"/>
      <c r="G550" s="19" t="inlineStr">
        <is>
          <t>138</t>
        </is>
      </c>
      <c r="H550" s="19" t="n"/>
      <c r="I550" s="19" t="n"/>
      <c r="J550" t="n">
        <v>549</v>
      </c>
      <c r="K550" t="inlineStr">
        <is>
          <t>Phase J registry sync</t>
        </is>
      </c>
    </row>
    <row r="551">
      <c r="A551" s="19" t="inlineStr">
        <is>
          <t>550</t>
        </is>
      </c>
      <c r="B551" s="19" t="inlineStr">
        <is>
          <t>550</t>
        </is>
      </c>
      <c r="C551" s="19" t="n"/>
      <c r="D551" s="19" t="n"/>
      <c r="E551" s="19" t="n"/>
      <c r="F551" s="19" t="n"/>
      <c r="G551" s="19" t="n"/>
      <c r="H551" s="19" t="inlineStr">
        <is>
          <t>138</t>
        </is>
      </c>
      <c r="I551" s="19" t="n"/>
      <c r="J551" t="n">
        <v>550</v>
      </c>
      <c r="K551" t="inlineStr">
        <is>
          <t>Phase J registry sync</t>
        </is>
      </c>
    </row>
    <row r="552">
      <c r="A552" s="19" t="inlineStr">
        <is>
          <t>551</t>
        </is>
      </c>
      <c r="B552" s="19" t="inlineStr">
        <is>
          <t>551</t>
        </is>
      </c>
      <c r="C552" s="19" t="n"/>
      <c r="D552" s="19" t="n"/>
      <c r="E552" s="19" t="inlineStr">
        <is>
          <t>138</t>
        </is>
      </c>
      <c r="F552" s="19" t="n"/>
      <c r="G552" s="19" t="n"/>
      <c r="H552" s="19" t="n"/>
      <c r="I552" s="19" t="n"/>
      <c r="J552" t="n">
        <v>551</v>
      </c>
      <c r="K552" t="inlineStr">
        <is>
          <t>Phase J registry sync</t>
        </is>
      </c>
    </row>
    <row r="553">
      <c r="A553" s="19" t="inlineStr">
        <is>
          <t>552</t>
        </is>
      </c>
      <c r="B553" s="19" t="inlineStr">
        <is>
          <t>552</t>
        </is>
      </c>
      <c r="C553" s="19" t="n"/>
      <c r="D553" s="19" t="n"/>
      <c r="E553" s="19" t="n"/>
      <c r="F553" s="19" t="n"/>
      <c r="G553" s="19" t="n"/>
      <c r="H553" s="19" t="n"/>
      <c r="I553" s="19" t="inlineStr">
        <is>
          <t>138</t>
        </is>
      </c>
      <c r="J553" t="n">
        <v>552</v>
      </c>
      <c r="K553" t="inlineStr">
        <is>
          <t>Phase J registry sync</t>
        </is>
      </c>
    </row>
    <row r="554">
      <c r="A554" s="19" t="inlineStr">
        <is>
          <t>553</t>
        </is>
      </c>
      <c r="B554" s="19" t="inlineStr">
        <is>
          <t>553</t>
        </is>
      </c>
      <c r="C554" s="19" t="n"/>
      <c r="D554" s="19" t="n"/>
      <c r="E554" s="19" t="n"/>
      <c r="F554" s="19" t="n"/>
      <c r="G554" s="19" t="inlineStr">
        <is>
          <t>139</t>
        </is>
      </c>
      <c r="H554" s="19" t="n"/>
      <c r="I554" s="19" t="n"/>
      <c r="J554" t="n">
        <v>553</v>
      </c>
      <c r="K554" t="inlineStr">
        <is>
          <t>Phase J registry sync</t>
        </is>
      </c>
    </row>
    <row r="555">
      <c r="A555" s="19" t="inlineStr">
        <is>
          <t>554</t>
        </is>
      </c>
      <c r="B555" s="19" t="inlineStr">
        <is>
          <t>554</t>
        </is>
      </c>
      <c r="C555" s="19" t="n"/>
      <c r="D555" s="19" t="n"/>
      <c r="E555" s="19" t="n"/>
      <c r="F555" s="19" t="n"/>
      <c r="G555" s="19" t="n"/>
      <c r="H555" s="19" t="inlineStr">
        <is>
          <t>139</t>
        </is>
      </c>
      <c r="I555" s="19" t="n"/>
      <c r="J555" t="n">
        <v>554</v>
      </c>
      <c r="K555" t="inlineStr">
        <is>
          <t>Phase J registry sync</t>
        </is>
      </c>
    </row>
    <row r="556">
      <c r="A556" s="19" t="inlineStr">
        <is>
          <t>555</t>
        </is>
      </c>
      <c r="B556" s="19" t="inlineStr">
        <is>
          <t>555</t>
        </is>
      </c>
      <c r="C556" s="19" t="n"/>
      <c r="D556" s="19" t="n"/>
      <c r="E556" s="19" t="inlineStr">
        <is>
          <t>139</t>
        </is>
      </c>
      <c r="F556" s="19" t="n"/>
      <c r="G556" s="19" t="n"/>
      <c r="H556" s="19" t="n"/>
      <c r="I556" s="19" t="n"/>
      <c r="J556" t="n">
        <v>555</v>
      </c>
      <c r="K556" t="inlineStr">
        <is>
          <t>Phase J registry sync</t>
        </is>
      </c>
    </row>
    <row r="557">
      <c r="A557" s="19" t="inlineStr">
        <is>
          <t>556</t>
        </is>
      </c>
      <c r="B557" s="19" t="inlineStr">
        <is>
          <t>556</t>
        </is>
      </c>
      <c r="C557" s="19" t="n"/>
      <c r="D557" s="19" t="n"/>
      <c r="E557" s="19" t="n"/>
      <c r="F557" s="19" t="n"/>
      <c r="G557" s="19" t="n"/>
      <c r="H557" s="19" t="n"/>
      <c r="I557" s="19" t="inlineStr">
        <is>
          <t>139</t>
        </is>
      </c>
      <c r="J557" t="n">
        <v>556</v>
      </c>
      <c r="K557" t="inlineStr">
        <is>
          <t>Phase J registry sync</t>
        </is>
      </c>
    </row>
    <row r="558">
      <c r="A558" s="19" t="inlineStr">
        <is>
          <t>557</t>
        </is>
      </c>
      <c r="B558" s="19" t="inlineStr">
        <is>
          <t>557</t>
        </is>
      </c>
      <c r="C558" s="19" t="n"/>
      <c r="D558" s="19" t="n"/>
      <c r="E558" s="19" t="n"/>
      <c r="F558" s="19" t="n"/>
      <c r="G558" s="19" t="inlineStr">
        <is>
          <t>140</t>
        </is>
      </c>
      <c r="H558" s="19" t="n"/>
      <c r="I558" s="19" t="n"/>
      <c r="J558" t="n">
        <v>557</v>
      </c>
      <c r="K558" t="inlineStr">
        <is>
          <t>Phase J registry sync</t>
        </is>
      </c>
    </row>
    <row r="559">
      <c r="A559" s="19" t="inlineStr">
        <is>
          <t>558</t>
        </is>
      </c>
      <c r="B559" s="19" t="inlineStr">
        <is>
          <t>558</t>
        </is>
      </c>
      <c r="C559" s="19" t="n"/>
      <c r="D559" s="19" t="n"/>
      <c r="E559" s="19" t="n"/>
      <c r="F559" s="19" t="n"/>
      <c r="G559" s="19" t="n"/>
      <c r="H559" s="19" t="inlineStr">
        <is>
          <t>140</t>
        </is>
      </c>
      <c r="I559" s="19" t="n"/>
      <c r="J559" t="n">
        <v>558</v>
      </c>
      <c r="K559" t="inlineStr">
        <is>
          <t>Phase J registry sync</t>
        </is>
      </c>
    </row>
    <row r="560">
      <c r="A560" s="19" t="inlineStr">
        <is>
          <t>559</t>
        </is>
      </c>
      <c r="B560" s="19" t="inlineStr">
        <is>
          <t>559</t>
        </is>
      </c>
      <c r="C560" s="19" t="n"/>
      <c r="D560" s="19" t="n"/>
      <c r="E560" s="19" t="inlineStr">
        <is>
          <t>140</t>
        </is>
      </c>
      <c r="F560" s="19" t="n"/>
      <c r="G560" s="19" t="n"/>
      <c r="H560" s="19" t="n"/>
      <c r="I560" s="19" t="n"/>
      <c r="J560" t="n">
        <v>559</v>
      </c>
      <c r="K560" t="inlineStr">
        <is>
          <t>Phase J registry sync</t>
        </is>
      </c>
    </row>
    <row r="561">
      <c r="A561" s="19" t="inlineStr">
        <is>
          <t>560</t>
        </is>
      </c>
      <c r="B561" s="19" t="inlineStr">
        <is>
          <t>560</t>
        </is>
      </c>
      <c r="C561" s="19" t="n"/>
      <c r="D561" s="19" t="n"/>
      <c r="E561" s="19" t="n"/>
      <c r="F561" s="19" t="n"/>
      <c r="G561" s="19" t="n"/>
      <c r="H561" s="19" t="n"/>
      <c r="I561" s="19" t="inlineStr">
        <is>
          <t>140</t>
        </is>
      </c>
      <c r="J561" t="n">
        <v>560</v>
      </c>
      <c r="K561" t="inlineStr">
        <is>
          <t>Phase J registry sync</t>
        </is>
      </c>
    </row>
    <row r="562">
      <c r="A562" s="19" t="inlineStr">
        <is>
          <t>561</t>
        </is>
      </c>
      <c r="B562" s="19" t="inlineStr">
        <is>
          <t>561</t>
        </is>
      </c>
      <c r="C562" s="19" t="n"/>
      <c r="D562" s="19" t="n"/>
      <c r="E562" s="19" t="n"/>
      <c r="F562" s="19" t="n"/>
      <c r="G562" s="19" t="inlineStr">
        <is>
          <t>141</t>
        </is>
      </c>
      <c r="H562" s="19" t="n"/>
      <c r="I562" s="19" t="n"/>
      <c r="J562" t="n">
        <v>561</v>
      </c>
      <c r="K562" t="inlineStr">
        <is>
          <t>Phase J registry sync</t>
        </is>
      </c>
    </row>
    <row r="563">
      <c r="A563" s="19" t="inlineStr">
        <is>
          <t>562</t>
        </is>
      </c>
      <c r="B563" s="19" t="inlineStr">
        <is>
          <t>562</t>
        </is>
      </c>
      <c r="C563" s="19" t="n"/>
      <c r="D563" s="19" t="n"/>
      <c r="E563" s="19" t="n"/>
      <c r="F563" s="19" t="n"/>
      <c r="G563" s="19" t="n"/>
      <c r="H563" s="19" t="inlineStr">
        <is>
          <t>141</t>
        </is>
      </c>
      <c r="I563" s="19" t="n"/>
      <c r="J563" t="n">
        <v>562</v>
      </c>
      <c r="K563" t="inlineStr">
        <is>
          <t>Phase J registry sync</t>
        </is>
      </c>
    </row>
    <row r="564">
      <c r="A564" s="19" t="inlineStr">
        <is>
          <t>563</t>
        </is>
      </c>
      <c r="B564" s="19" t="inlineStr">
        <is>
          <t>563</t>
        </is>
      </c>
      <c r="C564" s="19" t="n"/>
      <c r="D564" s="19" t="n"/>
      <c r="E564" s="19" t="inlineStr">
        <is>
          <t>141</t>
        </is>
      </c>
      <c r="F564" s="19" t="n"/>
      <c r="G564" s="19" t="n"/>
      <c r="H564" s="19" t="n"/>
      <c r="I564" s="19" t="n"/>
      <c r="J564" t="n">
        <v>563</v>
      </c>
      <c r="K564" t="inlineStr">
        <is>
          <t>Phase J registry sync</t>
        </is>
      </c>
    </row>
    <row r="565">
      <c r="A565" s="19" t="inlineStr">
        <is>
          <t>564</t>
        </is>
      </c>
      <c r="B565" s="19" t="inlineStr">
        <is>
          <t>564</t>
        </is>
      </c>
      <c r="C565" s="19" t="n"/>
      <c r="D565" s="19" t="n"/>
      <c r="E565" s="19" t="n"/>
      <c r="F565" s="19" t="n"/>
      <c r="G565" s="19" t="n"/>
      <c r="H565" s="19" t="n"/>
      <c r="I565" s="19" t="inlineStr">
        <is>
          <t>141</t>
        </is>
      </c>
      <c r="J565" t="n">
        <v>564</v>
      </c>
      <c r="K565" t="inlineStr">
        <is>
          <t>Phase J registry sync</t>
        </is>
      </c>
    </row>
    <row r="566">
      <c r="A566" s="19" t="inlineStr">
        <is>
          <t>565</t>
        </is>
      </c>
      <c r="B566" s="19" t="inlineStr">
        <is>
          <t>565</t>
        </is>
      </c>
      <c r="C566" s="19" t="n"/>
      <c r="D566" s="19" t="n"/>
      <c r="E566" s="19" t="n"/>
      <c r="F566" s="19" t="n"/>
      <c r="G566" s="19" t="inlineStr">
        <is>
          <t>142</t>
        </is>
      </c>
      <c r="H566" s="19" t="n"/>
      <c r="I566" s="19" t="n"/>
      <c r="J566" t="n">
        <v>565</v>
      </c>
      <c r="K566" t="inlineStr">
        <is>
          <t>Phase J registry sync</t>
        </is>
      </c>
    </row>
    <row r="567">
      <c r="A567" s="19" t="inlineStr">
        <is>
          <t>566</t>
        </is>
      </c>
      <c r="B567" s="19" t="inlineStr">
        <is>
          <t>566</t>
        </is>
      </c>
      <c r="C567" s="19" t="n"/>
      <c r="D567" s="19" t="n"/>
      <c r="E567" s="19" t="n"/>
      <c r="F567" s="19" t="n"/>
      <c r="G567" s="19" t="n"/>
      <c r="H567" s="19" t="inlineStr">
        <is>
          <t>142</t>
        </is>
      </c>
      <c r="I567" s="19" t="n"/>
      <c r="J567" t="n">
        <v>566</v>
      </c>
      <c r="K567" t="inlineStr">
        <is>
          <t>Phase J registry sync</t>
        </is>
      </c>
    </row>
    <row r="568">
      <c r="A568" s="19" t="inlineStr">
        <is>
          <t>567</t>
        </is>
      </c>
      <c r="B568" s="19" t="inlineStr">
        <is>
          <t>567</t>
        </is>
      </c>
      <c r="C568" s="19" t="n"/>
      <c r="D568" s="19" t="n"/>
      <c r="E568" s="19" t="inlineStr">
        <is>
          <t>142</t>
        </is>
      </c>
      <c r="F568" s="19" t="n"/>
      <c r="G568" s="19" t="n"/>
      <c r="H568" s="19" t="n"/>
      <c r="I568" s="19" t="n"/>
      <c r="J568" t="n">
        <v>567</v>
      </c>
      <c r="K568" t="inlineStr">
        <is>
          <t>Phase J registry sync</t>
        </is>
      </c>
    </row>
    <row r="569">
      <c r="A569" s="19" t="inlineStr">
        <is>
          <t>568</t>
        </is>
      </c>
      <c r="B569" s="19" t="inlineStr">
        <is>
          <t>568</t>
        </is>
      </c>
      <c r="C569" s="19" t="n"/>
      <c r="D569" s="19" t="n"/>
      <c r="E569" s="19" t="n"/>
      <c r="F569" s="19" t="n"/>
      <c r="G569" s="19" t="n"/>
      <c r="H569" s="19" t="n"/>
      <c r="I569" s="19" t="inlineStr">
        <is>
          <t>142</t>
        </is>
      </c>
      <c r="J569" t="n">
        <v>568</v>
      </c>
      <c r="K569" t="inlineStr">
        <is>
          <t>Phase J registry sync</t>
        </is>
      </c>
    </row>
    <row r="570">
      <c r="A570" s="19" t="inlineStr">
        <is>
          <t>569</t>
        </is>
      </c>
      <c r="B570" s="19" t="inlineStr">
        <is>
          <t>569</t>
        </is>
      </c>
      <c r="C570" s="19" t="n"/>
      <c r="D570" s="19" t="n"/>
      <c r="E570" s="19" t="n"/>
      <c r="F570" s="19" t="n"/>
      <c r="G570" s="19" t="inlineStr">
        <is>
          <t>143</t>
        </is>
      </c>
      <c r="H570" s="19" t="n"/>
      <c r="I570" s="19" t="n"/>
      <c r="J570" t="n">
        <v>569</v>
      </c>
      <c r="K570" t="inlineStr">
        <is>
          <t>Phase J registry sync</t>
        </is>
      </c>
    </row>
    <row r="571">
      <c r="A571" s="19" t="inlineStr">
        <is>
          <t>570</t>
        </is>
      </c>
      <c r="B571" s="19" t="inlineStr">
        <is>
          <t>570</t>
        </is>
      </c>
      <c r="C571" s="19" t="n"/>
      <c r="D571" s="19" t="n"/>
      <c r="E571" s="19" t="n"/>
      <c r="F571" s="19" t="n"/>
      <c r="G571" s="19" t="n"/>
      <c r="H571" s="19" t="inlineStr">
        <is>
          <t>143</t>
        </is>
      </c>
      <c r="I571" s="19" t="n"/>
      <c r="J571" t="n">
        <v>570</v>
      </c>
      <c r="K571" t="inlineStr">
        <is>
          <t>Phase J registry sync</t>
        </is>
      </c>
    </row>
    <row r="572">
      <c r="A572" s="19" t="inlineStr">
        <is>
          <t>571</t>
        </is>
      </c>
      <c r="B572" s="19" t="inlineStr">
        <is>
          <t>571</t>
        </is>
      </c>
      <c r="C572" s="19" t="n"/>
      <c r="D572" s="19" t="n"/>
      <c r="E572" s="19" t="inlineStr">
        <is>
          <t>143</t>
        </is>
      </c>
      <c r="F572" s="19" t="n"/>
      <c r="G572" s="19" t="n"/>
      <c r="H572" s="19" t="n"/>
      <c r="I572" s="19" t="n"/>
      <c r="J572" t="n">
        <v>571</v>
      </c>
      <c r="K572" t="inlineStr">
        <is>
          <t>Phase J registry sync</t>
        </is>
      </c>
    </row>
    <row r="573">
      <c r="A573" s="19" t="inlineStr">
        <is>
          <t>572</t>
        </is>
      </c>
      <c r="B573" s="19" t="inlineStr">
        <is>
          <t>572</t>
        </is>
      </c>
      <c r="C573" s="19" t="n"/>
      <c r="D573" s="19" t="n"/>
      <c r="E573" s="19" t="n"/>
      <c r="F573" s="19" t="n"/>
      <c r="G573" s="19" t="n"/>
      <c r="H573" s="19" t="n"/>
      <c r="I573" s="19" t="inlineStr">
        <is>
          <t>143</t>
        </is>
      </c>
      <c r="J573" t="n">
        <v>572</v>
      </c>
      <c r="K573" t="inlineStr">
        <is>
          <t>Phase J registry sync</t>
        </is>
      </c>
    </row>
    <row r="574">
      <c r="A574" s="19" t="inlineStr">
        <is>
          <t>573</t>
        </is>
      </c>
      <c r="B574" s="19" t="inlineStr">
        <is>
          <t>573</t>
        </is>
      </c>
      <c r="C574" s="19" t="n"/>
      <c r="D574" s="19" t="n"/>
      <c r="E574" s="19" t="n"/>
      <c r="F574" s="19" t="n"/>
      <c r="G574" s="19" t="inlineStr">
        <is>
          <t>144</t>
        </is>
      </c>
      <c r="H574" s="19" t="n"/>
      <c r="I574" s="19" t="n"/>
      <c r="J574" t="n">
        <v>573</v>
      </c>
      <c r="K574" t="inlineStr">
        <is>
          <t>Phase J registry sync</t>
        </is>
      </c>
    </row>
    <row r="575">
      <c r="A575" s="19" t="inlineStr">
        <is>
          <t>574</t>
        </is>
      </c>
      <c r="B575" s="19" t="inlineStr">
        <is>
          <t>574</t>
        </is>
      </c>
      <c r="C575" s="19" t="n"/>
      <c r="D575" s="19" t="n"/>
      <c r="E575" s="19" t="n"/>
      <c r="F575" s="19" t="n"/>
      <c r="G575" s="19" t="n"/>
      <c r="H575" s="19" t="inlineStr">
        <is>
          <t>144</t>
        </is>
      </c>
      <c r="I575" s="19" t="n"/>
      <c r="J575" t="n">
        <v>574</v>
      </c>
      <c r="K575" t="inlineStr">
        <is>
          <t>Phase J registry sync</t>
        </is>
      </c>
    </row>
    <row r="576">
      <c r="A576" s="19" t="inlineStr">
        <is>
          <t>575</t>
        </is>
      </c>
      <c r="B576" s="19" t="inlineStr">
        <is>
          <t>575</t>
        </is>
      </c>
      <c r="C576" s="19" t="n"/>
      <c r="D576" s="19" t="n"/>
      <c r="E576" s="19" t="inlineStr">
        <is>
          <t>144</t>
        </is>
      </c>
      <c r="F576" s="19" t="n"/>
      <c r="G576" s="19" t="n"/>
      <c r="H576" s="19" t="n"/>
      <c r="I576" s="19" t="n"/>
      <c r="J576" t="n">
        <v>575</v>
      </c>
      <c r="K576" t="inlineStr">
        <is>
          <t>Phase J registry sync</t>
        </is>
      </c>
    </row>
    <row r="577">
      <c r="A577" s="19" t="inlineStr">
        <is>
          <t>576</t>
        </is>
      </c>
      <c r="B577" s="19" t="inlineStr">
        <is>
          <t>576</t>
        </is>
      </c>
      <c r="C577" s="19" t="n"/>
      <c r="D577" s="19" t="n"/>
      <c r="E577" s="19" t="n"/>
      <c r="F577" s="19" t="n"/>
      <c r="G577" s="19" t="n"/>
      <c r="H577" s="19" t="n"/>
      <c r="I577" s="19" t="inlineStr">
        <is>
          <t>144</t>
        </is>
      </c>
      <c r="J577" t="n">
        <v>576</v>
      </c>
      <c r="K577" t="inlineStr">
        <is>
          <t>Phase J registry sync</t>
        </is>
      </c>
    </row>
    <row r="578">
      <c r="A578" s="19" t="inlineStr">
        <is>
          <t>577</t>
        </is>
      </c>
      <c r="B578" s="19" t="inlineStr">
        <is>
          <t>577</t>
        </is>
      </c>
      <c r="C578" s="19" t="n"/>
      <c r="D578" s="19" t="n"/>
      <c r="E578" s="19" t="n"/>
      <c r="F578" s="19" t="n"/>
      <c r="G578" s="19" t="inlineStr">
        <is>
          <t>145</t>
        </is>
      </c>
      <c r="H578" s="19" t="n"/>
      <c r="I578" s="19" t="n"/>
      <c r="J578" t="n">
        <v>577</v>
      </c>
      <c r="K578" t="inlineStr">
        <is>
          <t>Phase J registry sync</t>
        </is>
      </c>
    </row>
    <row r="579">
      <c r="A579" s="19" t="inlineStr">
        <is>
          <t>578</t>
        </is>
      </c>
      <c r="B579" s="19" t="inlineStr">
        <is>
          <t>578</t>
        </is>
      </c>
      <c r="C579" s="19" t="n"/>
      <c r="D579" s="19" t="n"/>
      <c r="E579" s="19" t="n"/>
      <c r="F579" s="19" t="n"/>
      <c r="G579" s="19" t="n"/>
      <c r="H579" s="19" t="inlineStr">
        <is>
          <t>145</t>
        </is>
      </c>
      <c r="I579" s="19" t="n"/>
      <c r="J579" t="n">
        <v>578</v>
      </c>
      <c r="K579" t="inlineStr">
        <is>
          <t>Phase J registry sync</t>
        </is>
      </c>
    </row>
    <row r="580">
      <c r="A580" s="19" t="inlineStr">
        <is>
          <t>579</t>
        </is>
      </c>
      <c r="B580" s="19" t="inlineStr">
        <is>
          <t>579</t>
        </is>
      </c>
      <c r="C580" s="19" t="n"/>
      <c r="D580" s="19" t="n"/>
      <c r="E580" s="19" t="inlineStr">
        <is>
          <t>145</t>
        </is>
      </c>
      <c r="F580" s="19" t="n"/>
      <c r="G580" s="19" t="n"/>
      <c r="H580" s="19" t="n"/>
      <c r="I580" s="19" t="n"/>
      <c r="J580" t="n">
        <v>579</v>
      </c>
      <c r="K580" t="inlineStr">
        <is>
          <t>Phase J registry sync</t>
        </is>
      </c>
    </row>
    <row r="581">
      <c r="A581" s="19" t="inlineStr">
        <is>
          <t>580</t>
        </is>
      </c>
      <c r="B581" s="19" t="inlineStr">
        <is>
          <t>580</t>
        </is>
      </c>
      <c r="C581" s="19" t="n"/>
      <c r="D581" s="19" t="n"/>
      <c r="E581" s="19" t="n"/>
      <c r="F581" s="19" t="n"/>
      <c r="G581" s="19" t="n"/>
      <c r="H581" s="19" t="n"/>
      <c r="I581" s="19" t="inlineStr">
        <is>
          <t>145</t>
        </is>
      </c>
      <c r="J581" t="n">
        <v>580</v>
      </c>
      <c r="K581" t="inlineStr">
        <is>
          <t>Phase J registry sync</t>
        </is>
      </c>
    </row>
    <row r="582">
      <c r="A582" s="19" t="inlineStr">
        <is>
          <t>581</t>
        </is>
      </c>
      <c r="B582" s="19" t="inlineStr">
        <is>
          <t>581</t>
        </is>
      </c>
      <c r="C582" s="19" t="n"/>
      <c r="D582" s="19" t="n"/>
      <c r="E582" s="19" t="n"/>
      <c r="F582" s="19" t="n"/>
      <c r="G582" s="19" t="inlineStr">
        <is>
          <t>146</t>
        </is>
      </c>
      <c r="H582" s="19" t="n"/>
      <c r="I582" s="19" t="n"/>
      <c r="J582" t="n">
        <v>581</v>
      </c>
      <c r="K582" t="inlineStr">
        <is>
          <t>Phase J registry sync</t>
        </is>
      </c>
    </row>
    <row r="583">
      <c r="A583" s="19" t="inlineStr">
        <is>
          <t>582</t>
        </is>
      </c>
      <c r="B583" s="19" t="inlineStr">
        <is>
          <t>582</t>
        </is>
      </c>
      <c r="C583" s="19" t="n"/>
      <c r="D583" s="19" t="n"/>
      <c r="E583" s="19" t="n"/>
      <c r="F583" s="19" t="n"/>
      <c r="G583" s="19" t="n"/>
      <c r="H583" s="19" t="inlineStr">
        <is>
          <t>146</t>
        </is>
      </c>
      <c r="I583" s="19" t="n"/>
      <c r="J583" t="n">
        <v>582</v>
      </c>
      <c r="K583" t="inlineStr">
        <is>
          <t>Phase J registry sync</t>
        </is>
      </c>
    </row>
    <row r="584">
      <c r="A584" s="19" t="inlineStr">
        <is>
          <t>583</t>
        </is>
      </c>
      <c r="B584" s="19" t="inlineStr">
        <is>
          <t>583</t>
        </is>
      </c>
      <c r="C584" s="19" t="n"/>
      <c r="D584" s="19" t="n"/>
      <c r="E584" s="19" t="inlineStr">
        <is>
          <t>146</t>
        </is>
      </c>
      <c r="F584" s="19" t="n"/>
      <c r="G584" s="19" t="n"/>
      <c r="H584" s="19" t="n"/>
      <c r="I584" s="19" t="n"/>
      <c r="J584" t="n">
        <v>583</v>
      </c>
      <c r="K584" t="inlineStr">
        <is>
          <t>Phase J registry sync</t>
        </is>
      </c>
    </row>
    <row r="585">
      <c r="A585" s="19" t="inlineStr">
        <is>
          <t>584</t>
        </is>
      </c>
      <c r="B585" s="19" t="inlineStr">
        <is>
          <t>584</t>
        </is>
      </c>
      <c r="C585" s="19" t="n"/>
      <c r="D585" s="19" t="n"/>
      <c r="E585" s="19" t="n"/>
      <c r="F585" s="19" t="n"/>
      <c r="G585" s="19" t="n"/>
      <c r="H585" s="19" t="n"/>
      <c r="I585" s="19" t="inlineStr">
        <is>
          <t>146</t>
        </is>
      </c>
      <c r="J585" t="n">
        <v>584</v>
      </c>
      <c r="K585" t="inlineStr">
        <is>
          <t>Phase J registry sync</t>
        </is>
      </c>
    </row>
    <row r="586">
      <c r="A586" s="19" t="inlineStr">
        <is>
          <t>585</t>
        </is>
      </c>
      <c r="B586" s="19" t="inlineStr">
        <is>
          <t>585</t>
        </is>
      </c>
      <c r="C586" s="19" t="n"/>
      <c r="D586" s="19" t="n"/>
      <c r="E586" s="19" t="n"/>
      <c r="F586" s="19" t="n"/>
      <c r="G586" s="19" t="inlineStr">
        <is>
          <t>147</t>
        </is>
      </c>
      <c r="H586" s="19" t="n"/>
      <c r="I586" s="19" t="n"/>
      <c r="J586" t="n">
        <v>585</v>
      </c>
      <c r="K586" t="inlineStr">
        <is>
          <t>Phase J registry sync</t>
        </is>
      </c>
    </row>
    <row r="587">
      <c r="A587" s="19" t="inlineStr">
        <is>
          <t>586</t>
        </is>
      </c>
      <c r="B587" s="19" t="inlineStr">
        <is>
          <t>586</t>
        </is>
      </c>
      <c r="C587" s="19" t="n"/>
      <c r="D587" s="19" t="n"/>
      <c r="E587" s="19" t="n"/>
      <c r="F587" s="19" t="n"/>
      <c r="G587" s="19" t="n"/>
      <c r="H587" s="19" t="inlineStr">
        <is>
          <t>147</t>
        </is>
      </c>
      <c r="I587" s="19" t="n"/>
      <c r="J587" t="n">
        <v>586</v>
      </c>
      <c r="K587" t="inlineStr">
        <is>
          <t>Phase J registry sync</t>
        </is>
      </c>
    </row>
    <row r="588">
      <c r="A588" s="19" t="inlineStr">
        <is>
          <t>587</t>
        </is>
      </c>
      <c r="B588" s="19" t="inlineStr">
        <is>
          <t>587</t>
        </is>
      </c>
      <c r="C588" s="19" t="n"/>
      <c r="D588" s="19" t="n"/>
      <c r="E588" s="19" t="inlineStr">
        <is>
          <t>147</t>
        </is>
      </c>
      <c r="F588" s="19" t="n"/>
      <c r="G588" s="19" t="n"/>
      <c r="H588" s="19" t="n"/>
      <c r="I588" s="19" t="n"/>
      <c r="J588" t="n">
        <v>587</v>
      </c>
      <c r="K588" t="inlineStr">
        <is>
          <t>Phase J registry sync</t>
        </is>
      </c>
    </row>
    <row r="589">
      <c r="A589" s="19" t="inlineStr">
        <is>
          <t>588</t>
        </is>
      </c>
      <c r="B589" s="19" t="inlineStr">
        <is>
          <t>588</t>
        </is>
      </c>
      <c r="C589" s="19" t="n"/>
      <c r="D589" s="19" t="n"/>
      <c r="E589" s="19" t="n"/>
      <c r="F589" s="19" t="n"/>
      <c r="G589" s="19" t="n"/>
      <c r="H589" s="19" t="n"/>
      <c r="I589" s="19" t="inlineStr">
        <is>
          <t>147</t>
        </is>
      </c>
      <c r="J589" t="n">
        <v>588</v>
      </c>
      <c r="K589" t="inlineStr">
        <is>
          <t>Phase J registry sync</t>
        </is>
      </c>
    </row>
    <row r="590">
      <c r="A590" s="19" t="inlineStr">
        <is>
          <t>589</t>
        </is>
      </c>
      <c r="B590" s="19" t="inlineStr">
        <is>
          <t>589</t>
        </is>
      </c>
      <c r="C590" s="19" t="n"/>
      <c r="D590" s="19" t="n"/>
      <c r="E590" s="19" t="n"/>
      <c r="F590" s="19" t="n"/>
      <c r="G590" s="19" t="inlineStr">
        <is>
          <t>148</t>
        </is>
      </c>
      <c r="H590" s="19" t="n"/>
      <c r="I590" s="19" t="n"/>
      <c r="J590" t="n">
        <v>589</v>
      </c>
      <c r="K590" t="inlineStr">
        <is>
          <t>Phase J registry sync</t>
        </is>
      </c>
    </row>
    <row r="591">
      <c r="A591" s="19" t="inlineStr">
        <is>
          <t>590</t>
        </is>
      </c>
      <c r="B591" s="19" t="inlineStr">
        <is>
          <t>590</t>
        </is>
      </c>
      <c r="C591" s="19" t="n"/>
      <c r="D591" s="19" t="n"/>
      <c r="E591" s="19" t="n"/>
      <c r="F591" s="19" t="n"/>
      <c r="G591" s="19" t="n"/>
      <c r="H591" s="19" t="inlineStr">
        <is>
          <t>148</t>
        </is>
      </c>
      <c r="I591" s="19" t="n"/>
      <c r="J591" t="n">
        <v>590</v>
      </c>
      <c r="K591" t="inlineStr">
        <is>
          <t>Phase J registry sync</t>
        </is>
      </c>
    </row>
    <row r="592">
      <c r="A592" s="19" t="inlineStr">
        <is>
          <t>591</t>
        </is>
      </c>
      <c r="B592" s="19" t="inlineStr">
        <is>
          <t>591</t>
        </is>
      </c>
      <c r="C592" s="19" t="n"/>
      <c r="D592" s="19" t="n"/>
      <c r="E592" s="19" t="inlineStr">
        <is>
          <t>148</t>
        </is>
      </c>
      <c r="F592" s="19" t="n"/>
      <c r="G592" s="19" t="n"/>
      <c r="H592" s="19" t="n"/>
      <c r="I592" s="19" t="n"/>
      <c r="J592" t="n">
        <v>591</v>
      </c>
      <c r="K592" t="inlineStr">
        <is>
          <t>Phase J registry sync</t>
        </is>
      </c>
    </row>
    <row r="593">
      <c r="A593" s="19" t="inlineStr">
        <is>
          <t>592</t>
        </is>
      </c>
      <c r="B593" s="19" t="inlineStr">
        <is>
          <t>592</t>
        </is>
      </c>
      <c r="C593" s="19" t="n"/>
      <c r="D593" s="19" t="n"/>
      <c r="E593" s="19" t="n"/>
      <c r="F593" s="19" t="n"/>
      <c r="G593" s="19" t="n"/>
      <c r="H593" s="19" t="n"/>
      <c r="I593" s="19" t="inlineStr">
        <is>
          <t>148</t>
        </is>
      </c>
      <c r="J593" t="n">
        <v>592</v>
      </c>
      <c r="K593" t="inlineStr">
        <is>
          <t>Phase J registry sync</t>
        </is>
      </c>
    </row>
    <row r="594">
      <c r="A594" s="19" t="inlineStr">
        <is>
          <t>593</t>
        </is>
      </c>
      <c r="B594" s="19" t="inlineStr">
        <is>
          <t>593</t>
        </is>
      </c>
      <c r="C594" s="19" t="n"/>
      <c r="D594" s="19" t="n"/>
      <c r="E594" s="19" t="n"/>
      <c r="F594" s="19" t="n"/>
      <c r="G594" s="19" t="inlineStr">
        <is>
          <t>149</t>
        </is>
      </c>
      <c r="H594" s="19" t="n"/>
      <c r="I594" s="19" t="n"/>
      <c r="J594" t="n">
        <v>593</v>
      </c>
      <c r="K594" t="inlineStr">
        <is>
          <t>Phase J registry sync</t>
        </is>
      </c>
    </row>
    <row r="595">
      <c r="A595" s="19" t="inlineStr">
        <is>
          <t>594</t>
        </is>
      </c>
      <c r="B595" s="19" t="inlineStr">
        <is>
          <t>594</t>
        </is>
      </c>
      <c r="C595" s="19" t="n"/>
      <c r="D595" s="19" t="n"/>
      <c r="E595" s="19" t="n"/>
      <c r="F595" s="19" t="n"/>
      <c r="G595" s="19" t="n"/>
      <c r="H595" s="19" t="inlineStr">
        <is>
          <t>149</t>
        </is>
      </c>
      <c r="I595" s="19" t="n"/>
      <c r="J595" t="n">
        <v>594</v>
      </c>
      <c r="K595" t="inlineStr">
        <is>
          <t>Phase J registry sync</t>
        </is>
      </c>
    </row>
    <row r="596">
      <c r="A596" s="19" t="inlineStr">
        <is>
          <t>595</t>
        </is>
      </c>
      <c r="B596" s="19" t="inlineStr">
        <is>
          <t>595</t>
        </is>
      </c>
      <c r="C596" s="19" t="n"/>
      <c r="D596" s="19" t="n"/>
      <c r="E596" s="19" t="inlineStr">
        <is>
          <t>149</t>
        </is>
      </c>
      <c r="F596" s="19" t="n"/>
      <c r="G596" s="19" t="n"/>
      <c r="H596" s="19" t="n"/>
      <c r="I596" s="19" t="n"/>
      <c r="J596" t="n">
        <v>595</v>
      </c>
      <c r="K596" t="inlineStr">
        <is>
          <t>Phase J registry sync</t>
        </is>
      </c>
    </row>
    <row r="597">
      <c r="A597" s="19" t="inlineStr">
        <is>
          <t>596</t>
        </is>
      </c>
      <c r="B597" s="19" t="inlineStr">
        <is>
          <t>596</t>
        </is>
      </c>
      <c r="C597" s="19" t="n"/>
      <c r="D597" s="19" t="n"/>
      <c r="E597" s="19" t="n"/>
      <c r="F597" s="19" t="n"/>
      <c r="G597" s="19" t="n"/>
      <c r="H597" s="19" t="n"/>
      <c r="I597" s="19" t="inlineStr">
        <is>
          <t>149</t>
        </is>
      </c>
      <c r="J597" t="n">
        <v>596</v>
      </c>
      <c r="K597" t="inlineStr">
        <is>
          <t>Phase J registry sync</t>
        </is>
      </c>
    </row>
    <row r="598">
      <c r="A598" s="19" t="inlineStr">
        <is>
          <t>597</t>
        </is>
      </c>
      <c r="B598" s="19" t="inlineStr">
        <is>
          <t>597</t>
        </is>
      </c>
      <c r="C598" s="19" t="n"/>
      <c r="D598" s="19" t="n"/>
      <c r="E598" s="19" t="n"/>
      <c r="F598" s="19" t="n"/>
      <c r="G598" s="19" t="inlineStr">
        <is>
          <t>150</t>
        </is>
      </c>
      <c r="H598" s="19" t="n"/>
      <c r="I598" s="19" t="n"/>
      <c r="J598" t="n">
        <v>597</v>
      </c>
      <c r="K598" t="inlineStr">
        <is>
          <t>Phase J registry sync</t>
        </is>
      </c>
    </row>
    <row r="599">
      <c r="A599" s="19" t="inlineStr">
        <is>
          <t>598</t>
        </is>
      </c>
      <c r="B599" s="19" t="inlineStr">
        <is>
          <t>598</t>
        </is>
      </c>
      <c r="C599" s="19" t="n"/>
      <c r="D599" s="19" t="n"/>
      <c r="E599" s="19" t="n"/>
      <c r="F599" s="19" t="n"/>
      <c r="G599" s="19" t="n"/>
      <c r="H599" s="19" t="inlineStr">
        <is>
          <t>150</t>
        </is>
      </c>
      <c r="I599" s="19" t="n"/>
      <c r="J599" t="n">
        <v>598</v>
      </c>
      <c r="K599" t="inlineStr">
        <is>
          <t>Phase J registry sync</t>
        </is>
      </c>
    </row>
    <row r="600">
      <c r="A600" s="19" t="inlineStr">
        <is>
          <t>599</t>
        </is>
      </c>
      <c r="B600" s="19" t="inlineStr">
        <is>
          <t>599</t>
        </is>
      </c>
      <c r="C600" s="19" t="n"/>
      <c r="D600" s="19" t="n"/>
      <c r="E600" s="19" t="inlineStr">
        <is>
          <t>150</t>
        </is>
      </c>
      <c r="F600" s="19" t="n"/>
      <c r="G600" s="19" t="n"/>
      <c r="H600" s="19" t="n"/>
      <c r="I600" s="19" t="n"/>
      <c r="J600" t="n">
        <v>599</v>
      </c>
      <c r="K600" t="inlineStr">
        <is>
          <t>Phase J registry sync</t>
        </is>
      </c>
    </row>
    <row r="601">
      <c r="A601" s="19" t="inlineStr">
        <is>
          <t>600</t>
        </is>
      </c>
      <c r="B601" s="19" t="inlineStr">
        <is>
          <t>600</t>
        </is>
      </c>
      <c r="C601" s="19" t="n"/>
      <c r="D601" s="19" t="n"/>
      <c r="E601" s="19" t="n"/>
      <c r="F601" s="19" t="n"/>
      <c r="G601" s="19" t="n"/>
      <c r="H601" s="19" t="n"/>
      <c r="I601" s="19" t="inlineStr">
        <is>
          <t>150</t>
        </is>
      </c>
      <c r="J601" t="n">
        <v>600</v>
      </c>
      <c r="K601" t="inlineStr">
        <is>
          <t>Phase J registry sync</t>
        </is>
      </c>
    </row>
    <row r="602">
      <c r="A602" s="19" t="inlineStr">
        <is>
          <t>601</t>
        </is>
      </c>
      <c r="B602" s="19" t="inlineStr">
        <is>
          <t>601</t>
        </is>
      </c>
      <c r="C602" s="19" t="n"/>
      <c r="D602" s="19" t="n"/>
      <c r="E602" s="19" t="n"/>
      <c r="F602" s="19" t="n"/>
      <c r="G602" s="19" t="inlineStr">
        <is>
          <t>151</t>
        </is>
      </c>
      <c r="H602" s="19" t="n"/>
      <c r="I602" s="19" t="n"/>
      <c r="J602" t="n">
        <v>601</v>
      </c>
      <c r="K602" t="inlineStr">
        <is>
          <t>Phase J registry sync</t>
        </is>
      </c>
    </row>
    <row r="603">
      <c r="A603" s="19" t="inlineStr">
        <is>
          <t>602</t>
        </is>
      </c>
      <c r="B603" s="19" t="inlineStr">
        <is>
          <t>602</t>
        </is>
      </c>
      <c r="C603" s="19" t="n"/>
      <c r="D603" s="19" t="n"/>
      <c r="E603" s="19" t="n"/>
      <c r="F603" s="19" t="n"/>
      <c r="G603" s="19" t="n"/>
      <c r="H603" s="19" t="inlineStr">
        <is>
          <t>151</t>
        </is>
      </c>
      <c r="I603" s="19" t="n"/>
      <c r="J603" t="n">
        <v>602</v>
      </c>
      <c r="K603" t="inlineStr">
        <is>
          <t>Phase J registry sync</t>
        </is>
      </c>
    </row>
    <row r="604">
      <c r="A604" s="19" t="inlineStr">
        <is>
          <t>603</t>
        </is>
      </c>
      <c r="B604" s="19" t="inlineStr">
        <is>
          <t>603</t>
        </is>
      </c>
      <c r="C604" s="19" t="n"/>
      <c r="D604" s="19" t="n"/>
      <c r="E604" s="19" t="inlineStr">
        <is>
          <t>151</t>
        </is>
      </c>
      <c r="F604" s="19" t="n"/>
      <c r="G604" s="19" t="n"/>
      <c r="H604" s="19" t="n"/>
      <c r="I604" s="19" t="n"/>
      <c r="J604" t="n">
        <v>603</v>
      </c>
      <c r="K604" t="inlineStr">
        <is>
          <t>Phase J registry sync</t>
        </is>
      </c>
    </row>
    <row r="605">
      <c r="A605" s="19" t="inlineStr">
        <is>
          <t>604</t>
        </is>
      </c>
      <c r="B605" s="19" t="inlineStr">
        <is>
          <t>604</t>
        </is>
      </c>
      <c r="C605" s="19" t="n"/>
      <c r="D605" s="19" t="n"/>
      <c r="E605" s="19" t="n"/>
      <c r="F605" s="19" t="n"/>
      <c r="G605" s="19" t="n"/>
      <c r="H605" s="19" t="n"/>
      <c r="I605" s="19" t="inlineStr">
        <is>
          <t>151</t>
        </is>
      </c>
      <c r="J605" t="n">
        <v>604</v>
      </c>
      <c r="K605" t="inlineStr">
        <is>
          <t>Phase J registry sync</t>
        </is>
      </c>
    </row>
    <row r="606">
      <c r="A606" s="19" t="inlineStr">
        <is>
          <t>605</t>
        </is>
      </c>
      <c r="B606" s="19" t="inlineStr">
        <is>
          <t>605</t>
        </is>
      </c>
      <c r="C606" s="19" t="n"/>
      <c r="D606" s="19" t="n"/>
      <c r="E606" s="19" t="n"/>
      <c r="F606" s="19" t="n"/>
      <c r="G606" s="19" t="inlineStr">
        <is>
          <t>152</t>
        </is>
      </c>
      <c r="H606" s="19" t="n"/>
      <c r="I606" s="19" t="n"/>
      <c r="J606" t="n">
        <v>605</v>
      </c>
      <c r="K606" t="inlineStr">
        <is>
          <t>Phase J registry sync</t>
        </is>
      </c>
    </row>
    <row r="607">
      <c r="A607" s="19" t="inlineStr">
        <is>
          <t>606</t>
        </is>
      </c>
      <c r="B607" s="19" t="inlineStr">
        <is>
          <t>606</t>
        </is>
      </c>
      <c r="C607" s="19" t="n"/>
      <c r="D607" s="19" t="n"/>
      <c r="E607" s="19" t="n"/>
      <c r="F607" s="19" t="n"/>
      <c r="G607" s="19" t="n"/>
      <c r="H607" s="19" t="inlineStr">
        <is>
          <t>152</t>
        </is>
      </c>
      <c r="I607" s="19" t="n"/>
      <c r="J607" t="n">
        <v>606</v>
      </c>
      <c r="K607" t="inlineStr">
        <is>
          <t>Phase J registry sync</t>
        </is>
      </c>
    </row>
    <row r="608">
      <c r="A608" s="19" t="inlineStr">
        <is>
          <t>607</t>
        </is>
      </c>
      <c r="B608" s="19" t="inlineStr">
        <is>
          <t>607</t>
        </is>
      </c>
      <c r="C608" s="19" t="n"/>
      <c r="D608" s="19" t="n"/>
      <c r="E608" s="19" t="inlineStr">
        <is>
          <t>152</t>
        </is>
      </c>
      <c r="F608" s="19" t="n"/>
      <c r="G608" s="19" t="n"/>
      <c r="H608" s="19" t="n"/>
      <c r="I608" s="19" t="n"/>
      <c r="J608" t="n">
        <v>607</v>
      </c>
      <c r="K608" t="inlineStr">
        <is>
          <t>Phase J registry sync</t>
        </is>
      </c>
    </row>
    <row r="609">
      <c r="A609" s="19" t="inlineStr">
        <is>
          <t>608</t>
        </is>
      </c>
      <c r="B609" s="19" t="inlineStr">
        <is>
          <t>608</t>
        </is>
      </c>
      <c r="C609" s="19" t="n"/>
      <c r="D609" s="19" t="n"/>
      <c r="E609" s="19" t="n"/>
      <c r="F609" s="19" t="n"/>
      <c r="G609" s="19" t="n"/>
      <c r="H609" s="19" t="n"/>
      <c r="I609" s="19" t="inlineStr">
        <is>
          <t>152</t>
        </is>
      </c>
      <c r="J609" t="n">
        <v>608</v>
      </c>
      <c r="K609" t="inlineStr">
        <is>
          <t>Phase J registry sync</t>
        </is>
      </c>
    </row>
    <row r="610">
      <c r="A610" s="19" t="inlineStr">
        <is>
          <t>609</t>
        </is>
      </c>
      <c r="B610" s="19" t="inlineStr">
        <is>
          <t>609</t>
        </is>
      </c>
      <c r="C610" s="19" t="n"/>
      <c r="D610" s="19" t="n"/>
      <c r="E610" s="19" t="n"/>
      <c r="F610" s="19" t="n"/>
      <c r="G610" s="19" t="inlineStr">
        <is>
          <t>153</t>
        </is>
      </c>
      <c r="H610" s="19" t="n"/>
      <c r="I610" s="19" t="n"/>
      <c r="J610" t="n">
        <v>609</v>
      </c>
      <c r="K610" t="inlineStr">
        <is>
          <t>Phase J registry sync</t>
        </is>
      </c>
    </row>
    <row r="611">
      <c r="A611" s="19" t="inlineStr">
        <is>
          <t>610</t>
        </is>
      </c>
      <c r="B611" s="19" t="inlineStr">
        <is>
          <t>610</t>
        </is>
      </c>
      <c r="C611" s="19" t="n"/>
      <c r="D611" s="19" t="n"/>
      <c r="E611" s="19" t="n"/>
      <c r="F611" s="19" t="n"/>
      <c r="G611" s="19" t="n"/>
      <c r="H611" s="19" t="inlineStr">
        <is>
          <t>153</t>
        </is>
      </c>
      <c r="I611" s="19" t="n"/>
      <c r="J611" t="n">
        <v>610</v>
      </c>
      <c r="K611" t="inlineStr">
        <is>
          <t>Phase J registry sync</t>
        </is>
      </c>
    </row>
    <row r="612">
      <c r="A612" s="19" t="inlineStr">
        <is>
          <t>611</t>
        </is>
      </c>
      <c r="B612" s="19" t="inlineStr">
        <is>
          <t>611</t>
        </is>
      </c>
      <c r="C612" s="19" t="n"/>
      <c r="D612" s="19" t="n"/>
      <c r="E612" s="19" t="inlineStr">
        <is>
          <t>153</t>
        </is>
      </c>
      <c r="F612" s="19" t="n"/>
      <c r="G612" s="19" t="n"/>
      <c r="H612" s="19" t="n"/>
      <c r="I612" s="19" t="n"/>
      <c r="J612" t="n">
        <v>611</v>
      </c>
      <c r="K612" t="inlineStr">
        <is>
          <t>Phase J registry sync</t>
        </is>
      </c>
    </row>
    <row r="613">
      <c r="A613" s="19" t="inlineStr">
        <is>
          <t>612</t>
        </is>
      </c>
      <c r="B613" s="19" t="inlineStr">
        <is>
          <t>612</t>
        </is>
      </c>
      <c r="C613" s="19" t="n"/>
      <c r="D613" s="19" t="n"/>
      <c r="E613" s="19" t="n"/>
      <c r="F613" s="19" t="n"/>
      <c r="G613" s="19" t="n"/>
      <c r="H613" s="19" t="n"/>
      <c r="I613" s="19" t="inlineStr">
        <is>
          <t>153</t>
        </is>
      </c>
      <c r="J613" t="n">
        <v>612</v>
      </c>
      <c r="K613" t="inlineStr">
        <is>
          <t>Phase J registry sync</t>
        </is>
      </c>
    </row>
    <row r="614">
      <c r="A614" s="19" t="inlineStr">
        <is>
          <t>613</t>
        </is>
      </c>
      <c r="B614" s="19" t="inlineStr">
        <is>
          <t>613</t>
        </is>
      </c>
      <c r="C614" s="19" t="n"/>
      <c r="D614" s="19" t="n"/>
      <c r="E614" s="19" t="n"/>
      <c r="F614" s="19" t="n"/>
      <c r="G614" s="19" t="inlineStr">
        <is>
          <t>154</t>
        </is>
      </c>
      <c r="H614" s="19" t="n"/>
      <c r="I614" s="19" t="n"/>
      <c r="J614" t="n">
        <v>613</v>
      </c>
      <c r="K614" t="inlineStr">
        <is>
          <t>Phase J registry sync</t>
        </is>
      </c>
    </row>
    <row r="615">
      <c r="A615" s="19" t="inlineStr">
        <is>
          <t>614</t>
        </is>
      </c>
      <c r="B615" s="19" t="inlineStr">
        <is>
          <t>614</t>
        </is>
      </c>
      <c r="C615" s="19" t="n"/>
      <c r="D615" s="19" t="n"/>
      <c r="E615" s="19" t="n"/>
      <c r="F615" s="19" t="n"/>
      <c r="G615" s="19" t="n"/>
      <c r="H615" s="19" t="inlineStr">
        <is>
          <t>154</t>
        </is>
      </c>
      <c r="I615" s="19" t="n"/>
      <c r="J615" t="n">
        <v>614</v>
      </c>
      <c r="K615" t="inlineStr">
        <is>
          <t>Phase J registry sync</t>
        </is>
      </c>
    </row>
    <row r="616">
      <c r="A616" s="19" t="inlineStr">
        <is>
          <t>615</t>
        </is>
      </c>
      <c r="B616" s="19" t="inlineStr">
        <is>
          <t>615</t>
        </is>
      </c>
      <c r="C616" s="19" t="n"/>
      <c r="D616" s="19" t="n"/>
      <c r="E616" s="19" t="inlineStr">
        <is>
          <t>154</t>
        </is>
      </c>
      <c r="F616" s="19" t="n"/>
      <c r="G616" s="19" t="n"/>
      <c r="H616" s="19" t="n"/>
      <c r="I616" s="19" t="n"/>
      <c r="J616" t="n">
        <v>615</v>
      </c>
      <c r="K616" t="inlineStr">
        <is>
          <t>Phase J registry sync</t>
        </is>
      </c>
    </row>
    <row r="617">
      <c r="A617" s="19" t="inlineStr">
        <is>
          <t>616</t>
        </is>
      </c>
      <c r="B617" s="19" t="inlineStr">
        <is>
          <t>616</t>
        </is>
      </c>
      <c r="C617" s="19" t="n"/>
      <c r="D617" s="19" t="n"/>
      <c r="E617" s="19" t="n"/>
      <c r="F617" s="19" t="n"/>
      <c r="G617" s="19" t="n"/>
      <c r="H617" s="19" t="n"/>
      <c r="I617" s="19" t="inlineStr">
        <is>
          <t>154</t>
        </is>
      </c>
      <c r="J617" t="n">
        <v>616</v>
      </c>
      <c r="K617" t="inlineStr">
        <is>
          <t>Phase J registry sync</t>
        </is>
      </c>
    </row>
    <row r="618">
      <c r="A618" s="19" t="inlineStr">
        <is>
          <t>617</t>
        </is>
      </c>
      <c r="B618" s="19" t="inlineStr">
        <is>
          <t>617</t>
        </is>
      </c>
      <c r="C618" s="19" t="n"/>
      <c r="D618" s="19" t="n"/>
      <c r="E618" s="19" t="n"/>
      <c r="F618" s="19" t="n"/>
      <c r="G618" s="19" t="inlineStr">
        <is>
          <t>155</t>
        </is>
      </c>
      <c r="H618" s="19" t="n"/>
      <c r="I618" s="19" t="n"/>
      <c r="J618" t="n">
        <v>617</v>
      </c>
      <c r="K618" t="inlineStr">
        <is>
          <t>Phase J registry sync</t>
        </is>
      </c>
    </row>
    <row r="619">
      <c r="A619" s="19" t="inlineStr">
        <is>
          <t>618</t>
        </is>
      </c>
      <c r="B619" s="19" t="inlineStr">
        <is>
          <t>618</t>
        </is>
      </c>
      <c r="C619" s="19" t="n"/>
      <c r="D619" s="19" t="n"/>
      <c r="E619" s="19" t="n"/>
      <c r="F619" s="19" t="n"/>
      <c r="G619" s="19" t="n"/>
      <c r="H619" s="19" t="inlineStr">
        <is>
          <t>155</t>
        </is>
      </c>
      <c r="I619" s="19" t="n"/>
      <c r="J619" t="n">
        <v>618</v>
      </c>
      <c r="K619" t="inlineStr">
        <is>
          <t>Phase J registry sync</t>
        </is>
      </c>
    </row>
    <row r="620">
      <c r="A620" s="19" t="inlineStr">
        <is>
          <t>619</t>
        </is>
      </c>
      <c r="B620" s="19" t="inlineStr">
        <is>
          <t>619</t>
        </is>
      </c>
      <c r="C620" s="19" t="n"/>
      <c r="D620" s="19" t="n"/>
      <c r="E620" s="19" t="inlineStr">
        <is>
          <t>155</t>
        </is>
      </c>
      <c r="F620" s="19" t="n"/>
      <c r="G620" s="19" t="n"/>
      <c r="H620" s="19" t="n"/>
      <c r="I620" s="19" t="n"/>
      <c r="J620" t="n">
        <v>619</v>
      </c>
      <c r="K620" t="inlineStr">
        <is>
          <t>Phase J registry sync</t>
        </is>
      </c>
    </row>
    <row r="621">
      <c r="A621" s="19" t="inlineStr">
        <is>
          <t>620</t>
        </is>
      </c>
      <c r="B621" s="19" t="inlineStr">
        <is>
          <t>620</t>
        </is>
      </c>
      <c r="C621" s="19" t="n"/>
      <c r="D621" s="19" t="n"/>
      <c r="E621" s="19" t="n"/>
      <c r="F621" s="19" t="n"/>
      <c r="G621" s="19" t="n"/>
      <c r="H621" s="19" t="n"/>
      <c r="I621" s="19" t="inlineStr">
        <is>
          <t>155</t>
        </is>
      </c>
      <c r="J621" t="n">
        <v>620</v>
      </c>
      <c r="K621" t="inlineStr">
        <is>
          <t>Phase J registry sync</t>
        </is>
      </c>
    </row>
    <row r="622">
      <c r="A622" s="19" t="inlineStr">
        <is>
          <t>621</t>
        </is>
      </c>
      <c r="B622" s="19" t="inlineStr">
        <is>
          <t>621</t>
        </is>
      </c>
      <c r="C622" s="19" t="n"/>
      <c r="D622" s="19" t="n"/>
      <c r="E622" s="19" t="n"/>
      <c r="F622" s="19" t="n"/>
      <c r="G622" s="19" t="inlineStr">
        <is>
          <t>156</t>
        </is>
      </c>
      <c r="H622" s="19" t="n"/>
      <c r="I622" s="19" t="n"/>
      <c r="J622" t="n">
        <v>621</v>
      </c>
      <c r="K622" t="inlineStr">
        <is>
          <t>Phase J registry sync</t>
        </is>
      </c>
    </row>
    <row r="623">
      <c r="A623" s="19" t="inlineStr">
        <is>
          <t>622</t>
        </is>
      </c>
      <c r="B623" s="19" t="inlineStr">
        <is>
          <t>622</t>
        </is>
      </c>
      <c r="C623" s="19" t="n"/>
      <c r="D623" s="19" t="n"/>
      <c r="E623" s="19" t="n"/>
      <c r="F623" s="19" t="n"/>
      <c r="G623" s="19" t="n"/>
      <c r="H623" s="19" t="inlineStr">
        <is>
          <t>156</t>
        </is>
      </c>
      <c r="I623" s="19" t="n"/>
      <c r="J623" t="n">
        <v>622</v>
      </c>
      <c r="K623" t="inlineStr">
        <is>
          <t>Phase J registry sync</t>
        </is>
      </c>
    </row>
    <row r="624">
      <c r="A624" s="19" t="inlineStr">
        <is>
          <t>623</t>
        </is>
      </c>
      <c r="B624" s="19" t="inlineStr">
        <is>
          <t>623</t>
        </is>
      </c>
      <c r="C624" s="19" t="n"/>
      <c r="D624" s="19" t="n"/>
      <c r="E624" s="19" t="inlineStr">
        <is>
          <t>156</t>
        </is>
      </c>
      <c r="F624" s="19" t="n"/>
      <c r="G624" s="19" t="n"/>
      <c r="H624" s="19" t="n"/>
      <c r="I624" s="19" t="n"/>
      <c r="J624" t="n">
        <v>623</v>
      </c>
      <c r="K624" t="inlineStr">
        <is>
          <t>Phase J registry sync</t>
        </is>
      </c>
    </row>
    <row r="625">
      <c r="A625" s="19" t="inlineStr">
        <is>
          <t>624</t>
        </is>
      </c>
      <c r="B625" s="19" t="inlineStr">
        <is>
          <t>624</t>
        </is>
      </c>
      <c r="C625" s="19" t="n"/>
      <c r="D625" s="19" t="n"/>
      <c r="E625" s="19" t="n"/>
      <c r="F625" s="19" t="n"/>
      <c r="G625" s="19" t="n"/>
      <c r="H625" s="19" t="n"/>
      <c r="I625" s="19" t="inlineStr">
        <is>
          <t>156</t>
        </is>
      </c>
      <c r="J625" t="n">
        <v>624</v>
      </c>
      <c r="K625" t="inlineStr">
        <is>
          <t>Phase J registry sync</t>
        </is>
      </c>
    </row>
    <row r="626">
      <c r="A626" s="19" t="inlineStr">
        <is>
          <t>625</t>
        </is>
      </c>
      <c r="B626" s="19" t="inlineStr">
        <is>
          <t>625</t>
        </is>
      </c>
      <c r="C626" s="19" t="n"/>
      <c r="D626" s="19" t="n"/>
      <c r="E626" s="19" t="n"/>
      <c r="F626" s="19" t="n"/>
      <c r="G626" s="19" t="inlineStr">
        <is>
          <t>157</t>
        </is>
      </c>
      <c r="H626" s="19" t="n"/>
      <c r="I626" s="19" t="n"/>
      <c r="J626" t="n">
        <v>625</v>
      </c>
      <c r="K626" t="inlineStr">
        <is>
          <t>Phase J registry sync</t>
        </is>
      </c>
    </row>
    <row r="627">
      <c r="A627" s="19" t="inlineStr">
        <is>
          <t>626</t>
        </is>
      </c>
      <c r="B627" s="19" t="inlineStr">
        <is>
          <t>626</t>
        </is>
      </c>
      <c r="C627" s="19" t="n"/>
      <c r="D627" s="19" t="n"/>
      <c r="E627" s="19" t="n"/>
      <c r="F627" s="19" t="n"/>
      <c r="G627" s="19" t="n"/>
      <c r="H627" s="19" t="inlineStr">
        <is>
          <t>157</t>
        </is>
      </c>
      <c r="I627" s="19" t="n"/>
      <c r="J627" t="n">
        <v>626</v>
      </c>
      <c r="K627" t="inlineStr">
        <is>
          <t>Phase J registry sync</t>
        </is>
      </c>
    </row>
    <row r="628">
      <c r="A628" s="19" t="inlineStr">
        <is>
          <t>627</t>
        </is>
      </c>
      <c r="B628" s="19" t="inlineStr">
        <is>
          <t>627</t>
        </is>
      </c>
      <c r="C628" s="19" t="n"/>
      <c r="D628" s="19" t="n"/>
      <c r="E628" s="19" t="inlineStr">
        <is>
          <t>157</t>
        </is>
      </c>
      <c r="F628" s="19" t="n"/>
      <c r="G628" s="19" t="n"/>
      <c r="H628" s="19" t="n"/>
      <c r="I628" s="19" t="n"/>
      <c r="J628" t="n">
        <v>627</v>
      </c>
      <c r="K628" t="inlineStr">
        <is>
          <t>Phase J registry sync</t>
        </is>
      </c>
    </row>
    <row r="629">
      <c r="A629" s="19" t="inlineStr">
        <is>
          <t>628</t>
        </is>
      </c>
      <c r="B629" s="19" t="inlineStr">
        <is>
          <t>628</t>
        </is>
      </c>
      <c r="C629" s="19" t="n"/>
      <c r="D629" s="19" t="n"/>
      <c r="E629" s="19" t="n"/>
      <c r="F629" s="19" t="n"/>
      <c r="G629" s="19" t="n"/>
      <c r="H629" s="19" t="n"/>
      <c r="I629" s="19" t="inlineStr">
        <is>
          <t>157</t>
        </is>
      </c>
      <c r="J629" t="n">
        <v>628</v>
      </c>
      <c r="K629" t="inlineStr">
        <is>
          <t>Phase J registry sync</t>
        </is>
      </c>
    </row>
    <row r="630">
      <c r="A630" s="19" t="inlineStr">
        <is>
          <t>629</t>
        </is>
      </c>
      <c r="B630" s="19" t="inlineStr">
        <is>
          <t>629</t>
        </is>
      </c>
      <c r="C630" s="19" t="n"/>
      <c r="D630" s="19" t="n"/>
      <c r="E630" s="19" t="n"/>
      <c r="F630" s="19" t="n"/>
      <c r="G630" s="19" t="inlineStr">
        <is>
          <t>158</t>
        </is>
      </c>
      <c r="H630" s="19" t="n"/>
      <c r="I630" s="19" t="n"/>
      <c r="J630" t="n">
        <v>629</v>
      </c>
      <c r="K630" t="inlineStr">
        <is>
          <t>Phase J registry sync</t>
        </is>
      </c>
    </row>
    <row r="631">
      <c r="A631" s="19" t="inlineStr">
        <is>
          <t>630</t>
        </is>
      </c>
      <c r="B631" s="19" t="inlineStr">
        <is>
          <t>630</t>
        </is>
      </c>
      <c r="C631" s="19" t="n"/>
      <c r="D631" s="19" t="n"/>
      <c r="E631" s="19" t="n"/>
      <c r="F631" s="19" t="n"/>
      <c r="G631" s="19" t="n"/>
      <c r="H631" s="19" t="inlineStr">
        <is>
          <t>158</t>
        </is>
      </c>
      <c r="I631" s="19" t="n"/>
      <c r="J631" t="n">
        <v>630</v>
      </c>
      <c r="K631" t="inlineStr">
        <is>
          <t>Phase J registry sync</t>
        </is>
      </c>
    </row>
    <row r="632">
      <c r="A632" s="19" t="inlineStr">
        <is>
          <t>631</t>
        </is>
      </c>
      <c r="B632" s="19" t="inlineStr">
        <is>
          <t>631</t>
        </is>
      </c>
      <c r="C632" s="19" t="n"/>
      <c r="D632" s="19" t="n"/>
      <c r="E632" s="19" t="inlineStr">
        <is>
          <t>158</t>
        </is>
      </c>
      <c r="F632" s="19" t="n"/>
      <c r="G632" s="19" t="n"/>
      <c r="H632" s="19" t="n"/>
      <c r="I632" s="19" t="n"/>
      <c r="J632" t="n">
        <v>631</v>
      </c>
      <c r="K632" t="inlineStr">
        <is>
          <t>Phase J registry sync</t>
        </is>
      </c>
    </row>
    <row r="633">
      <c r="A633" s="19" t="inlineStr">
        <is>
          <t>632</t>
        </is>
      </c>
      <c r="B633" s="19" t="inlineStr">
        <is>
          <t>632</t>
        </is>
      </c>
      <c r="C633" s="19" t="n"/>
      <c r="D633" s="19" t="n"/>
      <c r="E633" s="19" t="n"/>
      <c r="F633" s="19" t="n"/>
      <c r="G633" s="19" t="n"/>
      <c r="H633" s="19" t="n"/>
      <c r="I633" s="19" t="inlineStr">
        <is>
          <t>158</t>
        </is>
      </c>
      <c r="J633" t="n">
        <v>632</v>
      </c>
      <c r="K633" t="inlineStr">
        <is>
          <t>Phase J registry sync</t>
        </is>
      </c>
    </row>
    <row r="634">
      <c r="A634" s="19" t="inlineStr">
        <is>
          <t>633</t>
        </is>
      </c>
      <c r="B634" s="19" t="inlineStr">
        <is>
          <t>633</t>
        </is>
      </c>
      <c r="C634" s="19" t="n"/>
      <c r="D634" s="19" t="n"/>
      <c r="E634" s="19" t="n"/>
      <c r="F634" s="19" t="n"/>
      <c r="G634" s="19" t="inlineStr">
        <is>
          <t>159</t>
        </is>
      </c>
      <c r="H634" s="19" t="n"/>
      <c r="I634" s="19" t="n"/>
      <c r="J634" t="n">
        <v>633</v>
      </c>
      <c r="K634" t="inlineStr">
        <is>
          <t>Phase J registry sync</t>
        </is>
      </c>
    </row>
    <row r="635">
      <c r="A635" s="19" t="inlineStr">
        <is>
          <t>634</t>
        </is>
      </c>
      <c r="B635" s="19" t="inlineStr">
        <is>
          <t>634</t>
        </is>
      </c>
      <c r="C635" s="19" t="n"/>
      <c r="D635" s="19" t="n"/>
      <c r="E635" s="19" t="n"/>
      <c r="F635" s="19" t="n"/>
      <c r="G635" s="19" t="n"/>
      <c r="H635" s="19" t="inlineStr">
        <is>
          <t>159</t>
        </is>
      </c>
      <c r="I635" s="19" t="n"/>
      <c r="J635" t="n">
        <v>634</v>
      </c>
      <c r="K635" t="inlineStr">
        <is>
          <t>Phase J registry sync</t>
        </is>
      </c>
    </row>
    <row r="636">
      <c r="A636" s="19" t="inlineStr">
        <is>
          <t>635</t>
        </is>
      </c>
      <c r="B636" s="19" t="inlineStr">
        <is>
          <t>635</t>
        </is>
      </c>
      <c r="C636" s="19" t="n"/>
      <c r="D636" s="19" t="n"/>
      <c r="E636" s="19" t="inlineStr">
        <is>
          <t>159</t>
        </is>
      </c>
      <c r="F636" s="19" t="n"/>
      <c r="G636" s="19" t="n"/>
      <c r="H636" s="19" t="n"/>
      <c r="I636" s="19" t="n"/>
      <c r="J636" t="n">
        <v>635</v>
      </c>
      <c r="K636" t="inlineStr">
        <is>
          <t>Phase J registry sync</t>
        </is>
      </c>
    </row>
    <row r="637">
      <c r="A637" s="19" t="inlineStr">
        <is>
          <t>636</t>
        </is>
      </c>
      <c r="B637" s="19" t="inlineStr">
        <is>
          <t>636</t>
        </is>
      </c>
      <c r="C637" s="19" t="n"/>
      <c r="D637" s="19" t="n"/>
      <c r="E637" s="19" t="n"/>
      <c r="F637" s="19" t="n"/>
      <c r="G637" s="19" t="n"/>
      <c r="H637" s="19" t="n"/>
      <c r="I637" s="19" t="inlineStr">
        <is>
          <t>159</t>
        </is>
      </c>
      <c r="J637" t="n">
        <v>636</v>
      </c>
      <c r="K637" t="inlineStr">
        <is>
          <t>Phase J registry sync</t>
        </is>
      </c>
    </row>
    <row r="638">
      <c r="A638" s="19" t="inlineStr">
        <is>
          <t>637</t>
        </is>
      </c>
      <c r="B638" s="19" t="inlineStr">
        <is>
          <t>637</t>
        </is>
      </c>
      <c r="C638" s="19" t="n"/>
      <c r="D638" s="19" t="n"/>
      <c r="E638" s="19" t="n"/>
      <c r="F638" s="19" t="n"/>
      <c r="G638" s="19" t="inlineStr">
        <is>
          <t>160</t>
        </is>
      </c>
      <c r="H638" s="19" t="n"/>
      <c r="I638" s="19" t="n"/>
      <c r="J638" t="n">
        <v>637</v>
      </c>
      <c r="K638" t="inlineStr">
        <is>
          <t>Phase J registry sync</t>
        </is>
      </c>
    </row>
    <row r="639">
      <c r="A639" s="19" t="inlineStr">
        <is>
          <t>638</t>
        </is>
      </c>
      <c r="B639" s="19" t="inlineStr">
        <is>
          <t>638</t>
        </is>
      </c>
      <c r="C639" s="19" t="n"/>
      <c r="D639" s="19" t="n"/>
      <c r="E639" s="19" t="n"/>
      <c r="F639" s="19" t="n"/>
      <c r="G639" s="19" t="n"/>
      <c r="H639" s="19" t="inlineStr">
        <is>
          <t>160</t>
        </is>
      </c>
      <c r="I639" s="19" t="n"/>
      <c r="J639" t="n">
        <v>638</v>
      </c>
      <c r="K639" t="inlineStr">
        <is>
          <t>Phase J registry sync</t>
        </is>
      </c>
    </row>
    <row r="640">
      <c r="A640" s="19" t="inlineStr">
        <is>
          <t>639</t>
        </is>
      </c>
      <c r="B640" s="19" t="inlineStr">
        <is>
          <t>639</t>
        </is>
      </c>
      <c r="C640" s="19" t="n"/>
      <c r="D640" s="19" t="n"/>
      <c r="E640" s="19" t="inlineStr">
        <is>
          <t>160</t>
        </is>
      </c>
      <c r="F640" s="19" t="n"/>
      <c r="G640" s="19" t="n"/>
      <c r="H640" s="19" t="n"/>
      <c r="I640" s="19" t="n"/>
      <c r="J640" t="n">
        <v>639</v>
      </c>
      <c r="K640" t="inlineStr">
        <is>
          <t>Phase J registry sync</t>
        </is>
      </c>
    </row>
    <row r="641">
      <c r="A641" s="19" t="inlineStr">
        <is>
          <t>640</t>
        </is>
      </c>
      <c r="B641" s="19" t="inlineStr">
        <is>
          <t>640</t>
        </is>
      </c>
      <c r="C641" s="19" t="n"/>
      <c r="D641" s="19" t="n"/>
      <c r="E641" s="19" t="n"/>
      <c r="F641" s="19" t="n"/>
      <c r="G641" s="19" t="n"/>
      <c r="H641" s="19" t="n"/>
      <c r="I641" s="19" t="inlineStr">
        <is>
          <t>160</t>
        </is>
      </c>
      <c r="J641" t="n">
        <v>640</v>
      </c>
      <c r="K641" t="inlineStr">
        <is>
          <t>Phase J registry sync</t>
        </is>
      </c>
    </row>
    <row r="642">
      <c r="A642" s="19" t="inlineStr">
        <is>
          <t>641</t>
        </is>
      </c>
      <c r="B642" s="19" t="inlineStr">
        <is>
          <t>641</t>
        </is>
      </c>
      <c r="C642" s="19" t="n"/>
      <c r="D642" s="19" t="n"/>
      <c r="E642" s="19" t="n"/>
      <c r="F642" s="19" t="n"/>
      <c r="G642" s="19" t="inlineStr">
        <is>
          <t>161</t>
        </is>
      </c>
      <c r="H642" s="19" t="n"/>
      <c r="I642" s="19" t="n"/>
      <c r="J642" t="n">
        <v>641</v>
      </c>
      <c r="K642" t="inlineStr">
        <is>
          <t>Phase J registry sync</t>
        </is>
      </c>
    </row>
    <row r="643">
      <c r="A643" s="19" t="inlineStr">
        <is>
          <t>642</t>
        </is>
      </c>
      <c r="B643" s="19" t="inlineStr">
        <is>
          <t>642</t>
        </is>
      </c>
      <c r="C643" s="19" t="n"/>
      <c r="D643" s="19" t="n"/>
      <c r="E643" s="19" t="n"/>
      <c r="F643" s="19" t="n"/>
      <c r="G643" s="19" t="n"/>
      <c r="H643" s="19" t="inlineStr">
        <is>
          <t>161</t>
        </is>
      </c>
      <c r="I643" s="19" t="n"/>
      <c r="J643" t="n">
        <v>642</v>
      </c>
      <c r="K643" t="inlineStr">
        <is>
          <t>Phase J registry sync</t>
        </is>
      </c>
    </row>
    <row r="644">
      <c r="A644" s="19" t="inlineStr">
        <is>
          <t>643</t>
        </is>
      </c>
      <c r="B644" s="19" t="inlineStr">
        <is>
          <t>643</t>
        </is>
      </c>
      <c r="C644" s="19" t="n"/>
      <c r="D644" s="19" t="n"/>
      <c r="E644" s="19" t="inlineStr">
        <is>
          <t>161</t>
        </is>
      </c>
      <c r="F644" s="19" t="n"/>
      <c r="G644" s="19" t="n"/>
      <c r="H644" s="19" t="n"/>
      <c r="I644" s="19" t="n"/>
      <c r="J644" t="n">
        <v>643</v>
      </c>
      <c r="K644" t="inlineStr">
        <is>
          <t>Phase J registry sync</t>
        </is>
      </c>
    </row>
    <row r="645">
      <c r="A645" s="19" t="inlineStr">
        <is>
          <t>644</t>
        </is>
      </c>
      <c r="B645" s="19" t="inlineStr">
        <is>
          <t>644</t>
        </is>
      </c>
      <c r="C645" s="19" t="n"/>
      <c r="D645" s="19" t="n"/>
      <c r="E645" s="19" t="n"/>
      <c r="F645" s="19" t="n"/>
      <c r="G645" s="19" t="n"/>
      <c r="H645" s="19" t="n"/>
      <c r="I645" s="19" t="inlineStr">
        <is>
          <t>161</t>
        </is>
      </c>
      <c r="J645" t="n">
        <v>644</v>
      </c>
      <c r="K645" t="inlineStr">
        <is>
          <t>Phase J registry sync</t>
        </is>
      </c>
    </row>
    <row r="646">
      <c r="A646" s="19" t="inlineStr">
        <is>
          <t>645</t>
        </is>
      </c>
      <c r="B646" s="19" t="inlineStr">
        <is>
          <t>645</t>
        </is>
      </c>
      <c r="C646" s="19" t="n"/>
      <c r="D646" s="19" t="n"/>
      <c r="E646" s="19" t="n"/>
      <c r="F646" s="19" t="n"/>
      <c r="G646" s="19" t="inlineStr">
        <is>
          <t>162</t>
        </is>
      </c>
      <c r="H646" s="19" t="n"/>
      <c r="I646" s="19" t="n"/>
      <c r="J646" t="n">
        <v>645</v>
      </c>
      <c r="K646" t="inlineStr">
        <is>
          <t>Phase J registry sync</t>
        </is>
      </c>
    </row>
    <row r="647">
      <c r="A647" s="19" t="inlineStr">
        <is>
          <t>646</t>
        </is>
      </c>
      <c r="B647" s="19" t="inlineStr">
        <is>
          <t>646</t>
        </is>
      </c>
      <c r="C647" s="19" t="n"/>
      <c r="D647" s="19" t="n"/>
      <c r="E647" s="19" t="n"/>
      <c r="F647" s="19" t="n"/>
      <c r="G647" s="19" t="n"/>
      <c r="H647" s="19" t="inlineStr">
        <is>
          <t>162</t>
        </is>
      </c>
      <c r="I647" s="19" t="n"/>
      <c r="J647" t="n">
        <v>646</v>
      </c>
      <c r="K647" t="inlineStr">
        <is>
          <t>Phase J registry sync</t>
        </is>
      </c>
    </row>
    <row r="648">
      <c r="A648" s="19" t="inlineStr">
        <is>
          <t>647</t>
        </is>
      </c>
      <c r="B648" s="19" t="inlineStr">
        <is>
          <t>647</t>
        </is>
      </c>
      <c r="C648" s="19" t="n"/>
      <c r="D648" s="19" t="n"/>
      <c r="E648" s="19" t="inlineStr">
        <is>
          <t>162</t>
        </is>
      </c>
      <c r="F648" s="19" t="n"/>
      <c r="G648" s="19" t="n"/>
      <c r="H648" s="19" t="n"/>
      <c r="I648" s="19" t="n"/>
      <c r="J648" t="n">
        <v>647</v>
      </c>
      <c r="K648" t="inlineStr">
        <is>
          <t>Phase J registry sync</t>
        </is>
      </c>
    </row>
    <row r="649">
      <c r="A649" s="19" t="inlineStr">
        <is>
          <t>648</t>
        </is>
      </c>
      <c r="B649" s="19" t="inlineStr">
        <is>
          <t>648</t>
        </is>
      </c>
      <c r="C649" s="19" t="n"/>
      <c r="D649" s="19" t="n"/>
      <c r="E649" s="19" t="n"/>
      <c r="F649" s="19" t="n"/>
      <c r="G649" s="19" t="n"/>
      <c r="H649" s="19" t="n"/>
      <c r="I649" s="19" t="inlineStr">
        <is>
          <t>162</t>
        </is>
      </c>
      <c r="J649" t="n">
        <v>648</v>
      </c>
      <c r="K649" t="inlineStr">
        <is>
          <t>Phase J registry sync</t>
        </is>
      </c>
    </row>
    <row r="650">
      <c r="A650" s="19" t="inlineStr">
        <is>
          <t>649</t>
        </is>
      </c>
      <c r="B650" s="19" t="inlineStr">
        <is>
          <t>649</t>
        </is>
      </c>
      <c r="C650" s="19" t="n"/>
      <c r="D650" s="19" t="n"/>
      <c r="E650" s="19" t="n"/>
      <c r="F650" s="19" t="n"/>
      <c r="G650" s="19" t="inlineStr">
        <is>
          <t>163</t>
        </is>
      </c>
      <c r="H650" s="19" t="n"/>
      <c r="I650" s="19" t="n"/>
      <c r="J650" t="n">
        <v>649</v>
      </c>
      <c r="K650" t="inlineStr">
        <is>
          <t>Phase J registry sync</t>
        </is>
      </c>
    </row>
    <row r="651">
      <c r="A651" s="19" t="inlineStr">
        <is>
          <t>650</t>
        </is>
      </c>
      <c r="B651" s="19" t="inlineStr">
        <is>
          <t>650</t>
        </is>
      </c>
      <c r="C651" s="19" t="n"/>
      <c r="D651" s="19" t="n"/>
      <c r="E651" s="19" t="n"/>
      <c r="F651" s="19" t="n"/>
      <c r="G651" s="19" t="n"/>
      <c r="H651" s="19" t="inlineStr">
        <is>
          <t>163</t>
        </is>
      </c>
      <c r="I651" s="19" t="n"/>
      <c r="J651" t="n">
        <v>650</v>
      </c>
      <c r="K651" t="inlineStr">
        <is>
          <t>Phase J registry sync</t>
        </is>
      </c>
    </row>
    <row r="652">
      <c r="A652" s="19" t="inlineStr">
        <is>
          <t>651</t>
        </is>
      </c>
      <c r="B652" s="19" t="inlineStr">
        <is>
          <t>651</t>
        </is>
      </c>
      <c r="C652" s="19" t="n"/>
      <c r="D652" s="19" t="n"/>
      <c r="E652" s="19" t="inlineStr">
        <is>
          <t>163</t>
        </is>
      </c>
      <c r="F652" s="19" t="n"/>
      <c r="G652" s="19" t="n"/>
      <c r="H652" s="19" t="n"/>
      <c r="I652" s="19" t="n"/>
      <c r="J652" t="n">
        <v>651</v>
      </c>
      <c r="K652" t="inlineStr">
        <is>
          <t>Phase J registry sync</t>
        </is>
      </c>
    </row>
    <row r="653">
      <c r="A653" s="19" t="inlineStr">
        <is>
          <t>652</t>
        </is>
      </c>
      <c r="B653" s="19" t="inlineStr">
        <is>
          <t>652</t>
        </is>
      </c>
      <c r="C653" s="19" t="n"/>
      <c r="D653" s="19" t="n"/>
      <c r="E653" s="19" t="n"/>
      <c r="F653" s="19" t="n"/>
      <c r="G653" s="19" t="n"/>
      <c r="H653" s="19" t="n"/>
      <c r="I653" s="19" t="inlineStr">
        <is>
          <t>163</t>
        </is>
      </c>
      <c r="J653" t="n">
        <v>652</v>
      </c>
      <c r="K653" t="inlineStr">
        <is>
          <t>Phase J registry sync</t>
        </is>
      </c>
    </row>
    <row r="654">
      <c r="A654" s="19" t="inlineStr">
        <is>
          <t>653</t>
        </is>
      </c>
      <c r="B654" s="19" t="inlineStr">
        <is>
          <t>653</t>
        </is>
      </c>
      <c r="C654" s="19" t="n"/>
      <c r="D654" s="19" t="n"/>
      <c r="E654" s="19" t="n"/>
      <c r="F654" s="19" t="n"/>
      <c r="G654" s="19" t="inlineStr">
        <is>
          <t>164</t>
        </is>
      </c>
      <c r="H654" s="19" t="n"/>
      <c r="I654" s="19" t="n"/>
      <c r="J654" t="n">
        <v>653</v>
      </c>
      <c r="K654" t="inlineStr">
        <is>
          <t>Phase J registry sync</t>
        </is>
      </c>
    </row>
    <row r="655">
      <c r="A655" s="19" t="inlineStr">
        <is>
          <t>654</t>
        </is>
      </c>
      <c r="B655" s="19" t="inlineStr">
        <is>
          <t>654</t>
        </is>
      </c>
      <c r="C655" s="19" t="n"/>
      <c r="D655" s="19" t="n"/>
      <c r="E655" s="19" t="n"/>
      <c r="F655" s="19" t="n"/>
      <c r="G655" s="19" t="n"/>
      <c r="H655" s="19" t="inlineStr">
        <is>
          <t>164</t>
        </is>
      </c>
      <c r="I655" s="19" t="n"/>
      <c r="J655" t="n">
        <v>654</v>
      </c>
      <c r="K655" t="inlineStr">
        <is>
          <t>Phase J registry sync</t>
        </is>
      </c>
    </row>
    <row r="656">
      <c r="A656" s="19" t="inlineStr">
        <is>
          <t>655</t>
        </is>
      </c>
      <c r="B656" s="19" t="inlineStr">
        <is>
          <t>655</t>
        </is>
      </c>
      <c r="C656" s="19" t="n"/>
      <c r="D656" s="19" t="n"/>
      <c r="E656" s="19" t="inlineStr">
        <is>
          <t>164</t>
        </is>
      </c>
      <c r="F656" s="19" t="n"/>
      <c r="G656" s="19" t="n"/>
      <c r="H656" s="19" t="n"/>
      <c r="I656" s="19" t="n"/>
      <c r="J656" t="n">
        <v>655</v>
      </c>
      <c r="K656" t="inlineStr">
        <is>
          <t>Phase J registry sync</t>
        </is>
      </c>
    </row>
    <row r="657">
      <c r="A657" s="19" t="inlineStr">
        <is>
          <t>656</t>
        </is>
      </c>
      <c r="B657" s="19" t="inlineStr">
        <is>
          <t>656</t>
        </is>
      </c>
      <c r="C657" s="19" t="n"/>
      <c r="D657" s="19" t="n"/>
      <c r="E657" s="19" t="n"/>
      <c r="F657" s="19" t="n"/>
      <c r="G657" s="19" t="n"/>
      <c r="H657" s="19" t="n"/>
      <c r="I657" s="19" t="inlineStr">
        <is>
          <t>164</t>
        </is>
      </c>
      <c r="J657" t="n">
        <v>656</v>
      </c>
      <c r="K657" t="inlineStr">
        <is>
          <t>Phase J registry sync</t>
        </is>
      </c>
    </row>
    <row r="658">
      <c r="A658" s="19" t="inlineStr">
        <is>
          <t>657</t>
        </is>
      </c>
      <c r="B658" s="19" t="inlineStr">
        <is>
          <t>657</t>
        </is>
      </c>
      <c r="C658" s="19" t="n"/>
      <c r="D658" s="19" t="n"/>
      <c r="E658" s="19" t="n"/>
      <c r="F658" s="19" t="n"/>
      <c r="G658" s="19" t="inlineStr">
        <is>
          <t>165</t>
        </is>
      </c>
      <c r="H658" s="19" t="n"/>
      <c r="I658" s="19" t="n"/>
      <c r="J658" t="n">
        <v>657</v>
      </c>
      <c r="K658" t="inlineStr">
        <is>
          <t>Phase J registry sync</t>
        </is>
      </c>
    </row>
    <row r="659">
      <c r="A659" s="19" t="inlineStr">
        <is>
          <t>658</t>
        </is>
      </c>
      <c r="B659" s="19" t="inlineStr">
        <is>
          <t>658</t>
        </is>
      </c>
      <c r="C659" s="19" t="n"/>
      <c r="D659" s="19" t="n"/>
      <c r="E659" s="19" t="n"/>
      <c r="F659" s="19" t="n"/>
      <c r="G659" s="19" t="n"/>
      <c r="H659" s="19" t="inlineStr">
        <is>
          <t>165</t>
        </is>
      </c>
      <c r="I659" s="19" t="n"/>
      <c r="J659" t="n">
        <v>658</v>
      </c>
      <c r="K659" t="inlineStr">
        <is>
          <t>Phase J registry sync</t>
        </is>
      </c>
    </row>
    <row r="660">
      <c r="A660" s="19" t="inlineStr">
        <is>
          <t>659</t>
        </is>
      </c>
      <c r="B660" s="19" t="inlineStr">
        <is>
          <t>659</t>
        </is>
      </c>
      <c r="C660" s="19" t="n"/>
      <c r="D660" s="19" t="n"/>
      <c r="E660" s="19" t="inlineStr">
        <is>
          <t>165</t>
        </is>
      </c>
      <c r="F660" s="19" t="n"/>
      <c r="G660" s="19" t="n"/>
      <c r="H660" s="19" t="n"/>
      <c r="I660" s="19" t="n"/>
      <c r="J660" t="n">
        <v>659</v>
      </c>
      <c r="K660" t="inlineStr">
        <is>
          <t>Phase J registry sync</t>
        </is>
      </c>
    </row>
    <row r="661">
      <c r="A661" s="19" t="inlineStr">
        <is>
          <t>660</t>
        </is>
      </c>
      <c r="B661" s="19" t="inlineStr">
        <is>
          <t>660</t>
        </is>
      </c>
      <c r="C661" s="19" t="n"/>
      <c r="D661" s="19" t="n"/>
      <c r="E661" s="19" t="n"/>
      <c r="F661" s="19" t="n"/>
      <c r="G661" s="19" t="n"/>
      <c r="H661" s="19" t="n"/>
      <c r="I661" s="19" t="inlineStr">
        <is>
          <t>165</t>
        </is>
      </c>
      <c r="J661" t="n">
        <v>660</v>
      </c>
      <c r="K661" t="inlineStr">
        <is>
          <t>Phase J registry sync</t>
        </is>
      </c>
    </row>
    <row r="662">
      <c r="A662" s="19" t="inlineStr">
        <is>
          <t>661</t>
        </is>
      </c>
      <c r="B662" s="19" t="inlineStr">
        <is>
          <t>661</t>
        </is>
      </c>
      <c r="C662" s="19" t="n"/>
      <c r="D662" s="19" t="n"/>
      <c r="E662" s="19" t="n"/>
      <c r="F662" s="19" t="n"/>
      <c r="G662" s="19" t="inlineStr">
        <is>
          <t>166</t>
        </is>
      </c>
      <c r="H662" s="19" t="n"/>
      <c r="I662" s="19" t="n"/>
      <c r="J662" t="n">
        <v>661</v>
      </c>
      <c r="K662" t="inlineStr">
        <is>
          <t>Phase J registry sync</t>
        </is>
      </c>
    </row>
    <row r="663">
      <c r="A663" s="19" t="inlineStr">
        <is>
          <t>662</t>
        </is>
      </c>
      <c r="B663" s="19" t="inlineStr">
        <is>
          <t>662</t>
        </is>
      </c>
      <c r="C663" s="19" t="n"/>
      <c r="D663" s="19" t="n"/>
      <c r="E663" s="19" t="n"/>
      <c r="F663" s="19" t="n"/>
      <c r="G663" s="19" t="n"/>
      <c r="H663" s="19" t="inlineStr">
        <is>
          <t>166</t>
        </is>
      </c>
      <c r="I663" s="19" t="n"/>
      <c r="J663" t="n">
        <v>662</v>
      </c>
      <c r="K663" t="inlineStr">
        <is>
          <t>Phase J registry sync</t>
        </is>
      </c>
    </row>
    <row r="664">
      <c r="A664" s="19" t="inlineStr">
        <is>
          <t>663</t>
        </is>
      </c>
      <c r="B664" s="19" t="inlineStr">
        <is>
          <t>663</t>
        </is>
      </c>
      <c r="C664" s="19" t="n"/>
      <c r="D664" s="19" t="n"/>
      <c r="E664" s="19" t="inlineStr">
        <is>
          <t>166</t>
        </is>
      </c>
      <c r="F664" s="19" t="n"/>
      <c r="G664" s="19" t="n"/>
      <c r="H664" s="19" t="n"/>
      <c r="I664" s="19" t="n"/>
      <c r="J664" t="n">
        <v>663</v>
      </c>
      <c r="K664" t="inlineStr">
        <is>
          <t>Phase J registry sync</t>
        </is>
      </c>
    </row>
    <row r="665">
      <c r="A665" s="19" t="inlineStr">
        <is>
          <t>664</t>
        </is>
      </c>
      <c r="B665" s="19" t="inlineStr">
        <is>
          <t>664</t>
        </is>
      </c>
      <c r="C665" s="19" t="n"/>
      <c r="D665" s="19" t="n"/>
      <c r="E665" s="19" t="n"/>
      <c r="F665" s="19" t="n"/>
      <c r="G665" s="19" t="n"/>
      <c r="H665" s="19" t="n"/>
      <c r="I665" s="19" t="inlineStr">
        <is>
          <t>166</t>
        </is>
      </c>
      <c r="J665" t="n">
        <v>664</v>
      </c>
      <c r="K665" t="inlineStr">
        <is>
          <t>Phase J registry sync</t>
        </is>
      </c>
    </row>
    <row r="666">
      <c r="A666" s="19" t="inlineStr">
        <is>
          <t>665</t>
        </is>
      </c>
      <c r="B666" s="19" t="inlineStr">
        <is>
          <t>665</t>
        </is>
      </c>
      <c r="C666" s="19" t="n"/>
      <c r="D666" s="19" t="n"/>
      <c r="E666" s="19" t="n"/>
      <c r="F666" s="19" t="n"/>
      <c r="G666" s="19" t="inlineStr">
        <is>
          <t>167</t>
        </is>
      </c>
      <c r="H666" s="19" t="n"/>
      <c r="I666" s="19" t="n"/>
      <c r="J666" t="n">
        <v>665</v>
      </c>
      <c r="K666" t="inlineStr">
        <is>
          <t>Phase J registry sync</t>
        </is>
      </c>
    </row>
    <row r="667">
      <c r="A667" s="19" t="inlineStr">
        <is>
          <t>666</t>
        </is>
      </c>
      <c r="B667" s="19" t="inlineStr">
        <is>
          <t>666</t>
        </is>
      </c>
      <c r="C667" s="19" t="n"/>
      <c r="D667" s="19" t="n"/>
      <c r="E667" s="19" t="n"/>
      <c r="F667" s="19" t="n"/>
      <c r="G667" s="19" t="n"/>
      <c r="H667" s="19" t="inlineStr">
        <is>
          <t>167</t>
        </is>
      </c>
      <c r="I667" s="19" t="n"/>
      <c r="J667" t="n">
        <v>666</v>
      </c>
      <c r="K667" t="inlineStr">
        <is>
          <t>Phase J registry sync</t>
        </is>
      </c>
    </row>
    <row r="668">
      <c r="A668" s="19" t="inlineStr">
        <is>
          <t>667</t>
        </is>
      </c>
      <c r="B668" s="19" t="inlineStr">
        <is>
          <t>667</t>
        </is>
      </c>
      <c r="C668" s="19" t="n"/>
      <c r="D668" s="19" t="n"/>
      <c r="E668" s="19" t="inlineStr">
        <is>
          <t>167</t>
        </is>
      </c>
      <c r="F668" s="19" t="n"/>
      <c r="G668" s="19" t="n"/>
      <c r="H668" s="19" t="n"/>
      <c r="I668" s="19" t="n"/>
      <c r="J668" t="n">
        <v>667</v>
      </c>
      <c r="K668" t="inlineStr">
        <is>
          <t>Phase J registry sync</t>
        </is>
      </c>
    </row>
    <row r="669">
      <c r="A669" s="19" t="inlineStr">
        <is>
          <t>668</t>
        </is>
      </c>
      <c r="B669" s="19" t="inlineStr">
        <is>
          <t>668</t>
        </is>
      </c>
      <c r="C669" s="19" t="n"/>
      <c r="D669" s="19" t="n"/>
      <c r="E669" s="19" t="n"/>
      <c r="F669" s="19" t="n"/>
      <c r="G669" s="19" t="n"/>
      <c r="H669" s="19" t="n"/>
      <c r="I669" s="19" t="inlineStr">
        <is>
          <t>167</t>
        </is>
      </c>
      <c r="J669" t="n">
        <v>668</v>
      </c>
      <c r="K669" t="inlineStr">
        <is>
          <t>Phase J registry sync</t>
        </is>
      </c>
    </row>
    <row r="670">
      <c r="A670" s="19" t="inlineStr">
        <is>
          <t>669</t>
        </is>
      </c>
      <c r="B670" s="19" t="inlineStr">
        <is>
          <t>669</t>
        </is>
      </c>
      <c r="C670" s="19" t="n"/>
      <c r="D670" s="19" t="n"/>
      <c r="E670" s="19" t="n"/>
      <c r="F670" s="19" t="n"/>
      <c r="G670" s="19" t="inlineStr">
        <is>
          <t>168</t>
        </is>
      </c>
      <c r="H670" s="19" t="n"/>
      <c r="I670" s="19" t="n"/>
      <c r="J670" t="n">
        <v>669</v>
      </c>
      <c r="K670" t="inlineStr">
        <is>
          <t>Phase J registry sync</t>
        </is>
      </c>
    </row>
    <row r="671">
      <c r="A671" s="19" t="inlineStr">
        <is>
          <t>670</t>
        </is>
      </c>
      <c r="B671" s="19" t="inlineStr">
        <is>
          <t>670</t>
        </is>
      </c>
      <c r="C671" s="19" t="n"/>
      <c r="D671" s="19" t="n"/>
      <c r="E671" s="19" t="n"/>
      <c r="F671" s="19" t="n"/>
      <c r="G671" s="19" t="n"/>
      <c r="H671" s="19" t="inlineStr">
        <is>
          <t>168</t>
        </is>
      </c>
      <c r="I671" s="19" t="n"/>
      <c r="J671" t="n">
        <v>670</v>
      </c>
      <c r="K671" t="inlineStr">
        <is>
          <t>Phase J registry sync</t>
        </is>
      </c>
    </row>
    <row r="672">
      <c r="A672" s="19" t="inlineStr">
        <is>
          <t>671</t>
        </is>
      </c>
      <c r="B672" s="19" t="inlineStr">
        <is>
          <t>671</t>
        </is>
      </c>
      <c r="C672" s="19" t="n"/>
      <c r="D672" s="19" t="n"/>
      <c r="E672" s="19" t="inlineStr">
        <is>
          <t>168</t>
        </is>
      </c>
      <c r="F672" s="19" t="n"/>
      <c r="G672" s="19" t="n"/>
      <c r="H672" s="19" t="n"/>
      <c r="I672" s="19" t="n"/>
      <c r="J672" t="n">
        <v>671</v>
      </c>
      <c r="K672" t="inlineStr">
        <is>
          <t>Phase J registry sync</t>
        </is>
      </c>
    </row>
    <row r="673">
      <c r="A673" s="19" t="inlineStr">
        <is>
          <t>672</t>
        </is>
      </c>
      <c r="B673" s="19" t="inlineStr">
        <is>
          <t>672</t>
        </is>
      </c>
      <c r="C673" s="19" t="n"/>
      <c r="D673" s="19" t="n"/>
      <c r="E673" s="19" t="n"/>
      <c r="F673" s="19" t="n"/>
      <c r="G673" s="19" t="n"/>
      <c r="H673" s="19" t="n"/>
      <c r="I673" s="19" t="inlineStr">
        <is>
          <t>168</t>
        </is>
      </c>
      <c r="J673" t="n">
        <v>672</v>
      </c>
      <c r="K673" t="inlineStr">
        <is>
          <t>Phase J registry sync</t>
        </is>
      </c>
    </row>
    <row r="674">
      <c r="A674" s="19" t="inlineStr">
        <is>
          <t>673</t>
        </is>
      </c>
      <c r="B674" s="19" t="inlineStr">
        <is>
          <t>673</t>
        </is>
      </c>
      <c r="C674" s="19" t="n"/>
      <c r="D674" s="19" t="n"/>
      <c r="E674" s="19" t="n"/>
      <c r="F674" s="19" t="n"/>
      <c r="G674" s="19" t="inlineStr">
        <is>
          <t>169</t>
        </is>
      </c>
      <c r="H674" s="19" t="n"/>
      <c r="I674" s="19" t="n"/>
      <c r="J674" t="n">
        <v>673</v>
      </c>
      <c r="K674" t="inlineStr">
        <is>
          <t>Phase J registry sync</t>
        </is>
      </c>
    </row>
    <row r="675">
      <c r="A675" s="19" t="inlineStr">
        <is>
          <t>674</t>
        </is>
      </c>
      <c r="B675" s="19" t="inlineStr">
        <is>
          <t>674</t>
        </is>
      </c>
      <c r="C675" s="19" t="n"/>
      <c r="D675" s="19" t="n"/>
      <c r="E675" s="19" t="n"/>
      <c r="F675" s="19" t="n"/>
      <c r="G675" s="19" t="n"/>
      <c r="H675" s="19" t="inlineStr">
        <is>
          <t>169</t>
        </is>
      </c>
      <c r="I675" s="19" t="n"/>
      <c r="J675" t="n">
        <v>674</v>
      </c>
      <c r="K675" t="inlineStr">
        <is>
          <t>Phase J registry sync</t>
        </is>
      </c>
    </row>
    <row r="676">
      <c r="A676" s="19" t="inlineStr">
        <is>
          <t>675</t>
        </is>
      </c>
      <c r="B676" s="19" t="inlineStr">
        <is>
          <t>675</t>
        </is>
      </c>
      <c r="C676" s="19" t="n"/>
      <c r="D676" s="19" t="n"/>
      <c r="E676" s="19" t="inlineStr">
        <is>
          <t>169</t>
        </is>
      </c>
      <c r="F676" s="19" t="n"/>
      <c r="G676" s="19" t="n"/>
      <c r="H676" s="19" t="n"/>
      <c r="I676" s="19" t="n"/>
      <c r="J676" t="n">
        <v>675</v>
      </c>
      <c r="K676" t="inlineStr">
        <is>
          <t>Phase J registry sync</t>
        </is>
      </c>
    </row>
    <row r="677">
      <c r="A677" s="19" t="inlineStr">
        <is>
          <t>676</t>
        </is>
      </c>
      <c r="B677" s="19" t="inlineStr">
        <is>
          <t>676</t>
        </is>
      </c>
      <c r="C677" s="19" t="n"/>
      <c r="D677" s="19" t="n"/>
      <c r="E677" s="19" t="n"/>
      <c r="F677" s="19" t="n"/>
      <c r="G677" s="19" t="n"/>
      <c r="H677" s="19" t="n"/>
      <c r="I677" s="19" t="inlineStr">
        <is>
          <t>169</t>
        </is>
      </c>
      <c r="J677" t="n">
        <v>676</v>
      </c>
      <c r="K677" t="inlineStr">
        <is>
          <t>Phase J registry sync</t>
        </is>
      </c>
    </row>
    <row r="678">
      <c r="A678" s="19" t="inlineStr">
        <is>
          <t>677</t>
        </is>
      </c>
      <c r="B678" s="19" t="inlineStr">
        <is>
          <t>677</t>
        </is>
      </c>
      <c r="C678" s="19" t="n"/>
      <c r="D678" s="19" t="n"/>
      <c r="E678" s="19" t="n"/>
      <c r="F678" s="19" t="n"/>
      <c r="G678" s="19" t="inlineStr">
        <is>
          <t>170</t>
        </is>
      </c>
      <c r="H678" s="19" t="n"/>
      <c r="I678" s="19" t="n"/>
      <c r="J678" t="n">
        <v>677</v>
      </c>
      <c r="K678" t="inlineStr">
        <is>
          <t>Phase J registry sync</t>
        </is>
      </c>
    </row>
    <row r="679">
      <c r="A679" s="19" t="inlineStr">
        <is>
          <t>678</t>
        </is>
      </c>
      <c r="B679" s="19" t="inlineStr">
        <is>
          <t>678</t>
        </is>
      </c>
      <c r="C679" s="19" t="n"/>
      <c r="D679" s="19" t="n"/>
      <c r="E679" s="19" t="n"/>
      <c r="F679" s="19" t="n"/>
      <c r="G679" s="19" t="n"/>
      <c r="H679" s="19" t="inlineStr">
        <is>
          <t>170</t>
        </is>
      </c>
      <c r="I679" s="19" t="n"/>
      <c r="J679" t="n">
        <v>678</v>
      </c>
      <c r="K679" t="inlineStr">
        <is>
          <t>Phase J registry sync</t>
        </is>
      </c>
    </row>
    <row r="680">
      <c r="A680" s="19" t="inlineStr">
        <is>
          <t>679</t>
        </is>
      </c>
      <c r="B680" s="19" t="inlineStr">
        <is>
          <t>679</t>
        </is>
      </c>
      <c r="C680" s="19" t="n"/>
      <c r="D680" s="19" t="n"/>
      <c r="E680" s="19" t="inlineStr">
        <is>
          <t>170</t>
        </is>
      </c>
      <c r="F680" s="19" t="n"/>
      <c r="G680" s="19" t="n"/>
      <c r="H680" s="19" t="n"/>
      <c r="I680" s="19" t="n"/>
      <c r="J680" t="n">
        <v>679</v>
      </c>
      <c r="K680" t="inlineStr">
        <is>
          <t>Phase J registry sync</t>
        </is>
      </c>
    </row>
    <row r="681">
      <c r="A681" s="19" t="inlineStr">
        <is>
          <t>680</t>
        </is>
      </c>
      <c r="B681" s="19" t="inlineStr">
        <is>
          <t>680</t>
        </is>
      </c>
      <c r="C681" s="19" t="n"/>
      <c r="D681" s="19" t="n"/>
      <c r="E681" s="19" t="n"/>
      <c r="F681" s="19" t="n"/>
      <c r="G681" s="19" t="n"/>
      <c r="H681" s="19" t="n"/>
      <c r="I681" s="19" t="inlineStr">
        <is>
          <t>170</t>
        </is>
      </c>
      <c r="J681" t="n">
        <v>680</v>
      </c>
      <c r="K681" t="inlineStr">
        <is>
          <t>Phase J registry sync</t>
        </is>
      </c>
    </row>
    <row r="682">
      <c r="A682" s="19" t="inlineStr">
        <is>
          <t>681</t>
        </is>
      </c>
      <c r="B682" s="19" t="inlineStr">
        <is>
          <t>681</t>
        </is>
      </c>
      <c r="C682" s="19" t="n"/>
      <c r="D682" s="19" t="n"/>
      <c r="E682" s="19" t="n"/>
      <c r="F682" s="19" t="n"/>
      <c r="G682" s="19" t="inlineStr">
        <is>
          <t>171</t>
        </is>
      </c>
      <c r="H682" s="19" t="n"/>
      <c r="I682" s="19" t="n"/>
      <c r="J682" t="n">
        <v>681</v>
      </c>
      <c r="K682" t="inlineStr">
        <is>
          <t>Phase J registry sync</t>
        </is>
      </c>
    </row>
    <row r="683">
      <c r="A683" s="19" t="inlineStr">
        <is>
          <t>682</t>
        </is>
      </c>
      <c r="B683" s="19" t="inlineStr">
        <is>
          <t>682</t>
        </is>
      </c>
      <c r="C683" s="19" t="n"/>
      <c r="D683" s="19" t="n"/>
      <c r="E683" s="19" t="n"/>
      <c r="F683" s="19" t="n"/>
      <c r="G683" s="19" t="n"/>
      <c r="H683" s="19" t="inlineStr">
        <is>
          <t>171</t>
        </is>
      </c>
      <c r="I683" s="19" t="n"/>
      <c r="J683" t="n">
        <v>682</v>
      </c>
      <c r="K683" t="inlineStr">
        <is>
          <t>Phase J registry sync</t>
        </is>
      </c>
    </row>
    <row r="684">
      <c r="A684" s="19" t="inlineStr">
        <is>
          <t>683</t>
        </is>
      </c>
      <c r="B684" s="19" t="inlineStr">
        <is>
          <t>683</t>
        </is>
      </c>
      <c r="C684" s="19" t="n"/>
      <c r="D684" s="19" t="n"/>
      <c r="E684" s="19" t="inlineStr">
        <is>
          <t>171</t>
        </is>
      </c>
      <c r="F684" s="19" t="n"/>
      <c r="G684" s="19" t="n"/>
      <c r="H684" s="19" t="n"/>
      <c r="I684" s="19" t="n"/>
      <c r="J684" t="n">
        <v>683</v>
      </c>
      <c r="K684" t="inlineStr">
        <is>
          <t>Phase J registry sync</t>
        </is>
      </c>
    </row>
    <row r="685">
      <c r="A685" s="19" t="inlineStr">
        <is>
          <t>684</t>
        </is>
      </c>
      <c r="B685" s="19" t="inlineStr">
        <is>
          <t>684</t>
        </is>
      </c>
      <c r="C685" s="19" t="n"/>
      <c r="D685" s="19" t="n"/>
      <c r="E685" s="19" t="n"/>
      <c r="F685" s="19" t="n"/>
      <c r="G685" s="19" t="n"/>
      <c r="H685" s="19" t="n"/>
      <c r="I685" s="19" t="inlineStr">
        <is>
          <t>171</t>
        </is>
      </c>
      <c r="J685" t="n">
        <v>684</v>
      </c>
      <c r="K685" t="inlineStr">
        <is>
          <t>Phase J registry sync</t>
        </is>
      </c>
    </row>
    <row r="686">
      <c r="A686" s="19" t="inlineStr">
        <is>
          <t>685</t>
        </is>
      </c>
      <c r="B686" s="19" t="inlineStr">
        <is>
          <t>685</t>
        </is>
      </c>
      <c r="C686" s="19" t="n"/>
      <c r="D686" s="19" t="n"/>
      <c r="E686" s="19" t="n"/>
      <c r="F686" s="19" t="n"/>
      <c r="G686" s="19" t="inlineStr">
        <is>
          <t>172</t>
        </is>
      </c>
      <c r="H686" s="19" t="n"/>
      <c r="I686" s="19" t="n"/>
      <c r="J686" t="n">
        <v>685</v>
      </c>
      <c r="K686" t="inlineStr">
        <is>
          <t>Phase J registry sync</t>
        </is>
      </c>
    </row>
    <row r="687">
      <c r="A687" s="19" t="inlineStr">
        <is>
          <t>686</t>
        </is>
      </c>
      <c r="B687" s="19" t="inlineStr">
        <is>
          <t>686</t>
        </is>
      </c>
      <c r="C687" s="19" t="n"/>
      <c r="D687" s="19" t="n"/>
      <c r="E687" s="19" t="n"/>
      <c r="F687" s="19" t="n"/>
      <c r="G687" s="19" t="n"/>
      <c r="H687" s="19" t="inlineStr">
        <is>
          <t>172</t>
        </is>
      </c>
      <c r="I687" s="19" t="n"/>
      <c r="J687" t="n">
        <v>686</v>
      </c>
      <c r="K687" t="inlineStr">
        <is>
          <t>Phase J registry sync</t>
        </is>
      </c>
    </row>
    <row r="688">
      <c r="A688" s="19" t="inlineStr">
        <is>
          <t>687</t>
        </is>
      </c>
      <c r="B688" s="19" t="inlineStr">
        <is>
          <t>687</t>
        </is>
      </c>
      <c r="C688" s="19" t="n"/>
      <c r="D688" s="19" t="n"/>
      <c r="E688" s="19" t="inlineStr">
        <is>
          <t>172</t>
        </is>
      </c>
      <c r="F688" s="19" t="n"/>
      <c r="G688" s="19" t="n"/>
      <c r="H688" s="19" t="n"/>
      <c r="I688" s="19" t="n"/>
      <c r="J688" t="n">
        <v>687</v>
      </c>
      <c r="K688" t="inlineStr">
        <is>
          <t>Phase J registry sync</t>
        </is>
      </c>
    </row>
    <row r="689">
      <c r="A689" s="19" t="inlineStr">
        <is>
          <t>688</t>
        </is>
      </c>
      <c r="B689" s="19" t="inlineStr">
        <is>
          <t>688</t>
        </is>
      </c>
      <c r="C689" s="19" t="n"/>
      <c r="D689" s="19" t="n"/>
      <c r="E689" s="19" t="n"/>
      <c r="F689" s="19" t="n"/>
      <c r="G689" s="19" t="n"/>
      <c r="H689" s="19" t="n"/>
      <c r="I689" s="19" t="inlineStr">
        <is>
          <t>172</t>
        </is>
      </c>
      <c r="J689" t="n">
        <v>688</v>
      </c>
      <c r="K689" t="inlineStr">
        <is>
          <t>Phase J registry sync</t>
        </is>
      </c>
    </row>
    <row r="690">
      <c r="A690" s="19" t="inlineStr">
        <is>
          <t>689</t>
        </is>
      </c>
      <c r="B690" s="19" t="inlineStr">
        <is>
          <t>689</t>
        </is>
      </c>
      <c r="C690" s="19" t="n"/>
      <c r="D690" s="19" t="n"/>
      <c r="E690" s="19" t="n"/>
      <c r="F690" s="19" t="n"/>
      <c r="G690" s="19" t="inlineStr">
        <is>
          <t>173</t>
        </is>
      </c>
      <c r="H690" s="19" t="n"/>
      <c r="I690" s="19" t="n"/>
      <c r="J690" t="n">
        <v>689</v>
      </c>
      <c r="K690" t="inlineStr">
        <is>
          <t>Phase J registry sync</t>
        </is>
      </c>
    </row>
    <row r="691">
      <c r="A691" s="19" t="inlineStr">
        <is>
          <t>690</t>
        </is>
      </c>
      <c r="B691" s="19" t="inlineStr">
        <is>
          <t>690</t>
        </is>
      </c>
      <c r="C691" s="19" t="n"/>
      <c r="D691" s="19" t="n"/>
      <c r="E691" s="19" t="n"/>
      <c r="F691" s="19" t="n"/>
      <c r="G691" s="19" t="n"/>
      <c r="H691" s="19" t="inlineStr">
        <is>
          <t>173</t>
        </is>
      </c>
      <c r="I691" s="19" t="n"/>
      <c r="J691" t="n">
        <v>690</v>
      </c>
      <c r="K691" t="inlineStr">
        <is>
          <t>Phase J registry sync</t>
        </is>
      </c>
    </row>
    <row r="692">
      <c r="A692" s="19" t="inlineStr">
        <is>
          <t>691</t>
        </is>
      </c>
      <c r="B692" s="19" t="inlineStr">
        <is>
          <t>691</t>
        </is>
      </c>
      <c r="C692" s="19" t="n"/>
      <c r="D692" s="19" t="n"/>
      <c r="E692" s="19" t="inlineStr">
        <is>
          <t>173</t>
        </is>
      </c>
      <c r="F692" s="19" t="n"/>
      <c r="G692" s="19" t="n"/>
      <c r="H692" s="19" t="n"/>
      <c r="I692" s="19" t="n"/>
      <c r="J692" t="n">
        <v>691</v>
      </c>
      <c r="K692" t="inlineStr">
        <is>
          <t>Phase J registry sync</t>
        </is>
      </c>
    </row>
    <row r="693">
      <c r="A693" s="19" t="inlineStr">
        <is>
          <t>692</t>
        </is>
      </c>
      <c r="B693" s="19" t="inlineStr">
        <is>
          <t>692</t>
        </is>
      </c>
      <c r="C693" s="19" t="n"/>
      <c r="D693" s="19" t="n"/>
      <c r="E693" s="19" t="n"/>
      <c r="F693" s="19" t="n"/>
      <c r="G693" s="19" t="n"/>
      <c r="H693" s="19" t="n"/>
      <c r="I693" s="19" t="inlineStr">
        <is>
          <t>173</t>
        </is>
      </c>
      <c r="J693" t="n">
        <v>692</v>
      </c>
      <c r="K693" t="inlineStr">
        <is>
          <t>Phase J registry sync</t>
        </is>
      </c>
    </row>
    <row r="694">
      <c r="A694" s="19" t="inlineStr">
        <is>
          <t>693</t>
        </is>
      </c>
      <c r="B694" s="19" t="inlineStr">
        <is>
          <t>693</t>
        </is>
      </c>
      <c r="C694" s="19" t="n"/>
      <c r="D694" s="19" t="n"/>
      <c r="E694" s="19" t="n"/>
      <c r="F694" s="19" t="n"/>
      <c r="G694" s="19" t="inlineStr">
        <is>
          <t>174</t>
        </is>
      </c>
      <c r="H694" s="19" t="n"/>
      <c r="I694" s="19" t="n"/>
      <c r="J694" t="n">
        <v>693</v>
      </c>
      <c r="K694" t="inlineStr">
        <is>
          <t>Phase J registry sync</t>
        </is>
      </c>
    </row>
    <row r="695">
      <c r="A695" s="19" t="inlineStr">
        <is>
          <t>694</t>
        </is>
      </c>
      <c r="B695" s="19" t="inlineStr">
        <is>
          <t>694</t>
        </is>
      </c>
      <c r="C695" s="19" t="n"/>
      <c r="D695" s="19" t="n"/>
      <c r="E695" s="19" t="n"/>
      <c r="F695" s="19" t="n"/>
      <c r="G695" s="19" t="n"/>
      <c r="H695" s="19" t="inlineStr">
        <is>
          <t>174</t>
        </is>
      </c>
      <c r="I695" s="19" t="n"/>
      <c r="J695" t="n">
        <v>694</v>
      </c>
      <c r="K695" t="inlineStr">
        <is>
          <t>Phase J registry sync</t>
        </is>
      </c>
    </row>
    <row r="696">
      <c r="A696" s="19" t="inlineStr">
        <is>
          <t>695</t>
        </is>
      </c>
      <c r="B696" s="19" t="inlineStr">
        <is>
          <t>695</t>
        </is>
      </c>
      <c r="C696" s="19" t="n"/>
      <c r="D696" s="19" t="n"/>
      <c r="E696" s="19" t="inlineStr">
        <is>
          <t>174</t>
        </is>
      </c>
      <c r="F696" s="19" t="n"/>
      <c r="G696" s="19" t="n"/>
      <c r="H696" s="19" t="n"/>
      <c r="I696" s="19" t="n"/>
      <c r="J696" t="n">
        <v>695</v>
      </c>
      <c r="K696" t="inlineStr">
        <is>
          <t>Phase J registry sync</t>
        </is>
      </c>
    </row>
    <row r="697">
      <c r="A697" s="19" t="inlineStr">
        <is>
          <t>696</t>
        </is>
      </c>
      <c r="B697" s="19" t="inlineStr">
        <is>
          <t>696</t>
        </is>
      </c>
      <c r="C697" s="19" t="n"/>
      <c r="D697" s="19" t="n"/>
      <c r="E697" s="19" t="n"/>
      <c r="F697" s="19" t="n"/>
      <c r="G697" s="19" t="n"/>
      <c r="H697" s="19" t="n"/>
      <c r="I697" s="19" t="inlineStr">
        <is>
          <t>174</t>
        </is>
      </c>
      <c r="J697" t="n">
        <v>696</v>
      </c>
      <c r="K697" t="inlineStr">
        <is>
          <t>Phase J registry sync</t>
        </is>
      </c>
    </row>
    <row r="698">
      <c r="A698" s="19" t="inlineStr">
        <is>
          <t>697</t>
        </is>
      </c>
      <c r="B698" s="19" t="inlineStr">
        <is>
          <t>697</t>
        </is>
      </c>
      <c r="C698" s="19" t="n"/>
      <c r="D698" s="19" t="n"/>
      <c r="E698" s="19" t="n"/>
      <c r="F698" s="19" t="n"/>
      <c r="G698" s="19" t="inlineStr">
        <is>
          <t>175</t>
        </is>
      </c>
      <c r="H698" s="19" t="n"/>
      <c r="I698" s="19" t="n"/>
      <c r="J698" t="n">
        <v>697</v>
      </c>
      <c r="K698" t="inlineStr">
        <is>
          <t>Phase J registry sync</t>
        </is>
      </c>
    </row>
    <row r="699">
      <c r="A699" s="19" t="inlineStr">
        <is>
          <t>698</t>
        </is>
      </c>
      <c r="B699" s="19" t="inlineStr">
        <is>
          <t>698</t>
        </is>
      </c>
      <c r="C699" s="19" t="n"/>
      <c r="D699" s="19" t="n"/>
      <c r="E699" s="19" t="n"/>
      <c r="F699" s="19" t="n"/>
      <c r="G699" s="19" t="n"/>
      <c r="H699" s="19" t="inlineStr">
        <is>
          <t>175</t>
        </is>
      </c>
      <c r="I699" s="19" t="n"/>
      <c r="J699" t="n">
        <v>698</v>
      </c>
      <c r="K699" t="inlineStr">
        <is>
          <t>Phase J registry sync</t>
        </is>
      </c>
    </row>
    <row r="700">
      <c r="A700" s="19" t="inlineStr">
        <is>
          <t>699</t>
        </is>
      </c>
      <c r="B700" s="19" t="inlineStr">
        <is>
          <t>699</t>
        </is>
      </c>
      <c r="C700" s="19" t="n"/>
      <c r="D700" s="19" t="n"/>
      <c r="E700" s="19" t="inlineStr">
        <is>
          <t>175</t>
        </is>
      </c>
      <c r="F700" s="19" t="n"/>
      <c r="G700" s="19" t="n"/>
      <c r="H700" s="19" t="n"/>
      <c r="I700" s="19" t="n"/>
      <c r="J700" t="n">
        <v>699</v>
      </c>
      <c r="K700" t="inlineStr">
        <is>
          <t>Phase J registry sync</t>
        </is>
      </c>
    </row>
    <row r="701">
      <c r="A701" s="19" t="inlineStr">
        <is>
          <t>700</t>
        </is>
      </c>
      <c r="B701" s="19" t="inlineStr">
        <is>
          <t>700</t>
        </is>
      </c>
      <c r="C701" s="19" t="n"/>
      <c r="D701" s="19" t="n"/>
      <c r="E701" s="19" t="n"/>
      <c r="F701" s="19" t="n"/>
      <c r="G701" s="19" t="n"/>
      <c r="H701" s="19" t="n"/>
      <c r="I701" s="19" t="inlineStr">
        <is>
          <t>175</t>
        </is>
      </c>
      <c r="J701" t="n">
        <v>700</v>
      </c>
      <c r="K701" t="inlineStr">
        <is>
          <t>Phase J registry sync</t>
        </is>
      </c>
    </row>
    <row r="702">
      <c r="A702" s="19" t="inlineStr">
        <is>
          <t>701</t>
        </is>
      </c>
      <c r="B702" s="19" t="inlineStr">
        <is>
          <t>701</t>
        </is>
      </c>
      <c r="C702" s="19" t="n"/>
      <c r="D702" s="19" t="n"/>
      <c r="E702" s="19" t="n"/>
      <c r="F702" s="19" t="n"/>
      <c r="G702" s="19" t="inlineStr">
        <is>
          <t>176</t>
        </is>
      </c>
      <c r="H702" s="19" t="n"/>
      <c r="I702" s="19" t="n"/>
      <c r="J702" t="n">
        <v>701</v>
      </c>
      <c r="K702" t="inlineStr">
        <is>
          <t>Phase J registry sync</t>
        </is>
      </c>
    </row>
    <row r="703">
      <c r="A703" s="19" t="inlineStr">
        <is>
          <t>702</t>
        </is>
      </c>
      <c r="B703" s="19" t="inlineStr">
        <is>
          <t>702</t>
        </is>
      </c>
      <c r="C703" s="19" t="n"/>
      <c r="D703" s="19" t="n"/>
      <c r="E703" s="19" t="n"/>
      <c r="F703" s="19" t="n"/>
      <c r="G703" s="19" t="n"/>
      <c r="H703" s="19" t="inlineStr">
        <is>
          <t>176</t>
        </is>
      </c>
      <c r="I703" s="19" t="n"/>
      <c r="J703" t="n">
        <v>702</v>
      </c>
      <c r="K703" t="inlineStr">
        <is>
          <t>Phase J registry sync</t>
        </is>
      </c>
    </row>
    <row r="704">
      <c r="A704" s="19" t="inlineStr">
        <is>
          <t>703</t>
        </is>
      </c>
      <c r="B704" s="19" t="inlineStr">
        <is>
          <t>703</t>
        </is>
      </c>
      <c r="C704" s="19" t="n"/>
      <c r="D704" s="19" t="n"/>
      <c r="E704" s="19" t="inlineStr">
        <is>
          <t>176</t>
        </is>
      </c>
      <c r="F704" s="19" t="n"/>
      <c r="G704" s="19" t="n"/>
      <c r="H704" s="19" t="n"/>
      <c r="I704" s="19" t="n"/>
      <c r="J704" t="n">
        <v>703</v>
      </c>
      <c r="K704" t="inlineStr">
        <is>
          <t>Phase J registry sync</t>
        </is>
      </c>
    </row>
    <row r="705">
      <c r="A705" s="19" t="inlineStr">
        <is>
          <t>704</t>
        </is>
      </c>
      <c r="B705" s="19" t="inlineStr">
        <is>
          <t>704</t>
        </is>
      </c>
      <c r="C705" s="19" t="n"/>
      <c r="D705" s="19" t="n"/>
      <c r="E705" s="19" t="n"/>
      <c r="F705" s="19" t="n"/>
      <c r="G705" s="19" t="n"/>
      <c r="H705" s="19" t="n"/>
      <c r="I705" s="19" t="inlineStr">
        <is>
          <t>176</t>
        </is>
      </c>
      <c r="J705" t="n">
        <v>704</v>
      </c>
      <c r="K705" t="inlineStr">
        <is>
          <t>Phase J registry sync</t>
        </is>
      </c>
    </row>
    <row r="706">
      <c r="A706" s="19" t="inlineStr">
        <is>
          <t>705</t>
        </is>
      </c>
      <c r="B706" s="19" t="inlineStr">
        <is>
          <t>705</t>
        </is>
      </c>
      <c r="C706" s="19" t="n"/>
      <c r="D706" s="19" t="n"/>
      <c r="E706" s="19" t="n"/>
      <c r="F706" s="19" t="n"/>
      <c r="G706" s="19" t="inlineStr">
        <is>
          <t>177</t>
        </is>
      </c>
      <c r="H706" s="19" t="n"/>
      <c r="I706" s="19" t="n"/>
      <c r="J706" t="n">
        <v>705</v>
      </c>
      <c r="K706" t="inlineStr">
        <is>
          <t>Phase J registry sync</t>
        </is>
      </c>
    </row>
    <row r="707">
      <c r="A707" s="19" t="inlineStr">
        <is>
          <t>706</t>
        </is>
      </c>
      <c r="B707" s="19" t="inlineStr">
        <is>
          <t>706</t>
        </is>
      </c>
      <c r="C707" s="19" t="n"/>
      <c r="D707" s="19" t="n"/>
      <c r="E707" s="19" t="n"/>
      <c r="F707" s="19" t="n"/>
      <c r="G707" s="19" t="n"/>
      <c r="H707" s="19" t="inlineStr">
        <is>
          <t>177</t>
        </is>
      </c>
      <c r="I707" s="19" t="n"/>
      <c r="J707" t="n">
        <v>706</v>
      </c>
      <c r="K707" t="inlineStr">
        <is>
          <t>Phase J registry sync</t>
        </is>
      </c>
    </row>
    <row r="708">
      <c r="A708" s="19" t="inlineStr">
        <is>
          <t>707</t>
        </is>
      </c>
      <c r="B708" s="19" t="inlineStr">
        <is>
          <t>707</t>
        </is>
      </c>
      <c r="C708" s="19" t="n"/>
      <c r="D708" s="19" t="n"/>
      <c r="E708" s="19" t="inlineStr">
        <is>
          <t>177</t>
        </is>
      </c>
      <c r="F708" s="19" t="n"/>
      <c r="G708" s="19" t="n"/>
      <c r="H708" s="19" t="n"/>
      <c r="I708" s="19" t="n"/>
      <c r="J708" t="n">
        <v>707</v>
      </c>
      <c r="K708" t="inlineStr">
        <is>
          <t>Phase J registry sync</t>
        </is>
      </c>
    </row>
    <row r="709">
      <c r="A709" s="19" t="inlineStr">
        <is>
          <t>708</t>
        </is>
      </c>
      <c r="B709" s="19" t="inlineStr">
        <is>
          <t>708</t>
        </is>
      </c>
      <c r="C709" s="19" t="n"/>
      <c r="D709" s="19" t="n"/>
      <c r="E709" s="19" t="n"/>
      <c r="F709" s="19" t="n"/>
      <c r="G709" s="19" t="n"/>
      <c r="H709" s="19" t="n"/>
      <c r="I709" s="19" t="inlineStr">
        <is>
          <t>177</t>
        </is>
      </c>
      <c r="J709" t="n">
        <v>708</v>
      </c>
      <c r="K709" t="inlineStr">
        <is>
          <t>Phase J registry sync</t>
        </is>
      </c>
    </row>
    <row r="710">
      <c r="A710" s="19" t="inlineStr">
        <is>
          <t>709</t>
        </is>
      </c>
      <c r="B710" s="19" t="inlineStr">
        <is>
          <t>709</t>
        </is>
      </c>
      <c r="C710" s="19" t="n"/>
      <c r="D710" s="19" t="n"/>
      <c r="E710" s="19" t="n"/>
      <c r="F710" s="19" t="n"/>
      <c r="G710" s="19" t="inlineStr">
        <is>
          <t>178</t>
        </is>
      </c>
      <c r="H710" s="19" t="n"/>
      <c r="I710" s="19" t="n"/>
      <c r="J710" t="n">
        <v>709</v>
      </c>
      <c r="K710" t="inlineStr">
        <is>
          <t>Phase J registry sync</t>
        </is>
      </c>
    </row>
    <row r="711">
      <c r="A711" s="19" t="inlineStr">
        <is>
          <t>710</t>
        </is>
      </c>
      <c r="B711" s="19" t="inlineStr">
        <is>
          <t>710</t>
        </is>
      </c>
      <c r="C711" s="19" t="n"/>
      <c r="D711" s="19" t="n"/>
      <c r="E711" s="19" t="n"/>
      <c r="F711" s="19" t="n"/>
      <c r="G711" s="19" t="n"/>
      <c r="H711" s="19" t="inlineStr">
        <is>
          <t>178</t>
        </is>
      </c>
      <c r="I711" s="19" t="n"/>
      <c r="J711" t="n">
        <v>710</v>
      </c>
      <c r="K711" t="inlineStr">
        <is>
          <t>Phase J registry sync</t>
        </is>
      </c>
    </row>
    <row r="712">
      <c r="A712" s="19" t="inlineStr">
        <is>
          <t>711</t>
        </is>
      </c>
      <c r="B712" s="19" t="inlineStr">
        <is>
          <t>711</t>
        </is>
      </c>
      <c r="C712" s="19" t="n"/>
      <c r="D712" s="19" t="n"/>
      <c r="E712" s="19" t="inlineStr">
        <is>
          <t>178</t>
        </is>
      </c>
      <c r="F712" s="19" t="n"/>
      <c r="G712" s="19" t="n"/>
      <c r="H712" s="19" t="n"/>
      <c r="I712" s="19" t="n"/>
      <c r="J712" t="n">
        <v>711</v>
      </c>
      <c r="K712" t="inlineStr">
        <is>
          <t>Phase J registry sync</t>
        </is>
      </c>
    </row>
    <row r="713">
      <c r="A713" s="19" t="inlineStr">
        <is>
          <t>712</t>
        </is>
      </c>
      <c r="B713" s="19" t="inlineStr">
        <is>
          <t>712</t>
        </is>
      </c>
      <c r="C713" s="19" t="n"/>
      <c r="D713" s="19" t="n"/>
      <c r="E713" s="19" t="n"/>
      <c r="F713" s="19" t="n"/>
      <c r="G713" s="19" t="n"/>
      <c r="H713" s="19" t="n"/>
      <c r="I713" s="19" t="inlineStr">
        <is>
          <t>178</t>
        </is>
      </c>
      <c r="J713" t="n">
        <v>712</v>
      </c>
      <c r="K713" t="inlineStr">
        <is>
          <t>Phase J registry sync</t>
        </is>
      </c>
    </row>
    <row r="714">
      <c r="A714" s="19" t="inlineStr">
        <is>
          <t>713</t>
        </is>
      </c>
      <c r="B714" s="19" t="inlineStr">
        <is>
          <t>713</t>
        </is>
      </c>
      <c r="C714" s="19" t="n"/>
      <c r="D714" s="19" t="n"/>
      <c r="E714" s="19" t="n"/>
      <c r="F714" s="19" t="n"/>
      <c r="G714" s="19" t="inlineStr">
        <is>
          <t>179</t>
        </is>
      </c>
      <c r="H714" s="19" t="n"/>
      <c r="I714" s="19" t="n"/>
      <c r="J714" t="n">
        <v>713</v>
      </c>
      <c r="K714" t="inlineStr">
        <is>
          <t>Phase J registry sync</t>
        </is>
      </c>
    </row>
    <row r="715">
      <c r="A715" s="19" t="inlineStr">
        <is>
          <t>714</t>
        </is>
      </c>
      <c r="B715" s="19" t="inlineStr">
        <is>
          <t>714</t>
        </is>
      </c>
      <c r="C715" s="19" t="n"/>
      <c r="D715" s="19" t="n"/>
      <c r="E715" s="19" t="n"/>
      <c r="F715" s="19" t="n"/>
      <c r="G715" s="19" t="n"/>
      <c r="H715" s="19" t="inlineStr">
        <is>
          <t>179</t>
        </is>
      </c>
      <c r="I715" s="19" t="n"/>
      <c r="J715" t="n">
        <v>714</v>
      </c>
      <c r="K715" t="inlineStr">
        <is>
          <t>Phase J registry sync</t>
        </is>
      </c>
    </row>
    <row r="716">
      <c r="A716" s="19" t="inlineStr">
        <is>
          <t>715</t>
        </is>
      </c>
      <c r="B716" s="19" t="inlineStr">
        <is>
          <t>715</t>
        </is>
      </c>
      <c r="C716" s="19" t="n"/>
      <c r="D716" s="19" t="n"/>
      <c r="E716" s="19" t="inlineStr">
        <is>
          <t>179</t>
        </is>
      </c>
      <c r="F716" s="19" t="n"/>
      <c r="G716" s="19" t="n"/>
      <c r="H716" s="19" t="n"/>
      <c r="I716" s="19" t="n"/>
      <c r="J716" t="n">
        <v>715</v>
      </c>
      <c r="K716" t="inlineStr">
        <is>
          <t>Phase J registry sync</t>
        </is>
      </c>
    </row>
    <row r="717">
      <c r="A717" s="19" t="inlineStr">
        <is>
          <t>716</t>
        </is>
      </c>
      <c r="B717" s="19" t="inlineStr">
        <is>
          <t>716</t>
        </is>
      </c>
      <c r="C717" s="19" t="n"/>
      <c r="D717" s="19" t="n"/>
      <c r="E717" s="19" t="n"/>
      <c r="F717" s="19" t="n"/>
      <c r="G717" s="19" t="n"/>
      <c r="H717" s="19" t="n"/>
      <c r="I717" s="19" t="inlineStr">
        <is>
          <t>179</t>
        </is>
      </c>
      <c r="J717" t="n">
        <v>716</v>
      </c>
      <c r="K717" t="inlineStr">
        <is>
          <t>Phase J registry sync</t>
        </is>
      </c>
    </row>
    <row r="718">
      <c r="A718" s="19" t="inlineStr">
        <is>
          <t>717</t>
        </is>
      </c>
      <c r="B718" s="19" t="inlineStr">
        <is>
          <t>717</t>
        </is>
      </c>
      <c r="C718" s="19" t="n"/>
      <c r="D718" s="19" t="n"/>
      <c r="E718" s="19" t="n"/>
      <c r="F718" s="19" t="n"/>
      <c r="G718" s="19" t="inlineStr">
        <is>
          <t>180</t>
        </is>
      </c>
      <c r="H718" s="19" t="n"/>
      <c r="I718" s="19" t="n"/>
      <c r="J718" t="n">
        <v>717</v>
      </c>
      <c r="K718" t="inlineStr">
        <is>
          <t>Phase J registry sync</t>
        </is>
      </c>
    </row>
    <row r="719">
      <c r="A719" s="19" t="inlineStr">
        <is>
          <t>718</t>
        </is>
      </c>
      <c r="B719" s="19" t="inlineStr">
        <is>
          <t>718</t>
        </is>
      </c>
      <c r="C719" s="19" t="n"/>
      <c r="D719" s="19" t="n"/>
      <c r="E719" s="19" t="n"/>
      <c r="F719" s="19" t="n"/>
      <c r="G719" s="19" t="n"/>
      <c r="H719" s="19" t="inlineStr">
        <is>
          <t>180</t>
        </is>
      </c>
      <c r="I719" s="19" t="n"/>
      <c r="J719" t="n">
        <v>718</v>
      </c>
      <c r="K719" t="inlineStr">
        <is>
          <t>Phase J registry sync</t>
        </is>
      </c>
    </row>
    <row r="720">
      <c r="A720" s="19" t="inlineStr">
        <is>
          <t>719</t>
        </is>
      </c>
      <c r="B720" s="19" t="inlineStr">
        <is>
          <t>719</t>
        </is>
      </c>
      <c r="C720" s="19" t="n"/>
      <c r="D720" s="19" t="n"/>
      <c r="E720" s="19" t="inlineStr">
        <is>
          <t>180</t>
        </is>
      </c>
      <c r="F720" s="19" t="n"/>
      <c r="G720" s="19" t="n"/>
      <c r="H720" s="19" t="n"/>
      <c r="I720" s="19" t="n"/>
      <c r="J720" t="n">
        <v>719</v>
      </c>
      <c r="K720" t="inlineStr">
        <is>
          <t>Phase J registry sync</t>
        </is>
      </c>
    </row>
    <row r="721">
      <c r="A721" s="19" t="inlineStr">
        <is>
          <t>720</t>
        </is>
      </c>
      <c r="B721" s="19" t="inlineStr">
        <is>
          <t>720</t>
        </is>
      </c>
      <c r="C721" s="19" t="n"/>
      <c r="D721" s="19" t="n"/>
      <c r="E721" s="19" t="n"/>
      <c r="F721" s="19" t="n"/>
      <c r="G721" s="19" t="n"/>
      <c r="H721" s="19" t="n"/>
      <c r="I721" s="19" t="inlineStr">
        <is>
          <t>180</t>
        </is>
      </c>
      <c r="J721" t="n">
        <v>720</v>
      </c>
      <c r="K721" t="inlineStr">
        <is>
          <t>Phase J registry sync</t>
        </is>
      </c>
    </row>
    <row r="722">
      <c r="A722" s="19" t="inlineStr">
        <is>
          <t>721</t>
        </is>
      </c>
      <c r="B722" s="19" t="inlineStr">
        <is>
          <t>721</t>
        </is>
      </c>
      <c r="C722" s="19" t="n"/>
      <c r="D722" s="19" t="n"/>
      <c r="E722" s="19" t="n"/>
      <c r="F722" s="19" t="n"/>
      <c r="G722" s="19" t="inlineStr">
        <is>
          <t>181</t>
        </is>
      </c>
      <c r="H722" s="19" t="n"/>
      <c r="I722" s="19" t="n"/>
      <c r="J722" t="n">
        <v>721</v>
      </c>
      <c r="K722" t="inlineStr">
        <is>
          <t>Phase J registry sync</t>
        </is>
      </c>
    </row>
    <row r="723">
      <c r="A723" s="19" t="inlineStr">
        <is>
          <t>722</t>
        </is>
      </c>
      <c r="B723" s="19" t="inlineStr">
        <is>
          <t>722</t>
        </is>
      </c>
      <c r="C723" s="19" t="n"/>
      <c r="D723" s="19" t="n"/>
      <c r="E723" s="19" t="n"/>
      <c r="F723" s="19" t="n"/>
      <c r="G723" s="19" t="n"/>
      <c r="H723" s="19" t="inlineStr">
        <is>
          <t>181</t>
        </is>
      </c>
      <c r="I723" s="19" t="n"/>
      <c r="J723" t="n">
        <v>722</v>
      </c>
      <c r="K723" t="inlineStr">
        <is>
          <t>Phase J registry sync</t>
        </is>
      </c>
    </row>
    <row r="724">
      <c r="A724" s="19" t="inlineStr">
        <is>
          <t>723</t>
        </is>
      </c>
      <c r="B724" s="19" t="inlineStr">
        <is>
          <t>723</t>
        </is>
      </c>
      <c r="C724" s="19" t="n"/>
      <c r="D724" s="19" t="n"/>
      <c r="E724" s="19" t="inlineStr">
        <is>
          <t>181</t>
        </is>
      </c>
      <c r="F724" s="19" t="n"/>
      <c r="G724" s="19" t="n"/>
      <c r="H724" s="19" t="n"/>
      <c r="I724" s="19" t="n"/>
      <c r="J724" t="n">
        <v>723</v>
      </c>
      <c r="K724" t="inlineStr">
        <is>
          <t>Phase J registry sync</t>
        </is>
      </c>
    </row>
    <row r="725">
      <c r="A725" s="19" t="inlineStr">
        <is>
          <t>724</t>
        </is>
      </c>
      <c r="B725" s="19" t="inlineStr">
        <is>
          <t>724</t>
        </is>
      </c>
      <c r="C725" s="19" t="n"/>
      <c r="D725" s="19" t="n"/>
      <c r="E725" s="19" t="n"/>
      <c r="F725" s="19" t="n"/>
      <c r="G725" s="19" t="n"/>
      <c r="H725" s="19" t="n"/>
      <c r="I725" s="19" t="inlineStr">
        <is>
          <t>181</t>
        </is>
      </c>
      <c r="J725" t="n">
        <v>724</v>
      </c>
      <c r="K725" t="inlineStr">
        <is>
          <t>Phase J registry sync</t>
        </is>
      </c>
    </row>
    <row r="726">
      <c r="A726" s="19" t="inlineStr">
        <is>
          <t>725</t>
        </is>
      </c>
      <c r="B726" s="19" t="inlineStr">
        <is>
          <t>725</t>
        </is>
      </c>
      <c r="C726" s="19" t="n"/>
      <c r="D726" s="19" t="n"/>
      <c r="E726" s="19" t="n"/>
      <c r="F726" s="19" t="n"/>
      <c r="G726" s="19" t="inlineStr">
        <is>
          <t>182</t>
        </is>
      </c>
      <c r="H726" s="19" t="n"/>
      <c r="I726" s="19" t="n"/>
      <c r="J726" t="n">
        <v>725</v>
      </c>
      <c r="K726" t="inlineStr">
        <is>
          <t>Phase J registry sync</t>
        </is>
      </c>
    </row>
    <row r="727">
      <c r="A727" s="19" t="inlineStr">
        <is>
          <t>726</t>
        </is>
      </c>
      <c r="B727" s="19" t="inlineStr">
        <is>
          <t>726</t>
        </is>
      </c>
      <c r="C727" s="19" t="n"/>
      <c r="D727" s="19" t="n"/>
      <c r="E727" s="19" t="n"/>
      <c r="F727" s="19" t="n"/>
      <c r="G727" s="19" t="n"/>
      <c r="H727" s="19" t="inlineStr">
        <is>
          <t>182</t>
        </is>
      </c>
      <c r="I727" s="19" t="n"/>
      <c r="J727" t="n">
        <v>726</v>
      </c>
      <c r="K727" t="inlineStr">
        <is>
          <t>Phase J registry sync</t>
        </is>
      </c>
    </row>
    <row r="728">
      <c r="A728" s="19" t="inlineStr">
        <is>
          <t>727</t>
        </is>
      </c>
      <c r="B728" s="19" t="inlineStr">
        <is>
          <t>727</t>
        </is>
      </c>
      <c r="C728" s="19" t="n"/>
      <c r="D728" s="19" t="n"/>
      <c r="E728" s="19" t="inlineStr">
        <is>
          <t>182</t>
        </is>
      </c>
      <c r="F728" s="19" t="n"/>
      <c r="G728" s="19" t="n"/>
      <c r="H728" s="19" t="n"/>
      <c r="I728" s="19" t="n"/>
      <c r="J728" t="n">
        <v>727</v>
      </c>
      <c r="K728" t="inlineStr">
        <is>
          <t>Phase J registry sync</t>
        </is>
      </c>
    </row>
    <row r="729">
      <c r="A729" s="19" t="inlineStr">
        <is>
          <t>728</t>
        </is>
      </c>
      <c r="B729" s="19" t="inlineStr">
        <is>
          <t>728</t>
        </is>
      </c>
      <c r="C729" s="19" t="n"/>
      <c r="D729" s="19" t="n"/>
      <c r="E729" s="19" t="n"/>
      <c r="F729" s="19" t="n"/>
      <c r="G729" s="19" t="n"/>
      <c r="H729" s="19" t="n"/>
      <c r="I729" s="19" t="inlineStr">
        <is>
          <t>182</t>
        </is>
      </c>
      <c r="J729" t="n">
        <v>728</v>
      </c>
      <c r="K729" t="inlineStr">
        <is>
          <t>Phase J registry sync</t>
        </is>
      </c>
    </row>
    <row r="730">
      <c r="A730" s="19" t="inlineStr">
        <is>
          <t>729</t>
        </is>
      </c>
      <c r="B730" s="19" t="inlineStr">
        <is>
          <t>729</t>
        </is>
      </c>
      <c r="C730" s="19" t="n"/>
      <c r="D730" s="19" t="n"/>
      <c r="E730" s="19" t="n"/>
      <c r="F730" s="19" t="n"/>
      <c r="G730" s="19" t="inlineStr">
        <is>
          <t>183</t>
        </is>
      </c>
      <c r="H730" s="19" t="n"/>
      <c r="I730" s="19" t="n"/>
      <c r="J730" t="n">
        <v>729</v>
      </c>
      <c r="K730" t="inlineStr">
        <is>
          <t>Phase J registry sync</t>
        </is>
      </c>
    </row>
    <row r="731">
      <c r="A731" s="19" t="inlineStr">
        <is>
          <t>730</t>
        </is>
      </c>
      <c r="B731" s="19" t="inlineStr">
        <is>
          <t>730</t>
        </is>
      </c>
      <c r="C731" s="19" t="n"/>
      <c r="D731" s="19" t="n"/>
      <c r="E731" s="19" t="n"/>
      <c r="F731" s="19" t="n"/>
      <c r="G731" s="19" t="n"/>
      <c r="H731" s="19" t="inlineStr">
        <is>
          <t>183</t>
        </is>
      </c>
      <c r="I731" s="19" t="n"/>
      <c r="J731" t="n">
        <v>730</v>
      </c>
      <c r="K731" t="inlineStr">
        <is>
          <t>Phase J registry sync</t>
        </is>
      </c>
    </row>
    <row r="732">
      <c r="A732" s="19" t="inlineStr">
        <is>
          <t>731</t>
        </is>
      </c>
      <c r="B732" s="19" t="inlineStr">
        <is>
          <t>731</t>
        </is>
      </c>
      <c r="C732" s="19" t="n"/>
      <c r="D732" s="19" t="n"/>
      <c r="E732" s="19" t="inlineStr">
        <is>
          <t>183</t>
        </is>
      </c>
      <c r="F732" s="19" t="n"/>
      <c r="G732" s="19" t="n"/>
      <c r="H732" s="19" t="n"/>
      <c r="I732" s="19" t="n"/>
      <c r="J732" t="n">
        <v>731</v>
      </c>
      <c r="K732" t="inlineStr">
        <is>
          <t>Phase J registry sync</t>
        </is>
      </c>
    </row>
    <row r="733">
      <c r="A733" s="19" t="inlineStr">
        <is>
          <t>732</t>
        </is>
      </c>
      <c r="B733" s="19" t="inlineStr">
        <is>
          <t>732</t>
        </is>
      </c>
      <c r="C733" s="19" t="n"/>
      <c r="D733" s="19" t="n"/>
      <c r="E733" s="19" t="n"/>
      <c r="F733" s="19" t="n"/>
      <c r="G733" s="19" t="n"/>
      <c r="H733" s="19" t="n"/>
      <c r="I733" s="19" t="inlineStr">
        <is>
          <t>183</t>
        </is>
      </c>
      <c r="J733" t="n">
        <v>732</v>
      </c>
      <c r="K733" t="inlineStr">
        <is>
          <t>Phase J registry sync</t>
        </is>
      </c>
    </row>
    <row r="734">
      <c r="A734" s="19" t="inlineStr">
        <is>
          <t>733</t>
        </is>
      </c>
      <c r="B734" s="19" t="inlineStr">
        <is>
          <t>733</t>
        </is>
      </c>
      <c r="C734" s="19" t="n"/>
      <c r="D734" s="19" t="n"/>
      <c r="E734" s="19" t="n"/>
      <c r="F734" s="19" t="n"/>
      <c r="G734" s="19" t="inlineStr">
        <is>
          <t>184</t>
        </is>
      </c>
      <c r="H734" s="19" t="n"/>
      <c r="I734" s="19" t="n"/>
      <c r="J734" t="n">
        <v>733</v>
      </c>
      <c r="K734" t="inlineStr">
        <is>
          <t>Phase J registry sync</t>
        </is>
      </c>
    </row>
    <row r="735">
      <c r="A735" s="19" t="inlineStr">
        <is>
          <t>734</t>
        </is>
      </c>
      <c r="B735" s="19" t="inlineStr">
        <is>
          <t>734</t>
        </is>
      </c>
      <c r="C735" s="19" t="n"/>
      <c r="D735" s="19" t="n"/>
      <c r="E735" s="19" t="n"/>
      <c r="F735" s="19" t="n"/>
      <c r="G735" s="19" t="n"/>
      <c r="H735" s="19" t="inlineStr">
        <is>
          <t>184</t>
        </is>
      </c>
      <c r="I735" s="19" t="n"/>
      <c r="J735" t="n">
        <v>734</v>
      </c>
      <c r="K735" t="inlineStr">
        <is>
          <t>Phase J registry sync</t>
        </is>
      </c>
    </row>
    <row r="736">
      <c r="A736" s="19" t="inlineStr">
        <is>
          <t>735</t>
        </is>
      </c>
      <c r="B736" s="19" t="inlineStr">
        <is>
          <t>735</t>
        </is>
      </c>
      <c r="C736" s="19" t="n"/>
      <c r="D736" s="19" t="n"/>
      <c r="E736" s="19" t="inlineStr">
        <is>
          <t>184</t>
        </is>
      </c>
      <c r="F736" s="19" t="n"/>
      <c r="G736" s="19" t="n"/>
      <c r="H736" s="19" t="n"/>
      <c r="I736" s="19" t="n"/>
      <c r="J736" t="n">
        <v>735</v>
      </c>
      <c r="K736" t="inlineStr">
        <is>
          <t>Phase J registry sync</t>
        </is>
      </c>
    </row>
    <row r="737">
      <c r="A737" s="19" t="inlineStr">
        <is>
          <t>736</t>
        </is>
      </c>
      <c r="B737" s="19" t="inlineStr">
        <is>
          <t>736</t>
        </is>
      </c>
      <c r="C737" s="19" t="n"/>
      <c r="D737" s="19" t="n"/>
      <c r="E737" s="19" t="n"/>
      <c r="F737" s="19" t="n"/>
      <c r="G737" s="19" t="n"/>
      <c r="H737" s="19" t="n"/>
      <c r="I737" s="19" t="inlineStr">
        <is>
          <t>184</t>
        </is>
      </c>
      <c r="J737" t="n">
        <v>736</v>
      </c>
      <c r="K737" t="inlineStr">
        <is>
          <t>Phase J registry sync</t>
        </is>
      </c>
    </row>
    <row r="738">
      <c r="A738" s="19" t="inlineStr">
        <is>
          <t>737</t>
        </is>
      </c>
      <c r="B738" s="19" t="inlineStr">
        <is>
          <t>737</t>
        </is>
      </c>
      <c r="C738" s="19" t="n"/>
      <c r="D738" s="19" t="n"/>
      <c r="E738" s="19" t="n"/>
      <c r="F738" s="19" t="n"/>
      <c r="G738" s="19" t="inlineStr">
        <is>
          <t>185</t>
        </is>
      </c>
      <c r="H738" s="19" t="n"/>
      <c r="I738" s="19" t="n"/>
      <c r="J738" t="n">
        <v>737</v>
      </c>
      <c r="K738" t="inlineStr">
        <is>
          <t>Phase J registry sync</t>
        </is>
      </c>
    </row>
    <row r="739">
      <c r="A739" s="19" t="inlineStr">
        <is>
          <t>738</t>
        </is>
      </c>
      <c r="B739" s="19" t="inlineStr">
        <is>
          <t>738</t>
        </is>
      </c>
      <c r="C739" s="19" t="n"/>
      <c r="D739" s="19" t="n"/>
      <c r="E739" s="19" t="n"/>
      <c r="F739" s="19" t="n"/>
      <c r="G739" s="19" t="n"/>
      <c r="H739" s="19" t="inlineStr">
        <is>
          <t>185</t>
        </is>
      </c>
      <c r="I739" s="19" t="n"/>
      <c r="J739" t="n">
        <v>738</v>
      </c>
      <c r="K739" t="inlineStr">
        <is>
          <t>Phase J registry sync</t>
        </is>
      </c>
    </row>
    <row r="740">
      <c r="A740" s="19" t="inlineStr">
        <is>
          <t>739</t>
        </is>
      </c>
      <c r="B740" s="19" t="inlineStr">
        <is>
          <t>739</t>
        </is>
      </c>
      <c r="C740" s="19" t="n"/>
      <c r="D740" s="19" t="n"/>
      <c r="E740" s="19" t="inlineStr">
        <is>
          <t>185</t>
        </is>
      </c>
      <c r="F740" s="19" t="n"/>
      <c r="G740" s="19" t="n"/>
      <c r="H740" s="19" t="n"/>
      <c r="I740" s="19" t="n"/>
      <c r="J740" t="n">
        <v>739</v>
      </c>
      <c r="K740" t="inlineStr">
        <is>
          <t>Phase J registry sync</t>
        </is>
      </c>
    </row>
    <row r="741">
      <c r="A741" s="19" t="inlineStr">
        <is>
          <t>740</t>
        </is>
      </c>
      <c r="B741" s="19" t="inlineStr">
        <is>
          <t>740</t>
        </is>
      </c>
      <c r="C741" s="19" t="n"/>
      <c r="D741" s="19" t="n"/>
      <c r="E741" s="19" t="n"/>
      <c r="F741" s="19" t="n"/>
      <c r="G741" s="19" t="n"/>
      <c r="H741" s="19" t="n"/>
      <c r="I741" s="19" t="inlineStr">
        <is>
          <t>185</t>
        </is>
      </c>
      <c r="J741" t="n">
        <v>740</v>
      </c>
      <c r="K741" t="inlineStr">
        <is>
          <t>Phase J registry sync</t>
        </is>
      </c>
    </row>
    <row r="742">
      <c r="A742" s="19" t="inlineStr">
        <is>
          <t>741</t>
        </is>
      </c>
      <c r="B742" s="19" t="inlineStr">
        <is>
          <t>741</t>
        </is>
      </c>
      <c r="C742" s="19" t="n"/>
      <c r="D742" s="19" t="n"/>
      <c r="E742" s="19" t="n"/>
      <c r="F742" s="19" t="n"/>
      <c r="G742" s="19" t="inlineStr">
        <is>
          <t>186</t>
        </is>
      </c>
      <c r="H742" s="19" t="n"/>
      <c r="I742" s="19" t="n"/>
      <c r="J742" t="n">
        <v>741</v>
      </c>
      <c r="K742" t="inlineStr">
        <is>
          <t>Phase J registry sync</t>
        </is>
      </c>
    </row>
    <row r="743">
      <c r="A743" s="19" t="inlineStr">
        <is>
          <t>742</t>
        </is>
      </c>
      <c r="B743" s="19" t="inlineStr">
        <is>
          <t>742</t>
        </is>
      </c>
      <c r="C743" s="19" t="n"/>
      <c r="D743" s="19" t="n"/>
      <c r="E743" s="19" t="n"/>
      <c r="F743" s="19" t="n"/>
      <c r="G743" s="19" t="n"/>
      <c r="H743" s="19" t="inlineStr">
        <is>
          <t>186</t>
        </is>
      </c>
      <c r="I743" s="19" t="n"/>
      <c r="J743" t="n">
        <v>742</v>
      </c>
      <c r="K743" t="inlineStr">
        <is>
          <t>Phase J registry sync</t>
        </is>
      </c>
    </row>
    <row r="744">
      <c r="A744" s="19" t="inlineStr">
        <is>
          <t>743</t>
        </is>
      </c>
      <c r="B744" s="19" t="inlineStr">
        <is>
          <t>743</t>
        </is>
      </c>
      <c r="C744" s="19" t="n"/>
      <c r="D744" s="19" t="n"/>
      <c r="E744" s="19" t="inlineStr">
        <is>
          <t>186</t>
        </is>
      </c>
      <c r="F744" s="19" t="n"/>
      <c r="G744" s="19" t="n"/>
      <c r="H744" s="19" t="n"/>
      <c r="I744" s="19" t="n"/>
      <c r="J744" t="n">
        <v>743</v>
      </c>
      <c r="K744" t="inlineStr">
        <is>
          <t>Phase J registry sync</t>
        </is>
      </c>
    </row>
    <row r="745">
      <c r="A745" s="19" t="inlineStr">
        <is>
          <t>744</t>
        </is>
      </c>
      <c r="B745" s="19" t="inlineStr">
        <is>
          <t>744</t>
        </is>
      </c>
      <c r="C745" s="19" t="n"/>
      <c r="D745" s="19" t="n"/>
      <c r="E745" s="19" t="n"/>
      <c r="F745" s="19" t="n"/>
      <c r="G745" s="19" t="n"/>
      <c r="H745" s="19" t="n"/>
      <c r="I745" s="19" t="inlineStr">
        <is>
          <t>186</t>
        </is>
      </c>
      <c r="J745" t="n">
        <v>744</v>
      </c>
      <c r="K745" t="inlineStr">
        <is>
          <t>Phase J registry sync</t>
        </is>
      </c>
    </row>
    <row r="746">
      <c r="A746" s="19" t="inlineStr">
        <is>
          <t>745</t>
        </is>
      </c>
      <c r="B746" s="19" t="inlineStr">
        <is>
          <t>745</t>
        </is>
      </c>
      <c r="C746" s="19" t="n"/>
      <c r="D746" s="19" t="n"/>
      <c r="E746" s="19" t="n"/>
      <c r="F746" s="19" t="n"/>
      <c r="G746" s="19" t="inlineStr">
        <is>
          <t>187</t>
        </is>
      </c>
      <c r="H746" s="19" t="n"/>
      <c r="I746" s="19" t="n"/>
      <c r="J746" t="n">
        <v>745</v>
      </c>
      <c r="K746" t="inlineStr">
        <is>
          <t>Phase J registry sync</t>
        </is>
      </c>
    </row>
    <row r="747">
      <c r="A747" s="19" t="inlineStr">
        <is>
          <t>746</t>
        </is>
      </c>
      <c r="B747" s="19" t="inlineStr">
        <is>
          <t>746</t>
        </is>
      </c>
      <c r="C747" s="19" t="n"/>
      <c r="D747" s="19" t="n"/>
      <c r="E747" s="19" t="n"/>
      <c r="F747" s="19" t="n"/>
      <c r="G747" s="19" t="n"/>
      <c r="H747" s="19" t="inlineStr">
        <is>
          <t>187</t>
        </is>
      </c>
      <c r="I747" s="19" t="n"/>
      <c r="J747" t="n">
        <v>746</v>
      </c>
      <c r="K747" t="inlineStr">
        <is>
          <t>Phase J registry sync</t>
        </is>
      </c>
    </row>
    <row r="748">
      <c r="A748" s="19" t="inlineStr">
        <is>
          <t>747</t>
        </is>
      </c>
      <c r="B748" s="19" t="inlineStr">
        <is>
          <t>747</t>
        </is>
      </c>
      <c r="C748" s="19" t="n"/>
      <c r="D748" s="19" t="n"/>
      <c r="E748" s="19" t="inlineStr">
        <is>
          <t>187</t>
        </is>
      </c>
      <c r="F748" s="19" t="n"/>
      <c r="G748" s="19" t="n"/>
      <c r="H748" s="19" t="n"/>
      <c r="I748" s="19" t="n"/>
      <c r="J748" t="n">
        <v>747</v>
      </c>
      <c r="K748" t="inlineStr">
        <is>
          <t>Phase J registry sync</t>
        </is>
      </c>
    </row>
    <row r="749">
      <c r="A749" s="19" t="inlineStr">
        <is>
          <t>748</t>
        </is>
      </c>
      <c r="B749" s="19" t="inlineStr">
        <is>
          <t>748</t>
        </is>
      </c>
      <c r="C749" s="19" t="n"/>
      <c r="D749" s="19" t="n"/>
      <c r="E749" s="19" t="n"/>
      <c r="F749" s="19" t="n"/>
      <c r="G749" s="19" t="n"/>
      <c r="H749" s="19" t="n"/>
      <c r="I749" s="19" t="inlineStr">
        <is>
          <t>187</t>
        </is>
      </c>
      <c r="J749" t="n">
        <v>748</v>
      </c>
      <c r="K749" t="inlineStr">
        <is>
          <t>Phase J registry sync</t>
        </is>
      </c>
    </row>
    <row r="750">
      <c r="A750" s="19" t="inlineStr">
        <is>
          <t>749</t>
        </is>
      </c>
      <c r="B750" s="19" t="inlineStr">
        <is>
          <t>749</t>
        </is>
      </c>
      <c r="C750" s="19" t="n"/>
      <c r="D750" s="19" t="n"/>
      <c r="E750" s="19" t="n"/>
      <c r="F750" s="19" t="n"/>
      <c r="G750" s="19" t="inlineStr">
        <is>
          <t>188</t>
        </is>
      </c>
      <c r="H750" s="19" t="n"/>
      <c r="I750" s="19" t="n"/>
      <c r="J750" t="n">
        <v>749</v>
      </c>
      <c r="K750" t="inlineStr">
        <is>
          <t>Phase J registry sync</t>
        </is>
      </c>
    </row>
    <row r="751">
      <c r="A751" s="19" t="inlineStr">
        <is>
          <t>750</t>
        </is>
      </c>
      <c r="B751" s="19" t="inlineStr">
        <is>
          <t>750</t>
        </is>
      </c>
      <c r="C751" s="19" t="n"/>
      <c r="D751" s="19" t="n"/>
      <c r="E751" s="19" t="n"/>
      <c r="F751" s="19" t="n"/>
      <c r="G751" s="19" t="n"/>
      <c r="H751" s="19" t="inlineStr">
        <is>
          <t>188</t>
        </is>
      </c>
      <c r="I751" s="19" t="n"/>
      <c r="J751" t="n">
        <v>750</v>
      </c>
      <c r="K751" t="inlineStr">
        <is>
          <t>Phase J registry sync</t>
        </is>
      </c>
    </row>
    <row r="752">
      <c r="A752" s="19" t="inlineStr">
        <is>
          <t>751</t>
        </is>
      </c>
      <c r="B752" s="19" t="inlineStr">
        <is>
          <t>751</t>
        </is>
      </c>
      <c r="C752" s="19" t="n"/>
      <c r="D752" s="19" t="n"/>
      <c r="E752" s="19" t="inlineStr">
        <is>
          <t>188</t>
        </is>
      </c>
      <c r="F752" s="19" t="n"/>
      <c r="G752" s="19" t="n"/>
      <c r="H752" s="19" t="n"/>
      <c r="I752" s="19" t="n"/>
      <c r="J752" t="n">
        <v>751</v>
      </c>
      <c r="K752" t="inlineStr">
        <is>
          <t>Phase J registry sync</t>
        </is>
      </c>
    </row>
    <row r="753">
      <c r="A753" s="19" t="inlineStr">
        <is>
          <t>752</t>
        </is>
      </c>
      <c r="B753" s="19" t="inlineStr">
        <is>
          <t>752</t>
        </is>
      </c>
      <c r="C753" s="19" t="n"/>
      <c r="D753" s="19" t="n"/>
      <c r="E753" s="19" t="n"/>
      <c r="F753" s="19" t="n"/>
      <c r="G753" s="19" t="n"/>
      <c r="H753" s="19" t="n"/>
      <c r="I753" s="19" t="inlineStr">
        <is>
          <t>188</t>
        </is>
      </c>
      <c r="J753" t="n">
        <v>752</v>
      </c>
      <c r="K753" t="inlineStr">
        <is>
          <t>Phase J registry sync</t>
        </is>
      </c>
    </row>
    <row r="754">
      <c r="A754" s="19" t="inlineStr">
        <is>
          <t>753</t>
        </is>
      </c>
      <c r="B754" s="19" t="inlineStr">
        <is>
          <t>753</t>
        </is>
      </c>
      <c r="C754" s="19" t="n"/>
      <c r="D754" s="19" t="n"/>
      <c r="E754" s="19" t="n"/>
      <c r="F754" s="19" t="n"/>
      <c r="G754" s="19" t="inlineStr">
        <is>
          <t>189</t>
        </is>
      </c>
      <c r="H754" s="19" t="n"/>
      <c r="I754" s="19" t="n"/>
      <c r="J754" t="n">
        <v>753</v>
      </c>
      <c r="K754" t="inlineStr">
        <is>
          <t>Phase J registry sync</t>
        </is>
      </c>
    </row>
    <row r="755">
      <c r="A755" s="19" t="inlineStr">
        <is>
          <t>754</t>
        </is>
      </c>
      <c r="B755" s="19" t="inlineStr">
        <is>
          <t>754</t>
        </is>
      </c>
      <c r="C755" s="19" t="n"/>
      <c r="D755" s="19" t="n"/>
      <c r="E755" s="19" t="n"/>
      <c r="F755" s="19" t="n"/>
      <c r="G755" s="19" t="n"/>
      <c r="H755" s="19" t="inlineStr">
        <is>
          <t>189</t>
        </is>
      </c>
      <c r="I755" s="19" t="n"/>
      <c r="J755" t="n">
        <v>754</v>
      </c>
      <c r="K755" t="inlineStr">
        <is>
          <t>Phase J registry sync</t>
        </is>
      </c>
    </row>
    <row r="756">
      <c r="A756" s="19" t="inlineStr">
        <is>
          <t>755</t>
        </is>
      </c>
      <c r="B756" s="19" t="inlineStr">
        <is>
          <t>755</t>
        </is>
      </c>
      <c r="C756" s="19" t="n"/>
      <c r="D756" s="19" t="n"/>
      <c r="E756" s="19" t="inlineStr">
        <is>
          <t>189</t>
        </is>
      </c>
      <c r="F756" s="19" t="n"/>
      <c r="G756" s="19" t="n"/>
      <c r="H756" s="19" t="n"/>
      <c r="I756" s="19" t="n"/>
      <c r="J756" t="n">
        <v>755</v>
      </c>
      <c r="K756" t="inlineStr">
        <is>
          <t>Phase J registry sync</t>
        </is>
      </c>
    </row>
    <row r="757">
      <c r="A757" s="19" t="inlineStr">
        <is>
          <t>756</t>
        </is>
      </c>
      <c r="B757" s="19" t="inlineStr">
        <is>
          <t>756</t>
        </is>
      </c>
      <c r="C757" s="19" t="n"/>
      <c r="D757" s="19" t="n"/>
      <c r="E757" s="19" t="n"/>
      <c r="F757" s="19" t="n"/>
      <c r="G757" s="19" t="n"/>
      <c r="H757" s="19" t="n"/>
      <c r="I757" s="19" t="inlineStr">
        <is>
          <t>189</t>
        </is>
      </c>
      <c r="J757" t="n">
        <v>756</v>
      </c>
      <c r="K757" t="inlineStr">
        <is>
          <t>Phase J registry sync</t>
        </is>
      </c>
    </row>
    <row r="758">
      <c r="A758" s="19" t="inlineStr">
        <is>
          <t>757</t>
        </is>
      </c>
      <c r="B758" s="19" t="inlineStr">
        <is>
          <t>757</t>
        </is>
      </c>
      <c r="C758" s="19" t="n"/>
      <c r="D758" s="19" t="n"/>
      <c r="E758" s="19" t="n"/>
      <c r="F758" s="19" t="n"/>
      <c r="G758" s="19" t="inlineStr">
        <is>
          <t>190</t>
        </is>
      </c>
      <c r="H758" s="19" t="n"/>
      <c r="I758" s="19" t="n"/>
      <c r="J758" t="n">
        <v>757</v>
      </c>
      <c r="K758" t="inlineStr">
        <is>
          <t>Phase J registry sync</t>
        </is>
      </c>
    </row>
    <row r="759">
      <c r="A759" s="19" t="inlineStr">
        <is>
          <t>758</t>
        </is>
      </c>
      <c r="B759" s="19" t="inlineStr">
        <is>
          <t>758</t>
        </is>
      </c>
      <c r="C759" s="19" t="n"/>
      <c r="D759" s="19" t="n"/>
      <c r="E759" s="19" t="n"/>
      <c r="F759" s="19" t="n"/>
      <c r="G759" s="19" t="n"/>
      <c r="H759" s="19" t="inlineStr">
        <is>
          <t>190</t>
        </is>
      </c>
      <c r="I759" s="19" t="n"/>
      <c r="J759" t="n">
        <v>758</v>
      </c>
      <c r="K759" t="inlineStr">
        <is>
          <t>Phase J registry sync</t>
        </is>
      </c>
    </row>
    <row r="760">
      <c r="A760" s="19" t="inlineStr">
        <is>
          <t>759</t>
        </is>
      </c>
      <c r="B760" s="19" t="inlineStr">
        <is>
          <t>759</t>
        </is>
      </c>
      <c r="C760" s="19" t="n"/>
      <c r="D760" s="19" t="n"/>
      <c r="E760" s="19" t="inlineStr">
        <is>
          <t>190</t>
        </is>
      </c>
      <c r="F760" s="19" t="n"/>
      <c r="G760" s="19" t="n"/>
      <c r="H760" s="19" t="n"/>
      <c r="I760" s="19" t="n"/>
      <c r="J760" t="n">
        <v>759</v>
      </c>
      <c r="K760" t="inlineStr">
        <is>
          <t>Phase J registry sync</t>
        </is>
      </c>
    </row>
    <row r="761">
      <c r="A761" s="19" t="inlineStr">
        <is>
          <t>760</t>
        </is>
      </c>
      <c r="B761" s="19" t="inlineStr">
        <is>
          <t>760</t>
        </is>
      </c>
      <c r="C761" s="19" t="n"/>
      <c r="D761" s="19" t="n"/>
      <c r="E761" s="19" t="n"/>
      <c r="F761" s="19" t="n"/>
      <c r="G761" s="19" t="n"/>
      <c r="H761" s="19" t="n"/>
      <c r="I761" s="19" t="inlineStr">
        <is>
          <t>190</t>
        </is>
      </c>
      <c r="J761" t="n">
        <v>760</v>
      </c>
      <c r="K761" t="inlineStr">
        <is>
          <t>Phase J registry sync</t>
        </is>
      </c>
    </row>
    <row r="762">
      <c r="A762" s="19" t="inlineStr">
        <is>
          <t>761</t>
        </is>
      </c>
      <c r="B762" s="19" t="inlineStr">
        <is>
          <t>761</t>
        </is>
      </c>
      <c r="C762" s="19" t="n"/>
      <c r="D762" s="19" t="n"/>
      <c r="E762" s="19" t="n"/>
      <c r="F762" s="19" t="n"/>
      <c r="G762" s="19" t="inlineStr">
        <is>
          <t>191</t>
        </is>
      </c>
      <c r="H762" s="19" t="n"/>
      <c r="I762" s="19" t="n"/>
      <c r="J762" t="n">
        <v>761</v>
      </c>
      <c r="K762" t="inlineStr">
        <is>
          <t>Phase J registry sync</t>
        </is>
      </c>
    </row>
    <row r="763">
      <c r="A763" s="19" t="inlineStr">
        <is>
          <t>762</t>
        </is>
      </c>
      <c r="B763" s="19" t="inlineStr">
        <is>
          <t>762</t>
        </is>
      </c>
      <c r="C763" s="19" t="n"/>
      <c r="D763" s="19" t="n"/>
      <c r="E763" s="19" t="n"/>
      <c r="F763" s="19" t="n"/>
      <c r="G763" s="19" t="n"/>
      <c r="H763" s="19" t="inlineStr">
        <is>
          <t>191</t>
        </is>
      </c>
      <c r="I763" s="19" t="n"/>
      <c r="J763" t="n">
        <v>762</v>
      </c>
      <c r="K763" t="inlineStr">
        <is>
          <t>Phase J registry sync</t>
        </is>
      </c>
    </row>
    <row r="764">
      <c r="A764" s="19" t="inlineStr">
        <is>
          <t>763</t>
        </is>
      </c>
      <c r="B764" s="19" t="inlineStr">
        <is>
          <t>763</t>
        </is>
      </c>
      <c r="C764" s="19" t="n"/>
      <c r="D764" s="19" t="n"/>
      <c r="E764" s="19" t="inlineStr">
        <is>
          <t>191</t>
        </is>
      </c>
      <c r="F764" s="19" t="n"/>
      <c r="G764" s="19" t="n"/>
      <c r="H764" s="19" t="n"/>
      <c r="I764" s="19" t="n"/>
      <c r="J764" t="n">
        <v>763</v>
      </c>
      <c r="K764" t="inlineStr">
        <is>
          <t>Phase J registry sync</t>
        </is>
      </c>
    </row>
    <row r="765">
      <c r="A765" s="19" t="inlineStr">
        <is>
          <t>764</t>
        </is>
      </c>
      <c r="B765" s="19" t="inlineStr">
        <is>
          <t>764</t>
        </is>
      </c>
      <c r="C765" s="19" t="n"/>
      <c r="D765" s="19" t="n"/>
      <c r="E765" s="19" t="n"/>
      <c r="F765" s="19" t="n"/>
      <c r="G765" s="19" t="n"/>
      <c r="H765" s="19" t="n"/>
      <c r="I765" s="19" t="inlineStr">
        <is>
          <t>191</t>
        </is>
      </c>
      <c r="J765" t="n">
        <v>764</v>
      </c>
      <c r="K765" t="inlineStr">
        <is>
          <t>Phase J registry sync</t>
        </is>
      </c>
    </row>
    <row r="766">
      <c r="A766" s="19" t="inlineStr">
        <is>
          <t>765</t>
        </is>
      </c>
      <c r="B766" s="19" t="inlineStr">
        <is>
          <t>765</t>
        </is>
      </c>
      <c r="C766" s="19" t="n"/>
      <c r="D766" s="19" t="n"/>
      <c r="E766" s="19" t="n"/>
      <c r="F766" s="19" t="n"/>
      <c r="G766" s="19" t="inlineStr">
        <is>
          <t>192</t>
        </is>
      </c>
      <c r="H766" s="19" t="n"/>
      <c r="I766" s="19" t="n"/>
      <c r="J766" t="n">
        <v>765</v>
      </c>
      <c r="K766" t="inlineStr">
        <is>
          <t>Phase J registry sync</t>
        </is>
      </c>
    </row>
    <row r="767">
      <c r="A767" s="19" t="inlineStr">
        <is>
          <t>766</t>
        </is>
      </c>
      <c r="B767" s="19" t="inlineStr">
        <is>
          <t>766</t>
        </is>
      </c>
      <c r="C767" s="19" t="n"/>
      <c r="D767" s="19" t="n"/>
      <c r="E767" s="19" t="n"/>
      <c r="F767" s="19" t="n"/>
      <c r="G767" s="19" t="n"/>
      <c r="H767" s="19" t="inlineStr">
        <is>
          <t>192</t>
        </is>
      </c>
      <c r="I767" s="19" t="n"/>
      <c r="J767" t="n">
        <v>766</v>
      </c>
      <c r="K767" t="inlineStr">
        <is>
          <t>Phase J registry sync</t>
        </is>
      </c>
    </row>
    <row r="768">
      <c r="A768" s="19" t="inlineStr">
        <is>
          <t>767</t>
        </is>
      </c>
      <c r="B768" s="19" t="inlineStr">
        <is>
          <t>767</t>
        </is>
      </c>
      <c r="C768" s="19" t="n"/>
      <c r="D768" s="19" t="n"/>
      <c r="E768" s="19" t="inlineStr">
        <is>
          <t>192</t>
        </is>
      </c>
      <c r="F768" s="19" t="n"/>
      <c r="G768" s="19" t="n"/>
      <c r="H768" s="19" t="n"/>
      <c r="I768" s="19" t="n"/>
      <c r="J768" t="n">
        <v>767</v>
      </c>
      <c r="K768" t="inlineStr">
        <is>
          <t>Phase J registry sync</t>
        </is>
      </c>
    </row>
    <row r="769">
      <c r="A769" s="19" t="inlineStr">
        <is>
          <t>768</t>
        </is>
      </c>
      <c r="B769" s="19" t="inlineStr">
        <is>
          <t>768</t>
        </is>
      </c>
      <c r="C769" s="19" t="n"/>
      <c r="D769" s="19" t="n"/>
      <c r="E769" s="19" t="n"/>
      <c r="F769" s="19" t="n"/>
      <c r="G769" s="19" t="n"/>
      <c r="H769" s="19" t="n"/>
      <c r="I769" s="19" t="inlineStr">
        <is>
          <t>192</t>
        </is>
      </c>
      <c r="J769" t="n">
        <v>768</v>
      </c>
      <c r="K769" t="inlineStr">
        <is>
          <t>Phase J registry sync</t>
        </is>
      </c>
    </row>
    <row r="770">
      <c r="A770" s="19" t="inlineStr">
        <is>
          <t>769</t>
        </is>
      </c>
      <c r="B770" s="19" t="inlineStr">
        <is>
          <t>769</t>
        </is>
      </c>
      <c r="C770" s="19" t="n"/>
      <c r="D770" s="19" t="n"/>
      <c r="E770" s="19" t="n"/>
      <c r="F770" s="19" t="n"/>
      <c r="G770" s="19" t="inlineStr">
        <is>
          <t>193</t>
        </is>
      </c>
      <c r="H770" s="19" t="n"/>
      <c r="I770" s="19" t="n"/>
      <c r="J770" t="n">
        <v>769</v>
      </c>
      <c r="K770" t="inlineStr">
        <is>
          <t>Phase J registry sync</t>
        </is>
      </c>
    </row>
    <row r="771">
      <c r="A771" s="19" t="inlineStr">
        <is>
          <t>770</t>
        </is>
      </c>
      <c r="B771" s="19" t="inlineStr">
        <is>
          <t>770</t>
        </is>
      </c>
      <c r="C771" s="19" t="n"/>
      <c r="D771" s="19" t="n"/>
      <c r="E771" s="19" t="n"/>
      <c r="F771" s="19" t="n"/>
      <c r="G771" s="19" t="n"/>
      <c r="H771" s="19" t="inlineStr">
        <is>
          <t>193</t>
        </is>
      </c>
      <c r="I771" s="19" t="n"/>
      <c r="J771" t="n">
        <v>770</v>
      </c>
      <c r="K771" t="inlineStr">
        <is>
          <t>Phase J registry sync</t>
        </is>
      </c>
    </row>
    <row r="772">
      <c r="A772" s="19" t="inlineStr">
        <is>
          <t>771</t>
        </is>
      </c>
      <c r="B772" s="19" t="inlineStr">
        <is>
          <t>771</t>
        </is>
      </c>
      <c r="C772" s="19" t="n"/>
      <c r="D772" s="19" t="n"/>
      <c r="E772" s="19" t="inlineStr">
        <is>
          <t>193</t>
        </is>
      </c>
      <c r="F772" s="19" t="n"/>
      <c r="G772" s="19" t="n"/>
      <c r="H772" s="19" t="n"/>
      <c r="I772" s="19" t="n"/>
      <c r="J772" t="n">
        <v>771</v>
      </c>
      <c r="K772" t="inlineStr">
        <is>
          <t>Phase J registry sync</t>
        </is>
      </c>
    </row>
    <row r="773">
      <c r="A773" s="19" t="inlineStr">
        <is>
          <t>772</t>
        </is>
      </c>
      <c r="B773" s="19" t="inlineStr">
        <is>
          <t>772</t>
        </is>
      </c>
      <c r="C773" s="19" t="n"/>
      <c r="D773" s="19" t="n"/>
      <c r="E773" s="19" t="n"/>
      <c r="F773" s="19" t="n"/>
      <c r="G773" s="19" t="n"/>
      <c r="H773" s="19" t="n"/>
      <c r="I773" s="19" t="inlineStr">
        <is>
          <t>193</t>
        </is>
      </c>
      <c r="J773" t="n">
        <v>772</v>
      </c>
      <c r="K773" t="inlineStr">
        <is>
          <t>Phase J registry sync</t>
        </is>
      </c>
    </row>
    <row r="774">
      <c r="A774" s="19" t="inlineStr">
        <is>
          <t>773</t>
        </is>
      </c>
      <c r="B774" s="19" t="inlineStr">
        <is>
          <t>773</t>
        </is>
      </c>
      <c r="C774" s="19" t="n"/>
      <c r="D774" s="19" t="n"/>
      <c r="E774" s="19" t="n"/>
      <c r="F774" s="19" t="n"/>
      <c r="G774" s="19" t="inlineStr">
        <is>
          <t>194</t>
        </is>
      </c>
      <c r="H774" s="19" t="n"/>
      <c r="I774" s="19" t="n"/>
      <c r="J774" t="n">
        <v>773</v>
      </c>
      <c r="K774" t="inlineStr">
        <is>
          <t>Phase J registry sync</t>
        </is>
      </c>
    </row>
    <row r="775">
      <c r="A775" s="19" t="inlineStr">
        <is>
          <t>774</t>
        </is>
      </c>
      <c r="B775" s="19" t="inlineStr">
        <is>
          <t>774</t>
        </is>
      </c>
      <c r="C775" s="19" t="n"/>
      <c r="D775" s="19" t="n"/>
      <c r="E775" s="19" t="n"/>
      <c r="F775" s="19" t="n"/>
      <c r="G775" s="19" t="n"/>
      <c r="H775" s="19" t="inlineStr">
        <is>
          <t>194</t>
        </is>
      </c>
      <c r="I775" s="19" t="n"/>
      <c r="J775" t="n">
        <v>774</v>
      </c>
      <c r="K775" t="inlineStr">
        <is>
          <t>Phase J registry sync</t>
        </is>
      </c>
    </row>
    <row r="776">
      <c r="A776" s="19" t="inlineStr">
        <is>
          <t>775</t>
        </is>
      </c>
      <c r="B776" s="19" t="inlineStr">
        <is>
          <t>775</t>
        </is>
      </c>
      <c r="C776" s="19" t="n"/>
      <c r="D776" s="19" t="n"/>
      <c r="E776" s="19" t="inlineStr">
        <is>
          <t>194</t>
        </is>
      </c>
      <c r="F776" s="19" t="n"/>
      <c r="G776" s="19" t="n"/>
      <c r="H776" s="19" t="n"/>
      <c r="I776" s="19" t="n"/>
      <c r="J776" t="n">
        <v>775</v>
      </c>
      <c r="K776" t="inlineStr">
        <is>
          <t>Phase J registry sync</t>
        </is>
      </c>
    </row>
    <row r="777">
      <c r="A777" s="19" t="inlineStr">
        <is>
          <t>776</t>
        </is>
      </c>
      <c r="B777" s="19" t="inlineStr">
        <is>
          <t>776</t>
        </is>
      </c>
      <c r="C777" s="19" t="n"/>
      <c r="D777" s="19" t="n"/>
      <c r="E777" s="19" t="n"/>
      <c r="F777" s="19" t="n"/>
      <c r="G777" s="19" t="n"/>
      <c r="H777" s="19" t="n"/>
      <c r="I777" s="19" t="inlineStr">
        <is>
          <t>194</t>
        </is>
      </c>
      <c r="J777" t="n">
        <v>776</v>
      </c>
      <c r="K777" t="inlineStr">
        <is>
          <t>Phase J registry sync</t>
        </is>
      </c>
    </row>
    <row r="778">
      <c r="A778" s="19" t="inlineStr">
        <is>
          <t>777</t>
        </is>
      </c>
      <c r="B778" s="19" t="inlineStr">
        <is>
          <t>777</t>
        </is>
      </c>
      <c r="C778" s="19" t="n"/>
      <c r="D778" s="19" t="n"/>
      <c r="E778" s="19" t="n"/>
      <c r="F778" s="19" t="n"/>
      <c r="G778" s="19" t="inlineStr">
        <is>
          <t>195</t>
        </is>
      </c>
      <c r="H778" s="19" t="n"/>
      <c r="I778" s="19" t="n"/>
      <c r="J778" t="n">
        <v>777</v>
      </c>
      <c r="K778" t="inlineStr">
        <is>
          <t>Phase J registry sync</t>
        </is>
      </c>
    </row>
    <row r="779">
      <c r="A779" s="19" t="inlineStr">
        <is>
          <t>778</t>
        </is>
      </c>
      <c r="B779" s="19" t="inlineStr">
        <is>
          <t>778</t>
        </is>
      </c>
      <c r="C779" s="19" t="n"/>
      <c r="D779" s="19" t="n"/>
      <c r="E779" s="19" t="n"/>
      <c r="F779" s="19" t="n"/>
      <c r="G779" s="19" t="n"/>
      <c r="H779" s="19" t="inlineStr">
        <is>
          <t>195</t>
        </is>
      </c>
      <c r="I779" s="19" t="n"/>
      <c r="J779" t="n">
        <v>778</v>
      </c>
      <c r="K779" t="inlineStr">
        <is>
          <t>Phase J registry sync</t>
        </is>
      </c>
    </row>
    <row r="780">
      <c r="A780" s="19" t="inlineStr">
        <is>
          <t>779</t>
        </is>
      </c>
      <c r="B780" s="19" t="inlineStr">
        <is>
          <t>779</t>
        </is>
      </c>
      <c r="C780" s="19" t="n"/>
      <c r="D780" s="19" t="n"/>
      <c r="E780" s="19" t="inlineStr">
        <is>
          <t>195</t>
        </is>
      </c>
      <c r="F780" s="19" t="n"/>
      <c r="G780" s="19" t="n"/>
      <c r="H780" s="19" t="n"/>
      <c r="I780" s="19" t="n"/>
      <c r="J780" t="n">
        <v>779</v>
      </c>
      <c r="K780" t="inlineStr">
        <is>
          <t>Phase J registry sync</t>
        </is>
      </c>
    </row>
    <row r="781">
      <c r="A781" s="19" t="inlineStr">
        <is>
          <t>780</t>
        </is>
      </c>
      <c r="B781" s="19" t="inlineStr">
        <is>
          <t>780</t>
        </is>
      </c>
      <c r="C781" s="19" t="n"/>
      <c r="D781" s="19" t="n"/>
      <c r="E781" s="19" t="n"/>
      <c r="F781" s="19" t="n"/>
      <c r="G781" s="19" t="n"/>
      <c r="H781" s="19" t="n"/>
      <c r="I781" s="19" t="inlineStr">
        <is>
          <t>195</t>
        </is>
      </c>
      <c r="J781" t="n">
        <v>780</v>
      </c>
      <c r="K781" t="inlineStr">
        <is>
          <t>Phase J registry sync</t>
        </is>
      </c>
    </row>
    <row r="782">
      <c r="A782" s="19" t="inlineStr">
        <is>
          <t>781</t>
        </is>
      </c>
      <c r="B782" s="19" t="inlineStr">
        <is>
          <t>781</t>
        </is>
      </c>
      <c r="C782" s="19" t="n"/>
      <c r="D782" s="19" t="n"/>
      <c r="E782" s="19" t="n"/>
      <c r="F782" s="19" t="n"/>
      <c r="G782" s="19" t="inlineStr">
        <is>
          <t>196</t>
        </is>
      </c>
      <c r="H782" s="19" t="n"/>
      <c r="I782" s="19" t="n"/>
      <c r="J782" t="n">
        <v>781</v>
      </c>
      <c r="K782" t="inlineStr">
        <is>
          <t>Phase J registry sync</t>
        </is>
      </c>
    </row>
    <row r="783">
      <c r="A783" s="19" t="inlineStr">
        <is>
          <t>782</t>
        </is>
      </c>
      <c r="B783" s="19" t="inlineStr">
        <is>
          <t>782</t>
        </is>
      </c>
      <c r="C783" s="19" t="n"/>
      <c r="D783" s="19" t="n"/>
      <c r="E783" s="19" t="n"/>
      <c r="F783" s="19" t="n"/>
      <c r="G783" s="19" t="n"/>
      <c r="H783" s="19" t="inlineStr">
        <is>
          <t>196</t>
        </is>
      </c>
      <c r="I783" s="19" t="n"/>
      <c r="J783" t="n">
        <v>782</v>
      </c>
      <c r="K783" t="inlineStr">
        <is>
          <t>Phase J registry sync</t>
        </is>
      </c>
    </row>
    <row r="784">
      <c r="A784" s="19" t="inlineStr">
        <is>
          <t>783</t>
        </is>
      </c>
      <c r="B784" s="19" t="inlineStr">
        <is>
          <t>783</t>
        </is>
      </c>
      <c r="C784" s="19" t="n"/>
      <c r="D784" s="19" t="n"/>
      <c r="E784" s="19" t="inlineStr">
        <is>
          <t>196</t>
        </is>
      </c>
      <c r="F784" s="19" t="n"/>
      <c r="G784" s="19" t="n"/>
      <c r="H784" s="19" t="n"/>
      <c r="I784" s="19" t="n"/>
      <c r="J784" t="n">
        <v>783</v>
      </c>
      <c r="K784" t="inlineStr">
        <is>
          <t>Phase J registry sync</t>
        </is>
      </c>
    </row>
    <row r="785">
      <c r="A785" s="19" t="inlineStr">
        <is>
          <t>784</t>
        </is>
      </c>
      <c r="B785" s="19" t="inlineStr">
        <is>
          <t>784</t>
        </is>
      </c>
      <c r="C785" s="19" t="n"/>
      <c r="D785" s="19" t="n"/>
      <c r="E785" s="19" t="n"/>
      <c r="F785" s="19" t="n"/>
      <c r="G785" s="19" t="n"/>
      <c r="H785" s="19" t="n"/>
      <c r="I785" s="19" t="inlineStr">
        <is>
          <t>196</t>
        </is>
      </c>
      <c r="J785" t="n">
        <v>784</v>
      </c>
      <c r="K785" t="inlineStr">
        <is>
          <t>Phase J registry sync</t>
        </is>
      </c>
    </row>
    <row r="786">
      <c r="A786" s="19" t="inlineStr">
        <is>
          <t>785</t>
        </is>
      </c>
      <c r="B786" s="19" t="inlineStr">
        <is>
          <t>785</t>
        </is>
      </c>
      <c r="C786" s="19" t="n"/>
      <c r="D786" s="19" t="n"/>
      <c r="E786" s="19" t="n"/>
      <c r="F786" s="19" t="n"/>
      <c r="G786" s="19" t="inlineStr">
        <is>
          <t>197</t>
        </is>
      </c>
      <c r="H786" s="19" t="n"/>
      <c r="I786" s="19" t="n"/>
      <c r="J786" t="n">
        <v>785</v>
      </c>
      <c r="K786" t="inlineStr">
        <is>
          <t>Phase J registry sync</t>
        </is>
      </c>
    </row>
    <row r="787">
      <c r="A787" s="19" t="inlineStr">
        <is>
          <t>786</t>
        </is>
      </c>
      <c r="B787" s="19" t="inlineStr">
        <is>
          <t>786</t>
        </is>
      </c>
      <c r="C787" s="19" t="n"/>
      <c r="D787" s="19" t="n"/>
      <c r="E787" s="19" t="n"/>
      <c r="F787" s="19" t="n"/>
      <c r="G787" s="19" t="n"/>
      <c r="H787" s="19" t="inlineStr">
        <is>
          <t>197</t>
        </is>
      </c>
      <c r="I787" s="19" t="n"/>
      <c r="J787" t="n">
        <v>786</v>
      </c>
      <c r="K787" t="inlineStr">
        <is>
          <t>Phase J registry sync</t>
        </is>
      </c>
    </row>
    <row r="788">
      <c r="A788" s="19" t="inlineStr">
        <is>
          <t>787</t>
        </is>
      </c>
      <c r="B788" s="19" t="inlineStr">
        <is>
          <t>787</t>
        </is>
      </c>
      <c r="C788" s="19" t="n"/>
      <c r="D788" s="19" t="n"/>
      <c r="E788" s="19" t="inlineStr">
        <is>
          <t>197</t>
        </is>
      </c>
      <c r="F788" s="19" t="n"/>
      <c r="G788" s="19" t="n"/>
      <c r="H788" s="19" t="n"/>
      <c r="I788" s="19" t="n"/>
      <c r="J788" t="n">
        <v>787</v>
      </c>
      <c r="K788" t="inlineStr">
        <is>
          <t>Phase J registry sync</t>
        </is>
      </c>
    </row>
    <row r="789">
      <c r="A789" s="19" t="inlineStr">
        <is>
          <t>788</t>
        </is>
      </c>
      <c r="B789" s="19" t="inlineStr">
        <is>
          <t>788</t>
        </is>
      </c>
      <c r="C789" s="19" t="n"/>
      <c r="D789" s="19" t="n"/>
      <c r="E789" s="19" t="n"/>
      <c r="F789" s="19" t="n"/>
      <c r="G789" s="19" t="n"/>
      <c r="H789" s="19" t="n"/>
      <c r="I789" s="19" t="inlineStr">
        <is>
          <t>197</t>
        </is>
      </c>
      <c r="J789" t="n">
        <v>788</v>
      </c>
      <c r="K789" t="inlineStr">
        <is>
          <t>Phase J registry sync</t>
        </is>
      </c>
    </row>
    <row r="790">
      <c r="A790" s="19" t="inlineStr">
        <is>
          <t>789</t>
        </is>
      </c>
      <c r="B790" s="19" t="inlineStr">
        <is>
          <t>789</t>
        </is>
      </c>
      <c r="C790" s="19" t="n"/>
      <c r="D790" s="19" t="n"/>
      <c r="E790" s="19" t="n"/>
      <c r="F790" s="19" t="n"/>
      <c r="G790" s="19" t="inlineStr">
        <is>
          <t>198</t>
        </is>
      </c>
      <c r="H790" s="19" t="n"/>
      <c r="I790" s="19" t="n"/>
      <c r="J790" t="n">
        <v>789</v>
      </c>
      <c r="K790" t="inlineStr">
        <is>
          <t>Phase J registry sync</t>
        </is>
      </c>
    </row>
    <row r="791">
      <c r="A791" s="19" t="inlineStr">
        <is>
          <t>790</t>
        </is>
      </c>
      <c r="B791" s="19" t="inlineStr">
        <is>
          <t>790</t>
        </is>
      </c>
      <c r="C791" s="19" t="n"/>
      <c r="D791" s="19" t="n"/>
      <c r="E791" s="19" t="n"/>
      <c r="F791" s="19" t="n"/>
      <c r="G791" s="19" t="n"/>
      <c r="H791" s="19" t="inlineStr">
        <is>
          <t>198</t>
        </is>
      </c>
      <c r="I791" s="19" t="n"/>
      <c r="J791" t="n">
        <v>790</v>
      </c>
      <c r="K791" t="inlineStr">
        <is>
          <t>Phase J registry sync</t>
        </is>
      </c>
    </row>
    <row r="792">
      <c r="A792" s="19" t="inlineStr">
        <is>
          <t>791</t>
        </is>
      </c>
      <c r="B792" s="19" t="inlineStr">
        <is>
          <t>791</t>
        </is>
      </c>
      <c r="C792" s="19" t="n"/>
      <c r="D792" s="19" t="n"/>
      <c r="E792" s="19" t="inlineStr">
        <is>
          <t>198</t>
        </is>
      </c>
      <c r="F792" s="19" t="n"/>
      <c r="G792" s="19" t="n"/>
      <c r="H792" s="19" t="n"/>
      <c r="I792" s="19" t="n"/>
      <c r="J792" t="n">
        <v>791</v>
      </c>
      <c r="K792" t="inlineStr">
        <is>
          <t>Phase J registry sync</t>
        </is>
      </c>
    </row>
    <row r="793">
      <c r="A793" s="19" t="inlineStr">
        <is>
          <t>792</t>
        </is>
      </c>
      <c r="B793" s="19" t="inlineStr">
        <is>
          <t>792</t>
        </is>
      </c>
      <c r="C793" s="19" t="n"/>
      <c r="D793" s="19" t="n"/>
      <c r="E793" s="19" t="n"/>
      <c r="F793" s="19" t="n"/>
      <c r="G793" s="19" t="n"/>
      <c r="H793" s="19" t="n"/>
      <c r="I793" s="19" t="inlineStr">
        <is>
          <t>198</t>
        </is>
      </c>
      <c r="J793" t="n">
        <v>792</v>
      </c>
      <c r="K793" t="inlineStr">
        <is>
          <t>Phase J registry sync</t>
        </is>
      </c>
    </row>
    <row r="794">
      <c r="A794" s="19" t="inlineStr">
        <is>
          <t>793</t>
        </is>
      </c>
      <c r="B794" s="19" t="inlineStr">
        <is>
          <t>793</t>
        </is>
      </c>
      <c r="C794" s="19" t="n"/>
      <c r="D794" s="19" t="n"/>
      <c r="E794" s="19" t="n"/>
      <c r="F794" s="19" t="n"/>
      <c r="G794" s="19" t="inlineStr">
        <is>
          <t>199</t>
        </is>
      </c>
      <c r="H794" s="19" t="n"/>
      <c r="I794" s="19" t="n"/>
      <c r="J794" t="n">
        <v>793</v>
      </c>
      <c r="K794" t="inlineStr">
        <is>
          <t>Phase J registry sync</t>
        </is>
      </c>
    </row>
    <row r="795">
      <c r="A795" s="19" t="inlineStr">
        <is>
          <t>794</t>
        </is>
      </c>
      <c r="B795" s="19" t="inlineStr">
        <is>
          <t>794</t>
        </is>
      </c>
      <c r="C795" s="19" t="n"/>
      <c r="D795" s="19" t="n"/>
      <c r="E795" s="19" t="n"/>
      <c r="F795" s="19" t="n"/>
      <c r="G795" s="19" t="n"/>
      <c r="H795" s="19" t="inlineStr">
        <is>
          <t>199</t>
        </is>
      </c>
      <c r="I795" s="19" t="n"/>
      <c r="J795" t="n">
        <v>794</v>
      </c>
      <c r="K795" t="inlineStr">
        <is>
          <t>Phase J registry sync</t>
        </is>
      </c>
    </row>
    <row r="796">
      <c r="A796" s="19" t="inlineStr">
        <is>
          <t>795</t>
        </is>
      </c>
      <c r="B796" s="19" t="inlineStr">
        <is>
          <t>795</t>
        </is>
      </c>
      <c r="C796" s="19" t="n"/>
      <c r="D796" s="19" t="n"/>
      <c r="E796" s="19" t="inlineStr">
        <is>
          <t>199</t>
        </is>
      </c>
      <c r="F796" s="19" t="n"/>
      <c r="G796" s="19" t="n"/>
      <c r="H796" s="19" t="n"/>
      <c r="I796" s="19" t="n"/>
      <c r="J796" t="n">
        <v>795</v>
      </c>
      <c r="K796" t="inlineStr">
        <is>
          <t>Phase J registry sync</t>
        </is>
      </c>
    </row>
    <row r="797">
      <c r="A797" s="19" t="inlineStr">
        <is>
          <t>796</t>
        </is>
      </c>
      <c r="B797" s="19" t="inlineStr">
        <is>
          <t>796</t>
        </is>
      </c>
      <c r="C797" s="19" t="n"/>
      <c r="D797" s="19" t="n"/>
      <c r="E797" s="19" t="n"/>
      <c r="F797" s="19" t="n"/>
      <c r="G797" s="19" t="n"/>
      <c r="H797" s="19" t="n"/>
      <c r="I797" s="19" t="inlineStr">
        <is>
          <t>199</t>
        </is>
      </c>
      <c r="J797" t="n">
        <v>796</v>
      </c>
      <c r="K797" t="inlineStr">
        <is>
          <t>Phase J registry sync</t>
        </is>
      </c>
    </row>
    <row r="798">
      <c r="A798" s="19" t="inlineStr">
        <is>
          <t>797</t>
        </is>
      </c>
      <c r="B798" s="19" t="inlineStr">
        <is>
          <t>797</t>
        </is>
      </c>
      <c r="C798" s="19" t="n"/>
      <c r="D798" s="19" t="n"/>
      <c r="E798" s="19" t="n"/>
      <c r="F798" s="19" t="n"/>
      <c r="G798" s="19" t="inlineStr">
        <is>
          <t>200</t>
        </is>
      </c>
      <c r="H798" s="19" t="n"/>
      <c r="I798" s="19" t="n"/>
      <c r="J798" t="n">
        <v>797</v>
      </c>
      <c r="K798" t="inlineStr">
        <is>
          <t>Phase J registry sync</t>
        </is>
      </c>
    </row>
    <row r="799">
      <c r="A799" s="19" t="inlineStr">
        <is>
          <t>798</t>
        </is>
      </c>
      <c r="B799" s="19" t="inlineStr">
        <is>
          <t>798</t>
        </is>
      </c>
      <c r="C799" s="19" t="n"/>
      <c r="D799" s="19" t="n"/>
      <c r="E799" s="19" t="n"/>
      <c r="F799" s="19" t="n"/>
      <c r="G799" s="19" t="n"/>
      <c r="H799" s="19" t="inlineStr">
        <is>
          <t>200</t>
        </is>
      </c>
      <c r="I799" s="19" t="n"/>
      <c r="J799" t="n">
        <v>798</v>
      </c>
      <c r="K799" t="inlineStr">
        <is>
          <t>Phase J registry sync</t>
        </is>
      </c>
    </row>
    <row r="800">
      <c r="A800" s="19" t="inlineStr">
        <is>
          <t>799</t>
        </is>
      </c>
      <c r="B800" s="19" t="inlineStr">
        <is>
          <t>799</t>
        </is>
      </c>
      <c r="C800" s="19" t="n"/>
      <c r="D800" s="19" t="n"/>
      <c r="E800" s="19" t="inlineStr">
        <is>
          <t>200</t>
        </is>
      </c>
      <c r="F800" s="19" t="n"/>
      <c r="G800" s="19" t="n"/>
      <c r="H800" s="19" t="n"/>
      <c r="I800" s="19" t="n"/>
      <c r="J800" t="n">
        <v>799</v>
      </c>
      <c r="K800" t="inlineStr">
        <is>
          <t>Phase J registry sync</t>
        </is>
      </c>
    </row>
    <row r="801">
      <c r="A801" s="19" t="inlineStr">
        <is>
          <t>800</t>
        </is>
      </c>
      <c r="B801" s="19" t="inlineStr">
        <is>
          <t>800</t>
        </is>
      </c>
      <c r="C801" s="19" t="n"/>
      <c r="D801" s="19" t="n"/>
      <c r="E801" s="19" t="n"/>
      <c r="F801" s="19" t="n"/>
      <c r="G801" s="19" t="n"/>
      <c r="H801" s="19" t="n"/>
      <c r="I801" s="19" t="inlineStr">
        <is>
          <t>200</t>
        </is>
      </c>
      <c r="J801" t="n">
        <v>800</v>
      </c>
      <c r="K801" t="inlineStr">
        <is>
          <t>Phase J registry sync</t>
        </is>
      </c>
    </row>
    <row r="802">
      <c r="A802" s="19" t="inlineStr">
        <is>
          <t>801</t>
        </is>
      </c>
      <c r="B802" s="19" t="inlineStr">
        <is>
          <t>801</t>
        </is>
      </c>
      <c r="C802" s="19" t="n"/>
      <c r="D802" s="19" t="n"/>
      <c r="E802" s="19" t="n"/>
      <c r="F802" s="19" t="n"/>
      <c r="G802" s="19" t="inlineStr">
        <is>
          <t>201</t>
        </is>
      </c>
      <c r="H802" s="19" t="n"/>
      <c r="I802" s="19" t="n"/>
      <c r="J802" t="n">
        <v>801</v>
      </c>
      <c r="K802" t="inlineStr">
        <is>
          <t>Phase J registry sync</t>
        </is>
      </c>
    </row>
    <row r="803">
      <c r="A803" s="19" t="inlineStr">
        <is>
          <t>802</t>
        </is>
      </c>
      <c r="B803" s="19" t="inlineStr">
        <is>
          <t>802</t>
        </is>
      </c>
      <c r="C803" s="19" t="n"/>
      <c r="D803" s="19" t="n"/>
      <c r="E803" s="19" t="n"/>
      <c r="F803" s="19" t="n"/>
      <c r="G803" s="19" t="n"/>
      <c r="H803" s="19" t="inlineStr">
        <is>
          <t>201</t>
        </is>
      </c>
      <c r="I803" s="19" t="n"/>
      <c r="J803" t="n">
        <v>802</v>
      </c>
      <c r="K803" t="inlineStr">
        <is>
          <t>Phase J registry sync</t>
        </is>
      </c>
    </row>
    <row r="804">
      <c r="A804" s="19" t="inlineStr">
        <is>
          <t>803</t>
        </is>
      </c>
      <c r="B804" s="19" t="inlineStr">
        <is>
          <t>803</t>
        </is>
      </c>
      <c r="C804" s="19" t="n"/>
      <c r="D804" s="19" t="n"/>
      <c r="E804" s="19" t="inlineStr">
        <is>
          <t>201</t>
        </is>
      </c>
      <c r="F804" s="19" t="n"/>
      <c r="G804" s="19" t="n"/>
      <c r="H804" s="19" t="n"/>
      <c r="I804" s="19" t="n"/>
      <c r="J804" t="n">
        <v>803</v>
      </c>
      <c r="K804" t="inlineStr">
        <is>
          <t>Phase J registry sync</t>
        </is>
      </c>
    </row>
    <row r="805">
      <c r="A805" s="19" t="inlineStr">
        <is>
          <t>804</t>
        </is>
      </c>
      <c r="B805" s="19" t="inlineStr">
        <is>
          <t>804</t>
        </is>
      </c>
      <c r="C805" s="19" t="n"/>
      <c r="D805" s="19" t="n"/>
      <c r="E805" s="19" t="n"/>
      <c r="F805" s="19" t="n"/>
      <c r="G805" s="19" t="n"/>
      <c r="H805" s="19" t="n"/>
      <c r="I805" s="19" t="inlineStr">
        <is>
          <t>201</t>
        </is>
      </c>
      <c r="J805" t="n">
        <v>804</v>
      </c>
      <c r="K805" t="inlineStr">
        <is>
          <t>Phase J registry sync</t>
        </is>
      </c>
    </row>
    <row r="806">
      <c r="A806" s="19" t="inlineStr">
        <is>
          <t>805</t>
        </is>
      </c>
      <c r="B806" s="19" t="inlineStr">
        <is>
          <t>805</t>
        </is>
      </c>
      <c r="C806" s="19" t="n"/>
      <c r="D806" s="19" t="n"/>
      <c r="E806" s="19" t="n"/>
      <c r="F806" s="19" t="n"/>
      <c r="G806" s="19" t="inlineStr">
        <is>
          <t>202</t>
        </is>
      </c>
      <c r="H806" s="19" t="n"/>
      <c r="I806" s="19" t="n"/>
      <c r="J806" t="n">
        <v>805</v>
      </c>
      <c r="K806" t="inlineStr">
        <is>
          <t>Phase J registry sync</t>
        </is>
      </c>
    </row>
    <row r="807">
      <c r="A807" s="19" t="inlineStr">
        <is>
          <t>806</t>
        </is>
      </c>
      <c r="B807" s="19" t="inlineStr">
        <is>
          <t>806</t>
        </is>
      </c>
      <c r="C807" s="19" t="n"/>
      <c r="D807" s="19" t="n"/>
      <c r="E807" s="19" t="n"/>
      <c r="F807" s="19" t="n"/>
      <c r="G807" s="19" t="n"/>
      <c r="H807" s="19" t="inlineStr">
        <is>
          <t>202</t>
        </is>
      </c>
      <c r="I807" s="19" t="n"/>
      <c r="J807" t="n">
        <v>806</v>
      </c>
      <c r="K807" t="inlineStr">
        <is>
          <t>Phase J registry sync</t>
        </is>
      </c>
    </row>
    <row r="808">
      <c r="A808" s="19" t="inlineStr">
        <is>
          <t>807</t>
        </is>
      </c>
      <c r="B808" s="19" t="inlineStr">
        <is>
          <t>807</t>
        </is>
      </c>
      <c r="C808" s="19" t="n"/>
      <c r="D808" s="19" t="n"/>
      <c r="E808" s="19" t="inlineStr">
        <is>
          <t>202</t>
        </is>
      </c>
      <c r="F808" s="19" t="n"/>
      <c r="G808" s="19" t="n"/>
      <c r="H808" s="19" t="n"/>
      <c r="I808" s="19" t="n"/>
      <c r="J808" t="n">
        <v>807</v>
      </c>
      <c r="K808" t="inlineStr">
        <is>
          <t>Phase J registry sync</t>
        </is>
      </c>
    </row>
    <row r="809">
      <c r="A809" s="19" t="inlineStr">
        <is>
          <t>808</t>
        </is>
      </c>
      <c r="B809" s="19" t="inlineStr">
        <is>
          <t>808</t>
        </is>
      </c>
      <c r="C809" s="19" t="n"/>
      <c r="D809" s="19" t="n"/>
      <c r="E809" s="19" t="n"/>
      <c r="F809" s="19" t="n"/>
      <c r="G809" s="19" t="n"/>
      <c r="H809" s="19" t="n"/>
      <c r="I809" s="19" t="inlineStr">
        <is>
          <t>202</t>
        </is>
      </c>
      <c r="J809" t="n">
        <v>808</v>
      </c>
      <c r="K809" t="inlineStr">
        <is>
          <t>Phase J registry sync</t>
        </is>
      </c>
    </row>
    <row r="810">
      <c r="A810" s="19" t="inlineStr">
        <is>
          <t>809</t>
        </is>
      </c>
      <c r="B810" s="19" t="inlineStr">
        <is>
          <t>809</t>
        </is>
      </c>
      <c r="C810" s="19" t="n"/>
      <c r="D810" s="19" t="n"/>
      <c r="E810" s="19" t="n"/>
      <c r="F810" s="19" t="n"/>
      <c r="G810" s="19" t="inlineStr">
        <is>
          <t>203</t>
        </is>
      </c>
      <c r="H810" s="19" t="n"/>
      <c r="I810" s="19" t="n"/>
      <c r="J810" t="n">
        <v>809</v>
      </c>
      <c r="K810" t="inlineStr">
        <is>
          <t>Phase J registry sync</t>
        </is>
      </c>
    </row>
    <row r="811">
      <c r="A811" s="19" t="inlineStr">
        <is>
          <t>810</t>
        </is>
      </c>
      <c r="B811" s="19" t="inlineStr">
        <is>
          <t>810</t>
        </is>
      </c>
      <c r="C811" s="19" t="n"/>
      <c r="D811" s="19" t="n"/>
      <c r="E811" s="19" t="n"/>
      <c r="F811" s="19" t="n"/>
      <c r="G811" s="19" t="n"/>
      <c r="H811" s="19" t="inlineStr">
        <is>
          <t>203</t>
        </is>
      </c>
      <c r="I811" s="19" t="n"/>
      <c r="J811" t="n">
        <v>810</v>
      </c>
      <c r="K811" t="inlineStr">
        <is>
          <t>Phase J registry sync</t>
        </is>
      </c>
    </row>
    <row r="812">
      <c r="A812" s="19" t="inlineStr">
        <is>
          <t>811</t>
        </is>
      </c>
      <c r="B812" s="19" t="inlineStr">
        <is>
          <t>811</t>
        </is>
      </c>
      <c r="C812" s="19" t="n"/>
      <c r="D812" s="19" t="n"/>
      <c r="E812" s="19" t="inlineStr">
        <is>
          <t>203</t>
        </is>
      </c>
      <c r="F812" s="19" t="n"/>
      <c r="G812" s="19" t="n"/>
      <c r="H812" s="19" t="n"/>
      <c r="I812" s="19" t="n"/>
      <c r="J812" t="n">
        <v>811</v>
      </c>
      <c r="K812" t="inlineStr">
        <is>
          <t>Phase J registry sync</t>
        </is>
      </c>
    </row>
    <row r="813">
      <c r="A813" s="19" t="inlineStr">
        <is>
          <t>812</t>
        </is>
      </c>
      <c r="B813" s="19" t="inlineStr">
        <is>
          <t>812</t>
        </is>
      </c>
      <c r="C813" s="19" t="n"/>
      <c r="D813" s="19" t="n"/>
      <c r="E813" s="19" t="n"/>
      <c r="F813" s="19" t="n"/>
      <c r="G813" s="19" t="n"/>
      <c r="H813" s="19" t="n"/>
      <c r="I813" s="19" t="inlineStr">
        <is>
          <t>203</t>
        </is>
      </c>
      <c r="J813" t="n">
        <v>812</v>
      </c>
      <c r="K813" t="inlineStr">
        <is>
          <t>Phase J registry sync</t>
        </is>
      </c>
    </row>
    <row r="814">
      <c r="A814" s="19" t="inlineStr">
        <is>
          <t>813</t>
        </is>
      </c>
      <c r="B814" s="19" t="inlineStr">
        <is>
          <t>813</t>
        </is>
      </c>
      <c r="C814" s="19" t="n"/>
      <c r="D814" s="19" t="n"/>
      <c r="E814" s="19" t="n"/>
      <c r="F814" s="19" t="n"/>
      <c r="G814" s="19" t="inlineStr">
        <is>
          <t>204</t>
        </is>
      </c>
      <c r="H814" s="19" t="n"/>
      <c r="I814" s="19" t="n"/>
      <c r="J814" t="n">
        <v>813</v>
      </c>
      <c r="K814" t="inlineStr">
        <is>
          <t>Phase J registry sync</t>
        </is>
      </c>
    </row>
    <row r="815">
      <c r="A815" s="19" t="inlineStr">
        <is>
          <t>814</t>
        </is>
      </c>
      <c r="B815" s="19" t="inlineStr">
        <is>
          <t>814</t>
        </is>
      </c>
      <c r="C815" s="19" t="n"/>
      <c r="D815" s="19" t="n"/>
      <c r="E815" s="19" t="n"/>
      <c r="F815" s="19" t="n"/>
      <c r="G815" s="19" t="n"/>
      <c r="H815" s="19" t="inlineStr">
        <is>
          <t>204</t>
        </is>
      </c>
      <c r="I815" s="19" t="n"/>
      <c r="J815" t="n">
        <v>814</v>
      </c>
      <c r="K815" t="inlineStr">
        <is>
          <t>Phase J registry sync</t>
        </is>
      </c>
    </row>
    <row r="816">
      <c r="A816" s="19" t="inlineStr">
        <is>
          <t>815</t>
        </is>
      </c>
      <c r="B816" s="19" t="inlineStr">
        <is>
          <t>815</t>
        </is>
      </c>
      <c r="C816" s="19" t="n"/>
      <c r="D816" s="19" t="n"/>
      <c r="E816" s="19" t="inlineStr">
        <is>
          <t>204</t>
        </is>
      </c>
      <c r="F816" s="19" t="n"/>
      <c r="G816" s="19" t="n"/>
      <c r="H816" s="19" t="n"/>
      <c r="I816" s="19" t="n"/>
      <c r="J816" t="n">
        <v>815</v>
      </c>
      <c r="K816" t="inlineStr">
        <is>
          <t>Phase J registry sync</t>
        </is>
      </c>
    </row>
    <row r="817">
      <c r="A817" s="19" t="inlineStr">
        <is>
          <t>816</t>
        </is>
      </c>
      <c r="B817" s="19" t="inlineStr">
        <is>
          <t>816</t>
        </is>
      </c>
      <c r="C817" s="19" t="n"/>
      <c r="D817" s="19" t="n"/>
      <c r="E817" s="19" t="n"/>
      <c r="F817" s="19" t="n"/>
      <c r="G817" s="19" t="n"/>
      <c r="H817" s="19" t="n"/>
      <c r="I817" s="19" t="inlineStr">
        <is>
          <t>204</t>
        </is>
      </c>
      <c r="J817" t="n">
        <v>816</v>
      </c>
      <c r="K817" t="inlineStr">
        <is>
          <t>Phase J registry sync</t>
        </is>
      </c>
    </row>
    <row r="818">
      <c r="A818" s="19" t="inlineStr">
        <is>
          <t>817</t>
        </is>
      </c>
      <c r="B818" s="19" t="inlineStr">
        <is>
          <t>817</t>
        </is>
      </c>
      <c r="C818" s="19" t="n"/>
      <c r="D818" s="19" t="n"/>
      <c r="E818" s="19" t="n"/>
      <c r="F818" s="19" t="n"/>
      <c r="G818" s="19" t="inlineStr">
        <is>
          <t>205</t>
        </is>
      </c>
      <c r="H818" s="19" t="n"/>
      <c r="I818" s="19" t="n"/>
      <c r="J818" t="n">
        <v>817</v>
      </c>
      <c r="K818" t="inlineStr">
        <is>
          <t>Phase J registry sync</t>
        </is>
      </c>
    </row>
    <row r="819">
      <c r="A819" s="19" t="inlineStr">
        <is>
          <t>818</t>
        </is>
      </c>
      <c r="B819" s="19" t="inlineStr">
        <is>
          <t>818</t>
        </is>
      </c>
      <c r="C819" s="19" t="n"/>
      <c r="D819" s="19" t="n"/>
      <c r="E819" s="19" t="n"/>
      <c r="F819" s="19" t="n"/>
      <c r="G819" s="19" t="n"/>
      <c r="H819" s="19" t="inlineStr">
        <is>
          <t>205</t>
        </is>
      </c>
      <c r="I819" s="19" t="n"/>
      <c r="J819" t="n">
        <v>818</v>
      </c>
      <c r="K819" t="inlineStr">
        <is>
          <t>Phase J registry sync</t>
        </is>
      </c>
    </row>
    <row r="820">
      <c r="A820" s="19" t="inlineStr">
        <is>
          <t>819</t>
        </is>
      </c>
      <c r="B820" s="19" t="inlineStr">
        <is>
          <t>819</t>
        </is>
      </c>
      <c r="C820" s="19" t="n"/>
      <c r="D820" s="19" t="n"/>
      <c r="E820" s="19" t="inlineStr">
        <is>
          <t>205</t>
        </is>
      </c>
      <c r="F820" s="19" t="n"/>
      <c r="G820" s="19" t="n"/>
      <c r="H820" s="19" t="n"/>
      <c r="I820" s="19" t="n"/>
      <c r="J820" t="n">
        <v>819</v>
      </c>
      <c r="K820" t="inlineStr">
        <is>
          <t>Phase J registry sync</t>
        </is>
      </c>
    </row>
    <row r="821">
      <c r="A821" s="19" t="inlineStr">
        <is>
          <t>820</t>
        </is>
      </c>
      <c r="B821" s="19" t="inlineStr">
        <is>
          <t>820</t>
        </is>
      </c>
      <c r="C821" s="19" t="n"/>
      <c r="D821" s="19" t="n"/>
      <c r="E821" s="19" t="n"/>
      <c r="F821" s="19" t="n"/>
      <c r="G821" s="19" t="n"/>
      <c r="H821" s="19" t="n"/>
      <c r="I821" s="19" t="inlineStr">
        <is>
          <t>205</t>
        </is>
      </c>
      <c r="J821" t="n">
        <v>820</v>
      </c>
      <c r="K821" t="inlineStr">
        <is>
          <t>Phase J registry sync</t>
        </is>
      </c>
    </row>
    <row r="822">
      <c r="A822" s="19" t="inlineStr">
        <is>
          <t>821</t>
        </is>
      </c>
      <c r="B822" s="19" t="inlineStr">
        <is>
          <t>821</t>
        </is>
      </c>
      <c r="C822" s="19" t="n"/>
      <c r="D822" s="19" t="n"/>
      <c r="E822" s="19" t="n"/>
      <c r="F822" s="19" t="n"/>
      <c r="G822" s="19" t="inlineStr">
        <is>
          <t>206</t>
        </is>
      </c>
      <c r="H822" s="19" t="n"/>
      <c r="I822" s="19" t="n"/>
      <c r="J822" t="n">
        <v>821</v>
      </c>
      <c r="K822" t="inlineStr">
        <is>
          <t>Phase J registry sync</t>
        </is>
      </c>
    </row>
    <row r="823">
      <c r="A823" s="19" t="inlineStr">
        <is>
          <t>822</t>
        </is>
      </c>
      <c r="B823" s="19" t="inlineStr">
        <is>
          <t>822</t>
        </is>
      </c>
      <c r="C823" s="19" t="n"/>
      <c r="D823" s="19" t="n"/>
      <c r="E823" s="19" t="n"/>
      <c r="F823" s="19" t="n"/>
      <c r="G823" s="19" t="n"/>
      <c r="H823" s="19" t="inlineStr">
        <is>
          <t>206</t>
        </is>
      </c>
      <c r="I823" s="19" t="n"/>
      <c r="J823" t="n">
        <v>822</v>
      </c>
      <c r="K823" t="inlineStr">
        <is>
          <t>Phase J registry sync</t>
        </is>
      </c>
    </row>
    <row r="824">
      <c r="A824" s="19" t="inlineStr">
        <is>
          <t>823</t>
        </is>
      </c>
      <c r="B824" s="19" t="inlineStr">
        <is>
          <t>823</t>
        </is>
      </c>
      <c r="C824" s="19" t="n"/>
      <c r="D824" s="19" t="n"/>
      <c r="E824" s="19" t="inlineStr">
        <is>
          <t>206</t>
        </is>
      </c>
      <c r="F824" s="19" t="n"/>
      <c r="G824" s="19" t="n"/>
      <c r="H824" s="19" t="n"/>
      <c r="I824" s="19" t="n"/>
      <c r="J824" t="n">
        <v>823</v>
      </c>
      <c r="K824" t="inlineStr">
        <is>
          <t>Phase J registry sync</t>
        </is>
      </c>
    </row>
    <row r="825">
      <c r="A825" s="19" t="inlineStr">
        <is>
          <t>824</t>
        </is>
      </c>
      <c r="B825" s="19" t="inlineStr">
        <is>
          <t>824</t>
        </is>
      </c>
      <c r="C825" s="19" t="n"/>
      <c r="D825" s="19" t="n"/>
      <c r="E825" s="19" t="n"/>
      <c r="F825" s="19" t="n"/>
      <c r="G825" s="19" t="n"/>
      <c r="H825" s="19" t="n"/>
      <c r="I825" s="19" t="inlineStr">
        <is>
          <t>206</t>
        </is>
      </c>
      <c r="J825" t="n">
        <v>824</v>
      </c>
      <c r="K825" t="inlineStr">
        <is>
          <t>Phase J registry sync</t>
        </is>
      </c>
    </row>
    <row r="826">
      <c r="A826" s="19" t="inlineStr">
        <is>
          <t>825</t>
        </is>
      </c>
      <c r="B826" s="19" t="inlineStr">
        <is>
          <t>825</t>
        </is>
      </c>
      <c r="C826" s="19" t="n"/>
      <c r="D826" s="19" t="n"/>
      <c r="E826" s="19" t="n"/>
      <c r="F826" s="19" t="n"/>
      <c r="G826" s="19" t="inlineStr">
        <is>
          <t>207</t>
        </is>
      </c>
      <c r="H826" s="19" t="n"/>
      <c r="I826" s="19" t="n"/>
      <c r="J826" t="n">
        <v>825</v>
      </c>
      <c r="K826" t="inlineStr">
        <is>
          <t>Phase J registry sync</t>
        </is>
      </c>
    </row>
    <row r="827">
      <c r="A827" s="19" t="inlineStr">
        <is>
          <t>826</t>
        </is>
      </c>
      <c r="B827" s="19" t="inlineStr">
        <is>
          <t>826</t>
        </is>
      </c>
      <c r="C827" s="19" t="n"/>
      <c r="D827" s="19" t="n"/>
      <c r="E827" s="19" t="n"/>
      <c r="F827" s="19" t="n"/>
      <c r="G827" s="19" t="n"/>
      <c r="H827" s="19" t="inlineStr">
        <is>
          <t>207</t>
        </is>
      </c>
      <c r="I827" s="19" t="n"/>
      <c r="J827" t="n">
        <v>826</v>
      </c>
      <c r="K827" t="inlineStr">
        <is>
          <t>Phase J registry sync</t>
        </is>
      </c>
    </row>
    <row r="828">
      <c r="A828" s="19" t="inlineStr">
        <is>
          <t>827</t>
        </is>
      </c>
      <c r="B828" s="19" t="inlineStr">
        <is>
          <t>827</t>
        </is>
      </c>
      <c r="C828" s="19" t="n"/>
      <c r="D828" s="19" t="n"/>
      <c r="E828" s="19" t="inlineStr">
        <is>
          <t>207</t>
        </is>
      </c>
      <c r="F828" s="19" t="n"/>
      <c r="G828" s="19" t="n"/>
      <c r="H828" s="19" t="n"/>
      <c r="I828" s="19" t="n"/>
      <c r="J828" t="n">
        <v>827</v>
      </c>
      <c r="K828" t="inlineStr">
        <is>
          <t>Phase J registry sync</t>
        </is>
      </c>
    </row>
    <row r="829">
      <c r="A829" s="19" t="inlineStr">
        <is>
          <t>828</t>
        </is>
      </c>
      <c r="B829" s="19" t="inlineStr">
        <is>
          <t>828</t>
        </is>
      </c>
      <c r="C829" s="19" t="n"/>
      <c r="D829" s="19" t="n"/>
      <c r="E829" s="19" t="n"/>
      <c r="F829" s="19" t="n"/>
      <c r="G829" s="19" t="n"/>
      <c r="H829" s="19" t="n"/>
      <c r="I829" s="19" t="inlineStr">
        <is>
          <t>207</t>
        </is>
      </c>
      <c r="J829" t="n">
        <v>828</v>
      </c>
      <c r="K829" t="inlineStr">
        <is>
          <t>Phase J registry sync</t>
        </is>
      </c>
    </row>
    <row r="830">
      <c r="A830" s="19" t="inlineStr">
        <is>
          <t>829</t>
        </is>
      </c>
      <c r="B830" s="19" t="inlineStr">
        <is>
          <t>829</t>
        </is>
      </c>
      <c r="C830" s="19" t="n"/>
      <c r="D830" s="19" t="n"/>
      <c r="E830" s="19" t="n"/>
      <c r="F830" s="19" t="n"/>
      <c r="G830" s="19" t="inlineStr">
        <is>
          <t>208</t>
        </is>
      </c>
      <c r="H830" s="19" t="n"/>
      <c r="I830" s="19" t="n"/>
      <c r="J830" t="n">
        <v>829</v>
      </c>
      <c r="K830" t="inlineStr">
        <is>
          <t>Phase J registry sync</t>
        </is>
      </c>
    </row>
    <row r="831">
      <c r="A831" s="19" t="inlineStr">
        <is>
          <t>830</t>
        </is>
      </c>
      <c r="B831" s="19" t="inlineStr">
        <is>
          <t>830</t>
        </is>
      </c>
      <c r="C831" s="19" t="n"/>
      <c r="D831" s="19" t="n"/>
      <c r="E831" s="19" t="n"/>
      <c r="F831" s="19" t="n"/>
      <c r="G831" s="19" t="n"/>
      <c r="H831" s="19" t="inlineStr">
        <is>
          <t>208</t>
        </is>
      </c>
      <c r="I831" s="19" t="n"/>
      <c r="J831" t="n">
        <v>830</v>
      </c>
      <c r="K831" t="inlineStr">
        <is>
          <t>Phase J registry sync</t>
        </is>
      </c>
    </row>
    <row r="832">
      <c r="A832" s="19" t="inlineStr">
        <is>
          <t>831</t>
        </is>
      </c>
      <c r="B832" s="19" t="inlineStr">
        <is>
          <t>831</t>
        </is>
      </c>
      <c r="C832" s="19" t="n"/>
      <c r="D832" s="19" t="n"/>
      <c r="E832" s="19" t="inlineStr">
        <is>
          <t>208</t>
        </is>
      </c>
      <c r="F832" s="19" t="n"/>
      <c r="G832" s="19" t="n"/>
      <c r="H832" s="19" t="n"/>
      <c r="I832" s="19" t="n"/>
      <c r="J832" t="n">
        <v>831</v>
      </c>
      <c r="K832" t="inlineStr">
        <is>
          <t>Phase J registry sync</t>
        </is>
      </c>
    </row>
    <row r="833">
      <c r="A833" s="19" t="inlineStr">
        <is>
          <t>832</t>
        </is>
      </c>
      <c r="B833" s="19" t="inlineStr">
        <is>
          <t>832</t>
        </is>
      </c>
      <c r="C833" s="19" t="n"/>
      <c r="D833" s="19" t="n"/>
      <c r="E833" s="19" t="n"/>
      <c r="F833" s="19" t="n"/>
      <c r="G833" s="19" t="n"/>
      <c r="H833" s="19" t="n"/>
      <c r="I833" s="19" t="inlineStr">
        <is>
          <t>208</t>
        </is>
      </c>
      <c r="J833" t="n">
        <v>832</v>
      </c>
      <c r="K833" t="inlineStr">
        <is>
          <t>Phase J registry sync</t>
        </is>
      </c>
    </row>
    <row r="834">
      <c r="A834" s="19" t="inlineStr">
        <is>
          <t>833</t>
        </is>
      </c>
      <c r="B834" s="19" t="inlineStr">
        <is>
          <t>833</t>
        </is>
      </c>
      <c r="C834" s="19" t="n"/>
      <c r="D834" s="19" t="n"/>
      <c r="E834" s="19" t="n"/>
      <c r="F834" s="19" t="n"/>
      <c r="G834" s="19" t="inlineStr">
        <is>
          <t>209</t>
        </is>
      </c>
      <c r="H834" s="19" t="n"/>
      <c r="I834" s="19" t="n"/>
      <c r="J834" t="n">
        <v>833</v>
      </c>
      <c r="K834" t="inlineStr">
        <is>
          <t>Phase J registry sync</t>
        </is>
      </c>
    </row>
    <row r="835">
      <c r="A835" s="19" t="inlineStr">
        <is>
          <t>834</t>
        </is>
      </c>
      <c r="B835" s="19" t="inlineStr">
        <is>
          <t>834</t>
        </is>
      </c>
      <c r="C835" s="19" t="n"/>
      <c r="D835" s="19" t="n"/>
      <c r="E835" s="19" t="n"/>
      <c r="F835" s="19" t="n"/>
      <c r="G835" s="19" t="n"/>
      <c r="H835" s="19" t="inlineStr">
        <is>
          <t>209</t>
        </is>
      </c>
      <c r="I835" s="19" t="n"/>
      <c r="J835" t="n">
        <v>834</v>
      </c>
      <c r="K835" t="inlineStr">
        <is>
          <t>Phase J registry sync</t>
        </is>
      </c>
    </row>
    <row r="836">
      <c r="A836" s="19" t="inlineStr">
        <is>
          <t>835</t>
        </is>
      </c>
      <c r="B836" s="19" t="inlineStr">
        <is>
          <t>835</t>
        </is>
      </c>
      <c r="C836" s="19" t="n"/>
      <c r="D836" s="19" t="n"/>
      <c r="E836" s="19" t="inlineStr">
        <is>
          <t>209</t>
        </is>
      </c>
      <c r="F836" s="19" t="n"/>
      <c r="G836" s="19" t="n"/>
      <c r="H836" s="19" t="n"/>
      <c r="I836" s="19" t="n"/>
      <c r="J836" t="n">
        <v>835</v>
      </c>
      <c r="K836" t="inlineStr">
        <is>
          <t>Phase J registry sync</t>
        </is>
      </c>
    </row>
    <row r="837">
      <c r="A837" s="19" t="inlineStr">
        <is>
          <t>836</t>
        </is>
      </c>
      <c r="B837" s="19" t="inlineStr">
        <is>
          <t>836</t>
        </is>
      </c>
      <c r="C837" s="19" t="n"/>
      <c r="D837" s="19" t="n"/>
      <c r="E837" s="19" t="n"/>
      <c r="F837" s="19" t="n"/>
      <c r="G837" s="19" t="n"/>
      <c r="H837" s="19" t="n"/>
      <c r="I837" s="19" t="inlineStr">
        <is>
          <t>209</t>
        </is>
      </c>
      <c r="J837" t="n">
        <v>836</v>
      </c>
      <c r="K837" t="inlineStr">
        <is>
          <t>Phase J registry sync</t>
        </is>
      </c>
    </row>
    <row r="838">
      <c r="A838" s="19" t="inlineStr">
        <is>
          <t>837</t>
        </is>
      </c>
      <c r="B838" s="19" t="inlineStr">
        <is>
          <t>837</t>
        </is>
      </c>
      <c r="C838" s="19" t="n"/>
      <c r="D838" s="19" t="n"/>
      <c r="E838" s="19" t="n"/>
      <c r="F838" s="19" t="n"/>
      <c r="G838" s="19" t="inlineStr">
        <is>
          <t>210</t>
        </is>
      </c>
      <c r="H838" s="19" t="n"/>
      <c r="I838" s="19" t="n"/>
      <c r="J838" t="n">
        <v>837</v>
      </c>
      <c r="K838" t="inlineStr">
        <is>
          <t>Phase J registry sync</t>
        </is>
      </c>
    </row>
    <row r="839">
      <c r="A839" s="19" t="inlineStr">
        <is>
          <t>838</t>
        </is>
      </c>
      <c r="B839" s="19" t="inlineStr">
        <is>
          <t>838</t>
        </is>
      </c>
      <c r="C839" s="19" t="n"/>
      <c r="D839" s="19" t="n"/>
      <c r="E839" s="19" t="n"/>
      <c r="F839" s="19" t="n"/>
      <c r="G839" s="19" t="n"/>
      <c r="H839" s="19" t="inlineStr">
        <is>
          <t>210</t>
        </is>
      </c>
      <c r="I839" s="19" t="n"/>
      <c r="J839" t="n">
        <v>838</v>
      </c>
      <c r="K839" t="inlineStr">
        <is>
          <t>Phase J registry sync</t>
        </is>
      </c>
    </row>
    <row r="840">
      <c r="A840" s="19" t="inlineStr">
        <is>
          <t>839</t>
        </is>
      </c>
      <c r="B840" s="19" t="inlineStr">
        <is>
          <t>839</t>
        </is>
      </c>
      <c r="C840" s="19" t="n"/>
      <c r="D840" s="19" t="n"/>
      <c r="E840" s="19" t="inlineStr">
        <is>
          <t>210</t>
        </is>
      </c>
      <c r="F840" s="19" t="n"/>
      <c r="G840" s="19" t="n"/>
      <c r="H840" s="19" t="n"/>
      <c r="I840" s="19" t="n"/>
      <c r="J840" t="n">
        <v>839</v>
      </c>
      <c r="K840" t="inlineStr">
        <is>
          <t>Phase J registry sync</t>
        </is>
      </c>
    </row>
    <row r="841">
      <c r="A841" s="19" t="inlineStr">
        <is>
          <t>840</t>
        </is>
      </c>
      <c r="B841" s="19" t="inlineStr">
        <is>
          <t>840</t>
        </is>
      </c>
      <c r="C841" s="19" t="n"/>
      <c r="D841" s="19" t="n"/>
      <c r="E841" s="19" t="n"/>
      <c r="F841" s="19" t="n"/>
      <c r="G841" s="19" t="n"/>
      <c r="H841" s="19" t="n"/>
      <c r="I841" s="19" t="inlineStr">
        <is>
          <t>210</t>
        </is>
      </c>
      <c r="J841" t="n">
        <v>840</v>
      </c>
      <c r="K841" t="inlineStr">
        <is>
          <t>Phase J registry sync</t>
        </is>
      </c>
    </row>
    <row r="842">
      <c r="A842" s="19" t="inlineStr">
        <is>
          <t>841</t>
        </is>
      </c>
      <c r="B842" s="19" t="inlineStr">
        <is>
          <t>841</t>
        </is>
      </c>
      <c r="C842" s="19" t="n"/>
      <c r="D842" s="19" t="n"/>
      <c r="E842" s="19" t="n"/>
      <c r="F842" s="19" t="n"/>
      <c r="G842" s="19" t="inlineStr">
        <is>
          <t>211</t>
        </is>
      </c>
      <c r="H842" s="19" t="n"/>
      <c r="I842" s="19" t="n"/>
      <c r="J842" t="n">
        <v>841</v>
      </c>
      <c r="K842" t="inlineStr">
        <is>
          <t>Phase J registry sync</t>
        </is>
      </c>
    </row>
    <row r="843">
      <c r="A843" s="19" t="inlineStr">
        <is>
          <t>842</t>
        </is>
      </c>
      <c r="B843" s="19" t="inlineStr">
        <is>
          <t>842</t>
        </is>
      </c>
      <c r="C843" s="19" t="n"/>
      <c r="D843" s="19" t="n"/>
      <c r="E843" s="19" t="n"/>
      <c r="F843" s="19" t="n"/>
      <c r="G843" s="19" t="n"/>
      <c r="H843" s="19" t="inlineStr">
        <is>
          <t>211</t>
        </is>
      </c>
      <c r="I843" s="19" t="n"/>
      <c r="J843" t="n">
        <v>842</v>
      </c>
      <c r="K843" t="inlineStr">
        <is>
          <t>Phase J registry sync</t>
        </is>
      </c>
    </row>
    <row r="844">
      <c r="A844" s="19" t="inlineStr">
        <is>
          <t>843</t>
        </is>
      </c>
      <c r="B844" s="19" t="inlineStr">
        <is>
          <t>843</t>
        </is>
      </c>
      <c r="C844" s="19" t="n"/>
      <c r="D844" s="19" t="n"/>
      <c r="E844" s="19" t="inlineStr">
        <is>
          <t>211</t>
        </is>
      </c>
      <c r="F844" s="19" t="n"/>
      <c r="G844" s="19" t="n"/>
      <c r="H844" s="19" t="n"/>
      <c r="I844" s="19" t="n"/>
      <c r="J844" t="n">
        <v>843</v>
      </c>
      <c r="K844" t="inlineStr">
        <is>
          <t>Phase J registry sync</t>
        </is>
      </c>
    </row>
    <row r="845">
      <c r="A845" s="19" t="inlineStr">
        <is>
          <t>844</t>
        </is>
      </c>
      <c r="B845" s="19" t="inlineStr">
        <is>
          <t>844</t>
        </is>
      </c>
      <c r="C845" s="19" t="n"/>
      <c r="D845" s="19" t="n"/>
      <c r="E845" s="19" t="n"/>
      <c r="F845" s="19" t="n"/>
      <c r="G845" s="19" t="n"/>
      <c r="H845" s="19" t="n"/>
      <c r="I845" s="19" t="inlineStr">
        <is>
          <t>211</t>
        </is>
      </c>
      <c r="J845" t="n">
        <v>844</v>
      </c>
      <c r="K845" t="inlineStr">
        <is>
          <t>Phase J registry sync</t>
        </is>
      </c>
    </row>
    <row r="846">
      <c r="A846" s="19" t="inlineStr">
        <is>
          <t>845</t>
        </is>
      </c>
      <c r="B846" s="19" t="inlineStr">
        <is>
          <t>845</t>
        </is>
      </c>
      <c r="C846" s="19" t="n"/>
      <c r="D846" s="19" t="n"/>
      <c r="E846" s="19" t="n"/>
      <c r="F846" s="19" t="n"/>
      <c r="G846" s="19" t="inlineStr">
        <is>
          <t>212</t>
        </is>
      </c>
      <c r="H846" s="19" t="n"/>
      <c r="I846" s="19" t="n"/>
      <c r="J846" t="n">
        <v>845</v>
      </c>
      <c r="K846" t="inlineStr">
        <is>
          <t>Phase J registry sync</t>
        </is>
      </c>
    </row>
    <row r="847">
      <c r="A847" s="19" t="inlineStr">
        <is>
          <t>846</t>
        </is>
      </c>
      <c r="B847" s="19" t="inlineStr">
        <is>
          <t>846</t>
        </is>
      </c>
      <c r="C847" s="19" t="n"/>
      <c r="D847" s="19" t="n"/>
      <c r="E847" s="19" t="n"/>
      <c r="F847" s="19" t="n"/>
      <c r="G847" s="19" t="n"/>
      <c r="H847" s="19" t="inlineStr">
        <is>
          <t>212</t>
        </is>
      </c>
      <c r="I847" s="19" t="n"/>
      <c r="J847" t="n">
        <v>846</v>
      </c>
      <c r="K847" t="inlineStr">
        <is>
          <t>Phase J registry sync</t>
        </is>
      </c>
    </row>
    <row r="848">
      <c r="A848" s="19" t="inlineStr">
        <is>
          <t>847</t>
        </is>
      </c>
      <c r="B848" s="19" t="inlineStr">
        <is>
          <t>847</t>
        </is>
      </c>
      <c r="C848" s="19" t="n"/>
      <c r="D848" s="19" t="n"/>
      <c r="E848" s="19" t="inlineStr">
        <is>
          <t>212</t>
        </is>
      </c>
      <c r="F848" s="19" t="n"/>
      <c r="G848" s="19" t="n"/>
      <c r="H848" s="19" t="n"/>
      <c r="I848" s="19" t="n"/>
      <c r="J848" t="n">
        <v>847</v>
      </c>
      <c r="K848" t="inlineStr">
        <is>
          <t>Phase J registry sync</t>
        </is>
      </c>
    </row>
    <row r="849">
      <c r="A849" s="19" t="inlineStr">
        <is>
          <t>848</t>
        </is>
      </c>
      <c r="B849" s="19" t="inlineStr">
        <is>
          <t>848</t>
        </is>
      </c>
      <c r="C849" s="19" t="n"/>
      <c r="D849" s="19" t="n"/>
      <c r="E849" s="19" t="n"/>
      <c r="F849" s="19" t="n"/>
      <c r="G849" s="19" t="n"/>
      <c r="H849" s="19" t="n"/>
      <c r="I849" s="19" t="inlineStr">
        <is>
          <t>212</t>
        </is>
      </c>
      <c r="J849" t="n">
        <v>848</v>
      </c>
      <c r="K849" t="inlineStr">
        <is>
          <t>Phase J registry sync</t>
        </is>
      </c>
    </row>
    <row r="850">
      <c r="A850" s="19" t="inlineStr">
        <is>
          <t>849</t>
        </is>
      </c>
      <c r="B850" s="19" t="inlineStr">
        <is>
          <t>849</t>
        </is>
      </c>
      <c r="C850" s="19" t="n"/>
      <c r="D850" s="19" t="n"/>
      <c r="E850" s="19" t="n"/>
      <c r="F850" s="19" t="n"/>
      <c r="G850" s="19" t="inlineStr">
        <is>
          <t>213</t>
        </is>
      </c>
      <c r="H850" s="19" t="n"/>
      <c r="I850" s="19" t="n"/>
      <c r="J850" t="n">
        <v>849</v>
      </c>
      <c r="K850" t="inlineStr">
        <is>
          <t>Phase J registry sync</t>
        </is>
      </c>
    </row>
    <row r="851">
      <c r="A851" s="19" t="inlineStr">
        <is>
          <t>850</t>
        </is>
      </c>
      <c r="B851" s="19" t="inlineStr">
        <is>
          <t>850</t>
        </is>
      </c>
      <c r="C851" s="19" t="n"/>
      <c r="D851" s="19" t="n"/>
      <c r="E851" s="19" t="n"/>
      <c r="F851" s="19" t="n"/>
      <c r="G851" s="19" t="n"/>
      <c r="H851" s="19" t="inlineStr">
        <is>
          <t>213</t>
        </is>
      </c>
      <c r="I851" s="19" t="n"/>
      <c r="J851" t="n">
        <v>850</v>
      </c>
      <c r="K851" t="inlineStr">
        <is>
          <t>Phase J registry sync</t>
        </is>
      </c>
    </row>
    <row r="852">
      <c r="A852" s="19" t="inlineStr">
        <is>
          <t>851</t>
        </is>
      </c>
      <c r="B852" s="19" t="inlineStr">
        <is>
          <t>851</t>
        </is>
      </c>
      <c r="C852" s="19" t="n"/>
      <c r="D852" s="19" t="n"/>
      <c r="E852" s="19" t="inlineStr">
        <is>
          <t>213</t>
        </is>
      </c>
      <c r="F852" s="19" t="n"/>
      <c r="G852" s="19" t="n"/>
      <c r="H852" s="19" t="n"/>
      <c r="I852" s="19" t="n"/>
      <c r="J852" t="n">
        <v>851</v>
      </c>
      <c r="K852" t="inlineStr">
        <is>
          <t>Phase J registry sync</t>
        </is>
      </c>
    </row>
    <row r="853">
      <c r="A853" s="19" t="inlineStr">
        <is>
          <t>852</t>
        </is>
      </c>
      <c r="B853" s="19" t="inlineStr">
        <is>
          <t>852</t>
        </is>
      </c>
      <c r="C853" s="19" t="n"/>
      <c r="D853" s="19" t="n"/>
      <c r="E853" s="19" t="n"/>
      <c r="F853" s="19" t="n"/>
      <c r="G853" s="19" t="n"/>
      <c r="H853" s="19" t="n"/>
      <c r="I853" s="19" t="inlineStr">
        <is>
          <t>213</t>
        </is>
      </c>
      <c r="J853" t="n">
        <v>852</v>
      </c>
      <c r="K853" t="inlineStr">
        <is>
          <t>Phase J registry sync</t>
        </is>
      </c>
    </row>
    <row r="854">
      <c r="A854" s="19" t="inlineStr">
        <is>
          <t>853</t>
        </is>
      </c>
      <c r="B854" s="19" t="inlineStr">
        <is>
          <t>853</t>
        </is>
      </c>
      <c r="C854" s="19" t="n"/>
      <c r="D854" s="19" t="n"/>
      <c r="E854" s="19" t="n"/>
      <c r="F854" s="19" t="n"/>
      <c r="G854" s="19" t="inlineStr">
        <is>
          <t>214</t>
        </is>
      </c>
      <c r="H854" s="19" t="n"/>
      <c r="I854" s="19" t="n"/>
      <c r="J854" t="n">
        <v>853</v>
      </c>
      <c r="K854" t="inlineStr">
        <is>
          <t>Phase J registry sync</t>
        </is>
      </c>
    </row>
    <row r="855">
      <c r="A855" s="19" t="inlineStr">
        <is>
          <t>854</t>
        </is>
      </c>
      <c r="B855" s="19" t="inlineStr">
        <is>
          <t>854</t>
        </is>
      </c>
      <c r="C855" s="19" t="n"/>
      <c r="D855" s="19" t="n"/>
      <c r="E855" s="19" t="n"/>
      <c r="F855" s="19" t="n"/>
      <c r="G855" s="19" t="n"/>
      <c r="H855" s="19" t="inlineStr">
        <is>
          <t>214</t>
        </is>
      </c>
      <c r="I855" s="19" t="n"/>
      <c r="J855" t="n">
        <v>854</v>
      </c>
      <c r="K855" t="inlineStr">
        <is>
          <t>Phase J registry sync</t>
        </is>
      </c>
    </row>
    <row r="856">
      <c r="A856" s="19" t="inlineStr">
        <is>
          <t>855</t>
        </is>
      </c>
      <c r="B856" s="19" t="inlineStr">
        <is>
          <t>855</t>
        </is>
      </c>
      <c r="C856" s="19" t="n"/>
      <c r="D856" s="19" t="n"/>
      <c r="E856" s="19" t="inlineStr">
        <is>
          <t>214</t>
        </is>
      </c>
      <c r="F856" s="19" t="n"/>
      <c r="G856" s="19" t="n"/>
      <c r="H856" s="19" t="n"/>
      <c r="I856" s="19" t="n"/>
      <c r="J856" t="n">
        <v>855</v>
      </c>
      <c r="K856" t="inlineStr">
        <is>
          <t>Phase J registry sync</t>
        </is>
      </c>
    </row>
    <row r="857">
      <c r="A857" s="19" t="inlineStr">
        <is>
          <t>856</t>
        </is>
      </c>
      <c r="B857" s="19" t="inlineStr">
        <is>
          <t>856</t>
        </is>
      </c>
      <c r="C857" s="19" t="n"/>
      <c r="D857" s="19" t="n"/>
      <c r="E857" s="19" t="n"/>
      <c r="F857" s="19" t="n"/>
      <c r="G857" s="19" t="n"/>
      <c r="H857" s="19" t="n"/>
      <c r="I857" s="19" t="inlineStr">
        <is>
          <t>214</t>
        </is>
      </c>
      <c r="J857" t="n">
        <v>856</v>
      </c>
      <c r="K857" t="inlineStr">
        <is>
          <t>Phase J registry sync</t>
        </is>
      </c>
    </row>
    <row r="858">
      <c r="A858" s="19" t="inlineStr">
        <is>
          <t>857</t>
        </is>
      </c>
      <c r="B858" s="19" t="inlineStr">
        <is>
          <t>857</t>
        </is>
      </c>
      <c r="C858" s="19" t="n"/>
      <c r="D858" s="19" t="n"/>
      <c r="E858" s="19" t="n"/>
      <c r="F858" s="19" t="n"/>
      <c r="G858" s="19" t="inlineStr">
        <is>
          <t>215</t>
        </is>
      </c>
      <c r="H858" s="19" t="n"/>
      <c r="I858" s="19" t="n"/>
      <c r="J858" t="n">
        <v>857</v>
      </c>
      <c r="K858" t="inlineStr">
        <is>
          <t>Phase J registry sync</t>
        </is>
      </c>
    </row>
    <row r="859">
      <c r="A859" s="19" t="inlineStr">
        <is>
          <t>858</t>
        </is>
      </c>
      <c r="B859" s="19" t="inlineStr">
        <is>
          <t>858</t>
        </is>
      </c>
      <c r="C859" s="19" t="n"/>
      <c r="D859" s="19" t="n"/>
      <c r="E859" s="19" t="n"/>
      <c r="F859" s="19" t="n"/>
      <c r="G859" s="19" t="n"/>
      <c r="H859" s="19" t="inlineStr">
        <is>
          <t>215</t>
        </is>
      </c>
      <c r="I859" s="19" t="n"/>
      <c r="J859" t="n">
        <v>858</v>
      </c>
      <c r="K859" t="inlineStr">
        <is>
          <t>Phase J registry sync</t>
        </is>
      </c>
    </row>
    <row r="860">
      <c r="A860" s="19" t="inlineStr">
        <is>
          <t>859</t>
        </is>
      </c>
      <c r="B860" s="19" t="inlineStr">
        <is>
          <t>859</t>
        </is>
      </c>
      <c r="C860" s="19" t="n"/>
      <c r="D860" s="19" t="n"/>
      <c r="E860" s="19" t="inlineStr">
        <is>
          <t>215</t>
        </is>
      </c>
      <c r="F860" s="19" t="n"/>
      <c r="G860" s="19" t="n"/>
      <c r="H860" s="19" t="n"/>
      <c r="I860" s="19" t="n"/>
      <c r="J860" t="n">
        <v>859</v>
      </c>
      <c r="K860" t="inlineStr">
        <is>
          <t>Phase J registry sync</t>
        </is>
      </c>
    </row>
    <row r="861">
      <c r="A861" s="19" t="inlineStr">
        <is>
          <t>860</t>
        </is>
      </c>
      <c r="B861" s="19" t="inlineStr">
        <is>
          <t>860</t>
        </is>
      </c>
      <c r="C861" s="19" t="n"/>
      <c r="D861" s="19" t="n"/>
      <c r="E861" s="19" t="n"/>
      <c r="F861" s="19" t="n"/>
      <c r="G861" s="19" t="n"/>
      <c r="H861" s="19" t="n"/>
      <c r="I861" s="19" t="inlineStr">
        <is>
          <t>215</t>
        </is>
      </c>
      <c r="J861" t="n">
        <v>860</v>
      </c>
      <c r="K861" t="inlineStr">
        <is>
          <t>Phase J registry sync</t>
        </is>
      </c>
    </row>
    <row r="862">
      <c r="A862" s="19" t="inlineStr">
        <is>
          <t>861</t>
        </is>
      </c>
      <c r="B862" s="19" t="inlineStr">
        <is>
          <t>861</t>
        </is>
      </c>
      <c r="C862" s="19" t="n"/>
      <c r="D862" s="19" t="n"/>
      <c r="E862" s="19" t="n"/>
      <c r="F862" s="19" t="n"/>
      <c r="G862" s="19" t="inlineStr">
        <is>
          <t>216</t>
        </is>
      </c>
      <c r="H862" s="19" t="n"/>
      <c r="I862" s="19" t="n"/>
      <c r="J862" t="n">
        <v>861</v>
      </c>
      <c r="K862" t="inlineStr">
        <is>
          <t>Phase J registry sync</t>
        </is>
      </c>
    </row>
    <row r="863">
      <c r="A863" s="19" t="inlineStr">
        <is>
          <t>862</t>
        </is>
      </c>
      <c r="B863" s="19" t="inlineStr">
        <is>
          <t>862</t>
        </is>
      </c>
      <c r="C863" s="19" t="n"/>
      <c r="D863" s="19" t="n"/>
      <c r="E863" s="19" t="n"/>
      <c r="F863" s="19" t="n"/>
      <c r="G863" s="19" t="n"/>
      <c r="H863" s="19" t="inlineStr">
        <is>
          <t>216</t>
        </is>
      </c>
      <c r="I863" s="19" t="n"/>
      <c r="J863" t="n">
        <v>862</v>
      </c>
      <c r="K863" t="inlineStr">
        <is>
          <t>Phase J registry sync</t>
        </is>
      </c>
    </row>
    <row r="864">
      <c r="A864" s="19" t="inlineStr">
        <is>
          <t>863</t>
        </is>
      </c>
      <c r="B864" s="19" t="inlineStr">
        <is>
          <t>863</t>
        </is>
      </c>
      <c r="C864" s="19" t="n"/>
      <c r="D864" s="19" t="n"/>
      <c r="E864" s="19" t="inlineStr">
        <is>
          <t>216</t>
        </is>
      </c>
      <c r="F864" s="19" t="n"/>
      <c r="G864" s="19" t="n"/>
      <c r="H864" s="19" t="n"/>
      <c r="I864" s="19" t="n"/>
      <c r="J864" t="n">
        <v>863</v>
      </c>
      <c r="K864" t="inlineStr">
        <is>
          <t>Phase J registry sync</t>
        </is>
      </c>
    </row>
    <row r="865">
      <c r="A865" s="19" t="inlineStr">
        <is>
          <t>864</t>
        </is>
      </c>
      <c r="B865" s="19" t="inlineStr">
        <is>
          <t>864</t>
        </is>
      </c>
      <c r="C865" s="19" t="n"/>
      <c r="D865" s="19" t="n"/>
      <c r="E865" s="19" t="n"/>
      <c r="F865" s="19" t="n"/>
      <c r="G865" s="19" t="n"/>
      <c r="H865" s="19" t="n"/>
      <c r="I865" s="19" t="inlineStr">
        <is>
          <t>216</t>
        </is>
      </c>
      <c r="J865" t="n">
        <v>864</v>
      </c>
      <c r="K865" t="inlineStr">
        <is>
          <t>Phase J registry sync</t>
        </is>
      </c>
    </row>
    <row r="866">
      <c r="A866" s="19" t="inlineStr">
        <is>
          <t>865</t>
        </is>
      </c>
      <c r="B866" s="19" t="inlineStr">
        <is>
          <t>865</t>
        </is>
      </c>
      <c r="C866" s="19" t="n"/>
      <c r="D866" s="19" t="n"/>
      <c r="E866" s="19" t="n"/>
      <c r="F866" s="19" t="n"/>
      <c r="G866" s="19" t="inlineStr">
        <is>
          <t>217</t>
        </is>
      </c>
      <c r="H866" s="19" t="n"/>
      <c r="I866" s="19" t="n"/>
      <c r="J866" t="n">
        <v>865</v>
      </c>
      <c r="K866" t="inlineStr">
        <is>
          <t>Phase J registry sync</t>
        </is>
      </c>
    </row>
    <row r="867">
      <c r="A867" s="19" t="inlineStr">
        <is>
          <t>866</t>
        </is>
      </c>
      <c r="B867" s="19" t="inlineStr">
        <is>
          <t>866</t>
        </is>
      </c>
      <c r="C867" s="19" t="n"/>
      <c r="D867" s="19" t="n"/>
      <c r="E867" s="19" t="n"/>
      <c r="F867" s="19" t="n"/>
      <c r="G867" s="19" t="n"/>
      <c r="H867" s="19" t="inlineStr">
        <is>
          <t>217</t>
        </is>
      </c>
      <c r="I867" s="19" t="n"/>
      <c r="J867" t="n">
        <v>866</v>
      </c>
      <c r="K867" t="inlineStr">
        <is>
          <t>Phase J registry sync</t>
        </is>
      </c>
    </row>
    <row r="868">
      <c r="A868" s="19" t="inlineStr">
        <is>
          <t>867</t>
        </is>
      </c>
      <c r="B868" s="19" t="inlineStr">
        <is>
          <t>867</t>
        </is>
      </c>
      <c r="C868" s="19" t="n"/>
      <c r="D868" s="19" t="n"/>
      <c r="E868" s="19" t="inlineStr">
        <is>
          <t>217</t>
        </is>
      </c>
      <c r="F868" s="19" t="n"/>
      <c r="G868" s="19" t="n"/>
      <c r="H868" s="19" t="n"/>
      <c r="I868" s="19" t="n"/>
      <c r="J868" t="n">
        <v>867</v>
      </c>
      <c r="K868" t="inlineStr">
        <is>
          <t>Phase J registry sync</t>
        </is>
      </c>
    </row>
    <row r="869">
      <c r="A869" s="19" t="inlineStr">
        <is>
          <t>868</t>
        </is>
      </c>
      <c r="B869" s="19" t="inlineStr">
        <is>
          <t>868</t>
        </is>
      </c>
      <c r="C869" s="19" t="n"/>
      <c r="D869" s="19" t="n"/>
      <c r="E869" s="19" t="n"/>
      <c r="F869" s="19" t="n"/>
      <c r="G869" s="19" t="n"/>
      <c r="H869" s="19" t="n"/>
      <c r="I869" s="19" t="inlineStr">
        <is>
          <t>217</t>
        </is>
      </c>
      <c r="J869" t="n">
        <v>868</v>
      </c>
      <c r="K869" t="inlineStr">
        <is>
          <t>Phase J registry sync</t>
        </is>
      </c>
    </row>
    <row r="870">
      <c r="A870" s="19" t="inlineStr">
        <is>
          <t>869</t>
        </is>
      </c>
      <c r="B870" s="19" t="inlineStr">
        <is>
          <t>869</t>
        </is>
      </c>
      <c r="C870" s="19" t="n"/>
      <c r="D870" s="19" t="n"/>
      <c r="E870" s="19" t="n"/>
      <c r="F870" s="19" t="n"/>
      <c r="G870" s="19" t="inlineStr">
        <is>
          <t>218</t>
        </is>
      </c>
      <c r="H870" s="19" t="n"/>
      <c r="I870" s="19" t="n"/>
      <c r="J870" t="n">
        <v>869</v>
      </c>
      <c r="K870" t="inlineStr">
        <is>
          <t>Phase J registry sync</t>
        </is>
      </c>
    </row>
    <row r="871">
      <c r="A871" s="19" t="inlineStr">
        <is>
          <t>870</t>
        </is>
      </c>
      <c r="B871" s="19" t="inlineStr">
        <is>
          <t>870</t>
        </is>
      </c>
      <c r="C871" s="19" t="n"/>
      <c r="D871" s="19" t="n"/>
      <c r="E871" s="19" t="n"/>
      <c r="F871" s="19" t="n"/>
      <c r="G871" s="19" t="n"/>
      <c r="H871" s="19" t="inlineStr">
        <is>
          <t>218</t>
        </is>
      </c>
      <c r="I871" s="19" t="n"/>
      <c r="J871" t="n">
        <v>870</v>
      </c>
      <c r="K871" t="inlineStr">
        <is>
          <t>Phase J registry sync</t>
        </is>
      </c>
    </row>
    <row r="872">
      <c r="A872" s="19" t="inlineStr">
        <is>
          <t>871</t>
        </is>
      </c>
      <c r="B872" s="19" t="inlineStr">
        <is>
          <t>871</t>
        </is>
      </c>
      <c r="C872" s="19" t="n"/>
      <c r="D872" s="19" t="n"/>
      <c r="E872" s="19" t="inlineStr">
        <is>
          <t>218</t>
        </is>
      </c>
      <c r="F872" s="19" t="n"/>
      <c r="G872" s="19" t="n"/>
      <c r="H872" s="19" t="n"/>
      <c r="I872" s="19" t="n"/>
      <c r="J872" t="n">
        <v>871</v>
      </c>
      <c r="K872" t="inlineStr">
        <is>
          <t>Phase J registry sync</t>
        </is>
      </c>
    </row>
    <row r="873">
      <c r="A873" s="19" t="inlineStr">
        <is>
          <t>872</t>
        </is>
      </c>
      <c r="B873" s="19" t="inlineStr">
        <is>
          <t>872</t>
        </is>
      </c>
      <c r="C873" s="19" t="n"/>
      <c r="D873" s="19" t="n"/>
      <c r="E873" s="19" t="n"/>
      <c r="F873" s="19" t="n"/>
      <c r="G873" s="19" t="n"/>
      <c r="H873" s="19" t="n"/>
      <c r="I873" s="19" t="inlineStr">
        <is>
          <t>218</t>
        </is>
      </c>
      <c r="J873" t="n">
        <v>872</v>
      </c>
      <c r="K873" t="inlineStr">
        <is>
          <t>Phase J registry sync</t>
        </is>
      </c>
    </row>
    <row r="874">
      <c r="A874" s="19" t="inlineStr">
        <is>
          <t>873</t>
        </is>
      </c>
      <c r="B874" s="19" t="inlineStr">
        <is>
          <t>873</t>
        </is>
      </c>
      <c r="C874" s="19" t="n"/>
      <c r="D874" s="19" t="n"/>
      <c r="E874" s="19" t="n"/>
      <c r="F874" s="19" t="n"/>
      <c r="G874" s="19" t="inlineStr">
        <is>
          <t>219</t>
        </is>
      </c>
      <c r="H874" s="19" t="n"/>
      <c r="I874" s="19" t="n"/>
      <c r="J874" t="n">
        <v>873</v>
      </c>
      <c r="K874" t="inlineStr">
        <is>
          <t>Phase J registry sync</t>
        </is>
      </c>
    </row>
    <row r="875">
      <c r="A875" s="19" t="inlineStr">
        <is>
          <t>874</t>
        </is>
      </c>
      <c r="B875" s="19" t="inlineStr">
        <is>
          <t>874</t>
        </is>
      </c>
      <c r="C875" s="19" t="n"/>
      <c r="D875" s="19" t="n"/>
      <c r="E875" s="19" t="n"/>
      <c r="F875" s="19" t="n"/>
      <c r="G875" s="19" t="n"/>
      <c r="H875" s="19" t="inlineStr">
        <is>
          <t>219</t>
        </is>
      </c>
      <c r="I875" s="19" t="n"/>
      <c r="J875" t="n">
        <v>874</v>
      </c>
      <c r="K875" t="inlineStr">
        <is>
          <t>Phase J registry sync</t>
        </is>
      </c>
    </row>
    <row r="876">
      <c r="A876" s="19" t="inlineStr">
        <is>
          <t>875</t>
        </is>
      </c>
      <c r="B876" s="19" t="inlineStr">
        <is>
          <t>875</t>
        </is>
      </c>
      <c r="C876" s="19" t="n"/>
      <c r="D876" s="19" t="n"/>
      <c r="E876" s="19" t="inlineStr">
        <is>
          <t>219</t>
        </is>
      </c>
      <c r="F876" s="19" t="n"/>
      <c r="G876" s="19" t="n"/>
      <c r="H876" s="19" t="n"/>
      <c r="I876" s="19" t="n"/>
      <c r="J876" t="n">
        <v>875</v>
      </c>
      <c r="K876" t="inlineStr">
        <is>
          <t>Phase J registry sync</t>
        </is>
      </c>
    </row>
    <row r="877">
      <c r="A877" s="19" t="inlineStr">
        <is>
          <t>876</t>
        </is>
      </c>
      <c r="B877" s="19" t="inlineStr">
        <is>
          <t>876</t>
        </is>
      </c>
      <c r="C877" s="19" t="n"/>
      <c r="D877" s="19" t="n"/>
      <c r="E877" s="19" t="n"/>
      <c r="F877" s="19" t="n"/>
      <c r="G877" s="19" t="n"/>
      <c r="H877" s="19" t="n"/>
      <c r="I877" s="19" t="inlineStr">
        <is>
          <t>219</t>
        </is>
      </c>
      <c r="J877" t="n">
        <v>876</v>
      </c>
      <c r="K877" t="inlineStr">
        <is>
          <t>Phase J registry sync</t>
        </is>
      </c>
    </row>
    <row r="878">
      <c r="A878" s="19" t="inlineStr">
        <is>
          <t>877</t>
        </is>
      </c>
      <c r="B878" s="19" t="inlineStr">
        <is>
          <t>877</t>
        </is>
      </c>
      <c r="C878" s="19" t="n"/>
      <c r="D878" s="19" t="n"/>
      <c r="E878" s="19" t="n"/>
      <c r="F878" s="19" t="n"/>
      <c r="G878" s="19" t="inlineStr">
        <is>
          <t>220</t>
        </is>
      </c>
      <c r="H878" s="19" t="n"/>
      <c r="I878" s="19" t="n"/>
      <c r="J878" t="n">
        <v>877</v>
      </c>
      <c r="K878" t="inlineStr">
        <is>
          <t>Phase J registry sync</t>
        </is>
      </c>
    </row>
    <row r="879">
      <c r="A879" s="19" t="inlineStr">
        <is>
          <t>878</t>
        </is>
      </c>
      <c r="B879" s="19" t="inlineStr">
        <is>
          <t>878</t>
        </is>
      </c>
      <c r="C879" s="19" t="n"/>
      <c r="D879" s="19" t="n"/>
      <c r="E879" s="19" t="n"/>
      <c r="F879" s="19" t="n"/>
      <c r="G879" s="19" t="n"/>
      <c r="H879" s="19" t="inlineStr">
        <is>
          <t>220</t>
        </is>
      </c>
      <c r="I879" s="19" t="n"/>
      <c r="J879" t="n">
        <v>878</v>
      </c>
      <c r="K879" t="inlineStr">
        <is>
          <t>Phase J registry sync</t>
        </is>
      </c>
    </row>
    <row r="880">
      <c r="A880" s="19" t="inlineStr">
        <is>
          <t>879</t>
        </is>
      </c>
      <c r="B880" s="19" t="inlineStr">
        <is>
          <t>879</t>
        </is>
      </c>
      <c r="C880" s="19" t="n"/>
      <c r="D880" s="19" t="n"/>
      <c r="E880" s="19" t="inlineStr">
        <is>
          <t>220</t>
        </is>
      </c>
      <c r="F880" s="19" t="n"/>
      <c r="G880" s="19" t="n"/>
      <c r="H880" s="19" t="n"/>
      <c r="I880" s="19" t="n"/>
      <c r="J880" t="n">
        <v>879</v>
      </c>
      <c r="K880" t="inlineStr">
        <is>
          <t>Phase J registry sync</t>
        </is>
      </c>
    </row>
    <row r="881">
      <c r="A881" s="19" t="inlineStr">
        <is>
          <t>880</t>
        </is>
      </c>
      <c r="B881" s="19" t="inlineStr">
        <is>
          <t>880</t>
        </is>
      </c>
      <c r="C881" s="19" t="n"/>
      <c r="D881" s="19" t="n"/>
      <c r="E881" s="19" t="n"/>
      <c r="F881" s="19" t="n"/>
      <c r="G881" s="19" t="n"/>
      <c r="H881" s="19" t="n"/>
      <c r="I881" s="19" t="inlineStr">
        <is>
          <t>220</t>
        </is>
      </c>
      <c r="J881" t="n">
        <v>880</v>
      </c>
      <c r="K881" t="inlineStr">
        <is>
          <t>Phase J registry sync</t>
        </is>
      </c>
    </row>
    <row r="882">
      <c r="A882" s="19" t="inlineStr">
        <is>
          <t>881</t>
        </is>
      </c>
      <c r="B882" s="19" t="inlineStr">
        <is>
          <t>881</t>
        </is>
      </c>
      <c r="C882" s="19" t="n"/>
      <c r="D882" s="19" t="n"/>
      <c r="E882" s="19" t="n"/>
      <c r="F882" s="19" t="n"/>
      <c r="G882" s="19" t="inlineStr">
        <is>
          <t>221</t>
        </is>
      </c>
      <c r="H882" s="19" t="n"/>
      <c r="I882" s="19" t="n"/>
      <c r="J882" t="n">
        <v>881</v>
      </c>
      <c r="K882" t="inlineStr">
        <is>
          <t>Phase J registry sync</t>
        </is>
      </c>
    </row>
    <row r="883">
      <c r="A883" s="19" t="inlineStr">
        <is>
          <t>882</t>
        </is>
      </c>
      <c r="B883" s="19" t="inlineStr">
        <is>
          <t>882</t>
        </is>
      </c>
      <c r="C883" s="19" t="n"/>
      <c r="D883" s="19" t="n"/>
      <c r="E883" s="19" t="n"/>
      <c r="F883" s="19" t="n"/>
      <c r="G883" s="19" t="n"/>
      <c r="H883" s="19" t="inlineStr">
        <is>
          <t>221</t>
        </is>
      </c>
      <c r="I883" s="19" t="n"/>
      <c r="J883" t="n">
        <v>882</v>
      </c>
      <c r="K883" t="inlineStr">
        <is>
          <t>Phase J registry sync</t>
        </is>
      </c>
    </row>
    <row r="884">
      <c r="A884" s="19" t="inlineStr">
        <is>
          <t>883</t>
        </is>
      </c>
      <c r="B884" s="19" t="inlineStr">
        <is>
          <t>883</t>
        </is>
      </c>
      <c r="C884" s="19" t="n"/>
      <c r="D884" s="19" t="n"/>
      <c r="E884" s="19" t="inlineStr">
        <is>
          <t>221</t>
        </is>
      </c>
      <c r="F884" s="19" t="n"/>
      <c r="G884" s="19" t="n"/>
      <c r="H884" s="19" t="n"/>
      <c r="I884" s="19" t="n"/>
      <c r="J884" t="n">
        <v>883</v>
      </c>
      <c r="K884" t="inlineStr">
        <is>
          <t>Phase J registry sync</t>
        </is>
      </c>
    </row>
    <row r="885">
      <c r="A885" s="19" t="inlineStr">
        <is>
          <t>884</t>
        </is>
      </c>
      <c r="B885" s="19" t="inlineStr">
        <is>
          <t>884</t>
        </is>
      </c>
      <c r="C885" s="19" t="n"/>
      <c r="D885" s="19" t="n"/>
      <c r="E885" s="19" t="n"/>
      <c r="F885" s="19" t="n"/>
      <c r="G885" s="19" t="n"/>
      <c r="H885" s="19" t="n"/>
      <c r="I885" s="19" t="inlineStr">
        <is>
          <t>221</t>
        </is>
      </c>
      <c r="J885" t="n">
        <v>884</v>
      </c>
      <c r="K885" t="inlineStr">
        <is>
          <t>Phase J registry sync</t>
        </is>
      </c>
    </row>
    <row r="886">
      <c r="A886" s="19" t="inlineStr">
        <is>
          <t>885</t>
        </is>
      </c>
      <c r="B886" s="19" t="inlineStr">
        <is>
          <t>885</t>
        </is>
      </c>
      <c r="C886" s="19" t="n"/>
      <c r="D886" s="19" t="n"/>
      <c r="E886" s="19" t="n"/>
      <c r="F886" s="19" t="n"/>
      <c r="G886" s="19" t="inlineStr">
        <is>
          <t>222</t>
        </is>
      </c>
      <c r="H886" s="19" t="n"/>
      <c r="I886" s="19" t="n"/>
      <c r="J886" t="n">
        <v>885</v>
      </c>
      <c r="K886" t="inlineStr">
        <is>
          <t>Phase J registry sync</t>
        </is>
      </c>
    </row>
    <row r="887">
      <c r="A887" s="19" t="inlineStr">
        <is>
          <t>886</t>
        </is>
      </c>
      <c r="B887" s="19" t="inlineStr">
        <is>
          <t>886</t>
        </is>
      </c>
      <c r="C887" s="19" t="n"/>
      <c r="D887" s="19" t="n"/>
      <c r="E887" s="19" t="n"/>
      <c r="F887" s="19" t="n"/>
      <c r="G887" s="19" t="n"/>
      <c r="H887" s="19" t="inlineStr">
        <is>
          <t>222</t>
        </is>
      </c>
      <c r="I887" s="19" t="n"/>
      <c r="J887" t="n">
        <v>886</v>
      </c>
      <c r="K887" t="inlineStr">
        <is>
          <t>Phase J registry sync</t>
        </is>
      </c>
    </row>
    <row r="888">
      <c r="A888" s="19" t="inlineStr">
        <is>
          <t>887</t>
        </is>
      </c>
      <c r="B888" s="19" t="inlineStr">
        <is>
          <t>887</t>
        </is>
      </c>
      <c r="C888" s="19" t="n"/>
      <c r="D888" s="19" t="n"/>
      <c r="E888" s="19" t="inlineStr">
        <is>
          <t>222</t>
        </is>
      </c>
      <c r="F888" s="19" t="n"/>
      <c r="G888" s="19" t="n"/>
      <c r="H888" s="19" t="n"/>
      <c r="I888" s="19" t="n"/>
      <c r="J888" t="n">
        <v>887</v>
      </c>
      <c r="K888" t="inlineStr">
        <is>
          <t>Phase J registry sync</t>
        </is>
      </c>
    </row>
    <row r="889">
      <c r="A889" s="19" t="inlineStr">
        <is>
          <t>888</t>
        </is>
      </c>
      <c r="B889" s="19" t="inlineStr">
        <is>
          <t>888</t>
        </is>
      </c>
      <c r="C889" s="19" t="n"/>
      <c r="D889" s="19" t="n"/>
      <c r="E889" s="19" t="n"/>
      <c r="F889" s="19" t="n"/>
      <c r="G889" s="19" t="n"/>
      <c r="H889" s="19" t="n"/>
      <c r="I889" s="19" t="inlineStr">
        <is>
          <t>222</t>
        </is>
      </c>
      <c r="J889" t="n">
        <v>888</v>
      </c>
      <c r="K889" t="inlineStr">
        <is>
          <t>Phase J registry sync</t>
        </is>
      </c>
    </row>
    <row r="890">
      <c r="A890" s="19" t="inlineStr">
        <is>
          <t>889</t>
        </is>
      </c>
      <c r="B890" s="19" t="inlineStr">
        <is>
          <t>889</t>
        </is>
      </c>
      <c r="C890" s="19" t="n"/>
      <c r="D890" s="19" t="n"/>
      <c r="E890" s="19" t="n"/>
      <c r="F890" s="19" t="n"/>
      <c r="G890" s="19" t="inlineStr">
        <is>
          <t>223</t>
        </is>
      </c>
      <c r="H890" s="19" t="n"/>
      <c r="I890" s="19" t="n"/>
      <c r="J890" t="n">
        <v>889</v>
      </c>
      <c r="K890" t="inlineStr">
        <is>
          <t>Phase J registry sync</t>
        </is>
      </c>
    </row>
    <row r="891">
      <c r="A891" s="19" t="inlineStr">
        <is>
          <t>890</t>
        </is>
      </c>
      <c r="B891" s="19" t="inlineStr">
        <is>
          <t>890</t>
        </is>
      </c>
      <c r="C891" s="19" t="n"/>
      <c r="D891" s="19" t="n"/>
      <c r="E891" s="19" t="n"/>
      <c r="F891" s="19" t="n"/>
      <c r="G891" s="19" t="n"/>
      <c r="H891" s="19" t="inlineStr">
        <is>
          <t>223</t>
        </is>
      </c>
      <c r="I891" s="19" t="n"/>
      <c r="J891" t="n">
        <v>890</v>
      </c>
      <c r="K891" t="inlineStr">
        <is>
          <t>Phase J registry sync</t>
        </is>
      </c>
    </row>
    <row r="892">
      <c r="A892" s="19" t="inlineStr">
        <is>
          <t>891</t>
        </is>
      </c>
      <c r="B892" s="19" t="inlineStr">
        <is>
          <t>891</t>
        </is>
      </c>
      <c r="C892" s="19" t="n"/>
      <c r="D892" s="19" t="n"/>
      <c r="E892" s="19" t="inlineStr">
        <is>
          <t>223</t>
        </is>
      </c>
      <c r="F892" s="19" t="n"/>
      <c r="G892" s="19" t="n"/>
      <c r="H892" s="19" t="n"/>
      <c r="I892" s="19" t="n"/>
      <c r="J892" t="n">
        <v>891</v>
      </c>
      <c r="K892" t="inlineStr">
        <is>
          <t>Phase J registry sync</t>
        </is>
      </c>
    </row>
    <row r="893">
      <c r="A893" s="19" t="inlineStr">
        <is>
          <t>892</t>
        </is>
      </c>
      <c r="B893" s="19" t="inlineStr">
        <is>
          <t>892</t>
        </is>
      </c>
      <c r="C893" s="19" t="n"/>
      <c r="D893" s="19" t="n"/>
      <c r="E893" s="19" t="n"/>
      <c r="F893" s="19" t="n"/>
      <c r="G893" s="19" t="n"/>
      <c r="H893" s="19" t="n"/>
      <c r="I893" s="19" t="inlineStr">
        <is>
          <t>223</t>
        </is>
      </c>
      <c r="J893" t="n">
        <v>892</v>
      </c>
      <c r="K893" t="inlineStr">
        <is>
          <t>Phase J registry sync</t>
        </is>
      </c>
    </row>
    <row r="894">
      <c r="A894" s="19" t="inlineStr">
        <is>
          <t>893</t>
        </is>
      </c>
      <c r="B894" s="19" t="inlineStr">
        <is>
          <t>893</t>
        </is>
      </c>
      <c r="C894" s="19" t="n"/>
      <c r="D894" s="19" t="n"/>
      <c r="E894" s="19" t="n"/>
      <c r="F894" s="19" t="n"/>
      <c r="G894" s="19" t="inlineStr">
        <is>
          <t>224</t>
        </is>
      </c>
      <c r="H894" s="19" t="n"/>
      <c r="I894" s="19" t="n"/>
      <c r="J894" t="n">
        <v>893</v>
      </c>
      <c r="K894" t="inlineStr">
        <is>
          <t>Phase J registry sync</t>
        </is>
      </c>
    </row>
    <row r="895">
      <c r="A895" s="19" t="inlineStr">
        <is>
          <t>894</t>
        </is>
      </c>
      <c r="B895" s="19" t="inlineStr">
        <is>
          <t>894</t>
        </is>
      </c>
      <c r="C895" s="19" t="n"/>
      <c r="D895" s="19" t="n"/>
      <c r="E895" s="19" t="n"/>
      <c r="F895" s="19" t="n"/>
      <c r="G895" s="19" t="n"/>
      <c r="H895" s="19" t="inlineStr">
        <is>
          <t>224</t>
        </is>
      </c>
      <c r="I895" s="19" t="n"/>
      <c r="J895" t="n">
        <v>894</v>
      </c>
      <c r="K895" t="inlineStr">
        <is>
          <t>Phase J registry sync</t>
        </is>
      </c>
    </row>
    <row r="896">
      <c r="A896" s="19" t="inlineStr">
        <is>
          <t>895</t>
        </is>
      </c>
      <c r="B896" s="19" t="inlineStr">
        <is>
          <t>895</t>
        </is>
      </c>
      <c r="C896" s="19" t="n"/>
      <c r="D896" s="19" t="n"/>
      <c r="E896" s="19" t="inlineStr">
        <is>
          <t>224</t>
        </is>
      </c>
      <c r="F896" s="19" t="n"/>
      <c r="G896" s="19" t="n"/>
      <c r="H896" s="19" t="n"/>
      <c r="I896" s="19" t="n"/>
      <c r="J896" t="n">
        <v>895</v>
      </c>
      <c r="K896" t="inlineStr">
        <is>
          <t>Phase J registry sync</t>
        </is>
      </c>
    </row>
    <row r="897">
      <c r="A897" s="19" t="inlineStr">
        <is>
          <t>896</t>
        </is>
      </c>
      <c r="B897" s="19" t="inlineStr">
        <is>
          <t>896</t>
        </is>
      </c>
      <c r="C897" s="19" t="n"/>
      <c r="D897" s="19" t="n"/>
      <c r="E897" s="19" t="n"/>
      <c r="F897" s="19" t="n"/>
      <c r="G897" s="19" t="n"/>
      <c r="H897" s="19" t="n"/>
      <c r="I897" s="19" t="inlineStr">
        <is>
          <t>224</t>
        </is>
      </c>
      <c r="J897" t="n">
        <v>896</v>
      </c>
      <c r="K897" t="inlineStr">
        <is>
          <t>Phase J registry sync</t>
        </is>
      </c>
    </row>
    <row r="898">
      <c r="A898" s="19" t="inlineStr">
        <is>
          <t>897</t>
        </is>
      </c>
      <c r="B898" s="19" t="inlineStr">
        <is>
          <t>897</t>
        </is>
      </c>
      <c r="C898" s="19" t="n"/>
      <c r="D898" s="19" t="n"/>
      <c r="E898" s="19" t="n"/>
      <c r="F898" s="19" t="n"/>
      <c r="G898" s="19" t="inlineStr">
        <is>
          <t>225</t>
        </is>
      </c>
      <c r="H898" s="19" t="n"/>
      <c r="I898" s="19" t="n"/>
      <c r="J898" t="n">
        <v>897</v>
      </c>
      <c r="K898" t="inlineStr">
        <is>
          <t>Phase J registry sync</t>
        </is>
      </c>
    </row>
    <row r="899">
      <c r="A899" s="19" t="inlineStr">
        <is>
          <t>898</t>
        </is>
      </c>
      <c r="B899" s="19" t="inlineStr">
        <is>
          <t>898</t>
        </is>
      </c>
      <c r="C899" s="19" t="n"/>
      <c r="D899" s="19" t="n"/>
      <c r="E899" s="19" t="n"/>
      <c r="F899" s="19" t="n"/>
      <c r="G899" s="19" t="n"/>
      <c r="H899" s="19" t="inlineStr">
        <is>
          <t>225</t>
        </is>
      </c>
      <c r="I899" s="19" t="n"/>
      <c r="J899" t="n">
        <v>898</v>
      </c>
      <c r="K899" t="inlineStr">
        <is>
          <t>Phase J registry sync</t>
        </is>
      </c>
    </row>
    <row r="900">
      <c r="A900" s="19" t="inlineStr">
        <is>
          <t>899</t>
        </is>
      </c>
      <c r="B900" s="19" t="inlineStr">
        <is>
          <t>899</t>
        </is>
      </c>
      <c r="C900" s="19" t="n"/>
      <c r="D900" s="19" t="n"/>
      <c r="E900" s="19" t="inlineStr">
        <is>
          <t>225</t>
        </is>
      </c>
      <c r="F900" s="19" t="n"/>
      <c r="G900" s="19" t="n"/>
      <c r="H900" s="19" t="n"/>
      <c r="I900" s="19" t="n"/>
      <c r="J900" t="n">
        <v>899</v>
      </c>
      <c r="K900" t="inlineStr">
        <is>
          <t>Phase J registry sync</t>
        </is>
      </c>
    </row>
    <row r="901">
      <c r="A901" s="19" t="inlineStr">
        <is>
          <t>900</t>
        </is>
      </c>
      <c r="B901" s="19" t="inlineStr">
        <is>
          <t>900</t>
        </is>
      </c>
      <c r="C901" s="19" t="n"/>
      <c r="D901" s="19" t="n"/>
      <c r="E901" s="19" t="n"/>
      <c r="F901" s="19" t="n"/>
      <c r="G901" s="19" t="n"/>
      <c r="H901" s="19" t="n"/>
      <c r="I901" s="19" t="inlineStr">
        <is>
          <t>225</t>
        </is>
      </c>
      <c r="J901" t="n">
        <v>900</v>
      </c>
      <c r="K901" t="inlineStr">
        <is>
          <t>Phase J registry sync</t>
        </is>
      </c>
    </row>
    <row r="902">
      <c r="A902" s="19" t="inlineStr">
        <is>
          <t>901</t>
        </is>
      </c>
      <c r="B902" s="19" t="inlineStr">
        <is>
          <t>901</t>
        </is>
      </c>
      <c r="C902" s="19" t="n"/>
      <c r="D902" s="19" t="n"/>
      <c r="E902" s="19" t="n"/>
      <c r="F902" s="19" t="n"/>
      <c r="G902" s="19" t="inlineStr">
        <is>
          <t>226</t>
        </is>
      </c>
      <c r="H902" s="19" t="n"/>
      <c r="I902" s="19" t="n"/>
      <c r="J902" t="n">
        <v>901</v>
      </c>
      <c r="K902" t="inlineStr">
        <is>
          <t>Phase J registry sync</t>
        </is>
      </c>
    </row>
    <row r="903">
      <c r="A903" s="19" t="inlineStr">
        <is>
          <t>902</t>
        </is>
      </c>
      <c r="B903" s="19" t="inlineStr">
        <is>
          <t>902</t>
        </is>
      </c>
      <c r="C903" s="19" t="n"/>
      <c r="D903" s="19" t="n"/>
      <c r="E903" s="19" t="n"/>
      <c r="F903" s="19" t="n"/>
      <c r="G903" s="19" t="n"/>
      <c r="H903" s="19" t="inlineStr">
        <is>
          <t>226</t>
        </is>
      </c>
      <c r="I903" s="19" t="n"/>
      <c r="J903" t="n">
        <v>902</v>
      </c>
      <c r="K903" t="inlineStr">
        <is>
          <t>Phase J registry sync</t>
        </is>
      </c>
    </row>
    <row r="904">
      <c r="A904" s="19" t="inlineStr">
        <is>
          <t>903</t>
        </is>
      </c>
      <c r="B904" s="19" t="inlineStr">
        <is>
          <t>903</t>
        </is>
      </c>
      <c r="C904" s="19" t="n"/>
      <c r="D904" s="19" t="n"/>
      <c r="E904" s="19" t="inlineStr">
        <is>
          <t>226</t>
        </is>
      </c>
      <c r="F904" s="19" t="n"/>
      <c r="G904" s="19" t="n"/>
      <c r="H904" s="19" t="n"/>
      <c r="I904" s="19" t="n"/>
      <c r="J904" t="n">
        <v>903</v>
      </c>
      <c r="K904" t="inlineStr">
        <is>
          <t>Phase J registry sync</t>
        </is>
      </c>
    </row>
    <row r="905">
      <c r="A905" s="19" t="inlineStr">
        <is>
          <t>904</t>
        </is>
      </c>
      <c r="B905" s="19" t="inlineStr">
        <is>
          <t>904</t>
        </is>
      </c>
      <c r="C905" s="19" t="n"/>
      <c r="D905" s="19" t="n"/>
      <c r="E905" s="19" t="n"/>
      <c r="F905" s="19" t="n"/>
      <c r="G905" s="19" t="n"/>
      <c r="H905" s="19" t="n"/>
      <c r="I905" s="19" t="inlineStr">
        <is>
          <t>226</t>
        </is>
      </c>
      <c r="J905" t="n">
        <v>904</v>
      </c>
      <c r="K905" t="inlineStr">
        <is>
          <t>Phase J registry sync</t>
        </is>
      </c>
    </row>
    <row r="906">
      <c r="A906" s="19" t="inlineStr">
        <is>
          <t>905</t>
        </is>
      </c>
      <c r="B906" s="19" t="inlineStr">
        <is>
          <t>905</t>
        </is>
      </c>
      <c r="C906" s="19" t="n"/>
      <c r="D906" s="19" t="n"/>
      <c r="E906" s="19" t="n"/>
      <c r="F906" s="19" t="n"/>
      <c r="G906" s="19" t="inlineStr">
        <is>
          <t>227</t>
        </is>
      </c>
      <c r="H906" s="19" t="n"/>
      <c r="I906" s="19" t="n"/>
      <c r="J906" t="n">
        <v>905</v>
      </c>
      <c r="K906" t="inlineStr">
        <is>
          <t>Phase J registry sync</t>
        </is>
      </c>
    </row>
    <row r="907">
      <c r="A907" s="19" t="inlineStr">
        <is>
          <t>906</t>
        </is>
      </c>
      <c r="B907" s="19" t="inlineStr">
        <is>
          <t>906</t>
        </is>
      </c>
      <c r="C907" s="19" t="n"/>
      <c r="D907" s="19" t="n"/>
      <c r="E907" s="19" t="n"/>
      <c r="F907" s="19" t="n"/>
      <c r="G907" s="19" t="n"/>
      <c r="H907" s="19" t="inlineStr">
        <is>
          <t>227</t>
        </is>
      </c>
      <c r="I907" s="19" t="n"/>
      <c r="J907" t="n">
        <v>906</v>
      </c>
      <c r="K907" t="inlineStr">
        <is>
          <t>Phase J registry sync</t>
        </is>
      </c>
    </row>
    <row r="908">
      <c r="A908" s="19" t="inlineStr">
        <is>
          <t>907</t>
        </is>
      </c>
      <c r="B908" s="19" t="inlineStr">
        <is>
          <t>907</t>
        </is>
      </c>
      <c r="C908" s="19" t="n"/>
      <c r="D908" s="19" t="n"/>
      <c r="E908" s="19" t="inlineStr">
        <is>
          <t>227</t>
        </is>
      </c>
      <c r="F908" s="19" t="n"/>
      <c r="G908" s="19" t="n"/>
      <c r="H908" s="19" t="n"/>
      <c r="I908" s="19" t="n"/>
      <c r="J908" t="n">
        <v>907</v>
      </c>
      <c r="K908" t="inlineStr">
        <is>
          <t>Phase J registry sync</t>
        </is>
      </c>
    </row>
    <row r="909">
      <c r="A909" s="19" t="inlineStr">
        <is>
          <t>908</t>
        </is>
      </c>
      <c r="B909" s="19" t="inlineStr">
        <is>
          <t>908</t>
        </is>
      </c>
      <c r="C909" s="19" t="n"/>
      <c r="D909" s="19" t="n"/>
      <c r="E909" s="19" t="n"/>
      <c r="F909" s="19" t="n"/>
      <c r="G909" s="19" t="n"/>
      <c r="H909" s="19" t="n"/>
      <c r="I909" s="19" t="inlineStr">
        <is>
          <t>227</t>
        </is>
      </c>
      <c r="J909" t="n">
        <v>908</v>
      </c>
      <c r="K909" t="inlineStr">
        <is>
          <t>Phase J registry sync</t>
        </is>
      </c>
    </row>
    <row r="910">
      <c r="A910" s="19" t="inlineStr">
        <is>
          <t>909</t>
        </is>
      </c>
      <c r="B910" s="19" t="inlineStr">
        <is>
          <t>909</t>
        </is>
      </c>
      <c r="C910" s="19" t="n"/>
      <c r="D910" s="19" t="n"/>
      <c r="E910" s="19" t="n"/>
      <c r="F910" s="19" t="n"/>
      <c r="G910" s="19" t="inlineStr">
        <is>
          <t>228</t>
        </is>
      </c>
      <c r="H910" s="19" t="n"/>
      <c r="I910" s="19" t="n"/>
      <c r="J910" t="n">
        <v>909</v>
      </c>
      <c r="K910" t="inlineStr">
        <is>
          <t>Phase J registry sync</t>
        </is>
      </c>
    </row>
    <row r="911">
      <c r="A911" s="19" t="inlineStr">
        <is>
          <t>910</t>
        </is>
      </c>
      <c r="B911" s="19" t="inlineStr">
        <is>
          <t>910</t>
        </is>
      </c>
      <c r="C911" s="19" t="n"/>
      <c r="D911" s="19" t="n"/>
      <c r="E911" s="19" t="n"/>
      <c r="F911" s="19" t="n"/>
      <c r="G911" s="19" t="n"/>
      <c r="H911" s="19" t="inlineStr">
        <is>
          <t>228</t>
        </is>
      </c>
      <c r="I911" s="19" t="n"/>
      <c r="J911" t="n">
        <v>910</v>
      </c>
      <c r="K911" t="inlineStr">
        <is>
          <t>Phase J registry sync</t>
        </is>
      </c>
    </row>
    <row r="912">
      <c r="A912" s="19" t="inlineStr">
        <is>
          <t>911</t>
        </is>
      </c>
      <c r="B912" s="19" t="inlineStr">
        <is>
          <t>911</t>
        </is>
      </c>
      <c r="C912" s="19" t="n"/>
      <c r="D912" s="19" t="n"/>
      <c r="E912" s="19" t="inlineStr">
        <is>
          <t>228</t>
        </is>
      </c>
      <c r="F912" s="19" t="n"/>
      <c r="G912" s="19" t="n"/>
      <c r="H912" s="19" t="n"/>
      <c r="I912" s="19" t="n"/>
      <c r="J912" t="n">
        <v>911</v>
      </c>
      <c r="K912" t="inlineStr">
        <is>
          <t>Phase J registry sync</t>
        </is>
      </c>
    </row>
    <row r="913">
      <c r="A913" s="19" t="inlineStr">
        <is>
          <t>912</t>
        </is>
      </c>
      <c r="B913" s="19" t="inlineStr">
        <is>
          <t>912</t>
        </is>
      </c>
      <c r="C913" s="19" t="n"/>
      <c r="D913" s="19" t="n"/>
      <c r="E913" s="19" t="n"/>
      <c r="F913" s="19" t="n"/>
      <c r="G913" s="19" t="n"/>
      <c r="H913" s="19" t="n"/>
      <c r="I913" s="19" t="inlineStr">
        <is>
          <t>228</t>
        </is>
      </c>
      <c r="J913" t="n">
        <v>912</v>
      </c>
      <c r="K913" t="inlineStr">
        <is>
          <t>Phase J registry sync</t>
        </is>
      </c>
    </row>
    <row r="914">
      <c r="A914" s="19" t="inlineStr">
        <is>
          <t>913</t>
        </is>
      </c>
      <c r="B914" s="19" t="inlineStr">
        <is>
          <t>913</t>
        </is>
      </c>
      <c r="C914" s="19" t="n"/>
      <c r="D914" s="19" t="n"/>
      <c r="E914" s="19" t="n"/>
      <c r="F914" s="19" t="n"/>
      <c r="G914" s="19" t="inlineStr">
        <is>
          <t>229</t>
        </is>
      </c>
      <c r="H914" s="19" t="n"/>
      <c r="I914" s="19" t="n"/>
      <c r="J914" t="n">
        <v>913</v>
      </c>
      <c r="K914" t="inlineStr">
        <is>
          <t>Phase J registry sync</t>
        </is>
      </c>
    </row>
    <row r="915">
      <c r="A915" s="19" t="inlineStr">
        <is>
          <t>914</t>
        </is>
      </c>
      <c r="B915" s="19" t="inlineStr">
        <is>
          <t>914</t>
        </is>
      </c>
      <c r="C915" s="19" t="n"/>
      <c r="D915" s="19" t="n"/>
      <c r="E915" s="19" t="n"/>
      <c r="F915" s="19" t="n"/>
      <c r="G915" s="19" t="n"/>
      <c r="H915" s="19" t="inlineStr">
        <is>
          <t>229</t>
        </is>
      </c>
      <c r="I915" s="19" t="n"/>
      <c r="J915" t="n">
        <v>914</v>
      </c>
      <c r="K915" t="inlineStr">
        <is>
          <t>Phase J registry sync</t>
        </is>
      </c>
    </row>
    <row r="916">
      <c r="A916" s="19" t="inlineStr">
        <is>
          <t>915</t>
        </is>
      </c>
      <c r="B916" s="19" t="inlineStr">
        <is>
          <t>915</t>
        </is>
      </c>
      <c r="C916" s="19" t="n"/>
      <c r="D916" s="19" t="n"/>
      <c r="E916" s="19" t="inlineStr">
        <is>
          <t>229</t>
        </is>
      </c>
      <c r="F916" s="19" t="n"/>
      <c r="G916" s="19" t="n"/>
      <c r="H916" s="19" t="n"/>
      <c r="I916" s="19" t="n"/>
      <c r="J916" t="n">
        <v>915</v>
      </c>
      <c r="K916" t="inlineStr">
        <is>
          <t>Phase J registry sync</t>
        </is>
      </c>
    </row>
    <row r="917">
      <c r="A917" s="19" t="inlineStr">
        <is>
          <t>916</t>
        </is>
      </c>
      <c r="B917" s="19" t="inlineStr">
        <is>
          <t>916</t>
        </is>
      </c>
      <c r="C917" s="19" t="n"/>
      <c r="D917" s="19" t="n"/>
      <c r="E917" s="19" t="n"/>
      <c r="F917" s="19" t="n"/>
      <c r="G917" s="19" t="n"/>
      <c r="H917" s="19" t="n"/>
      <c r="I917" s="19" t="inlineStr">
        <is>
          <t>229</t>
        </is>
      </c>
      <c r="J917" t="n">
        <v>916</v>
      </c>
      <c r="K917" t="inlineStr">
        <is>
          <t>Phase J registry sync</t>
        </is>
      </c>
    </row>
    <row r="918">
      <c r="A918" s="19" t="inlineStr">
        <is>
          <t>917</t>
        </is>
      </c>
      <c r="B918" s="19" t="inlineStr">
        <is>
          <t>917</t>
        </is>
      </c>
      <c r="C918" s="19" t="n"/>
      <c r="D918" s="19" t="n"/>
      <c r="E918" s="19" t="n"/>
      <c r="F918" s="19" t="n"/>
      <c r="G918" s="19" t="inlineStr">
        <is>
          <t>230</t>
        </is>
      </c>
      <c r="H918" s="19" t="n"/>
      <c r="I918" s="19" t="n"/>
      <c r="J918" t="n">
        <v>917</v>
      </c>
      <c r="K918" t="inlineStr">
        <is>
          <t>Phase J registry sync</t>
        </is>
      </c>
    </row>
    <row r="919">
      <c r="A919" s="19" t="inlineStr">
        <is>
          <t>918</t>
        </is>
      </c>
      <c r="B919" s="19" t="inlineStr">
        <is>
          <t>918</t>
        </is>
      </c>
      <c r="C919" s="19" t="n"/>
      <c r="D919" s="19" t="n"/>
      <c r="E919" s="19" t="n"/>
      <c r="F919" s="19" t="n"/>
      <c r="G919" s="19" t="n"/>
      <c r="H919" s="19" t="inlineStr">
        <is>
          <t>230</t>
        </is>
      </c>
      <c r="I919" s="19" t="n"/>
      <c r="J919" t="n">
        <v>918</v>
      </c>
      <c r="K919" t="inlineStr">
        <is>
          <t>Phase J registry sync</t>
        </is>
      </c>
    </row>
    <row r="920">
      <c r="A920" s="19" t="inlineStr">
        <is>
          <t>919</t>
        </is>
      </c>
      <c r="B920" s="19" t="inlineStr">
        <is>
          <t>919</t>
        </is>
      </c>
      <c r="C920" s="19" t="n"/>
      <c r="D920" s="19" t="n"/>
      <c r="E920" s="19" t="inlineStr">
        <is>
          <t>230</t>
        </is>
      </c>
      <c r="F920" s="19" t="n"/>
      <c r="G920" s="19" t="n"/>
      <c r="H920" s="19" t="n"/>
      <c r="I920" s="19" t="n"/>
      <c r="J920" t="n">
        <v>919</v>
      </c>
      <c r="K920" t="inlineStr">
        <is>
          <t>Phase J registry sync</t>
        </is>
      </c>
    </row>
    <row r="921">
      <c r="A921" s="19" t="inlineStr">
        <is>
          <t>920</t>
        </is>
      </c>
      <c r="B921" s="19" t="inlineStr">
        <is>
          <t>920</t>
        </is>
      </c>
      <c r="C921" s="19" t="n"/>
      <c r="D921" s="19" t="n"/>
      <c r="E921" s="19" t="n"/>
      <c r="F921" s="19" t="n"/>
      <c r="G921" s="19" t="n"/>
      <c r="H921" s="19" t="n"/>
      <c r="I921" s="19" t="inlineStr">
        <is>
          <t>230</t>
        </is>
      </c>
      <c r="J921" t="n">
        <v>920</v>
      </c>
      <c r="K921" t="inlineStr">
        <is>
          <t>Phase J registry sync</t>
        </is>
      </c>
    </row>
    <row r="922">
      <c r="A922" s="19" t="inlineStr">
        <is>
          <t>921</t>
        </is>
      </c>
      <c r="B922" s="19" t="inlineStr">
        <is>
          <t>921</t>
        </is>
      </c>
      <c r="C922" s="19" t="n"/>
      <c r="D922" s="19" t="n"/>
      <c r="E922" s="19" t="n"/>
      <c r="F922" s="19" t="n"/>
      <c r="G922" s="19" t="inlineStr">
        <is>
          <t>231</t>
        </is>
      </c>
      <c r="H922" s="19" t="n"/>
      <c r="I922" s="19" t="n"/>
      <c r="J922" t="n">
        <v>921</v>
      </c>
      <c r="K922" t="inlineStr">
        <is>
          <t>Phase J registry sync</t>
        </is>
      </c>
    </row>
    <row r="923">
      <c r="A923" s="19" t="inlineStr">
        <is>
          <t>922</t>
        </is>
      </c>
      <c r="B923" s="19" t="inlineStr">
        <is>
          <t>922</t>
        </is>
      </c>
      <c r="C923" s="19" t="n"/>
      <c r="D923" s="19" t="n"/>
      <c r="E923" s="19" t="n"/>
      <c r="F923" s="19" t="n"/>
      <c r="G923" s="19" t="n"/>
      <c r="H923" s="19" t="inlineStr">
        <is>
          <t>231</t>
        </is>
      </c>
      <c r="I923" s="19" t="n"/>
      <c r="J923" t="n">
        <v>922</v>
      </c>
      <c r="K923" t="inlineStr">
        <is>
          <t>Phase J registry sync</t>
        </is>
      </c>
    </row>
    <row r="924">
      <c r="A924" s="19" t="inlineStr">
        <is>
          <t>923</t>
        </is>
      </c>
      <c r="B924" s="19" t="inlineStr">
        <is>
          <t>923</t>
        </is>
      </c>
      <c r="C924" s="19" t="n"/>
      <c r="D924" s="19" t="n"/>
      <c r="E924" s="19" t="inlineStr">
        <is>
          <t>231</t>
        </is>
      </c>
      <c r="F924" s="19" t="n"/>
      <c r="G924" s="19" t="n"/>
      <c r="H924" s="19" t="n"/>
      <c r="I924" s="19" t="n"/>
      <c r="J924" t="n">
        <v>923</v>
      </c>
      <c r="K924" t="inlineStr">
        <is>
          <t>Phase J registry sync</t>
        </is>
      </c>
    </row>
    <row r="925">
      <c r="A925" s="19" t="inlineStr">
        <is>
          <t>924</t>
        </is>
      </c>
      <c r="B925" s="19" t="inlineStr">
        <is>
          <t>924</t>
        </is>
      </c>
      <c r="C925" s="19" t="n"/>
      <c r="D925" s="19" t="n"/>
      <c r="E925" s="19" t="n"/>
      <c r="F925" s="19" t="n"/>
      <c r="G925" s="19" t="n"/>
      <c r="H925" s="19" t="n"/>
      <c r="I925" s="19" t="inlineStr">
        <is>
          <t>231</t>
        </is>
      </c>
      <c r="J925" t="n">
        <v>924</v>
      </c>
      <c r="K925" t="inlineStr">
        <is>
          <t>Phase J registry sync</t>
        </is>
      </c>
    </row>
    <row r="926">
      <c r="A926" s="19" t="inlineStr">
        <is>
          <t>925</t>
        </is>
      </c>
      <c r="B926" s="19" t="inlineStr">
        <is>
          <t>925</t>
        </is>
      </c>
      <c r="C926" s="19" t="n"/>
      <c r="D926" s="19" t="n"/>
      <c r="E926" s="19" t="n"/>
      <c r="F926" s="19" t="n"/>
      <c r="G926" s="19" t="inlineStr">
        <is>
          <t>232</t>
        </is>
      </c>
      <c r="H926" s="19" t="n"/>
      <c r="I926" s="19" t="n"/>
      <c r="J926" t="n">
        <v>925</v>
      </c>
      <c r="K926" t="inlineStr">
        <is>
          <t>Phase J registry sync</t>
        </is>
      </c>
    </row>
    <row r="927">
      <c r="A927" s="19" t="inlineStr">
        <is>
          <t>926</t>
        </is>
      </c>
      <c r="B927" s="19" t="inlineStr">
        <is>
          <t>926</t>
        </is>
      </c>
      <c r="C927" s="19" t="n"/>
      <c r="D927" s="19" t="n"/>
      <c r="E927" s="19" t="n"/>
      <c r="F927" s="19" t="n"/>
      <c r="G927" s="19" t="n"/>
      <c r="H927" s="19" t="inlineStr">
        <is>
          <t>232</t>
        </is>
      </c>
      <c r="I927" s="19" t="n"/>
      <c r="J927" t="n">
        <v>926</v>
      </c>
      <c r="K927" t="inlineStr">
        <is>
          <t>Phase J registry sync</t>
        </is>
      </c>
    </row>
    <row r="928">
      <c r="A928" s="19" t="inlineStr">
        <is>
          <t>927</t>
        </is>
      </c>
      <c r="B928" s="19" t="inlineStr">
        <is>
          <t>927</t>
        </is>
      </c>
      <c r="C928" s="19" t="n"/>
      <c r="D928" s="19" t="n"/>
      <c r="E928" s="19" t="inlineStr">
        <is>
          <t>232</t>
        </is>
      </c>
      <c r="F928" s="19" t="n"/>
      <c r="G928" s="19" t="n"/>
      <c r="H928" s="19" t="n"/>
      <c r="I928" s="19" t="n"/>
      <c r="J928" t="n">
        <v>927</v>
      </c>
      <c r="K928" t="inlineStr">
        <is>
          <t>Phase J registry sync</t>
        </is>
      </c>
    </row>
    <row r="929">
      <c r="A929" s="19" t="inlineStr">
        <is>
          <t>928</t>
        </is>
      </c>
      <c r="B929" s="19" t="inlineStr">
        <is>
          <t>928</t>
        </is>
      </c>
      <c r="C929" s="19" t="n"/>
      <c r="D929" s="19" t="n"/>
      <c r="E929" s="19" t="n"/>
      <c r="F929" s="19" t="n"/>
      <c r="G929" s="19" t="n"/>
      <c r="H929" s="19" t="n"/>
      <c r="I929" s="19" t="inlineStr">
        <is>
          <t>232</t>
        </is>
      </c>
      <c r="J929" t="n">
        <v>928</v>
      </c>
      <c r="K929" t="inlineStr">
        <is>
          <t>Phase J registry sync</t>
        </is>
      </c>
    </row>
    <row r="930">
      <c r="A930" s="19" t="inlineStr">
        <is>
          <t>929</t>
        </is>
      </c>
      <c r="B930" s="19" t="inlineStr">
        <is>
          <t>929</t>
        </is>
      </c>
      <c r="C930" s="19" t="n"/>
      <c r="D930" s="19" t="n"/>
      <c r="E930" s="19" t="n"/>
      <c r="F930" s="19" t="n"/>
      <c r="G930" s="19" t="inlineStr">
        <is>
          <t>233</t>
        </is>
      </c>
      <c r="H930" s="19" t="n"/>
      <c r="I930" s="19" t="n"/>
      <c r="J930" t="n">
        <v>929</v>
      </c>
      <c r="K930" t="inlineStr">
        <is>
          <t>Phase J registry sync</t>
        </is>
      </c>
    </row>
    <row r="931">
      <c r="A931" s="19" t="inlineStr">
        <is>
          <t>930</t>
        </is>
      </c>
      <c r="B931" s="19" t="inlineStr">
        <is>
          <t>930</t>
        </is>
      </c>
      <c r="C931" s="19" t="n"/>
      <c r="D931" s="19" t="n"/>
      <c r="E931" s="19" t="n"/>
      <c r="F931" s="19" t="n"/>
      <c r="G931" s="19" t="n"/>
      <c r="H931" s="19" t="inlineStr">
        <is>
          <t>233</t>
        </is>
      </c>
      <c r="I931" s="19" t="n"/>
      <c r="J931" t="n">
        <v>930</v>
      </c>
      <c r="K931" t="inlineStr">
        <is>
          <t>Phase J registry sync</t>
        </is>
      </c>
    </row>
    <row r="932">
      <c r="A932" s="19" t="inlineStr">
        <is>
          <t>931</t>
        </is>
      </c>
      <c r="B932" s="19" t="inlineStr">
        <is>
          <t>931</t>
        </is>
      </c>
      <c r="C932" s="19" t="n"/>
      <c r="D932" s="19" t="n"/>
      <c r="E932" s="19" t="inlineStr">
        <is>
          <t>233</t>
        </is>
      </c>
      <c r="F932" s="19" t="n"/>
      <c r="G932" s="19" t="n"/>
      <c r="H932" s="19" t="n"/>
      <c r="I932" s="19" t="n"/>
      <c r="J932" t="n">
        <v>931</v>
      </c>
      <c r="K932" t="inlineStr">
        <is>
          <t>Phase J registry sync</t>
        </is>
      </c>
    </row>
    <row r="933">
      <c r="A933" s="19" t="inlineStr">
        <is>
          <t>932</t>
        </is>
      </c>
      <c r="B933" s="19" t="inlineStr">
        <is>
          <t>932</t>
        </is>
      </c>
      <c r="C933" s="19" t="n"/>
      <c r="D933" s="19" t="n"/>
      <c r="E933" s="19" t="n"/>
      <c r="F933" s="19" t="n"/>
      <c r="G933" s="19" t="n"/>
      <c r="H933" s="19" t="n"/>
      <c r="I933" s="19" t="inlineStr">
        <is>
          <t>233</t>
        </is>
      </c>
      <c r="J933" t="n">
        <v>932</v>
      </c>
      <c r="K933" t="inlineStr">
        <is>
          <t>Phase J registry sync</t>
        </is>
      </c>
    </row>
    <row r="934">
      <c r="A934" s="19" t="inlineStr">
        <is>
          <t>933</t>
        </is>
      </c>
      <c r="B934" s="19" t="inlineStr">
        <is>
          <t>933</t>
        </is>
      </c>
      <c r="C934" s="19" t="n"/>
      <c r="D934" s="19" t="n"/>
      <c r="E934" s="19" t="n"/>
      <c r="F934" s="19" t="n"/>
      <c r="G934" s="19" t="inlineStr">
        <is>
          <t>234</t>
        </is>
      </c>
      <c r="H934" s="19" t="n"/>
      <c r="I934" s="19" t="n"/>
      <c r="J934" t="n">
        <v>933</v>
      </c>
      <c r="K934" t="inlineStr">
        <is>
          <t>Phase J registry sync</t>
        </is>
      </c>
    </row>
    <row r="935">
      <c r="A935" s="19" t="inlineStr">
        <is>
          <t>934</t>
        </is>
      </c>
      <c r="B935" s="19" t="inlineStr">
        <is>
          <t>934</t>
        </is>
      </c>
      <c r="C935" s="19" t="n"/>
      <c r="D935" s="19" t="n"/>
      <c r="E935" s="19" t="n"/>
      <c r="F935" s="19" t="n"/>
      <c r="G935" s="19" t="n"/>
      <c r="H935" s="19" t="inlineStr">
        <is>
          <t>234</t>
        </is>
      </c>
      <c r="I935" s="19" t="n"/>
      <c r="J935" t="n">
        <v>934</v>
      </c>
      <c r="K935" t="inlineStr">
        <is>
          <t>Phase J registry sync</t>
        </is>
      </c>
    </row>
    <row r="936">
      <c r="A936" s="19" t="inlineStr">
        <is>
          <t>935</t>
        </is>
      </c>
      <c r="B936" s="19" t="inlineStr">
        <is>
          <t>935</t>
        </is>
      </c>
      <c r="C936" s="19" t="n"/>
      <c r="D936" s="19" t="n"/>
      <c r="E936" s="19" t="inlineStr">
        <is>
          <t>234</t>
        </is>
      </c>
      <c r="F936" s="19" t="n"/>
      <c r="G936" s="19" t="n"/>
      <c r="H936" s="19" t="n"/>
      <c r="I936" s="19" t="n"/>
      <c r="J936" t="n">
        <v>935</v>
      </c>
      <c r="K936" t="inlineStr">
        <is>
          <t>Phase J registry sync</t>
        </is>
      </c>
    </row>
    <row r="937">
      <c r="A937" s="19" t="inlineStr">
        <is>
          <t>936</t>
        </is>
      </c>
      <c r="B937" s="19" t="inlineStr">
        <is>
          <t>936</t>
        </is>
      </c>
      <c r="C937" s="19" t="n"/>
      <c r="D937" s="19" t="n"/>
      <c r="E937" s="19" t="n"/>
      <c r="F937" s="19" t="n"/>
      <c r="G937" s="19" t="n"/>
      <c r="H937" s="19" t="n"/>
      <c r="I937" s="19" t="inlineStr">
        <is>
          <t>234</t>
        </is>
      </c>
      <c r="J937" t="n">
        <v>936</v>
      </c>
      <c r="K937" t="inlineStr">
        <is>
          <t>Phase J registry sync</t>
        </is>
      </c>
    </row>
    <row r="938">
      <c r="A938" s="19" t="inlineStr">
        <is>
          <t>937</t>
        </is>
      </c>
      <c r="B938" s="19" t="inlineStr">
        <is>
          <t>937</t>
        </is>
      </c>
      <c r="C938" s="19" t="n"/>
      <c r="D938" s="19" t="n"/>
      <c r="E938" s="19" t="n"/>
      <c r="F938" s="19" t="n"/>
      <c r="G938" s="19" t="inlineStr">
        <is>
          <t>235</t>
        </is>
      </c>
      <c r="H938" s="19" t="n"/>
      <c r="I938" s="19" t="n"/>
      <c r="J938" t="n">
        <v>937</v>
      </c>
      <c r="K938" t="inlineStr">
        <is>
          <t>Phase J registry sync</t>
        </is>
      </c>
    </row>
    <row r="939">
      <c r="A939" s="19" t="inlineStr">
        <is>
          <t>938</t>
        </is>
      </c>
      <c r="B939" s="19" t="inlineStr">
        <is>
          <t>938</t>
        </is>
      </c>
      <c r="C939" s="19" t="n"/>
      <c r="D939" s="19" t="n"/>
      <c r="E939" s="19" t="n"/>
      <c r="F939" s="19" t="n"/>
      <c r="G939" s="19" t="n"/>
      <c r="H939" s="19" t="inlineStr">
        <is>
          <t>235</t>
        </is>
      </c>
      <c r="I939" s="19" t="n"/>
      <c r="J939" t="n">
        <v>938</v>
      </c>
      <c r="K939" t="inlineStr">
        <is>
          <t>Phase J registry sync</t>
        </is>
      </c>
    </row>
    <row r="940">
      <c r="A940" s="19" t="inlineStr">
        <is>
          <t>939</t>
        </is>
      </c>
      <c r="B940" s="19" t="inlineStr">
        <is>
          <t>939</t>
        </is>
      </c>
      <c r="C940" s="19" t="n"/>
      <c r="D940" s="19" t="n"/>
      <c r="E940" s="19" t="inlineStr">
        <is>
          <t>235</t>
        </is>
      </c>
      <c r="F940" s="19" t="n"/>
      <c r="G940" s="19" t="n"/>
      <c r="H940" s="19" t="n"/>
      <c r="I940" s="19" t="n"/>
      <c r="J940" t="n">
        <v>939</v>
      </c>
      <c r="K940" t="inlineStr">
        <is>
          <t>Phase J registry sync</t>
        </is>
      </c>
    </row>
    <row r="941">
      <c r="A941" s="19" t="inlineStr">
        <is>
          <t>940</t>
        </is>
      </c>
      <c r="B941" s="19" t="inlineStr">
        <is>
          <t>940</t>
        </is>
      </c>
      <c r="C941" s="19" t="n"/>
      <c r="D941" s="19" t="n"/>
      <c r="E941" s="19" t="n"/>
      <c r="F941" s="19" t="n"/>
      <c r="G941" s="19" t="n"/>
      <c r="H941" s="19" t="n"/>
      <c r="I941" s="19" t="inlineStr">
        <is>
          <t>235</t>
        </is>
      </c>
      <c r="J941" t="n">
        <v>940</v>
      </c>
      <c r="K941" t="inlineStr">
        <is>
          <t>Phase J registry sync</t>
        </is>
      </c>
    </row>
    <row r="942">
      <c r="A942" s="19" t="inlineStr">
        <is>
          <t>941</t>
        </is>
      </c>
      <c r="B942" s="19" t="inlineStr">
        <is>
          <t>941</t>
        </is>
      </c>
      <c r="C942" s="19" t="n"/>
      <c r="D942" s="19" t="n"/>
      <c r="E942" s="19" t="n"/>
      <c r="F942" s="19" t="n"/>
      <c r="G942" s="19" t="inlineStr">
        <is>
          <t>236</t>
        </is>
      </c>
      <c r="H942" s="19" t="n"/>
      <c r="I942" s="19" t="n"/>
      <c r="J942" t="n">
        <v>941</v>
      </c>
      <c r="K942" t="inlineStr">
        <is>
          <t>Phase J registry sync</t>
        </is>
      </c>
    </row>
    <row r="943">
      <c r="A943" s="19" t="inlineStr">
        <is>
          <t>942</t>
        </is>
      </c>
      <c r="B943" s="19" t="inlineStr">
        <is>
          <t>942</t>
        </is>
      </c>
      <c r="C943" s="19" t="n"/>
      <c r="D943" s="19" t="n"/>
      <c r="E943" s="19" t="n"/>
      <c r="F943" s="19" t="n"/>
      <c r="G943" s="19" t="n"/>
      <c r="H943" s="19" t="inlineStr">
        <is>
          <t>236</t>
        </is>
      </c>
      <c r="I943" s="19" t="n"/>
      <c r="J943" t="n">
        <v>942</v>
      </c>
      <c r="K943" t="inlineStr">
        <is>
          <t>Phase J registry sync</t>
        </is>
      </c>
    </row>
    <row r="944">
      <c r="A944" s="19" t="inlineStr">
        <is>
          <t>943</t>
        </is>
      </c>
      <c r="B944" s="19" t="inlineStr">
        <is>
          <t>943</t>
        </is>
      </c>
      <c r="C944" s="19" t="n"/>
      <c r="D944" s="19" t="n"/>
      <c r="E944" s="19" t="inlineStr">
        <is>
          <t>236</t>
        </is>
      </c>
      <c r="F944" s="19" t="n"/>
      <c r="G944" s="19" t="n"/>
      <c r="H944" s="19" t="n"/>
      <c r="I944" s="19" t="n"/>
      <c r="J944" t="n">
        <v>943</v>
      </c>
      <c r="K944" t="inlineStr">
        <is>
          <t>Phase J registry sync</t>
        </is>
      </c>
    </row>
    <row r="945">
      <c r="A945" s="19" t="inlineStr">
        <is>
          <t>944</t>
        </is>
      </c>
      <c r="B945" s="19" t="inlineStr">
        <is>
          <t>944</t>
        </is>
      </c>
      <c r="C945" s="19" t="n"/>
      <c r="D945" s="19" t="n"/>
      <c r="E945" s="19" t="n"/>
      <c r="F945" s="19" t="n"/>
      <c r="G945" s="19" t="n"/>
      <c r="H945" s="19" t="n"/>
      <c r="I945" s="19" t="inlineStr">
        <is>
          <t>236</t>
        </is>
      </c>
      <c r="J945" t="n">
        <v>944</v>
      </c>
      <c r="K945" t="inlineStr">
        <is>
          <t>Phase J registry sync</t>
        </is>
      </c>
    </row>
    <row r="946">
      <c r="A946" s="19" t="inlineStr">
        <is>
          <t>945</t>
        </is>
      </c>
      <c r="B946" s="19" t="inlineStr">
        <is>
          <t>945</t>
        </is>
      </c>
      <c r="C946" s="19" t="n"/>
      <c r="D946" s="19" t="n"/>
      <c r="E946" s="19" t="n"/>
      <c r="F946" s="19" t="n"/>
      <c r="G946" s="19" t="inlineStr">
        <is>
          <t>237</t>
        </is>
      </c>
      <c r="H946" s="19" t="n"/>
      <c r="I946" s="19" t="n"/>
      <c r="J946" t="n">
        <v>945</v>
      </c>
      <c r="K946" t="inlineStr">
        <is>
          <t>Phase J registry sync</t>
        </is>
      </c>
    </row>
    <row r="947">
      <c r="A947" s="19" t="inlineStr">
        <is>
          <t>946</t>
        </is>
      </c>
      <c r="B947" s="19" t="inlineStr">
        <is>
          <t>946</t>
        </is>
      </c>
      <c r="C947" s="19" t="n"/>
      <c r="D947" s="19" t="n"/>
      <c r="E947" s="19" t="n"/>
      <c r="F947" s="19" t="n"/>
      <c r="G947" s="19" t="n"/>
      <c r="H947" s="19" t="inlineStr">
        <is>
          <t>237</t>
        </is>
      </c>
      <c r="I947" s="19" t="n"/>
      <c r="J947" t="n">
        <v>946</v>
      </c>
      <c r="K947" t="inlineStr">
        <is>
          <t>Phase J registry sync</t>
        </is>
      </c>
    </row>
    <row r="948">
      <c r="A948" s="19" t="inlineStr">
        <is>
          <t>947</t>
        </is>
      </c>
      <c r="B948" s="19" t="inlineStr">
        <is>
          <t>947</t>
        </is>
      </c>
      <c r="C948" s="19" t="n"/>
      <c r="D948" s="19" t="n"/>
      <c r="E948" s="19" t="inlineStr">
        <is>
          <t>237</t>
        </is>
      </c>
      <c r="F948" s="19" t="n"/>
      <c r="G948" s="19" t="n"/>
      <c r="H948" s="19" t="n"/>
      <c r="I948" s="19" t="n"/>
      <c r="J948" t="n">
        <v>947</v>
      </c>
      <c r="K948" t="inlineStr">
        <is>
          <t>Phase J registry sync</t>
        </is>
      </c>
    </row>
    <row r="949">
      <c r="A949" s="19" t="inlineStr">
        <is>
          <t>948</t>
        </is>
      </c>
      <c r="B949" s="19" t="inlineStr">
        <is>
          <t>948</t>
        </is>
      </c>
      <c r="C949" s="19" t="n"/>
      <c r="D949" s="19" t="n"/>
      <c r="E949" s="19" t="n"/>
      <c r="F949" s="19" t="n"/>
      <c r="G949" s="19" t="n"/>
      <c r="H949" s="19" t="n"/>
      <c r="I949" s="19" t="inlineStr">
        <is>
          <t>237</t>
        </is>
      </c>
      <c r="J949" t="n">
        <v>948</v>
      </c>
      <c r="K949" t="inlineStr">
        <is>
          <t>Phase J registry sync</t>
        </is>
      </c>
    </row>
    <row r="950">
      <c r="A950" s="19" t="inlineStr">
        <is>
          <t>949</t>
        </is>
      </c>
      <c r="B950" s="19" t="inlineStr">
        <is>
          <t>949</t>
        </is>
      </c>
      <c r="C950" s="19" t="n"/>
      <c r="D950" s="19" t="n"/>
      <c r="E950" s="19" t="n"/>
      <c r="F950" s="19" t="n"/>
      <c r="G950" s="19" t="inlineStr">
        <is>
          <t>238</t>
        </is>
      </c>
      <c r="H950" s="19" t="n"/>
      <c r="I950" s="19" t="n"/>
      <c r="J950" t="n">
        <v>949</v>
      </c>
      <c r="K950" t="inlineStr">
        <is>
          <t>Phase J registry sync</t>
        </is>
      </c>
    </row>
    <row r="951">
      <c r="A951" s="19" t="inlineStr">
        <is>
          <t>950</t>
        </is>
      </c>
      <c r="B951" s="19" t="inlineStr">
        <is>
          <t>950</t>
        </is>
      </c>
      <c r="C951" s="19" t="n"/>
      <c r="D951" s="19" t="n"/>
      <c r="E951" s="19" t="n"/>
      <c r="F951" s="19" t="n"/>
      <c r="G951" s="19" t="n"/>
      <c r="H951" s="19" t="inlineStr">
        <is>
          <t>238</t>
        </is>
      </c>
      <c r="I951" s="19" t="n"/>
      <c r="J951" t="n">
        <v>950</v>
      </c>
      <c r="K951" t="inlineStr">
        <is>
          <t>Phase J registry sync</t>
        </is>
      </c>
    </row>
    <row r="952">
      <c r="A952" s="19" t="inlineStr">
        <is>
          <t>951</t>
        </is>
      </c>
      <c r="B952" s="19" t="inlineStr">
        <is>
          <t>951</t>
        </is>
      </c>
      <c r="C952" s="19" t="n"/>
      <c r="D952" s="19" t="n"/>
      <c r="E952" s="19" t="inlineStr">
        <is>
          <t>238</t>
        </is>
      </c>
      <c r="F952" s="19" t="n"/>
      <c r="G952" s="19" t="n"/>
      <c r="H952" s="19" t="n"/>
      <c r="I952" s="19" t="n"/>
      <c r="J952" t="n">
        <v>951</v>
      </c>
      <c r="K952" t="inlineStr">
        <is>
          <t>Phase J registry sync</t>
        </is>
      </c>
    </row>
    <row r="953">
      <c r="A953" s="19" t="inlineStr">
        <is>
          <t>952</t>
        </is>
      </c>
      <c r="B953" s="19" t="inlineStr">
        <is>
          <t>952</t>
        </is>
      </c>
      <c r="C953" s="19" t="n"/>
      <c r="D953" s="19" t="n"/>
      <c r="E953" s="19" t="n"/>
      <c r="F953" s="19" t="n"/>
      <c r="G953" s="19" t="n"/>
      <c r="H953" s="19" t="n"/>
      <c r="I953" s="19" t="inlineStr">
        <is>
          <t>238</t>
        </is>
      </c>
      <c r="J953" t="n">
        <v>952</v>
      </c>
      <c r="K953" t="inlineStr">
        <is>
          <t>Phase J registry sync</t>
        </is>
      </c>
    </row>
    <row r="954">
      <c r="A954" s="19" t="inlineStr">
        <is>
          <t>953</t>
        </is>
      </c>
      <c r="B954" s="19" t="inlineStr">
        <is>
          <t>953</t>
        </is>
      </c>
      <c r="C954" s="19" t="n"/>
      <c r="D954" s="19" t="n"/>
      <c r="E954" s="19" t="n"/>
      <c r="F954" s="19" t="n"/>
      <c r="G954" s="19" t="inlineStr">
        <is>
          <t>239</t>
        </is>
      </c>
      <c r="H954" s="19" t="n"/>
      <c r="I954" s="19" t="n"/>
      <c r="J954" t="n">
        <v>953</v>
      </c>
      <c r="K954" t="inlineStr">
        <is>
          <t>Phase J registry sync</t>
        </is>
      </c>
    </row>
    <row r="955">
      <c r="A955" s="19" t="inlineStr">
        <is>
          <t>954</t>
        </is>
      </c>
      <c r="B955" s="19" t="inlineStr">
        <is>
          <t>954</t>
        </is>
      </c>
      <c r="C955" s="19" t="n"/>
      <c r="D955" s="19" t="n"/>
      <c r="E955" s="19" t="n"/>
      <c r="F955" s="19" t="n"/>
      <c r="G955" s="19" t="n"/>
      <c r="H955" s="19" t="inlineStr">
        <is>
          <t>239</t>
        </is>
      </c>
      <c r="I955" s="19" t="n"/>
      <c r="J955" t="n">
        <v>954</v>
      </c>
      <c r="K955" t="inlineStr">
        <is>
          <t>Phase J registry sync</t>
        </is>
      </c>
    </row>
    <row r="956">
      <c r="A956" s="19" t="inlineStr">
        <is>
          <t>955</t>
        </is>
      </c>
      <c r="B956" s="19" t="inlineStr">
        <is>
          <t>955</t>
        </is>
      </c>
      <c r="C956" s="19" t="n"/>
      <c r="D956" s="19" t="n"/>
      <c r="E956" s="19" t="inlineStr">
        <is>
          <t>239</t>
        </is>
      </c>
      <c r="F956" s="19" t="n"/>
      <c r="G956" s="19" t="n"/>
      <c r="H956" s="19" t="n"/>
      <c r="I956" s="19" t="n"/>
      <c r="J956" t="n">
        <v>955</v>
      </c>
      <c r="K956" t="inlineStr">
        <is>
          <t>Phase J registry sync</t>
        </is>
      </c>
    </row>
    <row r="957">
      <c r="A957" s="19" t="inlineStr">
        <is>
          <t>956</t>
        </is>
      </c>
      <c r="B957" s="19" t="inlineStr">
        <is>
          <t>956</t>
        </is>
      </c>
      <c r="C957" s="19" t="n"/>
      <c r="D957" s="19" t="n"/>
      <c r="E957" s="19" t="n"/>
      <c r="F957" s="19" t="n"/>
      <c r="G957" s="19" t="n"/>
      <c r="H957" s="19" t="n"/>
      <c r="I957" s="19" t="inlineStr">
        <is>
          <t>239</t>
        </is>
      </c>
      <c r="J957" t="n">
        <v>956</v>
      </c>
      <c r="K957" t="inlineStr">
        <is>
          <t>Phase J registry sync</t>
        </is>
      </c>
    </row>
    <row r="958">
      <c r="A958" s="19" t="inlineStr">
        <is>
          <t>957</t>
        </is>
      </c>
      <c r="B958" s="19" t="inlineStr">
        <is>
          <t>957</t>
        </is>
      </c>
      <c r="C958" s="19" t="n"/>
      <c r="D958" s="19" t="n"/>
      <c r="E958" s="19" t="n"/>
      <c r="F958" s="19" t="n"/>
      <c r="G958" s="19" t="inlineStr">
        <is>
          <t>240</t>
        </is>
      </c>
      <c r="H958" s="19" t="n"/>
      <c r="I958" s="19" t="n"/>
      <c r="J958" t="n">
        <v>957</v>
      </c>
      <c r="K958" t="inlineStr">
        <is>
          <t>Phase J registry sync</t>
        </is>
      </c>
    </row>
    <row r="959">
      <c r="A959" s="19" t="inlineStr">
        <is>
          <t>958</t>
        </is>
      </c>
      <c r="B959" s="19" t="inlineStr">
        <is>
          <t>958</t>
        </is>
      </c>
      <c r="C959" s="19" t="n"/>
      <c r="D959" s="19" t="n"/>
      <c r="E959" s="19" t="n"/>
      <c r="F959" s="19" t="n"/>
      <c r="G959" s="19" t="n"/>
      <c r="H959" s="19" t="inlineStr">
        <is>
          <t>240</t>
        </is>
      </c>
      <c r="I959" s="19" t="n"/>
      <c r="J959" t="n">
        <v>958</v>
      </c>
      <c r="K959" t="inlineStr">
        <is>
          <t>Phase J registry sync</t>
        </is>
      </c>
    </row>
    <row r="960">
      <c r="A960" s="19" t="inlineStr">
        <is>
          <t>959</t>
        </is>
      </c>
      <c r="B960" s="19" t="inlineStr">
        <is>
          <t>959</t>
        </is>
      </c>
      <c r="C960" s="19" t="n"/>
      <c r="D960" s="19" t="n"/>
      <c r="E960" s="19" t="inlineStr">
        <is>
          <t>240</t>
        </is>
      </c>
      <c r="F960" s="19" t="n"/>
      <c r="G960" s="19" t="n"/>
      <c r="H960" s="19" t="n"/>
      <c r="I960" s="19" t="n"/>
      <c r="J960" t="n">
        <v>959</v>
      </c>
      <c r="K960" t="inlineStr">
        <is>
          <t>Phase J registry sync</t>
        </is>
      </c>
    </row>
    <row r="961">
      <c r="A961" s="19" t="inlineStr">
        <is>
          <t>960</t>
        </is>
      </c>
      <c r="B961" s="19" t="inlineStr">
        <is>
          <t>960</t>
        </is>
      </c>
      <c r="C961" s="19" t="n"/>
      <c r="D961" s="19" t="n"/>
      <c r="E961" s="19" t="n"/>
      <c r="F961" s="19" t="n"/>
      <c r="G961" s="19" t="n"/>
      <c r="H961" s="19" t="n"/>
      <c r="I961" s="19" t="inlineStr">
        <is>
          <t>240</t>
        </is>
      </c>
      <c r="J961" t="n">
        <v>960</v>
      </c>
      <c r="K961" t="inlineStr">
        <is>
          <t>Phase J registry sync</t>
        </is>
      </c>
    </row>
    <row r="962">
      <c r="A962" s="19" t="inlineStr">
        <is>
          <t>961</t>
        </is>
      </c>
      <c r="B962" s="19" t="inlineStr">
        <is>
          <t>961</t>
        </is>
      </c>
      <c r="C962" s="19" t="n"/>
      <c r="D962" s="19" t="n"/>
      <c r="E962" s="19" t="n"/>
      <c r="F962" s="19" t="n"/>
      <c r="G962" s="19" t="inlineStr">
        <is>
          <t>241</t>
        </is>
      </c>
      <c r="H962" s="19" t="n"/>
      <c r="I962" s="19" t="n"/>
      <c r="J962" t="n">
        <v>961</v>
      </c>
      <c r="K962" t="inlineStr">
        <is>
          <t>Phase J registry sync</t>
        </is>
      </c>
    </row>
    <row r="963">
      <c r="A963" s="19" t="inlineStr">
        <is>
          <t>962</t>
        </is>
      </c>
      <c r="B963" s="19" t="inlineStr">
        <is>
          <t>962</t>
        </is>
      </c>
      <c r="C963" s="19" t="n"/>
      <c r="D963" s="19" t="n"/>
      <c r="E963" s="19" t="n"/>
      <c r="F963" s="19" t="n"/>
      <c r="G963" s="19" t="n"/>
      <c r="H963" s="19" t="inlineStr">
        <is>
          <t>241</t>
        </is>
      </c>
      <c r="I963" s="19" t="n"/>
      <c r="J963" t="n">
        <v>962</v>
      </c>
      <c r="K963" t="inlineStr">
        <is>
          <t>Phase J registry sync</t>
        </is>
      </c>
    </row>
    <row r="964">
      <c r="A964" s="19" t="inlineStr">
        <is>
          <t>963</t>
        </is>
      </c>
      <c r="B964" s="19" t="inlineStr">
        <is>
          <t>963</t>
        </is>
      </c>
      <c r="C964" s="19" t="n"/>
      <c r="D964" s="19" t="n"/>
      <c r="E964" s="19" t="inlineStr">
        <is>
          <t>241</t>
        </is>
      </c>
      <c r="F964" s="19" t="n"/>
      <c r="G964" s="19" t="n"/>
      <c r="H964" s="19" t="n"/>
      <c r="I964" s="19" t="n"/>
      <c r="J964" t="n">
        <v>963</v>
      </c>
      <c r="K964" t="inlineStr">
        <is>
          <t>Phase J registry sync</t>
        </is>
      </c>
    </row>
    <row r="965">
      <c r="A965" s="19" t="inlineStr">
        <is>
          <t>964</t>
        </is>
      </c>
      <c r="B965" s="19" t="inlineStr">
        <is>
          <t>964</t>
        </is>
      </c>
      <c r="C965" s="19" t="n"/>
      <c r="D965" s="19" t="n"/>
      <c r="E965" s="19" t="n"/>
      <c r="F965" s="19" t="n"/>
      <c r="G965" s="19" t="n"/>
      <c r="H965" s="19" t="n"/>
      <c r="I965" s="19" t="inlineStr">
        <is>
          <t>241</t>
        </is>
      </c>
      <c r="J965" t="n">
        <v>964</v>
      </c>
      <c r="K965" t="inlineStr">
        <is>
          <t>Phase J registry sync</t>
        </is>
      </c>
    </row>
    <row r="966">
      <c r="A966" s="19" t="inlineStr">
        <is>
          <t>965</t>
        </is>
      </c>
      <c r="B966" s="19" t="inlineStr">
        <is>
          <t>965</t>
        </is>
      </c>
      <c r="C966" s="19" t="n"/>
      <c r="D966" s="19" t="n"/>
      <c r="E966" s="19" t="n"/>
      <c r="F966" s="19" t="n"/>
      <c r="G966" s="19" t="inlineStr">
        <is>
          <t>242</t>
        </is>
      </c>
      <c r="H966" s="19" t="n"/>
      <c r="I966" s="19" t="n"/>
      <c r="J966" t="n">
        <v>965</v>
      </c>
      <c r="K966" t="inlineStr">
        <is>
          <t>Phase J registry sync</t>
        </is>
      </c>
    </row>
    <row r="967">
      <c r="A967" s="19" t="inlineStr">
        <is>
          <t>966</t>
        </is>
      </c>
      <c r="B967" s="19" t="inlineStr">
        <is>
          <t>966</t>
        </is>
      </c>
      <c r="C967" s="19" t="n"/>
      <c r="D967" s="19" t="n"/>
      <c r="E967" s="19" t="n"/>
      <c r="F967" s="19" t="n"/>
      <c r="G967" s="19" t="n"/>
      <c r="H967" s="19" t="inlineStr">
        <is>
          <t>242</t>
        </is>
      </c>
      <c r="I967" s="19" t="n"/>
      <c r="J967" t="n">
        <v>966</v>
      </c>
      <c r="K967" t="inlineStr">
        <is>
          <t>Phase J registry sync</t>
        </is>
      </c>
    </row>
    <row r="968">
      <c r="A968" s="19" t="inlineStr">
        <is>
          <t>967</t>
        </is>
      </c>
      <c r="B968" s="19" t="inlineStr">
        <is>
          <t>967</t>
        </is>
      </c>
      <c r="C968" s="19" t="n"/>
      <c r="D968" s="19" t="n"/>
      <c r="E968" s="19" t="inlineStr">
        <is>
          <t>242</t>
        </is>
      </c>
      <c r="F968" s="19" t="n"/>
      <c r="G968" s="19" t="n"/>
      <c r="H968" s="19" t="n"/>
      <c r="I968" s="19" t="n"/>
      <c r="J968" t="n">
        <v>967</v>
      </c>
      <c r="K968" t="inlineStr">
        <is>
          <t>Phase J registry sync</t>
        </is>
      </c>
    </row>
    <row r="969">
      <c r="A969" s="19" t="inlineStr">
        <is>
          <t>968</t>
        </is>
      </c>
      <c r="B969" s="19" t="inlineStr">
        <is>
          <t>968</t>
        </is>
      </c>
      <c r="C969" s="19" t="n"/>
      <c r="D969" s="19" t="n"/>
      <c r="E969" s="19" t="n"/>
      <c r="F969" s="19" t="n"/>
      <c r="G969" s="19" t="n"/>
      <c r="H969" s="19" t="n"/>
      <c r="I969" s="19" t="inlineStr">
        <is>
          <t>242</t>
        </is>
      </c>
      <c r="J969" t="n">
        <v>968</v>
      </c>
      <c r="K969" t="inlineStr">
        <is>
          <t>Phase J registry sync</t>
        </is>
      </c>
    </row>
    <row r="970">
      <c r="A970" s="19" t="inlineStr">
        <is>
          <t>969</t>
        </is>
      </c>
      <c r="B970" s="19" t="inlineStr">
        <is>
          <t>969</t>
        </is>
      </c>
      <c r="C970" s="19" t="n"/>
      <c r="D970" s="19" t="n"/>
      <c r="E970" s="19" t="n"/>
      <c r="F970" s="19" t="n"/>
      <c r="G970" s="19" t="inlineStr">
        <is>
          <t>243</t>
        </is>
      </c>
      <c r="H970" s="19" t="n"/>
      <c r="I970" s="19" t="n"/>
      <c r="J970" t="n">
        <v>969</v>
      </c>
      <c r="K970" t="inlineStr">
        <is>
          <t>Phase J registry sync</t>
        </is>
      </c>
    </row>
    <row r="971">
      <c r="A971" s="19" t="inlineStr">
        <is>
          <t>970</t>
        </is>
      </c>
      <c r="B971" s="19" t="inlineStr">
        <is>
          <t>970</t>
        </is>
      </c>
      <c r="C971" s="19" t="n"/>
      <c r="D971" s="19" t="n"/>
      <c r="E971" s="19" t="n"/>
      <c r="F971" s="19" t="n"/>
      <c r="G971" s="19" t="n"/>
      <c r="H971" s="19" t="inlineStr">
        <is>
          <t>243</t>
        </is>
      </c>
      <c r="I971" s="19" t="n"/>
      <c r="J971" t="n">
        <v>970</v>
      </c>
      <c r="K971" t="inlineStr">
        <is>
          <t>Phase J registry sync</t>
        </is>
      </c>
    </row>
    <row r="972">
      <c r="A972" s="19" t="inlineStr">
        <is>
          <t>971</t>
        </is>
      </c>
      <c r="B972" s="19" t="inlineStr">
        <is>
          <t>971</t>
        </is>
      </c>
      <c r="C972" s="19" t="n"/>
      <c r="D972" s="19" t="n"/>
      <c r="E972" s="19" t="inlineStr">
        <is>
          <t>243</t>
        </is>
      </c>
      <c r="F972" s="19" t="n"/>
      <c r="G972" s="19" t="n"/>
      <c r="H972" s="19" t="n"/>
      <c r="I972" s="19" t="n"/>
      <c r="J972" t="n">
        <v>971</v>
      </c>
      <c r="K972" t="inlineStr">
        <is>
          <t>Phase J registry sync</t>
        </is>
      </c>
    </row>
    <row r="973">
      <c r="A973" s="19" t="inlineStr">
        <is>
          <t>972</t>
        </is>
      </c>
      <c r="B973" s="19" t="inlineStr">
        <is>
          <t>972</t>
        </is>
      </c>
      <c r="C973" s="19" t="n"/>
      <c r="D973" s="19" t="n"/>
      <c r="E973" s="19" t="n"/>
      <c r="F973" s="19" t="n"/>
      <c r="G973" s="19" t="n"/>
      <c r="H973" s="19" t="n"/>
      <c r="I973" s="19" t="inlineStr">
        <is>
          <t>243</t>
        </is>
      </c>
      <c r="J973" t="n">
        <v>972</v>
      </c>
      <c r="K973" t="inlineStr">
        <is>
          <t>Phase J registry sync</t>
        </is>
      </c>
    </row>
    <row r="974">
      <c r="A974" s="19" t="inlineStr">
        <is>
          <t>973</t>
        </is>
      </c>
      <c r="B974" s="19" t="inlineStr">
        <is>
          <t>973</t>
        </is>
      </c>
      <c r="C974" s="19" t="n"/>
      <c r="D974" s="19" t="n"/>
      <c r="E974" s="19" t="n"/>
      <c r="F974" s="19" t="n"/>
      <c r="G974" s="19" t="inlineStr">
        <is>
          <t>244</t>
        </is>
      </c>
      <c r="H974" s="19" t="n"/>
      <c r="I974" s="19" t="n"/>
      <c r="J974" t="n">
        <v>973</v>
      </c>
      <c r="K974" t="inlineStr">
        <is>
          <t>Phase J registry sync</t>
        </is>
      </c>
    </row>
    <row r="975">
      <c r="A975" s="19" t="inlineStr">
        <is>
          <t>974</t>
        </is>
      </c>
      <c r="B975" s="19" t="inlineStr">
        <is>
          <t>974</t>
        </is>
      </c>
      <c r="C975" s="19" t="n"/>
      <c r="D975" s="19" t="n"/>
      <c r="E975" s="19" t="n"/>
      <c r="F975" s="19" t="n"/>
      <c r="G975" s="19" t="n"/>
      <c r="H975" s="19" t="inlineStr">
        <is>
          <t>244</t>
        </is>
      </c>
      <c r="I975" s="19" t="n"/>
      <c r="J975" t="n">
        <v>974</v>
      </c>
      <c r="K975" t="inlineStr">
        <is>
          <t>Phase J registry sync</t>
        </is>
      </c>
    </row>
    <row r="976">
      <c r="A976" s="19" t="inlineStr">
        <is>
          <t>975</t>
        </is>
      </c>
      <c r="B976" s="19" t="inlineStr">
        <is>
          <t>975</t>
        </is>
      </c>
      <c r="C976" s="19" t="n"/>
      <c r="D976" s="19" t="n"/>
      <c r="E976" s="19" t="inlineStr">
        <is>
          <t>244</t>
        </is>
      </c>
      <c r="F976" s="19" t="n"/>
      <c r="G976" s="19" t="n"/>
      <c r="H976" s="19" t="n"/>
      <c r="I976" s="19" t="n"/>
      <c r="J976" t="n">
        <v>975</v>
      </c>
      <c r="K976" t="inlineStr">
        <is>
          <t>Phase J registry sync</t>
        </is>
      </c>
    </row>
    <row r="977">
      <c r="A977" s="19" t="inlineStr">
        <is>
          <t>976</t>
        </is>
      </c>
      <c r="B977" s="19" t="inlineStr">
        <is>
          <t>976</t>
        </is>
      </c>
      <c r="C977" s="19" t="n"/>
      <c r="D977" s="19" t="n"/>
      <c r="E977" s="19" t="n"/>
      <c r="F977" s="19" t="n"/>
      <c r="G977" s="19" t="n"/>
      <c r="H977" s="19" t="n"/>
      <c r="I977" s="19" t="inlineStr">
        <is>
          <t>244</t>
        </is>
      </c>
      <c r="J977" t="n">
        <v>976</v>
      </c>
      <c r="K977" t="inlineStr">
        <is>
          <t>Phase J registry sync</t>
        </is>
      </c>
    </row>
    <row r="978">
      <c r="A978" s="19" t="inlineStr">
        <is>
          <t>977</t>
        </is>
      </c>
      <c r="B978" s="19" t="inlineStr">
        <is>
          <t>977</t>
        </is>
      </c>
      <c r="C978" s="19" t="n"/>
      <c r="D978" s="19" t="n"/>
      <c r="E978" s="19" t="n"/>
      <c r="F978" s="19" t="n"/>
      <c r="G978" s="19" t="inlineStr">
        <is>
          <t>245</t>
        </is>
      </c>
      <c r="H978" s="19" t="n"/>
      <c r="I978" s="19" t="n"/>
      <c r="J978" t="n">
        <v>977</v>
      </c>
      <c r="K978" t="inlineStr">
        <is>
          <t>Phase J registry sync</t>
        </is>
      </c>
    </row>
    <row r="979">
      <c r="A979" s="19" t="inlineStr">
        <is>
          <t>978</t>
        </is>
      </c>
      <c r="B979" s="19" t="inlineStr">
        <is>
          <t>978</t>
        </is>
      </c>
      <c r="C979" s="19" t="n"/>
      <c r="D979" s="19" t="n"/>
      <c r="E979" s="19" t="n"/>
      <c r="F979" s="19" t="n"/>
      <c r="G979" s="19" t="n"/>
      <c r="H979" s="19" t="inlineStr">
        <is>
          <t>245</t>
        </is>
      </c>
      <c r="I979" s="19" t="n"/>
      <c r="J979" t="n">
        <v>978</v>
      </c>
      <c r="K979" t="inlineStr">
        <is>
          <t>Phase J registry sync</t>
        </is>
      </c>
    </row>
    <row r="980">
      <c r="A980" s="19" t="inlineStr">
        <is>
          <t>979</t>
        </is>
      </c>
      <c r="B980" s="19" t="inlineStr">
        <is>
          <t>979</t>
        </is>
      </c>
      <c r="C980" s="19" t="n"/>
      <c r="D980" s="19" t="n"/>
      <c r="E980" s="19" t="inlineStr">
        <is>
          <t>245</t>
        </is>
      </c>
      <c r="F980" s="19" t="n"/>
      <c r="G980" s="19" t="n"/>
      <c r="H980" s="19" t="n"/>
      <c r="I980" s="19" t="n"/>
      <c r="J980" t="n">
        <v>979</v>
      </c>
      <c r="K980" t="inlineStr">
        <is>
          <t>Phase J registry sync</t>
        </is>
      </c>
    </row>
    <row r="981">
      <c r="A981" s="19" t="inlineStr">
        <is>
          <t>980</t>
        </is>
      </c>
      <c r="B981" s="19" t="inlineStr">
        <is>
          <t>980</t>
        </is>
      </c>
      <c r="C981" s="19" t="n"/>
      <c r="D981" s="19" t="n"/>
      <c r="E981" s="19" t="n"/>
      <c r="F981" s="19" t="n"/>
      <c r="G981" s="19" t="n"/>
      <c r="H981" s="19" t="n"/>
      <c r="I981" s="19" t="inlineStr">
        <is>
          <t>245</t>
        </is>
      </c>
      <c r="J981" t="n">
        <v>980</v>
      </c>
      <c r="K981" t="inlineStr">
        <is>
          <t>Phase J registry sync</t>
        </is>
      </c>
    </row>
    <row r="982">
      <c r="A982" s="19" t="inlineStr">
        <is>
          <t>981</t>
        </is>
      </c>
      <c r="B982" s="19" t="inlineStr">
        <is>
          <t>981</t>
        </is>
      </c>
      <c r="C982" s="19" t="n"/>
      <c r="D982" s="19" t="n"/>
      <c r="E982" s="19" t="n"/>
      <c r="F982" s="19" t="n"/>
      <c r="G982" s="19" t="inlineStr">
        <is>
          <t>246</t>
        </is>
      </c>
      <c r="H982" s="19" t="n"/>
      <c r="I982" s="19" t="n"/>
      <c r="J982" t="n">
        <v>981</v>
      </c>
      <c r="K982" t="inlineStr">
        <is>
          <t>Phase J registry sync</t>
        </is>
      </c>
    </row>
    <row r="983">
      <c r="A983" s="19" t="inlineStr">
        <is>
          <t>982</t>
        </is>
      </c>
      <c r="B983" s="19" t="inlineStr">
        <is>
          <t>982</t>
        </is>
      </c>
      <c r="C983" s="19" t="n"/>
      <c r="D983" s="19" t="n"/>
      <c r="E983" s="19" t="n"/>
      <c r="F983" s="19" t="n"/>
      <c r="G983" s="19" t="n"/>
      <c r="H983" s="19" t="inlineStr">
        <is>
          <t>246</t>
        </is>
      </c>
      <c r="I983" s="19" t="n"/>
      <c r="J983" t="n">
        <v>982</v>
      </c>
      <c r="K983" t="inlineStr">
        <is>
          <t>Phase J registry sync</t>
        </is>
      </c>
    </row>
    <row r="984">
      <c r="A984" s="19" t="inlineStr">
        <is>
          <t>983</t>
        </is>
      </c>
      <c r="B984" s="19" t="inlineStr">
        <is>
          <t>983</t>
        </is>
      </c>
      <c r="C984" s="19" t="n"/>
      <c r="D984" s="19" t="n"/>
      <c r="E984" s="19" t="inlineStr">
        <is>
          <t>246</t>
        </is>
      </c>
      <c r="F984" s="19" t="n"/>
      <c r="G984" s="19" t="n"/>
      <c r="H984" s="19" t="n"/>
      <c r="I984" s="19" t="n"/>
      <c r="J984" t="n">
        <v>983</v>
      </c>
      <c r="K984" t="inlineStr">
        <is>
          <t>Phase J registry sync</t>
        </is>
      </c>
    </row>
    <row r="985">
      <c r="A985" s="19" t="inlineStr">
        <is>
          <t>984</t>
        </is>
      </c>
      <c r="B985" s="19" t="inlineStr">
        <is>
          <t>984</t>
        </is>
      </c>
      <c r="C985" s="19" t="n"/>
      <c r="D985" s="19" t="n"/>
      <c r="E985" s="19" t="n"/>
      <c r="F985" s="19" t="n"/>
      <c r="G985" s="19" t="n"/>
      <c r="H985" s="19" t="n"/>
      <c r="I985" s="19" t="inlineStr">
        <is>
          <t>246</t>
        </is>
      </c>
      <c r="J985" t="n">
        <v>984</v>
      </c>
      <c r="K985" t="inlineStr">
        <is>
          <t>Phase J registry sync</t>
        </is>
      </c>
    </row>
    <row r="986">
      <c r="A986" s="19" t="inlineStr">
        <is>
          <t>985</t>
        </is>
      </c>
      <c r="B986" s="19" t="inlineStr">
        <is>
          <t>985</t>
        </is>
      </c>
      <c r="C986" s="19" t="n"/>
      <c r="D986" s="19" t="n"/>
      <c r="E986" s="19" t="n"/>
      <c r="F986" s="19" t="n"/>
      <c r="G986" s="19" t="inlineStr">
        <is>
          <t>247</t>
        </is>
      </c>
      <c r="H986" s="19" t="n"/>
      <c r="I986" s="19" t="n"/>
      <c r="J986" t="n">
        <v>985</v>
      </c>
      <c r="K986" t="inlineStr">
        <is>
          <t>Phase J registry sync</t>
        </is>
      </c>
    </row>
    <row r="987">
      <c r="A987" s="19" t="inlineStr">
        <is>
          <t>986</t>
        </is>
      </c>
      <c r="B987" s="19" t="inlineStr">
        <is>
          <t>986</t>
        </is>
      </c>
      <c r="C987" s="19" t="n"/>
      <c r="D987" s="19" t="n"/>
      <c r="E987" s="19" t="n"/>
      <c r="F987" s="19" t="n"/>
      <c r="G987" s="19" t="n"/>
      <c r="H987" s="19" t="inlineStr">
        <is>
          <t>247</t>
        </is>
      </c>
      <c r="I987" s="19" t="n"/>
      <c r="J987" t="n">
        <v>986</v>
      </c>
      <c r="K987" t="inlineStr">
        <is>
          <t>Phase J registry sync</t>
        </is>
      </c>
    </row>
    <row r="988">
      <c r="A988" s="19" t="inlineStr">
        <is>
          <t>987</t>
        </is>
      </c>
      <c r="B988" s="19" t="inlineStr">
        <is>
          <t>987</t>
        </is>
      </c>
      <c r="C988" s="19" t="n"/>
      <c r="D988" s="19" t="n"/>
      <c r="E988" s="19" t="inlineStr">
        <is>
          <t>247</t>
        </is>
      </c>
      <c r="F988" s="19" t="n"/>
      <c r="G988" s="19" t="n"/>
      <c r="H988" s="19" t="n"/>
      <c r="I988" s="19" t="n"/>
      <c r="J988" t="n">
        <v>987</v>
      </c>
      <c r="K988" t="inlineStr">
        <is>
          <t>Phase J registry sync</t>
        </is>
      </c>
    </row>
    <row r="989">
      <c r="A989" s="19" t="inlineStr">
        <is>
          <t>988</t>
        </is>
      </c>
      <c r="B989" s="19" t="inlineStr">
        <is>
          <t>988</t>
        </is>
      </c>
      <c r="C989" s="19" t="n"/>
      <c r="D989" s="19" t="n"/>
      <c r="E989" s="19" t="n"/>
      <c r="F989" s="19" t="n"/>
      <c r="G989" s="19" t="n"/>
      <c r="H989" s="19" t="n"/>
      <c r="I989" s="19" t="inlineStr">
        <is>
          <t>247</t>
        </is>
      </c>
      <c r="J989" t="n">
        <v>988</v>
      </c>
      <c r="K989" t="inlineStr">
        <is>
          <t>Phase J registry sync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8"/>
  </cols>
  <sheetData>
    <row r="1" ht="19.5" customHeight="1">
      <c r="A1" s="1" t="inlineStr">
        <is>
          <t>ZZ_QA_WEIGHT_FIXTURE — visibility only (matches Python WeightService)</t>
        </is>
      </c>
    </row>
    <row r="2">
      <c r="A2" s="2" t="inlineStr">
        <is>
          <t>NOT a relational source table. Line weight = qty × component WEIGHT_G.</t>
        </is>
      </c>
    </row>
    <row r="4">
      <c r="A4" s="4" t="inlineStr">
        <is>
          <t>LINE_NO</t>
        </is>
      </c>
      <c r="B4" s="4" t="inlineStr">
        <is>
          <t>COMPONENT_ID</t>
        </is>
      </c>
      <c r="C4" s="4" t="inlineStr">
        <is>
          <t>COMPONENT_ERP_CODE</t>
        </is>
      </c>
      <c r="D4" s="4" t="inlineStr">
        <is>
          <t>COMPONENT_NAME</t>
        </is>
      </c>
      <c r="E4" s="4" t="inlineStr">
        <is>
          <t>QUANTITY</t>
        </is>
      </c>
      <c r="F4" s="4" t="inlineStr">
        <is>
          <t>WEIGHT_G</t>
        </is>
      </c>
      <c r="G4" s="4" t="inlineStr">
        <is>
          <t>LINE_WEIGHT_G</t>
        </is>
      </c>
    </row>
    <row r="5">
      <c r="A5" s="2" t="n">
        <v>1</v>
      </c>
      <c r="B5" s="16" t="inlineStr">
        <is>
          <t>C1</t>
        </is>
      </c>
      <c r="C5" s="16" t="inlineStr">
        <is>
          <t>4000782</t>
        </is>
      </c>
      <c r="D5" s="2" t="inlineStr">
        <is>
          <t>Carton</t>
        </is>
      </c>
      <c r="E5" s="2" t="n">
        <v>1</v>
      </c>
      <c r="F5" s="2" t="n">
        <v>500</v>
      </c>
      <c r="G5" s="17">
        <f>E5*F5</f>
        <v/>
      </c>
    </row>
    <row r="6">
      <c r="A6" s="2" t="n">
        <v>2</v>
      </c>
      <c r="B6" s="16" t="inlineStr">
        <is>
          <t>C2</t>
        </is>
      </c>
      <c r="C6" s="16" t="inlineStr">
        <is>
          <t>CORNER</t>
        </is>
      </c>
      <c r="D6" s="2" t="inlineStr">
        <is>
          <t>Corner</t>
        </is>
      </c>
      <c r="E6" s="2" t="n">
        <v>6</v>
      </c>
      <c r="F6" s="2" t="n">
        <v>50</v>
      </c>
      <c r="G6" s="17">
        <f>E6*F6</f>
        <v/>
      </c>
    </row>
    <row r="7" ht="15.75" customHeight="1">
      <c r="A7" s="3" t="inlineStr">
        <is>
          <t>TOTAL_TARE_G</t>
        </is>
      </c>
      <c r="G7" s="18">
        <f>SUM(G5:G6)</f>
        <v/>
      </c>
      <c r="H7" s="2" t="inlineStr">
        <is>
          <t>Must equal Python WeightService fixture = 800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2026-08-10T19:29:54Z</dcterms:created>
  <dcterms:modified xmlns:dcterms="http://purl.org/dc/terms/" xmlns:xsi="http://www.w3.org/2001/XMLSchema-instance" xsi:type="dcterms:W3CDTF">2026-08-10T19:49:42Z</dcterms:modified>
  <cp:lastModifiedBy>Burcu Şimşek</cp:lastModifiedBy>
</cp:coreProperties>
</file>